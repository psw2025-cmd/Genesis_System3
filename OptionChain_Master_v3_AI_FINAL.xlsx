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_CHECK" sheetId="1" state="visible" r:id="rId1"/>
    <sheet xmlns:r="http://schemas.openxmlformats.org/officeDocument/2006/relationships" name="HELP" sheetId="2" state="visible" r:id="rId2"/>
    <sheet xmlns:r="http://schemas.openxmlformats.org/officeDocument/2006/relationships" name="CONTROL" sheetId="3" state="visible" r:id="rId3"/>
    <sheet xmlns:r="http://schemas.openxmlformats.org/officeDocument/2006/relationships" name="CHAIN_RAW" sheetId="4" state="visible" r:id="rId4"/>
    <sheet xmlns:r="http://schemas.openxmlformats.org/officeDocument/2006/relationships" name="CHAIN_CALC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OI_BUILDUP" sheetId="7" state="visible" r:id="rId7"/>
    <sheet xmlns:r="http://schemas.openxmlformats.org/officeDocument/2006/relationships" name="DELTA_PCR" sheetId="8" state="visible" r:id="rId8"/>
    <sheet xmlns:r="http://schemas.openxmlformats.org/officeDocument/2006/relationships" name="GAMMA_THETA_MAP" sheetId="9" state="visible" r:id="rId9"/>
    <sheet xmlns:r="http://schemas.openxmlformats.org/officeDocument/2006/relationships" name="STRIKE_HEATMAP" sheetId="10" state="visible" r:id="rId10"/>
    <sheet xmlns:r="http://schemas.openxmlformats.org/officeDocument/2006/relationships" name="STRATEGY_ENGINE" sheetId="11" state="visible" r:id="rId11"/>
    <sheet xmlns:r="http://schemas.openxmlformats.org/officeDocument/2006/relationships" name="LEG_SELECTOR" sheetId="12" state="visible" r:id="rId12"/>
    <sheet xmlns:r="http://schemas.openxmlformats.org/officeDocument/2006/relationships" name="PROBABILITY_ENGINE" sheetId="13" state="visible" r:id="rId13"/>
    <sheet xmlns:r="http://schemas.openxmlformats.org/officeDocument/2006/relationships" name="GREEKS" sheetId="14" state="visible" r:id="rId14"/>
    <sheet xmlns:r="http://schemas.openxmlformats.org/officeDocument/2006/relationships" name="SIGNALS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</font>
    <font>
      <b val="1"/>
    </font>
    <font>
      <color rgb="000000FF"/>
    </font>
    <font>
      <color rgb="00008000"/>
    </font>
    <font>
      <color rgb="00000000"/>
    </font>
    <font>
      <b val="1"/>
      <color rgb="001F4E79"/>
      <sz val="14"/>
    </font>
    <font>
      <b val="1"/>
      <color rgb="00FFFFFF"/>
    </font>
    <font>
      <b val="1"/>
      <color rgb="009C0006"/>
      <sz val="14"/>
    </font>
    <font>
      <b val="1"/>
      <sz val="12"/>
    </font>
    <font>
      <b val="1"/>
      <color rgb="009C0006"/>
      <sz val="12"/>
    </font>
  </fonts>
  <fills count="9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7F3FF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7EFF8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10" fillId="7" borderId="1" pivotButton="0" quotePrefix="0" xfId="0"/>
    <xf numFmtId="0" fontId="11" fillId="7" borderId="1" pivotButton="0" quotePrefix="0" xfId="0"/>
    <xf numFmtId="0" fontId="3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8" fillId="6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3" fillId="8" borderId="2" pivotButton="0" quotePrefix="0" xfId="0"/>
    <xf numFmtId="0" fontId="0" fillId="0" borderId="2" pivotButton="0" quotePrefix="0" xfId="0"/>
  </cellXfs>
  <cellStyles count="1">
    <cellStyle name="Normal" xfId="0" builtinId="0" hidden="0"/>
  </cellStyles>
  <dxfs count="4">
    <dxf>
      <font>
        <b val="1"/>
        <color rgb="009C0006"/>
      </font>
      <fill>
        <patternFill patternType="solid">
          <fgColor rgb="00F8CBAD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tblChainRaw" displayName="tblChainRaw" ref="A1:T2" headerRowCount="1">
  <autoFilter ref="A1:T2"/>
  <tableColumns count="20">
    <tableColumn id="1" name="LIVE OPTION CHAIN (RAW) — Paste/Import rows here (no formulas)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  <tableColumn id="13" name="None"/>
    <tableColumn id="14" name="None"/>
    <tableColumn id="15" name="None"/>
    <tableColumn id="16" name="None"/>
    <tableColumn id="17" name="None"/>
    <tableColumn id="18" name="None"/>
    <tableColumn id="19" name="None"/>
    <tableColumn id="20" name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22" customWidth="1" min="3" max="3"/>
    <col width="12" customWidth="1" min="4" max="4"/>
  </cols>
  <sheetData>
    <row r="1">
      <c r="A1" s="1" t="inlineStr">
        <is>
          <t>QC_CHECK — Multi-validation &amp; Gate (v3)</t>
        </is>
      </c>
    </row>
    <row r="3">
      <c r="A3" s="25" t="inlineStr">
        <is>
          <t>Check</t>
        </is>
      </c>
      <c r="B3" s="25" t="inlineStr">
        <is>
          <t>Formula / Logic</t>
        </is>
      </c>
      <c r="C3" s="25" t="inlineStr">
        <is>
          <t>Result</t>
        </is>
      </c>
      <c r="D3" s="25" t="inlineStr">
        <is>
          <t>Status</t>
        </is>
      </c>
    </row>
    <row r="4">
      <c r="A4" s="26" t="inlineStr">
        <is>
          <t>Symbol present</t>
        </is>
      </c>
      <c r="B4" s="27" t="inlineStr">
        <is>
          <t>CONTROL!B3&lt;&gt;""</t>
        </is>
      </c>
      <c r="C4" s="27">
        <f>IF(CONTROL!B3&lt;&gt;"","OK","MISSING")</f>
        <v/>
      </c>
      <c r="D4" s="27">
        <f>IF(C4="OK","PASS","FAIL")</f>
        <v/>
      </c>
    </row>
    <row r="5">
      <c r="A5" s="26" t="inlineStr">
        <is>
          <t>Spot present</t>
        </is>
      </c>
      <c r="B5" s="27" t="inlineStr">
        <is>
          <t>CONTROL!B4&lt;&gt;""</t>
        </is>
      </c>
      <c r="C5" s="27">
        <f>IF(CONTROL!B4&lt;&gt;"","OK","MISSING")</f>
        <v/>
      </c>
      <c r="D5" s="27">
        <f>IF(C5="OK","PASS","FAIL")</f>
        <v/>
      </c>
    </row>
    <row r="6">
      <c r="A6" s="26" t="inlineStr">
        <is>
          <t>Lot size present</t>
        </is>
      </c>
      <c r="B6" s="27" t="inlineStr">
        <is>
          <t>CONTROL!B5&lt;&gt;""</t>
        </is>
      </c>
      <c r="C6" s="27">
        <f>IF(CONTROL!B5&lt;&gt;"","OK","MISSING")</f>
        <v/>
      </c>
      <c r="D6" s="27">
        <f>IF(C6="OK","PASS","FAIL")</f>
        <v/>
      </c>
    </row>
    <row r="7">
      <c r="A7" s="26" t="inlineStr">
        <is>
          <t>Expiry present</t>
        </is>
      </c>
      <c r="B7" s="27" t="inlineStr">
        <is>
          <t>CONTROL!B7&lt;&gt;""</t>
        </is>
      </c>
      <c r="C7" s="27">
        <f>IF(CONTROL!B7&lt;&gt;"","OK","MISSING")</f>
        <v/>
      </c>
      <c r="D7" s="27">
        <f>IF(C7="OK","PASS","FAIL")</f>
        <v/>
      </c>
    </row>
    <row r="8">
      <c r="A8" s="26" t="inlineStr">
        <is>
          <t>Capital present</t>
        </is>
      </c>
      <c r="B8" s="27" t="inlineStr">
        <is>
          <t>CONTROL!B11&lt;&gt;""</t>
        </is>
      </c>
      <c r="C8" s="27">
        <f>IF(CONTROL!B11&lt;&gt;"","OK","MISSING")</f>
        <v/>
      </c>
      <c r="D8" s="27">
        <f>IF(C8="OK","PASS","FAIL")</f>
        <v/>
      </c>
    </row>
    <row r="9">
      <c r="A9" s="26" t="inlineStr">
        <is>
          <t>Chain rows present</t>
        </is>
      </c>
      <c r="B9" s="27" t="inlineStr">
        <is>
          <t>COUNTA(tblChainRaw[Identifier])&gt;0</t>
        </is>
      </c>
      <c r="C9" s="27">
        <f>IF(COUNTA(tblChainRaw[Identifier])&gt;0,"OK","NO DATA")</f>
        <v/>
      </c>
      <c r="D9" s="27">
        <f>IF(C9="OK","PASS","FAIL")</f>
        <v/>
      </c>
    </row>
    <row r="10">
      <c r="A10" s="26" t="inlineStr">
        <is>
          <t>Ask &gt;= Bid where present</t>
        </is>
      </c>
      <c r="B10" s="27" t="inlineStr">
        <is>
          <t>SUMPRODUCT(--(tblChainRaw[Ask Price]&lt;&gt;""),--(tblChainRaw[Bid Price]&lt;&gt;""),--(tblChainRaw[Ask Price]&lt;tblChainRaw[Bid Price]))=0</t>
        </is>
      </c>
      <c r="C10" s="27">
        <f>LET(v,SUMPRODUCT(--(tblChainRaw[Ask Price]&lt;&gt;""),--(tblChainRaw[Bid Price]&lt;&gt;""),--(tblChainRaw[Ask Price]&lt;tblChainRaw[Bid Price])),IF(v=0,"OK",v&amp;" violations"))</f>
        <v/>
      </c>
      <c r="D10" s="27">
        <f>IF(LEFT(C10,2)="OK","PASS","FAIL")</f>
        <v/>
      </c>
    </row>
    <row r="11">
      <c r="A11" s="26" t="inlineStr">
        <is>
          <t>IV decimal in [0,3]</t>
        </is>
      </c>
      <c r="B11" s="27" t="inlineStr">
        <is>
          <t>MAX(tblChainRaw[IV (decimal)])&lt;=3</t>
        </is>
      </c>
      <c r="C11" s="27">
        <f>IF(MAX(tblChainRaw[IV (decimal)])&lt;=3,"OK","IV TOO HIGH")</f>
        <v/>
      </c>
      <c r="D11" s="27">
        <f>IF(C11="OK","PASS","FAIL")</f>
        <v/>
      </c>
    </row>
    <row r="12">
      <c r="A12" s="26" t="inlineStr">
        <is>
          <t>IV non-negative</t>
        </is>
      </c>
      <c r="B12" s="27" t="inlineStr">
        <is>
          <t>MIN(tblChainRaw[IV (decimal)])&gt;=0</t>
        </is>
      </c>
      <c r="C12" s="27">
        <f>IF(MIN(tblChainRaw[IV (decimal)])&gt;=0,"OK","NEGATIVE IV")</f>
        <v/>
      </c>
      <c r="D12" s="27">
        <f>IF(C12="OK","PASS","FAIL")</f>
        <v/>
      </c>
    </row>
    <row r="13">
      <c r="A13" s="26" t="inlineStr">
        <is>
          <t>Greeks T positive (row4)</t>
        </is>
      </c>
      <c r="B13" s="27" t="inlineStr">
        <is>
          <t>GREEKS!G4&gt;0</t>
        </is>
      </c>
      <c r="C13" s="27">
        <f>IF(GREEKS!G4&gt;0,"OK","BAD T")</f>
        <v/>
      </c>
      <c r="D13" s="27">
        <f>IF(C13="OK","PASS","FAIL")</f>
        <v/>
      </c>
    </row>
    <row r="14">
      <c r="A14" s="26" t="inlineStr">
        <is>
          <t>Expected Move computed</t>
        </is>
      </c>
      <c r="B14" s="27" t="inlineStr">
        <is>
          <t>CHAIN_CALC!B22&gt;0</t>
        </is>
      </c>
      <c r="C14" s="27">
        <f>IF(CHAIN_CALC!B22&gt;0,"OK","BAD")</f>
        <v/>
      </c>
      <c r="D14" s="27">
        <f>IF(C14="OK","PASS","FAIL")</f>
        <v/>
      </c>
    </row>
    <row r="15">
      <c r="A15" s="26" t="inlineStr">
        <is>
          <t>Delta PCR computed</t>
        </is>
      </c>
      <c r="B15" s="27" t="inlineStr">
        <is>
          <t>DELTA_PCR!B10&lt;&gt;""</t>
        </is>
      </c>
      <c r="C15" s="27">
        <f>IF(DELTA_PCR!B10&lt;&gt;"","OK","MISSING")</f>
        <v/>
      </c>
      <c r="D15" s="27">
        <f>IF(C15="OK","PASS","FAIL")</f>
        <v/>
      </c>
    </row>
    <row r="16">
      <c r="A16" s="26" t="inlineStr">
        <is>
          <t>Strategy chosen</t>
        </is>
      </c>
      <c r="B16" s="27" t="inlineStr">
        <is>
          <t>STRATEGY_ENGINE!B10&lt;&gt;""</t>
        </is>
      </c>
      <c r="C16" s="27">
        <f>IF(STRATEGY_ENGINE!B10&lt;&gt;"","OK","MISSING")</f>
        <v/>
      </c>
      <c r="D16" s="27">
        <f>IF(C16="OK","PASS","FAIL")</f>
        <v/>
      </c>
    </row>
    <row r="17">
      <c r="A17" s="26" t="inlineStr">
        <is>
          <t>Not NO TRADE</t>
        </is>
      </c>
      <c r="B17" s="27" t="inlineStr">
        <is>
          <t>STRATEGY_ENGINE!B10&lt;&gt;"NO TRADE"</t>
        </is>
      </c>
      <c r="C17" s="27">
        <f>IF(STRATEGY_ENGINE!B10&lt;&gt;"NO TRADE","OK","NO TRADE")</f>
        <v/>
      </c>
      <c r="D17" s="27">
        <f>IF(C17="OK","PASS","FAIL")</f>
        <v/>
      </c>
    </row>
    <row r="18">
      <c r="A18" s="26" t="inlineStr">
        <is>
          <t>POP gate pass</t>
        </is>
      </c>
      <c r="B18" s="27" t="inlineStr">
        <is>
          <t>PROBABILITY_ENGINE!B12="PASS"</t>
        </is>
      </c>
      <c r="C18" s="27">
        <f>IF(PROBABILITY_ENGINE!B12="PASS","OK","FAIL")</f>
        <v/>
      </c>
      <c r="D18" s="27">
        <f>IF(C18="OK","PASS","FAIL")</f>
        <v/>
      </c>
    </row>
    <row r="21">
      <c r="A21" s="28" t="inlineStr">
        <is>
          <t>OVERALL GATE</t>
        </is>
      </c>
      <c r="B21" s="27" t="inlineStr">
        <is>
          <t>All checks must PASS</t>
        </is>
      </c>
      <c r="C21" s="29">
        <f>IF(COUNTIF(D4:D19,"FAIL")=0,"ALL PASS","FAILURES")</f>
        <v/>
      </c>
      <c r="D21" s="29">
        <f>IF(C21="ALL PASS","PASS","FAIL")</f>
        <v/>
      </c>
    </row>
  </sheetData>
  <conditionalFormatting sqref="D4:D21">
    <cfRule type="cellIs" priority="1" operator="equal" dxfId="2">
      <formula>"PASS"</formula>
    </cfRule>
    <cfRule type="cellIs" priority="2" operator="equal" dxfId="3">
      <formula>"FAIL"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>
      <c r="A1" s="1" t="inlineStr">
        <is>
          <t>How to use this workbook</t>
        </is>
      </c>
    </row>
    <row r="3">
      <c r="A3" s="2" t="inlineStr">
        <is>
          <t>Section</t>
        </is>
      </c>
      <c r="B3" s="2" t="inlineStr">
        <is>
          <t>Instruction</t>
        </is>
      </c>
    </row>
    <row r="4">
      <c r="A4" s="3" t="inlineStr">
        <is>
          <t>1) Set CONTROL inputs</t>
        </is>
      </c>
      <c r="B4" s="4" t="inlineStr">
        <is>
          <t>Fill blue cells in CONTROL (Instrument, Expiry, Spot, Strike Step, etc.).</t>
        </is>
      </c>
    </row>
    <row r="5">
      <c r="A5" s="3" t="inlineStr">
        <is>
          <t>2) Load live option chain</t>
        </is>
      </c>
      <c r="B5" s="4" t="inlineStr">
        <is>
          <t>Fill CHAIN_RAW rows (starting row 3) with one row per strike containing CE &amp; PE fields.</t>
        </is>
      </c>
    </row>
    <row r="6">
      <c r="A6" s="3" t="inlineStr">
        <is>
          <t>3) QC gate</t>
        </is>
      </c>
      <c r="B6" s="4" t="inlineStr">
        <is>
          <t>Go to QC_CHECK. QC_STATUS must be PASS. If FAIL, fix CHAIN_RAW.</t>
        </is>
      </c>
    </row>
    <row r="7">
      <c r="A7" s="3" t="inlineStr">
        <is>
          <t>4) View signals</t>
        </is>
      </c>
      <c r="B7" s="4" t="inlineStr">
        <is>
          <t>Open SUMMARY. If QC passes, the Bias/Confidence and trade idea updates automatically.</t>
        </is>
      </c>
    </row>
    <row r="8">
      <c r="A8" s="3" t="inlineStr">
        <is>
          <t>5) Log outcomes</t>
        </is>
      </c>
      <c r="B8" s="4" t="inlineStr">
        <is>
          <t>After trade, append one row in SIGNALS_LOG to track accuracy and refine rules.</t>
        </is>
      </c>
    </row>
    <row r="9">
      <c r="A9" s="3" t="inlineStr">
        <is>
          <t>Data format notes</t>
        </is>
      </c>
      <c r="B9" s="4" t="inlineStr">
        <is>
          <t>Timestamp must be Excel datetime. IV must be decimal (e.g., 0.15 = 15%). OI/Volume numeric.</t>
        </is>
      </c>
    </row>
    <row r="10">
      <c r="A10" s="3" t="inlineStr">
        <is>
          <t>No dynamic arrays</t>
        </is>
      </c>
      <c r="B10" s="4" t="inlineStr">
        <is>
          <t>Workbook avoids FILTER/XLOOKUP to stay compatible.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" customWidth="1" min="3" max="3"/>
    <col width="34" customWidth="1" min="4" max="4"/>
    <col width="28" customWidth="1" min="5" max="5"/>
    <col width="2" customWidth="1" min="6" max="6"/>
    <col width="2" customWidth="1" min="7" max="7"/>
    <col width="2" customWidth="1" min="8" max="8"/>
  </cols>
  <sheetData>
    <row r="1">
      <c r="A1" s="1" t="inlineStr">
        <is>
          <t>OPTION CHAIN MASTER (REBUILT) — CONTROL PANEL</t>
        </is>
      </c>
    </row>
    <row r="3">
      <c r="A3" s="5" t="inlineStr">
        <is>
          <t>Inputs (blue)</t>
        </is>
      </c>
    </row>
    <row r="4">
      <c r="A4" s="3" t="inlineStr">
        <is>
          <t>Market</t>
        </is>
      </c>
      <c r="B4" s="6" t="inlineStr">
        <is>
          <t>INDIA</t>
        </is>
      </c>
      <c r="D4" s="5" t="inlineStr">
        <is>
          <t>Derived (black/green)</t>
        </is>
      </c>
    </row>
    <row r="5">
      <c r="A5" s="3" t="inlineStr">
        <is>
          <t>Instrument</t>
        </is>
      </c>
      <c r="B5" s="6" t="inlineStr">
        <is>
          <t>NIFTY</t>
        </is>
      </c>
      <c r="D5" s="3" t="inlineStr">
        <is>
          <t>ATM Strike</t>
        </is>
      </c>
      <c r="E5" s="7">
        <f>IFERROR(ROUND($B$7/$B$8,0)*$B$8,"")</f>
        <v/>
      </c>
    </row>
    <row r="6">
      <c r="A6" s="3" t="inlineStr">
        <is>
          <t>Expiry (YYYY-MM-DD)</t>
        </is>
      </c>
      <c r="B6" s="6" t="inlineStr"/>
      <c r="D6" s="3" t="inlineStr">
        <is>
          <t>Spot (fallback from CHAIN_RAW if blank)</t>
        </is>
      </c>
      <c r="E6" s="8">
        <f>IF($B$7&lt;&gt;"",$B$7,IFERROR(AVERAGE(CHAIN_RAW!$D$2:$D$2001),""))</f>
        <v/>
      </c>
    </row>
    <row r="7">
      <c r="A7" s="3" t="inlineStr">
        <is>
          <t>Spot / Underlying Price</t>
        </is>
      </c>
      <c r="B7" s="6" t="inlineStr"/>
      <c r="D7" s="3" t="inlineStr">
        <is>
          <t>Expiry (fallback from CHAIN_RAW if blank)</t>
        </is>
      </c>
      <c r="E7" s="8">
        <f>IF($B$6&lt;&gt;"",$B$6,IFERROR(INDEX(CHAIN_RAW!$C$2:$C$2001,1),""))</f>
        <v/>
      </c>
    </row>
    <row r="8">
      <c r="A8" s="3" t="inlineStr">
        <is>
          <t>Strike Step</t>
        </is>
      </c>
      <c r="B8" s="6" t="inlineStr">
        <is>
          <t>50</t>
        </is>
      </c>
    </row>
    <row r="9">
      <c r="A9" s="3" t="inlineStr">
        <is>
          <t>Timezone</t>
        </is>
      </c>
      <c r="B9" s="6" t="inlineStr">
        <is>
          <t>Asia/Kolkata</t>
        </is>
      </c>
    </row>
    <row r="10">
      <c r="A10" s="3" t="inlineStr">
        <is>
          <t>Data Timestamp (from CHAIN_RAW)</t>
        </is>
      </c>
      <c r="B10" s="9">
        <f>IFERROR(MAX(CHAIN_RAW!$A$2:$A$2001),"")</f>
        <v/>
      </c>
    </row>
    <row r="11">
      <c r="A11" s="3" t="inlineStr">
        <is>
          <t>Min rows required</t>
        </is>
      </c>
      <c r="B11" s="6" t="inlineStr">
        <is>
          <t>200</t>
        </is>
      </c>
    </row>
    <row r="12">
      <c r="A12" s="3" t="inlineStr">
        <is>
          <t>Max allowed staleness (seconds)</t>
        </is>
      </c>
      <c r="B12" s="6" t="inlineStr">
        <is>
          <t>30</t>
        </is>
      </c>
    </row>
    <row r="13">
      <c r="A13" s="3" t="inlineStr">
        <is>
          <t>Risk per trade (%)</t>
        </is>
      </c>
      <c r="B13" s="6" t="inlineStr">
        <is>
          <t>1.0</t>
        </is>
      </c>
    </row>
    <row r="14">
      <c r="A14" s="3" t="inlineStr">
        <is>
          <t>Max loss per day (%)</t>
        </is>
      </c>
      <c r="B14" s="6" t="inlineStr">
        <is>
          <t>2.0</t>
        </is>
      </c>
    </row>
    <row r="15">
      <c r="A15" s="3" t="inlineStr">
        <is>
          <t>Mode</t>
        </is>
      </c>
      <c r="B15" s="6" t="inlineStr">
        <is>
          <t>INTRADAY</t>
        </is>
      </c>
    </row>
    <row r="16">
      <c r="A16" s="3" t="inlineStr">
        <is>
          <t>Signal engine</t>
        </is>
      </c>
      <c r="B16" s="6" t="inlineStr">
        <is>
          <t>V3_RULES</t>
        </is>
      </c>
    </row>
  </sheetData>
  <mergeCells count="3">
    <mergeCell ref="D4:H4"/>
    <mergeCell ref="A3:H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0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4" customWidth="1" min="20" max="20"/>
  </cols>
  <sheetData>
    <row r="1">
      <c r="A1" s="10" t="inlineStr">
        <is>
          <t>LIVE OPTION CHAIN (RAW) — Paste/Import rows here (no formulas)</t>
        </is>
      </c>
    </row>
    <row r="2">
      <c r="A2" s="2" t="inlineStr">
        <is>
          <t>Timestamp (Excel datetime)</t>
        </is>
      </c>
      <c r="B2" s="2" t="inlineStr">
        <is>
          <t>Symbol</t>
        </is>
      </c>
      <c r="C2" s="2" t="inlineStr">
        <is>
          <t>Expiry</t>
        </is>
      </c>
      <c r="D2" s="2" t="inlineStr">
        <is>
          <t>Spot</t>
        </is>
      </c>
      <c r="E2" s="2" t="inlineStr">
        <is>
          <t>Strike</t>
        </is>
      </c>
      <c r="F2" s="2" t="inlineStr">
        <is>
          <t>CE_LTP</t>
        </is>
      </c>
      <c r="G2" s="2" t="inlineStr">
        <is>
          <t>CE_IV</t>
        </is>
      </c>
      <c r="H2" s="2" t="inlineStr">
        <is>
          <t>CE_OI</t>
        </is>
      </c>
      <c r="I2" s="2" t="inlineStr">
        <is>
          <t>CE_ChgOI</t>
        </is>
      </c>
      <c r="J2" s="2" t="inlineStr">
        <is>
          <t>CE_Vol</t>
        </is>
      </c>
      <c r="K2" s="2" t="inlineStr">
        <is>
          <t>CE_Bid</t>
        </is>
      </c>
      <c r="L2" s="2" t="inlineStr">
        <is>
          <t>CE_Ask</t>
        </is>
      </c>
      <c r="M2" s="2" t="inlineStr">
        <is>
          <t>PE_LTP</t>
        </is>
      </c>
      <c r="N2" s="2" t="inlineStr">
        <is>
          <t>PE_IV</t>
        </is>
      </c>
      <c r="O2" s="2" t="inlineStr">
        <is>
          <t>PE_OI</t>
        </is>
      </c>
      <c r="P2" s="2" t="inlineStr">
        <is>
          <t>PE_ChgOI</t>
        </is>
      </c>
      <c r="Q2" s="2" t="inlineStr">
        <is>
          <t>PE_Vol</t>
        </is>
      </c>
      <c r="R2" s="2" t="inlineStr">
        <is>
          <t>PE_Bid</t>
        </is>
      </c>
      <c r="S2" s="2" t="inlineStr">
        <is>
          <t>PE_Ask</t>
        </is>
      </c>
      <c r="T2" s="2" t="inlineStr">
        <is>
          <t>Source</t>
        </is>
      </c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2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2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2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2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2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2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2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2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2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2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2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2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2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2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2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2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2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2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2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2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2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2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2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2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2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2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2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2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2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2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2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2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2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2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2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2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2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2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2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2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2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2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2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2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2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2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2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2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2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2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2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2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2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2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2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2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2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2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2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2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2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2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2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2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2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2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2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2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2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2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2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2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2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2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2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2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2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2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2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2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2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2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2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2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2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2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2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2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2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2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2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2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2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2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2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2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2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2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2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2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2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2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2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2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2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2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2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2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2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2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2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2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2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2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2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2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2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2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2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2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2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2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2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2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2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2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2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2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2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2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2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2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2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2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2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2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2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2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2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2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2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2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2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2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2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2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2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2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2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2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2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2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2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2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2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2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2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2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2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2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2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2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2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2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2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2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2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2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2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2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2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2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2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2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2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2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2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2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2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2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2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2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2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2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2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2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2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2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2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2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2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2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2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2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2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2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2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2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2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2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2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2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2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2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2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2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2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2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2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2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2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2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2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2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2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2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2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2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2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2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2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2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2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2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2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2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2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2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2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2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2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2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2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2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2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2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2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2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2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2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2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2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2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2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2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2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2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2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2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2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2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2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2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2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2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2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2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2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2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2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2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2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2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2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2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2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2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2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2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2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2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2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2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2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2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2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2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2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2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2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2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2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2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2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2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2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2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2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2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2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2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2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2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2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2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2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2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2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2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2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2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2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2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2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2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2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2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2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2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2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2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2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2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2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2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2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2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2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2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2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2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2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2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2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2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2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2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2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2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2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2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2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2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2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2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2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2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2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2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2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2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2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2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2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2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2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2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2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2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2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2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2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2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2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2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2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2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2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2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2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2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2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2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2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2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2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2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2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2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2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2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2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2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2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2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2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2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2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2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2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2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2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2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2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2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2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2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2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2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2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2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2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2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2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2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2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2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2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2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2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2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2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2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2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2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2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2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2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2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2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2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2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2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2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2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2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2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2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2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2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2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2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2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2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2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2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2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2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2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2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2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2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2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2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2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2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2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2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2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2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2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2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2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2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2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2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2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2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2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2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2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2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2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2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2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2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2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2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2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2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2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2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2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2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2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2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2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2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2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2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2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2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2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2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2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2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2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2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2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2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2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2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2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2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2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2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2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2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2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2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2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2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2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2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2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2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2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2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2" t="n"/>
    </row>
    <row r="502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2" t="n"/>
    </row>
    <row r="503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2" t="n"/>
    </row>
    <row r="504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2" t="n"/>
    </row>
    <row r="50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2" t="n"/>
    </row>
    <row r="506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2" t="n"/>
    </row>
    <row r="507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2" t="n"/>
    </row>
    <row r="508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2" t="n"/>
    </row>
    <row r="509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2" t="n"/>
    </row>
    <row r="510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2" t="n"/>
    </row>
    <row r="51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2" t="n"/>
    </row>
    <row r="512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2" t="n"/>
    </row>
    <row r="513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2" t="n"/>
    </row>
    <row r="514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2" t="n"/>
    </row>
    <row r="51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2" t="n"/>
    </row>
    <row r="516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2" t="n"/>
    </row>
    <row r="517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2" t="n"/>
    </row>
    <row r="518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2" t="n"/>
    </row>
    <row r="519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2" t="n"/>
    </row>
    <row r="520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2" t="n"/>
    </row>
    <row r="52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2" t="n"/>
    </row>
    <row r="522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2" t="n"/>
    </row>
    <row r="523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2" t="n"/>
    </row>
    <row r="524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2" t="n"/>
    </row>
    <row r="52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2" t="n"/>
    </row>
    <row r="526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2" t="n"/>
    </row>
    <row r="527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2" t="n"/>
    </row>
    <row r="528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2" t="n"/>
    </row>
    <row r="529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2" t="n"/>
    </row>
    <row r="530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2" t="n"/>
    </row>
    <row r="53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2" t="n"/>
    </row>
    <row r="532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2" t="n"/>
    </row>
    <row r="533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2" t="n"/>
    </row>
    <row r="534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2" t="n"/>
    </row>
    <row r="53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2" t="n"/>
    </row>
    <row r="536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2" t="n"/>
    </row>
    <row r="537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2" t="n"/>
    </row>
    <row r="538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2" t="n"/>
    </row>
    <row r="539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2" t="n"/>
    </row>
    <row r="540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2" t="n"/>
    </row>
    <row r="54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2" t="n"/>
    </row>
    <row r="542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2" t="n"/>
    </row>
    <row r="543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2" t="n"/>
    </row>
    <row r="544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2" t="n"/>
    </row>
    <row r="5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2" t="n"/>
    </row>
    <row r="546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2" t="n"/>
    </row>
    <row r="547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2" t="n"/>
    </row>
    <row r="548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2" t="n"/>
    </row>
    <row r="549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2" t="n"/>
    </row>
    <row r="550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2" t="n"/>
    </row>
    <row r="55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2" t="n"/>
    </row>
    <row r="552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2" t="n"/>
    </row>
    <row r="553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2" t="n"/>
    </row>
    <row r="554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2" t="n"/>
    </row>
    <row r="55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2" t="n"/>
    </row>
    <row r="556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2" t="n"/>
    </row>
    <row r="557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2" t="n"/>
    </row>
    <row r="558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2" t="n"/>
    </row>
    <row r="559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2" t="n"/>
    </row>
    <row r="560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2" t="n"/>
    </row>
    <row r="56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2" t="n"/>
    </row>
    <row r="562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2" t="n"/>
    </row>
    <row r="563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2" t="n"/>
    </row>
    <row r="564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2" t="n"/>
    </row>
    <row r="56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2" t="n"/>
    </row>
    <row r="566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2" t="n"/>
    </row>
    <row r="567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2" t="n"/>
    </row>
    <row r="568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2" t="n"/>
    </row>
    <row r="569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2" t="n"/>
    </row>
    <row r="570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2" t="n"/>
    </row>
    <row r="57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2" t="n"/>
    </row>
    <row r="572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2" t="n"/>
    </row>
    <row r="573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2" t="n"/>
    </row>
    <row r="574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2" t="n"/>
    </row>
    <row r="57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2" t="n"/>
    </row>
    <row r="576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2" t="n"/>
    </row>
    <row r="577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2" t="n"/>
    </row>
    <row r="578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2" t="n"/>
    </row>
    <row r="579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2" t="n"/>
    </row>
    <row r="580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2" t="n"/>
    </row>
    <row r="58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2" t="n"/>
    </row>
    <row r="582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2" t="n"/>
    </row>
    <row r="583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2" t="n"/>
    </row>
    <row r="584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2" t="n"/>
    </row>
    <row r="58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2" t="n"/>
    </row>
    <row r="586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2" t="n"/>
    </row>
    <row r="587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2" t="n"/>
    </row>
    <row r="588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2" t="n"/>
    </row>
    <row r="589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2" t="n"/>
    </row>
    <row r="590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2" t="n"/>
    </row>
    <row r="59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2" t="n"/>
    </row>
    <row r="592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2" t="n"/>
    </row>
    <row r="593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2" t="n"/>
    </row>
    <row r="594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2" t="n"/>
    </row>
    <row r="59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2" t="n"/>
    </row>
    <row r="596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2" t="n"/>
    </row>
    <row r="597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2" t="n"/>
    </row>
    <row r="598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2" t="n"/>
    </row>
    <row r="599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2" t="n"/>
    </row>
    <row r="600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2" t="n"/>
    </row>
    <row r="60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2" t="n"/>
    </row>
    <row r="602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2" t="n"/>
    </row>
    <row r="603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2" t="n"/>
    </row>
    <row r="604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2" t="n"/>
    </row>
    <row r="60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2" t="n"/>
    </row>
    <row r="606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2" t="n"/>
    </row>
    <row r="607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2" t="n"/>
    </row>
    <row r="608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2" t="n"/>
    </row>
    <row r="609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2" t="n"/>
    </row>
    <row r="610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2" t="n"/>
    </row>
    <row r="61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2" t="n"/>
    </row>
    <row r="612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2" t="n"/>
    </row>
    <row r="613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2" t="n"/>
    </row>
    <row r="614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2" t="n"/>
    </row>
    <row r="61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2" t="n"/>
    </row>
    <row r="616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2" t="n"/>
    </row>
    <row r="617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2" t="n"/>
    </row>
    <row r="618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2" t="n"/>
    </row>
    <row r="619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2" t="n"/>
    </row>
    <row r="620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2" t="n"/>
    </row>
    <row r="62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2" t="n"/>
    </row>
    <row r="622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2" t="n"/>
    </row>
    <row r="623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2" t="n"/>
    </row>
    <row r="624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2" t="n"/>
    </row>
    <row r="62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2" t="n"/>
    </row>
    <row r="626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2" t="n"/>
    </row>
    <row r="627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2" t="n"/>
    </row>
    <row r="628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2" t="n"/>
    </row>
    <row r="629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2" t="n"/>
    </row>
    <row r="630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2" t="n"/>
    </row>
    <row r="63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2" t="n"/>
    </row>
    <row r="632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2" t="n"/>
    </row>
    <row r="633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2" t="n"/>
    </row>
    <row r="634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2" t="n"/>
    </row>
    <row r="63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2" t="n"/>
    </row>
    <row r="636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2" t="n"/>
    </row>
    <row r="637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2" t="n"/>
    </row>
    <row r="638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2" t="n"/>
    </row>
    <row r="639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2" t="n"/>
    </row>
    <row r="640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2" t="n"/>
    </row>
    <row r="64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2" t="n"/>
    </row>
    <row r="642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2" t="n"/>
    </row>
    <row r="643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2" t="n"/>
    </row>
    <row r="644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2" t="n"/>
    </row>
    <row r="6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2" t="n"/>
    </row>
    <row r="646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2" t="n"/>
    </row>
    <row r="647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2" t="n"/>
    </row>
    <row r="648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2" t="n"/>
    </row>
    <row r="649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2" t="n"/>
    </row>
    <row r="650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2" t="n"/>
    </row>
    <row r="65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2" t="n"/>
    </row>
    <row r="652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2" t="n"/>
    </row>
    <row r="653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2" t="n"/>
    </row>
    <row r="654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2" t="n"/>
    </row>
    <row r="65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2" t="n"/>
    </row>
    <row r="656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2" t="n"/>
    </row>
    <row r="657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2" t="n"/>
    </row>
    <row r="658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2" t="n"/>
    </row>
    <row r="659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2" t="n"/>
    </row>
    <row r="660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2" t="n"/>
    </row>
    <row r="66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2" t="n"/>
    </row>
    <row r="662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2" t="n"/>
    </row>
    <row r="663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2" t="n"/>
    </row>
    <row r="664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2" t="n"/>
    </row>
    <row r="66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2" t="n"/>
    </row>
    <row r="666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2" t="n"/>
    </row>
    <row r="667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2" t="n"/>
    </row>
    <row r="668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2" t="n"/>
    </row>
    <row r="669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2" t="n"/>
    </row>
    <row r="670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2" t="n"/>
    </row>
    <row r="67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2" t="n"/>
    </row>
    <row r="672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2" t="n"/>
    </row>
    <row r="673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2" t="n"/>
    </row>
    <row r="674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2" t="n"/>
    </row>
    <row r="67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2" t="n"/>
    </row>
    <row r="676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2" t="n"/>
    </row>
    <row r="677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2" t="n"/>
    </row>
    <row r="678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2" t="n"/>
    </row>
    <row r="679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2" t="n"/>
    </row>
    <row r="680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2" t="n"/>
    </row>
    <row r="68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2" t="n"/>
    </row>
    <row r="682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2" t="n"/>
    </row>
    <row r="683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2" t="n"/>
    </row>
    <row r="684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2" t="n"/>
    </row>
    <row r="68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2" t="n"/>
    </row>
    <row r="686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2" t="n"/>
    </row>
    <row r="687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2" t="n"/>
    </row>
    <row r="688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2" t="n"/>
    </row>
    <row r="689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2" t="n"/>
    </row>
    <row r="690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2" t="n"/>
    </row>
    <row r="69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2" t="n"/>
    </row>
    <row r="692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2" t="n"/>
    </row>
    <row r="693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2" t="n"/>
    </row>
    <row r="694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2" t="n"/>
    </row>
    <row r="69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2" t="n"/>
    </row>
    <row r="696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2" t="n"/>
    </row>
    <row r="697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2" t="n"/>
    </row>
    <row r="698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2" t="n"/>
    </row>
    <row r="699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2" t="n"/>
    </row>
    <row r="700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2" t="n"/>
    </row>
    <row r="70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2" t="n"/>
    </row>
    <row r="702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2" t="n"/>
    </row>
    <row r="703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2" t="n"/>
    </row>
    <row r="704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2" t="n"/>
    </row>
    <row r="70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2" t="n"/>
    </row>
    <row r="706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2" t="n"/>
    </row>
    <row r="707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2" t="n"/>
    </row>
    <row r="708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2" t="n"/>
    </row>
    <row r="709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2" t="n"/>
    </row>
    <row r="710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2" t="n"/>
    </row>
    <row r="71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2" t="n"/>
    </row>
    <row r="712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2" t="n"/>
    </row>
    <row r="713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2" t="n"/>
    </row>
    <row r="714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2" t="n"/>
    </row>
    <row r="71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2" t="n"/>
    </row>
    <row r="716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2" t="n"/>
    </row>
    <row r="717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2" t="n"/>
    </row>
    <row r="718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2" t="n"/>
    </row>
    <row r="719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2" t="n"/>
    </row>
    <row r="720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2" t="n"/>
    </row>
    <row r="72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2" t="n"/>
    </row>
    <row r="722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2" t="n"/>
    </row>
    <row r="723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2" t="n"/>
    </row>
    <row r="724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2" t="n"/>
    </row>
    <row r="72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2" t="n"/>
    </row>
    <row r="726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2" t="n"/>
    </row>
    <row r="727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2" t="n"/>
    </row>
    <row r="728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2" t="n"/>
    </row>
    <row r="729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2" t="n"/>
    </row>
    <row r="730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2" t="n"/>
    </row>
    <row r="73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2" t="n"/>
    </row>
    <row r="732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2" t="n"/>
    </row>
    <row r="733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2" t="n"/>
    </row>
    <row r="734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2" t="n"/>
    </row>
    <row r="73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2" t="n"/>
    </row>
    <row r="736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2" t="n"/>
    </row>
    <row r="737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2" t="n"/>
    </row>
    <row r="738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2" t="n"/>
    </row>
    <row r="739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2" t="n"/>
    </row>
    <row r="740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2" t="n"/>
    </row>
    <row r="74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2" t="n"/>
    </row>
    <row r="742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2" t="n"/>
    </row>
    <row r="743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2" t="n"/>
    </row>
    <row r="744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2" t="n"/>
    </row>
    <row r="7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2" t="n"/>
    </row>
    <row r="746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2" t="n"/>
    </row>
    <row r="747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2" t="n"/>
    </row>
    <row r="748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2" t="n"/>
    </row>
    <row r="749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2" t="n"/>
    </row>
    <row r="750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2" t="n"/>
    </row>
    <row r="75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2" t="n"/>
    </row>
    <row r="752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2" t="n"/>
    </row>
    <row r="753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2" t="n"/>
    </row>
    <row r="754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2" t="n"/>
    </row>
    <row r="75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2" t="n"/>
    </row>
    <row r="756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2" t="n"/>
    </row>
    <row r="757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2" t="n"/>
    </row>
    <row r="758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2" t="n"/>
    </row>
    <row r="759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2" t="n"/>
    </row>
    <row r="760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2" t="n"/>
    </row>
    <row r="76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2" t="n"/>
    </row>
    <row r="762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2" t="n"/>
    </row>
    <row r="763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2" t="n"/>
    </row>
    <row r="764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2" t="n"/>
    </row>
    <row r="76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2" t="n"/>
    </row>
    <row r="766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2" t="n"/>
    </row>
    <row r="767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2" t="n"/>
    </row>
    <row r="768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2" t="n"/>
    </row>
    <row r="769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2" t="n"/>
    </row>
    <row r="770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2" t="n"/>
    </row>
    <row r="77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2" t="n"/>
    </row>
    <row r="772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2" t="n"/>
    </row>
    <row r="773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2" t="n"/>
    </row>
    <row r="774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2" t="n"/>
    </row>
    <row r="77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2" t="n"/>
    </row>
    <row r="776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2" t="n"/>
    </row>
    <row r="777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2" t="n"/>
    </row>
    <row r="778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2" t="n"/>
    </row>
    <row r="779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2" t="n"/>
    </row>
    <row r="780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2" t="n"/>
    </row>
    <row r="78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2" t="n"/>
    </row>
    <row r="782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2" t="n"/>
    </row>
    <row r="783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2" t="n"/>
    </row>
    <row r="784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2" t="n"/>
    </row>
    <row r="78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2" t="n"/>
    </row>
    <row r="786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2" t="n"/>
    </row>
    <row r="787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2" t="n"/>
    </row>
    <row r="788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2" t="n"/>
    </row>
    <row r="789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2" t="n"/>
    </row>
    <row r="790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2" t="n"/>
    </row>
    <row r="79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2" t="n"/>
    </row>
    <row r="792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2" t="n"/>
    </row>
    <row r="793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2" t="n"/>
    </row>
    <row r="794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2" t="n"/>
    </row>
    <row r="79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2" t="n"/>
    </row>
    <row r="796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2" t="n"/>
    </row>
    <row r="797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2" t="n"/>
    </row>
    <row r="798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2" t="n"/>
    </row>
    <row r="799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2" t="n"/>
    </row>
    <row r="800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2" t="n"/>
    </row>
    <row r="80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2" t="n"/>
    </row>
    <row r="802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2" t="n"/>
    </row>
    <row r="803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2" t="n"/>
    </row>
    <row r="804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2" t="n"/>
    </row>
    <row r="80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2" t="n"/>
    </row>
    <row r="806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2" t="n"/>
    </row>
    <row r="807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2" t="n"/>
    </row>
    <row r="808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2" t="n"/>
    </row>
    <row r="809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2" t="n"/>
    </row>
    <row r="810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2" t="n"/>
    </row>
    <row r="81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2" t="n"/>
    </row>
    <row r="812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2" t="n"/>
    </row>
    <row r="813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2" t="n"/>
    </row>
    <row r="814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2" t="n"/>
    </row>
    <row r="81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2" t="n"/>
    </row>
    <row r="816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2" t="n"/>
    </row>
    <row r="817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2" t="n"/>
    </row>
    <row r="818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2" t="n"/>
    </row>
    <row r="819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2" t="n"/>
    </row>
    <row r="820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2" t="n"/>
    </row>
    <row r="82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2" t="n"/>
    </row>
    <row r="822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2" t="n"/>
    </row>
    <row r="823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2" t="n"/>
    </row>
    <row r="824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2" t="n"/>
    </row>
    <row r="82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2" t="n"/>
    </row>
    <row r="826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2" t="n"/>
    </row>
    <row r="827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2" t="n"/>
    </row>
    <row r="828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2" t="n"/>
    </row>
    <row r="829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2" t="n"/>
    </row>
    <row r="830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2" t="n"/>
    </row>
    <row r="83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2" t="n"/>
    </row>
    <row r="832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2" t="n"/>
    </row>
    <row r="833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2" t="n"/>
    </row>
    <row r="834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2" t="n"/>
    </row>
    <row r="83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2" t="n"/>
    </row>
    <row r="836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2" t="n"/>
    </row>
    <row r="837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2" t="n"/>
    </row>
    <row r="838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2" t="n"/>
    </row>
    <row r="839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2" t="n"/>
    </row>
    <row r="840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2" t="n"/>
    </row>
    <row r="84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2" t="n"/>
    </row>
    <row r="842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2" t="n"/>
    </row>
    <row r="843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2" t="n"/>
    </row>
    <row r="844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2" t="n"/>
    </row>
    <row r="8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2" t="n"/>
    </row>
    <row r="846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2" t="n"/>
    </row>
    <row r="847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2" t="n"/>
    </row>
    <row r="848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2" t="n"/>
    </row>
    <row r="849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2" t="n"/>
    </row>
    <row r="850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2" t="n"/>
    </row>
    <row r="85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2" t="n"/>
    </row>
    <row r="852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2" t="n"/>
    </row>
    <row r="853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2" t="n"/>
    </row>
    <row r="854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2" t="n"/>
    </row>
    <row r="85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2" t="n"/>
    </row>
    <row r="856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2" t="n"/>
    </row>
    <row r="857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2" t="n"/>
    </row>
    <row r="858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2" t="n"/>
    </row>
    <row r="859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2" t="n"/>
    </row>
    <row r="860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2" t="n"/>
    </row>
    <row r="86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2" t="n"/>
    </row>
    <row r="862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2" t="n"/>
    </row>
    <row r="863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2" t="n"/>
    </row>
    <row r="864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2" t="n"/>
    </row>
    <row r="86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2" t="n"/>
    </row>
    <row r="866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2" t="n"/>
    </row>
    <row r="867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2" t="n"/>
    </row>
    <row r="868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2" t="n"/>
    </row>
    <row r="869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2" t="n"/>
    </row>
    <row r="870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2" t="n"/>
    </row>
    <row r="87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2" t="n"/>
    </row>
    <row r="872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2" t="n"/>
    </row>
    <row r="873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2" t="n"/>
    </row>
    <row r="874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2" t="n"/>
    </row>
    <row r="87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2" t="n"/>
    </row>
    <row r="876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2" t="n"/>
    </row>
    <row r="877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2" t="n"/>
    </row>
    <row r="878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2" t="n"/>
    </row>
    <row r="879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2" t="n"/>
    </row>
    <row r="880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2" t="n"/>
    </row>
    <row r="88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2" t="n"/>
    </row>
    <row r="882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2" t="n"/>
    </row>
    <row r="883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2" t="n"/>
    </row>
    <row r="884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2" t="n"/>
    </row>
    <row r="88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2" t="n"/>
    </row>
    <row r="886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2" t="n"/>
    </row>
    <row r="887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2" t="n"/>
    </row>
    <row r="888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2" t="n"/>
    </row>
    <row r="889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2" t="n"/>
    </row>
    <row r="890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2" t="n"/>
    </row>
    <row r="89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2" t="n"/>
    </row>
    <row r="892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2" t="n"/>
    </row>
    <row r="893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2" t="n"/>
    </row>
    <row r="894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2" t="n"/>
    </row>
    <row r="89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2" t="n"/>
    </row>
    <row r="896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2" t="n"/>
    </row>
    <row r="897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2" t="n"/>
    </row>
    <row r="898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2" t="n"/>
    </row>
    <row r="899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2" t="n"/>
    </row>
    <row r="900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2" t="n"/>
    </row>
    <row r="90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2" t="n"/>
    </row>
    <row r="902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2" t="n"/>
    </row>
    <row r="903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2" t="n"/>
    </row>
    <row r="904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2" t="n"/>
    </row>
    <row r="90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2" t="n"/>
    </row>
    <row r="906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2" t="n"/>
    </row>
    <row r="907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2" t="n"/>
    </row>
    <row r="908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2" t="n"/>
    </row>
    <row r="909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2" t="n"/>
    </row>
    <row r="910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2" t="n"/>
    </row>
    <row r="91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2" t="n"/>
    </row>
    <row r="912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2" t="n"/>
    </row>
    <row r="913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2" t="n"/>
    </row>
    <row r="914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2" t="n"/>
    </row>
    <row r="91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2" t="n"/>
    </row>
    <row r="916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2" t="n"/>
    </row>
    <row r="917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2" t="n"/>
    </row>
    <row r="918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2" t="n"/>
    </row>
    <row r="919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2" t="n"/>
    </row>
    <row r="920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2" t="n"/>
    </row>
    <row r="92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2" t="n"/>
    </row>
    <row r="922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2" t="n"/>
    </row>
    <row r="923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2" t="n"/>
    </row>
    <row r="924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2" t="n"/>
    </row>
    <row r="92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2" t="n"/>
    </row>
    <row r="926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2" t="n"/>
    </row>
    <row r="927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2" t="n"/>
    </row>
    <row r="928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2" t="n"/>
    </row>
    <row r="929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2" t="n"/>
    </row>
    <row r="930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2" t="n"/>
    </row>
    <row r="93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2" t="n"/>
    </row>
    <row r="932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2" t="n"/>
    </row>
    <row r="933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2" t="n"/>
    </row>
    <row r="934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2" t="n"/>
    </row>
    <row r="93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2" t="n"/>
    </row>
    <row r="936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2" t="n"/>
    </row>
    <row r="937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2" t="n"/>
    </row>
    <row r="938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2" t="n"/>
    </row>
    <row r="939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2" t="n"/>
    </row>
    <row r="940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2" t="n"/>
    </row>
    <row r="94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2" t="n"/>
    </row>
    <row r="942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2" t="n"/>
    </row>
    <row r="943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2" t="n"/>
    </row>
    <row r="944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2" t="n"/>
    </row>
    <row r="9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2" t="n"/>
    </row>
    <row r="946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2" t="n"/>
    </row>
    <row r="947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2" t="n"/>
    </row>
    <row r="948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2" t="n"/>
    </row>
    <row r="949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2" t="n"/>
    </row>
    <row r="950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2" t="n"/>
    </row>
    <row r="95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2" t="n"/>
    </row>
    <row r="952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2" t="n"/>
    </row>
    <row r="953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2" t="n"/>
    </row>
    <row r="954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2" t="n"/>
    </row>
    <row r="95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2" t="n"/>
    </row>
    <row r="956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2" t="n"/>
    </row>
    <row r="957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2" t="n"/>
    </row>
    <row r="958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2" t="n"/>
    </row>
    <row r="959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2" t="n"/>
    </row>
    <row r="960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2" t="n"/>
    </row>
    <row r="96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2" t="n"/>
    </row>
    <row r="962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2" t="n"/>
    </row>
    <row r="963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2" t="n"/>
    </row>
    <row r="964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2" t="n"/>
    </row>
    <row r="96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2" t="n"/>
    </row>
    <row r="966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2" t="n"/>
    </row>
    <row r="967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2" t="n"/>
    </row>
    <row r="968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2" t="n"/>
    </row>
    <row r="969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2" t="n"/>
    </row>
    <row r="970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2" t="n"/>
    </row>
    <row r="97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2" t="n"/>
    </row>
    <row r="972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2" t="n"/>
    </row>
    <row r="973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2" t="n"/>
    </row>
    <row r="974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2" t="n"/>
    </row>
    <row r="97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2" t="n"/>
    </row>
    <row r="976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2" t="n"/>
    </row>
    <row r="977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2" t="n"/>
    </row>
    <row r="978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2" t="n"/>
    </row>
    <row r="979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2" t="n"/>
    </row>
    <row r="980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2" t="n"/>
    </row>
    <row r="98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2" t="n"/>
    </row>
    <row r="982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2" t="n"/>
    </row>
    <row r="983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2" t="n"/>
    </row>
    <row r="984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2" t="n"/>
    </row>
    <row r="98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2" t="n"/>
    </row>
    <row r="986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2" t="n"/>
    </row>
    <row r="987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2" t="n"/>
    </row>
    <row r="988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2" t="n"/>
    </row>
    <row r="989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2" t="n"/>
    </row>
    <row r="990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2" t="n"/>
    </row>
    <row r="99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2" t="n"/>
    </row>
    <row r="992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2" t="n"/>
    </row>
    <row r="993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2" t="n"/>
    </row>
    <row r="994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2" t="n"/>
    </row>
    <row r="99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2" t="n"/>
    </row>
    <row r="996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2" t="n"/>
    </row>
    <row r="997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2" t="n"/>
    </row>
    <row r="998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2" t="n"/>
    </row>
    <row r="999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2" t="n"/>
    </row>
    <row r="1000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2" t="n"/>
    </row>
    <row r="1001">
      <c r="A1001" s="11" t="n"/>
      <c r="B1001" s="11" t="n"/>
      <c r="C1001" s="11" t="n"/>
      <c r="D1001" s="11" t="n"/>
      <c r="E1001" s="11" t="n"/>
      <c r="F1001" s="11" t="n"/>
      <c r="G1001" s="11" t="n"/>
      <c r="H1001" s="11" t="n"/>
      <c r="I1001" s="11" t="n"/>
      <c r="J1001" s="11" t="n"/>
      <c r="K1001" s="11" t="n"/>
      <c r="L1001" s="11" t="n"/>
      <c r="M1001" s="11" t="n"/>
      <c r="N1001" s="11" t="n"/>
      <c r="O1001" s="11" t="n"/>
      <c r="P1001" s="11" t="n"/>
      <c r="Q1001" s="11" t="n"/>
      <c r="R1001" s="11" t="n"/>
      <c r="S1001" s="11" t="n"/>
      <c r="T1001" s="12" t="n"/>
    </row>
    <row r="1002">
      <c r="A1002" s="11" t="n"/>
      <c r="B1002" s="11" t="n"/>
      <c r="C1002" s="11" t="n"/>
      <c r="D1002" s="11" t="n"/>
      <c r="E1002" s="11" t="n"/>
      <c r="F1002" s="11" t="n"/>
      <c r="G1002" s="11" t="n"/>
      <c r="H1002" s="11" t="n"/>
      <c r="I1002" s="11" t="n"/>
      <c r="J1002" s="11" t="n"/>
      <c r="K1002" s="11" t="n"/>
      <c r="L1002" s="11" t="n"/>
      <c r="M1002" s="11" t="n"/>
      <c r="N1002" s="11" t="n"/>
      <c r="O1002" s="11" t="n"/>
      <c r="P1002" s="11" t="n"/>
      <c r="Q1002" s="11" t="n"/>
      <c r="R1002" s="11" t="n"/>
      <c r="S1002" s="11" t="n"/>
      <c r="T1002" s="12" t="n"/>
    </row>
    <row r="1003">
      <c r="A1003" s="11" t="n"/>
      <c r="B1003" s="11" t="n"/>
      <c r="C1003" s="11" t="n"/>
      <c r="D1003" s="11" t="n"/>
      <c r="E1003" s="11" t="n"/>
      <c r="F1003" s="11" t="n"/>
      <c r="G1003" s="11" t="n"/>
      <c r="H1003" s="11" t="n"/>
      <c r="I1003" s="11" t="n"/>
      <c r="J1003" s="11" t="n"/>
      <c r="K1003" s="11" t="n"/>
      <c r="L1003" s="11" t="n"/>
      <c r="M1003" s="11" t="n"/>
      <c r="N1003" s="11" t="n"/>
      <c r="O1003" s="11" t="n"/>
      <c r="P1003" s="11" t="n"/>
      <c r="Q1003" s="11" t="n"/>
      <c r="R1003" s="11" t="n"/>
      <c r="S1003" s="11" t="n"/>
      <c r="T1003" s="12" t="n"/>
    </row>
    <row r="1004">
      <c r="A1004" s="11" t="n"/>
      <c r="B1004" s="11" t="n"/>
      <c r="C1004" s="11" t="n"/>
      <c r="D1004" s="11" t="n"/>
      <c r="E1004" s="11" t="n"/>
      <c r="F1004" s="11" t="n"/>
      <c r="G1004" s="11" t="n"/>
      <c r="H1004" s="11" t="n"/>
      <c r="I1004" s="11" t="n"/>
      <c r="J1004" s="11" t="n"/>
      <c r="K1004" s="11" t="n"/>
      <c r="L1004" s="11" t="n"/>
      <c r="M1004" s="11" t="n"/>
      <c r="N1004" s="11" t="n"/>
      <c r="O1004" s="11" t="n"/>
      <c r="P1004" s="11" t="n"/>
      <c r="Q1004" s="11" t="n"/>
      <c r="R1004" s="11" t="n"/>
      <c r="S1004" s="11" t="n"/>
      <c r="T1004" s="12" t="n"/>
    </row>
    <row r="1005">
      <c r="A1005" s="11" t="n"/>
      <c r="B1005" s="11" t="n"/>
      <c r="C1005" s="11" t="n"/>
      <c r="D1005" s="11" t="n"/>
      <c r="E1005" s="11" t="n"/>
      <c r="F1005" s="11" t="n"/>
      <c r="G1005" s="11" t="n"/>
      <c r="H1005" s="11" t="n"/>
      <c r="I1005" s="11" t="n"/>
      <c r="J1005" s="11" t="n"/>
      <c r="K1005" s="11" t="n"/>
      <c r="L1005" s="11" t="n"/>
      <c r="M1005" s="11" t="n"/>
      <c r="N1005" s="11" t="n"/>
      <c r="O1005" s="11" t="n"/>
      <c r="P1005" s="11" t="n"/>
      <c r="Q1005" s="11" t="n"/>
      <c r="R1005" s="11" t="n"/>
      <c r="S1005" s="11" t="n"/>
      <c r="T1005" s="12" t="n"/>
    </row>
    <row r="1006">
      <c r="A1006" s="11" t="n"/>
      <c r="B1006" s="11" t="n"/>
      <c r="C1006" s="11" t="n"/>
      <c r="D1006" s="11" t="n"/>
      <c r="E1006" s="11" t="n"/>
      <c r="F1006" s="11" t="n"/>
      <c r="G1006" s="11" t="n"/>
      <c r="H1006" s="11" t="n"/>
      <c r="I1006" s="11" t="n"/>
      <c r="J1006" s="11" t="n"/>
      <c r="K1006" s="11" t="n"/>
      <c r="L1006" s="11" t="n"/>
      <c r="M1006" s="11" t="n"/>
      <c r="N1006" s="11" t="n"/>
      <c r="O1006" s="11" t="n"/>
      <c r="P1006" s="11" t="n"/>
      <c r="Q1006" s="11" t="n"/>
      <c r="R1006" s="11" t="n"/>
      <c r="S1006" s="11" t="n"/>
      <c r="T1006" s="12" t="n"/>
    </row>
    <row r="1007">
      <c r="A1007" s="11" t="n"/>
      <c r="B1007" s="11" t="n"/>
      <c r="C1007" s="11" t="n"/>
      <c r="D1007" s="11" t="n"/>
      <c r="E1007" s="11" t="n"/>
      <c r="F1007" s="11" t="n"/>
      <c r="G1007" s="11" t="n"/>
      <c r="H1007" s="11" t="n"/>
      <c r="I1007" s="11" t="n"/>
      <c r="J1007" s="11" t="n"/>
      <c r="K1007" s="11" t="n"/>
      <c r="L1007" s="11" t="n"/>
      <c r="M1007" s="11" t="n"/>
      <c r="N1007" s="11" t="n"/>
      <c r="O1007" s="11" t="n"/>
      <c r="P1007" s="11" t="n"/>
      <c r="Q1007" s="11" t="n"/>
      <c r="R1007" s="11" t="n"/>
      <c r="S1007" s="11" t="n"/>
      <c r="T1007" s="12" t="n"/>
    </row>
    <row r="1008">
      <c r="A1008" s="11" t="n"/>
      <c r="B1008" s="11" t="n"/>
      <c r="C1008" s="11" t="n"/>
      <c r="D1008" s="11" t="n"/>
      <c r="E1008" s="11" t="n"/>
      <c r="F1008" s="11" t="n"/>
      <c r="G1008" s="11" t="n"/>
      <c r="H1008" s="11" t="n"/>
      <c r="I1008" s="11" t="n"/>
      <c r="J1008" s="11" t="n"/>
      <c r="K1008" s="11" t="n"/>
      <c r="L1008" s="11" t="n"/>
      <c r="M1008" s="11" t="n"/>
      <c r="N1008" s="11" t="n"/>
      <c r="O1008" s="11" t="n"/>
      <c r="P1008" s="11" t="n"/>
      <c r="Q1008" s="11" t="n"/>
      <c r="R1008" s="11" t="n"/>
      <c r="S1008" s="11" t="n"/>
      <c r="T1008" s="12" t="n"/>
    </row>
    <row r="1009">
      <c r="A1009" s="11" t="n"/>
      <c r="B1009" s="11" t="n"/>
      <c r="C1009" s="11" t="n"/>
      <c r="D1009" s="11" t="n"/>
      <c r="E1009" s="11" t="n"/>
      <c r="F1009" s="11" t="n"/>
      <c r="G1009" s="11" t="n"/>
      <c r="H1009" s="11" t="n"/>
      <c r="I1009" s="11" t="n"/>
      <c r="J1009" s="11" t="n"/>
      <c r="K1009" s="11" t="n"/>
      <c r="L1009" s="11" t="n"/>
      <c r="M1009" s="11" t="n"/>
      <c r="N1009" s="11" t="n"/>
      <c r="O1009" s="11" t="n"/>
      <c r="P1009" s="11" t="n"/>
      <c r="Q1009" s="11" t="n"/>
      <c r="R1009" s="11" t="n"/>
      <c r="S1009" s="11" t="n"/>
      <c r="T1009" s="12" t="n"/>
    </row>
    <row r="1010">
      <c r="A1010" s="11" t="n"/>
      <c r="B1010" s="11" t="n"/>
      <c r="C1010" s="11" t="n"/>
      <c r="D1010" s="11" t="n"/>
      <c r="E1010" s="11" t="n"/>
      <c r="F1010" s="11" t="n"/>
      <c r="G1010" s="11" t="n"/>
      <c r="H1010" s="11" t="n"/>
      <c r="I1010" s="11" t="n"/>
      <c r="J1010" s="11" t="n"/>
      <c r="K1010" s="11" t="n"/>
      <c r="L1010" s="11" t="n"/>
      <c r="M1010" s="11" t="n"/>
      <c r="N1010" s="11" t="n"/>
      <c r="O1010" s="11" t="n"/>
      <c r="P1010" s="11" t="n"/>
      <c r="Q1010" s="11" t="n"/>
      <c r="R1010" s="11" t="n"/>
      <c r="S1010" s="11" t="n"/>
      <c r="T1010" s="12" t="n"/>
    </row>
    <row r="1011">
      <c r="A1011" s="11" t="n"/>
      <c r="B1011" s="11" t="n"/>
      <c r="C1011" s="11" t="n"/>
      <c r="D1011" s="11" t="n"/>
      <c r="E1011" s="11" t="n"/>
      <c r="F1011" s="11" t="n"/>
      <c r="G1011" s="11" t="n"/>
      <c r="H1011" s="11" t="n"/>
      <c r="I1011" s="11" t="n"/>
      <c r="J1011" s="11" t="n"/>
      <c r="K1011" s="11" t="n"/>
      <c r="L1011" s="11" t="n"/>
      <c r="M1011" s="11" t="n"/>
      <c r="N1011" s="11" t="n"/>
      <c r="O1011" s="11" t="n"/>
      <c r="P1011" s="11" t="n"/>
      <c r="Q1011" s="11" t="n"/>
      <c r="R1011" s="11" t="n"/>
      <c r="S1011" s="11" t="n"/>
      <c r="T1011" s="12" t="n"/>
    </row>
    <row r="1012">
      <c r="A1012" s="11" t="n"/>
      <c r="B1012" s="11" t="n"/>
      <c r="C1012" s="11" t="n"/>
      <c r="D1012" s="11" t="n"/>
      <c r="E1012" s="11" t="n"/>
      <c r="F1012" s="11" t="n"/>
      <c r="G1012" s="11" t="n"/>
      <c r="H1012" s="11" t="n"/>
      <c r="I1012" s="11" t="n"/>
      <c r="J1012" s="11" t="n"/>
      <c r="K1012" s="11" t="n"/>
      <c r="L1012" s="11" t="n"/>
      <c r="M1012" s="11" t="n"/>
      <c r="N1012" s="11" t="n"/>
      <c r="O1012" s="11" t="n"/>
      <c r="P1012" s="11" t="n"/>
      <c r="Q1012" s="11" t="n"/>
      <c r="R1012" s="11" t="n"/>
      <c r="S1012" s="11" t="n"/>
      <c r="T1012" s="12" t="n"/>
    </row>
    <row r="1013">
      <c r="A1013" s="11" t="n"/>
      <c r="B1013" s="11" t="n"/>
      <c r="C1013" s="11" t="n"/>
      <c r="D1013" s="11" t="n"/>
      <c r="E1013" s="11" t="n"/>
      <c r="F1013" s="11" t="n"/>
      <c r="G1013" s="11" t="n"/>
      <c r="H1013" s="11" t="n"/>
      <c r="I1013" s="11" t="n"/>
      <c r="J1013" s="11" t="n"/>
      <c r="K1013" s="11" t="n"/>
      <c r="L1013" s="11" t="n"/>
      <c r="M1013" s="11" t="n"/>
      <c r="N1013" s="11" t="n"/>
      <c r="O1013" s="11" t="n"/>
      <c r="P1013" s="11" t="n"/>
      <c r="Q1013" s="11" t="n"/>
      <c r="R1013" s="11" t="n"/>
      <c r="S1013" s="11" t="n"/>
      <c r="T1013" s="12" t="n"/>
    </row>
    <row r="1014">
      <c r="A1014" s="11" t="n"/>
      <c r="B1014" s="11" t="n"/>
      <c r="C1014" s="11" t="n"/>
      <c r="D1014" s="11" t="n"/>
      <c r="E1014" s="11" t="n"/>
      <c r="F1014" s="11" t="n"/>
      <c r="G1014" s="11" t="n"/>
      <c r="H1014" s="11" t="n"/>
      <c r="I1014" s="11" t="n"/>
      <c r="J1014" s="11" t="n"/>
      <c r="K1014" s="11" t="n"/>
      <c r="L1014" s="11" t="n"/>
      <c r="M1014" s="11" t="n"/>
      <c r="N1014" s="11" t="n"/>
      <c r="O1014" s="11" t="n"/>
      <c r="P1014" s="11" t="n"/>
      <c r="Q1014" s="11" t="n"/>
      <c r="R1014" s="11" t="n"/>
      <c r="S1014" s="11" t="n"/>
      <c r="T1014" s="12" t="n"/>
    </row>
    <row r="1015">
      <c r="A1015" s="11" t="n"/>
      <c r="B1015" s="11" t="n"/>
      <c r="C1015" s="11" t="n"/>
      <c r="D1015" s="11" t="n"/>
      <c r="E1015" s="11" t="n"/>
      <c r="F1015" s="11" t="n"/>
      <c r="G1015" s="11" t="n"/>
      <c r="H1015" s="11" t="n"/>
      <c r="I1015" s="11" t="n"/>
      <c r="J1015" s="11" t="n"/>
      <c r="K1015" s="11" t="n"/>
      <c r="L1015" s="11" t="n"/>
      <c r="M1015" s="11" t="n"/>
      <c r="N1015" s="11" t="n"/>
      <c r="O1015" s="11" t="n"/>
      <c r="P1015" s="11" t="n"/>
      <c r="Q1015" s="11" t="n"/>
      <c r="R1015" s="11" t="n"/>
      <c r="S1015" s="11" t="n"/>
      <c r="T1015" s="12" t="n"/>
    </row>
    <row r="1016">
      <c r="A1016" s="11" t="n"/>
      <c r="B1016" s="11" t="n"/>
      <c r="C1016" s="11" t="n"/>
      <c r="D1016" s="11" t="n"/>
      <c r="E1016" s="11" t="n"/>
      <c r="F1016" s="11" t="n"/>
      <c r="G1016" s="11" t="n"/>
      <c r="H1016" s="11" t="n"/>
      <c r="I1016" s="11" t="n"/>
      <c r="J1016" s="11" t="n"/>
      <c r="K1016" s="11" t="n"/>
      <c r="L1016" s="11" t="n"/>
      <c r="M1016" s="11" t="n"/>
      <c r="N1016" s="11" t="n"/>
      <c r="O1016" s="11" t="n"/>
      <c r="P1016" s="11" t="n"/>
      <c r="Q1016" s="11" t="n"/>
      <c r="R1016" s="11" t="n"/>
      <c r="S1016" s="11" t="n"/>
      <c r="T1016" s="12" t="n"/>
    </row>
    <row r="1017">
      <c r="A1017" s="11" t="n"/>
      <c r="B1017" s="11" t="n"/>
      <c r="C1017" s="11" t="n"/>
      <c r="D1017" s="11" t="n"/>
      <c r="E1017" s="11" t="n"/>
      <c r="F1017" s="11" t="n"/>
      <c r="G1017" s="11" t="n"/>
      <c r="H1017" s="11" t="n"/>
      <c r="I1017" s="11" t="n"/>
      <c r="J1017" s="11" t="n"/>
      <c r="K1017" s="11" t="n"/>
      <c r="L1017" s="11" t="n"/>
      <c r="M1017" s="11" t="n"/>
      <c r="N1017" s="11" t="n"/>
      <c r="O1017" s="11" t="n"/>
      <c r="P1017" s="11" t="n"/>
      <c r="Q1017" s="11" t="n"/>
      <c r="R1017" s="11" t="n"/>
      <c r="S1017" s="11" t="n"/>
      <c r="T1017" s="12" t="n"/>
    </row>
    <row r="1018">
      <c r="A1018" s="11" t="n"/>
      <c r="B1018" s="11" t="n"/>
      <c r="C1018" s="11" t="n"/>
      <c r="D1018" s="11" t="n"/>
      <c r="E1018" s="11" t="n"/>
      <c r="F1018" s="11" t="n"/>
      <c r="G1018" s="11" t="n"/>
      <c r="H1018" s="11" t="n"/>
      <c r="I1018" s="11" t="n"/>
      <c r="J1018" s="11" t="n"/>
      <c r="K1018" s="11" t="n"/>
      <c r="L1018" s="11" t="n"/>
      <c r="M1018" s="11" t="n"/>
      <c r="N1018" s="11" t="n"/>
      <c r="O1018" s="11" t="n"/>
      <c r="P1018" s="11" t="n"/>
      <c r="Q1018" s="11" t="n"/>
      <c r="R1018" s="11" t="n"/>
      <c r="S1018" s="11" t="n"/>
      <c r="T1018" s="12" t="n"/>
    </row>
    <row r="1019">
      <c r="A1019" s="11" t="n"/>
      <c r="B1019" s="11" t="n"/>
      <c r="C1019" s="11" t="n"/>
      <c r="D1019" s="11" t="n"/>
      <c r="E1019" s="11" t="n"/>
      <c r="F1019" s="11" t="n"/>
      <c r="G1019" s="11" t="n"/>
      <c r="H1019" s="11" t="n"/>
      <c r="I1019" s="11" t="n"/>
      <c r="J1019" s="11" t="n"/>
      <c r="K1019" s="11" t="n"/>
      <c r="L1019" s="11" t="n"/>
      <c r="M1019" s="11" t="n"/>
      <c r="N1019" s="11" t="n"/>
      <c r="O1019" s="11" t="n"/>
      <c r="P1019" s="11" t="n"/>
      <c r="Q1019" s="11" t="n"/>
      <c r="R1019" s="11" t="n"/>
      <c r="S1019" s="11" t="n"/>
      <c r="T1019" s="12" t="n"/>
    </row>
    <row r="1020">
      <c r="A1020" s="11" t="n"/>
      <c r="B1020" s="11" t="n"/>
      <c r="C1020" s="11" t="n"/>
      <c r="D1020" s="11" t="n"/>
      <c r="E1020" s="11" t="n"/>
      <c r="F1020" s="11" t="n"/>
      <c r="G1020" s="11" t="n"/>
      <c r="H1020" s="11" t="n"/>
      <c r="I1020" s="11" t="n"/>
      <c r="J1020" s="11" t="n"/>
      <c r="K1020" s="11" t="n"/>
      <c r="L1020" s="11" t="n"/>
      <c r="M1020" s="11" t="n"/>
      <c r="N1020" s="11" t="n"/>
      <c r="O1020" s="11" t="n"/>
      <c r="P1020" s="11" t="n"/>
      <c r="Q1020" s="11" t="n"/>
      <c r="R1020" s="11" t="n"/>
      <c r="S1020" s="11" t="n"/>
      <c r="T1020" s="12" t="n"/>
    </row>
    <row r="1021">
      <c r="A1021" s="11" t="n"/>
      <c r="B1021" s="11" t="n"/>
      <c r="C1021" s="11" t="n"/>
      <c r="D1021" s="11" t="n"/>
      <c r="E1021" s="11" t="n"/>
      <c r="F1021" s="11" t="n"/>
      <c r="G1021" s="11" t="n"/>
      <c r="H1021" s="11" t="n"/>
      <c r="I1021" s="11" t="n"/>
      <c r="J1021" s="11" t="n"/>
      <c r="K1021" s="11" t="n"/>
      <c r="L1021" s="11" t="n"/>
      <c r="M1021" s="11" t="n"/>
      <c r="N1021" s="11" t="n"/>
      <c r="O1021" s="11" t="n"/>
      <c r="P1021" s="11" t="n"/>
      <c r="Q1021" s="11" t="n"/>
      <c r="R1021" s="11" t="n"/>
      <c r="S1021" s="11" t="n"/>
      <c r="T1021" s="12" t="n"/>
    </row>
    <row r="1022">
      <c r="A1022" s="11" t="n"/>
      <c r="B1022" s="11" t="n"/>
      <c r="C1022" s="11" t="n"/>
      <c r="D1022" s="11" t="n"/>
      <c r="E1022" s="11" t="n"/>
      <c r="F1022" s="11" t="n"/>
      <c r="G1022" s="11" t="n"/>
      <c r="H1022" s="11" t="n"/>
      <c r="I1022" s="11" t="n"/>
      <c r="J1022" s="11" t="n"/>
      <c r="K1022" s="11" t="n"/>
      <c r="L1022" s="11" t="n"/>
      <c r="M1022" s="11" t="n"/>
      <c r="N1022" s="11" t="n"/>
      <c r="O1022" s="11" t="n"/>
      <c r="P1022" s="11" t="n"/>
      <c r="Q1022" s="11" t="n"/>
      <c r="R1022" s="11" t="n"/>
      <c r="S1022" s="11" t="n"/>
      <c r="T1022" s="12" t="n"/>
    </row>
    <row r="1023">
      <c r="A1023" s="11" t="n"/>
      <c r="B1023" s="11" t="n"/>
      <c r="C1023" s="11" t="n"/>
      <c r="D1023" s="11" t="n"/>
      <c r="E1023" s="11" t="n"/>
      <c r="F1023" s="11" t="n"/>
      <c r="G1023" s="11" t="n"/>
      <c r="H1023" s="11" t="n"/>
      <c r="I1023" s="11" t="n"/>
      <c r="J1023" s="11" t="n"/>
      <c r="K1023" s="11" t="n"/>
      <c r="L1023" s="11" t="n"/>
      <c r="M1023" s="11" t="n"/>
      <c r="N1023" s="11" t="n"/>
      <c r="O1023" s="11" t="n"/>
      <c r="P1023" s="11" t="n"/>
      <c r="Q1023" s="11" t="n"/>
      <c r="R1023" s="11" t="n"/>
      <c r="S1023" s="11" t="n"/>
      <c r="T1023" s="12" t="n"/>
    </row>
    <row r="1024">
      <c r="A1024" s="11" t="n"/>
      <c r="B1024" s="11" t="n"/>
      <c r="C1024" s="11" t="n"/>
      <c r="D1024" s="11" t="n"/>
      <c r="E1024" s="11" t="n"/>
      <c r="F1024" s="11" t="n"/>
      <c r="G1024" s="11" t="n"/>
      <c r="H1024" s="11" t="n"/>
      <c r="I1024" s="11" t="n"/>
      <c r="J1024" s="11" t="n"/>
      <c r="K1024" s="11" t="n"/>
      <c r="L1024" s="11" t="n"/>
      <c r="M1024" s="11" t="n"/>
      <c r="N1024" s="11" t="n"/>
      <c r="O1024" s="11" t="n"/>
      <c r="P1024" s="11" t="n"/>
      <c r="Q1024" s="11" t="n"/>
      <c r="R1024" s="11" t="n"/>
      <c r="S1024" s="11" t="n"/>
      <c r="T1024" s="12" t="n"/>
    </row>
    <row r="1025">
      <c r="A1025" s="11" t="n"/>
      <c r="B1025" s="11" t="n"/>
      <c r="C1025" s="11" t="n"/>
      <c r="D1025" s="11" t="n"/>
      <c r="E1025" s="11" t="n"/>
      <c r="F1025" s="11" t="n"/>
      <c r="G1025" s="11" t="n"/>
      <c r="H1025" s="11" t="n"/>
      <c r="I1025" s="11" t="n"/>
      <c r="J1025" s="11" t="n"/>
      <c r="K1025" s="11" t="n"/>
      <c r="L1025" s="11" t="n"/>
      <c r="M1025" s="11" t="n"/>
      <c r="N1025" s="11" t="n"/>
      <c r="O1025" s="11" t="n"/>
      <c r="P1025" s="11" t="n"/>
      <c r="Q1025" s="11" t="n"/>
      <c r="R1025" s="11" t="n"/>
      <c r="S1025" s="11" t="n"/>
      <c r="T1025" s="12" t="n"/>
    </row>
    <row r="1026">
      <c r="A1026" s="11" t="n"/>
      <c r="B1026" s="11" t="n"/>
      <c r="C1026" s="11" t="n"/>
      <c r="D1026" s="11" t="n"/>
      <c r="E1026" s="11" t="n"/>
      <c r="F1026" s="11" t="n"/>
      <c r="G1026" s="11" t="n"/>
      <c r="H1026" s="11" t="n"/>
      <c r="I1026" s="11" t="n"/>
      <c r="J1026" s="11" t="n"/>
      <c r="K1026" s="11" t="n"/>
      <c r="L1026" s="11" t="n"/>
      <c r="M1026" s="11" t="n"/>
      <c r="N1026" s="11" t="n"/>
      <c r="O1026" s="11" t="n"/>
      <c r="P1026" s="11" t="n"/>
      <c r="Q1026" s="11" t="n"/>
      <c r="R1026" s="11" t="n"/>
      <c r="S1026" s="11" t="n"/>
      <c r="T1026" s="12" t="n"/>
    </row>
    <row r="1027">
      <c r="A1027" s="11" t="n"/>
      <c r="B1027" s="11" t="n"/>
      <c r="C1027" s="11" t="n"/>
      <c r="D1027" s="11" t="n"/>
      <c r="E1027" s="11" t="n"/>
      <c r="F1027" s="11" t="n"/>
      <c r="G1027" s="11" t="n"/>
      <c r="H1027" s="11" t="n"/>
      <c r="I1027" s="11" t="n"/>
      <c r="J1027" s="11" t="n"/>
      <c r="K1027" s="11" t="n"/>
      <c r="L1027" s="11" t="n"/>
      <c r="M1027" s="11" t="n"/>
      <c r="N1027" s="11" t="n"/>
      <c r="O1027" s="11" t="n"/>
      <c r="P1027" s="11" t="n"/>
      <c r="Q1027" s="11" t="n"/>
      <c r="R1027" s="11" t="n"/>
      <c r="S1027" s="11" t="n"/>
      <c r="T1027" s="12" t="n"/>
    </row>
    <row r="1028">
      <c r="A1028" s="11" t="n"/>
      <c r="B1028" s="11" t="n"/>
      <c r="C1028" s="11" t="n"/>
      <c r="D1028" s="11" t="n"/>
      <c r="E1028" s="11" t="n"/>
      <c r="F1028" s="11" t="n"/>
      <c r="G1028" s="11" t="n"/>
      <c r="H1028" s="11" t="n"/>
      <c r="I1028" s="11" t="n"/>
      <c r="J1028" s="11" t="n"/>
      <c r="K1028" s="11" t="n"/>
      <c r="L1028" s="11" t="n"/>
      <c r="M1028" s="11" t="n"/>
      <c r="N1028" s="11" t="n"/>
      <c r="O1028" s="11" t="n"/>
      <c r="P1028" s="11" t="n"/>
      <c r="Q1028" s="11" t="n"/>
      <c r="R1028" s="11" t="n"/>
      <c r="S1028" s="11" t="n"/>
      <c r="T1028" s="12" t="n"/>
    </row>
    <row r="1029">
      <c r="A1029" s="11" t="n"/>
      <c r="B1029" s="11" t="n"/>
      <c r="C1029" s="11" t="n"/>
      <c r="D1029" s="11" t="n"/>
      <c r="E1029" s="11" t="n"/>
      <c r="F1029" s="11" t="n"/>
      <c r="G1029" s="11" t="n"/>
      <c r="H1029" s="11" t="n"/>
      <c r="I1029" s="11" t="n"/>
      <c r="J1029" s="11" t="n"/>
      <c r="K1029" s="11" t="n"/>
      <c r="L1029" s="11" t="n"/>
      <c r="M1029" s="11" t="n"/>
      <c r="N1029" s="11" t="n"/>
      <c r="O1029" s="11" t="n"/>
      <c r="P1029" s="11" t="n"/>
      <c r="Q1029" s="11" t="n"/>
      <c r="R1029" s="11" t="n"/>
      <c r="S1029" s="11" t="n"/>
      <c r="T1029" s="12" t="n"/>
    </row>
    <row r="1030">
      <c r="A1030" s="11" t="n"/>
      <c r="B1030" s="11" t="n"/>
      <c r="C1030" s="11" t="n"/>
      <c r="D1030" s="11" t="n"/>
      <c r="E1030" s="11" t="n"/>
      <c r="F1030" s="11" t="n"/>
      <c r="G1030" s="11" t="n"/>
      <c r="H1030" s="11" t="n"/>
      <c r="I1030" s="11" t="n"/>
      <c r="J1030" s="11" t="n"/>
      <c r="K1030" s="11" t="n"/>
      <c r="L1030" s="11" t="n"/>
      <c r="M1030" s="11" t="n"/>
      <c r="N1030" s="11" t="n"/>
      <c r="O1030" s="11" t="n"/>
      <c r="P1030" s="11" t="n"/>
      <c r="Q1030" s="11" t="n"/>
      <c r="R1030" s="11" t="n"/>
      <c r="S1030" s="11" t="n"/>
      <c r="T1030" s="12" t="n"/>
    </row>
    <row r="1031">
      <c r="A1031" s="11" t="n"/>
      <c r="B1031" s="11" t="n"/>
      <c r="C1031" s="11" t="n"/>
      <c r="D1031" s="11" t="n"/>
      <c r="E1031" s="11" t="n"/>
      <c r="F1031" s="11" t="n"/>
      <c r="G1031" s="11" t="n"/>
      <c r="H1031" s="11" t="n"/>
      <c r="I1031" s="11" t="n"/>
      <c r="J1031" s="11" t="n"/>
      <c r="K1031" s="11" t="n"/>
      <c r="L1031" s="11" t="n"/>
      <c r="M1031" s="11" t="n"/>
      <c r="N1031" s="11" t="n"/>
      <c r="O1031" s="11" t="n"/>
      <c r="P1031" s="11" t="n"/>
      <c r="Q1031" s="11" t="n"/>
      <c r="R1031" s="11" t="n"/>
      <c r="S1031" s="11" t="n"/>
      <c r="T1031" s="12" t="n"/>
    </row>
    <row r="1032">
      <c r="A1032" s="11" t="n"/>
      <c r="B1032" s="11" t="n"/>
      <c r="C1032" s="11" t="n"/>
      <c r="D1032" s="11" t="n"/>
      <c r="E1032" s="11" t="n"/>
      <c r="F1032" s="11" t="n"/>
      <c r="G1032" s="11" t="n"/>
      <c r="H1032" s="11" t="n"/>
      <c r="I1032" s="11" t="n"/>
      <c r="J1032" s="11" t="n"/>
      <c r="K1032" s="11" t="n"/>
      <c r="L1032" s="11" t="n"/>
      <c r="M1032" s="11" t="n"/>
      <c r="N1032" s="11" t="n"/>
      <c r="O1032" s="11" t="n"/>
      <c r="P1032" s="11" t="n"/>
      <c r="Q1032" s="11" t="n"/>
      <c r="R1032" s="11" t="n"/>
      <c r="S1032" s="11" t="n"/>
      <c r="T1032" s="12" t="n"/>
    </row>
    <row r="1033">
      <c r="A1033" s="11" t="n"/>
      <c r="B1033" s="11" t="n"/>
      <c r="C1033" s="11" t="n"/>
      <c r="D1033" s="11" t="n"/>
      <c r="E1033" s="11" t="n"/>
      <c r="F1033" s="11" t="n"/>
      <c r="G1033" s="11" t="n"/>
      <c r="H1033" s="11" t="n"/>
      <c r="I1033" s="11" t="n"/>
      <c r="J1033" s="11" t="n"/>
      <c r="K1033" s="11" t="n"/>
      <c r="L1033" s="11" t="n"/>
      <c r="M1033" s="11" t="n"/>
      <c r="N1033" s="11" t="n"/>
      <c r="O1033" s="11" t="n"/>
      <c r="P1033" s="11" t="n"/>
      <c r="Q1033" s="11" t="n"/>
      <c r="R1033" s="11" t="n"/>
      <c r="S1033" s="11" t="n"/>
      <c r="T1033" s="12" t="n"/>
    </row>
    <row r="1034">
      <c r="A1034" s="11" t="n"/>
      <c r="B1034" s="11" t="n"/>
      <c r="C1034" s="11" t="n"/>
      <c r="D1034" s="11" t="n"/>
      <c r="E1034" s="11" t="n"/>
      <c r="F1034" s="11" t="n"/>
      <c r="G1034" s="11" t="n"/>
      <c r="H1034" s="11" t="n"/>
      <c r="I1034" s="11" t="n"/>
      <c r="J1034" s="11" t="n"/>
      <c r="K1034" s="11" t="n"/>
      <c r="L1034" s="11" t="n"/>
      <c r="M1034" s="11" t="n"/>
      <c r="N1034" s="11" t="n"/>
      <c r="O1034" s="11" t="n"/>
      <c r="P1034" s="11" t="n"/>
      <c r="Q1034" s="11" t="n"/>
      <c r="R1034" s="11" t="n"/>
      <c r="S1034" s="11" t="n"/>
      <c r="T1034" s="12" t="n"/>
    </row>
    <row r="1035">
      <c r="A1035" s="11" t="n"/>
      <c r="B1035" s="11" t="n"/>
      <c r="C1035" s="11" t="n"/>
      <c r="D1035" s="11" t="n"/>
      <c r="E1035" s="11" t="n"/>
      <c r="F1035" s="11" t="n"/>
      <c r="G1035" s="11" t="n"/>
      <c r="H1035" s="11" t="n"/>
      <c r="I1035" s="11" t="n"/>
      <c r="J1035" s="11" t="n"/>
      <c r="K1035" s="11" t="n"/>
      <c r="L1035" s="11" t="n"/>
      <c r="M1035" s="11" t="n"/>
      <c r="N1035" s="11" t="n"/>
      <c r="O1035" s="11" t="n"/>
      <c r="P1035" s="11" t="n"/>
      <c r="Q1035" s="11" t="n"/>
      <c r="R1035" s="11" t="n"/>
      <c r="S1035" s="11" t="n"/>
      <c r="T1035" s="12" t="n"/>
    </row>
    <row r="1036">
      <c r="A1036" s="11" t="n"/>
      <c r="B1036" s="11" t="n"/>
      <c r="C1036" s="11" t="n"/>
      <c r="D1036" s="11" t="n"/>
      <c r="E1036" s="11" t="n"/>
      <c r="F1036" s="11" t="n"/>
      <c r="G1036" s="11" t="n"/>
      <c r="H1036" s="11" t="n"/>
      <c r="I1036" s="11" t="n"/>
      <c r="J1036" s="11" t="n"/>
      <c r="K1036" s="11" t="n"/>
      <c r="L1036" s="11" t="n"/>
      <c r="M1036" s="11" t="n"/>
      <c r="N1036" s="11" t="n"/>
      <c r="O1036" s="11" t="n"/>
      <c r="P1036" s="11" t="n"/>
      <c r="Q1036" s="11" t="n"/>
      <c r="R1036" s="11" t="n"/>
      <c r="S1036" s="11" t="n"/>
      <c r="T1036" s="12" t="n"/>
    </row>
    <row r="1037">
      <c r="A1037" s="11" t="n"/>
      <c r="B1037" s="11" t="n"/>
      <c r="C1037" s="11" t="n"/>
      <c r="D1037" s="11" t="n"/>
      <c r="E1037" s="11" t="n"/>
      <c r="F1037" s="11" t="n"/>
      <c r="G1037" s="11" t="n"/>
      <c r="H1037" s="11" t="n"/>
      <c r="I1037" s="11" t="n"/>
      <c r="J1037" s="11" t="n"/>
      <c r="K1037" s="11" t="n"/>
      <c r="L1037" s="11" t="n"/>
      <c r="M1037" s="11" t="n"/>
      <c r="N1037" s="11" t="n"/>
      <c r="O1037" s="11" t="n"/>
      <c r="P1037" s="11" t="n"/>
      <c r="Q1037" s="11" t="n"/>
      <c r="R1037" s="11" t="n"/>
      <c r="S1037" s="11" t="n"/>
      <c r="T1037" s="12" t="n"/>
    </row>
    <row r="1038">
      <c r="A1038" s="11" t="n"/>
      <c r="B1038" s="11" t="n"/>
      <c r="C1038" s="11" t="n"/>
      <c r="D1038" s="11" t="n"/>
      <c r="E1038" s="11" t="n"/>
      <c r="F1038" s="11" t="n"/>
      <c r="G1038" s="11" t="n"/>
      <c r="H1038" s="11" t="n"/>
      <c r="I1038" s="11" t="n"/>
      <c r="J1038" s="11" t="n"/>
      <c r="K1038" s="11" t="n"/>
      <c r="L1038" s="11" t="n"/>
      <c r="M1038" s="11" t="n"/>
      <c r="N1038" s="11" t="n"/>
      <c r="O1038" s="11" t="n"/>
      <c r="P1038" s="11" t="n"/>
      <c r="Q1038" s="11" t="n"/>
      <c r="R1038" s="11" t="n"/>
      <c r="S1038" s="11" t="n"/>
      <c r="T1038" s="12" t="n"/>
    </row>
    <row r="1039">
      <c r="A1039" s="11" t="n"/>
      <c r="B1039" s="11" t="n"/>
      <c r="C1039" s="11" t="n"/>
      <c r="D1039" s="11" t="n"/>
      <c r="E1039" s="11" t="n"/>
      <c r="F1039" s="11" t="n"/>
      <c r="G1039" s="11" t="n"/>
      <c r="H1039" s="11" t="n"/>
      <c r="I1039" s="11" t="n"/>
      <c r="J1039" s="11" t="n"/>
      <c r="K1039" s="11" t="n"/>
      <c r="L1039" s="11" t="n"/>
      <c r="M1039" s="11" t="n"/>
      <c r="N1039" s="11" t="n"/>
      <c r="O1039" s="11" t="n"/>
      <c r="P1039" s="11" t="n"/>
      <c r="Q1039" s="11" t="n"/>
      <c r="R1039" s="11" t="n"/>
      <c r="S1039" s="11" t="n"/>
      <c r="T1039" s="12" t="n"/>
    </row>
    <row r="1040">
      <c r="A1040" s="11" t="n"/>
      <c r="B1040" s="11" t="n"/>
      <c r="C1040" s="11" t="n"/>
      <c r="D1040" s="11" t="n"/>
      <c r="E1040" s="11" t="n"/>
      <c r="F1040" s="11" t="n"/>
      <c r="G1040" s="11" t="n"/>
      <c r="H1040" s="11" t="n"/>
      <c r="I1040" s="11" t="n"/>
      <c r="J1040" s="11" t="n"/>
      <c r="K1040" s="11" t="n"/>
      <c r="L1040" s="11" t="n"/>
      <c r="M1040" s="11" t="n"/>
      <c r="N1040" s="11" t="n"/>
      <c r="O1040" s="11" t="n"/>
      <c r="P1040" s="11" t="n"/>
      <c r="Q1040" s="11" t="n"/>
      <c r="R1040" s="11" t="n"/>
      <c r="S1040" s="11" t="n"/>
      <c r="T1040" s="12" t="n"/>
    </row>
    <row r="1041">
      <c r="A1041" s="11" t="n"/>
      <c r="B1041" s="11" t="n"/>
      <c r="C1041" s="11" t="n"/>
      <c r="D1041" s="11" t="n"/>
      <c r="E1041" s="11" t="n"/>
      <c r="F1041" s="11" t="n"/>
      <c r="G1041" s="11" t="n"/>
      <c r="H1041" s="11" t="n"/>
      <c r="I1041" s="11" t="n"/>
      <c r="J1041" s="11" t="n"/>
      <c r="K1041" s="11" t="n"/>
      <c r="L1041" s="11" t="n"/>
      <c r="M1041" s="11" t="n"/>
      <c r="N1041" s="11" t="n"/>
      <c r="O1041" s="11" t="n"/>
      <c r="P1041" s="11" t="n"/>
      <c r="Q1041" s="11" t="n"/>
      <c r="R1041" s="11" t="n"/>
      <c r="S1041" s="11" t="n"/>
      <c r="T1041" s="12" t="n"/>
    </row>
    <row r="1042">
      <c r="A1042" s="11" t="n"/>
      <c r="B1042" s="11" t="n"/>
      <c r="C1042" s="11" t="n"/>
      <c r="D1042" s="11" t="n"/>
      <c r="E1042" s="11" t="n"/>
      <c r="F1042" s="11" t="n"/>
      <c r="G1042" s="11" t="n"/>
      <c r="H1042" s="11" t="n"/>
      <c r="I1042" s="11" t="n"/>
      <c r="J1042" s="11" t="n"/>
      <c r="K1042" s="11" t="n"/>
      <c r="L1042" s="11" t="n"/>
      <c r="M1042" s="11" t="n"/>
      <c r="N1042" s="11" t="n"/>
      <c r="O1042" s="11" t="n"/>
      <c r="P1042" s="11" t="n"/>
      <c r="Q1042" s="11" t="n"/>
      <c r="R1042" s="11" t="n"/>
      <c r="S1042" s="11" t="n"/>
      <c r="T1042" s="12" t="n"/>
    </row>
    <row r="1043">
      <c r="A1043" s="11" t="n"/>
      <c r="B1043" s="11" t="n"/>
      <c r="C1043" s="11" t="n"/>
      <c r="D1043" s="11" t="n"/>
      <c r="E1043" s="11" t="n"/>
      <c r="F1043" s="11" t="n"/>
      <c r="G1043" s="11" t="n"/>
      <c r="H1043" s="11" t="n"/>
      <c r="I1043" s="11" t="n"/>
      <c r="J1043" s="11" t="n"/>
      <c r="K1043" s="11" t="n"/>
      <c r="L1043" s="11" t="n"/>
      <c r="M1043" s="11" t="n"/>
      <c r="N1043" s="11" t="n"/>
      <c r="O1043" s="11" t="n"/>
      <c r="P1043" s="11" t="n"/>
      <c r="Q1043" s="11" t="n"/>
      <c r="R1043" s="11" t="n"/>
      <c r="S1043" s="11" t="n"/>
      <c r="T1043" s="12" t="n"/>
    </row>
    <row r="1044">
      <c r="A1044" s="11" t="n"/>
      <c r="B1044" s="11" t="n"/>
      <c r="C1044" s="11" t="n"/>
      <c r="D1044" s="11" t="n"/>
      <c r="E1044" s="11" t="n"/>
      <c r="F1044" s="11" t="n"/>
      <c r="G1044" s="11" t="n"/>
      <c r="H1044" s="11" t="n"/>
      <c r="I1044" s="11" t="n"/>
      <c r="J1044" s="11" t="n"/>
      <c r="K1044" s="11" t="n"/>
      <c r="L1044" s="11" t="n"/>
      <c r="M1044" s="11" t="n"/>
      <c r="N1044" s="11" t="n"/>
      <c r="O1044" s="11" t="n"/>
      <c r="P1044" s="11" t="n"/>
      <c r="Q1044" s="11" t="n"/>
      <c r="R1044" s="11" t="n"/>
      <c r="S1044" s="11" t="n"/>
      <c r="T1044" s="12" t="n"/>
    </row>
    <row r="1045">
      <c r="A1045" s="11" t="n"/>
      <c r="B1045" s="11" t="n"/>
      <c r="C1045" s="11" t="n"/>
      <c r="D1045" s="11" t="n"/>
      <c r="E1045" s="11" t="n"/>
      <c r="F1045" s="11" t="n"/>
      <c r="G1045" s="11" t="n"/>
      <c r="H1045" s="11" t="n"/>
      <c r="I1045" s="11" t="n"/>
      <c r="J1045" s="11" t="n"/>
      <c r="K1045" s="11" t="n"/>
      <c r="L1045" s="11" t="n"/>
      <c r="M1045" s="11" t="n"/>
      <c r="N1045" s="11" t="n"/>
      <c r="O1045" s="11" t="n"/>
      <c r="P1045" s="11" t="n"/>
      <c r="Q1045" s="11" t="n"/>
      <c r="R1045" s="11" t="n"/>
      <c r="S1045" s="11" t="n"/>
      <c r="T1045" s="12" t="n"/>
    </row>
    <row r="1046">
      <c r="A1046" s="11" t="n"/>
      <c r="B1046" s="11" t="n"/>
      <c r="C1046" s="11" t="n"/>
      <c r="D1046" s="11" t="n"/>
      <c r="E1046" s="11" t="n"/>
      <c r="F1046" s="11" t="n"/>
      <c r="G1046" s="11" t="n"/>
      <c r="H1046" s="11" t="n"/>
      <c r="I1046" s="11" t="n"/>
      <c r="J1046" s="11" t="n"/>
      <c r="K1046" s="11" t="n"/>
      <c r="L1046" s="11" t="n"/>
      <c r="M1046" s="11" t="n"/>
      <c r="N1046" s="11" t="n"/>
      <c r="O1046" s="11" t="n"/>
      <c r="P1046" s="11" t="n"/>
      <c r="Q1046" s="11" t="n"/>
      <c r="R1046" s="11" t="n"/>
      <c r="S1046" s="11" t="n"/>
      <c r="T1046" s="12" t="n"/>
    </row>
    <row r="1047">
      <c r="A1047" s="11" t="n"/>
      <c r="B1047" s="11" t="n"/>
      <c r="C1047" s="11" t="n"/>
      <c r="D1047" s="11" t="n"/>
      <c r="E1047" s="11" t="n"/>
      <c r="F1047" s="11" t="n"/>
      <c r="G1047" s="11" t="n"/>
      <c r="H1047" s="11" t="n"/>
      <c r="I1047" s="11" t="n"/>
      <c r="J1047" s="11" t="n"/>
      <c r="K1047" s="11" t="n"/>
      <c r="L1047" s="11" t="n"/>
      <c r="M1047" s="11" t="n"/>
      <c r="N1047" s="11" t="n"/>
      <c r="O1047" s="11" t="n"/>
      <c r="P1047" s="11" t="n"/>
      <c r="Q1047" s="11" t="n"/>
      <c r="R1047" s="11" t="n"/>
      <c r="S1047" s="11" t="n"/>
      <c r="T1047" s="12" t="n"/>
    </row>
    <row r="1048">
      <c r="A1048" s="11" t="n"/>
      <c r="B1048" s="11" t="n"/>
      <c r="C1048" s="11" t="n"/>
      <c r="D1048" s="11" t="n"/>
      <c r="E1048" s="11" t="n"/>
      <c r="F1048" s="11" t="n"/>
      <c r="G1048" s="11" t="n"/>
      <c r="H1048" s="11" t="n"/>
      <c r="I1048" s="11" t="n"/>
      <c r="J1048" s="11" t="n"/>
      <c r="K1048" s="11" t="n"/>
      <c r="L1048" s="11" t="n"/>
      <c r="M1048" s="11" t="n"/>
      <c r="N1048" s="11" t="n"/>
      <c r="O1048" s="11" t="n"/>
      <c r="P1048" s="11" t="n"/>
      <c r="Q1048" s="11" t="n"/>
      <c r="R1048" s="11" t="n"/>
      <c r="S1048" s="11" t="n"/>
      <c r="T1048" s="12" t="n"/>
    </row>
    <row r="1049">
      <c r="A1049" s="11" t="n"/>
      <c r="B1049" s="11" t="n"/>
      <c r="C1049" s="11" t="n"/>
      <c r="D1049" s="11" t="n"/>
      <c r="E1049" s="11" t="n"/>
      <c r="F1049" s="11" t="n"/>
      <c r="G1049" s="11" t="n"/>
      <c r="H1049" s="11" t="n"/>
      <c r="I1049" s="11" t="n"/>
      <c r="J1049" s="11" t="n"/>
      <c r="K1049" s="11" t="n"/>
      <c r="L1049" s="11" t="n"/>
      <c r="M1049" s="11" t="n"/>
      <c r="N1049" s="11" t="n"/>
      <c r="O1049" s="11" t="n"/>
      <c r="P1049" s="11" t="n"/>
      <c r="Q1049" s="11" t="n"/>
      <c r="R1049" s="11" t="n"/>
      <c r="S1049" s="11" t="n"/>
      <c r="T1049" s="12" t="n"/>
    </row>
    <row r="1050">
      <c r="A1050" s="11" t="n"/>
      <c r="B1050" s="11" t="n"/>
      <c r="C1050" s="11" t="n"/>
      <c r="D1050" s="11" t="n"/>
      <c r="E1050" s="11" t="n"/>
      <c r="F1050" s="11" t="n"/>
      <c r="G1050" s="11" t="n"/>
      <c r="H1050" s="11" t="n"/>
      <c r="I1050" s="11" t="n"/>
      <c r="J1050" s="11" t="n"/>
      <c r="K1050" s="11" t="n"/>
      <c r="L1050" s="11" t="n"/>
      <c r="M1050" s="11" t="n"/>
      <c r="N1050" s="11" t="n"/>
      <c r="O1050" s="11" t="n"/>
      <c r="P1050" s="11" t="n"/>
      <c r="Q1050" s="11" t="n"/>
      <c r="R1050" s="11" t="n"/>
      <c r="S1050" s="11" t="n"/>
      <c r="T1050" s="12" t="n"/>
    </row>
    <row r="1051">
      <c r="A1051" s="11" t="n"/>
      <c r="B1051" s="11" t="n"/>
      <c r="C1051" s="11" t="n"/>
      <c r="D1051" s="11" t="n"/>
      <c r="E1051" s="11" t="n"/>
      <c r="F1051" s="11" t="n"/>
      <c r="G1051" s="11" t="n"/>
      <c r="H1051" s="11" t="n"/>
      <c r="I1051" s="11" t="n"/>
      <c r="J1051" s="11" t="n"/>
      <c r="K1051" s="11" t="n"/>
      <c r="L1051" s="11" t="n"/>
      <c r="M1051" s="11" t="n"/>
      <c r="N1051" s="11" t="n"/>
      <c r="O1051" s="11" t="n"/>
      <c r="P1051" s="11" t="n"/>
      <c r="Q1051" s="11" t="n"/>
      <c r="R1051" s="11" t="n"/>
      <c r="S1051" s="11" t="n"/>
      <c r="T1051" s="12" t="n"/>
    </row>
    <row r="1052">
      <c r="A1052" s="11" t="n"/>
      <c r="B1052" s="11" t="n"/>
      <c r="C1052" s="11" t="n"/>
      <c r="D1052" s="11" t="n"/>
      <c r="E1052" s="11" t="n"/>
      <c r="F1052" s="11" t="n"/>
      <c r="G1052" s="11" t="n"/>
      <c r="H1052" s="11" t="n"/>
      <c r="I1052" s="11" t="n"/>
      <c r="J1052" s="11" t="n"/>
      <c r="K1052" s="11" t="n"/>
      <c r="L1052" s="11" t="n"/>
      <c r="M1052" s="11" t="n"/>
      <c r="N1052" s="11" t="n"/>
      <c r="O1052" s="11" t="n"/>
      <c r="P1052" s="11" t="n"/>
      <c r="Q1052" s="11" t="n"/>
      <c r="R1052" s="11" t="n"/>
      <c r="S1052" s="11" t="n"/>
      <c r="T1052" s="12" t="n"/>
    </row>
    <row r="1053">
      <c r="A1053" s="11" t="n"/>
      <c r="B1053" s="11" t="n"/>
      <c r="C1053" s="11" t="n"/>
      <c r="D1053" s="11" t="n"/>
      <c r="E1053" s="11" t="n"/>
      <c r="F1053" s="11" t="n"/>
      <c r="G1053" s="11" t="n"/>
      <c r="H1053" s="11" t="n"/>
      <c r="I1053" s="11" t="n"/>
      <c r="J1053" s="11" t="n"/>
      <c r="K1053" s="11" t="n"/>
      <c r="L1053" s="11" t="n"/>
      <c r="M1053" s="11" t="n"/>
      <c r="N1053" s="11" t="n"/>
      <c r="O1053" s="11" t="n"/>
      <c r="P1053" s="11" t="n"/>
      <c r="Q1053" s="11" t="n"/>
      <c r="R1053" s="11" t="n"/>
      <c r="S1053" s="11" t="n"/>
      <c r="T1053" s="12" t="n"/>
    </row>
    <row r="1054">
      <c r="A1054" s="11" t="n"/>
      <c r="B1054" s="11" t="n"/>
      <c r="C1054" s="11" t="n"/>
      <c r="D1054" s="11" t="n"/>
      <c r="E1054" s="11" t="n"/>
      <c r="F1054" s="11" t="n"/>
      <c r="G1054" s="11" t="n"/>
      <c r="H1054" s="11" t="n"/>
      <c r="I1054" s="11" t="n"/>
      <c r="J1054" s="11" t="n"/>
      <c r="K1054" s="11" t="n"/>
      <c r="L1054" s="11" t="n"/>
      <c r="M1054" s="11" t="n"/>
      <c r="N1054" s="11" t="n"/>
      <c r="O1054" s="11" t="n"/>
      <c r="P1054" s="11" t="n"/>
      <c r="Q1054" s="11" t="n"/>
      <c r="R1054" s="11" t="n"/>
      <c r="S1054" s="11" t="n"/>
      <c r="T1054" s="12" t="n"/>
    </row>
    <row r="1055">
      <c r="A1055" s="11" t="n"/>
      <c r="B1055" s="11" t="n"/>
      <c r="C1055" s="11" t="n"/>
      <c r="D1055" s="11" t="n"/>
      <c r="E1055" s="11" t="n"/>
      <c r="F1055" s="11" t="n"/>
      <c r="G1055" s="11" t="n"/>
      <c r="H1055" s="11" t="n"/>
      <c r="I1055" s="11" t="n"/>
      <c r="J1055" s="11" t="n"/>
      <c r="K1055" s="11" t="n"/>
      <c r="L1055" s="11" t="n"/>
      <c r="M1055" s="11" t="n"/>
      <c r="N1055" s="11" t="n"/>
      <c r="O1055" s="11" t="n"/>
      <c r="P1055" s="11" t="n"/>
      <c r="Q1055" s="11" t="n"/>
      <c r="R1055" s="11" t="n"/>
      <c r="S1055" s="11" t="n"/>
      <c r="T1055" s="12" t="n"/>
    </row>
    <row r="1056">
      <c r="A1056" s="11" t="n"/>
      <c r="B1056" s="11" t="n"/>
      <c r="C1056" s="11" t="n"/>
      <c r="D1056" s="11" t="n"/>
      <c r="E1056" s="11" t="n"/>
      <c r="F1056" s="11" t="n"/>
      <c r="G1056" s="11" t="n"/>
      <c r="H1056" s="11" t="n"/>
      <c r="I1056" s="11" t="n"/>
      <c r="J1056" s="11" t="n"/>
      <c r="K1056" s="11" t="n"/>
      <c r="L1056" s="11" t="n"/>
      <c r="M1056" s="11" t="n"/>
      <c r="N1056" s="11" t="n"/>
      <c r="O1056" s="11" t="n"/>
      <c r="P1056" s="11" t="n"/>
      <c r="Q1056" s="11" t="n"/>
      <c r="R1056" s="11" t="n"/>
      <c r="S1056" s="11" t="n"/>
      <c r="T1056" s="12" t="n"/>
    </row>
    <row r="1057">
      <c r="A1057" s="11" t="n"/>
      <c r="B1057" s="11" t="n"/>
      <c r="C1057" s="11" t="n"/>
      <c r="D1057" s="11" t="n"/>
      <c r="E1057" s="11" t="n"/>
      <c r="F1057" s="11" t="n"/>
      <c r="G1057" s="11" t="n"/>
      <c r="H1057" s="11" t="n"/>
      <c r="I1057" s="11" t="n"/>
      <c r="J1057" s="11" t="n"/>
      <c r="K1057" s="11" t="n"/>
      <c r="L1057" s="11" t="n"/>
      <c r="M1057" s="11" t="n"/>
      <c r="N1057" s="11" t="n"/>
      <c r="O1057" s="11" t="n"/>
      <c r="P1057" s="11" t="n"/>
      <c r="Q1057" s="11" t="n"/>
      <c r="R1057" s="11" t="n"/>
      <c r="S1057" s="11" t="n"/>
      <c r="T1057" s="12" t="n"/>
    </row>
    <row r="1058">
      <c r="A1058" s="11" t="n"/>
      <c r="B1058" s="11" t="n"/>
      <c r="C1058" s="11" t="n"/>
      <c r="D1058" s="11" t="n"/>
      <c r="E1058" s="11" t="n"/>
      <c r="F1058" s="11" t="n"/>
      <c r="G1058" s="11" t="n"/>
      <c r="H1058" s="11" t="n"/>
      <c r="I1058" s="11" t="n"/>
      <c r="J1058" s="11" t="n"/>
      <c r="K1058" s="11" t="n"/>
      <c r="L1058" s="11" t="n"/>
      <c r="M1058" s="11" t="n"/>
      <c r="N1058" s="11" t="n"/>
      <c r="O1058" s="11" t="n"/>
      <c r="P1058" s="11" t="n"/>
      <c r="Q1058" s="11" t="n"/>
      <c r="R1058" s="11" t="n"/>
      <c r="S1058" s="11" t="n"/>
      <c r="T1058" s="12" t="n"/>
    </row>
    <row r="1059">
      <c r="A1059" s="11" t="n"/>
      <c r="B1059" s="11" t="n"/>
      <c r="C1059" s="11" t="n"/>
      <c r="D1059" s="11" t="n"/>
      <c r="E1059" s="11" t="n"/>
      <c r="F1059" s="11" t="n"/>
      <c r="G1059" s="11" t="n"/>
      <c r="H1059" s="11" t="n"/>
      <c r="I1059" s="11" t="n"/>
      <c r="J1059" s="11" t="n"/>
      <c r="K1059" s="11" t="n"/>
      <c r="L1059" s="11" t="n"/>
      <c r="M1059" s="11" t="n"/>
      <c r="N1059" s="11" t="n"/>
      <c r="O1059" s="11" t="n"/>
      <c r="P1059" s="11" t="n"/>
      <c r="Q1059" s="11" t="n"/>
      <c r="R1059" s="11" t="n"/>
      <c r="S1059" s="11" t="n"/>
      <c r="T1059" s="12" t="n"/>
    </row>
    <row r="1060">
      <c r="A1060" s="11" t="n"/>
      <c r="B1060" s="11" t="n"/>
      <c r="C1060" s="11" t="n"/>
      <c r="D1060" s="11" t="n"/>
      <c r="E1060" s="11" t="n"/>
      <c r="F1060" s="11" t="n"/>
      <c r="G1060" s="11" t="n"/>
      <c r="H1060" s="11" t="n"/>
      <c r="I1060" s="11" t="n"/>
      <c r="J1060" s="11" t="n"/>
      <c r="K1060" s="11" t="n"/>
      <c r="L1060" s="11" t="n"/>
      <c r="M1060" s="11" t="n"/>
      <c r="N1060" s="11" t="n"/>
      <c r="O1060" s="11" t="n"/>
      <c r="P1060" s="11" t="n"/>
      <c r="Q1060" s="11" t="n"/>
      <c r="R1060" s="11" t="n"/>
      <c r="S1060" s="11" t="n"/>
      <c r="T1060" s="12" t="n"/>
    </row>
    <row r="1061">
      <c r="A1061" s="11" t="n"/>
      <c r="B1061" s="11" t="n"/>
      <c r="C1061" s="11" t="n"/>
      <c r="D1061" s="11" t="n"/>
      <c r="E1061" s="11" t="n"/>
      <c r="F1061" s="11" t="n"/>
      <c r="G1061" s="11" t="n"/>
      <c r="H1061" s="11" t="n"/>
      <c r="I1061" s="11" t="n"/>
      <c r="J1061" s="11" t="n"/>
      <c r="K1061" s="11" t="n"/>
      <c r="L1061" s="11" t="n"/>
      <c r="M1061" s="11" t="n"/>
      <c r="N1061" s="11" t="n"/>
      <c r="O1061" s="11" t="n"/>
      <c r="P1061" s="11" t="n"/>
      <c r="Q1061" s="11" t="n"/>
      <c r="R1061" s="11" t="n"/>
      <c r="S1061" s="11" t="n"/>
      <c r="T1061" s="12" t="n"/>
    </row>
    <row r="1062">
      <c r="A1062" s="11" t="n"/>
      <c r="B1062" s="11" t="n"/>
      <c r="C1062" s="11" t="n"/>
      <c r="D1062" s="11" t="n"/>
      <c r="E1062" s="11" t="n"/>
      <c r="F1062" s="11" t="n"/>
      <c r="G1062" s="11" t="n"/>
      <c r="H1062" s="11" t="n"/>
      <c r="I1062" s="11" t="n"/>
      <c r="J1062" s="11" t="n"/>
      <c r="K1062" s="11" t="n"/>
      <c r="L1062" s="11" t="n"/>
      <c r="M1062" s="11" t="n"/>
      <c r="N1062" s="11" t="n"/>
      <c r="O1062" s="11" t="n"/>
      <c r="P1062" s="11" t="n"/>
      <c r="Q1062" s="11" t="n"/>
      <c r="R1062" s="11" t="n"/>
      <c r="S1062" s="11" t="n"/>
      <c r="T1062" s="12" t="n"/>
    </row>
    <row r="1063">
      <c r="A1063" s="11" t="n"/>
      <c r="B1063" s="11" t="n"/>
      <c r="C1063" s="11" t="n"/>
      <c r="D1063" s="11" t="n"/>
      <c r="E1063" s="11" t="n"/>
      <c r="F1063" s="11" t="n"/>
      <c r="G1063" s="11" t="n"/>
      <c r="H1063" s="11" t="n"/>
      <c r="I1063" s="11" t="n"/>
      <c r="J1063" s="11" t="n"/>
      <c r="K1063" s="11" t="n"/>
      <c r="L1063" s="11" t="n"/>
      <c r="M1063" s="11" t="n"/>
      <c r="N1063" s="11" t="n"/>
      <c r="O1063" s="11" t="n"/>
      <c r="P1063" s="11" t="n"/>
      <c r="Q1063" s="11" t="n"/>
      <c r="R1063" s="11" t="n"/>
      <c r="S1063" s="11" t="n"/>
      <c r="T1063" s="12" t="n"/>
    </row>
    <row r="1064">
      <c r="A1064" s="11" t="n"/>
      <c r="B1064" s="11" t="n"/>
      <c r="C1064" s="11" t="n"/>
      <c r="D1064" s="11" t="n"/>
      <c r="E1064" s="11" t="n"/>
      <c r="F1064" s="11" t="n"/>
      <c r="G1064" s="11" t="n"/>
      <c r="H1064" s="11" t="n"/>
      <c r="I1064" s="11" t="n"/>
      <c r="J1064" s="11" t="n"/>
      <c r="K1064" s="11" t="n"/>
      <c r="L1064" s="11" t="n"/>
      <c r="M1064" s="11" t="n"/>
      <c r="N1064" s="11" t="n"/>
      <c r="O1064" s="11" t="n"/>
      <c r="P1064" s="11" t="n"/>
      <c r="Q1064" s="11" t="n"/>
      <c r="R1064" s="11" t="n"/>
      <c r="S1064" s="11" t="n"/>
      <c r="T1064" s="12" t="n"/>
    </row>
    <row r="1065">
      <c r="A1065" s="11" t="n"/>
      <c r="B1065" s="11" t="n"/>
      <c r="C1065" s="11" t="n"/>
      <c r="D1065" s="11" t="n"/>
      <c r="E1065" s="11" t="n"/>
      <c r="F1065" s="11" t="n"/>
      <c r="G1065" s="11" t="n"/>
      <c r="H1065" s="11" t="n"/>
      <c r="I1065" s="11" t="n"/>
      <c r="J1065" s="11" t="n"/>
      <c r="K1065" s="11" t="n"/>
      <c r="L1065" s="11" t="n"/>
      <c r="M1065" s="11" t="n"/>
      <c r="N1065" s="11" t="n"/>
      <c r="O1065" s="11" t="n"/>
      <c r="P1065" s="11" t="n"/>
      <c r="Q1065" s="11" t="n"/>
      <c r="R1065" s="11" t="n"/>
      <c r="S1065" s="11" t="n"/>
      <c r="T1065" s="12" t="n"/>
    </row>
    <row r="1066">
      <c r="A1066" s="11" t="n"/>
      <c r="B1066" s="11" t="n"/>
      <c r="C1066" s="11" t="n"/>
      <c r="D1066" s="11" t="n"/>
      <c r="E1066" s="11" t="n"/>
      <c r="F1066" s="11" t="n"/>
      <c r="G1066" s="11" t="n"/>
      <c r="H1066" s="11" t="n"/>
      <c r="I1066" s="11" t="n"/>
      <c r="J1066" s="11" t="n"/>
      <c r="K1066" s="11" t="n"/>
      <c r="L1066" s="11" t="n"/>
      <c r="M1066" s="11" t="n"/>
      <c r="N1066" s="11" t="n"/>
      <c r="O1066" s="11" t="n"/>
      <c r="P1066" s="11" t="n"/>
      <c r="Q1066" s="11" t="n"/>
      <c r="R1066" s="11" t="n"/>
      <c r="S1066" s="11" t="n"/>
      <c r="T1066" s="12" t="n"/>
    </row>
    <row r="1067">
      <c r="A1067" s="11" t="n"/>
      <c r="B1067" s="11" t="n"/>
      <c r="C1067" s="11" t="n"/>
      <c r="D1067" s="11" t="n"/>
      <c r="E1067" s="11" t="n"/>
      <c r="F1067" s="11" t="n"/>
      <c r="G1067" s="11" t="n"/>
      <c r="H1067" s="11" t="n"/>
      <c r="I1067" s="11" t="n"/>
      <c r="J1067" s="11" t="n"/>
      <c r="K1067" s="11" t="n"/>
      <c r="L1067" s="11" t="n"/>
      <c r="M1067" s="11" t="n"/>
      <c r="N1067" s="11" t="n"/>
      <c r="O1067" s="11" t="n"/>
      <c r="P1067" s="11" t="n"/>
      <c r="Q1067" s="11" t="n"/>
      <c r="R1067" s="11" t="n"/>
      <c r="S1067" s="11" t="n"/>
      <c r="T1067" s="12" t="n"/>
    </row>
    <row r="1068">
      <c r="A1068" s="11" t="n"/>
      <c r="B1068" s="11" t="n"/>
      <c r="C1068" s="11" t="n"/>
      <c r="D1068" s="11" t="n"/>
      <c r="E1068" s="11" t="n"/>
      <c r="F1068" s="11" t="n"/>
      <c r="G1068" s="11" t="n"/>
      <c r="H1068" s="11" t="n"/>
      <c r="I1068" s="11" t="n"/>
      <c r="J1068" s="11" t="n"/>
      <c r="K1068" s="11" t="n"/>
      <c r="L1068" s="11" t="n"/>
      <c r="M1068" s="11" t="n"/>
      <c r="N1068" s="11" t="n"/>
      <c r="O1068" s="11" t="n"/>
      <c r="P1068" s="11" t="n"/>
      <c r="Q1068" s="11" t="n"/>
      <c r="R1068" s="11" t="n"/>
      <c r="S1068" s="11" t="n"/>
      <c r="T1068" s="12" t="n"/>
    </row>
    <row r="1069">
      <c r="A1069" s="11" t="n"/>
      <c r="B1069" s="11" t="n"/>
      <c r="C1069" s="11" t="n"/>
      <c r="D1069" s="11" t="n"/>
      <c r="E1069" s="11" t="n"/>
      <c r="F1069" s="11" t="n"/>
      <c r="G1069" s="11" t="n"/>
      <c r="H1069" s="11" t="n"/>
      <c r="I1069" s="11" t="n"/>
      <c r="J1069" s="11" t="n"/>
      <c r="K1069" s="11" t="n"/>
      <c r="L1069" s="11" t="n"/>
      <c r="M1069" s="11" t="n"/>
      <c r="N1069" s="11" t="n"/>
      <c r="O1069" s="11" t="n"/>
      <c r="P1069" s="11" t="n"/>
      <c r="Q1069" s="11" t="n"/>
      <c r="R1069" s="11" t="n"/>
      <c r="S1069" s="11" t="n"/>
      <c r="T1069" s="12" t="n"/>
    </row>
    <row r="1070">
      <c r="A1070" s="11" t="n"/>
      <c r="B1070" s="11" t="n"/>
      <c r="C1070" s="11" t="n"/>
      <c r="D1070" s="11" t="n"/>
      <c r="E1070" s="11" t="n"/>
      <c r="F1070" s="11" t="n"/>
      <c r="G1070" s="11" t="n"/>
      <c r="H1070" s="11" t="n"/>
      <c r="I1070" s="11" t="n"/>
      <c r="J1070" s="11" t="n"/>
      <c r="K1070" s="11" t="n"/>
      <c r="L1070" s="11" t="n"/>
      <c r="M1070" s="11" t="n"/>
      <c r="N1070" s="11" t="n"/>
      <c r="O1070" s="11" t="n"/>
      <c r="P1070" s="11" t="n"/>
      <c r="Q1070" s="11" t="n"/>
      <c r="R1070" s="11" t="n"/>
      <c r="S1070" s="11" t="n"/>
      <c r="T1070" s="12" t="n"/>
    </row>
    <row r="1071">
      <c r="A1071" s="11" t="n"/>
      <c r="B1071" s="11" t="n"/>
      <c r="C1071" s="11" t="n"/>
      <c r="D1071" s="11" t="n"/>
      <c r="E1071" s="11" t="n"/>
      <c r="F1071" s="11" t="n"/>
      <c r="G1071" s="11" t="n"/>
      <c r="H1071" s="11" t="n"/>
      <c r="I1071" s="11" t="n"/>
      <c r="J1071" s="11" t="n"/>
      <c r="K1071" s="11" t="n"/>
      <c r="L1071" s="11" t="n"/>
      <c r="M1071" s="11" t="n"/>
      <c r="N1071" s="11" t="n"/>
      <c r="O1071" s="11" t="n"/>
      <c r="P1071" s="11" t="n"/>
      <c r="Q1071" s="11" t="n"/>
      <c r="R1071" s="11" t="n"/>
      <c r="S1071" s="11" t="n"/>
      <c r="T1071" s="12" t="n"/>
    </row>
    <row r="1072">
      <c r="A1072" s="11" t="n"/>
      <c r="B1072" s="11" t="n"/>
      <c r="C1072" s="11" t="n"/>
      <c r="D1072" s="11" t="n"/>
      <c r="E1072" s="11" t="n"/>
      <c r="F1072" s="11" t="n"/>
      <c r="G1072" s="11" t="n"/>
      <c r="H1072" s="11" t="n"/>
      <c r="I1072" s="11" t="n"/>
      <c r="J1072" s="11" t="n"/>
      <c r="K1072" s="11" t="n"/>
      <c r="L1072" s="11" t="n"/>
      <c r="M1072" s="11" t="n"/>
      <c r="N1072" s="11" t="n"/>
      <c r="O1072" s="11" t="n"/>
      <c r="P1072" s="11" t="n"/>
      <c r="Q1072" s="11" t="n"/>
      <c r="R1072" s="11" t="n"/>
      <c r="S1072" s="11" t="n"/>
      <c r="T1072" s="12" t="n"/>
    </row>
    <row r="1073">
      <c r="A1073" s="11" t="n"/>
      <c r="B1073" s="11" t="n"/>
      <c r="C1073" s="11" t="n"/>
      <c r="D1073" s="11" t="n"/>
      <c r="E1073" s="11" t="n"/>
      <c r="F1073" s="11" t="n"/>
      <c r="G1073" s="11" t="n"/>
      <c r="H1073" s="11" t="n"/>
      <c r="I1073" s="11" t="n"/>
      <c r="J1073" s="11" t="n"/>
      <c r="K1073" s="11" t="n"/>
      <c r="L1073" s="11" t="n"/>
      <c r="M1073" s="11" t="n"/>
      <c r="N1073" s="11" t="n"/>
      <c r="O1073" s="11" t="n"/>
      <c r="P1073" s="11" t="n"/>
      <c r="Q1073" s="11" t="n"/>
      <c r="R1073" s="11" t="n"/>
      <c r="S1073" s="11" t="n"/>
      <c r="T1073" s="12" t="n"/>
    </row>
    <row r="1074">
      <c r="A1074" s="11" t="n"/>
      <c r="B1074" s="11" t="n"/>
      <c r="C1074" s="11" t="n"/>
      <c r="D1074" s="11" t="n"/>
      <c r="E1074" s="11" t="n"/>
      <c r="F1074" s="11" t="n"/>
      <c r="G1074" s="11" t="n"/>
      <c r="H1074" s="11" t="n"/>
      <c r="I1074" s="11" t="n"/>
      <c r="J1074" s="11" t="n"/>
      <c r="K1074" s="11" t="n"/>
      <c r="L1074" s="11" t="n"/>
      <c r="M1074" s="11" t="n"/>
      <c r="N1074" s="11" t="n"/>
      <c r="O1074" s="11" t="n"/>
      <c r="P1074" s="11" t="n"/>
      <c r="Q1074" s="11" t="n"/>
      <c r="R1074" s="11" t="n"/>
      <c r="S1074" s="11" t="n"/>
      <c r="T1074" s="12" t="n"/>
    </row>
    <row r="1075">
      <c r="A1075" s="11" t="n"/>
      <c r="B1075" s="11" t="n"/>
      <c r="C1075" s="11" t="n"/>
      <c r="D1075" s="11" t="n"/>
      <c r="E1075" s="11" t="n"/>
      <c r="F1075" s="11" t="n"/>
      <c r="G1075" s="11" t="n"/>
      <c r="H1075" s="11" t="n"/>
      <c r="I1075" s="11" t="n"/>
      <c r="J1075" s="11" t="n"/>
      <c r="K1075" s="11" t="n"/>
      <c r="L1075" s="11" t="n"/>
      <c r="M1075" s="11" t="n"/>
      <c r="N1075" s="11" t="n"/>
      <c r="O1075" s="11" t="n"/>
      <c r="P1075" s="11" t="n"/>
      <c r="Q1075" s="11" t="n"/>
      <c r="R1075" s="11" t="n"/>
      <c r="S1075" s="11" t="n"/>
      <c r="T1075" s="12" t="n"/>
    </row>
    <row r="1076">
      <c r="A1076" s="11" t="n"/>
      <c r="B1076" s="11" t="n"/>
      <c r="C1076" s="11" t="n"/>
      <c r="D1076" s="11" t="n"/>
      <c r="E1076" s="11" t="n"/>
      <c r="F1076" s="11" t="n"/>
      <c r="G1076" s="11" t="n"/>
      <c r="H1076" s="11" t="n"/>
      <c r="I1076" s="11" t="n"/>
      <c r="J1076" s="11" t="n"/>
      <c r="K1076" s="11" t="n"/>
      <c r="L1076" s="11" t="n"/>
      <c r="M1076" s="11" t="n"/>
      <c r="N1076" s="11" t="n"/>
      <c r="O1076" s="11" t="n"/>
      <c r="P1076" s="11" t="n"/>
      <c r="Q1076" s="11" t="n"/>
      <c r="R1076" s="11" t="n"/>
      <c r="S1076" s="11" t="n"/>
      <c r="T1076" s="12" t="n"/>
    </row>
    <row r="1077">
      <c r="A1077" s="11" t="n"/>
      <c r="B1077" s="11" t="n"/>
      <c r="C1077" s="11" t="n"/>
      <c r="D1077" s="11" t="n"/>
      <c r="E1077" s="11" t="n"/>
      <c r="F1077" s="11" t="n"/>
      <c r="G1077" s="11" t="n"/>
      <c r="H1077" s="11" t="n"/>
      <c r="I1077" s="11" t="n"/>
      <c r="J1077" s="11" t="n"/>
      <c r="K1077" s="11" t="n"/>
      <c r="L1077" s="11" t="n"/>
      <c r="M1077" s="11" t="n"/>
      <c r="N1077" s="11" t="n"/>
      <c r="O1077" s="11" t="n"/>
      <c r="P1077" s="11" t="n"/>
      <c r="Q1077" s="11" t="n"/>
      <c r="R1077" s="11" t="n"/>
      <c r="S1077" s="11" t="n"/>
      <c r="T1077" s="12" t="n"/>
    </row>
    <row r="1078">
      <c r="A1078" s="11" t="n"/>
      <c r="B1078" s="11" t="n"/>
      <c r="C1078" s="11" t="n"/>
      <c r="D1078" s="11" t="n"/>
      <c r="E1078" s="11" t="n"/>
      <c r="F1078" s="11" t="n"/>
      <c r="G1078" s="11" t="n"/>
      <c r="H1078" s="11" t="n"/>
      <c r="I1078" s="11" t="n"/>
      <c r="J1078" s="11" t="n"/>
      <c r="K1078" s="11" t="n"/>
      <c r="L1078" s="11" t="n"/>
      <c r="M1078" s="11" t="n"/>
      <c r="N1078" s="11" t="n"/>
      <c r="O1078" s="11" t="n"/>
      <c r="P1078" s="11" t="n"/>
      <c r="Q1078" s="11" t="n"/>
      <c r="R1078" s="11" t="n"/>
      <c r="S1078" s="11" t="n"/>
      <c r="T1078" s="12" t="n"/>
    </row>
    <row r="1079">
      <c r="A1079" s="11" t="n"/>
      <c r="B1079" s="11" t="n"/>
      <c r="C1079" s="11" t="n"/>
      <c r="D1079" s="11" t="n"/>
      <c r="E1079" s="11" t="n"/>
      <c r="F1079" s="11" t="n"/>
      <c r="G1079" s="11" t="n"/>
      <c r="H1079" s="11" t="n"/>
      <c r="I1079" s="11" t="n"/>
      <c r="J1079" s="11" t="n"/>
      <c r="K1079" s="11" t="n"/>
      <c r="L1079" s="11" t="n"/>
      <c r="M1079" s="11" t="n"/>
      <c r="N1079" s="11" t="n"/>
      <c r="O1079" s="11" t="n"/>
      <c r="P1079" s="11" t="n"/>
      <c r="Q1079" s="11" t="n"/>
      <c r="R1079" s="11" t="n"/>
      <c r="S1079" s="11" t="n"/>
      <c r="T1079" s="12" t="n"/>
    </row>
    <row r="1080">
      <c r="A1080" s="11" t="n"/>
      <c r="B1080" s="11" t="n"/>
      <c r="C1080" s="11" t="n"/>
      <c r="D1080" s="11" t="n"/>
      <c r="E1080" s="11" t="n"/>
      <c r="F1080" s="11" t="n"/>
      <c r="G1080" s="11" t="n"/>
      <c r="H1080" s="11" t="n"/>
      <c r="I1080" s="11" t="n"/>
      <c r="J1080" s="11" t="n"/>
      <c r="K1080" s="11" t="n"/>
      <c r="L1080" s="11" t="n"/>
      <c r="M1080" s="11" t="n"/>
      <c r="N1080" s="11" t="n"/>
      <c r="O1080" s="11" t="n"/>
      <c r="P1080" s="11" t="n"/>
      <c r="Q1080" s="11" t="n"/>
      <c r="R1080" s="11" t="n"/>
      <c r="S1080" s="11" t="n"/>
      <c r="T1080" s="12" t="n"/>
    </row>
    <row r="1081">
      <c r="A1081" s="11" t="n"/>
      <c r="B1081" s="11" t="n"/>
      <c r="C1081" s="11" t="n"/>
      <c r="D1081" s="11" t="n"/>
      <c r="E1081" s="11" t="n"/>
      <c r="F1081" s="11" t="n"/>
      <c r="G1081" s="11" t="n"/>
      <c r="H1081" s="11" t="n"/>
      <c r="I1081" s="11" t="n"/>
      <c r="J1081" s="11" t="n"/>
      <c r="K1081" s="11" t="n"/>
      <c r="L1081" s="11" t="n"/>
      <c r="M1081" s="11" t="n"/>
      <c r="N1081" s="11" t="n"/>
      <c r="O1081" s="11" t="n"/>
      <c r="P1081" s="11" t="n"/>
      <c r="Q1081" s="11" t="n"/>
      <c r="R1081" s="11" t="n"/>
      <c r="S1081" s="11" t="n"/>
      <c r="T1081" s="12" t="n"/>
    </row>
    <row r="1082">
      <c r="A1082" s="11" t="n"/>
      <c r="B1082" s="11" t="n"/>
      <c r="C1082" s="11" t="n"/>
      <c r="D1082" s="11" t="n"/>
      <c r="E1082" s="11" t="n"/>
      <c r="F1082" s="11" t="n"/>
      <c r="G1082" s="11" t="n"/>
      <c r="H1082" s="11" t="n"/>
      <c r="I1082" s="11" t="n"/>
      <c r="J1082" s="11" t="n"/>
      <c r="K1082" s="11" t="n"/>
      <c r="L1082" s="11" t="n"/>
      <c r="M1082" s="11" t="n"/>
      <c r="N1082" s="11" t="n"/>
      <c r="O1082" s="11" t="n"/>
      <c r="P1082" s="11" t="n"/>
      <c r="Q1082" s="11" t="n"/>
      <c r="R1082" s="11" t="n"/>
      <c r="S1082" s="11" t="n"/>
      <c r="T1082" s="12" t="n"/>
    </row>
    <row r="1083">
      <c r="A1083" s="11" t="n"/>
      <c r="B1083" s="11" t="n"/>
      <c r="C1083" s="11" t="n"/>
      <c r="D1083" s="11" t="n"/>
      <c r="E1083" s="11" t="n"/>
      <c r="F1083" s="11" t="n"/>
      <c r="G1083" s="11" t="n"/>
      <c r="H1083" s="11" t="n"/>
      <c r="I1083" s="11" t="n"/>
      <c r="J1083" s="11" t="n"/>
      <c r="K1083" s="11" t="n"/>
      <c r="L1083" s="11" t="n"/>
      <c r="M1083" s="11" t="n"/>
      <c r="N1083" s="11" t="n"/>
      <c r="O1083" s="11" t="n"/>
      <c r="P1083" s="11" t="n"/>
      <c r="Q1083" s="11" t="n"/>
      <c r="R1083" s="11" t="n"/>
      <c r="S1083" s="11" t="n"/>
      <c r="T1083" s="12" t="n"/>
    </row>
    <row r="1084">
      <c r="A1084" s="11" t="n"/>
      <c r="B1084" s="11" t="n"/>
      <c r="C1084" s="11" t="n"/>
      <c r="D1084" s="11" t="n"/>
      <c r="E1084" s="11" t="n"/>
      <c r="F1084" s="11" t="n"/>
      <c r="G1084" s="11" t="n"/>
      <c r="H1084" s="11" t="n"/>
      <c r="I1084" s="11" t="n"/>
      <c r="J1084" s="11" t="n"/>
      <c r="K1084" s="11" t="n"/>
      <c r="L1084" s="11" t="n"/>
      <c r="M1084" s="11" t="n"/>
      <c r="N1084" s="11" t="n"/>
      <c r="O1084" s="11" t="n"/>
      <c r="P1084" s="11" t="n"/>
      <c r="Q1084" s="11" t="n"/>
      <c r="R1084" s="11" t="n"/>
      <c r="S1084" s="11" t="n"/>
      <c r="T1084" s="12" t="n"/>
    </row>
    <row r="1085">
      <c r="A1085" s="11" t="n"/>
      <c r="B1085" s="11" t="n"/>
      <c r="C1085" s="11" t="n"/>
      <c r="D1085" s="11" t="n"/>
      <c r="E1085" s="11" t="n"/>
      <c r="F1085" s="11" t="n"/>
      <c r="G1085" s="11" t="n"/>
      <c r="H1085" s="11" t="n"/>
      <c r="I1085" s="11" t="n"/>
      <c r="J1085" s="11" t="n"/>
      <c r="K1085" s="11" t="n"/>
      <c r="L1085" s="11" t="n"/>
      <c r="M1085" s="11" t="n"/>
      <c r="N1085" s="11" t="n"/>
      <c r="O1085" s="11" t="n"/>
      <c r="P1085" s="11" t="n"/>
      <c r="Q1085" s="11" t="n"/>
      <c r="R1085" s="11" t="n"/>
      <c r="S1085" s="11" t="n"/>
      <c r="T1085" s="12" t="n"/>
    </row>
    <row r="1086">
      <c r="A1086" s="11" t="n"/>
      <c r="B1086" s="11" t="n"/>
      <c r="C1086" s="11" t="n"/>
      <c r="D1086" s="11" t="n"/>
      <c r="E1086" s="11" t="n"/>
      <c r="F1086" s="11" t="n"/>
      <c r="G1086" s="11" t="n"/>
      <c r="H1086" s="11" t="n"/>
      <c r="I1086" s="11" t="n"/>
      <c r="J1086" s="11" t="n"/>
      <c r="K1086" s="11" t="n"/>
      <c r="L1086" s="11" t="n"/>
      <c r="M1086" s="11" t="n"/>
      <c r="N1086" s="11" t="n"/>
      <c r="O1086" s="11" t="n"/>
      <c r="P1086" s="11" t="n"/>
      <c r="Q1086" s="11" t="n"/>
      <c r="R1086" s="11" t="n"/>
      <c r="S1086" s="11" t="n"/>
      <c r="T1086" s="12" t="n"/>
    </row>
    <row r="1087">
      <c r="A1087" s="11" t="n"/>
      <c r="B1087" s="11" t="n"/>
      <c r="C1087" s="11" t="n"/>
      <c r="D1087" s="11" t="n"/>
      <c r="E1087" s="11" t="n"/>
      <c r="F1087" s="11" t="n"/>
      <c r="G1087" s="11" t="n"/>
      <c r="H1087" s="11" t="n"/>
      <c r="I1087" s="11" t="n"/>
      <c r="J1087" s="11" t="n"/>
      <c r="K1087" s="11" t="n"/>
      <c r="L1087" s="11" t="n"/>
      <c r="M1087" s="11" t="n"/>
      <c r="N1087" s="11" t="n"/>
      <c r="O1087" s="11" t="n"/>
      <c r="P1087" s="11" t="n"/>
      <c r="Q1087" s="11" t="n"/>
      <c r="R1087" s="11" t="n"/>
      <c r="S1087" s="11" t="n"/>
      <c r="T1087" s="12" t="n"/>
    </row>
    <row r="1088">
      <c r="A1088" s="11" t="n"/>
      <c r="B1088" s="11" t="n"/>
      <c r="C1088" s="11" t="n"/>
      <c r="D1088" s="11" t="n"/>
      <c r="E1088" s="11" t="n"/>
      <c r="F1088" s="11" t="n"/>
      <c r="G1088" s="11" t="n"/>
      <c r="H1088" s="11" t="n"/>
      <c r="I1088" s="11" t="n"/>
      <c r="J1088" s="11" t="n"/>
      <c r="K1088" s="11" t="n"/>
      <c r="L1088" s="11" t="n"/>
      <c r="M1088" s="11" t="n"/>
      <c r="N1088" s="11" t="n"/>
      <c r="O1088" s="11" t="n"/>
      <c r="P1088" s="11" t="n"/>
      <c r="Q1088" s="11" t="n"/>
      <c r="R1088" s="11" t="n"/>
      <c r="S1088" s="11" t="n"/>
      <c r="T1088" s="12" t="n"/>
    </row>
    <row r="1089">
      <c r="A1089" s="11" t="n"/>
      <c r="B1089" s="11" t="n"/>
      <c r="C1089" s="11" t="n"/>
      <c r="D1089" s="11" t="n"/>
      <c r="E1089" s="11" t="n"/>
      <c r="F1089" s="11" t="n"/>
      <c r="G1089" s="11" t="n"/>
      <c r="H1089" s="11" t="n"/>
      <c r="I1089" s="11" t="n"/>
      <c r="J1089" s="11" t="n"/>
      <c r="K1089" s="11" t="n"/>
      <c r="L1089" s="11" t="n"/>
      <c r="M1089" s="11" t="n"/>
      <c r="N1089" s="11" t="n"/>
      <c r="O1089" s="11" t="n"/>
      <c r="P1089" s="11" t="n"/>
      <c r="Q1089" s="11" t="n"/>
      <c r="R1089" s="11" t="n"/>
      <c r="S1089" s="11" t="n"/>
      <c r="T1089" s="12" t="n"/>
    </row>
    <row r="1090">
      <c r="A1090" s="11" t="n"/>
      <c r="B1090" s="11" t="n"/>
      <c r="C1090" s="11" t="n"/>
      <c r="D1090" s="11" t="n"/>
      <c r="E1090" s="11" t="n"/>
      <c r="F1090" s="11" t="n"/>
      <c r="G1090" s="11" t="n"/>
      <c r="H1090" s="11" t="n"/>
      <c r="I1090" s="11" t="n"/>
      <c r="J1090" s="11" t="n"/>
      <c r="K1090" s="11" t="n"/>
      <c r="L1090" s="11" t="n"/>
      <c r="M1090" s="11" t="n"/>
      <c r="N1090" s="11" t="n"/>
      <c r="O1090" s="11" t="n"/>
      <c r="P1090" s="11" t="n"/>
      <c r="Q1090" s="11" t="n"/>
      <c r="R1090" s="11" t="n"/>
      <c r="S1090" s="11" t="n"/>
      <c r="T1090" s="12" t="n"/>
    </row>
    <row r="1091">
      <c r="A1091" s="11" t="n"/>
      <c r="B1091" s="11" t="n"/>
      <c r="C1091" s="11" t="n"/>
      <c r="D1091" s="11" t="n"/>
      <c r="E1091" s="11" t="n"/>
      <c r="F1091" s="11" t="n"/>
      <c r="G1091" s="11" t="n"/>
      <c r="H1091" s="11" t="n"/>
      <c r="I1091" s="11" t="n"/>
      <c r="J1091" s="11" t="n"/>
      <c r="K1091" s="11" t="n"/>
      <c r="L1091" s="11" t="n"/>
      <c r="M1091" s="11" t="n"/>
      <c r="N1091" s="11" t="n"/>
      <c r="O1091" s="11" t="n"/>
      <c r="P1091" s="11" t="n"/>
      <c r="Q1091" s="11" t="n"/>
      <c r="R1091" s="11" t="n"/>
      <c r="S1091" s="11" t="n"/>
      <c r="T1091" s="12" t="n"/>
    </row>
    <row r="1092">
      <c r="A1092" s="11" t="n"/>
      <c r="B1092" s="11" t="n"/>
      <c r="C1092" s="11" t="n"/>
      <c r="D1092" s="11" t="n"/>
      <c r="E1092" s="11" t="n"/>
      <c r="F1092" s="11" t="n"/>
      <c r="G1092" s="11" t="n"/>
      <c r="H1092" s="11" t="n"/>
      <c r="I1092" s="11" t="n"/>
      <c r="J1092" s="11" t="n"/>
      <c r="K1092" s="11" t="n"/>
      <c r="L1092" s="11" t="n"/>
      <c r="M1092" s="11" t="n"/>
      <c r="N1092" s="11" t="n"/>
      <c r="O1092" s="11" t="n"/>
      <c r="P1092" s="11" t="n"/>
      <c r="Q1092" s="11" t="n"/>
      <c r="R1092" s="11" t="n"/>
      <c r="S1092" s="11" t="n"/>
      <c r="T1092" s="12" t="n"/>
    </row>
    <row r="1093">
      <c r="A1093" s="11" t="n"/>
      <c r="B1093" s="11" t="n"/>
      <c r="C1093" s="11" t="n"/>
      <c r="D1093" s="11" t="n"/>
      <c r="E1093" s="11" t="n"/>
      <c r="F1093" s="11" t="n"/>
      <c r="G1093" s="11" t="n"/>
      <c r="H1093" s="11" t="n"/>
      <c r="I1093" s="11" t="n"/>
      <c r="J1093" s="11" t="n"/>
      <c r="K1093" s="11" t="n"/>
      <c r="L1093" s="11" t="n"/>
      <c r="M1093" s="11" t="n"/>
      <c r="N1093" s="11" t="n"/>
      <c r="O1093" s="11" t="n"/>
      <c r="P1093" s="11" t="n"/>
      <c r="Q1093" s="11" t="n"/>
      <c r="R1093" s="11" t="n"/>
      <c r="S1093" s="11" t="n"/>
      <c r="T1093" s="12" t="n"/>
    </row>
    <row r="1094">
      <c r="A1094" s="11" t="n"/>
      <c r="B1094" s="11" t="n"/>
      <c r="C1094" s="11" t="n"/>
      <c r="D1094" s="11" t="n"/>
      <c r="E1094" s="11" t="n"/>
      <c r="F1094" s="11" t="n"/>
      <c r="G1094" s="11" t="n"/>
      <c r="H1094" s="11" t="n"/>
      <c r="I1094" s="11" t="n"/>
      <c r="J1094" s="11" t="n"/>
      <c r="K1094" s="11" t="n"/>
      <c r="L1094" s="11" t="n"/>
      <c r="M1094" s="11" t="n"/>
      <c r="N1094" s="11" t="n"/>
      <c r="O1094" s="11" t="n"/>
      <c r="P1094" s="11" t="n"/>
      <c r="Q1094" s="11" t="n"/>
      <c r="R1094" s="11" t="n"/>
      <c r="S1094" s="11" t="n"/>
      <c r="T1094" s="12" t="n"/>
    </row>
    <row r="1095">
      <c r="A1095" s="11" t="n"/>
      <c r="B1095" s="11" t="n"/>
      <c r="C1095" s="11" t="n"/>
      <c r="D1095" s="11" t="n"/>
      <c r="E1095" s="11" t="n"/>
      <c r="F1095" s="11" t="n"/>
      <c r="G1095" s="11" t="n"/>
      <c r="H1095" s="11" t="n"/>
      <c r="I1095" s="11" t="n"/>
      <c r="J1095" s="11" t="n"/>
      <c r="K1095" s="11" t="n"/>
      <c r="L1095" s="11" t="n"/>
      <c r="M1095" s="11" t="n"/>
      <c r="N1095" s="11" t="n"/>
      <c r="O1095" s="11" t="n"/>
      <c r="P1095" s="11" t="n"/>
      <c r="Q1095" s="11" t="n"/>
      <c r="R1095" s="11" t="n"/>
      <c r="S1095" s="11" t="n"/>
      <c r="T1095" s="12" t="n"/>
    </row>
    <row r="1096">
      <c r="A1096" s="11" t="n"/>
      <c r="B1096" s="11" t="n"/>
      <c r="C1096" s="11" t="n"/>
      <c r="D1096" s="11" t="n"/>
      <c r="E1096" s="11" t="n"/>
      <c r="F1096" s="11" t="n"/>
      <c r="G1096" s="11" t="n"/>
      <c r="H1096" s="11" t="n"/>
      <c r="I1096" s="11" t="n"/>
      <c r="J1096" s="11" t="n"/>
      <c r="K1096" s="11" t="n"/>
      <c r="L1096" s="11" t="n"/>
      <c r="M1096" s="11" t="n"/>
      <c r="N1096" s="11" t="n"/>
      <c r="O1096" s="11" t="n"/>
      <c r="P1096" s="11" t="n"/>
      <c r="Q1096" s="11" t="n"/>
      <c r="R1096" s="11" t="n"/>
      <c r="S1096" s="11" t="n"/>
      <c r="T1096" s="12" t="n"/>
    </row>
    <row r="1097">
      <c r="A1097" s="11" t="n"/>
      <c r="B1097" s="11" t="n"/>
      <c r="C1097" s="11" t="n"/>
      <c r="D1097" s="11" t="n"/>
      <c r="E1097" s="11" t="n"/>
      <c r="F1097" s="11" t="n"/>
      <c r="G1097" s="11" t="n"/>
      <c r="H1097" s="11" t="n"/>
      <c r="I1097" s="11" t="n"/>
      <c r="J1097" s="11" t="n"/>
      <c r="K1097" s="11" t="n"/>
      <c r="L1097" s="11" t="n"/>
      <c r="M1097" s="11" t="n"/>
      <c r="N1097" s="11" t="n"/>
      <c r="O1097" s="11" t="n"/>
      <c r="P1097" s="11" t="n"/>
      <c r="Q1097" s="11" t="n"/>
      <c r="R1097" s="11" t="n"/>
      <c r="S1097" s="11" t="n"/>
      <c r="T1097" s="12" t="n"/>
    </row>
    <row r="1098">
      <c r="A1098" s="11" t="n"/>
      <c r="B1098" s="11" t="n"/>
      <c r="C1098" s="11" t="n"/>
      <c r="D1098" s="11" t="n"/>
      <c r="E1098" s="11" t="n"/>
      <c r="F1098" s="11" t="n"/>
      <c r="G1098" s="11" t="n"/>
      <c r="H1098" s="11" t="n"/>
      <c r="I1098" s="11" t="n"/>
      <c r="J1098" s="11" t="n"/>
      <c r="K1098" s="11" t="n"/>
      <c r="L1098" s="11" t="n"/>
      <c r="M1098" s="11" t="n"/>
      <c r="N1098" s="11" t="n"/>
      <c r="O1098" s="11" t="n"/>
      <c r="P1098" s="11" t="n"/>
      <c r="Q1098" s="11" t="n"/>
      <c r="R1098" s="11" t="n"/>
      <c r="S1098" s="11" t="n"/>
      <c r="T1098" s="12" t="n"/>
    </row>
    <row r="1099">
      <c r="A1099" s="11" t="n"/>
      <c r="B1099" s="11" t="n"/>
      <c r="C1099" s="11" t="n"/>
      <c r="D1099" s="11" t="n"/>
      <c r="E1099" s="11" t="n"/>
      <c r="F1099" s="11" t="n"/>
      <c r="G1099" s="11" t="n"/>
      <c r="H1099" s="11" t="n"/>
      <c r="I1099" s="11" t="n"/>
      <c r="J1099" s="11" t="n"/>
      <c r="K1099" s="11" t="n"/>
      <c r="L1099" s="11" t="n"/>
      <c r="M1099" s="11" t="n"/>
      <c r="N1099" s="11" t="n"/>
      <c r="O1099" s="11" t="n"/>
      <c r="P1099" s="11" t="n"/>
      <c r="Q1099" s="11" t="n"/>
      <c r="R1099" s="11" t="n"/>
      <c r="S1099" s="11" t="n"/>
      <c r="T1099" s="12" t="n"/>
    </row>
    <row r="1100">
      <c r="A1100" s="11" t="n"/>
      <c r="B1100" s="11" t="n"/>
      <c r="C1100" s="11" t="n"/>
      <c r="D1100" s="11" t="n"/>
      <c r="E1100" s="11" t="n"/>
      <c r="F1100" s="11" t="n"/>
      <c r="G1100" s="11" t="n"/>
      <c r="H1100" s="11" t="n"/>
      <c r="I1100" s="11" t="n"/>
      <c r="J1100" s="11" t="n"/>
      <c r="K1100" s="11" t="n"/>
      <c r="L1100" s="11" t="n"/>
      <c r="M1100" s="11" t="n"/>
      <c r="N1100" s="11" t="n"/>
      <c r="O1100" s="11" t="n"/>
      <c r="P1100" s="11" t="n"/>
      <c r="Q1100" s="11" t="n"/>
      <c r="R1100" s="11" t="n"/>
      <c r="S1100" s="11" t="n"/>
      <c r="T1100" s="12" t="n"/>
    </row>
    <row r="1101">
      <c r="A1101" s="11" t="n"/>
      <c r="B1101" s="11" t="n"/>
      <c r="C1101" s="11" t="n"/>
      <c r="D1101" s="11" t="n"/>
      <c r="E1101" s="11" t="n"/>
      <c r="F1101" s="11" t="n"/>
      <c r="G1101" s="11" t="n"/>
      <c r="H1101" s="11" t="n"/>
      <c r="I1101" s="11" t="n"/>
      <c r="J1101" s="11" t="n"/>
      <c r="K1101" s="11" t="n"/>
      <c r="L1101" s="11" t="n"/>
      <c r="M1101" s="11" t="n"/>
      <c r="N1101" s="11" t="n"/>
      <c r="O1101" s="11" t="n"/>
      <c r="P1101" s="11" t="n"/>
      <c r="Q1101" s="11" t="n"/>
      <c r="R1101" s="11" t="n"/>
      <c r="S1101" s="11" t="n"/>
      <c r="T1101" s="12" t="n"/>
    </row>
    <row r="1102">
      <c r="A1102" s="11" t="n"/>
      <c r="B1102" s="11" t="n"/>
      <c r="C1102" s="11" t="n"/>
      <c r="D1102" s="11" t="n"/>
      <c r="E1102" s="11" t="n"/>
      <c r="F1102" s="11" t="n"/>
      <c r="G1102" s="11" t="n"/>
      <c r="H1102" s="11" t="n"/>
      <c r="I1102" s="11" t="n"/>
      <c r="J1102" s="11" t="n"/>
      <c r="K1102" s="11" t="n"/>
      <c r="L1102" s="11" t="n"/>
      <c r="M1102" s="11" t="n"/>
      <c r="N1102" s="11" t="n"/>
      <c r="O1102" s="11" t="n"/>
      <c r="P1102" s="11" t="n"/>
      <c r="Q1102" s="11" t="n"/>
      <c r="R1102" s="11" t="n"/>
      <c r="S1102" s="11" t="n"/>
      <c r="T1102" s="12" t="n"/>
    </row>
    <row r="1103">
      <c r="A1103" s="11" t="n"/>
      <c r="B1103" s="11" t="n"/>
      <c r="C1103" s="11" t="n"/>
      <c r="D1103" s="11" t="n"/>
      <c r="E1103" s="11" t="n"/>
      <c r="F1103" s="11" t="n"/>
      <c r="G1103" s="11" t="n"/>
      <c r="H1103" s="11" t="n"/>
      <c r="I1103" s="11" t="n"/>
      <c r="J1103" s="11" t="n"/>
      <c r="K1103" s="11" t="n"/>
      <c r="L1103" s="11" t="n"/>
      <c r="M1103" s="11" t="n"/>
      <c r="N1103" s="11" t="n"/>
      <c r="O1103" s="11" t="n"/>
      <c r="P1103" s="11" t="n"/>
      <c r="Q1103" s="11" t="n"/>
      <c r="R1103" s="11" t="n"/>
      <c r="S1103" s="11" t="n"/>
      <c r="T1103" s="12" t="n"/>
    </row>
    <row r="1104">
      <c r="A1104" s="11" t="n"/>
      <c r="B1104" s="11" t="n"/>
      <c r="C1104" s="11" t="n"/>
      <c r="D1104" s="11" t="n"/>
      <c r="E1104" s="11" t="n"/>
      <c r="F1104" s="11" t="n"/>
      <c r="G1104" s="11" t="n"/>
      <c r="H1104" s="11" t="n"/>
      <c r="I1104" s="11" t="n"/>
      <c r="J1104" s="11" t="n"/>
      <c r="K1104" s="11" t="n"/>
      <c r="L1104" s="11" t="n"/>
      <c r="M1104" s="11" t="n"/>
      <c r="N1104" s="11" t="n"/>
      <c r="O1104" s="11" t="n"/>
      <c r="P1104" s="11" t="n"/>
      <c r="Q1104" s="11" t="n"/>
      <c r="R1104" s="11" t="n"/>
      <c r="S1104" s="11" t="n"/>
      <c r="T1104" s="12" t="n"/>
    </row>
    <row r="1105">
      <c r="A1105" s="11" t="n"/>
      <c r="B1105" s="11" t="n"/>
      <c r="C1105" s="11" t="n"/>
      <c r="D1105" s="11" t="n"/>
      <c r="E1105" s="11" t="n"/>
      <c r="F1105" s="11" t="n"/>
      <c r="G1105" s="11" t="n"/>
      <c r="H1105" s="11" t="n"/>
      <c r="I1105" s="11" t="n"/>
      <c r="J1105" s="11" t="n"/>
      <c r="K1105" s="11" t="n"/>
      <c r="L1105" s="11" t="n"/>
      <c r="M1105" s="11" t="n"/>
      <c r="N1105" s="11" t="n"/>
      <c r="O1105" s="11" t="n"/>
      <c r="P1105" s="11" t="n"/>
      <c r="Q1105" s="11" t="n"/>
      <c r="R1105" s="11" t="n"/>
      <c r="S1105" s="11" t="n"/>
      <c r="T1105" s="12" t="n"/>
    </row>
    <row r="1106">
      <c r="A1106" s="11" t="n"/>
      <c r="B1106" s="11" t="n"/>
      <c r="C1106" s="11" t="n"/>
      <c r="D1106" s="11" t="n"/>
      <c r="E1106" s="11" t="n"/>
      <c r="F1106" s="11" t="n"/>
      <c r="G1106" s="11" t="n"/>
      <c r="H1106" s="11" t="n"/>
      <c r="I1106" s="11" t="n"/>
      <c r="J1106" s="11" t="n"/>
      <c r="K1106" s="11" t="n"/>
      <c r="L1106" s="11" t="n"/>
      <c r="M1106" s="11" t="n"/>
      <c r="N1106" s="11" t="n"/>
      <c r="O1106" s="11" t="n"/>
      <c r="P1106" s="11" t="n"/>
      <c r="Q1106" s="11" t="n"/>
      <c r="R1106" s="11" t="n"/>
      <c r="S1106" s="11" t="n"/>
      <c r="T1106" s="12" t="n"/>
    </row>
    <row r="1107">
      <c r="A1107" s="11" t="n"/>
      <c r="B1107" s="11" t="n"/>
      <c r="C1107" s="11" t="n"/>
      <c r="D1107" s="11" t="n"/>
      <c r="E1107" s="11" t="n"/>
      <c r="F1107" s="11" t="n"/>
      <c r="G1107" s="11" t="n"/>
      <c r="H1107" s="11" t="n"/>
      <c r="I1107" s="11" t="n"/>
      <c r="J1107" s="11" t="n"/>
      <c r="K1107" s="11" t="n"/>
      <c r="L1107" s="11" t="n"/>
      <c r="M1107" s="11" t="n"/>
      <c r="N1107" s="11" t="n"/>
      <c r="O1107" s="11" t="n"/>
      <c r="P1107" s="11" t="n"/>
      <c r="Q1107" s="11" t="n"/>
      <c r="R1107" s="11" t="n"/>
      <c r="S1107" s="11" t="n"/>
      <c r="T1107" s="12" t="n"/>
    </row>
    <row r="1108">
      <c r="A1108" s="11" t="n"/>
      <c r="B1108" s="11" t="n"/>
      <c r="C1108" s="11" t="n"/>
      <c r="D1108" s="11" t="n"/>
      <c r="E1108" s="11" t="n"/>
      <c r="F1108" s="11" t="n"/>
      <c r="G1108" s="11" t="n"/>
      <c r="H1108" s="11" t="n"/>
      <c r="I1108" s="11" t="n"/>
      <c r="J1108" s="11" t="n"/>
      <c r="K1108" s="11" t="n"/>
      <c r="L1108" s="11" t="n"/>
      <c r="M1108" s="11" t="n"/>
      <c r="N1108" s="11" t="n"/>
      <c r="O1108" s="11" t="n"/>
      <c r="P1108" s="11" t="n"/>
      <c r="Q1108" s="11" t="n"/>
      <c r="R1108" s="11" t="n"/>
      <c r="S1108" s="11" t="n"/>
      <c r="T1108" s="12" t="n"/>
    </row>
    <row r="1109">
      <c r="A1109" s="11" t="n"/>
      <c r="B1109" s="11" t="n"/>
      <c r="C1109" s="11" t="n"/>
      <c r="D1109" s="11" t="n"/>
      <c r="E1109" s="11" t="n"/>
      <c r="F1109" s="11" t="n"/>
      <c r="G1109" s="11" t="n"/>
      <c r="H1109" s="11" t="n"/>
      <c r="I1109" s="11" t="n"/>
      <c r="J1109" s="11" t="n"/>
      <c r="K1109" s="11" t="n"/>
      <c r="L1109" s="11" t="n"/>
      <c r="M1109" s="11" t="n"/>
      <c r="N1109" s="11" t="n"/>
      <c r="O1109" s="11" t="n"/>
      <c r="P1109" s="11" t="n"/>
      <c r="Q1109" s="11" t="n"/>
      <c r="R1109" s="11" t="n"/>
      <c r="S1109" s="11" t="n"/>
      <c r="T1109" s="12" t="n"/>
    </row>
    <row r="1110">
      <c r="A1110" s="11" t="n"/>
      <c r="B1110" s="11" t="n"/>
      <c r="C1110" s="11" t="n"/>
      <c r="D1110" s="11" t="n"/>
      <c r="E1110" s="11" t="n"/>
      <c r="F1110" s="11" t="n"/>
      <c r="G1110" s="11" t="n"/>
      <c r="H1110" s="11" t="n"/>
      <c r="I1110" s="11" t="n"/>
      <c r="J1110" s="11" t="n"/>
      <c r="K1110" s="11" t="n"/>
      <c r="L1110" s="11" t="n"/>
      <c r="M1110" s="11" t="n"/>
      <c r="N1110" s="11" t="n"/>
      <c r="O1110" s="11" t="n"/>
      <c r="P1110" s="11" t="n"/>
      <c r="Q1110" s="11" t="n"/>
      <c r="R1110" s="11" t="n"/>
      <c r="S1110" s="11" t="n"/>
      <c r="T1110" s="12" t="n"/>
    </row>
    <row r="1111">
      <c r="A1111" s="11" t="n"/>
      <c r="B1111" s="11" t="n"/>
      <c r="C1111" s="11" t="n"/>
      <c r="D1111" s="11" t="n"/>
      <c r="E1111" s="11" t="n"/>
      <c r="F1111" s="11" t="n"/>
      <c r="G1111" s="11" t="n"/>
      <c r="H1111" s="11" t="n"/>
      <c r="I1111" s="11" t="n"/>
      <c r="J1111" s="11" t="n"/>
      <c r="K1111" s="11" t="n"/>
      <c r="L1111" s="11" t="n"/>
      <c r="M1111" s="11" t="n"/>
      <c r="N1111" s="11" t="n"/>
      <c r="O1111" s="11" t="n"/>
      <c r="P1111" s="11" t="n"/>
      <c r="Q1111" s="11" t="n"/>
      <c r="R1111" s="11" t="n"/>
      <c r="S1111" s="11" t="n"/>
      <c r="T1111" s="12" t="n"/>
    </row>
    <row r="1112">
      <c r="A1112" s="11" t="n"/>
      <c r="B1112" s="11" t="n"/>
      <c r="C1112" s="11" t="n"/>
      <c r="D1112" s="11" t="n"/>
      <c r="E1112" s="11" t="n"/>
      <c r="F1112" s="11" t="n"/>
      <c r="G1112" s="11" t="n"/>
      <c r="H1112" s="11" t="n"/>
      <c r="I1112" s="11" t="n"/>
      <c r="J1112" s="11" t="n"/>
      <c r="K1112" s="11" t="n"/>
      <c r="L1112" s="11" t="n"/>
      <c r="M1112" s="11" t="n"/>
      <c r="N1112" s="11" t="n"/>
      <c r="O1112" s="11" t="n"/>
      <c r="P1112" s="11" t="n"/>
      <c r="Q1112" s="11" t="n"/>
      <c r="R1112" s="11" t="n"/>
      <c r="S1112" s="11" t="n"/>
      <c r="T1112" s="12" t="n"/>
    </row>
    <row r="1113">
      <c r="A1113" s="11" t="n"/>
      <c r="B1113" s="11" t="n"/>
      <c r="C1113" s="11" t="n"/>
      <c r="D1113" s="11" t="n"/>
      <c r="E1113" s="11" t="n"/>
      <c r="F1113" s="11" t="n"/>
      <c r="G1113" s="11" t="n"/>
      <c r="H1113" s="11" t="n"/>
      <c r="I1113" s="11" t="n"/>
      <c r="J1113" s="11" t="n"/>
      <c r="K1113" s="11" t="n"/>
      <c r="L1113" s="11" t="n"/>
      <c r="M1113" s="11" t="n"/>
      <c r="N1113" s="11" t="n"/>
      <c r="O1113" s="11" t="n"/>
      <c r="P1113" s="11" t="n"/>
      <c r="Q1113" s="11" t="n"/>
      <c r="R1113" s="11" t="n"/>
      <c r="S1113" s="11" t="n"/>
      <c r="T1113" s="12" t="n"/>
    </row>
    <row r="1114">
      <c r="A1114" s="11" t="n"/>
      <c r="B1114" s="11" t="n"/>
      <c r="C1114" s="11" t="n"/>
      <c r="D1114" s="11" t="n"/>
      <c r="E1114" s="11" t="n"/>
      <c r="F1114" s="11" t="n"/>
      <c r="G1114" s="11" t="n"/>
      <c r="H1114" s="11" t="n"/>
      <c r="I1114" s="11" t="n"/>
      <c r="J1114" s="11" t="n"/>
      <c r="K1114" s="11" t="n"/>
      <c r="L1114" s="11" t="n"/>
      <c r="M1114" s="11" t="n"/>
      <c r="N1114" s="11" t="n"/>
      <c r="O1114" s="11" t="n"/>
      <c r="P1114" s="11" t="n"/>
      <c r="Q1114" s="11" t="n"/>
      <c r="R1114" s="11" t="n"/>
      <c r="S1114" s="11" t="n"/>
      <c r="T1114" s="12" t="n"/>
    </row>
    <row r="1115">
      <c r="A1115" s="11" t="n"/>
      <c r="B1115" s="11" t="n"/>
      <c r="C1115" s="11" t="n"/>
      <c r="D1115" s="11" t="n"/>
      <c r="E1115" s="11" t="n"/>
      <c r="F1115" s="11" t="n"/>
      <c r="G1115" s="11" t="n"/>
      <c r="H1115" s="11" t="n"/>
      <c r="I1115" s="11" t="n"/>
      <c r="J1115" s="11" t="n"/>
      <c r="K1115" s="11" t="n"/>
      <c r="L1115" s="11" t="n"/>
      <c r="M1115" s="11" t="n"/>
      <c r="N1115" s="11" t="n"/>
      <c r="O1115" s="11" t="n"/>
      <c r="P1115" s="11" t="n"/>
      <c r="Q1115" s="11" t="n"/>
      <c r="R1115" s="11" t="n"/>
      <c r="S1115" s="11" t="n"/>
      <c r="T1115" s="12" t="n"/>
    </row>
    <row r="1116">
      <c r="A1116" s="11" t="n"/>
      <c r="B1116" s="11" t="n"/>
      <c r="C1116" s="11" t="n"/>
      <c r="D1116" s="11" t="n"/>
      <c r="E1116" s="11" t="n"/>
      <c r="F1116" s="11" t="n"/>
      <c r="G1116" s="11" t="n"/>
      <c r="H1116" s="11" t="n"/>
      <c r="I1116" s="11" t="n"/>
      <c r="J1116" s="11" t="n"/>
      <c r="K1116" s="11" t="n"/>
      <c r="L1116" s="11" t="n"/>
      <c r="M1116" s="11" t="n"/>
      <c r="N1116" s="11" t="n"/>
      <c r="O1116" s="11" t="n"/>
      <c r="P1116" s="11" t="n"/>
      <c r="Q1116" s="11" t="n"/>
      <c r="R1116" s="11" t="n"/>
      <c r="S1116" s="11" t="n"/>
      <c r="T1116" s="12" t="n"/>
    </row>
    <row r="1117">
      <c r="A1117" s="11" t="n"/>
      <c r="B1117" s="11" t="n"/>
      <c r="C1117" s="11" t="n"/>
      <c r="D1117" s="11" t="n"/>
      <c r="E1117" s="11" t="n"/>
      <c r="F1117" s="11" t="n"/>
      <c r="G1117" s="11" t="n"/>
      <c r="H1117" s="11" t="n"/>
      <c r="I1117" s="11" t="n"/>
      <c r="J1117" s="11" t="n"/>
      <c r="K1117" s="11" t="n"/>
      <c r="L1117" s="11" t="n"/>
      <c r="M1117" s="11" t="n"/>
      <c r="N1117" s="11" t="n"/>
      <c r="O1117" s="11" t="n"/>
      <c r="P1117" s="11" t="n"/>
      <c r="Q1117" s="11" t="n"/>
      <c r="R1117" s="11" t="n"/>
      <c r="S1117" s="11" t="n"/>
      <c r="T1117" s="12" t="n"/>
    </row>
    <row r="1118">
      <c r="A1118" s="11" t="n"/>
      <c r="B1118" s="11" t="n"/>
      <c r="C1118" s="11" t="n"/>
      <c r="D1118" s="11" t="n"/>
      <c r="E1118" s="11" t="n"/>
      <c r="F1118" s="11" t="n"/>
      <c r="G1118" s="11" t="n"/>
      <c r="H1118" s="11" t="n"/>
      <c r="I1118" s="11" t="n"/>
      <c r="J1118" s="11" t="n"/>
      <c r="K1118" s="11" t="n"/>
      <c r="L1118" s="11" t="n"/>
      <c r="M1118" s="11" t="n"/>
      <c r="N1118" s="11" t="n"/>
      <c r="O1118" s="11" t="n"/>
      <c r="P1118" s="11" t="n"/>
      <c r="Q1118" s="11" t="n"/>
      <c r="R1118" s="11" t="n"/>
      <c r="S1118" s="11" t="n"/>
      <c r="T1118" s="12" t="n"/>
    </row>
    <row r="1119">
      <c r="A1119" s="11" t="n"/>
      <c r="B1119" s="11" t="n"/>
      <c r="C1119" s="11" t="n"/>
      <c r="D1119" s="11" t="n"/>
      <c r="E1119" s="11" t="n"/>
      <c r="F1119" s="11" t="n"/>
      <c r="G1119" s="11" t="n"/>
      <c r="H1119" s="11" t="n"/>
      <c r="I1119" s="11" t="n"/>
      <c r="J1119" s="11" t="n"/>
      <c r="K1119" s="11" t="n"/>
      <c r="L1119" s="11" t="n"/>
      <c r="M1119" s="11" t="n"/>
      <c r="N1119" s="11" t="n"/>
      <c r="O1119" s="11" t="n"/>
      <c r="P1119" s="11" t="n"/>
      <c r="Q1119" s="11" t="n"/>
      <c r="R1119" s="11" t="n"/>
      <c r="S1119" s="11" t="n"/>
      <c r="T1119" s="12" t="n"/>
    </row>
    <row r="1120">
      <c r="A1120" s="11" t="n"/>
      <c r="B1120" s="11" t="n"/>
      <c r="C1120" s="11" t="n"/>
      <c r="D1120" s="11" t="n"/>
      <c r="E1120" s="11" t="n"/>
      <c r="F1120" s="11" t="n"/>
      <c r="G1120" s="11" t="n"/>
      <c r="H1120" s="11" t="n"/>
      <c r="I1120" s="11" t="n"/>
      <c r="J1120" s="11" t="n"/>
      <c r="K1120" s="11" t="n"/>
      <c r="L1120" s="11" t="n"/>
      <c r="M1120" s="11" t="n"/>
      <c r="N1120" s="11" t="n"/>
      <c r="O1120" s="11" t="n"/>
      <c r="P1120" s="11" t="n"/>
      <c r="Q1120" s="11" t="n"/>
      <c r="R1120" s="11" t="n"/>
      <c r="S1120" s="11" t="n"/>
      <c r="T1120" s="12" t="n"/>
    </row>
    <row r="1121">
      <c r="A1121" s="11" t="n"/>
      <c r="B1121" s="11" t="n"/>
      <c r="C1121" s="11" t="n"/>
      <c r="D1121" s="11" t="n"/>
      <c r="E1121" s="11" t="n"/>
      <c r="F1121" s="11" t="n"/>
      <c r="G1121" s="11" t="n"/>
      <c r="H1121" s="11" t="n"/>
      <c r="I1121" s="11" t="n"/>
      <c r="J1121" s="11" t="n"/>
      <c r="K1121" s="11" t="n"/>
      <c r="L1121" s="11" t="n"/>
      <c r="M1121" s="11" t="n"/>
      <c r="N1121" s="11" t="n"/>
      <c r="O1121" s="11" t="n"/>
      <c r="P1121" s="11" t="n"/>
      <c r="Q1121" s="11" t="n"/>
      <c r="R1121" s="11" t="n"/>
      <c r="S1121" s="11" t="n"/>
      <c r="T1121" s="12" t="n"/>
    </row>
    <row r="1122">
      <c r="A1122" s="11" t="n"/>
      <c r="B1122" s="11" t="n"/>
      <c r="C1122" s="11" t="n"/>
      <c r="D1122" s="11" t="n"/>
      <c r="E1122" s="11" t="n"/>
      <c r="F1122" s="11" t="n"/>
      <c r="G1122" s="11" t="n"/>
      <c r="H1122" s="11" t="n"/>
      <c r="I1122" s="11" t="n"/>
      <c r="J1122" s="11" t="n"/>
      <c r="K1122" s="11" t="n"/>
      <c r="L1122" s="11" t="n"/>
      <c r="M1122" s="11" t="n"/>
      <c r="N1122" s="11" t="n"/>
      <c r="O1122" s="11" t="n"/>
      <c r="P1122" s="11" t="n"/>
      <c r="Q1122" s="11" t="n"/>
      <c r="R1122" s="11" t="n"/>
      <c r="S1122" s="11" t="n"/>
      <c r="T1122" s="12" t="n"/>
    </row>
    <row r="1123">
      <c r="A1123" s="11" t="n"/>
      <c r="B1123" s="11" t="n"/>
      <c r="C1123" s="11" t="n"/>
      <c r="D1123" s="11" t="n"/>
      <c r="E1123" s="11" t="n"/>
      <c r="F1123" s="11" t="n"/>
      <c r="G1123" s="11" t="n"/>
      <c r="H1123" s="11" t="n"/>
      <c r="I1123" s="11" t="n"/>
      <c r="J1123" s="11" t="n"/>
      <c r="K1123" s="11" t="n"/>
      <c r="L1123" s="11" t="n"/>
      <c r="M1123" s="11" t="n"/>
      <c r="N1123" s="11" t="n"/>
      <c r="O1123" s="11" t="n"/>
      <c r="P1123" s="11" t="n"/>
      <c r="Q1123" s="11" t="n"/>
      <c r="R1123" s="11" t="n"/>
      <c r="S1123" s="11" t="n"/>
      <c r="T1123" s="12" t="n"/>
    </row>
    <row r="1124">
      <c r="A1124" s="11" t="n"/>
      <c r="B1124" s="11" t="n"/>
      <c r="C1124" s="11" t="n"/>
      <c r="D1124" s="11" t="n"/>
      <c r="E1124" s="11" t="n"/>
      <c r="F1124" s="11" t="n"/>
      <c r="G1124" s="11" t="n"/>
      <c r="H1124" s="11" t="n"/>
      <c r="I1124" s="11" t="n"/>
      <c r="J1124" s="11" t="n"/>
      <c r="K1124" s="11" t="n"/>
      <c r="L1124" s="11" t="n"/>
      <c r="M1124" s="11" t="n"/>
      <c r="N1124" s="11" t="n"/>
      <c r="O1124" s="11" t="n"/>
      <c r="P1124" s="11" t="n"/>
      <c r="Q1124" s="11" t="n"/>
      <c r="R1124" s="11" t="n"/>
      <c r="S1124" s="11" t="n"/>
      <c r="T1124" s="12" t="n"/>
    </row>
    <row r="1125">
      <c r="A1125" s="11" t="n"/>
      <c r="B1125" s="11" t="n"/>
      <c r="C1125" s="11" t="n"/>
      <c r="D1125" s="11" t="n"/>
      <c r="E1125" s="11" t="n"/>
      <c r="F1125" s="11" t="n"/>
      <c r="G1125" s="11" t="n"/>
      <c r="H1125" s="11" t="n"/>
      <c r="I1125" s="11" t="n"/>
      <c r="J1125" s="11" t="n"/>
      <c r="K1125" s="11" t="n"/>
      <c r="L1125" s="11" t="n"/>
      <c r="M1125" s="11" t="n"/>
      <c r="N1125" s="11" t="n"/>
      <c r="O1125" s="11" t="n"/>
      <c r="P1125" s="11" t="n"/>
      <c r="Q1125" s="11" t="n"/>
      <c r="R1125" s="11" t="n"/>
      <c r="S1125" s="11" t="n"/>
      <c r="T1125" s="12" t="n"/>
    </row>
    <row r="1126">
      <c r="A1126" s="11" t="n"/>
      <c r="B1126" s="11" t="n"/>
      <c r="C1126" s="11" t="n"/>
      <c r="D1126" s="11" t="n"/>
      <c r="E1126" s="11" t="n"/>
      <c r="F1126" s="11" t="n"/>
      <c r="G1126" s="11" t="n"/>
      <c r="H1126" s="11" t="n"/>
      <c r="I1126" s="11" t="n"/>
      <c r="J1126" s="11" t="n"/>
      <c r="K1126" s="11" t="n"/>
      <c r="L1126" s="11" t="n"/>
      <c r="M1126" s="11" t="n"/>
      <c r="N1126" s="11" t="n"/>
      <c r="O1126" s="11" t="n"/>
      <c r="P1126" s="11" t="n"/>
      <c r="Q1126" s="11" t="n"/>
      <c r="R1126" s="11" t="n"/>
      <c r="S1126" s="11" t="n"/>
      <c r="T1126" s="12" t="n"/>
    </row>
    <row r="1127">
      <c r="A1127" s="11" t="n"/>
      <c r="B1127" s="11" t="n"/>
      <c r="C1127" s="11" t="n"/>
      <c r="D1127" s="11" t="n"/>
      <c r="E1127" s="11" t="n"/>
      <c r="F1127" s="11" t="n"/>
      <c r="G1127" s="11" t="n"/>
      <c r="H1127" s="11" t="n"/>
      <c r="I1127" s="11" t="n"/>
      <c r="J1127" s="11" t="n"/>
      <c r="K1127" s="11" t="n"/>
      <c r="L1127" s="11" t="n"/>
      <c r="M1127" s="11" t="n"/>
      <c r="N1127" s="11" t="n"/>
      <c r="O1127" s="11" t="n"/>
      <c r="P1127" s="11" t="n"/>
      <c r="Q1127" s="11" t="n"/>
      <c r="R1127" s="11" t="n"/>
      <c r="S1127" s="11" t="n"/>
      <c r="T1127" s="12" t="n"/>
    </row>
    <row r="1128">
      <c r="A1128" s="11" t="n"/>
      <c r="B1128" s="11" t="n"/>
      <c r="C1128" s="11" t="n"/>
      <c r="D1128" s="11" t="n"/>
      <c r="E1128" s="11" t="n"/>
      <c r="F1128" s="11" t="n"/>
      <c r="G1128" s="11" t="n"/>
      <c r="H1128" s="11" t="n"/>
      <c r="I1128" s="11" t="n"/>
      <c r="J1128" s="11" t="n"/>
      <c r="K1128" s="11" t="n"/>
      <c r="L1128" s="11" t="n"/>
      <c r="M1128" s="11" t="n"/>
      <c r="N1128" s="11" t="n"/>
      <c r="O1128" s="11" t="n"/>
      <c r="P1128" s="11" t="n"/>
      <c r="Q1128" s="11" t="n"/>
      <c r="R1128" s="11" t="n"/>
      <c r="S1128" s="11" t="n"/>
      <c r="T1128" s="12" t="n"/>
    </row>
    <row r="1129">
      <c r="A1129" s="11" t="n"/>
      <c r="B1129" s="11" t="n"/>
      <c r="C1129" s="11" t="n"/>
      <c r="D1129" s="11" t="n"/>
      <c r="E1129" s="11" t="n"/>
      <c r="F1129" s="11" t="n"/>
      <c r="G1129" s="11" t="n"/>
      <c r="H1129" s="11" t="n"/>
      <c r="I1129" s="11" t="n"/>
      <c r="J1129" s="11" t="n"/>
      <c r="K1129" s="11" t="n"/>
      <c r="L1129" s="11" t="n"/>
      <c r="M1129" s="11" t="n"/>
      <c r="N1129" s="11" t="n"/>
      <c r="O1129" s="11" t="n"/>
      <c r="P1129" s="11" t="n"/>
      <c r="Q1129" s="11" t="n"/>
      <c r="R1129" s="11" t="n"/>
      <c r="S1129" s="11" t="n"/>
      <c r="T1129" s="12" t="n"/>
    </row>
    <row r="1130">
      <c r="A1130" s="11" t="n"/>
      <c r="B1130" s="11" t="n"/>
      <c r="C1130" s="11" t="n"/>
      <c r="D1130" s="11" t="n"/>
      <c r="E1130" s="11" t="n"/>
      <c r="F1130" s="11" t="n"/>
      <c r="G1130" s="11" t="n"/>
      <c r="H1130" s="11" t="n"/>
      <c r="I1130" s="11" t="n"/>
      <c r="J1130" s="11" t="n"/>
      <c r="K1130" s="11" t="n"/>
      <c r="L1130" s="11" t="n"/>
      <c r="M1130" s="11" t="n"/>
      <c r="N1130" s="11" t="n"/>
      <c r="O1130" s="11" t="n"/>
      <c r="P1130" s="11" t="n"/>
      <c r="Q1130" s="11" t="n"/>
      <c r="R1130" s="11" t="n"/>
      <c r="S1130" s="11" t="n"/>
      <c r="T1130" s="12" t="n"/>
    </row>
    <row r="1131">
      <c r="A1131" s="11" t="n"/>
      <c r="B1131" s="11" t="n"/>
      <c r="C1131" s="11" t="n"/>
      <c r="D1131" s="11" t="n"/>
      <c r="E1131" s="11" t="n"/>
      <c r="F1131" s="11" t="n"/>
      <c r="G1131" s="11" t="n"/>
      <c r="H1131" s="11" t="n"/>
      <c r="I1131" s="11" t="n"/>
      <c r="J1131" s="11" t="n"/>
      <c r="K1131" s="11" t="n"/>
      <c r="L1131" s="11" t="n"/>
      <c r="M1131" s="11" t="n"/>
      <c r="N1131" s="11" t="n"/>
      <c r="O1131" s="11" t="n"/>
      <c r="P1131" s="11" t="n"/>
      <c r="Q1131" s="11" t="n"/>
      <c r="R1131" s="11" t="n"/>
      <c r="S1131" s="11" t="n"/>
      <c r="T1131" s="12" t="n"/>
    </row>
    <row r="1132">
      <c r="A1132" s="11" t="n"/>
      <c r="B1132" s="11" t="n"/>
      <c r="C1132" s="11" t="n"/>
      <c r="D1132" s="11" t="n"/>
      <c r="E1132" s="11" t="n"/>
      <c r="F1132" s="11" t="n"/>
      <c r="G1132" s="11" t="n"/>
      <c r="H1132" s="11" t="n"/>
      <c r="I1132" s="11" t="n"/>
      <c r="J1132" s="11" t="n"/>
      <c r="K1132" s="11" t="n"/>
      <c r="L1132" s="11" t="n"/>
      <c r="M1132" s="11" t="n"/>
      <c r="N1132" s="11" t="n"/>
      <c r="O1132" s="11" t="n"/>
      <c r="P1132" s="11" t="n"/>
      <c r="Q1132" s="11" t="n"/>
      <c r="R1132" s="11" t="n"/>
      <c r="S1132" s="11" t="n"/>
      <c r="T1132" s="12" t="n"/>
    </row>
    <row r="1133">
      <c r="A1133" s="11" t="n"/>
      <c r="B1133" s="11" t="n"/>
      <c r="C1133" s="11" t="n"/>
      <c r="D1133" s="11" t="n"/>
      <c r="E1133" s="11" t="n"/>
      <c r="F1133" s="11" t="n"/>
      <c r="G1133" s="11" t="n"/>
      <c r="H1133" s="11" t="n"/>
      <c r="I1133" s="11" t="n"/>
      <c r="J1133" s="11" t="n"/>
      <c r="K1133" s="11" t="n"/>
      <c r="L1133" s="11" t="n"/>
      <c r="M1133" s="11" t="n"/>
      <c r="N1133" s="11" t="n"/>
      <c r="O1133" s="11" t="n"/>
      <c r="P1133" s="11" t="n"/>
      <c r="Q1133" s="11" t="n"/>
      <c r="R1133" s="11" t="n"/>
      <c r="S1133" s="11" t="n"/>
      <c r="T1133" s="12" t="n"/>
    </row>
    <row r="1134">
      <c r="A1134" s="11" t="n"/>
      <c r="B1134" s="11" t="n"/>
      <c r="C1134" s="11" t="n"/>
      <c r="D1134" s="11" t="n"/>
      <c r="E1134" s="11" t="n"/>
      <c r="F1134" s="11" t="n"/>
      <c r="G1134" s="11" t="n"/>
      <c r="H1134" s="11" t="n"/>
      <c r="I1134" s="11" t="n"/>
      <c r="J1134" s="11" t="n"/>
      <c r="K1134" s="11" t="n"/>
      <c r="L1134" s="11" t="n"/>
      <c r="M1134" s="11" t="n"/>
      <c r="N1134" s="11" t="n"/>
      <c r="O1134" s="11" t="n"/>
      <c r="P1134" s="11" t="n"/>
      <c r="Q1134" s="11" t="n"/>
      <c r="R1134" s="11" t="n"/>
      <c r="S1134" s="11" t="n"/>
      <c r="T1134" s="12" t="n"/>
    </row>
    <row r="1135">
      <c r="A1135" s="11" t="n"/>
      <c r="B1135" s="11" t="n"/>
      <c r="C1135" s="11" t="n"/>
      <c r="D1135" s="11" t="n"/>
      <c r="E1135" s="11" t="n"/>
      <c r="F1135" s="11" t="n"/>
      <c r="G1135" s="11" t="n"/>
      <c r="H1135" s="11" t="n"/>
      <c r="I1135" s="11" t="n"/>
      <c r="J1135" s="11" t="n"/>
      <c r="K1135" s="11" t="n"/>
      <c r="L1135" s="11" t="n"/>
      <c r="M1135" s="11" t="n"/>
      <c r="N1135" s="11" t="n"/>
      <c r="O1135" s="11" t="n"/>
      <c r="P1135" s="11" t="n"/>
      <c r="Q1135" s="11" t="n"/>
      <c r="R1135" s="11" t="n"/>
      <c r="S1135" s="11" t="n"/>
      <c r="T1135" s="12" t="n"/>
    </row>
    <row r="1136">
      <c r="A1136" s="11" t="n"/>
      <c r="B1136" s="11" t="n"/>
      <c r="C1136" s="11" t="n"/>
      <c r="D1136" s="11" t="n"/>
      <c r="E1136" s="11" t="n"/>
      <c r="F1136" s="11" t="n"/>
      <c r="G1136" s="11" t="n"/>
      <c r="H1136" s="11" t="n"/>
      <c r="I1136" s="11" t="n"/>
      <c r="J1136" s="11" t="n"/>
      <c r="K1136" s="11" t="n"/>
      <c r="L1136" s="11" t="n"/>
      <c r="M1136" s="11" t="n"/>
      <c r="N1136" s="11" t="n"/>
      <c r="O1136" s="11" t="n"/>
      <c r="P1136" s="11" t="n"/>
      <c r="Q1136" s="11" t="n"/>
      <c r="R1136" s="11" t="n"/>
      <c r="S1136" s="11" t="n"/>
      <c r="T1136" s="12" t="n"/>
    </row>
    <row r="1137">
      <c r="A1137" s="11" t="n"/>
      <c r="B1137" s="11" t="n"/>
      <c r="C1137" s="11" t="n"/>
      <c r="D1137" s="11" t="n"/>
      <c r="E1137" s="11" t="n"/>
      <c r="F1137" s="11" t="n"/>
      <c r="G1137" s="11" t="n"/>
      <c r="H1137" s="11" t="n"/>
      <c r="I1137" s="11" t="n"/>
      <c r="J1137" s="11" t="n"/>
      <c r="K1137" s="11" t="n"/>
      <c r="L1137" s="11" t="n"/>
      <c r="M1137" s="11" t="n"/>
      <c r="N1137" s="11" t="n"/>
      <c r="O1137" s="11" t="n"/>
      <c r="P1137" s="11" t="n"/>
      <c r="Q1137" s="11" t="n"/>
      <c r="R1137" s="11" t="n"/>
      <c r="S1137" s="11" t="n"/>
      <c r="T1137" s="12" t="n"/>
    </row>
    <row r="1138">
      <c r="A1138" s="11" t="n"/>
      <c r="B1138" s="11" t="n"/>
      <c r="C1138" s="11" t="n"/>
      <c r="D1138" s="11" t="n"/>
      <c r="E1138" s="11" t="n"/>
      <c r="F1138" s="11" t="n"/>
      <c r="G1138" s="11" t="n"/>
      <c r="H1138" s="11" t="n"/>
      <c r="I1138" s="11" t="n"/>
      <c r="J1138" s="11" t="n"/>
      <c r="K1138" s="11" t="n"/>
      <c r="L1138" s="11" t="n"/>
      <c r="M1138" s="11" t="n"/>
      <c r="N1138" s="11" t="n"/>
      <c r="O1138" s="11" t="n"/>
      <c r="P1138" s="11" t="n"/>
      <c r="Q1138" s="11" t="n"/>
      <c r="R1138" s="11" t="n"/>
      <c r="S1138" s="11" t="n"/>
      <c r="T1138" s="12" t="n"/>
    </row>
    <row r="1139">
      <c r="A1139" s="11" t="n"/>
      <c r="B1139" s="11" t="n"/>
      <c r="C1139" s="11" t="n"/>
      <c r="D1139" s="11" t="n"/>
      <c r="E1139" s="11" t="n"/>
      <c r="F1139" s="11" t="n"/>
      <c r="G1139" s="11" t="n"/>
      <c r="H1139" s="11" t="n"/>
      <c r="I1139" s="11" t="n"/>
      <c r="J1139" s="11" t="n"/>
      <c r="K1139" s="11" t="n"/>
      <c r="L1139" s="11" t="n"/>
      <c r="M1139" s="11" t="n"/>
      <c r="N1139" s="11" t="n"/>
      <c r="O1139" s="11" t="n"/>
      <c r="P1139" s="11" t="n"/>
      <c r="Q1139" s="11" t="n"/>
      <c r="R1139" s="11" t="n"/>
      <c r="S1139" s="11" t="n"/>
      <c r="T1139" s="12" t="n"/>
    </row>
    <row r="1140">
      <c r="A1140" s="11" t="n"/>
      <c r="B1140" s="11" t="n"/>
      <c r="C1140" s="11" t="n"/>
      <c r="D1140" s="11" t="n"/>
      <c r="E1140" s="11" t="n"/>
      <c r="F1140" s="11" t="n"/>
      <c r="G1140" s="11" t="n"/>
      <c r="H1140" s="11" t="n"/>
      <c r="I1140" s="11" t="n"/>
      <c r="J1140" s="11" t="n"/>
      <c r="K1140" s="11" t="n"/>
      <c r="L1140" s="11" t="n"/>
      <c r="M1140" s="11" t="n"/>
      <c r="N1140" s="11" t="n"/>
      <c r="O1140" s="11" t="n"/>
      <c r="P1140" s="11" t="n"/>
      <c r="Q1140" s="11" t="n"/>
      <c r="R1140" s="11" t="n"/>
      <c r="S1140" s="11" t="n"/>
      <c r="T1140" s="12" t="n"/>
    </row>
    <row r="1141">
      <c r="A1141" s="11" t="n"/>
      <c r="B1141" s="11" t="n"/>
      <c r="C1141" s="11" t="n"/>
      <c r="D1141" s="11" t="n"/>
      <c r="E1141" s="11" t="n"/>
      <c r="F1141" s="11" t="n"/>
      <c r="G1141" s="11" t="n"/>
      <c r="H1141" s="11" t="n"/>
      <c r="I1141" s="11" t="n"/>
      <c r="J1141" s="11" t="n"/>
      <c r="K1141" s="11" t="n"/>
      <c r="L1141" s="11" t="n"/>
      <c r="M1141" s="11" t="n"/>
      <c r="N1141" s="11" t="n"/>
      <c r="O1141" s="11" t="n"/>
      <c r="P1141" s="11" t="n"/>
      <c r="Q1141" s="11" t="n"/>
      <c r="R1141" s="11" t="n"/>
      <c r="S1141" s="11" t="n"/>
      <c r="T1141" s="12" t="n"/>
    </row>
    <row r="1142">
      <c r="A1142" s="11" t="n"/>
      <c r="B1142" s="11" t="n"/>
      <c r="C1142" s="11" t="n"/>
      <c r="D1142" s="11" t="n"/>
      <c r="E1142" s="11" t="n"/>
      <c r="F1142" s="11" t="n"/>
      <c r="G1142" s="11" t="n"/>
      <c r="H1142" s="11" t="n"/>
      <c r="I1142" s="11" t="n"/>
      <c r="J1142" s="11" t="n"/>
      <c r="K1142" s="11" t="n"/>
      <c r="L1142" s="11" t="n"/>
      <c r="M1142" s="11" t="n"/>
      <c r="N1142" s="11" t="n"/>
      <c r="O1142" s="11" t="n"/>
      <c r="P1142" s="11" t="n"/>
      <c r="Q1142" s="11" t="n"/>
      <c r="R1142" s="11" t="n"/>
      <c r="S1142" s="11" t="n"/>
      <c r="T1142" s="12" t="n"/>
    </row>
    <row r="1143">
      <c r="A1143" s="11" t="n"/>
      <c r="B1143" s="11" t="n"/>
      <c r="C1143" s="11" t="n"/>
      <c r="D1143" s="11" t="n"/>
      <c r="E1143" s="11" t="n"/>
      <c r="F1143" s="11" t="n"/>
      <c r="G1143" s="11" t="n"/>
      <c r="H1143" s="11" t="n"/>
      <c r="I1143" s="11" t="n"/>
      <c r="J1143" s="11" t="n"/>
      <c r="K1143" s="11" t="n"/>
      <c r="L1143" s="11" t="n"/>
      <c r="M1143" s="11" t="n"/>
      <c r="N1143" s="11" t="n"/>
      <c r="O1143" s="11" t="n"/>
      <c r="P1143" s="11" t="n"/>
      <c r="Q1143" s="11" t="n"/>
      <c r="R1143" s="11" t="n"/>
      <c r="S1143" s="11" t="n"/>
      <c r="T1143" s="12" t="n"/>
    </row>
    <row r="1144">
      <c r="A1144" s="11" t="n"/>
      <c r="B1144" s="11" t="n"/>
      <c r="C1144" s="11" t="n"/>
      <c r="D1144" s="11" t="n"/>
      <c r="E1144" s="11" t="n"/>
      <c r="F1144" s="11" t="n"/>
      <c r="G1144" s="11" t="n"/>
      <c r="H1144" s="11" t="n"/>
      <c r="I1144" s="11" t="n"/>
      <c r="J1144" s="11" t="n"/>
      <c r="K1144" s="11" t="n"/>
      <c r="L1144" s="11" t="n"/>
      <c r="M1144" s="11" t="n"/>
      <c r="N1144" s="11" t="n"/>
      <c r="O1144" s="11" t="n"/>
      <c r="P1144" s="11" t="n"/>
      <c r="Q1144" s="11" t="n"/>
      <c r="R1144" s="11" t="n"/>
      <c r="S1144" s="11" t="n"/>
      <c r="T1144" s="12" t="n"/>
    </row>
    <row r="1145">
      <c r="A1145" s="11" t="n"/>
      <c r="B1145" s="11" t="n"/>
      <c r="C1145" s="11" t="n"/>
      <c r="D1145" s="11" t="n"/>
      <c r="E1145" s="11" t="n"/>
      <c r="F1145" s="11" t="n"/>
      <c r="G1145" s="11" t="n"/>
      <c r="H1145" s="11" t="n"/>
      <c r="I1145" s="11" t="n"/>
      <c r="J1145" s="11" t="n"/>
      <c r="K1145" s="11" t="n"/>
      <c r="L1145" s="11" t="n"/>
      <c r="M1145" s="11" t="n"/>
      <c r="N1145" s="11" t="n"/>
      <c r="O1145" s="11" t="n"/>
      <c r="P1145" s="11" t="n"/>
      <c r="Q1145" s="11" t="n"/>
      <c r="R1145" s="11" t="n"/>
      <c r="S1145" s="11" t="n"/>
      <c r="T1145" s="12" t="n"/>
    </row>
    <row r="1146">
      <c r="A1146" s="11" t="n"/>
      <c r="B1146" s="11" t="n"/>
      <c r="C1146" s="11" t="n"/>
      <c r="D1146" s="11" t="n"/>
      <c r="E1146" s="11" t="n"/>
      <c r="F1146" s="11" t="n"/>
      <c r="G1146" s="11" t="n"/>
      <c r="H1146" s="11" t="n"/>
      <c r="I1146" s="11" t="n"/>
      <c r="J1146" s="11" t="n"/>
      <c r="K1146" s="11" t="n"/>
      <c r="L1146" s="11" t="n"/>
      <c r="M1146" s="11" t="n"/>
      <c r="N1146" s="11" t="n"/>
      <c r="O1146" s="11" t="n"/>
      <c r="P1146" s="11" t="n"/>
      <c r="Q1146" s="11" t="n"/>
      <c r="R1146" s="11" t="n"/>
      <c r="S1146" s="11" t="n"/>
      <c r="T1146" s="12" t="n"/>
    </row>
    <row r="1147">
      <c r="A1147" s="11" t="n"/>
      <c r="B1147" s="11" t="n"/>
      <c r="C1147" s="11" t="n"/>
      <c r="D1147" s="11" t="n"/>
      <c r="E1147" s="11" t="n"/>
      <c r="F1147" s="11" t="n"/>
      <c r="G1147" s="11" t="n"/>
      <c r="H1147" s="11" t="n"/>
      <c r="I1147" s="11" t="n"/>
      <c r="J1147" s="11" t="n"/>
      <c r="K1147" s="11" t="n"/>
      <c r="L1147" s="11" t="n"/>
      <c r="M1147" s="11" t="n"/>
      <c r="N1147" s="11" t="n"/>
      <c r="O1147" s="11" t="n"/>
      <c r="P1147" s="11" t="n"/>
      <c r="Q1147" s="11" t="n"/>
      <c r="R1147" s="11" t="n"/>
      <c r="S1147" s="11" t="n"/>
      <c r="T1147" s="12" t="n"/>
    </row>
    <row r="1148">
      <c r="A1148" s="11" t="n"/>
      <c r="B1148" s="11" t="n"/>
      <c r="C1148" s="11" t="n"/>
      <c r="D1148" s="11" t="n"/>
      <c r="E1148" s="11" t="n"/>
      <c r="F1148" s="11" t="n"/>
      <c r="G1148" s="11" t="n"/>
      <c r="H1148" s="11" t="n"/>
      <c r="I1148" s="11" t="n"/>
      <c r="J1148" s="11" t="n"/>
      <c r="K1148" s="11" t="n"/>
      <c r="L1148" s="11" t="n"/>
      <c r="M1148" s="11" t="n"/>
      <c r="N1148" s="11" t="n"/>
      <c r="O1148" s="11" t="n"/>
      <c r="P1148" s="11" t="n"/>
      <c r="Q1148" s="11" t="n"/>
      <c r="R1148" s="11" t="n"/>
      <c r="S1148" s="11" t="n"/>
      <c r="T1148" s="12" t="n"/>
    </row>
    <row r="1149">
      <c r="A1149" s="11" t="n"/>
      <c r="B1149" s="11" t="n"/>
      <c r="C1149" s="11" t="n"/>
      <c r="D1149" s="11" t="n"/>
      <c r="E1149" s="11" t="n"/>
      <c r="F1149" s="11" t="n"/>
      <c r="G1149" s="11" t="n"/>
      <c r="H1149" s="11" t="n"/>
      <c r="I1149" s="11" t="n"/>
      <c r="J1149" s="11" t="n"/>
      <c r="K1149" s="11" t="n"/>
      <c r="L1149" s="11" t="n"/>
      <c r="M1149" s="11" t="n"/>
      <c r="N1149" s="11" t="n"/>
      <c r="O1149" s="11" t="n"/>
      <c r="P1149" s="11" t="n"/>
      <c r="Q1149" s="11" t="n"/>
      <c r="R1149" s="11" t="n"/>
      <c r="S1149" s="11" t="n"/>
      <c r="T1149" s="12" t="n"/>
    </row>
    <row r="1150">
      <c r="A1150" s="11" t="n"/>
      <c r="B1150" s="11" t="n"/>
      <c r="C1150" s="11" t="n"/>
      <c r="D1150" s="11" t="n"/>
      <c r="E1150" s="11" t="n"/>
      <c r="F1150" s="11" t="n"/>
      <c r="G1150" s="11" t="n"/>
      <c r="H1150" s="11" t="n"/>
      <c r="I1150" s="11" t="n"/>
      <c r="J1150" s="11" t="n"/>
      <c r="K1150" s="11" t="n"/>
      <c r="L1150" s="11" t="n"/>
      <c r="M1150" s="11" t="n"/>
      <c r="N1150" s="11" t="n"/>
      <c r="O1150" s="11" t="n"/>
      <c r="P1150" s="11" t="n"/>
      <c r="Q1150" s="11" t="n"/>
      <c r="R1150" s="11" t="n"/>
      <c r="S1150" s="11" t="n"/>
      <c r="T1150" s="12" t="n"/>
    </row>
    <row r="1151">
      <c r="A1151" s="11" t="n"/>
      <c r="B1151" s="11" t="n"/>
      <c r="C1151" s="11" t="n"/>
      <c r="D1151" s="11" t="n"/>
      <c r="E1151" s="11" t="n"/>
      <c r="F1151" s="11" t="n"/>
      <c r="G1151" s="11" t="n"/>
      <c r="H1151" s="11" t="n"/>
      <c r="I1151" s="11" t="n"/>
      <c r="J1151" s="11" t="n"/>
      <c r="K1151" s="11" t="n"/>
      <c r="L1151" s="11" t="n"/>
      <c r="M1151" s="11" t="n"/>
      <c r="N1151" s="11" t="n"/>
      <c r="O1151" s="11" t="n"/>
      <c r="P1151" s="11" t="n"/>
      <c r="Q1151" s="11" t="n"/>
      <c r="R1151" s="11" t="n"/>
      <c r="S1151" s="11" t="n"/>
      <c r="T1151" s="12" t="n"/>
    </row>
    <row r="1152">
      <c r="A1152" s="11" t="n"/>
      <c r="B1152" s="11" t="n"/>
      <c r="C1152" s="11" t="n"/>
      <c r="D1152" s="11" t="n"/>
      <c r="E1152" s="11" t="n"/>
      <c r="F1152" s="11" t="n"/>
      <c r="G1152" s="11" t="n"/>
      <c r="H1152" s="11" t="n"/>
      <c r="I1152" s="11" t="n"/>
      <c r="J1152" s="11" t="n"/>
      <c r="K1152" s="11" t="n"/>
      <c r="L1152" s="11" t="n"/>
      <c r="M1152" s="11" t="n"/>
      <c r="N1152" s="11" t="n"/>
      <c r="O1152" s="11" t="n"/>
      <c r="P1152" s="11" t="n"/>
      <c r="Q1152" s="11" t="n"/>
      <c r="R1152" s="11" t="n"/>
      <c r="S1152" s="11" t="n"/>
      <c r="T1152" s="12" t="n"/>
    </row>
    <row r="1153">
      <c r="A1153" s="11" t="n"/>
      <c r="B1153" s="11" t="n"/>
      <c r="C1153" s="11" t="n"/>
      <c r="D1153" s="11" t="n"/>
      <c r="E1153" s="11" t="n"/>
      <c r="F1153" s="11" t="n"/>
      <c r="G1153" s="11" t="n"/>
      <c r="H1153" s="11" t="n"/>
      <c r="I1153" s="11" t="n"/>
      <c r="J1153" s="11" t="n"/>
      <c r="K1153" s="11" t="n"/>
      <c r="L1153" s="11" t="n"/>
      <c r="M1153" s="11" t="n"/>
      <c r="N1153" s="11" t="n"/>
      <c r="O1153" s="11" t="n"/>
      <c r="P1153" s="11" t="n"/>
      <c r="Q1153" s="11" t="n"/>
      <c r="R1153" s="11" t="n"/>
      <c r="S1153" s="11" t="n"/>
      <c r="T1153" s="12" t="n"/>
    </row>
    <row r="1154">
      <c r="A1154" s="11" t="n"/>
      <c r="B1154" s="11" t="n"/>
      <c r="C1154" s="11" t="n"/>
      <c r="D1154" s="11" t="n"/>
      <c r="E1154" s="11" t="n"/>
      <c r="F1154" s="11" t="n"/>
      <c r="G1154" s="11" t="n"/>
      <c r="H1154" s="11" t="n"/>
      <c r="I1154" s="11" t="n"/>
      <c r="J1154" s="11" t="n"/>
      <c r="K1154" s="11" t="n"/>
      <c r="L1154" s="11" t="n"/>
      <c r="M1154" s="11" t="n"/>
      <c r="N1154" s="11" t="n"/>
      <c r="O1154" s="11" t="n"/>
      <c r="P1154" s="11" t="n"/>
      <c r="Q1154" s="11" t="n"/>
      <c r="R1154" s="11" t="n"/>
      <c r="S1154" s="11" t="n"/>
      <c r="T1154" s="12" t="n"/>
    </row>
    <row r="1155">
      <c r="A1155" s="11" t="n"/>
      <c r="B1155" s="11" t="n"/>
      <c r="C1155" s="11" t="n"/>
      <c r="D1155" s="11" t="n"/>
      <c r="E1155" s="11" t="n"/>
      <c r="F1155" s="11" t="n"/>
      <c r="G1155" s="11" t="n"/>
      <c r="H1155" s="11" t="n"/>
      <c r="I1155" s="11" t="n"/>
      <c r="J1155" s="11" t="n"/>
      <c r="K1155" s="11" t="n"/>
      <c r="L1155" s="11" t="n"/>
      <c r="M1155" s="11" t="n"/>
      <c r="N1155" s="11" t="n"/>
      <c r="O1155" s="11" t="n"/>
      <c r="P1155" s="11" t="n"/>
      <c r="Q1155" s="11" t="n"/>
      <c r="R1155" s="11" t="n"/>
      <c r="S1155" s="11" t="n"/>
      <c r="T1155" s="12" t="n"/>
    </row>
    <row r="1156">
      <c r="A1156" s="11" t="n"/>
      <c r="B1156" s="11" t="n"/>
      <c r="C1156" s="11" t="n"/>
      <c r="D1156" s="11" t="n"/>
      <c r="E1156" s="11" t="n"/>
      <c r="F1156" s="11" t="n"/>
      <c r="G1156" s="11" t="n"/>
      <c r="H1156" s="11" t="n"/>
      <c r="I1156" s="11" t="n"/>
      <c r="J1156" s="11" t="n"/>
      <c r="K1156" s="11" t="n"/>
      <c r="L1156" s="11" t="n"/>
      <c r="M1156" s="11" t="n"/>
      <c r="N1156" s="11" t="n"/>
      <c r="O1156" s="11" t="n"/>
      <c r="P1156" s="11" t="n"/>
      <c r="Q1156" s="11" t="n"/>
      <c r="R1156" s="11" t="n"/>
      <c r="S1156" s="11" t="n"/>
      <c r="T1156" s="12" t="n"/>
    </row>
    <row r="1157">
      <c r="A1157" s="11" t="n"/>
      <c r="B1157" s="11" t="n"/>
      <c r="C1157" s="11" t="n"/>
      <c r="D1157" s="11" t="n"/>
      <c r="E1157" s="11" t="n"/>
      <c r="F1157" s="11" t="n"/>
      <c r="G1157" s="11" t="n"/>
      <c r="H1157" s="11" t="n"/>
      <c r="I1157" s="11" t="n"/>
      <c r="J1157" s="11" t="n"/>
      <c r="K1157" s="11" t="n"/>
      <c r="L1157" s="11" t="n"/>
      <c r="M1157" s="11" t="n"/>
      <c r="N1157" s="11" t="n"/>
      <c r="O1157" s="11" t="n"/>
      <c r="P1157" s="11" t="n"/>
      <c r="Q1157" s="11" t="n"/>
      <c r="R1157" s="11" t="n"/>
      <c r="S1157" s="11" t="n"/>
      <c r="T1157" s="12" t="n"/>
    </row>
    <row r="1158">
      <c r="A1158" s="11" t="n"/>
      <c r="B1158" s="11" t="n"/>
      <c r="C1158" s="11" t="n"/>
      <c r="D1158" s="11" t="n"/>
      <c r="E1158" s="11" t="n"/>
      <c r="F1158" s="11" t="n"/>
      <c r="G1158" s="11" t="n"/>
      <c r="H1158" s="11" t="n"/>
      <c r="I1158" s="11" t="n"/>
      <c r="J1158" s="11" t="n"/>
      <c r="K1158" s="11" t="n"/>
      <c r="L1158" s="11" t="n"/>
      <c r="M1158" s="11" t="n"/>
      <c r="N1158" s="11" t="n"/>
      <c r="O1158" s="11" t="n"/>
      <c r="P1158" s="11" t="n"/>
      <c r="Q1158" s="11" t="n"/>
      <c r="R1158" s="11" t="n"/>
      <c r="S1158" s="11" t="n"/>
      <c r="T1158" s="12" t="n"/>
    </row>
    <row r="1159">
      <c r="A1159" s="11" t="n"/>
      <c r="B1159" s="11" t="n"/>
      <c r="C1159" s="11" t="n"/>
      <c r="D1159" s="11" t="n"/>
      <c r="E1159" s="11" t="n"/>
      <c r="F1159" s="11" t="n"/>
      <c r="G1159" s="11" t="n"/>
      <c r="H1159" s="11" t="n"/>
      <c r="I1159" s="11" t="n"/>
      <c r="J1159" s="11" t="n"/>
      <c r="K1159" s="11" t="n"/>
      <c r="L1159" s="11" t="n"/>
      <c r="M1159" s="11" t="n"/>
      <c r="N1159" s="11" t="n"/>
      <c r="O1159" s="11" t="n"/>
      <c r="P1159" s="11" t="n"/>
      <c r="Q1159" s="11" t="n"/>
      <c r="R1159" s="11" t="n"/>
      <c r="S1159" s="11" t="n"/>
      <c r="T1159" s="12" t="n"/>
    </row>
    <row r="1160">
      <c r="A1160" s="11" t="n"/>
      <c r="B1160" s="11" t="n"/>
      <c r="C1160" s="11" t="n"/>
      <c r="D1160" s="11" t="n"/>
      <c r="E1160" s="11" t="n"/>
      <c r="F1160" s="11" t="n"/>
      <c r="G1160" s="11" t="n"/>
      <c r="H1160" s="11" t="n"/>
      <c r="I1160" s="11" t="n"/>
      <c r="J1160" s="11" t="n"/>
      <c r="K1160" s="11" t="n"/>
      <c r="L1160" s="11" t="n"/>
      <c r="M1160" s="11" t="n"/>
      <c r="N1160" s="11" t="n"/>
      <c r="O1160" s="11" t="n"/>
      <c r="P1160" s="11" t="n"/>
      <c r="Q1160" s="11" t="n"/>
      <c r="R1160" s="11" t="n"/>
      <c r="S1160" s="11" t="n"/>
      <c r="T1160" s="12" t="n"/>
    </row>
    <row r="1161">
      <c r="A1161" s="11" t="n"/>
      <c r="B1161" s="11" t="n"/>
      <c r="C1161" s="11" t="n"/>
      <c r="D1161" s="11" t="n"/>
      <c r="E1161" s="11" t="n"/>
      <c r="F1161" s="11" t="n"/>
      <c r="G1161" s="11" t="n"/>
      <c r="H1161" s="11" t="n"/>
      <c r="I1161" s="11" t="n"/>
      <c r="J1161" s="11" t="n"/>
      <c r="K1161" s="11" t="n"/>
      <c r="L1161" s="11" t="n"/>
      <c r="M1161" s="11" t="n"/>
      <c r="N1161" s="11" t="n"/>
      <c r="O1161" s="11" t="n"/>
      <c r="P1161" s="11" t="n"/>
      <c r="Q1161" s="11" t="n"/>
      <c r="R1161" s="11" t="n"/>
      <c r="S1161" s="11" t="n"/>
      <c r="T1161" s="12" t="n"/>
    </row>
    <row r="1162">
      <c r="A1162" s="11" t="n"/>
      <c r="B1162" s="11" t="n"/>
      <c r="C1162" s="11" t="n"/>
      <c r="D1162" s="11" t="n"/>
      <c r="E1162" s="11" t="n"/>
      <c r="F1162" s="11" t="n"/>
      <c r="G1162" s="11" t="n"/>
      <c r="H1162" s="11" t="n"/>
      <c r="I1162" s="11" t="n"/>
      <c r="J1162" s="11" t="n"/>
      <c r="K1162" s="11" t="n"/>
      <c r="L1162" s="11" t="n"/>
      <c r="M1162" s="11" t="n"/>
      <c r="N1162" s="11" t="n"/>
      <c r="O1162" s="11" t="n"/>
      <c r="P1162" s="11" t="n"/>
      <c r="Q1162" s="11" t="n"/>
      <c r="R1162" s="11" t="n"/>
      <c r="S1162" s="11" t="n"/>
      <c r="T1162" s="12" t="n"/>
    </row>
    <row r="1163">
      <c r="A1163" s="11" t="n"/>
      <c r="B1163" s="11" t="n"/>
      <c r="C1163" s="11" t="n"/>
      <c r="D1163" s="11" t="n"/>
      <c r="E1163" s="11" t="n"/>
      <c r="F1163" s="11" t="n"/>
      <c r="G1163" s="11" t="n"/>
      <c r="H1163" s="11" t="n"/>
      <c r="I1163" s="11" t="n"/>
      <c r="J1163" s="11" t="n"/>
      <c r="K1163" s="11" t="n"/>
      <c r="L1163" s="11" t="n"/>
      <c r="M1163" s="11" t="n"/>
      <c r="N1163" s="11" t="n"/>
      <c r="O1163" s="11" t="n"/>
      <c r="P1163" s="11" t="n"/>
      <c r="Q1163" s="11" t="n"/>
      <c r="R1163" s="11" t="n"/>
      <c r="S1163" s="11" t="n"/>
      <c r="T1163" s="12" t="n"/>
    </row>
    <row r="1164">
      <c r="A1164" s="11" t="n"/>
      <c r="B1164" s="11" t="n"/>
      <c r="C1164" s="11" t="n"/>
      <c r="D1164" s="11" t="n"/>
      <c r="E1164" s="11" t="n"/>
      <c r="F1164" s="11" t="n"/>
      <c r="G1164" s="11" t="n"/>
      <c r="H1164" s="11" t="n"/>
      <c r="I1164" s="11" t="n"/>
      <c r="J1164" s="11" t="n"/>
      <c r="K1164" s="11" t="n"/>
      <c r="L1164" s="11" t="n"/>
      <c r="M1164" s="11" t="n"/>
      <c r="N1164" s="11" t="n"/>
      <c r="O1164" s="11" t="n"/>
      <c r="P1164" s="11" t="n"/>
      <c r="Q1164" s="11" t="n"/>
      <c r="R1164" s="11" t="n"/>
      <c r="S1164" s="11" t="n"/>
      <c r="T1164" s="12" t="n"/>
    </row>
    <row r="1165">
      <c r="A1165" s="11" t="n"/>
      <c r="B1165" s="11" t="n"/>
      <c r="C1165" s="11" t="n"/>
      <c r="D1165" s="11" t="n"/>
      <c r="E1165" s="11" t="n"/>
      <c r="F1165" s="11" t="n"/>
      <c r="G1165" s="11" t="n"/>
      <c r="H1165" s="11" t="n"/>
      <c r="I1165" s="11" t="n"/>
      <c r="J1165" s="11" t="n"/>
      <c r="K1165" s="11" t="n"/>
      <c r="L1165" s="11" t="n"/>
      <c r="M1165" s="11" t="n"/>
      <c r="N1165" s="11" t="n"/>
      <c r="O1165" s="11" t="n"/>
      <c r="P1165" s="11" t="n"/>
      <c r="Q1165" s="11" t="n"/>
      <c r="R1165" s="11" t="n"/>
      <c r="S1165" s="11" t="n"/>
      <c r="T1165" s="12" t="n"/>
    </row>
    <row r="1166">
      <c r="A1166" s="11" t="n"/>
      <c r="B1166" s="11" t="n"/>
      <c r="C1166" s="11" t="n"/>
      <c r="D1166" s="11" t="n"/>
      <c r="E1166" s="11" t="n"/>
      <c r="F1166" s="11" t="n"/>
      <c r="G1166" s="11" t="n"/>
      <c r="H1166" s="11" t="n"/>
      <c r="I1166" s="11" t="n"/>
      <c r="J1166" s="11" t="n"/>
      <c r="K1166" s="11" t="n"/>
      <c r="L1166" s="11" t="n"/>
      <c r="M1166" s="11" t="n"/>
      <c r="N1166" s="11" t="n"/>
      <c r="O1166" s="11" t="n"/>
      <c r="P1166" s="11" t="n"/>
      <c r="Q1166" s="11" t="n"/>
      <c r="R1166" s="11" t="n"/>
      <c r="S1166" s="11" t="n"/>
      <c r="T1166" s="12" t="n"/>
    </row>
    <row r="1167">
      <c r="A1167" s="11" t="n"/>
      <c r="B1167" s="11" t="n"/>
      <c r="C1167" s="11" t="n"/>
      <c r="D1167" s="11" t="n"/>
      <c r="E1167" s="11" t="n"/>
      <c r="F1167" s="11" t="n"/>
      <c r="G1167" s="11" t="n"/>
      <c r="H1167" s="11" t="n"/>
      <c r="I1167" s="11" t="n"/>
      <c r="J1167" s="11" t="n"/>
      <c r="K1167" s="11" t="n"/>
      <c r="L1167" s="11" t="n"/>
      <c r="M1167" s="11" t="n"/>
      <c r="N1167" s="11" t="n"/>
      <c r="O1167" s="11" t="n"/>
      <c r="P1167" s="11" t="n"/>
      <c r="Q1167" s="11" t="n"/>
      <c r="R1167" s="11" t="n"/>
      <c r="S1167" s="11" t="n"/>
      <c r="T1167" s="12" t="n"/>
    </row>
    <row r="1168">
      <c r="A1168" s="11" t="n"/>
      <c r="B1168" s="11" t="n"/>
      <c r="C1168" s="11" t="n"/>
      <c r="D1168" s="11" t="n"/>
      <c r="E1168" s="11" t="n"/>
      <c r="F1168" s="11" t="n"/>
      <c r="G1168" s="11" t="n"/>
      <c r="H1168" s="11" t="n"/>
      <c r="I1168" s="11" t="n"/>
      <c r="J1168" s="11" t="n"/>
      <c r="K1168" s="11" t="n"/>
      <c r="L1168" s="11" t="n"/>
      <c r="M1168" s="11" t="n"/>
      <c r="N1168" s="11" t="n"/>
      <c r="O1168" s="11" t="n"/>
      <c r="P1168" s="11" t="n"/>
      <c r="Q1168" s="11" t="n"/>
      <c r="R1168" s="11" t="n"/>
      <c r="S1168" s="11" t="n"/>
      <c r="T1168" s="12" t="n"/>
    </row>
    <row r="1169">
      <c r="A1169" s="11" t="n"/>
      <c r="B1169" s="11" t="n"/>
      <c r="C1169" s="11" t="n"/>
      <c r="D1169" s="11" t="n"/>
      <c r="E1169" s="11" t="n"/>
      <c r="F1169" s="11" t="n"/>
      <c r="G1169" s="11" t="n"/>
      <c r="H1169" s="11" t="n"/>
      <c r="I1169" s="11" t="n"/>
      <c r="J1169" s="11" t="n"/>
      <c r="K1169" s="11" t="n"/>
      <c r="L1169" s="11" t="n"/>
      <c r="M1169" s="11" t="n"/>
      <c r="N1169" s="11" t="n"/>
      <c r="O1169" s="11" t="n"/>
      <c r="P1169" s="11" t="n"/>
      <c r="Q1169" s="11" t="n"/>
      <c r="R1169" s="11" t="n"/>
      <c r="S1169" s="11" t="n"/>
      <c r="T1169" s="12" t="n"/>
    </row>
    <row r="1170">
      <c r="A1170" s="11" t="n"/>
      <c r="B1170" s="11" t="n"/>
      <c r="C1170" s="11" t="n"/>
      <c r="D1170" s="11" t="n"/>
      <c r="E1170" s="11" t="n"/>
      <c r="F1170" s="11" t="n"/>
      <c r="G1170" s="11" t="n"/>
      <c r="H1170" s="11" t="n"/>
      <c r="I1170" s="11" t="n"/>
      <c r="J1170" s="11" t="n"/>
      <c r="K1170" s="11" t="n"/>
      <c r="L1170" s="11" t="n"/>
      <c r="M1170" s="11" t="n"/>
      <c r="N1170" s="11" t="n"/>
      <c r="O1170" s="11" t="n"/>
      <c r="P1170" s="11" t="n"/>
      <c r="Q1170" s="11" t="n"/>
      <c r="R1170" s="11" t="n"/>
      <c r="S1170" s="11" t="n"/>
      <c r="T1170" s="12" t="n"/>
    </row>
    <row r="1171">
      <c r="A1171" s="11" t="n"/>
      <c r="B1171" s="11" t="n"/>
      <c r="C1171" s="11" t="n"/>
      <c r="D1171" s="11" t="n"/>
      <c r="E1171" s="11" t="n"/>
      <c r="F1171" s="11" t="n"/>
      <c r="G1171" s="11" t="n"/>
      <c r="H1171" s="11" t="n"/>
      <c r="I1171" s="11" t="n"/>
      <c r="J1171" s="11" t="n"/>
      <c r="K1171" s="11" t="n"/>
      <c r="L1171" s="11" t="n"/>
      <c r="M1171" s="11" t="n"/>
      <c r="N1171" s="11" t="n"/>
      <c r="O1171" s="11" t="n"/>
      <c r="P1171" s="11" t="n"/>
      <c r="Q1171" s="11" t="n"/>
      <c r="R1171" s="11" t="n"/>
      <c r="S1171" s="11" t="n"/>
      <c r="T1171" s="12" t="n"/>
    </row>
    <row r="1172">
      <c r="A1172" s="11" t="n"/>
      <c r="B1172" s="11" t="n"/>
      <c r="C1172" s="11" t="n"/>
      <c r="D1172" s="11" t="n"/>
      <c r="E1172" s="11" t="n"/>
      <c r="F1172" s="11" t="n"/>
      <c r="G1172" s="11" t="n"/>
      <c r="H1172" s="11" t="n"/>
      <c r="I1172" s="11" t="n"/>
      <c r="J1172" s="11" t="n"/>
      <c r="K1172" s="11" t="n"/>
      <c r="L1172" s="11" t="n"/>
      <c r="M1172" s="11" t="n"/>
      <c r="N1172" s="11" t="n"/>
      <c r="O1172" s="11" t="n"/>
      <c r="P1172" s="11" t="n"/>
      <c r="Q1172" s="11" t="n"/>
      <c r="R1172" s="11" t="n"/>
      <c r="S1172" s="11" t="n"/>
      <c r="T1172" s="12" t="n"/>
    </row>
    <row r="1173">
      <c r="A1173" s="11" t="n"/>
      <c r="B1173" s="11" t="n"/>
      <c r="C1173" s="11" t="n"/>
      <c r="D1173" s="11" t="n"/>
      <c r="E1173" s="11" t="n"/>
      <c r="F1173" s="11" t="n"/>
      <c r="G1173" s="11" t="n"/>
      <c r="H1173" s="11" t="n"/>
      <c r="I1173" s="11" t="n"/>
      <c r="J1173" s="11" t="n"/>
      <c r="K1173" s="11" t="n"/>
      <c r="L1173" s="11" t="n"/>
      <c r="M1173" s="11" t="n"/>
      <c r="N1173" s="11" t="n"/>
      <c r="O1173" s="11" t="n"/>
      <c r="P1173" s="11" t="n"/>
      <c r="Q1173" s="11" t="n"/>
      <c r="R1173" s="11" t="n"/>
      <c r="S1173" s="11" t="n"/>
      <c r="T1173" s="12" t="n"/>
    </row>
    <row r="1174">
      <c r="A1174" s="11" t="n"/>
      <c r="B1174" s="11" t="n"/>
      <c r="C1174" s="11" t="n"/>
      <c r="D1174" s="11" t="n"/>
      <c r="E1174" s="11" t="n"/>
      <c r="F1174" s="11" t="n"/>
      <c r="G1174" s="11" t="n"/>
      <c r="H1174" s="11" t="n"/>
      <c r="I1174" s="11" t="n"/>
      <c r="J1174" s="11" t="n"/>
      <c r="K1174" s="11" t="n"/>
      <c r="L1174" s="11" t="n"/>
      <c r="M1174" s="11" t="n"/>
      <c r="N1174" s="11" t="n"/>
      <c r="O1174" s="11" t="n"/>
      <c r="P1174" s="11" t="n"/>
      <c r="Q1174" s="11" t="n"/>
      <c r="R1174" s="11" t="n"/>
      <c r="S1174" s="11" t="n"/>
      <c r="T1174" s="12" t="n"/>
    </row>
    <row r="1175">
      <c r="A1175" s="11" t="n"/>
      <c r="B1175" s="11" t="n"/>
      <c r="C1175" s="11" t="n"/>
      <c r="D1175" s="11" t="n"/>
      <c r="E1175" s="11" t="n"/>
      <c r="F1175" s="11" t="n"/>
      <c r="G1175" s="11" t="n"/>
      <c r="H1175" s="11" t="n"/>
      <c r="I1175" s="11" t="n"/>
      <c r="J1175" s="11" t="n"/>
      <c r="K1175" s="11" t="n"/>
      <c r="L1175" s="11" t="n"/>
      <c r="M1175" s="11" t="n"/>
      <c r="N1175" s="11" t="n"/>
      <c r="O1175" s="11" t="n"/>
      <c r="P1175" s="11" t="n"/>
      <c r="Q1175" s="11" t="n"/>
      <c r="R1175" s="11" t="n"/>
      <c r="S1175" s="11" t="n"/>
      <c r="T1175" s="12" t="n"/>
    </row>
    <row r="1176">
      <c r="A1176" s="11" t="n"/>
      <c r="B1176" s="11" t="n"/>
      <c r="C1176" s="11" t="n"/>
      <c r="D1176" s="11" t="n"/>
      <c r="E1176" s="11" t="n"/>
      <c r="F1176" s="11" t="n"/>
      <c r="G1176" s="11" t="n"/>
      <c r="H1176" s="11" t="n"/>
      <c r="I1176" s="11" t="n"/>
      <c r="J1176" s="11" t="n"/>
      <c r="K1176" s="11" t="n"/>
      <c r="L1176" s="11" t="n"/>
      <c r="M1176" s="11" t="n"/>
      <c r="N1176" s="11" t="n"/>
      <c r="O1176" s="11" t="n"/>
      <c r="P1176" s="11" t="n"/>
      <c r="Q1176" s="11" t="n"/>
      <c r="R1176" s="11" t="n"/>
      <c r="S1176" s="11" t="n"/>
      <c r="T1176" s="12" t="n"/>
    </row>
    <row r="1177">
      <c r="A1177" s="11" t="n"/>
      <c r="B1177" s="11" t="n"/>
      <c r="C1177" s="11" t="n"/>
      <c r="D1177" s="11" t="n"/>
      <c r="E1177" s="11" t="n"/>
      <c r="F1177" s="11" t="n"/>
      <c r="G1177" s="11" t="n"/>
      <c r="H1177" s="11" t="n"/>
      <c r="I1177" s="11" t="n"/>
      <c r="J1177" s="11" t="n"/>
      <c r="K1177" s="11" t="n"/>
      <c r="L1177" s="11" t="n"/>
      <c r="M1177" s="11" t="n"/>
      <c r="N1177" s="11" t="n"/>
      <c r="O1177" s="11" t="n"/>
      <c r="P1177" s="11" t="n"/>
      <c r="Q1177" s="11" t="n"/>
      <c r="R1177" s="11" t="n"/>
      <c r="S1177" s="11" t="n"/>
      <c r="T1177" s="12" t="n"/>
    </row>
    <row r="1178">
      <c r="A1178" s="11" t="n"/>
      <c r="B1178" s="11" t="n"/>
      <c r="C1178" s="11" t="n"/>
      <c r="D1178" s="11" t="n"/>
      <c r="E1178" s="11" t="n"/>
      <c r="F1178" s="11" t="n"/>
      <c r="G1178" s="11" t="n"/>
      <c r="H1178" s="11" t="n"/>
      <c r="I1178" s="11" t="n"/>
      <c r="J1178" s="11" t="n"/>
      <c r="K1178" s="11" t="n"/>
      <c r="L1178" s="11" t="n"/>
      <c r="M1178" s="11" t="n"/>
      <c r="N1178" s="11" t="n"/>
      <c r="O1178" s="11" t="n"/>
      <c r="P1178" s="11" t="n"/>
      <c r="Q1178" s="11" t="n"/>
      <c r="R1178" s="11" t="n"/>
      <c r="S1178" s="11" t="n"/>
      <c r="T1178" s="12" t="n"/>
    </row>
    <row r="1179">
      <c r="A1179" s="11" t="n"/>
      <c r="B1179" s="11" t="n"/>
      <c r="C1179" s="11" t="n"/>
      <c r="D1179" s="11" t="n"/>
      <c r="E1179" s="11" t="n"/>
      <c r="F1179" s="11" t="n"/>
      <c r="G1179" s="11" t="n"/>
      <c r="H1179" s="11" t="n"/>
      <c r="I1179" s="11" t="n"/>
      <c r="J1179" s="11" t="n"/>
      <c r="K1179" s="11" t="n"/>
      <c r="L1179" s="11" t="n"/>
      <c r="M1179" s="11" t="n"/>
      <c r="N1179" s="11" t="n"/>
      <c r="O1179" s="11" t="n"/>
      <c r="P1179" s="11" t="n"/>
      <c r="Q1179" s="11" t="n"/>
      <c r="R1179" s="11" t="n"/>
      <c r="S1179" s="11" t="n"/>
      <c r="T1179" s="12" t="n"/>
    </row>
    <row r="1180">
      <c r="A1180" s="11" t="n"/>
      <c r="B1180" s="11" t="n"/>
      <c r="C1180" s="11" t="n"/>
      <c r="D1180" s="11" t="n"/>
      <c r="E1180" s="11" t="n"/>
      <c r="F1180" s="11" t="n"/>
      <c r="G1180" s="11" t="n"/>
      <c r="H1180" s="11" t="n"/>
      <c r="I1180" s="11" t="n"/>
      <c r="J1180" s="11" t="n"/>
      <c r="K1180" s="11" t="n"/>
      <c r="L1180" s="11" t="n"/>
      <c r="M1180" s="11" t="n"/>
      <c r="N1180" s="11" t="n"/>
      <c r="O1180" s="11" t="n"/>
      <c r="P1180" s="11" t="n"/>
      <c r="Q1180" s="11" t="n"/>
      <c r="R1180" s="11" t="n"/>
      <c r="S1180" s="11" t="n"/>
      <c r="T1180" s="12" t="n"/>
    </row>
    <row r="1181">
      <c r="A1181" s="11" t="n"/>
      <c r="B1181" s="11" t="n"/>
      <c r="C1181" s="11" t="n"/>
      <c r="D1181" s="11" t="n"/>
      <c r="E1181" s="11" t="n"/>
      <c r="F1181" s="11" t="n"/>
      <c r="G1181" s="11" t="n"/>
      <c r="H1181" s="11" t="n"/>
      <c r="I1181" s="11" t="n"/>
      <c r="J1181" s="11" t="n"/>
      <c r="K1181" s="11" t="n"/>
      <c r="L1181" s="11" t="n"/>
      <c r="M1181" s="11" t="n"/>
      <c r="N1181" s="11" t="n"/>
      <c r="O1181" s="11" t="n"/>
      <c r="P1181" s="11" t="n"/>
      <c r="Q1181" s="11" t="n"/>
      <c r="R1181" s="11" t="n"/>
      <c r="S1181" s="11" t="n"/>
      <c r="T1181" s="12" t="n"/>
    </row>
    <row r="1182">
      <c r="A1182" s="11" t="n"/>
      <c r="B1182" s="11" t="n"/>
      <c r="C1182" s="11" t="n"/>
      <c r="D1182" s="11" t="n"/>
      <c r="E1182" s="11" t="n"/>
      <c r="F1182" s="11" t="n"/>
      <c r="G1182" s="11" t="n"/>
      <c r="H1182" s="11" t="n"/>
      <c r="I1182" s="11" t="n"/>
      <c r="J1182" s="11" t="n"/>
      <c r="K1182" s="11" t="n"/>
      <c r="L1182" s="11" t="n"/>
      <c r="M1182" s="11" t="n"/>
      <c r="N1182" s="11" t="n"/>
      <c r="O1182" s="11" t="n"/>
      <c r="P1182" s="11" t="n"/>
      <c r="Q1182" s="11" t="n"/>
      <c r="R1182" s="11" t="n"/>
      <c r="S1182" s="11" t="n"/>
      <c r="T1182" s="12" t="n"/>
    </row>
    <row r="1183">
      <c r="A1183" s="11" t="n"/>
      <c r="B1183" s="11" t="n"/>
      <c r="C1183" s="11" t="n"/>
      <c r="D1183" s="11" t="n"/>
      <c r="E1183" s="11" t="n"/>
      <c r="F1183" s="11" t="n"/>
      <c r="G1183" s="11" t="n"/>
      <c r="H1183" s="11" t="n"/>
      <c r="I1183" s="11" t="n"/>
      <c r="J1183" s="11" t="n"/>
      <c r="K1183" s="11" t="n"/>
      <c r="L1183" s="11" t="n"/>
      <c r="M1183" s="11" t="n"/>
      <c r="N1183" s="11" t="n"/>
      <c r="O1183" s="11" t="n"/>
      <c r="P1183" s="11" t="n"/>
      <c r="Q1183" s="11" t="n"/>
      <c r="R1183" s="11" t="n"/>
      <c r="S1183" s="11" t="n"/>
      <c r="T1183" s="12" t="n"/>
    </row>
    <row r="1184">
      <c r="A1184" s="11" t="n"/>
      <c r="B1184" s="11" t="n"/>
      <c r="C1184" s="11" t="n"/>
      <c r="D1184" s="11" t="n"/>
      <c r="E1184" s="11" t="n"/>
      <c r="F1184" s="11" t="n"/>
      <c r="G1184" s="11" t="n"/>
      <c r="H1184" s="11" t="n"/>
      <c r="I1184" s="11" t="n"/>
      <c r="J1184" s="11" t="n"/>
      <c r="K1184" s="11" t="n"/>
      <c r="L1184" s="11" t="n"/>
      <c r="M1184" s="11" t="n"/>
      <c r="N1184" s="11" t="n"/>
      <c r="O1184" s="11" t="n"/>
      <c r="P1184" s="11" t="n"/>
      <c r="Q1184" s="11" t="n"/>
      <c r="R1184" s="11" t="n"/>
      <c r="S1184" s="11" t="n"/>
      <c r="T1184" s="12" t="n"/>
    </row>
    <row r="1185">
      <c r="A1185" s="11" t="n"/>
      <c r="B1185" s="11" t="n"/>
      <c r="C1185" s="11" t="n"/>
      <c r="D1185" s="11" t="n"/>
      <c r="E1185" s="11" t="n"/>
      <c r="F1185" s="11" t="n"/>
      <c r="G1185" s="11" t="n"/>
      <c r="H1185" s="11" t="n"/>
      <c r="I1185" s="11" t="n"/>
      <c r="J1185" s="11" t="n"/>
      <c r="K1185" s="11" t="n"/>
      <c r="L1185" s="11" t="n"/>
      <c r="M1185" s="11" t="n"/>
      <c r="N1185" s="11" t="n"/>
      <c r="O1185" s="11" t="n"/>
      <c r="P1185" s="11" t="n"/>
      <c r="Q1185" s="11" t="n"/>
      <c r="R1185" s="11" t="n"/>
      <c r="S1185" s="11" t="n"/>
      <c r="T1185" s="12" t="n"/>
    </row>
    <row r="1186">
      <c r="A1186" s="11" t="n"/>
      <c r="B1186" s="11" t="n"/>
      <c r="C1186" s="11" t="n"/>
      <c r="D1186" s="11" t="n"/>
      <c r="E1186" s="11" t="n"/>
      <c r="F1186" s="11" t="n"/>
      <c r="G1186" s="11" t="n"/>
      <c r="H1186" s="11" t="n"/>
      <c r="I1186" s="11" t="n"/>
      <c r="J1186" s="11" t="n"/>
      <c r="K1186" s="11" t="n"/>
      <c r="L1186" s="11" t="n"/>
      <c r="M1186" s="11" t="n"/>
      <c r="N1186" s="11" t="n"/>
      <c r="O1186" s="11" t="n"/>
      <c r="P1186" s="11" t="n"/>
      <c r="Q1186" s="11" t="n"/>
      <c r="R1186" s="11" t="n"/>
      <c r="S1186" s="11" t="n"/>
      <c r="T1186" s="12" t="n"/>
    </row>
    <row r="1187">
      <c r="A1187" s="11" t="n"/>
      <c r="B1187" s="11" t="n"/>
      <c r="C1187" s="11" t="n"/>
      <c r="D1187" s="11" t="n"/>
      <c r="E1187" s="11" t="n"/>
      <c r="F1187" s="11" t="n"/>
      <c r="G1187" s="11" t="n"/>
      <c r="H1187" s="11" t="n"/>
      <c r="I1187" s="11" t="n"/>
      <c r="J1187" s="11" t="n"/>
      <c r="K1187" s="11" t="n"/>
      <c r="L1187" s="11" t="n"/>
      <c r="M1187" s="11" t="n"/>
      <c r="N1187" s="11" t="n"/>
      <c r="O1187" s="11" t="n"/>
      <c r="P1187" s="11" t="n"/>
      <c r="Q1187" s="11" t="n"/>
      <c r="R1187" s="11" t="n"/>
      <c r="S1187" s="11" t="n"/>
      <c r="T1187" s="12" t="n"/>
    </row>
    <row r="1188">
      <c r="A1188" s="11" t="n"/>
      <c r="B1188" s="11" t="n"/>
      <c r="C1188" s="11" t="n"/>
      <c r="D1188" s="11" t="n"/>
      <c r="E1188" s="11" t="n"/>
      <c r="F1188" s="11" t="n"/>
      <c r="G1188" s="11" t="n"/>
      <c r="H1188" s="11" t="n"/>
      <c r="I1188" s="11" t="n"/>
      <c r="J1188" s="11" t="n"/>
      <c r="K1188" s="11" t="n"/>
      <c r="L1188" s="11" t="n"/>
      <c r="M1188" s="11" t="n"/>
      <c r="N1188" s="11" t="n"/>
      <c r="O1188" s="11" t="n"/>
      <c r="P1188" s="11" t="n"/>
      <c r="Q1188" s="11" t="n"/>
      <c r="R1188" s="11" t="n"/>
      <c r="S1188" s="11" t="n"/>
      <c r="T1188" s="12" t="n"/>
    </row>
    <row r="1189">
      <c r="A1189" s="11" t="n"/>
      <c r="B1189" s="11" t="n"/>
      <c r="C1189" s="11" t="n"/>
      <c r="D1189" s="11" t="n"/>
      <c r="E1189" s="11" t="n"/>
      <c r="F1189" s="11" t="n"/>
      <c r="G1189" s="11" t="n"/>
      <c r="H1189" s="11" t="n"/>
      <c r="I1189" s="11" t="n"/>
      <c r="J1189" s="11" t="n"/>
      <c r="K1189" s="11" t="n"/>
      <c r="L1189" s="11" t="n"/>
      <c r="M1189" s="11" t="n"/>
      <c r="N1189" s="11" t="n"/>
      <c r="O1189" s="11" t="n"/>
      <c r="P1189" s="11" t="n"/>
      <c r="Q1189" s="11" t="n"/>
      <c r="R1189" s="11" t="n"/>
      <c r="S1189" s="11" t="n"/>
      <c r="T1189" s="12" t="n"/>
    </row>
    <row r="1190">
      <c r="A1190" s="11" t="n"/>
      <c r="B1190" s="11" t="n"/>
      <c r="C1190" s="11" t="n"/>
      <c r="D1190" s="11" t="n"/>
      <c r="E1190" s="11" t="n"/>
      <c r="F1190" s="11" t="n"/>
      <c r="G1190" s="11" t="n"/>
      <c r="H1190" s="11" t="n"/>
      <c r="I1190" s="11" t="n"/>
      <c r="J1190" s="11" t="n"/>
      <c r="K1190" s="11" t="n"/>
      <c r="L1190" s="11" t="n"/>
      <c r="M1190" s="11" t="n"/>
      <c r="N1190" s="11" t="n"/>
      <c r="O1190" s="11" t="n"/>
      <c r="P1190" s="11" t="n"/>
      <c r="Q1190" s="11" t="n"/>
      <c r="R1190" s="11" t="n"/>
      <c r="S1190" s="11" t="n"/>
      <c r="T1190" s="12" t="n"/>
    </row>
    <row r="1191">
      <c r="A1191" s="11" t="n"/>
      <c r="B1191" s="11" t="n"/>
      <c r="C1191" s="11" t="n"/>
      <c r="D1191" s="11" t="n"/>
      <c r="E1191" s="11" t="n"/>
      <c r="F1191" s="11" t="n"/>
      <c r="G1191" s="11" t="n"/>
      <c r="H1191" s="11" t="n"/>
      <c r="I1191" s="11" t="n"/>
      <c r="J1191" s="11" t="n"/>
      <c r="K1191" s="11" t="n"/>
      <c r="L1191" s="11" t="n"/>
      <c r="M1191" s="11" t="n"/>
      <c r="N1191" s="11" t="n"/>
      <c r="O1191" s="11" t="n"/>
      <c r="P1191" s="11" t="n"/>
      <c r="Q1191" s="11" t="n"/>
      <c r="R1191" s="11" t="n"/>
      <c r="S1191" s="11" t="n"/>
      <c r="T1191" s="12" t="n"/>
    </row>
    <row r="1192">
      <c r="A1192" s="11" t="n"/>
      <c r="B1192" s="11" t="n"/>
      <c r="C1192" s="11" t="n"/>
      <c r="D1192" s="11" t="n"/>
      <c r="E1192" s="11" t="n"/>
      <c r="F1192" s="11" t="n"/>
      <c r="G1192" s="11" t="n"/>
      <c r="H1192" s="11" t="n"/>
      <c r="I1192" s="11" t="n"/>
      <c r="J1192" s="11" t="n"/>
      <c r="K1192" s="11" t="n"/>
      <c r="L1192" s="11" t="n"/>
      <c r="M1192" s="11" t="n"/>
      <c r="N1192" s="11" t="n"/>
      <c r="O1192" s="11" t="n"/>
      <c r="P1192" s="11" t="n"/>
      <c r="Q1192" s="11" t="n"/>
      <c r="R1192" s="11" t="n"/>
      <c r="S1192" s="11" t="n"/>
      <c r="T1192" s="12" t="n"/>
    </row>
    <row r="1193">
      <c r="A1193" s="11" t="n"/>
      <c r="B1193" s="11" t="n"/>
      <c r="C1193" s="11" t="n"/>
      <c r="D1193" s="11" t="n"/>
      <c r="E1193" s="11" t="n"/>
      <c r="F1193" s="11" t="n"/>
      <c r="G1193" s="11" t="n"/>
      <c r="H1193" s="11" t="n"/>
      <c r="I1193" s="11" t="n"/>
      <c r="J1193" s="11" t="n"/>
      <c r="K1193" s="11" t="n"/>
      <c r="L1193" s="11" t="n"/>
      <c r="M1193" s="11" t="n"/>
      <c r="N1193" s="11" t="n"/>
      <c r="O1193" s="11" t="n"/>
      <c r="P1193" s="11" t="n"/>
      <c r="Q1193" s="11" t="n"/>
      <c r="R1193" s="11" t="n"/>
      <c r="S1193" s="11" t="n"/>
      <c r="T1193" s="12" t="n"/>
    </row>
    <row r="1194">
      <c r="A1194" s="11" t="n"/>
      <c r="B1194" s="11" t="n"/>
      <c r="C1194" s="11" t="n"/>
      <c r="D1194" s="11" t="n"/>
      <c r="E1194" s="11" t="n"/>
      <c r="F1194" s="11" t="n"/>
      <c r="G1194" s="11" t="n"/>
      <c r="H1194" s="11" t="n"/>
      <c r="I1194" s="11" t="n"/>
      <c r="J1194" s="11" t="n"/>
      <c r="K1194" s="11" t="n"/>
      <c r="L1194" s="11" t="n"/>
      <c r="M1194" s="11" t="n"/>
      <c r="N1194" s="11" t="n"/>
      <c r="O1194" s="11" t="n"/>
      <c r="P1194" s="11" t="n"/>
      <c r="Q1194" s="11" t="n"/>
      <c r="R1194" s="11" t="n"/>
      <c r="S1194" s="11" t="n"/>
      <c r="T1194" s="12" t="n"/>
    </row>
    <row r="1195">
      <c r="A1195" s="11" t="n"/>
      <c r="B1195" s="11" t="n"/>
      <c r="C1195" s="11" t="n"/>
      <c r="D1195" s="11" t="n"/>
      <c r="E1195" s="11" t="n"/>
      <c r="F1195" s="11" t="n"/>
      <c r="G1195" s="11" t="n"/>
      <c r="H1195" s="11" t="n"/>
      <c r="I1195" s="11" t="n"/>
      <c r="J1195" s="11" t="n"/>
      <c r="K1195" s="11" t="n"/>
      <c r="L1195" s="11" t="n"/>
      <c r="M1195" s="11" t="n"/>
      <c r="N1195" s="11" t="n"/>
      <c r="O1195" s="11" t="n"/>
      <c r="P1195" s="11" t="n"/>
      <c r="Q1195" s="11" t="n"/>
      <c r="R1195" s="11" t="n"/>
      <c r="S1195" s="11" t="n"/>
      <c r="T1195" s="12" t="n"/>
    </row>
    <row r="1196">
      <c r="A1196" s="11" t="n"/>
      <c r="B1196" s="11" t="n"/>
      <c r="C1196" s="11" t="n"/>
      <c r="D1196" s="11" t="n"/>
      <c r="E1196" s="11" t="n"/>
      <c r="F1196" s="11" t="n"/>
      <c r="G1196" s="11" t="n"/>
      <c r="H1196" s="11" t="n"/>
      <c r="I1196" s="11" t="n"/>
      <c r="J1196" s="11" t="n"/>
      <c r="K1196" s="11" t="n"/>
      <c r="L1196" s="11" t="n"/>
      <c r="M1196" s="11" t="n"/>
      <c r="N1196" s="11" t="n"/>
      <c r="O1196" s="11" t="n"/>
      <c r="P1196" s="11" t="n"/>
      <c r="Q1196" s="11" t="n"/>
      <c r="R1196" s="11" t="n"/>
      <c r="S1196" s="11" t="n"/>
      <c r="T1196" s="12" t="n"/>
    </row>
    <row r="1197">
      <c r="A1197" s="11" t="n"/>
      <c r="B1197" s="11" t="n"/>
      <c r="C1197" s="11" t="n"/>
      <c r="D1197" s="11" t="n"/>
      <c r="E1197" s="11" t="n"/>
      <c r="F1197" s="11" t="n"/>
      <c r="G1197" s="11" t="n"/>
      <c r="H1197" s="11" t="n"/>
      <c r="I1197" s="11" t="n"/>
      <c r="J1197" s="11" t="n"/>
      <c r="K1197" s="11" t="n"/>
      <c r="L1197" s="11" t="n"/>
      <c r="M1197" s="11" t="n"/>
      <c r="N1197" s="11" t="n"/>
      <c r="O1197" s="11" t="n"/>
      <c r="P1197" s="11" t="n"/>
      <c r="Q1197" s="11" t="n"/>
      <c r="R1197" s="11" t="n"/>
      <c r="S1197" s="11" t="n"/>
      <c r="T1197" s="12" t="n"/>
    </row>
    <row r="1198">
      <c r="A1198" s="11" t="n"/>
      <c r="B1198" s="11" t="n"/>
      <c r="C1198" s="11" t="n"/>
      <c r="D1198" s="11" t="n"/>
      <c r="E1198" s="11" t="n"/>
      <c r="F1198" s="11" t="n"/>
      <c r="G1198" s="11" t="n"/>
      <c r="H1198" s="11" t="n"/>
      <c r="I1198" s="11" t="n"/>
      <c r="J1198" s="11" t="n"/>
      <c r="K1198" s="11" t="n"/>
      <c r="L1198" s="11" t="n"/>
      <c r="M1198" s="11" t="n"/>
      <c r="N1198" s="11" t="n"/>
      <c r="O1198" s="11" t="n"/>
      <c r="P1198" s="11" t="n"/>
      <c r="Q1198" s="11" t="n"/>
      <c r="R1198" s="11" t="n"/>
      <c r="S1198" s="11" t="n"/>
      <c r="T1198" s="12" t="n"/>
    </row>
    <row r="1199">
      <c r="A1199" s="11" t="n"/>
      <c r="B1199" s="11" t="n"/>
      <c r="C1199" s="11" t="n"/>
      <c r="D1199" s="11" t="n"/>
      <c r="E1199" s="11" t="n"/>
      <c r="F1199" s="11" t="n"/>
      <c r="G1199" s="11" t="n"/>
      <c r="H1199" s="11" t="n"/>
      <c r="I1199" s="11" t="n"/>
      <c r="J1199" s="11" t="n"/>
      <c r="K1199" s="11" t="n"/>
      <c r="L1199" s="11" t="n"/>
      <c r="M1199" s="11" t="n"/>
      <c r="N1199" s="11" t="n"/>
      <c r="O1199" s="11" t="n"/>
      <c r="P1199" s="11" t="n"/>
      <c r="Q1199" s="11" t="n"/>
      <c r="R1199" s="11" t="n"/>
      <c r="S1199" s="11" t="n"/>
      <c r="T1199" s="12" t="n"/>
    </row>
    <row r="1200">
      <c r="A1200" s="11" t="n"/>
      <c r="B1200" s="11" t="n"/>
      <c r="C1200" s="11" t="n"/>
      <c r="D1200" s="11" t="n"/>
      <c r="E1200" s="11" t="n"/>
      <c r="F1200" s="11" t="n"/>
      <c r="G1200" s="11" t="n"/>
      <c r="H1200" s="11" t="n"/>
      <c r="I1200" s="11" t="n"/>
      <c r="J1200" s="11" t="n"/>
      <c r="K1200" s="11" t="n"/>
      <c r="L1200" s="11" t="n"/>
      <c r="M1200" s="11" t="n"/>
      <c r="N1200" s="11" t="n"/>
      <c r="O1200" s="11" t="n"/>
      <c r="P1200" s="11" t="n"/>
      <c r="Q1200" s="11" t="n"/>
      <c r="R1200" s="11" t="n"/>
      <c r="S1200" s="11" t="n"/>
      <c r="T1200" s="12" t="n"/>
    </row>
    <row r="1201">
      <c r="A1201" s="11" t="n"/>
      <c r="B1201" s="11" t="n"/>
      <c r="C1201" s="11" t="n"/>
      <c r="D1201" s="11" t="n"/>
      <c r="E1201" s="11" t="n"/>
      <c r="F1201" s="11" t="n"/>
      <c r="G1201" s="11" t="n"/>
      <c r="H1201" s="11" t="n"/>
      <c r="I1201" s="11" t="n"/>
      <c r="J1201" s="11" t="n"/>
      <c r="K1201" s="11" t="n"/>
      <c r="L1201" s="11" t="n"/>
      <c r="M1201" s="11" t="n"/>
      <c r="N1201" s="11" t="n"/>
      <c r="O1201" s="11" t="n"/>
      <c r="P1201" s="11" t="n"/>
      <c r="Q1201" s="11" t="n"/>
      <c r="R1201" s="11" t="n"/>
      <c r="S1201" s="11" t="n"/>
      <c r="T1201" s="12" t="n"/>
    </row>
    <row r="1202">
      <c r="A1202" s="11" t="n"/>
      <c r="B1202" s="11" t="n"/>
      <c r="C1202" s="11" t="n"/>
      <c r="D1202" s="11" t="n"/>
      <c r="E1202" s="11" t="n"/>
      <c r="F1202" s="11" t="n"/>
      <c r="G1202" s="11" t="n"/>
      <c r="H1202" s="11" t="n"/>
      <c r="I1202" s="11" t="n"/>
      <c r="J1202" s="11" t="n"/>
      <c r="K1202" s="11" t="n"/>
      <c r="L1202" s="11" t="n"/>
      <c r="M1202" s="11" t="n"/>
      <c r="N1202" s="11" t="n"/>
      <c r="O1202" s="11" t="n"/>
      <c r="P1202" s="11" t="n"/>
      <c r="Q1202" s="11" t="n"/>
      <c r="R1202" s="11" t="n"/>
      <c r="S1202" s="11" t="n"/>
      <c r="T1202" s="12" t="n"/>
    </row>
    <row r="1203">
      <c r="A1203" s="11" t="n"/>
      <c r="B1203" s="11" t="n"/>
      <c r="C1203" s="11" t="n"/>
      <c r="D1203" s="11" t="n"/>
      <c r="E1203" s="11" t="n"/>
      <c r="F1203" s="11" t="n"/>
      <c r="G1203" s="11" t="n"/>
      <c r="H1203" s="11" t="n"/>
      <c r="I1203" s="11" t="n"/>
      <c r="J1203" s="11" t="n"/>
      <c r="K1203" s="11" t="n"/>
      <c r="L1203" s="11" t="n"/>
      <c r="M1203" s="11" t="n"/>
      <c r="N1203" s="11" t="n"/>
      <c r="O1203" s="11" t="n"/>
      <c r="P1203" s="11" t="n"/>
      <c r="Q1203" s="11" t="n"/>
      <c r="R1203" s="11" t="n"/>
      <c r="S1203" s="11" t="n"/>
      <c r="T1203" s="12" t="n"/>
    </row>
    <row r="1204">
      <c r="A1204" s="11" t="n"/>
      <c r="B1204" s="11" t="n"/>
      <c r="C1204" s="11" t="n"/>
      <c r="D1204" s="11" t="n"/>
      <c r="E1204" s="11" t="n"/>
      <c r="F1204" s="11" t="n"/>
      <c r="G1204" s="11" t="n"/>
      <c r="H1204" s="11" t="n"/>
      <c r="I1204" s="11" t="n"/>
      <c r="J1204" s="11" t="n"/>
      <c r="K1204" s="11" t="n"/>
      <c r="L1204" s="11" t="n"/>
      <c r="M1204" s="11" t="n"/>
      <c r="N1204" s="11" t="n"/>
      <c r="O1204" s="11" t="n"/>
      <c r="P1204" s="11" t="n"/>
      <c r="Q1204" s="11" t="n"/>
      <c r="R1204" s="11" t="n"/>
      <c r="S1204" s="11" t="n"/>
      <c r="T1204" s="12" t="n"/>
    </row>
    <row r="1205">
      <c r="A1205" s="11" t="n"/>
      <c r="B1205" s="11" t="n"/>
      <c r="C1205" s="11" t="n"/>
      <c r="D1205" s="11" t="n"/>
      <c r="E1205" s="11" t="n"/>
      <c r="F1205" s="11" t="n"/>
      <c r="G1205" s="11" t="n"/>
      <c r="H1205" s="11" t="n"/>
      <c r="I1205" s="11" t="n"/>
      <c r="J1205" s="11" t="n"/>
      <c r="K1205" s="11" t="n"/>
      <c r="L1205" s="11" t="n"/>
      <c r="M1205" s="11" t="n"/>
      <c r="N1205" s="11" t="n"/>
      <c r="O1205" s="11" t="n"/>
      <c r="P1205" s="11" t="n"/>
      <c r="Q1205" s="11" t="n"/>
      <c r="R1205" s="11" t="n"/>
      <c r="S1205" s="11" t="n"/>
      <c r="T1205" s="12" t="n"/>
    </row>
    <row r="1206">
      <c r="A1206" s="11" t="n"/>
      <c r="B1206" s="11" t="n"/>
      <c r="C1206" s="11" t="n"/>
      <c r="D1206" s="11" t="n"/>
      <c r="E1206" s="11" t="n"/>
      <c r="F1206" s="11" t="n"/>
      <c r="G1206" s="11" t="n"/>
      <c r="H1206" s="11" t="n"/>
      <c r="I1206" s="11" t="n"/>
      <c r="J1206" s="11" t="n"/>
      <c r="K1206" s="11" t="n"/>
      <c r="L1206" s="11" t="n"/>
      <c r="M1206" s="11" t="n"/>
      <c r="N1206" s="11" t="n"/>
      <c r="O1206" s="11" t="n"/>
      <c r="P1206" s="11" t="n"/>
      <c r="Q1206" s="11" t="n"/>
      <c r="R1206" s="11" t="n"/>
      <c r="S1206" s="11" t="n"/>
      <c r="T1206" s="12" t="n"/>
    </row>
    <row r="1207">
      <c r="A1207" s="11" t="n"/>
      <c r="B1207" s="11" t="n"/>
      <c r="C1207" s="11" t="n"/>
      <c r="D1207" s="11" t="n"/>
      <c r="E1207" s="11" t="n"/>
      <c r="F1207" s="11" t="n"/>
      <c r="G1207" s="11" t="n"/>
      <c r="H1207" s="11" t="n"/>
      <c r="I1207" s="11" t="n"/>
      <c r="J1207" s="11" t="n"/>
      <c r="K1207" s="11" t="n"/>
      <c r="L1207" s="11" t="n"/>
      <c r="M1207" s="11" t="n"/>
      <c r="N1207" s="11" t="n"/>
      <c r="O1207" s="11" t="n"/>
      <c r="P1207" s="11" t="n"/>
      <c r="Q1207" s="11" t="n"/>
      <c r="R1207" s="11" t="n"/>
      <c r="S1207" s="11" t="n"/>
      <c r="T1207" s="12" t="n"/>
    </row>
    <row r="1208">
      <c r="A1208" s="11" t="n"/>
      <c r="B1208" s="11" t="n"/>
      <c r="C1208" s="11" t="n"/>
      <c r="D1208" s="11" t="n"/>
      <c r="E1208" s="11" t="n"/>
      <c r="F1208" s="11" t="n"/>
      <c r="G1208" s="11" t="n"/>
      <c r="H1208" s="11" t="n"/>
      <c r="I1208" s="11" t="n"/>
      <c r="J1208" s="11" t="n"/>
      <c r="K1208" s="11" t="n"/>
      <c r="L1208" s="11" t="n"/>
      <c r="M1208" s="11" t="n"/>
      <c r="N1208" s="11" t="n"/>
      <c r="O1208" s="11" t="n"/>
      <c r="P1208" s="11" t="n"/>
      <c r="Q1208" s="11" t="n"/>
      <c r="R1208" s="11" t="n"/>
      <c r="S1208" s="11" t="n"/>
      <c r="T1208" s="12" t="n"/>
    </row>
    <row r="1209">
      <c r="A1209" s="11" t="n"/>
      <c r="B1209" s="11" t="n"/>
      <c r="C1209" s="11" t="n"/>
      <c r="D1209" s="11" t="n"/>
      <c r="E1209" s="11" t="n"/>
      <c r="F1209" s="11" t="n"/>
      <c r="G1209" s="11" t="n"/>
      <c r="H1209" s="11" t="n"/>
      <c r="I1209" s="11" t="n"/>
      <c r="J1209" s="11" t="n"/>
      <c r="K1209" s="11" t="n"/>
      <c r="L1209" s="11" t="n"/>
      <c r="M1209" s="11" t="n"/>
      <c r="N1209" s="11" t="n"/>
      <c r="O1209" s="11" t="n"/>
      <c r="P1209" s="11" t="n"/>
      <c r="Q1209" s="11" t="n"/>
      <c r="R1209" s="11" t="n"/>
      <c r="S1209" s="11" t="n"/>
      <c r="T1209" s="12" t="n"/>
    </row>
    <row r="1210">
      <c r="A1210" s="11" t="n"/>
      <c r="B1210" s="11" t="n"/>
      <c r="C1210" s="11" t="n"/>
      <c r="D1210" s="11" t="n"/>
      <c r="E1210" s="11" t="n"/>
      <c r="F1210" s="11" t="n"/>
      <c r="G1210" s="11" t="n"/>
      <c r="H1210" s="11" t="n"/>
      <c r="I1210" s="11" t="n"/>
      <c r="J1210" s="11" t="n"/>
      <c r="K1210" s="11" t="n"/>
      <c r="L1210" s="11" t="n"/>
      <c r="M1210" s="11" t="n"/>
      <c r="N1210" s="11" t="n"/>
      <c r="O1210" s="11" t="n"/>
      <c r="P1210" s="11" t="n"/>
      <c r="Q1210" s="11" t="n"/>
      <c r="R1210" s="11" t="n"/>
      <c r="S1210" s="11" t="n"/>
      <c r="T1210" s="12" t="n"/>
    </row>
    <row r="1211">
      <c r="A1211" s="11" t="n"/>
      <c r="B1211" s="11" t="n"/>
      <c r="C1211" s="11" t="n"/>
      <c r="D1211" s="11" t="n"/>
      <c r="E1211" s="11" t="n"/>
      <c r="F1211" s="11" t="n"/>
      <c r="G1211" s="11" t="n"/>
      <c r="H1211" s="11" t="n"/>
      <c r="I1211" s="11" t="n"/>
      <c r="J1211" s="11" t="n"/>
      <c r="K1211" s="11" t="n"/>
      <c r="L1211" s="11" t="n"/>
      <c r="M1211" s="11" t="n"/>
      <c r="N1211" s="11" t="n"/>
      <c r="O1211" s="11" t="n"/>
      <c r="P1211" s="11" t="n"/>
      <c r="Q1211" s="11" t="n"/>
      <c r="R1211" s="11" t="n"/>
      <c r="S1211" s="11" t="n"/>
      <c r="T1211" s="12" t="n"/>
    </row>
    <row r="1212">
      <c r="A1212" s="11" t="n"/>
      <c r="B1212" s="11" t="n"/>
      <c r="C1212" s="11" t="n"/>
      <c r="D1212" s="11" t="n"/>
      <c r="E1212" s="11" t="n"/>
      <c r="F1212" s="11" t="n"/>
      <c r="G1212" s="11" t="n"/>
      <c r="H1212" s="11" t="n"/>
      <c r="I1212" s="11" t="n"/>
      <c r="J1212" s="11" t="n"/>
      <c r="K1212" s="11" t="n"/>
      <c r="L1212" s="11" t="n"/>
      <c r="M1212" s="11" t="n"/>
      <c r="N1212" s="11" t="n"/>
      <c r="O1212" s="11" t="n"/>
      <c r="P1212" s="11" t="n"/>
      <c r="Q1212" s="11" t="n"/>
      <c r="R1212" s="11" t="n"/>
      <c r="S1212" s="11" t="n"/>
      <c r="T1212" s="12" t="n"/>
    </row>
    <row r="1213">
      <c r="A1213" s="11" t="n"/>
      <c r="B1213" s="11" t="n"/>
      <c r="C1213" s="11" t="n"/>
      <c r="D1213" s="11" t="n"/>
      <c r="E1213" s="11" t="n"/>
      <c r="F1213" s="11" t="n"/>
      <c r="G1213" s="11" t="n"/>
      <c r="H1213" s="11" t="n"/>
      <c r="I1213" s="11" t="n"/>
      <c r="J1213" s="11" t="n"/>
      <c r="K1213" s="11" t="n"/>
      <c r="L1213" s="11" t="n"/>
      <c r="M1213" s="11" t="n"/>
      <c r="N1213" s="11" t="n"/>
      <c r="O1213" s="11" t="n"/>
      <c r="P1213" s="11" t="n"/>
      <c r="Q1213" s="11" t="n"/>
      <c r="R1213" s="11" t="n"/>
      <c r="S1213" s="11" t="n"/>
      <c r="T1213" s="12" t="n"/>
    </row>
    <row r="1214">
      <c r="A1214" s="11" t="n"/>
      <c r="B1214" s="11" t="n"/>
      <c r="C1214" s="11" t="n"/>
      <c r="D1214" s="11" t="n"/>
      <c r="E1214" s="11" t="n"/>
      <c r="F1214" s="11" t="n"/>
      <c r="G1214" s="11" t="n"/>
      <c r="H1214" s="11" t="n"/>
      <c r="I1214" s="11" t="n"/>
      <c r="J1214" s="11" t="n"/>
      <c r="K1214" s="11" t="n"/>
      <c r="L1214" s="11" t="n"/>
      <c r="M1214" s="11" t="n"/>
      <c r="N1214" s="11" t="n"/>
      <c r="O1214" s="11" t="n"/>
      <c r="P1214" s="11" t="n"/>
      <c r="Q1214" s="11" t="n"/>
      <c r="R1214" s="11" t="n"/>
      <c r="S1214" s="11" t="n"/>
      <c r="T1214" s="12" t="n"/>
    </row>
    <row r="1215">
      <c r="A1215" s="11" t="n"/>
      <c r="B1215" s="11" t="n"/>
      <c r="C1215" s="11" t="n"/>
      <c r="D1215" s="11" t="n"/>
      <c r="E1215" s="11" t="n"/>
      <c r="F1215" s="11" t="n"/>
      <c r="G1215" s="11" t="n"/>
      <c r="H1215" s="11" t="n"/>
      <c r="I1215" s="11" t="n"/>
      <c r="J1215" s="11" t="n"/>
      <c r="K1215" s="11" t="n"/>
      <c r="L1215" s="11" t="n"/>
      <c r="M1215" s="11" t="n"/>
      <c r="N1215" s="11" t="n"/>
      <c r="O1215" s="11" t="n"/>
      <c r="P1215" s="11" t="n"/>
      <c r="Q1215" s="11" t="n"/>
      <c r="R1215" s="11" t="n"/>
      <c r="S1215" s="11" t="n"/>
      <c r="T1215" s="12" t="n"/>
    </row>
    <row r="1216">
      <c r="A1216" s="11" t="n"/>
      <c r="B1216" s="11" t="n"/>
      <c r="C1216" s="11" t="n"/>
      <c r="D1216" s="11" t="n"/>
      <c r="E1216" s="11" t="n"/>
      <c r="F1216" s="11" t="n"/>
      <c r="G1216" s="11" t="n"/>
      <c r="H1216" s="11" t="n"/>
      <c r="I1216" s="11" t="n"/>
      <c r="J1216" s="11" t="n"/>
      <c r="K1216" s="11" t="n"/>
      <c r="L1216" s="11" t="n"/>
      <c r="M1216" s="11" t="n"/>
      <c r="N1216" s="11" t="n"/>
      <c r="O1216" s="11" t="n"/>
      <c r="P1216" s="11" t="n"/>
      <c r="Q1216" s="11" t="n"/>
      <c r="R1216" s="11" t="n"/>
      <c r="S1216" s="11" t="n"/>
      <c r="T1216" s="12" t="n"/>
    </row>
    <row r="1217">
      <c r="A1217" s="11" t="n"/>
      <c r="B1217" s="11" t="n"/>
      <c r="C1217" s="11" t="n"/>
      <c r="D1217" s="11" t="n"/>
      <c r="E1217" s="11" t="n"/>
      <c r="F1217" s="11" t="n"/>
      <c r="G1217" s="11" t="n"/>
      <c r="H1217" s="11" t="n"/>
      <c r="I1217" s="11" t="n"/>
      <c r="J1217" s="11" t="n"/>
      <c r="K1217" s="11" t="n"/>
      <c r="L1217" s="11" t="n"/>
      <c r="M1217" s="11" t="n"/>
      <c r="N1217" s="11" t="n"/>
      <c r="O1217" s="11" t="n"/>
      <c r="P1217" s="11" t="n"/>
      <c r="Q1217" s="11" t="n"/>
      <c r="R1217" s="11" t="n"/>
      <c r="S1217" s="11" t="n"/>
      <c r="T1217" s="12" t="n"/>
    </row>
    <row r="1218">
      <c r="A1218" s="11" t="n"/>
      <c r="B1218" s="11" t="n"/>
      <c r="C1218" s="11" t="n"/>
      <c r="D1218" s="11" t="n"/>
      <c r="E1218" s="11" t="n"/>
      <c r="F1218" s="11" t="n"/>
      <c r="G1218" s="11" t="n"/>
      <c r="H1218" s="11" t="n"/>
      <c r="I1218" s="11" t="n"/>
      <c r="J1218" s="11" t="n"/>
      <c r="K1218" s="11" t="n"/>
      <c r="L1218" s="11" t="n"/>
      <c r="M1218" s="11" t="n"/>
      <c r="N1218" s="11" t="n"/>
      <c r="O1218" s="11" t="n"/>
      <c r="P1218" s="11" t="n"/>
      <c r="Q1218" s="11" t="n"/>
      <c r="R1218" s="11" t="n"/>
      <c r="S1218" s="11" t="n"/>
      <c r="T1218" s="12" t="n"/>
    </row>
    <row r="1219">
      <c r="A1219" s="11" t="n"/>
      <c r="B1219" s="11" t="n"/>
      <c r="C1219" s="11" t="n"/>
      <c r="D1219" s="11" t="n"/>
      <c r="E1219" s="11" t="n"/>
      <c r="F1219" s="11" t="n"/>
      <c r="G1219" s="11" t="n"/>
      <c r="H1219" s="11" t="n"/>
      <c r="I1219" s="11" t="n"/>
      <c r="J1219" s="11" t="n"/>
      <c r="K1219" s="11" t="n"/>
      <c r="L1219" s="11" t="n"/>
      <c r="M1219" s="11" t="n"/>
      <c r="N1219" s="11" t="n"/>
      <c r="O1219" s="11" t="n"/>
      <c r="P1219" s="11" t="n"/>
      <c r="Q1219" s="11" t="n"/>
      <c r="R1219" s="11" t="n"/>
      <c r="S1219" s="11" t="n"/>
      <c r="T1219" s="12" t="n"/>
    </row>
    <row r="1220">
      <c r="A1220" s="11" t="n"/>
      <c r="B1220" s="11" t="n"/>
      <c r="C1220" s="11" t="n"/>
      <c r="D1220" s="11" t="n"/>
      <c r="E1220" s="11" t="n"/>
      <c r="F1220" s="11" t="n"/>
      <c r="G1220" s="11" t="n"/>
      <c r="H1220" s="11" t="n"/>
      <c r="I1220" s="11" t="n"/>
      <c r="J1220" s="11" t="n"/>
      <c r="K1220" s="11" t="n"/>
      <c r="L1220" s="11" t="n"/>
      <c r="M1220" s="11" t="n"/>
      <c r="N1220" s="11" t="n"/>
      <c r="O1220" s="11" t="n"/>
      <c r="P1220" s="11" t="n"/>
      <c r="Q1220" s="11" t="n"/>
      <c r="R1220" s="11" t="n"/>
      <c r="S1220" s="11" t="n"/>
      <c r="T1220" s="12" t="n"/>
    </row>
    <row r="1221">
      <c r="A1221" s="11" t="n"/>
      <c r="B1221" s="11" t="n"/>
      <c r="C1221" s="11" t="n"/>
      <c r="D1221" s="11" t="n"/>
      <c r="E1221" s="11" t="n"/>
      <c r="F1221" s="11" t="n"/>
      <c r="G1221" s="11" t="n"/>
      <c r="H1221" s="11" t="n"/>
      <c r="I1221" s="11" t="n"/>
      <c r="J1221" s="11" t="n"/>
      <c r="K1221" s="11" t="n"/>
      <c r="L1221" s="11" t="n"/>
      <c r="M1221" s="11" t="n"/>
      <c r="N1221" s="11" t="n"/>
      <c r="O1221" s="11" t="n"/>
      <c r="P1221" s="11" t="n"/>
      <c r="Q1221" s="11" t="n"/>
      <c r="R1221" s="11" t="n"/>
      <c r="S1221" s="11" t="n"/>
      <c r="T1221" s="12" t="n"/>
    </row>
    <row r="1222">
      <c r="A1222" s="11" t="n"/>
      <c r="B1222" s="11" t="n"/>
      <c r="C1222" s="11" t="n"/>
      <c r="D1222" s="11" t="n"/>
      <c r="E1222" s="11" t="n"/>
      <c r="F1222" s="11" t="n"/>
      <c r="G1222" s="11" t="n"/>
      <c r="H1222" s="11" t="n"/>
      <c r="I1222" s="11" t="n"/>
      <c r="J1222" s="11" t="n"/>
      <c r="K1222" s="11" t="n"/>
      <c r="L1222" s="11" t="n"/>
      <c r="M1222" s="11" t="n"/>
      <c r="N1222" s="11" t="n"/>
      <c r="O1222" s="11" t="n"/>
      <c r="P1222" s="11" t="n"/>
      <c r="Q1222" s="11" t="n"/>
      <c r="R1222" s="11" t="n"/>
      <c r="S1222" s="11" t="n"/>
      <c r="T1222" s="12" t="n"/>
    </row>
    <row r="1223">
      <c r="A1223" s="11" t="n"/>
      <c r="B1223" s="11" t="n"/>
      <c r="C1223" s="11" t="n"/>
      <c r="D1223" s="11" t="n"/>
      <c r="E1223" s="11" t="n"/>
      <c r="F1223" s="11" t="n"/>
      <c r="G1223" s="11" t="n"/>
      <c r="H1223" s="11" t="n"/>
      <c r="I1223" s="11" t="n"/>
      <c r="J1223" s="11" t="n"/>
      <c r="K1223" s="11" t="n"/>
      <c r="L1223" s="11" t="n"/>
      <c r="M1223" s="11" t="n"/>
      <c r="N1223" s="11" t="n"/>
      <c r="O1223" s="11" t="n"/>
      <c r="P1223" s="11" t="n"/>
      <c r="Q1223" s="11" t="n"/>
      <c r="R1223" s="11" t="n"/>
      <c r="S1223" s="11" t="n"/>
      <c r="T1223" s="12" t="n"/>
    </row>
    <row r="1224">
      <c r="A1224" s="11" t="n"/>
      <c r="B1224" s="11" t="n"/>
      <c r="C1224" s="11" t="n"/>
      <c r="D1224" s="11" t="n"/>
      <c r="E1224" s="11" t="n"/>
      <c r="F1224" s="11" t="n"/>
      <c r="G1224" s="11" t="n"/>
      <c r="H1224" s="11" t="n"/>
      <c r="I1224" s="11" t="n"/>
      <c r="J1224" s="11" t="n"/>
      <c r="K1224" s="11" t="n"/>
      <c r="L1224" s="11" t="n"/>
      <c r="M1224" s="11" t="n"/>
      <c r="N1224" s="11" t="n"/>
      <c r="O1224" s="11" t="n"/>
      <c r="P1224" s="11" t="n"/>
      <c r="Q1224" s="11" t="n"/>
      <c r="R1224" s="11" t="n"/>
      <c r="S1224" s="11" t="n"/>
      <c r="T1224" s="12" t="n"/>
    </row>
    <row r="1225">
      <c r="A1225" s="11" t="n"/>
      <c r="B1225" s="11" t="n"/>
      <c r="C1225" s="11" t="n"/>
      <c r="D1225" s="11" t="n"/>
      <c r="E1225" s="11" t="n"/>
      <c r="F1225" s="11" t="n"/>
      <c r="G1225" s="11" t="n"/>
      <c r="H1225" s="11" t="n"/>
      <c r="I1225" s="11" t="n"/>
      <c r="J1225" s="11" t="n"/>
      <c r="K1225" s="11" t="n"/>
      <c r="L1225" s="11" t="n"/>
      <c r="M1225" s="11" t="n"/>
      <c r="N1225" s="11" t="n"/>
      <c r="O1225" s="11" t="n"/>
      <c r="P1225" s="11" t="n"/>
      <c r="Q1225" s="11" t="n"/>
      <c r="R1225" s="11" t="n"/>
      <c r="S1225" s="11" t="n"/>
      <c r="T1225" s="12" t="n"/>
    </row>
    <row r="1226">
      <c r="A1226" s="11" t="n"/>
      <c r="B1226" s="11" t="n"/>
      <c r="C1226" s="11" t="n"/>
      <c r="D1226" s="11" t="n"/>
      <c r="E1226" s="11" t="n"/>
      <c r="F1226" s="11" t="n"/>
      <c r="G1226" s="11" t="n"/>
      <c r="H1226" s="11" t="n"/>
      <c r="I1226" s="11" t="n"/>
      <c r="J1226" s="11" t="n"/>
      <c r="K1226" s="11" t="n"/>
      <c r="L1226" s="11" t="n"/>
      <c r="M1226" s="11" t="n"/>
      <c r="N1226" s="11" t="n"/>
      <c r="O1226" s="11" t="n"/>
      <c r="P1226" s="11" t="n"/>
      <c r="Q1226" s="11" t="n"/>
      <c r="R1226" s="11" t="n"/>
      <c r="S1226" s="11" t="n"/>
      <c r="T1226" s="12" t="n"/>
    </row>
    <row r="1227">
      <c r="A1227" s="11" t="n"/>
      <c r="B1227" s="11" t="n"/>
      <c r="C1227" s="11" t="n"/>
      <c r="D1227" s="11" t="n"/>
      <c r="E1227" s="11" t="n"/>
      <c r="F1227" s="11" t="n"/>
      <c r="G1227" s="11" t="n"/>
      <c r="H1227" s="11" t="n"/>
      <c r="I1227" s="11" t="n"/>
      <c r="J1227" s="11" t="n"/>
      <c r="K1227" s="11" t="n"/>
      <c r="L1227" s="11" t="n"/>
      <c r="M1227" s="11" t="n"/>
      <c r="N1227" s="11" t="n"/>
      <c r="O1227" s="11" t="n"/>
      <c r="P1227" s="11" t="n"/>
      <c r="Q1227" s="11" t="n"/>
      <c r="R1227" s="11" t="n"/>
      <c r="S1227" s="11" t="n"/>
      <c r="T1227" s="12" t="n"/>
    </row>
    <row r="1228">
      <c r="A1228" s="11" t="n"/>
      <c r="B1228" s="11" t="n"/>
      <c r="C1228" s="11" t="n"/>
      <c r="D1228" s="11" t="n"/>
      <c r="E1228" s="11" t="n"/>
      <c r="F1228" s="11" t="n"/>
      <c r="G1228" s="11" t="n"/>
      <c r="H1228" s="11" t="n"/>
      <c r="I1228" s="11" t="n"/>
      <c r="J1228" s="11" t="n"/>
      <c r="K1228" s="11" t="n"/>
      <c r="L1228" s="11" t="n"/>
      <c r="M1228" s="11" t="n"/>
      <c r="N1228" s="11" t="n"/>
      <c r="O1228" s="11" t="n"/>
      <c r="P1228" s="11" t="n"/>
      <c r="Q1228" s="11" t="n"/>
      <c r="R1228" s="11" t="n"/>
      <c r="S1228" s="11" t="n"/>
      <c r="T1228" s="12" t="n"/>
    </row>
    <row r="1229">
      <c r="A1229" s="11" t="n"/>
      <c r="B1229" s="11" t="n"/>
      <c r="C1229" s="11" t="n"/>
      <c r="D1229" s="11" t="n"/>
      <c r="E1229" s="11" t="n"/>
      <c r="F1229" s="11" t="n"/>
      <c r="G1229" s="11" t="n"/>
      <c r="H1229" s="11" t="n"/>
      <c r="I1229" s="11" t="n"/>
      <c r="J1229" s="11" t="n"/>
      <c r="K1229" s="11" t="n"/>
      <c r="L1229" s="11" t="n"/>
      <c r="M1229" s="11" t="n"/>
      <c r="N1229" s="11" t="n"/>
      <c r="O1229" s="11" t="n"/>
      <c r="P1229" s="11" t="n"/>
      <c r="Q1229" s="11" t="n"/>
      <c r="R1229" s="11" t="n"/>
      <c r="S1229" s="11" t="n"/>
      <c r="T1229" s="12" t="n"/>
    </row>
    <row r="1230">
      <c r="A1230" s="11" t="n"/>
      <c r="B1230" s="11" t="n"/>
      <c r="C1230" s="11" t="n"/>
      <c r="D1230" s="11" t="n"/>
      <c r="E1230" s="11" t="n"/>
      <c r="F1230" s="11" t="n"/>
      <c r="G1230" s="11" t="n"/>
      <c r="H1230" s="11" t="n"/>
      <c r="I1230" s="11" t="n"/>
      <c r="J1230" s="11" t="n"/>
      <c r="K1230" s="11" t="n"/>
      <c r="L1230" s="11" t="n"/>
      <c r="M1230" s="11" t="n"/>
      <c r="N1230" s="11" t="n"/>
      <c r="O1230" s="11" t="n"/>
      <c r="P1230" s="11" t="n"/>
      <c r="Q1230" s="11" t="n"/>
      <c r="R1230" s="11" t="n"/>
      <c r="S1230" s="11" t="n"/>
      <c r="T1230" s="12" t="n"/>
    </row>
    <row r="1231">
      <c r="A1231" s="11" t="n"/>
      <c r="B1231" s="11" t="n"/>
      <c r="C1231" s="11" t="n"/>
      <c r="D1231" s="11" t="n"/>
      <c r="E1231" s="11" t="n"/>
      <c r="F1231" s="11" t="n"/>
      <c r="G1231" s="11" t="n"/>
      <c r="H1231" s="11" t="n"/>
      <c r="I1231" s="11" t="n"/>
      <c r="J1231" s="11" t="n"/>
      <c r="K1231" s="11" t="n"/>
      <c r="L1231" s="11" t="n"/>
      <c r="M1231" s="11" t="n"/>
      <c r="N1231" s="11" t="n"/>
      <c r="O1231" s="11" t="n"/>
      <c r="P1231" s="11" t="n"/>
      <c r="Q1231" s="11" t="n"/>
      <c r="R1231" s="11" t="n"/>
      <c r="S1231" s="11" t="n"/>
      <c r="T1231" s="12" t="n"/>
    </row>
    <row r="1232">
      <c r="A1232" s="11" t="n"/>
      <c r="B1232" s="11" t="n"/>
      <c r="C1232" s="11" t="n"/>
      <c r="D1232" s="11" t="n"/>
      <c r="E1232" s="11" t="n"/>
      <c r="F1232" s="11" t="n"/>
      <c r="G1232" s="11" t="n"/>
      <c r="H1232" s="11" t="n"/>
      <c r="I1232" s="11" t="n"/>
      <c r="J1232" s="11" t="n"/>
      <c r="K1232" s="11" t="n"/>
      <c r="L1232" s="11" t="n"/>
      <c r="M1232" s="11" t="n"/>
      <c r="N1232" s="11" t="n"/>
      <c r="O1232" s="11" t="n"/>
      <c r="P1232" s="11" t="n"/>
      <c r="Q1232" s="11" t="n"/>
      <c r="R1232" s="11" t="n"/>
      <c r="S1232" s="11" t="n"/>
      <c r="T1232" s="12" t="n"/>
    </row>
    <row r="1233">
      <c r="A1233" s="11" t="n"/>
      <c r="B1233" s="11" t="n"/>
      <c r="C1233" s="11" t="n"/>
      <c r="D1233" s="11" t="n"/>
      <c r="E1233" s="11" t="n"/>
      <c r="F1233" s="11" t="n"/>
      <c r="G1233" s="11" t="n"/>
      <c r="H1233" s="11" t="n"/>
      <c r="I1233" s="11" t="n"/>
      <c r="J1233" s="11" t="n"/>
      <c r="K1233" s="11" t="n"/>
      <c r="L1233" s="11" t="n"/>
      <c r="M1233" s="11" t="n"/>
      <c r="N1233" s="11" t="n"/>
      <c r="O1233" s="11" t="n"/>
      <c r="P1233" s="11" t="n"/>
      <c r="Q1233" s="11" t="n"/>
      <c r="R1233" s="11" t="n"/>
      <c r="S1233" s="11" t="n"/>
      <c r="T1233" s="12" t="n"/>
    </row>
    <row r="1234">
      <c r="A1234" s="11" t="n"/>
      <c r="B1234" s="11" t="n"/>
      <c r="C1234" s="11" t="n"/>
      <c r="D1234" s="11" t="n"/>
      <c r="E1234" s="11" t="n"/>
      <c r="F1234" s="11" t="n"/>
      <c r="G1234" s="11" t="n"/>
      <c r="H1234" s="11" t="n"/>
      <c r="I1234" s="11" t="n"/>
      <c r="J1234" s="11" t="n"/>
      <c r="K1234" s="11" t="n"/>
      <c r="L1234" s="11" t="n"/>
      <c r="M1234" s="11" t="n"/>
      <c r="N1234" s="11" t="n"/>
      <c r="O1234" s="11" t="n"/>
      <c r="P1234" s="11" t="n"/>
      <c r="Q1234" s="11" t="n"/>
      <c r="R1234" s="11" t="n"/>
      <c r="S1234" s="11" t="n"/>
      <c r="T1234" s="12" t="n"/>
    </row>
    <row r="1235">
      <c r="A1235" s="11" t="n"/>
      <c r="B1235" s="11" t="n"/>
      <c r="C1235" s="11" t="n"/>
      <c r="D1235" s="11" t="n"/>
      <c r="E1235" s="11" t="n"/>
      <c r="F1235" s="11" t="n"/>
      <c r="G1235" s="11" t="n"/>
      <c r="H1235" s="11" t="n"/>
      <c r="I1235" s="11" t="n"/>
      <c r="J1235" s="11" t="n"/>
      <c r="K1235" s="11" t="n"/>
      <c r="L1235" s="11" t="n"/>
      <c r="M1235" s="11" t="n"/>
      <c r="N1235" s="11" t="n"/>
      <c r="O1235" s="11" t="n"/>
      <c r="P1235" s="11" t="n"/>
      <c r="Q1235" s="11" t="n"/>
      <c r="R1235" s="11" t="n"/>
      <c r="S1235" s="11" t="n"/>
      <c r="T1235" s="12" t="n"/>
    </row>
    <row r="1236">
      <c r="A1236" s="11" t="n"/>
      <c r="B1236" s="11" t="n"/>
      <c r="C1236" s="11" t="n"/>
      <c r="D1236" s="11" t="n"/>
      <c r="E1236" s="11" t="n"/>
      <c r="F1236" s="11" t="n"/>
      <c r="G1236" s="11" t="n"/>
      <c r="H1236" s="11" t="n"/>
      <c r="I1236" s="11" t="n"/>
      <c r="J1236" s="11" t="n"/>
      <c r="K1236" s="11" t="n"/>
      <c r="L1236" s="11" t="n"/>
      <c r="M1236" s="11" t="n"/>
      <c r="N1236" s="11" t="n"/>
      <c r="O1236" s="11" t="n"/>
      <c r="P1236" s="11" t="n"/>
      <c r="Q1236" s="11" t="n"/>
      <c r="R1236" s="11" t="n"/>
      <c r="S1236" s="11" t="n"/>
      <c r="T1236" s="12" t="n"/>
    </row>
    <row r="1237">
      <c r="A1237" s="11" t="n"/>
      <c r="B1237" s="11" t="n"/>
      <c r="C1237" s="11" t="n"/>
      <c r="D1237" s="11" t="n"/>
      <c r="E1237" s="11" t="n"/>
      <c r="F1237" s="11" t="n"/>
      <c r="G1237" s="11" t="n"/>
      <c r="H1237" s="11" t="n"/>
      <c r="I1237" s="11" t="n"/>
      <c r="J1237" s="11" t="n"/>
      <c r="K1237" s="11" t="n"/>
      <c r="L1237" s="11" t="n"/>
      <c r="M1237" s="11" t="n"/>
      <c r="N1237" s="11" t="n"/>
      <c r="O1237" s="11" t="n"/>
      <c r="P1237" s="11" t="n"/>
      <c r="Q1237" s="11" t="n"/>
      <c r="R1237" s="11" t="n"/>
      <c r="S1237" s="11" t="n"/>
      <c r="T1237" s="12" t="n"/>
    </row>
    <row r="1238">
      <c r="A1238" s="11" t="n"/>
      <c r="B1238" s="11" t="n"/>
      <c r="C1238" s="11" t="n"/>
      <c r="D1238" s="11" t="n"/>
      <c r="E1238" s="11" t="n"/>
      <c r="F1238" s="11" t="n"/>
      <c r="G1238" s="11" t="n"/>
      <c r="H1238" s="11" t="n"/>
      <c r="I1238" s="11" t="n"/>
      <c r="J1238" s="11" t="n"/>
      <c r="K1238" s="11" t="n"/>
      <c r="L1238" s="11" t="n"/>
      <c r="M1238" s="11" t="n"/>
      <c r="N1238" s="11" t="n"/>
      <c r="O1238" s="11" t="n"/>
      <c r="P1238" s="11" t="n"/>
      <c r="Q1238" s="11" t="n"/>
      <c r="R1238" s="11" t="n"/>
      <c r="S1238" s="11" t="n"/>
      <c r="T1238" s="12" t="n"/>
    </row>
    <row r="1239">
      <c r="A1239" s="11" t="n"/>
      <c r="B1239" s="11" t="n"/>
      <c r="C1239" s="11" t="n"/>
      <c r="D1239" s="11" t="n"/>
      <c r="E1239" s="11" t="n"/>
      <c r="F1239" s="11" t="n"/>
      <c r="G1239" s="11" t="n"/>
      <c r="H1239" s="11" t="n"/>
      <c r="I1239" s="11" t="n"/>
      <c r="J1239" s="11" t="n"/>
      <c r="K1239" s="11" t="n"/>
      <c r="L1239" s="11" t="n"/>
      <c r="M1239" s="11" t="n"/>
      <c r="N1239" s="11" t="n"/>
      <c r="O1239" s="11" t="n"/>
      <c r="P1239" s="11" t="n"/>
      <c r="Q1239" s="11" t="n"/>
      <c r="R1239" s="11" t="n"/>
      <c r="S1239" s="11" t="n"/>
      <c r="T1239" s="12" t="n"/>
    </row>
    <row r="1240">
      <c r="A1240" s="11" t="n"/>
      <c r="B1240" s="11" t="n"/>
      <c r="C1240" s="11" t="n"/>
      <c r="D1240" s="11" t="n"/>
      <c r="E1240" s="11" t="n"/>
      <c r="F1240" s="11" t="n"/>
      <c r="G1240" s="11" t="n"/>
      <c r="H1240" s="11" t="n"/>
      <c r="I1240" s="11" t="n"/>
      <c r="J1240" s="11" t="n"/>
      <c r="K1240" s="11" t="n"/>
      <c r="L1240" s="11" t="n"/>
      <c r="M1240" s="11" t="n"/>
      <c r="N1240" s="11" t="n"/>
      <c r="O1240" s="11" t="n"/>
      <c r="P1240" s="11" t="n"/>
      <c r="Q1240" s="11" t="n"/>
      <c r="R1240" s="11" t="n"/>
      <c r="S1240" s="11" t="n"/>
      <c r="T1240" s="12" t="n"/>
    </row>
    <row r="1241">
      <c r="A1241" s="11" t="n"/>
      <c r="B1241" s="11" t="n"/>
      <c r="C1241" s="11" t="n"/>
      <c r="D1241" s="11" t="n"/>
      <c r="E1241" s="11" t="n"/>
      <c r="F1241" s="11" t="n"/>
      <c r="G1241" s="11" t="n"/>
      <c r="H1241" s="11" t="n"/>
      <c r="I1241" s="11" t="n"/>
      <c r="J1241" s="11" t="n"/>
      <c r="K1241" s="11" t="n"/>
      <c r="L1241" s="11" t="n"/>
      <c r="M1241" s="11" t="n"/>
      <c r="N1241" s="11" t="n"/>
      <c r="O1241" s="11" t="n"/>
      <c r="P1241" s="11" t="n"/>
      <c r="Q1241" s="11" t="n"/>
      <c r="R1241" s="11" t="n"/>
      <c r="S1241" s="11" t="n"/>
      <c r="T1241" s="12" t="n"/>
    </row>
    <row r="1242">
      <c r="A1242" s="11" t="n"/>
      <c r="B1242" s="11" t="n"/>
      <c r="C1242" s="11" t="n"/>
      <c r="D1242" s="11" t="n"/>
      <c r="E1242" s="11" t="n"/>
      <c r="F1242" s="11" t="n"/>
      <c r="G1242" s="11" t="n"/>
      <c r="H1242" s="11" t="n"/>
      <c r="I1242" s="11" t="n"/>
      <c r="J1242" s="11" t="n"/>
      <c r="K1242" s="11" t="n"/>
      <c r="L1242" s="11" t="n"/>
      <c r="M1242" s="11" t="n"/>
      <c r="N1242" s="11" t="n"/>
      <c r="O1242" s="11" t="n"/>
      <c r="P1242" s="11" t="n"/>
      <c r="Q1242" s="11" t="n"/>
      <c r="R1242" s="11" t="n"/>
      <c r="S1242" s="11" t="n"/>
      <c r="T1242" s="12" t="n"/>
    </row>
    <row r="1243">
      <c r="A1243" s="11" t="n"/>
      <c r="B1243" s="11" t="n"/>
      <c r="C1243" s="11" t="n"/>
      <c r="D1243" s="11" t="n"/>
      <c r="E1243" s="11" t="n"/>
      <c r="F1243" s="11" t="n"/>
      <c r="G1243" s="11" t="n"/>
      <c r="H1243" s="11" t="n"/>
      <c r="I1243" s="11" t="n"/>
      <c r="J1243" s="11" t="n"/>
      <c r="K1243" s="11" t="n"/>
      <c r="L1243" s="11" t="n"/>
      <c r="M1243" s="11" t="n"/>
      <c r="N1243" s="11" t="n"/>
      <c r="O1243" s="11" t="n"/>
      <c r="P1243" s="11" t="n"/>
      <c r="Q1243" s="11" t="n"/>
      <c r="R1243" s="11" t="n"/>
      <c r="S1243" s="11" t="n"/>
      <c r="T1243" s="12" t="n"/>
    </row>
    <row r="1244">
      <c r="A1244" s="11" t="n"/>
      <c r="B1244" s="11" t="n"/>
      <c r="C1244" s="11" t="n"/>
      <c r="D1244" s="11" t="n"/>
      <c r="E1244" s="11" t="n"/>
      <c r="F1244" s="11" t="n"/>
      <c r="G1244" s="11" t="n"/>
      <c r="H1244" s="11" t="n"/>
      <c r="I1244" s="11" t="n"/>
      <c r="J1244" s="11" t="n"/>
      <c r="K1244" s="11" t="n"/>
      <c r="L1244" s="11" t="n"/>
      <c r="M1244" s="11" t="n"/>
      <c r="N1244" s="11" t="n"/>
      <c r="O1244" s="11" t="n"/>
      <c r="P1244" s="11" t="n"/>
      <c r="Q1244" s="11" t="n"/>
      <c r="R1244" s="11" t="n"/>
      <c r="S1244" s="11" t="n"/>
      <c r="T1244" s="12" t="n"/>
    </row>
    <row r="1245">
      <c r="A1245" s="11" t="n"/>
      <c r="B1245" s="11" t="n"/>
      <c r="C1245" s="11" t="n"/>
      <c r="D1245" s="11" t="n"/>
      <c r="E1245" s="11" t="n"/>
      <c r="F1245" s="11" t="n"/>
      <c r="G1245" s="11" t="n"/>
      <c r="H1245" s="11" t="n"/>
      <c r="I1245" s="11" t="n"/>
      <c r="J1245" s="11" t="n"/>
      <c r="K1245" s="11" t="n"/>
      <c r="L1245" s="11" t="n"/>
      <c r="M1245" s="11" t="n"/>
      <c r="N1245" s="11" t="n"/>
      <c r="O1245" s="11" t="n"/>
      <c r="P1245" s="11" t="n"/>
      <c r="Q1245" s="11" t="n"/>
      <c r="R1245" s="11" t="n"/>
      <c r="S1245" s="11" t="n"/>
      <c r="T1245" s="12" t="n"/>
    </row>
    <row r="1246">
      <c r="A1246" s="11" t="n"/>
      <c r="B1246" s="11" t="n"/>
      <c r="C1246" s="11" t="n"/>
      <c r="D1246" s="11" t="n"/>
      <c r="E1246" s="11" t="n"/>
      <c r="F1246" s="11" t="n"/>
      <c r="G1246" s="11" t="n"/>
      <c r="H1246" s="11" t="n"/>
      <c r="I1246" s="11" t="n"/>
      <c r="J1246" s="11" t="n"/>
      <c r="K1246" s="11" t="n"/>
      <c r="L1246" s="11" t="n"/>
      <c r="M1246" s="11" t="n"/>
      <c r="N1246" s="11" t="n"/>
      <c r="O1246" s="11" t="n"/>
      <c r="P1246" s="11" t="n"/>
      <c r="Q1246" s="11" t="n"/>
      <c r="R1246" s="11" t="n"/>
      <c r="S1246" s="11" t="n"/>
      <c r="T1246" s="12" t="n"/>
    </row>
    <row r="1247">
      <c r="A1247" s="11" t="n"/>
      <c r="B1247" s="11" t="n"/>
      <c r="C1247" s="11" t="n"/>
      <c r="D1247" s="11" t="n"/>
      <c r="E1247" s="11" t="n"/>
      <c r="F1247" s="11" t="n"/>
      <c r="G1247" s="11" t="n"/>
      <c r="H1247" s="11" t="n"/>
      <c r="I1247" s="11" t="n"/>
      <c r="J1247" s="11" t="n"/>
      <c r="K1247" s="11" t="n"/>
      <c r="L1247" s="11" t="n"/>
      <c r="M1247" s="11" t="n"/>
      <c r="N1247" s="11" t="n"/>
      <c r="O1247" s="11" t="n"/>
      <c r="P1247" s="11" t="n"/>
      <c r="Q1247" s="11" t="n"/>
      <c r="R1247" s="11" t="n"/>
      <c r="S1247" s="11" t="n"/>
      <c r="T1247" s="12" t="n"/>
    </row>
    <row r="1248">
      <c r="A1248" s="11" t="n"/>
      <c r="B1248" s="11" t="n"/>
      <c r="C1248" s="11" t="n"/>
      <c r="D1248" s="11" t="n"/>
      <c r="E1248" s="11" t="n"/>
      <c r="F1248" s="11" t="n"/>
      <c r="G1248" s="11" t="n"/>
      <c r="H1248" s="11" t="n"/>
      <c r="I1248" s="11" t="n"/>
      <c r="J1248" s="11" t="n"/>
      <c r="K1248" s="11" t="n"/>
      <c r="L1248" s="11" t="n"/>
      <c r="M1248" s="11" t="n"/>
      <c r="N1248" s="11" t="n"/>
      <c r="O1248" s="11" t="n"/>
      <c r="P1248" s="11" t="n"/>
      <c r="Q1248" s="11" t="n"/>
      <c r="R1248" s="11" t="n"/>
      <c r="S1248" s="11" t="n"/>
      <c r="T1248" s="12" t="n"/>
    </row>
    <row r="1249">
      <c r="A1249" s="11" t="n"/>
      <c r="B1249" s="11" t="n"/>
      <c r="C1249" s="11" t="n"/>
      <c r="D1249" s="11" t="n"/>
      <c r="E1249" s="11" t="n"/>
      <c r="F1249" s="11" t="n"/>
      <c r="G1249" s="11" t="n"/>
      <c r="H1249" s="11" t="n"/>
      <c r="I1249" s="11" t="n"/>
      <c r="J1249" s="11" t="n"/>
      <c r="K1249" s="11" t="n"/>
      <c r="L1249" s="11" t="n"/>
      <c r="M1249" s="11" t="n"/>
      <c r="N1249" s="11" t="n"/>
      <c r="O1249" s="11" t="n"/>
      <c r="P1249" s="11" t="n"/>
      <c r="Q1249" s="11" t="n"/>
      <c r="R1249" s="11" t="n"/>
      <c r="S1249" s="11" t="n"/>
      <c r="T1249" s="12" t="n"/>
    </row>
    <row r="1250">
      <c r="A1250" s="11" t="n"/>
      <c r="B1250" s="11" t="n"/>
      <c r="C1250" s="11" t="n"/>
      <c r="D1250" s="11" t="n"/>
      <c r="E1250" s="11" t="n"/>
      <c r="F1250" s="11" t="n"/>
      <c r="G1250" s="11" t="n"/>
      <c r="H1250" s="11" t="n"/>
      <c r="I1250" s="11" t="n"/>
      <c r="J1250" s="11" t="n"/>
      <c r="K1250" s="11" t="n"/>
      <c r="L1250" s="11" t="n"/>
      <c r="M1250" s="11" t="n"/>
      <c r="N1250" s="11" t="n"/>
      <c r="O1250" s="11" t="n"/>
      <c r="P1250" s="11" t="n"/>
      <c r="Q1250" s="11" t="n"/>
      <c r="R1250" s="11" t="n"/>
      <c r="S1250" s="11" t="n"/>
      <c r="T1250" s="12" t="n"/>
    </row>
    <row r="1251">
      <c r="A1251" s="11" t="n"/>
      <c r="B1251" s="11" t="n"/>
      <c r="C1251" s="11" t="n"/>
      <c r="D1251" s="11" t="n"/>
      <c r="E1251" s="11" t="n"/>
      <c r="F1251" s="11" t="n"/>
      <c r="G1251" s="11" t="n"/>
      <c r="H1251" s="11" t="n"/>
      <c r="I1251" s="11" t="n"/>
      <c r="J1251" s="11" t="n"/>
      <c r="K1251" s="11" t="n"/>
      <c r="L1251" s="11" t="n"/>
      <c r="M1251" s="11" t="n"/>
      <c r="N1251" s="11" t="n"/>
      <c r="O1251" s="11" t="n"/>
      <c r="P1251" s="11" t="n"/>
      <c r="Q1251" s="11" t="n"/>
      <c r="R1251" s="11" t="n"/>
      <c r="S1251" s="11" t="n"/>
      <c r="T1251" s="12" t="n"/>
    </row>
    <row r="1252">
      <c r="A1252" s="11" t="n"/>
      <c r="B1252" s="11" t="n"/>
      <c r="C1252" s="11" t="n"/>
      <c r="D1252" s="11" t="n"/>
      <c r="E1252" s="11" t="n"/>
      <c r="F1252" s="11" t="n"/>
      <c r="G1252" s="11" t="n"/>
      <c r="H1252" s="11" t="n"/>
      <c r="I1252" s="11" t="n"/>
      <c r="J1252" s="11" t="n"/>
      <c r="K1252" s="11" t="n"/>
      <c r="L1252" s="11" t="n"/>
      <c r="M1252" s="11" t="n"/>
      <c r="N1252" s="11" t="n"/>
      <c r="O1252" s="11" t="n"/>
      <c r="P1252" s="11" t="n"/>
      <c r="Q1252" s="11" t="n"/>
      <c r="R1252" s="11" t="n"/>
      <c r="S1252" s="11" t="n"/>
      <c r="T1252" s="12" t="n"/>
    </row>
    <row r="1253">
      <c r="A1253" s="11" t="n"/>
      <c r="B1253" s="11" t="n"/>
      <c r="C1253" s="11" t="n"/>
      <c r="D1253" s="11" t="n"/>
      <c r="E1253" s="11" t="n"/>
      <c r="F1253" s="11" t="n"/>
      <c r="G1253" s="11" t="n"/>
      <c r="H1253" s="11" t="n"/>
      <c r="I1253" s="11" t="n"/>
      <c r="J1253" s="11" t="n"/>
      <c r="K1253" s="11" t="n"/>
      <c r="L1253" s="11" t="n"/>
      <c r="M1253" s="11" t="n"/>
      <c r="N1253" s="11" t="n"/>
      <c r="O1253" s="11" t="n"/>
      <c r="P1253" s="11" t="n"/>
      <c r="Q1253" s="11" t="n"/>
      <c r="R1253" s="11" t="n"/>
      <c r="S1253" s="11" t="n"/>
      <c r="T1253" s="12" t="n"/>
    </row>
    <row r="1254">
      <c r="A1254" s="11" t="n"/>
      <c r="B1254" s="11" t="n"/>
      <c r="C1254" s="11" t="n"/>
      <c r="D1254" s="11" t="n"/>
      <c r="E1254" s="11" t="n"/>
      <c r="F1254" s="11" t="n"/>
      <c r="G1254" s="11" t="n"/>
      <c r="H1254" s="11" t="n"/>
      <c r="I1254" s="11" t="n"/>
      <c r="J1254" s="11" t="n"/>
      <c r="K1254" s="11" t="n"/>
      <c r="L1254" s="11" t="n"/>
      <c r="M1254" s="11" t="n"/>
      <c r="N1254" s="11" t="n"/>
      <c r="O1254" s="11" t="n"/>
      <c r="P1254" s="11" t="n"/>
      <c r="Q1254" s="11" t="n"/>
      <c r="R1254" s="11" t="n"/>
      <c r="S1254" s="11" t="n"/>
      <c r="T1254" s="12" t="n"/>
    </row>
    <row r="1255">
      <c r="A1255" s="11" t="n"/>
      <c r="B1255" s="11" t="n"/>
      <c r="C1255" s="11" t="n"/>
      <c r="D1255" s="11" t="n"/>
      <c r="E1255" s="11" t="n"/>
      <c r="F1255" s="11" t="n"/>
      <c r="G1255" s="11" t="n"/>
      <c r="H1255" s="11" t="n"/>
      <c r="I1255" s="11" t="n"/>
      <c r="J1255" s="11" t="n"/>
      <c r="K1255" s="11" t="n"/>
      <c r="L1255" s="11" t="n"/>
      <c r="M1255" s="11" t="n"/>
      <c r="N1255" s="11" t="n"/>
      <c r="O1255" s="11" t="n"/>
      <c r="P1255" s="11" t="n"/>
      <c r="Q1255" s="11" t="n"/>
      <c r="R1255" s="11" t="n"/>
      <c r="S1255" s="11" t="n"/>
      <c r="T1255" s="12" t="n"/>
    </row>
    <row r="1256">
      <c r="A1256" s="11" t="n"/>
      <c r="B1256" s="11" t="n"/>
      <c r="C1256" s="11" t="n"/>
      <c r="D1256" s="11" t="n"/>
      <c r="E1256" s="11" t="n"/>
      <c r="F1256" s="11" t="n"/>
      <c r="G1256" s="11" t="n"/>
      <c r="H1256" s="11" t="n"/>
      <c r="I1256" s="11" t="n"/>
      <c r="J1256" s="11" t="n"/>
      <c r="K1256" s="11" t="n"/>
      <c r="L1256" s="11" t="n"/>
      <c r="M1256" s="11" t="n"/>
      <c r="N1256" s="11" t="n"/>
      <c r="O1256" s="11" t="n"/>
      <c r="P1256" s="11" t="n"/>
      <c r="Q1256" s="11" t="n"/>
      <c r="R1256" s="11" t="n"/>
      <c r="S1256" s="11" t="n"/>
      <c r="T1256" s="12" t="n"/>
    </row>
    <row r="1257">
      <c r="A1257" s="11" t="n"/>
      <c r="B1257" s="11" t="n"/>
      <c r="C1257" s="11" t="n"/>
      <c r="D1257" s="11" t="n"/>
      <c r="E1257" s="11" t="n"/>
      <c r="F1257" s="11" t="n"/>
      <c r="G1257" s="11" t="n"/>
      <c r="H1257" s="11" t="n"/>
      <c r="I1257" s="11" t="n"/>
      <c r="J1257" s="11" t="n"/>
      <c r="K1257" s="11" t="n"/>
      <c r="L1257" s="11" t="n"/>
      <c r="M1257" s="11" t="n"/>
      <c r="N1257" s="11" t="n"/>
      <c r="O1257" s="11" t="n"/>
      <c r="P1257" s="11" t="n"/>
      <c r="Q1257" s="11" t="n"/>
      <c r="R1257" s="11" t="n"/>
      <c r="S1257" s="11" t="n"/>
      <c r="T1257" s="12" t="n"/>
    </row>
    <row r="1258">
      <c r="A1258" s="11" t="n"/>
      <c r="B1258" s="11" t="n"/>
      <c r="C1258" s="11" t="n"/>
      <c r="D1258" s="11" t="n"/>
      <c r="E1258" s="11" t="n"/>
      <c r="F1258" s="11" t="n"/>
      <c r="G1258" s="11" t="n"/>
      <c r="H1258" s="11" t="n"/>
      <c r="I1258" s="11" t="n"/>
      <c r="J1258" s="11" t="n"/>
      <c r="K1258" s="11" t="n"/>
      <c r="L1258" s="11" t="n"/>
      <c r="M1258" s="11" t="n"/>
      <c r="N1258" s="11" t="n"/>
      <c r="O1258" s="11" t="n"/>
      <c r="P1258" s="11" t="n"/>
      <c r="Q1258" s="11" t="n"/>
      <c r="R1258" s="11" t="n"/>
      <c r="S1258" s="11" t="n"/>
      <c r="T1258" s="12" t="n"/>
    </row>
    <row r="1259">
      <c r="A1259" s="11" t="n"/>
      <c r="B1259" s="11" t="n"/>
      <c r="C1259" s="11" t="n"/>
      <c r="D1259" s="11" t="n"/>
      <c r="E1259" s="11" t="n"/>
      <c r="F1259" s="11" t="n"/>
      <c r="G1259" s="11" t="n"/>
      <c r="H1259" s="11" t="n"/>
      <c r="I1259" s="11" t="n"/>
      <c r="J1259" s="11" t="n"/>
      <c r="K1259" s="11" t="n"/>
      <c r="L1259" s="11" t="n"/>
      <c r="M1259" s="11" t="n"/>
      <c r="N1259" s="11" t="n"/>
      <c r="O1259" s="11" t="n"/>
      <c r="P1259" s="11" t="n"/>
      <c r="Q1259" s="11" t="n"/>
      <c r="R1259" s="11" t="n"/>
      <c r="S1259" s="11" t="n"/>
      <c r="T1259" s="12" t="n"/>
    </row>
    <row r="1260">
      <c r="A1260" s="11" t="n"/>
      <c r="B1260" s="11" t="n"/>
      <c r="C1260" s="11" t="n"/>
      <c r="D1260" s="11" t="n"/>
      <c r="E1260" s="11" t="n"/>
      <c r="F1260" s="11" t="n"/>
      <c r="G1260" s="11" t="n"/>
      <c r="H1260" s="11" t="n"/>
      <c r="I1260" s="11" t="n"/>
      <c r="J1260" s="11" t="n"/>
      <c r="K1260" s="11" t="n"/>
      <c r="L1260" s="11" t="n"/>
      <c r="M1260" s="11" t="n"/>
      <c r="N1260" s="11" t="n"/>
      <c r="O1260" s="11" t="n"/>
      <c r="P1260" s="11" t="n"/>
      <c r="Q1260" s="11" t="n"/>
      <c r="R1260" s="11" t="n"/>
      <c r="S1260" s="11" t="n"/>
      <c r="T1260" s="12" t="n"/>
    </row>
    <row r="1261">
      <c r="A1261" s="11" t="n"/>
      <c r="B1261" s="11" t="n"/>
      <c r="C1261" s="11" t="n"/>
      <c r="D1261" s="11" t="n"/>
      <c r="E1261" s="11" t="n"/>
      <c r="F1261" s="11" t="n"/>
      <c r="G1261" s="11" t="n"/>
      <c r="H1261" s="11" t="n"/>
      <c r="I1261" s="11" t="n"/>
      <c r="J1261" s="11" t="n"/>
      <c r="K1261" s="11" t="n"/>
      <c r="L1261" s="11" t="n"/>
      <c r="M1261" s="11" t="n"/>
      <c r="N1261" s="11" t="n"/>
      <c r="O1261" s="11" t="n"/>
      <c r="P1261" s="11" t="n"/>
      <c r="Q1261" s="11" t="n"/>
      <c r="R1261" s="11" t="n"/>
      <c r="S1261" s="11" t="n"/>
      <c r="T1261" s="12" t="n"/>
    </row>
    <row r="1262">
      <c r="A1262" s="11" t="n"/>
      <c r="B1262" s="11" t="n"/>
      <c r="C1262" s="11" t="n"/>
      <c r="D1262" s="11" t="n"/>
      <c r="E1262" s="11" t="n"/>
      <c r="F1262" s="11" t="n"/>
      <c r="G1262" s="11" t="n"/>
      <c r="H1262" s="11" t="n"/>
      <c r="I1262" s="11" t="n"/>
      <c r="J1262" s="11" t="n"/>
      <c r="K1262" s="11" t="n"/>
      <c r="L1262" s="11" t="n"/>
      <c r="M1262" s="11" t="n"/>
      <c r="N1262" s="11" t="n"/>
      <c r="O1262" s="11" t="n"/>
      <c r="P1262" s="11" t="n"/>
      <c r="Q1262" s="11" t="n"/>
      <c r="R1262" s="11" t="n"/>
      <c r="S1262" s="11" t="n"/>
      <c r="T1262" s="12" t="n"/>
    </row>
    <row r="1263">
      <c r="A1263" s="11" t="n"/>
      <c r="B1263" s="11" t="n"/>
      <c r="C1263" s="11" t="n"/>
      <c r="D1263" s="11" t="n"/>
      <c r="E1263" s="11" t="n"/>
      <c r="F1263" s="11" t="n"/>
      <c r="G1263" s="11" t="n"/>
      <c r="H1263" s="11" t="n"/>
      <c r="I1263" s="11" t="n"/>
      <c r="J1263" s="11" t="n"/>
      <c r="K1263" s="11" t="n"/>
      <c r="L1263" s="11" t="n"/>
      <c r="M1263" s="11" t="n"/>
      <c r="N1263" s="11" t="n"/>
      <c r="O1263" s="11" t="n"/>
      <c r="P1263" s="11" t="n"/>
      <c r="Q1263" s="11" t="n"/>
      <c r="R1263" s="11" t="n"/>
      <c r="S1263" s="11" t="n"/>
      <c r="T1263" s="12" t="n"/>
    </row>
    <row r="1264">
      <c r="A1264" s="11" t="n"/>
      <c r="B1264" s="11" t="n"/>
      <c r="C1264" s="11" t="n"/>
      <c r="D1264" s="11" t="n"/>
      <c r="E1264" s="11" t="n"/>
      <c r="F1264" s="11" t="n"/>
      <c r="G1264" s="11" t="n"/>
      <c r="H1264" s="11" t="n"/>
      <c r="I1264" s="11" t="n"/>
      <c r="J1264" s="11" t="n"/>
      <c r="K1264" s="11" t="n"/>
      <c r="L1264" s="11" t="n"/>
      <c r="M1264" s="11" t="n"/>
      <c r="N1264" s="11" t="n"/>
      <c r="O1264" s="11" t="n"/>
      <c r="P1264" s="11" t="n"/>
      <c r="Q1264" s="11" t="n"/>
      <c r="R1264" s="11" t="n"/>
      <c r="S1264" s="11" t="n"/>
      <c r="T1264" s="12" t="n"/>
    </row>
    <row r="1265">
      <c r="A1265" s="11" t="n"/>
      <c r="B1265" s="11" t="n"/>
      <c r="C1265" s="11" t="n"/>
      <c r="D1265" s="11" t="n"/>
      <c r="E1265" s="11" t="n"/>
      <c r="F1265" s="11" t="n"/>
      <c r="G1265" s="11" t="n"/>
      <c r="H1265" s="11" t="n"/>
      <c r="I1265" s="11" t="n"/>
      <c r="J1265" s="11" t="n"/>
      <c r="K1265" s="11" t="n"/>
      <c r="L1265" s="11" t="n"/>
      <c r="M1265" s="11" t="n"/>
      <c r="N1265" s="11" t="n"/>
      <c r="O1265" s="11" t="n"/>
      <c r="P1265" s="11" t="n"/>
      <c r="Q1265" s="11" t="n"/>
      <c r="R1265" s="11" t="n"/>
      <c r="S1265" s="11" t="n"/>
      <c r="T1265" s="12" t="n"/>
    </row>
    <row r="1266">
      <c r="A1266" s="11" t="n"/>
      <c r="B1266" s="11" t="n"/>
      <c r="C1266" s="11" t="n"/>
      <c r="D1266" s="11" t="n"/>
      <c r="E1266" s="11" t="n"/>
      <c r="F1266" s="11" t="n"/>
      <c r="G1266" s="11" t="n"/>
      <c r="H1266" s="11" t="n"/>
      <c r="I1266" s="11" t="n"/>
      <c r="J1266" s="11" t="n"/>
      <c r="K1266" s="11" t="n"/>
      <c r="L1266" s="11" t="n"/>
      <c r="M1266" s="11" t="n"/>
      <c r="N1266" s="11" t="n"/>
      <c r="O1266" s="11" t="n"/>
      <c r="P1266" s="11" t="n"/>
      <c r="Q1266" s="11" t="n"/>
      <c r="R1266" s="11" t="n"/>
      <c r="S1266" s="11" t="n"/>
      <c r="T1266" s="12" t="n"/>
    </row>
    <row r="1267">
      <c r="A1267" s="11" t="n"/>
      <c r="B1267" s="11" t="n"/>
      <c r="C1267" s="11" t="n"/>
      <c r="D1267" s="11" t="n"/>
      <c r="E1267" s="11" t="n"/>
      <c r="F1267" s="11" t="n"/>
      <c r="G1267" s="11" t="n"/>
      <c r="H1267" s="11" t="n"/>
      <c r="I1267" s="11" t="n"/>
      <c r="J1267" s="11" t="n"/>
      <c r="K1267" s="11" t="n"/>
      <c r="L1267" s="11" t="n"/>
      <c r="M1267" s="11" t="n"/>
      <c r="N1267" s="11" t="n"/>
      <c r="O1267" s="11" t="n"/>
      <c r="P1267" s="11" t="n"/>
      <c r="Q1267" s="11" t="n"/>
      <c r="R1267" s="11" t="n"/>
      <c r="S1267" s="11" t="n"/>
      <c r="T1267" s="12" t="n"/>
    </row>
    <row r="1268">
      <c r="A1268" s="11" t="n"/>
      <c r="B1268" s="11" t="n"/>
      <c r="C1268" s="11" t="n"/>
      <c r="D1268" s="11" t="n"/>
      <c r="E1268" s="11" t="n"/>
      <c r="F1268" s="11" t="n"/>
      <c r="G1268" s="11" t="n"/>
      <c r="H1268" s="11" t="n"/>
      <c r="I1268" s="11" t="n"/>
      <c r="J1268" s="11" t="n"/>
      <c r="K1268" s="11" t="n"/>
      <c r="L1268" s="11" t="n"/>
      <c r="M1268" s="11" t="n"/>
      <c r="N1268" s="11" t="n"/>
      <c r="O1268" s="11" t="n"/>
      <c r="P1268" s="11" t="n"/>
      <c r="Q1268" s="11" t="n"/>
      <c r="R1268" s="11" t="n"/>
      <c r="S1268" s="11" t="n"/>
      <c r="T1268" s="12" t="n"/>
    </row>
    <row r="1269">
      <c r="A1269" s="11" t="n"/>
      <c r="B1269" s="11" t="n"/>
      <c r="C1269" s="11" t="n"/>
      <c r="D1269" s="11" t="n"/>
      <c r="E1269" s="11" t="n"/>
      <c r="F1269" s="11" t="n"/>
      <c r="G1269" s="11" t="n"/>
      <c r="H1269" s="11" t="n"/>
      <c r="I1269" s="11" t="n"/>
      <c r="J1269" s="11" t="n"/>
      <c r="K1269" s="11" t="n"/>
      <c r="L1269" s="11" t="n"/>
      <c r="M1269" s="11" t="n"/>
      <c r="N1269" s="11" t="n"/>
      <c r="O1269" s="11" t="n"/>
      <c r="P1269" s="11" t="n"/>
      <c r="Q1269" s="11" t="n"/>
      <c r="R1269" s="11" t="n"/>
      <c r="S1269" s="11" t="n"/>
      <c r="T1269" s="12" t="n"/>
    </row>
    <row r="1270">
      <c r="A1270" s="11" t="n"/>
      <c r="B1270" s="11" t="n"/>
      <c r="C1270" s="11" t="n"/>
      <c r="D1270" s="11" t="n"/>
      <c r="E1270" s="11" t="n"/>
      <c r="F1270" s="11" t="n"/>
      <c r="G1270" s="11" t="n"/>
      <c r="H1270" s="11" t="n"/>
      <c r="I1270" s="11" t="n"/>
      <c r="J1270" s="11" t="n"/>
      <c r="K1270" s="11" t="n"/>
      <c r="L1270" s="11" t="n"/>
      <c r="M1270" s="11" t="n"/>
      <c r="N1270" s="11" t="n"/>
      <c r="O1270" s="11" t="n"/>
      <c r="P1270" s="11" t="n"/>
      <c r="Q1270" s="11" t="n"/>
      <c r="R1270" s="11" t="n"/>
      <c r="S1270" s="11" t="n"/>
      <c r="T1270" s="12" t="n"/>
    </row>
    <row r="1271">
      <c r="A1271" s="11" t="n"/>
      <c r="B1271" s="11" t="n"/>
      <c r="C1271" s="11" t="n"/>
      <c r="D1271" s="11" t="n"/>
      <c r="E1271" s="11" t="n"/>
      <c r="F1271" s="11" t="n"/>
      <c r="G1271" s="11" t="n"/>
      <c r="H1271" s="11" t="n"/>
      <c r="I1271" s="11" t="n"/>
      <c r="J1271" s="11" t="n"/>
      <c r="K1271" s="11" t="n"/>
      <c r="L1271" s="11" t="n"/>
      <c r="M1271" s="11" t="n"/>
      <c r="N1271" s="11" t="n"/>
      <c r="O1271" s="11" t="n"/>
      <c r="P1271" s="11" t="n"/>
      <c r="Q1271" s="11" t="n"/>
      <c r="R1271" s="11" t="n"/>
      <c r="S1271" s="11" t="n"/>
      <c r="T1271" s="12" t="n"/>
    </row>
    <row r="1272">
      <c r="A1272" s="11" t="n"/>
      <c r="B1272" s="11" t="n"/>
      <c r="C1272" s="11" t="n"/>
      <c r="D1272" s="11" t="n"/>
      <c r="E1272" s="11" t="n"/>
      <c r="F1272" s="11" t="n"/>
      <c r="G1272" s="11" t="n"/>
      <c r="H1272" s="11" t="n"/>
      <c r="I1272" s="11" t="n"/>
      <c r="J1272" s="11" t="n"/>
      <c r="K1272" s="11" t="n"/>
      <c r="L1272" s="11" t="n"/>
      <c r="M1272" s="11" t="n"/>
      <c r="N1272" s="11" t="n"/>
      <c r="O1272" s="11" t="n"/>
      <c r="P1272" s="11" t="n"/>
      <c r="Q1272" s="11" t="n"/>
      <c r="R1272" s="11" t="n"/>
      <c r="S1272" s="11" t="n"/>
      <c r="T1272" s="12" t="n"/>
    </row>
    <row r="1273">
      <c r="A1273" s="11" t="n"/>
      <c r="B1273" s="11" t="n"/>
      <c r="C1273" s="11" t="n"/>
      <c r="D1273" s="11" t="n"/>
      <c r="E1273" s="11" t="n"/>
      <c r="F1273" s="11" t="n"/>
      <c r="G1273" s="11" t="n"/>
      <c r="H1273" s="11" t="n"/>
      <c r="I1273" s="11" t="n"/>
      <c r="J1273" s="11" t="n"/>
      <c r="K1273" s="11" t="n"/>
      <c r="L1273" s="11" t="n"/>
      <c r="M1273" s="11" t="n"/>
      <c r="N1273" s="11" t="n"/>
      <c r="O1273" s="11" t="n"/>
      <c r="P1273" s="11" t="n"/>
      <c r="Q1273" s="11" t="n"/>
      <c r="R1273" s="11" t="n"/>
      <c r="S1273" s="11" t="n"/>
      <c r="T1273" s="12" t="n"/>
    </row>
    <row r="1274">
      <c r="A1274" s="11" t="n"/>
      <c r="B1274" s="11" t="n"/>
      <c r="C1274" s="11" t="n"/>
      <c r="D1274" s="11" t="n"/>
      <c r="E1274" s="11" t="n"/>
      <c r="F1274" s="11" t="n"/>
      <c r="G1274" s="11" t="n"/>
      <c r="H1274" s="11" t="n"/>
      <c r="I1274" s="11" t="n"/>
      <c r="J1274" s="11" t="n"/>
      <c r="K1274" s="11" t="n"/>
      <c r="L1274" s="11" t="n"/>
      <c r="M1274" s="11" t="n"/>
      <c r="N1274" s="11" t="n"/>
      <c r="O1274" s="11" t="n"/>
      <c r="P1274" s="11" t="n"/>
      <c r="Q1274" s="11" t="n"/>
      <c r="R1274" s="11" t="n"/>
      <c r="S1274" s="11" t="n"/>
      <c r="T1274" s="12" t="n"/>
    </row>
    <row r="1275">
      <c r="A1275" s="11" t="n"/>
      <c r="B1275" s="11" t="n"/>
      <c r="C1275" s="11" t="n"/>
      <c r="D1275" s="11" t="n"/>
      <c r="E1275" s="11" t="n"/>
      <c r="F1275" s="11" t="n"/>
      <c r="G1275" s="11" t="n"/>
      <c r="H1275" s="11" t="n"/>
      <c r="I1275" s="11" t="n"/>
      <c r="J1275" s="11" t="n"/>
      <c r="K1275" s="11" t="n"/>
      <c r="L1275" s="11" t="n"/>
      <c r="M1275" s="11" t="n"/>
      <c r="N1275" s="11" t="n"/>
      <c r="O1275" s="11" t="n"/>
      <c r="P1275" s="11" t="n"/>
      <c r="Q1275" s="11" t="n"/>
      <c r="R1275" s="11" t="n"/>
      <c r="S1275" s="11" t="n"/>
      <c r="T1275" s="12" t="n"/>
    </row>
    <row r="1276">
      <c r="A1276" s="11" t="n"/>
      <c r="B1276" s="11" t="n"/>
      <c r="C1276" s="11" t="n"/>
      <c r="D1276" s="11" t="n"/>
      <c r="E1276" s="11" t="n"/>
      <c r="F1276" s="11" t="n"/>
      <c r="G1276" s="11" t="n"/>
      <c r="H1276" s="11" t="n"/>
      <c r="I1276" s="11" t="n"/>
      <c r="J1276" s="11" t="n"/>
      <c r="K1276" s="11" t="n"/>
      <c r="L1276" s="11" t="n"/>
      <c r="M1276" s="11" t="n"/>
      <c r="N1276" s="11" t="n"/>
      <c r="O1276" s="11" t="n"/>
      <c r="P1276" s="11" t="n"/>
      <c r="Q1276" s="11" t="n"/>
      <c r="R1276" s="11" t="n"/>
      <c r="S1276" s="11" t="n"/>
      <c r="T1276" s="12" t="n"/>
    </row>
    <row r="1277">
      <c r="A1277" s="11" t="n"/>
      <c r="B1277" s="11" t="n"/>
      <c r="C1277" s="11" t="n"/>
      <c r="D1277" s="11" t="n"/>
      <c r="E1277" s="11" t="n"/>
      <c r="F1277" s="11" t="n"/>
      <c r="G1277" s="11" t="n"/>
      <c r="H1277" s="11" t="n"/>
      <c r="I1277" s="11" t="n"/>
      <c r="J1277" s="11" t="n"/>
      <c r="K1277" s="11" t="n"/>
      <c r="L1277" s="11" t="n"/>
      <c r="M1277" s="11" t="n"/>
      <c r="N1277" s="11" t="n"/>
      <c r="O1277" s="11" t="n"/>
      <c r="P1277" s="11" t="n"/>
      <c r="Q1277" s="11" t="n"/>
      <c r="R1277" s="11" t="n"/>
      <c r="S1277" s="11" t="n"/>
      <c r="T1277" s="12" t="n"/>
    </row>
    <row r="1278">
      <c r="A1278" s="11" t="n"/>
      <c r="B1278" s="11" t="n"/>
      <c r="C1278" s="11" t="n"/>
      <c r="D1278" s="11" t="n"/>
      <c r="E1278" s="11" t="n"/>
      <c r="F1278" s="11" t="n"/>
      <c r="G1278" s="11" t="n"/>
      <c r="H1278" s="11" t="n"/>
      <c r="I1278" s="11" t="n"/>
      <c r="J1278" s="11" t="n"/>
      <c r="K1278" s="11" t="n"/>
      <c r="L1278" s="11" t="n"/>
      <c r="M1278" s="11" t="n"/>
      <c r="N1278" s="11" t="n"/>
      <c r="O1278" s="11" t="n"/>
      <c r="P1278" s="11" t="n"/>
      <c r="Q1278" s="11" t="n"/>
      <c r="R1278" s="11" t="n"/>
      <c r="S1278" s="11" t="n"/>
      <c r="T1278" s="12" t="n"/>
    </row>
    <row r="1279">
      <c r="A1279" s="11" t="n"/>
      <c r="B1279" s="11" t="n"/>
      <c r="C1279" s="11" t="n"/>
      <c r="D1279" s="11" t="n"/>
      <c r="E1279" s="11" t="n"/>
      <c r="F1279" s="11" t="n"/>
      <c r="G1279" s="11" t="n"/>
      <c r="H1279" s="11" t="n"/>
      <c r="I1279" s="11" t="n"/>
      <c r="J1279" s="11" t="n"/>
      <c r="K1279" s="11" t="n"/>
      <c r="L1279" s="11" t="n"/>
      <c r="M1279" s="11" t="n"/>
      <c r="N1279" s="11" t="n"/>
      <c r="O1279" s="11" t="n"/>
      <c r="P1279" s="11" t="n"/>
      <c r="Q1279" s="11" t="n"/>
      <c r="R1279" s="11" t="n"/>
      <c r="S1279" s="11" t="n"/>
      <c r="T1279" s="12" t="n"/>
    </row>
    <row r="1280">
      <c r="A1280" s="11" t="n"/>
      <c r="B1280" s="11" t="n"/>
      <c r="C1280" s="11" t="n"/>
      <c r="D1280" s="11" t="n"/>
      <c r="E1280" s="11" t="n"/>
      <c r="F1280" s="11" t="n"/>
      <c r="G1280" s="11" t="n"/>
      <c r="H1280" s="11" t="n"/>
      <c r="I1280" s="11" t="n"/>
      <c r="J1280" s="11" t="n"/>
      <c r="K1280" s="11" t="n"/>
      <c r="L1280" s="11" t="n"/>
      <c r="M1280" s="11" t="n"/>
      <c r="N1280" s="11" t="n"/>
      <c r="O1280" s="11" t="n"/>
      <c r="P1280" s="11" t="n"/>
      <c r="Q1280" s="11" t="n"/>
      <c r="R1280" s="11" t="n"/>
      <c r="S1280" s="11" t="n"/>
      <c r="T1280" s="12" t="n"/>
    </row>
    <row r="1281">
      <c r="A1281" s="11" t="n"/>
      <c r="B1281" s="11" t="n"/>
      <c r="C1281" s="11" t="n"/>
      <c r="D1281" s="11" t="n"/>
      <c r="E1281" s="11" t="n"/>
      <c r="F1281" s="11" t="n"/>
      <c r="G1281" s="11" t="n"/>
      <c r="H1281" s="11" t="n"/>
      <c r="I1281" s="11" t="n"/>
      <c r="J1281" s="11" t="n"/>
      <c r="K1281" s="11" t="n"/>
      <c r="L1281" s="11" t="n"/>
      <c r="M1281" s="11" t="n"/>
      <c r="N1281" s="11" t="n"/>
      <c r="O1281" s="11" t="n"/>
      <c r="P1281" s="11" t="n"/>
      <c r="Q1281" s="11" t="n"/>
      <c r="R1281" s="11" t="n"/>
      <c r="S1281" s="11" t="n"/>
      <c r="T1281" s="12" t="n"/>
    </row>
    <row r="1282">
      <c r="A1282" s="11" t="n"/>
      <c r="B1282" s="11" t="n"/>
      <c r="C1282" s="11" t="n"/>
      <c r="D1282" s="11" t="n"/>
      <c r="E1282" s="11" t="n"/>
      <c r="F1282" s="11" t="n"/>
      <c r="G1282" s="11" t="n"/>
      <c r="H1282" s="11" t="n"/>
      <c r="I1282" s="11" t="n"/>
      <c r="J1282" s="11" t="n"/>
      <c r="K1282" s="11" t="n"/>
      <c r="L1282" s="11" t="n"/>
      <c r="M1282" s="11" t="n"/>
      <c r="N1282" s="11" t="n"/>
      <c r="O1282" s="11" t="n"/>
      <c r="P1282" s="11" t="n"/>
      <c r="Q1282" s="11" t="n"/>
      <c r="R1282" s="11" t="n"/>
      <c r="S1282" s="11" t="n"/>
      <c r="T1282" s="12" t="n"/>
    </row>
    <row r="1283">
      <c r="A1283" s="11" t="n"/>
      <c r="B1283" s="11" t="n"/>
      <c r="C1283" s="11" t="n"/>
      <c r="D1283" s="11" t="n"/>
      <c r="E1283" s="11" t="n"/>
      <c r="F1283" s="11" t="n"/>
      <c r="G1283" s="11" t="n"/>
      <c r="H1283" s="11" t="n"/>
      <c r="I1283" s="11" t="n"/>
      <c r="J1283" s="11" t="n"/>
      <c r="K1283" s="11" t="n"/>
      <c r="L1283" s="11" t="n"/>
      <c r="M1283" s="11" t="n"/>
      <c r="N1283" s="11" t="n"/>
      <c r="O1283" s="11" t="n"/>
      <c r="P1283" s="11" t="n"/>
      <c r="Q1283" s="11" t="n"/>
      <c r="R1283" s="11" t="n"/>
      <c r="S1283" s="11" t="n"/>
      <c r="T1283" s="12" t="n"/>
    </row>
    <row r="1284">
      <c r="A1284" s="11" t="n"/>
      <c r="B1284" s="11" t="n"/>
      <c r="C1284" s="11" t="n"/>
      <c r="D1284" s="11" t="n"/>
      <c r="E1284" s="11" t="n"/>
      <c r="F1284" s="11" t="n"/>
      <c r="G1284" s="11" t="n"/>
      <c r="H1284" s="11" t="n"/>
      <c r="I1284" s="11" t="n"/>
      <c r="J1284" s="11" t="n"/>
      <c r="K1284" s="11" t="n"/>
      <c r="L1284" s="11" t="n"/>
      <c r="M1284" s="11" t="n"/>
      <c r="N1284" s="11" t="n"/>
      <c r="O1284" s="11" t="n"/>
      <c r="P1284" s="11" t="n"/>
      <c r="Q1284" s="11" t="n"/>
      <c r="R1284" s="11" t="n"/>
      <c r="S1284" s="11" t="n"/>
      <c r="T1284" s="12" t="n"/>
    </row>
    <row r="1285">
      <c r="A1285" s="11" t="n"/>
      <c r="B1285" s="11" t="n"/>
      <c r="C1285" s="11" t="n"/>
      <c r="D1285" s="11" t="n"/>
      <c r="E1285" s="11" t="n"/>
      <c r="F1285" s="11" t="n"/>
      <c r="G1285" s="11" t="n"/>
      <c r="H1285" s="11" t="n"/>
      <c r="I1285" s="11" t="n"/>
      <c r="J1285" s="11" t="n"/>
      <c r="K1285" s="11" t="n"/>
      <c r="L1285" s="11" t="n"/>
      <c r="M1285" s="11" t="n"/>
      <c r="N1285" s="11" t="n"/>
      <c r="O1285" s="11" t="n"/>
      <c r="P1285" s="11" t="n"/>
      <c r="Q1285" s="11" t="n"/>
      <c r="R1285" s="11" t="n"/>
      <c r="S1285" s="11" t="n"/>
      <c r="T1285" s="12" t="n"/>
    </row>
    <row r="1286">
      <c r="A1286" s="11" t="n"/>
      <c r="B1286" s="11" t="n"/>
      <c r="C1286" s="11" t="n"/>
      <c r="D1286" s="11" t="n"/>
      <c r="E1286" s="11" t="n"/>
      <c r="F1286" s="11" t="n"/>
      <c r="G1286" s="11" t="n"/>
      <c r="H1286" s="11" t="n"/>
      <c r="I1286" s="11" t="n"/>
      <c r="J1286" s="11" t="n"/>
      <c r="K1286" s="11" t="n"/>
      <c r="L1286" s="11" t="n"/>
      <c r="M1286" s="11" t="n"/>
      <c r="N1286" s="11" t="n"/>
      <c r="O1286" s="11" t="n"/>
      <c r="P1286" s="11" t="n"/>
      <c r="Q1286" s="11" t="n"/>
      <c r="R1286" s="11" t="n"/>
      <c r="S1286" s="11" t="n"/>
      <c r="T1286" s="12" t="n"/>
    </row>
    <row r="1287">
      <c r="A1287" s="11" t="n"/>
      <c r="B1287" s="11" t="n"/>
      <c r="C1287" s="11" t="n"/>
      <c r="D1287" s="11" t="n"/>
      <c r="E1287" s="11" t="n"/>
      <c r="F1287" s="11" t="n"/>
      <c r="G1287" s="11" t="n"/>
      <c r="H1287" s="11" t="n"/>
      <c r="I1287" s="11" t="n"/>
      <c r="J1287" s="11" t="n"/>
      <c r="K1287" s="11" t="n"/>
      <c r="L1287" s="11" t="n"/>
      <c r="M1287" s="11" t="n"/>
      <c r="N1287" s="11" t="n"/>
      <c r="O1287" s="11" t="n"/>
      <c r="P1287" s="11" t="n"/>
      <c r="Q1287" s="11" t="n"/>
      <c r="R1287" s="11" t="n"/>
      <c r="S1287" s="11" t="n"/>
      <c r="T1287" s="12" t="n"/>
    </row>
    <row r="1288">
      <c r="A1288" s="11" t="n"/>
      <c r="B1288" s="11" t="n"/>
      <c r="C1288" s="11" t="n"/>
      <c r="D1288" s="11" t="n"/>
      <c r="E1288" s="11" t="n"/>
      <c r="F1288" s="11" t="n"/>
      <c r="G1288" s="11" t="n"/>
      <c r="H1288" s="11" t="n"/>
      <c r="I1288" s="11" t="n"/>
      <c r="J1288" s="11" t="n"/>
      <c r="K1288" s="11" t="n"/>
      <c r="L1288" s="11" t="n"/>
      <c r="M1288" s="11" t="n"/>
      <c r="N1288" s="11" t="n"/>
      <c r="O1288" s="11" t="n"/>
      <c r="P1288" s="11" t="n"/>
      <c r="Q1288" s="11" t="n"/>
      <c r="R1288" s="11" t="n"/>
      <c r="S1288" s="11" t="n"/>
      <c r="T1288" s="12" t="n"/>
    </row>
    <row r="1289">
      <c r="A1289" s="11" t="n"/>
      <c r="B1289" s="11" t="n"/>
      <c r="C1289" s="11" t="n"/>
      <c r="D1289" s="11" t="n"/>
      <c r="E1289" s="11" t="n"/>
      <c r="F1289" s="11" t="n"/>
      <c r="G1289" s="11" t="n"/>
      <c r="H1289" s="11" t="n"/>
      <c r="I1289" s="11" t="n"/>
      <c r="J1289" s="11" t="n"/>
      <c r="K1289" s="11" t="n"/>
      <c r="L1289" s="11" t="n"/>
      <c r="M1289" s="11" t="n"/>
      <c r="N1289" s="11" t="n"/>
      <c r="O1289" s="11" t="n"/>
      <c r="P1289" s="11" t="n"/>
      <c r="Q1289" s="11" t="n"/>
      <c r="R1289" s="11" t="n"/>
      <c r="S1289" s="11" t="n"/>
      <c r="T1289" s="12" t="n"/>
    </row>
    <row r="1290">
      <c r="A1290" s="11" t="n"/>
      <c r="B1290" s="11" t="n"/>
      <c r="C1290" s="11" t="n"/>
      <c r="D1290" s="11" t="n"/>
      <c r="E1290" s="11" t="n"/>
      <c r="F1290" s="11" t="n"/>
      <c r="G1290" s="11" t="n"/>
      <c r="H1290" s="11" t="n"/>
      <c r="I1290" s="11" t="n"/>
      <c r="J1290" s="11" t="n"/>
      <c r="K1290" s="11" t="n"/>
      <c r="L1290" s="11" t="n"/>
      <c r="M1290" s="11" t="n"/>
      <c r="N1290" s="11" t="n"/>
      <c r="O1290" s="11" t="n"/>
      <c r="P1290" s="11" t="n"/>
      <c r="Q1290" s="11" t="n"/>
      <c r="R1290" s="11" t="n"/>
      <c r="S1290" s="11" t="n"/>
      <c r="T1290" s="12" t="n"/>
    </row>
    <row r="1291">
      <c r="A1291" s="11" t="n"/>
      <c r="B1291" s="11" t="n"/>
      <c r="C1291" s="11" t="n"/>
      <c r="D1291" s="11" t="n"/>
      <c r="E1291" s="11" t="n"/>
      <c r="F1291" s="11" t="n"/>
      <c r="G1291" s="11" t="n"/>
      <c r="H1291" s="11" t="n"/>
      <c r="I1291" s="11" t="n"/>
      <c r="J1291" s="11" t="n"/>
      <c r="K1291" s="11" t="n"/>
      <c r="L1291" s="11" t="n"/>
      <c r="M1291" s="11" t="n"/>
      <c r="N1291" s="11" t="n"/>
      <c r="O1291" s="11" t="n"/>
      <c r="P1291" s="11" t="n"/>
      <c r="Q1291" s="11" t="n"/>
      <c r="R1291" s="11" t="n"/>
      <c r="S1291" s="11" t="n"/>
      <c r="T1291" s="12" t="n"/>
    </row>
    <row r="1292">
      <c r="A1292" s="11" t="n"/>
      <c r="B1292" s="11" t="n"/>
      <c r="C1292" s="11" t="n"/>
      <c r="D1292" s="11" t="n"/>
      <c r="E1292" s="11" t="n"/>
      <c r="F1292" s="11" t="n"/>
      <c r="G1292" s="11" t="n"/>
      <c r="H1292" s="11" t="n"/>
      <c r="I1292" s="11" t="n"/>
      <c r="J1292" s="11" t="n"/>
      <c r="K1292" s="11" t="n"/>
      <c r="L1292" s="11" t="n"/>
      <c r="M1292" s="11" t="n"/>
      <c r="N1292" s="11" t="n"/>
      <c r="O1292" s="11" t="n"/>
      <c r="P1292" s="11" t="n"/>
      <c r="Q1292" s="11" t="n"/>
      <c r="R1292" s="11" t="n"/>
      <c r="S1292" s="11" t="n"/>
      <c r="T1292" s="12" t="n"/>
    </row>
    <row r="1293">
      <c r="A1293" s="11" t="n"/>
      <c r="B1293" s="11" t="n"/>
      <c r="C1293" s="11" t="n"/>
      <c r="D1293" s="11" t="n"/>
      <c r="E1293" s="11" t="n"/>
      <c r="F1293" s="11" t="n"/>
      <c r="G1293" s="11" t="n"/>
      <c r="H1293" s="11" t="n"/>
      <c r="I1293" s="11" t="n"/>
      <c r="J1293" s="11" t="n"/>
      <c r="K1293" s="11" t="n"/>
      <c r="L1293" s="11" t="n"/>
      <c r="M1293" s="11" t="n"/>
      <c r="N1293" s="11" t="n"/>
      <c r="O1293" s="11" t="n"/>
      <c r="P1293" s="11" t="n"/>
      <c r="Q1293" s="11" t="n"/>
      <c r="R1293" s="11" t="n"/>
      <c r="S1293" s="11" t="n"/>
      <c r="T1293" s="12" t="n"/>
    </row>
    <row r="1294">
      <c r="A1294" s="11" t="n"/>
      <c r="B1294" s="11" t="n"/>
      <c r="C1294" s="11" t="n"/>
      <c r="D1294" s="11" t="n"/>
      <c r="E1294" s="11" t="n"/>
      <c r="F1294" s="11" t="n"/>
      <c r="G1294" s="11" t="n"/>
      <c r="H1294" s="11" t="n"/>
      <c r="I1294" s="11" t="n"/>
      <c r="J1294" s="11" t="n"/>
      <c r="K1294" s="11" t="n"/>
      <c r="L1294" s="11" t="n"/>
      <c r="M1294" s="11" t="n"/>
      <c r="N1294" s="11" t="n"/>
      <c r="O1294" s="11" t="n"/>
      <c r="P1294" s="11" t="n"/>
      <c r="Q1294" s="11" t="n"/>
      <c r="R1294" s="11" t="n"/>
      <c r="S1294" s="11" t="n"/>
      <c r="T1294" s="12" t="n"/>
    </row>
    <row r="1295">
      <c r="A1295" s="11" t="n"/>
      <c r="B1295" s="11" t="n"/>
      <c r="C1295" s="11" t="n"/>
      <c r="D1295" s="11" t="n"/>
      <c r="E1295" s="11" t="n"/>
      <c r="F1295" s="11" t="n"/>
      <c r="G1295" s="11" t="n"/>
      <c r="H1295" s="11" t="n"/>
      <c r="I1295" s="11" t="n"/>
      <c r="J1295" s="11" t="n"/>
      <c r="K1295" s="11" t="n"/>
      <c r="L1295" s="11" t="n"/>
      <c r="M1295" s="11" t="n"/>
      <c r="N1295" s="11" t="n"/>
      <c r="O1295" s="11" t="n"/>
      <c r="P1295" s="11" t="n"/>
      <c r="Q1295" s="11" t="n"/>
      <c r="R1295" s="11" t="n"/>
      <c r="S1295" s="11" t="n"/>
      <c r="T1295" s="12" t="n"/>
    </row>
    <row r="1296">
      <c r="A1296" s="11" t="n"/>
      <c r="B1296" s="11" t="n"/>
      <c r="C1296" s="11" t="n"/>
      <c r="D1296" s="11" t="n"/>
      <c r="E1296" s="11" t="n"/>
      <c r="F1296" s="11" t="n"/>
      <c r="G1296" s="11" t="n"/>
      <c r="H1296" s="11" t="n"/>
      <c r="I1296" s="11" t="n"/>
      <c r="J1296" s="11" t="n"/>
      <c r="K1296" s="11" t="n"/>
      <c r="L1296" s="11" t="n"/>
      <c r="M1296" s="11" t="n"/>
      <c r="N1296" s="11" t="n"/>
      <c r="O1296" s="11" t="n"/>
      <c r="P1296" s="11" t="n"/>
      <c r="Q1296" s="11" t="n"/>
      <c r="R1296" s="11" t="n"/>
      <c r="S1296" s="11" t="n"/>
      <c r="T1296" s="12" t="n"/>
    </row>
    <row r="1297">
      <c r="A1297" s="11" t="n"/>
      <c r="B1297" s="11" t="n"/>
      <c r="C1297" s="11" t="n"/>
      <c r="D1297" s="11" t="n"/>
      <c r="E1297" s="11" t="n"/>
      <c r="F1297" s="11" t="n"/>
      <c r="G1297" s="11" t="n"/>
      <c r="H1297" s="11" t="n"/>
      <c r="I1297" s="11" t="n"/>
      <c r="J1297" s="11" t="n"/>
      <c r="K1297" s="11" t="n"/>
      <c r="L1297" s="11" t="n"/>
      <c r="M1297" s="11" t="n"/>
      <c r="N1297" s="11" t="n"/>
      <c r="O1297" s="11" t="n"/>
      <c r="P1297" s="11" t="n"/>
      <c r="Q1297" s="11" t="n"/>
      <c r="R1297" s="11" t="n"/>
      <c r="S1297" s="11" t="n"/>
      <c r="T1297" s="12" t="n"/>
    </row>
    <row r="1298">
      <c r="A1298" s="11" t="n"/>
      <c r="B1298" s="11" t="n"/>
      <c r="C1298" s="11" t="n"/>
      <c r="D1298" s="11" t="n"/>
      <c r="E1298" s="11" t="n"/>
      <c r="F1298" s="11" t="n"/>
      <c r="G1298" s="11" t="n"/>
      <c r="H1298" s="11" t="n"/>
      <c r="I1298" s="11" t="n"/>
      <c r="J1298" s="11" t="n"/>
      <c r="K1298" s="11" t="n"/>
      <c r="L1298" s="11" t="n"/>
      <c r="M1298" s="11" t="n"/>
      <c r="N1298" s="11" t="n"/>
      <c r="O1298" s="11" t="n"/>
      <c r="P1298" s="11" t="n"/>
      <c r="Q1298" s="11" t="n"/>
      <c r="R1298" s="11" t="n"/>
      <c r="S1298" s="11" t="n"/>
      <c r="T1298" s="12" t="n"/>
    </row>
    <row r="1299">
      <c r="A1299" s="11" t="n"/>
      <c r="B1299" s="11" t="n"/>
      <c r="C1299" s="11" t="n"/>
      <c r="D1299" s="11" t="n"/>
      <c r="E1299" s="11" t="n"/>
      <c r="F1299" s="11" t="n"/>
      <c r="G1299" s="11" t="n"/>
      <c r="H1299" s="11" t="n"/>
      <c r="I1299" s="11" t="n"/>
      <c r="J1299" s="11" t="n"/>
      <c r="K1299" s="11" t="n"/>
      <c r="L1299" s="11" t="n"/>
      <c r="M1299" s="11" t="n"/>
      <c r="N1299" s="11" t="n"/>
      <c r="O1299" s="11" t="n"/>
      <c r="P1299" s="11" t="n"/>
      <c r="Q1299" s="11" t="n"/>
      <c r="R1299" s="11" t="n"/>
      <c r="S1299" s="11" t="n"/>
      <c r="T1299" s="12" t="n"/>
    </row>
    <row r="1300">
      <c r="A1300" s="11" t="n"/>
      <c r="B1300" s="11" t="n"/>
      <c r="C1300" s="11" t="n"/>
      <c r="D1300" s="11" t="n"/>
      <c r="E1300" s="11" t="n"/>
      <c r="F1300" s="11" t="n"/>
      <c r="G1300" s="11" t="n"/>
      <c r="H1300" s="11" t="n"/>
      <c r="I1300" s="11" t="n"/>
      <c r="J1300" s="11" t="n"/>
      <c r="K1300" s="11" t="n"/>
      <c r="L1300" s="11" t="n"/>
      <c r="M1300" s="11" t="n"/>
      <c r="N1300" s="11" t="n"/>
      <c r="O1300" s="11" t="n"/>
      <c r="P1300" s="11" t="n"/>
      <c r="Q1300" s="11" t="n"/>
      <c r="R1300" s="11" t="n"/>
      <c r="S1300" s="11" t="n"/>
      <c r="T1300" s="12" t="n"/>
    </row>
    <row r="1301">
      <c r="A1301" s="11" t="n"/>
      <c r="B1301" s="11" t="n"/>
      <c r="C1301" s="11" t="n"/>
      <c r="D1301" s="11" t="n"/>
      <c r="E1301" s="11" t="n"/>
      <c r="F1301" s="11" t="n"/>
      <c r="G1301" s="11" t="n"/>
      <c r="H1301" s="11" t="n"/>
      <c r="I1301" s="11" t="n"/>
      <c r="J1301" s="11" t="n"/>
      <c r="K1301" s="11" t="n"/>
      <c r="L1301" s="11" t="n"/>
      <c r="M1301" s="11" t="n"/>
      <c r="N1301" s="11" t="n"/>
      <c r="O1301" s="11" t="n"/>
      <c r="P1301" s="11" t="n"/>
      <c r="Q1301" s="11" t="n"/>
      <c r="R1301" s="11" t="n"/>
      <c r="S1301" s="11" t="n"/>
      <c r="T1301" s="12" t="n"/>
    </row>
    <row r="1302">
      <c r="A1302" s="11" t="n"/>
      <c r="B1302" s="11" t="n"/>
      <c r="C1302" s="11" t="n"/>
      <c r="D1302" s="11" t="n"/>
      <c r="E1302" s="11" t="n"/>
      <c r="F1302" s="11" t="n"/>
      <c r="G1302" s="11" t="n"/>
      <c r="H1302" s="11" t="n"/>
      <c r="I1302" s="11" t="n"/>
      <c r="J1302" s="11" t="n"/>
      <c r="K1302" s="11" t="n"/>
      <c r="L1302" s="11" t="n"/>
      <c r="M1302" s="11" t="n"/>
      <c r="N1302" s="11" t="n"/>
      <c r="O1302" s="11" t="n"/>
      <c r="P1302" s="11" t="n"/>
      <c r="Q1302" s="11" t="n"/>
      <c r="R1302" s="11" t="n"/>
      <c r="S1302" s="11" t="n"/>
      <c r="T1302" s="12" t="n"/>
    </row>
    <row r="1303">
      <c r="A1303" s="11" t="n"/>
      <c r="B1303" s="11" t="n"/>
      <c r="C1303" s="11" t="n"/>
      <c r="D1303" s="11" t="n"/>
      <c r="E1303" s="11" t="n"/>
      <c r="F1303" s="11" t="n"/>
      <c r="G1303" s="11" t="n"/>
      <c r="H1303" s="11" t="n"/>
      <c r="I1303" s="11" t="n"/>
      <c r="J1303" s="11" t="n"/>
      <c r="K1303" s="11" t="n"/>
      <c r="L1303" s="11" t="n"/>
      <c r="M1303" s="11" t="n"/>
      <c r="N1303" s="11" t="n"/>
      <c r="O1303" s="11" t="n"/>
      <c r="P1303" s="11" t="n"/>
      <c r="Q1303" s="11" t="n"/>
      <c r="R1303" s="11" t="n"/>
      <c r="S1303" s="11" t="n"/>
      <c r="T1303" s="12" t="n"/>
    </row>
    <row r="1304">
      <c r="A1304" s="11" t="n"/>
      <c r="B1304" s="11" t="n"/>
      <c r="C1304" s="11" t="n"/>
      <c r="D1304" s="11" t="n"/>
      <c r="E1304" s="11" t="n"/>
      <c r="F1304" s="11" t="n"/>
      <c r="G1304" s="11" t="n"/>
      <c r="H1304" s="11" t="n"/>
      <c r="I1304" s="11" t="n"/>
      <c r="J1304" s="11" t="n"/>
      <c r="K1304" s="11" t="n"/>
      <c r="L1304" s="11" t="n"/>
      <c r="M1304" s="11" t="n"/>
      <c r="N1304" s="11" t="n"/>
      <c r="O1304" s="11" t="n"/>
      <c r="P1304" s="11" t="n"/>
      <c r="Q1304" s="11" t="n"/>
      <c r="R1304" s="11" t="n"/>
      <c r="S1304" s="11" t="n"/>
      <c r="T1304" s="12" t="n"/>
    </row>
    <row r="1305">
      <c r="A1305" s="11" t="n"/>
      <c r="B1305" s="11" t="n"/>
      <c r="C1305" s="11" t="n"/>
      <c r="D1305" s="11" t="n"/>
      <c r="E1305" s="11" t="n"/>
      <c r="F1305" s="11" t="n"/>
      <c r="G1305" s="11" t="n"/>
      <c r="H1305" s="11" t="n"/>
      <c r="I1305" s="11" t="n"/>
      <c r="J1305" s="11" t="n"/>
      <c r="K1305" s="11" t="n"/>
      <c r="L1305" s="11" t="n"/>
      <c r="M1305" s="11" t="n"/>
      <c r="N1305" s="11" t="n"/>
      <c r="O1305" s="11" t="n"/>
      <c r="P1305" s="11" t="n"/>
      <c r="Q1305" s="11" t="n"/>
      <c r="R1305" s="11" t="n"/>
      <c r="S1305" s="11" t="n"/>
      <c r="T1305" s="12" t="n"/>
    </row>
    <row r="1306">
      <c r="A1306" s="11" t="n"/>
      <c r="B1306" s="11" t="n"/>
      <c r="C1306" s="11" t="n"/>
      <c r="D1306" s="11" t="n"/>
      <c r="E1306" s="11" t="n"/>
      <c r="F1306" s="11" t="n"/>
      <c r="G1306" s="11" t="n"/>
      <c r="H1306" s="11" t="n"/>
      <c r="I1306" s="11" t="n"/>
      <c r="J1306" s="11" t="n"/>
      <c r="K1306" s="11" t="n"/>
      <c r="L1306" s="11" t="n"/>
      <c r="M1306" s="11" t="n"/>
      <c r="N1306" s="11" t="n"/>
      <c r="O1306" s="11" t="n"/>
      <c r="P1306" s="11" t="n"/>
      <c r="Q1306" s="11" t="n"/>
      <c r="R1306" s="11" t="n"/>
      <c r="S1306" s="11" t="n"/>
      <c r="T1306" s="12" t="n"/>
    </row>
    <row r="1307">
      <c r="A1307" s="11" t="n"/>
      <c r="B1307" s="11" t="n"/>
      <c r="C1307" s="11" t="n"/>
      <c r="D1307" s="11" t="n"/>
      <c r="E1307" s="11" t="n"/>
      <c r="F1307" s="11" t="n"/>
      <c r="G1307" s="11" t="n"/>
      <c r="H1307" s="11" t="n"/>
      <c r="I1307" s="11" t="n"/>
      <c r="J1307" s="11" t="n"/>
      <c r="K1307" s="11" t="n"/>
      <c r="L1307" s="11" t="n"/>
      <c r="M1307" s="11" t="n"/>
      <c r="N1307" s="11" t="n"/>
      <c r="O1307" s="11" t="n"/>
      <c r="P1307" s="11" t="n"/>
      <c r="Q1307" s="11" t="n"/>
      <c r="R1307" s="11" t="n"/>
      <c r="S1307" s="11" t="n"/>
      <c r="T1307" s="12" t="n"/>
    </row>
    <row r="1308">
      <c r="A1308" s="11" t="n"/>
      <c r="B1308" s="11" t="n"/>
      <c r="C1308" s="11" t="n"/>
      <c r="D1308" s="11" t="n"/>
      <c r="E1308" s="11" t="n"/>
      <c r="F1308" s="11" t="n"/>
      <c r="G1308" s="11" t="n"/>
      <c r="H1308" s="11" t="n"/>
      <c r="I1308" s="11" t="n"/>
      <c r="J1308" s="11" t="n"/>
      <c r="K1308" s="11" t="n"/>
      <c r="L1308" s="11" t="n"/>
      <c r="M1308" s="11" t="n"/>
      <c r="N1308" s="11" t="n"/>
      <c r="O1308" s="11" t="n"/>
      <c r="P1308" s="11" t="n"/>
      <c r="Q1308" s="11" t="n"/>
      <c r="R1308" s="11" t="n"/>
      <c r="S1308" s="11" t="n"/>
      <c r="T1308" s="12" t="n"/>
    </row>
    <row r="1309">
      <c r="A1309" s="11" t="n"/>
      <c r="B1309" s="11" t="n"/>
      <c r="C1309" s="11" t="n"/>
      <c r="D1309" s="11" t="n"/>
      <c r="E1309" s="11" t="n"/>
      <c r="F1309" s="11" t="n"/>
      <c r="G1309" s="11" t="n"/>
      <c r="H1309" s="11" t="n"/>
      <c r="I1309" s="11" t="n"/>
      <c r="J1309" s="11" t="n"/>
      <c r="K1309" s="11" t="n"/>
      <c r="L1309" s="11" t="n"/>
      <c r="M1309" s="11" t="n"/>
      <c r="N1309" s="11" t="n"/>
      <c r="O1309" s="11" t="n"/>
      <c r="P1309" s="11" t="n"/>
      <c r="Q1309" s="11" t="n"/>
      <c r="R1309" s="11" t="n"/>
      <c r="S1309" s="11" t="n"/>
      <c r="T1309" s="12" t="n"/>
    </row>
    <row r="1310">
      <c r="A1310" s="11" t="n"/>
      <c r="B1310" s="11" t="n"/>
      <c r="C1310" s="11" t="n"/>
      <c r="D1310" s="11" t="n"/>
      <c r="E1310" s="11" t="n"/>
      <c r="F1310" s="11" t="n"/>
      <c r="G1310" s="11" t="n"/>
      <c r="H1310" s="11" t="n"/>
      <c r="I1310" s="11" t="n"/>
      <c r="J1310" s="11" t="n"/>
      <c r="K1310" s="11" t="n"/>
      <c r="L1310" s="11" t="n"/>
      <c r="M1310" s="11" t="n"/>
      <c r="N1310" s="11" t="n"/>
      <c r="O1310" s="11" t="n"/>
      <c r="P1310" s="11" t="n"/>
      <c r="Q1310" s="11" t="n"/>
      <c r="R1310" s="11" t="n"/>
      <c r="S1310" s="11" t="n"/>
      <c r="T1310" s="12" t="n"/>
    </row>
    <row r="1311">
      <c r="A1311" s="11" t="n"/>
      <c r="B1311" s="11" t="n"/>
      <c r="C1311" s="11" t="n"/>
      <c r="D1311" s="11" t="n"/>
      <c r="E1311" s="11" t="n"/>
      <c r="F1311" s="11" t="n"/>
      <c r="G1311" s="11" t="n"/>
      <c r="H1311" s="11" t="n"/>
      <c r="I1311" s="11" t="n"/>
      <c r="J1311" s="11" t="n"/>
      <c r="K1311" s="11" t="n"/>
      <c r="L1311" s="11" t="n"/>
      <c r="M1311" s="11" t="n"/>
      <c r="N1311" s="11" t="n"/>
      <c r="O1311" s="11" t="n"/>
      <c r="P1311" s="11" t="n"/>
      <c r="Q1311" s="11" t="n"/>
      <c r="R1311" s="11" t="n"/>
      <c r="S1311" s="11" t="n"/>
      <c r="T1311" s="12" t="n"/>
    </row>
    <row r="1312">
      <c r="A1312" s="11" t="n"/>
      <c r="B1312" s="11" t="n"/>
      <c r="C1312" s="11" t="n"/>
      <c r="D1312" s="11" t="n"/>
      <c r="E1312" s="11" t="n"/>
      <c r="F1312" s="11" t="n"/>
      <c r="G1312" s="11" t="n"/>
      <c r="H1312" s="11" t="n"/>
      <c r="I1312" s="11" t="n"/>
      <c r="J1312" s="11" t="n"/>
      <c r="K1312" s="11" t="n"/>
      <c r="L1312" s="11" t="n"/>
      <c r="M1312" s="11" t="n"/>
      <c r="N1312" s="11" t="n"/>
      <c r="O1312" s="11" t="n"/>
      <c r="P1312" s="11" t="n"/>
      <c r="Q1312" s="11" t="n"/>
      <c r="R1312" s="11" t="n"/>
      <c r="S1312" s="11" t="n"/>
      <c r="T1312" s="12" t="n"/>
    </row>
    <row r="1313">
      <c r="A1313" s="11" t="n"/>
      <c r="B1313" s="11" t="n"/>
      <c r="C1313" s="11" t="n"/>
      <c r="D1313" s="11" t="n"/>
      <c r="E1313" s="11" t="n"/>
      <c r="F1313" s="11" t="n"/>
      <c r="G1313" s="11" t="n"/>
      <c r="H1313" s="11" t="n"/>
      <c r="I1313" s="11" t="n"/>
      <c r="J1313" s="11" t="n"/>
      <c r="K1313" s="11" t="n"/>
      <c r="L1313" s="11" t="n"/>
      <c r="M1313" s="11" t="n"/>
      <c r="N1313" s="11" t="n"/>
      <c r="O1313" s="11" t="n"/>
      <c r="P1313" s="11" t="n"/>
      <c r="Q1313" s="11" t="n"/>
      <c r="R1313" s="11" t="n"/>
      <c r="S1313" s="11" t="n"/>
      <c r="T1313" s="12" t="n"/>
    </row>
    <row r="1314">
      <c r="A1314" s="11" t="n"/>
      <c r="B1314" s="11" t="n"/>
      <c r="C1314" s="11" t="n"/>
      <c r="D1314" s="11" t="n"/>
      <c r="E1314" s="11" t="n"/>
      <c r="F1314" s="11" t="n"/>
      <c r="G1314" s="11" t="n"/>
      <c r="H1314" s="11" t="n"/>
      <c r="I1314" s="11" t="n"/>
      <c r="J1314" s="11" t="n"/>
      <c r="K1314" s="11" t="n"/>
      <c r="L1314" s="11" t="n"/>
      <c r="M1314" s="11" t="n"/>
      <c r="N1314" s="11" t="n"/>
      <c r="O1314" s="11" t="n"/>
      <c r="P1314" s="11" t="n"/>
      <c r="Q1314" s="11" t="n"/>
      <c r="R1314" s="11" t="n"/>
      <c r="S1314" s="11" t="n"/>
      <c r="T1314" s="12" t="n"/>
    </row>
    <row r="1315">
      <c r="A1315" s="11" t="n"/>
      <c r="B1315" s="11" t="n"/>
      <c r="C1315" s="11" t="n"/>
      <c r="D1315" s="11" t="n"/>
      <c r="E1315" s="11" t="n"/>
      <c r="F1315" s="11" t="n"/>
      <c r="G1315" s="11" t="n"/>
      <c r="H1315" s="11" t="n"/>
      <c r="I1315" s="11" t="n"/>
      <c r="J1315" s="11" t="n"/>
      <c r="K1315" s="11" t="n"/>
      <c r="L1315" s="11" t="n"/>
      <c r="M1315" s="11" t="n"/>
      <c r="N1315" s="11" t="n"/>
      <c r="O1315" s="11" t="n"/>
      <c r="P1315" s="11" t="n"/>
      <c r="Q1315" s="11" t="n"/>
      <c r="R1315" s="11" t="n"/>
      <c r="S1315" s="11" t="n"/>
      <c r="T1315" s="12" t="n"/>
    </row>
    <row r="1316">
      <c r="A1316" s="11" t="n"/>
      <c r="B1316" s="11" t="n"/>
      <c r="C1316" s="11" t="n"/>
      <c r="D1316" s="11" t="n"/>
      <c r="E1316" s="11" t="n"/>
      <c r="F1316" s="11" t="n"/>
      <c r="G1316" s="11" t="n"/>
      <c r="H1316" s="11" t="n"/>
      <c r="I1316" s="11" t="n"/>
      <c r="J1316" s="11" t="n"/>
      <c r="K1316" s="11" t="n"/>
      <c r="L1316" s="11" t="n"/>
      <c r="M1316" s="11" t="n"/>
      <c r="N1316" s="11" t="n"/>
      <c r="O1316" s="11" t="n"/>
      <c r="P1316" s="11" t="n"/>
      <c r="Q1316" s="11" t="n"/>
      <c r="R1316" s="11" t="n"/>
      <c r="S1316" s="11" t="n"/>
      <c r="T1316" s="12" t="n"/>
    </row>
    <row r="1317">
      <c r="A1317" s="11" t="n"/>
      <c r="B1317" s="11" t="n"/>
      <c r="C1317" s="11" t="n"/>
      <c r="D1317" s="11" t="n"/>
      <c r="E1317" s="11" t="n"/>
      <c r="F1317" s="11" t="n"/>
      <c r="G1317" s="11" t="n"/>
      <c r="H1317" s="11" t="n"/>
      <c r="I1317" s="11" t="n"/>
      <c r="J1317" s="11" t="n"/>
      <c r="K1317" s="11" t="n"/>
      <c r="L1317" s="11" t="n"/>
      <c r="M1317" s="11" t="n"/>
      <c r="N1317" s="11" t="n"/>
      <c r="O1317" s="11" t="n"/>
      <c r="P1317" s="11" t="n"/>
      <c r="Q1317" s="11" t="n"/>
      <c r="R1317" s="11" t="n"/>
      <c r="S1317" s="11" t="n"/>
      <c r="T1317" s="12" t="n"/>
    </row>
    <row r="1318">
      <c r="A1318" s="11" t="n"/>
      <c r="B1318" s="11" t="n"/>
      <c r="C1318" s="11" t="n"/>
      <c r="D1318" s="11" t="n"/>
      <c r="E1318" s="11" t="n"/>
      <c r="F1318" s="11" t="n"/>
      <c r="G1318" s="11" t="n"/>
      <c r="H1318" s="11" t="n"/>
      <c r="I1318" s="11" t="n"/>
      <c r="J1318" s="11" t="n"/>
      <c r="K1318" s="11" t="n"/>
      <c r="L1318" s="11" t="n"/>
      <c r="M1318" s="11" t="n"/>
      <c r="N1318" s="11" t="n"/>
      <c r="O1318" s="11" t="n"/>
      <c r="P1318" s="11" t="n"/>
      <c r="Q1318" s="11" t="n"/>
      <c r="R1318" s="11" t="n"/>
      <c r="S1318" s="11" t="n"/>
      <c r="T1318" s="12" t="n"/>
    </row>
    <row r="1319">
      <c r="A1319" s="11" t="n"/>
      <c r="B1319" s="11" t="n"/>
      <c r="C1319" s="11" t="n"/>
      <c r="D1319" s="11" t="n"/>
      <c r="E1319" s="11" t="n"/>
      <c r="F1319" s="11" t="n"/>
      <c r="G1319" s="11" t="n"/>
      <c r="H1319" s="11" t="n"/>
      <c r="I1319" s="11" t="n"/>
      <c r="J1319" s="11" t="n"/>
      <c r="K1319" s="11" t="n"/>
      <c r="L1319" s="11" t="n"/>
      <c r="M1319" s="11" t="n"/>
      <c r="N1319" s="11" t="n"/>
      <c r="O1319" s="11" t="n"/>
      <c r="P1319" s="11" t="n"/>
      <c r="Q1319" s="11" t="n"/>
      <c r="R1319" s="11" t="n"/>
      <c r="S1319" s="11" t="n"/>
      <c r="T1319" s="12" t="n"/>
    </row>
    <row r="1320">
      <c r="A1320" s="11" t="n"/>
      <c r="B1320" s="11" t="n"/>
      <c r="C1320" s="11" t="n"/>
      <c r="D1320" s="11" t="n"/>
      <c r="E1320" s="11" t="n"/>
      <c r="F1320" s="11" t="n"/>
      <c r="G1320" s="11" t="n"/>
      <c r="H1320" s="11" t="n"/>
      <c r="I1320" s="11" t="n"/>
      <c r="J1320" s="11" t="n"/>
      <c r="K1320" s="11" t="n"/>
      <c r="L1320" s="11" t="n"/>
      <c r="M1320" s="11" t="n"/>
      <c r="N1320" s="11" t="n"/>
      <c r="O1320" s="11" t="n"/>
      <c r="P1320" s="11" t="n"/>
      <c r="Q1320" s="11" t="n"/>
      <c r="R1320" s="11" t="n"/>
      <c r="S1320" s="11" t="n"/>
      <c r="T1320" s="12" t="n"/>
    </row>
    <row r="1321">
      <c r="A1321" s="11" t="n"/>
      <c r="B1321" s="11" t="n"/>
      <c r="C1321" s="11" t="n"/>
      <c r="D1321" s="11" t="n"/>
      <c r="E1321" s="11" t="n"/>
      <c r="F1321" s="11" t="n"/>
      <c r="G1321" s="11" t="n"/>
      <c r="H1321" s="11" t="n"/>
      <c r="I1321" s="11" t="n"/>
      <c r="J1321" s="11" t="n"/>
      <c r="K1321" s="11" t="n"/>
      <c r="L1321" s="11" t="n"/>
      <c r="M1321" s="11" t="n"/>
      <c r="N1321" s="11" t="n"/>
      <c r="O1321" s="11" t="n"/>
      <c r="P1321" s="11" t="n"/>
      <c r="Q1321" s="11" t="n"/>
      <c r="R1321" s="11" t="n"/>
      <c r="S1321" s="11" t="n"/>
      <c r="T1321" s="12" t="n"/>
    </row>
    <row r="1322">
      <c r="A1322" s="11" t="n"/>
      <c r="B1322" s="11" t="n"/>
      <c r="C1322" s="11" t="n"/>
      <c r="D1322" s="11" t="n"/>
      <c r="E1322" s="11" t="n"/>
      <c r="F1322" s="11" t="n"/>
      <c r="G1322" s="11" t="n"/>
      <c r="H1322" s="11" t="n"/>
      <c r="I1322" s="11" t="n"/>
      <c r="J1322" s="11" t="n"/>
      <c r="K1322" s="11" t="n"/>
      <c r="L1322" s="11" t="n"/>
      <c r="M1322" s="11" t="n"/>
      <c r="N1322" s="11" t="n"/>
      <c r="O1322" s="11" t="n"/>
      <c r="P1322" s="11" t="n"/>
      <c r="Q1322" s="11" t="n"/>
      <c r="R1322" s="11" t="n"/>
      <c r="S1322" s="11" t="n"/>
      <c r="T1322" s="12" t="n"/>
    </row>
    <row r="1323">
      <c r="A1323" s="11" t="n"/>
      <c r="B1323" s="11" t="n"/>
      <c r="C1323" s="11" t="n"/>
      <c r="D1323" s="11" t="n"/>
      <c r="E1323" s="11" t="n"/>
      <c r="F1323" s="11" t="n"/>
      <c r="G1323" s="11" t="n"/>
      <c r="H1323" s="11" t="n"/>
      <c r="I1323" s="11" t="n"/>
      <c r="J1323" s="11" t="n"/>
      <c r="K1323" s="11" t="n"/>
      <c r="L1323" s="11" t="n"/>
      <c r="M1323" s="11" t="n"/>
      <c r="N1323" s="11" t="n"/>
      <c r="O1323" s="11" t="n"/>
      <c r="P1323" s="11" t="n"/>
      <c r="Q1323" s="11" t="n"/>
      <c r="R1323" s="11" t="n"/>
      <c r="S1323" s="11" t="n"/>
      <c r="T1323" s="12" t="n"/>
    </row>
    <row r="1324">
      <c r="A1324" s="11" t="n"/>
      <c r="B1324" s="11" t="n"/>
      <c r="C1324" s="11" t="n"/>
      <c r="D1324" s="11" t="n"/>
      <c r="E1324" s="11" t="n"/>
      <c r="F1324" s="11" t="n"/>
      <c r="G1324" s="11" t="n"/>
      <c r="H1324" s="11" t="n"/>
      <c r="I1324" s="11" t="n"/>
      <c r="J1324" s="11" t="n"/>
      <c r="K1324" s="11" t="n"/>
      <c r="L1324" s="11" t="n"/>
      <c r="M1324" s="11" t="n"/>
      <c r="N1324" s="11" t="n"/>
      <c r="O1324" s="11" t="n"/>
      <c r="P1324" s="11" t="n"/>
      <c r="Q1324" s="11" t="n"/>
      <c r="R1324" s="11" t="n"/>
      <c r="S1324" s="11" t="n"/>
      <c r="T1324" s="12" t="n"/>
    </row>
    <row r="1325">
      <c r="A1325" s="11" t="n"/>
      <c r="B1325" s="11" t="n"/>
      <c r="C1325" s="11" t="n"/>
      <c r="D1325" s="11" t="n"/>
      <c r="E1325" s="11" t="n"/>
      <c r="F1325" s="11" t="n"/>
      <c r="G1325" s="11" t="n"/>
      <c r="H1325" s="11" t="n"/>
      <c r="I1325" s="11" t="n"/>
      <c r="J1325" s="11" t="n"/>
      <c r="K1325" s="11" t="n"/>
      <c r="L1325" s="11" t="n"/>
      <c r="M1325" s="11" t="n"/>
      <c r="N1325" s="11" t="n"/>
      <c r="O1325" s="11" t="n"/>
      <c r="P1325" s="11" t="n"/>
      <c r="Q1325" s="11" t="n"/>
      <c r="R1325" s="11" t="n"/>
      <c r="S1325" s="11" t="n"/>
      <c r="T1325" s="12" t="n"/>
    </row>
    <row r="1326">
      <c r="A1326" s="11" t="n"/>
      <c r="B1326" s="11" t="n"/>
      <c r="C1326" s="11" t="n"/>
      <c r="D1326" s="11" t="n"/>
      <c r="E1326" s="11" t="n"/>
      <c r="F1326" s="11" t="n"/>
      <c r="G1326" s="11" t="n"/>
      <c r="H1326" s="11" t="n"/>
      <c r="I1326" s="11" t="n"/>
      <c r="J1326" s="11" t="n"/>
      <c r="K1326" s="11" t="n"/>
      <c r="L1326" s="11" t="n"/>
      <c r="M1326" s="11" t="n"/>
      <c r="N1326" s="11" t="n"/>
      <c r="O1326" s="11" t="n"/>
      <c r="P1326" s="11" t="n"/>
      <c r="Q1326" s="11" t="n"/>
      <c r="R1326" s="11" t="n"/>
      <c r="S1326" s="11" t="n"/>
      <c r="T1326" s="12" t="n"/>
    </row>
    <row r="1327">
      <c r="A1327" s="11" t="n"/>
      <c r="B1327" s="11" t="n"/>
      <c r="C1327" s="11" t="n"/>
      <c r="D1327" s="11" t="n"/>
      <c r="E1327" s="11" t="n"/>
      <c r="F1327" s="11" t="n"/>
      <c r="G1327" s="11" t="n"/>
      <c r="H1327" s="11" t="n"/>
      <c r="I1327" s="11" t="n"/>
      <c r="J1327" s="11" t="n"/>
      <c r="K1327" s="11" t="n"/>
      <c r="L1327" s="11" t="n"/>
      <c r="M1327" s="11" t="n"/>
      <c r="N1327" s="11" t="n"/>
      <c r="O1327" s="11" t="n"/>
      <c r="P1327" s="11" t="n"/>
      <c r="Q1327" s="11" t="n"/>
      <c r="R1327" s="11" t="n"/>
      <c r="S1327" s="11" t="n"/>
      <c r="T1327" s="12" t="n"/>
    </row>
    <row r="1328">
      <c r="A1328" s="11" t="n"/>
      <c r="B1328" s="11" t="n"/>
      <c r="C1328" s="11" t="n"/>
      <c r="D1328" s="11" t="n"/>
      <c r="E1328" s="11" t="n"/>
      <c r="F1328" s="11" t="n"/>
      <c r="G1328" s="11" t="n"/>
      <c r="H1328" s="11" t="n"/>
      <c r="I1328" s="11" t="n"/>
      <c r="J1328" s="11" t="n"/>
      <c r="K1328" s="11" t="n"/>
      <c r="L1328" s="11" t="n"/>
      <c r="M1328" s="11" t="n"/>
      <c r="N1328" s="11" t="n"/>
      <c r="O1328" s="11" t="n"/>
      <c r="P1328" s="11" t="n"/>
      <c r="Q1328" s="11" t="n"/>
      <c r="R1328" s="11" t="n"/>
      <c r="S1328" s="11" t="n"/>
      <c r="T1328" s="12" t="n"/>
    </row>
    <row r="1329">
      <c r="A1329" s="11" t="n"/>
      <c r="B1329" s="11" t="n"/>
      <c r="C1329" s="11" t="n"/>
      <c r="D1329" s="11" t="n"/>
      <c r="E1329" s="11" t="n"/>
      <c r="F1329" s="11" t="n"/>
      <c r="G1329" s="11" t="n"/>
      <c r="H1329" s="11" t="n"/>
      <c r="I1329" s="11" t="n"/>
      <c r="J1329" s="11" t="n"/>
      <c r="K1329" s="11" t="n"/>
      <c r="L1329" s="11" t="n"/>
      <c r="M1329" s="11" t="n"/>
      <c r="N1329" s="11" t="n"/>
      <c r="O1329" s="11" t="n"/>
      <c r="P1329" s="11" t="n"/>
      <c r="Q1329" s="11" t="n"/>
      <c r="R1329" s="11" t="n"/>
      <c r="S1329" s="11" t="n"/>
      <c r="T1329" s="12" t="n"/>
    </row>
    <row r="1330">
      <c r="A1330" s="11" t="n"/>
      <c r="B1330" s="11" t="n"/>
      <c r="C1330" s="11" t="n"/>
      <c r="D1330" s="11" t="n"/>
      <c r="E1330" s="11" t="n"/>
      <c r="F1330" s="11" t="n"/>
      <c r="G1330" s="11" t="n"/>
      <c r="H1330" s="11" t="n"/>
      <c r="I1330" s="11" t="n"/>
      <c r="J1330" s="11" t="n"/>
      <c r="K1330" s="11" t="n"/>
      <c r="L1330" s="11" t="n"/>
      <c r="M1330" s="11" t="n"/>
      <c r="N1330" s="11" t="n"/>
      <c r="O1330" s="11" t="n"/>
      <c r="P1330" s="11" t="n"/>
      <c r="Q1330" s="11" t="n"/>
      <c r="R1330" s="11" t="n"/>
      <c r="S1330" s="11" t="n"/>
      <c r="T1330" s="12" t="n"/>
    </row>
    <row r="1331">
      <c r="A1331" s="11" t="n"/>
      <c r="B1331" s="11" t="n"/>
      <c r="C1331" s="11" t="n"/>
      <c r="D1331" s="11" t="n"/>
      <c r="E1331" s="11" t="n"/>
      <c r="F1331" s="11" t="n"/>
      <c r="G1331" s="11" t="n"/>
      <c r="H1331" s="11" t="n"/>
      <c r="I1331" s="11" t="n"/>
      <c r="J1331" s="11" t="n"/>
      <c r="K1331" s="11" t="n"/>
      <c r="L1331" s="11" t="n"/>
      <c r="M1331" s="11" t="n"/>
      <c r="N1331" s="11" t="n"/>
      <c r="O1331" s="11" t="n"/>
      <c r="P1331" s="11" t="n"/>
      <c r="Q1331" s="11" t="n"/>
      <c r="R1331" s="11" t="n"/>
      <c r="S1331" s="11" t="n"/>
      <c r="T1331" s="12" t="n"/>
    </row>
    <row r="1332">
      <c r="A1332" s="11" t="n"/>
      <c r="B1332" s="11" t="n"/>
      <c r="C1332" s="11" t="n"/>
      <c r="D1332" s="11" t="n"/>
      <c r="E1332" s="11" t="n"/>
      <c r="F1332" s="11" t="n"/>
      <c r="G1332" s="11" t="n"/>
      <c r="H1332" s="11" t="n"/>
      <c r="I1332" s="11" t="n"/>
      <c r="J1332" s="11" t="n"/>
      <c r="K1332" s="11" t="n"/>
      <c r="L1332" s="11" t="n"/>
      <c r="M1332" s="11" t="n"/>
      <c r="N1332" s="11" t="n"/>
      <c r="O1332" s="11" t="n"/>
      <c r="P1332" s="11" t="n"/>
      <c r="Q1332" s="11" t="n"/>
      <c r="R1332" s="11" t="n"/>
      <c r="S1332" s="11" t="n"/>
      <c r="T1332" s="12" t="n"/>
    </row>
    <row r="1333">
      <c r="A1333" s="11" t="n"/>
      <c r="B1333" s="11" t="n"/>
      <c r="C1333" s="11" t="n"/>
      <c r="D1333" s="11" t="n"/>
      <c r="E1333" s="11" t="n"/>
      <c r="F1333" s="11" t="n"/>
      <c r="G1333" s="11" t="n"/>
      <c r="H1333" s="11" t="n"/>
      <c r="I1333" s="11" t="n"/>
      <c r="J1333" s="11" t="n"/>
      <c r="K1333" s="11" t="n"/>
      <c r="L1333" s="11" t="n"/>
      <c r="M1333" s="11" t="n"/>
      <c r="N1333" s="11" t="n"/>
      <c r="O1333" s="11" t="n"/>
      <c r="P1333" s="11" t="n"/>
      <c r="Q1333" s="11" t="n"/>
      <c r="R1333" s="11" t="n"/>
      <c r="S1333" s="11" t="n"/>
      <c r="T1333" s="12" t="n"/>
    </row>
    <row r="1334">
      <c r="A1334" s="11" t="n"/>
      <c r="B1334" s="11" t="n"/>
      <c r="C1334" s="11" t="n"/>
      <c r="D1334" s="11" t="n"/>
      <c r="E1334" s="11" t="n"/>
      <c r="F1334" s="11" t="n"/>
      <c r="G1334" s="11" t="n"/>
      <c r="H1334" s="11" t="n"/>
      <c r="I1334" s="11" t="n"/>
      <c r="J1334" s="11" t="n"/>
      <c r="K1334" s="11" t="n"/>
      <c r="L1334" s="11" t="n"/>
      <c r="M1334" s="11" t="n"/>
      <c r="N1334" s="11" t="n"/>
      <c r="O1334" s="11" t="n"/>
      <c r="P1334" s="11" t="n"/>
      <c r="Q1334" s="11" t="n"/>
      <c r="R1334" s="11" t="n"/>
      <c r="S1334" s="11" t="n"/>
      <c r="T1334" s="12" t="n"/>
    </row>
    <row r="1335">
      <c r="A1335" s="11" t="n"/>
      <c r="B1335" s="11" t="n"/>
      <c r="C1335" s="11" t="n"/>
      <c r="D1335" s="11" t="n"/>
      <c r="E1335" s="11" t="n"/>
      <c r="F1335" s="11" t="n"/>
      <c r="G1335" s="11" t="n"/>
      <c r="H1335" s="11" t="n"/>
      <c r="I1335" s="11" t="n"/>
      <c r="J1335" s="11" t="n"/>
      <c r="K1335" s="11" t="n"/>
      <c r="L1335" s="11" t="n"/>
      <c r="M1335" s="11" t="n"/>
      <c r="N1335" s="11" t="n"/>
      <c r="O1335" s="11" t="n"/>
      <c r="P1335" s="11" t="n"/>
      <c r="Q1335" s="11" t="n"/>
      <c r="R1335" s="11" t="n"/>
      <c r="S1335" s="11" t="n"/>
      <c r="T1335" s="12" t="n"/>
    </row>
    <row r="1336">
      <c r="A1336" s="11" t="n"/>
      <c r="B1336" s="11" t="n"/>
      <c r="C1336" s="11" t="n"/>
      <c r="D1336" s="11" t="n"/>
      <c r="E1336" s="11" t="n"/>
      <c r="F1336" s="11" t="n"/>
      <c r="G1336" s="11" t="n"/>
      <c r="H1336" s="11" t="n"/>
      <c r="I1336" s="11" t="n"/>
      <c r="J1336" s="11" t="n"/>
      <c r="K1336" s="11" t="n"/>
      <c r="L1336" s="11" t="n"/>
      <c r="M1336" s="11" t="n"/>
      <c r="N1336" s="11" t="n"/>
      <c r="O1336" s="11" t="n"/>
      <c r="P1336" s="11" t="n"/>
      <c r="Q1336" s="11" t="n"/>
      <c r="R1336" s="11" t="n"/>
      <c r="S1336" s="11" t="n"/>
      <c r="T1336" s="12" t="n"/>
    </row>
    <row r="1337">
      <c r="A1337" s="11" t="n"/>
      <c r="B1337" s="11" t="n"/>
      <c r="C1337" s="11" t="n"/>
      <c r="D1337" s="11" t="n"/>
      <c r="E1337" s="11" t="n"/>
      <c r="F1337" s="11" t="n"/>
      <c r="G1337" s="11" t="n"/>
      <c r="H1337" s="11" t="n"/>
      <c r="I1337" s="11" t="n"/>
      <c r="J1337" s="11" t="n"/>
      <c r="K1337" s="11" t="n"/>
      <c r="L1337" s="11" t="n"/>
      <c r="M1337" s="11" t="n"/>
      <c r="N1337" s="11" t="n"/>
      <c r="O1337" s="11" t="n"/>
      <c r="P1337" s="11" t="n"/>
      <c r="Q1337" s="11" t="n"/>
      <c r="R1337" s="11" t="n"/>
      <c r="S1337" s="11" t="n"/>
      <c r="T1337" s="12" t="n"/>
    </row>
    <row r="1338">
      <c r="A1338" s="11" t="n"/>
      <c r="B1338" s="11" t="n"/>
      <c r="C1338" s="11" t="n"/>
      <c r="D1338" s="11" t="n"/>
      <c r="E1338" s="11" t="n"/>
      <c r="F1338" s="11" t="n"/>
      <c r="G1338" s="11" t="n"/>
      <c r="H1338" s="11" t="n"/>
      <c r="I1338" s="11" t="n"/>
      <c r="J1338" s="11" t="n"/>
      <c r="K1338" s="11" t="n"/>
      <c r="L1338" s="11" t="n"/>
      <c r="M1338" s="11" t="n"/>
      <c r="N1338" s="11" t="n"/>
      <c r="O1338" s="11" t="n"/>
      <c r="P1338" s="11" t="n"/>
      <c r="Q1338" s="11" t="n"/>
      <c r="R1338" s="11" t="n"/>
      <c r="S1338" s="11" t="n"/>
      <c r="T1338" s="12" t="n"/>
    </row>
    <row r="1339">
      <c r="A1339" s="11" t="n"/>
      <c r="B1339" s="11" t="n"/>
      <c r="C1339" s="11" t="n"/>
      <c r="D1339" s="11" t="n"/>
      <c r="E1339" s="11" t="n"/>
      <c r="F1339" s="11" t="n"/>
      <c r="G1339" s="11" t="n"/>
      <c r="H1339" s="11" t="n"/>
      <c r="I1339" s="11" t="n"/>
      <c r="J1339" s="11" t="n"/>
      <c r="K1339" s="11" t="n"/>
      <c r="L1339" s="11" t="n"/>
      <c r="M1339" s="11" t="n"/>
      <c r="N1339" s="11" t="n"/>
      <c r="O1339" s="11" t="n"/>
      <c r="P1339" s="11" t="n"/>
      <c r="Q1339" s="11" t="n"/>
      <c r="R1339" s="11" t="n"/>
      <c r="S1339" s="11" t="n"/>
      <c r="T1339" s="12" t="n"/>
    </row>
    <row r="1340">
      <c r="A1340" s="11" t="n"/>
      <c r="B1340" s="11" t="n"/>
      <c r="C1340" s="11" t="n"/>
      <c r="D1340" s="11" t="n"/>
      <c r="E1340" s="11" t="n"/>
      <c r="F1340" s="11" t="n"/>
      <c r="G1340" s="11" t="n"/>
      <c r="H1340" s="11" t="n"/>
      <c r="I1340" s="11" t="n"/>
      <c r="J1340" s="11" t="n"/>
      <c r="K1340" s="11" t="n"/>
      <c r="L1340" s="11" t="n"/>
      <c r="M1340" s="11" t="n"/>
      <c r="N1340" s="11" t="n"/>
      <c r="O1340" s="11" t="n"/>
      <c r="P1340" s="11" t="n"/>
      <c r="Q1340" s="11" t="n"/>
      <c r="R1340" s="11" t="n"/>
      <c r="S1340" s="11" t="n"/>
      <c r="T1340" s="12" t="n"/>
    </row>
    <row r="1341">
      <c r="A1341" s="11" t="n"/>
      <c r="B1341" s="11" t="n"/>
      <c r="C1341" s="11" t="n"/>
      <c r="D1341" s="11" t="n"/>
      <c r="E1341" s="11" t="n"/>
      <c r="F1341" s="11" t="n"/>
      <c r="G1341" s="11" t="n"/>
      <c r="H1341" s="11" t="n"/>
      <c r="I1341" s="11" t="n"/>
      <c r="J1341" s="11" t="n"/>
      <c r="K1341" s="11" t="n"/>
      <c r="L1341" s="11" t="n"/>
      <c r="M1341" s="11" t="n"/>
      <c r="N1341" s="11" t="n"/>
      <c r="O1341" s="11" t="n"/>
      <c r="P1341" s="11" t="n"/>
      <c r="Q1341" s="11" t="n"/>
      <c r="R1341" s="11" t="n"/>
      <c r="S1341" s="11" t="n"/>
      <c r="T1341" s="12" t="n"/>
    </row>
    <row r="1342">
      <c r="A1342" s="11" t="n"/>
      <c r="B1342" s="11" t="n"/>
      <c r="C1342" s="11" t="n"/>
      <c r="D1342" s="11" t="n"/>
      <c r="E1342" s="11" t="n"/>
      <c r="F1342" s="11" t="n"/>
      <c r="G1342" s="11" t="n"/>
      <c r="H1342" s="11" t="n"/>
      <c r="I1342" s="11" t="n"/>
      <c r="J1342" s="11" t="n"/>
      <c r="K1342" s="11" t="n"/>
      <c r="L1342" s="11" t="n"/>
      <c r="M1342" s="11" t="n"/>
      <c r="N1342" s="11" t="n"/>
      <c r="O1342" s="11" t="n"/>
      <c r="P1342" s="11" t="n"/>
      <c r="Q1342" s="11" t="n"/>
      <c r="R1342" s="11" t="n"/>
      <c r="S1342" s="11" t="n"/>
      <c r="T1342" s="12" t="n"/>
    </row>
    <row r="1343">
      <c r="A1343" s="11" t="n"/>
      <c r="B1343" s="11" t="n"/>
      <c r="C1343" s="11" t="n"/>
      <c r="D1343" s="11" t="n"/>
      <c r="E1343" s="11" t="n"/>
      <c r="F1343" s="11" t="n"/>
      <c r="G1343" s="11" t="n"/>
      <c r="H1343" s="11" t="n"/>
      <c r="I1343" s="11" t="n"/>
      <c r="J1343" s="11" t="n"/>
      <c r="K1343" s="11" t="n"/>
      <c r="L1343" s="11" t="n"/>
      <c r="M1343" s="11" t="n"/>
      <c r="N1343" s="11" t="n"/>
      <c r="O1343" s="11" t="n"/>
      <c r="P1343" s="11" t="n"/>
      <c r="Q1343" s="11" t="n"/>
      <c r="R1343" s="11" t="n"/>
      <c r="S1343" s="11" t="n"/>
      <c r="T1343" s="12" t="n"/>
    </row>
    <row r="1344">
      <c r="A1344" s="11" t="n"/>
      <c r="B1344" s="11" t="n"/>
      <c r="C1344" s="11" t="n"/>
      <c r="D1344" s="11" t="n"/>
      <c r="E1344" s="11" t="n"/>
      <c r="F1344" s="11" t="n"/>
      <c r="G1344" s="11" t="n"/>
      <c r="H1344" s="11" t="n"/>
      <c r="I1344" s="11" t="n"/>
      <c r="J1344" s="11" t="n"/>
      <c r="K1344" s="11" t="n"/>
      <c r="L1344" s="11" t="n"/>
      <c r="M1344" s="11" t="n"/>
      <c r="N1344" s="11" t="n"/>
      <c r="O1344" s="11" t="n"/>
      <c r="P1344" s="11" t="n"/>
      <c r="Q1344" s="11" t="n"/>
      <c r="R1344" s="11" t="n"/>
      <c r="S1344" s="11" t="n"/>
      <c r="T1344" s="12" t="n"/>
    </row>
    <row r="1345">
      <c r="A1345" s="11" t="n"/>
      <c r="B1345" s="11" t="n"/>
      <c r="C1345" s="11" t="n"/>
      <c r="D1345" s="11" t="n"/>
      <c r="E1345" s="11" t="n"/>
      <c r="F1345" s="11" t="n"/>
      <c r="G1345" s="11" t="n"/>
      <c r="H1345" s="11" t="n"/>
      <c r="I1345" s="11" t="n"/>
      <c r="J1345" s="11" t="n"/>
      <c r="K1345" s="11" t="n"/>
      <c r="L1345" s="11" t="n"/>
      <c r="M1345" s="11" t="n"/>
      <c r="N1345" s="11" t="n"/>
      <c r="O1345" s="11" t="n"/>
      <c r="P1345" s="11" t="n"/>
      <c r="Q1345" s="11" t="n"/>
      <c r="R1345" s="11" t="n"/>
      <c r="S1345" s="11" t="n"/>
      <c r="T1345" s="12" t="n"/>
    </row>
    <row r="1346">
      <c r="A1346" s="11" t="n"/>
      <c r="B1346" s="11" t="n"/>
      <c r="C1346" s="11" t="n"/>
      <c r="D1346" s="11" t="n"/>
      <c r="E1346" s="11" t="n"/>
      <c r="F1346" s="11" t="n"/>
      <c r="G1346" s="11" t="n"/>
      <c r="H1346" s="11" t="n"/>
      <c r="I1346" s="11" t="n"/>
      <c r="J1346" s="11" t="n"/>
      <c r="K1346" s="11" t="n"/>
      <c r="L1346" s="11" t="n"/>
      <c r="M1346" s="11" t="n"/>
      <c r="N1346" s="11" t="n"/>
      <c r="O1346" s="11" t="n"/>
      <c r="P1346" s="11" t="n"/>
      <c r="Q1346" s="11" t="n"/>
      <c r="R1346" s="11" t="n"/>
      <c r="S1346" s="11" t="n"/>
      <c r="T1346" s="12" t="n"/>
    </row>
    <row r="1347">
      <c r="A1347" s="11" t="n"/>
      <c r="B1347" s="11" t="n"/>
      <c r="C1347" s="11" t="n"/>
      <c r="D1347" s="11" t="n"/>
      <c r="E1347" s="11" t="n"/>
      <c r="F1347" s="11" t="n"/>
      <c r="G1347" s="11" t="n"/>
      <c r="H1347" s="11" t="n"/>
      <c r="I1347" s="11" t="n"/>
      <c r="J1347" s="11" t="n"/>
      <c r="K1347" s="11" t="n"/>
      <c r="L1347" s="11" t="n"/>
      <c r="M1347" s="11" t="n"/>
      <c r="N1347" s="11" t="n"/>
      <c r="O1347" s="11" t="n"/>
      <c r="P1347" s="11" t="n"/>
      <c r="Q1347" s="11" t="n"/>
      <c r="R1347" s="11" t="n"/>
      <c r="S1347" s="11" t="n"/>
      <c r="T1347" s="12" t="n"/>
    </row>
    <row r="1348">
      <c r="A1348" s="11" t="n"/>
      <c r="B1348" s="11" t="n"/>
      <c r="C1348" s="11" t="n"/>
      <c r="D1348" s="11" t="n"/>
      <c r="E1348" s="11" t="n"/>
      <c r="F1348" s="11" t="n"/>
      <c r="G1348" s="11" t="n"/>
      <c r="H1348" s="11" t="n"/>
      <c r="I1348" s="11" t="n"/>
      <c r="J1348" s="11" t="n"/>
      <c r="K1348" s="11" t="n"/>
      <c r="L1348" s="11" t="n"/>
      <c r="M1348" s="11" t="n"/>
      <c r="N1348" s="11" t="n"/>
      <c r="O1348" s="11" t="n"/>
      <c r="P1348" s="11" t="n"/>
      <c r="Q1348" s="11" t="n"/>
      <c r="R1348" s="11" t="n"/>
      <c r="S1348" s="11" t="n"/>
      <c r="T1348" s="12" t="n"/>
    </row>
    <row r="1349">
      <c r="A1349" s="11" t="n"/>
      <c r="B1349" s="11" t="n"/>
      <c r="C1349" s="11" t="n"/>
      <c r="D1349" s="11" t="n"/>
      <c r="E1349" s="11" t="n"/>
      <c r="F1349" s="11" t="n"/>
      <c r="G1349" s="11" t="n"/>
      <c r="H1349" s="11" t="n"/>
      <c r="I1349" s="11" t="n"/>
      <c r="J1349" s="11" t="n"/>
      <c r="K1349" s="11" t="n"/>
      <c r="L1349" s="11" t="n"/>
      <c r="M1349" s="11" t="n"/>
      <c r="N1349" s="11" t="n"/>
      <c r="O1349" s="11" t="n"/>
      <c r="P1349" s="11" t="n"/>
      <c r="Q1349" s="11" t="n"/>
      <c r="R1349" s="11" t="n"/>
      <c r="S1349" s="11" t="n"/>
      <c r="T1349" s="12" t="n"/>
    </row>
    <row r="1350">
      <c r="A1350" s="11" t="n"/>
      <c r="B1350" s="11" t="n"/>
      <c r="C1350" s="11" t="n"/>
      <c r="D1350" s="11" t="n"/>
      <c r="E1350" s="11" t="n"/>
      <c r="F1350" s="11" t="n"/>
      <c r="G1350" s="11" t="n"/>
      <c r="H1350" s="11" t="n"/>
      <c r="I1350" s="11" t="n"/>
      <c r="J1350" s="11" t="n"/>
      <c r="K1350" s="11" t="n"/>
      <c r="L1350" s="11" t="n"/>
      <c r="M1350" s="11" t="n"/>
      <c r="N1350" s="11" t="n"/>
      <c r="O1350" s="11" t="n"/>
      <c r="P1350" s="11" t="n"/>
      <c r="Q1350" s="11" t="n"/>
      <c r="R1350" s="11" t="n"/>
      <c r="S1350" s="11" t="n"/>
      <c r="T1350" s="12" t="n"/>
    </row>
    <row r="1351">
      <c r="A1351" s="11" t="n"/>
      <c r="B1351" s="11" t="n"/>
      <c r="C1351" s="11" t="n"/>
      <c r="D1351" s="11" t="n"/>
      <c r="E1351" s="11" t="n"/>
      <c r="F1351" s="11" t="n"/>
      <c r="G1351" s="11" t="n"/>
      <c r="H1351" s="11" t="n"/>
      <c r="I1351" s="11" t="n"/>
      <c r="J1351" s="11" t="n"/>
      <c r="K1351" s="11" t="n"/>
      <c r="L1351" s="11" t="n"/>
      <c r="M1351" s="11" t="n"/>
      <c r="N1351" s="11" t="n"/>
      <c r="O1351" s="11" t="n"/>
      <c r="P1351" s="11" t="n"/>
      <c r="Q1351" s="11" t="n"/>
      <c r="R1351" s="11" t="n"/>
      <c r="S1351" s="11" t="n"/>
      <c r="T1351" s="12" t="n"/>
    </row>
    <row r="1352">
      <c r="A1352" s="11" t="n"/>
      <c r="B1352" s="11" t="n"/>
      <c r="C1352" s="11" t="n"/>
      <c r="D1352" s="11" t="n"/>
      <c r="E1352" s="11" t="n"/>
      <c r="F1352" s="11" t="n"/>
      <c r="G1352" s="11" t="n"/>
      <c r="H1352" s="11" t="n"/>
      <c r="I1352" s="11" t="n"/>
      <c r="J1352" s="11" t="n"/>
      <c r="K1352" s="11" t="n"/>
      <c r="L1352" s="11" t="n"/>
      <c r="M1352" s="11" t="n"/>
      <c r="N1352" s="11" t="n"/>
      <c r="O1352" s="11" t="n"/>
      <c r="P1352" s="11" t="n"/>
      <c r="Q1352" s="11" t="n"/>
      <c r="R1352" s="11" t="n"/>
      <c r="S1352" s="11" t="n"/>
      <c r="T1352" s="12" t="n"/>
    </row>
    <row r="1353">
      <c r="A1353" s="11" t="n"/>
      <c r="B1353" s="11" t="n"/>
      <c r="C1353" s="11" t="n"/>
      <c r="D1353" s="11" t="n"/>
      <c r="E1353" s="11" t="n"/>
      <c r="F1353" s="11" t="n"/>
      <c r="G1353" s="11" t="n"/>
      <c r="H1353" s="11" t="n"/>
      <c r="I1353" s="11" t="n"/>
      <c r="J1353" s="11" t="n"/>
      <c r="K1353" s="11" t="n"/>
      <c r="L1353" s="11" t="n"/>
      <c r="M1353" s="11" t="n"/>
      <c r="N1353" s="11" t="n"/>
      <c r="O1353" s="11" t="n"/>
      <c r="P1353" s="11" t="n"/>
      <c r="Q1353" s="11" t="n"/>
      <c r="R1353" s="11" t="n"/>
      <c r="S1353" s="11" t="n"/>
      <c r="T1353" s="12" t="n"/>
    </row>
    <row r="1354">
      <c r="A1354" s="11" t="n"/>
      <c r="B1354" s="11" t="n"/>
      <c r="C1354" s="11" t="n"/>
      <c r="D1354" s="11" t="n"/>
      <c r="E1354" s="11" t="n"/>
      <c r="F1354" s="11" t="n"/>
      <c r="G1354" s="11" t="n"/>
      <c r="H1354" s="11" t="n"/>
      <c r="I1354" s="11" t="n"/>
      <c r="J1354" s="11" t="n"/>
      <c r="K1354" s="11" t="n"/>
      <c r="L1354" s="11" t="n"/>
      <c r="M1354" s="11" t="n"/>
      <c r="N1354" s="11" t="n"/>
      <c r="O1354" s="11" t="n"/>
      <c r="P1354" s="11" t="n"/>
      <c r="Q1354" s="11" t="n"/>
      <c r="R1354" s="11" t="n"/>
      <c r="S1354" s="11" t="n"/>
      <c r="T1354" s="12" t="n"/>
    </row>
    <row r="1355">
      <c r="A1355" s="11" t="n"/>
      <c r="B1355" s="11" t="n"/>
      <c r="C1355" s="11" t="n"/>
      <c r="D1355" s="11" t="n"/>
      <c r="E1355" s="11" t="n"/>
      <c r="F1355" s="11" t="n"/>
      <c r="G1355" s="11" t="n"/>
      <c r="H1355" s="11" t="n"/>
      <c r="I1355" s="11" t="n"/>
      <c r="J1355" s="11" t="n"/>
      <c r="K1355" s="11" t="n"/>
      <c r="L1355" s="11" t="n"/>
      <c r="M1355" s="11" t="n"/>
      <c r="N1355" s="11" t="n"/>
      <c r="O1355" s="11" t="n"/>
      <c r="P1355" s="11" t="n"/>
      <c r="Q1355" s="11" t="n"/>
      <c r="R1355" s="11" t="n"/>
      <c r="S1355" s="11" t="n"/>
      <c r="T1355" s="12" t="n"/>
    </row>
    <row r="1356">
      <c r="A1356" s="11" t="n"/>
      <c r="B1356" s="11" t="n"/>
      <c r="C1356" s="11" t="n"/>
      <c r="D1356" s="11" t="n"/>
      <c r="E1356" s="11" t="n"/>
      <c r="F1356" s="11" t="n"/>
      <c r="G1356" s="11" t="n"/>
      <c r="H1356" s="11" t="n"/>
      <c r="I1356" s="11" t="n"/>
      <c r="J1356" s="11" t="n"/>
      <c r="K1356" s="11" t="n"/>
      <c r="L1356" s="11" t="n"/>
      <c r="M1356" s="11" t="n"/>
      <c r="N1356" s="11" t="n"/>
      <c r="O1356" s="11" t="n"/>
      <c r="P1356" s="11" t="n"/>
      <c r="Q1356" s="11" t="n"/>
      <c r="R1356" s="11" t="n"/>
      <c r="S1356" s="11" t="n"/>
      <c r="T1356" s="12" t="n"/>
    </row>
    <row r="1357">
      <c r="A1357" s="11" t="n"/>
      <c r="B1357" s="11" t="n"/>
      <c r="C1357" s="11" t="n"/>
      <c r="D1357" s="11" t="n"/>
      <c r="E1357" s="11" t="n"/>
      <c r="F1357" s="11" t="n"/>
      <c r="G1357" s="11" t="n"/>
      <c r="H1357" s="11" t="n"/>
      <c r="I1357" s="11" t="n"/>
      <c r="J1357" s="11" t="n"/>
      <c r="K1357" s="11" t="n"/>
      <c r="L1357" s="11" t="n"/>
      <c r="M1357" s="11" t="n"/>
      <c r="N1357" s="11" t="n"/>
      <c r="O1357" s="11" t="n"/>
      <c r="P1357" s="11" t="n"/>
      <c r="Q1357" s="11" t="n"/>
      <c r="R1357" s="11" t="n"/>
      <c r="S1357" s="11" t="n"/>
      <c r="T1357" s="12" t="n"/>
    </row>
    <row r="1358">
      <c r="A1358" s="11" t="n"/>
      <c r="B1358" s="11" t="n"/>
      <c r="C1358" s="11" t="n"/>
      <c r="D1358" s="11" t="n"/>
      <c r="E1358" s="11" t="n"/>
      <c r="F1358" s="11" t="n"/>
      <c r="G1358" s="11" t="n"/>
      <c r="H1358" s="11" t="n"/>
      <c r="I1358" s="11" t="n"/>
      <c r="J1358" s="11" t="n"/>
      <c r="K1358" s="11" t="n"/>
      <c r="L1358" s="11" t="n"/>
      <c r="M1358" s="11" t="n"/>
      <c r="N1358" s="11" t="n"/>
      <c r="O1358" s="11" t="n"/>
      <c r="P1358" s="11" t="n"/>
      <c r="Q1358" s="11" t="n"/>
      <c r="R1358" s="11" t="n"/>
      <c r="S1358" s="11" t="n"/>
      <c r="T1358" s="12" t="n"/>
    </row>
    <row r="1359">
      <c r="A1359" s="11" t="n"/>
      <c r="B1359" s="11" t="n"/>
      <c r="C1359" s="11" t="n"/>
      <c r="D1359" s="11" t="n"/>
      <c r="E1359" s="11" t="n"/>
      <c r="F1359" s="11" t="n"/>
      <c r="G1359" s="11" t="n"/>
      <c r="H1359" s="11" t="n"/>
      <c r="I1359" s="11" t="n"/>
      <c r="J1359" s="11" t="n"/>
      <c r="K1359" s="11" t="n"/>
      <c r="L1359" s="11" t="n"/>
      <c r="M1359" s="11" t="n"/>
      <c r="N1359" s="11" t="n"/>
      <c r="O1359" s="11" t="n"/>
      <c r="P1359" s="11" t="n"/>
      <c r="Q1359" s="11" t="n"/>
      <c r="R1359" s="11" t="n"/>
      <c r="S1359" s="11" t="n"/>
      <c r="T1359" s="12" t="n"/>
    </row>
    <row r="1360">
      <c r="A1360" s="11" t="n"/>
      <c r="B1360" s="11" t="n"/>
      <c r="C1360" s="11" t="n"/>
      <c r="D1360" s="11" t="n"/>
      <c r="E1360" s="11" t="n"/>
      <c r="F1360" s="11" t="n"/>
      <c r="G1360" s="11" t="n"/>
      <c r="H1360" s="11" t="n"/>
      <c r="I1360" s="11" t="n"/>
      <c r="J1360" s="11" t="n"/>
      <c r="K1360" s="11" t="n"/>
      <c r="L1360" s="11" t="n"/>
      <c r="M1360" s="11" t="n"/>
      <c r="N1360" s="11" t="n"/>
      <c r="O1360" s="11" t="n"/>
      <c r="P1360" s="11" t="n"/>
      <c r="Q1360" s="11" t="n"/>
      <c r="R1360" s="11" t="n"/>
      <c r="S1360" s="11" t="n"/>
      <c r="T1360" s="12" t="n"/>
    </row>
    <row r="1361">
      <c r="A1361" s="11" t="n"/>
      <c r="B1361" s="11" t="n"/>
      <c r="C1361" s="11" t="n"/>
      <c r="D1361" s="11" t="n"/>
      <c r="E1361" s="11" t="n"/>
      <c r="F1361" s="11" t="n"/>
      <c r="G1361" s="11" t="n"/>
      <c r="H1361" s="11" t="n"/>
      <c r="I1361" s="11" t="n"/>
      <c r="J1361" s="11" t="n"/>
      <c r="K1361" s="11" t="n"/>
      <c r="L1361" s="11" t="n"/>
      <c r="M1361" s="11" t="n"/>
      <c r="N1361" s="11" t="n"/>
      <c r="O1361" s="11" t="n"/>
      <c r="P1361" s="11" t="n"/>
      <c r="Q1361" s="11" t="n"/>
      <c r="R1361" s="11" t="n"/>
      <c r="S1361" s="11" t="n"/>
      <c r="T1361" s="12" t="n"/>
    </row>
    <row r="1362">
      <c r="A1362" s="11" t="n"/>
      <c r="B1362" s="11" t="n"/>
      <c r="C1362" s="11" t="n"/>
      <c r="D1362" s="11" t="n"/>
      <c r="E1362" s="11" t="n"/>
      <c r="F1362" s="11" t="n"/>
      <c r="G1362" s="11" t="n"/>
      <c r="H1362" s="11" t="n"/>
      <c r="I1362" s="11" t="n"/>
      <c r="J1362" s="11" t="n"/>
      <c r="K1362" s="11" t="n"/>
      <c r="L1362" s="11" t="n"/>
      <c r="M1362" s="11" t="n"/>
      <c r="N1362" s="11" t="n"/>
      <c r="O1362" s="11" t="n"/>
      <c r="P1362" s="11" t="n"/>
      <c r="Q1362" s="11" t="n"/>
      <c r="R1362" s="11" t="n"/>
      <c r="S1362" s="11" t="n"/>
      <c r="T1362" s="12" t="n"/>
    </row>
    <row r="1363">
      <c r="A1363" s="11" t="n"/>
      <c r="B1363" s="11" t="n"/>
      <c r="C1363" s="11" t="n"/>
      <c r="D1363" s="11" t="n"/>
      <c r="E1363" s="11" t="n"/>
      <c r="F1363" s="11" t="n"/>
      <c r="G1363" s="11" t="n"/>
      <c r="H1363" s="11" t="n"/>
      <c r="I1363" s="11" t="n"/>
      <c r="J1363" s="11" t="n"/>
      <c r="K1363" s="11" t="n"/>
      <c r="L1363" s="11" t="n"/>
      <c r="M1363" s="11" t="n"/>
      <c r="N1363" s="11" t="n"/>
      <c r="O1363" s="11" t="n"/>
      <c r="P1363" s="11" t="n"/>
      <c r="Q1363" s="11" t="n"/>
      <c r="R1363" s="11" t="n"/>
      <c r="S1363" s="11" t="n"/>
      <c r="T1363" s="12" t="n"/>
    </row>
    <row r="1364">
      <c r="A1364" s="11" t="n"/>
      <c r="B1364" s="11" t="n"/>
      <c r="C1364" s="11" t="n"/>
      <c r="D1364" s="11" t="n"/>
      <c r="E1364" s="11" t="n"/>
      <c r="F1364" s="11" t="n"/>
      <c r="G1364" s="11" t="n"/>
      <c r="H1364" s="11" t="n"/>
      <c r="I1364" s="11" t="n"/>
      <c r="J1364" s="11" t="n"/>
      <c r="K1364" s="11" t="n"/>
      <c r="L1364" s="11" t="n"/>
      <c r="M1364" s="11" t="n"/>
      <c r="N1364" s="11" t="n"/>
      <c r="O1364" s="11" t="n"/>
      <c r="P1364" s="11" t="n"/>
      <c r="Q1364" s="11" t="n"/>
      <c r="R1364" s="11" t="n"/>
      <c r="S1364" s="11" t="n"/>
      <c r="T1364" s="12" t="n"/>
    </row>
    <row r="1365">
      <c r="A1365" s="11" t="n"/>
      <c r="B1365" s="11" t="n"/>
      <c r="C1365" s="11" t="n"/>
      <c r="D1365" s="11" t="n"/>
      <c r="E1365" s="11" t="n"/>
      <c r="F1365" s="11" t="n"/>
      <c r="G1365" s="11" t="n"/>
      <c r="H1365" s="11" t="n"/>
      <c r="I1365" s="11" t="n"/>
      <c r="J1365" s="11" t="n"/>
      <c r="K1365" s="11" t="n"/>
      <c r="L1365" s="11" t="n"/>
      <c r="M1365" s="11" t="n"/>
      <c r="N1365" s="11" t="n"/>
      <c r="O1365" s="11" t="n"/>
      <c r="P1365" s="11" t="n"/>
      <c r="Q1365" s="11" t="n"/>
      <c r="R1365" s="11" t="n"/>
      <c r="S1365" s="11" t="n"/>
      <c r="T1365" s="12" t="n"/>
    </row>
    <row r="1366">
      <c r="A1366" s="11" t="n"/>
      <c r="B1366" s="11" t="n"/>
      <c r="C1366" s="11" t="n"/>
      <c r="D1366" s="11" t="n"/>
      <c r="E1366" s="11" t="n"/>
      <c r="F1366" s="11" t="n"/>
      <c r="G1366" s="11" t="n"/>
      <c r="H1366" s="11" t="n"/>
      <c r="I1366" s="11" t="n"/>
      <c r="J1366" s="11" t="n"/>
      <c r="K1366" s="11" t="n"/>
      <c r="L1366" s="11" t="n"/>
      <c r="M1366" s="11" t="n"/>
      <c r="N1366" s="11" t="n"/>
      <c r="O1366" s="11" t="n"/>
      <c r="P1366" s="11" t="n"/>
      <c r="Q1366" s="11" t="n"/>
      <c r="R1366" s="11" t="n"/>
      <c r="S1366" s="11" t="n"/>
      <c r="T1366" s="12" t="n"/>
    </row>
    <row r="1367">
      <c r="A1367" s="11" t="n"/>
      <c r="B1367" s="11" t="n"/>
      <c r="C1367" s="11" t="n"/>
      <c r="D1367" s="11" t="n"/>
      <c r="E1367" s="11" t="n"/>
      <c r="F1367" s="11" t="n"/>
      <c r="G1367" s="11" t="n"/>
      <c r="H1367" s="11" t="n"/>
      <c r="I1367" s="11" t="n"/>
      <c r="J1367" s="11" t="n"/>
      <c r="K1367" s="11" t="n"/>
      <c r="L1367" s="11" t="n"/>
      <c r="M1367" s="11" t="n"/>
      <c r="N1367" s="11" t="n"/>
      <c r="O1367" s="11" t="n"/>
      <c r="P1367" s="11" t="n"/>
      <c r="Q1367" s="11" t="n"/>
      <c r="R1367" s="11" t="n"/>
      <c r="S1367" s="11" t="n"/>
      <c r="T1367" s="12" t="n"/>
    </row>
    <row r="1368">
      <c r="A1368" s="11" t="n"/>
      <c r="B1368" s="11" t="n"/>
      <c r="C1368" s="11" t="n"/>
      <c r="D1368" s="11" t="n"/>
      <c r="E1368" s="11" t="n"/>
      <c r="F1368" s="11" t="n"/>
      <c r="G1368" s="11" t="n"/>
      <c r="H1368" s="11" t="n"/>
      <c r="I1368" s="11" t="n"/>
      <c r="J1368" s="11" t="n"/>
      <c r="K1368" s="11" t="n"/>
      <c r="L1368" s="11" t="n"/>
      <c r="M1368" s="11" t="n"/>
      <c r="N1368" s="11" t="n"/>
      <c r="O1368" s="11" t="n"/>
      <c r="P1368" s="11" t="n"/>
      <c r="Q1368" s="11" t="n"/>
      <c r="R1368" s="11" t="n"/>
      <c r="S1368" s="11" t="n"/>
      <c r="T1368" s="12" t="n"/>
    </row>
    <row r="1369">
      <c r="A1369" s="11" t="n"/>
      <c r="B1369" s="11" t="n"/>
      <c r="C1369" s="11" t="n"/>
      <c r="D1369" s="11" t="n"/>
      <c r="E1369" s="11" t="n"/>
      <c r="F1369" s="11" t="n"/>
      <c r="G1369" s="11" t="n"/>
      <c r="H1369" s="11" t="n"/>
      <c r="I1369" s="11" t="n"/>
      <c r="J1369" s="11" t="n"/>
      <c r="K1369" s="11" t="n"/>
      <c r="L1369" s="11" t="n"/>
      <c r="M1369" s="11" t="n"/>
      <c r="N1369" s="11" t="n"/>
      <c r="O1369" s="11" t="n"/>
      <c r="P1369" s="11" t="n"/>
      <c r="Q1369" s="11" t="n"/>
      <c r="R1369" s="11" t="n"/>
      <c r="S1369" s="11" t="n"/>
      <c r="T1369" s="12" t="n"/>
    </row>
    <row r="1370">
      <c r="A1370" s="11" t="n"/>
      <c r="B1370" s="11" t="n"/>
      <c r="C1370" s="11" t="n"/>
      <c r="D1370" s="11" t="n"/>
      <c r="E1370" s="11" t="n"/>
      <c r="F1370" s="11" t="n"/>
      <c r="G1370" s="11" t="n"/>
      <c r="H1370" s="11" t="n"/>
      <c r="I1370" s="11" t="n"/>
      <c r="J1370" s="11" t="n"/>
      <c r="K1370" s="11" t="n"/>
      <c r="L1370" s="11" t="n"/>
      <c r="M1370" s="11" t="n"/>
      <c r="N1370" s="11" t="n"/>
      <c r="O1370" s="11" t="n"/>
      <c r="P1370" s="11" t="n"/>
      <c r="Q1370" s="11" t="n"/>
      <c r="R1370" s="11" t="n"/>
      <c r="S1370" s="11" t="n"/>
      <c r="T1370" s="12" t="n"/>
    </row>
    <row r="1371">
      <c r="A1371" s="11" t="n"/>
      <c r="B1371" s="11" t="n"/>
      <c r="C1371" s="11" t="n"/>
      <c r="D1371" s="11" t="n"/>
      <c r="E1371" s="11" t="n"/>
      <c r="F1371" s="11" t="n"/>
      <c r="G1371" s="11" t="n"/>
      <c r="H1371" s="11" t="n"/>
      <c r="I1371" s="11" t="n"/>
      <c r="J1371" s="11" t="n"/>
      <c r="K1371" s="11" t="n"/>
      <c r="L1371" s="11" t="n"/>
      <c r="M1371" s="11" t="n"/>
      <c r="N1371" s="11" t="n"/>
      <c r="O1371" s="11" t="n"/>
      <c r="P1371" s="11" t="n"/>
      <c r="Q1371" s="11" t="n"/>
      <c r="R1371" s="11" t="n"/>
      <c r="S1371" s="11" t="n"/>
      <c r="T1371" s="12" t="n"/>
    </row>
    <row r="1372">
      <c r="A1372" s="11" t="n"/>
      <c r="B1372" s="11" t="n"/>
      <c r="C1372" s="11" t="n"/>
      <c r="D1372" s="11" t="n"/>
      <c r="E1372" s="11" t="n"/>
      <c r="F1372" s="11" t="n"/>
      <c r="G1372" s="11" t="n"/>
      <c r="H1372" s="11" t="n"/>
      <c r="I1372" s="11" t="n"/>
      <c r="J1372" s="11" t="n"/>
      <c r="K1372" s="11" t="n"/>
      <c r="L1372" s="11" t="n"/>
      <c r="M1372" s="11" t="n"/>
      <c r="N1372" s="11" t="n"/>
      <c r="O1372" s="11" t="n"/>
      <c r="P1372" s="11" t="n"/>
      <c r="Q1372" s="11" t="n"/>
      <c r="R1372" s="11" t="n"/>
      <c r="S1372" s="11" t="n"/>
      <c r="T1372" s="12" t="n"/>
    </row>
    <row r="1373">
      <c r="A1373" s="11" t="n"/>
      <c r="B1373" s="11" t="n"/>
      <c r="C1373" s="11" t="n"/>
      <c r="D1373" s="11" t="n"/>
      <c r="E1373" s="11" t="n"/>
      <c r="F1373" s="11" t="n"/>
      <c r="G1373" s="11" t="n"/>
      <c r="H1373" s="11" t="n"/>
      <c r="I1373" s="11" t="n"/>
      <c r="J1373" s="11" t="n"/>
      <c r="K1373" s="11" t="n"/>
      <c r="L1373" s="11" t="n"/>
      <c r="M1373" s="11" t="n"/>
      <c r="N1373" s="11" t="n"/>
      <c r="O1373" s="11" t="n"/>
      <c r="P1373" s="11" t="n"/>
      <c r="Q1373" s="11" t="n"/>
      <c r="R1373" s="11" t="n"/>
      <c r="S1373" s="11" t="n"/>
      <c r="T1373" s="12" t="n"/>
    </row>
    <row r="1374">
      <c r="A1374" s="11" t="n"/>
      <c r="B1374" s="11" t="n"/>
      <c r="C1374" s="11" t="n"/>
      <c r="D1374" s="11" t="n"/>
      <c r="E1374" s="11" t="n"/>
      <c r="F1374" s="11" t="n"/>
      <c r="G1374" s="11" t="n"/>
      <c r="H1374" s="11" t="n"/>
      <c r="I1374" s="11" t="n"/>
      <c r="J1374" s="11" t="n"/>
      <c r="K1374" s="11" t="n"/>
      <c r="L1374" s="11" t="n"/>
      <c r="M1374" s="11" t="n"/>
      <c r="N1374" s="11" t="n"/>
      <c r="O1374" s="11" t="n"/>
      <c r="P1374" s="11" t="n"/>
      <c r="Q1374" s="11" t="n"/>
      <c r="R1374" s="11" t="n"/>
      <c r="S1374" s="11" t="n"/>
      <c r="T1374" s="12" t="n"/>
    </row>
    <row r="1375">
      <c r="A1375" s="11" t="n"/>
      <c r="B1375" s="11" t="n"/>
      <c r="C1375" s="11" t="n"/>
      <c r="D1375" s="11" t="n"/>
      <c r="E1375" s="11" t="n"/>
      <c r="F1375" s="11" t="n"/>
      <c r="G1375" s="11" t="n"/>
      <c r="H1375" s="11" t="n"/>
      <c r="I1375" s="11" t="n"/>
      <c r="J1375" s="11" t="n"/>
      <c r="K1375" s="11" t="n"/>
      <c r="L1375" s="11" t="n"/>
      <c r="M1375" s="11" t="n"/>
      <c r="N1375" s="11" t="n"/>
      <c r="O1375" s="11" t="n"/>
      <c r="P1375" s="11" t="n"/>
      <c r="Q1375" s="11" t="n"/>
      <c r="R1375" s="11" t="n"/>
      <c r="S1375" s="11" t="n"/>
      <c r="T1375" s="12" t="n"/>
    </row>
    <row r="1376">
      <c r="A1376" s="11" t="n"/>
      <c r="B1376" s="11" t="n"/>
      <c r="C1376" s="11" t="n"/>
      <c r="D1376" s="11" t="n"/>
      <c r="E1376" s="11" t="n"/>
      <c r="F1376" s="11" t="n"/>
      <c r="G1376" s="11" t="n"/>
      <c r="H1376" s="11" t="n"/>
      <c r="I1376" s="11" t="n"/>
      <c r="J1376" s="11" t="n"/>
      <c r="K1376" s="11" t="n"/>
      <c r="L1376" s="11" t="n"/>
      <c r="M1376" s="11" t="n"/>
      <c r="N1376" s="11" t="n"/>
      <c r="O1376" s="11" t="n"/>
      <c r="P1376" s="11" t="n"/>
      <c r="Q1376" s="11" t="n"/>
      <c r="R1376" s="11" t="n"/>
      <c r="S1376" s="11" t="n"/>
      <c r="T1376" s="12" t="n"/>
    </row>
    <row r="1377">
      <c r="A1377" s="11" t="n"/>
      <c r="B1377" s="11" t="n"/>
      <c r="C1377" s="11" t="n"/>
      <c r="D1377" s="11" t="n"/>
      <c r="E1377" s="11" t="n"/>
      <c r="F1377" s="11" t="n"/>
      <c r="G1377" s="11" t="n"/>
      <c r="H1377" s="11" t="n"/>
      <c r="I1377" s="11" t="n"/>
      <c r="J1377" s="11" t="n"/>
      <c r="K1377" s="11" t="n"/>
      <c r="L1377" s="11" t="n"/>
      <c r="M1377" s="11" t="n"/>
      <c r="N1377" s="11" t="n"/>
      <c r="O1377" s="11" t="n"/>
      <c r="P1377" s="11" t="n"/>
      <c r="Q1377" s="11" t="n"/>
      <c r="R1377" s="11" t="n"/>
      <c r="S1377" s="11" t="n"/>
      <c r="T1377" s="12" t="n"/>
    </row>
    <row r="1378">
      <c r="A1378" s="11" t="n"/>
      <c r="B1378" s="11" t="n"/>
      <c r="C1378" s="11" t="n"/>
      <c r="D1378" s="11" t="n"/>
      <c r="E1378" s="11" t="n"/>
      <c r="F1378" s="11" t="n"/>
      <c r="G1378" s="11" t="n"/>
      <c r="H1378" s="11" t="n"/>
      <c r="I1378" s="11" t="n"/>
      <c r="J1378" s="11" t="n"/>
      <c r="K1378" s="11" t="n"/>
      <c r="L1378" s="11" t="n"/>
      <c r="M1378" s="11" t="n"/>
      <c r="N1378" s="11" t="n"/>
      <c r="O1378" s="11" t="n"/>
      <c r="P1378" s="11" t="n"/>
      <c r="Q1378" s="11" t="n"/>
      <c r="R1378" s="11" t="n"/>
      <c r="S1378" s="11" t="n"/>
      <c r="T1378" s="12" t="n"/>
    </row>
    <row r="1379">
      <c r="A1379" s="11" t="n"/>
      <c r="B1379" s="11" t="n"/>
      <c r="C1379" s="11" t="n"/>
      <c r="D1379" s="11" t="n"/>
      <c r="E1379" s="11" t="n"/>
      <c r="F1379" s="11" t="n"/>
      <c r="G1379" s="11" t="n"/>
      <c r="H1379" s="11" t="n"/>
      <c r="I1379" s="11" t="n"/>
      <c r="J1379" s="11" t="n"/>
      <c r="K1379" s="11" t="n"/>
      <c r="L1379" s="11" t="n"/>
      <c r="M1379" s="11" t="n"/>
      <c r="N1379" s="11" t="n"/>
      <c r="O1379" s="11" t="n"/>
      <c r="P1379" s="11" t="n"/>
      <c r="Q1379" s="11" t="n"/>
      <c r="R1379" s="11" t="n"/>
      <c r="S1379" s="11" t="n"/>
      <c r="T1379" s="12" t="n"/>
    </row>
    <row r="1380">
      <c r="A1380" s="11" t="n"/>
      <c r="B1380" s="11" t="n"/>
      <c r="C1380" s="11" t="n"/>
      <c r="D1380" s="11" t="n"/>
      <c r="E1380" s="11" t="n"/>
      <c r="F1380" s="11" t="n"/>
      <c r="G1380" s="11" t="n"/>
      <c r="H1380" s="11" t="n"/>
      <c r="I1380" s="11" t="n"/>
      <c r="J1380" s="11" t="n"/>
      <c r="K1380" s="11" t="n"/>
      <c r="L1380" s="11" t="n"/>
      <c r="M1380" s="11" t="n"/>
      <c r="N1380" s="11" t="n"/>
      <c r="O1380" s="11" t="n"/>
      <c r="P1380" s="11" t="n"/>
      <c r="Q1380" s="11" t="n"/>
      <c r="R1380" s="11" t="n"/>
      <c r="S1380" s="11" t="n"/>
      <c r="T1380" s="12" t="n"/>
    </row>
    <row r="1381">
      <c r="A1381" s="11" t="n"/>
      <c r="B1381" s="11" t="n"/>
      <c r="C1381" s="11" t="n"/>
      <c r="D1381" s="11" t="n"/>
      <c r="E1381" s="11" t="n"/>
      <c r="F1381" s="11" t="n"/>
      <c r="G1381" s="11" t="n"/>
      <c r="H1381" s="11" t="n"/>
      <c r="I1381" s="11" t="n"/>
      <c r="J1381" s="11" t="n"/>
      <c r="K1381" s="11" t="n"/>
      <c r="L1381" s="11" t="n"/>
      <c r="M1381" s="11" t="n"/>
      <c r="N1381" s="11" t="n"/>
      <c r="O1381" s="11" t="n"/>
      <c r="P1381" s="11" t="n"/>
      <c r="Q1381" s="11" t="n"/>
      <c r="R1381" s="11" t="n"/>
      <c r="S1381" s="11" t="n"/>
      <c r="T1381" s="12" t="n"/>
    </row>
    <row r="1382">
      <c r="A1382" s="11" t="n"/>
      <c r="B1382" s="11" t="n"/>
      <c r="C1382" s="11" t="n"/>
      <c r="D1382" s="11" t="n"/>
      <c r="E1382" s="11" t="n"/>
      <c r="F1382" s="11" t="n"/>
      <c r="G1382" s="11" t="n"/>
      <c r="H1382" s="11" t="n"/>
      <c r="I1382" s="11" t="n"/>
      <c r="J1382" s="11" t="n"/>
      <c r="K1382" s="11" t="n"/>
      <c r="L1382" s="11" t="n"/>
      <c r="M1382" s="11" t="n"/>
      <c r="N1382" s="11" t="n"/>
      <c r="O1382" s="11" t="n"/>
      <c r="P1382" s="11" t="n"/>
      <c r="Q1382" s="11" t="n"/>
      <c r="R1382" s="11" t="n"/>
      <c r="S1382" s="11" t="n"/>
      <c r="T1382" s="12" t="n"/>
    </row>
    <row r="1383">
      <c r="A1383" s="11" t="n"/>
      <c r="B1383" s="11" t="n"/>
      <c r="C1383" s="11" t="n"/>
      <c r="D1383" s="11" t="n"/>
      <c r="E1383" s="11" t="n"/>
      <c r="F1383" s="11" t="n"/>
      <c r="G1383" s="11" t="n"/>
      <c r="H1383" s="11" t="n"/>
      <c r="I1383" s="11" t="n"/>
      <c r="J1383" s="11" t="n"/>
      <c r="K1383" s="11" t="n"/>
      <c r="L1383" s="11" t="n"/>
      <c r="M1383" s="11" t="n"/>
      <c r="N1383" s="11" t="n"/>
      <c r="O1383" s="11" t="n"/>
      <c r="P1383" s="11" t="n"/>
      <c r="Q1383" s="11" t="n"/>
      <c r="R1383" s="11" t="n"/>
      <c r="S1383" s="11" t="n"/>
      <c r="T1383" s="12" t="n"/>
    </row>
    <row r="1384">
      <c r="A1384" s="11" t="n"/>
      <c r="B1384" s="11" t="n"/>
      <c r="C1384" s="11" t="n"/>
      <c r="D1384" s="11" t="n"/>
      <c r="E1384" s="11" t="n"/>
      <c r="F1384" s="11" t="n"/>
      <c r="G1384" s="11" t="n"/>
      <c r="H1384" s="11" t="n"/>
      <c r="I1384" s="11" t="n"/>
      <c r="J1384" s="11" t="n"/>
      <c r="K1384" s="11" t="n"/>
      <c r="L1384" s="11" t="n"/>
      <c r="M1384" s="11" t="n"/>
      <c r="N1384" s="11" t="n"/>
      <c r="O1384" s="11" t="n"/>
      <c r="P1384" s="11" t="n"/>
      <c r="Q1384" s="11" t="n"/>
      <c r="R1384" s="11" t="n"/>
      <c r="S1384" s="11" t="n"/>
      <c r="T1384" s="12" t="n"/>
    </row>
    <row r="1385">
      <c r="A1385" s="11" t="n"/>
      <c r="B1385" s="11" t="n"/>
      <c r="C1385" s="11" t="n"/>
      <c r="D1385" s="11" t="n"/>
      <c r="E1385" s="11" t="n"/>
      <c r="F1385" s="11" t="n"/>
      <c r="G1385" s="11" t="n"/>
      <c r="H1385" s="11" t="n"/>
      <c r="I1385" s="11" t="n"/>
      <c r="J1385" s="11" t="n"/>
      <c r="K1385" s="11" t="n"/>
      <c r="L1385" s="11" t="n"/>
      <c r="M1385" s="11" t="n"/>
      <c r="N1385" s="11" t="n"/>
      <c r="O1385" s="11" t="n"/>
      <c r="P1385" s="11" t="n"/>
      <c r="Q1385" s="11" t="n"/>
      <c r="R1385" s="11" t="n"/>
      <c r="S1385" s="11" t="n"/>
      <c r="T1385" s="12" t="n"/>
    </row>
    <row r="1386">
      <c r="A1386" s="11" t="n"/>
      <c r="B1386" s="11" t="n"/>
      <c r="C1386" s="11" t="n"/>
      <c r="D1386" s="11" t="n"/>
      <c r="E1386" s="11" t="n"/>
      <c r="F1386" s="11" t="n"/>
      <c r="G1386" s="11" t="n"/>
      <c r="H1386" s="11" t="n"/>
      <c r="I1386" s="11" t="n"/>
      <c r="J1386" s="11" t="n"/>
      <c r="K1386" s="11" t="n"/>
      <c r="L1386" s="11" t="n"/>
      <c r="M1386" s="11" t="n"/>
      <c r="N1386" s="11" t="n"/>
      <c r="O1386" s="11" t="n"/>
      <c r="P1386" s="11" t="n"/>
      <c r="Q1386" s="11" t="n"/>
      <c r="R1386" s="11" t="n"/>
      <c r="S1386" s="11" t="n"/>
      <c r="T1386" s="12" t="n"/>
    </row>
    <row r="1387">
      <c r="A1387" s="11" t="n"/>
      <c r="B1387" s="11" t="n"/>
      <c r="C1387" s="11" t="n"/>
      <c r="D1387" s="11" t="n"/>
      <c r="E1387" s="11" t="n"/>
      <c r="F1387" s="11" t="n"/>
      <c r="G1387" s="11" t="n"/>
      <c r="H1387" s="11" t="n"/>
      <c r="I1387" s="11" t="n"/>
      <c r="J1387" s="11" t="n"/>
      <c r="K1387" s="11" t="n"/>
      <c r="L1387" s="11" t="n"/>
      <c r="M1387" s="11" t="n"/>
      <c r="N1387" s="11" t="n"/>
      <c r="O1387" s="11" t="n"/>
      <c r="P1387" s="11" t="n"/>
      <c r="Q1387" s="11" t="n"/>
      <c r="R1387" s="11" t="n"/>
      <c r="S1387" s="11" t="n"/>
      <c r="T1387" s="12" t="n"/>
    </row>
    <row r="1388">
      <c r="A1388" s="11" t="n"/>
      <c r="B1388" s="11" t="n"/>
      <c r="C1388" s="11" t="n"/>
      <c r="D1388" s="11" t="n"/>
      <c r="E1388" s="11" t="n"/>
      <c r="F1388" s="11" t="n"/>
      <c r="G1388" s="11" t="n"/>
      <c r="H1388" s="11" t="n"/>
      <c r="I1388" s="11" t="n"/>
      <c r="J1388" s="11" t="n"/>
      <c r="K1388" s="11" t="n"/>
      <c r="L1388" s="11" t="n"/>
      <c r="M1388" s="11" t="n"/>
      <c r="N1388" s="11" t="n"/>
      <c r="O1388" s="11" t="n"/>
      <c r="P1388" s="11" t="n"/>
      <c r="Q1388" s="11" t="n"/>
      <c r="R1388" s="11" t="n"/>
      <c r="S1388" s="11" t="n"/>
      <c r="T1388" s="12" t="n"/>
    </row>
    <row r="1389">
      <c r="A1389" s="11" t="n"/>
      <c r="B1389" s="11" t="n"/>
      <c r="C1389" s="11" t="n"/>
      <c r="D1389" s="11" t="n"/>
      <c r="E1389" s="11" t="n"/>
      <c r="F1389" s="11" t="n"/>
      <c r="G1389" s="11" t="n"/>
      <c r="H1389" s="11" t="n"/>
      <c r="I1389" s="11" t="n"/>
      <c r="J1389" s="11" t="n"/>
      <c r="K1389" s="11" t="n"/>
      <c r="L1389" s="11" t="n"/>
      <c r="M1389" s="11" t="n"/>
      <c r="N1389" s="11" t="n"/>
      <c r="O1389" s="11" t="n"/>
      <c r="P1389" s="11" t="n"/>
      <c r="Q1389" s="11" t="n"/>
      <c r="R1389" s="11" t="n"/>
      <c r="S1389" s="11" t="n"/>
      <c r="T1389" s="12" t="n"/>
    </row>
    <row r="1390">
      <c r="A1390" s="11" t="n"/>
      <c r="B1390" s="11" t="n"/>
      <c r="C1390" s="11" t="n"/>
      <c r="D1390" s="11" t="n"/>
      <c r="E1390" s="11" t="n"/>
      <c r="F1390" s="11" t="n"/>
      <c r="G1390" s="11" t="n"/>
      <c r="H1390" s="11" t="n"/>
      <c r="I1390" s="11" t="n"/>
      <c r="J1390" s="11" t="n"/>
      <c r="K1390" s="11" t="n"/>
      <c r="L1390" s="11" t="n"/>
      <c r="M1390" s="11" t="n"/>
      <c r="N1390" s="11" t="n"/>
      <c r="O1390" s="11" t="n"/>
      <c r="P1390" s="11" t="n"/>
      <c r="Q1390" s="11" t="n"/>
      <c r="R1390" s="11" t="n"/>
      <c r="S1390" s="11" t="n"/>
      <c r="T1390" s="12" t="n"/>
    </row>
    <row r="1391">
      <c r="A1391" s="11" t="n"/>
      <c r="B1391" s="11" t="n"/>
      <c r="C1391" s="11" t="n"/>
      <c r="D1391" s="11" t="n"/>
      <c r="E1391" s="11" t="n"/>
      <c r="F1391" s="11" t="n"/>
      <c r="G1391" s="11" t="n"/>
      <c r="H1391" s="11" t="n"/>
      <c r="I1391" s="11" t="n"/>
      <c r="J1391" s="11" t="n"/>
      <c r="K1391" s="11" t="n"/>
      <c r="L1391" s="11" t="n"/>
      <c r="M1391" s="11" t="n"/>
      <c r="N1391" s="11" t="n"/>
      <c r="O1391" s="11" t="n"/>
      <c r="P1391" s="11" t="n"/>
      <c r="Q1391" s="11" t="n"/>
      <c r="R1391" s="11" t="n"/>
      <c r="S1391" s="11" t="n"/>
      <c r="T1391" s="12" t="n"/>
    </row>
    <row r="1392">
      <c r="A1392" s="11" t="n"/>
      <c r="B1392" s="11" t="n"/>
      <c r="C1392" s="11" t="n"/>
      <c r="D1392" s="11" t="n"/>
      <c r="E1392" s="11" t="n"/>
      <c r="F1392" s="11" t="n"/>
      <c r="G1392" s="11" t="n"/>
      <c r="H1392" s="11" t="n"/>
      <c r="I1392" s="11" t="n"/>
      <c r="J1392" s="11" t="n"/>
      <c r="K1392" s="11" t="n"/>
      <c r="L1392" s="11" t="n"/>
      <c r="M1392" s="11" t="n"/>
      <c r="N1392" s="11" t="n"/>
      <c r="O1392" s="11" t="n"/>
      <c r="P1392" s="11" t="n"/>
      <c r="Q1392" s="11" t="n"/>
      <c r="R1392" s="11" t="n"/>
      <c r="S1392" s="11" t="n"/>
      <c r="T1392" s="12" t="n"/>
    </row>
    <row r="1393">
      <c r="A1393" s="11" t="n"/>
      <c r="B1393" s="11" t="n"/>
      <c r="C1393" s="11" t="n"/>
      <c r="D1393" s="11" t="n"/>
      <c r="E1393" s="11" t="n"/>
      <c r="F1393" s="11" t="n"/>
      <c r="G1393" s="11" t="n"/>
      <c r="H1393" s="11" t="n"/>
      <c r="I1393" s="11" t="n"/>
      <c r="J1393" s="11" t="n"/>
      <c r="K1393" s="11" t="n"/>
      <c r="L1393" s="11" t="n"/>
      <c r="M1393" s="11" t="n"/>
      <c r="N1393" s="11" t="n"/>
      <c r="O1393" s="11" t="n"/>
      <c r="P1393" s="11" t="n"/>
      <c r="Q1393" s="11" t="n"/>
      <c r="R1393" s="11" t="n"/>
      <c r="S1393" s="11" t="n"/>
      <c r="T1393" s="12" t="n"/>
    </row>
    <row r="1394">
      <c r="A1394" s="11" t="n"/>
      <c r="B1394" s="11" t="n"/>
      <c r="C1394" s="11" t="n"/>
      <c r="D1394" s="11" t="n"/>
      <c r="E1394" s="11" t="n"/>
      <c r="F1394" s="11" t="n"/>
      <c r="G1394" s="11" t="n"/>
      <c r="H1394" s="11" t="n"/>
      <c r="I1394" s="11" t="n"/>
      <c r="J1394" s="11" t="n"/>
      <c r="K1394" s="11" t="n"/>
      <c r="L1394" s="11" t="n"/>
      <c r="M1394" s="11" t="n"/>
      <c r="N1394" s="11" t="n"/>
      <c r="O1394" s="11" t="n"/>
      <c r="P1394" s="11" t="n"/>
      <c r="Q1394" s="11" t="n"/>
      <c r="R1394" s="11" t="n"/>
      <c r="S1394" s="11" t="n"/>
      <c r="T1394" s="12" t="n"/>
    </row>
    <row r="1395">
      <c r="A1395" s="11" t="n"/>
      <c r="B1395" s="11" t="n"/>
      <c r="C1395" s="11" t="n"/>
      <c r="D1395" s="11" t="n"/>
      <c r="E1395" s="11" t="n"/>
      <c r="F1395" s="11" t="n"/>
      <c r="G1395" s="11" t="n"/>
      <c r="H1395" s="11" t="n"/>
      <c r="I1395" s="11" t="n"/>
      <c r="J1395" s="11" t="n"/>
      <c r="K1395" s="11" t="n"/>
      <c r="L1395" s="11" t="n"/>
      <c r="M1395" s="11" t="n"/>
      <c r="N1395" s="11" t="n"/>
      <c r="O1395" s="11" t="n"/>
      <c r="P1395" s="11" t="n"/>
      <c r="Q1395" s="11" t="n"/>
      <c r="R1395" s="11" t="n"/>
      <c r="S1395" s="11" t="n"/>
      <c r="T1395" s="12" t="n"/>
    </row>
    <row r="1396">
      <c r="A1396" s="11" t="n"/>
      <c r="B1396" s="11" t="n"/>
      <c r="C1396" s="11" t="n"/>
      <c r="D1396" s="11" t="n"/>
      <c r="E1396" s="11" t="n"/>
      <c r="F1396" s="11" t="n"/>
      <c r="G1396" s="11" t="n"/>
      <c r="H1396" s="11" t="n"/>
      <c r="I1396" s="11" t="n"/>
      <c r="J1396" s="11" t="n"/>
      <c r="K1396" s="11" t="n"/>
      <c r="L1396" s="11" t="n"/>
      <c r="M1396" s="11" t="n"/>
      <c r="N1396" s="11" t="n"/>
      <c r="O1396" s="11" t="n"/>
      <c r="P1396" s="11" t="n"/>
      <c r="Q1396" s="11" t="n"/>
      <c r="R1396" s="11" t="n"/>
      <c r="S1396" s="11" t="n"/>
      <c r="T1396" s="12" t="n"/>
    </row>
    <row r="1397">
      <c r="A1397" s="11" t="n"/>
      <c r="B1397" s="11" t="n"/>
      <c r="C1397" s="11" t="n"/>
      <c r="D1397" s="11" t="n"/>
      <c r="E1397" s="11" t="n"/>
      <c r="F1397" s="11" t="n"/>
      <c r="G1397" s="11" t="n"/>
      <c r="H1397" s="11" t="n"/>
      <c r="I1397" s="11" t="n"/>
      <c r="J1397" s="11" t="n"/>
      <c r="K1397" s="11" t="n"/>
      <c r="L1397" s="11" t="n"/>
      <c r="M1397" s="11" t="n"/>
      <c r="N1397" s="11" t="n"/>
      <c r="O1397" s="11" t="n"/>
      <c r="P1397" s="11" t="n"/>
      <c r="Q1397" s="11" t="n"/>
      <c r="R1397" s="11" t="n"/>
      <c r="S1397" s="11" t="n"/>
      <c r="T1397" s="12" t="n"/>
    </row>
    <row r="1398">
      <c r="A1398" s="11" t="n"/>
      <c r="B1398" s="11" t="n"/>
      <c r="C1398" s="11" t="n"/>
      <c r="D1398" s="11" t="n"/>
      <c r="E1398" s="11" t="n"/>
      <c r="F1398" s="11" t="n"/>
      <c r="G1398" s="11" t="n"/>
      <c r="H1398" s="11" t="n"/>
      <c r="I1398" s="11" t="n"/>
      <c r="J1398" s="11" t="n"/>
      <c r="K1398" s="11" t="n"/>
      <c r="L1398" s="11" t="n"/>
      <c r="M1398" s="11" t="n"/>
      <c r="N1398" s="11" t="n"/>
      <c r="O1398" s="11" t="n"/>
      <c r="P1398" s="11" t="n"/>
      <c r="Q1398" s="11" t="n"/>
      <c r="R1398" s="11" t="n"/>
      <c r="S1398" s="11" t="n"/>
      <c r="T1398" s="12" t="n"/>
    </row>
    <row r="1399">
      <c r="A1399" s="11" t="n"/>
      <c r="B1399" s="11" t="n"/>
      <c r="C1399" s="11" t="n"/>
      <c r="D1399" s="11" t="n"/>
      <c r="E1399" s="11" t="n"/>
      <c r="F1399" s="11" t="n"/>
      <c r="G1399" s="11" t="n"/>
      <c r="H1399" s="11" t="n"/>
      <c r="I1399" s="11" t="n"/>
      <c r="J1399" s="11" t="n"/>
      <c r="K1399" s="11" t="n"/>
      <c r="L1399" s="11" t="n"/>
      <c r="M1399" s="11" t="n"/>
      <c r="N1399" s="11" t="n"/>
      <c r="O1399" s="11" t="n"/>
      <c r="P1399" s="11" t="n"/>
      <c r="Q1399" s="11" t="n"/>
      <c r="R1399" s="11" t="n"/>
      <c r="S1399" s="11" t="n"/>
      <c r="T1399" s="12" t="n"/>
    </row>
    <row r="1400">
      <c r="A1400" s="11" t="n"/>
      <c r="B1400" s="11" t="n"/>
      <c r="C1400" s="11" t="n"/>
      <c r="D1400" s="11" t="n"/>
      <c r="E1400" s="11" t="n"/>
      <c r="F1400" s="11" t="n"/>
      <c r="G1400" s="11" t="n"/>
      <c r="H1400" s="11" t="n"/>
      <c r="I1400" s="11" t="n"/>
      <c r="J1400" s="11" t="n"/>
      <c r="K1400" s="11" t="n"/>
      <c r="L1400" s="11" t="n"/>
      <c r="M1400" s="11" t="n"/>
      <c r="N1400" s="11" t="n"/>
      <c r="O1400" s="11" t="n"/>
      <c r="P1400" s="11" t="n"/>
      <c r="Q1400" s="11" t="n"/>
      <c r="R1400" s="11" t="n"/>
      <c r="S1400" s="11" t="n"/>
      <c r="T1400" s="12" t="n"/>
    </row>
    <row r="1401">
      <c r="A1401" s="11" t="n"/>
      <c r="B1401" s="11" t="n"/>
      <c r="C1401" s="11" t="n"/>
      <c r="D1401" s="11" t="n"/>
      <c r="E1401" s="11" t="n"/>
      <c r="F1401" s="11" t="n"/>
      <c r="G1401" s="11" t="n"/>
      <c r="H1401" s="11" t="n"/>
      <c r="I1401" s="11" t="n"/>
      <c r="J1401" s="11" t="n"/>
      <c r="K1401" s="11" t="n"/>
      <c r="L1401" s="11" t="n"/>
      <c r="M1401" s="11" t="n"/>
      <c r="N1401" s="11" t="n"/>
      <c r="O1401" s="11" t="n"/>
      <c r="P1401" s="11" t="n"/>
      <c r="Q1401" s="11" t="n"/>
      <c r="R1401" s="11" t="n"/>
      <c r="S1401" s="11" t="n"/>
      <c r="T1401" s="12" t="n"/>
    </row>
    <row r="1402">
      <c r="A1402" s="11" t="n"/>
      <c r="B1402" s="11" t="n"/>
      <c r="C1402" s="11" t="n"/>
      <c r="D1402" s="11" t="n"/>
      <c r="E1402" s="11" t="n"/>
      <c r="F1402" s="11" t="n"/>
      <c r="G1402" s="11" t="n"/>
      <c r="H1402" s="11" t="n"/>
      <c r="I1402" s="11" t="n"/>
      <c r="J1402" s="11" t="n"/>
      <c r="K1402" s="11" t="n"/>
      <c r="L1402" s="11" t="n"/>
      <c r="M1402" s="11" t="n"/>
      <c r="N1402" s="11" t="n"/>
      <c r="O1402" s="11" t="n"/>
      <c r="P1402" s="11" t="n"/>
      <c r="Q1402" s="11" t="n"/>
      <c r="R1402" s="11" t="n"/>
      <c r="S1402" s="11" t="n"/>
      <c r="T1402" s="12" t="n"/>
    </row>
    <row r="1403">
      <c r="A1403" s="11" t="n"/>
      <c r="B1403" s="11" t="n"/>
      <c r="C1403" s="11" t="n"/>
      <c r="D1403" s="11" t="n"/>
      <c r="E1403" s="11" t="n"/>
      <c r="F1403" s="11" t="n"/>
      <c r="G1403" s="11" t="n"/>
      <c r="H1403" s="11" t="n"/>
      <c r="I1403" s="11" t="n"/>
      <c r="J1403" s="11" t="n"/>
      <c r="K1403" s="11" t="n"/>
      <c r="L1403" s="11" t="n"/>
      <c r="M1403" s="11" t="n"/>
      <c r="N1403" s="11" t="n"/>
      <c r="O1403" s="11" t="n"/>
      <c r="P1403" s="11" t="n"/>
      <c r="Q1403" s="11" t="n"/>
      <c r="R1403" s="11" t="n"/>
      <c r="S1403" s="11" t="n"/>
      <c r="T1403" s="12" t="n"/>
    </row>
    <row r="1404">
      <c r="A1404" s="11" t="n"/>
      <c r="B1404" s="11" t="n"/>
      <c r="C1404" s="11" t="n"/>
      <c r="D1404" s="11" t="n"/>
      <c r="E1404" s="11" t="n"/>
      <c r="F1404" s="11" t="n"/>
      <c r="G1404" s="11" t="n"/>
      <c r="H1404" s="11" t="n"/>
      <c r="I1404" s="11" t="n"/>
      <c r="J1404" s="11" t="n"/>
      <c r="K1404" s="11" t="n"/>
      <c r="L1404" s="11" t="n"/>
      <c r="M1404" s="11" t="n"/>
      <c r="N1404" s="11" t="n"/>
      <c r="O1404" s="11" t="n"/>
      <c r="P1404" s="11" t="n"/>
      <c r="Q1404" s="11" t="n"/>
      <c r="R1404" s="11" t="n"/>
      <c r="S1404" s="11" t="n"/>
      <c r="T1404" s="12" t="n"/>
    </row>
    <row r="1405">
      <c r="A1405" s="11" t="n"/>
      <c r="B1405" s="11" t="n"/>
      <c r="C1405" s="11" t="n"/>
      <c r="D1405" s="11" t="n"/>
      <c r="E1405" s="11" t="n"/>
      <c r="F1405" s="11" t="n"/>
      <c r="G1405" s="11" t="n"/>
      <c r="H1405" s="11" t="n"/>
      <c r="I1405" s="11" t="n"/>
      <c r="J1405" s="11" t="n"/>
      <c r="K1405" s="11" t="n"/>
      <c r="L1405" s="11" t="n"/>
      <c r="M1405" s="11" t="n"/>
      <c r="N1405" s="11" t="n"/>
      <c r="O1405" s="11" t="n"/>
      <c r="P1405" s="11" t="n"/>
      <c r="Q1405" s="11" t="n"/>
      <c r="R1405" s="11" t="n"/>
      <c r="S1405" s="11" t="n"/>
      <c r="T1405" s="12" t="n"/>
    </row>
    <row r="1406">
      <c r="A1406" s="11" t="n"/>
      <c r="B1406" s="11" t="n"/>
      <c r="C1406" s="11" t="n"/>
      <c r="D1406" s="11" t="n"/>
      <c r="E1406" s="11" t="n"/>
      <c r="F1406" s="11" t="n"/>
      <c r="G1406" s="11" t="n"/>
      <c r="H1406" s="11" t="n"/>
      <c r="I1406" s="11" t="n"/>
      <c r="J1406" s="11" t="n"/>
      <c r="K1406" s="11" t="n"/>
      <c r="L1406" s="11" t="n"/>
      <c r="M1406" s="11" t="n"/>
      <c r="N1406" s="11" t="n"/>
      <c r="O1406" s="11" t="n"/>
      <c r="P1406" s="11" t="n"/>
      <c r="Q1406" s="11" t="n"/>
      <c r="R1406" s="11" t="n"/>
      <c r="S1406" s="11" t="n"/>
      <c r="T1406" s="12" t="n"/>
    </row>
    <row r="1407">
      <c r="A1407" s="11" t="n"/>
      <c r="B1407" s="11" t="n"/>
      <c r="C1407" s="11" t="n"/>
      <c r="D1407" s="11" t="n"/>
      <c r="E1407" s="11" t="n"/>
      <c r="F1407" s="11" t="n"/>
      <c r="G1407" s="11" t="n"/>
      <c r="H1407" s="11" t="n"/>
      <c r="I1407" s="11" t="n"/>
      <c r="J1407" s="11" t="n"/>
      <c r="K1407" s="11" t="n"/>
      <c r="L1407" s="11" t="n"/>
      <c r="M1407" s="11" t="n"/>
      <c r="N1407" s="11" t="n"/>
      <c r="O1407" s="11" t="n"/>
      <c r="P1407" s="11" t="n"/>
      <c r="Q1407" s="11" t="n"/>
      <c r="R1407" s="11" t="n"/>
      <c r="S1407" s="11" t="n"/>
      <c r="T1407" s="12" t="n"/>
    </row>
    <row r="1408">
      <c r="A1408" s="11" t="n"/>
      <c r="B1408" s="11" t="n"/>
      <c r="C1408" s="11" t="n"/>
      <c r="D1408" s="11" t="n"/>
      <c r="E1408" s="11" t="n"/>
      <c r="F1408" s="11" t="n"/>
      <c r="G1408" s="11" t="n"/>
      <c r="H1408" s="11" t="n"/>
      <c r="I1408" s="11" t="n"/>
      <c r="J1408" s="11" t="n"/>
      <c r="K1408" s="11" t="n"/>
      <c r="L1408" s="11" t="n"/>
      <c r="M1408" s="11" t="n"/>
      <c r="N1408" s="11" t="n"/>
      <c r="O1408" s="11" t="n"/>
      <c r="P1408" s="11" t="n"/>
      <c r="Q1408" s="11" t="n"/>
      <c r="R1408" s="11" t="n"/>
      <c r="S1408" s="11" t="n"/>
      <c r="T1408" s="12" t="n"/>
    </row>
    <row r="1409">
      <c r="A1409" s="11" t="n"/>
      <c r="B1409" s="11" t="n"/>
      <c r="C1409" s="11" t="n"/>
      <c r="D1409" s="11" t="n"/>
      <c r="E1409" s="11" t="n"/>
      <c r="F1409" s="11" t="n"/>
      <c r="G1409" s="11" t="n"/>
      <c r="H1409" s="11" t="n"/>
      <c r="I1409" s="11" t="n"/>
      <c r="J1409" s="11" t="n"/>
      <c r="K1409" s="11" t="n"/>
      <c r="L1409" s="11" t="n"/>
      <c r="M1409" s="11" t="n"/>
      <c r="N1409" s="11" t="n"/>
      <c r="O1409" s="11" t="n"/>
      <c r="P1409" s="11" t="n"/>
      <c r="Q1409" s="11" t="n"/>
      <c r="R1409" s="11" t="n"/>
      <c r="S1409" s="11" t="n"/>
      <c r="T1409" s="12" t="n"/>
    </row>
    <row r="1410">
      <c r="A1410" s="11" t="n"/>
      <c r="B1410" s="11" t="n"/>
      <c r="C1410" s="11" t="n"/>
      <c r="D1410" s="11" t="n"/>
      <c r="E1410" s="11" t="n"/>
      <c r="F1410" s="11" t="n"/>
      <c r="G1410" s="11" t="n"/>
      <c r="H1410" s="11" t="n"/>
      <c r="I1410" s="11" t="n"/>
      <c r="J1410" s="11" t="n"/>
      <c r="K1410" s="11" t="n"/>
      <c r="L1410" s="11" t="n"/>
      <c r="M1410" s="11" t="n"/>
      <c r="N1410" s="11" t="n"/>
      <c r="O1410" s="11" t="n"/>
      <c r="P1410" s="11" t="n"/>
      <c r="Q1410" s="11" t="n"/>
      <c r="R1410" s="11" t="n"/>
      <c r="S1410" s="11" t="n"/>
      <c r="T1410" s="12" t="n"/>
    </row>
    <row r="1411">
      <c r="A1411" s="11" t="n"/>
      <c r="B1411" s="11" t="n"/>
      <c r="C1411" s="11" t="n"/>
      <c r="D1411" s="11" t="n"/>
      <c r="E1411" s="11" t="n"/>
      <c r="F1411" s="11" t="n"/>
      <c r="G1411" s="11" t="n"/>
      <c r="H1411" s="11" t="n"/>
      <c r="I1411" s="11" t="n"/>
      <c r="J1411" s="11" t="n"/>
      <c r="K1411" s="11" t="n"/>
      <c r="L1411" s="11" t="n"/>
      <c r="M1411" s="11" t="n"/>
      <c r="N1411" s="11" t="n"/>
      <c r="O1411" s="11" t="n"/>
      <c r="P1411" s="11" t="n"/>
      <c r="Q1411" s="11" t="n"/>
      <c r="R1411" s="11" t="n"/>
      <c r="S1411" s="11" t="n"/>
      <c r="T1411" s="12" t="n"/>
    </row>
    <row r="1412">
      <c r="A1412" s="11" t="n"/>
      <c r="B1412" s="11" t="n"/>
      <c r="C1412" s="11" t="n"/>
      <c r="D1412" s="11" t="n"/>
      <c r="E1412" s="11" t="n"/>
      <c r="F1412" s="11" t="n"/>
      <c r="G1412" s="11" t="n"/>
      <c r="H1412" s="11" t="n"/>
      <c r="I1412" s="11" t="n"/>
      <c r="J1412" s="11" t="n"/>
      <c r="K1412" s="11" t="n"/>
      <c r="L1412" s="11" t="n"/>
      <c r="M1412" s="11" t="n"/>
      <c r="N1412" s="11" t="n"/>
      <c r="O1412" s="11" t="n"/>
      <c r="P1412" s="11" t="n"/>
      <c r="Q1412" s="11" t="n"/>
      <c r="R1412" s="11" t="n"/>
      <c r="S1412" s="11" t="n"/>
      <c r="T1412" s="12" t="n"/>
    </row>
    <row r="1413">
      <c r="A1413" s="11" t="n"/>
      <c r="B1413" s="11" t="n"/>
      <c r="C1413" s="11" t="n"/>
      <c r="D1413" s="11" t="n"/>
      <c r="E1413" s="11" t="n"/>
      <c r="F1413" s="11" t="n"/>
      <c r="G1413" s="11" t="n"/>
      <c r="H1413" s="11" t="n"/>
      <c r="I1413" s="11" t="n"/>
      <c r="J1413" s="11" t="n"/>
      <c r="K1413" s="11" t="n"/>
      <c r="L1413" s="11" t="n"/>
      <c r="M1413" s="11" t="n"/>
      <c r="N1413" s="11" t="n"/>
      <c r="O1413" s="11" t="n"/>
      <c r="P1413" s="11" t="n"/>
      <c r="Q1413" s="11" t="n"/>
      <c r="R1413" s="11" t="n"/>
      <c r="S1413" s="11" t="n"/>
      <c r="T1413" s="12" t="n"/>
    </row>
    <row r="1414">
      <c r="A1414" s="11" t="n"/>
      <c r="B1414" s="11" t="n"/>
      <c r="C1414" s="11" t="n"/>
      <c r="D1414" s="11" t="n"/>
      <c r="E1414" s="11" t="n"/>
      <c r="F1414" s="11" t="n"/>
      <c r="G1414" s="11" t="n"/>
      <c r="H1414" s="11" t="n"/>
      <c r="I1414" s="11" t="n"/>
      <c r="J1414" s="11" t="n"/>
      <c r="K1414" s="11" t="n"/>
      <c r="L1414" s="11" t="n"/>
      <c r="M1414" s="11" t="n"/>
      <c r="N1414" s="11" t="n"/>
      <c r="O1414" s="11" t="n"/>
      <c r="P1414" s="11" t="n"/>
      <c r="Q1414" s="11" t="n"/>
      <c r="R1414" s="11" t="n"/>
      <c r="S1414" s="11" t="n"/>
      <c r="T1414" s="12" t="n"/>
    </row>
    <row r="1415">
      <c r="A1415" s="11" t="n"/>
      <c r="B1415" s="11" t="n"/>
      <c r="C1415" s="11" t="n"/>
      <c r="D1415" s="11" t="n"/>
      <c r="E1415" s="11" t="n"/>
      <c r="F1415" s="11" t="n"/>
      <c r="G1415" s="11" t="n"/>
      <c r="H1415" s="11" t="n"/>
      <c r="I1415" s="11" t="n"/>
      <c r="J1415" s="11" t="n"/>
      <c r="K1415" s="11" t="n"/>
      <c r="L1415" s="11" t="n"/>
      <c r="M1415" s="11" t="n"/>
      <c r="N1415" s="11" t="n"/>
      <c r="O1415" s="11" t="n"/>
      <c r="P1415" s="11" t="n"/>
      <c r="Q1415" s="11" t="n"/>
      <c r="R1415" s="11" t="n"/>
      <c r="S1415" s="11" t="n"/>
      <c r="T1415" s="12" t="n"/>
    </row>
    <row r="1416">
      <c r="A1416" s="11" t="n"/>
      <c r="B1416" s="11" t="n"/>
      <c r="C1416" s="11" t="n"/>
      <c r="D1416" s="11" t="n"/>
      <c r="E1416" s="11" t="n"/>
      <c r="F1416" s="11" t="n"/>
      <c r="G1416" s="11" t="n"/>
      <c r="H1416" s="11" t="n"/>
      <c r="I1416" s="11" t="n"/>
      <c r="J1416" s="11" t="n"/>
      <c r="K1416" s="11" t="n"/>
      <c r="L1416" s="11" t="n"/>
      <c r="M1416" s="11" t="n"/>
      <c r="N1416" s="11" t="n"/>
      <c r="O1416" s="11" t="n"/>
      <c r="P1416" s="11" t="n"/>
      <c r="Q1416" s="11" t="n"/>
      <c r="R1416" s="11" t="n"/>
      <c r="S1416" s="11" t="n"/>
      <c r="T1416" s="12" t="n"/>
    </row>
    <row r="1417">
      <c r="A1417" s="11" t="n"/>
      <c r="B1417" s="11" t="n"/>
      <c r="C1417" s="11" t="n"/>
      <c r="D1417" s="11" t="n"/>
      <c r="E1417" s="11" t="n"/>
      <c r="F1417" s="11" t="n"/>
      <c r="G1417" s="11" t="n"/>
      <c r="H1417" s="11" t="n"/>
      <c r="I1417" s="11" t="n"/>
      <c r="J1417" s="11" t="n"/>
      <c r="K1417" s="11" t="n"/>
      <c r="L1417" s="11" t="n"/>
      <c r="M1417" s="11" t="n"/>
      <c r="N1417" s="11" t="n"/>
      <c r="O1417" s="11" t="n"/>
      <c r="P1417" s="11" t="n"/>
      <c r="Q1417" s="11" t="n"/>
      <c r="R1417" s="11" t="n"/>
      <c r="S1417" s="11" t="n"/>
      <c r="T1417" s="12" t="n"/>
    </row>
    <row r="1418">
      <c r="A1418" s="11" t="n"/>
      <c r="B1418" s="11" t="n"/>
      <c r="C1418" s="11" t="n"/>
      <c r="D1418" s="11" t="n"/>
      <c r="E1418" s="11" t="n"/>
      <c r="F1418" s="11" t="n"/>
      <c r="G1418" s="11" t="n"/>
      <c r="H1418" s="11" t="n"/>
      <c r="I1418" s="11" t="n"/>
      <c r="J1418" s="11" t="n"/>
      <c r="K1418" s="11" t="n"/>
      <c r="L1418" s="11" t="n"/>
      <c r="M1418" s="11" t="n"/>
      <c r="N1418" s="11" t="n"/>
      <c r="O1418" s="11" t="n"/>
      <c r="P1418" s="11" t="n"/>
      <c r="Q1418" s="11" t="n"/>
      <c r="R1418" s="11" t="n"/>
      <c r="S1418" s="11" t="n"/>
      <c r="T1418" s="12" t="n"/>
    </row>
    <row r="1419">
      <c r="A1419" s="11" t="n"/>
      <c r="B1419" s="11" t="n"/>
      <c r="C1419" s="11" t="n"/>
      <c r="D1419" s="11" t="n"/>
      <c r="E1419" s="11" t="n"/>
      <c r="F1419" s="11" t="n"/>
      <c r="G1419" s="11" t="n"/>
      <c r="H1419" s="11" t="n"/>
      <c r="I1419" s="11" t="n"/>
      <c r="J1419" s="11" t="n"/>
      <c r="K1419" s="11" t="n"/>
      <c r="L1419" s="11" t="n"/>
      <c r="M1419" s="11" t="n"/>
      <c r="N1419" s="11" t="n"/>
      <c r="O1419" s="11" t="n"/>
      <c r="P1419" s="11" t="n"/>
      <c r="Q1419" s="11" t="n"/>
      <c r="R1419" s="11" t="n"/>
      <c r="S1419" s="11" t="n"/>
      <c r="T1419" s="12" t="n"/>
    </row>
    <row r="1420">
      <c r="A1420" s="11" t="n"/>
      <c r="B1420" s="11" t="n"/>
      <c r="C1420" s="11" t="n"/>
      <c r="D1420" s="11" t="n"/>
      <c r="E1420" s="11" t="n"/>
      <c r="F1420" s="11" t="n"/>
      <c r="G1420" s="11" t="n"/>
      <c r="H1420" s="11" t="n"/>
      <c r="I1420" s="11" t="n"/>
      <c r="J1420" s="11" t="n"/>
      <c r="K1420" s="11" t="n"/>
      <c r="L1420" s="11" t="n"/>
      <c r="M1420" s="11" t="n"/>
      <c r="N1420" s="11" t="n"/>
      <c r="O1420" s="11" t="n"/>
      <c r="P1420" s="11" t="n"/>
      <c r="Q1420" s="11" t="n"/>
      <c r="R1420" s="11" t="n"/>
      <c r="S1420" s="11" t="n"/>
      <c r="T1420" s="12" t="n"/>
    </row>
    <row r="1421">
      <c r="A1421" s="11" t="n"/>
      <c r="B1421" s="11" t="n"/>
      <c r="C1421" s="11" t="n"/>
      <c r="D1421" s="11" t="n"/>
      <c r="E1421" s="11" t="n"/>
      <c r="F1421" s="11" t="n"/>
      <c r="G1421" s="11" t="n"/>
      <c r="H1421" s="11" t="n"/>
      <c r="I1421" s="11" t="n"/>
      <c r="J1421" s="11" t="n"/>
      <c r="K1421" s="11" t="n"/>
      <c r="L1421" s="11" t="n"/>
      <c r="M1421" s="11" t="n"/>
      <c r="N1421" s="11" t="n"/>
      <c r="O1421" s="11" t="n"/>
      <c r="P1421" s="11" t="n"/>
      <c r="Q1421" s="11" t="n"/>
      <c r="R1421" s="11" t="n"/>
      <c r="S1421" s="11" t="n"/>
      <c r="T1421" s="12" t="n"/>
    </row>
    <row r="1422">
      <c r="A1422" s="11" t="n"/>
      <c r="B1422" s="11" t="n"/>
      <c r="C1422" s="11" t="n"/>
      <c r="D1422" s="11" t="n"/>
      <c r="E1422" s="11" t="n"/>
      <c r="F1422" s="11" t="n"/>
      <c r="G1422" s="11" t="n"/>
      <c r="H1422" s="11" t="n"/>
      <c r="I1422" s="11" t="n"/>
      <c r="J1422" s="11" t="n"/>
      <c r="K1422" s="11" t="n"/>
      <c r="L1422" s="11" t="n"/>
      <c r="M1422" s="11" t="n"/>
      <c r="N1422" s="11" t="n"/>
      <c r="O1422" s="11" t="n"/>
      <c r="P1422" s="11" t="n"/>
      <c r="Q1422" s="11" t="n"/>
      <c r="R1422" s="11" t="n"/>
      <c r="S1422" s="11" t="n"/>
      <c r="T1422" s="12" t="n"/>
    </row>
    <row r="1423">
      <c r="A1423" s="11" t="n"/>
      <c r="B1423" s="11" t="n"/>
      <c r="C1423" s="11" t="n"/>
      <c r="D1423" s="11" t="n"/>
      <c r="E1423" s="11" t="n"/>
      <c r="F1423" s="11" t="n"/>
      <c r="G1423" s="11" t="n"/>
      <c r="H1423" s="11" t="n"/>
      <c r="I1423" s="11" t="n"/>
      <c r="J1423" s="11" t="n"/>
      <c r="K1423" s="11" t="n"/>
      <c r="L1423" s="11" t="n"/>
      <c r="M1423" s="11" t="n"/>
      <c r="N1423" s="11" t="n"/>
      <c r="O1423" s="11" t="n"/>
      <c r="P1423" s="11" t="n"/>
      <c r="Q1423" s="11" t="n"/>
      <c r="R1423" s="11" t="n"/>
      <c r="S1423" s="11" t="n"/>
      <c r="T1423" s="12" t="n"/>
    </row>
    <row r="1424">
      <c r="A1424" s="11" t="n"/>
      <c r="B1424" s="11" t="n"/>
      <c r="C1424" s="11" t="n"/>
      <c r="D1424" s="11" t="n"/>
      <c r="E1424" s="11" t="n"/>
      <c r="F1424" s="11" t="n"/>
      <c r="G1424" s="11" t="n"/>
      <c r="H1424" s="11" t="n"/>
      <c r="I1424" s="11" t="n"/>
      <c r="J1424" s="11" t="n"/>
      <c r="K1424" s="11" t="n"/>
      <c r="L1424" s="11" t="n"/>
      <c r="M1424" s="11" t="n"/>
      <c r="N1424" s="11" t="n"/>
      <c r="O1424" s="11" t="n"/>
      <c r="P1424" s="11" t="n"/>
      <c r="Q1424" s="11" t="n"/>
      <c r="R1424" s="11" t="n"/>
      <c r="S1424" s="11" t="n"/>
      <c r="T1424" s="12" t="n"/>
    </row>
    <row r="1425">
      <c r="A1425" s="11" t="n"/>
      <c r="B1425" s="11" t="n"/>
      <c r="C1425" s="11" t="n"/>
      <c r="D1425" s="11" t="n"/>
      <c r="E1425" s="11" t="n"/>
      <c r="F1425" s="11" t="n"/>
      <c r="G1425" s="11" t="n"/>
      <c r="H1425" s="11" t="n"/>
      <c r="I1425" s="11" t="n"/>
      <c r="J1425" s="11" t="n"/>
      <c r="K1425" s="11" t="n"/>
      <c r="L1425" s="11" t="n"/>
      <c r="M1425" s="11" t="n"/>
      <c r="N1425" s="11" t="n"/>
      <c r="O1425" s="11" t="n"/>
      <c r="P1425" s="11" t="n"/>
      <c r="Q1425" s="11" t="n"/>
      <c r="R1425" s="11" t="n"/>
      <c r="S1425" s="11" t="n"/>
      <c r="T1425" s="12" t="n"/>
    </row>
    <row r="1426">
      <c r="A1426" s="11" t="n"/>
      <c r="B1426" s="11" t="n"/>
      <c r="C1426" s="11" t="n"/>
      <c r="D1426" s="11" t="n"/>
      <c r="E1426" s="11" t="n"/>
      <c r="F1426" s="11" t="n"/>
      <c r="G1426" s="11" t="n"/>
      <c r="H1426" s="11" t="n"/>
      <c r="I1426" s="11" t="n"/>
      <c r="J1426" s="11" t="n"/>
      <c r="K1426" s="11" t="n"/>
      <c r="L1426" s="11" t="n"/>
      <c r="M1426" s="11" t="n"/>
      <c r="N1426" s="11" t="n"/>
      <c r="O1426" s="11" t="n"/>
      <c r="P1426" s="11" t="n"/>
      <c r="Q1426" s="11" t="n"/>
      <c r="R1426" s="11" t="n"/>
      <c r="S1426" s="11" t="n"/>
      <c r="T1426" s="12" t="n"/>
    </row>
    <row r="1427">
      <c r="A1427" s="11" t="n"/>
      <c r="B1427" s="11" t="n"/>
      <c r="C1427" s="11" t="n"/>
      <c r="D1427" s="11" t="n"/>
      <c r="E1427" s="11" t="n"/>
      <c r="F1427" s="11" t="n"/>
      <c r="G1427" s="11" t="n"/>
      <c r="H1427" s="11" t="n"/>
      <c r="I1427" s="11" t="n"/>
      <c r="J1427" s="11" t="n"/>
      <c r="K1427" s="11" t="n"/>
      <c r="L1427" s="11" t="n"/>
      <c r="M1427" s="11" t="n"/>
      <c r="N1427" s="11" t="n"/>
      <c r="O1427" s="11" t="n"/>
      <c r="P1427" s="11" t="n"/>
      <c r="Q1427" s="11" t="n"/>
      <c r="R1427" s="11" t="n"/>
      <c r="S1427" s="11" t="n"/>
      <c r="T1427" s="12" t="n"/>
    </row>
    <row r="1428">
      <c r="A1428" s="11" t="n"/>
      <c r="B1428" s="11" t="n"/>
      <c r="C1428" s="11" t="n"/>
      <c r="D1428" s="11" t="n"/>
      <c r="E1428" s="11" t="n"/>
      <c r="F1428" s="11" t="n"/>
      <c r="G1428" s="11" t="n"/>
      <c r="H1428" s="11" t="n"/>
      <c r="I1428" s="11" t="n"/>
      <c r="J1428" s="11" t="n"/>
      <c r="K1428" s="11" t="n"/>
      <c r="L1428" s="11" t="n"/>
      <c r="M1428" s="11" t="n"/>
      <c r="N1428" s="11" t="n"/>
      <c r="O1428" s="11" t="n"/>
      <c r="P1428" s="11" t="n"/>
      <c r="Q1428" s="11" t="n"/>
      <c r="R1428" s="11" t="n"/>
      <c r="S1428" s="11" t="n"/>
      <c r="T1428" s="12" t="n"/>
    </row>
    <row r="1429">
      <c r="A1429" s="11" t="n"/>
      <c r="B1429" s="11" t="n"/>
      <c r="C1429" s="11" t="n"/>
      <c r="D1429" s="11" t="n"/>
      <c r="E1429" s="11" t="n"/>
      <c r="F1429" s="11" t="n"/>
      <c r="G1429" s="11" t="n"/>
      <c r="H1429" s="11" t="n"/>
      <c r="I1429" s="11" t="n"/>
      <c r="J1429" s="11" t="n"/>
      <c r="K1429" s="11" t="n"/>
      <c r="L1429" s="11" t="n"/>
      <c r="M1429" s="11" t="n"/>
      <c r="N1429" s="11" t="n"/>
      <c r="O1429" s="11" t="n"/>
      <c r="P1429" s="11" t="n"/>
      <c r="Q1429" s="11" t="n"/>
      <c r="R1429" s="11" t="n"/>
      <c r="S1429" s="11" t="n"/>
      <c r="T1429" s="12" t="n"/>
    </row>
    <row r="1430">
      <c r="A1430" s="11" t="n"/>
      <c r="B1430" s="11" t="n"/>
      <c r="C1430" s="11" t="n"/>
      <c r="D1430" s="11" t="n"/>
      <c r="E1430" s="11" t="n"/>
      <c r="F1430" s="11" t="n"/>
      <c r="G1430" s="11" t="n"/>
      <c r="H1430" s="11" t="n"/>
      <c r="I1430" s="11" t="n"/>
      <c r="J1430" s="11" t="n"/>
      <c r="K1430" s="11" t="n"/>
      <c r="L1430" s="11" t="n"/>
      <c r="M1430" s="11" t="n"/>
      <c r="N1430" s="11" t="n"/>
      <c r="O1430" s="11" t="n"/>
      <c r="P1430" s="11" t="n"/>
      <c r="Q1430" s="11" t="n"/>
      <c r="R1430" s="11" t="n"/>
      <c r="S1430" s="11" t="n"/>
      <c r="T1430" s="12" t="n"/>
    </row>
    <row r="1431">
      <c r="A1431" s="11" t="n"/>
      <c r="B1431" s="11" t="n"/>
      <c r="C1431" s="11" t="n"/>
      <c r="D1431" s="11" t="n"/>
      <c r="E1431" s="11" t="n"/>
      <c r="F1431" s="11" t="n"/>
      <c r="G1431" s="11" t="n"/>
      <c r="H1431" s="11" t="n"/>
      <c r="I1431" s="11" t="n"/>
      <c r="J1431" s="11" t="n"/>
      <c r="K1431" s="11" t="n"/>
      <c r="L1431" s="11" t="n"/>
      <c r="M1431" s="11" t="n"/>
      <c r="N1431" s="11" t="n"/>
      <c r="O1431" s="11" t="n"/>
      <c r="P1431" s="11" t="n"/>
      <c r="Q1431" s="11" t="n"/>
      <c r="R1431" s="11" t="n"/>
      <c r="S1431" s="11" t="n"/>
      <c r="T1431" s="12" t="n"/>
    </row>
    <row r="1432">
      <c r="A1432" s="11" t="n"/>
      <c r="B1432" s="11" t="n"/>
      <c r="C1432" s="11" t="n"/>
      <c r="D1432" s="11" t="n"/>
      <c r="E1432" s="11" t="n"/>
      <c r="F1432" s="11" t="n"/>
      <c r="G1432" s="11" t="n"/>
      <c r="H1432" s="11" t="n"/>
      <c r="I1432" s="11" t="n"/>
      <c r="J1432" s="11" t="n"/>
      <c r="K1432" s="11" t="n"/>
      <c r="L1432" s="11" t="n"/>
      <c r="M1432" s="11" t="n"/>
      <c r="N1432" s="11" t="n"/>
      <c r="O1432" s="11" t="n"/>
      <c r="P1432" s="11" t="n"/>
      <c r="Q1432" s="11" t="n"/>
      <c r="R1432" s="11" t="n"/>
      <c r="S1432" s="11" t="n"/>
      <c r="T1432" s="12" t="n"/>
    </row>
    <row r="1433">
      <c r="A1433" s="11" t="n"/>
      <c r="B1433" s="11" t="n"/>
      <c r="C1433" s="11" t="n"/>
      <c r="D1433" s="11" t="n"/>
      <c r="E1433" s="11" t="n"/>
      <c r="F1433" s="11" t="n"/>
      <c r="G1433" s="11" t="n"/>
      <c r="H1433" s="11" t="n"/>
      <c r="I1433" s="11" t="n"/>
      <c r="J1433" s="11" t="n"/>
      <c r="K1433" s="11" t="n"/>
      <c r="L1433" s="11" t="n"/>
      <c r="M1433" s="11" t="n"/>
      <c r="N1433" s="11" t="n"/>
      <c r="O1433" s="11" t="n"/>
      <c r="P1433" s="11" t="n"/>
      <c r="Q1433" s="11" t="n"/>
      <c r="R1433" s="11" t="n"/>
      <c r="S1433" s="11" t="n"/>
      <c r="T1433" s="12" t="n"/>
    </row>
    <row r="1434">
      <c r="A1434" s="11" t="n"/>
      <c r="B1434" s="11" t="n"/>
      <c r="C1434" s="11" t="n"/>
      <c r="D1434" s="11" t="n"/>
      <c r="E1434" s="11" t="n"/>
      <c r="F1434" s="11" t="n"/>
      <c r="G1434" s="11" t="n"/>
      <c r="H1434" s="11" t="n"/>
      <c r="I1434" s="11" t="n"/>
      <c r="J1434" s="11" t="n"/>
      <c r="K1434" s="11" t="n"/>
      <c r="L1434" s="11" t="n"/>
      <c r="M1434" s="11" t="n"/>
      <c r="N1434" s="11" t="n"/>
      <c r="O1434" s="11" t="n"/>
      <c r="P1434" s="11" t="n"/>
      <c r="Q1434" s="11" t="n"/>
      <c r="R1434" s="11" t="n"/>
      <c r="S1434" s="11" t="n"/>
      <c r="T1434" s="12" t="n"/>
    </row>
    <row r="1435">
      <c r="A1435" s="11" t="n"/>
      <c r="B1435" s="11" t="n"/>
      <c r="C1435" s="11" t="n"/>
      <c r="D1435" s="11" t="n"/>
      <c r="E1435" s="11" t="n"/>
      <c r="F1435" s="11" t="n"/>
      <c r="G1435" s="11" t="n"/>
      <c r="H1435" s="11" t="n"/>
      <c r="I1435" s="11" t="n"/>
      <c r="J1435" s="11" t="n"/>
      <c r="K1435" s="11" t="n"/>
      <c r="L1435" s="11" t="n"/>
      <c r="M1435" s="11" t="n"/>
      <c r="N1435" s="11" t="n"/>
      <c r="O1435" s="11" t="n"/>
      <c r="P1435" s="11" t="n"/>
      <c r="Q1435" s="11" t="n"/>
      <c r="R1435" s="11" t="n"/>
      <c r="S1435" s="11" t="n"/>
      <c r="T1435" s="12" t="n"/>
    </row>
    <row r="1436">
      <c r="A1436" s="11" t="n"/>
      <c r="B1436" s="11" t="n"/>
      <c r="C1436" s="11" t="n"/>
      <c r="D1436" s="11" t="n"/>
      <c r="E1436" s="11" t="n"/>
      <c r="F1436" s="11" t="n"/>
      <c r="G1436" s="11" t="n"/>
      <c r="H1436" s="11" t="n"/>
      <c r="I1436" s="11" t="n"/>
      <c r="J1436" s="11" t="n"/>
      <c r="K1436" s="11" t="n"/>
      <c r="L1436" s="11" t="n"/>
      <c r="M1436" s="11" t="n"/>
      <c r="N1436" s="11" t="n"/>
      <c r="O1436" s="11" t="n"/>
      <c r="P1436" s="11" t="n"/>
      <c r="Q1436" s="11" t="n"/>
      <c r="R1436" s="11" t="n"/>
      <c r="S1436" s="11" t="n"/>
      <c r="T1436" s="12" t="n"/>
    </row>
    <row r="1437">
      <c r="A1437" s="11" t="n"/>
      <c r="B1437" s="11" t="n"/>
      <c r="C1437" s="11" t="n"/>
      <c r="D1437" s="11" t="n"/>
      <c r="E1437" s="11" t="n"/>
      <c r="F1437" s="11" t="n"/>
      <c r="G1437" s="11" t="n"/>
      <c r="H1437" s="11" t="n"/>
      <c r="I1437" s="11" t="n"/>
      <c r="J1437" s="11" t="n"/>
      <c r="K1437" s="11" t="n"/>
      <c r="L1437" s="11" t="n"/>
      <c r="M1437" s="11" t="n"/>
      <c r="N1437" s="11" t="n"/>
      <c r="O1437" s="11" t="n"/>
      <c r="P1437" s="11" t="n"/>
      <c r="Q1437" s="11" t="n"/>
      <c r="R1437" s="11" t="n"/>
      <c r="S1437" s="11" t="n"/>
      <c r="T1437" s="12" t="n"/>
    </row>
    <row r="1438">
      <c r="A1438" s="11" t="n"/>
      <c r="B1438" s="11" t="n"/>
      <c r="C1438" s="11" t="n"/>
      <c r="D1438" s="11" t="n"/>
      <c r="E1438" s="11" t="n"/>
      <c r="F1438" s="11" t="n"/>
      <c r="G1438" s="11" t="n"/>
      <c r="H1438" s="11" t="n"/>
      <c r="I1438" s="11" t="n"/>
      <c r="J1438" s="11" t="n"/>
      <c r="K1438" s="11" t="n"/>
      <c r="L1438" s="11" t="n"/>
      <c r="M1438" s="11" t="n"/>
      <c r="N1438" s="11" t="n"/>
      <c r="O1438" s="11" t="n"/>
      <c r="P1438" s="11" t="n"/>
      <c r="Q1438" s="11" t="n"/>
      <c r="R1438" s="11" t="n"/>
      <c r="S1438" s="11" t="n"/>
      <c r="T1438" s="12" t="n"/>
    </row>
    <row r="1439">
      <c r="A1439" s="11" t="n"/>
      <c r="B1439" s="11" t="n"/>
      <c r="C1439" s="11" t="n"/>
      <c r="D1439" s="11" t="n"/>
      <c r="E1439" s="11" t="n"/>
      <c r="F1439" s="11" t="n"/>
      <c r="G1439" s="11" t="n"/>
      <c r="H1439" s="11" t="n"/>
      <c r="I1439" s="11" t="n"/>
      <c r="J1439" s="11" t="n"/>
      <c r="K1439" s="11" t="n"/>
      <c r="L1439" s="11" t="n"/>
      <c r="M1439" s="11" t="n"/>
      <c r="N1439" s="11" t="n"/>
      <c r="O1439" s="11" t="n"/>
      <c r="P1439" s="11" t="n"/>
      <c r="Q1439" s="11" t="n"/>
      <c r="R1439" s="11" t="n"/>
      <c r="S1439" s="11" t="n"/>
      <c r="T1439" s="12" t="n"/>
    </row>
    <row r="1440">
      <c r="A1440" s="11" t="n"/>
      <c r="B1440" s="11" t="n"/>
      <c r="C1440" s="11" t="n"/>
      <c r="D1440" s="11" t="n"/>
      <c r="E1440" s="11" t="n"/>
      <c r="F1440" s="11" t="n"/>
      <c r="G1440" s="11" t="n"/>
      <c r="H1440" s="11" t="n"/>
      <c r="I1440" s="11" t="n"/>
      <c r="J1440" s="11" t="n"/>
      <c r="K1440" s="11" t="n"/>
      <c r="L1440" s="11" t="n"/>
      <c r="M1440" s="11" t="n"/>
      <c r="N1440" s="11" t="n"/>
      <c r="O1440" s="11" t="n"/>
      <c r="P1440" s="11" t="n"/>
      <c r="Q1440" s="11" t="n"/>
      <c r="R1440" s="11" t="n"/>
      <c r="S1440" s="11" t="n"/>
      <c r="T1440" s="12" t="n"/>
    </row>
    <row r="1441">
      <c r="A1441" s="11" t="n"/>
      <c r="B1441" s="11" t="n"/>
      <c r="C1441" s="11" t="n"/>
      <c r="D1441" s="11" t="n"/>
      <c r="E1441" s="11" t="n"/>
      <c r="F1441" s="11" t="n"/>
      <c r="G1441" s="11" t="n"/>
      <c r="H1441" s="11" t="n"/>
      <c r="I1441" s="11" t="n"/>
      <c r="J1441" s="11" t="n"/>
      <c r="K1441" s="11" t="n"/>
      <c r="L1441" s="11" t="n"/>
      <c r="M1441" s="11" t="n"/>
      <c r="N1441" s="11" t="n"/>
      <c r="O1441" s="11" t="n"/>
      <c r="P1441" s="11" t="n"/>
      <c r="Q1441" s="11" t="n"/>
      <c r="R1441" s="11" t="n"/>
      <c r="S1441" s="11" t="n"/>
      <c r="T1441" s="12" t="n"/>
    </row>
    <row r="1442">
      <c r="A1442" s="11" t="n"/>
      <c r="B1442" s="11" t="n"/>
      <c r="C1442" s="11" t="n"/>
      <c r="D1442" s="11" t="n"/>
      <c r="E1442" s="11" t="n"/>
      <c r="F1442" s="11" t="n"/>
      <c r="G1442" s="11" t="n"/>
      <c r="H1442" s="11" t="n"/>
      <c r="I1442" s="11" t="n"/>
      <c r="J1442" s="11" t="n"/>
      <c r="K1442" s="11" t="n"/>
      <c r="L1442" s="11" t="n"/>
      <c r="M1442" s="11" t="n"/>
      <c r="N1442" s="11" t="n"/>
      <c r="O1442" s="11" t="n"/>
      <c r="P1442" s="11" t="n"/>
      <c r="Q1442" s="11" t="n"/>
      <c r="R1442" s="11" t="n"/>
      <c r="S1442" s="11" t="n"/>
      <c r="T1442" s="12" t="n"/>
    </row>
    <row r="1443">
      <c r="A1443" s="11" t="n"/>
      <c r="B1443" s="11" t="n"/>
      <c r="C1443" s="11" t="n"/>
      <c r="D1443" s="11" t="n"/>
      <c r="E1443" s="11" t="n"/>
      <c r="F1443" s="11" t="n"/>
      <c r="G1443" s="11" t="n"/>
      <c r="H1443" s="11" t="n"/>
      <c r="I1443" s="11" t="n"/>
      <c r="J1443" s="11" t="n"/>
      <c r="K1443" s="11" t="n"/>
      <c r="L1443" s="11" t="n"/>
      <c r="M1443" s="11" t="n"/>
      <c r="N1443" s="11" t="n"/>
      <c r="O1443" s="11" t="n"/>
      <c r="P1443" s="11" t="n"/>
      <c r="Q1443" s="11" t="n"/>
      <c r="R1443" s="11" t="n"/>
      <c r="S1443" s="11" t="n"/>
      <c r="T1443" s="12" t="n"/>
    </row>
    <row r="1444">
      <c r="A1444" s="11" t="n"/>
      <c r="B1444" s="11" t="n"/>
      <c r="C1444" s="11" t="n"/>
      <c r="D1444" s="11" t="n"/>
      <c r="E1444" s="11" t="n"/>
      <c r="F1444" s="11" t="n"/>
      <c r="G1444" s="11" t="n"/>
      <c r="H1444" s="11" t="n"/>
      <c r="I1444" s="11" t="n"/>
      <c r="J1444" s="11" t="n"/>
      <c r="K1444" s="11" t="n"/>
      <c r="L1444" s="11" t="n"/>
      <c r="M1444" s="11" t="n"/>
      <c r="N1444" s="11" t="n"/>
      <c r="O1444" s="11" t="n"/>
      <c r="P1444" s="11" t="n"/>
      <c r="Q1444" s="11" t="n"/>
      <c r="R1444" s="11" t="n"/>
      <c r="S1444" s="11" t="n"/>
      <c r="T1444" s="12" t="n"/>
    </row>
    <row r="1445">
      <c r="A1445" s="11" t="n"/>
      <c r="B1445" s="11" t="n"/>
      <c r="C1445" s="11" t="n"/>
      <c r="D1445" s="11" t="n"/>
      <c r="E1445" s="11" t="n"/>
      <c r="F1445" s="11" t="n"/>
      <c r="G1445" s="11" t="n"/>
      <c r="H1445" s="11" t="n"/>
      <c r="I1445" s="11" t="n"/>
      <c r="J1445" s="11" t="n"/>
      <c r="K1445" s="11" t="n"/>
      <c r="L1445" s="11" t="n"/>
      <c r="M1445" s="11" t="n"/>
      <c r="N1445" s="11" t="n"/>
      <c r="O1445" s="11" t="n"/>
      <c r="P1445" s="11" t="n"/>
      <c r="Q1445" s="11" t="n"/>
      <c r="R1445" s="11" t="n"/>
      <c r="S1445" s="11" t="n"/>
      <c r="T1445" s="12" t="n"/>
    </row>
    <row r="1446">
      <c r="A1446" s="11" t="n"/>
      <c r="B1446" s="11" t="n"/>
      <c r="C1446" s="11" t="n"/>
      <c r="D1446" s="11" t="n"/>
      <c r="E1446" s="11" t="n"/>
      <c r="F1446" s="11" t="n"/>
      <c r="G1446" s="11" t="n"/>
      <c r="H1446" s="11" t="n"/>
      <c r="I1446" s="11" t="n"/>
      <c r="J1446" s="11" t="n"/>
      <c r="K1446" s="11" t="n"/>
      <c r="L1446" s="11" t="n"/>
      <c r="M1446" s="11" t="n"/>
      <c r="N1446" s="11" t="n"/>
      <c r="O1446" s="11" t="n"/>
      <c r="P1446" s="11" t="n"/>
      <c r="Q1446" s="11" t="n"/>
      <c r="R1446" s="11" t="n"/>
      <c r="S1446" s="11" t="n"/>
      <c r="T1446" s="12" t="n"/>
    </row>
    <row r="1447">
      <c r="A1447" s="11" t="n"/>
      <c r="B1447" s="11" t="n"/>
      <c r="C1447" s="11" t="n"/>
      <c r="D1447" s="11" t="n"/>
      <c r="E1447" s="11" t="n"/>
      <c r="F1447" s="11" t="n"/>
      <c r="G1447" s="11" t="n"/>
      <c r="H1447" s="11" t="n"/>
      <c r="I1447" s="11" t="n"/>
      <c r="J1447" s="11" t="n"/>
      <c r="K1447" s="11" t="n"/>
      <c r="L1447" s="11" t="n"/>
      <c r="M1447" s="11" t="n"/>
      <c r="N1447" s="11" t="n"/>
      <c r="O1447" s="11" t="n"/>
      <c r="P1447" s="11" t="n"/>
      <c r="Q1447" s="11" t="n"/>
      <c r="R1447" s="11" t="n"/>
      <c r="S1447" s="11" t="n"/>
      <c r="T1447" s="12" t="n"/>
    </row>
    <row r="1448">
      <c r="A1448" s="11" t="n"/>
      <c r="B1448" s="11" t="n"/>
      <c r="C1448" s="11" t="n"/>
      <c r="D1448" s="11" t="n"/>
      <c r="E1448" s="11" t="n"/>
      <c r="F1448" s="11" t="n"/>
      <c r="G1448" s="11" t="n"/>
      <c r="H1448" s="11" t="n"/>
      <c r="I1448" s="11" t="n"/>
      <c r="J1448" s="11" t="n"/>
      <c r="K1448" s="11" t="n"/>
      <c r="L1448" s="11" t="n"/>
      <c r="M1448" s="11" t="n"/>
      <c r="N1448" s="11" t="n"/>
      <c r="O1448" s="11" t="n"/>
      <c r="P1448" s="11" t="n"/>
      <c r="Q1448" s="11" t="n"/>
      <c r="R1448" s="11" t="n"/>
      <c r="S1448" s="11" t="n"/>
      <c r="T1448" s="12" t="n"/>
    </row>
    <row r="1449">
      <c r="A1449" s="11" t="n"/>
      <c r="B1449" s="11" t="n"/>
      <c r="C1449" s="11" t="n"/>
      <c r="D1449" s="11" t="n"/>
      <c r="E1449" s="11" t="n"/>
      <c r="F1449" s="11" t="n"/>
      <c r="G1449" s="11" t="n"/>
      <c r="H1449" s="11" t="n"/>
      <c r="I1449" s="11" t="n"/>
      <c r="J1449" s="11" t="n"/>
      <c r="K1449" s="11" t="n"/>
      <c r="L1449" s="11" t="n"/>
      <c r="M1449" s="11" t="n"/>
      <c r="N1449" s="11" t="n"/>
      <c r="O1449" s="11" t="n"/>
      <c r="P1449" s="11" t="n"/>
      <c r="Q1449" s="11" t="n"/>
      <c r="R1449" s="11" t="n"/>
      <c r="S1449" s="11" t="n"/>
      <c r="T1449" s="12" t="n"/>
    </row>
    <row r="1450">
      <c r="A1450" s="11" t="n"/>
      <c r="B1450" s="11" t="n"/>
      <c r="C1450" s="11" t="n"/>
      <c r="D1450" s="11" t="n"/>
      <c r="E1450" s="11" t="n"/>
      <c r="F1450" s="11" t="n"/>
      <c r="G1450" s="11" t="n"/>
      <c r="H1450" s="11" t="n"/>
      <c r="I1450" s="11" t="n"/>
      <c r="J1450" s="11" t="n"/>
      <c r="K1450" s="11" t="n"/>
      <c r="L1450" s="11" t="n"/>
      <c r="M1450" s="11" t="n"/>
      <c r="N1450" s="11" t="n"/>
      <c r="O1450" s="11" t="n"/>
      <c r="P1450" s="11" t="n"/>
      <c r="Q1450" s="11" t="n"/>
      <c r="R1450" s="11" t="n"/>
      <c r="S1450" s="11" t="n"/>
      <c r="T1450" s="12" t="n"/>
    </row>
    <row r="1451">
      <c r="A1451" s="11" t="n"/>
      <c r="B1451" s="11" t="n"/>
      <c r="C1451" s="11" t="n"/>
      <c r="D1451" s="11" t="n"/>
      <c r="E1451" s="11" t="n"/>
      <c r="F1451" s="11" t="n"/>
      <c r="G1451" s="11" t="n"/>
      <c r="H1451" s="11" t="n"/>
      <c r="I1451" s="11" t="n"/>
      <c r="J1451" s="11" t="n"/>
      <c r="K1451" s="11" t="n"/>
      <c r="L1451" s="11" t="n"/>
      <c r="M1451" s="11" t="n"/>
      <c r="N1451" s="11" t="n"/>
      <c r="O1451" s="11" t="n"/>
      <c r="P1451" s="11" t="n"/>
      <c r="Q1451" s="11" t="n"/>
      <c r="R1451" s="11" t="n"/>
      <c r="S1451" s="11" t="n"/>
      <c r="T1451" s="12" t="n"/>
    </row>
    <row r="1452">
      <c r="A1452" s="11" t="n"/>
      <c r="B1452" s="11" t="n"/>
      <c r="C1452" s="11" t="n"/>
      <c r="D1452" s="11" t="n"/>
      <c r="E1452" s="11" t="n"/>
      <c r="F1452" s="11" t="n"/>
      <c r="G1452" s="11" t="n"/>
      <c r="H1452" s="11" t="n"/>
      <c r="I1452" s="11" t="n"/>
      <c r="J1452" s="11" t="n"/>
      <c r="K1452" s="11" t="n"/>
      <c r="L1452" s="11" t="n"/>
      <c r="M1452" s="11" t="n"/>
      <c r="N1452" s="11" t="n"/>
      <c r="O1452" s="11" t="n"/>
      <c r="P1452" s="11" t="n"/>
      <c r="Q1452" s="11" t="n"/>
      <c r="R1452" s="11" t="n"/>
      <c r="S1452" s="11" t="n"/>
      <c r="T1452" s="12" t="n"/>
    </row>
    <row r="1453">
      <c r="A1453" s="11" t="n"/>
      <c r="B1453" s="11" t="n"/>
      <c r="C1453" s="11" t="n"/>
      <c r="D1453" s="11" t="n"/>
      <c r="E1453" s="11" t="n"/>
      <c r="F1453" s="11" t="n"/>
      <c r="G1453" s="11" t="n"/>
      <c r="H1453" s="11" t="n"/>
      <c r="I1453" s="11" t="n"/>
      <c r="J1453" s="11" t="n"/>
      <c r="K1453" s="11" t="n"/>
      <c r="L1453" s="11" t="n"/>
      <c r="M1453" s="11" t="n"/>
      <c r="N1453" s="11" t="n"/>
      <c r="O1453" s="11" t="n"/>
      <c r="P1453" s="11" t="n"/>
      <c r="Q1453" s="11" t="n"/>
      <c r="R1453" s="11" t="n"/>
      <c r="S1453" s="11" t="n"/>
      <c r="T1453" s="12" t="n"/>
    </row>
    <row r="1454">
      <c r="A1454" s="11" t="n"/>
      <c r="B1454" s="11" t="n"/>
      <c r="C1454" s="11" t="n"/>
      <c r="D1454" s="11" t="n"/>
      <c r="E1454" s="11" t="n"/>
      <c r="F1454" s="11" t="n"/>
      <c r="G1454" s="11" t="n"/>
      <c r="H1454" s="11" t="n"/>
      <c r="I1454" s="11" t="n"/>
      <c r="J1454" s="11" t="n"/>
      <c r="K1454" s="11" t="n"/>
      <c r="L1454" s="11" t="n"/>
      <c r="M1454" s="11" t="n"/>
      <c r="N1454" s="11" t="n"/>
      <c r="O1454" s="11" t="n"/>
      <c r="P1454" s="11" t="n"/>
      <c r="Q1454" s="11" t="n"/>
      <c r="R1454" s="11" t="n"/>
      <c r="S1454" s="11" t="n"/>
      <c r="T1454" s="12" t="n"/>
    </row>
    <row r="1455">
      <c r="A1455" s="11" t="n"/>
      <c r="B1455" s="11" t="n"/>
      <c r="C1455" s="11" t="n"/>
      <c r="D1455" s="11" t="n"/>
      <c r="E1455" s="11" t="n"/>
      <c r="F1455" s="11" t="n"/>
      <c r="G1455" s="11" t="n"/>
      <c r="H1455" s="11" t="n"/>
      <c r="I1455" s="11" t="n"/>
      <c r="J1455" s="11" t="n"/>
      <c r="K1455" s="11" t="n"/>
      <c r="L1455" s="11" t="n"/>
      <c r="M1455" s="11" t="n"/>
      <c r="N1455" s="11" t="n"/>
      <c r="O1455" s="11" t="n"/>
      <c r="P1455" s="11" t="n"/>
      <c r="Q1455" s="11" t="n"/>
      <c r="R1455" s="11" t="n"/>
      <c r="S1455" s="11" t="n"/>
      <c r="T1455" s="12" t="n"/>
    </row>
    <row r="1456">
      <c r="A1456" s="11" t="n"/>
      <c r="B1456" s="11" t="n"/>
      <c r="C1456" s="11" t="n"/>
      <c r="D1456" s="11" t="n"/>
      <c r="E1456" s="11" t="n"/>
      <c r="F1456" s="11" t="n"/>
      <c r="G1456" s="11" t="n"/>
      <c r="H1456" s="11" t="n"/>
      <c r="I1456" s="11" t="n"/>
      <c r="J1456" s="11" t="n"/>
      <c r="K1456" s="11" t="n"/>
      <c r="L1456" s="11" t="n"/>
      <c r="M1456" s="11" t="n"/>
      <c r="N1456" s="11" t="n"/>
      <c r="O1456" s="11" t="n"/>
      <c r="P1456" s="11" t="n"/>
      <c r="Q1456" s="11" t="n"/>
      <c r="R1456" s="11" t="n"/>
      <c r="S1456" s="11" t="n"/>
      <c r="T1456" s="12" t="n"/>
    </row>
    <row r="1457">
      <c r="A1457" s="11" t="n"/>
      <c r="B1457" s="11" t="n"/>
      <c r="C1457" s="11" t="n"/>
      <c r="D1457" s="11" t="n"/>
      <c r="E1457" s="11" t="n"/>
      <c r="F1457" s="11" t="n"/>
      <c r="G1457" s="11" t="n"/>
      <c r="H1457" s="11" t="n"/>
      <c r="I1457" s="11" t="n"/>
      <c r="J1457" s="11" t="n"/>
      <c r="K1457" s="11" t="n"/>
      <c r="L1457" s="11" t="n"/>
      <c r="M1457" s="11" t="n"/>
      <c r="N1457" s="11" t="n"/>
      <c r="O1457" s="11" t="n"/>
      <c r="P1457" s="11" t="n"/>
      <c r="Q1457" s="11" t="n"/>
      <c r="R1457" s="11" t="n"/>
      <c r="S1457" s="11" t="n"/>
      <c r="T1457" s="12" t="n"/>
    </row>
    <row r="1458">
      <c r="A1458" s="11" t="n"/>
      <c r="B1458" s="11" t="n"/>
      <c r="C1458" s="11" t="n"/>
      <c r="D1458" s="11" t="n"/>
      <c r="E1458" s="11" t="n"/>
      <c r="F1458" s="11" t="n"/>
      <c r="G1458" s="11" t="n"/>
      <c r="H1458" s="11" t="n"/>
      <c r="I1458" s="11" t="n"/>
      <c r="J1458" s="11" t="n"/>
      <c r="K1458" s="11" t="n"/>
      <c r="L1458" s="11" t="n"/>
      <c r="M1458" s="11" t="n"/>
      <c r="N1458" s="11" t="n"/>
      <c r="O1458" s="11" t="n"/>
      <c r="P1458" s="11" t="n"/>
      <c r="Q1458" s="11" t="n"/>
      <c r="R1458" s="11" t="n"/>
      <c r="S1458" s="11" t="n"/>
      <c r="T1458" s="12" t="n"/>
    </row>
    <row r="1459">
      <c r="A1459" s="11" t="n"/>
      <c r="B1459" s="11" t="n"/>
      <c r="C1459" s="11" t="n"/>
      <c r="D1459" s="11" t="n"/>
      <c r="E1459" s="11" t="n"/>
      <c r="F1459" s="11" t="n"/>
      <c r="G1459" s="11" t="n"/>
      <c r="H1459" s="11" t="n"/>
      <c r="I1459" s="11" t="n"/>
      <c r="J1459" s="11" t="n"/>
      <c r="K1459" s="11" t="n"/>
      <c r="L1459" s="11" t="n"/>
      <c r="M1459" s="11" t="n"/>
      <c r="N1459" s="11" t="n"/>
      <c r="O1459" s="11" t="n"/>
      <c r="P1459" s="11" t="n"/>
      <c r="Q1459" s="11" t="n"/>
      <c r="R1459" s="11" t="n"/>
      <c r="S1459" s="11" t="n"/>
      <c r="T1459" s="12" t="n"/>
    </row>
    <row r="1460">
      <c r="A1460" s="11" t="n"/>
      <c r="B1460" s="11" t="n"/>
      <c r="C1460" s="11" t="n"/>
      <c r="D1460" s="11" t="n"/>
      <c r="E1460" s="11" t="n"/>
      <c r="F1460" s="11" t="n"/>
      <c r="G1460" s="11" t="n"/>
      <c r="H1460" s="11" t="n"/>
      <c r="I1460" s="11" t="n"/>
      <c r="J1460" s="11" t="n"/>
      <c r="K1460" s="11" t="n"/>
      <c r="L1460" s="11" t="n"/>
      <c r="M1460" s="11" t="n"/>
      <c r="N1460" s="11" t="n"/>
      <c r="O1460" s="11" t="n"/>
      <c r="P1460" s="11" t="n"/>
      <c r="Q1460" s="11" t="n"/>
      <c r="R1460" s="11" t="n"/>
      <c r="S1460" s="11" t="n"/>
      <c r="T1460" s="12" t="n"/>
    </row>
    <row r="1461">
      <c r="A1461" s="11" t="n"/>
      <c r="B1461" s="11" t="n"/>
      <c r="C1461" s="11" t="n"/>
      <c r="D1461" s="11" t="n"/>
      <c r="E1461" s="11" t="n"/>
      <c r="F1461" s="11" t="n"/>
      <c r="G1461" s="11" t="n"/>
      <c r="H1461" s="11" t="n"/>
      <c r="I1461" s="11" t="n"/>
      <c r="J1461" s="11" t="n"/>
      <c r="K1461" s="11" t="n"/>
      <c r="L1461" s="11" t="n"/>
      <c r="M1461" s="11" t="n"/>
      <c r="N1461" s="11" t="n"/>
      <c r="O1461" s="11" t="n"/>
      <c r="P1461" s="11" t="n"/>
      <c r="Q1461" s="11" t="n"/>
      <c r="R1461" s="11" t="n"/>
      <c r="S1461" s="11" t="n"/>
      <c r="T1461" s="12" t="n"/>
    </row>
    <row r="1462">
      <c r="A1462" s="11" t="n"/>
      <c r="B1462" s="11" t="n"/>
      <c r="C1462" s="11" t="n"/>
      <c r="D1462" s="11" t="n"/>
      <c r="E1462" s="11" t="n"/>
      <c r="F1462" s="11" t="n"/>
      <c r="G1462" s="11" t="n"/>
      <c r="H1462" s="11" t="n"/>
      <c r="I1462" s="11" t="n"/>
      <c r="J1462" s="11" t="n"/>
      <c r="K1462" s="11" t="n"/>
      <c r="L1462" s="11" t="n"/>
      <c r="M1462" s="11" t="n"/>
      <c r="N1462" s="11" t="n"/>
      <c r="O1462" s="11" t="n"/>
      <c r="P1462" s="11" t="n"/>
      <c r="Q1462" s="11" t="n"/>
      <c r="R1462" s="11" t="n"/>
      <c r="S1462" s="11" t="n"/>
      <c r="T1462" s="12" t="n"/>
    </row>
    <row r="1463">
      <c r="A1463" s="11" t="n"/>
      <c r="B1463" s="11" t="n"/>
      <c r="C1463" s="11" t="n"/>
      <c r="D1463" s="11" t="n"/>
      <c r="E1463" s="11" t="n"/>
      <c r="F1463" s="11" t="n"/>
      <c r="G1463" s="11" t="n"/>
      <c r="H1463" s="11" t="n"/>
      <c r="I1463" s="11" t="n"/>
      <c r="J1463" s="11" t="n"/>
      <c r="K1463" s="11" t="n"/>
      <c r="L1463" s="11" t="n"/>
      <c r="M1463" s="11" t="n"/>
      <c r="N1463" s="11" t="n"/>
      <c r="O1463" s="11" t="n"/>
      <c r="P1463" s="11" t="n"/>
      <c r="Q1463" s="11" t="n"/>
      <c r="R1463" s="11" t="n"/>
      <c r="S1463" s="11" t="n"/>
      <c r="T1463" s="12" t="n"/>
    </row>
    <row r="1464">
      <c r="A1464" s="11" t="n"/>
      <c r="B1464" s="11" t="n"/>
      <c r="C1464" s="11" t="n"/>
      <c r="D1464" s="11" t="n"/>
      <c r="E1464" s="11" t="n"/>
      <c r="F1464" s="11" t="n"/>
      <c r="G1464" s="11" t="n"/>
      <c r="H1464" s="11" t="n"/>
      <c r="I1464" s="11" t="n"/>
      <c r="J1464" s="11" t="n"/>
      <c r="K1464" s="11" t="n"/>
      <c r="L1464" s="11" t="n"/>
      <c r="M1464" s="11" t="n"/>
      <c r="N1464" s="11" t="n"/>
      <c r="O1464" s="11" t="n"/>
      <c r="P1464" s="11" t="n"/>
      <c r="Q1464" s="11" t="n"/>
      <c r="R1464" s="11" t="n"/>
      <c r="S1464" s="11" t="n"/>
      <c r="T1464" s="12" t="n"/>
    </row>
    <row r="1465">
      <c r="A1465" s="11" t="n"/>
      <c r="B1465" s="11" t="n"/>
      <c r="C1465" s="11" t="n"/>
      <c r="D1465" s="11" t="n"/>
      <c r="E1465" s="11" t="n"/>
      <c r="F1465" s="11" t="n"/>
      <c r="G1465" s="11" t="n"/>
      <c r="H1465" s="11" t="n"/>
      <c r="I1465" s="11" t="n"/>
      <c r="J1465" s="11" t="n"/>
      <c r="K1465" s="11" t="n"/>
      <c r="L1465" s="11" t="n"/>
      <c r="M1465" s="11" t="n"/>
      <c r="N1465" s="11" t="n"/>
      <c r="O1465" s="11" t="n"/>
      <c r="P1465" s="11" t="n"/>
      <c r="Q1465" s="11" t="n"/>
      <c r="R1465" s="11" t="n"/>
      <c r="S1465" s="11" t="n"/>
      <c r="T1465" s="12" t="n"/>
    </row>
    <row r="1466">
      <c r="A1466" s="11" t="n"/>
      <c r="B1466" s="11" t="n"/>
      <c r="C1466" s="11" t="n"/>
      <c r="D1466" s="11" t="n"/>
      <c r="E1466" s="11" t="n"/>
      <c r="F1466" s="11" t="n"/>
      <c r="G1466" s="11" t="n"/>
      <c r="H1466" s="11" t="n"/>
      <c r="I1466" s="11" t="n"/>
      <c r="J1466" s="11" t="n"/>
      <c r="K1466" s="11" t="n"/>
      <c r="L1466" s="11" t="n"/>
      <c r="M1466" s="11" t="n"/>
      <c r="N1466" s="11" t="n"/>
      <c r="O1466" s="11" t="n"/>
      <c r="P1466" s="11" t="n"/>
      <c r="Q1466" s="11" t="n"/>
      <c r="R1466" s="11" t="n"/>
      <c r="S1466" s="11" t="n"/>
      <c r="T1466" s="12" t="n"/>
    </row>
    <row r="1467">
      <c r="A1467" s="11" t="n"/>
      <c r="B1467" s="11" t="n"/>
      <c r="C1467" s="11" t="n"/>
      <c r="D1467" s="11" t="n"/>
      <c r="E1467" s="11" t="n"/>
      <c r="F1467" s="11" t="n"/>
      <c r="G1467" s="11" t="n"/>
      <c r="H1467" s="11" t="n"/>
      <c r="I1467" s="11" t="n"/>
      <c r="J1467" s="11" t="n"/>
      <c r="K1467" s="11" t="n"/>
      <c r="L1467" s="11" t="n"/>
      <c r="M1467" s="11" t="n"/>
      <c r="N1467" s="11" t="n"/>
      <c r="O1467" s="11" t="n"/>
      <c r="P1467" s="11" t="n"/>
      <c r="Q1467" s="11" t="n"/>
      <c r="R1467" s="11" t="n"/>
      <c r="S1467" s="11" t="n"/>
      <c r="T1467" s="12" t="n"/>
    </row>
    <row r="1468">
      <c r="A1468" s="11" t="n"/>
      <c r="B1468" s="11" t="n"/>
      <c r="C1468" s="11" t="n"/>
      <c r="D1468" s="11" t="n"/>
      <c r="E1468" s="11" t="n"/>
      <c r="F1468" s="11" t="n"/>
      <c r="G1468" s="11" t="n"/>
      <c r="H1468" s="11" t="n"/>
      <c r="I1468" s="11" t="n"/>
      <c r="J1468" s="11" t="n"/>
      <c r="K1468" s="11" t="n"/>
      <c r="L1468" s="11" t="n"/>
      <c r="M1468" s="11" t="n"/>
      <c r="N1468" s="11" t="n"/>
      <c r="O1468" s="11" t="n"/>
      <c r="P1468" s="11" t="n"/>
      <c r="Q1468" s="11" t="n"/>
      <c r="R1468" s="11" t="n"/>
      <c r="S1468" s="11" t="n"/>
      <c r="T1468" s="12" t="n"/>
    </row>
    <row r="1469">
      <c r="A1469" s="11" t="n"/>
      <c r="B1469" s="11" t="n"/>
      <c r="C1469" s="11" t="n"/>
      <c r="D1469" s="11" t="n"/>
      <c r="E1469" s="11" t="n"/>
      <c r="F1469" s="11" t="n"/>
      <c r="G1469" s="11" t="n"/>
      <c r="H1469" s="11" t="n"/>
      <c r="I1469" s="11" t="n"/>
      <c r="J1469" s="11" t="n"/>
      <c r="K1469" s="11" t="n"/>
      <c r="L1469" s="11" t="n"/>
      <c r="M1469" s="11" t="n"/>
      <c r="N1469" s="11" t="n"/>
      <c r="O1469" s="11" t="n"/>
      <c r="P1469" s="11" t="n"/>
      <c r="Q1469" s="11" t="n"/>
      <c r="R1469" s="11" t="n"/>
      <c r="S1469" s="11" t="n"/>
      <c r="T1469" s="12" t="n"/>
    </row>
    <row r="1470">
      <c r="A1470" s="11" t="n"/>
      <c r="B1470" s="11" t="n"/>
      <c r="C1470" s="11" t="n"/>
      <c r="D1470" s="11" t="n"/>
      <c r="E1470" s="11" t="n"/>
      <c r="F1470" s="11" t="n"/>
      <c r="G1470" s="11" t="n"/>
      <c r="H1470" s="11" t="n"/>
      <c r="I1470" s="11" t="n"/>
      <c r="J1470" s="11" t="n"/>
      <c r="K1470" s="11" t="n"/>
      <c r="L1470" s="11" t="n"/>
      <c r="M1470" s="11" t="n"/>
      <c r="N1470" s="11" t="n"/>
      <c r="O1470" s="11" t="n"/>
      <c r="P1470" s="11" t="n"/>
      <c r="Q1470" s="11" t="n"/>
      <c r="R1470" s="11" t="n"/>
      <c r="S1470" s="11" t="n"/>
      <c r="T1470" s="12" t="n"/>
    </row>
    <row r="1471">
      <c r="A1471" s="11" t="n"/>
      <c r="B1471" s="11" t="n"/>
      <c r="C1471" s="11" t="n"/>
      <c r="D1471" s="11" t="n"/>
      <c r="E1471" s="11" t="n"/>
      <c r="F1471" s="11" t="n"/>
      <c r="G1471" s="11" t="n"/>
      <c r="H1471" s="11" t="n"/>
      <c r="I1471" s="11" t="n"/>
      <c r="J1471" s="11" t="n"/>
      <c r="K1471" s="11" t="n"/>
      <c r="L1471" s="11" t="n"/>
      <c r="M1471" s="11" t="n"/>
      <c r="N1471" s="11" t="n"/>
      <c r="O1471" s="11" t="n"/>
      <c r="P1471" s="11" t="n"/>
      <c r="Q1471" s="11" t="n"/>
      <c r="R1471" s="11" t="n"/>
      <c r="S1471" s="11" t="n"/>
      <c r="T1471" s="12" t="n"/>
    </row>
    <row r="1472">
      <c r="A1472" s="11" t="n"/>
      <c r="B1472" s="11" t="n"/>
      <c r="C1472" s="11" t="n"/>
      <c r="D1472" s="11" t="n"/>
      <c r="E1472" s="11" t="n"/>
      <c r="F1472" s="11" t="n"/>
      <c r="G1472" s="11" t="n"/>
      <c r="H1472" s="11" t="n"/>
      <c r="I1472" s="11" t="n"/>
      <c r="J1472" s="11" t="n"/>
      <c r="K1472" s="11" t="n"/>
      <c r="L1472" s="11" t="n"/>
      <c r="M1472" s="11" t="n"/>
      <c r="N1472" s="11" t="n"/>
      <c r="O1472" s="11" t="n"/>
      <c r="P1472" s="11" t="n"/>
      <c r="Q1472" s="11" t="n"/>
      <c r="R1472" s="11" t="n"/>
      <c r="S1472" s="11" t="n"/>
      <c r="T1472" s="12" t="n"/>
    </row>
    <row r="1473">
      <c r="A1473" s="11" t="n"/>
      <c r="B1473" s="11" t="n"/>
      <c r="C1473" s="11" t="n"/>
      <c r="D1473" s="11" t="n"/>
      <c r="E1473" s="11" t="n"/>
      <c r="F1473" s="11" t="n"/>
      <c r="G1473" s="11" t="n"/>
      <c r="H1473" s="11" t="n"/>
      <c r="I1473" s="11" t="n"/>
      <c r="J1473" s="11" t="n"/>
      <c r="K1473" s="11" t="n"/>
      <c r="L1473" s="11" t="n"/>
      <c r="M1473" s="11" t="n"/>
      <c r="N1473" s="11" t="n"/>
      <c r="O1473" s="11" t="n"/>
      <c r="P1473" s="11" t="n"/>
      <c r="Q1473" s="11" t="n"/>
      <c r="R1473" s="11" t="n"/>
      <c r="S1473" s="11" t="n"/>
      <c r="T1473" s="12" t="n"/>
    </row>
    <row r="1474">
      <c r="A1474" s="11" t="n"/>
      <c r="B1474" s="11" t="n"/>
      <c r="C1474" s="11" t="n"/>
      <c r="D1474" s="11" t="n"/>
      <c r="E1474" s="11" t="n"/>
      <c r="F1474" s="11" t="n"/>
      <c r="G1474" s="11" t="n"/>
      <c r="H1474" s="11" t="n"/>
      <c r="I1474" s="11" t="n"/>
      <c r="J1474" s="11" t="n"/>
      <c r="K1474" s="11" t="n"/>
      <c r="L1474" s="11" t="n"/>
      <c r="M1474" s="11" t="n"/>
      <c r="N1474" s="11" t="n"/>
      <c r="O1474" s="11" t="n"/>
      <c r="P1474" s="11" t="n"/>
      <c r="Q1474" s="11" t="n"/>
      <c r="R1474" s="11" t="n"/>
      <c r="S1474" s="11" t="n"/>
      <c r="T1474" s="12" t="n"/>
    </row>
    <row r="1475">
      <c r="A1475" s="11" t="n"/>
      <c r="B1475" s="11" t="n"/>
      <c r="C1475" s="11" t="n"/>
      <c r="D1475" s="11" t="n"/>
      <c r="E1475" s="11" t="n"/>
      <c r="F1475" s="11" t="n"/>
      <c r="G1475" s="11" t="n"/>
      <c r="H1475" s="11" t="n"/>
      <c r="I1475" s="11" t="n"/>
      <c r="J1475" s="11" t="n"/>
      <c r="K1475" s="11" t="n"/>
      <c r="L1475" s="11" t="n"/>
      <c r="M1475" s="11" t="n"/>
      <c r="N1475" s="11" t="n"/>
      <c r="O1475" s="11" t="n"/>
      <c r="P1475" s="11" t="n"/>
      <c r="Q1475" s="11" t="n"/>
      <c r="R1475" s="11" t="n"/>
      <c r="S1475" s="11" t="n"/>
      <c r="T1475" s="12" t="n"/>
    </row>
    <row r="1476">
      <c r="A1476" s="11" t="n"/>
      <c r="B1476" s="11" t="n"/>
      <c r="C1476" s="11" t="n"/>
      <c r="D1476" s="11" t="n"/>
      <c r="E1476" s="11" t="n"/>
      <c r="F1476" s="11" t="n"/>
      <c r="G1476" s="11" t="n"/>
      <c r="H1476" s="11" t="n"/>
      <c r="I1476" s="11" t="n"/>
      <c r="J1476" s="11" t="n"/>
      <c r="K1476" s="11" t="n"/>
      <c r="L1476" s="11" t="n"/>
      <c r="M1476" s="11" t="n"/>
      <c r="N1476" s="11" t="n"/>
      <c r="O1476" s="11" t="n"/>
      <c r="P1476" s="11" t="n"/>
      <c r="Q1476" s="11" t="n"/>
      <c r="R1476" s="11" t="n"/>
      <c r="S1476" s="11" t="n"/>
      <c r="T1476" s="12" t="n"/>
    </row>
    <row r="1477">
      <c r="A1477" s="11" t="n"/>
      <c r="B1477" s="11" t="n"/>
      <c r="C1477" s="11" t="n"/>
      <c r="D1477" s="11" t="n"/>
      <c r="E1477" s="11" t="n"/>
      <c r="F1477" s="11" t="n"/>
      <c r="G1477" s="11" t="n"/>
      <c r="H1477" s="11" t="n"/>
      <c r="I1477" s="11" t="n"/>
      <c r="J1477" s="11" t="n"/>
      <c r="K1477" s="11" t="n"/>
      <c r="L1477" s="11" t="n"/>
      <c r="M1477" s="11" t="n"/>
      <c r="N1477" s="11" t="n"/>
      <c r="O1477" s="11" t="n"/>
      <c r="P1477" s="11" t="n"/>
      <c r="Q1477" s="11" t="n"/>
      <c r="R1477" s="11" t="n"/>
      <c r="S1477" s="11" t="n"/>
      <c r="T1477" s="12" t="n"/>
    </row>
    <row r="1478">
      <c r="A1478" s="11" t="n"/>
      <c r="B1478" s="11" t="n"/>
      <c r="C1478" s="11" t="n"/>
      <c r="D1478" s="11" t="n"/>
      <c r="E1478" s="11" t="n"/>
      <c r="F1478" s="11" t="n"/>
      <c r="G1478" s="11" t="n"/>
      <c r="H1478" s="11" t="n"/>
      <c r="I1478" s="11" t="n"/>
      <c r="J1478" s="11" t="n"/>
      <c r="K1478" s="11" t="n"/>
      <c r="L1478" s="11" t="n"/>
      <c r="M1478" s="11" t="n"/>
      <c r="N1478" s="11" t="n"/>
      <c r="O1478" s="11" t="n"/>
      <c r="P1478" s="11" t="n"/>
      <c r="Q1478" s="11" t="n"/>
      <c r="R1478" s="11" t="n"/>
      <c r="S1478" s="11" t="n"/>
      <c r="T1478" s="12" t="n"/>
    </row>
    <row r="1479">
      <c r="A1479" s="11" t="n"/>
      <c r="B1479" s="11" t="n"/>
      <c r="C1479" s="11" t="n"/>
      <c r="D1479" s="11" t="n"/>
      <c r="E1479" s="11" t="n"/>
      <c r="F1479" s="11" t="n"/>
      <c r="G1479" s="11" t="n"/>
      <c r="H1479" s="11" t="n"/>
      <c r="I1479" s="11" t="n"/>
      <c r="J1479" s="11" t="n"/>
      <c r="K1479" s="11" t="n"/>
      <c r="L1479" s="11" t="n"/>
      <c r="M1479" s="11" t="n"/>
      <c r="N1479" s="11" t="n"/>
      <c r="O1479" s="11" t="n"/>
      <c r="P1479" s="11" t="n"/>
      <c r="Q1479" s="11" t="n"/>
      <c r="R1479" s="11" t="n"/>
      <c r="S1479" s="11" t="n"/>
      <c r="T1479" s="12" t="n"/>
    </row>
    <row r="1480">
      <c r="A1480" s="11" t="n"/>
      <c r="B1480" s="11" t="n"/>
      <c r="C1480" s="11" t="n"/>
      <c r="D1480" s="11" t="n"/>
      <c r="E1480" s="11" t="n"/>
      <c r="F1480" s="11" t="n"/>
      <c r="G1480" s="11" t="n"/>
      <c r="H1480" s="11" t="n"/>
      <c r="I1480" s="11" t="n"/>
      <c r="J1480" s="11" t="n"/>
      <c r="K1480" s="11" t="n"/>
      <c r="L1480" s="11" t="n"/>
      <c r="M1480" s="11" t="n"/>
      <c r="N1480" s="11" t="n"/>
      <c r="O1480" s="11" t="n"/>
      <c r="P1480" s="11" t="n"/>
      <c r="Q1480" s="11" t="n"/>
      <c r="R1480" s="11" t="n"/>
      <c r="S1480" s="11" t="n"/>
      <c r="T1480" s="12" t="n"/>
    </row>
    <row r="1481">
      <c r="A1481" s="11" t="n"/>
      <c r="B1481" s="11" t="n"/>
      <c r="C1481" s="11" t="n"/>
      <c r="D1481" s="11" t="n"/>
      <c r="E1481" s="11" t="n"/>
      <c r="F1481" s="11" t="n"/>
      <c r="G1481" s="11" t="n"/>
      <c r="H1481" s="11" t="n"/>
      <c r="I1481" s="11" t="n"/>
      <c r="J1481" s="11" t="n"/>
      <c r="K1481" s="11" t="n"/>
      <c r="L1481" s="11" t="n"/>
      <c r="M1481" s="11" t="n"/>
      <c r="N1481" s="11" t="n"/>
      <c r="O1481" s="11" t="n"/>
      <c r="P1481" s="11" t="n"/>
      <c r="Q1481" s="11" t="n"/>
      <c r="R1481" s="11" t="n"/>
      <c r="S1481" s="11" t="n"/>
      <c r="T1481" s="12" t="n"/>
    </row>
    <row r="1482">
      <c r="A1482" s="11" t="n"/>
      <c r="B1482" s="11" t="n"/>
      <c r="C1482" s="11" t="n"/>
      <c r="D1482" s="11" t="n"/>
      <c r="E1482" s="11" t="n"/>
      <c r="F1482" s="11" t="n"/>
      <c r="G1482" s="11" t="n"/>
      <c r="H1482" s="11" t="n"/>
      <c r="I1482" s="11" t="n"/>
      <c r="J1482" s="11" t="n"/>
      <c r="K1482" s="11" t="n"/>
      <c r="L1482" s="11" t="n"/>
      <c r="M1482" s="11" t="n"/>
      <c r="N1482" s="11" t="n"/>
      <c r="O1482" s="11" t="n"/>
      <c r="P1482" s="11" t="n"/>
      <c r="Q1482" s="11" t="n"/>
      <c r="R1482" s="11" t="n"/>
      <c r="S1482" s="11" t="n"/>
      <c r="T1482" s="12" t="n"/>
    </row>
    <row r="1483">
      <c r="A1483" s="11" t="n"/>
      <c r="B1483" s="11" t="n"/>
      <c r="C1483" s="11" t="n"/>
      <c r="D1483" s="11" t="n"/>
      <c r="E1483" s="11" t="n"/>
      <c r="F1483" s="11" t="n"/>
      <c r="G1483" s="11" t="n"/>
      <c r="H1483" s="11" t="n"/>
      <c r="I1483" s="11" t="n"/>
      <c r="J1483" s="11" t="n"/>
      <c r="K1483" s="11" t="n"/>
      <c r="L1483" s="11" t="n"/>
      <c r="M1483" s="11" t="n"/>
      <c r="N1483" s="11" t="n"/>
      <c r="O1483" s="11" t="n"/>
      <c r="P1483" s="11" t="n"/>
      <c r="Q1483" s="11" t="n"/>
      <c r="R1483" s="11" t="n"/>
      <c r="S1483" s="11" t="n"/>
      <c r="T1483" s="12" t="n"/>
    </row>
    <row r="1484">
      <c r="A1484" s="11" t="n"/>
      <c r="B1484" s="11" t="n"/>
      <c r="C1484" s="11" t="n"/>
      <c r="D1484" s="11" t="n"/>
      <c r="E1484" s="11" t="n"/>
      <c r="F1484" s="11" t="n"/>
      <c r="G1484" s="11" t="n"/>
      <c r="H1484" s="11" t="n"/>
      <c r="I1484" s="11" t="n"/>
      <c r="J1484" s="11" t="n"/>
      <c r="K1484" s="11" t="n"/>
      <c r="L1484" s="11" t="n"/>
      <c r="M1484" s="11" t="n"/>
      <c r="N1484" s="11" t="n"/>
      <c r="O1484" s="11" t="n"/>
      <c r="P1484" s="11" t="n"/>
      <c r="Q1484" s="11" t="n"/>
      <c r="R1484" s="11" t="n"/>
      <c r="S1484" s="11" t="n"/>
      <c r="T1484" s="12" t="n"/>
    </row>
    <row r="1485">
      <c r="A1485" s="11" t="n"/>
      <c r="B1485" s="11" t="n"/>
      <c r="C1485" s="11" t="n"/>
      <c r="D1485" s="11" t="n"/>
      <c r="E1485" s="11" t="n"/>
      <c r="F1485" s="11" t="n"/>
      <c r="G1485" s="11" t="n"/>
      <c r="H1485" s="11" t="n"/>
      <c r="I1485" s="11" t="n"/>
      <c r="J1485" s="11" t="n"/>
      <c r="K1485" s="11" t="n"/>
      <c r="L1485" s="11" t="n"/>
      <c r="M1485" s="11" t="n"/>
      <c r="N1485" s="11" t="n"/>
      <c r="O1485" s="11" t="n"/>
      <c r="P1485" s="11" t="n"/>
      <c r="Q1485" s="11" t="n"/>
      <c r="R1485" s="11" t="n"/>
      <c r="S1485" s="11" t="n"/>
      <c r="T1485" s="12" t="n"/>
    </row>
    <row r="1486">
      <c r="A1486" s="11" t="n"/>
      <c r="B1486" s="11" t="n"/>
      <c r="C1486" s="11" t="n"/>
      <c r="D1486" s="11" t="n"/>
      <c r="E1486" s="11" t="n"/>
      <c r="F1486" s="11" t="n"/>
      <c r="G1486" s="11" t="n"/>
      <c r="H1486" s="11" t="n"/>
      <c r="I1486" s="11" t="n"/>
      <c r="J1486" s="11" t="n"/>
      <c r="K1486" s="11" t="n"/>
      <c r="L1486" s="11" t="n"/>
      <c r="M1486" s="11" t="n"/>
      <c r="N1486" s="11" t="n"/>
      <c r="O1486" s="11" t="n"/>
      <c r="P1486" s="11" t="n"/>
      <c r="Q1486" s="11" t="n"/>
      <c r="R1486" s="11" t="n"/>
      <c r="S1486" s="11" t="n"/>
      <c r="T1486" s="12" t="n"/>
    </row>
    <row r="1487">
      <c r="A1487" s="11" t="n"/>
      <c r="B1487" s="11" t="n"/>
      <c r="C1487" s="11" t="n"/>
      <c r="D1487" s="11" t="n"/>
      <c r="E1487" s="11" t="n"/>
      <c r="F1487" s="11" t="n"/>
      <c r="G1487" s="11" t="n"/>
      <c r="H1487" s="11" t="n"/>
      <c r="I1487" s="11" t="n"/>
      <c r="J1487" s="11" t="n"/>
      <c r="K1487" s="11" t="n"/>
      <c r="L1487" s="11" t="n"/>
      <c r="M1487" s="11" t="n"/>
      <c r="N1487" s="11" t="n"/>
      <c r="O1487" s="11" t="n"/>
      <c r="P1487" s="11" t="n"/>
      <c r="Q1487" s="11" t="n"/>
      <c r="R1487" s="11" t="n"/>
      <c r="S1487" s="11" t="n"/>
      <c r="T1487" s="12" t="n"/>
    </row>
    <row r="1488">
      <c r="A1488" s="11" t="n"/>
      <c r="B1488" s="11" t="n"/>
      <c r="C1488" s="11" t="n"/>
      <c r="D1488" s="11" t="n"/>
      <c r="E1488" s="11" t="n"/>
      <c r="F1488" s="11" t="n"/>
      <c r="G1488" s="11" t="n"/>
      <c r="H1488" s="11" t="n"/>
      <c r="I1488" s="11" t="n"/>
      <c r="J1488" s="11" t="n"/>
      <c r="K1488" s="11" t="n"/>
      <c r="L1488" s="11" t="n"/>
      <c r="M1488" s="11" t="n"/>
      <c r="N1488" s="11" t="n"/>
      <c r="O1488" s="11" t="n"/>
      <c r="P1488" s="11" t="n"/>
      <c r="Q1488" s="11" t="n"/>
      <c r="R1488" s="11" t="n"/>
      <c r="S1488" s="11" t="n"/>
      <c r="T1488" s="12" t="n"/>
    </row>
    <row r="1489">
      <c r="A1489" s="11" t="n"/>
      <c r="B1489" s="11" t="n"/>
      <c r="C1489" s="11" t="n"/>
      <c r="D1489" s="11" t="n"/>
      <c r="E1489" s="11" t="n"/>
      <c r="F1489" s="11" t="n"/>
      <c r="G1489" s="11" t="n"/>
      <c r="H1489" s="11" t="n"/>
      <c r="I1489" s="11" t="n"/>
      <c r="J1489" s="11" t="n"/>
      <c r="K1489" s="11" t="n"/>
      <c r="L1489" s="11" t="n"/>
      <c r="M1489" s="11" t="n"/>
      <c r="N1489" s="11" t="n"/>
      <c r="O1489" s="11" t="n"/>
      <c r="P1489" s="11" t="n"/>
      <c r="Q1489" s="11" t="n"/>
      <c r="R1489" s="11" t="n"/>
      <c r="S1489" s="11" t="n"/>
      <c r="T1489" s="12" t="n"/>
    </row>
    <row r="1490">
      <c r="A1490" s="11" t="n"/>
      <c r="B1490" s="11" t="n"/>
      <c r="C1490" s="11" t="n"/>
      <c r="D1490" s="11" t="n"/>
      <c r="E1490" s="11" t="n"/>
      <c r="F1490" s="11" t="n"/>
      <c r="G1490" s="11" t="n"/>
      <c r="H1490" s="11" t="n"/>
      <c r="I1490" s="11" t="n"/>
      <c r="J1490" s="11" t="n"/>
      <c r="K1490" s="11" t="n"/>
      <c r="L1490" s="11" t="n"/>
      <c r="M1490" s="11" t="n"/>
      <c r="N1490" s="11" t="n"/>
      <c r="O1490" s="11" t="n"/>
      <c r="P1490" s="11" t="n"/>
      <c r="Q1490" s="11" t="n"/>
      <c r="R1490" s="11" t="n"/>
      <c r="S1490" s="11" t="n"/>
      <c r="T1490" s="12" t="n"/>
    </row>
    <row r="1491">
      <c r="A1491" s="11" t="n"/>
      <c r="B1491" s="11" t="n"/>
      <c r="C1491" s="11" t="n"/>
      <c r="D1491" s="11" t="n"/>
      <c r="E1491" s="11" t="n"/>
      <c r="F1491" s="11" t="n"/>
      <c r="G1491" s="11" t="n"/>
      <c r="H1491" s="11" t="n"/>
      <c r="I1491" s="11" t="n"/>
      <c r="J1491" s="11" t="n"/>
      <c r="K1491" s="11" t="n"/>
      <c r="L1491" s="11" t="n"/>
      <c r="M1491" s="11" t="n"/>
      <c r="N1491" s="11" t="n"/>
      <c r="O1491" s="11" t="n"/>
      <c r="P1491" s="11" t="n"/>
      <c r="Q1491" s="11" t="n"/>
      <c r="R1491" s="11" t="n"/>
      <c r="S1491" s="11" t="n"/>
      <c r="T1491" s="12" t="n"/>
    </row>
    <row r="1492">
      <c r="A1492" s="11" t="n"/>
      <c r="B1492" s="11" t="n"/>
      <c r="C1492" s="11" t="n"/>
      <c r="D1492" s="11" t="n"/>
      <c r="E1492" s="11" t="n"/>
      <c r="F1492" s="11" t="n"/>
      <c r="G1492" s="11" t="n"/>
      <c r="H1492" s="11" t="n"/>
      <c r="I1492" s="11" t="n"/>
      <c r="J1492" s="11" t="n"/>
      <c r="K1492" s="11" t="n"/>
      <c r="L1492" s="11" t="n"/>
      <c r="M1492" s="11" t="n"/>
      <c r="N1492" s="11" t="n"/>
      <c r="O1492" s="11" t="n"/>
      <c r="P1492" s="11" t="n"/>
      <c r="Q1492" s="11" t="n"/>
      <c r="R1492" s="11" t="n"/>
      <c r="S1492" s="11" t="n"/>
      <c r="T1492" s="12" t="n"/>
    </row>
    <row r="1493">
      <c r="A1493" s="11" t="n"/>
      <c r="B1493" s="11" t="n"/>
      <c r="C1493" s="11" t="n"/>
      <c r="D1493" s="11" t="n"/>
      <c r="E1493" s="11" t="n"/>
      <c r="F1493" s="11" t="n"/>
      <c r="G1493" s="11" t="n"/>
      <c r="H1493" s="11" t="n"/>
      <c r="I1493" s="11" t="n"/>
      <c r="J1493" s="11" t="n"/>
      <c r="K1493" s="11" t="n"/>
      <c r="L1493" s="11" t="n"/>
      <c r="M1493" s="11" t="n"/>
      <c r="N1493" s="11" t="n"/>
      <c r="O1493" s="11" t="n"/>
      <c r="P1493" s="11" t="n"/>
      <c r="Q1493" s="11" t="n"/>
      <c r="R1493" s="11" t="n"/>
      <c r="S1493" s="11" t="n"/>
      <c r="T1493" s="12" t="n"/>
    </row>
    <row r="1494">
      <c r="A1494" s="11" t="n"/>
      <c r="B1494" s="11" t="n"/>
      <c r="C1494" s="11" t="n"/>
      <c r="D1494" s="11" t="n"/>
      <c r="E1494" s="11" t="n"/>
      <c r="F1494" s="11" t="n"/>
      <c r="G1494" s="11" t="n"/>
      <c r="H1494" s="11" t="n"/>
      <c r="I1494" s="11" t="n"/>
      <c r="J1494" s="11" t="n"/>
      <c r="K1494" s="11" t="n"/>
      <c r="L1494" s="11" t="n"/>
      <c r="M1494" s="11" t="n"/>
      <c r="N1494" s="11" t="n"/>
      <c r="O1494" s="11" t="n"/>
      <c r="P1494" s="11" t="n"/>
      <c r="Q1494" s="11" t="n"/>
      <c r="R1494" s="11" t="n"/>
      <c r="S1494" s="11" t="n"/>
      <c r="T1494" s="12" t="n"/>
    </row>
    <row r="1495">
      <c r="A1495" s="11" t="n"/>
      <c r="B1495" s="11" t="n"/>
      <c r="C1495" s="11" t="n"/>
      <c r="D1495" s="11" t="n"/>
      <c r="E1495" s="11" t="n"/>
      <c r="F1495" s="11" t="n"/>
      <c r="G1495" s="11" t="n"/>
      <c r="H1495" s="11" t="n"/>
      <c r="I1495" s="11" t="n"/>
      <c r="J1495" s="11" t="n"/>
      <c r="K1495" s="11" t="n"/>
      <c r="L1495" s="11" t="n"/>
      <c r="M1495" s="11" t="n"/>
      <c r="N1495" s="11" t="n"/>
      <c r="O1495" s="11" t="n"/>
      <c r="P1495" s="11" t="n"/>
      <c r="Q1495" s="11" t="n"/>
      <c r="R1495" s="11" t="n"/>
      <c r="S1495" s="11" t="n"/>
      <c r="T1495" s="12" t="n"/>
    </row>
    <row r="1496">
      <c r="A1496" s="11" t="n"/>
      <c r="B1496" s="11" t="n"/>
      <c r="C1496" s="11" t="n"/>
      <c r="D1496" s="11" t="n"/>
      <c r="E1496" s="11" t="n"/>
      <c r="F1496" s="11" t="n"/>
      <c r="G1496" s="11" t="n"/>
      <c r="H1496" s="11" t="n"/>
      <c r="I1496" s="11" t="n"/>
      <c r="J1496" s="11" t="n"/>
      <c r="K1496" s="11" t="n"/>
      <c r="L1496" s="11" t="n"/>
      <c r="M1496" s="11" t="n"/>
      <c r="N1496" s="11" t="n"/>
      <c r="O1496" s="11" t="n"/>
      <c r="P1496" s="11" t="n"/>
      <c r="Q1496" s="11" t="n"/>
      <c r="R1496" s="11" t="n"/>
      <c r="S1496" s="11" t="n"/>
      <c r="T1496" s="12" t="n"/>
    </row>
    <row r="1497">
      <c r="A1497" s="11" t="n"/>
      <c r="B1497" s="11" t="n"/>
      <c r="C1497" s="11" t="n"/>
      <c r="D1497" s="11" t="n"/>
      <c r="E1497" s="11" t="n"/>
      <c r="F1497" s="11" t="n"/>
      <c r="G1497" s="11" t="n"/>
      <c r="H1497" s="11" t="n"/>
      <c r="I1497" s="11" t="n"/>
      <c r="J1497" s="11" t="n"/>
      <c r="K1497" s="11" t="n"/>
      <c r="L1497" s="11" t="n"/>
      <c r="M1497" s="11" t="n"/>
      <c r="N1497" s="11" t="n"/>
      <c r="O1497" s="11" t="n"/>
      <c r="P1497" s="11" t="n"/>
      <c r="Q1497" s="11" t="n"/>
      <c r="R1497" s="11" t="n"/>
      <c r="S1497" s="11" t="n"/>
      <c r="T1497" s="12" t="n"/>
    </row>
    <row r="1498">
      <c r="A1498" s="11" t="n"/>
      <c r="B1498" s="11" t="n"/>
      <c r="C1498" s="11" t="n"/>
      <c r="D1498" s="11" t="n"/>
      <c r="E1498" s="11" t="n"/>
      <c r="F1498" s="11" t="n"/>
      <c r="G1498" s="11" t="n"/>
      <c r="H1498" s="11" t="n"/>
      <c r="I1498" s="11" t="n"/>
      <c r="J1498" s="11" t="n"/>
      <c r="K1498" s="11" t="n"/>
      <c r="L1498" s="11" t="n"/>
      <c r="M1498" s="11" t="n"/>
      <c r="N1498" s="11" t="n"/>
      <c r="O1498" s="11" t="n"/>
      <c r="P1498" s="11" t="n"/>
      <c r="Q1498" s="11" t="n"/>
      <c r="R1498" s="11" t="n"/>
      <c r="S1498" s="11" t="n"/>
      <c r="T1498" s="12" t="n"/>
    </row>
    <row r="1499">
      <c r="A1499" s="11" t="n"/>
      <c r="B1499" s="11" t="n"/>
      <c r="C1499" s="11" t="n"/>
      <c r="D1499" s="11" t="n"/>
      <c r="E1499" s="11" t="n"/>
      <c r="F1499" s="11" t="n"/>
      <c r="G1499" s="11" t="n"/>
      <c r="H1499" s="11" t="n"/>
      <c r="I1499" s="11" t="n"/>
      <c r="J1499" s="11" t="n"/>
      <c r="K1499" s="11" t="n"/>
      <c r="L1499" s="11" t="n"/>
      <c r="M1499" s="11" t="n"/>
      <c r="N1499" s="11" t="n"/>
      <c r="O1499" s="11" t="n"/>
      <c r="P1499" s="11" t="n"/>
      <c r="Q1499" s="11" t="n"/>
      <c r="R1499" s="11" t="n"/>
      <c r="S1499" s="11" t="n"/>
      <c r="T1499" s="12" t="n"/>
    </row>
    <row r="1500">
      <c r="A1500" s="11" t="n"/>
      <c r="B1500" s="11" t="n"/>
      <c r="C1500" s="11" t="n"/>
      <c r="D1500" s="11" t="n"/>
      <c r="E1500" s="11" t="n"/>
      <c r="F1500" s="11" t="n"/>
      <c r="G1500" s="11" t="n"/>
      <c r="H1500" s="11" t="n"/>
      <c r="I1500" s="11" t="n"/>
      <c r="J1500" s="11" t="n"/>
      <c r="K1500" s="11" t="n"/>
      <c r="L1500" s="11" t="n"/>
      <c r="M1500" s="11" t="n"/>
      <c r="N1500" s="11" t="n"/>
      <c r="O1500" s="11" t="n"/>
      <c r="P1500" s="11" t="n"/>
      <c r="Q1500" s="11" t="n"/>
      <c r="R1500" s="11" t="n"/>
      <c r="S1500" s="11" t="n"/>
      <c r="T1500" s="12" t="n"/>
    </row>
    <row r="1501">
      <c r="A1501" s="11" t="n"/>
      <c r="B1501" s="11" t="n"/>
      <c r="C1501" s="11" t="n"/>
      <c r="D1501" s="11" t="n"/>
      <c r="E1501" s="11" t="n"/>
      <c r="F1501" s="11" t="n"/>
      <c r="G1501" s="11" t="n"/>
      <c r="H1501" s="11" t="n"/>
      <c r="I1501" s="11" t="n"/>
      <c r="J1501" s="11" t="n"/>
      <c r="K1501" s="11" t="n"/>
      <c r="L1501" s="11" t="n"/>
      <c r="M1501" s="11" t="n"/>
      <c r="N1501" s="11" t="n"/>
      <c r="O1501" s="11" t="n"/>
      <c r="P1501" s="11" t="n"/>
      <c r="Q1501" s="11" t="n"/>
      <c r="R1501" s="11" t="n"/>
      <c r="S1501" s="11" t="n"/>
      <c r="T1501" s="12" t="n"/>
    </row>
    <row r="1502">
      <c r="A1502" s="11" t="n"/>
      <c r="B1502" s="11" t="n"/>
      <c r="C1502" s="11" t="n"/>
      <c r="D1502" s="11" t="n"/>
      <c r="E1502" s="11" t="n"/>
      <c r="F1502" s="11" t="n"/>
      <c r="G1502" s="11" t="n"/>
      <c r="H1502" s="11" t="n"/>
      <c r="I1502" s="11" t="n"/>
      <c r="J1502" s="11" t="n"/>
      <c r="K1502" s="11" t="n"/>
      <c r="L1502" s="11" t="n"/>
      <c r="M1502" s="11" t="n"/>
      <c r="N1502" s="11" t="n"/>
      <c r="O1502" s="11" t="n"/>
      <c r="P1502" s="11" t="n"/>
      <c r="Q1502" s="11" t="n"/>
      <c r="R1502" s="11" t="n"/>
      <c r="S1502" s="11" t="n"/>
      <c r="T1502" s="12" t="n"/>
    </row>
    <row r="1503">
      <c r="A1503" s="11" t="n"/>
      <c r="B1503" s="11" t="n"/>
      <c r="C1503" s="11" t="n"/>
      <c r="D1503" s="11" t="n"/>
      <c r="E1503" s="11" t="n"/>
      <c r="F1503" s="11" t="n"/>
      <c r="G1503" s="11" t="n"/>
      <c r="H1503" s="11" t="n"/>
      <c r="I1503" s="11" t="n"/>
      <c r="J1503" s="11" t="n"/>
      <c r="K1503" s="11" t="n"/>
      <c r="L1503" s="11" t="n"/>
      <c r="M1503" s="11" t="n"/>
      <c r="N1503" s="11" t="n"/>
      <c r="O1503" s="11" t="n"/>
      <c r="P1503" s="11" t="n"/>
      <c r="Q1503" s="11" t="n"/>
      <c r="R1503" s="11" t="n"/>
      <c r="S1503" s="11" t="n"/>
      <c r="T1503" s="12" t="n"/>
    </row>
    <row r="1504">
      <c r="A1504" s="11" t="n"/>
      <c r="B1504" s="11" t="n"/>
      <c r="C1504" s="11" t="n"/>
      <c r="D1504" s="11" t="n"/>
      <c r="E1504" s="11" t="n"/>
      <c r="F1504" s="11" t="n"/>
      <c r="G1504" s="11" t="n"/>
      <c r="H1504" s="11" t="n"/>
      <c r="I1504" s="11" t="n"/>
      <c r="J1504" s="11" t="n"/>
      <c r="K1504" s="11" t="n"/>
      <c r="L1504" s="11" t="n"/>
      <c r="M1504" s="11" t="n"/>
      <c r="N1504" s="11" t="n"/>
      <c r="O1504" s="11" t="n"/>
      <c r="P1504" s="11" t="n"/>
      <c r="Q1504" s="11" t="n"/>
      <c r="R1504" s="11" t="n"/>
      <c r="S1504" s="11" t="n"/>
      <c r="T1504" s="12" t="n"/>
    </row>
    <row r="1505">
      <c r="A1505" s="11" t="n"/>
      <c r="B1505" s="11" t="n"/>
      <c r="C1505" s="11" t="n"/>
      <c r="D1505" s="11" t="n"/>
      <c r="E1505" s="11" t="n"/>
      <c r="F1505" s="11" t="n"/>
      <c r="G1505" s="11" t="n"/>
      <c r="H1505" s="11" t="n"/>
      <c r="I1505" s="11" t="n"/>
      <c r="J1505" s="11" t="n"/>
      <c r="K1505" s="11" t="n"/>
      <c r="L1505" s="11" t="n"/>
      <c r="M1505" s="11" t="n"/>
      <c r="N1505" s="11" t="n"/>
      <c r="O1505" s="11" t="n"/>
      <c r="P1505" s="11" t="n"/>
      <c r="Q1505" s="11" t="n"/>
      <c r="R1505" s="11" t="n"/>
      <c r="S1505" s="11" t="n"/>
      <c r="T1505" s="12" t="n"/>
    </row>
    <row r="1506">
      <c r="A1506" s="11" t="n"/>
      <c r="B1506" s="11" t="n"/>
      <c r="C1506" s="11" t="n"/>
      <c r="D1506" s="11" t="n"/>
      <c r="E1506" s="11" t="n"/>
      <c r="F1506" s="11" t="n"/>
      <c r="G1506" s="11" t="n"/>
      <c r="H1506" s="11" t="n"/>
      <c r="I1506" s="11" t="n"/>
      <c r="J1506" s="11" t="n"/>
      <c r="K1506" s="11" t="n"/>
      <c r="L1506" s="11" t="n"/>
      <c r="M1506" s="11" t="n"/>
      <c r="N1506" s="11" t="n"/>
      <c r="O1506" s="11" t="n"/>
      <c r="P1506" s="11" t="n"/>
      <c r="Q1506" s="11" t="n"/>
      <c r="R1506" s="11" t="n"/>
      <c r="S1506" s="11" t="n"/>
      <c r="T1506" s="12" t="n"/>
    </row>
    <row r="1507">
      <c r="A1507" s="11" t="n"/>
      <c r="B1507" s="11" t="n"/>
      <c r="C1507" s="11" t="n"/>
      <c r="D1507" s="11" t="n"/>
      <c r="E1507" s="11" t="n"/>
      <c r="F1507" s="11" t="n"/>
      <c r="G1507" s="11" t="n"/>
      <c r="H1507" s="11" t="n"/>
      <c r="I1507" s="11" t="n"/>
      <c r="J1507" s="11" t="n"/>
      <c r="K1507" s="11" t="n"/>
      <c r="L1507" s="11" t="n"/>
      <c r="M1507" s="11" t="n"/>
      <c r="N1507" s="11" t="n"/>
      <c r="O1507" s="11" t="n"/>
      <c r="P1507" s="11" t="n"/>
      <c r="Q1507" s="11" t="n"/>
      <c r="R1507" s="11" t="n"/>
      <c r="S1507" s="11" t="n"/>
      <c r="T1507" s="12" t="n"/>
    </row>
    <row r="1508">
      <c r="A1508" s="11" t="n"/>
      <c r="B1508" s="11" t="n"/>
      <c r="C1508" s="11" t="n"/>
      <c r="D1508" s="11" t="n"/>
      <c r="E1508" s="11" t="n"/>
      <c r="F1508" s="11" t="n"/>
      <c r="G1508" s="11" t="n"/>
      <c r="H1508" s="11" t="n"/>
      <c r="I1508" s="11" t="n"/>
      <c r="J1508" s="11" t="n"/>
      <c r="K1508" s="11" t="n"/>
      <c r="L1508" s="11" t="n"/>
      <c r="M1508" s="11" t="n"/>
      <c r="N1508" s="11" t="n"/>
      <c r="O1508" s="11" t="n"/>
      <c r="P1508" s="11" t="n"/>
      <c r="Q1508" s="11" t="n"/>
      <c r="R1508" s="11" t="n"/>
      <c r="S1508" s="11" t="n"/>
      <c r="T1508" s="12" t="n"/>
    </row>
    <row r="1509">
      <c r="A1509" s="11" t="n"/>
      <c r="B1509" s="11" t="n"/>
      <c r="C1509" s="11" t="n"/>
      <c r="D1509" s="11" t="n"/>
      <c r="E1509" s="11" t="n"/>
      <c r="F1509" s="11" t="n"/>
      <c r="G1509" s="11" t="n"/>
      <c r="H1509" s="11" t="n"/>
      <c r="I1509" s="11" t="n"/>
      <c r="J1509" s="11" t="n"/>
      <c r="K1509" s="11" t="n"/>
      <c r="L1509" s="11" t="n"/>
      <c r="M1509" s="11" t="n"/>
      <c r="N1509" s="11" t="n"/>
      <c r="O1509" s="11" t="n"/>
      <c r="P1509" s="11" t="n"/>
      <c r="Q1509" s="11" t="n"/>
      <c r="R1509" s="11" t="n"/>
      <c r="S1509" s="11" t="n"/>
      <c r="T1509" s="12" t="n"/>
    </row>
    <row r="1510">
      <c r="A1510" s="11" t="n"/>
      <c r="B1510" s="11" t="n"/>
      <c r="C1510" s="11" t="n"/>
      <c r="D1510" s="11" t="n"/>
      <c r="E1510" s="11" t="n"/>
      <c r="F1510" s="11" t="n"/>
      <c r="G1510" s="11" t="n"/>
      <c r="H1510" s="11" t="n"/>
      <c r="I1510" s="11" t="n"/>
      <c r="J1510" s="11" t="n"/>
      <c r="K1510" s="11" t="n"/>
      <c r="L1510" s="11" t="n"/>
      <c r="M1510" s="11" t="n"/>
      <c r="N1510" s="11" t="n"/>
      <c r="O1510" s="11" t="n"/>
      <c r="P1510" s="11" t="n"/>
      <c r="Q1510" s="11" t="n"/>
      <c r="R1510" s="11" t="n"/>
      <c r="S1510" s="11" t="n"/>
      <c r="T1510" s="12" t="n"/>
    </row>
    <row r="1511">
      <c r="A1511" s="11" t="n"/>
      <c r="B1511" s="11" t="n"/>
      <c r="C1511" s="11" t="n"/>
      <c r="D1511" s="11" t="n"/>
      <c r="E1511" s="11" t="n"/>
      <c r="F1511" s="11" t="n"/>
      <c r="G1511" s="11" t="n"/>
      <c r="H1511" s="11" t="n"/>
      <c r="I1511" s="11" t="n"/>
      <c r="J1511" s="11" t="n"/>
      <c r="K1511" s="11" t="n"/>
      <c r="L1511" s="11" t="n"/>
      <c r="M1511" s="11" t="n"/>
      <c r="N1511" s="11" t="n"/>
      <c r="O1511" s="11" t="n"/>
      <c r="P1511" s="11" t="n"/>
      <c r="Q1511" s="11" t="n"/>
      <c r="R1511" s="11" t="n"/>
      <c r="S1511" s="11" t="n"/>
      <c r="T1511" s="12" t="n"/>
    </row>
    <row r="1512">
      <c r="A1512" s="11" t="n"/>
      <c r="B1512" s="11" t="n"/>
      <c r="C1512" s="11" t="n"/>
      <c r="D1512" s="11" t="n"/>
      <c r="E1512" s="11" t="n"/>
      <c r="F1512" s="11" t="n"/>
      <c r="G1512" s="11" t="n"/>
      <c r="H1512" s="11" t="n"/>
      <c r="I1512" s="11" t="n"/>
      <c r="J1512" s="11" t="n"/>
      <c r="K1512" s="11" t="n"/>
      <c r="L1512" s="11" t="n"/>
      <c r="M1512" s="11" t="n"/>
      <c r="N1512" s="11" t="n"/>
      <c r="O1512" s="11" t="n"/>
      <c r="P1512" s="11" t="n"/>
      <c r="Q1512" s="11" t="n"/>
      <c r="R1512" s="11" t="n"/>
      <c r="S1512" s="11" t="n"/>
      <c r="T1512" s="12" t="n"/>
    </row>
    <row r="1513">
      <c r="A1513" s="11" t="n"/>
      <c r="B1513" s="11" t="n"/>
      <c r="C1513" s="11" t="n"/>
      <c r="D1513" s="11" t="n"/>
      <c r="E1513" s="11" t="n"/>
      <c r="F1513" s="11" t="n"/>
      <c r="G1513" s="11" t="n"/>
      <c r="H1513" s="11" t="n"/>
      <c r="I1513" s="11" t="n"/>
      <c r="J1513" s="11" t="n"/>
      <c r="K1513" s="11" t="n"/>
      <c r="L1513" s="11" t="n"/>
      <c r="M1513" s="11" t="n"/>
      <c r="N1513" s="11" t="n"/>
      <c r="O1513" s="11" t="n"/>
      <c r="P1513" s="11" t="n"/>
      <c r="Q1513" s="11" t="n"/>
      <c r="R1513" s="11" t="n"/>
      <c r="S1513" s="11" t="n"/>
      <c r="T1513" s="12" t="n"/>
    </row>
    <row r="1514">
      <c r="A1514" s="11" t="n"/>
      <c r="B1514" s="11" t="n"/>
      <c r="C1514" s="11" t="n"/>
      <c r="D1514" s="11" t="n"/>
      <c r="E1514" s="11" t="n"/>
      <c r="F1514" s="11" t="n"/>
      <c r="G1514" s="11" t="n"/>
      <c r="H1514" s="11" t="n"/>
      <c r="I1514" s="11" t="n"/>
      <c r="J1514" s="11" t="n"/>
      <c r="K1514" s="11" t="n"/>
      <c r="L1514" s="11" t="n"/>
      <c r="M1514" s="11" t="n"/>
      <c r="N1514" s="11" t="n"/>
      <c r="O1514" s="11" t="n"/>
      <c r="P1514" s="11" t="n"/>
      <c r="Q1514" s="11" t="n"/>
      <c r="R1514" s="11" t="n"/>
      <c r="S1514" s="11" t="n"/>
      <c r="T1514" s="12" t="n"/>
    </row>
    <row r="1515">
      <c r="A1515" s="11" t="n"/>
      <c r="B1515" s="11" t="n"/>
      <c r="C1515" s="11" t="n"/>
      <c r="D1515" s="11" t="n"/>
      <c r="E1515" s="11" t="n"/>
      <c r="F1515" s="11" t="n"/>
      <c r="G1515" s="11" t="n"/>
      <c r="H1515" s="11" t="n"/>
      <c r="I1515" s="11" t="n"/>
      <c r="J1515" s="11" t="n"/>
      <c r="K1515" s="11" t="n"/>
      <c r="L1515" s="11" t="n"/>
      <c r="M1515" s="11" t="n"/>
      <c r="N1515" s="11" t="n"/>
      <c r="O1515" s="11" t="n"/>
      <c r="P1515" s="11" t="n"/>
      <c r="Q1515" s="11" t="n"/>
      <c r="R1515" s="11" t="n"/>
      <c r="S1515" s="11" t="n"/>
      <c r="T1515" s="12" t="n"/>
    </row>
    <row r="1516">
      <c r="A1516" s="11" t="n"/>
      <c r="B1516" s="11" t="n"/>
      <c r="C1516" s="11" t="n"/>
      <c r="D1516" s="11" t="n"/>
      <c r="E1516" s="11" t="n"/>
      <c r="F1516" s="11" t="n"/>
      <c r="G1516" s="11" t="n"/>
      <c r="H1516" s="11" t="n"/>
      <c r="I1516" s="11" t="n"/>
      <c r="J1516" s="11" t="n"/>
      <c r="K1516" s="11" t="n"/>
      <c r="L1516" s="11" t="n"/>
      <c r="M1516" s="11" t="n"/>
      <c r="N1516" s="11" t="n"/>
      <c r="O1516" s="11" t="n"/>
      <c r="P1516" s="11" t="n"/>
      <c r="Q1516" s="11" t="n"/>
      <c r="R1516" s="11" t="n"/>
      <c r="S1516" s="11" t="n"/>
      <c r="T1516" s="12" t="n"/>
    </row>
    <row r="1517">
      <c r="A1517" s="11" t="n"/>
      <c r="B1517" s="11" t="n"/>
      <c r="C1517" s="11" t="n"/>
      <c r="D1517" s="11" t="n"/>
      <c r="E1517" s="11" t="n"/>
      <c r="F1517" s="11" t="n"/>
      <c r="G1517" s="11" t="n"/>
      <c r="H1517" s="11" t="n"/>
      <c r="I1517" s="11" t="n"/>
      <c r="J1517" s="11" t="n"/>
      <c r="K1517" s="11" t="n"/>
      <c r="L1517" s="11" t="n"/>
      <c r="M1517" s="11" t="n"/>
      <c r="N1517" s="11" t="n"/>
      <c r="O1517" s="11" t="n"/>
      <c r="P1517" s="11" t="n"/>
      <c r="Q1517" s="11" t="n"/>
      <c r="R1517" s="11" t="n"/>
      <c r="S1517" s="11" t="n"/>
      <c r="T1517" s="12" t="n"/>
    </row>
    <row r="1518">
      <c r="A1518" s="11" t="n"/>
      <c r="B1518" s="11" t="n"/>
      <c r="C1518" s="11" t="n"/>
      <c r="D1518" s="11" t="n"/>
      <c r="E1518" s="11" t="n"/>
      <c r="F1518" s="11" t="n"/>
      <c r="G1518" s="11" t="n"/>
      <c r="H1518" s="11" t="n"/>
      <c r="I1518" s="11" t="n"/>
      <c r="J1518" s="11" t="n"/>
      <c r="K1518" s="11" t="n"/>
      <c r="L1518" s="11" t="n"/>
      <c r="M1518" s="11" t="n"/>
      <c r="N1518" s="11" t="n"/>
      <c r="O1518" s="11" t="n"/>
      <c r="P1518" s="11" t="n"/>
      <c r="Q1518" s="11" t="n"/>
      <c r="R1518" s="11" t="n"/>
      <c r="S1518" s="11" t="n"/>
      <c r="T1518" s="12" t="n"/>
    </row>
    <row r="1519">
      <c r="A1519" s="11" t="n"/>
      <c r="B1519" s="11" t="n"/>
      <c r="C1519" s="11" t="n"/>
      <c r="D1519" s="11" t="n"/>
      <c r="E1519" s="11" t="n"/>
      <c r="F1519" s="11" t="n"/>
      <c r="G1519" s="11" t="n"/>
      <c r="H1519" s="11" t="n"/>
      <c r="I1519" s="11" t="n"/>
      <c r="J1519" s="11" t="n"/>
      <c r="K1519" s="11" t="n"/>
      <c r="L1519" s="11" t="n"/>
      <c r="M1519" s="11" t="n"/>
      <c r="N1519" s="11" t="n"/>
      <c r="O1519" s="11" t="n"/>
      <c r="P1519" s="11" t="n"/>
      <c r="Q1519" s="11" t="n"/>
      <c r="R1519" s="11" t="n"/>
      <c r="S1519" s="11" t="n"/>
      <c r="T1519" s="12" t="n"/>
    </row>
    <row r="1520">
      <c r="A1520" s="11" t="n"/>
      <c r="B1520" s="11" t="n"/>
      <c r="C1520" s="11" t="n"/>
      <c r="D1520" s="11" t="n"/>
      <c r="E1520" s="11" t="n"/>
      <c r="F1520" s="11" t="n"/>
      <c r="G1520" s="11" t="n"/>
      <c r="H1520" s="11" t="n"/>
      <c r="I1520" s="11" t="n"/>
      <c r="J1520" s="11" t="n"/>
      <c r="K1520" s="11" t="n"/>
      <c r="L1520" s="11" t="n"/>
      <c r="M1520" s="11" t="n"/>
      <c r="N1520" s="11" t="n"/>
      <c r="O1520" s="11" t="n"/>
      <c r="P1520" s="11" t="n"/>
      <c r="Q1520" s="11" t="n"/>
      <c r="R1520" s="11" t="n"/>
      <c r="S1520" s="11" t="n"/>
      <c r="T1520" s="12" t="n"/>
    </row>
    <row r="1521">
      <c r="A1521" s="11" t="n"/>
      <c r="B1521" s="11" t="n"/>
      <c r="C1521" s="11" t="n"/>
      <c r="D1521" s="11" t="n"/>
      <c r="E1521" s="11" t="n"/>
      <c r="F1521" s="11" t="n"/>
      <c r="G1521" s="11" t="n"/>
      <c r="H1521" s="11" t="n"/>
      <c r="I1521" s="11" t="n"/>
      <c r="J1521" s="11" t="n"/>
      <c r="K1521" s="11" t="n"/>
      <c r="L1521" s="11" t="n"/>
      <c r="M1521" s="11" t="n"/>
      <c r="N1521" s="11" t="n"/>
      <c r="O1521" s="11" t="n"/>
      <c r="P1521" s="11" t="n"/>
      <c r="Q1521" s="11" t="n"/>
      <c r="R1521" s="11" t="n"/>
      <c r="S1521" s="11" t="n"/>
      <c r="T1521" s="12" t="n"/>
    </row>
    <row r="1522">
      <c r="A1522" s="11" t="n"/>
      <c r="B1522" s="11" t="n"/>
      <c r="C1522" s="11" t="n"/>
      <c r="D1522" s="11" t="n"/>
      <c r="E1522" s="11" t="n"/>
      <c r="F1522" s="11" t="n"/>
      <c r="G1522" s="11" t="n"/>
      <c r="H1522" s="11" t="n"/>
      <c r="I1522" s="11" t="n"/>
      <c r="J1522" s="11" t="n"/>
      <c r="K1522" s="11" t="n"/>
      <c r="L1522" s="11" t="n"/>
      <c r="M1522" s="11" t="n"/>
      <c r="N1522" s="11" t="n"/>
      <c r="O1522" s="11" t="n"/>
      <c r="P1522" s="11" t="n"/>
      <c r="Q1522" s="11" t="n"/>
      <c r="R1522" s="11" t="n"/>
      <c r="S1522" s="11" t="n"/>
      <c r="T1522" s="12" t="n"/>
    </row>
    <row r="1523">
      <c r="A1523" s="11" t="n"/>
      <c r="B1523" s="11" t="n"/>
      <c r="C1523" s="11" t="n"/>
      <c r="D1523" s="11" t="n"/>
      <c r="E1523" s="11" t="n"/>
      <c r="F1523" s="11" t="n"/>
      <c r="G1523" s="11" t="n"/>
      <c r="H1523" s="11" t="n"/>
      <c r="I1523" s="11" t="n"/>
      <c r="J1523" s="11" t="n"/>
      <c r="K1523" s="11" t="n"/>
      <c r="L1523" s="11" t="n"/>
      <c r="M1523" s="11" t="n"/>
      <c r="N1523" s="11" t="n"/>
      <c r="O1523" s="11" t="n"/>
      <c r="P1523" s="11" t="n"/>
      <c r="Q1523" s="11" t="n"/>
      <c r="R1523" s="11" t="n"/>
      <c r="S1523" s="11" t="n"/>
      <c r="T1523" s="12" t="n"/>
    </row>
    <row r="1524">
      <c r="A1524" s="11" t="n"/>
      <c r="B1524" s="11" t="n"/>
      <c r="C1524" s="11" t="n"/>
      <c r="D1524" s="11" t="n"/>
      <c r="E1524" s="11" t="n"/>
      <c r="F1524" s="11" t="n"/>
      <c r="G1524" s="11" t="n"/>
      <c r="H1524" s="11" t="n"/>
      <c r="I1524" s="11" t="n"/>
      <c r="J1524" s="11" t="n"/>
      <c r="K1524" s="11" t="n"/>
      <c r="L1524" s="11" t="n"/>
      <c r="M1524" s="11" t="n"/>
      <c r="N1524" s="11" t="n"/>
      <c r="O1524" s="11" t="n"/>
      <c r="P1524" s="11" t="n"/>
      <c r="Q1524" s="11" t="n"/>
      <c r="R1524" s="11" t="n"/>
      <c r="S1524" s="11" t="n"/>
      <c r="T1524" s="12" t="n"/>
    </row>
    <row r="1525">
      <c r="A1525" s="11" t="n"/>
      <c r="B1525" s="11" t="n"/>
      <c r="C1525" s="11" t="n"/>
      <c r="D1525" s="11" t="n"/>
      <c r="E1525" s="11" t="n"/>
      <c r="F1525" s="11" t="n"/>
      <c r="G1525" s="11" t="n"/>
      <c r="H1525" s="11" t="n"/>
      <c r="I1525" s="11" t="n"/>
      <c r="J1525" s="11" t="n"/>
      <c r="K1525" s="11" t="n"/>
      <c r="L1525" s="11" t="n"/>
      <c r="M1525" s="11" t="n"/>
      <c r="N1525" s="11" t="n"/>
      <c r="O1525" s="11" t="n"/>
      <c r="P1525" s="11" t="n"/>
      <c r="Q1525" s="11" t="n"/>
      <c r="R1525" s="11" t="n"/>
      <c r="S1525" s="11" t="n"/>
      <c r="T1525" s="12" t="n"/>
    </row>
    <row r="1526">
      <c r="A1526" s="11" t="n"/>
      <c r="B1526" s="11" t="n"/>
      <c r="C1526" s="11" t="n"/>
      <c r="D1526" s="11" t="n"/>
      <c r="E1526" s="11" t="n"/>
      <c r="F1526" s="11" t="n"/>
      <c r="G1526" s="11" t="n"/>
      <c r="H1526" s="11" t="n"/>
      <c r="I1526" s="11" t="n"/>
      <c r="J1526" s="11" t="n"/>
      <c r="K1526" s="11" t="n"/>
      <c r="L1526" s="11" t="n"/>
      <c r="M1526" s="11" t="n"/>
      <c r="N1526" s="11" t="n"/>
      <c r="O1526" s="11" t="n"/>
      <c r="P1526" s="11" t="n"/>
      <c r="Q1526" s="11" t="n"/>
      <c r="R1526" s="11" t="n"/>
      <c r="S1526" s="11" t="n"/>
      <c r="T1526" s="12" t="n"/>
    </row>
    <row r="1527">
      <c r="A1527" s="11" t="n"/>
      <c r="B1527" s="11" t="n"/>
      <c r="C1527" s="11" t="n"/>
      <c r="D1527" s="11" t="n"/>
      <c r="E1527" s="11" t="n"/>
      <c r="F1527" s="11" t="n"/>
      <c r="G1527" s="11" t="n"/>
      <c r="H1527" s="11" t="n"/>
      <c r="I1527" s="11" t="n"/>
      <c r="J1527" s="11" t="n"/>
      <c r="K1527" s="11" t="n"/>
      <c r="L1527" s="11" t="n"/>
      <c r="M1527" s="11" t="n"/>
      <c r="N1527" s="11" t="n"/>
      <c r="O1527" s="11" t="n"/>
      <c r="P1527" s="11" t="n"/>
      <c r="Q1527" s="11" t="n"/>
      <c r="R1527" s="11" t="n"/>
      <c r="S1527" s="11" t="n"/>
      <c r="T1527" s="12" t="n"/>
    </row>
    <row r="1528">
      <c r="A1528" s="11" t="n"/>
      <c r="B1528" s="11" t="n"/>
      <c r="C1528" s="11" t="n"/>
      <c r="D1528" s="11" t="n"/>
      <c r="E1528" s="11" t="n"/>
      <c r="F1528" s="11" t="n"/>
      <c r="G1528" s="11" t="n"/>
      <c r="H1528" s="11" t="n"/>
      <c r="I1528" s="11" t="n"/>
      <c r="J1528" s="11" t="n"/>
      <c r="K1528" s="11" t="n"/>
      <c r="L1528" s="11" t="n"/>
      <c r="M1528" s="11" t="n"/>
      <c r="N1528" s="11" t="n"/>
      <c r="O1528" s="11" t="n"/>
      <c r="P1528" s="11" t="n"/>
      <c r="Q1528" s="11" t="n"/>
      <c r="R1528" s="11" t="n"/>
      <c r="S1528" s="11" t="n"/>
      <c r="T1528" s="12" t="n"/>
    </row>
    <row r="1529">
      <c r="A1529" s="11" t="n"/>
      <c r="B1529" s="11" t="n"/>
      <c r="C1529" s="11" t="n"/>
      <c r="D1529" s="11" t="n"/>
      <c r="E1529" s="11" t="n"/>
      <c r="F1529" s="11" t="n"/>
      <c r="G1529" s="11" t="n"/>
      <c r="H1529" s="11" t="n"/>
      <c r="I1529" s="11" t="n"/>
      <c r="J1529" s="11" t="n"/>
      <c r="K1529" s="11" t="n"/>
      <c r="L1529" s="11" t="n"/>
      <c r="M1529" s="11" t="n"/>
      <c r="N1529" s="11" t="n"/>
      <c r="O1529" s="11" t="n"/>
      <c r="P1529" s="11" t="n"/>
      <c r="Q1529" s="11" t="n"/>
      <c r="R1529" s="11" t="n"/>
      <c r="S1529" s="11" t="n"/>
      <c r="T1529" s="12" t="n"/>
    </row>
    <row r="1530">
      <c r="A1530" s="11" t="n"/>
      <c r="B1530" s="11" t="n"/>
      <c r="C1530" s="11" t="n"/>
      <c r="D1530" s="11" t="n"/>
      <c r="E1530" s="11" t="n"/>
      <c r="F1530" s="11" t="n"/>
      <c r="G1530" s="11" t="n"/>
      <c r="H1530" s="11" t="n"/>
      <c r="I1530" s="11" t="n"/>
      <c r="J1530" s="11" t="n"/>
      <c r="K1530" s="11" t="n"/>
      <c r="L1530" s="11" t="n"/>
      <c r="M1530" s="11" t="n"/>
      <c r="N1530" s="11" t="n"/>
      <c r="O1530" s="11" t="n"/>
      <c r="P1530" s="11" t="n"/>
      <c r="Q1530" s="11" t="n"/>
      <c r="R1530" s="11" t="n"/>
      <c r="S1530" s="11" t="n"/>
      <c r="T1530" s="12" t="n"/>
    </row>
    <row r="1531">
      <c r="A1531" s="11" t="n"/>
      <c r="B1531" s="11" t="n"/>
      <c r="C1531" s="11" t="n"/>
      <c r="D1531" s="11" t="n"/>
      <c r="E1531" s="11" t="n"/>
      <c r="F1531" s="11" t="n"/>
      <c r="G1531" s="11" t="n"/>
      <c r="H1531" s="11" t="n"/>
      <c r="I1531" s="11" t="n"/>
      <c r="J1531" s="11" t="n"/>
      <c r="K1531" s="11" t="n"/>
      <c r="L1531" s="11" t="n"/>
      <c r="M1531" s="11" t="n"/>
      <c r="N1531" s="11" t="n"/>
      <c r="O1531" s="11" t="n"/>
      <c r="P1531" s="11" t="n"/>
      <c r="Q1531" s="11" t="n"/>
      <c r="R1531" s="11" t="n"/>
      <c r="S1531" s="11" t="n"/>
      <c r="T1531" s="12" t="n"/>
    </row>
    <row r="1532">
      <c r="A1532" s="11" t="n"/>
      <c r="B1532" s="11" t="n"/>
      <c r="C1532" s="11" t="n"/>
      <c r="D1532" s="11" t="n"/>
      <c r="E1532" s="11" t="n"/>
      <c r="F1532" s="11" t="n"/>
      <c r="G1532" s="11" t="n"/>
      <c r="H1532" s="11" t="n"/>
      <c r="I1532" s="11" t="n"/>
      <c r="J1532" s="11" t="n"/>
      <c r="K1532" s="11" t="n"/>
      <c r="L1532" s="11" t="n"/>
      <c r="M1532" s="11" t="n"/>
      <c r="N1532" s="11" t="n"/>
      <c r="O1532" s="11" t="n"/>
      <c r="P1532" s="11" t="n"/>
      <c r="Q1532" s="11" t="n"/>
      <c r="R1532" s="11" t="n"/>
      <c r="S1532" s="11" t="n"/>
      <c r="T1532" s="12" t="n"/>
    </row>
    <row r="1533">
      <c r="A1533" s="11" t="n"/>
      <c r="B1533" s="11" t="n"/>
      <c r="C1533" s="11" t="n"/>
      <c r="D1533" s="11" t="n"/>
      <c r="E1533" s="11" t="n"/>
      <c r="F1533" s="11" t="n"/>
      <c r="G1533" s="11" t="n"/>
      <c r="H1533" s="11" t="n"/>
      <c r="I1533" s="11" t="n"/>
      <c r="J1533" s="11" t="n"/>
      <c r="K1533" s="11" t="n"/>
      <c r="L1533" s="11" t="n"/>
      <c r="M1533" s="11" t="n"/>
      <c r="N1533" s="11" t="n"/>
      <c r="O1533" s="11" t="n"/>
      <c r="P1533" s="11" t="n"/>
      <c r="Q1533" s="11" t="n"/>
      <c r="R1533" s="11" t="n"/>
      <c r="S1533" s="11" t="n"/>
      <c r="T1533" s="12" t="n"/>
    </row>
    <row r="1534">
      <c r="A1534" s="11" t="n"/>
      <c r="B1534" s="11" t="n"/>
      <c r="C1534" s="11" t="n"/>
      <c r="D1534" s="11" t="n"/>
      <c r="E1534" s="11" t="n"/>
      <c r="F1534" s="11" t="n"/>
      <c r="G1534" s="11" t="n"/>
      <c r="H1534" s="11" t="n"/>
      <c r="I1534" s="11" t="n"/>
      <c r="J1534" s="11" t="n"/>
      <c r="K1534" s="11" t="n"/>
      <c r="L1534" s="11" t="n"/>
      <c r="M1534" s="11" t="n"/>
      <c r="N1534" s="11" t="n"/>
      <c r="O1534" s="11" t="n"/>
      <c r="P1534" s="11" t="n"/>
      <c r="Q1534" s="11" t="n"/>
      <c r="R1534" s="11" t="n"/>
      <c r="S1534" s="11" t="n"/>
      <c r="T1534" s="12" t="n"/>
    </row>
    <row r="1535">
      <c r="A1535" s="11" t="n"/>
      <c r="B1535" s="11" t="n"/>
      <c r="C1535" s="11" t="n"/>
      <c r="D1535" s="11" t="n"/>
      <c r="E1535" s="11" t="n"/>
      <c r="F1535" s="11" t="n"/>
      <c r="G1535" s="11" t="n"/>
      <c r="H1535" s="11" t="n"/>
      <c r="I1535" s="11" t="n"/>
      <c r="J1535" s="11" t="n"/>
      <c r="K1535" s="11" t="n"/>
      <c r="L1535" s="11" t="n"/>
      <c r="M1535" s="11" t="n"/>
      <c r="N1535" s="11" t="n"/>
      <c r="O1535" s="11" t="n"/>
      <c r="P1535" s="11" t="n"/>
      <c r="Q1535" s="11" t="n"/>
      <c r="R1535" s="11" t="n"/>
      <c r="S1535" s="11" t="n"/>
      <c r="T1535" s="12" t="n"/>
    </row>
    <row r="1536">
      <c r="A1536" s="11" t="n"/>
      <c r="B1536" s="11" t="n"/>
      <c r="C1536" s="11" t="n"/>
      <c r="D1536" s="11" t="n"/>
      <c r="E1536" s="11" t="n"/>
      <c r="F1536" s="11" t="n"/>
      <c r="G1536" s="11" t="n"/>
      <c r="H1536" s="11" t="n"/>
      <c r="I1536" s="11" t="n"/>
      <c r="J1536" s="11" t="n"/>
      <c r="K1536" s="11" t="n"/>
      <c r="L1536" s="11" t="n"/>
      <c r="M1536" s="11" t="n"/>
      <c r="N1536" s="11" t="n"/>
      <c r="O1536" s="11" t="n"/>
      <c r="P1536" s="11" t="n"/>
      <c r="Q1536" s="11" t="n"/>
      <c r="R1536" s="11" t="n"/>
      <c r="S1536" s="11" t="n"/>
      <c r="T1536" s="12" t="n"/>
    </row>
    <row r="1537">
      <c r="A1537" s="11" t="n"/>
      <c r="B1537" s="11" t="n"/>
      <c r="C1537" s="11" t="n"/>
      <c r="D1537" s="11" t="n"/>
      <c r="E1537" s="11" t="n"/>
      <c r="F1537" s="11" t="n"/>
      <c r="G1537" s="11" t="n"/>
      <c r="H1537" s="11" t="n"/>
      <c r="I1537" s="11" t="n"/>
      <c r="J1537" s="11" t="n"/>
      <c r="K1537" s="11" t="n"/>
      <c r="L1537" s="11" t="n"/>
      <c r="M1537" s="11" t="n"/>
      <c r="N1537" s="11" t="n"/>
      <c r="O1537" s="11" t="n"/>
      <c r="P1537" s="11" t="n"/>
      <c r="Q1537" s="11" t="n"/>
      <c r="R1537" s="11" t="n"/>
      <c r="S1537" s="11" t="n"/>
      <c r="T1537" s="12" t="n"/>
    </row>
    <row r="1538">
      <c r="A1538" s="11" t="n"/>
      <c r="B1538" s="11" t="n"/>
      <c r="C1538" s="11" t="n"/>
      <c r="D1538" s="11" t="n"/>
      <c r="E1538" s="11" t="n"/>
      <c r="F1538" s="11" t="n"/>
      <c r="G1538" s="11" t="n"/>
      <c r="H1538" s="11" t="n"/>
      <c r="I1538" s="11" t="n"/>
      <c r="J1538" s="11" t="n"/>
      <c r="K1538" s="11" t="n"/>
      <c r="L1538" s="11" t="n"/>
      <c r="M1538" s="11" t="n"/>
      <c r="N1538" s="11" t="n"/>
      <c r="O1538" s="11" t="n"/>
      <c r="P1538" s="11" t="n"/>
      <c r="Q1538" s="11" t="n"/>
      <c r="R1538" s="11" t="n"/>
      <c r="S1538" s="11" t="n"/>
      <c r="T1538" s="12" t="n"/>
    </row>
    <row r="1539">
      <c r="A1539" s="11" t="n"/>
      <c r="B1539" s="11" t="n"/>
      <c r="C1539" s="11" t="n"/>
      <c r="D1539" s="11" t="n"/>
      <c r="E1539" s="11" t="n"/>
      <c r="F1539" s="11" t="n"/>
      <c r="G1539" s="11" t="n"/>
      <c r="H1539" s="11" t="n"/>
      <c r="I1539" s="11" t="n"/>
      <c r="J1539" s="11" t="n"/>
      <c r="K1539" s="11" t="n"/>
      <c r="L1539" s="11" t="n"/>
      <c r="M1539" s="11" t="n"/>
      <c r="N1539" s="11" t="n"/>
      <c r="O1539" s="11" t="n"/>
      <c r="P1539" s="11" t="n"/>
      <c r="Q1539" s="11" t="n"/>
      <c r="R1539" s="11" t="n"/>
      <c r="S1539" s="11" t="n"/>
      <c r="T1539" s="12" t="n"/>
    </row>
    <row r="1540">
      <c r="A1540" s="11" t="n"/>
      <c r="B1540" s="11" t="n"/>
      <c r="C1540" s="11" t="n"/>
      <c r="D1540" s="11" t="n"/>
      <c r="E1540" s="11" t="n"/>
      <c r="F1540" s="11" t="n"/>
      <c r="G1540" s="11" t="n"/>
      <c r="H1540" s="11" t="n"/>
      <c r="I1540" s="11" t="n"/>
      <c r="J1540" s="11" t="n"/>
      <c r="K1540" s="11" t="n"/>
      <c r="L1540" s="11" t="n"/>
      <c r="M1540" s="11" t="n"/>
      <c r="N1540" s="11" t="n"/>
      <c r="O1540" s="11" t="n"/>
      <c r="P1540" s="11" t="n"/>
      <c r="Q1540" s="11" t="n"/>
      <c r="R1540" s="11" t="n"/>
      <c r="S1540" s="11" t="n"/>
      <c r="T1540" s="12" t="n"/>
    </row>
    <row r="1541">
      <c r="A1541" s="11" t="n"/>
      <c r="B1541" s="11" t="n"/>
      <c r="C1541" s="11" t="n"/>
      <c r="D1541" s="11" t="n"/>
      <c r="E1541" s="11" t="n"/>
      <c r="F1541" s="11" t="n"/>
      <c r="G1541" s="11" t="n"/>
      <c r="H1541" s="11" t="n"/>
      <c r="I1541" s="11" t="n"/>
      <c r="J1541" s="11" t="n"/>
      <c r="K1541" s="11" t="n"/>
      <c r="L1541" s="11" t="n"/>
      <c r="M1541" s="11" t="n"/>
      <c r="N1541" s="11" t="n"/>
      <c r="O1541" s="11" t="n"/>
      <c r="P1541" s="11" t="n"/>
      <c r="Q1541" s="11" t="n"/>
      <c r="R1541" s="11" t="n"/>
      <c r="S1541" s="11" t="n"/>
      <c r="T1541" s="12" t="n"/>
    </row>
    <row r="1542">
      <c r="A1542" s="11" t="n"/>
      <c r="B1542" s="11" t="n"/>
      <c r="C1542" s="11" t="n"/>
      <c r="D1542" s="11" t="n"/>
      <c r="E1542" s="11" t="n"/>
      <c r="F1542" s="11" t="n"/>
      <c r="G1542" s="11" t="n"/>
      <c r="H1542" s="11" t="n"/>
      <c r="I1542" s="11" t="n"/>
      <c r="J1542" s="11" t="n"/>
      <c r="K1542" s="11" t="n"/>
      <c r="L1542" s="11" t="n"/>
      <c r="M1542" s="11" t="n"/>
      <c r="N1542" s="11" t="n"/>
      <c r="O1542" s="11" t="n"/>
      <c r="P1542" s="11" t="n"/>
      <c r="Q1542" s="11" t="n"/>
      <c r="R1542" s="11" t="n"/>
      <c r="S1542" s="11" t="n"/>
      <c r="T1542" s="12" t="n"/>
    </row>
    <row r="1543">
      <c r="A1543" s="11" t="n"/>
      <c r="B1543" s="11" t="n"/>
      <c r="C1543" s="11" t="n"/>
      <c r="D1543" s="11" t="n"/>
      <c r="E1543" s="11" t="n"/>
      <c r="F1543" s="11" t="n"/>
      <c r="G1543" s="11" t="n"/>
      <c r="H1543" s="11" t="n"/>
      <c r="I1543" s="11" t="n"/>
      <c r="J1543" s="11" t="n"/>
      <c r="K1543" s="11" t="n"/>
      <c r="L1543" s="11" t="n"/>
      <c r="M1543" s="11" t="n"/>
      <c r="N1543" s="11" t="n"/>
      <c r="O1543" s="11" t="n"/>
      <c r="P1543" s="11" t="n"/>
      <c r="Q1543" s="11" t="n"/>
      <c r="R1543" s="11" t="n"/>
      <c r="S1543" s="11" t="n"/>
      <c r="T1543" s="12" t="n"/>
    </row>
    <row r="1544">
      <c r="A1544" s="11" t="n"/>
      <c r="B1544" s="11" t="n"/>
      <c r="C1544" s="11" t="n"/>
      <c r="D1544" s="11" t="n"/>
      <c r="E1544" s="11" t="n"/>
      <c r="F1544" s="11" t="n"/>
      <c r="G1544" s="11" t="n"/>
      <c r="H1544" s="11" t="n"/>
      <c r="I1544" s="11" t="n"/>
      <c r="J1544" s="11" t="n"/>
      <c r="K1544" s="11" t="n"/>
      <c r="L1544" s="11" t="n"/>
      <c r="M1544" s="11" t="n"/>
      <c r="N1544" s="11" t="n"/>
      <c r="O1544" s="11" t="n"/>
      <c r="P1544" s="11" t="n"/>
      <c r="Q1544" s="11" t="n"/>
      <c r="R1544" s="11" t="n"/>
      <c r="S1544" s="11" t="n"/>
      <c r="T1544" s="12" t="n"/>
    </row>
    <row r="1545">
      <c r="A1545" s="11" t="n"/>
      <c r="B1545" s="11" t="n"/>
      <c r="C1545" s="11" t="n"/>
      <c r="D1545" s="11" t="n"/>
      <c r="E1545" s="11" t="n"/>
      <c r="F1545" s="11" t="n"/>
      <c r="G1545" s="11" t="n"/>
      <c r="H1545" s="11" t="n"/>
      <c r="I1545" s="11" t="n"/>
      <c r="J1545" s="11" t="n"/>
      <c r="K1545" s="11" t="n"/>
      <c r="L1545" s="11" t="n"/>
      <c r="M1545" s="11" t="n"/>
      <c r="N1545" s="11" t="n"/>
      <c r="O1545" s="11" t="n"/>
      <c r="P1545" s="11" t="n"/>
      <c r="Q1545" s="11" t="n"/>
      <c r="R1545" s="11" t="n"/>
      <c r="S1545" s="11" t="n"/>
      <c r="T1545" s="12" t="n"/>
    </row>
    <row r="1546">
      <c r="A1546" s="11" t="n"/>
      <c r="B1546" s="11" t="n"/>
      <c r="C1546" s="11" t="n"/>
      <c r="D1546" s="11" t="n"/>
      <c r="E1546" s="11" t="n"/>
      <c r="F1546" s="11" t="n"/>
      <c r="G1546" s="11" t="n"/>
      <c r="H1546" s="11" t="n"/>
      <c r="I1546" s="11" t="n"/>
      <c r="J1546" s="11" t="n"/>
      <c r="K1546" s="11" t="n"/>
      <c r="L1546" s="11" t="n"/>
      <c r="M1546" s="11" t="n"/>
      <c r="N1546" s="11" t="n"/>
      <c r="O1546" s="11" t="n"/>
      <c r="P1546" s="11" t="n"/>
      <c r="Q1546" s="11" t="n"/>
      <c r="R1546" s="11" t="n"/>
      <c r="S1546" s="11" t="n"/>
      <c r="T1546" s="12" t="n"/>
    </row>
    <row r="1547">
      <c r="A1547" s="11" t="n"/>
      <c r="B1547" s="11" t="n"/>
      <c r="C1547" s="11" t="n"/>
      <c r="D1547" s="11" t="n"/>
      <c r="E1547" s="11" t="n"/>
      <c r="F1547" s="11" t="n"/>
      <c r="G1547" s="11" t="n"/>
      <c r="H1547" s="11" t="n"/>
      <c r="I1547" s="11" t="n"/>
      <c r="J1547" s="11" t="n"/>
      <c r="K1547" s="11" t="n"/>
      <c r="L1547" s="11" t="n"/>
      <c r="M1547" s="11" t="n"/>
      <c r="N1547" s="11" t="n"/>
      <c r="O1547" s="11" t="n"/>
      <c r="P1547" s="11" t="n"/>
      <c r="Q1547" s="11" t="n"/>
      <c r="R1547" s="11" t="n"/>
      <c r="S1547" s="11" t="n"/>
      <c r="T1547" s="12" t="n"/>
    </row>
    <row r="1548">
      <c r="A1548" s="11" t="n"/>
      <c r="B1548" s="11" t="n"/>
      <c r="C1548" s="11" t="n"/>
      <c r="D1548" s="11" t="n"/>
      <c r="E1548" s="11" t="n"/>
      <c r="F1548" s="11" t="n"/>
      <c r="G1548" s="11" t="n"/>
      <c r="H1548" s="11" t="n"/>
      <c r="I1548" s="11" t="n"/>
      <c r="J1548" s="11" t="n"/>
      <c r="K1548" s="11" t="n"/>
      <c r="L1548" s="11" t="n"/>
      <c r="M1548" s="11" t="n"/>
      <c r="N1548" s="11" t="n"/>
      <c r="O1548" s="11" t="n"/>
      <c r="P1548" s="11" t="n"/>
      <c r="Q1548" s="11" t="n"/>
      <c r="R1548" s="11" t="n"/>
      <c r="S1548" s="11" t="n"/>
      <c r="T1548" s="12" t="n"/>
    </row>
    <row r="1549">
      <c r="A1549" s="11" t="n"/>
      <c r="B1549" s="11" t="n"/>
      <c r="C1549" s="11" t="n"/>
      <c r="D1549" s="11" t="n"/>
      <c r="E1549" s="11" t="n"/>
      <c r="F1549" s="11" t="n"/>
      <c r="G1549" s="11" t="n"/>
      <c r="H1549" s="11" t="n"/>
      <c r="I1549" s="11" t="n"/>
      <c r="J1549" s="11" t="n"/>
      <c r="K1549" s="11" t="n"/>
      <c r="L1549" s="11" t="n"/>
      <c r="M1549" s="11" t="n"/>
      <c r="N1549" s="11" t="n"/>
      <c r="O1549" s="11" t="n"/>
      <c r="P1549" s="11" t="n"/>
      <c r="Q1549" s="11" t="n"/>
      <c r="R1549" s="11" t="n"/>
      <c r="S1549" s="11" t="n"/>
      <c r="T1549" s="12" t="n"/>
    </row>
    <row r="1550">
      <c r="A1550" s="11" t="n"/>
      <c r="B1550" s="11" t="n"/>
      <c r="C1550" s="11" t="n"/>
      <c r="D1550" s="11" t="n"/>
      <c r="E1550" s="11" t="n"/>
      <c r="F1550" s="11" t="n"/>
      <c r="G1550" s="11" t="n"/>
      <c r="H1550" s="11" t="n"/>
      <c r="I1550" s="11" t="n"/>
      <c r="J1550" s="11" t="n"/>
      <c r="K1550" s="11" t="n"/>
      <c r="L1550" s="11" t="n"/>
      <c r="M1550" s="11" t="n"/>
      <c r="N1550" s="11" t="n"/>
      <c r="O1550" s="11" t="n"/>
      <c r="P1550" s="11" t="n"/>
      <c r="Q1550" s="11" t="n"/>
      <c r="R1550" s="11" t="n"/>
      <c r="S1550" s="11" t="n"/>
      <c r="T1550" s="12" t="n"/>
    </row>
    <row r="1551">
      <c r="A1551" s="11" t="n"/>
      <c r="B1551" s="11" t="n"/>
      <c r="C1551" s="11" t="n"/>
      <c r="D1551" s="11" t="n"/>
      <c r="E1551" s="11" t="n"/>
      <c r="F1551" s="11" t="n"/>
      <c r="G1551" s="11" t="n"/>
      <c r="H1551" s="11" t="n"/>
      <c r="I1551" s="11" t="n"/>
      <c r="J1551" s="11" t="n"/>
      <c r="K1551" s="11" t="n"/>
      <c r="L1551" s="11" t="n"/>
      <c r="M1551" s="11" t="n"/>
      <c r="N1551" s="11" t="n"/>
      <c r="O1551" s="11" t="n"/>
      <c r="P1551" s="11" t="n"/>
      <c r="Q1551" s="11" t="n"/>
      <c r="R1551" s="11" t="n"/>
      <c r="S1551" s="11" t="n"/>
      <c r="T1551" s="12" t="n"/>
    </row>
    <row r="1552">
      <c r="A1552" s="11" t="n"/>
      <c r="B1552" s="11" t="n"/>
      <c r="C1552" s="11" t="n"/>
      <c r="D1552" s="11" t="n"/>
      <c r="E1552" s="11" t="n"/>
      <c r="F1552" s="11" t="n"/>
      <c r="G1552" s="11" t="n"/>
      <c r="H1552" s="11" t="n"/>
      <c r="I1552" s="11" t="n"/>
      <c r="J1552" s="11" t="n"/>
      <c r="K1552" s="11" t="n"/>
      <c r="L1552" s="11" t="n"/>
      <c r="M1552" s="11" t="n"/>
      <c r="N1552" s="11" t="n"/>
      <c r="O1552" s="11" t="n"/>
      <c r="P1552" s="11" t="n"/>
      <c r="Q1552" s="11" t="n"/>
      <c r="R1552" s="11" t="n"/>
      <c r="S1552" s="11" t="n"/>
      <c r="T1552" s="12" t="n"/>
    </row>
    <row r="1553">
      <c r="A1553" s="11" t="n"/>
      <c r="B1553" s="11" t="n"/>
      <c r="C1553" s="11" t="n"/>
      <c r="D1553" s="11" t="n"/>
      <c r="E1553" s="11" t="n"/>
      <c r="F1553" s="11" t="n"/>
      <c r="G1553" s="11" t="n"/>
      <c r="H1553" s="11" t="n"/>
      <c r="I1553" s="11" t="n"/>
      <c r="J1553" s="11" t="n"/>
      <c r="K1553" s="11" t="n"/>
      <c r="L1553" s="11" t="n"/>
      <c r="M1553" s="11" t="n"/>
      <c r="N1553" s="11" t="n"/>
      <c r="O1553" s="11" t="n"/>
      <c r="P1553" s="11" t="n"/>
      <c r="Q1553" s="11" t="n"/>
      <c r="R1553" s="11" t="n"/>
      <c r="S1553" s="11" t="n"/>
      <c r="T1553" s="12" t="n"/>
    </row>
    <row r="1554">
      <c r="A1554" s="11" t="n"/>
      <c r="B1554" s="11" t="n"/>
      <c r="C1554" s="11" t="n"/>
      <c r="D1554" s="11" t="n"/>
      <c r="E1554" s="11" t="n"/>
      <c r="F1554" s="11" t="n"/>
      <c r="G1554" s="11" t="n"/>
      <c r="H1554" s="11" t="n"/>
      <c r="I1554" s="11" t="n"/>
      <c r="J1554" s="11" t="n"/>
      <c r="K1554" s="11" t="n"/>
      <c r="L1554" s="11" t="n"/>
      <c r="M1554" s="11" t="n"/>
      <c r="N1554" s="11" t="n"/>
      <c r="O1554" s="11" t="n"/>
      <c r="P1554" s="11" t="n"/>
      <c r="Q1554" s="11" t="n"/>
      <c r="R1554" s="11" t="n"/>
      <c r="S1554" s="11" t="n"/>
      <c r="T1554" s="12" t="n"/>
    </row>
    <row r="1555">
      <c r="A1555" s="11" t="n"/>
      <c r="B1555" s="11" t="n"/>
      <c r="C1555" s="11" t="n"/>
      <c r="D1555" s="11" t="n"/>
      <c r="E1555" s="11" t="n"/>
      <c r="F1555" s="11" t="n"/>
      <c r="G1555" s="11" t="n"/>
      <c r="H1555" s="11" t="n"/>
      <c r="I1555" s="11" t="n"/>
      <c r="J1555" s="11" t="n"/>
      <c r="K1555" s="11" t="n"/>
      <c r="L1555" s="11" t="n"/>
      <c r="M1555" s="11" t="n"/>
      <c r="N1555" s="11" t="n"/>
      <c r="O1555" s="11" t="n"/>
      <c r="P1555" s="11" t="n"/>
      <c r="Q1555" s="11" t="n"/>
      <c r="R1555" s="11" t="n"/>
      <c r="S1555" s="11" t="n"/>
      <c r="T1555" s="12" t="n"/>
    </row>
    <row r="1556">
      <c r="A1556" s="11" t="n"/>
      <c r="B1556" s="11" t="n"/>
      <c r="C1556" s="11" t="n"/>
      <c r="D1556" s="11" t="n"/>
      <c r="E1556" s="11" t="n"/>
      <c r="F1556" s="11" t="n"/>
      <c r="G1556" s="11" t="n"/>
      <c r="H1556" s="11" t="n"/>
      <c r="I1556" s="11" t="n"/>
      <c r="J1556" s="11" t="n"/>
      <c r="K1556" s="11" t="n"/>
      <c r="L1556" s="11" t="n"/>
      <c r="M1556" s="11" t="n"/>
      <c r="N1556" s="11" t="n"/>
      <c r="O1556" s="11" t="n"/>
      <c r="P1556" s="11" t="n"/>
      <c r="Q1556" s="11" t="n"/>
      <c r="R1556" s="11" t="n"/>
      <c r="S1556" s="11" t="n"/>
      <c r="T1556" s="12" t="n"/>
    </row>
    <row r="1557">
      <c r="A1557" s="11" t="n"/>
      <c r="B1557" s="11" t="n"/>
      <c r="C1557" s="11" t="n"/>
      <c r="D1557" s="11" t="n"/>
      <c r="E1557" s="11" t="n"/>
      <c r="F1557" s="11" t="n"/>
      <c r="G1557" s="11" t="n"/>
      <c r="H1557" s="11" t="n"/>
      <c r="I1557" s="11" t="n"/>
      <c r="J1557" s="11" t="n"/>
      <c r="K1557" s="11" t="n"/>
      <c r="L1557" s="11" t="n"/>
      <c r="M1557" s="11" t="n"/>
      <c r="N1557" s="11" t="n"/>
      <c r="O1557" s="11" t="n"/>
      <c r="P1557" s="11" t="n"/>
      <c r="Q1557" s="11" t="n"/>
      <c r="R1557" s="11" t="n"/>
      <c r="S1557" s="11" t="n"/>
      <c r="T1557" s="12" t="n"/>
    </row>
    <row r="1558">
      <c r="A1558" s="11" t="n"/>
      <c r="B1558" s="11" t="n"/>
      <c r="C1558" s="11" t="n"/>
      <c r="D1558" s="11" t="n"/>
      <c r="E1558" s="11" t="n"/>
      <c r="F1558" s="11" t="n"/>
      <c r="G1558" s="11" t="n"/>
      <c r="H1558" s="11" t="n"/>
      <c r="I1558" s="11" t="n"/>
      <c r="J1558" s="11" t="n"/>
      <c r="K1558" s="11" t="n"/>
      <c r="L1558" s="11" t="n"/>
      <c r="M1558" s="11" t="n"/>
      <c r="N1558" s="11" t="n"/>
      <c r="O1558" s="11" t="n"/>
      <c r="P1558" s="11" t="n"/>
      <c r="Q1558" s="11" t="n"/>
      <c r="R1558" s="11" t="n"/>
      <c r="S1558" s="11" t="n"/>
      <c r="T1558" s="12" t="n"/>
    </row>
    <row r="1559">
      <c r="A1559" s="11" t="n"/>
      <c r="B1559" s="11" t="n"/>
      <c r="C1559" s="11" t="n"/>
      <c r="D1559" s="11" t="n"/>
      <c r="E1559" s="11" t="n"/>
      <c r="F1559" s="11" t="n"/>
      <c r="G1559" s="11" t="n"/>
      <c r="H1559" s="11" t="n"/>
      <c r="I1559" s="11" t="n"/>
      <c r="J1559" s="11" t="n"/>
      <c r="K1559" s="11" t="n"/>
      <c r="L1559" s="11" t="n"/>
      <c r="M1559" s="11" t="n"/>
      <c r="N1559" s="11" t="n"/>
      <c r="O1559" s="11" t="n"/>
      <c r="P1559" s="11" t="n"/>
      <c r="Q1559" s="11" t="n"/>
      <c r="R1559" s="11" t="n"/>
      <c r="S1559" s="11" t="n"/>
      <c r="T1559" s="12" t="n"/>
    </row>
    <row r="1560">
      <c r="A1560" s="11" t="n"/>
      <c r="B1560" s="11" t="n"/>
      <c r="C1560" s="11" t="n"/>
      <c r="D1560" s="11" t="n"/>
      <c r="E1560" s="11" t="n"/>
      <c r="F1560" s="11" t="n"/>
      <c r="G1560" s="11" t="n"/>
      <c r="H1560" s="11" t="n"/>
      <c r="I1560" s="11" t="n"/>
      <c r="J1560" s="11" t="n"/>
      <c r="K1560" s="11" t="n"/>
      <c r="L1560" s="11" t="n"/>
      <c r="M1560" s="11" t="n"/>
      <c r="N1560" s="11" t="n"/>
      <c r="O1560" s="11" t="n"/>
      <c r="P1560" s="11" t="n"/>
      <c r="Q1560" s="11" t="n"/>
      <c r="R1560" s="11" t="n"/>
      <c r="S1560" s="11" t="n"/>
      <c r="T1560" s="12" t="n"/>
    </row>
    <row r="1561">
      <c r="A1561" s="11" t="n"/>
      <c r="B1561" s="11" t="n"/>
      <c r="C1561" s="11" t="n"/>
      <c r="D1561" s="11" t="n"/>
      <c r="E1561" s="11" t="n"/>
      <c r="F1561" s="11" t="n"/>
      <c r="G1561" s="11" t="n"/>
      <c r="H1561" s="11" t="n"/>
      <c r="I1561" s="11" t="n"/>
      <c r="J1561" s="11" t="n"/>
      <c r="K1561" s="11" t="n"/>
      <c r="L1561" s="11" t="n"/>
      <c r="M1561" s="11" t="n"/>
      <c r="N1561" s="11" t="n"/>
      <c r="O1561" s="11" t="n"/>
      <c r="P1561" s="11" t="n"/>
      <c r="Q1561" s="11" t="n"/>
      <c r="R1561" s="11" t="n"/>
      <c r="S1561" s="11" t="n"/>
      <c r="T1561" s="12" t="n"/>
    </row>
    <row r="1562">
      <c r="A1562" s="11" t="n"/>
      <c r="B1562" s="11" t="n"/>
      <c r="C1562" s="11" t="n"/>
      <c r="D1562" s="11" t="n"/>
      <c r="E1562" s="11" t="n"/>
      <c r="F1562" s="11" t="n"/>
      <c r="G1562" s="11" t="n"/>
      <c r="H1562" s="11" t="n"/>
      <c r="I1562" s="11" t="n"/>
      <c r="J1562" s="11" t="n"/>
      <c r="K1562" s="11" t="n"/>
      <c r="L1562" s="11" t="n"/>
      <c r="M1562" s="11" t="n"/>
      <c r="N1562" s="11" t="n"/>
      <c r="O1562" s="11" t="n"/>
      <c r="P1562" s="11" t="n"/>
      <c r="Q1562" s="11" t="n"/>
      <c r="R1562" s="11" t="n"/>
      <c r="S1562" s="11" t="n"/>
      <c r="T1562" s="12" t="n"/>
    </row>
    <row r="1563">
      <c r="A1563" s="11" t="n"/>
      <c r="B1563" s="11" t="n"/>
      <c r="C1563" s="11" t="n"/>
      <c r="D1563" s="11" t="n"/>
      <c r="E1563" s="11" t="n"/>
      <c r="F1563" s="11" t="n"/>
      <c r="G1563" s="11" t="n"/>
      <c r="H1563" s="11" t="n"/>
      <c r="I1563" s="11" t="n"/>
      <c r="J1563" s="11" t="n"/>
      <c r="K1563" s="11" t="n"/>
      <c r="L1563" s="11" t="n"/>
      <c r="M1563" s="11" t="n"/>
      <c r="N1563" s="11" t="n"/>
      <c r="O1563" s="11" t="n"/>
      <c r="P1563" s="11" t="n"/>
      <c r="Q1563" s="11" t="n"/>
      <c r="R1563" s="11" t="n"/>
      <c r="S1563" s="11" t="n"/>
      <c r="T1563" s="12" t="n"/>
    </row>
    <row r="1564">
      <c r="A1564" s="11" t="n"/>
      <c r="B1564" s="11" t="n"/>
      <c r="C1564" s="11" t="n"/>
      <c r="D1564" s="11" t="n"/>
      <c r="E1564" s="11" t="n"/>
      <c r="F1564" s="11" t="n"/>
      <c r="G1564" s="11" t="n"/>
      <c r="H1564" s="11" t="n"/>
      <c r="I1564" s="11" t="n"/>
      <c r="J1564" s="11" t="n"/>
      <c r="K1564" s="11" t="n"/>
      <c r="L1564" s="11" t="n"/>
      <c r="M1564" s="11" t="n"/>
      <c r="N1564" s="11" t="n"/>
      <c r="O1564" s="11" t="n"/>
      <c r="P1564" s="11" t="n"/>
      <c r="Q1564" s="11" t="n"/>
      <c r="R1564" s="11" t="n"/>
      <c r="S1564" s="11" t="n"/>
      <c r="T1564" s="12" t="n"/>
    </row>
    <row r="1565">
      <c r="A1565" s="11" t="n"/>
      <c r="B1565" s="11" t="n"/>
      <c r="C1565" s="11" t="n"/>
      <c r="D1565" s="11" t="n"/>
      <c r="E1565" s="11" t="n"/>
      <c r="F1565" s="11" t="n"/>
      <c r="G1565" s="11" t="n"/>
      <c r="H1565" s="11" t="n"/>
      <c r="I1565" s="11" t="n"/>
      <c r="J1565" s="11" t="n"/>
      <c r="K1565" s="11" t="n"/>
      <c r="L1565" s="11" t="n"/>
      <c r="M1565" s="11" t="n"/>
      <c r="N1565" s="11" t="n"/>
      <c r="O1565" s="11" t="n"/>
      <c r="P1565" s="11" t="n"/>
      <c r="Q1565" s="11" t="n"/>
      <c r="R1565" s="11" t="n"/>
      <c r="S1565" s="11" t="n"/>
      <c r="T1565" s="12" t="n"/>
    </row>
    <row r="1566">
      <c r="A1566" s="11" t="n"/>
      <c r="B1566" s="11" t="n"/>
      <c r="C1566" s="11" t="n"/>
      <c r="D1566" s="11" t="n"/>
      <c r="E1566" s="11" t="n"/>
      <c r="F1566" s="11" t="n"/>
      <c r="G1566" s="11" t="n"/>
      <c r="H1566" s="11" t="n"/>
      <c r="I1566" s="11" t="n"/>
      <c r="J1566" s="11" t="n"/>
      <c r="K1566" s="11" t="n"/>
      <c r="L1566" s="11" t="n"/>
      <c r="M1566" s="11" t="n"/>
      <c r="N1566" s="11" t="n"/>
      <c r="O1566" s="11" t="n"/>
      <c r="P1566" s="11" t="n"/>
      <c r="Q1566" s="11" t="n"/>
      <c r="R1566" s="11" t="n"/>
      <c r="S1566" s="11" t="n"/>
      <c r="T1566" s="12" t="n"/>
    </row>
    <row r="1567">
      <c r="A1567" s="11" t="n"/>
      <c r="B1567" s="11" t="n"/>
      <c r="C1567" s="11" t="n"/>
      <c r="D1567" s="11" t="n"/>
      <c r="E1567" s="11" t="n"/>
      <c r="F1567" s="11" t="n"/>
      <c r="G1567" s="11" t="n"/>
      <c r="H1567" s="11" t="n"/>
      <c r="I1567" s="11" t="n"/>
      <c r="J1567" s="11" t="n"/>
      <c r="K1567" s="11" t="n"/>
      <c r="L1567" s="11" t="n"/>
      <c r="M1567" s="11" t="n"/>
      <c r="N1567" s="11" t="n"/>
      <c r="O1567" s="11" t="n"/>
      <c r="P1567" s="11" t="n"/>
      <c r="Q1567" s="11" t="n"/>
      <c r="R1567" s="11" t="n"/>
      <c r="S1567" s="11" t="n"/>
      <c r="T1567" s="12" t="n"/>
    </row>
    <row r="1568">
      <c r="A1568" s="11" t="n"/>
      <c r="B1568" s="11" t="n"/>
      <c r="C1568" s="11" t="n"/>
      <c r="D1568" s="11" t="n"/>
      <c r="E1568" s="11" t="n"/>
      <c r="F1568" s="11" t="n"/>
      <c r="G1568" s="11" t="n"/>
      <c r="H1568" s="11" t="n"/>
      <c r="I1568" s="11" t="n"/>
      <c r="J1568" s="11" t="n"/>
      <c r="K1568" s="11" t="n"/>
      <c r="L1568" s="11" t="n"/>
      <c r="M1568" s="11" t="n"/>
      <c r="N1568" s="11" t="n"/>
      <c r="O1568" s="11" t="n"/>
      <c r="P1568" s="11" t="n"/>
      <c r="Q1568" s="11" t="n"/>
      <c r="R1568" s="11" t="n"/>
      <c r="S1568" s="11" t="n"/>
      <c r="T1568" s="12" t="n"/>
    </row>
    <row r="1569">
      <c r="A1569" s="11" t="n"/>
      <c r="B1569" s="11" t="n"/>
      <c r="C1569" s="11" t="n"/>
      <c r="D1569" s="11" t="n"/>
      <c r="E1569" s="11" t="n"/>
      <c r="F1569" s="11" t="n"/>
      <c r="G1569" s="11" t="n"/>
      <c r="H1569" s="11" t="n"/>
      <c r="I1569" s="11" t="n"/>
      <c r="J1569" s="11" t="n"/>
      <c r="K1569" s="11" t="n"/>
      <c r="L1569" s="11" t="n"/>
      <c r="M1569" s="11" t="n"/>
      <c r="N1569" s="11" t="n"/>
      <c r="O1569" s="11" t="n"/>
      <c r="P1569" s="11" t="n"/>
      <c r="Q1569" s="11" t="n"/>
      <c r="R1569" s="11" t="n"/>
      <c r="S1569" s="11" t="n"/>
      <c r="T1569" s="12" t="n"/>
    </row>
    <row r="1570">
      <c r="A1570" s="11" t="n"/>
      <c r="B1570" s="11" t="n"/>
      <c r="C1570" s="11" t="n"/>
      <c r="D1570" s="11" t="n"/>
      <c r="E1570" s="11" t="n"/>
      <c r="F1570" s="11" t="n"/>
      <c r="G1570" s="11" t="n"/>
      <c r="H1570" s="11" t="n"/>
      <c r="I1570" s="11" t="n"/>
      <c r="J1570" s="11" t="n"/>
      <c r="K1570" s="11" t="n"/>
      <c r="L1570" s="11" t="n"/>
      <c r="M1570" s="11" t="n"/>
      <c r="N1570" s="11" t="n"/>
      <c r="O1570" s="11" t="n"/>
      <c r="P1570" s="11" t="n"/>
      <c r="Q1570" s="11" t="n"/>
      <c r="R1570" s="11" t="n"/>
      <c r="S1570" s="11" t="n"/>
      <c r="T1570" s="12" t="n"/>
    </row>
    <row r="1571">
      <c r="A1571" s="11" t="n"/>
      <c r="B1571" s="11" t="n"/>
      <c r="C1571" s="11" t="n"/>
      <c r="D1571" s="11" t="n"/>
      <c r="E1571" s="11" t="n"/>
      <c r="F1571" s="11" t="n"/>
      <c r="G1571" s="11" t="n"/>
      <c r="H1571" s="11" t="n"/>
      <c r="I1571" s="11" t="n"/>
      <c r="J1571" s="11" t="n"/>
      <c r="K1571" s="11" t="n"/>
      <c r="L1571" s="11" t="n"/>
      <c r="M1571" s="11" t="n"/>
      <c r="N1571" s="11" t="n"/>
      <c r="O1571" s="11" t="n"/>
      <c r="P1571" s="11" t="n"/>
      <c r="Q1571" s="11" t="n"/>
      <c r="R1571" s="11" t="n"/>
      <c r="S1571" s="11" t="n"/>
      <c r="T1571" s="12" t="n"/>
    </row>
    <row r="1572">
      <c r="A1572" s="11" t="n"/>
      <c r="B1572" s="11" t="n"/>
      <c r="C1572" s="11" t="n"/>
      <c r="D1572" s="11" t="n"/>
      <c r="E1572" s="11" t="n"/>
      <c r="F1572" s="11" t="n"/>
      <c r="G1572" s="11" t="n"/>
      <c r="H1572" s="11" t="n"/>
      <c r="I1572" s="11" t="n"/>
      <c r="J1572" s="11" t="n"/>
      <c r="K1572" s="11" t="n"/>
      <c r="L1572" s="11" t="n"/>
      <c r="M1572" s="11" t="n"/>
      <c r="N1572" s="11" t="n"/>
      <c r="O1572" s="11" t="n"/>
      <c r="P1572" s="11" t="n"/>
      <c r="Q1572" s="11" t="n"/>
      <c r="R1572" s="11" t="n"/>
      <c r="S1572" s="11" t="n"/>
      <c r="T1572" s="12" t="n"/>
    </row>
    <row r="1573">
      <c r="A1573" s="11" t="n"/>
      <c r="B1573" s="11" t="n"/>
      <c r="C1573" s="11" t="n"/>
      <c r="D1573" s="11" t="n"/>
      <c r="E1573" s="11" t="n"/>
      <c r="F1573" s="11" t="n"/>
      <c r="G1573" s="11" t="n"/>
      <c r="H1573" s="11" t="n"/>
      <c r="I1573" s="11" t="n"/>
      <c r="J1573" s="11" t="n"/>
      <c r="K1573" s="11" t="n"/>
      <c r="L1573" s="11" t="n"/>
      <c r="M1573" s="11" t="n"/>
      <c r="N1573" s="11" t="n"/>
      <c r="O1573" s="11" t="n"/>
      <c r="P1573" s="11" t="n"/>
      <c r="Q1573" s="11" t="n"/>
      <c r="R1573" s="11" t="n"/>
      <c r="S1573" s="11" t="n"/>
      <c r="T1573" s="12" t="n"/>
    </row>
    <row r="1574">
      <c r="A1574" s="11" t="n"/>
      <c r="B1574" s="11" t="n"/>
      <c r="C1574" s="11" t="n"/>
      <c r="D1574" s="11" t="n"/>
      <c r="E1574" s="11" t="n"/>
      <c r="F1574" s="11" t="n"/>
      <c r="G1574" s="11" t="n"/>
      <c r="H1574" s="11" t="n"/>
      <c r="I1574" s="11" t="n"/>
      <c r="J1574" s="11" t="n"/>
      <c r="K1574" s="11" t="n"/>
      <c r="L1574" s="11" t="n"/>
      <c r="M1574" s="11" t="n"/>
      <c r="N1574" s="11" t="n"/>
      <c r="O1574" s="11" t="n"/>
      <c r="P1574" s="11" t="n"/>
      <c r="Q1574" s="11" t="n"/>
      <c r="R1574" s="11" t="n"/>
      <c r="S1574" s="11" t="n"/>
      <c r="T1574" s="12" t="n"/>
    </row>
    <row r="1575">
      <c r="A1575" s="11" t="n"/>
      <c r="B1575" s="11" t="n"/>
      <c r="C1575" s="11" t="n"/>
      <c r="D1575" s="11" t="n"/>
      <c r="E1575" s="11" t="n"/>
      <c r="F1575" s="11" t="n"/>
      <c r="G1575" s="11" t="n"/>
      <c r="H1575" s="11" t="n"/>
      <c r="I1575" s="11" t="n"/>
      <c r="J1575" s="11" t="n"/>
      <c r="K1575" s="11" t="n"/>
      <c r="L1575" s="11" t="n"/>
      <c r="M1575" s="11" t="n"/>
      <c r="N1575" s="11" t="n"/>
      <c r="O1575" s="11" t="n"/>
      <c r="P1575" s="11" t="n"/>
      <c r="Q1575" s="11" t="n"/>
      <c r="R1575" s="11" t="n"/>
      <c r="S1575" s="11" t="n"/>
      <c r="T1575" s="12" t="n"/>
    </row>
    <row r="1576">
      <c r="A1576" s="11" t="n"/>
      <c r="B1576" s="11" t="n"/>
      <c r="C1576" s="11" t="n"/>
      <c r="D1576" s="11" t="n"/>
      <c r="E1576" s="11" t="n"/>
      <c r="F1576" s="11" t="n"/>
      <c r="G1576" s="11" t="n"/>
      <c r="H1576" s="11" t="n"/>
      <c r="I1576" s="11" t="n"/>
      <c r="J1576" s="11" t="n"/>
      <c r="K1576" s="11" t="n"/>
      <c r="L1576" s="11" t="n"/>
      <c r="M1576" s="11" t="n"/>
      <c r="N1576" s="11" t="n"/>
      <c r="O1576" s="11" t="n"/>
      <c r="P1576" s="11" t="n"/>
      <c r="Q1576" s="11" t="n"/>
      <c r="R1576" s="11" t="n"/>
      <c r="S1576" s="11" t="n"/>
      <c r="T1576" s="12" t="n"/>
    </row>
    <row r="1577">
      <c r="A1577" s="11" t="n"/>
      <c r="B1577" s="11" t="n"/>
      <c r="C1577" s="11" t="n"/>
      <c r="D1577" s="11" t="n"/>
      <c r="E1577" s="11" t="n"/>
      <c r="F1577" s="11" t="n"/>
      <c r="G1577" s="11" t="n"/>
      <c r="H1577" s="11" t="n"/>
      <c r="I1577" s="11" t="n"/>
      <c r="J1577" s="11" t="n"/>
      <c r="K1577" s="11" t="n"/>
      <c r="L1577" s="11" t="n"/>
      <c r="M1577" s="11" t="n"/>
      <c r="N1577" s="11" t="n"/>
      <c r="O1577" s="11" t="n"/>
      <c r="P1577" s="11" t="n"/>
      <c r="Q1577" s="11" t="n"/>
      <c r="R1577" s="11" t="n"/>
      <c r="S1577" s="11" t="n"/>
      <c r="T1577" s="12" t="n"/>
    </row>
    <row r="1578">
      <c r="A1578" s="11" t="n"/>
      <c r="B1578" s="11" t="n"/>
      <c r="C1578" s="11" t="n"/>
      <c r="D1578" s="11" t="n"/>
      <c r="E1578" s="11" t="n"/>
      <c r="F1578" s="11" t="n"/>
      <c r="G1578" s="11" t="n"/>
      <c r="H1578" s="11" t="n"/>
      <c r="I1578" s="11" t="n"/>
      <c r="J1578" s="11" t="n"/>
      <c r="K1578" s="11" t="n"/>
      <c r="L1578" s="11" t="n"/>
      <c r="M1578" s="11" t="n"/>
      <c r="N1578" s="11" t="n"/>
      <c r="O1578" s="11" t="n"/>
      <c r="P1578" s="11" t="n"/>
      <c r="Q1578" s="11" t="n"/>
      <c r="R1578" s="11" t="n"/>
      <c r="S1578" s="11" t="n"/>
      <c r="T1578" s="12" t="n"/>
    </row>
    <row r="1579">
      <c r="A1579" s="11" t="n"/>
      <c r="B1579" s="11" t="n"/>
      <c r="C1579" s="11" t="n"/>
      <c r="D1579" s="11" t="n"/>
      <c r="E1579" s="11" t="n"/>
      <c r="F1579" s="11" t="n"/>
      <c r="G1579" s="11" t="n"/>
      <c r="H1579" s="11" t="n"/>
      <c r="I1579" s="11" t="n"/>
      <c r="J1579" s="11" t="n"/>
      <c r="K1579" s="11" t="n"/>
      <c r="L1579" s="11" t="n"/>
      <c r="M1579" s="11" t="n"/>
      <c r="N1579" s="11" t="n"/>
      <c r="O1579" s="11" t="n"/>
      <c r="P1579" s="11" t="n"/>
      <c r="Q1579" s="11" t="n"/>
      <c r="R1579" s="11" t="n"/>
      <c r="S1579" s="11" t="n"/>
      <c r="T1579" s="12" t="n"/>
    </row>
    <row r="1580">
      <c r="A1580" s="11" t="n"/>
      <c r="B1580" s="11" t="n"/>
      <c r="C1580" s="11" t="n"/>
      <c r="D1580" s="11" t="n"/>
      <c r="E1580" s="11" t="n"/>
      <c r="F1580" s="11" t="n"/>
      <c r="G1580" s="11" t="n"/>
      <c r="H1580" s="11" t="n"/>
      <c r="I1580" s="11" t="n"/>
      <c r="J1580" s="11" t="n"/>
      <c r="K1580" s="11" t="n"/>
      <c r="L1580" s="11" t="n"/>
      <c r="M1580" s="11" t="n"/>
      <c r="N1580" s="11" t="n"/>
      <c r="O1580" s="11" t="n"/>
      <c r="P1580" s="11" t="n"/>
      <c r="Q1580" s="11" t="n"/>
      <c r="R1580" s="11" t="n"/>
      <c r="S1580" s="11" t="n"/>
      <c r="T1580" s="12" t="n"/>
    </row>
    <row r="1581">
      <c r="A1581" s="11" t="n"/>
      <c r="B1581" s="11" t="n"/>
      <c r="C1581" s="11" t="n"/>
      <c r="D1581" s="11" t="n"/>
      <c r="E1581" s="11" t="n"/>
      <c r="F1581" s="11" t="n"/>
      <c r="G1581" s="11" t="n"/>
      <c r="H1581" s="11" t="n"/>
      <c r="I1581" s="11" t="n"/>
      <c r="J1581" s="11" t="n"/>
      <c r="K1581" s="11" t="n"/>
      <c r="L1581" s="11" t="n"/>
      <c r="M1581" s="11" t="n"/>
      <c r="N1581" s="11" t="n"/>
      <c r="O1581" s="11" t="n"/>
      <c r="P1581" s="11" t="n"/>
      <c r="Q1581" s="11" t="n"/>
      <c r="R1581" s="11" t="n"/>
      <c r="S1581" s="11" t="n"/>
      <c r="T1581" s="12" t="n"/>
    </row>
    <row r="1582">
      <c r="A1582" s="11" t="n"/>
      <c r="B1582" s="11" t="n"/>
      <c r="C1582" s="11" t="n"/>
      <c r="D1582" s="11" t="n"/>
      <c r="E1582" s="11" t="n"/>
      <c r="F1582" s="11" t="n"/>
      <c r="G1582" s="11" t="n"/>
      <c r="H1582" s="11" t="n"/>
      <c r="I1582" s="11" t="n"/>
      <c r="J1582" s="11" t="n"/>
      <c r="K1582" s="11" t="n"/>
      <c r="L1582" s="11" t="n"/>
      <c r="M1582" s="11" t="n"/>
      <c r="N1582" s="11" t="n"/>
      <c r="O1582" s="11" t="n"/>
      <c r="P1582" s="11" t="n"/>
      <c r="Q1582" s="11" t="n"/>
      <c r="R1582" s="11" t="n"/>
      <c r="S1582" s="11" t="n"/>
      <c r="T1582" s="12" t="n"/>
    </row>
    <row r="1583">
      <c r="A1583" s="11" t="n"/>
      <c r="B1583" s="11" t="n"/>
      <c r="C1583" s="11" t="n"/>
      <c r="D1583" s="11" t="n"/>
      <c r="E1583" s="11" t="n"/>
      <c r="F1583" s="11" t="n"/>
      <c r="G1583" s="11" t="n"/>
      <c r="H1583" s="11" t="n"/>
      <c r="I1583" s="11" t="n"/>
      <c r="J1583" s="11" t="n"/>
      <c r="K1583" s="11" t="n"/>
      <c r="L1583" s="11" t="n"/>
      <c r="M1583" s="11" t="n"/>
      <c r="N1583" s="11" t="n"/>
      <c r="O1583" s="11" t="n"/>
      <c r="P1583" s="11" t="n"/>
      <c r="Q1583" s="11" t="n"/>
      <c r="R1583" s="11" t="n"/>
      <c r="S1583" s="11" t="n"/>
      <c r="T1583" s="12" t="n"/>
    </row>
    <row r="1584">
      <c r="A1584" s="11" t="n"/>
      <c r="B1584" s="11" t="n"/>
      <c r="C1584" s="11" t="n"/>
      <c r="D1584" s="11" t="n"/>
      <c r="E1584" s="11" t="n"/>
      <c r="F1584" s="11" t="n"/>
      <c r="G1584" s="11" t="n"/>
      <c r="H1584" s="11" t="n"/>
      <c r="I1584" s="11" t="n"/>
      <c r="J1584" s="11" t="n"/>
      <c r="K1584" s="11" t="n"/>
      <c r="L1584" s="11" t="n"/>
      <c r="M1584" s="11" t="n"/>
      <c r="N1584" s="11" t="n"/>
      <c r="O1584" s="11" t="n"/>
      <c r="P1584" s="11" t="n"/>
      <c r="Q1584" s="11" t="n"/>
      <c r="R1584" s="11" t="n"/>
      <c r="S1584" s="11" t="n"/>
      <c r="T1584" s="12" t="n"/>
    </row>
    <row r="1585">
      <c r="A1585" s="11" t="n"/>
      <c r="B1585" s="11" t="n"/>
      <c r="C1585" s="11" t="n"/>
      <c r="D1585" s="11" t="n"/>
      <c r="E1585" s="11" t="n"/>
      <c r="F1585" s="11" t="n"/>
      <c r="G1585" s="11" t="n"/>
      <c r="H1585" s="11" t="n"/>
      <c r="I1585" s="11" t="n"/>
      <c r="J1585" s="11" t="n"/>
      <c r="K1585" s="11" t="n"/>
      <c r="L1585" s="11" t="n"/>
      <c r="M1585" s="11" t="n"/>
      <c r="N1585" s="11" t="n"/>
      <c r="O1585" s="11" t="n"/>
      <c r="P1585" s="11" t="n"/>
      <c r="Q1585" s="11" t="n"/>
      <c r="R1585" s="11" t="n"/>
      <c r="S1585" s="11" t="n"/>
      <c r="T1585" s="12" t="n"/>
    </row>
    <row r="1586">
      <c r="A1586" s="11" t="n"/>
      <c r="B1586" s="11" t="n"/>
      <c r="C1586" s="11" t="n"/>
      <c r="D1586" s="11" t="n"/>
      <c r="E1586" s="11" t="n"/>
      <c r="F1586" s="11" t="n"/>
      <c r="G1586" s="11" t="n"/>
      <c r="H1586" s="11" t="n"/>
      <c r="I1586" s="11" t="n"/>
      <c r="J1586" s="11" t="n"/>
      <c r="K1586" s="11" t="n"/>
      <c r="L1586" s="11" t="n"/>
      <c r="M1586" s="11" t="n"/>
      <c r="N1586" s="11" t="n"/>
      <c r="O1586" s="11" t="n"/>
      <c r="P1586" s="11" t="n"/>
      <c r="Q1586" s="11" t="n"/>
      <c r="R1586" s="11" t="n"/>
      <c r="S1586" s="11" t="n"/>
      <c r="T1586" s="12" t="n"/>
    </row>
    <row r="1587">
      <c r="A1587" s="11" t="n"/>
      <c r="B1587" s="11" t="n"/>
      <c r="C1587" s="11" t="n"/>
      <c r="D1587" s="11" t="n"/>
      <c r="E1587" s="11" t="n"/>
      <c r="F1587" s="11" t="n"/>
      <c r="G1587" s="11" t="n"/>
      <c r="H1587" s="11" t="n"/>
      <c r="I1587" s="11" t="n"/>
      <c r="J1587" s="11" t="n"/>
      <c r="K1587" s="11" t="n"/>
      <c r="L1587" s="11" t="n"/>
      <c r="M1587" s="11" t="n"/>
      <c r="N1587" s="11" t="n"/>
      <c r="O1587" s="11" t="n"/>
      <c r="P1587" s="11" t="n"/>
      <c r="Q1587" s="11" t="n"/>
      <c r="R1587" s="11" t="n"/>
      <c r="S1587" s="11" t="n"/>
      <c r="T1587" s="12" t="n"/>
    </row>
    <row r="1588">
      <c r="A1588" s="11" t="n"/>
      <c r="B1588" s="11" t="n"/>
      <c r="C1588" s="11" t="n"/>
      <c r="D1588" s="11" t="n"/>
      <c r="E1588" s="11" t="n"/>
      <c r="F1588" s="11" t="n"/>
      <c r="G1588" s="11" t="n"/>
      <c r="H1588" s="11" t="n"/>
      <c r="I1588" s="11" t="n"/>
      <c r="J1588" s="11" t="n"/>
      <c r="K1588" s="11" t="n"/>
      <c r="L1588" s="11" t="n"/>
      <c r="M1588" s="11" t="n"/>
      <c r="N1588" s="11" t="n"/>
      <c r="O1588" s="11" t="n"/>
      <c r="P1588" s="11" t="n"/>
      <c r="Q1588" s="11" t="n"/>
      <c r="R1588" s="11" t="n"/>
      <c r="S1588" s="11" t="n"/>
      <c r="T1588" s="12" t="n"/>
    </row>
    <row r="1589">
      <c r="A1589" s="11" t="n"/>
      <c r="B1589" s="11" t="n"/>
      <c r="C1589" s="11" t="n"/>
      <c r="D1589" s="11" t="n"/>
      <c r="E1589" s="11" t="n"/>
      <c r="F1589" s="11" t="n"/>
      <c r="G1589" s="11" t="n"/>
      <c r="H1589" s="11" t="n"/>
      <c r="I1589" s="11" t="n"/>
      <c r="J1589" s="11" t="n"/>
      <c r="K1589" s="11" t="n"/>
      <c r="L1589" s="11" t="n"/>
      <c r="M1589" s="11" t="n"/>
      <c r="N1589" s="11" t="n"/>
      <c r="O1589" s="11" t="n"/>
      <c r="P1589" s="11" t="n"/>
      <c r="Q1589" s="11" t="n"/>
      <c r="R1589" s="11" t="n"/>
      <c r="S1589" s="11" t="n"/>
      <c r="T1589" s="12" t="n"/>
    </row>
    <row r="1590">
      <c r="A1590" s="11" t="n"/>
      <c r="B1590" s="11" t="n"/>
      <c r="C1590" s="11" t="n"/>
      <c r="D1590" s="11" t="n"/>
      <c r="E1590" s="11" t="n"/>
      <c r="F1590" s="11" t="n"/>
      <c r="G1590" s="11" t="n"/>
      <c r="H1590" s="11" t="n"/>
      <c r="I1590" s="11" t="n"/>
      <c r="J1590" s="11" t="n"/>
      <c r="K1590" s="11" t="n"/>
      <c r="L1590" s="11" t="n"/>
      <c r="M1590" s="11" t="n"/>
      <c r="N1590" s="11" t="n"/>
      <c r="O1590" s="11" t="n"/>
      <c r="P1590" s="11" t="n"/>
      <c r="Q1590" s="11" t="n"/>
      <c r="R1590" s="11" t="n"/>
      <c r="S1590" s="11" t="n"/>
      <c r="T1590" s="12" t="n"/>
    </row>
    <row r="1591">
      <c r="A1591" s="11" t="n"/>
      <c r="B1591" s="11" t="n"/>
      <c r="C1591" s="11" t="n"/>
      <c r="D1591" s="11" t="n"/>
      <c r="E1591" s="11" t="n"/>
      <c r="F1591" s="11" t="n"/>
      <c r="G1591" s="11" t="n"/>
      <c r="H1591" s="11" t="n"/>
      <c r="I1591" s="11" t="n"/>
      <c r="J1591" s="11" t="n"/>
      <c r="K1591" s="11" t="n"/>
      <c r="L1591" s="11" t="n"/>
      <c r="M1591" s="11" t="n"/>
      <c r="N1591" s="11" t="n"/>
      <c r="O1591" s="11" t="n"/>
      <c r="P1591" s="11" t="n"/>
      <c r="Q1591" s="11" t="n"/>
      <c r="R1591" s="11" t="n"/>
      <c r="S1591" s="11" t="n"/>
      <c r="T1591" s="12" t="n"/>
    </row>
    <row r="1592">
      <c r="A1592" s="11" t="n"/>
      <c r="B1592" s="11" t="n"/>
      <c r="C1592" s="11" t="n"/>
      <c r="D1592" s="11" t="n"/>
      <c r="E1592" s="11" t="n"/>
      <c r="F1592" s="11" t="n"/>
      <c r="G1592" s="11" t="n"/>
      <c r="H1592" s="11" t="n"/>
      <c r="I1592" s="11" t="n"/>
      <c r="J1592" s="11" t="n"/>
      <c r="K1592" s="11" t="n"/>
      <c r="L1592" s="11" t="n"/>
      <c r="M1592" s="11" t="n"/>
      <c r="N1592" s="11" t="n"/>
      <c r="O1592" s="11" t="n"/>
      <c r="P1592" s="11" t="n"/>
      <c r="Q1592" s="11" t="n"/>
      <c r="R1592" s="11" t="n"/>
      <c r="S1592" s="11" t="n"/>
      <c r="T1592" s="12" t="n"/>
    </row>
    <row r="1593">
      <c r="A1593" s="11" t="n"/>
      <c r="B1593" s="11" t="n"/>
      <c r="C1593" s="11" t="n"/>
      <c r="D1593" s="11" t="n"/>
      <c r="E1593" s="11" t="n"/>
      <c r="F1593" s="11" t="n"/>
      <c r="G1593" s="11" t="n"/>
      <c r="H1593" s="11" t="n"/>
      <c r="I1593" s="11" t="n"/>
      <c r="J1593" s="11" t="n"/>
      <c r="K1593" s="11" t="n"/>
      <c r="L1593" s="11" t="n"/>
      <c r="M1593" s="11" t="n"/>
      <c r="N1593" s="11" t="n"/>
      <c r="O1593" s="11" t="n"/>
      <c r="P1593" s="11" t="n"/>
      <c r="Q1593" s="11" t="n"/>
      <c r="R1593" s="11" t="n"/>
      <c r="S1593" s="11" t="n"/>
      <c r="T1593" s="12" t="n"/>
    </row>
    <row r="1594">
      <c r="A1594" s="11" t="n"/>
      <c r="B1594" s="11" t="n"/>
      <c r="C1594" s="11" t="n"/>
      <c r="D1594" s="11" t="n"/>
      <c r="E1594" s="11" t="n"/>
      <c r="F1594" s="11" t="n"/>
      <c r="G1594" s="11" t="n"/>
      <c r="H1594" s="11" t="n"/>
      <c r="I1594" s="11" t="n"/>
      <c r="J1594" s="11" t="n"/>
      <c r="K1594" s="11" t="n"/>
      <c r="L1594" s="11" t="n"/>
      <c r="M1594" s="11" t="n"/>
      <c r="N1594" s="11" t="n"/>
      <c r="O1594" s="11" t="n"/>
      <c r="P1594" s="11" t="n"/>
      <c r="Q1594" s="11" t="n"/>
      <c r="R1594" s="11" t="n"/>
      <c r="S1594" s="11" t="n"/>
      <c r="T1594" s="12" t="n"/>
    </row>
    <row r="1595">
      <c r="A1595" s="11" t="n"/>
      <c r="B1595" s="11" t="n"/>
      <c r="C1595" s="11" t="n"/>
      <c r="D1595" s="11" t="n"/>
      <c r="E1595" s="11" t="n"/>
      <c r="F1595" s="11" t="n"/>
      <c r="G1595" s="11" t="n"/>
      <c r="H1595" s="11" t="n"/>
      <c r="I1595" s="11" t="n"/>
      <c r="J1595" s="11" t="n"/>
      <c r="K1595" s="11" t="n"/>
      <c r="L1595" s="11" t="n"/>
      <c r="M1595" s="11" t="n"/>
      <c r="N1595" s="11" t="n"/>
      <c r="O1595" s="11" t="n"/>
      <c r="P1595" s="11" t="n"/>
      <c r="Q1595" s="11" t="n"/>
      <c r="R1595" s="11" t="n"/>
      <c r="S1595" s="11" t="n"/>
      <c r="T1595" s="12" t="n"/>
    </row>
    <row r="1596">
      <c r="A1596" s="11" t="n"/>
      <c r="B1596" s="11" t="n"/>
      <c r="C1596" s="11" t="n"/>
      <c r="D1596" s="11" t="n"/>
      <c r="E1596" s="11" t="n"/>
      <c r="F1596" s="11" t="n"/>
      <c r="G1596" s="11" t="n"/>
      <c r="H1596" s="11" t="n"/>
      <c r="I1596" s="11" t="n"/>
      <c r="J1596" s="11" t="n"/>
      <c r="K1596" s="11" t="n"/>
      <c r="L1596" s="11" t="n"/>
      <c r="M1596" s="11" t="n"/>
      <c r="N1596" s="11" t="n"/>
      <c r="O1596" s="11" t="n"/>
      <c r="P1596" s="11" t="n"/>
      <c r="Q1596" s="11" t="n"/>
      <c r="R1596" s="11" t="n"/>
      <c r="S1596" s="11" t="n"/>
      <c r="T1596" s="12" t="n"/>
    </row>
    <row r="1597">
      <c r="A1597" s="11" t="n"/>
      <c r="B1597" s="11" t="n"/>
      <c r="C1597" s="11" t="n"/>
      <c r="D1597" s="11" t="n"/>
      <c r="E1597" s="11" t="n"/>
      <c r="F1597" s="11" t="n"/>
      <c r="G1597" s="11" t="n"/>
      <c r="H1597" s="11" t="n"/>
      <c r="I1597" s="11" t="n"/>
      <c r="J1597" s="11" t="n"/>
      <c r="K1597" s="11" t="n"/>
      <c r="L1597" s="11" t="n"/>
      <c r="M1597" s="11" t="n"/>
      <c r="N1597" s="11" t="n"/>
      <c r="O1597" s="11" t="n"/>
      <c r="P1597" s="11" t="n"/>
      <c r="Q1597" s="11" t="n"/>
      <c r="R1597" s="11" t="n"/>
      <c r="S1597" s="11" t="n"/>
      <c r="T1597" s="12" t="n"/>
    </row>
    <row r="1598">
      <c r="A1598" s="11" t="n"/>
      <c r="B1598" s="11" t="n"/>
      <c r="C1598" s="11" t="n"/>
      <c r="D1598" s="11" t="n"/>
      <c r="E1598" s="11" t="n"/>
      <c r="F1598" s="11" t="n"/>
      <c r="G1598" s="11" t="n"/>
      <c r="H1598" s="11" t="n"/>
      <c r="I1598" s="11" t="n"/>
      <c r="J1598" s="11" t="n"/>
      <c r="K1598" s="11" t="n"/>
      <c r="L1598" s="11" t="n"/>
      <c r="M1598" s="11" t="n"/>
      <c r="N1598" s="11" t="n"/>
      <c r="O1598" s="11" t="n"/>
      <c r="P1598" s="11" t="n"/>
      <c r="Q1598" s="11" t="n"/>
      <c r="R1598" s="11" t="n"/>
      <c r="S1598" s="11" t="n"/>
      <c r="T1598" s="12" t="n"/>
    </row>
    <row r="1599">
      <c r="A1599" s="11" t="n"/>
      <c r="B1599" s="11" t="n"/>
      <c r="C1599" s="11" t="n"/>
      <c r="D1599" s="11" t="n"/>
      <c r="E1599" s="11" t="n"/>
      <c r="F1599" s="11" t="n"/>
      <c r="G1599" s="11" t="n"/>
      <c r="H1599" s="11" t="n"/>
      <c r="I1599" s="11" t="n"/>
      <c r="J1599" s="11" t="n"/>
      <c r="K1599" s="11" t="n"/>
      <c r="L1599" s="11" t="n"/>
      <c r="M1599" s="11" t="n"/>
      <c r="N1599" s="11" t="n"/>
      <c r="O1599" s="11" t="n"/>
      <c r="P1599" s="11" t="n"/>
      <c r="Q1599" s="11" t="n"/>
      <c r="R1599" s="11" t="n"/>
      <c r="S1599" s="11" t="n"/>
      <c r="T1599" s="12" t="n"/>
    </row>
    <row r="1600">
      <c r="A1600" s="11" t="n"/>
      <c r="B1600" s="11" t="n"/>
      <c r="C1600" s="11" t="n"/>
      <c r="D1600" s="11" t="n"/>
      <c r="E1600" s="11" t="n"/>
      <c r="F1600" s="11" t="n"/>
      <c r="G1600" s="11" t="n"/>
      <c r="H1600" s="11" t="n"/>
      <c r="I1600" s="11" t="n"/>
      <c r="J1600" s="11" t="n"/>
      <c r="K1600" s="11" t="n"/>
      <c r="L1600" s="11" t="n"/>
      <c r="M1600" s="11" t="n"/>
      <c r="N1600" s="11" t="n"/>
      <c r="O1600" s="11" t="n"/>
      <c r="P1600" s="11" t="n"/>
      <c r="Q1600" s="11" t="n"/>
      <c r="R1600" s="11" t="n"/>
      <c r="S1600" s="11" t="n"/>
      <c r="T1600" s="12" t="n"/>
    </row>
    <row r="1601">
      <c r="A1601" s="11" t="n"/>
      <c r="B1601" s="11" t="n"/>
      <c r="C1601" s="11" t="n"/>
      <c r="D1601" s="11" t="n"/>
      <c r="E1601" s="11" t="n"/>
      <c r="F1601" s="11" t="n"/>
      <c r="G1601" s="11" t="n"/>
      <c r="H1601" s="11" t="n"/>
      <c r="I1601" s="11" t="n"/>
      <c r="J1601" s="11" t="n"/>
      <c r="K1601" s="11" t="n"/>
      <c r="L1601" s="11" t="n"/>
      <c r="M1601" s="11" t="n"/>
      <c r="N1601" s="11" t="n"/>
      <c r="O1601" s="11" t="n"/>
      <c r="P1601" s="11" t="n"/>
      <c r="Q1601" s="11" t="n"/>
      <c r="R1601" s="11" t="n"/>
      <c r="S1601" s="11" t="n"/>
      <c r="T1601" s="12" t="n"/>
    </row>
    <row r="1602">
      <c r="A1602" s="11" t="n"/>
      <c r="B1602" s="11" t="n"/>
      <c r="C1602" s="11" t="n"/>
      <c r="D1602" s="11" t="n"/>
      <c r="E1602" s="11" t="n"/>
      <c r="F1602" s="11" t="n"/>
      <c r="G1602" s="11" t="n"/>
      <c r="H1602" s="11" t="n"/>
      <c r="I1602" s="11" t="n"/>
      <c r="J1602" s="11" t="n"/>
      <c r="K1602" s="11" t="n"/>
      <c r="L1602" s="11" t="n"/>
      <c r="M1602" s="11" t="n"/>
      <c r="N1602" s="11" t="n"/>
      <c r="O1602" s="11" t="n"/>
      <c r="P1602" s="11" t="n"/>
      <c r="Q1602" s="11" t="n"/>
      <c r="R1602" s="11" t="n"/>
      <c r="S1602" s="11" t="n"/>
      <c r="T1602" s="12" t="n"/>
    </row>
    <row r="1603">
      <c r="A1603" s="11" t="n"/>
      <c r="B1603" s="11" t="n"/>
      <c r="C1603" s="11" t="n"/>
      <c r="D1603" s="11" t="n"/>
      <c r="E1603" s="11" t="n"/>
      <c r="F1603" s="11" t="n"/>
      <c r="G1603" s="11" t="n"/>
      <c r="H1603" s="11" t="n"/>
      <c r="I1603" s="11" t="n"/>
      <c r="J1603" s="11" t="n"/>
      <c r="K1603" s="11" t="n"/>
      <c r="L1603" s="11" t="n"/>
      <c r="M1603" s="11" t="n"/>
      <c r="N1603" s="11" t="n"/>
      <c r="O1603" s="11" t="n"/>
      <c r="P1603" s="11" t="n"/>
      <c r="Q1603" s="11" t="n"/>
      <c r="R1603" s="11" t="n"/>
      <c r="S1603" s="11" t="n"/>
      <c r="T1603" s="12" t="n"/>
    </row>
    <row r="1604">
      <c r="A1604" s="11" t="n"/>
      <c r="B1604" s="11" t="n"/>
      <c r="C1604" s="11" t="n"/>
      <c r="D1604" s="11" t="n"/>
      <c r="E1604" s="11" t="n"/>
      <c r="F1604" s="11" t="n"/>
      <c r="G1604" s="11" t="n"/>
      <c r="H1604" s="11" t="n"/>
      <c r="I1604" s="11" t="n"/>
      <c r="J1604" s="11" t="n"/>
      <c r="K1604" s="11" t="n"/>
      <c r="L1604" s="11" t="n"/>
      <c r="M1604" s="11" t="n"/>
      <c r="N1604" s="11" t="n"/>
      <c r="O1604" s="11" t="n"/>
      <c r="P1604" s="11" t="n"/>
      <c r="Q1604" s="11" t="n"/>
      <c r="R1604" s="11" t="n"/>
      <c r="S1604" s="11" t="n"/>
      <c r="T1604" s="12" t="n"/>
    </row>
    <row r="1605">
      <c r="A1605" s="11" t="n"/>
      <c r="B1605" s="11" t="n"/>
      <c r="C1605" s="11" t="n"/>
      <c r="D1605" s="11" t="n"/>
      <c r="E1605" s="11" t="n"/>
      <c r="F1605" s="11" t="n"/>
      <c r="G1605" s="11" t="n"/>
      <c r="H1605" s="11" t="n"/>
      <c r="I1605" s="11" t="n"/>
      <c r="J1605" s="11" t="n"/>
      <c r="K1605" s="11" t="n"/>
      <c r="L1605" s="11" t="n"/>
      <c r="M1605" s="11" t="n"/>
      <c r="N1605" s="11" t="n"/>
      <c r="O1605" s="11" t="n"/>
      <c r="P1605" s="11" t="n"/>
      <c r="Q1605" s="11" t="n"/>
      <c r="R1605" s="11" t="n"/>
      <c r="S1605" s="11" t="n"/>
      <c r="T1605" s="12" t="n"/>
    </row>
    <row r="1606">
      <c r="A1606" s="11" t="n"/>
      <c r="B1606" s="11" t="n"/>
      <c r="C1606" s="11" t="n"/>
      <c r="D1606" s="11" t="n"/>
      <c r="E1606" s="11" t="n"/>
      <c r="F1606" s="11" t="n"/>
      <c r="G1606" s="11" t="n"/>
      <c r="H1606" s="11" t="n"/>
      <c r="I1606" s="11" t="n"/>
      <c r="J1606" s="11" t="n"/>
      <c r="K1606" s="11" t="n"/>
      <c r="L1606" s="11" t="n"/>
      <c r="M1606" s="11" t="n"/>
      <c r="N1606" s="11" t="n"/>
      <c r="O1606" s="11" t="n"/>
      <c r="P1606" s="11" t="n"/>
      <c r="Q1606" s="11" t="n"/>
      <c r="R1606" s="11" t="n"/>
      <c r="S1606" s="11" t="n"/>
      <c r="T1606" s="12" t="n"/>
    </row>
    <row r="1607">
      <c r="A1607" s="11" t="n"/>
      <c r="B1607" s="11" t="n"/>
      <c r="C1607" s="11" t="n"/>
      <c r="D1607" s="11" t="n"/>
      <c r="E1607" s="11" t="n"/>
      <c r="F1607" s="11" t="n"/>
      <c r="G1607" s="11" t="n"/>
      <c r="H1607" s="11" t="n"/>
      <c r="I1607" s="11" t="n"/>
      <c r="J1607" s="11" t="n"/>
      <c r="K1607" s="11" t="n"/>
      <c r="L1607" s="11" t="n"/>
      <c r="M1607" s="11" t="n"/>
      <c r="N1607" s="11" t="n"/>
      <c r="O1607" s="11" t="n"/>
      <c r="P1607" s="11" t="n"/>
      <c r="Q1607" s="11" t="n"/>
      <c r="R1607" s="11" t="n"/>
      <c r="S1607" s="11" t="n"/>
      <c r="T1607" s="12" t="n"/>
    </row>
    <row r="1608">
      <c r="A1608" s="11" t="n"/>
      <c r="B1608" s="11" t="n"/>
      <c r="C1608" s="11" t="n"/>
      <c r="D1608" s="11" t="n"/>
      <c r="E1608" s="11" t="n"/>
      <c r="F1608" s="11" t="n"/>
      <c r="G1608" s="11" t="n"/>
      <c r="H1608" s="11" t="n"/>
      <c r="I1608" s="11" t="n"/>
      <c r="J1608" s="11" t="n"/>
      <c r="K1608" s="11" t="n"/>
      <c r="L1608" s="11" t="n"/>
      <c r="M1608" s="11" t="n"/>
      <c r="N1608" s="11" t="n"/>
      <c r="O1608" s="11" t="n"/>
      <c r="P1608" s="11" t="n"/>
      <c r="Q1608" s="11" t="n"/>
      <c r="R1608" s="11" t="n"/>
      <c r="S1608" s="11" t="n"/>
      <c r="T1608" s="12" t="n"/>
    </row>
    <row r="1609">
      <c r="A1609" s="11" t="n"/>
      <c r="B1609" s="11" t="n"/>
      <c r="C1609" s="11" t="n"/>
      <c r="D1609" s="11" t="n"/>
      <c r="E1609" s="11" t="n"/>
      <c r="F1609" s="11" t="n"/>
      <c r="G1609" s="11" t="n"/>
      <c r="H1609" s="11" t="n"/>
      <c r="I1609" s="11" t="n"/>
      <c r="J1609" s="11" t="n"/>
      <c r="K1609" s="11" t="n"/>
      <c r="L1609" s="11" t="n"/>
      <c r="M1609" s="11" t="n"/>
      <c r="N1609" s="11" t="n"/>
      <c r="O1609" s="11" t="n"/>
      <c r="P1609" s="11" t="n"/>
      <c r="Q1609" s="11" t="n"/>
      <c r="R1609" s="11" t="n"/>
      <c r="S1609" s="11" t="n"/>
      <c r="T1609" s="12" t="n"/>
    </row>
    <row r="1610">
      <c r="A1610" s="11" t="n"/>
      <c r="B1610" s="11" t="n"/>
      <c r="C1610" s="11" t="n"/>
      <c r="D1610" s="11" t="n"/>
      <c r="E1610" s="11" t="n"/>
      <c r="F1610" s="11" t="n"/>
      <c r="G1610" s="11" t="n"/>
      <c r="H1610" s="11" t="n"/>
      <c r="I1610" s="11" t="n"/>
      <c r="J1610" s="11" t="n"/>
      <c r="K1610" s="11" t="n"/>
      <c r="L1610" s="11" t="n"/>
      <c r="M1610" s="11" t="n"/>
      <c r="N1610" s="11" t="n"/>
      <c r="O1610" s="11" t="n"/>
      <c r="P1610" s="11" t="n"/>
      <c r="Q1610" s="11" t="n"/>
      <c r="R1610" s="11" t="n"/>
      <c r="S1610" s="11" t="n"/>
      <c r="T1610" s="12" t="n"/>
    </row>
    <row r="1611">
      <c r="A1611" s="11" t="n"/>
      <c r="B1611" s="11" t="n"/>
      <c r="C1611" s="11" t="n"/>
      <c r="D1611" s="11" t="n"/>
      <c r="E1611" s="11" t="n"/>
      <c r="F1611" s="11" t="n"/>
      <c r="G1611" s="11" t="n"/>
      <c r="H1611" s="11" t="n"/>
      <c r="I1611" s="11" t="n"/>
      <c r="J1611" s="11" t="n"/>
      <c r="K1611" s="11" t="n"/>
      <c r="L1611" s="11" t="n"/>
      <c r="M1611" s="11" t="n"/>
      <c r="N1611" s="11" t="n"/>
      <c r="O1611" s="11" t="n"/>
      <c r="P1611" s="11" t="n"/>
      <c r="Q1611" s="11" t="n"/>
      <c r="R1611" s="11" t="n"/>
      <c r="S1611" s="11" t="n"/>
      <c r="T1611" s="12" t="n"/>
    </row>
    <row r="1612">
      <c r="A1612" s="11" t="n"/>
      <c r="B1612" s="11" t="n"/>
      <c r="C1612" s="11" t="n"/>
      <c r="D1612" s="11" t="n"/>
      <c r="E1612" s="11" t="n"/>
      <c r="F1612" s="11" t="n"/>
      <c r="G1612" s="11" t="n"/>
      <c r="H1612" s="11" t="n"/>
      <c r="I1612" s="11" t="n"/>
      <c r="J1612" s="11" t="n"/>
      <c r="K1612" s="11" t="n"/>
      <c r="L1612" s="11" t="n"/>
      <c r="M1612" s="11" t="n"/>
      <c r="N1612" s="11" t="n"/>
      <c r="O1612" s="11" t="n"/>
      <c r="P1612" s="11" t="n"/>
      <c r="Q1612" s="11" t="n"/>
      <c r="R1612" s="11" t="n"/>
      <c r="S1612" s="11" t="n"/>
      <c r="T1612" s="12" t="n"/>
    </row>
    <row r="1613">
      <c r="A1613" s="11" t="n"/>
      <c r="B1613" s="11" t="n"/>
      <c r="C1613" s="11" t="n"/>
      <c r="D1613" s="11" t="n"/>
      <c r="E1613" s="11" t="n"/>
      <c r="F1613" s="11" t="n"/>
      <c r="G1613" s="11" t="n"/>
      <c r="H1613" s="11" t="n"/>
      <c r="I1613" s="11" t="n"/>
      <c r="J1613" s="11" t="n"/>
      <c r="K1613" s="11" t="n"/>
      <c r="L1613" s="11" t="n"/>
      <c r="M1613" s="11" t="n"/>
      <c r="N1613" s="11" t="n"/>
      <c r="O1613" s="11" t="n"/>
      <c r="P1613" s="11" t="n"/>
      <c r="Q1613" s="11" t="n"/>
      <c r="R1613" s="11" t="n"/>
      <c r="S1613" s="11" t="n"/>
      <c r="T1613" s="12" t="n"/>
    </row>
    <row r="1614">
      <c r="A1614" s="11" t="n"/>
      <c r="B1614" s="11" t="n"/>
      <c r="C1614" s="11" t="n"/>
      <c r="D1614" s="11" t="n"/>
      <c r="E1614" s="11" t="n"/>
      <c r="F1614" s="11" t="n"/>
      <c r="G1614" s="11" t="n"/>
      <c r="H1614" s="11" t="n"/>
      <c r="I1614" s="11" t="n"/>
      <c r="J1614" s="11" t="n"/>
      <c r="K1614" s="11" t="n"/>
      <c r="L1614" s="11" t="n"/>
      <c r="M1614" s="11" t="n"/>
      <c r="N1614" s="11" t="n"/>
      <c r="O1614" s="11" t="n"/>
      <c r="P1614" s="11" t="n"/>
      <c r="Q1614" s="11" t="n"/>
      <c r="R1614" s="11" t="n"/>
      <c r="S1614" s="11" t="n"/>
      <c r="T1614" s="12" t="n"/>
    </row>
    <row r="1615">
      <c r="A1615" s="11" t="n"/>
      <c r="B1615" s="11" t="n"/>
      <c r="C1615" s="11" t="n"/>
      <c r="D1615" s="11" t="n"/>
      <c r="E1615" s="11" t="n"/>
      <c r="F1615" s="11" t="n"/>
      <c r="G1615" s="11" t="n"/>
      <c r="H1615" s="11" t="n"/>
      <c r="I1615" s="11" t="n"/>
      <c r="J1615" s="11" t="n"/>
      <c r="K1615" s="11" t="n"/>
      <c r="L1615" s="11" t="n"/>
      <c r="M1615" s="11" t="n"/>
      <c r="N1615" s="11" t="n"/>
      <c r="O1615" s="11" t="n"/>
      <c r="P1615" s="11" t="n"/>
      <c r="Q1615" s="11" t="n"/>
      <c r="R1615" s="11" t="n"/>
      <c r="S1615" s="11" t="n"/>
      <c r="T1615" s="12" t="n"/>
    </row>
    <row r="1616">
      <c r="A1616" s="11" t="n"/>
      <c r="B1616" s="11" t="n"/>
      <c r="C1616" s="11" t="n"/>
      <c r="D1616" s="11" t="n"/>
      <c r="E1616" s="11" t="n"/>
      <c r="F1616" s="11" t="n"/>
      <c r="G1616" s="11" t="n"/>
      <c r="H1616" s="11" t="n"/>
      <c r="I1616" s="11" t="n"/>
      <c r="J1616" s="11" t="n"/>
      <c r="K1616" s="11" t="n"/>
      <c r="L1616" s="11" t="n"/>
      <c r="M1616" s="11" t="n"/>
      <c r="N1616" s="11" t="n"/>
      <c r="O1616" s="11" t="n"/>
      <c r="P1616" s="11" t="n"/>
      <c r="Q1616" s="11" t="n"/>
      <c r="R1616" s="11" t="n"/>
      <c r="S1616" s="11" t="n"/>
      <c r="T1616" s="12" t="n"/>
    </row>
    <row r="1617">
      <c r="A1617" s="11" t="n"/>
      <c r="B1617" s="11" t="n"/>
      <c r="C1617" s="11" t="n"/>
      <c r="D1617" s="11" t="n"/>
      <c r="E1617" s="11" t="n"/>
      <c r="F1617" s="11" t="n"/>
      <c r="G1617" s="11" t="n"/>
      <c r="H1617" s="11" t="n"/>
      <c r="I1617" s="11" t="n"/>
      <c r="J1617" s="11" t="n"/>
      <c r="K1617" s="11" t="n"/>
      <c r="L1617" s="11" t="n"/>
      <c r="M1617" s="11" t="n"/>
      <c r="N1617" s="11" t="n"/>
      <c r="O1617" s="11" t="n"/>
      <c r="P1617" s="11" t="n"/>
      <c r="Q1617" s="11" t="n"/>
      <c r="R1617" s="11" t="n"/>
      <c r="S1617" s="11" t="n"/>
      <c r="T1617" s="12" t="n"/>
    </row>
    <row r="1618">
      <c r="A1618" s="11" t="n"/>
      <c r="B1618" s="11" t="n"/>
      <c r="C1618" s="11" t="n"/>
      <c r="D1618" s="11" t="n"/>
      <c r="E1618" s="11" t="n"/>
      <c r="F1618" s="11" t="n"/>
      <c r="G1618" s="11" t="n"/>
      <c r="H1618" s="11" t="n"/>
      <c r="I1618" s="11" t="n"/>
      <c r="J1618" s="11" t="n"/>
      <c r="K1618" s="11" t="n"/>
      <c r="L1618" s="11" t="n"/>
      <c r="M1618" s="11" t="n"/>
      <c r="N1618" s="11" t="n"/>
      <c r="O1618" s="11" t="n"/>
      <c r="P1618" s="11" t="n"/>
      <c r="Q1618" s="11" t="n"/>
      <c r="R1618" s="11" t="n"/>
      <c r="S1618" s="11" t="n"/>
      <c r="T1618" s="12" t="n"/>
    </row>
    <row r="1619">
      <c r="A1619" s="11" t="n"/>
      <c r="B1619" s="11" t="n"/>
      <c r="C1619" s="11" t="n"/>
      <c r="D1619" s="11" t="n"/>
      <c r="E1619" s="11" t="n"/>
      <c r="F1619" s="11" t="n"/>
      <c r="G1619" s="11" t="n"/>
      <c r="H1619" s="11" t="n"/>
      <c r="I1619" s="11" t="n"/>
      <c r="J1619" s="11" t="n"/>
      <c r="K1619" s="11" t="n"/>
      <c r="L1619" s="11" t="n"/>
      <c r="M1619" s="11" t="n"/>
      <c r="N1619" s="11" t="n"/>
      <c r="O1619" s="11" t="n"/>
      <c r="P1619" s="11" t="n"/>
      <c r="Q1619" s="11" t="n"/>
      <c r="R1619" s="11" t="n"/>
      <c r="S1619" s="11" t="n"/>
      <c r="T1619" s="12" t="n"/>
    </row>
    <row r="1620">
      <c r="A1620" s="11" t="n"/>
      <c r="B1620" s="11" t="n"/>
      <c r="C1620" s="11" t="n"/>
      <c r="D1620" s="11" t="n"/>
      <c r="E1620" s="11" t="n"/>
      <c r="F1620" s="11" t="n"/>
      <c r="G1620" s="11" t="n"/>
      <c r="H1620" s="11" t="n"/>
      <c r="I1620" s="11" t="n"/>
      <c r="J1620" s="11" t="n"/>
      <c r="K1620" s="11" t="n"/>
      <c r="L1620" s="11" t="n"/>
      <c r="M1620" s="11" t="n"/>
      <c r="N1620" s="11" t="n"/>
      <c r="O1620" s="11" t="n"/>
      <c r="P1620" s="11" t="n"/>
      <c r="Q1620" s="11" t="n"/>
      <c r="R1620" s="11" t="n"/>
      <c r="S1620" s="11" t="n"/>
      <c r="T1620" s="12" t="n"/>
    </row>
    <row r="1621">
      <c r="A1621" s="11" t="n"/>
      <c r="B1621" s="11" t="n"/>
      <c r="C1621" s="11" t="n"/>
      <c r="D1621" s="11" t="n"/>
      <c r="E1621" s="11" t="n"/>
      <c r="F1621" s="11" t="n"/>
      <c r="G1621" s="11" t="n"/>
      <c r="H1621" s="11" t="n"/>
      <c r="I1621" s="11" t="n"/>
      <c r="J1621" s="11" t="n"/>
      <c r="K1621" s="11" t="n"/>
      <c r="L1621" s="11" t="n"/>
      <c r="M1621" s="11" t="n"/>
      <c r="N1621" s="11" t="n"/>
      <c r="O1621" s="11" t="n"/>
      <c r="P1621" s="11" t="n"/>
      <c r="Q1621" s="11" t="n"/>
      <c r="R1621" s="11" t="n"/>
      <c r="S1621" s="11" t="n"/>
      <c r="T1621" s="12" t="n"/>
    </row>
    <row r="1622">
      <c r="A1622" s="11" t="n"/>
      <c r="B1622" s="11" t="n"/>
      <c r="C1622" s="11" t="n"/>
      <c r="D1622" s="11" t="n"/>
      <c r="E1622" s="11" t="n"/>
      <c r="F1622" s="11" t="n"/>
      <c r="G1622" s="11" t="n"/>
      <c r="H1622" s="11" t="n"/>
      <c r="I1622" s="11" t="n"/>
      <c r="J1622" s="11" t="n"/>
      <c r="K1622" s="11" t="n"/>
      <c r="L1622" s="11" t="n"/>
      <c r="M1622" s="11" t="n"/>
      <c r="N1622" s="11" t="n"/>
      <c r="O1622" s="11" t="n"/>
      <c r="P1622" s="11" t="n"/>
      <c r="Q1622" s="11" t="n"/>
      <c r="R1622" s="11" t="n"/>
      <c r="S1622" s="11" t="n"/>
      <c r="T1622" s="12" t="n"/>
    </row>
    <row r="1623">
      <c r="A1623" s="11" t="n"/>
      <c r="B1623" s="11" t="n"/>
      <c r="C1623" s="11" t="n"/>
      <c r="D1623" s="11" t="n"/>
      <c r="E1623" s="11" t="n"/>
      <c r="F1623" s="11" t="n"/>
      <c r="G1623" s="11" t="n"/>
      <c r="H1623" s="11" t="n"/>
      <c r="I1623" s="11" t="n"/>
      <c r="J1623" s="11" t="n"/>
      <c r="K1623" s="11" t="n"/>
      <c r="L1623" s="11" t="n"/>
      <c r="M1623" s="11" t="n"/>
      <c r="N1623" s="11" t="n"/>
      <c r="O1623" s="11" t="n"/>
      <c r="P1623" s="11" t="n"/>
      <c r="Q1623" s="11" t="n"/>
      <c r="R1623" s="11" t="n"/>
      <c r="S1623" s="11" t="n"/>
      <c r="T1623" s="12" t="n"/>
    </row>
    <row r="1624">
      <c r="A1624" s="11" t="n"/>
      <c r="B1624" s="11" t="n"/>
      <c r="C1624" s="11" t="n"/>
      <c r="D1624" s="11" t="n"/>
      <c r="E1624" s="11" t="n"/>
      <c r="F1624" s="11" t="n"/>
      <c r="G1624" s="11" t="n"/>
      <c r="H1624" s="11" t="n"/>
      <c r="I1624" s="11" t="n"/>
      <c r="J1624" s="11" t="n"/>
      <c r="K1624" s="11" t="n"/>
      <c r="L1624" s="11" t="n"/>
      <c r="M1624" s="11" t="n"/>
      <c r="N1624" s="11" t="n"/>
      <c r="O1624" s="11" t="n"/>
      <c r="P1624" s="11" t="n"/>
      <c r="Q1624" s="11" t="n"/>
      <c r="R1624" s="11" t="n"/>
      <c r="S1624" s="11" t="n"/>
      <c r="T1624" s="12" t="n"/>
    </row>
    <row r="1625">
      <c r="A1625" s="11" t="n"/>
      <c r="B1625" s="11" t="n"/>
      <c r="C1625" s="11" t="n"/>
      <c r="D1625" s="11" t="n"/>
      <c r="E1625" s="11" t="n"/>
      <c r="F1625" s="11" t="n"/>
      <c r="G1625" s="11" t="n"/>
      <c r="H1625" s="11" t="n"/>
      <c r="I1625" s="11" t="n"/>
      <c r="J1625" s="11" t="n"/>
      <c r="K1625" s="11" t="n"/>
      <c r="L1625" s="11" t="n"/>
      <c r="M1625" s="11" t="n"/>
      <c r="N1625" s="11" t="n"/>
      <c r="O1625" s="11" t="n"/>
      <c r="P1625" s="11" t="n"/>
      <c r="Q1625" s="11" t="n"/>
      <c r="R1625" s="11" t="n"/>
      <c r="S1625" s="11" t="n"/>
      <c r="T1625" s="12" t="n"/>
    </row>
    <row r="1626">
      <c r="A1626" s="11" t="n"/>
      <c r="B1626" s="11" t="n"/>
      <c r="C1626" s="11" t="n"/>
      <c r="D1626" s="11" t="n"/>
      <c r="E1626" s="11" t="n"/>
      <c r="F1626" s="11" t="n"/>
      <c r="G1626" s="11" t="n"/>
      <c r="H1626" s="11" t="n"/>
      <c r="I1626" s="11" t="n"/>
      <c r="J1626" s="11" t="n"/>
      <c r="K1626" s="11" t="n"/>
      <c r="L1626" s="11" t="n"/>
      <c r="M1626" s="11" t="n"/>
      <c r="N1626" s="11" t="n"/>
      <c r="O1626" s="11" t="n"/>
      <c r="P1626" s="11" t="n"/>
      <c r="Q1626" s="11" t="n"/>
      <c r="R1626" s="11" t="n"/>
      <c r="S1626" s="11" t="n"/>
      <c r="T1626" s="12" t="n"/>
    </row>
    <row r="1627">
      <c r="A1627" s="11" t="n"/>
      <c r="B1627" s="11" t="n"/>
      <c r="C1627" s="11" t="n"/>
      <c r="D1627" s="11" t="n"/>
      <c r="E1627" s="11" t="n"/>
      <c r="F1627" s="11" t="n"/>
      <c r="G1627" s="11" t="n"/>
      <c r="H1627" s="11" t="n"/>
      <c r="I1627" s="11" t="n"/>
      <c r="J1627" s="11" t="n"/>
      <c r="K1627" s="11" t="n"/>
      <c r="L1627" s="11" t="n"/>
      <c r="M1627" s="11" t="n"/>
      <c r="N1627" s="11" t="n"/>
      <c r="O1627" s="11" t="n"/>
      <c r="P1627" s="11" t="n"/>
      <c r="Q1627" s="11" t="n"/>
      <c r="R1627" s="11" t="n"/>
      <c r="S1627" s="11" t="n"/>
      <c r="T1627" s="12" t="n"/>
    </row>
    <row r="1628">
      <c r="A1628" s="11" t="n"/>
      <c r="B1628" s="11" t="n"/>
      <c r="C1628" s="11" t="n"/>
      <c r="D1628" s="11" t="n"/>
      <c r="E1628" s="11" t="n"/>
      <c r="F1628" s="11" t="n"/>
      <c r="G1628" s="11" t="n"/>
      <c r="H1628" s="11" t="n"/>
      <c r="I1628" s="11" t="n"/>
      <c r="J1628" s="11" t="n"/>
      <c r="K1628" s="11" t="n"/>
      <c r="L1628" s="11" t="n"/>
      <c r="M1628" s="11" t="n"/>
      <c r="N1628" s="11" t="n"/>
      <c r="O1628" s="11" t="n"/>
      <c r="P1628" s="11" t="n"/>
      <c r="Q1628" s="11" t="n"/>
      <c r="R1628" s="11" t="n"/>
      <c r="S1628" s="11" t="n"/>
      <c r="T1628" s="12" t="n"/>
    </row>
    <row r="1629">
      <c r="A1629" s="11" t="n"/>
      <c r="B1629" s="11" t="n"/>
      <c r="C1629" s="11" t="n"/>
      <c r="D1629" s="11" t="n"/>
      <c r="E1629" s="11" t="n"/>
      <c r="F1629" s="11" t="n"/>
      <c r="G1629" s="11" t="n"/>
      <c r="H1629" s="11" t="n"/>
      <c r="I1629" s="11" t="n"/>
      <c r="J1629" s="11" t="n"/>
      <c r="K1629" s="11" t="n"/>
      <c r="L1629" s="11" t="n"/>
      <c r="M1629" s="11" t="n"/>
      <c r="N1629" s="11" t="n"/>
      <c r="O1629" s="11" t="n"/>
      <c r="P1629" s="11" t="n"/>
      <c r="Q1629" s="11" t="n"/>
      <c r="R1629" s="11" t="n"/>
      <c r="S1629" s="11" t="n"/>
      <c r="T1629" s="12" t="n"/>
    </row>
    <row r="1630">
      <c r="A1630" s="11" t="n"/>
      <c r="B1630" s="11" t="n"/>
      <c r="C1630" s="11" t="n"/>
      <c r="D1630" s="11" t="n"/>
      <c r="E1630" s="11" t="n"/>
      <c r="F1630" s="11" t="n"/>
      <c r="G1630" s="11" t="n"/>
      <c r="H1630" s="11" t="n"/>
      <c r="I1630" s="11" t="n"/>
      <c r="J1630" s="11" t="n"/>
      <c r="K1630" s="11" t="n"/>
      <c r="L1630" s="11" t="n"/>
      <c r="M1630" s="11" t="n"/>
      <c r="N1630" s="11" t="n"/>
      <c r="O1630" s="11" t="n"/>
      <c r="P1630" s="11" t="n"/>
      <c r="Q1630" s="11" t="n"/>
      <c r="R1630" s="11" t="n"/>
      <c r="S1630" s="11" t="n"/>
      <c r="T1630" s="12" t="n"/>
    </row>
    <row r="1631">
      <c r="A1631" s="11" t="n"/>
      <c r="B1631" s="11" t="n"/>
      <c r="C1631" s="11" t="n"/>
      <c r="D1631" s="11" t="n"/>
      <c r="E1631" s="11" t="n"/>
      <c r="F1631" s="11" t="n"/>
      <c r="G1631" s="11" t="n"/>
      <c r="H1631" s="11" t="n"/>
      <c r="I1631" s="11" t="n"/>
      <c r="J1631" s="11" t="n"/>
      <c r="K1631" s="11" t="n"/>
      <c r="L1631" s="11" t="n"/>
      <c r="M1631" s="11" t="n"/>
      <c r="N1631" s="11" t="n"/>
      <c r="O1631" s="11" t="n"/>
      <c r="P1631" s="11" t="n"/>
      <c r="Q1631" s="11" t="n"/>
      <c r="R1631" s="11" t="n"/>
      <c r="S1631" s="11" t="n"/>
      <c r="T1631" s="12" t="n"/>
    </row>
    <row r="1632">
      <c r="A1632" s="11" t="n"/>
      <c r="B1632" s="11" t="n"/>
      <c r="C1632" s="11" t="n"/>
      <c r="D1632" s="11" t="n"/>
      <c r="E1632" s="11" t="n"/>
      <c r="F1632" s="11" t="n"/>
      <c r="G1632" s="11" t="n"/>
      <c r="H1632" s="11" t="n"/>
      <c r="I1632" s="11" t="n"/>
      <c r="J1632" s="11" t="n"/>
      <c r="K1632" s="11" t="n"/>
      <c r="L1632" s="11" t="n"/>
      <c r="M1632" s="11" t="n"/>
      <c r="N1632" s="11" t="n"/>
      <c r="O1632" s="11" t="n"/>
      <c r="P1632" s="11" t="n"/>
      <c r="Q1632" s="11" t="n"/>
      <c r="R1632" s="11" t="n"/>
      <c r="S1632" s="11" t="n"/>
      <c r="T1632" s="12" t="n"/>
    </row>
    <row r="1633">
      <c r="A1633" s="11" t="n"/>
      <c r="B1633" s="11" t="n"/>
      <c r="C1633" s="11" t="n"/>
      <c r="D1633" s="11" t="n"/>
      <c r="E1633" s="11" t="n"/>
      <c r="F1633" s="11" t="n"/>
      <c r="G1633" s="11" t="n"/>
      <c r="H1633" s="11" t="n"/>
      <c r="I1633" s="11" t="n"/>
      <c r="J1633" s="11" t="n"/>
      <c r="K1633" s="11" t="n"/>
      <c r="L1633" s="11" t="n"/>
      <c r="M1633" s="11" t="n"/>
      <c r="N1633" s="11" t="n"/>
      <c r="O1633" s="11" t="n"/>
      <c r="P1633" s="11" t="n"/>
      <c r="Q1633" s="11" t="n"/>
      <c r="R1633" s="11" t="n"/>
      <c r="S1633" s="11" t="n"/>
      <c r="T1633" s="12" t="n"/>
    </row>
    <row r="1634">
      <c r="A1634" s="11" t="n"/>
      <c r="B1634" s="11" t="n"/>
      <c r="C1634" s="11" t="n"/>
      <c r="D1634" s="11" t="n"/>
      <c r="E1634" s="11" t="n"/>
      <c r="F1634" s="11" t="n"/>
      <c r="G1634" s="11" t="n"/>
      <c r="H1634" s="11" t="n"/>
      <c r="I1634" s="11" t="n"/>
      <c r="J1634" s="11" t="n"/>
      <c r="K1634" s="11" t="n"/>
      <c r="L1634" s="11" t="n"/>
      <c r="M1634" s="11" t="n"/>
      <c r="N1634" s="11" t="n"/>
      <c r="O1634" s="11" t="n"/>
      <c r="P1634" s="11" t="n"/>
      <c r="Q1634" s="11" t="n"/>
      <c r="R1634" s="11" t="n"/>
      <c r="S1634" s="11" t="n"/>
      <c r="T1634" s="12" t="n"/>
    </row>
    <row r="1635">
      <c r="A1635" s="11" t="n"/>
      <c r="B1635" s="11" t="n"/>
      <c r="C1635" s="11" t="n"/>
      <c r="D1635" s="11" t="n"/>
      <c r="E1635" s="11" t="n"/>
      <c r="F1635" s="11" t="n"/>
      <c r="G1635" s="11" t="n"/>
      <c r="H1635" s="11" t="n"/>
      <c r="I1635" s="11" t="n"/>
      <c r="J1635" s="11" t="n"/>
      <c r="K1635" s="11" t="n"/>
      <c r="L1635" s="11" t="n"/>
      <c r="M1635" s="11" t="n"/>
      <c r="N1635" s="11" t="n"/>
      <c r="O1635" s="11" t="n"/>
      <c r="P1635" s="11" t="n"/>
      <c r="Q1635" s="11" t="n"/>
      <c r="R1635" s="11" t="n"/>
      <c r="S1635" s="11" t="n"/>
      <c r="T1635" s="12" t="n"/>
    </row>
    <row r="1636">
      <c r="A1636" s="11" t="n"/>
      <c r="B1636" s="11" t="n"/>
      <c r="C1636" s="11" t="n"/>
      <c r="D1636" s="11" t="n"/>
      <c r="E1636" s="11" t="n"/>
      <c r="F1636" s="11" t="n"/>
      <c r="G1636" s="11" t="n"/>
      <c r="H1636" s="11" t="n"/>
      <c r="I1636" s="11" t="n"/>
      <c r="J1636" s="11" t="n"/>
      <c r="K1636" s="11" t="n"/>
      <c r="L1636" s="11" t="n"/>
      <c r="M1636" s="11" t="n"/>
      <c r="N1636" s="11" t="n"/>
      <c r="O1636" s="11" t="n"/>
      <c r="P1636" s="11" t="n"/>
      <c r="Q1636" s="11" t="n"/>
      <c r="R1636" s="11" t="n"/>
      <c r="S1636" s="11" t="n"/>
      <c r="T1636" s="12" t="n"/>
    </row>
    <row r="1637">
      <c r="A1637" s="11" t="n"/>
      <c r="B1637" s="11" t="n"/>
      <c r="C1637" s="11" t="n"/>
      <c r="D1637" s="11" t="n"/>
      <c r="E1637" s="11" t="n"/>
      <c r="F1637" s="11" t="n"/>
      <c r="G1637" s="11" t="n"/>
      <c r="H1637" s="11" t="n"/>
      <c r="I1637" s="11" t="n"/>
      <c r="J1637" s="11" t="n"/>
      <c r="K1637" s="11" t="n"/>
      <c r="L1637" s="11" t="n"/>
      <c r="M1637" s="11" t="n"/>
      <c r="N1637" s="11" t="n"/>
      <c r="O1637" s="11" t="n"/>
      <c r="P1637" s="11" t="n"/>
      <c r="Q1637" s="11" t="n"/>
      <c r="R1637" s="11" t="n"/>
      <c r="S1637" s="11" t="n"/>
      <c r="T1637" s="12" t="n"/>
    </row>
    <row r="1638">
      <c r="A1638" s="11" t="n"/>
      <c r="B1638" s="11" t="n"/>
      <c r="C1638" s="11" t="n"/>
      <c r="D1638" s="11" t="n"/>
      <c r="E1638" s="11" t="n"/>
      <c r="F1638" s="11" t="n"/>
      <c r="G1638" s="11" t="n"/>
      <c r="H1638" s="11" t="n"/>
      <c r="I1638" s="11" t="n"/>
      <c r="J1638" s="11" t="n"/>
      <c r="K1638" s="11" t="n"/>
      <c r="L1638" s="11" t="n"/>
      <c r="M1638" s="11" t="n"/>
      <c r="N1638" s="11" t="n"/>
      <c r="O1638" s="11" t="n"/>
      <c r="P1638" s="11" t="n"/>
      <c r="Q1638" s="11" t="n"/>
      <c r="R1638" s="11" t="n"/>
      <c r="S1638" s="11" t="n"/>
      <c r="T1638" s="12" t="n"/>
    </row>
    <row r="1639">
      <c r="A1639" s="11" t="n"/>
      <c r="B1639" s="11" t="n"/>
      <c r="C1639" s="11" t="n"/>
      <c r="D1639" s="11" t="n"/>
      <c r="E1639" s="11" t="n"/>
      <c r="F1639" s="11" t="n"/>
      <c r="G1639" s="11" t="n"/>
      <c r="H1639" s="11" t="n"/>
      <c r="I1639" s="11" t="n"/>
      <c r="J1639" s="11" t="n"/>
      <c r="K1639" s="11" t="n"/>
      <c r="L1639" s="11" t="n"/>
      <c r="M1639" s="11" t="n"/>
      <c r="N1639" s="11" t="n"/>
      <c r="O1639" s="11" t="n"/>
      <c r="P1639" s="11" t="n"/>
      <c r="Q1639" s="11" t="n"/>
      <c r="R1639" s="11" t="n"/>
      <c r="S1639" s="11" t="n"/>
      <c r="T1639" s="12" t="n"/>
    </row>
    <row r="1640">
      <c r="A1640" s="11" t="n"/>
      <c r="B1640" s="11" t="n"/>
      <c r="C1640" s="11" t="n"/>
      <c r="D1640" s="11" t="n"/>
      <c r="E1640" s="11" t="n"/>
      <c r="F1640" s="11" t="n"/>
      <c r="G1640" s="11" t="n"/>
      <c r="H1640" s="11" t="n"/>
      <c r="I1640" s="11" t="n"/>
      <c r="J1640" s="11" t="n"/>
      <c r="K1640" s="11" t="n"/>
      <c r="L1640" s="11" t="n"/>
      <c r="M1640" s="11" t="n"/>
      <c r="N1640" s="11" t="n"/>
      <c r="O1640" s="11" t="n"/>
      <c r="P1640" s="11" t="n"/>
      <c r="Q1640" s="11" t="n"/>
      <c r="R1640" s="11" t="n"/>
      <c r="S1640" s="11" t="n"/>
      <c r="T1640" s="12" t="n"/>
    </row>
    <row r="1641">
      <c r="A1641" s="11" t="n"/>
      <c r="B1641" s="11" t="n"/>
      <c r="C1641" s="11" t="n"/>
      <c r="D1641" s="11" t="n"/>
      <c r="E1641" s="11" t="n"/>
      <c r="F1641" s="11" t="n"/>
      <c r="G1641" s="11" t="n"/>
      <c r="H1641" s="11" t="n"/>
      <c r="I1641" s="11" t="n"/>
      <c r="J1641" s="11" t="n"/>
      <c r="K1641" s="11" t="n"/>
      <c r="L1641" s="11" t="n"/>
      <c r="M1641" s="11" t="n"/>
      <c r="N1641" s="11" t="n"/>
      <c r="O1641" s="11" t="n"/>
      <c r="P1641" s="11" t="n"/>
      <c r="Q1641" s="11" t="n"/>
      <c r="R1641" s="11" t="n"/>
      <c r="S1641" s="11" t="n"/>
      <c r="T1641" s="12" t="n"/>
    </row>
    <row r="1642">
      <c r="A1642" s="11" t="n"/>
      <c r="B1642" s="11" t="n"/>
      <c r="C1642" s="11" t="n"/>
      <c r="D1642" s="11" t="n"/>
      <c r="E1642" s="11" t="n"/>
      <c r="F1642" s="11" t="n"/>
      <c r="G1642" s="11" t="n"/>
      <c r="H1642" s="11" t="n"/>
      <c r="I1642" s="11" t="n"/>
      <c r="J1642" s="11" t="n"/>
      <c r="K1642" s="11" t="n"/>
      <c r="L1642" s="11" t="n"/>
      <c r="M1642" s="11" t="n"/>
      <c r="N1642" s="11" t="n"/>
      <c r="O1642" s="11" t="n"/>
      <c r="P1642" s="11" t="n"/>
      <c r="Q1642" s="11" t="n"/>
      <c r="R1642" s="11" t="n"/>
      <c r="S1642" s="11" t="n"/>
      <c r="T1642" s="12" t="n"/>
    </row>
    <row r="1643">
      <c r="A1643" s="11" t="n"/>
      <c r="B1643" s="11" t="n"/>
      <c r="C1643" s="11" t="n"/>
      <c r="D1643" s="11" t="n"/>
      <c r="E1643" s="11" t="n"/>
      <c r="F1643" s="11" t="n"/>
      <c r="G1643" s="11" t="n"/>
      <c r="H1643" s="11" t="n"/>
      <c r="I1643" s="11" t="n"/>
      <c r="J1643" s="11" t="n"/>
      <c r="K1643" s="11" t="n"/>
      <c r="L1643" s="11" t="n"/>
      <c r="M1643" s="11" t="n"/>
      <c r="N1643" s="11" t="n"/>
      <c r="O1643" s="11" t="n"/>
      <c r="P1643" s="11" t="n"/>
      <c r="Q1643" s="11" t="n"/>
      <c r="R1643" s="11" t="n"/>
      <c r="S1643" s="11" t="n"/>
      <c r="T1643" s="12" t="n"/>
    </row>
    <row r="1644">
      <c r="A1644" s="11" t="n"/>
      <c r="B1644" s="11" t="n"/>
      <c r="C1644" s="11" t="n"/>
      <c r="D1644" s="11" t="n"/>
      <c r="E1644" s="11" t="n"/>
      <c r="F1644" s="11" t="n"/>
      <c r="G1644" s="11" t="n"/>
      <c r="H1644" s="11" t="n"/>
      <c r="I1644" s="11" t="n"/>
      <c r="J1644" s="11" t="n"/>
      <c r="K1644" s="11" t="n"/>
      <c r="L1644" s="11" t="n"/>
      <c r="M1644" s="11" t="n"/>
      <c r="N1644" s="11" t="n"/>
      <c r="O1644" s="11" t="n"/>
      <c r="P1644" s="11" t="n"/>
      <c r="Q1644" s="11" t="n"/>
      <c r="R1644" s="11" t="n"/>
      <c r="S1644" s="11" t="n"/>
      <c r="T1644" s="12" t="n"/>
    </row>
    <row r="1645">
      <c r="A1645" s="11" t="n"/>
      <c r="B1645" s="11" t="n"/>
      <c r="C1645" s="11" t="n"/>
      <c r="D1645" s="11" t="n"/>
      <c r="E1645" s="11" t="n"/>
      <c r="F1645" s="11" t="n"/>
      <c r="G1645" s="11" t="n"/>
      <c r="H1645" s="11" t="n"/>
      <c r="I1645" s="11" t="n"/>
      <c r="J1645" s="11" t="n"/>
      <c r="K1645" s="11" t="n"/>
      <c r="L1645" s="11" t="n"/>
      <c r="M1645" s="11" t="n"/>
      <c r="N1645" s="11" t="n"/>
      <c r="O1645" s="11" t="n"/>
      <c r="P1645" s="11" t="n"/>
      <c r="Q1645" s="11" t="n"/>
      <c r="R1645" s="11" t="n"/>
      <c r="S1645" s="11" t="n"/>
      <c r="T1645" s="12" t="n"/>
    </row>
    <row r="1646">
      <c r="A1646" s="11" t="n"/>
      <c r="B1646" s="11" t="n"/>
      <c r="C1646" s="11" t="n"/>
      <c r="D1646" s="11" t="n"/>
      <c r="E1646" s="11" t="n"/>
      <c r="F1646" s="11" t="n"/>
      <c r="G1646" s="11" t="n"/>
      <c r="H1646" s="11" t="n"/>
      <c r="I1646" s="11" t="n"/>
      <c r="J1646" s="11" t="n"/>
      <c r="K1646" s="11" t="n"/>
      <c r="L1646" s="11" t="n"/>
      <c r="M1646" s="11" t="n"/>
      <c r="N1646" s="11" t="n"/>
      <c r="O1646" s="11" t="n"/>
      <c r="P1646" s="11" t="n"/>
      <c r="Q1646" s="11" t="n"/>
      <c r="R1646" s="11" t="n"/>
      <c r="S1646" s="11" t="n"/>
      <c r="T1646" s="12" t="n"/>
    </row>
    <row r="1647">
      <c r="A1647" s="11" t="n"/>
      <c r="B1647" s="11" t="n"/>
      <c r="C1647" s="11" t="n"/>
      <c r="D1647" s="11" t="n"/>
      <c r="E1647" s="11" t="n"/>
      <c r="F1647" s="11" t="n"/>
      <c r="G1647" s="11" t="n"/>
      <c r="H1647" s="11" t="n"/>
      <c r="I1647" s="11" t="n"/>
      <c r="J1647" s="11" t="n"/>
      <c r="K1647" s="11" t="n"/>
      <c r="L1647" s="11" t="n"/>
      <c r="M1647" s="11" t="n"/>
      <c r="N1647" s="11" t="n"/>
      <c r="O1647" s="11" t="n"/>
      <c r="P1647" s="11" t="n"/>
      <c r="Q1647" s="11" t="n"/>
      <c r="R1647" s="11" t="n"/>
      <c r="S1647" s="11" t="n"/>
      <c r="T1647" s="12" t="n"/>
    </row>
    <row r="1648">
      <c r="A1648" s="11" t="n"/>
      <c r="B1648" s="11" t="n"/>
      <c r="C1648" s="11" t="n"/>
      <c r="D1648" s="11" t="n"/>
      <c r="E1648" s="11" t="n"/>
      <c r="F1648" s="11" t="n"/>
      <c r="G1648" s="11" t="n"/>
      <c r="H1648" s="11" t="n"/>
      <c r="I1648" s="11" t="n"/>
      <c r="J1648" s="11" t="n"/>
      <c r="K1648" s="11" t="n"/>
      <c r="L1648" s="11" t="n"/>
      <c r="M1648" s="11" t="n"/>
      <c r="N1648" s="11" t="n"/>
      <c r="O1648" s="11" t="n"/>
      <c r="P1648" s="11" t="n"/>
      <c r="Q1648" s="11" t="n"/>
      <c r="R1648" s="11" t="n"/>
      <c r="S1648" s="11" t="n"/>
      <c r="T1648" s="12" t="n"/>
    </row>
    <row r="1649">
      <c r="A1649" s="11" t="n"/>
      <c r="B1649" s="11" t="n"/>
      <c r="C1649" s="11" t="n"/>
      <c r="D1649" s="11" t="n"/>
      <c r="E1649" s="11" t="n"/>
      <c r="F1649" s="11" t="n"/>
      <c r="G1649" s="11" t="n"/>
      <c r="H1649" s="11" t="n"/>
      <c r="I1649" s="11" t="n"/>
      <c r="J1649" s="11" t="n"/>
      <c r="K1649" s="11" t="n"/>
      <c r="L1649" s="11" t="n"/>
      <c r="M1649" s="11" t="n"/>
      <c r="N1649" s="11" t="n"/>
      <c r="O1649" s="11" t="n"/>
      <c r="P1649" s="11" t="n"/>
      <c r="Q1649" s="11" t="n"/>
      <c r="R1649" s="11" t="n"/>
      <c r="S1649" s="11" t="n"/>
      <c r="T1649" s="12" t="n"/>
    </row>
    <row r="1650">
      <c r="A1650" s="11" t="n"/>
      <c r="B1650" s="11" t="n"/>
      <c r="C1650" s="11" t="n"/>
      <c r="D1650" s="11" t="n"/>
      <c r="E1650" s="11" t="n"/>
      <c r="F1650" s="11" t="n"/>
      <c r="G1650" s="11" t="n"/>
      <c r="H1650" s="11" t="n"/>
      <c r="I1650" s="11" t="n"/>
      <c r="J1650" s="11" t="n"/>
      <c r="K1650" s="11" t="n"/>
      <c r="L1650" s="11" t="n"/>
      <c r="M1650" s="11" t="n"/>
      <c r="N1650" s="11" t="n"/>
      <c r="O1650" s="11" t="n"/>
      <c r="P1650" s="11" t="n"/>
      <c r="Q1650" s="11" t="n"/>
      <c r="R1650" s="11" t="n"/>
      <c r="S1650" s="11" t="n"/>
      <c r="T1650" s="12" t="n"/>
    </row>
    <row r="1651">
      <c r="A1651" s="11" t="n"/>
      <c r="B1651" s="11" t="n"/>
      <c r="C1651" s="11" t="n"/>
      <c r="D1651" s="11" t="n"/>
      <c r="E1651" s="11" t="n"/>
      <c r="F1651" s="11" t="n"/>
      <c r="G1651" s="11" t="n"/>
      <c r="H1651" s="11" t="n"/>
      <c r="I1651" s="11" t="n"/>
      <c r="J1651" s="11" t="n"/>
      <c r="K1651" s="11" t="n"/>
      <c r="L1651" s="11" t="n"/>
      <c r="M1651" s="11" t="n"/>
      <c r="N1651" s="11" t="n"/>
      <c r="O1651" s="11" t="n"/>
      <c r="P1651" s="11" t="n"/>
      <c r="Q1651" s="11" t="n"/>
      <c r="R1651" s="11" t="n"/>
      <c r="S1651" s="11" t="n"/>
      <c r="T1651" s="12" t="n"/>
    </row>
    <row r="1652">
      <c r="A1652" s="11" t="n"/>
      <c r="B1652" s="11" t="n"/>
      <c r="C1652" s="11" t="n"/>
      <c r="D1652" s="11" t="n"/>
      <c r="E1652" s="11" t="n"/>
      <c r="F1652" s="11" t="n"/>
      <c r="G1652" s="11" t="n"/>
      <c r="H1652" s="11" t="n"/>
      <c r="I1652" s="11" t="n"/>
      <c r="J1652" s="11" t="n"/>
      <c r="K1652" s="11" t="n"/>
      <c r="L1652" s="11" t="n"/>
      <c r="M1652" s="11" t="n"/>
      <c r="N1652" s="11" t="n"/>
      <c r="O1652" s="11" t="n"/>
      <c r="P1652" s="11" t="n"/>
      <c r="Q1652" s="11" t="n"/>
      <c r="R1652" s="11" t="n"/>
      <c r="S1652" s="11" t="n"/>
      <c r="T1652" s="12" t="n"/>
    </row>
    <row r="1653">
      <c r="A1653" s="11" t="n"/>
      <c r="B1653" s="11" t="n"/>
      <c r="C1653" s="11" t="n"/>
      <c r="D1653" s="11" t="n"/>
      <c r="E1653" s="11" t="n"/>
      <c r="F1653" s="11" t="n"/>
      <c r="G1653" s="11" t="n"/>
      <c r="H1653" s="11" t="n"/>
      <c r="I1653" s="11" t="n"/>
      <c r="J1653" s="11" t="n"/>
      <c r="K1653" s="11" t="n"/>
      <c r="L1653" s="11" t="n"/>
      <c r="M1653" s="11" t="n"/>
      <c r="N1653" s="11" t="n"/>
      <c r="O1653" s="11" t="n"/>
      <c r="P1653" s="11" t="n"/>
      <c r="Q1653" s="11" t="n"/>
      <c r="R1653" s="11" t="n"/>
      <c r="S1653" s="11" t="n"/>
      <c r="T1653" s="12" t="n"/>
    </row>
    <row r="1654">
      <c r="A1654" s="11" t="n"/>
      <c r="B1654" s="11" t="n"/>
      <c r="C1654" s="11" t="n"/>
      <c r="D1654" s="11" t="n"/>
      <c r="E1654" s="11" t="n"/>
      <c r="F1654" s="11" t="n"/>
      <c r="G1654" s="11" t="n"/>
      <c r="H1654" s="11" t="n"/>
      <c r="I1654" s="11" t="n"/>
      <c r="J1654" s="11" t="n"/>
      <c r="K1654" s="11" t="n"/>
      <c r="L1654" s="11" t="n"/>
      <c r="M1654" s="11" t="n"/>
      <c r="N1654" s="11" t="n"/>
      <c r="O1654" s="11" t="n"/>
      <c r="P1654" s="11" t="n"/>
      <c r="Q1654" s="11" t="n"/>
      <c r="R1654" s="11" t="n"/>
      <c r="S1654" s="11" t="n"/>
      <c r="T1654" s="12" t="n"/>
    </row>
    <row r="1655">
      <c r="A1655" s="11" t="n"/>
      <c r="B1655" s="11" t="n"/>
      <c r="C1655" s="11" t="n"/>
      <c r="D1655" s="11" t="n"/>
      <c r="E1655" s="11" t="n"/>
      <c r="F1655" s="11" t="n"/>
      <c r="G1655" s="11" t="n"/>
      <c r="H1655" s="11" t="n"/>
      <c r="I1655" s="11" t="n"/>
      <c r="J1655" s="11" t="n"/>
      <c r="K1655" s="11" t="n"/>
      <c r="L1655" s="11" t="n"/>
      <c r="M1655" s="11" t="n"/>
      <c r="N1655" s="11" t="n"/>
      <c r="O1655" s="11" t="n"/>
      <c r="P1655" s="11" t="n"/>
      <c r="Q1655" s="11" t="n"/>
      <c r="R1655" s="11" t="n"/>
      <c r="S1655" s="11" t="n"/>
      <c r="T1655" s="12" t="n"/>
    </row>
    <row r="1656">
      <c r="A1656" s="11" t="n"/>
      <c r="B1656" s="11" t="n"/>
      <c r="C1656" s="11" t="n"/>
      <c r="D1656" s="11" t="n"/>
      <c r="E1656" s="11" t="n"/>
      <c r="F1656" s="11" t="n"/>
      <c r="G1656" s="11" t="n"/>
      <c r="H1656" s="11" t="n"/>
      <c r="I1656" s="11" t="n"/>
      <c r="J1656" s="11" t="n"/>
      <c r="K1656" s="11" t="n"/>
      <c r="L1656" s="11" t="n"/>
      <c r="M1656" s="11" t="n"/>
      <c r="N1656" s="11" t="n"/>
      <c r="O1656" s="11" t="n"/>
      <c r="P1656" s="11" t="n"/>
      <c r="Q1656" s="11" t="n"/>
      <c r="R1656" s="11" t="n"/>
      <c r="S1656" s="11" t="n"/>
      <c r="T1656" s="12" t="n"/>
    </row>
    <row r="1657">
      <c r="A1657" s="11" t="n"/>
      <c r="B1657" s="11" t="n"/>
      <c r="C1657" s="11" t="n"/>
      <c r="D1657" s="11" t="n"/>
      <c r="E1657" s="11" t="n"/>
      <c r="F1657" s="11" t="n"/>
      <c r="G1657" s="11" t="n"/>
      <c r="H1657" s="11" t="n"/>
      <c r="I1657" s="11" t="n"/>
      <c r="J1657" s="11" t="n"/>
      <c r="K1657" s="11" t="n"/>
      <c r="L1657" s="11" t="n"/>
      <c r="M1657" s="11" t="n"/>
      <c r="N1657" s="11" t="n"/>
      <c r="O1657" s="11" t="n"/>
      <c r="P1657" s="11" t="n"/>
      <c r="Q1657" s="11" t="n"/>
      <c r="R1657" s="11" t="n"/>
      <c r="S1657" s="11" t="n"/>
      <c r="T1657" s="12" t="n"/>
    </row>
    <row r="1658">
      <c r="A1658" s="11" t="n"/>
      <c r="B1658" s="11" t="n"/>
      <c r="C1658" s="11" t="n"/>
      <c r="D1658" s="11" t="n"/>
      <c r="E1658" s="11" t="n"/>
      <c r="F1658" s="11" t="n"/>
      <c r="G1658" s="11" t="n"/>
      <c r="H1658" s="11" t="n"/>
      <c r="I1658" s="11" t="n"/>
      <c r="J1658" s="11" t="n"/>
      <c r="K1658" s="11" t="n"/>
      <c r="L1658" s="11" t="n"/>
      <c r="M1658" s="11" t="n"/>
      <c r="N1658" s="11" t="n"/>
      <c r="O1658" s="11" t="n"/>
      <c r="P1658" s="11" t="n"/>
      <c r="Q1658" s="11" t="n"/>
      <c r="R1658" s="11" t="n"/>
      <c r="S1658" s="11" t="n"/>
      <c r="T1658" s="12" t="n"/>
    </row>
    <row r="1659">
      <c r="A1659" s="11" t="n"/>
      <c r="B1659" s="11" t="n"/>
      <c r="C1659" s="11" t="n"/>
      <c r="D1659" s="11" t="n"/>
      <c r="E1659" s="11" t="n"/>
      <c r="F1659" s="11" t="n"/>
      <c r="G1659" s="11" t="n"/>
      <c r="H1659" s="11" t="n"/>
      <c r="I1659" s="11" t="n"/>
      <c r="J1659" s="11" t="n"/>
      <c r="K1659" s="11" t="n"/>
      <c r="L1659" s="11" t="n"/>
      <c r="M1659" s="11" t="n"/>
      <c r="N1659" s="11" t="n"/>
      <c r="O1659" s="11" t="n"/>
      <c r="P1659" s="11" t="n"/>
      <c r="Q1659" s="11" t="n"/>
      <c r="R1659" s="11" t="n"/>
      <c r="S1659" s="11" t="n"/>
      <c r="T1659" s="12" t="n"/>
    </row>
    <row r="1660">
      <c r="A1660" s="11" t="n"/>
      <c r="B1660" s="11" t="n"/>
      <c r="C1660" s="11" t="n"/>
      <c r="D1660" s="11" t="n"/>
      <c r="E1660" s="11" t="n"/>
      <c r="F1660" s="11" t="n"/>
      <c r="G1660" s="11" t="n"/>
      <c r="H1660" s="11" t="n"/>
      <c r="I1660" s="11" t="n"/>
      <c r="J1660" s="11" t="n"/>
      <c r="K1660" s="11" t="n"/>
      <c r="L1660" s="11" t="n"/>
      <c r="M1660" s="11" t="n"/>
      <c r="N1660" s="11" t="n"/>
      <c r="O1660" s="11" t="n"/>
      <c r="P1660" s="11" t="n"/>
      <c r="Q1660" s="11" t="n"/>
      <c r="R1660" s="11" t="n"/>
      <c r="S1660" s="11" t="n"/>
      <c r="T1660" s="12" t="n"/>
    </row>
    <row r="1661">
      <c r="A1661" s="11" t="n"/>
      <c r="B1661" s="11" t="n"/>
      <c r="C1661" s="11" t="n"/>
      <c r="D1661" s="11" t="n"/>
      <c r="E1661" s="11" t="n"/>
      <c r="F1661" s="11" t="n"/>
      <c r="G1661" s="11" t="n"/>
      <c r="H1661" s="11" t="n"/>
      <c r="I1661" s="11" t="n"/>
      <c r="J1661" s="11" t="n"/>
      <c r="K1661" s="11" t="n"/>
      <c r="L1661" s="11" t="n"/>
      <c r="M1661" s="11" t="n"/>
      <c r="N1661" s="11" t="n"/>
      <c r="O1661" s="11" t="n"/>
      <c r="P1661" s="11" t="n"/>
      <c r="Q1661" s="11" t="n"/>
      <c r="R1661" s="11" t="n"/>
      <c r="S1661" s="11" t="n"/>
      <c r="T1661" s="12" t="n"/>
    </row>
    <row r="1662">
      <c r="A1662" s="11" t="n"/>
      <c r="B1662" s="11" t="n"/>
      <c r="C1662" s="11" t="n"/>
      <c r="D1662" s="11" t="n"/>
      <c r="E1662" s="11" t="n"/>
      <c r="F1662" s="11" t="n"/>
      <c r="G1662" s="11" t="n"/>
      <c r="H1662" s="11" t="n"/>
      <c r="I1662" s="11" t="n"/>
      <c r="J1662" s="11" t="n"/>
      <c r="K1662" s="11" t="n"/>
      <c r="L1662" s="11" t="n"/>
      <c r="M1662" s="11" t="n"/>
      <c r="N1662" s="11" t="n"/>
      <c r="O1662" s="11" t="n"/>
      <c r="P1662" s="11" t="n"/>
      <c r="Q1662" s="11" t="n"/>
      <c r="R1662" s="11" t="n"/>
      <c r="S1662" s="11" t="n"/>
      <c r="T1662" s="12" t="n"/>
    </row>
    <row r="1663">
      <c r="A1663" s="11" t="n"/>
      <c r="B1663" s="11" t="n"/>
      <c r="C1663" s="11" t="n"/>
      <c r="D1663" s="11" t="n"/>
      <c r="E1663" s="11" t="n"/>
      <c r="F1663" s="11" t="n"/>
      <c r="G1663" s="11" t="n"/>
      <c r="H1663" s="11" t="n"/>
      <c r="I1663" s="11" t="n"/>
      <c r="J1663" s="11" t="n"/>
      <c r="K1663" s="11" t="n"/>
      <c r="L1663" s="11" t="n"/>
      <c r="M1663" s="11" t="n"/>
      <c r="N1663" s="11" t="n"/>
      <c r="O1663" s="11" t="n"/>
      <c r="P1663" s="11" t="n"/>
      <c r="Q1663" s="11" t="n"/>
      <c r="R1663" s="11" t="n"/>
      <c r="S1663" s="11" t="n"/>
      <c r="T1663" s="12" t="n"/>
    </row>
    <row r="1664">
      <c r="A1664" s="11" t="n"/>
      <c r="B1664" s="11" t="n"/>
      <c r="C1664" s="11" t="n"/>
      <c r="D1664" s="11" t="n"/>
      <c r="E1664" s="11" t="n"/>
      <c r="F1664" s="11" t="n"/>
      <c r="G1664" s="11" t="n"/>
      <c r="H1664" s="11" t="n"/>
      <c r="I1664" s="11" t="n"/>
      <c r="J1664" s="11" t="n"/>
      <c r="K1664" s="11" t="n"/>
      <c r="L1664" s="11" t="n"/>
      <c r="M1664" s="11" t="n"/>
      <c r="N1664" s="11" t="n"/>
      <c r="O1664" s="11" t="n"/>
      <c r="P1664" s="11" t="n"/>
      <c r="Q1664" s="11" t="n"/>
      <c r="R1664" s="11" t="n"/>
      <c r="S1664" s="11" t="n"/>
      <c r="T1664" s="12" t="n"/>
    </row>
    <row r="1665">
      <c r="A1665" s="11" t="n"/>
      <c r="B1665" s="11" t="n"/>
      <c r="C1665" s="11" t="n"/>
      <c r="D1665" s="11" t="n"/>
      <c r="E1665" s="11" t="n"/>
      <c r="F1665" s="11" t="n"/>
      <c r="G1665" s="11" t="n"/>
      <c r="H1665" s="11" t="n"/>
      <c r="I1665" s="11" t="n"/>
      <c r="J1665" s="11" t="n"/>
      <c r="K1665" s="11" t="n"/>
      <c r="L1665" s="11" t="n"/>
      <c r="M1665" s="11" t="n"/>
      <c r="N1665" s="11" t="n"/>
      <c r="O1665" s="11" t="n"/>
      <c r="P1665" s="11" t="n"/>
      <c r="Q1665" s="11" t="n"/>
      <c r="R1665" s="11" t="n"/>
      <c r="S1665" s="11" t="n"/>
      <c r="T1665" s="12" t="n"/>
    </row>
    <row r="1666">
      <c r="A1666" s="11" t="n"/>
      <c r="B1666" s="11" t="n"/>
      <c r="C1666" s="11" t="n"/>
      <c r="D1666" s="11" t="n"/>
      <c r="E1666" s="11" t="n"/>
      <c r="F1666" s="11" t="n"/>
      <c r="G1666" s="11" t="n"/>
      <c r="H1666" s="11" t="n"/>
      <c r="I1666" s="11" t="n"/>
      <c r="J1666" s="11" t="n"/>
      <c r="K1666" s="11" t="n"/>
      <c r="L1666" s="11" t="n"/>
      <c r="M1666" s="11" t="n"/>
      <c r="N1666" s="11" t="n"/>
      <c r="O1666" s="11" t="n"/>
      <c r="P1666" s="11" t="n"/>
      <c r="Q1666" s="11" t="n"/>
      <c r="R1666" s="11" t="n"/>
      <c r="S1666" s="11" t="n"/>
      <c r="T1666" s="12" t="n"/>
    </row>
    <row r="1667">
      <c r="A1667" s="11" t="n"/>
      <c r="B1667" s="11" t="n"/>
      <c r="C1667" s="11" t="n"/>
      <c r="D1667" s="11" t="n"/>
      <c r="E1667" s="11" t="n"/>
      <c r="F1667" s="11" t="n"/>
      <c r="G1667" s="11" t="n"/>
      <c r="H1667" s="11" t="n"/>
      <c r="I1667" s="11" t="n"/>
      <c r="J1667" s="11" t="n"/>
      <c r="K1667" s="11" t="n"/>
      <c r="L1667" s="11" t="n"/>
      <c r="M1667" s="11" t="n"/>
      <c r="N1667" s="11" t="n"/>
      <c r="O1667" s="11" t="n"/>
      <c r="P1667" s="11" t="n"/>
      <c r="Q1667" s="11" t="n"/>
      <c r="R1667" s="11" t="n"/>
      <c r="S1667" s="11" t="n"/>
      <c r="T1667" s="12" t="n"/>
    </row>
    <row r="1668">
      <c r="A1668" s="11" t="n"/>
      <c r="B1668" s="11" t="n"/>
      <c r="C1668" s="11" t="n"/>
      <c r="D1668" s="11" t="n"/>
      <c r="E1668" s="11" t="n"/>
      <c r="F1668" s="11" t="n"/>
      <c r="G1668" s="11" t="n"/>
      <c r="H1668" s="11" t="n"/>
      <c r="I1668" s="11" t="n"/>
      <c r="J1668" s="11" t="n"/>
      <c r="K1668" s="11" t="n"/>
      <c r="L1668" s="11" t="n"/>
      <c r="M1668" s="11" t="n"/>
      <c r="N1668" s="11" t="n"/>
      <c r="O1668" s="11" t="n"/>
      <c r="P1668" s="11" t="n"/>
      <c r="Q1668" s="11" t="n"/>
      <c r="R1668" s="11" t="n"/>
      <c r="S1668" s="11" t="n"/>
      <c r="T1668" s="12" t="n"/>
    </row>
    <row r="1669">
      <c r="A1669" s="11" t="n"/>
      <c r="B1669" s="11" t="n"/>
      <c r="C1669" s="11" t="n"/>
      <c r="D1669" s="11" t="n"/>
      <c r="E1669" s="11" t="n"/>
      <c r="F1669" s="11" t="n"/>
      <c r="G1669" s="11" t="n"/>
      <c r="H1669" s="11" t="n"/>
      <c r="I1669" s="11" t="n"/>
      <c r="J1669" s="11" t="n"/>
      <c r="K1669" s="11" t="n"/>
      <c r="L1669" s="11" t="n"/>
      <c r="M1669" s="11" t="n"/>
      <c r="N1669" s="11" t="n"/>
      <c r="O1669" s="11" t="n"/>
      <c r="P1669" s="11" t="n"/>
      <c r="Q1669" s="11" t="n"/>
      <c r="R1669" s="11" t="n"/>
      <c r="S1669" s="11" t="n"/>
      <c r="T1669" s="12" t="n"/>
    </row>
    <row r="1670">
      <c r="A1670" s="11" t="n"/>
      <c r="B1670" s="11" t="n"/>
      <c r="C1670" s="11" t="n"/>
      <c r="D1670" s="11" t="n"/>
      <c r="E1670" s="11" t="n"/>
      <c r="F1670" s="11" t="n"/>
      <c r="G1670" s="11" t="n"/>
      <c r="H1670" s="11" t="n"/>
      <c r="I1670" s="11" t="n"/>
      <c r="J1670" s="11" t="n"/>
      <c r="K1670" s="11" t="n"/>
      <c r="L1670" s="11" t="n"/>
      <c r="M1670" s="11" t="n"/>
      <c r="N1670" s="11" t="n"/>
      <c r="O1670" s="11" t="n"/>
      <c r="P1670" s="11" t="n"/>
      <c r="Q1670" s="11" t="n"/>
      <c r="R1670" s="11" t="n"/>
      <c r="S1670" s="11" t="n"/>
      <c r="T1670" s="12" t="n"/>
    </row>
    <row r="1671">
      <c r="A1671" s="11" t="n"/>
      <c r="B1671" s="11" t="n"/>
      <c r="C1671" s="11" t="n"/>
      <c r="D1671" s="11" t="n"/>
      <c r="E1671" s="11" t="n"/>
      <c r="F1671" s="11" t="n"/>
      <c r="G1671" s="11" t="n"/>
      <c r="H1671" s="11" t="n"/>
      <c r="I1671" s="11" t="n"/>
      <c r="J1671" s="11" t="n"/>
      <c r="K1671" s="11" t="n"/>
      <c r="L1671" s="11" t="n"/>
      <c r="M1671" s="11" t="n"/>
      <c r="N1671" s="11" t="n"/>
      <c r="O1671" s="11" t="n"/>
      <c r="P1671" s="11" t="n"/>
      <c r="Q1671" s="11" t="n"/>
      <c r="R1671" s="11" t="n"/>
      <c r="S1671" s="11" t="n"/>
      <c r="T1671" s="12" t="n"/>
    </row>
    <row r="1672">
      <c r="A1672" s="11" t="n"/>
      <c r="B1672" s="11" t="n"/>
      <c r="C1672" s="11" t="n"/>
      <c r="D1672" s="11" t="n"/>
      <c r="E1672" s="11" t="n"/>
      <c r="F1672" s="11" t="n"/>
      <c r="G1672" s="11" t="n"/>
      <c r="H1672" s="11" t="n"/>
      <c r="I1672" s="11" t="n"/>
      <c r="J1672" s="11" t="n"/>
      <c r="K1672" s="11" t="n"/>
      <c r="L1672" s="11" t="n"/>
      <c r="M1672" s="11" t="n"/>
      <c r="N1672" s="11" t="n"/>
      <c r="O1672" s="11" t="n"/>
      <c r="P1672" s="11" t="n"/>
      <c r="Q1672" s="11" t="n"/>
      <c r="R1672" s="11" t="n"/>
      <c r="S1672" s="11" t="n"/>
      <c r="T1672" s="12" t="n"/>
    </row>
    <row r="1673">
      <c r="A1673" s="11" t="n"/>
      <c r="B1673" s="11" t="n"/>
      <c r="C1673" s="11" t="n"/>
      <c r="D1673" s="11" t="n"/>
      <c r="E1673" s="11" t="n"/>
      <c r="F1673" s="11" t="n"/>
      <c r="G1673" s="11" t="n"/>
      <c r="H1673" s="11" t="n"/>
      <c r="I1673" s="11" t="n"/>
      <c r="J1673" s="11" t="n"/>
      <c r="K1673" s="11" t="n"/>
      <c r="L1673" s="11" t="n"/>
      <c r="M1673" s="11" t="n"/>
      <c r="N1673" s="11" t="n"/>
      <c r="O1673" s="11" t="n"/>
      <c r="P1673" s="11" t="n"/>
      <c r="Q1673" s="11" t="n"/>
      <c r="R1673" s="11" t="n"/>
      <c r="S1673" s="11" t="n"/>
      <c r="T1673" s="12" t="n"/>
    </row>
    <row r="1674">
      <c r="A1674" s="11" t="n"/>
      <c r="B1674" s="11" t="n"/>
      <c r="C1674" s="11" t="n"/>
      <c r="D1674" s="11" t="n"/>
      <c r="E1674" s="11" t="n"/>
      <c r="F1674" s="11" t="n"/>
      <c r="G1674" s="11" t="n"/>
      <c r="H1674" s="11" t="n"/>
      <c r="I1674" s="11" t="n"/>
      <c r="J1674" s="11" t="n"/>
      <c r="K1674" s="11" t="n"/>
      <c r="L1674" s="11" t="n"/>
      <c r="M1674" s="11" t="n"/>
      <c r="N1674" s="11" t="n"/>
      <c r="O1674" s="11" t="n"/>
      <c r="P1674" s="11" t="n"/>
      <c r="Q1674" s="11" t="n"/>
      <c r="R1674" s="11" t="n"/>
      <c r="S1674" s="11" t="n"/>
      <c r="T1674" s="12" t="n"/>
    </row>
    <row r="1675">
      <c r="A1675" s="11" t="n"/>
      <c r="B1675" s="11" t="n"/>
      <c r="C1675" s="11" t="n"/>
      <c r="D1675" s="11" t="n"/>
      <c r="E1675" s="11" t="n"/>
      <c r="F1675" s="11" t="n"/>
      <c r="G1675" s="11" t="n"/>
      <c r="H1675" s="11" t="n"/>
      <c r="I1675" s="11" t="n"/>
      <c r="J1675" s="11" t="n"/>
      <c r="K1675" s="11" t="n"/>
      <c r="L1675" s="11" t="n"/>
      <c r="M1675" s="11" t="n"/>
      <c r="N1675" s="11" t="n"/>
      <c r="O1675" s="11" t="n"/>
      <c r="P1675" s="11" t="n"/>
      <c r="Q1675" s="11" t="n"/>
      <c r="R1675" s="11" t="n"/>
      <c r="S1675" s="11" t="n"/>
      <c r="T1675" s="12" t="n"/>
    </row>
    <row r="1676">
      <c r="A1676" s="11" t="n"/>
      <c r="B1676" s="11" t="n"/>
      <c r="C1676" s="11" t="n"/>
      <c r="D1676" s="11" t="n"/>
      <c r="E1676" s="11" t="n"/>
      <c r="F1676" s="11" t="n"/>
      <c r="G1676" s="11" t="n"/>
      <c r="H1676" s="11" t="n"/>
      <c r="I1676" s="11" t="n"/>
      <c r="J1676" s="11" t="n"/>
      <c r="K1676" s="11" t="n"/>
      <c r="L1676" s="11" t="n"/>
      <c r="M1676" s="11" t="n"/>
      <c r="N1676" s="11" t="n"/>
      <c r="O1676" s="11" t="n"/>
      <c r="P1676" s="11" t="n"/>
      <c r="Q1676" s="11" t="n"/>
      <c r="R1676" s="11" t="n"/>
      <c r="S1676" s="11" t="n"/>
      <c r="T1676" s="12" t="n"/>
    </row>
    <row r="1677">
      <c r="A1677" s="11" t="n"/>
      <c r="B1677" s="11" t="n"/>
      <c r="C1677" s="11" t="n"/>
      <c r="D1677" s="11" t="n"/>
      <c r="E1677" s="11" t="n"/>
      <c r="F1677" s="11" t="n"/>
      <c r="G1677" s="11" t="n"/>
      <c r="H1677" s="11" t="n"/>
      <c r="I1677" s="11" t="n"/>
      <c r="J1677" s="11" t="n"/>
      <c r="K1677" s="11" t="n"/>
      <c r="L1677" s="11" t="n"/>
      <c r="M1677" s="11" t="n"/>
      <c r="N1677" s="11" t="n"/>
      <c r="O1677" s="11" t="n"/>
      <c r="P1677" s="11" t="n"/>
      <c r="Q1677" s="11" t="n"/>
      <c r="R1677" s="11" t="n"/>
      <c r="S1677" s="11" t="n"/>
      <c r="T1677" s="12" t="n"/>
    </row>
    <row r="1678">
      <c r="A1678" s="11" t="n"/>
      <c r="B1678" s="11" t="n"/>
      <c r="C1678" s="11" t="n"/>
      <c r="D1678" s="11" t="n"/>
      <c r="E1678" s="11" t="n"/>
      <c r="F1678" s="11" t="n"/>
      <c r="G1678" s="11" t="n"/>
      <c r="H1678" s="11" t="n"/>
      <c r="I1678" s="11" t="n"/>
      <c r="J1678" s="11" t="n"/>
      <c r="K1678" s="11" t="n"/>
      <c r="L1678" s="11" t="n"/>
      <c r="M1678" s="11" t="n"/>
      <c r="N1678" s="11" t="n"/>
      <c r="O1678" s="11" t="n"/>
      <c r="P1678" s="11" t="n"/>
      <c r="Q1678" s="11" t="n"/>
      <c r="R1678" s="11" t="n"/>
      <c r="S1678" s="11" t="n"/>
      <c r="T1678" s="12" t="n"/>
    </row>
    <row r="1679">
      <c r="A1679" s="11" t="n"/>
      <c r="B1679" s="11" t="n"/>
      <c r="C1679" s="11" t="n"/>
      <c r="D1679" s="11" t="n"/>
      <c r="E1679" s="11" t="n"/>
      <c r="F1679" s="11" t="n"/>
      <c r="G1679" s="11" t="n"/>
      <c r="H1679" s="11" t="n"/>
      <c r="I1679" s="11" t="n"/>
      <c r="J1679" s="11" t="n"/>
      <c r="K1679" s="11" t="n"/>
      <c r="L1679" s="11" t="n"/>
      <c r="M1679" s="11" t="n"/>
      <c r="N1679" s="11" t="n"/>
      <c r="O1679" s="11" t="n"/>
      <c r="P1679" s="11" t="n"/>
      <c r="Q1679" s="11" t="n"/>
      <c r="R1679" s="11" t="n"/>
      <c r="S1679" s="11" t="n"/>
      <c r="T1679" s="12" t="n"/>
    </row>
    <row r="1680">
      <c r="A1680" s="11" t="n"/>
      <c r="B1680" s="11" t="n"/>
      <c r="C1680" s="11" t="n"/>
      <c r="D1680" s="11" t="n"/>
      <c r="E1680" s="11" t="n"/>
      <c r="F1680" s="11" t="n"/>
      <c r="G1680" s="11" t="n"/>
      <c r="H1680" s="11" t="n"/>
      <c r="I1680" s="11" t="n"/>
      <c r="J1680" s="11" t="n"/>
      <c r="K1680" s="11" t="n"/>
      <c r="L1680" s="11" t="n"/>
      <c r="M1680" s="11" t="n"/>
      <c r="N1680" s="11" t="n"/>
      <c r="O1680" s="11" t="n"/>
      <c r="P1680" s="11" t="n"/>
      <c r="Q1680" s="11" t="n"/>
      <c r="R1680" s="11" t="n"/>
      <c r="S1680" s="11" t="n"/>
      <c r="T1680" s="12" t="n"/>
    </row>
    <row r="1681">
      <c r="A1681" s="11" t="n"/>
      <c r="B1681" s="11" t="n"/>
      <c r="C1681" s="11" t="n"/>
      <c r="D1681" s="11" t="n"/>
      <c r="E1681" s="11" t="n"/>
      <c r="F1681" s="11" t="n"/>
      <c r="G1681" s="11" t="n"/>
      <c r="H1681" s="11" t="n"/>
      <c r="I1681" s="11" t="n"/>
      <c r="J1681" s="11" t="n"/>
      <c r="K1681" s="11" t="n"/>
      <c r="L1681" s="11" t="n"/>
      <c r="M1681" s="11" t="n"/>
      <c r="N1681" s="11" t="n"/>
      <c r="O1681" s="11" t="n"/>
      <c r="P1681" s="11" t="n"/>
      <c r="Q1681" s="11" t="n"/>
      <c r="R1681" s="11" t="n"/>
      <c r="S1681" s="11" t="n"/>
      <c r="T1681" s="12" t="n"/>
    </row>
    <row r="1682">
      <c r="A1682" s="11" t="n"/>
      <c r="B1682" s="11" t="n"/>
      <c r="C1682" s="11" t="n"/>
      <c r="D1682" s="11" t="n"/>
      <c r="E1682" s="11" t="n"/>
      <c r="F1682" s="11" t="n"/>
      <c r="G1682" s="11" t="n"/>
      <c r="H1682" s="11" t="n"/>
      <c r="I1682" s="11" t="n"/>
      <c r="J1682" s="11" t="n"/>
      <c r="K1682" s="11" t="n"/>
      <c r="L1682" s="11" t="n"/>
      <c r="M1682" s="11" t="n"/>
      <c r="N1682" s="11" t="n"/>
      <c r="O1682" s="11" t="n"/>
      <c r="P1682" s="11" t="n"/>
      <c r="Q1682" s="11" t="n"/>
      <c r="R1682" s="11" t="n"/>
      <c r="S1682" s="11" t="n"/>
      <c r="T1682" s="12" t="n"/>
    </row>
    <row r="1683">
      <c r="A1683" s="11" t="n"/>
      <c r="B1683" s="11" t="n"/>
      <c r="C1683" s="11" t="n"/>
      <c r="D1683" s="11" t="n"/>
      <c r="E1683" s="11" t="n"/>
      <c r="F1683" s="11" t="n"/>
      <c r="G1683" s="11" t="n"/>
      <c r="H1683" s="11" t="n"/>
      <c r="I1683" s="11" t="n"/>
      <c r="J1683" s="11" t="n"/>
      <c r="K1683" s="11" t="n"/>
      <c r="L1683" s="11" t="n"/>
      <c r="M1683" s="11" t="n"/>
      <c r="N1683" s="11" t="n"/>
      <c r="O1683" s="11" t="n"/>
      <c r="P1683" s="11" t="n"/>
      <c r="Q1683" s="11" t="n"/>
      <c r="R1683" s="11" t="n"/>
      <c r="S1683" s="11" t="n"/>
      <c r="T1683" s="12" t="n"/>
    </row>
    <row r="1684">
      <c r="A1684" s="11" t="n"/>
      <c r="B1684" s="11" t="n"/>
      <c r="C1684" s="11" t="n"/>
      <c r="D1684" s="11" t="n"/>
      <c r="E1684" s="11" t="n"/>
      <c r="F1684" s="11" t="n"/>
      <c r="G1684" s="11" t="n"/>
      <c r="H1684" s="11" t="n"/>
      <c r="I1684" s="11" t="n"/>
      <c r="J1684" s="11" t="n"/>
      <c r="K1684" s="11" t="n"/>
      <c r="L1684" s="11" t="n"/>
      <c r="M1684" s="11" t="n"/>
      <c r="N1684" s="11" t="n"/>
      <c r="O1684" s="11" t="n"/>
      <c r="P1684" s="11" t="n"/>
      <c r="Q1684" s="11" t="n"/>
      <c r="R1684" s="11" t="n"/>
      <c r="S1684" s="11" t="n"/>
      <c r="T1684" s="12" t="n"/>
    </row>
    <row r="1685">
      <c r="A1685" s="11" t="n"/>
      <c r="B1685" s="11" t="n"/>
      <c r="C1685" s="11" t="n"/>
      <c r="D1685" s="11" t="n"/>
      <c r="E1685" s="11" t="n"/>
      <c r="F1685" s="11" t="n"/>
      <c r="G1685" s="11" t="n"/>
      <c r="H1685" s="11" t="n"/>
      <c r="I1685" s="11" t="n"/>
      <c r="J1685" s="11" t="n"/>
      <c r="K1685" s="11" t="n"/>
      <c r="L1685" s="11" t="n"/>
      <c r="M1685" s="11" t="n"/>
      <c r="N1685" s="11" t="n"/>
      <c r="O1685" s="11" t="n"/>
      <c r="P1685" s="11" t="n"/>
      <c r="Q1685" s="11" t="n"/>
      <c r="R1685" s="11" t="n"/>
      <c r="S1685" s="11" t="n"/>
      <c r="T1685" s="12" t="n"/>
    </row>
    <row r="1686">
      <c r="A1686" s="11" t="n"/>
      <c r="B1686" s="11" t="n"/>
      <c r="C1686" s="11" t="n"/>
      <c r="D1686" s="11" t="n"/>
      <c r="E1686" s="11" t="n"/>
      <c r="F1686" s="11" t="n"/>
      <c r="G1686" s="11" t="n"/>
      <c r="H1686" s="11" t="n"/>
      <c r="I1686" s="11" t="n"/>
      <c r="J1686" s="11" t="n"/>
      <c r="K1686" s="11" t="n"/>
      <c r="L1686" s="11" t="n"/>
      <c r="M1686" s="11" t="n"/>
      <c r="N1686" s="11" t="n"/>
      <c r="O1686" s="11" t="n"/>
      <c r="P1686" s="11" t="n"/>
      <c r="Q1686" s="11" t="n"/>
      <c r="R1686" s="11" t="n"/>
      <c r="S1686" s="11" t="n"/>
      <c r="T1686" s="12" t="n"/>
    </row>
    <row r="1687">
      <c r="A1687" s="11" t="n"/>
      <c r="B1687" s="11" t="n"/>
      <c r="C1687" s="11" t="n"/>
      <c r="D1687" s="11" t="n"/>
      <c r="E1687" s="11" t="n"/>
      <c r="F1687" s="11" t="n"/>
      <c r="G1687" s="11" t="n"/>
      <c r="H1687" s="11" t="n"/>
      <c r="I1687" s="11" t="n"/>
      <c r="J1687" s="11" t="n"/>
      <c r="K1687" s="11" t="n"/>
      <c r="L1687" s="11" t="n"/>
      <c r="M1687" s="11" t="n"/>
      <c r="N1687" s="11" t="n"/>
      <c r="O1687" s="11" t="n"/>
      <c r="P1687" s="11" t="n"/>
      <c r="Q1687" s="11" t="n"/>
      <c r="R1687" s="11" t="n"/>
      <c r="S1687" s="11" t="n"/>
      <c r="T1687" s="12" t="n"/>
    </row>
    <row r="1688">
      <c r="A1688" s="11" t="n"/>
      <c r="B1688" s="11" t="n"/>
      <c r="C1688" s="11" t="n"/>
      <c r="D1688" s="11" t="n"/>
      <c r="E1688" s="11" t="n"/>
      <c r="F1688" s="11" t="n"/>
      <c r="G1688" s="11" t="n"/>
      <c r="H1688" s="11" t="n"/>
      <c r="I1688" s="11" t="n"/>
      <c r="J1688" s="11" t="n"/>
      <c r="K1688" s="11" t="n"/>
      <c r="L1688" s="11" t="n"/>
      <c r="M1688" s="11" t="n"/>
      <c r="N1688" s="11" t="n"/>
      <c r="O1688" s="11" t="n"/>
      <c r="P1688" s="11" t="n"/>
      <c r="Q1688" s="11" t="n"/>
      <c r="R1688" s="11" t="n"/>
      <c r="S1688" s="11" t="n"/>
      <c r="T1688" s="12" t="n"/>
    </row>
    <row r="1689">
      <c r="A1689" s="11" t="n"/>
      <c r="B1689" s="11" t="n"/>
      <c r="C1689" s="11" t="n"/>
      <c r="D1689" s="11" t="n"/>
      <c r="E1689" s="11" t="n"/>
      <c r="F1689" s="11" t="n"/>
      <c r="G1689" s="11" t="n"/>
      <c r="H1689" s="11" t="n"/>
      <c r="I1689" s="11" t="n"/>
      <c r="J1689" s="11" t="n"/>
      <c r="K1689" s="11" t="n"/>
      <c r="L1689" s="11" t="n"/>
      <c r="M1689" s="11" t="n"/>
      <c r="N1689" s="11" t="n"/>
      <c r="O1689" s="11" t="n"/>
      <c r="P1689" s="11" t="n"/>
      <c r="Q1689" s="11" t="n"/>
      <c r="R1689" s="11" t="n"/>
      <c r="S1689" s="11" t="n"/>
      <c r="T1689" s="12" t="n"/>
    </row>
    <row r="1690">
      <c r="A1690" s="11" t="n"/>
      <c r="B1690" s="11" t="n"/>
      <c r="C1690" s="11" t="n"/>
      <c r="D1690" s="11" t="n"/>
      <c r="E1690" s="11" t="n"/>
      <c r="F1690" s="11" t="n"/>
      <c r="G1690" s="11" t="n"/>
      <c r="H1690" s="11" t="n"/>
      <c r="I1690" s="11" t="n"/>
      <c r="J1690" s="11" t="n"/>
      <c r="K1690" s="11" t="n"/>
      <c r="L1690" s="11" t="n"/>
      <c r="M1690" s="11" t="n"/>
      <c r="N1690" s="11" t="n"/>
      <c r="O1690" s="11" t="n"/>
      <c r="P1690" s="11" t="n"/>
      <c r="Q1690" s="11" t="n"/>
      <c r="R1690" s="11" t="n"/>
      <c r="S1690" s="11" t="n"/>
      <c r="T1690" s="12" t="n"/>
    </row>
    <row r="1691">
      <c r="A1691" s="11" t="n"/>
      <c r="B1691" s="11" t="n"/>
      <c r="C1691" s="11" t="n"/>
      <c r="D1691" s="11" t="n"/>
      <c r="E1691" s="11" t="n"/>
      <c r="F1691" s="11" t="n"/>
      <c r="G1691" s="11" t="n"/>
      <c r="H1691" s="11" t="n"/>
      <c r="I1691" s="11" t="n"/>
      <c r="J1691" s="11" t="n"/>
      <c r="K1691" s="11" t="n"/>
      <c r="L1691" s="11" t="n"/>
      <c r="M1691" s="11" t="n"/>
      <c r="N1691" s="11" t="n"/>
      <c r="O1691" s="11" t="n"/>
      <c r="P1691" s="11" t="n"/>
      <c r="Q1691" s="11" t="n"/>
      <c r="R1691" s="11" t="n"/>
      <c r="S1691" s="11" t="n"/>
      <c r="T1691" s="12" t="n"/>
    </row>
    <row r="1692">
      <c r="A1692" s="11" t="n"/>
      <c r="B1692" s="11" t="n"/>
      <c r="C1692" s="11" t="n"/>
      <c r="D1692" s="11" t="n"/>
      <c r="E1692" s="11" t="n"/>
      <c r="F1692" s="11" t="n"/>
      <c r="G1692" s="11" t="n"/>
      <c r="H1692" s="11" t="n"/>
      <c r="I1692" s="11" t="n"/>
      <c r="J1692" s="11" t="n"/>
      <c r="K1692" s="11" t="n"/>
      <c r="L1692" s="11" t="n"/>
      <c r="M1692" s="11" t="n"/>
      <c r="N1692" s="11" t="n"/>
      <c r="O1692" s="11" t="n"/>
      <c r="P1692" s="11" t="n"/>
      <c r="Q1692" s="11" t="n"/>
      <c r="R1692" s="11" t="n"/>
      <c r="S1692" s="11" t="n"/>
      <c r="T1692" s="12" t="n"/>
    </row>
    <row r="1693">
      <c r="A1693" s="11" t="n"/>
      <c r="B1693" s="11" t="n"/>
      <c r="C1693" s="11" t="n"/>
      <c r="D1693" s="11" t="n"/>
      <c r="E1693" s="11" t="n"/>
      <c r="F1693" s="11" t="n"/>
      <c r="G1693" s="11" t="n"/>
      <c r="H1693" s="11" t="n"/>
      <c r="I1693" s="11" t="n"/>
      <c r="J1693" s="11" t="n"/>
      <c r="K1693" s="11" t="n"/>
      <c r="L1693" s="11" t="n"/>
      <c r="M1693" s="11" t="n"/>
      <c r="N1693" s="11" t="n"/>
      <c r="O1693" s="11" t="n"/>
      <c r="P1693" s="11" t="n"/>
      <c r="Q1693" s="11" t="n"/>
      <c r="R1693" s="11" t="n"/>
      <c r="S1693" s="11" t="n"/>
      <c r="T1693" s="12" t="n"/>
    </row>
    <row r="1694">
      <c r="A1694" s="11" t="n"/>
      <c r="B1694" s="11" t="n"/>
      <c r="C1694" s="11" t="n"/>
      <c r="D1694" s="11" t="n"/>
      <c r="E1694" s="11" t="n"/>
      <c r="F1694" s="11" t="n"/>
      <c r="G1694" s="11" t="n"/>
      <c r="H1694" s="11" t="n"/>
      <c r="I1694" s="11" t="n"/>
      <c r="J1694" s="11" t="n"/>
      <c r="K1694" s="11" t="n"/>
      <c r="L1694" s="11" t="n"/>
      <c r="M1694" s="11" t="n"/>
      <c r="N1694" s="11" t="n"/>
      <c r="O1694" s="11" t="n"/>
      <c r="P1694" s="11" t="n"/>
      <c r="Q1694" s="11" t="n"/>
      <c r="R1694" s="11" t="n"/>
      <c r="S1694" s="11" t="n"/>
      <c r="T1694" s="12" t="n"/>
    </row>
    <row r="1695">
      <c r="A1695" s="11" t="n"/>
      <c r="B1695" s="11" t="n"/>
      <c r="C1695" s="11" t="n"/>
      <c r="D1695" s="11" t="n"/>
      <c r="E1695" s="11" t="n"/>
      <c r="F1695" s="11" t="n"/>
      <c r="G1695" s="11" t="n"/>
      <c r="H1695" s="11" t="n"/>
      <c r="I1695" s="11" t="n"/>
      <c r="J1695" s="11" t="n"/>
      <c r="K1695" s="11" t="n"/>
      <c r="L1695" s="11" t="n"/>
      <c r="M1695" s="11" t="n"/>
      <c r="N1695" s="11" t="n"/>
      <c r="O1695" s="11" t="n"/>
      <c r="P1695" s="11" t="n"/>
      <c r="Q1695" s="11" t="n"/>
      <c r="R1695" s="11" t="n"/>
      <c r="S1695" s="11" t="n"/>
      <c r="T1695" s="12" t="n"/>
    </row>
    <row r="1696">
      <c r="A1696" s="11" t="n"/>
      <c r="B1696" s="11" t="n"/>
      <c r="C1696" s="11" t="n"/>
      <c r="D1696" s="11" t="n"/>
      <c r="E1696" s="11" t="n"/>
      <c r="F1696" s="11" t="n"/>
      <c r="G1696" s="11" t="n"/>
      <c r="H1696" s="11" t="n"/>
      <c r="I1696" s="11" t="n"/>
      <c r="J1696" s="11" t="n"/>
      <c r="K1696" s="11" t="n"/>
      <c r="L1696" s="11" t="n"/>
      <c r="M1696" s="11" t="n"/>
      <c r="N1696" s="11" t="n"/>
      <c r="O1696" s="11" t="n"/>
      <c r="P1696" s="11" t="n"/>
      <c r="Q1696" s="11" t="n"/>
      <c r="R1696" s="11" t="n"/>
      <c r="S1696" s="11" t="n"/>
      <c r="T1696" s="12" t="n"/>
    </row>
    <row r="1697">
      <c r="A1697" s="11" t="n"/>
      <c r="B1697" s="11" t="n"/>
      <c r="C1697" s="11" t="n"/>
      <c r="D1697" s="11" t="n"/>
      <c r="E1697" s="11" t="n"/>
      <c r="F1697" s="11" t="n"/>
      <c r="G1697" s="11" t="n"/>
      <c r="H1697" s="11" t="n"/>
      <c r="I1697" s="11" t="n"/>
      <c r="J1697" s="11" t="n"/>
      <c r="K1697" s="11" t="n"/>
      <c r="L1697" s="11" t="n"/>
      <c r="M1697" s="11" t="n"/>
      <c r="N1697" s="11" t="n"/>
      <c r="O1697" s="11" t="n"/>
      <c r="P1697" s="11" t="n"/>
      <c r="Q1697" s="11" t="n"/>
      <c r="R1697" s="11" t="n"/>
      <c r="S1697" s="11" t="n"/>
      <c r="T1697" s="12" t="n"/>
    </row>
    <row r="1698">
      <c r="A1698" s="11" t="n"/>
      <c r="B1698" s="11" t="n"/>
      <c r="C1698" s="11" t="n"/>
      <c r="D1698" s="11" t="n"/>
      <c r="E1698" s="11" t="n"/>
      <c r="F1698" s="11" t="n"/>
      <c r="G1698" s="11" t="n"/>
      <c r="H1698" s="11" t="n"/>
      <c r="I1698" s="11" t="n"/>
      <c r="J1698" s="11" t="n"/>
      <c r="K1698" s="11" t="n"/>
      <c r="L1698" s="11" t="n"/>
      <c r="M1698" s="11" t="n"/>
      <c r="N1698" s="11" t="n"/>
      <c r="O1698" s="11" t="n"/>
      <c r="P1698" s="11" t="n"/>
      <c r="Q1698" s="11" t="n"/>
      <c r="R1698" s="11" t="n"/>
      <c r="S1698" s="11" t="n"/>
      <c r="T1698" s="12" t="n"/>
    </row>
    <row r="1699">
      <c r="A1699" s="11" t="n"/>
      <c r="B1699" s="11" t="n"/>
      <c r="C1699" s="11" t="n"/>
      <c r="D1699" s="11" t="n"/>
      <c r="E1699" s="11" t="n"/>
      <c r="F1699" s="11" t="n"/>
      <c r="G1699" s="11" t="n"/>
      <c r="H1699" s="11" t="n"/>
      <c r="I1699" s="11" t="n"/>
      <c r="J1699" s="11" t="n"/>
      <c r="K1699" s="11" t="n"/>
      <c r="L1699" s="11" t="n"/>
      <c r="M1699" s="11" t="n"/>
      <c r="N1699" s="11" t="n"/>
      <c r="O1699" s="11" t="n"/>
      <c r="P1699" s="11" t="n"/>
      <c r="Q1699" s="11" t="n"/>
      <c r="R1699" s="11" t="n"/>
      <c r="S1699" s="11" t="n"/>
      <c r="T1699" s="12" t="n"/>
    </row>
    <row r="1700">
      <c r="A1700" s="11" t="n"/>
      <c r="B1700" s="11" t="n"/>
      <c r="C1700" s="11" t="n"/>
      <c r="D1700" s="11" t="n"/>
      <c r="E1700" s="11" t="n"/>
      <c r="F1700" s="11" t="n"/>
      <c r="G1700" s="11" t="n"/>
      <c r="H1700" s="11" t="n"/>
      <c r="I1700" s="11" t="n"/>
      <c r="J1700" s="11" t="n"/>
      <c r="K1700" s="11" t="n"/>
      <c r="L1700" s="11" t="n"/>
      <c r="M1700" s="11" t="n"/>
      <c r="N1700" s="11" t="n"/>
      <c r="O1700" s="11" t="n"/>
      <c r="P1700" s="11" t="n"/>
      <c r="Q1700" s="11" t="n"/>
      <c r="R1700" s="11" t="n"/>
      <c r="S1700" s="11" t="n"/>
      <c r="T1700" s="12" t="n"/>
    </row>
    <row r="1701">
      <c r="A1701" s="11" t="n"/>
      <c r="B1701" s="11" t="n"/>
      <c r="C1701" s="11" t="n"/>
      <c r="D1701" s="11" t="n"/>
      <c r="E1701" s="11" t="n"/>
      <c r="F1701" s="11" t="n"/>
      <c r="G1701" s="11" t="n"/>
      <c r="H1701" s="11" t="n"/>
      <c r="I1701" s="11" t="n"/>
      <c r="J1701" s="11" t="n"/>
      <c r="K1701" s="11" t="n"/>
      <c r="L1701" s="11" t="n"/>
      <c r="M1701" s="11" t="n"/>
      <c r="N1701" s="11" t="n"/>
      <c r="O1701" s="11" t="n"/>
      <c r="P1701" s="11" t="n"/>
      <c r="Q1701" s="11" t="n"/>
      <c r="R1701" s="11" t="n"/>
      <c r="S1701" s="11" t="n"/>
      <c r="T1701" s="12" t="n"/>
    </row>
    <row r="1702">
      <c r="A1702" s="11" t="n"/>
      <c r="B1702" s="11" t="n"/>
      <c r="C1702" s="11" t="n"/>
      <c r="D1702" s="11" t="n"/>
      <c r="E1702" s="11" t="n"/>
      <c r="F1702" s="11" t="n"/>
      <c r="G1702" s="11" t="n"/>
      <c r="H1702" s="11" t="n"/>
      <c r="I1702" s="11" t="n"/>
      <c r="J1702" s="11" t="n"/>
      <c r="K1702" s="11" t="n"/>
      <c r="L1702" s="11" t="n"/>
      <c r="M1702" s="11" t="n"/>
      <c r="N1702" s="11" t="n"/>
      <c r="O1702" s="11" t="n"/>
      <c r="P1702" s="11" t="n"/>
      <c r="Q1702" s="11" t="n"/>
      <c r="R1702" s="11" t="n"/>
      <c r="S1702" s="11" t="n"/>
      <c r="T1702" s="12" t="n"/>
    </row>
    <row r="1703">
      <c r="A1703" s="11" t="n"/>
      <c r="B1703" s="11" t="n"/>
      <c r="C1703" s="11" t="n"/>
      <c r="D1703" s="11" t="n"/>
      <c r="E1703" s="11" t="n"/>
      <c r="F1703" s="11" t="n"/>
      <c r="G1703" s="11" t="n"/>
      <c r="H1703" s="11" t="n"/>
      <c r="I1703" s="11" t="n"/>
      <c r="J1703" s="11" t="n"/>
      <c r="K1703" s="11" t="n"/>
      <c r="L1703" s="11" t="n"/>
      <c r="M1703" s="11" t="n"/>
      <c r="N1703" s="11" t="n"/>
      <c r="O1703" s="11" t="n"/>
      <c r="P1703" s="11" t="n"/>
      <c r="Q1703" s="11" t="n"/>
      <c r="R1703" s="11" t="n"/>
      <c r="S1703" s="11" t="n"/>
      <c r="T1703" s="12" t="n"/>
    </row>
    <row r="1704">
      <c r="A1704" s="11" t="n"/>
      <c r="B1704" s="11" t="n"/>
      <c r="C1704" s="11" t="n"/>
      <c r="D1704" s="11" t="n"/>
      <c r="E1704" s="11" t="n"/>
      <c r="F1704" s="11" t="n"/>
      <c r="G1704" s="11" t="n"/>
      <c r="H1704" s="11" t="n"/>
      <c r="I1704" s="11" t="n"/>
      <c r="J1704" s="11" t="n"/>
      <c r="K1704" s="11" t="n"/>
      <c r="L1704" s="11" t="n"/>
      <c r="M1704" s="11" t="n"/>
      <c r="N1704" s="11" t="n"/>
      <c r="O1704" s="11" t="n"/>
      <c r="P1704" s="11" t="n"/>
      <c r="Q1704" s="11" t="n"/>
      <c r="R1704" s="11" t="n"/>
      <c r="S1704" s="11" t="n"/>
      <c r="T1704" s="12" t="n"/>
    </row>
    <row r="1705">
      <c r="A1705" s="11" t="n"/>
      <c r="B1705" s="11" t="n"/>
      <c r="C1705" s="11" t="n"/>
      <c r="D1705" s="11" t="n"/>
      <c r="E1705" s="11" t="n"/>
      <c r="F1705" s="11" t="n"/>
      <c r="G1705" s="11" t="n"/>
      <c r="H1705" s="11" t="n"/>
      <c r="I1705" s="11" t="n"/>
      <c r="J1705" s="11" t="n"/>
      <c r="K1705" s="11" t="n"/>
      <c r="L1705" s="11" t="n"/>
      <c r="M1705" s="11" t="n"/>
      <c r="N1705" s="11" t="n"/>
      <c r="O1705" s="11" t="n"/>
      <c r="P1705" s="11" t="n"/>
      <c r="Q1705" s="11" t="n"/>
      <c r="R1705" s="11" t="n"/>
      <c r="S1705" s="11" t="n"/>
      <c r="T1705" s="12" t="n"/>
    </row>
    <row r="1706">
      <c r="A1706" s="11" t="n"/>
      <c r="B1706" s="11" t="n"/>
      <c r="C1706" s="11" t="n"/>
      <c r="D1706" s="11" t="n"/>
      <c r="E1706" s="11" t="n"/>
      <c r="F1706" s="11" t="n"/>
      <c r="G1706" s="11" t="n"/>
      <c r="H1706" s="11" t="n"/>
      <c r="I1706" s="11" t="n"/>
      <c r="J1706" s="11" t="n"/>
      <c r="K1706" s="11" t="n"/>
      <c r="L1706" s="11" t="n"/>
      <c r="M1706" s="11" t="n"/>
      <c r="N1706" s="11" t="n"/>
      <c r="O1706" s="11" t="n"/>
      <c r="P1706" s="11" t="n"/>
      <c r="Q1706" s="11" t="n"/>
      <c r="R1706" s="11" t="n"/>
      <c r="S1706" s="11" t="n"/>
      <c r="T1706" s="12" t="n"/>
    </row>
    <row r="1707">
      <c r="A1707" s="11" t="n"/>
      <c r="B1707" s="11" t="n"/>
      <c r="C1707" s="11" t="n"/>
      <c r="D1707" s="11" t="n"/>
      <c r="E1707" s="11" t="n"/>
      <c r="F1707" s="11" t="n"/>
      <c r="G1707" s="11" t="n"/>
      <c r="H1707" s="11" t="n"/>
      <c r="I1707" s="11" t="n"/>
      <c r="J1707" s="11" t="n"/>
      <c r="K1707" s="11" t="n"/>
      <c r="L1707" s="11" t="n"/>
      <c r="M1707" s="11" t="n"/>
      <c r="N1707" s="11" t="n"/>
      <c r="O1707" s="11" t="n"/>
      <c r="P1707" s="11" t="n"/>
      <c r="Q1707" s="11" t="n"/>
      <c r="R1707" s="11" t="n"/>
      <c r="S1707" s="11" t="n"/>
      <c r="T1707" s="12" t="n"/>
    </row>
    <row r="1708">
      <c r="A1708" s="11" t="n"/>
      <c r="B1708" s="11" t="n"/>
      <c r="C1708" s="11" t="n"/>
      <c r="D1708" s="11" t="n"/>
      <c r="E1708" s="11" t="n"/>
      <c r="F1708" s="11" t="n"/>
      <c r="G1708" s="11" t="n"/>
      <c r="H1708" s="11" t="n"/>
      <c r="I1708" s="11" t="n"/>
      <c r="J1708" s="11" t="n"/>
      <c r="K1708" s="11" t="n"/>
      <c r="L1708" s="11" t="n"/>
      <c r="M1708" s="11" t="n"/>
      <c r="N1708" s="11" t="n"/>
      <c r="O1708" s="11" t="n"/>
      <c r="P1708" s="11" t="n"/>
      <c r="Q1708" s="11" t="n"/>
      <c r="R1708" s="11" t="n"/>
      <c r="S1708" s="11" t="n"/>
      <c r="T1708" s="12" t="n"/>
    </row>
    <row r="1709">
      <c r="A1709" s="11" t="n"/>
      <c r="B1709" s="11" t="n"/>
      <c r="C1709" s="11" t="n"/>
      <c r="D1709" s="11" t="n"/>
      <c r="E1709" s="11" t="n"/>
      <c r="F1709" s="11" t="n"/>
      <c r="G1709" s="11" t="n"/>
      <c r="H1709" s="11" t="n"/>
      <c r="I1709" s="11" t="n"/>
      <c r="J1709" s="11" t="n"/>
      <c r="K1709" s="11" t="n"/>
      <c r="L1709" s="11" t="n"/>
      <c r="M1709" s="11" t="n"/>
      <c r="N1709" s="11" t="n"/>
      <c r="O1709" s="11" t="n"/>
      <c r="P1709" s="11" t="n"/>
      <c r="Q1709" s="11" t="n"/>
      <c r="R1709" s="11" t="n"/>
      <c r="S1709" s="11" t="n"/>
      <c r="T1709" s="12" t="n"/>
    </row>
    <row r="1710">
      <c r="A1710" s="11" t="n"/>
      <c r="B1710" s="11" t="n"/>
      <c r="C1710" s="11" t="n"/>
      <c r="D1710" s="11" t="n"/>
      <c r="E1710" s="11" t="n"/>
      <c r="F1710" s="11" t="n"/>
      <c r="G1710" s="11" t="n"/>
      <c r="H1710" s="11" t="n"/>
      <c r="I1710" s="11" t="n"/>
      <c r="J1710" s="11" t="n"/>
      <c r="K1710" s="11" t="n"/>
      <c r="L1710" s="11" t="n"/>
      <c r="M1710" s="11" t="n"/>
      <c r="N1710" s="11" t="n"/>
      <c r="O1710" s="11" t="n"/>
      <c r="P1710" s="11" t="n"/>
      <c r="Q1710" s="11" t="n"/>
      <c r="R1710" s="11" t="n"/>
      <c r="S1710" s="11" t="n"/>
      <c r="T1710" s="12" t="n"/>
    </row>
    <row r="1711">
      <c r="A1711" s="11" t="n"/>
      <c r="B1711" s="11" t="n"/>
      <c r="C1711" s="11" t="n"/>
      <c r="D1711" s="11" t="n"/>
      <c r="E1711" s="11" t="n"/>
      <c r="F1711" s="11" t="n"/>
      <c r="G1711" s="11" t="n"/>
      <c r="H1711" s="11" t="n"/>
      <c r="I1711" s="11" t="n"/>
      <c r="J1711" s="11" t="n"/>
      <c r="K1711" s="11" t="n"/>
      <c r="L1711" s="11" t="n"/>
      <c r="M1711" s="11" t="n"/>
      <c r="N1711" s="11" t="n"/>
      <c r="O1711" s="11" t="n"/>
      <c r="P1711" s="11" t="n"/>
      <c r="Q1711" s="11" t="n"/>
      <c r="R1711" s="11" t="n"/>
      <c r="S1711" s="11" t="n"/>
      <c r="T1711" s="12" t="n"/>
    </row>
    <row r="1712">
      <c r="A1712" s="11" t="n"/>
      <c r="B1712" s="11" t="n"/>
      <c r="C1712" s="11" t="n"/>
      <c r="D1712" s="11" t="n"/>
      <c r="E1712" s="11" t="n"/>
      <c r="F1712" s="11" t="n"/>
      <c r="G1712" s="11" t="n"/>
      <c r="H1712" s="11" t="n"/>
      <c r="I1712" s="11" t="n"/>
      <c r="J1712" s="11" t="n"/>
      <c r="K1712" s="11" t="n"/>
      <c r="L1712" s="11" t="n"/>
      <c r="M1712" s="11" t="n"/>
      <c r="N1712" s="11" t="n"/>
      <c r="O1712" s="11" t="n"/>
      <c r="P1712" s="11" t="n"/>
      <c r="Q1712" s="11" t="n"/>
      <c r="R1712" s="11" t="n"/>
      <c r="S1712" s="11" t="n"/>
      <c r="T1712" s="12" t="n"/>
    </row>
    <row r="1713">
      <c r="A1713" s="11" t="n"/>
      <c r="B1713" s="11" t="n"/>
      <c r="C1713" s="11" t="n"/>
      <c r="D1713" s="11" t="n"/>
      <c r="E1713" s="11" t="n"/>
      <c r="F1713" s="11" t="n"/>
      <c r="G1713" s="11" t="n"/>
      <c r="H1713" s="11" t="n"/>
      <c r="I1713" s="11" t="n"/>
      <c r="J1713" s="11" t="n"/>
      <c r="K1713" s="11" t="n"/>
      <c r="L1713" s="11" t="n"/>
      <c r="M1713" s="11" t="n"/>
      <c r="N1713" s="11" t="n"/>
      <c r="O1713" s="11" t="n"/>
      <c r="P1713" s="11" t="n"/>
      <c r="Q1713" s="11" t="n"/>
      <c r="R1713" s="11" t="n"/>
      <c r="S1713" s="11" t="n"/>
      <c r="T1713" s="12" t="n"/>
    </row>
    <row r="1714">
      <c r="A1714" s="11" t="n"/>
      <c r="B1714" s="11" t="n"/>
      <c r="C1714" s="11" t="n"/>
      <c r="D1714" s="11" t="n"/>
      <c r="E1714" s="11" t="n"/>
      <c r="F1714" s="11" t="n"/>
      <c r="G1714" s="11" t="n"/>
      <c r="H1714" s="11" t="n"/>
      <c r="I1714" s="11" t="n"/>
      <c r="J1714" s="11" t="n"/>
      <c r="K1714" s="11" t="n"/>
      <c r="L1714" s="11" t="n"/>
      <c r="M1714" s="11" t="n"/>
      <c r="N1714" s="11" t="n"/>
      <c r="O1714" s="11" t="n"/>
      <c r="P1714" s="11" t="n"/>
      <c r="Q1714" s="11" t="n"/>
      <c r="R1714" s="11" t="n"/>
      <c r="S1714" s="11" t="n"/>
      <c r="T1714" s="12" t="n"/>
    </row>
    <row r="1715">
      <c r="A1715" s="11" t="n"/>
      <c r="B1715" s="11" t="n"/>
      <c r="C1715" s="11" t="n"/>
      <c r="D1715" s="11" t="n"/>
      <c r="E1715" s="11" t="n"/>
      <c r="F1715" s="11" t="n"/>
      <c r="G1715" s="11" t="n"/>
      <c r="H1715" s="11" t="n"/>
      <c r="I1715" s="11" t="n"/>
      <c r="J1715" s="11" t="n"/>
      <c r="K1715" s="11" t="n"/>
      <c r="L1715" s="11" t="n"/>
      <c r="M1715" s="11" t="n"/>
      <c r="N1715" s="11" t="n"/>
      <c r="O1715" s="11" t="n"/>
      <c r="P1715" s="11" t="n"/>
      <c r="Q1715" s="11" t="n"/>
      <c r="R1715" s="11" t="n"/>
      <c r="S1715" s="11" t="n"/>
      <c r="T1715" s="12" t="n"/>
    </row>
    <row r="1716">
      <c r="A1716" s="11" t="n"/>
      <c r="B1716" s="11" t="n"/>
      <c r="C1716" s="11" t="n"/>
      <c r="D1716" s="11" t="n"/>
      <c r="E1716" s="11" t="n"/>
      <c r="F1716" s="11" t="n"/>
      <c r="G1716" s="11" t="n"/>
      <c r="H1716" s="11" t="n"/>
      <c r="I1716" s="11" t="n"/>
      <c r="J1716" s="11" t="n"/>
      <c r="K1716" s="11" t="n"/>
      <c r="L1716" s="11" t="n"/>
      <c r="M1716" s="11" t="n"/>
      <c r="N1716" s="11" t="n"/>
      <c r="O1716" s="11" t="n"/>
      <c r="P1716" s="11" t="n"/>
      <c r="Q1716" s="11" t="n"/>
      <c r="R1716" s="11" t="n"/>
      <c r="S1716" s="11" t="n"/>
      <c r="T1716" s="12" t="n"/>
    </row>
    <row r="1717">
      <c r="A1717" s="11" t="n"/>
      <c r="B1717" s="11" t="n"/>
      <c r="C1717" s="11" t="n"/>
      <c r="D1717" s="11" t="n"/>
      <c r="E1717" s="11" t="n"/>
      <c r="F1717" s="11" t="n"/>
      <c r="G1717" s="11" t="n"/>
      <c r="H1717" s="11" t="n"/>
      <c r="I1717" s="11" t="n"/>
      <c r="J1717" s="11" t="n"/>
      <c r="K1717" s="11" t="n"/>
      <c r="L1717" s="11" t="n"/>
      <c r="M1717" s="11" t="n"/>
      <c r="N1717" s="11" t="n"/>
      <c r="O1717" s="11" t="n"/>
      <c r="P1717" s="11" t="n"/>
      <c r="Q1717" s="11" t="n"/>
      <c r="R1717" s="11" t="n"/>
      <c r="S1717" s="11" t="n"/>
      <c r="T1717" s="12" t="n"/>
    </row>
    <row r="1718">
      <c r="A1718" s="11" t="n"/>
      <c r="B1718" s="11" t="n"/>
      <c r="C1718" s="11" t="n"/>
      <c r="D1718" s="11" t="n"/>
      <c r="E1718" s="11" t="n"/>
      <c r="F1718" s="11" t="n"/>
      <c r="G1718" s="11" t="n"/>
      <c r="H1718" s="11" t="n"/>
      <c r="I1718" s="11" t="n"/>
      <c r="J1718" s="11" t="n"/>
      <c r="K1718" s="11" t="n"/>
      <c r="L1718" s="11" t="n"/>
      <c r="M1718" s="11" t="n"/>
      <c r="N1718" s="11" t="n"/>
      <c r="O1718" s="11" t="n"/>
      <c r="P1718" s="11" t="n"/>
      <c r="Q1718" s="11" t="n"/>
      <c r="R1718" s="11" t="n"/>
      <c r="S1718" s="11" t="n"/>
      <c r="T1718" s="12" t="n"/>
    </row>
    <row r="1719">
      <c r="A1719" s="11" t="n"/>
      <c r="B1719" s="11" t="n"/>
      <c r="C1719" s="11" t="n"/>
      <c r="D1719" s="11" t="n"/>
      <c r="E1719" s="11" t="n"/>
      <c r="F1719" s="11" t="n"/>
      <c r="G1719" s="11" t="n"/>
      <c r="H1719" s="11" t="n"/>
      <c r="I1719" s="11" t="n"/>
      <c r="J1719" s="11" t="n"/>
      <c r="K1719" s="11" t="n"/>
      <c r="L1719" s="11" t="n"/>
      <c r="M1719" s="11" t="n"/>
      <c r="N1719" s="11" t="n"/>
      <c r="O1719" s="11" t="n"/>
      <c r="P1719" s="11" t="n"/>
      <c r="Q1719" s="11" t="n"/>
      <c r="R1719" s="11" t="n"/>
      <c r="S1719" s="11" t="n"/>
      <c r="T1719" s="12" t="n"/>
    </row>
    <row r="1720">
      <c r="A1720" s="11" t="n"/>
      <c r="B1720" s="11" t="n"/>
      <c r="C1720" s="11" t="n"/>
      <c r="D1720" s="11" t="n"/>
      <c r="E1720" s="11" t="n"/>
      <c r="F1720" s="11" t="n"/>
      <c r="G1720" s="11" t="n"/>
      <c r="H1720" s="11" t="n"/>
      <c r="I1720" s="11" t="n"/>
      <c r="J1720" s="11" t="n"/>
      <c r="K1720" s="11" t="n"/>
      <c r="L1720" s="11" t="n"/>
      <c r="M1720" s="11" t="n"/>
      <c r="N1720" s="11" t="n"/>
      <c r="O1720" s="11" t="n"/>
      <c r="P1720" s="11" t="n"/>
      <c r="Q1720" s="11" t="n"/>
      <c r="R1720" s="11" t="n"/>
      <c r="S1720" s="11" t="n"/>
      <c r="T1720" s="12" t="n"/>
    </row>
    <row r="1721">
      <c r="A1721" s="11" t="n"/>
      <c r="B1721" s="11" t="n"/>
      <c r="C1721" s="11" t="n"/>
      <c r="D1721" s="11" t="n"/>
      <c r="E1721" s="11" t="n"/>
      <c r="F1721" s="11" t="n"/>
      <c r="G1721" s="11" t="n"/>
      <c r="H1721" s="11" t="n"/>
      <c r="I1721" s="11" t="n"/>
      <c r="J1721" s="11" t="n"/>
      <c r="K1721" s="11" t="n"/>
      <c r="L1721" s="11" t="n"/>
      <c r="M1721" s="11" t="n"/>
      <c r="N1721" s="11" t="n"/>
      <c r="O1721" s="11" t="n"/>
      <c r="P1721" s="11" t="n"/>
      <c r="Q1721" s="11" t="n"/>
      <c r="R1721" s="11" t="n"/>
      <c r="S1721" s="11" t="n"/>
      <c r="T1721" s="12" t="n"/>
    </row>
    <row r="1722">
      <c r="A1722" s="11" t="n"/>
      <c r="B1722" s="11" t="n"/>
      <c r="C1722" s="11" t="n"/>
      <c r="D1722" s="11" t="n"/>
      <c r="E1722" s="11" t="n"/>
      <c r="F1722" s="11" t="n"/>
      <c r="G1722" s="11" t="n"/>
      <c r="H1722" s="11" t="n"/>
      <c r="I1722" s="11" t="n"/>
      <c r="J1722" s="11" t="n"/>
      <c r="K1722" s="11" t="n"/>
      <c r="L1722" s="11" t="n"/>
      <c r="M1722" s="11" t="n"/>
      <c r="N1722" s="11" t="n"/>
      <c r="O1722" s="11" t="n"/>
      <c r="P1722" s="11" t="n"/>
      <c r="Q1722" s="11" t="n"/>
      <c r="R1722" s="11" t="n"/>
      <c r="S1722" s="11" t="n"/>
      <c r="T1722" s="12" t="n"/>
    </row>
    <row r="1723">
      <c r="A1723" s="11" t="n"/>
      <c r="B1723" s="11" t="n"/>
      <c r="C1723" s="11" t="n"/>
      <c r="D1723" s="11" t="n"/>
      <c r="E1723" s="11" t="n"/>
      <c r="F1723" s="11" t="n"/>
      <c r="G1723" s="11" t="n"/>
      <c r="H1723" s="11" t="n"/>
      <c r="I1723" s="11" t="n"/>
      <c r="J1723" s="11" t="n"/>
      <c r="K1723" s="11" t="n"/>
      <c r="L1723" s="11" t="n"/>
      <c r="M1723" s="11" t="n"/>
      <c r="N1723" s="11" t="n"/>
      <c r="O1723" s="11" t="n"/>
      <c r="P1723" s="11" t="n"/>
      <c r="Q1723" s="11" t="n"/>
      <c r="R1723" s="11" t="n"/>
      <c r="S1723" s="11" t="n"/>
      <c r="T1723" s="12" t="n"/>
    </row>
    <row r="1724">
      <c r="A1724" s="11" t="n"/>
      <c r="B1724" s="11" t="n"/>
      <c r="C1724" s="11" t="n"/>
      <c r="D1724" s="11" t="n"/>
      <c r="E1724" s="11" t="n"/>
      <c r="F1724" s="11" t="n"/>
      <c r="G1724" s="11" t="n"/>
      <c r="H1724" s="11" t="n"/>
      <c r="I1724" s="11" t="n"/>
      <c r="J1724" s="11" t="n"/>
      <c r="K1724" s="11" t="n"/>
      <c r="L1724" s="11" t="n"/>
      <c r="M1724" s="11" t="n"/>
      <c r="N1724" s="11" t="n"/>
      <c r="O1724" s="11" t="n"/>
      <c r="P1724" s="11" t="n"/>
      <c r="Q1724" s="11" t="n"/>
      <c r="R1724" s="11" t="n"/>
      <c r="S1724" s="11" t="n"/>
      <c r="T1724" s="12" t="n"/>
    </row>
    <row r="1725">
      <c r="A1725" s="11" t="n"/>
      <c r="B1725" s="11" t="n"/>
      <c r="C1725" s="11" t="n"/>
      <c r="D1725" s="11" t="n"/>
      <c r="E1725" s="11" t="n"/>
      <c r="F1725" s="11" t="n"/>
      <c r="G1725" s="11" t="n"/>
      <c r="H1725" s="11" t="n"/>
      <c r="I1725" s="11" t="n"/>
      <c r="J1725" s="11" t="n"/>
      <c r="K1725" s="11" t="n"/>
      <c r="L1725" s="11" t="n"/>
      <c r="M1725" s="11" t="n"/>
      <c r="N1725" s="11" t="n"/>
      <c r="O1725" s="11" t="n"/>
      <c r="P1725" s="11" t="n"/>
      <c r="Q1725" s="11" t="n"/>
      <c r="R1725" s="11" t="n"/>
      <c r="S1725" s="11" t="n"/>
      <c r="T1725" s="12" t="n"/>
    </row>
    <row r="1726">
      <c r="A1726" s="11" t="n"/>
      <c r="B1726" s="11" t="n"/>
      <c r="C1726" s="11" t="n"/>
      <c r="D1726" s="11" t="n"/>
      <c r="E1726" s="11" t="n"/>
      <c r="F1726" s="11" t="n"/>
      <c r="G1726" s="11" t="n"/>
      <c r="H1726" s="11" t="n"/>
      <c r="I1726" s="11" t="n"/>
      <c r="J1726" s="11" t="n"/>
      <c r="K1726" s="11" t="n"/>
      <c r="L1726" s="11" t="n"/>
      <c r="M1726" s="11" t="n"/>
      <c r="N1726" s="11" t="n"/>
      <c r="O1726" s="11" t="n"/>
      <c r="P1726" s="11" t="n"/>
      <c r="Q1726" s="11" t="n"/>
      <c r="R1726" s="11" t="n"/>
      <c r="S1726" s="11" t="n"/>
      <c r="T1726" s="12" t="n"/>
    </row>
    <row r="1727">
      <c r="A1727" s="11" t="n"/>
      <c r="B1727" s="11" t="n"/>
      <c r="C1727" s="11" t="n"/>
      <c r="D1727" s="11" t="n"/>
      <c r="E1727" s="11" t="n"/>
      <c r="F1727" s="11" t="n"/>
      <c r="G1727" s="11" t="n"/>
      <c r="H1727" s="11" t="n"/>
      <c r="I1727" s="11" t="n"/>
      <c r="J1727" s="11" t="n"/>
      <c r="K1727" s="11" t="n"/>
      <c r="L1727" s="11" t="n"/>
      <c r="M1727" s="11" t="n"/>
      <c r="N1727" s="11" t="n"/>
      <c r="O1727" s="11" t="n"/>
      <c r="P1727" s="11" t="n"/>
      <c r="Q1727" s="11" t="n"/>
      <c r="R1727" s="11" t="n"/>
      <c r="S1727" s="11" t="n"/>
      <c r="T1727" s="12" t="n"/>
    </row>
    <row r="1728">
      <c r="A1728" s="11" t="n"/>
      <c r="B1728" s="11" t="n"/>
      <c r="C1728" s="11" t="n"/>
      <c r="D1728" s="11" t="n"/>
      <c r="E1728" s="11" t="n"/>
      <c r="F1728" s="11" t="n"/>
      <c r="G1728" s="11" t="n"/>
      <c r="H1728" s="11" t="n"/>
      <c r="I1728" s="11" t="n"/>
      <c r="J1728" s="11" t="n"/>
      <c r="K1728" s="11" t="n"/>
      <c r="L1728" s="11" t="n"/>
      <c r="M1728" s="11" t="n"/>
      <c r="N1728" s="11" t="n"/>
      <c r="O1728" s="11" t="n"/>
      <c r="P1728" s="11" t="n"/>
      <c r="Q1728" s="11" t="n"/>
      <c r="R1728" s="11" t="n"/>
      <c r="S1728" s="11" t="n"/>
      <c r="T1728" s="12" t="n"/>
    </row>
    <row r="1729">
      <c r="A1729" s="11" t="n"/>
      <c r="B1729" s="11" t="n"/>
      <c r="C1729" s="11" t="n"/>
      <c r="D1729" s="11" t="n"/>
      <c r="E1729" s="11" t="n"/>
      <c r="F1729" s="11" t="n"/>
      <c r="G1729" s="11" t="n"/>
      <c r="H1729" s="11" t="n"/>
      <c r="I1729" s="11" t="n"/>
      <c r="J1729" s="11" t="n"/>
      <c r="K1729" s="11" t="n"/>
      <c r="L1729" s="11" t="n"/>
      <c r="M1729" s="11" t="n"/>
      <c r="N1729" s="11" t="n"/>
      <c r="O1729" s="11" t="n"/>
      <c r="P1729" s="11" t="n"/>
      <c r="Q1729" s="11" t="n"/>
      <c r="R1729" s="11" t="n"/>
      <c r="S1729" s="11" t="n"/>
      <c r="T1729" s="12" t="n"/>
    </row>
    <row r="1730">
      <c r="A1730" s="11" t="n"/>
      <c r="B1730" s="11" t="n"/>
      <c r="C1730" s="11" t="n"/>
      <c r="D1730" s="11" t="n"/>
      <c r="E1730" s="11" t="n"/>
      <c r="F1730" s="11" t="n"/>
      <c r="G1730" s="11" t="n"/>
      <c r="H1730" s="11" t="n"/>
      <c r="I1730" s="11" t="n"/>
      <c r="J1730" s="11" t="n"/>
      <c r="K1730" s="11" t="n"/>
      <c r="L1730" s="11" t="n"/>
      <c r="M1730" s="11" t="n"/>
      <c r="N1730" s="11" t="n"/>
      <c r="O1730" s="11" t="n"/>
      <c r="P1730" s="11" t="n"/>
      <c r="Q1730" s="11" t="n"/>
      <c r="R1730" s="11" t="n"/>
      <c r="S1730" s="11" t="n"/>
      <c r="T1730" s="12" t="n"/>
    </row>
    <row r="1731">
      <c r="A1731" s="11" t="n"/>
      <c r="B1731" s="11" t="n"/>
      <c r="C1731" s="11" t="n"/>
      <c r="D1731" s="11" t="n"/>
      <c r="E1731" s="11" t="n"/>
      <c r="F1731" s="11" t="n"/>
      <c r="G1731" s="11" t="n"/>
      <c r="H1731" s="11" t="n"/>
      <c r="I1731" s="11" t="n"/>
      <c r="J1731" s="11" t="n"/>
      <c r="K1731" s="11" t="n"/>
      <c r="L1731" s="11" t="n"/>
      <c r="M1731" s="11" t="n"/>
      <c r="N1731" s="11" t="n"/>
      <c r="O1731" s="11" t="n"/>
      <c r="P1731" s="11" t="n"/>
      <c r="Q1731" s="11" t="n"/>
      <c r="R1731" s="11" t="n"/>
      <c r="S1731" s="11" t="n"/>
      <c r="T1731" s="12" t="n"/>
    </row>
    <row r="1732">
      <c r="A1732" s="11" t="n"/>
      <c r="B1732" s="11" t="n"/>
      <c r="C1732" s="11" t="n"/>
      <c r="D1732" s="11" t="n"/>
      <c r="E1732" s="11" t="n"/>
      <c r="F1732" s="11" t="n"/>
      <c r="G1732" s="11" t="n"/>
      <c r="H1732" s="11" t="n"/>
      <c r="I1732" s="11" t="n"/>
      <c r="J1732" s="11" t="n"/>
      <c r="K1732" s="11" t="n"/>
      <c r="L1732" s="11" t="n"/>
      <c r="M1732" s="11" t="n"/>
      <c r="N1732" s="11" t="n"/>
      <c r="O1732" s="11" t="n"/>
      <c r="P1732" s="11" t="n"/>
      <c r="Q1732" s="11" t="n"/>
      <c r="R1732" s="11" t="n"/>
      <c r="S1732" s="11" t="n"/>
      <c r="T1732" s="12" t="n"/>
    </row>
    <row r="1733">
      <c r="A1733" s="11" t="n"/>
      <c r="B1733" s="11" t="n"/>
      <c r="C1733" s="11" t="n"/>
      <c r="D1733" s="11" t="n"/>
      <c r="E1733" s="11" t="n"/>
      <c r="F1733" s="11" t="n"/>
      <c r="G1733" s="11" t="n"/>
      <c r="H1733" s="11" t="n"/>
      <c r="I1733" s="11" t="n"/>
      <c r="J1733" s="11" t="n"/>
      <c r="K1733" s="11" t="n"/>
      <c r="L1733" s="11" t="n"/>
      <c r="M1733" s="11" t="n"/>
      <c r="N1733" s="11" t="n"/>
      <c r="O1733" s="11" t="n"/>
      <c r="P1733" s="11" t="n"/>
      <c r="Q1733" s="11" t="n"/>
      <c r="R1733" s="11" t="n"/>
      <c r="S1733" s="11" t="n"/>
      <c r="T1733" s="12" t="n"/>
    </row>
    <row r="1734">
      <c r="A1734" s="11" t="n"/>
      <c r="B1734" s="11" t="n"/>
      <c r="C1734" s="11" t="n"/>
      <c r="D1734" s="11" t="n"/>
      <c r="E1734" s="11" t="n"/>
      <c r="F1734" s="11" t="n"/>
      <c r="G1734" s="11" t="n"/>
      <c r="H1734" s="11" t="n"/>
      <c r="I1734" s="11" t="n"/>
      <c r="J1734" s="11" t="n"/>
      <c r="K1734" s="11" t="n"/>
      <c r="L1734" s="11" t="n"/>
      <c r="M1734" s="11" t="n"/>
      <c r="N1734" s="11" t="n"/>
      <c r="O1734" s="11" t="n"/>
      <c r="P1734" s="11" t="n"/>
      <c r="Q1734" s="11" t="n"/>
      <c r="R1734" s="11" t="n"/>
      <c r="S1734" s="11" t="n"/>
      <c r="T1734" s="12" t="n"/>
    </row>
    <row r="1735">
      <c r="A1735" s="11" t="n"/>
      <c r="B1735" s="11" t="n"/>
      <c r="C1735" s="11" t="n"/>
      <c r="D1735" s="11" t="n"/>
      <c r="E1735" s="11" t="n"/>
      <c r="F1735" s="11" t="n"/>
      <c r="G1735" s="11" t="n"/>
      <c r="H1735" s="11" t="n"/>
      <c r="I1735" s="11" t="n"/>
      <c r="J1735" s="11" t="n"/>
      <c r="K1735" s="11" t="n"/>
      <c r="L1735" s="11" t="n"/>
      <c r="M1735" s="11" t="n"/>
      <c r="N1735" s="11" t="n"/>
      <c r="O1735" s="11" t="n"/>
      <c r="P1735" s="11" t="n"/>
      <c r="Q1735" s="11" t="n"/>
      <c r="R1735" s="11" t="n"/>
      <c r="S1735" s="11" t="n"/>
      <c r="T1735" s="12" t="n"/>
    </row>
    <row r="1736">
      <c r="A1736" s="11" t="n"/>
      <c r="B1736" s="11" t="n"/>
      <c r="C1736" s="11" t="n"/>
      <c r="D1736" s="11" t="n"/>
      <c r="E1736" s="11" t="n"/>
      <c r="F1736" s="11" t="n"/>
      <c r="G1736" s="11" t="n"/>
      <c r="H1736" s="11" t="n"/>
      <c r="I1736" s="11" t="n"/>
      <c r="J1736" s="11" t="n"/>
      <c r="K1736" s="11" t="n"/>
      <c r="L1736" s="11" t="n"/>
      <c r="M1736" s="11" t="n"/>
      <c r="N1736" s="11" t="n"/>
      <c r="O1736" s="11" t="n"/>
      <c r="P1736" s="11" t="n"/>
      <c r="Q1736" s="11" t="n"/>
      <c r="R1736" s="11" t="n"/>
      <c r="S1736" s="11" t="n"/>
      <c r="T1736" s="12" t="n"/>
    </row>
    <row r="1737">
      <c r="A1737" s="11" t="n"/>
      <c r="B1737" s="11" t="n"/>
      <c r="C1737" s="11" t="n"/>
      <c r="D1737" s="11" t="n"/>
      <c r="E1737" s="11" t="n"/>
      <c r="F1737" s="11" t="n"/>
      <c r="G1737" s="11" t="n"/>
      <c r="H1737" s="11" t="n"/>
      <c r="I1737" s="11" t="n"/>
      <c r="J1737" s="11" t="n"/>
      <c r="K1737" s="11" t="n"/>
      <c r="L1737" s="11" t="n"/>
      <c r="M1737" s="11" t="n"/>
      <c r="N1737" s="11" t="n"/>
      <c r="O1737" s="11" t="n"/>
      <c r="P1737" s="11" t="n"/>
      <c r="Q1737" s="11" t="n"/>
      <c r="R1737" s="11" t="n"/>
      <c r="S1737" s="11" t="n"/>
      <c r="T1737" s="12" t="n"/>
    </row>
    <row r="1738">
      <c r="A1738" s="11" t="n"/>
      <c r="B1738" s="11" t="n"/>
      <c r="C1738" s="11" t="n"/>
      <c r="D1738" s="11" t="n"/>
      <c r="E1738" s="11" t="n"/>
      <c r="F1738" s="11" t="n"/>
      <c r="G1738" s="11" t="n"/>
      <c r="H1738" s="11" t="n"/>
      <c r="I1738" s="11" t="n"/>
      <c r="J1738" s="11" t="n"/>
      <c r="K1738" s="11" t="n"/>
      <c r="L1738" s="11" t="n"/>
      <c r="M1738" s="11" t="n"/>
      <c r="N1738" s="11" t="n"/>
      <c r="O1738" s="11" t="n"/>
      <c r="P1738" s="11" t="n"/>
      <c r="Q1738" s="11" t="n"/>
      <c r="R1738" s="11" t="n"/>
      <c r="S1738" s="11" t="n"/>
      <c r="T1738" s="12" t="n"/>
    </row>
    <row r="1739">
      <c r="A1739" s="11" t="n"/>
      <c r="B1739" s="11" t="n"/>
      <c r="C1739" s="11" t="n"/>
      <c r="D1739" s="11" t="n"/>
      <c r="E1739" s="11" t="n"/>
      <c r="F1739" s="11" t="n"/>
      <c r="G1739" s="11" t="n"/>
      <c r="H1739" s="11" t="n"/>
      <c r="I1739" s="11" t="n"/>
      <c r="J1739" s="11" t="n"/>
      <c r="K1739" s="11" t="n"/>
      <c r="L1739" s="11" t="n"/>
      <c r="M1739" s="11" t="n"/>
      <c r="N1739" s="11" t="n"/>
      <c r="O1739" s="11" t="n"/>
      <c r="P1739" s="11" t="n"/>
      <c r="Q1739" s="11" t="n"/>
      <c r="R1739" s="11" t="n"/>
      <c r="S1739" s="11" t="n"/>
      <c r="T1739" s="12" t="n"/>
    </row>
    <row r="1740">
      <c r="A1740" s="11" t="n"/>
      <c r="B1740" s="11" t="n"/>
      <c r="C1740" s="11" t="n"/>
      <c r="D1740" s="11" t="n"/>
      <c r="E1740" s="11" t="n"/>
      <c r="F1740" s="11" t="n"/>
      <c r="G1740" s="11" t="n"/>
      <c r="H1740" s="11" t="n"/>
      <c r="I1740" s="11" t="n"/>
      <c r="J1740" s="11" t="n"/>
      <c r="K1740" s="11" t="n"/>
      <c r="L1740" s="11" t="n"/>
      <c r="M1740" s="11" t="n"/>
      <c r="N1740" s="11" t="n"/>
      <c r="O1740" s="11" t="n"/>
      <c r="P1740" s="11" t="n"/>
      <c r="Q1740" s="11" t="n"/>
      <c r="R1740" s="11" t="n"/>
      <c r="S1740" s="11" t="n"/>
      <c r="T1740" s="12" t="n"/>
    </row>
    <row r="1741">
      <c r="A1741" s="11" t="n"/>
      <c r="B1741" s="11" t="n"/>
      <c r="C1741" s="11" t="n"/>
      <c r="D1741" s="11" t="n"/>
      <c r="E1741" s="11" t="n"/>
      <c r="F1741" s="11" t="n"/>
      <c r="G1741" s="11" t="n"/>
      <c r="H1741" s="11" t="n"/>
      <c r="I1741" s="11" t="n"/>
      <c r="J1741" s="11" t="n"/>
      <c r="K1741" s="11" t="n"/>
      <c r="L1741" s="11" t="n"/>
      <c r="M1741" s="11" t="n"/>
      <c r="N1741" s="11" t="n"/>
      <c r="O1741" s="11" t="n"/>
      <c r="P1741" s="11" t="n"/>
      <c r="Q1741" s="11" t="n"/>
      <c r="R1741" s="11" t="n"/>
      <c r="S1741" s="11" t="n"/>
      <c r="T1741" s="12" t="n"/>
    </row>
    <row r="1742">
      <c r="A1742" s="11" t="n"/>
      <c r="B1742" s="11" t="n"/>
      <c r="C1742" s="11" t="n"/>
      <c r="D1742" s="11" t="n"/>
      <c r="E1742" s="11" t="n"/>
      <c r="F1742" s="11" t="n"/>
      <c r="G1742" s="11" t="n"/>
      <c r="H1742" s="11" t="n"/>
      <c r="I1742" s="11" t="n"/>
      <c r="J1742" s="11" t="n"/>
      <c r="K1742" s="11" t="n"/>
      <c r="L1742" s="11" t="n"/>
      <c r="M1742" s="11" t="n"/>
      <c r="N1742" s="11" t="n"/>
      <c r="O1742" s="11" t="n"/>
      <c r="P1742" s="11" t="n"/>
      <c r="Q1742" s="11" t="n"/>
      <c r="R1742" s="11" t="n"/>
      <c r="S1742" s="11" t="n"/>
      <c r="T1742" s="12" t="n"/>
    </row>
    <row r="1743">
      <c r="A1743" s="11" t="n"/>
      <c r="B1743" s="11" t="n"/>
      <c r="C1743" s="11" t="n"/>
      <c r="D1743" s="11" t="n"/>
      <c r="E1743" s="11" t="n"/>
      <c r="F1743" s="11" t="n"/>
      <c r="G1743" s="11" t="n"/>
      <c r="H1743" s="11" t="n"/>
      <c r="I1743" s="11" t="n"/>
      <c r="J1743" s="11" t="n"/>
      <c r="K1743" s="11" t="n"/>
      <c r="L1743" s="11" t="n"/>
      <c r="M1743" s="11" t="n"/>
      <c r="N1743" s="11" t="n"/>
      <c r="O1743" s="11" t="n"/>
      <c r="P1743" s="11" t="n"/>
      <c r="Q1743" s="11" t="n"/>
      <c r="R1743" s="11" t="n"/>
      <c r="S1743" s="11" t="n"/>
      <c r="T1743" s="12" t="n"/>
    </row>
    <row r="1744">
      <c r="A1744" s="11" t="n"/>
      <c r="B1744" s="11" t="n"/>
      <c r="C1744" s="11" t="n"/>
      <c r="D1744" s="11" t="n"/>
      <c r="E1744" s="11" t="n"/>
      <c r="F1744" s="11" t="n"/>
      <c r="G1744" s="11" t="n"/>
      <c r="H1744" s="11" t="n"/>
      <c r="I1744" s="11" t="n"/>
      <c r="J1744" s="11" t="n"/>
      <c r="K1744" s="11" t="n"/>
      <c r="L1744" s="11" t="n"/>
      <c r="M1744" s="11" t="n"/>
      <c r="N1744" s="11" t="n"/>
      <c r="O1744" s="11" t="n"/>
      <c r="P1744" s="11" t="n"/>
      <c r="Q1744" s="11" t="n"/>
      <c r="R1744" s="11" t="n"/>
      <c r="S1744" s="11" t="n"/>
      <c r="T1744" s="12" t="n"/>
    </row>
    <row r="1745">
      <c r="A1745" s="11" t="n"/>
      <c r="B1745" s="11" t="n"/>
      <c r="C1745" s="11" t="n"/>
      <c r="D1745" s="11" t="n"/>
      <c r="E1745" s="11" t="n"/>
      <c r="F1745" s="11" t="n"/>
      <c r="G1745" s="11" t="n"/>
      <c r="H1745" s="11" t="n"/>
      <c r="I1745" s="11" t="n"/>
      <c r="J1745" s="11" t="n"/>
      <c r="K1745" s="11" t="n"/>
      <c r="L1745" s="11" t="n"/>
      <c r="M1745" s="11" t="n"/>
      <c r="N1745" s="11" t="n"/>
      <c r="O1745" s="11" t="n"/>
      <c r="P1745" s="11" t="n"/>
      <c r="Q1745" s="11" t="n"/>
      <c r="R1745" s="11" t="n"/>
      <c r="S1745" s="11" t="n"/>
      <c r="T1745" s="12" t="n"/>
    </row>
    <row r="1746">
      <c r="A1746" s="11" t="n"/>
      <c r="B1746" s="11" t="n"/>
      <c r="C1746" s="11" t="n"/>
      <c r="D1746" s="11" t="n"/>
      <c r="E1746" s="11" t="n"/>
      <c r="F1746" s="11" t="n"/>
      <c r="G1746" s="11" t="n"/>
      <c r="H1746" s="11" t="n"/>
      <c r="I1746" s="11" t="n"/>
      <c r="J1746" s="11" t="n"/>
      <c r="K1746" s="11" t="n"/>
      <c r="L1746" s="11" t="n"/>
      <c r="M1746" s="11" t="n"/>
      <c r="N1746" s="11" t="n"/>
      <c r="O1746" s="11" t="n"/>
      <c r="P1746" s="11" t="n"/>
      <c r="Q1746" s="11" t="n"/>
      <c r="R1746" s="11" t="n"/>
      <c r="S1746" s="11" t="n"/>
      <c r="T1746" s="12" t="n"/>
    </row>
    <row r="1747">
      <c r="A1747" s="11" t="n"/>
      <c r="B1747" s="11" t="n"/>
      <c r="C1747" s="11" t="n"/>
      <c r="D1747" s="11" t="n"/>
      <c r="E1747" s="11" t="n"/>
      <c r="F1747" s="11" t="n"/>
      <c r="G1747" s="11" t="n"/>
      <c r="H1747" s="11" t="n"/>
      <c r="I1747" s="11" t="n"/>
      <c r="J1747" s="11" t="n"/>
      <c r="K1747" s="11" t="n"/>
      <c r="L1747" s="11" t="n"/>
      <c r="M1747" s="11" t="n"/>
      <c r="N1747" s="11" t="n"/>
      <c r="O1747" s="11" t="n"/>
      <c r="P1747" s="11" t="n"/>
      <c r="Q1747" s="11" t="n"/>
      <c r="R1747" s="11" t="n"/>
      <c r="S1747" s="11" t="n"/>
      <c r="T1747" s="12" t="n"/>
    </row>
    <row r="1748">
      <c r="A1748" s="11" t="n"/>
      <c r="B1748" s="11" t="n"/>
      <c r="C1748" s="11" t="n"/>
      <c r="D1748" s="11" t="n"/>
      <c r="E1748" s="11" t="n"/>
      <c r="F1748" s="11" t="n"/>
      <c r="G1748" s="11" t="n"/>
      <c r="H1748" s="11" t="n"/>
      <c r="I1748" s="11" t="n"/>
      <c r="J1748" s="11" t="n"/>
      <c r="K1748" s="11" t="n"/>
      <c r="L1748" s="11" t="n"/>
      <c r="M1748" s="11" t="n"/>
      <c r="N1748" s="11" t="n"/>
      <c r="O1748" s="11" t="n"/>
      <c r="P1748" s="11" t="n"/>
      <c r="Q1748" s="11" t="n"/>
      <c r="R1748" s="11" t="n"/>
      <c r="S1748" s="11" t="n"/>
      <c r="T1748" s="12" t="n"/>
    </row>
    <row r="1749">
      <c r="A1749" s="11" t="n"/>
      <c r="B1749" s="11" t="n"/>
      <c r="C1749" s="11" t="n"/>
      <c r="D1749" s="11" t="n"/>
      <c r="E1749" s="11" t="n"/>
      <c r="F1749" s="11" t="n"/>
      <c r="G1749" s="11" t="n"/>
      <c r="H1749" s="11" t="n"/>
      <c r="I1749" s="11" t="n"/>
      <c r="J1749" s="11" t="n"/>
      <c r="K1749" s="11" t="n"/>
      <c r="L1749" s="11" t="n"/>
      <c r="M1749" s="11" t="n"/>
      <c r="N1749" s="11" t="n"/>
      <c r="O1749" s="11" t="n"/>
      <c r="P1749" s="11" t="n"/>
      <c r="Q1749" s="11" t="n"/>
      <c r="R1749" s="11" t="n"/>
      <c r="S1749" s="11" t="n"/>
      <c r="T1749" s="12" t="n"/>
    </row>
    <row r="1750">
      <c r="A1750" s="11" t="n"/>
      <c r="B1750" s="11" t="n"/>
      <c r="C1750" s="11" t="n"/>
      <c r="D1750" s="11" t="n"/>
      <c r="E1750" s="11" t="n"/>
      <c r="F1750" s="11" t="n"/>
      <c r="G1750" s="11" t="n"/>
      <c r="H1750" s="11" t="n"/>
      <c r="I1750" s="11" t="n"/>
      <c r="J1750" s="11" t="n"/>
      <c r="K1750" s="11" t="n"/>
      <c r="L1750" s="11" t="n"/>
      <c r="M1750" s="11" t="n"/>
      <c r="N1750" s="11" t="n"/>
      <c r="O1750" s="11" t="n"/>
      <c r="P1750" s="11" t="n"/>
      <c r="Q1750" s="11" t="n"/>
      <c r="R1750" s="11" t="n"/>
      <c r="S1750" s="11" t="n"/>
      <c r="T1750" s="12" t="n"/>
    </row>
    <row r="1751">
      <c r="A1751" s="11" t="n"/>
      <c r="B1751" s="11" t="n"/>
      <c r="C1751" s="11" t="n"/>
      <c r="D1751" s="11" t="n"/>
      <c r="E1751" s="11" t="n"/>
      <c r="F1751" s="11" t="n"/>
      <c r="G1751" s="11" t="n"/>
      <c r="H1751" s="11" t="n"/>
      <c r="I1751" s="11" t="n"/>
      <c r="J1751" s="11" t="n"/>
      <c r="K1751" s="11" t="n"/>
      <c r="L1751" s="11" t="n"/>
      <c r="M1751" s="11" t="n"/>
      <c r="N1751" s="11" t="n"/>
      <c r="O1751" s="11" t="n"/>
      <c r="P1751" s="11" t="n"/>
      <c r="Q1751" s="11" t="n"/>
      <c r="R1751" s="11" t="n"/>
      <c r="S1751" s="11" t="n"/>
      <c r="T1751" s="12" t="n"/>
    </row>
    <row r="1752">
      <c r="A1752" s="11" t="n"/>
      <c r="B1752" s="11" t="n"/>
      <c r="C1752" s="11" t="n"/>
      <c r="D1752" s="11" t="n"/>
      <c r="E1752" s="11" t="n"/>
      <c r="F1752" s="11" t="n"/>
      <c r="G1752" s="11" t="n"/>
      <c r="H1752" s="11" t="n"/>
      <c r="I1752" s="11" t="n"/>
      <c r="J1752" s="11" t="n"/>
      <c r="K1752" s="11" t="n"/>
      <c r="L1752" s="11" t="n"/>
      <c r="M1752" s="11" t="n"/>
      <c r="N1752" s="11" t="n"/>
      <c r="O1752" s="11" t="n"/>
      <c r="P1752" s="11" t="n"/>
      <c r="Q1752" s="11" t="n"/>
      <c r="R1752" s="11" t="n"/>
      <c r="S1752" s="11" t="n"/>
      <c r="T1752" s="12" t="n"/>
    </row>
    <row r="1753">
      <c r="A1753" s="11" t="n"/>
      <c r="B1753" s="11" t="n"/>
      <c r="C1753" s="11" t="n"/>
      <c r="D1753" s="11" t="n"/>
      <c r="E1753" s="11" t="n"/>
      <c r="F1753" s="11" t="n"/>
      <c r="G1753" s="11" t="n"/>
      <c r="H1753" s="11" t="n"/>
      <c r="I1753" s="11" t="n"/>
      <c r="J1753" s="11" t="n"/>
      <c r="K1753" s="11" t="n"/>
      <c r="L1753" s="11" t="n"/>
      <c r="M1753" s="11" t="n"/>
      <c r="N1753" s="11" t="n"/>
      <c r="O1753" s="11" t="n"/>
      <c r="P1753" s="11" t="n"/>
      <c r="Q1753" s="11" t="n"/>
      <c r="R1753" s="11" t="n"/>
      <c r="S1753" s="11" t="n"/>
      <c r="T1753" s="12" t="n"/>
    </row>
    <row r="1754">
      <c r="A1754" s="11" t="n"/>
      <c r="B1754" s="11" t="n"/>
      <c r="C1754" s="11" t="n"/>
      <c r="D1754" s="11" t="n"/>
      <c r="E1754" s="11" t="n"/>
      <c r="F1754" s="11" t="n"/>
      <c r="G1754" s="11" t="n"/>
      <c r="H1754" s="11" t="n"/>
      <c r="I1754" s="11" t="n"/>
      <c r="J1754" s="11" t="n"/>
      <c r="K1754" s="11" t="n"/>
      <c r="L1754" s="11" t="n"/>
      <c r="M1754" s="11" t="n"/>
      <c r="N1754" s="11" t="n"/>
      <c r="O1754" s="11" t="n"/>
      <c r="P1754" s="11" t="n"/>
      <c r="Q1754" s="11" t="n"/>
      <c r="R1754" s="11" t="n"/>
      <c r="S1754" s="11" t="n"/>
      <c r="T1754" s="12" t="n"/>
    </row>
    <row r="1755">
      <c r="A1755" s="11" t="n"/>
      <c r="B1755" s="11" t="n"/>
      <c r="C1755" s="11" t="n"/>
      <c r="D1755" s="11" t="n"/>
      <c r="E1755" s="11" t="n"/>
      <c r="F1755" s="11" t="n"/>
      <c r="G1755" s="11" t="n"/>
      <c r="H1755" s="11" t="n"/>
      <c r="I1755" s="11" t="n"/>
      <c r="J1755" s="11" t="n"/>
      <c r="K1755" s="11" t="n"/>
      <c r="L1755" s="11" t="n"/>
      <c r="M1755" s="11" t="n"/>
      <c r="N1755" s="11" t="n"/>
      <c r="O1755" s="11" t="n"/>
      <c r="P1755" s="11" t="n"/>
      <c r="Q1755" s="11" t="n"/>
      <c r="R1755" s="11" t="n"/>
      <c r="S1755" s="11" t="n"/>
      <c r="T1755" s="12" t="n"/>
    </row>
    <row r="1756">
      <c r="A1756" s="11" t="n"/>
      <c r="B1756" s="11" t="n"/>
      <c r="C1756" s="11" t="n"/>
      <c r="D1756" s="11" t="n"/>
      <c r="E1756" s="11" t="n"/>
      <c r="F1756" s="11" t="n"/>
      <c r="G1756" s="11" t="n"/>
      <c r="H1756" s="11" t="n"/>
      <c r="I1756" s="11" t="n"/>
      <c r="J1756" s="11" t="n"/>
      <c r="K1756" s="11" t="n"/>
      <c r="L1756" s="11" t="n"/>
      <c r="M1756" s="11" t="n"/>
      <c r="N1756" s="11" t="n"/>
      <c r="O1756" s="11" t="n"/>
      <c r="P1756" s="11" t="n"/>
      <c r="Q1756" s="11" t="n"/>
      <c r="R1756" s="11" t="n"/>
      <c r="S1756" s="11" t="n"/>
      <c r="T1756" s="12" t="n"/>
    </row>
    <row r="1757">
      <c r="A1757" s="11" t="n"/>
      <c r="B1757" s="11" t="n"/>
      <c r="C1757" s="11" t="n"/>
      <c r="D1757" s="11" t="n"/>
      <c r="E1757" s="11" t="n"/>
      <c r="F1757" s="11" t="n"/>
      <c r="G1757" s="11" t="n"/>
      <c r="H1757" s="11" t="n"/>
      <c r="I1757" s="11" t="n"/>
      <c r="J1757" s="11" t="n"/>
      <c r="K1757" s="11" t="n"/>
      <c r="L1757" s="11" t="n"/>
      <c r="M1757" s="11" t="n"/>
      <c r="N1757" s="11" t="n"/>
      <c r="O1757" s="11" t="n"/>
      <c r="P1757" s="11" t="n"/>
      <c r="Q1757" s="11" t="n"/>
      <c r="R1757" s="11" t="n"/>
      <c r="S1757" s="11" t="n"/>
      <c r="T1757" s="12" t="n"/>
    </row>
    <row r="1758">
      <c r="A1758" s="11" t="n"/>
      <c r="B1758" s="11" t="n"/>
      <c r="C1758" s="11" t="n"/>
      <c r="D1758" s="11" t="n"/>
      <c r="E1758" s="11" t="n"/>
      <c r="F1758" s="11" t="n"/>
      <c r="G1758" s="11" t="n"/>
      <c r="H1758" s="11" t="n"/>
      <c r="I1758" s="11" t="n"/>
      <c r="J1758" s="11" t="n"/>
      <c r="K1758" s="11" t="n"/>
      <c r="L1758" s="11" t="n"/>
      <c r="M1758" s="11" t="n"/>
      <c r="N1758" s="11" t="n"/>
      <c r="O1758" s="11" t="n"/>
      <c r="P1758" s="11" t="n"/>
      <c r="Q1758" s="11" t="n"/>
      <c r="R1758" s="11" t="n"/>
      <c r="S1758" s="11" t="n"/>
      <c r="T1758" s="12" t="n"/>
    </row>
    <row r="1759">
      <c r="A1759" s="11" t="n"/>
      <c r="B1759" s="11" t="n"/>
      <c r="C1759" s="11" t="n"/>
      <c r="D1759" s="11" t="n"/>
      <c r="E1759" s="11" t="n"/>
      <c r="F1759" s="11" t="n"/>
      <c r="G1759" s="11" t="n"/>
      <c r="H1759" s="11" t="n"/>
      <c r="I1759" s="11" t="n"/>
      <c r="J1759" s="11" t="n"/>
      <c r="K1759" s="11" t="n"/>
      <c r="L1759" s="11" t="n"/>
      <c r="M1759" s="11" t="n"/>
      <c r="N1759" s="11" t="n"/>
      <c r="O1759" s="11" t="n"/>
      <c r="P1759" s="11" t="n"/>
      <c r="Q1759" s="11" t="n"/>
      <c r="R1759" s="11" t="n"/>
      <c r="S1759" s="11" t="n"/>
      <c r="T1759" s="12" t="n"/>
    </row>
    <row r="1760">
      <c r="A1760" s="11" t="n"/>
      <c r="B1760" s="11" t="n"/>
      <c r="C1760" s="11" t="n"/>
      <c r="D1760" s="11" t="n"/>
      <c r="E1760" s="11" t="n"/>
      <c r="F1760" s="11" t="n"/>
      <c r="G1760" s="11" t="n"/>
      <c r="H1760" s="11" t="n"/>
      <c r="I1760" s="11" t="n"/>
      <c r="J1760" s="11" t="n"/>
      <c r="K1760" s="11" t="n"/>
      <c r="L1760" s="11" t="n"/>
      <c r="M1760" s="11" t="n"/>
      <c r="N1760" s="11" t="n"/>
      <c r="O1760" s="11" t="n"/>
      <c r="P1760" s="11" t="n"/>
      <c r="Q1760" s="11" t="n"/>
      <c r="R1760" s="11" t="n"/>
      <c r="S1760" s="11" t="n"/>
      <c r="T1760" s="12" t="n"/>
    </row>
    <row r="1761">
      <c r="A1761" s="11" t="n"/>
      <c r="B1761" s="11" t="n"/>
      <c r="C1761" s="11" t="n"/>
      <c r="D1761" s="11" t="n"/>
      <c r="E1761" s="11" t="n"/>
      <c r="F1761" s="11" t="n"/>
      <c r="G1761" s="11" t="n"/>
      <c r="H1761" s="11" t="n"/>
      <c r="I1761" s="11" t="n"/>
      <c r="J1761" s="11" t="n"/>
      <c r="K1761" s="11" t="n"/>
      <c r="L1761" s="11" t="n"/>
      <c r="M1761" s="11" t="n"/>
      <c r="N1761" s="11" t="n"/>
      <c r="O1761" s="11" t="n"/>
      <c r="P1761" s="11" t="n"/>
      <c r="Q1761" s="11" t="n"/>
      <c r="R1761" s="11" t="n"/>
      <c r="S1761" s="11" t="n"/>
      <c r="T1761" s="12" t="n"/>
    </row>
    <row r="1762">
      <c r="A1762" s="11" t="n"/>
      <c r="B1762" s="11" t="n"/>
      <c r="C1762" s="11" t="n"/>
      <c r="D1762" s="11" t="n"/>
      <c r="E1762" s="11" t="n"/>
      <c r="F1762" s="11" t="n"/>
      <c r="G1762" s="11" t="n"/>
      <c r="H1762" s="11" t="n"/>
      <c r="I1762" s="11" t="n"/>
      <c r="J1762" s="11" t="n"/>
      <c r="K1762" s="11" t="n"/>
      <c r="L1762" s="11" t="n"/>
      <c r="M1762" s="11" t="n"/>
      <c r="N1762" s="11" t="n"/>
      <c r="O1762" s="11" t="n"/>
      <c r="P1762" s="11" t="n"/>
      <c r="Q1762" s="11" t="n"/>
      <c r="R1762" s="11" t="n"/>
      <c r="S1762" s="11" t="n"/>
      <c r="T1762" s="12" t="n"/>
    </row>
    <row r="1763">
      <c r="A1763" s="11" t="n"/>
      <c r="B1763" s="11" t="n"/>
      <c r="C1763" s="11" t="n"/>
      <c r="D1763" s="11" t="n"/>
      <c r="E1763" s="11" t="n"/>
      <c r="F1763" s="11" t="n"/>
      <c r="G1763" s="11" t="n"/>
      <c r="H1763" s="11" t="n"/>
      <c r="I1763" s="11" t="n"/>
      <c r="J1763" s="11" t="n"/>
      <c r="K1763" s="11" t="n"/>
      <c r="L1763" s="11" t="n"/>
      <c r="M1763" s="11" t="n"/>
      <c r="N1763" s="11" t="n"/>
      <c r="O1763" s="11" t="n"/>
      <c r="P1763" s="11" t="n"/>
      <c r="Q1763" s="11" t="n"/>
      <c r="R1763" s="11" t="n"/>
      <c r="S1763" s="11" t="n"/>
      <c r="T1763" s="12" t="n"/>
    </row>
    <row r="1764">
      <c r="A1764" s="11" t="n"/>
      <c r="B1764" s="11" t="n"/>
      <c r="C1764" s="11" t="n"/>
      <c r="D1764" s="11" t="n"/>
      <c r="E1764" s="11" t="n"/>
      <c r="F1764" s="11" t="n"/>
      <c r="G1764" s="11" t="n"/>
      <c r="H1764" s="11" t="n"/>
      <c r="I1764" s="11" t="n"/>
      <c r="J1764" s="11" t="n"/>
      <c r="K1764" s="11" t="n"/>
      <c r="L1764" s="11" t="n"/>
      <c r="M1764" s="11" t="n"/>
      <c r="N1764" s="11" t="n"/>
      <c r="O1764" s="11" t="n"/>
      <c r="P1764" s="11" t="n"/>
      <c r="Q1764" s="11" t="n"/>
      <c r="R1764" s="11" t="n"/>
      <c r="S1764" s="11" t="n"/>
      <c r="T1764" s="12" t="n"/>
    </row>
    <row r="1765">
      <c r="A1765" s="11" t="n"/>
      <c r="B1765" s="11" t="n"/>
      <c r="C1765" s="11" t="n"/>
      <c r="D1765" s="11" t="n"/>
      <c r="E1765" s="11" t="n"/>
      <c r="F1765" s="11" t="n"/>
      <c r="G1765" s="11" t="n"/>
      <c r="H1765" s="11" t="n"/>
      <c r="I1765" s="11" t="n"/>
      <c r="J1765" s="11" t="n"/>
      <c r="K1765" s="11" t="n"/>
      <c r="L1765" s="11" t="n"/>
      <c r="M1765" s="11" t="n"/>
      <c r="N1765" s="11" t="n"/>
      <c r="O1765" s="11" t="n"/>
      <c r="P1765" s="11" t="n"/>
      <c r="Q1765" s="11" t="n"/>
      <c r="R1765" s="11" t="n"/>
      <c r="S1765" s="11" t="n"/>
      <c r="T1765" s="12" t="n"/>
    </row>
    <row r="1766">
      <c r="A1766" s="11" t="n"/>
      <c r="B1766" s="11" t="n"/>
      <c r="C1766" s="11" t="n"/>
      <c r="D1766" s="11" t="n"/>
      <c r="E1766" s="11" t="n"/>
      <c r="F1766" s="11" t="n"/>
      <c r="G1766" s="11" t="n"/>
      <c r="H1766" s="11" t="n"/>
      <c r="I1766" s="11" t="n"/>
      <c r="J1766" s="11" t="n"/>
      <c r="K1766" s="11" t="n"/>
      <c r="L1766" s="11" t="n"/>
      <c r="M1766" s="11" t="n"/>
      <c r="N1766" s="11" t="n"/>
      <c r="O1766" s="11" t="n"/>
      <c r="P1766" s="11" t="n"/>
      <c r="Q1766" s="11" t="n"/>
      <c r="R1766" s="11" t="n"/>
      <c r="S1766" s="11" t="n"/>
      <c r="T1766" s="12" t="n"/>
    </row>
    <row r="1767">
      <c r="A1767" s="11" t="n"/>
      <c r="B1767" s="11" t="n"/>
      <c r="C1767" s="11" t="n"/>
      <c r="D1767" s="11" t="n"/>
      <c r="E1767" s="11" t="n"/>
      <c r="F1767" s="11" t="n"/>
      <c r="G1767" s="11" t="n"/>
      <c r="H1767" s="11" t="n"/>
      <c r="I1767" s="11" t="n"/>
      <c r="J1767" s="11" t="n"/>
      <c r="K1767" s="11" t="n"/>
      <c r="L1767" s="11" t="n"/>
      <c r="M1767" s="11" t="n"/>
      <c r="N1767" s="11" t="n"/>
      <c r="O1767" s="11" t="n"/>
      <c r="P1767" s="11" t="n"/>
      <c r="Q1767" s="11" t="n"/>
      <c r="R1767" s="11" t="n"/>
      <c r="S1767" s="11" t="n"/>
      <c r="T1767" s="12" t="n"/>
    </row>
    <row r="1768">
      <c r="A1768" s="11" t="n"/>
      <c r="B1768" s="11" t="n"/>
      <c r="C1768" s="11" t="n"/>
      <c r="D1768" s="11" t="n"/>
      <c r="E1768" s="11" t="n"/>
      <c r="F1768" s="11" t="n"/>
      <c r="G1768" s="11" t="n"/>
      <c r="H1768" s="11" t="n"/>
      <c r="I1768" s="11" t="n"/>
      <c r="J1768" s="11" t="n"/>
      <c r="K1768" s="11" t="n"/>
      <c r="L1768" s="11" t="n"/>
      <c r="M1768" s="11" t="n"/>
      <c r="N1768" s="11" t="n"/>
      <c r="O1768" s="11" t="n"/>
      <c r="P1768" s="11" t="n"/>
      <c r="Q1768" s="11" t="n"/>
      <c r="R1768" s="11" t="n"/>
      <c r="S1768" s="11" t="n"/>
      <c r="T1768" s="12" t="n"/>
    </row>
    <row r="1769">
      <c r="A1769" s="11" t="n"/>
      <c r="B1769" s="11" t="n"/>
      <c r="C1769" s="11" t="n"/>
      <c r="D1769" s="11" t="n"/>
      <c r="E1769" s="11" t="n"/>
      <c r="F1769" s="11" t="n"/>
      <c r="G1769" s="11" t="n"/>
      <c r="H1769" s="11" t="n"/>
      <c r="I1769" s="11" t="n"/>
      <c r="J1769" s="11" t="n"/>
      <c r="K1769" s="11" t="n"/>
      <c r="L1769" s="11" t="n"/>
      <c r="M1769" s="11" t="n"/>
      <c r="N1769" s="11" t="n"/>
      <c r="O1769" s="11" t="n"/>
      <c r="P1769" s="11" t="n"/>
      <c r="Q1769" s="11" t="n"/>
      <c r="R1769" s="11" t="n"/>
      <c r="S1769" s="11" t="n"/>
      <c r="T1769" s="12" t="n"/>
    </row>
    <row r="1770">
      <c r="A1770" s="11" t="n"/>
      <c r="B1770" s="11" t="n"/>
      <c r="C1770" s="11" t="n"/>
      <c r="D1770" s="11" t="n"/>
      <c r="E1770" s="11" t="n"/>
      <c r="F1770" s="11" t="n"/>
      <c r="G1770" s="11" t="n"/>
      <c r="H1770" s="11" t="n"/>
      <c r="I1770" s="11" t="n"/>
      <c r="J1770" s="11" t="n"/>
      <c r="K1770" s="11" t="n"/>
      <c r="L1770" s="11" t="n"/>
      <c r="M1770" s="11" t="n"/>
      <c r="N1770" s="11" t="n"/>
      <c r="O1770" s="11" t="n"/>
      <c r="P1770" s="11" t="n"/>
      <c r="Q1770" s="11" t="n"/>
      <c r="R1770" s="11" t="n"/>
      <c r="S1770" s="11" t="n"/>
      <c r="T1770" s="12" t="n"/>
    </row>
    <row r="1771">
      <c r="A1771" s="11" t="n"/>
      <c r="B1771" s="11" t="n"/>
      <c r="C1771" s="11" t="n"/>
      <c r="D1771" s="11" t="n"/>
      <c r="E1771" s="11" t="n"/>
      <c r="F1771" s="11" t="n"/>
      <c r="G1771" s="11" t="n"/>
      <c r="H1771" s="11" t="n"/>
      <c r="I1771" s="11" t="n"/>
      <c r="J1771" s="11" t="n"/>
      <c r="K1771" s="11" t="n"/>
      <c r="L1771" s="11" t="n"/>
      <c r="M1771" s="11" t="n"/>
      <c r="N1771" s="11" t="n"/>
      <c r="O1771" s="11" t="n"/>
      <c r="P1771" s="11" t="n"/>
      <c r="Q1771" s="11" t="n"/>
      <c r="R1771" s="11" t="n"/>
      <c r="S1771" s="11" t="n"/>
      <c r="T1771" s="12" t="n"/>
    </row>
    <row r="1772">
      <c r="A1772" s="11" t="n"/>
      <c r="B1772" s="11" t="n"/>
      <c r="C1772" s="11" t="n"/>
      <c r="D1772" s="11" t="n"/>
      <c r="E1772" s="11" t="n"/>
      <c r="F1772" s="11" t="n"/>
      <c r="G1772" s="11" t="n"/>
      <c r="H1772" s="11" t="n"/>
      <c r="I1772" s="11" t="n"/>
      <c r="J1772" s="11" t="n"/>
      <c r="K1772" s="11" t="n"/>
      <c r="L1772" s="11" t="n"/>
      <c r="M1772" s="11" t="n"/>
      <c r="N1772" s="11" t="n"/>
      <c r="O1772" s="11" t="n"/>
      <c r="P1772" s="11" t="n"/>
      <c r="Q1772" s="11" t="n"/>
      <c r="R1772" s="11" t="n"/>
      <c r="S1772" s="11" t="n"/>
      <c r="T1772" s="12" t="n"/>
    </row>
    <row r="1773">
      <c r="A1773" s="11" t="n"/>
      <c r="B1773" s="11" t="n"/>
      <c r="C1773" s="11" t="n"/>
      <c r="D1773" s="11" t="n"/>
      <c r="E1773" s="11" t="n"/>
      <c r="F1773" s="11" t="n"/>
      <c r="G1773" s="11" t="n"/>
      <c r="H1773" s="11" t="n"/>
      <c r="I1773" s="11" t="n"/>
      <c r="J1773" s="11" t="n"/>
      <c r="K1773" s="11" t="n"/>
      <c r="L1773" s="11" t="n"/>
      <c r="M1773" s="11" t="n"/>
      <c r="N1773" s="11" t="n"/>
      <c r="O1773" s="11" t="n"/>
      <c r="P1773" s="11" t="n"/>
      <c r="Q1773" s="11" t="n"/>
      <c r="R1773" s="11" t="n"/>
      <c r="S1773" s="11" t="n"/>
      <c r="T1773" s="12" t="n"/>
    </row>
    <row r="1774">
      <c r="A1774" s="11" t="n"/>
      <c r="B1774" s="11" t="n"/>
      <c r="C1774" s="11" t="n"/>
      <c r="D1774" s="11" t="n"/>
      <c r="E1774" s="11" t="n"/>
      <c r="F1774" s="11" t="n"/>
      <c r="G1774" s="11" t="n"/>
      <c r="H1774" s="11" t="n"/>
      <c r="I1774" s="11" t="n"/>
      <c r="J1774" s="11" t="n"/>
      <c r="K1774" s="11" t="n"/>
      <c r="L1774" s="11" t="n"/>
      <c r="M1774" s="11" t="n"/>
      <c r="N1774" s="11" t="n"/>
      <c r="O1774" s="11" t="n"/>
      <c r="P1774" s="11" t="n"/>
      <c r="Q1774" s="11" t="n"/>
      <c r="R1774" s="11" t="n"/>
      <c r="S1774" s="11" t="n"/>
      <c r="T1774" s="12" t="n"/>
    </row>
    <row r="1775">
      <c r="A1775" s="11" t="n"/>
      <c r="B1775" s="11" t="n"/>
      <c r="C1775" s="11" t="n"/>
      <c r="D1775" s="11" t="n"/>
      <c r="E1775" s="11" t="n"/>
      <c r="F1775" s="11" t="n"/>
      <c r="G1775" s="11" t="n"/>
      <c r="H1775" s="11" t="n"/>
      <c r="I1775" s="11" t="n"/>
      <c r="J1775" s="11" t="n"/>
      <c r="K1775" s="11" t="n"/>
      <c r="L1775" s="11" t="n"/>
      <c r="M1775" s="11" t="n"/>
      <c r="N1775" s="11" t="n"/>
      <c r="O1775" s="11" t="n"/>
      <c r="P1775" s="11" t="n"/>
      <c r="Q1775" s="11" t="n"/>
      <c r="R1775" s="11" t="n"/>
      <c r="S1775" s="11" t="n"/>
      <c r="T1775" s="12" t="n"/>
    </row>
    <row r="1776">
      <c r="A1776" s="11" t="n"/>
      <c r="B1776" s="11" t="n"/>
      <c r="C1776" s="11" t="n"/>
      <c r="D1776" s="11" t="n"/>
      <c r="E1776" s="11" t="n"/>
      <c r="F1776" s="11" t="n"/>
      <c r="G1776" s="11" t="n"/>
      <c r="H1776" s="11" t="n"/>
      <c r="I1776" s="11" t="n"/>
      <c r="J1776" s="11" t="n"/>
      <c r="K1776" s="11" t="n"/>
      <c r="L1776" s="11" t="n"/>
      <c r="M1776" s="11" t="n"/>
      <c r="N1776" s="11" t="n"/>
      <c r="O1776" s="11" t="n"/>
      <c r="P1776" s="11" t="n"/>
      <c r="Q1776" s="11" t="n"/>
      <c r="R1776" s="11" t="n"/>
      <c r="S1776" s="11" t="n"/>
      <c r="T1776" s="12" t="n"/>
    </row>
    <row r="1777">
      <c r="A1777" s="11" t="n"/>
      <c r="B1777" s="11" t="n"/>
      <c r="C1777" s="11" t="n"/>
      <c r="D1777" s="11" t="n"/>
      <c r="E1777" s="11" t="n"/>
      <c r="F1777" s="11" t="n"/>
      <c r="G1777" s="11" t="n"/>
      <c r="H1777" s="11" t="n"/>
      <c r="I1777" s="11" t="n"/>
      <c r="J1777" s="11" t="n"/>
      <c r="K1777" s="11" t="n"/>
      <c r="L1777" s="11" t="n"/>
      <c r="M1777" s="11" t="n"/>
      <c r="N1777" s="11" t="n"/>
      <c r="O1777" s="11" t="n"/>
      <c r="P1777" s="11" t="n"/>
      <c r="Q1777" s="11" t="n"/>
      <c r="R1777" s="11" t="n"/>
      <c r="S1777" s="11" t="n"/>
      <c r="T1777" s="12" t="n"/>
    </row>
    <row r="1778">
      <c r="A1778" s="11" t="n"/>
      <c r="B1778" s="11" t="n"/>
      <c r="C1778" s="11" t="n"/>
      <c r="D1778" s="11" t="n"/>
      <c r="E1778" s="11" t="n"/>
      <c r="F1778" s="11" t="n"/>
      <c r="G1778" s="11" t="n"/>
      <c r="H1778" s="11" t="n"/>
      <c r="I1778" s="11" t="n"/>
      <c r="J1778" s="11" t="n"/>
      <c r="K1778" s="11" t="n"/>
      <c r="L1778" s="11" t="n"/>
      <c r="M1778" s="11" t="n"/>
      <c r="N1778" s="11" t="n"/>
      <c r="O1778" s="11" t="n"/>
      <c r="P1778" s="11" t="n"/>
      <c r="Q1778" s="11" t="n"/>
      <c r="R1778" s="11" t="n"/>
      <c r="S1778" s="11" t="n"/>
      <c r="T1778" s="12" t="n"/>
    </row>
    <row r="1779">
      <c r="A1779" s="11" t="n"/>
      <c r="B1779" s="11" t="n"/>
      <c r="C1779" s="11" t="n"/>
      <c r="D1779" s="11" t="n"/>
      <c r="E1779" s="11" t="n"/>
      <c r="F1779" s="11" t="n"/>
      <c r="G1779" s="11" t="n"/>
      <c r="H1779" s="11" t="n"/>
      <c r="I1779" s="11" t="n"/>
      <c r="J1779" s="11" t="n"/>
      <c r="K1779" s="11" t="n"/>
      <c r="L1779" s="11" t="n"/>
      <c r="M1779" s="11" t="n"/>
      <c r="N1779" s="11" t="n"/>
      <c r="O1779" s="11" t="n"/>
      <c r="P1779" s="11" t="n"/>
      <c r="Q1779" s="11" t="n"/>
      <c r="R1779" s="11" t="n"/>
      <c r="S1779" s="11" t="n"/>
      <c r="T1779" s="12" t="n"/>
    </row>
    <row r="1780">
      <c r="A1780" s="11" t="n"/>
      <c r="B1780" s="11" t="n"/>
      <c r="C1780" s="11" t="n"/>
      <c r="D1780" s="11" t="n"/>
      <c r="E1780" s="11" t="n"/>
      <c r="F1780" s="11" t="n"/>
      <c r="G1780" s="11" t="n"/>
      <c r="H1780" s="11" t="n"/>
      <c r="I1780" s="11" t="n"/>
      <c r="J1780" s="11" t="n"/>
      <c r="K1780" s="11" t="n"/>
      <c r="L1780" s="11" t="n"/>
      <c r="M1780" s="11" t="n"/>
      <c r="N1780" s="11" t="n"/>
      <c r="O1780" s="11" t="n"/>
      <c r="P1780" s="11" t="n"/>
      <c r="Q1780" s="11" t="n"/>
      <c r="R1780" s="11" t="n"/>
      <c r="S1780" s="11" t="n"/>
      <c r="T1780" s="12" t="n"/>
    </row>
    <row r="1781">
      <c r="A1781" s="11" t="n"/>
      <c r="B1781" s="11" t="n"/>
      <c r="C1781" s="11" t="n"/>
      <c r="D1781" s="11" t="n"/>
      <c r="E1781" s="11" t="n"/>
      <c r="F1781" s="11" t="n"/>
      <c r="G1781" s="11" t="n"/>
      <c r="H1781" s="11" t="n"/>
      <c r="I1781" s="11" t="n"/>
      <c r="J1781" s="11" t="n"/>
      <c r="K1781" s="11" t="n"/>
      <c r="L1781" s="11" t="n"/>
      <c r="M1781" s="11" t="n"/>
      <c r="N1781" s="11" t="n"/>
      <c r="O1781" s="11" t="n"/>
      <c r="P1781" s="11" t="n"/>
      <c r="Q1781" s="11" t="n"/>
      <c r="R1781" s="11" t="n"/>
      <c r="S1781" s="11" t="n"/>
      <c r="T1781" s="12" t="n"/>
    </row>
    <row r="1782">
      <c r="A1782" s="11" t="n"/>
      <c r="B1782" s="11" t="n"/>
      <c r="C1782" s="11" t="n"/>
      <c r="D1782" s="11" t="n"/>
      <c r="E1782" s="11" t="n"/>
      <c r="F1782" s="11" t="n"/>
      <c r="G1782" s="11" t="n"/>
      <c r="H1782" s="11" t="n"/>
      <c r="I1782" s="11" t="n"/>
      <c r="J1782" s="11" t="n"/>
      <c r="K1782" s="11" t="n"/>
      <c r="L1782" s="11" t="n"/>
      <c r="M1782" s="11" t="n"/>
      <c r="N1782" s="11" t="n"/>
      <c r="O1782" s="11" t="n"/>
      <c r="P1782" s="11" t="n"/>
      <c r="Q1782" s="11" t="n"/>
      <c r="R1782" s="11" t="n"/>
      <c r="S1782" s="11" t="n"/>
      <c r="T1782" s="12" t="n"/>
    </row>
    <row r="1783">
      <c r="A1783" s="11" t="n"/>
      <c r="B1783" s="11" t="n"/>
      <c r="C1783" s="11" t="n"/>
      <c r="D1783" s="11" t="n"/>
      <c r="E1783" s="11" t="n"/>
      <c r="F1783" s="11" t="n"/>
      <c r="G1783" s="11" t="n"/>
      <c r="H1783" s="11" t="n"/>
      <c r="I1783" s="11" t="n"/>
      <c r="J1783" s="11" t="n"/>
      <c r="K1783" s="11" t="n"/>
      <c r="L1783" s="11" t="n"/>
      <c r="M1783" s="11" t="n"/>
      <c r="N1783" s="11" t="n"/>
      <c r="O1783" s="11" t="n"/>
      <c r="P1783" s="11" t="n"/>
      <c r="Q1783" s="11" t="n"/>
      <c r="R1783" s="11" t="n"/>
      <c r="S1783" s="11" t="n"/>
      <c r="T1783" s="12" t="n"/>
    </row>
    <row r="1784">
      <c r="A1784" s="11" t="n"/>
      <c r="B1784" s="11" t="n"/>
      <c r="C1784" s="11" t="n"/>
      <c r="D1784" s="11" t="n"/>
      <c r="E1784" s="11" t="n"/>
      <c r="F1784" s="11" t="n"/>
      <c r="G1784" s="11" t="n"/>
      <c r="H1784" s="11" t="n"/>
      <c r="I1784" s="11" t="n"/>
      <c r="J1784" s="11" t="n"/>
      <c r="K1784" s="11" t="n"/>
      <c r="L1784" s="11" t="n"/>
      <c r="M1784" s="11" t="n"/>
      <c r="N1784" s="11" t="n"/>
      <c r="O1784" s="11" t="n"/>
      <c r="P1784" s="11" t="n"/>
      <c r="Q1784" s="11" t="n"/>
      <c r="R1784" s="11" t="n"/>
      <c r="S1784" s="11" t="n"/>
      <c r="T1784" s="12" t="n"/>
    </row>
    <row r="1785">
      <c r="A1785" s="11" t="n"/>
      <c r="B1785" s="11" t="n"/>
      <c r="C1785" s="11" t="n"/>
      <c r="D1785" s="11" t="n"/>
      <c r="E1785" s="11" t="n"/>
      <c r="F1785" s="11" t="n"/>
      <c r="G1785" s="11" t="n"/>
      <c r="H1785" s="11" t="n"/>
      <c r="I1785" s="11" t="n"/>
      <c r="J1785" s="11" t="n"/>
      <c r="K1785" s="11" t="n"/>
      <c r="L1785" s="11" t="n"/>
      <c r="M1785" s="11" t="n"/>
      <c r="N1785" s="11" t="n"/>
      <c r="O1785" s="11" t="n"/>
      <c r="P1785" s="11" t="n"/>
      <c r="Q1785" s="11" t="n"/>
      <c r="R1785" s="11" t="n"/>
      <c r="S1785" s="11" t="n"/>
      <c r="T1785" s="12" t="n"/>
    </row>
    <row r="1786">
      <c r="A1786" s="11" t="n"/>
      <c r="B1786" s="11" t="n"/>
      <c r="C1786" s="11" t="n"/>
      <c r="D1786" s="11" t="n"/>
      <c r="E1786" s="11" t="n"/>
      <c r="F1786" s="11" t="n"/>
      <c r="G1786" s="11" t="n"/>
      <c r="H1786" s="11" t="n"/>
      <c r="I1786" s="11" t="n"/>
      <c r="J1786" s="11" t="n"/>
      <c r="K1786" s="11" t="n"/>
      <c r="L1786" s="11" t="n"/>
      <c r="M1786" s="11" t="n"/>
      <c r="N1786" s="11" t="n"/>
      <c r="O1786" s="11" t="n"/>
      <c r="P1786" s="11" t="n"/>
      <c r="Q1786" s="11" t="n"/>
      <c r="R1786" s="11" t="n"/>
      <c r="S1786" s="11" t="n"/>
      <c r="T1786" s="12" t="n"/>
    </row>
    <row r="1787">
      <c r="A1787" s="11" t="n"/>
      <c r="B1787" s="11" t="n"/>
      <c r="C1787" s="11" t="n"/>
      <c r="D1787" s="11" t="n"/>
      <c r="E1787" s="11" t="n"/>
      <c r="F1787" s="11" t="n"/>
      <c r="G1787" s="11" t="n"/>
      <c r="H1787" s="11" t="n"/>
      <c r="I1787" s="11" t="n"/>
      <c r="J1787" s="11" t="n"/>
      <c r="K1787" s="11" t="n"/>
      <c r="L1787" s="11" t="n"/>
      <c r="M1787" s="11" t="n"/>
      <c r="N1787" s="11" t="n"/>
      <c r="O1787" s="11" t="n"/>
      <c r="P1787" s="11" t="n"/>
      <c r="Q1787" s="11" t="n"/>
      <c r="R1787" s="11" t="n"/>
      <c r="S1787" s="11" t="n"/>
      <c r="T1787" s="12" t="n"/>
    </row>
    <row r="1788">
      <c r="A1788" s="11" t="n"/>
      <c r="B1788" s="11" t="n"/>
      <c r="C1788" s="11" t="n"/>
      <c r="D1788" s="11" t="n"/>
      <c r="E1788" s="11" t="n"/>
      <c r="F1788" s="11" t="n"/>
      <c r="G1788" s="11" t="n"/>
      <c r="H1788" s="11" t="n"/>
      <c r="I1788" s="11" t="n"/>
      <c r="J1788" s="11" t="n"/>
      <c r="K1788" s="11" t="n"/>
      <c r="L1788" s="11" t="n"/>
      <c r="M1788" s="11" t="n"/>
      <c r="N1788" s="11" t="n"/>
      <c r="O1788" s="11" t="n"/>
      <c r="P1788" s="11" t="n"/>
      <c r="Q1788" s="11" t="n"/>
      <c r="R1788" s="11" t="n"/>
      <c r="S1788" s="11" t="n"/>
      <c r="T1788" s="12" t="n"/>
    </row>
    <row r="1789">
      <c r="A1789" s="11" t="n"/>
      <c r="B1789" s="11" t="n"/>
      <c r="C1789" s="11" t="n"/>
      <c r="D1789" s="11" t="n"/>
      <c r="E1789" s="11" t="n"/>
      <c r="F1789" s="11" t="n"/>
      <c r="G1789" s="11" t="n"/>
      <c r="H1789" s="11" t="n"/>
      <c r="I1789" s="11" t="n"/>
      <c r="J1789" s="11" t="n"/>
      <c r="K1789" s="11" t="n"/>
      <c r="L1789" s="11" t="n"/>
      <c r="M1789" s="11" t="n"/>
      <c r="N1789" s="11" t="n"/>
      <c r="O1789" s="11" t="n"/>
      <c r="P1789" s="11" t="n"/>
      <c r="Q1789" s="11" t="n"/>
      <c r="R1789" s="11" t="n"/>
      <c r="S1789" s="11" t="n"/>
      <c r="T1789" s="12" t="n"/>
    </row>
    <row r="1790">
      <c r="A1790" s="11" t="n"/>
      <c r="B1790" s="11" t="n"/>
      <c r="C1790" s="11" t="n"/>
      <c r="D1790" s="11" t="n"/>
      <c r="E1790" s="11" t="n"/>
      <c r="F1790" s="11" t="n"/>
      <c r="G1790" s="11" t="n"/>
      <c r="H1790" s="11" t="n"/>
      <c r="I1790" s="11" t="n"/>
      <c r="J1790" s="11" t="n"/>
      <c r="K1790" s="11" t="n"/>
      <c r="L1790" s="11" t="n"/>
      <c r="M1790" s="11" t="n"/>
      <c r="N1790" s="11" t="n"/>
      <c r="O1790" s="11" t="n"/>
      <c r="P1790" s="11" t="n"/>
      <c r="Q1790" s="11" t="n"/>
      <c r="R1790" s="11" t="n"/>
      <c r="S1790" s="11" t="n"/>
      <c r="T1790" s="12" t="n"/>
    </row>
    <row r="1791">
      <c r="A1791" s="11" t="n"/>
      <c r="B1791" s="11" t="n"/>
      <c r="C1791" s="11" t="n"/>
      <c r="D1791" s="11" t="n"/>
      <c r="E1791" s="11" t="n"/>
      <c r="F1791" s="11" t="n"/>
      <c r="G1791" s="11" t="n"/>
      <c r="H1791" s="11" t="n"/>
      <c r="I1791" s="11" t="n"/>
      <c r="J1791" s="11" t="n"/>
      <c r="K1791" s="11" t="n"/>
      <c r="L1791" s="11" t="n"/>
      <c r="M1791" s="11" t="n"/>
      <c r="N1791" s="11" t="n"/>
      <c r="O1791" s="11" t="n"/>
      <c r="P1791" s="11" t="n"/>
      <c r="Q1791" s="11" t="n"/>
      <c r="R1791" s="11" t="n"/>
      <c r="S1791" s="11" t="n"/>
      <c r="T1791" s="12" t="n"/>
    </row>
    <row r="1792">
      <c r="A1792" s="11" t="n"/>
      <c r="B1792" s="11" t="n"/>
      <c r="C1792" s="11" t="n"/>
      <c r="D1792" s="11" t="n"/>
      <c r="E1792" s="11" t="n"/>
      <c r="F1792" s="11" t="n"/>
      <c r="G1792" s="11" t="n"/>
      <c r="H1792" s="11" t="n"/>
      <c r="I1792" s="11" t="n"/>
      <c r="J1792" s="11" t="n"/>
      <c r="K1792" s="11" t="n"/>
      <c r="L1792" s="11" t="n"/>
      <c r="M1792" s="11" t="n"/>
      <c r="N1792" s="11" t="n"/>
      <c r="O1792" s="11" t="n"/>
      <c r="P1792" s="11" t="n"/>
      <c r="Q1792" s="11" t="n"/>
      <c r="R1792" s="11" t="n"/>
      <c r="S1792" s="11" t="n"/>
      <c r="T1792" s="12" t="n"/>
    </row>
    <row r="1793">
      <c r="A1793" s="11" t="n"/>
      <c r="B1793" s="11" t="n"/>
      <c r="C1793" s="11" t="n"/>
      <c r="D1793" s="11" t="n"/>
      <c r="E1793" s="11" t="n"/>
      <c r="F1793" s="11" t="n"/>
      <c r="G1793" s="11" t="n"/>
      <c r="H1793" s="11" t="n"/>
      <c r="I1793" s="11" t="n"/>
      <c r="J1793" s="11" t="n"/>
      <c r="K1793" s="11" t="n"/>
      <c r="L1793" s="11" t="n"/>
      <c r="M1793" s="11" t="n"/>
      <c r="N1793" s="11" t="n"/>
      <c r="O1793" s="11" t="n"/>
      <c r="P1793" s="11" t="n"/>
      <c r="Q1793" s="11" t="n"/>
      <c r="R1793" s="11" t="n"/>
      <c r="S1793" s="11" t="n"/>
      <c r="T1793" s="12" t="n"/>
    </row>
    <row r="1794">
      <c r="A1794" s="11" t="n"/>
      <c r="B1794" s="11" t="n"/>
      <c r="C1794" s="11" t="n"/>
      <c r="D1794" s="11" t="n"/>
      <c r="E1794" s="11" t="n"/>
      <c r="F1794" s="11" t="n"/>
      <c r="G1794" s="11" t="n"/>
      <c r="H1794" s="11" t="n"/>
      <c r="I1794" s="11" t="n"/>
      <c r="J1794" s="11" t="n"/>
      <c r="K1794" s="11" t="n"/>
      <c r="L1794" s="11" t="n"/>
      <c r="M1794" s="11" t="n"/>
      <c r="N1794" s="11" t="n"/>
      <c r="O1794" s="11" t="n"/>
      <c r="P1794" s="11" t="n"/>
      <c r="Q1794" s="11" t="n"/>
      <c r="R1794" s="11" t="n"/>
      <c r="S1794" s="11" t="n"/>
      <c r="T1794" s="12" t="n"/>
    </row>
    <row r="1795">
      <c r="A1795" s="11" t="n"/>
      <c r="B1795" s="11" t="n"/>
      <c r="C1795" s="11" t="n"/>
      <c r="D1795" s="11" t="n"/>
      <c r="E1795" s="11" t="n"/>
      <c r="F1795" s="11" t="n"/>
      <c r="G1795" s="11" t="n"/>
      <c r="H1795" s="11" t="n"/>
      <c r="I1795" s="11" t="n"/>
      <c r="J1795" s="11" t="n"/>
      <c r="K1795" s="11" t="n"/>
      <c r="L1795" s="11" t="n"/>
      <c r="M1795" s="11" t="n"/>
      <c r="N1795" s="11" t="n"/>
      <c r="O1795" s="11" t="n"/>
      <c r="P1795" s="11" t="n"/>
      <c r="Q1795" s="11" t="n"/>
      <c r="R1795" s="11" t="n"/>
      <c r="S1795" s="11" t="n"/>
      <c r="T1795" s="12" t="n"/>
    </row>
    <row r="1796">
      <c r="A1796" s="11" t="n"/>
      <c r="B1796" s="11" t="n"/>
      <c r="C1796" s="11" t="n"/>
      <c r="D1796" s="11" t="n"/>
      <c r="E1796" s="11" t="n"/>
      <c r="F1796" s="11" t="n"/>
      <c r="G1796" s="11" t="n"/>
      <c r="H1796" s="11" t="n"/>
      <c r="I1796" s="11" t="n"/>
      <c r="J1796" s="11" t="n"/>
      <c r="K1796" s="11" t="n"/>
      <c r="L1796" s="11" t="n"/>
      <c r="M1796" s="11" t="n"/>
      <c r="N1796" s="11" t="n"/>
      <c r="O1796" s="11" t="n"/>
      <c r="P1796" s="11" t="n"/>
      <c r="Q1796" s="11" t="n"/>
      <c r="R1796" s="11" t="n"/>
      <c r="S1796" s="11" t="n"/>
      <c r="T1796" s="12" t="n"/>
    </row>
    <row r="1797">
      <c r="A1797" s="11" t="n"/>
      <c r="B1797" s="11" t="n"/>
      <c r="C1797" s="11" t="n"/>
      <c r="D1797" s="11" t="n"/>
      <c r="E1797" s="11" t="n"/>
      <c r="F1797" s="11" t="n"/>
      <c r="G1797" s="11" t="n"/>
      <c r="H1797" s="11" t="n"/>
      <c r="I1797" s="11" t="n"/>
      <c r="J1797" s="11" t="n"/>
      <c r="K1797" s="11" t="n"/>
      <c r="L1797" s="11" t="n"/>
      <c r="M1797" s="11" t="n"/>
      <c r="N1797" s="11" t="n"/>
      <c r="O1797" s="11" t="n"/>
      <c r="P1797" s="11" t="n"/>
      <c r="Q1797" s="11" t="n"/>
      <c r="R1797" s="11" t="n"/>
      <c r="S1797" s="11" t="n"/>
      <c r="T1797" s="12" t="n"/>
    </row>
    <row r="1798">
      <c r="A1798" s="11" t="n"/>
      <c r="B1798" s="11" t="n"/>
      <c r="C1798" s="11" t="n"/>
      <c r="D1798" s="11" t="n"/>
      <c r="E1798" s="11" t="n"/>
      <c r="F1798" s="11" t="n"/>
      <c r="G1798" s="11" t="n"/>
      <c r="H1798" s="11" t="n"/>
      <c r="I1798" s="11" t="n"/>
      <c r="J1798" s="11" t="n"/>
      <c r="K1798" s="11" t="n"/>
      <c r="L1798" s="11" t="n"/>
      <c r="M1798" s="11" t="n"/>
      <c r="N1798" s="11" t="n"/>
      <c r="O1798" s="11" t="n"/>
      <c r="P1798" s="11" t="n"/>
      <c r="Q1798" s="11" t="n"/>
      <c r="R1798" s="11" t="n"/>
      <c r="S1798" s="11" t="n"/>
      <c r="T1798" s="12" t="n"/>
    </row>
    <row r="1799">
      <c r="A1799" s="11" t="n"/>
      <c r="B1799" s="11" t="n"/>
      <c r="C1799" s="11" t="n"/>
      <c r="D1799" s="11" t="n"/>
      <c r="E1799" s="11" t="n"/>
      <c r="F1799" s="11" t="n"/>
      <c r="G1799" s="11" t="n"/>
      <c r="H1799" s="11" t="n"/>
      <c r="I1799" s="11" t="n"/>
      <c r="J1799" s="11" t="n"/>
      <c r="K1799" s="11" t="n"/>
      <c r="L1799" s="11" t="n"/>
      <c r="M1799" s="11" t="n"/>
      <c r="N1799" s="11" t="n"/>
      <c r="O1799" s="11" t="n"/>
      <c r="P1799" s="11" t="n"/>
      <c r="Q1799" s="11" t="n"/>
      <c r="R1799" s="11" t="n"/>
      <c r="S1799" s="11" t="n"/>
      <c r="T1799" s="12" t="n"/>
    </row>
    <row r="1800">
      <c r="A1800" s="11" t="n"/>
      <c r="B1800" s="11" t="n"/>
      <c r="C1800" s="11" t="n"/>
      <c r="D1800" s="11" t="n"/>
      <c r="E1800" s="11" t="n"/>
      <c r="F1800" s="11" t="n"/>
      <c r="G1800" s="11" t="n"/>
      <c r="H1800" s="11" t="n"/>
      <c r="I1800" s="11" t="n"/>
      <c r="J1800" s="11" t="n"/>
      <c r="K1800" s="11" t="n"/>
      <c r="L1800" s="11" t="n"/>
      <c r="M1800" s="11" t="n"/>
      <c r="N1800" s="11" t="n"/>
      <c r="O1800" s="11" t="n"/>
      <c r="P1800" s="11" t="n"/>
      <c r="Q1800" s="11" t="n"/>
      <c r="R1800" s="11" t="n"/>
      <c r="S1800" s="11" t="n"/>
      <c r="T1800" s="12" t="n"/>
    </row>
    <row r="1801">
      <c r="A1801" s="11" t="n"/>
      <c r="B1801" s="11" t="n"/>
      <c r="C1801" s="11" t="n"/>
      <c r="D1801" s="11" t="n"/>
      <c r="E1801" s="11" t="n"/>
      <c r="F1801" s="11" t="n"/>
      <c r="G1801" s="11" t="n"/>
      <c r="H1801" s="11" t="n"/>
      <c r="I1801" s="11" t="n"/>
      <c r="J1801" s="11" t="n"/>
      <c r="K1801" s="11" t="n"/>
      <c r="L1801" s="11" t="n"/>
      <c r="M1801" s="11" t="n"/>
      <c r="N1801" s="11" t="n"/>
      <c r="O1801" s="11" t="n"/>
      <c r="P1801" s="11" t="n"/>
      <c r="Q1801" s="11" t="n"/>
      <c r="R1801" s="11" t="n"/>
      <c r="S1801" s="11" t="n"/>
      <c r="T1801" s="12" t="n"/>
    </row>
    <row r="1802">
      <c r="A1802" s="11" t="n"/>
      <c r="B1802" s="11" t="n"/>
      <c r="C1802" s="11" t="n"/>
      <c r="D1802" s="11" t="n"/>
      <c r="E1802" s="11" t="n"/>
      <c r="F1802" s="11" t="n"/>
      <c r="G1802" s="11" t="n"/>
      <c r="H1802" s="11" t="n"/>
      <c r="I1802" s="11" t="n"/>
      <c r="J1802" s="11" t="n"/>
      <c r="K1802" s="11" t="n"/>
      <c r="L1802" s="11" t="n"/>
      <c r="M1802" s="11" t="n"/>
      <c r="N1802" s="11" t="n"/>
      <c r="O1802" s="11" t="n"/>
      <c r="P1802" s="11" t="n"/>
      <c r="Q1802" s="11" t="n"/>
      <c r="R1802" s="11" t="n"/>
      <c r="S1802" s="11" t="n"/>
      <c r="T1802" s="12" t="n"/>
    </row>
    <row r="1803">
      <c r="A1803" s="11" t="n"/>
      <c r="B1803" s="11" t="n"/>
      <c r="C1803" s="11" t="n"/>
      <c r="D1803" s="11" t="n"/>
      <c r="E1803" s="11" t="n"/>
      <c r="F1803" s="11" t="n"/>
      <c r="G1803" s="11" t="n"/>
      <c r="H1803" s="11" t="n"/>
      <c r="I1803" s="11" t="n"/>
      <c r="J1803" s="11" t="n"/>
      <c r="K1803" s="11" t="n"/>
      <c r="L1803" s="11" t="n"/>
      <c r="M1803" s="11" t="n"/>
      <c r="N1803" s="11" t="n"/>
      <c r="O1803" s="11" t="n"/>
      <c r="P1803" s="11" t="n"/>
      <c r="Q1803" s="11" t="n"/>
      <c r="R1803" s="11" t="n"/>
      <c r="S1803" s="11" t="n"/>
      <c r="T1803" s="12" t="n"/>
    </row>
    <row r="1804">
      <c r="A1804" s="11" t="n"/>
      <c r="B1804" s="11" t="n"/>
      <c r="C1804" s="11" t="n"/>
      <c r="D1804" s="11" t="n"/>
      <c r="E1804" s="11" t="n"/>
      <c r="F1804" s="11" t="n"/>
      <c r="G1804" s="11" t="n"/>
      <c r="H1804" s="11" t="n"/>
      <c r="I1804" s="11" t="n"/>
      <c r="J1804" s="11" t="n"/>
      <c r="K1804" s="11" t="n"/>
      <c r="L1804" s="11" t="n"/>
      <c r="M1804" s="11" t="n"/>
      <c r="N1804" s="11" t="n"/>
      <c r="O1804" s="11" t="n"/>
      <c r="P1804" s="11" t="n"/>
      <c r="Q1804" s="11" t="n"/>
      <c r="R1804" s="11" t="n"/>
      <c r="S1804" s="11" t="n"/>
      <c r="T1804" s="12" t="n"/>
    </row>
    <row r="1805">
      <c r="A1805" s="11" t="n"/>
      <c r="B1805" s="11" t="n"/>
      <c r="C1805" s="11" t="n"/>
      <c r="D1805" s="11" t="n"/>
      <c r="E1805" s="11" t="n"/>
      <c r="F1805" s="11" t="n"/>
      <c r="G1805" s="11" t="n"/>
      <c r="H1805" s="11" t="n"/>
      <c r="I1805" s="11" t="n"/>
      <c r="J1805" s="11" t="n"/>
      <c r="K1805" s="11" t="n"/>
      <c r="L1805" s="11" t="n"/>
      <c r="M1805" s="11" t="n"/>
      <c r="N1805" s="11" t="n"/>
      <c r="O1805" s="11" t="n"/>
      <c r="P1805" s="11" t="n"/>
      <c r="Q1805" s="11" t="n"/>
      <c r="R1805" s="11" t="n"/>
      <c r="S1805" s="11" t="n"/>
      <c r="T1805" s="12" t="n"/>
    </row>
    <row r="1806">
      <c r="A1806" s="11" t="n"/>
      <c r="B1806" s="11" t="n"/>
      <c r="C1806" s="11" t="n"/>
      <c r="D1806" s="11" t="n"/>
      <c r="E1806" s="11" t="n"/>
      <c r="F1806" s="11" t="n"/>
      <c r="G1806" s="11" t="n"/>
      <c r="H1806" s="11" t="n"/>
      <c r="I1806" s="11" t="n"/>
      <c r="J1806" s="11" t="n"/>
      <c r="K1806" s="11" t="n"/>
      <c r="L1806" s="11" t="n"/>
      <c r="M1806" s="11" t="n"/>
      <c r="N1806" s="11" t="n"/>
      <c r="O1806" s="11" t="n"/>
      <c r="P1806" s="11" t="n"/>
      <c r="Q1806" s="11" t="n"/>
      <c r="R1806" s="11" t="n"/>
      <c r="S1806" s="11" t="n"/>
      <c r="T1806" s="12" t="n"/>
    </row>
    <row r="1807">
      <c r="A1807" s="11" t="n"/>
      <c r="B1807" s="11" t="n"/>
      <c r="C1807" s="11" t="n"/>
      <c r="D1807" s="11" t="n"/>
      <c r="E1807" s="11" t="n"/>
      <c r="F1807" s="11" t="n"/>
      <c r="G1807" s="11" t="n"/>
      <c r="H1807" s="11" t="n"/>
      <c r="I1807" s="11" t="n"/>
      <c r="J1807" s="11" t="n"/>
      <c r="K1807" s="11" t="n"/>
      <c r="L1807" s="11" t="n"/>
      <c r="M1807" s="11" t="n"/>
      <c r="N1807" s="11" t="n"/>
      <c r="O1807" s="11" t="n"/>
      <c r="P1807" s="11" t="n"/>
      <c r="Q1807" s="11" t="n"/>
      <c r="R1807" s="11" t="n"/>
      <c r="S1807" s="11" t="n"/>
      <c r="T1807" s="12" t="n"/>
    </row>
    <row r="1808">
      <c r="A1808" s="11" t="n"/>
      <c r="B1808" s="11" t="n"/>
      <c r="C1808" s="11" t="n"/>
      <c r="D1808" s="11" t="n"/>
      <c r="E1808" s="11" t="n"/>
      <c r="F1808" s="11" t="n"/>
      <c r="G1808" s="11" t="n"/>
      <c r="H1808" s="11" t="n"/>
      <c r="I1808" s="11" t="n"/>
      <c r="J1808" s="11" t="n"/>
      <c r="K1808" s="11" t="n"/>
      <c r="L1808" s="11" t="n"/>
      <c r="M1808" s="11" t="n"/>
      <c r="N1808" s="11" t="n"/>
      <c r="O1808" s="11" t="n"/>
      <c r="P1808" s="11" t="n"/>
      <c r="Q1808" s="11" t="n"/>
      <c r="R1808" s="11" t="n"/>
      <c r="S1808" s="11" t="n"/>
      <c r="T1808" s="12" t="n"/>
    </row>
    <row r="1809">
      <c r="A1809" s="11" t="n"/>
      <c r="B1809" s="11" t="n"/>
      <c r="C1809" s="11" t="n"/>
      <c r="D1809" s="11" t="n"/>
      <c r="E1809" s="11" t="n"/>
      <c r="F1809" s="11" t="n"/>
      <c r="G1809" s="11" t="n"/>
      <c r="H1809" s="11" t="n"/>
      <c r="I1809" s="11" t="n"/>
      <c r="J1809" s="11" t="n"/>
      <c r="K1809" s="11" t="n"/>
      <c r="L1809" s="11" t="n"/>
      <c r="M1809" s="11" t="n"/>
      <c r="N1809" s="11" t="n"/>
      <c r="O1809" s="11" t="n"/>
      <c r="P1809" s="11" t="n"/>
      <c r="Q1809" s="11" t="n"/>
      <c r="R1809" s="11" t="n"/>
      <c r="S1809" s="11" t="n"/>
      <c r="T1809" s="12" t="n"/>
    </row>
    <row r="1810">
      <c r="A1810" s="11" t="n"/>
      <c r="B1810" s="11" t="n"/>
      <c r="C1810" s="11" t="n"/>
      <c r="D1810" s="11" t="n"/>
      <c r="E1810" s="11" t="n"/>
      <c r="F1810" s="11" t="n"/>
      <c r="G1810" s="11" t="n"/>
      <c r="H1810" s="11" t="n"/>
      <c r="I1810" s="11" t="n"/>
      <c r="J1810" s="11" t="n"/>
      <c r="K1810" s="11" t="n"/>
      <c r="L1810" s="11" t="n"/>
      <c r="M1810" s="11" t="n"/>
      <c r="N1810" s="11" t="n"/>
      <c r="O1810" s="11" t="n"/>
      <c r="P1810" s="11" t="n"/>
      <c r="Q1810" s="11" t="n"/>
      <c r="R1810" s="11" t="n"/>
      <c r="S1810" s="11" t="n"/>
      <c r="T1810" s="12" t="n"/>
    </row>
    <row r="1811">
      <c r="A1811" s="11" t="n"/>
      <c r="B1811" s="11" t="n"/>
      <c r="C1811" s="11" t="n"/>
      <c r="D1811" s="11" t="n"/>
      <c r="E1811" s="11" t="n"/>
      <c r="F1811" s="11" t="n"/>
      <c r="G1811" s="11" t="n"/>
      <c r="H1811" s="11" t="n"/>
      <c r="I1811" s="11" t="n"/>
      <c r="J1811" s="11" t="n"/>
      <c r="K1811" s="11" t="n"/>
      <c r="L1811" s="11" t="n"/>
      <c r="M1811" s="11" t="n"/>
      <c r="N1811" s="11" t="n"/>
      <c r="O1811" s="11" t="n"/>
      <c r="P1811" s="11" t="n"/>
      <c r="Q1811" s="11" t="n"/>
      <c r="R1811" s="11" t="n"/>
      <c r="S1811" s="11" t="n"/>
      <c r="T1811" s="12" t="n"/>
    </row>
    <row r="1812">
      <c r="A1812" s="11" t="n"/>
      <c r="B1812" s="11" t="n"/>
      <c r="C1812" s="11" t="n"/>
      <c r="D1812" s="11" t="n"/>
      <c r="E1812" s="11" t="n"/>
      <c r="F1812" s="11" t="n"/>
      <c r="G1812" s="11" t="n"/>
      <c r="H1812" s="11" t="n"/>
      <c r="I1812" s="11" t="n"/>
      <c r="J1812" s="11" t="n"/>
      <c r="K1812" s="11" t="n"/>
      <c r="L1812" s="11" t="n"/>
      <c r="M1812" s="11" t="n"/>
      <c r="N1812" s="11" t="n"/>
      <c r="O1812" s="11" t="n"/>
      <c r="P1812" s="11" t="n"/>
      <c r="Q1812" s="11" t="n"/>
      <c r="R1812" s="11" t="n"/>
      <c r="S1812" s="11" t="n"/>
      <c r="T1812" s="12" t="n"/>
    </row>
    <row r="1813">
      <c r="A1813" s="11" t="n"/>
      <c r="B1813" s="11" t="n"/>
      <c r="C1813" s="11" t="n"/>
      <c r="D1813" s="11" t="n"/>
      <c r="E1813" s="11" t="n"/>
      <c r="F1813" s="11" t="n"/>
      <c r="G1813" s="11" t="n"/>
      <c r="H1813" s="11" t="n"/>
      <c r="I1813" s="11" t="n"/>
      <c r="J1813" s="11" t="n"/>
      <c r="K1813" s="11" t="n"/>
      <c r="L1813" s="11" t="n"/>
      <c r="M1813" s="11" t="n"/>
      <c r="N1813" s="11" t="n"/>
      <c r="O1813" s="11" t="n"/>
      <c r="P1813" s="11" t="n"/>
      <c r="Q1813" s="11" t="n"/>
      <c r="R1813" s="11" t="n"/>
      <c r="S1813" s="11" t="n"/>
      <c r="T1813" s="12" t="n"/>
    </row>
    <row r="1814">
      <c r="A1814" s="11" t="n"/>
      <c r="B1814" s="11" t="n"/>
      <c r="C1814" s="11" t="n"/>
      <c r="D1814" s="11" t="n"/>
      <c r="E1814" s="11" t="n"/>
      <c r="F1814" s="11" t="n"/>
      <c r="G1814" s="11" t="n"/>
      <c r="H1814" s="11" t="n"/>
      <c r="I1814" s="11" t="n"/>
      <c r="J1814" s="11" t="n"/>
      <c r="K1814" s="11" t="n"/>
      <c r="L1814" s="11" t="n"/>
      <c r="M1814" s="11" t="n"/>
      <c r="N1814" s="11" t="n"/>
      <c r="O1814" s="11" t="n"/>
      <c r="P1814" s="11" t="n"/>
      <c r="Q1814" s="11" t="n"/>
      <c r="R1814" s="11" t="n"/>
      <c r="S1814" s="11" t="n"/>
      <c r="T1814" s="12" t="n"/>
    </row>
    <row r="1815">
      <c r="A1815" s="11" t="n"/>
      <c r="B1815" s="11" t="n"/>
      <c r="C1815" s="11" t="n"/>
      <c r="D1815" s="11" t="n"/>
      <c r="E1815" s="11" t="n"/>
      <c r="F1815" s="11" t="n"/>
      <c r="G1815" s="11" t="n"/>
      <c r="H1815" s="11" t="n"/>
      <c r="I1815" s="11" t="n"/>
      <c r="J1815" s="11" t="n"/>
      <c r="K1815" s="11" t="n"/>
      <c r="L1815" s="11" t="n"/>
      <c r="M1815" s="11" t="n"/>
      <c r="N1815" s="11" t="n"/>
      <c r="O1815" s="11" t="n"/>
      <c r="P1815" s="11" t="n"/>
      <c r="Q1815" s="11" t="n"/>
      <c r="R1815" s="11" t="n"/>
      <c r="S1815" s="11" t="n"/>
      <c r="T1815" s="12" t="n"/>
    </row>
    <row r="1816">
      <c r="A1816" s="11" t="n"/>
      <c r="B1816" s="11" t="n"/>
      <c r="C1816" s="11" t="n"/>
      <c r="D1816" s="11" t="n"/>
      <c r="E1816" s="11" t="n"/>
      <c r="F1816" s="11" t="n"/>
      <c r="G1816" s="11" t="n"/>
      <c r="H1816" s="11" t="n"/>
      <c r="I1816" s="11" t="n"/>
      <c r="J1816" s="11" t="n"/>
      <c r="K1816" s="11" t="n"/>
      <c r="L1816" s="11" t="n"/>
      <c r="M1816" s="11" t="n"/>
      <c r="N1816" s="11" t="n"/>
      <c r="O1816" s="11" t="n"/>
      <c r="P1816" s="11" t="n"/>
      <c r="Q1816" s="11" t="n"/>
      <c r="R1816" s="11" t="n"/>
      <c r="S1816" s="11" t="n"/>
      <c r="T1816" s="12" t="n"/>
    </row>
    <row r="1817">
      <c r="A1817" s="11" t="n"/>
      <c r="B1817" s="11" t="n"/>
      <c r="C1817" s="11" t="n"/>
      <c r="D1817" s="11" t="n"/>
      <c r="E1817" s="11" t="n"/>
      <c r="F1817" s="11" t="n"/>
      <c r="G1817" s="11" t="n"/>
      <c r="H1817" s="11" t="n"/>
      <c r="I1817" s="11" t="n"/>
      <c r="J1817" s="11" t="n"/>
      <c r="K1817" s="11" t="n"/>
      <c r="L1817" s="11" t="n"/>
      <c r="M1817" s="11" t="n"/>
      <c r="N1817" s="11" t="n"/>
      <c r="O1817" s="11" t="n"/>
      <c r="P1817" s="11" t="n"/>
      <c r="Q1817" s="11" t="n"/>
      <c r="R1817" s="11" t="n"/>
      <c r="S1817" s="11" t="n"/>
      <c r="T1817" s="12" t="n"/>
    </row>
    <row r="1818">
      <c r="A1818" s="11" t="n"/>
      <c r="B1818" s="11" t="n"/>
      <c r="C1818" s="11" t="n"/>
      <c r="D1818" s="11" t="n"/>
      <c r="E1818" s="11" t="n"/>
      <c r="F1818" s="11" t="n"/>
      <c r="G1818" s="11" t="n"/>
      <c r="H1818" s="11" t="n"/>
      <c r="I1818" s="11" t="n"/>
      <c r="J1818" s="11" t="n"/>
      <c r="K1818" s="11" t="n"/>
      <c r="L1818" s="11" t="n"/>
      <c r="M1818" s="11" t="n"/>
      <c r="N1818" s="11" t="n"/>
      <c r="O1818" s="11" t="n"/>
      <c r="P1818" s="11" t="n"/>
      <c r="Q1818" s="11" t="n"/>
      <c r="R1818" s="11" t="n"/>
      <c r="S1818" s="11" t="n"/>
      <c r="T1818" s="12" t="n"/>
    </row>
    <row r="1819">
      <c r="A1819" s="11" t="n"/>
      <c r="B1819" s="11" t="n"/>
      <c r="C1819" s="11" t="n"/>
      <c r="D1819" s="11" t="n"/>
      <c r="E1819" s="11" t="n"/>
      <c r="F1819" s="11" t="n"/>
      <c r="G1819" s="11" t="n"/>
      <c r="H1819" s="11" t="n"/>
      <c r="I1819" s="11" t="n"/>
      <c r="J1819" s="11" t="n"/>
      <c r="K1819" s="11" t="n"/>
      <c r="L1819" s="11" t="n"/>
      <c r="M1819" s="11" t="n"/>
      <c r="N1819" s="11" t="n"/>
      <c r="O1819" s="11" t="n"/>
      <c r="P1819" s="11" t="n"/>
      <c r="Q1819" s="11" t="n"/>
      <c r="R1819" s="11" t="n"/>
      <c r="S1819" s="11" t="n"/>
      <c r="T1819" s="12" t="n"/>
    </row>
    <row r="1820">
      <c r="A1820" s="11" t="n"/>
      <c r="B1820" s="11" t="n"/>
      <c r="C1820" s="11" t="n"/>
      <c r="D1820" s="11" t="n"/>
      <c r="E1820" s="11" t="n"/>
      <c r="F1820" s="11" t="n"/>
      <c r="G1820" s="11" t="n"/>
      <c r="H1820" s="11" t="n"/>
      <c r="I1820" s="11" t="n"/>
      <c r="J1820" s="11" t="n"/>
      <c r="K1820" s="11" t="n"/>
      <c r="L1820" s="11" t="n"/>
      <c r="M1820" s="11" t="n"/>
      <c r="N1820" s="11" t="n"/>
      <c r="O1820" s="11" t="n"/>
      <c r="P1820" s="11" t="n"/>
      <c r="Q1820" s="11" t="n"/>
      <c r="R1820" s="11" t="n"/>
      <c r="S1820" s="11" t="n"/>
      <c r="T1820" s="12" t="n"/>
    </row>
    <row r="1821">
      <c r="A1821" s="11" t="n"/>
      <c r="B1821" s="11" t="n"/>
      <c r="C1821" s="11" t="n"/>
      <c r="D1821" s="11" t="n"/>
      <c r="E1821" s="11" t="n"/>
      <c r="F1821" s="11" t="n"/>
      <c r="G1821" s="11" t="n"/>
      <c r="H1821" s="11" t="n"/>
      <c r="I1821" s="11" t="n"/>
      <c r="J1821" s="11" t="n"/>
      <c r="K1821" s="11" t="n"/>
      <c r="L1821" s="11" t="n"/>
      <c r="M1821" s="11" t="n"/>
      <c r="N1821" s="11" t="n"/>
      <c r="O1821" s="11" t="n"/>
      <c r="P1821" s="11" t="n"/>
      <c r="Q1821" s="11" t="n"/>
      <c r="R1821" s="11" t="n"/>
      <c r="S1821" s="11" t="n"/>
      <c r="T1821" s="12" t="n"/>
    </row>
    <row r="1822">
      <c r="A1822" s="11" t="n"/>
      <c r="B1822" s="11" t="n"/>
      <c r="C1822" s="11" t="n"/>
      <c r="D1822" s="11" t="n"/>
      <c r="E1822" s="11" t="n"/>
      <c r="F1822" s="11" t="n"/>
      <c r="G1822" s="11" t="n"/>
      <c r="H1822" s="11" t="n"/>
      <c r="I1822" s="11" t="n"/>
      <c r="J1822" s="11" t="n"/>
      <c r="K1822" s="11" t="n"/>
      <c r="L1822" s="11" t="n"/>
      <c r="M1822" s="11" t="n"/>
      <c r="N1822" s="11" t="n"/>
      <c r="O1822" s="11" t="n"/>
      <c r="P1822" s="11" t="n"/>
      <c r="Q1822" s="11" t="n"/>
      <c r="R1822" s="11" t="n"/>
      <c r="S1822" s="11" t="n"/>
      <c r="T1822" s="12" t="n"/>
    </row>
    <row r="1823">
      <c r="A1823" s="11" t="n"/>
      <c r="B1823" s="11" t="n"/>
      <c r="C1823" s="11" t="n"/>
      <c r="D1823" s="11" t="n"/>
      <c r="E1823" s="11" t="n"/>
      <c r="F1823" s="11" t="n"/>
      <c r="G1823" s="11" t="n"/>
      <c r="H1823" s="11" t="n"/>
      <c r="I1823" s="11" t="n"/>
      <c r="J1823" s="11" t="n"/>
      <c r="K1823" s="11" t="n"/>
      <c r="L1823" s="11" t="n"/>
      <c r="M1823" s="11" t="n"/>
      <c r="N1823" s="11" t="n"/>
      <c r="O1823" s="11" t="n"/>
      <c r="P1823" s="11" t="n"/>
      <c r="Q1823" s="11" t="n"/>
      <c r="R1823" s="11" t="n"/>
      <c r="S1823" s="11" t="n"/>
      <c r="T1823" s="12" t="n"/>
    </row>
    <row r="1824">
      <c r="A1824" s="11" t="n"/>
      <c r="B1824" s="11" t="n"/>
      <c r="C1824" s="11" t="n"/>
      <c r="D1824" s="11" t="n"/>
      <c r="E1824" s="11" t="n"/>
      <c r="F1824" s="11" t="n"/>
      <c r="G1824" s="11" t="n"/>
      <c r="H1824" s="11" t="n"/>
      <c r="I1824" s="11" t="n"/>
      <c r="J1824" s="11" t="n"/>
      <c r="K1824" s="11" t="n"/>
      <c r="L1824" s="11" t="n"/>
      <c r="M1824" s="11" t="n"/>
      <c r="N1824" s="11" t="n"/>
      <c r="O1824" s="11" t="n"/>
      <c r="P1824" s="11" t="n"/>
      <c r="Q1824" s="11" t="n"/>
      <c r="R1824" s="11" t="n"/>
      <c r="S1824" s="11" t="n"/>
      <c r="T1824" s="12" t="n"/>
    </row>
    <row r="1825">
      <c r="A1825" s="11" t="n"/>
      <c r="B1825" s="11" t="n"/>
      <c r="C1825" s="11" t="n"/>
      <c r="D1825" s="11" t="n"/>
      <c r="E1825" s="11" t="n"/>
      <c r="F1825" s="11" t="n"/>
      <c r="G1825" s="11" t="n"/>
      <c r="H1825" s="11" t="n"/>
      <c r="I1825" s="11" t="n"/>
      <c r="J1825" s="11" t="n"/>
      <c r="K1825" s="11" t="n"/>
      <c r="L1825" s="11" t="n"/>
      <c r="M1825" s="11" t="n"/>
      <c r="N1825" s="11" t="n"/>
      <c r="O1825" s="11" t="n"/>
      <c r="P1825" s="11" t="n"/>
      <c r="Q1825" s="11" t="n"/>
      <c r="R1825" s="11" t="n"/>
      <c r="S1825" s="11" t="n"/>
      <c r="T1825" s="12" t="n"/>
    </row>
    <row r="1826">
      <c r="A1826" s="11" t="n"/>
      <c r="B1826" s="11" t="n"/>
      <c r="C1826" s="11" t="n"/>
      <c r="D1826" s="11" t="n"/>
      <c r="E1826" s="11" t="n"/>
      <c r="F1826" s="11" t="n"/>
      <c r="G1826" s="11" t="n"/>
      <c r="H1826" s="11" t="n"/>
      <c r="I1826" s="11" t="n"/>
      <c r="J1826" s="11" t="n"/>
      <c r="K1826" s="11" t="n"/>
      <c r="L1826" s="11" t="n"/>
      <c r="M1826" s="11" t="n"/>
      <c r="N1826" s="11" t="n"/>
      <c r="O1826" s="11" t="n"/>
      <c r="P1826" s="11" t="n"/>
      <c r="Q1826" s="11" t="n"/>
      <c r="R1826" s="11" t="n"/>
      <c r="S1826" s="11" t="n"/>
      <c r="T1826" s="12" t="n"/>
    </row>
    <row r="1827">
      <c r="A1827" s="11" t="n"/>
      <c r="B1827" s="11" t="n"/>
      <c r="C1827" s="11" t="n"/>
      <c r="D1827" s="11" t="n"/>
      <c r="E1827" s="11" t="n"/>
      <c r="F1827" s="11" t="n"/>
      <c r="G1827" s="11" t="n"/>
      <c r="H1827" s="11" t="n"/>
      <c r="I1827" s="11" t="n"/>
      <c r="J1827" s="11" t="n"/>
      <c r="K1827" s="11" t="n"/>
      <c r="L1827" s="11" t="n"/>
      <c r="M1827" s="11" t="n"/>
      <c r="N1827" s="11" t="n"/>
      <c r="O1827" s="11" t="n"/>
      <c r="P1827" s="11" t="n"/>
      <c r="Q1827" s="11" t="n"/>
      <c r="R1827" s="11" t="n"/>
      <c r="S1827" s="11" t="n"/>
      <c r="T1827" s="12" t="n"/>
    </row>
    <row r="1828">
      <c r="A1828" s="11" t="n"/>
      <c r="B1828" s="11" t="n"/>
      <c r="C1828" s="11" t="n"/>
      <c r="D1828" s="11" t="n"/>
      <c r="E1828" s="11" t="n"/>
      <c r="F1828" s="11" t="n"/>
      <c r="G1828" s="11" t="n"/>
      <c r="H1828" s="11" t="n"/>
      <c r="I1828" s="11" t="n"/>
      <c r="J1828" s="11" t="n"/>
      <c r="K1828" s="11" t="n"/>
      <c r="L1828" s="11" t="n"/>
      <c r="M1828" s="11" t="n"/>
      <c r="N1828" s="11" t="n"/>
      <c r="O1828" s="11" t="n"/>
      <c r="P1828" s="11" t="n"/>
      <c r="Q1828" s="11" t="n"/>
      <c r="R1828" s="11" t="n"/>
      <c r="S1828" s="11" t="n"/>
      <c r="T1828" s="12" t="n"/>
    </row>
    <row r="1829">
      <c r="A1829" s="11" t="n"/>
      <c r="B1829" s="11" t="n"/>
      <c r="C1829" s="11" t="n"/>
      <c r="D1829" s="11" t="n"/>
      <c r="E1829" s="11" t="n"/>
      <c r="F1829" s="11" t="n"/>
      <c r="G1829" s="11" t="n"/>
      <c r="H1829" s="11" t="n"/>
      <c r="I1829" s="11" t="n"/>
      <c r="J1829" s="11" t="n"/>
      <c r="K1829" s="11" t="n"/>
      <c r="L1829" s="11" t="n"/>
      <c r="M1829" s="11" t="n"/>
      <c r="N1829" s="11" t="n"/>
      <c r="O1829" s="11" t="n"/>
      <c r="P1829" s="11" t="n"/>
      <c r="Q1829" s="11" t="n"/>
      <c r="R1829" s="11" t="n"/>
      <c r="S1829" s="11" t="n"/>
      <c r="T1829" s="12" t="n"/>
    </row>
    <row r="1830">
      <c r="A1830" s="11" t="n"/>
      <c r="B1830" s="11" t="n"/>
      <c r="C1830" s="11" t="n"/>
      <c r="D1830" s="11" t="n"/>
      <c r="E1830" s="11" t="n"/>
      <c r="F1830" s="11" t="n"/>
      <c r="G1830" s="11" t="n"/>
      <c r="H1830" s="11" t="n"/>
      <c r="I1830" s="11" t="n"/>
      <c r="J1830" s="11" t="n"/>
      <c r="K1830" s="11" t="n"/>
      <c r="L1830" s="11" t="n"/>
      <c r="M1830" s="11" t="n"/>
      <c r="N1830" s="11" t="n"/>
      <c r="O1830" s="11" t="n"/>
      <c r="P1830" s="11" t="n"/>
      <c r="Q1830" s="11" t="n"/>
      <c r="R1830" s="11" t="n"/>
      <c r="S1830" s="11" t="n"/>
      <c r="T1830" s="12" t="n"/>
    </row>
    <row r="1831">
      <c r="A1831" s="11" t="n"/>
      <c r="B1831" s="11" t="n"/>
      <c r="C1831" s="11" t="n"/>
      <c r="D1831" s="11" t="n"/>
      <c r="E1831" s="11" t="n"/>
      <c r="F1831" s="11" t="n"/>
      <c r="G1831" s="11" t="n"/>
      <c r="H1831" s="11" t="n"/>
      <c r="I1831" s="11" t="n"/>
      <c r="J1831" s="11" t="n"/>
      <c r="K1831" s="11" t="n"/>
      <c r="L1831" s="11" t="n"/>
      <c r="M1831" s="11" t="n"/>
      <c r="N1831" s="11" t="n"/>
      <c r="O1831" s="11" t="n"/>
      <c r="P1831" s="11" t="n"/>
      <c r="Q1831" s="11" t="n"/>
      <c r="R1831" s="11" t="n"/>
      <c r="S1831" s="11" t="n"/>
      <c r="T1831" s="12" t="n"/>
    </row>
    <row r="1832">
      <c r="A1832" s="11" t="n"/>
      <c r="B1832" s="11" t="n"/>
      <c r="C1832" s="11" t="n"/>
      <c r="D1832" s="11" t="n"/>
      <c r="E1832" s="11" t="n"/>
      <c r="F1832" s="11" t="n"/>
      <c r="G1832" s="11" t="n"/>
      <c r="H1832" s="11" t="n"/>
      <c r="I1832" s="11" t="n"/>
      <c r="J1832" s="11" t="n"/>
      <c r="K1832" s="11" t="n"/>
      <c r="L1832" s="11" t="n"/>
      <c r="M1832" s="11" t="n"/>
      <c r="N1832" s="11" t="n"/>
      <c r="O1832" s="11" t="n"/>
      <c r="P1832" s="11" t="n"/>
      <c r="Q1832" s="11" t="n"/>
      <c r="R1832" s="11" t="n"/>
      <c r="S1832" s="11" t="n"/>
      <c r="T1832" s="12" t="n"/>
    </row>
    <row r="1833">
      <c r="A1833" s="11" t="n"/>
      <c r="B1833" s="11" t="n"/>
      <c r="C1833" s="11" t="n"/>
      <c r="D1833" s="11" t="n"/>
      <c r="E1833" s="11" t="n"/>
      <c r="F1833" s="11" t="n"/>
      <c r="G1833" s="11" t="n"/>
      <c r="H1833" s="11" t="n"/>
      <c r="I1833" s="11" t="n"/>
      <c r="J1833" s="11" t="n"/>
      <c r="K1833" s="11" t="n"/>
      <c r="L1833" s="11" t="n"/>
      <c r="M1833" s="11" t="n"/>
      <c r="N1833" s="11" t="n"/>
      <c r="O1833" s="11" t="n"/>
      <c r="P1833" s="11" t="n"/>
      <c r="Q1833" s="11" t="n"/>
      <c r="R1833" s="11" t="n"/>
      <c r="S1833" s="11" t="n"/>
      <c r="T1833" s="12" t="n"/>
    </row>
    <row r="1834">
      <c r="A1834" s="11" t="n"/>
      <c r="B1834" s="11" t="n"/>
      <c r="C1834" s="11" t="n"/>
      <c r="D1834" s="11" t="n"/>
      <c r="E1834" s="11" t="n"/>
      <c r="F1834" s="11" t="n"/>
      <c r="G1834" s="11" t="n"/>
      <c r="H1834" s="11" t="n"/>
      <c r="I1834" s="11" t="n"/>
      <c r="J1834" s="11" t="n"/>
      <c r="K1834" s="11" t="n"/>
      <c r="L1834" s="11" t="n"/>
      <c r="M1834" s="11" t="n"/>
      <c r="N1834" s="11" t="n"/>
      <c r="O1834" s="11" t="n"/>
      <c r="P1834" s="11" t="n"/>
      <c r="Q1834" s="11" t="n"/>
      <c r="R1834" s="11" t="n"/>
      <c r="S1834" s="11" t="n"/>
      <c r="T1834" s="12" t="n"/>
    </row>
    <row r="1835">
      <c r="A1835" s="11" t="n"/>
      <c r="B1835" s="11" t="n"/>
      <c r="C1835" s="11" t="n"/>
      <c r="D1835" s="11" t="n"/>
      <c r="E1835" s="11" t="n"/>
      <c r="F1835" s="11" t="n"/>
      <c r="G1835" s="11" t="n"/>
      <c r="H1835" s="11" t="n"/>
      <c r="I1835" s="11" t="n"/>
      <c r="J1835" s="11" t="n"/>
      <c r="K1835" s="11" t="n"/>
      <c r="L1835" s="11" t="n"/>
      <c r="M1835" s="11" t="n"/>
      <c r="N1835" s="11" t="n"/>
      <c r="O1835" s="11" t="n"/>
      <c r="P1835" s="11" t="n"/>
      <c r="Q1835" s="11" t="n"/>
      <c r="R1835" s="11" t="n"/>
      <c r="S1835" s="11" t="n"/>
      <c r="T1835" s="12" t="n"/>
    </row>
    <row r="1836">
      <c r="A1836" s="11" t="n"/>
      <c r="B1836" s="11" t="n"/>
      <c r="C1836" s="11" t="n"/>
      <c r="D1836" s="11" t="n"/>
      <c r="E1836" s="11" t="n"/>
      <c r="F1836" s="11" t="n"/>
      <c r="G1836" s="11" t="n"/>
      <c r="H1836" s="11" t="n"/>
      <c r="I1836" s="11" t="n"/>
      <c r="J1836" s="11" t="n"/>
      <c r="K1836" s="11" t="n"/>
      <c r="L1836" s="11" t="n"/>
      <c r="M1836" s="11" t="n"/>
      <c r="N1836" s="11" t="n"/>
      <c r="O1836" s="11" t="n"/>
      <c r="P1836" s="11" t="n"/>
      <c r="Q1836" s="11" t="n"/>
      <c r="R1836" s="11" t="n"/>
      <c r="S1836" s="11" t="n"/>
      <c r="T1836" s="12" t="n"/>
    </row>
    <row r="1837">
      <c r="A1837" s="11" t="n"/>
      <c r="B1837" s="11" t="n"/>
      <c r="C1837" s="11" t="n"/>
      <c r="D1837" s="11" t="n"/>
      <c r="E1837" s="11" t="n"/>
      <c r="F1837" s="11" t="n"/>
      <c r="G1837" s="11" t="n"/>
      <c r="H1837" s="11" t="n"/>
      <c r="I1837" s="11" t="n"/>
      <c r="J1837" s="11" t="n"/>
      <c r="K1837" s="11" t="n"/>
      <c r="L1837" s="11" t="n"/>
      <c r="M1837" s="11" t="n"/>
      <c r="N1837" s="11" t="n"/>
      <c r="O1837" s="11" t="n"/>
      <c r="P1837" s="11" t="n"/>
      <c r="Q1837" s="11" t="n"/>
      <c r="R1837" s="11" t="n"/>
      <c r="S1837" s="11" t="n"/>
      <c r="T1837" s="12" t="n"/>
    </row>
    <row r="1838">
      <c r="A1838" s="11" t="n"/>
      <c r="B1838" s="11" t="n"/>
      <c r="C1838" s="11" t="n"/>
      <c r="D1838" s="11" t="n"/>
      <c r="E1838" s="11" t="n"/>
      <c r="F1838" s="11" t="n"/>
      <c r="G1838" s="11" t="n"/>
      <c r="H1838" s="11" t="n"/>
      <c r="I1838" s="11" t="n"/>
      <c r="J1838" s="11" t="n"/>
      <c r="K1838" s="11" t="n"/>
      <c r="L1838" s="11" t="n"/>
      <c r="M1838" s="11" t="n"/>
      <c r="N1838" s="11" t="n"/>
      <c r="O1838" s="11" t="n"/>
      <c r="P1838" s="11" t="n"/>
      <c r="Q1838" s="11" t="n"/>
      <c r="R1838" s="11" t="n"/>
      <c r="S1838" s="11" t="n"/>
      <c r="T1838" s="12" t="n"/>
    </row>
    <row r="1839">
      <c r="A1839" s="11" t="n"/>
      <c r="B1839" s="11" t="n"/>
      <c r="C1839" s="11" t="n"/>
      <c r="D1839" s="11" t="n"/>
      <c r="E1839" s="11" t="n"/>
      <c r="F1839" s="11" t="n"/>
      <c r="G1839" s="11" t="n"/>
      <c r="H1839" s="11" t="n"/>
      <c r="I1839" s="11" t="n"/>
      <c r="J1839" s="11" t="n"/>
      <c r="K1839" s="11" t="n"/>
      <c r="L1839" s="11" t="n"/>
      <c r="M1839" s="11" t="n"/>
      <c r="N1839" s="11" t="n"/>
      <c r="O1839" s="11" t="n"/>
      <c r="P1839" s="11" t="n"/>
      <c r="Q1839" s="11" t="n"/>
      <c r="R1839" s="11" t="n"/>
      <c r="S1839" s="11" t="n"/>
      <c r="T1839" s="12" t="n"/>
    </row>
    <row r="1840">
      <c r="A1840" s="11" t="n"/>
      <c r="B1840" s="11" t="n"/>
      <c r="C1840" s="11" t="n"/>
      <c r="D1840" s="11" t="n"/>
      <c r="E1840" s="11" t="n"/>
      <c r="F1840" s="11" t="n"/>
      <c r="G1840" s="11" t="n"/>
      <c r="H1840" s="11" t="n"/>
      <c r="I1840" s="11" t="n"/>
      <c r="J1840" s="11" t="n"/>
      <c r="K1840" s="11" t="n"/>
      <c r="L1840" s="11" t="n"/>
      <c r="M1840" s="11" t="n"/>
      <c r="N1840" s="11" t="n"/>
      <c r="O1840" s="11" t="n"/>
      <c r="P1840" s="11" t="n"/>
      <c r="Q1840" s="11" t="n"/>
      <c r="R1840" s="11" t="n"/>
      <c r="S1840" s="11" t="n"/>
      <c r="T1840" s="12" t="n"/>
    </row>
    <row r="1841">
      <c r="A1841" s="11" t="n"/>
      <c r="B1841" s="11" t="n"/>
      <c r="C1841" s="11" t="n"/>
      <c r="D1841" s="11" t="n"/>
      <c r="E1841" s="11" t="n"/>
      <c r="F1841" s="11" t="n"/>
      <c r="G1841" s="11" t="n"/>
      <c r="H1841" s="11" t="n"/>
      <c r="I1841" s="11" t="n"/>
      <c r="J1841" s="11" t="n"/>
      <c r="K1841" s="11" t="n"/>
      <c r="L1841" s="11" t="n"/>
      <c r="M1841" s="11" t="n"/>
      <c r="N1841" s="11" t="n"/>
      <c r="O1841" s="11" t="n"/>
      <c r="P1841" s="11" t="n"/>
      <c r="Q1841" s="11" t="n"/>
      <c r="R1841" s="11" t="n"/>
      <c r="S1841" s="11" t="n"/>
      <c r="T1841" s="12" t="n"/>
    </row>
    <row r="1842">
      <c r="A1842" s="11" t="n"/>
      <c r="B1842" s="11" t="n"/>
      <c r="C1842" s="11" t="n"/>
      <c r="D1842" s="11" t="n"/>
      <c r="E1842" s="11" t="n"/>
      <c r="F1842" s="11" t="n"/>
      <c r="G1842" s="11" t="n"/>
      <c r="H1842" s="11" t="n"/>
      <c r="I1842" s="11" t="n"/>
      <c r="J1842" s="11" t="n"/>
      <c r="K1842" s="11" t="n"/>
      <c r="L1842" s="11" t="n"/>
      <c r="M1842" s="11" t="n"/>
      <c r="N1842" s="11" t="n"/>
      <c r="O1842" s="11" t="n"/>
      <c r="P1842" s="11" t="n"/>
      <c r="Q1842" s="11" t="n"/>
      <c r="R1842" s="11" t="n"/>
      <c r="S1842" s="11" t="n"/>
      <c r="T1842" s="12" t="n"/>
    </row>
    <row r="1843">
      <c r="A1843" s="11" t="n"/>
      <c r="B1843" s="11" t="n"/>
      <c r="C1843" s="11" t="n"/>
      <c r="D1843" s="11" t="n"/>
      <c r="E1843" s="11" t="n"/>
      <c r="F1843" s="11" t="n"/>
      <c r="G1843" s="11" t="n"/>
      <c r="H1843" s="11" t="n"/>
      <c r="I1843" s="11" t="n"/>
      <c r="J1843" s="11" t="n"/>
      <c r="K1843" s="11" t="n"/>
      <c r="L1843" s="11" t="n"/>
      <c r="M1843" s="11" t="n"/>
      <c r="N1843" s="11" t="n"/>
      <c r="O1843" s="11" t="n"/>
      <c r="P1843" s="11" t="n"/>
      <c r="Q1843" s="11" t="n"/>
      <c r="R1843" s="11" t="n"/>
      <c r="S1843" s="11" t="n"/>
      <c r="T1843" s="12" t="n"/>
    </row>
    <row r="1844">
      <c r="A1844" s="11" t="n"/>
      <c r="B1844" s="11" t="n"/>
      <c r="C1844" s="11" t="n"/>
      <c r="D1844" s="11" t="n"/>
      <c r="E1844" s="11" t="n"/>
      <c r="F1844" s="11" t="n"/>
      <c r="G1844" s="11" t="n"/>
      <c r="H1844" s="11" t="n"/>
      <c r="I1844" s="11" t="n"/>
      <c r="J1844" s="11" t="n"/>
      <c r="K1844" s="11" t="n"/>
      <c r="L1844" s="11" t="n"/>
      <c r="M1844" s="11" t="n"/>
      <c r="N1844" s="11" t="n"/>
      <c r="O1844" s="11" t="n"/>
      <c r="P1844" s="11" t="n"/>
      <c r="Q1844" s="11" t="n"/>
      <c r="R1844" s="11" t="n"/>
      <c r="S1844" s="11" t="n"/>
      <c r="T1844" s="12" t="n"/>
    </row>
    <row r="1845">
      <c r="A1845" s="11" t="n"/>
      <c r="B1845" s="11" t="n"/>
      <c r="C1845" s="11" t="n"/>
      <c r="D1845" s="11" t="n"/>
      <c r="E1845" s="11" t="n"/>
      <c r="F1845" s="11" t="n"/>
      <c r="G1845" s="11" t="n"/>
      <c r="H1845" s="11" t="n"/>
      <c r="I1845" s="11" t="n"/>
      <c r="J1845" s="11" t="n"/>
      <c r="K1845" s="11" t="n"/>
      <c r="L1845" s="11" t="n"/>
      <c r="M1845" s="11" t="n"/>
      <c r="N1845" s="11" t="n"/>
      <c r="O1845" s="11" t="n"/>
      <c r="P1845" s="11" t="n"/>
      <c r="Q1845" s="11" t="n"/>
      <c r="R1845" s="11" t="n"/>
      <c r="S1845" s="11" t="n"/>
      <c r="T1845" s="12" t="n"/>
    </row>
    <row r="1846">
      <c r="A1846" s="11" t="n"/>
      <c r="B1846" s="11" t="n"/>
      <c r="C1846" s="11" t="n"/>
      <c r="D1846" s="11" t="n"/>
      <c r="E1846" s="11" t="n"/>
      <c r="F1846" s="11" t="n"/>
      <c r="G1846" s="11" t="n"/>
      <c r="H1846" s="11" t="n"/>
      <c r="I1846" s="11" t="n"/>
      <c r="J1846" s="11" t="n"/>
      <c r="K1846" s="11" t="n"/>
      <c r="L1846" s="11" t="n"/>
      <c r="M1846" s="11" t="n"/>
      <c r="N1846" s="11" t="n"/>
      <c r="O1846" s="11" t="n"/>
      <c r="P1846" s="11" t="n"/>
      <c r="Q1846" s="11" t="n"/>
      <c r="R1846" s="11" t="n"/>
      <c r="S1846" s="11" t="n"/>
      <c r="T1846" s="12" t="n"/>
    </row>
    <row r="1847">
      <c r="A1847" s="11" t="n"/>
      <c r="B1847" s="11" t="n"/>
      <c r="C1847" s="11" t="n"/>
      <c r="D1847" s="11" t="n"/>
      <c r="E1847" s="11" t="n"/>
      <c r="F1847" s="11" t="n"/>
      <c r="G1847" s="11" t="n"/>
      <c r="H1847" s="11" t="n"/>
      <c r="I1847" s="11" t="n"/>
      <c r="J1847" s="11" t="n"/>
      <c r="K1847" s="11" t="n"/>
      <c r="L1847" s="11" t="n"/>
      <c r="M1847" s="11" t="n"/>
      <c r="N1847" s="11" t="n"/>
      <c r="O1847" s="11" t="n"/>
      <c r="P1847" s="11" t="n"/>
      <c r="Q1847" s="11" t="n"/>
      <c r="R1847" s="11" t="n"/>
      <c r="S1847" s="11" t="n"/>
      <c r="T1847" s="12" t="n"/>
    </row>
    <row r="1848">
      <c r="A1848" s="11" t="n"/>
      <c r="B1848" s="11" t="n"/>
      <c r="C1848" s="11" t="n"/>
      <c r="D1848" s="11" t="n"/>
      <c r="E1848" s="11" t="n"/>
      <c r="F1848" s="11" t="n"/>
      <c r="G1848" s="11" t="n"/>
      <c r="H1848" s="11" t="n"/>
      <c r="I1848" s="11" t="n"/>
      <c r="J1848" s="11" t="n"/>
      <c r="K1848" s="11" t="n"/>
      <c r="L1848" s="11" t="n"/>
      <c r="M1848" s="11" t="n"/>
      <c r="N1848" s="11" t="n"/>
      <c r="O1848" s="11" t="n"/>
      <c r="P1848" s="11" t="n"/>
      <c r="Q1848" s="11" t="n"/>
      <c r="R1848" s="11" t="n"/>
      <c r="S1848" s="11" t="n"/>
      <c r="T1848" s="12" t="n"/>
    </row>
    <row r="1849">
      <c r="A1849" s="11" t="n"/>
      <c r="B1849" s="11" t="n"/>
      <c r="C1849" s="11" t="n"/>
      <c r="D1849" s="11" t="n"/>
      <c r="E1849" s="11" t="n"/>
      <c r="F1849" s="11" t="n"/>
      <c r="G1849" s="11" t="n"/>
      <c r="H1849" s="11" t="n"/>
      <c r="I1849" s="11" t="n"/>
      <c r="J1849" s="11" t="n"/>
      <c r="K1849" s="11" t="n"/>
      <c r="L1849" s="11" t="n"/>
      <c r="M1849" s="11" t="n"/>
      <c r="N1849" s="11" t="n"/>
      <c r="O1849" s="11" t="n"/>
      <c r="P1849" s="11" t="n"/>
      <c r="Q1849" s="11" t="n"/>
      <c r="R1849" s="11" t="n"/>
      <c r="S1849" s="11" t="n"/>
      <c r="T1849" s="12" t="n"/>
    </row>
    <row r="1850">
      <c r="A1850" s="11" t="n"/>
      <c r="B1850" s="11" t="n"/>
      <c r="C1850" s="11" t="n"/>
      <c r="D1850" s="11" t="n"/>
      <c r="E1850" s="11" t="n"/>
      <c r="F1850" s="11" t="n"/>
      <c r="G1850" s="11" t="n"/>
      <c r="H1850" s="11" t="n"/>
      <c r="I1850" s="11" t="n"/>
      <c r="J1850" s="11" t="n"/>
      <c r="K1850" s="11" t="n"/>
      <c r="L1850" s="11" t="n"/>
      <c r="M1850" s="11" t="n"/>
      <c r="N1850" s="11" t="n"/>
      <c r="O1850" s="11" t="n"/>
      <c r="P1850" s="11" t="n"/>
      <c r="Q1850" s="11" t="n"/>
      <c r="R1850" s="11" t="n"/>
      <c r="S1850" s="11" t="n"/>
      <c r="T1850" s="12" t="n"/>
    </row>
    <row r="1851">
      <c r="A1851" s="11" t="n"/>
      <c r="B1851" s="11" t="n"/>
      <c r="C1851" s="11" t="n"/>
      <c r="D1851" s="11" t="n"/>
      <c r="E1851" s="11" t="n"/>
      <c r="F1851" s="11" t="n"/>
      <c r="G1851" s="11" t="n"/>
      <c r="H1851" s="11" t="n"/>
      <c r="I1851" s="11" t="n"/>
      <c r="J1851" s="11" t="n"/>
      <c r="K1851" s="11" t="n"/>
      <c r="L1851" s="11" t="n"/>
      <c r="M1851" s="11" t="n"/>
      <c r="N1851" s="11" t="n"/>
      <c r="O1851" s="11" t="n"/>
      <c r="P1851" s="11" t="n"/>
      <c r="Q1851" s="11" t="n"/>
      <c r="R1851" s="11" t="n"/>
      <c r="S1851" s="11" t="n"/>
      <c r="T1851" s="12" t="n"/>
    </row>
    <row r="1852">
      <c r="A1852" s="11" t="n"/>
      <c r="B1852" s="11" t="n"/>
      <c r="C1852" s="11" t="n"/>
      <c r="D1852" s="11" t="n"/>
      <c r="E1852" s="11" t="n"/>
      <c r="F1852" s="11" t="n"/>
      <c r="G1852" s="11" t="n"/>
      <c r="H1852" s="11" t="n"/>
      <c r="I1852" s="11" t="n"/>
      <c r="J1852" s="11" t="n"/>
      <c r="K1852" s="11" t="n"/>
      <c r="L1852" s="11" t="n"/>
      <c r="M1852" s="11" t="n"/>
      <c r="N1852" s="11" t="n"/>
      <c r="O1852" s="11" t="n"/>
      <c r="P1852" s="11" t="n"/>
      <c r="Q1852" s="11" t="n"/>
      <c r="R1852" s="11" t="n"/>
      <c r="S1852" s="11" t="n"/>
      <c r="T1852" s="12" t="n"/>
    </row>
    <row r="1853">
      <c r="A1853" s="11" t="n"/>
      <c r="B1853" s="11" t="n"/>
      <c r="C1853" s="11" t="n"/>
      <c r="D1853" s="11" t="n"/>
      <c r="E1853" s="11" t="n"/>
      <c r="F1853" s="11" t="n"/>
      <c r="G1853" s="11" t="n"/>
      <c r="H1853" s="11" t="n"/>
      <c r="I1853" s="11" t="n"/>
      <c r="J1853" s="11" t="n"/>
      <c r="K1853" s="11" t="n"/>
      <c r="L1853" s="11" t="n"/>
      <c r="M1853" s="11" t="n"/>
      <c r="N1853" s="11" t="n"/>
      <c r="O1853" s="11" t="n"/>
      <c r="P1853" s="11" t="n"/>
      <c r="Q1853" s="11" t="n"/>
      <c r="R1853" s="11" t="n"/>
      <c r="S1853" s="11" t="n"/>
      <c r="T1853" s="12" t="n"/>
    </row>
    <row r="1854">
      <c r="A1854" s="11" t="n"/>
      <c r="B1854" s="11" t="n"/>
      <c r="C1854" s="11" t="n"/>
      <c r="D1854" s="11" t="n"/>
      <c r="E1854" s="11" t="n"/>
      <c r="F1854" s="11" t="n"/>
      <c r="G1854" s="11" t="n"/>
      <c r="H1854" s="11" t="n"/>
      <c r="I1854" s="11" t="n"/>
      <c r="J1854" s="11" t="n"/>
      <c r="K1854" s="11" t="n"/>
      <c r="L1854" s="11" t="n"/>
      <c r="M1854" s="11" t="n"/>
      <c r="N1854" s="11" t="n"/>
      <c r="O1854" s="11" t="n"/>
      <c r="P1854" s="11" t="n"/>
      <c r="Q1854" s="11" t="n"/>
      <c r="R1854" s="11" t="n"/>
      <c r="S1854" s="11" t="n"/>
      <c r="T1854" s="12" t="n"/>
    </row>
    <row r="1855">
      <c r="A1855" s="11" t="n"/>
      <c r="B1855" s="11" t="n"/>
      <c r="C1855" s="11" t="n"/>
      <c r="D1855" s="11" t="n"/>
      <c r="E1855" s="11" t="n"/>
      <c r="F1855" s="11" t="n"/>
      <c r="G1855" s="11" t="n"/>
      <c r="H1855" s="11" t="n"/>
      <c r="I1855" s="11" t="n"/>
      <c r="J1855" s="11" t="n"/>
      <c r="K1855" s="11" t="n"/>
      <c r="L1855" s="11" t="n"/>
      <c r="M1855" s="11" t="n"/>
      <c r="N1855" s="11" t="n"/>
      <c r="O1855" s="11" t="n"/>
      <c r="P1855" s="11" t="n"/>
      <c r="Q1855" s="11" t="n"/>
      <c r="R1855" s="11" t="n"/>
      <c r="S1855" s="11" t="n"/>
      <c r="T1855" s="12" t="n"/>
    </row>
    <row r="1856">
      <c r="A1856" s="11" t="n"/>
      <c r="B1856" s="11" t="n"/>
      <c r="C1856" s="11" t="n"/>
      <c r="D1856" s="11" t="n"/>
      <c r="E1856" s="11" t="n"/>
      <c r="F1856" s="11" t="n"/>
      <c r="G1856" s="11" t="n"/>
      <c r="H1856" s="11" t="n"/>
      <c r="I1856" s="11" t="n"/>
      <c r="J1856" s="11" t="n"/>
      <c r="K1856" s="11" t="n"/>
      <c r="L1856" s="11" t="n"/>
      <c r="M1856" s="11" t="n"/>
      <c r="N1856" s="11" t="n"/>
      <c r="O1856" s="11" t="n"/>
      <c r="P1856" s="11" t="n"/>
      <c r="Q1856" s="11" t="n"/>
      <c r="R1856" s="11" t="n"/>
      <c r="S1856" s="11" t="n"/>
      <c r="T1856" s="12" t="n"/>
    </row>
    <row r="1857">
      <c r="A1857" s="11" t="n"/>
      <c r="B1857" s="11" t="n"/>
      <c r="C1857" s="11" t="n"/>
      <c r="D1857" s="11" t="n"/>
      <c r="E1857" s="11" t="n"/>
      <c r="F1857" s="11" t="n"/>
      <c r="G1857" s="11" t="n"/>
      <c r="H1857" s="11" t="n"/>
      <c r="I1857" s="11" t="n"/>
      <c r="J1857" s="11" t="n"/>
      <c r="K1857" s="11" t="n"/>
      <c r="L1857" s="11" t="n"/>
      <c r="M1857" s="11" t="n"/>
      <c r="N1857" s="11" t="n"/>
      <c r="O1857" s="11" t="n"/>
      <c r="P1857" s="11" t="n"/>
      <c r="Q1857" s="11" t="n"/>
      <c r="R1857" s="11" t="n"/>
      <c r="S1857" s="11" t="n"/>
      <c r="T1857" s="12" t="n"/>
    </row>
    <row r="1858">
      <c r="A1858" s="11" t="n"/>
      <c r="B1858" s="11" t="n"/>
      <c r="C1858" s="11" t="n"/>
      <c r="D1858" s="11" t="n"/>
      <c r="E1858" s="11" t="n"/>
      <c r="F1858" s="11" t="n"/>
      <c r="G1858" s="11" t="n"/>
      <c r="H1858" s="11" t="n"/>
      <c r="I1858" s="11" t="n"/>
      <c r="J1858" s="11" t="n"/>
      <c r="K1858" s="11" t="n"/>
      <c r="L1858" s="11" t="n"/>
      <c r="M1858" s="11" t="n"/>
      <c r="N1858" s="11" t="n"/>
      <c r="O1858" s="11" t="n"/>
      <c r="P1858" s="11" t="n"/>
      <c r="Q1858" s="11" t="n"/>
      <c r="R1858" s="11" t="n"/>
      <c r="S1858" s="11" t="n"/>
      <c r="T1858" s="12" t="n"/>
    </row>
    <row r="1859">
      <c r="A1859" s="11" t="n"/>
      <c r="B1859" s="11" t="n"/>
      <c r="C1859" s="11" t="n"/>
      <c r="D1859" s="11" t="n"/>
      <c r="E1859" s="11" t="n"/>
      <c r="F1859" s="11" t="n"/>
      <c r="G1859" s="11" t="n"/>
      <c r="H1859" s="11" t="n"/>
      <c r="I1859" s="11" t="n"/>
      <c r="J1859" s="11" t="n"/>
      <c r="K1859" s="11" t="n"/>
      <c r="L1859" s="11" t="n"/>
      <c r="M1859" s="11" t="n"/>
      <c r="N1859" s="11" t="n"/>
      <c r="O1859" s="11" t="n"/>
      <c r="P1859" s="11" t="n"/>
      <c r="Q1859" s="11" t="n"/>
      <c r="R1859" s="11" t="n"/>
      <c r="S1859" s="11" t="n"/>
      <c r="T1859" s="12" t="n"/>
    </row>
    <row r="1860">
      <c r="A1860" s="11" t="n"/>
      <c r="B1860" s="11" t="n"/>
      <c r="C1860" s="11" t="n"/>
      <c r="D1860" s="11" t="n"/>
      <c r="E1860" s="11" t="n"/>
      <c r="F1860" s="11" t="n"/>
      <c r="G1860" s="11" t="n"/>
      <c r="H1860" s="11" t="n"/>
      <c r="I1860" s="11" t="n"/>
      <c r="J1860" s="11" t="n"/>
      <c r="K1860" s="11" t="n"/>
      <c r="L1860" s="11" t="n"/>
      <c r="M1860" s="11" t="n"/>
      <c r="N1860" s="11" t="n"/>
      <c r="O1860" s="11" t="n"/>
      <c r="P1860" s="11" t="n"/>
      <c r="Q1860" s="11" t="n"/>
      <c r="R1860" s="11" t="n"/>
      <c r="S1860" s="11" t="n"/>
      <c r="T1860" s="12" t="n"/>
    </row>
    <row r="1861">
      <c r="A1861" s="11" t="n"/>
      <c r="B1861" s="11" t="n"/>
      <c r="C1861" s="11" t="n"/>
      <c r="D1861" s="11" t="n"/>
      <c r="E1861" s="11" t="n"/>
      <c r="F1861" s="11" t="n"/>
      <c r="G1861" s="11" t="n"/>
      <c r="H1861" s="11" t="n"/>
      <c r="I1861" s="11" t="n"/>
      <c r="J1861" s="11" t="n"/>
      <c r="K1861" s="11" t="n"/>
      <c r="L1861" s="11" t="n"/>
      <c r="M1861" s="11" t="n"/>
      <c r="N1861" s="11" t="n"/>
      <c r="O1861" s="11" t="n"/>
      <c r="P1861" s="11" t="n"/>
      <c r="Q1861" s="11" t="n"/>
      <c r="R1861" s="11" t="n"/>
      <c r="S1861" s="11" t="n"/>
      <c r="T1861" s="12" t="n"/>
    </row>
    <row r="1862">
      <c r="A1862" s="11" t="n"/>
      <c r="B1862" s="11" t="n"/>
      <c r="C1862" s="11" t="n"/>
      <c r="D1862" s="11" t="n"/>
      <c r="E1862" s="11" t="n"/>
      <c r="F1862" s="11" t="n"/>
      <c r="G1862" s="11" t="n"/>
      <c r="H1862" s="11" t="n"/>
      <c r="I1862" s="11" t="n"/>
      <c r="J1862" s="11" t="n"/>
      <c r="K1862" s="11" t="n"/>
      <c r="L1862" s="11" t="n"/>
      <c r="M1862" s="11" t="n"/>
      <c r="N1862" s="11" t="n"/>
      <c r="O1862" s="11" t="n"/>
      <c r="P1862" s="11" t="n"/>
      <c r="Q1862" s="11" t="n"/>
      <c r="R1862" s="11" t="n"/>
      <c r="S1862" s="11" t="n"/>
      <c r="T1862" s="12" t="n"/>
    </row>
    <row r="1863">
      <c r="A1863" s="11" t="n"/>
      <c r="B1863" s="11" t="n"/>
      <c r="C1863" s="11" t="n"/>
      <c r="D1863" s="11" t="n"/>
      <c r="E1863" s="11" t="n"/>
      <c r="F1863" s="11" t="n"/>
      <c r="G1863" s="11" t="n"/>
      <c r="H1863" s="11" t="n"/>
      <c r="I1863" s="11" t="n"/>
      <c r="J1863" s="11" t="n"/>
      <c r="K1863" s="11" t="n"/>
      <c r="L1863" s="11" t="n"/>
      <c r="M1863" s="11" t="n"/>
      <c r="N1863" s="11" t="n"/>
      <c r="O1863" s="11" t="n"/>
      <c r="P1863" s="11" t="n"/>
      <c r="Q1863" s="11" t="n"/>
      <c r="R1863" s="11" t="n"/>
      <c r="S1863" s="11" t="n"/>
      <c r="T1863" s="12" t="n"/>
    </row>
    <row r="1864">
      <c r="A1864" s="11" t="n"/>
      <c r="B1864" s="11" t="n"/>
      <c r="C1864" s="11" t="n"/>
      <c r="D1864" s="11" t="n"/>
      <c r="E1864" s="11" t="n"/>
      <c r="F1864" s="11" t="n"/>
      <c r="G1864" s="11" t="n"/>
      <c r="H1864" s="11" t="n"/>
      <c r="I1864" s="11" t="n"/>
      <c r="J1864" s="11" t="n"/>
      <c r="K1864" s="11" t="n"/>
      <c r="L1864" s="11" t="n"/>
      <c r="M1864" s="11" t="n"/>
      <c r="N1864" s="11" t="n"/>
      <c r="O1864" s="11" t="n"/>
      <c r="P1864" s="11" t="n"/>
      <c r="Q1864" s="11" t="n"/>
      <c r="R1864" s="11" t="n"/>
      <c r="S1864" s="11" t="n"/>
      <c r="T1864" s="12" t="n"/>
    </row>
    <row r="1865">
      <c r="A1865" s="11" t="n"/>
      <c r="B1865" s="11" t="n"/>
      <c r="C1865" s="11" t="n"/>
      <c r="D1865" s="11" t="n"/>
      <c r="E1865" s="11" t="n"/>
      <c r="F1865" s="11" t="n"/>
      <c r="G1865" s="11" t="n"/>
      <c r="H1865" s="11" t="n"/>
      <c r="I1865" s="11" t="n"/>
      <c r="J1865" s="11" t="n"/>
      <c r="K1865" s="11" t="n"/>
      <c r="L1865" s="11" t="n"/>
      <c r="M1865" s="11" t="n"/>
      <c r="N1865" s="11" t="n"/>
      <c r="O1865" s="11" t="n"/>
      <c r="P1865" s="11" t="n"/>
      <c r="Q1865" s="11" t="n"/>
      <c r="R1865" s="11" t="n"/>
      <c r="S1865" s="11" t="n"/>
      <c r="T1865" s="12" t="n"/>
    </row>
    <row r="1866">
      <c r="A1866" s="11" t="n"/>
      <c r="B1866" s="11" t="n"/>
      <c r="C1866" s="11" t="n"/>
      <c r="D1866" s="11" t="n"/>
      <c r="E1866" s="11" t="n"/>
      <c r="F1866" s="11" t="n"/>
      <c r="G1866" s="11" t="n"/>
      <c r="H1866" s="11" t="n"/>
      <c r="I1866" s="11" t="n"/>
      <c r="J1866" s="11" t="n"/>
      <c r="K1866" s="11" t="n"/>
      <c r="L1866" s="11" t="n"/>
      <c r="M1866" s="11" t="n"/>
      <c r="N1866" s="11" t="n"/>
      <c r="O1866" s="11" t="n"/>
      <c r="P1866" s="11" t="n"/>
      <c r="Q1866" s="11" t="n"/>
      <c r="R1866" s="11" t="n"/>
      <c r="S1866" s="11" t="n"/>
      <c r="T1866" s="12" t="n"/>
    </row>
    <row r="1867">
      <c r="A1867" s="11" t="n"/>
      <c r="B1867" s="11" t="n"/>
      <c r="C1867" s="11" t="n"/>
      <c r="D1867" s="11" t="n"/>
      <c r="E1867" s="11" t="n"/>
      <c r="F1867" s="11" t="n"/>
      <c r="G1867" s="11" t="n"/>
      <c r="H1867" s="11" t="n"/>
      <c r="I1867" s="11" t="n"/>
      <c r="J1867" s="11" t="n"/>
      <c r="K1867" s="11" t="n"/>
      <c r="L1867" s="11" t="n"/>
      <c r="M1867" s="11" t="n"/>
      <c r="N1867" s="11" t="n"/>
      <c r="O1867" s="11" t="n"/>
      <c r="P1867" s="11" t="n"/>
      <c r="Q1867" s="11" t="n"/>
      <c r="R1867" s="11" t="n"/>
      <c r="S1867" s="11" t="n"/>
      <c r="T1867" s="12" t="n"/>
    </row>
    <row r="1868">
      <c r="A1868" s="11" t="n"/>
      <c r="B1868" s="11" t="n"/>
      <c r="C1868" s="11" t="n"/>
      <c r="D1868" s="11" t="n"/>
      <c r="E1868" s="11" t="n"/>
      <c r="F1868" s="11" t="n"/>
      <c r="G1868" s="11" t="n"/>
      <c r="H1868" s="11" t="n"/>
      <c r="I1868" s="11" t="n"/>
      <c r="J1868" s="11" t="n"/>
      <c r="K1868" s="11" t="n"/>
      <c r="L1868" s="11" t="n"/>
      <c r="M1868" s="11" t="n"/>
      <c r="N1868" s="11" t="n"/>
      <c r="O1868" s="11" t="n"/>
      <c r="P1868" s="11" t="n"/>
      <c r="Q1868" s="11" t="n"/>
      <c r="R1868" s="11" t="n"/>
      <c r="S1868" s="11" t="n"/>
      <c r="T1868" s="12" t="n"/>
    </row>
    <row r="1869">
      <c r="A1869" s="11" t="n"/>
      <c r="B1869" s="11" t="n"/>
      <c r="C1869" s="11" t="n"/>
      <c r="D1869" s="11" t="n"/>
      <c r="E1869" s="11" t="n"/>
      <c r="F1869" s="11" t="n"/>
      <c r="G1869" s="11" t="n"/>
      <c r="H1869" s="11" t="n"/>
      <c r="I1869" s="11" t="n"/>
      <c r="J1869" s="11" t="n"/>
      <c r="K1869" s="11" t="n"/>
      <c r="L1869" s="11" t="n"/>
      <c r="M1869" s="11" t="n"/>
      <c r="N1869" s="11" t="n"/>
      <c r="O1869" s="11" t="n"/>
      <c r="P1869" s="11" t="n"/>
      <c r="Q1869" s="11" t="n"/>
      <c r="R1869" s="11" t="n"/>
      <c r="S1869" s="11" t="n"/>
      <c r="T1869" s="12" t="n"/>
    </row>
    <row r="1870">
      <c r="A1870" s="11" t="n"/>
      <c r="B1870" s="11" t="n"/>
      <c r="C1870" s="11" t="n"/>
      <c r="D1870" s="11" t="n"/>
      <c r="E1870" s="11" t="n"/>
      <c r="F1870" s="11" t="n"/>
      <c r="G1870" s="11" t="n"/>
      <c r="H1870" s="11" t="n"/>
      <c r="I1870" s="11" t="n"/>
      <c r="J1870" s="11" t="n"/>
      <c r="K1870" s="11" t="n"/>
      <c r="L1870" s="11" t="n"/>
      <c r="M1870" s="11" t="n"/>
      <c r="N1870" s="11" t="n"/>
      <c r="O1870" s="11" t="n"/>
      <c r="P1870" s="11" t="n"/>
      <c r="Q1870" s="11" t="n"/>
      <c r="R1870" s="11" t="n"/>
      <c r="S1870" s="11" t="n"/>
      <c r="T1870" s="12" t="n"/>
    </row>
    <row r="1871">
      <c r="A1871" s="11" t="n"/>
      <c r="B1871" s="11" t="n"/>
      <c r="C1871" s="11" t="n"/>
      <c r="D1871" s="11" t="n"/>
      <c r="E1871" s="11" t="n"/>
      <c r="F1871" s="11" t="n"/>
      <c r="G1871" s="11" t="n"/>
      <c r="H1871" s="11" t="n"/>
      <c r="I1871" s="11" t="n"/>
      <c r="J1871" s="11" t="n"/>
      <c r="K1871" s="11" t="n"/>
      <c r="L1871" s="11" t="n"/>
      <c r="M1871" s="11" t="n"/>
      <c r="N1871" s="11" t="n"/>
      <c r="O1871" s="11" t="n"/>
      <c r="P1871" s="11" t="n"/>
      <c r="Q1871" s="11" t="n"/>
      <c r="R1871" s="11" t="n"/>
      <c r="S1871" s="11" t="n"/>
      <c r="T1871" s="12" t="n"/>
    </row>
    <row r="1872">
      <c r="A1872" s="11" t="n"/>
      <c r="B1872" s="11" t="n"/>
      <c r="C1872" s="11" t="n"/>
      <c r="D1872" s="11" t="n"/>
      <c r="E1872" s="11" t="n"/>
      <c r="F1872" s="11" t="n"/>
      <c r="G1872" s="11" t="n"/>
      <c r="H1872" s="11" t="n"/>
      <c r="I1872" s="11" t="n"/>
      <c r="J1872" s="11" t="n"/>
      <c r="K1872" s="11" t="n"/>
      <c r="L1872" s="11" t="n"/>
      <c r="M1872" s="11" t="n"/>
      <c r="N1872" s="11" t="n"/>
      <c r="O1872" s="11" t="n"/>
      <c r="P1872" s="11" t="n"/>
      <c r="Q1872" s="11" t="n"/>
      <c r="R1872" s="11" t="n"/>
      <c r="S1872" s="11" t="n"/>
      <c r="T1872" s="12" t="n"/>
    </row>
    <row r="1873">
      <c r="A1873" s="11" t="n"/>
      <c r="B1873" s="11" t="n"/>
      <c r="C1873" s="11" t="n"/>
      <c r="D1873" s="11" t="n"/>
      <c r="E1873" s="11" t="n"/>
      <c r="F1873" s="11" t="n"/>
      <c r="G1873" s="11" t="n"/>
      <c r="H1873" s="11" t="n"/>
      <c r="I1873" s="11" t="n"/>
      <c r="J1873" s="11" t="n"/>
      <c r="K1873" s="11" t="n"/>
      <c r="L1873" s="11" t="n"/>
      <c r="M1873" s="11" t="n"/>
      <c r="N1873" s="11" t="n"/>
      <c r="O1873" s="11" t="n"/>
      <c r="P1873" s="11" t="n"/>
      <c r="Q1873" s="11" t="n"/>
      <c r="R1873" s="11" t="n"/>
      <c r="S1873" s="11" t="n"/>
      <c r="T1873" s="12" t="n"/>
    </row>
    <row r="1874">
      <c r="A1874" s="11" t="n"/>
      <c r="B1874" s="11" t="n"/>
      <c r="C1874" s="11" t="n"/>
      <c r="D1874" s="11" t="n"/>
      <c r="E1874" s="11" t="n"/>
      <c r="F1874" s="11" t="n"/>
      <c r="G1874" s="11" t="n"/>
      <c r="H1874" s="11" t="n"/>
      <c r="I1874" s="11" t="n"/>
      <c r="J1874" s="11" t="n"/>
      <c r="K1874" s="11" t="n"/>
      <c r="L1874" s="11" t="n"/>
      <c r="M1874" s="11" t="n"/>
      <c r="N1874" s="11" t="n"/>
      <c r="O1874" s="11" t="n"/>
      <c r="P1874" s="11" t="n"/>
      <c r="Q1874" s="11" t="n"/>
      <c r="R1874" s="11" t="n"/>
      <c r="S1874" s="11" t="n"/>
      <c r="T1874" s="12" t="n"/>
    </row>
    <row r="1875">
      <c r="A1875" s="11" t="n"/>
      <c r="B1875" s="11" t="n"/>
      <c r="C1875" s="11" t="n"/>
      <c r="D1875" s="11" t="n"/>
      <c r="E1875" s="11" t="n"/>
      <c r="F1875" s="11" t="n"/>
      <c r="G1875" s="11" t="n"/>
      <c r="H1875" s="11" t="n"/>
      <c r="I1875" s="11" t="n"/>
      <c r="J1875" s="11" t="n"/>
      <c r="K1875" s="11" t="n"/>
      <c r="L1875" s="11" t="n"/>
      <c r="M1875" s="11" t="n"/>
      <c r="N1875" s="11" t="n"/>
      <c r="O1875" s="11" t="n"/>
      <c r="P1875" s="11" t="n"/>
      <c r="Q1875" s="11" t="n"/>
      <c r="R1875" s="11" t="n"/>
      <c r="S1875" s="11" t="n"/>
      <c r="T1875" s="12" t="n"/>
    </row>
    <row r="1876">
      <c r="A1876" s="11" t="n"/>
      <c r="B1876" s="11" t="n"/>
      <c r="C1876" s="11" t="n"/>
      <c r="D1876" s="11" t="n"/>
      <c r="E1876" s="11" t="n"/>
      <c r="F1876" s="11" t="n"/>
      <c r="G1876" s="11" t="n"/>
      <c r="H1876" s="11" t="n"/>
      <c r="I1876" s="11" t="n"/>
      <c r="J1876" s="11" t="n"/>
      <c r="K1876" s="11" t="n"/>
      <c r="L1876" s="11" t="n"/>
      <c r="M1876" s="11" t="n"/>
      <c r="N1876" s="11" t="n"/>
      <c r="O1876" s="11" t="n"/>
      <c r="P1876" s="11" t="n"/>
      <c r="Q1876" s="11" t="n"/>
      <c r="R1876" s="11" t="n"/>
      <c r="S1876" s="11" t="n"/>
      <c r="T1876" s="12" t="n"/>
    </row>
    <row r="1877">
      <c r="A1877" s="11" t="n"/>
      <c r="B1877" s="11" t="n"/>
      <c r="C1877" s="11" t="n"/>
      <c r="D1877" s="11" t="n"/>
      <c r="E1877" s="11" t="n"/>
      <c r="F1877" s="11" t="n"/>
      <c r="G1877" s="11" t="n"/>
      <c r="H1877" s="11" t="n"/>
      <c r="I1877" s="11" t="n"/>
      <c r="J1877" s="11" t="n"/>
      <c r="K1877" s="11" t="n"/>
      <c r="L1877" s="11" t="n"/>
      <c r="M1877" s="11" t="n"/>
      <c r="N1877" s="11" t="n"/>
      <c r="O1877" s="11" t="n"/>
      <c r="P1877" s="11" t="n"/>
      <c r="Q1877" s="11" t="n"/>
      <c r="R1877" s="11" t="n"/>
      <c r="S1877" s="11" t="n"/>
      <c r="T1877" s="12" t="n"/>
    </row>
    <row r="1878">
      <c r="A1878" s="11" t="n"/>
      <c r="B1878" s="11" t="n"/>
      <c r="C1878" s="11" t="n"/>
      <c r="D1878" s="11" t="n"/>
      <c r="E1878" s="11" t="n"/>
      <c r="F1878" s="11" t="n"/>
      <c r="G1878" s="11" t="n"/>
      <c r="H1878" s="11" t="n"/>
      <c r="I1878" s="11" t="n"/>
      <c r="J1878" s="11" t="n"/>
      <c r="K1878" s="11" t="n"/>
      <c r="L1878" s="11" t="n"/>
      <c r="M1878" s="11" t="n"/>
      <c r="N1878" s="11" t="n"/>
      <c r="O1878" s="11" t="n"/>
      <c r="P1878" s="11" t="n"/>
      <c r="Q1878" s="11" t="n"/>
      <c r="R1878" s="11" t="n"/>
      <c r="S1878" s="11" t="n"/>
      <c r="T1878" s="12" t="n"/>
    </row>
    <row r="1879">
      <c r="A1879" s="11" t="n"/>
      <c r="B1879" s="11" t="n"/>
      <c r="C1879" s="11" t="n"/>
      <c r="D1879" s="11" t="n"/>
      <c r="E1879" s="11" t="n"/>
      <c r="F1879" s="11" t="n"/>
      <c r="G1879" s="11" t="n"/>
      <c r="H1879" s="11" t="n"/>
      <c r="I1879" s="11" t="n"/>
      <c r="J1879" s="11" t="n"/>
      <c r="K1879" s="11" t="n"/>
      <c r="L1879" s="11" t="n"/>
      <c r="M1879" s="11" t="n"/>
      <c r="N1879" s="11" t="n"/>
      <c r="O1879" s="11" t="n"/>
      <c r="P1879" s="11" t="n"/>
      <c r="Q1879" s="11" t="n"/>
      <c r="R1879" s="11" t="n"/>
      <c r="S1879" s="11" t="n"/>
      <c r="T1879" s="12" t="n"/>
    </row>
    <row r="1880">
      <c r="A1880" s="11" t="n"/>
      <c r="B1880" s="11" t="n"/>
      <c r="C1880" s="11" t="n"/>
      <c r="D1880" s="11" t="n"/>
      <c r="E1880" s="11" t="n"/>
      <c r="F1880" s="11" t="n"/>
      <c r="G1880" s="11" t="n"/>
      <c r="H1880" s="11" t="n"/>
      <c r="I1880" s="11" t="n"/>
      <c r="J1880" s="11" t="n"/>
      <c r="K1880" s="11" t="n"/>
      <c r="L1880" s="11" t="n"/>
      <c r="M1880" s="11" t="n"/>
      <c r="N1880" s="11" t="n"/>
      <c r="O1880" s="11" t="n"/>
      <c r="P1880" s="11" t="n"/>
      <c r="Q1880" s="11" t="n"/>
      <c r="R1880" s="11" t="n"/>
      <c r="S1880" s="11" t="n"/>
      <c r="T1880" s="12" t="n"/>
    </row>
    <row r="1881">
      <c r="A1881" s="11" t="n"/>
      <c r="B1881" s="11" t="n"/>
      <c r="C1881" s="11" t="n"/>
      <c r="D1881" s="11" t="n"/>
      <c r="E1881" s="11" t="n"/>
      <c r="F1881" s="11" t="n"/>
      <c r="G1881" s="11" t="n"/>
      <c r="H1881" s="11" t="n"/>
      <c r="I1881" s="11" t="n"/>
      <c r="J1881" s="11" t="n"/>
      <c r="K1881" s="11" t="n"/>
      <c r="L1881" s="11" t="n"/>
      <c r="M1881" s="11" t="n"/>
      <c r="N1881" s="11" t="n"/>
      <c r="O1881" s="11" t="n"/>
      <c r="P1881" s="11" t="n"/>
      <c r="Q1881" s="11" t="n"/>
      <c r="R1881" s="11" t="n"/>
      <c r="S1881" s="11" t="n"/>
      <c r="T1881" s="12" t="n"/>
    </row>
    <row r="1882">
      <c r="A1882" s="11" t="n"/>
      <c r="B1882" s="11" t="n"/>
      <c r="C1882" s="11" t="n"/>
      <c r="D1882" s="11" t="n"/>
      <c r="E1882" s="11" t="n"/>
      <c r="F1882" s="11" t="n"/>
      <c r="G1882" s="11" t="n"/>
      <c r="H1882" s="11" t="n"/>
      <c r="I1882" s="11" t="n"/>
      <c r="J1882" s="11" t="n"/>
      <c r="K1882" s="11" t="n"/>
      <c r="L1882" s="11" t="n"/>
      <c r="M1882" s="11" t="n"/>
      <c r="N1882" s="11" t="n"/>
      <c r="O1882" s="11" t="n"/>
      <c r="P1882" s="11" t="n"/>
      <c r="Q1882" s="11" t="n"/>
      <c r="R1882" s="11" t="n"/>
      <c r="S1882" s="11" t="n"/>
      <c r="T1882" s="12" t="n"/>
    </row>
    <row r="1883">
      <c r="A1883" s="11" t="n"/>
      <c r="B1883" s="11" t="n"/>
      <c r="C1883" s="11" t="n"/>
      <c r="D1883" s="11" t="n"/>
      <c r="E1883" s="11" t="n"/>
      <c r="F1883" s="11" t="n"/>
      <c r="G1883" s="11" t="n"/>
      <c r="H1883" s="11" t="n"/>
      <c r="I1883" s="11" t="n"/>
      <c r="J1883" s="11" t="n"/>
      <c r="K1883" s="11" t="n"/>
      <c r="L1883" s="11" t="n"/>
      <c r="M1883" s="11" t="n"/>
      <c r="N1883" s="11" t="n"/>
      <c r="O1883" s="11" t="n"/>
      <c r="P1883" s="11" t="n"/>
      <c r="Q1883" s="11" t="n"/>
      <c r="R1883" s="11" t="n"/>
      <c r="S1883" s="11" t="n"/>
      <c r="T1883" s="12" t="n"/>
    </row>
    <row r="1884">
      <c r="A1884" s="11" t="n"/>
      <c r="B1884" s="11" t="n"/>
      <c r="C1884" s="11" t="n"/>
      <c r="D1884" s="11" t="n"/>
      <c r="E1884" s="11" t="n"/>
      <c r="F1884" s="11" t="n"/>
      <c r="G1884" s="11" t="n"/>
      <c r="H1884" s="11" t="n"/>
      <c r="I1884" s="11" t="n"/>
      <c r="J1884" s="11" t="n"/>
      <c r="K1884" s="11" t="n"/>
      <c r="L1884" s="11" t="n"/>
      <c r="M1884" s="11" t="n"/>
      <c r="N1884" s="11" t="n"/>
      <c r="O1884" s="11" t="n"/>
      <c r="P1884" s="11" t="n"/>
      <c r="Q1884" s="11" t="n"/>
      <c r="R1884" s="11" t="n"/>
      <c r="S1884" s="11" t="n"/>
      <c r="T1884" s="12" t="n"/>
    </row>
    <row r="1885">
      <c r="A1885" s="11" t="n"/>
      <c r="B1885" s="11" t="n"/>
      <c r="C1885" s="11" t="n"/>
      <c r="D1885" s="11" t="n"/>
      <c r="E1885" s="11" t="n"/>
      <c r="F1885" s="11" t="n"/>
      <c r="G1885" s="11" t="n"/>
      <c r="H1885" s="11" t="n"/>
      <c r="I1885" s="11" t="n"/>
      <c r="J1885" s="11" t="n"/>
      <c r="K1885" s="11" t="n"/>
      <c r="L1885" s="11" t="n"/>
      <c r="M1885" s="11" t="n"/>
      <c r="N1885" s="11" t="n"/>
      <c r="O1885" s="11" t="n"/>
      <c r="P1885" s="11" t="n"/>
      <c r="Q1885" s="11" t="n"/>
      <c r="R1885" s="11" t="n"/>
      <c r="S1885" s="11" t="n"/>
      <c r="T1885" s="12" t="n"/>
    </row>
    <row r="1886">
      <c r="A1886" s="11" t="n"/>
      <c r="B1886" s="11" t="n"/>
      <c r="C1886" s="11" t="n"/>
      <c r="D1886" s="11" t="n"/>
      <c r="E1886" s="11" t="n"/>
      <c r="F1886" s="11" t="n"/>
      <c r="G1886" s="11" t="n"/>
      <c r="H1886" s="11" t="n"/>
      <c r="I1886" s="11" t="n"/>
      <c r="J1886" s="11" t="n"/>
      <c r="K1886" s="11" t="n"/>
      <c r="L1886" s="11" t="n"/>
      <c r="M1886" s="11" t="n"/>
      <c r="N1886" s="11" t="n"/>
      <c r="O1886" s="11" t="n"/>
      <c r="P1886" s="11" t="n"/>
      <c r="Q1886" s="11" t="n"/>
      <c r="R1886" s="11" t="n"/>
      <c r="S1886" s="11" t="n"/>
      <c r="T1886" s="12" t="n"/>
    </row>
    <row r="1887">
      <c r="A1887" s="11" t="n"/>
      <c r="B1887" s="11" t="n"/>
      <c r="C1887" s="11" t="n"/>
      <c r="D1887" s="11" t="n"/>
      <c r="E1887" s="11" t="n"/>
      <c r="F1887" s="11" t="n"/>
      <c r="G1887" s="11" t="n"/>
      <c r="H1887" s="11" t="n"/>
      <c r="I1887" s="11" t="n"/>
      <c r="J1887" s="11" t="n"/>
      <c r="K1887" s="11" t="n"/>
      <c r="L1887" s="11" t="n"/>
      <c r="M1887" s="11" t="n"/>
      <c r="N1887" s="11" t="n"/>
      <c r="O1887" s="11" t="n"/>
      <c r="P1887" s="11" t="n"/>
      <c r="Q1887" s="11" t="n"/>
      <c r="R1887" s="11" t="n"/>
      <c r="S1887" s="11" t="n"/>
      <c r="T1887" s="12" t="n"/>
    </row>
    <row r="1888">
      <c r="A1888" s="11" t="n"/>
      <c r="B1888" s="11" t="n"/>
      <c r="C1888" s="11" t="n"/>
      <c r="D1888" s="11" t="n"/>
      <c r="E1888" s="11" t="n"/>
      <c r="F1888" s="11" t="n"/>
      <c r="G1888" s="11" t="n"/>
      <c r="H1888" s="11" t="n"/>
      <c r="I1888" s="11" t="n"/>
      <c r="J1888" s="11" t="n"/>
      <c r="K1888" s="11" t="n"/>
      <c r="L1888" s="11" t="n"/>
      <c r="M1888" s="11" t="n"/>
      <c r="N1888" s="11" t="n"/>
      <c r="O1888" s="11" t="n"/>
      <c r="P1888" s="11" t="n"/>
      <c r="Q1888" s="11" t="n"/>
      <c r="R1888" s="11" t="n"/>
      <c r="S1888" s="11" t="n"/>
      <c r="T1888" s="12" t="n"/>
    </row>
    <row r="1889">
      <c r="A1889" s="11" t="n"/>
      <c r="B1889" s="11" t="n"/>
      <c r="C1889" s="11" t="n"/>
      <c r="D1889" s="11" t="n"/>
      <c r="E1889" s="11" t="n"/>
      <c r="F1889" s="11" t="n"/>
      <c r="G1889" s="11" t="n"/>
      <c r="H1889" s="11" t="n"/>
      <c r="I1889" s="11" t="n"/>
      <c r="J1889" s="11" t="n"/>
      <c r="K1889" s="11" t="n"/>
      <c r="L1889" s="11" t="n"/>
      <c r="M1889" s="11" t="n"/>
      <c r="N1889" s="11" t="n"/>
      <c r="O1889" s="11" t="n"/>
      <c r="P1889" s="11" t="n"/>
      <c r="Q1889" s="11" t="n"/>
      <c r="R1889" s="11" t="n"/>
      <c r="S1889" s="11" t="n"/>
      <c r="T1889" s="12" t="n"/>
    </row>
    <row r="1890">
      <c r="A1890" s="11" t="n"/>
      <c r="B1890" s="11" t="n"/>
      <c r="C1890" s="11" t="n"/>
      <c r="D1890" s="11" t="n"/>
      <c r="E1890" s="11" t="n"/>
      <c r="F1890" s="11" t="n"/>
      <c r="G1890" s="11" t="n"/>
      <c r="H1890" s="11" t="n"/>
      <c r="I1890" s="11" t="n"/>
      <c r="J1890" s="11" t="n"/>
      <c r="K1890" s="11" t="n"/>
      <c r="L1890" s="11" t="n"/>
      <c r="M1890" s="11" t="n"/>
      <c r="N1890" s="11" t="n"/>
      <c r="O1890" s="11" t="n"/>
      <c r="P1890" s="11" t="n"/>
      <c r="Q1890" s="11" t="n"/>
      <c r="R1890" s="11" t="n"/>
      <c r="S1890" s="11" t="n"/>
      <c r="T1890" s="12" t="n"/>
    </row>
    <row r="1891">
      <c r="A1891" s="11" t="n"/>
      <c r="B1891" s="11" t="n"/>
      <c r="C1891" s="11" t="n"/>
      <c r="D1891" s="11" t="n"/>
      <c r="E1891" s="11" t="n"/>
      <c r="F1891" s="11" t="n"/>
      <c r="G1891" s="11" t="n"/>
      <c r="H1891" s="11" t="n"/>
      <c r="I1891" s="11" t="n"/>
      <c r="J1891" s="11" t="n"/>
      <c r="K1891" s="11" t="n"/>
      <c r="L1891" s="11" t="n"/>
      <c r="M1891" s="11" t="n"/>
      <c r="N1891" s="11" t="n"/>
      <c r="O1891" s="11" t="n"/>
      <c r="P1891" s="11" t="n"/>
      <c r="Q1891" s="11" t="n"/>
      <c r="R1891" s="11" t="n"/>
      <c r="S1891" s="11" t="n"/>
      <c r="T1891" s="12" t="n"/>
    </row>
    <row r="1892">
      <c r="A1892" s="11" t="n"/>
      <c r="B1892" s="11" t="n"/>
      <c r="C1892" s="11" t="n"/>
      <c r="D1892" s="11" t="n"/>
      <c r="E1892" s="11" t="n"/>
      <c r="F1892" s="11" t="n"/>
      <c r="G1892" s="11" t="n"/>
      <c r="H1892" s="11" t="n"/>
      <c r="I1892" s="11" t="n"/>
      <c r="J1892" s="11" t="n"/>
      <c r="K1892" s="11" t="n"/>
      <c r="L1892" s="11" t="n"/>
      <c r="M1892" s="11" t="n"/>
      <c r="N1892" s="11" t="n"/>
      <c r="O1892" s="11" t="n"/>
      <c r="P1892" s="11" t="n"/>
      <c r="Q1892" s="11" t="n"/>
      <c r="R1892" s="11" t="n"/>
      <c r="S1892" s="11" t="n"/>
      <c r="T1892" s="12" t="n"/>
    </row>
    <row r="1893">
      <c r="A1893" s="11" t="n"/>
      <c r="B1893" s="11" t="n"/>
      <c r="C1893" s="11" t="n"/>
      <c r="D1893" s="11" t="n"/>
      <c r="E1893" s="11" t="n"/>
      <c r="F1893" s="11" t="n"/>
      <c r="G1893" s="11" t="n"/>
      <c r="H1893" s="11" t="n"/>
      <c r="I1893" s="11" t="n"/>
      <c r="J1893" s="11" t="n"/>
      <c r="K1893" s="11" t="n"/>
      <c r="L1893" s="11" t="n"/>
      <c r="M1893" s="11" t="n"/>
      <c r="N1893" s="11" t="n"/>
      <c r="O1893" s="11" t="n"/>
      <c r="P1893" s="11" t="n"/>
      <c r="Q1893" s="11" t="n"/>
      <c r="R1893" s="11" t="n"/>
      <c r="S1893" s="11" t="n"/>
      <c r="T1893" s="12" t="n"/>
    </row>
    <row r="1894">
      <c r="A1894" s="11" t="n"/>
      <c r="B1894" s="11" t="n"/>
      <c r="C1894" s="11" t="n"/>
      <c r="D1894" s="11" t="n"/>
      <c r="E1894" s="11" t="n"/>
      <c r="F1894" s="11" t="n"/>
      <c r="G1894" s="11" t="n"/>
      <c r="H1894" s="11" t="n"/>
      <c r="I1894" s="11" t="n"/>
      <c r="J1894" s="11" t="n"/>
      <c r="K1894" s="11" t="n"/>
      <c r="L1894" s="11" t="n"/>
      <c r="M1894" s="11" t="n"/>
      <c r="N1894" s="11" t="n"/>
      <c r="O1894" s="11" t="n"/>
      <c r="P1894" s="11" t="n"/>
      <c r="Q1894" s="11" t="n"/>
      <c r="R1894" s="11" t="n"/>
      <c r="S1894" s="11" t="n"/>
      <c r="T1894" s="12" t="n"/>
    </row>
    <row r="1895">
      <c r="A1895" s="11" t="n"/>
      <c r="B1895" s="11" t="n"/>
      <c r="C1895" s="11" t="n"/>
      <c r="D1895" s="11" t="n"/>
      <c r="E1895" s="11" t="n"/>
      <c r="F1895" s="11" t="n"/>
      <c r="G1895" s="11" t="n"/>
      <c r="H1895" s="11" t="n"/>
      <c r="I1895" s="11" t="n"/>
      <c r="J1895" s="11" t="n"/>
      <c r="K1895" s="11" t="n"/>
      <c r="L1895" s="11" t="n"/>
      <c r="M1895" s="11" t="n"/>
      <c r="N1895" s="11" t="n"/>
      <c r="O1895" s="11" t="n"/>
      <c r="P1895" s="11" t="n"/>
      <c r="Q1895" s="11" t="n"/>
      <c r="R1895" s="11" t="n"/>
      <c r="S1895" s="11" t="n"/>
      <c r="T1895" s="12" t="n"/>
    </row>
    <row r="1896">
      <c r="A1896" s="11" t="n"/>
      <c r="B1896" s="11" t="n"/>
      <c r="C1896" s="11" t="n"/>
      <c r="D1896" s="11" t="n"/>
      <c r="E1896" s="11" t="n"/>
      <c r="F1896" s="11" t="n"/>
      <c r="G1896" s="11" t="n"/>
      <c r="H1896" s="11" t="n"/>
      <c r="I1896" s="11" t="n"/>
      <c r="J1896" s="11" t="n"/>
      <c r="K1896" s="11" t="n"/>
      <c r="L1896" s="11" t="n"/>
      <c r="M1896" s="11" t="n"/>
      <c r="N1896" s="11" t="n"/>
      <c r="O1896" s="11" t="n"/>
      <c r="P1896" s="11" t="n"/>
      <c r="Q1896" s="11" t="n"/>
      <c r="R1896" s="11" t="n"/>
      <c r="S1896" s="11" t="n"/>
      <c r="T1896" s="12" t="n"/>
    </row>
    <row r="1897">
      <c r="A1897" s="11" t="n"/>
      <c r="B1897" s="11" t="n"/>
      <c r="C1897" s="11" t="n"/>
      <c r="D1897" s="11" t="n"/>
      <c r="E1897" s="11" t="n"/>
      <c r="F1897" s="11" t="n"/>
      <c r="G1897" s="11" t="n"/>
      <c r="H1897" s="11" t="n"/>
      <c r="I1897" s="11" t="n"/>
      <c r="J1897" s="11" t="n"/>
      <c r="K1897" s="11" t="n"/>
      <c r="L1897" s="11" t="n"/>
      <c r="M1897" s="11" t="n"/>
      <c r="N1897" s="11" t="n"/>
      <c r="O1897" s="11" t="n"/>
      <c r="P1897" s="11" t="n"/>
      <c r="Q1897" s="11" t="n"/>
      <c r="R1897" s="11" t="n"/>
      <c r="S1897" s="11" t="n"/>
      <c r="T1897" s="12" t="n"/>
    </row>
    <row r="1898">
      <c r="A1898" s="11" t="n"/>
      <c r="B1898" s="11" t="n"/>
      <c r="C1898" s="11" t="n"/>
      <c r="D1898" s="11" t="n"/>
      <c r="E1898" s="11" t="n"/>
      <c r="F1898" s="11" t="n"/>
      <c r="G1898" s="11" t="n"/>
      <c r="H1898" s="11" t="n"/>
      <c r="I1898" s="11" t="n"/>
      <c r="J1898" s="11" t="n"/>
      <c r="K1898" s="11" t="n"/>
      <c r="L1898" s="11" t="n"/>
      <c r="M1898" s="11" t="n"/>
      <c r="N1898" s="11" t="n"/>
      <c r="O1898" s="11" t="n"/>
      <c r="P1898" s="11" t="n"/>
      <c r="Q1898" s="11" t="n"/>
      <c r="R1898" s="11" t="n"/>
      <c r="S1898" s="11" t="n"/>
      <c r="T1898" s="12" t="n"/>
    </row>
    <row r="1899">
      <c r="A1899" s="11" t="n"/>
      <c r="B1899" s="11" t="n"/>
      <c r="C1899" s="11" t="n"/>
      <c r="D1899" s="11" t="n"/>
      <c r="E1899" s="11" t="n"/>
      <c r="F1899" s="11" t="n"/>
      <c r="G1899" s="11" t="n"/>
      <c r="H1899" s="11" t="n"/>
      <c r="I1899" s="11" t="n"/>
      <c r="J1899" s="11" t="n"/>
      <c r="K1899" s="11" t="n"/>
      <c r="L1899" s="11" t="n"/>
      <c r="M1899" s="11" t="n"/>
      <c r="N1899" s="11" t="n"/>
      <c r="O1899" s="11" t="n"/>
      <c r="P1899" s="11" t="n"/>
      <c r="Q1899" s="11" t="n"/>
      <c r="R1899" s="11" t="n"/>
      <c r="S1899" s="11" t="n"/>
      <c r="T1899" s="12" t="n"/>
    </row>
    <row r="1900">
      <c r="A1900" s="11" t="n"/>
      <c r="B1900" s="11" t="n"/>
      <c r="C1900" s="11" t="n"/>
      <c r="D1900" s="11" t="n"/>
      <c r="E1900" s="11" t="n"/>
      <c r="F1900" s="11" t="n"/>
      <c r="G1900" s="11" t="n"/>
      <c r="H1900" s="11" t="n"/>
      <c r="I1900" s="11" t="n"/>
      <c r="J1900" s="11" t="n"/>
      <c r="K1900" s="11" t="n"/>
      <c r="L1900" s="11" t="n"/>
      <c r="M1900" s="11" t="n"/>
      <c r="N1900" s="11" t="n"/>
      <c r="O1900" s="11" t="n"/>
      <c r="P1900" s="11" t="n"/>
      <c r="Q1900" s="11" t="n"/>
      <c r="R1900" s="11" t="n"/>
      <c r="S1900" s="11" t="n"/>
      <c r="T1900" s="12" t="n"/>
    </row>
    <row r="1901">
      <c r="A1901" s="11" t="n"/>
      <c r="B1901" s="11" t="n"/>
      <c r="C1901" s="11" t="n"/>
      <c r="D1901" s="11" t="n"/>
      <c r="E1901" s="11" t="n"/>
      <c r="F1901" s="11" t="n"/>
      <c r="G1901" s="11" t="n"/>
      <c r="H1901" s="11" t="n"/>
      <c r="I1901" s="11" t="n"/>
      <c r="J1901" s="11" t="n"/>
      <c r="K1901" s="11" t="n"/>
      <c r="L1901" s="11" t="n"/>
      <c r="M1901" s="11" t="n"/>
      <c r="N1901" s="11" t="n"/>
      <c r="O1901" s="11" t="n"/>
      <c r="P1901" s="11" t="n"/>
      <c r="Q1901" s="11" t="n"/>
      <c r="R1901" s="11" t="n"/>
      <c r="S1901" s="11" t="n"/>
      <c r="T1901" s="12" t="n"/>
    </row>
    <row r="1902">
      <c r="A1902" s="11" t="n"/>
      <c r="B1902" s="11" t="n"/>
      <c r="C1902" s="11" t="n"/>
      <c r="D1902" s="11" t="n"/>
      <c r="E1902" s="11" t="n"/>
      <c r="F1902" s="11" t="n"/>
      <c r="G1902" s="11" t="n"/>
      <c r="H1902" s="11" t="n"/>
      <c r="I1902" s="11" t="n"/>
      <c r="J1902" s="11" t="n"/>
      <c r="K1902" s="11" t="n"/>
      <c r="L1902" s="11" t="n"/>
      <c r="M1902" s="11" t="n"/>
      <c r="N1902" s="11" t="n"/>
      <c r="O1902" s="11" t="n"/>
      <c r="P1902" s="11" t="n"/>
      <c r="Q1902" s="11" t="n"/>
      <c r="R1902" s="11" t="n"/>
      <c r="S1902" s="11" t="n"/>
      <c r="T1902" s="12" t="n"/>
    </row>
    <row r="1903">
      <c r="A1903" s="11" t="n"/>
      <c r="B1903" s="11" t="n"/>
      <c r="C1903" s="11" t="n"/>
      <c r="D1903" s="11" t="n"/>
      <c r="E1903" s="11" t="n"/>
      <c r="F1903" s="11" t="n"/>
      <c r="G1903" s="11" t="n"/>
      <c r="H1903" s="11" t="n"/>
      <c r="I1903" s="11" t="n"/>
      <c r="J1903" s="11" t="n"/>
      <c r="K1903" s="11" t="n"/>
      <c r="L1903" s="11" t="n"/>
      <c r="M1903" s="11" t="n"/>
      <c r="N1903" s="11" t="n"/>
      <c r="O1903" s="11" t="n"/>
      <c r="P1903" s="11" t="n"/>
      <c r="Q1903" s="11" t="n"/>
      <c r="R1903" s="11" t="n"/>
      <c r="S1903" s="11" t="n"/>
      <c r="T1903" s="12" t="n"/>
    </row>
    <row r="1904">
      <c r="A1904" s="11" t="n"/>
      <c r="B1904" s="11" t="n"/>
      <c r="C1904" s="11" t="n"/>
      <c r="D1904" s="11" t="n"/>
      <c r="E1904" s="11" t="n"/>
      <c r="F1904" s="11" t="n"/>
      <c r="G1904" s="11" t="n"/>
      <c r="H1904" s="11" t="n"/>
      <c r="I1904" s="11" t="n"/>
      <c r="J1904" s="11" t="n"/>
      <c r="K1904" s="11" t="n"/>
      <c r="L1904" s="11" t="n"/>
      <c r="M1904" s="11" t="n"/>
      <c r="N1904" s="11" t="n"/>
      <c r="O1904" s="11" t="n"/>
      <c r="P1904" s="11" t="n"/>
      <c r="Q1904" s="11" t="n"/>
      <c r="R1904" s="11" t="n"/>
      <c r="S1904" s="11" t="n"/>
      <c r="T1904" s="12" t="n"/>
    </row>
    <row r="1905">
      <c r="A1905" s="11" t="n"/>
      <c r="B1905" s="11" t="n"/>
      <c r="C1905" s="11" t="n"/>
      <c r="D1905" s="11" t="n"/>
      <c r="E1905" s="11" t="n"/>
      <c r="F1905" s="11" t="n"/>
      <c r="G1905" s="11" t="n"/>
      <c r="H1905" s="11" t="n"/>
      <c r="I1905" s="11" t="n"/>
      <c r="J1905" s="11" t="n"/>
      <c r="K1905" s="11" t="n"/>
      <c r="L1905" s="11" t="n"/>
      <c r="M1905" s="11" t="n"/>
      <c r="N1905" s="11" t="n"/>
      <c r="O1905" s="11" t="n"/>
      <c r="P1905" s="11" t="n"/>
      <c r="Q1905" s="11" t="n"/>
      <c r="R1905" s="11" t="n"/>
      <c r="S1905" s="11" t="n"/>
      <c r="T1905" s="12" t="n"/>
    </row>
    <row r="1906">
      <c r="A1906" s="11" t="n"/>
      <c r="B1906" s="11" t="n"/>
      <c r="C1906" s="11" t="n"/>
      <c r="D1906" s="11" t="n"/>
      <c r="E1906" s="11" t="n"/>
      <c r="F1906" s="11" t="n"/>
      <c r="G1906" s="11" t="n"/>
      <c r="H1906" s="11" t="n"/>
      <c r="I1906" s="11" t="n"/>
      <c r="J1906" s="11" t="n"/>
      <c r="K1906" s="11" t="n"/>
      <c r="L1906" s="11" t="n"/>
      <c r="M1906" s="11" t="n"/>
      <c r="N1906" s="11" t="n"/>
      <c r="O1906" s="11" t="n"/>
      <c r="P1906" s="11" t="n"/>
      <c r="Q1906" s="11" t="n"/>
      <c r="R1906" s="11" t="n"/>
      <c r="S1906" s="11" t="n"/>
      <c r="T1906" s="12" t="n"/>
    </row>
    <row r="1907">
      <c r="A1907" s="11" t="n"/>
      <c r="B1907" s="11" t="n"/>
      <c r="C1907" s="11" t="n"/>
      <c r="D1907" s="11" t="n"/>
      <c r="E1907" s="11" t="n"/>
      <c r="F1907" s="11" t="n"/>
      <c r="G1907" s="11" t="n"/>
      <c r="H1907" s="11" t="n"/>
      <c r="I1907" s="11" t="n"/>
      <c r="J1907" s="11" t="n"/>
      <c r="K1907" s="11" t="n"/>
      <c r="L1907" s="11" t="n"/>
      <c r="M1907" s="11" t="n"/>
      <c r="N1907" s="11" t="n"/>
      <c r="O1907" s="11" t="n"/>
      <c r="P1907" s="11" t="n"/>
      <c r="Q1907" s="11" t="n"/>
      <c r="R1907" s="11" t="n"/>
      <c r="S1907" s="11" t="n"/>
      <c r="T1907" s="12" t="n"/>
    </row>
    <row r="1908">
      <c r="A1908" s="11" t="n"/>
      <c r="B1908" s="11" t="n"/>
      <c r="C1908" s="11" t="n"/>
      <c r="D1908" s="11" t="n"/>
      <c r="E1908" s="11" t="n"/>
      <c r="F1908" s="11" t="n"/>
      <c r="G1908" s="11" t="n"/>
      <c r="H1908" s="11" t="n"/>
      <c r="I1908" s="11" t="n"/>
      <c r="J1908" s="11" t="n"/>
      <c r="K1908" s="11" t="n"/>
      <c r="L1908" s="11" t="n"/>
      <c r="M1908" s="11" t="n"/>
      <c r="N1908" s="11" t="n"/>
      <c r="O1908" s="11" t="n"/>
      <c r="P1908" s="11" t="n"/>
      <c r="Q1908" s="11" t="n"/>
      <c r="R1908" s="11" t="n"/>
      <c r="S1908" s="11" t="n"/>
      <c r="T1908" s="12" t="n"/>
    </row>
    <row r="1909">
      <c r="A1909" s="11" t="n"/>
      <c r="B1909" s="11" t="n"/>
      <c r="C1909" s="11" t="n"/>
      <c r="D1909" s="11" t="n"/>
      <c r="E1909" s="11" t="n"/>
      <c r="F1909" s="11" t="n"/>
      <c r="G1909" s="11" t="n"/>
      <c r="H1909" s="11" t="n"/>
      <c r="I1909" s="11" t="n"/>
      <c r="J1909" s="11" t="n"/>
      <c r="K1909" s="11" t="n"/>
      <c r="L1909" s="11" t="n"/>
      <c r="M1909" s="11" t="n"/>
      <c r="N1909" s="11" t="n"/>
      <c r="O1909" s="11" t="n"/>
      <c r="P1909" s="11" t="n"/>
      <c r="Q1909" s="11" t="n"/>
      <c r="R1909" s="11" t="n"/>
      <c r="S1909" s="11" t="n"/>
      <c r="T1909" s="12" t="n"/>
    </row>
    <row r="1910">
      <c r="A1910" s="11" t="n"/>
      <c r="B1910" s="11" t="n"/>
      <c r="C1910" s="11" t="n"/>
      <c r="D1910" s="11" t="n"/>
      <c r="E1910" s="11" t="n"/>
      <c r="F1910" s="11" t="n"/>
      <c r="G1910" s="11" t="n"/>
      <c r="H1910" s="11" t="n"/>
      <c r="I1910" s="11" t="n"/>
      <c r="J1910" s="11" t="n"/>
      <c r="K1910" s="11" t="n"/>
      <c r="L1910" s="11" t="n"/>
      <c r="M1910" s="11" t="n"/>
      <c r="N1910" s="11" t="n"/>
      <c r="O1910" s="11" t="n"/>
      <c r="P1910" s="11" t="n"/>
      <c r="Q1910" s="11" t="n"/>
      <c r="R1910" s="11" t="n"/>
      <c r="S1910" s="11" t="n"/>
      <c r="T1910" s="12" t="n"/>
    </row>
    <row r="1911">
      <c r="A1911" s="11" t="n"/>
      <c r="B1911" s="11" t="n"/>
      <c r="C1911" s="11" t="n"/>
      <c r="D1911" s="11" t="n"/>
      <c r="E1911" s="11" t="n"/>
      <c r="F1911" s="11" t="n"/>
      <c r="G1911" s="11" t="n"/>
      <c r="H1911" s="11" t="n"/>
      <c r="I1911" s="11" t="n"/>
      <c r="J1911" s="11" t="n"/>
      <c r="K1911" s="11" t="n"/>
      <c r="L1911" s="11" t="n"/>
      <c r="M1911" s="11" t="n"/>
      <c r="N1911" s="11" t="n"/>
      <c r="O1911" s="11" t="n"/>
      <c r="P1911" s="11" t="n"/>
      <c r="Q1911" s="11" t="n"/>
      <c r="R1911" s="11" t="n"/>
      <c r="S1911" s="11" t="n"/>
      <c r="T1911" s="12" t="n"/>
    </row>
    <row r="1912">
      <c r="A1912" s="11" t="n"/>
      <c r="B1912" s="11" t="n"/>
      <c r="C1912" s="11" t="n"/>
      <c r="D1912" s="11" t="n"/>
      <c r="E1912" s="11" t="n"/>
      <c r="F1912" s="11" t="n"/>
      <c r="G1912" s="11" t="n"/>
      <c r="H1912" s="11" t="n"/>
      <c r="I1912" s="11" t="n"/>
      <c r="J1912" s="11" t="n"/>
      <c r="K1912" s="11" t="n"/>
      <c r="L1912" s="11" t="n"/>
      <c r="M1912" s="11" t="n"/>
      <c r="N1912" s="11" t="n"/>
      <c r="O1912" s="11" t="n"/>
      <c r="P1912" s="11" t="n"/>
      <c r="Q1912" s="11" t="n"/>
      <c r="R1912" s="11" t="n"/>
      <c r="S1912" s="11" t="n"/>
      <c r="T1912" s="12" t="n"/>
    </row>
    <row r="1913">
      <c r="A1913" s="11" t="n"/>
      <c r="B1913" s="11" t="n"/>
      <c r="C1913" s="11" t="n"/>
      <c r="D1913" s="11" t="n"/>
      <c r="E1913" s="11" t="n"/>
      <c r="F1913" s="11" t="n"/>
      <c r="G1913" s="11" t="n"/>
      <c r="H1913" s="11" t="n"/>
      <c r="I1913" s="11" t="n"/>
      <c r="J1913" s="11" t="n"/>
      <c r="K1913" s="11" t="n"/>
      <c r="L1913" s="11" t="n"/>
      <c r="M1913" s="11" t="n"/>
      <c r="N1913" s="11" t="n"/>
      <c r="O1913" s="11" t="n"/>
      <c r="P1913" s="11" t="n"/>
      <c r="Q1913" s="11" t="n"/>
      <c r="R1913" s="11" t="n"/>
      <c r="S1913" s="11" t="n"/>
      <c r="T1913" s="12" t="n"/>
    </row>
    <row r="1914">
      <c r="A1914" s="11" t="n"/>
      <c r="B1914" s="11" t="n"/>
      <c r="C1914" s="11" t="n"/>
      <c r="D1914" s="11" t="n"/>
      <c r="E1914" s="11" t="n"/>
      <c r="F1914" s="11" t="n"/>
      <c r="G1914" s="11" t="n"/>
      <c r="H1914" s="11" t="n"/>
      <c r="I1914" s="11" t="n"/>
      <c r="J1914" s="11" t="n"/>
      <c r="K1914" s="11" t="n"/>
      <c r="L1914" s="11" t="n"/>
      <c r="M1914" s="11" t="n"/>
      <c r="N1914" s="11" t="n"/>
      <c r="O1914" s="11" t="n"/>
      <c r="P1914" s="11" t="n"/>
      <c r="Q1914" s="11" t="n"/>
      <c r="R1914" s="11" t="n"/>
      <c r="S1914" s="11" t="n"/>
      <c r="T1914" s="12" t="n"/>
    </row>
    <row r="1915">
      <c r="A1915" s="11" t="n"/>
      <c r="B1915" s="11" t="n"/>
      <c r="C1915" s="11" t="n"/>
      <c r="D1915" s="11" t="n"/>
      <c r="E1915" s="11" t="n"/>
      <c r="F1915" s="11" t="n"/>
      <c r="G1915" s="11" t="n"/>
      <c r="H1915" s="11" t="n"/>
      <c r="I1915" s="11" t="n"/>
      <c r="J1915" s="11" t="n"/>
      <c r="K1915" s="11" t="n"/>
      <c r="L1915" s="11" t="n"/>
      <c r="M1915" s="11" t="n"/>
      <c r="N1915" s="11" t="n"/>
      <c r="O1915" s="11" t="n"/>
      <c r="P1915" s="11" t="n"/>
      <c r="Q1915" s="11" t="n"/>
      <c r="R1915" s="11" t="n"/>
      <c r="S1915" s="11" t="n"/>
      <c r="T1915" s="12" t="n"/>
    </row>
    <row r="1916">
      <c r="A1916" s="11" t="n"/>
      <c r="B1916" s="11" t="n"/>
      <c r="C1916" s="11" t="n"/>
      <c r="D1916" s="11" t="n"/>
      <c r="E1916" s="11" t="n"/>
      <c r="F1916" s="11" t="n"/>
      <c r="G1916" s="11" t="n"/>
      <c r="H1916" s="11" t="n"/>
      <c r="I1916" s="11" t="n"/>
      <c r="J1916" s="11" t="n"/>
      <c r="K1916" s="11" t="n"/>
      <c r="L1916" s="11" t="n"/>
      <c r="M1916" s="11" t="n"/>
      <c r="N1916" s="11" t="n"/>
      <c r="O1916" s="11" t="n"/>
      <c r="P1916" s="11" t="n"/>
      <c r="Q1916" s="11" t="n"/>
      <c r="R1916" s="11" t="n"/>
      <c r="S1916" s="11" t="n"/>
      <c r="T1916" s="12" t="n"/>
    </row>
    <row r="1917">
      <c r="A1917" s="11" t="n"/>
      <c r="B1917" s="11" t="n"/>
      <c r="C1917" s="11" t="n"/>
      <c r="D1917" s="11" t="n"/>
      <c r="E1917" s="11" t="n"/>
      <c r="F1917" s="11" t="n"/>
      <c r="G1917" s="11" t="n"/>
      <c r="H1917" s="11" t="n"/>
      <c r="I1917" s="11" t="n"/>
      <c r="J1917" s="11" t="n"/>
      <c r="K1917" s="11" t="n"/>
      <c r="L1917" s="11" t="n"/>
      <c r="M1917" s="11" t="n"/>
      <c r="N1917" s="11" t="n"/>
      <c r="O1917" s="11" t="n"/>
      <c r="P1917" s="11" t="n"/>
      <c r="Q1917" s="11" t="n"/>
      <c r="R1917" s="11" t="n"/>
      <c r="S1917" s="11" t="n"/>
      <c r="T1917" s="12" t="n"/>
    </row>
    <row r="1918">
      <c r="A1918" s="11" t="n"/>
      <c r="B1918" s="11" t="n"/>
      <c r="C1918" s="11" t="n"/>
      <c r="D1918" s="11" t="n"/>
      <c r="E1918" s="11" t="n"/>
      <c r="F1918" s="11" t="n"/>
      <c r="G1918" s="11" t="n"/>
      <c r="H1918" s="11" t="n"/>
      <c r="I1918" s="11" t="n"/>
      <c r="J1918" s="11" t="n"/>
      <c r="K1918" s="11" t="n"/>
      <c r="L1918" s="11" t="n"/>
      <c r="M1918" s="11" t="n"/>
      <c r="N1918" s="11" t="n"/>
      <c r="O1918" s="11" t="n"/>
      <c r="P1918" s="11" t="n"/>
      <c r="Q1918" s="11" t="n"/>
      <c r="R1918" s="11" t="n"/>
      <c r="S1918" s="11" t="n"/>
      <c r="T1918" s="12" t="n"/>
    </row>
    <row r="1919">
      <c r="A1919" s="11" t="n"/>
      <c r="B1919" s="11" t="n"/>
      <c r="C1919" s="11" t="n"/>
      <c r="D1919" s="11" t="n"/>
      <c r="E1919" s="11" t="n"/>
      <c r="F1919" s="11" t="n"/>
      <c r="G1919" s="11" t="n"/>
      <c r="H1919" s="11" t="n"/>
      <c r="I1919" s="11" t="n"/>
      <c r="J1919" s="11" t="n"/>
      <c r="K1919" s="11" t="n"/>
      <c r="L1919" s="11" t="n"/>
      <c r="M1919" s="11" t="n"/>
      <c r="N1919" s="11" t="n"/>
      <c r="O1919" s="11" t="n"/>
      <c r="P1919" s="11" t="n"/>
      <c r="Q1919" s="11" t="n"/>
      <c r="R1919" s="11" t="n"/>
      <c r="S1919" s="11" t="n"/>
      <c r="T1919" s="12" t="n"/>
    </row>
    <row r="1920">
      <c r="A1920" s="11" t="n"/>
      <c r="B1920" s="11" t="n"/>
      <c r="C1920" s="11" t="n"/>
      <c r="D1920" s="11" t="n"/>
      <c r="E1920" s="11" t="n"/>
      <c r="F1920" s="11" t="n"/>
      <c r="G1920" s="11" t="n"/>
      <c r="H1920" s="11" t="n"/>
      <c r="I1920" s="11" t="n"/>
      <c r="J1920" s="11" t="n"/>
      <c r="K1920" s="11" t="n"/>
      <c r="L1920" s="11" t="n"/>
      <c r="M1920" s="11" t="n"/>
      <c r="N1920" s="11" t="n"/>
      <c r="O1920" s="11" t="n"/>
      <c r="P1920" s="11" t="n"/>
      <c r="Q1920" s="11" t="n"/>
      <c r="R1920" s="11" t="n"/>
      <c r="S1920" s="11" t="n"/>
      <c r="T1920" s="12" t="n"/>
    </row>
    <row r="1921">
      <c r="A1921" s="11" t="n"/>
      <c r="B1921" s="11" t="n"/>
      <c r="C1921" s="11" t="n"/>
      <c r="D1921" s="11" t="n"/>
      <c r="E1921" s="11" t="n"/>
      <c r="F1921" s="11" t="n"/>
      <c r="G1921" s="11" t="n"/>
      <c r="H1921" s="11" t="n"/>
      <c r="I1921" s="11" t="n"/>
      <c r="J1921" s="11" t="n"/>
      <c r="K1921" s="11" t="n"/>
      <c r="L1921" s="11" t="n"/>
      <c r="M1921" s="11" t="n"/>
      <c r="N1921" s="11" t="n"/>
      <c r="O1921" s="11" t="n"/>
      <c r="P1921" s="11" t="n"/>
      <c r="Q1921" s="11" t="n"/>
      <c r="R1921" s="11" t="n"/>
      <c r="S1921" s="11" t="n"/>
      <c r="T1921" s="12" t="n"/>
    </row>
    <row r="1922">
      <c r="A1922" s="11" t="n"/>
      <c r="B1922" s="11" t="n"/>
      <c r="C1922" s="11" t="n"/>
      <c r="D1922" s="11" t="n"/>
      <c r="E1922" s="11" t="n"/>
      <c r="F1922" s="11" t="n"/>
      <c r="G1922" s="11" t="n"/>
      <c r="H1922" s="11" t="n"/>
      <c r="I1922" s="11" t="n"/>
      <c r="J1922" s="11" t="n"/>
      <c r="K1922" s="11" t="n"/>
      <c r="L1922" s="11" t="n"/>
      <c r="M1922" s="11" t="n"/>
      <c r="N1922" s="11" t="n"/>
      <c r="O1922" s="11" t="n"/>
      <c r="P1922" s="11" t="n"/>
      <c r="Q1922" s="11" t="n"/>
      <c r="R1922" s="11" t="n"/>
      <c r="S1922" s="11" t="n"/>
      <c r="T1922" s="12" t="n"/>
    </row>
    <row r="1923">
      <c r="A1923" s="11" t="n"/>
      <c r="B1923" s="11" t="n"/>
      <c r="C1923" s="11" t="n"/>
      <c r="D1923" s="11" t="n"/>
      <c r="E1923" s="11" t="n"/>
      <c r="F1923" s="11" t="n"/>
      <c r="G1923" s="11" t="n"/>
      <c r="H1923" s="11" t="n"/>
      <c r="I1923" s="11" t="n"/>
      <c r="J1923" s="11" t="n"/>
      <c r="K1923" s="11" t="n"/>
      <c r="L1923" s="11" t="n"/>
      <c r="M1923" s="11" t="n"/>
      <c r="N1923" s="11" t="n"/>
      <c r="O1923" s="11" t="n"/>
      <c r="P1923" s="11" t="n"/>
      <c r="Q1923" s="11" t="n"/>
      <c r="R1923" s="11" t="n"/>
      <c r="S1923" s="11" t="n"/>
      <c r="T1923" s="12" t="n"/>
    </row>
    <row r="1924">
      <c r="A1924" s="11" t="n"/>
      <c r="B1924" s="11" t="n"/>
      <c r="C1924" s="11" t="n"/>
      <c r="D1924" s="11" t="n"/>
      <c r="E1924" s="11" t="n"/>
      <c r="F1924" s="11" t="n"/>
      <c r="G1924" s="11" t="n"/>
      <c r="H1924" s="11" t="n"/>
      <c r="I1924" s="11" t="n"/>
      <c r="J1924" s="11" t="n"/>
      <c r="K1924" s="11" t="n"/>
      <c r="L1924" s="11" t="n"/>
      <c r="M1924" s="11" t="n"/>
      <c r="N1924" s="11" t="n"/>
      <c r="O1924" s="11" t="n"/>
      <c r="P1924" s="11" t="n"/>
      <c r="Q1924" s="11" t="n"/>
      <c r="R1924" s="11" t="n"/>
      <c r="S1924" s="11" t="n"/>
      <c r="T1924" s="12" t="n"/>
    </row>
    <row r="1925">
      <c r="A1925" s="11" t="n"/>
      <c r="B1925" s="11" t="n"/>
      <c r="C1925" s="11" t="n"/>
      <c r="D1925" s="11" t="n"/>
      <c r="E1925" s="11" t="n"/>
      <c r="F1925" s="11" t="n"/>
      <c r="G1925" s="11" t="n"/>
      <c r="H1925" s="11" t="n"/>
      <c r="I1925" s="11" t="n"/>
      <c r="J1925" s="11" t="n"/>
      <c r="K1925" s="11" t="n"/>
      <c r="L1925" s="11" t="n"/>
      <c r="M1925" s="11" t="n"/>
      <c r="N1925" s="11" t="n"/>
      <c r="O1925" s="11" t="n"/>
      <c r="P1925" s="11" t="n"/>
      <c r="Q1925" s="11" t="n"/>
      <c r="R1925" s="11" t="n"/>
      <c r="S1925" s="11" t="n"/>
      <c r="T1925" s="12" t="n"/>
    </row>
    <row r="1926">
      <c r="A1926" s="11" t="n"/>
      <c r="B1926" s="11" t="n"/>
      <c r="C1926" s="11" t="n"/>
      <c r="D1926" s="11" t="n"/>
      <c r="E1926" s="11" t="n"/>
      <c r="F1926" s="11" t="n"/>
      <c r="G1926" s="11" t="n"/>
      <c r="H1926" s="11" t="n"/>
      <c r="I1926" s="11" t="n"/>
      <c r="J1926" s="11" t="n"/>
      <c r="K1926" s="11" t="n"/>
      <c r="L1926" s="11" t="n"/>
      <c r="M1926" s="11" t="n"/>
      <c r="N1926" s="11" t="n"/>
      <c r="O1926" s="11" t="n"/>
      <c r="P1926" s="11" t="n"/>
      <c r="Q1926" s="11" t="n"/>
      <c r="R1926" s="11" t="n"/>
      <c r="S1926" s="11" t="n"/>
      <c r="T1926" s="12" t="n"/>
    </row>
    <row r="1927">
      <c r="A1927" s="11" t="n"/>
      <c r="B1927" s="11" t="n"/>
      <c r="C1927" s="11" t="n"/>
      <c r="D1927" s="11" t="n"/>
      <c r="E1927" s="11" t="n"/>
      <c r="F1927" s="11" t="n"/>
      <c r="G1927" s="11" t="n"/>
      <c r="H1927" s="11" t="n"/>
      <c r="I1927" s="11" t="n"/>
      <c r="J1927" s="11" t="n"/>
      <c r="K1927" s="11" t="n"/>
      <c r="L1927" s="11" t="n"/>
      <c r="M1927" s="11" t="n"/>
      <c r="N1927" s="11" t="n"/>
      <c r="O1927" s="11" t="n"/>
      <c r="P1927" s="11" t="n"/>
      <c r="Q1927" s="11" t="n"/>
      <c r="R1927" s="11" t="n"/>
      <c r="S1927" s="11" t="n"/>
      <c r="T1927" s="12" t="n"/>
    </row>
    <row r="1928">
      <c r="A1928" s="11" t="n"/>
      <c r="B1928" s="11" t="n"/>
      <c r="C1928" s="11" t="n"/>
      <c r="D1928" s="11" t="n"/>
      <c r="E1928" s="11" t="n"/>
      <c r="F1928" s="11" t="n"/>
      <c r="G1928" s="11" t="n"/>
      <c r="H1928" s="11" t="n"/>
      <c r="I1928" s="11" t="n"/>
      <c r="J1928" s="11" t="n"/>
      <c r="K1928" s="11" t="n"/>
      <c r="L1928" s="11" t="n"/>
      <c r="M1928" s="11" t="n"/>
      <c r="N1928" s="11" t="n"/>
      <c r="O1928" s="11" t="n"/>
      <c r="P1928" s="11" t="n"/>
      <c r="Q1928" s="11" t="n"/>
      <c r="R1928" s="11" t="n"/>
      <c r="S1928" s="11" t="n"/>
      <c r="T1928" s="12" t="n"/>
    </row>
    <row r="1929">
      <c r="A1929" s="11" t="n"/>
      <c r="B1929" s="11" t="n"/>
      <c r="C1929" s="11" t="n"/>
      <c r="D1929" s="11" t="n"/>
      <c r="E1929" s="11" t="n"/>
      <c r="F1929" s="11" t="n"/>
      <c r="G1929" s="11" t="n"/>
      <c r="H1929" s="11" t="n"/>
      <c r="I1929" s="11" t="n"/>
      <c r="J1929" s="11" t="n"/>
      <c r="K1929" s="11" t="n"/>
      <c r="L1929" s="11" t="n"/>
      <c r="M1929" s="11" t="n"/>
      <c r="N1929" s="11" t="n"/>
      <c r="O1929" s="11" t="n"/>
      <c r="P1929" s="11" t="n"/>
      <c r="Q1929" s="11" t="n"/>
      <c r="R1929" s="11" t="n"/>
      <c r="S1929" s="11" t="n"/>
      <c r="T1929" s="12" t="n"/>
    </row>
    <row r="1930">
      <c r="A1930" s="11" t="n"/>
      <c r="B1930" s="11" t="n"/>
      <c r="C1930" s="11" t="n"/>
      <c r="D1930" s="11" t="n"/>
      <c r="E1930" s="11" t="n"/>
      <c r="F1930" s="11" t="n"/>
      <c r="G1930" s="11" t="n"/>
      <c r="H1930" s="11" t="n"/>
      <c r="I1930" s="11" t="n"/>
      <c r="J1930" s="11" t="n"/>
      <c r="K1930" s="11" t="n"/>
      <c r="L1930" s="11" t="n"/>
      <c r="M1930" s="11" t="n"/>
      <c r="N1930" s="11" t="n"/>
      <c r="O1930" s="11" t="n"/>
      <c r="P1930" s="11" t="n"/>
      <c r="Q1930" s="11" t="n"/>
      <c r="R1930" s="11" t="n"/>
      <c r="S1930" s="11" t="n"/>
      <c r="T1930" s="12" t="n"/>
    </row>
    <row r="1931">
      <c r="A1931" s="11" t="n"/>
      <c r="B1931" s="11" t="n"/>
      <c r="C1931" s="11" t="n"/>
      <c r="D1931" s="11" t="n"/>
      <c r="E1931" s="11" t="n"/>
      <c r="F1931" s="11" t="n"/>
      <c r="G1931" s="11" t="n"/>
      <c r="H1931" s="11" t="n"/>
      <c r="I1931" s="11" t="n"/>
      <c r="J1931" s="11" t="n"/>
      <c r="K1931" s="11" t="n"/>
      <c r="L1931" s="11" t="n"/>
      <c r="M1931" s="11" t="n"/>
      <c r="N1931" s="11" t="n"/>
      <c r="O1931" s="11" t="n"/>
      <c r="P1931" s="11" t="n"/>
      <c r="Q1931" s="11" t="n"/>
      <c r="R1931" s="11" t="n"/>
      <c r="S1931" s="11" t="n"/>
      <c r="T1931" s="12" t="n"/>
    </row>
    <row r="1932">
      <c r="A1932" s="11" t="n"/>
      <c r="B1932" s="11" t="n"/>
      <c r="C1932" s="11" t="n"/>
      <c r="D1932" s="11" t="n"/>
      <c r="E1932" s="11" t="n"/>
      <c r="F1932" s="11" t="n"/>
      <c r="G1932" s="11" t="n"/>
      <c r="H1932" s="11" t="n"/>
      <c r="I1932" s="11" t="n"/>
      <c r="J1932" s="11" t="n"/>
      <c r="K1932" s="11" t="n"/>
      <c r="L1932" s="11" t="n"/>
      <c r="M1932" s="11" t="n"/>
      <c r="N1932" s="11" t="n"/>
      <c r="O1932" s="11" t="n"/>
      <c r="P1932" s="11" t="n"/>
      <c r="Q1932" s="11" t="n"/>
      <c r="R1932" s="11" t="n"/>
      <c r="S1932" s="11" t="n"/>
      <c r="T1932" s="12" t="n"/>
    </row>
    <row r="1933">
      <c r="A1933" s="11" t="n"/>
      <c r="B1933" s="11" t="n"/>
      <c r="C1933" s="11" t="n"/>
      <c r="D1933" s="11" t="n"/>
      <c r="E1933" s="11" t="n"/>
      <c r="F1933" s="11" t="n"/>
      <c r="G1933" s="11" t="n"/>
      <c r="H1933" s="11" t="n"/>
      <c r="I1933" s="11" t="n"/>
      <c r="J1933" s="11" t="n"/>
      <c r="K1933" s="11" t="n"/>
      <c r="L1933" s="11" t="n"/>
      <c r="M1933" s="11" t="n"/>
      <c r="N1933" s="11" t="n"/>
      <c r="O1933" s="11" t="n"/>
      <c r="P1933" s="11" t="n"/>
      <c r="Q1933" s="11" t="n"/>
      <c r="R1933" s="11" t="n"/>
      <c r="S1933" s="11" t="n"/>
      <c r="T1933" s="12" t="n"/>
    </row>
    <row r="1934">
      <c r="A1934" s="11" t="n"/>
      <c r="B1934" s="11" t="n"/>
      <c r="C1934" s="11" t="n"/>
      <c r="D1934" s="11" t="n"/>
      <c r="E1934" s="11" t="n"/>
      <c r="F1934" s="11" t="n"/>
      <c r="G1934" s="11" t="n"/>
      <c r="H1934" s="11" t="n"/>
      <c r="I1934" s="11" t="n"/>
      <c r="J1934" s="11" t="n"/>
      <c r="K1934" s="11" t="n"/>
      <c r="L1934" s="11" t="n"/>
      <c r="M1934" s="11" t="n"/>
      <c r="N1934" s="11" t="n"/>
      <c r="O1934" s="11" t="n"/>
      <c r="P1934" s="11" t="n"/>
      <c r="Q1934" s="11" t="n"/>
      <c r="R1934" s="11" t="n"/>
      <c r="S1934" s="11" t="n"/>
      <c r="T1934" s="12" t="n"/>
    </row>
    <row r="1935">
      <c r="A1935" s="11" t="n"/>
      <c r="B1935" s="11" t="n"/>
      <c r="C1935" s="11" t="n"/>
      <c r="D1935" s="11" t="n"/>
      <c r="E1935" s="11" t="n"/>
      <c r="F1935" s="11" t="n"/>
      <c r="G1935" s="11" t="n"/>
      <c r="H1935" s="11" t="n"/>
      <c r="I1935" s="11" t="n"/>
      <c r="J1935" s="11" t="n"/>
      <c r="K1935" s="11" t="n"/>
      <c r="L1935" s="11" t="n"/>
      <c r="M1935" s="11" t="n"/>
      <c r="N1935" s="11" t="n"/>
      <c r="O1935" s="11" t="n"/>
      <c r="P1935" s="11" t="n"/>
      <c r="Q1935" s="11" t="n"/>
      <c r="R1935" s="11" t="n"/>
      <c r="S1935" s="11" t="n"/>
      <c r="T1935" s="12" t="n"/>
    </row>
    <row r="1936">
      <c r="A1936" s="11" t="n"/>
      <c r="B1936" s="11" t="n"/>
      <c r="C1936" s="11" t="n"/>
      <c r="D1936" s="11" t="n"/>
      <c r="E1936" s="11" t="n"/>
      <c r="F1936" s="11" t="n"/>
      <c r="G1936" s="11" t="n"/>
      <c r="H1936" s="11" t="n"/>
      <c r="I1936" s="11" t="n"/>
      <c r="J1936" s="11" t="n"/>
      <c r="K1936" s="11" t="n"/>
      <c r="L1936" s="11" t="n"/>
      <c r="M1936" s="11" t="n"/>
      <c r="N1936" s="11" t="n"/>
      <c r="O1936" s="11" t="n"/>
      <c r="P1936" s="11" t="n"/>
      <c r="Q1936" s="11" t="n"/>
      <c r="R1936" s="11" t="n"/>
      <c r="S1936" s="11" t="n"/>
      <c r="T1936" s="12" t="n"/>
    </row>
    <row r="1937">
      <c r="A1937" s="11" t="n"/>
      <c r="B1937" s="11" t="n"/>
      <c r="C1937" s="11" t="n"/>
      <c r="D1937" s="11" t="n"/>
      <c r="E1937" s="11" t="n"/>
      <c r="F1937" s="11" t="n"/>
      <c r="G1937" s="11" t="n"/>
      <c r="H1937" s="11" t="n"/>
      <c r="I1937" s="11" t="n"/>
      <c r="J1937" s="11" t="n"/>
      <c r="K1937" s="11" t="n"/>
      <c r="L1937" s="11" t="n"/>
      <c r="M1937" s="11" t="n"/>
      <c r="N1937" s="11" t="n"/>
      <c r="O1937" s="11" t="n"/>
      <c r="P1937" s="11" t="n"/>
      <c r="Q1937" s="11" t="n"/>
      <c r="R1937" s="11" t="n"/>
      <c r="S1937" s="11" t="n"/>
      <c r="T1937" s="12" t="n"/>
    </row>
    <row r="1938">
      <c r="A1938" s="11" t="n"/>
      <c r="B1938" s="11" t="n"/>
      <c r="C1938" s="11" t="n"/>
      <c r="D1938" s="11" t="n"/>
      <c r="E1938" s="11" t="n"/>
      <c r="F1938" s="11" t="n"/>
      <c r="G1938" s="11" t="n"/>
      <c r="H1938" s="11" t="n"/>
      <c r="I1938" s="11" t="n"/>
      <c r="J1938" s="11" t="n"/>
      <c r="K1938" s="11" t="n"/>
      <c r="L1938" s="11" t="n"/>
      <c r="M1938" s="11" t="n"/>
      <c r="N1938" s="11" t="n"/>
      <c r="O1938" s="11" t="n"/>
      <c r="P1938" s="11" t="n"/>
      <c r="Q1938" s="11" t="n"/>
      <c r="R1938" s="11" t="n"/>
      <c r="S1938" s="11" t="n"/>
      <c r="T1938" s="12" t="n"/>
    </row>
    <row r="1939">
      <c r="A1939" s="11" t="n"/>
      <c r="B1939" s="11" t="n"/>
      <c r="C1939" s="11" t="n"/>
      <c r="D1939" s="11" t="n"/>
      <c r="E1939" s="11" t="n"/>
      <c r="F1939" s="11" t="n"/>
      <c r="G1939" s="11" t="n"/>
      <c r="H1939" s="11" t="n"/>
      <c r="I1939" s="11" t="n"/>
      <c r="J1939" s="11" t="n"/>
      <c r="K1939" s="11" t="n"/>
      <c r="L1939" s="11" t="n"/>
      <c r="M1939" s="11" t="n"/>
      <c r="N1939" s="11" t="n"/>
      <c r="O1939" s="11" t="n"/>
      <c r="P1939" s="11" t="n"/>
      <c r="Q1939" s="11" t="n"/>
      <c r="R1939" s="11" t="n"/>
      <c r="S1939" s="11" t="n"/>
      <c r="T1939" s="12" t="n"/>
    </row>
    <row r="1940">
      <c r="A1940" s="11" t="n"/>
      <c r="B1940" s="11" t="n"/>
      <c r="C1940" s="11" t="n"/>
      <c r="D1940" s="11" t="n"/>
      <c r="E1940" s="11" t="n"/>
      <c r="F1940" s="11" t="n"/>
      <c r="G1940" s="11" t="n"/>
      <c r="H1940" s="11" t="n"/>
      <c r="I1940" s="11" t="n"/>
      <c r="J1940" s="11" t="n"/>
      <c r="K1940" s="11" t="n"/>
      <c r="L1940" s="11" t="n"/>
      <c r="M1940" s="11" t="n"/>
      <c r="N1940" s="11" t="n"/>
      <c r="O1940" s="11" t="n"/>
      <c r="P1940" s="11" t="n"/>
      <c r="Q1940" s="11" t="n"/>
      <c r="R1940" s="11" t="n"/>
      <c r="S1940" s="11" t="n"/>
      <c r="T1940" s="12" t="n"/>
    </row>
    <row r="1941">
      <c r="A1941" s="11" t="n"/>
      <c r="B1941" s="11" t="n"/>
      <c r="C1941" s="11" t="n"/>
      <c r="D1941" s="11" t="n"/>
      <c r="E1941" s="11" t="n"/>
      <c r="F1941" s="11" t="n"/>
      <c r="G1941" s="11" t="n"/>
      <c r="H1941" s="11" t="n"/>
      <c r="I1941" s="11" t="n"/>
      <c r="J1941" s="11" t="n"/>
      <c r="K1941" s="11" t="n"/>
      <c r="L1941" s="11" t="n"/>
      <c r="M1941" s="11" t="n"/>
      <c r="N1941" s="11" t="n"/>
      <c r="O1941" s="11" t="n"/>
      <c r="P1941" s="11" t="n"/>
      <c r="Q1941" s="11" t="n"/>
      <c r="R1941" s="11" t="n"/>
      <c r="S1941" s="11" t="n"/>
      <c r="T1941" s="12" t="n"/>
    </row>
    <row r="1942">
      <c r="A1942" s="11" t="n"/>
      <c r="B1942" s="11" t="n"/>
      <c r="C1942" s="11" t="n"/>
      <c r="D1942" s="11" t="n"/>
      <c r="E1942" s="11" t="n"/>
      <c r="F1942" s="11" t="n"/>
      <c r="G1942" s="11" t="n"/>
      <c r="H1942" s="11" t="n"/>
      <c r="I1942" s="11" t="n"/>
      <c r="J1942" s="11" t="n"/>
      <c r="K1942" s="11" t="n"/>
      <c r="L1942" s="11" t="n"/>
      <c r="M1942" s="11" t="n"/>
      <c r="N1942" s="11" t="n"/>
      <c r="O1942" s="11" t="n"/>
      <c r="P1942" s="11" t="n"/>
      <c r="Q1942" s="11" t="n"/>
      <c r="R1942" s="11" t="n"/>
      <c r="S1942" s="11" t="n"/>
      <c r="T1942" s="12" t="n"/>
    </row>
    <row r="1943">
      <c r="A1943" s="11" t="n"/>
      <c r="B1943" s="11" t="n"/>
      <c r="C1943" s="11" t="n"/>
      <c r="D1943" s="11" t="n"/>
      <c r="E1943" s="11" t="n"/>
      <c r="F1943" s="11" t="n"/>
      <c r="G1943" s="11" t="n"/>
      <c r="H1943" s="11" t="n"/>
      <c r="I1943" s="11" t="n"/>
      <c r="J1943" s="11" t="n"/>
      <c r="K1943" s="11" t="n"/>
      <c r="L1943" s="11" t="n"/>
      <c r="M1943" s="11" t="n"/>
      <c r="N1943" s="11" t="n"/>
      <c r="O1943" s="11" t="n"/>
      <c r="P1943" s="11" t="n"/>
      <c r="Q1943" s="11" t="n"/>
      <c r="R1943" s="11" t="n"/>
      <c r="S1943" s="11" t="n"/>
      <c r="T1943" s="12" t="n"/>
    </row>
    <row r="1944">
      <c r="A1944" s="11" t="n"/>
      <c r="B1944" s="11" t="n"/>
      <c r="C1944" s="11" t="n"/>
      <c r="D1944" s="11" t="n"/>
      <c r="E1944" s="11" t="n"/>
      <c r="F1944" s="11" t="n"/>
      <c r="G1944" s="11" t="n"/>
      <c r="H1944" s="11" t="n"/>
      <c r="I1944" s="11" t="n"/>
      <c r="J1944" s="11" t="n"/>
      <c r="K1944" s="11" t="n"/>
      <c r="L1944" s="11" t="n"/>
      <c r="M1944" s="11" t="n"/>
      <c r="N1944" s="11" t="n"/>
      <c r="O1944" s="11" t="n"/>
      <c r="P1944" s="11" t="n"/>
      <c r="Q1944" s="11" t="n"/>
      <c r="R1944" s="11" t="n"/>
      <c r="S1944" s="11" t="n"/>
      <c r="T1944" s="12" t="n"/>
    </row>
    <row r="1945">
      <c r="A1945" s="11" t="n"/>
      <c r="B1945" s="11" t="n"/>
      <c r="C1945" s="11" t="n"/>
      <c r="D1945" s="11" t="n"/>
      <c r="E1945" s="11" t="n"/>
      <c r="F1945" s="11" t="n"/>
      <c r="G1945" s="11" t="n"/>
      <c r="H1945" s="11" t="n"/>
      <c r="I1945" s="11" t="n"/>
      <c r="J1945" s="11" t="n"/>
      <c r="K1945" s="11" t="n"/>
      <c r="L1945" s="11" t="n"/>
      <c r="M1945" s="11" t="n"/>
      <c r="N1945" s="11" t="n"/>
      <c r="O1945" s="11" t="n"/>
      <c r="P1945" s="11" t="n"/>
      <c r="Q1945" s="11" t="n"/>
      <c r="R1945" s="11" t="n"/>
      <c r="S1945" s="11" t="n"/>
      <c r="T1945" s="12" t="n"/>
    </row>
    <row r="1946">
      <c r="A1946" s="11" t="n"/>
      <c r="B1946" s="11" t="n"/>
      <c r="C1946" s="11" t="n"/>
      <c r="D1946" s="11" t="n"/>
      <c r="E1946" s="11" t="n"/>
      <c r="F1946" s="11" t="n"/>
      <c r="G1946" s="11" t="n"/>
      <c r="H1946" s="11" t="n"/>
      <c r="I1946" s="11" t="n"/>
      <c r="J1946" s="11" t="n"/>
      <c r="K1946" s="11" t="n"/>
      <c r="L1946" s="11" t="n"/>
      <c r="M1946" s="11" t="n"/>
      <c r="N1946" s="11" t="n"/>
      <c r="O1946" s="11" t="n"/>
      <c r="P1946" s="11" t="n"/>
      <c r="Q1946" s="11" t="n"/>
      <c r="R1946" s="11" t="n"/>
      <c r="S1946" s="11" t="n"/>
      <c r="T1946" s="12" t="n"/>
    </row>
    <row r="1947">
      <c r="A1947" s="11" t="n"/>
      <c r="B1947" s="11" t="n"/>
      <c r="C1947" s="11" t="n"/>
      <c r="D1947" s="11" t="n"/>
      <c r="E1947" s="11" t="n"/>
      <c r="F1947" s="11" t="n"/>
      <c r="G1947" s="11" t="n"/>
      <c r="H1947" s="11" t="n"/>
      <c r="I1947" s="11" t="n"/>
      <c r="J1947" s="11" t="n"/>
      <c r="K1947" s="11" t="n"/>
      <c r="L1947" s="11" t="n"/>
      <c r="M1947" s="11" t="n"/>
      <c r="N1947" s="11" t="n"/>
      <c r="O1947" s="11" t="n"/>
      <c r="P1947" s="11" t="n"/>
      <c r="Q1947" s="11" t="n"/>
      <c r="R1947" s="11" t="n"/>
      <c r="S1947" s="11" t="n"/>
      <c r="T1947" s="12" t="n"/>
    </row>
    <row r="1948">
      <c r="A1948" s="11" t="n"/>
      <c r="B1948" s="11" t="n"/>
      <c r="C1948" s="11" t="n"/>
      <c r="D1948" s="11" t="n"/>
      <c r="E1948" s="11" t="n"/>
      <c r="F1948" s="11" t="n"/>
      <c r="G1948" s="11" t="n"/>
      <c r="H1948" s="11" t="n"/>
      <c r="I1948" s="11" t="n"/>
      <c r="J1948" s="11" t="n"/>
      <c r="K1948" s="11" t="n"/>
      <c r="L1948" s="11" t="n"/>
      <c r="M1948" s="11" t="n"/>
      <c r="N1948" s="11" t="n"/>
      <c r="O1948" s="11" t="n"/>
      <c r="P1948" s="11" t="n"/>
      <c r="Q1948" s="11" t="n"/>
      <c r="R1948" s="11" t="n"/>
      <c r="S1948" s="11" t="n"/>
      <c r="T1948" s="12" t="n"/>
    </row>
    <row r="1949">
      <c r="A1949" s="11" t="n"/>
      <c r="B1949" s="11" t="n"/>
      <c r="C1949" s="11" t="n"/>
      <c r="D1949" s="11" t="n"/>
      <c r="E1949" s="11" t="n"/>
      <c r="F1949" s="11" t="n"/>
      <c r="G1949" s="11" t="n"/>
      <c r="H1949" s="11" t="n"/>
      <c r="I1949" s="11" t="n"/>
      <c r="J1949" s="11" t="n"/>
      <c r="K1949" s="11" t="n"/>
      <c r="L1949" s="11" t="n"/>
      <c r="M1949" s="11" t="n"/>
      <c r="N1949" s="11" t="n"/>
      <c r="O1949" s="11" t="n"/>
      <c r="P1949" s="11" t="n"/>
      <c r="Q1949" s="11" t="n"/>
      <c r="R1949" s="11" t="n"/>
      <c r="S1949" s="11" t="n"/>
      <c r="T1949" s="12" t="n"/>
    </row>
    <row r="1950">
      <c r="A1950" s="11" t="n"/>
      <c r="B1950" s="11" t="n"/>
      <c r="C1950" s="11" t="n"/>
      <c r="D1950" s="11" t="n"/>
      <c r="E1950" s="11" t="n"/>
      <c r="F1950" s="11" t="n"/>
      <c r="G1950" s="11" t="n"/>
      <c r="H1950" s="11" t="n"/>
      <c r="I1950" s="11" t="n"/>
      <c r="J1950" s="11" t="n"/>
      <c r="K1950" s="11" t="n"/>
      <c r="L1950" s="11" t="n"/>
      <c r="M1950" s="11" t="n"/>
      <c r="N1950" s="11" t="n"/>
      <c r="O1950" s="11" t="n"/>
      <c r="P1950" s="11" t="n"/>
      <c r="Q1950" s="11" t="n"/>
      <c r="R1950" s="11" t="n"/>
      <c r="S1950" s="11" t="n"/>
      <c r="T1950" s="12" t="n"/>
    </row>
    <row r="1951">
      <c r="A1951" s="11" t="n"/>
      <c r="B1951" s="11" t="n"/>
      <c r="C1951" s="11" t="n"/>
      <c r="D1951" s="11" t="n"/>
      <c r="E1951" s="11" t="n"/>
      <c r="F1951" s="11" t="n"/>
      <c r="G1951" s="11" t="n"/>
      <c r="H1951" s="11" t="n"/>
      <c r="I1951" s="11" t="n"/>
      <c r="J1951" s="11" t="n"/>
      <c r="K1951" s="11" t="n"/>
      <c r="L1951" s="11" t="n"/>
      <c r="M1951" s="11" t="n"/>
      <c r="N1951" s="11" t="n"/>
      <c r="O1951" s="11" t="n"/>
      <c r="P1951" s="11" t="n"/>
      <c r="Q1951" s="11" t="n"/>
      <c r="R1951" s="11" t="n"/>
      <c r="S1951" s="11" t="n"/>
      <c r="T1951" s="12" t="n"/>
    </row>
    <row r="1952">
      <c r="A1952" s="11" t="n"/>
      <c r="B1952" s="11" t="n"/>
      <c r="C1952" s="11" t="n"/>
      <c r="D1952" s="11" t="n"/>
      <c r="E1952" s="11" t="n"/>
      <c r="F1952" s="11" t="n"/>
      <c r="G1952" s="11" t="n"/>
      <c r="H1952" s="11" t="n"/>
      <c r="I1952" s="11" t="n"/>
      <c r="J1952" s="11" t="n"/>
      <c r="K1952" s="11" t="n"/>
      <c r="L1952" s="11" t="n"/>
      <c r="M1952" s="11" t="n"/>
      <c r="N1952" s="11" t="n"/>
      <c r="O1952" s="11" t="n"/>
      <c r="P1952" s="11" t="n"/>
      <c r="Q1952" s="11" t="n"/>
      <c r="R1952" s="11" t="n"/>
      <c r="S1952" s="11" t="n"/>
      <c r="T1952" s="12" t="n"/>
    </row>
    <row r="1953">
      <c r="A1953" s="11" t="n"/>
      <c r="B1953" s="11" t="n"/>
      <c r="C1953" s="11" t="n"/>
      <c r="D1953" s="11" t="n"/>
      <c r="E1953" s="11" t="n"/>
      <c r="F1953" s="11" t="n"/>
      <c r="G1953" s="11" t="n"/>
      <c r="H1953" s="11" t="n"/>
      <c r="I1953" s="11" t="n"/>
      <c r="J1953" s="11" t="n"/>
      <c r="K1953" s="11" t="n"/>
      <c r="L1953" s="11" t="n"/>
      <c r="M1953" s="11" t="n"/>
      <c r="N1953" s="11" t="n"/>
      <c r="O1953" s="11" t="n"/>
      <c r="P1953" s="11" t="n"/>
      <c r="Q1953" s="11" t="n"/>
      <c r="R1953" s="11" t="n"/>
      <c r="S1953" s="11" t="n"/>
      <c r="T1953" s="12" t="n"/>
    </row>
    <row r="1954">
      <c r="A1954" s="11" t="n"/>
      <c r="B1954" s="11" t="n"/>
      <c r="C1954" s="11" t="n"/>
      <c r="D1954" s="11" t="n"/>
      <c r="E1954" s="11" t="n"/>
      <c r="F1954" s="11" t="n"/>
      <c r="G1954" s="11" t="n"/>
      <c r="H1954" s="11" t="n"/>
      <c r="I1954" s="11" t="n"/>
      <c r="J1954" s="11" t="n"/>
      <c r="K1954" s="11" t="n"/>
      <c r="L1954" s="11" t="n"/>
      <c r="M1954" s="11" t="n"/>
      <c r="N1954" s="11" t="n"/>
      <c r="O1954" s="11" t="n"/>
      <c r="P1954" s="11" t="n"/>
      <c r="Q1954" s="11" t="n"/>
      <c r="R1954" s="11" t="n"/>
      <c r="S1954" s="11" t="n"/>
      <c r="T1954" s="12" t="n"/>
    </row>
    <row r="1955">
      <c r="A1955" s="11" t="n"/>
      <c r="B1955" s="11" t="n"/>
      <c r="C1955" s="11" t="n"/>
      <c r="D1955" s="11" t="n"/>
      <c r="E1955" s="11" t="n"/>
      <c r="F1955" s="11" t="n"/>
      <c r="G1955" s="11" t="n"/>
      <c r="H1955" s="11" t="n"/>
      <c r="I1955" s="11" t="n"/>
      <c r="J1955" s="11" t="n"/>
      <c r="K1955" s="11" t="n"/>
      <c r="L1955" s="11" t="n"/>
      <c r="M1955" s="11" t="n"/>
      <c r="N1955" s="11" t="n"/>
      <c r="O1955" s="11" t="n"/>
      <c r="P1955" s="11" t="n"/>
      <c r="Q1955" s="11" t="n"/>
      <c r="R1955" s="11" t="n"/>
      <c r="S1955" s="11" t="n"/>
      <c r="T1955" s="12" t="n"/>
    </row>
    <row r="1956">
      <c r="A1956" s="11" t="n"/>
      <c r="B1956" s="11" t="n"/>
      <c r="C1956" s="11" t="n"/>
      <c r="D1956" s="11" t="n"/>
      <c r="E1956" s="11" t="n"/>
      <c r="F1956" s="11" t="n"/>
      <c r="G1956" s="11" t="n"/>
      <c r="H1956" s="11" t="n"/>
      <c r="I1956" s="11" t="n"/>
      <c r="J1956" s="11" t="n"/>
      <c r="K1956" s="11" t="n"/>
      <c r="L1956" s="11" t="n"/>
      <c r="M1956" s="11" t="n"/>
      <c r="N1956" s="11" t="n"/>
      <c r="O1956" s="11" t="n"/>
      <c r="P1956" s="11" t="n"/>
      <c r="Q1956" s="11" t="n"/>
      <c r="R1956" s="11" t="n"/>
      <c r="S1956" s="11" t="n"/>
      <c r="T1956" s="12" t="n"/>
    </row>
    <row r="1957">
      <c r="A1957" s="11" t="n"/>
      <c r="B1957" s="11" t="n"/>
      <c r="C1957" s="11" t="n"/>
      <c r="D1957" s="11" t="n"/>
      <c r="E1957" s="11" t="n"/>
      <c r="F1957" s="11" t="n"/>
      <c r="G1957" s="11" t="n"/>
      <c r="H1957" s="11" t="n"/>
      <c r="I1957" s="11" t="n"/>
      <c r="J1957" s="11" t="n"/>
      <c r="K1957" s="11" t="n"/>
      <c r="L1957" s="11" t="n"/>
      <c r="M1957" s="11" t="n"/>
      <c r="N1957" s="11" t="n"/>
      <c r="O1957" s="11" t="n"/>
      <c r="P1957" s="11" t="n"/>
      <c r="Q1957" s="11" t="n"/>
      <c r="R1957" s="11" t="n"/>
      <c r="S1957" s="11" t="n"/>
      <c r="T1957" s="12" t="n"/>
    </row>
    <row r="1958">
      <c r="A1958" s="11" t="n"/>
      <c r="B1958" s="11" t="n"/>
      <c r="C1958" s="11" t="n"/>
      <c r="D1958" s="11" t="n"/>
      <c r="E1958" s="11" t="n"/>
      <c r="F1958" s="11" t="n"/>
      <c r="G1958" s="11" t="n"/>
      <c r="H1958" s="11" t="n"/>
      <c r="I1958" s="11" t="n"/>
      <c r="J1958" s="11" t="n"/>
      <c r="K1958" s="11" t="n"/>
      <c r="L1958" s="11" t="n"/>
      <c r="M1958" s="11" t="n"/>
      <c r="N1958" s="11" t="n"/>
      <c r="O1958" s="11" t="n"/>
      <c r="P1958" s="11" t="n"/>
      <c r="Q1958" s="11" t="n"/>
      <c r="R1958" s="11" t="n"/>
      <c r="S1958" s="11" t="n"/>
      <c r="T1958" s="12" t="n"/>
    </row>
    <row r="1959">
      <c r="A1959" s="11" t="n"/>
      <c r="B1959" s="11" t="n"/>
      <c r="C1959" s="11" t="n"/>
      <c r="D1959" s="11" t="n"/>
      <c r="E1959" s="11" t="n"/>
      <c r="F1959" s="11" t="n"/>
      <c r="G1959" s="11" t="n"/>
      <c r="H1959" s="11" t="n"/>
      <c r="I1959" s="11" t="n"/>
      <c r="J1959" s="11" t="n"/>
      <c r="K1959" s="11" t="n"/>
      <c r="L1959" s="11" t="n"/>
      <c r="M1959" s="11" t="n"/>
      <c r="N1959" s="11" t="n"/>
      <c r="O1959" s="11" t="n"/>
      <c r="P1959" s="11" t="n"/>
      <c r="Q1959" s="11" t="n"/>
      <c r="R1959" s="11" t="n"/>
      <c r="S1959" s="11" t="n"/>
      <c r="T1959" s="12" t="n"/>
    </row>
    <row r="1960">
      <c r="A1960" s="11" t="n"/>
      <c r="B1960" s="11" t="n"/>
      <c r="C1960" s="11" t="n"/>
      <c r="D1960" s="11" t="n"/>
      <c r="E1960" s="11" t="n"/>
      <c r="F1960" s="11" t="n"/>
      <c r="G1960" s="11" t="n"/>
      <c r="H1960" s="11" t="n"/>
      <c r="I1960" s="11" t="n"/>
      <c r="J1960" s="11" t="n"/>
      <c r="K1960" s="11" t="n"/>
      <c r="L1960" s="11" t="n"/>
      <c r="M1960" s="11" t="n"/>
      <c r="N1960" s="11" t="n"/>
      <c r="O1960" s="11" t="n"/>
      <c r="P1960" s="11" t="n"/>
      <c r="Q1960" s="11" t="n"/>
      <c r="R1960" s="11" t="n"/>
      <c r="S1960" s="11" t="n"/>
      <c r="T1960" s="12" t="n"/>
    </row>
    <row r="1961">
      <c r="A1961" s="11" t="n"/>
      <c r="B1961" s="11" t="n"/>
      <c r="C1961" s="11" t="n"/>
      <c r="D1961" s="11" t="n"/>
      <c r="E1961" s="11" t="n"/>
      <c r="F1961" s="11" t="n"/>
      <c r="G1961" s="11" t="n"/>
      <c r="H1961" s="11" t="n"/>
      <c r="I1961" s="11" t="n"/>
      <c r="J1961" s="11" t="n"/>
      <c r="K1961" s="11" t="n"/>
      <c r="L1961" s="11" t="n"/>
      <c r="M1961" s="11" t="n"/>
      <c r="N1961" s="11" t="n"/>
      <c r="O1961" s="11" t="n"/>
      <c r="P1961" s="11" t="n"/>
      <c r="Q1961" s="11" t="n"/>
      <c r="R1961" s="11" t="n"/>
      <c r="S1961" s="11" t="n"/>
      <c r="T1961" s="12" t="n"/>
    </row>
    <row r="1962">
      <c r="A1962" s="11" t="n"/>
      <c r="B1962" s="11" t="n"/>
      <c r="C1962" s="11" t="n"/>
      <c r="D1962" s="11" t="n"/>
      <c r="E1962" s="11" t="n"/>
      <c r="F1962" s="11" t="n"/>
      <c r="G1962" s="11" t="n"/>
      <c r="H1962" s="11" t="n"/>
      <c r="I1962" s="11" t="n"/>
      <c r="J1962" s="11" t="n"/>
      <c r="K1962" s="11" t="n"/>
      <c r="L1962" s="11" t="n"/>
      <c r="M1962" s="11" t="n"/>
      <c r="N1962" s="11" t="n"/>
      <c r="O1962" s="11" t="n"/>
      <c r="P1962" s="11" t="n"/>
      <c r="Q1962" s="11" t="n"/>
      <c r="R1962" s="11" t="n"/>
      <c r="S1962" s="11" t="n"/>
      <c r="T1962" s="12" t="n"/>
    </row>
    <row r="1963">
      <c r="A1963" s="11" t="n"/>
      <c r="B1963" s="11" t="n"/>
      <c r="C1963" s="11" t="n"/>
      <c r="D1963" s="11" t="n"/>
      <c r="E1963" s="11" t="n"/>
      <c r="F1963" s="11" t="n"/>
      <c r="G1963" s="11" t="n"/>
      <c r="H1963" s="11" t="n"/>
      <c r="I1963" s="11" t="n"/>
      <c r="J1963" s="11" t="n"/>
      <c r="K1963" s="11" t="n"/>
      <c r="L1963" s="11" t="n"/>
      <c r="M1963" s="11" t="n"/>
      <c r="N1963" s="11" t="n"/>
      <c r="O1963" s="11" t="n"/>
      <c r="P1963" s="11" t="n"/>
      <c r="Q1963" s="11" t="n"/>
      <c r="R1963" s="11" t="n"/>
      <c r="S1963" s="11" t="n"/>
      <c r="T1963" s="12" t="n"/>
    </row>
    <row r="1964">
      <c r="A1964" s="11" t="n"/>
      <c r="B1964" s="11" t="n"/>
      <c r="C1964" s="11" t="n"/>
      <c r="D1964" s="11" t="n"/>
      <c r="E1964" s="11" t="n"/>
      <c r="F1964" s="11" t="n"/>
      <c r="G1964" s="11" t="n"/>
      <c r="H1964" s="11" t="n"/>
      <c r="I1964" s="11" t="n"/>
      <c r="J1964" s="11" t="n"/>
      <c r="K1964" s="11" t="n"/>
      <c r="L1964" s="11" t="n"/>
      <c r="M1964" s="11" t="n"/>
      <c r="N1964" s="11" t="n"/>
      <c r="O1964" s="11" t="n"/>
      <c r="P1964" s="11" t="n"/>
      <c r="Q1964" s="11" t="n"/>
      <c r="R1964" s="11" t="n"/>
      <c r="S1964" s="11" t="n"/>
      <c r="T1964" s="12" t="n"/>
    </row>
    <row r="1965">
      <c r="A1965" s="11" t="n"/>
      <c r="B1965" s="11" t="n"/>
      <c r="C1965" s="11" t="n"/>
      <c r="D1965" s="11" t="n"/>
      <c r="E1965" s="11" t="n"/>
      <c r="F1965" s="11" t="n"/>
      <c r="G1965" s="11" t="n"/>
      <c r="H1965" s="11" t="n"/>
      <c r="I1965" s="11" t="n"/>
      <c r="J1965" s="11" t="n"/>
      <c r="K1965" s="11" t="n"/>
      <c r="L1965" s="11" t="n"/>
      <c r="M1965" s="11" t="n"/>
      <c r="N1965" s="11" t="n"/>
      <c r="O1965" s="11" t="n"/>
      <c r="P1965" s="11" t="n"/>
      <c r="Q1965" s="11" t="n"/>
      <c r="R1965" s="11" t="n"/>
      <c r="S1965" s="11" t="n"/>
      <c r="T1965" s="12" t="n"/>
    </row>
    <row r="1966">
      <c r="A1966" s="11" t="n"/>
      <c r="B1966" s="11" t="n"/>
      <c r="C1966" s="11" t="n"/>
      <c r="D1966" s="11" t="n"/>
      <c r="E1966" s="11" t="n"/>
      <c r="F1966" s="11" t="n"/>
      <c r="G1966" s="11" t="n"/>
      <c r="H1966" s="11" t="n"/>
      <c r="I1966" s="11" t="n"/>
      <c r="J1966" s="11" t="n"/>
      <c r="K1966" s="11" t="n"/>
      <c r="L1966" s="11" t="n"/>
      <c r="M1966" s="11" t="n"/>
      <c r="N1966" s="11" t="n"/>
      <c r="O1966" s="11" t="n"/>
      <c r="P1966" s="11" t="n"/>
      <c r="Q1966" s="11" t="n"/>
      <c r="R1966" s="11" t="n"/>
      <c r="S1966" s="11" t="n"/>
      <c r="T1966" s="12" t="n"/>
    </row>
    <row r="1967">
      <c r="A1967" s="11" t="n"/>
      <c r="B1967" s="11" t="n"/>
      <c r="C1967" s="11" t="n"/>
      <c r="D1967" s="11" t="n"/>
      <c r="E1967" s="11" t="n"/>
      <c r="F1967" s="11" t="n"/>
      <c r="G1967" s="11" t="n"/>
      <c r="H1967" s="11" t="n"/>
      <c r="I1967" s="11" t="n"/>
      <c r="J1967" s="11" t="n"/>
      <c r="K1967" s="11" t="n"/>
      <c r="L1967" s="11" t="n"/>
      <c r="M1967" s="11" t="n"/>
      <c r="N1967" s="11" t="n"/>
      <c r="O1967" s="11" t="n"/>
      <c r="P1967" s="11" t="n"/>
      <c r="Q1967" s="11" t="n"/>
      <c r="R1967" s="11" t="n"/>
      <c r="S1967" s="11" t="n"/>
      <c r="T1967" s="12" t="n"/>
    </row>
    <row r="1968">
      <c r="A1968" s="11" t="n"/>
      <c r="B1968" s="11" t="n"/>
      <c r="C1968" s="11" t="n"/>
      <c r="D1968" s="11" t="n"/>
      <c r="E1968" s="11" t="n"/>
      <c r="F1968" s="11" t="n"/>
      <c r="G1968" s="11" t="n"/>
      <c r="H1968" s="11" t="n"/>
      <c r="I1968" s="11" t="n"/>
      <c r="J1968" s="11" t="n"/>
      <c r="K1968" s="11" t="n"/>
      <c r="L1968" s="11" t="n"/>
      <c r="M1968" s="11" t="n"/>
      <c r="N1968" s="11" t="n"/>
      <c r="O1968" s="11" t="n"/>
      <c r="P1968" s="11" t="n"/>
      <c r="Q1968" s="11" t="n"/>
      <c r="R1968" s="11" t="n"/>
      <c r="S1968" s="11" t="n"/>
      <c r="T1968" s="12" t="n"/>
    </row>
    <row r="1969">
      <c r="A1969" s="11" t="n"/>
      <c r="B1969" s="11" t="n"/>
      <c r="C1969" s="11" t="n"/>
      <c r="D1969" s="11" t="n"/>
      <c r="E1969" s="11" t="n"/>
      <c r="F1969" s="11" t="n"/>
      <c r="G1969" s="11" t="n"/>
      <c r="H1969" s="11" t="n"/>
      <c r="I1969" s="11" t="n"/>
      <c r="J1969" s="11" t="n"/>
      <c r="K1969" s="11" t="n"/>
      <c r="L1969" s="11" t="n"/>
      <c r="M1969" s="11" t="n"/>
      <c r="N1969" s="11" t="n"/>
      <c r="O1969" s="11" t="n"/>
      <c r="P1969" s="11" t="n"/>
      <c r="Q1969" s="11" t="n"/>
      <c r="R1969" s="11" t="n"/>
      <c r="S1969" s="11" t="n"/>
      <c r="T1969" s="12" t="n"/>
    </row>
    <row r="1970">
      <c r="A1970" s="11" t="n"/>
      <c r="B1970" s="11" t="n"/>
      <c r="C1970" s="11" t="n"/>
      <c r="D1970" s="11" t="n"/>
      <c r="E1970" s="11" t="n"/>
      <c r="F1970" s="11" t="n"/>
      <c r="G1970" s="11" t="n"/>
      <c r="H1970" s="11" t="n"/>
      <c r="I1970" s="11" t="n"/>
      <c r="J1970" s="11" t="n"/>
      <c r="K1970" s="11" t="n"/>
      <c r="L1970" s="11" t="n"/>
      <c r="M1970" s="11" t="n"/>
      <c r="N1970" s="11" t="n"/>
      <c r="O1970" s="11" t="n"/>
      <c r="P1970" s="11" t="n"/>
      <c r="Q1970" s="11" t="n"/>
      <c r="R1970" s="11" t="n"/>
      <c r="S1970" s="11" t="n"/>
      <c r="T1970" s="12" t="n"/>
    </row>
    <row r="1971">
      <c r="A1971" s="11" t="n"/>
      <c r="B1971" s="11" t="n"/>
      <c r="C1971" s="11" t="n"/>
      <c r="D1971" s="11" t="n"/>
      <c r="E1971" s="11" t="n"/>
      <c r="F1971" s="11" t="n"/>
      <c r="G1971" s="11" t="n"/>
      <c r="H1971" s="11" t="n"/>
      <c r="I1971" s="11" t="n"/>
      <c r="J1971" s="11" t="n"/>
      <c r="K1971" s="11" t="n"/>
      <c r="L1971" s="11" t="n"/>
      <c r="M1971" s="11" t="n"/>
      <c r="N1971" s="11" t="n"/>
      <c r="O1971" s="11" t="n"/>
      <c r="P1971" s="11" t="n"/>
      <c r="Q1971" s="11" t="n"/>
      <c r="R1971" s="11" t="n"/>
      <c r="S1971" s="11" t="n"/>
      <c r="T1971" s="12" t="n"/>
    </row>
    <row r="1972">
      <c r="A1972" s="11" t="n"/>
      <c r="B1972" s="11" t="n"/>
      <c r="C1972" s="11" t="n"/>
      <c r="D1972" s="11" t="n"/>
      <c r="E1972" s="11" t="n"/>
      <c r="F1972" s="11" t="n"/>
      <c r="G1972" s="11" t="n"/>
      <c r="H1972" s="11" t="n"/>
      <c r="I1972" s="11" t="n"/>
      <c r="J1972" s="11" t="n"/>
      <c r="K1972" s="11" t="n"/>
      <c r="L1972" s="11" t="n"/>
      <c r="M1972" s="11" t="n"/>
      <c r="N1972" s="11" t="n"/>
      <c r="O1972" s="11" t="n"/>
      <c r="P1972" s="11" t="n"/>
      <c r="Q1972" s="11" t="n"/>
      <c r="R1972" s="11" t="n"/>
      <c r="S1972" s="11" t="n"/>
      <c r="T1972" s="12" t="n"/>
    </row>
    <row r="1973">
      <c r="A1973" s="11" t="n"/>
      <c r="B1973" s="11" t="n"/>
      <c r="C1973" s="11" t="n"/>
      <c r="D1973" s="11" t="n"/>
      <c r="E1973" s="11" t="n"/>
      <c r="F1973" s="11" t="n"/>
      <c r="G1973" s="11" t="n"/>
      <c r="H1973" s="11" t="n"/>
      <c r="I1973" s="11" t="n"/>
      <c r="J1973" s="11" t="n"/>
      <c r="K1973" s="11" t="n"/>
      <c r="L1973" s="11" t="n"/>
      <c r="M1973" s="11" t="n"/>
      <c r="N1973" s="11" t="n"/>
      <c r="O1973" s="11" t="n"/>
      <c r="P1973" s="11" t="n"/>
      <c r="Q1973" s="11" t="n"/>
      <c r="R1973" s="11" t="n"/>
      <c r="S1973" s="11" t="n"/>
      <c r="T1973" s="12" t="n"/>
    </row>
    <row r="1974">
      <c r="A1974" s="11" t="n"/>
      <c r="B1974" s="11" t="n"/>
      <c r="C1974" s="11" t="n"/>
      <c r="D1974" s="11" t="n"/>
      <c r="E1974" s="11" t="n"/>
      <c r="F1974" s="11" t="n"/>
      <c r="G1974" s="11" t="n"/>
      <c r="H1974" s="11" t="n"/>
      <c r="I1974" s="11" t="n"/>
      <c r="J1974" s="11" t="n"/>
      <c r="K1974" s="11" t="n"/>
      <c r="L1974" s="11" t="n"/>
      <c r="M1974" s="11" t="n"/>
      <c r="N1974" s="11" t="n"/>
      <c r="O1974" s="11" t="n"/>
      <c r="P1974" s="11" t="n"/>
      <c r="Q1974" s="11" t="n"/>
      <c r="R1974" s="11" t="n"/>
      <c r="S1974" s="11" t="n"/>
      <c r="T1974" s="12" t="n"/>
    </row>
    <row r="1975">
      <c r="A1975" s="11" t="n"/>
      <c r="B1975" s="11" t="n"/>
      <c r="C1975" s="11" t="n"/>
      <c r="D1975" s="11" t="n"/>
      <c r="E1975" s="11" t="n"/>
      <c r="F1975" s="11" t="n"/>
      <c r="G1975" s="11" t="n"/>
      <c r="H1975" s="11" t="n"/>
      <c r="I1975" s="11" t="n"/>
      <c r="J1975" s="11" t="n"/>
      <c r="K1975" s="11" t="n"/>
      <c r="L1975" s="11" t="n"/>
      <c r="M1975" s="11" t="n"/>
      <c r="N1975" s="11" t="n"/>
      <c r="O1975" s="11" t="n"/>
      <c r="P1975" s="11" t="n"/>
      <c r="Q1975" s="11" t="n"/>
      <c r="R1975" s="11" t="n"/>
      <c r="S1975" s="11" t="n"/>
      <c r="T1975" s="12" t="n"/>
    </row>
    <row r="1976">
      <c r="A1976" s="11" t="n"/>
      <c r="B1976" s="11" t="n"/>
      <c r="C1976" s="11" t="n"/>
      <c r="D1976" s="11" t="n"/>
      <c r="E1976" s="11" t="n"/>
      <c r="F1976" s="11" t="n"/>
      <c r="G1976" s="11" t="n"/>
      <c r="H1976" s="11" t="n"/>
      <c r="I1976" s="11" t="n"/>
      <c r="J1976" s="11" t="n"/>
      <c r="K1976" s="11" t="n"/>
      <c r="L1976" s="11" t="n"/>
      <c r="M1976" s="11" t="n"/>
      <c r="N1976" s="11" t="n"/>
      <c r="O1976" s="11" t="n"/>
      <c r="P1976" s="11" t="n"/>
      <c r="Q1976" s="11" t="n"/>
      <c r="R1976" s="11" t="n"/>
      <c r="S1976" s="11" t="n"/>
      <c r="T1976" s="12" t="n"/>
    </row>
    <row r="1977">
      <c r="A1977" s="11" t="n"/>
      <c r="B1977" s="11" t="n"/>
      <c r="C1977" s="11" t="n"/>
      <c r="D1977" s="11" t="n"/>
      <c r="E1977" s="11" t="n"/>
      <c r="F1977" s="11" t="n"/>
      <c r="G1977" s="11" t="n"/>
      <c r="H1977" s="11" t="n"/>
      <c r="I1977" s="11" t="n"/>
      <c r="J1977" s="11" t="n"/>
      <c r="K1977" s="11" t="n"/>
      <c r="L1977" s="11" t="n"/>
      <c r="M1977" s="11" t="n"/>
      <c r="N1977" s="11" t="n"/>
      <c r="O1977" s="11" t="n"/>
      <c r="P1977" s="11" t="n"/>
      <c r="Q1977" s="11" t="n"/>
      <c r="R1977" s="11" t="n"/>
      <c r="S1977" s="11" t="n"/>
      <c r="T1977" s="12" t="n"/>
    </row>
    <row r="1978">
      <c r="A1978" s="11" t="n"/>
      <c r="B1978" s="11" t="n"/>
      <c r="C1978" s="11" t="n"/>
      <c r="D1978" s="11" t="n"/>
      <c r="E1978" s="11" t="n"/>
      <c r="F1978" s="11" t="n"/>
      <c r="G1978" s="11" t="n"/>
      <c r="H1978" s="11" t="n"/>
      <c r="I1978" s="11" t="n"/>
      <c r="J1978" s="11" t="n"/>
      <c r="K1978" s="11" t="n"/>
      <c r="L1978" s="11" t="n"/>
      <c r="M1978" s="11" t="n"/>
      <c r="N1978" s="11" t="n"/>
      <c r="O1978" s="11" t="n"/>
      <c r="P1978" s="11" t="n"/>
      <c r="Q1978" s="11" t="n"/>
      <c r="R1978" s="11" t="n"/>
      <c r="S1978" s="11" t="n"/>
      <c r="T1978" s="12" t="n"/>
    </row>
    <row r="1979">
      <c r="A1979" s="11" t="n"/>
      <c r="B1979" s="11" t="n"/>
      <c r="C1979" s="11" t="n"/>
      <c r="D1979" s="11" t="n"/>
      <c r="E1979" s="11" t="n"/>
      <c r="F1979" s="11" t="n"/>
      <c r="G1979" s="11" t="n"/>
      <c r="H1979" s="11" t="n"/>
      <c r="I1979" s="11" t="n"/>
      <c r="J1979" s="11" t="n"/>
      <c r="K1979" s="11" t="n"/>
      <c r="L1979" s="11" t="n"/>
      <c r="M1979" s="11" t="n"/>
      <c r="N1979" s="11" t="n"/>
      <c r="O1979" s="11" t="n"/>
      <c r="P1979" s="11" t="n"/>
      <c r="Q1979" s="11" t="n"/>
      <c r="R1979" s="11" t="n"/>
      <c r="S1979" s="11" t="n"/>
      <c r="T1979" s="12" t="n"/>
    </row>
    <row r="1980">
      <c r="A1980" s="11" t="n"/>
      <c r="B1980" s="11" t="n"/>
      <c r="C1980" s="11" t="n"/>
      <c r="D1980" s="11" t="n"/>
      <c r="E1980" s="11" t="n"/>
      <c r="F1980" s="11" t="n"/>
      <c r="G1980" s="11" t="n"/>
      <c r="H1980" s="11" t="n"/>
      <c r="I1980" s="11" t="n"/>
      <c r="J1980" s="11" t="n"/>
      <c r="K1980" s="11" t="n"/>
      <c r="L1980" s="11" t="n"/>
      <c r="M1980" s="11" t="n"/>
      <c r="N1980" s="11" t="n"/>
      <c r="O1980" s="11" t="n"/>
      <c r="P1980" s="11" t="n"/>
      <c r="Q1980" s="11" t="n"/>
      <c r="R1980" s="11" t="n"/>
      <c r="S1980" s="11" t="n"/>
      <c r="T1980" s="12" t="n"/>
    </row>
    <row r="1981">
      <c r="A1981" s="11" t="n"/>
      <c r="B1981" s="11" t="n"/>
      <c r="C1981" s="11" t="n"/>
      <c r="D1981" s="11" t="n"/>
      <c r="E1981" s="11" t="n"/>
      <c r="F1981" s="11" t="n"/>
      <c r="G1981" s="11" t="n"/>
      <c r="H1981" s="11" t="n"/>
      <c r="I1981" s="11" t="n"/>
      <c r="J1981" s="11" t="n"/>
      <c r="K1981" s="11" t="n"/>
      <c r="L1981" s="11" t="n"/>
      <c r="M1981" s="11" t="n"/>
      <c r="N1981" s="11" t="n"/>
      <c r="O1981" s="11" t="n"/>
      <c r="P1981" s="11" t="n"/>
      <c r="Q1981" s="11" t="n"/>
      <c r="R1981" s="11" t="n"/>
      <c r="S1981" s="11" t="n"/>
      <c r="T1981" s="12" t="n"/>
    </row>
    <row r="1982">
      <c r="A1982" s="11" t="n"/>
      <c r="B1982" s="11" t="n"/>
      <c r="C1982" s="11" t="n"/>
      <c r="D1982" s="11" t="n"/>
      <c r="E1982" s="11" t="n"/>
      <c r="F1982" s="11" t="n"/>
      <c r="G1982" s="11" t="n"/>
      <c r="H1982" s="11" t="n"/>
      <c r="I1982" s="11" t="n"/>
      <c r="J1982" s="11" t="n"/>
      <c r="K1982" s="11" t="n"/>
      <c r="L1982" s="11" t="n"/>
      <c r="M1982" s="11" t="n"/>
      <c r="N1982" s="11" t="n"/>
      <c r="O1982" s="11" t="n"/>
      <c r="P1982" s="11" t="n"/>
      <c r="Q1982" s="11" t="n"/>
      <c r="R1982" s="11" t="n"/>
      <c r="S1982" s="11" t="n"/>
      <c r="T1982" s="12" t="n"/>
    </row>
    <row r="1983">
      <c r="A1983" s="11" t="n"/>
      <c r="B1983" s="11" t="n"/>
      <c r="C1983" s="11" t="n"/>
      <c r="D1983" s="11" t="n"/>
      <c r="E1983" s="11" t="n"/>
      <c r="F1983" s="11" t="n"/>
      <c r="G1983" s="11" t="n"/>
      <c r="H1983" s="11" t="n"/>
      <c r="I1983" s="11" t="n"/>
      <c r="J1983" s="11" t="n"/>
      <c r="K1983" s="11" t="n"/>
      <c r="L1983" s="11" t="n"/>
      <c r="M1983" s="11" t="n"/>
      <c r="N1983" s="11" t="n"/>
      <c r="O1983" s="11" t="n"/>
      <c r="P1983" s="11" t="n"/>
      <c r="Q1983" s="11" t="n"/>
      <c r="R1983" s="11" t="n"/>
      <c r="S1983" s="11" t="n"/>
      <c r="T1983" s="12" t="n"/>
    </row>
    <row r="1984">
      <c r="A1984" s="11" t="n"/>
      <c r="B1984" s="11" t="n"/>
      <c r="C1984" s="11" t="n"/>
      <c r="D1984" s="11" t="n"/>
      <c r="E1984" s="11" t="n"/>
      <c r="F1984" s="11" t="n"/>
      <c r="G1984" s="11" t="n"/>
      <c r="H1984" s="11" t="n"/>
      <c r="I1984" s="11" t="n"/>
      <c r="J1984" s="11" t="n"/>
      <c r="K1984" s="11" t="n"/>
      <c r="L1984" s="11" t="n"/>
      <c r="M1984" s="11" t="n"/>
      <c r="N1984" s="11" t="n"/>
      <c r="O1984" s="11" t="n"/>
      <c r="P1984" s="11" t="n"/>
      <c r="Q1984" s="11" t="n"/>
      <c r="R1984" s="11" t="n"/>
      <c r="S1984" s="11" t="n"/>
      <c r="T1984" s="12" t="n"/>
    </row>
    <row r="1985">
      <c r="A1985" s="11" t="n"/>
      <c r="B1985" s="11" t="n"/>
      <c r="C1985" s="11" t="n"/>
      <c r="D1985" s="11" t="n"/>
      <c r="E1985" s="11" t="n"/>
      <c r="F1985" s="11" t="n"/>
      <c r="G1985" s="11" t="n"/>
      <c r="H1985" s="11" t="n"/>
      <c r="I1985" s="11" t="n"/>
      <c r="J1985" s="11" t="n"/>
      <c r="K1985" s="11" t="n"/>
      <c r="L1985" s="11" t="n"/>
      <c r="M1985" s="11" t="n"/>
      <c r="N1985" s="11" t="n"/>
      <c r="O1985" s="11" t="n"/>
      <c r="P1985" s="11" t="n"/>
      <c r="Q1985" s="11" t="n"/>
      <c r="R1985" s="11" t="n"/>
      <c r="S1985" s="11" t="n"/>
      <c r="T1985" s="12" t="n"/>
    </row>
    <row r="1986">
      <c r="A1986" s="11" t="n"/>
      <c r="B1986" s="11" t="n"/>
      <c r="C1986" s="11" t="n"/>
      <c r="D1986" s="11" t="n"/>
      <c r="E1986" s="11" t="n"/>
      <c r="F1986" s="11" t="n"/>
      <c r="G1986" s="11" t="n"/>
      <c r="H1986" s="11" t="n"/>
      <c r="I1986" s="11" t="n"/>
      <c r="J1986" s="11" t="n"/>
      <c r="K1986" s="11" t="n"/>
      <c r="L1986" s="11" t="n"/>
      <c r="M1986" s="11" t="n"/>
      <c r="N1986" s="11" t="n"/>
      <c r="O1986" s="11" t="n"/>
      <c r="P1986" s="11" t="n"/>
      <c r="Q1986" s="11" t="n"/>
      <c r="R1986" s="11" t="n"/>
      <c r="S1986" s="11" t="n"/>
      <c r="T1986" s="12" t="n"/>
    </row>
    <row r="1987">
      <c r="A1987" s="11" t="n"/>
      <c r="B1987" s="11" t="n"/>
      <c r="C1987" s="11" t="n"/>
      <c r="D1987" s="11" t="n"/>
      <c r="E1987" s="11" t="n"/>
      <c r="F1987" s="11" t="n"/>
      <c r="G1987" s="11" t="n"/>
      <c r="H1987" s="11" t="n"/>
      <c r="I1987" s="11" t="n"/>
      <c r="J1987" s="11" t="n"/>
      <c r="K1987" s="11" t="n"/>
      <c r="L1987" s="11" t="n"/>
      <c r="M1987" s="11" t="n"/>
      <c r="N1987" s="11" t="n"/>
      <c r="O1987" s="11" t="n"/>
      <c r="P1987" s="11" t="n"/>
      <c r="Q1987" s="11" t="n"/>
      <c r="R1987" s="11" t="n"/>
      <c r="S1987" s="11" t="n"/>
      <c r="T1987" s="12" t="n"/>
    </row>
    <row r="1988">
      <c r="A1988" s="11" t="n"/>
      <c r="B1988" s="11" t="n"/>
      <c r="C1988" s="11" t="n"/>
      <c r="D1988" s="11" t="n"/>
      <c r="E1988" s="11" t="n"/>
      <c r="F1988" s="11" t="n"/>
      <c r="G1988" s="11" t="n"/>
      <c r="H1988" s="11" t="n"/>
      <c r="I1988" s="11" t="n"/>
      <c r="J1988" s="11" t="n"/>
      <c r="K1988" s="11" t="n"/>
      <c r="L1988" s="11" t="n"/>
      <c r="M1988" s="11" t="n"/>
      <c r="N1988" s="11" t="n"/>
      <c r="O1988" s="11" t="n"/>
      <c r="P1988" s="11" t="n"/>
      <c r="Q1988" s="11" t="n"/>
      <c r="R1988" s="11" t="n"/>
      <c r="S1988" s="11" t="n"/>
      <c r="T1988" s="12" t="n"/>
    </row>
    <row r="1989">
      <c r="A1989" s="11" t="n"/>
      <c r="B1989" s="11" t="n"/>
      <c r="C1989" s="11" t="n"/>
      <c r="D1989" s="11" t="n"/>
      <c r="E1989" s="11" t="n"/>
      <c r="F1989" s="11" t="n"/>
      <c r="G1989" s="11" t="n"/>
      <c r="H1989" s="11" t="n"/>
      <c r="I1989" s="11" t="n"/>
      <c r="J1989" s="11" t="n"/>
      <c r="K1989" s="11" t="n"/>
      <c r="L1989" s="11" t="n"/>
      <c r="M1989" s="11" t="n"/>
      <c r="N1989" s="11" t="n"/>
      <c r="O1989" s="11" t="n"/>
      <c r="P1989" s="11" t="n"/>
      <c r="Q1989" s="11" t="n"/>
      <c r="R1989" s="11" t="n"/>
      <c r="S1989" s="11" t="n"/>
      <c r="T1989" s="12" t="n"/>
    </row>
    <row r="1990">
      <c r="A1990" s="11" t="n"/>
      <c r="B1990" s="11" t="n"/>
      <c r="C1990" s="11" t="n"/>
      <c r="D1990" s="11" t="n"/>
      <c r="E1990" s="11" t="n"/>
      <c r="F1990" s="11" t="n"/>
      <c r="G1990" s="11" t="n"/>
      <c r="H1990" s="11" t="n"/>
      <c r="I1990" s="11" t="n"/>
      <c r="J1990" s="11" t="n"/>
      <c r="K1990" s="11" t="n"/>
      <c r="L1990" s="11" t="n"/>
      <c r="M1990" s="11" t="n"/>
      <c r="N1990" s="11" t="n"/>
      <c r="O1990" s="11" t="n"/>
      <c r="P1990" s="11" t="n"/>
      <c r="Q1990" s="11" t="n"/>
      <c r="R1990" s="11" t="n"/>
      <c r="S1990" s="11" t="n"/>
      <c r="T1990" s="12" t="n"/>
    </row>
    <row r="1991">
      <c r="A1991" s="11" t="n"/>
      <c r="B1991" s="11" t="n"/>
      <c r="C1991" s="11" t="n"/>
      <c r="D1991" s="11" t="n"/>
      <c r="E1991" s="11" t="n"/>
      <c r="F1991" s="11" t="n"/>
      <c r="G1991" s="11" t="n"/>
      <c r="H1991" s="11" t="n"/>
      <c r="I1991" s="11" t="n"/>
      <c r="J1991" s="11" t="n"/>
      <c r="K1991" s="11" t="n"/>
      <c r="L1991" s="11" t="n"/>
      <c r="M1991" s="11" t="n"/>
      <c r="N1991" s="11" t="n"/>
      <c r="O1991" s="11" t="n"/>
      <c r="P1991" s="11" t="n"/>
      <c r="Q1991" s="11" t="n"/>
      <c r="R1991" s="11" t="n"/>
      <c r="S1991" s="11" t="n"/>
      <c r="T1991" s="12" t="n"/>
    </row>
    <row r="1992">
      <c r="A1992" s="11" t="n"/>
      <c r="B1992" s="11" t="n"/>
      <c r="C1992" s="11" t="n"/>
      <c r="D1992" s="11" t="n"/>
      <c r="E1992" s="11" t="n"/>
      <c r="F1992" s="11" t="n"/>
      <c r="G1992" s="11" t="n"/>
      <c r="H1992" s="11" t="n"/>
      <c r="I1992" s="11" t="n"/>
      <c r="J1992" s="11" t="n"/>
      <c r="K1992" s="11" t="n"/>
      <c r="L1992" s="11" t="n"/>
      <c r="M1992" s="11" t="n"/>
      <c r="N1992" s="11" t="n"/>
      <c r="O1992" s="11" t="n"/>
      <c r="P1992" s="11" t="n"/>
      <c r="Q1992" s="11" t="n"/>
      <c r="R1992" s="11" t="n"/>
      <c r="S1992" s="11" t="n"/>
      <c r="T1992" s="12" t="n"/>
    </row>
    <row r="1993">
      <c r="A1993" s="11" t="n"/>
      <c r="B1993" s="11" t="n"/>
      <c r="C1993" s="11" t="n"/>
      <c r="D1993" s="11" t="n"/>
      <c r="E1993" s="11" t="n"/>
      <c r="F1993" s="11" t="n"/>
      <c r="G1993" s="11" t="n"/>
      <c r="H1993" s="11" t="n"/>
      <c r="I1993" s="11" t="n"/>
      <c r="J1993" s="11" t="n"/>
      <c r="K1993" s="11" t="n"/>
      <c r="L1993" s="11" t="n"/>
      <c r="M1993" s="11" t="n"/>
      <c r="N1993" s="11" t="n"/>
      <c r="O1993" s="11" t="n"/>
      <c r="P1993" s="11" t="n"/>
      <c r="Q1993" s="11" t="n"/>
      <c r="R1993" s="11" t="n"/>
      <c r="S1993" s="11" t="n"/>
      <c r="T1993" s="12" t="n"/>
    </row>
    <row r="1994">
      <c r="A1994" s="11" t="n"/>
      <c r="B1994" s="11" t="n"/>
      <c r="C1994" s="11" t="n"/>
      <c r="D1994" s="11" t="n"/>
      <c r="E1994" s="11" t="n"/>
      <c r="F1994" s="11" t="n"/>
      <c r="G1994" s="11" t="n"/>
      <c r="H1994" s="11" t="n"/>
      <c r="I1994" s="11" t="n"/>
      <c r="J1994" s="11" t="n"/>
      <c r="K1994" s="11" t="n"/>
      <c r="L1994" s="11" t="n"/>
      <c r="M1994" s="11" t="n"/>
      <c r="N1994" s="11" t="n"/>
      <c r="O1994" s="11" t="n"/>
      <c r="P1994" s="11" t="n"/>
      <c r="Q1994" s="11" t="n"/>
      <c r="R1994" s="11" t="n"/>
      <c r="S1994" s="11" t="n"/>
      <c r="T1994" s="12" t="n"/>
    </row>
    <row r="1995">
      <c r="A1995" s="11" t="n"/>
      <c r="B1995" s="11" t="n"/>
      <c r="C1995" s="11" t="n"/>
      <c r="D1995" s="11" t="n"/>
      <c r="E1995" s="11" t="n"/>
      <c r="F1995" s="11" t="n"/>
      <c r="G1995" s="11" t="n"/>
      <c r="H1995" s="11" t="n"/>
      <c r="I1995" s="11" t="n"/>
      <c r="J1995" s="11" t="n"/>
      <c r="K1995" s="11" t="n"/>
      <c r="L1995" s="11" t="n"/>
      <c r="M1995" s="11" t="n"/>
      <c r="N1995" s="11" t="n"/>
      <c r="O1995" s="11" t="n"/>
      <c r="P1995" s="11" t="n"/>
      <c r="Q1995" s="11" t="n"/>
      <c r="R1995" s="11" t="n"/>
      <c r="S1995" s="11" t="n"/>
      <c r="T1995" s="12" t="n"/>
    </row>
    <row r="1996">
      <c r="A1996" s="11" t="n"/>
      <c r="B1996" s="11" t="n"/>
      <c r="C1996" s="11" t="n"/>
      <c r="D1996" s="11" t="n"/>
      <c r="E1996" s="11" t="n"/>
      <c r="F1996" s="11" t="n"/>
      <c r="G1996" s="11" t="n"/>
      <c r="H1996" s="11" t="n"/>
      <c r="I1996" s="11" t="n"/>
      <c r="J1996" s="11" t="n"/>
      <c r="K1996" s="11" t="n"/>
      <c r="L1996" s="11" t="n"/>
      <c r="M1996" s="11" t="n"/>
      <c r="N1996" s="11" t="n"/>
      <c r="O1996" s="11" t="n"/>
      <c r="P1996" s="11" t="n"/>
      <c r="Q1996" s="11" t="n"/>
      <c r="R1996" s="11" t="n"/>
      <c r="S1996" s="11" t="n"/>
      <c r="T1996" s="12" t="n"/>
    </row>
    <row r="1997">
      <c r="A1997" s="11" t="n"/>
      <c r="B1997" s="11" t="n"/>
      <c r="C1997" s="11" t="n"/>
      <c r="D1997" s="11" t="n"/>
      <c r="E1997" s="11" t="n"/>
      <c r="F1997" s="11" t="n"/>
      <c r="G1997" s="11" t="n"/>
      <c r="H1997" s="11" t="n"/>
      <c r="I1997" s="11" t="n"/>
      <c r="J1997" s="11" t="n"/>
      <c r="K1997" s="11" t="n"/>
      <c r="L1997" s="11" t="n"/>
      <c r="M1997" s="11" t="n"/>
      <c r="N1997" s="11" t="n"/>
      <c r="O1997" s="11" t="n"/>
      <c r="P1997" s="11" t="n"/>
      <c r="Q1997" s="11" t="n"/>
      <c r="R1997" s="11" t="n"/>
      <c r="S1997" s="11" t="n"/>
      <c r="T1997" s="12" t="n"/>
    </row>
    <row r="1998">
      <c r="A1998" s="11" t="n"/>
      <c r="B1998" s="11" t="n"/>
      <c r="C1998" s="11" t="n"/>
      <c r="D1998" s="11" t="n"/>
      <c r="E1998" s="11" t="n"/>
      <c r="F1998" s="11" t="n"/>
      <c r="G1998" s="11" t="n"/>
      <c r="H1998" s="11" t="n"/>
      <c r="I1998" s="11" t="n"/>
      <c r="J1998" s="11" t="n"/>
      <c r="K1998" s="11" t="n"/>
      <c r="L1998" s="11" t="n"/>
      <c r="M1998" s="11" t="n"/>
      <c r="N1998" s="11" t="n"/>
      <c r="O1998" s="11" t="n"/>
      <c r="P1998" s="11" t="n"/>
      <c r="Q1998" s="11" t="n"/>
      <c r="R1998" s="11" t="n"/>
      <c r="S1998" s="11" t="n"/>
      <c r="T1998" s="12" t="n"/>
    </row>
    <row r="1999">
      <c r="A1999" s="11" t="n"/>
      <c r="B1999" s="11" t="n"/>
      <c r="C1999" s="11" t="n"/>
      <c r="D1999" s="11" t="n"/>
      <c r="E1999" s="11" t="n"/>
      <c r="F1999" s="11" t="n"/>
      <c r="G1999" s="11" t="n"/>
      <c r="H1999" s="11" t="n"/>
      <c r="I1999" s="11" t="n"/>
      <c r="J1999" s="11" t="n"/>
      <c r="K1999" s="11" t="n"/>
      <c r="L1999" s="11" t="n"/>
      <c r="M1999" s="11" t="n"/>
      <c r="N1999" s="11" t="n"/>
      <c r="O1999" s="11" t="n"/>
      <c r="P1999" s="11" t="n"/>
      <c r="Q1999" s="11" t="n"/>
      <c r="R1999" s="11" t="n"/>
      <c r="S1999" s="11" t="n"/>
      <c r="T1999" s="12" t="n"/>
    </row>
    <row r="2000">
      <c r="A2000" s="11" t="n"/>
      <c r="B2000" s="11" t="n"/>
      <c r="C2000" s="11" t="n"/>
      <c r="D2000" s="11" t="n"/>
      <c r="E2000" s="11" t="n"/>
      <c r="F2000" s="11" t="n"/>
      <c r="G2000" s="11" t="n"/>
      <c r="H2000" s="11" t="n"/>
      <c r="I2000" s="11" t="n"/>
      <c r="J2000" s="11" t="n"/>
      <c r="K2000" s="11" t="n"/>
      <c r="L2000" s="11" t="n"/>
      <c r="M2000" s="11" t="n"/>
      <c r="N2000" s="11" t="n"/>
      <c r="O2000" s="11" t="n"/>
      <c r="P2000" s="11" t="n"/>
      <c r="Q2000" s="11" t="n"/>
      <c r="R2000" s="11" t="n"/>
      <c r="S2000" s="11" t="n"/>
      <c r="T2000" s="12" t="n"/>
    </row>
    <row r="2001">
      <c r="A2001" s="11" t="n"/>
      <c r="B2001" s="11" t="n"/>
      <c r="C2001" s="11" t="n"/>
      <c r="D2001" s="11" t="n"/>
      <c r="E2001" s="11" t="n"/>
      <c r="F2001" s="11" t="n"/>
      <c r="G2001" s="11" t="n"/>
      <c r="H2001" s="11" t="n"/>
      <c r="I2001" s="11" t="n"/>
      <c r="J2001" s="11" t="n"/>
      <c r="K2001" s="11" t="n"/>
      <c r="L2001" s="11" t="n"/>
      <c r="M2001" s="11" t="n"/>
      <c r="N2001" s="11" t="n"/>
      <c r="O2001" s="11" t="n"/>
      <c r="P2001" s="11" t="n"/>
      <c r="Q2001" s="11" t="n"/>
      <c r="R2001" s="11" t="n"/>
      <c r="S2001" s="11" t="n"/>
      <c r="T2001" s="12" t="n"/>
    </row>
  </sheetData>
  <mergeCells count="1">
    <mergeCell ref="A1:T1"/>
  </mergeCells>
  <dataValidations count="1">
    <dataValidation sqref="C3:C2001" showDropDown="0" showInputMessage="0" showErrorMessage="0" allowBlank="1" type="date" operator="between">
      <formula1>DATE(2020,1,1)</formula1>
      <formula2>DATE(2035,12,31)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00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1" customWidth="1" min="9" max="9"/>
    <col width="11" customWidth="1" min="10" max="10"/>
    <col width="8" customWidth="1" min="11" max="11"/>
    <col width="8" customWidth="1" min="12" max="12"/>
    <col width="13" customWidth="1" min="13" max="13"/>
    <col width="11" customWidth="1" min="14" max="14"/>
    <col width="11" customWidth="1" min="15" max="15"/>
    <col width="12" customWidth="1" min="16" max="16"/>
    <col width="11" customWidth="1" min="17" max="17"/>
    <col width="11" customWidth="1" min="18" max="18"/>
    <col width="10" customWidth="1" min="19" max="19"/>
    <col width="14" customWidth="1" min="20" max="20"/>
    <col width="18" customWidth="1" min="21" max="21"/>
    <col width="14" customWidth="1" min="22" max="22"/>
    <col width="16" customWidth="1" min="23" max="23"/>
    <col width="24" customWidth="1" min="24" max="24"/>
  </cols>
  <sheetData>
    <row r="1">
      <c r="A1" s="10" t="inlineStr">
        <is>
          <t>DERIVED OPTION CHAIN METRICS (CALC) — auto from CHAIN_RAW</t>
        </is>
      </c>
    </row>
    <row r="2">
      <c r="A2" s="2" t="inlineStr">
        <is>
          <t>Timestamp</t>
        </is>
      </c>
      <c r="B2" s="2" t="inlineStr">
        <is>
          <t>Symbol</t>
        </is>
      </c>
      <c r="C2" s="2" t="inlineStr">
        <is>
          <t>Expiry</t>
        </is>
      </c>
      <c r="D2" s="2" t="inlineStr">
        <is>
          <t>Spot</t>
        </is>
      </c>
      <c r="E2" s="2" t="inlineStr">
        <is>
          <t>Strike</t>
        </is>
      </c>
      <c r="F2" s="2" t="inlineStr">
        <is>
          <t>Moneyness</t>
        </is>
      </c>
      <c r="G2" s="2" t="inlineStr">
        <is>
          <t>CE_Mid</t>
        </is>
      </c>
      <c r="H2" s="2" t="inlineStr">
        <is>
          <t>PE_Mid</t>
        </is>
      </c>
      <c r="I2" s="2" t="inlineStr">
        <is>
          <t>CE_Spread%</t>
        </is>
      </c>
      <c r="J2" s="2" t="inlineStr">
        <is>
          <t>PE_Spread%</t>
        </is>
      </c>
      <c r="K2" s="2" t="inlineStr">
        <is>
          <t>CE_IV</t>
        </is>
      </c>
      <c r="L2" s="2" t="inlineStr">
        <is>
          <t>PE_IV</t>
        </is>
      </c>
      <c r="M2" s="2" t="inlineStr">
        <is>
          <t>IV_Skew (PE-CE)</t>
        </is>
      </c>
      <c r="N2" s="2" t="inlineStr">
        <is>
          <t>CE_OI</t>
        </is>
      </c>
      <c r="O2" s="2" t="inlineStr">
        <is>
          <t>PE_OI</t>
        </is>
      </c>
      <c r="P2" s="2" t="inlineStr">
        <is>
          <t>PCR_OI (PE/CE)</t>
        </is>
      </c>
      <c r="Q2" s="2" t="inlineStr">
        <is>
          <t>CE_ChgOI</t>
        </is>
      </c>
      <c r="R2" s="2" t="inlineStr">
        <is>
          <t>PE_ChgOI</t>
        </is>
      </c>
      <c r="S2" s="2" t="inlineStr">
        <is>
          <t>PCR_ChgOI</t>
        </is>
      </c>
      <c r="T2" s="2" t="inlineStr">
        <is>
          <t>OI_Wall_Score</t>
        </is>
      </c>
      <c r="U2" s="2" t="inlineStr">
        <is>
          <t>Support/Resistance</t>
        </is>
      </c>
      <c r="V2" s="2" t="inlineStr">
        <is>
          <t>Build_Type</t>
        </is>
      </c>
      <c r="W2" s="2" t="inlineStr">
        <is>
          <t>Signal_Contribution</t>
        </is>
      </c>
      <c r="X2" s="2" t="inlineStr">
        <is>
          <t>Notes</t>
        </is>
      </c>
    </row>
    <row r="3">
      <c r="A3" s="13">
        <f>CHAIN_RAW!A3</f>
        <v/>
      </c>
      <c r="B3" s="14">
        <f>CHAIN_RAW!B3</f>
        <v/>
      </c>
      <c r="C3" s="13">
        <f>CHAIN_RAW!C3</f>
        <v/>
      </c>
      <c r="D3" s="13">
        <f>CHAIN_RAW!D3</f>
        <v/>
      </c>
      <c r="E3" s="13">
        <f>CHAIN_RAW!E3</f>
        <v/>
      </c>
      <c r="F3" s="13">
        <f>IFERROR((E3-D3)/D3,"")</f>
        <v/>
      </c>
      <c r="G3" s="13">
        <f>IFERROR((CHAIN_RAW!K3+CHAIN_RAW!L3)/2,"")</f>
        <v/>
      </c>
      <c r="H3" s="13">
        <f>IFERROR((CHAIN_RAW!R3+CHAIN_RAW!S3)/2,"")</f>
        <v/>
      </c>
      <c r="I3" s="13">
        <f>IFERROR((CHAIN_RAW!L3-CHAIN_RAW!K3)/MAX(1E-9, G3),"")</f>
        <v/>
      </c>
      <c r="J3" s="13">
        <f>IFERROR((CHAIN_RAW!S3-CHAIN_RAW!R3)/MAX(1E-9, H3),"")</f>
        <v/>
      </c>
      <c r="K3" s="13">
        <f>CHAIN_RAW!G3</f>
        <v/>
      </c>
      <c r="L3" s="13">
        <f>CHAIN_RAW!N3</f>
        <v/>
      </c>
      <c r="M3" s="13">
        <f>IFERROR(L3-K3,"")</f>
        <v/>
      </c>
      <c r="N3" s="13">
        <f>CHAIN_RAW!H3</f>
        <v/>
      </c>
      <c r="O3" s="13">
        <f>CHAIN_RAW!O3</f>
        <v/>
      </c>
      <c r="P3" s="13">
        <f>IFERROR(O3/N3,"")</f>
        <v/>
      </c>
      <c r="Q3" s="13">
        <f>CHAIN_RAW!I3</f>
        <v/>
      </c>
      <c r="R3" s="13">
        <f>CHAIN_RAW!P3</f>
        <v/>
      </c>
      <c r="S3" s="13">
        <f>IFERROR(R3/Q3,"")</f>
        <v/>
      </c>
      <c r="T3" s="13">
        <f>IFERROR((ABS(N3-O3)/MAX(1,(N3+O3)))*EXP(-ABS(E3-CONTROL!E5)/MAX(1,CONTROL!B8)),"")</f>
        <v/>
      </c>
      <c r="U3" s="13">
        <f>IFERROR(IF(O3&gt;N3,"SUPPORT (PE OI)","RESIST (CE OI)"),"")</f>
        <v/>
      </c>
      <c r="V3" s="13">
        <f>IFERROR(IF(Q3&gt;0,IF(R3&gt;0,"BOTH_ADD","CE_ADD_PE_REDUCE"),IF(R3&gt;0,"CE_REDUCE_PE_ADD","BOTH_REDUCE")),"")</f>
        <v/>
      </c>
      <c r="W3" s="13">
        <f>IFERROR( (P3-1)*0.5 + (M3)*0.1 - (I3+J3)*0.05 + T3*0.4 ,"")</f>
        <v/>
      </c>
      <c r="X3" s="13">
        <f>IFERROR(IF(ABS(F3)&lt;0.01,"ATM/NEAR",""),"")</f>
        <v/>
      </c>
    </row>
    <row r="4">
      <c r="A4" s="13">
        <f>CHAIN_RAW!A4</f>
        <v/>
      </c>
      <c r="B4" s="14">
        <f>CHAIN_RAW!B4</f>
        <v/>
      </c>
      <c r="C4" s="13">
        <f>CHAIN_RAW!C4</f>
        <v/>
      </c>
      <c r="D4" s="13">
        <f>CHAIN_RAW!D4</f>
        <v/>
      </c>
      <c r="E4" s="13">
        <f>CHAIN_RAW!E4</f>
        <v/>
      </c>
      <c r="F4" s="13">
        <f>IFERROR((E4-D4)/D4,"")</f>
        <v/>
      </c>
      <c r="G4" s="13">
        <f>IFERROR((CHAIN_RAW!K4+CHAIN_RAW!L4)/2,"")</f>
        <v/>
      </c>
      <c r="H4" s="13">
        <f>IFERROR((CHAIN_RAW!R4+CHAIN_RAW!S4)/2,"")</f>
        <v/>
      </c>
      <c r="I4" s="13">
        <f>IFERROR((CHAIN_RAW!L4-CHAIN_RAW!K4)/MAX(1E-9, G4),"")</f>
        <v/>
      </c>
      <c r="J4" s="13">
        <f>IFERROR((CHAIN_RAW!S4-CHAIN_RAW!R4)/MAX(1E-9, H4),"")</f>
        <v/>
      </c>
      <c r="K4" s="13">
        <f>CHAIN_RAW!G4</f>
        <v/>
      </c>
      <c r="L4" s="13">
        <f>CHAIN_RAW!N4</f>
        <v/>
      </c>
      <c r="M4" s="13">
        <f>IFERROR(L4-K4,"")</f>
        <v/>
      </c>
      <c r="N4" s="13">
        <f>CHAIN_RAW!H4</f>
        <v/>
      </c>
      <c r="O4" s="13">
        <f>CHAIN_RAW!O4</f>
        <v/>
      </c>
      <c r="P4" s="13">
        <f>IFERROR(O4/N4,"")</f>
        <v/>
      </c>
      <c r="Q4" s="13">
        <f>CHAIN_RAW!I4</f>
        <v/>
      </c>
      <c r="R4" s="13">
        <f>CHAIN_RAW!P4</f>
        <v/>
      </c>
      <c r="S4" s="13">
        <f>IFERROR(R4/Q4,"")</f>
        <v/>
      </c>
      <c r="T4" s="13">
        <f>IFERROR((ABS(N4-O4)/MAX(1,(N4+O4)))*EXP(-ABS(E4-CONTROL!E5)/MAX(1,CONTROL!B8)),"")</f>
        <v/>
      </c>
      <c r="U4" s="13">
        <f>IFERROR(IF(O4&gt;N4,"SUPPORT (PE OI)","RESIST (CE OI)"),"")</f>
        <v/>
      </c>
      <c r="V4" s="13">
        <f>IFERROR(IF(Q4&gt;0,IF(R4&gt;0,"BOTH_ADD","CE_ADD_PE_REDUCE"),IF(R4&gt;0,"CE_REDUCE_PE_ADD","BOTH_REDUCE")),"")</f>
        <v/>
      </c>
      <c r="W4" s="13">
        <f>IFERROR( (P4-1)*0.5 + (M4)*0.1 - (I4+J4)*0.05 + T4*0.4 ,"")</f>
        <v/>
      </c>
      <c r="X4" s="13">
        <f>IFERROR(IF(ABS(F4)&lt;0.01,"ATM/NEAR",""),"")</f>
        <v/>
      </c>
    </row>
    <row r="5">
      <c r="A5" s="13">
        <f>CHAIN_RAW!A5</f>
        <v/>
      </c>
      <c r="B5" s="14">
        <f>CHAIN_RAW!B5</f>
        <v/>
      </c>
      <c r="C5" s="13">
        <f>CHAIN_RAW!C5</f>
        <v/>
      </c>
      <c r="D5" s="13">
        <f>CHAIN_RAW!D5</f>
        <v/>
      </c>
      <c r="E5" s="13">
        <f>CHAIN_RAW!E5</f>
        <v/>
      </c>
      <c r="F5" s="13">
        <f>IFERROR((E5-D5)/D5,"")</f>
        <v/>
      </c>
      <c r="G5" s="13">
        <f>IFERROR((CHAIN_RAW!K5+CHAIN_RAW!L5)/2,"")</f>
        <v/>
      </c>
      <c r="H5" s="13">
        <f>IFERROR((CHAIN_RAW!R5+CHAIN_RAW!S5)/2,"")</f>
        <v/>
      </c>
      <c r="I5" s="13">
        <f>IFERROR((CHAIN_RAW!L5-CHAIN_RAW!K5)/MAX(1E-9, G5),"")</f>
        <v/>
      </c>
      <c r="J5" s="13">
        <f>IFERROR((CHAIN_RAW!S5-CHAIN_RAW!R5)/MAX(1E-9, H5),"")</f>
        <v/>
      </c>
      <c r="K5" s="13">
        <f>CHAIN_RAW!G5</f>
        <v/>
      </c>
      <c r="L5" s="13">
        <f>CHAIN_RAW!N5</f>
        <v/>
      </c>
      <c r="M5" s="13">
        <f>IFERROR(L5-K5,"")</f>
        <v/>
      </c>
      <c r="N5" s="13">
        <f>CHAIN_RAW!H5</f>
        <v/>
      </c>
      <c r="O5" s="13">
        <f>CHAIN_RAW!O5</f>
        <v/>
      </c>
      <c r="P5" s="13">
        <f>IFERROR(O5/N5,"")</f>
        <v/>
      </c>
      <c r="Q5" s="13">
        <f>CHAIN_RAW!I5</f>
        <v/>
      </c>
      <c r="R5" s="13">
        <f>CHAIN_RAW!P5</f>
        <v/>
      </c>
      <c r="S5" s="13">
        <f>IFERROR(R5/Q5,"")</f>
        <v/>
      </c>
      <c r="T5" s="13">
        <f>IFERROR((ABS(N5-O5)/MAX(1,(N5+O5)))*EXP(-ABS(E5-CONTROL!E5)/MAX(1,CONTROL!B8)),"")</f>
        <v/>
      </c>
      <c r="U5" s="13">
        <f>IFERROR(IF(O5&gt;N5,"SUPPORT (PE OI)","RESIST (CE OI)"),"")</f>
        <v/>
      </c>
      <c r="V5" s="13">
        <f>IFERROR(IF(Q5&gt;0,IF(R5&gt;0,"BOTH_ADD","CE_ADD_PE_REDUCE"),IF(R5&gt;0,"CE_REDUCE_PE_ADD","BOTH_REDUCE")),"")</f>
        <v/>
      </c>
      <c r="W5" s="13">
        <f>IFERROR( (P5-1)*0.5 + (M5)*0.1 - (I5+J5)*0.05 + T5*0.4 ,"")</f>
        <v/>
      </c>
      <c r="X5" s="13">
        <f>IFERROR(IF(ABS(F5)&lt;0.01,"ATM/NEAR",""),"")</f>
        <v/>
      </c>
    </row>
    <row r="6">
      <c r="A6" s="13">
        <f>CHAIN_RAW!A6</f>
        <v/>
      </c>
      <c r="B6" s="14">
        <f>CHAIN_RAW!B6</f>
        <v/>
      </c>
      <c r="C6" s="13">
        <f>CHAIN_RAW!C6</f>
        <v/>
      </c>
      <c r="D6" s="13">
        <f>CHAIN_RAW!D6</f>
        <v/>
      </c>
      <c r="E6" s="13">
        <f>CHAIN_RAW!E6</f>
        <v/>
      </c>
      <c r="F6" s="13">
        <f>IFERROR((E6-D6)/D6,"")</f>
        <v/>
      </c>
      <c r="G6" s="13">
        <f>IFERROR((CHAIN_RAW!K6+CHAIN_RAW!L6)/2,"")</f>
        <v/>
      </c>
      <c r="H6" s="13">
        <f>IFERROR((CHAIN_RAW!R6+CHAIN_RAW!S6)/2,"")</f>
        <v/>
      </c>
      <c r="I6" s="13">
        <f>IFERROR((CHAIN_RAW!L6-CHAIN_RAW!K6)/MAX(1E-9, G6),"")</f>
        <v/>
      </c>
      <c r="J6" s="13">
        <f>IFERROR((CHAIN_RAW!S6-CHAIN_RAW!R6)/MAX(1E-9, H6),"")</f>
        <v/>
      </c>
      <c r="K6" s="13">
        <f>CHAIN_RAW!G6</f>
        <v/>
      </c>
      <c r="L6" s="13">
        <f>CHAIN_RAW!N6</f>
        <v/>
      </c>
      <c r="M6" s="13">
        <f>IFERROR(L6-K6,"")</f>
        <v/>
      </c>
      <c r="N6" s="13">
        <f>CHAIN_RAW!H6</f>
        <v/>
      </c>
      <c r="O6" s="13">
        <f>CHAIN_RAW!O6</f>
        <v/>
      </c>
      <c r="P6" s="13">
        <f>IFERROR(O6/N6,"")</f>
        <v/>
      </c>
      <c r="Q6" s="13">
        <f>CHAIN_RAW!I6</f>
        <v/>
      </c>
      <c r="R6" s="13">
        <f>CHAIN_RAW!P6</f>
        <v/>
      </c>
      <c r="S6" s="13">
        <f>IFERROR(R6/Q6,"")</f>
        <v/>
      </c>
      <c r="T6" s="13">
        <f>IFERROR((ABS(N6-O6)/MAX(1,(N6+O6)))*EXP(-ABS(E6-CONTROL!E5)/MAX(1,CONTROL!B8)),"")</f>
        <v/>
      </c>
      <c r="U6" s="13">
        <f>IFERROR(IF(O6&gt;N6,"SUPPORT (PE OI)","RESIST (CE OI)"),"")</f>
        <v/>
      </c>
      <c r="V6" s="13">
        <f>IFERROR(IF(Q6&gt;0,IF(R6&gt;0,"BOTH_ADD","CE_ADD_PE_REDUCE"),IF(R6&gt;0,"CE_REDUCE_PE_ADD","BOTH_REDUCE")),"")</f>
        <v/>
      </c>
      <c r="W6" s="13">
        <f>IFERROR( (P6-1)*0.5 + (M6)*0.1 - (I6+J6)*0.05 + T6*0.4 ,"")</f>
        <v/>
      </c>
      <c r="X6" s="13">
        <f>IFERROR(IF(ABS(F6)&lt;0.01,"ATM/NEAR",""),"")</f>
        <v/>
      </c>
    </row>
    <row r="7">
      <c r="A7" s="13">
        <f>CHAIN_RAW!A7</f>
        <v/>
      </c>
      <c r="B7" s="14">
        <f>CHAIN_RAW!B7</f>
        <v/>
      </c>
      <c r="C7" s="13">
        <f>CHAIN_RAW!C7</f>
        <v/>
      </c>
      <c r="D7" s="13">
        <f>CHAIN_RAW!D7</f>
        <v/>
      </c>
      <c r="E7" s="13">
        <f>CHAIN_RAW!E7</f>
        <v/>
      </c>
      <c r="F7" s="13">
        <f>IFERROR((E7-D7)/D7,"")</f>
        <v/>
      </c>
      <c r="G7" s="13">
        <f>IFERROR((CHAIN_RAW!K7+CHAIN_RAW!L7)/2,"")</f>
        <v/>
      </c>
      <c r="H7" s="13">
        <f>IFERROR((CHAIN_RAW!R7+CHAIN_RAW!S7)/2,"")</f>
        <v/>
      </c>
      <c r="I7" s="13">
        <f>IFERROR((CHAIN_RAW!L7-CHAIN_RAW!K7)/MAX(1E-9, G7),"")</f>
        <v/>
      </c>
      <c r="J7" s="13">
        <f>IFERROR((CHAIN_RAW!S7-CHAIN_RAW!R7)/MAX(1E-9, H7),"")</f>
        <v/>
      </c>
      <c r="K7" s="13">
        <f>CHAIN_RAW!G7</f>
        <v/>
      </c>
      <c r="L7" s="13">
        <f>CHAIN_RAW!N7</f>
        <v/>
      </c>
      <c r="M7" s="13">
        <f>IFERROR(L7-K7,"")</f>
        <v/>
      </c>
      <c r="N7" s="13">
        <f>CHAIN_RAW!H7</f>
        <v/>
      </c>
      <c r="O7" s="13">
        <f>CHAIN_RAW!O7</f>
        <v/>
      </c>
      <c r="P7" s="13">
        <f>IFERROR(O7/N7,"")</f>
        <v/>
      </c>
      <c r="Q7" s="13">
        <f>CHAIN_RAW!I7</f>
        <v/>
      </c>
      <c r="R7" s="13">
        <f>CHAIN_RAW!P7</f>
        <v/>
      </c>
      <c r="S7" s="13">
        <f>IFERROR(R7/Q7,"")</f>
        <v/>
      </c>
      <c r="T7" s="13">
        <f>IFERROR((ABS(N7-O7)/MAX(1,(N7+O7)))*EXP(-ABS(E7-CONTROL!E5)/MAX(1,CONTROL!B8)),"")</f>
        <v/>
      </c>
      <c r="U7" s="13">
        <f>IFERROR(IF(O7&gt;N7,"SUPPORT (PE OI)","RESIST (CE OI)"),"")</f>
        <v/>
      </c>
      <c r="V7" s="13">
        <f>IFERROR(IF(Q7&gt;0,IF(R7&gt;0,"BOTH_ADD","CE_ADD_PE_REDUCE"),IF(R7&gt;0,"CE_REDUCE_PE_ADD","BOTH_REDUCE")),"")</f>
        <v/>
      </c>
      <c r="W7" s="13">
        <f>IFERROR( (P7-1)*0.5 + (M7)*0.1 - (I7+J7)*0.05 + T7*0.4 ,"")</f>
        <v/>
      </c>
      <c r="X7" s="13">
        <f>IFERROR(IF(ABS(F7)&lt;0.01,"ATM/NEAR",""),"")</f>
        <v/>
      </c>
    </row>
    <row r="8">
      <c r="A8" s="13">
        <f>CHAIN_RAW!A8</f>
        <v/>
      </c>
      <c r="B8" s="14">
        <f>CHAIN_RAW!B8</f>
        <v/>
      </c>
      <c r="C8" s="13">
        <f>CHAIN_RAW!C8</f>
        <v/>
      </c>
      <c r="D8" s="13">
        <f>CHAIN_RAW!D8</f>
        <v/>
      </c>
      <c r="E8" s="13">
        <f>CHAIN_RAW!E8</f>
        <v/>
      </c>
      <c r="F8" s="13">
        <f>IFERROR((E8-D8)/D8,"")</f>
        <v/>
      </c>
      <c r="G8" s="13">
        <f>IFERROR((CHAIN_RAW!K8+CHAIN_RAW!L8)/2,"")</f>
        <v/>
      </c>
      <c r="H8" s="13">
        <f>IFERROR((CHAIN_RAW!R8+CHAIN_RAW!S8)/2,"")</f>
        <v/>
      </c>
      <c r="I8" s="13">
        <f>IFERROR((CHAIN_RAW!L8-CHAIN_RAW!K8)/MAX(1E-9, G8),"")</f>
        <v/>
      </c>
      <c r="J8" s="13">
        <f>IFERROR((CHAIN_RAW!S8-CHAIN_RAW!R8)/MAX(1E-9, H8),"")</f>
        <v/>
      </c>
      <c r="K8" s="13">
        <f>CHAIN_RAW!G8</f>
        <v/>
      </c>
      <c r="L8" s="13">
        <f>CHAIN_RAW!N8</f>
        <v/>
      </c>
      <c r="M8" s="13">
        <f>IFERROR(L8-K8,"")</f>
        <v/>
      </c>
      <c r="N8" s="13">
        <f>CHAIN_RAW!H8</f>
        <v/>
      </c>
      <c r="O8" s="13">
        <f>CHAIN_RAW!O8</f>
        <v/>
      </c>
      <c r="P8" s="13">
        <f>IFERROR(O8/N8,"")</f>
        <v/>
      </c>
      <c r="Q8" s="13">
        <f>CHAIN_RAW!I8</f>
        <v/>
      </c>
      <c r="R8" s="13">
        <f>CHAIN_RAW!P8</f>
        <v/>
      </c>
      <c r="S8" s="13">
        <f>IFERROR(R8/Q8,"")</f>
        <v/>
      </c>
      <c r="T8" s="13">
        <f>IFERROR((ABS(N8-O8)/MAX(1,(N8+O8)))*EXP(-ABS(E8-CONTROL!E5)/MAX(1,CONTROL!B8)),"")</f>
        <v/>
      </c>
      <c r="U8" s="13">
        <f>IFERROR(IF(O8&gt;N8,"SUPPORT (PE OI)","RESIST (CE OI)"),"")</f>
        <v/>
      </c>
      <c r="V8" s="13">
        <f>IFERROR(IF(Q8&gt;0,IF(R8&gt;0,"BOTH_ADD","CE_ADD_PE_REDUCE"),IF(R8&gt;0,"CE_REDUCE_PE_ADD","BOTH_REDUCE")),"")</f>
        <v/>
      </c>
      <c r="W8" s="13">
        <f>IFERROR( (P8-1)*0.5 + (M8)*0.1 - (I8+J8)*0.05 + T8*0.4 ,"")</f>
        <v/>
      </c>
      <c r="X8" s="13">
        <f>IFERROR(IF(ABS(F8)&lt;0.01,"ATM/NEAR",""),"")</f>
        <v/>
      </c>
    </row>
    <row r="9">
      <c r="A9" s="13">
        <f>CHAIN_RAW!A9</f>
        <v/>
      </c>
      <c r="B9" s="14">
        <f>CHAIN_RAW!B9</f>
        <v/>
      </c>
      <c r="C9" s="13">
        <f>CHAIN_RAW!C9</f>
        <v/>
      </c>
      <c r="D9" s="13">
        <f>CHAIN_RAW!D9</f>
        <v/>
      </c>
      <c r="E9" s="13">
        <f>CHAIN_RAW!E9</f>
        <v/>
      </c>
      <c r="F9" s="13">
        <f>IFERROR((E9-D9)/D9,"")</f>
        <v/>
      </c>
      <c r="G9" s="13">
        <f>IFERROR((CHAIN_RAW!K9+CHAIN_RAW!L9)/2,"")</f>
        <v/>
      </c>
      <c r="H9" s="13">
        <f>IFERROR((CHAIN_RAW!R9+CHAIN_RAW!S9)/2,"")</f>
        <v/>
      </c>
      <c r="I9" s="13">
        <f>IFERROR((CHAIN_RAW!L9-CHAIN_RAW!K9)/MAX(1E-9, G9),"")</f>
        <v/>
      </c>
      <c r="J9" s="13">
        <f>IFERROR((CHAIN_RAW!S9-CHAIN_RAW!R9)/MAX(1E-9, H9),"")</f>
        <v/>
      </c>
      <c r="K9" s="13">
        <f>CHAIN_RAW!G9</f>
        <v/>
      </c>
      <c r="L9" s="13">
        <f>CHAIN_RAW!N9</f>
        <v/>
      </c>
      <c r="M9" s="13">
        <f>IFERROR(L9-K9,"")</f>
        <v/>
      </c>
      <c r="N9" s="13">
        <f>CHAIN_RAW!H9</f>
        <v/>
      </c>
      <c r="O9" s="13">
        <f>CHAIN_RAW!O9</f>
        <v/>
      </c>
      <c r="P9" s="13">
        <f>IFERROR(O9/N9,"")</f>
        <v/>
      </c>
      <c r="Q9" s="13">
        <f>CHAIN_RAW!I9</f>
        <v/>
      </c>
      <c r="R9" s="13">
        <f>CHAIN_RAW!P9</f>
        <v/>
      </c>
      <c r="S9" s="13">
        <f>IFERROR(R9/Q9,"")</f>
        <v/>
      </c>
      <c r="T9" s="13">
        <f>IFERROR((ABS(N9-O9)/MAX(1,(N9+O9)))*EXP(-ABS(E9-CONTROL!E5)/MAX(1,CONTROL!B8)),"")</f>
        <v/>
      </c>
      <c r="U9" s="13">
        <f>IFERROR(IF(O9&gt;N9,"SUPPORT (PE OI)","RESIST (CE OI)"),"")</f>
        <v/>
      </c>
      <c r="V9" s="13">
        <f>IFERROR(IF(Q9&gt;0,IF(R9&gt;0,"BOTH_ADD","CE_ADD_PE_REDUCE"),IF(R9&gt;0,"CE_REDUCE_PE_ADD","BOTH_REDUCE")),"")</f>
        <v/>
      </c>
      <c r="W9" s="13">
        <f>IFERROR( (P9-1)*0.5 + (M9)*0.1 - (I9+J9)*0.05 + T9*0.4 ,"")</f>
        <v/>
      </c>
      <c r="X9" s="13">
        <f>IFERROR(IF(ABS(F9)&lt;0.01,"ATM/NEAR",""),"")</f>
        <v/>
      </c>
    </row>
    <row r="10">
      <c r="A10" s="13">
        <f>CHAIN_RAW!A10</f>
        <v/>
      </c>
      <c r="B10" s="14">
        <f>CHAIN_RAW!B10</f>
        <v/>
      </c>
      <c r="C10" s="13">
        <f>CHAIN_RAW!C10</f>
        <v/>
      </c>
      <c r="D10" s="13">
        <f>CHAIN_RAW!D10</f>
        <v/>
      </c>
      <c r="E10" s="13">
        <f>CHAIN_RAW!E10</f>
        <v/>
      </c>
      <c r="F10" s="13">
        <f>IFERROR((E10-D10)/D10,"")</f>
        <v/>
      </c>
      <c r="G10" s="13">
        <f>IFERROR((CHAIN_RAW!K10+CHAIN_RAW!L10)/2,"")</f>
        <v/>
      </c>
      <c r="H10" s="13">
        <f>IFERROR((CHAIN_RAW!R10+CHAIN_RAW!S10)/2,"")</f>
        <v/>
      </c>
      <c r="I10" s="13">
        <f>IFERROR((CHAIN_RAW!L10-CHAIN_RAW!K10)/MAX(1E-9, G10),"")</f>
        <v/>
      </c>
      <c r="J10" s="13">
        <f>IFERROR((CHAIN_RAW!S10-CHAIN_RAW!R10)/MAX(1E-9, H10),"")</f>
        <v/>
      </c>
      <c r="K10" s="13">
        <f>CHAIN_RAW!G10</f>
        <v/>
      </c>
      <c r="L10" s="13">
        <f>CHAIN_RAW!N10</f>
        <v/>
      </c>
      <c r="M10" s="13">
        <f>IFERROR(L10-K10,"")</f>
        <v/>
      </c>
      <c r="N10" s="13">
        <f>CHAIN_RAW!H10</f>
        <v/>
      </c>
      <c r="O10" s="13">
        <f>CHAIN_RAW!O10</f>
        <v/>
      </c>
      <c r="P10" s="13">
        <f>IFERROR(O10/N10,"")</f>
        <v/>
      </c>
      <c r="Q10" s="13">
        <f>CHAIN_RAW!I10</f>
        <v/>
      </c>
      <c r="R10" s="13">
        <f>CHAIN_RAW!P10</f>
        <v/>
      </c>
      <c r="S10" s="13">
        <f>IFERROR(R10/Q10,"")</f>
        <v/>
      </c>
      <c r="T10" s="13">
        <f>IFERROR((ABS(N10-O10)/MAX(1,(N10+O10)))*EXP(-ABS(E10-CONTROL!E5)/MAX(1,CONTROL!B8)),"")</f>
        <v/>
      </c>
      <c r="U10" s="13">
        <f>IFERROR(IF(O10&gt;N10,"SUPPORT (PE OI)","RESIST (CE OI)"),"")</f>
        <v/>
      </c>
      <c r="V10" s="13">
        <f>IFERROR(IF(Q10&gt;0,IF(R10&gt;0,"BOTH_ADD","CE_ADD_PE_REDUCE"),IF(R10&gt;0,"CE_REDUCE_PE_ADD","BOTH_REDUCE")),"")</f>
        <v/>
      </c>
      <c r="W10" s="13">
        <f>IFERROR( (P10-1)*0.5 + (M10)*0.1 - (I10+J10)*0.05 + T10*0.4 ,"")</f>
        <v/>
      </c>
      <c r="X10" s="13">
        <f>IFERROR(IF(ABS(F10)&lt;0.01,"ATM/NEAR",""),"")</f>
        <v/>
      </c>
    </row>
    <row r="11">
      <c r="A11" s="13">
        <f>CHAIN_RAW!A11</f>
        <v/>
      </c>
      <c r="B11" s="14">
        <f>CHAIN_RAW!B11</f>
        <v/>
      </c>
      <c r="C11" s="13">
        <f>CHAIN_RAW!C11</f>
        <v/>
      </c>
      <c r="D11" s="13">
        <f>CHAIN_RAW!D11</f>
        <v/>
      </c>
      <c r="E11" s="13">
        <f>CHAIN_RAW!E11</f>
        <v/>
      </c>
      <c r="F11" s="13">
        <f>IFERROR((E11-D11)/D11,"")</f>
        <v/>
      </c>
      <c r="G11" s="13">
        <f>IFERROR((CHAIN_RAW!K11+CHAIN_RAW!L11)/2,"")</f>
        <v/>
      </c>
      <c r="H11" s="13">
        <f>IFERROR((CHAIN_RAW!R11+CHAIN_RAW!S11)/2,"")</f>
        <v/>
      </c>
      <c r="I11" s="13">
        <f>IFERROR((CHAIN_RAW!L11-CHAIN_RAW!K11)/MAX(1E-9, G11),"")</f>
        <v/>
      </c>
      <c r="J11" s="13">
        <f>IFERROR((CHAIN_RAW!S11-CHAIN_RAW!R11)/MAX(1E-9, H11),"")</f>
        <v/>
      </c>
      <c r="K11" s="13">
        <f>CHAIN_RAW!G11</f>
        <v/>
      </c>
      <c r="L11" s="13">
        <f>CHAIN_RAW!N11</f>
        <v/>
      </c>
      <c r="M11" s="13">
        <f>IFERROR(L11-K11,"")</f>
        <v/>
      </c>
      <c r="N11" s="13">
        <f>CHAIN_RAW!H11</f>
        <v/>
      </c>
      <c r="O11" s="13">
        <f>CHAIN_RAW!O11</f>
        <v/>
      </c>
      <c r="P11" s="13">
        <f>IFERROR(O11/N11,"")</f>
        <v/>
      </c>
      <c r="Q11" s="13">
        <f>CHAIN_RAW!I11</f>
        <v/>
      </c>
      <c r="R11" s="13">
        <f>CHAIN_RAW!P11</f>
        <v/>
      </c>
      <c r="S11" s="13">
        <f>IFERROR(R11/Q11,"")</f>
        <v/>
      </c>
      <c r="T11" s="13">
        <f>IFERROR((ABS(N11-O11)/MAX(1,(N11+O11)))*EXP(-ABS(E11-CONTROL!E5)/MAX(1,CONTROL!B8)),"")</f>
        <v/>
      </c>
      <c r="U11" s="13">
        <f>IFERROR(IF(O11&gt;N11,"SUPPORT (PE OI)","RESIST (CE OI)"),"")</f>
        <v/>
      </c>
      <c r="V11" s="13">
        <f>IFERROR(IF(Q11&gt;0,IF(R11&gt;0,"BOTH_ADD","CE_ADD_PE_REDUCE"),IF(R11&gt;0,"CE_REDUCE_PE_ADD","BOTH_REDUCE")),"")</f>
        <v/>
      </c>
      <c r="W11" s="13">
        <f>IFERROR( (P11-1)*0.5 + (M11)*0.1 - (I11+J11)*0.05 + T11*0.4 ,"")</f>
        <v/>
      </c>
      <c r="X11" s="13">
        <f>IFERROR(IF(ABS(F11)&lt;0.01,"ATM/NEAR",""),"")</f>
        <v/>
      </c>
    </row>
    <row r="12">
      <c r="A12" s="13">
        <f>CHAIN_RAW!A12</f>
        <v/>
      </c>
      <c r="B12" s="14">
        <f>CHAIN_RAW!B12</f>
        <v/>
      </c>
      <c r="C12" s="13">
        <f>CHAIN_RAW!C12</f>
        <v/>
      </c>
      <c r="D12" s="13">
        <f>CHAIN_RAW!D12</f>
        <v/>
      </c>
      <c r="E12" s="13">
        <f>CHAIN_RAW!E12</f>
        <v/>
      </c>
      <c r="F12" s="13">
        <f>IFERROR((E12-D12)/D12,"")</f>
        <v/>
      </c>
      <c r="G12" s="13">
        <f>IFERROR((CHAIN_RAW!K12+CHAIN_RAW!L12)/2,"")</f>
        <v/>
      </c>
      <c r="H12" s="13">
        <f>IFERROR((CHAIN_RAW!R12+CHAIN_RAW!S12)/2,"")</f>
        <v/>
      </c>
      <c r="I12" s="13">
        <f>IFERROR((CHAIN_RAW!L12-CHAIN_RAW!K12)/MAX(1E-9, G12),"")</f>
        <v/>
      </c>
      <c r="J12" s="13">
        <f>IFERROR((CHAIN_RAW!S12-CHAIN_RAW!R12)/MAX(1E-9, H12),"")</f>
        <v/>
      </c>
      <c r="K12" s="13">
        <f>CHAIN_RAW!G12</f>
        <v/>
      </c>
      <c r="L12" s="13">
        <f>CHAIN_RAW!N12</f>
        <v/>
      </c>
      <c r="M12" s="13">
        <f>IFERROR(L12-K12,"")</f>
        <v/>
      </c>
      <c r="N12" s="13">
        <f>CHAIN_RAW!H12</f>
        <v/>
      </c>
      <c r="O12" s="13">
        <f>CHAIN_RAW!O12</f>
        <v/>
      </c>
      <c r="P12" s="13">
        <f>IFERROR(O12/N12,"")</f>
        <v/>
      </c>
      <c r="Q12" s="13">
        <f>CHAIN_RAW!I12</f>
        <v/>
      </c>
      <c r="R12" s="13">
        <f>CHAIN_RAW!P12</f>
        <v/>
      </c>
      <c r="S12" s="13">
        <f>IFERROR(R12/Q12,"")</f>
        <v/>
      </c>
      <c r="T12" s="13">
        <f>IFERROR((ABS(N12-O12)/MAX(1,(N12+O12)))*EXP(-ABS(E12-CONTROL!E5)/MAX(1,CONTROL!B8)),"")</f>
        <v/>
      </c>
      <c r="U12" s="13">
        <f>IFERROR(IF(O12&gt;N12,"SUPPORT (PE OI)","RESIST (CE OI)"),"")</f>
        <v/>
      </c>
      <c r="V12" s="13">
        <f>IFERROR(IF(Q12&gt;0,IF(R12&gt;0,"BOTH_ADD","CE_ADD_PE_REDUCE"),IF(R12&gt;0,"CE_REDUCE_PE_ADD","BOTH_REDUCE")),"")</f>
        <v/>
      </c>
      <c r="W12" s="13">
        <f>IFERROR( (P12-1)*0.5 + (M12)*0.1 - (I12+J12)*0.05 + T12*0.4 ,"")</f>
        <v/>
      </c>
      <c r="X12" s="13">
        <f>IFERROR(IF(ABS(F12)&lt;0.01,"ATM/NEAR",""),"")</f>
        <v/>
      </c>
    </row>
    <row r="13">
      <c r="A13" s="13">
        <f>CHAIN_RAW!A13</f>
        <v/>
      </c>
      <c r="B13" s="14">
        <f>CHAIN_RAW!B13</f>
        <v/>
      </c>
      <c r="C13" s="13">
        <f>CHAIN_RAW!C13</f>
        <v/>
      </c>
      <c r="D13" s="13">
        <f>CHAIN_RAW!D13</f>
        <v/>
      </c>
      <c r="E13" s="13">
        <f>CHAIN_RAW!E13</f>
        <v/>
      </c>
      <c r="F13" s="13">
        <f>IFERROR((E13-D13)/D13,"")</f>
        <v/>
      </c>
      <c r="G13" s="13">
        <f>IFERROR((CHAIN_RAW!K13+CHAIN_RAW!L13)/2,"")</f>
        <v/>
      </c>
      <c r="H13" s="13">
        <f>IFERROR((CHAIN_RAW!R13+CHAIN_RAW!S13)/2,"")</f>
        <v/>
      </c>
      <c r="I13" s="13">
        <f>IFERROR((CHAIN_RAW!L13-CHAIN_RAW!K13)/MAX(1E-9, G13),"")</f>
        <v/>
      </c>
      <c r="J13" s="13">
        <f>IFERROR((CHAIN_RAW!S13-CHAIN_RAW!R13)/MAX(1E-9, H13),"")</f>
        <v/>
      </c>
      <c r="K13" s="13">
        <f>CHAIN_RAW!G13</f>
        <v/>
      </c>
      <c r="L13" s="13">
        <f>CHAIN_RAW!N13</f>
        <v/>
      </c>
      <c r="M13" s="13">
        <f>IFERROR(L13-K13,"")</f>
        <v/>
      </c>
      <c r="N13" s="13">
        <f>CHAIN_RAW!H13</f>
        <v/>
      </c>
      <c r="O13" s="13">
        <f>CHAIN_RAW!O13</f>
        <v/>
      </c>
      <c r="P13" s="13">
        <f>IFERROR(O13/N13,"")</f>
        <v/>
      </c>
      <c r="Q13" s="13">
        <f>CHAIN_RAW!I13</f>
        <v/>
      </c>
      <c r="R13" s="13">
        <f>CHAIN_RAW!P13</f>
        <v/>
      </c>
      <c r="S13" s="13">
        <f>IFERROR(R13/Q13,"")</f>
        <v/>
      </c>
      <c r="T13" s="13">
        <f>IFERROR((ABS(N13-O13)/MAX(1,(N13+O13)))*EXP(-ABS(E13-CONTROL!E5)/MAX(1,CONTROL!B8)),"")</f>
        <v/>
      </c>
      <c r="U13" s="13">
        <f>IFERROR(IF(O13&gt;N13,"SUPPORT (PE OI)","RESIST (CE OI)"),"")</f>
        <v/>
      </c>
      <c r="V13" s="13">
        <f>IFERROR(IF(Q13&gt;0,IF(R13&gt;0,"BOTH_ADD","CE_ADD_PE_REDUCE"),IF(R13&gt;0,"CE_REDUCE_PE_ADD","BOTH_REDUCE")),"")</f>
        <v/>
      </c>
      <c r="W13" s="13">
        <f>IFERROR( (P13-1)*0.5 + (M13)*0.1 - (I13+J13)*0.05 + T13*0.4 ,"")</f>
        <v/>
      </c>
      <c r="X13" s="13">
        <f>IFERROR(IF(ABS(F13)&lt;0.01,"ATM/NEAR",""),"")</f>
        <v/>
      </c>
    </row>
    <row r="14">
      <c r="A14" s="13">
        <f>CHAIN_RAW!A14</f>
        <v/>
      </c>
      <c r="B14" s="14">
        <f>CHAIN_RAW!B14</f>
        <v/>
      </c>
      <c r="C14" s="13">
        <f>CHAIN_RAW!C14</f>
        <v/>
      </c>
      <c r="D14" s="13">
        <f>CHAIN_RAW!D14</f>
        <v/>
      </c>
      <c r="E14" s="13">
        <f>CHAIN_RAW!E14</f>
        <v/>
      </c>
      <c r="F14" s="13">
        <f>IFERROR((E14-D14)/D14,"")</f>
        <v/>
      </c>
      <c r="G14" s="13">
        <f>IFERROR((CHAIN_RAW!K14+CHAIN_RAW!L14)/2,"")</f>
        <v/>
      </c>
      <c r="H14" s="13">
        <f>IFERROR((CHAIN_RAW!R14+CHAIN_RAW!S14)/2,"")</f>
        <v/>
      </c>
      <c r="I14" s="13">
        <f>IFERROR((CHAIN_RAW!L14-CHAIN_RAW!K14)/MAX(1E-9, G14),"")</f>
        <v/>
      </c>
      <c r="J14" s="13">
        <f>IFERROR((CHAIN_RAW!S14-CHAIN_RAW!R14)/MAX(1E-9, H14),"")</f>
        <v/>
      </c>
      <c r="K14" s="13">
        <f>CHAIN_RAW!G14</f>
        <v/>
      </c>
      <c r="L14" s="13">
        <f>CHAIN_RAW!N14</f>
        <v/>
      </c>
      <c r="M14" s="13">
        <f>IFERROR(L14-K14,"")</f>
        <v/>
      </c>
      <c r="N14" s="13">
        <f>CHAIN_RAW!H14</f>
        <v/>
      </c>
      <c r="O14" s="13">
        <f>CHAIN_RAW!O14</f>
        <v/>
      </c>
      <c r="P14" s="13">
        <f>IFERROR(O14/N14,"")</f>
        <v/>
      </c>
      <c r="Q14" s="13">
        <f>CHAIN_RAW!I14</f>
        <v/>
      </c>
      <c r="R14" s="13">
        <f>CHAIN_RAW!P14</f>
        <v/>
      </c>
      <c r="S14" s="13">
        <f>IFERROR(R14/Q14,"")</f>
        <v/>
      </c>
      <c r="T14" s="13">
        <f>IFERROR((ABS(N14-O14)/MAX(1,(N14+O14)))*EXP(-ABS(E14-CONTROL!E5)/MAX(1,CONTROL!B8)),"")</f>
        <v/>
      </c>
      <c r="U14" s="13">
        <f>IFERROR(IF(O14&gt;N14,"SUPPORT (PE OI)","RESIST (CE OI)"),"")</f>
        <v/>
      </c>
      <c r="V14" s="13">
        <f>IFERROR(IF(Q14&gt;0,IF(R14&gt;0,"BOTH_ADD","CE_ADD_PE_REDUCE"),IF(R14&gt;0,"CE_REDUCE_PE_ADD","BOTH_REDUCE")),"")</f>
        <v/>
      </c>
      <c r="W14" s="13">
        <f>IFERROR( (P14-1)*0.5 + (M14)*0.1 - (I14+J14)*0.05 + T14*0.4 ,"")</f>
        <v/>
      </c>
      <c r="X14" s="13">
        <f>IFERROR(IF(ABS(F14)&lt;0.01,"ATM/NEAR",""),"")</f>
        <v/>
      </c>
    </row>
    <row r="15">
      <c r="A15" s="13">
        <f>CHAIN_RAW!A15</f>
        <v/>
      </c>
      <c r="B15" s="14">
        <f>CHAIN_RAW!B15</f>
        <v/>
      </c>
      <c r="C15" s="13">
        <f>CHAIN_RAW!C15</f>
        <v/>
      </c>
      <c r="D15" s="13">
        <f>CHAIN_RAW!D15</f>
        <v/>
      </c>
      <c r="E15" s="13">
        <f>CHAIN_RAW!E15</f>
        <v/>
      </c>
      <c r="F15" s="13">
        <f>IFERROR((E15-D15)/D15,"")</f>
        <v/>
      </c>
      <c r="G15" s="13">
        <f>IFERROR((CHAIN_RAW!K15+CHAIN_RAW!L15)/2,"")</f>
        <v/>
      </c>
      <c r="H15" s="13">
        <f>IFERROR((CHAIN_RAW!R15+CHAIN_RAW!S15)/2,"")</f>
        <v/>
      </c>
      <c r="I15" s="13">
        <f>IFERROR((CHAIN_RAW!L15-CHAIN_RAW!K15)/MAX(1E-9, G15),"")</f>
        <v/>
      </c>
      <c r="J15" s="13">
        <f>IFERROR((CHAIN_RAW!S15-CHAIN_RAW!R15)/MAX(1E-9, H15),"")</f>
        <v/>
      </c>
      <c r="K15" s="13">
        <f>CHAIN_RAW!G15</f>
        <v/>
      </c>
      <c r="L15" s="13">
        <f>CHAIN_RAW!N15</f>
        <v/>
      </c>
      <c r="M15" s="13">
        <f>IFERROR(L15-K15,"")</f>
        <v/>
      </c>
      <c r="N15" s="13">
        <f>CHAIN_RAW!H15</f>
        <v/>
      </c>
      <c r="O15" s="13">
        <f>CHAIN_RAW!O15</f>
        <v/>
      </c>
      <c r="P15" s="13">
        <f>IFERROR(O15/N15,"")</f>
        <v/>
      </c>
      <c r="Q15" s="13">
        <f>CHAIN_RAW!I15</f>
        <v/>
      </c>
      <c r="R15" s="13">
        <f>CHAIN_RAW!P15</f>
        <v/>
      </c>
      <c r="S15" s="13">
        <f>IFERROR(R15/Q15,"")</f>
        <v/>
      </c>
      <c r="T15" s="13">
        <f>IFERROR((ABS(N15-O15)/MAX(1,(N15+O15)))*EXP(-ABS(E15-CONTROL!E5)/MAX(1,CONTROL!B8)),"")</f>
        <v/>
      </c>
      <c r="U15" s="13">
        <f>IFERROR(IF(O15&gt;N15,"SUPPORT (PE OI)","RESIST (CE OI)"),"")</f>
        <v/>
      </c>
      <c r="V15" s="13">
        <f>IFERROR(IF(Q15&gt;0,IF(R15&gt;0,"BOTH_ADD","CE_ADD_PE_REDUCE"),IF(R15&gt;0,"CE_REDUCE_PE_ADD","BOTH_REDUCE")),"")</f>
        <v/>
      </c>
      <c r="W15" s="13">
        <f>IFERROR( (P15-1)*0.5 + (M15)*0.1 - (I15+J15)*0.05 + T15*0.4 ,"")</f>
        <v/>
      </c>
      <c r="X15" s="13">
        <f>IFERROR(IF(ABS(F15)&lt;0.01,"ATM/NEAR",""),"")</f>
        <v/>
      </c>
    </row>
    <row r="16">
      <c r="A16" s="13">
        <f>CHAIN_RAW!A16</f>
        <v/>
      </c>
      <c r="B16" s="14">
        <f>CHAIN_RAW!B16</f>
        <v/>
      </c>
      <c r="C16" s="13">
        <f>CHAIN_RAW!C16</f>
        <v/>
      </c>
      <c r="D16" s="13">
        <f>CHAIN_RAW!D16</f>
        <v/>
      </c>
      <c r="E16" s="13">
        <f>CHAIN_RAW!E16</f>
        <v/>
      </c>
      <c r="F16" s="13">
        <f>IFERROR((E16-D16)/D16,"")</f>
        <v/>
      </c>
      <c r="G16" s="13">
        <f>IFERROR((CHAIN_RAW!K16+CHAIN_RAW!L16)/2,"")</f>
        <v/>
      </c>
      <c r="H16" s="13">
        <f>IFERROR((CHAIN_RAW!R16+CHAIN_RAW!S16)/2,"")</f>
        <v/>
      </c>
      <c r="I16" s="13">
        <f>IFERROR((CHAIN_RAW!L16-CHAIN_RAW!K16)/MAX(1E-9, G16),"")</f>
        <v/>
      </c>
      <c r="J16" s="13">
        <f>IFERROR((CHAIN_RAW!S16-CHAIN_RAW!R16)/MAX(1E-9, H16),"")</f>
        <v/>
      </c>
      <c r="K16" s="13">
        <f>CHAIN_RAW!G16</f>
        <v/>
      </c>
      <c r="L16" s="13">
        <f>CHAIN_RAW!N16</f>
        <v/>
      </c>
      <c r="M16" s="13">
        <f>IFERROR(L16-K16,"")</f>
        <v/>
      </c>
      <c r="N16" s="13">
        <f>CHAIN_RAW!H16</f>
        <v/>
      </c>
      <c r="O16" s="13">
        <f>CHAIN_RAW!O16</f>
        <v/>
      </c>
      <c r="P16" s="13">
        <f>IFERROR(O16/N16,"")</f>
        <v/>
      </c>
      <c r="Q16" s="13">
        <f>CHAIN_RAW!I16</f>
        <v/>
      </c>
      <c r="R16" s="13">
        <f>CHAIN_RAW!P16</f>
        <v/>
      </c>
      <c r="S16" s="13">
        <f>IFERROR(R16/Q16,"")</f>
        <v/>
      </c>
      <c r="T16" s="13">
        <f>IFERROR((ABS(N16-O16)/MAX(1,(N16+O16)))*EXP(-ABS(E16-CONTROL!E5)/MAX(1,CONTROL!B8)),"")</f>
        <v/>
      </c>
      <c r="U16" s="13">
        <f>IFERROR(IF(O16&gt;N16,"SUPPORT (PE OI)","RESIST (CE OI)"),"")</f>
        <v/>
      </c>
      <c r="V16" s="13">
        <f>IFERROR(IF(Q16&gt;0,IF(R16&gt;0,"BOTH_ADD","CE_ADD_PE_REDUCE"),IF(R16&gt;0,"CE_REDUCE_PE_ADD","BOTH_REDUCE")),"")</f>
        <v/>
      </c>
      <c r="W16" s="13">
        <f>IFERROR( (P16-1)*0.5 + (M16)*0.1 - (I16+J16)*0.05 + T16*0.4 ,"")</f>
        <v/>
      </c>
      <c r="X16" s="13">
        <f>IFERROR(IF(ABS(F16)&lt;0.01,"ATM/NEAR",""),"")</f>
        <v/>
      </c>
    </row>
    <row r="17">
      <c r="A17" s="13">
        <f>CHAIN_RAW!A17</f>
        <v/>
      </c>
      <c r="B17" s="14">
        <f>CHAIN_RAW!B17</f>
        <v/>
      </c>
      <c r="C17" s="13">
        <f>CHAIN_RAW!C17</f>
        <v/>
      </c>
      <c r="D17" s="13">
        <f>CHAIN_RAW!D17</f>
        <v/>
      </c>
      <c r="E17" s="13">
        <f>CHAIN_RAW!E17</f>
        <v/>
      </c>
      <c r="F17" s="13">
        <f>IFERROR((E17-D17)/D17,"")</f>
        <v/>
      </c>
      <c r="G17" s="13">
        <f>IFERROR((CHAIN_RAW!K17+CHAIN_RAW!L17)/2,"")</f>
        <v/>
      </c>
      <c r="H17" s="13">
        <f>IFERROR((CHAIN_RAW!R17+CHAIN_RAW!S17)/2,"")</f>
        <v/>
      </c>
      <c r="I17" s="13">
        <f>IFERROR((CHAIN_RAW!L17-CHAIN_RAW!K17)/MAX(1E-9, G17),"")</f>
        <v/>
      </c>
      <c r="J17" s="13">
        <f>IFERROR((CHAIN_RAW!S17-CHAIN_RAW!R17)/MAX(1E-9, H17),"")</f>
        <v/>
      </c>
      <c r="K17" s="13">
        <f>CHAIN_RAW!G17</f>
        <v/>
      </c>
      <c r="L17" s="13">
        <f>CHAIN_RAW!N17</f>
        <v/>
      </c>
      <c r="M17" s="13">
        <f>IFERROR(L17-K17,"")</f>
        <v/>
      </c>
      <c r="N17" s="13">
        <f>CHAIN_RAW!H17</f>
        <v/>
      </c>
      <c r="O17" s="13">
        <f>CHAIN_RAW!O17</f>
        <v/>
      </c>
      <c r="P17" s="13">
        <f>IFERROR(O17/N17,"")</f>
        <v/>
      </c>
      <c r="Q17" s="13">
        <f>CHAIN_RAW!I17</f>
        <v/>
      </c>
      <c r="R17" s="13">
        <f>CHAIN_RAW!P17</f>
        <v/>
      </c>
      <c r="S17" s="13">
        <f>IFERROR(R17/Q17,"")</f>
        <v/>
      </c>
      <c r="T17" s="13">
        <f>IFERROR((ABS(N17-O17)/MAX(1,(N17+O17)))*EXP(-ABS(E17-CONTROL!E5)/MAX(1,CONTROL!B8)),"")</f>
        <v/>
      </c>
      <c r="U17" s="13">
        <f>IFERROR(IF(O17&gt;N17,"SUPPORT (PE OI)","RESIST (CE OI)"),"")</f>
        <v/>
      </c>
      <c r="V17" s="13">
        <f>IFERROR(IF(Q17&gt;0,IF(R17&gt;0,"BOTH_ADD","CE_ADD_PE_REDUCE"),IF(R17&gt;0,"CE_REDUCE_PE_ADD","BOTH_REDUCE")),"")</f>
        <v/>
      </c>
      <c r="W17" s="13">
        <f>IFERROR( (P17-1)*0.5 + (M17)*0.1 - (I17+J17)*0.05 + T17*0.4 ,"")</f>
        <v/>
      </c>
      <c r="X17" s="13">
        <f>IFERROR(IF(ABS(F17)&lt;0.01,"ATM/NEAR",""),"")</f>
        <v/>
      </c>
    </row>
    <row r="18">
      <c r="A18" s="13">
        <f>CHAIN_RAW!A18</f>
        <v/>
      </c>
      <c r="B18" s="14">
        <f>CHAIN_RAW!B18</f>
        <v/>
      </c>
      <c r="C18" s="13">
        <f>CHAIN_RAW!C18</f>
        <v/>
      </c>
      <c r="D18" s="13">
        <f>CHAIN_RAW!D18</f>
        <v/>
      </c>
      <c r="E18" s="13">
        <f>CHAIN_RAW!E18</f>
        <v/>
      </c>
      <c r="F18" s="13">
        <f>IFERROR((E18-D18)/D18,"")</f>
        <v/>
      </c>
      <c r="G18" s="13">
        <f>IFERROR((CHAIN_RAW!K18+CHAIN_RAW!L18)/2,"")</f>
        <v/>
      </c>
      <c r="H18" s="13">
        <f>IFERROR((CHAIN_RAW!R18+CHAIN_RAW!S18)/2,"")</f>
        <v/>
      </c>
      <c r="I18" s="13">
        <f>IFERROR((CHAIN_RAW!L18-CHAIN_RAW!K18)/MAX(1E-9, G18),"")</f>
        <v/>
      </c>
      <c r="J18" s="13">
        <f>IFERROR((CHAIN_RAW!S18-CHAIN_RAW!R18)/MAX(1E-9, H18),"")</f>
        <v/>
      </c>
      <c r="K18" s="13">
        <f>CHAIN_RAW!G18</f>
        <v/>
      </c>
      <c r="L18" s="13">
        <f>CHAIN_RAW!N18</f>
        <v/>
      </c>
      <c r="M18" s="13">
        <f>IFERROR(L18-K18,"")</f>
        <v/>
      </c>
      <c r="N18" s="13">
        <f>CHAIN_RAW!H18</f>
        <v/>
      </c>
      <c r="O18" s="13">
        <f>CHAIN_RAW!O18</f>
        <v/>
      </c>
      <c r="P18" s="13">
        <f>IFERROR(O18/N18,"")</f>
        <v/>
      </c>
      <c r="Q18" s="13">
        <f>CHAIN_RAW!I18</f>
        <v/>
      </c>
      <c r="R18" s="13">
        <f>CHAIN_RAW!P18</f>
        <v/>
      </c>
      <c r="S18" s="13">
        <f>IFERROR(R18/Q18,"")</f>
        <v/>
      </c>
      <c r="T18" s="13">
        <f>IFERROR((ABS(N18-O18)/MAX(1,(N18+O18)))*EXP(-ABS(E18-CONTROL!E5)/MAX(1,CONTROL!B8)),"")</f>
        <v/>
      </c>
      <c r="U18" s="13">
        <f>IFERROR(IF(O18&gt;N18,"SUPPORT (PE OI)","RESIST (CE OI)"),"")</f>
        <v/>
      </c>
      <c r="V18" s="13">
        <f>IFERROR(IF(Q18&gt;0,IF(R18&gt;0,"BOTH_ADD","CE_ADD_PE_REDUCE"),IF(R18&gt;0,"CE_REDUCE_PE_ADD","BOTH_REDUCE")),"")</f>
        <v/>
      </c>
      <c r="W18" s="13">
        <f>IFERROR( (P18-1)*0.5 + (M18)*0.1 - (I18+J18)*0.05 + T18*0.4 ,"")</f>
        <v/>
      </c>
      <c r="X18" s="13">
        <f>IFERROR(IF(ABS(F18)&lt;0.01,"ATM/NEAR",""),"")</f>
        <v/>
      </c>
    </row>
    <row r="19">
      <c r="A19" s="13">
        <f>CHAIN_RAW!A19</f>
        <v/>
      </c>
      <c r="B19" s="14">
        <f>CHAIN_RAW!B19</f>
        <v/>
      </c>
      <c r="C19" s="13">
        <f>CHAIN_RAW!C19</f>
        <v/>
      </c>
      <c r="D19" s="13">
        <f>CHAIN_RAW!D19</f>
        <v/>
      </c>
      <c r="E19" s="13">
        <f>CHAIN_RAW!E19</f>
        <v/>
      </c>
      <c r="F19" s="13">
        <f>IFERROR((E19-D19)/D19,"")</f>
        <v/>
      </c>
      <c r="G19" s="13">
        <f>IFERROR((CHAIN_RAW!K19+CHAIN_RAW!L19)/2,"")</f>
        <v/>
      </c>
      <c r="H19" s="13">
        <f>IFERROR((CHAIN_RAW!R19+CHAIN_RAW!S19)/2,"")</f>
        <v/>
      </c>
      <c r="I19" s="13">
        <f>IFERROR((CHAIN_RAW!L19-CHAIN_RAW!K19)/MAX(1E-9, G19),"")</f>
        <v/>
      </c>
      <c r="J19" s="13">
        <f>IFERROR((CHAIN_RAW!S19-CHAIN_RAW!R19)/MAX(1E-9, H19),"")</f>
        <v/>
      </c>
      <c r="K19" s="13">
        <f>CHAIN_RAW!G19</f>
        <v/>
      </c>
      <c r="L19" s="13">
        <f>CHAIN_RAW!N19</f>
        <v/>
      </c>
      <c r="M19" s="13">
        <f>IFERROR(L19-K19,"")</f>
        <v/>
      </c>
      <c r="N19" s="13">
        <f>CHAIN_RAW!H19</f>
        <v/>
      </c>
      <c r="O19" s="13">
        <f>CHAIN_RAW!O19</f>
        <v/>
      </c>
      <c r="P19" s="13">
        <f>IFERROR(O19/N19,"")</f>
        <v/>
      </c>
      <c r="Q19" s="13">
        <f>CHAIN_RAW!I19</f>
        <v/>
      </c>
      <c r="R19" s="13">
        <f>CHAIN_RAW!P19</f>
        <v/>
      </c>
      <c r="S19" s="13">
        <f>IFERROR(R19/Q19,"")</f>
        <v/>
      </c>
      <c r="T19" s="13">
        <f>IFERROR((ABS(N19-O19)/MAX(1,(N19+O19)))*EXP(-ABS(E19-CONTROL!E5)/MAX(1,CONTROL!B8)),"")</f>
        <v/>
      </c>
      <c r="U19" s="13">
        <f>IFERROR(IF(O19&gt;N19,"SUPPORT (PE OI)","RESIST (CE OI)"),"")</f>
        <v/>
      </c>
      <c r="V19" s="13">
        <f>IFERROR(IF(Q19&gt;0,IF(R19&gt;0,"BOTH_ADD","CE_ADD_PE_REDUCE"),IF(R19&gt;0,"CE_REDUCE_PE_ADD","BOTH_REDUCE")),"")</f>
        <v/>
      </c>
      <c r="W19" s="13">
        <f>IFERROR( (P19-1)*0.5 + (M19)*0.1 - (I19+J19)*0.05 + T19*0.4 ,"")</f>
        <v/>
      </c>
      <c r="X19" s="13">
        <f>IFERROR(IF(ABS(F19)&lt;0.01,"ATM/NEAR",""),"")</f>
        <v/>
      </c>
    </row>
    <row r="20">
      <c r="A20" s="13">
        <f>CHAIN_RAW!A20</f>
        <v/>
      </c>
      <c r="B20" s="14">
        <f>CHAIN_RAW!B20</f>
        <v/>
      </c>
      <c r="C20" s="13">
        <f>CHAIN_RAW!C20</f>
        <v/>
      </c>
      <c r="D20" s="13">
        <f>CHAIN_RAW!D20</f>
        <v/>
      </c>
      <c r="E20" s="13">
        <f>CHAIN_RAW!E20</f>
        <v/>
      </c>
      <c r="F20" s="13">
        <f>IFERROR((E20-D20)/D20,"")</f>
        <v/>
      </c>
      <c r="G20" s="13">
        <f>IFERROR((CHAIN_RAW!K20+CHAIN_RAW!L20)/2,"")</f>
        <v/>
      </c>
      <c r="H20" s="13">
        <f>IFERROR((CHAIN_RAW!R20+CHAIN_RAW!S20)/2,"")</f>
        <v/>
      </c>
      <c r="I20" s="13">
        <f>IFERROR((CHAIN_RAW!L20-CHAIN_RAW!K20)/MAX(1E-9, G20),"")</f>
        <v/>
      </c>
      <c r="J20" s="13">
        <f>IFERROR((CHAIN_RAW!S20-CHAIN_RAW!R20)/MAX(1E-9, H20),"")</f>
        <v/>
      </c>
      <c r="K20" s="13">
        <f>CHAIN_RAW!G20</f>
        <v/>
      </c>
      <c r="L20" s="13">
        <f>CHAIN_RAW!N20</f>
        <v/>
      </c>
      <c r="M20" s="13">
        <f>IFERROR(L20-K20,"")</f>
        <v/>
      </c>
      <c r="N20" s="13">
        <f>CHAIN_RAW!H20</f>
        <v/>
      </c>
      <c r="O20" s="13">
        <f>CHAIN_RAW!O20</f>
        <v/>
      </c>
      <c r="P20" s="13">
        <f>IFERROR(O20/N20,"")</f>
        <v/>
      </c>
      <c r="Q20" s="13">
        <f>CHAIN_RAW!I20</f>
        <v/>
      </c>
      <c r="R20" s="13">
        <f>CHAIN_RAW!P20</f>
        <v/>
      </c>
      <c r="S20" s="13">
        <f>IFERROR(R20/Q20,"")</f>
        <v/>
      </c>
      <c r="T20" s="13">
        <f>IFERROR((ABS(N20-O20)/MAX(1,(N20+O20)))*EXP(-ABS(E20-CONTROL!E5)/MAX(1,CONTROL!B8)),"")</f>
        <v/>
      </c>
      <c r="U20" s="13">
        <f>IFERROR(IF(O20&gt;N20,"SUPPORT (PE OI)","RESIST (CE OI)"),"")</f>
        <v/>
      </c>
      <c r="V20" s="13">
        <f>IFERROR(IF(Q20&gt;0,IF(R20&gt;0,"BOTH_ADD","CE_ADD_PE_REDUCE"),IF(R20&gt;0,"CE_REDUCE_PE_ADD","BOTH_REDUCE")),"")</f>
        <v/>
      </c>
      <c r="W20" s="13">
        <f>IFERROR( (P20-1)*0.5 + (M20)*0.1 - (I20+J20)*0.05 + T20*0.4 ,"")</f>
        <v/>
      </c>
      <c r="X20" s="13">
        <f>IFERROR(IF(ABS(F20)&lt;0.01,"ATM/NEAR",""),"")</f>
        <v/>
      </c>
    </row>
    <row r="21">
      <c r="A21" s="13">
        <f>CHAIN_RAW!A21</f>
        <v/>
      </c>
      <c r="B21" s="14">
        <f>CHAIN_RAW!B21</f>
        <v/>
      </c>
      <c r="C21" s="13">
        <f>CHAIN_RAW!C21</f>
        <v/>
      </c>
      <c r="D21" s="13">
        <f>CHAIN_RAW!D21</f>
        <v/>
      </c>
      <c r="E21" s="13">
        <f>CHAIN_RAW!E21</f>
        <v/>
      </c>
      <c r="F21" s="13">
        <f>IFERROR((E21-D21)/D21,"")</f>
        <v/>
      </c>
      <c r="G21" s="13">
        <f>IFERROR((CHAIN_RAW!K21+CHAIN_RAW!L21)/2,"")</f>
        <v/>
      </c>
      <c r="H21" s="13">
        <f>IFERROR((CHAIN_RAW!R21+CHAIN_RAW!S21)/2,"")</f>
        <v/>
      </c>
      <c r="I21" s="13">
        <f>IFERROR((CHAIN_RAW!L21-CHAIN_RAW!K21)/MAX(1E-9, G21),"")</f>
        <v/>
      </c>
      <c r="J21" s="13">
        <f>IFERROR((CHAIN_RAW!S21-CHAIN_RAW!R21)/MAX(1E-9, H21),"")</f>
        <v/>
      </c>
      <c r="K21" s="13">
        <f>CHAIN_RAW!G21</f>
        <v/>
      </c>
      <c r="L21" s="13">
        <f>CHAIN_RAW!N21</f>
        <v/>
      </c>
      <c r="M21" s="13">
        <f>IFERROR(L21-K21,"")</f>
        <v/>
      </c>
      <c r="N21" s="13">
        <f>CHAIN_RAW!H21</f>
        <v/>
      </c>
      <c r="O21" s="13">
        <f>CHAIN_RAW!O21</f>
        <v/>
      </c>
      <c r="P21" s="13">
        <f>IFERROR(O21/N21,"")</f>
        <v/>
      </c>
      <c r="Q21" s="13">
        <f>CHAIN_RAW!I21</f>
        <v/>
      </c>
      <c r="R21" s="13">
        <f>CHAIN_RAW!P21</f>
        <v/>
      </c>
      <c r="S21" s="13">
        <f>IFERROR(R21/Q21,"")</f>
        <v/>
      </c>
      <c r="T21" s="13">
        <f>IFERROR((ABS(N21-O21)/MAX(1,(N21+O21)))*EXP(-ABS(E21-CONTROL!E5)/MAX(1,CONTROL!B8)),"")</f>
        <v/>
      </c>
      <c r="U21" s="13">
        <f>IFERROR(IF(O21&gt;N21,"SUPPORT (PE OI)","RESIST (CE OI)"),"")</f>
        <v/>
      </c>
      <c r="V21" s="13">
        <f>IFERROR(IF(Q21&gt;0,IF(R21&gt;0,"BOTH_ADD","CE_ADD_PE_REDUCE"),IF(R21&gt;0,"CE_REDUCE_PE_ADD","BOTH_REDUCE")),"")</f>
        <v/>
      </c>
      <c r="W21" s="13">
        <f>IFERROR( (P21-1)*0.5 + (M21)*0.1 - (I21+J21)*0.05 + T21*0.4 ,"")</f>
        <v/>
      </c>
      <c r="X21" s="13">
        <f>IFERROR(IF(ABS(F21)&lt;0.01,"ATM/NEAR",""),"")</f>
        <v/>
      </c>
    </row>
    <row r="22">
      <c r="A22" s="13">
        <f>CHAIN_RAW!A22</f>
        <v/>
      </c>
      <c r="B22" s="14">
        <f>CHAIN_RAW!B22</f>
        <v/>
      </c>
      <c r="C22" s="13">
        <f>CHAIN_RAW!C22</f>
        <v/>
      </c>
      <c r="D22" s="13">
        <f>CHAIN_RAW!D22</f>
        <v/>
      </c>
      <c r="E22" s="13">
        <f>CHAIN_RAW!E22</f>
        <v/>
      </c>
      <c r="F22" s="13">
        <f>IFERROR((E22-D22)/D22,"")</f>
        <v/>
      </c>
      <c r="G22" s="13">
        <f>IFERROR((CHAIN_RAW!K22+CHAIN_RAW!L22)/2,"")</f>
        <v/>
      </c>
      <c r="H22" s="13">
        <f>IFERROR((CHAIN_RAW!R22+CHAIN_RAW!S22)/2,"")</f>
        <v/>
      </c>
      <c r="I22" s="13">
        <f>IFERROR((CHAIN_RAW!L22-CHAIN_RAW!K22)/MAX(1E-9, G22),"")</f>
        <v/>
      </c>
      <c r="J22" s="13">
        <f>IFERROR((CHAIN_RAW!S22-CHAIN_RAW!R22)/MAX(1E-9, H22),"")</f>
        <v/>
      </c>
      <c r="K22" s="13">
        <f>CHAIN_RAW!G22</f>
        <v/>
      </c>
      <c r="L22" s="13">
        <f>CHAIN_RAW!N22</f>
        <v/>
      </c>
      <c r="M22" s="13">
        <f>IFERROR(L22-K22,"")</f>
        <v/>
      </c>
      <c r="N22" s="13">
        <f>CHAIN_RAW!H22</f>
        <v/>
      </c>
      <c r="O22" s="13">
        <f>CHAIN_RAW!O22</f>
        <v/>
      </c>
      <c r="P22" s="13">
        <f>IFERROR(O22/N22,"")</f>
        <v/>
      </c>
      <c r="Q22" s="13">
        <f>CHAIN_RAW!I22</f>
        <v/>
      </c>
      <c r="R22" s="13">
        <f>CHAIN_RAW!P22</f>
        <v/>
      </c>
      <c r="S22" s="13">
        <f>IFERROR(R22/Q22,"")</f>
        <v/>
      </c>
      <c r="T22" s="13">
        <f>IFERROR((ABS(N22-O22)/MAX(1,(N22+O22)))*EXP(-ABS(E22-CONTROL!E5)/MAX(1,CONTROL!B8)),"")</f>
        <v/>
      </c>
      <c r="U22" s="13">
        <f>IFERROR(IF(O22&gt;N22,"SUPPORT (PE OI)","RESIST (CE OI)"),"")</f>
        <v/>
      </c>
      <c r="V22" s="13">
        <f>IFERROR(IF(Q22&gt;0,IF(R22&gt;0,"BOTH_ADD","CE_ADD_PE_REDUCE"),IF(R22&gt;0,"CE_REDUCE_PE_ADD","BOTH_REDUCE")),"")</f>
        <v/>
      </c>
      <c r="W22" s="13">
        <f>IFERROR( (P22-1)*0.5 + (M22)*0.1 - (I22+J22)*0.05 + T22*0.4 ,"")</f>
        <v/>
      </c>
      <c r="X22" s="13">
        <f>IFERROR(IF(ABS(F22)&lt;0.01,"ATM/NEAR",""),"")</f>
        <v/>
      </c>
    </row>
    <row r="23">
      <c r="A23" s="13">
        <f>CHAIN_RAW!A23</f>
        <v/>
      </c>
      <c r="B23" s="14">
        <f>CHAIN_RAW!B23</f>
        <v/>
      </c>
      <c r="C23" s="13">
        <f>CHAIN_RAW!C23</f>
        <v/>
      </c>
      <c r="D23" s="13">
        <f>CHAIN_RAW!D23</f>
        <v/>
      </c>
      <c r="E23" s="13">
        <f>CHAIN_RAW!E23</f>
        <v/>
      </c>
      <c r="F23" s="13">
        <f>IFERROR((E23-D23)/D23,"")</f>
        <v/>
      </c>
      <c r="G23" s="13">
        <f>IFERROR((CHAIN_RAW!K23+CHAIN_RAW!L23)/2,"")</f>
        <v/>
      </c>
      <c r="H23" s="13">
        <f>IFERROR((CHAIN_RAW!R23+CHAIN_RAW!S23)/2,"")</f>
        <v/>
      </c>
      <c r="I23" s="13">
        <f>IFERROR((CHAIN_RAW!L23-CHAIN_RAW!K23)/MAX(1E-9, G23),"")</f>
        <v/>
      </c>
      <c r="J23" s="13">
        <f>IFERROR((CHAIN_RAW!S23-CHAIN_RAW!R23)/MAX(1E-9, H23),"")</f>
        <v/>
      </c>
      <c r="K23" s="13">
        <f>CHAIN_RAW!G23</f>
        <v/>
      </c>
      <c r="L23" s="13">
        <f>CHAIN_RAW!N23</f>
        <v/>
      </c>
      <c r="M23" s="13">
        <f>IFERROR(L23-K23,"")</f>
        <v/>
      </c>
      <c r="N23" s="13">
        <f>CHAIN_RAW!H23</f>
        <v/>
      </c>
      <c r="O23" s="13">
        <f>CHAIN_RAW!O23</f>
        <v/>
      </c>
      <c r="P23" s="13">
        <f>IFERROR(O23/N23,"")</f>
        <v/>
      </c>
      <c r="Q23" s="13">
        <f>CHAIN_RAW!I23</f>
        <v/>
      </c>
      <c r="R23" s="13">
        <f>CHAIN_RAW!P23</f>
        <v/>
      </c>
      <c r="S23" s="13">
        <f>IFERROR(R23/Q23,"")</f>
        <v/>
      </c>
      <c r="T23" s="13">
        <f>IFERROR((ABS(N23-O23)/MAX(1,(N23+O23)))*EXP(-ABS(E23-CONTROL!E5)/MAX(1,CONTROL!B8)),"")</f>
        <v/>
      </c>
      <c r="U23" s="13">
        <f>IFERROR(IF(O23&gt;N23,"SUPPORT (PE OI)","RESIST (CE OI)"),"")</f>
        <v/>
      </c>
      <c r="V23" s="13">
        <f>IFERROR(IF(Q23&gt;0,IF(R23&gt;0,"BOTH_ADD","CE_ADD_PE_REDUCE"),IF(R23&gt;0,"CE_REDUCE_PE_ADD","BOTH_REDUCE")),"")</f>
        <v/>
      </c>
      <c r="W23" s="13">
        <f>IFERROR( (P23-1)*0.5 + (M23)*0.1 - (I23+J23)*0.05 + T23*0.4 ,"")</f>
        <v/>
      </c>
      <c r="X23" s="13">
        <f>IFERROR(IF(ABS(F23)&lt;0.01,"ATM/NEAR",""),"")</f>
        <v/>
      </c>
    </row>
    <row r="24">
      <c r="A24" s="13">
        <f>CHAIN_RAW!A24</f>
        <v/>
      </c>
      <c r="B24" s="14">
        <f>CHAIN_RAW!B24</f>
        <v/>
      </c>
      <c r="C24" s="13">
        <f>CHAIN_RAW!C24</f>
        <v/>
      </c>
      <c r="D24" s="13">
        <f>CHAIN_RAW!D24</f>
        <v/>
      </c>
      <c r="E24" s="13">
        <f>CHAIN_RAW!E24</f>
        <v/>
      </c>
      <c r="F24" s="13">
        <f>IFERROR((E24-D24)/D24,"")</f>
        <v/>
      </c>
      <c r="G24" s="13">
        <f>IFERROR((CHAIN_RAW!K24+CHAIN_RAW!L24)/2,"")</f>
        <v/>
      </c>
      <c r="H24" s="13">
        <f>IFERROR((CHAIN_RAW!R24+CHAIN_RAW!S24)/2,"")</f>
        <v/>
      </c>
      <c r="I24" s="13">
        <f>IFERROR((CHAIN_RAW!L24-CHAIN_RAW!K24)/MAX(1E-9, G24),"")</f>
        <v/>
      </c>
      <c r="J24" s="13">
        <f>IFERROR((CHAIN_RAW!S24-CHAIN_RAW!R24)/MAX(1E-9, H24),"")</f>
        <v/>
      </c>
      <c r="K24" s="13">
        <f>CHAIN_RAW!G24</f>
        <v/>
      </c>
      <c r="L24" s="13">
        <f>CHAIN_RAW!N24</f>
        <v/>
      </c>
      <c r="M24" s="13">
        <f>IFERROR(L24-K24,"")</f>
        <v/>
      </c>
      <c r="N24" s="13">
        <f>CHAIN_RAW!H24</f>
        <v/>
      </c>
      <c r="O24" s="13">
        <f>CHAIN_RAW!O24</f>
        <v/>
      </c>
      <c r="P24" s="13">
        <f>IFERROR(O24/N24,"")</f>
        <v/>
      </c>
      <c r="Q24" s="13">
        <f>CHAIN_RAW!I24</f>
        <v/>
      </c>
      <c r="R24" s="13">
        <f>CHAIN_RAW!P24</f>
        <v/>
      </c>
      <c r="S24" s="13">
        <f>IFERROR(R24/Q24,"")</f>
        <v/>
      </c>
      <c r="T24" s="13">
        <f>IFERROR((ABS(N24-O24)/MAX(1,(N24+O24)))*EXP(-ABS(E24-CONTROL!E5)/MAX(1,CONTROL!B8)),"")</f>
        <v/>
      </c>
      <c r="U24" s="13">
        <f>IFERROR(IF(O24&gt;N24,"SUPPORT (PE OI)","RESIST (CE OI)"),"")</f>
        <v/>
      </c>
      <c r="V24" s="13">
        <f>IFERROR(IF(Q24&gt;0,IF(R24&gt;0,"BOTH_ADD","CE_ADD_PE_REDUCE"),IF(R24&gt;0,"CE_REDUCE_PE_ADD","BOTH_REDUCE")),"")</f>
        <v/>
      </c>
      <c r="W24" s="13">
        <f>IFERROR( (P24-1)*0.5 + (M24)*0.1 - (I24+J24)*0.05 + T24*0.4 ,"")</f>
        <v/>
      </c>
      <c r="X24" s="13">
        <f>IFERROR(IF(ABS(F24)&lt;0.01,"ATM/NEAR",""),"")</f>
        <v/>
      </c>
    </row>
    <row r="25">
      <c r="A25" s="13">
        <f>CHAIN_RAW!A25</f>
        <v/>
      </c>
      <c r="B25" s="14">
        <f>CHAIN_RAW!B25</f>
        <v/>
      </c>
      <c r="C25" s="13">
        <f>CHAIN_RAW!C25</f>
        <v/>
      </c>
      <c r="D25" s="13">
        <f>CHAIN_RAW!D25</f>
        <v/>
      </c>
      <c r="E25" s="13">
        <f>CHAIN_RAW!E25</f>
        <v/>
      </c>
      <c r="F25" s="13">
        <f>IFERROR((E25-D25)/D25,"")</f>
        <v/>
      </c>
      <c r="G25" s="13">
        <f>IFERROR((CHAIN_RAW!K25+CHAIN_RAW!L25)/2,"")</f>
        <v/>
      </c>
      <c r="H25" s="13">
        <f>IFERROR((CHAIN_RAW!R25+CHAIN_RAW!S25)/2,"")</f>
        <v/>
      </c>
      <c r="I25" s="13">
        <f>IFERROR((CHAIN_RAW!L25-CHAIN_RAW!K25)/MAX(1E-9, G25),"")</f>
        <v/>
      </c>
      <c r="J25" s="13">
        <f>IFERROR((CHAIN_RAW!S25-CHAIN_RAW!R25)/MAX(1E-9, H25),"")</f>
        <v/>
      </c>
      <c r="K25" s="13">
        <f>CHAIN_RAW!G25</f>
        <v/>
      </c>
      <c r="L25" s="13">
        <f>CHAIN_RAW!N25</f>
        <v/>
      </c>
      <c r="M25" s="13">
        <f>IFERROR(L25-K25,"")</f>
        <v/>
      </c>
      <c r="N25" s="13">
        <f>CHAIN_RAW!H25</f>
        <v/>
      </c>
      <c r="O25" s="13">
        <f>CHAIN_RAW!O25</f>
        <v/>
      </c>
      <c r="P25" s="13">
        <f>IFERROR(O25/N25,"")</f>
        <v/>
      </c>
      <c r="Q25" s="13">
        <f>CHAIN_RAW!I25</f>
        <v/>
      </c>
      <c r="R25" s="13">
        <f>CHAIN_RAW!P25</f>
        <v/>
      </c>
      <c r="S25" s="13">
        <f>IFERROR(R25/Q25,"")</f>
        <v/>
      </c>
      <c r="T25" s="13">
        <f>IFERROR((ABS(N25-O25)/MAX(1,(N25+O25)))*EXP(-ABS(E25-CONTROL!E5)/MAX(1,CONTROL!B8)),"")</f>
        <v/>
      </c>
      <c r="U25" s="13">
        <f>IFERROR(IF(O25&gt;N25,"SUPPORT (PE OI)","RESIST (CE OI)"),"")</f>
        <v/>
      </c>
      <c r="V25" s="13">
        <f>IFERROR(IF(Q25&gt;0,IF(R25&gt;0,"BOTH_ADD","CE_ADD_PE_REDUCE"),IF(R25&gt;0,"CE_REDUCE_PE_ADD","BOTH_REDUCE")),"")</f>
        <v/>
      </c>
      <c r="W25" s="13">
        <f>IFERROR( (P25-1)*0.5 + (M25)*0.1 - (I25+J25)*0.05 + T25*0.4 ,"")</f>
        <v/>
      </c>
      <c r="X25" s="13">
        <f>IFERROR(IF(ABS(F25)&lt;0.01,"ATM/NEAR",""),"")</f>
        <v/>
      </c>
    </row>
    <row r="26">
      <c r="A26" s="13">
        <f>CHAIN_RAW!A26</f>
        <v/>
      </c>
      <c r="B26" s="14">
        <f>CHAIN_RAW!B26</f>
        <v/>
      </c>
      <c r="C26" s="13">
        <f>CHAIN_RAW!C26</f>
        <v/>
      </c>
      <c r="D26" s="13">
        <f>CHAIN_RAW!D26</f>
        <v/>
      </c>
      <c r="E26" s="13">
        <f>CHAIN_RAW!E26</f>
        <v/>
      </c>
      <c r="F26" s="13">
        <f>IFERROR((E26-D26)/D26,"")</f>
        <v/>
      </c>
      <c r="G26" s="13">
        <f>IFERROR((CHAIN_RAW!K26+CHAIN_RAW!L26)/2,"")</f>
        <v/>
      </c>
      <c r="H26" s="13">
        <f>IFERROR((CHAIN_RAW!R26+CHAIN_RAW!S26)/2,"")</f>
        <v/>
      </c>
      <c r="I26" s="13">
        <f>IFERROR((CHAIN_RAW!L26-CHAIN_RAW!K26)/MAX(1E-9, G26),"")</f>
        <v/>
      </c>
      <c r="J26" s="13">
        <f>IFERROR((CHAIN_RAW!S26-CHAIN_RAW!R26)/MAX(1E-9, H26),"")</f>
        <v/>
      </c>
      <c r="K26" s="13">
        <f>CHAIN_RAW!G26</f>
        <v/>
      </c>
      <c r="L26" s="13">
        <f>CHAIN_RAW!N26</f>
        <v/>
      </c>
      <c r="M26" s="13">
        <f>IFERROR(L26-K26,"")</f>
        <v/>
      </c>
      <c r="N26" s="13">
        <f>CHAIN_RAW!H26</f>
        <v/>
      </c>
      <c r="O26" s="13">
        <f>CHAIN_RAW!O26</f>
        <v/>
      </c>
      <c r="P26" s="13">
        <f>IFERROR(O26/N26,"")</f>
        <v/>
      </c>
      <c r="Q26" s="13">
        <f>CHAIN_RAW!I26</f>
        <v/>
      </c>
      <c r="R26" s="13">
        <f>CHAIN_RAW!P26</f>
        <v/>
      </c>
      <c r="S26" s="13">
        <f>IFERROR(R26/Q26,"")</f>
        <v/>
      </c>
      <c r="T26" s="13">
        <f>IFERROR((ABS(N26-O26)/MAX(1,(N26+O26)))*EXP(-ABS(E26-CONTROL!E5)/MAX(1,CONTROL!B8)),"")</f>
        <v/>
      </c>
      <c r="U26" s="13">
        <f>IFERROR(IF(O26&gt;N26,"SUPPORT (PE OI)","RESIST (CE OI)"),"")</f>
        <v/>
      </c>
      <c r="V26" s="13">
        <f>IFERROR(IF(Q26&gt;0,IF(R26&gt;0,"BOTH_ADD","CE_ADD_PE_REDUCE"),IF(R26&gt;0,"CE_REDUCE_PE_ADD","BOTH_REDUCE")),"")</f>
        <v/>
      </c>
      <c r="W26" s="13">
        <f>IFERROR( (P26-1)*0.5 + (M26)*0.1 - (I26+J26)*0.05 + T26*0.4 ,"")</f>
        <v/>
      </c>
      <c r="X26" s="13">
        <f>IFERROR(IF(ABS(F26)&lt;0.01,"ATM/NEAR",""),"")</f>
        <v/>
      </c>
    </row>
    <row r="27">
      <c r="A27" s="13">
        <f>CHAIN_RAW!A27</f>
        <v/>
      </c>
      <c r="B27" s="14">
        <f>CHAIN_RAW!B27</f>
        <v/>
      </c>
      <c r="C27" s="13">
        <f>CHAIN_RAW!C27</f>
        <v/>
      </c>
      <c r="D27" s="13">
        <f>CHAIN_RAW!D27</f>
        <v/>
      </c>
      <c r="E27" s="13">
        <f>CHAIN_RAW!E27</f>
        <v/>
      </c>
      <c r="F27" s="13">
        <f>IFERROR((E27-D27)/D27,"")</f>
        <v/>
      </c>
      <c r="G27" s="13">
        <f>IFERROR((CHAIN_RAW!K27+CHAIN_RAW!L27)/2,"")</f>
        <v/>
      </c>
      <c r="H27" s="13">
        <f>IFERROR((CHAIN_RAW!R27+CHAIN_RAW!S27)/2,"")</f>
        <v/>
      </c>
      <c r="I27" s="13">
        <f>IFERROR((CHAIN_RAW!L27-CHAIN_RAW!K27)/MAX(1E-9, G27),"")</f>
        <v/>
      </c>
      <c r="J27" s="13">
        <f>IFERROR((CHAIN_RAW!S27-CHAIN_RAW!R27)/MAX(1E-9, H27),"")</f>
        <v/>
      </c>
      <c r="K27" s="13">
        <f>CHAIN_RAW!G27</f>
        <v/>
      </c>
      <c r="L27" s="13">
        <f>CHAIN_RAW!N27</f>
        <v/>
      </c>
      <c r="M27" s="13">
        <f>IFERROR(L27-K27,"")</f>
        <v/>
      </c>
      <c r="N27" s="13">
        <f>CHAIN_RAW!H27</f>
        <v/>
      </c>
      <c r="O27" s="13">
        <f>CHAIN_RAW!O27</f>
        <v/>
      </c>
      <c r="P27" s="13">
        <f>IFERROR(O27/N27,"")</f>
        <v/>
      </c>
      <c r="Q27" s="13">
        <f>CHAIN_RAW!I27</f>
        <v/>
      </c>
      <c r="R27" s="13">
        <f>CHAIN_RAW!P27</f>
        <v/>
      </c>
      <c r="S27" s="13">
        <f>IFERROR(R27/Q27,"")</f>
        <v/>
      </c>
      <c r="T27" s="13">
        <f>IFERROR((ABS(N27-O27)/MAX(1,(N27+O27)))*EXP(-ABS(E27-CONTROL!E5)/MAX(1,CONTROL!B8)),"")</f>
        <v/>
      </c>
      <c r="U27" s="13">
        <f>IFERROR(IF(O27&gt;N27,"SUPPORT (PE OI)","RESIST (CE OI)"),"")</f>
        <v/>
      </c>
      <c r="V27" s="13">
        <f>IFERROR(IF(Q27&gt;0,IF(R27&gt;0,"BOTH_ADD","CE_ADD_PE_REDUCE"),IF(R27&gt;0,"CE_REDUCE_PE_ADD","BOTH_REDUCE")),"")</f>
        <v/>
      </c>
      <c r="W27" s="13">
        <f>IFERROR( (P27-1)*0.5 + (M27)*0.1 - (I27+J27)*0.05 + T27*0.4 ,"")</f>
        <v/>
      </c>
      <c r="X27" s="13">
        <f>IFERROR(IF(ABS(F27)&lt;0.01,"ATM/NEAR",""),"")</f>
        <v/>
      </c>
    </row>
    <row r="28">
      <c r="A28" s="13">
        <f>CHAIN_RAW!A28</f>
        <v/>
      </c>
      <c r="B28" s="14">
        <f>CHAIN_RAW!B28</f>
        <v/>
      </c>
      <c r="C28" s="13">
        <f>CHAIN_RAW!C28</f>
        <v/>
      </c>
      <c r="D28" s="13">
        <f>CHAIN_RAW!D28</f>
        <v/>
      </c>
      <c r="E28" s="13">
        <f>CHAIN_RAW!E28</f>
        <v/>
      </c>
      <c r="F28" s="13">
        <f>IFERROR((E28-D28)/D28,"")</f>
        <v/>
      </c>
      <c r="G28" s="13">
        <f>IFERROR((CHAIN_RAW!K28+CHAIN_RAW!L28)/2,"")</f>
        <v/>
      </c>
      <c r="H28" s="13">
        <f>IFERROR((CHAIN_RAW!R28+CHAIN_RAW!S28)/2,"")</f>
        <v/>
      </c>
      <c r="I28" s="13">
        <f>IFERROR((CHAIN_RAW!L28-CHAIN_RAW!K28)/MAX(1E-9, G28),"")</f>
        <v/>
      </c>
      <c r="J28" s="13">
        <f>IFERROR((CHAIN_RAW!S28-CHAIN_RAW!R28)/MAX(1E-9, H28),"")</f>
        <v/>
      </c>
      <c r="K28" s="13">
        <f>CHAIN_RAW!G28</f>
        <v/>
      </c>
      <c r="L28" s="13">
        <f>CHAIN_RAW!N28</f>
        <v/>
      </c>
      <c r="M28" s="13">
        <f>IFERROR(L28-K28,"")</f>
        <v/>
      </c>
      <c r="N28" s="13">
        <f>CHAIN_RAW!H28</f>
        <v/>
      </c>
      <c r="O28" s="13">
        <f>CHAIN_RAW!O28</f>
        <v/>
      </c>
      <c r="P28" s="13">
        <f>IFERROR(O28/N28,"")</f>
        <v/>
      </c>
      <c r="Q28" s="13">
        <f>CHAIN_RAW!I28</f>
        <v/>
      </c>
      <c r="R28" s="13">
        <f>CHAIN_RAW!P28</f>
        <v/>
      </c>
      <c r="S28" s="13">
        <f>IFERROR(R28/Q28,"")</f>
        <v/>
      </c>
      <c r="T28" s="13">
        <f>IFERROR((ABS(N28-O28)/MAX(1,(N28+O28)))*EXP(-ABS(E28-CONTROL!E5)/MAX(1,CONTROL!B8)),"")</f>
        <v/>
      </c>
      <c r="U28" s="13">
        <f>IFERROR(IF(O28&gt;N28,"SUPPORT (PE OI)","RESIST (CE OI)"),"")</f>
        <v/>
      </c>
      <c r="V28" s="13">
        <f>IFERROR(IF(Q28&gt;0,IF(R28&gt;0,"BOTH_ADD","CE_ADD_PE_REDUCE"),IF(R28&gt;0,"CE_REDUCE_PE_ADD","BOTH_REDUCE")),"")</f>
        <v/>
      </c>
      <c r="W28" s="13">
        <f>IFERROR( (P28-1)*0.5 + (M28)*0.1 - (I28+J28)*0.05 + T28*0.4 ,"")</f>
        <v/>
      </c>
      <c r="X28" s="13">
        <f>IFERROR(IF(ABS(F28)&lt;0.01,"ATM/NEAR",""),"")</f>
        <v/>
      </c>
    </row>
    <row r="29">
      <c r="A29" s="13">
        <f>CHAIN_RAW!A29</f>
        <v/>
      </c>
      <c r="B29" s="14">
        <f>CHAIN_RAW!B29</f>
        <v/>
      </c>
      <c r="C29" s="13">
        <f>CHAIN_RAW!C29</f>
        <v/>
      </c>
      <c r="D29" s="13">
        <f>CHAIN_RAW!D29</f>
        <v/>
      </c>
      <c r="E29" s="13">
        <f>CHAIN_RAW!E29</f>
        <v/>
      </c>
      <c r="F29" s="13">
        <f>IFERROR((E29-D29)/D29,"")</f>
        <v/>
      </c>
      <c r="G29" s="13">
        <f>IFERROR((CHAIN_RAW!K29+CHAIN_RAW!L29)/2,"")</f>
        <v/>
      </c>
      <c r="H29" s="13">
        <f>IFERROR((CHAIN_RAW!R29+CHAIN_RAW!S29)/2,"")</f>
        <v/>
      </c>
      <c r="I29" s="13">
        <f>IFERROR((CHAIN_RAW!L29-CHAIN_RAW!K29)/MAX(1E-9, G29),"")</f>
        <v/>
      </c>
      <c r="J29" s="13">
        <f>IFERROR((CHAIN_RAW!S29-CHAIN_RAW!R29)/MAX(1E-9, H29),"")</f>
        <v/>
      </c>
      <c r="K29" s="13">
        <f>CHAIN_RAW!G29</f>
        <v/>
      </c>
      <c r="L29" s="13">
        <f>CHAIN_RAW!N29</f>
        <v/>
      </c>
      <c r="M29" s="13">
        <f>IFERROR(L29-K29,"")</f>
        <v/>
      </c>
      <c r="N29" s="13">
        <f>CHAIN_RAW!H29</f>
        <v/>
      </c>
      <c r="O29" s="13">
        <f>CHAIN_RAW!O29</f>
        <v/>
      </c>
      <c r="P29" s="13">
        <f>IFERROR(O29/N29,"")</f>
        <v/>
      </c>
      <c r="Q29" s="13">
        <f>CHAIN_RAW!I29</f>
        <v/>
      </c>
      <c r="R29" s="13">
        <f>CHAIN_RAW!P29</f>
        <v/>
      </c>
      <c r="S29" s="13">
        <f>IFERROR(R29/Q29,"")</f>
        <v/>
      </c>
      <c r="T29" s="13">
        <f>IFERROR((ABS(N29-O29)/MAX(1,(N29+O29)))*EXP(-ABS(E29-CONTROL!E5)/MAX(1,CONTROL!B8)),"")</f>
        <v/>
      </c>
      <c r="U29" s="13">
        <f>IFERROR(IF(O29&gt;N29,"SUPPORT (PE OI)","RESIST (CE OI)"),"")</f>
        <v/>
      </c>
      <c r="V29" s="13">
        <f>IFERROR(IF(Q29&gt;0,IF(R29&gt;0,"BOTH_ADD","CE_ADD_PE_REDUCE"),IF(R29&gt;0,"CE_REDUCE_PE_ADD","BOTH_REDUCE")),"")</f>
        <v/>
      </c>
      <c r="W29" s="13">
        <f>IFERROR( (P29-1)*0.5 + (M29)*0.1 - (I29+J29)*0.05 + T29*0.4 ,"")</f>
        <v/>
      </c>
      <c r="X29" s="13">
        <f>IFERROR(IF(ABS(F29)&lt;0.01,"ATM/NEAR",""),"")</f>
        <v/>
      </c>
    </row>
    <row r="30">
      <c r="A30" s="13">
        <f>CHAIN_RAW!A30</f>
        <v/>
      </c>
      <c r="B30" s="14">
        <f>CHAIN_RAW!B30</f>
        <v/>
      </c>
      <c r="C30" s="13">
        <f>CHAIN_RAW!C30</f>
        <v/>
      </c>
      <c r="D30" s="13">
        <f>CHAIN_RAW!D30</f>
        <v/>
      </c>
      <c r="E30" s="13">
        <f>CHAIN_RAW!E30</f>
        <v/>
      </c>
      <c r="F30" s="13">
        <f>IFERROR((E30-D30)/D30,"")</f>
        <v/>
      </c>
      <c r="G30" s="13">
        <f>IFERROR((CHAIN_RAW!K30+CHAIN_RAW!L30)/2,"")</f>
        <v/>
      </c>
      <c r="H30" s="13">
        <f>IFERROR((CHAIN_RAW!R30+CHAIN_RAW!S30)/2,"")</f>
        <v/>
      </c>
      <c r="I30" s="13">
        <f>IFERROR((CHAIN_RAW!L30-CHAIN_RAW!K30)/MAX(1E-9, G30),"")</f>
        <v/>
      </c>
      <c r="J30" s="13">
        <f>IFERROR((CHAIN_RAW!S30-CHAIN_RAW!R30)/MAX(1E-9, H30),"")</f>
        <v/>
      </c>
      <c r="K30" s="13">
        <f>CHAIN_RAW!G30</f>
        <v/>
      </c>
      <c r="L30" s="13">
        <f>CHAIN_RAW!N30</f>
        <v/>
      </c>
      <c r="M30" s="13">
        <f>IFERROR(L30-K30,"")</f>
        <v/>
      </c>
      <c r="N30" s="13">
        <f>CHAIN_RAW!H30</f>
        <v/>
      </c>
      <c r="O30" s="13">
        <f>CHAIN_RAW!O30</f>
        <v/>
      </c>
      <c r="P30" s="13">
        <f>IFERROR(O30/N30,"")</f>
        <v/>
      </c>
      <c r="Q30" s="13">
        <f>CHAIN_RAW!I30</f>
        <v/>
      </c>
      <c r="R30" s="13">
        <f>CHAIN_RAW!P30</f>
        <v/>
      </c>
      <c r="S30" s="13">
        <f>IFERROR(R30/Q30,"")</f>
        <v/>
      </c>
      <c r="T30" s="13">
        <f>IFERROR((ABS(N30-O30)/MAX(1,(N30+O30)))*EXP(-ABS(E30-CONTROL!E5)/MAX(1,CONTROL!B8)),"")</f>
        <v/>
      </c>
      <c r="U30" s="13">
        <f>IFERROR(IF(O30&gt;N30,"SUPPORT (PE OI)","RESIST (CE OI)"),"")</f>
        <v/>
      </c>
      <c r="V30" s="13">
        <f>IFERROR(IF(Q30&gt;0,IF(R30&gt;0,"BOTH_ADD","CE_ADD_PE_REDUCE"),IF(R30&gt;0,"CE_REDUCE_PE_ADD","BOTH_REDUCE")),"")</f>
        <v/>
      </c>
      <c r="W30" s="13">
        <f>IFERROR( (P30-1)*0.5 + (M30)*0.1 - (I30+J30)*0.05 + T30*0.4 ,"")</f>
        <v/>
      </c>
      <c r="X30" s="13">
        <f>IFERROR(IF(ABS(F30)&lt;0.01,"ATM/NEAR",""),"")</f>
        <v/>
      </c>
    </row>
    <row r="31">
      <c r="A31" s="13">
        <f>CHAIN_RAW!A31</f>
        <v/>
      </c>
      <c r="B31" s="14">
        <f>CHAIN_RAW!B31</f>
        <v/>
      </c>
      <c r="C31" s="13">
        <f>CHAIN_RAW!C31</f>
        <v/>
      </c>
      <c r="D31" s="13">
        <f>CHAIN_RAW!D31</f>
        <v/>
      </c>
      <c r="E31" s="13">
        <f>CHAIN_RAW!E31</f>
        <v/>
      </c>
      <c r="F31" s="13">
        <f>IFERROR((E31-D31)/D31,"")</f>
        <v/>
      </c>
      <c r="G31" s="13">
        <f>IFERROR((CHAIN_RAW!K31+CHAIN_RAW!L31)/2,"")</f>
        <v/>
      </c>
      <c r="H31" s="13">
        <f>IFERROR((CHAIN_RAW!R31+CHAIN_RAW!S31)/2,"")</f>
        <v/>
      </c>
      <c r="I31" s="13">
        <f>IFERROR((CHAIN_RAW!L31-CHAIN_RAW!K31)/MAX(1E-9, G31),"")</f>
        <v/>
      </c>
      <c r="J31" s="13">
        <f>IFERROR((CHAIN_RAW!S31-CHAIN_RAW!R31)/MAX(1E-9, H31),"")</f>
        <v/>
      </c>
      <c r="K31" s="13">
        <f>CHAIN_RAW!G31</f>
        <v/>
      </c>
      <c r="L31" s="13">
        <f>CHAIN_RAW!N31</f>
        <v/>
      </c>
      <c r="M31" s="13">
        <f>IFERROR(L31-K31,"")</f>
        <v/>
      </c>
      <c r="N31" s="13">
        <f>CHAIN_RAW!H31</f>
        <v/>
      </c>
      <c r="O31" s="13">
        <f>CHAIN_RAW!O31</f>
        <v/>
      </c>
      <c r="P31" s="13">
        <f>IFERROR(O31/N31,"")</f>
        <v/>
      </c>
      <c r="Q31" s="13">
        <f>CHAIN_RAW!I31</f>
        <v/>
      </c>
      <c r="R31" s="13">
        <f>CHAIN_RAW!P31</f>
        <v/>
      </c>
      <c r="S31" s="13">
        <f>IFERROR(R31/Q31,"")</f>
        <v/>
      </c>
      <c r="T31" s="13">
        <f>IFERROR((ABS(N31-O31)/MAX(1,(N31+O31)))*EXP(-ABS(E31-CONTROL!E5)/MAX(1,CONTROL!B8)),"")</f>
        <v/>
      </c>
      <c r="U31" s="13">
        <f>IFERROR(IF(O31&gt;N31,"SUPPORT (PE OI)","RESIST (CE OI)"),"")</f>
        <v/>
      </c>
      <c r="V31" s="13">
        <f>IFERROR(IF(Q31&gt;0,IF(R31&gt;0,"BOTH_ADD","CE_ADD_PE_REDUCE"),IF(R31&gt;0,"CE_REDUCE_PE_ADD","BOTH_REDUCE")),"")</f>
        <v/>
      </c>
      <c r="W31" s="13">
        <f>IFERROR( (P31-1)*0.5 + (M31)*0.1 - (I31+J31)*0.05 + T31*0.4 ,"")</f>
        <v/>
      </c>
      <c r="X31" s="13">
        <f>IFERROR(IF(ABS(F31)&lt;0.01,"ATM/NEAR",""),"")</f>
        <v/>
      </c>
    </row>
    <row r="32">
      <c r="A32" s="13">
        <f>CHAIN_RAW!A32</f>
        <v/>
      </c>
      <c r="B32" s="14">
        <f>CHAIN_RAW!B32</f>
        <v/>
      </c>
      <c r="C32" s="13">
        <f>CHAIN_RAW!C32</f>
        <v/>
      </c>
      <c r="D32" s="13">
        <f>CHAIN_RAW!D32</f>
        <v/>
      </c>
      <c r="E32" s="13">
        <f>CHAIN_RAW!E32</f>
        <v/>
      </c>
      <c r="F32" s="13">
        <f>IFERROR((E32-D32)/D32,"")</f>
        <v/>
      </c>
      <c r="G32" s="13">
        <f>IFERROR((CHAIN_RAW!K32+CHAIN_RAW!L32)/2,"")</f>
        <v/>
      </c>
      <c r="H32" s="13">
        <f>IFERROR((CHAIN_RAW!R32+CHAIN_RAW!S32)/2,"")</f>
        <v/>
      </c>
      <c r="I32" s="13">
        <f>IFERROR((CHAIN_RAW!L32-CHAIN_RAW!K32)/MAX(1E-9, G32),"")</f>
        <v/>
      </c>
      <c r="J32" s="13">
        <f>IFERROR((CHAIN_RAW!S32-CHAIN_RAW!R32)/MAX(1E-9, H32),"")</f>
        <v/>
      </c>
      <c r="K32" s="13">
        <f>CHAIN_RAW!G32</f>
        <v/>
      </c>
      <c r="L32" s="13">
        <f>CHAIN_RAW!N32</f>
        <v/>
      </c>
      <c r="M32" s="13">
        <f>IFERROR(L32-K32,"")</f>
        <v/>
      </c>
      <c r="N32" s="13">
        <f>CHAIN_RAW!H32</f>
        <v/>
      </c>
      <c r="O32" s="13">
        <f>CHAIN_RAW!O32</f>
        <v/>
      </c>
      <c r="P32" s="13">
        <f>IFERROR(O32/N32,"")</f>
        <v/>
      </c>
      <c r="Q32" s="13">
        <f>CHAIN_RAW!I32</f>
        <v/>
      </c>
      <c r="R32" s="13">
        <f>CHAIN_RAW!P32</f>
        <v/>
      </c>
      <c r="S32" s="13">
        <f>IFERROR(R32/Q32,"")</f>
        <v/>
      </c>
      <c r="T32" s="13">
        <f>IFERROR((ABS(N32-O32)/MAX(1,(N32+O32)))*EXP(-ABS(E32-CONTROL!E5)/MAX(1,CONTROL!B8)),"")</f>
        <v/>
      </c>
      <c r="U32" s="13">
        <f>IFERROR(IF(O32&gt;N32,"SUPPORT (PE OI)","RESIST (CE OI)"),"")</f>
        <v/>
      </c>
      <c r="V32" s="13">
        <f>IFERROR(IF(Q32&gt;0,IF(R32&gt;0,"BOTH_ADD","CE_ADD_PE_REDUCE"),IF(R32&gt;0,"CE_REDUCE_PE_ADD","BOTH_REDUCE")),"")</f>
        <v/>
      </c>
      <c r="W32" s="13">
        <f>IFERROR( (P32-1)*0.5 + (M32)*0.1 - (I32+J32)*0.05 + T32*0.4 ,"")</f>
        <v/>
      </c>
      <c r="X32" s="13">
        <f>IFERROR(IF(ABS(F32)&lt;0.01,"ATM/NEAR",""),"")</f>
        <v/>
      </c>
    </row>
    <row r="33">
      <c r="A33" s="13">
        <f>CHAIN_RAW!A33</f>
        <v/>
      </c>
      <c r="B33" s="14">
        <f>CHAIN_RAW!B33</f>
        <v/>
      </c>
      <c r="C33" s="13">
        <f>CHAIN_RAW!C33</f>
        <v/>
      </c>
      <c r="D33" s="13">
        <f>CHAIN_RAW!D33</f>
        <v/>
      </c>
      <c r="E33" s="13">
        <f>CHAIN_RAW!E33</f>
        <v/>
      </c>
      <c r="F33" s="13">
        <f>IFERROR((E33-D33)/D33,"")</f>
        <v/>
      </c>
      <c r="G33" s="13">
        <f>IFERROR((CHAIN_RAW!K33+CHAIN_RAW!L33)/2,"")</f>
        <v/>
      </c>
      <c r="H33" s="13">
        <f>IFERROR((CHAIN_RAW!R33+CHAIN_RAW!S33)/2,"")</f>
        <v/>
      </c>
      <c r="I33" s="13">
        <f>IFERROR((CHAIN_RAW!L33-CHAIN_RAW!K33)/MAX(1E-9, G33),"")</f>
        <v/>
      </c>
      <c r="J33" s="13">
        <f>IFERROR((CHAIN_RAW!S33-CHAIN_RAW!R33)/MAX(1E-9, H33),"")</f>
        <v/>
      </c>
      <c r="K33" s="13">
        <f>CHAIN_RAW!G33</f>
        <v/>
      </c>
      <c r="L33" s="13">
        <f>CHAIN_RAW!N33</f>
        <v/>
      </c>
      <c r="M33" s="13">
        <f>IFERROR(L33-K33,"")</f>
        <v/>
      </c>
      <c r="N33" s="13">
        <f>CHAIN_RAW!H33</f>
        <v/>
      </c>
      <c r="O33" s="13">
        <f>CHAIN_RAW!O33</f>
        <v/>
      </c>
      <c r="P33" s="13">
        <f>IFERROR(O33/N33,"")</f>
        <v/>
      </c>
      <c r="Q33" s="13">
        <f>CHAIN_RAW!I33</f>
        <v/>
      </c>
      <c r="R33" s="13">
        <f>CHAIN_RAW!P33</f>
        <v/>
      </c>
      <c r="S33" s="13">
        <f>IFERROR(R33/Q33,"")</f>
        <v/>
      </c>
      <c r="T33" s="13">
        <f>IFERROR((ABS(N33-O33)/MAX(1,(N33+O33)))*EXP(-ABS(E33-CONTROL!E5)/MAX(1,CONTROL!B8)),"")</f>
        <v/>
      </c>
      <c r="U33" s="13">
        <f>IFERROR(IF(O33&gt;N33,"SUPPORT (PE OI)","RESIST (CE OI)"),"")</f>
        <v/>
      </c>
      <c r="V33" s="13">
        <f>IFERROR(IF(Q33&gt;0,IF(R33&gt;0,"BOTH_ADD","CE_ADD_PE_REDUCE"),IF(R33&gt;0,"CE_REDUCE_PE_ADD","BOTH_REDUCE")),"")</f>
        <v/>
      </c>
      <c r="W33" s="13">
        <f>IFERROR( (P33-1)*0.5 + (M33)*0.1 - (I33+J33)*0.05 + T33*0.4 ,"")</f>
        <v/>
      </c>
      <c r="X33" s="13">
        <f>IFERROR(IF(ABS(F33)&lt;0.01,"ATM/NEAR",""),"")</f>
        <v/>
      </c>
    </row>
    <row r="34">
      <c r="A34" s="13">
        <f>CHAIN_RAW!A34</f>
        <v/>
      </c>
      <c r="B34" s="14">
        <f>CHAIN_RAW!B34</f>
        <v/>
      </c>
      <c r="C34" s="13">
        <f>CHAIN_RAW!C34</f>
        <v/>
      </c>
      <c r="D34" s="13">
        <f>CHAIN_RAW!D34</f>
        <v/>
      </c>
      <c r="E34" s="13">
        <f>CHAIN_RAW!E34</f>
        <v/>
      </c>
      <c r="F34" s="13">
        <f>IFERROR((E34-D34)/D34,"")</f>
        <v/>
      </c>
      <c r="G34" s="13">
        <f>IFERROR((CHAIN_RAW!K34+CHAIN_RAW!L34)/2,"")</f>
        <v/>
      </c>
      <c r="H34" s="13">
        <f>IFERROR((CHAIN_RAW!R34+CHAIN_RAW!S34)/2,"")</f>
        <v/>
      </c>
      <c r="I34" s="13">
        <f>IFERROR((CHAIN_RAW!L34-CHAIN_RAW!K34)/MAX(1E-9, G34),"")</f>
        <v/>
      </c>
      <c r="J34" s="13">
        <f>IFERROR((CHAIN_RAW!S34-CHAIN_RAW!R34)/MAX(1E-9, H34),"")</f>
        <v/>
      </c>
      <c r="K34" s="13">
        <f>CHAIN_RAW!G34</f>
        <v/>
      </c>
      <c r="L34" s="13">
        <f>CHAIN_RAW!N34</f>
        <v/>
      </c>
      <c r="M34" s="13">
        <f>IFERROR(L34-K34,"")</f>
        <v/>
      </c>
      <c r="N34" s="13">
        <f>CHAIN_RAW!H34</f>
        <v/>
      </c>
      <c r="O34" s="13">
        <f>CHAIN_RAW!O34</f>
        <v/>
      </c>
      <c r="P34" s="13">
        <f>IFERROR(O34/N34,"")</f>
        <v/>
      </c>
      <c r="Q34" s="13">
        <f>CHAIN_RAW!I34</f>
        <v/>
      </c>
      <c r="R34" s="13">
        <f>CHAIN_RAW!P34</f>
        <v/>
      </c>
      <c r="S34" s="13">
        <f>IFERROR(R34/Q34,"")</f>
        <v/>
      </c>
      <c r="T34" s="13">
        <f>IFERROR((ABS(N34-O34)/MAX(1,(N34+O34)))*EXP(-ABS(E34-CONTROL!E5)/MAX(1,CONTROL!B8)),"")</f>
        <v/>
      </c>
      <c r="U34" s="13">
        <f>IFERROR(IF(O34&gt;N34,"SUPPORT (PE OI)","RESIST (CE OI)"),"")</f>
        <v/>
      </c>
      <c r="V34" s="13">
        <f>IFERROR(IF(Q34&gt;0,IF(R34&gt;0,"BOTH_ADD","CE_ADD_PE_REDUCE"),IF(R34&gt;0,"CE_REDUCE_PE_ADD","BOTH_REDUCE")),"")</f>
        <v/>
      </c>
      <c r="W34" s="13">
        <f>IFERROR( (P34-1)*0.5 + (M34)*0.1 - (I34+J34)*0.05 + T34*0.4 ,"")</f>
        <v/>
      </c>
      <c r="X34" s="13">
        <f>IFERROR(IF(ABS(F34)&lt;0.01,"ATM/NEAR",""),"")</f>
        <v/>
      </c>
    </row>
    <row r="35">
      <c r="A35" s="13">
        <f>CHAIN_RAW!A35</f>
        <v/>
      </c>
      <c r="B35" s="14">
        <f>CHAIN_RAW!B35</f>
        <v/>
      </c>
      <c r="C35" s="13">
        <f>CHAIN_RAW!C35</f>
        <v/>
      </c>
      <c r="D35" s="13">
        <f>CHAIN_RAW!D35</f>
        <v/>
      </c>
      <c r="E35" s="13">
        <f>CHAIN_RAW!E35</f>
        <v/>
      </c>
      <c r="F35" s="13">
        <f>IFERROR((E35-D35)/D35,"")</f>
        <v/>
      </c>
      <c r="G35" s="13">
        <f>IFERROR((CHAIN_RAW!K35+CHAIN_RAW!L35)/2,"")</f>
        <v/>
      </c>
      <c r="H35" s="13">
        <f>IFERROR((CHAIN_RAW!R35+CHAIN_RAW!S35)/2,"")</f>
        <v/>
      </c>
      <c r="I35" s="13">
        <f>IFERROR((CHAIN_RAW!L35-CHAIN_RAW!K35)/MAX(1E-9, G35),"")</f>
        <v/>
      </c>
      <c r="J35" s="13">
        <f>IFERROR((CHAIN_RAW!S35-CHAIN_RAW!R35)/MAX(1E-9, H35),"")</f>
        <v/>
      </c>
      <c r="K35" s="13">
        <f>CHAIN_RAW!G35</f>
        <v/>
      </c>
      <c r="L35" s="13">
        <f>CHAIN_RAW!N35</f>
        <v/>
      </c>
      <c r="M35" s="13">
        <f>IFERROR(L35-K35,"")</f>
        <v/>
      </c>
      <c r="N35" s="13">
        <f>CHAIN_RAW!H35</f>
        <v/>
      </c>
      <c r="O35" s="13">
        <f>CHAIN_RAW!O35</f>
        <v/>
      </c>
      <c r="P35" s="13">
        <f>IFERROR(O35/N35,"")</f>
        <v/>
      </c>
      <c r="Q35" s="13">
        <f>CHAIN_RAW!I35</f>
        <v/>
      </c>
      <c r="R35" s="13">
        <f>CHAIN_RAW!P35</f>
        <v/>
      </c>
      <c r="S35" s="13">
        <f>IFERROR(R35/Q35,"")</f>
        <v/>
      </c>
      <c r="T35" s="13">
        <f>IFERROR((ABS(N35-O35)/MAX(1,(N35+O35)))*EXP(-ABS(E35-CONTROL!E5)/MAX(1,CONTROL!B8)),"")</f>
        <v/>
      </c>
      <c r="U35" s="13">
        <f>IFERROR(IF(O35&gt;N35,"SUPPORT (PE OI)","RESIST (CE OI)"),"")</f>
        <v/>
      </c>
      <c r="V35" s="13">
        <f>IFERROR(IF(Q35&gt;0,IF(R35&gt;0,"BOTH_ADD","CE_ADD_PE_REDUCE"),IF(R35&gt;0,"CE_REDUCE_PE_ADD","BOTH_REDUCE")),"")</f>
        <v/>
      </c>
      <c r="W35" s="13">
        <f>IFERROR( (P35-1)*0.5 + (M35)*0.1 - (I35+J35)*0.05 + T35*0.4 ,"")</f>
        <v/>
      </c>
      <c r="X35" s="13">
        <f>IFERROR(IF(ABS(F35)&lt;0.01,"ATM/NEAR",""),"")</f>
        <v/>
      </c>
    </row>
    <row r="36">
      <c r="A36" s="13">
        <f>CHAIN_RAW!A36</f>
        <v/>
      </c>
      <c r="B36" s="14">
        <f>CHAIN_RAW!B36</f>
        <v/>
      </c>
      <c r="C36" s="13">
        <f>CHAIN_RAW!C36</f>
        <v/>
      </c>
      <c r="D36" s="13">
        <f>CHAIN_RAW!D36</f>
        <v/>
      </c>
      <c r="E36" s="13">
        <f>CHAIN_RAW!E36</f>
        <v/>
      </c>
      <c r="F36" s="13">
        <f>IFERROR((E36-D36)/D36,"")</f>
        <v/>
      </c>
      <c r="G36" s="13">
        <f>IFERROR((CHAIN_RAW!K36+CHAIN_RAW!L36)/2,"")</f>
        <v/>
      </c>
      <c r="H36" s="13">
        <f>IFERROR((CHAIN_RAW!R36+CHAIN_RAW!S36)/2,"")</f>
        <v/>
      </c>
      <c r="I36" s="13">
        <f>IFERROR((CHAIN_RAW!L36-CHAIN_RAW!K36)/MAX(1E-9, G36),"")</f>
        <v/>
      </c>
      <c r="J36" s="13">
        <f>IFERROR((CHAIN_RAW!S36-CHAIN_RAW!R36)/MAX(1E-9, H36),"")</f>
        <v/>
      </c>
      <c r="K36" s="13">
        <f>CHAIN_RAW!G36</f>
        <v/>
      </c>
      <c r="L36" s="13">
        <f>CHAIN_RAW!N36</f>
        <v/>
      </c>
      <c r="M36" s="13">
        <f>IFERROR(L36-K36,"")</f>
        <v/>
      </c>
      <c r="N36" s="13">
        <f>CHAIN_RAW!H36</f>
        <v/>
      </c>
      <c r="O36" s="13">
        <f>CHAIN_RAW!O36</f>
        <v/>
      </c>
      <c r="P36" s="13">
        <f>IFERROR(O36/N36,"")</f>
        <v/>
      </c>
      <c r="Q36" s="13">
        <f>CHAIN_RAW!I36</f>
        <v/>
      </c>
      <c r="R36" s="13">
        <f>CHAIN_RAW!P36</f>
        <v/>
      </c>
      <c r="S36" s="13">
        <f>IFERROR(R36/Q36,"")</f>
        <v/>
      </c>
      <c r="T36" s="13">
        <f>IFERROR((ABS(N36-O36)/MAX(1,(N36+O36)))*EXP(-ABS(E36-CONTROL!E5)/MAX(1,CONTROL!B8)),"")</f>
        <v/>
      </c>
      <c r="U36" s="13">
        <f>IFERROR(IF(O36&gt;N36,"SUPPORT (PE OI)","RESIST (CE OI)"),"")</f>
        <v/>
      </c>
      <c r="V36" s="13">
        <f>IFERROR(IF(Q36&gt;0,IF(R36&gt;0,"BOTH_ADD","CE_ADD_PE_REDUCE"),IF(R36&gt;0,"CE_REDUCE_PE_ADD","BOTH_REDUCE")),"")</f>
        <v/>
      </c>
      <c r="W36" s="13">
        <f>IFERROR( (P36-1)*0.5 + (M36)*0.1 - (I36+J36)*0.05 + T36*0.4 ,"")</f>
        <v/>
      </c>
      <c r="X36" s="13">
        <f>IFERROR(IF(ABS(F36)&lt;0.01,"ATM/NEAR",""),"")</f>
        <v/>
      </c>
    </row>
    <row r="37">
      <c r="A37" s="13">
        <f>CHAIN_RAW!A37</f>
        <v/>
      </c>
      <c r="B37" s="14">
        <f>CHAIN_RAW!B37</f>
        <v/>
      </c>
      <c r="C37" s="13">
        <f>CHAIN_RAW!C37</f>
        <v/>
      </c>
      <c r="D37" s="13">
        <f>CHAIN_RAW!D37</f>
        <v/>
      </c>
      <c r="E37" s="13">
        <f>CHAIN_RAW!E37</f>
        <v/>
      </c>
      <c r="F37" s="13">
        <f>IFERROR((E37-D37)/D37,"")</f>
        <v/>
      </c>
      <c r="G37" s="13">
        <f>IFERROR((CHAIN_RAW!K37+CHAIN_RAW!L37)/2,"")</f>
        <v/>
      </c>
      <c r="H37" s="13">
        <f>IFERROR((CHAIN_RAW!R37+CHAIN_RAW!S37)/2,"")</f>
        <v/>
      </c>
      <c r="I37" s="13">
        <f>IFERROR((CHAIN_RAW!L37-CHAIN_RAW!K37)/MAX(1E-9, G37),"")</f>
        <v/>
      </c>
      <c r="J37" s="13">
        <f>IFERROR((CHAIN_RAW!S37-CHAIN_RAW!R37)/MAX(1E-9, H37),"")</f>
        <v/>
      </c>
      <c r="K37" s="13">
        <f>CHAIN_RAW!G37</f>
        <v/>
      </c>
      <c r="L37" s="13">
        <f>CHAIN_RAW!N37</f>
        <v/>
      </c>
      <c r="M37" s="13">
        <f>IFERROR(L37-K37,"")</f>
        <v/>
      </c>
      <c r="N37" s="13">
        <f>CHAIN_RAW!H37</f>
        <v/>
      </c>
      <c r="O37" s="13">
        <f>CHAIN_RAW!O37</f>
        <v/>
      </c>
      <c r="P37" s="13">
        <f>IFERROR(O37/N37,"")</f>
        <v/>
      </c>
      <c r="Q37" s="13">
        <f>CHAIN_RAW!I37</f>
        <v/>
      </c>
      <c r="R37" s="13">
        <f>CHAIN_RAW!P37</f>
        <v/>
      </c>
      <c r="S37" s="13">
        <f>IFERROR(R37/Q37,"")</f>
        <v/>
      </c>
      <c r="T37" s="13">
        <f>IFERROR((ABS(N37-O37)/MAX(1,(N37+O37)))*EXP(-ABS(E37-CONTROL!E5)/MAX(1,CONTROL!B8)),"")</f>
        <v/>
      </c>
      <c r="U37" s="13">
        <f>IFERROR(IF(O37&gt;N37,"SUPPORT (PE OI)","RESIST (CE OI)"),"")</f>
        <v/>
      </c>
      <c r="V37" s="13">
        <f>IFERROR(IF(Q37&gt;0,IF(R37&gt;0,"BOTH_ADD","CE_ADD_PE_REDUCE"),IF(R37&gt;0,"CE_REDUCE_PE_ADD","BOTH_REDUCE")),"")</f>
        <v/>
      </c>
      <c r="W37" s="13">
        <f>IFERROR( (P37-1)*0.5 + (M37)*0.1 - (I37+J37)*0.05 + T37*0.4 ,"")</f>
        <v/>
      </c>
      <c r="X37" s="13">
        <f>IFERROR(IF(ABS(F37)&lt;0.01,"ATM/NEAR",""),"")</f>
        <v/>
      </c>
    </row>
    <row r="38">
      <c r="A38" s="13">
        <f>CHAIN_RAW!A38</f>
        <v/>
      </c>
      <c r="B38" s="14">
        <f>CHAIN_RAW!B38</f>
        <v/>
      </c>
      <c r="C38" s="13">
        <f>CHAIN_RAW!C38</f>
        <v/>
      </c>
      <c r="D38" s="13">
        <f>CHAIN_RAW!D38</f>
        <v/>
      </c>
      <c r="E38" s="13">
        <f>CHAIN_RAW!E38</f>
        <v/>
      </c>
      <c r="F38" s="13">
        <f>IFERROR((E38-D38)/D38,"")</f>
        <v/>
      </c>
      <c r="G38" s="13">
        <f>IFERROR((CHAIN_RAW!K38+CHAIN_RAW!L38)/2,"")</f>
        <v/>
      </c>
      <c r="H38" s="13">
        <f>IFERROR((CHAIN_RAW!R38+CHAIN_RAW!S38)/2,"")</f>
        <v/>
      </c>
      <c r="I38" s="13">
        <f>IFERROR((CHAIN_RAW!L38-CHAIN_RAW!K38)/MAX(1E-9, G38),"")</f>
        <v/>
      </c>
      <c r="J38" s="13">
        <f>IFERROR((CHAIN_RAW!S38-CHAIN_RAW!R38)/MAX(1E-9, H38),"")</f>
        <v/>
      </c>
      <c r="K38" s="13">
        <f>CHAIN_RAW!G38</f>
        <v/>
      </c>
      <c r="L38" s="13">
        <f>CHAIN_RAW!N38</f>
        <v/>
      </c>
      <c r="M38" s="13">
        <f>IFERROR(L38-K38,"")</f>
        <v/>
      </c>
      <c r="N38" s="13">
        <f>CHAIN_RAW!H38</f>
        <v/>
      </c>
      <c r="O38" s="13">
        <f>CHAIN_RAW!O38</f>
        <v/>
      </c>
      <c r="P38" s="13">
        <f>IFERROR(O38/N38,"")</f>
        <v/>
      </c>
      <c r="Q38" s="13">
        <f>CHAIN_RAW!I38</f>
        <v/>
      </c>
      <c r="R38" s="13">
        <f>CHAIN_RAW!P38</f>
        <v/>
      </c>
      <c r="S38" s="13">
        <f>IFERROR(R38/Q38,"")</f>
        <v/>
      </c>
      <c r="T38" s="13">
        <f>IFERROR((ABS(N38-O38)/MAX(1,(N38+O38)))*EXP(-ABS(E38-CONTROL!E5)/MAX(1,CONTROL!B8)),"")</f>
        <v/>
      </c>
      <c r="U38" s="13">
        <f>IFERROR(IF(O38&gt;N38,"SUPPORT (PE OI)","RESIST (CE OI)"),"")</f>
        <v/>
      </c>
      <c r="V38" s="13">
        <f>IFERROR(IF(Q38&gt;0,IF(R38&gt;0,"BOTH_ADD","CE_ADD_PE_REDUCE"),IF(R38&gt;0,"CE_REDUCE_PE_ADD","BOTH_REDUCE")),"")</f>
        <v/>
      </c>
      <c r="W38" s="13">
        <f>IFERROR( (P38-1)*0.5 + (M38)*0.1 - (I38+J38)*0.05 + T38*0.4 ,"")</f>
        <v/>
      </c>
      <c r="X38" s="13">
        <f>IFERROR(IF(ABS(F38)&lt;0.01,"ATM/NEAR",""),"")</f>
        <v/>
      </c>
    </row>
    <row r="39">
      <c r="A39" s="13">
        <f>CHAIN_RAW!A39</f>
        <v/>
      </c>
      <c r="B39" s="14">
        <f>CHAIN_RAW!B39</f>
        <v/>
      </c>
      <c r="C39" s="13">
        <f>CHAIN_RAW!C39</f>
        <v/>
      </c>
      <c r="D39" s="13">
        <f>CHAIN_RAW!D39</f>
        <v/>
      </c>
      <c r="E39" s="13">
        <f>CHAIN_RAW!E39</f>
        <v/>
      </c>
      <c r="F39" s="13">
        <f>IFERROR((E39-D39)/D39,"")</f>
        <v/>
      </c>
      <c r="G39" s="13">
        <f>IFERROR((CHAIN_RAW!K39+CHAIN_RAW!L39)/2,"")</f>
        <v/>
      </c>
      <c r="H39" s="13">
        <f>IFERROR((CHAIN_RAW!R39+CHAIN_RAW!S39)/2,"")</f>
        <v/>
      </c>
      <c r="I39" s="13">
        <f>IFERROR((CHAIN_RAW!L39-CHAIN_RAW!K39)/MAX(1E-9, G39),"")</f>
        <v/>
      </c>
      <c r="J39" s="13">
        <f>IFERROR((CHAIN_RAW!S39-CHAIN_RAW!R39)/MAX(1E-9, H39),"")</f>
        <v/>
      </c>
      <c r="K39" s="13">
        <f>CHAIN_RAW!G39</f>
        <v/>
      </c>
      <c r="L39" s="13">
        <f>CHAIN_RAW!N39</f>
        <v/>
      </c>
      <c r="M39" s="13">
        <f>IFERROR(L39-K39,"")</f>
        <v/>
      </c>
      <c r="N39" s="13">
        <f>CHAIN_RAW!H39</f>
        <v/>
      </c>
      <c r="O39" s="13">
        <f>CHAIN_RAW!O39</f>
        <v/>
      </c>
      <c r="P39" s="13">
        <f>IFERROR(O39/N39,"")</f>
        <v/>
      </c>
      <c r="Q39" s="13">
        <f>CHAIN_RAW!I39</f>
        <v/>
      </c>
      <c r="R39" s="13">
        <f>CHAIN_RAW!P39</f>
        <v/>
      </c>
      <c r="S39" s="13">
        <f>IFERROR(R39/Q39,"")</f>
        <v/>
      </c>
      <c r="T39" s="13">
        <f>IFERROR((ABS(N39-O39)/MAX(1,(N39+O39)))*EXP(-ABS(E39-CONTROL!E5)/MAX(1,CONTROL!B8)),"")</f>
        <v/>
      </c>
      <c r="U39" s="13">
        <f>IFERROR(IF(O39&gt;N39,"SUPPORT (PE OI)","RESIST (CE OI)"),"")</f>
        <v/>
      </c>
      <c r="V39" s="13">
        <f>IFERROR(IF(Q39&gt;0,IF(R39&gt;0,"BOTH_ADD","CE_ADD_PE_REDUCE"),IF(R39&gt;0,"CE_REDUCE_PE_ADD","BOTH_REDUCE")),"")</f>
        <v/>
      </c>
      <c r="W39" s="13">
        <f>IFERROR( (P39-1)*0.5 + (M39)*0.1 - (I39+J39)*0.05 + T39*0.4 ,"")</f>
        <v/>
      </c>
      <c r="X39" s="13">
        <f>IFERROR(IF(ABS(F39)&lt;0.01,"ATM/NEAR",""),"")</f>
        <v/>
      </c>
    </row>
    <row r="40">
      <c r="A40" s="13">
        <f>CHAIN_RAW!A40</f>
        <v/>
      </c>
      <c r="B40" s="14">
        <f>CHAIN_RAW!B40</f>
        <v/>
      </c>
      <c r="C40" s="13">
        <f>CHAIN_RAW!C40</f>
        <v/>
      </c>
      <c r="D40" s="13">
        <f>CHAIN_RAW!D40</f>
        <v/>
      </c>
      <c r="E40" s="13">
        <f>CHAIN_RAW!E40</f>
        <v/>
      </c>
      <c r="F40" s="13">
        <f>IFERROR((E40-D40)/D40,"")</f>
        <v/>
      </c>
      <c r="G40" s="13">
        <f>IFERROR((CHAIN_RAW!K40+CHAIN_RAW!L40)/2,"")</f>
        <v/>
      </c>
      <c r="H40" s="13">
        <f>IFERROR((CHAIN_RAW!R40+CHAIN_RAW!S40)/2,"")</f>
        <v/>
      </c>
      <c r="I40" s="13">
        <f>IFERROR((CHAIN_RAW!L40-CHAIN_RAW!K40)/MAX(1E-9, G40),"")</f>
        <v/>
      </c>
      <c r="J40" s="13">
        <f>IFERROR((CHAIN_RAW!S40-CHAIN_RAW!R40)/MAX(1E-9, H40),"")</f>
        <v/>
      </c>
      <c r="K40" s="13">
        <f>CHAIN_RAW!G40</f>
        <v/>
      </c>
      <c r="L40" s="13">
        <f>CHAIN_RAW!N40</f>
        <v/>
      </c>
      <c r="M40" s="13">
        <f>IFERROR(L40-K40,"")</f>
        <v/>
      </c>
      <c r="N40" s="13">
        <f>CHAIN_RAW!H40</f>
        <v/>
      </c>
      <c r="O40" s="13">
        <f>CHAIN_RAW!O40</f>
        <v/>
      </c>
      <c r="P40" s="13">
        <f>IFERROR(O40/N40,"")</f>
        <v/>
      </c>
      <c r="Q40" s="13">
        <f>CHAIN_RAW!I40</f>
        <v/>
      </c>
      <c r="R40" s="13">
        <f>CHAIN_RAW!P40</f>
        <v/>
      </c>
      <c r="S40" s="13">
        <f>IFERROR(R40/Q40,"")</f>
        <v/>
      </c>
      <c r="T40" s="13">
        <f>IFERROR((ABS(N40-O40)/MAX(1,(N40+O40)))*EXP(-ABS(E40-CONTROL!E5)/MAX(1,CONTROL!B8)),"")</f>
        <v/>
      </c>
      <c r="U40" s="13">
        <f>IFERROR(IF(O40&gt;N40,"SUPPORT (PE OI)","RESIST (CE OI)"),"")</f>
        <v/>
      </c>
      <c r="V40" s="13">
        <f>IFERROR(IF(Q40&gt;0,IF(R40&gt;0,"BOTH_ADD","CE_ADD_PE_REDUCE"),IF(R40&gt;0,"CE_REDUCE_PE_ADD","BOTH_REDUCE")),"")</f>
        <v/>
      </c>
      <c r="W40" s="13">
        <f>IFERROR( (P40-1)*0.5 + (M40)*0.1 - (I40+J40)*0.05 + T40*0.4 ,"")</f>
        <v/>
      </c>
      <c r="X40" s="13">
        <f>IFERROR(IF(ABS(F40)&lt;0.01,"ATM/NEAR",""),"")</f>
        <v/>
      </c>
    </row>
    <row r="41">
      <c r="A41" s="13">
        <f>CHAIN_RAW!A41</f>
        <v/>
      </c>
      <c r="B41" s="14">
        <f>CHAIN_RAW!B41</f>
        <v/>
      </c>
      <c r="C41" s="13">
        <f>CHAIN_RAW!C41</f>
        <v/>
      </c>
      <c r="D41" s="13">
        <f>CHAIN_RAW!D41</f>
        <v/>
      </c>
      <c r="E41" s="13">
        <f>CHAIN_RAW!E41</f>
        <v/>
      </c>
      <c r="F41" s="13">
        <f>IFERROR((E41-D41)/D41,"")</f>
        <v/>
      </c>
      <c r="G41" s="13">
        <f>IFERROR((CHAIN_RAW!K41+CHAIN_RAW!L41)/2,"")</f>
        <v/>
      </c>
      <c r="H41" s="13">
        <f>IFERROR((CHAIN_RAW!R41+CHAIN_RAW!S41)/2,"")</f>
        <v/>
      </c>
      <c r="I41" s="13">
        <f>IFERROR((CHAIN_RAW!L41-CHAIN_RAW!K41)/MAX(1E-9, G41),"")</f>
        <v/>
      </c>
      <c r="J41" s="13">
        <f>IFERROR((CHAIN_RAW!S41-CHAIN_RAW!R41)/MAX(1E-9, H41),"")</f>
        <v/>
      </c>
      <c r="K41" s="13">
        <f>CHAIN_RAW!G41</f>
        <v/>
      </c>
      <c r="L41" s="13">
        <f>CHAIN_RAW!N41</f>
        <v/>
      </c>
      <c r="M41" s="13">
        <f>IFERROR(L41-K41,"")</f>
        <v/>
      </c>
      <c r="N41" s="13">
        <f>CHAIN_RAW!H41</f>
        <v/>
      </c>
      <c r="O41" s="13">
        <f>CHAIN_RAW!O41</f>
        <v/>
      </c>
      <c r="P41" s="13">
        <f>IFERROR(O41/N41,"")</f>
        <v/>
      </c>
      <c r="Q41" s="13">
        <f>CHAIN_RAW!I41</f>
        <v/>
      </c>
      <c r="R41" s="13">
        <f>CHAIN_RAW!P41</f>
        <v/>
      </c>
      <c r="S41" s="13">
        <f>IFERROR(R41/Q41,"")</f>
        <v/>
      </c>
      <c r="T41" s="13">
        <f>IFERROR((ABS(N41-O41)/MAX(1,(N41+O41)))*EXP(-ABS(E41-CONTROL!E5)/MAX(1,CONTROL!B8)),"")</f>
        <v/>
      </c>
      <c r="U41" s="13">
        <f>IFERROR(IF(O41&gt;N41,"SUPPORT (PE OI)","RESIST (CE OI)"),"")</f>
        <v/>
      </c>
      <c r="V41" s="13">
        <f>IFERROR(IF(Q41&gt;0,IF(R41&gt;0,"BOTH_ADD","CE_ADD_PE_REDUCE"),IF(R41&gt;0,"CE_REDUCE_PE_ADD","BOTH_REDUCE")),"")</f>
        <v/>
      </c>
      <c r="W41" s="13">
        <f>IFERROR( (P41-1)*0.5 + (M41)*0.1 - (I41+J41)*0.05 + T41*0.4 ,"")</f>
        <v/>
      </c>
      <c r="X41" s="13">
        <f>IFERROR(IF(ABS(F41)&lt;0.01,"ATM/NEAR",""),"")</f>
        <v/>
      </c>
    </row>
    <row r="42">
      <c r="A42" s="13">
        <f>CHAIN_RAW!A42</f>
        <v/>
      </c>
      <c r="B42" s="14">
        <f>CHAIN_RAW!B42</f>
        <v/>
      </c>
      <c r="C42" s="13">
        <f>CHAIN_RAW!C42</f>
        <v/>
      </c>
      <c r="D42" s="13">
        <f>CHAIN_RAW!D42</f>
        <v/>
      </c>
      <c r="E42" s="13">
        <f>CHAIN_RAW!E42</f>
        <v/>
      </c>
      <c r="F42" s="13">
        <f>IFERROR((E42-D42)/D42,"")</f>
        <v/>
      </c>
      <c r="G42" s="13">
        <f>IFERROR((CHAIN_RAW!K42+CHAIN_RAW!L42)/2,"")</f>
        <v/>
      </c>
      <c r="H42" s="13">
        <f>IFERROR((CHAIN_RAW!R42+CHAIN_RAW!S42)/2,"")</f>
        <v/>
      </c>
      <c r="I42" s="13">
        <f>IFERROR((CHAIN_RAW!L42-CHAIN_RAW!K42)/MAX(1E-9, G42),"")</f>
        <v/>
      </c>
      <c r="J42" s="13">
        <f>IFERROR((CHAIN_RAW!S42-CHAIN_RAW!R42)/MAX(1E-9, H42),"")</f>
        <v/>
      </c>
      <c r="K42" s="13">
        <f>CHAIN_RAW!G42</f>
        <v/>
      </c>
      <c r="L42" s="13">
        <f>CHAIN_RAW!N42</f>
        <v/>
      </c>
      <c r="M42" s="13">
        <f>IFERROR(L42-K42,"")</f>
        <v/>
      </c>
      <c r="N42" s="13">
        <f>CHAIN_RAW!H42</f>
        <v/>
      </c>
      <c r="O42" s="13">
        <f>CHAIN_RAW!O42</f>
        <v/>
      </c>
      <c r="P42" s="13">
        <f>IFERROR(O42/N42,"")</f>
        <v/>
      </c>
      <c r="Q42" s="13">
        <f>CHAIN_RAW!I42</f>
        <v/>
      </c>
      <c r="R42" s="13">
        <f>CHAIN_RAW!P42</f>
        <v/>
      </c>
      <c r="S42" s="13">
        <f>IFERROR(R42/Q42,"")</f>
        <v/>
      </c>
      <c r="T42" s="13">
        <f>IFERROR((ABS(N42-O42)/MAX(1,(N42+O42)))*EXP(-ABS(E42-CONTROL!E5)/MAX(1,CONTROL!B8)),"")</f>
        <v/>
      </c>
      <c r="U42" s="13">
        <f>IFERROR(IF(O42&gt;N42,"SUPPORT (PE OI)","RESIST (CE OI)"),"")</f>
        <v/>
      </c>
      <c r="V42" s="13">
        <f>IFERROR(IF(Q42&gt;0,IF(R42&gt;0,"BOTH_ADD","CE_ADD_PE_REDUCE"),IF(R42&gt;0,"CE_REDUCE_PE_ADD","BOTH_REDUCE")),"")</f>
        <v/>
      </c>
      <c r="W42" s="13">
        <f>IFERROR( (P42-1)*0.5 + (M42)*0.1 - (I42+J42)*0.05 + T42*0.4 ,"")</f>
        <v/>
      </c>
      <c r="X42" s="13">
        <f>IFERROR(IF(ABS(F42)&lt;0.01,"ATM/NEAR",""),"")</f>
        <v/>
      </c>
    </row>
    <row r="43">
      <c r="A43" s="13">
        <f>CHAIN_RAW!A43</f>
        <v/>
      </c>
      <c r="B43" s="14">
        <f>CHAIN_RAW!B43</f>
        <v/>
      </c>
      <c r="C43" s="13">
        <f>CHAIN_RAW!C43</f>
        <v/>
      </c>
      <c r="D43" s="13">
        <f>CHAIN_RAW!D43</f>
        <v/>
      </c>
      <c r="E43" s="13">
        <f>CHAIN_RAW!E43</f>
        <v/>
      </c>
      <c r="F43" s="13">
        <f>IFERROR((E43-D43)/D43,"")</f>
        <v/>
      </c>
      <c r="G43" s="13">
        <f>IFERROR((CHAIN_RAW!K43+CHAIN_RAW!L43)/2,"")</f>
        <v/>
      </c>
      <c r="H43" s="13">
        <f>IFERROR((CHAIN_RAW!R43+CHAIN_RAW!S43)/2,"")</f>
        <v/>
      </c>
      <c r="I43" s="13">
        <f>IFERROR((CHAIN_RAW!L43-CHAIN_RAW!K43)/MAX(1E-9, G43),"")</f>
        <v/>
      </c>
      <c r="J43" s="13">
        <f>IFERROR((CHAIN_RAW!S43-CHAIN_RAW!R43)/MAX(1E-9, H43),"")</f>
        <v/>
      </c>
      <c r="K43" s="13">
        <f>CHAIN_RAW!G43</f>
        <v/>
      </c>
      <c r="L43" s="13">
        <f>CHAIN_RAW!N43</f>
        <v/>
      </c>
      <c r="M43" s="13">
        <f>IFERROR(L43-K43,"")</f>
        <v/>
      </c>
      <c r="N43" s="13">
        <f>CHAIN_RAW!H43</f>
        <v/>
      </c>
      <c r="O43" s="13">
        <f>CHAIN_RAW!O43</f>
        <v/>
      </c>
      <c r="P43" s="13">
        <f>IFERROR(O43/N43,"")</f>
        <v/>
      </c>
      <c r="Q43" s="13">
        <f>CHAIN_RAW!I43</f>
        <v/>
      </c>
      <c r="R43" s="13">
        <f>CHAIN_RAW!P43</f>
        <v/>
      </c>
      <c r="S43" s="13">
        <f>IFERROR(R43/Q43,"")</f>
        <v/>
      </c>
      <c r="T43" s="13">
        <f>IFERROR((ABS(N43-O43)/MAX(1,(N43+O43)))*EXP(-ABS(E43-CONTROL!E5)/MAX(1,CONTROL!B8)),"")</f>
        <v/>
      </c>
      <c r="U43" s="13">
        <f>IFERROR(IF(O43&gt;N43,"SUPPORT (PE OI)","RESIST (CE OI)"),"")</f>
        <v/>
      </c>
      <c r="V43" s="13">
        <f>IFERROR(IF(Q43&gt;0,IF(R43&gt;0,"BOTH_ADD","CE_ADD_PE_REDUCE"),IF(R43&gt;0,"CE_REDUCE_PE_ADD","BOTH_REDUCE")),"")</f>
        <v/>
      </c>
      <c r="W43" s="13">
        <f>IFERROR( (P43-1)*0.5 + (M43)*0.1 - (I43+J43)*0.05 + T43*0.4 ,"")</f>
        <v/>
      </c>
      <c r="X43" s="13">
        <f>IFERROR(IF(ABS(F43)&lt;0.01,"ATM/NEAR",""),"")</f>
        <v/>
      </c>
    </row>
    <row r="44">
      <c r="A44" s="13">
        <f>CHAIN_RAW!A44</f>
        <v/>
      </c>
      <c r="B44" s="14">
        <f>CHAIN_RAW!B44</f>
        <v/>
      </c>
      <c r="C44" s="13">
        <f>CHAIN_RAW!C44</f>
        <v/>
      </c>
      <c r="D44" s="13">
        <f>CHAIN_RAW!D44</f>
        <v/>
      </c>
      <c r="E44" s="13">
        <f>CHAIN_RAW!E44</f>
        <v/>
      </c>
      <c r="F44" s="13">
        <f>IFERROR((E44-D44)/D44,"")</f>
        <v/>
      </c>
      <c r="G44" s="13">
        <f>IFERROR((CHAIN_RAW!K44+CHAIN_RAW!L44)/2,"")</f>
        <v/>
      </c>
      <c r="H44" s="13">
        <f>IFERROR((CHAIN_RAW!R44+CHAIN_RAW!S44)/2,"")</f>
        <v/>
      </c>
      <c r="I44" s="13">
        <f>IFERROR((CHAIN_RAW!L44-CHAIN_RAW!K44)/MAX(1E-9, G44),"")</f>
        <v/>
      </c>
      <c r="J44" s="13">
        <f>IFERROR((CHAIN_RAW!S44-CHAIN_RAW!R44)/MAX(1E-9, H44),"")</f>
        <v/>
      </c>
      <c r="K44" s="13">
        <f>CHAIN_RAW!G44</f>
        <v/>
      </c>
      <c r="L44" s="13">
        <f>CHAIN_RAW!N44</f>
        <v/>
      </c>
      <c r="M44" s="13">
        <f>IFERROR(L44-K44,"")</f>
        <v/>
      </c>
      <c r="N44" s="13">
        <f>CHAIN_RAW!H44</f>
        <v/>
      </c>
      <c r="O44" s="13">
        <f>CHAIN_RAW!O44</f>
        <v/>
      </c>
      <c r="P44" s="13">
        <f>IFERROR(O44/N44,"")</f>
        <v/>
      </c>
      <c r="Q44" s="13">
        <f>CHAIN_RAW!I44</f>
        <v/>
      </c>
      <c r="R44" s="13">
        <f>CHAIN_RAW!P44</f>
        <v/>
      </c>
      <c r="S44" s="13">
        <f>IFERROR(R44/Q44,"")</f>
        <v/>
      </c>
      <c r="T44" s="13">
        <f>IFERROR((ABS(N44-O44)/MAX(1,(N44+O44)))*EXP(-ABS(E44-CONTROL!E5)/MAX(1,CONTROL!B8)),"")</f>
        <v/>
      </c>
      <c r="U44" s="13">
        <f>IFERROR(IF(O44&gt;N44,"SUPPORT (PE OI)","RESIST (CE OI)"),"")</f>
        <v/>
      </c>
      <c r="V44" s="13">
        <f>IFERROR(IF(Q44&gt;0,IF(R44&gt;0,"BOTH_ADD","CE_ADD_PE_REDUCE"),IF(R44&gt;0,"CE_REDUCE_PE_ADD","BOTH_REDUCE")),"")</f>
        <v/>
      </c>
      <c r="W44" s="13">
        <f>IFERROR( (P44-1)*0.5 + (M44)*0.1 - (I44+J44)*0.05 + T44*0.4 ,"")</f>
        <v/>
      </c>
      <c r="X44" s="13">
        <f>IFERROR(IF(ABS(F44)&lt;0.01,"ATM/NEAR",""),"")</f>
        <v/>
      </c>
    </row>
    <row r="45">
      <c r="A45" s="13">
        <f>CHAIN_RAW!A45</f>
        <v/>
      </c>
      <c r="B45" s="14">
        <f>CHAIN_RAW!B45</f>
        <v/>
      </c>
      <c r="C45" s="13">
        <f>CHAIN_RAW!C45</f>
        <v/>
      </c>
      <c r="D45" s="13">
        <f>CHAIN_RAW!D45</f>
        <v/>
      </c>
      <c r="E45" s="13">
        <f>CHAIN_RAW!E45</f>
        <v/>
      </c>
      <c r="F45" s="13">
        <f>IFERROR((E45-D45)/D45,"")</f>
        <v/>
      </c>
      <c r="G45" s="13">
        <f>IFERROR((CHAIN_RAW!K45+CHAIN_RAW!L45)/2,"")</f>
        <v/>
      </c>
      <c r="H45" s="13">
        <f>IFERROR((CHAIN_RAW!R45+CHAIN_RAW!S45)/2,"")</f>
        <v/>
      </c>
      <c r="I45" s="13">
        <f>IFERROR((CHAIN_RAW!L45-CHAIN_RAW!K45)/MAX(1E-9, G45),"")</f>
        <v/>
      </c>
      <c r="J45" s="13">
        <f>IFERROR((CHAIN_RAW!S45-CHAIN_RAW!R45)/MAX(1E-9, H45),"")</f>
        <v/>
      </c>
      <c r="K45" s="13">
        <f>CHAIN_RAW!G45</f>
        <v/>
      </c>
      <c r="L45" s="13">
        <f>CHAIN_RAW!N45</f>
        <v/>
      </c>
      <c r="M45" s="13">
        <f>IFERROR(L45-K45,"")</f>
        <v/>
      </c>
      <c r="N45" s="13">
        <f>CHAIN_RAW!H45</f>
        <v/>
      </c>
      <c r="O45" s="13">
        <f>CHAIN_RAW!O45</f>
        <v/>
      </c>
      <c r="P45" s="13">
        <f>IFERROR(O45/N45,"")</f>
        <v/>
      </c>
      <c r="Q45" s="13">
        <f>CHAIN_RAW!I45</f>
        <v/>
      </c>
      <c r="R45" s="13">
        <f>CHAIN_RAW!P45</f>
        <v/>
      </c>
      <c r="S45" s="13">
        <f>IFERROR(R45/Q45,"")</f>
        <v/>
      </c>
      <c r="T45" s="13">
        <f>IFERROR((ABS(N45-O45)/MAX(1,(N45+O45)))*EXP(-ABS(E45-CONTROL!E5)/MAX(1,CONTROL!B8)),"")</f>
        <v/>
      </c>
      <c r="U45" s="13">
        <f>IFERROR(IF(O45&gt;N45,"SUPPORT (PE OI)","RESIST (CE OI)"),"")</f>
        <v/>
      </c>
      <c r="V45" s="13">
        <f>IFERROR(IF(Q45&gt;0,IF(R45&gt;0,"BOTH_ADD","CE_ADD_PE_REDUCE"),IF(R45&gt;0,"CE_REDUCE_PE_ADD","BOTH_REDUCE")),"")</f>
        <v/>
      </c>
      <c r="W45" s="13">
        <f>IFERROR( (P45-1)*0.5 + (M45)*0.1 - (I45+J45)*0.05 + T45*0.4 ,"")</f>
        <v/>
      </c>
      <c r="X45" s="13">
        <f>IFERROR(IF(ABS(F45)&lt;0.01,"ATM/NEAR",""),"")</f>
        <v/>
      </c>
    </row>
    <row r="46">
      <c r="A46" s="13">
        <f>CHAIN_RAW!A46</f>
        <v/>
      </c>
      <c r="B46" s="14">
        <f>CHAIN_RAW!B46</f>
        <v/>
      </c>
      <c r="C46" s="13">
        <f>CHAIN_RAW!C46</f>
        <v/>
      </c>
      <c r="D46" s="13">
        <f>CHAIN_RAW!D46</f>
        <v/>
      </c>
      <c r="E46" s="13">
        <f>CHAIN_RAW!E46</f>
        <v/>
      </c>
      <c r="F46" s="13">
        <f>IFERROR((E46-D46)/D46,"")</f>
        <v/>
      </c>
      <c r="G46" s="13">
        <f>IFERROR((CHAIN_RAW!K46+CHAIN_RAW!L46)/2,"")</f>
        <v/>
      </c>
      <c r="H46" s="13">
        <f>IFERROR((CHAIN_RAW!R46+CHAIN_RAW!S46)/2,"")</f>
        <v/>
      </c>
      <c r="I46" s="13">
        <f>IFERROR((CHAIN_RAW!L46-CHAIN_RAW!K46)/MAX(1E-9, G46),"")</f>
        <v/>
      </c>
      <c r="J46" s="13">
        <f>IFERROR((CHAIN_RAW!S46-CHAIN_RAW!R46)/MAX(1E-9, H46),"")</f>
        <v/>
      </c>
      <c r="K46" s="13">
        <f>CHAIN_RAW!G46</f>
        <v/>
      </c>
      <c r="L46" s="13">
        <f>CHAIN_RAW!N46</f>
        <v/>
      </c>
      <c r="M46" s="13">
        <f>IFERROR(L46-K46,"")</f>
        <v/>
      </c>
      <c r="N46" s="13">
        <f>CHAIN_RAW!H46</f>
        <v/>
      </c>
      <c r="O46" s="13">
        <f>CHAIN_RAW!O46</f>
        <v/>
      </c>
      <c r="P46" s="13">
        <f>IFERROR(O46/N46,"")</f>
        <v/>
      </c>
      <c r="Q46" s="13">
        <f>CHAIN_RAW!I46</f>
        <v/>
      </c>
      <c r="R46" s="13">
        <f>CHAIN_RAW!P46</f>
        <v/>
      </c>
      <c r="S46" s="13">
        <f>IFERROR(R46/Q46,"")</f>
        <v/>
      </c>
      <c r="T46" s="13">
        <f>IFERROR((ABS(N46-O46)/MAX(1,(N46+O46)))*EXP(-ABS(E46-CONTROL!E5)/MAX(1,CONTROL!B8)),"")</f>
        <v/>
      </c>
      <c r="U46" s="13">
        <f>IFERROR(IF(O46&gt;N46,"SUPPORT (PE OI)","RESIST (CE OI)"),"")</f>
        <v/>
      </c>
      <c r="V46" s="13">
        <f>IFERROR(IF(Q46&gt;0,IF(R46&gt;0,"BOTH_ADD","CE_ADD_PE_REDUCE"),IF(R46&gt;0,"CE_REDUCE_PE_ADD","BOTH_REDUCE")),"")</f>
        <v/>
      </c>
      <c r="W46" s="13">
        <f>IFERROR( (P46-1)*0.5 + (M46)*0.1 - (I46+J46)*0.05 + T46*0.4 ,"")</f>
        <v/>
      </c>
      <c r="X46" s="13">
        <f>IFERROR(IF(ABS(F46)&lt;0.01,"ATM/NEAR",""),"")</f>
        <v/>
      </c>
    </row>
    <row r="47">
      <c r="A47" s="13">
        <f>CHAIN_RAW!A47</f>
        <v/>
      </c>
      <c r="B47" s="14">
        <f>CHAIN_RAW!B47</f>
        <v/>
      </c>
      <c r="C47" s="13">
        <f>CHAIN_RAW!C47</f>
        <v/>
      </c>
      <c r="D47" s="13">
        <f>CHAIN_RAW!D47</f>
        <v/>
      </c>
      <c r="E47" s="13">
        <f>CHAIN_RAW!E47</f>
        <v/>
      </c>
      <c r="F47" s="13">
        <f>IFERROR((E47-D47)/D47,"")</f>
        <v/>
      </c>
      <c r="G47" s="13">
        <f>IFERROR((CHAIN_RAW!K47+CHAIN_RAW!L47)/2,"")</f>
        <v/>
      </c>
      <c r="H47" s="13">
        <f>IFERROR((CHAIN_RAW!R47+CHAIN_RAW!S47)/2,"")</f>
        <v/>
      </c>
      <c r="I47" s="13">
        <f>IFERROR((CHAIN_RAW!L47-CHAIN_RAW!K47)/MAX(1E-9, G47),"")</f>
        <v/>
      </c>
      <c r="J47" s="13">
        <f>IFERROR((CHAIN_RAW!S47-CHAIN_RAW!R47)/MAX(1E-9, H47),"")</f>
        <v/>
      </c>
      <c r="K47" s="13">
        <f>CHAIN_RAW!G47</f>
        <v/>
      </c>
      <c r="L47" s="13">
        <f>CHAIN_RAW!N47</f>
        <v/>
      </c>
      <c r="M47" s="13">
        <f>IFERROR(L47-K47,"")</f>
        <v/>
      </c>
      <c r="N47" s="13">
        <f>CHAIN_RAW!H47</f>
        <v/>
      </c>
      <c r="O47" s="13">
        <f>CHAIN_RAW!O47</f>
        <v/>
      </c>
      <c r="P47" s="13">
        <f>IFERROR(O47/N47,"")</f>
        <v/>
      </c>
      <c r="Q47" s="13">
        <f>CHAIN_RAW!I47</f>
        <v/>
      </c>
      <c r="R47" s="13">
        <f>CHAIN_RAW!P47</f>
        <v/>
      </c>
      <c r="S47" s="13">
        <f>IFERROR(R47/Q47,"")</f>
        <v/>
      </c>
      <c r="T47" s="13">
        <f>IFERROR((ABS(N47-O47)/MAX(1,(N47+O47)))*EXP(-ABS(E47-CONTROL!E5)/MAX(1,CONTROL!B8)),"")</f>
        <v/>
      </c>
      <c r="U47" s="13">
        <f>IFERROR(IF(O47&gt;N47,"SUPPORT (PE OI)","RESIST (CE OI)"),"")</f>
        <v/>
      </c>
      <c r="V47" s="13">
        <f>IFERROR(IF(Q47&gt;0,IF(R47&gt;0,"BOTH_ADD","CE_ADD_PE_REDUCE"),IF(R47&gt;0,"CE_REDUCE_PE_ADD","BOTH_REDUCE")),"")</f>
        <v/>
      </c>
      <c r="W47" s="13">
        <f>IFERROR( (P47-1)*0.5 + (M47)*0.1 - (I47+J47)*0.05 + T47*0.4 ,"")</f>
        <v/>
      </c>
      <c r="X47" s="13">
        <f>IFERROR(IF(ABS(F47)&lt;0.01,"ATM/NEAR",""),"")</f>
        <v/>
      </c>
    </row>
    <row r="48">
      <c r="A48" s="13">
        <f>CHAIN_RAW!A48</f>
        <v/>
      </c>
      <c r="B48" s="14">
        <f>CHAIN_RAW!B48</f>
        <v/>
      </c>
      <c r="C48" s="13">
        <f>CHAIN_RAW!C48</f>
        <v/>
      </c>
      <c r="D48" s="13">
        <f>CHAIN_RAW!D48</f>
        <v/>
      </c>
      <c r="E48" s="13">
        <f>CHAIN_RAW!E48</f>
        <v/>
      </c>
      <c r="F48" s="13">
        <f>IFERROR((E48-D48)/D48,"")</f>
        <v/>
      </c>
      <c r="G48" s="13">
        <f>IFERROR((CHAIN_RAW!K48+CHAIN_RAW!L48)/2,"")</f>
        <v/>
      </c>
      <c r="H48" s="13">
        <f>IFERROR((CHAIN_RAW!R48+CHAIN_RAW!S48)/2,"")</f>
        <v/>
      </c>
      <c r="I48" s="13">
        <f>IFERROR((CHAIN_RAW!L48-CHAIN_RAW!K48)/MAX(1E-9, G48),"")</f>
        <v/>
      </c>
      <c r="J48" s="13">
        <f>IFERROR((CHAIN_RAW!S48-CHAIN_RAW!R48)/MAX(1E-9, H48),"")</f>
        <v/>
      </c>
      <c r="K48" s="13">
        <f>CHAIN_RAW!G48</f>
        <v/>
      </c>
      <c r="L48" s="13">
        <f>CHAIN_RAW!N48</f>
        <v/>
      </c>
      <c r="M48" s="13">
        <f>IFERROR(L48-K48,"")</f>
        <v/>
      </c>
      <c r="N48" s="13">
        <f>CHAIN_RAW!H48</f>
        <v/>
      </c>
      <c r="O48" s="13">
        <f>CHAIN_RAW!O48</f>
        <v/>
      </c>
      <c r="P48" s="13">
        <f>IFERROR(O48/N48,"")</f>
        <v/>
      </c>
      <c r="Q48" s="13">
        <f>CHAIN_RAW!I48</f>
        <v/>
      </c>
      <c r="R48" s="13">
        <f>CHAIN_RAW!P48</f>
        <v/>
      </c>
      <c r="S48" s="13">
        <f>IFERROR(R48/Q48,"")</f>
        <v/>
      </c>
      <c r="T48" s="13">
        <f>IFERROR((ABS(N48-O48)/MAX(1,(N48+O48)))*EXP(-ABS(E48-CONTROL!E5)/MAX(1,CONTROL!B8)),"")</f>
        <v/>
      </c>
      <c r="U48" s="13">
        <f>IFERROR(IF(O48&gt;N48,"SUPPORT (PE OI)","RESIST (CE OI)"),"")</f>
        <v/>
      </c>
      <c r="V48" s="13">
        <f>IFERROR(IF(Q48&gt;0,IF(R48&gt;0,"BOTH_ADD","CE_ADD_PE_REDUCE"),IF(R48&gt;0,"CE_REDUCE_PE_ADD","BOTH_REDUCE")),"")</f>
        <v/>
      </c>
      <c r="W48" s="13">
        <f>IFERROR( (P48-1)*0.5 + (M48)*0.1 - (I48+J48)*0.05 + T48*0.4 ,"")</f>
        <v/>
      </c>
      <c r="X48" s="13">
        <f>IFERROR(IF(ABS(F48)&lt;0.01,"ATM/NEAR",""),"")</f>
        <v/>
      </c>
    </row>
    <row r="49">
      <c r="A49" s="13">
        <f>CHAIN_RAW!A49</f>
        <v/>
      </c>
      <c r="B49" s="14">
        <f>CHAIN_RAW!B49</f>
        <v/>
      </c>
      <c r="C49" s="13">
        <f>CHAIN_RAW!C49</f>
        <v/>
      </c>
      <c r="D49" s="13">
        <f>CHAIN_RAW!D49</f>
        <v/>
      </c>
      <c r="E49" s="13">
        <f>CHAIN_RAW!E49</f>
        <v/>
      </c>
      <c r="F49" s="13">
        <f>IFERROR((E49-D49)/D49,"")</f>
        <v/>
      </c>
      <c r="G49" s="13">
        <f>IFERROR((CHAIN_RAW!K49+CHAIN_RAW!L49)/2,"")</f>
        <v/>
      </c>
      <c r="H49" s="13">
        <f>IFERROR((CHAIN_RAW!R49+CHAIN_RAW!S49)/2,"")</f>
        <v/>
      </c>
      <c r="I49" s="13">
        <f>IFERROR((CHAIN_RAW!L49-CHAIN_RAW!K49)/MAX(1E-9, G49),"")</f>
        <v/>
      </c>
      <c r="J49" s="13">
        <f>IFERROR((CHAIN_RAW!S49-CHAIN_RAW!R49)/MAX(1E-9, H49),"")</f>
        <v/>
      </c>
      <c r="K49" s="13">
        <f>CHAIN_RAW!G49</f>
        <v/>
      </c>
      <c r="L49" s="13">
        <f>CHAIN_RAW!N49</f>
        <v/>
      </c>
      <c r="M49" s="13">
        <f>IFERROR(L49-K49,"")</f>
        <v/>
      </c>
      <c r="N49" s="13">
        <f>CHAIN_RAW!H49</f>
        <v/>
      </c>
      <c r="O49" s="13">
        <f>CHAIN_RAW!O49</f>
        <v/>
      </c>
      <c r="P49" s="13">
        <f>IFERROR(O49/N49,"")</f>
        <v/>
      </c>
      <c r="Q49" s="13">
        <f>CHAIN_RAW!I49</f>
        <v/>
      </c>
      <c r="R49" s="13">
        <f>CHAIN_RAW!P49</f>
        <v/>
      </c>
      <c r="S49" s="13">
        <f>IFERROR(R49/Q49,"")</f>
        <v/>
      </c>
      <c r="T49" s="13">
        <f>IFERROR((ABS(N49-O49)/MAX(1,(N49+O49)))*EXP(-ABS(E49-CONTROL!E5)/MAX(1,CONTROL!B8)),"")</f>
        <v/>
      </c>
      <c r="U49" s="13">
        <f>IFERROR(IF(O49&gt;N49,"SUPPORT (PE OI)","RESIST (CE OI)"),"")</f>
        <v/>
      </c>
      <c r="V49" s="13">
        <f>IFERROR(IF(Q49&gt;0,IF(R49&gt;0,"BOTH_ADD","CE_ADD_PE_REDUCE"),IF(R49&gt;0,"CE_REDUCE_PE_ADD","BOTH_REDUCE")),"")</f>
        <v/>
      </c>
      <c r="W49" s="13">
        <f>IFERROR( (P49-1)*0.5 + (M49)*0.1 - (I49+J49)*0.05 + T49*0.4 ,"")</f>
        <v/>
      </c>
      <c r="X49" s="13">
        <f>IFERROR(IF(ABS(F49)&lt;0.01,"ATM/NEAR",""),"")</f>
        <v/>
      </c>
    </row>
    <row r="50">
      <c r="A50" s="13">
        <f>CHAIN_RAW!A50</f>
        <v/>
      </c>
      <c r="B50" s="14">
        <f>CHAIN_RAW!B50</f>
        <v/>
      </c>
      <c r="C50" s="13">
        <f>CHAIN_RAW!C50</f>
        <v/>
      </c>
      <c r="D50" s="13">
        <f>CHAIN_RAW!D50</f>
        <v/>
      </c>
      <c r="E50" s="13">
        <f>CHAIN_RAW!E50</f>
        <v/>
      </c>
      <c r="F50" s="13">
        <f>IFERROR((E50-D50)/D50,"")</f>
        <v/>
      </c>
      <c r="G50" s="13">
        <f>IFERROR((CHAIN_RAW!K50+CHAIN_RAW!L50)/2,"")</f>
        <v/>
      </c>
      <c r="H50" s="13">
        <f>IFERROR((CHAIN_RAW!R50+CHAIN_RAW!S50)/2,"")</f>
        <v/>
      </c>
      <c r="I50" s="13">
        <f>IFERROR((CHAIN_RAW!L50-CHAIN_RAW!K50)/MAX(1E-9, G50),"")</f>
        <v/>
      </c>
      <c r="J50" s="13">
        <f>IFERROR((CHAIN_RAW!S50-CHAIN_RAW!R50)/MAX(1E-9, H50),"")</f>
        <v/>
      </c>
      <c r="K50" s="13">
        <f>CHAIN_RAW!G50</f>
        <v/>
      </c>
      <c r="L50" s="13">
        <f>CHAIN_RAW!N50</f>
        <v/>
      </c>
      <c r="M50" s="13">
        <f>IFERROR(L50-K50,"")</f>
        <v/>
      </c>
      <c r="N50" s="13">
        <f>CHAIN_RAW!H50</f>
        <v/>
      </c>
      <c r="O50" s="13">
        <f>CHAIN_RAW!O50</f>
        <v/>
      </c>
      <c r="P50" s="13">
        <f>IFERROR(O50/N50,"")</f>
        <v/>
      </c>
      <c r="Q50" s="13">
        <f>CHAIN_RAW!I50</f>
        <v/>
      </c>
      <c r="R50" s="13">
        <f>CHAIN_RAW!P50</f>
        <v/>
      </c>
      <c r="S50" s="13">
        <f>IFERROR(R50/Q50,"")</f>
        <v/>
      </c>
      <c r="T50" s="13">
        <f>IFERROR((ABS(N50-O50)/MAX(1,(N50+O50)))*EXP(-ABS(E50-CONTROL!E5)/MAX(1,CONTROL!B8)),"")</f>
        <v/>
      </c>
      <c r="U50" s="13">
        <f>IFERROR(IF(O50&gt;N50,"SUPPORT (PE OI)","RESIST (CE OI)"),"")</f>
        <v/>
      </c>
      <c r="V50" s="13">
        <f>IFERROR(IF(Q50&gt;0,IF(R50&gt;0,"BOTH_ADD","CE_ADD_PE_REDUCE"),IF(R50&gt;0,"CE_REDUCE_PE_ADD","BOTH_REDUCE")),"")</f>
        <v/>
      </c>
      <c r="W50" s="13">
        <f>IFERROR( (P50-1)*0.5 + (M50)*0.1 - (I50+J50)*0.05 + T50*0.4 ,"")</f>
        <v/>
      </c>
      <c r="X50" s="13">
        <f>IFERROR(IF(ABS(F50)&lt;0.01,"ATM/NEAR",""),"")</f>
        <v/>
      </c>
    </row>
    <row r="51">
      <c r="A51" s="13">
        <f>CHAIN_RAW!A51</f>
        <v/>
      </c>
      <c r="B51" s="14">
        <f>CHAIN_RAW!B51</f>
        <v/>
      </c>
      <c r="C51" s="13">
        <f>CHAIN_RAW!C51</f>
        <v/>
      </c>
      <c r="D51" s="13">
        <f>CHAIN_RAW!D51</f>
        <v/>
      </c>
      <c r="E51" s="13">
        <f>CHAIN_RAW!E51</f>
        <v/>
      </c>
      <c r="F51" s="13">
        <f>IFERROR((E51-D51)/D51,"")</f>
        <v/>
      </c>
      <c r="G51" s="13">
        <f>IFERROR((CHAIN_RAW!K51+CHAIN_RAW!L51)/2,"")</f>
        <v/>
      </c>
      <c r="H51" s="13">
        <f>IFERROR((CHAIN_RAW!R51+CHAIN_RAW!S51)/2,"")</f>
        <v/>
      </c>
      <c r="I51" s="13">
        <f>IFERROR((CHAIN_RAW!L51-CHAIN_RAW!K51)/MAX(1E-9, G51),"")</f>
        <v/>
      </c>
      <c r="J51" s="13">
        <f>IFERROR((CHAIN_RAW!S51-CHAIN_RAW!R51)/MAX(1E-9, H51),"")</f>
        <v/>
      </c>
      <c r="K51" s="13">
        <f>CHAIN_RAW!G51</f>
        <v/>
      </c>
      <c r="L51" s="13">
        <f>CHAIN_RAW!N51</f>
        <v/>
      </c>
      <c r="M51" s="13">
        <f>IFERROR(L51-K51,"")</f>
        <v/>
      </c>
      <c r="N51" s="13">
        <f>CHAIN_RAW!H51</f>
        <v/>
      </c>
      <c r="O51" s="13">
        <f>CHAIN_RAW!O51</f>
        <v/>
      </c>
      <c r="P51" s="13">
        <f>IFERROR(O51/N51,"")</f>
        <v/>
      </c>
      <c r="Q51" s="13">
        <f>CHAIN_RAW!I51</f>
        <v/>
      </c>
      <c r="R51" s="13">
        <f>CHAIN_RAW!P51</f>
        <v/>
      </c>
      <c r="S51" s="13">
        <f>IFERROR(R51/Q51,"")</f>
        <v/>
      </c>
      <c r="T51" s="13">
        <f>IFERROR((ABS(N51-O51)/MAX(1,(N51+O51)))*EXP(-ABS(E51-CONTROL!E5)/MAX(1,CONTROL!B8)),"")</f>
        <v/>
      </c>
      <c r="U51" s="13">
        <f>IFERROR(IF(O51&gt;N51,"SUPPORT (PE OI)","RESIST (CE OI)"),"")</f>
        <v/>
      </c>
      <c r="V51" s="13">
        <f>IFERROR(IF(Q51&gt;0,IF(R51&gt;0,"BOTH_ADD","CE_ADD_PE_REDUCE"),IF(R51&gt;0,"CE_REDUCE_PE_ADD","BOTH_REDUCE")),"")</f>
        <v/>
      </c>
      <c r="W51" s="13">
        <f>IFERROR( (P51-1)*0.5 + (M51)*0.1 - (I51+J51)*0.05 + T51*0.4 ,"")</f>
        <v/>
      </c>
      <c r="X51" s="13">
        <f>IFERROR(IF(ABS(F51)&lt;0.01,"ATM/NEAR",""),"")</f>
        <v/>
      </c>
    </row>
    <row r="52">
      <c r="A52" s="13">
        <f>CHAIN_RAW!A52</f>
        <v/>
      </c>
      <c r="B52" s="14">
        <f>CHAIN_RAW!B52</f>
        <v/>
      </c>
      <c r="C52" s="13">
        <f>CHAIN_RAW!C52</f>
        <v/>
      </c>
      <c r="D52" s="13">
        <f>CHAIN_RAW!D52</f>
        <v/>
      </c>
      <c r="E52" s="13">
        <f>CHAIN_RAW!E52</f>
        <v/>
      </c>
      <c r="F52" s="13">
        <f>IFERROR((E52-D52)/D52,"")</f>
        <v/>
      </c>
      <c r="G52" s="13">
        <f>IFERROR((CHAIN_RAW!K52+CHAIN_RAW!L52)/2,"")</f>
        <v/>
      </c>
      <c r="H52" s="13">
        <f>IFERROR((CHAIN_RAW!R52+CHAIN_RAW!S52)/2,"")</f>
        <v/>
      </c>
      <c r="I52" s="13">
        <f>IFERROR((CHAIN_RAW!L52-CHAIN_RAW!K52)/MAX(1E-9, G52),"")</f>
        <v/>
      </c>
      <c r="J52" s="13">
        <f>IFERROR((CHAIN_RAW!S52-CHAIN_RAW!R52)/MAX(1E-9, H52),"")</f>
        <v/>
      </c>
      <c r="K52" s="13">
        <f>CHAIN_RAW!G52</f>
        <v/>
      </c>
      <c r="L52" s="13">
        <f>CHAIN_RAW!N52</f>
        <v/>
      </c>
      <c r="M52" s="13">
        <f>IFERROR(L52-K52,"")</f>
        <v/>
      </c>
      <c r="N52" s="13">
        <f>CHAIN_RAW!H52</f>
        <v/>
      </c>
      <c r="O52" s="13">
        <f>CHAIN_RAW!O52</f>
        <v/>
      </c>
      <c r="P52" s="13">
        <f>IFERROR(O52/N52,"")</f>
        <v/>
      </c>
      <c r="Q52" s="13">
        <f>CHAIN_RAW!I52</f>
        <v/>
      </c>
      <c r="R52" s="13">
        <f>CHAIN_RAW!P52</f>
        <v/>
      </c>
      <c r="S52" s="13">
        <f>IFERROR(R52/Q52,"")</f>
        <v/>
      </c>
      <c r="T52" s="13">
        <f>IFERROR((ABS(N52-O52)/MAX(1,(N52+O52)))*EXP(-ABS(E52-CONTROL!E5)/MAX(1,CONTROL!B8)),"")</f>
        <v/>
      </c>
      <c r="U52" s="13">
        <f>IFERROR(IF(O52&gt;N52,"SUPPORT (PE OI)","RESIST (CE OI)"),"")</f>
        <v/>
      </c>
      <c r="V52" s="13">
        <f>IFERROR(IF(Q52&gt;0,IF(R52&gt;0,"BOTH_ADD","CE_ADD_PE_REDUCE"),IF(R52&gt;0,"CE_REDUCE_PE_ADD","BOTH_REDUCE")),"")</f>
        <v/>
      </c>
      <c r="W52" s="13">
        <f>IFERROR( (P52-1)*0.5 + (M52)*0.1 - (I52+J52)*0.05 + T52*0.4 ,"")</f>
        <v/>
      </c>
      <c r="X52" s="13">
        <f>IFERROR(IF(ABS(F52)&lt;0.01,"ATM/NEAR",""),"")</f>
        <v/>
      </c>
    </row>
    <row r="53">
      <c r="A53" s="13">
        <f>CHAIN_RAW!A53</f>
        <v/>
      </c>
      <c r="B53" s="14">
        <f>CHAIN_RAW!B53</f>
        <v/>
      </c>
      <c r="C53" s="13">
        <f>CHAIN_RAW!C53</f>
        <v/>
      </c>
      <c r="D53" s="13">
        <f>CHAIN_RAW!D53</f>
        <v/>
      </c>
      <c r="E53" s="13">
        <f>CHAIN_RAW!E53</f>
        <v/>
      </c>
      <c r="F53" s="13">
        <f>IFERROR((E53-D53)/D53,"")</f>
        <v/>
      </c>
      <c r="G53" s="13">
        <f>IFERROR((CHAIN_RAW!K53+CHAIN_RAW!L53)/2,"")</f>
        <v/>
      </c>
      <c r="H53" s="13">
        <f>IFERROR((CHAIN_RAW!R53+CHAIN_RAW!S53)/2,"")</f>
        <v/>
      </c>
      <c r="I53" s="13">
        <f>IFERROR((CHAIN_RAW!L53-CHAIN_RAW!K53)/MAX(1E-9, G53),"")</f>
        <v/>
      </c>
      <c r="J53" s="13">
        <f>IFERROR((CHAIN_RAW!S53-CHAIN_RAW!R53)/MAX(1E-9, H53),"")</f>
        <v/>
      </c>
      <c r="K53" s="13">
        <f>CHAIN_RAW!G53</f>
        <v/>
      </c>
      <c r="L53" s="13">
        <f>CHAIN_RAW!N53</f>
        <v/>
      </c>
      <c r="M53" s="13">
        <f>IFERROR(L53-K53,"")</f>
        <v/>
      </c>
      <c r="N53" s="13">
        <f>CHAIN_RAW!H53</f>
        <v/>
      </c>
      <c r="O53" s="13">
        <f>CHAIN_RAW!O53</f>
        <v/>
      </c>
      <c r="P53" s="13">
        <f>IFERROR(O53/N53,"")</f>
        <v/>
      </c>
      <c r="Q53" s="13">
        <f>CHAIN_RAW!I53</f>
        <v/>
      </c>
      <c r="R53" s="13">
        <f>CHAIN_RAW!P53</f>
        <v/>
      </c>
      <c r="S53" s="13">
        <f>IFERROR(R53/Q53,"")</f>
        <v/>
      </c>
      <c r="T53" s="13">
        <f>IFERROR((ABS(N53-O53)/MAX(1,(N53+O53)))*EXP(-ABS(E53-CONTROL!E5)/MAX(1,CONTROL!B8)),"")</f>
        <v/>
      </c>
      <c r="U53" s="13">
        <f>IFERROR(IF(O53&gt;N53,"SUPPORT (PE OI)","RESIST (CE OI)"),"")</f>
        <v/>
      </c>
      <c r="V53" s="13">
        <f>IFERROR(IF(Q53&gt;0,IF(R53&gt;0,"BOTH_ADD","CE_ADD_PE_REDUCE"),IF(R53&gt;0,"CE_REDUCE_PE_ADD","BOTH_REDUCE")),"")</f>
        <v/>
      </c>
      <c r="W53" s="13">
        <f>IFERROR( (P53-1)*0.5 + (M53)*0.1 - (I53+J53)*0.05 + T53*0.4 ,"")</f>
        <v/>
      </c>
      <c r="X53" s="13">
        <f>IFERROR(IF(ABS(F53)&lt;0.01,"ATM/NEAR",""),"")</f>
        <v/>
      </c>
    </row>
    <row r="54">
      <c r="A54" s="13">
        <f>CHAIN_RAW!A54</f>
        <v/>
      </c>
      <c r="B54" s="14">
        <f>CHAIN_RAW!B54</f>
        <v/>
      </c>
      <c r="C54" s="13">
        <f>CHAIN_RAW!C54</f>
        <v/>
      </c>
      <c r="D54" s="13">
        <f>CHAIN_RAW!D54</f>
        <v/>
      </c>
      <c r="E54" s="13">
        <f>CHAIN_RAW!E54</f>
        <v/>
      </c>
      <c r="F54" s="13">
        <f>IFERROR((E54-D54)/D54,"")</f>
        <v/>
      </c>
      <c r="G54" s="13">
        <f>IFERROR((CHAIN_RAW!K54+CHAIN_RAW!L54)/2,"")</f>
        <v/>
      </c>
      <c r="H54" s="13">
        <f>IFERROR((CHAIN_RAW!R54+CHAIN_RAW!S54)/2,"")</f>
        <v/>
      </c>
      <c r="I54" s="13">
        <f>IFERROR((CHAIN_RAW!L54-CHAIN_RAW!K54)/MAX(1E-9, G54),"")</f>
        <v/>
      </c>
      <c r="J54" s="13">
        <f>IFERROR((CHAIN_RAW!S54-CHAIN_RAW!R54)/MAX(1E-9, H54),"")</f>
        <v/>
      </c>
      <c r="K54" s="13">
        <f>CHAIN_RAW!G54</f>
        <v/>
      </c>
      <c r="L54" s="13">
        <f>CHAIN_RAW!N54</f>
        <v/>
      </c>
      <c r="M54" s="13">
        <f>IFERROR(L54-K54,"")</f>
        <v/>
      </c>
      <c r="N54" s="13">
        <f>CHAIN_RAW!H54</f>
        <v/>
      </c>
      <c r="O54" s="13">
        <f>CHAIN_RAW!O54</f>
        <v/>
      </c>
      <c r="P54" s="13">
        <f>IFERROR(O54/N54,"")</f>
        <v/>
      </c>
      <c r="Q54" s="13">
        <f>CHAIN_RAW!I54</f>
        <v/>
      </c>
      <c r="R54" s="13">
        <f>CHAIN_RAW!P54</f>
        <v/>
      </c>
      <c r="S54" s="13">
        <f>IFERROR(R54/Q54,"")</f>
        <v/>
      </c>
      <c r="T54" s="13">
        <f>IFERROR((ABS(N54-O54)/MAX(1,(N54+O54)))*EXP(-ABS(E54-CONTROL!E5)/MAX(1,CONTROL!B8)),"")</f>
        <v/>
      </c>
      <c r="U54" s="13">
        <f>IFERROR(IF(O54&gt;N54,"SUPPORT (PE OI)","RESIST (CE OI)"),"")</f>
        <v/>
      </c>
      <c r="V54" s="13">
        <f>IFERROR(IF(Q54&gt;0,IF(R54&gt;0,"BOTH_ADD","CE_ADD_PE_REDUCE"),IF(R54&gt;0,"CE_REDUCE_PE_ADD","BOTH_REDUCE")),"")</f>
        <v/>
      </c>
      <c r="W54" s="13">
        <f>IFERROR( (P54-1)*0.5 + (M54)*0.1 - (I54+J54)*0.05 + T54*0.4 ,"")</f>
        <v/>
      </c>
      <c r="X54" s="13">
        <f>IFERROR(IF(ABS(F54)&lt;0.01,"ATM/NEAR",""),"")</f>
        <v/>
      </c>
    </row>
    <row r="55">
      <c r="A55" s="13">
        <f>CHAIN_RAW!A55</f>
        <v/>
      </c>
      <c r="B55" s="14">
        <f>CHAIN_RAW!B55</f>
        <v/>
      </c>
      <c r="C55" s="13">
        <f>CHAIN_RAW!C55</f>
        <v/>
      </c>
      <c r="D55" s="13">
        <f>CHAIN_RAW!D55</f>
        <v/>
      </c>
      <c r="E55" s="13">
        <f>CHAIN_RAW!E55</f>
        <v/>
      </c>
      <c r="F55" s="13">
        <f>IFERROR((E55-D55)/D55,"")</f>
        <v/>
      </c>
      <c r="G55" s="13">
        <f>IFERROR((CHAIN_RAW!K55+CHAIN_RAW!L55)/2,"")</f>
        <v/>
      </c>
      <c r="H55" s="13">
        <f>IFERROR((CHAIN_RAW!R55+CHAIN_RAW!S55)/2,"")</f>
        <v/>
      </c>
      <c r="I55" s="13">
        <f>IFERROR((CHAIN_RAW!L55-CHAIN_RAW!K55)/MAX(1E-9, G55),"")</f>
        <v/>
      </c>
      <c r="J55" s="13">
        <f>IFERROR((CHAIN_RAW!S55-CHAIN_RAW!R55)/MAX(1E-9, H55),"")</f>
        <v/>
      </c>
      <c r="K55" s="13">
        <f>CHAIN_RAW!G55</f>
        <v/>
      </c>
      <c r="L55" s="13">
        <f>CHAIN_RAW!N55</f>
        <v/>
      </c>
      <c r="M55" s="13">
        <f>IFERROR(L55-K55,"")</f>
        <v/>
      </c>
      <c r="N55" s="13">
        <f>CHAIN_RAW!H55</f>
        <v/>
      </c>
      <c r="O55" s="13">
        <f>CHAIN_RAW!O55</f>
        <v/>
      </c>
      <c r="P55" s="13">
        <f>IFERROR(O55/N55,"")</f>
        <v/>
      </c>
      <c r="Q55" s="13">
        <f>CHAIN_RAW!I55</f>
        <v/>
      </c>
      <c r="R55" s="13">
        <f>CHAIN_RAW!P55</f>
        <v/>
      </c>
      <c r="S55" s="13">
        <f>IFERROR(R55/Q55,"")</f>
        <v/>
      </c>
      <c r="T55" s="13">
        <f>IFERROR((ABS(N55-O55)/MAX(1,(N55+O55)))*EXP(-ABS(E55-CONTROL!E5)/MAX(1,CONTROL!B8)),"")</f>
        <v/>
      </c>
      <c r="U55" s="13">
        <f>IFERROR(IF(O55&gt;N55,"SUPPORT (PE OI)","RESIST (CE OI)"),"")</f>
        <v/>
      </c>
      <c r="V55" s="13">
        <f>IFERROR(IF(Q55&gt;0,IF(R55&gt;0,"BOTH_ADD","CE_ADD_PE_REDUCE"),IF(R55&gt;0,"CE_REDUCE_PE_ADD","BOTH_REDUCE")),"")</f>
        <v/>
      </c>
      <c r="W55" s="13">
        <f>IFERROR( (P55-1)*0.5 + (M55)*0.1 - (I55+J55)*0.05 + T55*0.4 ,"")</f>
        <v/>
      </c>
      <c r="X55" s="13">
        <f>IFERROR(IF(ABS(F55)&lt;0.01,"ATM/NEAR",""),"")</f>
        <v/>
      </c>
    </row>
    <row r="56">
      <c r="A56" s="13">
        <f>CHAIN_RAW!A56</f>
        <v/>
      </c>
      <c r="B56" s="14">
        <f>CHAIN_RAW!B56</f>
        <v/>
      </c>
      <c r="C56" s="13">
        <f>CHAIN_RAW!C56</f>
        <v/>
      </c>
      <c r="D56" s="13">
        <f>CHAIN_RAW!D56</f>
        <v/>
      </c>
      <c r="E56" s="13">
        <f>CHAIN_RAW!E56</f>
        <v/>
      </c>
      <c r="F56" s="13">
        <f>IFERROR((E56-D56)/D56,"")</f>
        <v/>
      </c>
      <c r="G56" s="13">
        <f>IFERROR((CHAIN_RAW!K56+CHAIN_RAW!L56)/2,"")</f>
        <v/>
      </c>
      <c r="H56" s="13">
        <f>IFERROR((CHAIN_RAW!R56+CHAIN_RAW!S56)/2,"")</f>
        <v/>
      </c>
      <c r="I56" s="13">
        <f>IFERROR((CHAIN_RAW!L56-CHAIN_RAW!K56)/MAX(1E-9, G56),"")</f>
        <v/>
      </c>
      <c r="J56" s="13">
        <f>IFERROR((CHAIN_RAW!S56-CHAIN_RAW!R56)/MAX(1E-9, H56),"")</f>
        <v/>
      </c>
      <c r="K56" s="13">
        <f>CHAIN_RAW!G56</f>
        <v/>
      </c>
      <c r="L56" s="13">
        <f>CHAIN_RAW!N56</f>
        <v/>
      </c>
      <c r="M56" s="13">
        <f>IFERROR(L56-K56,"")</f>
        <v/>
      </c>
      <c r="N56" s="13">
        <f>CHAIN_RAW!H56</f>
        <v/>
      </c>
      <c r="O56" s="13">
        <f>CHAIN_RAW!O56</f>
        <v/>
      </c>
      <c r="P56" s="13">
        <f>IFERROR(O56/N56,"")</f>
        <v/>
      </c>
      <c r="Q56" s="13">
        <f>CHAIN_RAW!I56</f>
        <v/>
      </c>
      <c r="R56" s="13">
        <f>CHAIN_RAW!P56</f>
        <v/>
      </c>
      <c r="S56" s="13">
        <f>IFERROR(R56/Q56,"")</f>
        <v/>
      </c>
      <c r="T56" s="13">
        <f>IFERROR((ABS(N56-O56)/MAX(1,(N56+O56)))*EXP(-ABS(E56-CONTROL!E5)/MAX(1,CONTROL!B8)),"")</f>
        <v/>
      </c>
      <c r="U56" s="13">
        <f>IFERROR(IF(O56&gt;N56,"SUPPORT (PE OI)","RESIST (CE OI)"),"")</f>
        <v/>
      </c>
      <c r="V56" s="13">
        <f>IFERROR(IF(Q56&gt;0,IF(R56&gt;0,"BOTH_ADD","CE_ADD_PE_REDUCE"),IF(R56&gt;0,"CE_REDUCE_PE_ADD","BOTH_REDUCE")),"")</f>
        <v/>
      </c>
      <c r="W56" s="13">
        <f>IFERROR( (P56-1)*0.5 + (M56)*0.1 - (I56+J56)*0.05 + T56*0.4 ,"")</f>
        <v/>
      </c>
      <c r="X56" s="13">
        <f>IFERROR(IF(ABS(F56)&lt;0.01,"ATM/NEAR",""),"")</f>
        <v/>
      </c>
    </row>
    <row r="57">
      <c r="A57" s="13">
        <f>CHAIN_RAW!A57</f>
        <v/>
      </c>
      <c r="B57" s="14">
        <f>CHAIN_RAW!B57</f>
        <v/>
      </c>
      <c r="C57" s="13">
        <f>CHAIN_RAW!C57</f>
        <v/>
      </c>
      <c r="D57" s="13">
        <f>CHAIN_RAW!D57</f>
        <v/>
      </c>
      <c r="E57" s="13">
        <f>CHAIN_RAW!E57</f>
        <v/>
      </c>
      <c r="F57" s="13">
        <f>IFERROR((E57-D57)/D57,"")</f>
        <v/>
      </c>
      <c r="G57" s="13">
        <f>IFERROR((CHAIN_RAW!K57+CHAIN_RAW!L57)/2,"")</f>
        <v/>
      </c>
      <c r="H57" s="13">
        <f>IFERROR((CHAIN_RAW!R57+CHAIN_RAW!S57)/2,"")</f>
        <v/>
      </c>
      <c r="I57" s="13">
        <f>IFERROR((CHAIN_RAW!L57-CHAIN_RAW!K57)/MAX(1E-9, G57),"")</f>
        <v/>
      </c>
      <c r="J57" s="13">
        <f>IFERROR((CHAIN_RAW!S57-CHAIN_RAW!R57)/MAX(1E-9, H57),"")</f>
        <v/>
      </c>
      <c r="K57" s="13">
        <f>CHAIN_RAW!G57</f>
        <v/>
      </c>
      <c r="L57" s="13">
        <f>CHAIN_RAW!N57</f>
        <v/>
      </c>
      <c r="M57" s="13">
        <f>IFERROR(L57-K57,"")</f>
        <v/>
      </c>
      <c r="N57" s="13">
        <f>CHAIN_RAW!H57</f>
        <v/>
      </c>
      <c r="O57" s="13">
        <f>CHAIN_RAW!O57</f>
        <v/>
      </c>
      <c r="P57" s="13">
        <f>IFERROR(O57/N57,"")</f>
        <v/>
      </c>
      <c r="Q57" s="13">
        <f>CHAIN_RAW!I57</f>
        <v/>
      </c>
      <c r="R57" s="13">
        <f>CHAIN_RAW!P57</f>
        <v/>
      </c>
      <c r="S57" s="13">
        <f>IFERROR(R57/Q57,"")</f>
        <v/>
      </c>
      <c r="T57" s="13">
        <f>IFERROR((ABS(N57-O57)/MAX(1,(N57+O57)))*EXP(-ABS(E57-CONTROL!E5)/MAX(1,CONTROL!B8)),"")</f>
        <v/>
      </c>
      <c r="U57" s="13">
        <f>IFERROR(IF(O57&gt;N57,"SUPPORT (PE OI)","RESIST (CE OI)"),"")</f>
        <v/>
      </c>
      <c r="V57" s="13">
        <f>IFERROR(IF(Q57&gt;0,IF(R57&gt;0,"BOTH_ADD","CE_ADD_PE_REDUCE"),IF(R57&gt;0,"CE_REDUCE_PE_ADD","BOTH_REDUCE")),"")</f>
        <v/>
      </c>
      <c r="W57" s="13">
        <f>IFERROR( (P57-1)*0.5 + (M57)*0.1 - (I57+J57)*0.05 + T57*0.4 ,"")</f>
        <v/>
      </c>
      <c r="X57" s="13">
        <f>IFERROR(IF(ABS(F57)&lt;0.01,"ATM/NEAR",""),"")</f>
        <v/>
      </c>
    </row>
    <row r="58">
      <c r="A58" s="13">
        <f>CHAIN_RAW!A58</f>
        <v/>
      </c>
      <c r="B58" s="14">
        <f>CHAIN_RAW!B58</f>
        <v/>
      </c>
      <c r="C58" s="13">
        <f>CHAIN_RAW!C58</f>
        <v/>
      </c>
      <c r="D58" s="13">
        <f>CHAIN_RAW!D58</f>
        <v/>
      </c>
      <c r="E58" s="13">
        <f>CHAIN_RAW!E58</f>
        <v/>
      </c>
      <c r="F58" s="13">
        <f>IFERROR((E58-D58)/D58,"")</f>
        <v/>
      </c>
      <c r="G58" s="13">
        <f>IFERROR((CHAIN_RAW!K58+CHAIN_RAW!L58)/2,"")</f>
        <v/>
      </c>
      <c r="H58" s="13">
        <f>IFERROR((CHAIN_RAW!R58+CHAIN_RAW!S58)/2,"")</f>
        <v/>
      </c>
      <c r="I58" s="13">
        <f>IFERROR((CHAIN_RAW!L58-CHAIN_RAW!K58)/MAX(1E-9, G58),"")</f>
        <v/>
      </c>
      <c r="J58" s="13">
        <f>IFERROR((CHAIN_RAW!S58-CHAIN_RAW!R58)/MAX(1E-9, H58),"")</f>
        <v/>
      </c>
      <c r="K58" s="13">
        <f>CHAIN_RAW!G58</f>
        <v/>
      </c>
      <c r="L58" s="13">
        <f>CHAIN_RAW!N58</f>
        <v/>
      </c>
      <c r="M58" s="13">
        <f>IFERROR(L58-K58,"")</f>
        <v/>
      </c>
      <c r="N58" s="13">
        <f>CHAIN_RAW!H58</f>
        <v/>
      </c>
      <c r="O58" s="13">
        <f>CHAIN_RAW!O58</f>
        <v/>
      </c>
      <c r="P58" s="13">
        <f>IFERROR(O58/N58,"")</f>
        <v/>
      </c>
      <c r="Q58" s="13">
        <f>CHAIN_RAW!I58</f>
        <v/>
      </c>
      <c r="R58" s="13">
        <f>CHAIN_RAW!P58</f>
        <v/>
      </c>
      <c r="S58" s="13">
        <f>IFERROR(R58/Q58,"")</f>
        <v/>
      </c>
      <c r="T58" s="13">
        <f>IFERROR((ABS(N58-O58)/MAX(1,(N58+O58)))*EXP(-ABS(E58-CONTROL!E5)/MAX(1,CONTROL!B8)),"")</f>
        <v/>
      </c>
      <c r="U58" s="13">
        <f>IFERROR(IF(O58&gt;N58,"SUPPORT (PE OI)","RESIST (CE OI)"),"")</f>
        <v/>
      </c>
      <c r="V58" s="13">
        <f>IFERROR(IF(Q58&gt;0,IF(R58&gt;0,"BOTH_ADD","CE_ADD_PE_REDUCE"),IF(R58&gt;0,"CE_REDUCE_PE_ADD","BOTH_REDUCE")),"")</f>
        <v/>
      </c>
      <c r="W58" s="13">
        <f>IFERROR( (P58-1)*0.5 + (M58)*0.1 - (I58+J58)*0.05 + T58*0.4 ,"")</f>
        <v/>
      </c>
      <c r="X58" s="13">
        <f>IFERROR(IF(ABS(F58)&lt;0.01,"ATM/NEAR",""),"")</f>
        <v/>
      </c>
    </row>
    <row r="59">
      <c r="A59" s="13">
        <f>CHAIN_RAW!A59</f>
        <v/>
      </c>
      <c r="B59" s="14">
        <f>CHAIN_RAW!B59</f>
        <v/>
      </c>
      <c r="C59" s="13">
        <f>CHAIN_RAW!C59</f>
        <v/>
      </c>
      <c r="D59" s="13">
        <f>CHAIN_RAW!D59</f>
        <v/>
      </c>
      <c r="E59" s="13">
        <f>CHAIN_RAW!E59</f>
        <v/>
      </c>
      <c r="F59" s="13">
        <f>IFERROR((E59-D59)/D59,"")</f>
        <v/>
      </c>
      <c r="G59" s="13">
        <f>IFERROR((CHAIN_RAW!K59+CHAIN_RAW!L59)/2,"")</f>
        <v/>
      </c>
      <c r="H59" s="13">
        <f>IFERROR((CHAIN_RAW!R59+CHAIN_RAW!S59)/2,"")</f>
        <v/>
      </c>
      <c r="I59" s="13">
        <f>IFERROR((CHAIN_RAW!L59-CHAIN_RAW!K59)/MAX(1E-9, G59),"")</f>
        <v/>
      </c>
      <c r="J59" s="13">
        <f>IFERROR((CHAIN_RAW!S59-CHAIN_RAW!R59)/MAX(1E-9, H59),"")</f>
        <v/>
      </c>
      <c r="K59" s="13">
        <f>CHAIN_RAW!G59</f>
        <v/>
      </c>
      <c r="L59" s="13">
        <f>CHAIN_RAW!N59</f>
        <v/>
      </c>
      <c r="M59" s="13">
        <f>IFERROR(L59-K59,"")</f>
        <v/>
      </c>
      <c r="N59" s="13">
        <f>CHAIN_RAW!H59</f>
        <v/>
      </c>
      <c r="O59" s="13">
        <f>CHAIN_RAW!O59</f>
        <v/>
      </c>
      <c r="P59" s="13">
        <f>IFERROR(O59/N59,"")</f>
        <v/>
      </c>
      <c r="Q59" s="13">
        <f>CHAIN_RAW!I59</f>
        <v/>
      </c>
      <c r="R59" s="13">
        <f>CHAIN_RAW!P59</f>
        <v/>
      </c>
      <c r="S59" s="13">
        <f>IFERROR(R59/Q59,"")</f>
        <v/>
      </c>
      <c r="T59" s="13">
        <f>IFERROR((ABS(N59-O59)/MAX(1,(N59+O59)))*EXP(-ABS(E59-CONTROL!E5)/MAX(1,CONTROL!B8)),"")</f>
        <v/>
      </c>
      <c r="U59" s="13">
        <f>IFERROR(IF(O59&gt;N59,"SUPPORT (PE OI)","RESIST (CE OI)"),"")</f>
        <v/>
      </c>
      <c r="V59" s="13">
        <f>IFERROR(IF(Q59&gt;0,IF(R59&gt;0,"BOTH_ADD","CE_ADD_PE_REDUCE"),IF(R59&gt;0,"CE_REDUCE_PE_ADD","BOTH_REDUCE")),"")</f>
        <v/>
      </c>
      <c r="W59" s="13">
        <f>IFERROR( (P59-1)*0.5 + (M59)*0.1 - (I59+J59)*0.05 + T59*0.4 ,"")</f>
        <v/>
      </c>
      <c r="X59" s="13">
        <f>IFERROR(IF(ABS(F59)&lt;0.01,"ATM/NEAR",""),"")</f>
        <v/>
      </c>
    </row>
    <row r="60">
      <c r="A60" s="13">
        <f>CHAIN_RAW!A60</f>
        <v/>
      </c>
      <c r="B60" s="14">
        <f>CHAIN_RAW!B60</f>
        <v/>
      </c>
      <c r="C60" s="13">
        <f>CHAIN_RAW!C60</f>
        <v/>
      </c>
      <c r="D60" s="13">
        <f>CHAIN_RAW!D60</f>
        <v/>
      </c>
      <c r="E60" s="13">
        <f>CHAIN_RAW!E60</f>
        <v/>
      </c>
      <c r="F60" s="13">
        <f>IFERROR((E60-D60)/D60,"")</f>
        <v/>
      </c>
      <c r="G60" s="13">
        <f>IFERROR((CHAIN_RAW!K60+CHAIN_RAW!L60)/2,"")</f>
        <v/>
      </c>
      <c r="H60" s="13">
        <f>IFERROR((CHAIN_RAW!R60+CHAIN_RAW!S60)/2,"")</f>
        <v/>
      </c>
      <c r="I60" s="13">
        <f>IFERROR((CHAIN_RAW!L60-CHAIN_RAW!K60)/MAX(1E-9, G60),"")</f>
        <v/>
      </c>
      <c r="J60" s="13">
        <f>IFERROR((CHAIN_RAW!S60-CHAIN_RAW!R60)/MAX(1E-9, H60),"")</f>
        <v/>
      </c>
      <c r="K60" s="13">
        <f>CHAIN_RAW!G60</f>
        <v/>
      </c>
      <c r="L60" s="13">
        <f>CHAIN_RAW!N60</f>
        <v/>
      </c>
      <c r="M60" s="13">
        <f>IFERROR(L60-K60,"")</f>
        <v/>
      </c>
      <c r="N60" s="13">
        <f>CHAIN_RAW!H60</f>
        <v/>
      </c>
      <c r="O60" s="13">
        <f>CHAIN_RAW!O60</f>
        <v/>
      </c>
      <c r="P60" s="13">
        <f>IFERROR(O60/N60,"")</f>
        <v/>
      </c>
      <c r="Q60" s="13">
        <f>CHAIN_RAW!I60</f>
        <v/>
      </c>
      <c r="R60" s="13">
        <f>CHAIN_RAW!P60</f>
        <v/>
      </c>
      <c r="S60" s="13">
        <f>IFERROR(R60/Q60,"")</f>
        <v/>
      </c>
      <c r="T60" s="13">
        <f>IFERROR((ABS(N60-O60)/MAX(1,(N60+O60)))*EXP(-ABS(E60-CONTROL!E5)/MAX(1,CONTROL!B8)),"")</f>
        <v/>
      </c>
      <c r="U60" s="13">
        <f>IFERROR(IF(O60&gt;N60,"SUPPORT (PE OI)","RESIST (CE OI)"),"")</f>
        <v/>
      </c>
      <c r="V60" s="13">
        <f>IFERROR(IF(Q60&gt;0,IF(R60&gt;0,"BOTH_ADD","CE_ADD_PE_REDUCE"),IF(R60&gt;0,"CE_REDUCE_PE_ADD","BOTH_REDUCE")),"")</f>
        <v/>
      </c>
      <c r="W60" s="13">
        <f>IFERROR( (P60-1)*0.5 + (M60)*0.1 - (I60+J60)*0.05 + T60*0.4 ,"")</f>
        <v/>
      </c>
      <c r="X60" s="13">
        <f>IFERROR(IF(ABS(F60)&lt;0.01,"ATM/NEAR",""),"")</f>
        <v/>
      </c>
    </row>
    <row r="61">
      <c r="A61" s="13">
        <f>CHAIN_RAW!A61</f>
        <v/>
      </c>
      <c r="B61" s="14">
        <f>CHAIN_RAW!B61</f>
        <v/>
      </c>
      <c r="C61" s="13">
        <f>CHAIN_RAW!C61</f>
        <v/>
      </c>
      <c r="D61" s="13">
        <f>CHAIN_RAW!D61</f>
        <v/>
      </c>
      <c r="E61" s="13">
        <f>CHAIN_RAW!E61</f>
        <v/>
      </c>
      <c r="F61" s="13">
        <f>IFERROR((E61-D61)/D61,"")</f>
        <v/>
      </c>
      <c r="G61" s="13">
        <f>IFERROR((CHAIN_RAW!K61+CHAIN_RAW!L61)/2,"")</f>
        <v/>
      </c>
      <c r="H61" s="13">
        <f>IFERROR((CHAIN_RAW!R61+CHAIN_RAW!S61)/2,"")</f>
        <v/>
      </c>
      <c r="I61" s="13">
        <f>IFERROR((CHAIN_RAW!L61-CHAIN_RAW!K61)/MAX(1E-9, G61),"")</f>
        <v/>
      </c>
      <c r="J61" s="13">
        <f>IFERROR((CHAIN_RAW!S61-CHAIN_RAW!R61)/MAX(1E-9, H61),"")</f>
        <v/>
      </c>
      <c r="K61" s="13">
        <f>CHAIN_RAW!G61</f>
        <v/>
      </c>
      <c r="L61" s="13">
        <f>CHAIN_RAW!N61</f>
        <v/>
      </c>
      <c r="M61" s="13">
        <f>IFERROR(L61-K61,"")</f>
        <v/>
      </c>
      <c r="N61" s="13">
        <f>CHAIN_RAW!H61</f>
        <v/>
      </c>
      <c r="O61" s="13">
        <f>CHAIN_RAW!O61</f>
        <v/>
      </c>
      <c r="P61" s="13">
        <f>IFERROR(O61/N61,"")</f>
        <v/>
      </c>
      <c r="Q61" s="13">
        <f>CHAIN_RAW!I61</f>
        <v/>
      </c>
      <c r="R61" s="13">
        <f>CHAIN_RAW!P61</f>
        <v/>
      </c>
      <c r="S61" s="13">
        <f>IFERROR(R61/Q61,"")</f>
        <v/>
      </c>
      <c r="T61" s="13">
        <f>IFERROR((ABS(N61-O61)/MAX(1,(N61+O61)))*EXP(-ABS(E61-CONTROL!E5)/MAX(1,CONTROL!B8)),"")</f>
        <v/>
      </c>
      <c r="U61" s="13">
        <f>IFERROR(IF(O61&gt;N61,"SUPPORT (PE OI)","RESIST (CE OI)"),"")</f>
        <v/>
      </c>
      <c r="V61" s="13">
        <f>IFERROR(IF(Q61&gt;0,IF(R61&gt;0,"BOTH_ADD","CE_ADD_PE_REDUCE"),IF(R61&gt;0,"CE_REDUCE_PE_ADD","BOTH_REDUCE")),"")</f>
        <v/>
      </c>
      <c r="W61" s="13">
        <f>IFERROR( (P61-1)*0.5 + (M61)*0.1 - (I61+J61)*0.05 + T61*0.4 ,"")</f>
        <v/>
      </c>
      <c r="X61" s="13">
        <f>IFERROR(IF(ABS(F61)&lt;0.01,"ATM/NEAR",""),"")</f>
        <v/>
      </c>
    </row>
    <row r="62">
      <c r="A62" s="13">
        <f>CHAIN_RAW!A62</f>
        <v/>
      </c>
      <c r="B62" s="14">
        <f>CHAIN_RAW!B62</f>
        <v/>
      </c>
      <c r="C62" s="13">
        <f>CHAIN_RAW!C62</f>
        <v/>
      </c>
      <c r="D62" s="13">
        <f>CHAIN_RAW!D62</f>
        <v/>
      </c>
      <c r="E62" s="13">
        <f>CHAIN_RAW!E62</f>
        <v/>
      </c>
      <c r="F62" s="13">
        <f>IFERROR((E62-D62)/D62,"")</f>
        <v/>
      </c>
      <c r="G62" s="13">
        <f>IFERROR((CHAIN_RAW!K62+CHAIN_RAW!L62)/2,"")</f>
        <v/>
      </c>
      <c r="H62" s="13">
        <f>IFERROR((CHAIN_RAW!R62+CHAIN_RAW!S62)/2,"")</f>
        <v/>
      </c>
      <c r="I62" s="13">
        <f>IFERROR((CHAIN_RAW!L62-CHAIN_RAW!K62)/MAX(1E-9, G62),"")</f>
        <v/>
      </c>
      <c r="J62" s="13">
        <f>IFERROR((CHAIN_RAW!S62-CHAIN_RAW!R62)/MAX(1E-9, H62),"")</f>
        <v/>
      </c>
      <c r="K62" s="13">
        <f>CHAIN_RAW!G62</f>
        <v/>
      </c>
      <c r="L62" s="13">
        <f>CHAIN_RAW!N62</f>
        <v/>
      </c>
      <c r="M62" s="13">
        <f>IFERROR(L62-K62,"")</f>
        <v/>
      </c>
      <c r="N62" s="13">
        <f>CHAIN_RAW!H62</f>
        <v/>
      </c>
      <c r="O62" s="13">
        <f>CHAIN_RAW!O62</f>
        <v/>
      </c>
      <c r="P62" s="13">
        <f>IFERROR(O62/N62,"")</f>
        <v/>
      </c>
      <c r="Q62" s="13">
        <f>CHAIN_RAW!I62</f>
        <v/>
      </c>
      <c r="R62" s="13">
        <f>CHAIN_RAW!P62</f>
        <v/>
      </c>
      <c r="S62" s="13">
        <f>IFERROR(R62/Q62,"")</f>
        <v/>
      </c>
      <c r="T62" s="13">
        <f>IFERROR((ABS(N62-O62)/MAX(1,(N62+O62)))*EXP(-ABS(E62-CONTROL!E5)/MAX(1,CONTROL!B8)),"")</f>
        <v/>
      </c>
      <c r="U62" s="13">
        <f>IFERROR(IF(O62&gt;N62,"SUPPORT (PE OI)","RESIST (CE OI)"),"")</f>
        <v/>
      </c>
      <c r="V62" s="13">
        <f>IFERROR(IF(Q62&gt;0,IF(R62&gt;0,"BOTH_ADD","CE_ADD_PE_REDUCE"),IF(R62&gt;0,"CE_REDUCE_PE_ADD","BOTH_REDUCE")),"")</f>
        <v/>
      </c>
      <c r="W62" s="13">
        <f>IFERROR( (P62-1)*0.5 + (M62)*0.1 - (I62+J62)*0.05 + T62*0.4 ,"")</f>
        <v/>
      </c>
      <c r="X62" s="13">
        <f>IFERROR(IF(ABS(F62)&lt;0.01,"ATM/NEAR",""),"")</f>
        <v/>
      </c>
    </row>
    <row r="63">
      <c r="A63" s="13">
        <f>CHAIN_RAW!A63</f>
        <v/>
      </c>
      <c r="B63" s="14">
        <f>CHAIN_RAW!B63</f>
        <v/>
      </c>
      <c r="C63" s="13">
        <f>CHAIN_RAW!C63</f>
        <v/>
      </c>
      <c r="D63" s="13">
        <f>CHAIN_RAW!D63</f>
        <v/>
      </c>
      <c r="E63" s="13">
        <f>CHAIN_RAW!E63</f>
        <v/>
      </c>
      <c r="F63" s="13">
        <f>IFERROR((E63-D63)/D63,"")</f>
        <v/>
      </c>
      <c r="G63" s="13">
        <f>IFERROR((CHAIN_RAW!K63+CHAIN_RAW!L63)/2,"")</f>
        <v/>
      </c>
      <c r="H63" s="13">
        <f>IFERROR((CHAIN_RAW!R63+CHAIN_RAW!S63)/2,"")</f>
        <v/>
      </c>
      <c r="I63" s="13">
        <f>IFERROR((CHAIN_RAW!L63-CHAIN_RAW!K63)/MAX(1E-9, G63),"")</f>
        <v/>
      </c>
      <c r="J63" s="13">
        <f>IFERROR((CHAIN_RAW!S63-CHAIN_RAW!R63)/MAX(1E-9, H63),"")</f>
        <v/>
      </c>
      <c r="K63" s="13">
        <f>CHAIN_RAW!G63</f>
        <v/>
      </c>
      <c r="L63" s="13">
        <f>CHAIN_RAW!N63</f>
        <v/>
      </c>
      <c r="M63" s="13">
        <f>IFERROR(L63-K63,"")</f>
        <v/>
      </c>
      <c r="N63" s="13">
        <f>CHAIN_RAW!H63</f>
        <v/>
      </c>
      <c r="O63" s="13">
        <f>CHAIN_RAW!O63</f>
        <v/>
      </c>
      <c r="P63" s="13">
        <f>IFERROR(O63/N63,"")</f>
        <v/>
      </c>
      <c r="Q63" s="13">
        <f>CHAIN_RAW!I63</f>
        <v/>
      </c>
      <c r="R63" s="13">
        <f>CHAIN_RAW!P63</f>
        <v/>
      </c>
      <c r="S63" s="13">
        <f>IFERROR(R63/Q63,"")</f>
        <v/>
      </c>
      <c r="T63" s="13">
        <f>IFERROR((ABS(N63-O63)/MAX(1,(N63+O63)))*EXP(-ABS(E63-CONTROL!E5)/MAX(1,CONTROL!B8)),"")</f>
        <v/>
      </c>
      <c r="U63" s="13">
        <f>IFERROR(IF(O63&gt;N63,"SUPPORT (PE OI)","RESIST (CE OI)"),"")</f>
        <v/>
      </c>
      <c r="V63" s="13">
        <f>IFERROR(IF(Q63&gt;0,IF(R63&gt;0,"BOTH_ADD","CE_ADD_PE_REDUCE"),IF(R63&gt;0,"CE_REDUCE_PE_ADD","BOTH_REDUCE")),"")</f>
        <v/>
      </c>
      <c r="W63" s="13">
        <f>IFERROR( (P63-1)*0.5 + (M63)*0.1 - (I63+J63)*0.05 + T63*0.4 ,"")</f>
        <v/>
      </c>
      <c r="X63" s="13">
        <f>IFERROR(IF(ABS(F63)&lt;0.01,"ATM/NEAR",""),"")</f>
        <v/>
      </c>
    </row>
    <row r="64">
      <c r="A64" s="13">
        <f>CHAIN_RAW!A64</f>
        <v/>
      </c>
      <c r="B64" s="14">
        <f>CHAIN_RAW!B64</f>
        <v/>
      </c>
      <c r="C64" s="13">
        <f>CHAIN_RAW!C64</f>
        <v/>
      </c>
      <c r="D64" s="13">
        <f>CHAIN_RAW!D64</f>
        <v/>
      </c>
      <c r="E64" s="13">
        <f>CHAIN_RAW!E64</f>
        <v/>
      </c>
      <c r="F64" s="13">
        <f>IFERROR((E64-D64)/D64,"")</f>
        <v/>
      </c>
      <c r="G64" s="13">
        <f>IFERROR((CHAIN_RAW!K64+CHAIN_RAW!L64)/2,"")</f>
        <v/>
      </c>
      <c r="H64" s="13">
        <f>IFERROR((CHAIN_RAW!R64+CHAIN_RAW!S64)/2,"")</f>
        <v/>
      </c>
      <c r="I64" s="13">
        <f>IFERROR((CHAIN_RAW!L64-CHAIN_RAW!K64)/MAX(1E-9, G64),"")</f>
        <v/>
      </c>
      <c r="J64" s="13">
        <f>IFERROR((CHAIN_RAW!S64-CHAIN_RAW!R64)/MAX(1E-9, H64),"")</f>
        <v/>
      </c>
      <c r="K64" s="13">
        <f>CHAIN_RAW!G64</f>
        <v/>
      </c>
      <c r="L64" s="13">
        <f>CHAIN_RAW!N64</f>
        <v/>
      </c>
      <c r="M64" s="13">
        <f>IFERROR(L64-K64,"")</f>
        <v/>
      </c>
      <c r="N64" s="13">
        <f>CHAIN_RAW!H64</f>
        <v/>
      </c>
      <c r="O64" s="13">
        <f>CHAIN_RAW!O64</f>
        <v/>
      </c>
      <c r="P64" s="13">
        <f>IFERROR(O64/N64,"")</f>
        <v/>
      </c>
      <c r="Q64" s="13">
        <f>CHAIN_RAW!I64</f>
        <v/>
      </c>
      <c r="R64" s="13">
        <f>CHAIN_RAW!P64</f>
        <v/>
      </c>
      <c r="S64" s="13">
        <f>IFERROR(R64/Q64,"")</f>
        <v/>
      </c>
      <c r="T64" s="13">
        <f>IFERROR((ABS(N64-O64)/MAX(1,(N64+O64)))*EXP(-ABS(E64-CONTROL!E5)/MAX(1,CONTROL!B8)),"")</f>
        <v/>
      </c>
      <c r="U64" s="13">
        <f>IFERROR(IF(O64&gt;N64,"SUPPORT (PE OI)","RESIST (CE OI)"),"")</f>
        <v/>
      </c>
      <c r="V64" s="13">
        <f>IFERROR(IF(Q64&gt;0,IF(R64&gt;0,"BOTH_ADD","CE_ADD_PE_REDUCE"),IF(R64&gt;0,"CE_REDUCE_PE_ADD","BOTH_REDUCE")),"")</f>
        <v/>
      </c>
      <c r="W64" s="13">
        <f>IFERROR( (P64-1)*0.5 + (M64)*0.1 - (I64+J64)*0.05 + T64*0.4 ,"")</f>
        <v/>
      </c>
      <c r="X64" s="13">
        <f>IFERROR(IF(ABS(F64)&lt;0.01,"ATM/NEAR",""),"")</f>
        <v/>
      </c>
    </row>
    <row r="65">
      <c r="A65" s="13">
        <f>CHAIN_RAW!A65</f>
        <v/>
      </c>
      <c r="B65" s="14">
        <f>CHAIN_RAW!B65</f>
        <v/>
      </c>
      <c r="C65" s="13">
        <f>CHAIN_RAW!C65</f>
        <v/>
      </c>
      <c r="D65" s="13">
        <f>CHAIN_RAW!D65</f>
        <v/>
      </c>
      <c r="E65" s="13">
        <f>CHAIN_RAW!E65</f>
        <v/>
      </c>
      <c r="F65" s="13">
        <f>IFERROR((E65-D65)/D65,"")</f>
        <v/>
      </c>
      <c r="G65" s="13">
        <f>IFERROR((CHAIN_RAW!K65+CHAIN_RAW!L65)/2,"")</f>
        <v/>
      </c>
      <c r="H65" s="13">
        <f>IFERROR((CHAIN_RAW!R65+CHAIN_RAW!S65)/2,"")</f>
        <v/>
      </c>
      <c r="I65" s="13">
        <f>IFERROR((CHAIN_RAW!L65-CHAIN_RAW!K65)/MAX(1E-9, G65),"")</f>
        <v/>
      </c>
      <c r="J65" s="13">
        <f>IFERROR((CHAIN_RAW!S65-CHAIN_RAW!R65)/MAX(1E-9, H65),"")</f>
        <v/>
      </c>
      <c r="K65" s="13">
        <f>CHAIN_RAW!G65</f>
        <v/>
      </c>
      <c r="L65" s="13">
        <f>CHAIN_RAW!N65</f>
        <v/>
      </c>
      <c r="M65" s="13">
        <f>IFERROR(L65-K65,"")</f>
        <v/>
      </c>
      <c r="N65" s="13">
        <f>CHAIN_RAW!H65</f>
        <v/>
      </c>
      <c r="O65" s="13">
        <f>CHAIN_RAW!O65</f>
        <v/>
      </c>
      <c r="P65" s="13">
        <f>IFERROR(O65/N65,"")</f>
        <v/>
      </c>
      <c r="Q65" s="13">
        <f>CHAIN_RAW!I65</f>
        <v/>
      </c>
      <c r="R65" s="13">
        <f>CHAIN_RAW!P65</f>
        <v/>
      </c>
      <c r="S65" s="13">
        <f>IFERROR(R65/Q65,"")</f>
        <v/>
      </c>
      <c r="T65" s="13">
        <f>IFERROR((ABS(N65-O65)/MAX(1,(N65+O65)))*EXP(-ABS(E65-CONTROL!E5)/MAX(1,CONTROL!B8)),"")</f>
        <v/>
      </c>
      <c r="U65" s="13">
        <f>IFERROR(IF(O65&gt;N65,"SUPPORT (PE OI)","RESIST (CE OI)"),"")</f>
        <v/>
      </c>
      <c r="V65" s="13">
        <f>IFERROR(IF(Q65&gt;0,IF(R65&gt;0,"BOTH_ADD","CE_ADD_PE_REDUCE"),IF(R65&gt;0,"CE_REDUCE_PE_ADD","BOTH_REDUCE")),"")</f>
        <v/>
      </c>
      <c r="W65" s="13">
        <f>IFERROR( (P65-1)*0.5 + (M65)*0.1 - (I65+J65)*0.05 + T65*0.4 ,"")</f>
        <v/>
      </c>
      <c r="X65" s="13">
        <f>IFERROR(IF(ABS(F65)&lt;0.01,"ATM/NEAR",""),"")</f>
        <v/>
      </c>
    </row>
    <row r="66">
      <c r="A66" s="13">
        <f>CHAIN_RAW!A66</f>
        <v/>
      </c>
      <c r="B66" s="14">
        <f>CHAIN_RAW!B66</f>
        <v/>
      </c>
      <c r="C66" s="13">
        <f>CHAIN_RAW!C66</f>
        <v/>
      </c>
      <c r="D66" s="13">
        <f>CHAIN_RAW!D66</f>
        <v/>
      </c>
      <c r="E66" s="13">
        <f>CHAIN_RAW!E66</f>
        <v/>
      </c>
      <c r="F66" s="13">
        <f>IFERROR((E66-D66)/D66,"")</f>
        <v/>
      </c>
      <c r="G66" s="13">
        <f>IFERROR((CHAIN_RAW!K66+CHAIN_RAW!L66)/2,"")</f>
        <v/>
      </c>
      <c r="H66" s="13">
        <f>IFERROR((CHAIN_RAW!R66+CHAIN_RAW!S66)/2,"")</f>
        <v/>
      </c>
      <c r="I66" s="13">
        <f>IFERROR((CHAIN_RAW!L66-CHAIN_RAW!K66)/MAX(1E-9, G66),"")</f>
        <v/>
      </c>
      <c r="J66" s="13">
        <f>IFERROR((CHAIN_RAW!S66-CHAIN_RAW!R66)/MAX(1E-9, H66),"")</f>
        <v/>
      </c>
      <c r="K66" s="13">
        <f>CHAIN_RAW!G66</f>
        <v/>
      </c>
      <c r="L66" s="13">
        <f>CHAIN_RAW!N66</f>
        <v/>
      </c>
      <c r="M66" s="13">
        <f>IFERROR(L66-K66,"")</f>
        <v/>
      </c>
      <c r="N66" s="13">
        <f>CHAIN_RAW!H66</f>
        <v/>
      </c>
      <c r="O66" s="13">
        <f>CHAIN_RAW!O66</f>
        <v/>
      </c>
      <c r="P66" s="13">
        <f>IFERROR(O66/N66,"")</f>
        <v/>
      </c>
      <c r="Q66" s="13">
        <f>CHAIN_RAW!I66</f>
        <v/>
      </c>
      <c r="R66" s="13">
        <f>CHAIN_RAW!P66</f>
        <v/>
      </c>
      <c r="S66" s="13">
        <f>IFERROR(R66/Q66,"")</f>
        <v/>
      </c>
      <c r="T66" s="13">
        <f>IFERROR((ABS(N66-O66)/MAX(1,(N66+O66)))*EXP(-ABS(E66-CONTROL!E5)/MAX(1,CONTROL!B8)),"")</f>
        <v/>
      </c>
      <c r="U66" s="13">
        <f>IFERROR(IF(O66&gt;N66,"SUPPORT (PE OI)","RESIST (CE OI)"),"")</f>
        <v/>
      </c>
      <c r="V66" s="13">
        <f>IFERROR(IF(Q66&gt;0,IF(R66&gt;0,"BOTH_ADD","CE_ADD_PE_REDUCE"),IF(R66&gt;0,"CE_REDUCE_PE_ADD","BOTH_REDUCE")),"")</f>
        <v/>
      </c>
      <c r="W66" s="13">
        <f>IFERROR( (P66-1)*0.5 + (M66)*0.1 - (I66+J66)*0.05 + T66*0.4 ,"")</f>
        <v/>
      </c>
      <c r="X66" s="13">
        <f>IFERROR(IF(ABS(F66)&lt;0.01,"ATM/NEAR",""),"")</f>
        <v/>
      </c>
    </row>
    <row r="67">
      <c r="A67" s="13">
        <f>CHAIN_RAW!A67</f>
        <v/>
      </c>
      <c r="B67" s="14">
        <f>CHAIN_RAW!B67</f>
        <v/>
      </c>
      <c r="C67" s="13">
        <f>CHAIN_RAW!C67</f>
        <v/>
      </c>
      <c r="D67" s="13">
        <f>CHAIN_RAW!D67</f>
        <v/>
      </c>
      <c r="E67" s="13">
        <f>CHAIN_RAW!E67</f>
        <v/>
      </c>
      <c r="F67" s="13">
        <f>IFERROR((E67-D67)/D67,"")</f>
        <v/>
      </c>
      <c r="G67" s="13">
        <f>IFERROR((CHAIN_RAW!K67+CHAIN_RAW!L67)/2,"")</f>
        <v/>
      </c>
      <c r="H67" s="13">
        <f>IFERROR((CHAIN_RAW!R67+CHAIN_RAW!S67)/2,"")</f>
        <v/>
      </c>
      <c r="I67" s="13">
        <f>IFERROR((CHAIN_RAW!L67-CHAIN_RAW!K67)/MAX(1E-9, G67),"")</f>
        <v/>
      </c>
      <c r="J67" s="13">
        <f>IFERROR((CHAIN_RAW!S67-CHAIN_RAW!R67)/MAX(1E-9, H67),"")</f>
        <v/>
      </c>
      <c r="K67" s="13">
        <f>CHAIN_RAW!G67</f>
        <v/>
      </c>
      <c r="L67" s="13">
        <f>CHAIN_RAW!N67</f>
        <v/>
      </c>
      <c r="M67" s="13">
        <f>IFERROR(L67-K67,"")</f>
        <v/>
      </c>
      <c r="N67" s="13">
        <f>CHAIN_RAW!H67</f>
        <v/>
      </c>
      <c r="O67" s="13">
        <f>CHAIN_RAW!O67</f>
        <v/>
      </c>
      <c r="P67" s="13">
        <f>IFERROR(O67/N67,"")</f>
        <v/>
      </c>
      <c r="Q67" s="13">
        <f>CHAIN_RAW!I67</f>
        <v/>
      </c>
      <c r="R67" s="13">
        <f>CHAIN_RAW!P67</f>
        <v/>
      </c>
      <c r="S67" s="13">
        <f>IFERROR(R67/Q67,"")</f>
        <v/>
      </c>
      <c r="T67" s="13">
        <f>IFERROR((ABS(N67-O67)/MAX(1,(N67+O67)))*EXP(-ABS(E67-CONTROL!E5)/MAX(1,CONTROL!B8)),"")</f>
        <v/>
      </c>
      <c r="U67" s="13">
        <f>IFERROR(IF(O67&gt;N67,"SUPPORT (PE OI)","RESIST (CE OI)"),"")</f>
        <v/>
      </c>
      <c r="V67" s="13">
        <f>IFERROR(IF(Q67&gt;0,IF(R67&gt;0,"BOTH_ADD","CE_ADD_PE_REDUCE"),IF(R67&gt;0,"CE_REDUCE_PE_ADD","BOTH_REDUCE")),"")</f>
        <v/>
      </c>
      <c r="W67" s="13">
        <f>IFERROR( (P67-1)*0.5 + (M67)*0.1 - (I67+J67)*0.05 + T67*0.4 ,"")</f>
        <v/>
      </c>
      <c r="X67" s="13">
        <f>IFERROR(IF(ABS(F67)&lt;0.01,"ATM/NEAR",""),"")</f>
        <v/>
      </c>
    </row>
    <row r="68">
      <c r="A68" s="13">
        <f>CHAIN_RAW!A68</f>
        <v/>
      </c>
      <c r="B68" s="14">
        <f>CHAIN_RAW!B68</f>
        <v/>
      </c>
      <c r="C68" s="13">
        <f>CHAIN_RAW!C68</f>
        <v/>
      </c>
      <c r="D68" s="13">
        <f>CHAIN_RAW!D68</f>
        <v/>
      </c>
      <c r="E68" s="13">
        <f>CHAIN_RAW!E68</f>
        <v/>
      </c>
      <c r="F68" s="13">
        <f>IFERROR((E68-D68)/D68,"")</f>
        <v/>
      </c>
      <c r="G68" s="13">
        <f>IFERROR((CHAIN_RAW!K68+CHAIN_RAW!L68)/2,"")</f>
        <v/>
      </c>
      <c r="H68" s="13">
        <f>IFERROR((CHAIN_RAW!R68+CHAIN_RAW!S68)/2,"")</f>
        <v/>
      </c>
      <c r="I68" s="13">
        <f>IFERROR((CHAIN_RAW!L68-CHAIN_RAW!K68)/MAX(1E-9, G68),"")</f>
        <v/>
      </c>
      <c r="J68" s="13">
        <f>IFERROR((CHAIN_RAW!S68-CHAIN_RAW!R68)/MAX(1E-9, H68),"")</f>
        <v/>
      </c>
      <c r="K68" s="13">
        <f>CHAIN_RAW!G68</f>
        <v/>
      </c>
      <c r="L68" s="13">
        <f>CHAIN_RAW!N68</f>
        <v/>
      </c>
      <c r="M68" s="13">
        <f>IFERROR(L68-K68,"")</f>
        <v/>
      </c>
      <c r="N68" s="13">
        <f>CHAIN_RAW!H68</f>
        <v/>
      </c>
      <c r="O68" s="13">
        <f>CHAIN_RAW!O68</f>
        <v/>
      </c>
      <c r="P68" s="13">
        <f>IFERROR(O68/N68,"")</f>
        <v/>
      </c>
      <c r="Q68" s="13">
        <f>CHAIN_RAW!I68</f>
        <v/>
      </c>
      <c r="R68" s="13">
        <f>CHAIN_RAW!P68</f>
        <v/>
      </c>
      <c r="S68" s="13">
        <f>IFERROR(R68/Q68,"")</f>
        <v/>
      </c>
      <c r="T68" s="13">
        <f>IFERROR((ABS(N68-O68)/MAX(1,(N68+O68)))*EXP(-ABS(E68-CONTROL!E5)/MAX(1,CONTROL!B8)),"")</f>
        <v/>
      </c>
      <c r="U68" s="13">
        <f>IFERROR(IF(O68&gt;N68,"SUPPORT (PE OI)","RESIST (CE OI)"),"")</f>
        <v/>
      </c>
      <c r="V68" s="13">
        <f>IFERROR(IF(Q68&gt;0,IF(R68&gt;0,"BOTH_ADD","CE_ADD_PE_REDUCE"),IF(R68&gt;0,"CE_REDUCE_PE_ADD","BOTH_REDUCE")),"")</f>
        <v/>
      </c>
      <c r="W68" s="13">
        <f>IFERROR( (P68-1)*0.5 + (M68)*0.1 - (I68+J68)*0.05 + T68*0.4 ,"")</f>
        <v/>
      </c>
      <c r="X68" s="13">
        <f>IFERROR(IF(ABS(F68)&lt;0.01,"ATM/NEAR",""),"")</f>
        <v/>
      </c>
    </row>
    <row r="69">
      <c r="A69" s="13">
        <f>CHAIN_RAW!A69</f>
        <v/>
      </c>
      <c r="B69" s="14">
        <f>CHAIN_RAW!B69</f>
        <v/>
      </c>
      <c r="C69" s="13">
        <f>CHAIN_RAW!C69</f>
        <v/>
      </c>
      <c r="D69" s="13">
        <f>CHAIN_RAW!D69</f>
        <v/>
      </c>
      <c r="E69" s="13">
        <f>CHAIN_RAW!E69</f>
        <v/>
      </c>
      <c r="F69" s="13">
        <f>IFERROR((E69-D69)/D69,"")</f>
        <v/>
      </c>
      <c r="G69" s="13">
        <f>IFERROR((CHAIN_RAW!K69+CHAIN_RAW!L69)/2,"")</f>
        <v/>
      </c>
      <c r="H69" s="13">
        <f>IFERROR((CHAIN_RAW!R69+CHAIN_RAW!S69)/2,"")</f>
        <v/>
      </c>
      <c r="I69" s="13">
        <f>IFERROR((CHAIN_RAW!L69-CHAIN_RAW!K69)/MAX(1E-9, G69),"")</f>
        <v/>
      </c>
      <c r="J69" s="13">
        <f>IFERROR((CHAIN_RAW!S69-CHAIN_RAW!R69)/MAX(1E-9, H69),"")</f>
        <v/>
      </c>
      <c r="K69" s="13">
        <f>CHAIN_RAW!G69</f>
        <v/>
      </c>
      <c r="L69" s="13">
        <f>CHAIN_RAW!N69</f>
        <v/>
      </c>
      <c r="M69" s="13">
        <f>IFERROR(L69-K69,"")</f>
        <v/>
      </c>
      <c r="N69" s="13">
        <f>CHAIN_RAW!H69</f>
        <v/>
      </c>
      <c r="O69" s="13">
        <f>CHAIN_RAW!O69</f>
        <v/>
      </c>
      <c r="P69" s="13">
        <f>IFERROR(O69/N69,"")</f>
        <v/>
      </c>
      <c r="Q69" s="13">
        <f>CHAIN_RAW!I69</f>
        <v/>
      </c>
      <c r="R69" s="13">
        <f>CHAIN_RAW!P69</f>
        <v/>
      </c>
      <c r="S69" s="13">
        <f>IFERROR(R69/Q69,"")</f>
        <v/>
      </c>
      <c r="T69" s="13">
        <f>IFERROR((ABS(N69-O69)/MAX(1,(N69+O69)))*EXP(-ABS(E69-CONTROL!E5)/MAX(1,CONTROL!B8)),"")</f>
        <v/>
      </c>
      <c r="U69" s="13">
        <f>IFERROR(IF(O69&gt;N69,"SUPPORT (PE OI)","RESIST (CE OI)"),"")</f>
        <v/>
      </c>
      <c r="V69" s="13">
        <f>IFERROR(IF(Q69&gt;0,IF(R69&gt;0,"BOTH_ADD","CE_ADD_PE_REDUCE"),IF(R69&gt;0,"CE_REDUCE_PE_ADD","BOTH_REDUCE")),"")</f>
        <v/>
      </c>
      <c r="W69" s="13">
        <f>IFERROR( (P69-1)*0.5 + (M69)*0.1 - (I69+J69)*0.05 + T69*0.4 ,"")</f>
        <v/>
      </c>
      <c r="X69" s="13">
        <f>IFERROR(IF(ABS(F69)&lt;0.01,"ATM/NEAR",""),"")</f>
        <v/>
      </c>
    </row>
    <row r="70">
      <c r="A70" s="13">
        <f>CHAIN_RAW!A70</f>
        <v/>
      </c>
      <c r="B70" s="14">
        <f>CHAIN_RAW!B70</f>
        <v/>
      </c>
      <c r="C70" s="13">
        <f>CHAIN_RAW!C70</f>
        <v/>
      </c>
      <c r="D70" s="13">
        <f>CHAIN_RAW!D70</f>
        <v/>
      </c>
      <c r="E70" s="13">
        <f>CHAIN_RAW!E70</f>
        <v/>
      </c>
      <c r="F70" s="13">
        <f>IFERROR((E70-D70)/D70,"")</f>
        <v/>
      </c>
      <c r="G70" s="13">
        <f>IFERROR((CHAIN_RAW!K70+CHAIN_RAW!L70)/2,"")</f>
        <v/>
      </c>
      <c r="H70" s="13">
        <f>IFERROR((CHAIN_RAW!R70+CHAIN_RAW!S70)/2,"")</f>
        <v/>
      </c>
      <c r="I70" s="13">
        <f>IFERROR((CHAIN_RAW!L70-CHAIN_RAW!K70)/MAX(1E-9, G70),"")</f>
        <v/>
      </c>
      <c r="J70" s="13">
        <f>IFERROR((CHAIN_RAW!S70-CHAIN_RAW!R70)/MAX(1E-9, H70),"")</f>
        <v/>
      </c>
      <c r="K70" s="13">
        <f>CHAIN_RAW!G70</f>
        <v/>
      </c>
      <c r="L70" s="13">
        <f>CHAIN_RAW!N70</f>
        <v/>
      </c>
      <c r="M70" s="13">
        <f>IFERROR(L70-K70,"")</f>
        <v/>
      </c>
      <c r="N70" s="13">
        <f>CHAIN_RAW!H70</f>
        <v/>
      </c>
      <c r="O70" s="13">
        <f>CHAIN_RAW!O70</f>
        <v/>
      </c>
      <c r="P70" s="13">
        <f>IFERROR(O70/N70,"")</f>
        <v/>
      </c>
      <c r="Q70" s="13">
        <f>CHAIN_RAW!I70</f>
        <v/>
      </c>
      <c r="R70" s="13">
        <f>CHAIN_RAW!P70</f>
        <v/>
      </c>
      <c r="S70" s="13">
        <f>IFERROR(R70/Q70,"")</f>
        <v/>
      </c>
      <c r="T70" s="13">
        <f>IFERROR((ABS(N70-O70)/MAX(1,(N70+O70)))*EXP(-ABS(E70-CONTROL!E5)/MAX(1,CONTROL!B8)),"")</f>
        <v/>
      </c>
      <c r="U70" s="13">
        <f>IFERROR(IF(O70&gt;N70,"SUPPORT (PE OI)","RESIST (CE OI)"),"")</f>
        <v/>
      </c>
      <c r="V70" s="13">
        <f>IFERROR(IF(Q70&gt;0,IF(R70&gt;0,"BOTH_ADD","CE_ADD_PE_REDUCE"),IF(R70&gt;0,"CE_REDUCE_PE_ADD","BOTH_REDUCE")),"")</f>
        <v/>
      </c>
      <c r="W70" s="13">
        <f>IFERROR( (P70-1)*0.5 + (M70)*0.1 - (I70+J70)*0.05 + T70*0.4 ,"")</f>
        <v/>
      </c>
      <c r="X70" s="13">
        <f>IFERROR(IF(ABS(F70)&lt;0.01,"ATM/NEAR",""),"")</f>
        <v/>
      </c>
    </row>
    <row r="71">
      <c r="A71" s="13">
        <f>CHAIN_RAW!A71</f>
        <v/>
      </c>
      <c r="B71" s="14">
        <f>CHAIN_RAW!B71</f>
        <v/>
      </c>
      <c r="C71" s="13">
        <f>CHAIN_RAW!C71</f>
        <v/>
      </c>
      <c r="D71" s="13">
        <f>CHAIN_RAW!D71</f>
        <v/>
      </c>
      <c r="E71" s="13">
        <f>CHAIN_RAW!E71</f>
        <v/>
      </c>
      <c r="F71" s="13">
        <f>IFERROR((E71-D71)/D71,"")</f>
        <v/>
      </c>
      <c r="G71" s="13">
        <f>IFERROR((CHAIN_RAW!K71+CHAIN_RAW!L71)/2,"")</f>
        <v/>
      </c>
      <c r="H71" s="13">
        <f>IFERROR((CHAIN_RAW!R71+CHAIN_RAW!S71)/2,"")</f>
        <v/>
      </c>
      <c r="I71" s="13">
        <f>IFERROR((CHAIN_RAW!L71-CHAIN_RAW!K71)/MAX(1E-9, G71),"")</f>
        <v/>
      </c>
      <c r="J71" s="13">
        <f>IFERROR((CHAIN_RAW!S71-CHAIN_RAW!R71)/MAX(1E-9, H71),"")</f>
        <v/>
      </c>
      <c r="K71" s="13">
        <f>CHAIN_RAW!G71</f>
        <v/>
      </c>
      <c r="L71" s="13">
        <f>CHAIN_RAW!N71</f>
        <v/>
      </c>
      <c r="M71" s="13">
        <f>IFERROR(L71-K71,"")</f>
        <v/>
      </c>
      <c r="N71" s="13">
        <f>CHAIN_RAW!H71</f>
        <v/>
      </c>
      <c r="O71" s="13">
        <f>CHAIN_RAW!O71</f>
        <v/>
      </c>
      <c r="P71" s="13">
        <f>IFERROR(O71/N71,"")</f>
        <v/>
      </c>
      <c r="Q71" s="13">
        <f>CHAIN_RAW!I71</f>
        <v/>
      </c>
      <c r="R71" s="13">
        <f>CHAIN_RAW!P71</f>
        <v/>
      </c>
      <c r="S71" s="13">
        <f>IFERROR(R71/Q71,"")</f>
        <v/>
      </c>
      <c r="T71" s="13">
        <f>IFERROR((ABS(N71-O71)/MAX(1,(N71+O71)))*EXP(-ABS(E71-CONTROL!E5)/MAX(1,CONTROL!B8)),"")</f>
        <v/>
      </c>
      <c r="U71" s="13">
        <f>IFERROR(IF(O71&gt;N71,"SUPPORT (PE OI)","RESIST (CE OI)"),"")</f>
        <v/>
      </c>
      <c r="V71" s="13">
        <f>IFERROR(IF(Q71&gt;0,IF(R71&gt;0,"BOTH_ADD","CE_ADD_PE_REDUCE"),IF(R71&gt;0,"CE_REDUCE_PE_ADD","BOTH_REDUCE")),"")</f>
        <v/>
      </c>
      <c r="W71" s="13">
        <f>IFERROR( (P71-1)*0.5 + (M71)*0.1 - (I71+J71)*0.05 + T71*0.4 ,"")</f>
        <v/>
      </c>
      <c r="X71" s="13">
        <f>IFERROR(IF(ABS(F71)&lt;0.01,"ATM/NEAR",""),"")</f>
        <v/>
      </c>
    </row>
    <row r="72">
      <c r="A72" s="13">
        <f>CHAIN_RAW!A72</f>
        <v/>
      </c>
      <c r="B72" s="14">
        <f>CHAIN_RAW!B72</f>
        <v/>
      </c>
      <c r="C72" s="13">
        <f>CHAIN_RAW!C72</f>
        <v/>
      </c>
      <c r="D72" s="13">
        <f>CHAIN_RAW!D72</f>
        <v/>
      </c>
      <c r="E72" s="13">
        <f>CHAIN_RAW!E72</f>
        <v/>
      </c>
      <c r="F72" s="13">
        <f>IFERROR((E72-D72)/D72,"")</f>
        <v/>
      </c>
      <c r="G72" s="13">
        <f>IFERROR((CHAIN_RAW!K72+CHAIN_RAW!L72)/2,"")</f>
        <v/>
      </c>
      <c r="H72" s="13">
        <f>IFERROR((CHAIN_RAW!R72+CHAIN_RAW!S72)/2,"")</f>
        <v/>
      </c>
      <c r="I72" s="13">
        <f>IFERROR((CHAIN_RAW!L72-CHAIN_RAW!K72)/MAX(1E-9, G72),"")</f>
        <v/>
      </c>
      <c r="J72" s="13">
        <f>IFERROR((CHAIN_RAW!S72-CHAIN_RAW!R72)/MAX(1E-9, H72),"")</f>
        <v/>
      </c>
      <c r="K72" s="13">
        <f>CHAIN_RAW!G72</f>
        <v/>
      </c>
      <c r="L72" s="13">
        <f>CHAIN_RAW!N72</f>
        <v/>
      </c>
      <c r="M72" s="13">
        <f>IFERROR(L72-K72,"")</f>
        <v/>
      </c>
      <c r="N72" s="13">
        <f>CHAIN_RAW!H72</f>
        <v/>
      </c>
      <c r="O72" s="13">
        <f>CHAIN_RAW!O72</f>
        <v/>
      </c>
      <c r="P72" s="13">
        <f>IFERROR(O72/N72,"")</f>
        <v/>
      </c>
      <c r="Q72" s="13">
        <f>CHAIN_RAW!I72</f>
        <v/>
      </c>
      <c r="R72" s="13">
        <f>CHAIN_RAW!P72</f>
        <v/>
      </c>
      <c r="S72" s="13">
        <f>IFERROR(R72/Q72,"")</f>
        <v/>
      </c>
      <c r="T72" s="13">
        <f>IFERROR((ABS(N72-O72)/MAX(1,(N72+O72)))*EXP(-ABS(E72-CONTROL!E5)/MAX(1,CONTROL!B8)),"")</f>
        <v/>
      </c>
      <c r="U72" s="13">
        <f>IFERROR(IF(O72&gt;N72,"SUPPORT (PE OI)","RESIST (CE OI)"),"")</f>
        <v/>
      </c>
      <c r="V72" s="13">
        <f>IFERROR(IF(Q72&gt;0,IF(R72&gt;0,"BOTH_ADD","CE_ADD_PE_REDUCE"),IF(R72&gt;0,"CE_REDUCE_PE_ADD","BOTH_REDUCE")),"")</f>
        <v/>
      </c>
      <c r="W72" s="13">
        <f>IFERROR( (P72-1)*0.5 + (M72)*0.1 - (I72+J72)*0.05 + T72*0.4 ,"")</f>
        <v/>
      </c>
      <c r="X72" s="13">
        <f>IFERROR(IF(ABS(F72)&lt;0.01,"ATM/NEAR",""),"")</f>
        <v/>
      </c>
    </row>
    <row r="73">
      <c r="A73" s="13">
        <f>CHAIN_RAW!A73</f>
        <v/>
      </c>
      <c r="B73" s="14">
        <f>CHAIN_RAW!B73</f>
        <v/>
      </c>
      <c r="C73" s="13">
        <f>CHAIN_RAW!C73</f>
        <v/>
      </c>
      <c r="D73" s="13">
        <f>CHAIN_RAW!D73</f>
        <v/>
      </c>
      <c r="E73" s="13">
        <f>CHAIN_RAW!E73</f>
        <v/>
      </c>
      <c r="F73" s="13">
        <f>IFERROR((E73-D73)/D73,"")</f>
        <v/>
      </c>
      <c r="G73" s="13">
        <f>IFERROR((CHAIN_RAW!K73+CHAIN_RAW!L73)/2,"")</f>
        <v/>
      </c>
      <c r="H73" s="13">
        <f>IFERROR((CHAIN_RAW!R73+CHAIN_RAW!S73)/2,"")</f>
        <v/>
      </c>
      <c r="I73" s="13">
        <f>IFERROR((CHAIN_RAW!L73-CHAIN_RAW!K73)/MAX(1E-9, G73),"")</f>
        <v/>
      </c>
      <c r="J73" s="13">
        <f>IFERROR((CHAIN_RAW!S73-CHAIN_RAW!R73)/MAX(1E-9, H73),"")</f>
        <v/>
      </c>
      <c r="K73" s="13">
        <f>CHAIN_RAW!G73</f>
        <v/>
      </c>
      <c r="L73" s="13">
        <f>CHAIN_RAW!N73</f>
        <v/>
      </c>
      <c r="M73" s="13">
        <f>IFERROR(L73-K73,"")</f>
        <v/>
      </c>
      <c r="N73" s="13">
        <f>CHAIN_RAW!H73</f>
        <v/>
      </c>
      <c r="O73" s="13">
        <f>CHAIN_RAW!O73</f>
        <v/>
      </c>
      <c r="P73" s="13">
        <f>IFERROR(O73/N73,"")</f>
        <v/>
      </c>
      <c r="Q73" s="13">
        <f>CHAIN_RAW!I73</f>
        <v/>
      </c>
      <c r="R73" s="13">
        <f>CHAIN_RAW!P73</f>
        <v/>
      </c>
      <c r="S73" s="13">
        <f>IFERROR(R73/Q73,"")</f>
        <v/>
      </c>
      <c r="T73" s="13">
        <f>IFERROR((ABS(N73-O73)/MAX(1,(N73+O73)))*EXP(-ABS(E73-CONTROL!E5)/MAX(1,CONTROL!B8)),"")</f>
        <v/>
      </c>
      <c r="U73" s="13">
        <f>IFERROR(IF(O73&gt;N73,"SUPPORT (PE OI)","RESIST (CE OI)"),"")</f>
        <v/>
      </c>
      <c r="V73" s="13">
        <f>IFERROR(IF(Q73&gt;0,IF(R73&gt;0,"BOTH_ADD","CE_ADD_PE_REDUCE"),IF(R73&gt;0,"CE_REDUCE_PE_ADD","BOTH_REDUCE")),"")</f>
        <v/>
      </c>
      <c r="W73" s="13">
        <f>IFERROR( (P73-1)*0.5 + (M73)*0.1 - (I73+J73)*0.05 + T73*0.4 ,"")</f>
        <v/>
      </c>
      <c r="X73" s="13">
        <f>IFERROR(IF(ABS(F73)&lt;0.01,"ATM/NEAR",""),"")</f>
        <v/>
      </c>
    </row>
    <row r="74">
      <c r="A74" s="13">
        <f>CHAIN_RAW!A74</f>
        <v/>
      </c>
      <c r="B74" s="14">
        <f>CHAIN_RAW!B74</f>
        <v/>
      </c>
      <c r="C74" s="13">
        <f>CHAIN_RAW!C74</f>
        <v/>
      </c>
      <c r="D74" s="13">
        <f>CHAIN_RAW!D74</f>
        <v/>
      </c>
      <c r="E74" s="13">
        <f>CHAIN_RAW!E74</f>
        <v/>
      </c>
      <c r="F74" s="13">
        <f>IFERROR((E74-D74)/D74,"")</f>
        <v/>
      </c>
      <c r="G74" s="13">
        <f>IFERROR((CHAIN_RAW!K74+CHAIN_RAW!L74)/2,"")</f>
        <v/>
      </c>
      <c r="H74" s="13">
        <f>IFERROR((CHAIN_RAW!R74+CHAIN_RAW!S74)/2,"")</f>
        <v/>
      </c>
      <c r="I74" s="13">
        <f>IFERROR((CHAIN_RAW!L74-CHAIN_RAW!K74)/MAX(1E-9, G74),"")</f>
        <v/>
      </c>
      <c r="J74" s="13">
        <f>IFERROR((CHAIN_RAW!S74-CHAIN_RAW!R74)/MAX(1E-9, H74),"")</f>
        <v/>
      </c>
      <c r="K74" s="13">
        <f>CHAIN_RAW!G74</f>
        <v/>
      </c>
      <c r="L74" s="13">
        <f>CHAIN_RAW!N74</f>
        <v/>
      </c>
      <c r="M74" s="13">
        <f>IFERROR(L74-K74,"")</f>
        <v/>
      </c>
      <c r="N74" s="13">
        <f>CHAIN_RAW!H74</f>
        <v/>
      </c>
      <c r="O74" s="13">
        <f>CHAIN_RAW!O74</f>
        <v/>
      </c>
      <c r="P74" s="13">
        <f>IFERROR(O74/N74,"")</f>
        <v/>
      </c>
      <c r="Q74" s="13">
        <f>CHAIN_RAW!I74</f>
        <v/>
      </c>
      <c r="R74" s="13">
        <f>CHAIN_RAW!P74</f>
        <v/>
      </c>
      <c r="S74" s="13">
        <f>IFERROR(R74/Q74,"")</f>
        <v/>
      </c>
      <c r="T74" s="13">
        <f>IFERROR((ABS(N74-O74)/MAX(1,(N74+O74)))*EXP(-ABS(E74-CONTROL!E5)/MAX(1,CONTROL!B8)),"")</f>
        <v/>
      </c>
      <c r="U74" s="13">
        <f>IFERROR(IF(O74&gt;N74,"SUPPORT (PE OI)","RESIST (CE OI)"),"")</f>
        <v/>
      </c>
      <c r="V74" s="13">
        <f>IFERROR(IF(Q74&gt;0,IF(R74&gt;0,"BOTH_ADD","CE_ADD_PE_REDUCE"),IF(R74&gt;0,"CE_REDUCE_PE_ADD","BOTH_REDUCE")),"")</f>
        <v/>
      </c>
      <c r="W74" s="13">
        <f>IFERROR( (P74-1)*0.5 + (M74)*0.1 - (I74+J74)*0.05 + T74*0.4 ,"")</f>
        <v/>
      </c>
      <c r="X74" s="13">
        <f>IFERROR(IF(ABS(F74)&lt;0.01,"ATM/NEAR",""),"")</f>
        <v/>
      </c>
    </row>
    <row r="75">
      <c r="A75" s="13">
        <f>CHAIN_RAW!A75</f>
        <v/>
      </c>
      <c r="B75" s="14">
        <f>CHAIN_RAW!B75</f>
        <v/>
      </c>
      <c r="C75" s="13">
        <f>CHAIN_RAW!C75</f>
        <v/>
      </c>
      <c r="D75" s="13">
        <f>CHAIN_RAW!D75</f>
        <v/>
      </c>
      <c r="E75" s="13">
        <f>CHAIN_RAW!E75</f>
        <v/>
      </c>
      <c r="F75" s="13">
        <f>IFERROR((E75-D75)/D75,"")</f>
        <v/>
      </c>
      <c r="G75" s="13">
        <f>IFERROR((CHAIN_RAW!K75+CHAIN_RAW!L75)/2,"")</f>
        <v/>
      </c>
      <c r="H75" s="13">
        <f>IFERROR((CHAIN_RAW!R75+CHAIN_RAW!S75)/2,"")</f>
        <v/>
      </c>
      <c r="I75" s="13">
        <f>IFERROR((CHAIN_RAW!L75-CHAIN_RAW!K75)/MAX(1E-9, G75),"")</f>
        <v/>
      </c>
      <c r="J75" s="13">
        <f>IFERROR((CHAIN_RAW!S75-CHAIN_RAW!R75)/MAX(1E-9, H75),"")</f>
        <v/>
      </c>
      <c r="K75" s="13">
        <f>CHAIN_RAW!G75</f>
        <v/>
      </c>
      <c r="L75" s="13">
        <f>CHAIN_RAW!N75</f>
        <v/>
      </c>
      <c r="M75" s="13">
        <f>IFERROR(L75-K75,"")</f>
        <v/>
      </c>
      <c r="N75" s="13">
        <f>CHAIN_RAW!H75</f>
        <v/>
      </c>
      <c r="O75" s="13">
        <f>CHAIN_RAW!O75</f>
        <v/>
      </c>
      <c r="P75" s="13">
        <f>IFERROR(O75/N75,"")</f>
        <v/>
      </c>
      <c r="Q75" s="13">
        <f>CHAIN_RAW!I75</f>
        <v/>
      </c>
      <c r="R75" s="13">
        <f>CHAIN_RAW!P75</f>
        <v/>
      </c>
      <c r="S75" s="13">
        <f>IFERROR(R75/Q75,"")</f>
        <v/>
      </c>
      <c r="T75" s="13">
        <f>IFERROR((ABS(N75-O75)/MAX(1,(N75+O75)))*EXP(-ABS(E75-CONTROL!E5)/MAX(1,CONTROL!B8)),"")</f>
        <v/>
      </c>
      <c r="U75" s="13">
        <f>IFERROR(IF(O75&gt;N75,"SUPPORT (PE OI)","RESIST (CE OI)"),"")</f>
        <v/>
      </c>
      <c r="V75" s="13">
        <f>IFERROR(IF(Q75&gt;0,IF(R75&gt;0,"BOTH_ADD","CE_ADD_PE_REDUCE"),IF(R75&gt;0,"CE_REDUCE_PE_ADD","BOTH_REDUCE")),"")</f>
        <v/>
      </c>
      <c r="W75" s="13">
        <f>IFERROR( (P75-1)*0.5 + (M75)*0.1 - (I75+J75)*0.05 + T75*0.4 ,"")</f>
        <v/>
      </c>
      <c r="X75" s="13">
        <f>IFERROR(IF(ABS(F75)&lt;0.01,"ATM/NEAR",""),"")</f>
        <v/>
      </c>
    </row>
    <row r="76">
      <c r="A76" s="13">
        <f>CHAIN_RAW!A76</f>
        <v/>
      </c>
      <c r="B76" s="14">
        <f>CHAIN_RAW!B76</f>
        <v/>
      </c>
      <c r="C76" s="13">
        <f>CHAIN_RAW!C76</f>
        <v/>
      </c>
      <c r="D76" s="13">
        <f>CHAIN_RAW!D76</f>
        <v/>
      </c>
      <c r="E76" s="13">
        <f>CHAIN_RAW!E76</f>
        <v/>
      </c>
      <c r="F76" s="13">
        <f>IFERROR((E76-D76)/D76,"")</f>
        <v/>
      </c>
      <c r="G76" s="13">
        <f>IFERROR((CHAIN_RAW!K76+CHAIN_RAW!L76)/2,"")</f>
        <v/>
      </c>
      <c r="H76" s="13">
        <f>IFERROR((CHAIN_RAW!R76+CHAIN_RAW!S76)/2,"")</f>
        <v/>
      </c>
      <c r="I76" s="13">
        <f>IFERROR((CHAIN_RAW!L76-CHAIN_RAW!K76)/MAX(1E-9, G76),"")</f>
        <v/>
      </c>
      <c r="J76" s="13">
        <f>IFERROR((CHAIN_RAW!S76-CHAIN_RAW!R76)/MAX(1E-9, H76),"")</f>
        <v/>
      </c>
      <c r="K76" s="13">
        <f>CHAIN_RAW!G76</f>
        <v/>
      </c>
      <c r="L76" s="13">
        <f>CHAIN_RAW!N76</f>
        <v/>
      </c>
      <c r="M76" s="13">
        <f>IFERROR(L76-K76,"")</f>
        <v/>
      </c>
      <c r="N76" s="13">
        <f>CHAIN_RAW!H76</f>
        <v/>
      </c>
      <c r="O76" s="13">
        <f>CHAIN_RAW!O76</f>
        <v/>
      </c>
      <c r="P76" s="13">
        <f>IFERROR(O76/N76,"")</f>
        <v/>
      </c>
      <c r="Q76" s="13">
        <f>CHAIN_RAW!I76</f>
        <v/>
      </c>
      <c r="R76" s="13">
        <f>CHAIN_RAW!P76</f>
        <v/>
      </c>
      <c r="S76" s="13">
        <f>IFERROR(R76/Q76,"")</f>
        <v/>
      </c>
      <c r="T76" s="13">
        <f>IFERROR((ABS(N76-O76)/MAX(1,(N76+O76)))*EXP(-ABS(E76-CONTROL!E5)/MAX(1,CONTROL!B8)),"")</f>
        <v/>
      </c>
      <c r="U76" s="13">
        <f>IFERROR(IF(O76&gt;N76,"SUPPORT (PE OI)","RESIST (CE OI)"),"")</f>
        <v/>
      </c>
      <c r="V76" s="13">
        <f>IFERROR(IF(Q76&gt;0,IF(R76&gt;0,"BOTH_ADD","CE_ADD_PE_REDUCE"),IF(R76&gt;0,"CE_REDUCE_PE_ADD","BOTH_REDUCE")),"")</f>
        <v/>
      </c>
      <c r="W76" s="13">
        <f>IFERROR( (P76-1)*0.5 + (M76)*0.1 - (I76+J76)*0.05 + T76*0.4 ,"")</f>
        <v/>
      </c>
      <c r="X76" s="13">
        <f>IFERROR(IF(ABS(F76)&lt;0.01,"ATM/NEAR",""),"")</f>
        <v/>
      </c>
    </row>
    <row r="77">
      <c r="A77" s="13">
        <f>CHAIN_RAW!A77</f>
        <v/>
      </c>
      <c r="B77" s="14">
        <f>CHAIN_RAW!B77</f>
        <v/>
      </c>
      <c r="C77" s="13">
        <f>CHAIN_RAW!C77</f>
        <v/>
      </c>
      <c r="D77" s="13">
        <f>CHAIN_RAW!D77</f>
        <v/>
      </c>
      <c r="E77" s="13">
        <f>CHAIN_RAW!E77</f>
        <v/>
      </c>
      <c r="F77" s="13">
        <f>IFERROR((E77-D77)/D77,"")</f>
        <v/>
      </c>
      <c r="G77" s="13">
        <f>IFERROR((CHAIN_RAW!K77+CHAIN_RAW!L77)/2,"")</f>
        <v/>
      </c>
      <c r="H77" s="13">
        <f>IFERROR((CHAIN_RAW!R77+CHAIN_RAW!S77)/2,"")</f>
        <v/>
      </c>
      <c r="I77" s="13">
        <f>IFERROR((CHAIN_RAW!L77-CHAIN_RAW!K77)/MAX(1E-9, G77),"")</f>
        <v/>
      </c>
      <c r="J77" s="13">
        <f>IFERROR((CHAIN_RAW!S77-CHAIN_RAW!R77)/MAX(1E-9, H77),"")</f>
        <v/>
      </c>
      <c r="K77" s="13">
        <f>CHAIN_RAW!G77</f>
        <v/>
      </c>
      <c r="L77" s="13">
        <f>CHAIN_RAW!N77</f>
        <v/>
      </c>
      <c r="M77" s="13">
        <f>IFERROR(L77-K77,"")</f>
        <v/>
      </c>
      <c r="N77" s="13">
        <f>CHAIN_RAW!H77</f>
        <v/>
      </c>
      <c r="O77" s="13">
        <f>CHAIN_RAW!O77</f>
        <v/>
      </c>
      <c r="P77" s="13">
        <f>IFERROR(O77/N77,"")</f>
        <v/>
      </c>
      <c r="Q77" s="13">
        <f>CHAIN_RAW!I77</f>
        <v/>
      </c>
      <c r="R77" s="13">
        <f>CHAIN_RAW!P77</f>
        <v/>
      </c>
      <c r="S77" s="13">
        <f>IFERROR(R77/Q77,"")</f>
        <v/>
      </c>
      <c r="T77" s="13">
        <f>IFERROR((ABS(N77-O77)/MAX(1,(N77+O77)))*EXP(-ABS(E77-CONTROL!E5)/MAX(1,CONTROL!B8)),"")</f>
        <v/>
      </c>
      <c r="U77" s="13">
        <f>IFERROR(IF(O77&gt;N77,"SUPPORT (PE OI)","RESIST (CE OI)"),"")</f>
        <v/>
      </c>
      <c r="V77" s="13">
        <f>IFERROR(IF(Q77&gt;0,IF(R77&gt;0,"BOTH_ADD","CE_ADD_PE_REDUCE"),IF(R77&gt;0,"CE_REDUCE_PE_ADD","BOTH_REDUCE")),"")</f>
        <v/>
      </c>
      <c r="W77" s="13">
        <f>IFERROR( (P77-1)*0.5 + (M77)*0.1 - (I77+J77)*0.05 + T77*0.4 ,"")</f>
        <v/>
      </c>
      <c r="X77" s="13">
        <f>IFERROR(IF(ABS(F77)&lt;0.01,"ATM/NEAR",""),"")</f>
        <v/>
      </c>
    </row>
    <row r="78">
      <c r="A78" s="13">
        <f>CHAIN_RAW!A78</f>
        <v/>
      </c>
      <c r="B78" s="14">
        <f>CHAIN_RAW!B78</f>
        <v/>
      </c>
      <c r="C78" s="13">
        <f>CHAIN_RAW!C78</f>
        <v/>
      </c>
      <c r="D78" s="13">
        <f>CHAIN_RAW!D78</f>
        <v/>
      </c>
      <c r="E78" s="13">
        <f>CHAIN_RAW!E78</f>
        <v/>
      </c>
      <c r="F78" s="13">
        <f>IFERROR((E78-D78)/D78,"")</f>
        <v/>
      </c>
      <c r="G78" s="13">
        <f>IFERROR((CHAIN_RAW!K78+CHAIN_RAW!L78)/2,"")</f>
        <v/>
      </c>
      <c r="H78" s="13">
        <f>IFERROR((CHAIN_RAW!R78+CHAIN_RAW!S78)/2,"")</f>
        <v/>
      </c>
      <c r="I78" s="13">
        <f>IFERROR((CHAIN_RAW!L78-CHAIN_RAW!K78)/MAX(1E-9, G78),"")</f>
        <v/>
      </c>
      <c r="J78" s="13">
        <f>IFERROR((CHAIN_RAW!S78-CHAIN_RAW!R78)/MAX(1E-9, H78),"")</f>
        <v/>
      </c>
      <c r="K78" s="13">
        <f>CHAIN_RAW!G78</f>
        <v/>
      </c>
      <c r="L78" s="13">
        <f>CHAIN_RAW!N78</f>
        <v/>
      </c>
      <c r="M78" s="13">
        <f>IFERROR(L78-K78,"")</f>
        <v/>
      </c>
      <c r="N78" s="13">
        <f>CHAIN_RAW!H78</f>
        <v/>
      </c>
      <c r="O78" s="13">
        <f>CHAIN_RAW!O78</f>
        <v/>
      </c>
      <c r="P78" s="13">
        <f>IFERROR(O78/N78,"")</f>
        <v/>
      </c>
      <c r="Q78" s="13">
        <f>CHAIN_RAW!I78</f>
        <v/>
      </c>
      <c r="R78" s="13">
        <f>CHAIN_RAW!P78</f>
        <v/>
      </c>
      <c r="S78" s="13">
        <f>IFERROR(R78/Q78,"")</f>
        <v/>
      </c>
      <c r="T78" s="13">
        <f>IFERROR((ABS(N78-O78)/MAX(1,(N78+O78)))*EXP(-ABS(E78-CONTROL!E5)/MAX(1,CONTROL!B8)),"")</f>
        <v/>
      </c>
      <c r="U78" s="13">
        <f>IFERROR(IF(O78&gt;N78,"SUPPORT (PE OI)","RESIST (CE OI)"),"")</f>
        <v/>
      </c>
      <c r="V78" s="13">
        <f>IFERROR(IF(Q78&gt;0,IF(R78&gt;0,"BOTH_ADD","CE_ADD_PE_REDUCE"),IF(R78&gt;0,"CE_REDUCE_PE_ADD","BOTH_REDUCE")),"")</f>
        <v/>
      </c>
      <c r="W78" s="13">
        <f>IFERROR( (P78-1)*0.5 + (M78)*0.1 - (I78+J78)*0.05 + T78*0.4 ,"")</f>
        <v/>
      </c>
      <c r="X78" s="13">
        <f>IFERROR(IF(ABS(F78)&lt;0.01,"ATM/NEAR",""),"")</f>
        <v/>
      </c>
    </row>
    <row r="79">
      <c r="A79" s="13">
        <f>CHAIN_RAW!A79</f>
        <v/>
      </c>
      <c r="B79" s="14">
        <f>CHAIN_RAW!B79</f>
        <v/>
      </c>
      <c r="C79" s="13">
        <f>CHAIN_RAW!C79</f>
        <v/>
      </c>
      <c r="D79" s="13">
        <f>CHAIN_RAW!D79</f>
        <v/>
      </c>
      <c r="E79" s="13">
        <f>CHAIN_RAW!E79</f>
        <v/>
      </c>
      <c r="F79" s="13">
        <f>IFERROR((E79-D79)/D79,"")</f>
        <v/>
      </c>
      <c r="G79" s="13">
        <f>IFERROR((CHAIN_RAW!K79+CHAIN_RAW!L79)/2,"")</f>
        <v/>
      </c>
      <c r="H79" s="13">
        <f>IFERROR((CHAIN_RAW!R79+CHAIN_RAW!S79)/2,"")</f>
        <v/>
      </c>
      <c r="I79" s="13">
        <f>IFERROR((CHAIN_RAW!L79-CHAIN_RAW!K79)/MAX(1E-9, G79),"")</f>
        <v/>
      </c>
      <c r="J79" s="13">
        <f>IFERROR((CHAIN_RAW!S79-CHAIN_RAW!R79)/MAX(1E-9, H79),"")</f>
        <v/>
      </c>
      <c r="K79" s="13">
        <f>CHAIN_RAW!G79</f>
        <v/>
      </c>
      <c r="L79" s="13">
        <f>CHAIN_RAW!N79</f>
        <v/>
      </c>
      <c r="M79" s="13">
        <f>IFERROR(L79-K79,"")</f>
        <v/>
      </c>
      <c r="N79" s="13">
        <f>CHAIN_RAW!H79</f>
        <v/>
      </c>
      <c r="O79" s="13">
        <f>CHAIN_RAW!O79</f>
        <v/>
      </c>
      <c r="P79" s="13">
        <f>IFERROR(O79/N79,"")</f>
        <v/>
      </c>
      <c r="Q79" s="13">
        <f>CHAIN_RAW!I79</f>
        <v/>
      </c>
      <c r="R79" s="13">
        <f>CHAIN_RAW!P79</f>
        <v/>
      </c>
      <c r="S79" s="13">
        <f>IFERROR(R79/Q79,"")</f>
        <v/>
      </c>
      <c r="T79" s="13">
        <f>IFERROR((ABS(N79-O79)/MAX(1,(N79+O79)))*EXP(-ABS(E79-CONTROL!E5)/MAX(1,CONTROL!B8)),"")</f>
        <v/>
      </c>
      <c r="U79" s="13">
        <f>IFERROR(IF(O79&gt;N79,"SUPPORT (PE OI)","RESIST (CE OI)"),"")</f>
        <v/>
      </c>
      <c r="V79" s="13">
        <f>IFERROR(IF(Q79&gt;0,IF(R79&gt;0,"BOTH_ADD","CE_ADD_PE_REDUCE"),IF(R79&gt;0,"CE_REDUCE_PE_ADD","BOTH_REDUCE")),"")</f>
        <v/>
      </c>
      <c r="W79" s="13">
        <f>IFERROR( (P79-1)*0.5 + (M79)*0.1 - (I79+J79)*0.05 + T79*0.4 ,"")</f>
        <v/>
      </c>
      <c r="X79" s="13">
        <f>IFERROR(IF(ABS(F79)&lt;0.01,"ATM/NEAR",""),"")</f>
        <v/>
      </c>
    </row>
    <row r="80">
      <c r="A80" s="13">
        <f>CHAIN_RAW!A80</f>
        <v/>
      </c>
      <c r="B80" s="14">
        <f>CHAIN_RAW!B80</f>
        <v/>
      </c>
      <c r="C80" s="13">
        <f>CHAIN_RAW!C80</f>
        <v/>
      </c>
      <c r="D80" s="13">
        <f>CHAIN_RAW!D80</f>
        <v/>
      </c>
      <c r="E80" s="13">
        <f>CHAIN_RAW!E80</f>
        <v/>
      </c>
      <c r="F80" s="13">
        <f>IFERROR((E80-D80)/D80,"")</f>
        <v/>
      </c>
      <c r="G80" s="13">
        <f>IFERROR((CHAIN_RAW!K80+CHAIN_RAW!L80)/2,"")</f>
        <v/>
      </c>
      <c r="H80" s="13">
        <f>IFERROR((CHAIN_RAW!R80+CHAIN_RAW!S80)/2,"")</f>
        <v/>
      </c>
      <c r="I80" s="13">
        <f>IFERROR((CHAIN_RAW!L80-CHAIN_RAW!K80)/MAX(1E-9, G80),"")</f>
        <v/>
      </c>
      <c r="J80" s="13">
        <f>IFERROR((CHAIN_RAW!S80-CHAIN_RAW!R80)/MAX(1E-9, H80),"")</f>
        <v/>
      </c>
      <c r="K80" s="13">
        <f>CHAIN_RAW!G80</f>
        <v/>
      </c>
      <c r="L80" s="13">
        <f>CHAIN_RAW!N80</f>
        <v/>
      </c>
      <c r="M80" s="13">
        <f>IFERROR(L80-K80,"")</f>
        <v/>
      </c>
      <c r="N80" s="13">
        <f>CHAIN_RAW!H80</f>
        <v/>
      </c>
      <c r="O80" s="13">
        <f>CHAIN_RAW!O80</f>
        <v/>
      </c>
      <c r="P80" s="13">
        <f>IFERROR(O80/N80,"")</f>
        <v/>
      </c>
      <c r="Q80" s="13">
        <f>CHAIN_RAW!I80</f>
        <v/>
      </c>
      <c r="R80" s="13">
        <f>CHAIN_RAW!P80</f>
        <v/>
      </c>
      <c r="S80" s="13">
        <f>IFERROR(R80/Q80,"")</f>
        <v/>
      </c>
      <c r="T80" s="13">
        <f>IFERROR((ABS(N80-O80)/MAX(1,(N80+O80)))*EXP(-ABS(E80-CONTROL!E5)/MAX(1,CONTROL!B8)),"")</f>
        <v/>
      </c>
      <c r="U80" s="13">
        <f>IFERROR(IF(O80&gt;N80,"SUPPORT (PE OI)","RESIST (CE OI)"),"")</f>
        <v/>
      </c>
      <c r="V80" s="13">
        <f>IFERROR(IF(Q80&gt;0,IF(R80&gt;0,"BOTH_ADD","CE_ADD_PE_REDUCE"),IF(R80&gt;0,"CE_REDUCE_PE_ADD","BOTH_REDUCE")),"")</f>
        <v/>
      </c>
      <c r="W80" s="13">
        <f>IFERROR( (P80-1)*0.5 + (M80)*0.1 - (I80+J80)*0.05 + T80*0.4 ,"")</f>
        <v/>
      </c>
      <c r="X80" s="13">
        <f>IFERROR(IF(ABS(F80)&lt;0.01,"ATM/NEAR",""),"")</f>
        <v/>
      </c>
    </row>
    <row r="81">
      <c r="A81" s="13">
        <f>CHAIN_RAW!A81</f>
        <v/>
      </c>
      <c r="B81" s="14">
        <f>CHAIN_RAW!B81</f>
        <v/>
      </c>
      <c r="C81" s="13">
        <f>CHAIN_RAW!C81</f>
        <v/>
      </c>
      <c r="D81" s="13">
        <f>CHAIN_RAW!D81</f>
        <v/>
      </c>
      <c r="E81" s="13">
        <f>CHAIN_RAW!E81</f>
        <v/>
      </c>
      <c r="F81" s="13">
        <f>IFERROR((E81-D81)/D81,"")</f>
        <v/>
      </c>
      <c r="G81" s="13">
        <f>IFERROR((CHAIN_RAW!K81+CHAIN_RAW!L81)/2,"")</f>
        <v/>
      </c>
      <c r="H81" s="13">
        <f>IFERROR((CHAIN_RAW!R81+CHAIN_RAW!S81)/2,"")</f>
        <v/>
      </c>
      <c r="I81" s="13">
        <f>IFERROR((CHAIN_RAW!L81-CHAIN_RAW!K81)/MAX(1E-9, G81),"")</f>
        <v/>
      </c>
      <c r="J81" s="13">
        <f>IFERROR((CHAIN_RAW!S81-CHAIN_RAW!R81)/MAX(1E-9, H81),"")</f>
        <v/>
      </c>
      <c r="K81" s="13">
        <f>CHAIN_RAW!G81</f>
        <v/>
      </c>
      <c r="L81" s="13">
        <f>CHAIN_RAW!N81</f>
        <v/>
      </c>
      <c r="M81" s="13">
        <f>IFERROR(L81-K81,"")</f>
        <v/>
      </c>
      <c r="N81" s="13">
        <f>CHAIN_RAW!H81</f>
        <v/>
      </c>
      <c r="O81" s="13">
        <f>CHAIN_RAW!O81</f>
        <v/>
      </c>
      <c r="P81" s="13">
        <f>IFERROR(O81/N81,"")</f>
        <v/>
      </c>
      <c r="Q81" s="13">
        <f>CHAIN_RAW!I81</f>
        <v/>
      </c>
      <c r="R81" s="13">
        <f>CHAIN_RAW!P81</f>
        <v/>
      </c>
      <c r="S81" s="13">
        <f>IFERROR(R81/Q81,"")</f>
        <v/>
      </c>
      <c r="T81" s="13">
        <f>IFERROR((ABS(N81-O81)/MAX(1,(N81+O81)))*EXP(-ABS(E81-CONTROL!E5)/MAX(1,CONTROL!B8)),"")</f>
        <v/>
      </c>
      <c r="U81" s="13">
        <f>IFERROR(IF(O81&gt;N81,"SUPPORT (PE OI)","RESIST (CE OI)"),"")</f>
        <v/>
      </c>
      <c r="V81" s="13">
        <f>IFERROR(IF(Q81&gt;0,IF(R81&gt;0,"BOTH_ADD","CE_ADD_PE_REDUCE"),IF(R81&gt;0,"CE_REDUCE_PE_ADD","BOTH_REDUCE")),"")</f>
        <v/>
      </c>
      <c r="W81" s="13">
        <f>IFERROR( (P81-1)*0.5 + (M81)*0.1 - (I81+J81)*0.05 + T81*0.4 ,"")</f>
        <v/>
      </c>
      <c r="X81" s="13">
        <f>IFERROR(IF(ABS(F81)&lt;0.01,"ATM/NEAR",""),"")</f>
        <v/>
      </c>
    </row>
    <row r="82">
      <c r="A82" s="13">
        <f>CHAIN_RAW!A82</f>
        <v/>
      </c>
      <c r="B82" s="14">
        <f>CHAIN_RAW!B82</f>
        <v/>
      </c>
      <c r="C82" s="13">
        <f>CHAIN_RAW!C82</f>
        <v/>
      </c>
      <c r="D82" s="13">
        <f>CHAIN_RAW!D82</f>
        <v/>
      </c>
      <c r="E82" s="13">
        <f>CHAIN_RAW!E82</f>
        <v/>
      </c>
      <c r="F82" s="13">
        <f>IFERROR((E82-D82)/D82,"")</f>
        <v/>
      </c>
      <c r="G82" s="13">
        <f>IFERROR((CHAIN_RAW!K82+CHAIN_RAW!L82)/2,"")</f>
        <v/>
      </c>
      <c r="H82" s="13">
        <f>IFERROR((CHAIN_RAW!R82+CHAIN_RAW!S82)/2,"")</f>
        <v/>
      </c>
      <c r="I82" s="13">
        <f>IFERROR((CHAIN_RAW!L82-CHAIN_RAW!K82)/MAX(1E-9, G82),"")</f>
        <v/>
      </c>
      <c r="J82" s="13">
        <f>IFERROR((CHAIN_RAW!S82-CHAIN_RAW!R82)/MAX(1E-9, H82),"")</f>
        <v/>
      </c>
      <c r="K82" s="13">
        <f>CHAIN_RAW!G82</f>
        <v/>
      </c>
      <c r="L82" s="13">
        <f>CHAIN_RAW!N82</f>
        <v/>
      </c>
      <c r="M82" s="13">
        <f>IFERROR(L82-K82,"")</f>
        <v/>
      </c>
      <c r="N82" s="13">
        <f>CHAIN_RAW!H82</f>
        <v/>
      </c>
      <c r="O82" s="13">
        <f>CHAIN_RAW!O82</f>
        <v/>
      </c>
      <c r="P82" s="13">
        <f>IFERROR(O82/N82,"")</f>
        <v/>
      </c>
      <c r="Q82" s="13">
        <f>CHAIN_RAW!I82</f>
        <v/>
      </c>
      <c r="R82" s="13">
        <f>CHAIN_RAW!P82</f>
        <v/>
      </c>
      <c r="S82" s="13">
        <f>IFERROR(R82/Q82,"")</f>
        <v/>
      </c>
      <c r="T82" s="13">
        <f>IFERROR((ABS(N82-O82)/MAX(1,(N82+O82)))*EXP(-ABS(E82-CONTROL!E5)/MAX(1,CONTROL!B8)),"")</f>
        <v/>
      </c>
      <c r="U82" s="13">
        <f>IFERROR(IF(O82&gt;N82,"SUPPORT (PE OI)","RESIST (CE OI)"),"")</f>
        <v/>
      </c>
      <c r="V82" s="13">
        <f>IFERROR(IF(Q82&gt;0,IF(R82&gt;0,"BOTH_ADD","CE_ADD_PE_REDUCE"),IF(R82&gt;0,"CE_REDUCE_PE_ADD","BOTH_REDUCE")),"")</f>
        <v/>
      </c>
      <c r="W82" s="13">
        <f>IFERROR( (P82-1)*0.5 + (M82)*0.1 - (I82+J82)*0.05 + T82*0.4 ,"")</f>
        <v/>
      </c>
      <c r="X82" s="13">
        <f>IFERROR(IF(ABS(F82)&lt;0.01,"ATM/NEAR",""),"")</f>
        <v/>
      </c>
    </row>
    <row r="83">
      <c r="A83" s="13">
        <f>CHAIN_RAW!A83</f>
        <v/>
      </c>
      <c r="B83" s="14">
        <f>CHAIN_RAW!B83</f>
        <v/>
      </c>
      <c r="C83" s="13">
        <f>CHAIN_RAW!C83</f>
        <v/>
      </c>
      <c r="D83" s="13">
        <f>CHAIN_RAW!D83</f>
        <v/>
      </c>
      <c r="E83" s="13">
        <f>CHAIN_RAW!E83</f>
        <v/>
      </c>
      <c r="F83" s="13">
        <f>IFERROR((E83-D83)/D83,"")</f>
        <v/>
      </c>
      <c r="G83" s="13">
        <f>IFERROR((CHAIN_RAW!K83+CHAIN_RAW!L83)/2,"")</f>
        <v/>
      </c>
      <c r="H83" s="13">
        <f>IFERROR((CHAIN_RAW!R83+CHAIN_RAW!S83)/2,"")</f>
        <v/>
      </c>
      <c r="I83" s="13">
        <f>IFERROR((CHAIN_RAW!L83-CHAIN_RAW!K83)/MAX(1E-9, G83),"")</f>
        <v/>
      </c>
      <c r="J83" s="13">
        <f>IFERROR((CHAIN_RAW!S83-CHAIN_RAW!R83)/MAX(1E-9, H83),"")</f>
        <v/>
      </c>
      <c r="K83" s="13">
        <f>CHAIN_RAW!G83</f>
        <v/>
      </c>
      <c r="L83" s="13">
        <f>CHAIN_RAW!N83</f>
        <v/>
      </c>
      <c r="M83" s="13">
        <f>IFERROR(L83-K83,"")</f>
        <v/>
      </c>
      <c r="N83" s="13">
        <f>CHAIN_RAW!H83</f>
        <v/>
      </c>
      <c r="O83" s="13">
        <f>CHAIN_RAW!O83</f>
        <v/>
      </c>
      <c r="P83" s="13">
        <f>IFERROR(O83/N83,"")</f>
        <v/>
      </c>
      <c r="Q83" s="13">
        <f>CHAIN_RAW!I83</f>
        <v/>
      </c>
      <c r="R83" s="13">
        <f>CHAIN_RAW!P83</f>
        <v/>
      </c>
      <c r="S83" s="13">
        <f>IFERROR(R83/Q83,"")</f>
        <v/>
      </c>
      <c r="T83" s="13">
        <f>IFERROR((ABS(N83-O83)/MAX(1,(N83+O83)))*EXP(-ABS(E83-CONTROL!E5)/MAX(1,CONTROL!B8)),"")</f>
        <v/>
      </c>
      <c r="U83" s="13">
        <f>IFERROR(IF(O83&gt;N83,"SUPPORT (PE OI)","RESIST (CE OI)"),"")</f>
        <v/>
      </c>
      <c r="V83" s="13">
        <f>IFERROR(IF(Q83&gt;0,IF(R83&gt;0,"BOTH_ADD","CE_ADD_PE_REDUCE"),IF(R83&gt;0,"CE_REDUCE_PE_ADD","BOTH_REDUCE")),"")</f>
        <v/>
      </c>
      <c r="W83" s="13">
        <f>IFERROR( (P83-1)*0.5 + (M83)*0.1 - (I83+J83)*0.05 + T83*0.4 ,"")</f>
        <v/>
      </c>
      <c r="X83" s="13">
        <f>IFERROR(IF(ABS(F83)&lt;0.01,"ATM/NEAR",""),"")</f>
        <v/>
      </c>
    </row>
    <row r="84">
      <c r="A84" s="13">
        <f>CHAIN_RAW!A84</f>
        <v/>
      </c>
      <c r="B84" s="14">
        <f>CHAIN_RAW!B84</f>
        <v/>
      </c>
      <c r="C84" s="13">
        <f>CHAIN_RAW!C84</f>
        <v/>
      </c>
      <c r="D84" s="13">
        <f>CHAIN_RAW!D84</f>
        <v/>
      </c>
      <c r="E84" s="13">
        <f>CHAIN_RAW!E84</f>
        <v/>
      </c>
      <c r="F84" s="13">
        <f>IFERROR((E84-D84)/D84,"")</f>
        <v/>
      </c>
      <c r="G84" s="13">
        <f>IFERROR((CHAIN_RAW!K84+CHAIN_RAW!L84)/2,"")</f>
        <v/>
      </c>
      <c r="H84" s="13">
        <f>IFERROR((CHAIN_RAW!R84+CHAIN_RAW!S84)/2,"")</f>
        <v/>
      </c>
      <c r="I84" s="13">
        <f>IFERROR((CHAIN_RAW!L84-CHAIN_RAW!K84)/MAX(1E-9, G84),"")</f>
        <v/>
      </c>
      <c r="J84" s="13">
        <f>IFERROR((CHAIN_RAW!S84-CHAIN_RAW!R84)/MAX(1E-9, H84),"")</f>
        <v/>
      </c>
      <c r="K84" s="13">
        <f>CHAIN_RAW!G84</f>
        <v/>
      </c>
      <c r="L84" s="13">
        <f>CHAIN_RAW!N84</f>
        <v/>
      </c>
      <c r="M84" s="13">
        <f>IFERROR(L84-K84,"")</f>
        <v/>
      </c>
      <c r="N84" s="13">
        <f>CHAIN_RAW!H84</f>
        <v/>
      </c>
      <c r="O84" s="13">
        <f>CHAIN_RAW!O84</f>
        <v/>
      </c>
      <c r="P84" s="13">
        <f>IFERROR(O84/N84,"")</f>
        <v/>
      </c>
      <c r="Q84" s="13">
        <f>CHAIN_RAW!I84</f>
        <v/>
      </c>
      <c r="R84" s="13">
        <f>CHAIN_RAW!P84</f>
        <v/>
      </c>
      <c r="S84" s="13">
        <f>IFERROR(R84/Q84,"")</f>
        <v/>
      </c>
      <c r="T84" s="13">
        <f>IFERROR((ABS(N84-O84)/MAX(1,(N84+O84)))*EXP(-ABS(E84-CONTROL!E5)/MAX(1,CONTROL!B8)),"")</f>
        <v/>
      </c>
      <c r="U84" s="13">
        <f>IFERROR(IF(O84&gt;N84,"SUPPORT (PE OI)","RESIST (CE OI)"),"")</f>
        <v/>
      </c>
      <c r="V84" s="13">
        <f>IFERROR(IF(Q84&gt;0,IF(R84&gt;0,"BOTH_ADD","CE_ADD_PE_REDUCE"),IF(R84&gt;0,"CE_REDUCE_PE_ADD","BOTH_REDUCE")),"")</f>
        <v/>
      </c>
      <c r="W84" s="13">
        <f>IFERROR( (P84-1)*0.5 + (M84)*0.1 - (I84+J84)*0.05 + T84*0.4 ,"")</f>
        <v/>
      </c>
      <c r="X84" s="13">
        <f>IFERROR(IF(ABS(F84)&lt;0.01,"ATM/NEAR",""),"")</f>
        <v/>
      </c>
    </row>
    <row r="85">
      <c r="A85" s="13">
        <f>CHAIN_RAW!A85</f>
        <v/>
      </c>
      <c r="B85" s="14">
        <f>CHAIN_RAW!B85</f>
        <v/>
      </c>
      <c r="C85" s="13">
        <f>CHAIN_RAW!C85</f>
        <v/>
      </c>
      <c r="D85" s="13">
        <f>CHAIN_RAW!D85</f>
        <v/>
      </c>
      <c r="E85" s="13">
        <f>CHAIN_RAW!E85</f>
        <v/>
      </c>
      <c r="F85" s="13">
        <f>IFERROR((E85-D85)/D85,"")</f>
        <v/>
      </c>
      <c r="G85" s="13">
        <f>IFERROR((CHAIN_RAW!K85+CHAIN_RAW!L85)/2,"")</f>
        <v/>
      </c>
      <c r="H85" s="13">
        <f>IFERROR((CHAIN_RAW!R85+CHAIN_RAW!S85)/2,"")</f>
        <v/>
      </c>
      <c r="I85" s="13">
        <f>IFERROR((CHAIN_RAW!L85-CHAIN_RAW!K85)/MAX(1E-9, G85),"")</f>
        <v/>
      </c>
      <c r="J85" s="13">
        <f>IFERROR((CHAIN_RAW!S85-CHAIN_RAW!R85)/MAX(1E-9, H85),"")</f>
        <v/>
      </c>
      <c r="K85" s="13">
        <f>CHAIN_RAW!G85</f>
        <v/>
      </c>
      <c r="L85" s="13">
        <f>CHAIN_RAW!N85</f>
        <v/>
      </c>
      <c r="M85" s="13">
        <f>IFERROR(L85-K85,"")</f>
        <v/>
      </c>
      <c r="N85" s="13">
        <f>CHAIN_RAW!H85</f>
        <v/>
      </c>
      <c r="O85" s="13">
        <f>CHAIN_RAW!O85</f>
        <v/>
      </c>
      <c r="P85" s="13">
        <f>IFERROR(O85/N85,"")</f>
        <v/>
      </c>
      <c r="Q85" s="13">
        <f>CHAIN_RAW!I85</f>
        <v/>
      </c>
      <c r="R85" s="13">
        <f>CHAIN_RAW!P85</f>
        <v/>
      </c>
      <c r="S85" s="13">
        <f>IFERROR(R85/Q85,"")</f>
        <v/>
      </c>
      <c r="T85" s="13">
        <f>IFERROR((ABS(N85-O85)/MAX(1,(N85+O85)))*EXP(-ABS(E85-CONTROL!E5)/MAX(1,CONTROL!B8)),"")</f>
        <v/>
      </c>
      <c r="U85" s="13">
        <f>IFERROR(IF(O85&gt;N85,"SUPPORT (PE OI)","RESIST (CE OI)"),"")</f>
        <v/>
      </c>
      <c r="V85" s="13">
        <f>IFERROR(IF(Q85&gt;0,IF(R85&gt;0,"BOTH_ADD","CE_ADD_PE_REDUCE"),IF(R85&gt;0,"CE_REDUCE_PE_ADD","BOTH_REDUCE")),"")</f>
        <v/>
      </c>
      <c r="W85" s="13">
        <f>IFERROR( (P85-1)*0.5 + (M85)*0.1 - (I85+J85)*0.05 + T85*0.4 ,"")</f>
        <v/>
      </c>
      <c r="X85" s="13">
        <f>IFERROR(IF(ABS(F85)&lt;0.01,"ATM/NEAR",""),"")</f>
        <v/>
      </c>
    </row>
    <row r="86">
      <c r="A86" s="13">
        <f>CHAIN_RAW!A86</f>
        <v/>
      </c>
      <c r="B86" s="14">
        <f>CHAIN_RAW!B86</f>
        <v/>
      </c>
      <c r="C86" s="13">
        <f>CHAIN_RAW!C86</f>
        <v/>
      </c>
      <c r="D86" s="13">
        <f>CHAIN_RAW!D86</f>
        <v/>
      </c>
      <c r="E86" s="13">
        <f>CHAIN_RAW!E86</f>
        <v/>
      </c>
      <c r="F86" s="13">
        <f>IFERROR((E86-D86)/D86,"")</f>
        <v/>
      </c>
      <c r="G86" s="13">
        <f>IFERROR((CHAIN_RAW!K86+CHAIN_RAW!L86)/2,"")</f>
        <v/>
      </c>
      <c r="H86" s="13">
        <f>IFERROR((CHAIN_RAW!R86+CHAIN_RAW!S86)/2,"")</f>
        <v/>
      </c>
      <c r="I86" s="13">
        <f>IFERROR((CHAIN_RAW!L86-CHAIN_RAW!K86)/MAX(1E-9, G86),"")</f>
        <v/>
      </c>
      <c r="J86" s="13">
        <f>IFERROR((CHAIN_RAW!S86-CHAIN_RAW!R86)/MAX(1E-9, H86),"")</f>
        <v/>
      </c>
      <c r="K86" s="13">
        <f>CHAIN_RAW!G86</f>
        <v/>
      </c>
      <c r="L86" s="13">
        <f>CHAIN_RAW!N86</f>
        <v/>
      </c>
      <c r="M86" s="13">
        <f>IFERROR(L86-K86,"")</f>
        <v/>
      </c>
      <c r="N86" s="13">
        <f>CHAIN_RAW!H86</f>
        <v/>
      </c>
      <c r="O86" s="13">
        <f>CHAIN_RAW!O86</f>
        <v/>
      </c>
      <c r="P86" s="13">
        <f>IFERROR(O86/N86,"")</f>
        <v/>
      </c>
      <c r="Q86" s="13">
        <f>CHAIN_RAW!I86</f>
        <v/>
      </c>
      <c r="R86" s="13">
        <f>CHAIN_RAW!P86</f>
        <v/>
      </c>
      <c r="S86" s="13">
        <f>IFERROR(R86/Q86,"")</f>
        <v/>
      </c>
      <c r="T86" s="13">
        <f>IFERROR((ABS(N86-O86)/MAX(1,(N86+O86)))*EXP(-ABS(E86-CONTROL!E5)/MAX(1,CONTROL!B8)),"")</f>
        <v/>
      </c>
      <c r="U86" s="13">
        <f>IFERROR(IF(O86&gt;N86,"SUPPORT (PE OI)","RESIST (CE OI)"),"")</f>
        <v/>
      </c>
      <c r="V86" s="13">
        <f>IFERROR(IF(Q86&gt;0,IF(R86&gt;0,"BOTH_ADD","CE_ADD_PE_REDUCE"),IF(R86&gt;0,"CE_REDUCE_PE_ADD","BOTH_REDUCE")),"")</f>
        <v/>
      </c>
      <c r="W86" s="13">
        <f>IFERROR( (P86-1)*0.5 + (M86)*0.1 - (I86+J86)*0.05 + T86*0.4 ,"")</f>
        <v/>
      </c>
      <c r="X86" s="13">
        <f>IFERROR(IF(ABS(F86)&lt;0.01,"ATM/NEAR",""),"")</f>
        <v/>
      </c>
    </row>
    <row r="87">
      <c r="A87" s="13">
        <f>CHAIN_RAW!A87</f>
        <v/>
      </c>
      <c r="B87" s="14">
        <f>CHAIN_RAW!B87</f>
        <v/>
      </c>
      <c r="C87" s="13">
        <f>CHAIN_RAW!C87</f>
        <v/>
      </c>
      <c r="D87" s="13">
        <f>CHAIN_RAW!D87</f>
        <v/>
      </c>
      <c r="E87" s="13">
        <f>CHAIN_RAW!E87</f>
        <v/>
      </c>
      <c r="F87" s="13">
        <f>IFERROR((E87-D87)/D87,"")</f>
        <v/>
      </c>
      <c r="G87" s="13">
        <f>IFERROR((CHAIN_RAW!K87+CHAIN_RAW!L87)/2,"")</f>
        <v/>
      </c>
      <c r="H87" s="13">
        <f>IFERROR((CHAIN_RAW!R87+CHAIN_RAW!S87)/2,"")</f>
        <v/>
      </c>
      <c r="I87" s="13">
        <f>IFERROR((CHAIN_RAW!L87-CHAIN_RAW!K87)/MAX(1E-9, G87),"")</f>
        <v/>
      </c>
      <c r="J87" s="13">
        <f>IFERROR((CHAIN_RAW!S87-CHAIN_RAW!R87)/MAX(1E-9, H87),"")</f>
        <v/>
      </c>
      <c r="K87" s="13">
        <f>CHAIN_RAW!G87</f>
        <v/>
      </c>
      <c r="L87" s="13">
        <f>CHAIN_RAW!N87</f>
        <v/>
      </c>
      <c r="M87" s="13">
        <f>IFERROR(L87-K87,"")</f>
        <v/>
      </c>
      <c r="N87" s="13">
        <f>CHAIN_RAW!H87</f>
        <v/>
      </c>
      <c r="O87" s="13">
        <f>CHAIN_RAW!O87</f>
        <v/>
      </c>
      <c r="P87" s="13">
        <f>IFERROR(O87/N87,"")</f>
        <v/>
      </c>
      <c r="Q87" s="13">
        <f>CHAIN_RAW!I87</f>
        <v/>
      </c>
      <c r="R87" s="13">
        <f>CHAIN_RAW!P87</f>
        <v/>
      </c>
      <c r="S87" s="13">
        <f>IFERROR(R87/Q87,"")</f>
        <v/>
      </c>
      <c r="T87" s="13">
        <f>IFERROR((ABS(N87-O87)/MAX(1,(N87+O87)))*EXP(-ABS(E87-CONTROL!E5)/MAX(1,CONTROL!B8)),"")</f>
        <v/>
      </c>
      <c r="U87" s="13">
        <f>IFERROR(IF(O87&gt;N87,"SUPPORT (PE OI)","RESIST (CE OI)"),"")</f>
        <v/>
      </c>
      <c r="V87" s="13">
        <f>IFERROR(IF(Q87&gt;0,IF(R87&gt;0,"BOTH_ADD","CE_ADD_PE_REDUCE"),IF(R87&gt;0,"CE_REDUCE_PE_ADD","BOTH_REDUCE")),"")</f>
        <v/>
      </c>
      <c r="W87" s="13">
        <f>IFERROR( (P87-1)*0.5 + (M87)*0.1 - (I87+J87)*0.05 + T87*0.4 ,"")</f>
        <v/>
      </c>
      <c r="X87" s="13">
        <f>IFERROR(IF(ABS(F87)&lt;0.01,"ATM/NEAR",""),"")</f>
        <v/>
      </c>
    </row>
    <row r="88">
      <c r="A88" s="13">
        <f>CHAIN_RAW!A88</f>
        <v/>
      </c>
      <c r="B88" s="14">
        <f>CHAIN_RAW!B88</f>
        <v/>
      </c>
      <c r="C88" s="13">
        <f>CHAIN_RAW!C88</f>
        <v/>
      </c>
      <c r="D88" s="13">
        <f>CHAIN_RAW!D88</f>
        <v/>
      </c>
      <c r="E88" s="13">
        <f>CHAIN_RAW!E88</f>
        <v/>
      </c>
      <c r="F88" s="13">
        <f>IFERROR((E88-D88)/D88,"")</f>
        <v/>
      </c>
      <c r="G88" s="13">
        <f>IFERROR((CHAIN_RAW!K88+CHAIN_RAW!L88)/2,"")</f>
        <v/>
      </c>
      <c r="H88" s="13">
        <f>IFERROR((CHAIN_RAW!R88+CHAIN_RAW!S88)/2,"")</f>
        <v/>
      </c>
      <c r="I88" s="13">
        <f>IFERROR((CHAIN_RAW!L88-CHAIN_RAW!K88)/MAX(1E-9, G88),"")</f>
        <v/>
      </c>
      <c r="J88" s="13">
        <f>IFERROR((CHAIN_RAW!S88-CHAIN_RAW!R88)/MAX(1E-9, H88),"")</f>
        <v/>
      </c>
      <c r="K88" s="13">
        <f>CHAIN_RAW!G88</f>
        <v/>
      </c>
      <c r="L88" s="13">
        <f>CHAIN_RAW!N88</f>
        <v/>
      </c>
      <c r="M88" s="13">
        <f>IFERROR(L88-K88,"")</f>
        <v/>
      </c>
      <c r="N88" s="13">
        <f>CHAIN_RAW!H88</f>
        <v/>
      </c>
      <c r="O88" s="13">
        <f>CHAIN_RAW!O88</f>
        <v/>
      </c>
      <c r="P88" s="13">
        <f>IFERROR(O88/N88,"")</f>
        <v/>
      </c>
      <c r="Q88" s="13">
        <f>CHAIN_RAW!I88</f>
        <v/>
      </c>
      <c r="R88" s="13">
        <f>CHAIN_RAW!P88</f>
        <v/>
      </c>
      <c r="S88" s="13">
        <f>IFERROR(R88/Q88,"")</f>
        <v/>
      </c>
      <c r="T88" s="13">
        <f>IFERROR((ABS(N88-O88)/MAX(1,(N88+O88)))*EXP(-ABS(E88-CONTROL!E5)/MAX(1,CONTROL!B8)),"")</f>
        <v/>
      </c>
      <c r="U88" s="13">
        <f>IFERROR(IF(O88&gt;N88,"SUPPORT (PE OI)","RESIST (CE OI)"),"")</f>
        <v/>
      </c>
      <c r="V88" s="13">
        <f>IFERROR(IF(Q88&gt;0,IF(R88&gt;0,"BOTH_ADD","CE_ADD_PE_REDUCE"),IF(R88&gt;0,"CE_REDUCE_PE_ADD","BOTH_REDUCE")),"")</f>
        <v/>
      </c>
      <c r="W88" s="13">
        <f>IFERROR( (P88-1)*0.5 + (M88)*0.1 - (I88+J88)*0.05 + T88*0.4 ,"")</f>
        <v/>
      </c>
      <c r="X88" s="13">
        <f>IFERROR(IF(ABS(F88)&lt;0.01,"ATM/NEAR",""),"")</f>
        <v/>
      </c>
    </row>
    <row r="89">
      <c r="A89" s="13">
        <f>CHAIN_RAW!A89</f>
        <v/>
      </c>
      <c r="B89" s="14">
        <f>CHAIN_RAW!B89</f>
        <v/>
      </c>
      <c r="C89" s="13">
        <f>CHAIN_RAW!C89</f>
        <v/>
      </c>
      <c r="D89" s="13">
        <f>CHAIN_RAW!D89</f>
        <v/>
      </c>
      <c r="E89" s="13">
        <f>CHAIN_RAW!E89</f>
        <v/>
      </c>
      <c r="F89" s="13">
        <f>IFERROR((E89-D89)/D89,"")</f>
        <v/>
      </c>
      <c r="G89" s="13">
        <f>IFERROR((CHAIN_RAW!K89+CHAIN_RAW!L89)/2,"")</f>
        <v/>
      </c>
      <c r="H89" s="13">
        <f>IFERROR((CHAIN_RAW!R89+CHAIN_RAW!S89)/2,"")</f>
        <v/>
      </c>
      <c r="I89" s="13">
        <f>IFERROR((CHAIN_RAW!L89-CHAIN_RAW!K89)/MAX(1E-9, G89),"")</f>
        <v/>
      </c>
      <c r="J89" s="13">
        <f>IFERROR((CHAIN_RAW!S89-CHAIN_RAW!R89)/MAX(1E-9, H89),"")</f>
        <v/>
      </c>
      <c r="K89" s="13">
        <f>CHAIN_RAW!G89</f>
        <v/>
      </c>
      <c r="L89" s="13">
        <f>CHAIN_RAW!N89</f>
        <v/>
      </c>
      <c r="M89" s="13">
        <f>IFERROR(L89-K89,"")</f>
        <v/>
      </c>
      <c r="N89" s="13">
        <f>CHAIN_RAW!H89</f>
        <v/>
      </c>
      <c r="O89" s="13">
        <f>CHAIN_RAW!O89</f>
        <v/>
      </c>
      <c r="P89" s="13">
        <f>IFERROR(O89/N89,"")</f>
        <v/>
      </c>
      <c r="Q89" s="13">
        <f>CHAIN_RAW!I89</f>
        <v/>
      </c>
      <c r="R89" s="13">
        <f>CHAIN_RAW!P89</f>
        <v/>
      </c>
      <c r="S89" s="13">
        <f>IFERROR(R89/Q89,"")</f>
        <v/>
      </c>
      <c r="T89" s="13">
        <f>IFERROR((ABS(N89-O89)/MAX(1,(N89+O89)))*EXP(-ABS(E89-CONTROL!E5)/MAX(1,CONTROL!B8)),"")</f>
        <v/>
      </c>
      <c r="U89" s="13">
        <f>IFERROR(IF(O89&gt;N89,"SUPPORT (PE OI)","RESIST (CE OI)"),"")</f>
        <v/>
      </c>
      <c r="V89" s="13">
        <f>IFERROR(IF(Q89&gt;0,IF(R89&gt;0,"BOTH_ADD","CE_ADD_PE_REDUCE"),IF(R89&gt;0,"CE_REDUCE_PE_ADD","BOTH_REDUCE")),"")</f>
        <v/>
      </c>
      <c r="W89" s="13">
        <f>IFERROR( (P89-1)*0.5 + (M89)*0.1 - (I89+J89)*0.05 + T89*0.4 ,"")</f>
        <v/>
      </c>
      <c r="X89" s="13">
        <f>IFERROR(IF(ABS(F89)&lt;0.01,"ATM/NEAR",""),"")</f>
        <v/>
      </c>
    </row>
    <row r="90">
      <c r="A90" s="13">
        <f>CHAIN_RAW!A90</f>
        <v/>
      </c>
      <c r="B90" s="14">
        <f>CHAIN_RAW!B90</f>
        <v/>
      </c>
      <c r="C90" s="13">
        <f>CHAIN_RAW!C90</f>
        <v/>
      </c>
      <c r="D90" s="13">
        <f>CHAIN_RAW!D90</f>
        <v/>
      </c>
      <c r="E90" s="13">
        <f>CHAIN_RAW!E90</f>
        <v/>
      </c>
      <c r="F90" s="13">
        <f>IFERROR((E90-D90)/D90,"")</f>
        <v/>
      </c>
      <c r="G90" s="13">
        <f>IFERROR((CHAIN_RAW!K90+CHAIN_RAW!L90)/2,"")</f>
        <v/>
      </c>
      <c r="H90" s="13">
        <f>IFERROR((CHAIN_RAW!R90+CHAIN_RAW!S90)/2,"")</f>
        <v/>
      </c>
      <c r="I90" s="13">
        <f>IFERROR((CHAIN_RAW!L90-CHAIN_RAW!K90)/MAX(1E-9, G90),"")</f>
        <v/>
      </c>
      <c r="J90" s="13">
        <f>IFERROR((CHAIN_RAW!S90-CHAIN_RAW!R90)/MAX(1E-9, H90),"")</f>
        <v/>
      </c>
      <c r="K90" s="13">
        <f>CHAIN_RAW!G90</f>
        <v/>
      </c>
      <c r="L90" s="13">
        <f>CHAIN_RAW!N90</f>
        <v/>
      </c>
      <c r="M90" s="13">
        <f>IFERROR(L90-K90,"")</f>
        <v/>
      </c>
      <c r="N90" s="13">
        <f>CHAIN_RAW!H90</f>
        <v/>
      </c>
      <c r="O90" s="13">
        <f>CHAIN_RAW!O90</f>
        <v/>
      </c>
      <c r="P90" s="13">
        <f>IFERROR(O90/N90,"")</f>
        <v/>
      </c>
      <c r="Q90" s="13">
        <f>CHAIN_RAW!I90</f>
        <v/>
      </c>
      <c r="R90" s="13">
        <f>CHAIN_RAW!P90</f>
        <v/>
      </c>
      <c r="S90" s="13">
        <f>IFERROR(R90/Q90,"")</f>
        <v/>
      </c>
      <c r="T90" s="13">
        <f>IFERROR((ABS(N90-O90)/MAX(1,(N90+O90)))*EXP(-ABS(E90-CONTROL!E5)/MAX(1,CONTROL!B8)),"")</f>
        <v/>
      </c>
      <c r="U90" s="13">
        <f>IFERROR(IF(O90&gt;N90,"SUPPORT (PE OI)","RESIST (CE OI)"),"")</f>
        <v/>
      </c>
      <c r="V90" s="13">
        <f>IFERROR(IF(Q90&gt;0,IF(R90&gt;0,"BOTH_ADD","CE_ADD_PE_REDUCE"),IF(R90&gt;0,"CE_REDUCE_PE_ADD","BOTH_REDUCE")),"")</f>
        <v/>
      </c>
      <c r="W90" s="13">
        <f>IFERROR( (P90-1)*0.5 + (M90)*0.1 - (I90+J90)*0.05 + T90*0.4 ,"")</f>
        <v/>
      </c>
      <c r="X90" s="13">
        <f>IFERROR(IF(ABS(F90)&lt;0.01,"ATM/NEAR",""),"")</f>
        <v/>
      </c>
    </row>
    <row r="91">
      <c r="A91" s="13">
        <f>CHAIN_RAW!A91</f>
        <v/>
      </c>
      <c r="B91" s="14">
        <f>CHAIN_RAW!B91</f>
        <v/>
      </c>
      <c r="C91" s="13">
        <f>CHAIN_RAW!C91</f>
        <v/>
      </c>
      <c r="D91" s="13">
        <f>CHAIN_RAW!D91</f>
        <v/>
      </c>
      <c r="E91" s="13">
        <f>CHAIN_RAW!E91</f>
        <v/>
      </c>
      <c r="F91" s="13">
        <f>IFERROR((E91-D91)/D91,"")</f>
        <v/>
      </c>
      <c r="G91" s="13">
        <f>IFERROR((CHAIN_RAW!K91+CHAIN_RAW!L91)/2,"")</f>
        <v/>
      </c>
      <c r="H91" s="13">
        <f>IFERROR((CHAIN_RAW!R91+CHAIN_RAW!S91)/2,"")</f>
        <v/>
      </c>
      <c r="I91" s="13">
        <f>IFERROR((CHAIN_RAW!L91-CHAIN_RAW!K91)/MAX(1E-9, G91),"")</f>
        <v/>
      </c>
      <c r="J91" s="13">
        <f>IFERROR((CHAIN_RAW!S91-CHAIN_RAW!R91)/MAX(1E-9, H91),"")</f>
        <v/>
      </c>
      <c r="K91" s="13">
        <f>CHAIN_RAW!G91</f>
        <v/>
      </c>
      <c r="L91" s="13">
        <f>CHAIN_RAW!N91</f>
        <v/>
      </c>
      <c r="M91" s="13">
        <f>IFERROR(L91-K91,"")</f>
        <v/>
      </c>
      <c r="N91" s="13">
        <f>CHAIN_RAW!H91</f>
        <v/>
      </c>
      <c r="O91" s="13">
        <f>CHAIN_RAW!O91</f>
        <v/>
      </c>
      <c r="P91" s="13">
        <f>IFERROR(O91/N91,"")</f>
        <v/>
      </c>
      <c r="Q91" s="13">
        <f>CHAIN_RAW!I91</f>
        <v/>
      </c>
      <c r="R91" s="13">
        <f>CHAIN_RAW!P91</f>
        <v/>
      </c>
      <c r="S91" s="13">
        <f>IFERROR(R91/Q91,"")</f>
        <v/>
      </c>
      <c r="T91" s="13">
        <f>IFERROR((ABS(N91-O91)/MAX(1,(N91+O91)))*EXP(-ABS(E91-CONTROL!E5)/MAX(1,CONTROL!B8)),"")</f>
        <v/>
      </c>
      <c r="U91" s="13">
        <f>IFERROR(IF(O91&gt;N91,"SUPPORT (PE OI)","RESIST (CE OI)"),"")</f>
        <v/>
      </c>
      <c r="V91" s="13">
        <f>IFERROR(IF(Q91&gt;0,IF(R91&gt;0,"BOTH_ADD","CE_ADD_PE_REDUCE"),IF(R91&gt;0,"CE_REDUCE_PE_ADD","BOTH_REDUCE")),"")</f>
        <v/>
      </c>
      <c r="W91" s="13">
        <f>IFERROR( (P91-1)*0.5 + (M91)*0.1 - (I91+J91)*0.05 + T91*0.4 ,"")</f>
        <v/>
      </c>
      <c r="X91" s="13">
        <f>IFERROR(IF(ABS(F91)&lt;0.01,"ATM/NEAR",""),"")</f>
        <v/>
      </c>
    </row>
    <row r="92">
      <c r="A92" s="13">
        <f>CHAIN_RAW!A92</f>
        <v/>
      </c>
      <c r="B92" s="14">
        <f>CHAIN_RAW!B92</f>
        <v/>
      </c>
      <c r="C92" s="13">
        <f>CHAIN_RAW!C92</f>
        <v/>
      </c>
      <c r="D92" s="13">
        <f>CHAIN_RAW!D92</f>
        <v/>
      </c>
      <c r="E92" s="13">
        <f>CHAIN_RAW!E92</f>
        <v/>
      </c>
      <c r="F92" s="13">
        <f>IFERROR((E92-D92)/D92,"")</f>
        <v/>
      </c>
      <c r="G92" s="13">
        <f>IFERROR((CHAIN_RAW!K92+CHAIN_RAW!L92)/2,"")</f>
        <v/>
      </c>
      <c r="H92" s="13">
        <f>IFERROR((CHAIN_RAW!R92+CHAIN_RAW!S92)/2,"")</f>
        <v/>
      </c>
      <c r="I92" s="13">
        <f>IFERROR((CHAIN_RAW!L92-CHAIN_RAW!K92)/MAX(1E-9, G92),"")</f>
        <v/>
      </c>
      <c r="J92" s="13">
        <f>IFERROR((CHAIN_RAW!S92-CHAIN_RAW!R92)/MAX(1E-9, H92),"")</f>
        <v/>
      </c>
      <c r="K92" s="13">
        <f>CHAIN_RAW!G92</f>
        <v/>
      </c>
      <c r="L92" s="13">
        <f>CHAIN_RAW!N92</f>
        <v/>
      </c>
      <c r="M92" s="13">
        <f>IFERROR(L92-K92,"")</f>
        <v/>
      </c>
      <c r="N92" s="13">
        <f>CHAIN_RAW!H92</f>
        <v/>
      </c>
      <c r="O92" s="13">
        <f>CHAIN_RAW!O92</f>
        <v/>
      </c>
      <c r="P92" s="13">
        <f>IFERROR(O92/N92,"")</f>
        <v/>
      </c>
      <c r="Q92" s="13">
        <f>CHAIN_RAW!I92</f>
        <v/>
      </c>
      <c r="R92" s="13">
        <f>CHAIN_RAW!P92</f>
        <v/>
      </c>
      <c r="S92" s="13">
        <f>IFERROR(R92/Q92,"")</f>
        <v/>
      </c>
      <c r="T92" s="13">
        <f>IFERROR((ABS(N92-O92)/MAX(1,(N92+O92)))*EXP(-ABS(E92-CONTROL!E5)/MAX(1,CONTROL!B8)),"")</f>
        <v/>
      </c>
      <c r="U92" s="13">
        <f>IFERROR(IF(O92&gt;N92,"SUPPORT (PE OI)","RESIST (CE OI)"),"")</f>
        <v/>
      </c>
      <c r="V92" s="13">
        <f>IFERROR(IF(Q92&gt;0,IF(R92&gt;0,"BOTH_ADD","CE_ADD_PE_REDUCE"),IF(R92&gt;0,"CE_REDUCE_PE_ADD","BOTH_REDUCE")),"")</f>
        <v/>
      </c>
      <c r="W92" s="13">
        <f>IFERROR( (P92-1)*0.5 + (M92)*0.1 - (I92+J92)*0.05 + T92*0.4 ,"")</f>
        <v/>
      </c>
      <c r="X92" s="13">
        <f>IFERROR(IF(ABS(F92)&lt;0.01,"ATM/NEAR",""),"")</f>
        <v/>
      </c>
    </row>
    <row r="93">
      <c r="A93" s="13">
        <f>CHAIN_RAW!A93</f>
        <v/>
      </c>
      <c r="B93" s="14">
        <f>CHAIN_RAW!B93</f>
        <v/>
      </c>
      <c r="C93" s="13">
        <f>CHAIN_RAW!C93</f>
        <v/>
      </c>
      <c r="D93" s="13">
        <f>CHAIN_RAW!D93</f>
        <v/>
      </c>
      <c r="E93" s="13">
        <f>CHAIN_RAW!E93</f>
        <v/>
      </c>
      <c r="F93" s="13">
        <f>IFERROR((E93-D93)/D93,"")</f>
        <v/>
      </c>
      <c r="G93" s="13">
        <f>IFERROR((CHAIN_RAW!K93+CHAIN_RAW!L93)/2,"")</f>
        <v/>
      </c>
      <c r="H93" s="13">
        <f>IFERROR((CHAIN_RAW!R93+CHAIN_RAW!S93)/2,"")</f>
        <v/>
      </c>
      <c r="I93" s="13">
        <f>IFERROR((CHAIN_RAW!L93-CHAIN_RAW!K93)/MAX(1E-9, G93),"")</f>
        <v/>
      </c>
      <c r="J93" s="13">
        <f>IFERROR((CHAIN_RAW!S93-CHAIN_RAW!R93)/MAX(1E-9, H93),"")</f>
        <v/>
      </c>
      <c r="K93" s="13">
        <f>CHAIN_RAW!G93</f>
        <v/>
      </c>
      <c r="L93" s="13">
        <f>CHAIN_RAW!N93</f>
        <v/>
      </c>
      <c r="M93" s="13">
        <f>IFERROR(L93-K93,"")</f>
        <v/>
      </c>
      <c r="N93" s="13">
        <f>CHAIN_RAW!H93</f>
        <v/>
      </c>
      <c r="O93" s="13">
        <f>CHAIN_RAW!O93</f>
        <v/>
      </c>
      <c r="P93" s="13">
        <f>IFERROR(O93/N93,"")</f>
        <v/>
      </c>
      <c r="Q93" s="13">
        <f>CHAIN_RAW!I93</f>
        <v/>
      </c>
      <c r="R93" s="13">
        <f>CHAIN_RAW!P93</f>
        <v/>
      </c>
      <c r="S93" s="13">
        <f>IFERROR(R93/Q93,"")</f>
        <v/>
      </c>
      <c r="T93" s="13">
        <f>IFERROR((ABS(N93-O93)/MAX(1,(N93+O93)))*EXP(-ABS(E93-CONTROL!E5)/MAX(1,CONTROL!B8)),"")</f>
        <v/>
      </c>
      <c r="U93" s="13">
        <f>IFERROR(IF(O93&gt;N93,"SUPPORT (PE OI)","RESIST (CE OI)"),"")</f>
        <v/>
      </c>
      <c r="V93" s="13">
        <f>IFERROR(IF(Q93&gt;0,IF(R93&gt;0,"BOTH_ADD","CE_ADD_PE_REDUCE"),IF(R93&gt;0,"CE_REDUCE_PE_ADD","BOTH_REDUCE")),"")</f>
        <v/>
      </c>
      <c r="W93" s="13">
        <f>IFERROR( (P93-1)*0.5 + (M93)*0.1 - (I93+J93)*0.05 + T93*0.4 ,"")</f>
        <v/>
      </c>
      <c r="X93" s="13">
        <f>IFERROR(IF(ABS(F93)&lt;0.01,"ATM/NEAR",""),"")</f>
        <v/>
      </c>
    </row>
    <row r="94">
      <c r="A94" s="13">
        <f>CHAIN_RAW!A94</f>
        <v/>
      </c>
      <c r="B94" s="14">
        <f>CHAIN_RAW!B94</f>
        <v/>
      </c>
      <c r="C94" s="13">
        <f>CHAIN_RAW!C94</f>
        <v/>
      </c>
      <c r="D94" s="13">
        <f>CHAIN_RAW!D94</f>
        <v/>
      </c>
      <c r="E94" s="13">
        <f>CHAIN_RAW!E94</f>
        <v/>
      </c>
      <c r="F94" s="13">
        <f>IFERROR((E94-D94)/D94,"")</f>
        <v/>
      </c>
      <c r="G94" s="13">
        <f>IFERROR((CHAIN_RAW!K94+CHAIN_RAW!L94)/2,"")</f>
        <v/>
      </c>
      <c r="H94" s="13">
        <f>IFERROR((CHAIN_RAW!R94+CHAIN_RAW!S94)/2,"")</f>
        <v/>
      </c>
      <c r="I94" s="13">
        <f>IFERROR((CHAIN_RAW!L94-CHAIN_RAW!K94)/MAX(1E-9, G94),"")</f>
        <v/>
      </c>
      <c r="J94" s="13">
        <f>IFERROR((CHAIN_RAW!S94-CHAIN_RAW!R94)/MAX(1E-9, H94),"")</f>
        <v/>
      </c>
      <c r="K94" s="13">
        <f>CHAIN_RAW!G94</f>
        <v/>
      </c>
      <c r="L94" s="13">
        <f>CHAIN_RAW!N94</f>
        <v/>
      </c>
      <c r="M94" s="13">
        <f>IFERROR(L94-K94,"")</f>
        <v/>
      </c>
      <c r="N94" s="13">
        <f>CHAIN_RAW!H94</f>
        <v/>
      </c>
      <c r="O94" s="13">
        <f>CHAIN_RAW!O94</f>
        <v/>
      </c>
      <c r="P94" s="13">
        <f>IFERROR(O94/N94,"")</f>
        <v/>
      </c>
      <c r="Q94" s="13">
        <f>CHAIN_RAW!I94</f>
        <v/>
      </c>
      <c r="R94" s="13">
        <f>CHAIN_RAW!P94</f>
        <v/>
      </c>
      <c r="S94" s="13">
        <f>IFERROR(R94/Q94,"")</f>
        <v/>
      </c>
      <c r="T94" s="13">
        <f>IFERROR((ABS(N94-O94)/MAX(1,(N94+O94)))*EXP(-ABS(E94-CONTROL!E5)/MAX(1,CONTROL!B8)),"")</f>
        <v/>
      </c>
      <c r="U94" s="13">
        <f>IFERROR(IF(O94&gt;N94,"SUPPORT (PE OI)","RESIST (CE OI)"),"")</f>
        <v/>
      </c>
      <c r="V94" s="13">
        <f>IFERROR(IF(Q94&gt;0,IF(R94&gt;0,"BOTH_ADD","CE_ADD_PE_REDUCE"),IF(R94&gt;0,"CE_REDUCE_PE_ADD","BOTH_REDUCE")),"")</f>
        <v/>
      </c>
      <c r="W94" s="13">
        <f>IFERROR( (P94-1)*0.5 + (M94)*0.1 - (I94+J94)*0.05 + T94*0.4 ,"")</f>
        <v/>
      </c>
      <c r="X94" s="13">
        <f>IFERROR(IF(ABS(F94)&lt;0.01,"ATM/NEAR",""),"")</f>
        <v/>
      </c>
    </row>
    <row r="95">
      <c r="A95" s="13">
        <f>CHAIN_RAW!A95</f>
        <v/>
      </c>
      <c r="B95" s="14">
        <f>CHAIN_RAW!B95</f>
        <v/>
      </c>
      <c r="C95" s="13">
        <f>CHAIN_RAW!C95</f>
        <v/>
      </c>
      <c r="D95" s="13">
        <f>CHAIN_RAW!D95</f>
        <v/>
      </c>
      <c r="E95" s="13">
        <f>CHAIN_RAW!E95</f>
        <v/>
      </c>
      <c r="F95" s="13">
        <f>IFERROR((E95-D95)/D95,"")</f>
        <v/>
      </c>
      <c r="G95" s="13">
        <f>IFERROR((CHAIN_RAW!K95+CHAIN_RAW!L95)/2,"")</f>
        <v/>
      </c>
      <c r="H95" s="13">
        <f>IFERROR((CHAIN_RAW!R95+CHAIN_RAW!S95)/2,"")</f>
        <v/>
      </c>
      <c r="I95" s="13">
        <f>IFERROR((CHAIN_RAW!L95-CHAIN_RAW!K95)/MAX(1E-9, G95),"")</f>
        <v/>
      </c>
      <c r="J95" s="13">
        <f>IFERROR((CHAIN_RAW!S95-CHAIN_RAW!R95)/MAX(1E-9, H95),"")</f>
        <v/>
      </c>
      <c r="K95" s="13">
        <f>CHAIN_RAW!G95</f>
        <v/>
      </c>
      <c r="L95" s="13">
        <f>CHAIN_RAW!N95</f>
        <v/>
      </c>
      <c r="M95" s="13">
        <f>IFERROR(L95-K95,"")</f>
        <v/>
      </c>
      <c r="N95" s="13">
        <f>CHAIN_RAW!H95</f>
        <v/>
      </c>
      <c r="O95" s="13">
        <f>CHAIN_RAW!O95</f>
        <v/>
      </c>
      <c r="P95" s="13">
        <f>IFERROR(O95/N95,"")</f>
        <v/>
      </c>
      <c r="Q95" s="13">
        <f>CHAIN_RAW!I95</f>
        <v/>
      </c>
      <c r="R95" s="13">
        <f>CHAIN_RAW!P95</f>
        <v/>
      </c>
      <c r="S95" s="13">
        <f>IFERROR(R95/Q95,"")</f>
        <v/>
      </c>
      <c r="T95" s="13">
        <f>IFERROR((ABS(N95-O95)/MAX(1,(N95+O95)))*EXP(-ABS(E95-CONTROL!E5)/MAX(1,CONTROL!B8)),"")</f>
        <v/>
      </c>
      <c r="U95" s="13">
        <f>IFERROR(IF(O95&gt;N95,"SUPPORT (PE OI)","RESIST (CE OI)"),"")</f>
        <v/>
      </c>
      <c r="V95" s="13">
        <f>IFERROR(IF(Q95&gt;0,IF(R95&gt;0,"BOTH_ADD","CE_ADD_PE_REDUCE"),IF(R95&gt;0,"CE_REDUCE_PE_ADD","BOTH_REDUCE")),"")</f>
        <v/>
      </c>
      <c r="W95" s="13">
        <f>IFERROR( (P95-1)*0.5 + (M95)*0.1 - (I95+J95)*0.05 + T95*0.4 ,"")</f>
        <v/>
      </c>
      <c r="X95" s="13">
        <f>IFERROR(IF(ABS(F95)&lt;0.01,"ATM/NEAR",""),"")</f>
        <v/>
      </c>
    </row>
    <row r="96">
      <c r="A96" s="13">
        <f>CHAIN_RAW!A96</f>
        <v/>
      </c>
      <c r="B96" s="14">
        <f>CHAIN_RAW!B96</f>
        <v/>
      </c>
      <c r="C96" s="13">
        <f>CHAIN_RAW!C96</f>
        <v/>
      </c>
      <c r="D96" s="13">
        <f>CHAIN_RAW!D96</f>
        <v/>
      </c>
      <c r="E96" s="13">
        <f>CHAIN_RAW!E96</f>
        <v/>
      </c>
      <c r="F96" s="13">
        <f>IFERROR((E96-D96)/D96,"")</f>
        <v/>
      </c>
      <c r="G96" s="13">
        <f>IFERROR((CHAIN_RAW!K96+CHAIN_RAW!L96)/2,"")</f>
        <v/>
      </c>
      <c r="H96" s="13">
        <f>IFERROR((CHAIN_RAW!R96+CHAIN_RAW!S96)/2,"")</f>
        <v/>
      </c>
      <c r="I96" s="13">
        <f>IFERROR((CHAIN_RAW!L96-CHAIN_RAW!K96)/MAX(1E-9, G96),"")</f>
        <v/>
      </c>
      <c r="J96" s="13">
        <f>IFERROR((CHAIN_RAW!S96-CHAIN_RAW!R96)/MAX(1E-9, H96),"")</f>
        <v/>
      </c>
      <c r="K96" s="13">
        <f>CHAIN_RAW!G96</f>
        <v/>
      </c>
      <c r="L96" s="13">
        <f>CHAIN_RAW!N96</f>
        <v/>
      </c>
      <c r="M96" s="13">
        <f>IFERROR(L96-K96,"")</f>
        <v/>
      </c>
      <c r="N96" s="13">
        <f>CHAIN_RAW!H96</f>
        <v/>
      </c>
      <c r="O96" s="13">
        <f>CHAIN_RAW!O96</f>
        <v/>
      </c>
      <c r="P96" s="13">
        <f>IFERROR(O96/N96,"")</f>
        <v/>
      </c>
      <c r="Q96" s="13">
        <f>CHAIN_RAW!I96</f>
        <v/>
      </c>
      <c r="R96" s="13">
        <f>CHAIN_RAW!P96</f>
        <v/>
      </c>
      <c r="S96" s="13">
        <f>IFERROR(R96/Q96,"")</f>
        <v/>
      </c>
      <c r="T96" s="13">
        <f>IFERROR((ABS(N96-O96)/MAX(1,(N96+O96)))*EXP(-ABS(E96-CONTROL!E5)/MAX(1,CONTROL!B8)),"")</f>
        <v/>
      </c>
      <c r="U96" s="13">
        <f>IFERROR(IF(O96&gt;N96,"SUPPORT (PE OI)","RESIST (CE OI)"),"")</f>
        <v/>
      </c>
      <c r="V96" s="13">
        <f>IFERROR(IF(Q96&gt;0,IF(R96&gt;0,"BOTH_ADD","CE_ADD_PE_REDUCE"),IF(R96&gt;0,"CE_REDUCE_PE_ADD","BOTH_REDUCE")),"")</f>
        <v/>
      </c>
      <c r="W96" s="13">
        <f>IFERROR( (P96-1)*0.5 + (M96)*0.1 - (I96+J96)*0.05 + T96*0.4 ,"")</f>
        <v/>
      </c>
      <c r="X96" s="13">
        <f>IFERROR(IF(ABS(F96)&lt;0.01,"ATM/NEAR",""),"")</f>
        <v/>
      </c>
    </row>
    <row r="97">
      <c r="A97" s="13">
        <f>CHAIN_RAW!A97</f>
        <v/>
      </c>
      <c r="B97" s="14">
        <f>CHAIN_RAW!B97</f>
        <v/>
      </c>
      <c r="C97" s="13">
        <f>CHAIN_RAW!C97</f>
        <v/>
      </c>
      <c r="D97" s="13">
        <f>CHAIN_RAW!D97</f>
        <v/>
      </c>
      <c r="E97" s="13">
        <f>CHAIN_RAW!E97</f>
        <v/>
      </c>
      <c r="F97" s="13">
        <f>IFERROR((E97-D97)/D97,"")</f>
        <v/>
      </c>
      <c r="G97" s="13">
        <f>IFERROR((CHAIN_RAW!K97+CHAIN_RAW!L97)/2,"")</f>
        <v/>
      </c>
      <c r="H97" s="13">
        <f>IFERROR((CHAIN_RAW!R97+CHAIN_RAW!S97)/2,"")</f>
        <v/>
      </c>
      <c r="I97" s="13">
        <f>IFERROR((CHAIN_RAW!L97-CHAIN_RAW!K97)/MAX(1E-9, G97),"")</f>
        <v/>
      </c>
      <c r="J97" s="13">
        <f>IFERROR((CHAIN_RAW!S97-CHAIN_RAW!R97)/MAX(1E-9, H97),"")</f>
        <v/>
      </c>
      <c r="K97" s="13">
        <f>CHAIN_RAW!G97</f>
        <v/>
      </c>
      <c r="L97" s="13">
        <f>CHAIN_RAW!N97</f>
        <v/>
      </c>
      <c r="M97" s="13">
        <f>IFERROR(L97-K97,"")</f>
        <v/>
      </c>
      <c r="N97" s="13">
        <f>CHAIN_RAW!H97</f>
        <v/>
      </c>
      <c r="O97" s="13">
        <f>CHAIN_RAW!O97</f>
        <v/>
      </c>
      <c r="P97" s="13">
        <f>IFERROR(O97/N97,"")</f>
        <v/>
      </c>
      <c r="Q97" s="13">
        <f>CHAIN_RAW!I97</f>
        <v/>
      </c>
      <c r="R97" s="13">
        <f>CHAIN_RAW!P97</f>
        <v/>
      </c>
      <c r="S97" s="13">
        <f>IFERROR(R97/Q97,"")</f>
        <v/>
      </c>
      <c r="T97" s="13">
        <f>IFERROR((ABS(N97-O97)/MAX(1,(N97+O97)))*EXP(-ABS(E97-CONTROL!E5)/MAX(1,CONTROL!B8)),"")</f>
        <v/>
      </c>
      <c r="U97" s="13">
        <f>IFERROR(IF(O97&gt;N97,"SUPPORT (PE OI)","RESIST (CE OI)"),"")</f>
        <v/>
      </c>
      <c r="V97" s="13">
        <f>IFERROR(IF(Q97&gt;0,IF(R97&gt;0,"BOTH_ADD","CE_ADD_PE_REDUCE"),IF(R97&gt;0,"CE_REDUCE_PE_ADD","BOTH_REDUCE")),"")</f>
        <v/>
      </c>
      <c r="W97" s="13">
        <f>IFERROR( (P97-1)*0.5 + (M97)*0.1 - (I97+J97)*0.05 + T97*0.4 ,"")</f>
        <v/>
      </c>
      <c r="X97" s="13">
        <f>IFERROR(IF(ABS(F97)&lt;0.01,"ATM/NEAR",""),"")</f>
        <v/>
      </c>
    </row>
    <row r="98">
      <c r="A98" s="13">
        <f>CHAIN_RAW!A98</f>
        <v/>
      </c>
      <c r="B98" s="14">
        <f>CHAIN_RAW!B98</f>
        <v/>
      </c>
      <c r="C98" s="13">
        <f>CHAIN_RAW!C98</f>
        <v/>
      </c>
      <c r="D98" s="13">
        <f>CHAIN_RAW!D98</f>
        <v/>
      </c>
      <c r="E98" s="13">
        <f>CHAIN_RAW!E98</f>
        <v/>
      </c>
      <c r="F98" s="13">
        <f>IFERROR((E98-D98)/D98,"")</f>
        <v/>
      </c>
      <c r="G98" s="13">
        <f>IFERROR((CHAIN_RAW!K98+CHAIN_RAW!L98)/2,"")</f>
        <v/>
      </c>
      <c r="H98" s="13">
        <f>IFERROR((CHAIN_RAW!R98+CHAIN_RAW!S98)/2,"")</f>
        <v/>
      </c>
      <c r="I98" s="13">
        <f>IFERROR((CHAIN_RAW!L98-CHAIN_RAW!K98)/MAX(1E-9, G98),"")</f>
        <v/>
      </c>
      <c r="J98" s="13">
        <f>IFERROR((CHAIN_RAW!S98-CHAIN_RAW!R98)/MAX(1E-9, H98),"")</f>
        <v/>
      </c>
      <c r="K98" s="13">
        <f>CHAIN_RAW!G98</f>
        <v/>
      </c>
      <c r="L98" s="13">
        <f>CHAIN_RAW!N98</f>
        <v/>
      </c>
      <c r="M98" s="13">
        <f>IFERROR(L98-K98,"")</f>
        <v/>
      </c>
      <c r="N98" s="13">
        <f>CHAIN_RAW!H98</f>
        <v/>
      </c>
      <c r="O98" s="13">
        <f>CHAIN_RAW!O98</f>
        <v/>
      </c>
      <c r="P98" s="13">
        <f>IFERROR(O98/N98,"")</f>
        <v/>
      </c>
      <c r="Q98" s="13">
        <f>CHAIN_RAW!I98</f>
        <v/>
      </c>
      <c r="R98" s="13">
        <f>CHAIN_RAW!P98</f>
        <v/>
      </c>
      <c r="S98" s="13">
        <f>IFERROR(R98/Q98,"")</f>
        <v/>
      </c>
      <c r="T98" s="13">
        <f>IFERROR((ABS(N98-O98)/MAX(1,(N98+O98)))*EXP(-ABS(E98-CONTROL!E5)/MAX(1,CONTROL!B8)),"")</f>
        <v/>
      </c>
      <c r="U98" s="13">
        <f>IFERROR(IF(O98&gt;N98,"SUPPORT (PE OI)","RESIST (CE OI)"),"")</f>
        <v/>
      </c>
      <c r="V98" s="13">
        <f>IFERROR(IF(Q98&gt;0,IF(R98&gt;0,"BOTH_ADD","CE_ADD_PE_REDUCE"),IF(R98&gt;0,"CE_REDUCE_PE_ADD","BOTH_REDUCE")),"")</f>
        <v/>
      </c>
      <c r="W98" s="13">
        <f>IFERROR( (P98-1)*0.5 + (M98)*0.1 - (I98+J98)*0.05 + T98*0.4 ,"")</f>
        <v/>
      </c>
      <c r="X98" s="13">
        <f>IFERROR(IF(ABS(F98)&lt;0.01,"ATM/NEAR",""),"")</f>
        <v/>
      </c>
    </row>
    <row r="99">
      <c r="A99" s="13">
        <f>CHAIN_RAW!A99</f>
        <v/>
      </c>
      <c r="B99" s="14">
        <f>CHAIN_RAW!B99</f>
        <v/>
      </c>
      <c r="C99" s="13">
        <f>CHAIN_RAW!C99</f>
        <v/>
      </c>
      <c r="D99" s="13">
        <f>CHAIN_RAW!D99</f>
        <v/>
      </c>
      <c r="E99" s="13">
        <f>CHAIN_RAW!E99</f>
        <v/>
      </c>
      <c r="F99" s="13">
        <f>IFERROR((E99-D99)/D99,"")</f>
        <v/>
      </c>
      <c r="G99" s="13">
        <f>IFERROR((CHAIN_RAW!K99+CHAIN_RAW!L99)/2,"")</f>
        <v/>
      </c>
      <c r="H99" s="13">
        <f>IFERROR((CHAIN_RAW!R99+CHAIN_RAW!S99)/2,"")</f>
        <v/>
      </c>
      <c r="I99" s="13">
        <f>IFERROR((CHAIN_RAW!L99-CHAIN_RAW!K99)/MAX(1E-9, G99),"")</f>
        <v/>
      </c>
      <c r="J99" s="13">
        <f>IFERROR((CHAIN_RAW!S99-CHAIN_RAW!R99)/MAX(1E-9, H99),"")</f>
        <v/>
      </c>
      <c r="K99" s="13">
        <f>CHAIN_RAW!G99</f>
        <v/>
      </c>
      <c r="L99" s="13">
        <f>CHAIN_RAW!N99</f>
        <v/>
      </c>
      <c r="M99" s="13">
        <f>IFERROR(L99-K99,"")</f>
        <v/>
      </c>
      <c r="N99" s="13">
        <f>CHAIN_RAW!H99</f>
        <v/>
      </c>
      <c r="O99" s="13">
        <f>CHAIN_RAW!O99</f>
        <v/>
      </c>
      <c r="P99" s="13">
        <f>IFERROR(O99/N99,"")</f>
        <v/>
      </c>
      <c r="Q99" s="13">
        <f>CHAIN_RAW!I99</f>
        <v/>
      </c>
      <c r="R99" s="13">
        <f>CHAIN_RAW!P99</f>
        <v/>
      </c>
      <c r="S99" s="13">
        <f>IFERROR(R99/Q99,"")</f>
        <v/>
      </c>
      <c r="T99" s="13">
        <f>IFERROR((ABS(N99-O99)/MAX(1,(N99+O99)))*EXP(-ABS(E99-CONTROL!E5)/MAX(1,CONTROL!B8)),"")</f>
        <v/>
      </c>
      <c r="U99" s="13">
        <f>IFERROR(IF(O99&gt;N99,"SUPPORT (PE OI)","RESIST (CE OI)"),"")</f>
        <v/>
      </c>
      <c r="V99" s="13">
        <f>IFERROR(IF(Q99&gt;0,IF(R99&gt;0,"BOTH_ADD","CE_ADD_PE_REDUCE"),IF(R99&gt;0,"CE_REDUCE_PE_ADD","BOTH_REDUCE")),"")</f>
        <v/>
      </c>
      <c r="W99" s="13">
        <f>IFERROR( (P99-1)*0.5 + (M99)*0.1 - (I99+J99)*0.05 + T99*0.4 ,"")</f>
        <v/>
      </c>
      <c r="X99" s="13">
        <f>IFERROR(IF(ABS(F99)&lt;0.01,"ATM/NEAR",""),"")</f>
        <v/>
      </c>
    </row>
    <row r="100">
      <c r="A100" s="13">
        <f>CHAIN_RAW!A100</f>
        <v/>
      </c>
      <c r="B100" s="14">
        <f>CHAIN_RAW!B100</f>
        <v/>
      </c>
      <c r="C100" s="13">
        <f>CHAIN_RAW!C100</f>
        <v/>
      </c>
      <c r="D100" s="13">
        <f>CHAIN_RAW!D100</f>
        <v/>
      </c>
      <c r="E100" s="13">
        <f>CHAIN_RAW!E100</f>
        <v/>
      </c>
      <c r="F100" s="13">
        <f>IFERROR((E100-D100)/D100,"")</f>
        <v/>
      </c>
      <c r="G100" s="13">
        <f>IFERROR((CHAIN_RAW!K100+CHAIN_RAW!L100)/2,"")</f>
        <v/>
      </c>
      <c r="H100" s="13">
        <f>IFERROR((CHAIN_RAW!R100+CHAIN_RAW!S100)/2,"")</f>
        <v/>
      </c>
      <c r="I100" s="13">
        <f>IFERROR((CHAIN_RAW!L100-CHAIN_RAW!K100)/MAX(1E-9, G100),"")</f>
        <v/>
      </c>
      <c r="J100" s="13">
        <f>IFERROR((CHAIN_RAW!S100-CHAIN_RAW!R100)/MAX(1E-9, H100),"")</f>
        <v/>
      </c>
      <c r="K100" s="13">
        <f>CHAIN_RAW!G100</f>
        <v/>
      </c>
      <c r="L100" s="13">
        <f>CHAIN_RAW!N100</f>
        <v/>
      </c>
      <c r="M100" s="13">
        <f>IFERROR(L100-K100,"")</f>
        <v/>
      </c>
      <c r="N100" s="13">
        <f>CHAIN_RAW!H100</f>
        <v/>
      </c>
      <c r="O100" s="13">
        <f>CHAIN_RAW!O100</f>
        <v/>
      </c>
      <c r="P100" s="13">
        <f>IFERROR(O100/N100,"")</f>
        <v/>
      </c>
      <c r="Q100" s="13">
        <f>CHAIN_RAW!I100</f>
        <v/>
      </c>
      <c r="R100" s="13">
        <f>CHAIN_RAW!P100</f>
        <v/>
      </c>
      <c r="S100" s="13">
        <f>IFERROR(R100/Q100,"")</f>
        <v/>
      </c>
      <c r="T100" s="13">
        <f>IFERROR((ABS(N100-O100)/MAX(1,(N100+O100)))*EXP(-ABS(E100-CONTROL!E5)/MAX(1,CONTROL!B8)),"")</f>
        <v/>
      </c>
      <c r="U100" s="13">
        <f>IFERROR(IF(O100&gt;N100,"SUPPORT (PE OI)","RESIST (CE OI)"),"")</f>
        <v/>
      </c>
      <c r="V100" s="13">
        <f>IFERROR(IF(Q100&gt;0,IF(R100&gt;0,"BOTH_ADD","CE_ADD_PE_REDUCE"),IF(R100&gt;0,"CE_REDUCE_PE_ADD","BOTH_REDUCE")),"")</f>
        <v/>
      </c>
      <c r="W100" s="13">
        <f>IFERROR( (P100-1)*0.5 + (M100)*0.1 - (I100+J100)*0.05 + T100*0.4 ,"")</f>
        <v/>
      </c>
      <c r="X100" s="13">
        <f>IFERROR(IF(ABS(F100)&lt;0.01,"ATM/NEAR",""),"")</f>
        <v/>
      </c>
    </row>
    <row r="101">
      <c r="A101" s="13">
        <f>CHAIN_RAW!A101</f>
        <v/>
      </c>
      <c r="B101" s="14">
        <f>CHAIN_RAW!B101</f>
        <v/>
      </c>
      <c r="C101" s="13">
        <f>CHAIN_RAW!C101</f>
        <v/>
      </c>
      <c r="D101" s="13">
        <f>CHAIN_RAW!D101</f>
        <v/>
      </c>
      <c r="E101" s="13">
        <f>CHAIN_RAW!E101</f>
        <v/>
      </c>
      <c r="F101" s="13">
        <f>IFERROR((E101-D101)/D101,"")</f>
        <v/>
      </c>
      <c r="G101" s="13">
        <f>IFERROR((CHAIN_RAW!K101+CHAIN_RAW!L101)/2,"")</f>
        <v/>
      </c>
      <c r="H101" s="13">
        <f>IFERROR((CHAIN_RAW!R101+CHAIN_RAW!S101)/2,"")</f>
        <v/>
      </c>
      <c r="I101" s="13">
        <f>IFERROR((CHAIN_RAW!L101-CHAIN_RAW!K101)/MAX(1E-9, G101),"")</f>
        <v/>
      </c>
      <c r="J101" s="13">
        <f>IFERROR((CHAIN_RAW!S101-CHAIN_RAW!R101)/MAX(1E-9, H101),"")</f>
        <v/>
      </c>
      <c r="K101" s="13">
        <f>CHAIN_RAW!G101</f>
        <v/>
      </c>
      <c r="L101" s="13">
        <f>CHAIN_RAW!N101</f>
        <v/>
      </c>
      <c r="M101" s="13">
        <f>IFERROR(L101-K101,"")</f>
        <v/>
      </c>
      <c r="N101" s="13">
        <f>CHAIN_RAW!H101</f>
        <v/>
      </c>
      <c r="O101" s="13">
        <f>CHAIN_RAW!O101</f>
        <v/>
      </c>
      <c r="P101" s="13">
        <f>IFERROR(O101/N101,"")</f>
        <v/>
      </c>
      <c r="Q101" s="13">
        <f>CHAIN_RAW!I101</f>
        <v/>
      </c>
      <c r="R101" s="13">
        <f>CHAIN_RAW!P101</f>
        <v/>
      </c>
      <c r="S101" s="13">
        <f>IFERROR(R101/Q101,"")</f>
        <v/>
      </c>
      <c r="T101" s="13">
        <f>IFERROR((ABS(N101-O101)/MAX(1,(N101+O101)))*EXP(-ABS(E101-CONTROL!E5)/MAX(1,CONTROL!B8)),"")</f>
        <v/>
      </c>
      <c r="U101" s="13">
        <f>IFERROR(IF(O101&gt;N101,"SUPPORT (PE OI)","RESIST (CE OI)"),"")</f>
        <v/>
      </c>
      <c r="V101" s="13">
        <f>IFERROR(IF(Q101&gt;0,IF(R101&gt;0,"BOTH_ADD","CE_ADD_PE_REDUCE"),IF(R101&gt;0,"CE_REDUCE_PE_ADD","BOTH_REDUCE")),"")</f>
        <v/>
      </c>
      <c r="W101" s="13">
        <f>IFERROR( (P101-1)*0.5 + (M101)*0.1 - (I101+J101)*0.05 + T101*0.4 ,"")</f>
        <v/>
      </c>
      <c r="X101" s="13">
        <f>IFERROR(IF(ABS(F101)&lt;0.01,"ATM/NEAR",""),"")</f>
        <v/>
      </c>
    </row>
    <row r="102">
      <c r="A102" s="13">
        <f>CHAIN_RAW!A102</f>
        <v/>
      </c>
      <c r="B102" s="14">
        <f>CHAIN_RAW!B102</f>
        <v/>
      </c>
      <c r="C102" s="13">
        <f>CHAIN_RAW!C102</f>
        <v/>
      </c>
      <c r="D102" s="13">
        <f>CHAIN_RAW!D102</f>
        <v/>
      </c>
      <c r="E102" s="13">
        <f>CHAIN_RAW!E102</f>
        <v/>
      </c>
      <c r="F102" s="13">
        <f>IFERROR((E102-D102)/D102,"")</f>
        <v/>
      </c>
      <c r="G102" s="13">
        <f>IFERROR((CHAIN_RAW!K102+CHAIN_RAW!L102)/2,"")</f>
        <v/>
      </c>
      <c r="H102" s="13">
        <f>IFERROR((CHAIN_RAW!R102+CHAIN_RAW!S102)/2,"")</f>
        <v/>
      </c>
      <c r="I102" s="13">
        <f>IFERROR((CHAIN_RAW!L102-CHAIN_RAW!K102)/MAX(1E-9, G102),"")</f>
        <v/>
      </c>
      <c r="J102" s="13">
        <f>IFERROR((CHAIN_RAW!S102-CHAIN_RAW!R102)/MAX(1E-9, H102),"")</f>
        <v/>
      </c>
      <c r="K102" s="13">
        <f>CHAIN_RAW!G102</f>
        <v/>
      </c>
      <c r="L102" s="13">
        <f>CHAIN_RAW!N102</f>
        <v/>
      </c>
      <c r="M102" s="13">
        <f>IFERROR(L102-K102,"")</f>
        <v/>
      </c>
      <c r="N102" s="13">
        <f>CHAIN_RAW!H102</f>
        <v/>
      </c>
      <c r="O102" s="13">
        <f>CHAIN_RAW!O102</f>
        <v/>
      </c>
      <c r="P102" s="13">
        <f>IFERROR(O102/N102,"")</f>
        <v/>
      </c>
      <c r="Q102" s="13">
        <f>CHAIN_RAW!I102</f>
        <v/>
      </c>
      <c r="R102" s="13">
        <f>CHAIN_RAW!P102</f>
        <v/>
      </c>
      <c r="S102" s="13">
        <f>IFERROR(R102/Q102,"")</f>
        <v/>
      </c>
      <c r="T102" s="13">
        <f>IFERROR((ABS(N102-O102)/MAX(1,(N102+O102)))*EXP(-ABS(E102-CONTROL!E5)/MAX(1,CONTROL!B8)),"")</f>
        <v/>
      </c>
      <c r="U102" s="13">
        <f>IFERROR(IF(O102&gt;N102,"SUPPORT (PE OI)","RESIST (CE OI)"),"")</f>
        <v/>
      </c>
      <c r="V102" s="13">
        <f>IFERROR(IF(Q102&gt;0,IF(R102&gt;0,"BOTH_ADD","CE_ADD_PE_REDUCE"),IF(R102&gt;0,"CE_REDUCE_PE_ADD","BOTH_REDUCE")),"")</f>
        <v/>
      </c>
      <c r="W102" s="13">
        <f>IFERROR( (P102-1)*0.5 + (M102)*0.1 - (I102+J102)*0.05 + T102*0.4 ,"")</f>
        <v/>
      </c>
      <c r="X102" s="13">
        <f>IFERROR(IF(ABS(F102)&lt;0.01,"ATM/NEAR",""),"")</f>
        <v/>
      </c>
    </row>
    <row r="103">
      <c r="A103" s="13">
        <f>CHAIN_RAW!A103</f>
        <v/>
      </c>
      <c r="B103" s="14">
        <f>CHAIN_RAW!B103</f>
        <v/>
      </c>
      <c r="C103" s="13">
        <f>CHAIN_RAW!C103</f>
        <v/>
      </c>
      <c r="D103" s="13">
        <f>CHAIN_RAW!D103</f>
        <v/>
      </c>
      <c r="E103" s="13">
        <f>CHAIN_RAW!E103</f>
        <v/>
      </c>
      <c r="F103" s="13">
        <f>IFERROR((E103-D103)/D103,"")</f>
        <v/>
      </c>
      <c r="G103" s="13">
        <f>IFERROR((CHAIN_RAW!K103+CHAIN_RAW!L103)/2,"")</f>
        <v/>
      </c>
      <c r="H103" s="13">
        <f>IFERROR((CHAIN_RAW!R103+CHAIN_RAW!S103)/2,"")</f>
        <v/>
      </c>
      <c r="I103" s="13">
        <f>IFERROR((CHAIN_RAW!L103-CHAIN_RAW!K103)/MAX(1E-9, G103),"")</f>
        <v/>
      </c>
      <c r="J103" s="13">
        <f>IFERROR((CHAIN_RAW!S103-CHAIN_RAW!R103)/MAX(1E-9, H103),"")</f>
        <v/>
      </c>
      <c r="K103" s="13">
        <f>CHAIN_RAW!G103</f>
        <v/>
      </c>
      <c r="L103" s="13">
        <f>CHAIN_RAW!N103</f>
        <v/>
      </c>
      <c r="M103" s="13">
        <f>IFERROR(L103-K103,"")</f>
        <v/>
      </c>
      <c r="N103" s="13">
        <f>CHAIN_RAW!H103</f>
        <v/>
      </c>
      <c r="O103" s="13">
        <f>CHAIN_RAW!O103</f>
        <v/>
      </c>
      <c r="P103" s="13">
        <f>IFERROR(O103/N103,"")</f>
        <v/>
      </c>
      <c r="Q103" s="13">
        <f>CHAIN_RAW!I103</f>
        <v/>
      </c>
      <c r="R103" s="13">
        <f>CHAIN_RAW!P103</f>
        <v/>
      </c>
      <c r="S103" s="13">
        <f>IFERROR(R103/Q103,"")</f>
        <v/>
      </c>
      <c r="T103" s="13">
        <f>IFERROR((ABS(N103-O103)/MAX(1,(N103+O103)))*EXP(-ABS(E103-CONTROL!E5)/MAX(1,CONTROL!B8)),"")</f>
        <v/>
      </c>
      <c r="U103" s="13">
        <f>IFERROR(IF(O103&gt;N103,"SUPPORT (PE OI)","RESIST (CE OI)"),"")</f>
        <v/>
      </c>
      <c r="V103" s="13">
        <f>IFERROR(IF(Q103&gt;0,IF(R103&gt;0,"BOTH_ADD","CE_ADD_PE_REDUCE"),IF(R103&gt;0,"CE_REDUCE_PE_ADD","BOTH_REDUCE")),"")</f>
        <v/>
      </c>
      <c r="W103" s="13">
        <f>IFERROR( (P103-1)*0.5 + (M103)*0.1 - (I103+J103)*0.05 + T103*0.4 ,"")</f>
        <v/>
      </c>
      <c r="X103" s="13">
        <f>IFERROR(IF(ABS(F103)&lt;0.01,"ATM/NEAR",""),"")</f>
        <v/>
      </c>
    </row>
    <row r="104">
      <c r="A104" s="13">
        <f>CHAIN_RAW!A104</f>
        <v/>
      </c>
      <c r="B104" s="14">
        <f>CHAIN_RAW!B104</f>
        <v/>
      </c>
      <c r="C104" s="13">
        <f>CHAIN_RAW!C104</f>
        <v/>
      </c>
      <c r="D104" s="13">
        <f>CHAIN_RAW!D104</f>
        <v/>
      </c>
      <c r="E104" s="13">
        <f>CHAIN_RAW!E104</f>
        <v/>
      </c>
      <c r="F104" s="13">
        <f>IFERROR((E104-D104)/D104,"")</f>
        <v/>
      </c>
      <c r="G104" s="13">
        <f>IFERROR((CHAIN_RAW!K104+CHAIN_RAW!L104)/2,"")</f>
        <v/>
      </c>
      <c r="H104" s="13">
        <f>IFERROR((CHAIN_RAW!R104+CHAIN_RAW!S104)/2,"")</f>
        <v/>
      </c>
      <c r="I104" s="13">
        <f>IFERROR((CHAIN_RAW!L104-CHAIN_RAW!K104)/MAX(1E-9, G104),"")</f>
        <v/>
      </c>
      <c r="J104" s="13">
        <f>IFERROR((CHAIN_RAW!S104-CHAIN_RAW!R104)/MAX(1E-9, H104),"")</f>
        <v/>
      </c>
      <c r="K104" s="13">
        <f>CHAIN_RAW!G104</f>
        <v/>
      </c>
      <c r="L104" s="13">
        <f>CHAIN_RAW!N104</f>
        <v/>
      </c>
      <c r="M104" s="13">
        <f>IFERROR(L104-K104,"")</f>
        <v/>
      </c>
      <c r="N104" s="13">
        <f>CHAIN_RAW!H104</f>
        <v/>
      </c>
      <c r="O104" s="13">
        <f>CHAIN_RAW!O104</f>
        <v/>
      </c>
      <c r="P104" s="13">
        <f>IFERROR(O104/N104,"")</f>
        <v/>
      </c>
      <c r="Q104" s="13">
        <f>CHAIN_RAW!I104</f>
        <v/>
      </c>
      <c r="R104" s="13">
        <f>CHAIN_RAW!P104</f>
        <v/>
      </c>
      <c r="S104" s="13">
        <f>IFERROR(R104/Q104,"")</f>
        <v/>
      </c>
      <c r="T104" s="13">
        <f>IFERROR((ABS(N104-O104)/MAX(1,(N104+O104)))*EXP(-ABS(E104-CONTROL!E5)/MAX(1,CONTROL!B8)),"")</f>
        <v/>
      </c>
      <c r="U104" s="13">
        <f>IFERROR(IF(O104&gt;N104,"SUPPORT (PE OI)","RESIST (CE OI)"),"")</f>
        <v/>
      </c>
      <c r="V104" s="13">
        <f>IFERROR(IF(Q104&gt;0,IF(R104&gt;0,"BOTH_ADD","CE_ADD_PE_REDUCE"),IF(R104&gt;0,"CE_REDUCE_PE_ADD","BOTH_REDUCE")),"")</f>
        <v/>
      </c>
      <c r="W104" s="13">
        <f>IFERROR( (P104-1)*0.5 + (M104)*0.1 - (I104+J104)*0.05 + T104*0.4 ,"")</f>
        <v/>
      </c>
      <c r="X104" s="13">
        <f>IFERROR(IF(ABS(F104)&lt;0.01,"ATM/NEAR",""),"")</f>
        <v/>
      </c>
    </row>
    <row r="105">
      <c r="A105" s="13">
        <f>CHAIN_RAW!A105</f>
        <v/>
      </c>
      <c r="B105" s="14">
        <f>CHAIN_RAW!B105</f>
        <v/>
      </c>
      <c r="C105" s="13">
        <f>CHAIN_RAW!C105</f>
        <v/>
      </c>
      <c r="D105" s="13">
        <f>CHAIN_RAW!D105</f>
        <v/>
      </c>
      <c r="E105" s="13">
        <f>CHAIN_RAW!E105</f>
        <v/>
      </c>
      <c r="F105" s="13">
        <f>IFERROR((E105-D105)/D105,"")</f>
        <v/>
      </c>
      <c r="G105" s="13">
        <f>IFERROR((CHAIN_RAW!K105+CHAIN_RAW!L105)/2,"")</f>
        <v/>
      </c>
      <c r="H105" s="13">
        <f>IFERROR((CHAIN_RAW!R105+CHAIN_RAW!S105)/2,"")</f>
        <v/>
      </c>
      <c r="I105" s="13">
        <f>IFERROR((CHAIN_RAW!L105-CHAIN_RAW!K105)/MAX(1E-9, G105),"")</f>
        <v/>
      </c>
      <c r="J105" s="13">
        <f>IFERROR((CHAIN_RAW!S105-CHAIN_RAW!R105)/MAX(1E-9, H105),"")</f>
        <v/>
      </c>
      <c r="K105" s="13">
        <f>CHAIN_RAW!G105</f>
        <v/>
      </c>
      <c r="L105" s="13">
        <f>CHAIN_RAW!N105</f>
        <v/>
      </c>
      <c r="M105" s="13">
        <f>IFERROR(L105-K105,"")</f>
        <v/>
      </c>
      <c r="N105" s="13">
        <f>CHAIN_RAW!H105</f>
        <v/>
      </c>
      <c r="O105" s="13">
        <f>CHAIN_RAW!O105</f>
        <v/>
      </c>
      <c r="P105" s="13">
        <f>IFERROR(O105/N105,"")</f>
        <v/>
      </c>
      <c r="Q105" s="13">
        <f>CHAIN_RAW!I105</f>
        <v/>
      </c>
      <c r="R105" s="13">
        <f>CHAIN_RAW!P105</f>
        <v/>
      </c>
      <c r="S105" s="13">
        <f>IFERROR(R105/Q105,"")</f>
        <v/>
      </c>
      <c r="T105" s="13">
        <f>IFERROR((ABS(N105-O105)/MAX(1,(N105+O105)))*EXP(-ABS(E105-CONTROL!E5)/MAX(1,CONTROL!B8)),"")</f>
        <v/>
      </c>
      <c r="U105" s="13">
        <f>IFERROR(IF(O105&gt;N105,"SUPPORT (PE OI)","RESIST (CE OI)"),"")</f>
        <v/>
      </c>
      <c r="V105" s="13">
        <f>IFERROR(IF(Q105&gt;0,IF(R105&gt;0,"BOTH_ADD","CE_ADD_PE_REDUCE"),IF(R105&gt;0,"CE_REDUCE_PE_ADD","BOTH_REDUCE")),"")</f>
        <v/>
      </c>
      <c r="W105" s="13">
        <f>IFERROR( (P105-1)*0.5 + (M105)*0.1 - (I105+J105)*0.05 + T105*0.4 ,"")</f>
        <v/>
      </c>
      <c r="X105" s="13">
        <f>IFERROR(IF(ABS(F105)&lt;0.01,"ATM/NEAR",""),"")</f>
        <v/>
      </c>
    </row>
    <row r="106">
      <c r="A106" s="13">
        <f>CHAIN_RAW!A106</f>
        <v/>
      </c>
      <c r="B106" s="14">
        <f>CHAIN_RAW!B106</f>
        <v/>
      </c>
      <c r="C106" s="13">
        <f>CHAIN_RAW!C106</f>
        <v/>
      </c>
      <c r="D106" s="13">
        <f>CHAIN_RAW!D106</f>
        <v/>
      </c>
      <c r="E106" s="13">
        <f>CHAIN_RAW!E106</f>
        <v/>
      </c>
      <c r="F106" s="13">
        <f>IFERROR((E106-D106)/D106,"")</f>
        <v/>
      </c>
      <c r="G106" s="13">
        <f>IFERROR((CHAIN_RAW!K106+CHAIN_RAW!L106)/2,"")</f>
        <v/>
      </c>
      <c r="H106" s="13">
        <f>IFERROR((CHAIN_RAW!R106+CHAIN_RAW!S106)/2,"")</f>
        <v/>
      </c>
      <c r="I106" s="13">
        <f>IFERROR((CHAIN_RAW!L106-CHAIN_RAW!K106)/MAX(1E-9, G106),"")</f>
        <v/>
      </c>
      <c r="J106" s="13">
        <f>IFERROR((CHAIN_RAW!S106-CHAIN_RAW!R106)/MAX(1E-9, H106),"")</f>
        <v/>
      </c>
      <c r="K106" s="13">
        <f>CHAIN_RAW!G106</f>
        <v/>
      </c>
      <c r="L106" s="13">
        <f>CHAIN_RAW!N106</f>
        <v/>
      </c>
      <c r="M106" s="13">
        <f>IFERROR(L106-K106,"")</f>
        <v/>
      </c>
      <c r="N106" s="13">
        <f>CHAIN_RAW!H106</f>
        <v/>
      </c>
      <c r="O106" s="13">
        <f>CHAIN_RAW!O106</f>
        <v/>
      </c>
      <c r="P106" s="13">
        <f>IFERROR(O106/N106,"")</f>
        <v/>
      </c>
      <c r="Q106" s="13">
        <f>CHAIN_RAW!I106</f>
        <v/>
      </c>
      <c r="R106" s="13">
        <f>CHAIN_RAW!P106</f>
        <v/>
      </c>
      <c r="S106" s="13">
        <f>IFERROR(R106/Q106,"")</f>
        <v/>
      </c>
      <c r="T106" s="13">
        <f>IFERROR((ABS(N106-O106)/MAX(1,(N106+O106)))*EXP(-ABS(E106-CONTROL!E5)/MAX(1,CONTROL!B8)),"")</f>
        <v/>
      </c>
      <c r="U106" s="13">
        <f>IFERROR(IF(O106&gt;N106,"SUPPORT (PE OI)","RESIST (CE OI)"),"")</f>
        <v/>
      </c>
      <c r="V106" s="13">
        <f>IFERROR(IF(Q106&gt;0,IF(R106&gt;0,"BOTH_ADD","CE_ADD_PE_REDUCE"),IF(R106&gt;0,"CE_REDUCE_PE_ADD","BOTH_REDUCE")),"")</f>
        <v/>
      </c>
      <c r="W106" s="13">
        <f>IFERROR( (P106-1)*0.5 + (M106)*0.1 - (I106+J106)*0.05 + T106*0.4 ,"")</f>
        <v/>
      </c>
      <c r="X106" s="13">
        <f>IFERROR(IF(ABS(F106)&lt;0.01,"ATM/NEAR",""),"")</f>
        <v/>
      </c>
    </row>
    <row r="107">
      <c r="A107" s="13">
        <f>CHAIN_RAW!A107</f>
        <v/>
      </c>
      <c r="B107" s="14">
        <f>CHAIN_RAW!B107</f>
        <v/>
      </c>
      <c r="C107" s="13">
        <f>CHAIN_RAW!C107</f>
        <v/>
      </c>
      <c r="D107" s="13">
        <f>CHAIN_RAW!D107</f>
        <v/>
      </c>
      <c r="E107" s="13">
        <f>CHAIN_RAW!E107</f>
        <v/>
      </c>
      <c r="F107" s="13">
        <f>IFERROR((E107-D107)/D107,"")</f>
        <v/>
      </c>
      <c r="G107" s="13">
        <f>IFERROR((CHAIN_RAW!K107+CHAIN_RAW!L107)/2,"")</f>
        <v/>
      </c>
      <c r="H107" s="13">
        <f>IFERROR((CHAIN_RAW!R107+CHAIN_RAW!S107)/2,"")</f>
        <v/>
      </c>
      <c r="I107" s="13">
        <f>IFERROR((CHAIN_RAW!L107-CHAIN_RAW!K107)/MAX(1E-9, G107),"")</f>
        <v/>
      </c>
      <c r="J107" s="13">
        <f>IFERROR((CHAIN_RAW!S107-CHAIN_RAW!R107)/MAX(1E-9, H107),"")</f>
        <v/>
      </c>
      <c r="K107" s="13">
        <f>CHAIN_RAW!G107</f>
        <v/>
      </c>
      <c r="L107" s="13">
        <f>CHAIN_RAW!N107</f>
        <v/>
      </c>
      <c r="M107" s="13">
        <f>IFERROR(L107-K107,"")</f>
        <v/>
      </c>
      <c r="N107" s="13">
        <f>CHAIN_RAW!H107</f>
        <v/>
      </c>
      <c r="O107" s="13">
        <f>CHAIN_RAW!O107</f>
        <v/>
      </c>
      <c r="P107" s="13">
        <f>IFERROR(O107/N107,"")</f>
        <v/>
      </c>
      <c r="Q107" s="13">
        <f>CHAIN_RAW!I107</f>
        <v/>
      </c>
      <c r="R107" s="13">
        <f>CHAIN_RAW!P107</f>
        <v/>
      </c>
      <c r="S107" s="13">
        <f>IFERROR(R107/Q107,"")</f>
        <v/>
      </c>
      <c r="T107" s="13">
        <f>IFERROR((ABS(N107-O107)/MAX(1,(N107+O107)))*EXP(-ABS(E107-CONTROL!E5)/MAX(1,CONTROL!B8)),"")</f>
        <v/>
      </c>
      <c r="U107" s="13">
        <f>IFERROR(IF(O107&gt;N107,"SUPPORT (PE OI)","RESIST (CE OI)"),"")</f>
        <v/>
      </c>
      <c r="V107" s="13">
        <f>IFERROR(IF(Q107&gt;0,IF(R107&gt;0,"BOTH_ADD","CE_ADD_PE_REDUCE"),IF(R107&gt;0,"CE_REDUCE_PE_ADD","BOTH_REDUCE")),"")</f>
        <v/>
      </c>
      <c r="W107" s="13">
        <f>IFERROR( (P107-1)*0.5 + (M107)*0.1 - (I107+J107)*0.05 + T107*0.4 ,"")</f>
        <v/>
      </c>
      <c r="X107" s="13">
        <f>IFERROR(IF(ABS(F107)&lt;0.01,"ATM/NEAR",""),"")</f>
        <v/>
      </c>
    </row>
    <row r="108">
      <c r="A108" s="13">
        <f>CHAIN_RAW!A108</f>
        <v/>
      </c>
      <c r="B108" s="14">
        <f>CHAIN_RAW!B108</f>
        <v/>
      </c>
      <c r="C108" s="13">
        <f>CHAIN_RAW!C108</f>
        <v/>
      </c>
      <c r="D108" s="13">
        <f>CHAIN_RAW!D108</f>
        <v/>
      </c>
      <c r="E108" s="13">
        <f>CHAIN_RAW!E108</f>
        <v/>
      </c>
      <c r="F108" s="13">
        <f>IFERROR((E108-D108)/D108,"")</f>
        <v/>
      </c>
      <c r="G108" s="13">
        <f>IFERROR((CHAIN_RAW!K108+CHAIN_RAW!L108)/2,"")</f>
        <v/>
      </c>
      <c r="H108" s="13">
        <f>IFERROR((CHAIN_RAW!R108+CHAIN_RAW!S108)/2,"")</f>
        <v/>
      </c>
      <c r="I108" s="13">
        <f>IFERROR((CHAIN_RAW!L108-CHAIN_RAW!K108)/MAX(1E-9, G108),"")</f>
        <v/>
      </c>
      <c r="J108" s="13">
        <f>IFERROR((CHAIN_RAW!S108-CHAIN_RAW!R108)/MAX(1E-9, H108),"")</f>
        <v/>
      </c>
      <c r="K108" s="13">
        <f>CHAIN_RAW!G108</f>
        <v/>
      </c>
      <c r="L108" s="13">
        <f>CHAIN_RAW!N108</f>
        <v/>
      </c>
      <c r="M108" s="13">
        <f>IFERROR(L108-K108,"")</f>
        <v/>
      </c>
      <c r="N108" s="13">
        <f>CHAIN_RAW!H108</f>
        <v/>
      </c>
      <c r="O108" s="13">
        <f>CHAIN_RAW!O108</f>
        <v/>
      </c>
      <c r="P108" s="13">
        <f>IFERROR(O108/N108,"")</f>
        <v/>
      </c>
      <c r="Q108" s="13">
        <f>CHAIN_RAW!I108</f>
        <v/>
      </c>
      <c r="R108" s="13">
        <f>CHAIN_RAW!P108</f>
        <v/>
      </c>
      <c r="S108" s="13">
        <f>IFERROR(R108/Q108,"")</f>
        <v/>
      </c>
      <c r="T108" s="13">
        <f>IFERROR((ABS(N108-O108)/MAX(1,(N108+O108)))*EXP(-ABS(E108-CONTROL!E5)/MAX(1,CONTROL!B8)),"")</f>
        <v/>
      </c>
      <c r="U108" s="13">
        <f>IFERROR(IF(O108&gt;N108,"SUPPORT (PE OI)","RESIST (CE OI)"),"")</f>
        <v/>
      </c>
      <c r="V108" s="13">
        <f>IFERROR(IF(Q108&gt;0,IF(R108&gt;0,"BOTH_ADD","CE_ADD_PE_REDUCE"),IF(R108&gt;0,"CE_REDUCE_PE_ADD","BOTH_REDUCE")),"")</f>
        <v/>
      </c>
      <c r="W108" s="13">
        <f>IFERROR( (P108-1)*0.5 + (M108)*0.1 - (I108+J108)*0.05 + T108*0.4 ,"")</f>
        <v/>
      </c>
      <c r="X108" s="13">
        <f>IFERROR(IF(ABS(F108)&lt;0.01,"ATM/NEAR",""),"")</f>
        <v/>
      </c>
    </row>
    <row r="109">
      <c r="A109" s="13">
        <f>CHAIN_RAW!A109</f>
        <v/>
      </c>
      <c r="B109" s="14">
        <f>CHAIN_RAW!B109</f>
        <v/>
      </c>
      <c r="C109" s="13">
        <f>CHAIN_RAW!C109</f>
        <v/>
      </c>
      <c r="D109" s="13">
        <f>CHAIN_RAW!D109</f>
        <v/>
      </c>
      <c r="E109" s="13">
        <f>CHAIN_RAW!E109</f>
        <v/>
      </c>
      <c r="F109" s="13">
        <f>IFERROR((E109-D109)/D109,"")</f>
        <v/>
      </c>
      <c r="G109" s="13">
        <f>IFERROR((CHAIN_RAW!K109+CHAIN_RAW!L109)/2,"")</f>
        <v/>
      </c>
      <c r="H109" s="13">
        <f>IFERROR((CHAIN_RAW!R109+CHAIN_RAW!S109)/2,"")</f>
        <v/>
      </c>
      <c r="I109" s="13">
        <f>IFERROR((CHAIN_RAW!L109-CHAIN_RAW!K109)/MAX(1E-9, G109),"")</f>
        <v/>
      </c>
      <c r="J109" s="13">
        <f>IFERROR((CHAIN_RAW!S109-CHAIN_RAW!R109)/MAX(1E-9, H109),"")</f>
        <v/>
      </c>
      <c r="K109" s="13">
        <f>CHAIN_RAW!G109</f>
        <v/>
      </c>
      <c r="L109" s="13">
        <f>CHAIN_RAW!N109</f>
        <v/>
      </c>
      <c r="M109" s="13">
        <f>IFERROR(L109-K109,"")</f>
        <v/>
      </c>
      <c r="N109" s="13">
        <f>CHAIN_RAW!H109</f>
        <v/>
      </c>
      <c r="O109" s="13">
        <f>CHAIN_RAW!O109</f>
        <v/>
      </c>
      <c r="P109" s="13">
        <f>IFERROR(O109/N109,"")</f>
        <v/>
      </c>
      <c r="Q109" s="13">
        <f>CHAIN_RAW!I109</f>
        <v/>
      </c>
      <c r="R109" s="13">
        <f>CHAIN_RAW!P109</f>
        <v/>
      </c>
      <c r="S109" s="13">
        <f>IFERROR(R109/Q109,"")</f>
        <v/>
      </c>
      <c r="T109" s="13">
        <f>IFERROR((ABS(N109-O109)/MAX(1,(N109+O109)))*EXP(-ABS(E109-CONTROL!E5)/MAX(1,CONTROL!B8)),"")</f>
        <v/>
      </c>
      <c r="U109" s="13">
        <f>IFERROR(IF(O109&gt;N109,"SUPPORT (PE OI)","RESIST (CE OI)"),"")</f>
        <v/>
      </c>
      <c r="V109" s="13">
        <f>IFERROR(IF(Q109&gt;0,IF(R109&gt;0,"BOTH_ADD","CE_ADD_PE_REDUCE"),IF(R109&gt;0,"CE_REDUCE_PE_ADD","BOTH_REDUCE")),"")</f>
        <v/>
      </c>
      <c r="W109" s="13">
        <f>IFERROR( (P109-1)*0.5 + (M109)*0.1 - (I109+J109)*0.05 + T109*0.4 ,"")</f>
        <v/>
      </c>
      <c r="X109" s="13">
        <f>IFERROR(IF(ABS(F109)&lt;0.01,"ATM/NEAR",""),"")</f>
        <v/>
      </c>
    </row>
    <row r="110">
      <c r="A110" s="13">
        <f>CHAIN_RAW!A110</f>
        <v/>
      </c>
      <c r="B110" s="14">
        <f>CHAIN_RAW!B110</f>
        <v/>
      </c>
      <c r="C110" s="13">
        <f>CHAIN_RAW!C110</f>
        <v/>
      </c>
      <c r="D110" s="13">
        <f>CHAIN_RAW!D110</f>
        <v/>
      </c>
      <c r="E110" s="13">
        <f>CHAIN_RAW!E110</f>
        <v/>
      </c>
      <c r="F110" s="13">
        <f>IFERROR((E110-D110)/D110,"")</f>
        <v/>
      </c>
      <c r="G110" s="13">
        <f>IFERROR((CHAIN_RAW!K110+CHAIN_RAW!L110)/2,"")</f>
        <v/>
      </c>
      <c r="H110" s="13">
        <f>IFERROR((CHAIN_RAW!R110+CHAIN_RAW!S110)/2,"")</f>
        <v/>
      </c>
      <c r="I110" s="13">
        <f>IFERROR((CHAIN_RAW!L110-CHAIN_RAW!K110)/MAX(1E-9, G110),"")</f>
        <v/>
      </c>
      <c r="J110" s="13">
        <f>IFERROR((CHAIN_RAW!S110-CHAIN_RAW!R110)/MAX(1E-9, H110),"")</f>
        <v/>
      </c>
      <c r="K110" s="13">
        <f>CHAIN_RAW!G110</f>
        <v/>
      </c>
      <c r="L110" s="13">
        <f>CHAIN_RAW!N110</f>
        <v/>
      </c>
      <c r="M110" s="13">
        <f>IFERROR(L110-K110,"")</f>
        <v/>
      </c>
      <c r="N110" s="13">
        <f>CHAIN_RAW!H110</f>
        <v/>
      </c>
      <c r="O110" s="13">
        <f>CHAIN_RAW!O110</f>
        <v/>
      </c>
      <c r="P110" s="13">
        <f>IFERROR(O110/N110,"")</f>
        <v/>
      </c>
      <c r="Q110" s="13">
        <f>CHAIN_RAW!I110</f>
        <v/>
      </c>
      <c r="R110" s="13">
        <f>CHAIN_RAW!P110</f>
        <v/>
      </c>
      <c r="S110" s="13">
        <f>IFERROR(R110/Q110,"")</f>
        <v/>
      </c>
      <c r="T110" s="13">
        <f>IFERROR((ABS(N110-O110)/MAX(1,(N110+O110)))*EXP(-ABS(E110-CONTROL!E5)/MAX(1,CONTROL!B8)),"")</f>
        <v/>
      </c>
      <c r="U110" s="13">
        <f>IFERROR(IF(O110&gt;N110,"SUPPORT (PE OI)","RESIST (CE OI)"),"")</f>
        <v/>
      </c>
      <c r="V110" s="13">
        <f>IFERROR(IF(Q110&gt;0,IF(R110&gt;0,"BOTH_ADD","CE_ADD_PE_REDUCE"),IF(R110&gt;0,"CE_REDUCE_PE_ADD","BOTH_REDUCE")),"")</f>
        <v/>
      </c>
      <c r="W110" s="13">
        <f>IFERROR( (P110-1)*0.5 + (M110)*0.1 - (I110+J110)*0.05 + T110*0.4 ,"")</f>
        <v/>
      </c>
      <c r="X110" s="13">
        <f>IFERROR(IF(ABS(F110)&lt;0.01,"ATM/NEAR",""),"")</f>
        <v/>
      </c>
    </row>
    <row r="111">
      <c r="A111" s="13">
        <f>CHAIN_RAW!A111</f>
        <v/>
      </c>
      <c r="B111" s="14">
        <f>CHAIN_RAW!B111</f>
        <v/>
      </c>
      <c r="C111" s="13">
        <f>CHAIN_RAW!C111</f>
        <v/>
      </c>
      <c r="D111" s="13">
        <f>CHAIN_RAW!D111</f>
        <v/>
      </c>
      <c r="E111" s="13">
        <f>CHAIN_RAW!E111</f>
        <v/>
      </c>
      <c r="F111" s="13">
        <f>IFERROR((E111-D111)/D111,"")</f>
        <v/>
      </c>
      <c r="G111" s="13">
        <f>IFERROR((CHAIN_RAW!K111+CHAIN_RAW!L111)/2,"")</f>
        <v/>
      </c>
      <c r="H111" s="13">
        <f>IFERROR((CHAIN_RAW!R111+CHAIN_RAW!S111)/2,"")</f>
        <v/>
      </c>
      <c r="I111" s="13">
        <f>IFERROR((CHAIN_RAW!L111-CHAIN_RAW!K111)/MAX(1E-9, G111),"")</f>
        <v/>
      </c>
      <c r="J111" s="13">
        <f>IFERROR((CHAIN_RAW!S111-CHAIN_RAW!R111)/MAX(1E-9, H111),"")</f>
        <v/>
      </c>
      <c r="K111" s="13">
        <f>CHAIN_RAW!G111</f>
        <v/>
      </c>
      <c r="L111" s="13">
        <f>CHAIN_RAW!N111</f>
        <v/>
      </c>
      <c r="M111" s="13">
        <f>IFERROR(L111-K111,"")</f>
        <v/>
      </c>
      <c r="N111" s="13">
        <f>CHAIN_RAW!H111</f>
        <v/>
      </c>
      <c r="O111" s="13">
        <f>CHAIN_RAW!O111</f>
        <v/>
      </c>
      <c r="P111" s="13">
        <f>IFERROR(O111/N111,"")</f>
        <v/>
      </c>
      <c r="Q111" s="13">
        <f>CHAIN_RAW!I111</f>
        <v/>
      </c>
      <c r="R111" s="13">
        <f>CHAIN_RAW!P111</f>
        <v/>
      </c>
      <c r="S111" s="13">
        <f>IFERROR(R111/Q111,"")</f>
        <v/>
      </c>
      <c r="T111" s="13">
        <f>IFERROR((ABS(N111-O111)/MAX(1,(N111+O111)))*EXP(-ABS(E111-CONTROL!E5)/MAX(1,CONTROL!B8)),"")</f>
        <v/>
      </c>
      <c r="U111" s="13">
        <f>IFERROR(IF(O111&gt;N111,"SUPPORT (PE OI)","RESIST (CE OI)"),"")</f>
        <v/>
      </c>
      <c r="V111" s="13">
        <f>IFERROR(IF(Q111&gt;0,IF(R111&gt;0,"BOTH_ADD","CE_ADD_PE_REDUCE"),IF(R111&gt;0,"CE_REDUCE_PE_ADD","BOTH_REDUCE")),"")</f>
        <v/>
      </c>
      <c r="W111" s="13">
        <f>IFERROR( (P111-1)*0.5 + (M111)*0.1 - (I111+J111)*0.05 + T111*0.4 ,"")</f>
        <v/>
      </c>
      <c r="X111" s="13">
        <f>IFERROR(IF(ABS(F111)&lt;0.01,"ATM/NEAR",""),"")</f>
        <v/>
      </c>
    </row>
    <row r="112">
      <c r="A112" s="13">
        <f>CHAIN_RAW!A112</f>
        <v/>
      </c>
      <c r="B112" s="14">
        <f>CHAIN_RAW!B112</f>
        <v/>
      </c>
      <c r="C112" s="13">
        <f>CHAIN_RAW!C112</f>
        <v/>
      </c>
      <c r="D112" s="13">
        <f>CHAIN_RAW!D112</f>
        <v/>
      </c>
      <c r="E112" s="13">
        <f>CHAIN_RAW!E112</f>
        <v/>
      </c>
      <c r="F112" s="13">
        <f>IFERROR((E112-D112)/D112,"")</f>
        <v/>
      </c>
      <c r="G112" s="13">
        <f>IFERROR((CHAIN_RAW!K112+CHAIN_RAW!L112)/2,"")</f>
        <v/>
      </c>
      <c r="H112" s="13">
        <f>IFERROR((CHAIN_RAW!R112+CHAIN_RAW!S112)/2,"")</f>
        <v/>
      </c>
      <c r="I112" s="13">
        <f>IFERROR((CHAIN_RAW!L112-CHAIN_RAW!K112)/MAX(1E-9, G112),"")</f>
        <v/>
      </c>
      <c r="J112" s="13">
        <f>IFERROR((CHAIN_RAW!S112-CHAIN_RAW!R112)/MAX(1E-9, H112),"")</f>
        <v/>
      </c>
      <c r="K112" s="13">
        <f>CHAIN_RAW!G112</f>
        <v/>
      </c>
      <c r="L112" s="13">
        <f>CHAIN_RAW!N112</f>
        <v/>
      </c>
      <c r="M112" s="13">
        <f>IFERROR(L112-K112,"")</f>
        <v/>
      </c>
      <c r="N112" s="13">
        <f>CHAIN_RAW!H112</f>
        <v/>
      </c>
      <c r="O112" s="13">
        <f>CHAIN_RAW!O112</f>
        <v/>
      </c>
      <c r="P112" s="13">
        <f>IFERROR(O112/N112,"")</f>
        <v/>
      </c>
      <c r="Q112" s="13">
        <f>CHAIN_RAW!I112</f>
        <v/>
      </c>
      <c r="R112" s="13">
        <f>CHAIN_RAW!P112</f>
        <v/>
      </c>
      <c r="S112" s="13">
        <f>IFERROR(R112/Q112,"")</f>
        <v/>
      </c>
      <c r="T112" s="13">
        <f>IFERROR((ABS(N112-O112)/MAX(1,(N112+O112)))*EXP(-ABS(E112-CONTROL!E5)/MAX(1,CONTROL!B8)),"")</f>
        <v/>
      </c>
      <c r="U112" s="13">
        <f>IFERROR(IF(O112&gt;N112,"SUPPORT (PE OI)","RESIST (CE OI)"),"")</f>
        <v/>
      </c>
      <c r="V112" s="13">
        <f>IFERROR(IF(Q112&gt;0,IF(R112&gt;0,"BOTH_ADD","CE_ADD_PE_REDUCE"),IF(R112&gt;0,"CE_REDUCE_PE_ADD","BOTH_REDUCE")),"")</f>
        <v/>
      </c>
      <c r="W112" s="13">
        <f>IFERROR( (P112-1)*0.5 + (M112)*0.1 - (I112+J112)*0.05 + T112*0.4 ,"")</f>
        <v/>
      </c>
      <c r="X112" s="13">
        <f>IFERROR(IF(ABS(F112)&lt;0.01,"ATM/NEAR",""),"")</f>
        <v/>
      </c>
    </row>
    <row r="113">
      <c r="A113" s="13">
        <f>CHAIN_RAW!A113</f>
        <v/>
      </c>
      <c r="B113" s="14">
        <f>CHAIN_RAW!B113</f>
        <v/>
      </c>
      <c r="C113" s="13">
        <f>CHAIN_RAW!C113</f>
        <v/>
      </c>
      <c r="D113" s="13">
        <f>CHAIN_RAW!D113</f>
        <v/>
      </c>
      <c r="E113" s="13">
        <f>CHAIN_RAW!E113</f>
        <v/>
      </c>
      <c r="F113" s="13">
        <f>IFERROR((E113-D113)/D113,"")</f>
        <v/>
      </c>
      <c r="G113" s="13">
        <f>IFERROR((CHAIN_RAW!K113+CHAIN_RAW!L113)/2,"")</f>
        <v/>
      </c>
      <c r="H113" s="13">
        <f>IFERROR((CHAIN_RAW!R113+CHAIN_RAW!S113)/2,"")</f>
        <v/>
      </c>
      <c r="I113" s="13">
        <f>IFERROR((CHAIN_RAW!L113-CHAIN_RAW!K113)/MAX(1E-9, G113),"")</f>
        <v/>
      </c>
      <c r="J113" s="13">
        <f>IFERROR((CHAIN_RAW!S113-CHAIN_RAW!R113)/MAX(1E-9, H113),"")</f>
        <v/>
      </c>
      <c r="K113" s="13">
        <f>CHAIN_RAW!G113</f>
        <v/>
      </c>
      <c r="L113" s="13">
        <f>CHAIN_RAW!N113</f>
        <v/>
      </c>
      <c r="M113" s="13">
        <f>IFERROR(L113-K113,"")</f>
        <v/>
      </c>
      <c r="N113" s="13">
        <f>CHAIN_RAW!H113</f>
        <v/>
      </c>
      <c r="O113" s="13">
        <f>CHAIN_RAW!O113</f>
        <v/>
      </c>
      <c r="P113" s="13">
        <f>IFERROR(O113/N113,"")</f>
        <v/>
      </c>
      <c r="Q113" s="13">
        <f>CHAIN_RAW!I113</f>
        <v/>
      </c>
      <c r="R113" s="13">
        <f>CHAIN_RAW!P113</f>
        <v/>
      </c>
      <c r="S113" s="13">
        <f>IFERROR(R113/Q113,"")</f>
        <v/>
      </c>
      <c r="T113" s="13">
        <f>IFERROR((ABS(N113-O113)/MAX(1,(N113+O113)))*EXP(-ABS(E113-CONTROL!E5)/MAX(1,CONTROL!B8)),"")</f>
        <v/>
      </c>
      <c r="U113" s="13">
        <f>IFERROR(IF(O113&gt;N113,"SUPPORT (PE OI)","RESIST (CE OI)"),"")</f>
        <v/>
      </c>
      <c r="V113" s="13">
        <f>IFERROR(IF(Q113&gt;0,IF(R113&gt;0,"BOTH_ADD","CE_ADD_PE_REDUCE"),IF(R113&gt;0,"CE_REDUCE_PE_ADD","BOTH_REDUCE")),"")</f>
        <v/>
      </c>
      <c r="W113" s="13">
        <f>IFERROR( (P113-1)*0.5 + (M113)*0.1 - (I113+J113)*0.05 + T113*0.4 ,"")</f>
        <v/>
      </c>
      <c r="X113" s="13">
        <f>IFERROR(IF(ABS(F113)&lt;0.01,"ATM/NEAR",""),"")</f>
        <v/>
      </c>
    </row>
    <row r="114">
      <c r="A114" s="13">
        <f>CHAIN_RAW!A114</f>
        <v/>
      </c>
      <c r="B114" s="14">
        <f>CHAIN_RAW!B114</f>
        <v/>
      </c>
      <c r="C114" s="13">
        <f>CHAIN_RAW!C114</f>
        <v/>
      </c>
      <c r="D114" s="13">
        <f>CHAIN_RAW!D114</f>
        <v/>
      </c>
      <c r="E114" s="13">
        <f>CHAIN_RAW!E114</f>
        <v/>
      </c>
      <c r="F114" s="13">
        <f>IFERROR((E114-D114)/D114,"")</f>
        <v/>
      </c>
      <c r="G114" s="13">
        <f>IFERROR((CHAIN_RAW!K114+CHAIN_RAW!L114)/2,"")</f>
        <v/>
      </c>
      <c r="H114" s="13">
        <f>IFERROR((CHAIN_RAW!R114+CHAIN_RAW!S114)/2,"")</f>
        <v/>
      </c>
      <c r="I114" s="13">
        <f>IFERROR((CHAIN_RAW!L114-CHAIN_RAW!K114)/MAX(1E-9, G114),"")</f>
        <v/>
      </c>
      <c r="J114" s="13">
        <f>IFERROR((CHAIN_RAW!S114-CHAIN_RAW!R114)/MAX(1E-9, H114),"")</f>
        <v/>
      </c>
      <c r="K114" s="13">
        <f>CHAIN_RAW!G114</f>
        <v/>
      </c>
      <c r="L114" s="13">
        <f>CHAIN_RAW!N114</f>
        <v/>
      </c>
      <c r="M114" s="13">
        <f>IFERROR(L114-K114,"")</f>
        <v/>
      </c>
      <c r="N114" s="13">
        <f>CHAIN_RAW!H114</f>
        <v/>
      </c>
      <c r="O114" s="13">
        <f>CHAIN_RAW!O114</f>
        <v/>
      </c>
      <c r="P114" s="13">
        <f>IFERROR(O114/N114,"")</f>
        <v/>
      </c>
      <c r="Q114" s="13">
        <f>CHAIN_RAW!I114</f>
        <v/>
      </c>
      <c r="R114" s="13">
        <f>CHAIN_RAW!P114</f>
        <v/>
      </c>
      <c r="S114" s="13">
        <f>IFERROR(R114/Q114,"")</f>
        <v/>
      </c>
      <c r="T114" s="13">
        <f>IFERROR((ABS(N114-O114)/MAX(1,(N114+O114)))*EXP(-ABS(E114-CONTROL!E5)/MAX(1,CONTROL!B8)),"")</f>
        <v/>
      </c>
      <c r="U114" s="13">
        <f>IFERROR(IF(O114&gt;N114,"SUPPORT (PE OI)","RESIST (CE OI)"),"")</f>
        <v/>
      </c>
      <c r="V114" s="13">
        <f>IFERROR(IF(Q114&gt;0,IF(R114&gt;0,"BOTH_ADD","CE_ADD_PE_REDUCE"),IF(R114&gt;0,"CE_REDUCE_PE_ADD","BOTH_REDUCE")),"")</f>
        <v/>
      </c>
      <c r="W114" s="13">
        <f>IFERROR( (P114-1)*0.5 + (M114)*0.1 - (I114+J114)*0.05 + T114*0.4 ,"")</f>
        <v/>
      </c>
      <c r="X114" s="13">
        <f>IFERROR(IF(ABS(F114)&lt;0.01,"ATM/NEAR",""),"")</f>
        <v/>
      </c>
    </row>
    <row r="115">
      <c r="A115" s="13">
        <f>CHAIN_RAW!A115</f>
        <v/>
      </c>
      <c r="B115" s="14">
        <f>CHAIN_RAW!B115</f>
        <v/>
      </c>
      <c r="C115" s="13">
        <f>CHAIN_RAW!C115</f>
        <v/>
      </c>
      <c r="D115" s="13">
        <f>CHAIN_RAW!D115</f>
        <v/>
      </c>
      <c r="E115" s="13">
        <f>CHAIN_RAW!E115</f>
        <v/>
      </c>
      <c r="F115" s="13">
        <f>IFERROR((E115-D115)/D115,"")</f>
        <v/>
      </c>
      <c r="G115" s="13">
        <f>IFERROR((CHAIN_RAW!K115+CHAIN_RAW!L115)/2,"")</f>
        <v/>
      </c>
      <c r="H115" s="13">
        <f>IFERROR((CHAIN_RAW!R115+CHAIN_RAW!S115)/2,"")</f>
        <v/>
      </c>
      <c r="I115" s="13">
        <f>IFERROR((CHAIN_RAW!L115-CHAIN_RAW!K115)/MAX(1E-9, G115),"")</f>
        <v/>
      </c>
      <c r="J115" s="13">
        <f>IFERROR((CHAIN_RAW!S115-CHAIN_RAW!R115)/MAX(1E-9, H115),"")</f>
        <v/>
      </c>
      <c r="K115" s="13">
        <f>CHAIN_RAW!G115</f>
        <v/>
      </c>
      <c r="L115" s="13">
        <f>CHAIN_RAW!N115</f>
        <v/>
      </c>
      <c r="M115" s="13">
        <f>IFERROR(L115-K115,"")</f>
        <v/>
      </c>
      <c r="N115" s="13">
        <f>CHAIN_RAW!H115</f>
        <v/>
      </c>
      <c r="O115" s="13">
        <f>CHAIN_RAW!O115</f>
        <v/>
      </c>
      <c r="P115" s="13">
        <f>IFERROR(O115/N115,"")</f>
        <v/>
      </c>
      <c r="Q115" s="13">
        <f>CHAIN_RAW!I115</f>
        <v/>
      </c>
      <c r="R115" s="13">
        <f>CHAIN_RAW!P115</f>
        <v/>
      </c>
      <c r="S115" s="13">
        <f>IFERROR(R115/Q115,"")</f>
        <v/>
      </c>
      <c r="T115" s="13">
        <f>IFERROR((ABS(N115-O115)/MAX(1,(N115+O115)))*EXP(-ABS(E115-CONTROL!E5)/MAX(1,CONTROL!B8)),"")</f>
        <v/>
      </c>
      <c r="U115" s="13">
        <f>IFERROR(IF(O115&gt;N115,"SUPPORT (PE OI)","RESIST (CE OI)"),"")</f>
        <v/>
      </c>
      <c r="V115" s="13">
        <f>IFERROR(IF(Q115&gt;0,IF(R115&gt;0,"BOTH_ADD","CE_ADD_PE_REDUCE"),IF(R115&gt;0,"CE_REDUCE_PE_ADD","BOTH_REDUCE")),"")</f>
        <v/>
      </c>
      <c r="W115" s="13">
        <f>IFERROR( (P115-1)*0.5 + (M115)*0.1 - (I115+J115)*0.05 + T115*0.4 ,"")</f>
        <v/>
      </c>
      <c r="X115" s="13">
        <f>IFERROR(IF(ABS(F115)&lt;0.01,"ATM/NEAR",""),"")</f>
        <v/>
      </c>
    </row>
    <row r="116">
      <c r="A116" s="13">
        <f>CHAIN_RAW!A116</f>
        <v/>
      </c>
      <c r="B116" s="14">
        <f>CHAIN_RAW!B116</f>
        <v/>
      </c>
      <c r="C116" s="13">
        <f>CHAIN_RAW!C116</f>
        <v/>
      </c>
      <c r="D116" s="13">
        <f>CHAIN_RAW!D116</f>
        <v/>
      </c>
      <c r="E116" s="13">
        <f>CHAIN_RAW!E116</f>
        <v/>
      </c>
      <c r="F116" s="13">
        <f>IFERROR((E116-D116)/D116,"")</f>
        <v/>
      </c>
      <c r="G116" s="13">
        <f>IFERROR((CHAIN_RAW!K116+CHAIN_RAW!L116)/2,"")</f>
        <v/>
      </c>
      <c r="H116" s="13">
        <f>IFERROR((CHAIN_RAW!R116+CHAIN_RAW!S116)/2,"")</f>
        <v/>
      </c>
      <c r="I116" s="13">
        <f>IFERROR((CHAIN_RAW!L116-CHAIN_RAW!K116)/MAX(1E-9, G116),"")</f>
        <v/>
      </c>
      <c r="J116" s="13">
        <f>IFERROR((CHAIN_RAW!S116-CHAIN_RAW!R116)/MAX(1E-9, H116),"")</f>
        <v/>
      </c>
      <c r="K116" s="13">
        <f>CHAIN_RAW!G116</f>
        <v/>
      </c>
      <c r="L116" s="13">
        <f>CHAIN_RAW!N116</f>
        <v/>
      </c>
      <c r="M116" s="13">
        <f>IFERROR(L116-K116,"")</f>
        <v/>
      </c>
      <c r="N116" s="13">
        <f>CHAIN_RAW!H116</f>
        <v/>
      </c>
      <c r="O116" s="13">
        <f>CHAIN_RAW!O116</f>
        <v/>
      </c>
      <c r="P116" s="13">
        <f>IFERROR(O116/N116,"")</f>
        <v/>
      </c>
      <c r="Q116" s="13">
        <f>CHAIN_RAW!I116</f>
        <v/>
      </c>
      <c r="R116" s="13">
        <f>CHAIN_RAW!P116</f>
        <v/>
      </c>
      <c r="S116" s="13">
        <f>IFERROR(R116/Q116,"")</f>
        <v/>
      </c>
      <c r="T116" s="13">
        <f>IFERROR((ABS(N116-O116)/MAX(1,(N116+O116)))*EXP(-ABS(E116-CONTROL!E5)/MAX(1,CONTROL!B8)),"")</f>
        <v/>
      </c>
      <c r="U116" s="13">
        <f>IFERROR(IF(O116&gt;N116,"SUPPORT (PE OI)","RESIST (CE OI)"),"")</f>
        <v/>
      </c>
      <c r="V116" s="13">
        <f>IFERROR(IF(Q116&gt;0,IF(R116&gt;0,"BOTH_ADD","CE_ADD_PE_REDUCE"),IF(R116&gt;0,"CE_REDUCE_PE_ADD","BOTH_REDUCE")),"")</f>
        <v/>
      </c>
      <c r="W116" s="13">
        <f>IFERROR( (P116-1)*0.5 + (M116)*0.1 - (I116+J116)*0.05 + T116*0.4 ,"")</f>
        <v/>
      </c>
      <c r="X116" s="13">
        <f>IFERROR(IF(ABS(F116)&lt;0.01,"ATM/NEAR",""),"")</f>
        <v/>
      </c>
    </row>
    <row r="117">
      <c r="A117" s="13">
        <f>CHAIN_RAW!A117</f>
        <v/>
      </c>
      <c r="B117" s="14">
        <f>CHAIN_RAW!B117</f>
        <v/>
      </c>
      <c r="C117" s="13">
        <f>CHAIN_RAW!C117</f>
        <v/>
      </c>
      <c r="D117" s="13">
        <f>CHAIN_RAW!D117</f>
        <v/>
      </c>
      <c r="E117" s="13">
        <f>CHAIN_RAW!E117</f>
        <v/>
      </c>
      <c r="F117" s="13">
        <f>IFERROR((E117-D117)/D117,"")</f>
        <v/>
      </c>
      <c r="G117" s="13">
        <f>IFERROR((CHAIN_RAW!K117+CHAIN_RAW!L117)/2,"")</f>
        <v/>
      </c>
      <c r="H117" s="13">
        <f>IFERROR((CHAIN_RAW!R117+CHAIN_RAW!S117)/2,"")</f>
        <v/>
      </c>
      <c r="I117" s="13">
        <f>IFERROR((CHAIN_RAW!L117-CHAIN_RAW!K117)/MAX(1E-9, G117),"")</f>
        <v/>
      </c>
      <c r="J117" s="13">
        <f>IFERROR((CHAIN_RAW!S117-CHAIN_RAW!R117)/MAX(1E-9, H117),"")</f>
        <v/>
      </c>
      <c r="K117" s="13">
        <f>CHAIN_RAW!G117</f>
        <v/>
      </c>
      <c r="L117" s="13">
        <f>CHAIN_RAW!N117</f>
        <v/>
      </c>
      <c r="M117" s="13">
        <f>IFERROR(L117-K117,"")</f>
        <v/>
      </c>
      <c r="N117" s="13">
        <f>CHAIN_RAW!H117</f>
        <v/>
      </c>
      <c r="O117" s="13">
        <f>CHAIN_RAW!O117</f>
        <v/>
      </c>
      <c r="P117" s="13">
        <f>IFERROR(O117/N117,"")</f>
        <v/>
      </c>
      <c r="Q117" s="13">
        <f>CHAIN_RAW!I117</f>
        <v/>
      </c>
      <c r="R117" s="13">
        <f>CHAIN_RAW!P117</f>
        <v/>
      </c>
      <c r="S117" s="13">
        <f>IFERROR(R117/Q117,"")</f>
        <v/>
      </c>
      <c r="T117" s="13">
        <f>IFERROR((ABS(N117-O117)/MAX(1,(N117+O117)))*EXP(-ABS(E117-CONTROL!E5)/MAX(1,CONTROL!B8)),"")</f>
        <v/>
      </c>
      <c r="U117" s="13">
        <f>IFERROR(IF(O117&gt;N117,"SUPPORT (PE OI)","RESIST (CE OI)"),"")</f>
        <v/>
      </c>
      <c r="V117" s="13">
        <f>IFERROR(IF(Q117&gt;0,IF(R117&gt;0,"BOTH_ADD","CE_ADD_PE_REDUCE"),IF(R117&gt;0,"CE_REDUCE_PE_ADD","BOTH_REDUCE")),"")</f>
        <v/>
      </c>
      <c r="W117" s="13">
        <f>IFERROR( (P117-1)*0.5 + (M117)*0.1 - (I117+J117)*0.05 + T117*0.4 ,"")</f>
        <v/>
      </c>
      <c r="X117" s="13">
        <f>IFERROR(IF(ABS(F117)&lt;0.01,"ATM/NEAR",""),"")</f>
        <v/>
      </c>
    </row>
    <row r="118">
      <c r="A118" s="13">
        <f>CHAIN_RAW!A118</f>
        <v/>
      </c>
      <c r="B118" s="14">
        <f>CHAIN_RAW!B118</f>
        <v/>
      </c>
      <c r="C118" s="13">
        <f>CHAIN_RAW!C118</f>
        <v/>
      </c>
      <c r="D118" s="13">
        <f>CHAIN_RAW!D118</f>
        <v/>
      </c>
      <c r="E118" s="13">
        <f>CHAIN_RAW!E118</f>
        <v/>
      </c>
      <c r="F118" s="13">
        <f>IFERROR((E118-D118)/D118,"")</f>
        <v/>
      </c>
      <c r="G118" s="13">
        <f>IFERROR((CHAIN_RAW!K118+CHAIN_RAW!L118)/2,"")</f>
        <v/>
      </c>
      <c r="H118" s="13">
        <f>IFERROR((CHAIN_RAW!R118+CHAIN_RAW!S118)/2,"")</f>
        <v/>
      </c>
      <c r="I118" s="13">
        <f>IFERROR((CHAIN_RAW!L118-CHAIN_RAW!K118)/MAX(1E-9, G118),"")</f>
        <v/>
      </c>
      <c r="J118" s="13">
        <f>IFERROR((CHAIN_RAW!S118-CHAIN_RAW!R118)/MAX(1E-9, H118),"")</f>
        <v/>
      </c>
      <c r="K118" s="13">
        <f>CHAIN_RAW!G118</f>
        <v/>
      </c>
      <c r="L118" s="13">
        <f>CHAIN_RAW!N118</f>
        <v/>
      </c>
      <c r="M118" s="13">
        <f>IFERROR(L118-K118,"")</f>
        <v/>
      </c>
      <c r="N118" s="13">
        <f>CHAIN_RAW!H118</f>
        <v/>
      </c>
      <c r="O118" s="13">
        <f>CHAIN_RAW!O118</f>
        <v/>
      </c>
      <c r="P118" s="13">
        <f>IFERROR(O118/N118,"")</f>
        <v/>
      </c>
      <c r="Q118" s="13">
        <f>CHAIN_RAW!I118</f>
        <v/>
      </c>
      <c r="R118" s="13">
        <f>CHAIN_RAW!P118</f>
        <v/>
      </c>
      <c r="S118" s="13">
        <f>IFERROR(R118/Q118,"")</f>
        <v/>
      </c>
      <c r="T118" s="13">
        <f>IFERROR((ABS(N118-O118)/MAX(1,(N118+O118)))*EXP(-ABS(E118-CONTROL!E5)/MAX(1,CONTROL!B8)),"")</f>
        <v/>
      </c>
      <c r="U118" s="13">
        <f>IFERROR(IF(O118&gt;N118,"SUPPORT (PE OI)","RESIST (CE OI)"),"")</f>
        <v/>
      </c>
      <c r="V118" s="13">
        <f>IFERROR(IF(Q118&gt;0,IF(R118&gt;0,"BOTH_ADD","CE_ADD_PE_REDUCE"),IF(R118&gt;0,"CE_REDUCE_PE_ADD","BOTH_REDUCE")),"")</f>
        <v/>
      </c>
      <c r="W118" s="13">
        <f>IFERROR( (P118-1)*0.5 + (M118)*0.1 - (I118+J118)*0.05 + T118*0.4 ,"")</f>
        <v/>
      </c>
      <c r="X118" s="13">
        <f>IFERROR(IF(ABS(F118)&lt;0.01,"ATM/NEAR",""),"")</f>
        <v/>
      </c>
    </row>
    <row r="119">
      <c r="A119" s="13">
        <f>CHAIN_RAW!A119</f>
        <v/>
      </c>
      <c r="B119" s="14">
        <f>CHAIN_RAW!B119</f>
        <v/>
      </c>
      <c r="C119" s="13">
        <f>CHAIN_RAW!C119</f>
        <v/>
      </c>
      <c r="D119" s="13">
        <f>CHAIN_RAW!D119</f>
        <v/>
      </c>
      <c r="E119" s="13">
        <f>CHAIN_RAW!E119</f>
        <v/>
      </c>
      <c r="F119" s="13">
        <f>IFERROR((E119-D119)/D119,"")</f>
        <v/>
      </c>
      <c r="G119" s="13">
        <f>IFERROR((CHAIN_RAW!K119+CHAIN_RAW!L119)/2,"")</f>
        <v/>
      </c>
      <c r="H119" s="13">
        <f>IFERROR((CHAIN_RAW!R119+CHAIN_RAW!S119)/2,"")</f>
        <v/>
      </c>
      <c r="I119" s="13">
        <f>IFERROR((CHAIN_RAW!L119-CHAIN_RAW!K119)/MAX(1E-9, G119),"")</f>
        <v/>
      </c>
      <c r="J119" s="13">
        <f>IFERROR((CHAIN_RAW!S119-CHAIN_RAW!R119)/MAX(1E-9, H119),"")</f>
        <v/>
      </c>
      <c r="K119" s="13">
        <f>CHAIN_RAW!G119</f>
        <v/>
      </c>
      <c r="L119" s="13">
        <f>CHAIN_RAW!N119</f>
        <v/>
      </c>
      <c r="M119" s="13">
        <f>IFERROR(L119-K119,"")</f>
        <v/>
      </c>
      <c r="N119" s="13">
        <f>CHAIN_RAW!H119</f>
        <v/>
      </c>
      <c r="O119" s="13">
        <f>CHAIN_RAW!O119</f>
        <v/>
      </c>
      <c r="P119" s="13">
        <f>IFERROR(O119/N119,"")</f>
        <v/>
      </c>
      <c r="Q119" s="13">
        <f>CHAIN_RAW!I119</f>
        <v/>
      </c>
      <c r="R119" s="13">
        <f>CHAIN_RAW!P119</f>
        <v/>
      </c>
      <c r="S119" s="13">
        <f>IFERROR(R119/Q119,"")</f>
        <v/>
      </c>
      <c r="T119" s="13">
        <f>IFERROR((ABS(N119-O119)/MAX(1,(N119+O119)))*EXP(-ABS(E119-CONTROL!E5)/MAX(1,CONTROL!B8)),"")</f>
        <v/>
      </c>
      <c r="U119" s="13">
        <f>IFERROR(IF(O119&gt;N119,"SUPPORT (PE OI)","RESIST (CE OI)"),"")</f>
        <v/>
      </c>
      <c r="V119" s="13">
        <f>IFERROR(IF(Q119&gt;0,IF(R119&gt;0,"BOTH_ADD","CE_ADD_PE_REDUCE"),IF(R119&gt;0,"CE_REDUCE_PE_ADD","BOTH_REDUCE")),"")</f>
        <v/>
      </c>
      <c r="W119" s="13">
        <f>IFERROR( (P119-1)*0.5 + (M119)*0.1 - (I119+J119)*0.05 + T119*0.4 ,"")</f>
        <v/>
      </c>
      <c r="X119" s="13">
        <f>IFERROR(IF(ABS(F119)&lt;0.01,"ATM/NEAR",""),"")</f>
        <v/>
      </c>
    </row>
    <row r="120">
      <c r="A120" s="13">
        <f>CHAIN_RAW!A120</f>
        <v/>
      </c>
      <c r="B120" s="14">
        <f>CHAIN_RAW!B120</f>
        <v/>
      </c>
      <c r="C120" s="13">
        <f>CHAIN_RAW!C120</f>
        <v/>
      </c>
      <c r="D120" s="13">
        <f>CHAIN_RAW!D120</f>
        <v/>
      </c>
      <c r="E120" s="13">
        <f>CHAIN_RAW!E120</f>
        <v/>
      </c>
      <c r="F120" s="13">
        <f>IFERROR((E120-D120)/D120,"")</f>
        <v/>
      </c>
      <c r="G120" s="13">
        <f>IFERROR((CHAIN_RAW!K120+CHAIN_RAW!L120)/2,"")</f>
        <v/>
      </c>
      <c r="H120" s="13">
        <f>IFERROR((CHAIN_RAW!R120+CHAIN_RAW!S120)/2,"")</f>
        <v/>
      </c>
      <c r="I120" s="13">
        <f>IFERROR((CHAIN_RAW!L120-CHAIN_RAW!K120)/MAX(1E-9, G120),"")</f>
        <v/>
      </c>
      <c r="J120" s="13">
        <f>IFERROR((CHAIN_RAW!S120-CHAIN_RAW!R120)/MAX(1E-9, H120),"")</f>
        <v/>
      </c>
      <c r="K120" s="13">
        <f>CHAIN_RAW!G120</f>
        <v/>
      </c>
      <c r="L120" s="13">
        <f>CHAIN_RAW!N120</f>
        <v/>
      </c>
      <c r="M120" s="13">
        <f>IFERROR(L120-K120,"")</f>
        <v/>
      </c>
      <c r="N120" s="13">
        <f>CHAIN_RAW!H120</f>
        <v/>
      </c>
      <c r="O120" s="13">
        <f>CHAIN_RAW!O120</f>
        <v/>
      </c>
      <c r="P120" s="13">
        <f>IFERROR(O120/N120,"")</f>
        <v/>
      </c>
      <c r="Q120" s="13">
        <f>CHAIN_RAW!I120</f>
        <v/>
      </c>
      <c r="R120" s="13">
        <f>CHAIN_RAW!P120</f>
        <v/>
      </c>
      <c r="S120" s="13">
        <f>IFERROR(R120/Q120,"")</f>
        <v/>
      </c>
      <c r="T120" s="13">
        <f>IFERROR((ABS(N120-O120)/MAX(1,(N120+O120)))*EXP(-ABS(E120-CONTROL!E5)/MAX(1,CONTROL!B8)),"")</f>
        <v/>
      </c>
      <c r="U120" s="13">
        <f>IFERROR(IF(O120&gt;N120,"SUPPORT (PE OI)","RESIST (CE OI)"),"")</f>
        <v/>
      </c>
      <c r="V120" s="13">
        <f>IFERROR(IF(Q120&gt;0,IF(R120&gt;0,"BOTH_ADD","CE_ADD_PE_REDUCE"),IF(R120&gt;0,"CE_REDUCE_PE_ADD","BOTH_REDUCE")),"")</f>
        <v/>
      </c>
      <c r="W120" s="13">
        <f>IFERROR( (P120-1)*0.5 + (M120)*0.1 - (I120+J120)*0.05 + T120*0.4 ,"")</f>
        <v/>
      </c>
      <c r="X120" s="13">
        <f>IFERROR(IF(ABS(F120)&lt;0.01,"ATM/NEAR",""),"")</f>
        <v/>
      </c>
    </row>
    <row r="121">
      <c r="A121" s="13">
        <f>CHAIN_RAW!A121</f>
        <v/>
      </c>
      <c r="B121" s="14">
        <f>CHAIN_RAW!B121</f>
        <v/>
      </c>
      <c r="C121" s="13">
        <f>CHAIN_RAW!C121</f>
        <v/>
      </c>
      <c r="D121" s="13">
        <f>CHAIN_RAW!D121</f>
        <v/>
      </c>
      <c r="E121" s="13">
        <f>CHAIN_RAW!E121</f>
        <v/>
      </c>
      <c r="F121" s="13">
        <f>IFERROR((E121-D121)/D121,"")</f>
        <v/>
      </c>
      <c r="G121" s="13">
        <f>IFERROR((CHAIN_RAW!K121+CHAIN_RAW!L121)/2,"")</f>
        <v/>
      </c>
      <c r="H121" s="13">
        <f>IFERROR((CHAIN_RAW!R121+CHAIN_RAW!S121)/2,"")</f>
        <v/>
      </c>
      <c r="I121" s="13">
        <f>IFERROR((CHAIN_RAW!L121-CHAIN_RAW!K121)/MAX(1E-9, G121),"")</f>
        <v/>
      </c>
      <c r="J121" s="13">
        <f>IFERROR((CHAIN_RAW!S121-CHAIN_RAW!R121)/MAX(1E-9, H121),"")</f>
        <v/>
      </c>
      <c r="K121" s="13">
        <f>CHAIN_RAW!G121</f>
        <v/>
      </c>
      <c r="L121" s="13">
        <f>CHAIN_RAW!N121</f>
        <v/>
      </c>
      <c r="M121" s="13">
        <f>IFERROR(L121-K121,"")</f>
        <v/>
      </c>
      <c r="N121" s="13">
        <f>CHAIN_RAW!H121</f>
        <v/>
      </c>
      <c r="O121" s="13">
        <f>CHAIN_RAW!O121</f>
        <v/>
      </c>
      <c r="P121" s="13">
        <f>IFERROR(O121/N121,"")</f>
        <v/>
      </c>
      <c r="Q121" s="13">
        <f>CHAIN_RAW!I121</f>
        <v/>
      </c>
      <c r="R121" s="13">
        <f>CHAIN_RAW!P121</f>
        <v/>
      </c>
      <c r="S121" s="13">
        <f>IFERROR(R121/Q121,"")</f>
        <v/>
      </c>
      <c r="T121" s="13">
        <f>IFERROR((ABS(N121-O121)/MAX(1,(N121+O121)))*EXP(-ABS(E121-CONTROL!E5)/MAX(1,CONTROL!B8)),"")</f>
        <v/>
      </c>
      <c r="U121" s="13">
        <f>IFERROR(IF(O121&gt;N121,"SUPPORT (PE OI)","RESIST (CE OI)"),"")</f>
        <v/>
      </c>
      <c r="V121" s="13">
        <f>IFERROR(IF(Q121&gt;0,IF(R121&gt;0,"BOTH_ADD","CE_ADD_PE_REDUCE"),IF(R121&gt;0,"CE_REDUCE_PE_ADD","BOTH_REDUCE")),"")</f>
        <v/>
      </c>
      <c r="W121" s="13">
        <f>IFERROR( (P121-1)*0.5 + (M121)*0.1 - (I121+J121)*0.05 + T121*0.4 ,"")</f>
        <v/>
      </c>
      <c r="X121" s="13">
        <f>IFERROR(IF(ABS(F121)&lt;0.01,"ATM/NEAR",""),"")</f>
        <v/>
      </c>
    </row>
    <row r="122">
      <c r="A122" s="13">
        <f>CHAIN_RAW!A122</f>
        <v/>
      </c>
      <c r="B122" s="14">
        <f>CHAIN_RAW!B122</f>
        <v/>
      </c>
      <c r="C122" s="13">
        <f>CHAIN_RAW!C122</f>
        <v/>
      </c>
      <c r="D122" s="13">
        <f>CHAIN_RAW!D122</f>
        <v/>
      </c>
      <c r="E122" s="13">
        <f>CHAIN_RAW!E122</f>
        <v/>
      </c>
      <c r="F122" s="13">
        <f>IFERROR((E122-D122)/D122,"")</f>
        <v/>
      </c>
      <c r="G122" s="13">
        <f>IFERROR((CHAIN_RAW!K122+CHAIN_RAW!L122)/2,"")</f>
        <v/>
      </c>
      <c r="H122" s="13">
        <f>IFERROR((CHAIN_RAW!R122+CHAIN_RAW!S122)/2,"")</f>
        <v/>
      </c>
      <c r="I122" s="13">
        <f>IFERROR((CHAIN_RAW!L122-CHAIN_RAW!K122)/MAX(1E-9, G122),"")</f>
        <v/>
      </c>
      <c r="J122" s="13">
        <f>IFERROR((CHAIN_RAW!S122-CHAIN_RAW!R122)/MAX(1E-9, H122),"")</f>
        <v/>
      </c>
      <c r="K122" s="13">
        <f>CHAIN_RAW!G122</f>
        <v/>
      </c>
      <c r="L122" s="13">
        <f>CHAIN_RAW!N122</f>
        <v/>
      </c>
      <c r="M122" s="13">
        <f>IFERROR(L122-K122,"")</f>
        <v/>
      </c>
      <c r="N122" s="13">
        <f>CHAIN_RAW!H122</f>
        <v/>
      </c>
      <c r="O122" s="13">
        <f>CHAIN_RAW!O122</f>
        <v/>
      </c>
      <c r="P122" s="13">
        <f>IFERROR(O122/N122,"")</f>
        <v/>
      </c>
      <c r="Q122" s="13">
        <f>CHAIN_RAW!I122</f>
        <v/>
      </c>
      <c r="R122" s="13">
        <f>CHAIN_RAW!P122</f>
        <v/>
      </c>
      <c r="S122" s="13">
        <f>IFERROR(R122/Q122,"")</f>
        <v/>
      </c>
      <c r="T122" s="13">
        <f>IFERROR((ABS(N122-O122)/MAX(1,(N122+O122)))*EXP(-ABS(E122-CONTROL!E5)/MAX(1,CONTROL!B8)),"")</f>
        <v/>
      </c>
      <c r="U122" s="13">
        <f>IFERROR(IF(O122&gt;N122,"SUPPORT (PE OI)","RESIST (CE OI)"),"")</f>
        <v/>
      </c>
      <c r="V122" s="13">
        <f>IFERROR(IF(Q122&gt;0,IF(R122&gt;0,"BOTH_ADD","CE_ADD_PE_REDUCE"),IF(R122&gt;0,"CE_REDUCE_PE_ADD","BOTH_REDUCE")),"")</f>
        <v/>
      </c>
      <c r="W122" s="13">
        <f>IFERROR( (P122-1)*0.5 + (M122)*0.1 - (I122+J122)*0.05 + T122*0.4 ,"")</f>
        <v/>
      </c>
      <c r="X122" s="13">
        <f>IFERROR(IF(ABS(F122)&lt;0.01,"ATM/NEAR",""),"")</f>
        <v/>
      </c>
    </row>
    <row r="123">
      <c r="A123" s="13">
        <f>CHAIN_RAW!A123</f>
        <v/>
      </c>
      <c r="B123" s="14">
        <f>CHAIN_RAW!B123</f>
        <v/>
      </c>
      <c r="C123" s="13">
        <f>CHAIN_RAW!C123</f>
        <v/>
      </c>
      <c r="D123" s="13">
        <f>CHAIN_RAW!D123</f>
        <v/>
      </c>
      <c r="E123" s="13">
        <f>CHAIN_RAW!E123</f>
        <v/>
      </c>
      <c r="F123" s="13">
        <f>IFERROR((E123-D123)/D123,"")</f>
        <v/>
      </c>
      <c r="G123" s="13">
        <f>IFERROR((CHAIN_RAW!K123+CHAIN_RAW!L123)/2,"")</f>
        <v/>
      </c>
      <c r="H123" s="13">
        <f>IFERROR((CHAIN_RAW!R123+CHAIN_RAW!S123)/2,"")</f>
        <v/>
      </c>
      <c r="I123" s="13">
        <f>IFERROR((CHAIN_RAW!L123-CHAIN_RAW!K123)/MAX(1E-9, G123),"")</f>
        <v/>
      </c>
      <c r="J123" s="13">
        <f>IFERROR((CHAIN_RAW!S123-CHAIN_RAW!R123)/MAX(1E-9, H123),"")</f>
        <v/>
      </c>
      <c r="K123" s="13">
        <f>CHAIN_RAW!G123</f>
        <v/>
      </c>
      <c r="L123" s="13">
        <f>CHAIN_RAW!N123</f>
        <v/>
      </c>
      <c r="M123" s="13">
        <f>IFERROR(L123-K123,"")</f>
        <v/>
      </c>
      <c r="N123" s="13">
        <f>CHAIN_RAW!H123</f>
        <v/>
      </c>
      <c r="O123" s="13">
        <f>CHAIN_RAW!O123</f>
        <v/>
      </c>
      <c r="P123" s="13">
        <f>IFERROR(O123/N123,"")</f>
        <v/>
      </c>
      <c r="Q123" s="13">
        <f>CHAIN_RAW!I123</f>
        <v/>
      </c>
      <c r="R123" s="13">
        <f>CHAIN_RAW!P123</f>
        <v/>
      </c>
      <c r="S123" s="13">
        <f>IFERROR(R123/Q123,"")</f>
        <v/>
      </c>
      <c r="T123" s="13">
        <f>IFERROR((ABS(N123-O123)/MAX(1,(N123+O123)))*EXP(-ABS(E123-CONTROL!E5)/MAX(1,CONTROL!B8)),"")</f>
        <v/>
      </c>
      <c r="U123" s="13">
        <f>IFERROR(IF(O123&gt;N123,"SUPPORT (PE OI)","RESIST (CE OI)"),"")</f>
        <v/>
      </c>
      <c r="V123" s="13">
        <f>IFERROR(IF(Q123&gt;0,IF(R123&gt;0,"BOTH_ADD","CE_ADD_PE_REDUCE"),IF(R123&gt;0,"CE_REDUCE_PE_ADD","BOTH_REDUCE")),"")</f>
        <v/>
      </c>
      <c r="W123" s="13">
        <f>IFERROR( (P123-1)*0.5 + (M123)*0.1 - (I123+J123)*0.05 + T123*0.4 ,"")</f>
        <v/>
      </c>
      <c r="X123" s="13">
        <f>IFERROR(IF(ABS(F123)&lt;0.01,"ATM/NEAR",""),"")</f>
        <v/>
      </c>
    </row>
    <row r="124">
      <c r="A124" s="13">
        <f>CHAIN_RAW!A124</f>
        <v/>
      </c>
      <c r="B124" s="14">
        <f>CHAIN_RAW!B124</f>
        <v/>
      </c>
      <c r="C124" s="13">
        <f>CHAIN_RAW!C124</f>
        <v/>
      </c>
      <c r="D124" s="13">
        <f>CHAIN_RAW!D124</f>
        <v/>
      </c>
      <c r="E124" s="13">
        <f>CHAIN_RAW!E124</f>
        <v/>
      </c>
      <c r="F124" s="13">
        <f>IFERROR((E124-D124)/D124,"")</f>
        <v/>
      </c>
      <c r="G124" s="13">
        <f>IFERROR((CHAIN_RAW!K124+CHAIN_RAW!L124)/2,"")</f>
        <v/>
      </c>
      <c r="H124" s="13">
        <f>IFERROR((CHAIN_RAW!R124+CHAIN_RAW!S124)/2,"")</f>
        <v/>
      </c>
      <c r="I124" s="13">
        <f>IFERROR((CHAIN_RAW!L124-CHAIN_RAW!K124)/MAX(1E-9, G124),"")</f>
        <v/>
      </c>
      <c r="J124" s="13">
        <f>IFERROR((CHAIN_RAW!S124-CHAIN_RAW!R124)/MAX(1E-9, H124),"")</f>
        <v/>
      </c>
      <c r="K124" s="13">
        <f>CHAIN_RAW!G124</f>
        <v/>
      </c>
      <c r="L124" s="13">
        <f>CHAIN_RAW!N124</f>
        <v/>
      </c>
      <c r="M124" s="13">
        <f>IFERROR(L124-K124,"")</f>
        <v/>
      </c>
      <c r="N124" s="13">
        <f>CHAIN_RAW!H124</f>
        <v/>
      </c>
      <c r="O124" s="13">
        <f>CHAIN_RAW!O124</f>
        <v/>
      </c>
      <c r="P124" s="13">
        <f>IFERROR(O124/N124,"")</f>
        <v/>
      </c>
      <c r="Q124" s="13">
        <f>CHAIN_RAW!I124</f>
        <v/>
      </c>
      <c r="R124" s="13">
        <f>CHAIN_RAW!P124</f>
        <v/>
      </c>
      <c r="S124" s="13">
        <f>IFERROR(R124/Q124,"")</f>
        <v/>
      </c>
      <c r="T124" s="13">
        <f>IFERROR((ABS(N124-O124)/MAX(1,(N124+O124)))*EXP(-ABS(E124-CONTROL!E5)/MAX(1,CONTROL!B8)),"")</f>
        <v/>
      </c>
      <c r="U124" s="13">
        <f>IFERROR(IF(O124&gt;N124,"SUPPORT (PE OI)","RESIST (CE OI)"),"")</f>
        <v/>
      </c>
      <c r="V124" s="13">
        <f>IFERROR(IF(Q124&gt;0,IF(R124&gt;0,"BOTH_ADD","CE_ADD_PE_REDUCE"),IF(R124&gt;0,"CE_REDUCE_PE_ADD","BOTH_REDUCE")),"")</f>
        <v/>
      </c>
      <c r="W124" s="13">
        <f>IFERROR( (P124-1)*0.5 + (M124)*0.1 - (I124+J124)*0.05 + T124*0.4 ,"")</f>
        <v/>
      </c>
      <c r="X124" s="13">
        <f>IFERROR(IF(ABS(F124)&lt;0.01,"ATM/NEAR",""),"")</f>
        <v/>
      </c>
    </row>
    <row r="125">
      <c r="A125" s="13">
        <f>CHAIN_RAW!A125</f>
        <v/>
      </c>
      <c r="B125" s="14">
        <f>CHAIN_RAW!B125</f>
        <v/>
      </c>
      <c r="C125" s="13">
        <f>CHAIN_RAW!C125</f>
        <v/>
      </c>
      <c r="D125" s="13">
        <f>CHAIN_RAW!D125</f>
        <v/>
      </c>
      <c r="E125" s="13">
        <f>CHAIN_RAW!E125</f>
        <v/>
      </c>
      <c r="F125" s="13">
        <f>IFERROR((E125-D125)/D125,"")</f>
        <v/>
      </c>
      <c r="G125" s="13">
        <f>IFERROR((CHAIN_RAW!K125+CHAIN_RAW!L125)/2,"")</f>
        <v/>
      </c>
      <c r="H125" s="13">
        <f>IFERROR((CHAIN_RAW!R125+CHAIN_RAW!S125)/2,"")</f>
        <v/>
      </c>
      <c r="I125" s="13">
        <f>IFERROR((CHAIN_RAW!L125-CHAIN_RAW!K125)/MAX(1E-9, G125),"")</f>
        <v/>
      </c>
      <c r="J125" s="13">
        <f>IFERROR((CHAIN_RAW!S125-CHAIN_RAW!R125)/MAX(1E-9, H125),"")</f>
        <v/>
      </c>
      <c r="K125" s="13">
        <f>CHAIN_RAW!G125</f>
        <v/>
      </c>
      <c r="L125" s="13">
        <f>CHAIN_RAW!N125</f>
        <v/>
      </c>
      <c r="M125" s="13">
        <f>IFERROR(L125-K125,"")</f>
        <v/>
      </c>
      <c r="N125" s="13">
        <f>CHAIN_RAW!H125</f>
        <v/>
      </c>
      <c r="O125" s="13">
        <f>CHAIN_RAW!O125</f>
        <v/>
      </c>
      <c r="P125" s="13">
        <f>IFERROR(O125/N125,"")</f>
        <v/>
      </c>
      <c r="Q125" s="13">
        <f>CHAIN_RAW!I125</f>
        <v/>
      </c>
      <c r="R125" s="13">
        <f>CHAIN_RAW!P125</f>
        <v/>
      </c>
      <c r="S125" s="13">
        <f>IFERROR(R125/Q125,"")</f>
        <v/>
      </c>
      <c r="T125" s="13">
        <f>IFERROR((ABS(N125-O125)/MAX(1,(N125+O125)))*EXP(-ABS(E125-CONTROL!E5)/MAX(1,CONTROL!B8)),"")</f>
        <v/>
      </c>
      <c r="U125" s="13">
        <f>IFERROR(IF(O125&gt;N125,"SUPPORT (PE OI)","RESIST (CE OI)"),"")</f>
        <v/>
      </c>
      <c r="V125" s="13">
        <f>IFERROR(IF(Q125&gt;0,IF(R125&gt;0,"BOTH_ADD","CE_ADD_PE_REDUCE"),IF(R125&gt;0,"CE_REDUCE_PE_ADD","BOTH_REDUCE")),"")</f>
        <v/>
      </c>
      <c r="W125" s="13">
        <f>IFERROR( (P125-1)*0.5 + (M125)*0.1 - (I125+J125)*0.05 + T125*0.4 ,"")</f>
        <v/>
      </c>
      <c r="X125" s="13">
        <f>IFERROR(IF(ABS(F125)&lt;0.01,"ATM/NEAR",""),"")</f>
        <v/>
      </c>
    </row>
    <row r="126">
      <c r="A126" s="13">
        <f>CHAIN_RAW!A126</f>
        <v/>
      </c>
      <c r="B126" s="14">
        <f>CHAIN_RAW!B126</f>
        <v/>
      </c>
      <c r="C126" s="13">
        <f>CHAIN_RAW!C126</f>
        <v/>
      </c>
      <c r="D126" s="13">
        <f>CHAIN_RAW!D126</f>
        <v/>
      </c>
      <c r="E126" s="13">
        <f>CHAIN_RAW!E126</f>
        <v/>
      </c>
      <c r="F126" s="13">
        <f>IFERROR((E126-D126)/D126,"")</f>
        <v/>
      </c>
      <c r="G126" s="13">
        <f>IFERROR((CHAIN_RAW!K126+CHAIN_RAW!L126)/2,"")</f>
        <v/>
      </c>
      <c r="H126" s="13">
        <f>IFERROR((CHAIN_RAW!R126+CHAIN_RAW!S126)/2,"")</f>
        <v/>
      </c>
      <c r="I126" s="13">
        <f>IFERROR((CHAIN_RAW!L126-CHAIN_RAW!K126)/MAX(1E-9, G126),"")</f>
        <v/>
      </c>
      <c r="J126" s="13">
        <f>IFERROR((CHAIN_RAW!S126-CHAIN_RAW!R126)/MAX(1E-9, H126),"")</f>
        <v/>
      </c>
      <c r="K126" s="13">
        <f>CHAIN_RAW!G126</f>
        <v/>
      </c>
      <c r="L126" s="13">
        <f>CHAIN_RAW!N126</f>
        <v/>
      </c>
      <c r="M126" s="13">
        <f>IFERROR(L126-K126,"")</f>
        <v/>
      </c>
      <c r="N126" s="13">
        <f>CHAIN_RAW!H126</f>
        <v/>
      </c>
      <c r="O126" s="13">
        <f>CHAIN_RAW!O126</f>
        <v/>
      </c>
      <c r="P126" s="13">
        <f>IFERROR(O126/N126,"")</f>
        <v/>
      </c>
      <c r="Q126" s="13">
        <f>CHAIN_RAW!I126</f>
        <v/>
      </c>
      <c r="R126" s="13">
        <f>CHAIN_RAW!P126</f>
        <v/>
      </c>
      <c r="S126" s="13">
        <f>IFERROR(R126/Q126,"")</f>
        <v/>
      </c>
      <c r="T126" s="13">
        <f>IFERROR((ABS(N126-O126)/MAX(1,(N126+O126)))*EXP(-ABS(E126-CONTROL!E5)/MAX(1,CONTROL!B8)),"")</f>
        <v/>
      </c>
      <c r="U126" s="13">
        <f>IFERROR(IF(O126&gt;N126,"SUPPORT (PE OI)","RESIST (CE OI)"),"")</f>
        <v/>
      </c>
      <c r="V126" s="13">
        <f>IFERROR(IF(Q126&gt;0,IF(R126&gt;0,"BOTH_ADD","CE_ADD_PE_REDUCE"),IF(R126&gt;0,"CE_REDUCE_PE_ADD","BOTH_REDUCE")),"")</f>
        <v/>
      </c>
      <c r="W126" s="13">
        <f>IFERROR( (P126-1)*0.5 + (M126)*0.1 - (I126+J126)*0.05 + T126*0.4 ,"")</f>
        <v/>
      </c>
      <c r="X126" s="13">
        <f>IFERROR(IF(ABS(F126)&lt;0.01,"ATM/NEAR",""),"")</f>
        <v/>
      </c>
    </row>
    <row r="127">
      <c r="A127" s="13">
        <f>CHAIN_RAW!A127</f>
        <v/>
      </c>
      <c r="B127" s="14">
        <f>CHAIN_RAW!B127</f>
        <v/>
      </c>
      <c r="C127" s="13">
        <f>CHAIN_RAW!C127</f>
        <v/>
      </c>
      <c r="D127" s="13">
        <f>CHAIN_RAW!D127</f>
        <v/>
      </c>
      <c r="E127" s="13">
        <f>CHAIN_RAW!E127</f>
        <v/>
      </c>
      <c r="F127" s="13">
        <f>IFERROR((E127-D127)/D127,"")</f>
        <v/>
      </c>
      <c r="G127" s="13">
        <f>IFERROR((CHAIN_RAW!K127+CHAIN_RAW!L127)/2,"")</f>
        <v/>
      </c>
      <c r="H127" s="13">
        <f>IFERROR((CHAIN_RAW!R127+CHAIN_RAW!S127)/2,"")</f>
        <v/>
      </c>
      <c r="I127" s="13">
        <f>IFERROR((CHAIN_RAW!L127-CHAIN_RAW!K127)/MAX(1E-9, G127),"")</f>
        <v/>
      </c>
      <c r="J127" s="13">
        <f>IFERROR((CHAIN_RAW!S127-CHAIN_RAW!R127)/MAX(1E-9, H127),"")</f>
        <v/>
      </c>
      <c r="K127" s="13">
        <f>CHAIN_RAW!G127</f>
        <v/>
      </c>
      <c r="L127" s="13">
        <f>CHAIN_RAW!N127</f>
        <v/>
      </c>
      <c r="M127" s="13">
        <f>IFERROR(L127-K127,"")</f>
        <v/>
      </c>
      <c r="N127" s="13">
        <f>CHAIN_RAW!H127</f>
        <v/>
      </c>
      <c r="O127" s="13">
        <f>CHAIN_RAW!O127</f>
        <v/>
      </c>
      <c r="P127" s="13">
        <f>IFERROR(O127/N127,"")</f>
        <v/>
      </c>
      <c r="Q127" s="13">
        <f>CHAIN_RAW!I127</f>
        <v/>
      </c>
      <c r="R127" s="13">
        <f>CHAIN_RAW!P127</f>
        <v/>
      </c>
      <c r="S127" s="13">
        <f>IFERROR(R127/Q127,"")</f>
        <v/>
      </c>
      <c r="T127" s="13">
        <f>IFERROR((ABS(N127-O127)/MAX(1,(N127+O127)))*EXP(-ABS(E127-CONTROL!E5)/MAX(1,CONTROL!B8)),"")</f>
        <v/>
      </c>
      <c r="U127" s="13">
        <f>IFERROR(IF(O127&gt;N127,"SUPPORT (PE OI)","RESIST (CE OI)"),"")</f>
        <v/>
      </c>
      <c r="V127" s="13">
        <f>IFERROR(IF(Q127&gt;0,IF(R127&gt;0,"BOTH_ADD","CE_ADD_PE_REDUCE"),IF(R127&gt;0,"CE_REDUCE_PE_ADD","BOTH_REDUCE")),"")</f>
        <v/>
      </c>
      <c r="W127" s="13">
        <f>IFERROR( (P127-1)*0.5 + (M127)*0.1 - (I127+J127)*0.05 + T127*0.4 ,"")</f>
        <v/>
      </c>
      <c r="X127" s="13">
        <f>IFERROR(IF(ABS(F127)&lt;0.01,"ATM/NEAR",""),"")</f>
        <v/>
      </c>
    </row>
    <row r="128">
      <c r="A128" s="13">
        <f>CHAIN_RAW!A128</f>
        <v/>
      </c>
      <c r="B128" s="14">
        <f>CHAIN_RAW!B128</f>
        <v/>
      </c>
      <c r="C128" s="13">
        <f>CHAIN_RAW!C128</f>
        <v/>
      </c>
      <c r="D128" s="13">
        <f>CHAIN_RAW!D128</f>
        <v/>
      </c>
      <c r="E128" s="13">
        <f>CHAIN_RAW!E128</f>
        <v/>
      </c>
      <c r="F128" s="13">
        <f>IFERROR((E128-D128)/D128,"")</f>
        <v/>
      </c>
      <c r="G128" s="13">
        <f>IFERROR((CHAIN_RAW!K128+CHAIN_RAW!L128)/2,"")</f>
        <v/>
      </c>
      <c r="H128" s="13">
        <f>IFERROR((CHAIN_RAW!R128+CHAIN_RAW!S128)/2,"")</f>
        <v/>
      </c>
      <c r="I128" s="13">
        <f>IFERROR((CHAIN_RAW!L128-CHAIN_RAW!K128)/MAX(1E-9, G128),"")</f>
        <v/>
      </c>
      <c r="J128" s="13">
        <f>IFERROR((CHAIN_RAW!S128-CHAIN_RAW!R128)/MAX(1E-9, H128),"")</f>
        <v/>
      </c>
      <c r="K128" s="13">
        <f>CHAIN_RAW!G128</f>
        <v/>
      </c>
      <c r="L128" s="13">
        <f>CHAIN_RAW!N128</f>
        <v/>
      </c>
      <c r="M128" s="13">
        <f>IFERROR(L128-K128,"")</f>
        <v/>
      </c>
      <c r="N128" s="13">
        <f>CHAIN_RAW!H128</f>
        <v/>
      </c>
      <c r="O128" s="13">
        <f>CHAIN_RAW!O128</f>
        <v/>
      </c>
      <c r="P128" s="13">
        <f>IFERROR(O128/N128,"")</f>
        <v/>
      </c>
      <c r="Q128" s="13">
        <f>CHAIN_RAW!I128</f>
        <v/>
      </c>
      <c r="R128" s="13">
        <f>CHAIN_RAW!P128</f>
        <v/>
      </c>
      <c r="S128" s="13">
        <f>IFERROR(R128/Q128,"")</f>
        <v/>
      </c>
      <c r="T128" s="13">
        <f>IFERROR((ABS(N128-O128)/MAX(1,(N128+O128)))*EXP(-ABS(E128-CONTROL!E5)/MAX(1,CONTROL!B8)),"")</f>
        <v/>
      </c>
      <c r="U128" s="13">
        <f>IFERROR(IF(O128&gt;N128,"SUPPORT (PE OI)","RESIST (CE OI)"),"")</f>
        <v/>
      </c>
      <c r="V128" s="13">
        <f>IFERROR(IF(Q128&gt;0,IF(R128&gt;0,"BOTH_ADD","CE_ADD_PE_REDUCE"),IF(R128&gt;0,"CE_REDUCE_PE_ADD","BOTH_REDUCE")),"")</f>
        <v/>
      </c>
      <c r="W128" s="13">
        <f>IFERROR( (P128-1)*0.5 + (M128)*0.1 - (I128+J128)*0.05 + T128*0.4 ,"")</f>
        <v/>
      </c>
      <c r="X128" s="13">
        <f>IFERROR(IF(ABS(F128)&lt;0.01,"ATM/NEAR",""),"")</f>
        <v/>
      </c>
    </row>
    <row r="129">
      <c r="A129" s="13">
        <f>CHAIN_RAW!A129</f>
        <v/>
      </c>
      <c r="B129" s="14">
        <f>CHAIN_RAW!B129</f>
        <v/>
      </c>
      <c r="C129" s="13">
        <f>CHAIN_RAW!C129</f>
        <v/>
      </c>
      <c r="D129" s="13">
        <f>CHAIN_RAW!D129</f>
        <v/>
      </c>
      <c r="E129" s="13">
        <f>CHAIN_RAW!E129</f>
        <v/>
      </c>
      <c r="F129" s="13">
        <f>IFERROR((E129-D129)/D129,"")</f>
        <v/>
      </c>
      <c r="G129" s="13">
        <f>IFERROR((CHAIN_RAW!K129+CHAIN_RAW!L129)/2,"")</f>
        <v/>
      </c>
      <c r="H129" s="13">
        <f>IFERROR((CHAIN_RAW!R129+CHAIN_RAW!S129)/2,"")</f>
        <v/>
      </c>
      <c r="I129" s="13">
        <f>IFERROR((CHAIN_RAW!L129-CHAIN_RAW!K129)/MAX(1E-9, G129),"")</f>
        <v/>
      </c>
      <c r="J129" s="13">
        <f>IFERROR((CHAIN_RAW!S129-CHAIN_RAW!R129)/MAX(1E-9, H129),"")</f>
        <v/>
      </c>
      <c r="K129" s="13">
        <f>CHAIN_RAW!G129</f>
        <v/>
      </c>
      <c r="L129" s="13">
        <f>CHAIN_RAW!N129</f>
        <v/>
      </c>
      <c r="M129" s="13">
        <f>IFERROR(L129-K129,"")</f>
        <v/>
      </c>
      <c r="N129" s="13">
        <f>CHAIN_RAW!H129</f>
        <v/>
      </c>
      <c r="O129" s="13">
        <f>CHAIN_RAW!O129</f>
        <v/>
      </c>
      <c r="P129" s="13">
        <f>IFERROR(O129/N129,"")</f>
        <v/>
      </c>
      <c r="Q129" s="13">
        <f>CHAIN_RAW!I129</f>
        <v/>
      </c>
      <c r="R129" s="13">
        <f>CHAIN_RAW!P129</f>
        <v/>
      </c>
      <c r="S129" s="13">
        <f>IFERROR(R129/Q129,"")</f>
        <v/>
      </c>
      <c r="T129" s="13">
        <f>IFERROR((ABS(N129-O129)/MAX(1,(N129+O129)))*EXP(-ABS(E129-CONTROL!E5)/MAX(1,CONTROL!B8)),"")</f>
        <v/>
      </c>
      <c r="U129" s="13">
        <f>IFERROR(IF(O129&gt;N129,"SUPPORT (PE OI)","RESIST (CE OI)"),"")</f>
        <v/>
      </c>
      <c r="V129" s="13">
        <f>IFERROR(IF(Q129&gt;0,IF(R129&gt;0,"BOTH_ADD","CE_ADD_PE_REDUCE"),IF(R129&gt;0,"CE_REDUCE_PE_ADD","BOTH_REDUCE")),"")</f>
        <v/>
      </c>
      <c r="W129" s="13">
        <f>IFERROR( (P129-1)*0.5 + (M129)*0.1 - (I129+J129)*0.05 + T129*0.4 ,"")</f>
        <v/>
      </c>
      <c r="X129" s="13">
        <f>IFERROR(IF(ABS(F129)&lt;0.01,"ATM/NEAR",""),"")</f>
        <v/>
      </c>
    </row>
    <row r="130">
      <c r="A130" s="13">
        <f>CHAIN_RAW!A130</f>
        <v/>
      </c>
      <c r="B130" s="14">
        <f>CHAIN_RAW!B130</f>
        <v/>
      </c>
      <c r="C130" s="13">
        <f>CHAIN_RAW!C130</f>
        <v/>
      </c>
      <c r="D130" s="13">
        <f>CHAIN_RAW!D130</f>
        <v/>
      </c>
      <c r="E130" s="13">
        <f>CHAIN_RAW!E130</f>
        <v/>
      </c>
      <c r="F130" s="13">
        <f>IFERROR((E130-D130)/D130,"")</f>
        <v/>
      </c>
      <c r="G130" s="13">
        <f>IFERROR((CHAIN_RAW!K130+CHAIN_RAW!L130)/2,"")</f>
        <v/>
      </c>
      <c r="H130" s="13">
        <f>IFERROR((CHAIN_RAW!R130+CHAIN_RAW!S130)/2,"")</f>
        <v/>
      </c>
      <c r="I130" s="13">
        <f>IFERROR((CHAIN_RAW!L130-CHAIN_RAW!K130)/MAX(1E-9, G130),"")</f>
        <v/>
      </c>
      <c r="J130" s="13">
        <f>IFERROR((CHAIN_RAW!S130-CHAIN_RAW!R130)/MAX(1E-9, H130),"")</f>
        <v/>
      </c>
      <c r="K130" s="13">
        <f>CHAIN_RAW!G130</f>
        <v/>
      </c>
      <c r="L130" s="13">
        <f>CHAIN_RAW!N130</f>
        <v/>
      </c>
      <c r="M130" s="13">
        <f>IFERROR(L130-K130,"")</f>
        <v/>
      </c>
      <c r="N130" s="13">
        <f>CHAIN_RAW!H130</f>
        <v/>
      </c>
      <c r="O130" s="13">
        <f>CHAIN_RAW!O130</f>
        <v/>
      </c>
      <c r="P130" s="13">
        <f>IFERROR(O130/N130,"")</f>
        <v/>
      </c>
      <c r="Q130" s="13">
        <f>CHAIN_RAW!I130</f>
        <v/>
      </c>
      <c r="R130" s="13">
        <f>CHAIN_RAW!P130</f>
        <v/>
      </c>
      <c r="S130" s="13">
        <f>IFERROR(R130/Q130,"")</f>
        <v/>
      </c>
      <c r="T130" s="13">
        <f>IFERROR((ABS(N130-O130)/MAX(1,(N130+O130)))*EXP(-ABS(E130-CONTROL!E5)/MAX(1,CONTROL!B8)),"")</f>
        <v/>
      </c>
      <c r="U130" s="13">
        <f>IFERROR(IF(O130&gt;N130,"SUPPORT (PE OI)","RESIST (CE OI)"),"")</f>
        <v/>
      </c>
      <c r="V130" s="13">
        <f>IFERROR(IF(Q130&gt;0,IF(R130&gt;0,"BOTH_ADD","CE_ADD_PE_REDUCE"),IF(R130&gt;0,"CE_REDUCE_PE_ADD","BOTH_REDUCE")),"")</f>
        <v/>
      </c>
      <c r="W130" s="13">
        <f>IFERROR( (P130-1)*0.5 + (M130)*0.1 - (I130+J130)*0.05 + T130*0.4 ,"")</f>
        <v/>
      </c>
      <c r="X130" s="13">
        <f>IFERROR(IF(ABS(F130)&lt;0.01,"ATM/NEAR",""),"")</f>
        <v/>
      </c>
    </row>
    <row r="131">
      <c r="A131" s="13">
        <f>CHAIN_RAW!A131</f>
        <v/>
      </c>
      <c r="B131" s="14">
        <f>CHAIN_RAW!B131</f>
        <v/>
      </c>
      <c r="C131" s="13">
        <f>CHAIN_RAW!C131</f>
        <v/>
      </c>
      <c r="D131" s="13">
        <f>CHAIN_RAW!D131</f>
        <v/>
      </c>
      <c r="E131" s="13">
        <f>CHAIN_RAW!E131</f>
        <v/>
      </c>
      <c r="F131" s="13">
        <f>IFERROR((E131-D131)/D131,"")</f>
        <v/>
      </c>
      <c r="G131" s="13">
        <f>IFERROR((CHAIN_RAW!K131+CHAIN_RAW!L131)/2,"")</f>
        <v/>
      </c>
      <c r="H131" s="13">
        <f>IFERROR((CHAIN_RAW!R131+CHAIN_RAW!S131)/2,"")</f>
        <v/>
      </c>
      <c r="I131" s="13">
        <f>IFERROR((CHAIN_RAW!L131-CHAIN_RAW!K131)/MAX(1E-9, G131),"")</f>
        <v/>
      </c>
      <c r="J131" s="13">
        <f>IFERROR((CHAIN_RAW!S131-CHAIN_RAW!R131)/MAX(1E-9, H131),"")</f>
        <v/>
      </c>
      <c r="K131" s="13">
        <f>CHAIN_RAW!G131</f>
        <v/>
      </c>
      <c r="L131" s="13">
        <f>CHAIN_RAW!N131</f>
        <v/>
      </c>
      <c r="M131" s="13">
        <f>IFERROR(L131-K131,"")</f>
        <v/>
      </c>
      <c r="N131" s="13">
        <f>CHAIN_RAW!H131</f>
        <v/>
      </c>
      <c r="O131" s="13">
        <f>CHAIN_RAW!O131</f>
        <v/>
      </c>
      <c r="P131" s="13">
        <f>IFERROR(O131/N131,"")</f>
        <v/>
      </c>
      <c r="Q131" s="13">
        <f>CHAIN_RAW!I131</f>
        <v/>
      </c>
      <c r="R131" s="13">
        <f>CHAIN_RAW!P131</f>
        <v/>
      </c>
      <c r="S131" s="13">
        <f>IFERROR(R131/Q131,"")</f>
        <v/>
      </c>
      <c r="T131" s="13">
        <f>IFERROR((ABS(N131-O131)/MAX(1,(N131+O131)))*EXP(-ABS(E131-CONTROL!E5)/MAX(1,CONTROL!B8)),"")</f>
        <v/>
      </c>
      <c r="U131" s="13">
        <f>IFERROR(IF(O131&gt;N131,"SUPPORT (PE OI)","RESIST (CE OI)"),"")</f>
        <v/>
      </c>
      <c r="V131" s="13">
        <f>IFERROR(IF(Q131&gt;0,IF(R131&gt;0,"BOTH_ADD","CE_ADD_PE_REDUCE"),IF(R131&gt;0,"CE_REDUCE_PE_ADD","BOTH_REDUCE")),"")</f>
        <v/>
      </c>
      <c r="W131" s="13">
        <f>IFERROR( (P131-1)*0.5 + (M131)*0.1 - (I131+J131)*0.05 + T131*0.4 ,"")</f>
        <v/>
      </c>
      <c r="X131" s="13">
        <f>IFERROR(IF(ABS(F131)&lt;0.01,"ATM/NEAR",""),"")</f>
        <v/>
      </c>
    </row>
    <row r="132">
      <c r="A132" s="13">
        <f>CHAIN_RAW!A132</f>
        <v/>
      </c>
      <c r="B132" s="14">
        <f>CHAIN_RAW!B132</f>
        <v/>
      </c>
      <c r="C132" s="13">
        <f>CHAIN_RAW!C132</f>
        <v/>
      </c>
      <c r="D132" s="13">
        <f>CHAIN_RAW!D132</f>
        <v/>
      </c>
      <c r="E132" s="13">
        <f>CHAIN_RAW!E132</f>
        <v/>
      </c>
      <c r="F132" s="13">
        <f>IFERROR((E132-D132)/D132,"")</f>
        <v/>
      </c>
      <c r="G132" s="13">
        <f>IFERROR((CHAIN_RAW!K132+CHAIN_RAW!L132)/2,"")</f>
        <v/>
      </c>
      <c r="H132" s="13">
        <f>IFERROR((CHAIN_RAW!R132+CHAIN_RAW!S132)/2,"")</f>
        <v/>
      </c>
      <c r="I132" s="13">
        <f>IFERROR((CHAIN_RAW!L132-CHAIN_RAW!K132)/MAX(1E-9, G132),"")</f>
        <v/>
      </c>
      <c r="J132" s="13">
        <f>IFERROR((CHAIN_RAW!S132-CHAIN_RAW!R132)/MAX(1E-9, H132),"")</f>
        <v/>
      </c>
      <c r="K132" s="13">
        <f>CHAIN_RAW!G132</f>
        <v/>
      </c>
      <c r="L132" s="13">
        <f>CHAIN_RAW!N132</f>
        <v/>
      </c>
      <c r="M132" s="13">
        <f>IFERROR(L132-K132,"")</f>
        <v/>
      </c>
      <c r="N132" s="13">
        <f>CHAIN_RAW!H132</f>
        <v/>
      </c>
      <c r="O132" s="13">
        <f>CHAIN_RAW!O132</f>
        <v/>
      </c>
      <c r="P132" s="13">
        <f>IFERROR(O132/N132,"")</f>
        <v/>
      </c>
      <c r="Q132" s="13">
        <f>CHAIN_RAW!I132</f>
        <v/>
      </c>
      <c r="R132" s="13">
        <f>CHAIN_RAW!P132</f>
        <v/>
      </c>
      <c r="S132" s="13">
        <f>IFERROR(R132/Q132,"")</f>
        <v/>
      </c>
      <c r="T132" s="13">
        <f>IFERROR((ABS(N132-O132)/MAX(1,(N132+O132)))*EXP(-ABS(E132-CONTROL!E5)/MAX(1,CONTROL!B8)),"")</f>
        <v/>
      </c>
      <c r="U132" s="13">
        <f>IFERROR(IF(O132&gt;N132,"SUPPORT (PE OI)","RESIST (CE OI)"),"")</f>
        <v/>
      </c>
      <c r="V132" s="13">
        <f>IFERROR(IF(Q132&gt;0,IF(R132&gt;0,"BOTH_ADD","CE_ADD_PE_REDUCE"),IF(R132&gt;0,"CE_REDUCE_PE_ADD","BOTH_REDUCE")),"")</f>
        <v/>
      </c>
      <c r="W132" s="13">
        <f>IFERROR( (P132-1)*0.5 + (M132)*0.1 - (I132+J132)*0.05 + T132*0.4 ,"")</f>
        <v/>
      </c>
      <c r="X132" s="13">
        <f>IFERROR(IF(ABS(F132)&lt;0.01,"ATM/NEAR",""),"")</f>
        <v/>
      </c>
    </row>
    <row r="133">
      <c r="A133" s="13">
        <f>CHAIN_RAW!A133</f>
        <v/>
      </c>
      <c r="B133" s="14">
        <f>CHAIN_RAW!B133</f>
        <v/>
      </c>
      <c r="C133" s="13">
        <f>CHAIN_RAW!C133</f>
        <v/>
      </c>
      <c r="D133" s="13">
        <f>CHAIN_RAW!D133</f>
        <v/>
      </c>
      <c r="E133" s="13">
        <f>CHAIN_RAW!E133</f>
        <v/>
      </c>
      <c r="F133" s="13">
        <f>IFERROR((E133-D133)/D133,"")</f>
        <v/>
      </c>
      <c r="G133" s="13">
        <f>IFERROR((CHAIN_RAW!K133+CHAIN_RAW!L133)/2,"")</f>
        <v/>
      </c>
      <c r="H133" s="13">
        <f>IFERROR((CHAIN_RAW!R133+CHAIN_RAW!S133)/2,"")</f>
        <v/>
      </c>
      <c r="I133" s="13">
        <f>IFERROR((CHAIN_RAW!L133-CHAIN_RAW!K133)/MAX(1E-9, G133),"")</f>
        <v/>
      </c>
      <c r="J133" s="13">
        <f>IFERROR((CHAIN_RAW!S133-CHAIN_RAW!R133)/MAX(1E-9, H133),"")</f>
        <v/>
      </c>
      <c r="K133" s="13">
        <f>CHAIN_RAW!G133</f>
        <v/>
      </c>
      <c r="L133" s="13">
        <f>CHAIN_RAW!N133</f>
        <v/>
      </c>
      <c r="M133" s="13">
        <f>IFERROR(L133-K133,"")</f>
        <v/>
      </c>
      <c r="N133" s="13">
        <f>CHAIN_RAW!H133</f>
        <v/>
      </c>
      <c r="O133" s="13">
        <f>CHAIN_RAW!O133</f>
        <v/>
      </c>
      <c r="P133" s="13">
        <f>IFERROR(O133/N133,"")</f>
        <v/>
      </c>
      <c r="Q133" s="13">
        <f>CHAIN_RAW!I133</f>
        <v/>
      </c>
      <c r="R133" s="13">
        <f>CHAIN_RAW!P133</f>
        <v/>
      </c>
      <c r="S133" s="13">
        <f>IFERROR(R133/Q133,"")</f>
        <v/>
      </c>
      <c r="T133" s="13">
        <f>IFERROR((ABS(N133-O133)/MAX(1,(N133+O133)))*EXP(-ABS(E133-CONTROL!E5)/MAX(1,CONTROL!B8)),"")</f>
        <v/>
      </c>
      <c r="U133" s="13">
        <f>IFERROR(IF(O133&gt;N133,"SUPPORT (PE OI)","RESIST (CE OI)"),"")</f>
        <v/>
      </c>
      <c r="V133" s="13">
        <f>IFERROR(IF(Q133&gt;0,IF(R133&gt;0,"BOTH_ADD","CE_ADD_PE_REDUCE"),IF(R133&gt;0,"CE_REDUCE_PE_ADD","BOTH_REDUCE")),"")</f>
        <v/>
      </c>
      <c r="W133" s="13">
        <f>IFERROR( (P133-1)*0.5 + (M133)*0.1 - (I133+J133)*0.05 + T133*0.4 ,"")</f>
        <v/>
      </c>
      <c r="X133" s="13">
        <f>IFERROR(IF(ABS(F133)&lt;0.01,"ATM/NEAR",""),"")</f>
        <v/>
      </c>
    </row>
    <row r="134">
      <c r="A134" s="13">
        <f>CHAIN_RAW!A134</f>
        <v/>
      </c>
      <c r="B134" s="14">
        <f>CHAIN_RAW!B134</f>
        <v/>
      </c>
      <c r="C134" s="13">
        <f>CHAIN_RAW!C134</f>
        <v/>
      </c>
      <c r="D134" s="13">
        <f>CHAIN_RAW!D134</f>
        <v/>
      </c>
      <c r="E134" s="13">
        <f>CHAIN_RAW!E134</f>
        <v/>
      </c>
      <c r="F134" s="13">
        <f>IFERROR((E134-D134)/D134,"")</f>
        <v/>
      </c>
      <c r="G134" s="13">
        <f>IFERROR((CHAIN_RAW!K134+CHAIN_RAW!L134)/2,"")</f>
        <v/>
      </c>
      <c r="H134" s="13">
        <f>IFERROR((CHAIN_RAW!R134+CHAIN_RAW!S134)/2,"")</f>
        <v/>
      </c>
      <c r="I134" s="13">
        <f>IFERROR((CHAIN_RAW!L134-CHAIN_RAW!K134)/MAX(1E-9, G134),"")</f>
        <v/>
      </c>
      <c r="J134" s="13">
        <f>IFERROR((CHAIN_RAW!S134-CHAIN_RAW!R134)/MAX(1E-9, H134),"")</f>
        <v/>
      </c>
      <c r="K134" s="13">
        <f>CHAIN_RAW!G134</f>
        <v/>
      </c>
      <c r="L134" s="13">
        <f>CHAIN_RAW!N134</f>
        <v/>
      </c>
      <c r="M134" s="13">
        <f>IFERROR(L134-K134,"")</f>
        <v/>
      </c>
      <c r="N134" s="13">
        <f>CHAIN_RAW!H134</f>
        <v/>
      </c>
      <c r="O134" s="13">
        <f>CHAIN_RAW!O134</f>
        <v/>
      </c>
      <c r="P134" s="13">
        <f>IFERROR(O134/N134,"")</f>
        <v/>
      </c>
      <c r="Q134" s="13">
        <f>CHAIN_RAW!I134</f>
        <v/>
      </c>
      <c r="R134" s="13">
        <f>CHAIN_RAW!P134</f>
        <v/>
      </c>
      <c r="S134" s="13">
        <f>IFERROR(R134/Q134,"")</f>
        <v/>
      </c>
      <c r="T134" s="13">
        <f>IFERROR((ABS(N134-O134)/MAX(1,(N134+O134)))*EXP(-ABS(E134-CONTROL!E5)/MAX(1,CONTROL!B8)),"")</f>
        <v/>
      </c>
      <c r="U134" s="13">
        <f>IFERROR(IF(O134&gt;N134,"SUPPORT (PE OI)","RESIST (CE OI)"),"")</f>
        <v/>
      </c>
      <c r="V134" s="13">
        <f>IFERROR(IF(Q134&gt;0,IF(R134&gt;0,"BOTH_ADD","CE_ADD_PE_REDUCE"),IF(R134&gt;0,"CE_REDUCE_PE_ADD","BOTH_REDUCE")),"")</f>
        <v/>
      </c>
      <c r="W134" s="13">
        <f>IFERROR( (P134-1)*0.5 + (M134)*0.1 - (I134+J134)*0.05 + T134*0.4 ,"")</f>
        <v/>
      </c>
      <c r="X134" s="13">
        <f>IFERROR(IF(ABS(F134)&lt;0.01,"ATM/NEAR",""),"")</f>
        <v/>
      </c>
    </row>
    <row r="135">
      <c r="A135" s="13">
        <f>CHAIN_RAW!A135</f>
        <v/>
      </c>
      <c r="B135" s="14">
        <f>CHAIN_RAW!B135</f>
        <v/>
      </c>
      <c r="C135" s="13">
        <f>CHAIN_RAW!C135</f>
        <v/>
      </c>
      <c r="D135" s="13">
        <f>CHAIN_RAW!D135</f>
        <v/>
      </c>
      <c r="E135" s="13">
        <f>CHAIN_RAW!E135</f>
        <v/>
      </c>
      <c r="F135" s="13">
        <f>IFERROR((E135-D135)/D135,"")</f>
        <v/>
      </c>
      <c r="G135" s="13">
        <f>IFERROR((CHAIN_RAW!K135+CHAIN_RAW!L135)/2,"")</f>
        <v/>
      </c>
      <c r="H135" s="13">
        <f>IFERROR((CHAIN_RAW!R135+CHAIN_RAW!S135)/2,"")</f>
        <v/>
      </c>
      <c r="I135" s="13">
        <f>IFERROR((CHAIN_RAW!L135-CHAIN_RAW!K135)/MAX(1E-9, G135),"")</f>
        <v/>
      </c>
      <c r="J135" s="13">
        <f>IFERROR((CHAIN_RAW!S135-CHAIN_RAW!R135)/MAX(1E-9, H135),"")</f>
        <v/>
      </c>
      <c r="K135" s="13">
        <f>CHAIN_RAW!G135</f>
        <v/>
      </c>
      <c r="L135" s="13">
        <f>CHAIN_RAW!N135</f>
        <v/>
      </c>
      <c r="M135" s="13">
        <f>IFERROR(L135-K135,"")</f>
        <v/>
      </c>
      <c r="N135" s="13">
        <f>CHAIN_RAW!H135</f>
        <v/>
      </c>
      <c r="O135" s="13">
        <f>CHAIN_RAW!O135</f>
        <v/>
      </c>
      <c r="P135" s="13">
        <f>IFERROR(O135/N135,"")</f>
        <v/>
      </c>
      <c r="Q135" s="13">
        <f>CHAIN_RAW!I135</f>
        <v/>
      </c>
      <c r="R135" s="13">
        <f>CHAIN_RAW!P135</f>
        <v/>
      </c>
      <c r="S135" s="13">
        <f>IFERROR(R135/Q135,"")</f>
        <v/>
      </c>
      <c r="T135" s="13">
        <f>IFERROR((ABS(N135-O135)/MAX(1,(N135+O135)))*EXP(-ABS(E135-CONTROL!E5)/MAX(1,CONTROL!B8)),"")</f>
        <v/>
      </c>
      <c r="U135" s="13">
        <f>IFERROR(IF(O135&gt;N135,"SUPPORT (PE OI)","RESIST (CE OI)"),"")</f>
        <v/>
      </c>
      <c r="V135" s="13">
        <f>IFERROR(IF(Q135&gt;0,IF(R135&gt;0,"BOTH_ADD","CE_ADD_PE_REDUCE"),IF(R135&gt;0,"CE_REDUCE_PE_ADD","BOTH_REDUCE")),"")</f>
        <v/>
      </c>
      <c r="W135" s="13">
        <f>IFERROR( (P135-1)*0.5 + (M135)*0.1 - (I135+J135)*0.05 + T135*0.4 ,"")</f>
        <v/>
      </c>
      <c r="X135" s="13">
        <f>IFERROR(IF(ABS(F135)&lt;0.01,"ATM/NEAR",""),"")</f>
        <v/>
      </c>
    </row>
    <row r="136">
      <c r="A136" s="13">
        <f>CHAIN_RAW!A136</f>
        <v/>
      </c>
      <c r="B136" s="14">
        <f>CHAIN_RAW!B136</f>
        <v/>
      </c>
      <c r="C136" s="13">
        <f>CHAIN_RAW!C136</f>
        <v/>
      </c>
      <c r="D136" s="13">
        <f>CHAIN_RAW!D136</f>
        <v/>
      </c>
      <c r="E136" s="13">
        <f>CHAIN_RAW!E136</f>
        <v/>
      </c>
      <c r="F136" s="13">
        <f>IFERROR((E136-D136)/D136,"")</f>
        <v/>
      </c>
      <c r="G136" s="13">
        <f>IFERROR((CHAIN_RAW!K136+CHAIN_RAW!L136)/2,"")</f>
        <v/>
      </c>
      <c r="H136" s="13">
        <f>IFERROR((CHAIN_RAW!R136+CHAIN_RAW!S136)/2,"")</f>
        <v/>
      </c>
      <c r="I136" s="13">
        <f>IFERROR((CHAIN_RAW!L136-CHAIN_RAW!K136)/MAX(1E-9, G136),"")</f>
        <v/>
      </c>
      <c r="J136" s="13">
        <f>IFERROR((CHAIN_RAW!S136-CHAIN_RAW!R136)/MAX(1E-9, H136),"")</f>
        <v/>
      </c>
      <c r="K136" s="13">
        <f>CHAIN_RAW!G136</f>
        <v/>
      </c>
      <c r="L136" s="13">
        <f>CHAIN_RAW!N136</f>
        <v/>
      </c>
      <c r="M136" s="13">
        <f>IFERROR(L136-K136,"")</f>
        <v/>
      </c>
      <c r="N136" s="13">
        <f>CHAIN_RAW!H136</f>
        <v/>
      </c>
      <c r="O136" s="13">
        <f>CHAIN_RAW!O136</f>
        <v/>
      </c>
      <c r="P136" s="13">
        <f>IFERROR(O136/N136,"")</f>
        <v/>
      </c>
      <c r="Q136" s="13">
        <f>CHAIN_RAW!I136</f>
        <v/>
      </c>
      <c r="R136" s="13">
        <f>CHAIN_RAW!P136</f>
        <v/>
      </c>
      <c r="S136" s="13">
        <f>IFERROR(R136/Q136,"")</f>
        <v/>
      </c>
      <c r="T136" s="13">
        <f>IFERROR((ABS(N136-O136)/MAX(1,(N136+O136)))*EXP(-ABS(E136-CONTROL!E5)/MAX(1,CONTROL!B8)),"")</f>
        <v/>
      </c>
      <c r="U136" s="13">
        <f>IFERROR(IF(O136&gt;N136,"SUPPORT (PE OI)","RESIST (CE OI)"),"")</f>
        <v/>
      </c>
      <c r="V136" s="13">
        <f>IFERROR(IF(Q136&gt;0,IF(R136&gt;0,"BOTH_ADD","CE_ADD_PE_REDUCE"),IF(R136&gt;0,"CE_REDUCE_PE_ADD","BOTH_REDUCE")),"")</f>
        <v/>
      </c>
      <c r="W136" s="13">
        <f>IFERROR( (P136-1)*0.5 + (M136)*0.1 - (I136+J136)*0.05 + T136*0.4 ,"")</f>
        <v/>
      </c>
      <c r="X136" s="13">
        <f>IFERROR(IF(ABS(F136)&lt;0.01,"ATM/NEAR",""),"")</f>
        <v/>
      </c>
    </row>
    <row r="137">
      <c r="A137" s="13">
        <f>CHAIN_RAW!A137</f>
        <v/>
      </c>
      <c r="B137" s="14">
        <f>CHAIN_RAW!B137</f>
        <v/>
      </c>
      <c r="C137" s="13">
        <f>CHAIN_RAW!C137</f>
        <v/>
      </c>
      <c r="D137" s="13">
        <f>CHAIN_RAW!D137</f>
        <v/>
      </c>
      <c r="E137" s="13">
        <f>CHAIN_RAW!E137</f>
        <v/>
      </c>
      <c r="F137" s="13">
        <f>IFERROR((E137-D137)/D137,"")</f>
        <v/>
      </c>
      <c r="G137" s="13">
        <f>IFERROR((CHAIN_RAW!K137+CHAIN_RAW!L137)/2,"")</f>
        <v/>
      </c>
      <c r="H137" s="13">
        <f>IFERROR((CHAIN_RAW!R137+CHAIN_RAW!S137)/2,"")</f>
        <v/>
      </c>
      <c r="I137" s="13">
        <f>IFERROR((CHAIN_RAW!L137-CHAIN_RAW!K137)/MAX(1E-9, G137),"")</f>
        <v/>
      </c>
      <c r="J137" s="13">
        <f>IFERROR((CHAIN_RAW!S137-CHAIN_RAW!R137)/MAX(1E-9, H137),"")</f>
        <v/>
      </c>
      <c r="K137" s="13">
        <f>CHAIN_RAW!G137</f>
        <v/>
      </c>
      <c r="L137" s="13">
        <f>CHAIN_RAW!N137</f>
        <v/>
      </c>
      <c r="M137" s="13">
        <f>IFERROR(L137-K137,"")</f>
        <v/>
      </c>
      <c r="N137" s="13">
        <f>CHAIN_RAW!H137</f>
        <v/>
      </c>
      <c r="O137" s="13">
        <f>CHAIN_RAW!O137</f>
        <v/>
      </c>
      <c r="P137" s="13">
        <f>IFERROR(O137/N137,"")</f>
        <v/>
      </c>
      <c r="Q137" s="13">
        <f>CHAIN_RAW!I137</f>
        <v/>
      </c>
      <c r="R137" s="13">
        <f>CHAIN_RAW!P137</f>
        <v/>
      </c>
      <c r="S137" s="13">
        <f>IFERROR(R137/Q137,"")</f>
        <v/>
      </c>
      <c r="T137" s="13">
        <f>IFERROR((ABS(N137-O137)/MAX(1,(N137+O137)))*EXP(-ABS(E137-CONTROL!E5)/MAX(1,CONTROL!B8)),"")</f>
        <v/>
      </c>
      <c r="U137" s="13">
        <f>IFERROR(IF(O137&gt;N137,"SUPPORT (PE OI)","RESIST (CE OI)"),"")</f>
        <v/>
      </c>
      <c r="V137" s="13">
        <f>IFERROR(IF(Q137&gt;0,IF(R137&gt;0,"BOTH_ADD","CE_ADD_PE_REDUCE"),IF(R137&gt;0,"CE_REDUCE_PE_ADD","BOTH_REDUCE")),"")</f>
        <v/>
      </c>
      <c r="W137" s="13">
        <f>IFERROR( (P137-1)*0.5 + (M137)*0.1 - (I137+J137)*0.05 + T137*0.4 ,"")</f>
        <v/>
      </c>
      <c r="X137" s="13">
        <f>IFERROR(IF(ABS(F137)&lt;0.01,"ATM/NEAR",""),"")</f>
        <v/>
      </c>
    </row>
    <row r="138">
      <c r="A138" s="13">
        <f>CHAIN_RAW!A138</f>
        <v/>
      </c>
      <c r="B138" s="14">
        <f>CHAIN_RAW!B138</f>
        <v/>
      </c>
      <c r="C138" s="13">
        <f>CHAIN_RAW!C138</f>
        <v/>
      </c>
      <c r="D138" s="13">
        <f>CHAIN_RAW!D138</f>
        <v/>
      </c>
      <c r="E138" s="13">
        <f>CHAIN_RAW!E138</f>
        <v/>
      </c>
      <c r="F138" s="13">
        <f>IFERROR((E138-D138)/D138,"")</f>
        <v/>
      </c>
      <c r="G138" s="13">
        <f>IFERROR((CHAIN_RAW!K138+CHAIN_RAW!L138)/2,"")</f>
        <v/>
      </c>
      <c r="H138" s="13">
        <f>IFERROR((CHAIN_RAW!R138+CHAIN_RAW!S138)/2,"")</f>
        <v/>
      </c>
      <c r="I138" s="13">
        <f>IFERROR((CHAIN_RAW!L138-CHAIN_RAW!K138)/MAX(1E-9, G138),"")</f>
        <v/>
      </c>
      <c r="J138" s="13">
        <f>IFERROR((CHAIN_RAW!S138-CHAIN_RAW!R138)/MAX(1E-9, H138),"")</f>
        <v/>
      </c>
      <c r="K138" s="13">
        <f>CHAIN_RAW!G138</f>
        <v/>
      </c>
      <c r="L138" s="13">
        <f>CHAIN_RAW!N138</f>
        <v/>
      </c>
      <c r="M138" s="13">
        <f>IFERROR(L138-K138,"")</f>
        <v/>
      </c>
      <c r="N138" s="13">
        <f>CHAIN_RAW!H138</f>
        <v/>
      </c>
      <c r="O138" s="13">
        <f>CHAIN_RAW!O138</f>
        <v/>
      </c>
      <c r="P138" s="13">
        <f>IFERROR(O138/N138,"")</f>
        <v/>
      </c>
      <c r="Q138" s="13">
        <f>CHAIN_RAW!I138</f>
        <v/>
      </c>
      <c r="R138" s="13">
        <f>CHAIN_RAW!P138</f>
        <v/>
      </c>
      <c r="S138" s="13">
        <f>IFERROR(R138/Q138,"")</f>
        <v/>
      </c>
      <c r="T138" s="13">
        <f>IFERROR((ABS(N138-O138)/MAX(1,(N138+O138)))*EXP(-ABS(E138-CONTROL!E5)/MAX(1,CONTROL!B8)),"")</f>
        <v/>
      </c>
      <c r="U138" s="13">
        <f>IFERROR(IF(O138&gt;N138,"SUPPORT (PE OI)","RESIST (CE OI)"),"")</f>
        <v/>
      </c>
      <c r="V138" s="13">
        <f>IFERROR(IF(Q138&gt;0,IF(R138&gt;0,"BOTH_ADD","CE_ADD_PE_REDUCE"),IF(R138&gt;0,"CE_REDUCE_PE_ADD","BOTH_REDUCE")),"")</f>
        <v/>
      </c>
      <c r="W138" s="13">
        <f>IFERROR( (P138-1)*0.5 + (M138)*0.1 - (I138+J138)*0.05 + T138*0.4 ,"")</f>
        <v/>
      </c>
      <c r="X138" s="13">
        <f>IFERROR(IF(ABS(F138)&lt;0.01,"ATM/NEAR",""),"")</f>
        <v/>
      </c>
    </row>
    <row r="139">
      <c r="A139" s="13">
        <f>CHAIN_RAW!A139</f>
        <v/>
      </c>
      <c r="B139" s="14">
        <f>CHAIN_RAW!B139</f>
        <v/>
      </c>
      <c r="C139" s="13">
        <f>CHAIN_RAW!C139</f>
        <v/>
      </c>
      <c r="D139" s="13">
        <f>CHAIN_RAW!D139</f>
        <v/>
      </c>
      <c r="E139" s="13">
        <f>CHAIN_RAW!E139</f>
        <v/>
      </c>
      <c r="F139" s="13">
        <f>IFERROR((E139-D139)/D139,"")</f>
        <v/>
      </c>
      <c r="G139" s="13">
        <f>IFERROR((CHAIN_RAW!K139+CHAIN_RAW!L139)/2,"")</f>
        <v/>
      </c>
      <c r="H139" s="13">
        <f>IFERROR((CHAIN_RAW!R139+CHAIN_RAW!S139)/2,"")</f>
        <v/>
      </c>
      <c r="I139" s="13">
        <f>IFERROR((CHAIN_RAW!L139-CHAIN_RAW!K139)/MAX(1E-9, G139),"")</f>
        <v/>
      </c>
      <c r="J139" s="13">
        <f>IFERROR((CHAIN_RAW!S139-CHAIN_RAW!R139)/MAX(1E-9, H139),"")</f>
        <v/>
      </c>
      <c r="K139" s="13">
        <f>CHAIN_RAW!G139</f>
        <v/>
      </c>
      <c r="L139" s="13">
        <f>CHAIN_RAW!N139</f>
        <v/>
      </c>
      <c r="M139" s="13">
        <f>IFERROR(L139-K139,"")</f>
        <v/>
      </c>
      <c r="N139" s="13">
        <f>CHAIN_RAW!H139</f>
        <v/>
      </c>
      <c r="O139" s="13">
        <f>CHAIN_RAW!O139</f>
        <v/>
      </c>
      <c r="P139" s="13">
        <f>IFERROR(O139/N139,"")</f>
        <v/>
      </c>
      <c r="Q139" s="13">
        <f>CHAIN_RAW!I139</f>
        <v/>
      </c>
      <c r="R139" s="13">
        <f>CHAIN_RAW!P139</f>
        <v/>
      </c>
      <c r="S139" s="13">
        <f>IFERROR(R139/Q139,"")</f>
        <v/>
      </c>
      <c r="T139" s="13">
        <f>IFERROR((ABS(N139-O139)/MAX(1,(N139+O139)))*EXP(-ABS(E139-CONTROL!E5)/MAX(1,CONTROL!B8)),"")</f>
        <v/>
      </c>
      <c r="U139" s="13">
        <f>IFERROR(IF(O139&gt;N139,"SUPPORT (PE OI)","RESIST (CE OI)"),"")</f>
        <v/>
      </c>
      <c r="V139" s="13">
        <f>IFERROR(IF(Q139&gt;0,IF(R139&gt;0,"BOTH_ADD","CE_ADD_PE_REDUCE"),IF(R139&gt;0,"CE_REDUCE_PE_ADD","BOTH_REDUCE")),"")</f>
        <v/>
      </c>
      <c r="W139" s="13">
        <f>IFERROR( (P139-1)*0.5 + (M139)*0.1 - (I139+J139)*0.05 + T139*0.4 ,"")</f>
        <v/>
      </c>
      <c r="X139" s="13">
        <f>IFERROR(IF(ABS(F139)&lt;0.01,"ATM/NEAR",""),"")</f>
        <v/>
      </c>
    </row>
    <row r="140">
      <c r="A140" s="13">
        <f>CHAIN_RAW!A140</f>
        <v/>
      </c>
      <c r="B140" s="14">
        <f>CHAIN_RAW!B140</f>
        <v/>
      </c>
      <c r="C140" s="13">
        <f>CHAIN_RAW!C140</f>
        <v/>
      </c>
      <c r="D140" s="13">
        <f>CHAIN_RAW!D140</f>
        <v/>
      </c>
      <c r="E140" s="13">
        <f>CHAIN_RAW!E140</f>
        <v/>
      </c>
      <c r="F140" s="13">
        <f>IFERROR((E140-D140)/D140,"")</f>
        <v/>
      </c>
      <c r="G140" s="13">
        <f>IFERROR((CHAIN_RAW!K140+CHAIN_RAW!L140)/2,"")</f>
        <v/>
      </c>
      <c r="H140" s="13">
        <f>IFERROR((CHAIN_RAW!R140+CHAIN_RAW!S140)/2,"")</f>
        <v/>
      </c>
      <c r="I140" s="13">
        <f>IFERROR((CHAIN_RAW!L140-CHAIN_RAW!K140)/MAX(1E-9, G140),"")</f>
        <v/>
      </c>
      <c r="J140" s="13">
        <f>IFERROR((CHAIN_RAW!S140-CHAIN_RAW!R140)/MAX(1E-9, H140),"")</f>
        <v/>
      </c>
      <c r="K140" s="13">
        <f>CHAIN_RAW!G140</f>
        <v/>
      </c>
      <c r="L140" s="13">
        <f>CHAIN_RAW!N140</f>
        <v/>
      </c>
      <c r="M140" s="13">
        <f>IFERROR(L140-K140,"")</f>
        <v/>
      </c>
      <c r="N140" s="13">
        <f>CHAIN_RAW!H140</f>
        <v/>
      </c>
      <c r="O140" s="13">
        <f>CHAIN_RAW!O140</f>
        <v/>
      </c>
      <c r="P140" s="13">
        <f>IFERROR(O140/N140,"")</f>
        <v/>
      </c>
      <c r="Q140" s="13">
        <f>CHAIN_RAW!I140</f>
        <v/>
      </c>
      <c r="R140" s="13">
        <f>CHAIN_RAW!P140</f>
        <v/>
      </c>
      <c r="S140" s="13">
        <f>IFERROR(R140/Q140,"")</f>
        <v/>
      </c>
      <c r="T140" s="13">
        <f>IFERROR((ABS(N140-O140)/MAX(1,(N140+O140)))*EXP(-ABS(E140-CONTROL!E5)/MAX(1,CONTROL!B8)),"")</f>
        <v/>
      </c>
      <c r="U140" s="13">
        <f>IFERROR(IF(O140&gt;N140,"SUPPORT (PE OI)","RESIST (CE OI)"),"")</f>
        <v/>
      </c>
      <c r="V140" s="13">
        <f>IFERROR(IF(Q140&gt;0,IF(R140&gt;0,"BOTH_ADD","CE_ADD_PE_REDUCE"),IF(R140&gt;0,"CE_REDUCE_PE_ADD","BOTH_REDUCE")),"")</f>
        <v/>
      </c>
      <c r="W140" s="13">
        <f>IFERROR( (P140-1)*0.5 + (M140)*0.1 - (I140+J140)*0.05 + T140*0.4 ,"")</f>
        <v/>
      </c>
      <c r="X140" s="13">
        <f>IFERROR(IF(ABS(F140)&lt;0.01,"ATM/NEAR",""),"")</f>
        <v/>
      </c>
    </row>
    <row r="141">
      <c r="A141" s="13">
        <f>CHAIN_RAW!A141</f>
        <v/>
      </c>
      <c r="B141" s="14">
        <f>CHAIN_RAW!B141</f>
        <v/>
      </c>
      <c r="C141" s="13">
        <f>CHAIN_RAW!C141</f>
        <v/>
      </c>
      <c r="D141" s="13">
        <f>CHAIN_RAW!D141</f>
        <v/>
      </c>
      <c r="E141" s="13">
        <f>CHAIN_RAW!E141</f>
        <v/>
      </c>
      <c r="F141" s="13">
        <f>IFERROR((E141-D141)/D141,"")</f>
        <v/>
      </c>
      <c r="G141" s="13">
        <f>IFERROR((CHAIN_RAW!K141+CHAIN_RAW!L141)/2,"")</f>
        <v/>
      </c>
      <c r="H141" s="13">
        <f>IFERROR((CHAIN_RAW!R141+CHAIN_RAW!S141)/2,"")</f>
        <v/>
      </c>
      <c r="I141" s="13">
        <f>IFERROR((CHAIN_RAW!L141-CHAIN_RAW!K141)/MAX(1E-9, G141),"")</f>
        <v/>
      </c>
      <c r="J141" s="13">
        <f>IFERROR((CHAIN_RAW!S141-CHAIN_RAW!R141)/MAX(1E-9, H141),"")</f>
        <v/>
      </c>
      <c r="K141" s="13">
        <f>CHAIN_RAW!G141</f>
        <v/>
      </c>
      <c r="L141" s="13">
        <f>CHAIN_RAW!N141</f>
        <v/>
      </c>
      <c r="M141" s="13">
        <f>IFERROR(L141-K141,"")</f>
        <v/>
      </c>
      <c r="N141" s="13">
        <f>CHAIN_RAW!H141</f>
        <v/>
      </c>
      <c r="O141" s="13">
        <f>CHAIN_RAW!O141</f>
        <v/>
      </c>
      <c r="P141" s="13">
        <f>IFERROR(O141/N141,"")</f>
        <v/>
      </c>
      <c r="Q141" s="13">
        <f>CHAIN_RAW!I141</f>
        <v/>
      </c>
      <c r="R141" s="13">
        <f>CHAIN_RAW!P141</f>
        <v/>
      </c>
      <c r="S141" s="13">
        <f>IFERROR(R141/Q141,"")</f>
        <v/>
      </c>
      <c r="T141" s="13">
        <f>IFERROR((ABS(N141-O141)/MAX(1,(N141+O141)))*EXP(-ABS(E141-CONTROL!E5)/MAX(1,CONTROL!B8)),"")</f>
        <v/>
      </c>
      <c r="U141" s="13">
        <f>IFERROR(IF(O141&gt;N141,"SUPPORT (PE OI)","RESIST (CE OI)"),"")</f>
        <v/>
      </c>
      <c r="V141" s="13">
        <f>IFERROR(IF(Q141&gt;0,IF(R141&gt;0,"BOTH_ADD","CE_ADD_PE_REDUCE"),IF(R141&gt;0,"CE_REDUCE_PE_ADD","BOTH_REDUCE")),"")</f>
        <v/>
      </c>
      <c r="W141" s="13">
        <f>IFERROR( (P141-1)*0.5 + (M141)*0.1 - (I141+J141)*0.05 + T141*0.4 ,"")</f>
        <v/>
      </c>
      <c r="X141" s="13">
        <f>IFERROR(IF(ABS(F141)&lt;0.01,"ATM/NEAR",""),"")</f>
        <v/>
      </c>
    </row>
    <row r="142">
      <c r="A142" s="13">
        <f>CHAIN_RAW!A142</f>
        <v/>
      </c>
      <c r="B142" s="14">
        <f>CHAIN_RAW!B142</f>
        <v/>
      </c>
      <c r="C142" s="13">
        <f>CHAIN_RAW!C142</f>
        <v/>
      </c>
      <c r="D142" s="13">
        <f>CHAIN_RAW!D142</f>
        <v/>
      </c>
      <c r="E142" s="13">
        <f>CHAIN_RAW!E142</f>
        <v/>
      </c>
      <c r="F142" s="13">
        <f>IFERROR((E142-D142)/D142,"")</f>
        <v/>
      </c>
      <c r="G142" s="13">
        <f>IFERROR((CHAIN_RAW!K142+CHAIN_RAW!L142)/2,"")</f>
        <v/>
      </c>
      <c r="H142" s="13">
        <f>IFERROR((CHAIN_RAW!R142+CHAIN_RAW!S142)/2,"")</f>
        <v/>
      </c>
      <c r="I142" s="13">
        <f>IFERROR((CHAIN_RAW!L142-CHAIN_RAW!K142)/MAX(1E-9, G142),"")</f>
        <v/>
      </c>
      <c r="J142" s="13">
        <f>IFERROR((CHAIN_RAW!S142-CHAIN_RAW!R142)/MAX(1E-9, H142),"")</f>
        <v/>
      </c>
      <c r="K142" s="13">
        <f>CHAIN_RAW!G142</f>
        <v/>
      </c>
      <c r="L142" s="13">
        <f>CHAIN_RAW!N142</f>
        <v/>
      </c>
      <c r="M142" s="13">
        <f>IFERROR(L142-K142,"")</f>
        <v/>
      </c>
      <c r="N142" s="13">
        <f>CHAIN_RAW!H142</f>
        <v/>
      </c>
      <c r="O142" s="13">
        <f>CHAIN_RAW!O142</f>
        <v/>
      </c>
      <c r="P142" s="13">
        <f>IFERROR(O142/N142,"")</f>
        <v/>
      </c>
      <c r="Q142" s="13">
        <f>CHAIN_RAW!I142</f>
        <v/>
      </c>
      <c r="R142" s="13">
        <f>CHAIN_RAW!P142</f>
        <v/>
      </c>
      <c r="S142" s="13">
        <f>IFERROR(R142/Q142,"")</f>
        <v/>
      </c>
      <c r="T142" s="13">
        <f>IFERROR((ABS(N142-O142)/MAX(1,(N142+O142)))*EXP(-ABS(E142-CONTROL!E5)/MAX(1,CONTROL!B8)),"")</f>
        <v/>
      </c>
      <c r="U142" s="13">
        <f>IFERROR(IF(O142&gt;N142,"SUPPORT (PE OI)","RESIST (CE OI)"),"")</f>
        <v/>
      </c>
      <c r="V142" s="13">
        <f>IFERROR(IF(Q142&gt;0,IF(R142&gt;0,"BOTH_ADD","CE_ADD_PE_REDUCE"),IF(R142&gt;0,"CE_REDUCE_PE_ADD","BOTH_REDUCE")),"")</f>
        <v/>
      </c>
      <c r="W142" s="13">
        <f>IFERROR( (P142-1)*0.5 + (M142)*0.1 - (I142+J142)*0.05 + T142*0.4 ,"")</f>
        <v/>
      </c>
      <c r="X142" s="13">
        <f>IFERROR(IF(ABS(F142)&lt;0.01,"ATM/NEAR",""),"")</f>
        <v/>
      </c>
    </row>
    <row r="143">
      <c r="A143" s="13">
        <f>CHAIN_RAW!A143</f>
        <v/>
      </c>
      <c r="B143" s="14">
        <f>CHAIN_RAW!B143</f>
        <v/>
      </c>
      <c r="C143" s="13">
        <f>CHAIN_RAW!C143</f>
        <v/>
      </c>
      <c r="D143" s="13">
        <f>CHAIN_RAW!D143</f>
        <v/>
      </c>
      <c r="E143" s="13">
        <f>CHAIN_RAW!E143</f>
        <v/>
      </c>
      <c r="F143" s="13">
        <f>IFERROR((E143-D143)/D143,"")</f>
        <v/>
      </c>
      <c r="G143" s="13">
        <f>IFERROR((CHAIN_RAW!K143+CHAIN_RAW!L143)/2,"")</f>
        <v/>
      </c>
      <c r="H143" s="13">
        <f>IFERROR((CHAIN_RAW!R143+CHAIN_RAW!S143)/2,"")</f>
        <v/>
      </c>
      <c r="I143" s="13">
        <f>IFERROR((CHAIN_RAW!L143-CHAIN_RAW!K143)/MAX(1E-9, G143),"")</f>
        <v/>
      </c>
      <c r="J143" s="13">
        <f>IFERROR((CHAIN_RAW!S143-CHAIN_RAW!R143)/MAX(1E-9, H143),"")</f>
        <v/>
      </c>
      <c r="K143" s="13">
        <f>CHAIN_RAW!G143</f>
        <v/>
      </c>
      <c r="L143" s="13">
        <f>CHAIN_RAW!N143</f>
        <v/>
      </c>
      <c r="M143" s="13">
        <f>IFERROR(L143-K143,"")</f>
        <v/>
      </c>
      <c r="N143" s="13">
        <f>CHAIN_RAW!H143</f>
        <v/>
      </c>
      <c r="O143" s="13">
        <f>CHAIN_RAW!O143</f>
        <v/>
      </c>
      <c r="P143" s="13">
        <f>IFERROR(O143/N143,"")</f>
        <v/>
      </c>
      <c r="Q143" s="13">
        <f>CHAIN_RAW!I143</f>
        <v/>
      </c>
      <c r="R143" s="13">
        <f>CHAIN_RAW!P143</f>
        <v/>
      </c>
      <c r="S143" s="13">
        <f>IFERROR(R143/Q143,"")</f>
        <v/>
      </c>
      <c r="T143" s="13">
        <f>IFERROR((ABS(N143-O143)/MAX(1,(N143+O143)))*EXP(-ABS(E143-CONTROL!E5)/MAX(1,CONTROL!B8)),"")</f>
        <v/>
      </c>
      <c r="U143" s="13">
        <f>IFERROR(IF(O143&gt;N143,"SUPPORT (PE OI)","RESIST (CE OI)"),"")</f>
        <v/>
      </c>
      <c r="V143" s="13">
        <f>IFERROR(IF(Q143&gt;0,IF(R143&gt;0,"BOTH_ADD","CE_ADD_PE_REDUCE"),IF(R143&gt;0,"CE_REDUCE_PE_ADD","BOTH_REDUCE")),"")</f>
        <v/>
      </c>
      <c r="W143" s="13">
        <f>IFERROR( (P143-1)*0.5 + (M143)*0.1 - (I143+J143)*0.05 + T143*0.4 ,"")</f>
        <v/>
      </c>
      <c r="X143" s="13">
        <f>IFERROR(IF(ABS(F143)&lt;0.01,"ATM/NEAR",""),"")</f>
        <v/>
      </c>
    </row>
    <row r="144">
      <c r="A144" s="13">
        <f>CHAIN_RAW!A144</f>
        <v/>
      </c>
      <c r="B144" s="14">
        <f>CHAIN_RAW!B144</f>
        <v/>
      </c>
      <c r="C144" s="13">
        <f>CHAIN_RAW!C144</f>
        <v/>
      </c>
      <c r="D144" s="13">
        <f>CHAIN_RAW!D144</f>
        <v/>
      </c>
      <c r="E144" s="13">
        <f>CHAIN_RAW!E144</f>
        <v/>
      </c>
      <c r="F144" s="13">
        <f>IFERROR((E144-D144)/D144,"")</f>
        <v/>
      </c>
      <c r="G144" s="13">
        <f>IFERROR((CHAIN_RAW!K144+CHAIN_RAW!L144)/2,"")</f>
        <v/>
      </c>
      <c r="H144" s="13">
        <f>IFERROR((CHAIN_RAW!R144+CHAIN_RAW!S144)/2,"")</f>
        <v/>
      </c>
      <c r="I144" s="13">
        <f>IFERROR((CHAIN_RAW!L144-CHAIN_RAW!K144)/MAX(1E-9, G144),"")</f>
        <v/>
      </c>
      <c r="J144" s="13">
        <f>IFERROR((CHAIN_RAW!S144-CHAIN_RAW!R144)/MAX(1E-9, H144),"")</f>
        <v/>
      </c>
      <c r="K144" s="13">
        <f>CHAIN_RAW!G144</f>
        <v/>
      </c>
      <c r="L144" s="13">
        <f>CHAIN_RAW!N144</f>
        <v/>
      </c>
      <c r="M144" s="13">
        <f>IFERROR(L144-K144,"")</f>
        <v/>
      </c>
      <c r="N144" s="13">
        <f>CHAIN_RAW!H144</f>
        <v/>
      </c>
      <c r="O144" s="13">
        <f>CHAIN_RAW!O144</f>
        <v/>
      </c>
      <c r="P144" s="13">
        <f>IFERROR(O144/N144,"")</f>
        <v/>
      </c>
      <c r="Q144" s="13">
        <f>CHAIN_RAW!I144</f>
        <v/>
      </c>
      <c r="R144" s="13">
        <f>CHAIN_RAW!P144</f>
        <v/>
      </c>
      <c r="S144" s="13">
        <f>IFERROR(R144/Q144,"")</f>
        <v/>
      </c>
      <c r="T144" s="13">
        <f>IFERROR((ABS(N144-O144)/MAX(1,(N144+O144)))*EXP(-ABS(E144-CONTROL!E5)/MAX(1,CONTROL!B8)),"")</f>
        <v/>
      </c>
      <c r="U144" s="13">
        <f>IFERROR(IF(O144&gt;N144,"SUPPORT (PE OI)","RESIST (CE OI)"),"")</f>
        <v/>
      </c>
      <c r="V144" s="13">
        <f>IFERROR(IF(Q144&gt;0,IF(R144&gt;0,"BOTH_ADD","CE_ADD_PE_REDUCE"),IF(R144&gt;0,"CE_REDUCE_PE_ADD","BOTH_REDUCE")),"")</f>
        <v/>
      </c>
      <c r="W144" s="13">
        <f>IFERROR( (P144-1)*0.5 + (M144)*0.1 - (I144+J144)*0.05 + T144*0.4 ,"")</f>
        <v/>
      </c>
      <c r="X144" s="13">
        <f>IFERROR(IF(ABS(F144)&lt;0.01,"ATM/NEAR",""),"")</f>
        <v/>
      </c>
    </row>
    <row r="145">
      <c r="A145" s="13">
        <f>CHAIN_RAW!A145</f>
        <v/>
      </c>
      <c r="B145" s="14">
        <f>CHAIN_RAW!B145</f>
        <v/>
      </c>
      <c r="C145" s="13">
        <f>CHAIN_RAW!C145</f>
        <v/>
      </c>
      <c r="D145" s="13">
        <f>CHAIN_RAW!D145</f>
        <v/>
      </c>
      <c r="E145" s="13">
        <f>CHAIN_RAW!E145</f>
        <v/>
      </c>
      <c r="F145" s="13">
        <f>IFERROR((E145-D145)/D145,"")</f>
        <v/>
      </c>
      <c r="G145" s="13">
        <f>IFERROR((CHAIN_RAW!K145+CHAIN_RAW!L145)/2,"")</f>
        <v/>
      </c>
      <c r="H145" s="13">
        <f>IFERROR((CHAIN_RAW!R145+CHAIN_RAW!S145)/2,"")</f>
        <v/>
      </c>
      <c r="I145" s="13">
        <f>IFERROR((CHAIN_RAW!L145-CHAIN_RAW!K145)/MAX(1E-9, G145),"")</f>
        <v/>
      </c>
      <c r="J145" s="13">
        <f>IFERROR((CHAIN_RAW!S145-CHAIN_RAW!R145)/MAX(1E-9, H145),"")</f>
        <v/>
      </c>
      <c r="K145" s="13">
        <f>CHAIN_RAW!G145</f>
        <v/>
      </c>
      <c r="L145" s="13">
        <f>CHAIN_RAW!N145</f>
        <v/>
      </c>
      <c r="M145" s="13">
        <f>IFERROR(L145-K145,"")</f>
        <v/>
      </c>
      <c r="N145" s="13">
        <f>CHAIN_RAW!H145</f>
        <v/>
      </c>
      <c r="O145" s="13">
        <f>CHAIN_RAW!O145</f>
        <v/>
      </c>
      <c r="P145" s="13">
        <f>IFERROR(O145/N145,"")</f>
        <v/>
      </c>
      <c r="Q145" s="13">
        <f>CHAIN_RAW!I145</f>
        <v/>
      </c>
      <c r="R145" s="13">
        <f>CHAIN_RAW!P145</f>
        <v/>
      </c>
      <c r="S145" s="13">
        <f>IFERROR(R145/Q145,"")</f>
        <v/>
      </c>
      <c r="T145" s="13">
        <f>IFERROR((ABS(N145-O145)/MAX(1,(N145+O145)))*EXP(-ABS(E145-CONTROL!E5)/MAX(1,CONTROL!B8)),"")</f>
        <v/>
      </c>
      <c r="U145" s="13">
        <f>IFERROR(IF(O145&gt;N145,"SUPPORT (PE OI)","RESIST (CE OI)"),"")</f>
        <v/>
      </c>
      <c r="V145" s="13">
        <f>IFERROR(IF(Q145&gt;0,IF(R145&gt;0,"BOTH_ADD","CE_ADD_PE_REDUCE"),IF(R145&gt;0,"CE_REDUCE_PE_ADD","BOTH_REDUCE")),"")</f>
        <v/>
      </c>
      <c r="W145" s="13">
        <f>IFERROR( (P145-1)*0.5 + (M145)*0.1 - (I145+J145)*0.05 + T145*0.4 ,"")</f>
        <v/>
      </c>
      <c r="X145" s="13">
        <f>IFERROR(IF(ABS(F145)&lt;0.01,"ATM/NEAR",""),"")</f>
        <v/>
      </c>
    </row>
    <row r="146">
      <c r="A146" s="13">
        <f>CHAIN_RAW!A146</f>
        <v/>
      </c>
      <c r="B146" s="14">
        <f>CHAIN_RAW!B146</f>
        <v/>
      </c>
      <c r="C146" s="13">
        <f>CHAIN_RAW!C146</f>
        <v/>
      </c>
      <c r="D146" s="13">
        <f>CHAIN_RAW!D146</f>
        <v/>
      </c>
      <c r="E146" s="13">
        <f>CHAIN_RAW!E146</f>
        <v/>
      </c>
      <c r="F146" s="13">
        <f>IFERROR((E146-D146)/D146,"")</f>
        <v/>
      </c>
      <c r="G146" s="13">
        <f>IFERROR((CHAIN_RAW!K146+CHAIN_RAW!L146)/2,"")</f>
        <v/>
      </c>
      <c r="H146" s="13">
        <f>IFERROR((CHAIN_RAW!R146+CHAIN_RAW!S146)/2,"")</f>
        <v/>
      </c>
      <c r="I146" s="13">
        <f>IFERROR((CHAIN_RAW!L146-CHAIN_RAW!K146)/MAX(1E-9, G146),"")</f>
        <v/>
      </c>
      <c r="J146" s="13">
        <f>IFERROR((CHAIN_RAW!S146-CHAIN_RAW!R146)/MAX(1E-9, H146),"")</f>
        <v/>
      </c>
      <c r="K146" s="13">
        <f>CHAIN_RAW!G146</f>
        <v/>
      </c>
      <c r="L146" s="13">
        <f>CHAIN_RAW!N146</f>
        <v/>
      </c>
      <c r="M146" s="13">
        <f>IFERROR(L146-K146,"")</f>
        <v/>
      </c>
      <c r="N146" s="13">
        <f>CHAIN_RAW!H146</f>
        <v/>
      </c>
      <c r="O146" s="13">
        <f>CHAIN_RAW!O146</f>
        <v/>
      </c>
      <c r="P146" s="13">
        <f>IFERROR(O146/N146,"")</f>
        <v/>
      </c>
      <c r="Q146" s="13">
        <f>CHAIN_RAW!I146</f>
        <v/>
      </c>
      <c r="R146" s="13">
        <f>CHAIN_RAW!P146</f>
        <v/>
      </c>
      <c r="S146" s="13">
        <f>IFERROR(R146/Q146,"")</f>
        <v/>
      </c>
      <c r="T146" s="13">
        <f>IFERROR((ABS(N146-O146)/MAX(1,(N146+O146)))*EXP(-ABS(E146-CONTROL!E5)/MAX(1,CONTROL!B8)),"")</f>
        <v/>
      </c>
      <c r="U146" s="13">
        <f>IFERROR(IF(O146&gt;N146,"SUPPORT (PE OI)","RESIST (CE OI)"),"")</f>
        <v/>
      </c>
      <c r="V146" s="13">
        <f>IFERROR(IF(Q146&gt;0,IF(R146&gt;0,"BOTH_ADD","CE_ADD_PE_REDUCE"),IF(R146&gt;0,"CE_REDUCE_PE_ADD","BOTH_REDUCE")),"")</f>
        <v/>
      </c>
      <c r="W146" s="13">
        <f>IFERROR( (P146-1)*0.5 + (M146)*0.1 - (I146+J146)*0.05 + T146*0.4 ,"")</f>
        <v/>
      </c>
      <c r="X146" s="13">
        <f>IFERROR(IF(ABS(F146)&lt;0.01,"ATM/NEAR",""),"")</f>
        <v/>
      </c>
    </row>
    <row r="147">
      <c r="A147" s="13">
        <f>CHAIN_RAW!A147</f>
        <v/>
      </c>
      <c r="B147" s="14">
        <f>CHAIN_RAW!B147</f>
        <v/>
      </c>
      <c r="C147" s="13">
        <f>CHAIN_RAW!C147</f>
        <v/>
      </c>
      <c r="D147" s="13">
        <f>CHAIN_RAW!D147</f>
        <v/>
      </c>
      <c r="E147" s="13">
        <f>CHAIN_RAW!E147</f>
        <v/>
      </c>
      <c r="F147" s="13">
        <f>IFERROR((E147-D147)/D147,"")</f>
        <v/>
      </c>
      <c r="G147" s="13">
        <f>IFERROR((CHAIN_RAW!K147+CHAIN_RAW!L147)/2,"")</f>
        <v/>
      </c>
      <c r="H147" s="13">
        <f>IFERROR((CHAIN_RAW!R147+CHAIN_RAW!S147)/2,"")</f>
        <v/>
      </c>
      <c r="I147" s="13">
        <f>IFERROR((CHAIN_RAW!L147-CHAIN_RAW!K147)/MAX(1E-9, G147),"")</f>
        <v/>
      </c>
      <c r="J147" s="13">
        <f>IFERROR((CHAIN_RAW!S147-CHAIN_RAW!R147)/MAX(1E-9, H147),"")</f>
        <v/>
      </c>
      <c r="K147" s="13">
        <f>CHAIN_RAW!G147</f>
        <v/>
      </c>
      <c r="L147" s="13">
        <f>CHAIN_RAW!N147</f>
        <v/>
      </c>
      <c r="M147" s="13">
        <f>IFERROR(L147-K147,"")</f>
        <v/>
      </c>
      <c r="N147" s="13">
        <f>CHAIN_RAW!H147</f>
        <v/>
      </c>
      <c r="O147" s="13">
        <f>CHAIN_RAW!O147</f>
        <v/>
      </c>
      <c r="P147" s="13">
        <f>IFERROR(O147/N147,"")</f>
        <v/>
      </c>
      <c r="Q147" s="13">
        <f>CHAIN_RAW!I147</f>
        <v/>
      </c>
      <c r="R147" s="13">
        <f>CHAIN_RAW!P147</f>
        <v/>
      </c>
      <c r="S147" s="13">
        <f>IFERROR(R147/Q147,"")</f>
        <v/>
      </c>
      <c r="T147" s="13">
        <f>IFERROR((ABS(N147-O147)/MAX(1,(N147+O147)))*EXP(-ABS(E147-CONTROL!E5)/MAX(1,CONTROL!B8)),"")</f>
        <v/>
      </c>
      <c r="U147" s="13">
        <f>IFERROR(IF(O147&gt;N147,"SUPPORT (PE OI)","RESIST (CE OI)"),"")</f>
        <v/>
      </c>
      <c r="V147" s="13">
        <f>IFERROR(IF(Q147&gt;0,IF(R147&gt;0,"BOTH_ADD","CE_ADD_PE_REDUCE"),IF(R147&gt;0,"CE_REDUCE_PE_ADD","BOTH_REDUCE")),"")</f>
        <v/>
      </c>
      <c r="W147" s="13">
        <f>IFERROR( (P147-1)*0.5 + (M147)*0.1 - (I147+J147)*0.05 + T147*0.4 ,"")</f>
        <v/>
      </c>
      <c r="X147" s="13">
        <f>IFERROR(IF(ABS(F147)&lt;0.01,"ATM/NEAR",""),"")</f>
        <v/>
      </c>
    </row>
    <row r="148">
      <c r="A148" s="13">
        <f>CHAIN_RAW!A148</f>
        <v/>
      </c>
      <c r="B148" s="14">
        <f>CHAIN_RAW!B148</f>
        <v/>
      </c>
      <c r="C148" s="13">
        <f>CHAIN_RAW!C148</f>
        <v/>
      </c>
      <c r="D148" s="13">
        <f>CHAIN_RAW!D148</f>
        <v/>
      </c>
      <c r="E148" s="13">
        <f>CHAIN_RAW!E148</f>
        <v/>
      </c>
      <c r="F148" s="13">
        <f>IFERROR((E148-D148)/D148,"")</f>
        <v/>
      </c>
      <c r="G148" s="13">
        <f>IFERROR((CHAIN_RAW!K148+CHAIN_RAW!L148)/2,"")</f>
        <v/>
      </c>
      <c r="H148" s="13">
        <f>IFERROR((CHAIN_RAW!R148+CHAIN_RAW!S148)/2,"")</f>
        <v/>
      </c>
      <c r="I148" s="13">
        <f>IFERROR((CHAIN_RAW!L148-CHAIN_RAW!K148)/MAX(1E-9, G148),"")</f>
        <v/>
      </c>
      <c r="J148" s="13">
        <f>IFERROR((CHAIN_RAW!S148-CHAIN_RAW!R148)/MAX(1E-9, H148),"")</f>
        <v/>
      </c>
      <c r="K148" s="13">
        <f>CHAIN_RAW!G148</f>
        <v/>
      </c>
      <c r="L148" s="13">
        <f>CHAIN_RAW!N148</f>
        <v/>
      </c>
      <c r="M148" s="13">
        <f>IFERROR(L148-K148,"")</f>
        <v/>
      </c>
      <c r="N148" s="13">
        <f>CHAIN_RAW!H148</f>
        <v/>
      </c>
      <c r="O148" s="13">
        <f>CHAIN_RAW!O148</f>
        <v/>
      </c>
      <c r="P148" s="13">
        <f>IFERROR(O148/N148,"")</f>
        <v/>
      </c>
      <c r="Q148" s="13">
        <f>CHAIN_RAW!I148</f>
        <v/>
      </c>
      <c r="R148" s="13">
        <f>CHAIN_RAW!P148</f>
        <v/>
      </c>
      <c r="S148" s="13">
        <f>IFERROR(R148/Q148,"")</f>
        <v/>
      </c>
      <c r="T148" s="13">
        <f>IFERROR((ABS(N148-O148)/MAX(1,(N148+O148)))*EXP(-ABS(E148-CONTROL!E5)/MAX(1,CONTROL!B8)),"")</f>
        <v/>
      </c>
      <c r="U148" s="13">
        <f>IFERROR(IF(O148&gt;N148,"SUPPORT (PE OI)","RESIST (CE OI)"),"")</f>
        <v/>
      </c>
      <c r="V148" s="13">
        <f>IFERROR(IF(Q148&gt;0,IF(R148&gt;0,"BOTH_ADD","CE_ADD_PE_REDUCE"),IF(R148&gt;0,"CE_REDUCE_PE_ADD","BOTH_REDUCE")),"")</f>
        <v/>
      </c>
      <c r="W148" s="13">
        <f>IFERROR( (P148-1)*0.5 + (M148)*0.1 - (I148+J148)*0.05 + T148*0.4 ,"")</f>
        <v/>
      </c>
      <c r="X148" s="13">
        <f>IFERROR(IF(ABS(F148)&lt;0.01,"ATM/NEAR",""),"")</f>
        <v/>
      </c>
    </row>
    <row r="149">
      <c r="A149" s="13">
        <f>CHAIN_RAW!A149</f>
        <v/>
      </c>
      <c r="B149" s="14">
        <f>CHAIN_RAW!B149</f>
        <v/>
      </c>
      <c r="C149" s="13">
        <f>CHAIN_RAW!C149</f>
        <v/>
      </c>
      <c r="D149" s="13">
        <f>CHAIN_RAW!D149</f>
        <v/>
      </c>
      <c r="E149" s="13">
        <f>CHAIN_RAW!E149</f>
        <v/>
      </c>
      <c r="F149" s="13">
        <f>IFERROR((E149-D149)/D149,"")</f>
        <v/>
      </c>
      <c r="G149" s="13">
        <f>IFERROR((CHAIN_RAW!K149+CHAIN_RAW!L149)/2,"")</f>
        <v/>
      </c>
      <c r="H149" s="13">
        <f>IFERROR((CHAIN_RAW!R149+CHAIN_RAW!S149)/2,"")</f>
        <v/>
      </c>
      <c r="I149" s="13">
        <f>IFERROR((CHAIN_RAW!L149-CHAIN_RAW!K149)/MAX(1E-9, G149),"")</f>
        <v/>
      </c>
      <c r="J149" s="13">
        <f>IFERROR((CHAIN_RAW!S149-CHAIN_RAW!R149)/MAX(1E-9, H149),"")</f>
        <v/>
      </c>
      <c r="K149" s="13">
        <f>CHAIN_RAW!G149</f>
        <v/>
      </c>
      <c r="L149" s="13">
        <f>CHAIN_RAW!N149</f>
        <v/>
      </c>
      <c r="M149" s="13">
        <f>IFERROR(L149-K149,"")</f>
        <v/>
      </c>
      <c r="N149" s="13">
        <f>CHAIN_RAW!H149</f>
        <v/>
      </c>
      <c r="O149" s="13">
        <f>CHAIN_RAW!O149</f>
        <v/>
      </c>
      <c r="P149" s="13">
        <f>IFERROR(O149/N149,"")</f>
        <v/>
      </c>
      <c r="Q149" s="13">
        <f>CHAIN_RAW!I149</f>
        <v/>
      </c>
      <c r="R149" s="13">
        <f>CHAIN_RAW!P149</f>
        <v/>
      </c>
      <c r="S149" s="13">
        <f>IFERROR(R149/Q149,"")</f>
        <v/>
      </c>
      <c r="T149" s="13">
        <f>IFERROR((ABS(N149-O149)/MAX(1,(N149+O149)))*EXP(-ABS(E149-CONTROL!E5)/MAX(1,CONTROL!B8)),"")</f>
        <v/>
      </c>
      <c r="U149" s="13">
        <f>IFERROR(IF(O149&gt;N149,"SUPPORT (PE OI)","RESIST (CE OI)"),"")</f>
        <v/>
      </c>
      <c r="V149" s="13">
        <f>IFERROR(IF(Q149&gt;0,IF(R149&gt;0,"BOTH_ADD","CE_ADD_PE_REDUCE"),IF(R149&gt;0,"CE_REDUCE_PE_ADD","BOTH_REDUCE")),"")</f>
        <v/>
      </c>
      <c r="W149" s="13">
        <f>IFERROR( (P149-1)*0.5 + (M149)*0.1 - (I149+J149)*0.05 + T149*0.4 ,"")</f>
        <v/>
      </c>
      <c r="X149" s="13">
        <f>IFERROR(IF(ABS(F149)&lt;0.01,"ATM/NEAR",""),"")</f>
        <v/>
      </c>
    </row>
    <row r="150">
      <c r="A150" s="13">
        <f>CHAIN_RAW!A150</f>
        <v/>
      </c>
      <c r="B150" s="14">
        <f>CHAIN_RAW!B150</f>
        <v/>
      </c>
      <c r="C150" s="13">
        <f>CHAIN_RAW!C150</f>
        <v/>
      </c>
      <c r="D150" s="13">
        <f>CHAIN_RAW!D150</f>
        <v/>
      </c>
      <c r="E150" s="13">
        <f>CHAIN_RAW!E150</f>
        <v/>
      </c>
      <c r="F150" s="13">
        <f>IFERROR((E150-D150)/D150,"")</f>
        <v/>
      </c>
      <c r="G150" s="13">
        <f>IFERROR((CHAIN_RAW!K150+CHAIN_RAW!L150)/2,"")</f>
        <v/>
      </c>
      <c r="H150" s="13">
        <f>IFERROR((CHAIN_RAW!R150+CHAIN_RAW!S150)/2,"")</f>
        <v/>
      </c>
      <c r="I150" s="13">
        <f>IFERROR((CHAIN_RAW!L150-CHAIN_RAW!K150)/MAX(1E-9, G150),"")</f>
        <v/>
      </c>
      <c r="J150" s="13">
        <f>IFERROR((CHAIN_RAW!S150-CHAIN_RAW!R150)/MAX(1E-9, H150),"")</f>
        <v/>
      </c>
      <c r="K150" s="13">
        <f>CHAIN_RAW!G150</f>
        <v/>
      </c>
      <c r="L150" s="13">
        <f>CHAIN_RAW!N150</f>
        <v/>
      </c>
      <c r="M150" s="13">
        <f>IFERROR(L150-K150,"")</f>
        <v/>
      </c>
      <c r="N150" s="13">
        <f>CHAIN_RAW!H150</f>
        <v/>
      </c>
      <c r="O150" s="13">
        <f>CHAIN_RAW!O150</f>
        <v/>
      </c>
      <c r="P150" s="13">
        <f>IFERROR(O150/N150,"")</f>
        <v/>
      </c>
      <c r="Q150" s="13">
        <f>CHAIN_RAW!I150</f>
        <v/>
      </c>
      <c r="R150" s="13">
        <f>CHAIN_RAW!P150</f>
        <v/>
      </c>
      <c r="S150" s="13">
        <f>IFERROR(R150/Q150,"")</f>
        <v/>
      </c>
      <c r="T150" s="13">
        <f>IFERROR((ABS(N150-O150)/MAX(1,(N150+O150)))*EXP(-ABS(E150-CONTROL!E5)/MAX(1,CONTROL!B8)),"")</f>
        <v/>
      </c>
      <c r="U150" s="13">
        <f>IFERROR(IF(O150&gt;N150,"SUPPORT (PE OI)","RESIST (CE OI)"),"")</f>
        <v/>
      </c>
      <c r="V150" s="13">
        <f>IFERROR(IF(Q150&gt;0,IF(R150&gt;0,"BOTH_ADD","CE_ADD_PE_REDUCE"),IF(R150&gt;0,"CE_REDUCE_PE_ADD","BOTH_REDUCE")),"")</f>
        <v/>
      </c>
      <c r="W150" s="13">
        <f>IFERROR( (P150-1)*0.5 + (M150)*0.1 - (I150+J150)*0.05 + T150*0.4 ,"")</f>
        <v/>
      </c>
      <c r="X150" s="13">
        <f>IFERROR(IF(ABS(F150)&lt;0.01,"ATM/NEAR",""),"")</f>
        <v/>
      </c>
    </row>
    <row r="151">
      <c r="A151" s="13">
        <f>CHAIN_RAW!A151</f>
        <v/>
      </c>
      <c r="B151" s="14">
        <f>CHAIN_RAW!B151</f>
        <v/>
      </c>
      <c r="C151" s="13">
        <f>CHAIN_RAW!C151</f>
        <v/>
      </c>
      <c r="D151" s="13">
        <f>CHAIN_RAW!D151</f>
        <v/>
      </c>
      <c r="E151" s="13">
        <f>CHAIN_RAW!E151</f>
        <v/>
      </c>
      <c r="F151" s="13">
        <f>IFERROR((E151-D151)/D151,"")</f>
        <v/>
      </c>
      <c r="G151" s="13">
        <f>IFERROR((CHAIN_RAW!K151+CHAIN_RAW!L151)/2,"")</f>
        <v/>
      </c>
      <c r="H151" s="13">
        <f>IFERROR((CHAIN_RAW!R151+CHAIN_RAW!S151)/2,"")</f>
        <v/>
      </c>
      <c r="I151" s="13">
        <f>IFERROR((CHAIN_RAW!L151-CHAIN_RAW!K151)/MAX(1E-9, G151),"")</f>
        <v/>
      </c>
      <c r="J151" s="13">
        <f>IFERROR((CHAIN_RAW!S151-CHAIN_RAW!R151)/MAX(1E-9, H151),"")</f>
        <v/>
      </c>
      <c r="K151" s="13">
        <f>CHAIN_RAW!G151</f>
        <v/>
      </c>
      <c r="L151" s="13">
        <f>CHAIN_RAW!N151</f>
        <v/>
      </c>
      <c r="M151" s="13">
        <f>IFERROR(L151-K151,"")</f>
        <v/>
      </c>
      <c r="N151" s="13">
        <f>CHAIN_RAW!H151</f>
        <v/>
      </c>
      <c r="O151" s="13">
        <f>CHAIN_RAW!O151</f>
        <v/>
      </c>
      <c r="P151" s="13">
        <f>IFERROR(O151/N151,"")</f>
        <v/>
      </c>
      <c r="Q151" s="13">
        <f>CHAIN_RAW!I151</f>
        <v/>
      </c>
      <c r="R151" s="13">
        <f>CHAIN_RAW!P151</f>
        <v/>
      </c>
      <c r="S151" s="13">
        <f>IFERROR(R151/Q151,"")</f>
        <v/>
      </c>
      <c r="T151" s="13">
        <f>IFERROR((ABS(N151-O151)/MAX(1,(N151+O151)))*EXP(-ABS(E151-CONTROL!E5)/MAX(1,CONTROL!B8)),"")</f>
        <v/>
      </c>
      <c r="U151" s="13">
        <f>IFERROR(IF(O151&gt;N151,"SUPPORT (PE OI)","RESIST (CE OI)"),"")</f>
        <v/>
      </c>
      <c r="V151" s="13">
        <f>IFERROR(IF(Q151&gt;0,IF(R151&gt;0,"BOTH_ADD","CE_ADD_PE_REDUCE"),IF(R151&gt;0,"CE_REDUCE_PE_ADD","BOTH_REDUCE")),"")</f>
        <v/>
      </c>
      <c r="W151" s="13">
        <f>IFERROR( (P151-1)*0.5 + (M151)*0.1 - (I151+J151)*0.05 + T151*0.4 ,"")</f>
        <v/>
      </c>
      <c r="X151" s="13">
        <f>IFERROR(IF(ABS(F151)&lt;0.01,"ATM/NEAR",""),"")</f>
        <v/>
      </c>
    </row>
    <row r="152">
      <c r="A152" s="13">
        <f>CHAIN_RAW!A152</f>
        <v/>
      </c>
      <c r="B152" s="14">
        <f>CHAIN_RAW!B152</f>
        <v/>
      </c>
      <c r="C152" s="13">
        <f>CHAIN_RAW!C152</f>
        <v/>
      </c>
      <c r="D152" s="13">
        <f>CHAIN_RAW!D152</f>
        <v/>
      </c>
      <c r="E152" s="13">
        <f>CHAIN_RAW!E152</f>
        <v/>
      </c>
      <c r="F152" s="13">
        <f>IFERROR((E152-D152)/D152,"")</f>
        <v/>
      </c>
      <c r="G152" s="13">
        <f>IFERROR((CHAIN_RAW!K152+CHAIN_RAW!L152)/2,"")</f>
        <v/>
      </c>
      <c r="H152" s="13">
        <f>IFERROR((CHAIN_RAW!R152+CHAIN_RAW!S152)/2,"")</f>
        <v/>
      </c>
      <c r="I152" s="13">
        <f>IFERROR((CHAIN_RAW!L152-CHAIN_RAW!K152)/MAX(1E-9, G152),"")</f>
        <v/>
      </c>
      <c r="J152" s="13">
        <f>IFERROR((CHAIN_RAW!S152-CHAIN_RAW!R152)/MAX(1E-9, H152),"")</f>
        <v/>
      </c>
      <c r="K152" s="13">
        <f>CHAIN_RAW!G152</f>
        <v/>
      </c>
      <c r="L152" s="13">
        <f>CHAIN_RAW!N152</f>
        <v/>
      </c>
      <c r="M152" s="13">
        <f>IFERROR(L152-K152,"")</f>
        <v/>
      </c>
      <c r="N152" s="13">
        <f>CHAIN_RAW!H152</f>
        <v/>
      </c>
      <c r="O152" s="13">
        <f>CHAIN_RAW!O152</f>
        <v/>
      </c>
      <c r="P152" s="13">
        <f>IFERROR(O152/N152,"")</f>
        <v/>
      </c>
      <c r="Q152" s="13">
        <f>CHAIN_RAW!I152</f>
        <v/>
      </c>
      <c r="R152" s="13">
        <f>CHAIN_RAW!P152</f>
        <v/>
      </c>
      <c r="S152" s="13">
        <f>IFERROR(R152/Q152,"")</f>
        <v/>
      </c>
      <c r="T152" s="13">
        <f>IFERROR((ABS(N152-O152)/MAX(1,(N152+O152)))*EXP(-ABS(E152-CONTROL!E5)/MAX(1,CONTROL!B8)),"")</f>
        <v/>
      </c>
      <c r="U152" s="13">
        <f>IFERROR(IF(O152&gt;N152,"SUPPORT (PE OI)","RESIST (CE OI)"),"")</f>
        <v/>
      </c>
      <c r="V152" s="13">
        <f>IFERROR(IF(Q152&gt;0,IF(R152&gt;0,"BOTH_ADD","CE_ADD_PE_REDUCE"),IF(R152&gt;0,"CE_REDUCE_PE_ADD","BOTH_REDUCE")),"")</f>
        <v/>
      </c>
      <c r="W152" s="13">
        <f>IFERROR( (P152-1)*0.5 + (M152)*0.1 - (I152+J152)*0.05 + T152*0.4 ,"")</f>
        <v/>
      </c>
      <c r="X152" s="13">
        <f>IFERROR(IF(ABS(F152)&lt;0.01,"ATM/NEAR",""),"")</f>
        <v/>
      </c>
    </row>
    <row r="153">
      <c r="A153" s="13">
        <f>CHAIN_RAW!A153</f>
        <v/>
      </c>
      <c r="B153" s="14">
        <f>CHAIN_RAW!B153</f>
        <v/>
      </c>
      <c r="C153" s="13">
        <f>CHAIN_RAW!C153</f>
        <v/>
      </c>
      <c r="D153" s="13">
        <f>CHAIN_RAW!D153</f>
        <v/>
      </c>
      <c r="E153" s="13">
        <f>CHAIN_RAW!E153</f>
        <v/>
      </c>
      <c r="F153" s="13">
        <f>IFERROR((E153-D153)/D153,"")</f>
        <v/>
      </c>
      <c r="G153" s="13">
        <f>IFERROR((CHAIN_RAW!K153+CHAIN_RAW!L153)/2,"")</f>
        <v/>
      </c>
      <c r="H153" s="13">
        <f>IFERROR((CHAIN_RAW!R153+CHAIN_RAW!S153)/2,"")</f>
        <v/>
      </c>
      <c r="I153" s="13">
        <f>IFERROR((CHAIN_RAW!L153-CHAIN_RAW!K153)/MAX(1E-9, G153),"")</f>
        <v/>
      </c>
      <c r="J153" s="13">
        <f>IFERROR((CHAIN_RAW!S153-CHAIN_RAW!R153)/MAX(1E-9, H153),"")</f>
        <v/>
      </c>
      <c r="K153" s="13">
        <f>CHAIN_RAW!G153</f>
        <v/>
      </c>
      <c r="L153" s="13">
        <f>CHAIN_RAW!N153</f>
        <v/>
      </c>
      <c r="M153" s="13">
        <f>IFERROR(L153-K153,"")</f>
        <v/>
      </c>
      <c r="N153" s="13">
        <f>CHAIN_RAW!H153</f>
        <v/>
      </c>
      <c r="O153" s="13">
        <f>CHAIN_RAW!O153</f>
        <v/>
      </c>
      <c r="P153" s="13">
        <f>IFERROR(O153/N153,"")</f>
        <v/>
      </c>
      <c r="Q153" s="13">
        <f>CHAIN_RAW!I153</f>
        <v/>
      </c>
      <c r="R153" s="13">
        <f>CHAIN_RAW!P153</f>
        <v/>
      </c>
      <c r="S153" s="13">
        <f>IFERROR(R153/Q153,"")</f>
        <v/>
      </c>
      <c r="T153" s="13">
        <f>IFERROR((ABS(N153-O153)/MAX(1,(N153+O153)))*EXP(-ABS(E153-CONTROL!E5)/MAX(1,CONTROL!B8)),"")</f>
        <v/>
      </c>
      <c r="U153" s="13">
        <f>IFERROR(IF(O153&gt;N153,"SUPPORT (PE OI)","RESIST (CE OI)"),"")</f>
        <v/>
      </c>
      <c r="V153" s="13">
        <f>IFERROR(IF(Q153&gt;0,IF(R153&gt;0,"BOTH_ADD","CE_ADD_PE_REDUCE"),IF(R153&gt;0,"CE_REDUCE_PE_ADD","BOTH_REDUCE")),"")</f>
        <v/>
      </c>
      <c r="W153" s="13">
        <f>IFERROR( (P153-1)*0.5 + (M153)*0.1 - (I153+J153)*0.05 + T153*0.4 ,"")</f>
        <v/>
      </c>
      <c r="X153" s="13">
        <f>IFERROR(IF(ABS(F153)&lt;0.01,"ATM/NEAR",""),"")</f>
        <v/>
      </c>
    </row>
    <row r="154">
      <c r="A154" s="13">
        <f>CHAIN_RAW!A154</f>
        <v/>
      </c>
      <c r="B154" s="14">
        <f>CHAIN_RAW!B154</f>
        <v/>
      </c>
      <c r="C154" s="13">
        <f>CHAIN_RAW!C154</f>
        <v/>
      </c>
      <c r="D154" s="13">
        <f>CHAIN_RAW!D154</f>
        <v/>
      </c>
      <c r="E154" s="13">
        <f>CHAIN_RAW!E154</f>
        <v/>
      </c>
      <c r="F154" s="13">
        <f>IFERROR((E154-D154)/D154,"")</f>
        <v/>
      </c>
      <c r="G154" s="13">
        <f>IFERROR((CHAIN_RAW!K154+CHAIN_RAW!L154)/2,"")</f>
        <v/>
      </c>
      <c r="H154" s="13">
        <f>IFERROR((CHAIN_RAW!R154+CHAIN_RAW!S154)/2,"")</f>
        <v/>
      </c>
      <c r="I154" s="13">
        <f>IFERROR((CHAIN_RAW!L154-CHAIN_RAW!K154)/MAX(1E-9, G154),"")</f>
        <v/>
      </c>
      <c r="J154" s="13">
        <f>IFERROR((CHAIN_RAW!S154-CHAIN_RAW!R154)/MAX(1E-9, H154),"")</f>
        <v/>
      </c>
      <c r="K154" s="13">
        <f>CHAIN_RAW!G154</f>
        <v/>
      </c>
      <c r="L154" s="13">
        <f>CHAIN_RAW!N154</f>
        <v/>
      </c>
      <c r="M154" s="13">
        <f>IFERROR(L154-K154,"")</f>
        <v/>
      </c>
      <c r="N154" s="13">
        <f>CHAIN_RAW!H154</f>
        <v/>
      </c>
      <c r="O154" s="13">
        <f>CHAIN_RAW!O154</f>
        <v/>
      </c>
      <c r="P154" s="13">
        <f>IFERROR(O154/N154,"")</f>
        <v/>
      </c>
      <c r="Q154" s="13">
        <f>CHAIN_RAW!I154</f>
        <v/>
      </c>
      <c r="R154" s="13">
        <f>CHAIN_RAW!P154</f>
        <v/>
      </c>
      <c r="S154" s="13">
        <f>IFERROR(R154/Q154,"")</f>
        <v/>
      </c>
      <c r="T154" s="13">
        <f>IFERROR((ABS(N154-O154)/MAX(1,(N154+O154)))*EXP(-ABS(E154-CONTROL!E5)/MAX(1,CONTROL!B8)),"")</f>
        <v/>
      </c>
      <c r="U154" s="13">
        <f>IFERROR(IF(O154&gt;N154,"SUPPORT (PE OI)","RESIST (CE OI)"),"")</f>
        <v/>
      </c>
      <c r="V154" s="13">
        <f>IFERROR(IF(Q154&gt;0,IF(R154&gt;0,"BOTH_ADD","CE_ADD_PE_REDUCE"),IF(R154&gt;0,"CE_REDUCE_PE_ADD","BOTH_REDUCE")),"")</f>
        <v/>
      </c>
      <c r="W154" s="13">
        <f>IFERROR( (P154-1)*0.5 + (M154)*0.1 - (I154+J154)*0.05 + T154*0.4 ,"")</f>
        <v/>
      </c>
      <c r="X154" s="13">
        <f>IFERROR(IF(ABS(F154)&lt;0.01,"ATM/NEAR",""),"")</f>
        <v/>
      </c>
    </row>
    <row r="155">
      <c r="A155" s="13">
        <f>CHAIN_RAW!A155</f>
        <v/>
      </c>
      <c r="B155" s="14">
        <f>CHAIN_RAW!B155</f>
        <v/>
      </c>
      <c r="C155" s="13">
        <f>CHAIN_RAW!C155</f>
        <v/>
      </c>
      <c r="D155" s="13">
        <f>CHAIN_RAW!D155</f>
        <v/>
      </c>
      <c r="E155" s="13">
        <f>CHAIN_RAW!E155</f>
        <v/>
      </c>
      <c r="F155" s="13">
        <f>IFERROR((E155-D155)/D155,"")</f>
        <v/>
      </c>
      <c r="G155" s="13">
        <f>IFERROR((CHAIN_RAW!K155+CHAIN_RAW!L155)/2,"")</f>
        <v/>
      </c>
      <c r="H155" s="13">
        <f>IFERROR((CHAIN_RAW!R155+CHAIN_RAW!S155)/2,"")</f>
        <v/>
      </c>
      <c r="I155" s="13">
        <f>IFERROR((CHAIN_RAW!L155-CHAIN_RAW!K155)/MAX(1E-9, G155),"")</f>
        <v/>
      </c>
      <c r="J155" s="13">
        <f>IFERROR((CHAIN_RAW!S155-CHAIN_RAW!R155)/MAX(1E-9, H155),"")</f>
        <v/>
      </c>
      <c r="K155" s="13">
        <f>CHAIN_RAW!G155</f>
        <v/>
      </c>
      <c r="L155" s="13">
        <f>CHAIN_RAW!N155</f>
        <v/>
      </c>
      <c r="M155" s="13">
        <f>IFERROR(L155-K155,"")</f>
        <v/>
      </c>
      <c r="N155" s="13">
        <f>CHAIN_RAW!H155</f>
        <v/>
      </c>
      <c r="O155" s="13">
        <f>CHAIN_RAW!O155</f>
        <v/>
      </c>
      <c r="P155" s="13">
        <f>IFERROR(O155/N155,"")</f>
        <v/>
      </c>
      <c r="Q155" s="13">
        <f>CHAIN_RAW!I155</f>
        <v/>
      </c>
      <c r="R155" s="13">
        <f>CHAIN_RAW!P155</f>
        <v/>
      </c>
      <c r="S155" s="13">
        <f>IFERROR(R155/Q155,"")</f>
        <v/>
      </c>
      <c r="T155" s="13">
        <f>IFERROR((ABS(N155-O155)/MAX(1,(N155+O155)))*EXP(-ABS(E155-CONTROL!E5)/MAX(1,CONTROL!B8)),"")</f>
        <v/>
      </c>
      <c r="U155" s="13">
        <f>IFERROR(IF(O155&gt;N155,"SUPPORT (PE OI)","RESIST (CE OI)"),"")</f>
        <v/>
      </c>
      <c r="V155" s="13">
        <f>IFERROR(IF(Q155&gt;0,IF(R155&gt;0,"BOTH_ADD","CE_ADD_PE_REDUCE"),IF(R155&gt;0,"CE_REDUCE_PE_ADD","BOTH_REDUCE")),"")</f>
        <v/>
      </c>
      <c r="W155" s="13">
        <f>IFERROR( (P155-1)*0.5 + (M155)*0.1 - (I155+J155)*0.05 + T155*0.4 ,"")</f>
        <v/>
      </c>
      <c r="X155" s="13">
        <f>IFERROR(IF(ABS(F155)&lt;0.01,"ATM/NEAR",""),"")</f>
        <v/>
      </c>
    </row>
    <row r="156">
      <c r="A156" s="13">
        <f>CHAIN_RAW!A156</f>
        <v/>
      </c>
      <c r="B156" s="14">
        <f>CHAIN_RAW!B156</f>
        <v/>
      </c>
      <c r="C156" s="13">
        <f>CHAIN_RAW!C156</f>
        <v/>
      </c>
      <c r="D156" s="13">
        <f>CHAIN_RAW!D156</f>
        <v/>
      </c>
      <c r="E156" s="13">
        <f>CHAIN_RAW!E156</f>
        <v/>
      </c>
      <c r="F156" s="13">
        <f>IFERROR((E156-D156)/D156,"")</f>
        <v/>
      </c>
      <c r="G156" s="13">
        <f>IFERROR((CHAIN_RAW!K156+CHAIN_RAW!L156)/2,"")</f>
        <v/>
      </c>
      <c r="H156" s="13">
        <f>IFERROR((CHAIN_RAW!R156+CHAIN_RAW!S156)/2,"")</f>
        <v/>
      </c>
      <c r="I156" s="13">
        <f>IFERROR((CHAIN_RAW!L156-CHAIN_RAW!K156)/MAX(1E-9, G156),"")</f>
        <v/>
      </c>
      <c r="J156" s="13">
        <f>IFERROR((CHAIN_RAW!S156-CHAIN_RAW!R156)/MAX(1E-9, H156),"")</f>
        <v/>
      </c>
      <c r="K156" s="13">
        <f>CHAIN_RAW!G156</f>
        <v/>
      </c>
      <c r="L156" s="13">
        <f>CHAIN_RAW!N156</f>
        <v/>
      </c>
      <c r="M156" s="13">
        <f>IFERROR(L156-K156,"")</f>
        <v/>
      </c>
      <c r="N156" s="13">
        <f>CHAIN_RAW!H156</f>
        <v/>
      </c>
      <c r="O156" s="13">
        <f>CHAIN_RAW!O156</f>
        <v/>
      </c>
      <c r="P156" s="13">
        <f>IFERROR(O156/N156,"")</f>
        <v/>
      </c>
      <c r="Q156" s="13">
        <f>CHAIN_RAW!I156</f>
        <v/>
      </c>
      <c r="R156" s="13">
        <f>CHAIN_RAW!P156</f>
        <v/>
      </c>
      <c r="S156" s="13">
        <f>IFERROR(R156/Q156,"")</f>
        <v/>
      </c>
      <c r="T156" s="13">
        <f>IFERROR((ABS(N156-O156)/MAX(1,(N156+O156)))*EXP(-ABS(E156-CONTROL!E5)/MAX(1,CONTROL!B8)),"")</f>
        <v/>
      </c>
      <c r="U156" s="13">
        <f>IFERROR(IF(O156&gt;N156,"SUPPORT (PE OI)","RESIST (CE OI)"),"")</f>
        <v/>
      </c>
      <c r="V156" s="13">
        <f>IFERROR(IF(Q156&gt;0,IF(R156&gt;0,"BOTH_ADD","CE_ADD_PE_REDUCE"),IF(R156&gt;0,"CE_REDUCE_PE_ADD","BOTH_REDUCE")),"")</f>
        <v/>
      </c>
      <c r="W156" s="13">
        <f>IFERROR( (P156-1)*0.5 + (M156)*0.1 - (I156+J156)*0.05 + T156*0.4 ,"")</f>
        <v/>
      </c>
      <c r="X156" s="13">
        <f>IFERROR(IF(ABS(F156)&lt;0.01,"ATM/NEAR",""),"")</f>
        <v/>
      </c>
    </row>
    <row r="157">
      <c r="A157" s="13">
        <f>CHAIN_RAW!A157</f>
        <v/>
      </c>
      <c r="B157" s="14">
        <f>CHAIN_RAW!B157</f>
        <v/>
      </c>
      <c r="C157" s="13">
        <f>CHAIN_RAW!C157</f>
        <v/>
      </c>
      <c r="D157" s="13">
        <f>CHAIN_RAW!D157</f>
        <v/>
      </c>
      <c r="E157" s="13">
        <f>CHAIN_RAW!E157</f>
        <v/>
      </c>
      <c r="F157" s="13">
        <f>IFERROR((E157-D157)/D157,"")</f>
        <v/>
      </c>
      <c r="G157" s="13">
        <f>IFERROR((CHAIN_RAW!K157+CHAIN_RAW!L157)/2,"")</f>
        <v/>
      </c>
      <c r="H157" s="13">
        <f>IFERROR((CHAIN_RAW!R157+CHAIN_RAW!S157)/2,"")</f>
        <v/>
      </c>
      <c r="I157" s="13">
        <f>IFERROR((CHAIN_RAW!L157-CHAIN_RAW!K157)/MAX(1E-9, G157),"")</f>
        <v/>
      </c>
      <c r="J157" s="13">
        <f>IFERROR((CHAIN_RAW!S157-CHAIN_RAW!R157)/MAX(1E-9, H157),"")</f>
        <v/>
      </c>
      <c r="K157" s="13">
        <f>CHAIN_RAW!G157</f>
        <v/>
      </c>
      <c r="L157" s="13">
        <f>CHAIN_RAW!N157</f>
        <v/>
      </c>
      <c r="M157" s="13">
        <f>IFERROR(L157-K157,"")</f>
        <v/>
      </c>
      <c r="N157" s="13">
        <f>CHAIN_RAW!H157</f>
        <v/>
      </c>
      <c r="O157" s="13">
        <f>CHAIN_RAW!O157</f>
        <v/>
      </c>
      <c r="P157" s="13">
        <f>IFERROR(O157/N157,"")</f>
        <v/>
      </c>
      <c r="Q157" s="13">
        <f>CHAIN_RAW!I157</f>
        <v/>
      </c>
      <c r="R157" s="13">
        <f>CHAIN_RAW!P157</f>
        <v/>
      </c>
      <c r="S157" s="13">
        <f>IFERROR(R157/Q157,"")</f>
        <v/>
      </c>
      <c r="T157" s="13">
        <f>IFERROR((ABS(N157-O157)/MAX(1,(N157+O157)))*EXP(-ABS(E157-CONTROL!E5)/MAX(1,CONTROL!B8)),"")</f>
        <v/>
      </c>
      <c r="U157" s="13">
        <f>IFERROR(IF(O157&gt;N157,"SUPPORT (PE OI)","RESIST (CE OI)"),"")</f>
        <v/>
      </c>
      <c r="V157" s="13">
        <f>IFERROR(IF(Q157&gt;0,IF(R157&gt;0,"BOTH_ADD","CE_ADD_PE_REDUCE"),IF(R157&gt;0,"CE_REDUCE_PE_ADD","BOTH_REDUCE")),"")</f>
        <v/>
      </c>
      <c r="W157" s="13">
        <f>IFERROR( (P157-1)*0.5 + (M157)*0.1 - (I157+J157)*0.05 + T157*0.4 ,"")</f>
        <v/>
      </c>
      <c r="X157" s="13">
        <f>IFERROR(IF(ABS(F157)&lt;0.01,"ATM/NEAR",""),"")</f>
        <v/>
      </c>
    </row>
    <row r="158">
      <c r="A158" s="13">
        <f>CHAIN_RAW!A158</f>
        <v/>
      </c>
      <c r="B158" s="14">
        <f>CHAIN_RAW!B158</f>
        <v/>
      </c>
      <c r="C158" s="13">
        <f>CHAIN_RAW!C158</f>
        <v/>
      </c>
      <c r="D158" s="13">
        <f>CHAIN_RAW!D158</f>
        <v/>
      </c>
      <c r="E158" s="13">
        <f>CHAIN_RAW!E158</f>
        <v/>
      </c>
      <c r="F158" s="13">
        <f>IFERROR((E158-D158)/D158,"")</f>
        <v/>
      </c>
      <c r="G158" s="13">
        <f>IFERROR((CHAIN_RAW!K158+CHAIN_RAW!L158)/2,"")</f>
        <v/>
      </c>
      <c r="H158" s="13">
        <f>IFERROR((CHAIN_RAW!R158+CHAIN_RAW!S158)/2,"")</f>
        <v/>
      </c>
      <c r="I158" s="13">
        <f>IFERROR((CHAIN_RAW!L158-CHAIN_RAW!K158)/MAX(1E-9, G158),"")</f>
        <v/>
      </c>
      <c r="J158" s="13">
        <f>IFERROR((CHAIN_RAW!S158-CHAIN_RAW!R158)/MAX(1E-9, H158),"")</f>
        <v/>
      </c>
      <c r="K158" s="13">
        <f>CHAIN_RAW!G158</f>
        <v/>
      </c>
      <c r="L158" s="13">
        <f>CHAIN_RAW!N158</f>
        <v/>
      </c>
      <c r="M158" s="13">
        <f>IFERROR(L158-K158,"")</f>
        <v/>
      </c>
      <c r="N158" s="13">
        <f>CHAIN_RAW!H158</f>
        <v/>
      </c>
      <c r="O158" s="13">
        <f>CHAIN_RAW!O158</f>
        <v/>
      </c>
      <c r="P158" s="13">
        <f>IFERROR(O158/N158,"")</f>
        <v/>
      </c>
      <c r="Q158" s="13">
        <f>CHAIN_RAW!I158</f>
        <v/>
      </c>
      <c r="R158" s="13">
        <f>CHAIN_RAW!P158</f>
        <v/>
      </c>
      <c r="S158" s="13">
        <f>IFERROR(R158/Q158,"")</f>
        <v/>
      </c>
      <c r="T158" s="13">
        <f>IFERROR((ABS(N158-O158)/MAX(1,(N158+O158)))*EXP(-ABS(E158-CONTROL!E5)/MAX(1,CONTROL!B8)),"")</f>
        <v/>
      </c>
      <c r="U158" s="13">
        <f>IFERROR(IF(O158&gt;N158,"SUPPORT (PE OI)","RESIST (CE OI)"),"")</f>
        <v/>
      </c>
      <c r="V158" s="13">
        <f>IFERROR(IF(Q158&gt;0,IF(R158&gt;0,"BOTH_ADD","CE_ADD_PE_REDUCE"),IF(R158&gt;0,"CE_REDUCE_PE_ADD","BOTH_REDUCE")),"")</f>
        <v/>
      </c>
      <c r="W158" s="13">
        <f>IFERROR( (P158-1)*0.5 + (M158)*0.1 - (I158+J158)*0.05 + T158*0.4 ,"")</f>
        <v/>
      </c>
      <c r="X158" s="13">
        <f>IFERROR(IF(ABS(F158)&lt;0.01,"ATM/NEAR",""),"")</f>
        <v/>
      </c>
    </row>
    <row r="159">
      <c r="A159" s="13">
        <f>CHAIN_RAW!A159</f>
        <v/>
      </c>
      <c r="B159" s="14">
        <f>CHAIN_RAW!B159</f>
        <v/>
      </c>
      <c r="C159" s="13">
        <f>CHAIN_RAW!C159</f>
        <v/>
      </c>
      <c r="D159" s="13">
        <f>CHAIN_RAW!D159</f>
        <v/>
      </c>
      <c r="E159" s="13">
        <f>CHAIN_RAW!E159</f>
        <v/>
      </c>
      <c r="F159" s="13">
        <f>IFERROR((E159-D159)/D159,"")</f>
        <v/>
      </c>
      <c r="G159" s="13">
        <f>IFERROR((CHAIN_RAW!K159+CHAIN_RAW!L159)/2,"")</f>
        <v/>
      </c>
      <c r="H159" s="13">
        <f>IFERROR((CHAIN_RAW!R159+CHAIN_RAW!S159)/2,"")</f>
        <v/>
      </c>
      <c r="I159" s="13">
        <f>IFERROR((CHAIN_RAW!L159-CHAIN_RAW!K159)/MAX(1E-9, G159),"")</f>
        <v/>
      </c>
      <c r="J159" s="13">
        <f>IFERROR((CHAIN_RAW!S159-CHAIN_RAW!R159)/MAX(1E-9, H159),"")</f>
        <v/>
      </c>
      <c r="K159" s="13">
        <f>CHAIN_RAW!G159</f>
        <v/>
      </c>
      <c r="L159" s="13">
        <f>CHAIN_RAW!N159</f>
        <v/>
      </c>
      <c r="M159" s="13">
        <f>IFERROR(L159-K159,"")</f>
        <v/>
      </c>
      <c r="N159" s="13">
        <f>CHAIN_RAW!H159</f>
        <v/>
      </c>
      <c r="O159" s="13">
        <f>CHAIN_RAW!O159</f>
        <v/>
      </c>
      <c r="P159" s="13">
        <f>IFERROR(O159/N159,"")</f>
        <v/>
      </c>
      <c r="Q159" s="13">
        <f>CHAIN_RAW!I159</f>
        <v/>
      </c>
      <c r="R159" s="13">
        <f>CHAIN_RAW!P159</f>
        <v/>
      </c>
      <c r="S159" s="13">
        <f>IFERROR(R159/Q159,"")</f>
        <v/>
      </c>
      <c r="T159" s="13">
        <f>IFERROR((ABS(N159-O159)/MAX(1,(N159+O159)))*EXP(-ABS(E159-CONTROL!E5)/MAX(1,CONTROL!B8)),"")</f>
        <v/>
      </c>
      <c r="U159" s="13">
        <f>IFERROR(IF(O159&gt;N159,"SUPPORT (PE OI)","RESIST (CE OI)"),"")</f>
        <v/>
      </c>
      <c r="V159" s="13">
        <f>IFERROR(IF(Q159&gt;0,IF(R159&gt;0,"BOTH_ADD","CE_ADD_PE_REDUCE"),IF(R159&gt;0,"CE_REDUCE_PE_ADD","BOTH_REDUCE")),"")</f>
        <v/>
      </c>
      <c r="W159" s="13">
        <f>IFERROR( (P159-1)*0.5 + (M159)*0.1 - (I159+J159)*0.05 + T159*0.4 ,"")</f>
        <v/>
      </c>
      <c r="X159" s="13">
        <f>IFERROR(IF(ABS(F159)&lt;0.01,"ATM/NEAR",""),"")</f>
        <v/>
      </c>
    </row>
    <row r="160">
      <c r="A160" s="13">
        <f>CHAIN_RAW!A160</f>
        <v/>
      </c>
      <c r="B160" s="14">
        <f>CHAIN_RAW!B160</f>
        <v/>
      </c>
      <c r="C160" s="13">
        <f>CHAIN_RAW!C160</f>
        <v/>
      </c>
      <c r="D160" s="13">
        <f>CHAIN_RAW!D160</f>
        <v/>
      </c>
      <c r="E160" s="13">
        <f>CHAIN_RAW!E160</f>
        <v/>
      </c>
      <c r="F160" s="13">
        <f>IFERROR((E160-D160)/D160,"")</f>
        <v/>
      </c>
      <c r="G160" s="13">
        <f>IFERROR((CHAIN_RAW!K160+CHAIN_RAW!L160)/2,"")</f>
        <v/>
      </c>
      <c r="H160" s="13">
        <f>IFERROR((CHAIN_RAW!R160+CHAIN_RAW!S160)/2,"")</f>
        <v/>
      </c>
      <c r="I160" s="13">
        <f>IFERROR((CHAIN_RAW!L160-CHAIN_RAW!K160)/MAX(1E-9, G160),"")</f>
        <v/>
      </c>
      <c r="J160" s="13">
        <f>IFERROR((CHAIN_RAW!S160-CHAIN_RAW!R160)/MAX(1E-9, H160),"")</f>
        <v/>
      </c>
      <c r="K160" s="13">
        <f>CHAIN_RAW!G160</f>
        <v/>
      </c>
      <c r="L160" s="13">
        <f>CHAIN_RAW!N160</f>
        <v/>
      </c>
      <c r="M160" s="13">
        <f>IFERROR(L160-K160,"")</f>
        <v/>
      </c>
      <c r="N160" s="13">
        <f>CHAIN_RAW!H160</f>
        <v/>
      </c>
      <c r="O160" s="13">
        <f>CHAIN_RAW!O160</f>
        <v/>
      </c>
      <c r="P160" s="13">
        <f>IFERROR(O160/N160,"")</f>
        <v/>
      </c>
      <c r="Q160" s="13">
        <f>CHAIN_RAW!I160</f>
        <v/>
      </c>
      <c r="R160" s="13">
        <f>CHAIN_RAW!P160</f>
        <v/>
      </c>
      <c r="S160" s="13">
        <f>IFERROR(R160/Q160,"")</f>
        <v/>
      </c>
      <c r="T160" s="13">
        <f>IFERROR((ABS(N160-O160)/MAX(1,(N160+O160)))*EXP(-ABS(E160-CONTROL!E5)/MAX(1,CONTROL!B8)),"")</f>
        <v/>
      </c>
      <c r="U160" s="13">
        <f>IFERROR(IF(O160&gt;N160,"SUPPORT (PE OI)","RESIST (CE OI)"),"")</f>
        <v/>
      </c>
      <c r="V160" s="13">
        <f>IFERROR(IF(Q160&gt;0,IF(R160&gt;0,"BOTH_ADD","CE_ADD_PE_REDUCE"),IF(R160&gt;0,"CE_REDUCE_PE_ADD","BOTH_REDUCE")),"")</f>
        <v/>
      </c>
      <c r="W160" s="13">
        <f>IFERROR( (P160-1)*0.5 + (M160)*0.1 - (I160+J160)*0.05 + T160*0.4 ,"")</f>
        <v/>
      </c>
      <c r="X160" s="13">
        <f>IFERROR(IF(ABS(F160)&lt;0.01,"ATM/NEAR",""),"")</f>
        <v/>
      </c>
    </row>
    <row r="161">
      <c r="A161" s="13">
        <f>CHAIN_RAW!A161</f>
        <v/>
      </c>
      <c r="B161" s="14">
        <f>CHAIN_RAW!B161</f>
        <v/>
      </c>
      <c r="C161" s="13">
        <f>CHAIN_RAW!C161</f>
        <v/>
      </c>
      <c r="D161" s="13">
        <f>CHAIN_RAW!D161</f>
        <v/>
      </c>
      <c r="E161" s="13">
        <f>CHAIN_RAW!E161</f>
        <v/>
      </c>
      <c r="F161" s="13">
        <f>IFERROR((E161-D161)/D161,"")</f>
        <v/>
      </c>
      <c r="G161" s="13">
        <f>IFERROR((CHAIN_RAW!K161+CHAIN_RAW!L161)/2,"")</f>
        <v/>
      </c>
      <c r="H161" s="13">
        <f>IFERROR((CHAIN_RAW!R161+CHAIN_RAW!S161)/2,"")</f>
        <v/>
      </c>
      <c r="I161" s="13">
        <f>IFERROR((CHAIN_RAW!L161-CHAIN_RAW!K161)/MAX(1E-9, G161),"")</f>
        <v/>
      </c>
      <c r="J161" s="13">
        <f>IFERROR((CHAIN_RAW!S161-CHAIN_RAW!R161)/MAX(1E-9, H161),"")</f>
        <v/>
      </c>
      <c r="K161" s="13">
        <f>CHAIN_RAW!G161</f>
        <v/>
      </c>
      <c r="L161" s="13">
        <f>CHAIN_RAW!N161</f>
        <v/>
      </c>
      <c r="M161" s="13">
        <f>IFERROR(L161-K161,"")</f>
        <v/>
      </c>
      <c r="N161" s="13">
        <f>CHAIN_RAW!H161</f>
        <v/>
      </c>
      <c r="O161" s="13">
        <f>CHAIN_RAW!O161</f>
        <v/>
      </c>
      <c r="P161" s="13">
        <f>IFERROR(O161/N161,"")</f>
        <v/>
      </c>
      <c r="Q161" s="13">
        <f>CHAIN_RAW!I161</f>
        <v/>
      </c>
      <c r="R161" s="13">
        <f>CHAIN_RAW!P161</f>
        <v/>
      </c>
      <c r="S161" s="13">
        <f>IFERROR(R161/Q161,"")</f>
        <v/>
      </c>
      <c r="T161" s="13">
        <f>IFERROR((ABS(N161-O161)/MAX(1,(N161+O161)))*EXP(-ABS(E161-CONTROL!E5)/MAX(1,CONTROL!B8)),"")</f>
        <v/>
      </c>
      <c r="U161" s="13">
        <f>IFERROR(IF(O161&gt;N161,"SUPPORT (PE OI)","RESIST (CE OI)"),"")</f>
        <v/>
      </c>
      <c r="V161" s="13">
        <f>IFERROR(IF(Q161&gt;0,IF(R161&gt;0,"BOTH_ADD","CE_ADD_PE_REDUCE"),IF(R161&gt;0,"CE_REDUCE_PE_ADD","BOTH_REDUCE")),"")</f>
        <v/>
      </c>
      <c r="W161" s="13">
        <f>IFERROR( (P161-1)*0.5 + (M161)*0.1 - (I161+J161)*0.05 + T161*0.4 ,"")</f>
        <v/>
      </c>
      <c r="X161" s="13">
        <f>IFERROR(IF(ABS(F161)&lt;0.01,"ATM/NEAR",""),"")</f>
        <v/>
      </c>
    </row>
    <row r="162">
      <c r="A162" s="13">
        <f>CHAIN_RAW!A162</f>
        <v/>
      </c>
      <c r="B162" s="14">
        <f>CHAIN_RAW!B162</f>
        <v/>
      </c>
      <c r="C162" s="13">
        <f>CHAIN_RAW!C162</f>
        <v/>
      </c>
      <c r="D162" s="13">
        <f>CHAIN_RAW!D162</f>
        <v/>
      </c>
      <c r="E162" s="13">
        <f>CHAIN_RAW!E162</f>
        <v/>
      </c>
      <c r="F162" s="13">
        <f>IFERROR((E162-D162)/D162,"")</f>
        <v/>
      </c>
      <c r="G162" s="13">
        <f>IFERROR((CHAIN_RAW!K162+CHAIN_RAW!L162)/2,"")</f>
        <v/>
      </c>
      <c r="H162" s="13">
        <f>IFERROR((CHAIN_RAW!R162+CHAIN_RAW!S162)/2,"")</f>
        <v/>
      </c>
      <c r="I162" s="13">
        <f>IFERROR((CHAIN_RAW!L162-CHAIN_RAW!K162)/MAX(1E-9, G162),"")</f>
        <v/>
      </c>
      <c r="J162" s="13">
        <f>IFERROR((CHAIN_RAW!S162-CHAIN_RAW!R162)/MAX(1E-9, H162),"")</f>
        <v/>
      </c>
      <c r="K162" s="13">
        <f>CHAIN_RAW!G162</f>
        <v/>
      </c>
      <c r="L162" s="13">
        <f>CHAIN_RAW!N162</f>
        <v/>
      </c>
      <c r="M162" s="13">
        <f>IFERROR(L162-K162,"")</f>
        <v/>
      </c>
      <c r="N162" s="13">
        <f>CHAIN_RAW!H162</f>
        <v/>
      </c>
      <c r="O162" s="13">
        <f>CHAIN_RAW!O162</f>
        <v/>
      </c>
      <c r="P162" s="13">
        <f>IFERROR(O162/N162,"")</f>
        <v/>
      </c>
      <c r="Q162" s="13">
        <f>CHAIN_RAW!I162</f>
        <v/>
      </c>
      <c r="R162" s="13">
        <f>CHAIN_RAW!P162</f>
        <v/>
      </c>
      <c r="S162" s="13">
        <f>IFERROR(R162/Q162,"")</f>
        <v/>
      </c>
      <c r="T162" s="13">
        <f>IFERROR((ABS(N162-O162)/MAX(1,(N162+O162)))*EXP(-ABS(E162-CONTROL!E5)/MAX(1,CONTROL!B8)),"")</f>
        <v/>
      </c>
      <c r="U162" s="13">
        <f>IFERROR(IF(O162&gt;N162,"SUPPORT (PE OI)","RESIST (CE OI)"),"")</f>
        <v/>
      </c>
      <c r="V162" s="13">
        <f>IFERROR(IF(Q162&gt;0,IF(R162&gt;0,"BOTH_ADD","CE_ADD_PE_REDUCE"),IF(R162&gt;0,"CE_REDUCE_PE_ADD","BOTH_REDUCE")),"")</f>
        <v/>
      </c>
      <c r="W162" s="13">
        <f>IFERROR( (P162-1)*0.5 + (M162)*0.1 - (I162+J162)*0.05 + T162*0.4 ,"")</f>
        <v/>
      </c>
      <c r="X162" s="13">
        <f>IFERROR(IF(ABS(F162)&lt;0.01,"ATM/NEAR",""),"")</f>
        <v/>
      </c>
    </row>
    <row r="163">
      <c r="A163" s="13">
        <f>CHAIN_RAW!A163</f>
        <v/>
      </c>
      <c r="B163" s="14">
        <f>CHAIN_RAW!B163</f>
        <v/>
      </c>
      <c r="C163" s="13">
        <f>CHAIN_RAW!C163</f>
        <v/>
      </c>
      <c r="D163" s="13">
        <f>CHAIN_RAW!D163</f>
        <v/>
      </c>
      <c r="E163" s="13">
        <f>CHAIN_RAW!E163</f>
        <v/>
      </c>
      <c r="F163" s="13">
        <f>IFERROR((E163-D163)/D163,"")</f>
        <v/>
      </c>
      <c r="G163" s="13">
        <f>IFERROR((CHAIN_RAW!K163+CHAIN_RAW!L163)/2,"")</f>
        <v/>
      </c>
      <c r="H163" s="13">
        <f>IFERROR((CHAIN_RAW!R163+CHAIN_RAW!S163)/2,"")</f>
        <v/>
      </c>
      <c r="I163" s="13">
        <f>IFERROR((CHAIN_RAW!L163-CHAIN_RAW!K163)/MAX(1E-9, G163),"")</f>
        <v/>
      </c>
      <c r="J163" s="13">
        <f>IFERROR((CHAIN_RAW!S163-CHAIN_RAW!R163)/MAX(1E-9, H163),"")</f>
        <v/>
      </c>
      <c r="K163" s="13">
        <f>CHAIN_RAW!G163</f>
        <v/>
      </c>
      <c r="L163" s="13">
        <f>CHAIN_RAW!N163</f>
        <v/>
      </c>
      <c r="M163" s="13">
        <f>IFERROR(L163-K163,"")</f>
        <v/>
      </c>
      <c r="N163" s="13">
        <f>CHAIN_RAW!H163</f>
        <v/>
      </c>
      <c r="O163" s="13">
        <f>CHAIN_RAW!O163</f>
        <v/>
      </c>
      <c r="P163" s="13">
        <f>IFERROR(O163/N163,"")</f>
        <v/>
      </c>
      <c r="Q163" s="13">
        <f>CHAIN_RAW!I163</f>
        <v/>
      </c>
      <c r="R163" s="13">
        <f>CHAIN_RAW!P163</f>
        <v/>
      </c>
      <c r="S163" s="13">
        <f>IFERROR(R163/Q163,"")</f>
        <v/>
      </c>
      <c r="T163" s="13">
        <f>IFERROR((ABS(N163-O163)/MAX(1,(N163+O163)))*EXP(-ABS(E163-CONTROL!E5)/MAX(1,CONTROL!B8)),"")</f>
        <v/>
      </c>
      <c r="U163" s="13">
        <f>IFERROR(IF(O163&gt;N163,"SUPPORT (PE OI)","RESIST (CE OI)"),"")</f>
        <v/>
      </c>
      <c r="V163" s="13">
        <f>IFERROR(IF(Q163&gt;0,IF(R163&gt;0,"BOTH_ADD","CE_ADD_PE_REDUCE"),IF(R163&gt;0,"CE_REDUCE_PE_ADD","BOTH_REDUCE")),"")</f>
        <v/>
      </c>
      <c r="W163" s="13">
        <f>IFERROR( (P163-1)*0.5 + (M163)*0.1 - (I163+J163)*0.05 + T163*0.4 ,"")</f>
        <v/>
      </c>
      <c r="X163" s="13">
        <f>IFERROR(IF(ABS(F163)&lt;0.01,"ATM/NEAR",""),"")</f>
        <v/>
      </c>
    </row>
    <row r="164">
      <c r="A164" s="13">
        <f>CHAIN_RAW!A164</f>
        <v/>
      </c>
      <c r="B164" s="14">
        <f>CHAIN_RAW!B164</f>
        <v/>
      </c>
      <c r="C164" s="13">
        <f>CHAIN_RAW!C164</f>
        <v/>
      </c>
      <c r="D164" s="13">
        <f>CHAIN_RAW!D164</f>
        <v/>
      </c>
      <c r="E164" s="13">
        <f>CHAIN_RAW!E164</f>
        <v/>
      </c>
      <c r="F164" s="13">
        <f>IFERROR((E164-D164)/D164,"")</f>
        <v/>
      </c>
      <c r="G164" s="13">
        <f>IFERROR((CHAIN_RAW!K164+CHAIN_RAW!L164)/2,"")</f>
        <v/>
      </c>
      <c r="H164" s="13">
        <f>IFERROR((CHAIN_RAW!R164+CHAIN_RAW!S164)/2,"")</f>
        <v/>
      </c>
      <c r="I164" s="13">
        <f>IFERROR((CHAIN_RAW!L164-CHAIN_RAW!K164)/MAX(1E-9, G164),"")</f>
        <v/>
      </c>
      <c r="J164" s="13">
        <f>IFERROR((CHAIN_RAW!S164-CHAIN_RAW!R164)/MAX(1E-9, H164),"")</f>
        <v/>
      </c>
      <c r="K164" s="13">
        <f>CHAIN_RAW!G164</f>
        <v/>
      </c>
      <c r="L164" s="13">
        <f>CHAIN_RAW!N164</f>
        <v/>
      </c>
      <c r="M164" s="13">
        <f>IFERROR(L164-K164,"")</f>
        <v/>
      </c>
      <c r="N164" s="13">
        <f>CHAIN_RAW!H164</f>
        <v/>
      </c>
      <c r="O164" s="13">
        <f>CHAIN_RAW!O164</f>
        <v/>
      </c>
      <c r="P164" s="13">
        <f>IFERROR(O164/N164,"")</f>
        <v/>
      </c>
      <c r="Q164" s="13">
        <f>CHAIN_RAW!I164</f>
        <v/>
      </c>
      <c r="R164" s="13">
        <f>CHAIN_RAW!P164</f>
        <v/>
      </c>
      <c r="S164" s="13">
        <f>IFERROR(R164/Q164,"")</f>
        <v/>
      </c>
      <c r="T164" s="13">
        <f>IFERROR((ABS(N164-O164)/MAX(1,(N164+O164)))*EXP(-ABS(E164-CONTROL!E5)/MAX(1,CONTROL!B8)),"")</f>
        <v/>
      </c>
      <c r="U164" s="13">
        <f>IFERROR(IF(O164&gt;N164,"SUPPORT (PE OI)","RESIST (CE OI)"),"")</f>
        <v/>
      </c>
      <c r="V164" s="13">
        <f>IFERROR(IF(Q164&gt;0,IF(R164&gt;0,"BOTH_ADD","CE_ADD_PE_REDUCE"),IF(R164&gt;0,"CE_REDUCE_PE_ADD","BOTH_REDUCE")),"")</f>
        <v/>
      </c>
      <c r="W164" s="13">
        <f>IFERROR( (P164-1)*0.5 + (M164)*0.1 - (I164+J164)*0.05 + T164*0.4 ,"")</f>
        <v/>
      </c>
      <c r="X164" s="13">
        <f>IFERROR(IF(ABS(F164)&lt;0.01,"ATM/NEAR",""),"")</f>
        <v/>
      </c>
    </row>
    <row r="165">
      <c r="A165" s="13">
        <f>CHAIN_RAW!A165</f>
        <v/>
      </c>
      <c r="B165" s="14">
        <f>CHAIN_RAW!B165</f>
        <v/>
      </c>
      <c r="C165" s="13">
        <f>CHAIN_RAW!C165</f>
        <v/>
      </c>
      <c r="D165" s="13">
        <f>CHAIN_RAW!D165</f>
        <v/>
      </c>
      <c r="E165" s="13">
        <f>CHAIN_RAW!E165</f>
        <v/>
      </c>
      <c r="F165" s="13">
        <f>IFERROR((E165-D165)/D165,"")</f>
        <v/>
      </c>
      <c r="G165" s="13">
        <f>IFERROR((CHAIN_RAW!K165+CHAIN_RAW!L165)/2,"")</f>
        <v/>
      </c>
      <c r="H165" s="13">
        <f>IFERROR((CHAIN_RAW!R165+CHAIN_RAW!S165)/2,"")</f>
        <v/>
      </c>
      <c r="I165" s="13">
        <f>IFERROR((CHAIN_RAW!L165-CHAIN_RAW!K165)/MAX(1E-9, G165),"")</f>
        <v/>
      </c>
      <c r="J165" s="13">
        <f>IFERROR((CHAIN_RAW!S165-CHAIN_RAW!R165)/MAX(1E-9, H165),"")</f>
        <v/>
      </c>
      <c r="K165" s="13">
        <f>CHAIN_RAW!G165</f>
        <v/>
      </c>
      <c r="L165" s="13">
        <f>CHAIN_RAW!N165</f>
        <v/>
      </c>
      <c r="M165" s="13">
        <f>IFERROR(L165-K165,"")</f>
        <v/>
      </c>
      <c r="N165" s="13">
        <f>CHAIN_RAW!H165</f>
        <v/>
      </c>
      <c r="O165" s="13">
        <f>CHAIN_RAW!O165</f>
        <v/>
      </c>
      <c r="P165" s="13">
        <f>IFERROR(O165/N165,"")</f>
        <v/>
      </c>
      <c r="Q165" s="13">
        <f>CHAIN_RAW!I165</f>
        <v/>
      </c>
      <c r="R165" s="13">
        <f>CHAIN_RAW!P165</f>
        <v/>
      </c>
      <c r="S165" s="13">
        <f>IFERROR(R165/Q165,"")</f>
        <v/>
      </c>
      <c r="T165" s="13">
        <f>IFERROR((ABS(N165-O165)/MAX(1,(N165+O165)))*EXP(-ABS(E165-CONTROL!E5)/MAX(1,CONTROL!B8)),"")</f>
        <v/>
      </c>
      <c r="U165" s="13">
        <f>IFERROR(IF(O165&gt;N165,"SUPPORT (PE OI)","RESIST (CE OI)"),"")</f>
        <v/>
      </c>
      <c r="V165" s="13">
        <f>IFERROR(IF(Q165&gt;0,IF(R165&gt;0,"BOTH_ADD","CE_ADD_PE_REDUCE"),IF(R165&gt;0,"CE_REDUCE_PE_ADD","BOTH_REDUCE")),"")</f>
        <v/>
      </c>
      <c r="W165" s="13">
        <f>IFERROR( (P165-1)*0.5 + (M165)*0.1 - (I165+J165)*0.05 + T165*0.4 ,"")</f>
        <v/>
      </c>
      <c r="X165" s="13">
        <f>IFERROR(IF(ABS(F165)&lt;0.01,"ATM/NEAR",""),"")</f>
        <v/>
      </c>
    </row>
    <row r="166">
      <c r="A166" s="13">
        <f>CHAIN_RAW!A166</f>
        <v/>
      </c>
      <c r="B166" s="14">
        <f>CHAIN_RAW!B166</f>
        <v/>
      </c>
      <c r="C166" s="13">
        <f>CHAIN_RAW!C166</f>
        <v/>
      </c>
      <c r="D166" s="13">
        <f>CHAIN_RAW!D166</f>
        <v/>
      </c>
      <c r="E166" s="13">
        <f>CHAIN_RAW!E166</f>
        <v/>
      </c>
      <c r="F166" s="13">
        <f>IFERROR((E166-D166)/D166,"")</f>
        <v/>
      </c>
      <c r="G166" s="13">
        <f>IFERROR((CHAIN_RAW!K166+CHAIN_RAW!L166)/2,"")</f>
        <v/>
      </c>
      <c r="H166" s="13">
        <f>IFERROR((CHAIN_RAW!R166+CHAIN_RAW!S166)/2,"")</f>
        <v/>
      </c>
      <c r="I166" s="13">
        <f>IFERROR((CHAIN_RAW!L166-CHAIN_RAW!K166)/MAX(1E-9, G166),"")</f>
        <v/>
      </c>
      <c r="J166" s="13">
        <f>IFERROR((CHAIN_RAW!S166-CHAIN_RAW!R166)/MAX(1E-9, H166),"")</f>
        <v/>
      </c>
      <c r="K166" s="13">
        <f>CHAIN_RAW!G166</f>
        <v/>
      </c>
      <c r="L166" s="13">
        <f>CHAIN_RAW!N166</f>
        <v/>
      </c>
      <c r="M166" s="13">
        <f>IFERROR(L166-K166,"")</f>
        <v/>
      </c>
      <c r="N166" s="13">
        <f>CHAIN_RAW!H166</f>
        <v/>
      </c>
      <c r="O166" s="13">
        <f>CHAIN_RAW!O166</f>
        <v/>
      </c>
      <c r="P166" s="13">
        <f>IFERROR(O166/N166,"")</f>
        <v/>
      </c>
      <c r="Q166" s="13">
        <f>CHAIN_RAW!I166</f>
        <v/>
      </c>
      <c r="R166" s="13">
        <f>CHAIN_RAW!P166</f>
        <v/>
      </c>
      <c r="S166" s="13">
        <f>IFERROR(R166/Q166,"")</f>
        <v/>
      </c>
      <c r="T166" s="13">
        <f>IFERROR((ABS(N166-O166)/MAX(1,(N166+O166)))*EXP(-ABS(E166-CONTROL!E5)/MAX(1,CONTROL!B8)),"")</f>
        <v/>
      </c>
      <c r="U166" s="13">
        <f>IFERROR(IF(O166&gt;N166,"SUPPORT (PE OI)","RESIST (CE OI)"),"")</f>
        <v/>
      </c>
      <c r="V166" s="13">
        <f>IFERROR(IF(Q166&gt;0,IF(R166&gt;0,"BOTH_ADD","CE_ADD_PE_REDUCE"),IF(R166&gt;0,"CE_REDUCE_PE_ADD","BOTH_REDUCE")),"")</f>
        <v/>
      </c>
      <c r="W166" s="13">
        <f>IFERROR( (P166-1)*0.5 + (M166)*0.1 - (I166+J166)*0.05 + T166*0.4 ,"")</f>
        <v/>
      </c>
      <c r="X166" s="13">
        <f>IFERROR(IF(ABS(F166)&lt;0.01,"ATM/NEAR",""),"")</f>
        <v/>
      </c>
    </row>
    <row r="167">
      <c r="A167" s="13">
        <f>CHAIN_RAW!A167</f>
        <v/>
      </c>
      <c r="B167" s="14">
        <f>CHAIN_RAW!B167</f>
        <v/>
      </c>
      <c r="C167" s="13">
        <f>CHAIN_RAW!C167</f>
        <v/>
      </c>
      <c r="D167" s="13">
        <f>CHAIN_RAW!D167</f>
        <v/>
      </c>
      <c r="E167" s="13">
        <f>CHAIN_RAW!E167</f>
        <v/>
      </c>
      <c r="F167" s="13">
        <f>IFERROR((E167-D167)/D167,"")</f>
        <v/>
      </c>
      <c r="G167" s="13">
        <f>IFERROR((CHAIN_RAW!K167+CHAIN_RAW!L167)/2,"")</f>
        <v/>
      </c>
      <c r="H167" s="13">
        <f>IFERROR((CHAIN_RAW!R167+CHAIN_RAW!S167)/2,"")</f>
        <v/>
      </c>
      <c r="I167" s="13">
        <f>IFERROR((CHAIN_RAW!L167-CHAIN_RAW!K167)/MAX(1E-9, G167),"")</f>
        <v/>
      </c>
      <c r="J167" s="13">
        <f>IFERROR((CHAIN_RAW!S167-CHAIN_RAW!R167)/MAX(1E-9, H167),"")</f>
        <v/>
      </c>
      <c r="K167" s="13">
        <f>CHAIN_RAW!G167</f>
        <v/>
      </c>
      <c r="L167" s="13">
        <f>CHAIN_RAW!N167</f>
        <v/>
      </c>
      <c r="M167" s="13">
        <f>IFERROR(L167-K167,"")</f>
        <v/>
      </c>
      <c r="N167" s="13">
        <f>CHAIN_RAW!H167</f>
        <v/>
      </c>
      <c r="O167" s="13">
        <f>CHAIN_RAW!O167</f>
        <v/>
      </c>
      <c r="P167" s="13">
        <f>IFERROR(O167/N167,"")</f>
        <v/>
      </c>
      <c r="Q167" s="13">
        <f>CHAIN_RAW!I167</f>
        <v/>
      </c>
      <c r="R167" s="13">
        <f>CHAIN_RAW!P167</f>
        <v/>
      </c>
      <c r="S167" s="13">
        <f>IFERROR(R167/Q167,"")</f>
        <v/>
      </c>
      <c r="T167" s="13">
        <f>IFERROR((ABS(N167-O167)/MAX(1,(N167+O167)))*EXP(-ABS(E167-CONTROL!E5)/MAX(1,CONTROL!B8)),"")</f>
        <v/>
      </c>
      <c r="U167" s="13">
        <f>IFERROR(IF(O167&gt;N167,"SUPPORT (PE OI)","RESIST (CE OI)"),"")</f>
        <v/>
      </c>
      <c r="V167" s="13">
        <f>IFERROR(IF(Q167&gt;0,IF(R167&gt;0,"BOTH_ADD","CE_ADD_PE_REDUCE"),IF(R167&gt;0,"CE_REDUCE_PE_ADD","BOTH_REDUCE")),"")</f>
        <v/>
      </c>
      <c r="W167" s="13">
        <f>IFERROR( (P167-1)*0.5 + (M167)*0.1 - (I167+J167)*0.05 + T167*0.4 ,"")</f>
        <v/>
      </c>
      <c r="X167" s="13">
        <f>IFERROR(IF(ABS(F167)&lt;0.01,"ATM/NEAR",""),"")</f>
        <v/>
      </c>
    </row>
    <row r="168">
      <c r="A168" s="13">
        <f>CHAIN_RAW!A168</f>
        <v/>
      </c>
      <c r="B168" s="14">
        <f>CHAIN_RAW!B168</f>
        <v/>
      </c>
      <c r="C168" s="13">
        <f>CHAIN_RAW!C168</f>
        <v/>
      </c>
      <c r="D168" s="13">
        <f>CHAIN_RAW!D168</f>
        <v/>
      </c>
      <c r="E168" s="13">
        <f>CHAIN_RAW!E168</f>
        <v/>
      </c>
      <c r="F168" s="13">
        <f>IFERROR((E168-D168)/D168,"")</f>
        <v/>
      </c>
      <c r="G168" s="13">
        <f>IFERROR((CHAIN_RAW!K168+CHAIN_RAW!L168)/2,"")</f>
        <v/>
      </c>
      <c r="H168" s="13">
        <f>IFERROR((CHAIN_RAW!R168+CHAIN_RAW!S168)/2,"")</f>
        <v/>
      </c>
      <c r="I168" s="13">
        <f>IFERROR((CHAIN_RAW!L168-CHAIN_RAW!K168)/MAX(1E-9, G168),"")</f>
        <v/>
      </c>
      <c r="J168" s="13">
        <f>IFERROR((CHAIN_RAW!S168-CHAIN_RAW!R168)/MAX(1E-9, H168),"")</f>
        <v/>
      </c>
      <c r="K168" s="13">
        <f>CHAIN_RAW!G168</f>
        <v/>
      </c>
      <c r="L168" s="13">
        <f>CHAIN_RAW!N168</f>
        <v/>
      </c>
      <c r="M168" s="13">
        <f>IFERROR(L168-K168,"")</f>
        <v/>
      </c>
      <c r="N168" s="13">
        <f>CHAIN_RAW!H168</f>
        <v/>
      </c>
      <c r="O168" s="13">
        <f>CHAIN_RAW!O168</f>
        <v/>
      </c>
      <c r="P168" s="13">
        <f>IFERROR(O168/N168,"")</f>
        <v/>
      </c>
      <c r="Q168" s="13">
        <f>CHAIN_RAW!I168</f>
        <v/>
      </c>
      <c r="R168" s="13">
        <f>CHAIN_RAW!P168</f>
        <v/>
      </c>
      <c r="S168" s="13">
        <f>IFERROR(R168/Q168,"")</f>
        <v/>
      </c>
      <c r="T168" s="13">
        <f>IFERROR((ABS(N168-O168)/MAX(1,(N168+O168)))*EXP(-ABS(E168-CONTROL!E5)/MAX(1,CONTROL!B8)),"")</f>
        <v/>
      </c>
      <c r="U168" s="13">
        <f>IFERROR(IF(O168&gt;N168,"SUPPORT (PE OI)","RESIST (CE OI)"),"")</f>
        <v/>
      </c>
      <c r="V168" s="13">
        <f>IFERROR(IF(Q168&gt;0,IF(R168&gt;0,"BOTH_ADD","CE_ADD_PE_REDUCE"),IF(R168&gt;0,"CE_REDUCE_PE_ADD","BOTH_REDUCE")),"")</f>
        <v/>
      </c>
      <c r="W168" s="13">
        <f>IFERROR( (P168-1)*0.5 + (M168)*0.1 - (I168+J168)*0.05 + T168*0.4 ,"")</f>
        <v/>
      </c>
      <c r="X168" s="13">
        <f>IFERROR(IF(ABS(F168)&lt;0.01,"ATM/NEAR",""),"")</f>
        <v/>
      </c>
    </row>
    <row r="169">
      <c r="A169" s="13">
        <f>CHAIN_RAW!A169</f>
        <v/>
      </c>
      <c r="B169" s="14">
        <f>CHAIN_RAW!B169</f>
        <v/>
      </c>
      <c r="C169" s="13">
        <f>CHAIN_RAW!C169</f>
        <v/>
      </c>
      <c r="D169" s="13">
        <f>CHAIN_RAW!D169</f>
        <v/>
      </c>
      <c r="E169" s="13">
        <f>CHAIN_RAW!E169</f>
        <v/>
      </c>
      <c r="F169" s="13">
        <f>IFERROR((E169-D169)/D169,"")</f>
        <v/>
      </c>
      <c r="G169" s="13">
        <f>IFERROR((CHAIN_RAW!K169+CHAIN_RAW!L169)/2,"")</f>
        <v/>
      </c>
      <c r="H169" s="13">
        <f>IFERROR((CHAIN_RAW!R169+CHAIN_RAW!S169)/2,"")</f>
        <v/>
      </c>
      <c r="I169" s="13">
        <f>IFERROR((CHAIN_RAW!L169-CHAIN_RAW!K169)/MAX(1E-9, G169),"")</f>
        <v/>
      </c>
      <c r="J169" s="13">
        <f>IFERROR((CHAIN_RAW!S169-CHAIN_RAW!R169)/MAX(1E-9, H169),"")</f>
        <v/>
      </c>
      <c r="K169" s="13">
        <f>CHAIN_RAW!G169</f>
        <v/>
      </c>
      <c r="L169" s="13">
        <f>CHAIN_RAW!N169</f>
        <v/>
      </c>
      <c r="M169" s="13">
        <f>IFERROR(L169-K169,"")</f>
        <v/>
      </c>
      <c r="N169" s="13">
        <f>CHAIN_RAW!H169</f>
        <v/>
      </c>
      <c r="O169" s="13">
        <f>CHAIN_RAW!O169</f>
        <v/>
      </c>
      <c r="P169" s="13">
        <f>IFERROR(O169/N169,"")</f>
        <v/>
      </c>
      <c r="Q169" s="13">
        <f>CHAIN_RAW!I169</f>
        <v/>
      </c>
      <c r="R169" s="13">
        <f>CHAIN_RAW!P169</f>
        <v/>
      </c>
      <c r="S169" s="13">
        <f>IFERROR(R169/Q169,"")</f>
        <v/>
      </c>
      <c r="T169" s="13">
        <f>IFERROR((ABS(N169-O169)/MAX(1,(N169+O169)))*EXP(-ABS(E169-CONTROL!E5)/MAX(1,CONTROL!B8)),"")</f>
        <v/>
      </c>
      <c r="U169" s="13">
        <f>IFERROR(IF(O169&gt;N169,"SUPPORT (PE OI)","RESIST (CE OI)"),"")</f>
        <v/>
      </c>
      <c r="V169" s="13">
        <f>IFERROR(IF(Q169&gt;0,IF(R169&gt;0,"BOTH_ADD","CE_ADD_PE_REDUCE"),IF(R169&gt;0,"CE_REDUCE_PE_ADD","BOTH_REDUCE")),"")</f>
        <v/>
      </c>
      <c r="W169" s="13">
        <f>IFERROR( (P169-1)*0.5 + (M169)*0.1 - (I169+J169)*0.05 + T169*0.4 ,"")</f>
        <v/>
      </c>
      <c r="X169" s="13">
        <f>IFERROR(IF(ABS(F169)&lt;0.01,"ATM/NEAR",""),"")</f>
        <v/>
      </c>
    </row>
    <row r="170">
      <c r="A170" s="13">
        <f>CHAIN_RAW!A170</f>
        <v/>
      </c>
      <c r="B170" s="14">
        <f>CHAIN_RAW!B170</f>
        <v/>
      </c>
      <c r="C170" s="13">
        <f>CHAIN_RAW!C170</f>
        <v/>
      </c>
      <c r="D170" s="13">
        <f>CHAIN_RAW!D170</f>
        <v/>
      </c>
      <c r="E170" s="13">
        <f>CHAIN_RAW!E170</f>
        <v/>
      </c>
      <c r="F170" s="13">
        <f>IFERROR((E170-D170)/D170,"")</f>
        <v/>
      </c>
      <c r="G170" s="13">
        <f>IFERROR((CHAIN_RAW!K170+CHAIN_RAW!L170)/2,"")</f>
        <v/>
      </c>
      <c r="H170" s="13">
        <f>IFERROR((CHAIN_RAW!R170+CHAIN_RAW!S170)/2,"")</f>
        <v/>
      </c>
      <c r="I170" s="13">
        <f>IFERROR((CHAIN_RAW!L170-CHAIN_RAW!K170)/MAX(1E-9, G170),"")</f>
        <v/>
      </c>
      <c r="J170" s="13">
        <f>IFERROR((CHAIN_RAW!S170-CHAIN_RAW!R170)/MAX(1E-9, H170),"")</f>
        <v/>
      </c>
      <c r="K170" s="13">
        <f>CHAIN_RAW!G170</f>
        <v/>
      </c>
      <c r="L170" s="13">
        <f>CHAIN_RAW!N170</f>
        <v/>
      </c>
      <c r="M170" s="13">
        <f>IFERROR(L170-K170,"")</f>
        <v/>
      </c>
      <c r="N170" s="13">
        <f>CHAIN_RAW!H170</f>
        <v/>
      </c>
      <c r="O170" s="13">
        <f>CHAIN_RAW!O170</f>
        <v/>
      </c>
      <c r="P170" s="13">
        <f>IFERROR(O170/N170,"")</f>
        <v/>
      </c>
      <c r="Q170" s="13">
        <f>CHAIN_RAW!I170</f>
        <v/>
      </c>
      <c r="R170" s="13">
        <f>CHAIN_RAW!P170</f>
        <v/>
      </c>
      <c r="S170" s="13">
        <f>IFERROR(R170/Q170,"")</f>
        <v/>
      </c>
      <c r="T170" s="13">
        <f>IFERROR((ABS(N170-O170)/MAX(1,(N170+O170)))*EXP(-ABS(E170-CONTROL!E5)/MAX(1,CONTROL!B8)),"")</f>
        <v/>
      </c>
      <c r="U170" s="13">
        <f>IFERROR(IF(O170&gt;N170,"SUPPORT (PE OI)","RESIST (CE OI)"),"")</f>
        <v/>
      </c>
      <c r="V170" s="13">
        <f>IFERROR(IF(Q170&gt;0,IF(R170&gt;0,"BOTH_ADD","CE_ADD_PE_REDUCE"),IF(R170&gt;0,"CE_REDUCE_PE_ADD","BOTH_REDUCE")),"")</f>
        <v/>
      </c>
      <c r="W170" s="13">
        <f>IFERROR( (P170-1)*0.5 + (M170)*0.1 - (I170+J170)*0.05 + T170*0.4 ,"")</f>
        <v/>
      </c>
      <c r="X170" s="13">
        <f>IFERROR(IF(ABS(F170)&lt;0.01,"ATM/NEAR",""),"")</f>
        <v/>
      </c>
    </row>
    <row r="171">
      <c r="A171" s="13">
        <f>CHAIN_RAW!A171</f>
        <v/>
      </c>
      <c r="B171" s="14">
        <f>CHAIN_RAW!B171</f>
        <v/>
      </c>
      <c r="C171" s="13">
        <f>CHAIN_RAW!C171</f>
        <v/>
      </c>
      <c r="D171" s="13">
        <f>CHAIN_RAW!D171</f>
        <v/>
      </c>
      <c r="E171" s="13">
        <f>CHAIN_RAW!E171</f>
        <v/>
      </c>
      <c r="F171" s="13">
        <f>IFERROR((E171-D171)/D171,"")</f>
        <v/>
      </c>
      <c r="G171" s="13">
        <f>IFERROR((CHAIN_RAW!K171+CHAIN_RAW!L171)/2,"")</f>
        <v/>
      </c>
      <c r="H171" s="13">
        <f>IFERROR((CHAIN_RAW!R171+CHAIN_RAW!S171)/2,"")</f>
        <v/>
      </c>
      <c r="I171" s="13">
        <f>IFERROR((CHAIN_RAW!L171-CHAIN_RAW!K171)/MAX(1E-9, G171),"")</f>
        <v/>
      </c>
      <c r="J171" s="13">
        <f>IFERROR((CHAIN_RAW!S171-CHAIN_RAW!R171)/MAX(1E-9, H171),"")</f>
        <v/>
      </c>
      <c r="K171" s="13">
        <f>CHAIN_RAW!G171</f>
        <v/>
      </c>
      <c r="L171" s="13">
        <f>CHAIN_RAW!N171</f>
        <v/>
      </c>
      <c r="M171" s="13">
        <f>IFERROR(L171-K171,"")</f>
        <v/>
      </c>
      <c r="N171" s="13">
        <f>CHAIN_RAW!H171</f>
        <v/>
      </c>
      <c r="O171" s="13">
        <f>CHAIN_RAW!O171</f>
        <v/>
      </c>
      <c r="P171" s="13">
        <f>IFERROR(O171/N171,"")</f>
        <v/>
      </c>
      <c r="Q171" s="13">
        <f>CHAIN_RAW!I171</f>
        <v/>
      </c>
      <c r="R171" s="13">
        <f>CHAIN_RAW!P171</f>
        <v/>
      </c>
      <c r="S171" s="13">
        <f>IFERROR(R171/Q171,"")</f>
        <v/>
      </c>
      <c r="T171" s="13">
        <f>IFERROR((ABS(N171-O171)/MAX(1,(N171+O171)))*EXP(-ABS(E171-CONTROL!E5)/MAX(1,CONTROL!B8)),"")</f>
        <v/>
      </c>
      <c r="U171" s="13">
        <f>IFERROR(IF(O171&gt;N171,"SUPPORT (PE OI)","RESIST (CE OI)"),"")</f>
        <v/>
      </c>
      <c r="V171" s="13">
        <f>IFERROR(IF(Q171&gt;0,IF(R171&gt;0,"BOTH_ADD","CE_ADD_PE_REDUCE"),IF(R171&gt;0,"CE_REDUCE_PE_ADD","BOTH_REDUCE")),"")</f>
        <v/>
      </c>
      <c r="W171" s="13">
        <f>IFERROR( (P171-1)*0.5 + (M171)*0.1 - (I171+J171)*0.05 + T171*0.4 ,"")</f>
        <v/>
      </c>
      <c r="X171" s="13">
        <f>IFERROR(IF(ABS(F171)&lt;0.01,"ATM/NEAR",""),"")</f>
        <v/>
      </c>
    </row>
    <row r="172">
      <c r="A172" s="13">
        <f>CHAIN_RAW!A172</f>
        <v/>
      </c>
      <c r="B172" s="14">
        <f>CHAIN_RAW!B172</f>
        <v/>
      </c>
      <c r="C172" s="13">
        <f>CHAIN_RAW!C172</f>
        <v/>
      </c>
      <c r="D172" s="13">
        <f>CHAIN_RAW!D172</f>
        <v/>
      </c>
      <c r="E172" s="13">
        <f>CHAIN_RAW!E172</f>
        <v/>
      </c>
      <c r="F172" s="13">
        <f>IFERROR((E172-D172)/D172,"")</f>
        <v/>
      </c>
      <c r="G172" s="13">
        <f>IFERROR((CHAIN_RAW!K172+CHAIN_RAW!L172)/2,"")</f>
        <v/>
      </c>
      <c r="H172" s="13">
        <f>IFERROR((CHAIN_RAW!R172+CHAIN_RAW!S172)/2,"")</f>
        <v/>
      </c>
      <c r="I172" s="13">
        <f>IFERROR((CHAIN_RAW!L172-CHAIN_RAW!K172)/MAX(1E-9, G172),"")</f>
        <v/>
      </c>
      <c r="J172" s="13">
        <f>IFERROR((CHAIN_RAW!S172-CHAIN_RAW!R172)/MAX(1E-9, H172),"")</f>
        <v/>
      </c>
      <c r="K172" s="13">
        <f>CHAIN_RAW!G172</f>
        <v/>
      </c>
      <c r="L172" s="13">
        <f>CHAIN_RAW!N172</f>
        <v/>
      </c>
      <c r="M172" s="13">
        <f>IFERROR(L172-K172,"")</f>
        <v/>
      </c>
      <c r="N172" s="13">
        <f>CHAIN_RAW!H172</f>
        <v/>
      </c>
      <c r="O172" s="13">
        <f>CHAIN_RAW!O172</f>
        <v/>
      </c>
      <c r="P172" s="13">
        <f>IFERROR(O172/N172,"")</f>
        <v/>
      </c>
      <c r="Q172" s="13">
        <f>CHAIN_RAW!I172</f>
        <v/>
      </c>
      <c r="R172" s="13">
        <f>CHAIN_RAW!P172</f>
        <v/>
      </c>
      <c r="S172" s="13">
        <f>IFERROR(R172/Q172,"")</f>
        <v/>
      </c>
      <c r="T172" s="13">
        <f>IFERROR((ABS(N172-O172)/MAX(1,(N172+O172)))*EXP(-ABS(E172-CONTROL!E5)/MAX(1,CONTROL!B8)),"")</f>
        <v/>
      </c>
      <c r="U172" s="13">
        <f>IFERROR(IF(O172&gt;N172,"SUPPORT (PE OI)","RESIST (CE OI)"),"")</f>
        <v/>
      </c>
      <c r="V172" s="13">
        <f>IFERROR(IF(Q172&gt;0,IF(R172&gt;0,"BOTH_ADD","CE_ADD_PE_REDUCE"),IF(R172&gt;0,"CE_REDUCE_PE_ADD","BOTH_REDUCE")),"")</f>
        <v/>
      </c>
      <c r="W172" s="13">
        <f>IFERROR( (P172-1)*0.5 + (M172)*0.1 - (I172+J172)*0.05 + T172*0.4 ,"")</f>
        <v/>
      </c>
      <c r="X172" s="13">
        <f>IFERROR(IF(ABS(F172)&lt;0.01,"ATM/NEAR",""),"")</f>
        <v/>
      </c>
    </row>
    <row r="173">
      <c r="A173" s="13">
        <f>CHAIN_RAW!A173</f>
        <v/>
      </c>
      <c r="B173" s="14">
        <f>CHAIN_RAW!B173</f>
        <v/>
      </c>
      <c r="C173" s="13">
        <f>CHAIN_RAW!C173</f>
        <v/>
      </c>
      <c r="D173" s="13">
        <f>CHAIN_RAW!D173</f>
        <v/>
      </c>
      <c r="E173" s="13">
        <f>CHAIN_RAW!E173</f>
        <v/>
      </c>
      <c r="F173" s="13">
        <f>IFERROR((E173-D173)/D173,"")</f>
        <v/>
      </c>
      <c r="G173" s="13">
        <f>IFERROR((CHAIN_RAW!K173+CHAIN_RAW!L173)/2,"")</f>
        <v/>
      </c>
      <c r="H173" s="13">
        <f>IFERROR((CHAIN_RAW!R173+CHAIN_RAW!S173)/2,"")</f>
        <v/>
      </c>
      <c r="I173" s="13">
        <f>IFERROR((CHAIN_RAW!L173-CHAIN_RAW!K173)/MAX(1E-9, G173),"")</f>
        <v/>
      </c>
      <c r="J173" s="13">
        <f>IFERROR((CHAIN_RAW!S173-CHAIN_RAW!R173)/MAX(1E-9, H173),"")</f>
        <v/>
      </c>
      <c r="K173" s="13">
        <f>CHAIN_RAW!G173</f>
        <v/>
      </c>
      <c r="L173" s="13">
        <f>CHAIN_RAW!N173</f>
        <v/>
      </c>
      <c r="M173" s="13">
        <f>IFERROR(L173-K173,"")</f>
        <v/>
      </c>
      <c r="N173" s="13">
        <f>CHAIN_RAW!H173</f>
        <v/>
      </c>
      <c r="O173" s="13">
        <f>CHAIN_RAW!O173</f>
        <v/>
      </c>
      <c r="P173" s="13">
        <f>IFERROR(O173/N173,"")</f>
        <v/>
      </c>
      <c r="Q173" s="13">
        <f>CHAIN_RAW!I173</f>
        <v/>
      </c>
      <c r="R173" s="13">
        <f>CHAIN_RAW!P173</f>
        <v/>
      </c>
      <c r="S173" s="13">
        <f>IFERROR(R173/Q173,"")</f>
        <v/>
      </c>
      <c r="T173" s="13">
        <f>IFERROR((ABS(N173-O173)/MAX(1,(N173+O173)))*EXP(-ABS(E173-CONTROL!E5)/MAX(1,CONTROL!B8)),"")</f>
        <v/>
      </c>
      <c r="U173" s="13">
        <f>IFERROR(IF(O173&gt;N173,"SUPPORT (PE OI)","RESIST (CE OI)"),"")</f>
        <v/>
      </c>
      <c r="V173" s="13">
        <f>IFERROR(IF(Q173&gt;0,IF(R173&gt;0,"BOTH_ADD","CE_ADD_PE_REDUCE"),IF(R173&gt;0,"CE_REDUCE_PE_ADD","BOTH_REDUCE")),"")</f>
        <v/>
      </c>
      <c r="W173" s="13">
        <f>IFERROR( (P173-1)*0.5 + (M173)*0.1 - (I173+J173)*0.05 + T173*0.4 ,"")</f>
        <v/>
      </c>
      <c r="X173" s="13">
        <f>IFERROR(IF(ABS(F173)&lt;0.01,"ATM/NEAR",""),"")</f>
        <v/>
      </c>
    </row>
    <row r="174">
      <c r="A174" s="13">
        <f>CHAIN_RAW!A174</f>
        <v/>
      </c>
      <c r="B174" s="14">
        <f>CHAIN_RAW!B174</f>
        <v/>
      </c>
      <c r="C174" s="13">
        <f>CHAIN_RAW!C174</f>
        <v/>
      </c>
      <c r="D174" s="13">
        <f>CHAIN_RAW!D174</f>
        <v/>
      </c>
      <c r="E174" s="13">
        <f>CHAIN_RAW!E174</f>
        <v/>
      </c>
      <c r="F174" s="13">
        <f>IFERROR((E174-D174)/D174,"")</f>
        <v/>
      </c>
      <c r="G174" s="13">
        <f>IFERROR((CHAIN_RAW!K174+CHAIN_RAW!L174)/2,"")</f>
        <v/>
      </c>
      <c r="H174" s="13">
        <f>IFERROR((CHAIN_RAW!R174+CHAIN_RAW!S174)/2,"")</f>
        <v/>
      </c>
      <c r="I174" s="13">
        <f>IFERROR((CHAIN_RAW!L174-CHAIN_RAW!K174)/MAX(1E-9, G174),"")</f>
        <v/>
      </c>
      <c r="J174" s="13">
        <f>IFERROR((CHAIN_RAW!S174-CHAIN_RAW!R174)/MAX(1E-9, H174),"")</f>
        <v/>
      </c>
      <c r="K174" s="13">
        <f>CHAIN_RAW!G174</f>
        <v/>
      </c>
      <c r="L174" s="13">
        <f>CHAIN_RAW!N174</f>
        <v/>
      </c>
      <c r="M174" s="13">
        <f>IFERROR(L174-K174,"")</f>
        <v/>
      </c>
      <c r="N174" s="13">
        <f>CHAIN_RAW!H174</f>
        <v/>
      </c>
      <c r="O174" s="13">
        <f>CHAIN_RAW!O174</f>
        <v/>
      </c>
      <c r="P174" s="13">
        <f>IFERROR(O174/N174,"")</f>
        <v/>
      </c>
      <c r="Q174" s="13">
        <f>CHAIN_RAW!I174</f>
        <v/>
      </c>
      <c r="R174" s="13">
        <f>CHAIN_RAW!P174</f>
        <v/>
      </c>
      <c r="S174" s="13">
        <f>IFERROR(R174/Q174,"")</f>
        <v/>
      </c>
      <c r="T174" s="13">
        <f>IFERROR((ABS(N174-O174)/MAX(1,(N174+O174)))*EXP(-ABS(E174-CONTROL!E5)/MAX(1,CONTROL!B8)),"")</f>
        <v/>
      </c>
      <c r="U174" s="13">
        <f>IFERROR(IF(O174&gt;N174,"SUPPORT (PE OI)","RESIST (CE OI)"),"")</f>
        <v/>
      </c>
      <c r="V174" s="13">
        <f>IFERROR(IF(Q174&gt;0,IF(R174&gt;0,"BOTH_ADD","CE_ADD_PE_REDUCE"),IF(R174&gt;0,"CE_REDUCE_PE_ADD","BOTH_REDUCE")),"")</f>
        <v/>
      </c>
      <c r="W174" s="13">
        <f>IFERROR( (P174-1)*0.5 + (M174)*0.1 - (I174+J174)*0.05 + T174*0.4 ,"")</f>
        <v/>
      </c>
      <c r="X174" s="13">
        <f>IFERROR(IF(ABS(F174)&lt;0.01,"ATM/NEAR",""),"")</f>
        <v/>
      </c>
    </row>
    <row r="175">
      <c r="A175" s="13">
        <f>CHAIN_RAW!A175</f>
        <v/>
      </c>
      <c r="B175" s="14">
        <f>CHAIN_RAW!B175</f>
        <v/>
      </c>
      <c r="C175" s="13">
        <f>CHAIN_RAW!C175</f>
        <v/>
      </c>
      <c r="D175" s="13">
        <f>CHAIN_RAW!D175</f>
        <v/>
      </c>
      <c r="E175" s="13">
        <f>CHAIN_RAW!E175</f>
        <v/>
      </c>
      <c r="F175" s="13">
        <f>IFERROR((E175-D175)/D175,"")</f>
        <v/>
      </c>
      <c r="G175" s="13">
        <f>IFERROR((CHAIN_RAW!K175+CHAIN_RAW!L175)/2,"")</f>
        <v/>
      </c>
      <c r="H175" s="13">
        <f>IFERROR((CHAIN_RAW!R175+CHAIN_RAW!S175)/2,"")</f>
        <v/>
      </c>
      <c r="I175" s="13">
        <f>IFERROR((CHAIN_RAW!L175-CHAIN_RAW!K175)/MAX(1E-9, G175),"")</f>
        <v/>
      </c>
      <c r="J175" s="13">
        <f>IFERROR((CHAIN_RAW!S175-CHAIN_RAW!R175)/MAX(1E-9, H175),"")</f>
        <v/>
      </c>
      <c r="K175" s="13">
        <f>CHAIN_RAW!G175</f>
        <v/>
      </c>
      <c r="L175" s="13">
        <f>CHAIN_RAW!N175</f>
        <v/>
      </c>
      <c r="M175" s="13">
        <f>IFERROR(L175-K175,"")</f>
        <v/>
      </c>
      <c r="N175" s="13">
        <f>CHAIN_RAW!H175</f>
        <v/>
      </c>
      <c r="O175" s="13">
        <f>CHAIN_RAW!O175</f>
        <v/>
      </c>
      <c r="P175" s="13">
        <f>IFERROR(O175/N175,"")</f>
        <v/>
      </c>
      <c r="Q175" s="13">
        <f>CHAIN_RAW!I175</f>
        <v/>
      </c>
      <c r="R175" s="13">
        <f>CHAIN_RAW!P175</f>
        <v/>
      </c>
      <c r="S175" s="13">
        <f>IFERROR(R175/Q175,"")</f>
        <v/>
      </c>
      <c r="T175" s="13">
        <f>IFERROR((ABS(N175-O175)/MAX(1,(N175+O175)))*EXP(-ABS(E175-CONTROL!E5)/MAX(1,CONTROL!B8)),"")</f>
        <v/>
      </c>
      <c r="U175" s="13">
        <f>IFERROR(IF(O175&gt;N175,"SUPPORT (PE OI)","RESIST (CE OI)"),"")</f>
        <v/>
      </c>
      <c r="V175" s="13">
        <f>IFERROR(IF(Q175&gt;0,IF(R175&gt;0,"BOTH_ADD","CE_ADD_PE_REDUCE"),IF(R175&gt;0,"CE_REDUCE_PE_ADD","BOTH_REDUCE")),"")</f>
        <v/>
      </c>
      <c r="W175" s="13">
        <f>IFERROR( (P175-1)*0.5 + (M175)*0.1 - (I175+J175)*0.05 + T175*0.4 ,"")</f>
        <v/>
      </c>
      <c r="X175" s="13">
        <f>IFERROR(IF(ABS(F175)&lt;0.01,"ATM/NEAR",""),"")</f>
        <v/>
      </c>
    </row>
    <row r="176">
      <c r="A176" s="13">
        <f>CHAIN_RAW!A176</f>
        <v/>
      </c>
      <c r="B176" s="14">
        <f>CHAIN_RAW!B176</f>
        <v/>
      </c>
      <c r="C176" s="13">
        <f>CHAIN_RAW!C176</f>
        <v/>
      </c>
      <c r="D176" s="13">
        <f>CHAIN_RAW!D176</f>
        <v/>
      </c>
      <c r="E176" s="13">
        <f>CHAIN_RAW!E176</f>
        <v/>
      </c>
      <c r="F176" s="13">
        <f>IFERROR((E176-D176)/D176,"")</f>
        <v/>
      </c>
      <c r="G176" s="13">
        <f>IFERROR((CHAIN_RAW!K176+CHAIN_RAW!L176)/2,"")</f>
        <v/>
      </c>
      <c r="H176" s="13">
        <f>IFERROR((CHAIN_RAW!R176+CHAIN_RAW!S176)/2,"")</f>
        <v/>
      </c>
      <c r="I176" s="13">
        <f>IFERROR((CHAIN_RAW!L176-CHAIN_RAW!K176)/MAX(1E-9, G176),"")</f>
        <v/>
      </c>
      <c r="J176" s="13">
        <f>IFERROR((CHAIN_RAW!S176-CHAIN_RAW!R176)/MAX(1E-9, H176),"")</f>
        <v/>
      </c>
      <c r="K176" s="13">
        <f>CHAIN_RAW!G176</f>
        <v/>
      </c>
      <c r="L176" s="13">
        <f>CHAIN_RAW!N176</f>
        <v/>
      </c>
      <c r="M176" s="13">
        <f>IFERROR(L176-K176,"")</f>
        <v/>
      </c>
      <c r="N176" s="13">
        <f>CHAIN_RAW!H176</f>
        <v/>
      </c>
      <c r="O176" s="13">
        <f>CHAIN_RAW!O176</f>
        <v/>
      </c>
      <c r="P176" s="13">
        <f>IFERROR(O176/N176,"")</f>
        <v/>
      </c>
      <c r="Q176" s="13">
        <f>CHAIN_RAW!I176</f>
        <v/>
      </c>
      <c r="R176" s="13">
        <f>CHAIN_RAW!P176</f>
        <v/>
      </c>
      <c r="S176" s="13">
        <f>IFERROR(R176/Q176,"")</f>
        <v/>
      </c>
      <c r="T176" s="13">
        <f>IFERROR((ABS(N176-O176)/MAX(1,(N176+O176)))*EXP(-ABS(E176-CONTROL!E5)/MAX(1,CONTROL!B8)),"")</f>
        <v/>
      </c>
      <c r="U176" s="13">
        <f>IFERROR(IF(O176&gt;N176,"SUPPORT (PE OI)","RESIST (CE OI)"),"")</f>
        <v/>
      </c>
      <c r="V176" s="13">
        <f>IFERROR(IF(Q176&gt;0,IF(R176&gt;0,"BOTH_ADD","CE_ADD_PE_REDUCE"),IF(R176&gt;0,"CE_REDUCE_PE_ADD","BOTH_REDUCE")),"")</f>
        <v/>
      </c>
      <c r="W176" s="13">
        <f>IFERROR( (P176-1)*0.5 + (M176)*0.1 - (I176+J176)*0.05 + T176*0.4 ,"")</f>
        <v/>
      </c>
      <c r="X176" s="13">
        <f>IFERROR(IF(ABS(F176)&lt;0.01,"ATM/NEAR",""),"")</f>
        <v/>
      </c>
    </row>
    <row r="177">
      <c r="A177" s="13">
        <f>CHAIN_RAW!A177</f>
        <v/>
      </c>
      <c r="B177" s="14">
        <f>CHAIN_RAW!B177</f>
        <v/>
      </c>
      <c r="C177" s="13">
        <f>CHAIN_RAW!C177</f>
        <v/>
      </c>
      <c r="D177" s="13">
        <f>CHAIN_RAW!D177</f>
        <v/>
      </c>
      <c r="E177" s="13">
        <f>CHAIN_RAW!E177</f>
        <v/>
      </c>
      <c r="F177" s="13">
        <f>IFERROR((E177-D177)/D177,"")</f>
        <v/>
      </c>
      <c r="G177" s="13">
        <f>IFERROR((CHAIN_RAW!K177+CHAIN_RAW!L177)/2,"")</f>
        <v/>
      </c>
      <c r="H177" s="13">
        <f>IFERROR((CHAIN_RAW!R177+CHAIN_RAW!S177)/2,"")</f>
        <v/>
      </c>
      <c r="I177" s="13">
        <f>IFERROR((CHAIN_RAW!L177-CHAIN_RAW!K177)/MAX(1E-9, G177),"")</f>
        <v/>
      </c>
      <c r="J177" s="13">
        <f>IFERROR((CHAIN_RAW!S177-CHAIN_RAW!R177)/MAX(1E-9, H177),"")</f>
        <v/>
      </c>
      <c r="K177" s="13">
        <f>CHAIN_RAW!G177</f>
        <v/>
      </c>
      <c r="L177" s="13">
        <f>CHAIN_RAW!N177</f>
        <v/>
      </c>
      <c r="M177" s="13">
        <f>IFERROR(L177-K177,"")</f>
        <v/>
      </c>
      <c r="N177" s="13">
        <f>CHAIN_RAW!H177</f>
        <v/>
      </c>
      <c r="O177" s="13">
        <f>CHAIN_RAW!O177</f>
        <v/>
      </c>
      <c r="P177" s="13">
        <f>IFERROR(O177/N177,"")</f>
        <v/>
      </c>
      <c r="Q177" s="13">
        <f>CHAIN_RAW!I177</f>
        <v/>
      </c>
      <c r="R177" s="13">
        <f>CHAIN_RAW!P177</f>
        <v/>
      </c>
      <c r="S177" s="13">
        <f>IFERROR(R177/Q177,"")</f>
        <v/>
      </c>
      <c r="T177" s="13">
        <f>IFERROR((ABS(N177-O177)/MAX(1,(N177+O177)))*EXP(-ABS(E177-CONTROL!E5)/MAX(1,CONTROL!B8)),"")</f>
        <v/>
      </c>
      <c r="U177" s="13">
        <f>IFERROR(IF(O177&gt;N177,"SUPPORT (PE OI)","RESIST (CE OI)"),"")</f>
        <v/>
      </c>
      <c r="V177" s="13">
        <f>IFERROR(IF(Q177&gt;0,IF(R177&gt;0,"BOTH_ADD","CE_ADD_PE_REDUCE"),IF(R177&gt;0,"CE_REDUCE_PE_ADD","BOTH_REDUCE")),"")</f>
        <v/>
      </c>
      <c r="W177" s="13">
        <f>IFERROR( (P177-1)*0.5 + (M177)*0.1 - (I177+J177)*0.05 + T177*0.4 ,"")</f>
        <v/>
      </c>
      <c r="X177" s="13">
        <f>IFERROR(IF(ABS(F177)&lt;0.01,"ATM/NEAR",""),"")</f>
        <v/>
      </c>
    </row>
    <row r="178">
      <c r="A178" s="13">
        <f>CHAIN_RAW!A178</f>
        <v/>
      </c>
      <c r="B178" s="14">
        <f>CHAIN_RAW!B178</f>
        <v/>
      </c>
      <c r="C178" s="13">
        <f>CHAIN_RAW!C178</f>
        <v/>
      </c>
      <c r="D178" s="13">
        <f>CHAIN_RAW!D178</f>
        <v/>
      </c>
      <c r="E178" s="13">
        <f>CHAIN_RAW!E178</f>
        <v/>
      </c>
      <c r="F178" s="13">
        <f>IFERROR((E178-D178)/D178,"")</f>
        <v/>
      </c>
      <c r="G178" s="13">
        <f>IFERROR((CHAIN_RAW!K178+CHAIN_RAW!L178)/2,"")</f>
        <v/>
      </c>
      <c r="H178" s="13">
        <f>IFERROR((CHAIN_RAW!R178+CHAIN_RAW!S178)/2,"")</f>
        <v/>
      </c>
      <c r="I178" s="13">
        <f>IFERROR((CHAIN_RAW!L178-CHAIN_RAW!K178)/MAX(1E-9, G178),"")</f>
        <v/>
      </c>
      <c r="J178" s="13">
        <f>IFERROR((CHAIN_RAW!S178-CHAIN_RAW!R178)/MAX(1E-9, H178),"")</f>
        <v/>
      </c>
      <c r="K178" s="13">
        <f>CHAIN_RAW!G178</f>
        <v/>
      </c>
      <c r="L178" s="13">
        <f>CHAIN_RAW!N178</f>
        <v/>
      </c>
      <c r="M178" s="13">
        <f>IFERROR(L178-K178,"")</f>
        <v/>
      </c>
      <c r="N178" s="13">
        <f>CHAIN_RAW!H178</f>
        <v/>
      </c>
      <c r="O178" s="13">
        <f>CHAIN_RAW!O178</f>
        <v/>
      </c>
      <c r="P178" s="13">
        <f>IFERROR(O178/N178,"")</f>
        <v/>
      </c>
      <c r="Q178" s="13">
        <f>CHAIN_RAW!I178</f>
        <v/>
      </c>
      <c r="R178" s="13">
        <f>CHAIN_RAW!P178</f>
        <v/>
      </c>
      <c r="S178" s="13">
        <f>IFERROR(R178/Q178,"")</f>
        <v/>
      </c>
      <c r="T178" s="13">
        <f>IFERROR((ABS(N178-O178)/MAX(1,(N178+O178)))*EXP(-ABS(E178-CONTROL!E5)/MAX(1,CONTROL!B8)),"")</f>
        <v/>
      </c>
      <c r="U178" s="13">
        <f>IFERROR(IF(O178&gt;N178,"SUPPORT (PE OI)","RESIST (CE OI)"),"")</f>
        <v/>
      </c>
      <c r="V178" s="13">
        <f>IFERROR(IF(Q178&gt;0,IF(R178&gt;0,"BOTH_ADD","CE_ADD_PE_REDUCE"),IF(R178&gt;0,"CE_REDUCE_PE_ADD","BOTH_REDUCE")),"")</f>
        <v/>
      </c>
      <c r="W178" s="13">
        <f>IFERROR( (P178-1)*0.5 + (M178)*0.1 - (I178+J178)*0.05 + T178*0.4 ,"")</f>
        <v/>
      </c>
      <c r="X178" s="13">
        <f>IFERROR(IF(ABS(F178)&lt;0.01,"ATM/NEAR",""),"")</f>
        <v/>
      </c>
    </row>
    <row r="179">
      <c r="A179" s="13">
        <f>CHAIN_RAW!A179</f>
        <v/>
      </c>
      <c r="B179" s="14">
        <f>CHAIN_RAW!B179</f>
        <v/>
      </c>
      <c r="C179" s="13">
        <f>CHAIN_RAW!C179</f>
        <v/>
      </c>
      <c r="D179" s="13">
        <f>CHAIN_RAW!D179</f>
        <v/>
      </c>
      <c r="E179" s="13">
        <f>CHAIN_RAW!E179</f>
        <v/>
      </c>
      <c r="F179" s="13">
        <f>IFERROR((E179-D179)/D179,"")</f>
        <v/>
      </c>
      <c r="G179" s="13">
        <f>IFERROR((CHAIN_RAW!K179+CHAIN_RAW!L179)/2,"")</f>
        <v/>
      </c>
      <c r="H179" s="13">
        <f>IFERROR((CHAIN_RAW!R179+CHAIN_RAW!S179)/2,"")</f>
        <v/>
      </c>
      <c r="I179" s="13">
        <f>IFERROR((CHAIN_RAW!L179-CHAIN_RAW!K179)/MAX(1E-9, G179),"")</f>
        <v/>
      </c>
      <c r="J179" s="13">
        <f>IFERROR((CHAIN_RAW!S179-CHAIN_RAW!R179)/MAX(1E-9, H179),"")</f>
        <v/>
      </c>
      <c r="K179" s="13">
        <f>CHAIN_RAW!G179</f>
        <v/>
      </c>
      <c r="L179" s="13">
        <f>CHAIN_RAW!N179</f>
        <v/>
      </c>
      <c r="M179" s="13">
        <f>IFERROR(L179-K179,"")</f>
        <v/>
      </c>
      <c r="N179" s="13">
        <f>CHAIN_RAW!H179</f>
        <v/>
      </c>
      <c r="O179" s="13">
        <f>CHAIN_RAW!O179</f>
        <v/>
      </c>
      <c r="P179" s="13">
        <f>IFERROR(O179/N179,"")</f>
        <v/>
      </c>
      <c r="Q179" s="13">
        <f>CHAIN_RAW!I179</f>
        <v/>
      </c>
      <c r="R179" s="13">
        <f>CHAIN_RAW!P179</f>
        <v/>
      </c>
      <c r="S179" s="13">
        <f>IFERROR(R179/Q179,"")</f>
        <v/>
      </c>
      <c r="T179" s="13">
        <f>IFERROR((ABS(N179-O179)/MAX(1,(N179+O179)))*EXP(-ABS(E179-CONTROL!E5)/MAX(1,CONTROL!B8)),"")</f>
        <v/>
      </c>
      <c r="U179" s="13">
        <f>IFERROR(IF(O179&gt;N179,"SUPPORT (PE OI)","RESIST (CE OI)"),"")</f>
        <v/>
      </c>
      <c r="V179" s="13">
        <f>IFERROR(IF(Q179&gt;0,IF(R179&gt;0,"BOTH_ADD","CE_ADD_PE_REDUCE"),IF(R179&gt;0,"CE_REDUCE_PE_ADD","BOTH_REDUCE")),"")</f>
        <v/>
      </c>
      <c r="W179" s="13">
        <f>IFERROR( (P179-1)*0.5 + (M179)*0.1 - (I179+J179)*0.05 + T179*0.4 ,"")</f>
        <v/>
      </c>
      <c r="X179" s="13">
        <f>IFERROR(IF(ABS(F179)&lt;0.01,"ATM/NEAR",""),"")</f>
        <v/>
      </c>
    </row>
    <row r="180">
      <c r="A180" s="13">
        <f>CHAIN_RAW!A180</f>
        <v/>
      </c>
      <c r="B180" s="14">
        <f>CHAIN_RAW!B180</f>
        <v/>
      </c>
      <c r="C180" s="13">
        <f>CHAIN_RAW!C180</f>
        <v/>
      </c>
      <c r="D180" s="13">
        <f>CHAIN_RAW!D180</f>
        <v/>
      </c>
      <c r="E180" s="13">
        <f>CHAIN_RAW!E180</f>
        <v/>
      </c>
      <c r="F180" s="13">
        <f>IFERROR((E180-D180)/D180,"")</f>
        <v/>
      </c>
      <c r="G180" s="13">
        <f>IFERROR((CHAIN_RAW!K180+CHAIN_RAW!L180)/2,"")</f>
        <v/>
      </c>
      <c r="H180" s="13">
        <f>IFERROR((CHAIN_RAW!R180+CHAIN_RAW!S180)/2,"")</f>
        <v/>
      </c>
      <c r="I180" s="13">
        <f>IFERROR((CHAIN_RAW!L180-CHAIN_RAW!K180)/MAX(1E-9, G180),"")</f>
        <v/>
      </c>
      <c r="J180" s="13">
        <f>IFERROR((CHAIN_RAW!S180-CHAIN_RAW!R180)/MAX(1E-9, H180),"")</f>
        <v/>
      </c>
      <c r="K180" s="13">
        <f>CHAIN_RAW!G180</f>
        <v/>
      </c>
      <c r="L180" s="13">
        <f>CHAIN_RAW!N180</f>
        <v/>
      </c>
      <c r="M180" s="13">
        <f>IFERROR(L180-K180,"")</f>
        <v/>
      </c>
      <c r="N180" s="13">
        <f>CHAIN_RAW!H180</f>
        <v/>
      </c>
      <c r="O180" s="13">
        <f>CHAIN_RAW!O180</f>
        <v/>
      </c>
      <c r="P180" s="13">
        <f>IFERROR(O180/N180,"")</f>
        <v/>
      </c>
      <c r="Q180" s="13">
        <f>CHAIN_RAW!I180</f>
        <v/>
      </c>
      <c r="R180" s="13">
        <f>CHAIN_RAW!P180</f>
        <v/>
      </c>
      <c r="S180" s="13">
        <f>IFERROR(R180/Q180,"")</f>
        <v/>
      </c>
      <c r="T180" s="13">
        <f>IFERROR((ABS(N180-O180)/MAX(1,(N180+O180)))*EXP(-ABS(E180-CONTROL!E5)/MAX(1,CONTROL!B8)),"")</f>
        <v/>
      </c>
      <c r="U180" s="13">
        <f>IFERROR(IF(O180&gt;N180,"SUPPORT (PE OI)","RESIST (CE OI)"),"")</f>
        <v/>
      </c>
      <c r="V180" s="13">
        <f>IFERROR(IF(Q180&gt;0,IF(R180&gt;0,"BOTH_ADD","CE_ADD_PE_REDUCE"),IF(R180&gt;0,"CE_REDUCE_PE_ADD","BOTH_REDUCE")),"")</f>
        <v/>
      </c>
      <c r="W180" s="13">
        <f>IFERROR( (P180-1)*0.5 + (M180)*0.1 - (I180+J180)*0.05 + T180*0.4 ,"")</f>
        <v/>
      </c>
      <c r="X180" s="13">
        <f>IFERROR(IF(ABS(F180)&lt;0.01,"ATM/NEAR",""),"")</f>
        <v/>
      </c>
    </row>
    <row r="181">
      <c r="A181" s="13">
        <f>CHAIN_RAW!A181</f>
        <v/>
      </c>
      <c r="B181" s="14">
        <f>CHAIN_RAW!B181</f>
        <v/>
      </c>
      <c r="C181" s="13">
        <f>CHAIN_RAW!C181</f>
        <v/>
      </c>
      <c r="D181" s="13">
        <f>CHAIN_RAW!D181</f>
        <v/>
      </c>
      <c r="E181" s="13">
        <f>CHAIN_RAW!E181</f>
        <v/>
      </c>
      <c r="F181" s="13">
        <f>IFERROR((E181-D181)/D181,"")</f>
        <v/>
      </c>
      <c r="G181" s="13">
        <f>IFERROR((CHAIN_RAW!K181+CHAIN_RAW!L181)/2,"")</f>
        <v/>
      </c>
      <c r="H181" s="13">
        <f>IFERROR((CHAIN_RAW!R181+CHAIN_RAW!S181)/2,"")</f>
        <v/>
      </c>
      <c r="I181" s="13">
        <f>IFERROR((CHAIN_RAW!L181-CHAIN_RAW!K181)/MAX(1E-9, G181),"")</f>
        <v/>
      </c>
      <c r="J181" s="13">
        <f>IFERROR((CHAIN_RAW!S181-CHAIN_RAW!R181)/MAX(1E-9, H181),"")</f>
        <v/>
      </c>
      <c r="K181" s="13">
        <f>CHAIN_RAW!G181</f>
        <v/>
      </c>
      <c r="L181" s="13">
        <f>CHAIN_RAW!N181</f>
        <v/>
      </c>
      <c r="M181" s="13">
        <f>IFERROR(L181-K181,"")</f>
        <v/>
      </c>
      <c r="N181" s="13">
        <f>CHAIN_RAW!H181</f>
        <v/>
      </c>
      <c r="O181" s="13">
        <f>CHAIN_RAW!O181</f>
        <v/>
      </c>
      <c r="P181" s="13">
        <f>IFERROR(O181/N181,"")</f>
        <v/>
      </c>
      <c r="Q181" s="13">
        <f>CHAIN_RAW!I181</f>
        <v/>
      </c>
      <c r="R181" s="13">
        <f>CHAIN_RAW!P181</f>
        <v/>
      </c>
      <c r="S181" s="13">
        <f>IFERROR(R181/Q181,"")</f>
        <v/>
      </c>
      <c r="T181" s="13">
        <f>IFERROR((ABS(N181-O181)/MAX(1,(N181+O181)))*EXP(-ABS(E181-CONTROL!E5)/MAX(1,CONTROL!B8)),"")</f>
        <v/>
      </c>
      <c r="U181" s="13">
        <f>IFERROR(IF(O181&gt;N181,"SUPPORT (PE OI)","RESIST (CE OI)"),"")</f>
        <v/>
      </c>
      <c r="V181" s="13">
        <f>IFERROR(IF(Q181&gt;0,IF(R181&gt;0,"BOTH_ADD","CE_ADD_PE_REDUCE"),IF(R181&gt;0,"CE_REDUCE_PE_ADD","BOTH_REDUCE")),"")</f>
        <v/>
      </c>
      <c r="W181" s="13">
        <f>IFERROR( (P181-1)*0.5 + (M181)*0.1 - (I181+J181)*0.05 + T181*0.4 ,"")</f>
        <v/>
      </c>
      <c r="X181" s="13">
        <f>IFERROR(IF(ABS(F181)&lt;0.01,"ATM/NEAR",""),"")</f>
        <v/>
      </c>
    </row>
    <row r="182">
      <c r="A182" s="13">
        <f>CHAIN_RAW!A182</f>
        <v/>
      </c>
      <c r="B182" s="14">
        <f>CHAIN_RAW!B182</f>
        <v/>
      </c>
      <c r="C182" s="13">
        <f>CHAIN_RAW!C182</f>
        <v/>
      </c>
      <c r="D182" s="13">
        <f>CHAIN_RAW!D182</f>
        <v/>
      </c>
      <c r="E182" s="13">
        <f>CHAIN_RAW!E182</f>
        <v/>
      </c>
      <c r="F182" s="13">
        <f>IFERROR((E182-D182)/D182,"")</f>
        <v/>
      </c>
      <c r="G182" s="13">
        <f>IFERROR((CHAIN_RAW!K182+CHAIN_RAW!L182)/2,"")</f>
        <v/>
      </c>
      <c r="H182" s="13">
        <f>IFERROR((CHAIN_RAW!R182+CHAIN_RAW!S182)/2,"")</f>
        <v/>
      </c>
      <c r="I182" s="13">
        <f>IFERROR((CHAIN_RAW!L182-CHAIN_RAW!K182)/MAX(1E-9, G182),"")</f>
        <v/>
      </c>
      <c r="J182" s="13">
        <f>IFERROR((CHAIN_RAW!S182-CHAIN_RAW!R182)/MAX(1E-9, H182),"")</f>
        <v/>
      </c>
      <c r="K182" s="13">
        <f>CHAIN_RAW!G182</f>
        <v/>
      </c>
      <c r="L182" s="13">
        <f>CHAIN_RAW!N182</f>
        <v/>
      </c>
      <c r="M182" s="13">
        <f>IFERROR(L182-K182,"")</f>
        <v/>
      </c>
      <c r="N182" s="13">
        <f>CHAIN_RAW!H182</f>
        <v/>
      </c>
      <c r="O182" s="13">
        <f>CHAIN_RAW!O182</f>
        <v/>
      </c>
      <c r="P182" s="13">
        <f>IFERROR(O182/N182,"")</f>
        <v/>
      </c>
      <c r="Q182" s="13">
        <f>CHAIN_RAW!I182</f>
        <v/>
      </c>
      <c r="R182" s="13">
        <f>CHAIN_RAW!P182</f>
        <v/>
      </c>
      <c r="S182" s="13">
        <f>IFERROR(R182/Q182,"")</f>
        <v/>
      </c>
      <c r="T182" s="13">
        <f>IFERROR((ABS(N182-O182)/MAX(1,(N182+O182)))*EXP(-ABS(E182-CONTROL!E5)/MAX(1,CONTROL!B8)),"")</f>
        <v/>
      </c>
      <c r="U182" s="13">
        <f>IFERROR(IF(O182&gt;N182,"SUPPORT (PE OI)","RESIST (CE OI)"),"")</f>
        <v/>
      </c>
      <c r="V182" s="13">
        <f>IFERROR(IF(Q182&gt;0,IF(R182&gt;0,"BOTH_ADD","CE_ADD_PE_REDUCE"),IF(R182&gt;0,"CE_REDUCE_PE_ADD","BOTH_REDUCE")),"")</f>
        <v/>
      </c>
      <c r="W182" s="13">
        <f>IFERROR( (P182-1)*0.5 + (M182)*0.1 - (I182+J182)*0.05 + T182*0.4 ,"")</f>
        <v/>
      </c>
      <c r="X182" s="13">
        <f>IFERROR(IF(ABS(F182)&lt;0.01,"ATM/NEAR",""),"")</f>
        <v/>
      </c>
    </row>
    <row r="183">
      <c r="A183" s="13">
        <f>CHAIN_RAW!A183</f>
        <v/>
      </c>
      <c r="B183" s="14">
        <f>CHAIN_RAW!B183</f>
        <v/>
      </c>
      <c r="C183" s="13">
        <f>CHAIN_RAW!C183</f>
        <v/>
      </c>
      <c r="D183" s="13">
        <f>CHAIN_RAW!D183</f>
        <v/>
      </c>
      <c r="E183" s="13">
        <f>CHAIN_RAW!E183</f>
        <v/>
      </c>
      <c r="F183" s="13">
        <f>IFERROR((E183-D183)/D183,"")</f>
        <v/>
      </c>
      <c r="G183" s="13">
        <f>IFERROR((CHAIN_RAW!K183+CHAIN_RAW!L183)/2,"")</f>
        <v/>
      </c>
      <c r="H183" s="13">
        <f>IFERROR((CHAIN_RAW!R183+CHAIN_RAW!S183)/2,"")</f>
        <v/>
      </c>
      <c r="I183" s="13">
        <f>IFERROR((CHAIN_RAW!L183-CHAIN_RAW!K183)/MAX(1E-9, G183),"")</f>
        <v/>
      </c>
      <c r="J183" s="13">
        <f>IFERROR((CHAIN_RAW!S183-CHAIN_RAW!R183)/MAX(1E-9, H183),"")</f>
        <v/>
      </c>
      <c r="K183" s="13">
        <f>CHAIN_RAW!G183</f>
        <v/>
      </c>
      <c r="L183" s="13">
        <f>CHAIN_RAW!N183</f>
        <v/>
      </c>
      <c r="M183" s="13">
        <f>IFERROR(L183-K183,"")</f>
        <v/>
      </c>
      <c r="N183" s="13">
        <f>CHAIN_RAW!H183</f>
        <v/>
      </c>
      <c r="O183" s="13">
        <f>CHAIN_RAW!O183</f>
        <v/>
      </c>
      <c r="P183" s="13">
        <f>IFERROR(O183/N183,"")</f>
        <v/>
      </c>
      <c r="Q183" s="13">
        <f>CHAIN_RAW!I183</f>
        <v/>
      </c>
      <c r="R183" s="13">
        <f>CHAIN_RAW!P183</f>
        <v/>
      </c>
      <c r="S183" s="13">
        <f>IFERROR(R183/Q183,"")</f>
        <v/>
      </c>
      <c r="T183" s="13">
        <f>IFERROR((ABS(N183-O183)/MAX(1,(N183+O183)))*EXP(-ABS(E183-CONTROL!E5)/MAX(1,CONTROL!B8)),"")</f>
        <v/>
      </c>
      <c r="U183" s="13">
        <f>IFERROR(IF(O183&gt;N183,"SUPPORT (PE OI)","RESIST (CE OI)"),"")</f>
        <v/>
      </c>
      <c r="V183" s="13">
        <f>IFERROR(IF(Q183&gt;0,IF(R183&gt;0,"BOTH_ADD","CE_ADD_PE_REDUCE"),IF(R183&gt;0,"CE_REDUCE_PE_ADD","BOTH_REDUCE")),"")</f>
        <v/>
      </c>
      <c r="W183" s="13">
        <f>IFERROR( (P183-1)*0.5 + (M183)*0.1 - (I183+J183)*0.05 + T183*0.4 ,"")</f>
        <v/>
      </c>
      <c r="X183" s="13">
        <f>IFERROR(IF(ABS(F183)&lt;0.01,"ATM/NEAR",""),"")</f>
        <v/>
      </c>
    </row>
    <row r="184">
      <c r="A184" s="13">
        <f>CHAIN_RAW!A184</f>
        <v/>
      </c>
      <c r="B184" s="14">
        <f>CHAIN_RAW!B184</f>
        <v/>
      </c>
      <c r="C184" s="13">
        <f>CHAIN_RAW!C184</f>
        <v/>
      </c>
      <c r="D184" s="13">
        <f>CHAIN_RAW!D184</f>
        <v/>
      </c>
      <c r="E184" s="13">
        <f>CHAIN_RAW!E184</f>
        <v/>
      </c>
      <c r="F184" s="13">
        <f>IFERROR((E184-D184)/D184,"")</f>
        <v/>
      </c>
      <c r="G184" s="13">
        <f>IFERROR((CHAIN_RAW!K184+CHAIN_RAW!L184)/2,"")</f>
        <v/>
      </c>
      <c r="H184" s="13">
        <f>IFERROR((CHAIN_RAW!R184+CHAIN_RAW!S184)/2,"")</f>
        <v/>
      </c>
      <c r="I184" s="13">
        <f>IFERROR((CHAIN_RAW!L184-CHAIN_RAW!K184)/MAX(1E-9, G184),"")</f>
        <v/>
      </c>
      <c r="J184" s="13">
        <f>IFERROR((CHAIN_RAW!S184-CHAIN_RAW!R184)/MAX(1E-9, H184),"")</f>
        <v/>
      </c>
      <c r="K184" s="13">
        <f>CHAIN_RAW!G184</f>
        <v/>
      </c>
      <c r="L184" s="13">
        <f>CHAIN_RAW!N184</f>
        <v/>
      </c>
      <c r="M184" s="13">
        <f>IFERROR(L184-K184,"")</f>
        <v/>
      </c>
      <c r="N184" s="13">
        <f>CHAIN_RAW!H184</f>
        <v/>
      </c>
      <c r="O184" s="13">
        <f>CHAIN_RAW!O184</f>
        <v/>
      </c>
      <c r="P184" s="13">
        <f>IFERROR(O184/N184,"")</f>
        <v/>
      </c>
      <c r="Q184" s="13">
        <f>CHAIN_RAW!I184</f>
        <v/>
      </c>
      <c r="R184" s="13">
        <f>CHAIN_RAW!P184</f>
        <v/>
      </c>
      <c r="S184" s="13">
        <f>IFERROR(R184/Q184,"")</f>
        <v/>
      </c>
      <c r="T184" s="13">
        <f>IFERROR((ABS(N184-O184)/MAX(1,(N184+O184)))*EXP(-ABS(E184-CONTROL!E5)/MAX(1,CONTROL!B8)),"")</f>
        <v/>
      </c>
      <c r="U184" s="13">
        <f>IFERROR(IF(O184&gt;N184,"SUPPORT (PE OI)","RESIST (CE OI)"),"")</f>
        <v/>
      </c>
      <c r="V184" s="13">
        <f>IFERROR(IF(Q184&gt;0,IF(R184&gt;0,"BOTH_ADD","CE_ADD_PE_REDUCE"),IF(R184&gt;0,"CE_REDUCE_PE_ADD","BOTH_REDUCE")),"")</f>
        <v/>
      </c>
      <c r="W184" s="13">
        <f>IFERROR( (P184-1)*0.5 + (M184)*0.1 - (I184+J184)*0.05 + T184*0.4 ,"")</f>
        <v/>
      </c>
      <c r="X184" s="13">
        <f>IFERROR(IF(ABS(F184)&lt;0.01,"ATM/NEAR",""),"")</f>
        <v/>
      </c>
    </row>
    <row r="185">
      <c r="A185" s="13">
        <f>CHAIN_RAW!A185</f>
        <v/>
      </c>
      <c r="B185" s="14">
        <f>CHAIN_RAW!B185</f>
        <v/>
      </c>
      <c r="C185" s="13">
        <f>CHAIN_RAW!C185</f>
        <v/>
      </c>
      <c r="D185" s="13">
        <f>CHAIN_RAW!D185</f>
        <v/>
      </c>
      <c r="E185" s="13">
        <f>CHAIN_RAW!E185</f>
        <v/>
      </c>
      <c r="F185" s="13">
        <f>IFERROR((E185-D185)/D185,"")</f>
        <v/>
      </c>
      <c r="G185" s="13">
        <f>IFERROR((CHAIN_RAW!K185+CHAIN_RAW!L185)/2,"")</f>
        <v/>
      </c>
      <c r="H185" s="13">
        <f>IFERROR((CHAIN_RAW!R185+CHAIN_RAW!S185)/2,"")</f>
        <v/>
      </c>
      <c r="I185" s="13">
        <f>IFERROR((CHAIN_RAW!L185-CHAIN_RAW!K185)/MAX(1E-9, G185),"")</f>
        <v/>
      </c>
      <c r="J185" s="13">
        <f>IFERROR((CHAIN_RAW!S185-CHAIN_RAW!R185)/MAX(1E-9, H185),"")</f>
        <v/>
      </c>
      <c r="K185" s="13">
        <f>CHAIN_RAW!G185</f>
        <v/>
      </c>
      <c r="L185" s="13">
        <f>CHAIN_RAW!N185</f>
        <v/>
      </c>
      <c r="M185" s="13">
        <f>IFERROR(L185-K185,"")</f>
        <v/>
      </c>
      <c r="N185" s="13">
        <f>CHAIN_RAW!H185</f>
        <v/>
      </c>
      <c r="O185" s="13">
        <f>CHAIN_RAW!O185</f>
        <v/>
      </c>
      <c r="P185" s="13">
        <f>IFERROR(O185/N185,"")</f>
        <v/>
      </c>
      <c r="Q185" s="13">
        <f>CHAIN_RAW!I185</f>
        <v/>
      </c>
      <c r="R185" s="13">
        <f>CHAIN_RAW!P185</f>
        <v/>
      </c>
      <c r="S185" s="13">
        <f>IFERROR(R185/Q185,"")</f>
        <v/>
      </c>
      <c r="T185" s="13">
        <f>IFERROR((ABS(N185-O185)/MAX(1,(N185+O185)))*EXP(-ABS(E185-CONTROL!E5)/MAX(1,CONTROL!B8)),"")</f>
        <v/>
      </c>
      <c r="U185" s="13">
        <f>IFERROR(IF(O185&gt;N185,"SUPPORT (PE OI)","RESIST (CE OI)"),"")</f>
        <v/>
      </c>
      <c r="V185" s="13">
        <f>IFERROR(IF(Q185&gt;0,IF(R185&gt;0,"BOTH_ADD","CE_ADD_PE_REDUCE"),IF(R185&gt;0,"CE_REDUCE_PE_ADD","BOTH_REDUCE")),"")</f>
        <v/>
      </c>
      <c r="W185" s="13">
        <f>IFERROR( (P185-1)*0.5 + (M185)*0.1 - (I185+J185)*0.05 + T185*0.4 ,"")</f>
        <v/>
      </c>
      <c r="X185" s="13">
        <f>IFERROR(IF(ABS(F185)&lt;0.01,"ATM/NEAR",""),"")</f>
        <v/>
      </c>
    </row>
    <row r="186">
      <c r="A186" s="13">
        <f>CHAIN_RAW!A186</f>
        <v/>
      </c>
      <c r="B186" s="14">
        <f>CHAIN_RAW!B186</f>
        <v/>
      </c>
      <c r="C186" s="13">
        <f>CHAIN_RAW!C186</f>
        <v/>
      </c>
      <c r="D186" s="13">
        <f>CHAIN_RAW!D186</f>
        <v/>
      </c>
      <c r="E186" s="13">
        <f>CHAIN_RAW!E186</f>
        <v/>
      </c>
      <c r="F186" s="13">
        <f>IFERROR((E186-D186)/D186,"")</f>
        <v/>
      </c>
      <c r="G186" s="13">
        <f>IFERROR((CHAIN_RAW!K186+CHAIN_RAW!L186)/2,"")</f>
        <v/>
      </c>
      <c r="H186" s="13">
        <f>IFERROR((CHAIN_RAW!R186+CHAIN_RAW!S186)/2,"")</f>
        <v/>
      </c>
      <c r="I186" s="13">
        <f>IFERROR((CHAIN_RAW!L186-CHAIN_RAW!K186)/MAX(1E-9, G186),"")</f>
        <v/>
      </c>
      <c r="J186" s="13">
        <f>IFERROR((CHAIN_RAW!S186-CHAIN_RAW!R186)/MAX(1E-9, H186),"")</f>
        <v/>
      </c>
      <c r="K186" s="13">
        <f>CHAIN_RAW!G186</f>
        <v/>
      </c>
      <c r="L186" s="13">
        <f>CHAIN_RAW!N186</f>
        <v/>
      </c>
      <c r="M186" s="13">
        <f>IFERROR(L186-K186,"")</f>
        <v/>
      </c>
      <c r="N186" s="13">
        <f>CHAIN_RAW!H186</f>
        <v/>
      </c>
      <c r="O186" s="13">
        <f>CHAIN_RAW!O186</f>
        <v/>
      </c>
      <c r="P186" s="13">
        <f>IFERROR(O186/N186,"")</f>
        <v/>
      </c>
      <c r="Q186" s="13">
        <f>CHAIN_RAW!I186</f>
        <v/>
      </c>
      <c r="R186" s="13">
        <f>CHAIN_RAW!P186</f>
        <v/>
      </c>
      <c r="S186" s="13">
        <f>IFERROR(R186/Q186,"")</f>
        <v/>
      </c>
      <c r="T186" s="13">
        <f>IFERROR((ABS(N186-O186)/MAX(1,(N186+O186)))*EXP(-ABS(E186-CONTROL!E5)/MAX(1,CONTROL!B8)),"")</f>
        <v/>
      </c>
      <c r="U186" s="13">
        <f>IFERROR(IF(O186&gt;N186,"SUPPORT (PE OI)","RESIST (CE OI)"),"")</f>
        <v/>
      </c>
      <c r="V186" s="13">
        <f>IFERROR(IF(Q186&gt;0,IF(R186&gt;0,"BOTH_ADD","CE_ADD_PE_REDUCE"),IF(R186&gt;0,"CE_REDUCE_PE_ADD","BOTH_REDUCE")),"")</f>
        <v/>
      </c>
      <c r="W186" s="13">
        <f>IFERROR( (P186-1)*0.5 + (M186)*0.1 - (I186+J186)*0.05 + T186*0.4 ,"")</f>
        <v/>
      </c>
      <c r="X186" s="13">
        <f>IFERROR(IF(ABS(F186)&lt;0.01,"ATM/NEAR",""),"")</f>
        <v/>
      </c>
    </row>
    <row r="187">
      <c r="A187" s="13">
        <f>CHAIN_RAW!A187</f>
        <v/>
      </c>
      <c r="B187" s="14">
        <f>CHAIN_RAW!B187</f>
        <v/>
      </c>
      <c r="C187" s="13">
        <f>CHAIN_RAW!C187</f>
        <v/>
      </c>
      <c r="D187" s="13">
        <f>CHAIN_RAW!D187</f>
        <v/>
      </c>
      <c r="E187" s="13">
        <f>CHAIN_RAW!E187</f>
        <v/>
      </c>
      <c r="F187" s="13">
        <f>IFERROR((E187-D187)/D187,"")</f>
        <v/>
      </c>
      <c r="G187" s="13">
        <f>IFERROR((CHAIN_RAW!K187+CHAIN_RAW!L187)/2,"")</f>
        <v/>
      </c>
      <c r="H187" s="13">
        <f>IFERROR((CHAIN_RAW!R187+CHAIN_RAW!S187)/2,"")</f>
        <v/>
      </c>
      <c r="I187" s="13">
        <f>IFERROR((CHAIN_RAW!L187-CHAIN_RAW!K187)/MAX(1E-9, G187),"")</f>
        <v/>
      </c>
      <c r="J187" s="13">
        <f>IFERROR((CHAIN_RAW!S187-CHAIN_RAW!R187)/MAX(1E-9, H187),"")</f>
        <v/>
      </c>
      <c r="K187" s="13">
        <f>CHAIN_RAW!G187</f>
        <v/>
      </c>
      <c r="L187" s="13">
        <f>CHAIN_RAW!N187</f>
        <v/>
      </c>
      <c r="M187" s="13">
        <f>IFERROR(L187-K187,"")</f>
        <v/>
      </c>
      <c r="N187" s="13">
        <f>CHAIN_RAW!H187</f>
        <v/>
      </c>
      <c r="O187" s="13">
        <f>CHAIN_RAW!O187</f>
        <v/>
      </c>
      <c r="P187" s="13">
        <f>IFERROR(O187/N187,"")</f>
        <v/>
      </c>
      <c r="Q187" s="13">
        <f>CHAIN_RAW!I187</f>
        <v/>
      </c>
      <c r="R187" s="13">
        <f>CHAIN_RAW!P187</f>
        <v/>
      </c>
      <c r="S187" s="13">
        <f>IFERROR(R187/Q187,"")</f>
        <v/>
      </c>
      <c r="T187" s="13">
        <f>IFERROR((ABS(N187-O187)/MAX(1,(N187+O187)))*EXP(-ABS(E187-CONTROL!E5)/MAX(1,CONTROL!B8)),"")</f>
        <v/>
      </c>
      <c r="U187" s="13">
        <f>IFERROR(IF(O187&gt;N187,"SUPPORT (PE OI)","RESIST (CE OI)"),"")</f>
        <v/>
      </c>
      <c r="V187" s="13">
        <f>IFERROR(IF(Q187&gt;0,IF(R187&gt;0,"BOTH_ADD","CE_ADD_PE_REDUCE"),IF(R187&gt;0,"CE_REDUCE_PE_ADD","BOTH_REDUCE")),"")</f>
        <v/>
      </c>
      <c r="W187" s="13">
        <f>IFERROR( (P187-1)*0.5 + (M187)*0.1 - (I187+J187)*0.05 + T187*0.4 ,"")</f>
        <v/>
      </c>
      <c r="X187" s="13">
        <f>IFERROR(IF(ABS(F187)&lt;0.01,"ATM/NEAR",""),"")</f>
        <v/>
      </c>
    </row>
    <row r="188">
      <c r="A188" s="13">
        <f>CHAIN_RAW!A188</f>
        <v/>
      </c>
      <c r="B188" s="14">
        <f>CHAIN_RAW!B188</f>
        <v/>
      </c>
      <c r="C188" s="13">
        <f>CHAIN_RAW!C188</f>
        <v/>
      </c>
      <c r="D188" s="13">
        <f>CHAIN_RAW!D188</f>
        <v/>
      </c>
      <c r="E188" s="13">
        <f>CHAIN_RAW!E188</f>
        <v/>
      </c>
      <c r="F188" s="13">
        <f>IFERROR((E188-D188)/D188,"")</f>
        <v/>
      </c>
      <c r="G188" s="13">
        <f>IFERROR((CHAIN_RAW!K188+CHAIN_RAW!L188)/2,"")</f>
        <v/>
      </c>
      <c r="H188" s="13">
        <f>IFERROR((CHAIN_RAW!R188+CHAIN_RAW!S188)/2,"")</f>
        <v/>
      </c>
      <c r="I188" s="13">
        <f>IFERROR((CHAIN_RAW!L188-CHAIN_RAW!K188)/MAX(1E-9, G188),"")</f>
        <v/>
      </c>
      <c r="J188" s="13">
        <f>IFERROR((CHAIN_RAW!S188-CHAIN_RAW!R188)/MAX(1E-9, H188),"")</f>
        <v/>
      </c>
      <c r="K188" s="13">
        <f>CHAIN_RAW!G188</f>
        <v/>
      </c>
      <c r="L188" s="13">
        <f>CHAIN_RAW!N188</f>
        <v/>
      </c>
      <c r="M188" s="13">
        <f>IFERROR(L188-K188,"")</f>
        <v/>
      </c>
      <c r="N188" s="13">
        <f>CHAIN_RAW!H188</f>
        <v/>
      </c>
      <c r="O188" s="13">
        <f>CHAIN_RAW!O188</f>
        <v/>
      </c>
      <c r="P188" s="13">
        <f>IFERROR(O188/N188,"")</f>
        <v/>
      </c>
      <c r="Q188" s="13">
        <f>CHAIN_RAW!I188</f>
        <v/>
      </c>
      <c r="R188" s="13">
        <f>CHAIN_RAW!P188</f>
        <v/>
      </c>
      <c r="S188" s="13">
        <f>IFERROR(R188/Q188,"")</f>
        <v/>
      </c>
      <c r="T188" s="13">
        <f>IFERROR((ABS(N188-O188)/MAX(1,(N188+O188)))*EXP(-ABS(E188-CONTROL!E5)/MAX(1,CONTROL!B8)),"")</f>
        <v/>
      </c>
      <c r="U188" s="13">
        <f>IFERROR(IF(O188&gt;N188,"SUPPORT (PE OI)","RESIST (CE OI)"),"")</f>
        <v/>
      </c>
      <c r="V188" s="13">
        <f>IFERROR(IF(Q188&gt;0,IF(R188&gt;0,"BOTH_ADD","CE_ADD_PE_REDUCE"),IF(R188&gt;0,"CE_REDUCE_PE_ADD","BOTH_REDUCE")),"")</f>
        <v/>
      </c>
      <c r="W188" s="13">
        <f>IFERROR( (P188-1)*0.5 + (M188)*0.1 - (I188+J188)*0.05 + T188*0.4 ,"")</f>
        <v/>
      </c>
      <c r="X188" s="13">
        <f>IFERROR(IF(ABS(F188)&lt;0.01,"ATM/NEAR",""),"")</f>
        <v/>
      </c>
    </row>
    <row r="189">
      <c r="A189" s="13">
        <f>CHAIN_RAW!A189</f>
        <v/>
      </c>
      <c r="B189" s="14">
        <f>CHAIN_RAW!B189</f>
        <v/>
      </c>
      <c r="C189" s="13">
        <f>CHAIN_RAW!C189</f>
        <v/>
      </c>
      <c r="D189" s="13">
        <f>CHAIN_RAW!D189</f>
        <v/>
      </c>
      <c r="E189" s="13">
        <f>CHAIN_RAW!E189</f>
        <v/>
      </c>
      <c r="F189" s="13">
        <f>IFERROR((E189-D189)/D189,"")</f>
        <v/>
      </c>
      <c r="G189" s="13">
        <f>IFERROR((CHAIN_RAW!K189+CHAIN_RAW!L189)/2,"")</f>
        <v/>
      </c>
      <c r="H189" s="13">
        <f>IFERROR((CHAIN_RAW!R189+CHAIN_RAW!S189)/2,"")</f>
        <v/>
      </c>
      <c r="I189" s="13">
        <f>IFERROR((CHAIN_RAW!L189-CHAIN_RAW!K189)/MAX(1E-9, G189),"")</f>
        <v/>
      </c>
      <c r="J189" s="13">
        <f>IFERROR((CHAIN_RAW!S189-CHAIN_RAW!R189)/MAX(1E-9, H189),"")</f>
        <v/>
      </c>
      <c r="K189" s="13">
        <f>CHAIN_RAW!G189</f>
        <v/>
      </c>
      <c r="L189" s="13">
        <f>CHAIN_RAW!N189</f>
        <v/>
      </c>
      <c r="M189" s="13">
        <f>IFERROR(L189-K189,"")</f>
        <v/>
      </c>
      <c r="N189" s="13">
        <f>CHAIN_RAW!H189</f>
        <v/>
      </c>
      <c r="O189" s="13">
        <f>CHAIN_RAW!O189</f>
        <v/>
      </c>
      <c r="P189" s="13">
        <f>IFERROR(O189/N189,"")</f>
        <v/>
      </c>
      <c r="Q189" s="13">
        <f>CHAIN_RAW!I189</f>
        <v/>
      </c>
      <c r="R189" s="13">
        <f>CHAIN_RAW!P189</f>
        <v/>
      </c>
      <c r="S189" s="13">
        <f>IFERROR(R189/Q189,"")</f>
        <v/>
      </c>
      <c r="T189" s="13">
        <f>IFERROR((ABS(N189-O189)/MAX(1,(N189+O189)))*EXP(-ABS(E189-CONTROL!E5)/MAX(1,CONTROL!B8)),"")</f>
        <v/>
      </c>
      <c r="U189" s="13">
        <f>IFERROR(IF(O189&gt;N189,"SUPPORT (PE OI)","RESIST (CE OI)"),"")</f>
        <v/>
      </c>
      <c r="V189" s="13">
        <f>IFERROR(IF(Q189&gt;0,IF(R189&gt;0,"BOTH_ADD","CE_ADD_PE_REDUCE"),IF(R189&gt;0,"CE_REDUCE_PE_ADD","BOTH_REDUCE")),"")</f>
        <v/>
      </c>
      <c r="W189" s="13">
        <f>IFERROR( (P189-1)*0.5 + (M189)*0.1 - (I189+J189)*0.05 + T189*0.4 ,"")</f>
        <v/>
      </c>
      <c r="X189" s="13">
        <f>IFERROR(IF(ABS(F189)&lt;0.01,"ATM/NEAR",""),"")</f>
        <v/>
      </c>
    </row>
    <row r="190">
      <c r="A190" s="13">
        <f>CHAIN_RAW!A190</f>
        <v/>
      </c>
      <c r="B190" s="14">
        <f>CHAIN_RAW!B190</f>
        <v/>
      </c>
      <c r="C190" s="13">
        <f>CHAIN_RAW!C190</f>
        <v/>
      </c>
      <c r="D190" s="13">
        <f>CHAIN_RAW!D190</f>
        <v/>
      </c>
      <c r="E190" s="13">
        <f>CHAIN_RAW!E190</f>
        <v/>
      </c>
      <c r="F190" s="13">
        <f>IFERROR((E190-D190)/D190,"")</f>
        <v/>
      </c>
      <c r="G190" s="13">
        <f>IFERROR((CHAIN_RAW!K190+CHAIN_RAW!L190)/2,"")</f>
        <v/>
      </c>
      <c r="H190" s="13">
        <f>IFERROR((CHAIN_RAW!R190+CHAIN_RAW!S190)/2,"")</f>
        <v/>
      </c>
      <c r="I190" s="13">
        <f>IFERROR((CHAIN_RAW!L190-CHAIN_RAW!K190)/MAX(1E-9, G190),"")</f>
        <v/>
      </c>
      <c r="J190" s="13">
        <f>IFERROR((CHAIN_RAW!S190-CHAIN_RAW!R190)/MAX(1E-9, H190),"")</f>
        <v/>
      </c>
      <c r="K190" s="13">
        <f>CHAIN_RAW!G190</f>
        <v/>
      </c>
      <c r="L190" s="13">
        <f>CHAIN_RAW!N190</f>
        <v/>
      </c>
      <c r="M190" s="13">
        <f>IFERROR(L190-K190,"")</f>
        <v/>
      </c>
      <c r="N190" s="13">
        <f>CHAIN_RAW!H190</f>
        <v/>
      </c>
      <c r="O190" s="13">
        <f>CHAIN_RAW!O190</f>
        <v/>
      </c>
      <c r="P190" s="13">
        <f>IFERROR(O190/N190,"")</f>
        <v/>
      </c>
      <c r="Q190" s="13">
        <f>CHAIN_RAW!I190</f>
        <v/>
      </c>
      <c r="R190" s="13">
        <f>CHAIN_RAW!P190</f>
        <v/>
      </c>
      <c r="S190" s="13">
        <f>IFERROR(R190/Q190,"")</f>
        <v/>
      </c>
      <c r="T190" s="13">
        <f>IFERROR((ABS(N190-O190)/MAX(1,(N190+O190)))*EXP(-ABS(E190-CONTROL!E5)/MAX(1,CONTROL!B8)),"")</f>
        <v/>
      </c>
      <c r="U190" s="13">
        <f>IFERROR(IF(O190&gt;N190,"SUPPORT (PE OI)","RESIST (CE OI)"),"")</f>
        <v/>
      </c>
      <c r="V190" s="13">
        <f>IFERROR(IF(Q190&gt;0,IF(R190&gt;0,"BOTH_ADD","CE_ADD_PE_REDUCE"),IF(R190&gt;0,"CE_REDUCE_PE_ADD","BOTH_REDUCE")),"")</f>
        <v/>
      </c>
      <c r="W190" s="13">
        <f>IFERROR( (P190-1)*0.5 + (M190)*0.1 - (I190+J190)*0.05 + T190*0.4 ,"")</f>
        <v/>
      </c>
      <c r="X190" s="13">
        <f>IFERROR(IF(ABS(F190)&lt;0.01,"ATM/NEAR",""),"")</f>
        <v/>
      </c>
    </row>
    <row r="191">
      <c r="A191" s="13">
        <f>CHAIN_RAW!A191</f>
        <v/>
      </c>
      <c r="B191" s="14">
        <f>CHAIN_RAW!B191</f>
        <v/>
      </c>
      <c r="C191" s="13">
        <f>CHAIN_RAW!C191</f>
        <v/>
      </c>
      <c r="D191" s="13">
        <f>CHAIN_RAW!D191</f>
        <v/>
      </c>
      <c r="E191" s="13">
        <f>CHAIN_RAW!E191</f>
        <v/>
      </c>
      <c r="F191" s="13">
        <f>IFERROR((E191-D191)/D191,"")</f>
        <v/>
      </c>
      <c r="G191" s="13">
        <f>IFERROR((CHAIN_RAW!K191+CHAIN_RAW!L191)/2,"")</f>
        <v/>
      </c>
      <c r="H191" s="13">
        <f>IFERROR((CHAIN_RAW!R191+CHAIN_RAW!S191)/2,"")</f>
        <v/>
      </c>
      <c r="I191" s="13">
        <f>IFERROR((CHAIN_RAW!L191-CHAIN_RAW!K191)/MAX(1E-9, G191),"")</f>
        <v/>
      </c>
      <c r="J191" s="13">
        <f>IFERROR((CHAIN_RAW!S191-CHAIN_RAW!R191)/MAX(1E-9, H191),"")</f>
        <v/>
      </c>
      <c r="K191" s="13">
        <f>CHAIN_RAW!G191</f>
        <v/>
      </c>
      <c r="L191" s="13">
        <f>CHAIN_RAW!N191</f>
        <v/>
      </c>
      <c r="M191" s="13">
        <f>IFERROR(L191-K191,"")</f>
        <v/>
      </c>
      <c r="N191" s="13">
        <f>CHAIN_RAW!H191</f>
        <v/>
      </c>
      <c r="O191" s="13">
        <f>CHAIN_RAW!O191</f>
        <v/>
      </c>
      <c r="P191" s="13">
        <f>IFERROR(O191/N191,"")</f>
        <v/>
      </c>
      <c r="Q191" s="13">
        <f>CHAIN_RAW!I191</f>
        <v/>
      </c>
      <c r="R191" s="13">
        <f>CHAIN_RAW!P191</f>
        <v/>
      </c>
      <c r="S191" s="13">
        <f>IFERROR(R191/Q191,"")</f>
        <v/>
      </c>
      <c r="T191" s="13">
        <f>IFERROR((ABS(N191-O191)/MAX(1,(N191+O191)))*EXP(-ABS(E191-CONTROL!E5)/MAX(1,CONTROL!B8)),"")</f>
        <v/>
      </c>
      <c r="U191" s="13">
        <f>IFERROR(IF(O191&gt;N191,"SUPPORT (PE OI)","RESIST (CE OI)"),"")</f>
        <v/>
      </c>
      <c r="V191" s="13">
        <f>IFERROR(IF(Q191&gt;0,IF(R191&gt;0,"BOTH_ADD","CE_ADD_PE_REDUCE"),IF(R191&gt;0,"CE_REDUCE_PE_ADD","BOTH_REDUCE")),"")</f>
        <v/>
      </c>
      <c r="W191" s="13">
        <f>IFERROR( (P191-1)*0.5 + (M191)*0.1 - (I191+J191)*0.05 + T191*0.4 ,"")</f>
        <v/>
      </c>
      <c r="X191" s="13">
        <f>IFERROR(IF(ABS(F191)&lt;0.01,"ATM/NEAR",""),"")</f>
        <v/>
      </c>
    </row>
    <row r="192">
      <c r="A192" s="13">
        <f>CHAIN_RAW!A192</f>
        <v/>
      </c>
      <c r="B192" s="14">
        <f>CHAIN_RAW!B192</f>
        <v/>
      </c>
      <c r="C192" s="13">
        <f>CHAIN_RAW!C192</f>
        <v/>
      </c>
      <c r="D192" s="13">
        <f>CHAIN_RAW!D192</f>
        <v/>
      </c>
      <c r="E192" s="13">
        <f>CHAIN_RAW!E192</f>
        <v/>
      </c>
      <c r="F192" s="13">
        <f>IFERROR((E192-D192)/D192,"")</f>
        <v/>
      </c>
      <c r="G192" s="13">
        <f>IFERROR((CHAIN_RAW!K192+CHAIN_RAW!L192)/2,"")</f>
        <v/>
      </c>
      <c r="H192" s="13">
        <f>IFERROR((CHAIN_RAW!R192+CHAIN_RAW!S192)/2,"")</f>
        <v/>
      </c>
      <c r="I192" s="13">
        <f>IFERROR((CHAIN_RAW!L192-CHAIN_RAW!K192)/MAX(1E-9, G192),"")</f>
        <v/>
      </c>
      <c r="J192" s="13">
        <f>IFERROR((CHAIN_RAW!S192-CHAIN_RAW!R192)/MAX(1E-9, H192),"")</f>
        <v/>
      </c>
      <c r="K192" s="13">
        <f>CHAIN_RAW!G192</f>
        <v/>
      </c>
      <c r="L192" s="13">
        <f>CHAIN_RAW!N192</f>
        <v/>
      </c>
      <c r="M192" s="13">
        <f>IFERROR(L192-K192,"")</f>
        <v/>
      </c>
      <c r="N192" s="13">
        <f>CHAIN_RAW!H192</f>
        <v/>
      </c>
      <c r="O192" s="13">
        <f>CHAIN_RAW!O192</f>
        <v/>
      </c>
      <c r="P192" s="13">
        <f>IFERROR(O192/N192,"")</f>
        <v/>
      </c>
      <c r="Q192" s="13">
        <f>CHAIN_RAW!I192</f>
        <v/>
      </c>
      <c r="R192" s="13">
        <f>CHAIN_RAW!P192</f>
        <v/>
      </c>
      <c r="S192" s="13">
        <f>IFERROR(R192/Q192,"")</f>
        <v/>
      </c>
      <c r="T192" s="13">
        <f>IFERROR((ABS(N192-O192)/MAX(1,(N192+O192)))*EXP(-ABS(E192-CONTROL!E5)/MAX(1,CONTROL!B8)),"")</f>
        <v/>
      </c>
      <c r="U192" s="13">
        <f>IFERROR(IF(O192&gt;N192,"SUPPORT (PE OI)","RESIST (CE OI)"),"")</f>
        <v/>
      </c>
      <c r="V192" s="13">
        <f>IFERROR(IF(Q192&gt;0,IF(R192&gt;0,"BOTH_ADD","CE_ADD_PE_REDUCE"),IF(R192&gt;0,"CE_REDUCE_PE_ADD","BOTH_REDUCE")),"")</f>
        <v/>
      </c>
      <c r="W192" s="13">
        <f>IFERROR( (P192-1)*0.5 + (M192)*0.1 - (I192+J192)*0.05 + T192*0.4 ,"")</f>
        <v/>
      </c>
      <c r="X192" s="13">
        <f>IFERROR(IF(ABS(F192)&lt;0.01,"ATM/NEAR",""),"")</f>
        <v/>
      </c>
    </row>
    <row r="193">
      <c r="A193" s="13">
        <f>CHAIN_RAW!A193</f>
        <v/>
      </c>
      <c r="B193" s="14">
        <f>CHAIN_RAW!B193</f>
        <v/>
      </c>
      <c r="C193" s="13">
        <f>CHAIN_RAW!C193</f>
        <v/>
      </c>
      <c r="D193" s="13">
        <f>CHAIN_RAW!D193</f>
        <v/>
      </c>
      <c r="E193" s="13">
        <f>CHAIN_RAW!E193</f>
        <v/>
      </c>
      <c r="F193" s="13">
        <f>IFERROR((E193-D193)/D193,"")</f>
        <v/>
      </c>
      <c r="G193" s="13">
        <f>IFERROR((CHAIN_RAW!K193+CHAIN_RAW!L193)/2,"")</f>
        <v/>
      </c>
      <c r="H193" s="13">
        <f>IFERROR((CHAIN_RAW!R193+CHAIN_RAW!S193)/2,"")</f>
        <v/>
      </c>
      <c r="I193" s="13">
        <f>IFERROR((CHAIN_RAW!L193-CHAIN_RAW!K193)/MAX(1E-9, G193),"")</f>
        <v/>
      </c>
      <c r="J193" s="13">
        <f>IFERROR((CHAIN_RAW!S193-CHAIN_RAW!R193)/MAX(1E-9, H193),"")</f>
        <v/>
      </c>
      <c r="K193" s="13">
        <f>CHAIN_RAW!G193</f>
        <v/>
      </c>
      <c r="L193" s="13">
        <f>CHAIN_RAW!N193</f>
        <v/>
      </c>
      <c r="M193" s="13">
        <f>IFERROR(L193-K193,"")</f>
        <v/>
      </c>
      <c r="N193" s="13">
        <f>CHAIN_RAW!H193</f>
        <v/>
      </c>
      <c r="O193" s="13">
        <f>CHAIN_RAW!O193</f>
        <v/>
      </c>
      <c r="P193" s="13">
        <f>IFERROR(O193/N193,"")</f>
        <v/>
      </c>
      <c r="Q193" s="13">
        <f>CHAIN_RAW!I193</f>
        <v/>
      </c>
      <c r="R193" s="13">
        <f>CHAIN_RAW!P193</f>
        <v/>
      </c>
      <c r="S193" s="13">
        <f>IFERROR(R193/Q193,"")</f>
        <v/>
      </c>
      <c r="T193" s="13">
        <f>IFERROR((ABS(N193-O193)/MAX(1,(N193+O193)))*EXP(-ABS(E193-CONTROL!E5)/MAX(1,CONTROL!B8)),"")</f>
        <v/>
      </c>
      <c r="U193" s="13">
        <f>IFERROR(IF(O193&gt;N193,"SUPPORT (PE OI)","RESIST (CE OI)"),"")</f>
        <v/>
      </c>
      <c r="V193" s="13">
        <f>IFERROR(IF(Q193&gt;0,IF(R193&gt;0,"BOTH_ADD","CE_ADD_PE_REDUCE"),IF(R193&gt;0,"CE_REDUCE_PE_ADD","BOTH_REDUCE")),"")</f>
        <v/>
      </c>
      <c r="W193" s="13">
        <f>IFERROR( (P193-1)*0.5 + (M193)*0.1 - (I193+J193)*0.05 + T193*0.4 ,"")</f>
        <v/>
      </c>
      <c r="X193" s="13">
        <f>IFERROR(IF(ABS(F193)&lt;0.01,"ATM/NEAR",""),"")</f>
        <v/>
      </c>
    </row>
    <row r="194">
      <c r="A194" s="13">
        <f>CHAIN_RAW!A194</f>
        <v/>
      </c>
      <c r="B194" s="14">
        <f>CHAIN_RAW!B194</f>
        <v/>
      </c>
      <c r="C194" s="13">
        <f>CHAIN_RAW!C194</f>
        <v/>
      </c>
      <c r="D194" s="13">
        <f>CHAIN_RAW!D194</f>
        <v/>
      </c>
      <c r="E194" s="13">
        <f>CHAIN_RAW!E194</f>
        <v/>
      </c>
      <c r="F194" s="13">
        <f>IFERROR((E194-D194)/D194,"")</f>
        <v/>
      </c>
      <c r="G194" s="13">
        <f>IFERROR((CHAIN_RAW!K194+CHAIN_RAW!L194)/2,"")</f>
        <v/>
      </c>
      <c r="H194" s="13">
        <f>IFERROR((CHAIN_RAW!R194+CHAIN_RAW!S194)/2,"")</f>
        <v/>
      </c>
      <c r="I194" s="13">
        <f>IFERROR((CHAIN_RAW!L194-CHAIN_RAW!K194)/MAX(1E-9, G194),"")</f>
        <v/>
      </c>
      <c r="J194" s="13">
        <f>IFERROR((CHAIN_RAW!S194-CHAIN_RAW!R194)/MAX(1E-9, H194),"")</f>
        <v/>
      </c>
      <c r="K194" s="13">
        <f>CHAIN_RAW!G194</f>
        <v/>
      </c>
      <c r="L194" s="13">
        <f>CHAIN_RAW!N194</f>
        <v/>
      </c>
      <c r="M194" s="13">
        <f>IFERROR(L194-K194,"")</f>
        <v/>
      </c>
      <c r="N194" s="13">
        <f>CHAIN_RAW!H194</f>
        <v/>
      </c>
      <c r="O194" s="13">
        <f>CHAIN_RAW!O194</f>
        <v/>
      </c>
      <c r="P194" s="13">
        <f>IFERROR(O194/N194,"")</f>
        <v/>
      </c>
      <c r="Q194" s="13">
        <f>CHAIN_RAW!I194</f>
        <v/>
      </c>
      <c r="R194" s="13">
        <f>CHAIN_RAW!P194</f>
        <v/>
      </c>
      <c r="S194" s="13">
        <f>IFERROR(R194/Q194,"")</f>
        <v/>
      </c>
      <c r="T194" s="13">
        <f>IFERROR((ABS(N194-O194)/MAX(1,(N194+O194)))*EXP(-ABS(E194-CONTROL!E5)/MAX(1,CONTROL!B8)),"")</f>
        <v/>
      </c>
      <c r="U194" s="13">
        <f>IFERROR(IF(O194&gt;N194,"SUPPORT (PE OI)","RESIST (CE OI)"),"")</f>
        <v/>
      </c>
      <c r="V194" s="13">
        <f>IFERROR(IF(Q194&gt;0,IF(R194&gt;0,"BOTH_ADD","CE_ADD_PE_REDUCE"),IF(R194&gt;0,"CE_REDUCE_PE_ADD","BOTH_REDUCE")),"")</f>
        <v/>
      </c>
      <c r="W194" s="13">
        <f>IFERROR( (P194-1)*0.5 + (M194)*0.1 - (I194+J194)*0.05 + T194*0.4 ,"")</f>
        <v/>
      </c>
      <c r="X194" s="13">
        <f>IFERROR(IF(ABS(F194)&lt;0.01,"ATM/NEAR",""),"")</f>
        <v/>
      </c>
    </row>
    <row r="195">
      <c r="A195" s="13">
        <f>CHAIN_RAW!A195</f>
        <v/>
      </c>
      <c r="B195" s="14">
        <f>CHAIN_RAW!B195</f>
        <v/>
      </c>
      <c r="C195" s="13">
        <f>CHAIN_RAW!C195</f>
        <v/>
      </c>
      <c r="D195" s="13">
        <f>CHAIN_RAW!D195</f>
        <v/>
      </c>
      <c r="E195" s="13">
        <f>CHAIN_RAW!E195</f>
        <v/>
      </c>
      <c r="F195" s="13">
        <f>IFERROR((E195-D195)/D195,"")</f>
        <v/>
      </c>
      <c r="G195" s="13">
        <f>IFERROR((CHAIN_RAW!K195+CHAIN_RAW!L195)/2,"")</f>
        <v/>
      </c>
      <c r="H195" s="13">
        <f>IFERROR((CHAIN_RAW!R195+CHAIN_RAW!S195)/2,"")</f>
        <v/>
      </c>
      <c r="I195" s="13">
        <f>IFERROR((CHAIN_RAW!L195-CHAIN_RAW!K195)/MAX(1E-9, G195),"")</f>
        <v/>
      </c>
      <c r="J195" s="13">
        <f>IFERROR((CHAIN_RAW!S195-CHAIN_RAW!R195)/MAX(1E-9, H195),"")</f>
        <v/>
      </c>
      <c r="K195" s="13">
        <f>CHAIN_RAW!G195</f>
        <v/>
      </c>
      <c r="L195" s="13">
        <f>CHAIN_RAW!N195</f>
        <v/>
      </c>
      <c r="M195" s="13">
        <f>IFERROR(L195-K195,"")</f>
        <v/>
      </c>
      <c r="N195" s="13">
        <f>CHAIN_RAW!H195</f>
        <v/>
      </c>
      <c r="O195" s="13">
        <f>CHAIN_RAW!O195</f>
        <v/>
      </c>
      <c r="P195" s="13">
        <f>IFERROR(O195/N195,"")</f>
        <v/>
      </c>
      <c r="Q195" s="13">
        <f>CHAIN_RAW!I195</f>
        <v/>
      </c>
      <c r="R195" s="13">
        <f>CHAIN_RAW!P195</f>
        <v/>
      </c>
      <c r="S195" s="13">
        <f>IFERROR(R195/Q195,"")</f>
        <v/>
      </c>
      <c r="T195" s="13">
        <f>IFERROR((ABS(N195-O195)/MAX(1,(N195+O195)))*EXP(-ABS(E195-CONTROL!E5)/MAX(1,CONTROL!B8)),"")</f>
        <v/>
      </c>
      <c r="U195" s="13">
        <f>IFERROR(IF(O195&gt;N195,"SUPPORT (PE OI)","RESIST (CE OI)"),"")</f>
        <v/>
      </c>
      <c r="V195" s="13">
        <f>IFERROR(IF(Q195&gt;0,IF(R195&gt;0,"BOTH_ADD","CE_ADD_PE_REDUCE"),IF(R195&gt;0,"CE_REDUCE_PE_ADD","BOTH_REDUCE")),"")</f>
        <v/>
      </c>
      <c r="W195" s="13">
        <f>IFERROR( (P195-1)*0.5 + (M195)*0.1 - (I195+J195)*0.05 + T195*0.4 ,"")</f>
        <v/>
      </c>
      <c r="X195" s="13">
        <f>IFERROR(IF(ABS(F195)&lt;0.01,"ATM/NEAR",""),"")</f>
        <v/>
      </c>
    </row>
    <row r="196">
      <c r="A196" s="13">
        <f>CHAIN_RAW!A196</f>
        <v/>
      </c>
      <c r="B196" s="14">
        <f>CHAIN_RAW!B196</f>
        <v/>
      </c>
      <c r="C196" s="13">
        <f>CHAIN_RAW!C196</f>
        <v/>
      </c>
      <c r="D196" s="13">
        <f>CHAIN_RAW!D196</f>
        <v/>
      </c>
      <c r="E196" s="13">
        <f>CHAIN_RAW!E196</f>
        <v/>
      </c>
      <c r="F196" s="13">
        <f>IFERROR((E196-D196)/D196,"")</f>
        <v/>
      </c>
      <c r="G196" s="13">
        <f>IFERROR((CHAIN_RAW!K196+CHAIN_RAW!L196)/2,"")</f>
        <v/>
      </c>
      <c r="H196" s="13">
        <f>IFERROR((CHAIN_RAW!R196+CHAIN_RAW!S196)/2,"")</f>
        <v/>
      </c>
      <c r="I196" s="13">
        <f>IFERROR((CHAIN_RAW!L196-CHAIN_RAW!K196)/MAX(1E-9, G196),"")</f>
        <v/>
      </c>
      <c r="J196" s="13">
        <f>IFERROR((CHAIN_RAW!S196-CHAIN_RAW!R196)/MAX(1E-9, H196),"")</f>
        <v/>
      </c>
      <c r="K196" s="13">
        <f>CHAIN_RAW!G196</f>
        <v/>
      </c>
      <c r="L196" s="13">
        <f>CHAIN_RAW!N196</f>
        <v/>
      </c>
      <c r="M196" s="13">
        <f>IFERROR(L196-K196,"")</f>
        <v/>
      </c>
      <c r="N196" s="13">
        <f>CHAIN_RAW!H196</f>
        <v/>
      </c>
      <c r="O196" s="13">
        <f>CHAIN_RAW!O196</f>
        <v/>
      </c>
      <c r="P196" s="13">
        <f>IFERROR(O196/N196,"")</f>
        <v/>
      </c>
      <c r="Q196" s="13">
        <f>CHAIN_RAW!I196</f>
        <v/>
      </c>
      <c r="R196" s="13">
        <f>CHAIN_RAW!P196</f>
        <v/>
      </c>
      <c r="S196" s="13">
        <f>IFERROR(R196/Q196,"")</f>
        <v/>
      </c>
      <c r="T196" s="13">
        <f>IFERROR((ABS(N196-O196)/MAX(1,(N196+O196)))*EXP(-ABS(E196-CONTROL!E5)/MAX(1,CONTROL!B8)),"")</f>
        <v/>
      </c>
      <c r="U196" s="13">
        <f>IFERROR(IF(O196&gt;N196,"SUPPORT (PE OI)","RESIST (CE OI)"),"")</f>
        <v/>
      </c>
      <c r="V196" s="13">
        <f>IFERROR(IF(Q196&gt;0,IF(R196&gt;0,"BOTH_ADD","CE_ADD_PE_REDUCE"),IF(R196&gt;0,"CE_REDUCE_PE_ADD","BOTH_REDUCE")),"")</f>
        <v/>
      </c>
      <c r="W196" s="13">
        <f>IFERROR( (P196-1)*0.5 + (M196)*0.1 - (I196+J196)*0.05 + T196*0.4 ,"")</f>
        <v/>
      </c>
      <c r="X196" s="13">
        <f>IFERROR(IF(ABS(F196)&lt;0.01,"ATM/NEAR",""),"")</f>
        <v/>
      </c>
    </row>
    <row r="197">
      <c r="A197" s="13">
        <f>CHAIN_RAW!A197</f>
        <v/>
      </c>
      <c r="B197" s="14">
        <f>CHAIN_RAW!B197</f>
        <v/>
      </c>
      <c r="C197" s="13">
        <f>CHAIN_RAW!C197</f>
        <v/>
      </c>
      <c r="D197" s="13">
        <f>CHAIN_RAW!D197</f>
        <v/>
      </c>
      <c r="E197" s="13">
        <f>CHAIN_RAW!E197</f>
        <v/>
      </c>
      <c r="F197" s="13">
        <f>IFERROR((E197-D197)/D197,"")</f>
        <v/>
      </c>
      <c r="G197" s="13">
        <f>IFERROR((CHAIN_RAW!K197+CHAIN_RAW!L197)/2,"")</f>
        <v/>
      </c>
      <c r="H197" s="13">
        <f>IFERROR((CHAIN_RAW!R197+CHAIN_RAW!S197)/2,"")</f>
        <v/>
      </c>
      <c r="I197" s="13">
        <f>IFERROR((CHAIN_RAW!L197-CHAIN_RAW!K197)/MAX(1E-9, G197),"")</f>
        <v/>
      </c>
      <c r="J197" s="13">
        <f>IFERROR((CHAIN_RAW!S197-CHAIN_RAW!R197)/MAX(1E-9, H197),"")</f>
        <v/>
      </c>
      <c r="K197" s="13">
        <f>CHAIN_RAW!G197</f>
        <v/>
      </c>
      <c r="L197" s="13">
        <f>CHAIN_RAW!N197</f>
        <v/>
      </c>
      <c r="M197" s="13">
        <f>IFERROR(L197-K197,"")</f>
        <v/>
      </c>
      <c r="N197" s="13">
        <f>CHAIN_RAW!H197</f>
        <v/>
      </c>
      <c r="O197" s="13">
        <f>CHAIN_RAW!O197</f>
        <v/>
      </c>
      <c r="P197" s="13">
        <f>IFERROR(O197/N197,"")</f>
        <v/>
      </c>
      <c r="Q197" s="13">
        <f>CHAIN_RAW!I197</f>
        <v/>
      </c>
      <c r="R197" s="13">
        <f>CHAIN_RAW!P197</f>
        <v/>
      </c>
      <c r="S197" s="13">
        <f>IFERROR(R197/Q197,"")</f>
        <v/>
      </c>
      <c r="T197" s="13">
        <f>IFERROR((ABS(N197-O197)/MAX(1,(N197+O197)))*EXP(-ABS(E197-CONTROL!E5)/MAX(1,CONTROL!B8)),"")</f>
        <v/>
      </c>
      <c r="U197" s="13">
        <f>IFERROR(IF(O197&gt;N197,"SUPPORT (PE OI)","RESIST (CE OI)"),"")</f>
        <v/>
      </c>
      <c r="V197" s="13">
        <f>IFERROR(IF(Q197&gt;0,IF(R197&gt;0,"BOTH_ADD","CE_ADD_PE_REDUCE"),IF(R197&gt;0,"CE_REDUCE_PE_ADD","BOTH_REDUCE")),"")</f>
        <v/>
      </c>
      <c r="W197" s="13">
        <f>IFERROR( (P197-1)*0.5 + (M197)*0.1 - (I197+J197)*0.05 + T197*0.4 ,"")</f>
        <v/>
      </c>
      <c r="X197" s="13">
        <f>IFERROR(IF(ABS(F197)&lt;0.01,"ATM/NEAR",""),"")</f>
        <v/>
      </c>
    </row>
    <row r="198">
      <c r="A198" s="13">
        <f>CHAIN_RAW!A198</f>
        <v/>
      </c>
      <c r="B198" s="14">
        <f>CHAIN_RAW!B198</f>
        <v/>
      </c>
      <c r="C198" s="13">
        <f>CHAIN_RAW!C198</f>
        <v/>
      </c>
      <c r="D198" s="13">
        <f>CHAIN_RAW!D198</f>
        <v/>
      </c>
      <c r="E198" s="13">
        <f>CHAIN_RAW!E198</f>
        <v/>
      </c>
      <c r="F198" s="13">
        <f>IFERROR((E198-D198)/D198,"")</f>
        <v/>
      </c>
      <c r="G198" s="13">
        <f>IFERROR((CHAIN_RAW!K198+CHAIN_RAW!L198)/2,"")</f>
        <v/>
      </c>
      <c r="H198" s="13">
        <f>IFERROR((CHAIN_RAW!R198+CHAIN_RAW!S198)/2,"")</f>
        <v/>
      </c>
      <c r="I198" s="13">
        <f>IFERROR((CHAIN_RAW!L198-CHAIN_RAW!K198)/MAX(1E-9, G198),"")</f>
        <v/>
      </c>
      <c r="J198" s="13">
        <f>IFERROR((CHAIN_RAW!S198-CHAIN_RAW!R198)/MAX(1E-9, H198),"")</f>
        <v/>
      </c>
      <c r="K198" s="13">
        <f>CHAIN_RAW!G198</f>
        <v/>
      </c>
      <c r="L198" s="13">
        <f>CHAIN_RAW!N198</f>
        <v/>
      </c>
      <c r="M198" s="13">
        <f>IFERROR(L198-K198,"")</f>
        <v/>
      </c>
      <c r="N198" s="13">
        <f>CHAIN_RAW!H198</f>
        <v/>
      </c>
      <c r="O198" s="13">
        <f>CHAIN_RAW!O198</f>
        <v/>
      </c>
      <c r="P198" s="13">
        <f>IFERROR(O198/N198,"")</f>
        <v/>
      </c>
      <c r="Q198" s="13">
        <f>CHAIN_RAW!I198</f>
        <v/>
      </c>
      <c r="R198" s="13">
        <f>CHAIN_RAW!P198</f>
        <v/>
      </c>
      <c r="S198" s="13">
        <f>IFERROR(R198/Q198,"")</f>
        <v/>
      </c>
      <c r="T198" s="13">
        <f>IFERROR((ABS(N198-O198)/MAX(1,(N198+O198)))*EXP(-ABS(E198-CONTROL!E5)/MAX(1,CONTROL!B8)),"")</f>
        <v/>
      </c>
      <c r="U198" s="13">
        <f>IFERROR(IF(O198&gt;N198,"SUPPORT (PE OI)","RESIST (CE OI)"),"")</f>
        <v/>
      </c>
      <c r="V198" s="13">
        <f>IFERROR(IF(Q198&gt;0,IF(R198&gt;0,"BOTH_ADD","CE_ADD_PE_REDUCE"),IF(R198&gt;0,"CE_REDUCE_PE_ADD","BOTH_REDUCE")),"")</f>
        <v/>
      </c>
      <c r="W198" s="13">
        <f>IFERROR( (P198-1)*0.5 + (M198)*0.1 - (I198+J198)*0.05 + T198*0.4 ,"")</f>
        <v/>
      </c>
      <c r="X198" s="13">
        <f>IFERROR(IF(ABS(F198)&lt;0.01,"ATM/NEAR",""),"")</f>
        <v/>
      </c>
    </row>
    <row r="199">
      <c r="A199" s="13">
        <f>CHAIN_RAW!A199</f>
        <v/>
      </c>
      <c r="B199" s="14">
        <f>CHAIN_RAW!B199</f>
        <v/>
      </c>
      <c r="C199" s="13">
        <f>CHAIN_RAW!C199</f>
        <v/>
      </c>
      <c r="D199" s="13">
        <f>CHAIN_RAW!D199</f>
        <v/>
      </c>
      <c r="E199" s="13">
        <f>CHAIN_RAW!E199</f>
        <v/>
      </c>
      <c r="F199" s="13">
        <f>IFERROR((E199-D199)/D199,"")</f>
        <v/>
      </c>
      <c r="G199" s="13">
        <f>IFERROR((CHAIN_RAW!K199+CHAIN_RAW!L199)/2,"")</f>
        <v/>
      </c>
      <c r="H199" s="13">
        <f>IFERROR((CHAIN_RAW!R199+CHAIN_RAW!S199)/2,"")</f>
        <v/>
      </c>
      <c r="I199" s="13">
        <f>IFERROR((CHAIN_RAW!L199-CHAIN_RAW!K199)/MAX(1E-9, G199),"")</f>
        <v/>
      </c>
      <c r="J199" s="13">
        <f>IFERROR((CHAIN_RAW!S199-CHAIN_RAW!R199)/MAX(1E-9, H199),"")</f>
        <v/>
      </c>
      <c r="K199" s="13">
        <f>CHAIN_RAW!G199</f>
        <v/>
      </c>
      <c r="L199" s="13">
        <f>CHAIN_RAW!N199</f>
        <v/>
      </c>
      <c r="M199" s="13">
        <f>IFERROR(L199-K199,"")</f>
        <v/>
      </c>
      <c r="N199" s="13">
        <f>CHAIN_RAW!H199</f>
        <v/>
      </c>
      <c r="O199" s="13">
        <f>CHAIN_RAW!O199</f>
        <v/>
      </c>
      <c r="P199" s="13">
        <f>IFERROR(O199/N199,"")</f>
        <v/>
      </c>
      <c r="Q199" s="13">
        <f>CHAIN_RAW!I199</f>
        <v/>
      </c>
      <c r="R199" s="13">
        <f>CHAIN_RAW!P199</f>
        <v/>
      </c>
      <c r="S199" s="13">
        <f>IFERROR(R199/Q199,"")</f>
        <v/>
      </c>
      <c r="T199" s="13">
        <f>IFERROR((ABS(N199-O199)/MAX(1,(N199+O199)))*EXP(-ABS(E199-CONTROL!E5)/MAX(1,CONTROL!B8)),"")</f>
        <v/>
      </c>
      <c r="U199" s="13">
        <f>IFERROR(IF(O199&gt;N199,"SUPPORT (PE OI)","RESIST (CE OI)"),"")</f>
        <v/>
      </c>
      <c r="V199" s="13">
        <f>IFERROR(IF(Q199&gt;0,IF(R199&gt;0,"BOTH_ADD","CE_ADD_PE_REDUCE"),IF(R199&gt;0,"CE_REDUCE_PE_ADD","BOTH_REDUCE")),"")</f>
        <v/>
      </c>
      <c r="W199" s="13">
        <f>IFERROR( (P199-1)*0.5 + (M199)*0.1 - (I199+J199)*0.05 + T199*0.4 ,"")</f>
        <v/>
      </c>
      <c r="X199" s="13">
        <f>IFERROR(IF(ABS(F199)&lt;0.01,"ATM/NEAR",""),"")</f>
        <v/>
      </c>
    </row>
    <row r="200">
      <c r="A200" s="13">
        <f>CHAIN_RAW!A200</f>
        <v/>
      </c>
      <c r="B200" s="14">
        <f>CHAIN_RAW!B200</f>
        <v/>
      </c>
      <c r="C200" s="13">
        <f>CHAIN_RAW!C200</f>
        <v/>
      </c>
      <c r="D200" s="13">
        <f>CHAIN_RAW!D200</f>
        <v/>
      </c>
      <c r="E200" s="13">
        <f>CHAIN_RAW!E200</f>
        <v/>
      </c>
      <c r="F200" s="13">
        <f>IFERROR((E200-D200)/D200,"")</f>
        <v/>
      </c>
      <c r="G200" s="13">
        <f>IFERROR((CHAIN_RAW!K200+CHAIN_RAW!L200)/2,"")</f>
        <v/>
      </c>
      <c r="H200" s="13">
        <f>IFERROR((CHAIN_RAW!R200+CHAIN_RAW!S200)/2,"")</f>
        <v/>
      </c>
      <c r="I200" s="13">
        <f>IFERROR((CHAIN_RAW!L200-CHAIN_RAW!K200)/MAX(1E-9, G200),"")</f>
        <v/>
      </c>
      <c r="J200" s="13">
        <f>IFERROR((CHAIN_RAW!S200-CHAIN_RAW!R200)/MAX(1E-9, H200),"")</f>
        <v/>
      </c>
      <c r="K200" s="13">
        <f>CHAIN_RAW!G200</f>
        <v/>
      </c>
      <c r="L200" s="13">
        <f>CHAIN_RAW!N200</f>
        <v/>
      </c>
      <c r="M200" s="13">
        <f>IFERROR(L200-K200,"")</f>
        <v/>
      </c>
      <c r="N200" s="13">
        <f>CHAIN_RAW!H200</f>
        <v/>
      </c>
      <c r="O200" s="13">
        <f>CHAIN_RAW!O200</f>
        <v/>
      </c>
      <c r="P200" s="13">
        <f>IFERROR(O200/N200,"")</f>
        <v/>
      </c>
      <c r="Q200" s="13">
        <f>CHAIN_RAW!I200</f>
        <v/>
      </c>
      <c r="R200" s="13">
        <f>CHAIN_RAW!P200</f>
        <v/>
      </c>
      <c r="S200" s="13">
        <f>IFERROR(R200/Q200,"")</f>
        <v/>
      </c>
      <c r="T200" s="13">
        <f>IFERROR((ABS(N200-O200)/MAX(1,(N200+O200)))*EXP(-ABS(E200-CONTROL!E5)/MAX(1,CONTROL!B8)),"")</f>
        <v/>
      </c>
      <c r="U200" s="13">
        <f>IFERROR(IF(O200&gt;N200,"SUPPORT (PE OI)","RESIST (CE OI)"),"")</f>
        <v/>
      </c>
      <c r="V200" s="13">
        <f>IFERROR(IF(Q200&gt;0,IF(R200&gt;0,"BOTH_ADD","CE_ADD_PE_REDUCE"),IF(R200&gt;0,"CE_REDUCE_PE_ADD","BOTH_REDUCE")),"")</f>
        <v/>
      </c>
      <c r="W200" s="13">
        <f>IFERROR( (P200-1)*0.5 + (M200)*0.1 - (I200+J200)*0.05 + T200*0.4 ,"")</f>
        <v/>
      </c>
      <c r="X200" s="13">
        <f>IFERROR(IF(ABS(F200)&lt;0.01,"ATM/NEAR",""),"")</f>
        <v/>
      </c>
    </row>
    <row r="201">
      <c r="A201" s="13">
        <f>CHAIN_RAW!A201</f>
        <v/>
      </c>
      <c r="B201" s="14">
        <f>CHAIN_RAW!B201</f>
        <v/>
      </c>
      <c r="C201" s="13">
        <f>CHAIN_RAW!C201</f>
        <v/>
      </c>
      <c r="D201" s="13">
        <f>CHAIN_RAW!D201</f>
        <v/>
      </c>
      <c r="E201" s="13">
        <f>CHAIN_RAW!E201</f>
        <v/>
      </c>
      <c r="F201" s="13">
        <f>IFERROR((E201-D201)/D201,"")</f>
        <v/>
      </c>
      <c r="G201" s="13">
        <f>IFERROR((CHAIN_RAW!K201+CHAIN_RAW!L201)/2,"")</f>
        <v/>
      </c>
      <c r="H201" s="13">
        <f>IFERROR((CHAIN_RAW!R201+CHAIN_RAW!S201)/2,"")</f>
        <v/>
      </c>
      <c r="I201" s="13">
        <f>IFERROR((CHAIN_RAW!L201-CHAIN_RAW!K201)/MAX(1E-9, G201),"")</f>
        <v/>
      </c>
      <c r="J201" s="13">
        <f>IFERROR((CHAIN_RAW!S201-CHAIN_RAW!R201)/MAX(1E-9, H201),"")</f>
        <v/>
      </c>
      <c r="K201" s="13">
        <f>CHAIN_RAW!G201</f>
        <v/>
      </c>
      <c r="L201" s="13">
        <f>CHAIN_RAW!N201</f>
        <v/>
      </c>
      <c r="M201" s="13">
        <f>IFERROR(L201-K201,"")</f>
        <v/>
      </c>
      <c r="N201" s="13">
        <f>CHAIN_RAW!H201</f>
        <v/>
      </c>
      <c r="O201" s="13">
        <f>CHAIN_RAW!O201</f>
        <v/>
      </c>
      <c r="P201" s="13">
        <f>IFERROR(O201/N201,"")</f>
        <v/>
      </c>
      <c r="Q201" s="13">
        <f>CHAIN_RAW!I201</f>
        <v/>
      </c>
      <c r="R201" s="13">
        <f>CHAIN_RAW!P201</f>
        <v/>
      </c>
      <c r="S201" s="13">
        <f>IFERROR(R201/Q201,"")</f>
        <v/>
      </c>
      <c r="T201" s="13">
        <f>IFERROR((ABS(N201-O201)/MAX(1,(N201+O201)))*EXP(-ABS(E201-CONTROL!E5)/MAX(1,CONTROL!B8)),"")</f>
        <v/>
      </c>
      <c r="U201" s="13">
        <f>IFERROR(IF(O201&gt;N201,"SUPPORT (PE OI)","RESIST (CE OI)"),"")</f>
        <v/>
      </c>
      <c r="V201" s="13">
        <f>IFERROR(IF(Q201&gt;0,IF(R201&gt;0,"BOTH_ADD","CE_ADD_PE_REDUCE"),IF(R201&gt;0,"CE_REDUCE_PE_ADD","BOTH_REDUCE")),"")</f>
        <v/>
      </c>
      <c r="W201" s="13">
        <f>IFERROR( (P201-1)*0.5 + (M201)*0.1 - (I201+J201)*0.05 + T201*0.4 ,"")</f>
        <v/>
      </c>
      <c r="X201" s="13">
        <f>IFERROR(IF(ABS(F201)&lt;0.01,"ATM/NEAR",""),"")</f>
        <v/>
      </c>
    </row>
    <row r="202">
      <c r="A202" s="13">
        <f>CHAIN_RAW!A202</f>
        <v/>
      </c>
      <c r="B202" s="14">
        <f>CHAIN_RAW!B202</f>
        <v/>
      </c>
      <c r="C202" s="13">
        <f>CHAIN_RAW!C202</f>
        <v/>
      </c>
      <c r="D202" s="13">
        <f>CHAIN_RAW!D202</f>
        <v/>
      </c>
      <c r="E202" s="13">
        <f>CHAIN_RAW!E202</f>
        <v/>
      </c>
      <c r="F202" s="13">
        <f>IFERROR((E202-D202)/D202,"")</f>
        <v/>
      </c>
      <c r="G202" s="13">
        <f>IFERROR((CHAIN_RAW!K202+CHAIN_RAW!L202)/2,"")</f>
        <v/>
      </c>
      <c r="H202" s="13">
        <f>IFERROR((CHAIN_RAW!R202+CHAIN_RAW!S202)/2,"")</f>
        <v/>
      </c>
      <c r="I202" s="13">
        <f>IFERROR((CHAIN_RAW!L202-CHAIN_RAW!K202)/MAX(1E-9, G202),"")</f>
        <v/>
      </c>
      <c r="J202" s="13">
        <f>IFERROR((CHAIN_RAW!S202-CHAIN_RAW!R202)/MAX(1E-9, H202),"")</f>
        <v/>
      </c>
      <c r="K202" s="13">
        <f>CHAIN_RAW!G202</f>
        <v/>
      </c>
      <c r="L202" s="13">
        <f>CHAIN_RAW!N202</f>
        <v/>
      </c>
      <c r="M202" s="13">
        <f>IFERROR(L202-K202,"")</f>
        <v/>
      </c>
      <c r="N202" s="13">
        <f>CHAIN_RAW!H202</f>
        <v/>
      </c>
      <c r="O202" s="13">
        <f>CHAIN_RAW!O202</f>
        <v/>
      </c>
      <c r="P202" s="13">
        <f>IFERROR(O202/N202,"")</f>
        <v/>
      </c>
      <c r="Q202" s="13">
        <f>CHAIN_RAW!I202</f>
        <v/>
      </c>
      <c r="R202" s="13">
        <f>CHAIN_RAW!P202</f>
        <v/>
      </c>
      <c r="S202" s="13">
        <f>IFERROR(R202/Q202,"")</f>
        <v/>
      </c>
      <c r="T202" s="13">
        <f>IFERROR((ABS(N202-O202)/MAX(1,(N202+O202)))*EXP(-ABS(E202-CONTROL!E5)/MAX(1,CONTROL!B8)),"")</f>
        <v/>
      </c>
      <c r="U202" s="13">
        <f>IFERROR(IF(O202&gt;N202,"SUPPORT (PE OI)","RESIST (CE OI)"),"")</f>
        <v/>
      </c>
      <c r="V202" s="13">
        <f>IFERROR(IF(Q202&gt;0,IF(R202&gt;0,"BOTH_ADD","CE_ADD_PE_REDUCE"),IF(R202&gt;0,"CE_REDUCE_PE_ADD","BOTH_REDUCE")),"")</f>
        <v/>
      </c>
      <c r="W202" s="13">
        <f>IFERROR( (P202-1)*0.5 + (M202)*0.1 - (I202+J202)*0.05 + T202*0.4 ,"")</f>
        <v/>
      </c>
      <c r="X202" s="13">
        <f>IFERROR(IF(ABS(F202)&lt;0.01,"ATM/NEAR",""),"")</f>
        <v/>
      </c>
    </row>
    <row r="203">
      <c r="A203" s="13">
        <f>CHAIN_RAW!A203</f>
        <v/>
      </c>
      <c r="B203" s="14">
        <f>CHAIN_RAW!B203</f>
        <v/>
      </c>
      <c r="C203" s="13">
        <f>CHAIN_RAW!C203</f>
        <v/>
      </c>
      <c r="D203" s="13">
        <f>CHAIN_RAW!D203</f>
        <v/>
      </c>
      <c r="E203" s="13">
        <f>CHAIN_RAW!E203</f>
        <v/>
      </c>
      <c r="F203" s="13">
        <f>IFERROR((E203-D203)/D203,"")</f>
        <v/>
      </c>
      <c r="G203" s="13">
        <f>IFERROR((CHAIN_RAW!K203+CHAIN_RAW!L203)/2,"")</f>
        <v/>
      </c>
      <c r="H203" s="13">
        <f>IFERROR((CHAIN_RAW!R203+CHAIN_RAW!S203)/2,"")</f>
        <v/>
      </c>
      <c r="I203" s="13">
        <f>IFERROR((CHAIN_RAW!L203-CHAIN_RAW!K203)/MAX(1E-9, G203),"")</f>
        <v/>
      </c>
      <c r="J203" s="13">
        <f>IFERROR((CHAIN_RAW!S203-CHAIN_RAW!R203)/MAX(1E-9, H203),"")</f>
        <v/>
      </c>
      <c r="K203" s="13">
        <f>CHAIN_RAW!G203</f>
        <v/>
      </c>
      <c r="L203" s="13">
        <f>CHAIN_RAW!N203</f>
        <v/>
      </c>
      <c r="M203" s="13">
        <f>IFERROR(L203-K203,"")</f>
        <v/>
      </c>
      <c r="N203" s="13">
        <f>CHAIN_RAW!H203</f>
        <v/>
      </c>
      <c r="O203" s="13">
        <f>CHAIN_RAW!O203</f>
        <v/>
      </c>
      <c r="P203" s="13">
        <f>IFERROR(O203/N203,"")</f>
        <v/>
      </c>
      <c r="Q203" s="13">
        <f>CHAIN_RAW!I203</f>
        <v/>
      </c>
      <c r="R203" s="13">
        <f>CHAIN_RAW!P203</f>
        <v/>
      </c>
      <c r="S203" s="13">
        <f>IFERROR(R203/Q203,"")</f>
        <v/>
      </c>
      <c r="T203" s="13">
        <f>IFERROR((ABS(N203-O203)/MAX(1,(N203+O203)))*EXP(-ABS(E203-CONTROL!E5)/MAX(1,CONTROL!B8)),"")</f>
        <v/>
      </c>
      <c r="U203" s="13">
        <f>IFERROR(IF(O203&gt;N203,"SUPPORT (PE OI)","RESIST (CE OI)"),"")</f>
        <v/>
      </c>
      <c r="V203" s="13">
        <f>IFERROR(IF(Q203&gt;0,IF(R203&gt;0,"BOTH_ADD","CE_ADD_PE_REDUCE"),IF(R203&gt;0,"CE_REDUCE_PE_ADD","BOTH_REDUCE")),"")</f>
        <v/>
      </c>
      <c r="W203" s="13">
        <f>IFERROR( (P203-1)*0.5 + (M203)*0.1 - (I203+J203)*0.05 + T203*0.4 ,"")</f>
        <v/>
      </c>
      <c r="X203" s="13">
        <f>IFERROR(IF(ABS(F203)&lt;0.01,"ATM/NEAR",""),"")</f>
        <v/>
      </c>
    </row>
    <row r="204">
      <c r="A204" s="13">
        <f>CHAIN_RAW!A204</f>
        <v/>
      </c>
      <c r="B204" s="14">
        <f>CHAIN_RAW!B204</f>
        <v/>
      </c>
      <c r="C204" s="13">
        <f>CHAIN_RAW!C204</f>
        <v/>
      </c>
      <c r="D204" s="13">
        <f>CHAIN_RAW!D204</f>
        <v/>
      </c>
      <c r="E204" s="13">
        <f>CHAIN_RAW!E204</f>
        <v/>
      </c>
      <c r="F204" s="13">
        <f>IFERROR((E204-D204)/D204,"")</f>
        <v/>
      </c>
      <c r="G204" s="13">
        <f>IFERROR((CHAIN_RAW!K204+CHAIN_RAW!L204)/2,"")</f>
        <v/>
      </c>
      <c r="H204" s="13">
        <f>IFERROR((CHAIN_RAW!R204+CHAIN_RAW!S204)/2,"")</f>
        <v/>
      </c>
      <c r="I204" s="13">
        <f>IFERROR((CHAIN_RAW!L204-CHAIN_RAW!K204)/MAX(1E-9, G204),"")</f>
        <v/>
      </c>
      <c r="J204" s="13">
        <f>IFERROR((CHAIN_RAW!S204-CHAIN_RAW!R204)/MAX(1E-9, H204),"")</f>
        <v/>
      </c>
      <c r="K204" s="13">
        <f>CHAIN_RAW!G204</f>
        <v/>
      </c>
      <c r="L204" s="13">
        <f>CHAIN_RAW!N204</f>
        <v/>
      </c>
      <c r="M204" s="13">
        <f>IFERROR(L204-K204,"")</f>
        <v/>
      </c>
      <c r="N204" s="13">
        <f>CHAIN_RAW!H204</f>
        <v/>
      </c>
      <c r="O204" s="13">
        <f>CHAIN_RAW!O204</f>
        <v/>
      </c>
      <c r="P204" s="13">
        <f>IFERROR(O204/N204,"")</f>
        <v/>
      </c>
      <c r="Q204" s="13">
        <f>CHAIN_RAW!I204</f>
        <v/>
      </c>
      <c r="R204" s="13">
        <f>CHAIN_RAW!P204</f>
        <v/>
      </c>
      <c r="S204" s="13">
        <f>IFERROR(R204/Q204,"")</f>
        <v/>
      </c>
      <c r="T204" s="13">
        <f>IFERROR((ABS(N204-O204)/MAX(1,(N204+O204)))*EXP(-ABS(E204-CONTROL!E5)/MAX(1,CONTROL!B8)),"")</f>
        <v/>
      </c>
      <c r="U204" s="13">
        <f>IFERROR(IF(O204&gt;N204,"SUPPORT (PE OI)","RESIST (CE OI)"),"")</f>
        <v/>
      </c>
      <c r="V204" s="13">
        <f>IFERROR(IF(Q204&gt;0,IF(R204&gt;0,"BOTH_ADD","CE_ADD_PE_REDUCE"),IF(R204&gt;0,"CE_REDUCE_PE_ADD","BOTH_REDUCE")),"")</f>
        <v/>
      </c>
      <c r="W204" s="13">
        <f>IFERROR( (P204-1)*0.5 + (M204)*0.1 - (I204+J204)*0.05 + T204*0.4 ,"")</f>
        <v/>
      </c>
      <c r="X204" s="13">
        <f>IFERROR(IF(ABS(F204)&lt;0.01,"ATM/NEAR",""),"")</f>
        <v/>
      </c>
    </row>
    <row r="205">
      <c r="A205" s="13">
        <f>CHAIN_RAW!A205</f>
        <v/>
      </c>
      <c r="B205" s="14">
        <f>CHAIN_RAW!B205</f>
        <v/>
      </c>
      <c r="C205" s="13">
        <f>CHAIN_RAW!C205</f>
        <v/>
      </c>
      <c r="D205" s="13">
        <f>CHAIN_RAW!D205</f>
        <v/>
      </c>
      <c r="E205" s="13">
        <f>CHAIN_RAW!E205</f>
        <v/>
      </c>
      <c r="F205" s="13">
        <f>IFERROR((E205-D205)/D205,"")</f>
        <v/>
      </c>
      <c r="G205" s="13">
        <f>IFERROR((CHAIN_RAW!K205+CHAIN_RAW!L205)/2,"")</f>
        <v/>
      </c>
      <c r="H205" s="13">
        <f>IFERROR((CHAIN_RAW!R205+CHAIN_RAW!S205)/2,"")</f>
        <v/>
      </c>
      <c r="I205" s="13">
        <f>IFERROR((CHAIN_RAW!L205-CHAIN_RAW!K205)/MAX(1E-9, G205),"")</f>
        <v/>
      </c>
      <c r="J205" s="13">
        <f>IFERROR((CHAIN_RAW!S205-CHAIN_RAW!R205)/MAX(1E-9, H205),"")</f>
        <v/>
      </c>
      <c r="K205" s="13">
        <f>CHAIN_RAW!G205</f>
        <v/>
      </c>
      <c r="L205" s="13">
        <f>CHAIN_RAW!N205</f>
        <v/>
      </c>
      <c r="M205" s="13">
        <f>IFERROR(L205-K205,"")</f>
        <v/>
      </c>
      <c r="N205" s="13">
        <f>CHAIN_RAW!H205</f>
        <v/>
      </c>
      <c r="O205" s="13">
        <f>CHAIN_RAW!O205</f>
        <v/>
      </c>
      <c r="P205" s="13">
        <f>IFERROR(O205/N205,"")</f>
        <v/>
      </c>
      <c r="Q205" s="13">
        <f>CHAIN_RAW!I205</f>
        <v/>
      </c>
      <c r="R205" s="13">
        <f>CHAIN_RAW!P205</f>
        <v/>
      </c>
      <c r="S205" s="13">
        <f>IFERROR(R205/Q205,"")</f>
        <v/>
      </c>
      <c r="T205" s="13">
        <f>IFERROR((ABS(N205-O205)/MAX(1,(N205+O205)))*EXP(-ABS(E205-CONTROL!E5)/MAX(1,CONTROL!B8)),"")</f>
        <v/>
      </c>
      <c r="U205" s="13">
        <f>IFERROR(IF(O205&gt;N205,"SUPPORT (PE OI)","RESIST (CE OI)"),"")</f>
        <v/>
      </c>
      <c r="V205" s="13">
        <f>IFERROR(IF(Q205&gt;0,IF(R205&gt;0,"BOTH_ADD","CE_ADD_PE_REDUCE"),IF(R205&gt;0,"CE_REDUCE_PE_ADD","BOTH_REDUCE")),"")</f>
        <v/>
      </c>
      <c r="W205" s="13">
        <f>IFERROR( (P205-1)*0.5 + (M205)*0.1 - (I205+J205)*0.05 + T205*0.4 ,"")</f>
        <v/>
      </c>
      <c r="X205" s="13">
        <f>IFERROR(IF(ABS(F205)&lt;0.01,"ATM/NEAR",""),"")</f>
        <v/>
      </c>
    </row>
    <row r="206">
      <c r="A206" s="13">
        <f>CHAIN_RAW!A206</f>
        <v/>
      </c>
      <c r="B206" s="14">
        <f>CHAIN_RAW!B206</f>
        <v/>
      </c>
      <c r="C206" s="13">
        <f>CHAIN_RAW!C206</f>
        <v/>
      </c>
      <c r="D206" s="13">
        <f>CHAIN_RAW!D206</f>
        <v/>
      </c>
      <c r="E206" s="13">
        <f>CHAIN_RAW!E206</f>
        <v/>
      </c>
      <c r="F206" s="13">
        <f>IFERROR((E206-D206)/D206,"")</f>
        <v/>
      </c>
      <c r="G206" s="13">
        <f>IFERROR((CHAIN_RAW!K206+CHAIN_RAW!L206)/2,"")</f>
        <v/>
      </c>
      <c r="H206" s="13">
        <f>IFERROR((CHAIN_RAW!R206+CHAIN_RAW!S206)/2,"")</f>
        <v/>
      </c>
      <c r="I206" s="13">
        <f>IFERROR((CHAIN_RAW!L206-CHAIN_RAW!K206)/MAX(1E-9, G206),"")</f>
        <v/>
      </c>
      <c r="J206" s="13">
        <f>IFERROR((CHAIN_RAW!S206-CHAIN_RAW!R206)/MAX(1E-9, H206),"")</f>
        <v/>
      </c>
      <c r="K206" s="13">
        <f>CHAIN_RAW!G206</f>
        <v/>
      </c>
      <c r="L206" s="13">
        <f>CHAIN_RAW!N206</f>
        <v/>
      </c>
      <c r="M206" s="13">
        <f>IFERROR(L206-K206,"")</f>
        <v/>
      </c>
      <c r="N206" s="13">
        <f>CHAIN_RAW!H206</f>
        <v/>
      </c>
      <c r="O206" s="13">
        <f>CHAIN_RAW!O206</f>
        <v/>
      </c>
      <c r="P206" s="13">
        <f>IFERROR(O206/N206,"")</f>
        <v/>
      </c>
      <c r="Q206" s="13">
        <f>CHAIN_RAW!I206</f>
        <v/>
      </c>
      <c r="R206" s="13">
        <f>CHAIN_RAW!P206</f>
        <v/>
      </c>
      <c r="S206" s="13">
        <f>IFERROR(R206/Q206,"")</f>
        <v/>
      </c>
      <c r="T206" s="13">
        <f>IFERROR((ABS(N206-O206)/MAX(1,(N206+O206)))*EXP(-ABS(E206-CONTROL!E5)/MAX(1,CONTROL!B8)),"")</f>
        <v/>
      </c>
      <c r="U206" s="13">
        <f>IFERROR(IF(O206&gt;N206,"SUPPORT (PE OI)","RESIST (CE OI)"),"")</f>
        <v/>
      </c>
      <c r="V206" s="13">
        <f>IFERROR(IF(Q206&gt;0,IF(R206&gt;0,"BOTH_ADD","CE_ADD_PE_REDUCE"),IF(R206&gt;0,"CE_REDUCE_PE_ADD","BOTH_REDUCE")),"")</f>
        <v/>
      </c>
      <c r="W206" s="13">
        <f>IFERROR( (P206-1)*0.5 + (M206)*0.1 - (I206+J206)*0.05 + T206*0.4 ,"")</f>
        <v/>
      </c>
      <c r="X206" s="13">
        <f>IFERROR(IF(ABS(F206)&lt;0.01,"ATM/NEAR",""),"")</f>
        <v/>
      </c>
    </row>
    <row r="207">
      <c r="A207" s="13">
        <f>CHAIN_RAW!A207</f>
        <v/>
      </c>
      <c r="B207" s="14">
        <f>CHAIN_RAW!B207</f>
        <v/>
      </c>
      <c r="C207" s="13">
        <f>CHAIN_RAW!C207</f>
        <v/>
      </c>
      <c r="D207" s="13">
        <f>CHAIN_RAW!D207</f>
        <v/>
      </c>
      <c r="E207" s="13">
        <f>CHAIN_RAW!E207</f>
        <v/>
      </c>
      <c r="F207" s="13">
        <f>IFERROR((E207-D207)/D207,"")</f>
        <v/>
      </c>
      <c r="G207" s="13">
        <f>IFERROR((CHAIN_RAW!K207+CHAIN_RAW!L207)/2,"")</f>
        <v/>
      </c>
      <c r="H207" s="13">
        <f>IFERROR((CHAIN_RAW!R207+CHAIN_RAW!S207)/2,"")</f>
        <v/>
      </c>
      <c r="I207" s="13">
        <f>IFERROR((CHAIN_RAW!L207-CHAIN_RAW!K207)/MAX(1E-9, G207),"")</f>
        <v/>
      </c>
      <c r="J207" s="13">
        <f>IFERROR((CHAIN_RAW!S207-CHAIN_RAW!R207)/MAX(1E-9, H207),"")</f>
        <v/>
      </c>
      <c r="K207" s="13">
        <f>CHAIN_RAW!G207</f>
        <v/>
      </c>
      <c r="L207" s="13">
        <f>CHAIN_RAW!N207</f>
        <v/>
      </c>
      <c r="M207" s="13">
        <f>IFERROR(L207-K207,"")</f>
        <v/>
      </c>
      <c r="N207" s="13">
        <f>CHAIN_RAW!H207</f>
        <v/>
      </c>
      <c r="O207" s="13">
        <f>CHAIN_RAW!O207</f>
        <v/>
      </c>
      <c r="P207" s="13">
        <f>IFERROR(O207/N207,"")</f>
        <v/>
      </c>
      <c r="Q207" s="13">
        <f>CHAIN_RAW!I207</f>
        <v/>
      </c>
      <c r="R207" s="13">
        <f>CHAIN_RAW!P207</f>
        <v/>
      </c>
      <c r="S207" s="13">
        <f>IFERROR(R207/Q207,"")</f>
        <v/>
      </c>
      <c r="T207" s="13">
        <f>IFERROR((ABS(N207-O207)/MAX(1,(N207+O207)))*EXP(-ABS(E207-CONTROL!E5)/MAX(1,CONTROL!B8)),"")</f>
        <v/>
      </c>
      <c r="U207" s="13">
        <f>IFERROR(IF(O207&gt;N207,"SUPPORT (PE OI)","RESIST (CE OI)"),"")</f>
        <v/>
      </c>
      <c r="V207" s="13">
        <f>IFERROR(IF(Q207&gt;0,IF(R207&gt;0,"BOTH_ADD","CE_ADD_PE_REDUCE"),IF(R207&gt;0,"CE_REDUCE_PE_ADD","BOTH_REDUCE")),"")</f>
        <v/>
      </c>
      <c r="W207" s="13">
        <f>IFERROR( (P207-1)*0.5 + (M207)*0.1 - (I207+J207)*0.05 + T207*0.4 ,"")</f>
        <v/>
      </c>
      <c r="X207" s="13">
        <f>IFERROR(IF(ABS(F207)&lt;0.01,"ATM/NEAR",""),"")</f>
        <v/>
      </c>
    </row>
    <row r="208">
      <c r="A208" s="13">
        <f>CHAIN_RAW!A208</f>
        <v/>
      </c>
      <c r="B208" s="14">
        <f>CHAIN_RAW!B208</f>
        <v/>
      </c>
      <c r="C208" s="13">
        <f>CHAIN_RAW!C208</f>
        <v/>
      </c>
      <c r="D208" s="13">
        <f>CHAIN_RAW!D208</f>
        <v/>
      </c>
      <c r="E208" s="13">
        <f>CHAIN_RAW!E208</f>
        <v/>
      </c>
      <c r="F208" s="13">
        <f>IFERROR((E208-D208)/D208,"")</f>
        <v/>
      </c>
      <c r="G208" s="13">
        <f>IFERROR((CHAIN_RAW!K208+CHAIN_RAW!L208)/2,"")</f>
        <v/>
      </c>
      <c r="H208" s="13">
        <f>IFERROR((CHAIN_RAW!R208+CHAIN_RAW!S208)/2,"")</f>
        <v/>
      </c>
      <c r="I208" s="13">
        <f>IFERROR((CHAIN_RAW!L208-CHAIN_RAW!K208)/MAX(1E-9, G208),"")</f>
        <v/>
      </c>
      <c r="J208" s="13">
        <f>IFERROR((CHAIN_RAW!S208-CHAIN_RAW!R208)/MAX(1E-9, H208),"")</f>
        <v/>
      </c>
      <c r="K208" s="13">
        <f>CHAIN_RAW!G208</f>
        <v/>
      </c>
      <c r="L208" s="13">
        <f>CHAIN_RAW!N208</f>
        <v/>
      </c>
      <c r="M208" s="13">
        <f>IFERROR(L208-K208,"")</f>
        <v/>
      </c>
      <c r="N208" s="13">
        <f>CHAIN_RAW!H208</f>
        <v/>
      </c>
      <c r="O208" s="13">
        <f>CHAIN_RAW!O208</f>
        <v/>
      </c>
      <c r="P208" s="13">
        <f>IFERROR(O208/N208,"")</f>
        <v/>
      </c>
      <c r="Q208" s="13">
        <f>CHAIN_RAW!I208</f>
        <v/>
      </c>
      <c r="R208" s="13">
        <f>CHAIN_RAW!P208</f>
        <v/>
      </c>
      <c r="S208" s="13">
        <f>IFERROR(R208/Q208,"")</f>
        <v/>
      </c>
      <c r="T208" s="13">
        <f>IFERROR((ABS(N208-O208)/MAX(1,(N208+O208)))*EXP(-ABS(E208-CONTROL!E5)/MAX(1,CONTROL!B8)),"")</f>
        <v/>
      </c>
      <c r="U208" s="13">
        <f>IFERROR(IF(O208&gt;N208,"SUPPORT (PE OI)","RESIST (CE OI)"),"")</f>
        <v/>
      </c>
      <c r="V208" s="13">
        <f>IFERROR(IF(Q208&gt;0,IF(R208&gt;0,"BOTH_ADD","CE_ADD_PE_REDUCE"),IF(R208&gt;0,"CE_REDUCE_PE_ADD","BOTH_REDUCE")),"")</f>
        <v/>
      </c>
      <c r="W208" s="13">
        <f>IFERROR( (P208-1)*0.5 + (M208)*0.1 - (I208+J208)*0.05 + T208*0.4 ,"")</f>
        <v/>
      </c>
      <c r="X208" s="13">
        <f>IFERROR(IF(ABS(F208)&lt;0.01,"ATM/NEAR",""),"")</f>
        <v/>
      </c>
    </row>
    <row r="209">
      <c r="A209" s="13">
        <f>CHAIN_RAW!A209</f>
        <v/>
      </c>
      <c r="B209" s="14">
        <f>CHAIN_RAW!B209</f>
        <v/>
      </c>
      <c r="C209" s="13">
        <f>CHAIN_RAW!C209</f>
        <v/>
      </c>
      <c r="D209" s="13">
        <f>CHAIN_RAW!D209</f>
        <v/>
      </c>
      <c r="E209" s="13">
        <f>CHAIN_RAW!E209</f>
        <v/>
      </c>
      <c r="F209" s="13">
        <f>IFERROR((E209-D209)/D209,"")</f>
        <v/>
      </c>
      <c r="G209" s="13">
        <f>IFERROR((CHAIN_RAW!K209+CHAIN_RAW!L209)/2,"")</f>
        <v/>
      </c>
      <c r="H209" s="13">
        <f>IFERROR((CHAIN_RAW!R209+CHAIN_RAW!S209)/2,"")</f>
        <v/>
      </c>
      <c r="I209" s="13">
        <f>IFERROR((CHAIN_RAW!L209-CHAIN_RAW!K209)/MAX(1E-9, G209),"")</f>
        <v/>
      </c>
      <c r="J209" s="13">
        <f>IFERROR((CHAIN_RAW!S209-CHAIN_RAW!R209)/MAX(1E-9, H209),"")</f>
        <v/>
      </c>
      <c r="K209" s="13">
        <f>CHAIN_RAW!G209</f>
        <v/>
      </c>
      <c r="L209" s="13">
        <f>CHAIN_RAW!N209</f>
        <v/>
      </c>
      <c r="M209" s="13">
        <f>IFERROR(L209-K209,"")</f>
        <v/>
      </c>
      <c r="N209" s="13">
        <f>CHAIN_RAW!H209</f>
        <v/>
      </c>
      <c r="O209" s="13">
        <f>CHAIN_RAW!O209</f>
        <v/>
      </c>
      <c r="P209" s="13">
        <f>IFERROR(O209/N209,"")</f>
        <v/>
      </c>
      <c r="Q209" s="13">
        <f>CHAIN_RAW!I209</f>
        <v/>
      </c>
      <c r="R209" s="13">
        <f>CHAIN_RAW!P209</f>
        <v/>
      </c>
      <c r="S209" s="13">
        <f>IFERROR(R209/Q209,"")</f>
        <v/>
      </c>
      <c r="T209" s="13">
        <f>IFERROR((ABS(N209-O209)/MAX(1,(N209+O209)))*EXP(-ABS(E209-CONTROL!E5)/MAX(1,CONTROL!B8)),"")</f>
        <v/>
      </c>
      <c r="U209" s="13">
        <f>IFERROR(IF(O209&gt;N209,"SUPPORT (PE OI)","RESIST (CE OI)"),"")</f>
        <v/>
      </c>
      <c r="V209" s="13">
        <f>IFERROR(IF(Q209&gt;0,IF(R209&gt;0,"BOTH_ADD","CE_ADD_PE_REDUCE"),IF(R209&gt;0,"CE_REDUCE_PE_ADD","BOTH_REDUCE")),"")</f>
        <v/>
      </c>
      <c r="W209" s="13">
        <f>IFERROR( (P209-1)*0.5 + (M209)*0.1 - (I209+J209)*0.05 + T209*0.4 ,"")</f>
        <v/>
      </c>
      <c r="X209" s="13">
        <f>IFERROR(IF(ABS(F209)&lt;0.01,"ATM/NEAR",""),"")</f>
        <v/>
      </c>
    </row>
    <row r="210">
      <c r="A210" s="13">
        <f>CHAIN_RAW!A210</f>
        <v/>
      </c>
      <c r="B210" s="14">
        <f>CHAIN_RAW!B210</f>
        <v/>
      </c>
      <c r="C210" s="13">
        <f>CHAIN_RAW!C210</f>
        <v/>
      </c>
      <c r="D210" s="13">
        <f>CHAIN_RAW!D210</f>
        <v/>
      </c>
      <c r="E210" s="13">
        <f>CHAIN_RAW!E210</f>
        <v/>
      </c>
      <c r="F210" s="13">
        <f>IFERROR((E210-D210)/D210,"")</f>
        <v/>
      </c>
      <c r="G210" s="13">
        <f>IFERROR((CHAIN_RAW!K210+CHAIN_RAW!L210)/2,"")</f>
        <v/>
      </c>
      <c r="H210" s="13">
        <f>IFERROR((CHAIN_RAW!R210+CHAIN_RAW!S210)/2,"")</f>
        <v/>
      </c>
      <c r="I210" s="13">
        <f>IFERROR((CHAIN_RAW!L210-CHAIN_RAW!K210)/MAX(1E-9, G210),"")</f>
        <v/>
      </c>
      <c r="J210" s="13">
        <f>IFERROR((CHAIN_RAW!S210-CHAIN_RAW!R210)/MAX(1E-9, H210),"")</f>
        <v/>
      </c>
      <c r="K210" s="13">
        <f>CHAIN_RAW!G210</f>
        <v/>
      </c>
      <c r="L210" s="13">
        <f>CHAIN_RAW!N210</f>
        <v/>
      </c>
      <c r="M210" s="13">
        <f>IFERROR(L210-K210,"")</f>
        <v/>
      </c>
      <c r="N210" s="13">
        <f>CHAIN_RAW!H210</f>
        <v/>
      </c>
      <c r="O210" s="13">
        <f>CHAIN_RAW!O210</f>
        <v/>
      </c>
      <c r="P210" s="13">
        <f>IFERROR(O210/N210,"")</f>
        <v/>
      </c>
      <c r="Q210" s="13">
        <f>CHAIN_RAW!I210</f>
        <v/>
      </c>
      <c r="R210" s="13">
        <f>CHAIN_RAW!P210</f>
        <v/>
      </c>
      <c r="S210" s="13">
        <f>IFERROR(R210/Q210,"")</f>
        <v/>
      </c>
      <c r="T210" s="13">
        <f>IFERROR((ABS(N210-O210)/MAX(1,(N210+O210)))*EXP(-ABS(E210-CONTROL!E5)/MAX(1,CONTROL!B8)),"")</f>
        <v/>
      </c>
      <c r="U210" s="13">
        <f>IFERROR(IF(O210&gt;N210,"SUPPORT (PE OI)","RESIST (CE OI)"),"")</f>
        <v/>
      </c>
      <c r="V210" s="13">
        <f>IFERROR(IF(Q210&gt;0,IF(R210&gt;0,"BOTH_ADD","CE_ADD_PE_REDUCE"),IF(R210&gt;0,"CE_REDUCE_PE_ADD","BOTH_REDUCE")),"")</f>
        <v/>
      </c>
      <c r="W210" s="13">
        <f>IFERROR( (P210-1)*0.5 + (M210)*0.1 - (I210+J210)*0.05 + T210*0.4 ,"")</f>
        <v/>
      </c>
      <c r="X210" s="13">
        <f>IFERROR(IF(ABS(F210)&lt;0.01,"ATM/NEAR",""),"")</f>
        <v/>
      </c>
    </row>
    <row r="211">
      <c r="A211" s="13">
        <f>CHAIN_RAW!A211</f>
        <v/>
      </c>
      <c r="B211" s="14">
        <f>CHAIN_RAW!B211</f>
        <v/>
      </c>
      <c r="C211" s="13">
        <f>CHAIN_RAW!C211</f>
        <v/>
      </c>
      <c r="D211" s="13">
        <f>CHAIN_RAW!D211</f>
        <v/>
      </c>
      <c r="E211" s="13">
        <f>CHAIN_RAW!E211</f>
        <v/>
      </c>
      <c r="F211" s="13">
        <f>IFERROR((E211-D211)/D211,"")</f>
        <v/>
      </c>
      <c r="G211" s="13">
        <f>IFERROR((CHAIN_RAW!K211+CHAIN_RAW!L211)/2,"")</f>
        <v/>
      </c>
      <c r="H211" s="13">
        <f>IFERROR((CHAIN_RAW!R211+CHAIN_RAW!S211)/2,"")</f>
        <v/>
      </c>
      <c r="I211" s="13">
        <f>IFERROR((CHAIN_RAW!L211-CHAIN_RAW!K211)/MAX(1E-9, G211),"")</f>
        <v/>
      </c>
      <c r="J211" s="13">
        <f>IFERROR((CHAIN_RAW!S211-CHAIN_RAW!R211)/MAX(1E-9, H211),"")</f>
        <v/>
      </c>
      <c r="K211" s="13">
        <f>CHAIN_RAW!G211</f>
        <v/>
      </c>
      <c r="L211" s="13">
        <f>CHAIN_RAW!N211</f>
        <v/>
      </c>
      <c r="M211" s="13">
        <f>IFERROR(L211-K211,"")</f>
        <v/>
      </c>
      <c r="N211" s="13">
        <f>CHAIN_RAW!H211</f>
        <v/>
      </c>
      <c r="O211" s="13">
        <f>CHAIN_RAW!O211</f>
        <v/>
      </c>
      <c r="P211" s="13">
        <f>IFERROR(O211/N211,"")</f>
        <v/>
      </c>
      <c r="Q211" s="13">
        <f>CHAIN_RAW!I211</f>
        <v/>
      </c>
      <c r="R211" s="13">
        <f>CHAIN_RAW!P211</f>
        <v/>
      </c>
      <c r="S211" s="13">
        <f>IFERROR(R211/Q211,"")</f>
        <v/>
      </c>
      <c r="T211" s="13">
        <f>IFERROR((ABS(N211-O211)/MAX(1,(N211+O211)))*EXP(-ABS(E211-CONTROL!E5)/MAX(1,CONTROL!B8)),"")</f>
        <v/>
      </c>
      <c r="U211" s="13">
        <f>IFERROR(IF(O211&gt;N211,"SUPPORT (PE OI)","RESIST (CE OI)"),"")</f>
        <v/>
      </c>
      <c r="V211" s="13">
        <f>IFERROR(IF(Q211&gt;0,IF(R211&gt;0,"BOTH_ADD","CE_ADD_PE_REDUCE"),IF(R211&gt;0,"CE_REDUCE_PE_ADD","BOTH_REDUCE")),"")</f>
        <v/>
      </c>
      <c r="W211" s="13">
        <f>IFERROR( (P211-1)*0.5 + (M211)*0.1 - (I211+J211)*0.05 + T211*0.4 ,"")</f>
        <v/>
      </c>
      <c r="X211" s="13">
        <f>IFERROR(IF(ABS(F211)&lt;0.01,"ATM/NEAR",""),"")</f>
        <v/>
      </c>
    </row>
    <row r="212">
      <c r="A212" s="13">
        <f>CHAIN_RAW!A212</f>
        <v/>
      </c>
      <c r="B212" s="14">
        <f>CHAIN_RAW!B212</f>
        <v/>
      </c>
      <c r="C212" s="13">
        <f>CHAIN_RAW!C212</f>
        <v/>
      </c>
      <c r="D212" s="13">
        <f>CHAIN_RAW!D212</f>
        <v/>
      </c>
      <c r="E212" s="13">
        <f>CHAIN_RAW!E212</f>
        <v/>
      </c>
      <c r="F212" s="13">
        <f>IFERROR((E212-D212)/D212,"")</f>
        <v/>
      </c>
      <c r="G212" s="13">
        <f>IFERROR((CHAIN_RAW!K212+CHAIN_RAW!L212)/2,"")</f>
        <v/>
      </c>
      <c r="H212" s="13">
        <f>IFERROR((CHAIN_RAW!R212+CHAIN_RAW!S212)/2,"")</f>
        <v/>
      </c>
      <c r="I212" s="13">
        <f>IFERROR((CHAIN_RAW!L212-CHAIN_RAW!K212)/MAX(1E-9, G212),"")</f>
        <v/>
      </c>
      <c r="J212" s="13">
        <f>IFERROR((CHAIN_RAW!S212-CHAIN_RAW!R212)/MAX(1E-9, H212),"")</f>
        <v/>
      </c>
      <c r="K212" s="13">
        <f>CHAIN_RAW!G212</f>
        <v/>
      </c>
      <c r="L212" s="13">
        <f>CHAIN_RAW!N212</f>
        <v/>
      </c>
      <c r="M212" s="13">
        <f>IFERROR(L212-K212,"")</f>
        <v/>
      </c>
      <c r="N212" s="13">
        <f>CHAIN_RAW!H212</f>
        <v/>
      </c>
      <c r="O212" s="13">
        <f>CHAIN_RAW!O212</f>
        <v/>
      </c>
      <c r="P212" s="13">
        <f>IFERROR(O212/N212,"")</f>
        <v/>
      </c>
      <c r="Q212" s="13">
        <f>CHAIN_RAW!I212</f>
        <v/>
      </c>
      <c r="R212" s="13">
        <f>CHAIN_RAW!P212</f>
        <v/>
      </c>
      <c r="S212" s="13">
        <f>IFERROR(R212/Q212,"")</f>
        <v/>
      </c>
      <c r="T212" s="13">
        <f>IFERROR((ABS(N212-O212)/MAX(1,(N212+O212)))*EXP(-ABS(E212-CONTROL!E5)/MAX(1,CONTROL!B8)),"")</f>
        <v/>
      </c>
      <c r="U212" s="13">
        <f>IFERROR(IF(O212&gt;N212,"SUPPORT (PE OI)","RESIST (CE OI)"),"")</f>
        <v/>
      </c>
      <c r="V212" s="13">
        <f>IFERROR(IF(Q212&gt;0,IF(R212&gt;0,"BOTH_ADD","CE_ADD_PE_REDUCE"),IF(R212&gt;0,"CE_REDUCE_PE_ADD","BOTH_REDUCE")),"")</f>
        <v/>
      </c>
      <c r="W212" s="13">
        <f>IFERROR( (P212-1)*0.5 + (M212)*0.1 - (I212+J212)*0.05 + T212*0.4 ,"")</f>
        <v/>
      </c>
      <c r="X212" s="13">
        <f>IFERROR(IF(ABS(F212)&lt;0.01,"ATM/NEAR",""),"")</f>
        <v/>
      </c>
    </row>
    <row r="213">
      <c r="A213" s="13">
        <f>CHAIN_RAW!A213</f>
        <v/>
      </c>
      <c r="B213" s="14">
        <f>CHAIN_RAW!B213</f>
        <v/>
      </c>
      <c r="C213" s="13">
        <f>CHAIN_RAW!C213</f>
        <v/>
      </c>
      <c r="D213" s="13">
        <f>CHAIN_RAW!D213</f>
        <v/>
      </c>
      <c r="E213" s="13">
        <f>CHAIN_RAW!E213</f>
        <v/>
      </c>
      <c r="F213" s="13">
        <f>IFERROR((E213-D213)/D213,"")</f>
        <v/>
      </c>
      <c r="G213" s="13">
        <f>IFERROR((CHAIN_RAW!K213+CHAIN_RAW!L213)/2,"")</f>
        <v/>
      </c>
      <c r="H213" s="13">
        <f>IFERROR((CHAIN_RAW!R213+CHAIN_RAW!S213)/2,"")</f>
        <v/>
      </c>
      <c r="I213" s="13">
        <f>IFERROR((CHAIN_RAW!L213-CHAIN_RAW!K213)/MAX(1E-9, G213),"")</f>
        <v/>
      </c>
      <c r="J213" s="13">
        <f>IFERROR((CHAIN_RAW!S213-CHAIN_RAW!R213)/MAX(1E-9, H213),"")</f>
        <v/>
      </c>
      <c r="K213" s="13">
        <f>CHAIN_RAW!G213</f>
        <v/>
      </c>
      <c r="L213" s="13">
        <f>CHAIN_RAW!N213</f>
        <v/>
      </c>
      <c r="M213" s="13">
        <f>IFERROR(L213-K213,"")</f>
        <v/>
      </c>
      <c r="N213" s="13">
        <f>CHAIN_RAW!H213</f>
        <v/>
      </c>
      <c r="O213" s="13">
        <f>CHAIN_RAW!O213</f>
        <v/>
      </c>
      <c r="P213" s="13">
        <f>IFERROR(O213/N213,"")</f>
        <v/>
      </c>
      <c r="Q213" s="13">
        <f>CHAIN_RAW!I213</f>
        <v/>
      </c>
      <c r="R213" s="13">
        <f>CHAIN_RAW!P213</f>
        <v/>
      </c>
      <c r="S213" s="13">
        <f>IFERROR(R213/Q213,"")</f>
        <v/>
      </c>
      <c r="T213" s="13">
        <f>IFERROR((ABS(N213-O213)/MAX(1,(N213+O213)))*EXP(-ABS(E213-CONTROL!E5)/MAX(1,CONTROL!B8)),"")</f>
        <v/>
      </c>
      <c r="U213" s="13">
        <f>IFERROR(IF(O213&gt;N213,"SUPPORT (PE OI)","RESIST (CE OI)"),"")</f>
        <v/>
      </c>
      <c r="V213" s="13">
        <f>IFERROR(IF(Q213&gt;0,IF(R213&gt;0,"BOTH_ADD","CE_ADD_PE_REDUCE"),IF(R213&gt;0,"CE_REDUCE_PE_ADD","BOTH_REDUCE")),"")</f>
        <v/>
      </c>
      <c r="W213" s="13">
        <f>IFERROR( (P213-1)*0.5 + (M213)*0.1 - (I213+J213)*0.05 + T213*0.4 ,"")</f>
        <v/>
      </c>
      <c r="X213" s="13">
        <f>IFERROR(IF(ABS(F213)&lt;0.01,"ATM/NEAR",""),"")</f>
        <v/>
      </c>
    </row>
    <row r="214">
      <c r="A214" s="13">
        <f>CHAIN_RAW!A214</f>
        <v/>
      </c>
      <c r="B214" s="14">
        <f>CHAIN_RAW!B214</f>
        <v/>
      </c>
      <c r="C214" s="13">
        <f>CHAIN_RAW!C214</f>
        <v/>
      </c>
      <c r="D214" s="13">
        <f>CHAIN_RAW!D214</f>
        <v/>
      </c>
      <c r="E214" s="13">
        <f>CHAIN_RAW!E214</f>
        <v/>
      </c>
      <c r="F214" s="13">
        <f>IFERROR((E214-D214)/D214,"")</f>
        <v/>
      </c>
      <c r="G214" s="13">
        <f>IFERROR((CHAIN_RAW!K214+CHAIN_RAW!L214)/2,"")</f>
        <v/>
      </c>
      <c r="H214" s="13">
        <f>IFERROR((CHAIN_RAW!R214+CHAIN_RAW!S214)/2,"")</f>
        <v/>
      </c>
      <c r="I214" s="13">
        <f>IFERROR((CHAIN_RAW!L214-CHAIN_RAW!K214)/MAX(1E-9, G214),"")</f>
        <v/>
      </c>
      <c r="J214" s="13">
        <f>IFERROR((CHAIN_RAW!S214-CHAIN_RAW!R214)/MAX(1E-9, H214),"")</f>
        <v/>
      </c>
      <c r="K214" s="13">
        <f>CHAIN_RAW!G214</f>
        <v/>
      </c>
      <c r="L214" s="13">
        <f>CHAIN_RAW!N214</f>
        <v/>
      </c>
      <c r="M214" s="13">
        <f>IFERROR(L214-K214,"")</f>
        <v/>
      </c>
      <c r="N214" s="13">
        <f>CHAIN_RAW!H214</f>
        <v/>
      </c>
      <c r="O214" s="13">
        <f>CHAIN_RAW!O214</f>
        <v/>
      </c>
      <c r="P214" s="13">
        <f>IFERROR(O214/N214,"")</f>
        <v/>
      </c>
      <c r="Q214" s="13">
        <f>CHAIN_RAW!I214</f>
        <v/>
      </c>
      <c r="R214" s="13">
        <f>CHAIN_RAW!P214</f>
        <v/>
      </c>
      <c r="S214" s="13">
        <f>IFERROR(R214/Q214,"")</f>
        <v/>
      </c>
      <c r="T214" s="13">
        <f>IFERROR((ABS(N214-O214)/MAX(1,(N214+O214)))*EXP(-ABS(E214-CONTROL!E5)/MAX(1,CONTROL!B8)),"")</f>
        <v/>
      </c>
      <c r="U214" s="13">
        <f>IFERROR(IF(O214&gt;N214,"SUPPORT (PE OI)","RESIST (CE OI)"),"")</f>
        <v/>
      </c>
      <c r="V214" s="13">
        <f>IFERROR(IF(Q214&gt;0,IF(R214&gt;0,"BOTH_ADD","CE_ADD_PE_REDUCE"),IF(R214&gt;0,"CE_REDUCE_PE_ADD","BOTH_REDUCE")),"")</f>
        <v/>
      </c>
      <c r="W214" s="13">
        <f>IFERROR( (P214-1)*0.5 + (M214)*0.1 - (I214+J214)*0.05 + T214*0.4 ,"")</f>
        <v/>
      </c>
      <c r="X214" s="13">
        <f>IFERROR(IF(ABS(F214)&lt;0.01,"ATM/NEAR",""),"")</f>
        <v/>
      </c>
    </row>
    <row r="215">
      <c r="A215" s="13">
        <f>CHAIN_RAW!A215</f>
        <v/>
      </c>
      <c r="B215" s="14">
        <f>CHAIN_RAW!B215</f>
        <v/>
      </c>
      <c r="C215" s="13">
        <f>CHAIN_RAW!C215</f>
        <v/>
      </c>
      <c r="D215" s="13">
        <f>CHAIN_RAW!D215</f>
        <v/>
      </c>
      <c r="E215" s="13">
        <f>CHAIN_RAW!E215</f>
        <v/>
      </c>
      <c r="F215" s="13">
        <f>IFERROR((E215-D215)/D215,"")</f>
        <v/>
      </c>
      <c r="G215" s="13">
        <f>IFERROR((CHAIN_RAW!K215+CHAIN_RAW!L215)/2,"")</f>
        <v/>
      </c>
      <c r="H215" s="13">
        <f>IFERROR((CHAIN_RAW!R215+CHAIN_RAW!S215)/2,"")</f>
        <v/>
      </c>
      <c r="I215" s="13">
        <f>IFERROR((CHAIN_RAW!L215-CHAIN_RAW!K215)/MAX(1E-9, G215),"")</f>
        <v/>
      </c>
      <c r="J215" s="13">
        <f>IFERROR((CHAIN_RAW!S215-CHAIN_RAW!R215)/MAX(1E-9, H215),"")</f>
        <v/>
      </c>
      <c r="K215" s="13">
        <f>CHAIN_RAW!G215</f>
        <v/>
      </c>
      <c r="L215" s="13">
        <f>CHAIN_RAW!N215</f>
        <v/>
      </c>
      <c r="M215" s="13">
        <f>IFERROR(L215-K215,"")</f>
        <v/>
      </c>
      <c r="N215" s="13">
        <f>CHAIN_RAW!H215</f>
        <v/>
      </c>
      <c r="O215" s="13">
        <f>CHAIN_RAW!O215</f>
        <v/>
      </c>
      <c r="P215" s="13">
        <f>IFERROR(O215/N215,"")</f>
        <v/>
      </c>
      <c r="Q215" s="13">
        <f>CHAIN_RAW!I215</f>
        <v/>
      </c>
      <c r="R215" s="13">
        <f>CHAIN_RAW!P215</f>
        <v/>
      </c>
      <c r="S215" s="13">
        <f>IFERROR(R215/Q215,"")</f>
        <v/>
      </c>
      <c r="T215" s="13">
        <f>IFERROR((ABS(N215-O215)/MAX(1,(N215+O215)))*EXP(-ABS(E215-CONTROL!E5)/MAX(1,CONTROL!B8)),"")</f>
        <v/>
      </c>
      <c r="U215" s="13">
        <f>IFERROR(IF(O215&gt;N215,"SUPPORT (PE OI)","RESIST (CE OI)"),"")</f>
        <v/>
      </c>
      <c r="V215" s="13">
        <f>IFERROR(IF(Q215&gt;0,IF(R215&gt;0,"BOTH_ADD","CE_ADD_PE_REDUCE"),IF(R215&gt;0,"CE_REDUCE_PE_ADD","BOTH_REDUCE")),"")</f>
        <v/>
      </c>
      <c r="W215" s="13">
        <f>IFERROR( (P215-1)*0.5 + (M215)*0.1 - (I215+J215)*0.05 + T215*0.4 ,"")</f>
        <v/>
      </c>
      <c r="X215" s="13">
        <f>IFERROR(IF(ABS(F215)&lt;0.01,"ATM/NEAR",""),"")</f>
        <v/>
      </c>
    </row>
    <row r="216">
      <c r="A216" s="13">
        <f>CHAIN_RAW!A216</f>
        <v/>
      </c>
      <c r="B216" s="14">
        <f>CHAIN_RAW!B216</f>
        <v/>
      </c>
      <c r="C216" s="13">
        <f>CHAIN_RAW!C216</f>
        <v/>
      </c>
      <c r="D216" s="13">
        <f>CHAIN_RAW!D216</f>
        <v/>
      </c>
      <c r="E216" s="13">
        <f>CHAIN_RAW!E216</f>
        <v/>
      </c>
      <c r="F216" s="13">
        <f>IFERROR((E216-D216)/D216,"")</f>
        <v/>
      </c>
      <c r="G216" s="13">
        <f>IFERROR((CHAIN_RAW!K216+CHAIN_RAW!L216)/2,"")</f>
        <v/>
      </c>
      <c r="H216" s="13">
        <f>IFERROR((CHAIN_RAW!R216+CHAIN_RAW!S216)/2,"")</f>
        <v/>
      </c>
      <c r="I216" s="13">
        <f>IFERROR((CHAIN_RAW!L216-CHAIN_RAW!K216)/MAX(1E-9, G216),"")</f>
        <v/>
      </c>
      <c r="J216" s="13">
        <f>IFERROR((CHAIN_RAW!S216-CHAIN_RAW!R216)/MAX(1E-9, H216),"")</f>
        <v/>
      </c>
      <c r="K216" s="13">
        <f>CHAIN_RAW!G216</f>
        <v/>
      </c>
      <c r="L216" s="13">
        <f>CHAIN_RAW!N216</f>
        <v/>
      </c>
      <c r="M216" s="13">
        <f>IFERROR(L216-K216,"")</f>
        <v/>
      </c>
      <c r="N216" s="13">
        <f>CHAIN_RAW!H216</f>
        <v/>
      </c>
      <c r="O216" s="13">
        <f>CHAIN_RAW!O216</f>
        <v/>
      </c>
      <c r="P216" s="13">
        <f>IFERROR(O216/N216,"")</f>
        <v/>
      </c>
      <c r="Q216" s="13">
        <f>CHAIN_RAW!I216</f>
        <v/>
      </c>
      <c r="R216" s="13">
        <f>CHAIN_RAW!P216</f>
        <v/>
      </c>
      <c r="S216" s="13">
        <f>IFERROR(R216/Q216,"")</f>
        <v/>
      </c>
      <c r="T216" s="13">
        <f>IFERROR((ABS(N216-O216)/MAX(1,(N216+O216)))*EXP(-ABS(E216-CONTROL!E5)/MAX(1,CONTROL!B8)),"")</f>
        <v/>
      </c>
      <c r="U216" s="13">
        <f>IFERROR(IF(O216&gt;N216,"SUPPORT (PE OI)","RESIST (CE OI)"),"")</f>
        <v/>
      </c>
      <c r="V216" s="13">
        <f>IFERROR(IF(Q216&gt;0,IF(R216&gt;0,"BOTH_ADD","CE_ADD_PE_REDUCE"),IF(R216&gt;0,"CE_REDUCE_PE_ADD","BOTH_REDUCE")),"")</f>
        <v/>
      </c>
      <c r="W216" s="13">
        <f>IFERROR( (P216-1)*0.5 + (M216)*0.1 - (I216+J216)*0.05 + T216*0.4 ,"")</f>
        <v/>
      </c>
      <c r="X216" s="13">
        <f>IFERROR(IF(ABS(F216)&lt;0.01,"ATM/NEAR",""),"")</f>
        <v/>
      </c>
    </row>
    <row r="217">
      <c r="A217" s="13">
        <f>CHAIN_RAW!A217</f>
        <v/>
      </c>
      <c r="B217" s="14">
        <f>CHAIN_RAW!B217</f>
        <v/>
      </c>
      <c r="C217" s="13">
        <f>CHAIN_RAW!C217</f>
        <v/>
      </c>
      <c r="D217" s="13">
        <f>CHAIN_RAW!D217</f>
        <v/>
      </c>
      <c r="E217" s="13">
        <f>CHAIN_RAW!E217</f>
        <v/>
      </c>
      <c r="F217" s="13">
        <f>IFERROR((E217-D217)/D217,"")</f>
        <v/>
      </c>
      <c r="G217" s="13">
        <f>IFERROR((CHAIN_RAW!K217+CHAIN_RAW!L217)/2,"")</f>
        <v/>
      </c>
      <c r="H217" s="13">
        <f>IFERROR((CHAIN_RAW!R217+CHAIN_RAW!S217)/2,"")</f>
        <v/>
      </c>
      <c r="I217" s="13">
        <f>IFERROR((CHAIN_RAW!L217-CHAIN_RAW!K217)/MAX(1E-9, G217),"")</f>
        <v/>
      </c>
      <c r="J217" s="13">
        <f>IFERROR((CHAIN_RAW!S217-CHAIN_RAW!R217)/MAX(1E-9, H217),"")</f>
        <v/>
      </c>
      <c r="K217" s="13">
        <f>CHAIN_RAW!G217</f>
        <v/>
      </c>
      <c r="L217" s="13">
        <f>CHAIN_RAW!N217</f>
        <v/>
      </c>
      <c r="M217" s="13">
        <f>IFERROR(L217-K217,"")</f>
        <v/>
      </c>
      <c r="N217" s="13">
        <f>CHAIN_RAW!H217</f>
        <v/>
      </c>
      <c r="O217" s="13">
        <f>CHAIN_RAW!O217</f>
        <v/>
      </c>
      <c r="P217" s="13">
        <f>IFERROR(O217/N217,"")</f>
        <v/>
      </c>
      <c r="Q217" s="13">
        <f>CHAIN_RAW!I217</f>
        <v/>
      </c>
      <c r="R217" s="13">
        <f>CHAIN_RAW!P217</f>
        <v/>
      </c>
      <c r="S217" s="13">
        <f>IFERROR(R217/Q217,"")</f>
        <v/>
      </c>
      <c r="T217" s="13">
        <f>IFERROR((ABS(N217-O217)/MAX(1,(N217+O217)))*EXP(-ABS(E217-CONTROL!E5)/MAX(1,CONTROL!B8)),"")</f>
        <v/>
      </c>
      <c r="U217" s="13">
        <f>IFERROR(IF(O217&gt;N217,"SUPPORT (PE OI)","RESIST (CE OI)"),"")</f>
        <v/>
      </c>
      <c r="V217" s="13">
        <f>IFERROR(IF(Q217&gt;0,IF(R217&gt;0,"BOTH_ADD","CE_ADD_PE_REDUCE"),IF(R217&gt;0,"CE_REDUCE_PE_ADD","BOTH_REDUCE")),"")</f>
        <v/>
      </c>
      <c r="W217" s="13">
        <f>IFERROR( (P217-1)*0.5 + (M217)*0.1 - (I217+J217)*0.05 + T217*0.4 ,"")</f>
        <v/>
      </c>
      <c r="X217" s="13">
        <f>IFERROR(IF(ABS(F217)&lt;0.01,"ATM/NEAR",""),"")</f>
        <v/>
      </c>
    </row>
    <row r="218">
      <c r="A218" s="13">
        <f>CHAIN_RAW!A218</f>
        <v/>
      </c>
      <c r="B218" s="14">
        <f>CHAIN_RAW!B218</f>
        <v/>
      </c>
      <c r="C218" s="13">
        <f>CHAIN_RAW!C218</f>
        <v/>
      </c>
      <c r="D218" s="13">
        <f>CHAIN_RAW!D218</f>
        <v/>
      </c>
      <c r="E218" s="13">
        <f>CHAIN_RAW!E218</f>
        <v/>
      </c>
      <c r="F218" s="13">
        <f>IFERROR((E218-D218)/D218,"")</f>
        <v/>
      </c>
      <c r="G218" s="13">
        <f>IFERROR((CHAIN_RAW!K218+CHAIN_RAW!L218)/2,"")</f>
        <v/>
      </c>
      <c r="H218" s="13">
        <f>IFERROR((CHAIN_RAW!R218+CHAIN_RAW!S218)/2,"")</f>
        <v/>
      </c>
      <c r="I218" s="13">
        <f>IFERROR((CHAIN_RAW!L218-CHAIN_RAW!K218)/MAX(1E-9, G218),"")</f>
        <v/>
      </c>
      <c r="J218" s="13">
        <f>IFERROR((CHAIN_RAW!S218-CHAIN_RAW!R218)/MAX(1E-9, H218),"")</f>
        <v/>
      </c>
      <c r="K218" s="13">
        <f>CHAIN_RAW!G218</f>
        <v/>
      </c>
      <c r="L218" s="13">
        <f>CHAIN_RAW!N218</f>
        <v/>
      </c>
      <c r="M218" s="13">
        <f>IFERROR(L218-K218,"")</f>
        <v/>
      </c>
      <c r="N218" s="13">
        <f>CHAIN_RAW!H218</f>
        <v/>
      </c>
      <c r="O218" s="13">
        <f>CHAIN_RAW!O218</f>
        <v/>
      </c>
      <c r="P218" s="13">
        <f>IFERROR(O218/N218,"")</f>
        <v/>
      </c>
      <c r="Q218" s="13">
        <f>CHAIN_RAW!I218</f>
        <v/>
      </c>
      <c r="R218" s="13">
        <f>CHAIN_RAW!P218</f>
        <v/>
      </c>
      <c r="S218" s="13">
        <f>IFERROR(R218/Q218,"")</f>
        <v/>
      </c>
      <c r="T218" s="13">
        <f>IFERROR((ABS(N218-O218)/MAX(1,(N218+O218)))*EXP(-ABS(E218-CONTROL!E5)/MAX(1,CONTROL!B8)),"")</f>
        <v/>
      </c>
      <c r="U218" s="13">
        <f>IFERROR(IF(O218&gt;N218,"SUPPORT (PE OI)","RESIST (CE OI)"),"")</f>
        <v/>
      </c>
      <c r="V218" s="13">
        <f>IFERROR(IF(Q218&gt;0,IF(R218&gt;0,"BOTH_ADD","CE_ADD_PE_REDUCE"),IF(R218&gt;0,"CE_REDUCE_PE_ADD","BOTH_REDUCE")),"")</f>
        <v/>
      </c>
      <c r="W218" s="13">
        <f>IFERROR( (P218-1)*0.5 + (M218)*0.1 - (I218+J218)*0.05 + T218*0.4 ,"")</f>
        <v/>
      </c>
      <c r="X218" s="13">
        <f>IFERROR(IF(ABS(F218)&lt;0.01,"ATM/NEAR",""),"")</f>
        <v/>
      </c>
    </row>
    <row r="219">
      <c r="A219" s="13">
        <f>CHAIN_RAW!A219</f>
        <v/>
      </c>
      <c r="B219" s="14">
        <f>CHAIN_RAW!B219</f>
        <v/>
      </c>
      <c r="C219" s="13">
        <f>CHAIN_RAW!C219</f>
        <v/>
      </c>
      <c r="D219" s="13">
        <f>CHAIN_RAW!D219</f>
        <v/>
      </c>
      <c r="E219" s="13">
        <f>CHAIN_RAW!E219</f>
        <v/>
      </c>
      <c r="F219" s="13">
        <f>IFERROR((E219-D219)/D219,"")</f>
        <v/>
      </c>
      <c r="G219" s="13">
        <f>IFERROR((CHAIN_RAW!K219+CHAIN_RAW!L219)/2,"")</f>
        <v/>
      </c>
      <c r="H219" s="13">
        <f>IFERROR((CHAIN_RAW!R219+CHAIN_RAW!S219)/2,"")</f>
        <v/>
      </c>
      <c r="I219" s="13">
        <f>IFERROR((CHAIN_RAW!L219-CHAIN_RAW!K219)/MAX(1E-9, G219),"")</f>
        <v/>
      </c>
      <c r="J219" s="13">
        <f>IFERROR((CHAIN_RAW!S219-CHAIN_RAW!R219)/MAX(1E-9, H219),"")</f>
        <v/>
      </c>
      <c r="K219" s="13">
        <f>CHAIN_RAW!G219</f>
        <v/>
      </c>
      <c r="L219" s="13">
        <f>CHAIN_RAW!N219</f>
        <v/>
      </c>
      <c r="M219" s="13">
        <f>IFERROR(L219-K219,"")</f>
        <v/>
      </c>
      <c r="N219" s="13">
        <f>CHAIN_RAW!H219</f>
        <v/>
      </c>
      <c r="O219" s="13">
        <f>CHAIN_RAW!O219</f>
        <v/>
      </c>
      <c r="P219" s="13">
        <f>IFERROR(O219/N219,"")</f>
        <v/>
      </c>
      <c r="Q219" s="13">
        <f>CHAIN_RAW!I219</f>
        <v/>
      </c>
      <c r="R219" s="13">
        <f>CHAIN_RAW!P219</f>
        <v/>
      </c>
      <c r="S219" s="13">
        <f>IFERROR(R219/Q219,"")</f>
        <v/>
      </c>
      <c r="T219" s="13">
        <f>IFERROR((ABS(N219-O219)/MAX(1,(N219+O219)))*EXP(-ABS(E219-CONTROL!E5)/MAX(1,CONTROL!B8)),"")</f>
        <v/>
      </c>
      <c r="U219" s="13">
        <f>IFERROR(IF(O219&gt;N219,"SUPPORT (PE OI)","RESIST (CE OI)"),"")</f>
        <v/>
      </c>
      <c r="V219" s="13">
        <f>IFERROR(IF(Q219&gt;0,IF(R219&gt;0,"BOTH_ADD","CE_ADD_PE_REDUCE"),IF(R219&gt;0,"CE_REDUCE_PE_ADD","BOTH_REDUCE")),"")</f>
        <v/>
      </c>
      <c r="W219" s="13">
        <f>IFERROR( (P219-1)*0.5 + (M219)*0.1 - (I219+J219)*0.05 + T219*0.4 ,"")</f>
        <v/>
      </c>
      <c r="X219" s="13">
        <f>IFERROR(IF(ABS(F219)&lt;0.01,"ATM/NEAR",""),"")</f>
        <v/>
      </c>
    </row>
    <row r="220">
      <c r="A220" s="13">
        <f>CHAIN_RAW!A220</f>
        <v/>
      </c>
      <c r="B220" s="14">
        <f>CHAIN_RAW!B220</f>
        <v/>
      </c>
      <c r="C220" s="13">
        <f>CHAIN_RAW!C220</f>
        <v/>
      </c>
      <c r="D220" s="13">
        <f>CHAIN_RAW!D220</f>
        <v/>
      </c>
      <c r="E220" s="13">
        <f>CHAIN_RAW!E220</f>
        <v/>
      </c>
      <c r="F220" s="13">
        <f>IFERROR((E220-D220)/D220,"")</f>
        <v/>
      </c>
      <c r="G220" s="13">
        <f>IFERROR((CHAIN_RAW!K220+CHAIN_RAW!L220)/2,"")</f>
        <v/>
      </c>
      <c r="H220" s="13">
        <f>IFERROR((CHAIN_RAW!R220+CHAIN_RAW!S220)/2,"")</f>
        <v/>
      </c>
      <c r="I220" s="13">
        <f>IFERROR((CHAIN_RAW!L220-CHAIN_RAW!K220)/MAX(1E-9, G220),"")</f>
        <v/>
      </c>
      <c r="J220" s="13">
        <f>IFERROR((CHAIN_RAW!S220-CHAIN_RAW!R220)/MAX(1E-9, H220),"")</f>
        <v/>
      </c>
      <c r="K220" s="13">
        <f>CHAIN_RAW!G220</f>
        <v/>
      </c>
      <c r="L220" s="13">
        <f>CHAIN_RAW!N220</f>
        <v/>
      </c>
      <c r="M220" s="13">
        <f>IFERROR(L220-K220,"")</f>
        <v/>
      </c>
      <c r="N220" s="13">
        <f>CHAIN_RAW!H220</f>
        <v/>
      </c>
      <c r="O220" s="13">
        <f>CHAIN_RAW!O220</f>
        <v/>
      </c>
      <c r="P220" s="13">
        <f>IFERROR(O220/N220,"")</f>
        <v/>
      </c>
      <c r="Q220" s="13">
        <f>CHAIN_RAW!I220</f>
        <v/>
      </c>
      <c r="R220" s="13">
        <f>CHAIN_RAW!P220</f>
        <v/>
      </c>
      <c r="S220" s="13">
        <f>IFERROR(R220/Q220,"")</f>
        <v/>
      </c>
      <c r="T220" s="13">
        <f>IFERROR((ABS(N220-O220)/MAX(1,(N220+O220)))*EXP(-ABS(E220-CONTROL!E5)/MAX(1,CONTROL!B8)),"")</f>
        <v/>
      </c>
      <c r="U220" s="13">
        <f>IFERROR(IF(O220&gt;N220,"SUPPORT (PE OI)","RESIST (CE OI)"),"")</f>
        <v/>
      </c>
      <c r="V220" s="13">
        <f>IFERROR(IF(Q220&gt;0,IF(R220&gt;0,"BOTH_ADD","CE_ADD_PE_REDUCE"),IF(R220&gt;0,"CE_REDUCE_PE_ADD","BOTH_REDUCE")),"")</f>
        <v/>
      </c>
      <c r="W220" s="13">
        <f>IFERROR( (P220-1)*0.5 + (M220)*0.1 - (I220+J220)*0.05 + T220*0.4 ,"")</f>
        <v/>
      </c>
      <c r="X220" s="13">
        <f>IFERROR(IF(ABS(F220)&lt;0.01,"ATM/NEAR",""),"")</f>
        <v/>
      </c>
    </row>
    <row r="221">
      <c r="A221" s="13">
        <f>CHAIN_RAW!A221</f>
        <v/>
      </c>
      <c r="B221" s="14">
        <f>CHAIN_RAW!B221</f>
        <v/>
      </c>
      <c r="C221" s="13">
        <f>CHAIN_RAW!C221</f>
        <v/>
      </c>
      <c r="D221" s="13">
        <f>CHAIN_RAW!D221</f>
        <v/>
      </c>
      <c r="E221" s="13">
        <f>CHAIN_RAW!E221</f>
        <v/>
      </c>
      <c r="F221" s="13">
        <f>IFERROR((E221-D221)/D221,"")</f>
        <v/>
      </c>
      <c r="G221" s="13">
        <f>IFERROR((CHAIN_RAW!K221+CHAIN_RAW!L221)/2,"")</f>
        <v/>
      </c>
      <c r="H221" s="13">
        <f>IFERROR((CHAIN_RAW!R221+CHAIN_RAW!S221)/2,"")</f>
        <v/>
      </c>
      <c r="I221" s="13">
        <f>IFERROR((CHAIN_RAW!L221-CHAIN_RAW!K221)/MAX(1E-9, G221),"")</f>
        <v/>
      </c>
      <c r="J221" s="13">
        <f>IFERROR((CHAIN_RAW!S221-CHAIN_RAW!R221)/MAX(1E-9, H221),"")</f>
        <v/>
      </c>
      <c r="K221" s="13">
        <f>CHAIN_RAW!G221</f>
        <v/>
      </c>
      <c r="L221" s="13">
        <f>CHAIN_RAW!N221</f>
        <v/>
      </c>
      <c r="M221" s="13">
        <f>IFERROR(L221-K221,"")</f>
        <v/>
      </c>
      <c r="N221" s="13">
        <f>CHAIN_RAW!H221</f>
        <v/>
      </c>
      <c r="O221" s="13">
        <f>CHAIN_RAW!O221</f>
        <v/>
      </c>
      <c r="P221" s="13">
        <f>IFERROR(O221/N221,"")</f>
        <v/>
      </c>
      <c r="Q221" s="13">
        <f>CHAIN_RAW!I221</f>
        <v/>
      </c>
      <c r="R221" s="13">
        <f>CHAIN_RAW!P221</f>
        <v/>
      </c>
      <c r="S221" s="13">
        <f>IFERROR(R221/Q221,"")</f>
        <v/>
      </c>
      <c r="T221" s="13">
        <f>IFERROR((ABS(N221-O221)/MAX(1,(N221+O221)))*EXP(-ABS(E221-CONTROL!E5)/MAX(1,CONTROL!B8)),"")</f>
        <v/>
      </c>
      <c r="U221" s="13">
        <f>IFERROR(IF(O221&gt;N221,"SUPPORT (PE OI)","RESIST (CE OI)"),"")</f>
        <v/>
      </c>
      <c r="V221" s="13">
        <f>IFERROR(IF(Q221&gt;0,IF(R221&gt;0,"BOTH_ADD","CE_ADD_PE_REDUCE"),IF(R221&gt;0,"CE_REDUCE_PE_ADD","BOTH_REDUCE")),"")</f>
        <v/>
      </c>
      <c r="W221" s="13">
        <f>IFERROR( (P221-1)*0.5 + (M221)*0.1 - (I221+J221)*0.05 + T221*0.4 ,"")</f>
        <v/>
      </c>
      <c r="X221" s="13">
        <f>IFERROR(IF(ABS(F221)&lt;0.01,"ATM/NEAR",""),"")</f>
        <v/>
      </c>
    </row>
    <row r="222">
      <c r="A222" s="13">
        <f>CHAIN_RAW!A222</f>
        <v/>
      </c>
      <c r="B222" s="14">
        <f>CHAIN_RAW!B222</f>
        <v/>
      </c>
      <c r="C222" s="13">
        <f>CHAIN_RAW!C222</f>
        <v/>
      </c>
      <c r="D222" s="13">
        <f>CHAIN_RAW!D222</f>
        <v/>
      </c>
      <c r="E222" s="13">
        <f>CHAIN_RAW!E222</f>
        <v/>
      </c>
      <c r="F222" s="13">
        <f>IFERROR((E222-D222)/D222,"")</f>
        <v/>
      </c>
      <c r="G222" s="13">
        <f>IFERROR((CHAIN_RAW!K222+CHAIN_RAW!L222)/2,"")</f>
        <v/>
      </c>
      <c r="H222" s="13">
        <f>IFERROR((CHAIN_RAW!R222+CHAIN_RAW!S222)/2,"")</f>
        <v/>
      </c>
      <c r="I222" s="13">
        <f>IFERROR((CHAIN_RAW!L222-CHAIN_RAW!K222)/MAX(1E-9, G222),"")</f>
        <v/>
      </c>
      <c r="J222" s="13">
        <f>IFERROR((CHAIN_RAW!S222-CHAIN_RAW!R222)/MAX(1E-9, H222),"")</f>
        <v/>
      </c>
      <c r="K222" s="13">
        <f>CHAIN_RAW!G222</f>
        <v/>
      </c>
      <c r="L222" s="13">
        <f>CHAIN_RAW!N222</f>
        <v/>
      </c>
      <c r="M222" s="13">
        <f>IFERROR(L222-K222,"")</f>
        <v/>
      </c>
      <c r="N222" s="13">
        <f>CHAIN_RAW!H222</f>
        <v/>
      </c>
      <c r="O222" s="13">
        <f>CHAIN_RAW!O222</f>
        <v/>
      </c>
      <c r="P222" s="13">
        <f>IFERROR(O222/N222,"")</f>
        <v/>
      </c>
      <c r="Q222" s="13">
        <f>CHAIN_RAW!I222</f>
        <v/>
      </c>
      <c r="R222" s="13">
        <f>CHAIN_RAW!P222</f>
        <v/>
      </c>
      <c r="S222" s="13">
        <f>IFERROR(R222/Q222,"")</f>
        <v/>
      </c>
      <c r="T222" s="13">
        <f>IFERROR((ABS(N222-O222)/MAX(1,(N222+O222)))*EXP(-ABS(E222-CONTROL!E5)/MAX(1,CONTROL!B8)),"")</f>
        <v/>
      </c>
      <c r="U222" s="13">
        <f>IFERROR(IF(O222&gt;N222,"SUPPORT (PE OI)","RESIST (CE OI)"),"")</f>
        <v/>
      </c>
      <c r="V222" s="13">
        <f>IFERROR(IF(Q222&gt;0,IF(R222&gt;0,"BOTH_ADD","CE_ADD_PE_REDUCE"),IF(R222&gt;0,"CE_REDUCE_PE_ADD","BOTH_REDUCE")),"")</f>
        <v/>
      </c>
      <c r="W222" s="13">
        <f>IFERROR( (P222-1)*0.5 + (M222)*0.1 - (I222+J222)*0.05 + T222*0.4 ,"")</f>
        <v/>
      </c>
      <c r="X222" s="13">
        <f>IFERROR(IF(ABS(F222)&lt;0.01,"ATM/NEAR",""),"")</f>
        <v/>
      </c>
    </row>
    <row r="223">
      <c r="A223" s="13">
        <f>CHAIN_RAW!A223</f>
        <v/>
      </c>
      <c r="B223" s="14">
        <f>CHAIN_RAW!B223</f>
        <v/>
      </c>
      <c r="C223" s="13">
        <f>CHAIN_RAW!C223</f>
        <v/>
      </c>
      <c r="D223" s="13">
        <f>CHAIN_RAW!D223</f>
        <v/>
      </c>
      <c r="E223" s="13">
        <f>CHAIN_RAW!E223</f>
        <v/>
      </c>
      <c r="F223" s="13">
        <f>IFERROR((E223-D223)/D223,"")</f>
        <v/>
      </c>
      <c r="G223" s="13">
        <f>IFERROR((CHAIN_RAW!K223+CHAIN_RAW!L223)/2,"")</f>
        <v/>
      </c>
      <c r="H223" s="13">
        <f>IFERROR((CHAIN_RAW!R223+CHAIN_RAW!S223)/2,"")</f>
        <v/>
      </c>
      <c r="I223" s="13">
        <f>IFERROR((CHAIN_RAW!L223-CHAIN_RAW!K223)/MAX(1E-9, G223),"")</f>
        <v/>
      </c>
      <c r="J223" s="13">
        <f>IFERROR((CHAIN_RAW!S223-CHAIN_RAW!R223)/MAX(1E-9, H223),"")</f>
        <v/>
      </c>
      <c r="K223" s="13">
        <f>CHAIN_RAW!G223</f>
        <v/>
      </c>
      <c r="L223" s="13">
        <f>CHAIN_RAW!N223</f>
        <v/>
      </c>
      <c r="M223" s="13">
        <f>IFERROR(L223-K223,"")</f>
        <v/>
      </c>
      <c r="N223" s="13">
        <f>CHAIN_RAW!H223</f>
        <v/>
      </c>
      <c r="O223" s="13">
        <f>CHAIN_RAW!O223</f>
        <v/>
      </c>
      <c r="P223" s="13">
        <f>IFERROR(O223/N223,"")</f>
        <v/>
      </c>
      <c r="Q223" s="13">
        <f>CHAIN_RAW!I223</f>
        <v/>
      </c>
      <c r="R223" s="13">
        <f>CHAIN_RAW!P223</f>
        <v/>
      </c>
      <c r="S223" s="13">
        <f>IFERROR(R223/Q223,"")</f>
        <v/>
      </c>
      <c r="T223" s="13">
        <f>IFERROR((ABS(N223-O223)/MAX(1,(N223+O223)))*EXP(-ABS(E223-CONTROL!E5)/MAX(1,CONTROL!B8)),"")</f>
        <v/>
      </c>
      <c r="U223" s="13">
        <f>IFERROR(IF(O223&gt;N223,"SUPPORT (PE OI)","RESIST (CE OI)"),"")</f>
        <v/>
      </c>
      <c r="V223" s="13">
        <f>IFERROR(IF(Q223&gt;0,IF(R223&gt;0,"BOTH_ADD","CE_ADD_PE_REDUCE"),IF(R223&gt;0,"CE_REDUCE_PE_ADD","BOTH_REDUCE")),"")</f>
        <v/>
      </c>
      <c r="W223" s="13">
        <f>IFERROR( (P223-1)*0.5 + (M223)*0.1 - (I223+J223)*0.05 + T223*0.4 ,"")</f>
        <v/>
      </c>
      <c r="X223" s="13">
        <f>IFERROR(IF(ABS(F223)&lt;0.01,"ATM/NEAR",""),"")</f>
        <v/>
      </c>
    </row>
    <row r="224">
      <c r="A224" s="13">
        <f>CHAIN_RAW!A224</f>
        <v/>
      </c>
      <c r="B224" s="14">
        <f>CHAIN_RAW!B224</f>
        <v/>
      </c>
      <c r="C224" s="13">
        <f>CHAIN_RAW!C224</f>
        <v/>
      </c>
      <c r="D224" s="13">
        <f>CHAIN_RAW!D224</f>
        <v/>
      </c>
      <c r="E224" s="13">
        <f>CHAIN_RAW!E224</f>
        <v/>
      </c>
      <c r="F224" s="13">
        <f>IFERROR((E224-D224)/D224,"")</f>
        <v/>
      </c>
      <c r="G224" s="13">
        <f>IFERROR((CHAIN_RAW!K224+CHAIN_RAW!L224)/2,"")</f>
        <v/>
      </c>
      <c r="H224" s="13">
        <f>IFERROR((CHAIN_RAW!R224+CHAIN_RAW!S224)/2,"")</f>
        <v/>
      </c>
      <c r="I224" s="13">
        <f>IFERROR((CHAIN_RAW!L224-CHAIN_RAW!K224)/MAX(1E-9, G224),"")</f>
        <v/>
      </c>
      <c r="J224" s="13">
        <f>IFERROR((CHAIN_RAW!S224-CHAIN_RAW!R224)/MAX(1E-9, H224),"")</f>
        <v/>
      </c>
      <c r="K224" s="13">
        <f>CHAIN_RAW!G224</f>
        <v/>
      </c>
      <c r="L224" s="13">
        <f>CHAIN_RAW!N224</f>
        <v/>
      </c>
      <c r="M224" s="13">
        <f>IFERROR(L224-K224,"")</f>
        <v/>
      </c>
      <c r="N224" s="13">
        <f>CHAIN_RAW!H224</f>
        <v/>
      </c>
      <c r="O224" s="13">
        <f>CHAIN_RAW!O224</f>
        <v/>
      </c>
      <c r="P224" s="13">
        <f>IFERROR(O224/N224,"")</f>
        <v/>
      </c>
      <c r="Q224" s="13">
        <f>CHAIN_RAW!I224</f>
        <v/>
      </c>
      <c r="R224" s="13">
        <f>CHAIN_RAW!P224</f>
        <v/>
      </c>
      <c r="S224" s="13">
        <f>IFERROR(R224/Q224,"")</f>
        <v/>
      </c>
      <c r="T224" s="13">
        <f>IFERROR((ABS(N224-O224)/MAX(1,(N224+O224)))*EXP(-ABS(E224-CONTROL!E5)/MAX(1,CONTROL!B8)),"")</f>
        <v/>
      </c>
      <c r="U224" s="13">
        <f>IFERROR(IF(O224&gt;N224,"SUPPORT (PE OI)","RESIST (CE OI)"),"")</f>
        <v/>
      </c>
      <c r="V224" s="13">
        <f>IFERROR(IF(Q224&gt;0,IF(R224&gt;0,"BOTH_ADD","CE_ADD_PE_REDUCE"),IF(R224&gt;0,"CE_REDUCE_PE_ADD","BOTH_REDUCE")),"")</f>
        <v/>
      </c>
      <c r="W224" s="13">
        <f>IFERROR( (P224-1)*0.5 + (M224)*0.1 - (I224+J224)*0.05 + T224*0.4 ,"")</f>
        <v/>
      </c>
      <c r="X224" s="13">
        <f>IFERROR(IF(ABS(F224)&lt;0.01,"ATM/NEAR",""),"")</f>
        <v/>
      </c>
    </row>
    <row r="225">
      <c r="A225" s="13">
        <f>CHAIN_RAW!A225</f>
        <v/>
      </c>
      <c r="B225" s="14">
        <f>CHAIN_RAW!B225</f>
        <v/>
      </c>
      <c r="C225" s="13">
        <f>CHAIN_RAW!C225</f>
        <v/>
      </c>
      <c r="D225" s="13">
        <f>CHAIN_RAW!D225</f>
        <v/>
      </c>
      <c r="E225" s="13">
        <f>CHAIN_RAW!E225</f>
        <v/>
      </c>
      <c r="F225" s="13">
        <f>IFERROR((E225-D225)/D225,"")</f>
        <v/>
      </c>
      <c r="G225" s="13">
        <f>IFERROR((CHAIN_RAW!K225+CHAIN_RAW!L225)/2,"")</f>
        <v/>
      </c>
      <c r="H225" s="13">
        <f>IFERROR((CHAIN_RAW!R225+CHAIN_RAW!S225)/2,"")</f>
        <v/>
      </c>
      <c r="I225" s="13">
        <f>IFERROR((CHAIN_RAW!L225-CHAIN_RAW!K225)/MAX(1E-9, G225),"")</f>
        <v/>
      </c>
      <c r="J225" s="13">
        <f>IFERROR((CHAIN_RAW!S225-CHAIN_RAW!R225)/MAX(1E-9, H225),"")</f>
        <v/>
      </c>
      <c r="K225" s="13">
        <f>CHAIN_RAW!G225</f>
        <v/>
      </c>
      <c r="L225" s="13">
        <f>CHAIN_RAW!N225</f>
        <v/>
      </c>
      <c r="M225" s="13">
        <f>IFERROR(L225-K225,"")</f>
        <v/>
      </c>
      <c r="N225" s="13">
        <f>CHAIN_RAW!H225</f>
        <v/>
      </c>
      <c r="O225" s="13">
        <f>CHAIN_RAW!O225</f>
        <v/>
      </c>
      <c r="P225" s="13">
        <f>IFERROR(O225/N225,"")</f>
        <v/>
      </c>
      <c r="Q225" s="13">
        <f>CHAIN_RAW!I225</f>
        <v/>
      </c>
      <c r="R225" s="13">
        <f>CHAIN_RAW!P225</f>
        <v/>
      </c>
      <c r="S225" s="13">
        <f>IFERROR(R225/Q225,"")</f>
        <v/>
      </c>
      <c r="T225" s="13">
        <f>IFERROR((ABS(N225-O225)/MAX(1,(N225+O225)))*EXP(-ABS(E225-CONTROL!E5)/MAX(1,CONTROL!B8)),"")</f>
        <v/>
      </c>
      <c r="U225" s="13">
        <f>IFERROR(IF(O225&gt;N225,"SUPPORT (PE OI)","RESIST (CE OI)"),"")</f>
        <v/>
      </c>
      <c r="V225" s="13">
        <f>IFERROR(IF(Q225&gt;0,IF(R225&gt;0,"BOTH_ADD","CE_ADD_PE_REDUCE"),IF(R225&gt;0,"CE_REDUCE_PE_ADD","BOTH_REDUCE")),"")</f>
        <v/>
      </c>
      <c r="W225" s="13">
        <f>IFERROR( (P225-1)*0.5 + (M225)*0.1 - (I225+J225)*0.05 + T225*0.4 ,"")</f>
        <v/>
      </c>
      <c r="X225" s="13">
        <f>IFERROR(IF(ABS(F225)&lt;0.01,"ATM/NEAR",""),"")</f>
        <v/>
      </c>
    </row>
    <row r="226">
      <c r="A226" s="13">
        <f>CHAIN_RAW!A226</f>
        <v/>
      </c>
      <c r="B226" s="14">
        <f>CHAIN_RAW!B226</f>
        <v/>
      </c>
      <c r="C226" s="13">
        <f>CHAIN_RAW!C226</f>
        <v/>
      </c>
      <c r="D226" s="13">
        <f>CHAIN_RAW!D226</f>
        <v/>
      </c>
      <c r="E226" s="13">
        <f>CHAIN_RAW!E226</f>
        <v/>
      </c>
      <c r="F226" s="13">
        <f>IFERROR((E226-D226)/D226,"")</f>
        <v/>
      </c>
      <c r="G226" s="13">
        <f>IFERROR((CHAIN_RAW!K226+CHAIN_RAW!L226)/2,"")</f>
        <v/>
      </c>
      <c r="H226" s="13">
        <f>IFERROR((CHAIN_RAW!R226+CHAIN_RAW!S226)/2,"")</f>
        <v/>
      </c>
      <c r="I226" s="13">
        <f>IFERROR((CHAIN_RAW!L226-CHAIN_RAW!K226)/MAX(1E-9, G226),"")</f>
        <v/>
      </c>
      <c r="J226" s="13">
        <f>IFERROR((CHAIN_RAW!S226-CHAIN_RAW!R226)/MAX(1E-9, H226),"")</f>
        <v/>
      </c>
      <c r="K226" s="13">
        <f>CHAIN_RAW!G226</f>
        <v/>
      </c>
      <c r="L226" s="13">
        <f>CHAIN_RAW!N226</f>
        <v/>
      </c>
      <c r="M226" s="13">
        <f>IFERROR(L226-K226,"")</f>
        <v/>
      </c>
      <c r="N226" s="13">
        <f>CHAIN_RAW!H226</f>
        <v/>
      </c>
      <c r="O226" s="13">
        <f>CHAIN_RAW!O226</f>
        <v/>
      </c>
      <c r="P226" s="13">
        <f>IFERROR(O226/N226,"")</f>
        <v/>
      </c>
      <c r="Q226" s="13">
        <f>CHAIN_RAW!I226</f>
        <v/>
      </c>
      <c r="R226" s="13">
        <f>CHAIN_RAW!P226</f>
        <v/>
      </c>
      <c r="S226" s="13">
        <f>IFERROR(R226/Q226,"")</f>
        <v/>
      </c>
      <c r="T226" s="13">
        <f>IFERROR((ABS(N226-O226)/MAX(1,(N226+O226)))*EXP(-ABS(E226-CONTROL!E5)/MAX(1,CONTROL!B8)),"")</f>
        <v/>
      </c>
      <c r="U226" s="13">
        <f>IFERROR(IF(O226&gt;N226,"SUPPORT (PE OI)","RESIST (CE OI)"),"")</f>
        <v/>
      </c>
      <c r="V226" s="13">
        <f>IFERROR(IF(Q226&gt;0,IF(R226&gt;0,"BOTH_ADD","CE_ADD_PE_REDUCE"),IF(R226&gt;0,"CE_REDUCE_PE_ADD","BOTH_REDUCE")),"")</f>
        <v/>
      </c>
      <c r="W226" s="13">
        <f>IFERROR( (P226-1)*0.5 + (M226)*0.1 - (I226+J226)*0.05 + T226*0.4 ,"")</f>
        <v/>
      </c>
      <c r="X226" s="13">
        <f>IFERROR(IF(ABS(F226)&lt;0.01,"ATM/NEAR",""),"")</f>
        <v/>
      </c>
    </row>
    <row r="227">
      <c r="A227" s="13">
        <f>CHAIN_RAW!A227</f>
        <v/>
      </c>
      <c r="B227" s="14">
        <f>CHAIN_RAW!B227</f>
        <v/>
      </c>
      <c r="C227" s="13">
        <f>CHAIN_RAW!C227</f>
        <v/>
      </c>
      <c r="D227" s="13">
        <f>CHAIN_RAW!D227</f>
        <v/>
      </c>
      <c r="E227" s="13">
        <f>CHAIN_RAW!E227</f>
        <v/>
      </c>
      <c r="F227" s="13">
        <f>IFERROR((E227-D227)/D227,"")</f>
        <v/>
      </c>
      <c r="G227" s="13">
        <f>IFERROR((CHAIN_RAW!K227+CHAIN_RAW!L227)/2,"")</f>
        <v/>
      </c>
      <c r="H227" s="13">
        <f>IFERROR((CHAIN_RAW!R227+CHAIN_RAW!S227)/2,"")</f>
        <v/>
      </c>
      <c r="I227" s="13">
        <f>IFERROR((CHAIN_RAW!L227-CHAIN_RAW!K227)/MAX(1E-9, G227),"")</f>
        <v/>
      </c>
      <c r="J227" s="13">
        <f>IFERROR((CHAIN_RAW!S227-CHAIN_RAW!R227)/MAX(1E-9, H227),"")</f>
        <v/>
      </c>
      <c r="K227" s="13">
        <f>CHAIN_RAW!G227</f>
        <v/>
      </c>
      <c r="L227" s="13">
        <f>CHAIN_RAW!N227</f>
        <v/>
      </c>
      <c r="M227" s="13">
        <f>IFERROR(L227-K227,"")</f>
        <v/>
      </c>
      <c r="N227" s="13">
        <f>CHAIN_RAW!H227</f>
        <v/>
      </c>
      <c r="O227" s="13">
        <f>CHAIN_RAW!O227</f>
        <v/>
      </c>
      <c r="P227" s="13">
        <f>IFERROR(O227/N227,"")</f>
        <v/>
      </c>
      <c r="Q227" s="13">
        <f>CHAIN_RAW!I227</f>
        <v/>
      </c>
      <c r="R227" s="13">
        <f>CHAIN_RAW!P227</f>
        <v/>
      </c>
      <c r="S227" s="13">
        <f>IFERROR(R227/Q227,"")</f>
        <v/>
      </c>
      <c r="T227" s="13">
        <f>IFERROR((ABS(N227-O227)/MAX(1,(N227+O227)))*EXP(-ABS(E227-CONTROL!E5)/MAX(1,CONTROL!B8)),"")</f>
        <v/>
      </c>
      <c r="U227" s="13">
        <f>IFERROR(IF(O227&gt;N227,"SUPPORT (PE OI)","RESIST (CE OI)"),"")</f>
        <v/>
      </c>
      <c r="V227" s="13">
        <f>IFERROR(IF(Q227&gt;0,IF(R227&gt;0,"BOTH_ADD","CE_ADD_PE_REDUCE"),IF(R227&gt;0,"CE_REDUCE_PE_ADD","BOTH_REDUCE")),"")</f>
        <v/>
      </c>
      <c r="W227" s="13">
        <f>IFERROR( (P227-1)*0.5 + (M227)*0.1 - (I227+J227)*0.05 + T227*0.4 ,"")</f>
        <v/>
      </c>
      <c r="X227" s="13">
        <f>IFERROR(IF(ABS(F227)&lt;0.01,"ATM/NEAR",""),"")</f>
        <v/>
      </c>
    </row>
    <row r="228">
      <c r="A228" s="13">
        <f>CHAIN_RAW!A228</f>
        <v/>
      </c>
      <c r="B228" s="14">
        <f>CHAIN_RAW!B228</f>
        <v/>
      </c>
      <c r="C228" s="13">
        <f>CHAIN_RAW!C228</f>
        <v/>
      </c>
      <c r="D228" s="13">
        <f>CHAIN_RAW!D228</f>
        <v/>
      </c>
      <c r="E228" s="13">
        <f>CHAIN_RAW!E228</f>
        <v/>
      </c>
      <c r="F228" s="13">
        <f>IFERROR((E228-D228)/D228,"")</f>
        <v/>
      </c>
      <c r="G228" s="13">
        <f>IFERROR((CHAIN_RAW!K228+CHAIN_RAW!L228)/2,"")</f>
        <v/>
      </c>
      <c r="H228" s="13">
        <f>IFERROR((CHAIN_RAW!R228+CHAIN_RAW!S228)/2,"")</f>
        <v/>
      </c>
      <c r="I228" s="13">
        <f>IFERROR((CHAIN_RAW!L228-CHAIN_RAW!K228)/MAX(1E-9, G228),"")</f>
        <v/>
      </c>
      <c r="J228" s="13">
        <f>IFERROR((CHAIN_RAW!S228-CHAIN_RAW!R228)/MAX(1E-9, H228),"")</f>
        <v/>
      </c>
      <c r="K228" s="13">
        <f>CHAIN_RAW!G228</f>
        <v/>
      </c>
      <c r="L228" s="13">
        <f>CHAIN_RAW!N228</f>
        <v/>
      </c>
      <c r="M228" s="13">
        <f>IFERROR(L228-K228,"")</f>
        <v/>
      </c>
      <c r="N228" s="13">
        <f>CHAIN_RAW!H228</f>
        <v/>
      </c>
      <c r="O228" s="13">
        <f>CHAIN_RAW!O228</f>
        <v/>
      </c>
      <c r="P228" s="13">
        <f>IFERROR(O228/N228,"")</f>
        <v/>
      </c>
      <c r="Q228" s="13">
        <f>CHAIN_RAW!I228</f>
        <v/>
      </c>
      <c r="R228" s="13">
        <f>CHAIN_RAW!P228</f>
        <v/>
      </c>
      <c r="S228" s="13">
        <f>IFERROR(R228/Q228,"")</f>
        <v/>
      </c>
      <c r="T228" s="13">
        <f>IFERROR((ABS(N228-O228)/MAX(1,(N228+O228)))*EXP(-ABS(E228-CONTROL!E5)/MAX(1,CONTROL!B8)),"")</f>
        <v/>
      </c>
      <c r="U228" s="13">
        <f>IFERROR(IF(O228&gt;N228,"SUPPORT (PE OI)","RESIST (CE OI)"),"")</f>
        <v/>
      </c>
      <c r="V228" s="13">
        <f>IFERROR(IF(Q228&gt;0,IF(R228&gt;0,"BOTH_ADD","CE_ADD_PE_REDUCE"),IF(R228&gt;0,"CE_REDUCE_PE_ADD","BOTH_REDUCE")),"")</f>
        <v/>
      </c>
      <c r="W228" s="13">
        <f>IFERROR( (P228-1)*0.5 + (M228)*0.1 - (I228+J228)*0.05 + T228*0.4 ,"")</f>
        <v/>
      </c>
      <c r="X228" s="13">
        <f>IFERROR(IF(ABS(F228)&lt;0.01,"ATM/NEAR",""),"")</f>
        <v/>
      </c>
    </row>
    <row r="229">
      <c r="A229" s="13">
        <f>CHAIN_RAW!A229</f>
        <v/>
      </c>
      <c r="B229" s="14">
        <f>CHAIN_RAW!B229</f>
        <v/>
      </c>
      <c r="C229" s="13">
        <f>CHAIN_RAW!C229</f>
        <v/>
      </c>
      <c r="D229" s="13">
        <f>CHAIN_RAW!D229</f>
        <v/>
      </c>
      <c r="E229" s="13">
        <f>CHAIN_RAW!E229</f>
        <v/>
      </c>
      <c r="F229" s="13">
        <f>IFERROR((E229-D229)/D229,"")</f>
        <v/>
      </c>
      <c r="G229" s="13">
        <f>IFERROR((CHAIN_RAW!K229+CHAIN_RAW!L229)/2,"")</f>
        <v/>
      </c>
      <c r="H229" s="13">
        <f>IFERROR((CHAIN_RAW!R229+CHAIN_RAW!S229)/2,"")</f>
        <v/>
      </c>
      <c r="I229" s="13">
        <f>IFERROR((CHAIN_RAW!L229-CHAIN_RAW!K229)/MAX(1E-9, G229),"")</f>
        <v/>
      </c>
      <c r="J229" s="13">
        <f>IFERROR((CHAIN_RAW!S229-CHAIN_RAW!R229)/MAX(1E-9, H229),"")</f>
        <v/>
      </c>
      <c r="K229" s="13">
        <f>CHAIN_RAW!G229</f>
        <v/>
      </c>
      <c r="L229" s="13">
        <f>CHAIN_RAW!N229</f>
        <v/>
      </c>
      <c r="M229" s="13">
        <f>IFERROR(L229-K229,"")</f>
        <v/>
      </c>
      <c r="N229" s="13">
        <f>CHAIN_RAW!H229</f>
        <v/>
      </c>
      <c r="O229" s="13">
        <f>CHAIN_RAW!O229</f>
        <v/>
      </c>
      <c r="P229" s="13">
        <f>IFERROR(O229/N229,"")</f>
        <v/>
      </c>
      <c r="Q229" s="13">
        <f>CHAIN_RAW!I229</f>
        <v/>
      </c>
      <c r="R229" s="13">
        <f>CHAIN_RAW!P229</f>
        <v/>
      </c>
      <c r="S229" s="13">
        <f>IFERROR(R229/Q229,"")</f>
        <v/>
      </c>
      <c r="T229" s="13">
        <f>IFERROR((ABS(N229-O229)/MAX(1,(N229+O229)))*EXP(-ABS(E229-CONTROL!E5)/MAX(1,CONTROL!B8)),"")</f>
        <v/>
      </c>
      <c r="U229" s="13">
        <f>IFERROR(IF(O229&gt;N229,"SUPPORT (PE OI)","RESIST (CE OI)"),"")</f>
        <v/>
      </c>
      <c r="V229" s="13">
        <f>IFERROR(IF(Q229&gt;0,IF(R229&gt;0,"BOTH_ADD","CE_ADD_PE_REDUCE"),IF(R229&gt;0,"CE_REDUCE_PE_ADD","BOTH_REDUCE")),"")</f>
        <v/>
      </c>
      <c r="W229" s="13">
        <f>IFERROR( (P229-1)*0.5 + (M229)*0.1 - (I229+J229)*0.05 + T229*0.4 ,"")</f>
        <v/>
      </c>
      <c r="X229" s="13">
        <f>IFERROR(IF(ABS(F229)&lt;0.01,"ATM/NEAR",""),"")</f>
        <v/>
      </c>
    </row>
    <row r="230">
      <c r="A230" s="13">
        <f>CHAIN_RAW!A230</f>
        <v/>
      </c>
      <c r="B230" s="14">
        <f>CHAIN_RAW!B230</f>
        <v/>
      </c>
      <c r="C230" s="13">
        <f>CHAIN_RAW!C230</f>
        <v/>
      </c>
      <c r="D230" s="13">
        <f>CHAIN_RAW!D230</f>
        <v/>
      </c>
      <c r="E230" s="13">
        <f>CHAIN_RAW!E230</f>
        <v/>
      </c>
      <c r="F230" s="13">
        <f>IFERROR((E230-D230)/D230,"")</f>
        <v/>
      </c>
      <c r="G230" s="13">
        <f>IFERROR((CHAIN_RAW!K230+CHAIN_RAW!L230)/2,"")</f>
        <v/>
      </c>
      <c r="H230" s="13">
        <f>IFERROR((CHAIN_RAW!R230+CHAIN_RAW!S230)/2,"")</f>
        <v/>
      </c>
      <c r="I230" s="13">
        <f>IFERROR((CHAIN_RAW!L230-CHAIN_RAW!K230)/MAX(1E-9, G230),"")</f>
        <v/>
      </c>
      <c r="J230" s="13">
        <f>IFERROR((CHAIN_RAW!S230-CHAIN_RAW!R230)/MAX(1E-9, H230),"")</f>
        <v/>
      </c>
      <c r="K230" s="13">
        <f>CHAIN_RAW!G230</f>
        <v/>
      </c>
      <c r="L230" s="13">
        <f>CHAIN_RAW!N230</f>
        <v/>
      </c>
      <c r="M230" s="13">
        <f>IFERROR(L230-K230,"")</f>
        <v/>
      </c>
      <c r="N230" s="13">
        <f>CHAIN_RAW!H230</f>
        <v/>
      </c>
      <c r="O230" s="13">
        <f>CHAIN_RAW!O230</f>
        <v/>
      </c>
      <c r="P230" s="13">
        <f>IFERROR(O230/N230,"")</f>
        <v/>
      </c>
      <c r="Q230" s="13">
        <f>CHAIN_RAW!I230</f>
        <v/>
      </c>
      <c r="R230" s="13">
        <f>CHAIN_RAW!P230</f>
        <v/>
      </c>
      <c r="S230" s="13">
        <f>IFERROR(R230/Q230,"")</f>
        <v/>
      </c>
      <c r="T230" s="13">
        <f>IFERROR((ABS(N230-O230)/MAX(1,(N230+O230)))*EXP(-ABS(E230-CONTROL!E5)/MAX(1,CONTROL!B8)),"")</f>
        <v/>
      </c>
      <c r="U230" s="13">
        <f>IFERROR(IF(O230&gt;N230,"SUPPORT (PE OI)","RESIST (CE OI)"),"")</f>
        <v/>
      </c>
      <c r="V230" s="13">
        <f>IFERROR(IF(Q230&gt;0,IF(R230&gt;0,"BOTH_ADD","CE_ADD_PE_REDUCE"),IF(R230&gt;0,"CE_REDUCE_PE_ADD","BOTH_REDUCE")),"")</f>
        <v/>
      </c>
      <c r="W230" s="13">
        <f>IFERROR( (P230-1)*0.5 + (M230)*0.1 - (I230+J230)*0.05 + T230*0.4 ,"")</f>
        <v/>
      </c>
      <c r="X230" s="13">
        <f>IFERROR(IF(ABS(F230)&lt;0.01,"ATM/NEAR",""),"")</f>
        <v/>
      </c>
    </row>
    <row r="231">
      <c r="A231" s="13">
        <f>CHAIN_RAW!A231</f>
        <v/>
      </c>
      <c r="B231" s="14">
        <f>CHAIN_RAW!B231</f>
        <v/>
      </c>
      <c r="C231" s="13">
        <f>CHAIN_RAW!C231</f>
        <v/>
      </c>
      <c r="D231" s="13">
        <f>CHAIN_RAW!D231</f>
        <v/>
      </c>
      <c r="E231" s="13">
        <f>CHAIN_RAW!E231</f>
        <v/>
      </c>
      <c r="F231" s="13">
        <f>IFERROR((E231-D231)/D231,"")</f>
        <v/>
      </c>
      <c r="G231" s="13">
        <f>IFERROR((CHAIN_RAW!K231+CHAIN_RAW!L231)/2,"")</f>
        <v/>
      </c>
      <c r="H231" s="13">
        <f>IFERROR((CHAIN_RAW!R231+CHAIN_RAW!S231)/2,"")</f>
        <v/>
      </c>
      <c r="I231" s="13">
        <f>IFERROR((CHAIN_RAW!L231-CHAIN_RAW!K231)/MAX(1E-9, G231),"")</f>
        <v/>
      </c>
      <c r="J231" s="13">
        <f>IFERROR((CHAIN_RAW!S231-CHAIN_RAW!R231)/MAX(1E-9, H231),"")</f>
        <v/>
      </c>
      <c r="K231" s="13">
        <f>CHAIN_RAW!G231</f>
        <v/>
      </c>
      <c r="L231" s="13">
        <f>CHAIN_RAW!N231</f>
        <v/>
      </c>
      <c r="M231" s="13">
        <f>IFERROR(L231-K231,"")</f>
        <v/>
      </c>
      <c r="N231" s="13">
        <f>CHAIN_RAW!H231</f>
        <v/>
      </c>
      <c r="O231" s="13">
        <f>CHAIN_RAW!O231</f>
        <v/>
      </c>
      <c r="P231" s="13">
        <f>IFERROR(O231/N231,"")</f>
        <v/>
      </c>
      <c r="Q231" s="13">
        <f>CHAIN_RAW!I231</f>
        <v/>
      </c>
      <c r="R231" s="13">
        <f>CHAIN_RAW!P231</f>
        <v/>
      </c>
      <c r="S231" s="13">
        <f>IFERROR(R231/Q231,"")</f>
        <v/>
      </c>
      <c r="T231" s="13">
        <f>IFERROR((ABS(N231-O231)/MAX(1,(N231+O231)))*EXP(-ABS(E231-CONTROL!E5)/MAX(1,CONTROL!B8)),"")</f>
        <v/>
      </c>
      <c r="U231" s="13">
        <f>IFERROR(IF(O231&gt;N231,"SUPPORT (PE OI)","RESIST (CE OI)"),"")</f>
        <v/>
      </c>
      <c r="V231" s="13">
        <f>IFERROR(IF(Q231&gt;0,IF(R231&gt;0,"BOTH_ADD","CE_ADD_PE_REDUCE"),IF(R231&gt;0,"CE_REDUCE_PE_ADD","BOTH_REDUCE")),"")</f>
        <v/>
      </c>
      <c r="W231" s="13">
        <f>IFERROR( (P231-1)*0.5 + (M231)*0.1 - (I231+J231)*0.05 + T231*0.4 ,"")</f>
        <v/>
      </c>
      <c r="X231" s="13">
        <f>IFERROR(IF(ABS(F231)&lt;0.01,"ATM/NEAR",""),"")</f>
        <v/>
      </c>
    </row>
    <row r="232">
      <c r="A232" s="13">
        <f>CHAIN_RAW!A232</f>
        <v/>
      </c>
      <c r="B232" s="14">
        <f>CHAIN_RAW!B232</f>
        <v/>
      </c>
      <c r="C232" s="13">
        <f>CHAIN_RAW!C232</f>
        <v/>
      </c>
      <c r="D232" s="13">
        <f>CHAIN_RAW!D232</f>
        <v/>
      </c>
      <c r="E232" s="13">
        <f>CHAIN_RAW!E232</f>
        <v/>
      </c>
      <c r="F232" s="13">
        <f>IFERROR((E232-D232)/D232,"")</f>
        <v/>
      </c>
      <c r="G232" s="13">
        <f>IFERROR((CHAIN_RAW!K232+CHAIN_RAW!L232)/2,"")</f>
        <v/>
      </c>
      <c r="H232" s="13">
        <f>IFERROR((CHAIN_RAW!R232+CHAIN_RAW!S232)/2,"")</f>
        <v/>
      </c>
      <c r="I232" s="13">
        <f>IFERROR((CHAIN_RAW!L232-CHAIN_RAW!K232)/MAX(1E-9, G232),"")</f>
        <v/>
      </c>
      <c r="J232" s="13">
        <f>IFERROR((CHAIN_RAW!S232-CHAIN_RAW!R232)/MAX(1E-9, H232),"")</f>
        <v/>
      </c>
      <c r="K232" s="13">
        <f>CHAIN_RAW!G232</f>
        <v/>
      </c>
      <c r="L232" s="13">
        <f>CHAIN_RAW!N232</f>
        <v/>
      </c>
      <c r="M232" s="13">
        <f>IFERROR(L232-K232,"")</f>
        <v/>
      </c>
      <c r="N232" s="13">
        <f>CHAIN_RAW!H232</f>
        <v/>
      </c>
      <c r="O232" s="13">
        <f>CHAIN_RAW!O232</f>
        <v/>
      </c>
      <c r="P232" s="13">
        <f>IFERROR(O232/N232,"")</f>
        <v/>
      </c>
      <c r="Q232" s="13">
        <f>CHAIN_RAW!I232</f>
        <v/>
      </c>
      <c r="R232" s="13">
        <f>CHAIN_RAW!P232</f>
        <v/>
      </c>
      <c r="S232" s="13">
        <f>IFERROR(R232/Q232,"")</f>
        <v/>
      </c>
      <c r="T232" s="13">
        <f>IFERROR((ABS(N232-O232)/MAX(1,(N232+O232)))*EXP(-ABS(E232-CONTROL!E5)/MAX(1,CONTROL!B8)),"")</f>
        <v/>
      </c>
      <c r="U232" s="13">
        <f>IFERROR(IF(O232&gt;N232,"SUPPORT (PE OI)","RESIST (CE OI)"),"")</f>
        <v/>
      </c>
      <c r="V232" s="13">
        <f>IFERROR(IF(Q232&gt;0,IF(R232&gt;0,"BOTH_ADD","CE_ADD_PE_REDUCE"),IF(R232&gt;0,"CE_REDUCE_PE_ADD","BOTH_REDUCE")),"")</f>
        <v/>
      </c>
      <c r="W232" s="13">
        <f>IFERROR( (P232-1)*0.5 + (M232)*0.1 - (I232+J232)*0.05 + T232*0.4 ,"")</f>
        <v/>
      </c>
      <c r="X232" s="13">
        <f>IFERROR(IF(ABS(F232)&lt;0.01,"ATM/NEAR",""),"")</f>
        <v/>
      </c>
    </row>
    <row r="233">
      <c r="A233" s="13">
        <f>CHAIN_RAW!A233</f>
        <v/>
      </c>
      <c r="B233" s="14">
        <f>CHAIN_RAW!B233</f>
        <v/>
      </c>
      <c r="C233" s="13">
        <f>CHAIN_RAW!C233</f>
        <v/>
      </c>
      <c r="D233" s="13">
        <f>CHAIN_RAW!D233</f>
        <v/>
      </c>
      <c r="E233" s="13">
        <f>CHAIN_RAW!E233</f>
        <v/>
      </c>
      <c r="F233" s="13">
        <f>IFERROR((E233-D233)/D233,"")</f>
        <v/>
      </c>
      <c r="G233" s="13">
        <f>IFERROR((CHAIN_RAW!K233+CHAIN_RAW!L233)/2,"")</f>
        <v/>
      </c>
      <c r="H233" s="13">
        <f>IFERROR((CHAIN_RAW!R233+CHAIN_RAW!S233)/2,"")</f>
        <v/>
      </c>
      <c r="I233" s="13">
        <f>IFERROR((CHAIN_RAW!L233-CHAIN_RAW!K233)/MAX(1E-9, G233),"")</f>
        <v/>
      </c>
      <c r="J233" s="13">
        <f>IFERROR((CHAIN_RAW!S233-CHAIN_RAW!R233)/MAX(1E-9, H233),"")</f>
        <v/>
      </c>
      <c r="K233" s="13">
        <f>CHAIN_RAW!G233</f>
        <v/>
      </c>
      <c r="L233" s="13">
        <f>CHAIN_RAW!N233</f>
        <v/>
      </c>
      <c r="M233" s="13">
        <f>IFERROR(L233-K233,"")</f>
        <v/>
      </c>
      <c r="N233" s="13">
        <f>CHAIN_RAW!H233</f>
        <v/>
      </c>
      <c r="O233" s="13">
        <f>CHAIN_RAW!O233</f>
        <v/>
      </c>
      <c r="P233" s="13">
        <f>IFERROR(O233/N233,"")</f>
        <v/>
      </c>
      <c r="Q233" s="13">
        <f>CHAIN_RAW!I233</f>
        <v/>
      </c>
      <c r="R233" s="13">
        <f>CHAIN_RAW!P233</f>
        <v/>
      </c>
      <c r="S233" s="13">
        <f>IFERROR(R233/Q233,"")</f>
        <v/>
      </c>
      <c r="T233" s="13">
        <f>IFERROR((ABS(N233-O233)/MAX(1,(N233+O233)))*EXP(-ABS(E233-CONTROL!E5)/MAX(1,CONTROL!B8)),"")</f>
        <v/>
      </c>
      <c r="U233" s="13">
        <f>IFERROR(IF(O233&gt;N233,"SUPPORT (PE OI)","RESIST (CE OI)"),"")</f>
        <v/>
      </c>
      <c r="V233" s="13">
        <f>IFERROR(IF(Q233&gt;0,IF(R233&gt;0,"BOTH_ADD","CE_ADD_PE_REDUCE"),IF(R233&gt;0,"CE_REDUCE_PE_ADD","BOTH_REDUCE")),"")</f>
        <v/>
      </c>
      <c r="W233" s="13">
        <f>IFERROR( (P233-1)*0.5 + (M233)*0.1 - (I233+J233)*0.05 + T233*0.4 ,"")</f>
        <v/>
      </c>
      <c r="X233" s="13">
        <f>IFERROR(IF(ABS(F233)&lt;0.01,"ATM/NEAR",""),"")</f>
        <v/>
      </c>
    </row>
    <row r="234">
      <c r="A234" s="13">
        <f>CHAIN_RAW!A234</f>
        <v/>
      </c>
      <c r="B234" s="14">
        <f>CHAIN_RAW!B234</f>
        <v/>
      </c>
      <c r="C234" s="13">
        <f>CHAIN_RAW!C234</f>
        <v/>
      </c>
      <c r="D234" s="13">
        <f>CHAIN_RAW!D234</f>
        <v/>
      </c>
      <c r="E234" s="13">
        <f>CHAIN_RAW!E234</f>
        <v/>
      </c>
      <c r="F234" s="13">
        <f>IFERROR((E234-D234)/D234,"")</f>
        <v/>
      </c>
      <c r="G234" s="13">
        <f>IFERROR((CHAIN_RAW!K234+CHAIN_RAW!L234)/2,"")</f>
        <v/>
      </c>
      <c r="H234" s="13">
        <f>IFERROR((CHAIN_RAW!R234+CHAIN_RAW!S234)/2,"")</f>
        <v/>
      </c>
      <c r="I234" s="13">
        <f>IFERROR((CHAIN_RAW!L234-CHAIN_RAW!K234)/MAX(1E-9, G234),"")</f>
        <v/>
      </c>
      <c r="J234" s="13">
        <f>IFERROR((CHAIN_RAW!S234-CHAIN_RAW!R234)/MAX(1E-9, H234),"")</f>
        <v/>
      </c>
      <c r="K234" s="13">
        <f>CHAIN_RAW!G234</f>
        <v/>
      </c>
      <c r="L234" s="13">
        <f>CHAIN_RAW!N234</f>
        <v/>
      </c>
      <c r="M234" s="13">
        <f>IFERROR(L234-K234,"")</f>
        <v/>
      </c>
      <c r="N234" s="13">
        <f>CHAIN_RAW!H234</f>
        <v/>
      </c>
      <c r="O234" s="13">
        <f>CHAIN_RAW!O234</f>
        <v/>
      </c>
      <c r="P234" s="13">
        <f>IFERROR(O234/N234,"")</f>
        <v/>
      </c>
      <c r="Q234" s="13">
        <f>CHAIN_RAW!I234</f>
        <v/>
      </c>
      <c r="R234" s="13">
        <f>CHAIN_RAW!P234</f>
        <v/>
      </c>
      <c r="S234" s="13">
        <f>IFERROR(R234/Q234,"")</f>
        <v/>
      </c>
      <c r="T234" s="13">
        <f>IFERROR((ABS(N234-O234)/MAX(1,(N234+O234)))*EXP(-ABS(E234-CONTROL!E5)/MAX(1,CONTROL!B8)),"")</f>
        <v/>
      </c>
      <c r="U234" s="13">
        <f>IFERROR(IF(O234&gt;N234,"SUPPORT (PE OI)","RESIST (CE OI)"),"")</f>
        <v/>
      </c>
      <c r="V234" s="13">
        <f>IFERROR(IF(Q234&gt;0,IF(R234&gt;0,"BOTH_ADD","CE_ADD_PE_REDUCE"),IF(R234&gt;0,"CE_REDUCE_PE_ADD","BOTH_REDUCE")),"")</f>
        <v/>
      </c>
      <c r="W234" s="13">
        <f>IFERROR( (P234-1)*0.5 + (M234)*0.1 - (I234+J234)*0.05 + T234*0.4 ,"")</f>
        <v/>
      </c>
      <c r="X234" s="13">
        <f>IFERROR(IF(ABS(F234)&lt;0.01,"ATM/NEAR",""),"")</f>
        <v/>
      </c>
    </row>
    <row r="235">
      <c r="A235" s="13">
        <f>CHAIN_RAW!A235</f>
        <v/>
      </c>
      <c r="B235" s="14">
        <f>CHAIN_RAW!B235</f>
        <v/>
      </c>
      <c r="C235" s="13">
        <f>CHAIN_RAW!C235</f>
        <v/>
      </c>
      <c r="D235" s="13">
        <f>CHAIN_RAW!D235</f>
        <v/>
      </c>
      <c r="E235" s="13">
        <f>CHAIN_RAW!E235</f>
        <v/>
      </c>
      <c r="F235" s="13">
        <f>IFERROR((E235-D235)/D235,"")</f>
        <v/>
      </c>
      <c r="G235" s="13">
        <f>IFERROR((CHAIN_RAW!K235+CHAIN_RAW!L235)/2,"")</f>
        <v/>
      </c>
      <c r="H235" s="13">
        <f>IFERROR((CHAIN_RAW!R235+CHAIN_RAW!S235)/2,"")</f>
        <v/>
      </c>
      <c r="I235" s="13">
        <f>IFERROR((CHAIN_RAW!L235-CHAIN_RAW!K235)/MAX(1E-9, G235),"")</f>
        <v/>
      </c>
      <c r="J235" s="13">
        <f>IFERROR((CHAIN_RAW!S235-CHAIN_RAW!R235)/MAX(1E-9, H235),"")</f>
        <v/>
      </c>
      <c r="K235" s="13">
        <f>CHAIN_RAW!G235</f>
        <v/>
      </c>
      <c r="L235" s="13">
        <f>CHAIN_RAW!N235</f>
        <v/>
      </c>
      <c r="M235" s="13">
        <f>IFERROR(L235-K235,"")</f>
        <v/>
      </c>
      <c r="N235" s="13">
        <f>CHAIN_RAW!H235</f>
        <v/>
      </c>
      <c r="O235" s="13">
        <f>CHAIN_RAW!O235</f>
        <v/>
      </c>
      <c r="P235" s="13">
        <f>IFERROR(O235/N235,"")</f>
        <v/>
      </c>
      <c r="Q235" s="13">
        <f>CHAIN_RAW!I235</f>
        <v/>
      </c>
      <c r="R235" s="13">
        <f>CHAIN_RAW!P235</f>
        <v/>
      </c>
      <c r="S235" s="13">
        <f>IFERROR(R235/Q235,"")</f>
        <v/>
      </c>
      <c r="T235" s="13">
        <f>IFERROR((ABS(N235-O235)/MAX(1,(N235+O235)))*EXP(-ABS(E235-CONTROL!E5)/MAX(1,CONTROL!B8)),"")</f>
        <v/>
      </c>
      <c r="U235" s="13">
        <f>IFERROR(IF(O235&gt;N235,"SUPPORT (PE OI)","RESIST (CE OI)"),"")</f>
        <v/>
      </c>
      <c r="V235" s="13">
        <f>IFERROR(IF(Q235&gt;0,IF(R235&gt;0,"BOTH_ADD","CE_ADD_PE_REDUCE"),IF(R235&gt;0,"CE_REDUCE_PE_ADD","BOTH_REDUCE")),"")</f>
        <v/>
      </c>
      <c r="W235" s="13">
        <f>IFERROR( (P235-1)*0.5 + (M235)*0.1 - (I235+J235)*0.05 + T235*0.4 ,"")</f>
        <v/>
      </c>
      <c r="X235" s="13">
        <f>IFERROR(IF(ABS(F235)&lt;0.01,"ATM/NEAR",""),"")</f>
        <v/>
      </c>
    </row>
    <row r="236">
      <c r="A236" s="13">
        <f>CHAIN_RAW!A236</f>
        <v/>
      </c>
      <c r="B236" s="14">
        <f>CHAIN_RAW!B236</f>
        <v/>
      </c>
      <c r="C236" s="13">
        <f>CHAIN_RAW!C236</f>
        <v/>
      </c>
      <c r="D236" s="13">
        <f>CHAIN_RAW!D236</f>
        <v/>
      </c>
      <c r="E236" s="13">
        <f>CHAIN_RAW!E236</f>
        <v/>
      </c>
      <c r="F236" s="13">
        <f>IFERROR((E236-D236)/D236,"")</f>
        <v/>
      </c>
      <c r="G236" s="13">
        <f>IFERROR((CHAIN_RAW!K236+CHAIN_RAW!L236)/2,"")</f>
        <v/>
      </c>
      <c r="H236" s="13">
        <f>IFERROR((CHAIN_RAW!R236+CHAIN_RAW!S236)/2,"")</f>
        <v/>
      </c>
      <c r="I236" s="13">
        <f>IFERROR((CHAIN_RAW!L236-CHAIN_RAW!K236)/MAX(1E-9, G236),"")</f>
        <v/>
      </c>
      <c r="J236" s="13">
        <f>IFERROR((CHAIN_RAW!S236-CHAIN_RAW!R236)/MAX(1E-9, H236),"")</f>
        <v/>
      </c>
      <c r="K236" s="13">
        <f>CHAIN_RAW!G236</f>
        <v/>
      </c>
      <c r="L236" s="13">
        <f>CHAIN_RAW!N236</f>
        <v/>
      </c>
      <c r="M236" s="13">
        <f>IFERROR(L236-K236,"")</f>
        <v/>
      </c>
      <c r="N236" s="13">
        <f>CHAIN_RAW!H236</f>
        <v/>
      </c>
      <c r="O236" s="13">
        <f>CHAIN_RAW!O236</f>
        <v/>
      </c>
      <c r="P236" s="13">
        <f>IFERROR(O236/N236,"")</f>
        <v/>
      </c>
      <c r="Q236" s="13">
        <f>CHAIN_RAW!I236</f>
        <v/>
      </c>
      <c r="R236" s="13">
        <f>CHAIN_RAW!P236</f>
        <v/>
      </c>
      <c r="S236" s="13">
        <f>IFERROR(R236/Q236,"")</f>
        <v/>
      </c>
      <c r="T236" s="13">
        <f>IFERROR((ABS(N236-O236)/MAX(1,(N236+O236)))*EXP(-ABS(E236-CONTROL!E5)/MAX(1,CONTROL!B8)),"")</f>
        <v/>
      </c>
      <c r="U236" s="13">
        <f>IFERROR(IF(O236&gt;N236,"SUPPORT (PE OI)","RESIST (CE OI)"),"")</f>
        <v/>
      </c>
      <c r="V236" s="13">
        <f>IFERROR(IF(Q236&gt;0,IF(R236&gt;0,"BOTH_ADD","CE_ADD_PE_REDUCE"),IF(R236&gt;0,"CE_REDUCE_PE_ADD","BOTH_REDUCE")),"")</f>
        <v/>
      </c>
      <c r="W236" s="13">
        <f>IFERROR( (P236-1)*0.5 + (M236)*0.1 - (I236+J236)*0.05 + T236*0.4 ,"")</f>
        <v/>
      </c>
      <c r="X236" s="13">
        <f>IFERROR(IF(ABS(F236)&lt;0.01,"ATM/NEAR",""),"")</f>
        <v/>
      </c>
    </row>
    <row r="237">
      <c r="A237" s="13">
        <f>CHAIN_RAW!A237</f>
        <v/>
      </c>
      <c r="B237" s="14">
        <f>CHAIN_RAW!B237</f>
        <v/>
      </c>
      <c r="C237" s="13">
        <f>CHAIN_RAW!C237</f>
        <v/>
      </c>
      <c r="D237" s="13">
        <f>CHAIN_RAW!D237</f>
        <v/>
      </c>
      <c r="E237" s="13">
        <f>CHAIN_RAW!E237</f>
        <v/>
      </c>
      <c r="F237" s="13">
        <f>IFERROR((E237-D237)/D237,"")</f>
        <v/>
      </c>
      <c r="G237" s="13">
        <f>IFERROR((CHAIN_RAW!K237+CHAIN_RAW!L237)/2,"")</f>
        <v/>
      </c>
      <c r="H237" s="13">
        <f>IFERROR((CHAIN_RAW!R237+CHAIN_RAW!S237)/2,"")</f>
        <v/>
      </c>
      <c r="I237" s="13">
        <f>IFERROR((CHAIN_RAW!L237-CHAIN_RAW!K237)/MAX(1E-9, G237),"")</f>
        <v/>
      </c>
      <c r="J237" s="13">
        <f>IFERROR((CHAIN_RAW!S237-CHAIN_RAW!R237)/MAX(1E-9, H237),"")</f>
        <v/>
      </c>
      <c r="K237" s="13">
        <f>CHAIN_RAW!G237</f>
        <v/>
      </c>
      <c r="L237" s="13">
        <f>CHAIN_RAW!N237</f>
        <v/>
      </c>
      <c r="M237" s="13">
        <f>IFERROR(L237-K237,"")</f>
        <v/>
      </c>
      <c r="N237" s="13">
        <f>CHAIN_RAW!H237</f>
        <v/>
      </c>
      <c r="O237" s="13">
        <f>CHAIN_RAW!O237</f>
        <v/>
      </c>
      <c r="P237" s="13">
        <f>IFERROR(O237/N237,"")</f>
        <v/>
      </c>
      <c r="Q237" s="13">
        <f>CHAIN_RAW!I237</f>
        <v/>
      </c>
      <c r="R237" s="13">
        <f>CHAIN_RAW!P237</f>
        <v/>
      </c>
      <c r="S237" s="13">
        <f>IFERROR(R237/Q237,"")</f>
        <v/>
      </c>
      <c r="T237" s="13">
        <f>IFERROR((ABS(N237-O237)/MAX(1,(N237+O237)))*EXP(-ABS(E237-CONTROL!E5)/MAX(1,CONTROL!B8)),"")</f>
        <v/>
      </c>
      <c r="U237" s="13">
        <f>IFERROR(IF(O237&gt;N237,"SUPPORT (PE OI)","RESIST (CE OI)"),"")</f>
        <v/>
      </c>
      <c r="V237" s="13">
        <f>IFERROR(IF(Q237&gt;0,IF(R237&gt;0,"BOTH_ADD","CE_ADD_PE_REDUCE"),IF(R237&gt;0,"CE_REDUCE_PE_ADD","BOTH_REDUCE")),"")</f>
        <v/>
      </c>
      <c r="W237" s="13">
        <f>IFERROR( (P237-1)*0.5 + (M237)*0.1 - (I237+J237)*0.05 + T237*0.4 ,"")</f>
        <v/>
      </c>
      <c r="X237" s="13">
        <f>IFERROR(IF(ABS(F237)&lt;0.01,"ATM/NEAR",""),"")</f>
        <v/>
      </c>
    </row>
    <row r="238">
      <c r="A238" s="13">
        <f>CHAIN_RAW!A238</f>
        <v/>
      </c>
      <c r="B238" s="14">
        <f>CHAIN_RAW!B238</f>
        <v/>
      </c>
      <c r="C238" s="13">
        <f>CHAIN_RAW!C238</f>
        <v/>
      </c>
      <c r="D238" s="13">
        <f>CHAIN_RAW!D238</f>
        <v/>
      </c>
      <c r="E238" s="13">
        <f>CHAIN_RAW!E238</f>
        <v/>
      </c>
      <c r="F238" s="13">
        <f>IFERROR((E238-D238)/D238,"")</f>
        <v/>
      </c>
      <c r="G238" s="13">
        <f>IFERROR((CHAIN_RAW!K238+CHAIN_RAW!L238)/2,"")</f>
        <v/>
      </c>
      <c r="H238" s="13">
        <f>IFERROR((CHAIN_RAW!R238+CHAIN_RAW!S238)/2,"")</f>
        <v/>
      </c>
      <c r="I238" s="13">
        <f>IFERROR((CHAIN_RAW!L238-CHAIN_RAW!K238)/MAX(1E-9, G238),"")</f>
        <v/>
      </c>
      <c r="J238" s="13">
        <f>IFERROR((CHAIN_RAW!S238-CHAIN_RAW!R238)/MAX(1E-9, H238),"")</f>
        <v/>
      </c>
      <c r="K238" s="13">
        <f>CHAIN_RAW!G238</f>
        <v/>
      </c>
      <c r="L238" s="13">
        <f>CHAIN_RAW!N238</f>
        <v/>
      </c>
      <c r="M238" s="13">
        <f>IFERROR(L238-K238,"")</f>
        <v/>
      </c>
      <c r="N238" s="13">
        <f>CHAIN_RAW!H238</f>
        <v/>
      </c>
      <c r="O238" s="13">
        <f>CHAIN_RAW!O238</f>
        <v/>
      </c>
      <c r="P238" s="13">
        <f>IFERROR(O238/N238,"")</f>
        <v/>
      </c>
      <c r="Q238" s="13">
        <f>CHAIN_RAW!I238</f>
        <v/>
      </c>
      <c r="R238" s="13">
        <f>CHAIN_RAW!P238</f>
        <v/>
      </c>
      <c r="S238" s="13">
        <f>IFERROR(R238/Q238,"")</f>
        <v/>
      </c>
      <c r="T238" s="13">
        <f>IFERROR((ABS(N238-O238)/MAX(1,(N238+O238)))*EXP(-ABS(E238-CONTROL!E5)/MAX(1,CONTROL!B8)),"")</f>
        <v/>
      </c>
      <c r="U238" s="13">
        <f>IFERROR(IF(O238&gt;N238,"SUPPORT (PE OI)","RESIST (CE OI)"),"")</f>
        <v/>
      </c>
      <c r="V238" s="13">
        <f>IFERROR(IF(Q238&gt;0,IF(R238&gt;0,"BOTH_ADD","CE_ADD_PE_REDUCE"),IF(R238&gt;0,"CE_REDUCE_PE_ADD","BOTH_REDUCE")),"")</f>
        <v/>
      </c>
      <c r="W238" s="13">
        <f>IFERROR( (P238-1)*0.5 + (M238)*0.1 - (I238+J238)*0.05 + T238*0.4 ,"")</f>
        <v/>
      </c>
      <c r="X238" s="13">
        <f>IFERROR(IF(ABS(F238)&lt;0.01,"ATM/NEAR",""),"")</f>
        <v/>
      </c>
    </row>
    <row r="239">
      <c r="A239" s="13">
        <f>CHAIN_RAW!A239</f>
        <v/>
      </c>
      <c r="B239" s="14">
        <f>CHAIN_RAW!B239</f>
        <v/>
      </c>
      <c r="C239" s="13">
        <f>CHAIN_RAW!C239</f>
        <v/>
      </c>
      <c r="D239" s="13">
        <f>CHAIN_RAW!D239</f>
        <v/>
      </c>
      <c r="E239" s="13">
        <f>CHAIN_RAW!E239</f>
        <v/>
      </c>
      <c r="F239" s="13">
        <f>IFERROR((E239-D239)/D239,"")</f>
        <v/>
      </c>
      <c r="G239" s="13">
        <f>IFERROR((CHAIN_RAW!K239+CHAIN_RAW!L239)/2,"")</f>
        <v/>
      </c>
      <c r="H239" s="13">
        <f>IFERROR((CHAIN_RAW!R239+CHAIN_RAW!S239)/2,"")</f>
        <v/>
      </c>
      <c r="I239" s="13">
        <f>IFERROR((CHAIN_RAW!L239-CHAIN_RAW!K239)/MAX(1E-9, G239),"")</f>
        <v/>
      </c>
      <c r="J239" s="13">
        <f>IFERROR((CHAIN_RAW!S239-CHAIN_RAW!R239)/MAX(1E-9, H239),"")</f>
        <v/>
      </c>
      <c r="K239" s="13">
        <f>CHAIN_RAW!G239</f>
        <v/>
      </c>
      <c r="L239" s="13">
        <f>CHAIN_RAW!N239</f>
        <v/>
      </c>
      <c r="M239" s="13">
        <f>IFERROR(L239-K239,"")</f>
        <v/>
      </c>
      <c r="N239" s="13">
        <f>CHAIN_RAW!H239</f>
        <v/>
      </c>
      <c r="O239" s="13">
        <f>CHAIN_RAW!O239</f>
        <v/>
      </c>
      <c r="P239" s="13">
        <f>IFERROR(O239/N239,"")</f>
        <v/>
      </c>
      <c r="Q239" s="13">
        <f>CHAIN_RAW!I239</f>
        <v/>
      </c>
      <c r="R239" s="13">
        <f>CHAIN_RAW!P239</f>
        <v/>
      </c>
      <c r="S239" s="13">
        <f>IFERROR(R239/Q239,"")</f>
        <v/>
      </c>
      <c r="T239" s="13">
        <f>IFERROR((ABS(N239-O239)/MAX(1,(N239+O239)))*EXP(-ABS(E239-CONTROL!E5)/MAX(1,CONTROL!B8)),"")</f>
        <v/>
      </c>
      <c r="U239" s="13">
        <f>IFERROR(IF(O239&gt;N239,"SUPPORT (PE OI)","RESIST (CE OI)"),"")</f>
        <v/>
      </c>
      <c r="V239" s="13">
        <f>IFERROR(IF(Q239&gt;0,IF(R239&gt;0,"BOTH_ADD","CE_ADD_PE_REDUCE"),IF(R239&gt;0,"CE_REDUCE_PE_ADD","BOTH_REDUCE")),"")</f>
        <v/>
      </c>
      <c r="W239" s="13">
        <f>IFERROR( (P239-1)*0.5 + (M239)*0.1 - (I239+J239)*0.05 + T239*0.4 ,"")</f>
        <v/>
      </c>
      <c r="X239" s="13">
        <f>IFERROR(IF(ABS(F239)&lt;0.01,"ATM/NEAR",""),"")</f>
        <v/>
      </c>
    </row>
    <row r="240">
      <c r="A240" s="13">
        <f>CHAIN_RAW!A240</f>
        <v/>
      </c>
      <c r="B240" s="14">
        <f>CHAIN_RAW!B240</f>
        <v/>
      </c>
      <c r="C240" s="13">
        <f>CHAIN_RAW!C240</f>
        <v/>
      </c>
      <c r="D240" s="13">
        <f>CHAIN_RAW!D240</f>
        <v/>
      </c>
      <c r="E240" s="13">
        <f>CHAIN_RAW!E240</f>
        <v/>
      </c>
      <c r="F240" s="13">
        <f>IFERROR((E240-D240)/D240,"")</f>
        <v/>
      </c>
      <c r="G240" s="13">
        <f>IFERROR((CHAIN_RAW!K240+CHAIN_RAW!L240)/2,"")</f>
        <v/>
      </c>
      <c r="H240" s="13">
        <f>IFERROR((CHAIN_RAW!R240+CHAIN_RAW!S240)/2,"")</f>
        <v/>
      </c>
      <c r="I240" s="13">
        <f>IFERROR((CHAIN_RAW!L240-CHAIN_RAW!K240)/MAX(1E-9, G240),"")</f>
        <v/>
      </c>
      <c r="J240" s="13">
        <f>IFERROR((CHAIN_RAW!S240-CHAIN_RAW!R240)/MAX(1E-9, H240),"")</f>
        <v/>
      </c>
      <c r="K240" s="13">
        <f>CHAIN_RAW!G240</f>
        <v/>
      </c>
      <c r="L240" s="13">
        <f>CHAIN_RAW!N240</f>
        <v/>
      </c>
      <c r="M240" s="13">
        <f>IFERROR(L240-K240,"")</f>
        <v/>
      </c>
      <c r="N240" s="13">
        <f>CHAIN_RAW!H240</f>
        <v/>
      </c>
      <c r="O240" s="13">
        <f>CHAIN_RAW!O240</f>
        <v/>
      </c>
      <c r="P240" s="13">
        <f>IFERROR(O240/N240,"")</f>
        <v/>
      </c>
      <c r="Q240" s="13">
        <f>CHAIN_RAW!I240</f>
        <v/>
      </c>
      <c r="R240" s="13">
        <f>CHAIN_RAW!P240</f>
        <v/>
      </c>
      <c r="S240" s="13">
        <f>IFERROR(R240/Q240,"")</f>
        <v/>
      </c>
      <c r="T240" s="13">
        <f>IFERROR((ABS(N240-O240)/MAX(1,(N240+O240)))*EXP(-ABS(E240-CONTROL!E5)/MAX(1,CONTROL!B8)),"")</f>
        <v/>
      </c>
      <c r="U240" s="13">
        <f>IFERROR(IF(O240&gt;N240,"SUPPORT (PE OI)","RESIST (CE OI)"),"")</f>
        <v/>
      </c>
      <c r="V240" s="13">
        <f>IFERROR(IF(Q240&gt;0,IF(R240&gt;0,"BOTH_ADD","CE_ADD_PE_REDUCE"),IF(R240&gt;0,"CE_REDUCE_PE_ADD","BOTH_REDUCE")),"")</f>
        <v/>
      </c>
      <c r="W240" s="13">
        <f>IFERROR( (P240-1)*0.5 + (M240)*0.1 - (I240+J240)*0.05 + T240*0.4 ,"")</f>
        <v/>
      </c>
      <c r="X240" s="13">
        <f>IFERROR(IF(ABS(F240)&lt;0.01,"ATM/NEAR",""),"")</f>
        <v/>
      </c>
    </row>
    <row r="241">
      <c r="A241" s="13">
        <f>CHAIN_RAW!A241</f>
        <v/>
      </c>
      <c r="B241" s="14">
        <f>CHAIN_RAW!B241</f>
        <v/>
      </c>
      <c r="C241" s="13">
        <f>CHAIN_RAW!C241</f>
        <v/>
      </c>
      <c r="D241" s="13">
        <f>CHAIN_RAW!D241</f>
        <v/>
      </c>
      <c r="E241" s="13">
        <f>CHAIN_RAW!E241</f>
        <v/>
      </c>
      <c r="F241" s="13">
        <f>IFERROR((E241-D241)/D241,"")</f>
        <v/>
      </c>
      <c r="G241" s="13">
        <f>IFERROR((CHAIN_RAW!K241+CHAIN_RAW!L241)/2,"")</f>
        <v/>
      </c>
      <c r="H241" s="13">
        <f>IFERROR((CHAIN_RAW!R241+CHAIN_RAW!S241)/2,"")</f>
        <v/>
      </c>
      <c r="I241" s="13">
        <f>IFERROR((CHAIN_RAW!L241-CHAIN_RAW!K241)/MAX(1E-9, G241),"")</f>
        <v/>
      </c>
      <c r="J241" s="13">
        <f>IFERROR((CHAIN_RAW!S241-CHAIN_RAW!R241)/MAX(1E-9, H241),"")</f>
        <v/>
      </c>
      <c r="K241" s="13">
        <f>CHAIN_RAW!G241</f>
        <v/>
      </c>
      <c r="L241" s="13">
        <f>CHAIN_RAW!N241</f>
        <v/>
      </c>
      <c r="M241" s="13">
        <f>IFERROR(L241-K241,"")</f>
        <v/>
      </c>
      <c r="N241" s="13">
        <f>CHAIN_RAW!H241</f>
        <v/>
      </c>
      <c r="O241" s="13">
        <f>CHAIN_RAW!O241</f>
        <v/>
      </c>
      <c r="P241" s="13">
        <f>IFERROR(O241/N241,"")</f>
        <v/>
      </c>
      <c r="Q241" s="13">
        <f>CHAIN_RAW!I241</f>
        <v/>
      </c>
      <c r="R241" s="13">
        <f>CHAIN_RAW!P241</f>
        <v/>
      </c>
      <c r="S241" s="13">
        <f>IFERROR(R241/Q241,"")</f>
        <v/>
      </c>
      <c r="T241" s="13">
        <f>IFERROR((ABS(N241-O241)/MAX(1,(N241+O241)))*EXP(-ABS(E241-CONTROL!E5)/MAX(1,CONTROL!B8)),"")</f>
        <v/>
      </c>
      <c r="U241" s="13">
        <f>IFERROR(IF(O241&gt;N241,"SUPPORT (PE OI)","RESIST (CE OI)"),"")</f>
        <v/>
      </c>
      <c r="V241" s="13">
        <f>IFERROR(IF(Q241&gt;0,IF(R241&gt;0,"BOTH_ADD","CE_ADD_PE_REDUCE"),IF(R241&gt;0,"CE_REDUCE_PE_ADD","BOTH_REDUCE")),"")</f>
        <v/>
      </c>
      <c r="W241" s="13">
        <f>IFERROR( (P241-1)*0.5 + (M241)*0.1 - (I241+J241)*0.05 + T241*0.4 ,"")</f>
        <v/>
      </c>
      <c r="X241" s="13">
        <f>IFERROR(IF(ABS(F241)&lt;0.01,"ATM/NEAR",""),"")</f>
        <v/>
      </c>
    </row>
    <row r="242">
      <c r="A242" s="13">
        <f>CHAIN_RAW!A242</f>
        <v/>
      </c>
      <c r="B242" s="14">
        <f>CHAIN_RAW!B242</f>
        <v/>
      </c>
      <c r="C242" s="13">
        <f>CHAIN_RAW!C242</f>
        <v/>
      </c>
      <c r="D242" s="13">
        <f>CHAIN_RAW!D242</f>
        <v/>
      </c>
      <c r="E242" s="13">
        <f>CHAIN_RAW!E242</f>
        <v/>
      </c>
      <c r="F242" s="13">
        <f>IFERROR((E242-D242)/D242,"")</f>
        <v/>
      </c>
      <c r="G242" s="13">
        <f>IFERROR((CHAIN_RAW!K242+CHAIN_RAW!L242)/2,"")</f>
        <v/>
      </c>
      <c r="H242" s="13">
        <f>IFERROR((CHAIN_RAW!R242+CHAIN_RAW!S242)/2,"")</f>
        <v/>
      </c>
      <c r="I242" s="13">
        <f>IFERROR((CHAIN_RAW!L242-CHAIN_RAW!K242)/MAX(1E-9, G242),"")</f>
        <v/>
      </c>
      <c r="J242" s="13">
        <f>IFERROR((CHAIN_RAW!S242-CHAIN_RAW!R242)/MAX(1E-9, H242),"")</f>
        <v/>
      </c>
      <c r="K242" s="13">
        <f>CHAIN_RAW!G242</f>
        <v/>
      </c>
      <c r="L242" s="13">
        <f>CHAIN_RAW!N242</f>
        <v/>
      </c>
      <c r="M242" s="13">
        <f>IFERROR(L242-K242,"")</f>
        <v/>
      </c>
      <c r="N242" s="13">
        <f>CHAIN_RAW!H242</f>
        <v/>
      </c>
      <c r="O242" s="13">
        <f>CHAIN_RAW!O242</f>
        <v/>
      </c>
      <c r="P242" s="13">
        <f>IFERROR(O242/N242,"")</f>
        <v/>
      </c>
      <c r="Q242" s="13">
        <f>CHAIN_RAW!I242</f>
        <v/>
      </c>
      <c r="R242" s="13">
        <f>CHAIN_RAW!P242</f>
        <v/>
      </c>
      <c r="S242" s="13">
        <f>IFERROR(R242/Q242,"")</f>
        <v/>
      </c>
      <c r="T242" s="13">
        <f>IFERROR((ABS(N242-O242)/MAX(1,(N242+O242)))*EXP(-ABS(E242-CONTROL!E5)/MAX(1,CONTROL!B8)),"")</f>
        <v/>
      </c>
      <c r="U242" s="13">
        <f>IFERROR(IF(O242&gt;N242,"SUPPORT (PE OI)","RESIST (CE OI)"),"")</f>
        <v/>
      </c>
      <c r="V242" s="13">
        <f>IFERROR(IF(Q242&gt;0,IF(R242&gt;0,"BOTH_ADD","CE_ADD_PE_REDUCE"),IF(R242&gt;0,"CE_REDUCE_PE_ADD","BOTH_REDUCE")),"")</f>
        <v/>
      </c>
      <c r="W242" s="13">
        <f>IFERROR( (P242-1)*0.5 + (M242)*0.1 - (I242+J242)*0.05 + T242*0.4 ,"")</f>
        <v/>
      </c>
      <c r="X242" s="13">
        <f>IFERROR(IF(ABS(F242)&lt;0.01,"ATM/NEAR",""),"")</f>
        <v/>
      </c>
    </row>
    <row r="243">
      <c r="A243" s="13">
        <f>CHAIN_RAW!A243</f>
        <v/>
      </c>
      <c r="B243" s="14">
        <f>CHAIN_RAW!B243</f>
        <v/>
      </c>
      <c r="C243" s="13">
        <f>CHAIN_RAW!C243</f>
        <v/>
      </c>
      <c r="D243" s="13">
        <f>CHAIN_RAW!D243</f>
        <v/>
      </c>
      <c r="E243" s="13">
        <f>CHAIN_RAW!E243</f>
        <v/>
      </c>
      <c r="F243" s="13">
        <f>IFERROR((E243-D243)/D243,"")</f>
        <v/>
      </c>
      <c r="G243" s="13">
        <f>IFERROR((CHAIN_RAW!K243+CHAIN_RAW!L243)/2,"")</f>
        <v/>
      </c>
      <c r="H243" s="13">
        <f>IFERROR((CHAIN_RAW!R243+CHAIN_RAW!S243)/2,"")</f>
        <v/>
      </c>
      <c r="I243" s="13">
        <f>IFERROR((CHAIN_RAW!L243-CHAIN_RAW!K243)/MAX(1E-9, G243),"")</f>
        <v/>
      </c>
      <c r="J243" s="13">
        <f>IFERROR((CHAIN_RAW!S243-CHAIN_RAW!R243)/MAX(1E-9, H243),"")</f>
        <v/>
      </c>
      <c r="K243" s="13">
        <f>CHAIN_RAW!G243</f>
        <v/>
      </c>
      <c r="L243" s="13">
        <f>CHAIN_RAW!N243</f>
        <v/>
      </c>
      <c r="M243" s="13">
        <f>IFERROR(L243-K243,"")</f>
        <v/>
      </c>
      <c r="N243" s="13">
        <f>CHAIN_RAW!H243</f>
        <v/>
      </c>
      <c r="O243" s="13">
        <f>CHAIN_RAW!O243</f>
        <v/>
      </c>
      <c r="P243" s="13">
        <f>IFERROR(O243/N243,"")</f>
        <v/>
      </c>
      <c r="Q243" s="13">
        <f>CHAIN_RAW!I243</f>
        <v/>
      </c>
      <c r="R243" s="13">
        <f>CHAIN_RAW!P243</f>
        <v/>
      </c>
      <c r="S243" s="13">
        <f>IFERROR(R243/Q243,"")</f>
        <v/>
      </c>
      <c r="T243" s="13">
        <f>IFERROR((ABS(N243-O243)/MAX(1,(N243+O243)))*EXP(-ABS(E243-CONTROL!E5)/MAX(1,CONTROL!B8)),"")</f>
        <v/>
      </c>
      <c r="U243" s="13">
        <f>IFERROR(IF(O243&gt;N243,"SUPPORT (PE OI)","RESIST (CE OI)"),"")</f>
        <v/>
      </c>
      <c r="V243" s="13">
        <f>IFERROR(IF(Q243&gt;0,IF(R243&gt;0,"BOTH_ADD","CE_ADD_PE_REDUCE"),IF(R243&gt;0,"CE_REDUCE_PE_ADD","BOTH_REDUCE")),"")</f>
        <v/>
      </c>
      <c r="W243" s="13">
        <f>IFERROR( (P243-1)*0.5 + (M243)*0.1 - (I243+J243)*0.05 + T243*0.4 ,"")</f>
        <v/>
      </c>
      <c r="X243" s="13">
        <f>IFERROR(IF(ABS(F243)&lt;0.01,"ATM/NEAR",""),"")</f>
        <v/>
      </c>
    </row>
    <row r="244">
      <c r="A244" s="13">
        <f>CHAIN_RAW!A244</f>
        <v/>
      </c>
      <c r="B244" s="14">
        <f>CHAIN_RAW!B244</f>
        <v/>
      </c>
      <c r="C244" s="13">
        <f>CHAIN_RAW!C244</f>
        <v/>
      </c>
      <c r="D244" s="13">
        <f>CHAIN_RAW!D244</f>
        <v/>
      </c>
      <c r="E244" s="13">
        <f>CHAIN_RAW!E244</f>
        <v/>
      </c>
      <c r="F244" s="13">
        <f>IFERROR((E244-D244)/D244,"")</f>
        <v/>
      </c>
      <c r="G244" s="13">
        <f>IFERROR((CHAIN_RAW!K244+CHAIN_RAW!L244)/2,"")</f>
        <v/>
      </c>
      <c r="H244" s="13">
        <f>IFERROR((CHAIN_RAW!R244+CHAIN_RAW!S244)/2,"")</f>
        <v/>
      </c>
      <c r="I244" s="13">
        <f>IFERROR((CHAIN_RAW!L244-CHAIN_RAW!K244)/MAX(1E-9, G244),"")</f>
        <v/>
      </c>
      <c r="J244" s="13">
        <f>IFERROR((CHAIN_RAW!S244-CHAIN_RAW!R244)/MAX(1E-9, H244),"")</f>
        <v/>
      </c>
      <c r="K244" s="13">
        <f>CHAIN_RAW!G244</f>
        <v/>
      </c>
      <c r="L244" s="13">
        <f>CHAIN_RAW!N244</f>
        <v/>
      </c>
      <c r="M244" s="13">
        <f>IFERROR(L244-K244,"")</f>
        <v/>
      </c>
      <c r="N244" s="13">
        <f>CHAIN_RAW!H244</f>
        <v/>
      </c>
      <c r="O244" s="13">
        <f>CHAIN_RAW!O244</f>
        <v/>
      </c>
      <c r="P244" s="13">
        <f>IFERROR(O244/N244,"")</f>
        <v/>
      </c>
      <c r="Q244" s="13">
        <f>CHAIN_RAW!I244</f>
        <v/>
      </c>
      <c r="R244" s="13">
        <f>CHAIN_RAW!P244</f>
        <v/>
      </c>
      <c r="S244" s="13">
        <f>IFERROR(R244/Q244,"")</f>
        <v/>
      </c>
      <c r="T244" s="13">
        <f>IFERROR((ABS(N244-O244)/MAX(1,(N244+O244)))*EXP(-ABS(E244-CONTROL!E5)/MAX(1,CONTROL!B8)),"")</f>
        <v/>
      </c>
      <c r="U244" s="13">
        <f>IFERROR(IF(O244&gt;N244,"SUPPORT (PE OI)","RESIST (CE OI)"),"")</f>
        <v/>
      </c>
      <c r="V244" s="13">
        <f>IFERROR(IF(Q244&gt;0,IF(R244&gt;0,"BOTH_ADD","CE_ADD_PE_REDUCE"),IF(R244&gt;0,"CE_REDUCE_PE_ADD","BOTH_REDUCE")),"")</f>
        <v/>
      </c>
      <c r="W244" s="13">
        <f>IFERROR( (P244-1)*0.5 + (M244)*0.1 - (I244+J244)*0.05 + T244*0.4 ,"")</f>
        <v/>
      </c>
      <c r="X244" s="13">
        <f>IFERROR(IF(ABS(F244)&lt;0.01,"ATM/NEAR",""),"")</f>
        <v/>
      </c>
    </row>
    <row r="245">
      <c r="A245" s="13">
        <f>CHAIN_RAW!A245</f>
        <v/>
      </c>
      <c r="B245" s="14">
        <f>CHAIN_RAW!B245</f>
        <v/>
      </c>
      <c r="C245" s="13">
        <f>CHAIN_RAW!C245</f>
        <v/>
      </c>
      <c r="D245" s="13">
        <f>CHAIN_RAW!D245</f>
        <v/>
      </c>
      <c r="E245" s="13">
        <f>CHAIN_RAW!E245</f>
        <v/>
      </c>
      <c r="F245" s="13">
        <f>IFERROR((E245-D245)/D245,"")</f>
        <v/>
      </c>
      <c r="G245" s="13">
        <f>IFERROR((CHAIN_RAW!K245+CHAIN_RAW!L245)/2,"")</f>
        <v/>
      </c>
      <c r="H245" s="13">
        <f>IFERROR((CHAIN_RAW!R245+CHAIN_RAW!S245)/2,"")</f>
        <v/>
      </c>
      <c r="I245" s="13">
        <f>IFERROR((CHAIN_RAW!L245-CHAIN_RAW!K245)/MAX(1E-9, G245),"")</f>
        <v/>
      </c>
      <c r="J245" s="13">
        <f>IFERROR((CHAIN_RAW!S245-CHAIN_RAW!R245)/MAX(1E-9, H245),"")</f>
        <v/>
      </c>
      <c r="K245" s="13">
        <f>CHAIN_RAW!G245</f>
        <v/>
      </c>
      <c r="L245" s="13">
        <f>CHAIN_RAW!N245</f>
        <v/>
      </c>
      <c r="M245" s="13">
        <f>IFERROR(L245-K245,"")</f>
        <v/>
      </c>
      <c r="N245" s="13">
        <f>CHAIN_RAW!H245</f>
        <v/>
      </c>
      <c r="O245" s="13">
        <f>CHAIN_RAW!O245</f>
        <v/>
      </c>
      <c r="P245" s="13">
        <f>IFERROR(O245/N245,"")</f>
        <v/>
      </c>
      <c r="Q245" s="13">
        <f>CHAIN_RAW!I245</f>
        <v/>
      </c>
      <c r="R245" s="13">
        <f>CHAIN_RAW!P245</f>
        <v/>
      </c>
      <c r="S245" s="13">
        <f>IFERROR(R245/Q245,"")</f>
        <v/>
      </c>
      <c r="T245" s="13">
        <f>IFERROR((ABS(N245-O245)/MAX(1,(N245+O245)))*EXP(-ABS(E245-CONTROL!E5)/MAX(1,CONTROL!B8)),"")</f>
        <v/>
      </c>
      <c r="U245" s="13">
        <f>IFERROR(IF(O245&gt;N245,"SUPPORT (PE OI)","RESIST (CE OI)"),"")</f>
        <v/>
      </c>
      <c r="V245" s="13">
        <f>IFERROR(IF(Q245&gt;0,IF(R245&gt;0,"BOTH_ADD","CE_ADD_PE_REDUCE"),IF(R245&gt;0,"CE_REDUCE_PE_ADD","BOTH_REDUCE")),"")</f>
        <v/>
      </c>
      <c r="W245" s="13">
        <f>IFERROR( (P245-1)*0.5 + (M245)*0.1 - (I245+J245)*0.05 + T245*0.4 ,"")</f>
        <v/>
      </c>
      <c r="X245" s="13">
        <f>IFERROR(IF(ABS(F245)&lt;0.01,"ATM/NEAR",""),"")</f>
        <v/>
      </c>
    </row>
    <row r="246">
      <c r="A246" s="13">
        <f>CHAIN_RAW!A246</f>
        <v/>
      </c>
      <c r="B246" s="14">
        <f>CHAIN_RAW!B246</f>
        <v/>
      </c>
      <c r="C246" s="13">
        <f>CHAIN_RAW!C246</f>
        <v/>
      </c>
      <c r="D246" s="13">
        <f>CHAIN_RAW!D246</f>
        <v/>
      </c>
      <c r="E246" s="13">
        <f>CHAIN_RAW!E246</f>
        <v/>
      </c>
      <c r="F246" s="13">
        <f>IFERROR((E246-D246)/D246,"")</f>
        <v/>
      </c>
      <c r="G246" s="13">
        <f>IFERROR((CHAIN_RAW!K246+CHAIN_RAW!L246)/2,"")</f>
        <v/>
      </c>
      <c r="H246" s="13">
        <f>IFERROR((CHAIN_RAW!R246+CHAIN_RAW!S246)/2,"")</f>
        <v/>
      </c>
      <c r="I246" s="13">
        <f>IFERROR((CHAIN_RAW!L246-CHAIN_RAW!K246)/MAX(1E-9, G246),"")</f>
        <v/>
      </c>
      <c r="J246" s="13">
        <f>IFERROR((CHAIN_RAW!S246-CHAIN_RAW!R246)/MAX(1E-9, H246),"")</f>
        <v/>
      </c>
      <c r="K246" s="13">
        <f>CHAIN_RAW!G246</f>
        <v/>
      </c>
      <c r="L246" s="13">
        <f>CHAIN_RAW!N246</f>
        <v/>
      </c>
      <c r="M246" s="13">
        <f>IFERROR(L246-K246,"")</f>
        <v/>
      </c>
      <c r="N246" s="13">
        <f>CHAIN_RAW!H246</f>
        <v/>
      </c>
      <c r="O246" s="13">
        <f>CHAIN_RAW!O246</f>
        <v/>
      </c>
      <c r="P246" s="13">
        <f>IFERROR(O246/N246,"")</f>
        <v/>
      </c>
      <c r="Q246" s="13">
        <f>CHAIN_RAW!I246</f>
        <v/>
      </c>
      <c r="R246" s="13">
        <f>CHAIN_RAW!P246</f>
        <v/>
      </c>
      <c r="S246" s="13">
        <f>IFERROR(R246/Q246,"")</f>
        <v/>
      </c>
      <c r="T246" s="13">
        <f>IFERROR((ABS(N246-O246)/MAX(1,(N246+O246)))*EXP(-ABS(E246-CONTROL!E5)/MAX(1,CONTROL!B8)),"")</f>
        <v/>
      </c>
      <c r="U246" s="13">
        <f>IFERROR(IF(O246&gt;N246,"SUPPORT (PE OI)","RESIST (CE OI)"),"")</f>
        <v/>
      </c>
      <c r="V246" s="13">
        <f>IFERROR(IF(Q246&gt;0,IF(R246&gt;0,"BOTH_ADD","CE_ADD_PE_REDUCE"),IF(R246&gt;0,"CE_REDUCE_PE_ADD","BOTH_REDUCE")),"")</f>
        <v/>
      </c>
      <c r="W246" s="13">
        <f>IFERROR( (P246-1)*0.5 + (M246)*0.1 - (I246+J246)*0.05 + T246*0.4 ,"")</f>
        <v/>
      </c>
      <c r="X246" s="13">
        <f>IFERROR(IF(ABS(F246)&lt;0.01,"ATM/NEAR",""),"")</f>
        <v/>
      </c>
    </row>
    <row r="247">
      <c r="A247" s="13">
        <f>CHAIN_RAW!A247</f>
        <v/>
      </c>
      <c r="B247" s="14">
        <f>CHAIN_RAW!B247</f>
        <v/>
      </c>
      <c r="C247" s="13">
        <f>CHAIN_RAW!C247</f>
        <v/>
      </c>
      <c r="D247" s="13">
        <f>CHAIN_RAW!D247</f>
        <v/>
      </c>
      <c r="E247" s="13">
        <f>CHAIN_RAW!E247</f>
        <v/>
      </c>
      <c r="F247" s="13">
        <f>IFERROR((E247-D247)/D247,"")</f>
        <v/>
      </c>
      <c r="G247" s="13">
        <f>IFERROR((CHAIN_RAW!K247+CHAIN_RAW!L247)/2,"")</f>
        <v/>
      </c>
      <c r="H247" s="13">
        <f>IFERROR((CHAIN_RAW!R247+CHAIN_RAW!S247)/2,"")</f>
        <v/>
      </c>
      <c r="I247" s="13">
        <f>IFERROR((CHAIN_RAW!L247-CHAIN_RAW!K247)/MAX(1E-9, G247),"")</f>
        <v/>
      </c>
      <c r="J247" s="13">
        <f>IFERROR((CHAIN_RAW!S247-CHAIN_RAW!R247)/MAX(1E-9, H247),"")</f>
        <v/>
      </c>
      <c r="K247" s="13">
        <f>CHAIN_RAW!G247</f>
        <v/>
      </c>
      <c r="L247" s="13">
        <f>CHAIN_RAW!N247</f>
        <v/>
      </c>
      <c r="M247" s="13">
        <f>IFERROR(L247-K247,"")</f>
        <v/>
      </c>
      <c r="N247" s="13">
        <f>CHAIN_RAW!H247</f>
        <v/>
      </c>
      <c r="O247" s="13">
        <f>CHAIN_RAW!O247</f>
        <v/>
      </c>
      <c r="P247" s="13">
        <f>IFERROR(O247/N247,"")</f>
        <v/>
      </c>
      <c r="Q247" s="13">
        <f>CHAIN_RAW!I247</f>
        <v/>
      </c>
      <c r="R247" s="13">
        <f>CHAIN_RAW!P247</f>
        <v/>
      </c>
      <c r="S247" s="13">
        <f>IFERROR(R247/Q247,"")</f>
        <v/>
      </c>
      <c r="T247" s="13">
        <f>IFERROR((ABS(N247-O247)/MAX(1,(N247+O247)))*EXP(-ABS(E247-CONTROL!E5)/MAX(1,CONTROL!B8)),"")</f>
        <v/>
      </c>
      <c r="U247" s="13">
        <f>IFERROR(IF(O247&gt;N247,"SUPPORT (PE OI)","RESIST (CE OI)"),"")</f>
        <v/>
      </c>
      <c r="V247" s="13">
        <f>IFERROR(IF(Q247&gt;0,IF(R247&gt;0,"BOTH_ADD","CE_ADD_PE_REDUCE"),IF(R247&gt;0,"CE_REDUCE_PE_ADD","BOTH_REDUCE")),"")</f>
        <v/>
      </c>
      <c r="W247" s="13">
        <f>IFERROR( (P247-1)*0.5 + (M247)*0.1 - (I247+J247)*0.05 + T247*0.4 ,"")</f>
        <v/>
      </c>
      <c r="X247" s="13">
        <f>IFERROR(IF(ABS(F247)&lt;0.01,"ATM/NEAR",""),"")</f>
        <v/>
      </c>
    </row>
    <row r="248">
      <c r="A248" s="13">
        <f>CHAIN_RAW!A248</f>
        <v/>
      </c>
      <c r="B248" s="14">
        <f>CHAIN_RAW!B248</f>
        <v/>
      </c>
      <c r="C248" s="13">
        <f>CHAIN_RAW!C248</f>
        <v/>
      </c>
      <c r="D248" s="13">
        <f>CHAIN_RAW!D248</f>
        <v/>
      </c>
      <c r="E248" s="13">
        <f>CHAIN_RAW!E248</f>
        <v/>
      </c>
      <c r="F248" s="13">
        <f>IFERROR((E248-D248)/D248,"")</f>
        <v/>
      </c>
      <c r="G248" s="13">
        <f>IFERROR((CHAIN_RAW!K248+CHAIN_RAW!L248)/2,"")</f>
        <v/>
      </c>
      <c r="H248" s="13">
        <f>IFERROR((CHAIN_RAW!R248+CHAIN_RAW!S248)/2,"")</f>
        <v/>
      </c>
      <c r="I248" s="13">
        <f>IFERROR((CHAIN_RAW!L248-CHAIN_RAW!K248)/MAX(1E-9, G248),"")</f>
        <v/>
      </c>
      <c r="J248" s="13">
        <f>IFERROR((CHAIN_RAW!S248-CHAIN_RAW!R248)/MAX(1E-9, H248),"")</f>
        <v/>
      </c>
      <c r="K248" s="13">
        <f>CHAIN_RAW!G248</f>
        <v/>
      </c>
      <c r="L248" s="13">
        <f>CHAIN_RAW!N248</f>
        <v/>
      </c>
      <c r="M248" s="13">
        <f>IFERROR(L248-K248,"")</f>
        <v/>
      </c>
      <c r="N248" s="13">
        <f>CHAIN_RAW!H248</f>
        <v/>
      </c>
      <c r="O248" s="13">
        <f>CHAIN_RAW!O248</f>
        <v/>
      </c>
      <c r="P248" s="13">
        <f>IFERROR(O248/N248,"")</f>
        <v/>
      </c>
      <c r="Q248" s="13">
        <f>CHAIN_RAW!I248</f>
        <v/>
      </c>
      <c r="R248" s="13">
        <f>CHAIN_RAW!P248</f>
        <v/>
      </c>
      <c r="S248" s="13">
        <f>IFERROR(R248/Q248,"")</f>
        <v/>
      </c>
      <c r="T248" s="13">
        <f>IFERROR((ABS(N248-O248)/MAX(1,(N248+O248)))*EXP(-ABS(E248-CONTROL!E5)/MAX(1,CONTROL!B8)),"")</f>
        <v/>
      </c>
      <c r="U248" s="13">
        <f>IFERROR(IF(O248&gt;N248,"SUPPORT (PE OI)","RESIST (CE OI)"),"")</f>
        <v/>
      </c>
      <c r="V248" s="13">
        <f>IFERROR(IF(Q248&gt;0,IF(R248&gt;0,"BOTH_ADD","CE_ADD_PE_REDUCE"),IF(R248&gt;0,"CE_REDUCE_PE_ADD","BOTH_REDUCE")),"")</f>
        <v/>
      </c>
      <c r="W248" s="13">
        <f>IFERROR( (P248-1)*0.5 + (M248)*0.1 - (I248+J248)*0.05 + T248*0.4 ,"")</f>
        <v/>
      </c>
      <c r="X248" s="13">
        <f>IFERROR(IF(ABS(F248)&lt;0.01,"ATM/NEAR",""),"")</f>
        <v/>
      </c>
    </row>
    <row r="249">
      <c r="A249" s="13">
        <f>CHAIN_RAW!A249</f>
        <v/>
      </c>
      <c r="B249" s="14">
        <f>CHAIN_RAW!B249</f>
        <v/>
      </c>
      <c r="C249" s="13">
        <f>CHAIN_RAW!C249</f>
        <v/>
      </c>
      <c r="D249" s="13">
        <f>CHAIN_RAW!D249</f>
        <v/>
      </c>
      <c r="E249" s="13">
        <f>CHAIN_RAW!E249</f>
        <v/>
      </c>
      <c r="F249" s="13">
        <f>IFERROR((E249-D249)/D249,"")</f>
        <v/>
      </c>
      <c r="G249" s="13">
        <f>IFERROR((CHAIN_RAW!K249+CHAIN_RAW!L249)/2,"")</f>
        <v/>
      </c>
      <c r="H249" s="13">
        <f>IFERROR((CHAIN_RAW!R249+CHAIN_RAW!S249)/2,"")</f>
        <v/>
      </c>
      <c r="I249" s="13">
        <f>IFERROR((CHAIN_RAW!L249-CHAIN_RAW!K249)/MAX(1E-9, G249),"")</f>
        <v/>
      </c>
      <c r="J249" s="13">
        <f>IFERROR((CHAIN_RAW!S249-CHAIN_RAW!R249)/MAX(1E-9, H249),"")</f>
        <v/>
      </c>
      <c r="K249" s="13">
        <f>CHAIN_RAW!G249</f>
        <v/>
      </c>
      <c r="L249" s="13">
        <f>CHAIN_RAW!N249</f>
        <v/>
      </c>
      <c r="M249" s="13">
        <f>IFERROR(L249-K249,"")</f>
        <v/>
      </c>
      <c r="N249" s="13">
        <f>CHAIN_RAW!H249</f>
        <v/>
      </c>
      <c r="O249" s="13">
        <f>CHAIN_RAW!O249</f>
        <v/>
      </c>
      <c r="P249" s="13">
        <f>IFERROR(O249/N249,"")</f>
        <v/>
      </c>
      <c r="Q249" s="13">
        <f>CHAIN_RAW!I249</f>
        <v/>
      </c>
      <c r="R249" s="13">
        <f>CHAIN_RAW!P249</f>
        <v/>
      </c>
      <c r="S249" s="13">
        <f>IFERROR(R249/Q249,"")</f>
        <v/>
      </c>
      <c r="T249" s="13">
        <f>IFERROR((ABS(N249-O249)/MAX(1,(N249+O249)))*EXP(-ABS(E249-CONTROL!E5)/MAX(1,CONTROL!B8)),"")</f>
        <v/>
      </c>
      <c r="U249" s="13">
        <f>IFERROR(IF(O249&gt;N249,"SUPPORT (PE OI)","RESIST (CE OI)"),"")</f>
        <v/>
      </c>
      <c r="V249" s="13">
        <f>IFERROR(IF(Q249&gt;0,IF(R249&gt;0,"BOTH_ADD","CE_ADD_PE_REDUCE"),IF(R249&gt;0,"CE_REDUCE_PE_ADD","BOTH_REDUCE")),"")</f>
        <v/>
      </c>
      <c r="W249" s="13">
        <f>IFERROR( (P249-1)*0.5 + (M249)*0.1 - (I249+J249)*0.05 + T249*0.4 ,"")</f>
        <v/>
      </c>
      <c r="X249" s="13">
        <f>IFERROR(IF(ABS(F249)&lt;0.01,"ATM/NEAR",""),"")</f>
        <v/>
      </c>
    </row>
    <row r="250">
      <c r="A250" s="13">
        <f>CHAIN_RAW!A250</f>
        <v/>
      </c>
      <c r="B250" s="14">
        <f>CHAIN_RAW!B250</f>
        <v/>
      </c>
      <c r="C250" s="13">
        <f>CHAIN_RAW!C250</f>
        <v/>
      </c>
      <c r="D250" s="13">
        <f>CHAIN_RAW!D250</f>
        <v/>
      </c>
      <c r="E250" s="13">
        <f>CHAIN_RAW!E250</f>
        <v/>
      </c>
      <c r="F250" s="13">
        <f>IFERROR((E250-D250)/D250,"")</f>
        <v/>
      </c>
      <c r="G250" s="13">
        <f>IFERROR((CHAIN_RAW!K250+CHAIN_RAW!L250)/2,"")</f>
        <v/>
      </c>
      <c r="H250" s="13">
        <f>IFERROR((CHAIN_RAW!R250+CHAIN_RAW!S250)/2,"")</f>
        <v/>
      </c>
      <c r="I250" s="13">
        <f>IFERROR((CHAIN_RAW!L250-CHAIN_RAW!K250)/MAX(1E-9, G250),"")</f>
        <v/>
      </c>
      <c r="J250" s="13">
        <f>IFERROR((CHAIN_RAW!S250-CHAIN_RAW!R250)/MAX(1E-9, H250),"")</f>
        <v/>
      </c>
      <c r="K250" s="13">
        <f>CHAIN_RAW!G250</f>
        <v/>
      </c>
      <c r="L250" s="13">
        <f>CHAIN_RAW!N250</f>
        <v/>
      </c>
      <c r="M250" s="13">
        <f>IFERROR(L250-K250,"")</f>
        <v/>
      </c>
      <c r="N250" s="13">
        <f>CHAIN_RAW!H250</f>
        <v/>
      </c>
      <c r="O250" s="13">
        <f>CHAIN_RAW!O250</f>
        <v/>
      </c>
      <c r="P250" s="13">
        <f>IFERROR(O250/N250,"")</f>
        <v/>
      </c>
      <c r="Q250" s="13">
        <f>CHAIN_RAW!I250</f>
        <v/>
      </c>
      <c r="R250" s="13">
        <f>CHAIN_RAW!P250</f>
        <v/>
      </c>
      <c r="S250" s="13">
        <f>IFERROR(R250/Q250,"")</f>
        <v/>
      </c>
      <c r="T250" s="13">
        <f>IFERROR((ABS(N250-O250)/MAX(1,(N250+O250)))*EXP(-ABS(E250-CONTROL!E5)/MAX(1,CONTROL!B8)),"")</f>
        <v/>
      </c>
      <c r="U250" s="13">
        <f>IFERROR(IF(O250&gt;N250,"SUPPORT (PE OI)","RESIST (CE OI)"),"")</f>
        <v/>
      </c>
      <c r="V250" s="13">
        <f>IFERROR(IF(Q250&gt;0,IF(R250&gt;0,"BOTH_ADD","CE_ADD_PE_REDUCE"),IF(R250&gt;0,"CE_REDUCE_PE_ADD","BOTH_REDUCE")),"")</f>
        <v/>
      </c>
      <c r="W250" s="13">
        <f>IFERROR( (P250-1)*0.5 + (M250)*0.1 - (I250+J250)*0.05 + T250*0.4 ,"")</f>
        <v/>
      </c>
      <c r="X250" s="13">
        <f>IFERROR(IF(ABS(F250)&lt;0.01,"ATM/NEAR",""),"")</f>
        <v/>
      </c>
    </row>
    <row r="251">
      <c r="A251" s="13">
        <f>CHAIN_RAW!A251</f>
        <v/>
      </c>
      <c r="B251" s="14">
        <f>CHAIN_RAW!B251</f>
        <v/>
      </c>
      <c r="C251" s="13">
        <f>CHAIN_RAW!C251</f>
        <v/>
      </c>
      <c r="D251" s="13">
        <f>CHAIN_RAW!D251</f>
        <v/>
      </c>
      <c r="E251" s="13">
        <f>CHAIN_RAW!E251</f>
        <v/>
      </c>
      <c r="F251" s="13">
        <f>IFERROR((E251-D251)/D251,"")</f>
        <v/>
      </c>
      <c r="G251" s="13">
        <f>IFERROR((CHAIN_RAW!K251+CHAIN_RAW!L251)/2,"")</f>
        <v/>
      </c>
      <c r="H251" s="13">
        <f>IFERROR((CHAIN_RAW!R251+CHAIN_RAW!S251)/2,"")</f>
        <v/>
      </c>
      <c r="I251" s="13">
        <f>IFERROR((CHAIN_RAW!L251-CHAIN_RAW!K251)/MAX(1E-9, G251),"")</f>
        <v/>
      </c>
      <c r="J251" s="13">
        <f>IFERROR((CHAIN_RAW!S251-CHAIN_RAW!R251)/MAX(1E-9, H251),"")</f>
        <v/>
      </c>
      <c r="K251" s="13">
        <f>CHAIN_RAW!G251</f>
        <v/>
      </c>
      <c r="L251" s="13">
        <f>CHAIN_RAW!N251</f>
        <v/>
      </c>
      <c r="M251" s="13">
        <f>IFERROR(L251-K251,"")</f>
        <v/>
      </c>
      <c r="N251" s="13">
        <f>CHAIN_RAW!H251</f>
        <v/>
      </c>
      <c r="O251" s="13">
        <f>CHAIN_RAW!O251</f>
        <v/>
      </c>
      <c r="P251" s="13">
        <f>IFERROR(O251/N251,"")</f>
        <v/>
      </c>
      <c r="Q251" s="13">
        <f>CHAIN_RAW!I251</f>
        <v/>
      </c>
      <c r="R251" s="13">
        <f>CHAIN_RAW!P251</f>
        <v/>
      </c>
      <c r="S251" s="13">
        <f>IFERROR(R251/Q251,"")</f>
        <v/>
      </c>
      <c r="T251" s="13">
        <f>IFERROR((ABS(N251-O251)/MAX(1,(N251+O251)))*EXP(-ABS(E251-CONTROL!E5)/MAX(1,CONTROL!B8)),"")</f>
        <v/>
      </c>
      <c r="U251" s="13">
        <f>IFERROR(IF(O251&gt;N251,"SUPPORT (PE OI)","RESIST (CE OI)"),"")</f>
        <v/>
      </c>
      <c r="V251" s="13">
        <f>IFERROR(IF(Q251&gt;0,IF(R251&gt;0,"BOTH_ADD","CE_ADD_PE_REDUCE"),IF(R251&gt;0,"CE_REDUCE_PE_ADD","BOTH_REDUCE")),"")</f>
        <v/>
      </c>
      <c r="W251" s="13">
        <f>IFERROR( (P251-1)*0.5 + (M251)*0.1 - (I251+J251)*0.05 + T251*0.4 ,"")</f>
        <v/>
      </c>
      <c r="X251" s="13">
        <f>IFERROR(IF(ABS(F251)&lt;0.01,"ATM/NEAR",""),"")</f>
        <v/>
      </c>
    </row>
    <row r="252">
      <c r="A252" s="13">
        <f>CHAIN_RAW!A252</f>
        <v/>
      </c>
      <c r="B252" s="14">
        <f>CHAIN_RAW!B252</f>
        <v/>
      </c>
      <c r="C252" s="13">
        <f>CHAIN_RAW!C252</f>
        <v/>
      </c>
      <c r="D252" s="13">
        <f>CHAIN_RAW!D252</f>
        <v/>
      </c>
      <c r="E252" s="13">
        <f>CHAIN_RAW!E252</f>
        <v/>
      </c>
      <c r="F252" s="13">
        <f>IFERROR((E252-D252)/D252,"")</f>
        <v/>
      </c>
      <c r="G252" s="13">
        <f>IFERROR((CHAIN_RAW!K252+CHAIN_RAW!L252)/2,"")</f>
        <v/>
      </c>
      <c r="H252" s="13">
        <f>IFERROR((CHAIN_RAW!R252+CHAIN_RAW!S252)/2,"")</f>
        <v/>
      </c>
      <c r="I252" s="13">
        <f>IFERROR((CHAIN_RAW!L252-CHAIN_RAW!K252)/MAX(1E-9, G252),"")</f>
        <v/>
      </c>
      <c r="J252" s="13">
        <f>IFERROR((CHAIN_RAW!S252-CHAIN_RAW!R252)/MAX(1E-9, H252),"")</f>
        <v/>
      </c>
      <c r="K252" s="13">
        <f>CHAIN_RAW!G252</f>
        <v/>
      </c>
      <c r="L252" s="13">
        <f>CHAIN_RAW!N252</f>
        <v/>
      </c>
      <c r="M252" s="13">
        <f>IFERROR(L252-K252,"")</f>
        <v/>
      </c>
      <c r="N252" s="13">
        <f>CHAIN_RAW!H252</f>
        <v/>
      </c>
      <c r="O252" s="13">
        <f>CHAIN_RAW!O252</f>
        <v/>
      </c>
      <c r="P252" s="13">
        <f>IFERROR(O252/N252,"")</f>
        <v/>
      </c>
      <c r="Q252" s="13">
        <f>CHAIN_RAW!I252</f>
        <v/>
      </c>
      <c r="R252" s="13">
        <f>CHAIN_RAW!P252</f>
        <v/>
      </c>
      <c r="S252" s="13">
        <f>IFERROR(R252/Q252,"")</f>
        <v/>
      </c>
      <c r="T252" s="13">
        <f>IFERROR((ABS(N252-O252)/MAX(1,(N252+O252)))*EXP(-ABS(E252-CONTROL!E5)/MAX(1,CONTROL!B8)),"")</f>
        <v/>
      </c>
      <c r="U252" s="13">
        <f>IFERROR(IF(O252&gt;N252,"SUPPORT (PE OI)","RESIST (CE OI)"),"")</f>
        <v/>
      </c>
      <c r="V252" s="13">
        <f>IFERROR(IF(Q252&gt;0,IF(R252&gt;0,"BOTH_ADD","CE_ADD_PE_REDUCE"),IF(R252&gt;0,"CE_REDUCE_PE_ADD","BOTH_REDUCE")),"")</f>
        <v/>
      </c>
      <c r="W252" s="13">
        <f>IFERROR( (P252-1)*0.5 + (M252)*0.1 - (I252+J252)*0.05 + T252*0.4 ,"")</f>
        <v/>
      </c>
      <c r="X252" s="13">
        <f>IFERROR(IF(ABS(F252)&lt;0.01,"ATM/NEAR",""),"")</f>
        <v/>
      </c>
    </row>
    <row r="253">
      <c r="A253" s="13">
        <f>CHAIN_RAW!A253</f>
        <v/>
      </c>
      <c r="B253" s="14">
        <f>CHAIN_RAW!B253</f>
        <v/>
      </c>
      <c r="C253" s="13">
        <f>CHAIN_RAW!C253</f>
        <v/>
      </c>
      <c r="D253" s="13">
        <f>CHAIN_RAW!D253</f>
        <v/>
      </c>
      <c r="E253" s="13">
        <f>CHAIN_RAW!E253</f>
        <v/>
      </c>
      <c r="F253" s="13">
        <f>IFERROR((E253-D253)/D253,"")</f>
        <v/>
      </c>
      <c r="G253" s="13">
        <f>IFERROR((CHAIN_RAW!K253+CHAIN_RAW!L253)/2,"")</f>
        <v/>
      </c>
      <c r="H253" s="13">
        <f>IFERROR((CHAIN_RAW!R253+CHAIN_RAW!S253)/2,"")</f>
        <v/>
      </c>
      <c r="I253" s="13">
        <f>IFERROR((CHAIN_RAW!L253-CHAIN_RAW!K253)/MAX(1E-9, G253),"")</f>
        <v/>
      </c>
      <c r="J253" s="13">
        <f>IFERROR((CHAIN_RAW!S253-CHAIN_RAW!R253)/MAX(1E-9, H253),"")</f>
        <v/>
      </c>
      <c r="K253" s="13">
        <f>CHAIN_RAW!G253</f>
        <v/>
      </c>
      <c r="L253" s="13">
        <f>CHAIN_RAW!N253</f>
        <v/>
      </c>
      <c r="M253" s="13">
        <f>IFERROR(L253-K253,"")</f>
        <v/>
      </c>
      <c r="N253" s="13">
        <f>CHAIN_RAW!H253</f>
        <v/>
      </c>
      <c r="O253" s="13">
        <f>CHAIN_RAW!O253</f>
        <v/>
      </c>
      <c r="P253" s="13">
        <f>IFERROR(O253/N253,"")</f>
        <v/>
      </c>
      <c r="Q253" s="13">
        <f>CHAIN_RAW!I253</f>
        <v/>
      </c>
      <c r="R253" s="13">
        <f>CHAIN_RAW!P253</f>
        <v/>
      </c>
      <c r="S253" s="13">
        <f>IFERROR(R253/Q253,"")</f>
        <v/>
      </c>
      <c r="T253" s="13">
        <f>IFERROR((ABS(N253-O253)/MAX(1,(N253+O253)))*EXP(-ABS(E253-CONTROL!E5)/MAX(1,CONTROL!B8)),"")</f>
        <v/>
      </c>
      <c r="U253" s="13">
        <f>IFERROR(IF(O253&gt;N253,"SUPPORT (PE OI)","RESIST (CE OI)"),"")</f>
        <v/>
      </c>
      <c r="V253" s="13">
        <f>IFERROR(IF(Q253&gt;0,IF(R253&gt;0,"BOTH_ADD","CE_ADD_PE_REDUCE"),IF(R253&gt;0,"CE_REDUCE_PE_ADD","BOTH_REDUCE")),"")</f>
        <v/>
      </c>
      <c r="W253" s="13">
        <f>IFERROR( (P253-1)*0.5 + (M253)*0.1 - (I253+J253)*0.05 + T253*0.4 ,"")</f>
        <v/>
      </c>
      <c r="X253" s="13">
        <f>IFERROR(IF(ABS(F253)&lt;0.01,"ATM/NEAR",""),"")</f>
        <v/>
      </c>
    </row>
    <row r="254">
      <c r="A254" s="13">
        <f>CHAIN_RAW!A254</f>
        <v/>
      </c>
      <c r="B254" s="14">
        <f>CHAIN_RAW!B254</f>
        <v/>
      </c>
      <c r="C254" s="13">
        <f>CHAIN_RAW!C254</f>
        <v/>
      </c>
      <c r="D254" s="13">
        <f>CHAIN_RAW!D254</f>
        <v/>
      </c>
      <c r="E254" s="13">
        <f>CHAIN_RAW!E254</f>
        <v/>
      </c>
      <c r="F254" s="13">
        <f>IFERROR((E254-D254)/D254,"")</f>
        <v/>
      </c>
      <c r="G254" s="13">
        <f>IFERROR((CHAIN_RAW!K254+CHAIN_RAW!L254)/2,"")</f>
        <v/>
      </c>
      <c r="H254" s="13">
        <f>IFERROR((CHAIN_RAW!R254+CHAIN_RAW!S254)/2,"")</f>
        <v/>
      </c>
      <c r="I254" s="13">
        <f>IFERROR((CHAIN_RAW!L254-CHAIN_RAW!K254)/MAX(1E-9, G254),"")</f>
        <v/>
      </c>
      <c r="J254" s="13">
        <f>IFERROR((CHAIN_RAW!S254-CHAIN_RAW!R254)/MAX(1E-9, H254),"")</f>
        <v/>
      </c>
      <c r="K254" s="13">
        <f>CHAIN_RAW!G254</f>
        <v/>
      </c>
      <c r="L254" s="13">
        <f>CHAIN_RAW!N254</f>
        <v/>
      </c>
      <c r="M254" s="13">
        <f>IFERROR(L254-K254,"")</f>
        <v/>
      </c>
      <c r="N254" s="13">
        <f>CHAIN_RAW!H254</f>
        <v/>
      </c>
      <c r="O254" s="13">
        <f>CHAIN_RAW!O254</f>
        <v/>
      </c>
      <c r="P254" s="13">
        <f>IFERROR(O254/N254,"")</f>
        <v/>
      </c>
      <c r="Q254" s="13">
        <f>CHAIN_RAW!I254</f>
        <v/>
      </c>
      <c r="R254" s="13">
        <f>CHAIN_RAW!P254</f>
        <v/>
      </c>
      <c r="S254" s="13">
        <f>IFERROR(R254/Q254,"")</f>
        <v/>
      </c>
      <c r="T254" s="13">
        <f>IFERROR((ABS(N254-O254)/MAX(1,(N254+O254)))*EXP(-ABS(E254-CONTROL!E5)/MAX(1,CONTROL!B8)),"")</f>
        <v/>
      </c>
      <c r="U254" s="13">
        <f>IFERROR(IF(O254&gt;N254,"SUPPORT (PE OI)","RESIST (CE OI)"),"")</f>
        <v/>
      </c>
      <c r="V254" s="13">
        <f>IFERROR(IF(Q254&gt;0,IF(R254&gt;0,"BOTH_ADD","CE_ADD_PE_REDUCE"),IF(R254&gt;0,"CE_REDUCE_PE_ADD","BOTH_REDUCE")),"")</f>
        <v/>
      </c>
      <c r="W254" s="13">
        <f>IFERROR( (P254-1)*0.5 + (M254)*0.1 - (I254+J254)*0.05 + T254*0.4 ,"")</f>
        <v/>
      </c>
      <c r="X254" s="13">
        <f>IFERROR(IF(ABS(F254)&lt;0.01,"ATM/NEAR",""),"")</f>
        <v/>
      </c>
    </row>
    <row r="255">
      <c r="A255" s="13">
        <f>CHAIN_RAW!A255</f>
        <v/>
      </c>
      <c r="B255" s="14">
        <f>CHAIN_RAW!B255</f>
        <v/>
      </c>
      <c r="C255" s="13">
        <f>CHAIN_RAW!C255</f>
        <v/>
      </c>
      <c r="D255" s="13">
        <f>CHAIN_RAW!D255</f>
        <v/>
      </c>
      <c r="E255" s="13">
        <f>CHAIN_RAW!E255</f>
        <v/>
      </c>
      <c r="F255" s="13">
        <f>IFERROR((E255-D255)/D255,"")</f>
        <v/>
      </c>
      <c r="G255" s="13">
        <f>IFERROR((CHAIN_RAW!K255+CHAIN_RAW!L255)/2,"")</f>
        <v/>
      </c>
      <c r="H255" s="13">
        <f>IFERROR((CHAIN_RAW!R255+CHAIN_RAW!S255)/2,"")</f>
        <v/>
      </c>
      <c r="I255" s="13">
        <f>IFERROR((CHAIN_RAW!L255-CHAIN_RAW!K255)/MAX(1E-9, G255),"")</f>
        <v/>
      </c>
      <c r="J255" s="13">
        <f>IFERROR((CHAIN_RAW!S255-CHAIN_RAW!R255)/MAX(1E-9, H255),"")</f>
        <v/>
      </c>
      <c r="K255" s="13">
        <f>CHAIN_RAW!G255</f>
        <v/>
      </c>
      <c r="L255" s="13">
        <f>CHAIN_RAW!N255</f>
        <v/>
      </c>
      <c r="M255" s="13">
        <f>IFERROR(L255-K255,"")</f>
        <v/>
      </c>
      <c r="N255" s="13">
        <f>CHAIN_RAW!H255</f>
        <v/>
      </c>
      <c r="O255" s="13">
        <f>CHAIN_RAW!O255</f>
        <v/>
      </c>
      <c r="P255" s="13">
        <f>IFERROR(O255/N255,"")</f>
        <v/>
      </c>
      <c r="Q255" s="13">
        <f>CHAIN_RAW!I255</f>
        <v/>
      </c>
      <c r="R255" s="13">
        <f>CHAIN_RAW!P255</f>
        <v/>
      </c>
      <c r="S255" s="13">
        <f>IFERROR(R255/Q255,"")</f>
        <v/>
      </c>
      <c r="T255" s="13">
        <f>IFERROR((ABS(N255-O255)/MAX(1,(N255+O255)))*EXP(-ABS(E255-CONTROL!E5)/MAX(1,CONTROL!B8)),"")</f>
        <v/>
      </c>
      <c r="U255" s="13">
        <f>IFERROR(IF(O255&gt;N255,"SUPPORT (PE OI)","RESIST (CE OI)"),"")</f>
        <v/>
      </c>
      <c r="V255" s="13">
        <f>IFERROR(IF(Q255&gt;0,IF(R255&gt;0,"BOTH_ADD","CE_ADD_PE_REDUCE"),IF(R255&gt;0,"CE_REDUCE_PE_ADD","BOTH_REDUCE")),"")</f>
        <v/>
      </c>
      <c r="W255" s="13">
        <f>IFERROR( (P255-1)*0.5 + (M255)*0.1 - (I255+J255)*0.05 + T255*0.4 ,"")</f>
        <v/>
      </c>
      <c r="X255" s="13">
        <f>IFERROR(IF(ABS(F255)&lt;0.01,"ATM/NEAR",""),"")</f>
        <v/>
      </c>
    </row>
    <row r="256">
      <c r="A256" s="13">
        <f>CHAIN_RAW!A256</f>
        <v/>
      </c>
      <c r="B256" s="14">
        <f>CHAIN_RAW!B256</f>
        <v/>
      </c>
      <c r="C256" s="13">
        <f>CHAIN_RAW!C256</f>
        <v/>
      </c>
      <c r="D256" s="13">
        <f>CHAIN_RAW!D256</f>
        <v/>
      </c>
      <c r="E256" s="13">
        <f>CHAIN_RAW!E256</f>
        <v/>
      </c>
      <c r="F256" s="13">
        <f>IFERROR((E256-D256)/D256,"")</f>
        <v/>
      </c>
      <c r="G256" s="13">
        <f>IFERROR((CHAIN_RAW!K256+CHAIN_RAW!L256)/2,"")</f>
        <v/>
      </c>
      <c r="H256" s="13">
        <f>IFERROR((CHAIN_RAW!R256+CHAIN_RAW!S256)/2,"")</f>
        <v/>
      </c>
      <c r="I256" s="13">
        <f>IFERROR((CHAIN_RAW!L256-CHAIN_RAW!K256)/MAX(1E-9, G256),"")</f>
        <v/>
      </c>
      <c r="J256" s="13">
        <f>IFERROR((CHAIN_RAW!S256-CHAIN_RAW!R256)/MAX(1E-9, H256),"")</f>
        <v/>
      </c>
      <c r="K256" s="13">
        <f>CHAIN_RAW!G256</f>
        <v/>
      </c>
      <c r="L256" s="13">
        <f>CHAIN_RAW!N256</f>
        <v/>
      </c>
      <c r="M256" s="13">
        <f>IFERROR(L256-K256,"")</f>
        <v/>
      </c>
      <c r="N256" s="13">
        <f>CHAIN_RAW!H256</f>
        <v/>
      </c>
      <c r="O256" s="13">
        <f>CHAIN_RAW!O256</f>
        <v/>
      </c>
      <c r="P256" s="13">
        <f>IFERROR(O256/N256,"")</f>
        <v/>
      </c>
      <c r="Q256" s="13">
        <f>CHAIN_RAW!I256</f>
        <v/>
      </c>
      <c r="R256" s="13">
        <f>CHAIN_RAW!P256</f>
        <v/>
      </c>
      <c r="S256" s="13">
        <f>IFERROR(R256/Q256,"")</f>
        <v/>
      </c>
      <c r="T256" s="13">
        <f>IFERROR((ABS(N256-O256)/MAX(1,(N256+O256)))*EXP(-ABS(E256-CONTROL!E5)/MAX(1,CONTROL!B8)),"")</f>
        <v/>
      </c>
      <c r="U256" s="13">
        <f>IFERROR(IF(O256&gt;N256,"SUPPORT (PE OI)","RESIST (CE OI)"),"")</f>
        <v/>
      </c>
      <c r="V256" s="13">
        <f>IFERROR(IF(Q256&gt;0,IF(R256&gt;0,"BOTH_ADD","CE_ADD_PE_REDUCE"),IF(R256&gt;0,"CE_REDUCE_PE_ADD","BOTH_REDUCE")),"")</f>
        <v/>
      </c>
      <c r="W256" s="13">
        <f>IFERROR( (P256-1)*0.5 + (M256)*0.1 - (I256+J256)*0.05 + T256*0.4 ,"")</f>
        <v/>
      </c>
      <c r="X256" s="13">
        <f>IFERROR(IF(ABS(F256)&lt;0.01,"ATM/NEAR",""),"")</f>
        <v/>
      </c>
    </row>
    <row r="257">
      <c r="A257" s="13">
        <f>CHAIN_RAW!A257</f>
        <v/>
      </c>
      <c r="B257" s="14">
        <f>CHAIN_RAW!B257</f>
        <v/>
      </c>
      <c r="C257" s="13">
        <f>CHAIN_RAW!C257</f>
        <v/>
      </c>
      <c r="D257" s="13">
        <f>CHAIN_RAW!D257</f>
        <v/>
      </c>
      <c r="E257" s="13">
        <f>CHAIN_RAW!E257</f>
        <v/>
      </c>
      <c r="F257" s="13">
        <f>IFERROR((E257-D257)/D257,"")</f>
        <v/>
      </c>
      <c r="G257" s="13">
        <f>IFERROR((CHAIN_RAW!K257+CHAIN_RAW!L257)/2,"")</f>
        <v/>
      </c>
      <c r="H257" s="13">
        <f>IFERROR((CHAIN_RAW!R257+CHAIN_RAW!S257)/2,"")</f>
        <v/>
      </c>
      <c r="I257" s="13">
        <f>IFERROR((CHAIN_RAW!L257-CHAIN_RAW!K257)/MAX(1E-9, G257),"")</f>
        <v/>
      </c>
      <c r="J257" s="13">
        <f>IFERROR((CHAIN_RAW!S257-CHAIN_RAW!R257)/MAX(1E-9, H257),"")</f>
        <v/>
      </c>
      <c r="K257" s="13">
        <f>CHAIN_RAW!G257</f>
        <v/>
      </c>
      <c r="L257" s="13">
        <f>CHAIN_RAW!N257</f>
        <v/>
      </c>
      <c r="M257" s="13">
        <f>IFERROR(L257-K257,"")</f>
        <v/>
      </c>
      <c r="N257" s="13">
        <f>CHAIN_RAW!H257</f>
        <v/>
      </c>
      <c r="O257" s="13">
        <f>CHAIN_RAW!O257</f>
        <v/>
      </c>
      <c r="P257" s="13">
        <f>IFERROR(O257/N257,"")</f>
        <v/>
      </c>
      <c r="Q257" s="13">
        <f>CHAIN_RAW!I257</f>
        <v/>
      </c>
      <c r="R257" s="13">
        <f>CHAIN_RAW!P257</f>
        <v/>
      </c>
      <c r="S257" s="13">
        <f>IFERROR(R257/Q257,"")</f>
        <v/>
      </c>
      <c r="T257" s="13">
        <f>IFERROR((ABS(N257-O257)/MAX(1,(N257+O257)))*EXP(-ABS(E257-CONTROL!E5)/MAX(1,CONTROL!B8)),"")</f>
        <v/>
      </c>
      <c r="U257" s="13">
        <f>IFERROR(IF(O257&gt;N257,"SUPPORT (PE OI)","RESIST (CE OI)"),"")</f>
        <v/>
      </c>
      <c r="V257" s="13">
        <f>IFERROR(IF(Q257&gt;0,IF(R257&gt;0,"BOTH_ADD","CE_ADD_PE_REDUCE"),IF(R257&gt;0,"CE_REDUCE_PE_ADD","BOTH_REDUCE")),"")</f>
        <v/>
      </c>
      <c r="W257" s="13">
        <f>IFERROR( (P257-1)*0.5 + (M257)*0.1 - (I257+J257)*0.05 + T257*0.4 ,"")</f>
        <v/>
      </c>
      <c r="X257" s="13">
        <f>IFERROR(IF(ABS(F257)&lt;0.01,"ATM/NEAR",""),"")</f>
        <v/>
      </c>
    </row>
    <row r="258">
      <c r="A258" s="13">
        <f>CHAIN_RAW!A258</f>
        <v/>
      </c>
      <c r="B258" s="14">
        <f>CHAIN_RAW!B258</f>
        <v/>
      </c>
      <c r="C258" s="13">
        <f>CHAIN_RAW!C258</f>
        <v/>
      </c>
      <c r="D258" s="13">
        <f>CHAIN_RAW!D258</f>
        <v/>
      </c>
      <c r="E258" s="13">
        <f>CHAIN_RAW!E258</f>
        <v/>
      </c>
      <c r="F258" s="13">
        <f>IFERROR((E258-D258)/D258,"")</f>
        <v/>
      </c>
      <c r="G258" s="13">
        <f>IFERROR((CHAIN_RAW!K258+CHAIN_RAW!L258)/2,"")</f>
        <v/>
      </c>
      <c r="H258" s="13">
        <f>IFERROR((CHAIN_RAW!R258+CHAIN_RAW!S258)/2,"")</f>
        <v/>
      </c>
      <c r="I258" s="13">
        <f>IFERROR((CHAIN_RAW!L258-CHAIN_RAW!K258)/MAX(1E-9, G258),"")</f>
        <v/>
      </c>
      <c r="J258" s="13">
        <f>IFERROR((CHAIN_RAW!S258-CHAIN_RAW!R258)/MAX(1E-9, H258),"")</f>
        <v/>
      </c>
      <c r="K258" s="13">
        <f>CHAIN_RAW!G258</f>
        <v/>
      </c>
      <c r="L258" s="13">
        <f>CHAIN_RAW!N258</f>
        <v/>
      </c>
      <c r="M258" s="13">
        <f>IFERROR(L258-K258,"")</f>
        <v/>
      </c>
      <c r="N258" s="13">
        <f>CHAIN_RAW!H258</f>
        <v/>
      </c>
      <c r="O258" s="13">
        <f>CHAIN_RAW!O258</f>
        <v/>
      </c>
      <c r="P258" s="13">
        <f>IFERROR(O258/N258,"")</f>
        <v/>
      </c>
      <c r="Q258" s="13">
        <f>CHAIN_RAW!I258</f>
        <v/>
      </c>
      <c r="R258" s="13">
        <f>CHAIN_RAW!P258</f>
        <v/>
      </c>
      <c r="S258" s="13">
        <f>IFERROR(R258/Q258,"")</f>
        <v/>
      </c>
      <c r="T258" s="13">
        <f>IFERROR((ABS(N258-O258)/MAX(1,(N258+O258)))*EXP(-ABS(E258-CONTROL!E5)/MAX(1,CONTROL!B8)),"")</f>
        <v/>
      </c>
      <c r="U258" s="13">
        <f>IFERROR(IF(O258&gt;N258,"SUPPORT (PE OI)","RESIST (CE OI)"),"")</f>
        <v/>
      </c>
      <c r="V258" s="13">
        <f>IFERROR(IF(Q258&gt;0,IF(R258&gt;0,"BOTH_ADD","CE_ADD_PE_REDUCE"),IF(R258&gt;0,"CE_REDUCE_PE_ADD","BOTH_REDUCE")),"")</f>
        <v/>
      </c>
      <c r="W258" s="13">
        <f>IFERROR( (P258-1)*0.5 + (M258)*0.1 - (I258+J258)*0.05 + T258*0.4 ,"")</f>
        <v/>
      </c>
      <c r="X258" s="13">
        <f>IFERROR(IF(ABS(F258)&lt;0.01,"ATM/NEAR",""),"")</f>
        <v/>
      </c>
    </row>
    <row r="259">
      <c r="A259" s="13">
        <f>CHAIN_RAW!A259</f>
        <v/>
      </c>
      <c r="B259" s="14">
        <f>CHAIN_RAW!B259</f>
        <v/>
      </c>
      <c r="C259" s="13">
        <f>CHAIN_RAW!C259</f>
        <v/>
      </c>
      <c r="D259" s="13">
        <f>CHAIN_RAW!D259</f>
        <v/>
      </c>
      <c r="E259" s="13">
        <f>CHAIN_RAW!E259</f>
        <v/>
      </c>
      <c r="F259" s="13">
        <f>IFERROR((E259-D259)/D259,"")</f>
        <v/>
      </c>
      <c r="G259" s="13">
        <f>IFERROR((CHAIN_RAW!K259+CHAIN_RAW!L259)/2,"")</f>
        <v/>
      </c>
      <c r="H259" s="13">
        <f>IFERROR((CHAIN_RAW!R259+CHAIN_RAW!S259)/2,"")</f>
        <v/>
      </c>
      <c r="I259" s="13">
        <f>IFERROR((CHAIN_RAW!L259-CHAIN_RAW!K259)/MAX(1E-9, G259),"")</f>
        <v/>
      </c>
      <c r="J259" s="13">
        <f>IFERROR((CHAIN_RAW!S259-CHAIN_RAW!R259)/MAX(1E-9, H259),"")</f>
        <v/>
      </c>
      <c r="K259" s="13">
        <f>CHAIN_RAW!G259</f>
        <v/>
      </c>
      <c r="L259" s="13">
        <f>CHAIN_RAW!N259</f>
        <v/>
      </c>
      <c r="M259" s="13">
        <f>IFERROR(L259-K259,"")</f>
        <v/>
      </c>
      <c r="N259" s="13">
        <f>CHAIN_RAW!H259</f>
        <v/>
      </c>
      <c r="O259" s="13">
        <f>CHAIN_RAW!O259</f>
        <v/>
      </c>
      <c r="P259" s="13">
        <f>IFERROR(O259/N259,"")</f>
        <v/>
      </c>
      <c r="Q259" s="13">
        <f>CHAIN_RAW!I259</f>
        <v/>
      </c>
      <c r="R259" s="13">
        <f>CHAIN_RAW!P259</f>
        <v/>
      </c>
      <c r="S259" s="13">
        <f>IFERROR(R259/Q259,"")</f>
        <v/>
      </c>
      <c r="T259" s="13">
        <f>IFERROR((ABS(N259-O259)/MAX(1,(N259+O259)))*EXP(-ABS(E259-CONTROL!E5)/MAX(1,CONTROL!B8)),"")</f>
        <v/>
      </c>
      <c r="U259" s="13">
        <f>IFERROR(IF(O259&gt;N259,"SUPPORT (PE OI)","RESIST (CE OI)"),"")</f>
        <v/>
      </c>
      <c r="V259" s="13">
        <f>IFERROR(IF(Q259&gt;0,IF(R259&gt;0,"BOTH_ADD","CE_ADD_PE_REDUCE"),IF(R259&gt;0,"CE_REDUCE_PE_ADD","BOTH_REDUCE")),"")</f>
        <v/>
      </c>
      <c r="W259" s="13">
        <f>IFERROR( (P259-1)*0.5 + (M259)*0.1 - (I259+J259)*0.05 + T259*0.4 ,"")</f>
        <v/>
      </c>
      <c r="X259" s="13">
        <f>IFERROR(IF(ABS(F259)&lt;0.01,"ATM/NEAR",""),"")</f>
        <v/>
      </c>
    </row>
    <row r="260">
      <c r="A260" s="13">
        <f>CHAIN_RAW!A260</f>
        <v/>
      </c>
      <c r="B260" s="14">
        <f>CHAIN_RAW!B260</f>
        <v/>
      </c>
      <c r="C260" s="13">
        <f>CHAIN_RAW!C260</f>
        <v/>
      </c>
      <c r="D260" s="13">
        <f>CHAIN_RAW!D260</f>
        <v/>
      </c>
      <c r="E260" s="13">
        <f>CHAIN_RAW!E260</f>
        <v/>
      </c>
      <c r="F260" s="13">
        <f>IFERROR((E260-D260)/D260,"")</f>
        <v/>
      </c>
      <c r="G260" s="13">
        <f>IFERROR((CHAIN_RAW!K260+CHAIN_RAW!L260)/2,"")</f>
        <v/>
      </c>
      <c r="H260" s="13">
        <f>IFERROR((CHAIN_RAW!R260+CHAIN_RAW!S260)/2,"")</f>
        <v/>
      </c>
      <c r="I260" s="13">
        <f>IFERROR((CHAIN_RAW!L260-CHAIN_RAW!K260)/MAX(1E-9, G260),"")</f>
        <v/>
      </c>
      <c r="J260" s="13">
        <f>IFERROR((CHAIN_RAW!S260-CHAIN_RAW!R260)/MAX(1E-9, H260),"")</f>
        <v/>
      </c>
      <c r="K260" s="13">
        <f>CHAIN_RAW!G260</f>
        <v/>
      </c>
      <c r="L260" s="13">
        <f>CHAIN_RAW!N260</f>
        <v/>
      </c>
      <c r="M260" s="13">
        <f>IFERROR(L260-K260,"")</f>
        <v/>
      </c>
      <c r="N260" s="13">
        <f>CHAIN_RAW!H260</f>
        <v/>
      </c>
      <c r="O260" s="13">
        <f>CHAIN_RAW!O260</f>
        <v/>
      </c>
      <c r="P260" s="13">
        <f>IFERROR(O260/N260,"")</f>
        <v/>
      </c>
      <c r="Q260" s="13">
        <f>CHAIN_RAW!I260</f>
        <v/>
      </c>
      <c r="R260" s="13">
        <f>CHAIN_RAW!P260</f>
        <v/>
      </c>
      <c r="S260" s="13">
        <f>IFERROR(R260/Q260,"")</f>
        <v/>
      </c>
      <c r="T260" s="13">
        <f>IFERROR((ABS(N260-O260)/MAX(1,(N260+O260)))*EXP(-ABS(E260-CONTROL!E5)/MAX(1,CONTROL!B8)),"")</f>
        <v/>
      </c>
      <c r="U260" s="13">
        <f>IFERROR(IF(O260&gt;N260,"SUPPORT (PE OI)","RESIST (CE OI)"),"")</f>
        <v/>
      </c>
      <c r="V260" s="13">
        <f>IFERROR(IF(Q260&gt;0,IF(R260&gt;0,"BOTH_ADD","CE_ADD_PE_REDUCE"),IF(R260&gt;0,"CE_REDUCE_PE_ADD","BOTH_REDUCE")),"")</f>
        <v/>
      </c>
      <c r="W260" s="13">
        <f>IFERROR( (P260-1)*0.5 + (M260)*0.1 - (I260+J260)*0.05 + T260*0.4 ,"")</f>
        <v/>
      </c>
      <c r="X260" s="13">
        <f>IFERROR(IF(ABS(F260)&lt;0.01,"ATM/NEAR",""),"")</f>
        <v/>
      </c>
    </row>
    <row r="261">
      <c r="A261" s="13">
        <f>CHAIN_RAW!A261</f>
        <v/>
      </c>
      <c r="B261" s="14">
        <f>CHAIN_RAW!B261</f>
        <v/>
      </c>
      <c r="C261" s="13">
        <f>CHAIN_RAW!C261</f>
        <v/>
      </c>
      <c r="D261" s="13">
        <f>CHAIN_RAW!D261</f>
        <v/>
      </c>
      <c r="E261" s="13">
        <f>CHAIN_RAW!E261</f>
        <v/>
      </c>
      <c r="F261" s="13">
        <f>IFERROR((E261-D261)/D261,"")</f>
        <v/>
      </c>
      <c r="G261" s="13">
        <f>IFERROR((CHAIN_RAW!K261+CHAIN_RAW!L261)/2,"")</f>
        <v/>
      </c>
      <c r="H261" s="13">
        <f>IFERROR((CHAIN_RAW!R261+CHAIN_RAW!S261)/2,"")</f>
        <v/>
      </c>
      <c r="I261" s="13">
        <f>IFERROR((CHAIN_RAW!L261-CHAIN_RAW!K261)/MAX(1E-9, G261),"")</f>
        <v/>
      </c>
      <c r="J261" s="13">
        <f>IFERROR((CHAIN_RAW!S261-CHAIN_RAW!R261)/MAX(1E-9, H261),"")</f>
        <v/>
      </c>
      <c r="K261" s="13">
        <f>CHAIN_RAW!G261</f>
        <v/>
      </c>
      <c r="L261" s="13">
        <f>CHAIN_RAW!N261</f>
        <v/>
      </c>
      <c r="M261" s="13">
        <f>IFERROR(L261-K261,"")</f>
        <v/>
      </c>
      <c r="N261" s="13">
        <f>CHAIN_RAW!H261</f>
        <v/>
      </c>
      <c r="O261" s="13">
        <f>CHAIN_RAW!O261</f>
        <v/>
      </c>
      <c r="P261" s="13">
        <f>IFERROR(O261/N261,"")</f>
        <v/>
      </c>
      <c r="Q261" s="13">
        <f>CHAIN_RAW!I261</f>
        <v/>
      </c>
      <c r="R261" s="13">
        <f>CHAIN_RAW!P261</f>
        <v/>
      </c>
      <c r="S261" s="13">
        <f>IFERROR(R261/Q261,"")</f>
        <v/>
      </c>
      <c r="T261" s="13">
        <f>IFERROR((ABS(N261-O261)/MAX(1,(N261+O261)))*EXP(-ABS(E261-CONTROL!E5)/MAX(1,CONTROL!B8)),"")</f>
        <v/>
      </c>
      <c r="U261" s="13">
        <f>IFERROR(IF(O261&gt;N261,"SUPPORT (PE OI)","RESIST (CE OI)"),"")</f>
        <v/>
      </c>
      <c r="V261" s="13">
        <f>IFERROR(IF(Q261&gt;0,IF(R261&gt;0,"BOTH_ADD","CE_ADD_PE_REDUCE"),IF(R261&gt;0,"CE_REDUCE_PE_ADD","BOTH_REDUCE")),"")</f>
        <v/>
      </c>
      <c r="W261" s="13">
        <f>IFERROR( (P261-1)*0.5 + (M261)*0.1 - (I261+J261)*0.05 + T261*0.4 ,"")</f>
        <v/>
      </c>
      <c r="X261" s="13">
        <f>IFERROR(IF(ABS(F261)&lt;0.01,"ATM/NEAR",""),"")</f>
        <v/>
      </c>
    </row>
    <row r="262">
      <c r="A262" s="13">
        <f>CHAIN_RAW!A262</f>
        <v/>
      </c>
      <c r="B262" s="14">
        <f>CHAIN_RAW!B262</f>
        <v/>
      </c>
      <c r="C262" s="13">
        <f>CHAIN_RAW!C262</f>
        <v/>
      </c>
      <c r="D262" s="13">
        <f>CHAIN_RAW!D262</f>
        <v/>
      </c>
      <c r="E262" s="13">
        <f>CHAIN_RAW!E262</f>
        <v/>
      </c>
      <c r="F262" s="13">
        <f>IFERROR((E262-D262)/D262,"")</f>
        <v/>
      </c>
      <c r="G262" s="13">
        <f>IFERROR((CHAIN_RAW!K262+CHAIN_RAW!L262)/2,"")</f>
        <v/>
      </c>
      <c r="H262" s="13">
        <f>IFERROR((CHAIN_RAW!R262+CHAIN_RAW!S262)/2,"")</f>
        <v/>
      </c>
      <c r="I262" s="13">
        <f>IFERROR((CHAIN_RAW!L262-CHAIN_RAW!K262)/MAX(1E-9, G262),"")</f>
        <v/>
      </c>
      <c r="J262" s="13">
        <f>IFERROR((CHAIN_RAW!S262-CHAIN_RAW!R262)/MAX(1E-9, H262),"")</f>
        <v/>
      </c>
      <c r="K262" s="13">
        <f>CHAIN_RAW!G262</f>
        <v/>
      </c>
      <c r="L262" s="13">
        <f>CHAIN_RAW!N262</f>
        <v/>
      </c>
      <c r="M262" s="13">
        <f>IFERROR(L262-K262,"")</f>
        <v/>
      </c>
      <c r="N262" s="13">
        <f>CHAIN_RAW!H262</f>
        <v/>
      </c>
      <c r="O262" s="13">
        <f>CHAIN_RAW!O262</f>
        <v/>
      </c>
      <c r="P262" s="13">
        <f>IFERROR(O262/N262,"")</f>
        <v/>
      </c>
      <c r="Q262" s="13">
        <f>CHAIN_RAW!I262</f>
        <v/>
      </c>
      <c r="R262" s="13">
        <f>CHAIN_RAW!P262</f>
        <v/>
      </c>
      <c r="S262" s="13">
        <f>IFERROR(R262/Q262,"")</f>
        <v/>
      </c>
      <c r="T262" s="13">
        <f>IFERROR((ABS(N262-O262)/MAX(1,(N262+O262)))*EXP(-ABS(E262-CONTROL!E5)/MAX(1,CONTROL!B8)),"")</f>
        <v/>
      </c>
      <c r="U262" s="13">
        <f>IFERROR(IF(O262&gt;N262,"SUPPORT (PE OI)","RESIST (CE OI)"),"")</f>
        <v/>
      </c>
      <c r="V262" s="13">
        <f>IFERROR(IF(Q262&gt;0,IF(R262&gt;0,"BOTH_ADD","CE_ADD_PE_REDUCE"),IF(R262&gt;0,"CE_REDUCE_PE_ADD","BOTH_REDUCE")),"")</f>
        <v/>
      </c>
      <c r="W262" s="13">
        <f>IFERROR( (P262-1)*0.5 + (M262)*0.1 - (I262+J262)*0.05 + T262*0.4 ,"")</f>
        <v/>
      </c>
      <c r="X262" s="13">
        <f>IFERROR(IF(ABS(F262)&lt;0.01,"ATM/NEAR",""),"")</f>
        <v/>
      </c>
    </row>
    <row r="263">
      <c r="A263" s="13">
        <f>CHAIN_RAW!A263</f>
        <v/>
      </c>
      <c r="B263" s="14">
        <f>CHAIN_RAW!B263</f>
        <v/>
      </c>
      <c r="C263" s="13">
        <f>CHAIN_RAW!C263</f>
        <v/>
      </c>
      <c r="D263" s="13">
        <f>CHAIN_RAW!D263</f>
        <v/>
      </c>
      <c r="E263" s="13">
        <f>CHAIN_RAW!E263</f>
        <v/>
      </c>
      <c r="F263" s="13">
        <f>IFERROR((E263-D263)/D263,"")</f>
        <v/>
      </c>
      <c r="G263" s="13">
        <f>IFERROR((CHAIN_RAW!K263+CHAIN_RAW!L263)/2,"")</f>
        <v/>
      </c>
      <c r="H263" s="13">
        <f>IFERROR((CHAIN_RAW!R263+CHAIN_RAW!S263)/2,"")</f>
        <v/>
      </c>
      <c r="I263" s="13">
        <f>IFERROR((CHAIN_RAW!L263-CHAIN_RAW!K263)/MAX(1E-9, G263),"")</f>
        <v/>
      </c>
      <c r="J263" s="13">
        <f>IFERROR((CHAIN_RAW!S263-CHAIN_RAW!R263)/MAX(1E-9, H263),"")</f>
        <v/>
      </c>
      <c r="K263" s="13">
        <f>CHAIN_RAW!G263</f>
        <v/>
      </c>
      <c r="L263" s="13">
        <f>CHAIN_RAW!N263</f>
        <v/>
      </c>
      <c r="M263" s="13">
        <f>IFERROR(L263-K263,"")</f>
        <v/>
      </c>
      <c r="N263" s="13">
        <f>CHAIN_RAW!H263</f>
        <v/>
      </c>
      <c r="O263" s="13">
        <f>CHAIN_RAW!O263</f>
        <v/>
      </c>
      <c r="P263" s="13">
        <f>IFERROR(O263/N263,"")</f>
        <v/>
      </c>
      <c r="Q263" s="13">
        <f>CHAIN_RAW!I263</f>
        <v/>
      </c>
      <c r="R263" s="13">
        <f>CHAIN_RAW!P263</f>
        <v/>
      </c>
      <c r="S263" s="13">
        <f>IFERROR(R263/Q263,"")</f>
        <v/>
      </c>
      <c r="T263" s="13">
        <f>IFERROR((ABS(N263-O263)/MAX(1,(N263+O263)))*EXP(-ABS(E263-CONTROL!E5)/MAX(1,CONTROL!B8)),"")</f>
        <v/>
      </c>
      <c r="U263" s="13">
        <f>IFERROR(IF(O263&gt;N263,"SUPPORT (PE OI)","RESIST (CE OI)"),"")</f>
        <v/>
      </c>
      <c r="V263" s="13">
        <f>IFERROR(IF(Q263&gt;0,IF(R263&gt;0,"BOTH_ADD","CE_ADD_PE_REDUCE"),IF(R263&gt;0,"CE_REDUCE_PE_ADD","BOTH_REDUCE")),"")</f>
        <v/>
      </c>
      <c r="W263" s="13">
        <f>IFERROR( (P263-1)*0.5 + (M263)*0.1 - (I263+J263)*0.05 + T263*0.4 ,"")</f>
        <v/>
      </c>
      <c r="X263" s="13">
        <f>IFERROR(IF(ABS(F263)&lt;0.01,"ATM/NEAR",""),"")</f>
        <v/>
      </c>
    </row>
    <row r="264">
      <c r="A264" s="13">
        <f>CHAIN_RAW!A264</f>
        <v/>
      </c>
      <c r="B264" s="14">
        <f>CHAIN_RAW!B264</f>
        <v/>
      </c>
      <c r="C264" s="13">
        <f>CHAIN_RAW!C264</f>
        <v/>
      </c>
      <c r="D264" s="13">
        <f>CHAIN_RAW!D264</f>
        <v/>
      </c>
      <c r="E264" s="13">
        <f>CHAIN_RAW!E264</f>
        <v/>
      </c>
      <c r="F264" s="13">
        <f>IFERROR((E264-D264)/D264,"")</f>
        <v/>
      </c>
      <c r="G264" s="13">
        <f>IFERROR((CHAIN_RAW!K264+CHAIN_RAW!L264)/2,"")</f>
        <v/>
      </c>
      <c r="H264" s="13">
        <f>IFERROR((CHAIN_RAW!R264+CHAIN_RAW!S264)/2,"")</f>
        <v/>
      </c>
      <c r="I264" s="13">
        <f>IFERROR((CHAIN_RAW!L264-CHAIN_RAW!K264)/MAX(1E-9, G264),"")</f>
        <v/>
      </c>
      <c r="J264" s="13">
        <f>IFERROR((CHAIN_RAW!S264-CHAIN_RAW!R264)/MAX(1E-9, H264),"")</f>
        <v/>
      </c>
      <c r="K264" s="13">
        <f>CHAIN_RAW!G264</f>
        <v/>
      </c>
      <c r="L264" s="13">
        <f>CHAIN_RAW!N264</f>
        <v/>
      </c>
      <c r="M264" s="13">
        <f>IFERROR(L264-K264,"")</f>
        <v/>
      </c>
      <c r="N264" s="13">
        <f>CHAIN_RAW!H264</f>
        <v/>
      </c>
      <c r="O264" s="13">
        <f>CHAIN_RAW!O264</f>
        <v/>
      </c>
      <c r="P264" s="13">
        <f>IFERROR(O264/N264,"")</f>
        <v/>
      </c>
      <c r="Q264" s="13">
        <f>CHAIN_RAW!I264</f>
        <v/>
      </c>
      <c r="R264" s="13">
        <f>CHAIN_RAW!P264</f>
        <v/>
      </c>
      <c r="S264" s="13">
        <f>IFERROR(R264/Q264,"")</f>
        <v/>
      </c>
      <c r="T264" s="13">
        <f>IFERROR((ABS(N264-O264)/MAX(1,(N264+O264)))*EXP(-ABS(E264-CONTROL!E5)/MAX(1,CONTROL!B8)),"")</f>
        <v/>
      </c>
      <c r="U264" s="13">
        <f>IFERROR(IF(O264&gt;N264,"SUPPORT (PE OI)","RESIST (CE OI)"),"")</f>
        <v/>
      </c>
      <c r="V264" s="13">
        <f>IFERROR(IF(Q264&gt;0,IF(R264&gt;0,"BOTH_ADD","CE_ADD_PE_REDUCE"),IF(R264&gt;0,"CE_REDUCE_PE_ADD","BOTH_REDUCE")),"")</f>
        <v/>
      </c>
      <c r="W264" s="13">
        <f>IFERROR( (P264-1)*0.5 + (M264)*0.1 - (I264+J264)*0.05 + T264*0.4 ,"")</f>
        <v/>
      </c>
      <c r="X264" s="13">
        <f>IFERROR(IF(ABS(F264)&lt;0.01,"ATM/NEAR",""),"")</f>
        <v/>
      </c>
    </row>
    <row r="265">
      <c r="A265" s="13">
        <f>CHAIN_RAW!A265</f>
        <v/>
      </c>
      <c r="B265" s="14">
        <f>CHAIN_RAW!B265</f>
        <v/>
      </c>
      <c r="C265" s="13">
        <f>CHAIN_RAW!C265</f>
        <v/>
      </c>
      <c r="D265" s="13">
        <f>CHAIN_RAW!D265</f>
        <v/>
      </c>
      <c r="E265" s="13">
        <f>CHAIN_RAW!E265</f>
        <v/>
      </c>
      <c r="F265" s="13">
        <f>IFERROR((E265-D265)/D265,"")</f>
        <v/>
      </c>
      <c r="G265" s="13">
        <f>IFERROR((CHAIN_RAW!K265+CHAIN_RAW!L265)/2,"")</f>
        <v/>
      </c>
      <c r="H265" s="13">
        <f>IFERROR((CHAIN_RAW!R265+CHAIN_RAW!S265)/2,"")</f>
        <v/>
      </c>
      <c r="I265" s="13">
        <f>IFERROR((CHAIN_RAW!L265-CHAIN_RAW!K265)/MAX(1E-9, G265),"")</f>
        <v/>
      </c>
      <c r="J265" s="13">
        <f>IFERROR((CHAIN_RAW!S265-CHAIN_RAW!R265)/MAX(1E-9, H265),"")</f>
        <v/>
      </c>
      <c r="K265" s="13">
        <f>CHAIN_RAW!G265</f>
        <v/>
      </c>
      <c r="L265" s="13">
        <f>CHAIN_RAW!N265</f>
        <v/>
      </c>
      <c r="M265" s="13">
        <f>IFERROR(L265-K265,"")</f>
        <v/>
      </c>
      <c r="N265" s="13">
        <f>CHAIN_RAW!H265</f>
        <v/>
      </c>
      <c r="O265" s="13">
        <f>CHAIN_RAW!O265</f>
        <v/>
      </c>
      <c r="P265" s="13">
        <f>IFERROR(O265/N265,"")</f>
        <v/>
      </c>
      <c r="Q265" s="13">
        <f>CHAIN_RAW!I265</f>
        <v/>
      </c>
      <c r="R265" s="13">
        <f>CHAIN_RAW!P265</f>
        <v/>
      </c>
      <c r="S265" s="13">
        <f>IFERROR(R265/Q265,"")</f>
        <v/>
      </c>
      <c r="T265" s="13">
        <f>IFERROR((ABS(N265-O265)/MAX(1,(N265+O265)))*EXP(-ABS(E265-CONTROL!E5)/MAX(1,CONTROL!B8)),"")</f>
        <v/>
      </c>
      <c r="U265" s="13">
        <f>IFERROR(IF(O265&gt;N265,"SUPPORT (PE OI)","RESIST (CE OI)"),"")</f>
        <v/>
      </c>
      <c r="V265" s="13">
        <f>IFERROR(IF(Q265&gt;0,IF(R265&gt;0,"BOTH_ADD","CE_ADD_PE_REDUCE"),IF(R265&gt;0,"CE_REDUCE_PE_ADD","BOTH_REDUCE")),"")</f>
        <v/>
      </c>
      <c r="W265" s="13">
        <f>IFERROR( (P265-1)*0.5 + (M265)*0.1 - (I265+J265)*0.05 + T265*0.4 ,"")</f>
        <v/>
      </c>
      <c r="X265" s="13">
        <f>IFERROR(IF(ABS(F265)&lt;0.01,"ATM/NEAR",""),"")</f>
        <v/>
      </c>
    </row>
    <row r="266">
      <c r="A266" s="13">
        <f>CHAIN_RAW!A266</f>
        <v/>
      </c>
      <c r="B266" s="14">
        <f>CHAIN_RAW!B266</f>
        <v/>
      </c>
      <c r="C266" s="13">
        <f>CHAIN_RAW!C266</f>
        <v/>
      </c>
      <c r="D266" s="13">
        <f>CHAIN_RAW!D266</f>
        <v/>
      </c>
      <c r="E266" s="13">
        <f>CHAIN_RAW!E266</f>
        <v/>
      </c>
      <c r="F266" s="13">
        <f>IFERROR((E266-D266)/D266,"")</f>
        <v/>
      </c>
      <c r="G266" s="13">
        <f>IFERROR((CHAIN_RAW!K266+CHAIN_RAW!L266)/2,"")</f>
        <v/>
      </c>
      <c r="H266" s="13">
        <f>IFERROR((CHAIN_RAW!R266+CHAIN_RAW!S266)/2,"")</f>
        <v/>
      </c>
      <c r="I266" s="13">
        <f>IFERROR((CHAIN_RAW!L266-CHAIN_RAW!K266)/MAX(1E-9, G266),"")</f>
        <v/>
      </c>
      <c r="J266" s="13">
        <f>IFERROR((CHAIN_RAW!S266-CHAIN_RAW!R266)/MAX(1E-9, H266),"")</f>
        <v/>
      </c>
      <c r="K266" s="13">
        <f>CHAIN_RAW!G266</f>
        <v/>
      </c>
      <c r="L266" s="13">
        <f>CHAIN_RAW!N266</f>
        <v/>
      </c>
      <c r="M266" s="13">
        <f>IFERROR(L266-K266,"")</f>
        <v/>
      </c>
      <c r="N266" s="13">
        <f>CHAIN_RAW!H266</f>
        <v/>
      </c>
      <c r="O266" s="13">
        <f>CHAIN_RAW!O266</f>
        <v/>
      </c>
      <c r="P266" s="13">
        <f>IFERROR(O266/N266,"")</f>
        <v/>
      </c>
      <c r="Q266" s="13">
        <f>CHAIN_RAW!I266</f>
        <v/>
      </c>
      <c r="R266" s="13">
        <f>CHAIN_RAW!P266</f>
        <v/>
      </c>
      <c r="S266" s="13">
        <f>IFERROR(R266/Q266,"")</f>
        <v/>
      </c>
      <c r="T266" s="13">
        <f>IFERROR((ABS(N266-O266)/MAX(1,(N266+O266)))*EXP(-ABS(E266-CONTROL!E5)/MAX(1,CONTROL!B8)),"")</f>
        <v/>
      </c>
      <c r="U266" s="13">
        <f>IFERROR(IF(O266&gt;N266,"SUPPORT (PE OI)","RESIST (CE OI)"),"")</f>
        <v/>
      </c>
      <c r="V266" s="13">
        <f>IFERROR(IF(Q266&gt;0,IF(R266&gt;0,"BOTH_ADD","CE_ADD_PE_REDUCE"),IF(R266&gt;0,"CE_REDUCE_PE_ADD","BOTH_REDUCE")),"")</f>
        <v/>
      </c>
      <c r="W266" s="13">
        <f>IFERROR( (P266-1)*0.5 + (M266)*0.1 - (I266+J266)*0.05 + T266*0.4 ,"")</f>
        <v/>
      </c>
      <c r="X266" s="13">
        <f>IFERROR(IF(ABS(F266)&lt;0.01,"ATM/NEAR",""),"")</f>
        <v/>
      </c>
    </row>
    <row r="267">
      <c r="A267" s="13">
        <f>CHAIN_RAW!A267</f>
        <v/>
      </c>
      <c r="B267" s="14">
        <f>CHAIN_RAW!B267</f>
        <v/>
      </c>
      <c r="C267" s="13">
        <f>CHAIN_RAW!C267</f>
        <v/>
      </c>
      <c r="D267" s="13">
        <f>CHAIN_RAW!D267</f>
        <v/>
      </c>
      <c r="E267" s="13">
        <f>CHAIN_RAW!E267</f>
        <v/>
      </c>
      <c r="F267" s="13">
        <f>IFERROR((E267-D267)/D267,"")</f>
        <v/>
      </c>
      <c r="G267" s="13">
        <f>IFERROR((CHAIN_RAW!K267+CHAIN_RAW!L267)/2,"")</f>
        <v/>
      </c>
      <c r="H267" s="13">
        <f>IFERROR((CHAIN_RAW!R267+CHAIN_RAW!S267)/2,"")</f>
        <v/>
      </c>
      <c r="I267" s="13">
        <f>IFERROR((CHAIN_RAW!L267-CHAIN_RAW!K267)/MAX(1E-9, G267),"")</f>
        <v/>
      </c>
      <c r="J267" s="13">
        <f>IFERROR((CHAIN_RAW!S267-CHAIN_RAW!R267)/MAX(1E-9, H267),"")</f>
        <v/>
      </c>
      <c r="K267" s="13">
        <f>CHAIN_RAW!G267</f>
        <v/>
      </c>
      <c r="L267" s="13">
        <f>CHAIN_RAW!N267</f>
        <v/>
      </c>
      <c r="M267" s="13">
        <f>IFERROR(L267-K267,"")</f>
        <v/>
      </c>
      <c r="N267" s="13">
        <f>CHAIN_RAW!H267</f>
        <v/>
      </c>
      <c r="O267" s="13">
        <f>CHAIN_RAW!O267</f>
        <v/>
      </c>
      <c r="P267" s="13">
        <f>IFERROR(O267/N267,"")</f>
        <v/>
      </c>
      <c r="Q267" s="13">
        <f>CHAIN_RAW!I267</f>
        <v/>
      </c>
      <c r="R267" s="13">
        <f>CHAIN_RAW!P267</f>
        <v/>
      </c>
      <c r="S267" s="13">
        <f>IFERROR(R267/Q267,"")</f>
        <v/>
      </c>
      <c r="T267" s="13">
        <f>IFERROR((ABS(N267-O267)/MAX(1,(N267+O267)))*EXP(-ABS(E267-CONTROL!E5)/MAX(1,CONTROL!B8)),"")</f>
        <v/>
      </c>
      <c r="U267" s="13">
        <f>IFERROR(IF(O267&gt;N267,"SUPPORT (PE OI)","RESIST (CE OI)"),"")</f>
        <v/>
      </c>
      <c r="V267" s="13">
        <f>IFERROR(IF(Q267&gt;0,IF(R267&gt;0,"BOTH_ADD","CE_ADD_PE_REDUCE"),IF(R267&gt;0,"CE_REDUCE_PE_ADD","BOTH_REDUCE")),"")</f>
        <v/>
      </c>
      <c r="W267" s="13">
        <f>IFERROR( (P267-1)*0.5 + (M267)*0.1 - (I267+J267)*0.05 + T267*0.4 ,"")</f>
        <v/>
      </c>
      <c r="X267" s="13">
        <f>IFERROR(IF(ABS(F267)&lt;0.01,"ATM/NEAR",""),"")</f>
        <v/>
      </c>
    </row>
    <row r="268">
      <c r="A268" s="13">
        <f>CHAIN_RAW!A268</f>
        <v/>
      </c>
      <c r="B268" s="14">
        <f>CHAIN_RAW!B268</f>
        <v/>
      </c>
      <c r="C268" s="13">
        <f>CHAIN_RAW!C268</f>
        <v/>
      </c>
      <c r="D268" s="13">
        <f>CHAIN_RAW!D268</f>
        <v/>
      </c>
      <c r="E268" s="13">
        <f>CHAIN_RAW!E268</f>
        <v/>
      </c>
      <c r="F268" s="13">
        <f>IFERROR((E268-D268)/D268,"")</f>
        <v/>
      </c>
      <c r="G268" s="13">
        <f>IFERROR((CHAIN_RAW!K268+CHAIN_RAW!L268)/2,"")</f>
        <v/>
      </c>
      <c r="H268" s="13">
        <f>IFERROR((CHAIN_RAW!R268+CHAIN_RAW!S268)/2,"")</f>
        <v/>
      </c>
      <c r="I268" s="13">
        <f>IFERROR((CHAIN_RAW!L268-CHAIN_RAW!K268)/MAX(1E-9, G268),"")</f>
        <v/>
      </c>
      <c r="J268" s="13">
        <f>IFERROR((CHAIN_RAW!S268-CHAIN_RAW!R268)/MAX(1E-9, H268),"")</f>
        <v/>
      </c>
      <c r="K268" s="13">
        <f>CHAIN_RAW!G268</f>
        <v/>
      </c>
      <c r="L268" s="13">
        <f>CHAIN_RAW!N268</f>
        <v/>
      </c>
      <c r="M268" s="13">
        <f>IFERROR(L268-K268,"")</f>
        <v/>
      </c>
      <c r="N268" s="13">
        <f>CHAIN_RAW!H268</f>
        <v/>
      </c>
      <c r="O268" s="13">
        <f>CHAIN_RAW!O268</f>
        <v/>
      </c>
      <c r="P268" s="13">
        <f>IFERROR(O268/N268,"")</f>
        <v/>
      </c>
      <c r="Q268" s="13">
        <f>CHAIN_RAW!I268</f>
        <v/>
      </c>
      <c r="R268" s="13">
        <f>CHAIN_RAW!P268</f>
        <v/>
      </c>
      <c r="S268" s="13">
        <f>IFERROR(R268/Q268,"")</f>
        <v/>
      </c>
      <c r="T268" s="13">
        <f>IFERROR((ABS(N268-O268)/MAX(1,(N268+O268)))*EXP(-ABS(E268-CONTROL!E5)/MAX(1,CONTROL!B8)),"")</f>
        <v/>
      </c>
      <c r="U268" s="13">
        <f>IFERROR(IF(O268&gt;N268,"SUPPORT (PE OI)","RESIST (CE OI)"),"")</f>
        <v/>
      </c>
      <c r="V268" s="13">
        <f>IFERROR(IF(Q268&gt;0,IF(R268&gt;0,"BOTH_ADD","CE_ADD_PE_REDUCE"),IF(R268&gt;0,"CE_REDUCE_PE_ADD","BOTH_REDUCE")),"")</f>
        <v/>
      </c>
      <c r="W268" s="13">
        <f>IFERROR( (P268-1)*0.5 + (M268)*0.1 - (I268+J268)*0.05 + T268*0.4 ,"")</f>
        <v/>
      </c>
      <c r="X268" s="13">
        <f>IFERROR(IF(ABS(F268)&lt;0.01,"ATM/NEAR",""),"")</f>
        <v/>
      </c>
    </row>
    <row r="269">
      <c r="A269" s="13">
        <f>CHAIN_RAW!A269</f>
        <v/>
      </c>
      <c r="B269" s="14">
        <f>CHAIN_RAW!B269</f>
        <v/>
      </c>
      <c r="C269" s="13">
        <f>CHAIN_RAW!C269</f>
        <v/>
      </c>
      <c r="D269" s="13">
        <f>CHAIN_RAW!D269</f>
        <v/>
      </c>
      <c r="E269" s="13">
        <f>CHAIN_RAW!E269</f>
        <v/>
      </c>
      <c r="F269" s="13">
        <f>IFERROR((E269-D269)/D269,"")</f>
        <v/>
      </c>
      <c r="G269" s="13">
        <f>IFERROR((CHAIN_RAW!K269+CHAIN_RAW!L269)/2,"")</f>
        <v/>
      </c>
      <c r="H269" s="13">
        <f>IFERROR((CHAIN_RAW!R269+CHAIN_RAW!S269)/2,"")</f>
        <v/>
      </c>
      <c r="I269" s="13">
        <f>IFERROR((CHAIN_RAW!L269-CHAIN_RAW!K269)/MAX(1E-9, G269),"")</f>
        <v/>
      </c>
      <c r="J269" s="13">
        <f>IFERROR((CHAIN_RAW!S269-CHAIN_RAW!R269)/MAX(1E-9, H269),"")</f>
        <v/>
      </c>
      <c r="K269" s="13">
        <f>CHAIN_RAW!G269</f>
        <v/>
      </c>
      <c r="L269" s="13">
        <f>CHAIN_RAW!N269</f>
        <v/>
      </c>
      <c r="M269" s="13">
        <f>IFERROR(L269-K269,"")</f>
        <v/>
      </c>
      <c r="N269" s="13">
        <f>CHAIN_RAW!H269</f>
        <v/>
      </c>
      <c r="O269" s="13">
        <f>CHAIN_RAW!O269</f>
        <v/>
      </c>
      <c r="P269" s="13">
        <f>IFERROR(O269/N269,"")</f>
        <v/>
      </c>
      <c r="Q269" s="13">
        <f>CHAIN_RAW!I269</f>
        <v/>
      </c>
      <c r="R269" s="13">
        <f>CHAIN_RAW!P269</f>
        <v/>
      </c>
      <c r="S269" s="13">
        <f>IFERROR(R269/Q269,"")</f>
        <v/>
      </c>
      <c r="T269" s="13">
        <f>IFERROR((ABS(N269-O269)/MAX(1,(N269+O269)))*EXP(-ABS(E269-CONTROL!E5)/MAX(1,CONTROL!B8)),"")</f>
        <v/>
      </c>
      <c r="U269" s="13">
        <f>IFERROR(IF(O269&gt;N269,"SUPPORT (PE OI)","RESIST (CE OI)"),"")</f>
        <v/>
      </c>
      <c r="V269" s="13">
        <f>IFERROR(IF(Q269&gt;0,IF(R269&gt;0,"BOTH_ADD","CE_ADD_PE_REDUCE"),IF(R269&gt;0,"CE_REDUCE_PE_ADD","BOTH_REDUCE")),"")</f>
        <v/>
      </c>
      <c r="W269" s="13">
        <f>IFERROR( (P269-1)*0.5 + (M269)*0.1 - (I269+J269)*0.05 + T269*0.4 ,"")</f>
        <v/>
      </c>
      <c r="X269" s="13">
        <f>IFERROR(IF(ABS(F269)&lt;0.01,"ATM/NEAR",""),"")</f>
        <v/>
      </c>
    </row>
    <row r="270">
      <c r="A270" s="13">
        <f>CHAIN_RAW!A270</f>
        <v/>
      </c>
      <c r="B270" s="14">
        <f>CHAIN_RAW!B270</f>
        <v/>
      </c>
      <c r="C270" s="13">
        <f>CHAIN_RAW!C270</f>
        <v/>
      </c>
      <c r="D270" s="13">
        <f>CHAIN_RAW!D270</f>
        <v/>
      </c>
      <c r="E270" s="13">
        <f>CHAIN_RAW!E270</f>
        <v/>
      </c>
      <c r="F270" s="13">
        <f>IFERROR((E270-D270)/D270,"")</f>
        <v/>
      </c>
      <c r="G270" s="13">
        <f>IFERROR((CHAIN_RAW!K270+CHAIN_RAW!L270)/2,"")</f>
        <v/>
      </c>
      <c r="H270" s="13">
        <f>IFERROR((CHAIN_RAW!R270+CHAIN_RAW!S270)/2,"")</f>
        <v/>
      </c>
      <c r="I270" s="13">
        <f>IFERROR((CHAIN_RAW!L270-CHAIN_RAW!K270)/MAX(1E-9, G270),"")</f>
        <v/>
      </c>
      <c r="J270" s="13">
        <f>IFERROR((CHAIN_RAW!S270-CHAIN_RAW!R270)/MAX(1E-9, H270),"")</f>
        <v/>
      </c>
      <c r="K270" s="13">
        <f>CHAIN_RAW!G270</f>
        <v/>
      </c>
      <c r="L270" s="13">
        <f>CHAIN_RAW!N270</f>
        <v/>
      </c>
      <c r="M270" s="13">
        <f>IFERROR(L270-K270,"")</f>
        <v/>
      </c>
      <c r="N270" s="13">
        <f>CHAIN_RAW!H270</f>
        <v/>
      </c>
      <c r="O270" s="13">
        <f>CHAIN_RAW!O270</f>
        <v/>
      </c>
      <c r="P270" s="13">
        <f>IFERROR(O270/N270,"")</f>
        <v/>
      </c>
      <c r="Q270" s="13">
        <f>CHAIN_RAW!I270</f>
        <v/>
      </c>
      <c r="R270" s="13">
        <f>CHAIN_RAW!P270</f>
        <v/>
      </c>
      <c r="S270" s="13">
        <f>IFERROR(R270/Q270,"")</f>
        <v/>
      </c>
      <c r="T270" s="13">
        <f>IFERROR((ABS(N270-O270)/MAX(1,(N270+O270)))*EXP(-ABS(E270-CONTROL!E5)/MAX(1,CONTROL!B8)),"")</f>
        <v/>
      </c>
      <c r="U270" s="13">
        <f>IFERROR(IF(O270&gt;N270,"SUPPORT (PE OI)","RESIST (CE OI)"),"")</f>
        <v/>
      </c>
      <c r="V270" s="13">
        <f>IFERROR(IF(Q270&gt;0,IF(R270&gt;0,"BOTH_ADD","CE_ADD_PE_REDUCE"),IF(R270&gt;0,"CE_REDUCE_PE_ADD","BOTH_REDUCE")),"")</f>
        <v/>
      </c>
      <c r="W270" s="13">
        <f>IFERROR( (P270-1)*0.5 + (M270)*0.1 - (I270+J270)*0.05 + T270*0.4 ,"")</f>
        <v/>
      </c>
      <c r="X270" s="13">
        <f>IFERROR(IF(ABS(F270)&lt;0.01,"ATM/NEAR",""),"")</f>
        <v/>
      </c>
    </row>
    <row r="271">
      <c r="A271" s="13">
        <f>CHAIN_RAW!A271</f>
        <v/>
      </c>
      <c r="B271" s="14">
        <f>CHAIN_RAW!B271</f>
        <v/>
      </c>
      <c r="C271" s="13">
        <f>CHAIN_RAW!C271</f>
        <v/>
      </c>
      <c r="D271" s="13">
        <f>CHAIN_RAW!D271</f>
        <v/>
      </c>
      <c r="E271" s="13">
        <f>CHAIN_RAW!E271</f>
        <v/>
      </c>
      <c r="F271" s="13">
        <f>IFERROR((E271-D271)/D271,"")</f>
        <v/>
      </c>
      <c r="G271" s="13">
        <f>IFERROR((CHAIN_RAW!K271+CHAIN_RAW!L271)/2,"")</f>
        <v/>
      </c>
      <c r="H271" s="13">
        <f>IFERROR((CHAIN_RAW!R271+CHAIN_RAW!S271)/2,"")</f>
        <v/>
      </c>
      <c r="I271" s="13">
        <f>IFERROR((CHAIN_RAW!L271-CHAIN_RAW!K271)/MAX(1E-9, G271),"")</f>
        <v/>
      </c>
      <c r="J271" s="13">
        <f>IFERROR((CHAIN_RAW!S271-CHAIN_RAW!R271)/MAX(1E-9, H271),"")</f>
        <v/>
      </c>
      <c r="K271" s="13">
        <f>CHAIN_RAW!G271</f>
        <v/>
      </c>
      <c r="L271" s="13">
        <f>CHAIN_RAW!N271</f>
        <v/>
      </c>
      <c r="M271" s="13">
        <f>IFERROR(L271-K271,"")</f>
        <v/>
      </c>
      <c r="N271" s="13">
        <f>CHAIN_RAW!H271</f>
        <v/>
      </c>
      <c r="O271" s="13">
        <f>CHAIN_RAW!O271</f>
        <v/>
      </c>
      <c r="P271" s="13">
        <f>IFERROR(O271/N271,"")</f>
        <v/>
      </c>
      <c r="Q271" s="13">
        <f>CHAIN_RAW!I271</f>
        <v/>
      </c>
      <c r="R271" s="13">
        <f>CHAIN_RAW!P271</f>
        <v/>
      </c>
      <c r="S271" s="13">
        <f>IFERROR(R271/Q271,"")</f>
        <v/>
      </c>
      <c r="T271" s="13">
        <f>IFERROR((ABS(N271-O271)/MAX(1,(N271+O271)))*EXP(-ABS(E271-CONTROL!E5)/MAX(1,CONTROL!B8)),"")</f>
        <v/>
      </c>
      <c r="U271" s="13">
        <f>IFERROR(IF(O271&gt;N271,"SUPPORT (PE OI)","RESIST (CE OI)"),"")</f>
        <v/>
      </c>
      <c r="V271" s="13">
        <f>IFERROR(IF(Q271&gt;0,IF(R271&gt;0,"BOTH_ADD","CE_ADD_PE_REDUCE"),IF(R271&gt;0,"CE_REDUCE_PE_ADD","BOTH_REDUCE")),"")</f>
        <v/>
      </c>
      <c r="W271" s="13">
        <f>IFERROR( (P271-1)*0.5 + (M271)*0.1 - (I271+J271)*0.05 + T271*0.4 ,"")</f>
        <v/>
      </c>
      <c r="X271" s="13">
        <f>IFERROR(IF(ABS(F271)&lt;0.01,"ATM/NEAR",""),"")</f>
        <v/>
      </c>
    </row>
    <row r="272">
      <c r="A272" s="13">
        <f>CHAIN_RAW!A272</f>
        <v/>
      </c>
      <c r="B272" s="14">
        <f>CHAIN_RAW!B272</f>
        <v/>
      </c>
      <c r="C272" s="13">
        <f>CHAIN_RAW!C272</f>
        <v/>
      </c>
      <c r="D272" s="13">
        <f>CHAIN_RAW!D272</f>
        <v/>
      </c>
      <c r="E272" s="13">
        <f>CHAIN_RAW!E272</f>
        <v/>
      </c>
      <c r="F272" s="13">
        <f>IFERROR((E272-D272)/D272,"")</f>
        <v/>
      </c>
      <c r="G272" s="13">
        <f>IFERROR((CHAIN_RAW!K272+CHAIN_RAW!L272)/2,"")</f>
        <v/>
      </c>
      <c r="H272" s="13">
        <f>IFERROR((CHAIN_RAW!R272+CHAIN_RAW!S272)/2,"")</f>
        <v/>
      </c>
      <c r="I272" s="13">
        <f>IFERROR((CHAIN_RAW!L272-CHAIN_RAW!K272)/MAX(1E-9, G272),"")</f>
        <v/>
      </c>
      <c r="J272" s="13">
        <f>IFERROR((CHAIN_RAW!S272-CHAIN_RAW!R272)/MAX(1E-9, H272),"")</f>
        <v/>
      </c>
      <c r="K272" s="13">
        <f>CHAIN_RAW!G272</f>
        <v/>
      </c>
      <c r="L272" s="13">
        <f>CHAIN_RAW!N272</f>
        <v/>
      </c>
      <c r="M272" s="13">
        <f>IFERROR(L272-K272,"")</f>
        <v/>
      </c>
      <c r="N272" s="13">
        <f>CHAIN_RAW!H272</f>
        <v/>
      </c>
      <c r="O272" s="13">
        <f>CHAIN_RAW!O272</f>
        <v/>
      </c>
      <c r="P272" s="13">
        <f>IFERROR(O272/N272,"")</f>
        <v/>
      </c>
      <c r="Q272" s="13">
        <f>CHAIN_RAW!I272</f>
        <v/>
      </c>
      <c r="R272" s="13">
        <f>CHAIN_RAW!P272</f>
        <v/>
      </c>
      <c r="S272" s="13">
        <f>IFERROR(R272/Q272,"")</f>
        <v/>
      </c>
      <c r="T272" s="13">
        <f>IFERROR((ABS(N272-O272)/MAX(1,(N272+O272)))*EXP(-ABS(E272-CONTROL!E5)/MAX(1,CONTROL!B8)),"")</f>
        <v/>
      </c>
      <c r="U272" s="13">
        <f>IFERROR(IF(O272&gt;N272,"SUPPORT (PE OI)","RESIST (CE OI)"),"")</f>
        <v/>
      </c>
      <c r="V272" s="13">
        <f>IFERROR(IF(Q272&gt;0,IF(R272&gt;0,"BOTH_ADD","CE_ADD_PE_REDUCE"),IF(R272&gt;0,"CE_REDUCE_PE_ADD","BOTH_REDUCE")),"")</f>
        <v/>
      </c>
      <c r="W272" s="13">
        <f>IFERROR( (P272-1)*0.5 + (M272)*0.1 - (I272+J272)*0.05 + T272*0.4 ,"")</f>
        <v/>
      </c>
      <c r="X272" s="13">
        <f>IFERROR(IF(ABS(F272)&lt;0.01,"ATM/NEAR",""),"")</f>
        <v/>
      </c>
    </row>
    <row r="273">
      <c r="A273" s="13">
        <f>CHAIN_RAW!A273</f>
        <v/>
      </c>
      <c r="B273" s="14">
        <f>CHAIN_RAW!B273</f>
        <v/>
      </c>
      <c r="C273" s="13">
        <f>CHAIN_RAW!C273</f>
        <v/>
      </c>
      <c r="D273" s="13">
        <f>CHAIN_RAW!D273</f>
        <v/>
      </c>
      <c r="E273" s="13">
        <f>CHAIN_RAW!E273</f>
        <v/>
      </c>
      <c r="F273" s="13">
        <f>IFERROR((E273-D273)/D273,"")</f>
        <v/>
      </c>
      <c r="G273" s="13">
        <f>IFERROR((CHAIN_RAW!K273+CHAIN_RAW!L273)/2,"")</f>
        <v/>
      </c>
      <c r="H273" s="13">
        <f>IFERROR((CHAIN_RAW!R273+CHAIN_RAW!S273)/2,"")</f>
        <v/>
      </c>
      <c r="I273" s="13">
        <f>IFERROR((CHAIN_RAW!L273-CHAIN_RAW!K273)/MAX(1E-9, G273),"")</f>
        <v/>
      </c>
      <c r="J273" s="13">
        <f>IFERROR((CHAIN_RAW!S273-CHAIN_RAW!R273)/MAX(1E-9, H273),"")</f>
        <v/>
      </c>
      <c r="K273" s="13">
        <f>CHAIN_RAW!G273</f>
        <v/>
      </c>
      <c r="L273" s="13">
        <f>CHAIN_RAW!N273</f>
        <v/>
      </c>
      <c r="M273" s="13">
        <f>IFERROR(L273-K273,"")</f>
        <v/>
      </c>
      <c r="N273" s="13">
        <f>CHAIN_RAW!H273</f>
        <v/>
      </c>
      <c r="O273" s="13">
        <f>CHAIN_RAW!O273</f>
        <v/>
      </c>
      <c r="P273" s="13">
        <f>IFERROR(O273/N273,"")</f>
        <v/>
      </c>
      <c r="Q273" s="13">
        <f>CHAIN_RAW!I273</f>
        <v/>
      </c>
      <c r="R273" s="13">
        <f>CHAIN_RAW!P273</f>
        <v/>
      </c>
      <c r="S273" s="13">
        <f>IFERROR(R273/Q273,"")</f>
        <v/>
      </c>
      <c r="T273" s="13">
        <f>IFERROR((ABS(N273-O273)/MAX(1,(N273+O273)))*EXP(-ABS(E273-CONTROL!E5)/MAX(1,CONTROL!B8)),"")</f>
        <v/>
      </c>
      <c r="U273" s="13">
        <f>IFERROR(IF(O273&gt;N273,"SUPPORT (PE OI)","RESIST (CE OI)"),"")</f>
        <v/>
      </c>
      <c r="V273" s="13">
        <f>IFERROR(IF(Q273&gt;0,IF(R273&gt;0,"BOTH_ADD","CE_ADD_PE_REDUCE"),IF(R273&gt;0,"CE_REDUCE_PE_ADD","BOTH_REDUCE")),"")</f>
        <v/>
      </c>
      <c r="W273" s="13">
        <f>IFERROR( (P273-1)*0.5 + (M273)*0.1 - (I273+J273)*0.05 + T273*0.4 ,"")</f>
        <v/>
      </c>
      <c r="X273" s="13">
        <f>IFERROR(IF(ABS(F273)&lt;0.01,"ATM/NEAR",""),"")</f>
        <v/>
      </c>
    </row>
    <row r="274">
      <c r="A274" s="13">
        <f>CHAIN_RAW!A274</f>
        <v/>
      </c>
      <c r="B274" s="14">
        <f>CHAIN_RAW!B274</f>
        <v/>
      </c>
      <c r="C274" s="13">
        <f>CHAIN_RAW!C274</f>
        <v/>
      </c>
      <c r="D274" s="13">
        <f>CHAIN_RAW!D274</f>
        <v/>
      </c>
      <c r="E274" s="13">
        <f>CHAIN_RAW!E274</f>
        <v/>
      </c>
      <c r="F274" s="13">
        <f>IFERROR((E274-D274)/D274,"")</f>
        <v/>
      </c>
      <c r="G274" s="13">
        <f>IFERROR((CHAIN_RAW!K274+CHAIN_RAW!L274)/2,"")</f>
        <v/>
      </c>
      <c r="H274" s="13">
        <f>IFERROR((CHAIN_RAW!R274+CHAIN_RAW!S274)/2,"")</f>
        <v/>
      </c>
      <c r="I274" s="13">
        <f>IFERROR((CHAIN_RAW!L274-CHAIN_RAW!K274)/MAX(1E-9, G274),"")</f>
        <v/>
      </c>
      <c r="J274" s="13">
        <f>IFERROR((CHAIN_RAW!S274-CHAIN_RAW!R274)/MAX(1E-9, H274),"")</f>
        <v/>
      </c>
      <c r="K274" s="13">
        <f>CHAIN_RAW!G274</f>
        <v/>
      </c>
      <c r="L274" s="13">
        <f>CHAIN_RAW!N274</f>
        <v/>
      </c>
      <c r="M274" s="13">
        <f>IFERROR(L274-K274,"")</f>
        <v/>
      </c>
      <c r="N274" s="13">
        <f>CHAIN_RAW!H274</f>
        <v/>
      </c>
      <c r="O274" s="13">
        <f>CHAIN_RAW!O274</f>
        <v/>
      </c>
      <c r="P274" s="13">
        <f>IFERROR(O274/N274,"")</f>
        <v/>
      </c>
      <c r="Q274" s="13">
        <f>CHAIN_RAW!I274</f>
        <v/>
      </c>
      <c r="R274" s="13">
        <f>CHAIN_RAW!P274</f>
        <v/>
      </c>
      <c r="S274" s="13">
        <f>IFERROR(R274/Q274,"")</f>
        <v/>
      </c>
      <c r="T274" s="13">
        <f>IFERROR((ABS(N274-O274)/MAX(1,(N274+O274)))*EXP(-ABS(E274-CONTROL!E5)/MAX(1,CONTROL!B8)),"")</f>
        <v/>
      </c>
      <c r="U274" s="13">
        <f>IFERROR(IF(O274&gt;N274,"SUPPORT (PE OI)","RESIST (CE OI)"),"")</f>
        <v/>
      </c>
      <c r="V274" s="13">
        <f>IFERROR(IF(Q274&gt;0,IF(R274&gt;0,"BOTH_ADD","CE_ADD_PE_REDUCE"),IF(R274&gt;0,"CE_REDUCE_PE_ADD","BOTH_REDUCE")),"")</f>
        <v/>
      </c>
      <c r="W274" s="13">
        <f>IFERROR( (P274-1)*0.5 + (M274)*0.1 - (I274+J274)*0.05 + T274*0.4 ,"")</f>
        <v/>
      </c>
      <c r="X274" s="13">
        <f>IFERROR(IF(ABS(F274)&lt;0.01,"ATM/NEAR",""),"")</f>
        <v/>
      </c>
    </row>
    <row r="275">
      <c r="A275" s="13">
        <f>CHAIN_RAW!A275</f>
        <v/>
      </c>
      <c r="B275" s="14">
        <f>CHAIN_RAW!B275</f>
        <v/>
      </c>
      <c r="C275" s="13">
        <f>CHAIN_RAW!C275</f>
        <v/>
      </c>
      <c r="D275" s="13">
        <f>CHAIN_RAW!D275</f>
        <v/>
      </c>
      <c r="E275" s="13">
        <f>CHAIN_RAW!E275</f>
        <v/>
      </c>
      <c r="F275" s="13">
        <f>IFERROR((E275-D275)/D275,"")</f>
        <v/>
      </c>
      <c r="G275" s="13">
        <f>IFERROR((CHAIN_RAW!K275+CHAIN_RAW!L275)/2,"")</f>
        <v/>
      </c>
      <c r="H275" s="13">
        <f>IFERROR((CHAIN_RAW!R275+CHAIN_RAW!S275)/2,"")</f>
        <v/>
      </c>
      <c r="I275" s="13">
        <f>IFERROR((CHAIN_RAW!L275-CHAIN_RAW!K275)/MAX(1E-9, G275),"")</f>
        <v/>
      </c>
      <c r="J275" s="13">
        <f>IFERROR((CHAIN_RAW!S275-CHAIN_RAW!R275)/MAX(1E-9, H275),"")</f>
        <v/>
      </c>
      <c r="K275" s="13">
        <f>CHAIN_RAW!G275</f>
        <v/>
      </c>
      <c r="L275" s="13">
        <f>CHAIN_RAW!N275</f>
        <v/>
      </c>
      <c r="M275" s="13">
        <f>IFERROR(L275-K275,"")</f>
        <v/>
      </c>
      <c r="N275" s="13">
        <f>CHAIN_RAW!H275</f>
        <v/>
      </c>
      <c r="O275" s="13">
        <f>CHAIN_RAW!O275</f>
        <v/>
      </c>
      <c r="P275" s="13">
        <f>IFERROR(O275/N275,"")</f>
        <v/>
      </c>
      <c r="Q275" s="13">
        <f>CHAIN_RAW!I275</f>
        <v/>
      </c>
      <c r="R275" s="13">
        <f>CHAIN_RAW!P275</f>
        <v/>
      </c>
      <c r="S275" s="13">
        <f>IFERROR(R275/Q275,"")</f>
        <v/>
      </c>
      <c r="T275" s="13">
        <f>IFERROR((ABS(N275-O275)/MAX(1,(N275+O275)))*EXP(-ABS(E275-CONTROL!E5)/MAX(1,CONTROL!B8)),"")</f>
        <v/>
      </c>
      <c r="U275" s="13">
        <f>IFERROR(IF(O275&gt;N275,"SUPPORT (PE OI)","RESIST (CE OI)"),"")</f>
        <v/>
      </c>
      <c r="V275" s="13">
        <f>IFERROR(IF(Q275&gt;0,IF(R275&gt;0,"BOTH_ADD","CE_ADD_PE_REDUCE"),IF(R275&gt;0,"CE_REDUCE_PE_ADD","BOTH_REDUCE")),"")</f>
        <v/>
      </c>
      <c r="W275" s="13">
        <f>IFERROR( (P275-1)*0.5 + (M275)*0.1 - (I275+J275)*0.05 + T275*0.4 ,"")</f>
        <v/>
      </c>
      <c r="X275" s="13">
        <f>IFERROR(IF(ABS(F275)&lt;0.01,"ATM/NEAR",""),"")</f>
        <v/>
      </c>
    </row>
    <row r="276">
      <c r="A276" s="13">
        <f>CHAIN_RAW!A276</f>
        <v/>
      </c>
      <c r="B276" s="14">
        <f>CHAIN_RAW!B276</f>
        <v/>
      </c>
      <c r="C276" s="13">
        <f>CHAIN_RAW!C276</f>
        <v/>
      </c>
      <c r="D276" s="13">
        <f>CHAIN_RAW!D276</f>
        <v/>
      </c>
      <c r="E276" s="13">
        <f>CHAIN_RAW!E276</f>
        <v/>
      </c>
      <c r="F276" s="13">
        <f>IFERROR((E276-D276)/D276,"")</f>
        <v/>
      </c>
      <c r="G276" s="13">
        <f>IFERROR((CHAIN_RAW!K276+CHAIN_RAW!L276)/2,"")</f>
        <v/>
      </c>
      <c r="H276" s="13">
        <f>IFERROR((CHAIN_RAW!R276+CHAIN_RAW!S276)/2,"")</f>
        <v/>
      </c>
      <c r="I276" s="13">
        <f>IFERROR((CHAIN_RAW!L276-CHAIN_RAW!K276)/MAX(1E-9, G276),"")</f>
        <v/>
      </c>
      <c r="J276" s="13">
        <f>IFERROR((CHAIN_RAW!S276-CHAIN_RAW!R276)/MAX(1E-9, H276),"")</f>
        <v/>
      </c>
      <c r="K276" s="13">
        <f>CHAIN_RAW!G276</f>
        <v/>
      </c>
      <c r="L276" s="13">
        <f>CHAIN_RAW!N276</f>
        <v/>
      </c>
      <c r="M276" s="13">
        <f>IFERROR(L276-K276,"")</f>
        <v/>
      </c>
      <c r="N276" s="13">
        <f>CHAIN_RAW!H276</f>
        <v/>
      </c>
      <c r="O276" s="13">
        <f>CHAIN_RAW!O276</f>
        <v/>
      </c>
      <c r="P276" s="13">
        <f>IFERROR(O276/N276,"")</f>
        <v/>
      </c>
      <c r="Q276" s="13">
        <f>CHAIN_RAW!I276</f>
        <v/>
      </c>
      <c r="R276" s="13">
        <f>CHAIN_RAW!P276</f>
        <v/>
      </c>
      <c r="S276" s="13">
        <f>IFERROR(R276/Q276,"")</f>
        <v/>
      </c>
      <c r="T276" s="13">
        <f>IFERROR((ABS(N276-O276)/MAX(1,(N276+O276)))*EXP(-ABS(E276-CONTROL!E5)/MAX(1,CONTROL!B8)),"")</f>
        <v/>
      </c>
      <c r="U276" s="13">
        <f>IFERROR(IF(O276&gt;N276,"SUPPORT (PE OI)","RESIST (CE OI)"),"")</f>
        <v/>
      </c>
      <c r="V276" s="13">
        <f>IFERROR(IF(Q276&gt;0,IF(R276&gt;0,"BOTH_ADD","CE_ADD_PE_REDUCE"),IF(R276&gt;0,"CE_REDUCE_PE_ADD","BOTH_REDUCE")),"")</f>
        <v/>
      </c>
      <c r="W276" s="13">
        <f>IFERROR( (P276-1)*0.5 + (M276)*0.1 - (I276+J276)*0.05 + T276*0.4 ,"")</f>
        <v/>
      </c>
      <c r="X276" s="13">
        <f>IFERROR(IF(ABS(F276)&lt;0.01,"ATM/NEAR",""),"")</f>
        <v/>
      </c>
    </row>
    <row r="277">
      <c r="A277" s="13">
        <f>CHAIN_RAW!A277</f>
        <v/>
      </c>
      <c r="B277" s="14">
        <f>CHAIN_RAW!B277</f>
        <v/>
      </c>
      <c r="C277" s="13">
        <f>CHAIN_RAW!C277</f>
        <v/>
      </c>
      <c r="D277" s="13">
        <f>CHAIN_RAW!D277</f>
        <v/>
      </c>
      <c r="E277" s="13">
        <f>CHAIN_RAW!E277</f>
        <v/>
      </c>
      <c r="F277" s="13">
        <f>IFERROR((E277-D277)/D277,"")</f>
        <v/>
      </c>
      <c r="G277" s="13">
        <f>IFERROR((CHAIN_RAW!K277+CHAIN_RAW!L277)/2,"")</f>
        <v/>
      </c>
      <c r="H277" s="13">
        <f>IFERROR((CHAIN_RAW!R277+CHAIN_RAW!S277)/2,"")</f>
        <v/>
      </c>
      <c r="I277" s="13">
        <f>IFERROR((CHAIN_RAW!L277-CHAIN_RAW!K277)/MAX(1E-9, G277),"")</f>
        <v/>
      </c>
      <c r="J277" s="13">
        <f>IFERROR((CHAIN_RAW!S277-CHAIN_RAW!R277)/MAX(1E-9, H277),"")</f>
        <v/>
      </c>
      <c r="K277" s="13">
        <f>CHAIN_RAW!G277</f>
        <v/>
      </c>
      <c r="L277" s="13">
        <f>CHAIN_RAW!N277</f>
        <v/>
      </c>
      <c r="M277" s="13">
        <f>IFERROR(L277-K277,"")</f>
        <v/>
      </c>
      <c r="N277" s="13">
        <f>CHAIN_RAW!H277</f>
        <v/>
      </c>
      <c r="O277" s="13">
        <f>CHAIN_RAW!O277</f>
        <v/>
      </c>
      <c r="P277" s="13">
        <f>IFERROR(O277/N277,"")</f>
        <v/>
      </c>
      <c r="Q277" s="13">
        <f>CHAIN_RAW!I277</f>
        <v/>
      </c>
      <c r="R277" s="13">
        <f>CHAIN_RAW!P277</f>
        <v/>
      </c>
      <c r="S277" s="13">
        <f>IFERROR(R277/Q277,"")</f>
        <v/>
      </c>
      <c r="T277" s="13">
        <f>IFERROR((ABS(N277-O277)/MAX(1,(N277+O277)))*EXP(-ABS(E277-CONTROL!E5)/MAX(1,CONTROL!B8)),"")</f>
        <v/>
      </c>
      <c r="U277" s="13">
        <f>IFERROR(IF(O277&gt;N277,"SUPPORT (PE OI)","RESIST (CE OI)"),"")</f>
        <v/>
      </c>
      <c r="V277" s="13">
        <f>IFERROR(IF(Q277&gt;0,IF(R277&gt;0,"BOTH_ADD","CE_ADD_PE_REDUCE"),IF(R277&gt;0,"CE_REDUCE_PE_ADD","BOTH_REDUCE")),"")</f>
        <v/>
      </c>
      <c r="W277" s="13">
        <f>IFERROR( (P277-1)*0.5 + (M277)*0.1 - (I277+J277)*0.05 + T277*0.4 ,"")</f>
        <v/>
      </c>
      <c r="X277" s="13">
        <f>IFERROR(IF(ABS(F277)&lt;0.01,"ATM/NEAR",""),"")</f>
        <v/>
      </c>
    </row>
    <row r="278">
      <c r="A278" s="13">
        <f>CHAIN_RAW!A278</f>
        <v/>
      </c>
      <c r="B278" s="14">
        <f>CHAIN_RAW!B278</f>
        <v/>
      </c>
      <c r="C278" s="13">
        <f>CHAIN_RAW!C278</f>
        <v/>
      </c>
      <c r="D278" s="13">
        <f>CHAIN_RAW!D278</f>
        <v/>
      </c>
      <c r="E278" s="13">
        <f>CHAIN_RAW!E278</f>
        <v/>
      </c>
      <c r="F278" s="13">
        <f>IFERROR((E278-D278)/D278,"")</f>
        <v/>
      </c>
      <c r="G278" s="13">
        <f>IFERROR((CHAIN_RAW!K278+CHAIN_RAW!L278)/2,"")</f>
        <v/>
      </c>
      <c r="H278" s="13">
        <f>IFERROR((CHAIN_RAW!R278+CHAIN_RAW!S278)/2,"")</f>
        <v/>
      </c>
      <c r="I278" s="13">
        <f>IFERROR((CHAIN_RAW!L278-CHAIN_RAW!K278)/MAX(1E-9, G278),"")</f>
        <v/>
      </c>
      <c r="J278" s="13">
        <f>IFERROR((CHAIN_RAW!S278-CHAIN_RAW!R278)/MAX(1E-9, H278),"")</f>
        <v/>
      </c>
      <c r="K278" s="13">
        <f>CHAIN_RAW!G278</f>
        <v/>
      </c>
      <c r="L278" s="13">
        <f>CHAIN_RAW!N278</f>
        <v/>
      </c>
      <c r="M278" s="13">
        <f>IFERROR(L278-K278,"")</f>
        <v/>
      </c>
      <c r="N278" s="13">
        <f>CHAIN_RAW!H278</f>
        <v/>
      </c>
      <c r="O278" s="13">
        <f>CHAIN_RAW!O278</f>
        <v/>
      </c>
      <c r="P278" s="13">
        <f>IFERROR(O278/N278,"")</f>
        <v/>
      </c>
      <c r="Q278" s="13">
        <f>CHAIN_RAW!I278</f>
        <v/>
      </c>
      <c r="R278" s="13">
        <f>CHAIN_RAW!P278</f>
        <v/>
      </c>
      <c r="S278" s="13">
        <f>IFERROR(R278/Q278,"")</f>
        <v/>
      </c>
      <c r="T278" s="13">
        <f>IFERROR((ABS(N278-O278)/MAX(1,(N278+O278)))*EXP(-ABS(E278-CONTROL!E5)/MAX(1,CONTROL!B8)),"")</f>
        <v/>
      </c>
      <c r="U278" s="13">
        <f>IFERROR(IF(O278&gt;N278,"SUPPORT (PE OI)","RESIST (CE OI)"),"")</f>
        <v/>
      </c>
      <c r="V278" s="13">
        <f>IFERROR(IF(Q278&gt;0,IF(R278&gt;0,"BOTH_ADD","CE_ADD_PE_REDUCE"),IF(R278&gt;0,"CE_REDUCE_PE_ADD","BOTH_REDUCE")),"")</f>
        <v/>
      </c>
      <c r="W278" s="13">
        <f>IFERROR( (P278-1)*0.5 + (M278)*0.1 - (I278+J278)*0.05 + T278*0.4 ,"")</f>
        <v/>
      </c>
      <c r="X278" s="13">
        <f>IFERROR(IF(ABS(F278)&lt;0.01,"ATM/NEAR",""),"")</f>
        <v/>
      </c>
    </row>
    <row r="279">
      <c r="A279" s="13">
        <f>CHAIN_RAW!A279</f>
        <v/>
      </c>
      <c r="B279" s="14">
        <f>CHAIN_RAW!B279</f>
        <v/>
      </c>
      <c r="C279" s="13">
        <f>CHAIN_RAW!C279</f>
        <v/>
      </c>
      <c r="D279" s="13">
        <f>CHAIN_RAW!D279</f>
        <v/>
      </c>
      <c r="E279" s="13">
        <f>CHAIN_RAW!E279</f>
        <v/>
      </c>
      <c r="F279" s="13">
        <f>IFERROR((E279-D279)/D279,"")</f>
        <v/>
      </c>
      <c r="G279" s="13">
        <f>IFERROR((CHAIN_RAW!K279+CHAIN_RAW!L279)/2,"")</f>
        <v/>
      </c>
      <c r="H279" s="13">
        <f>IFERROR((CHAIN_RAW!R279+CHAIN_RAW!S279)/2,"")</f>
        <v/>
      </c>
      <c r="I279" s="13">
        <f>IFERROR((CHAIN_RAW!L279-CHAIN_RAW!K279)/MAX(1E-9, G279),"")</f>
        <v/>
      </c>
      <c r="J279" s="13">
        <f>IFERROR((CHAIN_RAW!S279-CHAIN_RAW!R279)/MAX(1E-9, H279),"")</f>
        <v/>
      </c>
      <c r="K279" s="13">
        <f>CHAIN_RAW!G279</f>
        <v/>
      </c>
      <c r="L279" s="13">
        <f>CHAIN_RAW!N279</f>
        <v/>
      </c>
      <c r="M279" s="13">
        <f>IFERROR(L279-K279,"")</f>
        <v/>
      </c>
      <c r="N279" s="13">
        <f>CHAIN_RAW!H279</f>
        <v/>
      </c>
      <c r="O279" s="13">
        <f>CHAIN_RAW!O279</f>
        <v/>
      </c>
      <c r="P279" s="13">
        <f>IFERROR(O279/N279,"")</f>
        <v/>
      </c>
      <c r="Q279" s="13">
        <f>CHAIN_RAW!I279</f>
        <v/>
      </c>
      <c r="R279" s="13">
        <f>CHAIN_RAW!P279</f>
        <v/>
      </c>
      <c r="S279" s="13">
        <f>IFERROR(R279/Q279,"")</f>
        <v/>
      </c>
      <c r="T279" s="13">
        <f>IFERROR((ABS(N279-O279)/MAX(1,(N279+O279)))*EXP(-ABS(E279-CONTROL!E5)/MAX(1,CONTROL!B8)),"")</f>
        <v/>
      </c>
      <c r="U279" s="13">
        <f>IFERROR(IF(O279&gt;N279,"SUPPORT (PE OI)","RESIST (CE OI)"),"")</f>
        <v/>
      </c>
      <c r="V279" s="13">
        <f>IFERROR(IF(Q279&gt;0,IF(R279&gt;0,"BOTH_ADD","CE_ADD_PE_REDUCE"),IF(R279&gt;0,"CE_REDUCE_PE_ADD","BOTH_REDUCE")),"")</f>
        <v/>
      </c>
      <c r="W279" s="13">
        <f>IFERROR( (P279-1)*0.5 + (M279)*0.1 - (I279+J279)*0.05 + T279*0.4 ,"")</f>
        <v/>
      </c>
      <c r="X279" s="13">
        <f>IFERROR(IF(ABS(F279)&lt;0.01,"ATM/NEAR",""),"")</f>
        <v/>
      </c>
    </row>
    <row r="280">
      <c r="A280" s="13">
        <f>CHAIN_RAW!A280</f>
        <v/>
      </c>
      <c r="B280" s="14">
        <f>CHAIN_RAW!B280</f>
        <v/>
      </c>
      <c r="C280" s="13">
        <f>CHAIN_RAW!C280</f>
        <v/>
      </c>
      <c r="D280" s="13">
        <f>CHAIN_RAW!D280</f>
        <v/>
      </c>
      <c r="E280" s="13">
        <f>CHAIN_RAW!E280</f>
        <v/>
      </c>
      <c r="F280" s="13">
        <f>IFERROR((E280-D280)/D280,"")</f>
        <v/>
      </c>
      <c r="G280" s="13">
        <f>IFERROR((CHAIN_RAW!K280+CHAIN_RAW!L280)/2,"")</f>
        <v/>
      </c>
      <c r="H280" s="13">
        <f>IFERROR((CHAIN_RAW!R280+CHAIN_RAW!S280)/2,"")</f>
        <v/>
      </c>
      <c r="I280" s="13">
        <f>IFERROR((CHAIN_RAW!L280-CHAIN_RAW!K280)/MAX(1E-9, G280),"")</f>
        <v/>
      </c>
      <c r="J280" s="13">
        <f>IFERROR((CHAIN_RAW!S280-CHAIN_RAW!R280)/MAX(1E-9, H280),"")</f>
        <v/>
      </c>
      <c r="K280" s="13">
        <f>CHAIN_RAW!G280</f>
        <v/>
      </c>
      <c r="L280" s="13">
        <f>CHAIN_RAW!N280</f>
        <v/>
      </c>
      <c r="M280" s="13">
        <f>IFERROR(L280-K280,"")</f>
        <v/>
      </c>
      <c r="N280" s="13">
        <f>CHAIN_RAW!H280</f>
        <v/>
      </c>
      <c r="O280" s="13">
        <f>CHAIN_RAW!O280</f>
        <v/>
      </c>
      <c r="P280" s="13">
        <f>IFERROR(O280/N280,"")</f>
        <v/>
      </c>
      <c r="Q280" s="13">
        <f>CHAIN_RAW!I280</f>
        <v/>
      </c>
      <c r="R280" s="13">
        <f>CHAIN_RAW!P280</f>
        <v/>
      </c>
      <c r="S280" s="13">
        <f>IFERROR(R280/Q280,"")</f>
        <v/>
      </c>
      <c r="T280" s="13">
        <f>IFERROR((ABS(N280-O280)/MAX(1,(N280+O280)))*EXP(-ABS(E280-CONTROL!E5)/MAX(1,CONTROL!B8)),"")</f>
        <v/>
      </c>
      <c r="U280" s="13">
        <f>IFERROR(IF(O280&gt;N280,"SUPPORT (PE OI)","RESIST (CE OI)"),"")</f>
        <v/>
      </c>
      <c r="V280" s="13">
        <f>IFERROR(IF(Q280&gt;0,IF(R280&gt;0,"BOTH_ADD","CE_ADD_PE_REDUCE"),IF(R280&gt;0,"CE_REDUCE_PE_ADD","BOTH_REDUCE")),"")</f>
        <v/>
      </c>
      <c r="W280" s="13">
        <f>IFERROR( (P280-1)*0.5 + (M280)*0.1 - (I280+J280)*0.05 + T280*0.4 ,"")</f>
        <v/>
      </c>
      <c r="X280" s="13">
        <f>IFERROR(IF(ABS(F280)&lt;0.01,"ATM/NEAR",""),"")</f>
        <v/>
      </c>
    </row>
    <row r="281">
      <c r="A281" s="13">
        <f>CHAIN_RAW!A281</f>
        <v/>
      </c>
      <c r="B281" s="14">
        <f>CHAIN_RAW!B281</f>
        <v/>
      </c>
      <c r="C281" s="13">
        <f>CHAIN_RAW!C281</f>
        <v/>
      </c>
      <c r="D281" s="13">
        <f>CHAIN_RAW!D281</f>
        <v/>
      </c>
      <c r="E281" s="13">
        <f>CHAIN_RAW!E281</f>
        <v/>
      </c>
      <c r="F281" s="13">
        <f>IFERROR((E281-D281)/D281,"")</f>
        <v/>
      </c>
      <c r="G281" s="13">
        <f>IFERROR((CHAIN_RAW!K281+CHAIN_RAW!L281)/2,"")</f>
        <v/>
      </c>
      <c r="H281" s="13">
        <f>IFERROR((CHAIN_RAW!R281+CHAIN_RAW!S281)/2,"")</f>
        <v/>
      </c>
      <c r="I281" s="13">
        <f>IFERROR((CHAIN_RAW!L281-CHAIN_RAW!K281)/MAX(1E-9, G281),"")</f>
        <v/>
      </c>
      <c r="J281" s="13">
        <f>IFERROR((CHAIN_RAW!S281-CHAIN_RAW!R281)/MAX(1E-9, H281),"")</f>
        <v/>
      </c>
      <c r="K281" s="13">
        <f>CHAIN_RAW!G281</f>
        <v/>
      </c>
      <c r="L281" s="13">
        <f>CHAIN_RAW!N281</f>
        <v/>
      </c>
      <c r="M281" s="13">
        <f>IFERROR(L281-K281,"")</f>
        <v/>
      </c>
      <c r="N281" s="13">
        <f>CHAIN_RAW!H281</f>
        <v/>
      </c>
      <c r="O281" s="13">
        <f>CHAIN_RAW!O281</f>
        <v/>
      </c>
      <c r="P281" s="13">
        <f>IFERROR(O281/N281,"")</f>
        <v/>
      </c>
      <c r="Q281" s="13">
        <f>CHAIN_RAW!I281</f>
        <v/>
      </c>
      <c r="R281" s="13">
        <f>CHAIN_RAW!P281</f>
        <v/>
      </c>
      <c r="S281" s="13">
        <f>IFERROR(R281/Q281,"")</f>
        <v/>
      </c>
      <c r="T281" s="13">
        <f>IFERROR((ABS(N281-O281)/MAX(1,(N281+O281)))*EXP(-ABS(E281-CONTROL!E5)/MAX(1,CONTROL!B8)),"")</f>
        <v/>
      </c>
      <c r="U281" s="13">
        <f>IFERROR(IF(O281&gt;N281,"SUPPORT (PE OI)","RESIST (CE OI)"),"")</f>
        <v/>
      </c>
      <c r="V281" s="13">
        <f>IFERROR(IF(Q281&gt;0,IF(R281&gt;0,"BOTH_ADD","CE_ADD_PE_REDUCE"),IF(R281&gt;0,"CE_REDUCE_PE_ADD","BOTH_REDUCE")),"")</f>
        <v/>
      </c>
      <c r="W281" s="13">
        <f>IFERROR( (P281-1)*0.5 + (M281)*0.1 - (I281+J281)*0.05 + T281*0.4 ,"")</f>
        <v/>
      </c>
      <c r="X281" s="13">
        <f>IFERROR(IF(ABS(F281)&lt;0.01,"ATM/NEAR",""),"")</f>
        <v/>
      </c>
    </row>
    <row r="282">
      <c r="A282" s="13">
        <f>CHAIN_RAW!A282</f>
        <v/>
      </c>
      <c r="B282" s="14">
        <f>CHAIN_RAW!B282</f>
        <v/>
      </c>
      <c r="C282" s="13">
        <f>CHAIN_RAW!C282</f>
        <v/>
      </c>
      <c r="D282" s="13">
        <f>CHAIN_RAW!D282</f>
        <v/>
      </c>
      <c r="E282" s="13">
        <f>CHAIN_RAW!E282</f>
        <v/>
      </c>
      <c r="F282" s="13">
        <f>IFERROR((E282-D282)/D282,"")</f>
        <v/>
      </c>
      <c r="G282" s="13">
        <f>IFERROR((CHAIN_RAW!K282+CHAIN_RAW!L282)/2,"")</f>
        <v/>
      </c>
      <c r="H282" s="13">
        <f>IFERROR((CHAIN_RAW!R282+CHAIN_RAW!S282)/2,"")</f>
        <v/>
      </c>
      <c r="I282" s="13">
        <f>IFERROR((CHAIN_RAW!L282-CHAIN_RAW!K282)/MAX(1E-9, G282),"")</f>
        <v/>
      </c>
      <c r="J282" s="13">
        <f>IFERROR((CHAIN_RAW!S282-CHAIN_RAW!R282)/MAX(1E-9, H282),"")</f>
        <v/>
      </c>
      <c r="K282" s="13">
        <f>CHAIN_RAW!G282</f>
        <v/>
      </c>
      <c r="L282" s="13">
        <f>CHAIN_RAW!N282</f>
        <v/>
      </c>
      <c r="M282" s="13">
        <f>IFERROR(L282-K282,"")</f>
        <v/>
      </c>
      <c r="N282" s="13">
        <f>CHAIN_RAW!H282</f>
        <v/>
      </c>
      <c r="O282" s="13">
        <f>CHAIN_RAW!O282</f>
        <v/>
      </c>
      <c r="P282" s="13">
        <f>IFERROR(O282/N282,"")</f>
        <v/>
      </c>
      <c r="Q282" s="13">
        <f>CHAIN_RAW!I282</f>
        <v/>
      </c>
      <c r="R282" s="13">
        <f>CHAIN_RAW!P282</f>
        <v/>
      </c>
      <c r="S282" s="13">
        <f>IFERROR(R282/Q282,"")</f>
        <v/>
      </c>
      <c r="T282" s="13">
        <f>IFERROR((ABS(N282-O282)/MAX(1,(N282+O282)))*EXP(-ABS(E282-CONTROL!E5)/MAX(1,CONTROL!B8)),"")</f>
        <v/>
      </c>
      <c r="U282" s="13">
        <f>IFERROR(IF(O282&gt;N282,"SUPPORT (PE OI)","RESIST (CE OI)"),"")</f>
        <v/>
      </c>
      <c r="V282" s="13">
        <f>IFERROR(IF(Q282&gt;0,IF(R282&gt;0,"BOTH_ADD","CE_ADD_PE_REDUCE"),IF(R282&gt;0,"CE_REDUCE_PE_ADD","BOTH_REDUCE")),"")</f>
        <v/>
      </c>
      <c r="W282" s="13">
        <f>IFERROR( (P282-1)*0.5 + (M282)*0.1 - (I282+J282)*0.05 + T282*0.4 ,"")</f>
        <v/>
      </c>
      <c r="X282" s="13">
        <f>IFERROR(IF(ABS(F282)&lt;0.01,"ATM/NEAR",""),"")</f>
        <v/>
      </c>
    </row>
    <row r="283">
      <c r="A283" s="13">
        <f>CHAIN_RAW!A283</f>
        <v/>
      </c>
      <c r="B283" s="14">
        <f>CHAIN_RAW!B283</f>
        <v/>
      </c>
      <c r="C283" s="13">
        <f>CHAIN_RAW!C283</f>
        <v/>
      </c>
      <c r="D283" s="13">
        <f>CHAIN_RAW!D283</f>
        <v/>
      </c>
      <c r="E283" s="13">
        <f>CHAIN_RAW!E283</f>
        <v/>
      </c>
      <c r="F283" s="13">
        <f>IFERROR((E283-D283)/D283,"")</f>
        <v/>
      </c>
      <c r="G283" s="13">
        <f>IFERROR((CHAIN_RAW!K283+CHAIN_RAW!L283)/2,"")</f>
        <v/>
      </c>
      <c r="H283" s="13">
        <f>IFERROR((CHAIN_RAW!R283+CHAIN_RAW!S283)/2,"")</f>
        <v/>
      </c>
      <c r="I283" s="13">
        <f>IFERROR((CHAIN_RAW!L283-CHAIN_RAW!K283)/MAX(1E-9, G283),"")</f>
        <v/>
      </c>
      <c r="J283" s="13">
        <f>IFERROR((CHAIN_RAW!S283-CHAIN_RAW!R283)/MAX(1E-9, H283),"")</f>
        <v/>
      </c>
      <c r="K283" s="13">
        <f>CHAIN_RAW!G283</f>
        <v/>
      </c>
      <c r="L283" s="13">
        <f>CHAIN_RAW!N283</f>
        <v/>
      </c>
      <c r="M283" s="13">
        <f>IFERROR(L283-K283,"")</f>
        <v/>
      </c>
      <c r="N283" s="13">
        <f>CHAIN_RAW!H283</f>
        <v/>
      </c>
      <c r="O283" s="13">
        <f>CHAIN_RAW!O283</f>
        <v/>
      </c>
      <c r="P283" s="13">
        <f>IFERROR(O283/N283,"")</f>
        <v/>
      </c>
      <c r="Q283" s="13">
        <f>CHAIN_RAW!I283</f>
        <v/>
      </c>
      <c r="R283" s="13">
        <f>CHAIN_RAW!P283</f>
        <v/>
      </c>
      <c r="S283" s="13">
        <f>IFERROR(R283/Q283,"")</f>
        <v/>
      </c>
      <c r="T283" s="13">
        <f>IFERROR((ABS(N283-O283)/MAX(1,(N283+O283)))*EXP(-ABS(E283-CONTROL!E5)/MAX(1,CONTROL!B8)),"")</f>
        <v/>
      </c>
      <c r="U283" s="13">
        <f>IFERROR(IF(O283&gt;N283,"SUPPORT (PE OI)","RESIST (CE OI)"),"")</f>
        <v/>
      </c>
      <c r="V283" s="13">
        <f>IFERROR(IF(Q283&gt;0,IF(R283&gt;0,"BOTH_ADD","CE_ADD_PE_REDUCE"),IF(R283&gt;0,"CE_REDUCE_PE_ADD","BOTH_REDUCE")),"")</f>
        <v/>
      </c>
      <c r="W283" s="13">
        <f>IFERROR( (P283-1)*0.5 + (M283)*0.1 - (I283+J283)*0.05 + T283*0.4 ,"")</f>
        <v/>
      </c>
      <c r="X283" s="13">
        <f>IFERROR(IF(ABS(F283)&lt;0.01,"ATM/NEAR",""),"")</f>
        <v/>
      </c>
    </row>
    <row r="284">
      <c r="A284" s="13">
        <f>CHAIN_RAW!A284</f>
        <v/>
      </c>
      <c r="B284" s="14">
        <f>CHAIN_RAW!B284</f>
        <v/>
      </c>
      <c r="C284" s="13">
        <f>CHAIN_RAW!C284</f>
        <v/>
      </c>
      <c r="D284" s="13">
        <f>CHAIN_RAW!D284</f>
        <v/>
      </c>
      <c r="E284" s="13">
        <f>CHAIN_RAW!E284</f>
        <v/>
      </c>
      <c r="F284" s="13">
        <f>IFERROR((E284-D284)/D284,"")</f>
        <v/>
      </c>
      <c r="G284" s="13">
        <f>IFERROR((CHAIN_RAW!K284+CHAIN_RAW!L284)/2,"")</f>
        <v/>
      </c>
      <c r="H284" s="13">
        <f>IFERROR((CHAIN_RAW!R284+CHAIN_RAW!S284)/2,"")</f>
        <v/>
      </c>
      <c r="I284" s="13">
        <f>IFERROR((CHAIN_RAW!L284-CHAIN_RAW!K284)/MAX(1E-9, G284),"")</f>
        <v/>
      </c>
      <c r="J284" s="13">
        <f>IFERROR((CHAIN_RAW!S284-CHAIN_RAW!R284)/MAX(1E-9, H284),"")</f>
        <v/>
      </c>
      <c r="K284" s="13">
        <f>CHAIN_RAW!G284</f>
        <v/>
      </c>
      <c r="L284" s="13">
        <f>CHAIN_RAW!N284</f>
        <v/>
      </c>
      <c r="M284" s="13">
        <f>IFERROR(L284-K284,"")</f>
        <v/>
      </c>
      <c r="N284" s="13">
        <f>CHAIN_RAW!H284</f>
        <v/>
      </c>
      <c r="O284" s="13">
        <f>CHAIN_RAW!O284</f>
        <v/>
      </c>
      <c r="P284" s="13">
        <f>IFERROR(O284/N284,"")</f>
        <v/>
      </c>
      <c r="Q284" s="13">
        <f>CHAIN_RAW!I284</f>
        <v/>
      </c>
      <c r="R284" s="13">
        <f>CHAIN_RAW!P284</f>
        <v/>
      </c>
      <c r="S284" s="13">
        <f>IFERROR(R284/Q284,"")</f>
        <v/>
      </c>
      <c r="T284" s="13">
        <f>IFERROR((ABS(N284-O284)/MAX(1,(N284+O284)))*EXP(-ABS(E284-CONTROL!E5)/MAX(1,CONTROL!B8)),"")</f>
        <v/>
      </c>
      <c r="U284" s="13">
        <f>IFERROR(IF(O284&gt;N284,"SUPPORT (PE OI)","RESIST (CE OI)"),"")</f>
        <v/>
      </c>
      <c r="V284" s="13">
        <f>IFERROR(IF(Q284&gt;0,IF(R284&gt;0,"BOTH_ADD","CE_ADD_PE_REDUCE"),IF(R284&gt;0,"CE_REDUCE_PE_ADD","BOTH_REDUCE")),"")</f>
        <v/>
      </c>
      <c r="W284" s="13">
        <f>IFERROR( (P284-1)*0.5 + (M284)*0.1 - (I284+J284)*0.05 + T284*0.4 ,"")</f>
        <v/>
      </c>
      <c r="X284" s="13">
        <f>IFERROR(IF(ABS(F284)&lt;0.01,"ATM/NEAR",""),"")</f>
        <v/>
      </c>
    </row>
    <row r="285">
      <c r="A285" s="13">
        <f>CHAIN_RAW!A285</f>
        <v/>
      </c>
      <c r="B285" s="14">
        <f>CHAIN_RAW!B285</f>
        <v/>
      </c>
      <c r="C285" s="13">
        <f>CHAIN_RAW!C285</f>
        <v/>
      </c>
      <c r="D285" s="13">
        <f>CHAIN_RAW!D285</f>
        <v/>
      </c>
      <c r="E285" s="13">
        <f>CHAIN_RAW!E285</f>
        <v/>
      </c>
      <c r="F285" s="13">
        <f>IFERROR((E285-D285)/D285,"")</f>
        <v/>
      </c>
      <c r="G285" s="13">
        <f>IFERROR((CHAIN_RAW!K285+CHAIN_RAW!L285)/2,"")</f>
        <v/>
      </c>
      <c r="H285" s="13">
        <f>IFERROR((CHAIN_RAW!R285+CHAIN_RAW!S285)/2,"")</f>
        <v/>
      </c>
      <c r="I285" s="13">
        <f>IFERROR((CHAIN_RAW!L285-CHAIN_RAW!K285)/MAX(1E-9, G285),"")</f>
        <v/>
      </c>
      <c r="J285" s="13">
        <f>IFERROR((CHAIN_RAW!S285-CHAIN_RAW!R285)/MAX(1E-9, H285),"")</f>
        <v/>
      </c>
      <c r="K285" s="13">
        <f>CHAIN_RAW!G285</f>
        <v/>
      </c>
      <c r="L285" s="13">
        <f>CHAIN_RAW!N285</f>
        <v/>
      </c>
      <c r="M285" s="13">
        <f>IFERROR(L285-K285,"")</f>
        <v/>
      </c>
      <c r="N285" s="13">
        <f>CHAIN_RAW!H285</f>
        <v/>
      </c>
      <c r="O285" s="13">
        <f>CHAIN_RAW!O285</f>
        <v/>
      </c>
      <c r="P285" s="13">
        <f>IFERROR(O285/N285,"")</f>
        <v/>
      </c>
      <c r="Q285" s="13">
        <f>CHAIN_RAW!I285</f>
        <v/>
      </c>
      <c r="R285" s="13">
        <f>CHAIN_RAW!P285</f>
        <v/>
      </c>
      <c r="S285" s="13">
        <f>IFERROR(R285/Q285,"")</f>
        <v/>
      </c>
      <c r="T285" s="13">
        <f>IFERROR((ABS(N285-O285)/MAX(1,(N285+O285)))*EXP(-ABS(E285-CONTROL!E5)/MAX(1,CONTROL!B8)),"")</f>
        <v/>
      </c>
      <c r="U285" s="13">
        <f>IFERROR(IF(O285&gt;N285,"SUPPORT (PE OI)","RESIST (CE OI)"),"")</f>
        <v/>
      </c>
      <c r="V285" s="13">
        <f>IFERROR(IF(Q285&gt;0,IF(R285&gt;0,"BOTH_ADD","CE_ADD_PE_REDUCE"),IF(R285&gt;0,"CE_REDUCE_PE_ADD","BOTH_REDUCE")),"")</f>
        <v/>
      </c>
      <c r="W285" s="13">
        <f>IFERROR( (P285-1)*0.5 + (M285)*0.1 - (I285+J285)*0.05 + T285*0.4 ,"")</f>
        <v/>
      </c>
      <c r="X285" s="13">
        <f>IFERROR(IF(ABS(F285)&lt;0.01,"ATM/NEAR",""),"")</f>
        <v/>
      </c>
    </row>
    <row r="286">
      <c r="A286" s="13">
        <f>CHAIN_RAW!A286</f>
        <v/>
      </c>
      <c r="B286" s="14">
        <f>CHAIN_RAW!B286</f>
        <v/>
      </c>
      <c r="C286" s="13">
        <f>CHAIN_RAW!C286</f>
        <v/>
      </c>
      <c r="D286" s="13">
        <f>CHAIN_RAW!D286</f>
        <v/>
      </c>
      <c r="E286" s="13">
        <f>CHAIN_RAW!E286</f>
        <v/>
      </c>
      <c r="F286" s="13">
        <f>IFERROR((E286-D286)/D286,"")</f>
        <v/>
      </c>
      <c r="G286" s="13">
        <f>IFERROR((CHAIN_RAW!K286+CHAIN_RAW!L286)/2,"")</f>
        <v/>
      </c>
      <c r="H286" s="13">
        <f>IFERROR((CHAIN_RAW!R286+CHAIN_RAW!S286)/2,"")</f>
        <v/>
      </c>
      <c r="I286" s="13">
        <f>IFERROR((CHAIN_RAW!L286-CHAIN_RAW!K286)/MAX(1E-9, G286),"")</f>
        <v/>
      </c>
      <c r="J286" s="13">
        <f>IFERROR((CHAIN_RAW!S286-CHAIN_RAW!R286)/MAX(1E-9, H286),"")</f>
        <v/>
      </c>
      <c r="K286" s="13">
        <f>CHAIN_RAW!G286</f>
        <v/>
      </c>
      <c r="L286" s="13">
        <f>CHAIN_RAW!N286</f>
        <v/>
      </c>
      <c r="M286" s="13">
        <f>IFERROR(L286-K286,"")</f>
        <v/>
      </c>
      <c r="N286" s="13">
        <f>CHAIN_RAW!H286</f>
        <v/>
      </c>
      <c r="O286" s="13">
        <f>CHAIN_RAW!O286</f>
        <v/>
      </c>
      <c r="P286" s="13">
        <f>IFERROR(O286/N286,"")</f>
        <v/>
      </c>
      <c r="Q286" s="13">
        <f>CHAIN_RAW!I286</f>
        <v/>
      </c>
      <c r="R286" s="13">
        <f>CHAIN_RAW!P286</f>
        <v/>
      </c>
      <c r="S286" s="13">
        <f>IFERROR(R286/Q286,"")</f>
        <v/>
      </c>
      <c r="T286" s="13">
        <f>IFERROR((ABS(N286-O286)/MAX(1,(N286+O286)))*EXP(-ABS(E286-CONTROL!E5)/MAX(1,CONTROL!B8)),"")</f>
        <v/>
      </c>
      <c r="U286" s="13">
        <f>IFERROR(IF(O286&gt;N286,"SUPPORT (PE OI)","RESIST (CE OI)"),"")</f>
        <v/>
      </c>
      <c r="V286" s="13">
        <f>IFERROR(IF(Q286&gt;0,IF(R286&gt;0,"BOTH_ADD","CE_ADD_PE_REDUCE"),IF(R286&gt;0,"CE_REDUCE_PE_ADD","BOTH_REDUCE")),"")</f>
        <v/>
      </c>
      <c r="W286" s="13">
        <f>IFERROR( (P286-1)*0.5 + (M286)*0.1 - (I286+J286)*0.05 + T286*0.4 ,"")</f>
        <v/>
      </c>
      <c r="X286" s="13">
        <f>IFERROR(IF(ABS(F286)&lt;0.01,"ATM/NEAR",""),"")</f>
        <v/>
      </c>
    </row>
    <row r="287">
      <c r="A287" s="13">
        <f>CHAIN_RAW!A287</f>
        <v/>
      </c>
      <c r="B287" s="14">
        <f>CHAIN_RAW!B287</f>
        <v/>
      </c>
      <c r="C287" s="13">
        <f>CHAIN_RAW!C287</f>
        <v/>
      </c>
      <c r="D287" s="13">
        <f>CHAIN_RAW!D287</f>
        <v/>
      </c>
      <c r="E287" s="13">
        <f>CHAIN_RAW!E287</f>
        <v/>
      </c>
      <c r="F287" s="13">
        <f>IFERROR((E287-D287)/D287,"")</f>
        <v/>
      </c>
      <c r="G287" s="13">
        <f>IFERROR((CHAIN_RAW!K287+CHAIN_RAW!L287)/2,"")</f>
        <v/>
      </c>
      <c r="H287" s="13">
        <f>IFERROR((CHAIN_RAW!R287+CHAIN_RAW!S287)/2,"")</f>
        <v/>
      </c>
      <c r="I287" s="13">
        <f>IFERROR((CHAIN_RAW!L287-CHAIN_RAW!K287)/MAX(1E-9, G287),"")</f>
        <v/>
      </c>
      <c r="J287" s="13">
        <f>IFERROR((CHAIN_RAW!S287-CHAIN_RAW!R287)/MAX(1E-9, H287),"")</f>
        <v/>
      </c>
      <c r="K287" s="13">
        <f>CHAIN_RAW!G287</f>
        <v/>
      </c>
      <c r="L287" s="13">
        <f>CHAIN_RAW!N287</f>
        <v/>
      </c>
      <c r="M287" s="13">
        <f>IFERROR(L287-K287,"")</f>
        <v/>
      </c>
      <c r="N287" s="13">
        <f>CHAIN_RAW!H287</f>
        <v/>
      </c>
      <c r="O287" s="13">
        <f>CHAIN_RAW!O287</f>
        <v/>
      </c>
      <c r="P287" s="13">
        <f>IFERROR(O287/N287,"")</f>
        <v/>
      </c>
      <c r="Q287" s="13">
        <f>CHAIN_RAW!I287</f>
        <v/>
      </c>
      <c r="R287" s="13">
        <f>CHAIN_RAW!P287</f>
        <v/>
      </c>
      <c r="S287" s="13">
        <f>IFERROR(R287/Q287,"")</f>
        <v/>
      </c>
      <c r="T287" s="13">
        <f>IFERROR((ABS(N287-O287)/MAX(1,(N287+O287)))*EXP(-ABS(E287-CONTROL!E5)/MAX(1,CONTROL!B8)),"")</f>
        <v/>
      </c>
      <c r="U287" s="13">
        <f>IFERROR(IF(O287&gt;N287,"SUPPORT (PE OI)","RESIST (CE OI)"),"")</f>
        <v/>
      </c>
      <c r="V287" s="13">
        <f>IFERROR(IF(Q287&gt;0,IF(R287&gt;0,"BOTH_ADD","CE_ADD_PE_REDUCE"),IF(R287&gt;0,"CE_REDUCE_PE_ADD","BOTH_REDUCE")),"")</f>
        <v/>
      </c>
      <c r="W287" s="13">
        <f>IFERROR( (P287-1)*0.5 + (M287)*0.1 - (I287+J287)*0.05 + T287*0.4 ,"")</f>
        <v/>
      </c>
      <c r="X287" s="13">
        <f>IFERROR(IF(ABS(F287)&lt;0.01,"ATM/NEAR",""),"")</f>
        <v/>
      </c>
    </row>
    <row r="288">
      <c r="A288" s="13">
        <f>CHAIN_RAW!A288</f>
        <v/>
      </c>
      <c r="B288" s="14">
        <f>CHAIN_RAW!B288</f>
        <v/>
      </c>
      <c r="C288" s="13">
        <f>CHAIN_RAW!C288</f>
        <v/>
      </c>
      <c r="D288" s="13">
        <f>CHAIN_RAW!D288</f>
        <v/>
      </c>
      <c r="E288" s="13">
        <f>CHAIN_RAW!E288</f>
        <v/>
      </c>
      <c r="F288" s="13">
        <f>IFERROR((E288-D288)/D288,"")</f>
        <v/>
      </c>
      <c r="G288" s="13">
        <f>IFERROR((CHAIN_RAW!K288+CHAIN_RAW!L288)/2,"")</f>
        <v/>
      </c>
      <c r="H288" s="13">
        <f>IFERROR((CHAIN_RAW!R288+CHAIN_RAW!S288)/2,"")</f>
        <v/>
      </c>
      <c r="I288" s="13">
        <f>IFERROR((CHAIN_RAW!L288-CHAIN_RAW!K288)/MAX(1E-9, G288),"")</f>
        <v/>
      </c>
      <c r="J288" s="13">
        <f>IFERROR((CHAIN_RAW!S288-CHAIN_RAW!R288)/MAX(1E-9, H288),"")</f>
        <v/>
      </c>
      <c r="K288" s="13">
        <f>CHAIN_RAW!G288</f>
        <v/>
      </c>
      <c r="L288" s="13">
        <f>CHAIN_RAW!N288</f>
        <v/>
      </c>
      <c r="M288" s="13">
        <f>IFERROR(L288-K288,"")</f>
        <v/>
      </c>
      <c r="N288" s="13">
        <f>CHAIN_RAW!H288</f>
        <v/>
      </c>
      <c r="O288" s="13">
        <f>CHAIN_RAW!O288</f>
        <v/>
      </c>
      <c r="P288" s="13">
        <f>IFERROR(O288/N288,"")</f>
        <v/>
      </c>
      <c r="Q288" s="13">
        <f>CHAIN_RAW!I288</f>
        <v/>
      </c>
      <c r="R288" s="13">
        <f>CHAIN_RAW!P288</f>
        <v/>
      </c>
      <c r="S288" s="13">
        <f>IFERROR(R288/Q288,"")</f>
        <v/>
      </c>
      <c r="T288" s="13">
        <f>IFERROR((ABS(N288-O288)/MAX(1,(N288+O288)))*EXP(-ABS(E288-CONTROL!E5)/MAX(1,CONTROL!B8)),"")</f>
        <v/>
      </c>
      <c r="U288" s="13">
        <f>IFERROR(IF(O288&gt;N288,"SUPPORT (PE OI)","RESIST (CE OI)"),"")</f>
        <v/>
      </c>
      <c r="V288" s="13">
        <f>IFERROR(IF(Q288&gt;0,IF(R288&gt;0,"BOTH_ADD","CE_ADD_PE_REDUCE"),IF(R288&gt;0,"CE_REDUCE_PE_ADD","BOTH_REDUCE")),"")</f>
        <v/>
      </c>
      <c r="W288" s="13">
        <f>IFERROR( (P288-1)*0.5 + (M288)*0.1 - (I288+J288)*0.05 + T288*0.4 ,"")</f>
        <v/>
      </c>
      <c r="X288" s="13">
        <f>IFERROR(IF(ABS(F288)&lt;0.01,"ATM/NEAR",""),"")</f>
        <v/>
      </c>
    </row>
    <row r="289">
      <c r="A289" s="13">
        <f>CHAIN_RAW!A289</f>
        <v/>
      </c>
      <c r="B289" s="14">
        <f>CHAIN_RAW!B289</f>
        <v/>
      </c>
      <c r="C289" s="13">
        <f>CHAIN_RAW!C289</f>
        <v/>
      </c>
      <c r="D289" s="13">
        <f>CHAIN_RAW!D289</f>
        <v/>
      </c>
      <c r="E289" s="13">
        <f>CHAIN_RAW!E289</f>
        <v/>
      </c>
      <c r="F289" s="13">
        <f>IFERROR((E289-D289)/D289,"")</f>
        <v/>
      </c>
      <c r="G289" s="13">
        <f>IFERROR((CHAIN_RAW!K289+CHAIN_RAW!L289)/2,"")</f>
        <v/>
      </c>
      <c r="H289" s="13">
        <f>IFERROR((CHAIN_RAW!R289+CHAIN_RAW!S289)/2,"")</f>
        <v/>
      </c>
      <c r="I289" s="13">
        <f>IFERROR((CHAIN_RAW!L289-CHAIN_RAW!K289)/MAX(1E-9, G289),"")</f>
        <v/>
      </c>
      <c r="J289" s="13">
        <f>IFERROR((CHAIN_RAW!S289-CHAIN_RAW!R289)/MAX(1E-9, H289),"")</f>
        <v/>
      </c>
      <c r="K289" s="13">
        <f>CHAIN_RAW!G289</f>
        <v/>
      </c>
      <c r="L289" s="13">
        <f>CHAIN_RAW!N289</f>
        <v/>
      </c>
      <c r="M289" s="13">
        <f>IFERROR(L289-K289,"")</f>
        <v/>
      </c>
      <c r="N289" s="13">
        <f>CHAIN_RAW!H289</f>
        <v/>
      </c>
      <c r="O289" s="13">
        <f>CHAIN_RAW!O289</f>
        <v/>
      </c>
      <c r="P289" s="13">
        <f>IFERROR(O289/N289,"")</f>
        <v/>
      </c>
      <c r="Q289" s="13">
        <f>CHAIN_RAW!I289</f>
        <v/>
      </c>
      <c r="R289" s="13">
        <f>CHAIN_RAW!P289</f>
        <v/>
      </c>
      <c r="S289" s="13">
        <f>IFERROR(R289/Q289,"")</f>
        <v/>
      </c>
      <c r="T289" s="13">
        <f>IFERROR((ABS(N289-O289)/MAX(1,(N289+O289)))*EXP(-ABS(E289-CONTROL!E5)/MAX(1,CONTROL!B8)),"")</f>
        <v/>
      </c>
      <c r="U289" s="13">
        <f>IFERROR(IF(O289&gt;N289,"SUPPORT (PE OI)","RESIST (CE OI)"),"")</f>
        <v/>
      </c>
      <c r="V289" s="13">
        <f>IFERROR(IF(Q289&gt;0,IF(R289&gt;0,"BOTH_ADD","CE_ADD_PE_REDUCE"),IF(R289&gt;0,"CE_REDUCE_PE_ADD","BOTH_REDUCE")),"")</f>
        <v/>
      </c>
      <c r="W289" s="13">
        <f>IFERROR( (P289-1)*0.5 + (M289)*0.1 - (I289+J289)*0.05 + T289*0.4 ,"")</f>
        <v/>
      </c>
      <c r="X289" s="13">
        <f>IFERROR(IF(ABS(F289)&lt;0.01,"ATM/NEAR",""),"")</f>
        <v/>
      </c>
    </row>
    <row r="290">
      <c r="A290" s="13">
        <f>CHAIN_RAW!A290</f>
        <v/>
      </c>
      <c r="B290" s="14">
        <f>CHAIN_RAW!B290</f>
        <v/>
      </c>
      <c r="C290" s="13">
        <f>CHAIN_RAW!C290</f>
        <v/>
      </c>
      <c r="D290" s="13">
        <f>CHAIN_RAW!D290</f>
        <v/>
      </c>
      <c r="E290" s="13">
        <f>CHAIN_RAW!E290</f>
        <v/>
      </c>
      <c r="F290" s="13">
        <f>IFERROR((E290-D290)/D290,"")</f>
        <v/>
      </c>
      <c r="G290" s="13">
        <f>IFERROR((CHAIN_RAW!K290+CHAIN_RAW!L290)/2,"")</f>
        <v/>
      </c>
      <c r="H290" s="13">
        <f>IFERROR((CHAIN_RAW!R290+CHAIN_RAW!S290)/2,"")</f>
        <v/>
      </c>
      <c r="I290" s="13">
        <f>IFERROR((CHAIN_RAW!L290-CHAIN_RAW!K290)/MAX(1E-9, G290),"")</f>
        <v/>
      </c>
      <c r="J290" s="13">
        <f>IFERROR((CHAIN_RAW!S290-CHAIN_RAW!R290)/MAX(1E-9, H290),"")</f>
        <v/>
      </c>
      <c r="K290" s="13">
        <f>CHAIN_RAW!G290</f>
        <v/>
      </c>
      <c r="L290" s="13">
        <f>CHAIN_RAW!N290</f>
        <v/>
      </c>
      <c r="M290" s="13">
        <f>IFERROR(L290-K290,"")</f>
        <v/>
      </c>
      <c r="N290" s="13">
        <f>CHAIN_RAW!H290</f>
        <v/>
      </c>
      <c r="O290" s="13">
        <f>CHAIN_RAW!O290</f>
        <v/>
      </c>
      <c r="P290" s="13">
        <f>IFERROR(O290/N290,"")</f>
        <v/>
      </c>
      <c r="Q290" s="13">
        <f>CHAIN_RAW!I290</f>
        <v/>
      </c>
      <c r="R290" s="13">
        <f>CHAIN_RAW!P290</f>
        <v/>
      </c>
      <c r="S290" s="13">
        <f>IFERROR(R290/Q290,"")</f>
        <v/>
      </c>
      <c r="T290" s="13">
        <f>IFERROR((ABS(N290-O290)/MAX(1,(N290+O290)))*EXP(-ABS(E290-CONTROL!E5)/MAX(1,CONTROL!B8)),"")</f>
        <v/>
      </c>
      <c r="U290" s="13">
        <f>IFERROR(IF(O290&gt;N290,"SUPPORT (PE OI)","RESIST (CE OI)"),"")</f>
        <v/>
      </c>
      <c r="V290" s="13">
        <f>IFERROR(IF(Q290&gt;0,IF(R290&gt;0,"BOTH_ADD","CE_ADD_PE_REDUCE"),IF(R290&gt;0,"CE_REDUCE_PE_ADD","BOTH_REDUCE")),"")</f>
        <v/>
      </c>
      <c r="W290" s="13">
        <f>IFERROR( (P290-1)*0.5 + (M290)*0.1 - (I290+J290)*0.05 + T290*0.4 ,"")</f>
        <v/>
      </c>
      <c r="X290" s="13">
        <f>IFERROR(IF(ABS(F290)&lt;0.01,"ATM/NEAR",""),"")</f>
        <v/>
      </c>
    </row>
    <row r="291">
      <c r="A291" s="13">
        <f>CHAIN_RAW!A291</f>
        <v/>
      </c>
      <c r="B291" s="14">
        <f>CHAIN_RAW!B291</f>
        <v/>
      </c>
      <c r="C291" s="13">
        <f>CHAIN_RAW!C291</f>
        <v/>
      </c>
      <c r="D291" s="13">
        <f>CHAIN_RAW!D291</f>
        <v/>
      </c>
      <c r="E291" s="13">
        <f>CHAIN_RAW!E291</f>
        <v/>
      </c>
      <c r="F291" s="13">
        <f>IFERROR((E291-D291)/D291,"")</f>
        <v/>
      </c>
      <c r="G291" s="13">
        <f>IFERROR((CHAIN_RAW!K291+CHAIN_RAW!L291)/2,"")</f>
        <v/>
      </c>
      <c r="H291" s="13">
        <f>IFERROR((CHAIN_RAW!R291+CHAIN_RAW!S291)/2,"")</f>
        <v/>
      </c>
      <c r="I291" s="13">
        <f>IFERROR((CHAIN_RAW!L291-CHAIN_RAW!K291)/MAX(1E-9, G291),"")</f>
        <v/>
      </c>
      <c r="J291" s="13">
        <f>IFERROR((CHAIN_RAW!S291-CHAIN_RAW!R291)/MAX(1E-9, H291),"")</f>
        <v/>
      </c>
      <c r="K291" s="13">
        <f>CHAIN_RAW!G291</f>
        <v/>
      </c>
      <c r="L291" s="13">
        <f>CHAIN_RAW!N291</f>
        <v/>
      </c>
      <c r="M291" s="13">
        <f>IFERROR(L291-K291,"")</f>
        <v/>
      </c>
      <c r="N291" s="13">
        <f>CHAIN_RAW!H291</f>
        <v/>
      </c>
      <c r="O291" s="13">
        <f>CHAIN_RAW!O291</f>
        <v/>
      </c>
      <c r="P291" s="13">
        <f>IFERROR(O291/N291,"")</f>
        <v/>
      </c>
      <c r="Q291" s="13">
        <f>CHAIN_RAW!I291</f>
        <v/>
      </c>
      <c r="R291" s="13">
        <f>CHAIN_RAW!P291</f>
        <v/>
      </c>
      <c r="S291" s="13">
        <f>IFERROR(R291/Q291,"")</f>
        <v/>
      </c>
      <c r="T291" s="13">
        <f>IFERROR((ABS(N291-O291)/MAX(1,(N291+O291)))*EXP(-ABS(E291-CONTROL!E5)/MAX(1,CONTROL!B8)),"")</f>
        <v/>
      </c>
      <c r="U291" s="13">
        <f>IFERROR(IF(O291&gt;N291,"SUPPORT (PE OI)","RESIST (CE OI)"),"")</f>
        <v/>
      </c>
      <c r="V291" s="13">
        <f>IFERROR(IF(Q291&gt;0,IF(R291&gt;0,"BOTH_ADD","CE_ADD_PE_REDUCE"),IF(R291&gt;0,"CE_REDUCE_PE_ADD","BOTH_REDUCE")),"")</f>
        <v/>
      </c>
      <c r="W291" s="13">
        <f>IFERROR( (P291-1)*0.5 + (M291)*0.1 - (I291+J291)*0.05 + T291*0.4 ,"")</f>
        <v/>
      </c>
      <c r="X291" s="13">
        <f>IFERROR(IF(ABS(F291)&lt;0.01,"ATM/NEAR",""),"")</f>
        <v/>
      </c>
    </row>
    <row r="292">
      <c r="A292" s="13">
        <f>CHAIN_RAW!A292</f>
        <v/>
      </c>
      <c r="B292" s="14">
        <f>CHAIN_RAW!B292</f>
        <v/>
      </c>
      <c r="C292" s="13">
        <f>CHAIN_RAW!C292</f>
        <v/>
      </c>
      <c r="D292" s="13">
        <f>CHAIN_RAW!D292</f>
        <v/>
      </c>
      <c r="E292" s="13">
        <f>CHAIN_RAW!E292</f>
        <v/>
      </c>
      <c r="F292" s="13">
        <f>IFERROR((E292-D292)/D292,"")</f>
        <v/>
      </c>
      <c r="G292" s="13">
        <f>IFERROR((CHAIN_RAW!K292+CHAIN_RAW!L292)/2,"")</f>
        <v/>
      </c>
      <c r="H292" s="13">
        <f>IFERROR((CHAIN_RAW!R292+CHAIN_RAW!S292)/2,"")</f>
        <v/>
      </c>
      <c r="I292" s="13">
        <f>IFERROR((CHAIN_RAW!L292-CHAIN_RAW!K292)/MAX(1E-9, G292),"")</f>
        <v/>
      </c>
      <c r="J292" s="13">
        <f>IFERROR((CHAIN_RAW!S292-CHAIN_RAW!R292)/MAX(1E-9, H292),"")</f>
        <v/>
      </c>
      <c r="K292" s="13">
        <f>CHAIN_RAW!G292</f>
        <v/>
      </c>
      <c r="L292" s="13">
        <f>CHAIN_RAW!N292</f>
        <v/>
      </c>
      <c r="M292" s="13">
        <f>IFERROR(L292-K292,"")</f>
        <v/>
      </c>
      <c r="N292" s="13">
        <f>CHAIN_RAW!H292</f>
        <v/>
      </c>
      <c r="O292" s="13">
        <f>CHAIN_RAW!O292</f>
        <v/>
      </c>
      <c r="P292" s="13">
        <f>IFERROR(O292/N292,"")</f>
        <v/>
      </c>
      <c r="Q292" s="13">
        <f>CHAIN_RAW!I292</f>
        <v/>
      </c>
      <c r="R292" s="13">
        <f>CHAIN_RAW!P292</f>
        <v/>
      </c>
      <c r="S292" s="13">
        <f>IFERROR(R292/Q292,"")</f>
        <v/>
      </c>
      <c r="T292" s="13">
        <f>IFERROR((ABS(N292-O292)/MAX(1,(N292+O292)))*EXP(-ABS(E292-CONTROL!E5)/MAX(1,CONTROL!B8)),"")</f>
        <v/>
      </c>
      <c r="U292" s="13">
        <f>IFERROR(IF(O292&gt;N292,"SUPPORT (PE OI)","RESIST (CE OI)"),"")</f>
        <v/>
      </c>
      <c r="V292" s="13">
        <f>IFERROR(IF(Q292&gt;0,IF(R292&gt;0,"BOTH_ADD","CE_ADD_PE_REDUCE"),IF(R292&gt;0,"CE_REDUCE_PE_ADD","BOTH_REDUCE")),"")</f>
        <v/>
      </c>
      <c r="W292" s="13">
        <f>IFERROR( (P292-1)*0.5 + (M292)*0.1 - (I292+J292)*0.05 + T292*0.4 ,"")</f>
        <v/>
      </c>
      <c r="X292" s="13">
        <f>IFERROR(IF(ABS(F292)&lt;0.01,"ATM/NEAR",""),"")</f>
        <v/>
      </c>
    </row>
    <row r="293">
      <c r="A293" s="13">
        <f>CHAIN_RAW!A293</f>
        <v/>
      </c>
      <c r="B293" s="14">
        <f>CHAIN_RAW!B293</f>
        <v/>
      </c>
      <c r="C293" s="13">
        <f>CHAIN_RAW!C293</f>
        <v/>
      </c>
      <c r="D293" s="13">
        <f>CHAIN_RAW!D293</f>
        <v/>
      </c>
      <c r="E293" s="13">
        <f>CHAIN_RAW!E293</f>
        <v/>
      </c>
      <c r="F293" s="13">
        <f>IFERROR((E293-D293)/D293,"")</f>
        <v/>
      </c>
      <c r="G293" s="13">
        <f>IFERROR((CHAIN_RAW!K293+CHAIN_RAW!L293)/2,"")</f>
        <v/>
      </c>
      <c r="H293" s="13">
        <f>IFERROR((CHAIN_RAW!R293+CHAIN_RAW!S293)/2,"")</f>
        <v/>
      </c>
      <c r="I293" s="13">
        <f>IFERROR((CHAIN_RAW!L293-CHAIN_RAW!K293)/MAX(1E-9, G293),"")</f>
        <v/>
      </c>
      <c r="J293" s="13">
        <f>IFERROR((CHAIN_RAW!S293-CHAIN_RAW!R293)/MAX(1E-9, H293),"")</f>
        <v/>
      </c>
      <c r="K293" s="13">
        <f>CHAIN_RAW!G293</f>
        <v/>
      </c>
      <c r="L293" s="13">
        <f>CHAIN_RAW!N293</f>
        <v/>
      </c>
      <c r="M293" s="13">
        <f>IFERROR(L293-K293,"")</f>
        <v/>
      </c>
      <c r="N293" s="13">
        <f>CHAIN_RAW!H293</f>
        <v/>
      </c>
      <c r="O293" s="13">
        <f>CHAIN_RAW!O293</f>
        <v/>
      </c>
      <c r="P293" s="13">
        <f>IFERROR(O293/N293,"")</f>
        <v/>
      </c>
      <c r="Q293" s="13">
        <f>CHAIN_RAW!I293</f>
        <v/>
      </c>
      <c r="R293" s="13">
        <f>CHAIN_RAW!P293</f>
        <v/>
      </c>
      <c r="S293" s="13">
        <f>IFERROR(R293/Q293,"")</f>
        <v/>
      </c>
      <c r="T293" s="13">
        <f>IFERROR((ABS(N293-O293)/MAX(1,(N293+O293)))*EXP(-ABS(E293-CONTROL!E5)/MAX(1,CONTROL!B8)),"")</f>
        <v/>
      </c>
      <c r="U293" s="13">
        <f>IFERROR(IF(O293&gt;N293,"SUPPORT (PE OI)","RESIST (CE OI)"),"")</f>
        <v/>
      </c>
      <c r="V293" s="13">
        <f>IFERROR(IF(Q293&gt;0,IF(R293&gt;0,"BOTH_ADD","CE_ADD_PE_REDUCE"),IF(R293&gt;0,"CE_REDUCE_PE_ADD","BOTH_REDUCE")),"")</f>
        <v/>
      </c>
      <c r="W293" s="13">
        <f>IFERROR( (P293-1)*0.5 + (M293)*0.1 - (I293+J293)*0.05 + T293*0.4 ,"")</f>
        <v/>
      </c>
      <c r="X293" s="13">
        <f>IFERROR(IF(ABS(F293)&lt;0.01,"ATM/NEAR",""),"")</f>
        <v/>
      </c>
    </row>
    <row r="294">
      <c r="A294" s="13">
        <f>CHAIN_RAW!A294</f>
        <v/>
      </c>
      <c r="B294" s="14">
        <f>CHAIN_RAW!B294</f>
        <v/>
      </c>
      <c r="C294" s="13">
        <f>CHAIN_RAW!C294</f>
        <v/>
      </c>
      <c r="D294" s="13">
        <f>CHAIN_RAW!D294</f>
        <v/>
      </c>
      <c r="E294" s="13">
        <f>CHAIN_RAW!E294</f>
        <v/>
      </c>
      <c r="F294" s="13">
        <f>IFERROR((E294-D294)/D294,"")</f>
        <v/>
      </c>
      <c r="G294" s="13">
        <f>IFERROR((CHAIN_RAW!K294+CHAIN_RAW!L294)/2,"")</f>
        <v/>
      </c>
      <c r="H294" s="13">
        <f>IFERROR((CHAIN_RAW!R294+CHAIN_RAW!S294)/2,"")</f>
        <v/>
      </c>
      <c r="I294" s="13">
        <f>IFERROR((CHAIN_RAW!L294-CHAIN_RAW!K294)/MAX(1E-9, G294),"")</f>
        <v/>
      </c>
      <c r="J294" s="13">
        <f>IFERROR((CHAIN_RAW!S294-CHAIN_RAW!R294)/MAX(1E-9, H294),"")</f>
        <v/>
      </c>
      <c r="K294" s="13">
        <f>CHAIN_RAW!G294</f>
        <v/>
      </c>
      <c r="L294" s="13">
        <f>CHAIN_RAW!N294</f>
        <v/>
      </c>
      <c r="M294" s="13">
        <f>IFERROR(L294-K294,"")</f>
        <v/>
      </c>
      <c r="N294" s="13">
        <f>CHAIN_RAW!H294</f>
        <v/>
      </c>
      <c r="O294" s="13">
        <f>CHAIN_RAW!O294</f>
        <v/>
      </c>
      <c r="P294" s="13">
        <f>IFERROR(O294/N294,"")</f>
        <v/>
      </c>
      <c r="Q294" s="13">
        <f>CHAIN_RAW!I294</f>
        <v/>
      </c>
      <c r="R294" s="13">
        <f>CHAIN_RAW!P294</f>
        <v/>
      </c>
      <c r="S294" s="13">
        <f>IFERROR(R294/Q294,"")</f>
        <v/>
      </c>
      <c r="T294" s="13">
        <f>IFERROR((ABS(N294-O294)/MAX(1,(N294+O294)))*EXP(-ABS(E294-CONTROL!E5)/MAX(1,CONTROL!B8)),"")</f>
        <v/>
      </c>
      <c r="U294" s="13">
        <f>IFERROR(IF(O294&gt;N294,"SUPPORT (PE OI)","RESIST (CE OI)"),"")</f>
        <v/>
      </c>
      <c r="V294" s="13">
        <f>IFERROR(IF(Q294&gt;0,IF(R294&gt;0,"BOTH_ADD","CE_ADD_PE_REDUCE"),IF(R294&gt;0,"CE_REDUCE_PE_ADD","BOTH_REDUCE")),"")</f>
        <v/>
      </c>
      <c r="W294" s="13">
        <f>IFERROR( (P294-1)*0.5 + (M294)*0.1 - (I294+J294)*0.05 + T294*0.4 ,"")</f>
        <v/>
      </c>
      <c r="X294" s="13">
        <f>IFERROR(IF(ABS(F294)&lt;0.01,"ATM/NEAR",""),"")</f>
        <v/>
      </c>
    </row>
    <row r="295">
      <c r="A295" s="13">
        <f>CHAIN_RAW!A295</f>
        <v/>
      </c>
      <c r="B295" s="14">
        <f>CHAIN_RAW!B295</f>
        <v/>
      </c>
      <c r="C295" s="13">
        <f>CHAIN_RAW!C295</f>
        <v/>
      </c>
      <c r="D295" s="13">
        <f>CHAIN_RAW!D295</f>
        <v/>
      </c>
      <c r="E295" s="13">
        <f>CHAIN_RAW!E295</f>
        <v/>
      </c>
      <c r="F295" s="13">
        <f>IFERROR((E295-D295)/D295,"")</f>
        <v/>
      </c>
      <c r="G295" s="13">
        <f>IFERROR((CHAIN_RAW!K295+CHAIN_RAW!L295)/2,"")</f>
        <v/>
      </c>
      <c r="H295" s="13">
        <f>IFERROR((CHAIN_RAW!R295+CHAIN_RAW!S295)/2,"")</f>
        <v/>
      </c>
      <c r="I295" s="13">
        <f>IFERROR((CHAIN_RAW!L295-CHAIN_RAW!K295)/MAX(1E-9, G295),"")</f>
        <v/>
      </c>
      <c r="J295" s="13">
        <f>IFERROR((CHAIN_RAW!S295-CHAIN_RAW!R295)/MAX(1E-9, H295),"")</f>
        <v/>
      </c>
      <c r="K295" s="13">
        <f>CHAIN_RAW!G295</f>
        <v/>
      </c>
      <c r="L295" s="13">
        <f>CHAIN_RAW!N295</f>
        <v/>
      </c>
      <c r="M295" s="13">
        <f>IFERROR(L295-K295,"")</f>
        <v/>
      </c>
      <c r="N295" s="13">
        <f>CHAIN_RAW!H295</f>
        <v/>
      </c>
      <c r="O295" s="13">
        <f>CHAIN_RAW!O295</f>
        <v/>
      </c>
      <c r="P295" s="13">
        <f>IFERROR(O295/N295,"")</f>
        <v/>
      </c>
      <c r="Q295" s="13">
        <f>CHAIN_RAW!I295</f>
        <v/>
      </c>
      <c r="R295" s="13">
        <f>CHAIN_RAW!P295</f>
        <v/>
      </c>
      <c r="S295" s="13">
        <f>IFERROR(R295/Q295,"")</f>
        <v/>
      </c>
      <c r="T295" s="13">
        <f>IFERROR((ABS(N295-O295)/MAX(1,(N295+O295)))*EXP(-ABS(E295-CONTROL!E5)/MAX(1,CONTROL!B8)),"")</f>
        <v/>
      </c>
      <c r="U295" s="13">
        <f>IFERROR(IF(O295&gt;N295,"SUPPORT (PE OI)","RESIST (CE OI)"),"")</f>
        <v/>
      </c>
      <c r="V295" s="13">
        <f>IFERROR(IF(Q295&gt;0,IF(R295&gt;0,"BOTH_ADD","CE_ADD_PE_REDUCE"),IF(R295&gt;0,"CE_REDUCE_PE_ADD","BOTH_REDUCE")),"")</f>
        <v/>
      </c>
      <c r="W295" s="13">
        <f>IFERROR( (P295-1)*0.5 + (M295)*0.1 - (I295+J295)*0.05 + T295*0.4 ,"")</f>
        <v/>
      </c>
      <c r="X295" s="13">
        <f>IFERROR(IF(ABS(F295)&lt;0.01,"ATM/NEAR",""),"")</f>
        <v/>
      </c>
    </row>
    <row r="296">
      <c r="A296" s="13">
        <f>CHAIN_RAW!A296</f>
        <v/>
      </c>
      <c r="B296" s="14">
        <f>CHAIN_RAW!B296</f>
        <v/>
      </c>
      <c r="C296" s="13">
        <f>CHAIN_RAW!C296</f>
        <v/>
      </c>
      <c r="D296" s="13">
        <f>CHAIN_RAW!D296</f>
        <v/>
      </c>
      <c r="E296" s="13">
        <f>CHAIN_RAW!E296</f>
        <v/>
      </c>
      <c r="F296" s="13">
        <f>IFERROR((E296-D296)/D296,"")</f>
        <v/>
      </c>
      <c r="G296" s="13">
        <f>IFERROR((CHAIN_RAW!K296+CHAIN_RAW!L296)/2,"")</f>
        <v/>
      </c>
      <c r="H296" s="13">
        <f>IFERROR((CHAIN_RAW!R296+CHAIN_RAW!S296)/2,"")</f>
        <v/>
      </c>
      <c r="I296" s="13">
        <f>IFERROR((CHAIN_RAW!L296-CHAIN_RAW!K296)/MAX(1E-9, G296),"")</f>
        <v/>
      </c>
      <c r="J296" s="13">
        <f>IFERROR((CHAIN_RAW!S296-CHAIN_RAW!R296)/MAX(1E-9, H296),"")</f>
        <v/>
      </c>
      <c r="K296" s="13">
        <f>CHAIN_RAW!G296</f>
        <v/>
      </c>
      <c r="L296" s="13">
        <f>CHAIN_RAW!N296</f>
        <v/>
      </c>
      <c r="M296" s="13">
        <f>IFERROR(L296-K296,"")</f>
        <v/>
      </c>
      <c r="N296" s="13">
        <f>CHAIN_RAW!H296</f>
        <v/>
      </c>
      <c r="O296" s="13">
        <f>CHAIN_RAW!O296</f>
        <v/>
      </c>
      <c r="P296" s="13">
        <f>IFERROR(O296/N296,"")</f>
        <v/>
      </c>
      <c r="Q296" s="13">
        <f>CHAIN_RAW!I296</f>
        <v/>
      </c>
      <c r="R296" s="13">
        <f>CHAIN_RAW!P296</f>
        <v/>
      </c>
      <c r="S296" s="13">
        <f>IFERROR(R296/Q296,"")</f>
        <v/>
      </c>
      <c r="T296" s="13">
        <f>IFERROR((ABS(N296-O296)/MAX(1,(N296+O296)))*EXP(-ABS(E296-CONTROL!E5)/MAX(1,CONTROL!B8)),"")</f>
        <v/>
      </c>
      <c r="U296" s="13">
        <f>IFERROR(IF(O296&gt;N296,"SUPPORT (PE OI)","RESIST (CE OI)"),"")</f>
        <v/>
      </c>
      <c r="V296" s="13">
        <f>IFERROR(IF(Q296&gt;0,IF(R296&gt;0,"BOTH_ADD","CE_ADD_PE_REDUCE"),IF(R296&gt;0,"CE_REDUCE_PE_ADD","BOTH_REDUCE")),"")</f>
        <v/>
      </c>
      <c r="W296" s="13">
        <f>IFERROR( (P296-1)*0.5 + (M296)*0.1 - (I296+J296)*0.05 + T296*0.4 ,"")</f>
        <v/>
      </c>
      <c r="X296" s="13">
        <f>IFERROR(IF(ABS(F296)&lt;0.01,"ATM/NEAR",""),"")</f>
        <v/>
      </c>
    </row>
    <row r="297">
      <c r="A297" s="13">
        <f>CHAIN_RAW!A297</f>
        <v/>
      </c>
      <c r="B297" s="14">
        <f>CHAIN_RAW!B297</f>
        <v/>
      </c>
      <c r="C297" s="13">
        <f>CHAIN_RAW!C297</f>
        <v/>
      </c>
      <c r="D297" s="13">
        <f>CHAIN_RAW!D297</f>
        <v/>
      </c>
      <c r="E297" s="13">
        <f>CHAIN_RAW!E297</f>
        <v/>
      </c>
      <c r="F297" s="13">
        <f>IFERROR((E297-D297)/D297,"")</f>
        <v/>
      </c>
      <c r="G297" s="13">
        <f>IFERROR((CHAIN_RAW!K297+CHAIN_RAW!L297)/2,"")</f>
        <v/>
      </c>
      <c r="H297" s="13">
        <f>IFERROR((CHAIN_RAW!R297+CHAIN_RAW!S297)/2,"")</f>
        <v/>
      </c>
      <c r="I297" s="13">
        <f>IFERROR((CHAIN_RAW!L297-CHAIN_RAW!K297)/MAX(1E-9, G297),"")</f>
        <v/>
      </c>
      <c r="J297" s="13">
        <f>IFERROR((CHAIN_RAW!S297-CHAIN_RAW!R297)/MAX(1E-9, H297),"")</f>
        <v/>
      </c>
      <c r="K297" s="13">
        <f>CHAIN_RAW!G297</f>
        <v/>
      </c>
      <c r="L297" s="13">
        <f>CHAIN_RAW!N297</f>
        <v/>
      </c>
      <c r="M297" s="13">
        <f>IFERROR(L297-K297,"")</f>
        <v/>
      </c>
      <c r="N297" s="13">
        <f>CHAIN_RAW!H297</f>
        <v/>
      </c>
      <c r="O297" s="13">
        <f>CHAIN_RAW!O297</f>
        <v/>
      </c>
      <c r="P297" s="13">
        <f>IFERROR(O297/N297,"")</f>
        <v/>
      </c>
      <c r="Q297" s="13">
        <f>CHAIN_RAW!I297</f>
        <v/>
      </c>
      <c r="R297" s="13">
        <f>CHAIN_RAW!P297</f>
        <v/>
      </c>
      <c r="S297" s="13">
        <f>IFERROR(R297/Q297,"")</f>
        <v/>
      </c>
      <c r="T297" s="13">
        <f>IFERROR((ABS(N297-O297)/MAX(1,(N297+O297)))*EXP(-ABS(E297-CONTROL!E5)/MAX(1,CONTROL!B8)),"")</f>
        <v/>
      </c>
      <c r="U297" s="13">
        <f>IFERROR(IF(O297&gt;N297,"SUPPORT (PE OI)","RESIST (CE OI)"),"")</f>
        <v/>
      </c>
      <c r="V297" s="13">
        <f>IFERROR(IF(Q297&gt;0,IF(R297&gt;0,"BOTH_ADD","CE_ADD_PE_REDUCE"),IF(R297&gt;0,"CE_REDUCE_PE_ADD","BOTH_REDUCE")),"")</f>
        <v/>
      </c>
      <c r="W297" s="13">
        <f>IFERROR( (P297-1)*0.5 + (M297)*0.1 - (I297+J297)*0.05 + T297*0.4 ,"")</f>
        <v/>
      </c>
      <c r="X297" s="13">
        <f>IFERROR(IF(ABS(F297)&lt;0.01,"ATM/NEAR",""),"")</f>
        <v/>
      </c>
    </row>
    <row r="298">
      <c r="A298" s="13">
        <f>CHAIN_RAW!A298</f>
        <v/>
      </c>
      <c r="B298" s="14">
        <f>CHAIN_RAW!B298</f>
        <v/>
      </c>
      <c r="C298" s="13">
        <f>CHAIN_RAW!C298</f>
        <v/>
      </c>
      <c r="D298" s="13">
        <f>CHAIN_RAW!D298</f>
        <v/>
      </c>
      <c r="E298" s="13">
        <f>CHAIN_RAW!E298</f>
        <v/>
      </c>
      <c r="F298" s="13">
        <f>IFERROR((E298-D298)/D298,"")</f>
        <v/>
      </c>
      <c r="G298" s="13">
        <f>IFERROR((CHAIN_RAW!K298+CHAIN_RAW!L298)/2,"")</f>
        <v/>
      </c>
      <c r="H298" s="13">
        <f>IFERROR((CHAIN_RAW!R298+CHAIN_RAW!S298)/2,"")</f>
        <v/>
      </c>
      <c r="I298" s="13">
        <f>IFERROR((CHAIN_RAW!L298-CHAIN_RAW!K298)/MAX(1E-9, G298),"")</f>
        <v/>
      </c>
      <c r="J298" s="13">
        <f>IFERROR((CHAIN_RAW!S298-CHAIN_RAW!R298)/MAX(1E-9, H298),"")</f>
        <v/>
      </c>
      <c r="K298" s="13">
        <f>CHAIN_RAW!G298</f>
        <v/>
      </c>
      <c r="L298" s="13">
        <f>CHAIN_RAW!N298</f>
        <v/>
      </c>
      <c r="M298" s="13">
        <f>IFERROR(L298-K298,"")</f>
        <v/>
      </c>
      <c r="N298" s="13">
        <f>CHAIN_RAW!H298</f>
        <v/>
      </c>
      <c r="O298" s="13">
        <f>CHAIN_RAW!O298</f>
        <v/>
      </c>
      <c r="P298" s="13">
        <f>IFERROR(O298/N298,"")</f>
        <v/>
      </c>
      <c r="Q298" s="13">
        <f>CHAIN_RAW!I298</f>
        <v/>
      </c>
      <c r="R298" s="13">
        <f>CHAIN_RAW!P298</f>
        <v/>
      </c>
      <c r="S298" s="13">
        <f>IFERROR(R298/Q298,"")</f>
        <v/>
      </c>
      <c r="T298" s="13">
        <f>IFERROR((ABS(N298-O298)/MAX(1,(N298+O298)))*EXP(-ABS(E298-CONTROL!E5)/MAX(1,CONTROL!B8)),"")</f>
        <v/>
      </c>
      <c r="U298" s="13">
        <f>IFERROR(IF(O298&gt;N298,"SUPPORT (PE OI)","RESIST (CE OI)"),"")</f>
        <v/>
      </c>
      <c r="V298" s="13">
        <f>IFERROR(IF(Q298&gt;0,IF(R298&gt;0,"BOTH_ADD","CE_ADD_PE_REDUCE"),IF(R298&gt;0,"CE_REDUCE_PE_ADD","BOTH_REDUCE")),"")</f>
        <v/>
      </c>
      <c r="W298" s="13">
        <f>IFERROR( (P298-1)*0.5 + (M298)*0.1 - (I298+J298)*0.05 + T298*0.4 ,"")</f>
        <v/>
      </c>
      <c r="X298" s="13">
        <f>IFERROR(IF(ABS(F298)&lt;0.01,"ATM/NEAR",""),"")</f>
        <v/>
      </c>
    </row>
    <row r="299">
      <c r="A299" s="13">
        <f>CHAIN_RAW!A299</f>
        <v/>
      </c>
      <c r="B299" s="14">
        <f>CHAIN_RAW!B299</f>
        <v/>
      </c>
      <c r="C299" s="13">
        <f>CHAIN_RAW!C299</f>
        <v/>
      </c>
      <c r="D299" s="13">
        <f>CHAIN_RAW!D299</f>
        <v/>
      </c>
      <c r="E299" s="13">
        <f>CHAIN_RAW!E299</f>
        <v/>
      </c>
      <c r="F299" s="13">
        <f>IFERROR((E299-D299)/D299,"")</f>
        <v/>
      </c>
      <c r="G299" s="13">
        <f>IFERROR((CHAIN_RAW!K299+CHAIN_RAW!L299)/2,"")</f>
        <v/>
      </c>
      <c r="H299" s="13">
        <f>IFERROR((CHAIN_RAW!R299+CHAIN_RAW!S299)/2,"")</f>
        <v/>
      </c>
      <c r="I299" s="13">
        <f>IFERROR((CHAIN_RAW!L299-CHAIN_RAW!K299)/MAX(1E-9, G299),"")</f>
        <v/>
      </c>
      <c r="J299" s="13">
        <f>IFERROR((CHAIN_RAW!S299-CHAIN_RAW!R299)/MAX(1E-9, H299),"")</f>
        <v/>
      </c>
      <c r="K299" s="13">
        <f>CHAIN_RAW!G299</f>
        <v/>
      </c>
      <c r="L299" s="13">
        <f>CHAIN_RAW!N299</f>
        <v/>
      </c>
      <c r="M299" s="13">
        <f>IFERROR(L299-K299,"")</f>
        <v/>
      </c>
      <c r="N299" s="13">
        <f>CHAIN_RAW!H299</f>
        <v/>
      </c>
      <c r="O299" s="13">
        <f>CHAIN_RAW!O299</f>
        <v/>
      </c>
      <c r="P299" s="13">
        <f>IFERROR(O299/N299,"")</f>
        <v/>
      </c>
      <c r="Q299" s="13">
        <f>CHAIN_RAW!I299</f>
        <v/>
      </c>
      <c r="R299" s="13">
        <f>CHAIN_RAW!P299</f>
        <v/>
      </c>
      <c r="S299" s="13">
        <f>IFERROR(R299/Q299,"")</f>
        <v/>
      </c>
      <c r="T299" s="13">
        <f>IFERROR((ABS(N299-O299)/MAX(1,(N299+O299)))*EXP(-ABS(E299-CONTROL!E5)/MAX(1,CONTROL!B8)),"")</f>
        <v/>
      </c>
      <c r="U299" s="13">
        <f>IFERROR(IF(O299&gt;N299,"SUPPORT (PE OI)","RESIST (CE OI)"),"")</f>
        <v/>
      </c>
      <c r="V299" s="13">
        <f>IFERROR(IF(Q299&gt;0,IF(R299&gt;0,"BOTH_ADD","CE_ADD_PE_REDUCE"),IF(R299&gt;0,"CE_REDUCE_PE_ADD","BOTH_REDUCE")),"")</f>
        <v/>
      </c>
      <c r="W299" s="13">
        <f>IFERROR( (P299-1)*0.5 + (M299)*0.1 - (I299+J299)*0.05 + T299*0.4 ,"")</f>
        <v/>
      </c>
      <c r="X299" s="13">
        <f>IFERROR(IF(ABS(F299)&lt;0.01,"ATM/NEAR",""),"")</f>
        <v/>
      </c>
    </row>
    <row r="300">
      <c r="A300" s="13">
        <f>CHAIN_RAW!A300</f>
        <v/>
      </c>
      <c r="B300" s="14">
        <f>CHAIN_RAW!B300</f>
        <v/>
      </c>
      <c r="C300" s="13">
        <f>CHAIN_RAW!C300</f>
        <v/>
      </c>
      <c r="D300" s="13">
        <f>CHAIN_RAW!D300</f>
        <v/>
      </c>
      <c r="E300" s="13">
        <f>CHAIN_RAW!E300</f>
        <v/>
      </c>
      <c r="F300" s="13">
        <f>IFERROR((E300-D300)/D300,"")</f>
        <v/>
      </c>
      <c r="G300" s="13">
        <f>IFERROR((CHAIN_RAW!K300+CHAIN_RAW!L300)/2,"")</f>
        <v/>
      </c>
      <c r="H300" s="13">
        <f>IFERROR((CHAIN_RAW!R300+CHAIN_RAW!S300)/2,"")</f>
        <v/>
      </c>
      <c r="I300" s="13">
        <f>IFERROR((CHAIN_RAW!L300-CHAIN_RAW!K300)/MAX(1E-9, G300),"")</f>
        <v/>
      </c>
      <c r="J300" s="13">
        <f>IFERROR((CHAIN_RAW!S300-CHAIN_RAW!R300)/MAX(1E-9, H300),"")</f>
        <v/>
      </c>
      <c r="K300" s="13">
        <f>CHAIN_RAW!G300</f>
        <v/>
      </c>
      <c r="L300" s="13">
        <f>CHAIN_RAW!N300</f>
        <v/>
      </c>
      <c r="M300" s="13">
        <f>IFERROR(L300-K300,"")</f>
        <v/>
      </c>
      <c r="N300" s="13">
        <f>CHAIN_RAW!H300</f>
        <v/>
      </c>
      <c r="O300" s="13">
        <f>CHAIN_RAW!O300</f>
        <v/>
      </c>
      <c r="P300" s="13">
        <f>IFERROR(O300/N300,"")</f>
        <v/>
      </c>
      <c r="Q300" s="13">
        <f>CHAIN_RAW!I300</f>
        <v/>
      </c>
      <c r="R300" s="13">
        <f>CHAIN_RAW!P300</f>
        <v/>
      </c>
      <c r="S300" s="13">
        <f>IFERROR(R300/Q300,"")</f>
        <v/>
      </c>
      <c r="T300" s="13">
        <f>IFERROR((ABS(N300-O300)/MAX(1,(N300+O300)))*EXP(-ABS(E300-CONTROL!E5)/MAX(1,CONTROL!B8)),"")</f>
        <v/>
      </c>
      <c r="U300" s="13">
        <f>IFERROR(IF(O300&gt;N300,"SUPPORT (PE OI)","RESIST (CE OI)"),"")</f>
        <v/>
      </c>
      <c r="V300" s="13">
        <f>IFERROR(IF(Q300&gt;0,IF(R300&gt;0,"BOTH_ADD","CE_ADD_PE_REDUCE"),IF(R300&gt;0,"CE_REDUCE_PE_ADD","BOTH_REDUCE")),"")</f>
        <v/>
      </c>
      <c r="W300" s="13">
        <f>IFERROR( (P300-1)*0.5 + (M300)*0.1 - (I300+J300)*0.05 + T300*0.4 ,"")</f>
        <v/>
      </c>
      <c r="X300" s="13">
        <f>IFERROR(IF(ABS(F300)&lt;0.01,"ATM/NEAR",""),"")</f>
        <v/>
      </c>
    </row>
    <row r="301">
      <c r="A301" s="13">
        <f>CHAIN_RAW!A301</f>
        <v/>
      </c>
      <c r="B301" s="14">
        <f>CHAIN_RAW!B301</f>
        <v/>
      </c>
      <c r="C301" s="13">
        <f>CHAIN_RAW!C301</f>
        <v/>
      </c>
      <c r="D301" s="13">
        <f>CHAIN_RAW!D301</f>
        <v/>
      </c>
      <c r="E301" s="13">
        <f>CHAIN_RAW!E301</f>
        <v/>
      </c>
      <c r="F301" s="13">
        <f>IFERROR((E301-D301)/D301,"")</f>
        <v/>
      </c>
      <c r="G301" s="13">
        <f>IFERROR((CHAIN_RAW!K301+CHAIN_RAW!L301)/2,"")</f>
        <v/>
      </c>
      <c r="H301" s="13">
        <f>IFERROR((CHAIN_RAW!R301+CHAIN_RAW!S301)/2,"")</f>
        <v/>
      </c>
      <c r="I301" s="13">
        <f>IFERROR((CHAIN_RAW!L301-CHAIN_RAW!K301)/MAX(1E-9, G301),"")</f>
        <v/>
      </c>
      <c r="J301" s="13">
        <f>IFERROR((CHAIN_RAW!S301-CHAIN_RAW!R301)/MAX(1E-9, H301),"")</f>
        <v/>
      </c>
      <c r="K301" s="13">
        <f>CHAIN_RAW!G301</f>
        <v/>
      </c>
      <c r="L301" s="13">
        <f>CHAIN_RAW!N301</f>
        <v/>
      </c>
      <c r="M301" s="13">
        <f>IFERROR(L301-K301,"")</f>
        <v/>
      </c>
      <c r="N301" s="13">
        <f>CHAIN_RAW!H301</f>
        <v/>
      </c>
      <c r="O301" s="13">
        <f>CHAIN_RAW!O301</f>
        <v/>
      </c>
      <c r="P301" s="13">
        <f>IFERROR(O301/N301,"")</f>
        <v/>
      </c>
      <c r="Q301" s="13">
        <f>CHAIN_RAW!I301</f>
        <v/>
      </c>
      <c r="R301" s="13">
        <f>CHAIN_RAW!P301</f>
        <v/>
      </c>
      <c r="S301" s="13">
        <f>IFERROR(R301/Q301,"")</f>
        <v/>
      </c>
      <c r="T301" s="13">
        <f>IFERROR((ABS(N301-O301)/MAX(1,(N301+O301)))*EXP(-ABS(E301-CONTROL!E5)/MAX(1,CONTROL!B8)),"")</f>
        <v/>
      </c>
      <c r="U301" s="13">
        <f>IFERROR(IF(O301&gt;N301,"SUPPORT (PE OI)","RESIST (CE OI)"),"")</f>
        <v/>
      </c>
      <c r="V301" s="13">
        <f>IFERROR(IF(Q301&gt;0,IF(R301&gt;0,"BOTH_ADD","CE_ADD_PE_REDUCE"),IF(R301&gt;0,"CE_REDUCE_PE_ADD","BOTH_REDUCE")),"")</f>
        <v/>
      </c>
      <c r="W301" s="13">
        <f>IFERROR( (P301-1)*0.5 + (M301)*0.1 - (I301+J301)*0.05 + T301*0.4 ,"")</f>
        <v/>
      </c>
      <c r="X301" s="13">
        <f>IFERROR(IF(ABS(F301)&lt;0.01,"ATM/NEAR",""),"")</f>
        <v/>
      </c>
    </row>
    <row r="302">
      <c r="A302" s="13">
        <f>CHAIN_RAW!A302</f>
        <v/>
      </c>
      <c r="B302" s="14">
        <f>CHAIN_RAW!B302</f>
        <v/>
      </c>
      <c r="C302" s="13">
        <f>CHAIN_RAW!C302</f>
        <v/>
      </c>
      <c r="D302" s="13">
        <f>CHAIN_RAW!D302</f>
        <v/>
      </c>
      <c r="E302" s="13">
        <f>CHAIN_RAW!E302</f>
        <v/>
      </c>
      <c r="F302" s="13">
        <f>IFERROR((E302-D302)/D302,"")</f>
        <v/>
      </c>
      <c r="G302" s="13">
        <f>IFERROR((CHAIN_RAW!K302+CHAIN_RAW!L302)/2,"")</f>
        <v/>
      </c>
      <c r="H302" s="13">
        <f>IFERROR((CHAIN_RAW!R302+CHAIN_RAW!S302)/2,"")</f>
        <v/>
      </c>
      <c r="I302" s="13">
        <f>IFERROR((CHAIN_RAW!L302-CHAIN_RAW!K302)/MAX(1E-9, G302),"")</f>
        <v/>
      </c>
      <c r="J302" s="13">
        <f>IFERROR((CHAIN_RAW!S302-CHAIN_RAW!R302)/MAX(1E-9, H302),"")</f>
        <v/>
      </c>
      <c r="K302" s="13">
        <f>CHAIN_RAW!G302</f>
        <v/>
      </c>
      <c r="L302" s="13">
        <f>CHAIN_RAW!N302</f>
        <v/>
      </c>
      <c r="M302" s="13">
        <f>IFERROR(L302-K302,"")</f>
        <v/>
      </c>
      <c r="N302" s="13">
        <f>CHAIN_RAW!H302</f>
        <v/>
      </c>
      <c r="O302" s="13">
        <f>CHAIN_RAW!O302</f>
        <v/>
      </c>
      <c r="P302" s="13">
        <f>IFERROR(O302/N302,"")</f>
        <v/>
      </c>
      <c r="Q302" s="13">
        <f>CHAIN_RAW!I302</f>
        <v/>
      </c>
      <c r="R302" s="13">
        <f>CHAIN_RAW!P302</f>
        <v/>
      </c>
      <c r="S302" s="13">
        <f>IFERROR(R302/Q302,"")</f>
        <v/>
      </c>
      <c r="T302" s="13">
        <f>IFERROR((ABS(N302-O302)/MAX(1,(N302+O302)))*EXP(-ABS(E302-CONTROL!E5)/MAX(1,CONTROL!B8)),"")</f>
        <v/>
      </c>
      <c r="U302" s="13">
        <f>IFERROR(IF(O302&gt;N302,"SUPPORT (PE OI)","RESIST (CE OI)"),"")</f>
        <v/>
      </c>
      <c r="V302" s="13">
        <f>IFERROR(IF(Q302&gt;0,IF(R302&gt;0,"BOTH_ADD","CE_ADD_PE_REDUCE"),IF(R302&gt;0,"CE_REDUCE_PE_ADD","BOTH_REDUCE")),"")</f>
        <v/>
      </c>
      <c r="W302" s="13">
        <f>IFERROR( (P302-1)*0.5 + (M302)*0.1 - (I302+J302)*0.05 + T302*0.4 ,"")</f>
        <v/>
      </c>
      <c r="X302" s="13">
        <f>IFERROR(IF(ABS(F302)&lt;0.01,"ATM/NEAR",""),"")</f>
        <v/>
      </c>
    </row>
    <row r="303">
      <c r="A303" s="13">
        <f>CHAIN_RAW!A303</f>
        <v/>
      </c>
      <c r="B303" s="14">
        <f>CHAIN_RAW!B303</f>
        <v/>
      </c>
      <c r="C303" s="13">
        <f>CHAIN_RAW!C303</f>
        <v/>
      </c>
      <c r="D303" s="13">
        <f>CHAIN_RAW!D303</f>
        <v/>
      </c>
      <c r="E303" s="13">
        <f>CHAIN_RAW!E303</f>
        <v/>
      </c>
      <c r="F303" s="13">
        <f>IFERROR((E303-D303)/D303,"")</f>
        <v/>
      </c>
      <c r="G303" s="13">
        <f>IFERROR((CHAIN_RAW!K303+CHAIN_RAW!L303)/2,"")</f>
        <v/>
      </c>
      <c r="H303" s="13">
        <f>IFERROR((CHAIN_RAW!R303+CHAIN_RAW!S303)/2,"")</f>
        <v/>
      </c>
      <c r="I303" s="13">
        <f>IFERROR((CHAIN_RAW!L303-CHAIN_RAW!K303)/MAX(1E-9, G303),"")</f>
        <v/>
      </c>
      <c r="J303" s="13">
        <f>IFERROR((CHAIN_RAW!S303-CHAIN_RAW!R303)/MAX(1E-9, H303),"")</f>
        <v/>
      </c>
      <c r="K303" s="13">
        <f>CHAIN_RAW!G303</f>
        <v/>
      </c>
      <c r="L303" s="13">
        <f>CHAIN_RAW!N303</f>
        <v/>
      </c>
      <c r="M303" s="13">
        <f>IFERROR(L303-K303,"")</f>
        <v/>
      </c>
      <c r="N303" s="13">
        <f>CHAIN_RAW!H303</f>
        <v/>
      </c>
      <c r="O303" s="13">
        <f>CHAIN_RAW!O303</f>
        <v/>
      </c>
      <c r="P303" s="13">
        <f>IFERROR(O303/N303,"")</f>
        <v/>
      </c>
      <c r="Q303" s="13">
        <f>CHAIN_RAW!I303</f>
        <v/>
      </c>
      <c r="R303" s="13">
        <f>CHAIN_RAW!P303</f>
        <v/>
      </c>
      <c r="S303" s="13">
        <f>IFERROR(R303/Q303,"")</f>
        <v/>
      </c>
      <c r="T303" s="13">
        <f>IFERROR((ABS(N303-O303)/MAX(1,(N303+O303)))*EXP(-ABS(E303-CONTROL!E5)/MAX(1,CONTROL!B8)),"")</f>
        <v/>
      </c>
      <c r="U303" s="13">
        <f>IFERROR(IF(O303&gt;N303,"SUPPORT (PE OI)","RESIST (CE OI)"),"")</f>
        <v/>
      </c>
      <c r="V303" s="13">
        <f>IFERROR(IF(Q303&gt;0,IF(R303&gt;0,"BOTH_ADD","CE_ADD_PE_REDUCE"),IF(R303&gt;0,"CE_REDUCE_PE_ADD","BOTH_REDUCE")),"")</f>
        <v/>
      </c>
      <c r="W303" s="13">
        <f>IFERROR( (P303-1)*0.5 + (M303)*0.1 - (I303+J303)*0.05 + T303*0.4 ,"")</f>
        <v/>
      </c>
      <c r="X303" s="13">
        <f>IFERROR(IF(ABS(F303)&lt;0.01,"ATM/NEAR",""),"")</f>
        <v/>
      </c>
    </row>
    <row r="304">
      <c r="A304" s="13">
        <f>CHAIN_RAW!A304</f>
        <v/>
      </c>
      <c r="B304" s="14">
        <f>CHAIN_RAW!B304</f>
        <v/>
      </c>
      <c r="C304" s="13">
        <f>CHAIN_RAW!C304</f>
        <v/>
      </c>
      <c r="D304" s="13">
        <f>CHAIN_RAW!D304</f>
        <v/>
      </c>
      <c r="E304" s="13">
        <f>CHAIN_RAW!E304</f>
        <v/>
      </c>
      <c r="F304" s="13">
        <f>IFERROR((E304-D304)/D304,"")</f>
        <v/>
      </c>
      <c r="G304" s="13">
        <f>IFERROR((CHAIN_RAW!K304+CHAIN_RAW!L304)/2,"")</f>
        <v/>
      </c>
      <c r="H304" s="13">
        <f>IFERROR((CHAIN_RAW!R304+CHAIN_RAW!S304)/2,"")</f>
        <v/>
      </c>
      <c r="I304" s="13">
        <f>IFERROR((CHAIN_RAW!L304-CHAIN_RAW!K304)/MAX(1E-9, G304),"")</f>
        <v/>
      </c>
      <c r="J304" s="13">
        <f>IFERROR((CHAIN_RAW!S304-CHAIN_RAW!R304)/MAX(1E-9, H304),"")</f>
        <v/>
      </c>
      <c r="K304" s="13">
        <f>CHAIN_RAW!G304</f>
        <v/>
      </c>
      <c r="L304" s="13">
        <f>CHAIN_RAW!N304</f>
        <v/>
      </c>
      <c r="M304" s="13">
        <f>IFERROR(L304-K304,"")</f>
        <v/>
      </c>
      <c r="N304" s="13">
        <f>CHAIN_RAW!H304</f>
        <v/>
      </c>
      <c r="O304" s="13">
        <f>CHAIN_RAW!O304</f>
        <v/>
      </c>
      <c r="P304" s="13">
        <f>IFERROR(O304/N304,"")</f>
        <v/>
      </c>
      <c r="Q304" s="13">
        <f>CHAIN_RAW!I304</f>
        <v/>
      </c>
      <c r="R304" s="13">
        <f>CHAIN_RAW!P304</f>
        <v/>
      </c>
      <c r="S304" s="13">
        <f>IFERROR(R304/Q304,"")</f>
        <v/>
      </c>
      <c r="T304" s="13">
        <f>IFERROR((ABS(N304-O304)/MAX(1,(N304+O304)))*EXP(-ABS(E304-CONTROL!E5)/MAX(1,CONTROL!B8)),"")</f>
        <v/>
      </c>
      <c r="U304" s="13">
        <f>IFERROR(IF(O304&gt;N304,"SUPPORT (PE OI)","RESIST (CE OI)"),"")</f>
        <v/>
      </c>
      <c r="V304" s="13">
        <f>IFERROR(IF(Q304&gt;0,IF(R304&gt;0,"BOTH_ADD","CE_ADD_PE_REDUCE"),IF(R304&gt;0,"CE_REDUCE_PE_ADD","BOTH_REDUCE")),"")</f>
        <v/>
      </c>
      <c r="W304" s="13">
        <f>IFERROR( (P304-1)*0.5 + (M304)*0.1 - (I304+J304)*0.05 + T304*0.4 ,"")</f>
        <v/>
      </c>
      <c r="X304" s="13">
        <f>IFERROR(IF(ABS(F304)&lt;0.01,"ATM/NEAR",""),"")</f>
        <v/>
      </c>
    </row>
    <row r="305">
      <c r="A305" s="13">
        <f>CHAIN_RAW!A305</f>
        <v/>
      </c>
      <c r="B305" s="14">
        <f>CHAIN_RAW!B305</f>
        <v/>
      </c>
      <c r="C305" s="13">
        <f>CHAIN_RAW!C305</f>
        <v/>
      </c>
      <c r="D305" s="13">
        <f>CHAIN_RAW!D305</f>
        <v/>
      </c>
      <c r="E305" s="13">
        <f>CHAIN_RAW!E305</f>
        <v/>
      </c>
      <c r="F305" s="13">
        <f>IFERROR((E305-D305)/D305,"")</f>
        <v/>
      </c>
      <c r="G305" s="13">
        <f>IFERROR((CHAIN_RAW!K305+CHAIN_RAW!L305)/2,"")</f>
        <v/>
      </c>
      <c r="H305" s="13">
        <f>IFERROR((CHAIN_RAW!R305+CHAIN_RAW!S305)/2,"")</f>
        <v/>
      </c>
      <c r="I305" s="13">
        <f>IFERROR((CHAIN_RAW!L305-CHAIN_RAW!K305)/MAX(1E-9, G305),"")</f>
        <v/>
      </c>
      <c r="J305" s="13">
        <f>IFERROR((CHAIN_RAW!S305-CHAIN_RAW!R305)/MAX(1E-9, H305),"")</f>
        <v/>
      </c>
      <c r="K305" s="13">
        <f>CHAIN_RAW!G305</f>
        <v/>
      </c>
      <c r="L305" s="13">
        <f>CHAIN_RAW!N305</f>
        <v/>
      </c>
      <c r="M305" s="13">
        <f>IFERROR(L305-K305,"")</f>
        <v/>
      </c>
      <c r="N305" s="13">
        <f>CHAIN_RAW!H305</f>
        <v/>
      </c>
      <c r="O305" s="13">
        <f>CHAIN_RAW!O305</f>
        <v/>
      </c>
      <c r="P305" s="13">
        <f>IFERROR(O305/N305,"")</f>
        <v/>
      </c>
      <c r="Q305" s="13">
        <f>CHAIN_RAW!I305</f>
        <v/>
      </c>
      <c r="R305" s="13">
        <f>CHAIN_RAW!P305</f>
        <v/>
      </c>
      <c r="S305" s="13">
        <f>IFERROR(R305/Q305,"")</f>
        <v/>
      </c>
      <c r="T305" s="13">
        <f>IFERROR((ABS(N305-O305)/MAX(1,(N305+O305)))*EXP(-ABS(E305-CONTROL!E5)/MAX(1,CONTROL!B8)),"")</f>
        <v/>
      </c>
      <c r="U305" s="13">
        <f>IFERROR(IF(O305&gt;N305,"SUPPORT (PE OI)","RESIST (CE OI)"),"")</f>
        <v/>
      </c>
      <c r="V305" s="13">
        <f>IFERROR(IF(Q305&gt;0,IF(R305&gt;0,"BOTH_ADD","CE_ADD_PE_REDUCE"),IF(R305&gt;0,"CE_REDUCE_PE_ADD","BOTH_REDUCE")),"")</f>
        <v/>
      </c>
      <c r="W305" s="13">
        <f>IFERROR( (P305-1)*0.5 + (M305)*0.1 - (I305+J305)*0.05 + T305*0.4 ,"")</f>
        <v/>
      </c>
      <c r="X305" s="13">
        <f>IFERROR(IF(ABS(F305)&lt;0.01,"ATM/NEAR",""),"")</f>
        <v/>
      </c>
    </row>
    <row r="306">
      <c r="A306" s="13">
        <f>CHAIN_RAW!A306</f>
        <v/>
      </c>
      <c r="B306" s="14">
        <f>CHAIN_RAW!B306</f>
        <v/>
      </c>
      <c r="C306" s="13">
        <f>CHAIN_RAW!C306</f>
        <v/>
      </c>
      <c r="D306" s="13">
        <f>CHAIN_RAW!D306</f>
        <v/>
      </c>
      <c r="E306" s="13">
        <f>CHAIN_RAW!E306</f>
        <v/>
      </c>
      <c r="F306" s="13">
        <f>IFERROR((E306-D306)/D306,"")</f>
        <v/>
      </c>
      <c r="G306" s="13">
        <f>IFERROR((CHAIN_RAW!K306+CHAIN_RAW!L306)/2,"")</f>
        <v/>
      </c>
      <c r="H306" s="13">
        <f>IFERROR((CHAIN_RAW!R306+CHAIN_RAW!S306)/2,"")</f>
        <v/>
      </c>
      <c r="I306" s="13">
        <f>IFERROR((CHAIN_RAW!L306-CHAIN_RAW!K306)/MAX(1E-9, G306),"")</f>
        <v/>
      </c>
      <c r="J306" s="13">
        <f>IFERROR((CHAIN_RAW!S306-CHAIN_RAW!R306)/MAX(1E-9, H306),"")</f>
        <v/>
      </c>
      <c r="K306" s="13">
        <f>CHAIN_RAW!G306</f>
        <v/>
      </c>
      <c r="L306" s="13">
        <f>CHAIN_RAW!N306</f>
        <v/>
      </c>
      <c r="M306" s="13">
        <f>IFERROR(L306-K306,"")</f>
        <v/>
      </c>
      <c r="N306" s="13">
        <f>CHAIN_RAW!H306</f>
        <v/>
      </c>
      <c r="O306" s="13">
        <f>CHAIN_RAW!O306</f>
        <v/>
      </c>
      <c r="P306" s="13">
        <f>IFERROR(O306/N306,"")</f>
        <v/>
      </c>
      <c r="Q306" s="13">
        <f>CHAIN_RAW!I306</f>
        <v/>
      </c>
      <c r="R306" s="13">
        <f>CHAIN_RAW!P306</f>
        <v/>
      </c>
      <c r="S306" s="13">
        <f>IFERROR(R306/Q306,"")</f>
        <v/>
      </c>
      <c r="T306" s="13">
        <f>IFERROR((ABS(N306-O306)/MAX(1,(N306+O306)))*EXP(-ABS(E306-CONTROL!E5)/MAX(1,CONTROL!B8)),"")</f>
        <v/>
      </c>
      <c r="U306" s="13">
        <f>IFERROR(IF(O306&gt;N306,"SUPPORT (PE OI)","RESIST (CE OI)"),"")</f>
        <v/>
      </c>
      <c r="V306" s="13">
        <f>IFERROR(IF(Q306&gt;0,IF(R306&gt;0,"BOTH_ADD","CE_ADD_PE_REDUCE"),IF(R306&gt;0,"CE_REDUCE_PE_ADD","BOTH_REDUCE")),"")</f>
        <v/>
      </c>
      <c r="W306" s="13">
        <f>IFERROR( (P306-1)*0.5 + (M306)*0.1 - (I306+J306)*0.05 + T306*0.4 ,"")</f>
        <v/>
      </c>
      <c r="X306" s="13">
        <f>IFERROR(IF(ABS(F306)&lt;0.01,"ATM/NEAR",""),"")</f>
        <v/>
      </c>
    </row>
    <row r="307">
      <c r="A307" s="13">
        <f>CHAIN_RAW!A307</f>
        <v/>
      </c>
      <c r="B307" s="14">
        <f>CHAIN_RAW!B307</f>
        <v/>
      </c>
      <c r="C307" s="13">
        <f>CHAIN_RAW!C307</f>
        <v/>
      </c>
      <c r="D307" s="13">
        <f>CHAIN_RAW!D307</f>
        <v/>
      </c>
      <c r="E307" s="13">
        <f>CHAIN_RAW!E307</f>
        <v/>
      </c>
      <c r="F307" s="13">
        <f>IFERROR((E307-D307)/D307,"")</f>
        <v/>
      </c>
      <c r="G307" s="13">
        <f>IFERROR((CHAIN_RAW!K307+CHAIN_RAW!L307)/2,"")</f>
        <v/>
      </c>
      <c r="H307" s="13">
        <f>IFERROR((CHAIN_RAW!R307+CHAIN_RAW!S307)/2,"")</f>
        <v/>
      </c>
      <c r="I307" s="13">
        <f>IFERROR((CHAIN_RAW!L307-CHAIN_RAW!K307)/MAX(1E-9, G307),"")</f>
        <v/>
      </c>
      <c r="J307" s="13">
        <f>IFERROR((CHAIN_RAW!S307-CHAIN_RAW!R307)/MAX(1E-9, H307),"")</f>
        <v/>
      </c>
      <c r="K307" s="13">
        <f>CHAIN_RAW!G307</f>
        <v/>
      </c>
      <c r="L307" s="13">
        <f>CHAIN_RAW!N307</f>
        <v/>
      </c>
      <c r="M307" s="13">
        <f>IFERROR(L307-K307,"")</f>
        <v/>
      </c>
      <c r="N307" s="13">
        <f>CHAIN_RAW!H307</f>
        <v/>
      </c>
      <c r="O307" s="13">
        <f>CHAIN_RAW!O307</f>
        <v/>
      </c>
      <c r="P307" s="13">
        <f>IFERROR(O307/N307,"")</f>
        <v/>
      </c>
      <c r="Q307" s="13">
        <f>CHAIN_RAW!I307</f>
        <v/>
      </c>
      <c r="R307" s="13">
        <f>CHAIN_RAW!P307</f>
        <v/>
      </c>
      <c r="S307" s="13">
        <f>IFERROR(R307/Q307,"")</f>
        <v/>
      </c>
      <c r="T307" s="13">
        <f>IFERROR((ABS(N307-O307)/MAX(1,(N307+O307)))*EXP(-ABS(E307-CONTROL!E5)/MAX(1,CONTROL!B8)),"")</f>
        <v/>
      </c>
      <c r="U307" s="13">
        <f>IFERROR(IF(O307&gt;N307,"SUPPORT (PE OI)","RESIST (CE OI)"),"")</f>
        <v/>
      </c>
      <c r="V307" s="13">
        <f>IFERROR(IF(Q307&gt;0,IF(R307&gt;0,"BOTH_ADD","CE_ADD_PE_REDUCE"),IF(R307&gt;0,"CE_REDUCE_PE_ADD","BOTH_REDUCE")),"")</f>
        <v/>
      </c>
      <c r="W307" s="13">
        <f>IFERROR( (P307-1)*0.5 + (M307)*0.1 - (I307+J307)*0.05 + T307*0.4 ,"")</f>
        <v/>
      </c>
      <c r="X307" s="13">
        <f>IFERROR(IF(ABS(F307)&lt;0.01,"ATM/NEAR",""),"")</f>
        <v/>
      </c>
    </row>
    <row r="308">
      <c r="A308" s="13">
        <f>CHAIN_RAW!A308</f>
        <v/>
      </c>
      <c r="B308" s="14">
        <f>CHAIN_RAW!B308</f>
        <v/>
      </c>
      <c r="C308" s="13">
        <f>CHAIN_RAW!C308</f>
        <v/>
      </c>
      <c r="D308" s="13">
        <f>CHAIN_RAW!D308</f>
        <v/>
      </c>
      <c r="E308" s="13">
        <f>CHAIN_RAW!E308</f>
        <v/>
      </c>
      <c r="F308" s="13">
        <f>IFERROR((E308-D308)/D308,"")</f>
        <v/>
      </c>
      <c r="G308" s="13">
        <f>IFERROR((CHAIN_RAW!K308+CHAIN_RAW!L308)/2,"")</f>
        <v/>
      </c>
      <c r="H308" s="13">
        <f>IFERROR((CHAIN_RAW!R308+CHAIN_RAW!S308)/2,"")</f>
        <v/>
      </c>
      <c r="I308" s="13">
        <f>IFERROR((CHAIN_RAW!L308-CHAIN_RAW!K308)/MAX(1E-9, G308),"")</f>
        <v/>
      </c>
      <c r="J308" s="13">
        <f>IFERROR((CHAIN_RAW!S308-CHAIN_RAW!R308)/MAX(1E-9, H308),"")</f>
        <v/>
      </c>
      <c r="K308" s="13">
        <f>CHAIN_RAW!G308</f>
        <v/>
      </c>
      <c r="L308" s="13">
        <f>CHAIN_RAW!N308</f>
        <v/>
      </c>
      <c r="M308" s="13">
        <f>IFERROR(L308-K308,"")</f>
        <v/>
      </c>
      <c r="N308" s="13">
        <f>CHAIN_RAW!H308</f>
        <v/>
      </c>
      <c r="O308" s="13">
        <f>CHAIN_RAW!O308</f>
        <v/>
      </c>
      <c r="P308" s="13">
        <f>IFERROR(O308/N308,"")</f>
        <v/>
      </c>
      <c r="Q308" s="13">
        <f>CHAIN_RAW!I308</f>
        <v/>
      </c>
      <c r="R308" s="13">
        <f>CHAIN_RAW!P308</f>
        <v/>
      </c>
      <c r="S308" s="13">
        <f>IFERROR(R308/Q308,"")</f>
        <v/>
      </c>
      <c r="T308" s="13">
        <f>IFERROR((ABS(N308-O308)/MAX(1,(N308+O308)))*EXP(-ABS(E308-CONTROL!E5)/MAX(1,CONTROL!B8)),"")</f>
        <v/>
      </c>
      <c r="U308" s="13">
        <f>IFERROR(IF(O308&gt;N308,"SUPPORT (PE OI)","RESIST (CE OI)"),"")</f>
        <v/>
      </c>
      <c r="V308" s="13">
        <f>IFERROR(IF(Q308&gt;0,IF(R308&gt;0,"BOTH_ADD","CE_ADD_PE_REDUCE"),IF(R308&gt;0,"CE_REDUCE_PE_ADD","BOTH_REDUCE")),"")</f>
        <v/>
      </c>
      <c r="W308" s="13">
        <f>IFERROR( (P308-1)*0.5 + (M308)*0.1 - (I308+J308)*0.05 + T308*0.4 ,"")</f>
        <v/>
      </c>
      <c r="X308" s="13">
        <f>IFERROR(IF(ABS(F308)&lt;0.01,"ATM/NEAR",""),"")</f>
        <v/>
      </c>
    </row>
    <row r="309">
      <c r="A309" s="13">
        <f>CHAIN_RAW!A309</f>
        <v/>
      </c>
      <c r="B309" s="14">
        <f>CHAIN_RAW!B309</f>
        <v/>
      </c>
      <c r="C309" s="13">
        <f>CHAIN_RAW!C309</f>
        <v/>
      </c>
      <c r="D309" s="13">
        <f>CHAIN_RAW!D309</f>
        <v/>
      </c>
      <c r="E309" s="13">
        <f>CHAIN_RAW!E309</f>
        <v/>
      </c>
      <c r="F309" s="13">
        <f>IFERROR((E309-D309)/D309,"")</f>
        <v/>
      </c>
      <c r="G309" s="13">
        <f>IFERROR((CHAIN_RAW!K309+CHAIN_RAW!L309)/2,"")</f>
        <v/>
      </c>
      <c r="H309" s="13">
        <f>IFERROR((CHAIN_RAW!R309+CHAIN_RAW!S309)/2,"")</f>
        <v/>
      </c>
      <c r="I309" s="13">
        <f>IFERROR((CHAIN_RAW!L309-CHAIN_RAW!K309)/MAX(1E-9, G309),"")</f>
        <v/>
      </c>
      <c r="J309" s="13">
        <f>IFERROR((CHAIN_RAW!S309-CHAIN_RAW!R309)/MAX(1E-9, H309),"")</f>
        <v/>
      </c>
      <c r="K309" s="13">
        <f>CHAIN_RAW!G309</f>
        <v/>
      </c>
      <c r="L309" s="13">
        <f>CHAIN_RAW!N309</f>
        <v/>
      </c>
      <c r="M309" s="13">
        <f>IFERROR(L309-K309,"")</f>
        <v/>
      </c>
      <c r="N309" s="13">
        <f>CHAIN_RAW!H309</f>
        <v/>
      </c>
      <c r="O309" s="13">
        <f>CHAIN_RAW!O309</f>
        <v/>
      </c>
      <c r="P309" s="13">
        <f>IFERROR(O309/N309,"")</f>
        <v/>
      </c>
      <c r="Q309" s="13">
        <f>CHAIN_RAW!I309</f>
        <v/>
      </c>
      <c r="R309" s="13">
        <f>CHAIN_RAW!P309</f>
        <v/>
      </c>
      <c r="S309" s="13">
        <f>IFERROR(R309/Q309,"")</f>
        <v/>
      </c>
      <c r="T309" s="13">
        <f>IFERROR((ABS(N309-O309)/MAX(1,(N309+O309)))*EXP(-ABS(E309-CONTROL!E5)/MAX(1,CONTROL!B8)),"")</f>
        <v/>
      </c>
      <c r="U309" s="13">
        <f>IFERROR(IF(O309&gt;N309,"SUPPORT (PE OI)","RESIST (CE OI)"),"")</f>
        <v/>
      </c>
      <c r="V309" s="13">
        <f>IFERROR(IF(Q309&gt;0,IF(R309&gt;0,"BOTH_ADD","CE_ADD_PE_REDUCE"),IF(R309&gt;0,"CE_REDUCE_PE_ADD","BOTH_REDUCE")),"")</f>
        <v/>
      </c>
      <c r="W309" s="13">
        <f>IFERROR( (P309-1)*0.5 + (M309)*0.1 - (I309+J309)*0.05 + T309*0.4 ,"")</f>
        <v/>
      </c>
      <c r="X309" s="13">
        <f>IFERROR(IF(ABS(F309)&lt;0.01,"ATM/NEAR",""),"")</f>
        <v/>
      </c>
    </row>
    <row r="310">
      <c r="A310" s="13">
        <f>CHAIN_RAW!A310</f>
        <v/>
      </c>
      <c r="B310" s="14">
        <f>CHAIN_RAW!B310</f>
        <v/>
      </c>
      <c r="C310" s="13">
        <f>CHAIN_RAW!C310</f>
        <v/>
      </c>
      <c r="D310" s="13">
        <f>CHAIN_RAW!D310</f>
        <v/>
      </c>
      <c r="E310" s="13">
        <f>CHAIN_RAW!E310</f>
        <v/>
      </c>
      <c r="F310" s="13">
        <f>IFERROR((E310-D310)/D310,"")</f>
        <v/>
      </c>
      <c r="G310" s="13">
        <f>IFERROR((CHAIN_RAW!K310+CHAIN_RAW!L310)/2,"")</f>
        <v/>
      </c>
      <c r="H310" s="13">
        <f>IFERROR((CHAIN_RAW!R310+CHAIN_RAW!S310)/2,"")</f>
        <v/>
      </c>
      <c r="I310" s="13">
        <f>IFERROR((CHAIN_RAW!L310-CHAIN_RAW!K310)/MAX(1E-9, G310),"")</f>
        <v/>
      </c>
      <c r="J310" s="13">
        <f>IFERROR((CHAIN_RAW!S310-CHAIN_RAW!R310)/MAX(1E-9, H310),"")</f>
        <v/>
      </c>
      <c r="K310" s="13">
        <f>CHAIN_RAW!G310</f>
        <v/>
      </c>
      <c r="L310" s="13">
        <f>CHAIN_RAW!N310</f>
        <v/>
      </c>
      <c r="M310" s="13">
        <f>IFERROR(L310-K310,"")</f>
        <v/>
      </c>
      <c r="N310" s="13">
        <f>CHAIN_RAW!H310</f>
        <v/>
      </c>
      <c r="O310" s="13">
        <f>CHAIN_RAW!O310</f>
        <v/>
      </c>
      <c r="P310" s="13">
        <f>IFERROR(O310/N310,"")</f>
        <v/>
      </c>
      <c r="Q310" s="13">
        <f>CHAIN_RAW!I310</f>
        <v/>
      </c>
      <c r="R310" s="13">
        <f>CHAIN_RAW!P310</f>
        <v/>
      </c>
      <c r="S310" s="13">
        <f>IFERROR(R310/Q310,"")</f>
        <v/>
      </c>
      <c r="T310" s="13">
        <f>IFERROR((ABS(N310-O310)/MAX(1,(N310+O310)))*EXP(-ABS(E310-CONTROL!E5)/MAX(1,CONTROL!B8)),"")</f>
        <v/>
      </c>
      <c r="U310" s="13">
        <f>IFERROR(IF(O310&gt;N310,"SUPPORT (PE OI)","RESIST (CE OI)"),"")</f>
        <v/>
      </c>
      <c r="V310" s="13">
        <f>IFERROR(IF(Q310&gt;0,IF(R310&gt;0,"BOTH_ADD","CE_ADD_PE_REDUCE"),IF(R310&gt;0,"CE_REDUCE_PE_ADD","BOTH_REDUCE")),"")</f>
        <v/>
      </c>
      <c r="W310" s="13">
        <f>IFERROR( (P310-1)*0.5 + (M310)*0.1 - (I310+J310)*0.05 + T310*0.4 ,"")</f>
        <v/>
      </c>
      <c r="X310" s="13">
        <f>IFERROR(IF(ABS(F310)&lt;0.01,"ATM/NEAR",""),"")</f>
        <v/>
      </c>
    </row>
    <row r="311">
      <c r="A311" s="13">
        <f>CHAIN_RAW!A311</f>
        <v/>
      </c>
      <c r="B311" s="14">
        <f>CHAIN_RAW!B311</f>
        <v/>
      </c>
      <c r="C311" s="13">
        <f>CHAIN_RAW!C311</f>
        <v/>
      </c>
      <c r="D311" s="13">
        <f>CHAIN_RAW!D311</f>
        <v/>
      </c>
      <c r="E311" s="13">
        <f>CHAIN_RAW!E311</f>
        <v/>
      </c>
      <c r="F311" s="13">
        <f>IFERROR((E311-D311)/D311,"")</f>
        <v/>
      </c>
      <c r="G311" s="13">
        <f>IFERROR((CHAIN_RAW!K311+CHAIN_RAW!L311)/2,"")</f>
        <v/>
      </c>
      <c r="H311" s="13">
        <f>IFERROR((CHAIN_RAW!R311+CHAIN_RAW!S311)/2,"")</f>
        <v/>
      </c>
      <c r="I311" s="13">
        <f>IFERROR((CHAIN_RAW!L311-CHAIN_RAW!K311)/MAX(1E-9, G311),"")</f>
        <v/>
      </c>
      <c r="J311" s="13">
        <f>IFERROR((CHAIN_RAW!S311-CHAIN_RAW!R311)/MAX(1E-9, H311),"")</f>
        <v/>
      </c>
      <c r="K311" s="13">
        <f>CHAIN_RAW!G311</f>
        <v/>
      </c>
      <c r="L311" s="13">
        <f>CHAIN_RAW!N311</f>
        <v/>
      </c>
      <c r="M311" s="13">
        <f>IFERROR(L311-K311,"")</f>
        <v/>
      </c>
      <c r="N311" s="13">
        <f>CHAIN_RAW!H311</f>
        <v/>
      </c>
      <c r="O311" s="13">
        <f>CHAIN_RAW!O311</f>
        <v/>
      </c>
      <c r="P311" s="13">
        <f>IFERROR(O311/N311,"")</f>
        <v/>
      </c>
      <c r="Q311" s="13">
        <f>CHAIN_RAW!I311</f>
        <v/>
      </c>
      <c r="R311" s="13">
        <f>CHAIN_RAW!P311</f>
        <v/>
      </c>
      <c r="S311" s="13">
        <f>IFERROR(R311/Q311,"")</f>
        <v/>
      </c>
      <c r="T311" s="13">
        <f>IFERROR((ABS(N311-O311)/MAX(1,(N311+O311)))*EXP(-ABS(E311-CONTROL!E5)/MAX(1,CONTROL!B8)),"")</f>
        <v/>
      </c>
      <c r="U311" s="13">
        <f>IFERROR(IF(O311&gt;N311,"SUPPORT (PE OI)","RESIST (CE OI)"),"")</f>
        <v/>
      </c>
      <c r="V311" s="13">
        <f>IFERROR(IF(Q311&gt;0,IF(R311&gt;0,"BOTH_ADD","CE_ADD_PE_REDUCE"),IF(R311&gt;0,"CE_REDUCE_PE_ADD","BOTH_REDUCE")),"")</f>
        <v/>
      </c>
      <c r="W311" s="13">
        <f>IFERROR( (P311-1)*0.5 + (M311)*0.1 - (I311+J311)*0.05 + T311*0.4 ,"")</f>
        <v/>
      </c>
      <c r="X311" s="13">
        <f>IFERROR(IF(ABS(F311)&lt;0.01,"ATM/NEAR",""),"")</f>
        <v/>
      </c>
    </row>
    <row r="312">
      <c r="A312" s="13">
        <f>CHAIN_RAW!A312</f>
        <v/>
      </c>
      <c r="B312" s="14">
        <f>CHAIN_RAW!B312</f>
        <v/>
      </c>
      <c r="C312" s="13">
        <f>CHAIN_RAW!C312</f>
        <v/>
      </c>
      <c r="D312" s="13">
        <f>CHAIN_RAW!D312</f>
        <v/>
      </c>
      <c r="E312" s="13">
        <f>CHAIN_RAW!E312</f>
        <v/>
      </c>
      <c r="F312" s="13">
        <f>IFERROR((E312-D312)/D312,"")</f>
        <v/>
      </c>
      <c r="G312" s="13">
        <f>IFERROR((CHAIN_RAW!K312+CHAIN_RAW!L312)/2,"")</f>
        <v/>
      </c>
      <c r="H312" s="13">
        <f>IFERROR((CHAIN_RAW!R312+CHAIN_RAW!S312)/2,"")</f>
        <v/>
      </c>
      <c r="I312" s="13">
        <f>IFERROR((CHAIN_RAW!L312-CHAIN_RAW!K312)/MAX(1E-9, G312),"")</f>
        <v/>
      </c>
      <c r="J312" s="13">
        <f>IFERROR((CHAIN_RAW!S312-CHAIN_RAW!R312)/MAX(1E-9, H312),"")</f>
        <v/>
      </c>
      <c r="K312" s="13">
        <f>CHAIN_RAW!G312</f>
        <v/>
      </c>
      <c r="L312" s="13">
        <f>CHAIN_RAW!N312</f>
        <v/>
      </c>
      <c r="M312" s="13">
        <f>IFERROR(L312-K312,"")</f>
        <v/>
      </c>
      <c r="N312" s="13">
        <f>CHAIN_RAW!H312</f>
        <v/>
      </c>
      <c r="O312" s="13">
        <f>CHAIN_RAW!O312</f>
        <v/>
      </c>
      <c r="P312" s="13">
        <f>IFERROR(O312/N312,"")</f>
        <v/>
      </c>
      <c r="Q312" s="13">
        <f>CHAIN_RAW!I312</f>
        <v/>
      </c>
      <c r="R312" s="13">
        <f>CHAIN_RAW!P312</f>
        <v/>
      </c>
      <c r="S312" s="13">
        <f>IFERROR(R312/Q312,"")</f>
        <v/>
      </c>
      <c r="T312" s="13">
        <f>IFERROR((ABS(N312-O312)/MAX(1,(N312+O312)))*EXP(-ABS(E312-CONTROL!E5)/MAX(1,CONTROL!B8)),"")</f>
        <v/>
      </c>
      <c r="U312" s="13">
        <f>IFERROR(IF(O312&gt;N312,"SUPPORT (PE OI)","RESIST (CE OI)"),"")</f>
        <v/>
      </c>
      <c r="V312" s="13">
        <f>IFERROR(IF(Q312&gt;0,IF(R312&gt;0,"BOTH_ADD","CE_ADD_PE_REDUCE"),IF(R312&gt;0,"CE_REDUCE_PE_ADD","BOTH_REDUCE")),"")</f>
        <v/>
      </c>
      <c r="W312" s="13">
        <f>IFERROR( (P312-1)*0.5 + (M312)*0.1 - (I312+J312)*0.05 + T312*0.4 ,"")</f>
        <v/>
      </c>
      <c r="X312" s="13">
        <f>IFERROR(IF(ABS(F312)&lt;0.01,"ATM/NEAR",""),"")</f>
        <v/>
      </c>
    </row>
    <row r="313">
      <c r="A313" s="13">
        <f>CHAIN_RAW!A313</f>
        <v/>
      </c>
      <c r="B313" s="14">
        <f>CHAIN_RAW!B313</f>
        <v/>
      </c>
      <c r="C313" s="13">
        <f>CHAIN_RAW!C313</f>
        <v/>
      </c>
      <c r="D313" s="13">
        <f>CHAIN_RAW!D313</f>
        <v/>
      </c>
      <c r="E313" s="13">
        <f>CHAIN_RAW!E313</f>
        <v/>
      </c>
      <c r="F313" s="13">
        <f>IFERROR((E313-D313)/D313,"")</f>
        <v/>
      </c>
      <c r="G313" s="13">
        <f>IFERROR((CHAIN_RAW!K313+CHAIN_RAW!L313)/2,"")</f>
        <v/>
      </c>
      <c r="H313" s="13">
        <f>IFERROR((CHAIN_RAW!R313+CHAIN_RAW!S313)/2,"")</f>
        <v/>
      </c>
      <c r="I313" s="13">
        <f>IFERROR((CHAIN_RAW!L313-CHAIN_RAW!K313)/MAX(1E-9, G313),"")</f>
        <v/>
      </c>
      <c r="J313" s="13">
        <f>IFERROR((CHAIN_RAW!S313-CHAIN_RAW!R313)/MAX(1E-9, H313),"")</f>
        <v/>
      </c>
      <c r="K313" s="13">
        <f>CHAIN_RAW!G313</f>
        <v/>
      </c>
      <c r="L313" s="13">
        <f>CHAIN_RAW!N313</f>
        <v/>
      </c>
      <c r="M313" s="13">
        <f>IFERROR(L313-K313,"")</f>
        <v/>
      </c>
      <c r="N313" s="13">
        <f>CHAIN_RAW!H313</f>
        <v/>
      </c>
      <c r="O313" s="13">
        <f>CHAIN_RAW!O313</f>
        <v/>
      </c>
      <c r="P313" s="13">
        <f>IFERROR(O313/N313,"")</f>
        <v/>
      </c>
      <c r="Q313" s="13">
        <f>CHAIN_RAW!I313</f>
        <v/>
      </c>
      <c r="R313" s="13">
        <f>CHAIN_RAW!P313</f>
        <v/>
      </c>
      <c r="S313" s="13">
        <f>IFERROR(R313/Q313,"")</f>
        <v/>
      </c>
      <c r="T313" s="13">
        <f>IFERROR((ABS(N313-O313)/MAX(1,(N313+O313)))*EXP(-ABS(E313-CONTROL!E5)/MAX(1,CONTROL!B8)),"")</f>
        <v/>
      </c>
      <c r="U313" s="13">
        <f>IFERROR(IF(O313&gt;N313,"SUPPORT (PE OI)","RESIST (CE OI)"),"")</f>
        <v/>
      </c>
      <c r="V313" s="13">
        <f>IFERROR(IF(Q313&gt;0,IF(R313&gt;0,"BOTH_ADD","CE_ADD_PE_REDUCE"),IF(R313&gt;0,"CE_REDUCE_PE_ADD","BOTH_REDUCE")),"")</f>
        <v/>
      </c>
      <c r="W313" s="13">
        <f>IFERROR( (P313-1)*0.5 + (M313)*0.1 - (I313+J313)*0.05 + T313*0.4 ,"")</f>
        <v/>
      </c>
      <c r="X313" s="13">
        <f>IFERROR(IF(ABS(F313)&lt;0.01,"ATM/NEAR",""),"")</f>
        <v/>
      </c>
    </row>
    <row r="314">
      <c r="A314" s="13">
        <f>CHAIN_RAW!A314</f>
        <v/>
      </c>
      <c r="B314" s="14">
        <f>CHAIN_RAW!B314</f>
        <v/>
      </c>
      <c r="C314" s="13">
        <f>CHAIN_RAW!C314</f>
        <v/>
      </c>
      <c r="D314" s="13">
        <f>CHAIN_RAW!D314</f>
        <v/>
      </c>
      <c r="E314" s="13">
        <f>CHAIN_RAW!E314</f>
        <v/>
      </c>
      <c r="F314" s="13">
        <f>IFERROR((E314-D314)/D314,"")</f>
        <v/>
      </c>
      <c r="G314" s="13">
        <f>IFERROR((CHAIN_RAW!K314+CHAIN_RAW!L314)/2,"")</f>
        <v/>
      </c>
      <c r="H314" s="13">
        <f>IFERROR((CHAIN_RAW!R314+CHAIN_RAW!S314)/2,"")</f>
        <v/>
      </c>
      <c r="I314" s="13">
        <f>IFERROR((CHAIN_RAW!L314-CHAIN_RAW!K314)/MAX(1E-9, G314),"")</f>
        <v/>
      </c>
      <c r="J314" s="13">
        <f>IFERROR((CHAIN_RAW!S314-CHAIN_RAW!R314)/MAX(1E-9, H314),"")</f>
        <v/>
      </c>
      <c r="K314" s="13">
        <f>CHAIN_RAW!G314</f>
        <v/>
      </c>
      <c r="L314" s="13">
        <f>CHAIN_RAW!N314</f>
        <v/>
      </c>
      <c r="M314" s="13">
        <f>IFERROR(L314-K314,"")</f>
        <v/>
      </c>
      <c r="N314" s="13">
        <f>CHAIN_RAW!H314</f>
        <v/>
      </c>
      <c r="O314" s="13">
        <f>CHAIN_RAW!O314</f>
        <v/>
      </c>
      <c r="P314" s="13">
        <f>IFERROR(O314/N314,"")</f>
        <v/>
      </c>
      <c r="Q314" s="13">
        <f>CHAIN_RAW!I314</f>
        <v/>
      </c>
      <c r="R314" s="13">
        <f>CHAIN_RAW!P314</f>
        <v/>
      </c>
      <c r="S314" s="13">
        <f>IFERROR(R314/Q314,"")</f>
        <v/>
      </c>
      <c r="T314" s="13">
        <f>IFERROR((ABS(N314-O314)/MAX(1,(N314+O314)))*EXP(-ABS(E314-CONTROL!E5)/MAX(1,CONTROL!B8)),"")</f>
        <v/>
      </c>
      <c r="U314" s="13">
        <f>IFERROR(IF(O314&gt;N314,"SUPPORT (PE OI)","RESIST (CE OI)"),"")</f>
        <v/>
      </c>
      <c r="V314" s="13">
        <f>IFERROR(IF(Q314&gt;0,IF(R314&gt;0,"BOTH_ADD","CE_ADD_PE_REDUCE"),IF(R314&gt;0,"CE_REDUCE_PE_ADD","BOTH_REDUCE")),"")</f>
        <v/>
      </c>
      <c r="W314" s="13">
        <f>IFERROR( (P314-1)*0.5 + (M314)*0.1 - (I314+J314)*0.05 + T314*0.4 ,"")</f>
        <v/>
      </c>
      <c r="X314" s="13">
        <f>IFERROR(IF(ABS(F314)&lt;0.01,"ATM/NEAR",""),"")</f>
        <v/>
      </c>
    </row>
    <row r="315">
      <c r="A315" s="13">
        <f>CHAIN_RAW!A315</f>
        <v/>
      </c>
      <c r="B315" s="14">
        <f>CHAIN_RAW!B315</f>
        <v/>
      </c>
      <c r="C315" s="13">
        <f>CHAIN_RAW!C315</f>
        <v/>
      </c>
      <c r="D315" s="13">
        <f>CHAIN_RAW!D315</f>
        <v/>
      </c>
      <c r="E315" s="13">
        <f>CHAIN_RAW!E315</f>
        <v/>
      </c>
      <c r="F315" s="13">
        <f>IFERROR((E315-D315)/D315,"")</f>
        <v/>
      </c>
      <c r="G315" s="13">
        <f>IFERROR((CHAIN_RAW!K315+CHAIN_RAW!L315)/2,"")</f>
        <v/>
      </c>
      <c r="H315" s="13">
        <f>IFERROR((CHAIN_RAW!R315+CHAIN_RAW!S315)/2,"")</f>
        <v/>
      </c>
      <c r="I315" s="13">
        <f>IFERROR((CHAIN_RAW!L315-CHAIN_RAW!K315)/MAX(1E-9, G315),"")</f>
        <v/>
      </c>
      <c r="J315" s="13">
        <f>IFERROR((CHAIN_RAW!S315-CHAIN_RAW!R315)/MAX(1E-9, H315),"")</f>
        <v/>
      </c>
      <c r="K315" s="13">
        <f>CHAIN_RAW!G315</f>
        <v/>
      </c>
      <c r="L315" s="13">
        <f>CHAIN_RAW!N315</f>
        <v/>
      </c>
      <c r="M315" s="13">
        <f>IFERROR(L315-K315,"")</f>
        <v/>
      </c>
      <c r="N315" s="13">
        <f>CHAIN_RAW!H315</f>
        <v/>
      </c>
      <c r="O315" s="13">
        <f>CHAIN_RAW!O315</f>
        <v/>
      </c>
      <c r="P315" s="13">
        <f>IFERROR(O315/N315,"")</f>
        <v/>
      </c>
      <c r="Q315" s="13">
        <f>CHAIN_RAW!I315</f>
        <v/>
      </c>
      <c r="R315" s="13">
        <f>CHAIN_RAW!P315</f>
        <v/>
      </c>
      <c r="S315" s="13">
        <f>IFERROR(R315/Q315,"")</f>
        <v/>
      </c>
      <c r="T315" s="13">
        <f>IFERROR((ABS(N315-O315)/MAX(1,(N315+O315)))*EXP(-ABS(E315-CONTROL!E5)/MAX(1,CONTROL!B8)),"")</f>
        <v/>
      </c>
      <c r="U315" s="13">
        <f>IFERROR(IF(O315&gt;N315,"SUPPORT (PE OI)","RESIST (CE OI)"),"")</f>
        <v/>
      </c>
      <c r="V315" s="13">
        <f>IFERROR(IF(Q315&gt;0,IF(R315&gt;0,"BOTH_ADD","CE_ADD_PE_REDUCE"),IF(R315&gt;0,"CE_REDUCE_PE_ADD","BOTH_REDUCE")),"")</f>
        <v/>
      </c>
      <c r="W315" s="13">
        <f>IFERROR( (P315-1)*0.5 + (M315)*0.1 - (I315+J315)*0.05 + T315*0.4 ,"")</f>
        <v/>
      </c>
      <c r="X315" s="13">
        <f>IFERROR(IF(ABS(F315)&lt;0.01,"ATM/NEAR",""),"")</f>
        <v/>
      </c>
    </row>
    <row r="316">
      <c r="A316" s="13">
        <f>CHAIN_RAW!A316</f>
        <v/>
      </c>
      <c r="B316" s="14">
        <f>CHAIN_RAW!B316</f>
        <v/>
      </c>
      <c r="C316" s="13">
        <f>CHAIN_RAW!C316</f>
        <v/>
      </c>
      <c r="D316" s="13">
        <f>CHAIN_RAW!D316</f>
        <v/>
      </c>
      <c r="E316" s="13">
        <f>CHAIN_RAW!E316</f>
        <v/>
      </c>
      <c r="F316" s="13">
        <f>IFERROR((E316-D316)/D316,"")</f>
        <v/>
      </c>
      <c r="G316" s="13">
        <f>IFERROR((CHAIN_RAW!K316+CHAIN_RAW!L316)/2,"")</f>
        <v/>
      </c>
      <c r="H316" s="13">
        <f>IFERROR((CHAIN_RAW!R316+CHAIN_RAW!S316)/2,"")</f>
        <v/>
      </c>
      <c r="I316" s="13">
        <f>IFERROR((CHAIN_RAW!L316-CHAIN_RAW!K316)/MAX(1E-9, G316),"")</f>
        <v/>
      </c>
      <c r="J316" s="13">
        <f>IFERROR((CHAIN_RAW!S316-CHAIN_RAW!R316)/MAX(1E-9, H316),"")</f>
        <v/>
      </c>
      <c r="K316" s="13">
        <f>CHAIN_RAW!G316</f>
        <v/>
      </c>
      <c r="L316" s="13">
        <f>CHAIN_RAW!N316</f>
        <v/>
      </c>
      <c r="M316" s="13">
        <f>IFERROR(L316-K316,"")</f>
        <v/>
      </c>
      <c r="N316" s="13">
        <f>CHAIN_RAW!H316</f>
        <v/>
      </c>
      <c r="O316" s="13">
        <f>CHAIN_RAW!O316</f>
        <v/>
      </c>
      <c r="P316" s="13">
        <f>IFERROR(O316/N316,"")</f>
        <v/>
      </c>
      <c r="Q316" s="13">
        <f>CHAIN_RAW!I316</f>
        <v/>
      </c>
      <c r="R316" s="13">
        <f>CHAIN_RAW!P316</f>
        <v/>
      </c>
      <c r="S316" s="13">
        <f>IFERROR(R316/Q316,"")</f>
        <v/>
      </c>
      <c r="T316" s="13">
        <f>IFERROR((ABS(N316-O316)/MAX(1,(N316+O316)))*EXP(-ABS(E316-CONTROL!E5)/MAX(1,CONTROL!B8)),"")</f>
        <v/>
      </c>
      <c r="U316" s="13">
        <f>IFERROR(IF(O316&gt;N316,"SUPPORT (PE OI)","RESIST (CE OI)"),"")</f>
        <v/>
      </c>
      <c r="V316" s="13">
        <f>IFERROR(IF(Q316&gt;0,IF(R316&gt;0,"BOTH_ADD","CE_ADD_PE_REDUCE"),IF(R316&gt;0,"CE_REDUCE_PE_ADD","BOTH_REDUCE")),"")</f>
        <v/>
      </c>
      <c r="W316" s="13">
        <f>IFERROR( (P316-1)*0.5 + (M316)*0.1 - (I316+J316)*0.05 + T316*0.4 ,"")</f>
        <v/>
      </c>
      <c r="X316" s="13">
        <f>IFERROR(IF(ABS(F316)&lt;0.01,"ATM/NEAR",""),"")</f>
        <v/>
      </c>
    </row>
    <row r="317">
      <c r="A317" s="13">
        <f>CHAIN_RAW!A317</f>
        <v/>
      </c>
      <c r="B317" s="14">
        <f>CHAIN_RAW!B317</f>
        <v/>
      </c>
      <c r="C317" s="13">
        <f>CHAIN_RAW!C317</f>
        <v/>
      </c>
      <c r="D317" s="13">
        <f>CHAIN_RAW!D317</f>
        <v/>
      </c>
      <c r="E317" s="13">
        <f>CHAIN_RAW!E317</f>
        <v/>
      </c>
      <c r="F317" s="13">
        <f>IFERROR((E317-D317)/D317,"")</f>
        <v/>
      </c>
      <c r="G317" s="13">
        <f>IFERROR((CHAIN_RAW!K317+CHAIN_RAW!L317)/2,"")</f>
        <v/>
      </c>
      <c r="H317" s="13">
        <f>IFERROR((CHAIN_RAW!R317+CHAIN_RAW!S317)/2,"")</f>
        <v/>
      </c>
      <c r="I317" s="13">
        <f>IFERROR((CHAIN_RAW!L317-CHAIN_RAW!K317)/MAX(1E-9, G317),"")</f>
        <v/>
      </c>
      <c r="J317" s="13">
        <f>IFERROR((CHAIN_RAW!S317-CHAIN_RAW!R317)/MAX(1E-9, H317),"")</f>
        <v/>
      </c>
      <c r="K317" s="13">
        <f>CHAIN_RAW!G317</f>
        <v/>
      </c>
      <c r="L317" s="13">
        <f>CHAIN_RAW!N317</f>
        <v/>
      </c>
      <c r="M317" s="13">
        <f>IFERROR(L317-K317,"")</f>
        <v/>
      </c>
      <c r="N317" s="13">
        <f>CHAIN_RAW!H317</f>
        <v/>
      </c>
      <c r="O317" s="13">
        <f>CHAIN_RAW!O317</f>
        <v/>
      </c>
      <c r="P317" s="13">
        <f>IFERROR(O317/N317,"")</f>
        <v/>
      </c>
      <c r="Q317" s="13">
        <f>CHAIN_RAW!I317</f>
        <v/>
      </c>
      <c r="R317" s="13">
        <f>CHAIN_RAW!P317</f>
        <v/>
      </c>
      <c r="S317" s="13">
        <f>IFERROR(R317/Q317,"")</f>
        <v/>
      </c>
      <c r="T317" s="13">
        <f>IFERROR((ABS(N317-O317)/MAX(1,(N317+O317)))*EXP(-ABS(E317-CONTROL!E5)/MAX(1,CONTROL!B8)),"")</f>
        <v/>
      </c>
      <c r="U317" s="13">
        <f>IFERROR(IF(O317&gt;N317,"SUPPORT (PE OI)","RESIST (CE OI)"),"")</f>
        <v/>
      </c>
      <c r="V317" s="13">
        <f>IFERROR(IF(Q317&gt;0,IF(R317&gt;0,"BOTH_ADD","CE_ADD_PE_REDUCE"),IF(R317&gt;0,"CE_REDUCE_PE_ADD","BOTH_REDUCE")),"")</f>
        <v/>
      </c>
      <c r="W317" s="13">
        <f>IFERROR( (P317-1)*0.5 + (M317)*0.1 - (I317+J317)*0.05 + T317*0.4 ,"")</f>
        <v/>
      </c>
      <c r="X317" s="13">
        <f>IFERROR(IF(ABS(F317)&lt;0.01,"ATM/NEAR",""),"")</f>
        <v/>
      </c>
    </row>
    <row r="318">
      <c r="A318" s="13">
        <f>CHAIN_RAW!A318</f>
        <v/>
      </c>
      <c r="B318" s="14">
        <f>CHAIN_RAW!B318</f>
        <v/>
      </c>
      <c r="C318" s="13">
        <f>CHAIN_RAW!C318</f>
        <v/>
      </c>
      <c r="D318" s="13">
        <f>CHAIN_RAW!D318</f>
        <v/>
      </c>
      <c r="E318" s="13">
        <f>CHAIN_RAW!E318</f>
        <v/>
      </c>
      <c r="F318" s="13">
        <f>IFERROR((E318-D318)/D318,"")</f>
        <v/>
      </c>
      <c r="G318" s="13">
        <f>IFERROR((CHAIN_RAW!K318+CHAIN_RAW!L318)/2,"")</f>
        <v/>
      </c>
      <c r="H318" s="13">
        <f>IFERROR((CHAIN_RAW!R318+CHAIN_RAW!S318)/2,"")</f>
        <v/>
      </c>
      <c r="I318" s="13">
        <f>IFERROR((CHAIN_RAW!L318-CHAIN_RAW!K318)/MAX(1E-9, G318),"")</f>
        <v/>
      </c>
      <c r="J318" s="13">
        <f>IFERROR((CHAIN_RAW!S318-CHAIN_RAW!R318)/MAX(1E-9, H318),"")</f>
        <v/>
      </c>
      <c r="K318" s="13">
        <f>CHAIN_RAW!G318</f>
        <v/>
      </c>
      <c r="L318" s="13">
        <f>CHAIN_RAW!N318</f>
        <v/>
      </c>
      <c r="M318" s="13">
        <f>IFERROR(L318-K318,"")</f>
        <v/>
      </c>
      <c r="N318" s="13">
        <f>CHAIN_RAW!H318</f>
        <v/>
      </c>
      <c r="O318" s="13">
        <f>CHAIN_RAW!O318</f>
        <v/>
      </c>
      <c r="P318" s="13">
        <f>IFERROR(O318/N318,"")</f>
        <v/>
      </c>
      <c r="Q318" s="13">
        <f>CHAIN_RAW!I318</f>
        <v/>
      </c>
      <c r="R318" s="13">
        <f>CHAIN_RAW!P318</f>
        <v/>
      </c>
      <c r="S318" s="13">
        <f>IFERROR(R318/Q318,"")</f>
        <v/>
      </c>
      <c r="T318" s="13">
        <f>IFERROR((ABS(N318-O318)/MAX(1,(N318+O318)))*EXP(-ABS(E318-CONTROL!E5)/MAX(1,CONTROL!B8)),"")</f>
        <v/>
      </c>
      <c r="U318" s="13">
        <f>IFERROR(IF(O318&gt;N318,"SUPPORT (PE OI)","RESIST (CE OI)"),"")</f>
        <v/>
      </c>
      <c r="V318" s="13">
        <f>IFERROR(IF(Q318&gt;0,IF(R318&gt;0,"BOTH_ADD","CE_ADD_PE_REDUCE"),IF(R318&gt;0,"CE_REDUCE_PE_ADD","BOTH_REDUCE")),"")</f>
        <v/>
      </c>
      <c r="W318" s="13">
        <f>IFERROR( (P318-1)*0.5 + (M318)*0.1 - (I318+J318)*0.05 + T318*0.4 ,"")</f>
        <v/>
      </c>
      <c r="X318" s="13">
        <f>IFERROR(IF(ABS(F318)&lt;0.01,"ATM/NEAR",""),"")</f>
        <v/>
      </c>
    </row>
    <row r="319">
      <c r="A319" s="13">
        <f>CHAIN_RAW!A319</f>
        <v/>
      </c>
      <c r="B319" s="14">
        <f>CHAIN_RAW!B319</f>
        <v/>
      </c>
      <c r="C319" s="13">
        <f>CHAIN_RAW!C319</f>
        <v/>
      </c>
      <c r="D319" s="13">
        <f>CHAIN_RAW!D319</f>
        <v/>
      </c>
      <c r="E319" s="13">
        <f>CHAIN_RAW!E319</f>
        <v/>
      </c>
      <c r="F319" s="13">
        <f>IFERROR((E319-D319)/D319,"")</f>
        <v/>
      </c>
      <c r="G319" s="13">
        <f>IFERROR((CHAIN_RAW!K319+CHAIN_RAW!L319)/2,"")</f>
        <v/>
      </c>
      <c r="H319" s="13">
        <f>IFERROR((CHAIN_RAW!R319+CHAIN_RAW!S319)/2,"")</f>
        <v/>
      </c>
      <c r="I319" s="13">
        <f>IFERROR((CHAIN_RAW!L319-CHAIN_RAW!K319)/MAX(1E-9, G319),"")</f>
        <v/>
      </c>
      <c r="J319" s="13">
        <f>IFERROR((CHAIN_RAW!S319-CHAIN_RAW!R319)/MAX(1E-9, H319),"")</f>
        <v/>
      </c>
      <c r="K319" s="13">
        <f>CHAIN_RAW!G319</f>
        <v/>
      </c>
      <c r="L319" s="13">
        <f>CHAIN_RAW!N319</f>
        <v/>
      </c>
      <c r="M319" s="13">
        <f>IFERROR(L319-K319,"")</f>
        <v/>
      </c>
      <c r="N319" s="13">
        <f>CHAIN_RAW!H319</f>
        <v/>
      </c>
      <c r="O319" s="13">
        <f>CHAIN_RAW!O319</f>
        <v/>
      </c>
      <c r="P319" s="13">
        <f>IFERROR(O319/N319,"")</f>
        <v/>
      </c>
      <c r="Q319" s="13">
        <f>CHAIN_RAW!I319</f>
        <v/>
      </c>
      <c r="R319" s="13">
        <f>CHAIN_RAW!P319</f>
        <v/>
      </c>
      <c r="S319" s="13">
        <f>IFERROR(R319/Q319,"")</f>
        <v/>
      </c>
      <c r="T319" s="13">
        <f>IFERROR((ABS(N319-O319)/MAX(1,(N319+O319)))*EXP(-ABS(E319-CONTROL!E5)/MAX(1,CONTROL!B8)),"")</f>
        <v/>
      </c>
      <c r="U319" s="13">
        <f>IFERROR(IF(O319&gt;N319,"SUPPORT (PE OI)","RESIST (CE OI)"),"")</f>
        <v/>
      </c>
      <c r="V319" s="13">
        <f>IFERROR(IF(Q319&gt;0,IF(R319&gt;0,"BOTH_ADD","CE_ADD_PE_REDUCE"),IF(R319&gt;0,"CE_REDUCE_PE_ADD","BOTH_REDUCE")),"")</f>
        <v/>
      </c>
      <c r="W319" s="13">
        <f>IFERROR( (P319-1)*0.5 + (M319)*0.1 - (I319+J319)*0.05 + T319*0.4 ,"")</f>
        <v/>
      </c>
      <c r="X319" s="13">
        <f>IFERROR(IF(ABS(F319)&lt;0.01,"ATM/NEAR",""),"")</f>
        <v/>
      </c>
    </row>
    <row r="320">
      <c r="A320" s="13">
        <f>CHAIN_RAW!A320</f>
        <v/>
      </c>
      <c r="B320" s="14">
        <f>CHAIN_RAW!B320</f>
        <v/>
      </c>
      <c r="C320" s="13">
        <f>CHAIN_RAW!C320</f>
        <v/>
      </c>
      <c r="D320" s="13">
        <f>CHAIN_RAW!D320</f>
        <v/>
      </c>
      <c r="E320" s="13">
        <f>CHAIN_RAW!E320</f>
        <v/>
      </c>
      <c r="F320" s="13">
        <f>IFERROR((E320-D320)/D320,"")</f>
        <v/>
      </c>
      <c r="G320" s="13">
        <f>IFERROR((CHAIN_RAW!K320+CHAIN_RAW!L320)/2,"")</f>
        <v/>
      </c>
      <c r="H320" s="13">
        <f>IFERROR((CHAIN_RAW!R320+CHAIN_RAW!S320)/2,"")</f>
        <v/>
      </c>
      <c r="I320" s="13">
        <f>IFERROR((CHAIN_RAW!L320-CHAIN_RAW!K320)/MAX(1E-9, G320),"")</f>
        <v/>
      </c>
      <c r="J320" s="13">
        <f>IFERROR((CHAIN_RAW!S320-CHAIN_RAW!R320)/MAX(1E-9, H320),"")</f>
        <v/>
      </c>
      <c r="K320" s="13">
        <f>CHAIN_RAW!G320</f>
        <v/>
      </c>
      <c r="L320" s="13">
        <f>CHAIN_RAW!N320</f>
        <v/>
      </c>
      <c r="M320" s="13">
        <f>IFERROR(L320-K320,"")</f>
        <v/>
      </c>
      <c r="N320" s="13">
        <f>CHAIN_RAW!H320</f>
        <v/>
      </c>
      <c r="O320" s="13">
        <f>CHAIN_RAW!O320</f>
        <v/>
      </c>
      <c r="P320" s="13">
        <f>IFERROR(O320/N320,"")</f>
        <v/>
      </c>
      <c r="Q320" s="13">
        <f>CHAIN_RAW!I320</f>
        <v/>
      </c>
      <c r="R320" s="13">
        <f>CHAIN_RAW!P320</f>
        <v/>
      </c>
      <c r="S320" s="13">
        <f>IFERROR(R320/Q320,"")</f>
        <v/>
      </c>
      <c r="T320" s="13">
        <f>IFERROR((ABS(N320-O320)/MAX(1,(N320+O320)))*EXP(-ABS(E320-CONTROL!E5)/MAX(1,CONTROL!B8)),"")</f>
        <v/>
      </c>
      <c r="U320" s="13">
        <f>IFERROR(IF(O320&gt;N320,"SUPPORT (PE OI)","RESIST (CE OI)"),"")</f>
        <v/>
      </c>
      <c r="V320" s="13">
        <f>IFERROR(IF(Q320&gt;0,IF(R320&gt;0,"BOTH_ADD","CE_ADD_PE_REDUCE"),IF(R320&gt;0,"CE_REDUCE_PE_ADD","BOTH_REDUCE")),"")</f>
        <v/>
      </c>
      <c r="W320" s="13">
        <f>IFERROR( (P320-1)*0.5 + (M320)*0.1 - (I320+J320)*0.05 + T320*0.4 ,"")</f>
        <v/>
      </c>
      <c r="X320" s="13">
        <f>IFERROR(IF(ABS(F320)&lt;0.01,"ATM/NEAR",""),"")</f>
        <v/>
      </c>
    </row>
    <row r="321">
      <c r="A321" s="13">
        <f>CHAIN_RAW!A321</f>
        <v/>
      </c>
      <c r="B321" s="14">
        <f>CHAIN_RAW!B321</f>
        <v/>
      </c>
      <c r="C321" s="13">
        <f>CHAIN_RAW!C321</f>
        <v/>
      </c>
      <c r="D321" s="13">
        <f>CHAIN_RAW!D321</f>
        <v/>
      </c>
      <c r="E321" s="13">
        <f>CHAIN_RAW!E321</f>
        <v/>
      </c>
      <c r="F321" s="13">
        <f>IFERROR((E321-D321)/D321,"")</f>
        <v/>
      </c>
      <c r="G321" s="13">
        <f>IFERROR((CHAIN_RAW!K321+CHAIN_RAW!L321)/2,"")</f>
        <v/>
      </c>
      <c r="H321" s="13">
        <f>IFERROR((CHAIN_RAW!R321+CHAIN_RAW!S321)/2,"")</f>
        <v/>
      </c>
      <c r="I321" s="13">
        <f>IFERROR((CHAIN_RAW!L321-CHAIN_RAW!K321)/MAX(1E-9, G321),"")</f>
        <v/>
      </c>
      <c r="J321" s="13">
        <f>IFERROR((CHAIN_RAW!S321-CHAIN_RAW!R321)/MAX(1E-9, H321),"")</f>
        <v/>
      </c>
      <c r="K321" s="13">
        <f>CHAIN_RAW!G321</f>
        <v/>
      </c>
      <c r="L321" s="13">
        <f>CHAIN_RAW!N321</f>
        <v/>
      </c>
      <c r="M321" s="13">
        <f>IFERROR(L321-K321,"")</f>
        <v/>
      </c>
      <c r="N321" s="13">
        <f>CHAIN_RAW!H321</f>
        <v/>
      </c>
      <c r="O321" s="13">
        <f>CHAIN_RAW!O321</f>
        <v/>
      </c>
      <c r="P321" s="13">
        <f>IFERROR(O321/N321,"")</f>
        <v/>
      </c>
      <c r="Q321" s="13">
        <f>CHAIN_RAW!I321</f>
        <v/>
      </c>
      <c r="R321" s="13">
        <f>CHAIN_RAW!P321</f>
        <v/>
      </c>
      <c r="S321" s="13">
        <f>IFERROR(R321/Q321,"")</f>
        <v/>
      </c>
      <c r="T321" s="13">
        <f>IFERROR((ABS(N321-O321)/MAX(1,(N321+O321)))*EXP(-ABS(E321-CONTROL!E5)/MAX(1,CONTROL!B8)),"")</f>
        <v/>
      </c>
      <c r="U321" s="13">
        <f>IFERROR(IF(O321&gt;N321,"SUPPORT (PE OI)","RESIST (CE OI)"),"")</f>
        <v/>
      </c>
      <c r="V321" s="13">
        <f>IFERROR(IF(Q321&gt;0,IF(R321&gt;0,"BOTH_ADD","CE_ADD_PE_REDUCE"),IF(R321&gt;0,"CE_REDUCE_PE_ADD","BOTH_REDUCE")),"")</f>
        <v/>
      </c>
      <c r="W321" s="13">
        <f>IFERROR( (P321-1)*0.5 + (M321)*0.1 - (I321+J321)*0.05 + T321*0.4 ,"")</f>
        <v/>
      </c>
      <c r="X321" s="13">
        <f>IFERROR(IF(ABS(F321)&lt;0.01,"ATM/NEAR",""),"")</f>
        <v/>
      </c>
    </row>
    <row r="322">
      <c r="A322" s="13">
        <f>CHAIN_RAW!A322</f>
        <v/>
      </c>
      <c r="B322" s="14">
        <f>CHAIN_RAW!B322</f>
        <v/>
      </c>
      <c r="C322" s="13">
        <f>CHAIN_RAW!C322</f>
        <v/>
      </c>
      <c r="D322" s="13">
        <f>CHAIN_RAW!D322</f>
        <v/>
      </c>
      <c r="E322" s="13">
        <f>CHAIN_RAW!E322</f>
        <v/>
      </c>
      <c r="F322" s="13">
        <f>IFERROR((E322-D322)/D322,"")</f>
        <v/>
      </c>
      <c r="G322" s="13">
        <f>IFERROR((CHAIN_RAW!K322+CHAIN_RAW!L322)/2,"")</f>
        <v/>
      </c>
      <c r="H322" s="13">
        <f>IFERROR((CHAIN_RAW!R322+CHAIN_RAW!S322)/2,"")</f>
        <v/>
      </c>
      <c r="I322" s="13">
        <f>IFERROR((CHAIN_RAW!L322-CHAIN_RAW!K322)/MAX(1E-9, G322),"")</f>
        <v/>
      </c>
      <c r="J322" s="13">
        <f>IFERROR((CHAIN_RAW!S322-CHAIN_RAW!R322)/MAX(1E-9, H322),"")</f>
        <v/>
      </c>
      <c r="K322" s="13">
        <f>CHAIN_RAW!G322</f>
        <v/>
      </c>
      <c r="L322" s="13">
        <f>CHAIN_RAW!N322</f>
        <v/>
      </c>
      <c r="M322" s="13">
        <f>IFERROR(L322-K322,"")</f>
        <v/>
      </c>
      <c r="N322" s="13">
        <f>CHAIN_RAW!H322</f>
        <v/>
      </c>
      <c r="O322" s="13">
        <f>CHAIN_RAW!O322</f>
        <v/>
      </c>
      <c r="P322" s="13">
        <f>IFERROR(O322/N322,"")</f>
        <v/>
      </c>
      <c r="Q322" s="13">
        <f>CHAIN_RAW!I322</f>
        <v/>
      </c>
      <c r="R322" s="13">
        <f>CHAIN_RAW!P322</f>
        <v/>
      </c>
      <c r="S322" s="13">
        <f>IFERROR(R322/Q322,"")</f>
        <v/>
      </c>
      <c r="T322" s="13">
        <f>IFERROR((ABS(N322-O322)/MAX(1,(N322+O322)))*EXP(-ABS(E322-CONTROL!E5)/MAX(1,CONTROL!B8)),"")</f>
        <v/>
      </c>
      <c r="U322" s="13">
        <f>IFERROR(IF(O322&gt;N322,"SUPPORT (PE OI)","RESIST (CE OI)"),"")</f>
        <v/>
      </c>
      <c r="V322" s="13">
        <f>IFERROR(IF(Q322&gt;0,IF(R322&gt;0,"BOTH_ADD","CE_ADD_PE_REDUCE"),IF(R322&gt;0,"CE_REDUCE_PE_ADD","BOTH_REDUCE")),"")</f>
        <v/>
      </c>
      <c r="W322" s="13">
        <f>IFERROR( (P322-1)*0.5 + (M322)*0.1 - (I322+J322)*0.05 + T322*0.4 ,"")</f>
        <v/>
      </c>
      <c r="X322" s="13">
        <f>IFERROR(IF(ABS(F322)&lt;0.01,"ATM/NEAR",""),"")</f>
        <v/>
      </c>
    </row>
    <row r="323">
      <c r="A323" s="13">
        <f>CHAIN_RAW!A323</f>
        <v/>
      </c>
      <c r="B323" s="14">
        <f>CHAIN_RAW!B323</f>
        <v/>
      </c>
      <c r="C323" s="13">
        <f>CHAIN_RAW!C323</f>
        <v/>
      </c>
      <c r="D323" s="13">
        <f>CHAIN_RAW!D323</f>
        <v/>
      </c>
      <c r="E323" s="13">
        <f>CHAIN_RAW!E323</f>
        <v/>
      </c>
      <c r="F323" s="13">
        <f>IFERROR((E323-D323)/D323,"")</f>
        <v/>
      </c>
      <c r="G323" s="13">
        <f>IFERROR((CHAIN_RAW!K323+CHAIN_RAW!L323)/2,"")</f>
        <v/>
      </c>
      <c r="H323" s="13">
        <f>IFERROR((CHAIN_RAW!R323+CHAIN_RAW!S323)/2,"")</f>
        <v/>
      </c>
      <c r="I323" s="13">
        <f>IFERROR((CHAIN_RAW!L323-CHAIN_RAW!K323)/MAX(1E-9, G323),"")</f>
        <v/>
      </c>
      <c r="J323" s="13">
        <f>IFERROR((CHAIN_RAW!S323-CHAIN_RAW!R323)/MAX(1E-9, H323),"")</f>
        <v/>
      </c>
      <c r="K323" s="13">
        <f>CHAIN_RAW!G323</f>
        <v/>
      </c>
      <c r="L323" s="13">
        <f>CHAIN_RAW!N323</f>
        <v/>
      </c>
      <c r="M323" s="13">
        <f>IFERROR(L323-K323,"")</f>
        <v/>
      </c>
      <c r="N323" s="13">
        <f>CHAIN_RAW!H323</f>
        <v/>
      </c>
      <c r="O323" s="13">
        <f>CHAIN_RAW!O323</f>
        <v/>
      </c>
      <c r="P323" s="13">
        <f>IFERROR(O323/N323,"")</f>
        <v/>
      </c>
      <c r="Q323" s="13">
        <f>CHAIN_RAW!I323</f>
        <v/>
      </c>
      <c r="R323" s="13">
        <f>CHAIN_RAW!P323</f>
        <v/>
      </c>
      <c r="S323" s="13">
        <f>IFERROR(R323/Q323,"")</f>
        <v/>
      </c>
      <c r="T323" s="13">
        <f>IFERROR((ABS(N323-O323)/MAX(1,(N323+O323)))*EXP(-ABS(E323-CONTROL!E5)/MAX(1,CONTROL!B8)),"")</f>
        <v/>
      </c>
      <c r="U323" s="13">
        <f>IFERROR(IF(O323&gt;N323,"SUPPORT (PE OI)","RESIST (CE OI)"),"")</f>
        <v/>
      </c>
      <c r="V323" s="13">
        <f>IFERROR(IF(Q323&gt;0,IF(R323&gt;0,"BOTH_ADD","CE_ADD_PE_REDUCE"),IF(R323&gt;0,"CE_REDUCE_PE_ADD","BOTH_REDUCE")),"")</f>
        <v/>
      </c>
      <c r="W323" s="13">
        <f>IFERROR( (P323-1)*0.5 + (M323)*0.1 - (I323+J323)*0.05 + T323*0.4 ,"")</f>
        <v/>
      </c>
      <c r="X323" s="13">
        <f>IFERROR(IF(ABS(F323)&lt;0.01,"ATM/NEAR",""),"")</f>
        <v/>
      </c>
    </row>
    <row r="324">
      <c r="A324" s="13">
        <f>CHAIN_RAW!A324</f>
        <v/>
      </c>
      <c r="B324" s="14">
        <f>CHAIN_RAW!B324</f>
        <v/>
      </c>
      <c r="C324" s="13">
        <f>CHAIN_RAW!C324</f>
        <v/>
      </c>
      <c r="D324" s="13">
        <f>CHAIN_RAW!D324</f>
        <v/>
      </c>
      <c r="E324" s="13">
        <f>CHAIN_RAW!E324</f>
        <v/>
      </c>
      <c r="F324" s="13">
        <f>IFERROR((E324-D324)/D324,"")</f>
        <v/>
      </c>
      <c r="G324" s="13">
        <f>IFERROR((CHAIN_RAW!K324+CHAIN_RAW!L324)/2,"")</f>
        <v/>
      </c>
      <c r="H324" s="13">
        <f>IFERROR((CHAIN_RAW!R324+CHAIN_RAW!S324)/2,"")</f>
        <v/>
      </c>
      <c r="I324" s="13">
        <f>IFERROR((CHAIN_RAW!L324-CHAIN_RAW!K324)/MAX(1E-9, G324),"")</f>
        <v/>
      </c>
      <c r="J324" s="13">
        <f>IFERROR((CHAIN_RAW!S324-CHAIN_RAW!R324)/MAX(1E-9, H324),"")</f>
        <v/>
      </c>
      <c r="K324" s="13">
        <f>CHAIN_RAW!G324</f>
        <v/>
      </c>
      <c r="L324" s="13">
        <f>CHAIN_RAW!N324</f>
        <v/>
      </c>
      <c r="M324" s="13">
        <f>IFERROR(L324-K324,"")</f>
        <v/>
      </c>
      <c r="N324" s="13">
        <f>CHAIN_RAW!H324</f>
        <v/>
      </c>
      <c r="O324" s="13">
        <f>CHAIN_RAW!O324</f>
        <v/>
      </c>
      <c r="P324" s="13">
        <f>IFERROR(O324/N324,"")</f>
        <v/>
      </c>
      <c r="Q324" s="13">
        <f>CHAIN_RAW!I324</f>
        <v/>
      </c>
      <c r="R324" s="13">
        <f>CHAIN_RAW!P324</f>
        <v/>
      </c>
      <c r="S324" s="13">
        <f>IFERROR(R324/Q324,"")</f>
        <v/>
      </c>
      <c r="T324" s="13">
        <f>IFERROR((ABS(N324-O324)/MAX(1,(N324+O324)))*EXP(-ABS(E324-CONTROL!E5)/MAX(1,CONTROL!B8)),"")</f>
        <v/>
      </c>
      <c r="U324" s="13">
        <f>IFERROR(IF(O324&gt;N324,"SUPPORT (PE OI)","RESIST (CE OI)"),"")</f>
        <v/>
      </c>
      <c r="V324" s="13">
        <f>IFERROR(IF(Q324&gt;0,IF(R324&gt;0,"BOTH_ADD","CE_ADD_PE_REDUCE"),IF(R324&gt;0,"CE_REDUCE_PE_ADD","BOTH_REDUCE")),"")</f>
        <v/>
      </c>
      <c r="W324" s="13">
        <f>IFERROR( (P324-1)*0.5 + (M324)*0.1 - (I324+J324)*0.05 + T324*0.4 ,"")</f>
        <v/>
      </c>
      <c r="X324" s="13">
        <f>IFERROR(IF(ABS(F324)&lt;0.01,"ATM/NEAR",""),"")</f>
        <v/>
      </c>
    </row>
    <row r="325">
      <c r="A325" s="13">
        <f>CHAIN_RAW!A325</f>
        <v/>
      </c>
      <c r="B325" s="14">
        <f>CHAIN_RAW!B325</f>
        <v/>
      </c>
      <c r="C325" s="13">
        <f>CHAIN_RAW!C325</f>
        <v/>
      </c>
      <c r="D325" s="13">
        <f>CHAIN_RAW!D325</f>
        <v/>
      </c>
      <c r="E325" s="13">
        <f>CHAIN_RAW!E325</f>
        <v/>
      </c>
      <c r="F325" s="13">
        <f>IFERROR((E325-D325)/D325,"")</f>
        <v/>
      </c>
      <c r="G325" s="13">
        <f>IFERROR((CHAIN_RAW!K325+CHAIN_RAW!L325)/2,"")</f>
        <v/>
      </c>
      <c r="H325" s="13">
        <f>IFERROR((CHAIN_RAW!R325+CHAIN_RAW!S325)/2,"")</f>
        <v/>
      </c>
      <c r="I325" s="13">
        <f>IFERROR((CHAIN_RAW!L325-CHAIN_RAW!K325)/MAX(1E-9, G325),"")</f>
        <v/>
      </c>
      <c r="J325" s="13">
        <f>IFERROR((CHAIN_RAW!S325-CHAIN_RAW!R325)/MAX(1E-9, H325),"")</f>
        <v/>
      </c>
      <c r="K325" s="13">
        <f>CHAIN_RAW!G325</f>
        <v/>
      </c>
      <c r="L325" s="13">
        <f>CHAIN_RAW!N325</f>
        <v/>
      </c>
      <c r="M325" s="13">
        <f>IFERROR(L325-K325,"")</f>
        <v/>
      </c>
      <c r="N325" s="13">
        <f>CHAIN_RAW!H325</f>
        <v/>
      </c>
      <c r="O325" s="13">
        <f>CHAIN_RAW!O325</f>
        <v/>
      </c>
      <c r="P325" s="13">
        <f>IFERROR(O325/N325,"")</f>
        <v/>
      </c>
      <c r="Q325" s="13">
        <f>CHAIN_RAW!I325</f>
        <v/>
      </c>
      <c r="R325" s="13">
        <f>CHAIN_RAW!P325</f>
        <v/>
      </c>
      <c r="S325" s="13">
        <f>IFERROR(R325/Q325,"")</f>
        <v/>
      </c>
      <c r="T325" s="13">
        <f>IFERROR((ABS(N325-O325)/MAX(1,(N325+O325)))*EXP(-ABS(E325-CONTROL!E5)/MAX(1,CONTROL!B8)),"")</f>
        <v/>
      </c>
      <c r="U325" s="13">
        <f>IFERROR(IF(O325&gt;N325,"SUPPORT (PE OI)","RESIST (CE OI)"),"")</f>
        <v/>
      </c>
      <c r="V325" s="13">
        <f>IFERROR(IF(Q325&gt;0,IF(R325&gt;0,"BOTH_ADD","CE_ADD_PE_REDUCE"),IF(R325&gt;0,"CE_REDUCE_PE_ADD","BOTH_REDUCE")),"")</f>
        <v/>
      </c>
      <c r="W325" s="13">
        <f>IFERROR( (P325-1)*0.5 + (M325)*0.1 - (I325+J325)*0.05 + T325*0.4 ,"")</f>
        <v/>
      </c>
      <c r="X325" s="13">
        <f>IFERROR(IF(ABS(F325)&lt;0.01,"ATM/NEAR",""),"")</f>
        <v/>
      </c>
    </row>
    <row r="326">
      <c r="A326" s="13">
        <f>CHAIN_RAW!A326</f>
        <v/>
      </c>
      <c r="B326" s="14">
        <f>CHAIN_RAW!B326</f>
        <v/>
      </c>
      <c r="C326" s="13">
        <f>CHAIN_RAW!C326</f>
        <v/>
      </c>
      <c r="D326" s="13">
        <f>CHAIN_RAW!D326</f>
        <v/>
      </c>
      <c r="E326" s="13">
        <f>CHAIN_RAW!E326</f>
        <v/>
      </c>
      <c r="F326" s="13">
        <f>IFERROR((E326-D326)/D326,"")</f>
        <v/>
      </c>
      <c r="G326" s="13">
        <f>IFERROR((CHAIN_RAW!K326+CHAIN_RAW!L326)/2,"")</f>
        <v/>
      </c>
      <c r="H326" s="13">
        <f>IFERROR((CHAIN_RAW!R326+CHAIN_RAW!S326)/2,"")</f>
        <v/>
      </c>
      <c r="I326" s="13">
        <f>IFERROR((CHAIN_RAW!L326-CHAIN_RAW!K326)/MAX(1E-9, G326),"")</f>
        <v/>
      </c>
      <c r="J326" s="13">
        <f>IFERROR((CHAIN_RAW!S326-CHAIN_RAW!R326)/MAX(1E-9, H326),"")</f>
        <v/>
      </c>
      <c r="K326" s="13">
        <f>CHAIN_RAW!G326</f>
        <v/>
      </c>
      <c r="L326" s="13">
        <f>CHAIN_RAW!N326</f>
        <v/>
      </c>
      <c r="M326" s="13">
        <f>IFERROR(L326-K326,"")</f>
        <v/>
      </c>
      <c r="N326" s="13">
        <f>CHAIN_RAW!H326</f>
        <v/>
      </c>
      <c r="O326" s="13">
        <f>CHAIN_RAW!O326</f>
        <v/>
      </c>
      <c r="P326" s="13">
        <f>IFERROR(O326/N326,"")</f>
        <v/>
      </c>
      <c r="Q326" s="13">
        <f>CHAIN_RAW!I326</f>
        <v/>
      </c>
      <c r="R326" s="13">
        <f>CHAIN_RAW!P326</f>
        <v/>
      </c>
      <c r="S326" s="13">
        <f>IFERROR(R326/Q326,"")</f>
        <v/>
      </c>
      <c r="T326" s="13">
        <f>IFERROR((ABS(N326-O326)/MAX(1,(N326+O326)))*EXP(-ABS(E326-CONTROL!E5)/MAX(1,CONTROL!B8)),"")</f>
        <v/>
      </c>
      <c r="U326" s="13">
        <f>IFERROR(IF(O326&gt;N326,"SUPPORT (PE OI)","RESIST (CE OI)"),"")</f>
        <v/>
      </c>
      <c r="V326" s="13">
        <f>IFERROR(IF(Q326&gt;0,IF(R326&gt;0,"BOTH_ADD","CE_ADD_PE_REDUCE"),IF(R326&gt;0,"CE_REDUCE_PE_ADD","BOTH_REDUCE")),"")</f>
        <v/>
      </c>
      <c r="W326" s="13">
        <f>IFERROR( (P326-1)*0.5 + (M326)*0.1 - (I326+J326)*0.05 + T326*0.4 ,"")</f>
        <v/>
      </c>
      <c r="X326" s="13">
        <f>IFERROR(IF(ABS(F326)&lt;0.01,"ATM/NEAR",""),"")</f>
        <v/>
      </c>
    </row>
    <row r="327">
      <c r="A327" s="13">
        <f>CHAIN_RAW!A327</f>
        <v/>
      </c>
      <c r="B327" s="14">
        <f>CHAIN_RAW!B327</f>
        <v/>
      </c>
      <c r="C327" s="13">
        <f>CHAIN_RAW!C327</f>
        <v/>
      </c>
      <c r="D327" s="13">
        <f>CHAIN_RAW!D327</f>
        <v/>
      </c>
      <c r="E327" s="13">
        <f>CHAIN_RAW!E327</f>
        <v/>
      </c>
      <c r="F327" s="13">
        <f>IFERROR((E327-D327)/D327,"")</f>
        <v/>
      </c>
      <c r="G327" s="13">
        <f>IFERROR((CHAIN_RAW!K327+CHAIN_RAW!L327)/2,"")</f>
        <v/>
      </c>
      <c r="H327" s="13">
        <f>IFERROR((CHAIN_RAW!R327+CHAIN_RAW!S327)/2,"")</f>
        <v/>
      </c>
      <c r="I327" s="13">
        <f>IFERROR((CHAIN_RAW!L327-CHAIN_RAW!K327)/MAX(1E-9, G327),"")</f>
        <v/>
      </c>
      <c r="J327" s="13">
        <f>IFERROR((CHAIN_RAW!S327-CHAIN_RAW!R327)/MAX(1E-9, H327),"")</f>
        <v/>
      </c>
      <c r="K327" s="13">
        <f>CHAIN_RAW!G327</f>
        <v/>
      </c>
      <c r="L327" s="13">
        <f>CHAIN_RAW!N327</f>
        <v/>
      </c>
      <c r="M327" s="13">
        <f>IFERROR(L327-K327,"")</f>
        <v/>
      </c>
      <c r="N327" s="13">
        <f>CHAIN_RAW!H327</f>
        <v/>
      </c>
      <c r="O327" s="13">
        <f>CHAIN_RAW!O327</f>
        <v/>
      </c>
      <c r="P327" s="13">
        <f>IFERROR(O327/N327,"")</f>
        <v/>
      </c>
      <c r="Q327" s="13">
        <f>CHAIN_RAW!I327</f>
        <v/>
      </c>
      <c r="R327" s="13">
        <f>CHAIN_RAW!P327</f>
        <v/>
      </c>
      <c r="S327" s="13">
        <f>IFERROR(R327/Q327,"")</f>
        <v/>
      </c>
      <c r="T327" s="13">
        <f>IFERROR((ABS(N327-O327)/MAX(1,(N327+O327)))*EXP(-ABS(E327-CONTROL!E5)/MAX(1,CONTROL!B8)),"")</f>
        <v/>
      </c>
      <c r="U327" s="13">
        <f>IFERROR(IF(O327&gt;N327,"SUPPORT (PE OI)","RESIST (CE OI)"),"")</f>
        <v/>
      </c>
      <c r="V327" s="13">
        <f>IFERROR(IF(Q327&gt;0,IF(R327&gt;0,"BOTH_ADD","CE_ADD_PE_REDUCE"),IF(R327&gt;0,"CE_REDUCE_PE_ADD","BOTH_REDUCE")),"")</f>
        <v/>
      </c>
      <c r="W327" s="13">
        <f>IFERROR( (P327-1)*0.5 + (M327)*0.1 - (I327+J327)*0.05 + T327*0.4 ,"")</f>
        <v/>
      </c>
      <c r="X327" s="13">
        <f>IFERROR(IF(ABS(F327)&lt;0.01,"ATM/NEAR",""),"")</f>
        <v/>
      </c>
    </row>
    <row r="328">
      <c r="A328" s="13">
        <f>CHAIN_RAW!A328</f>
        <v/>
      </c>
      <c r="B328" s="14">
        <f>CHAIN_RAW!B328</f>
        <v/>
      </c>
      <c r="C328" s="13">
        <f>CHAIN_RAW!C328</f>
        <v/>
      </c>
      <c r="D328" s="13">
        <f>CHAIN_RAW!D328</f>
        <v/>
      </c>
      <c r="E328" s="13">
        <f>CHAIN_RAW!E328</f>
        <v/>
      </c>
      <c r="F328" s="13">
        <f>IFERROR((E328-D328)/D328,"")</f>
        <v/>
      </c>
      <c r="G328" s="13">
        <f>IFERROR((CHAIN_RAW!K328+CHAIN_RAW!L328)/2,"")</f>
        <v/>
      </c>
      <c r="H328" s="13">
        <f>IFERROR((CHAIN_RAW!R328+CHAIN_RAW!S328)/2,"")</f>
        <v/>
      </c>
      <c r="I328" s="13">
        <f>IFERROR((CHAIN_RAW!L328-CHAIN_RAW!K328)/MAX(1E-9, G328),"")</f>
        <v/>
      </c>
      <c r="J328" s="13">
        <f>IFERROR((CHAIN_RAW!S328-CHAIN_RAW!R328)/MAX(1E-9, H328),"")</f>
        <v/>
      </c>
      <c r="K328" s="13">
        <f>CHAIN_RAW!G328</f>
        <v/>
      </c>
      <c r="L328" s="13">
        <f>CHAIN_RAW!N328</f>
        <v/>
      </c>
      <c r="M328" s="13">
        <f>IFERROR(L328-K328,"")</f>
        <v/>
      </c>
      <c r="N328" s="13">
        <f>CHAIN_RAW!H328</f>
        <v/>
      </c>
      <c r="O328" s="13">
        <f>CHAIN_RAW!O328</f>
        <v/>
      </c>
      <c r="P328" s="13">
        <f>IFERROR(O328/N328,"")</f>
        <v/>
      </c>
      <c r="Q328" s="13">
        <f>CHAIN_RAW!I328</f>
        <v/>
      </c>
      <c r="R328" s="13">
        <f>CHAIN_RAW!P328</f>
        <v/>
      </c>
      <c r="S328" s="13">
        <f>IFERROR(R328/Q328,"")</f>
        <v/>
      </c>
      <c r="T328" s="13">
        <f>IFERROR((ABS(N328-O328)/MAX(1,(N328+O328)))*EXP(-ABS(E328-CONTROL!E5)/MAX(1,CONTROL!B8)),"")</f>
        <v/>
      </c>
      <c r="U328" s="13">
        <f>IFERROR(IF(O328&gt;N328,"SUPPORT (PE OI)","RESIST (CE OI)"),"")</f>
        <v/>
      </c>
      <c r="V328" s="13">
        <f>IFERROR(IF(Q328&gt;0,IF(R328&gt;0,"BOTH_ADD","CE_ADD_PE_REDUCE"),IF(R328&gt;0,"CE_REDUCE_PE_ADD","BOTH_REDUCE")),"")</f>
        <v/>
      </c>
      <c r="W328" s="13">
        <f>IFERROR( (P328-1)*0.5 + (M328)*0.1 - (I328+J328)*0.05 + T328*0.4 ,"")</f>
        <v/>
      </c>
      <c r="X328" s="13">
        <f>IFERROR(IF(ABS(F328)&lt;0.01,"ATM/NEAR",""),"")</f>
        <v/>
      </c>
    </row>
    <row r="329">
      <c r="A329" s="13">
        <f>CHAIN_RAW!A329</f>
        <v/>
      </c>
      <c r="B329" s="14">
        <f>CHAIN_RAW!B329</f>
        <v/>
      </c>
      <c r="C329" s="13">
        <f>CHAIN_RAW!C329</f>
        <v/>
      </c>
      <c r="D329" s="13">
        <f>CHAIN_RAW!D329</f>
        <v/>
      </c>
      <c r="E329" s="13">
        <f>CHAIN_RAW!E329</f>
        <v/>
      </c>
      <c r="F329" s="13">
        <f>IFERROR((E329-D329)/D329,"")</f>
        <v/>
      </c>
      <c r="G329" s="13">
        <f>IFERROR((CHAIN_RAW!K329+CHAIN_RAW!L329)/2,"")</f>
        <v/>
      </c>
      <c r="H329" s="13">
        <f>IFERROR((CHAIN_RAW!R329+CHAIN_RAW!S329)/2,"")</f>
        <v/>
      </c>
      <c r="I329" s="13">
        <f>IFERROR((CHAIN_RAW!L329-CHAIN_RAW!K329)/MAX(1E-9, G329),"")</f>
        <v/>
      </c>
      <c r="J329" s="13">
        <f>IFERROR((CHAIN_RAW!S329-CHAIN_RAW!R329)/MAX(1E-9, H329),"")</f>
        <v/>
      </c>
      <c r="K329" s="13">
        <f>CHAIN_RAW!G329</f>
        <v/>
      </c>
      <c r="L329" s="13">
        <f>CHAIN_RAW!N329</f>
        <v/>
      </c>
      <c r="M329" s="13">
        <f>IFERROR(L329-K329,"")</f>
        <v/>
      </c>
      <c r="N329" s="13">
        <f>CHAIN_RAW!H329</f>
        <v/>
      </c>
      <c r="O329" s="13">
        <f>CHAIN_RAW!O329</f>
        <v/>
      </c>
      <c r="P329" s="13">
        <f>IFERROR(O329/N329,"")</f>
        <v/>
      </c>
      <c r="Q329" s="13">
        <f>CHAIN_RAW!I329</f>
        <v/>
      </c>
      <c r="R329" s="13">
        <f>CHAIN_RAW!P329</f>
        <v/>
      </c>
      <c r="S329" s="13">
        <f>IFERROR(R329/Q329,"")</f>
        <v/>
      </c>
      <c r="T329" s="13">
        <f>IFERROR((ABS(N329-O329)/MAX(1,(N329+O329)))*EXP(-ABS(E329-CONTROL!E5)/MAX(1,CONTROL!B8)),"")</f>
        <v/>
      </c>
      <c r="U329" s="13">
        <f>IFERROR(IF(O329&gt;N329,"SUPPORT (PE OI)","RESIST (CE OI)"),"")</f>
        <v/>
      </c>
      <c r="V329" s="13">
        <f>IFERROR(IF(Q329&gt;0,IF(R329&gt;0,"BOTH_ADD","CE_ADD_PE_REDUCE"),IF(R329&gt;0,"CE_REDUCE_PE_ADD","BOTH_REDUCE")),"")</f>
        <v/>
      </c>
      <c r="W329" s="13">
        <f>IFERROR( (P329-1)*0.5 + (M329)*0.1 - (I329+J329)*0.05 + T329*0.4 ,"")</f>
        <v/>
      </c>
      <c r="X329" s="13">
        <f>IFERROR(IF(ABS(F329)&lt;0.01,"ATM/NEAR",""),"")</f>
        <v/>
      </c>
    </row>
    <row r="330">
      <c r="A330" s="13">
        <f>CHAIN_RAW!A330</f>
        <v/>
      </c>
      <c r="B330" s="14">
        <f>CHAIN_RAW!B330</f>
        <v/>
      </c>
      <c r="C330" s="13">
        <f>CHAIN_RAW!C330</f>
        <v/>
      </c>
      <c r="D330" s="13">
        <f>CHAIN_RAW!D330</f>
        <v/>
      </c>
      <c r="E330" s="13">
        <f>CHAIN_RAW!E330</f>
        <v/>
      </c>
      <c r="F330" s="13">
        <f>IFERROR((E330-D330)/D330,"")</f>
        <v/>
      </c>
      <c r="G330" s="13">
        <f>IFERROR((CHAIN_RAW!K330+CHAIN_RAW!L330)/2,"")</f>
        <v/>
      </c>
      <c r="H330" s="13">
        <f>IFERROR((CHAIN_RAW!R330+CHAIN_RAW!S330)/2,"")</f>
        <v/>
      </c>
      <c r="I330" s="13">
        <f>IFERROR((CHAIN_RAW!L330-CHAIN_RAW!K330)/MAX(1E-9, G330),"")</f>
        <v/>
      </c>
      <c r="J330" s="13">
        <f>IFERROR((CHAIN_RAW!S330-CHAIN_RAW!R330)/MAX(1E-9, H330),"")</f>
        <v/>
      </c>
      <c r="K330" s="13">
        <f>CHAIN_RAW!G330</f>
        <v/>
      </c>
      <c r="L330" s="13">
        <f>CHAIN_RAW!N330</f>
        <v/>
      </c>
      <c r="M330" s="13">
        <f>IFERROR(L330-K330,"")</f>
        <v/>
      </c>
      <c r="N330" s="13">
        <f>CHAIN_RAW!H330</f>
        <v/>
      </c>
      <c r="O330" s="13">
        <f>CHAIN_RAW!O330</f>
        <v/>
      </c>
      <c r="P330" s="13">
        <f>IFERROR(O330/N330,"")</f>
        <v/>
      </c>
      <c r="Q330" s="13">
        <f>CHAIN_RAW!I330</f>
        <v/>
      </c>
      <c r="R330" s="13">
        <f>CHAIN_RAW!P330</f>
        <v/>
      </c>
      <c r="S330" s="13">
        <f>IFERROR(R330/Q330,"")</f>
        <v/>
      </c>
      <c r="T330" s="13">
        <f>IFERROR((ABS(N330-O330)/MAX(1,(N330+O330)))*EXP(-ABS(E330-CONTROL!E5)/MAX(1,CONTROL!B8)),"")</f>
        <v/>
      </c>
      <c r="U330" s="13">
        <f>IFERROR(IF(O330&gt;N330,"SUPPORT (PE OI)","RESIST (CE OI)"),"")</f>
        <v/>
      </c>
      <c r="V330" s="13">
        <f>IFERROR(IF(Q330&gt;0,IF(R330&gt;0,"BOTH_ADD","CE_ADD_PE_REDUCE"),IF(R330&gt;0,"CE_REDUCE_PE_ADD","BOTH_REDUCE")),"")</f>
        <v/>
      </c>
      <c r="W330" s="13">
        <f>IFERROR( (P330-1)*0.5 + (M330)*0.1 - (I330+J330)*0.05 + T330*0.4 ,"")</f>
        <v/>
      </c>
      <c r="X330" s="13">
        <f>IFERROR(IF(ABS(F330)&lt;0.01,"ATM/NEAR",""),"")</f>
        <v/>
      </c>
    </row>
    <row r="331">
      <c r="A331" s="13">
        <f>CHAIN_RAW!A331</f>
        <v/>
      </c>
      <c r="B331" s="14">
        <f>CHAIN_RAW!B331</f>
        <v/>
      </c>
      <c r="C331" s="13">
        <f>CHAIN_RAW!C331</f>
        <v/>
      </c>
      <c r="D331" s="13">
        <f>CHAIN_RAW!D331</f>
        <v/>
      </c>
      <c r="E331" s="13">
        <f>CHAIN_RAW!E331</f>
        <v/>
      </c>
      <c r="F331" s="13">
        <f>IFERROR((E331-D331)/D331,"")</f>
        <v/>
      </c>
      <c r="G331" s="13">
        <f>IFERROR((CHAIN_RAW!K331+CHAIN_RAW!L331)/2,"")</f>
        <v/>
      </c>
      <c r="H331" s="13">
        <f>IFERROR((CHAIN_RAW!R331+CHAIN_RAW!S331)/2,"")</f>
        <v/>
      </c>
      <c r="I331" s="13">
        <f>IFERROR((CHAIN_RAW!L331-CHAIN_RAW!K331)/MAX(1E-9, G331),"")</f>
        <v/>
      </c>
      <c r="J331" s="13">
        <f>IFERROR((CHAIN_RAW!S331-CHAIN_RAW!R331)/MAX(1E-9, H331),"")</f>
        <v/>
      </c>
      <c r="K331" s="13">
        <f>CHAIN_RAW!G331</f>
        <v/>
      </c>
      <c r="L331" s="13">
        <f>CHAIN_RAW!N331</f>
        <v/>
      </c>
      <c r="M331" s="13">
        <f>IFERROR(L331-K331,"")</f>
        <v/>
      </c>
      <c r="N331" s="13">
        <f>CHAIN_RAW!H331</f>
        <v/>
      </c>
      <c r="O331" s="13">
        <f>CHAIN_RAW!O331</f>
        <v/>
      </c>
      <c r="P331" s="13">
        <f>IFERROR(O331/N331,"")</f>
        <v/>
      </c>
      <c r="Q331" s="13">
        <f>CHAIN_RAW!I331</f>
        <v/>
      </c>
      <c r="R331" s="13">
        <f>CHAIN_RAW!P331</f>
        <v/>
      </c>
      <c r="S331" s="13">
        <f>IFERROR(R331/Q331,"")</f>
        <v/>
      </c>
      <c r="T331" s="13">
        <f>IFERROR((ABS(N331-O331)/MAX(1,(N331+O331)))*EXP(-ABS(E331-CONTROL!E5)/MAX(1,CONTROL!B8)),"")</f>
        <v/>
      </c>
      <c r="U331" s="13">
        <f>IFERROR(IF(O331&gt;N331,"SUPPORT (PE OI)","RESIST (CE OI)"),"")</f>
        <v/>
      </c>
      <c r="V331" s="13">
        <f>IFERROR(IF(Q331&gt;0,IF(R331&gt;0,"BOTH_ADD","CE_ADD_PE_REDUCE"),IF(R331&gt;0,"CE_REDUCE_PE_ADD","BOTH_REDUCE")),"")</f>
        <v/>
      </c>
      <c r="W331" s="13">
        <f>IFERROR( (P331-1)*0.5 + (M331)*0.1 - (I331+J331)*0.05 + T331*0.4 ,"")</f>
        <v/>
      </c>
      <c r="X331" s="13">
        <f>IFERROR(IF(ABS(F331)&lt;0.01,"ATM/NEAR",""),"")</f>
        <v/>
      </c>
    </row>
    <row r="332">
      <c r="A332" s="13">
        <f>CHAIN_RAW!A332</f>
        <v/>
      </c>
      <c r="B332" s="14">
        <f>CHAIN_RAW!B332</f>
        <v/>
      </c>
      <c r="C332" s="13">
        <f>CHAIN_RAW!C332</f>
        <v/>
      </c>
      <c r="D332" s="13">
        <f>CHAIN_RAW!D332</f>
        <v/>
      </c>
      <c r="E332" s="13">
        <f>CHAIN_RAW!E332</f>
        <v/>
      </c>
      <c r="F332" s="13">
        <f>IFERROR((E332-D332)/D332,"")</f>
        <v/>
      </c>
      <c r="G332" s="13">
        <f>IFERROR((CHAIN_RAW!K332+CHAIN_RAW!L332)/2,"")</f>
        <v/>
      </c>
      <c r="H332" s="13">
        <f>IFERROR((CHAIN_RAW!R332+CHAIN_RAW!S332)/2,"")</f>
        <v/>
      </c>
      <c r="I332" s="13">
        <f>IFERROR((CHAIN_RAW!L332-CHAIN_RAW!K332)/MAX(1E-9, G332),"")</f>
        <v/>
      </c>
      <c r="J332" s="13">
        <f>IFERROR((CHAIN_RAW!S332-CHAIN_RAW!R332)/MAX(1E-9, H332),"")</f>
        <v/>
      </c>
      <c r="K332" s="13">
        <f>CHAIN_RAW!G332</f>
        <v/>
      </c>
      <c r="L332" s="13">
        <f>CHAIN_RAW!N332</f>
        <v/>
      </c>
      <c r="M332" s="13">
        <f>IFERROR(L332-K332,"")</f>
        <v/>
      </c>
      <c r="N332" s="13">
        <f>CHAIN_RAW!H332</f>
        <v/>
      </c>
      <c r="O332" s="13">
        <f>CHAIN_RAW!O332</f>
        <v/>
      </c>
      <c r="P332" s="13">
        <f>IFERROR(O332/N332,"")</f>
        <v/>
      </c>
      <c r="Q332" s="13">
        <f>CHAIN_RAW!I332</f>
        <v/>
      </c>
      <c r="R332" s="13">
        <f>CHAIN_RAW!P332</f>
        <v/>
      </c>
      <c r="S332" s="13">
        <f>IFERROR(R332/Q332,"")</f>
        <v/>
      </c>
      <c r="T332" s="13">
        <f>IFERROR((ABS(N332-O332)/MAX(1,(N332+O332)))*EXP(-ABS(E332-CONTROL!E5)/MAX(1,CONTROL!B8)),"")</f>
        <v/>
      </c>
      <c r="U332" s="13">
        <f>IFERROR(IF(O332&gt;N332,"SUPPORT (PE OI)","RESIST (CE OI)"),"")</f>
        <v/>
      </c>
      <c r="V332" s="13">
        <f>IFERROR(IF(Q332&gt;0,IF(R332&gt;0,"BOTH_ADD","CE_ADD_PE_REDUCE"),IF(R332&gt;0,"CE_REDUCE_PE_ADD","BOTH_REDUCE")),"")</f>
        <v/>
      </c>
      <c r="W332" s="13">
        <f>IFERROR( (P332-1)*0.5 + (M332)*0.1 - (I332+J332)*0.05 + T332*0.4 ,"")</f>
        <v/>
      </c>
      <c r="X332" s="13">
        <f>IFERROR(IF(ABS(F332)&lt;0.01,"ATM/NEAR",""),"")</f>
        <v/>
      </c>
    </row>
    <row r="333">
      <c r="A333" s="13">
        <f>CHAIN_RAW!A333</f>
        <v/>
      </c>
      <c r="B333" s="14">
        <f>CHAIN_RAW!B333</f>
        <v/>
      </c>
      <c r="C333" s="13">
        <f>CHAIN_RAW!C333</f>
        <v/>
      </c>
      <c r="D333" s="13">
        <f>CHAIN_RAW!D333</f>
        <v/>
      </c>
      <c r="E333" s="13">
        <f>CHAIN_RAW!E333</f>
        <v/>
      </c>
      <c r="F333" s="13">
        <f>IFERROR((E333-D333)/D333,"")</f>
        <v/>
      </c>
      <c r="G333" s="13">
        <f>IFERROR((CHAIN_RAW!K333+CHAIN_RAW!L333)/2,"")</f>
        <v/>
      </c>
      <c r="H333" s="13">
        <f>IFERROR((CHAIN_RAW!R333+CHAIN_RAW!S333)/2,"")</f>
        <v/>
      </c>
      <c r="I333" s="13">
        <f>IFERROR((CHAIN_RAW!L333-CHAIN_RAW!K333)/MAX(1E-9, G333),"")</f>
        <v/>
      </c>
      <c r="J333" s="13">
        <f>IFERROR((CHAIN_RAW!S333-CHAIN_RAW!R333)/MAX(1E-9, H333),"")</f>
        <v/>
      </c>
      <c r="K333" s="13">
        <f>CHAIN_RAW!G333</f>
        <v/>
      </c>
      <c r="L333" s="13">
        <f>CHAIN_RAW!N333</f>
        <v/>
      </c>
      <c r="M333" s="13">
        <f>IFERROR(L333-K333,"")</f>
        <v/>
      </c>
      <c r="N333" s="13">
        <f>CHAIN_RAW!H333</f>
        <v/>
      </c>
      <c r="O333" s="13">
        <f>CHAIN_RAW!O333</f>
        <v/>
      </c>
      <c r="P333" s="13">
        <f>IFERROR(O333/N333,"")</f>
        <v/>
      </c>
      <c r="Q333" s="13">
        <f>CHAIN_RAW!I333</f>
        <v/>
      </c>
      <c r="R333" s="13">
        <f>CHAIN_RAW!P333</f>
        <v/>
      </c>
      <c r="S333" s="13">
        <f>IFERROR(R333/Q333,"")</f>
        <v/>
      </c>
      <c r="T333" s="13">
        <f>IFERROR((ABS(N333-O333)/MAX(1,(N333+O333)))*EXP(-ABS(E333-CONTROL!E5)/MAX(1,CONTROL!B8)),"")</f>
        <v/>
      </c>
      <c r="U333" s="13">
        <f>IFERROR(IF(O333&gt;N333,"SUPPORT (PE OI)","RESIST (CE OI)"),"")</f>
        <v/>
      </c>
      <c r="V333" s="13">
        <f>IFERROR(IF(Q333&gt;0,IF(R333&gt;0,"BOTH_ADD","CE_ADD_PE_REDUCE"),IF(R333&gt;0,"CE_REDUCE_PE_ADD","BOTH_REDUCE")),"")</f>
        <v/>
      </c>
      <c r="W333" s="13">
        <f>IFERROR( (P333-1)*0.5 + (M333)*0.1 - (I333+J333)*0.05 + T333*0.4 ,"")</f>
        <v/>
      </c>
      <c r="X333" s="13">
        <f>IFERROR(IF(ABS(F333)&lt;0.01,"ATM/NEAR",""),"")</f>
        <v/>
      </c>
    </row>
    <row r="334">
      <c r="A334" s="13">
        <f>CHAIN_RAW!A334</f>
        <v/>
      </c>
      <c r="B334" s="14">
        <f>CHAIN_RAW!B334</f>
        <v/>
      </c>
      <c r="C334" s="13">
        <f>CHAIN_RAW!C334</f>
        <v/>
      </c>
      <c r="D334" s="13">
        <f>CHAIN_RAW!D334</f>
        <v/>
      </c>
      <c r="E334" s="13">
        <f>CHAIN_RAW!E334</f>
        <v/>
      </c>
      <c r="F334" s="13">
        <f>IFERROR((E334-D334)/D334,"")</f>
        <v/>
      </c>
      <c r="G334" s="13">
        <f>IFERROR((CHAIN_RAW!K334+CHAIN_RAW!L334)/2,"")</f>
        <v/>
      </c>
      <c r="H334" s="13">
        <f>IFERROR((CHAIN_RAW!R334+CHAIN_RAW!S334)/2,"")</f>
        <v/>
      </c>
      <c r="I334" s="13">
        <f>IFERROR((CHAIN_RAW!L334-CHAIN_RAW!K334)/MAX(1E-9, G334),"")</f>
        <v/>
      </c>
      <c r="J334" s="13">
        <f>IFERROR((CHAIN_RAW!S334-CHAIN_RAW!R334)/MAX(1E-9, H334),"")</f>
        <v/>
      </c>
      <c r="K334" s="13">
        <f>CHAIN_RAW!G334</f>
        <v/>
      </c>
      <c r="L334" s="13">
        <f>CHAIN_RAW!N334</f>
        <v/>
      </c>
      <c r="M334" s="13">
        <f>IFERROR(L334-K334,"")</f>
        <v/>
      </c>
      <c r="N334" s="13">
        <f>CHAIN_RAW!H334</f>
        <v/>
      </c>
      <c r="O334" s="13">
        <f>CHAIN_RAW!O334</f>
        <v/>
      </c>
      <c r="P334" s="13">
        <f>IFERROR(O334/N334,"")</f>
        <v/>
      </c>
      <c r="Q334" s="13">
        <f>CHAIN_RAW!I334</f>
        <v/>
      </c>
      <c r="R334" s="13">
        <f>CHAIN_RAW!P334</f>
        <v/>
      </c>
      <c r="S334" s="13">
        <f>IFERROR(R334/Q334,"")</f>
        <v/>
      </c>
      <c r="T334" s="13">
        <f>IFERROR((ABS(N334-O334)/MAX(1,(N334+O334)))*EXP(-ABS(E334-CONTROL!E5)/MAX(1,CONTROL!B8)),"")</f>
        <v/>
      </c>
      <c r="U334" s="13">
        <f>IFERROR(IF(O334&gt;N334,"SUPPORT (PE OI)","RESIST (CE OI)"),"")</f>
        <v/>
      </c>
      <c r="V334" s="13">
        <f>IFERROR(IF(Q334&gt;0,IF(R334&gt;0,"BOTH_ADD","CE_ADD_PE_REDUCE"),IF(R334&gt;0,"CE_REDUCE_PE_ADD","BOTH_REDUCE")),"")</f>
        <v/>
      </c>
      <c r="W334" s="13">
        <f>IFERROR( (P334-1)*0.5 + (M334)*0.1 - (I334+J334)*0.05 + T334*0.4 ,"")</f>
        <v/>
      </c>
      <c r="X334" s="13">
        <f>IFERROR(IF(ABS(F334)&lt;0.01,"ATM/NEAR",""),"")</f>
        <v/>
      </c>
    </row>
    <row r="335">
      <c r="A335" s="13">
        <f>CHAIN_RAW!A335</f>
        <v/>
      </c>
      <c r="B335" s="14">
        <f>CHAIN_RAW!B335</f>
        <v/>
      </c>
      <c r="C335" s="13">
        <f>CHAIN_RAW!C335</f>
        <v/>
      </c>
      <c r="D335" s="13">
        <f>CHAIN_RAW!D335</f>
        <v/>
      </c>
      <c r="E335" s="13">
        <f>CHAIN_RAW!E335</f>
        <v/>
      </c>
      <c r="F335" s="13">
        <f>IFERROR((E335-D335)/D335,"")</f>
        <v/>
      </c>
      <c r="G335" s="13">
        <f>IFERROR((CHAIN_RAW!K335+CHAIN_RAW!L335)/2,"")</f>
        <v/>
      </c>
      <c r="H335" s="13">
        <f>IFERROR((CHAIN_RAW!R335+CHAIN_RAW!S335)/2,"")</f>
        <v/>
      </c>
      <c r="I335" s="13">
        <f>IFERROR((CHAIN_RAW!L335-CHAIN_RAW!K335)/MAX(1E-9, G335),"")</f>
        <v/>
      </c>
      <c r="J335" s="13">
        <f>IFERROR((CHAIN_RAW!S335-CHAIN_RAW!R335)/MAX(1E-9, H335),"")</f>
        <v/>
      </c>
      <c r="K335" s="13">
        <f>CHAIN_RAW!G335</f>
        <v/>
      </c>
      <c r="L335" s="13">
        <f>CHAIN_RAW!N335</f>
        <v/>
      </c>
      <c r="M335" s="13">
        <f>IFERROR(L335-K335,"")</f>
        <v/>
      </c>
      <c r="N335" s="13">
        <f>CHAIN_RAW!H335</f>
        <v/>
      </c>
      <c r="O335" s="13">
        <f>CHAIN_RAW!O335</f>
        <v/>
      </c>
      <c r="P335" s="13">
        <f>IFERROR(O335/N335,"")</f>
        <v/>
      </c>
      <c r="Q335" s="13">
        <f>CHAIN_RAW!I335</f>
        <v/>
      </c>
      <c r="R335" s="13">
        <f>CHAIN_RAW!P335</f>
        <v/>
      </c>
      <c r="S335" s="13">
        <f>IFERROR(R335/Q335,"")</f>
        <v/>
      </c>
      <c r="T335" s="13">
        <f>IFERROR((ABS(N335-O335)/MAX(1,(N335+O335)))*EXP(-ABS(E335-CONTROL!E5)/MAX(1,CONTROL!B8)),"")</f>
        <v/>
      </c>
      <c r="U335" s="13">
        <f>IFERROR(IF(O335&gt;N335,"SUPPORT (PE OI)","RESIST (CE OI)"),"")</f>
        <v/>
      </c>
      <c r="V335" s="13">
        <f>IFERROR(IF(Q335&gt;0,IF(R335&gt;0,"BOTH_ADD","CE_ADD_PE_REDUCE"),IF(R335&gt;0,"CE_REDUCE_PE_ADD","BOTH_REDUCE")),"")</f>
        <v/>
      </c>
      <c r="W335" s="13">
        <f>IFERROR( (P335-1)*0.5 + (M335)*0.1 - (I335+J335)*0.05 + T335*0.4 ,"")</f>
        <v/>
      </c>
      <c r="X335" s="13">
        <f>IFERROR(IF(ABS(F335)&lt;0.01,"ATM/NEAR",""),"")</f>
        <v/>
      </c>
    </row>
    <row r="336">
      <c r="A336" s="13">
        <f>CHAIN_RAW!A336</f>
        <v/>
      </c>
      <c r="B336" s="14">
        <f>CHAIN_RAW!B336</f>
        <v/>
      </c>
      <c r="C336" s="13">
        <f>CHAIN_RAW!C336</f>
        <v/>
      </c>
      <c r="D336" s="13">
        <f>CHAIN_RAW!D336</f>
        <v/>
      </c>
      <c r="E336" s="13">
        <f>CHAIN_RAW!E336</f>
        <v/>
      </c>
      <c r="F336" s="13">
        <f>IFERROR((E336-D336)/D336,"")</f>
        <v/>
      </c>
      <c r="G336" s="13">
        <f>IFERROR((CHAIN_RAW!K336+CHAIN_RAW!L336)/2,"")</f>
        <v/>
      </c>
      <c r="H336" s="13">
        <f>IFERROR((CHAIN_RAW!R336+CHAIN_RAW!S336)/2,"")</f>
        <v/>
      </c>
      <c r="I336" s="13">
        <f>IFERROR((CHAIN_RAW!L336-CHAIN_RAW!K336)/MAX(1E-9, G336),"")</f>
        <v/>
      </c>
      <c r="J336" s="13">
        <f>IFERROR((CHAIN_RAW!S336-CHAIN_RAW!R336)/MAX(1E-9, H336),"")</f>
        <v/>
      </c>
      <c r="K336" s="13">
        <f>CHAIN_RAW!G336</f>
        <v/>
      </c>
      <c r="L336" s="13">
        <f>CHAIN_RAW!N336</f>
        <v/>
      </c>
      <c r="M336" s="13">
        <f>IFERROR(L336-K336,"")</f>
        <v/>
      </c>
      <c r="N336" s="13">
        <f>CHAIN_RAW!H336</f>
        <v/>
      </c>
      <c r="O336" s="13">
        <f>CHAIN_RAW!O336</f>
        <v/>
      </c>
      <c r="P336" s="13">
        <f>IFERROR(O336/N336,"")</f>
        <v/>
      </c>
      <c r="Q336" s="13">
        <f>CHAIN_RAW!I336</f>
        <v/>
      </c>
      <c r="R336" s="13">
        <f>CHAIN_RAW!P336</f>
        <v/>
      </c>
      <c r="S336" s="13">
        <f>IFERROR(R336/Q336,"")</f>
        <v/>
      </c>
      <c r="T336" s="13">
        <f>IFERROR((ABS(N336-O336)/MAX(1,(N336+O336)))*EXP(-ABS(E336-CONTROL!E5)/MAX(1,CONTROL!B8)),"")</f>
        <v/>
      </c>
      <c r="U336" s="13">
        <f>IFERROR(IF(O336&gt;N336,"SUPPORT (PE OI)","RESIST (CE OI)"),"")</f>
        <v/>
      </c>
      <c r="V336" s="13">
        <f>IFERROR(IF(Q336&gt;0,IF(R336&gt;0,"BOTH_ADD","CE_ADD_PE_REDUCE"),IF(R336&gt;0,"CE_REDUCE_PE_ADD","BOTH_REDUCE")),"")</f>
        <v/>
      </c>
      <c r="W336" s="13">
        <f>IFERROR( (P336-1)*0.5 + (M336)*0.1 - (I336+J336)*0.05 + T336*0.4 ,"")</f>
        <v/>
      </c>
      <c r="X336" s="13">
        <f>IFERROR(IF(ABS(F336)&lt;0.01,"ATM/NEAR",""),"")</f>
        <v/>
      </c>
    </row>
    <row r="337">
      <c r="A337" s="13">
        <f>CHAIN_RAW!A337</f>
        <v/>
      </c>
      <c r="B337" s="14">
        <f>CHAIN_RAW!B337</f>
        <v/>
      </c>
      <c r="C337" s="13">
        <f>CHAIN_RAW!C337</f>
        <v/>
      </c>
      <c r="D337" s="13">
        <f>CHAIN_RAW!D337</f>
        <v/>
      </c>
      <c r="E337" s="13">
        <f>CHAIN_RAW!E337</f>
        <v/>
      </c>
      <c r="F337" s="13">
        <f>IFERROR((E337-D337)/D337,"")</f>
        <v/>
      </c>
      <c r="G337" s="13">
        <f>IFERROR((CHAIN_RAW!K337+CHAIN_RAW!L337)/2,"")</f>
        <v/>
      </c>
      <c r="H337" s="13">
        <f>IFERROR((CHAIN_RAW!R337+CHAIN_RAW!S337)/2,"")</f>
        <v/>
      </c>
      <c r="I337" s="13">
        <f>IFERROR((CHAIN_RAW!L337-CHAIN_RAW!K337)/MAX(1E-9, G337),"")</f>
        <v/>
      </c>
      <c r="J337" s="13">
        <f>IFERROR((CHAIN_RAW!S337-CHAIN_RAW!R337)/MAX(1E-9, H337),"")</f>
        <v/>
      </c>
      <c r="K337" s="13">
        <f>CHAIN_RAW!G337</f>
        <v/>
      </c>
      <c r="L337" s="13">
        <f>CHAIN_RAW!N337</f>
        <v/>
      </c>
      <c r="M337" s="13">
        <f>IFERROR(L337-K337,"")</f>
        <v/>
      </c>
      <c r="N337" s="13">
        <f>CHAIN_RAW!H337</f>
        <v/>
      </c>
      <c r="O337" s="13">
        <f>CHAIN_RAW!O337</f>
        <v/>
      </c>
      <c r="P337" s="13">
        <f>IFERROR(O337/N337,"")</f>
        <v/>
      </c>
      <c r="Q337" s="13">
        <f>CHAIN_RAW!I337</f>
        <v/>
      </c>
      <c r="R337" s="13">
        <f>CHAIN_RAW!P337</f>
        <v/>
      </c>
      <c r="S337" s="13">
        <f>IFERROR(R337/Q337,"")</f>
        <v/>
      </c>
      <c r="T337" s="13">
        <f>IFERROR((ABS(N337-O337)/MAX(1,(N337+O337)))*EXP(-ABS(E337-CONTROL!E5)/MAX(1,CONTROL!B8)),"")</f>
        <v/>
      </c>
      <c r="U337" s="13">
        <f>IFERROR(IF(O337&gt;N337,"SUPPORT (PE OI)","RESIST (CE OI)"),"")</f>
        <v/>
      </c>
      <c r="V337" s="13">
        <f>IFERROR(IF(Q337&gt;0,IF(R337&gt;0,"BOTH_ADD","CE_ADD_PE_REDUCE"),IF(R337&gt;0,"CE_REDUCE_PE_ADD","BOTH_REDUCE")),"")</f>
        <v/>
      </c>
      <c r="W337" s="13">
        <f>IFERROR( (P337-1)*0.5 + (M337)*0.1 - (I337+J337)*0.05 + T337*0.4 ,"")</f>
        <v/>
      </c>
      <c r="X337" s="13">
        <f>IFERROR(IF(ABS(F337)&lt;0.01,"ATM/NEAR",""),"")</f>
        <v/>
      </c>
    </row>
    <row r="338">
      <c r="A338" s="13">
        <f>CHAIN_RAW!A338</f>
        <v/>
      </c>
      <c r="B338" s="14">
        <f>CHAIN_RAW!B338</f>
        <v/>
      </c>
      <c r="C338" s="13">
        <f>CHAIN_RAW!C338</f>
        <v/>
      </c>
      <c r="D338" s="13">
        <f>CHAIN_RAW!D338</f>
        <v/>
      </c>
      <c r="E338" s="13">
        <f>CHAIN_RAW!E338</f>
        <v/>
      </c>
      <c r="F338" s="13">
        <f>IFERROR((E338-D338)/D338,"")</f>
        <v/>
      </c>
      <c r="G338" s="13">
        <f>IFERROR((CHAIN_RAW!K338+CHAIN_RAW!L338)/2,"")</f>
        <v/>
      </c>
      <c r="H338" s="13">
        <f>IFERROR((CHAIN_RAW!R338+CHAIN_RAW!S338)/2,"")</f>
        <v/>
      </c>
      <c r="I338" s="13">
        <f>IFERROR((CHAIN_RAW!L338-CHAIN_RAW!K338)/MAX(1E-9, G338),"")</f>
        <v/>
      </c>
      <c r="J338" s="13">
        <f>IFERROR((CHAIN_RAW!S338-CHAIN_RAW!R338)/MAX(1E-9, H338),"")</f>
        <v/>
      </c>
      <c r="K338" s="13">
        <f>CHAIN_RAW!G338</f>
        <v/>
      </c>
      <c r="L338" s="13">
        <f>CHAIN_RAW!N338</f>
        <v/>
      </c>
      <c r="M338" s="13">
        <f>IFERROR(L338-K338,"")</f>
        <v/>
      </c>
      <c r="N338" s="13">
        <f>CHAIN_RAW!H338</f>
        <v/>
      </c>
      <c r="O338" s="13">
        <f>CHAIN_RAW!O338</f>
        <v/>
      </c>
      <c r="P338" s="13">
        <f>IFERROR(O338/N338,"")</f>
        <v/>
      </c>
      <c r="Q338" s="13">
        <f>CHAIN_RAW!I338</f>
        <v/>
      </c>
      <c r="R338" s="13">
        <f>CHAIN_RAW!P338</f>
        <v/>
      </c>
      <c r="S338" s="13">
        <f>IFERROR(R338/Q338,"")</f>
        <v/>
      </c>
      <c r="T338" s="13">
        <f>IFERROR((ABS(N338-O338)/MAX(1,(N338+O338)))*EXP(-ABS(E338-CONTROL!E5)/MAX(1,CONTROL!B8)),"")</f>
        <v/>
      </c>
      <c r="U338" s="13">
        <f>IFERROR(IF(O338&gt;N338,"SUPPORT (PE OI)","RESIST (CE OI)"),"")</f>
        <v/>
      </c>
      <c r="V338" s="13">
        <f>IFERROR(IF(Q338&gt;0,IF(R338&gt;0,"BOTH_ADD","CE_ADD_PE_REDUCE"),IF(R338&gt;0,"CE_REDUCE_PE_ADD","BOTH_REDUCE")),"")</f>
        <v/>
      </c>
      <c r="W338" s="13">
        <f>IFERROR( (P338-1)*0.5 + (M338)*0.1 - (I338+J338)*0.05 + T338*0.4 ,"")</f>
        <v/>
      </c>
      <c r="X338" s="13">
        <f>IFERROR(IF(ABS(F338)&lt;0.01,"ATM/NEAR",""),"")</f>
        <v/>
      </c>
    </row>
    <row r="339">
      <c r="A339" s="13">
        <f>CHAIN_RAW!A339</f>
        <v/>
      </c>
      <c r="B339" s="14">
        <f>CHAIN_RAW!B339</f>
        <v/>
      </c>
      <c r="C339" s="13">
        <f>CHAIN_RAW!C339</f>
        <v/>
      </c>
      <c r="D339" s="13">
        <f>CHAIN_RAW!D339</f>
        <v/>
      </c>
      <c r="E339" s="13">
        <f>CHAIN_RAW!E339</f>
        <v/>
      </c>
      <c r="F339" s="13">
        <f>IFERROR((E339-D339)/D339,"")</f>
        <v/>
      </c>
      <c r="G339" s="13">
        <f>IFERROR((CHAIN_RAW!K339+CHAIN_RAW!L339)/2,"")</f>
        <v/>
      </c>
      <c r="H339" s="13">
        <f>IFERROR((CHAIN_RAW!R339+CHAIN_RAW!S339)/2,"")</f>
        <v/>
      </c>
      <c r="I339" s="13">
        <f>IFERROR((CHAIN_RAW!L339-CHAIN_RAW!K339)/MAX(1E-9, G339),"")</f>
        <v/>
      </c>
      <c r="J339" s="13">
        <f>IFERROR((CHAIN_RAW!S339-CHAIN_RAW!R339)/MAX(1E-9, H339),"")</f>
        <v/>
      </c>
      <c r="K339" s="13">
        <f>CHAIN_RAW!G339</f>
        <v/>
      </c>
      <c r="L339" s="13">
        <f>CHAIN_RAW!N339</f>
        <v/>
      </c>
      <c r="M339" s="13">
        <f>IFERROR(L339-K339,"")</f>
        <v/>
      </c>
      <c r="N339" s="13">
        <f>CHAIN_RAW!H339</f>
        <v/>
      </c>
      <c r="O339" s="13">
        <f>CHAIN_RAW!O339</f>
        <v/>
      </c>
      <c r="P339" s="13">
        <f>IFERROR(O339/N339,"")</f>
        <v/>
      </c>
      <c r="Q339" s="13">
        <f>CHAIN_RAW!I339</f>
        <v/>
      </c>
      <c r="R339" s="13">
        <f>CHAIN_RAW!P339</f>
        <v/>
      </c>
      <c r="S339" s="13">
        <f>IFERROR(R339/Q339,"")</f>
        <v/>
      </c>
      <c r="T339" s="13">
        <f>IFERROR((ABS(N339-O339)/MAX(1,(N339+O339)))*EXP(-ABS(E339-CONTROL!E5)/MAX(1,CONTROL!B8)),"")</f>
        <v/>
      </c>
      <c r="U339" s="13">
        <f>IFERROR(IF(O339&gt;N339,"SUPPORT (PE OI)","RESIST (CE OI)"),"")</f>
        <v/>
      </c>
      <c r="V339" s="13">
        <f>IFERROR(IF(Q339&gt;0,IF(R339&gt;0,"BOTH_ADD","CE_ADD_PE_REDUCE"),IF(R339&gt;0,"CE_REDUCE_PE_ADD","BOTH_REDUCE")),"")</f>
        <v/>
      </c>
      <c r="W339" s="13">
        <f>IFERROR( (P339-1)*0.5 + (M339)*0.1 - (I339+J339)*0.05 + T339*0.4 ,"")</f>
        <v/>
      </c>
      <c r="X339" s="13">
        <f>IFERROR(IF(ABS(F339)&lt;0.01,"ATM/NEAR",""),"")</f>
        <v/>
      </c>
    </row>
    <row r="340">
      <c r="A340" s="13">
        <f>CHAIN_RAW!A340</f>
        <v/>
      </c>
      <c r="B340" s="14">
        <f>CHAIN_RAW!B340</f>
        <v/>
      </c>
      <c r="C340" s="13">
        <f>CHAIN_RAW!C340</f>
        <v/>
      </c>
      <c r="D340" s="13">
        <f>CHAIN_RAW!D340</f>
        <v/>
      </c>
      <c r="E340" s="13">
        <f>CHAIN_RAW!E340</f>
        <v/>
      </c>
      <c r="F340" s="13">
        <f>IFERROR((E340-D340)/D340,"")</f>
        <v/>
      </c>
      <c r="G340" s="13">
        <f>IFERROR((CHAIN_RAW!K340+CHAIN_RAW!L340)/2,"")</f>
        <v/>
      </c>
      <c r="H340" s="13">
        <f>IFERROR((CHAIN_RAW!R340+CHAIN_RAW!S340)/2,"")</f>
        <v/>
      </c>
      <c r="I340" s="13">
        <f>IFERROR((CHAIN_RAW!L340-CHAIN_RAW!K340)/MAX(1E-9, G340),"")</f>
        <v/>
      </c>
      <c r="J340" s="13">
        <f>IFERROR((CHAIN_RAW!S340-CHAIN_RAW!R340)/MAX(1E-9, H340),"")</f>
        <v/>
      </c>
      <c r="K340" s="13">
        <f>CHAIN_RAW!G340</f>
        <v/>
      </c>
      <c r="L340" s="13">
        <f>CHAIN_RAW!N340</f>
        <v/>
      </c>
      <c r="M340" s="13">
        <f>IFERROR(L340-K340,"")</f>
        <v/>
      </c>
      <c r="N340" s="13">
        <f>CHAIN_RAW!H340</f>
        <v/>
      </c>
      <c r="O340" s="13">
        <f>CHAIN_RAW!O340</f>
        <v/>
      </c>
      <c r="P340" s="13">
        <f>IFERROR(O340/N340,"")</f>
        <v/>
      </c>
      <c r="Q340" s="13">
        <f>CHAIN_RAW!I340</f>
        <v/>
      </c>
      <c r="R340" s="13">
        <f>CHAIN_RAW!P340</f>
        <v/>
      </c>
      <c r="S340" s="13">
        <f>IFERROR(R340/Q340,"")</f>
        <v/>
      </c>
      <c r="T340" s="13">
        <f>IFERROR((ABS(N340-O340)/MAX(1,(N340+O340)))*EXP(-ABS(E340-CONTROL!E5)/MAX(1,CONTROL!B8)),"")</f>
        <v/>
      </c>
      <c r="U340" s="13">
        <f>IFERROR(IF(O340&gt;N340,"SUPPORT (PE OI)","RESIST (CE OI)"),"")</f>
        <v/>
      </c>
      <c r="V340" s="13">
        <f>IFERROR(IF(Q340&gt;0,IF(R340&gt;0,"BOTH_ADD","CE_ADD_PE_REDUCE"),IF(R340&gt;0,"CE_REDUCE_PE_ADD","BOTH_REDUCE")),"")</f>
        <v/>
      </c>
      <c r="W340" s="13">
        <f>IFERROR( (P340-1)*0.5 + (M340)*0.1 - (I340+J340)*0.05 + T340*0.4 ,"")</f>
        <v/>
      </c>
      <c r="X340" s="13">
        <f>IFERROR(IF(ABS(F340)&lt;0.01,"ATM/NEAR",""),"")</f>
        <v/>
      </c>
    </row>
    <row r="341">
      <c r="A341" s="13">
        <f>CHAIN_RAW!A341</f>
        <v/>
      </c>
      <c r="B341" s="14">
        <f>CHAIN_RAW!B341</f>
        <v/>
      </c>
      <c r="C341" s="13">
        <f>CHAIN_RAW!C341</f>
        <v/>
      </c>
      <c r="D341" s="13">
        <f>CHAIN_RAW!D341</f>
        <v/>
      </c>
      <c r="E341" s="13">
        <f>CHAIN_RAW!E341</f>
        <v/>
      </c>
      <c r="F341" s="13">
        <f>IFERROR((E341-D341)/D341,"")</f>
        <v/>
      </c>
      <c r="G341" s="13">
        <f>IFERROR((CHAIN_RAW!K341+CHAIN_RAW!L341)/2,"")</f>
        <v/>
      </c>
      <c r="H341" s="13">
        <f>IFERROR((CHAIN_RAW!R341+CHAIN_RAW!S341)/2,"")</f>
        <v/>
      </c>
      <c r="I341" s="13">
        <f>IFERROR((CHAIN_RAW!L341-CHAIN_RAW!K341)/MAX(1E-9, G341),"")</f>
        <v/>
      </c>
      <c r="J341" s="13">
        <f>IFERROR((CHAIN_RAW!S341-CHAIN_RAW!R341)/MAX(1E-9, H341),"")</f>
        <v/>
      </c>
      <c r="K341" s="13">
        <f>CHAIN_RAW!G341</f>
        <v/>
      </c>
      <c r="L341" s="13">
        <f>CHAIN_RAW!N341</f>
        <v/>
      </c>
      <c r="M341" s="13">
        <f>IFERROR(L341-K341,"")</f>
        <v/>
      </c>
      <c r="N341" s="13">
        <f>CHAIN_RAW!H341</f>
        <v/>
      </c>
      <c r="O341" s="13">
        <f>CHAIN_RAW!O341</f>
        <v/>
      </c>
      <c r="P341" s="13">
        <f>IFERROR(O341/N341,"")</f>
        <v/>
      </c>
      <c r="Q341" s="13">
        <f>CHAIN_RAW!I341</f>
        <v/>
      </c>
      <c r="R341" s="13">
        <f>CHAIN_RAW!P341</f>
        <v/>
      </c>
      <c r="S341" s="13">
        <f>IFERROR(R341/Q341,"")</f>
        <v/>
      </c>
      <c r="T341" s="13">
        <f>IFERROR((ABS(N341-O341)/MAX(1,(N341+O341)))*EXP(-ABS(E341-CONTROL!E5)/MAX(1,CONTROL!B8)),"")</f>
        <v/>
      </c>
      <c r="U341" s="13">
        <f>IFERROR(IF(O341&gt;N341,"SUPPORT (PE OI)","RESIST (CE OI)"),"")</f>
        <v/>
      </c>
      <c r="V341" s="13">
        <f>IFERROR(IF(Q341&gt;0,IF(R341&gt;0,"BOTH_ADD","CE_ADD_PE_REDUCE"),IF(R341&gt;0,"CE_REDUCE_PE_ADD","BOTH_REDUCE")),"")</f>
        <v/>
      </c>
      <c r="W341" s="13">
        <f>IFERROR( (P341-1)*0.5 + (M341)*0.1 - (I341+J341)*0.05 + T341*0.4 ,"")</f>
        <v/>
      </c>
      <c r="X341" s="13">
        <f>IFERROR(IF(ABS(F341)&lt;0.01,"ATM/NEAR",""),"")</f>
        <v/>
      </c>
    </row>
    <row r="342">
      <c r="A342" s="13">
        <f>CHAIN_RAW!A342</f>
        <v/>
      </c>
      <c r="B342" s="14">
        <f>CHAIN_RAW!B342</f>
        <v/>
      </c>
      <c r="C342" s="13">
        <f>CHAIN_RAW!C342</f>
        <v/>
      </c>
      <c r="D342" s="13">
        <f>CHAIN_RAW!D342</f>
        <v/>
      </c>
      <c r="E342" s="13">
        <f>CHAIN_RAW!E342</f>
        <v/>
      </c>
      <c r="F342" s="13">
        <f>IFERROR((E342-D342)/D342,"")</f>
        <v/>
      </c>
      <c r="G342" s="13">
        <f>IFERROR((CHAIN_RAW!K342+CHAIN_RAW!L342)/2,"")</f>
        <v/>
      </c>
      <c r="H342" s="13">
        <f>IFERROR((CHAIN_RAW!R342+CHAIN_RAW!S342)/2,"")</f>
        <v/>
      </c>
      <c r="I342" s="13">
        <f>IFERROR((CHAIN_RAW!L342-CHAIN_RAW!K342)/MAX(1E-9, G342),"")</f>
        <v/>
      </c>
      <c r="J342" s="13">
        <f>IFERROR((CHAIN_RAW!S342-CHAIN_RAW!R342)/MAX(1E-9, H342),"")</f>
        <v/>
      </c>
      <c r="K342" s="13">
        <f>CHAIN_RAW!G342</f>
        <v/>
      </c>
      <c r="L342" s="13">
        <f>CHAIN_RAW!N342</f>
        <v/>
      </c>
      <c r="M342" s="13">
        <f>IFERROR(L342-K342,"")</f>
        <v/>
      </c>
      <c r="N342" s="13">
        <f>CHAIN_RAW!H342</f>
        <v/>
      </c>
      <c r="O342" s="13">
        <f>CHAIN_RAW!O342</f>
        <v/>
      </c>
      <c r="P342" s="13">
        <f>IFERROR(O342/N342,"")</f>
        <v/>
      </c>
      <c r="Q342" s="13">
        <f>CHAIN_RAW!I342</f>
        <v/>
      </c>
      <c r="R342" s="13">
        <f>CHAIN_RAW!P342</f>
        <v/>
      </c>
      <c r="S342" s="13">
        <f>IFERROR(R342/Q342,"")</f>
        <v/>
      </c>
      <c r="T342" s="13">
        <f>IFERROR((ABS(N342-O342)/MAX(1,(N342+O342)))*EXP(-ABS(E342-CONTROL!E5)/MAX(1,CONTROL!B8)),"")</f>
        <v/>
      </c>
      <c r="U342" s="13">
        <f>IFERROR(IF(O342&gt;N342,"SUPPORT (PE OI)","RESIST (CE OI)"),"")</f>
        <v/>
      </c>
      <c r="V342" s="13">
        <f>IFERROR(IF(Q342&gt;0,IF(R342&gt;0,"BOTH_ADD","CE_ADD_PE_REDUCE"),IF(R342&gt;0,"CE_REDUCE_PE_ADD","BOTH_REDUCE")),"")</f>
        <v/>
      </c>
      <c r="W342" s="13">
        <f>IFERROR( (P342-1)*0.5 + (M342)*0.1 - (I342+J342)*0.05 + T342*0.4 ,"")</f>
        <v/>
      </c>
      <c r="X342" s="13">
        <f>IFERROR(IF(ABS(F342)&lt;0.01,"ATM/NEAR",""),"")</f>
        <v/>
      </c>
    </row>
    <row r="343">
      <c r="A343" s="13">
        <f>CHAIN_RAW!A343</f>
        <v/>
      </c>
      <c r="B343" s="14">
        <f>CHAIN_RAW!B343</f>
        <v/>
      </c>
      <c r="C343" s="13">
        <f>CHAIN_RAW!C343</f>
        <v/>
      </c>
      <c r="D343" s="13">
        <f>CHAIN_RAW!D343</f>
        <v/>
      </c>
      <c r="E343" s="13">
        <f>CHAIN_RAW!E343</f>
        <v/>
      </c>
      <c r="F343" s="13">
        <f>IFERROR((E343-D343)/D343,"")</f>
        <v/>
      </c>
      <c r="G343" s="13">
        <f>IFERROR((CHAIN_RAW!K343+CHAIN_RAW!L343)/2,"")</f>
        <v/>
      </c>
      <c r="H343" s="13">
        <f>IFERROR((CHAIN_RAW!R343+CHAIN_RAW!S343)/2,"")</f>
        <v/>
      </c>
      <c r="I343" s="13">
        <f>IFERROR((CHAIN_RAW!L343-CHAIN_RAW!K343)/MAX(1E-9, G343),"")</f>
        <v/>
      </c>
      <c r="J343" s="13">
        <f>IFERROR((CHAIN_RAW!S343-CHAIN_RAW!R343)/MAX(1E-9, H343),"")</f>
        <v/>
      </c>
      <c r="K343" s="13">
        <f>CHAIN_RAW!G343</f>
        <v/>
      </c>
      <c r="L343" s="13">
        <f>CHAIN_RAW!N343</f>
        <v/>
      </c>
      <c r="M343" s="13">
        <f>IFERROR(L343-K343,"")</f>
        <v/>
      </c>
      <c r="N343" s="13">
        <f>CHAIN_RAW!H343</f>
        <v/>
      </c>
      <c r="O343" s="13">
        <f>CHAIN_RAW!O343</f>
        <v/>
      </c>
      <c r="P343" s="13">
        <f>IFERROR(O343/N343,"")</f>
        <v/>
      </c>
      <c r="Q343" s="13">
        <f>CHAIN_RAW!I343</f>
        <v/>
      </c>
      <c r="R343" s="13">
        <f>CHAIN_RAW!P343</f>
        <v/>
      </c>
      <c r="S343" s="13">
        <f>IFERROR(R343/Q343,"")</f>
        <v/>
      </c>
      <c r="T343" s="13">
        <f>IFERROR((ABS(N343-O343)/MAX(1,(N343+O343)))*EXP(-ABS(E343-CONTROL!E5)/MAX(1,CONTROL!B8)),"")</f>
        <v/>
      </c>
      <c r="U343" s="13">
        <f>IFERROR(IF(O343&gt;N343,"SUPPORT (PE OI)","RESIST (CE OI)"),"")</f>
        <v/>
      </c>
      <c r="V343" s="13">
        <f>IFERROR(IF(Q343&gt;0,IF(R343&gt;0,"BOTH_ADD","CE_ADD_PE_REDUCE"),IF(R343&gt;0,"CE_REDUCE_PE_ADD","BOTH_REDUCE")),"")</f>
        <v/>
      </c>
      <c r="W343" s="13">
        <f>IFERROR( (P343-1)*0.5 + (M343)*0.1 - (I343+J343)*0.05 + T343*0.4 ,"")</f>
        <v/>
      </c>
      <c r="X343" s="13">
        <f>IFERROR(IF(ABS(F343)&lt;0.01,"ATM/NEAR",""),"")</f>
        <v/>
      </c>
    </row>
    <row r="344">
      <c r="A344" s="13">
        <f>CHAIN_RAW!A344</f>
        <v/>
      </c>
      <c r="B344" s="14">
        <f>CHAIN_RAW!B344</f>
        <v/>
      </c>
      <c r="C344" s="13">
        <f>CHAIN_RAW!C344</f>
        <v/>
      </c>
      <c r="D344" s="13">
        <f>CHAIN_RAW!D344</f>
        <v/>
      </c>
      <c r="E344" s="13">
        <f>CHAIN_RAW!E344</f>
        <v/>
      </c>
      <c r="F344" s="13">
        <f>IFERROR((E344-D344)/D344,"")</f>
        <v/>
      </c>
      <c r="G344" s="13">
        <f>IFERROR((CHAIN_RAW!K344+CHAIN_RAW!L344)/2,"")</f>
        <v/>
      </c>
      <c r="H344" s="13">
        <f>IFERROR((CHAIN_RAW!R344+CHAIN_RAW!S344)/2,"")</f>
        <v/>
      </c>
      <c r="I344" s="13">
        <f>IFERROR((CHAIN_RAW!L344-CHAIN_RAW!K344)/MAX(1E-9, G344),"")</f>
        <v/>
      </c>
      <c r="J344" s="13">
        <f>IFERROR((CHAIN_RAW!S344-CHAIN_RAW!R344)/MAX(1E-9, H344),"")</f>
        <v/>
      </c>
      <c r="K344" s="13">
        <f>CHAIN_RAW!G344</f>
        <v/>
      </c>
      <c r="L344" s="13">
        <f>CHAIN_RAW!N344</f>
        <v/>
      </c>
      <c r="M344" s="13">
        <f>IFERROR(L344-K344,"")</f>
        <v/>
      </c>
      <c r="N344" s="13">
        <f>CHAIN_RAW!H344</f>
        <v/>
      </c>
      <c r="O344" s="13">
        <f>CHAIN_RAW!O344</f>
        <v/>
      </c>
      <c r="P344" s="13">
        <f>IFERROR(O344/N344,"")</f>
        <v/>
      </c>
      <c r="Q344" s="13">
        <f>CHAIN_RAW!I344</f>
        <v/>
      </c>
      <c r="R344" s="13">
        <f>CHAIN_RAW!P344</f>
        <v/>
      </c>
      <c r="S344" s="13">
        <f>IFERROR(R344/Q344,"")</f>
        <v/>
      </c>
      <c r="T344" s="13">
        <f>IFERROR((ABS(N344-O344)/MAX(1,(N344+O344)))*EXP(-ABS(E344-CONTROL!E5)/MAX(1,CONTROL!B8)),"")</f>
        <v/>
      </c>
      <c r="U344" s="13">
        <f>IFERROR(IF(O344&gt;N344,"SUPPORT (PE OI)","RESIST (CE OI)"),"")</f>
        <v/>
      </c>
      <c r="V344" s="13">
        <f>IFERROR(IF(Q344&gt;0,IF(R344&gt;0,"BOTH_ADD","CE_ADD_PE_REDUCE"),IF(R344&gt;0,"CE_REDUCE_PE_ADD","BOTH_REDUCE")),"")</f>
        <v/>
      </c>
      <c r="W344" s="13">
        <f>IFERROR( (P344-1)*0.5 + (M344)*0.1 - (I344+J344)*0.05 + T344*0.4 ,"")</f>
        <v/>
      </c>
      <c r="X344" s="13">
        <f>IFERROR(IF(ABS(F344)&lt;0.01,"ATM/NEAR",""),"")</f>
        <v/>
      </c>
    </row>
    <row r="345">
      <c r="A345" s="13">
        <f>CHAIN_RAW!A345</f>
        <v/>
      </c>
      <c r="B345" s="14">
        <f>CHAIN_RAW!B345</f>
        <v/>
      </c>
      <c r="C345" s="13">
        <f>CHAIN_RAW!C345</f>
        <v/>
      </c>
      <c r="D345" s="13">
        <f>CHAIN_RAW!D345</f>
        <v/>
      </c>
      <c r="E345" s="13">
        <f>CHAIN_RAW!E345</f>
        <v/>
      </c>
      <c r="F345" s="13">
        <f>IFERROR((E345-D345)/D345,"")</f>
        <v/>
      </c>
      <c r="G345" s="13">
        <f>IFERROR((CHAIN_RAW!K345+CHAIN_RAW!L345)/2,"")</f>
        <v/>
      </c>
      <c r="H345" s="13">
        <f>IFERROR((CHAIN_RAW!R345+CHAIN_RAW!S345)/2,"")</f>
        <v/>
      </c>
      <c r="I345" s="13">
        <f>IFERROR((CHAIN_RAW!L345-CHAIN_RAW!K345)/MAX(1E-9, G345),"")</f>
        <v/>
      </c>
      <c r="J345" s="13">
        <f>IFERROR((CHAIN_RAW!S345-CHAIN_RAW!R345)/MAX(1E-9, H345),"")</f>
        <v/>
      </c>
      <c r="K345" s="13">
        <f>CHAIN_RAW!G345</f>
        <v/>
      </c>
      <c r="L345" s="13">
        <f>CHAIN_RAW!N345</f>
        <v/>
      </c>
      <c r="M345" s="13">
        <f>IFERROR(L345-K345,"")</f>
        <v/>
      </c>
      <c r="N345" s="13">
        <f>CHAIN_RAW!H345</f>
        <v/>
      </c>
      <c r="O345" s="13">
        <f>CHAIN_RAW!O345</f>
        <v/>
      </c>
      <c r="P345" s="13">
        <f>IFERROR(O345/N345,"")</f>
        <v/>
      </c>
      <c r="Q345" s="13">
        <f>CHAIN_RAW!I345</f>
        <v/>
      </c>
      <c r="R345" s="13">
        <f>CHAIN_RAW!P345</f>
        <v/>
      </c>
      <c r="S345" s="13">
        <f>IFERROR(R345/Q345,"")</f>
        <v/>
      </c>
      <c r="T345" s="13">
        <f>IFERROR((ABS(N345-O345)/MAX(1,(N345+O345)))*EXP(-ABS(E345-CONTROL!E5)/MAX(1,CONTROL!B8)),"")</f>
        <v/>
      </c>
      <c r="U345" s="13">
        <f>IFERROR(IF(O345&gt;N345,"SUPPORT (PE OI)","RESIST (CE OI)"),"")</f>
        <v/>
      </c>
      <c r="V345" s="13">
        <f>IFERROR(IF(Q345&gt;0,IF(R345&gt;0,"BOTH_ADD","CE_ADD_PE_REDUCE"),IF(R345&gt;0,"CE_REDUCE_PE_ADD","BOTH_REDUCE")),"")</f>
        <v/>
      </c>
      <c r="W345" s="13">
        <f>IFERROR( (P345-1)*0.5 + (M345)*0.1 - (I345+J345)*0.05 + T345*0.4 ,"")</f>
        <v/>
      </c>
      <c r="X345" s="13">
        <f>IFERROR(IF(ABS(F345)&lt;0.01,"ATM/NEAR",""),"")</f>
        <v/>
      </c>
    </row>
    <row r="346">
      <c r="A346" s="13">
        <f>CHAIN_RAW!A346</f>
        <v/>
      </c>
      <c r="B346" s="14">
        <f>CHAIN_RAW!B346</f>
        <v/>
      </c>
      <c r="C346" s="13">
        <f>CHAIN_RAW!C346</f>
        <v/>
      </c>
      <c r="D346" s="13">
        <f>CHAIN_RAW!D346</f>
        <v/>
      </c>
      <c r="E346" s="13">
        <f>CHAIN_RAW!E346</f>
        <v/>
      </c>
      <c r="F346" s="13">
        <f>IFERROR((E346-D346)/D346,"")</f>
        <v/>
      </c>
      <c r="G346" s="13">
        <f>IFERROR((CHAIN_RAW!K346+CHAIN_RAW!L346)/2,"")</f>
        <v/>
      </c>
      <c r="H346" s="13">
        <f>IFERROR((CHAIN_RAW!R346+CHAIN_RAW!S346)/2,"")</f>
        <v/>
      </c>
      <c r="I346" s="13">
        <f>IFERROR((CHAIN_RAW!L346-CHAIN_RAW!K346)/MAX(1E-9, G346),"")</f>
        <v/>
      </c>
      <c r="J346" s="13">
        <f>IFERROR((CHAIN_RAW!S346-CHAIN_RAW!R346)/MAX(1E-9, H346),"")</f>
        <v/>
      </c>
      <c r="K346" s="13">
        <f>CHAIN_RAW!G346</f>
        <v/>
      </c>
      <c r="L346" s="13">
        <f>CHAIN_RAW!N346</f>
        <v/>
      </c>
      <c r="M346" s="13">
        <f>IFERROR(L346-K346,"")</f>
        <v/>
      </c>
      <c r="N346" s="13">
        <f>CHAIN_RAW!H346</f>
        <v/>
      </c>
      <c r="O346" s="13">
        <f>CHAIN_RAW!O346</f>
        <v/>
      </c>
      <c r="P346" s="13">
        <f>IFERROR(O346/N346,"")</f>
        <v/>
      </c>
      <c r="Q346" s="13">
        <f>CHAIN_RAW!I346</f>
        <v/>
      </c>
      <c r="R346" s="13">
        <f>CHAIN_RAW!P346</f>
        <v/>
      </c>
      <c r="S346" s="13">
        <f>IFERROR(R346/Q346,"")</f>
        <v/>
      </c>
      <c r="T346" s="13">
        <f>IFERROR((ABS(N346-O346)/MAX(1,(N346+O346)))*EXP(-ABS(E346-CONTROL!E5)/MAX(1,CONTROL!B8)),"")</f>
        <v/>
      </c>
      <c r="U346" s="13">
        <f>IFERROR(IF(O346&gt;N346,"SUPPORT (PE OI)","RESIST (CE OI)"),"")</f>
        <v/>
      </c>
      <c r="V346" s="13">
        <f>IFERROR(IF(Q346&gt;0,IF(R346&gt;0,"BOTH_ADD","CE_ADD_PE_REDUCE"),IF(R346&gt;0,"CE_REDUCE_PE_ADD","BOTH_REDUCE")),"")</f>
        <v/>
      </c>
      <c r="W346" s="13">
        <f>IFERROR( (P346-1)*0.5 + (M346)*0.1 - (I346+J346)*0.05 + T346*0.4 ,"")</f>
        <v/>
      </c>
      <c r="X346" s="13">
        <f>IFERROR(IF(ABS(F346)&lt;0.01,"ATM/NEAR",""),"")</f>
        <v/>
      </c>
    </row>
    <row r="347">
      <c r="A347" s="13">
        <f>CHAIN_RAW!A347</f>
        <v/>
      </c>
      <c r="B347" s="14">
        <f>CHAIN_RAW!B347</f>
        <v/>
      </c>
      <c r="C347" s="13">
        <f>CHAIN_RAW!C347</f>
        <v/>
      </c>
      <c r="D347" s="13">
        <f>CHAIN_RAW!D347</f>
        <v/>
      </c>
      <c r="E347" s="13">
        <f>CHAIN_RAW!E347</f>
        <v/>
      </c>
      <c r="F347" s="13">
        <f>IFERROR((E347-D347)/D347,"")</f>
        <v/>
      </c>
      <c r="G347" s="13">
        <f>IFERROR((CHAIN_RAW!K347+CHAIN_RAW!L347)/2,"")</f>
        <v/>
      </c>
      <c r="H347" s="13">
        <f>IFERROR((CHAIN_RAW!R347+CHAIN_RAW!S347)/2,"")</f>
        <v/>
      </c>
      <c r="I347" s="13">
        <f>IFERROR((CHAIN_RAW!L347-CHAIN_RAW!K347)/MAX(1E-9, G347),"")</f>
        <v/>
      </c>
      <c r="J347" s="13">
        <f>IFERROR((CHAIN_RAW!S347-CHAIN_RAW!R347)/MAX(1E-9, H347),"")</f>
        <v/>
      </c>
      <c r="K347" s="13">
        <f>CHAIN_RAW!G347</f>
        <v/>
      </c>
      <c r="L347" s="13">
        <f>CHAIN_RAW!N347</f>
        <v/>
      </c>
      <c r="M347" s="13">
        <f>IFERROR(L347-K347,"")</f>
        <v/>
      </c>
      <c r="N347" s="13">
        <f>CHAIN_RAW!H347</f>
        <v/>
      </c>
      <c r="O347" s="13">
        <f>CHAIN_RAW!O347</f>
        <v/>
      </c>
      <c r="P347" s="13">
        <f>IFERROR(O347/N347,"")</f>
        <v/>
      </c>
      <c r="Q347" s="13">
        <f>CHAIN_RAW!I347</f>
        <v/>
      </c>
      <c r="R347" s="13">
        <f>CHAIN_RAW!P347</f>
        <v/>
      </c>
      <c r="S347" s="13">
        <f>IFERROR(R347/Q347,"")</f>
        <v/>
      </c>
      <c r="T347" s="13">
        <f>IFERROR((ABS(N347-O347)/MAX(1,(N347+O347)))*EXP(-ABS(E347-CONTROL!E5)/MAX(1,CONTROL!B8)),"")</f>
        <v/>
      </c>
      <c r="U347" s="13">
        <f>IFERROR(IF(O347&gt;N347,"SUPPORT (PE OI)","RESIST (CE OI)"),"")</f>
        <v/>
      </c>
      <c r="V347" s="13">
        <f>IFERROR(IF(Q347&gt;0,IF(R347&gt;0,"BOTH_ADD","CE_ADD_PE_REDUCE"),IF(R347&gt;0,"CE_REDUCE_PE_ADD","BOTH_REDUCE")),"")</f>
        <v/>
      </c>
      <c r="W347" s="13">
        <f>IFERROR( (P347-1)*0.5 + (M347)*0.1 - (I347+J347)*0.05 + T347*0.4 ,"")</f>
        <v/>
      </c>
      <c r="X347" s="13">
        <f>IFERROR(IF(ABS(F347)&lt;0.01,"ATM/NEAR",""),"")</f>
        <v/>
      </c>
    </row>
    <row r="348">
      <c r="A348" s="13">
        <f>CHAIN_RAW!A348</f>
        <v/>
      </c>
      <c r="B348" s="14">
        <f>CHAIN_RAW!B348</f>
        <v/>
      </c>
      <c r="C348" s="13">
        <f>CHAIN_RAW!C348</f>
        <v/>
      </c>
      <c r="D348" s="13">
        <f>CHAIN_RAW!D348</f>
        <v/>
      </c>
      <c r="E348" s="13">
        <f>CHAIN_RAW!E348</f>
        <v/>
      </c>
      <c r="F348" s="13">
        <f>IFERROR((E348-D348)/D348,"")</f>
        <v/>
      </c>
      <c r="G348" s="13">
        <f>IFERROR((CHAIN_RAW!K348+CHAIN_RAW!L348)/2,"")</f>
        <v/>
      </c>
      <c r="H348" s="13">
        <f>IFERROR((CHAIN_RAW!R348+CHAIN_RAW!S348)/2,"")</f>
        <v/>
      </c>
      <c r="I348" s="13">
        <f>IFERROR((CHAIN_RAW!L348-CHAIN_RAW!K348)/MAX(1E-9, G348),"")</f>
        <v/>
      </c>
      <c r="J348" s="13">
        <f>IFERROR((CHAIN_RAW!S348-CHAIN_RAW!R348)/MAX(1E-9, H348),"")</f>
        <v/>
      </c>
      <c r="K348" s="13">
        <f>CHAIN_RAW!G348</f>
        <v/>
      </c>
      <c r="L348" s="13">
        <f>CHAIN_RAW!N348</f>
        <v/>
      </c>
      <c r="M348" s="13">
        <f>IFERROR(L348-K348,"")</f>
        <v/>
      </c>
      <c r="N348" s="13">
        <f>CHAIN_RAW!H348</f>
        <v/>
      </c>
      <c r="O348" s="13">
        <f>CHAIN_RAW!O348</f>
        <v/>
      </c>
      <c r="P348" s="13">
        <f>IFERROR(O348/N348,"")</f>
        <v/>
      </c>
      <c r="Q348" s="13">
        <f>CHAIN_RAW!I348</f>
        <v/>
      </c>
      <c r="R348" s="13">
        <f>CHAIN_RAW!P348</f>
        <v/>
      </c>
      <c r="S348" s="13">
        <f>IFERROR(R348/Q348,"")</f>
        <v/>
      </c>
      <c r="T348" s="13">
        <f>IFERROR((ABS(N348-O348)/MAX(1,(N348+O348)))*EXP(-ABS(E348-CONTROL!E5)/MAX(1,CONTROL!B8)),"")</f>
        <v/>
      </c>
      <c r="U348" s="13">
        <f>IFERROR(IF(O348&gt;N348,"SUPPORT (PE OI)","RESIST (CE OI)"),"")</f>
        <v/>
      </c>
      <c r="V348" s="13">
        <f>IFERROR(IF(Q348&gt;0,IF(R348&gt;0,"BOTH_ADD","CE_ADD_PE_REDUCE"),IF(R348&gt;0,"CE_REDUCE_PE_ADD","BOTH_REDUCE")),"")</f>
        <v/>
      </c>
      <c r="W348" s="13">
        <f>IFERROR( (P348-1)*0.5 + (M348)*0.1 - (I348+J348)*0.05 + T348*0.4 ,"")</f>
        <v/>
      </c>
      <c r="X348" s="13">
        <f>IFERROR(IF(ABS(F348)&lt;0.01,"ATM/NEAR",""),"")</f>
        <v/>
      </c>
    </row>
    <row r="349">
      <c r="A349" s="13">
        <f>CHAIN_RAW!A349</f>
        <v/>
      </c>
      <c r="B349" s="14">
        <f>CHAIN_RAW!B349</f>
        <v/>
      </c>
      <c r="C349" s="13">
        <f>CHAIN_RAW!C349</f>
        <v/>
      </c>
      <c r="D349" s="13">
        <f>CHAIN_RAW!D349</f>
        <v/>
      </c>
      <c r="E349" s="13">
        <f>CHAIN_RAW!E349</f>
        <v/>
      </c>
      <c r="F349" s="13">
        <f>IFERROR((E349-D349)/D349,"")</f>
        <v/>
      </c>
      <c r="G349" s="13">
        <f>IFERROR((CHAIN_RAW!K349+CHAIN_RAW!L349)/2,"")</f>
        <v/>
      </c>
      <c r="H349" s="13">
        <f>IFERROR((CHAIN_RAW!R349+CHAIN_RAW!S349)/2,"")</f>
        <v/>
      </c>
      <c r="I349" s="13">
        <f>IFERROR((CHAIN_RAW!L349-CHAIN_RAW!K349)/MAX(1E-9, G349),"")</f>
        <v/>
      </c>
      <c r="J349" s="13">
        <f>IFERROR((CHAIN_RAW!S349-CHAIN_RAW!R349)/MAX(1E-9, H349),"")</f>
        <v/>
      </c>
      <c r="K349" s="13">
        <f>CHAIN_RAW!G349</f>
        <v/>
      </c>
      <c r="L349" s="13">
        <f>CHAIN_RAW!N349</f>
        <v/>
      </c>
      <c r="M349" s="13">
        <f>IFERROR(L349-K349,"")</f>
        <v/>
      </c>
      <c r="N349" s="13">
        <f>CHAIN_RAW!H349</f>
        <v/>
      </c>
      <c r="O349" s="13">
        <f>CHAIN_RAW!O349</f>
        <v/>
      </c>
      <c r="P349" s="13">
        <f>IFERROR(O349/N349,"")</f>
        <v/>
      </c>
      <c r="Q349" s="13">
        <f>CHAIN_RAW!I349</f>
        <v/>
      </c>
      <c r="R349" s="13">
        <f>CHAIN_RAW!P349</f>
        <v/>
      </c>
      <c r="S349" s="13">
        <f>IFERROR(R349/Q349,"")</f>
        <v/>
      </c>
      <c r="T349" s="13">
        <f>IFERROR((ABS(N349-O349)/MAX(1,(N349+O349)))*EXP(-ABS(E349-CONTROL!E5)/MAX(1,CONTROL!B8)),"")</f>
        <v/>
      </c>
      <c r="U349" s="13">
        <f>IFERROR(IF(O349&gt;N349,"SUPPORT (PE OI)","RESIST (CE OI)"),"")</f>
        <v/>
      </c>
      <c r="V349" s="13">
        <f>IFERROR(IF(Q349&gt;0,IF(R349&gt;0,"BOTH_ADD","CE_ADD_PE_REDUCE"),IF(R349&gt;0,"CE_REDUCE_PE_ADD","BOTH_REDUCE")),"")</f>
        <v/>
      </c>
      <c r="W349" s="13">
        <f>IFERROR( (P349-1)*0.5 + (M349)*0.1 - (I349+J349)*0.05 + T349*0.4 ,"")</f>
        <v/>
      </c>
      <c r="X349" s="13">
        <f>IFERROR(IF(ABS(F349)&lt;0.01,"ATM/NEAR",""),"")</f>
        <v/>
      </c>
    </row>
    <row r="350">
      <c r="A350" s="13">
        <f>CHAIN_RAW!A350</f>
        <v/>
      </c>
      <c r="B350" s="14">
        <f>CHAIN_RAW!B350</f>
        <v/>
      </c>
      <c r="C350" s="13">
        <f>CHAIN_RAW!C350</f>
        <v/>
      </c>
      <c r="D350" s="13">
        <f>CHAIN_RAW!D350</f>
        <v/>
      </c>
      <c r="E350" s="13">
        <f>CHAIN_RAW!E350</f>
        <v/>
      </c>
      <c r="F350" s="13">
        <f>IFERROR((E350-D350)/D350,"")</f>
        <v/>
      </c>
      <c r="G350" s="13">
        <f>IFERROR((CHAIN_RAW!K350+CHAIN_RAW!L350)/2,"")</f>
        <v/>
      </c>
      <c r="H350" s="13">
        <f>IFERROR((CHAIN_RAW!R350+CHAIN_RAW!S350)/2,"")</f>
        <v/>
      </c>
      <c r="I350" s="13">
        <f>IFERROR((CHAIN_RAW!L350-CHAIN_RAW!K350)/MAX(1E-9, G350),"")</f>
        <v/>
      </c>
      <c r="J350" s="13">
        <f>IFERROR((CHAIN_RAW!S350-CHAIN_RAW!R350)/MAX(1E-9, H350),"")</f>
        <v/>
      </c>
      <c r="K350" s="13">
        <f>CHAIN_RAW!G350</f>
        <v/>
      </c>
      <c r="L350" s="13">
        <f>CHAIN_RAW!N350</f>
        <v/>
      </c>
      <c r="M350" s="13">
        <f>IFERROR(L350-K350,"")</f>
        <v/>
      </c>
      <c r="N350" s="13">
        <f>CHAIN_RAW!H350</f>
        <v/>
      </c>
      <c r="O350" s="13">
        <f>CHAIN_RAW!O350</f>
        <v/>
      </c>
      <c r="P350" s="13">
        <f>IFERROR(O350/N350,"")</f>
        <v/>
      </c>
      <c r="Q350" s="13">
        <f>CHAIN_RAW!I350</f>
        <v/>
      </c>
      <c r="R350" s="13">
        <f>CHAIN_RAW!P350</f>
        <v/>
      </c>
      <c r="S350" s="13">
        <f>IFERROR(R350/Q350,"")</f>
        <v/>
      </c>
      <c r="T350" s="13">
        <f>IFERROR((ABS(N350-O350)/MAX(1,(N350+O350)))*EXP(-ABS(E350-CONTROL!E5)/MAX(1,CONTROL!B8)),"")</f>
        <v/>
      </c>
      <c r="U350" s="13">
        <f>IFERROR(IF(O350&gt;N350,"SUPPORT (PE OI)","RESIST (CE OI)"),"")</f>
        <v/>
      </c>
      <c r="V350" s="13">
        <f>IFERROR(IF(Q350&gt;0,IF(R350&gt;0,"BOTH_ADD","CE_ADD_PE_REDUCE"),IF(R350&gt;0,"CE_REDUCE_PE_ADD","BOTH_REDUCE")),"")</f>
        <v/>
      </c>
      <c r="W350" s="13">
        <f>IFERROR( (P350-1)*0.5 + (M350)*0.1 - (I350+J350)*0.05 + T350*0.4 ,"")</f>
        <v/>
      </c>
      <c r="X350" s="13">
        <f>IFERROR(IF(ABS(F350)&lt;0.01,"ATM/NEAR",""),"")</f>
        <v/>
      </c>
    </row>
    <row r="351">
      <c r="A351" s="13">
        <f>CHAIN_RAW!A351</f>
        <v/>
      </c>
      <c r="B351" s="14">
        <f>CHAIN_RAW!B351</f>
        <v/>
      </c>
      <c r="C351" s="13">
        <f>CHAIN_RAW!C351</f>
        <v/>
      </c>
      <c r="D351" s="13">
        <f>CHAIN_RAW!D351</f>
        <v/>
      </c>
      <c r="E351" s="13">
        <f>CHAIN_RAW!E351</f>
        <v/>
      </c>
      <c r="F351" s="13">
        <f>IFERROR((E351-D351)/D351,"")</f>
        <v/>
      </c>
      <c r="G351" s="13">
        <f>IFERROR((CHAIN_RAW!K351+CHAIN_RAW!L351)/2,"")</f>
        <v/>
      </c>
      <c r="H351" s="13">
        <f>IFERROR((CHAIN_RAW!R351+CHAIN_RAW!S351)/2,"")</f>
        <v/>
      </c>
      <c r="I351" s="13">
        <f>IFERROR((CHAIN_RAW!L351-CHAIN_RAW!K351)/MAX(1E-9, G351),"")</f>
        <v/>
      </c>
      <c r="J351" s="13">
        <f>IFERROR((CHAIN_RAW!S351-CHAIN_RAW!R351)/MAX(1E-9, H351),"")</f>
        <v/>
      </c>
      <c r="K351" s="13">
        <f>CHAIN_RAW!G351</f>
        <v/>
      </c>
      <c r="L351" s="13">
        <f>CHAIN_RAW!N351</f>
        <v/>
      </c>
      <c r="M351" s="13">
        <f>IFERROR(L351-K351,"")</f>
        <v/>
      </c>
      <c r="N351" s="13">
        <f>CHAIN_RAW!H351</f>
        <v/>
      </c>
      <c r="O351" s="13">
        <f>CHAIN_RAW!O351</f>
        <v/>
      </c>
      <c r="P351" s="13">
        <f>IFERROR(O351/N351,"")</f>
        <v/>
      </c>
      <c r="Q351" s="13">
        <f>CHAIN_RAW!I351</f>
        <v/>
      </c>
      <c r="R351" s="13">
        <f>CHAIN_RAW!P351</f>
        <v/>
      </c>
      <c r="S351" s="13">
        <f>IFERROR(R351/Q351,"")</f>
        <v/>
      </c>
      <c r="T351" s="13">
        <f>IFERROR((ABS(N351-O351)/MAX(1,(N351+O351)))*EXP(-ABS(E351-CONTROL!E5)/MAX(1,CONTROL!B8)),"")</f>
        <v/>
      </c>
      <c r="U351" s="13">
        <f>IFERROR(IF(O351&gt;N351,"SUPPORT (PE OI)","RESIST (CE OI)"),"")</f>
        <v/>
      </c>
      <c r="V351" s="13">
        <f>IFERROR(IF(Q351&gt;0,IF(R351&gt;0,"BOTH_ADD","CE_ADD_PE_REDUCE"),IF(R351&gt;0,"CE_REDUCE_PE_ADD","BOTH_REDUCE")),"")</f>
        <v/>
      </c>
      <c r="W351" s="13">
        <f>IFERROR( (P351-1)*0.5 + (M351)*0.1 - (I351+J351)*0.05 + T351*0.4 ,"")</f>
        <v/>
      </c>
      <c r="X351" s="13">
        <f>IFERROR(IF(ABS(F351)&lt;0.01,"ATM/NEAR",""),"")</f>
        <v/>
      </c>
    </row>
    <row r="352">
      <c r="A352" s="13">
        <f>CHAIN_RAW!A352</f>
        <v/>
      </c>
      <c r="B352" s="14">
        <f>CHAIN_RAW!B352</f>
        <v/>
      </c>
      <c r="C352" s="13">
        <f>CHAIN_RAW!C352</f>
        <v/>
      </c>
      <c r="D352" s="13">
        <f>CHAIN_RAW!D352</f>
        <v/>
      </c>
      <c r="E352" s="13">
        <f>CHAIN_RAW!E352</f>
        <v/>
      </c>
      <c r="F352" s="13">
        <f>IFERROR((E352-D352)/D352,"")</f>
        <v/>
      </c>
      <c r="G352" s="13">
        <f>IFERROR((CHAIN_RAW!K352+CHAIN_RAW!L352)/2,"")</f>
        <v/>
      </c>
      <c r="H352" s="13">
        <f>IFERROR((CHAIN_RAW!R352+CHAIN_RAW!S352)/2,"")</f>
        <v/>
      </c>
      <c r="I352" s="13">
        <f>IFERROR((CHAIN_RAW!L352-CHAIN_RAW!K352)/MAX(1E-9, G352),"")</f>
        <v/>
      </c>
      <c r="J352" s="13">
        <f>IFERROR((CHAIN_RAW!S352-CHAIN_RAW!R352)/MAX(1E-9, H352),"")</f>
        <v/>
      </c>
      <c r="K352" s="13">
        <f>CHAIN_RAW!G352</f>
        <v/>
      </c>
      <c r="L352" s="13">
        <f>CHAIN_RAW!N352</f>
        <v/>
      </c>
      <c r="M352" s="13">
        <f>IFERROR(L352-K352,"")</f>
        <v/>
      </c>
      <c r="N352" s="13">
        <f>CHAIN_RAW!H352</f>
        <v/>
      </c>
      <c r="O352" s="13">
        <f>CHAIN_RAW!O352</f>
        <v/>
      </c>
      <c r="P352" s="13">
        <f>IFERROR(O352/N352,"")</f>
        <v/>
      </c>
      <c r="Q352" s="13">
        <f>CHAIN_RAW!I352</f>
        <v/>
      </c>
      <c r="R352" s="13">
        <f>CHAIN_RAW!P352</f>
        <v/>
      </c>
      <c r="S352" s="13">
        <f>IFERROR(R352/Q352,"")</f>
        <v/>
      </c>
      <c r="T352" s="13">
        <f>IFERROR((ABS(N352-O352)/MAX(1,(N352+O352)))*EXP(-ABS(E352-CONTROL!E5)/MAX(1,CONTROL!B8)),"")</f>
        <v/>
      </c>
      <c r="U352" s="13">
        <f>IFERROR(IF(O352&gt;N352,"SUPPORT (PE OI)","RESIST (CE OI)"),"")</f>
        <v/>
      </c>
      <c r="V352" s="13">
        <f>IFERROR(IF(Q352&gt;0,IF(R352&gt;0,"BOTH_ADD","CE_ADD_PE_REDUCE"),IF(R352&gt;0,"CE_REDUCE_PE_ADD","BOTH_REDUCE")),"")</f>
        <v/>
      </c>
      <c r="W352" s="13">
        <f>IFERROR( (P352-1)*0.5 + (M352)*0.1 - (I352+J352)*0.05 + T352*0.4 ,"")</f>
        <v/>
      </c>
      <c r="X352" s="13">
        <f>IFERROR(IF(ABS(F352)&lt;0.01,"ATM/NEAR",""),"")</f>
        <v/>
      </c>
    </row>
    <row r="353">
      <c r="A353" s="13">
        <f>CHAIN_RAW!A353</f>
        <v/>
      </c>
      <c r="B353" s="14">
        <f>CHAIN_RAW!B353</f>
        <v/>
      </c>
      <c r="C353" s="13">
        <f>CHAIN_RAW!C353</f>
        <v/>
      </c>
      <c r="D353" s="13">
        <f>CHAIN_RAW!D353</f>
        <v/>
      </c>
      <c r="E353" s="13">
        <f>CHAIN_RAW!E353</f>
        <v/>
      </c>
      <c r="F353" s="13">
        <f>IFERROR((E353-D353)/D353,"")</f>
        <v/>
      </c>
      <c r="G353" s="13">
        <f>IFERROR((CHAIN_RAW!K353+CHAIN_RAW!L353)/2,"")</f>
        <v/>
      </c>
      <c r="H353" s="13">
        <f>IFERROR((CHAIN_RAW!R353+CHAIN_RAW!S353)/2,"")</f>
        <v/>
      </c>
      <c r="I353" s="13">
        <f>IFERROR((CHAIN_RAW!L353-CHAIN_RAW!K353)/MAX(1E-9, G353),"")</f>
        <v/>
      </c>
      <c r="J353" s="13">
        <f>IFERROR((CHAIN_RAW!S353-CHAIN_RAW!R353)/MAX(1E-9, H353),"")</f>
        <v/>
      </c>
      <c r="K353" s="13">
        <f>CHAIN_RAW!G353</f>
        <v/>
      </c>
      <c r="L353" s="13">
        <f>CHAIN_RAW!N353</f>
        <v/>
      </c>
      <c r="M353" s="13">
        <f>IFERROR(L353-K353,"")</f>
        <v/>
      </c>
      <c r="N353" s="13">
        <f>CHAIN_RAW!H353</f>
        <v/>
      </c>
      <c r="O353" s="13">
        <f>CHAIN_RAW!O353</f>
        <v/>
      </c>
      <c r="P353" s="13">
        <f>IFERROR(O353/N353,"")</f>
        <v/>
      </c>
      <c r="Q353" s="13">
        <f>CHAIN_RAW!I353</f>
        <v/>
      </c>
      <c r="R353" s="13">
        <f>CHAIN_RAW!P353</f>
        <v/>
      </c>
      <c r="S353" s="13">
        <f>IFERROR(R353/Q353,"")</f>
        <v/>
      </c>
      <c r="T353" s="13">
        <f>IFERROR((ABS(N353-O353)/MAX(1,(N353+O353)))*EXP(-ABS(E353-CONTROL!E5)/MAX(1,CONTROL!B8)),"")</f>
        <v/>
      </c>
      <c r="U353" s="13">
        <f>IFERROR(IF(O353&gt;N353,"SUPPORT (PE OI)","RESIST (CE OI)"),"")</f>
        <v/>
      </c>
      <c r="V353" s="13">
        <f>IFERROR(IF(Q353&gt;0,IF(R353&gt;0,"BOTH_ADD","CE_ADD_PE_REDUCE"),IF(R353&gt;0,"CE_REDUCE_PE_ADD","BOTH_REDUCE")),"")</f>
        <v/>
      </c>
      <c r="W353" s="13">
        <f>IFERROR( (P353-1)*0.5 + (M353)*0.1 - (I353+J353)*0.05 + T353*0.4 ,"")</f>
        <v/>
      </c>
      <c r="X353" s="13">
        <f>IFERROR(IF(ABS(F353)&lt;0.01,"ATM/NEAR",""),"")</f>
        <v/>
      </c>
    </row>
    <row r="354">
      <c r="A354" s="13">
        <f>CHAIN_RAW!A354</f>
        <v/>
      </c>
      <c r="B354" s="14">
        <f>CHAIN_RAW!B354</f>
        <v/>
      </c>
      <c r="C354" s="13">
        <f>CHAIN_RAW!C354</f>
        <v/>
      </c>
      <c r="D354" s="13">
        <f>CHAIN_RAW!D354</f>
        <v/>
      </c>
      <c r="E354" s="13">
        <f>CHAIN_RAW!E354</f>
        <v/>
      </c>
      <c r="F354" s="13">
        <f>IFERROR((E354-D354)/D354,"")</f>
        <v/>
      </c>
      <c r="G354" s="13">
        <f>IFERROR((CHAIN_RAW!K354+CHAIN_RAW!L354)/2,"")</f>
        <v/>
      </c>
      <c r="H354" s="13">
        <f>IFERROR((CHAIN_RAW!R354+CHAIN_RAW!S354)/2,"")</f>
        <v/>
      </c>
      <c r="I354" s="13">
        <f>IFERROR((CHAIN_RAW!L354-CHAIN_RAW!K354)/MAX(1E-9, G354),"")</f>
        <v/>
      </c>
      <c r="J354" s="13">
        <f>IFERROR((CHAIN_RAW!S354-CHAIN_RAW!R354)/MAX(1E-9, H354),"")</f>
        <v/>
      </c>
      <c r="K354" s="13">
        <f>CHAIN_RAW!G354</f>
        <v/>
      </c>
      <c r="L354" s="13">
        <f>CHAIN_RAW!N354</f>
        <v/>
      </c>
      <c r="M354" s="13">
        <f>IFERROR(L354-K354,"")</f>
        <v/>
      </c>
      <c r="N354" s="13">
        <f>CHAIN_RAW!H354</f>
        <v/>
      </c>
      <c r="O354" s="13">
        <f>CHAIN_RAW!O354</f>
        <v/>
      </c>
      <c r="P354" s="13">
        <f>IFERROR(O354/N354,"")</f>
        <v/>
      </c>
      <c r="Q354" s="13">
        <f>CHAIN_RAW!I354</f>
        <v/>
      </c>
      <c r="R354" s="13">
        <f>CHAIN_RAW!P354</f>
        <v/>
      </c>
      <c r="S354" s="13">
        <f>IFERROR(R354/Q354,"")</f>
        <v/>
      </c>
      <c r="T354" s="13">
        <f>IFERROR((ABS(N354-O354)/MAX(1,(N354+O354)))*EXP(-ABS(E354-CONTROL!E5)/MAX(1,CONTROL!B8)),"")</f>
        <v/>
      </c>
      <c r="U354" s="13">
        <f>IFERROR(IF(O354&gt;N354,"SUPPORT (PE OI)","RESIST (CE OI)"),"")</f>
        <v/>
      </c>
      <c r="V354" s="13">
        <f>IFERROR(IF(Q354&gt;0,IF(R354&gt;0,"BOTH_ADD","CE_ADD_PE_REDUCE"),IF(R354&gt;0,"CE_REDUCE_PE_ADD","BOTH_REDUCE")),"")</f>
        <v/>
      </c>
      <c r="W354" s="13">
        <f>IFERROR( (P354-1)*0.5 + (M354)*0.1 - (I354+J354)*0.05 + T354*0.4 ,"")</f>
        <v/>
      </c>
      <c r="X354" s="13">
        <f>IFERROR(IF(ABS(F354)&lt;0.01,"ATM/NEAR",""),"")</f>
        <v/>
      </c>
    </row>
    <row r="355">
      <c r="A355" s="13">
        <f>CHAIN_RAW!A355</f>
        <v/>
      </c>
      <c r="B355" s="14">
        <f>CHAIN_RAW!B355</f>
        <v/>
      </c>
      <c r="C355" s="13">
        <f>CHAIN_RAW!C355</f>
        <v/>
      </c>
      <c r="D355" s="13">
        <f>CHAIN_RAW!D355</f>
        <v/>
      </c>
      <c r="E355" s="13">
        <f>CHAIN_RAW!E355</f>
        <v/>
      </c>
      <c r="F355" s="13">
        <f>IFERROR((E355-D355)/D355,"")</f>
        <v/>
      </c>
      <c r="G355" s="13">
        <f>IFERROR((CHAIN_RAW!K355+CHAIN_RAW!L355)/2,"")</f>
        <v/>
      </c>
      <c r="H355" s="13">
        <f>IFERROR((CHAIN_RAW!R355+CHAIN_RAW!S355)/2,"")</f>
        <v/>
      </c>
      <c r="I355" s="13">
        <f>IFERROR((CHAIN_RAW!L355-CHAIN_RAW!K355)/MAX(1E-9, G355),"")</f>
        <v/>
      </c>
      <c r="J355" s="13">
        <f>IFERROR((CHAIN_RAW!S355-CHAIN_RAW!R355)/MAX(1E-9, H355),"")</f>
        <v/>
      </c>
      <c r="K355" s="13">
        <f>CHAIN_RAW!G355</f>
        <v/>
      </c>
      <c r="L355" s="13">
        <f>CHAIN_RAW!N355</f>
        <v/>
      </c>
      <c r="M355" s="13">
        <f>IFERROR(L355-K355,"")</f>
        <v/>
      </c>
      <c r="N355" s="13">
        <f>CHAIN_RAW!H355</f>
        <v/>
      </c>
      <c r="O355" s="13">
        <f>CHAIN_RAW!O355</f>
        <v/>
      </c>
      <c r="P355" s="13">
        <f>IFERROR(O355/N355,"")</f>
        <v/>
      </c>
      <c r="Q355" s="13">
        <f>CHAIN_RAW!I355</f>
        <v/>
      </c>
      <c r="R355" s="13">
        <f>CHAIN_RAW!P355</f>
        <v/>
      </c>
      <c r="S355" s="13">
        <f>IFERROR(R355/Q355,"")</f>
        <v/>
      </c>
      <c r="T355" s="13">
        <f>IFERROR((ABS(N355-O355)/MAX(1,(N355+O355)))*EXP(-ABS(E355-CONTROL!E5)/MAX(1,CONTROL!B8)),"")</f>
        <v/>
      </c>
      <c r="U355" s="13">
        <f>IFERROR(IF(O355&gt;N355,"SUPPORT (PE OI)","RESIST (CE OI)"),"")</f>
        <v/>
      </c>
      <c r="V355" s="13">
        <f>IFERROR(IF(Q355&gt;0,IF(R355&gt;0,"BOTH_ADD","CE_ADD_PE_REDUCE"),IF(R355&gt;0,"CE_REDUCE_PE_ADD","BOTH_REDUCE")),"")</f>
        <v/>
      </c>
      <c r="W355" s="13">
        <f>IFERROR( (P355-1)*0.5 + (M355)*0.1 - (I355+J355)*0.05 + T355*0.4 ,"")</f>
        <v/>
      </c>
      <c r="X355" s="13">
        <f>IFERROR(IF(ABS(F355)&lt;0.01,"ATM/NEAR",""),"")</f>
        <v/>
      </c>
    </row>
    <row r="356">
      <c r="A356" s="13">
        <f>CHAIN_RAW!A356</f>
        <v/>
      </c>
      <c r="B356" s="14">
        <f>CHAIN_RAW!B356</f>
        <v/>
      </c>
      <c r="C356" s="13">
        <f>CHAIN_RAW!C356</f>
        <v/>
      </c>
      <c r="D356" s="13">
        <f>CHAIN_RAW!D356</f>
        <v/>
      </c>
      <c r="E356" s="13">
        <f>CHAIN_RAW!E356</f>
        <v/>
      </c>
      <c r="F356" s="13">
        <f>IFERROR((E356-D356)/D356,"")</f>
        <v/>
      </c>
      <c r="G356" s="13">
        <f>IFERROR((CHAIN_RAW!K356+CHAIN_RAW!L356)/2,"")</f>
        <v/>
      </c>
      <c r="H356" s="13">
        <f>IFERROR((CHAIN_RAW!R356+CHAIN_RAW!S356)/2,"")</f>
        <v/>
      </c>
      <c r="I356" s="13">
        <f>IFERROR((CHAIN_RAW!L356-CHAIN_RAW!K356)/MAX(1E-9, G356),"")</f>
        <v/>
      </c>
      <c r="J356" s="13">
        <f>IFERROR((CHAIN_RAW!S356-CHAIN_RAW!R356)/MAX(1E-9, H356),"")</f>
        <v/>
      </c>
      <c r="K356" s="13">
        <f>CHAIN_RAW!G356</f>
        <v/>
      </c>
      <c r="L356" s="13">
        <f>CHAIN_RAW!N356</f>
        <v/>
      </c>
      <c r="M356" s="13">
        <f>IFERROR(L356-K356,"")</f>
        <v/>
      </c>
      <c r="N356" s="13">
        <f>CHAIN_RAW!H356</f>
        <v/>
      </c>
      <c r="O356" s="13">
        <f>CHAIN_RAW!O356</f>
        <v/>
      </c>
      <c r="P356" s="13">
        <f>IFERROR(O356/N356,"")</f>
        <v/>
      </c>
      <c r="Q356" s="13">
        <f>CHAIN_RAW!I356</f>
        <v/>
      </c>
      <c r="R356" s="13">
        <f>CHAIN_RAW!P356</f>
        <v/>
      </c>
      <c r="S356" s="13">
        <f>IFERROR(R356/Q356,"")</f>
        <v/>
      </c>
      <c r="T356" s="13">
        <f>IFERROR((ABS(N356-O356)/MAX(1,(N356+O356)))*EXP(-ABS(E356-CONTROL!E5)/MAX(1,CONTROL!B8)),"")</f>
        <v/>
      </c>
      <c r="U356" s="13">
        <f>IFERROR(IF(O356&gt;N356,"SUPPORT (PE OI)","RESIST (CE OI)"),"")</f>
        <v/>
      </c>
      <c r="V356" s="13">
        <f>IFERROR(IF(Q356&gt;0,IF(R356&gt;0,"BOTH_ADD","CE_ADD_PE_REDUCE"),IF(R356&gt;0,"CE_REDUCE_PE_ADD","BOTH_REDUCE")),"")</f>
        <v/>
      </c>
      <c r="W356" s="13">
        <f>IFERROR( (P356-1)*0.5 + (M356)*0.1 - (I356+J356)*0.05 + T356*0.4 ,"")</f>
        <v/>
      </c>
      <c r="X356" s="13">
        <f>IFERROR(IF(ABS(F356)&lt;0.01,"ATM/NEAR",""),"")</f>
        <v/>
      </c>
    </row>
    <row r="357">
      <c r="A357" s="13">
        <f>CHAIN_RAW!A357</f>
        <v/>
      </c>
      <c r="B357" s="14">
        <f>CHAIN_RAW!B357</f>
        <v/>
      </c>
      <c r="C357" s="13">
        <f>CHAIN_RAW!C357</f>
        <v/>
      </c>
      <c r="D357" s="13">
        <f>CHAIN_RAW!D357</f>
        <v/>
      </c>
      <c r="E357" s="13">
        <f>CHAIN_RAW!E357</f>
        <v/>
      </c>
      <c r="F357" s="13">
        <f>IFERROR((E357-D357)/D357,"")</f>
        <v/>
      </c>
      <c r="G357" s="13">
        <f>IFERROR((CHAIN_RAW!K357+CHAIN_RAW!L357)/2,"")</f>
        <v/>
      </c>
      <c r="H357" s="13">
        <f>IFERROR((CHAIN_RAW!R357+CHAIN_RAW!S357)/2,"")</f>
        <v/>
      </c>
      <c r="I357" s="13">
        <f>IFERROR((CHAIN_RAW!L357-CHAIN_RAW!K357)/MAX(1E-9, G357),"")</f>
        <v/>
      </c>
      <c r="J357" s="13">
        <f>IFERROR((CHAIN_RAW!S357-CHAIN_RAW!R357)/MAX(1E-9, H357),"")</f>
        <v/>
      </c>
      <c r="K357" s="13">
        <f>CHAIN_RAW!G357</f>
        <v/>
      </c>
      <c r="L357" s="13">
        <f>CHAIN_RAW!N357</f>
        <v/>
      </c>
      <c r="M357" s="13">
        <f>IFERROR(L357-K357,"")</f>
        <v/>
      </c>
      <c r="N357" s="13">
        <f>CHAIN_RAW!H357</f>
        <v/>
      </c>
      <c r="O357" s="13">
        <f>CHAIN_RAW!O357</f>
        <v/>
      </c>
      <c r="P357" s="13">
        <f>IFERROR(O357/N357,"")</f>
        <v/>
      </c>
      <c r="Q357" s="13">
        <f>CHAIN_RAW!I357</f>
        <v/>
      </c>
      <c r="R357" s="13">
        <f>CHAIN_RAW!P357</f>
        <v/>
      </c>
      <c r="S357" s="13">
        <f>IFERROR(R357/Q357,"")</f>
        <v/>
      </c>
      <c r="T357" s="13">
        <f>IFERROR((ABS(N357-O357)/MAX(1,(N357+O357)))*EXP(-ABS(E357-CONTROL!E5)/MAX(1,CONTROL!B8)),"")</f>
        <v/>
      </c>
      <c r="U357" s="13">
        <f>IFERROR(IF(O357&gt;N357,"SUPPORT (PE OI)","RESIST (CE OI)"),"")</f>
        <v/>
      </c>
      <c r="V357" s="13">
        <f>IFERROR(IF(Q357&gt;0,IF(R357&gt;0,"BOTH_ADD","CE_ADD_PE_REDUCE"),IF(R357&gt;0,"CE_REDUCE_PE_ADD","BOTH_REDUCE")),"")</f>
        <v/>
      </c>
      <c r="W357" s="13">
        <f>IFERROR( (P357-1)*0.5 + (M357)*0.1 - (I357+J357)*0.05 + T357*0.4 ,"")</f>
        <v/>
      </c>
      <c r="X357" s="13">
        <f>IFERROR(IF(ABS(F357)&lt;0.01,"ATM/NEAR",""),"")</f>
        <v/>
      </c>
    </row>
    <row r="358">
      <c r="A358" s="13">
        <f>CHAIN_RAW!A358</f>
        <v/>
      </c>
      <c r="B358" s="14">
        <f>CHAIN_RAW!B358</f>
        <v/>
      </c>
      <c r="C358" s="13">
        <f>CHAIN_RAW!C358</f>
        <v/>
      </c>
      <c r="D358" s="13">
        <f>CHAIN_RAW!D358</f>
        <v/>
      </c>
      <c r="E358" s="13">
        <f>CHAIN_RAW!E358</f>
        <v/>
      </c>
      <c r="F358" s="13">
        <f>IFERROR((E358-D358)/D358,"")</f>
        <v/>
      </c>
      <c r="G358" s="13">
        <f>IFERROR((CHAIN_RAW!K358+CHAIN_RAW!L358)/2,"")</f>
        <v/>
      </c>
      <c r="H358" s="13">
        <f>IFERROR((CHAIN_RAW!R358+CHAIN_RAW!S358)/2,"")</f>
        <v/>
      </c>
      <c r="I358" s="13">
        <f>IFERROR((CHAIN_RAW!L358-CHAIN_RAW!K358)/MAX(1E-9, G358),"")</f>
        <v/>
      </c>
      <c r="J358" s="13">
        <f>IFERROR((CHAIN_RAW!S358-CHAIN_RAW!R358)/MAX(1E-9, H358),"")</f>
        <v/>
      </c>
      <c r="K358" s="13">
        <f>CHAIN_RAW!G358</f>
        <v/>
      </c>
      <c r="L358" s="13">
        <f>CHAIN_RAW!N358</f>
        <v/>
      </c>
      <c r="M358" s="13">
        <f>IFERROR(L358-K358,"")</f>
        <v/>
      </c>
      <c r="N358" s="13">
        <f>CHAIN_RAW!H358</f>
        <v/>
      </c>
      <c r="O358" s="13">
        <f>CHAIN_RAW!O358</f>
        <v/>
      </c>
      <c r="P358" s="13">
        <f>IFERROR(O358/N358,"")</f>
        <v/>
      </c>
      <c r="Q358" s="13">
        <f>CHAIN_RAW!I358</f>
        <v/>
      </c>
      <c r="R358" s="13">
        <f>CHAIN_RAW!P358</f>
        <v/>
      </c>
      <c r="S358" s="13">
        <f>IFERROR(R358/Q358,"")</f>
        <v/>
      </c>
      <c r="T358" s="13">
        <f>IFERROR((ABS(N358-O358)/MAX(1,(N358+O358)))*EXP(-ABS(E358-CONTROL!E5)/MAX(1,CONTROL!B8)),"")</f>
        <v/>
      </c>
      <c r="U358" s="13">
        <f>IFERROR(IF(O358&gt;N358,"SUPPORT (PE OI)","RESIST (CE OI)"),"")</f>
        <v/>
      </c>
      <c r="V358" s="13">
        <f>IFERROR(IF(Q358&gt;0,IF(R358&gt;0,"BOTH_ADD","CE_ADD_PE_REDUCE"),IF(R358&gt;0,"CE_REDUCE_PE_ADD","BOTH_REDUCE")),"")</f>
        <v/>
      </c>
      <c r="W358" s="13">
        <f>IFERROR( (P358-1)*0.5 + (M358)*0.1 - (I358+J358)*0.05 + T358*0.4 ,"")</f>
        <v/>
      </c>
      <c r="X358" s="13">
        <f>IFERROR(IF(ABS(F358)&lt;0.01,"ATM/NEAR",""),"")</f>
        <v/>
      </c>
    </row>
    <row r="359">
      <c r="A359" s="13">
        <f>CHAIN_RAW!A359</f>
        <v/>
      </c>
      <c r="B359" s="14">
        <f>CHAIN_RAW!B359</f>
        <v/>
      </c>
      <c r="C359" s="13">
        <f>CHAIN_RAW!C359</f>
        <v/>
      </c>
      <c r="D359" s="13">
        <f>CHAIN_RAW!D359</f>
        <v/>
      </c>
      <c r="E359" s="13">
        <f>CHAIN_RAW!E359</f>
        <v/>
      </c>
      <c r="F359" s="13">
        <f>IFERROR((E359-D359)/D359,"")</f>
        <v/>
      </c>
      <c r="G359" s="13">
        <f>IFERROR((CHAIN_RAW!K359+CHAIN_RAW!L359)/2,"")</f>
        <v/>
      </c>
      <c r="H359" s="13">
        <f>IFERROR((CHAIN_RAW!R359+CHAIN_RAW!S359)/2,"")</f>
        <v/>
      </c>
      <c r="I359" s="13">
        <f>IFERROR((CHAIN_RAW!L359-CHAIN_RAW!K359)/MAX(1E-9, G359),"")</f>
        <v/>
      </c>
      <c r="J359" s="13">
        <f>IFERROR((CHAIN_RAW!S359-CHAIN_RAW!R359)/MAX(1E-9, H359),"")</f>
        <v/>
      </c>
      <c r="K359" s="13">
        <f>CHAIN_RAW!G359</f>
        <v/>
      </c>
      <c r="L359" s="13">
        <f>CHAIN_RAW!N359</f>
        <v/>
      </c>
      <c r="M359" s="13">
        <f>IFERROR(L359-K359,"")</f>
        <v/>
      </c>
      <c r="N359" s="13">
        <f>CHAIN_RAW!H359</f>
        <v/>
      </c>
      <c r="O359" s="13">
        <f>CHAIN_RAW!O359</f>
        <v/>
      </c>
      <c r="P359" s="13">
        <f>IFERROR(O359/N359,"")</f>
        <v/>
      </c>
      <c r="Q359" s="13">
        <f>CHAIN_RAW!I359</f>
        <v/>
      </c>
      <c r="R359" s="13">
        <f>CHAIN_RAW!P359</f>
        <v/>
      </c>
      <c r="S359" s="13">
        <f>IFERROR(R359/Q359,"")</f>
        <v/>
      </c>
      <c r="T359" s="13">
        <f>IFERROR((ABS(N359-O359)/MAX(1,(N359+O359)))*EXP(-ABS(E359-CONTROL!E5)/MAX(1,CONTROL!B8)),"")</f>
        <v/>
      </c>
      <c r="U359" s="13">
        <f>IFERROR(IF(O359&gt;N359,"SUPPORT (PE OI)","RESIST (CE OI)"),"")</f>
        <v/>
      </c>
      <c r="V359" s="13">
        <f>IFERROR(IF(Q359&gt;0,IF(R359&gt;0,"BOTH_ADD","CE_ADD_PE_REDUCE"),IF(R359&gt;0,"CE_REDUCE_PE_ADD","BOTH_REDUCE")),"")</f>
        <v/>
      </c>
      <c r="W359" s="13">
        <f>IFERROR( (P359-1)*0.5 + (M359)*0.1 - (I359+J359)*0.05 + T359*0.4 ,"")</f>
        <v/>
      </c>
      <c r="X359" s="13">
        <f>IFERROR(IF(ABS(F359)&lt;0.01,"ATM/NEAR",""),"")</f>
        <v/>
      </c>
    </row>
    <row r="360">
      <c r="A360" s="13">
        <f>CHAIN_RAW!A360</f>
        <v/>
      </c>
      <c r="B360" s="14">
        <f>CHAIN_RAW!B360</f>
        <v/>
      </c>
      <c r="C360" s="13">
        <f>CHAIN_RAW!C360</f>
        <v/>
      </c>
      <c r="D360" s="13">
        <f>CHAIN_RAW!D360</f>
        <v/>
      </c>
      <c r="E360" s="13">
        <f>CHAIN_RAW!E360</f>
        <v/>
      </c>
      <c r="F360" s="13">
        <f>IFERROR((E360-D360)/D360,"")</f>
        <v/>
      </c>
      <c r="G360" s="13">
        <f>IFERROR((CHAIN_RAW!K360+CHAIN_RAW!L360)/2,"")</f>
        <v/>
      </c>
      <c r="H360" s="13">
        <f>IFERROR((CHAIN_RAW!R360+CHAIN_RAW!S360)/2,"")</f>
        <v/>
      </c>
      <c r="I360" s="13">
        <f>IFERROR((CHAIN_RAW!L360-CHAIN_RAW!K360)/MAX(1E-9, G360),"")</f>
        <v/>
      </c>
      <c r="J360" s="13">
        <f>IFERROR((CHAIN_RAW!S360-CHAIN_RAW!R360)/MAX(1E-9, H360),"")</f>
        <v/>
      </c>
      <c r="K360" s="13">
        <f>CHAIN_RAW!G360</f>
        <v/>
      </c>
      <c r="L360" s="13">
        <f>CHAIN_RAW!N360</f>
        <v/>
      </c>
      <c r="M360" s="13">
        <f>IFERROR(L360-K360,"")</f>
        <v/>
      </c>
      <c r="N360" s="13">
        <f>CHAIN_RAW!H360</f>
        <v/>
      </c>
      <c r="O360" s="13">
        <f>CHAIN_RAW!O360</f>
        <v/>
      </c>
      <c r="P360" s="13">
        <f>IFERROR(O360/N360,"")</f>
        <v/>
      </c>
      <c r="Q360" s="13">
        <f>CHAIN_RAW!I360</f>
        <v/>
      </c>
      <c r="R360" s="13">
        <f>CHAIN_RAW!P360</f>
        <v/>
      </c>
      <c r="S360" s="13">
        <f>IFERROR(R360/Q360,"")</f>
        <v/>
      </c>
      <c r="T360" s="13">
        <f>IFERROR((ABS(N360-O360)/MAX(1,(N360+O360)))*EXP(-ABS(E360-CONTROL!E5)/MAX(1,CONTROL!B8)),"")</f>
        <v/>
      </c>
      <c r="U360" s="13">
        <f>IFERROR(IF(O360&gt;N360,"SUPPORT (PE OI)","RESIST (CE OI)"),"")</f>
        <v/>
      </c>
      <c r="V360" s="13">
        <f>IFERROR(IF(Q360&gt;0,IF(R360&gt;0,"BOTH_ADD","CE_ADD_PE_REDUCE"),IF(R360&gt;0,"CE_REDUCE_PE_ADD","BOTH_REDUCE")),"")</f>
        <v/>
      </c>
      <c r="W360" s="13">
        <f>IFERROR( (P360-1)*0.5 + (M360)*0.1 - (I360+J360)*0.05 + T360*0.4 ,"")</f>
        <v/>
      </c>
      <c r="X360" s="13">
        <f>IFERROR(IF(ABS(F360)&lt;0.01,"ATM/NEAR",""),"")</f>
        <v/>
      </c>
    </row>
    <row r="361">
      <c r="A361" s="13">
        <f>CHAIN_RAW!A361</f>
        <v/>
      </c>
      <c r="B361" s="14">
        <f>CHAIN_RAW!B361</f>
        <v/>
      </c>
      <c r="C361" s="13">
        <f>CHAIN_RAW!C361</f>
        <v/>
      </c>
      <c r="D361" s="13">
        <f>CHAIN_RAW!D361</f>
        <v/>
      </c>
      <c r="E361" s="13">
        <f>CHAIN_RAW!E361</f>
        <v/>
      </c>
      <c r="F361" s="13">
        <f>IFERROR((E361-D361)/D361,"")</f>
        <v/>
      </c>
      <c r="G361" s="13">
        <f>IFERROR((CHAIN_RAW!K361+CHAIN_RAW!L361)/2,"")</f>
        <v/>
      </c>
      <c r="H361" s="13">
        <f>IFERROR((CHAIN_RAW!R361+CHAIN_RAW!S361)/2,"")</f>
        <v/>
      </c>
      <c r="I361" s="13">
        <f>IFERROR((CHAIN_RAW!L361-CHAIN_RAW!K361)/MAX(1E-9, G361),"")</f>
        <v/>
      </c>
      <c r="J361" s="13">
        <f>IFERROR((CHAIN_RAW!S361-CHAIN_RAW!R361)/MAX(1E-9, H361),"")</f>
        <v/>
      </c>
      <c r="K361" s="13">
        <f>CHAIN_RAW!G361</f>
        <v/>
      </c>
      <c r="L361" s="13">
        <f>CHAIN_RAW!N361</f>
        <v/>
      </c>
      <c r="M361" s="13">
        <f>IFERROR(L361-K361,"")</f>
        <v/>
      </c>
      <c r="N361" s="13">
        <f>CHAIN_RAW!H361</f>
        <v/>
      </c>
      <c r="O361" s="13">
        <f>CHAIN_RAW!O361</f>
        <v/>
      </c>
      <c r="P361" s="13">
        <f>IFERROR(O361/N361,"")</f>
        <v/>
      </c>
      <c r="Q361" s="13">
        <f>CHAIN_RAW!I361</f>
        <v/>
      </c>
      <c r="R361" s="13">
        <f>CHAIN_RAW!P361</f>
        <v/>
      </c>
      <c r="S361" s="13">
        <f>IFERROR(R361/Q361,"")</f>
        <v/>
      </c>
      <c r="T361" s="13">
        <f>IFERROR((ABS(N361-O361)/MAX(1,(N361+O361)))*EXP(-ABS(E361-CONTROL!E5)/MAX(1,CONTROL!B8)),"")</f>
        <v/>
      </c>
      <c r="U361" s="13">
        <f>IFERROR(IF(O361&gt;N361,"SUPPORT (PE OI)","RESIST (CE OI)"),"")</f>
        <v/>
      </c>
      <c r="V361" s="13">
        <f>IFERROR(IF(Q361&gt;0,IF(R361&gt;0,"BOTH_ADD","CE_ADD_PE_REDUCE"),IF(R361&gt;0,"CE_REDUCE_PE_ADD","BOTH_REDUCE")),"")</f>
        <v/>
      </c>
      <c r="W361" s="13">
        <f>IFERROR( (P361-1)*0.5 + (M361)*0.1 - (I361+J361)*0.05 + T361*0.4 ,"")</f>
        <v/>
      </c>
      <c r="X361" s="13">
        <f>IFERROR(IF(ABS(F361)&lt;0.01,"ATM/NEAR",""),"")</f>
        <v/>
      </c>
    </row>
    <row r="362">
      <c r="A362" s="13">
        <f>CHAIN_RAW!A362</f>
        <v/>
      </c>
      <c r="B362" s="14">
        <f>CHAIN_RAW!B362</f>
        <v/>
      </c>
      <c r="C362" s="13">
        <f>CHAIN_RAW!C362</f>
        <v/>
      </c>
      <c r="D362" s="13">
        <f>CHAIN_RAW!D362</f>
        <v/>
      </c>
      <c r="E362" s="13">
        <f>CHAIN_RAW!E362</f>
        <v/>
      </c>
      <c r="F362" s="13">
        <f>IFERROR((E362-D362)/D362,"")</f>
        <v/>
      </c>
      <c r="G362" s="13">
        <f>IFERROR((CHAIN_RAW!K362+CHAIN_RAW!L362)/2,"")</f>
        <v/>
      </c>
      <c r="H362" s="13">
        <f>IFERROR((CHAIN_RAW!R362+CHAIN_RAW!S362)/2,"")</f>
        <v/>
      </c>
      <c r="I362" s="13">
        <f>IFERROR((CHAIN_RAW!L362-CHAIN_RAW!K362)/MAX(1E-9, G362),"")</f>
        <v/>
      </c>
      <c r="J362" s="13">
        <f>IFERROR((CHAIN_RAW!S362-CHAIN_RAW!R362)/MAX(1E-9, H362),"")</f>
        <v/>
      </c>
      <c r="K362" s="13">
        <f>CHAIN_RAW!G362</f>
        <v/>
      </c>
      <c r="L362" s="13">
        <f>CHAIN_RAW!N362</f>
        <v/>
      </c>
      <c r="M362" s="13">
        <f>IFERROR(L362-K362,"")</f>
        <v/>
      </c>
      <c r="N362" s="13">
        <f>CHAIN_RAW!H362</f>
        <v/>
      </c>
      <c r="O362" s="13">
        <f>CHAIN_RAW!O362</f>
        <v/>
      </c>
      <c r="P362" s="13">
        <f>IFERROR(O362/N362,"")</f>
        <v/>
      </c>
      <c r="Q362" s="13">
        <f>CHAIN_RAW!I362</f>
        <v/>
      </c>
      <c r="R362" s="13">
        <f>CHAIN_RAW!P362</f>
        <v/>
      </c>
      <c r="S362" s="13">
        <f>IFERROR(R362/Q362,"")</f>
        <v/>
      </c>
      <c r="T362" s="13">
        <f>IFERROR((ABS(N362-O362)/MAX(1,(N362+O362)))*EXP(-ABS(E362-CONTROL!E5)/MAX(1,CONTROL!B8)),"")</f>
        <v/>
      </c>
      <c r="U362" s="13">
        <f>IFERROR(IF(O362&gt;N362,"SUPPORT (PE OI)","RESIST (CE OI)"),"")</f>
        <v/>
      </c>
      <c r="V362" s="13">
        <f>IFERROR(IF(Q362&gt;0,IF(R362&gt;0,"BOTH_ADD","CE_ADD_PE_REDUCE"),IF(R362&gt;0,"CE_REDUCE_PE_ADD","BOTH_REDUCE")),"")</f>
        <v/>
      </c>
      <c r="W362" s="13">
        <f>IFERROR( (P362-1)*0.5 + (M362)*0.1 - (I362+J362)*0.05 + T362*0.4 ,"")</f>
        <v/>
      </c>
      <c r="X362" s="13">
        <f>IFERROR(IF(ABS(F362)&lt;0.01,"ATM/NEAR",""),"")</f>
        <v/>
      </c>
    </row>
    <row r="363">
      <c r="A363" s="13">
        <f>CHAIN_RAW!A363</f>
        <v/>
      </c>
      <c r="B363" s="14">
        <f>CHAIN_RAW!B363</f>
        <v/>
      </c>
      <c r="C363" s="13">
        <f>CHAIN_RAW!C363</f>
        <v/>
      </c>
      <c r="D363" s="13">
        <f>CHAIN_RAW!D363</f>
        <v/>
      </c>
      <c r="E363" s="13">
        <f>CHAIN_RAW!E363</f>
        <v/>
      </c>
      <c r="F363" s="13">
        <f>IFERROR((E363-D363)/D363,"")</f>
        <v/>
      </c>
      <c r="G363" s="13">
        <f>IFERROR((CHAIN_RAW!K363+CHAIN_RAW!L363)/2,"")</f>
        <v/>
      </c>
      <c r="H363" s="13">
        <f>IFERROR((CHAIN_RAW!R363+CHAIN_RAW!S363)/2,"")</f>
        <v/>
      </c>
      <c r="I363" s="13">
        <f>IFERROR((CHAIN_RAW!L363-CHAIN_RAW!K363)/MAX(1E-9, G363),"")</f>
        <v/>
      </c>
      <c r="J363" s="13">
        <f>IFERROR((CHAIN_RAW!S363-CHAIN_RAW!R363)/MAX(1E-9, H363),"")</f>
        <v/>
      </c>
      <c r="K363" s="13">
        <f>CHAIN_RAW!G363</f>
        <v/>
      </c>
      <c r="L363" s="13">
        <f>CHAIN_RAW!N363</f>
        <v/>
      </c>
      <c r="M363" s="13">
        <f>IFERROR(L363-K363,"")</f>
        <v/>
      </c>
      <c r="N363" s="13">
        <f>CHAIN_RAW!H363</f>
        <v/>
      </c>
      <c r="O363" s="13">
        <f>CHAIN_RAW!O363</f>
        <v/>
      </c>
      <c r="P363" s="13">
        <f>IFERROR(O363/N363,"")</f>
        <v/>
      </c>
      <c r="Q363" s="13">
        <f>CHAIN_RAW!I363</f>
        <v/>
      </c>
      <c r="R363" s="13">
        <f>CHAIN_RAW!P363</f>
        <v/>
      </c>
      <c r="S363" s="13">
        <f>IFERROR(R363/Q363,"")</f>
        <v/>
      </c>
      <c r="T363" s="13">
        <f>IFERROR((ABS(N363-O363)/MAX(1,(N363+O363)))*EXP(-ABS(E363-CONTROL!E5)/MAX(1,CONTROL!B8)),"")</f>
        <v/>
      </c>
      <c r="U363" s="13">
        <f>IFERROR(IF(O363&gt;N363,"SUPPORT (PE OI)","RESIST (CE OI)"),"")</f>
        <v/>
      </c>
      <c r="V363" s="13">
        <f>IFERROR(IF(Q363&gt;0,IF(R363&gt;0,"BOTH_ADD","CE_ADD_PE_REDUCE"),IF(R363&gt;0,"CE_REDUCE_PE_ADD","BOTH_REDUCE")),"")</f>
        <v/>
      </c>
      <c r="W363" s="13">
        <f>IFERROR( (P363-1)*0.5 + (M363)*0.1 - (I363+J363)*0.05 + T363*0.4 ,"")</f>
        <v/>
      </c>
      <c r="X363" s="13">
        <f>IFERROR(IF(ABS(F363)&lt;0.01,"ATM/NEAR",""),"")</f>
        <v/>
      </c>
    </row>
    <row r="364">
      <c r="A364" s="13">
        <f>CHAIN_RAW!A364</f>
        <v/>
      </c>
      <c r="B364" s="14">
        <f>CHAIN_RAW!B364</f>
        <v/>
      </c>
      <c r="C364" s="13">
        <f>CHAIN_RAW!C364</f>
        <v/>
      </c>
      <c r="D364" s="13">
        <f>CHAIN_RAW!D364</f>
        <v/>
      </c>
      <c r="E364" s="13">
        <f>CHAIN_RAW!E364</f>
        <v/>
      </c>
      <c r="F364" s="13">
        <f>IFERROR((E364-D364)/D364,"")</f>
        <v/>
      </c>
      <c r="G364" s="13">
        <f>IFERROR((CHAIN_RAW!K364+CHAIN_RAW!L364)/2,"")</f>
        <v/>
      </c>
      <c r="H364" s="13">
        <f>IFERROR((CHAIN_RAW!R364+CHAIN_RAW!S364)/2,"")</f>
        <v/>
      </c>
      <c r="I364" s="13">
        <f>IFERROR((CHAIN_RAW!L364-CHAIN_RAW!K364)/MAX(1E-9, G364),"")</f>
        <v/>
      </c>
      <c r="J364" s="13">
        <f>IFERROR((CHAIN_RAW!S364-CHAIN_RAW!R364)/MAX(1E-9, H364),"")</f>
        <v/>
      </c>
      <c r="K364" s="13">
        <f>CHAIN_RAW!G364</f>
        <v/>
      </c>
      <c r="L364" s="13">
        <f>CHAIN_RAW!N364</f>
        <v/>
      </c>
      <c r="M364" s="13">
        <f>IFERROR(L364-K364,"")</f>
        <v/>
      </c>
      <c r="N364" s="13">
        <f>CHAIN_RAW!H364</f>
        <v/>
      </c>
      <c r="O364" s="13">
        <f>CHAIN_RAW!O364</f>
        <v/>
      </c>
      <c r="P364" s="13">
        <f>IFERROR(O364/N364,"")</f>
        <v/>
      </c>
      <c r="Q364" s="13">
        <f>CHAIN_RAW!I364</f>
        <v/>
      </c>
      <c r="R364" s="13">
        <f>CHAIN_RAW!P364</f>
        <v/>
      </c>
      <c r="S364" s="13">
        <f>IFERROR(R364/Q364,"")</f>
        <v/>
      </c>
      <c r="T364" s="13">
        <f>IFERROR((ABS(N364-O364)/MAX(1,(N364+O364)))*EXP(-ABS(E364-CONTROL!E5)/MAX(1,CONTROL!B8)),"")</f>
        <v/>
      </c>
      <c r="U364" s="13">
        <f>IFERROR(IF(O364&gt;N364,"SUPPORT (PE OI)","RESIST (CE OI)"),"")</f>
        <v/>
      </c>
      <c r="V364" s="13">
        <f>IFERROR(IF(Q364&gt;0,IF(R364&gt;0,"BOTH_ADD","CE_ADD_PE_REDUCE"),IF(R364&gt;0,"CE_REDUCE_PE_ADD","BOTH_REDUCE")),"")</f>
        <v/>
      </c>
      <c r="W364" s="13">
        <f>IFERROR( (P364-1)*0.5 + (M364)*0.1 - (I364+J364)*0.05 + T364*0.4 ,"")</f>
        <v/>
      </c>
      <c r="X364" s="13">
        <f>IFERROR(IF(ABS(F364)&lt;0.01,"ATM/NEAR",""),"")</f>
        <v/>
      </c>
    </row>
    <row r="365">
      <c r="A365" s="13">
        <f>CHAIN_RAW!A365</f>
        <v/>
      </c>
      <c r="B365" s="14">
        <f>CHAIN_RAW!B365</f>
        <v/>
      </c>
      <c r="C365" s="13">
        <f>CHAIN_RAW!C365</f>
        <v/>
      </c>
      <c r="D365" s="13">
        <f>CHAIN_RAW!D365</f>
        <v/>
      </c>
      <c r="E365" s="13">
        <f>CHAIN_RAW!E365</f>
        <v/>
      </c>
      <c r="F365" s="13">
        <f>IFERROR((E365-D365)/D365,"")</f>
        <v/>
      </c>
      <c r="G365" s="13">
        <f>IFERROR((CHAIN_RAW!K365+CHAIN_RAW!L365)/2,"")</f>
        <v/>
      </c>
      <c r="H365" s="13">
        <f>IFERROR((CHAIN_RAW!R365+CHAIN_RAW!S365)/2,"")</f>
        <v/>
      </c>
      <c r="I365" s="13">
        <f>IFERROR((CHAIN_RAW!L365-CHAIN_RAW!K365)/MAX(1E-9, G365),"")</f>
        <v/>
      </c>
      <c r="J365" s="13">
        <f>IFERROR((CHAIN_RAW!S365-CHAIN_RAW!R365)/MAX(1E-9, H365),"")</f>
        <v/>
      </c>
      <c r="K365" s="13">
        <f>CHAIN_RAW!G365</f>
        <v/>
      </c>
      <c r="L365" s="13">
        <f>CHAIN_RAW!N365</f>
        <v/>
      </c>
      <c r="M365" s="13">
        <f>IFERROR(L365-K365,"")</f>
        <v/>
      </c>
      <c r="N365" s="13">
        <f>CHAIN_RAW!H365</f>
        <v/>
      </c>
      <c r="O365" s="13">
        <f>CHAIN_RAW!O365</f>
        <v/>
      </c>
      <c r="P365" s="13">
        <f>IFERROR(O365/N365,"")</f>
        <v/>
      </c>
      <c r="Q365" s="13">
        <f>CHAIN_RAW!I365</f>
        <v/>
      </c>
      <c r="R365" s="13">
        <f>CHAIN_RAW!P365</f>
        <v/>
      </c>
      <c r="S365" s="13">
        <f>IFERROR(R365/Q365,"")</f>
        <v/>
      </c>
      <c r="T365" s="13">
        <f>IFERROR((ABS(N365-O365)/MAX(1,(N365+O365)))*EXP(-ABS(E365-CONTROL!E5)/MAX(1,CONTROL!B8)),"")</f>
        <v/>
      </c>
      <c r="U365" s="13">
        <f>IFERROR(IF(O365&gt;N365,"SUPPORT (PE OI)","RESIST (CE OI)"),"")</f>
        <v/>
      </c>
      <c r="V365" s="13">
        <f>IFERROR(IF(Q365&gt;0,IF(R365&gt;0,"BOTH_ADD","CE_ADD_PE_REDUCE"),IF(R365&gt;0,"CE_REDUCE_PE_ADD","BOTH_REDUCE")),"")</f>
        <v/>
      </c>
      <c r="W365" s="13">
        <f>IFERROR( (P365-1)*0.5 + (M365)*0.1 - (I365+J365)*0.05 + T365*0.4 ,"")</f>
        <v/>
      </c>
      <c r="X365" s="13">
        <f>IFERROR(IF(ABS(F365)&lt;0.01,"ATM/NEAR",""),"")</f>
        <v/>
      </c>
    </row>
    <row r="366">
      <c r="A366" s="13">
        <f>CHAIN_RAW!A366</f>
        <v/>
      </c>
      <c r="B366" s="14">
        <f>CHAIN_RAW!B366</f>
        <v/>
      </c>
      <c r="C366" s="13">
        <f>CHAIN_RAW!C366</f>
        <v/>
      </c>
      <c r="D366" s="13">
        <f>CHAIN_RAW!D366</f>
        <v/>
      </c>
      <c r="E366" s="13">
        <f>CHAIN_RAW!E366</f>
        <v/>
      </c>
      <c r="F366" s="13">
        <f>IFERROR((E366-D366)/D366,"")</f>
        <v/>
      </c>
      <c r="G366" s="13">
        <f>IFERROR((CHAIN_RAW!K366+CHAIN_RAW!L366)/2,"")</f>
        <v/>
      </c>
      <c r="H366" s="13">
        <f>IFERROR((CHAIN_RAW!R366+CHAIN_RAW!S366)/2,"")</f>
        <v/>
      </c>
      <c r="I366" s="13">
        <f>IFERROR((CHAIN_RAW!L366-CHAIN_RAW!K366)/MAX(1E-9, G366),"")</f>
        <v/>
      </c>
      <c r="J366" s="13">
        <f>IFERROR((CHAIN_RAW!S366-CHAIN_RAW!R366)/MAX(1E-9, H366),"")</f>
        <v/>
      </c>
      <c r="K366" s="13">
        <f>CHAIN_RAW!G366</f>
        <v/>
      </c>
      <c r="L366" s="13">
        <f>CHAIN_RAW!N366</f>
        <v/>
      </c>
      <c r="M366" s="13">
        <f>IFERROR(L366-K366,"")</f>
        <v/>
      </c>
      <c r="N366" s="13">
        <f>CHAIN_RAW!H366</f>
        <v/>
      </c>
      <c r="O366" s="13">
        <f>CHAIN_RAW!O366</f>
        <v/>
      </c>
      <c r="P366" s="13">
        <f>IFERROR(O366/N366,"")</f>
        <v/>
      </c>
      <c r="Q366" s="13">
        <f>CHAIN_RAW!I366</f>
        <v/>
      </c>
      <c r="R366" s="13">
        <f>CHAIN_RAW!P366</f>
        <v/>
      </c>
      <c r="S366" s="13">
        <f>IFERROR(R366/Q366,"")</f>
        <v/>
      </c>
      <c r="T366" s="13">
        <f>IFERROR((ABS(N366-O366)/MAX(1,(N366+O366)))*EXP(-ABS(E366-CONTROL!E5)/MAX(1,CONTROL!B8)),"")</f>
        <v/>
      </c>
      <c r="U366" s="13">
        <f>IFERROR(IF(O366&gt;N366,"SUPPORT (PE OI)","RESIST (CE OI)"),"")</f>
        <v/>
      </c>
      <c r="V366" s="13">
        <f>IFERROR(IF(Q366&gt;0,IF(R366&gt;0,"BOTH_ADD","CE_ADD_PE_REDUCE"),IF(R366&gt;0,"CE_REDUCE_PE_ADD","BOTH_REDUCE")),"")</f>
        <v/>
      </c>
      <c r="W366" s="13">
        <f>IFERROR( (P366-1)*0.5 + (M366)*0.1 - (I366+J366)*0.05 + T366*0.4 ,"")</f>
        <v/>
      </c>
      <c r="X366" s="13">
        <f>IFERROR(IF(ABS(F366)&lt;0.01,"ATM/NEAR",""),"")</f>
        <v/>
      </c>
    </row>
    <row r="367">
      <c r="A367" s="13">
        <f>CHAIN_RAW!A367</f>
        <v/>
      </c>
      <c r="B367" s="14">
        <f>CHAIN_RAW!B367</f>
        <v/>
      </c>
      <c r="C367" s="13">
        <f>CHAIN_RAW!C367</f>
        <v/>
      </c>
      <c r="D367" s="13">
        <f>CHAIN_RAW!D367</f>
        <v/>
      </c>
      <c r="E367" s="13">
        <f>CHAIN_RAW!E367</f>
        <v/>
      </c>
      <c r="F367" s="13">
        <f>IFERROR((E367-D367)/D367,"")</f>
        <v/>
      </c>
      <c r="G367" s="13">
        <f>IFERROR((CHAIN_RAW!K367+CHAIN_RAW!L367)/2,"")</f>
        <v/>
      </c>
      <c r="H367" s="13">
        <f>IFERROR((CHAIN_RAW!R367+CHAIN_RAW!S367)/2,"")</f>
        <v/>
      </c>
      <c r="I367" s="13">
        <f>IFERROR((CHAIN_RAW!L367-CHAIN_RAW!K367)/MAX(1E-9, G367),"")</f>
        <v/>
      </c>
      <c r="J367" s="13">
        <f>IFERROR((CHAIN_RAW!S367-CHAIN_RAW!R367)/MAX(1E-9, H367),"")</f>
        <v/>
      </c>
      <c r="K367" s="13">
        <f>CHAIN_RAW!G367</f>
        <v/>
      </c>
      <c r="L367" s="13">
        <f>CHAIN_RAW!N367</f>
        <v/>
      </c>
      <c r="M367" s="13">
        <f>IFERROR(L367-K367,"")</f>
        <v/>
      </c>
      <c r="N367" s="13">
        <f>CHAIN_RAW!H367</f>
        <v/>
      </c>
      <c r="O367" s="13">
        <f>CHAIN_RAW!O367</f>
        <v/>
      </c>
      <c r="P367" s="13">
        <f>IFERROR(O367/N367,"")</f>
        <v/>
      </c>
      <c r="Q367" s="13">
        <f>CHAIN_RAW!I367</f>
        <v/>
      </c>
      <c r="R367" s="13">
        <f>CHAIN_RAW!P367</f>
        <v/>
      </c>
      <c r="S367" s="13">
        <f>IFERROR(R367/Q367,"")</f>
        <v/>
      </c>
      <c r="T367" s="13">
        <f>IFERROR((ABS(N367-O367)/MAX(1,(N367+O367)))*EXP(-ABS(E367-CONTROL!E5)/MAX(1,CONTROL!B8)),"")</f>
        <v/>
      </c>
      <c r="U367" s="13">
        <f>IFERROR(IF(O367&gt;N367,"SUPPORT (PE OI)","RESIST (CE OI)"),"")</f>
        <v/>
      </c>
      <c r="V367" s="13">
        <f>IFERROR(IF(Q367&gt;0,IF(R367&gt;0,"BOTH_ADD","CE_ADD_PE_REDUCE"),IF(R367&gt;0,"CE_REDUCE_PE_ADD","BOTH_REDUCE")),"")</f>
        <v/>
      </c>
      <c r="W367" s="13">
        <f>IFERROR( (P367-1)*0.5 + (M367)*0.1 - (I367+J367)*0.05 + T367*0.4 ,"")</f>
        <v/>
      </c>
      <c r="X367" s="13">
        <f>IFERROR(IF(ABS(F367)&lt;0.01,"ATM/NEAR",""),"")</f>
        <v/>
      </c>
    </row>
    <row r="368">
      <c r="A368" s="13">
        <f>CHAIN_RAW!A368</f>
        <v/>
      </c>
      <c r="B368" s="14">
        <f>CHAIN_RAW!B368</f>
        <v/>
      </c>
      <c r="C368" s="13">
        <f>CHAIN_RAW!C368</f>
        <v/>
      </c>
      <c r="D368" s="13">
        <f>CHAIN_RAW!D368</f>
        <v/>
      </c>
      <c r="E368" s="13">
        <f>CHAIN_RAW!E368</f>
        <v/>
      </c>
      <c r="F368" s="13">
        <f>IFERROR((E368-D368)/D368,"")</f>
        <v/>
      </c>
      <c r="G368" s="13">
        <f>IFERROR((CHAIN_RAW!K368+CHAIN_RAW!L368)/2,"")</f>
        <v/>
      </c>
      <c r="H368" s="13">
        <f>IFERROR((CHAIN_RAW!R368+CHAIN_RAW!S368)/2,"")</f>
        <v/>
      </c>
      <c r="I368" s="13">
        <f>IFERROR((CHAIN_RAW!L368-CHAIN_RAW!K368)/MAX(1E-9, G368),"")</f>
        <v/>
      </c>
      <c r="J368" s="13">
        <f>IFERROR((CHAIN_RAW!S368-CHAIN_RAW!R368)/MAX(1E-9, H368),"")</f>
        <v/>
      </c>
      <c r="K368" s="13">
        <f>CHAIN_RAW!G368</f>
        <v/>
      </c>
      <c r="L368" s="13">
        <f>CHAIN_RAW!N368</f>
        <v/>
      </c>
      <c r="M368" s="13">
        <f>IFERROR(L368-K368,"")</f>
        <v/>
      </c>
      <c r="N368" s="13">
        <f>CHAIN_RAW!H368</f>
        <v/>
      </c>
      <c r="O368" s="13">
        <f>CHAIN_RAW!O368</f>
        <v/>
      </c>
      <c r="P368" s="13">
        <f>IFERROR(O368/N368,"")</f>
        <v/>
      </c>
      <c r="Q368" s="13">
        <f>CHAIN_RAW!I368</f>
        <v/>
      </c>
      <c r="R368" s="13">
        <f>CHAIN_RAW!P368</f>
        <v/>
      </c>
      <c r="S368" s="13">
        <f>IFERROR(R368/Q368,"")</f>
        <v/>
      </c>
      <c r="T368" s="13">
        <f>IFERROR((ABS(N368-O368)/MAX(1,(N368+O368)))*EXP(-ABS(E368-CONTROL!E5)/MAX(1,CONTROL!B8)),"")</f>
        <v/>
      </c>
      <c r="U368" s="13">
        <f>IFERROR(IF(O368&gt;N368,"SUPPORT (PE OI)","RESIST (CE OI)"),"")</f>
        <v/>
      </c>
      <c r="V368" s="13">
        <f>IFERROR(IF(Q368&gt;0,IF(R368&gt;0,"BOTH_ADD","CE_ADD_PE_REDUCE"),IF(R368&gt;0,"CE_REDUCE_PE_ADD","BOTH_REDUCE")),"")</f>
        <v/>
      </c>
      <c r="W368" s="13">
        <f>IFERROR( (P368-1)*0.5 + (M368)*0.1 - (I368+J368)*0.05 + T368*0.4 ,"")</f>
        <v/>
      </c>
      <c r="X368" s="13">
        <f>IFERROR(IF(ABS(F368)&lt;0.01,"ATM/NEAR",""),"")</f>
        <v/>
      </c>
    </row>
    <row r="369">
      <c r="A369" s="13">
        <f>CHAIN_RAW!A369</f>
        <v/>
      </c>
      <c r="B369" s="14">
        <f>CHAIN_RAW!B369</f>
        <v/>
      </c>
      <c r="C369" s="13">
        <f>CHAIN_RAW!C369</f>
        <v/>
      </c>
      <c r="D369" s="13">
        <f>CHAIN_RAW!D369</f>
        <v/>
      </c>
      <c r="E369" s="13">
        <f>CHAIN_RAW!E369</f>
        <v/>
      </c>
      <c r="F369" s="13">
        <f>IFERROR((E369-D369)/D369,"")</f>
        <v/>
      </c>
      <c r="G369" s="13">
        <f>IFERROR((CHAIN_RAW!K369+CHAIN_RAW!L369)/2,"")</f>
        <v/>
      </c>
      <c r="H369" s="13">
        <f>IFERROR((CHAIN_RAW!R369+CHAIN_RAW!S369)/2,"")</f>
        <v/>
      </c>
      <c r="I369" s="13">
        <f>IFERROR((CHAIN_RAW!L369-CHAIN_RAW!K369)/MAX(1E-9, G369),"")</f>
        <v/>
      </c>
      <c r="J369" s="13">
        <f>IFERROR((CHAIN_RAW!S369-CHAIN_RAW!R369)/MAX(1E-9, H369),"")</f>
        <v/>
      </c>
      <c r="K369" s="13">
        <f>CHAIN_RAW!G369</f>
        <v/>
      </c>
      <c r="L369" s="13">
        <f>CHAIN_RAW!N369</f>
        <v/>
      </c>
      <c r="M369" s="13">
        <f>IFERROR(L369-K369,"")</f>
        <v/>
      </c>
      <c r="N369" s="13">
        <f>CHAIN_RAW!H369</f>
        <v/>
      </c>
      <c r="O369" s="13">
        <f>CHAIN_RAW!O369</f>
        <v/>
      </c>
      <c r="P369" s="13">
        <f>IFERROR(O369/N369,"")</f>
        <v/>
      </c>
      <c r="Q369" s="13">
        <f>CHAIN_RAW!I369</f>
        <v/>
      </c>
      <c r="R369" s="13">
        <f>CHAIN_RAW!P369</f>
        <v/>
      </c>
      <c r="S369" s="13">
        <f>IFERROR(R369/Q369,"")</f>
        <v/>
      </c>
      <c r="T369" s="13">
        <f>IFERROR((ABS(N369-O369)/MAX(1,(N369+O369)))*EXP(-ABS(E369-CONTROL!E5)/MAX(1,CONTROL!B8)),"")</f>
        <v/>
      </c>
      <c r="U369" s="13">
        <f>IFERROR(IF(O369&gt;N369,"SUPPORT (PE OI)","RESIST (CE OI)"),"")</f>
        <v/>
      </c>
      <c r="V369" s="13">
        <f>IFERROR(IF(Q369&gt;0,IF(R369&gt;0,"BOTH_ADD","CE_ADD_PE_REDUCE"),IF(R369&gt;0,"CE_REDUCE_PE_ADD","BOTH_REDUCE")),"")</f>
        <v/>
      </c>
      <c r="W369" s="13">
        <f>IFERROR( (P369-1)*0.5 + (M369)*0.1 - (I369+J369)*0.05 + T369*0.4 ,"")</f>
        <v/>
      </c>
      <c r="X369" s="13">
        <f>IFERROR(IF(ABS(F369)&lt;0.01,"ATM/NEAR",""),"")</f>
        <v/>
      </c>
    </row>
    <row r="370">
      <c r="A370" s="13">
        <f>CHAIN_RAW!A370</f>
        <v/>
      </c>
      <c r="B370" s="14">
        <f>CHAIN_RAW!B370</f>
        <v/>
      </c>
      <c r="C370" s="13">
        <f>CHAIN_RAW!C370</f>
        <v/>
      </c>
      <c r="D370" s="13">
        <f>CHAIN_RAW!D370</f>
        <v/>
      </c>
      <c r="E370" s="13">
        <f>CHAIN_RAW!E370</f>
        <v/>
      </c>
      <c r="F370" s="13">
        <f>IFERROR((E370-D370)/D370,"")</f>
        <v/>
      </c>
      <c r="G370" s="13">
        <f>IFERROR((CHAIN_RAW!K370+CHAIN_RAW!L370)/2,"")</f>
        <v/>
      </c>
      <c r="H370" s="13">
        <f>IFERROR((CHAIN_RAW!R370+CHAIN_RAW!S370)/2,"")</f>
        <v/>
      </c>
      <c r="I370" s="13">
        <f>IFERROR((CHAIN_RAW!L370-CHAIN_RAW!K370)/MAX(1E-9, G370),"")</f>
        <v/>
      </c>
      <c r="J370" s="13">
        <f>IFERROR((CHAIN_RAW!S370-CHAIN_RAW!R370)/MAX(1E-9, H370),"")</f>
        <v/>
      </c>
      <c r="K370" s="13">
        <f>CHAIN_RAW!G370</f>
        <v/>
      </c>
      <c r="L370" s="13">
        <f>CHAIN_RAW!N370</f>
        <v/>
      </c>
      <c r="M370" s="13">
        <f>IFERROR(L370-K370,"")</f>
        <v/>
      </c>
      <c r="N370" s="13">
        <f>CHAIN_RAW!H370</f>
        <v/>
      </c>
      <c r="O370" s="13">
        <f>CHAIN_RAW!O370</f>
        <v/>
      </c>
      <c r="P370" s="13">
        <f>IFERROR(O370/N370,"")</f>
        <v/>
      </c>
      <c r="Q370" s="13">
        <f>CHAIN_RAW!I370</f>
        <v/>
      </c>
      <c r="R370" s="13">
        <f>CHAIN_RAW!P370</f>
        <v/>
      </c>
      <c r="S370" s="13">
        <f>IFERROR(R370/Q370,"")</f>
        <v/>
      </c>
      <c r="T370" s="13">
        <f>IFERROR((ABS(N370-O370)/MAX(1,(N370+O370)))*EXP(-ABS(E370-CONTROL!E5)/MAX(1,CONTROL!B8)),"")</f>
        <v/>
      </c>
      <c r="U370" s="13">
        <f>IFERROR(IF(O370&gt;N370,"SUPPORT (PE OI)","RESIST (CE OI)"),"")</f>
        <v/>
      </c>
      <c r="V370" s="13">
        <f>IFERROR(IF(Q370&gt;0,IF(R370&gt;0,"BOTH_ADD","CE_ADD_PE_REDUCE"),IF(R370&gt;0,"CE_REDUCE_PE_ADD","BOTH_REDUCE")),"")</f>
        <v/>
      </c>
      <c r="W370" s="13">
        <f>IFERROR( (P370-1)*0.5 + (M370)*0.1 - (I370+J370)*0.05 + T370*0.4 ,"")</f>
        <v/>
      </c>
      <c r="X370" s="13">
        <f>IFERROR(IF(ABS(F370)&lt;0.01,"ATM/NEAR",""),"")</f>
        <v/>
      </c>
    </row>
    <row r="371">
      <c r="A371" s="13">
        <f>CHAIN_RAW!A371</f>
        <v/>
      </c>
      <c r="B371" s="14">
        <f>CHAIN_RAW!B371</f>
        <v/>
      </c>
      <c r="C371" s="13">
        <f>CHAIN_RAW!C371</f>
        <v/>
      </c>
      <c r="D371" s="13">
        <f>CHAIN_RAW!D371</f>
        <v/>
      </c>
      <c r="E371" s="13">
        <f>CHAIN_RAW!E371</f>
        <v/>
      </c>
      <c r="F371" s="13">
        <f>IFERROR((E371-D371)/D371,"")</f>
        <v/>
      </c>
      <c r="G371" s="13">
        <f>IFERROR((CHAIN_RAW!K371+CHAIN_RAW!L371)/2,"")</f>
        <v/>
      </c>
      <c r="H371" s="13">
        <f>IFERROR((CHAIN_RAW!R371+CHAIN_RAW!S371)/2,"")</f>
        <v/>
      </c>
      <c r="I371" s="13">
        <f>IFERROR((CHAIN_RAW!L371-CHAIN_RAW!K371)/MAX(1E-9, G371),"")</f>
        <v/>
      </c>
      <c r="J371" s="13">
        <f>IFERROR((CHAIN_RAW!S371-CHAIN_RAW!R371)/MAX(1E-9, H371),"")</f>
        <v/>
      </c>
      <c r="K371" s="13">
        <f>CHAIN_RAW!G371</f>
        <v/>
      </c>
      <c r="L371" s="13">
        <f>CHAIN_RAW!N371</f>
        <v/>
      </c>
      <c r="M371" s="13">
        <f>IFERROR(L371-K371,"")</f>
        <v/>
      </c>
      <c r="N371" s="13">
        <f>CHAIN_RAW!H371</f>
        <v/>
      </c>
      <c r="O371" s="13">
        <f>CHAIN_RAW!O371</f>
        <v/>
      </c>
      <c r="P371" s="13">
        <f>IFERROR(O371/N371,"")</f>
        <v/>
      </c>
      <c r="Q371" s="13">
        <f>CHAIN_RAW!I371</f>
        <v/>
      </c>
      <c r="R371" s="13">
        <f>CHAIN_RAW!P371</f>
        <v/>
      </c>
      <c r="S371" s="13">
        <f>IFERROR(R371/Q371,"")</f>
        <v/>
      </c>
      <c r="T371" s="13">
        <f>IFERROR((ABS(N371-O371)/MAX(1,(N371+O371)))*EXP(-ABS(E371-CONTROL!E5)/MAX(1,CONTROL!B8)),"")</f>
        <v/>
      </c>
      <c r="U371" s="13">
        <f>IFERROR(IF(O371&gt;N371,"SUPPORT (PE OI)","RESIST (CE OI)"),"")</f>
        <v/>
      </c>
      <c r="V371" s="13">
        <f>IFERROR(IF(Q371&gt;0,IF(R371&gt;0,"BOTH_ADD","CE_ADD_PE_REDUCE"),IF(R371&gt;0,"CE_REDUCE_PE_ADD","BOTH_REDUCE")),"")</f>
        <v/>
      </c>
      <c r="W371" s="13">
        <f>IFERROR( (P371-1)*0.5 + (M371)*0.1 - (I371+J371)*0.05 + T371*0.4 ,"")</f>
        <v/>
      </c>
      <c r="X371" s="13">
        <f>IFERROR(IF(ABS(F371)&lt;0.01,"ATM/NEAR",""),"")</f>
        <v/>
      </c>
    </row>
    <row r="372">
      <c r="A372" s="13">
        <f>CHAIN_RAW!A372</f>
        <v/>
      </c>
      <c r="B372" s="14">
        <f>CHAIN_RAW!B372</f>
        <v/>
      </c>
      <c r="C372" s="13">
        <f>CHAIN_RAW!C372</f>
        <v/>
      </c>
      <c r="D372" s="13">
        <f>CHAIN_RAW!D372</f>
        <v/>
      </c>
      <c r="E372" s="13">
        <f>CHAIN_RAW!E372</f>
        <v/>
      </c>
      <c r="F372" s="13">
        <f>IFERROR((E372-D372)/D372,"")</f>
        <v/>
      </c>
      <c r="G372" s="13">
        <f>IFERROR((CHAIN_RAW!K372+CHAIN_RAW!L372)/2,"")</f>
        <v/>
      </c>
      <c r="H372" s="13">
        <f>IFERROR((CHAIN_RAW!R372+CHAIN_RAW!S372)/2,"")</f>
        <v/>
      </c>
      <c r="I372" s="13">
        <f>IFERROR((CHAIN_RAW!L372-CHAIN_RAW!K372)/MAX(1E-9, G372),"")</f>
        <v/>
      </c>
      <c r="J372" s="13">
        <f>IFERROR((CHAIN_RAW!S372-CHAIN_RAW!R372)/MAX(1E-9, H372),"")</f>
        <v/>
      </c>
      <c r="K372" s="13">
        <f>CHAIN_RAW!G372</f>
        <v/>
      </c>
      <c r="L372" s="13">
        <f>CHAIN_RAW!N372</f>
        <v/>
      </c>
      <c r="M372" s="13">
        <f>IFERROR(L372-K372,"")</f>
        <v/>
      </c>
      <c r="N372" s="13">
        <f>CHAIN_RAW!H372</f>
        <v/>
      </c>
      <c r="O372" s="13">
        <f>CHAIN_RAW!O372</f>
        <v/>
      </c>
      <c r="P372" s="13">
        <f>IFERROR(O372/N372,"")</f>
        <v/>
      </c>
      <c r="Q372" s="13">
        <f>CHAIN_RAW!I372</f>
        <v/>
      </c>
      <c r="R372" s="13">
        <f>CHAIN_RAW!P372</f>
        <v/>
      </c>
      <c r="S372" s="13">
        <f>IFERROR(R372/Q372,"")</f>
        <v/>
      </c>
      <c r="T372" s="13">
        <f>IFERROR((ABS(N372-O372)/MAX(1,(N372+O372)))*EXP(-ABS(E372-CONTROL!E5)/MAX(1,CONTROL!B8)),"")</f>
        <v/>
      </c>
      <c r="U372" s="13">
        <f>IFERROR(IF(O372&gt;N372,"SUPPORT (PE OI)","RESIST (CE OI)"),"")</f>
        <v/>
      </c>
      <c r="V372" s="13">
        <f>IFERROR(IF(Q372&gt;0,IF(R372&gt;0,"BOTH_ADD","CE_ADD_PE_REDUCE"),IF(R372&gt;0,"CE_REDUCE_PE_ADD","BOTH_REDUCE")),"")</f>
        <v/>
      </c>
      <c r="W372" s="13">
        <f>IFERROR( (P372-1)*0.5 + (M372)*0.1 - (I372+J372)*0.05 + T372*0.4 ,"")</f>
        <v/>
      </c>
      <c r="X372" s="13">
        <f>IFERROR(IF(ABS(F372)&lt;0.01,"ATM/NEAR",""),"")</f>
        <v/>
      </c>
    </row>
    <row r="373">
      <c r="A373" s="13">
        <f>CHAIN_RAW!A373</f>
        <v/>
      </c>
      <c r="B373" s="14">
        <f>CHAIN_RAW!B373</f>
        <v/>
      </c>
      <c r="C373" s="13">
        <f>CHAIN_RAW!C373</f>
        <v/>
      </c>
      <c r="D373" s="13">
        <f>CHAIN_RAW!D373</f>
        <v/>
      </c>
      <c r="E373" s="13">
        <f>CHAIN_RAW!E373</f>
        <v/>
      </c>
      <c r="F373" s="13">
        <f>IFERROR((E373-D373)/D373,"")</f>
        <v/>
      </c>
      <c r="G373" s="13">
        <f>IFERROR((CHAIN_RAW!K373+CHAIN_RAW!L373)/2,"")</f>
        <v/>
      </c>
      <c r="H373" s="13">
        <f>IFERROR((CHAIN_RAW!R373+CHAIN_RAW!S373)/2,"")</f>
        <v/>
      </c>
      <c r="I373" s="13">
        <f>IFERROR((CHAIN_RAW!L373-CHAIN_RAW!K373)/MAX(1E-9, G373),"")</f>
        <v/>
      </c>
      <c r="J373" s="13">
        <f>IFERROR((CHAIN_RAW!S373-CHAIN_RAW!R373)/MAX(1E-9, H373),"")</f>
        <v/>
      </c>
      <c r="K373" s="13">
        <f>CHAIN_RAW!G373</f>
        <v/>
      </c>
      <c r="L373" s="13">
        <f>CHAIN_RAW!N373</f>
        <v/>
      </c>
      <c r="M373" s="13">
        <f>IFERROR(L373-K373,"")</f>
        <v/>
      </c>
      <c r="N373" s="13">
        <f>CHAIN_RAW!H373</f>
        <v/>
      </c>
      <c r="O373" s="13">
        <f>CHAIN_RAW!O373</f>
        <v/>
      </c>
      <c r="P373" s="13">
        <f>IFERROR(O373/N373,"")</f>
        <v/>
      </c>
      <c r="Q373" s="13">
        <f>CHAIN_RAW!I373</f>
        <v/>
      </c>
      <c r="R373" s="13">
        <f>CHAIN_RAW!P373</f>
        <v/>
      </c>
      <c r="S373" s="13">
        <f>IFERROR(R373/Q373,"")</f>
        <v/>
      </c>
      <c r="T373" s="13">
        <f>IFERROR((ABS(N373-O373)/MAX(1,(N373+O373)))*EXP(-ABS(E373-CONTROL!E5)/MAX(1,CONTROL!B8)),"")</f>
        <v/>
      </c>
      <c r="U373" s="13">
        <f>IFERROR(IF(O373&gt;N373,"SUPPORT (PE OI)","RESIST (CE OI)"),"")</f>
        <v/>
      </c>
      <c r="V373" s="13">
        <f>IFERROR(IF(Q373&gt;0,IF(R373&gt;0,"BOTH_ADD","CE_ADD_PE_REDUCE"),IF(R373&gt;0,"CE_REDUCE_PE_ADD","BOTH_REDUCE")),"")</f>
        <v/>
      </c>
      <c r="W373" s="13">
        <f>IFERROR( (P373-1)*0.5 + (M373)*0.1 - (I373+J373)*0.05 + T373*0.4 ,"")</f>
        <v/>
      </c>
      <c r="X373" s="13">
        <f>IFERROR(IF(ABS(F373)&lt;0.01,"ATM/NEAR",""),"")</f>
        <v/>
      </c>
    </row>
    <row r="374">
      <c r="A374" s="13">
        <f>CHAIN_RAW!A374</f>
        <v/>
      </c>
      <c r="B374" s="14">
        <f>CHAIN_RAW!B374</f>
        <v/>
      </c>
      <c r="C374" s="13">
        <f>CHAIN_RAW!C374</f>
        <v/>
      </c>
      <c r="D374" s="13">
        <f>CHAIN_RAW!D374</f>
        <v/>
      </c>
      <c r="E374" s="13">
        <f>CHAIN_RAW!E374</f>
        <v/>
      </c>
      <c r="F374" s="13">
        <f>IFERROR((E374-D374)/D374,"")</f>
        <v/>
      </c>
      <c r="G374" s="13">
        <f>IFERROR((CHAIN_RAW!K374+CHAIN_RAW!L374)/2,"")</f>
        <v/>
      </c>
      <c r="H374" s="13">
        <f>IFERROR((CHAIN_RAW!R374+CHAIN_RAW!S374)/2,"")</f>
        <v/>
      </c>
      <c r="I374" s="13">
        <f>IFERROR((CHAIN_RAW!L374-CHAIN_RAW!K374)/MAX(1E-9, G374),"")</f>
        <v/>
      </c>
      <c r="J374" s="13">
        <f>IFERROR((CHAIN_RAW!S374-CHAIN_RAW!R374)/MAX(1E-9, H374),"")</f>
        <v/>
      </c>
      <c r="K374" s="13">
        <f>CHAIN_RAW!G374</f>
        <v/>
      </c>
      <c r="L374" s="13">
        <f>CHAIN_RAW!N374</f>
        <v/>
      </c>
      <c r="M374" s="13">
        <f>IFERROR(L374-K374,"")</f>
        <v/>
      </c>
      <c r="N374" s="13">
        <f>CHAIN_RAW!H374</f>
        <v/>
      </c>
      <c r="O374" s="13">
        <f>CHAIN_RAW!O374</f>
        <v/>
      </c>
      <c r="P374" s="13">
        <f>IFERROR(O374/N374,"")</f>
        <v/>
      </c>
      <c r="Q374" s="13">
        <f>CHAIN_RAW!I374</f>
        <v/>
      </c>
      <c r="R374" s="13">
        <f>CHAIN_RAW!P374</f>
        <v/>
      </c>
      <c r="S374" s="13">
        <f>IFERROR(R374/Q374,"")</f>
        <v/>
      </c>
      <c r="T374" s="13">
        <f>IFERROR((ABS(N374-O374)/MAX(1,(N374+O374)))*EXP(-ABS(E374-CONTROL!E5)/MAX(1,CONTROL!B8)),"")</f>
        <v/>
      </c>
      <c r="U374" s="13">
        <f>IFERROR(IF(O374&gt;N374,"SUPPORT (PE OI)","RESIST (CE OI)"),"")</f>
        <v/>
      </c>
      <c r="V374" s="13">
        <f>IFERROR(IF(Q374&gt;0,IF(R374&gt;0,"BOTH_ADD","CE_ADD_PE_REDUCE"),IF(R374&gt;0,"CE_REDUCE_PE_ADD","BOTH_REDUCE")),"")</f>
        <v/>
      </c>
      <c r="W374" s="13">
        <f>IFERROR( (P374-1)*0.5 + (M374)*0.1 - (I374+J374)*0.05 + T374*0.4 ,"")</f>
        <v/>
      </c>
      <c r="X374" s="13">
        <f>IFERROR(IF(ABS(F374)&lt;0.01,"ATM/NEAR",""),"")</f>
        <v/>
      </c>
    </row>
    <row r="375">
      <c r="A375" s="13">
        <f>CHAIN_RAW!A375</f>
        <v/>
      </c>
      <c r="B375" s="14">
        <f>CHAIN_RAW!B375</f>
        <v/>
      </c>
      <c r="C375" s="13">
        <f>CHAIN_RAW!C375</f>
        <v/>
      </c>
      <c r="D375" s="13">
        <f>CHAIN_RAW!D375</f>
        <v/>
      </c>
      <c r="E375" s="13">
        <f>CHAIN_RAW!E375</f>
        <v/>
      </c>
      <c r="F375" s="13">
        <f>IFERROR((E375-D375)/D375,"")</f>
        <v/>
      </c>
      <c r="G375" s="13">
        <f>IFERROR((CHAIN_RAW!K375+CHAIN_RAW!L375)/2,"")</f>
        <v/>
      </c>
      <c r="H375" s="13">
        <f>IFERROR((CHAIN_RAW!R375+CHAIN_RAW!S375)/2,"")</f>
        <v/>
      </c>
      <c r="I375" s="13">
        <f>IFERROR((CHAIN_RAW!L375-CHAIN_RAW!K375)/MAX(1E-9, G375),"")</f>
        <v/>
      </c>
      <c r="J375" s="13">
        <f>IFERROR((CHAIN_RAW!S375-CHAIN_RAW!R375)/MAX(1E-9, H375),"")</f>
        <v/>
      </c>
      <c r="K375" s="13">
        <f>CHAIN_RAW!G375</f>
        <v/>
      </c>
      <c r="L375" s="13">
        <f>CHAIN_RAW!N375</f>
        <v/>
      </c>
      <c r="M375" s="13">
        <f>IFERROR(L375-K375,"")</f>
        <v/>
      </c>
      <c r="N375" s="13">
        <f>CHAIN_RAW!H375</f>
        <v/>
      </c>
      <c r="O375" s="13">
        <f>CHAIN_RAW!O375</f>
        <v/>
      </c>
      <c r="P375" s="13">
        <f>IFERROR(O375/N375,"")</f>
        <v/>
      </c>
      <c r="Q375" s="13">
        <f>CHAIN_RAW!I375</f>
        <v/>
      </c>
      <c r="R375" s="13">
        <f>CHAIN_RAW!P375</f>
        <v/>
      </c>
      <c r="S375" s="13">
        <f>IFERROR(R375/Q375,"")</f>
        <v/>
      </c>
      <c r="T375" s="13">
        <f>IFERROR((ABS(N375-O375)/MAX(1,(N375+O375)))*EXP(-ABS(E375-CONTROL!E5)/MAX(1,CONTROL!B8)),"")</f>
        <v/>
      </c>
      <c r="U375" s="13">
        <f>IFERROR(IF(O375&gt;N375,"SUPPORT (PE OI)","RESIST (CE OI)"),"")</f>
        <v/>
      </c>
      <c r="V375" s="13">
        <f>IFERROR(IF(Q375&gt;0,IF(R375&gt;0,"BOTH_ADD","CE_ADD_PE_REDUCE"),IF(R375&gt;0,"CE_REDUCE_PE_ADD","BOTH_REDUCE")),"")</f>
        <v/>
      </c>
      <c r="W375" s="13">
        <f>IFERROR( (P375-1)*0.5 + (M375)*0.1 - (I375+J375)*0.05 + T375*0.4 ,"")</f>
        <v/>
      </c>
      <c r="X375" s="13">
        <f>IFERROR(IF(ABS(F375)&lt;0.01,"ATM/NEAR",""),"")</f>
        <v/>
      </c>
    </row>
    <row r="376">
      <c r="A376" s="13">
        <f>CHAIN_RAW!A376</f>
        <v/>
      </c>
      <c r="B376" s="14">
        <f>CHAIN_RAW!B376</f>
        <v/>
      </c>
      <c r="C376" s="13">
        <f>CHAIN_RAW!C376</f>
        <v/>
      </c>
      <c r="D376" s="13">
        <f>CHAIN_RAW!D376</f>
        <v/>
      </c>
      <c r="E376" s="13">
        <f>CHAIN_RAW!E376</f>
        <v/>
      </c>
      <c r="F376" s="13">
        <f>IFERROR((E376-D376)/D376,"")</f>
        <v/>
      </c>
      <c r="G376" s="13">
        <f>IFERROR((CHAIN_RAW!K376+CHAIN_RAW!L376)/2,"")</f>
        <v/>
      </c>
      <c r="H376" s="13">
        <f>IFERROR((CHAIN_RAW!R376+CHAIN_RAW!S376)/2,"")</f>
        <v/>
      </c>
      <c r="I376" s="13">
        <f>IFERROR((CHAIN_RAW!L376-CHAIN_RAW!K376)/MAX(1E-9, G376),"")</f>
        <v/>
      </c>
      <c r="J376" s="13">
        <f>IFERROR((CHAIN_RAW!S376-CHAIN_RAW!R376)/MAX(1E-9, H376),"")</f>
        <v/>
      </c>
      <c r="K376" s="13">
        <f>CHAIN_RAW!G376</f>
        <v/>
      </c>
      <c r="L376" s="13">
        <f>CHAIN_RAW!N376</f>
        <v/>
      </c>
      <c r="M376" s="13">
        <f>IFERROR(L376-K376,"")</f>
        <v/>
      </c>
      <c r="N376" s="13">
        <f>CHAIN_RAW!H376</f>
        <v/>
      </c>
      <c r="O376" s="13">
        <f>CHAIN_RAW!O376</f>
        <v/>
      </c>
      <c r="P376" s="13">
        <f>IFERROR(O376/N376,"")</f>
        <v/>
      </c>
      <c r="Q376" s="13">
        <f>CHAIN_RAW!I376</f>
        <v/>
      </c>
      <c r="R376" s="13">
        <f>CHAIN_RAW!P376</f>
        <v/>
      </c>
      <c r="S376" s="13">
        <f>IFERROR(R376/Q376,"")</f>
        <v/>
      </c>
      <c r="T376" s="13">
        <f>IFERROR((ABS(N376-O376)/MAX(1,(N376+O376)))*EXP(-ABS(E376-CONTROL!E5)/MAX(1,CONTROL!B8)),"")</f>
        <v/>
      </c>
      <c r="U376" s="13">
        <f>IFERROR(IF(O376&gt;N376,"SUPPORT (PE OI)","RESIST (CE OI)"),"")</f>
        <v/>
      </c>
      <c r="V376" s="13">
        <f>IFERROR(IF(Q376&gt;0,IF(R376&gt;0,"BOTH_ADD","CE_ADD_PE_REDUCE"),IF(R376&gt;0,"CE_REDUCE_PE_ADD","BOTH_REDUCE")),"")</f>
        <v/>
      </c>
      <c r="W376" s="13">
        <f>IFERROR( (P376-1)*0.5 + (M376)*0.1 - (I376+J376)*0.05 + T376*0.4 ,"")</f>
        <v/>
      </c>
      <c r="X376" s="13">
        <f>IFERROR(IF(ABS(F376)&lt;0.01,"ATM/NEAR",""),"")</f>
        <v/>
      </c>
    </row>
    <row r="377">
      <c r="A377" s="13">
        <f>CHAIN_RAW!A377</f>
        <v/>
      </c>
      <c r="B377" s="14">
        <f>CHAIN_RAW!B377</f>
        <v/>
      </c>
      <c r="C377" s="13">
        <f>CHAIN_RAW!C377</f>
        <v/>
      </c>
      <c r="D377" s="13">
        <f>CHAIN_RAW!D377</f>
        <v/>
      </c>
      <c r="E377" s="13">
        <f>CHAIN_RAW!E377</f>
        <v/>
      </c>
      <c r="F377" s="13">
        <f>IFERROR((E377-D377)/D377,"")</f>
        <v/>
      </c>
      <c r="G377" s="13">
        <f>IFERROR((CHAIN_RAW!K377+CHAIN_RAW!L377)/2,"")</f>
        <v/>
      </c>
      <c r="H377" s="13">
        <f>IFERROR((CHAIN_RAW!R377+CHAIN_RAW!S377)/2,"")</f>
        <v/>
      </c>
      <c r="I377" s="13">
        <f>IFERROR((CHAIN_RAW!L377-CHAIN_RAW!K377)/MAX(1E-9, G377),"")</f>
        <v/>
      </c>
      <c r="J377" s="13">
        <f>IFERROR((CHAIN_RAW!S377-CHAIN_RAW!R377)/MAX(1E-9, H377),"")</f>
        <v/>
      </c>
      <c r="K377" s="13">
        <f>CHAIN_RAW!G377</f>
        <v/>
      </c>
      <c r="L377" s="13">
        <f>CHAIN_RAW!N377</f>
        <v/>
      </c>
      <c r="M377" s="13">
        <f>IFERROR(L377-K377,"")</f>
        <v/>
      </c>
      <c r="N377" s="13">
        <f>CHAIN_RAW!H377</f>
        <v/>
      </c>
      <c r="O377" s="13">
        <f>CHAIN_RAW!O377</f>
        <v/>
      </c>
      <c r="P377" s="13">
        <f>IFERROR(O377/N377,"")</f>
        <v/>
      </c>
      <c r="Q377" s="13">
        <f>CHAIN_RAW!I377</f>
        <v/>
      </c>
      <c r="R377" s="13">
        <f>CHAIN_RAW!P377</f>
        <v/>
      </c>
      <c r="S377" s="13">
        <f>IFERROR(R377/Q377,"")</f>
        <v/>
      </c>
      <c r="T377" s="13">
        <f>IFERROR((ABS(N377-O377)/MAX(1,(N377+O377)))*EXP(-ABS(E377-CONTROL!E5)/MAX(1,CONTROL!B8)),"")</f>
        <v/>
      </c>
      <c r="U377" s="13">
        <f>IFERROR(IF(O377&gt;N377,"SUPPORT (PE OI)","RESIST (CE OI)"),"")</f>
        <v/>
      </c>
      <c r="V377" s="13">
        <f>IFERROR(IF(Q377&gt;0,IF(R377&gt;0,"BOTH_ADD","CE_ADD_PE_REDUCE"),IF(R377&gt;0,"CE_REDUCE_PE_ADD","BOTH_REDUCE")),"")</f>
        <v/>
      </c>
      <c r="W377" s="13">
        <f>IFERROR( (P377-1)*0.5 + (M377)*0.1 - (I377+J377)*0.05 + T377*0.4 ,"")</f>
        <v/>
      </c>
      <c r="X377" s="13">
        <f>IFERROR(IF(ABS(F377)&lt;0.01,"ATM/NEAR",""),"")</f>
        <v/>
      </c>
    </row>
    <row r="378">
      <c r="A378" s="13">
        <f>CHAIN_RAW!A378</f>
        <v/>
      </c>
      <c r="B378" s="14">
        <f>CHAIN_RAW!B378</f>
        <v/>
      </c>
      <c r="C378" s="13">
        <f>CHAIN_RAW!C378</f>
        <v/>
      </c>
      <c r="D378" s="13">
        <f>CHAIN_RAW!D378</f>
        <v/>
      </c>
      <c r="E378" s="13">
        <f>CHAIN_RAW!E378</f>
        <v/>
      </c>
      <c r="F378" s="13">
        <f>IFERROR((E378-D378)/D378,"")</f>
        <v/>
      </c>
      <c r="G378" s="13">
        <f>IFERROR((CHAIN_RAW!K378+CHAIN_RAW!L378)/2,"")</f>
        <v/>
      </c>
      <c r="H378" s="13">
        <f>IFERROR((CHAIN_RAW!R378+CHAIN_RAW!S378)/2,"")</f>
        <v/>
      </c>
      <c r="I378" s="13">
        <f>IFERROR((CHAIN_RAW!L378-CHAIN_RAW!K378)/MAX(1E-9, G378),"")</f>
        <v/>
      </c>
      <c r="J378" s="13">
        <f>IFERROR((CHAIN_RAW!S378-CHAIN_RAW!R378)/MAX(1E-9, H378),"")</f>
        <v/>
      </c>
      <c r="K378" s="13">
        <f>CHAIN_RAW!G378</f>
        <v/>
      </c>
      <c r="L378" s="13">
        <f>CHAIN_RAW!N378</f>
        <v/>
      </c>
      <c r="M378" s="13">
        <f>IFERROR(L378-K378,"")</f>
        <v/>
      </c>
      <c r="N378" s="13">
        <f>CHAIN_RAW!H378</f>
        <v/>
      </c>
      <c r="O378" s="13">
        <f>CHAIN_RAW!O378</f>
        <v/>
      </c>
      <c r="P378" s="13">
        <f>IFERROR(O378/N378,"")</f>
        <v/>
      </c>
      <c r="Q378" s="13">
        <f>CHAIN_RAW!I378</f>
        <v/>
      </c>
      <c r="R378" s="13">
        <f>CHAIN_RAW!P378</f>
        <v/>
      </c>
      <c r="S378" s="13">
        <f>IFERROR(R378/Q378,"")</f>
        <v/>
      </c>
      <c r="T378" s="13">
        <f>IFERROR((ABS(N378-O378)/MAX(1,(N378+O378)))*EXP(-ABS(E378-CONTROL!E5)/MAX(1,CONTROL!B8)),"")</f>
        <v/>
      </c>
      <c r="U378" s="13">
        <f>IFERROR(IF(O378&gt;N378,"SUPPORT (PE OI)","RESIST (CE OI)"),"")</f>
        <v/>
      </c>
      <c r="V378" s="13">
        <f>IFERROR(IF(Q378&gt;0,IF(R378&gt;0,"BOTH_ADD","CE_ADD_PE_REDUCE"),IF(R378&gt;0,"CE_REDUCE_PE_ADD","BOTH_REDUCE")),"")</f>
        <v/>
      </c>
      <c r="W378" s="13">
        <f>IFERROR( (P378-1)*0.5 + (M378)*0.1 - (I378+J378)*0.05 + T378*0.4 ,"")</f>
        <v/>
      </c>
      <c r="X378" s="13">
        <f>IFERROR(IF(ABS(F378)&lt;0.01,"ATM/NEAR",""),"")</f>
        <v/>
      </c>
    </row>
    <row r="379">
      <c r="A379" s="13">
        <f>CHAIN_RAW!A379</f>
        <v/>
      </c>
      <c r="B379" s="14">
        <f>CHAIN_RAW!B379</f>
        <v/>
      </c>
      <c r="C379" s="13">
        <f>CHAIN_RAW!C379</f>
        <v/>
      </c>
      <c r="D379" s="13">
        <f>CHAIN_RAW!D379</f>
        <v/>
      </c>
      <c r="E379" s="13">
        <f>CHAIN_RAW!E379</f>
        <v/>
      </c>
      <c r="F379" s="13">
        <f>IFERROR((E379-D379)/D379,"")</f>
        <v/>
      </c>
      <c r="G379" s="13">
        <f>IFERROR((CHAIN_RAW!K379+CHAIN_RAW!L379)/2,"")</f>
        <v/>
      </c>
      <c r="H379" s="13">
        <f>IFERROR((CHAIN_RAW!R379+CHAIN_RAW!S379)/2,"")</f>
        <v/>
      </c>
      <c r="I379" s="13">
        <f>IFERROR((CHAIN_RAW!L379-CHAIN_RAW!K379)/MAX(1E-9, G379),"")</f>
        <v/>
      </c>
      <c r="J379" s="13">
        <f>IFERROR((CHAIN_RAW!S379-CHAIN_RAW!R379)/MAX(1E-9, H379),"")</f>
        <v/>
      </c>
      <c r="K379" s="13">
        <f>CHAIN_RAW!G379</f>
        <v/>
      </c>
      <c r="L379" s="13">
        <f>CHAIN_RAW!N379</f>
        <v/>
      </c>
      <c r="M379" s="13">
        <f>IFERROR(L379-K379,"")</f>
        <v/>
      </c>
      <c r="N379" s="13">
        <f>CHAIN_RAW!H379</f>
        <v/>
      </c>
      <c r="O379" s="13">
        <f>CHAIN_RAW!O379</f>
        <v/>
      </c>
      <c r="P379" s="13">
        <f>IFERROR(O379/N379,"")</f>
        <v/>
      </c>
      <c r="Q379" s="13">
        <f>CHAIN_RAW!I379</f>
        <v/>
      </c>
      <c r="R379" s="13">
        <f>CHAIN_RAW!P379</f>
        <v/>
      </c>
      <c r="S379" s="13">
        <f>IFERROR(R379/Q379,"")</f>
        <v/>
      </c>
      <c r="T379" s="13">
        <f>IFERROR((ABS(N379-O379)/MAX(1,(N379+O379)))*EXP(-ABS(E379-CONTROL!E5)/MAX(1,CONTROL!B8)),"")</f>
        <v/>
      </c>
      <c r="U379" s="13">
        <f>IFERROR(IF(O379&gt;N379,"SUPPORT (PE OI)","RESIST (CE OI)"),"")</f>
        <v/>
      </c>
      <c r="V379" s="13">
        <f>IFERROR(IF(Q379&gt;0,IF(R379&gt;0,"BOTH_ADD","CE_ADD_PE_REDUCE"),IF(R379&gt;0,"CE_REDUCE_PE_ADD","BOTH_REDUCE")),"")</f>
        <v/>
      </c>
      <c r="W379" s="13">
        <f>IFERROR( (P379-1)*0.5 + (M379)*0.1 - (I379+J379)*0.05 + T379*0.4 ,"")</f>
        <v/>
      </c>
      <c r="X379" s="13">
        <f>IFERROR(IF(ABS(F379)&lt;0.01,"ATM/NEAR",""),"")</f>
        <v/>
      </c>
    </row>
    <row r="380">
      <c r="A380" s="13">
        <f>CHAIN_RAW!A380</f>
        <v/>
      </c>
      <c r="B380" s="14">
        <f>CHAIN_RAW!B380</f>
        <v/>
      </c>
      <c r="C380" s="13">
        <f>CHAIN_RAW!C380</f>
        <v/>
      </c>
      <c r="D380" s="13">
        <f>CHAIN_RAW!D380</f>
        <v/>
      </c>
      <c r="E380" s="13">
        <f>CHAIN_RAW!E380</f>
        <v/>
      </c>
      <c r="F380" s="13">
        <f>IFERROR((E380-D380)/D380,"")</f>
        <v/>
      </c>
      <c r="G380" s="13">
        <f>IFERROR((CHAIN_RAW!K380+CHAIN_RAW!L380)/2,"")</f>
        <v/>
      </c>
      <c r="H380" s="13">
        <f>IFERROR((CHAIN_RAW!R380+CHAIN_RAW!S380)/2,"")</f>
        <v/>
      </c>
      <c r="I380" s="13">
        <f>IFERROR((CHAIN_RAW!L380-CHAIN_RAW!K380)/MAX(1E-9, G380),"")</f>
        <v/>
      </c>
      <c r="J380" s="13">
        <f>IFERROR((CHAIN_RAW!S380-CHAIN_RAW!R380)/MAX(1E-9, H380),"")</f>
        <v/>
      </c>
      <c r="K380" s="13">
        <f>CHAIN_RAW!G380</f>
        <v/>
      </c>
      <c r="L380" s="13">
        <f>CHAIN_RAW!N380</f>
        <v/>
      </c>
      <c r="M380" s="13">
        <f>IFERROR(L380-K380,"")</f>
        <v/>
      </c>
      <c r="N380" s="13">
        <f>CHAIN_RAW!H380</f>
        <v/>
      </c>
      <c r="O380" s="13">
        <f>CHAIN_RAW!O380</f>
        <v/>
      </c>
      <c r="P380" s="13">
        <f>IFERROR(O380/N380,"")</f>
        <v/>
      </c>
      <c r="Q380" s="13">
        <f>CHAIN_RAW!I380</f>
        <v/>
      </c>
      <c r="R380" s="13">
        <f>CHAIN_RAW!P380</f>
        <v/>
      </c>
      <c r="S380" s="13">
        <f>IFERROR(R380/Q380,"")</f>
        <v/>
      </c>
      <c r="T380" s="13">
        <f>IFERROR((ABS(N380-O380)/MAX(1,(N380+O380)))*EXP(-ABS(E380-CONTROL!E5)/MAX(1,CONTROL!B8)),"")</f>
        <v/>
      </c>
      <c r="U380" s="13">
        <f>IFERROR(IF(O380&gt;N380,"SUPPORT (PE OI)","RESIST (CE OI)"),"")</f>
        <v/>
      </c>
      <c r="V380" s="13">
        <f>IFERROR(IF(Q380&gt;0,IF(R380&gt;0,"BOTH_ADD","CE_ADD_PE_REDUCE"),IF(R380&gt;0,"CE_REDUCE_PE_ADD","BOTH_REDUCE")),"")</f>
        <v/>
      </c>
      <c r="W380" s="13">
        <f>IFERROR( (P380-1)*0.5 + (M380)*0.1 - (I380+J380)*0.05 + T380*0.4 ,"")</f>
        <v/>
      </c>
      <c r="X380" s="13">
        <f>IFERROR(IF(ABS(F380)&lt;0.01,"ATM/NEAR",""),"")</f>
        <v/>
      </c>
    </row>
    <row r="381">
      <c r="A381" s="13">
        <f>CHAIN_RAW!A381</f>
        <v/>
      </c>
      <c r="B381" s="14">
        <f>CHAIN_RAW!B381</f>
        <v/>
      </c>
      <c r="C381" s="13">
        <f>CHAIN_RAW!C381</f>
        <v/>
      </c>
      <c r="D381" s="13">
        <f>CHAIN_RAW!D381</f>
        <v/>
      </c>
      <c r="E381" s="13">
        <f>CHAIN_RAW!E381</f>
        <v/>
      </c>
      <c r="F381" s="13">
        <f>IFERROR((E381-D381)/D381,"")</f>
        <v/>
      </c>
      <c r="G381" s="13">
        <f>IFERROR((CHAIN_RAW!K381+CHAIN_RAW!L381)/2,"")</f>
        <v/>
      </c>
      <c r="H381" s="13">
        <f>IFERROR((CHAIN_RAW!R381+CHAIN_RAW!S381)/2,"")</f>
        <v/>
      </c>
      <c r="I381" s="13">
        <f>IFERROR((CHAIN_RAW!L381-CHAIN_RAW!K381)/MAX(1E-9, G381),"")</f>
        <v/>
      </c>
      <c r="J381" s="13">
        <f>IFERROR((CHAIN_RAW!S381-CHAIN_RAW!R381)/MAX(1E-9, H381),"")</f>
        <v/>
      </c>
      <c r="K381" s="13">
        <f>CHAIN_RAW!G381</f>
        <v/>
      </c>
      <c r="L381" s="13">
        <f>CHAIN_RAW!N381</f>
        <v/>
      </c>
      <c r="M381" s="13">
        <f>IFERROR(L381-K381,"")</f>
        <v/>
      </c>
      <c r="N381" s="13">
        <f>CHAIN_RAW!H381</f>
        <v/>
      </c>
      <c r="O381" s="13">
        <f>CHAIN_RAW!O381</f>
        <v/>
      </c>
      <c r="P381" s="13">
        <f>IFERROR(O381/N381,"")</f>
        <v/>
      </c>
      <c r="Q381" s="13">
        <f>CHAIN_RAW!I381</f>
        <v/>
      </c>
      <c r="R381" s="13">
        <f>CHAIN_RAW!P381</f>
        <v/>
      </c>
      <c r="S381" s="13">
        <f>IFERROR(R381/Q381,"")</f>
        <v/>
      </c>
      <c r="T381" s="13">
        <f>IFERROR((ABS(N381-O381)/MAX(1,(N381+O381)))*EXP(-ABS(E381-CONTROL!E5)/MAX(1,CONTROL!B8)),"")</f>
        <v/>
      </c>
      <c r="U381" s="13">
        <f>IFERROR(IF(O381&gt;N381,"SUPPORT (PE OI)","RESIST (CE OI)"),"")</f>
        <v/>
      </c>
      <c r="V381" s="13">
        <f>IFERROR(IF(Q381&gt;0,IF(R381&gt;0,"BOTH_ADD","CE_ADD_PE_REDUCE"),IF(R381&gt;0,"CE_REDUCE_PE_ADD","BOTH_REDUCE")),"")</f>
        <v/>
      </c>
      <c r="W381" s="13">
        <f>IFERROR( (P381-1)*0.5 + (M381)*0.1 - (I381+J381)*0.05 + T381*0.4 ,"")</f>
        <v/>
      </c>
      <c r="X381" s="13">
        <f>IFERROR(IF(ABS(F381)&lt;0.01,"ATM/NEAR",""),"")</f>
        <v/>
      </c>
    </row>
    <row r="382">
      <c r="A382" s="13">
        <f>CHAIN_RAW!A382</f>
        <v/>
      </c>
      <c r="B382" s="14">
        <f>CHAIN_RAW!B382</f>
        <v/>
      </c>
      <c r="C382" s="13">
        <f>CHAIN_RAW!C382</f>
        <v/>
      </c>
      <c r="D382" s="13">
        <f>CHAIN_RAW!D382</f>
        <v/>
      </c>
      <c r="E382" s="13">
        <f>CHAIN_RAW!E382</f>
        <v/>
      </c>
      <c r="F382" s="13">
        <f>IFERROR((E382-D382)/D382,"")</f>
        <v/>
      </c>
      <c r="G382" s="13">
        <f>IFERROR((CHAIN_RAW!K382+CHAIN_RAW!L382)/2,"")</f>
        <v/>
      </c>
      <c r="H382" s="13">
        <f>IFERROR((CHAIN_RAW!R382+CHAIN_RAW!S382)/2,"")</f>
        <v/>
      </c>
      <c r="I382" s="13">
        <f>IFERROR((CHAIN_RAW!L382-CHAIN_RAW!K382)/MAX(1E-9, G382),"")</f>
        <v/>
      </c>
      <c r="J382" s="13">
        <f>IFERROR((CHAIN_RAW!S382-CHAIN_RAW!R382)/MAX(1E-9, H382),"")</f>
        <v/>
      </c>
      <c r="K382" s="13">
        <f>CHAIN_RAW!G382</f>
        <v/>
      </c>
      <c r="L382" s="13">
        <f>CHAIN_RAW!N382</f>
        <v/>
      </c>
      <c r="M382" s="13">
        <f>IFERROR(L382-K382,"")</f>
        <v/>
      </c>
      <c r="N382" s="13">
        <f>CHAIN_RAW!H382</f>
        <v/>
      </c>
      <c r="O382" s="13">
        <f>CHAIN_RAW!O382</f>
        <v/>
      </c>
      <c r="P382" s="13">
        <f>IFERROR(O382/N382,"")</f>
        <v/>
      </c>
      <c r="Q382" s="13">
        <f>CHAIN_RAW!I382</f>
        <v/>
      </c>
      <c r="R382" s="13">
        <f>CHAIN_RAW!P382</f>
        <v/>
      </c>
      <c r="S382" s="13">
        <f>IFERROR(R382/Q382,"")</f>
        <v/>
      </c>
      <c r="T382" s="13">
        <f>IFERROR((ABS(N382-O382)/MAX(1,(N382+O382)))*EXP(-ABS(E382-CONTROL!E5)/MAX(1,CONTROL!B8)),"")</f>
        <v/>
      </c>
      <c r="U382" s="13">
        <f>IFERROR(IF(O382&gt;N382,"SUPPORT (PE OI)","RESIST (CE OI)"),"")</f>
        <v/>
      </c>
      <c r="V382" s="13">
        <f>IFERROR(IF(Q382&gt;0,IF(R382&gt;0,"BOTH_ADD","CE_ADD_PE_REDUCE"),IF(R382&gt;0,"CE_REDUCE_PE_ADD","BOTH_REDUCE")),"")</f>
        <v/>
      </c>
      <c r="W382" s="13">
        <f>IFERROR( (P382-1)*0.5 + (M382)*0.1 - (I382+J382)*0.05 + T382*0.4 ,"")</f>
        <v/>
      </c>
      <c r="X382" s="13">
        <f>IFERROR(IF(ABS(F382)&lt;0.01,"ATM/NEAR",""),"")</f>
        <v/>
      </c>
    </row>
    <row r="383">
      <c r="A383" s="13">
        <f>CHAIN_RAW!A383</f>
        <v/>
      </c>
      <c r="B383" s="14">
        <f>CHAIN_RAW!B383</f>
        <v/>
      </c>
      <c r="C383" s="13">
        <f>CHAIN_RAW!C383</f>
        <v/>
      </c>
      <c r="D383" s="13">
        <f>CHAIN_RAW!D383</f>
        <v/>
      </c>
      <c r="E383" s="13">
        <f>CHAIN_RAW!E383</f>
        <v/>
      </c>
      <c r="F383" s="13">
        <f>IFERROR((E383-D383)/D383,"")</f>
        <v/>
      </c>
      <c r="G383" s="13">
        <f>IFERROR((CHAIN_RAW!K383+CHAIN_RAW!L383)/2,"")</f>
        <v/>
      </c>
      <c r="H383" s="13">
        <f>IFERROR((CHAIN_RAW!R383+CHAIN_RAW!S383)/2,"")</f>
        <v/>
      </c>
      <c r="I383" s="13">
        <f>IFERROR((CHAIN_RAW!L383-CHAIN_RAW!K383)/MAX(1E-9, G383),"")</f>
        <v/>
      </c>
      <c r="J383" s="13">
        <f>IFERROR((CHAIN_RAW!S383-CHAIN_RAW!R383)/MAX(1E-9, H383),"")</f>
        <v/>
      </c>
      <c r="K383" s="13">
        <f>CHAIN_RAW!G383</f>
        <v/>
      </c>
      <c r="L383" s="13">
        <f>CHAIN_RAW!N383</f>
        <v/>
      </c>
      <c r="M383" s="13">
        <f>IFERROR(L383-K383,"")</f>
        <v/>
      </c>
      <c r="N383" s="13">
        <f>CHAIN_RAW!H383</f>
        <v/>
      </c>
      <c r="O383" s="13">
        <f>CHAIN_RAW!O383</f>
        <v/>
      </c>
      <c r="P383" s="13">
        <f>IFERROR(O383/N383,"")</f>
        <v/>
      </c>
      <c r="Q383" s="13">
        <f>CHAIN_RAW!I383</f>
        <v/>
      </c>
      <c r="R383" s="13">
        <f>CHAIN_RAW!P383</f>
        <v/>
      </c>
      <c r="S383" s="13">
        <f>IFERROR(R383/Q383,"")</f>
        <v/>
      </c>
      <c r="T383" s="13">
        <f>IFERROR((ABS(N383-O383)/MAX(1,(N383+O383)))*EXP(-ABS(E383-CONTROL!E5)/MAX(1,CONTROL!B8)),"")</f>
        <v/>
      </c>
      <c r="U383" s="13">
        <f>IFERROR(IF(O383&gt;N383,"SUPPORT (PE OI)","RESIST (CE OI)"),"")</f>
        <v/>
      </c>
      <c r="V383" s="13">
        <f>IFERROR(IF(Q383&gt;0,IF(R383&gt;0,"BOTH_ADD","CE_ADD_PE_REDUCE"),IF(R383&gt;0,"CE_REDUCE_PE_ADD","BOTH_REDUCE")),"")</f>
        <v/>
      </c>
      <c r="W383" s="13">
        <f>IFERROR( (P383-1)*0.5 + (M383)*0.1 - (I383+J383)*0.05 + T383*0.4 ,"")</f>
        <v/>
      </c>
      <c r="X383" s="13">
        <f>IFERROR(IF(ABS(F383)&lt;0.01,"ATM/NEAR",""),"")</f>
        <v/>
      </c>
    </row>
    <row r="384">
      <c r="A384" s="13">
        <f>CHAIN_RAW!A384</f>
        <v/>
      </c>
      <c r="B384" s="14">
        <f>CHAIN_RAW!B384</f>
        <v/>
      </c>
      <c r="C384" s="13">
        <f>CHAIN_RAW!C384</f>
        <v/>
      </c>
      <c r="D384" s="13">
        <f>CHAIN_RAW!D384</f>
        <v/>
      </c>
      <c r="E384" s="13">
        <f>CHAIN_RAW!E384</f>
        <v/>
      </c>
      <c r="F384" s="13">
        <f>IFERROR((E384-D384)/D384,"")</f>
        <v/>
      </c>
      <c r="G384" s="13">
        <f>IFERROR((CHAIN_RAW!K384+CHAIN_RAW!L384)/2,"")</f>
        <v/>
      </c>
      <c r="H384" s="13">
        <f>IFERROR((CHAIN_RAW!R384+CHAIN_RAW!S384)/2,"")</f>
        <v/>
      </c>
      <c r="I384" s="13">
        <f>IFERROR((CHAIN_RAW!L384-CHAIN_RAW!K384)/MAX(1E-9, G384),"")</f>
        <v/>
      </c>
      <c r="J384" s="13">
        <f>IFERROR((CHAIN_RAW!S384-CHAIN_RAW!R384)/MAX(1E-9, H384),"")</f>
        <v/>
      </c>
      <c r="K384" s="13">
        <f>CHAIN_RAW!G384</f>
        <v/>
      </c>
      <c r="L384" s="13">
        <f>CHAIN_RAW!N384</f>
        <v/>
      </c>
      <c r="M384" s="13">
        <f>IFERROR(L384-K384,"")</f>
        <v/>
      </c>
      <c r="N384" s="13">
        <f>CHAIN_RAW!H384</f>
        <v/>
      </c>
      <c r="O384" s="13">
        <f>CHAIN_RAW!O384</f>
        <v/>
      </c>
      <c r="P384" s="13">
        <f>IFERROR(O384/N384,"")</f>
        <v/>
      </c>
      <c r="Q384" s="13">
        <f>CHAIN_RAW!I384</f>
        <v/>
      </c>
      <c r="R384" s="13">
        <f>CHAIN_RAW!P384</f>
        <v/>
      </c>
      <c r="S384" s="13">
        <f>IFERROR(R384/Q384,"")</f>
        <v/>
      </c>
      <c r="T384" s="13">
        <f>IFERROR((ABS(N384-O384)/MAX(1,(N384+O384)))*EXP(-ABS(E384-CONTROL!E5)/MAX(1,CONTROL!B8)),"")</f>
        <v/>
      </c>
      <c r="U384" s="13">
        <f>IFERROR(IF(O384&gt;N384,"SUPPORT (PE OI)","RESIST (CE OI)"),"")</f>
        <v/>
      </c>
      <c r="V384" s="13">
        <f>IFERROR(IF(Q384&gt;0,IF(R384&gt;0,"BOTH_ADD","CE_ADD_PE_REDUCE"),IF(R384&gt;0,"CE_REDUCE_PE_ADD","BOTH_REDUCE")),"")</f>
        <v/>
      </c>
      <c r="W384" s="13">
        <f>IFERROR( (P384-1)*0.5 + (M384)*0.1 - (I384+J384)*0.05 + T384*0.4 ,"")</f>
        <v/>
      </c>
      <c r="X384" s="13">
        <f>IFERROR(IF(ABS(F384)&lt;0.01,"ATM/NEAR",""),"")</f>
        <v/>
      </c>
    </row>
    <row r="385">
      <c r="A385" s="13">
        <f>CHAIN_RAW!A385</f>
        <v/>
      </c>
      <c r="B385" s="14">
        <f>CHAIN_RAW!B385</f>
        <v/>
      </c>
      <c r="C385" s="13">
        <f>CHAIN_RAW!C385</f>
        <v/>
      </c>
      <c r="D385" s="13">
        <f>CHAIN_RAW!D385</f>
        <v/>
      </c>
      <c r="E385" s="13">
        <f>CHAIN_RAW!E385</f>
        <v/>
      </c>
      <c r="F385" s="13">
        <f>IFERROR((E385-D385)/D385,"")</f>
        <v/>
      </c>
      <c r="G385" s="13">
        <f>IFERROR((CHAIN_RAW!K385+CHAIN_RAW!L385)/2,"")</f>
        <v/>
      </c>
      <c r="H385" s="13">
        <f>IFERROR((CHAIN_RAW!R385+CHAIN_RAW!S385)/2,"")</f>
        <v/>
      </c>
      <c r="I385" s="13">
        <f>IFERROR((CHAIN_RAW!L385-CHAIN_RAW!K385)/MAX(1E-9, G385),"")</f>
        <v/>
      </c>
      <c r="J385" s="13">
        <f>IFERROR((CHAIN_RAW!S385-CHAIN_RAW!R385)/MAX(1E-9, H385),"")</f>
        <v/>
      </c>
      <c r="K385" s="13">
        <f>CHAIN_RAW!G385</f>
        <v/>
      </c>
      <c r="L385" s="13">
        <f>CHAIN_RAW!N385</f>
        <v/>
      </c>
      <c r="M385" s="13">
        <f>IFERROR(L385-K385,"")</f>
        <v/>
      </c>
      <c r="N385" s="13">
        <f>CHAIN_RAW!H385</f>
        <v/>
      </c>
      <c r="O385" s="13">
        <f>CHAIN_RAW!O385</f>
        <v/>
      </c>
      <c r="P385" s="13">
        <f>IFERROR(O385/N385,"")</f>
        <v/>
      </c>
      <c r="Q385" s="13">
        <f>CHAIN_RAW!I385</f>
        <v/>
      </c>
      <c r="R385" s="13">
        <f>CHAIN_RAW!P385</f>
        <v/>
      </c>
      <c r="S385" s="13">
        <f>IFERROR(R385/Q385,"")</f>
        <v/>
      </c>
      <c r="T385" s="13">
        <f>IFERROR((ABS(N385-O385)/MAX(1,(N385+O385)))*EXP(-ABS(E385-CONTROL!E5)/MAX(1,CONTROL!B8)),"")</f>
        <v/>
      </c>
      <c r="U385" s="13">
        <f>IFERROR(IF(O385&gt;N385,"SUPPORT (PE OI)","RESIST (CE OI)"),"")</f>
        <v/>
      </c>
      <c r="V385" s="13">
        <f>IFERROR(IF(Q385&gt;0,IF(R385&gt;0,"BOTH_ADD","CE_ADD_PE_REDUCE"),IF(R385&gt;0,"CE_REDUCE_PE_ADD","BOTH_REDUCE")),"")</f>
        <v/>
      </c>
      <c r="W385" s="13">
        <f>IFERROR( (P385-1)*0.5 + (M385)*0.1 - (I385+J385)*0.05 + T385*0.4 ,"")</f>
        <v/>
      </c>
      <c r="X385" s="13">
        <f>IFERROR(IF(ABS(F385)&lt;0.01,"ATM/NEAR",""),"")</f>
        <v/>
      </c>
    </row>
    <row r="386">
      <c r="A386" s="13">
        <f>CHAIN_RAW!A386</f>
        <v/>
      </c>
      <c r="B386" s="14">
        <f>CHAIN_RAW!B386</f>
        <v/>
      </c>
      <c r="C386" s="13">
        <f>CHAIN_RAW!C386</f>
        <v/>
      </c>
      <c r="D386" s="13">
        <f>CHAIN_RAW!D386</f>
        <v/>
      </c>
      <c r="E386" s="13">
        <f>CHAIN_RAW!E386</f>
        <v/>
      </c>
      <c r="F386" s="13">
        <f>IFERROR((E386-D386)/D386,"")</f>
        <v/>
      </c>
      <c r="G386" s="13">
        <f>IFERROR((CHAIN_RAW!K386+CHAIN_RAW!L386)/2,"")</f>
        <v/>
      </c>
      <c r="H386" s="13">
        <f>IFERROR((CHAIN_RAW!R386+CHAIN_RAW!S386)/2,"")</f>
        <v/>
      </c>
      <c r="I386" s="13">
        <f>IFERROR((CHAIN_RAW!L386-CHAIN_RAW!K386)/MAX(1E-9, G386),"")</f>
        <v/>
      </c>
      <c r="J386" s="13">
        <f>IFERROR((CHAIN_RAW!S386-CHAIN_RAW!R386)/MAX(1E-9, H386),"")</f>
        <v/>
      </c>
      <c r="K386" s="13">
        <f>CHAIN_RAW!G386</f>
        <v/>
      </c>
      <c r="L386" s="13">
        <f>CHAIN_RAW!N386</f>
        <v/>
      </c>
      <c r="M386" s="13">
        <f>IFERROR(L386-K386,"")</f>
        <v/>
      </c>
      <c r="N386" s="13">
        <f>CHAIN_RAW!H386</f>
        <v/>
      </c>
      <c r="O386" s="13">
        <f>CHAIN_RAW!O386</f>
        <v/>
      </c>
      <c r="P386" s="13">
        <f>IFERROR(O386/N386,"")</f>
        <v/>
      </c>
      <c r="Q386" s="13">
        <f>CHAIN_RAW!I386</f>
        <v/>
      </c>
      <c r="R386" s="13">
        <f>CHAIN_RAW!P386</f>
        <v/>
      </c>
      <c r="S386" s="13">
        <f>IFERROR(R386/Q386,"")</f>
        <v/>
      </c>
      <c r="T386" s="13">
        <f>IFERROR((ABS(N386-O386)/MAX(1,(N386+O386)))*EXP(-ABS(E386-CONTROL!E5)/MAX(1,CONTROL!B8)),"")</f>
        <v/>
      </c>
      <c r="U386" s="13">
        <f>IFERROR(IF(O386&gt;N386,"SUPPORT (PE OI)","RESIST (CE OI)"),"")</f>
        <v/>
      </c>
      <c r="V386" s="13">
        <f>IFERROR(IF(Q386&gt;0,IF(R386&gt;0,"BOTH_ADD","CE_ADD_PE_REDUCE"),IF(R386&gt;0,"CE_REDUCE_PE_ADD","BOTH_REDUCE")),"")</f>
        <v/>
      </c>
      <c r="W386" s="13">
        <f>IFERROR( (P386-1)*0.5 + (M386)*0.1 - (I386+J386)*0.05 + T386*0.4 ,"")</f>
        <v/>
      </c>
      <c r="X386" s="13">
        <f>IFERROR(IF(ABS(F386)&lt;0.01,"ATM/NEAR",""),"")</f>
        <v/>
      </c>
    </row>
    <row r="387">
      <c r="A387" s="13">
        <f>CHAIN_RAW!A387</f>
        <v/>
      </c>
      <c r="B387" s="14">
        <f>CHAIN_RAW!B387</f>
        <v/>
      </c>
      <c r="C387" s="13">
        <f>CHAIN_RAW!C387</f>
        <v/>
      </c>
      <c r="D387" s="13">
        <f>CHAIN_RAW!D387</f>
        <v/>
      </c>
      <c r="E387" s="13">
        <f>CHAIN_RAW!E387</f>
        <v/>
      </c>
      <c r="F387" s="13">
        <f>IFERROR((E387-D387)/D387,"")</f>
        <v/>
      </c>
      <c r="G387" s="13">
        <f>IFERROR((CHAIN_RAW!K387+CHAIN_RAW!L387)/2,"")</f>
        <v/>
      </c>
      <c r="H387" s="13">
        <f>IFERROR((CHAIN_RAW!R387+CHAIN_RAW!S387)/2,"")</f>
        <v/>
      </c>
      <c r="I387" s="13">
        <f>IFERROR((CHAIN_RAW!L387-CHAIN_RAW!K387)/MAX(1E-9, G387),"")</f>
        <v/>
      </c>
      <c r="J387" s="13">
        <f>IFERROR((CHAIN_RAW!S387-CHAIN_RAW!R387)/MAX(1E-9, H387),"")</f>
        <v/>
      </c>
      <c r="K387" s="13">
        <f>CHAIN_RAW!G387</f>
        <v/>
      </c>
      <c r="L387" s="13">
        <f>CHAIN_RAW!N387</f>
        <v/>
      </c>
      <c r="M387" s="13">
        <f>IFERROR(L387-K387,"")</f>
        <v/>
      </c>
      <c r="N387" s="13">
        <f>CHAIN_RAW!H387</f>
        <v/>
      </c>
      <c r="O387" s="13">
        <f>CHAIN_RAW!O387</f>
        <v/>
      </c>
      <c r="P387" s="13">
        <f>IFERROR(O387/N387,"")</f>
        <v/>
      </c>
      <c r="Q387" s="13">
        <f>CHAIN_RAW!I387</f>
        <v/>
      </c>
      <c r="R387" s="13">
        <f>CHAIN_RAW!P387</f>
        <v/>
      </c>
      <c r="S387" s="13">
        <f>IFERROR(R387/Q387,"")</f>
        <v/>
      </c>
      <c r="T387" s="13">
        <f>IFERROR((ABS(N387-O387)/MAX(1,(N387+O387)))*EXP(-ABS(E387-CONTROL!E5)/MAX(1,CONTROL!B8)),"")</f>
        <v/>
      </c>
      <c r="U387" s="13">
        <f>IFERROR(IF(O387&gt;N387,"SUPPORT (PE OI)","RESIST (CE OI)"),"")</f>
        <v/>
      </c>
      <c r="V387" s="13">
        <f>IFERROR(IF(Q387&gt;0,IF(R387&gt;0,"BOTH_ADD","CE_ADD_PE_REDUCE"),IF(R387&gt;0,"CE_REDUCE_PE_ADD","BOTH_REDUCE")),"")</f>
        <v/>
      </c>
      <c r="W387" s="13">
        <f>IFERROR( (P387-1)*0.5 + (M387)*0.1 - (I387+J387)*0.05 + T387*0.4 ,"")</f>
        <v/>
      </c>
      <c r="X387" s="13">
        <f>IFERROR(IF(ABS(F387)&lt;0.01,"ATM/NEAR",""),"")</f>
        <v/>
      </c>
    </row>
    <row r="388">
      <c r="A388" s="13">
        <f>CHAIN_RAW!A388</f>
        <v/>
      </c>
      <c r="B388" s="14">
        <f>CHAIN_RAW!B388</f>
        <v/>
      </c>
      <c r="C388" s="13">
        <f>CHAIN_RAW!C388</f>
        <v/>
      </c>
      <c r="D388" s="13">
        <f>CHAIN_RAW!D388</f>
        <v/>
      </c>
      <c r="E388" s="13">
        <f>CHAIN_RAW!E388</f>
        <v/>
      </c>
      <c r="F388" s="13">
        <f>IFERROR((E388-D388)/D388,"")</f>
        <v/>
      </c>
      <c r="G388" s="13">
        <f>IFERROR((CHAIN_RAW!K388+CHAIN_RAW!L388)/2,"")</f>
        <v/>
      </c>
      <c r="H388" s="13">
        <f>IFERROR((CHAIN_RAW!R388+CHAIN_RAW!S388)/2,"")</f>
        <v/>
      </c>
      <c r="I388" s="13">
        <f>IFERROR((CHAIN_RAW!L388-CHAIN_RAW!K388)/MAX(1E-9, G388),"")</f>
        <v/>
      </c>
      <c r="J388" s="13">
        <f>IFERROR((CHAIN_RAW!S388-CHAIN_RAW!R388)/MAX(1E-9, H388),"")</f>
        <v/>
      </c>
      <c r="K388" s="13">
        <f>CHAIN_RAW!G388</f>
        <v/>
      </c>
      <c r="L388" s="13">
        <f>CHAIN_RAW!N388</f>
        <v/>
      </c>
      <c r="M388" s="13">
        <f>IFERROR(L388-K388,"")</f>
        <v/>
      </c>
      <c r="N388" s="13">
        <f>CHAIN_RAW!H388</f>
        <v/>
      </c>
      <c r="O388" s="13">
        <f>CHAIN_RAW!O388</f>
        <v/>
      </c>
      <c r="P388" s="13">
        <f>IFERROR(O388/N388,"")</f>
        <v/>
      </c>
      <c r="Q388" s="13">
        <f>CHAIN_RAW!I388</f>
        <v/>
      </c>
      <c r="R388" s="13">
        <f>CHAIN_RAW!P388</f>
        <v/>
      </c>
      <c r="S388" s="13">
        <f>IFERROR(R388/Q388,"")</f>
        <v/>
      </c>
      <c r="T388" s="13">
        <f>IFERROR((ABS(N388-O388)/MAX(1,(N388+O388)))*EXP(-ABS(E388-CONTROL!E5)/MAX(1,CONTROL!B8)),"")</f>
        <v/>
      </c>
      <c r="U388" s="13">
        <f>IFERROR(IF(O388&gt;N388,"SUPPORT (PE OI)","RESIST (CE OI)"),"")</f>
        <v/>
      </c>
      <c r="V388" s="13">
        <f>IFERROR(IF(Q388&gt;0,IF(R388&gt;0,"BOTH_ADD","CE_ADD_PE_REDUCE"),IF(R388&gt;0,"CE_REDUCE_PE_ADD","BOTH_REDUCE")),"")</f>
        <v/>
      </c>
      <c r="W388" s="13">
        <f>IFERROR( (P388-1)*0.5 + (M388)*0.1 - (I388+J388)*0.05 + T388*0.4 ,"")</f>
        <v/>
      </c>
      <c r="X388" s="13">
        <f>IFERROR(IF(ABS(F388)&lt;0.01,"ATM/NEAR",""),"")</f>
        <v/>
      </c>
    </row>
    <row r="389">
      <c r="A389" s="13">
        <f>CHAIN_RAW!A389</f>
        <v/>
      </c>
      <c r="B389" s="14">
        <f>CHAIN_RAW!B389</f>
        <v/>
      </c>
      <c r="C389" s="13">
        <f>CHAIN_RAW!C389</f>
        <v/>
      </c>
      <c r="D389" s="13">
        <f>CHAIN_RAW!D389</f>
        <v/>
      </c>
      <c r="E389" s="13">
        <f>CHAIN_RAW!E389</f>
        <v/>
      </c>
      <c r="F389" s="13">
        <f>IFERROR((E389-D389)/D389,"")</f>
        <v/>
      </c>
      <c r="G389" s="13">
        <f>IFERROR((CHAIN_RAW!K389+CHAIN_RAW!L389)/2,"")</f>
        <v/>
      </c>
      <c r="H389" s="13">
        <f>IFERROR((CHAIN_RAW!R389+CHAIN_RAW!S389)/2,"")</f>
        <v/>
      </c>
      <c r="I389" s="13">
        <f>IFERROR((CHAIN_RAW!L389-CHAIN_RAW!K389)/MAX(1E-9, G389),"")</f>
        <v/>
      </c>
      <c r="J389" s="13">
        <f>IFERROR((CHAIN_RAW!S389-CHAIN_RAW!R389)/MAX(1E-9, H389),"")</f>
        <v/>
      </c>
      <c r="K389" s="13">
        <f>CHAIN_RAW!G389</f>
        <v/>
      </c>
      <c r="L389" s="13">
        <f>CHAIN_RAW!N389</f>
        <v/>
      </c>
      <c r="M389" s="13">
        <f>IFERROR(L389-K389,"")</f>
        <v/>
      </c>
      <c r="N389" s="13">
        <f>CHAIN_RAW!H389</f>
        <v/>
      </c>
      <c r="O389" s="13">
        <f>CHAIN_RAW!O389</f>
        <v/>
      </c>
      <c r="P389" s="13">
        <f>IFERROR(O389/N389,"")</f>
        <v/>
      </c>
      <c r="Q389" s="13">
        <f>CHAIN_RAW!I389</f>
        <v/>
      </c>
      <c r="R389" s="13">
        <f>CHAIN_RAW!P389</f>
        <v/>
      </c>
      <c r="S389" s="13">
        <f>IFERROR(R389/Q389,"")</f>
        <v/>
      </c>
      <c r="T389" s="13">
        <f>IFERROR((ABS(N389-O389)/MAX(1,(N389+O389)))*EXP(-ABS(E389-CONTROL!E5)/MAX(1,CONTROL!B8)),"")</f>
        <v/>
      </c>
      <c r="U389" s="13">
        <f>IFERROR(IF(O389&gt;N389,"SUPPORT (PE OI)","RESIST (CE OI)"),"")</f>
        <v/>
      </c>
      <c r="V389" s="13">
        <f>IFERROR(IF(Q389&gt;0,IF(R389&gt;0,"BOTH_ADD","CE_ADD_PE_REDUCE"),IF(R389&gt;0,"CE_REDUCE_PE_ADD","BOTH_REDUCE")),"")</f>
        <v/>
      </c>
      <c r="W389" s="13">
        <f>IFERROR( (P389-1)*0.5 + (M389)*0.1 - (I389+J389)*0.05 + T389*0.4 ,"")</f>
        <v/>
      </c>
      <c r="X389" s="13">
        <f>IFERROR(IF(ABS(F389)&lt;0.01,"ATM/NEAR",""),"")</f>
        <v/>
      </c>
    </row>
    <row r="390">
      <c r="A390" s="13">
        <f>CHAIN_RAW!A390</f>
        <v/>
      </c>
      <c r="B390" s="14">
        <f>CHAIN_RAW!B390</f>
        <v/>
      </c>
      <c r="C390" s="13">
        <f>CHAIN_RAW!C390</f>
        <v/>
      </c>
      <c r="D390" s="13">
        <f>CHAIN_RAW!D390</f>
        <v/>
      </c>
      <c r="E390" s="13">
        <f>CHAIN_RAW!E390</f>
        <v/>
      </c>
      <c r="F390" s="13">
        <f>IFERROR((E390-D390)/D390,"")</f>
        <v/>
      </c>
      <c r="G390" s="13">
        <f>IFERROR((CHAIN_RAW!K390+CHAIN_RAW!L390)/2,"")</f>
        <v/>
      </c>
      <c r="H390" s="13">
        <f>IFERROR((CHAIN_RAW!R390+CHAIN_RAW!S390)/2,"")</f>
        <v/>
      </c>
      <c r="I390" s="13">
        <f>IFERROR((CHAIN_RAW!L390-CHAIN_RAW!K390)/MAX(1E-9, G390),"")</f>
        <v/>
      </c>
      <c r="J390" s="13">
        <f>IFERROR((CHAIN_RAW!S390-CHAIN_RAW!R390)/MAX(1E-9, H390),"")</f>
        <v/>
      </c>
      <c r="K390" s="13">
        <f>CHAIN_RAW!G390</f>
        <v/>
      </c>
      <c r="L390" s="13">
        <f>CHAIN_RAW!N390</f>
        <v/>
      </c>
      <c r="M390" s="13">
        <f>IFERROR(L390-K390,"")</f>
        <v/>
      </c>
      <c r="N390" s="13">
        <f>CHAIN_RAW!H390</f>
        <v/>
      </c>
      <c r="O390" s="13">
        <f>CHAIN_RAW!O390</f>
        <v/>
      </c>
      <c r="P390" s="13">
        <f>IFERROR(O390/N390,"")</f>
        <v/>
      </c>
      <c r="Q390" s="13">
        <f>CHAIN_RAW!I390</f>
        <v/>
      </c>
      <c r="R390" s="13">
        <f>CHAIN_RAW!P390</f>
        <v/>
      </c>
      <c r="S390" s="13">
        <f>IFERROR(R390/Q390,"")</f>
        <v/>
      </c>
      <c r="T390" s="13">
        <f>IFERROR((ABS(N390-O390)/MAX(1,(N390+O390)))*EXP(-ABS(E390-CONTROL!E5)/MAX(1,CONTROL!B8)),"")</f>
        <v/>
      </c>
      <c r="U390" s="13">
        <f>IFERROR(IF(O390&gt;N390,"SUPPORT (PE OI)","RESIST (CE OI)"),"")</f>
        <v/>
      </c>
      <c r="V390" s="13">
        <f>IFERROR(IF(Q390&gt;0,IF(R390&gt;0,"BOTH_ADD","CE_ADD_PE_REDUCE"),IF(R390&gt;0,"CE_REDUCE_PE_ADD","BOTH_REDUCE")),"")</f>
        <v/>
      </c>
      <c r="W390" s="13">
        <f>IFERROR( (P390-1)*0.5 + (M390)*0.1 - (I390+J390)*0.05 + T390*0.4 ,"")</f>
        <v/>
      </c>
      <c r="X390" s="13">
        <f>IFERROR(IF(ABS(F390)&lt;0.01,"ATM/NEAR",""),"")</f>
        <v/>
      </c>
    </row>
    <row r="391">
      <c r="A391" s="13">
        <f>CHAIN_RAW!A391</f>
        <v/>
      </c>
      <c r="B391" s="14">
        <f>CHAIN_RAW!B391</f>
        <v/>
      </c>
      <c r="C391" s="13">
        <f>CHAIN_RAW!C391</f>
        <v/>
      </c>
      <c r="D391" s="13">
        <f>CHAIN_RAW!D391</f>
        <v/>
      </c>
      <c r="E391" s="13">
        <f>CHAIN_RAW!E391</f>
        <v/>
      </c>
      <c r="F391" s="13">
        <f>IFERROR((E391-D391)/D391,"")</f>
        <v/>
      </c>
      <c r="G391" s="13">
        <f>IFERROR((CHAIN_RAW!K391+CHAIN_RAW!L391)/2,"")</f>
        <v/>
      </c>
      <c r="H391" s="13">
        <f>IFERROR((CHAIN_RAW!R391+CHAIN_RAW!S391)/2,"")</f>
        <v/>
      </c>
      <c r="I391" s="13">
        <f>IFERROR((CHAIN_RAW!L391-CHAIN_RAW!K391)/MAX(1E-9, G391),"")</f>
        <v/>
      </c>
      <c r="J391" s="13">
        <f>IFERROR((CHAIN_RAW!S391-CHAIN_RAW!R391)/MAX(1E-9, H391),"")</f>
        <v/>
      </c>
      <c r="K391" s="13">
        <f>CHAIN_RAW!G391</f>
        <v/>
      </c>
      <c r="L391" s="13">
        <f>CHAIN_RAW!N391</f>
        <v/>
      </c>
      <c r="M391" s="13">
        <f>IFERROR(L391-K391,"")</f>
        <v/>
      </c>
      <c r="N391" s="13">
        <f>CHAIN_RAW!H391</f>
        <v/>
      </c>
      <c r="O391" s="13">
        <f>CHAIN_RAW!O391</f>
        <v/>
      </c>
      <c r="P391" s="13">
        <f>IFERROR(O391/N391,"")</f>
        <v/>
      </c>
      <c r="Q391" s="13">
        <f>CHAIN_RAW!I391</f>
        <v/>
      </c>
      <c r="R391" s="13">
        <f>CHAIN_RAW!P391</f>
        <v/>
      </c>
      <c r="S391" s="13">
        <f>IFERROR(R391/Q391,"")</f>
        <v/>
      </c>
      <c r="T391" s="13">
        <f>IFERROR((ABS(N391-O391)/MAX(1,(N391+O391)))*EXP(-ABS(E391-CONTROL!E5)/MAX(1,CONTROL!B8)),"")</f>
        <v/>
      </c>
      <c r="U391" s="13">
        <f>IFERROR(IF(O391&gt;N391,"SUPPORT (PE OI)","RESIST (CE OI)"),"")</f>
        <v/>
      </c>
      <c r="V391" s="13">
        <f>IFERROR(IF(Q391&gt;0,IF(R391&gt;0,"BOTH_ADD","CE_ADD_PE_REDUCE"),IF(R391&gt;0,"CE_REDUCE_PE_ADD","BOTH_REDUCE")),"")</f>
        <v/>
      </c>
      <c r="W391" s="13">
        <f>IFERROR( (P391-1)*0.5 + (M391)*0.1 - (I391+J391)*0.05 + T391*0.4 ,"")</f>
        <v/>
      </c>
      <c r="X391" s="13">
        <f>IFERROR(IF(ABS(F391)&lt;0.01,"ATM/NEAR",""),"")</f>
        <v/>
      </c>
    </row>
    <row r="392">
      <c r="A392" s="13">
        <f>CHAIN_RAW!A392</f>
        <v/>
      </c>
      <c r="B392" s="14">
        <f>CHAIN_RAW!B392</f>
        <v/>
      </c>
      <c r="C392" s="13">
        <f>CHAIN_RAW!C392</f>
        <v/>
      </c>
      <c r="D392" s="13">
        <f>CHAIN_RAW!D392</f>
        <v/>
      </c>
      <c r="E392" s="13">
        <f>CHAIN_RAW!E392</f>
        <v/>
      </c>
      <c r="F392" s="13">
        <f>IFERROR((E392-D392)/D392,"")</f>
        <v/>
      </c>
      <c r="G392" s="13">
        <f>IFERROR((CHAIN_RAW!K392+CHAIN_RAW!L392)/2,"")</f>
        <v/>
      </c>
      <c r="H392" s="13">
        <f>IFERROR((CHAIN_RAW!R392+CHAIN_RAW!S392)/2,"")</f>
        <v/>
      </c>
      <c r="I392" s="13">
        <f>IFERROR((CHAIN_RAW!L392-CHAIN_RAW!K392)/MAX(1E-9, G392),"")</f>
        <v/>
      </c>
      <c r="J392" s="13">
        <f>IFERROR((CHAIN_RAW!S392-CHAIN_RAW!R392)/MAX(1E-9, H392),"")</f>
        <v/>
      </c>
      <c r="K392" s="13">
        <f>CHAIN_RAW!G392</f>
        <v/>
      </c>
      <c r="L392" s="13">
        <f>CHAIN_RAW!N392</f>
        <v/>
      </c>
      <c r="M392" s="13">
        <f>IFERROR(L392-K392,"")</f>
        <v/>
      </c>
      <c r="N392" s="13">
        <f>CHAIN_RAW!H392</f>
        <v/>
      </c>
      <c r="O392" s="13">
        <f>CHAIN_RAW!O392</f>
        <v/>
      </c>
      <c r="P392" s="13">
        <f>IFERROR(O392/N392,"")</f>
        <v/>
      </c>
      <c r="Q392" s="13">
        <f>CHAIN_RAW!I392</f>
        <v/>
      </c>
      <c r="R392" s="13">
        <f>CHAIN_RAW!P392</f>
        <v/>
      </c>
      <c r="S392" s="13">
        <f>IFERROR(R392/Q392,"")</f>
        <v/>
      </c>
      <c r="T392" s="13">
        <f>IFERROR((ABS(N392-O392)/MAX(1,(N392+O392)))*EXP(-ABS(E392-CONTROL!E5)/MAX(1,CONTROL!B8)),"")</f>
        <v/>
      </c>
      <c r="U392" s="13">
        <f>IFERROR(IF(O392&gt;N392,"SUPPORT (PE OI)","RESIST (CE OI)"),"")</f>
        <v/>
      </c>
      <c r="V392" s="13">
        <f>IFERROR(IF(Q392&gt;0,IF(R392&gt;0,"BOTH_ADD","CE_ADD_PE_REDUCE"),IF(R392&gt;0,"CE_REDUCE_PE_ADD","BOTH_REDUCE")),"")</f>
        <v/>
      </c>
      <c r="W392" s="13">
        <f>IFERROR( (P392-1)*0.5 + (M392)*0.1 - (I392+J392)*0.05 + T392*0.4 ,"")</f>
        <v/>
      </c>
      <c r="X392" s="13">
        <f>IFERROR(IF(ABS(F392)&lt;0.01,"ATM/NEAR",""),"")</f>
        <v/>
      </c>
    </row>
    <row r="393">
      <c r="A393" s="13">
        <f>CHAIN_RAW!A393</f>
        <v/>
      </c>
      <c r="B393" s="14">
        <f>CHAIN_RAW!B393</f>
        <v/>
      </c>
      <c r="C393" s="13">
        <f>CHAIN_RAW!C393</f>
        <v/>
      </c>
      <c r="D393" s="13">
        <f>CHAIN_RAW!D393</f>
        <v/>
      </c>
      <c r="E393" s="13">
        <f>CHAIN_RAW!E393</f>
        <v/>
      </c>
      <c r="F393" s="13">
        <f>IFERROR((E393-D393)/D393,"")</f>
        <v/>
      </c>
      <c r="G393" s="13">
        <f>IFERROR((CHAIN_RAW!K393+CHAIN_RAW!L393)/2,"")</f>
        <v/>
      </c>
      <c r="H393" s="13">
        <f>IFERROR((CHAIN_RAW!R393+CHAIN_RAW!S393)/2,"")</f>
        <v/>
      </c>
      <c r="I393" s="13">
        <f>IFERROR((CHAIN_RAW!L393-CHAIN_RAW!K393)/MAX(1E-9, G393),"")</f>
        <v/>
      </c>
      <c r="J393" s="13">
        <f>IFERROR((CHAIN_RAW!S393-CHAIN_RAW!R393)/MAX(1E-9, H393),"")</f>
        <v/>
      </c>
      <c r="K393" s="13">
        <f>CHAIN_RAW!G393</f>
        <v/>
      </c>
      <c r="L393" s="13">
        <f>CHAIN_RAW!N393</f>
        <v/>
      </c>
      <c r="M393" s="13">
        <f>IFERROR(L393-K393,"")</f>
        <v/>
      </c>
      <c r="N393" s="13">
        <f>CHAIN_RAW!H393</f>
        <v/>
      </c>
      <c r="O393" s="13">
        <f>CHAIN_RAW!O393</f>
        <v/>
      </c>
      <c r="P393" s="13">
        <f>IFERROR(O393/N393,"")</f>
        <v/>
      </c>
      <c r="Q393" s="13">
        <f>CHAIN_RAW!I393</f>
        <v/>
      </c>
      <c r="R393" s="13">
        <f>CHAIN_RAW!P393</f>
        <v/>
      </c>
      <c r="S393" s="13">
        <f>IFERROR(R393/Q393,"")</f>
        <v/>
      </c>
      <c r="T393" s="13">
        <f>IFERROR((ABS(N393-O393)/MAX(1,(N393+O393)))*EXP(-ABS(E393-CONTROL!E5)/MAX(1,CONTROL!B8)),"")</f>
        <v/>
      </c>
      <c r="U393" s="13">
        <f>IFERROR(IF(O393&gt;N393,"SUPPORT (PE OI)","RESIST (CE OI)"),"")</f>
        <v/>
      </c>
      <c r="V393" s="13">
        <f>IFERROR(IF(Q393&gt;0,IF(R393&gt;0,"BOTH_ADD","CE_ADD_PE_REDUCE"),IF(R393&gt;0,"CE_REDUCE_PE_ADD","BOTH_REDUCE")),"")</f>
        <v/>
      </c>
      <c r="W393" s="13">
        <f>IFERROR( (P393-1)*0.5 + (M393)*0.1 - (I393+J393)*0.05 + T393*0.4 ,"")</f>
        <v/>
      </c>
      <c r="X393" s="13">
        <f>IFERROR(IF(ABS(F393)&lt;0.01,"ATM/NEAR",""),"")</f>
        <v/>
      </c>
    </row>
    <row r="394">
      <c r="A394" s="13">
        <f>CHAIN_RAW!A394</f>
        <v/>
      </c>
      <c r="B394" s="14">
        <f>CHAIN_RAW!B394</f>
        <v/>
      </c>
      <c r="C394" s="13">
        <f>CHAIN_RAW!C394</f>
        <v/>
      </c>
      <c r="D394" s="13">
        <f>CHAIN_RAW!D394</f>
        <v/>
      </c>
      <c r="E394" s="13">
        <f>CHAIN_RAW!E394</f>
        <v/>
      </c>
      <c r="F394" s="13">
        <f>IFERROR((E394-D394)/D394,"")</f>
        <v/>
      </c>
      <c r="G394" s="13">
        <f>IFERROR((CHAIN_RAW!K394+CHAIN_RAW!L394)/2,"")</f>
        <v/>
      </c>
      <c r="H394" s="13">
        <f>IFERROR((CHAIN_RAW!R394+CHAIN_RAW!S394)/2,"")</f>
        <v/>
      </c>
      <c r="I394" s="13">
        <f>IFERROR((CHAIN_RAW!L394-CHAIN_RAW!K394)/MAX(1E-9, G394),"")</f>
        <v/>
      </c>
      <c r="J394" s="13">
        <f>IFERROR((CHAIN_RAW!S394-CHAIN_RAW!R394)/MAX(1E-9, H394),"")</f>
        <v/>
      </c>
      <c r="K394" s="13">
        <f>CHAIN_RAW!G394</f>
        <v/>
      </c>
      <c r="L394" s="13">
        <f>CHAIN_RAW!N394</f>
        <v/>
      </c>
      <c r="M394" s="13">
        <f>IFERROR(L394-K394,"")</f>
        <v/>
      </c>
      <c r="N394" s="13">
        <f>CHAIN_RAW!H394</f>
        <v/>
      </c>
      <c r="O394" s="13">
        <f>CHAIN_RAW!O394</f>
        <v/>
      </c>
      <c r="P394" s="13">
        <f>IFERROR(O394/N394,"")</f>
        <v/>
      </c>
      <c r="Q394" s="13">
        <f>CHAIN_RAW!I394</f>
        <v/>
      </c>
      <c r="R394" s="13">
        <f>CHAIN_RAW!P394</f>
        <v/>
      </c>
      <c r="S394" s="13">
        <f>IFERROR(R394/Q394,"")</f>
        <v/>
      </c>
      <c r="T394" s="13">
        <f>IFERROR((ABS(N394-O394)/MAX(1,(N394+O394)))*EXP(-ABS(E394-CONTROL!E5)/MAX(1,CONTROL!B8)),"")</f>
        <v/>
      </c>
      <c r="U394" s="13">
        <f>IFERROR(IF(O394&gt;N394,"SUPPORT (PE OI)","RESIST (CE OI)"),"")</f>
        <v/>
      </c>
      <c r="V394" s="13">
        <f>IFERROR(IF(Q394&gt;0,IF(R394&gt;0,"BOTH_ADD","CE_ADD_PE_REDUCE"),IF(R394&gt;0,"CE_REDUCE_PE_ADD","BOTH_REDUCE")),"")</f>
        <v/>
      </c>
      <c r="W394" s="13">
        <f>IFERROR( (P394-1)*0.5 + (M394)*0.1 - (I394+J394)*0.05 + T394*0.4 ,"")</f>
        <v/>
      </c>
      <c r="X394" s="13">
        <f>IFERROR(IF(ABS(F394)&lt;0.01,"ATM/NEAR",""),"")</f>
        <v/>
      </c>
    </row>
    <row r="395">
      <c r="A395" s="13">
        <f>CHAIN_RAW!A395</f>
        <v/>
      </c>
      <c r="B395" s="14">
        <f>CHAIN_RAW!B395</f>
        <v/>
      </c>
      <c r="C395" s="13">
        <f>CHAIN_RAW!C395</f>
        <v/>
      </c>
      <c r="D395" s="13">
        <f>CHAIN_RAW!D395</f>
        <v/>
      </c>
      <c r="E395" s="13">
        <f>CHAIN_RAW!E395</f>
        <v/>
      </c>
      <c r="F395" s="13">
        <f>IFERROR((E395-D395)/D395,"")</f>
        <v/>
      </c>
      <c r="G395" s="13">
        <f>IFERROR((CHAIN_RAW!K395+CHAIN_RAW!L395)/2,"")</f>
        <v/>
      </c>
      <c r="H395" s="13">
        <f>IFERROR((CHAIN_RAW!R395+CHAIN_RAW!S395)/2,"")</f>
        <v/>
      </c>
      <c r="I395" s="13">
        <f>IFERROR((CHAIN_RAW!L395-CHAIN_RAW!K395)/MAX(1E-9, G395),"")</f>
        <v/>
      </c>
      <c r="J395" s="13">
        <f>IFERROR((CHAIN_RAW!S395-CHAIN_RAW!R395)/MAX(1E-9, H395),"")</f>
        <v/>
      </c>
      <c r="K395" s="13">
        <f>CHAIN_RAW!G395</f>
        <v/>
      </c>
      <c r="L395" s="13">
        <f>CHAIN_RAW!N395</f>
        <v/>
      </c>
      <c r="M395" s="13">
        <f>IFERROR(L395-K395,"")</f>
        <v/>
      </c>
      <c r="N395" s="13">
        <f>CHAIN_RAW!H395</f>
        <v/>
      </c>
      <c r="O395" s="13">
        <f>CHAIN_RAW!O395</f>
        <v/>
      </c>
      <c r="P395" s="13">
        <f>IFERROR(O395/N395,"")</f>
        <v/>
      </c>
      <c r="Q395" s="13">
        <f>CHAIN_RAW!I395</f>
        <v/>
      </c>
      <c r="R395" s="13">
        <f>CHAIN_RAW!P395</f>
        <v/>
      </c>
      <c r="S395" s="13">
        <f>IFERROR(R395/Q395,"")</f>
        <v/>
      </c>
      <c r="T395" s="13">
        <f>IFERROR((ABS(N395-O395)/MAX(1,(N395+O395)))*EXP(-ABS(E395-CONTROL!E5)/MAX(1,CONTROL!B8)),"")</f>
        <v/>
      </c>
      <c r="U395" s="13">
        <f>IFERROR(IF(O395&gt;N395,"SUPPORT (PE OI)","RESIST (CE OI)"),"")</f>
        <v/>
      </c>
      <c r="V395" s="13">
        <f>IFERROR(IF(Q395&gt;0,IF(R395&gt;0,"BOTH_ADD","CE_ADD_PE_REDUCE"),IF(R395&gt;0,"CE_REDUCE_PE_ADD","BOTH_REDUCE")),"")</f>
        <v/>
      </c>
      <c r="W395" s="13">
        <f>IFERROR( (P395-1)*0.5 + (M395)*0.1 - (I395+J395)*0.05 + T395*0.4 ,"")</f>
        <v/>
      </c>
      <c r="X395" s="13">
        <f>IFERROR(IF(ABS(F395)&lt;0.01,"ATM/NEAR",""),"")</f>
        <v/>
      </c>
    </row>
    <row r="396">
      <c r="A396" s="13">
        <f>CHAIN_RAW!A396</f>
        <v/>
      </c>
      <c r="B396" s="14">
        <f>CHAIN_RAW!B396</f>
        <v/>
      </c>
      <c r="C396" s="13">
        <f>CHAIN_RAW!C396</f>
        <v/>
      </c>
      <c r="D396" s="13">
        <f>CHAIN_RAW!D396</f>
        <v/>
      </c>
      <c r="E396" s="13">
        <f>CHAIN_RAW!E396</f>
        <v/>
      </c>
      <c r="F396" s="13">
        <f>IFERROR((E396-D396)/D396,"")</f>
        <v/>
      </c>
      <c r="G396" s="13">
        <f>IFERROR((CHAIN_RAW!K396+CHAIN_RAW!L396)/2,"")</f>
        <v/>
      </c>
      <c r="H396" s="13">
        <f>IFERROR((CHAIN_RAW!R396+CHAIN_RAW!S396)/2,"")</f>
        <v/>
      </c>
      <c r="I396" s="13">
        <f>IFERROR((CHAIN_RAW!L396-CHAIN_RAW!K396)/MAX(1E-9, G396),"")</f>
        <v/>
      </c>
      <c r="J396" s="13">
        <f>IFERROR((CHAIN_RAW!S396-CHAIN_RAW!R396)/MAX(1E-9, H396),"")</f>
        <v/>
      </c>
      <c r="K396" s="13">
        <f>CHAIN_RAW!G396</f>
        <v/>
      </c>
      <c r="L396" s="13">
        <f>CHAIN_RAW!N396</f>
        <v/>
      </c>
      <c r="M396" s="13">
        <f>IFERROR(L396-K396,"")</f>
        <v/>
      </c>
      <c r="N396" s="13">
        <f>CHAIN_RAW!H396</f>
        <v/>
      </c>
      <c r="O396" s="13">
        <f>CHAIN_RAW!O396</f>
        <v/>
      </c>
      <c r="P396" s="13">
        <f>IFERROR(O396/N396,"")</f>
        <v/>
      </c>
      <c r="Q396" s="13">
        <f>CHAIN_RAW!I396</f>
        <v/>
      </c>
      <c r="R396" s="13">
        <f>CHAIN_RAW!P396</f>
        <v/>
      </c>
      <c r="S396" s="13">
        <f>IFERROR(R396/Q396,"")</f>
        <v/>
      </c>
      <c r="T396" s="13">
        <f>IFERROR((ABS(N396-O396)/MAX(1,(N396+O396)))*EXP(-ABS(E396-CONTROL!E5)/MAX(1,CONTROL!B8)),"")</f>
        <v/>
      </c>
      <c r="U396" s="13">
        <f>IFERROR(IF(O396&gt;N396,"SUPPORT (PE OI)","RESIST (CE OI)"),"")</f>
        <v/>
      </c>
      <c r="V396" s="13">
        <f>IFERROR(IF(Q396&gt;0,IF(R396&gt;0,"BOTH_ADD","CE_ADD_PE_REDUCE"),IF(R396&gt;0,"CE_REDUCE_PE_ADD","BOTH_REDUCE")),"")</f>
        <v/>
      </c>
      <c r="W396" s="13">
        <f>IFERROR( (P396-1)*0.5 + (M396)*0.1 - (I396+J396)*0.05 + T396*0.4 ,"")</f>
        <v/>
      </c>
      <c r="X396" s="13">
        <f>IFERROR(IF(ABS(F396)&lt;0.01,"ATM/NEAR",""),"")</f>
        <v/>
      </c>
    </row>
    <row r="397">
      <c r="A397" s="13">
        <f>CHAIN_RAW!A397</f>
        <v/>
      </c>
      <c r="B397" s="14">
        <f>CHAIN_RAW!B397</f>
        <v/>
      </c>
      <c r="C397" s="13">
        <f>CHAIN_RAW!C397</f>
        <v/>
      </c>
      <c r="D397" s="13">
        <f>CHAIN_RAW!D397</f>
        <v/>
      </c>
      <c r="E397" s="13">
        <f>CHAIN_RAW!E397</f>
        <v/>
      </c>
      <c r="F397" s="13">
        <f>IFERROR((E397-D397)/D397,"")</f>
        <v/>
      </c>
      <c r="G397" s="13">
        <f>IFERROR((CHAIN_RAW!K397+CHAIN_RAW!L397)/2,"")</f>
        <v/>
      </c>
      <c r="H397" s="13">
        <f>IFERROR((CHAIN_RAW!R397+CHAIN_RAW!S397)/2,"")</f>
        <v/>
      </c>
      <c r="I397" s="13">
        <f>IFERROR((CHAIN_RAW!L397-CHAIN_RAW!K397)/MAX(1E-9, G397),"")</f>
        <v/>
      </c>
      <c r="J397" s="13">
        <f>IFERROR((CHAIN_RAW!S397-CHAIN_RAW!R397)/MAX(1E-9, H397),"")</f>
        <v/>
      </c>
      <c r="K397" s="13">
        <f>CHAIN_RAW!G397</f>
        <v/>
      </c>
      <c r="L397" s="13">
        <f>CHAIN_RAW!N397</f>
        <v/>
      </c>
      <c r="M397" s="13">
        <f>IFERROR(L397-K397,"")</f>
        <v/>
      </c>
      <c r="N397" s="13">
        <f>CHAIN_RAW!H397</f>
        <v/>
      </c>
      <c r="O397" s="13">
        <f>CHAIN_RAW!O397</f>
        <v/>
      </c>
      <c r="P397" s="13">
        <f>IFERROR(O397/N397,"")</f>
        <v/>
      </c>
      <c r="Q397" s="13">
        <f>CHAIN_RAW!I397</f>
        <v/>
      </c>
      <c r="R397" s="13">
        <f>CHAIN_RAW!P397</f>
        <v/>
      </c>
      <c r="S397" s="13">
        <f>IFERROR(R397/Q397,"")</f>
        <v/>
      </c>
      <c r="T397" s="13">
        <f>IFERROR((ABS(N397-O397)/MAX(1,(N397+O397)))*EXP(-ABS(E397-CONTROL!E5)/MAX(1,CONTROL!B8)),"")</f>
        <v/>
      </c>
      <c r="U397" s="13">
        <f>IFERROR(IF(O397&gt;N397,"SUPPORT (PE OI)","RESIST (CE OI)"),"")</f>
        <v/>
      </c>
      <c r="V397" s="13">
        <f>IFERROR(IF(Q397&gt;0,IF(R397&gt;0,"BOTH_ADD","CE_ADD_PE_REDUCE"),IF(R397&gt;0,"CE_REDUCE_PE_ADD","BOTH_REDUCE")),"")</f>
        <v/>
      </c>
      <c r="W397" s="13">
        <f>IFERROR( (P397-1)*0.5 + (M397)*0.1 - (I397+J397)*0.05 + T397*0.4 ,"")</f>
        <v/>
      </c>
      <c r="X397" s="13">
        <f>IFERROR(IF(ABS(F397)&lt;0.01,"ATM/NEAR",""),"")</f>
        <v/>
      </c>
    </row>
    <row r="398">
      <c r="A398" s="13">
        <f>CHAIN_RAW!A398</f>
        <v/>
      </c>
      <c r="B398" s="14">
        <f>CHAIN_RAW!B398</f>
        <v/>
      </c>
      <c r="C398" s="13">
        <f>CHAIN_RAW!C398</f>
        <v/>
      </c>
      <c r="D398" s="13">
        <f>CHAIN_RAW!D398</f>
        <v/>
      </c>
      <c r="E398" s="13">
        <f>CHAIN_RAW!E398</f>
        <v/>
      </c>
      <c r="F398" s="13">
        <f>IFERROR((E398-D398)/D398,"")</f>
        <v/>
      </c>
      <c r="G398" s="13">
        <f>IFERROR((CHAIN_RAW!K398+CHAIN_RAW!L398)/2,"")</f>
        <v/>
      </c>
      <c r="H398" s="13">
        <f>IFERROR((CHAIN_RAW!R398+CHAIN_RAW!S398)/2,"")</f>
        <v/>
      </c>
      <c r="I398" s="13">
        <f>IFERROR((CHAIN_RAW!L398-CHAIN_RAW!K398)/MAX(1E-9, G398),"")</f>
        <v/>
      </c>
      <c r="J398" s="13">
        <f>IFERROR((CHAIN_RAW!S398-CHAIN_RAW!R398)/MAX(1E-9, H398),"")</f>
        <v/>
      </c>
      <c r="K398" s="13">
        <f>CHAIN_RAW!G398</f>
        <v/>
      </c>
      <c r="L398" s="13">
        <f>CHAIN_RAW!N398</f>
        <v/>
      </c>
      <c r="M398" s="13">
        <f>IFERROR(L398-K398,"")</f>
        <v/>
      </c>
      <c r="N398" s="13">
        <f>CHAIN_RAW!H398</f>
        <v/>
      </c>
      <c r="O398" s="13">
        <f>CHAIN_RAW!O398</f>
        <v/>
      </c>
      <c r="P398" s="13">
        <f>IFERROR(O398/N398,"")</f>
        <v/>
      </c>
      <c r="Q398" s="13">
        <f>CHAIN_RAW!I398</f>
        <v/>
      </c>
      <c r="R398" s="13">
        <f>CHAIN_RAW!P398</f>
        <v/>
      </c>
      <c r="S398" s="13">
        <f>IFERROR(R398/Q398,"")</f>
        <v/>
      </c>
      <c r="T398" s="13">
        <f>IFERROR((ABS(N398-O398)/MAX(1,(N398+O398)))*EXP(-ABS(E398-CONTROL!E5)/MAX(1,CONTROL!B8)),"")</f>
        <v/>
      </c>
      <c r="U398" s="13">
        <f>IFERROR(IF(O398&gt;N398,"SUPPORT (PE OI)","RESIST (CE OI)"),"")</f>
        <v/>
      </c>
      <c r="V398" s="13">
        <f>IFERROR(IF(Q398&gt;0,IF(R398&gt;0,"BOTH_ADD","CE_ADD_PE_REDUCE"),IF(R398&gt;0,"CE_REDUCE_PE_ADD","BOTH_REDUCE")),"")</f>
        <v/>
      </c>
      <c r="W398" s="13">
        <f>IFERROR( (P398-1)*0.5 + (M398)*0.1 - (I398+J398)*0.05 + T398*0.4 ,"")</f>
        <v/>
      </c>
      <c r="X398" s="13">
        <f>IFERROR(IF(ABS(F398)&lt;0.01,"ATM/NEAR",""),"")</f>
        <v/>
      </c>
    </row>
    <row r="399">
      <c r="A399" s="13">
        <f>CHAIN_RAW!A399</f>
        <v/>
      </c>
      <c r="B399" s="14">
        <f>CHAIN_RAW!B399</f>
        <v/>
      </c>
      <c r="C399" s="13">
        <f>CHAIN_RAW!C399</f>
        <v/>
      </c>
      <c r="D399" s="13">
        <f>CHAIN_RAW!D399</f>
        <v/>
      </c>
      <c r="E399" s="13">
        <f>CHAIN_RAW!E399</f>
        <v/>
      </c>
      <c r="F399" s="13">
        <f>IFERROR((E399-D399)/D399,"")</f>
        <v/>
      </c>
      <c r="G399" s="13">
        <f>IFERROR((CHAIN_RAW!K399+CHAIN_RAW!L399)/2,"")</f>
        <v/>
      </c>
      <c r="H399" s="13">
        <f>IFERROR((CHAIN_RAW!R399+CHAIN_RAW!S399)/2,"")</f>
        <v/>
      </c>
      <c r="I399" s="13">
        <f>IFERROR((CHAIN_RAW!L399-CHAIN_RAW!K399)/MAX(1E-9, G399),"")</f>
        <v/>
      </c>
      <c r="J399" s="13">
        <f>IFERROR((CHAIN_RAW!S399-CHAIN_RAW!R399)/MAX(1E-9, H399),"")</f>
        <v/>
      </c>
      <c r="K399" s="13">
        <f>CHAIN_RAW!G399</f>
        <v/>
      </c>
      <c r="L399" s="13">
        <f>CHAIN_RAW!N399</f>
        <v/>
      </c>
      <c r="M399" s="13">
        <f>IFERROR(L399-K399,"")</f>
        <v/>
      </c>
      <c r="N399" s="13">
        <f>CHAIN_RAW!H399</f>
        <v/>
      </c>
      <c r="O399" s="13">
        <f>CHAIN_RAW!O399</f>
        <v/>
      </c>
      <c r="P399" s="13">
        <f>IFERROR(O399/N399,"")</f>
        <v/>
      </c>
      <c r="Q399" s="13">
        <f>CHAIN_RAW!I399</f>
        <v/>
      </c>
      <c r="R399" s="13">
        <f>CHAIN_RAW!P399</f>
        <v/>
      </c>
      <c r="S399" s="13">
        <f>IFERROR(R399/Q399,"")</f>
        <v/>
      </c>
      <c r="T399" s="13">
        <f>IFERROR((ABS(N399-O399)/MAX(1,(N399+O399)))*EXP(-ABS(E399-CONTROL!E5)/MAX(1,CONTROL!B8)),"")</f>
        <v/>
      </c>
      <c r="U399" s="13">
        <f>IFERROR(IF(O399&gt;N399,"SUPPORT (PE OI)","RESIST (CE OI)"),"")</f>
        <v/>
      </c>
      <c r="V399" s="13">
        <f>IFERROR(IF(Q399&gt;0,IF(R399&gt;0,"BOTH_ADD","CE_ADD_PE_REDUCE"),IF(R399&gt;0,"CE_REDUCE_PE_ADD","BOTH_REDUCE")),"")</f>
        <v/>
      </c>
      <c r="W399" s="13">
        <f>IFERROR( (P399-1)*0.5 + (M399)*0.1 - (I399+J399)*0.05 + T399*0.4 ,"")</f>
        <v/>
      </c>
      <c r="X399" s="13">
        <f>IFERROR(IF(ABS(F399)&lt;0.01,"ATM/NEAR",""),"")</f>
        <v/>
      </c>
    </row>
    <row r="400">
      <c r="A400" s="13">
        <f>CHAIN_RAW!A400</f>
        <v/>
      </c>
      <c r="B400" s="14">
        <f>CHAIN_RAW!B400</f>
        <v/>
      </c>
      <c r="C400" s="13">
        <f>CHAIN_RAW!C400</f>
        <v/>
      </c>
      <c r="D400" s="13">
        <f>CHAIN_RAW!D400</f>
        <v/>
      </c>
      <c r="E400" s="13">
        <f>CHAIN_RAW!E400</f>
        <v/>
      </c>
      <c r="F400" s="13">
        <f>IFERROR((E400-D400)/D400,"")</f>
        <v/>
      </c>
      <c r="G400" s="13">
        <f>IFERROR((CHAIN_RAW!K400+CHAIN_RAW!L400)/2,"")</f>
        <v/>
      </c>
      <c r="H400" s="13">
        <f>IFERROR((CHAIN_RAW!R400+CHAIN_RAW!S400)/2,"")</f>
        <v/>
      </c>
      <c r="I400" s="13">
        <f>IFERROR((CHAIN_RAW!L400-CHAIN_RAW!K400)/MAX(1E-9, G400),"")</f>
        <v/>
      </c>
      <c r="J400" s="13">
        <f>IFERROR((CHAIN_RAW!S400-CHAIN_RAW!R400)/MAX(1E-9, H400),"")</f>
        <v/>
      </c>
      <c r="K400" s="13">
        <f>CHAIN_RAW!G400</f>
        <v/>
      </c>
      <c r="L400" s="13">
        <f>CHAIN_RAW!N400</f>
        <v/>
      </c>
      <c r="M400" s="13">
        <f>IFERROR(L400-K400,"")</f>
        <v/>
      </c>
      <c r="N400" s="13">
        <f>CHAIN_RAW!H400</f>
        <v/>
      </c>
      <c r="O400" s="13">
        <f>CHAIN_RAW!O400</f>
        <v/>
      </c>
      <c r="P400" s="13">
        <f>IFERROR(O400/N400,"")</f>
        <v/>
      </c>
      <c r="Q400" s="13">
        <f>CHAIN_RAW!I400</f>
        <v/>
      </c>
      <c r="R400" s="13">
        <f>CHAIN_RAW!P400</f>
        <v/>
      </c>
      <c r="S400" s="13">
        <f>IFERROR(R400/Q400,"")</f>
        <v/>
      </c>
      <c r="T400" s="13">
        <f>IFERROR((ABS(N400-O400)/MAX(1,(N400+O400)))*EXP(-ABS(E400-CONTROL!E5)/MAX(1,CONTROL!B8)),"")</f>
        <v/>
      </c>
      <c r="U400" s="13">
        <f>IFERROR(IF(O400&gt;N400,"SUPPORT (PE OI)","RESIST (CE OI)"),"")</f>
        <v/>
      </c>
      <c r="V400" s="13">
        <f>IFERROR(IF(Q400&gt;0,IF(R400&gt;0,"BOTH_ADD","CE_ADD_PE_REDUCE"),IF(R400&gt;0,"CE_REDUCE_PE_ADD","BOTH_REDUCE")),"")</f>
        <v/>
      </c>
      <c r="W400" s="13">
        <f>IFERROR( (P400-1)*0.5 + (M400)*0.1 - (I400+J400)*0.05 + T400*0.4 ,"")</f>
        <v/>
      </c>
      <c r="X400" s="13">
        <f>IFERROR(IF(ABS(F400)&lt;0.01,"ATM/NEAR",""),"")</f>
        <v/>
      </c>
    </row>
    <row r="401">
      <c r="A401" s="13">
        <f>CHAIN_RAW!A401</f>
        <v/>
      </c>
      <c r="B401" s="14">
        <f>CHAIN_RAW!B401</f>
        <v/>
      </c>
      <c r="C401" s="13">
        <f>CHAIN_RAW!C401</f>
        <v/>
      </c>
      <c r="D401" s="13">
        <f>CHAIN_RAW!D401</f>
        <v/>
      </c>
      <c r="E401" s="13">
        <f>CHAIN_RAW!E401</f>
        <v/>
      </c>
      <c r="F401" s="13">
        <f>IFERROR((E401-D401)/D401,"")</f>
        <v/>
      </c>
      <c r="G401" s="13">
        <f>IFERROR((CHAIN_RAW!K401+CHAIN_RAW!L401)/2,"")</f>
        <v/>
      </c>
      <c r="H401" s="13">
        <f>IFERROR((CHAIN_RAW!R401+CHAIN_RAW!S401)/2,"")</f>
        <v/>
      </c>
      <c r="I401" s="13">
        <f>IFERROR((CHAIN_RAW!L401-CHAIN_RAW!K401)/MAX(1E-9, G401),"")</f>
        <v/>
      </c>
      <c r="J401" s="13">
        <f>IFERROR((CHAIN_RAW!S401-CHAIN_RAW!R401)/MAX(1E-9, H401),"")</f>
        <v/>
      </c>
      <c r="K401" s="13">
        <f>CHAIN_RAW!G401</f>
        <v/>
      </c>
      <c r="L401" s="13">
        <f>CHAIN_RAW!N401</f>
        <v/>
      </c>
      <c r="M401" s="13">
        <f>IFERROR(L401-K401,"")</f>
        <v/>
      </c>
      <c r="N401" s="13">
        <f>CHAIN_RAW!H401</f>
        <v/>
      </c>
      <c r="O401" s="13">
        <f>CHAIN_RAW!O401</f>
        <v/>
      </c>
      <c r="P401" s="13">
        <f>IFERROR(O401/N401,"")</f>
        <v/>
      </c>
      <c r="Q401" s="13">
        <f>CHAIN_RAW!I401</f>
        <v/>
      </c>
      <c r="R401" s="13">
        <f>CHAIN_RAW!P401</f>
        <v/>
      </c>
      <c r="S401" s="13">
        <f>IFERROR(R401/Q401,"")</f>
        <v/>
      </c>
      <c r="T401" s="13">
        <f>IFERROR((ABS(N401-O401)/MAX(1,(N401+O401)))*EXP(-ABS(E401-CONTROL!E5)/MAX(1,CONTROL!B8)),"")</f>
        <v/>
      </c>
      <c r="U401" s="13">
        <f>IFERROR(IF(O401&gt;N401,"SUPPORT (PE OI)","RESIST (CE OI)"),"")</f>
        <v/>
      </c>
      <c r="V401" s="13">
        <f>IFERROR(IF(Q401&gt;0,IF(R401&gt;0,"BOTH_ADD","CE_ADD_PE_REDUCE"),IF(R401&gt;0,"CE_REDUCE_PE_ADD","BOTH_REDUCE")),"")</f>
        <v/>
      </c>
      <c r="W401" s="13">
        <f>IFERROR( (P401-1)*0.5 + (M401)*0.1 - (I401+J401)*0.05 + T401*0.4 ,"")</f>
        <v/>
      </c>
      <c r="X401" s="13">
        <f>IFERROR(IF(ABS(F401)&lt;0.01,"ATM/NEAR",""),"")</f>
        <v/>
      </c>
    </row>
    <row r="402">
      <c r="A402" s="13">
        <f>CHAIN_RAW!A402</f>
        <v/>
      </c>
      <c r="B402" s="14">
        <f>CHAIN_RAW!B402</f>
        <v/>
      </c>
      <c r="C402" s="13">
        <f>CHAIN_RAW!C402</f>
        <v/>
      </c>
      <c r="D402" s="13">
        <f>CHAIN_RAW!D402</f>
        <v/>
      </c>
      <c r="E402" s="13">
        <f>CHAIN_RAW!E402</f>
        <v/>
      </c>
      <c r="F402" s="13">
        <f>IFERROR((E402-D402)/D402,"")</f>
        <v/>
      </c>
      <c r="G402" s="13">
        <f>IFERROR((CHAIN_RAW!K402+CHAIN_RAW!L402)/2,"")</f>
        <v/>
      </c>
      <c r="H402" s="13">
        <f>IFERROR((CHAIN_RAW!R402+CHAIN_RAW!S402)/2,"")</f>
        <v/>
      </c>
      <c r="I402" s="13">
        <f>IFERROR((CHAIN_RAW!L402-CHAIN_RAW!K402)/MAX(1E-9, G402),"")</f>
        <v/>
      </c>
      <c r="J402" s="13">
        <f>IFERROR((CHAIN_RAW!S402-CHAIN_RAW!R402)/MAX(1E-9, H402),"")</f>
        <v/>
      </c>
      <c r="K402" s="13">
        <f>CHAIN_RAW!G402</f>
        <v/>
      </c>
      <c r="L402" s="13">
        <f>CHAIN_RAW!N402</f>
        <v/>
      </c>
      <c r="M402" s="13">
        <f>IFERROR(L402-K402,"")</f>
        <v/>
      </c>
      <c r="N402" s="13">
        <f>CHAIN_RAW!H402</f>
        <v/>
      </c>
      <c r="O402" s="13">
        <f>CHAIN_RAW!O402</f>
        <v/>
      </c>
      <c r="P402" s="13">
        <f>IFERROR(O402/N402,"")</f>
        <v/>
      </c>
      <c r="Q402" s="13">
        <f>CHAIN_RAW!I402</f>
        <v/>
      </c>
      <c r="R402" s="13">
        <f>CHAIN_RAW!P402</f>
        <v/>
      </c>
      <c r="S402" s="13">
        <f>IFERROR(R402/Q402,"")</f>
        <v/>
      </c>
      <c r="T402" s="13">
        <f>IFERROR((ABS(N402-O402)/MAX(1,(N402+O402)))*EXP(-ABS(E402-CONTROL!E5)/MAX(1,CONTROL!B8)),"")</f>
        <v/>
      </c>
      <c r="U402" s="13">
        <f>IFERROR(IF(O402&gt;N402,"SUPPORT (PE OI)","RESIST (CE OI)"),"")</f>
        <v/>
      </c>
      <c r="V402" s="13">
        <f>IFERROR(IF(Q402&gt;0,IF(R402&gt;0,"BOTH_ADD","CE_ADD_PE_REDUCE"),IF(R402&gt;0,"CE_REDUCE_PE_ADD","BOTH_REDUCE")),"")</f>
        <v/>
      </c>
      <c r="W402" s="13">
        <f>IFERROR( (P402-1)*0.5 + (M402)*0.1 - (I402+J402)*0.05 + T402*0.4 ,"")</f>
        <v/>
      </c>
      <c r="X402" s="13">
        <f>IFERROR(IF(ABS(F402)&lt;0.01,"ATM/NEAR",""),"")</f>
        <v/>
      </c>
    </row>
    <row r="403">
      <c r="A403" s="13">
        <f>CHAIN_RAW!A403</f>
        <v/>
      </c>
      <c r="B403" s="14">
        <f>CHAIN_RAW!B403</f>
        <v/>
      </c>
      <c r="C403" s="13">
        <f>CHAIN_RAW!C403</f>
        <v/>
      </c>
      <c r="D403" s="13">
        <f>CHAIN_RAW!D403</f>
        <v/>
      </c>
      <c r="E403" s="13">
        <f>CHAIN_RAW!E403</f>
        <v/>
      </c>
      <c r="F403" s="13">
        <f>IFERROR((E403-D403)/D403,"")</f>
        <v/>
      </c>
      <c r="G403" s="13">
        <f>IFERROR((CHAIN_RAW!K403+CHAIN_RAW!L403)/2,"")</f>
        <v/>
      </c>
      <c r="H403" s="13">
        <f>IFERROR((CHAIN_RAW!R403+CHAIN_RAW!S403)/2,"")</f>
        <v/>
      </c>
      <c r="I403" s="13">
        <f>IFERROR((CHAIN_RAW!L403-CHAIN_RAW!K403)/MAX(1E-9, G403),"")</f>
        <v/>
      </c>
      <c r="J403" s="13">
        <f>IFERROR((CHAIN_RAW!S403-CHAIN_RAW!R403)/MAX(1E-9, H403),"")</f>
        <v/>
      </c>
      <c r="K403" s="13">
        <f>CHAIN_RAW!G403</f>
        <v/>
      </c>
      <c r="L403" s="13">
        <f>CHAIN_RAW!N403</f>
        <v/>
      </c>
      <c r="M403" s="13">
        <f>IFERROR(L403-K403,"")</f>
        <v/>
      </c>
      <c r="N403" s="13">
        <f>CHAIN_RAW!H403</f>
        <v/>
      </c>
      <c r="O403" s="13">
        <f>CHAIN_RAW!O403</f>
        <v/>
      </c>
      <c r="P403" s="13">
        <f>IFERROR(O403/N403,"")</f>
        <v/>
      </c>
      <c r="Q403" s="13">
        <f>CHAIN_RAW!I403</f>
        <v/>
      </c>
      <c r="R403" s="13">
        <f>CHAIN_RAW!P403</f>
        <v/>
      </c>
      <c r="S403" s="13">
        <f>IFERROR(R403/Q403,"")</f>
        <v/>
      </c>
      <c r="T403" s="13">
        <f>IFERROR((ABS(N403-O403)/MAX(1,(N403+O403)))*EXP(-ABS(E403-CONTROL!E5)/MAX(1,CONTROL!B8)),"")</f>
        <v/>
      </c>
      <c r="U403" s="13">
        <f>IFERROR(IF(O403&gt;N403,"SUPPORT (PE OI)","RESIST (CE OI)"),"")</f>
        <v/>
      </c>
      <c r="V403" s="13">
        <f>IFERROR(IF(Q403&gt;0,IF(R403&gt;0,"BOTH_ADD","CE_ADD_PE_REDUCE"),IF(R403&gt;0,"CE_REDUCE_PE_ADD","BOTH_REDUCE")),"")</f>
        <v/>
      </c>
      <c r="W403" s="13">
        <f>IFERROR( (P403-1)*0.5 + (M403)*0.1 - (I403+J403)*0.05 + T403*0.4 ,"")</f>
        <v/>
      </c>
      <c r="X403" s="13">
        <f>IFERROR(IF(ABS(F403)&lt;0.01,"ATM/NEAR",""),"")</f>
        <v/>
      </c>
    </row>
    <row r="404">
      <c r="A404" s="13">
        <f>CHAIN_RAW!A404</f>
        <v/>
      </c>
      <c r="B404" s="14">
        <f>CHAIN_RAW!B404</f>
        <v/>
      </c>
      <c r="C404" s="13">
        <f>CHAIN_RAW!C404</f>
        <v/>
      </c>
      <c r="D404" s="13">
        <f>CHAIN_RAW!D404</f>
        <v/>
      </c>
      <c r="E404" s="13">
        <f>CHAIN_RAW!E404</f>
        <v/>
      </c>
      <c r="F404" s="13">
        <f>IFERROR((E404-D404)/D404,"")</f>
        <v/>
      </c>
      <c r="G404" s="13">
        <f>IFERROR((CHAIN_RAW!K404+CHAIN_RAW!L404)/2,"")</f>
        <v/>
      </c>
      <c r="H404" s="13">
        <f>IFERROR((CHAIN_RAW!R404+CHAIN_RAW!S404)/2,"")</f>
        <v/>
      </c>
      <c r="I404" s="13">
        <f>IFERROR((CHAIN_RAW!L404-CHAIN_RAW!K404)/MAX(1E-9, G404),"")</f>
        <v/>
      </c>
      <c r="J404" s="13">
        <f>IFERROR((CHAIN_RAW!S404-CHAIN_RAW!R404)/MAX(1E-9, H404),"")</f>
        <v/>
      </c>
      <c r="K404" s="13">
        <f>CHAIN_RAW!G404</f>
        <v/>
      </c>
      <c r="L404" s="13">
        <f>CHAIN_RAW!N404</f>
        <v/>
      </c>
      <c r="M404" s="13">
        <f>IFERROR(L404-K404,"")</f>
        <v/>
      </c>
      <c r="N404" s="13">
        <f>CHAIN_RAW!H404</f>
        <v/>
      </c>
      <c r="O404" s="13">
        <f>CHAIN_RAW!O404</f>
        <v/>
      </c>
      <c r="P404" s="13">
        <f>IFERROR(O404/N404,"")</f>
        <v/>
      </c>
      <c r="Q404" s="13">
        <f>CHAIN_RAW!I404</f>
        <v/>
      </c>
      <c r="R404" s="13">
        <f>CHAIN_RAW!P404</f>
        <v/>
      </c>
      <c r="S404" s="13">
        <f>IFERROR(R404/Q404,"")</f>
        <v/>
      </c>
      <c r="T404" s="13">
        <f>IFERROR((ABS(N404-O404)/MAX(1,(N404+O404)))*EXP(-ABS(E404-CONTROL!E5)/MAX(1,CONTROL!B8)),"")</f>
        <v/>
      </c>
      <c r="U404" s="13">
        <f>IFERROR(IF(O404&gt;N404,"SUPPORT (PE OI)","RESIST (CE OI)"),"")</f>
        <v/>
      </c>
      <c r="V404" s="13">
        <f>IFERROR(IF(Q404&gt;0,IF(R404&gt;0,"BOTH_ADD","CE_ADD_PE_REDUCE"),IF(R404&gt;0,"CE_REDUCE_PE_ADD","BOTH_REDUCE")),"")</f>
        <v/>
      </c>
      <c r="W404" s="13">
        <f>IFERROR( (P404-1)*0.5 + (M404)*0.1 - (I404+J404)*0.05 + T404*0.4 ,"")</f>
        <v/>
      </c>
      <c r="X404" s="13">
        <f>IFERROR(IF(ABS(F404)&lt;0.01,"ATM/NEAR",""),"")</f>
        <v/>
      </c>
    </row>
    <row r="405">
      <c r="A405" s="13">
        <f>CHAIN_RAW!A405</f>
        <v/>
      </c>
      <c r="B405" s="14">
        <f>CHAIN_RAW!B405</f>
        <v/>
      </c>
      <c r="C405" s="13">
        <f>CHAIN_RAW!C405</f>
        <v/>
      </c>
      <c r="D405" s="13">
        <f>CHAIN_RAW!D405</f>
        <v/>
      </c>
      <c r="E405" s="13">
        <f>CHAIN_RAW!E405</f>
        <v/>
      </c>
      <c r="F405" s="13">
        <f>IFERROR((E405-D405)/D405,"")</f>
        <v/>
      </c>
      <c r="G405" s="13">
        <f>IFERROR((CHAIN_RAW!K405+CHAIN_RAW!L405)/2,"")</f>
        <v/>
      </c>
      <c r="H405" s="13">
        <f>IFERROR((CHAIN_RAW!R405+CHAIN_RAW!S405)/2,"")</f>
        <v/>
      </c>
      <c r="I405" s="13">
        <f>IFERROR((CHAIN_RAW!L405-CHAIN_RAW!K405)/MAX(1E-9, G405),"")</f>
        <v/>
      </c>
      <c r="J405" s="13">
        <f>IFERROR((CHAIN_RAW!S405-CHAIN_RAW!R405)/MAX(1E-9, H405),"")</f>
        <v/>
      </c>
      <c r="K405" s="13">
        <f>CHAIN_RAW!G405</f>
        <v/>
      </c>
      <c r="L405" s="13">
        <f>CHAIN_RAW!N405</f>
        <v/>
      </c>
      <c r="M405" s="13">
        <f>IFERROR(L405-K405,"")</f>
        <v/>
      </c>
      <c r="N405" s="13">
        <f>CHAIN_RAW!H405</f>
        <v/>
      </c>
      <c r="O405" s="13">
        <f>CHAIN_RAW!O405</f>
        <v/>
      </c>
      <c r="P405" s="13">
        <f>IFERROR(O405/N405,"")</f>
        <v/>
      </c>
      <c r="Q405" s="13">
        <f>CHAIN_RAW!I405</f>
        <v/>
      </c>
      <c r="R405" s="13">
        <f>CHAIN_RAW!P405</f>
        <v/>
      </c>
      <c r="S405" s="13">
        <f>IFERROR(R405/Q405,"")</f>
        <v/>
      </c>
      <c r="T405" s="13">
        <f>IFERROR((ABS(N405-O405)/MAX(1,(N405+O405)))*EXP(-ABS(E405-CONTROL!E5)/MAX(1,CONTROL!B8)),"")</f>
        <v/>
      </c>
      <c r="U405" s="13">
        <f>IFERROR(IF(O405&gt;N405,"SUPPORT (PE OI)","RESIST (CE OI)"),"")</f>
        <v/>
      </c>
      <c r="V405" s="13">
        <f>IFERROR(IF(Q405&gt;0,IF(R405&gt;0,"BOTH_ADD","CE_ADD_PE_REDUCE"),IF(R405&gt;0,"CE_REDUCE_PE_ADD","BOTH_REDUCE")),"")</f>
        <v/>
      </c>
      <c r="W405" s="13">
        <f>IFERROR( (P405-1)*0.5 + (M405)*0.1 - (I405+J405)*0.05 + T405*0.4 ,"")</f>
        <v/>
      </c>
      <c r="X405" s="13">
        <f>IFERROR(IF(ABS(F405)&lt;0.01,"ATM/NEAR",""),"")</f>
        <v/>
      </c>
    </row>
    <row r="406">
      <c r="A406" s="13">
        <f>CHAIN_RAW!A406</f>
        <v/>
      </c>
      <c r="B406" s="14">
        <f>CHAIN_RAW!B406</f>
        <v/>
      </c>
      <c r="C406" s="13">
        <f>CHAIN_RAW!C406</f>
        <v/>
      </c>
      <c r="D406" s="13">
        <f>CHAIN_RAW!D406</f>
        <v/>
      </c>
      <c r="E406" s="13">
        <f>CHAIN_RAW!E406</f>
        <v/>
      </c>
      <c r="F406" s="13">
        <f>IFERROR((E406-D406)/D406,"")</f>
        <v/>
      </c>
      <c r="G406" s="13">
        <f>IFERROR((CHAIN_RAW!K406+CHAIN_RAW!L406)/2,"")</f>
        <v/>
      </c>
      <c r="H406" s="13">
        <f>IFERROR((CHAIN_RAW!R406+CHAIN_RAW!S406)/2,"")</f>
        <v/>
      </c>
      <c r="I406" s="13">
        <f>IFERROR((CHAIN_RAW!L406-CHAIN_RAW!K406)/MAX(1E-9, G406),"")</f>
        <v/>
      </c>
      <c r="J406" s="13">
        <f>IFERROR((CHAIN_RAW!S406-CHAIN_RAW!R406)/MAX(1E-9, H406),"")</f>
        <v/>
      </c>
      <c r="K406" s="13">
        <f>CHAIN_RAW!G406</f>
        <v/>
      </c>
      <c r="L406" s="13">
        <f>CHAIN_RAW!N406</f>
        <v/>
      </c>
      <c r="M406" s="13">
        <f>IFERROR(L406-K406,"")</f>
        <v/>
      </c>
      <c r="N406" s="13">
        <f>CHAIN_RAW!H406</f>
        <v/>
      </c>
      <c r="O406" s="13">
        <f>CHAIN_RAW!O406</f>
        <v/>
      </c>
      <c r="P406" s="13">
        <f>IFERROR(O406/N406,"")</f>
        <v/>
      </c>
      <c r="Q406" s="13">
        <f>CHAIN_RAW!I406</f>
        <v/>
      </c>
      <c r="R406" s="13">
        <f>CHAIN_RAW!P406</f>
        <v/>
      </c>
      <c r="S406" s="13">
        <f>IFERROR(R406/Q406,"")</f>
        <v/>
      </c>
      <c r="T406" s="13">
        <f>IFERROR((ABS(N406-O406)/MAX(1,(N406+O406)))*EXP(-ABS(E406-CONTROL!E5)/MAX(1,CONTROL!B8)),"")</f>
        <v/>
      </c>
      <c r="U406" s="13">
        <f>IFERROR(IF(O406&gt;N406,"SUPPORT (PE OI)","RESIST (CE OI)"),"")</f>
        <v/>
      </c>
      <c r="V406" s="13">
        <f>IFERROR(IF(Q406&gt;0,IF(R406&gt;0,"BOTH_ADD","CE_ADD_PE_REDUCE"),IF(R406&gt;0,"CE_REDUCE_PE_ADD","BOTH_REDUCE")),"")</f>
        <v/>
      </c>
      <c r="W406" s="13">
        <f>IFERROR( (P406-1)*0.5 + (M406)*0.1 - (I406+J406)*0.05 + T406*0.4 ,"")</f>
        <v/>
      </c>
      <c r="X406" s="13">
        <f>IFERROR(IF(ABS(F406)&lt;0.01,"ATM/NEAR",""),"")</f>
        <v/>
      </c>
    </row>
    <row r="407">
      <c r="A407" s="13">
        <f>CHAIN_RAW!A407</f>
        <v/>
      </c>
      <c r="B407" s="14">
        <f>CHAIN_RAW!B407</f>
        <v/>
      </c>
      <c r="C407" s="13">
        <f>CHAIN_RAW!C407</f>
        <v/>
      </c>
      <c r="D407" s="13">
        <f>CHAIN_RAW!D407</f>
        <v/>
      </c>
      <c r="E407" s="13">
        <f>CHAIN_RAW!E407</f>
        <v/>
      </c>
      <c r="F407" s="13">
        <f>IFERROR((E407-D407)/D407,"")</f>
        <v/>
      </c>
      <c r="G407" s="13">
        <f>IFERROR((CHAIN_RAW!K407+CHAIN_RAW!L407)/2,"")</f>
        <v/>
      </c>
      <c r="H407" s="13">
        <f>IFERROR((CHAIN_RAW!R407+CHAIN_RAW!S407)/2,"")</f>
        <v/>
      </c>
      <c r="I407" s="13">
        <f>IFERROR((CHAIN_RAW!L407-CHAIN_RAW!K407)/MAX(1E-9, G407),"")</f>
        <v/>
      </c>
      <c r="J407" s="13">
        <f>IFERROR((CHAIN_RAW!S407-CHAIN_RAW!R407)/MAX(1E-9, H407),"")</f>
        <v/>
      </c>
      <c r="K407" s="13">
        <f>CHAIN_RAW!G407</f>
        <v/>
      </c>
      <c r="L407" s="13">
        <f>CHAIN_RAW!N407</f>
        <v/>
      </c>
      <c r="M407" s="13">
        <f>IFERROR(L407-K407,"")</f>
        <v/>
      </c>
      <c r="N407" s="13">
        <f>CHAIN_RAW!H407</f>
        <v/>
      </c>
      <c r="O407" s="13">
        <f>CHAIN_RAW!O407</f>
        <v/>
      </c>
      <c r="P407" s="13">
        <f>IFERROR(O407/N407,"")</f>
        <v/>
      </c>
      <c r="Q407" s="13">
        <f>CHAIN_RAW!I407</f>
        <v/>
      </c>
      <c r="R407" s="13">
        <f>CHAIN_RAW!P407</f>
        <v/>
      </c>
      <c r="S407" s="13">
        <f>IFERROR(R407/Q407,"")</f>
        <v/>
      </c>
      <c r="T407" s="13">
        <f>IFERROR((ABS(N407-O407)/MAX(1,(N407+O407)))*EXP(-ABS(E407-CONTROL!E5)/MAX(1,CONTROL!B8)),"")</f>
        <v/>
      </c>
      <c r="U407" s="13">
        <f>IFERROR(IF(O407&gt;N407,"SUPPORT (PE OI)","RESIST (CE OI)"),"")</f>
        <v/>
      </c>
      <c r="V407" s="13">
        <f>IFERROR(IF(Q407&gt;0,IF(R407&gt;0,"BOTH_ADD","CE_ADD_PE_REDUCE"),IF(R407&gt;0,"CE_REDUCE_PE_ADD","BOTH_REDUCE")),"")</f>
        <v/>
      </c>
      <c r="W407" s="13">
        <f>IFERROR( (P407-1)*0.5 + (M407)*0.1 - (I407+J407)*0.05 + T407*0.4 ,"")</f>
        <v/>
      </c>
      <c r="X407" s="13">
        <f>IFERROR(IF(ABS(F407)&lt;0.01,"ATM/NEAR",""),"")</f>
        <v/>
      </c>
    </row>
    <row r="408">
      <c r="A408" s="13">
        <f>CHAIN_RAW!A408</f>
        <v/>
      </c>
      <c r="B408" s="14">
        <f>CHAIN_RAW!B408</f>
        <v/>
      </c>
      <c r="C408" s="13">
        <f>CHAIN_RAW!C408</f>
        <v/>
      </c>
      <c r="D408" s="13">
        <f>CHAIN_RAW!D408</f>
        <v/>
      </c>
      <c r="E408" s="13">
        <f>CHAIN_RAW!E408</f>
        <v/>
      </c>
      <c r="F408" s="13">
        <f>IFERROR((E408-D408)/D408,"")</f>
        <v/>
      </c>
      <c r="G408" s="13">
        <f>IFERROR((CHAIN_RAW!K408+CHAIN_RAW!L408)/2,"")</f>
        <v/>
      </c>
      <c r="H408" s="13">
        <f>IFERROR((CHAIN_RAW!R408+CHAIN_RAW!S408)/2,"")</f>
        <v/>
      </c>
      <c r="I408" s="13">
        <f>IFERROR((CHAIN_RAW!L408-CHAIN_RAW!K408)/MAX(1E-9, G408),"")</f>
        <v/>
      </c>
      <c r="J408" s="13">
        <f>IFERROR((CHAIN_RAW!S408-CHAIN_RAW!R408)/MAX(1E-9, H408),"")</f>
        <v/>
      </c>
      <c r="K408" s="13">
        <f>CHAIN_RAW!G408</f>
        <v/>
      </c>
      <c r="L408" s="13">
        <f>CHAIN_RAW!N408</f>
        <v/>
      </c>
      <c r="M408" s="13">
        <f>IFERROR(L408-K408,"")</f>
        <v/>
      </c>
      <c r="N408" s="13">
        <f>CHAIN_RAW!H408</f>
        <v/>
      </c>
      <c r="O408" s="13">
        <f>CHAIN_RAW!O408</f>
        <v/>
      </c>
      <c r="P408" s="13">
        <f>IFERROR(O408/N408,"")</f>
        <v/>
      </c>
      <c r="Q408" s="13">
        <f>CHAIN_RAW!I408</f>
        <v/>
      </c>
      <c r="R408" s="13">
        <f>CHAIN_RAW!P408</f>
        <v/>
      </c>
      <c r="S408" s="13">
        <f>IFERROR(R408/Q408,"")</f>
        <v/>
      </c>
      <c r="T408" s="13">
        <f>IFERROR((ABS(N408-O408)/MAX(1,(N408+O408)))*EXP(-ABS(E408-CONTROL!E5)/MAX(1,CONTROL!B8)),"")</f>
        <v/>
      </c>
      <c r="U408" s="13">
        <f>IFERROR(IF(O408&gt;N408,"SUPPORT (PE OI)","RESIST (CE OI)"),"")</f>
        <v/>
      </c>
      <c r="V408" s="13">
        <f>IFERROR(IF(Q408&gt;0,IF(R408&gt;0,"BOTH_ADD","CE_ADD_PE_REDUCE"),IF(R408&gt;0,"CE_REDUCE_PE_ADD","BOTH_REDUCE")),"")</f>
        <v/>
      </c>
      <c r="W408" s="13">
        <f>IFERROR( (P408-1)*0.5 + (M408)*0.1 - (I408+J408)*0.05 + T408*0.4 ,"")</f>
        <v/>
      </c>
      <c r="X408" s="13">
        <f>IFERROR(IF(ABS(F408)&lt;0.01,"ATM/NEAR",""),"")</f>
        <v/>
      </c>
    </row>
    <row r="409">
      <c r="A409" s="13">
        <f>CHAIN_RAW!A409</f>
        <v/>
      </c>
      <c r="B409" s="14">
        <f>CHAIN_RAW!B409</f>
        <v/>
      </c>
      <c r="C409" s="13">
        <f>CHAIN_RAW!C409</f>
        <v/>
      </c>
      <c r="D409" s="13">
        <f>CHAIN_RAW!D409</f>
        <v/>
      </c>
      <c r="E409" s="13">
        <f>CHAIN_RAW!E409</f>
        <v/>
      </c>
      <c r="F409" s="13">
        <f>IFERROR((E409-D409)/D409,"")</f>
        <v/>
      </c>
      <c r="G409" s="13">
        <f>IFERROR((CHAIN_RAW!K409+CHAIN_RAW!L409)/2,"")</f>
        <v/>
      </c>
      <c r="H409" s="13">
        <f>IFERROR((CHAIN_RAW!R409+CHAIN_RAW!S409)/2,"")</f>
        <v/>
      </c>
      <c r="I409" s="13">
        <f>IFERROR((CHAIN_RAW!L409-CHAIN_RAW!K409)/MAX(1E-9, G409),"")</f>
        <v/>
      </c>
      <c r="J409" s="13">
        <f>IFERROR((CHAIN_RAW!S409-CHAIN_RAW!R409)/MAX(1E-9, H409),"")</f>
        <v/>
      </c>
      <c r="K409" s="13">
        <f>CHAIN_RAW!G409</f>
        <v/>
      </c>
      <c r="L409" s="13">
        <f>CHAIN_RAW!N409</f>
        <v/>
      </c>
      <c r="M409" s="13">
        <f>IFERROR(L409-K409,"")</f>
        <v/>
      </c>
      <c r="N409" s="13">
        <f>CHAIN_RAW!H409</f>
        <v/>
      </c>
      <c r="O409" s="13">
        <f>CHAIN_RAW!O409</f>
        <v/>
      </c>
      <c r="P409" s="13">
        <f>IFERROR(O409/N409,"")</f>
        <v/>
      </c>
      <c r="Q409" s="13">
        <f>CHAIN_RAW!I409</f>
        <v/>
      </c>
      <c r="R409" s="13">
        <f>CHAIN_RAW!P409</f>
        <v/>
      </c>
      <c r="S409" s="13">
        <f>IFERROR(R409/Q409,"")</f>
        <v/>
      </c>
      <c r="T409" s="13">
        <f>IFERROR((ABS(N409-O409)/MAX(1,(N409+O409)))*EXP(-ABS(E409-CONTROL!E5)/MAX(1,CONTROL!B8)),"")</f>
        <v/>
      </c>
      <c r="U409" s="13">
        <f>IFERROR(IF(O409&gt;N409,"SUPPORT (PE OI)","RESIST (CE OI)"),"")</f>
        <v/>
      </c>
      <c r="V409" s="13">
        <f>IFERROR(IF(Q409&gt;0,IF(R409&gt;0,"BOTH_ADD","CE_ADD_PE_REDUCE"),IF(R409&gt;0,"CE_REDUCE_PE_ADD","BOTH_REDUCE")),"")</f>
        <v/>
      </c>
      <c r="W409" s="13">
        <f>IFERROR( (P409-1)*0.5 + (M409)*0.1 - (I409+J409)*0.05 + T409*0.4 ,"")</f>
        <v/>
      </c>
      <c r="X409" s="13">
        <f>IFERROR(IF(ABS(F409)&lt;0.01,"ATM/NEAR",""),"")</f>
        <v/>
      </c>
    </row>
    <row r="410">
      <c r="A410" s="13">
        <f>CHAIN_RAW!A410</f>
        <v/>
      </c>
      <c r="B410" s="14">
        <f>CHAIN_RAW!B410</f>
        <v/>
      </c>
      <c r="C410" s="13">
        <f>CHAIN_RAW!C410</f>
        <v/>
      </c>
      <c r="D410" s="13">
        <f>CHAIN_RAW!D410</f>
        <v/>
      </c>
      <c r="E410" s="13">
        <f>CHAIN_RAW!E410</f>
        <v/>
      </c>
      <c r="F410" s="13">
        <f>IFERROR((E410-D410)/D410,"")</f>
        <v/>
      </c>
      <c r="G410" s="13">
        <f>IFERROR((CHAIN_RAW!K410+CHAIN_RAW!L410)/2,"")</f>
        <v/>
      </c>
      <c r="H410" s="13">
        <f>IFERROR((CHAIN_RAW!R410+CHAIN_RAW!S410)/2,"")</f>
        <v/>
      </c>
      <c r="I410" s="13">
        <f>IFERROR((CHAIN_RAW!L410-CHAIN_RAW!K410)/MAX(1E-9, G410),"")</f>
        <v/>
      </c>
      <c r="J410" s="13">
        <f>IFERROR((CHAIN_RAW!S410-CHAIN_RAW!R410)/MAX(1E-9, H410),"")</f>
        <v/>
      </c>
      <c r="K410" s="13">
        <f>CHAIN_RAW!G410</f>
        <v/>
      </c>
      <c r="L410" s="13">
        <f>CHAIN_RAW!N410</f>
        <v/>
      </c>
      <c r="M410" s="13">
        <f>IFERROR(L410-K410,"")</f>
        <v/>
      </c>
      <c r="N410" s="13">
        <f>CHAIN_RAW!H410</f>
        <v/>
      </c>
      <c r="O410" s="13">
        <f>CHAIN_RAW!O410</f>
        <v/>
      </c>
      <c r="P410" s="13">
        <f>IFERROR(O410/N410,"")</f>
        <v/>
      </c>
      <c r="Q410" s="13">
        <f>CHAIN_RAW!I410</f>
        <v/>
      </c>
      <c r="R410" s="13">
        <f>CHAIN_RAW!P410</f>
        <v/>
      </c>
      <c r="S410" s="13">
        <f>IFERROR(R410/Q410,"")</f>
        <v/>
      </c>
      <c r="T410" s="13">
        <f>IFERROR((ABS(N410-O410)/MAX(1,(N410+O410)))*EXP(-ABS(E410-CONTROL!E5)/MAX(1,CONTROL!B8)),"")</f>
        <v/>
      </c>
      <c r="U410" s="13">
        <f>IFERROR(IF(O410&gt;N410,"SUPPORT (PE OI)","RESIST (CE OI)"),"")</f>
        <v/>
      </c>
      <c r="V410" s="13">
        <f>IFERROR(IF(Q410&gt;0,IF(R410&gt;0,"BOTH_ADD","CE_ADD_PE_REDUCE"),IF(R410&gt;0,"CE_REDUCE_PE_ADD","BOTH_REDUCE")),"")</f>
        <v/>
      </c>
      <c r="W410" s="13">
        <f>IFERROR( (P410-1)*0.5 + (M410)*0.1 - (I410+J410)*0.05 + T410*0.4 ,"")</f>
        <v/>
      </c>
      <c r="X410" s="13">
        <f>IFERROR(IF(ABS(F410)&lt;0.01,"ATM/NEAR",""),"")</f>
        <v/>
      </c>
    </row>
    <row r="411">
      <c r="A411" s="13">
        <f>CHAIN_RAW!A411</f>
        <v/>
      </c>
      <c r="B411" s="14">
        <f>CHAIN_RAW!B411</f>
        <v/>
      </c>
      <c r="C411" s="13">
        <f>CHAIN_RAW!C411</f>
        <v/>
      </c>
      <c r="D411" s="13">
        <f>CHAIN_RAW!D411</f>
        <v/>
      </c>
      <c r="E411" s="13">
        <f>CHAIN_RAW!E411</f>
        <v/>
      </c>
      <c r="F411" s="13">
        <f>IFERROR((E411-D411)/D411,"")</f>
        <v/>
      </c>
      <c r="G411" s="13">
        <f>IFERROR((CHAIN_RAW!K411+CHAIN_RAW!L411)/2,"")</f>
        <v/>
      </c>
      <c r="H411" s="13">
        <f>IFERROR((CHAIN_RAW!R411+CHAIN_RAW!S411)/2,"")</f>
        <v/>
      </c>
      <c r="I411" s="13">
        <f>IFERROR((CHAIN_RAW!L411-CHAIN_RAW!K411)/MAX(1E-9, G411),"")</f>
        <v/>
      </c>
      <c r="J411" s="13">
        <f>IFERROR((CHAIN_RAW!S411-CHAIN_RAW!R411)/MAX(1E-9, H411),"")</f>
        <v/>
      </c>
      <c r="K411" s="13">
        <f>CHAIN_RAW!G411</f>
        <v/>
      </c>
      <c r="L411" s="13">
        <f>CHAIN_RAW!N411</f>
        <v/>
      </c>
      <c r="M411" s="13">
        <f>IFERROR(L411-K411,"")</f>
        <v/>
      </c>
      <c r="N411" s="13">
        <f>CHAIN_RAW!H411</f>
        <v/>
      </c>
      <c r="O411" s="13">
        <f>CHAIN_RAW!O411</f>
        <v/>
      </c>
      <c r="P411" s="13">
        <f>IFERROR(O411/N411,"")</f>
        <v/>
      </c>
      <c r="Q411" s="13">
        <f>CHAIN_RAW!I411</f>
        <v/>
      </c>
      <c r="R411" s="13">
        <f>CHAIN_RAW!P411</f>
        <v/>
      </c>
      <c r="S411" s="13">
        <f>IFERROR(R411/Q411,"")</f>
        <v/>
      </c>
      <c r="T411" s="13">
        <f>IFERROR((ABS(N411-O411)/MAX(1,(N411+O411)))*EXP(-ABS(E411-CONTROL!E5)/MAX(1,CONTROL!B8)),"")</f>
        <v/>
      </c>
      <c r="U411" s="13">
        <f>IFERROR(IF(O411&gt;N411,"SUPPORT (PE OI)","RESIST (CE OI)"),"")</f>
        <v/>
      </c>
      <c r="V411" s="13">
        <f>IFERROR(IF(Q411&gt;0,IF(R411&gt;0,"BOTH_ADD","CE_ADD_PE_REDUCE"),IF(R411&gt;0,"CE_REDUCE_PE_ADD","BOTH_REDUCE")),"")</f>
        <v/>
      </c>
      <c r="W411" s="13">
        <f>IFERROR( (P411-1)*0.5 + (M411)*0.1 - (I411+J411)*0.05 + T411*0.4 ,"")</f>
        <v/>
      </c>
      <c r="X411" s="13">
        <f>IFERROR(IF(ABS(F411)&lt;0.01,"ATM/NEAR",""),"")</f>
        <v/>
      </c>
    </row>
    <row r="412">
      <c r="A412" s="13">
        <f>CHAIN_RAW!A412</f>
        <v/>
      </c>
      <c r="B412" s="14">
        <f>CHAIN_RAW!B412</f>
        <v/>
      </c>
      <c r="C412" s="13">
        <f>CHAIN_RAW!C412</f>
        <v/>
      </c>
      <c r="D412" s="13">
        <f>CHAIN_RAW!D412</f>
        <v/>
      </c>
      <c r="E412" s="13">
        <f>CHAIN_RAW!E412</f>
        <v/>
      </c>
      <c r="F412" s="13">
        <f>IFERROR((E412-D412)/D412,"")</f>
        <v/>
      </c>
      <c r="G412" s="13">
        <f>IFERROR((CHAIN_RAW!K412+CHAIN_RAW!L412)/2,"")</f>
        <v/>
      </c>
      <c r="H412" s="13">
        <f>IFERROR((CHAIN_RAW!R412+CHAIN_RAW!S412)/2,"")</f>
        <v/>
      </c>
      <c r="I412" s="13">
        <f>IFERROR((CHAIN_RAW!L412-CHAIN_RAW!K412)/MAX(1E-9, G412),"")</f>
        <v/>
      </c>
      <c r="J412" s="13">
        <f>IFERROR((CHAIN_RAW!S412-CHAIN_RAW!R412)/MAX(1E-9, H412),"")</f>
        <v/>
      </c>
      <c r="K412" s="13">
        <f>CHAIN_RAW!G412</f>
        <v/>
      </c>
      <c r="L412" s="13">
        <f>CHAIN_RAW!N412</f>
        <v/>
      </c>
      <c r="M412" s="13">
        <f>IFERROR(L412-K412,"")</f>
        <v/>
      </c>
      <c r="N412" s="13">
        <f>CHAIN_RAW!H412</f>
        <v/>
      </c>
      <c r="O412" s="13">
        <f>CHAIN_RAW!O412</f>
        <v/>
      </c>
      <c r="P412" s="13">
        <f>IFERROR(O412/N412,"")</f>
        <v/>
      </c>
      <c r="Q412" s="13">
        <f>CHAIN_RAW!I412</f>
        <v/>
      </c>
      <c r="R412" s="13">
        <f>CHAIN_RAW!P412</f>
        <v/>
      </c>
      <c r="S412" s="13">
        <f>IFERROR(R412/Q412,"")</f>
        <v/>
      </c>
      <c r="T412" s="13">
        <f>IFERROR((ABS(N412-O412)/MAX(1,(N412+O412)))*EXP(-ABS(E412-CONTROL!E5)/MAX(1,CONTROL!B8)),"")</f>
        <v/>
      </c>
      <c r="U412" s="13">
        <f>IFERROR(IF(O412&gt;N412,"SUPPORT (PE OI)","RESIST (CE OI)"),"")</f>
        <v/>
      </c>
      <c r="V412" s="13">
        <f>IFERROR(IF(Q412&gt;0,IF(R412&gt;0,"BOTH_ADD","CE_ADD_PE_REDUCE"),IF(R412&gt;0,"CE_REDUCE_PE_ADD","BOTH_REDUCE")),"")</f>
        <v/>
      </c>
      <c r="W412" s="13">
        <f>IFERROR( (P412-1)*0.5 + (M412)*0.1 - (I412+J412)*0.05 + T412*0.4 ,"")</f>
        <v/>
      </c>
      <c r="X412" s="13">
        <f>IFERROR(IF(ABS(F412)&lt;0.01,"ATM/NEAR",""),"")</f>
        <v/>
      </c>
    </row>
    <row r="413">
      <c r="A413" s="13">
        <f>CHAIN_RAW!A413</f>
        <v/>
      </c>
      <c r="B413" s="14">
        <f>CHAIN_RAW!B413</f>
        <v/>
      </c>
      <c r="C413" s="13">
        <f>CHAIN_RAW!C413</f>
        <v/>
      </c>
      <c r="D413" s="13">
        <f>CHAIN_RAW!D413</f>
        <v/>
      </c>
      <c r="E413" s="13">
        <f>CHAIN_RAW!E413</f>
        <v/>
      </c>
      <c r="F413" s="13">
        <f>IFERROR((E413-D413)/D413,"")</f>
        <v/>
      </c>
      <c r="G413" s="13">
        <f>IFERROR((CHAIN_RAW!K413+CHAIN_RAW!L413)/2,"")</f>
        <v/>
      </c>
      <c r="H413" s="13">
        <f>IFERROR((CHAIN_RAW!R413+CHAIN_RAW!S413)/2,"")</f>
        <v/>
      </c>
      <c r="I413" s="13">
        <f>IFERROR((CHAIN_RAW!L413-CHAIN_RAW!K413)/MAX(1E-9, G413),"")</f>
        <v/>
      </c>
      <c r="J413" s="13">
        <f>IFERROR((CHAIN_RAW!S413-CHAIN_RAW!R413)/MAX(1E-9, H413),"")</f>
        <v/>
      </c>
      <c r="K413" s="13">
        <f>CHAIN_RAW!G413</f>
        <v/>
      </c>
      <c r="L413" s="13">
        <f>CHAIN_RAW!N413</f>
        <v/>
      </c>
      <c r="M413" s="13">
        <f>IFERROR(L413-K413,"")</f>
        <v/>
      </c>
      <c r="N413" s="13">
        <f>CHAIN_RAW!H413</f>
        <v/>
      </c>
      <c r="O413" s="13">
        <f>CHAIN_RAW!O413</f>
        <v/>
      </c>
      <c r="P413" s="13">
        <f>IFERROR(O413/N413,"")</f>
        <v/>
      </c>
      <c r="Q413" s="13">
        <f>CHAIN_RAW!I413</f>
        <v/>
      </c>
      <c r="R413" s="13">
        <f>CHAIN_RAW!P413</f>
        <v/>
      </c>
      <c r="S413" s="13">
        <f>IFERROR(R413/Q413,"")</f>
        <v/>
      </c>
      <c r="T413" s="13">
        <f>IFERROR((ABS(N413-O413)/MAX(1,(N413+O413)))*EXP(-ABS(E413-CONTROL!E5)/MAX(1,CONTROL!B8)),"")</f>
        <v/>
      </c>
      <c r="U413" s="13">
        <f>IFERROR(IF(O413&gt;N413,"SUPPORT (PE OI)","RESIST (CE OI)"),"")</f>
        <v/>
      </c>
      <c r="V413" s="13">
        <f>IFERROR(IF(Q413&gt;0,IF(R413&gt;0,"BOTH_ADD","CE_ADD_PE_REDUCE"),IF(R413&gt;0,"CE_REDUCE_PE_ADD","BOTH_REDUCE")),"")</f>
        <v/>
      </c>
      <c r="W413" s="13">
        <f>IFERROR( (P413-1)*0.5 + (M413)*0.1 - (I413+J413)*0.05 + T413*0.4 ,"")</f>
        <v/>
      </c>
      <c r="X413" s="13">
        <f>IFERROR(IF(ABS(F413)&lt;0.01,"ATM/NEAR",""),"")</f>
        <v/>
      </c>
    </row>
    <row r="414">
      <c r="A414" s="13">
        <f>CHAIN_RAW!A414</f>
        <v/>
      </c>
      <c r="B414" s="14">
        <f>CHAIN_RAW!B414</f>
        <v/>
      </c>
      <c r="C414" s="13">
        <f>CHAIN_RAW!C414</f>
        <v/>
      </c>
      <c r="D414" s="13">
        <f>CHAIN_RAW!D414</f>
        <v/>
      </c>
      <c r="E414" s="13">
        <f>CHAIN_RAW!E414</f>
        <v/>
      </c>
      <c r="F414" s="13">
        <f>IFERROR((E414-D414)/D414,"")</f>
        <v/>
      </c>
      <c r="G414" s="13">
        <f>IFERROR((CHAIN_RAW!K414+CHAIN_RAW!L414)/2,"")</f>
        <v/>
      </c>
      <c r="H414" s="13">
        <f>IFERROR((CHAIN_RAW!R414+CHAIN_RAW!S414)/2,"")</f>
        <v/>
      </c>
      <c r="I414" s="13">
        <f>IFERROR((CHAIN_RAW!L414-CHAIN_RAW!K414)/MAX(1E-9, G414),"")</f>
        <v/>
      </c>
      <c r="J414" s="13">
        <f>IFERROR((CHAIN_RAW!S414-CHAIN_RAW!R414)/MAX(1E-9, H414),"")</f>
        <v/>
      </c>
      <c r="K414" s="13">
        <f>CHAIN_RAW!G414</f>
        <v/>
      </c>
      <c r="L414" s="13">
        <f>CHAIN_RAW!N414</f>
        <v/>
      </c>
      <c r="M414" s="13">
        <f>IFERROR(L414-K414,"")</f>
        <v/>
      </c>
      <c r="N414" s="13">
        <f>CHAIN_RAW!H414</f>
        <v/>
      </c>
      <c r="O414" s="13">
        <f>CHAIN_RAW!O414</f>
        <v/>
      </c>
      <c r="P414" s="13">
        <f>IFERROR(O414/N414,"")</f>
        <v/>
      </c>
      <c r="Q414" s="13">
        <f>CHAIN_RAW!I414</f>
        <v/>
      </c>
      <c r="R414" s="13">
        <f>CHAIN_RAW!P414</f>
        <v/>
      </c>
      <c r="S414" s="13">
        <f>IFERROR(R414/Q414,"")</f>
        <v/>
      </c>
      <c r="T414" s="13">
        <f>IFERROR((ABS(N414-O414)/MAX(1,(N414+O414)))*EXP(-ABS(E414-CONTROL!E5)/MAX(1,CONTROL!B8)),"")</f>
        <v/>
      </c>
      <c r="U414" s="13">
        <f>IFERROR(IF(O414&gt;N414,"SUPPORT (PE OI)","RESIST (CE OI)"),"")</f>
        <v/>
      </c>
      <c r="V414" s="13">
        <f>IFERROR(IF(Q414&gt;0,IF(R414&gt;0,"BOTH_ADD","CE_ADD_PE_REDUCE"),IF(R414&gt;0,"CE_REDUCE_PE_ADD","BOTH_REDUCE")),"")</f>
        <v/>
      </c>
      <c r="W414" s="13">
        <f>IFERROR( (P414-1)*0.5 + (M414)*0.1 - (I414+J414)*0.05 + T414*0.4 ,"")</f>
        <v/>
      </c>
      <c r="X414" s="13">
        <f>IFERROR(IF(ABS(F414)&lt;0.01,"ATM/NEAR",""),"")</f>
        <v/>
      </c>
    </row>
    <row r="415">
      <c r="A415" s="13">
        <f>CHAIN_RAW!A415</f>
        <v/>
      </c>
      <c r="B415" s="14">
        <f>CHAIN_RAW!B415</f>
        <v/>
      </c>
      <c r="C415" s="13">
        <f>CHAIN_RAW!C415</f>
        <v/>
      </c>
      <c r="D415" s="13">
        <f>CHAIN_RAW!D415</f>
        <v/>
      </c>
      <c r="E415" s="13">
        <f>CHAIN_RAW!E415</f>
        <v/>
      </c>
      <c r="F415" s="13">
        <f>IFERROR((E415-D415)/D415,"")</f>
        <v/>
      </c>
      <c r="G415" s="13">
        <f>IFERROR((CHAIN_RAW!K415+CHAIN_RAW!L415)/2,"")</f>
        <v/>
      </c>
      <c r="H415" s="13">
        <f>IFERROR((CHAIN_RAW!R415+CHAIN_RAW!S415)/2,"")</f>
        <v/>
      </c>
      <c r="I415" s="13">
        <f>IFERROR((CHAIN_RAW!L415-CHAIN_RAW!K415)/MAX(1E-9, G415),"")</f>
        <v/>
      </c>
      <c r="J415" s="13">
        <f>IFERROR((CHAIN_RAW!S415-CHAIN_RAW!R415)/MAX(1E-9, H415),"")</f>
        <v/>
      </c>
      <c r="K415" s="13">
        <f>CHAIN_RAW!G415</f>
        <v/>
      </c>
      <c r="L415" s="13">
        <f>CHAIN_RAW!N415</f>
        <v/>
      </c>
      <c r="M415" s="13">
        <f>IFERROR(L415-K415,"")</f>
        <v/>
      </c>
      <c r="N415" s="13">
        <f>CHAIN_RAW!H415</f>
        <v/>
      </c>
      <c r="O415" s="13">
        <f>CHAIN_RAW!O415</f>
        <v/>
      </c>
      <c r="P415" s="13">
        <f>IFERROR(O415/N415,"")</f>
        <v/>
      </c>
      <c r="Q415" s="13">
        <f>CHAIN_RAW!I415</f>
        <v/>
      </c>
      <c r="R415" s="13">
        <f>CHAIN_RAW!P415</f>
        <v/>
      </c>
      <c r="S415" s="13">
        <f>IFERROR(R415/Q415,"")</f>
        <v/>
      </c>
      <c r="T415" s="13">
        <f>IFERROR((ABS(N415-O415)/MAX(1,(N415+O415)))*EXP(-ABS(E415-CONTROL!E5)/MAX(1,CONTROL!B8)),"")</f>
        <v/>
      </c>
      <c r="U415" s="13">
        <f>IFERROR(IF(O415&gt;N415,"SUPPORT (PE OI)","RESIST (CE OI)"),"")</f>
        <v/>
      </c>
      <c r="V415" s="13">
        <f>IFERROR(IF(Q415&gt;0,IF(R415&gt;0,"BOTH_ADD","CE_ADD_PE_REDUCE"),IF(R415&gt;0,"CE_REDUCE_PE_ADD","BOTH_REDUCE")),"")</f>
        <v/>
      </c>
      <c r="W415" s="13">
        <f>IFERROR( (P415-1)*0.5 + (M415)*0.1 - (I415+J415)*0.05 + T415*0.4 ,"")</f>
        <v/>
      </c>
      <c r="X415" s="13">
        <f>IFERROR(IF(ABS(F415)&lt;0.01,"ATM/NEAR",""),"")</f>
        <v/>
      </c>
    </row>
    <row r="416">
      <c r="A416" s="13">
        <f>CHAIN_RAW!A416</f>
        <v/>
      </c>
      <c r="B416" s="14">
        <f>CHAIN_RAW!B416</f>
        <v/>
      </c>
      <c r="C416" s="13">
        <f>CHAIN_RAW!C416</f>
        <v/>
      </c>
      <c r="D416" s="13">
        <f>CHAIN_RAW!D416</f>
        <v/>
      </c>
      <c r="E416" s="13">
        <f>CHAIN_RAW!E416</f>
        <v/>
      </c>
      <c r="F416" s="13">
        <f>IFERROR((E416-D416)/D416,"")</f>
        <v/>
      </c>
      <c r="G416" s="13">
        <f>IFERROR((CHAIN_RAW!K416+CHAIN_RAW!L416)/2,"")</f>
        <v/>
      </c>
      <c r="H416" s="13">
        <f>IFERROR((CHAIN_RAW!R416+CHAIN_RAW!S416)/2,"")</f>
        <v/>
      </c>
      <c r="I416" s="13">
        <f>IFERROR((CHAIN_RAW!L416-CHAIN_RAW!K416)/MAX(1E-9, G416),"")</f>
        <v/>
      </c>
      <c r="J416" s="13">
        <f>IFERROR((CHAIN_RAW!S416-CHAIN_RAW!R416)/MAX(1E-9, H416),"")</f>
        <v/>
      </c>
      <c r="K416" s="13">
        <f>CHAIN_RAW!G416</f>
        <v/>
      </c>
      <c r="L416" s="13">
        <f>CHAIN_RAW!N416</f>
        <v/>
      </c>
      <c r="M416" s="13">
        <f>IFERROR(L416-K416,"")</f>
        <v/>
      </c>
      <c r="N416" s="13">
        <f>CHAIN_RAW!H416</f>
        <v/>
      </c>
      <c r="O416" s="13">
        <f>CHAIN_RAW!O416</f>
        <v/>
      </c>
      <c r="P416" s="13">
        <f>IFERROR(O416/N416,"")</f>
        <v/>
      </c>
      <c r="Q416" s="13">
        <f>CHAIN_RAW!I416</f>
        <v/>
      </c>
      <c r="R416" s="13">
        <f>CHAIN_RAW!P416</f>
        <v/>
      </c>
      <c r="S416" s="13">
        <f>IFERROR(R416/Q416,"")</f>
        <v/>
      </c>
      <c r="T416" s="13">
        <f>IFERROR((ABS(N416-O416)/MAX(1,(N416+O416)))*EXP(-ABS(E416-CONTROL!E5)/MAX(1,CONTROL!B8)),"")</f>
        <v/>
      </c>
      <c r="U416" s="13">
        <f>IFERROR(IF(O416&gt;N416,"SUPPORT (PE OI)","RESIST (CE OI)"),"")</f>
        <v/>
      </c>
      <c r="V416" s="13">
        <f>IFERROR(IF(Q416&gt;0,IF(R416&gt;0,"BOTH_ADD","CE_ADD_PE_REDUCE"),IF(R416&gt;0,"CE_REDUCE_PE_ADD","BOTH_REDUCE")),"")</f>
        <v/>
      </c>
      <c r="W416" s="13">
        <f>IFERROR( (P416-1)*0.5 + (M416)*0.1 - (I416+J416)*0.05 + T416*0.4 ,"")</f>
        <v/>
      </c>
      <c r="X416" s="13">
        <f>IFERROR(IF(ABS(F416)&lt;0.01,"ATM/NEAR",""),"")</f>
        <v/>
      </c>
    </row>
    <row r="417">
      <c r="A417" s="13">
        <f>CHAIN_RAW!A417</f>
        <v/>
      </c>
      <c r="B417" s="14">
        <f>CHAIN_RAW!B417</f>
        <v/>
      </c>
      <c r="C417" s="13">
        <f>CHAIN_RAW!C417</f>
        <v/>
      </c>
      <c r="D417" s="13">
        <f>CHAIN_RAW!D417</f>
        <v/>
      </c>
      <c r="E417" s="13">
        <f>CHAIN_RAW!E417</f>
        <v/>
      </c>
      <c r="F417" s="13">
        <f>IFERROR((E417-D417)/D417,"")</f>
        <v/>
      </c>
      <c r="G417" s="13">
        <f>IFERROR((CHAIN_RAW!K417+CHAIN_RAW!L417)/2,"")</f>
        <v/>
      </c>
      <c r="H417" s="13">
        <f>IFERROR((CHAIN_RAW!R417+CHAIN_RAW!S417)/2,"")</f>
        <v/>
      </c>
      <c r="I417" s="13">
        <f>IFERROR((CHAIN_RAW!L417-CHAIN_RAW!K417)/MAX(1E-9, G417),"")</f>
        <v/>
      </c>
      <c r="J417" s="13">
        <f>IFERROR((CHAIN_RAW!S417-CHAIN_RAW!R417)/MAX(1E-9, H417),"")</f>
        <v/>
      </c>
      <c r="K417" s="13">
        <f>CHAIN_RAW!G417</f>
        <v/>
      </c>
      <c r="L417" s="13">
        <f>CHAIN_RAW!N417</f>
        <v/>
      </c>
      <c r="M417" s="13">
        <f>IFERROR(L417-K417,"")</f>
        <v/>
      </c>
      <c r="N417" s="13">
        <f>CHAIN_RAW!H417</f>
        <v/>
      </c>
      <c r="O417" s="13">
        <f>CHAIN_RAW!O417</f>
        <v/>
      </c>
      <c r="P417" s="13">
        <f>IFERROR(O417/N417,"")</f>
        <v/>
      </c>
      <c r="Q417" s="13">
        <f>CHAIN_RAW!I417</f>
        <v/>
      </c>
      <c r="R417" s="13">
        <f>CHAIN_RAW!P417</f>
        <v/>
      </c>
      <c r="S417" s="13">
        <f>IFERROR(R417/Q417,"")</f>
        <v/>
      </c>
      <c r="T417" s="13">
        <f>IFERROR((ABS(N417-O417)/MAX(1,(N417+O417)))*EXP(-ABS(E417-CONTROL!E5)/MAX(1,CONTROL!B8)),"")</f>
        <v/>
      </c>
      <c r="U417" s="13">
        <f>IFERROR(IF(O417&gt;N417,"SUPPORT (PE OI)","RESIST (CE OI)"),"")</f>
        <v/>
      </c>
      <c r="V417" s="13">
        <f>IFERROR(IF(Q417&gt;0,IF(R417&gt;0,"BOTH_ADD","CE_ADD_PE_REDUCE"),IF(R417&gt;0,"CE_REDUCE_PE_ADD","BOTH_REDUCE")),"")</f>
        <v/>
      </c>
      <c r="W417" s="13">
        <f>IFERROR( (P417-1)*0.5 + (M417)*0.1 - (I417+J417)*0.05 + T417*0.4 ,"")</f>
        <v/>
      </c>
      <c r="X417" s="13">
        <f>IFERROR(IF(ABS(F417)&lt;0.01,"ATM/NEAR",""),"")</f>
        <v/>
      </c>
    </row>
    <row r="418">
      <c r="A418" s="13">
        <f>CHAIN_RAW!A418</f>
        <v/>
      </c>
      <c r="B418" s="14">
        <f>CHAIN_RAW!B418</f>
        <v/>
      </c>
      <c r="C418" s="13">
        <f>CHAIN_RAW!C418</f>
        <v/>
      </c>
      <c r="D418" s="13">
        <f>CHAIN_RAW!D418</f>
        <v/>
      </c>
      <c r="E418" s="13">
        <f>CHAIN_RAW!E418</f>
        <v/>
      </c>
      <c r="F418" s="13">
        <f>IFERROR((E418-D418)/D418,"")</f>
        <v/>
      </c>
      <c r="G418" s="13">
        <f>IFERROR((CHAIN_RAW!K418+CHAIN_RAW!L418)/2,"")</f>
        <v/>
      </c>
      <c r="H418" s="13">
        <f>IFERROR((CHAIN_RAW!R418+CHAIN_RAW!S418)/2,"")</f>
        <v/>
      </c>
      <c r="I418" s="13">
        <f>IFERROR((CHAIN_RAW!L418-CHAIN_RAW!K418)/MAX(1E-9, G418),"")</f>
        <v/>
      </c>
      <c r="J418" s="13">
        <f>IFERROR((CHAIN_RAW!S418-CHAIN_RAW!R418)/MAX(1E-9, H418),"")</f>
        <v/>
      </c>
      <c r="K418" s="13">
        <f>CHAIN_RAW!G418</f>
        <v/>
      </c>
      <c r="L418" s="13">
        <f>CHAIN_RAW!N418</f>
        <v/>
      </c>
      <c r="M418" s="13">
        <f>IFERROR(L418-K418,"")</f>
        <v/>
      </c>
      <c r="N418" s="13">
        <f>CHAIN_RAW!H418</f>
        <v/>
      </c>
      <c r="O418" s="13">
        <f>CHAIN_RAW!O418</f>
        <v/>
      </c>
      <c r="P418" s="13">
        <f>IFERROR(O418/N418,"")</f>
        <v/>
      </c>
      <c r="Q418" s="13">
        <f>CHAIN_RAW!I418</f>
        <v/>
      </c>
      <c r="R418" s="13">
        <f>CHAIN_RAW!P418</f>
        <v/>
      </c>
      <c r="S418" s="13">
        <f>IFERROR(R418/Q418,"")</f>
        <v/>
      </c>
      <c r="T418" s="13">
        <f>IFERROR((ABS(N418-O418)/MAX(1,(N418+O418)))*EXP(-ABS(E418-CONTROL!E5)/MAX(1,CONTROL!B8)),"")</f>
        <v/>
      </c>
      <c r="U418" s="13">
        <f>IFERROR(IF(O418&gt;N418,"SUPPORT (PE OI)","RESIST (CE OI)"),"")</f>
        <v/>
      </c>
      <c r="V418" s="13">
        <f>IFERROR(IF(Q418&gt;0,IF(R418&gt;0,"BOTH_ADD","CE_ADD_PE_REDUCE"),IF(R418&gt;0,"CE_REDUCE_PE_ADD","BOTH_REDUCE")),"")</f>
        <v/>
      </c>
      <c r="W418" s="13">
        <f>IFERROR( (P418-1)*0.5 + (M418)*0.1 - (I418+J418)*0.05 + T418*0.4 ,"")</f>
        <v/>
      </c>
      <c r="X418" s="13">
        <f>IFERROR(IF(ABS(F418)&lt;0.01,"ATM/NEAR",""),"")</f>
        <v/>
      </c>
    </row>
    <row r="419">
      <c r="A419" s="13">
        <f>CHAIN_RAW!A419</f>
        <v/>
      </c>
      <c r="B419" s="14">
        <f>CHAIN_RAW!B419</f>
        <v/>
      </c>
      <c r="C419" s="13">
        <f>CHAIN_RAW!C419</f>
        <v/>
      </c>
      <c r="D419" s="13">
        <f>CHAIN_RAW!D419</f>
        <v/>
      </c>
      <c r="E419" s="13">
        <f>CHAIN_RAW!E419</f>
        <v/>
      </c>
      <c r="F419" s="13">
        <f>IFERROR((E419-D419)/D419,"")</f>
        <v/>
      </c>
      <c r="G419" s="13">
        <f>IFERROR((CHAIN_RAW!K419+CHAIN_RAW!L419)/2,"")</f>
        <v/>
      </c>
      <c r="H419" s="13">
        <f>IFERROR((CHAIN_RAW!R419+CHAIN_RAW!S419)/2,"")</f>
        <v/>
      </c>
      <c r="I419" s="13">
        <f>IFERROR((CHAIN_RAW!L419-CHAIN_RAW!K419)/MAX(1E-9, G419),"")</f>
        <v/>
      </c>
      <c r="J419" s="13">
        <f>IFERROR((CHAIN_RAW!S419-CHAIN_RAW!R419)/MAX(1E-9, H419),"")</f>
        <v/>
      </c>
      <c r="K419" s="13">
        <f>CHAIN_RAW!G419</f>
        <v/>
      </c>
      <c r="L419" s="13">
        <f>CHAIN_RAW!N419</f>
        <v/>
      </c>
      <c r="M419" s="13">
        <f>IFERROR(L419-K419,"")</f>
        <v/>
      </c>
      <c r="N419" s="13">
        <f>CHAIN_RAW!H419</f>
        <v/>
      </c>
      <c r="O419" s="13">
        <f>CHAIN_RAW!O419</f>
        <v/>
      </c>
      <c r="P419" s="13">
        <f>IFERROR(O419/N419,"")</f>
        <v/>
      </c>
      <c r="Q419" s="13">
        <f>CHAIN_RAW!I419</f>
        <v/>
      </c>
      <c r="R419" s="13">
        <f>CHAIN_RAW!P419</f>
        <v/>
      </c>
      <c r="S419" s="13">
        <f>IFERROR(R419/Q419,"")</f>
        <v/>
      </c>
      <c r="T419" s="13">
        <f>IFERROR((ABS(N419-O419)/MAX(1,(N419+O419)))*EXP(-ABS(E419-CONTROL!E5)/MAX(1,CONTROL!B8)),"")</f>
        <v/>
      </c>
      <c r="U419" s="13">
        <f>IFERROR(IF(O419&gt;N419,"SUPPORT (PE OI)","RESIST (CE OI)"),"")</f>
        <v/>
      </c>
      <c r="V419" s="13">
        <f>IFERROR(IF(Q419&gt;0,IF(R419&gt;0,"BOTH_ADD","CE_ADD_PE_REDUCE"),IF(R419&gt;0,"CE_REDUCE_PE_ADD","BOTH_REDUCE")),"")</f>
        <v/>
      </c>
      <c r="W419" s="13">
        <f>IFERROR( (P419-1)*0.5 + (M419)*0.1 - (I419+J419)*0.05 + T419*0.4 ,"")</f>
        <v/>
      </c>
      <c r="X419" s="13">
        <f>IFERROR(IF(ABS(F419)&lt;0.01,"ATM/NEAR",""),"")</f>
        <v/>
      </c>
    </row>
    <row r="420">
      <c r="A420" s="13">
        <f>CHAIN_RAW!A420</f>
        <v/>
      </c>
      <c r="B420" s="14">
        <f>CHAIN_RAW!B420</f>
        <v/>
      </c>
      <c r="C420" s="13">
        <f>CHAIN_RAW!C420</f>
        <v/>
      </c>
      <c r="D420" s="13">
        <f>CHAIN_RAW!D420</f>
        <v/>
      </c>
      <c r="E420" s="13">
        <f>CHAIN_RAW!E420</f>
        <v/>
      </c>
      <c r="F420" s="13">
        <f>IFERROR((E420-D420)/D420,"")</f>
        <v/>
      </c>
      <c r="G420" s="13">
        <f>IFERROR((CHAIN_RAW!K420+CHAIN_RAW!L420)/2,"")</f>
        <v/>
      </c>
      <c r="H420" s="13">
        <f>IFERROR((CHAIN_RAW!R420+CHAIN_RAW!S420)/2,"")</f>
        <v/>
      </c>
      <c r="I420" s="13">
        <f>IFERROR((CHAIN_RAW!L420-CHAIN_RAW!K420)/MAX(1E-9, G420),"")</f>
        <v/>
      </c>
      <c r="J420" s="13">
        <f>IFERROR((CHAIN_RAW!S420-CHAIN_RAW!R420)/MAX(1E-9, H420),"")</f>
        <v/>
      </c>
      <c r="K420" s="13">
        <f>CHAIN_RAW!G420</f>
        <v/>
      </c>
      <c r="L420" s="13">
        <f>CHAIN_RAW!N420</f>
        <v/>
      </c>
      <c r="M420" s="13">
        <f>IFERROR(L420-K420,"")</f>
        <v/>
      </c>
      <c r="N420" s="13">
        <f>CHAIN_RAW!H420</f>
        <v/>
      </c>
      <c r="O420" s="13">
        <f>CHAIN_RAW!O420</f>
        <v/>
      </c>
      <c r="P420" s="13">
        <f>IFERROR(O420/N420,"")</f>
        <v/>
      </c>
      <c r="Q420" s="13">
        <f>CHAIN_RAW!I420</f>
        <v/>
      </c>
      <c r="R420" s="13">
        <f>CHAIN_RAW!P420</f>
        <v/>
      </c>
      <c r="S420" s="13">
        <f>IFERROR(R420/Q420,"")</f>
        <v/>
      </c>
      <c r="T420" s="13">
        <f>IFERROR((ABS(N420-O420)/MAX(1,(N420+O420)))*EXP(-ABS(E420-CONTROL!E5)/MAX(1,CONTROL!B8)),"")</f>
        <v/>
      </c>
      <c r="U420" s="13">
        <f>IFERROR(IF(O420&gt;N420,"SUPPORT (PE OI)","RESIST (CE OI)"),"")</f>
        <v/>
      </c>
      <c r="V420" s="13">
        <f>IFERROR(IF(Q420&gt;0,IF(R420&gt;0,"BOTH_ADD","CE_ADD_PE_REDUCE"),IF(R420&gt;0,"CE_REDUCE_PE_ADD","BOTH_REDUCE")),"")</f>
        <v/>
      </c>
      <c r="W420" s="13">
        <f>IFERROR( (P420-1)*0.5 + (M420)*0.1 - (I420+J420)*0.05 + T420*0.4 ,"")</f>
        <v/>
      </c>
      <c r="X420" s="13">
        <f>IFERROR(IF(ABS(F420)&lt;0.01,"ATM/NEAR",""),"")</f>
        <v/>
      </c>
    </row>
    <row r="421">
      <c r="A421" s="13">
        <f>CHAIN_RAW!A421</f>
        <v/>
      </c>
      <c r="B421" s="14">
        <f>CHAIN_RAW!B421</f>
        <v/>
      </c>
      <c r="C421" s="13">
        <f>CHAIN_RAW!C421</f>
        <v/>
      </c>
      <c r="D421" s="13">
        <f>CHAIN_RAW!D421</f>
        <v/>
      </c>
      <c r="E421" s="13">
        <f>CHAIN_RAW!E421</f>
        <v/>
      </c>
      <c r="F421" s="13">
        <f>IFERROR((E421-D421)/D421,"")</f>
        <v/>
      </c>
      <c r="G421" s="13">
        <f>IFERROR((CHAIN_RAW!K421+CHAIN_RAW!L421)/2,"")</f>
        <v/>
      </c>
      <c r="H421" s="13">
        <f>IFERROR((CHAIN_RAW!R421+CHAIN_RAW!S421)/2,"")</f>
        <v/>
      </c>
      <c r="I421" s="13">
        <f>IFERROR((CHAIN_RAW!L421-CHAIN_RAW!K421)/MAX(1E-9, G421),"")</f>
        <v/>
      </c>
      <c r="J421" s="13">
        <f>IFERROR((CHAIN_RAW!S421-CHAIN_RAW!R421)/MAX(1E-9, H421),"")</f>
        <v/>
      </c>
      <c r="K421" s="13">
        <f>CHAIN_RAW!G421</f>
        <v/>
      </c>
      <c r="L421" s="13">
        <f>CHAIN_RAW!N421</f>
        <v/>
      </c>
      <c r="M421" s="13">
        <f>IFERROR(L421-K421,"")</f>
        <v/>
      </c>
      <c r="N421" s="13">
        <f>CHAIN_RAW!H421</f>
        <v/>
      </c>
      <c r="O421" s="13">
        <f>CHAIN_RAW!O421</f>
        <v/>
      </c>
      <c r="P421" s="13">
        <f>IFERROR(O421/N421,"")</f>
        <v/>
      </c>
      <c r="Q421" s="13">
        <f>CHAIN_RAW!I421</f>
        <v/>
      </c>
      <c r="R421" s="13">
        <f>CHAIN_RAW!P421</f>
        <v/>
      </c>
      <c r="S421" s="13">
        <f>IFERROR(R421/Q421,"")</f>
        <v/>
      </c>
      <c r="T421" s="13">
        <f>IFERROR((ABS(N421-O421)/MAX(1,(N421+O421)))*EXP(-ABS(E421-CONTROL!E5)/MAX(1,CONTROL!B8)),"")</f>
        <v/>
      </c>
      <c r="U421" s="13">
        <f>IFERROR(IF(O421&gt;N421,"SUPPORT (PE OI)","RESIST (CE OI)"),"")</f>
        <v/>
      </c>
      <c r="V421" s="13">
        <f>IFERROR(IF(Q421&gt;0,IF(R421&gt;0,"BOTH_ADD","CE_ADD_PE_REDUCE"),IF(R421&gt;0,"CE_REDUCE_PE_ADD","BOTH_REDUCE")),"")</f>
        <v/>
      </c>
      <c r="W421" s="13">
        <f>IFERROR( (P421-1)*0.5 + (M421)*0.1 - (I421+J421)*0.05 + T421*0.4 ,"")</f>
        <v/>
      </c>
      <c r="X421" s="13">
        <f>IFERROR(IF(ABS(F421)&lt;0.01,"ATM/NEAR",""),"")</f>
        <v/>
      </c>
    </row>
    <row r="422">
      <c r="A422" s="13">
        <f>CHAIN_RAW!A422</f>
        <v/>
      </c>
      <c r="B422" s="14">
        <f>CHAIN_RAW!B422</f>
        <v/>
      </c>
      <c r="C422" s="13">
        <f>CHAIN_RAW!C422</f>
        <v/>
      </c>
      <c r="D422" s="13">
        <f>CHAIN_RAW!D422</f>
        <v/>
      </c>
      <c r="E422" s="13">
        <f>CHAIN_RAW!E422</f>
        <v/>
      </c>
      <c r="F422" s="13">
        <f>IFERROR((E422-D422)/D422,"")</f>
        <v/>
      </c>
      <c r="G422" s="13">
        <f>IFERROR((CHAIN_RAW!K422+CHAIN_RAW!L422)/2,"")</f>
        <v/>
      </c>
      <c r="H422" s="13">
        <f>IFERROR((CHAIN_RAW!R422+CHAIN_RAW!S422)/2,"")</f>
        <v/>
      </c>
      <c r="I422" s="13">
        <f>IFERROR((CHAIN_RAW!L422-CHAIN_RAW!K422)/MAX(1E-9, G422),"")</f>
        <v/>
      </c>
      <c r="J422" s="13">
        <f>IFERROR((CHAIN_RAW!S422-CHAIN_RAW!R422)/MAX(1E-9, H422),"")</f>
        <v/>
      </c>
      <c r="K422" s="13">
        <f>CHAIN_RAW!G422</f>
        <v/>
      </c>
      <c r="L422" s="13">
        <f>CHAIN_RAW!N422</f>
        <v/>
      </c>
      <c r="M422" s="13">
        <f>IFERROR(L422-K422,"")</f>
        <v/>
      </c>
      <c r="N422" s="13">
        <f>CHAIN_RAW!H422</f>
        <v/>
      </c>
      <c r="O422" s="13">
        <f>CHAIN_RAW!O422</f>
        <v/>
      </c>
      <c r="P422" s="13">
        <f>IFERROR(O422/N422,"")</f>
        <v/>
      </c>
      <c r="Q422" s="13">
        <f>CHAIN_RAW!I422</f>
        <v/>
      </c>
      <c r="R422" s="13">
        <f>CHAIN_RAW!P422</f>
        <v/>
      </c>
      <c r="S422" s="13">
        <f>IFERROR(R422/Q422,"")</f>
        <v/>
      </c>
      <c r="T422" s="13">
        <f>IFERROR((ABS(N422-O422)/MAX(1,(N422+O422)))*EXP(-ABS(E422-CONTROL!E5)/MAX(1,CONTROL!B8)),"")</f>
        <v/>
      </c>
      <c r="U422" s="13">
        <f>IFERROR(IF(O422&gt;N422,"SUPPORT (PE OI)","RESIST (CE OI)"),"")</f>
        <v/>
      </c>
      <c r="V422" s="13">
        <f>IFERROR(IF(Q422&gt;0,IF(R422&gt;0,"BOTH_ADD","CE_ADD_PE_REDUCE"),IF(R422&gt;0,"CE_REDUCE_PE_ADD","BOTH_REDUCE")),"")</f>
        <v/>
      </c>
      <c r="W422" s="13">
        <f>IFERROR( (P422-1)*0.5 + (M422)*0.1 - (I422+J422)*0.05 + T422*0.4 ,"")</f>
        <v/>
      </c>
      <c r="X422" s="13">
        <f>IFERROR(IF(ABS(F422)&lt;0.01,"ATM/NEAR",""),"")</f>
        <v/>
      </c>
    </row>
    <row r="423">
      <c r="A423" s="13">
        <f>CHAIN_RAW!A423</f>
        <v/>
      </c>
      <c r="B423" s="14">
        <f>CHAIN_RAW!B423</f>
        <v/>
      </c>
      <c r="C423" s="13">
        <f>CHAIN_RAW!C423</f>
        <v/>
      </c>
      <c r="D423" s="13">
        <f>CHAIN_RAW!D423</f>
        <v/>
      </c>
      <c r="E423" s="13">
        <f>CHAIN_RAW!E423</f>
        <v/>
      </c>
      <c r="F423" s="13">
        <f>IFERROR((E423-D423)/D423,"")</f>
        <v/>
      </c>
      <c r="G423" s="13">
        <f>IFERROR((CHAIN_RAW!K423+CHAIN_RAW!L423)/2,"")</f>
        <v/>
      </c>
      <c r="H423" s="13">
        <f>IFERROR((CHAIN_RAW!R423+CHAIN_RAW!S423)/2,"")</f>
        <v/>
      </c>
      <c r="I423" s="13">
        <f>IFERROR((CHAIN_RAW!L423-CHAIN_RAW!K423)/MAX(1E-9, G423),"")</f>
        <v/>
      </c>
      <c r="J423" s="13">
        <f>IFERROR((CHAIN_RAW!S423-CHAIN_RAW!R423)/MAX(1E-9, H423),"")</f>
        <v/>
      </c>
      <c r="K423" s="13">
        <f>CHAIN_RAW!G423</f>
        <v/>
      </c>
      <c r="L423" s="13">
        <f>CHAIN_RAW!N423</f>
        <v/>
      </c>
      <c r="M423" s="13">
        <f>IFERROR(L423-K423,"")</f>
        <v/>
      </c>
      <c r="N423" s="13">
        <f>CHAIN_RAW!H423</f>
        <v/>
      </c>
      <c r="O423" s="13">
        <f>CHAIN_RAW!O423</f>
        <v/>
      </c>
      <c r="P423" s="13">
        <f>IFERROR(O423/N423,"")</f>
        <v/>
      </c>
      <c r="Q423" s="13">
        <f>CHAIN_RAW!I423</f>
        <v/>
      </c>
      <c r="R423" s="13">
        <f>CHAIN_RAW!P423</f>
        <v/>
      </c>
      <c r="S423" s="13">
        <f>IFERROR(R423/Q423,"")</f>
        <v/>
      </c>
      <c r="T423" s="13">
        <f>IFERROR((ABS(N423-O423)/MAX(1,(N423+O423)))*EXP(-ABS(E423-CONTROL!E5)/MAX(1,CONTROL!B8)),"")</f>
        <v/>
      </c>
      <c r="U423" s="13">
        <f>IFERROR(IF(O423&gt;N423,"SUPPORT (PE OI)","RESIST (CE OI)"),"")</f>
        <v/>
      </c>
      <c r="V423" s="13">
        <f>IFERROR(IF(Q423&gt;0,IF(R423&gt;0,"BOTH_ADD","CE_ADD_PE_REDUCE"),IF(R423&gt;0,"CE_REDUCE_PE_ADD","BOTH_REDUCE")),"")</f>
        <v/>
      </c>
      <c r="W423" s="13">
        <f>IFERROR( (P423-1)*0.5 + (M423)*0.1 - (I423+J423)*0.05 + T423*0.4 ,"")</f>
        <v/>
      </c>
      <c r="X423" s="13">
        <f>IFERROR(IF(ABS(F423)&lt;0.01,"ATM/NEAR",""),"")</f>
        <v/>
      </c>
    </row>
    <row r="424">
      <c r="A424" s="13">
        <f>CHAIN_RAW!A424</f>
        <v/>
      </c>
      <c r="B424" s="14">
        <f>CHAIN_RAW!B424</f>
        <v/>
      </c>
      <c r="C424" s="13">
        <f>CHAIN_RAW!C424</f>
        <v/>
      </c>
      <c r="D424" s="13">
        <f>CHAIN_RAW!D424</f>
        <v/>
      </c>
      <c r="E424" s="13">
        <f>CHAIN_RAW!E424</f>
        <v/>
      </c>
      <c r="F424" s="13">
        <f>IFERROR((E424-D424)/D424,"")</f>
        <v/>
      </c>
      <c r="G424" s="13">
        <f>IFERROR((CHAIN_RAW!K424+CHAIN_RAW!L424)/2,"")</f>
        <v/>
      </c>
      <c r="H424" s="13">
        <f>IFERROR((CHAIN_RAW!R424+CHAIN_RAW!S424)/2,"")</f>
        <v/>
      </c>
      <c r="I424" s="13">
        <f>IFERROR((CHAIN_RAW!L424-CHAIN_RAW!K424)/MAX(1E-9, G424),"")</f>
        <v/>
      </c>
      <c r="J424" s="13">
        <f>IFERROR((CHAIN_RAW!S424-CHAIN_RAW!R424)/MAX(1E-9, H424),"")</f>
        <v/>
      </c>
      <c r="K424" s="13">
        <f>CHAIN_RAW!G424</f>
        <v/>
      </c>
      <c r="L424" s="13">
        <f>CHAIN_RAW!N424</f>
        <v/>
      </c>
      <c r="M424" s="13">
        <f>IFERROR(L424-K424,"")</f>
        <v/>
      </c>
      <c r="N424" s="13">
        <f>CHAIN_RAW!H424</f>
        <v/>
      </c>
      <c r="O424" s="13">
        <f>CHAIN_RAW!O424</f>
        <v/>
      </c>
      <c r="P424" s="13">
        <f>IFERROR(O424/N424,"")</f>
        <v/>
      </c>
      <c r="Q424" s="13">
        <f>CHAIN_RAW!I424</f>
        <v/>
      </c>
      <c r="R424" s="13">
        <f>CHAIN_RAW!P424</f>
        <v/>
      </c>
      <c r="S424" s="13">
        <f>IFERROR(R424/Q424,"")</f>
        <v/>
      </c>
      <c r="T424" s="13">
        <f>IFERROR((ABS(N424-O424)/MAX(1,(N424+O424)))*EXP(-ABS(E424-CONTROL!E5)/MAX(1,CONTROL!B8)),"")</f>
        <v/>
      </c>
      <c r="U424" s="13">
        <f>IFERROR(IF(O424&gt;N424,"SUPPORT (PE OI)","RESIST (CE OI)"),"")</f>
        <v/>
      </c>
      <c r="V424" s="13">
        <f>IFERROR(IF(Q424&gt;0,IF(R424&gt;0,"BOTH_ADD","CE_ADD_PE_REDUCE"),IF(R424&gt;0,"CE_REDUCE_PE_ADD","BOTH_REDUCE")),"")</f>
        <v/>
      </c>
      <c r="W424" s="13">
        <f>IFERROR( (P424-1)*0.5 + (M424)*0.1 - (I424+J424)*0.05 + T424*0.4 ,"")</f>
        <v/>
      </c>
      <c r="X424" s="13">
        <f>IFERROR(IF(ABS(F424)&lt;0.01,"ATM/NEAR",""),"")</f>
        <v/>
      </c>
    </row>
    <row r="425">
      <c r="A425" s="13">
        <f>CHAIN_RAW!A425</f>
        <v/>
      </c>
      <c r="B425" s="14">
        <f>CHAIN_RAW!B425</f>
        <v/>
      </c>
      <c r="C425" s="13">
        <f>CHAIN_RAW!C425</f>
        <v/>
      </c>
      <c r="D425" s="13">
        <f>CHAIN_RAW!D425</f>
        <v/>
      </c>
      <c r="E425" s="13">
        <f>CHAIN_RAW!E425</f>
        <v/>
      </c>
      <c r="F425" s="13">
        <f>IFERROR((E425-D425)/D425,"")</f>
        <v/>
      </c>
      <c r="G425" s="13">
        <f>IFERROR((CHAIN_RAW!K425+CHAIN_RAW!L425)/2,"")</f>
        <v/>
      </c>
      <c r="H425" s="13">
        <f>IFERROR((CHAIN_RAW!R425+CHAIN_RAW!S425)/2,"")</f>
        <v/>
      </c>
      <c r="I425" s="13">
        <f>IFERROR((CHAIN_RAW!L425-CHAIN_RAW!K425)/MAX(1E-9, G425),"")</f>
        <v/>
      </c>
      <c r="J425" s="13">
        <f>IFERROR((CHAIN_RAW!S425-CHAIN_RAW!R425)/MAX(1E-9, H425),"")</f>
        <v/>
      </c>
      <c r="K425" s="13">
        <f>CHAIN_RAW!G425</f>
        <v/>
      </c>
      <c r="L425" s="13">
        <f>CHAIN_RAW!N425</f>
        <v/>
      </c>
      <c r="M425" s="13">
        <f>IFERROR(L425-K425,"")</f>
        <v/>
      </c>
      <c r="N425" s="13">
        <f>CHAIN_RAW!H425</f>
        <v/>
      </c>
      <c r="O425" s="13">
        <f>CHAIN_RAW!O425</f>
        <v/>
      </c>
      <c r="P425" s="13">
        <f>IFERROR(O425/N425,"")</f>
        <v/>
      </c>
      <c r="Q425" s="13">
        <f>CHAIN_RAW!I425</f>
        <v/>
      </c>
      <c r="R425" s="13">
        <f>CHAIN_RAW!P425</f>
        <v/>
      </c>
      <c r="S425" s="13">
        <f>IFERROR(R425/Q425,"")</f>
        <v/>
      </c>
      <c r="T425" s="13">
        <f>IFERROR((ABS(N425-O425)/MAX(1,(N425+O425)))*EXP(-ABS(E425-CONTROL!E5)/MAX(1,CONTROL!B8)),"")</f>
        <v/>
      </c>
      <c r="U425" s="13">
        <f>IFERROR(IF(O425&gt;N425,"SUPPORT (PE OI)","RESIST (CE OI)"),"")</f>
        <v/>
      </c>
      <c r="V425" s="13">
        <f>IFERROR(IF(Q425&gt;0,IF(R425&gt;0,"BOTH_ADD","CE_ADD_PE_REDUCE"),IF(R425&gt;0,"CE_REDUCE_PE_ADD","BOTH_REDUCE")),"")</f>
        <v/>
      </c>
      <c r="W425" s="13">
        <f>IFERROR( (P425-1)*0.5 + (M425)*0.1 - (I425+J425)*0.05 + T425*0.4 ,"")</f>
        <v/>
      </c>
      <c r="X425" s="13">
        <f>IFERROR(IF(ABS(F425)&lt;0.01,"ATM/NEAR",""),"")</f>
        <v/>
      </c>
    </row>
    <row r="426">
      <c r="A426" s="13">
        <f>CHAIN_RAW!A426</f>
        <v/>
      </c>
      <c r="B426" s="14">
        <f>CHAIN_RAW!B426</f>
        <v/>
      </c>
      <c r="C426" s="13">
        <f>CHAIN_RAW!C426</f>
        <v/>
      </c>
      <c r="D426" s="13">
        <f>CHAIN_RAW!D426</f>
        <v/>
      </c>
      <c r="E426" s="13">
        <f>CHAIN_RAW!E426</f>
        <v/>
      </c>
      <c r="F426" s="13">
        <f>IFERROR((E426-D426)/D426,"")</f>
        <v/>
      </c>
      <c r="G426" s="13">
        <f>IFERROR((CHAIN_RAW!K426+CHAIN_RAW!L426)/2,"")</f>
        <v/>
      </c>
      <c r="H426" s="13">
        <f>IFERROR((CHAIN_RAW!R426+CHAIN_RAW!S426)/2,"")</f>
        <v/>
      </c>
      <c r="I426" s="13">
        <f>IFERROR((CHAIN_RAW!L426-CHAIN_RAW!K426)/MAX(1E-9, G426),"")</f>
        <v/>
      </c>
      <c r="J426" s="13">
        <f>IFERROR((CHAIN_RAW!S426-CHAIN_RAW!R426)/MAX(1E-9, H426),"")</f>
        <v/>
      </c>
      <c r="K426" s="13">
        <f>CHAIN_RAW!G426</f>
        <v/>
      </c>
      <c r="L426" s="13">
        <f>CHAIN_RAW!N426</f>
        <v/>
      </c>
      <c r="M426" s="13">
        <f>IFERROR(L426-K426,"")</f>
        <v/>
      </c>
      <c r="N426" s="13">
        <f>CHAIN_RAW!H426</f>
        <v/>
      </c>
      <c r="O426" s="13">
        <f>CHAIN_RAW!O426</f>
        <v/>
      </c>
      <c r="P426" s="13">
        <f>IFERROR(O426/N426,"")</f>
        <v/>
      </c>
      <c r="Q426" s="13">
        <f>CHAIN_RAW!I426</f>
        <v/>
      </c>
      <c r="R426" s="13">
        <f>CHAIN_RAW!P426</f>
        <v/>
      </c>
      <c r="S426" s="13">
        <f>IFERROR(R426/Q426,"")</f>
        <v/>
      </c>
      <c r="T426" s="13">
        <f>IFERROR((ABS(N426-O426)/MAX(1,(N426+O426)))*EXP(-ABS(E426-CONTROL!E5)/MAX(1,CONTROL!B8)),"")</f>
        <v/>
      </c>
      <c r="U426" s="13">
        <f>IFERROR(IF(O426&gt;N426,"SUPPORT (PE OI)","RESIST (CE OI)"),"")</f>
        <v/>
      </c>
      <c r="V426" s="13">
        <f>IFERROR(IF(Q426&gt;0,IF(R426&gt;0,"BOTH_ADD","CE_ADD_PE_REDUCE"),IF(R426&gt;0,"CE_REDUCE_PE_ADD","BOTH_REDUCE")),"")</f>
        <v/>
      </c>
      <c r="W426" s="13">
        <f>IFERROR( (P426-1)*0.5 + (M426)*0.1 - (I426+J426)*0.05 + T426*0.4 ,"")</f>
        <v/>
      </c>
      <c r="X426" s="13">
        <f>IFERROR(IF(ABS(F426)&lt;0.01,"ATM/NEAR",""),"")</f>
        <v/>
      </c>
    </row>
    <row r="427">
      <c r="A427" s="13">
        <f>CHAIN_RAW!A427</f>
        <v/>
      </c>
      <c r="B427" s="14">
        <f>CHAIN_RAW!B427</f>
        <v/>
      </c>
      <c r="C427" s="13">
        <f>CHAIN_RAW!C427</f>
        <v/>
      </c>
      <c r="D427" s="13">
        <f>CHAIN_RAW!D427</f>
        <v/>
      </c>
      <c r="E427" s="13">
        <f>CHAIN_RAW!E427</f>
        <v/>
      </c>
      <c r="F427" s="13">
        <f>IFERROR((E427-D427)/D427,"")</f>
        <v/>
      </c>
      <c r="G427" s="13">
        <f>IFERROR((CHAIN_RAW!K427+CHAIN_RAW!L427)/2,"")</f>
        <v/>
      </c>
      <c r="H427" s="13">
        <f>IFERROR((CHAIN_RAW!R427+CHAIN_RAW!S427)/2,"")</f>
        <v/>
      </c>
      <c r="I427" s="13">
        <f>IFERROR((CHAIN_RAW!L427-CHAIN_RAW!K427)/MAX(1E-9, G427),"")</f>
        <v/>
      </c>
      <c r="J427" s="13">
        <f>IFERROR((CHAIN_RAW!S427-CHAIN_RAW!R427)/MAX(1E-9, H427),"")</f>
        <v/>
      </c>
      <c r="K427" s="13">
        <f>CHAIN_RAW!G427</f>
        <v/>
      </c>
      <c r="L427" s="13">
        <f>CHAIN_RAW!N427</f>
        <v/>
      </c>
      <c r="M427" s="13">
        <f>IFERROR(L427-K427,"")</f>
        <v/>
      </c>
      <c r="N427" s="13">
        <f>CHAIN_RAW!H427</f>
        <v/>
      </c>
      <c r="O427" s="13">
        <f>CHAIN_RAW!O427</f>
        <v/>
      </c>
      <c r="P427" s="13">
        <f>IFERROR(O427/N427,"")</f>
        <v/>
      </c>
      <c r="Q427" s="13">
        <f>CHAIN_RAW!I427</f>
        <v/>
      </c>
      <c r="R427" s="13">
        <f>CHAIN_RAW!P427</f>
        <v/>
      </c>
      <c r="S427" s="13">
        <f>IFERROR(R427/Q427,"")</f>
        <v/>
      </c>
      <c r="T427" s="13">
        <f>IFERROR((ABS(N427-O427)/MAX(1,(N427+O427)))*EXP(-ABS(E427-CONTROL!E5)/MAX(1,CONTROL!B8)),"")</f>
        <v/>
      </c>
      <c r="U427" s="13">
        <f>IFERROR(IF(O427&gt;N427,"SUPPORT (PE OI)","RESIST (CE OI)"),"")</f>
        <v/>
      </c>
      <c r="V427" s="13">
        <f>IFERROR(IF(Q427&gt;0,IF(R427&gt;0,"BOTH_ADD","CE_ADD_PE_REDUCE"),IF(R427&gt;0,"CE_REDUCE_PE_ADD","BOTH_REDUCE")),"")</f>
        <v/>
      </c>
      <c r="W427" s="13">
        <f>IFERROR( (P427-1)*0.5 + (M427)*0.1 - (I427+J427)*0.05 + T427*0.4 ,"")</f>
        <v/>
      </c>
      <c r="X427" s="13">
        <f>IFERROR(IF(ABS(F427)&lt;0.01,"ATM/NEAR",""),"")</f>
        <v/>
      </c>
    </row>
    <row r="428">
      <c r="A428" s="13">
        <f>CHAIN_RAW!A428</f>
        <v/>
      </c>
      <c r="B428" s="14">
        <f>CHAIN_RAW!B428</f>
        <v/>
      </c>
      <c r="C428" s="13">
        <f>CHAIN_RAW!C428</f>
        <v/>
      </c>
      <c r="D428" s="13">
        <f>CHAIN_RAW!D428</f>
        <v/>
      </c>
      <c r="E428" s="13">
        <f>CHAIN_RAW!E428</f>
        <v/>
      </c>
      <c r="F428" s="13">
        <f>IFERROR((E428-D428)/D428,"")</f>
        <v/>
      </c>
      <c r="G428" s="13">
        <f>IFERROR((CHAIN_RAW!K428+CHAIN_RAW!L428)/2,"")</f>
        <v/>
      </c>
      <c r="H428" s="13">
        <f>IFERROR((CHAIN_RAW!R428+CHAIN_RAW!S428)/2,"")</f>
        <v/>
      </c>
      <c r="I428" s="13">
        <f>IFERROR((CHAIN_RAW!L428-CHAIN_RAW!K428)/MAX(1E-9, G428),"")</f>
        <v/>
      </c>
      <c r="J428" s="13">
        <f>IFERROR((CHAIN_RAW!S428-CHAIN_RAW!R428)/MAX(1E-9, H428),"")</f>
        <v/>
      </c>
      <c r="K428" s="13">
        <f>CHAIN_RAW!G428</f>
        <v/>
      </c>
      <c r="L428" s="13">
        <f>CHAIN_RAW!N428</f>
        <v/>
      </c>
      <c r="M428" s="13">
        <f>IFERROR(L428-K428,"")</f>
        <v/>
      </c>
      <c r="N428" s="13">
        <f>CHAIN_RAW!H428</f>
        <v/>
      </c>
      <c r="O428" s="13">
        <f>CHAIN_RAW!O428</f>
        <v/>
      </c>
      <c r="P428" s="13">
        <f>IFERROR(O428/N428,"")</f>
        <v/>
      </c>
      <c r="Q428" s="13">
        <f>CHAIN_RAW!I428</f>
        <v/>
      </c>
      <c r="R428" s="13">
        <f>CHAIN_RAW!P428</f>
        <v/>
      </c>
      <c r="S428" s="13">
        <f>IFERROR(R428/Q428,"")</f>
        <v/>
      </c>
      <c r="T428" s="13">
        <f>IFERROR((ABS(N428-O428)/MAX(1,(N428+O428)))*EXP(-ABS(E428-CONTROL!E5)/MAX(1,CONTROL!B8)),"")</f>
        <v/>
      </c>
      <c r="U428" s="13">
        <f>IFERROR(IF(O428&gt;N428,"SUPPORT (PE OI)","RESIST (CE OI)"),"")</f>
        <v/>
      </c>
      <c r="V428" s="13">
        <f>IFERROR(IF(Q428&gt;0,IF(R428&gt;0,"BOTH_ADD","CE_ADD_PE_REDUCE"),IF(R428&gt;0,"CE_REDUCE_PE_ADD","BOTH_REDUCE")),"")</f>
        <v/>
      </c>
      <c r="W428" s="13">
        <f>IFERROR( (P428-1)*0.5 + (M428)*0.1 - (I428+J428)*0.05 + T428*0.4 ,"")</f>
        <v/>
      </c>
      <c r="X428" s="13">
        <f>IFERROR(IF(ABS(F428)&lt;0.01,"ATM/NEAR",""),"")</f>
        <v/>
      </c>
    </row>
    <row r="429">
      <c r="A429" s="13">
        <f>CHAIN_RAW!A429</f>
        <v/>
      </c>
      <c r="B429" s="14">
        <f>CHAIN_RAW!B429</f>
        <v/>
      </c>
      <c r="C429" s="13">
        <f>CHAIN_RAW!C429</f>
        <v/>
      </c>
      <c r="D429" s="13">
        <f>CHAIN_RAW!D429</f>
        <v/>
      </c>
      <c r="E429" s="13">
        <f>CHAIN_RAW!E429</f>
        <v/>
      </c>
      <c r="F429" s="13">
        <f>IFERROR((E429-D429)/D429,"")</f>
        <v/>
      </c>
      <c r="G429" s="13">
        <f>IFERROR((CHAIN_RAW!K429+CHAIN_RAW!L429)/2,"")</f>
        <v/>
      </c>
      <c r="H429" s="13">
        <f>IFERROR((CHAIN_RAW!R429+CHAIN_RAW!S429)/2,"")</f>
        <v/>
      </c>
      <c r="I429" s="13">
        <f>IFERROR((CHAIN_RAW!L429-CHAIN_RAW!K429)/MAX(1E-9, G429),"")</f>
        <v/>
      </c>
      <c r="J429" s="13">
        <f>IFERROR((CHAIN_RAW!S429-CHAIN_RAW!R429)/MAX(1E-9, H429),"")</f>
        <v/>
      </c>
      <c r="K429" s="13">
        <f>CHAIN_RAW!G429</f>
        <v/>
      </c>
      <c r="L429" s="13">
        <f>CHAIN_RAW!N429</f>
        <v/>
      </c>
      <c r="M429" s="13">
        <f>IFERROR(L429-K429,"")</f>
        <v/>
      </c>
      <c r="N429" s="13">
        <f>CHAIN_RAW!H429</f>
        <v/>
      </c>
      <c r="O429" s="13">
        <f>CHAIN_RAW!O429</f>
        <v/>
      </c>
      <c r="P429" s="13">
        <f>IFERROR(O429/N429,"")</f>
        <v/>
      </c>
      <c r="Q429" s="13">
        <f>CHAIN_RAW!I429</f>
        <v/>
      </c>
      <c r="R429" s="13">
        <f>CHAIN_RAW!P429</f>
        <v/>
      </c>
      <c r="S429" s="13">
        <f>IFERROR(R429/Q429,"")</f>
        <v/>
      </c>
      <c r="T429" s="13">
        <f>IFERROR((ABS(N429-O429)/MAX(1,(N429+O429)))*EXP(-ABS(E429-CONTROL!E5)/MAX(1,CONTROL!B8)),"")</f>
        <v/>
      </c>
      <c r="U429" s="13">
        <f>IFERROR(IF(O429&gt;N429,"SUPPORT (PE OI)","RESIST (CE OI)"),"")</f>
        <v/>
      </c>
      <c r="V429" s="13">
        <f>IFERROR(IF(Q429&gt;0,IF(R429&gt;0,"BOTH_ADD","CE_ADD_PE_REDUCE"),IF(R429&gt;0,"CE_REDUCE_PE_ADD","BOTH_REDUCE")),"")</f>
        <v/>
      </c>
      <c r="W429" s="13">
        <f>IFERROR( (P429-1)*0.5 + (M429)*0.1 - (I429+J429)*0.05 + T429*0.4 ,"")</f>
        <v/>
      </c>
      <c r="X429" s="13">
        <f>IFERROR(IF(ABS(F429)&lt;0.01,"ATM/NEAR",""),"")</f>
        <v/>
      </c>
    </row>
    <row r="430">
      <c r="A430" s="13">
        <f>CHAIN_RAW!A430</f>
        <v/>
      </c>
      <c r="B430" s="14">
        <f>CHAIN_RAW!B430</f>
        <v/>
      </c>
      <c r="C430" s="13">
        <f>CHAIN_RAW!C430</f>
        <v/>
      </c>
      <c r="D430" s="13">
        <f>CHAIN_RAW!D430</f>
        <v/>
      </c>
      <c r="E430" s="13">
        <f>CHAIN_RAW!E430</f>
        <v/>
      </c>
      <c r="F430" s="13">
        <f>IFERROR((E430-D430)/D430,"")</f>
        <v/>
      </c>
      <c r="G430" s="13">
        <f>IFERROR((CHAIN_RAW!K430+CHAIN_RAW!L430)/2,"")</f>
        <v/>
      </c>
      <c r="H430" s="13">
        <f>IFERROR((CHAIN_RAW!R430+CHAIN_RAW!S430)/2,"")</f>
        <v/>
      </c>
      <c r="I430" s="13">
        <f>IFERROR((CHAIN_RAW!L430-CHAIN_RAW!K430)/MAX(1E-9, G430),"")</f>
        <v/>
      </c>
      <c r="J430" s="13">
        <f>IFERROR((CHAIN_RAW!S430-CHAIN_RAW!R430)/MAX(1E-9, H430),"")</f>
        <v/>
      </c>
      <c r="K430" s="13">
        <f>CHAIN_RAW!G430</f>
        <v/>
      </c>
      <c r="L430" s="13">
        <f>CHAIN_RAW!N430</f>
        <v/>
      </c>
      <c r="M430" s="13">
        <f>IFERROR(L430-K430,"")</f>
        <v/>
      </c>
      <c r="N430" s="13">
        <f>CHAIN_RAW!H430</f>
        <v/>
      </c>
      <c r="O430" s="13">
        <f>CHAIN_RAW!O430</f>
        <v/>
      </c>
      <c r="P430" s="13">
        <f>IFERROR(O430/N430,"")</f>
        <v/>
      </c>
      <c r="Q430" s="13">
        <f>CHAIN_RAW!I430</f>
        <v/>
      </c>
      <c r="R430" s="13">
        <f>CHAIN_RAW!P430</f>
        <v/>
      </c>
      <c r="S430" s="13">
        <f>IFERROR(R430/Q430,"")</f>
        <v/>
      </c>
      <c r="T430" s="13">
        <f>IFERROR((ABS(N430-O430)/MAX(1,(N430+O430)))*EXP(-ABS(E430-CONTROL!E5)/MAX(1,CONTROL!B8)),"")</f>
        <v/>
      </c>
      <c r="U430" s="13">
        <f>IFERROR(IF(O430&gt;N430,"SUPPORT (PE OI)","RESIST (CE OI)"),"")</f>
        <v/>
      </c>
      <c r="V430" s="13">
        <f>IFERROR(IF(Q430&gt;0,IF(R430&gt;0,"BOTH_ADD","CE_ADD_PE_REDUCE"),IF(R430&gt;0,"CE_REDUCE_PE_ADD","BOTH_REDUCE")),"")</f>
        <v/>
      </c>
      <c r="W430" s="13">
        <f>IFERROR( (P430-1)*0.5 + (M430)*0.1 - (I430+J430)*0.05 + T430*0.4 ,"")</f>
        <v/>
      </c>
      <c r="X430" s="13">
        <f>IFERROR(IF(ABS(F430)&lt;0.01,"ATM/NEAR",""),"")</f>
        <v/>
      </c>
    </row>
    <row r="431">
      <c r="A431" s="13">
        <f>CHAIN_RAW!A431</f>
        <v/>
      </c>
      <c r="B431" s="14">
        <f>CHAIN_RAW!B431</f>
        <v/>
      </c>
      <c r="C431" s="13">
        <f>CHAIN_RAW!C431</f>
        <v/>
      </c>
      <c r="D431" s="13">
        <f>CHAIN_RAW!D431</f>
        <v/>
      </c>
      <c r="E431" s="13">
        <f>CHAIN_RAW!E431</f>
        <v/>
      </c>
      <c r="F431" s="13">
        <f>IFERROR((E431-D431)/D431,"")</f>
        <v/>
      </c>
      <c r="G431" s="13">
        <f>IFERROR((CHAIN_RAW!K431+CHAIN_RAW!L431)/2,"")</f>
        <v/>
      </c>
      <c r="H431" s="13">
        <f>IFERROR((CHAIN_RAW!R431+CHAIN_RAW!S431)/2,"")</f>
        <v/>
      </c>
      <c r="I431" s="13">
        <f>IFERROR((CHAIN_RAW!L431-CHAIN_RAW!K431)/MAX(1E-9, G431),"")</f>
        <v/>
      </c>
      <c r="J431" s="13">
        <f>IFERROR((CHAIN_RAW!S431-CHAIN_RAW!R431)/MAX(1E-9, H431),"")</f>
        <v/>
      </c>
      <c r="K431" s="13">
        <f>CHAIN_RAW!G431</f>
        <v/>
      </c>
      <c r="L431" s="13">
        <f>CHAIN_RAW!N431</f>
        <v/>
      </c>
      <c r="M431" s="13">
        <f>IFERROR(L431-K431,"")</f>
        <v/>
      </c>
      <c r="N431" s="13">
        <f>CHAIN_RAW!H431</f>
        <v/>
      </c>
      <c r="O431" s="13">
        <f>CHAIN_RAW!O431</f>
        <v/>
      </c>
      <c r="P431" s="13">
        <f>IFERROR(O431/N431,"")</f>
        <v/>
      </c>
      <c r="Q431" s="13">
        <f>CHAIN_RAW!I431</f>
        <v/>
      </c>
      <c r="R431" s="13">
        <f>CHAIN_RAW!P431</f>
        <v/>
      </c>
      <c r="S431" s="13">
        <f>IFERROR(R431/Q431,"")</f>
        <v/>
      </c>
      <c r="T431" s="13">
        <f>IFERROR((ABS(N431-O431)/MAX(1,(N431+O431)))*EXP(-ABS(E431-CONTROL!E5)/MAX(1,CONTROL!B8)),"")</f>
        <v/>
      </c>
      <c r="U431" s="13">
        <f>IFERROR(IF(O431&gt;N431,"SUPPORT (PE OI)","RESIST (CE OI)"),"")</f>
        <v/>
      </c>
      <c r="V431" s="13">
        <f>IFERROR(IF(Q431&gt;0,IF(R431&gt;0,"BOTH_ADD","CE_ADD_PE_REDUCE"),IF(R431&gt;0,"CE_REDUCE_PE_ADD","BOTH_REDUCE")),"")</f>
        <v/>
      </c>
      <c r="W431" s="13">
        <f>IFERROR( (P431-1)*0.5 + (M431)*0.1 - (I431+J431)*0.05 + T431*0.4 ,"")</f>
        <v/>
      </c>
      <c r="X431" s="13">
        <f>IFERROR(IF(ABS(F431)&lt;0.01,"ATM/NEAR",""),"")</f>
        <v/>
      </c>
    </row>
    <row r="432">
      <c r="A432" s="13">
        <f>CHAIN_RAW!A432</f>
        <v/>
      </c>
      <c r="B432" s="14">
        <f>CHAIN_RAW!B432</f>
        <v/>
      </c>
      <c r="C432" s="13">
        <f>CHAIN_RAW!C432</f>
        <v/>
      </c>
      <c r="D432" s="13">
        <f>CHAIN_RAW!D432</f>
        <v/>
      </c>
      <c r="E432" s="13">
        <f>CHAIN_RAW!E432</f>
        <v/>
      </c>
      <c r="F432" s="13">
        <f>IFERROR((E432-D432)/D432,"")</f>
        <v/>
      </c>
      <c r="G432" s="13">
        <f>IFERROR((CHAIN_RAW!K432+CHAIN_RAW!L432)/2,"")</f>
        <v/>
      </c>
      <c r="H432" s="13">
        <f>IFERROR((CHAIN_RAW!R432+CHAIN_RAW!S432)/2,"")</f>
        <v/>
      </c>
      <c r="I432" s="13">
        <f>IFERROR((CHAIN_RAW!L432-CHAIN_RAW!K432)/MAX(1E-9, G432),"")</f>
        <v/>
      </c>
      <c r="J432" s="13">
        <f>IFERROR((CHAIN_RAW!S432-CHAIN_RAW!R432)/MAX(1E-9, H432),"")</f>
        <v/>
      </c>
      <c r="K432" s="13">
        <f>CHAIN_RAW!G432</f>
        <v/>
      </c>
      <c r="L432" s="13">
        <f>CHAIN_RAW!N432</f>
        <v/>
      </c>
      <c r="M432" s="13">
        <f>IFERROR(L432-K432,"")</f>
        <v/>
      </c>
      <c r="N432" s="13">
        <f>CHAIN_RAW!H432</f>
        <v/>
      </c>
      <c r="O432" s="13">
        <f>CHAIN_RAW!O432</f>
        <v/>
      </c>
      <c r="P432" s="13">
        <f>IFERROR(O432/N432,"")</f>
        <v/>
      </c>
      <c r="Q432" s="13">
        <f>CHAIN_RAW!I432</f>
        <v/>
      </c>
      <c r="R432" s="13">
        <f>CHAIN_RAW!P432</f>
        <v/>
      </c>
      <c r="S432" s="13">
        <f>IFERROR(R432/Q432,"")</f>
        <v/>
      </c>
      <c r="T432" s="13">
        <f>IFERROR((ABS(N432-O432)/MAX(1,(N432+O432)))*EXP(-ABS(E432-CONTROL!E5)/MAX(1,CONTROL!B8)),"")</f>
        <v/>
      </c>
      <c r="U432" s="13">
        <f>IFERROR(IF(O432&gt;N432,"SUPPORT (PE OI)","RESIST (CE OI)"),"")</f>
        <v/>
      </c>
      <c r="V432" s="13">
        <f>IFERROR(IF(Q432&gt;0,IF(R432&gt;0,"BOTH_ADD","CE_ADD_PE_REDUCE"),IF(R432&gt;0,"CE_REDUCE_PE_ADD","BOTH_REDUCE")),"")</f>
        <v/>
      </c>
      <c r="W432" s="13">
        <f>IFERROR( (P432-1)*0.5 + (M432)*0.1 - (I432+J432)*0.05 + T432*0.4 ,"")</f>
        <v/>
      </c>
      <c r="X432" s="13">
        <f>IFERROR(IF(ABS(F432)&lt;0.01,"ATM/NEAR",""),"")</f>
        <v/>
      </c>
    </row>
    <row r="433">
      <c r="A433" s="13">
        <f>CHAIN_RAW!A433</f>
        <v/>
      </c>
      <c r="B433" s="14">
        <f>CHAIN_RAW!B433</f>
        <v/>
      </c>
      <c r="C433" s="13">
        <f>CHAIN_RAW!C433</f>
        <v/>
      </c>
      <c r="D433" s="13">
        <f>CHAIN_RAW!D433</f>
        <v/>
      </c>
      <c r="E433" s="13">
        <f>CHAIN_RAW!E433</f>
        <v/>
      </c>
      <c r="F433" s="13">
        <f>IFERROR((E433-D433)/D433,"")</f>
        <v/>
      </c>
      <c r="G433" s="13">
        <f>IFERROR((CHAIN_RAW!K433+CHAIN_RAW!L433)/2,"")</f>
        <v/>
      </c>
      <c r="H433" s="13">
        <f>IFERROR((CHAIN_RAW!R433+CHAIN_RAW!S433)/2,"")</f>
        <v/>
      </c>
      <c r="I433" s="13">
        <f>IFERROR((CHAIN_RAW!L433-CHAIN_RAW!K433)/MAX(1E-9, G433),"")</f>
        <v/>
      </c>
      <c r="J433" s="13">
        <f>IFERROR((CHAIN_RAW!S433-CHAIN_RAW!R433)/MAX(1E-9, H433),"")</f>
        <v/>
      </c>
      <c r="K433" s="13">
        <f>CHAIN_RAW!G433</f>
        <v/>
      </c>
      <c r="L433" s="13">
        <f>CHAIN_RAW!N433</f>
        <v/>
      </c>
      <c r="M433" s="13">
        <f>IFERROR(L433-K433,"")</f>
        <v/>
      </c>
      <c r="N433" s="13">
        <f>CHAIN_RAW!H433</f>
        <v/>
      </c>
      <c r="O433" s="13">
        <f>CHAIN_RAW!O433</f>
        <v/>
      </c>
      <c r="P433" s="13">
        <f>IFERROR(O433/N433,"")</f>
        <v/>
      </c>
      <c r="Q433" s="13">
        <f>CHAIN_RAW!I433</f>
        <v/>
      </c>
      <c r="R433" s="13">
        <f>CHAIN_RAW!P433</f>
        <v/>
      </c>
      <c r="S433" s="13">
        <f>IFERROR(R433/Q433,"")</f>
        <v/>
      </c>
      <c r="T433" s="13">
        <f>IFERROR((ABS(N433-O433)/MAX(1,(N433+O433)))*EXP(-ABS(E433-CONTROL!E5)/MAX(1,CONTROL!B8)),"")</f>
        <v/>
      </c>
      <c r="U433" s="13">
        <f>IFERROR(IF(O433&gt;N433,"SUPPORT (PE OI)","RESIST (CE OI)"),"")</f>
        <v/>
      </c>
      <c r="V433" s="13">
        <f>IFERROR(IF(Q433&gt;0,IF(R433&gt;0,"BOTH_ADD","CE_ADD_PE_REDUCE"),IF(R433&gt;0,"CE_REDUCE_PE_ADD","BOTH_REDUCE")),"")</f>
        <v/>
      </c>
      <c r="W433" s="13">
        <f>IFERROR( (P433-1)*0.5 + (M433)*0.1 - (I433+J433)*0.05 + T433*0.4 ,"")</f>
        <v/>
      </c>
      <c r="X433" s="13">
        <f>IFERROR(IF(ABS(F433)&lt;0.01,"ATM/NEAR",""),"")</f>
        <v/>
      </c>
    </row>
    <row r="434">
      <c r="A434" s="13">
        <f>CHAIN_RAW!A434</f>
        <v/>
      </c>
      <c r="B434" s="14">
        <f>CHAIN_RAW!B434</f>
        <v/>
      </c>
      <c r="C434" s="13">
        <f>CHAIN_RAW!C434</f>
        <v/>
      </c>
      <c r="D434" s="13">
        <f>CHAIN_RAW!D434</f>
        <v/>
      </c>
      <c r="E434" s="13">
        <f>CHAIN_RAW!E434</f>
        <v/>
      </c>
      <c r="F434" s="13">
        <f>IFERROR((E434-D434)/D434,"")</f>
        <v/>
      </c>
      <c r="G434" s="13">
        <f>IFERROR((CHAIN_RAW!K434+CHAIN_RAW!L434)/2,"")</f>
        <v/>
      </c>
      <c r="H434" s="13">
        <f>IFERROR((CHAIN_RAW!R434+CHAIN_RAW!S434)/2,"")</f>
        <v/>
      </c>
      <c r="I434" s="13">
        <f>IFERROR((CHAIN_RAW!L434-CHAIN_RAW!K434)/MAX(1E-9, G434),"")</f>
        <v/>
      </c>
      <c r="J434" s="13">
        <f>IFERROR((CHAIN_RAW!S434-CHAIN_RAW!R434)/MAX(1E-9, H434),"")</f>
        <v/>
      </c>
      <c r="K434" s="13">
        <f>CHAIN_RAW!G434</f>
        <v/>
      </c>
      <c r="L434" s="13">
        <f>CHAIN_RAW!N434</f>
        <v/>
      </c>
      <c r="M434" s="13">
        <f>IFERROR(L434-K434,"")</f>
        <v/>
      </c>
      <c r="N434" s="13">
        <f>CHAIN_RAW!H434</f>
        <v/>
      </c>
      <c r="O434" s="13">
        <f>CHAIN_RAW!O434</f>
        <v/>
      </c>
      <c r="P434" s="13">
        <f>IFERROR(O434/N434,"")</f>
        <v/>
      </c>
      <c r="Q434" s="13">
        <f>CHAIN_RAW!I434</f>
        <v/>
      </c>
      <c r="R434" s="13">
        <f>CHAIN_RAW!P434</f>
        <v/>
      </c>
      <c r="S434" s="13">
        <f>IFERROR(R434/Q434,"")</f>
        <v/>
      </c>
      <c r="T434" s="13">
        <f>IFERROR((ABS(N434-O434)/MAX(1,(N434+O434)))*EXP(-ABS(E434-CONTROL!E5)/MAX(1,CONTROL!B8)),"")</f>
        <v/>
      </c>
      <c r="U434" s="13">
        <f>IFERROR(IF(O434&gt;N434,"SUPPORT (PE OI)","RESIST (CE OI)"),"")</f>
        <v/>
      </c>
      <c r="V434" s="13">
        <f>IFERROR(IF(Q434&gt;0,IF(R434&gt;0,"BOTH_ADD","CE_ADD_PE_REDUCE"),IF(R434&gt;0,"CE_REDUCE_PE_ADD","BOTH_REDUCE")),"")</f>
        <v/>
      </c>
      <c r="W434" s="13">
        <f>IFERROR( (P434-1)*0.5 + (M434)*0.1 - (I434+J434)*0.05 + T434*0.4 ,"")</f>
        <v/>
      </c>
      <c r="X434" s="13">
        <f>IFERROR(IF(ABS(F434)&lt;0.01,"ATM/NEAR",""),"")</f>
        <v/>
      </c>
    </row>
    <row r="435">
      <c r="A435" s="13">
        <f>CHAIN_RAW!A435</f>
        <v/>
      </c>
      <c r="B435" s="14">
        <f>CHAIN_RAW!B435</f>
        <v/>
      </c>
      <c r="C435" s="13">
        <f>CHAIN_RAW!C435</f>
        <v/>
      </c>
      <c r="D435" s="13">
        <f>CHAIN_RAW!D435</f>
        <v/>
      </c>
      <c r="E435" s="13">
        <f>CHAIN_RAW!E435</f>
        <v/>
      </c>
      <c r="F435" s="13">
        <f>IFERROR((E435-D435)/D435,"")</f>
        <v/>
      </c>
      <c r="G435" s="13">
        <f>IFERROR((CHAIN_RAW!K435+CHAIN_RAW!L435)/2,"")</f>
        <v/>
      </c>
      <c r="H435" s="13">
        <f>IFERROR((CHAIN_RAW!R435+CHAIN_RAW!S435)/2,"")</f>
        <v/>
      </c>
      <c r="I435" s="13">
        <f>IFERROR((CHAIN_RAW!L435-CHAIN_RAW!K435)/MAX(1E-9, G435),"")</f>
        <v/>
      </c>
      <c r="J435" s="13">
        <f>IFERROR((CHAIN_RAW!S435-CHAIN_RAW!R435)/MAX(1E-9, H435),"")</f>
        <v/>
      </c>
      <c r="K435" s="13">
        <f>CHAIN_RAW!G435</f>
        <v/>
      </c>
      <c r="L435" s="13">
        <f>CHAIN_RAW!N435</f>
        <v/>
      </c>
      <c r="M435" s="13">
        <f>IFERROR(L435-K435,"")</f>
        <v/>
      </c>
      <c r="N435" s="13">
        <f>CHAIN_RAW!H435</f>
        <v/>
      </c>
      <c r="O435" s="13">
        <f>CHAIN_RAW!O435</f>
        <v/>
      </c>
      <c r="P435" s="13">
        <f>IFERROR(O435/N435,"")</f>
        <v/>
      </c>
      <c r="Q435" s="13">
        <f>CHAIN_RAW!I435</f>
        <v/>
      </c>
      <c r="R435" s="13">
        <f>CHAIN_RAW!P435</f>
        <v/>
      </c>
      <c r="S435" s="13">
        <f>IFERROR(R435/Q435,"")</f>
        <v/>
      </c>
      <c r="T435" s="13">
        <f>IFERROR((ABS(N435-O435)/MAX(1,(N435+O435)))*EXP(-ABS(E435-CONTROL!E5)/MAX(1,CONTROL!B8)),"")</f>
        <v/>
      </c>
      <c r="U435" s="13">
        <f>IFERROR(IF(O435&gt;N435,"SUPPORT (PE OI)","RESIST (CE OI)"),"")</f>
        <v/>
      </c>
      <c r="V435" s="13">
        <f>IFERROR(IF(Q435&gt;0,IF(R435&gt;0,"BOTH_ADD","CE_ADD_PE_REDUCE"),IF(R435&gt;0,"CE_REDUCE_PE_ADD","BOTH_REDUCE")),"")</f>
        <v/>
      </c>
      <c r="W435" s="13">
        <f>IFERROR( (P435-1)*0.5 + (M435)*0.1 - (I435+J435)*0.05 + T435*0.4 ,"")</f>
        <v/>
      </c>
      <c r="X435" s="13">
        <f>IFERROR(IF(ABS(F435)&lt;0.01,"ATM/NEAR",""),"")</f>
        <v/>
      </c>
    </row>
    <row r="436">
      <c r="A436" s="13">
        <f>CHAIN_RAW!A436</f>
        <v/>
      </c>
      <c r="B436" s="14">
        <f>CHAIN_RAW!B436</f>
        <v/>
      </c>
      <c r="C436" s="13">
        <f>CHAIN_RAW!C436</f>
        <v/>
      </c>
      <c r="D436" s="13">
        <f>CHAIN_RAW!D436</f>
        <v/>
      </c>
      <c r="E436" s="13">
        <f>CHAIN_RAW!E436</f>
        <v/>
      </c>
      <c r="F436" s="13">
        <f>IFERROR((E436-D436)/D436,"")</f>
        <v/>
      </c>
      <c r="G436" s="13">
        <f>IFERROR((CHAIN_RAW!K436+CHAIN_RAW!L436)/2,"")</f>
        <v/>
      </c>
      <c r="H436" s="13">
        <f>IFERROR((CHAIN_RAW!R436+CHAIN_RAW!S436)/2,"")</f>
        <v/>
      </c>
      <c r="I436" s="13">
        <f>IFERROR((CHAIN_RAW!L436-CHAIN_RAW!K436)/MAX(1E-9, G436),"")</f>
        <v/>
      </c>
      <c r="J436" s="13">
        <f>IFERROR((CHAIN_RAW!S436-CHAIN_RAW!R436)/MAX(1E-9, H436),"")</f>
        <v/>
      </c>
      <c r="K436" s="13">
        <f>CHAIN_RAW!G436</f>
        <v/>
      </c>
      <c r="L436" s="13">
        <f>CHAIN_RAW!N436</f>
        <v/>
      </c>
      <c r="M436" s="13">
        <f>IFERROR(L436-K436,"")</f>
        <v/>
      </c>
      <c r="N436" s="13">
        <f>CHAIN_RAW!H436</f>
        <v/>
      </c>
      <c r="O436" s="13">
        <f>CHAIN_RAW!O436</f>
        <v/>
      </c>
      <c r="P436" s="13">
        <f>IFERROR(O436/N436,"")</f>
        <v/>
      </c>
      <c r="Q436" s="13">
        <f>CHAIN_RAW!I436</f>
        <v/>
      </c>
      <c r="R436" s="13">
        <f>CHAIN_RAW!P436</f>
        <v/>
      </c>
      <c r="S436" s="13">
        <f>IFERROR(R436/Q436,"")</f>
        <v/>
      </c>
      <c r="T436" s="13">
        <f>IFERROR((ABS(N436-O436)/MAX(1,(N436+O436)))*EXP(-ABS(E436-CONTROL!E5)/MAX(1,CONTROL!B8)),"")</f>
        <v/>
      </c>
      <c r="U436" s="13">
        <f>IFERROR(IF(O436&gt;N436,"SUPPORT (PE OI)","RESIST (CE OI)"),"")</f>
        <v/>
      </c>
      <c r="V436" s="13">
        <f>IFERROR(IF(Q436&gt;0,IF(R436&gt;0,"BOTH_ADD","CE_ADD_PE_REDUCE"),IF(R436&gt;0,"CE_REDUCE_PE_ADD","BOTH_REDUCE")),"")</f>
        <v/>
      </c>
      <c r="W436" s="13">
        <f>IFERROR( (P436-1)*0.5 + (M436)*0.1 - (I436+J436)*0.05 + T436*0.4 ,"")</f>
        <v/>
      </c>
      <c r="X436" s="13">
        <f>IFERROR(IF(ABS(F436)&lt;0.01,"ATM/NEAR",""),"")</f>
        <v/>
      </c>
    </row>
    <row r="437">
      <c r="A437" s="13">
        <f>CHAIN_RAW!A437</f>
        <v/>
      </c>
      <c r="B437" s="14">
        <f>CHAIN_RAW!B437</f>
        <v/>
      </c>
      <c r="C437" s="13">
        <f>CHAIN_RAW!C437</f>
        <v/>
      </c>
      <c r="D437" s="13">
        <f>CHAIN_RAW!D437</f>
        <v/>
      </c>
      <c r="E437" s="13">
        <f>CHAIN_RAW!E437</f>
        <v/>
      </c>
      <c r="F437" s="13">
        <f>IFERROR((E437-D437)/D437,"")</f>
        <v/>
      </c>
      <c r="G437" s="13">
        <f>IFERROR((CHAIN_RAW!K437+CHAIN_RAW!L437)/2,"")</f>
        <v/>
      </c>
      <c r="H437" s="13">
        <f>IFERROR((CHAIN_RAW!R437+CHAIN_RAW!S437)/2,"")</f>
        <v/>
      </c>
      <c r="I437" s="13">
        <f>IFERROR((CHAIN_RAW!L437-CHAIN_RAW!K437)/MAX(1E-9, G437),"")</f>
        <v/>
      </c>
      <c r="J437" s="13">
        <f>IFERROR((CHAIN_RAW!S437-CHAIN_RAW!R437)/MAX(1E-9, H437),"")</f>
        <v/>
      </c>
      <c r="K437" s="13">
        <f>CHAIN_RAW!G437</f>
        <v/>
      </c>
      <c r="L437" s="13">
        <f>CHAIN_RAW!N437</f>
        <v/>
      </c>
      <c r="M437" s="13">
        <f>IFERROR(L437-K437,"")</f>
        <v/>
      </c>
      <c r="N437" s="13">
        <f>CHAIN_RAW!H437</f>
        <v/>
      </c>
      <c r="O437" s="13">
        <f>CHAIN_RAW!O437</f>
        <v/>
      </c>
      <c r="P437" s="13">
        <f>IFERROR(O437/N437,"")</f>
        <v/>
      </c>
      <c r="Q437" s="13">
        <f>CHAIN_RAW!I437</f>
        <v/>
      </c>
      <c r="R437" s="13">
        <f>CHAIN_RAW!P437</f>
        <v/>
      </c>
      <c r="S437" s="13">
        <f>IFERROR(R437/Q437,"")</f>
        <v/>
      </c>
      <c r="T437" s="13">
        <f>IFERROR((ABS(N437-O437)/MAX(1,(N437+O437)))*EXP(-ABS(E437-CONTROL!E5)/MAX(1,CONTROL!B8)),"")</f>
        <v/>
      </c>
      <c r="U437" s="13">
        <f>IFERROR(IF(O437&gt;N437,"SUPPORT (PE OI)","RESIST (CE OI)"),"")</f>
        <v/>
      </c>
      <c r="V437" s="13">
        <f>IFERROR(IF(Q437&gt;0,IF(R437&gt;0,"BOTH_ADD","CE_ADD_PE_REDUCE"),IF(R437&gt;0,"CE_REDUCE_PE_ADD","BOTH_REDUCE")),"")</f>
        <v/>
      </c>
      <c r="W437" s="13">
        <f>IFERROR( (P437-1)*0.5 + (M437)*0.1 - (I437+J437)*0.05 + T437*0.4 ,"")</f>
        <v/>
      </c>
      <c r="X437" s="13">
        <f>IFERROR(IF(ABS(F437)&lt;0.01,"ATM/NEAR",""),"")</f>
        <v/>
      </c>
    </row>
    <row r="438">
      <c r="A438" s="13">
        <f>CHAIN_RAW!A438</f>
        <v/>
      </c>
      <c r="B438" s="14">
        <f>CHAIN_RAW!B438</f>
        <v/>
      </c>
      <c r="C438" s="13">
        <f>CHAIN_RAW!C438</f>
        <v/>
      </c>
      <c r="D438" s="13">
        <f>CHAIN_RAW!D438</f>
        <v/>
      </c>
      <c r="E438" s="13">
        <f>CHAIN_RAW!E438</f>
        <v/>
      </c>
      <c r="F438" s="13">
        <f>IFERROR((E438-D438)/D438,"")</f>
        <v/>
      </c>
      <c r="G438" s="13">
        <f>IFERROR((CHAIN_RAW!K438+CHAIN_RAW!L438)/2,"")</f>
        <v/>
      </c>
      <c r="H438" s="13">
        <f>IFERROR((CHAIN_RAW!R438+CHAIN_RAW!S438)/2,"")</f>
        <v/>
      </c>
      <c r="I438" s="13">
        <f>IFERROR((CHAIN_RAW!L438-CHAIN_RAW!K438)/MAX(1E-9, G438),"")</f>
        <v/>
      </c>
      <c r="J438" s="13">
        <f>IFERROR((CHAIN_RAW!S438-CHAIN_RAW!R438)/MAX(1E-9, H438),"")</f>
        <v/>
      </c>
      <c r="K438" s="13">
        <f>CHAIN_RAW!G438</f>
        <v/>
      </c>
      <c r="L438" s="13">
        <f>CHAIN_RAW!N438</f>
        <v/>
      </c>
      <c r="M438" s="13">
        <f>IFERROR(L438-K438,"")</f>
        <v/>
      </c>
      <c r="N438" s="13">
        <f>CHAIN_RAW!H438</f>
        <v/>
      </c>
      <c r="O438" s="13">
        <f>CHAIN_RAW!O438</f>
        <v/>
      </c>
      <c r="P438" s="13">
        <f>IFERROR(O438/N438,"")</f>
        <v/>
      </c>
      <c r="Q438" s="13">
        <f>CHAIN_RAW!I438</f>
        <v/>
      </c>
      <c r="R438" s="13">
        <f>CHAIN_RAW!P438</f>
        <v/>
      </c>
      <c r="S438" s="13">
        <f>IFERROR(R438/Q438,"")</f>
        <v/>
      </c>
      <c r="T438" s="13">
        <f>IFERROR((ABS(N438-O438)/MAX(1,(N438+O438)))*EXP(-ABS(E438-CONTROL!E5)/MAX(1,CONTROL!B8)),"")</f>
        <v/>
      </c>
      <c r="U438" s="13">
        <f>IFERROR(IF(O438&gt;N438,"SUPPORT (PE OI)","RESIST (CE OI)"),"")</f>
        <v/>
      </c>
      <c r="V438" s="13">
        <f>IFERROR(IF(Q438&gt;0,IF(R438&gt;0,"BOTH_ADD","CE_ADD_PE_REDUCE"),IF(R438&gt;0,"CE_REDUCE_PE_ADD","BOTH_REDUCE")),"")</f>
        <v/>
      </c>
      <c r="W438" s="13">
        <f>IFERROR( (P438-1)*0.5 + (M438)*0.1 - (I438+J438)*0.05 + T438*0.4 ,"")</f>
        <v/>
      </c>
      <c r="X438" s="13">
        <f>IFERROR(IF(ABS(F438)&lt;0.01,"ATM/NEAR",""),"")</f>
        <v/>
      </c>
    </row>
    <row r="439">
      <c r="A439" s="13">
        <f>CHAIN_RAW!A439</f>
        <v/>
      </c>
      <c r="B439" s="14">
        <f>CHAIN_RAW!B439</f>
        <v/>
      </c>
      <c r="C439" s="13">
        <f>CHAIN_RAW!C439</f>
        <v/>
      </c>
      <c r="D439" s="13">
        <f>CHAIN_RAW!D439</f>
        <v/>
      </c>
      <c r="E439" s="13">
        <f>CHAIN_RAW!E439</f>
        <v/>
      </c>
      <c r="F439" s="13">
        <f>IFERROR((E439-D439)/D439,"")</f>
        <v/>
      </c>
      <c r="G439" s="13">
        <f>IFERROR((CHAIN_RAW!K439+CHAIN_RAW!L439)/2,"")</f>
        <v/>
      </c>
      <c r="H439" s="13">
        <f>IFERROR((CHAIN_RAW!R439+CHAIN_RAW!S439)/2,"")</f>
        <v/>
      </c>
      <c r="I439" s="13">
        <f>IFERROR((CHAIN_RAW!L439-CHAIN_RAW!K439)/MAX(1E-9, G439),"")</f>
        <v/>
      </c>
      <c r="J439" s="13">
        <f>IFERROR((CHAIN_RAW!S439-CHAIN_RAW!R439)/MAX(1E-9, H439),"")</f>
        <v/>
      </c>
      <c r="K439" s="13">
        <f>CHAIN_RAW!G439</f>
        <v/>
      </c>
      <c r="L439" s="13">
        <f>CHAIN_RAW!N439</f>
        <v/>
      </c>
      <c r="M439" s="13">
        <f>IFERROR(L439-K439,"")</f>
        <v/>
      </c>
      <c r="N439" s="13">
        <f>CHAIN_RAW!H439</f>
        <v/>
      </c>
      <c r="O439" s="13">
        <f>CHAIN_RAW!O439</f>
        <v/>
      </c>
      <c r="P439" s="13">
        <f>IFERROR(O439/N439,"")</f>
        <v/>
      </c>
      <c r="Q439" s="13">
        <f>CHAIN_RAW!I439</f>
        <v/>
      </c>
      <c r="R439" s="13">
        <f>CHAIN_RAW!P439</f>
        <v/>
      </c>
      <c r="S439" s="13">
        <f>IFERROR(R439/Q439,"")</f>
        <v/>
      </c>
      <c r="T439" s="13">
        <f>IFERROR((ABS(N439-O439)/MAX(1,(N439+O439)))*EXP(-ABS(E439-CONTROL!E5)/MAX(1,CONTROL!B8)),"")</f>
        <v/>
      </c>
      <c r="U439" s="13">
        <f>IFERROR(IF(O439&gt;N439,"SUPPORT (PE OI)","RESIST (CE OI)"),"")</f>
        <v/>
      </c>
      <c r="V439" s="13">
        <f>IFERROR(IF(Q439&gt;0,IF(R439&gt;0,"BOTH_ADD","CE_ADD_PE_REDUCE"),IF(R439&gt;0,"CE_REDUCE_PE_ADD","BOTH_REDUCE")),"")</f>
        <v/>
      </c>
      <c r="W439" s="13">
        <f>IFERROR( (P439-1)*0.5 + (M439)*0.1 - (I439+J439)*0.05 + T439*0.4 ,"")</f>
        <v/>
      </c>
      <c r="X439" s="13">
        <f>IFERROR(IF(ABS(F439)&lt;0.01,"ATM/NEAR",""),"")</f>
        <v/>
      </c>
    </row>
    <row r="440">
      <c r="A440" s="13">
        <f>CHAIN_RAW!A440</f>
        <v/>
      </c>
      <c r="B440" s="14">
        <f>CHAIN_RAW!B440</f>
        <v/>
      </c>
      <c r="C440" s="13">
        <f>CHAIN_RAW!C440</f>
        <v/>
      </c>
      <c r="D440" s="13">
        <f>CHAIN_RAW!D440</f>
        <v/>
      </c>
      <c r="E440" s="13">
        <f>CHAIN_RAW!E440</f>
        <v/>
      </c>
      <c r="F440" s="13">
        <f>IFERROR((E440-D440)/D440,"")</f>
        <v/>
      </c>
      <c r="G440" s="13">
        <f>IFERROR((CHAIN_RAW!K440+CHAIN_RAW!L440)/2,"")</f>
        <v/>
      </c>
      <c r="H440" s="13">
        <f>IFERROR((CHAIN_RAW!R440+CHAIN_RAW!S440)/2,"")</f>
        <v/>
      </c>
      <c r="I440" s="13">
        <f>IFERROR((CHAIN_RAW!L440-CHAIN_RAW!K440)/MAX(1E-9, G440),"")</f>
        <v/>
      </c>
      <c r="J440" s="13">
        <f>IFERROR((CHAIN_RAW!S440-CHAIN_RAW!R440)/MAX(1E-9, H440),"")</f>
        <v/>
      </c>
      <c r="K440" s="13">
        <f>CHAIN_RAW!G440</f>
        <v/>
      </c>
      <c r="L440" s="13">
        <f>CHAIN_RAW!N440</f>
        <v/>
      </c>
      <c r="M440" s="13">
        <f>IFERROR(L440-K440,"")</f>
        <v/>
      </c>
      <c r="N440" s="13">
        <f>CHAIN_RAW!H440</f>
        <v/>
      </c>
      <c r="O440" s="13">
        <f>CHAIN_RAW!O440</f>
        <v/>
      </c>
      <c r="P440" s="13">
        <f>IFERROR(O440/N440,"")</f>
        <v/>
      </c>
      <c r="Q440" s="13">
        <f>CHAIN_RAW!I440</f>
        <v/>
      </c>
      <c r="R440" s="13">
        <f>CHAIN_RAW!P440</f>
        <v/>
      </c>
      <c r="S440" s="13">
        <f>IFERROR(R440/Q440,"")</f>
        <v/>
      </c>
      <c r="T440" s="13">
        <f>IFERROR((ABS(N440-O440)/MAX(1,(N440+O440)))*EXP(-ABS(E440-CONTROL!E5)/MAX(1,CONTROL!B8)),"")</f>
        <v/>
      </c>
      <c r="U440" s="13">
        <f>IFERROR(IF(O440&gt;N440,"SUPPORT (PE OI)","RESIST (CE OI)"),"")</f>
        <v/>
      </c>
      <c r="V440" s="13">
        <f>IFERROR(IF(Q440&gt;0,IF(R440&gt;0,"BOTH_ADD","CE_ADD_PE_REDUCE"),IF(R440&gt;0,"CE_REDUCE_PE_ADD","BOTH_REDUCE")),"")</f>
        <v/>
      </c>
      <c r="W440" s="13">
        <f>IFERROR( (P440-1)*0.5 + (M440)*0.1 - (I440+J440)*0.05 + T440*0.4 ,"")</f>
        <v/>
      </c>
      <c r="X440" s="13">
        <f>IFERROR(IF(ABS(F440)&lt;0.01,"ATM/NEAR",""),"")</f>
        <v/>
      </c>
    </row>
    <row r="441">
      <c r="A441" s="13">
        <f>CHAIN_RAW!A441</f>
        <v/>
      </c>
      <c r="B441" s="14">
        <f>CHAIN_RAW!B441</f>
        <v/>
      </c>
      <c r="C441" s="13">
        <f>CHAIN_RAW!C441</f>
        <v/>
      </c>
      <c r="D441" s="13">
        <f>CHAIN_RAW!D441</f>
        <v/>
      </c>
      <c r="E441" s="13">
        <f>CHAIN_RAW!E441</f>
        <v/>
      </c>
      <c r="F441" s="13">
        <f>IFERROR((E441-D441)/D441,"")</f>
        <v/>
      </c>
      <c r="G441" s="13">
        <f>IFERROR((CHAIN_RAW!K441+CHAIN_RAW!L441)/2,"")</f>
        <v/>
      </c>
      <c r="H441" s="13">
        <f>IFERROR((CHAIN_RAW!R441+CHAIN_RAW!S441)/2,"")</f>
        <v/>
      </c>
      <c r="I441" s="13">
        <f>IFERROR((CHAIN_RAW!L441-CHAIN_RAW!K441)/MAX(1E-9, G441),"")</f>
        <v/>
      </c>
      <c r="J441" s="13">
        <f>IFERROR((CHAIN_RAW!S441-CHAIN_RAW!R441)/MAX(1E-9, H441),"")</f>
        <v/>
      </c>
      <c r="K441" s="13">
        <f>CHAIN_RAW!G441</f>
        <v/>
      </c>
      <c r="L441" s="13">
        <f>CHAIN_RAW!N441</f>
        <v/>
      </c>
      <c r="M441" s="13">
        <f>IFERROR(L441-K441,"")</f>
        <v/>
      </c>
      <c r="N441" s="13">
        <f>CHAIN_RAW!H441</f>
        <v/>
      </c>
      <c r="O441" s="13">
        <f>CHAIN_RAW!O441</f>
        <v/>
      </c>
      <c r="P441" s="13">
        <f>IFERROR(O441/N441,"")</f>
        <v/>
      </c>
      <c r="Q441" s="13">
        <f>CHAIN_RAW!I441</f>
        <v/>
      </c>
      <c r="R441" s="13">
        <f>CHAIN_RAW!P441</f>
        <v/>
      </c>
      <c r="S441" s="13">
        <f>IFERROR(R441/Q441,"")</f>
        <v/>
      </c>
      <c r="T441" s="13">
        <f>IFERROR((ABS(N441-O441)/MAX(1,(N441+O441)))*EXP(-ABS(E441-CONTROL!E5)/MAX(1,CONTROL!B8)),"")</f>
        <v/>
      </c>
      <c r="U441" s="13">
        <f>IFERROR(IF(O441&gt;N441,"SUPPORT (PE OI)","RESIST (CE OI)"),"")</f>
        <v/>
      </c>
      <c r="V441" s="13">
        <f>IFERROR(IF(Q441&gt;0,IF(R441&gt;0,"BOTH_ADD","CE_ADD_PE_REDUCE"),IF(R441&gt;0,"CE_REDUCE_PE_ADD","BOTH_REDUCE")),"")</f>
        <v/>
      </c>
      <c r="W441" s="13">
        <f>IFERROR( (P441-1)*0.5 + (M441)*0.1 - (I441+J441)*0.05 + T441*0.4 ,"")</f>
        <v/>
      </c>
      <c r="X441" s="13">
        <f>IFERROR(IF(ABS(F441)&lt;0.01,"ATM/NEAR",""),"")</f>
        <v/>
      </c>
    </row>
    <row r="442">
      <c r="A442" s="13">
        <f>CHAIN_RAW!A442</f>
        <v/>
      </c>
      <c r="B442" s="14">
        <f>CHAIN_RAW!B442</f>
        <v/>
      </c>
      <c r="C442" s="13">
        <f>CHAIN_RAW!C442</f>
        <v/>
      </c>
      <c r="D442" s="13">
        <f>CHAIN_RAW!D442</f>
        <v/>
      </c>
      <c r="E442" s="13">
        <f>CHAIN_RAW!E442</f>
        <v/>
      </c>
      <c r="F442" s="13">
        <f>IFERROR((E442-D442)/D442,"")</f>
        <v/>
      </c>
      <c r="G442" s="13">
        <f>IFERROR((CHAIN_RAW!K442+CHAIN_RAW!L442)/2,"")</f>
        <v/>
      </c>
      <c r="H442" s="13">
        <f>IFERROR((CHAIN_RAW!R442+CHAIN_RAW!S442)/2,"")</f>
        <v/>
      </c>
      <c r="I442" s="13">
        <f>IFERROR((CHAIN_RAW!L442-CHAIN_RAW!K442)/MAX(1E-9, G442),"")</f>
        <v/>
      </c>
      <c r="J442" s="13">
        <f>IFERROR((CHAIN_RAW!S442-CHAIN_RAW!R442)/MAX(1E-9, H442),"")</f>
        <v/>
      </c>
      <c r="K442" s="13">
        <f>CHAIN_RAW!G442</f>
        <v/>
      </c>
      <c r="L442" s="13">
        <f>CHAIN_RAW!N442</f>
        <v/>
      </c>
      <c r="M442" s="13">
        <f>IFERROR(L442-K442,"")</f>
        <v/>
      </c>
      <c r="N442" s="13">
        <f>CHAIN_RAW!H442</f>
        <v/>
      </c>
      <c r="O442" s="13">
        <f>CHAIN_RAW!O442</f>
        <v/>
      </c>
      <c r="P442" s="13">
        <f>IFERROR(O442/N442,"")</f>
        <v/>
      </c>
      <c r="Q442" s="13">
        <f>CHAIN_RAW!I442</f>
        <v/>
      </c>
      <c r="R442" s="13">
        <f>CHAIN_RAW!P442</f>
        <v/>
      </c>
      <c r="S442" s="13">
        <f>IFERROR(R442/Q442,"")</f>
        <v/>
      </c>
      <c r="T442" s="13">
        <f>IFERROR((ABS(N442-O442)/MAX(1,(N442+O442)))*EXP(-ABS(E442-CONTROL!E5)/MAX(1,CONTROL!B8)),"")</f>
        <v/>
      </c>
      <c r="U442" s="13">
        <f>IFERROR(IF(O442&gt;N442,"SUPPORT (PE OI)","RESIST (CE OI)"),"")</f>
        <v/>
      </c>
      <c r="V442" s="13">
        <f>IFERROR(IF(Q442&gt;0,IF(R442&gt;0,"BOTH_ADD","CE_ADD_PE_REDUCE"),IF(R442&gt;0,"CE_REDUCE_PE_ADD","BOTH_REDUCE")),"")</f>
        <v/>
      </c>
      <c r="W442" s="13">
        <f>IFERROR( (P442-1)*0.5 + (M442)*0.1 - (I442+J442)*0.05 + T442*0.4 ,"")</f>
        <v/>
      </c>
      <c r="X442" s="13">
        <f>IFERROR(IF(ABS(F442)&lt;0.01,"ATM/NEAR",""),"")</f>
        <v/>
      </c>
    </row>
    <row r="443">
      <c r="A443" s="13">
        <f>CHAIN_RAW!A443</f>
        <v/>
      </c>
      <c r="B443" s="14">
        <f>CHAIN_RAW!B443</f>
        <v/>
      </c>
      <c r="C443" s="13">
        <f>CHAIN_RAW!C443</f>
        <v/>
      </c>
      <c r="D443" s="13">
        <f>CHAIN_RAW!D443</f>
        <v/>
      </c>
      <c r="E443" s="13">
        <f>CHAIN_RAW!E443</f>
        <v/>
      </c>
      <c r="F443" s="13">
        <f>IFERROR((E443-D443)/D443,"")</f>
        <v/>
      </c>
      <c r="G443" s="13">
        <f>IFERROR((CHAIN_RAW!K443+CHAIN_RAW!L443)/2,"")</f>
        <v/>
      </c>
      <c r="H443" s="13">
        <f>IFERROR((CHAIN_RAW!R443+CHAIN_RAW!S443)/2,"")</f>
        <v/>
      </c>
      <c r="I443" s="13">
        <f>IFERROR((CHAIN_RAW!L443-CHAIN_RAW!K443)/MAX(1E-9, G443),"")</f>
        <v/>
      </c>
      <c r="J443" s="13">
        <f>IFERROR((CHAIN_RAW!S443-CHAIN_RAW!R443)/MAX(1E-9, H443),"")</f>
        <v/>
      </c>
      <c r="K443" s="13">
        <f>CHAIN_RAW!G443</f>
        <v/>
      </c>
      <c r="L443" s="13">
        <f>CHAIN_RAW!N443</f>
        <v/>
      </c>
      <c r="M443" s="13">
        <f>IFERROR(L443-K443,"")</f>
        <v/>
      </c>
      <c r="N443" s="13">
        <f>CHAIN_RAW!H443</f>
        <v/>
      </c>
      <c r="O443" s="13">
        <f>CHAIN_RAW!O443</f>
        <v/>
      </c>
      <c r="P443" s="13">
        <f>IFERROR(O443/N443,"")</f>
        <v/>
      </c>
      <c r="Q443" s="13">
        <f>CHAIN_RAW!I443</f>
        <v/>
      </c>
      <c r="R443" s="13">
        <f>CHAIN_RAW!P443</f>
        <v/>
      </c>
      <c r="S443" s="13">
        <f>IFERROR(R443/Q443,"")</f>
        <v/>
      </c>
      <c r="T443" s="13">
        <f>IFERROR((ABS(N443-O443)/MAX(1,(N443+O443)))*EXP(-ABS(E443-CONTROL!E5)/MAX(1,CONTROL!B8)),"")</f>
        <v/>
      </c>
      <c r="U443" s="13">
        <f>IFERROR(IF(O443&gt;N443,"SUPPORT (PE OI)","RESIST (CE OI)"),"")</f>
        <v/>
      </c>
      <c r="V443" s="13">
        <f>IFERROR(IF(Q443&gt;0,IF(R443&gt;0,"BOTH_ADD","CE_ADD_PE_REDUCE"),IF(R443&gt;0,"CE_REDUCE_PE_ADD","BOTH_REDUCE")),"")</f>
        <v/>
      </c>
      <c r="W443" s="13">
        <f>IFERROR( (P443-1)*0.5 + (M443)*0.1 - (I443+J443)*0.05 + T443*0.4 ,"")</f>
        <v/>
      </c>
      <c r="X443" s="13">
        <f>IFERROR(IF(ABS(F443)&lt;0.01,"ATM/NEAR",""),"")</f>
        <v/>
      </c>
    </row>
    <row r="444">
      <c r="A444" s="13">
        <f>CHAIN_RAW!A444</f>
        <v/>
      </c>
      <c r="B444" s="14">
        <f>CHAIN_RAW!B444</f>
        <v/>
      </c>
      <c r="C444" s="13">
        <f>CHAIN_RAW!C444</f>
        <v/>
      </c>
      <c r="D444" s="13">
        <f>CHAIN_RAW!D444</f>
        <v/>
      </c>
      <c r="E444" s="13">
        <f>CHAIN_RAW!E444</f>
        <v/>
      </c>
      <c r="F444" s="13">
        <f>IFERROR((E444-D444)/D444,"")</f>
        <v/>
      </c>
      <c r="G444" s="13">
        <f>IFERROR((CHAIN_RAW!K444+CHAIN_RAW!L444)/2,"")</f>
        <v/>
      </c>
      <c r="H444" s="13">
        <f>IFERROR((CHAIN_RAW!R444+CHAIN_RAW!S444)/2,"")</f>
        <v/>
      </c>
      <c r="I444" s="13">
        <f>IFERROR((CHAIN_RAW!L444-CHAIN_RAW!K444)/MAX(1E-9, G444),"")</f>
        <v/>
      </c>
      <c r="J444" s="13">
        <f>IFERROR((CHAIN_RAW!S444-CHAIN_RAW!R444)/MAX(1E-9, H444),"")</f>
        <v/>
      </c>
      <c r="K444" s="13">
        <f>CHAIN_RAW!G444</f>
        <v/>
      </c>
      <c r="L444" s="13">
        <f>CHAIN_RAW!N444</f>
        <v/>
      </c>
      <c r="M444" s="13">
        <f>IFERROR(L444-K444,"")</f>
        <v/>
      </c>
      <c r="N444" s="13">
        <f>CHAIN_RAW!H444</f>
        <v/>
      </c>
      <c r="O444" s="13">
        <f>CHAIN_RAW!O444</f>
        <v/>
      </c>
      <c r="P444" s="13">
        <f>IFERROR(O444/N444,"")</f>
        <v/>
      </c>
      <c r="Q444" s="13">
        <f>CHAIN_RAW!I444</f>
        <v/>
      </c>
      <c r="R444" s="13">
        <f>CHAIN_RAW!P444</f>
        <v/>
      </c>
      <c r="S444" s="13">
        <f>IFERROR(R444/Q444,"")</f>
        <v/>
      </c>
      <c r="T444" s="13">
        <f>IFERROR((ABS(N444-O444)/MAX(1,(N444+O444)))*EXP(-ABS(E444-CONTROL!E5)/MAX(1,CONTROL!B8)),"")</f>
        <v/>
      </c>
      <c r="U444" s="13">
        <f>IFERROR(IF(O444&gt;N444,"SUPPORT (PE OI)","RESIST (CE OI)"),"")</f>
        <v/>
      </c>
      <c r="V444" s="13">
        <f>IFERROR(IF(Q444&gt;0,IF(R444&gt;0,"BOTH_ADD","CE_ADD_PE_REDUCE"),IF(R444&gt;0,"CE_REDUCE_PE_ADD","BOTH_REDUCE")),"")</f>
        <v/>
      </c>
      <c r="W444" s="13">
        <f>IFERROR( (P444-1)*0.5 + (M444)*0.1 - (I444+J444)*0.05 + T444*0.4 ,"")</f>
        <v/>
      </c>
      <c r="X444" s="13">
        <f>IFERROR(IF(ABS(F444)&lt;0.01,"ATM/NEAR",""),"")</f>
        <v/>
      </c>
    </row>
    <row r="445">
      <c r="A445" s="13">
        <f>CHAIN_RAW!A445</f>
        <v/>
      </c>
      <c r="B445" s="14">
        <f>CHAIN_RAW!B445</f>
        <v/>
      </c>
      <c r="C445" s="13">
        <f>CHAIN_RAW!C445</f>
        <v/>
      </c>
      <c r="D445" s="13">
        <f>CHAIN_RAW!D445</f>
        <v/>
      </c>
      <c r="E445" s="13">
        <f>CHAIN_RAW!E445</f>
        <v/>
      </c>
      <c r="F445" s="13">
        <f>IFERROR((E445-D445)/D445,"")</f>
        <v/>
      </c>
      <c r="G445" s="13">
        <f>IFERROR((CHAIN_RAW!K445+CHAIN_RAW!L445)/2,"")</f>
        <v/>
      </c>
      <c r="H445" s="13">
        <f>IFERROR((CHAIN_RAW!R445+CHAIN_RAW!S445)/2,"")</f>
        <v/>
      </c>
      <c r="I445" s="13">
        <f>IFERROR((CHAIN_RAW!L445-CHAIN_RAW!K445)/MAX(1E-9, G445),"")</f>
        <v/>
      </c>
      <c r="J445" s="13">
        <f>IFERROR((CHAIN_RAW!S445-CHAIN_RAW!R445)/MAX(1E-9, H445),"")</f>
        <v/>
      </c>
      <c r="K445" s="13">
        <f>CHAIN_RAW!G445</f>
        <v/>
      </c>
      <c r="L445" s="13">
        <f>CHAIN_RAW!N445</f>
        <v/>
      </c>
      <c r="M445" s="13">
        <f>IFERROR(L445-K445,"")</f>
        <v/>
      </c>
      <c r="N445" s="13">
        <f>CHAIN_RAW!H445</f>
        <v/>
      </c>
      <c r="O445" s="13">
        <f>CHAIN_RAW!O445</f>
        <v/>
      </c>
      <c r="P445" s="13">
        <f>IFERROR(O445/N445,"")</f>
        <v/>
      </c>
      <c r="Q445" s="13">
        <f>CHAIN_RAW!I445</f>
        <v/>
      </c>
      <c r="R445" s="13">
        <f>CHAIN_RAW!P445</f>
        <v/>
      </c>
      <c r="S445" s="13">
        <f>IFERROR(R445/Q445,"")</f>
        <v/>
      </c>
      <c r="T445" s="13">
        <f>IFERROR((ABS(N445-O445)/MAX(1,(N445+O445)))*EXP(-ABS(E445-CONTROL!E5)/MAX(1,CONTROL!B8)),"")</f>
        <v/>
      </c>
      <c r="U445" s="13">
        <f>IFERROR(IF(O445&gt;N445,"SUPPORT (PE OI)","RESIST (CE OI)"),"")</f>
        <v/>
      </c>
      <c r="V445" s="13">
        <f>IFERROR(IF(Q445&gt;0,IF(R445&gt;0,"BOTH_ADD","CE_ADD_PE_REDUCE"),IF(R445&gt;0,"CE_REDUCE_PE_ADD","BOTH_REDUCE")),"")</f>
        <v/>
      </c>
      <c r="W445" s="13">
        <f>IFERROR( (P445-1)*0.5 + (M445)*0.1 - (I445+J445)*0.05 + T445*0.4 ,"")</f>
        <v/>
      </c>
      <c r="X445" s="13">
        <f>IFERROR(IF(ABS(F445)&lt;0.01,"ATM/NEAR",""),"")</f>
        <v/>
      </c>
    </row>
    <row r="446">
      <c r="A446" s="13">
        <f>CHAIN_RAW!A446</f>
        <v/>
      </c>
      <c r="B446" s="14">
        <f>CHAIN_RAW!B446</f>
        <v/>
      </c>
      <c r="C446" s="13">
        <f>CHAIN_RAW!C446</f>
        <v/>
      </c>
      <c r="D446" s="13">
        <f>CHAIN_RAW!D446</f>
        <v/>
      </c>
      <c r="E446" s="13">
        <f>CHAIN_RAW!E446</f>
        <v/>
      </c>
      <c r="F446" s="13">
        <f>IFERROR((E446-D446)/D446,"")</f>
        <v/>
      </c>
      <c r="G446" s="13">
        <f>IFERROR((CHAIN_RAW!K446+CHAIN_RAW!L446)/2,"")</f>
        <v/>
      </c>
      <c r="H446" s="13">
        <f>IFERROR((CHAIN_RAW!R446+CHAIN_RAW!S446)/2,"")</f>
        <v/>
      </c>
      <c r="I446" s="13">
        <f>IFERROR((CHAIN_RAW!L446-CHAIN_RAW!K446)/MAX(1E-9, G446),"")</f>
        <v/>
      </c>
      <c r="J446" s="13">
        <f>IFERROR((CHAIN_RAW!S446-CHAIN_RAW!R446)/MAX(1E-9, H446),"")</f>
        <v/>
      </c>
      <c r="K446" s="13">
        <f>CHAIN_RAW!G446</f>
        <v/>
      </c>
      <c r="L446" s="13">
        <f>CHAIN_RAW!N446</f>
        <v/>
      </c>
      <c r="M446" s="13">
        <f>IFERROR(L446-K446,"")</f>
        <v/>
      </c>
      <c r="N446" s="13">
        <f>CHAIN_RAW!H446</f>
        <v/>
      </c>
      <c r="O446" s="13">
        <f>CHAIN_RAW!O446</f>
        <v/>
      </c>
      <c r="P446" s="13">
        <f>IFERROR(O446/N446,"")</f>
        <v/>
      </c>
      <c r="Q446" s="13">
        <f>CHAIN_RAW!I446</f>
        <v/>
      </c>
      <c r="R446" s="13">
        <f>CHAIN_RAW!P446</f>
        <v/>
      </c>
      <c r="S446" s="13">
        <f>IFERROR(R446/Q446,"")</f>
        <v/>
      </c>
      <c r="T446" s="13">
        <f>IFERROR((ABS(N446-O446)/MAX(1,(N446+O446)))*EXP(-ABS(E446-CONTROL!E5)/MAX(1,CONTROL!B8)),"")</f>
        <v/>
      </c>
      <c r="U446" s="13">
        <f>IFERROR(IF(O446&gt;N446,"SUPPORT (PE OI)","RESIST (CE OI)"),"")</f>
        <v/>
      </c>
      <c r="V446" s="13">
        <f>IFERROR(IF(Q446&gt;0,IF(R446&gt;0,"BOTH_ADD","CE_ADD_PE_REDUCE"),IF(R446&gt;0,"CE_REDUCE_PE_ADD","BOTH_REDUCE")),"")</f>
        <v/>
      </c>
      <c r="W446" s="13">
        <f>IFERROR( (P446-1)*0.5 + (M446)*0.1 - (I446+J446)*0.05 + T446*0.4 ,"")</f>
        <v/>
      </c>
      <c r="X446" s="13">
        <f>IFERROR(IF(ABS(F446)&lt;0.01,"ATM/NEAR",""),"")</f>
        <v/>
      </c>
    </row>
    <row r="447">
      <c r="A447" s="13">
        <f>CHAIN_RAW!A447</f>
        <v/>
      </c>
      <c r="B447" s="14">
        <f>CHAIN_RAW!B447</f>
        <v/>
      </c>
      <c r="C447" s="13">
        <f>CHAIN_RAW!C447</f>
        <v/>
      </c>
      <c r="D447" s="13">
        <f>CHAIN_RAW!D447</f>
        <v/>
      </c>
      <c r="E447" s="13">
        <f>CHAIN_RAW!E447</f>
        <v/>
      </c>
      <c r="F447" s="13">
        <f>IFERROR((E447-D447)/D447,"")</f>
        <v/>
      </c>
      <c r="G447" s="13">
        <f>IFERROR((CHAIN_RAW!K447+CHAIN_RAW!L447)/2,"")</f>
        <v/>
      </c>
      <c r="H447" s="13">
        <f>IFERROR((CHAIN_RAW!R447+CHAIN_RAW!S447)/2,"")</f>
        <v/>
      </c>
      <c r="I447" s="13">
        <f>IFERROR((CHAIN_RAW!L447-CHAIN_RAW!K447)/MAX(1E-9, G447),"")</f>
        <v/>
      </c>
      <c r="J447" s="13">
        <f>IFERROR((CHAIN_RAW!S447-CHAIN_RAW!R447)/MAX(1E-9, H447),"")</f>
        <v/>
      </c>
      <c r="K447" s="13">
        <f>CHAIN_RAW!G447</f>
        <v/>
      </c>
      <c r="L447" s="13">
        <f>CHAIN_RAW!N447</f>
        <v/>
      </c>
      <c r="M447" s="13">
        <f>IFERROR(L447-K447,"")</f>
        <v/>
      </c>
      <c r="N447" s="13">
        <f>CHAIN_RAW!H447</f>
        <v/>
      </c>
      <c r="O447" s="13">
        <f>CHAIN_RAW!O447</f>
        <v/>
      </c>
      <c r="P447" s="13">
        <f>IFERROR(O447/N447,"")</f>
        <v/>
      </c>
      <c r="Q447" s="13">
        <f>CHAIN_RAW!I447</f>
        <v/>
      </c>
      <c r="R447" s="13">
        <f>CHAIN_RAW!P447</f>
        <v/>
      </c>
      <c r="S447" s="13">
        <f>IFERROR(R447/Q447,"")</f>
        <v/>
      </c>
      <c r="T447" s="13">
        <f>IFERROR((ABS(N447-O447)/MAX(1,(N447+O447)))*EXP(-ABS(E447-CONTROL!E5)/MAX(1,CONTROL!B8)),"")</f>
        <v/>
      </c>
      <c r="U447" s="13">
        <f>IFERROR(IF(O447&gt;N447,"SUPPORT (PE OI)","RESIST (CE OI)"),"")</f>
        <v/>
      </c>
      <c r="V447" s="13">
        <f>IFERROR(IF(Q447&gt;0,IF(R447&gt;0,"BOTH_ADD","CE_ADD_PE_REDUCE"),IF(R447&gt;0,"CE_REDUCE_PE_ADD","BOTH_REDUCE")),"")</f>
        <v/>
      </c>
      <c r="W447" s="13">
        <f>IFERROR( (P447-1)*0.5 + (M447)*0.1 - (I447+J447)*0.05 + T447*0.4 ,"")</f>
        <v/>
      </c>
      <c r="X447" s="13">
        <f>IFERROR(IF(ABS(F447)&lt;0.01,"ATM/NEAR",""),"")</f>
        <v/>
      </c>
    </row>
    <row r="448">
      <c r="A448" s="13">
        <f>CHAIN_RAW!A448</f>
        <v/>
      </c>
      <c r="B448" s="14">
        <f>CHAIN_RAW!B448</f>
        <v/>
      </c>
      <c r="C448" s="13">
        <f>CHAIN_RAW!C448</f>
        <v/>
      </c>
      <c r="D448" s="13">
        <f>CHAIN_RAW!D448</f>
        <v/>
      </c>
      <c r="E448" s="13">
        <f>CHAIN_RAW!E448</f>
        <v/>
      </c>
      <c r="F448" s="13">
        <f>IFERROR((E448-D448)/D448,"")</f>
        <v/>
      </c>
      <c r="G448" s="13">
        <f>IFERROR((CHAIN_RAW!K448+CHAIN_RAW!L448)/2,"")</f>
        <v/>
      </c>
      <c r="H448" s="13">
        <f>IFERROR((CHAIN_RAW!R448+CHAIN_RAW!S448)/2,"")</f>
        <v/>
      </c>
      <c r="I448" s="13">
        <f>IFERROR((CHAIN_RAW!L448-CHAIN_RAW!K448)/MAX(1E-9, G448),"")</f>
        <v/>
      </c>
      <c r="J448" s="13">
        <f>IFERROR((CHAIN_RAW!S448-CHAIN_RAW!R448)/MAX(1E-9, H448),"")</f>
        <v/>
      </c>
      <c r="K448" s="13">
        <f>CHAIN_RAW!G448</f>
        <v/>
      </c>
      <c r="L448" s="13">
        <f>CHAIN_RAW!N448</f>
        <v/>
      </c>
      <c r="M448" s="13">
        <f>IFERROR(L448-K448,"")</f>
        <v/>
      </c>
      <c r="N448" s="13">
        <f>CHAIN_RAW!H448</f>
        <v/>
      </c>
      <c r="O448" s="13">
        <f>CHAIN_RAW!O448</f>
        <v/>
      </c>
      <c r="P448" s="13">
        <f>IFERROR(O448/N448,"")</f>
        <v/>
      </c>
      <c r="Q448" s="13">
        <f>CHAIN_RAW!I448</f>
        <v/>
      </c>
      <c r="R448" s="13">
        <f>CHAIN_RAW!P448</f>
        <v/>
      </c>
      <c r="S448" s="13">
        <f>IFERROR(R448/Q448,"")</f>
        <v/>
      </c>
      <c r="T448" s="13">
        <f>IFERROR((ABS(N448-O448)/MAX(1,(N448+O448)))*EXP(-ABS(E448-CONTROL!E5)/MAX(1,CONTROL!B8)),"")</f>
        <v/>
      </c>
      <c r="U448" s="13">
        <f>IFERROR(IF(O448&gt;N448,"SUPPORT (PE OI)","RESIST (CE OI)"),"")</f>
        <v/>
      </c>
      <c r="V448" s="13">
        <f>IFERROR(IF(Q448&gt;0,IF(R448&gt;0,"BOTH_ADD","CE_ADD_PE_REDUCE"),IF(R448&gt;0,"CE_REDUCE_PE_ADD","BOTH_REDUCE")),"")</f>
        <v/>
      </c>
      <c r="W448" s="13">
        <f>IFERROR( (P448-1)*0.5 + (M448)*0.1 - (I448+J448)*0.05 + T448*0.4 ,"")</f>
        <v/>
      </c>
      <c r="X448" s="13">
        <f>IFERROR(IF(ABS(F448)&lt;0.01,"ATM/NEAR",""),"")</f>
        <v/>
      </c>
    </row>
    <row r="449">
      <c r="A449" s="13">
        <f>CHAIN_RAW!A449</f>
        <v/>
      </c>
      <c r="B449" s="14">
        <f>CHAIN_RAW!B449</f>
        <v/>
      </c>
      <c r="C449" s="13">
        <f>CHAIN_RAW!C449</f>
        <v/>
      </c>
      <c r="D449" s="13">
        <f>CHAIN_RAW!D449</f>
        <v/>
      </c>
      <c r="E449" s="13">
        <f>CHAIN_RAW!E449</f>
        <v/>
      </c>
      <c r="F449" s="13">
        <f>IFERROR((E449-D449)/D449,"")</f>
        <v/>
      </c>
      <c r="G449" s="13">
        <f>IFERROR((CHAIN_RAW!K449+CHAIN_RAW!L449)/2,"")</f>
        <v/>
      </c>
      <c r="H449" s="13">
        <f>IFERROR((CHAIN_RAW!R449+CHAIN_RAW!S449)/2,"")</f>
        <v/>
      </c>
      <c r="I449" s="13">
        <f>IFERROR((CHAIN_RAW!L449-CHAIN_RAW!K449)/MAX(1E-9, G449),"")</f>
        <v/>
      </c>
      <c r="J449" s="13">
        <f>IFERROR((CHAIN_RAW!S449-CHAIN_RAW!R449)/MAX(1E-9, H449),"")</f>
        <v/>
      </c>
      <c r="K449" s="13">
        <f>CHAIN_RAW!G449</f>
        <v/>
      </c>
      <c r="L449" s="13">
        <f>CHAIN_RAW!N449</f>
        <v/>
      </c>
      <c r="M449" s="13">
        <f>IFERROR(L449-K449,"")</f>
        <v/>
      </c>
      <c r="N449" s="13">
        <f>CHAIN_RAW!H449</f>
        <v/>
      </c>
      <c r="O449" s="13">
        <f>CHAIN_RAW!O449</f>
        <v/>
      </c>
      <c r="P449" s="13">
        <f>IFERROR(O449/N449,"")</f>
        <v/>
      </c>
      <c r="Q449" s="13">
        <f>CHAIN_RAW!I449</f>
        <v/>
      </c>
      <c r="R449" s="13">
        <f>CHAIN_RAW!P449</f>
        <v/>
      </c>
      <c r="S449" s="13">
        <f>IFERROR(R449/Q449,"")</f>
        <v/>
      </c>
      <c r="T449" s="13">
        <f>IFERROR((ABS(N449-O449)/MAX(1,(N449+O449)))*EXP(-ABS(E449-CONTROL!E5)/MAX(1,CONTROL!B8)),"")</f>
        <v/>
      </c>
      <c r="U449" s="13">
        <f>IFERROR(IF(O449&gt;N449,"SUPPORT (PE OI)","RESIST (CE OI)"),"")</f>
        <v/>
      </c>
      <c r="V449" s="13">
        <f>IFERROR(IF(Q449&gt;0,IF(R449&gt;0,"BOTH_ADD","CE_ADD_PE_REDUCE"),IF(R449&gt;0,"CE_REDUCE_PE_ADD","BOTH_REDUCE")),"")</f>
        <v/>
      </c>
      <c r="W449" s="13">
        <f>IFERROR( (P449-1)*0.5 + (M449)*0.1 - (I449+J449)*0.05 + T449*0.4 ,"")</f>
        <v/>
      </c>
      <c r="X449" s="13">
        <f>IFERROR(IF(ABS(F449)&lt;0.01,"ATM/NEAR",""),"")</f>
        <v/>
      </c>
    </row>
    <row r="450">
      <c r="A450" s="13">
        <f>CHAIN_RAW!A450</f>
        <v/>
      </c>
      <c r="B450" s="14">
        <f>CHAIN_RAW!B450</f>
        <v/>
      </c>
      <c r="C450" s="13">
        <f>CHAIN_RAW!C450</f>
        <v/>
      </c>
      <c r="D450" s="13">
        <f>CHAIN_RAW!D450</f>
        <v/>
      </c>
      <c r="E450" s="13">
        <f>CHAIN_RAW!E450</f>
        <v/>
      </c>
      <c r="F450" s="13">
        <f>IFERROR((E450-D450)/D450,"")</f>
        <v/>
      </c>
      <c r="G450" s="13">
        <f>IFERROR((CHAIN_RAW!K450+CHAIN_RAW!L450)/2,"")</f>
        <v/>
      </c>
      <c r="H450" s="13">
        <f>IFERROR((CHAIN_RAW!R450+CHAIN_RAW!S450)/2,"")</f>
        <v/>
      </c>
      <c r="I450" s="13">
        <f>IFERROR((CHAIN_RAW!L450-CHAIN_RAW!K450)/MAX(1E-9, G450),"")</f>
        <v/>
      </c>
      <c r="J450" s="13">
        <f>IFERROR((CHAIN_RAW!S450-CHAIN_RAW!R450)/MAX(1E-9, H450),"")</f>
        <v/>
      </c>
      <c r="K450" s="13">
        <f>CHAIN_RAW!G450</f>
        <v/>
      </c>
      <c r="L450" s="13">
        <f>CHAIN_RAW!N450</f>
        <v/>
      </c>
      <c r="M450" s="13">
        <f>IFERROR(L450-K450,"")</f>
        <v/>
      </c>
      <c r="N450" s="13">
        <f>CHAIN_RAW!H450</f>
        <v/>
      </c>
      <c r="O450" s="13">
        <f>CHAIN_RAW!O450</f>
        <v/>
      </c>
      <c r="P450" s="13">
        <f>IFERROR(O450/N450,"")</f>
        <v/>
      </c>
      <c r="Q450" s="13">
        <f>CHAIN_RAW!I450</f>
        <v/>
      </c>
      <c r="R450" s="13">
        <f>CHAIN_RAW!P450</f>
        <v/>
      </c>
      <c r="S450" s="13">
        <f>IFERROR(R450/Q450,"")</f>
        <v/>
      </c>
      <c r="T450" s="13">
        <f>IFERROR((ABS(N450-O450)/MAX(1,(N450+O450)))*EXP(-ABS(E450-CONTROL!E5)/MAX(1,CONTROL!B8)),"")</f>
        <v/>
      </c>
      <c r="U450" s="13">
        <f>IFERROR(IF(O450&gt;N450,"SUPPORT (PE OI)","RESIST (CE OI)"),"")</f>
        <v/>
      </c>
      <c r="V450" s="13">
        <f>IFERROR(IF(Q450&gt;0,IF(R450&gt;0,"BOTH_ADD","CE_ADD_PE_REDUCE"),IF(R450&gt;0,"CE_REDUCE_PE_ADD","BOTH_REDUCE")),"")</f>
        <v/>
      </c>
      <c r="W450" s="13">
        <f>IFERROR( (P450-1)*0.5 + (M450)*0.1 - (I450+J450)*0.05 + T450*0.4 ,"")</f>
        <v/>
      </c>
      <c r="X450" s="13">
        <f>IFERROR(IF(ABS(F450)&lt;0.01,"ATM/NEAR",""),"")</f>
        <v/>
      </c>
    </row>
    <row r="451">
      <c r="A451" s="13">
        <f>CHAIN_RAW!A451</f>
        <v/>
      </c>
      <c r="B451" s="14">
        <f>CHAIN_RAW!B451</f>
        <v/>
      </c>
      <c r="C451" s="13">
        <f>CHAIN_RAW!C451</f>
        <v/>
      </c>
      <c r="D451" s="13">
        <f>CHAIN_RAW!D451</f>
        <v/>
      </c>
      <c r="E451" s="13">
        <f>CHAIN_RAW!E451</f>
        <v/>
      </c>
      <c r="F451" s="13">
        <f>IFERROR((E451-D451)/D451,"")</f>
        <v/>
      </c>
      <c r="G451" s="13">
        <f>IFERROR((CHAIN_RAW!K451+CHAIN_RAW!L451)/2,"")</f>
        <v/>
      </c>
      <c r="H451" s="13">
        <f>IFERROR((CHAIN_RAW!R451+CHAIN_RAW!S451)/2,"")</f>
        <v/>
      </c>
      <c r="I451" s="13">
        <f>IFERROR((CHAIN_RAW!L451-CHAIN_RAW!K451)/MAX(1E-9, G451),"")</f>
        <v/>
      </c>
      <c r="J451" s="13">
        <f>IFERROR((CHAIN_RAW!S451-CHAIN_RAW!R451)/MAX(1E-9, H451),"")</f>
        <v/>
      </c>
      <c r="K451" s="13">
        <f>CHAIN_RAW!G451</f>
        <v/>
      </c>
      <c r="L451" s="13">
        <f>CHAIN_RAW!N451</f>
        <v/>
      </c>
      <c r="M451" s="13">
        <f>IFERROR(L451-K451,"")</f>
        <v/>
      </c>
      <c r="N451" s="13">
        <f>CHAIN_RAW!H451</f>
        <v/>
      </c>
      <c r="O451" s="13">
        <f>CHAIN_RAW!O451</f>
        <v/>
      </c>
      <c r="P451" s="13">
        <f>IFERROR(O451/N451,"")</f>
        <v/>
      </c>
      <c r="Q451" s="13">
        <f>CHAIN_RAW!I451</f>
        <v/>
      </c>
      <c r="R451" s="13">
        <f>CHAIN_RAW!P451</f>
        <v/>
      </c>
      <c r="S451" s="13">
        <f>IFERROR(R451/Q451,"")</f>
        <v/>
      </c>
      <c r="T451" s="13">
        <f>IFERROR((ABS(N451-O451)/MAX(1,(N451+O451)))*EXP(-ABS(E451-CONTROL!E5)/MAX(1,CONTROL!B8)),"")</f>
        <v/>
      </c>
      <c r="U451" s="13">
        <f>IFERROR(IF(O451&gt;N451,"SUPPORT (PE OI)","RESIST (CE OI)"),"")</f>
        <v/>
      </c>
      <c r="V451" s="13">
        <f>IFERROR(IF(Q451&gt;0,IF(R451&gt;0,"BOTH_ADD","CE_ADD_PE_REDUCE"),IF(R451&gt;0,"CE_REDUCE_PE_ADD","BOTH_REDUCE")),"")</f>
        <v/>
      </c>
      <c r="W451" s="13">
        <f>IFERROR( (P451-1)*0.5 + (M451)*0.1 - (I451+J451)*0.05 + T451*0.4 ,"")</f>
        <v/>
      </c>
      <c r="X451" s="13">
        <f>IFERROR(IF(ABS(F451)&lt;0.01,"ATM/NEAR",""),"")</f>
        <v/>
      </c>
    </row>
    <row r="452">
      <c r="A452" s="13">
        <f>CHAIN_RAW!A452</f>
        <v/>
      </c>
      <c r="B452" s="14">
        <f>CHAIN_RAW!B452</f>
        <v/>
      </c>
      <c r="C452" s="13">
        <f>CHAIN_RAW!C452</f>
        <v/>
      </c>
      <c r="D452" s="13">
        <f>CHAIN_RAW!D452</f>
        <v/>
      </c>
      <c r="E452" s="13">
        <f>CHAIN_RAW!E452</f>
        <v/>
      </c>
      <c r="F452" s="13">
        <f>IFERROR((E452-D452)/D452,"")</f>
        <v/>
      </c>
      <c r="G452" s="13">
        <f>IFERROR((CHAIN_RAW!K452+CHAIN_RAW!L452)/2,"")</f>
        <v/>
      </c>
      <c r="H452" s="13">
        <f>IFERROR((CHAIN_RAW!R452+CHAIN_RAW!S452)/2,"")</f>
        <v/>
      </c>
      <c r="I452" s="13">
        <f>IFERROR((CHAIN_RAW!L452-CHAIN_RAW!K452)/MAX(1E-9, G452),"")</f>
        <v/>
      </c>
      <c r="J452" s="13">
        <f>IFERROR((CHAIN_RAW!S452-CHAIN_RAW!R452)/MAX(1E-9, H452),"")</f>
        <v/>
      </c>
      <c r="K452" s="13">
        <f>CHAIN_RAW!G452</f>
        <v/>
      </c>
      <c r="L452" s="13">
        <f>CHAIN_RAW!N452</f>
        <v/>
      </c>
      <c r="M452" s="13">
        <f>IFERROR(L452-K452,"")</f>
        <v/>
      </c>
      <c r="N452" s="13">
        <f>CHAIN_RAW!H452</f>
        <v/>
      </c>
      <c r="O452" s="13">
        <f>CHAIN_RAW!O452</f>
        <v/>
      </c>
      <c r="P452" s="13">
        <f>IFERROR(O452/N452,"")</f>
        <v/>
      </c>
      <c r="Q452" s="13">
        <f>CHAIN_RAW!I452</f>
        <v/>
      </c>
      <c r="R452" s="13">
        <f>CHAIN_RAW!P452</f>
        <v/>
      </c>
      <c r="S452" s="13">
        <f>IFERROR(R452/Q452,"")</f>
        <v/>
      </c>
      <c r="T452" s="13">
        <f>IFERROR((ABS(N452-O452)/MAX(1,(N452+O452)))*EXP(-ABS(E452-CONTROL!E5)/MAX(1,CONTROL!B8)),"")</f>
        <v/>
      </c>
      <c r="U452" s="13">
        <f>IFERROR(IF(O452&gt;N452,"SUPPORT (PE OI)","RESIST (CE OI)"),"")</f>
        <v/>
      </c>
      <c r="V452" s="13">
        <f>IFERROR(IF(Q452&gt;0,IF(R452&gt;0,"BOTH_ADD","CE_ADD_PE_REDUCE"),IF(R452&gt;0,"CE_REDUCE_PE_ADD","BOTH_REDUCE")),"")</f>
        <v/>
      </c>
      <c r="W452" s="13">
        <f>IFERROR( (P452-1)*0.5 + (M452)*0.1 - (I452+J452)*0.05 + T452*0.4 ,"")</f>
        <v/>
      </c>
      <c r="X452" s="13">
        <f>IFERROR(IF(ABS(F452)&lt;0.01,"ATM/NEAR",""),"")</f>
        <v/>
      </c>
    </row>
    <row r="453">
      <c r="A453" s="13">
        <f>CHAIN_RAW!A453</f>
        <v/>
      </c>
      <c r="B453" s="14">
        <f>CHAIN_RAW!B453</f>
        <v/>
      </c>
      <c r="C453" s="13">
        <f>CHAIN_RAW!C453</f>
        <v/>
      </c>
      <c r="D453" s="13">
        <f>CHAIN_RAW!D453</f>
        <v/>
      </c>
      <c r="E453" s="13">
        <f>CHAIN_RAW!E453</f>
        <v/>
      </c>
      <c r="F453" s="13">
        <f>IFERROR((E453-D453)/D453,"")</f>
        <v/>
      </c>
      <c r="G453" s="13">
        <f>IFERROR((CHAIN_RAW!K453+CHAIN_RAW!L453)/2,"")</f>
        <v/>
      </c>
      <c r="H453" s="13">
        <f>IFERROR((CHAIN_RAW!R453+CHAIN_RAW!S453)/2,"")</f>
        <v/>
      </c>
      <c r="I453" s="13">
        <f>IFERROR((CHAIN_RAW!L453-CHAIN_RAW!K453)/MAX(1E-9, G453),"")</f>
        <v/>
      </c>
      <c r="J453" s="13">
        <f>IFERROR((CHAIN_RAW!S453-CHAIN_RAW!R453)/MAX(1E-9, H453),"")</f>
        <v/>
      </c>
      <c r="K453" s="13">
        <f>CHAIN_RAW!G453</f>
        <v/>
      </c>
      <c r="L453" s="13">
        <f>CHAIN_RAW!N453</f>
        <v/>
      </c>
      <c r="M453" s="13">
        <f>IFERROR(L453-K453,"")</f>
        <v/>
      </c>
      <c r="N453" s="13">
        <f>CHAIN_RAW!H453</f>
        <v/>
      </c>
      <c r="O453" s="13">
        <f>CHAIN_RAW!O453</f>
        <v/>
      </c>
      <c r="P453" s="13">
        <f>IFERROR(O453/N453,"")</f>
        <v/>
      </c>
      <c r="Q453" s="13">
        <f>CHAIN_RAW!I453</f>
        <v/>
      </c>
      <c r="R453" s="13">
        <f>CHAIN_RAW!P453</f>
        <v/>
      </c>
      <c r="S453" s="13">
        <f>IFERROR(R453/Q453,"")</f>
        <v/>
      </c>
      <c r="T453" s="13">
        <f>IFERROR((ABS(N453-O453)/MAX(1,(N453+O453)))*EXP(-ABS(E453-CONTROL!E5)/MAX(1,CONTROL!B8)),"")</f>
        <v/>
      </c>
      <c r="U453" s="13">
        <f>IFERROR(IF(O453&gt;N453,"SUPPORT (PE OI)","RESIST (CE OI)"),"")</f>
        <v/>
      </c>
      <c r="V453" s="13">
        <f>IFERROR(IF(Q453&gt;0,IF(R453&gt;0,"BOTH_ADD","CE_ADD_PE_REDUCE"),IF(R453&gt;0,"CE_REDUCE_PE_ADD","BOTH_REDUCE")),"")</f>
        <v/>
      </c>
      <c r="W453" s="13">
        <f>IFERROR( (P453-1)*0.5 + (M453)*0.1 - (I453+J453)*0.05 + T453*0.4 ,"")</f>
        <v/>
      </c>
      <c r="X453" s="13">
        <f>IFERROR(IF(ABS(F453)&lt;0.01,"ATM/NEAR",""),"")</f>
        <v/>
      </c>
    </row>
    <row r="454">
      <c r="A454" s="13">
        <f>CHAIN_RAW!A454</f>
        <v/>
      </c>
      <c r="B454" s="14">
        <f>CHAIN_RAW!B454</f>
        <v/>
      </c>
      <c r="C454" s="13">
        <f>CHAIN_RAW!C454</f>
        <v/>
      </c>
      <c r="D454" s="13">
        <f>CHAIN_RAW!D454</f>
        <v/>
      </c>
      <c r="E454" s="13">
        <f>CHAIN_RAW!E454</f>
        <v/>
      </c>
      <c r="F454" s="13">
        <f>IFERROR((E454-D454)/D454,"")</f>
        <v/>
      </c>
      <c r="G454" s="13">
        <f>IFERROR((CHAIN_RAW!K454+CHAIN_RAW!L454)/2,"")</f>
        <v/>
      </c>
      <c r="H454" s="13">
        <f>IFERROR((CHAIN_RAW!R454+CHAIN_RAW!S454)/2,"")</f>
        <v/>
      </c>
      <c r="I454" s="13">
        <f>IFERROR((CHAIN_RAW!L454-CHAIN_RAW!K454)/MAX(1E-9, G454),"")</f>
        <v/>
      </c>
      <c r="J454" s="13">
        <f>IFERROR((CHAIN_RAW!S454-CHAIN_RAW!R454)/MAX(1E-9, H454),"")</f>
        <v/>
      </c>
      <c r="K454" s="13">
        <f>CHAIN_RAW!G454</f>
        <v/>
      </c>
      <c r="L454" s="13">
        <f>CHAIN_RAW!N454</f>
        <v/>
      </c>
      <c r="M454" s="13">
        <f>IFERROR(L454-K454,"")</f>
        <v/>
      </c>
      <c r="N454" s="13">
        <f>CHAIN_RAW!H454</f>
        <v/>
      </c>
      <c r="O454" s="13">
        <f>CHAIN_RAW!O454</f>
        <v/>
      </c>
      <c r="P454" s="13">
        <f>IFERROR(O454/N454,"")</f>
        <v/>
      </c>
      <c r="Q454" s="13">
        <f>CHAIN_RAW!I454</f>
        <v/>
      </c>
      <c r="R454" s="13">
        <f>CHAIN_RAW!P454</f>
        <v/>
      </c>
      <c r="S454" s="13">
        <f>IFERROR(R454/Q454,"")</f>
        <v/>
      </c>
      <c r="T454" s="13">
        <f>IFERROR((ABS(N454-O454)/MAX(1,(N454+O454)))*EXP(-ABS(E454-CONTROL!E5)/MAX(1,CONTROL!B8)),"")</f>
        <v/>
      </c>
      <c r="U454" s="13">
        <f>IFERROR(IF(O454&gt;N454,"SUPPORT (PE OI)","RESIST (CE OI)"),"")</f>
        <v/>
      </c>
      <c r="V454" s="13">
        <f>IFERROR(IF(Q454&gt;0,IF(R454&gt;0,"BOTH_ADD","CE_ADD_PE_REDUCE"),IF(R454&gt;0,"CE_REDUCE_PE_ADD","BOTH_REDUCE")),"")</f>
        <v/>
      </c>
      <c r="W454" s="13">
        <f>IFERROR( (P454-1)*0.5 + (M454)*0.1 - (I454+J454)*0.05 + T454*0.4 ,"")</f>
        <v/>
      </c>
      <c r="X454" s="13">
        <f>IFERROR(IF(ABS(F454)&lt;0.01,"ATM/NEAR",""),"")</f>
        <v/>
      </c>
    </row>
    <row r="455">
      <c r="A455" s="13">
        <f>CHAIN_RAW!A455</f>
        <v/>
      </c>
      <c r="B455" s="14">
        <f>CHAIN_RAW!B455</f>
        <v/>
      </c>
      <c r="C455" s="13">
        <f>CHAIN_RAW!C455</f>
        <v/>
      </c>
      <c r="D455" s="13">
        <f>CHAIN_RAW!D455</f>
        <v/>
      </c>
      <c r="E455" s="13">
        <f>CHAIN_RAW!E455</f>
        <v/>
      </c>
      <c r="F455" s="13">
        <f>IFERROR((E455-D455)/D455,"")</f>
        <v/>
      </c>
      <c r="G455" s="13">
        <f>IFERROR((CHAIN_RAW!K455+CHAIN_RAW!L455)/2,"")</f>
        <v/>
      </c>
      <c r="H455" s="13">
        <f>IFERROR((CHAIN_RAW!R455+CHAIN_RAW!S455)/2,"")</f>
        <v/>
      </c>
      <c r="I455" s="13">
        <f>IFERROR((CHAIN_RAW!L455-CHAIN_RAW!K455)/MAX(1E-9, G455),"")</f>
        <v/>
      </c>
      <c r="J455" s="13">
        <f>IFERROR((CHAIN_RAW!S455-CHAIN_RAW!R455)/MAX(1E-9, H455),"")</f>
        <v/>
      </c>
      <c r="K455" s="13">
        <f>CHAIN_RAW!G455</f>
        <v/>
      </c>
      <c r="L455" s="13">
        <f>CHAIN_RAW!N455</f>
        <v/>
      </c>
      <c r="M455" s="13">
        <f>IFERROR(L455-K455,"")</f>
        <v/>
      </c>
      <c r="N455" s="13">
        <f>CHAIN_RAW!H455</f>
        <v/>
      </c>
      <c r="O455" s="13">
        <f>CHAIN_RAW!O455</f>
        <v/>
      </c>
      <c r="P455" s="13">
        <f>IFERROR(O455/N455,"")</f>
        <v/>
      </c>
      <c r="Q455" s="13">
        <f>CHAIN_RAW!I455</f>
        <v/>
      </c>
      <c r="R455" s="13">
        <f>CHAIN_RAW!P455</f>
        <v/>
      </c>
      <c r="S455" s="13">
        <f>IFERROR(R455/Q455,"")</f>
        <v/>
      </c>
      <c r="T455" s="13">
        <f>IFERROR((ABS(N455-O455)/MAX(1,(N455+O455)))*EXP(-ABS(E455-CONTROL!E5)/MAX(1,CONTROL!B8)),"")</f>
        <v/>
      </c>
      <c r="U455" s="13">
        <f>IFERROR(IF(O455&gt;N455,"SUPPORT (PE OI)","RESIST (CE OI)"),"")</f>
        <v/>
      </c>
      <c r="V455" s="13">
        <f>IFERROR(IF(Q455&gt;0,IF(R455&gt;0,"BOTH_ADD","CE_ADD_PE_REDUCE"),IF(R455&gt;0,"CE_REDUCE_PE_ADD","BOTH_REDUCE")),"")</f>
        <v/>
      </c>
      <c r="W455" s="13">
        <f>IFERROR( (P455-1)*0.5 + (M455)*0.1 - (I455+J455)*0.05 + T455*0.4 ,"")</f>
        <v/>
      </c>
      <c r="X455" s="13">
        <f>IFERROR(IF(ABS(F455)&lt;0.01,"ATM/NEAR",""),"")</f>
        <v/>
      </c>
    </row>
    <row r="456">
      <c r="A456" s="13">
        <f>CHAIN_RAW!A456</f>
        <v/>
      </c>
      <c r="B456" s="14">
        <f>CHAIN_RAW!B456</f>
        <v/>
      </c>
      <c r="C456" s="13">
        <f>CHAIN_RAW!C456</f>
        <v/>
      </c>
      <c r="D456" s="13">
        <f>CHAIN_RAW!D456</f>
        <v/>
      </c>
      <c r="E456" s="13">
        <f>CHAIN_RAW!E456</f>
        <v/>
      </c>
      <c r="F456" s="13">
        <f>IFERROR((E456-D456)/D456,"")</f>
        <v/>
      </c>
      <c r="G456" s="13">
        <f>IFERROR((CHAIN_RAW!K456+CHAIN_RAW!L456)/2,"")</f>
        <v/>
      </c>
      <c r="H456" s="13">
        <f>IFERROR((CHAIN_RAW!R456+CHAIN_RAW!S456)/2,"")</f>
        <v/>
      </c>
      <c r="I456" s="13">
        <f>IFERROR((CHAIN_RAW!L456-CHAIN_RAW!K456)/MAX(1E-9, G456),"")</f>
        <v/>
      </c>
      <c r="J456" s="13">
        <f>IFERROR((CHAIN_RAW!S456-CHAIN_RAW!R456)/MAX(1E-9, H456),"")</f>
        <v/>
      </c>
      <c r="K456" s="13">
        <f>CHAIN_RAW!G456</f>
        <v/>
      </c>
      <c r="L456" s="13">
        <f>CHAIN_RAW!N456</f>
        <v/>
      </c>
      <c r="M456" s="13">
        <f>IFERROR(L456-K456,"")</f>
        <v/>
      </c>
      <c r="N456" s="13">
        <f>CHAIN_RAW!H456</f>
        <v/>
      </c>
      <c r="O456" s="13">
        <f>CHAIN_RAW!O456</f>
        <v/>
      </c>
      <c r="P456" s="13">
        <f>IFERROR(O456/N456,"")</f>
        <v/>
      </c>
      <c r="Q456" s="13">
        <f>CHAIN_RAW!I456</f>
        <v/>
      </c>
      <c r="R456" s="13">
        <f>CHAIN_RAW!P456</f>
        <v/>
      </c>
      <c r="S456" s="13">
        <f>IFERROR(R456/Q456,"")</f>
        <v/>
      </c>
      <c r="T456" s="13">
        <f>IFERROR((ABS(N456-O456)/MAX(1,(N456+O456)))*EXP(-ABS(E456-CONTROL!E5)/MAX(1,CONTROL!B8)),"")</f>
        <v/>
      </c>
      <c r="U456" s="13">
        <f>IFERROR(IF(O456&gt;N456,"SUPPORT (PE OI)","RESIST (CE OI)"),"")</f>
        <v/>
      </c>
      <c r="V456" s="13">
        <f>IFERROR(IF(Q456&gt;0,IF(R456&gt;0,"BOTH_ADD","CE_ADD_PE_REDUCE"),IF(R456&gt;0,"CE_REDUCE_PE_ADD","BOTH_REDUCE")),"")</f>
        <v/>
      </c>
      <c r="W456" s="13">
        <f>IFERROR( (P456-1)*0.5 + (M456)*0.1 - (I456+J456)*0.05 + T456*0.4 ,"")</f>
        <v/>
      </c>
      <c r="X456" s="13">
        <f>IFERROR(IF(ABS(F456)&lt;0.01,"ATM/NEAR",""),"")</f>
        <v/>
      </c>
    </row>
    <row r="457">
      <c r="A457" s="13">
        <f>CHAIN_RAW!A457</f>
        <v/>
      </c>
      <c r="B457" s="14">
        <f>CHAIN_RAW!B457</f>
        <v/>
      </c>
      <c r="C457" s="13">
        <f>CHAIN_RAW!C457</f>
        <v/>
      </c>
      <c r="D457" s="13">
        <f>CHAIN_RAW!D457</f>
        <v/>
      </c>
      <c r="E457" s="13">
        <f>CHAIN_RAW!E457</f>
        <v/>
      </c>
      <c r="F457" s="13">
        <f>IFERROR((E457-D457)/D457,"")</f>
        <v/>
      </c>
      <c r="G457" s="13">
        <f>IFERROR((CHAIN_RAW!K457+CHAIN_RAW!L457)/2,"")</f>
        <v/>
      </c>
      <c r="H457" s="13">
        <f>IFERROR((CHAIN_RAW!R457+CHAIN_RAW!S457)/2,"")</f>
        <v/>
      </c>
      <c r="I457" s="13">
        <f>IFERROR((CHAIN_RAW!L457-CHAIN_RAW!K457)/MAX(1E-9, G457),"")</f>
        <v/>
      </c>
      <c r="J457" s="13">
        <f>IFERROR((CHAIN_RAW!S457-CHAIN_RAW!R457)/MAX(1E-9, H457),"")</f>
        <v/>
      </c>
      <c r="K457" s="13">
        <f>CHAIN_RAW!G457</f>
        <v/>
      </c>
      <c r="L457" s="13">
        <f>CHAIN_RAW!N457</f>
        <v/>
      </c>
      <c r="M457" s="13">
        <f>IFERROR(L457-K457,"")</f>
        <v/>
      </c>
      <c r="N457" s="13">
        <f>CHAIN_RAW!H457</f>
        <v/>
      </c>
      <c r="O457" s="13">
        <f>CHAIN_RAW!O457</f>
        <v/>
      </c>
      <c r="P457" s="13">
        <f>IFERROR(O457/N457,"")</f>
        <v/>
      </c>
      <c r="Q457" s="13">
        <f>CHAIN_RAW!I457</f>
        <v/>
      </c>
      <c r="R457" s="13">
        <f>CHAIN_RAW!P457</f>
        <v/>
      </c>
      <c r="S457" s="13">
        <f>IFERROR(R457/Q457,"")</f>
        <v/>
      </c>
      <c r="T457" s="13">
        <f>IFERROR((ABS(N457-O457)/MAX(1,(N457+O457)))*EXP(-ABS(E457-CONTROL!E5)/MAX(1,CONTROL!B8)),"")</f>
        <v/>
      </c>
      <c r="U457" s="13">
        <f>IFERROR(IF(O457&gt;N457,"SUPPORT (PE OI)","RESIST (CE OI)"),"")</f>
        <v/>
      </c>
      <c r="V457" s="13">
        <f>IFERROR(IF(Q457&gt;0,IF(R457&gt;0,"BOTH_ADD","CE_ADD_PE_REDUCE"),IF(R457&gt;0,"CE_REDUCE_PE_ADD","BOTH_REDUCE")),"")</f>
        <v/>
      </c>
      <c r="W457" s="13">
        <f>IFERROR( (P457-1)*0.5 + (M457)*0.1 - (I457+J457)*0.05 + T457*0.4 ,"")</f>
        <v/>
      </c>
      <c r="X457" s="13">
        <f>IFERROR(IF(ABS(F457)&lt;0.01,"ATM/NEAR",""),"")</f>
        <v/>
      </c>
    </row>
    <row r="458">
      <c r="A458" s="13">
        <f>CHAIN_RAW!A458</f>
        <v/>
      </c>
      <c r="B458" s="14">
        <f>CHAIN_RAW!B458</f>
        <v/>
      </c>
      <c r="C458" s="13">
        <f>CHAIN_RAW!C458</f>
        <v/>
      </c>
      <c r="D458" s="13">
        <f>CHAIN_RAW!D458</f>
        <v/>
      </c>
      <c r="E458" s="13">
        <f>CHAIN_RAW!E458</f>
        <v/>
      </c>
      <c r="F458" s="13">
        <f>IFERROR((E458-D458)/D458,"")</f>
        <v/>
      </c>
      <c r="G458" s="13">
        <f>IFERROR((CHAIN_RAW!K458+CHAIN_RAW!L458)/2,"")</f>
        <v/>
      </c>
      <c r="H458" s="13">
        <f>IFERROR((CHAIN_RAW!R458+CHAIN_RAW!S458)/2,"")</f>
        <v/>
      </c>
      <c r="I458" s="13">
        <f>IFERROR((CHAIN_RAW!L458-CHAIN_RAW!K458)/MAX(1E-9, G458),"")</f>
        <v/>
      </c>
      <c r="J458" s="13">
        <f>IFERROR((CHAIN_RAW!S458-CHAIN_RAW!R458)/MAX(1E-9, H458),"")</f>
        <v/>
      </c>
      <c r="K458" s="13">
        <f>CHAIN_RAW!G458</f>
        <v/>
      </c>
      <c r="L458" s="13">
        <f>CHAIN_RAW!N458</f>
        <v/>
      </c>
      <c r="M458" s="13">
        <f>IFERROR(L458-K458,"")</f>
        <v/>
      </c>
      <c r="N458" s="13">
        <f>CHAIN_RAW!H458</f>
        <v/>
      </c>
      <c r="O458" s="13">
        <f>CHAIN_RAW!O458</f>
        <v/>
      </c>
      <c r="P458" s="13">
        <f>IFERROR(O458/N458,"")</f>
        <v/>
      </c>
      <c r="Q458" s="13">
        <f>CHAIN_RAW!I458</f>
        <v/>
      </c>
      <c r="R458" s="13">
        <f>CHAIN_RAW!P458</f>
        <v/>
      </c>
      <c r="S458" s="13">
        <f>IFERROR(R458/Q458,"")</f>
        <v/>
      </c>
      <c r="T458" s="13">
        <f>IFERROR((ABS(N458-O458)/MAX(1,(N458+O458)))*EXP(-ABS(E458-CONTROL!E5)/MAX(1,CONTROL!B8)),"")</f>
        <v/>
      </c>
      <c r="U458" s="13">
        <f>IFERROR(IF(O458&gt;N458,"SUPPORT (PE OI)","RESIST (CE OI)"),"")</f>
        <v/>
      </c>
      <c r="V458" s="13">
        <f>IFERROR(IF(Q458&gt;0,IF(R458&gt;0,"BOTH_ADD","CE_ADD_PE_REDUCE"),IF(R458&gt;0,"CE_REDUCE_PE_ADD","BOTH_REDUCE")),"")</f>
        <v/>
      </c>
      <c r="W458" s="13">
        <f>IFERROR( (P458-1)*0.5 + (M458)*0.1 - (I458+J458)*0.05 + T458*0.4 ,"")</f>
        <v/>
      </c>
      <c r="X458" s="13">
        <f>IFERROR(IF(ABS(F458)&lt;0.01,"ATM/NEAR",""),"")</f>
        <v/>
      </c>
    </row>
    <row r="459">
      <c r="A459" s="13">
        <f>CHAIN_RAW!A459</f>
        <v/>
      </c>
      <c r="B459" s="14">
        <f>CHAIN_RAW!B459</f>
        <v/>
      </c>
      <c r="C459" s="13">
        <f>CHAIN_RAW!C459</f>
        <v/>
      </c>
      <c r="D459" s="13">
        <f>CHAIN_RAW!D459</f>
        <v/>
      </c>
      <c r="E459" s="13">
        <f>CHAIN_RAW!E459</f>
        <v/>
      </c>
      <c r="F459" s="13">
        <f>IFERROR((E459-D459)/D459,"")</f>
        <v/>
      </c>
      <c r="G459" s="13">
        <f>IFERROR((CHAIN_RAW!K459+CHAIN_RAW!L459)/2,"")</f>
        <v/>
      </c>
      <c r="H459" s="13">
        <f>IFERROR((CHAIN_RAW!R459+CHAIN_RAW!S459)/2,"")</f>
        <v/>
      </c>
      <c r="I459" s="13">
        <f>IFERROR((CHAIN_RAW!L459-CHAIN_RAW!K459)/MAX(1E-9, G459),"")</f>
        <v/>
      </c>
      <c r="J459" s="13">
        <f>IFERROR((CHAIN_RAW!S459-CHAIN_RAW!R459)/MAX(1E-9, H459),"")</f>
        <v/>
      </c>
      <c r="K459" s="13">
        <f>CHAIN_RAW!G459</f>
        <v/>
      </c>
      <c r="L459" s="13">
        <f>CHAIN_RAW!N459</f>
        <v/>
      </c>
      <c r="M459" s="13">
        <f>IFERROR(L459-K459,"")</f>
        <v/>
      </c>
      <c r="N459" s="13">
        <f>CHAIN_RAW!H459</f>
        <v/>
      </c>
      <c r="O459" s="13">
        <f>CHAIN_RAW!O459</f>
        <v/>
      </c>
      <c r="P459" s="13">
        <f>IFERROR(O459/N459,"")</f>
        <v/>
      </c>
      <c r="Q459" s="13">
        <f>CHAIN_RAW!I459</f>
        <v/>
      </c>
      <c r="R459" s="13">
        <f>CHAIN_RAW!P459</f>
        <v/>
      </c>
      <c r="S459" s="13">
        <f>IFERROR(R459/Q459,"")</f>
        <v/>
      </c>
      <c r="T459" s="13">
        <f>IFERROR((ABS(N459-O459)/MAX(1,(N459+O459)))*EXP(-ABS(E459-CONTROL!E5)/MAX(1,CONTROL!B8)),"")</f>
        <v/>
      </c>
      <c r="U459" s="13">
        <f>IFERROR(IF(O459&gt;N459,"SUPPORT (PE OI)","RESIST (CE OI)"),"")</f>
        <v/>
      </c>
      <c r="V459" s="13">
        <f>IFERROR(IF(Q459&gt;0,IF(R459&gt;0,"BOTH_ADD","CE_ADD_PE_REDUCE"),IF(R459&gt;0,"CE_REDUCE_PE_ADD","BOTH_REDUCE")),"")</f>
        <v/>
      </c>
      <c r="W459" s="13">
        <f>IFERROR( (P459-1)*0.5 + (M459)*0.1 - (I459+J459)*0.05 + T459*0.4 ,"")</f>
        <v/>
      </c>
      <c r="X459" s="13">
        <f>IFERROR(IF(ABS(F459)&lt;0.01,"ATM/NEAR",""),"")</f>
        <v/>
      </c>
    </row>
    <row r="460">
      <c r="A460" s="13">
        <f>CHAIN_RAW!A460</f>
        <v/>
      </c>
      <c r="B460" s="14">
        <f>CHAIN_RAW!B460</f>
        <v/>
      </c>
      <c r="C460" s="13">
        <f>CHAIN_RAW!C460</f>
        <v/>
      </c>
      <c r="D460" s="13">
        <f>CHAIN_RAW!D460</f>
        <v/>
      </c>
      <c r="E460" s="13">
        <f>CHAIN_RAW!E460</f>
        <v/>
      </c>
      <c r="F460" s="13">
        <f>IFERROR((E460-D460)/D460,"")</f>
        <v/>
      </c>
      <c r="G460" s="13">
        <f>IFERROR((CHAIN_RAW!K460+CHAIN_RAW!L460)/2,"")</f>
        <v/>
      </c>
      <c r="H460" s="13">
        <f>IFERROR((CHAIN_RAW!R460+CHAIN_RAW!S460)/2,"")</f>
        <v/>
      </c>
      <c r="I460" s="13">
        <f>IFERROR((CHAIN_RAW!L460-CHAIN_RAW!K460)/MAX(1E-9, G460),"")</f>
        <v/>
      </c>
      <c r="J460" s="13">
        <f>IFERROR((CHAIN_RAW!S460-CHAIN_RAW!R460)/MAX(1E-9, H460),"")</f>
        <v/>
      </c>
      <c r="K460" s="13">
        <f>CHAIN_RAW!G460</f>
        <v/>
      </c>
      <c r="L460" s="13">
        <f>CHAIN_RAW!N460</f>
        <v/>
      </c>
      <c r="M460" s="13">
        <f>IFERROR(L460-K460,"")</f>
        <v/>
      </c>
      <c r="N460" s="13">
        <f>CHAIN_RAW!H460</f>
        <v/>
      </c>
      <c r="O460" s="13">
        <f>CHAIN_RAW!O460</f>
        <v/>
      </c>
      <c r="P460" s="13">
        <f>IFERROR(O460/N460,"")</f>
        <v/>
      </c>
      <c r="Q460" s="13">
        <f>CHAIN_RAW!I460</f>
        <v/>
      </c>
      <c r="R460" s="13">
        <f>CHAIN_RAW!P460</f>
        <v/>
      </c>
      <c r="S460" s="13">
        <f>IFERROR(R460/Q460,"")</f>
        <v/>
      </c>
      <c r="T460" s="13">
        <f>IFERROR((ABS(N460-O460)/MAX(1,(N460+O460)))*EXP(-ABS(E460-CONTROL!E5)/MAX(1,CONTROL!B8)),"")</f>
        <v/>
      </c>
      <c r="U460" s="13">
        <f>IFERROR(IF(O460&gt;N460,"SUPPORT (PE OI)","RESIST (CE OI)"),"")</f>
        <v/>
      </c>
      <c r="V460" s="13">
        <f>IFERROR(IF(Q460&gt;0,IF(R460&gt;0,"BOTH_ADD","CE_ADD_PE_REDUCE"),IF(R460&gt;0,"CE_REDUCE_PE_ADD","BOTH_REDUCE")),"")</f>
        <v/>
      </c>
      <c r="W460" s="13">
        <f>IFERROR( (P460-1)*0.5 + (M460)*0.1 - (I460+J460)*0.05 + T460*0.4 ,"")</f>
        <v/>
      </c>
      <c r="X460" s="13">
        <f>IFERROR(IF(ABS(F460)&lt;0.01,"ATM/NEAR",""),"")</f>
        <v/>
      </c>
    </row>
    <row r="461">
      <c r="A461" s="13">
        <f>CHAIN_RAW!A461</f>
        <v/>
      </c>
      <c r="B461" s="14">
        <f>CHAIN_RAW!B461</f>
        <v/>
      </c>
      <c r="C461" s="13">
        <f>CHAIN_RAW!C461</f>
        <v/>
      </c>
      <c r="D461" s="13">
        <f>CHAIN_RAW!D461</f>
        <v/>
      </c>
      <c r="E461" s="13">
        <f>CHAIN_RAW!E461</f>
        <v/>
      </c>
      <c r="F461" s="13">
        <f>IFERROR((E461-D461)/D461,"")</f>
        <v/>
      </c>
      <c r="G461" s="13">
        <f>IFERROR((CHAIN_RAW!K461+CHAIN_RAW!L461)/2,"")</f>
        <v/>
      </c>
      <c r="H461" s="13">
        <f>IFERROR((CHAIN_RAW!R461+CHAIN_RAW!S461)/2,"")</f>
        <v/>
      </c>
      <c r="I461" s="13">
        <f>IFERROR((CHAIN_RAW!L461-CHAIN_RAW!K461)/MAX(1E-9, G461),"")</f>
        <v/>
      </c>
      <c r="J461" s="13">
        <f>IFERROR((CHAIN_RAW!S461-CHAIN_RAW!R461)/MAX(1E-9, H461),"")</f>
        <v/>
      </c>
      <c r="K461" s="13">
        <f>CHAIN_RAW!G461</f>
        <v/>
      </c>
      <c r="L461" s="13">
        <f>CHAIN_RAW!N461</f>
        <v/>
      </c>
      <c r="M461" s="13">
        <f>IFERROR(L461-K461,"")</f>
        <v/>
      </c>
      <c r="N461" s="13">
        <f>CHAIN_RAW!H461</f>
        <v/>
      </c>
      <c r="O461" s="13">
        <f>CHAIN_RAW!O461</f>
        <v/>
      </c>
      <c r="P461" s="13">
        <f>IFERROR(O461/N461,"")</f>
        <v/>
      </c>
      <c r="Q461" s="13">
        <f>CHAIN_RAW!I461</f>
        <v/>
      </c>
      <c r="R461" s="13">
        <f>CHAIN_RAW!P461</f>
        <v/>
      </c>
      <c r="S461" s="13">
        <f>IFERROR(R461/Q461,"")</f>
        <v/>
      </c>
      <c r="T461" s="13">
        <f>IFERROR((ABS(N461-O461)/MAX(1,(N461+O461)))*EXP(-ABS(E461-CONTROL!E5)/MAX(1,CONTROL!B8)),"")</f>
        <v/>
      </c>
      <c r="U461" s="13">
        <f>IFERROR(IF(O461&gt;N461,"SUPPORT (PE OI)","RESIST (CE OI)"),"")</f>
        <v/>
      </c>
      <c r="V461" s="13">
        <f>IFERROR(IF(Q461&gt;0,IF(R461&gt;0,"BOTH_ADD","CE_ADD_PE_REDUCE"),IF(R461&gt;0,"CE_REDUCE_PE_ADD","BOTH_REDUCE")),"")</f>
        <v/>
      </c>
      <c r="W461" s="13">
        <f>IFERROR( (P461-1)*0.5 + (M461)*0.1 - (I461+J461)*0.05 + T461*0.4 ,"")</f>
        <v/>
      </c>
      <c r="X461" s="13">
        <f>IFERROR(IF(ABS(F461)&lt;0.01,"ATM/NEAR",""),"")</f>
        <v/>
      </c>
    </row>
    <row r="462">
      <c r="A462" s="13">
        <f>CHAIN_RAW!A462</f>
        <v/>
      </c>
      <c r="B462" s="14">
        <f>CHAIN_RAW!B462</f>
        <v/>
      </c>
      <c r="C462" s="13">
        <f>CHAIN_RAW!C462</f>
        <v/>
      </c>
      <c r="D462" s="13">
        <f>CHAIN_RAW!D462</f>
        <v/>
      </c>
      <c r="E462" s="13">
        <f>CHAIN_RAW!E462</f>
        <v/>
      </c>
      <c r="F462" s="13">
        <f>IFERROR((E462-D462)/D462,"")</f>
        <v/>
      </c>
      <c r="G462" s="13">
        <f>IFERROR((CHAIN_RAW!K462+CHAIN_RAW!L462)/2,"")</f>
        <v/>
      </c>
      <c r="H462" s="13">
        <f>IFERROR((CHAIN_RAW!R462+CHAIN_RAW!S462)/2,"")</f>
        <v/>
      </c>
      <c r="I462" s="13">
        <f>IFERROR((CHAIN_RAW!L462-CHAIN_RAW!K462)/MAX(1E-9, G462),"")</f>
        <v/>
      </c>
      <c r="J462" s="13">
        <f>IFERROR((CHAIN_RAW!S462-CHAIN_RAW!R462)/MAX(1E-9, H462),"")</f>
        <v/>
      </c>
      <c r="K462" s="13">
        <f>CHAIN_RAW!G462</f>
        <v/>
      </c>
      <c r="L462" s="13">
        <f>CHAIN_RAW!N462</f>
        <v/>
      </c>
      <c r="M462" s="13">
        <f>IFERROR(L462-K462,"")</f>
        <v/>
      </c>
      <c r="N462" s="13">
        <f>CHAIN_RAW!H462</f>
        <v/>
      </c>
      <c r="O462" s="13">
        <f>CHAIN_RAW!O462</f>
        <v/>
      </c>
      <c r="P462" s="13">
        <f>IFERROR(O462/N462,"")</f>
        <v/>
      </c>
      <c r="Q462" s="13">
        <f>CHAIN_RAW!I462</f>
        <v/>
      </c>
      <c r="R462" s="13">
        <f>CHAIN_RAW!P462</f>
        <v/>
      </c>
      <c r="S462" s="13">
        <f>IFERROR(R462/Q462,"")</f>
        <v/>
      </c>
      <c r="T462" s="13">
        <f>IFERROR((ABS(N462-O462)/MAX(1,(N462+O462)))*EXP(-ABS(E462-CONTROL!E5)/MAX(1,CONTROL!B8)),"")</f>
        <v/>
      </c>
      <c r="U462" s="13">
        <f>IFERROR(IF(O462&gt;N462,"SUPPORT (PE OI)","RESIST (CE OI)"),"")</f>
        <v/>
      </c>
      <c r="V462" s="13">
        <f>IFERROR(IF(Q462&gt;0,IF(R462&gt;0,"BOTH_ADD","CE_ADD_PE_REDUCE"),IF(R462&gt;0,"CE_REDUCE_PE_ADD","BOTH_REDUCE")),"")</f>
        <v/>
      </c>
      <c r="W462" s="13">
        <f>IFERROR( (P462-1)*0.5 + (M462)*0.1 - (I462+J462)*0.05 + T462*0.4 ,"")</f>
        <v/>
      </c>
      <c r="X462" s="13">
        <f>IFERROR(IF(ABS(F462)&lt;0.01,"ATM/NEAR",""),"")</f>
        <v/>
      </c>
    </row>
    <row r="463">
      <c r="A463" s="13">
        <f>CHAIN_RAW!A463</f>
        <v/>
      </c>
      <c r="B463" s="14">
        <f>CHAIN_RAW!B463</f>
        <v/>
      </c>
      <c r="C463" s="13">
        <f>CHAIN_RAW!C463</f>
        <v/>
      </c>
      <c r="D463" s="13">
        <f>CHAIN_RAW!D463</f>
        <v/>
      </c>
      <c r="E463" s="13">
        <f>CHAIN_RAW!E463</f>
        <v/>
      </c>
      <c r="F463" s="13">
        <f>IFERROR((E463-D463)/D463,"")</f>
        <v/>
      </c>
      <c r="G463" s="13">
        <f>IFERROR((CHAIN_RAW!K463+CHAIN_RAW!L463)/2,"")</f>
        <v/>
      </c>
      <c r="H463" s="13">
        <f>IFERROR((CHAIN_RAW!R463+CHAIN_RAW!S463)/2,"")</f>
        <v/>
      </c>
      <c r="I463" s="13">
        <f>IFERROR((CHAIN_RAW!L463-CHAIN_RAW!K463)/MAX(1E-9, G463),"")</f>
        <v/>
      </c>
      <c r="J463" s="13">
        <f>IFERROR((CHAIN_RAW!S463-CHAIN_RAW!R463)/MAX(1E-9, H463),"")</f>
        <v/>
      </c>
      <c r="K463" s="13">
        <f>CHAIN_RAW!G463</f>
        <v/>
      </c>
      <c r="L463" s="13">
        <f>CHAIN_RAW!N463</f>
        <v/>
      </c>
      <c r="M463" s="13">
        <f>IFERROR(L463-K463,"")</f>
        <v/>
      </c>
      <c r="N463" s="13">
        <f>CHAIN_RAW!H463</f>
        <v/>
      </c>
      <c r="O463" s="13">
        <f>CHAIN_RAW!O463</f>
        <v/>
      </c>
      <c r="P463" s="13">
        <f>IFERROR(O463/N463,"")</f>
        <v/>
      </c>
      <c r="Q463" s="13">
        <f>CHAIN_RAW!I463</f>
        <v/>
      </c>
      <c r="R463" s="13">
        <f>CHAIN_RAW!P463</f>
        <v/>
      </c>
      <c r="S463" s="13">
        <f>IFERROR(R463/Q463,"")</f>
        <v/>
      </c>
      <c r="T463" s="13">
        <f>IFERROR((ABS(N463-O463)/MAX(1,(N463+O463)))*EXP(-ABS(E463-CONTROL!E5)/MAX(1,CONTROL!B8)),"")</f>
        <v/>
      </c>
      <c r="U463" s="13">
        <f>IFERROR(IF(O463&gt;N463,"SUPPORT (PE OI)","RESIST (CE OI)"),"")</f>
        <v/>
      </c>
      <c r="V463" s="13">
        <f>IFERROR(IF(Q463&gt;0,IF(R463&gt;0,"BOTH_ADD","CE_ADD_PE_REDUCE"),IF(R463&gt;0,"CE_REDUCE_PE_ADD","BOTH_REDUCE")),"")</f>
        <v/>
      </c>
      <c r="W463" s="13">
        <f>IFERROR( (P463-1)*0.5 + (M463)*0.1 - (I463+J463)*0.05 + T463*0.4 ,"")</f>
        <v/>
      </c>
      <c r="X463" s="13">
        <f>IFERROR(IF(ABS(F463)&lt;0.01,"ATM/NEAR",""),"")</f>
        <v/>
      </c>
    </row>
    <row r="464">
      <c r="A464" s="13">
        <f>CHAIN_RAW!A464</f>
        <v/>
      </c>
      <c r="B464" s="14">
        <f>CHAIN_RAW!B464</f>
        <v/>
      </c>
      <c r="C464" s="13">
        <f>CHAIN_RAW!C464</f>
        <v/>
      </c>
      <c r="D464" s="13">
        <f>CHAIN_RAW!D464</f>
        <v/>
      </c>
      <c r="E464" s="13">
        <f>CHAIN_RAW!E464</f>
        <v/>
      </c>
      <c r="F464" s="13">
        <f>IFERROR((E464-D464)/D464,"")</f>
        <v/>
      </c>
      <c r="G464" s="13">
        <f>IFERROR((CHAIN_RAW!K464+CHAIN_RAW!L464)/2,"")</f>
        <v/>
      </c>
      <c r="H464" s="13">
        <f>IFERROR((CHAIN_RAW!R464+CHAIN_RAW!S464)/2,"")</f>
        <v/>
      </c>
      <c r="I464" s="13">
        <f>IFERROR((CHAIN_RAW!L464-CHAIN_RAW!K464)/MAX(1E-9, G464),"")</f>
        <v/>
      </c>
      <c r="J464" s="13">
        <f>IFERROR((CHAIN_RAW!S464-CHAIN_RAW!R464)/MAX(1E-9, H464),"")</f>
        <v/>
      </c>
      <c r="K464" s="13">
        <f>CHAIN_RAW!G464</f>
        <v/>
      </c>
      <c r="L464" s="13">
        <f>CHAIN_RAW!N464</f>
        <v/>
      </c>
      <c r="M464" s="13">
        <f>IFERROR(L464-K464,"")</f>
        <v/>
      </c>
      <c r="N464" s="13">
        <f>CHAIN_RAW!H464</f>
        <v/>
      </c>
      <c r="O464" s="13">
        <f>CHAIN_RAW!O464</f>
        <v/>
      </c>
      <c r="P464" s="13">
        <f>IFERROR(O464/N464,"")</f>
        <v/>
      </c>
      <c r="Q464" s="13">
        <f>CHAIN_RAW!I464</f>
        <v/>
      </c>
      <c r="R464" s="13">
        <f>CHAIN_RAW!P464</f>
        <v/>
      </c>
      <c r="S464" s="13">
        <f>IFERROR(R464/Q464,"")</f>
        <v/>
      </c>
      <c r="T464" s="13">
        <f>IFERROR((ABS(N464-O464)/MAX(1,(N464+O464)))*EXP(-ABS(E464-CONTROL!E5)/MAX(1,CONTROL!B8)),"")</f>
        <v/>
      </c>
      <c r="U464" s="13">
        <f>IFERROR(IF(O464&gt;N464,"SUPPORT (PE OI)","RESIST (CE OI)"),"")</f>
        <v/>
      </c>
      <c r="V464" s="13">
        <f>IFERROR(IF(Q464&gt;0,IF(R464&gt;0,"BOTH_ADD","CE_ADD_PE_REDUCE"),IF(R464&gt;0,"CE_REDUCE_PE_ADD","BOTH_REDUCE")),"")</f>
        <v/>
      </c>
      <c r="W464" s="13">
        <f>IFERROR( (P464-1)*0.5 + (M464)*0.1 - (I464+J464)*0.05 + T464*0.4 ,"")</f>
        <v/>
      </c>
      <c r="X464" s="13">
        <f>IFERROR(IF(ABS(F464)&lt;0.01,"ATM/NEAR",""),"")</f>
        <v/>
      </c>
    </row>
    <row r="465">
      <c r="A465" s="13">
        <f>CHAIN_RAW!A465</f>
        <v/>
      </c>
      <c r="B465" s="14">
        <f>CHAIN_RAW!B465</f>
        <v/>
      </c>
      <c r="C465" s="13">
        <f>CHAIN_RAW!C465</f>
        <v/>
      </c>
      <c r="D465" s="13">
        <f>CHAIN_RAW!D465</f>
        <v/>
      </c>
      <c r="E465" s="13">
        <f>CHAIN_RAW!E465</f>
        <v/>
      </c>
      <c r="F465" s="13">
        <f>IFERROR((E465-D465)/D465,"")</f>
        <v/>
      </c>
      <c r="G465" s="13">
        <f>IFERROR((CHAIN_RAW!K465+CHAIN_RAW!L465)/2,"")</f>
        <v/>
      </c>
      <c r="H465" s="13">
        <f>IFERROR((CHAIN_RAW!R465+CHAIN_RAW!S465)/2,"")</f>
        <v/>
      </c>
      <c r="I465" s="13">
        <f>IFERROR((CHAIN_RAW!L465-CHAIN_RAW!K465)/MAX(1E-9, G465),"")</f>
        <v/>
      </c>
      <c r="J465" s="13">
        <f>IFERROR((CHAIN_RAW!S465-CHAIN_RAW!R465)/MAX(1E-9, H465),"")</f>
        <v/>
      </c>
      <c r="K465" s="13">
        <f>CHAIN_RAW!G465</f>
        <v/>
      </c>
      <c r="L465" s="13">
        <f>CHAIN_RAW!N465</f>
        <v/>
      </c>
      <c r="M465" s="13">
        <f>IFERROR(L465-K465,"")</f>
        <v/>
      </c>
      <c r="N465" s="13">
        <f>CHAIN_RAW!H465</f>
        <v/>
      </c>
      <c r="O465" s="13">
        <f>CHAIN_RAW!O465</f>
        <v/>
      </c>
      <c r="P465" s="13">
        <f>IFERROR(O465/N465,"")</f>
        <v/>
      </c>
      <c r="Q465" s="13">
        <f>CHAIN_RAW!I465</f>
        <v/>
      </c>
      <c r="R465" s="13">
        <f>CHAIN_RAW!P465</f>
        <v/>
      </c>
      <c r="S465" s="13">
        <f>IFERROR(R465/Q465,"")</f>
        <v/>
      </c>
      <c r="T465" s="13">
        <f>IFERROR((ABS(N465-O465)/MAX(1,(N465+O465)))*EXP(-ABS(E465-CONTROL!E5)/MAX(1,CONTROL!B8)),"")</f>
        <v/>
      </c>
      <c r="U465" s="13">
        <f>IFERROR(IF(O465&gt;N465,"SUPPORT (PE OI)","RESIST (CE OI)"),"")</f>
        <v/>
      </c>
      <c r="V465" s="13">
        <f>IFERROR(IF(Q465&gt;0,IF(R465&gt;0,"BOTH_ADD","CE_ADD_PE_REDUCE"),IF(R465&gt;0,"CE_REDUCE_PE_ADD","BOTH_REDUCE")),"")</f>
        <v/>
      </c>
      <c r="W465" s="13">
        <f>IFERROR( (P465-1)*0.5 + (M465)*0.1 - (I465+J465)*0.05 + T465*0.4 ,"")</f>
        <v/>
      </c>
      <c r="X465" s="13">
        <f>IFERROR(IF(ABS(F465)&lt;0.01,"ATM/NEAR",""),"")</f>
        <v/>
      </c>
    </row>
    <row r="466">
      <c r="A466" s="13">
        <f>CHAIN_RAW!A466</f>
        <v/>
      </c>
      <c r="B466" s="14">
        <f>CHAIN_RAW!B466</f>
        <v/>
      </c>
      <c r="C466" s="13">
        <f>CHAIN_RAW!C466</f>
        <v/>
      </c>
      <c r="D466" s="13">
        <f>CHAIN_RAW!D466</f>
        <v/>
      </c>
      <c r="E466" s="13">
        <f>CHAIN_RAW!E466</f>
        <v/>
      </c>
      <c r="F466" s="13">
        <f>IFERROR((E466-D466)/D466,"")</f>
        <v/>
      </c>
      <c r="G466" s="13">
        <f>IFERROR((CHAIN_RAW!K466+CHAIN_RAW!L466)/2,"")</f>
        <v/>
      </c>
      <c r="H466" s="13">
        <f>IFERROR((CHAIN_RAW!R466+CHAIN_RAW!S466)/2,"")</f>
        <v/>
      </c>
      <c r="I466" s="13">
        <f>IFERROR((CHAIN_RAW!L466-CHAIN_RAW!K466)/MAX(1E-9, G466),"")</f>
        <v/>
      </c>
      <c r="J466" s="13">
        <f>IFERROR((CHAIN_RAW!S466-CHAIN_RAW!R466)/MAX(1E-9, H466),"")</f>
        <v/>
      </c>
      <c r="K466" s="13">
        <f>CHAIN_RAW!G466</f>
        <v/>
      </c>
      <c r="L466" s="13">
        <f>CHAIN_RAW!N466</f>
        <v/>
      </c>
      <c r="M466" s="13">
        <f>IFERROR(L466-K466,"")</f>
        <v/>
      </c>
      <c r="N466" s="13">
        <f>CHAIN_RAW!H466</f>
        <v/>
      </c>
      <c r="O466" s="13">
        <f>CHAIN_RAW!O466</f>
        <v/>
      </c>
      <c r="P466" s="13">
        <f>IFERROR(O466/N466,"")</f>
        <v/>
      </c>
      <c r="Q466" s="13">
        <f>CHAIN_RAW!I466</f>
        <v/>
      </c>
      <c r="R466" s="13">
        <f>CHAIN_RAW!P466</f>
        <v/>
      </c>
      <c r="S466" s="13">
        <f>IFERROR(R466/Q466,"")</f>
        <v/>
      </c>
      <c r="T466" s="13">
        <f>IFERROR((ABS(N466-O466)/MAX(1,(N466+O466)))*EXP(-ABS(E466-CONTROL!E5)/MAX(1,CONTROL!B8)),"")</f>
        <v/>
      </c>
      <c r="U466" s="13">
        <f>IFERROR(IF(O466&gt;N466,"SUPPORT (PE OI)","RESIST (CE OI)"),"")</f>
        <v/>
      </c>
      <c r="V466" s="13">
        <f>IFERROR(IF(Q466&gt;0,IF(R466&gt;0,"BOTH_ADD","CE_ADD_PE_REDUCE"),IF(R466&gt;0,"CE_REDUCE_PE_ADD","BOTH_REDUCE")),"")</f>
        <v/>
      </c>
      <c r="W466" s="13">
        <f>IFERROR( (P466-1)*0.5 + (M466)*0.1 - (I466+J466)*0.05 + T466*0.4 ,"")</f>
        <v/>
      </c>
      <c r="X466" s="13">
        <f>IFERROR(IF(ABS(F466)&lt;0.01,"ATM/NEAR",""),"")</f>
        <v/>
      </c>
    </row>
    <row r="467">
      <c r="A467" s="13">
        <f>CHAIN_RAW!A467</f>
        <v/>
      </c>
      <c r="B467" s="14">
        <f>CHAIN_RAW!B467</f>
        <v/>
      </c>
      <c r="C467" s="13">
        <f>CHAIN_RAW!C467</f>
        <v/>
      </c>
      <c r="D467" s="13">
        <f>CHAIN_RAW!D467</f>
        <v/>
      </c>
      <c r="E467" s="13">
        <f>CHAIN_RAW!E467</f>
        <v/>
      </c>
      <c r="F467" s="13">
        <f>IFERROR((E467-D467)/D467,"")</f>
        <v/>
      </c>
      <c r="G467" s="13">
        <f>IFERROR((CHAIN_RAW!K467+CHAIN_RAW!L467)/2,"")</f>
        <v/>
      </c>
      <c r="H467" s="13">
        <f>IFERROR((CHAIN_RAW!R467+CHAIN_RAW!S467)/2,"")</f>
        <v/>
      </c>
      <c r="I467" s="13">
        <f>IFERROR((CHAIN_RAW!L467-CHAIN_RAW!K467)/MAX(1E-9, G467),"")</f>
        <v/>
      </c>
      <c r="J467" s="13">
        <f>IFERROR((CHAIN_RAW!S467-CHAIN_RAW!R467)/MAX(1E-9, H467),"")</f>
        <v/>
      </c>
      <c r="K467" s="13">
        <f>CHAIN_RAW!G467</f>
        <v/>
      </c>
      <c r="L467" s="13">
        <f>CHAIN_RAW!N467</f>
        <v/>
      </c>
      <c r="M467" s="13">
        <f>IFERROR(L467-K467,"")</f>
        <v/>
      </c>
      <c r="N467" s="13">
        <f>CHAIN_RAW!H467</f>
        <v/>
      </c>
      <c r="O467" s="13">
        <f>CHAIN_RAW!O467</f>
        <v/>
      </c>
      <c r="P467" s="13">
        <f>IFERROR(O467/N467,"")</f>
        <v/>
      </c>
      <c r="Q467" s="13">
        <f>CHAIN_RAW!I467</f>
        <v/>
      </c>
      <c r="R467" s="13">
        <f>CHAIN_RAW!P467</f>
        <v/>
      </c>
      <c r="S467" s="13">
        <f>IFERROR(R467/Q467,"")</f>
        <v/>
      </c>
      <c r="T467" s="13">
        <f>IFERROR((ABS(N467-O467)/MAX(1,(N467+O467)))*EXP(-ABS(E467-CONTROL!E5)/MAX(1,CONTROL!B8)),"")</f>
        <v/>
      </c>
      <c r="U467" s="13">
        <f>IFERROR(IF(O467&gt;N467,"SUPPORT (PE OI)","RESIST (CE OI)"),"")</f>
        <v/>
      </c>
      <c r="V467" s="13">
        <f>IFERROR(IF(Q467&gt;0,IF(R467&gt;0,"BOTH_ADD","CE_ADD_PE_REDUCE"),IF(R467&gt;0,"CE_REDUCE_PE_ADD","BOTH_REDUCE")),"")</f>
        <v/>
      </c>
      <c r="W467" s="13">
        <f>IFERROR( (P467-1)*0.5 + (M467)*0.1 - (I467+J467)*0.05 + T467*0.4 ,"")</f>
        <v/>
      </c>
      <c r="X467" s="13">
        <f>IFERROR(IF(ABS(F467)&lt;0.01,"ATM/NEAR",""),"")</f>
        <v/>
      </c>
    </row>
    <row r="468">
      <c r="A468" s="13">
        <f>CHAIN_RAW!A468</f>
        <v/>
      </c>
      <c r="B468" s="14">
        <f>CHAIN_RAW!B468</f>
        <v/>
      </c>
      <c r="C468" s="13">
        <f>CHAIN_RAW!C468</f>
        <v/>
      </c>
      <c r="D468" s="13">
        <f>CHAIN_RAW!D468</f>
        <v/>
      </c>
      <c r="E468" s="13">
        <f>CHAIN_RAW!E468</f>
        <v/>
      </c>
      <c r="F468" s="13">
        <f>IFERROR((E468-D468)/D468,"")</f>
        <v/>
      </c>
      <c r="G468" s="13">
        <f>IFERROR((CHAIN_RAW!K468+CHAIN_RAW!L468)/2,"")</f>
        <v/>
      </c>
      <c r="H468" s="13">
        <f>IFERROR((CHAIN_RAW!R468+CHAIN_RAW!S468)/2,"")</f>
        <v/>
      </c>
      <c r="I468" s="13">
        <f>IFERROR((CHAIN_RAW!L468-CHAIN_RAW!K468)/MAX(1E-9, G468),"")</f>
        <v/>
      </c>
      <c r="J468" s="13">
        <f>IFERROR((CHAIN_RAW!S468-CHAIN_RAW!R468)/MAX(1E-9, H468),"")</f>
        <v/>
      </c>
      <c r="K468" s="13">
        <f>CHAIN_RAW!G468</f>
        <v/>
      </c>
      <c r="L468" s="13">
        <f>CHAIN_RAW!N468</f>
        <v/>
      </c>
      <c r="M468" s="13">
        <f>IFERROR(L468-K468,"")</f>
        <v/>
      </c>
      <c r="N468" s="13">
        <f>CHAIN_RAW!H468</f>
        <v/>
      </c>
      <c r="O468" s="13">
        <f>CHAIN_RAW!O468</f>
        <v/>
      </c>
      <c r="P468" s="13">
        <f>IFERROR(O468/N468,"")</f>
        <v/>
      </c>
      <c r="Q468" s="13">
        <f>CHAIN_RAW!I468</f>
        <v/>
      </c>
      <c r="R468" s="13">
        <f>CHAIN_RAW!P468</f>
        <v/>
      </c>
      <c r="S468" s="13">
        <f>IFERROR(R468/Q468,"")</f>
        <v/>
      </c>
      <c r="T468" s="13">
        <f>IFERROR((ABS(N468-O468)/MAX(1,(N468+O468)))*EXP(-ABS(E468-CONTROL!E5)/MAX(1,CONTROL!B8)),"")</f>
        <v/>
      </c>
      <c r="U468" s="13">
        <f>IFERROR(IF(O468&gt;N468,"SUPPORT (PE OI)","RESIST (CE OI)"),"")</f>
        <v/>
      </c>
      <c r="V468" s="13">
        <f>IFERROR(IF(Q468&gt;0,IF(R468&gt;0,"BOTH_ADD","CE_ADD_PE_REDUCE"),IF(R468&gt;0,"CE_REDUCE_PE_ADD","BOTH_REDUCE")),"")</f>
        <v/>
      </c>
      <c r="W468" s="13">
        <f>IFERROR( (P468-1)*0.5 + (M468)*0.1 - (I468+J468)*0.05 + T468*0.4 ,"")</f>
        <v/>
      </c>
      <c r="X468" s="13">
        <f>IFERROR(IF(ABS(F468)&lt;0.01,"ATM/NEAR",""),"")</f>
        <v/>
      </c>
    </row>
    <row r="469">
      <c r="A469" s="13">
        <f>CHAIN_RAW!A469</f>
        <v/>
      </c>
      <c r="B469" s="14">
        <f>CHAIN_RAW!B469</f>
        <v/>
      </c>
      <c r="C469" s="13">
        <f>CHAIN_RAW!C469</f>
        <v/>
      </c>
      <c r="D469" s="13">
        <f>CHAIN_RAW!D469</f>
        <v/>
      </c>
      <c r="E469" s="13">
        <f>CHAIN_RAW!E469</f>
        <v/>
      </c>
      <c r="F469" s="13">
        <f>IFERROR((E469-D469)/D469,"")</f>
        <v/>
      </c>
      <c r="G469" s="13">
        <f>IFERROR((CHAIN_RAW!K469+CHAIN_RAW!L469)/2,"")</f>
        <v/>
      </c>
      <c r="H469" s="13">
        <f>IFERROR((CHAIN_RAW!R469+CHAIN_RAW!S469)/2,"")</f>
        <v/>
      </c>
      <c r="I469" s="13">
        <f>IFERROR((CHAIN_RAW!L469-CHAIN_RAW!K469)/MAX(1E-9, G469),"")</f>
        <v/>
      </c>
      <c r="J469" s="13">
        <f>IFERROR((CHAIN_RAW!S469-CHAIN_RAW!R469)/MAX(1E-9, H469),"")</f>
        <v/>
      </c>
      <c r="K469" s="13">
        <f>CHAIN_RAW!G469</f>
        <v/>
      </c>
      <c r="L469" s="13">
        <f>CHAIN_RAW!N469</f>
        <v/>
      </c>
      <c r="M469" s="13">
        <f>IFERROR(L469-K469,"")</f>
        <v/>
      </c>
      <c r="N469" s="13">
        <f>CHAIN_RAW!H469</f>
        <v/>
      </c>
      <c r="O469" s="13">
        <f>CHAIN_RAW!O469</f>
        <v/>
      </c>
      <c r="P469" s="13">
        <f>IFERROR(O469/N469,"")</f>
        <v/>
      </c>
      <c r="Q469" s="13">
        <f>CHAIN_RAW!I469</f>
        <v/>
      </c>
      <c r="R469" s="13">
        <f>CHAIN_RAW!P469</f>
        <v/>
      </c>
      <c r="S469" s="13">
        <f>IFERROR(R469/Q469,"")</f>
        <v/>
      </c>
      <c r="T469" s="13">
        <f>IFERROR((ABS(N469-O469)/MAX(1,(N469+O469)))*EXP(-ABS(E469-CONTROL!E5)/MAX(1,CONTROL!B8)),"")</f>
        <v/>
      </c>
      <c r="U469" s="13">
        <f>IFERROR(IF(O469&gt;N469,"SUPPORT (PE OI)","RESIST (CE OI)"),"")</f>
        <v/>
      </c>
      <c r="V469" s="13">
        <f>IFERROR(IF(Q469&gt;0,IF(R469&gt;0,"BOTH_ADD","CE_ADD_PE_REDUCE"),IF(R469&gt;0,"CE_REDUCE_PE_ADD","BOTH_REDUCE")),"")</f>
        <v/>
      </c>
      <c r="W469" s="13">
        <f>IFERROR( (P469-1)*0.5 + (M469)*0.1 - (I469+J469)*0.05 + T469*0.4 ,"")</f>
        <v/>
      </c>
      <c r="X469" s="13">
        <f>IFERROR(IF(ABS(F469)&lt;0.01,"ATM/NEAR",""),"")</f>
        <v/>
      </c>
    </row>
    <row r="470">
      <c r="A470" s="13">
        <f>CHAIN_RAW!A470</f>
        <v/>
      </c>
      <c r="B470" s="14">
        <f>CHAIN_RAW!B470</f>
        <v/>
      </c>
      <c r="C470" s="13">
        <f>CHAIN_RAW!C470</f>
        <v/>
      </c>
      <c r="D470" s="13">
        <f>CHAIN_RAW!D470</f>
        <v/>
      </c>
      <c r="E470" s="13">
        <f>CHAIN_RAW!E470</f>
        <v/>
      </c>
      <c r="F470" s="13">
        <f>IFERROR((E470-D470)/D470,"")</f>
        <v/>
      </c>
      <c r="G470" s="13">
        <f>IFERROR((CHAIN_RAW!K470+CHAIN_RAW!L470)/2,"")</f>
        <v/>
      </c>
      <c r="H470" s="13">
        <f>IFERROR((CHAIN_RAW!R470+CHAIN_RAW!S470)/2,"")</f>
        <v/>
      </c>
      <c r="I470" s="13">
        <f>IFERROR((CHAIN_RAW!L470-CHAIN_RAW!K470)/MAX(1E-9, G470),"")</f>
        <v/>
      </c>
      <c r="J470" s="13">
        <f>IFERROR((CHAIN_RAW!S470-CHAIN_RAW!R470)/MAX(1E-9, H470),"")</f>
        <v/>
      </c>
      <c r="K470" s="13">
        <f>CHAIN_RAW!G470</f>
        <v/>
      </c>
      <c r="L470" s="13">
        <f>CHAIN_RAW!N470</f>
        <v/>
      </c>
      <c r="M470" s="13">
        <f>IFERROR(L470-K470,"")</f>
        <v/>
      </c>
      <c r="N470" s="13">
        <f>CHAIN_RAW!H470</f>
        <v/>
      </c>
      <c r="O470" s="13">
        <f>CHAIN_RAW!O470</f>
        <v/>
      </c>
      <c r="P470" s="13">
        <f>IFERROR(O470/N470,"")</f>
        <v/>
      </c>
      <c r="Q470" s="13">
        <f>CHAIN_RAW!I470</f>
        <v/>
      </c>
      <c r="R470" s="13">
        <f>CHAIN_RAW!P470</f>
        <v/>
      </c>
      <c r="S470" s="13">
        <f>IFERROR(R470/Q470,"")</f>
        <v/>
      </c>
      <c r="T470" s="13">
        <f>IFERROR((ABS(N470-O470)/MAX(1,(N470+O470)))*EXP(-ABS(E470-CONTROL!E5)/MAX(1,CONTROL!B8)),"")</f>
        <v/>
      </c>
      <c r="U470" s="13">
        <f>IFERROR(IF(O470&gt;N470,"SUPPORT (PE OI)","RESIST (CE OI)"),"")</f>
        <v/>
      </c>
      <c r="V470" s="13">
        <f>IFERROR(IF(Q470&gt;0,IF(R470&gt;0,"BOTH_ADD","CE_ADD_PE_REDUCE"),IF(R470&gt;0,"CE_REDUCE_PE_ADD","BOTH_REDUCE")),"")</f>
        <v/>
      </c>
      <c r="W470" s="13">
        <f>IFERROR( (P470-1)*0.5 + (M470)*0.1 - (I470+J470)*0.05 + T470*0.4 ,"")</f>
        <v/>
      </c>
      <c r="X470" s="13">
        <f>IFERROR(IF(ABS(F470)&lt;0.01,"ATM/NEAR",""),"")</f>
        <v/>
      </c>
    </row>
    <row r="471">
      <c r="A471" s="13">
        <f>CHAIN_RAW!A471</f>
        <v/>
      </c>
      <c r="B471" s="14">
        <f>CHAIN_RAW!B471</f>
        <v/>
      </c>
      <c r="C471" s="13">
        <f>CHAIN_RAW!C471</f>
        <v/>
      </c>
      <c r="D471" s="13">
        <f>CHAIN_RAW!D471</f>
        <v/>
      </c>
      <c r="E471" s="13">
        <f>CHAIN_RAW!E471</f>
        <v/>
      </c>
      <c r="F471" s="13">
        <f>IFERROR((E471-D471)/D471,"")</f>
        <v/>
      </c>
      <c r="G471" s="13">
        <f>IFERROR((CHAIN_RAW!K471+CHAIN_RAW!L471)/2,"")</f>
        <v/>
      </c>
      <c r="H471" s="13">
        <f>IFERROR((CHAIN_RAW!R471+CHAIN_RAW!S471)/2,"")</f>
        <v/>
      </c>
      <c r="I471" s="13">
        <f>IFERROR((CHAIN_RAW!L471-CHAIN_RAW!K471)/MAX(1E-9, G471),"")</f>
        <v/>
      </c>
      <c r="J471" s="13">
        <f>IFERROR((CHAIN_RAW!S471-CHAIN_RAW!R471)/MAX(1E-9, H471),"")</f>
        <v/>
      </c>
      <c r="K471" s="13">
        <f>CHAIN_RAW!G471</f>
        <v/>
      </c>
      <c r="L471" s="13">
        <f>CHAIN_RAW!N471</f>
        <v/>
      </c>
      <c r="M471" s="13">
        <f>IFERROR(L471-K471,"")</f>
        <v/>
      </c>
      <c r="N471" s="13">
        <f>CHAIN_RAW!H471</f>
        <v/>
      </c>
      <c r="O471" s="13">
        <f>CHAIN_RAW!O471</f>
        <v/>
      </c>
      <c r="P471" s="13">
        <f>IFERROR(O471/N471,"")</f>
        <v/>
      </c>
      <c r="Q471" s="13">
        <f>CHAIN_RAW!I471</f>
        <v/>
      </c>
      <c r="R471" s="13">
        <f>CHAIN_RAW!P471</f>
        <v/>
      </c>
      <c r="S471" s="13">
        <f>IFERROR(R471/Q471,"")</f>
        <v/>
      </c>
      <c r="T471" s="13">
        <f>IFERROR((ABS(N471-O471)/MAX(1,(N471+O471)))*EXP(-ABS(E471-CONTROL!E5)/MAX(1,CONTROL!B8)),"")</f>
        <v/>
      </c>
      <c r="U471" s="13">
        <f>IFERROR(IF(O471&gt;N471,"SUPPORT (PE OI)","RESIST (CE OI)"),"")</f>
        <v/>
      </c>
      <c r="V471" s="13">
        <f>IFERROR(IF(Q471&gt;0,IF(R471&gt;0,"BOTH_ADD","CE_ADD_PE_REDUCE"),IF(R471&gt;0,"CE_REDUCE_PE_ADD","BOTH_REDUCE")),"")</f>
        <v/>
      </c>
      <c r="W471" s="13">
        <f>IFERROR( (P471-1)*0.5 + (M471)*0.1 - (I471+J471)*0.05 + T471*0.4 ,"")</f>
        <v/>
      </c>
      <c r="X471" s="13">
        <f>IFERROR(IF(ABS(F471)&lt;0.01,"ATM/NEAR",""),"")</f>
        <v/>
      </c>
    </row>
    <row r="472">
      <c r="A472" s="13">
        <f>CHAIN_RAW!A472</f>
        <v/>
      </c>
      <c r="B472" s="14">
        <f>CHAIN_RAW!B472</f>
        <v/>
      </c>
      <c r="C472" s="13">
        <f>CHAIN_RAW!C472</f>
        <v/>
      </c>
      <c r="D472" s="13">
        <f>CHAIN_RAW!D472</f>
        <v/>
      </c>
      <c r="E472" s="13">
        <f>CHAIN_RAW!E472</f>
        <v/>
      </c>
      <c r="F472" s="13">
        <f>IFERROR((E472-D472)/D472,"")</f>
        <v/>
      </c>
      <c r="G472" s="13">
        <f>IFERROR((CHAIN_RAW!K472+CHAIN_RAW!L472)/2,"")</f>
        <v/>
      </c>
      <c r="H472" s="13">
        <f>IFERROR((CHAIN_RAW!R472+CHAIN_RAW!S472)/2,"")</f>
        <v/>
      </c>
      <c r="I472" s="13">
        <f>IFERROR((CHAIN_RAW!L472-CHAIN_RAW!K472)/MAX(1E-9, G472),"")</f>
        <v/>
      </c>
      <c r="J472" s="13">
        <f>IFERROR((CHAIN_RAW!S472-CHAIN_RAW!R472)/MAX(1E-9, H472),"")</f>
        <v/>
      </c>
      <c r="K472" s="13">
        <f>CHAIN_RAW!G472</f>
        <v/>
      </c>
      <c r="L472" s="13">
        <f>CHAIN_RAW!N472</f>
        <v/>
      </c>
      <c r="M472" s="13">
        <f>IFERROR(L472-K472,"")</f>
        <v/>
      </c>
      <c r="N472" s="13">
        <f>CHAIN_RAW!H472</f>
        <v/>
      </c>
      <c r="O472" s="13">
        <f>CHAIN_RAW!O472</f>
        <v/>
      </c>
      <c r="P472" s="13">
        <f>IFERROR(O472/N472,"")</f>
        <v/>
      </c>
      <c r="Q472" s="13">
        <f>CHAIN_RAW!I472</f>
        <v/>
      </c>
      <c r="R472" s="13">
        <f>CHAIN_RAW!P472</f>
        <v/>
      </c>
      <c r="S472" s="13">
        <f>IFERROR(R472/Q472,"")</f>
        <v/>
      </c>
      <c r="T472" s="13">
        <f>IFERROR((ABS(N472-O472)/MAX(1,(N472+O472)))*EXP(-ABS(E472-CONTROL!E5)/MAX(1,CONTROL!B8)),"")</f>
        <v/>
      </c>
      <c r="U472" s="13">
        <f>IFERROR(IF(O472&gt;N472,"SUPPORT (PE OI)","RESIST (CE OI)"),"")</f>
        <v/>
      </c>
      <c r="V472" s="13">
        <f>IFERROR(IF(Q472&gt;0,IF(R472&gt;0,"BOTH_ADD","CE_ADD_PE_REDUCE"),IF(R472&gt;0,"CE_REDUCE_PE_ADD","BOTH_REDUCE")),"")</f>
        <v/>
      </c>
      <c r="W472" s="13">
        <f>IFERROR( (P472-1)*0.5 + (M472)*0.1 - (I472+J472)*0.05 + T472*0.4 ,"")</f>
        <v/>
      </c>
      <c r="X472" s="13">
        <f>IFERROR(IF(ABS(F472)&lt;0.01,"ATM/NEAR",""),"")</f>
        <v/>
      </c>
    </row>
    <row r="473">
      <c r="A473" s="13">
        <f>CHAIN_RAW!A473</f>
        <v/>
      </c>
      <c r="B473" s="14">
        <f>CHAIN_RAW!B473</f>
        <v/>
      </c>
      <c r="C473" s="13">
        <f>CHAIN_RAW!C473</f>
        <v/>
      </c>
      <c r="D473" s="13">
        <f>CHAIN_RAW!D473</f>
        <v/>
      </c>
      <c r="E473" s="13">
        <f>CHAIN_RAW!E473</f>
        <v/>
      </c>
      <c r="F473" s="13">
        <f>IFERROR((E473-D473)/D473,"")</f>
        <v/>
      </c>
      <c r="G473" s="13">
        <f>IFERROR((CHAIN_RAW!K473+CHAIN_RAW!L473)/2,"")</f>
        <v/>
      </c>
      <c r="H473" s="13">
        <f>IFERROR((CHAIN_RAW!R473+CHAIN_RAW!S473)/2,"")</f>
        <v/>
      </c>
      <c r="I473" s="13">
        <f>IFERROR((CHAIN_RAW!L473-CHAIN_RAW!K473)/MAX(1E-9, G473),"")</f>
        <v/>
      </c>
      <c r="J473" s="13">
        <f>IFERROR((CHAIN_RAW!S473-CHAIN_RAW!R473)/MAX(1E-9, H473),"")</f>
        <v/>
      </c>
      <c r="K473" s="13">
        <f>CHAIN_RAW!G473</f>
        <v/>
      </c>
      <c r="L473" s="13">
        <f>CHAIN_RAW!N473</f>
        <v/>
      </c>
      <c r="M473" s="13">
        <f>IFERROR(L473-K473,"")</f>
        <v/>
      </c>
      <c r="N473" s="13">
        <f>CHAIN_RAW!H473</f>
        <v/>
      </c>
      <c r="O473" s="13">
        <f>CHAIN_RAW!O473</f>
        <v/>
      </c>
      <c r="P473" s="13">
        <f>IFERROR(O473/N473,"")</f>
        <v/>
      </c>
      <c r="Q473" s="13">
        <f>CHAIN_RAW!I473</f>
        <v/>
      </c>
      <c r="R473" s="13">
        <f>CHAIN_RAW!P473</f>
        <v/>
      </c>
      <c r="S473" s="13">
        <f>IFERROR(R473/Q473,"")</f>
        <v/>
      </c>
      <c r="T473" s="13">
        <f>IFERROR((ABS(N473-O473)/MAX(1,(N473+O473)))*EXP(-ABS(E473-CONTROL!E5)/MAX(1,CONTROL!B8)),"")</f>
        <v/>
      </c>
      <c r="U473" s="13">
        <f>IFERROR(IF(O473&gt;N473,"SUPPORT (PE OI)","RESIST (CE OI)"),"")</f>
        <v/>
      </c>
      <c r="V473" s="13">
        <f>IFERROR(IF(Q473&gt;0,IF(R473&gt;0,"BOTH_ADD","CE_ADD_PE_REDUCE"),IF(R473&gt;0,"CE_REDUCE_PE_ADD","BOTH_REDUCE")),"")</f>
        <v/>
      </c>
      <c r="W473" s="13">
        <f>IFERROR( (P473-1)*0.5 + (M473)*0.1 - (I473+J473)*0.05 + T473*0.4 ,"")</f>
        <v/>
      </c>
      <c r="X473" s="13">
        <f>IFERROR(IF(ABS(F473)&lt;0.01,"ATM/NEAR",""),"")</f>
        <v/>
      </c>
    </row>
    <row r="474">
      <c r="A474" s="13">
        <f>CHAIN_RAW!A474</f>
        <v/>
      </c>
      <c r="B474" s="14">
        <f>CHAIN_RAW!B474</f>
        <v/>
      </c>
      <c r="C474" s="13">
        <f>CHAIN_RAW!C474</f>
        <v/>
      </c>
      <c r="D474" s="13">
        <f>CHAIN_RAW!D474</f>
        <v/>
      </c>
      <c r="E474" s="13">
        <f>CHAIN_RAW!E474</f>
        <v/>
      </c>
      <c r="F474" s="13">
        <f>IFERROR((E474-D474)/D474,"")</f>
        <v/>
      </c>
      <c r="G474" s="13">
        <f>IFERROR((CHAIN_RAW!K474+CHAIN_RAW!L474)/2,"")</f>
        <v/>
      </c>
      <c r="H474" s="13">
        <f>IFERROR((CHAIN_RAW!R474+CHAIN_RAW!S474)/2,"")</f>
        <v/>
      </c>
      <c r="I474" s="13">
        <f>IFERROR((CHAIN_RAW!L474-CHAIN_RAW!K474)/MAX(1E-9, G474),"")</f>
        <v/>
      </c>
      <c r="J474" s="13">
        <f>IFERROR((CHAIN_RAW!S474-CHAIN_RAW!R474)/MAX(1E-9, H474),"")</f>
        <v/>
      </c>
      <c r="K474" s="13">
        <f>CHAIN_RAW!G474</f>
        <v/>
      </c>
      <c r="L474" s="13">
        <f>CHAIN_RAW!N474</f>
        <v/>
      </c>
      <c r="M474" s="13">
        <f>IFERROR(L474-K474,"")</f>
        <v/>
      </c>
      <c r="N474" s="13">
        <f>CHAIN_RAW!H474</f>
        <v/>
      </c>
      <c r="O474" s="13">
        <f>CHAIN_RAW!O474</f>
        <v/>
      </c>
      <c r="P474" s="13">
        <f>IFERROR(O474/N474,"")</f>
        <v/>
      </c>
      <c r="Q474" s="13">
        <f>CHAIN_RAW!I474</f>
        <v/>
      </c>
      <c r="R474" s="13">
        <f>CHAIN_RAW!P474</f>
        <v/>
      </c>
      <c r="S474" s="13">
        <f>IFERROR(R474/Q474,"")</f>
        <v/>
      </c>
      <c r="T474" s="13">
        <f>IFERROR((ABS(N474-O474)/MAX(1,(N474+O474)))*EXP(-ABS(E474-CONTROL!E5)/MAX(1,CONTROL!B8)),"")</f>
        <v/>
      </c>
      <c r="U474" s="13">
        <f>IFERROR(IF(O474&gt;N474,"SUPPORT (PE OI)","RESIST (CE OI)"),"")</f>
        <v/>
      </c>
      <c r="V474" s="13">
        <f>IFERROR(IF(Q474&gt;0,IF(R474&gt;0,"BOTH_ADD","CE_ADD_PE_REDUCE"),IF(R474&gt;0,"CE_REDUCE_PE_ADD","BOTH_REDUCE")),"")</f>
        <v/>
      </c>
      <c r="W474" s="13">
        <f>IFERROR( (P474-1)*0.5 + (M474)*0.1 - (I474+J474)*0.05 + T474*0.4 ,"")</f>
        <v/>
      </c>
      <c r="X474" s="13">
        <f>IFERROR(IF(ABS(F474)&lt;0.01,"ATM/NEAR",""),"")</f>
        <v/>
      </c>
    </row>
    <row r="475">
      <c r="A475" s="13">
        <f>CHAIN_RAW!A475</f>
        <v/>
      </c>
      <c r="B475" s="14">
        <f>CHAIN_RAW!B475</f>
        <v/>
      </c>
      <c r="C475" s="13">
        <f>CHAIN_RAW!C475</f>
        <v/>
      </c>
      <c r="D475" s="13">
        <f>CHAIN_RAW!D475</f>
        <v/>
      </c>
      <c r="E475" s="13">
        <f>CHAIN_RAW!E475</f>
        <v/>
      </c>
      <c r="F475" s="13">
        <f>IFERROR((E475-D475)/D475,"")</f>
        <v/>
      </c>
      <c r="G475" s="13">
        <f>IFERROR((CHAIN_RAW!K475+CHAIN_RAW!L475)/2,"")</f>
        <v/>
      </c>
      <c r="H475" s="13">
        <f>IFERROR((CHAIN_RAW!R475+CHAIN_RAW!S475)/2,"")</f>
        <v/>
      </c>
      <c r="I475" s="13">
        <f>IFERROR((CHAIN_RAW!L475-CHAIN_RAW!K475)/MAX(1E-9, G475),"")</f>
        <v/>
      </c>
      <c r="J475" s="13">
        <f>IFERROR((CHAIN_RAW!S475-CHAIN_RAW!R475)/MAX(1E-9, H475),"")</f>
        <v/>
      </c>
      <c r="K475" s="13">
        <f>CHAIN_RAW!G475</f>
        <v/>
      </c>
      <c r="L475" s="13">
        <f>CHAIN_RAW!N475</f>
        <v/>
      </c>
      <c r="M475" s="13">
        <f>IFERROR(L475-K475,"")</f>
        <v/>
      </c>
      <c r="N475" s="13">
        <f>CHAIN_RAW!H475</f>
        <v/>
      </c>
      <c r="O475" s="13">
        <f>CHAIN_RAW!O475</f>
        <v/>
      </c>
      <c r="P475" s="13">
        <f>IFERROR(O475/N475,"")</f>
        <v/>
      </c>
      <c r="Q475" s="13">
        <f>CHAIN_RAW!I475</f>
        <v/>
      </c>
      <c r="R475" s="13">
        <f>CHAIN_RAW!P475</f>
        <v/>
      </c>
      <c r="S475" s="13">
        <f>IFERROR(R475/Q475,"")</f>
        <v/>
      </c>
      <c r="T475" s="13">
        <f>IFERROR((ABS(N475-O475)/MAX(1,(N475+O475)))*EXP(-ABS(E475-CONTROL!E5)/MAX(1,CONTROL!B8)),"")</f>
        <v/>
      </c>
      <c r="U475" s="13">
        <f>IFERROR(IF(O475&gt;N475,"SUPPORT (PE OI)","RESIST (CE OI)"),"")</f>
        <v/>
      </c>
      <c r="V475" s="13">
        <f>IFERROR(IF(Q475&gt;0,IF(R475&gt;0,"BOTH_ADD","CE_ADD_PE_REDUCE"),IF(R475&gt;0,"CE_REDUCE_PE_ADD","BOTH_REDUCE")),"")</f>
        <v/>
      </c>
      <c r="W475" s="13">
        <f>IFERROR( (P475-1)*0.5 + (M475)*0.1 - (I475+J475)*0.05 + T475*0.4 ,"")</f>
        <v/>
      </c>
      <c r="X475" s="13">
        <f>IFERROR(IF(ABS(F475)&lt;0.01,"ATM/NEAR",""),"")</f>
        <v/>
      </c>
    </row>
    <row r="476">
      <c r="A476" s="13">
        <f>CHAIN_RAW!A476</f>
        <v/>
      </c>
      <c r="B476" s="14">
        <f>CHAIN_RAW!B476</f>
        <v/>
      </c>
      <c r="C476" s="13">
        <f>CHAIN_RAW!C476</f>
        <v/>
      </c>
      <c r="D476" s="13">
        <f>CHAIN_RAW!D476</f>
        <v/>
      </c>
      <c r="E476" s="13">
        <f>CHAIN_RAW!E476</f>
        <v/>
      </c>
      <c r="F476" s="13">
        <f>IFERROR((E476-D476)/D476,"")</f>
        <v/>
      </c>
      <c r="G476" s="13">
        <f>IFERROR((CHAIN_RAW!K476+CHAIN_RAW!L476)/2,"")</f>
        <v/>
      </c>
      <c r="H476" s="13">
        <f>IFERROR((CHAIN_RAW!R476+CHAIN_RAW!S476)/2,"")</f>
        <v/>
      </c>
      <c r="I476" s="13">
        <f>IFERROR((CHAIN_RAW!L476-CHAIN_RAW!K476)/MAX(1E-9, G476),"")</f>
        <v/>
      </c>
      <c r="J476" s="13">
        <f>IFERROR((CHAIN_RAW!S476-CHAIN_RAW!R476)/MAX(1E-9, H476),"")</f>
        <v/>
      </c>
      <c r="K476" s="13">
        <f>CHAIN_RAW!G476</f>
        <v/>
      </c>
      <c r="L476" s="13">
        <f>CHAIN_RAW!N476</f>
        <v/>
      </c>
      <c r="M476" s="13">
        <f>IFERROR(L476-K476,"")</f>
        <v/>
      </c>
      <c r="N476" s="13">
        <f>CHAIN_RAW!H476</f>
        <v/>
      </c>
      <c r="O476" s="13">
        <f>CHAIN_RAW!O476</f>
        <v/>
      </c>
      <c r="P476" s="13">
        <f>IFERROR(O476/N476,"")</f>
        <v/>
      </c>
      <c r="Q476" s="13">
        <f>CHAIN_RAW!I476</f>
        <v/>
      </c>
      <c r="R476" s="13">
        <f>CHAIN_RAW!P476</f>
        <v/>
      </c>
      <c r="S476" s="13">
        <f>IFERROR(R476/Q476,"")</f>
        <v/>
      </c>
      <c r="T476" s="13">
        <f>IFERROR((ABS(N476-O476)/MAX(1,(N476+O476)))*EXP(-ABS(E476-CONTROL!E5)/MAX(1,CONTROL!B8)),"")</f>
        <v/>
      </c>
      <c r="U476" s="13">
        <f>IFERROR(IF(O476&gt;N476,"SUPPORT (PE OI)","RESIST (CE OI)"),"")</f>
        <v/>
      </c>
      <c r="V476" s="13">
        <f>IFERROR(IF(Q476&gt;0,IF(R476&gt;0,"BOTH_ADD","CE_ADD_PE_REDUCE"),IF(R476&gt;0,"CE_REDUCE_PE_ADD","BOTH_REDUCE")),"")</f>
        <v/>
      </c>
      <c r="W476" s="13">
        <f>IFERROR( (P476-1)*0.5 + (M476)*0.1 - (I476+J476)*0.05 + T476*0.4 ,"")</f>
        <v/>
      </c>
      <c r="X476" s="13">
        <f>IFERROR(IF(ABS(F476)&lt;0.01,"ATM/NEAR",""),"")</f>
        <v/>
      </c>
    </row>
    <row r="477">
      <c r="A477" s="13">
        <f>CHAIN_RAW!A477</f>
        <v/>
      </c>
      <c r="B477" s="14">
        <f>CHAIN_RAW!B477</f>
        <v/>
      </c>
      <c r="C477" s="13">
        <f>CHAIN_RAW!C477</f>
        <v/>
      </c>
      <c r="D477" s="13">
        <f>CHAIN_RAW!D477</f>
        <v/>
      </c>
      <c r="E477" s="13">
        <f>CHAIN_RAW!E477</f>
        <v/>
      </c>
      <c r="F477" s="13">
        <f>IFERROR((E477-D477)/D477,"")</f>
        <v/>
      </c>
      <c r="G477" s="13">
        <f>IFERROR((CHAIN_RAW!K477+CHAIN_RAW!L477)/2,"")</f>
        <v/>
      </c>
      <c r="H477" s="13">
        <f>IFERROR((CHAIN_RAW!R477+CHAIN_RAW!S477)/2,"")</f>
        <v/>
      </c>
      <c r="I477" s="13">
        <f>IFERROR((CHAIN_RAW!L477-CHAIN_RAW!K477)/MAX(1E-9, G477),"")</f>
        <v/>
      </c>
      <c r="J477" s="13">
        <f>IFERROR((CHAIN_RAW!S477-CHAIN_RAW!R477)/MAX(1E-9, H477),"")</f>
        <v/>
      </c>
      <c r="K477" s="13">
        <f>CHAIN_RAW!G477</f>
        <v/>
      </c>
      <c r="L477" s="13">
        <f>CHAIN_RAW!N477</f>
        <v/>
      </c>
      <c r="M477" s="13">
        <f>IFERROR(L477-K477,"")</f>
        <v/>
      </c>
      <c r="N477" s="13">
        <f>CHAIN_RAW!H477</f>
        <v/>
      </c>
      <c r="O477" s="13">
        <f>CHAIN_RAW!O477</f>
        <v/>
      </c>
      <c r="P477" s="13">
        <f>IFERROR(O477/N477,"")</f>
        <v/>
      </c>
      <c r="Q477" s="13">
        <f>CHAIN_RAW!I477</f>
        <v/>
      </c>
      <c r="R477" s="13">
        <f>CHAIN_RAW!P477</f>
        <v/>
      </c>
      <c r="S477" s="13">
        <f>IFERROR(R477/Q477,"")</f>
        <v/>
      </c>
      <c r="T477" s="13">
        <f>IFERROR((ABS(N477-O477)/MAX(1,(N477+O477)))*EXP(-ABS(E477-CONTROL!E5)/MAX(1,CONTROL!B8)),"")</f>
        <v/>
      </c>
      <c r="U477" s="13">
        <f>IFERROR(IF(O477&gt;N477,"SUPPORT (PE OI)","RESIST (CE OI)"),"")</f>
        <v/>
      </c>
      <c r="V477" s="13">
        <f>IFERROR(IF(Q477&gt;0,IF(R477&gt;0,"BOTH_ADD","CE_ADD_PE_REDUCE"),IF(R477&gt;0,"CE_REDUCE_PE_ADD","BOTH_REDUCE")),"")</f>
        <v/>
      </c>
      <c r="W477" s="13">
        <f>IFERROR( (P477-1)*0.5 + (M477)*0.1 - (I477+J477)*0.05 + T477*0.4 ,"")</f>
        <v/>
      </c>
      <c r="X477" s="13">
        <f>IFERROR(IF(ABS(F477)&lt;0.01,"ATM/NEAR",""),"")</f>
        <v/>
      </c>
    </row>
    <row r="478">
      <c r="A478" s="13">
        <f>CHAIN_RAW!A478</f>
        <v/>
      </c>
      <c r="B478" s="14">
        <f>CHAIN_RAW!B478</f>
        <v/>
      </c>
      <c r="C478" s="13">
        <f>CHAIN_RAW!C478</f>
        <v/>
      </c>
      <c r="D478" s="13">
        <f>CHAIN_RAW!D478</f>
        <v/>
      </c>
      <c r="E478" s="13">
        <f>CHAIN_RAW!E478</f>
        <v/>
      </c>
      <c r="F478" s="13">
        <f>IFERROR((E478-D478)/D478,"")</f>
        <v/>
      </c>
      <c r="G478" s="13">
        <f>IFERROR((CHAIN_RAW!K478+CHAIN_RAW!L478)/2,"")</f>
        <v/>
      </c>
      <c r="H478" s="13">
        <f>IFERROR((CHAIN_RAW!R478+CHAIN_RAW!S478)/2,"")</f>
        <v/>
      </c>
      <c r="I478" s="13">
        <f>IFERROR((CHAIN_RAW!L478-CHAIN_RAW!K478)/MAX(1E-9, G478),"")</f>
        <v/>
      </c>
      <c r="J478" s="13">
        <f>IFERROR((CHAIN_RAW!S478-CHAIN_RAW!R478)/MAX(1E-9, H478),"")</f>
        <v/>
      </c>
      <c r="K478" s="13">
        <f>CHAIN_RAW!G478</f>
        <v/>
      </c>
      <c r="L478" s="13">
        <f>CHAIN_RAW!N478</f>
        <v/>
      </c>
      <c r="M478" s="13">
        <f>IFERROR(L478-K478,"")</f>
        <v/>
      </c>
      <c r="N478" s="13">
        <f>CHAIN_RAW!H478</f>
        <v/>
      </c>
      <c r="O478" s="13">
        <f>CHAIN_RAW!O478</f>
        <v/>
      </c>
      <c r="P478" s="13">
        <f>IFERROR(O478/N478,"")</f>
        <v/>
      </c>
      <c r="Q478" s="13">
        <f>CHAIN_RAW!I478</f>
        <v/>
      </c>
      <c r="R478" s="13">
        <f>CHAIN_RAW!P478</f>
        <v/>
      </c>
      <c r="S478" s="13">
        <f>IFERROR(R478/Q478,"")</f>
        <v/>
      </c>
      <c r="T478" s="13">
        <f>IFERROR((ABS(N478-O478)/MAX(1,(N478+O478)))*EXP(-ABS(E478-CONTROL!E5)/MAX(1,CONTROL!B8)),"")</f>
        <v/>
      </c>
      <c r="U478" s="13">
        <f>IFERROR(IF(O478&gt;N478,"SUPPORT (PE OI)","RESIST (CE OI)"),"")</f>
        <v/>
      </c>
      <c r="V478" s="13">
        <f>IFERROR(IF(Q478&gt;0,IF(R478&gt;0,"BOTH_ADD","CE_ADD_PE_REDUCE"),IF(R478&gt;0,"CE_REDUCE_PE_ADD","BOTH_REDUCE")),"")</f>
        <v/>
      </c>
      <c r="W478" s="13">
        <f>IFERROR( (P478-1)*0.5 + (M478)*0.1 - (I478+J478)*0.05 + T478*0.4 ,"")</f>
        <v/>
      </c>
      <c r="X478" s="13">
        <f>IFERROR(IF(ABS(F478)&lt;0.01,"ATM/NEAR",""),"")</f>
        <v/>
      </c>
    </row>
    <row r="479">
      <c r="A479" s="13">
        <f>CHAIN_RAW!A479</f>
        <v/>
      </c>
      <c r="B479" s="14">
        <f>CHAIN_RAW!B479</f>
        <v/>
      </c>
      <c r="C479" s="13">
        <f>CHAIN_RAW!C479</f>
        <v/>
      </c>
      <c r="D479" s="13">
        <f>CHAIN_RAW!D479</f>
        <v/>
      </c>
      <c r="E479" s="13">
        <f>CHAIN_RAW!E479</f>
        <v/>
      </c>
      <c r="F479" s="13">
        <f>IFERROR((E479-D479)/D479,"")</f>
        <v/>
      </c>
      <c r="G479" s="13">
        <f>IFERROR((CHAIN_RAW!K479+CHAIN_RAW!L479)/2,"")</f>
        <v/>
      </c>
      <c r="H479" s="13">
        <f>IFERROR((CHAIN_RAW!R479+CHAIN_RAW!S479)/2,"")</f>
        <v/>
      </c>
      <c r="I479" s="13">
        <f>IFERROR((CHAIN_RAW!L479-CHAIN_RAW!K479)/MAX(1E-9, G479),"")</f>
        <v/>
      </c>
      <c r="J479" s="13">
        <f>IFERROR((CHAIN_RAW!S479-CHAIN_RAW!R479)/MAX(1E-9, H479),"")</f>
        <v/>
      </c>
      <c r="K479" s="13">
        <f>CHAIN_RAW!G479</f>
        <v/>
      </c>
      <c r="L479" s="13">
        <f>CHAIN_RAW!N479</f>
        <v/>
      </c>
      <c r="M479" s="13">
        <f>IFERROR(L479-K479,"")</f>
        <v/>
      </c>
      <c r="N479" s="13">
        <f>CHAIN_RAW!H479</f>
        <v/>
      </c>
      <c r="O479" s="13">
        <f>CHAIN_RAW!O479</f>
        <v/>
      </c>
      <c r="P479" s="13">
        <f>IFERROR(O479/N479,"")</f>
        <v/>
      </c>
      <c r="Q479" s="13">
        <f>CHAIN_RAW!I479</f>
        <v/>
      </c>
      <c r="R479" s="13">
        <f>CHAIN_RAW!P479</f>
        <v/>
      </c>
      <c r="S479" s="13">
        <f>IFERROR(R479/Q479,"")</f>
        <v/>
      </c>
      <c r="T479" s="13">
        <f>IFERROR((ABS(N479-O479)/MAX(1,(N479+O479)))*EXP(-ABS(E479-CONTROL!E5)/MAX(1,CONTROL!B8)),"")</f>
        <v/>
      </c>
      <c r="U479" s="13">
        <f>IFERROR(IF(O479&gt;N479,"SUPPORT (PE OI)","RESIST (CE OI)"),"")</f>
        <v/>
      </c>
      <c r="V479" s="13">
        <f>IFERROR(IF(Q479&gt;0,IF(R479&gt;0,"BOTH_ADD","CE_ADD_PE_REDUCE"),IF(R479&gt;0,"CE_REDUCE_PE_ADD","BOTH_REDUCE")),"")</f>
        <v/>
      </c>
      <c r="W479" s="13">
        <f>IFERROR( (P479-1)*0.5 + (M479)*0.1 - (I479+J479)*0.05 + T479*0.4 ,"")</f>
        <v/>
      </c>
      <c r="X479" s="13">
        <f>IFERROR(IF(ABS(F479)&lt;0.01,"ATM/NEAR",""),"")</f>
        <v/>
      </c>
    </row>
    <row r="480">
      <c r="A480" s="13">
        <f>CHAIN_RAW!A480</f>
        <v/>
      </c>
      <c r="B480" s="14">
        <f>CHAIN_RAW!B480</f>
        <v/>
      </c>
      <c r="C480" s="13">
        <f>CHAIN_RAW!C480</f>
        <v/>
      </c>
      <c r="D480" s="13">
        <f>CHAIN_RAW!D480</f>
        <v/>
      </c>
      <c r="E480" s="13">
        <f>CHAIN_RAW!E480</f>
        <v/>
      </c>
      <c r="F480" s="13">
        <f>IFERROR((E480-D480)/D480,"")</f>
        <v/>
      </c>
      <c r="G480" s="13">
        <f>IFERROR((CHAIN_RAW!K480+CHAIN_RAW!L480)/2,"")</f>
        <v/>
      </c>
      <c r="H480" s="13">
        <f>IFERROR((CHAIN_RAW!R480+CHAIN_RAW!S480)/2,"")</f>
        <v/>
      </c>
      <c r="I480" s="13">
        <f>IFERROR((CHAIN_RAW!L480-CHAIN_RAW!K480)/MAX(1E-9, G480),"")</f>
        <v/>
      </c>
      <c r="J480" s="13">
        <f>IFERROR((CHAIN_RAW!S480-CHAIN_RAW!R480)/MAX(1E-9, H480),"")</f>
        <v/>
      </c>
      <c r="K480" s="13">
        <f>CHAIN_RAW!G480</f>
        <v/>
      </c>
      <c r="L480" s="13">
        <f>CHAIN_RAW!N480</f>
        <v/>
      </c>
      <c r="M480" s="13">
        <f>IFERROR(L480-K480,"")</f>
        <v/>
      </c>
      <c r="N480" s="13">
        <f>CHAIN_RAW!H480</f>
        <v/>
      </c>
      <c r="O480" s="13">
        <f>CHAIN_RAW!O480</f>
        <v/>
      </c>
      <c r="P480" s="13">
        <f>IFERROR(O480/N480,"")</f>
        <v/>
      </c>
      <c r="Q480" s="13">
        <f>CHAIN_RAW!I480</f>
        <v/>
      </c>
      <c r="R480" s="13">
        <f>CHAIN_RAW!P480</f>
        <v/>
      </c>
      <c r="S480" s="13">
        <f>IFERROR(R480/Q480,"")</f>
        <v/>
      </c>
      <c r="T480" s="13">
        <f>IFERROR((ABS(N480-O480)/MAX(1,(N480+O480)))*EXP(-ABS(E480-CONTROL!E5)/MAX(1,CONTROL!B8)),"")</f>
        <v/>
      </c>
      <c r="U480" s="13">
        <f>IFERROR(IF(O480&gt;N480,"SUPPORT (PE OI)","RESIST (CE OI)"),"")</f>
        <v/>
      </c>
      <c r="V480" s="13">
        <f>IFERROR(IF(Q480&gt;0,IF(R480&gt;0,"BOTH_ADD","CE_ADD_PE_REDUCE"),IF(R480&gt;0,"CE_REDUCE_PE_ADD","BOTH_REDUCE")),"")</f>
        <v/>
      </c>
      <c r="W480" s="13">
        <f>IFERROR( (P480-1)*0.5 + (M480)*0.1 - (I480+J480)*0.05 + T480*0.4 ,"")</f>
        <v/>
      </c>
      <c r="X480" s="13">
        <f>IFERROR(IF(ABS(F480)&lt;0.01,"ATM/NEAR",""),"")</f>
        <v/>
      </c>
    </row>
    <row r="481">
      <c r="A481" s="13">
        <f>CHAIN_RAW!A481</f>
        <v/>
      </c>
      <c r="B481" s="14">
        <f>CHAIN_RAW!B481</f>
        <v/>
      </c>
      <c r="C481" s="13">
        <f>CHAIN_RAW!C481</f>
        <v/>
      </c>
      <c r="D481" s="13">
        <f>CHAIN_RAW!D481</f>
        <v/>
      </c>
      <c r="E481" s="13">
        <f>CHAIN_RAW!E481</f>
        <v/>
      </c>
      <c r="F481" s="13">
        <f>IFERROR((E481-D481)/D481,"")</f>
        <v/>
      </c>
      <c r="G481" s="13">
        <f>IFERROR((CHAIN_RAW!K481+CHAIN_RAW!L481)/2,"")</f>
        <v/>
      </c>
      <c r="H481" s="13">
        <f>IFERROR((CHAIN_RAW!R481+CHAIN_RAW!S481)/2,"")</f>
        <v/>
      </c>
      <c r="I481" s="13">
        <f>IFERROR((CHAIN_RAW!L481-CHAIN_RAW!K481)/MAX(1E-9, G481),"")</f>
        <v/>
      </c>
      <c r="J481" s="13">
        <f>IFERROR((CHAIN_RAW!S481-CHAIN_RAW!R481)/MAX(1E-9, H481),"")</f>
        <v/>
      </c>
      <c r="K481" s="13">
        <f>CHAIN_RAW!G481</f>
        <v/>
      </c>
      <c r="L481" s="13">
        <f>CHAIN_RAW!N481</f>
        <v/>
      </c>
      <c r="M481" s="13">
        <f>IFERROR(L481-K481,"")</f>
        <v/>
      </c>
      <c r="N481" s="13">
        <f>CHAIN_RAW!H481</f>
        <v/>
      </c>
      <c r="O481" s="13">
        <f>CHAIN_RAW!O481</f>
        <v/>
      </c>
      <c r="P481" s="13">
        <f>IFERROR(O481/N481,"")</f>
        <v/>
      </c>
      <c r="Q481" s="13">
        <f>CHAIN_RAW!I481</f>
        <v/>
      </c>
      <c r="R481" s="13">
        <f>CHAIN_RAW!P481</f>
        <v/>
      </c>
      <c r="S481" s="13">
        <f>IFERROR(R481/Q481,"")</f>
        <v/>
      </c>
      <c r="T481" s="13">
        <f>IFERROR((ABS(N481-O481)/MAX(1,(N481+O481)))*EXP(-ABS(E481-CONTROL!E5)/MAX(1,CONTROL!B8)),"")</f>
        <v/>
      </c>
      <c r="U481" s="13">
        <f>IFERROR(IF(O481&gt;N481,"SUPPORT (PE OI)","RESIST (CE OI)"),"")</f>
        <v/>
      </c>
      <c r="V481" s="13">
        <f>IFERROR(IF(Q481&gt;0,IF(R481&gt;0,"BOTH_ADD","CE_ADD_PE_REDUCE"),IF(R481&gt;0,"CE_REDUCE_PE_ADD","BOTH_REDUCE")),"")</f>
        <v/>
      </c>
      <c r="W481" s="13">
        <f>IFERROR( (P481-1)*0.5 + (M481)*0.1 - (I481+J481)*0.05 + T481*0.4 ,"")</f>
        <v/>
      </c>
      <c r="X481" s="13">
        <f>IFERROR(IF(ABS(F481)&lt;0.01,"ATM/NEAR",""),"")</f>
        <v/>
      </c>
    </row>
    <row r="482">
      <c r="A482" s="13">
        <f>CHAIN_RAW!A482</f>
        <v/>
      </c>
      <c r="B482" s="14">
        <f>CHAIN_RAW!B482</f>
        <v/>
      </c>
      <c r="C482" s="13">
        <f>CHAIN_RAW!C482</f>
        <v/>
      </c>
      <c r="D482" s="13">
        <f>CHAIN_RAW!D482</f>
        <v/>
      </c>
      <c r="E482" s="13">
        <f>CHAIN_RAW!E482</f>
        <v/>
      </c>
      <c r="F482" s="13">
        <f>IFERROR((E482-D482)/D482,"")</f>
        <v/>
      </c>
      <c r="G482" s="13">
        <f>IFERROR((CHAIN_RAW!K482+CHAIN_RAW!L482)/2,"")</f>
        <v/>
      </c>
      <c r="H482" s="13">
        <f>IFERROR((CHAIN_RAW!R482+CHAIN_RAW!S482)/2,"")</f>
        <v/>
      </c>
      <c r="I482" s="13">
        <f>IFERROR((CHAIN_RAW!L482-CHAIN_RAW!K482)/MAX(1E-9, G482),"")</f>
        <v/>
      </c>
      <c r="J482" s="13">
        <f>IFERROR((CHAIN_RAW!S482-CHAIN_RAW!R482)/MAX(1E-9, H482),"")</f>
        <v/>
      </c>
      <c r="K482" s="13">
        <f>CHAIN_RAW!G482</f>
        <v/>
      </c>
      <c r="L482" s="13">
        <f>CHAIN_RAW!N482</f>
        <v/>
      </c>
      <c r="M482" s="13">
        <f>IFERROR(L482-K482,"")</f>
        <v/>
      </c>
      <c r="N482" s="13">
        <f>CHAIN_RAW!H482</f>
        <v/>
      </c>
      <c r="O482" s="13">
        <f>CHAIN_RAW!O482</f>
        <v/>
      </c>
      <c r="P482" s="13">
        <f>IFERROR(O482/N482,"")</f>
        <v/>
      </c>
      <c r="Q482" s="13">
        <f>CHAIN_RAW!I482</f>
        <v/>
      </c>
      <c r="R482" s="13">
        <f>CHAIN_RAW!P482</f>
        <v/>
      </c>
      <c r="S482" s="13">
        <f>IFERROR(R482/Q482,"")</f>
        <v/>
      </c>
      <c r="T482" s="13">
        <f>IFERROR((ABS(N482-O482)/MAX(1,(N482+O482)))*EXP(-ABS(E482-CONTROL!E5)/MAX(1,CONTROL!B8)),"")</f>
        <v/>
      </c>
      <c r="U482" s="13">
        <f>IFERROR(IF(O482&gt;N482,"SUPPORT (PE OI)","RESIST (CE OI)"),"")</f>
        <v/>
      </c>
      <c r="V482" s="13">
        <f>IFERROR(IF(Q482&gt;0,IF(R482&gt;0,"BOTH_ADD","CE_ADD_PE_REDUCE"),IF(R482&gt;0,"CE_REDUCE_PE_ADD","BOTH_REDUCE")),"")</f>
        <v/>
      </c>
      <c r="W482" s="13">
        <f>IFERROR( (P482-1)*0.5 + (M482)*0.1 - (I482+J482)*0.05 + T482*0.4 ,"")</f>
        <v/>
      </c>
      <c r="X482" s="13">
        <f>IFERROR(IF(ABS(F482)&lt;0.01,"ATM/NEAR",""),"")</f>
        <v/>
      </c>
    </row>
    <row r="483">
      <c r="A483" s="13">
        <f>CHAIN_RAW!A483</f>
        <v/>
      </c>
      <c r="B483" s="14">
        <f>CHAIN_RAW!B483</f>
        <v/>
      </c>
      <c r="C483" s="13">
        <f>CHAIN_RAW!C483</f>
        <v/>
      </c>
      <c r="D483" s="13">
        <f>CHAIN_RAW!D483</f>
        <v/>
      </c>
      <c r="E483" s="13">
        <f>CHAIN_RAW!E483</f>
        <v/>
      </c>
      <c r="F483" s="13">
        <f>IFERROR((E483-D483)/D483,"")</f>
        <v/>
      </c>
      <c r="G483" s="13">
        <f>IFERROR((CHAIN_RAW!K483+CHAIN_RAW!L483)/2,"")</f>
        <v/>
      </c>
      <c r="H483" s="13">
        <f>IFERROR((CHAIN_RAW!R483+CHAIN_RAW!S483)/2,"")</f>
        <v/>
      </c>
      <c r="I483" s="13">
        <f>IFERROR((CHAIN_RAW!L483-CHAIN_RAW!K483)/MAX(1E-9, G483),"")</f>
        <v/>
      </c>
      <c r="J483" s="13">
        <f>IFERROR((CHAIN_RAW!S483-CHAIN_RAW!R483)/MAX(1E-9, H483),"")</f>
        <v/>
      </c>
      <c r="K483" s="13">
        <f>CHAIN_RAW!G483</f>
        <v/>
      </c>
      <c r="L483" s="13">
        <f>CHAIN_RAW!N483</f>
        <v/>
      </c>
      <c r="M483" s="13">
        <f>IFERROR(L483-K483,"")</f>
        <v/>
      </c>
      <c r="N483" s="13">
        <f>CHAIN_RAW!H483</f>
        <v/>
      </c>
      <c r="O483" s="13">
        <f>CHAIN_RAW!O483</f>
        <v/>
      </c>
      <c r="P483" s="13">
        <f>IFERROR(O483/N483,"")</f>
        <v/>
      </c>
      <c r="Q483" s="13">
        <f>CHAIN_RAW!I483</f>
        <v/>
      </c>
      <c r="R483" s="13">
        <f>CHAIN_RAW!P483</f>
        <v/>
      </c>
      <c r="S483" s="13">
        <f>IFERROR(R483/Q483,"")</f>
        <v/>
      </c>
      <c r="T483" s="13">
        <f>IFERROR((ABS(N483-O483)/MAX(1,(N483+O483)))*EXP(-ABS(E483-CONTROL!E5)/MAX(1,CONTROL!B8)),"")</f>
        <v/>
      </c>
      <c r="U483" s="13">
        <f>IFERROR(IF(O483&gt;N483,"SUPPORT (PE OI)","RESIST (CE OI)"),"")</f>
        <v/>
      </c>
      <c r="V483" s="13">
        <f>IFERROR(IF(Q483&gt;0,IF(R483&gt;0,"BOTH_ADD","CE_ADD_PE_REDUCE"),IF(R483&gt;0,"CE_REDUCE_PE_ADD","BOTH_REDUCE")),"")</f>
        <v/>
      </c>
      <c r="W483" s="13">
        <f>IFERROR( (P483-1)*0.5 + (M483)*0.1 - (I483+J483)*0.05 + T483*0.4 ,"")</f>
        <v/>
      </c>
      <c r="X483" s="13">
        <f>IFERROR(IF(ABS(F483)&lt;0.01,"ATM/NEAR",""),"")</f>
        <v/>
      </c>
    </row>
    <row r="484">
      <c r="A484" s="13">
        <f>CHAIN_RAW!A484</f>
        <v/>
      </c>
      <c r="B484" s="14">
        <f>CHAIN_RAW!B484</f>
        <v/>
      </c>
      <c r="C484" s="13">
        <f>CHAIN_RAW!C484</f>
        <v/>
      </c>
      <c r="D484" s="13">
        <f>CHAIN_RAW!D484</f>
        <v/>
      </c>
      <c r="E484" s="13">
        <f>CHAIN_RAW!E484</f>
        <v/>
      </c>
      <c r="F484" s="13">
        <f>IFERROR((E484-D484)/D484,"")</f>
        <v/>
      </c>
      <c r="G484" s="13">
        <f>IFERROR((CHAIN_RAW!K484+CHAIN_RAW!L484)/2,"")</f>
        <v/>
      </c>
      <c r="H484" s="13">
        <f>IFERROR((CHAIN_RAW!R484+CHAIN_RAW!S484)/2,"")</f>
        <v/>
      </c>
      <c r="I484" s="13">
        <f>IFERROR((CHAIN_RAW!L484-CHAIN_RAW!K484)/MAX(1E-9, G484),"")</f>
        <v/>
      </c>
      <c r="J484" s="13">
        <f>IFERROR((CHAIN_RAW!S484-CHAIN_RAW!R484)/MAX(1E-9, H484),"")</f>
        <v/>
      </c>
      <c r="K484" s="13">
        <f>CHAIN_RAW!G484</f>
        <v/>
      </c>
      <c r="L484" s="13">
        <f>CHAIN_RAW!N484</f>
        <v/>
      </c>
      <c r="M484" s="13">
        <f>IFERROR(L484-K484,"")</f>
        <v/>
      </c>
      <c r="N484" s="13">
        <f>CHAIN_RAW!H484</f>
        <v/>
      </c>
      <c r="O484" s="13">
        <f>CHAIN_RAW!O484</f>
        <v/>
      </c>
      <c r="P484" s="13">
        <f>IFERROR(O484/N484,"")</f>
        <v/>
      </c>
      <c r="Q484" s="13">
        <f>CHAIN_RAW!I484</f>
        <v/>
      </c>
      <c r="R484" s="13">
        <f>CHAIN_RAW!P484</f>
        <v/>
      </c>
      <c r="S484" s="13">
        <f>IFERROR(R484/Q484,"")</f>
        <v/>
      </c>
      <c r="T484" s="13">
        <f>IFERROR((ABS(N484-O484)/MAX(1,(N484+O484)))*EXP(-ABS(E484-CONTROL!E5)/MAX(1,CONTROL!B8)),"")</f>
        <v/>
      </c>
      <c r="U484" s="13">
        <f>IFERROR(IF(O484&gt;N484,"SUPPORT (PE OI)","RESIST (CE OI)"),"")</f>
        <v/>
      </c>
      <c r="V484" s="13">
        <f>IFERROR(IF(Q484&gt;0,IF(R484&gt;0,"BOTH_ADD","CE_ADD_PE_REDUCE"),IF(R484&gt;0,"CE_REDUCE_PE_ADD","BOTH_REDUCE")),"")</f>
        <v/>
      </c>
      <c r="W484" s="13">
        <f>IFERROR( (P484-1)*0.5 + (M484)*0.1 - (I484+J484)*0.05 + T484*0.4 ,"")</f>
        <v/>
      </c>
      <c r="X484" s="13">
        <f>IFERROR(IF(ABS(F484)&lt;0.01,"ATM/NEAR",""),"")</f>
        <v/>
      </c>
    </row>
    <row r="485">
      <c r="A485" s="13">
        <f>CHAIN_RAW!A485</f>
        <v/>
      </c>
      <c r="B485" s="14">
        <f>CHAIN_RAW!B485</f>
        <v/>
      </c>
      <c r="C485" s="13">
        <f>CHAIN_RAW!C485</f>
        <v/>
      </c>
      <c r="D485" s="13">
        <f>CHAIN_RAW!D485</f>
        <v/>
      </c>
      <c r="E485" s="13">
        <f>CHAIN_RAW!E485</f>
        <v/>
      </c>
      <c r="F485" s="13">
        <f>IFERROR((E485-D485)/D485,"")</f>
        <v/>
      </c>
      <c r="G485" s="13">
        <f>IFERROR((CHAIN_RAW!K485+CHAIN_RAW!L485)/2,"")</f>
        <v/>
      </c>
      <c r="H485" s="13">
        <f>IFERROR((CHAIN_RAW!R485+CHAIN_RAW!S485)/2,"")</f>
        <v/>
      </c>
      <c r="I485" s="13">
        <f>IFERROR((CHAIN_RAW!L485-CHAIN_RAW!K485)/MAX(1E-9, G485),"")</f>
        <v/>
      </c>
      <c r="J485" s="13">
        <f>IFERROR((CHAIN_RAW!S485-CHAIN_RAW!R485)/MAX(1E-9, H485),"")</f>
        <v/>
      </c>
      <c r="K485" s="13">
        <f>CHAIN_RAW!G485</f>
        <v/>
      </c>
      <c r="L485" s="13">
        <f>CHAIN_RAW!N485</f>
        <v/>
      </c>
      <c r="M485" s="13">
        <f>IFERROR(L485-K485,"")</f>
        <v/>
      </c>
      <c r="N485" s="13">
        <f>CHAIN_RAW!H485</f>
        <v/>
      </c>
      <c r="O485" s="13">
        <f>CHAIN_RAW!O485</f>
        <v/>
      </c>
      <c r="P485" s="13">
        <f>IFERROR(O485/N485,"")</f>
        <v/>
      </c>
      <c r="Q485" s="13">
        <f>CHAIN_RAW!I485</f>
        <v/>
      </c>
      <c r="R485" s="13">
        <f>CHAIN_RAW!P485</f>
        <v/>
      </c>
      <c r="S485" s="13">
        <f>IFERROR(R485/Q485,"")</f>
        <v/>
      </c>
      <c r="T485" s="13">
        <f>IFERROR((ABS(N485-O485)/MAX(1,(N485+O485)))*EXP(-ABS(E485-CONTROL!E5)/MAX(1,CONTROL!B8)),"")</f>
        <v/>
      </c>
      <c r="U485" s="13">
        <f>IFERROR(IF(O485&gt;N485,"SUPPORT (PE OI)","RESIST (CE OI)"),"")</f>
        <v/>
      </c>
      <c r="V485" s="13">
        <f>IFERROR(IF(Q485&gt;0,IF(R485&gt;0,"BOTH_ADD","CE_ADD_PE_REDUCE"),IF(R485&gt;0,"CE_REDUCE_PE_ADD","BOTH_REDUCE")),"")</f>
        <v/>
      </c>
      <c r="W485" s="13">
        <f>IFERROR( (P485-1)*0.5 + (M485)*0.1 - (I485+J485)*0.05 + T485*0.4 ,"")</f>
        <v/>
      </c>
      <c r="X485" s="13">
        <f>IFERROR(IF(ABS(F485)&lt;0.01,"ATM/NEAR",""),"")</f>
        <v/>
      </c>
    </row>
    <row r="486">
      <c r="A486" s="13">
        <f>CHAIN_RAW!A486</f>
        <v/>
      </c>
      <c r="B486" s="14">
        <f>CHAIN_RAW!B486</f>
        <v/>
      </c>
      <c r="C486" s="13">
        <f>CHAIN_RAW!C486</f>
        <v/>
      </c>
      <c r="D486" s="13">
        <f>CHAIN_RAW!D486</f>
        <v/>
      </c>
      <c r="E486" s="13">
        <f>CHAIN_RAW!E486</f>
        <v/>
      </c>
      <c r="F486" s="13">
        <f>IFERROR((E486-D486)/D486,"")</f>
        <v/>
      </c>
      <c r="G486" s="13">
        <f>IFERROR((CHAIN_RAW!K486+CHAIN_RAW!L486)/2,"")</f>
        <v/>
      </c>
      <c r="H486" s="13">
        <f>IFERROR((CHAIN_RAW!R486+CHAIN_RAW!S486)/2,"")</f>
        <v/>
      </c>
      <c r="I486" s="13">
        <f>IFERROR((CHAIN_RAW!L486-CHAIN_RAW!K486)/MAX(1E-9, G486),"")</f>
        <v/>
      </c>
      <c r="J486" s="13">
        <f>IFERROR((CHAIN_RAW!S486-CHAIN_RAW!R486)/MAX(1E-9, H486),"")</f>
        <v/>
      </c>
      <c r="K486" s="13">
        <f>CHAIN_RAW!G486</f>
        <v/>
      </c>
      <c r="L486" s="13">
        <f>CHAIN_RAW!N486</f>
        <v/>
      </c>
      <c r="M486" s="13">
        <f>IFERROR(L486-K486,"")</f>
        <v/>
      </c>
      <c r="N486" s="13">
        <f>CHAIN_RAW!H486</f>
        <v/>
      </c>
      <c r="O486" s="13">
        <f>CHAIN_RAW!O486</f>
        <v/>
      </c>
      <c r="P486" s="13">
        <f>IFERROR(O486/N486,"")</f>
        <v/>
      </c>
      <c r="Q486" s="13">
        <f>CHAIN_RAW!I486</f>
        <v/>
      </c>
      <c r="R486" s="13">
        <f>CHAIN_RAW!P486</f>
        <v/>
      </c>
      <c r="S486" s="13">
        <f>IFERROR(R486/Q486,"")</f>
        <v/>
      </c>
      <c r="T486" s="13">
        <f>IFERROR((ABS(N486-O486)/MAX(1,(N486+O486)))*EXP(-ABS(E486-CONTROL!E5)/MAX(1,CONTROL!B8)),"")</f>
        <v/>
      </c>
      <c r="U486" s="13">
        <f>IFERROR(IF(O486&gt;N486,"SUPPORT (PE OI)","RESIST (CE OI)"),"")</f>
        <v/>
      </c>
      <c r="V486" s="13">
        <f>IFERROR(IF(Q486&gt;0,IF(R486&gt;0,"BOTH_ADD","CE_ADD_PE_REDUCE"),IF(R486&gt;0,"CE_REDUCE_PE_ADD","BOTH_REDUCE")),"")</f>
        <v/>
      </c>
      <c r="W486" s="13">
        <f>IFERROR( (P486-1)*0.5 + (M486)*0.1 - (I486+J486)*0.05 + T486*0.4 ,"")</f>
        <v/>
      </c>
      <c r="X486" s="13">
        <f>IFERROR(IF(ABS(F486)&lt;0.01,"ATM/NEAR",""),"")</f>
        <v/>
      </c>
    </row>
    <row r="487">
      <c r="A487" s="13">
        <f>CHAIN_RAW!A487</f>
        <v/>
      </c>
      <c r="B487" s="14">
        <f>CHAIN_RAW!B487</f>
        <v/>
      </c>
      <c r="C487" s="13">
        <f>CHAIN_RAW!C487</f>
        <v/>
      </c>
      <c r="D487" s="13">
        <f>CHAIN_RAW!D487</f>
        <v/>
      </c>
      <c r="E487" s="13">
        <f>CHAIN_RAW!E487</f>
        <v/>
      </c>
      <c r="F487" s="13">
        <f>IFERROR((E487-D487)/D487,"")</f>
        <v/>
      </c>
      <c r="G487" s="13">
        <f>IFERROR((CHAIN_RAW!K487+CHAIN_RAW!L487)/2,"")</f>
        <v/>
      </c>
      <c r="H487" s="13">
        <f>IFERROR((CHAIN_RAW!R487+CHAIN_RAW!S487)/2,"")</f>
        <v/>
      </c>
      <c r="I487" s="13">
        <f>IFERROR((CHAIN_RAW!L487-CHAIN_RAW!K487)/MAX(1E-9, G487),"")</f>
        <v/>
      </c>
      <c r="J487" s="13">
        <f>IFERROR((CHAIN_RAW!S487-CHAIN_RAW!R487)/MAX(1E-9, H487),"")</f>
        <v/>
      </c>
      <c r="K487" s="13">
        <f>CHAIN_RAW!G487</f>
        <v/>
      </c>
      <c r="L487" s="13">
        <f>CHAIN_RAW!N487</f>
        <v/>
      </c>
      <c r="M487" s="13">
        <f>IFERROR(L487-K487,"")</f>
        <v/>
      </c>
      <c r="N487" s="13">
        <f>CHAIN_RAW!H487</f>
        <v/>
      </c>
      <c r="O487" s="13">
        <f>CHAIN_RAW!O487</f>
        <v/>
      </c>
      <c r="P487" s="13">
        <f>IFERROR(O487/N487,"")</f>
        <v/>
      </c>
      <c r="Q487" s="13">
        <f>CHAIN_RAW!I487</f>
        <v/>
      </c>
      <c r="R487" s="13">
        <f>CHAIN_RAW!P487</f>
        <v/>
      </c>
      <c r="S487" s="13">
        <f>IFERROR(R487/Q487,"")</f>
        <v/>
      </c>
      <c r="T487" s="13">
        <f>IFERROR((ABS(N487-O487)/MAX(1,(N487+O487)))*EXP(-ABS(E487-CONTROL!E5)/MAX(1,CONTROL!B8)),"")</f>
        <v/>
      </c>
      <c r="U487" s="13">
        <f>IFERROR(IF(O487&gt;N487,"SUPPORT (PE OI)","RESIST (CE OI)"),"")</f>
        <v/>
      </c>
      <c r="V487" s="13">
        <f>IFERROR(IF(Q487&gt;0,IF(R487&gt;0,"BOTH_ADD","CE_ADD_PE_REDUCE"),IF(R487&gt;0,"CE_REDUCE_PE_ADD","BOTH_REDUCE")),"")</f>
        <v/>
      </c>
      <c r="W487" s="13">
        <f>IFERROR( (P487-1)*0.5 + (M487)*0.1 - (I487+J487)*0.05 + T487*0.4 ,"")</f>
        <v/>
      </c>
      <c r="X487" s="13">
        <f>IFERROR(IF(ABS(F487)&lt;0.01,"ATM/NEAR",""),"")</f>
        <v/>
      </c>
    </row>
    <row r="488">
      <c r="A488" s="13">
        <f>CHAIN_RAW!A488</f>
        <v/>
      </c>
      <c r="B488" s="14">
        <f>CHAIN_RAW!B488</f>
        <v/>
      </c>
      <c r="C488" s="13">
        <f>CHAIN_RAW!C488</f>
        <v/>
      </c>
      <c r="D488" s="13">
        <f>CHAIN_RAW!D488</f>
        <v/>
      </c>
      <c r="E488" s="13">
        <f>CHAIN_RAW!E488</f>
        <v/>
      </c>
      <c r="F488" s="13">
        <f>IFERROR((E488-D488)/D488,"")</f>
        <v/>
      </c>
      <c r="G488" s="13">
        <f>IFERROR((CHAIN_RAW!K488+CHAIN_RAW!L488)/2,"")</f>
        <v/>
      </c>
      <c r="H488" s="13">
        <f>IFERROR((CHAIN_RAW!R488+CHAIN_RAW!S488)/2,"")</f>
        <v/>
      </c>
      <c r="I488" s="13">
        <f>IFERROR((CHAIN_RAW!L488-CHAIN_RAW!K488)/MAX(1E-9, G488),"")</f>
        <v/>
      </c>
      <c r="J488" s="13">
        <f>IFERROR((CHAIN_RAW!S488-CHAIN_RAW!R488)/MAX(1E-9, H488),"")</f>
        <v/>
      </c>
      <c r="K488" s="13">
        <f>CHAIN_RAW!G488</f>
        <v/>
      </c>
      <c r="L488" s="13">
        <f>CHAIN_RAW!N488</f>
        <v/>
      </c>
      <c r="M488" s="13">
        <f>IFERROR(L488-K488,"")</f>
        <v/>
      </c>
      <c r="N488" s="13">
        <f>CHAIN_RAW!H488</f>
        <v/>
      </c>
      <c r="O488" s="13">
        <f>CHAIN_RAW!O488</f>
        <v/>
      </c>
      <c r="P488" s="13">
        <f>IFERROR(O488/N488,"")</f>
        <v/>
      </c>
      <c r="Q488" s="13">
        <f>CHAIN_RAW!I488</f>
        <v/>
      </c>
      <c r="R488" s="13">
        <f>CHAIN_RAW!P488</f>
        <v/>
      </c>
      <c r="S488" s="13">
        <f>IFERROR(R488/Q488,"")</f>
        <v/>
      </c>
      <c r="T488" s="13">
        <f>IFERROR((ABS(N488-O488)/MAX(1,(N488+O488)))*EXP(-ABS(E488-CONTROL!E5)/MAX(1,CONTROL!B8)),"")</f>
        <v/>
      </c>
      <c r="U488" s="13">
        <f>IFERROR(IF(O488&gt;N488,"SUPPORT (PE OI)","RESIST (CE OI)"),"")</f>
        <v/>
      </c>
      <c r="V488" s="13">
        <f>IFERROR(IF(Q488&gt;0,IF(R488&gt;0,"BOTH_ADD","CE_ADD_PE_REDUCE"),IF(R488&gt;0,"CE_REDUCE_PE_ADD","BOTH_REDUCE")),"")</f>
        <v/>
      </c>
      <c r="W488" s="13">
        <f>IFERROR( (P488-1)*0.5 + (M488)*0.1 - (I488+J488)*0.05 + T488*0.4 ,"")</f>
        <v/>
      </c>
      <c r="X488" s="13">
        <f>IFERROR(IF(ABS(F488)&lt;0.01,"ATM/NEAR",""),"")</f>
        <v/>
      </c>
    </row>
    <row r="489">
      <c r="A489" s="13">
        <f>CHAIN_RAW!A489</f>
        <v/>
      </c>
      <c r="B489" s="14">
        <f>CHAIN_RAW!B489</f>
        <v/>
      </c>
      <c r="C489" s="13">
        <f>CHAIN_RAW!C489</f>
        <v/>
      </c>
      <c r="D489" s="13">
        <f>CHAIN_RAW!D489</f>
        <v/>
      </c>
      <c r="E489" s="13">
        <f>CHAIN_RAW!E489</f>
        <v/>
      </c>
      <c r="F489" s="13">
        <f>IFERROR((E489-D489)/D489,"")</f>
        <v/>
      </c>
      <c r="G489" s="13">
        <f>IFERROR((CHAIN_RAW!K489+CHAIN_RAW!L489)/2,"")</f>
        <v/>
      </c>
      <c r="H489" s="13">
        <f>IFERROR((CHAIN_RAW!R489+CHAIN_RAW!S489)/2,"")</f>
        <v/>
      </c>
      <c r="I489" s="13">
        <f>IFERROR((CHAIN_RAW!L489-CHAIN_RAW!K489)/MAX(1E-9, G489),"")</f>
        <v/>
      </c>
      <c r="J489" s="13">
        <f>IFERROR((CHAIN_RAW!S489-CHAIN_RAW!R489)/MAX(1E-9, H489),"")</f>
        <v/>
      </c>
      <c r="K489" s="13">
        <f>CHAIN_RAW!G489</f>
        <v/>
      </c>
      <c r="L489" s="13">
        <f>CHAIN_RAW!N489</f>
        <v/>
      </c>
      <c r="M489" s="13">
        <f>IFERROR(L489-K489,"")</f>
        <v/>
      </c>
      <c r="N489" s="13">
        <f>CHAIN_RAW!H489</f>
        <v/>
      </c>
      <c r="O489" s="13">
        <f>CHAIN_RAW!O489</f>
        <v/>
      </c>
      <c r="P489" s="13">
        <f>IFERROR(O489/N489,"")</f>
        <v/>
      </c>
      <c r="Q489" s="13">
        <f>CHAIN_RAW!I489</f>
        <v/>
      </c>
      <c r="R489" s="13">
        <f>CHAIN_RAW!P489</f>
        <v/>
      </c>
      <c r="S489" s="13">
        <f>IFERROR(R489/Q489,"")</f>
        <v/>
      </c>
      <c r="T489" s="13">
        <f>IFERROR((ABS(N489-O489)/MAX(1,(N489+O489)))*EXP(-ABS(E489-CONTROL!E5)/MAX(1,CONTROL!B8)),"")</f>
        <v/>
      </c>
      <c r="U489" s="13">
        <f>IFERROR(IF(O489&gt;N489,"SUPPORT (PE OI)","RESIST (CE OI)"),"")</f>
        <v/>
      </c>
      <c r="V489" s="13">
        <f>IFERROR(IF(Q489&gt;0,IF(R489&gt;0,"BOTH_ADD","CE_ADD_PE_REDUCE"),IF(R489&gt;0,"CE_REDUCE_PE_ADD","BOTH_REDUCE")),"")</f>
        <v/>
      </c>
      <c r="W489" s="13">
        <f>IFERROR( (P489-1)*0.5 + (M489)*0.1 - (I489+J489)*0.05 + T489*0.4 ,"")</f>
        <v/>
      </c>
      <c r="X489" s="13">
        <f>IFERROR(IF(ABS(F489)&lt;0.01,"ATM/NEAR",""),"")</f>
        <v/>
      </c>
    </row>
    <row r="490">
      <c r="A490" s="13">
        <f>CHAIN_RAW!A490</f>
        <v/>
      </c>
      <c r="B490" s="14">
        <f>CHAIN_RAW!B490</f>
        <v/>
      </c>
      <c r="C490" s="13">
        <f>CHAIN_RAW!C490</f>
        <v/>
      </c>
      <c r="D490" s="13">
        <f>CHAIN_RAW!D490</f>
        <v/>
      </c>
      <c r="E490" s="13">
        <f>CHAIN_RAW!E490</f>
        <v/>
      </c>
      <c r="F490" s="13">
        <f>IFERROR((E490-D490)/D490,"")</f>
        <v/>
      </c>
      <c r="G490" s="13">
        <f>IFERROR((CHAIN_RAW!K490+CHAIN_RAW!L490)/2,"")</f>
        <v/>
      </c>
      <c r="H490" s="13">
        <f>IFERROR((CHAIN_RAW!R490+CHAIN_RAW!S490)/2,"")</f>
        <v/>
      </c>
      <c r="I490" s="13">
        <f>IFERROR((CHAIN_RAW!L490-CHAIN_RAW!K490)/MAX(1E-9, G490),"")</f>
        <v/>
      </c>
      <c r="J490" s="13">
        <f>IFERROR((CHAIN_RAW!S490-CHAIN_RAW!R490)/MAX(1E-9, H490),"")</f>
        <v/>
      </c>
      <c r="K490" s="13">
        <f>CHAIN_RAW!G490</f>
        <v/>
      </c>
      <c r="L490" s="13">
        <f>CHAIN_RAW!N490</f>
        <v/>
      </c>
      <c r="M490" s="13">
        <f>IFERROR(L490-K490,"")</f>
        <v/>
      </c>
      <c r="N490" s="13">
        <f>CHAIN_RAW!H490</f>
        <v/>
      </c>
      <c r="O490" s="13">
        <f>CHAIN_RAW!O490</f>
        <v/>
      </c>
      <c r="P490" s="13">
        <f>IFERROR(O490/N490,"")</f>
        <v/>
      </c>
      <c r="Q490" s="13">
        <f>CHAIN_RAW!I490</f>
        <v/>
      </c>
      <c r="R490" s="13">
        <f>CHAIN_RAW!P490</f>
        <v/>
      </c>
      <c r="S490" s="13">
        <f>IFERROR(R490/Q490,"")</f>
        <v/>
      </c>
      <c r="T490" s="13">
        <f>IFERROR((ABS(N490-O490)/MAX(1,(N490+O490)))*EXP(-ABS(E490-CONTROL!E5)/MAX(1,CONTROL!B8)),"")</f>
        <v/>
      </c>
      <c r="U490" s="13">
        <f>IFERROR(IF(O490&gt;N490,"SUPPORT (PE OI)","RESIST (CE OI)"),"")</f>
        <v/>
      </c>
      <c r="V490" s="13">
        <f>IFERROR(IF(Q490&gt;0,IF(R490&gt;0,"BOTH_ADD","CE_ADD_PE_REDUCE"),IF(R490&gt;0,"CE_REDUCE_PE_ADD","BOTH_REDUCE")),"")</f>
        <v/>
      </c>
      <c r="W490" s="13">
        <f>IFERROR( (P490-1)*0.5 + (M490)*0.1 - (I490+J490)*0.05 + T490*0.4 ,"")</f>
        <v/>
      </c>
      <c r="X490" s="13">
        <f>IFERROR(IF(ABS(F490)&lt;0.01,"ATM/NEAR",""),"")</f>
        <v/>
      </c>
    </row>
    <row r="491">
      <c r="A491" s="13">
        <f>CHAIN_RAW!A491</f>
        <v/>
      </c>
      <c r="B491" s="14">
        <f>CHAIN_RAW!B491</f>
        <v/>
      </c>
      <c r="C491" s="13">
        <f>CHAIN_RAW!C491</f>
        <v/>
      </c>
      <c r="D491" s="13">
        <f>CHAIN_RAW!D491</f>
        <v/>
      </c>
      <c r="E491" s="13">
        <f>CHAIN_RAW!E491</f>
        <v/>
      </c>
      <c r="F491" s="13">
        <f>IFERROR((E491-D491)/D491,"")</f>
        <v/>
      </c>
      <c r="G491" s="13">
        <f>IFERROR((CHAIN_RAW!K491+CHAIN_RAW!L491)/2,"")</f>
        <v/>
      </c>
      <c r="H491" s="13">
        <f>IFERROR((CHAIN_RAW!R491+CHAIN_RAW!S491)/2,"")</f>
        <v/>
      </c>
      <c r="I491" s="13">
        <f>IFERROR((CHAIN_RAW!L491-CHAIN_RAW!K491)/MAX(1E-9, G491),"")</f>
        <v/>
      </c>
      <c r="J491" s="13">
        <f>IFERROR((CHAIN_RAW!S491-CHAIN_RAW!R491)/MAX(1E-9, H491),"")</f>
        <v/>
      </c>
      <c r="K491" s="13">
        <f>CHAIN_RAW!G491</f>
        <v/>
      </c>
      <c r="L491" s="13">
        <f>CHAIN_RAW!N491</f>
        <v/>
      </c>
      <c r="M491" s="13">
        <f>IFERROR(L491-K491,"")</f>
        <v/>
      </c>
      <c r="N491" s="13">
        <f>CHAIN_RAW!H491</f>
        <v/>
      </c>
      <c r="O491" s="13">
        <f>CHAIN_RAW!O491</f>
        <v/>
      </c>
      <c r="P491" s="13">
        <f>IFERROR(O491/N491,"")</f>
        <v/>
      </c>
      <c r="Q491" s="13">
        <f>CHAIN_RAW!I491</f>
        <v/>
      </c>
      <c r="R491" s="13">
        <f>CHAIN_RAW!P491</f>
        <v/>
      </c>
      <c r="S491" s="13">
        <f>IFERROR(R491/Q491,"")</f>
        <v/>
      </c>
      <c r="T491" s="13">
        <f>IFERROR((ABS(N491-O491)/MAX(1,(N491+O491)))*EXP(-ABS(E491-CONTROL!E5)/MAX(1,CONTROL!B8)),"")</f>
        <v/>
      </c>
      <c r="U491" s="13">
        <f>IFERROR(IF(O491&gt;N491,"SUPPORT (PE OI)","RESIST (CE OI)"),"")</f>
        <v/>
      </c>
      <c r="V491" s="13">
        <f>IFERROR(IF(Q491&gt;0,IF(R491&gt;0,"BOTH_ADD","CE_ADD_PE_REDUCE"),IF(R491&gt;0,"CE_REDUCE_PE_ADD","BOTH_REDUCE")),"")</f>
        <v/>
      </c>
      <c r="W491" s="13">
        <f>IFERROR( (P491-1)*0.5 + (M491)*0.1 - (I491+J491)*0.05 + T491*0.4 ,"")</f>
        <v/>
      </c>
      <c r="X491" s="13">
        <f>IFERROR(IF(ABS(F491)&lt;0.01,"ATM/NEAR",""),"")</f>
        <v/>
      </c>
    </row>
    <row r="492">
      <c r="A492" s="13">
        <f>CHAIN_RAW!A492</f>
        <v/>
      </c>
      <c r="B492" s="14">
        <f>CHAIN_RAW!B492</f>
        <v/>
      </c>
      <c r="C492" s="13">
        <f>CHAIN_RAW!C492</f>
        <v/>
      </c>
      <c r="D492" s="13">
        <f>CHAIN_RAW!D492</f>
        <v/>
      </c>
      <c r="E492" s="13">
        <f>CHAIN_RAW!E492</f>
        <v/>
      </c>
      <c r="F492" s="13">
        <f>IFERROR((E492-D492)/D492,"")</f>
        <v/>
      </c>
      <c r="G492" s="13">
        <f>IFERROR((CHAIN_RAW!K492+CHAIN_RAW!L492)/2,"")</f>
        <v/>
      </c>
      <c r="H492" s="13">
        <f>IFERROR((CHAIN_RAW!R492+CHAIN_RAW!S492)/2,"")</f>
        <v/>
      </c>
      <c r="I492" s="13">
        <f>IFERROR((CHAIN_RAW!L492-CHAIN_RAW!K492)/MAX(1E-9, G492),"")</f>
        <v/>
      </c>
      <c r="J492" s="13">
        <f>IFERROR((CHAIN_RAW!S492-CHAIN_RAW!R492)/MAX(1E-9, H492),"")</f>
        <v/>
      </c>
      <c r="K492" s="13">
        <f>CHAIN_RAW!G492</f>
        <v/>
      </c>
      <c r="L492" s="13">
        <f>CHAIN_RAW!N492</f>
        <v/>
      </c>
      <c r="M492" s="13">
        <f>IFERROR(L492-K492,"")</f>
        <v/>
      </c>
      <c r="N492" s="13">
        <f>CHAIN_RAW!H492</f>
        <v/>
      </c>
      <c r="O492" s="13">
        <f>CHAIN_RAW!O492</f>
        <v/>
      </c>
      <c r="P492" s="13">
        <f>IFERROR(O492/N492,"")</f>
        <v/>
      </c>
      <c r="Q492" s="13">
        <f>CHAIN_RAW!I492</f>
        <v/>
      </c>
      <c r="R492" s="13">
        <f>CHAIN_RAW!P492</f>
        <v/>
      </c>
      <c r="S492" s="13">
        <f>IFERROR(R492/Q492,"")</f>
        <v/>
      </c>
      <c r="T492" s="13">
        <f>IFERROR((ABS(N492-O492)/MAX(1,(N492+O492)))*EXP(-ABS(E492-CONTROL!E5)/MAX(1,CONTROL!B8)),"")</f>
        <v/>
      </c>
      <c r="U492" s="13">
        <f>IFERROR(IF(O492&gt;N492,"SUPPORT (PE OI)","RESIST (CE OI)"),"")</f>
        <v/>
      </c>
      <c r="V492" s="13">
        <f>IFERROR(IF(Q492&gt;0,IF(R492&gt;0,"BOTH_ADD","CE_ADD_PE_REDUCE"),IF(R492&gt;0,"CE_REDUCE_PE_ADD","BOTH_REDUCE")),"")</f>
        <v/>
      </c>
      <c r="W492" s="13">
        <f>IFERROR( (P492-1)*0.5 + (M492)*0.1 - (I492+J492)*0.05 + T492*0.4 ,"")</f>
        <v/>
      </c>
      <c r="X492" s="13">
        <f>IFERROR(IF(ABS(F492)&lt;0.01,"ATM/NEAR",""),"")</f>
        <v/>
      </c>
    </row>
    <row r="493">
      <c r="A493" s="13">
        <f>CHAIN_RAW!A493</f>
        <v/>
      </c>
      <c r="B493" s="14">
        <f>CHAIN_RAW!B493</f>
        <v/>
      </c>
      <c r="C493" s="13">
        <f>CHAIN_RAW!C493</f>
        <v/>
      </c>
      <c r="D493" s="13">
        <f>CHAIN_RAW!D493</f>
        <v/>
      </c>
      <c r="E493" s="13">
        <f>CHAIN_RAW!E493</f>
        <v/>
      </c>
      <c r="F493" s="13">
        <f>IFERROR((E493-D493)/D493,"")</f>
        <v/>
      </c>
      <c r="G493" s="13">
        <f>IFERROR((CHAIN_RAW!K493+CHAIN_RAW!L493)/2,"")</f>
        <v/>
      </c>
      <c r="H493" s="13">
        <f>IFERROR((CHAIN_RAW!R493+CHAIN_RAW!S493)/2,"")</f>
        <v/>
      </c>
      <c r="I493" s="13">
        <f>IFERROR((CHAIN_RAW!L493-CHAIN_RAW!K493)/MAX(1E-9, G493),"")</f>
        <v/>
      </c>
      <c r="J493" s="13">
        <f>IFERROR((CHAIN_RAW!S493-CHAIN_RAW!R493)/MAX(1E-9, H493),"")</f>
        <v/>
      </c>
      <c r="K493" s="13">
        <f>CHAIN_RAW!G493</f>
        <v/>
      </c>
      <c r="L493" s="13">
        <f>CHAIN_RAW!N493</f>
        <v/>
      </c>
      <c r="M493" s="13">
        <f>IFERROR(L493-K493,"")</f>
        <v/>
      </c>
      <c r="N493" s="13">
        <f>CHAIN_RAW!H493</f>
        <v/>
      </c>
      <c r="O493" s="13">
        <f>CHAIN_RAW!O493</f>
        <v/>
      </c>
      <c r="P493" s="13">
        <f>IFERROR(O493/N493,"")</f>
        <v/>
      </c>
      <c r="Q493" s="13">
        <f>CHAIN_RAW!I493</f>
        <v/>
      </c>
      <c r="R493" s="13">
        <f>CHAIN_RAW!P493</f>
        <v/>
      </c>
      <c r="S493" s="13">
        <f>IFERROR(R493/Q493,"")</f>
        <v/>
      </c>
      <c r="T493" s="13">
        <f>IFERROR((ABS(N493-O493)/MAX(1,(N493+O493)))*EXP(-ABS(E493-CONTROL!E5)/MAX(1,CONTROL!B8)),"")</f>
        <v/>
      </c>
      <c r="U493" s="13">
        <f>IFERROR(IF(O493&gt;N493,"SUPPORT (PE OI)","RESIST (CE OI)"),"")</f>
        <v/>
      </c>
      <c r="V493" s="13">
        <f>IFERROR(IF(Q493&gt;0,IF(R493&gt;0,"BOTH_ADD","CE_ADD_PE_REDUCE"),IF(R493&gt;0,"CE_REDUCE_PE_ADD","BOTH_REDUCE")),"")</f>
        <v/>
      </c>
      <c r="W493" s="13">
        <f>IFERROR( (P493-1)*0.5 + (M493)*0.1 - (I493+J493)*0.05 + T493*0.4 ,"")</f>
        <v/>
      </c>
      <c r="X493" s="13">
        <f>IFERROR(IF(ABS(F493)&lt;0.01,"ATM/NEAR",""),"")</f>
        <v/>
      </c>
    </row>
    <row r="494">
      <c r="A494" s="13">
        <f>CHAIN_RAW!A494</f>
        <v/>
      </c>
      <c r="B494" s="14">
        <f>CHAIN_RAW!B494</f>
        <v/>
      </c>
      <c r="C494" s="13">
        <f>CHAIN_RAW!C494</f>
        <v/>
      </c>
      <c r="D494" s="13">
        <f>CHAIN_RAW!D494</f>
        <v/>
      </c>
      <c r="E494" s="13">
        <f>CHAIN_RAW!E494</f>
        <v/>
      </c>
      <c r="F494" s="13">
        <f>IFERROR((E494-D494)/D494,"")</f>
        <v/>
      </c>
      <c r="G494" s="13">
        <f>IFERROR((CHAIN_RAW!K494+CHAIN_RAW!L494)/2,"")</f>
        <v/>
      </c>
      <c r="H494" s="13">
        <f>IFERROR((CHAIN_RAW!R494+CHAIN_RAW!S494)/2,"")</f>
        <v/>
      </c>
      <c r="I494" s="13">
        <f>IFERROR((CHAIN_RAW!L494-CHAIN_RAW!K494)/MAX(1E-9, G494),"")</f>
        <v/>
      </c>
      <c r="J494" s="13">
        <f>IFERROR((CHAIN_RAW!S494-CHAIN_RAW!R494)/MAX(1E-9, H494),"")</f>
        <v/>
      </c>
      <c r="K494" s="13">
        <f>CHAIN_RAW!G494</f>
        <v/>
      </c>
      <c r="L494" s="13">
        <f>CHAIN_RAW!N494</f>
        <v/>
      </c>
      <c r="M494" s="13">
        <f>IFERROR(L494-K494,"")</f>
        <v/>
      </c>
      <c r="N494" s="13">
        <f>CHAIN_RAW!H494</f>
        <v/>
      </c>
      <c r="O494" s="13">
        <f>CHAIN_RAW!O494</f>
        <v/>
      </c>
      <c r="P494" s="13">
        <f>IFERROR(O494/N494,"")</f>
        <v/>
      </c>
      <c r="Q494" s="13">
        <f>CHAIN_RAW!I494</f>
        <v/>
      </c>
      <c r="R494" s="13">
        <f>CHAIN_RAW!P494</f>
        <v/>
      </c>
      <c r="S494" s="13">
        <f>IFERROR(R494/Q494,"")</f>
        <v/>
      </c>
      <c r="T494" s="13">
        <f>IFERROR((ABS(N494-O494)/MAX(1,(N494+O494)))*EXP(-ABS(E494-CONTROL!E5)/MAX(1,CONTROL!B8)),"")</f>
        <v/>
      </c>
      <c r="U494" s="13">
        <f>IFERROR(IF(O494&gt;N494,"SUPPORT (PE OI)","RESIST (CE OI)"),"")</f>
        <v/>
      </c>
      <c r="V494" s="13">
        <f>IFERROR(IF(Q494&gt;0,IF(R494&gt;0,"BOTH_ADD","CE_ADD_PE_REDUCE"),IF(R494&gt;0,"CE_REDUCE_PE_ADD","BOTH_REDUCE")),"")</f>
        <v/>
      </c>
      <c r="W494" s="13">
        <f>IFERROR( (P494-1)*0.5 + (M494)*0.1 - (I494+J494)*0.05 + T494*0.4 ,"")</f>
        <v/>
      </c>
      <c r="X494" s="13">
        <f>IFERROR(IF(ABS(F494)&lt;0.01,"ATM/NEAR",""),"")</f>
        <v/>
      </c>
    </row>
    <row r="495">
      <c r="A495" s="13">
        <f>CHAIN_RAW!A495</f>
        <v/>
      </c>
      <c r="B495" s="14">
        <f>CHAIN_RAW!B495</f>
        <v/>
      </c>
      <c r="C495" s="13">
        <f>CHAIN_RAW!C495</f>
        <v/>
      </c>
      <c r="D495" s="13">
        <f>CHAIN_RAW!D495</f>
        <v/>
      </c>
      <c r="E495" s="13">
        <f>CHAIN_RAW!E495</f>
        <v/>
      </c>
      <c r="F495" s="13">
        <f>IFERROR((E495-D495)/D495,"")</f>
        <v/>
      </c>
      <c r="G495" s="13">
        <f>IFERROR((CHAIN_RAW!K495+CHAIN_RAW!L495)/2,"")</f>
        <v/>
      </c>
      <c r="H495" s="13">
        <f>IFERROR((CHAIN_RAW!R495+CHAIN_RAW!S495)/2,"")</f>
        <v/>
      </c>
      <c r="I495" s="13">
        <f>IFERROR((CHAIN_RAW!L495-CHAIN_RAW!K495)/MAX(1E-9, G495),"")</f>
        <v/>
      </c>
      <c r="J495" s="13">
        <f>IFERROR((CHAIN_RAW!S495-CHAIN_RAW!R495)/MAX(1E-9, H495),"")</f>
        <v/>
      </c>
      <c r="K495" s="13">
        <f>CHAIN_RAW!G495</f>
        <v/>
      </c>
      <c r="L495" s="13">
        <f>CHAIN_RAW!N495</f>
        <v/>
      </c>
      <c r="M495" s="13">
        <f>IFERROR(L495-K495,"")</f>
        <v/>
      </c>
      <c r="N495" s="13">
        <f>CHAIN_RAW!H495</f>
        <v/>
      </c>
      <c r="O495" s="13">
        <f>CHAIN_RAW!O495</f>
        <v/>
      </c>
      <c r="P495" s="13">
        <f>IFERROR(O495/N495,"")</f>
        <v/>
      </c>
      <c r="Q495" s="13">
        <f>CHAIN_RAW!I495</f>
        <v/>
      </c>
      <c r="R495" s="13">
        <f>CHAIN_RAW!P495</f>
        <v/>
      </c>
      <c r="S495" s="13">
        <f>IFERROR(R495/Q495,"")</f>
        <v/>
      </c>
      <c r="T495" s="13">
        <f>IFERROR((ABS(N495-O495)/MAX(1,(N495+O495)))*EXP(-ABS(E495-CONTROL!E5)/MAX(1,CONTROL!B8)),"")</f>
        <v/>
      </c>
      <c r="U495" s="13">
        <f>IFERROR(IF(O495&gt;N495,"SUPPORT (PE OI)","RESIST (CE OI)"),"")</f>
        <v/>
      </c>
      <c r="V495" s="13">
        <f>IFERROR(IF(Q495&gt;0,IF(R495&gt;0,"BOTH_ADD","CE_ADD_PE_REDUCE"),IF(R495&gt;0,"CE_REDUCE_PE_ADD","BOTH_REDUCE")),"")</f>
        <v/>
      </c>
      <c r="W495" s="13">
        <f>IFERROR( (P495-1)*0.5 + (M495)*0.1 - (I495+J495)*0.05 + T495*0.4 ,"")</f>
        <v/>
      </c>
      <c r="X495" s="13">
        <f>IFERROR(IF(ABS(F495)&lt;0.01,"ATM/NEAR",""),"")</f>
        <v/>
      </c>
    </row>
    <row r="496">
      <c r="A496" s="13">
        <f>CHAIN_RAW!A496</f>
        <v/>
      </c>
      <c r="B496" s="14">
        <f>CHAIN_RAW!B496</f>
        <v/>
      </c>
      <c r="C496" s="13">
        <f>CHAIN_RAW!C496</f>
        <v/>
      </c>
      <c r="D496" s="13">
        <f>CHAIN_RAW!D496</f>
        <v/>
      </c>
      <c r="E496" s="13">
        <f>CHAIN_RAW!E496</f>
        <v/>
      </c>
      <c r="F496" s="13">
        <f>IFERROR((E496-D496)/D496,"")</f>
        <v/>
      </c>
      <c r="G496" s="13">
        <f>IFERROR((CHAIN_RAW!K496+CHAIN_RAW!L496)/2,"")</f>
        <v/>
      </c>
      <c r="H496" s="13">
        <f>IFERROR((CHAIN_RAW!R496+CHAIN_RAW!S496)/2,"")</f>
        <v/>
      </c>
      <c r="I496" s="13">
        <f>IFERROR((CHAIN_RAW!L496-CHAIN_RAW!K496)/MAX(1E-9, G496),"")</f>
        <v/>
      </c>
      <c r="J496" s="13">
        <f>IFERROR((CHAIN_RAW!S496-CHAIN_RAW!R496)/MAX(1E-9, H496),"")</f>
        <v/>
      </c>
      <c r="K496" s="13">
        <f>CHAIN_RAW!G496</f>
        <v/>
      </c>
      <c r="L496" s="13">
        <f>CHAIN_RAW!N496</f>
        <v/>
      </c>
      <c r="M496" s="13">
        <f>IFERROR(L496-K496,"")</f>
        <v/>
      </c>
      <c r="N496" s="13">
        <f>CHAIN_RAW!H496</f>
        <v/>
      </c>
      <c r="O496" s="13">
        <f>CHAIN_RAW!O496</f>
        <v/>
      </c>
      <c r="P496" s="13">
        <f>IFERROR(O496/N496,"")</f>
        <v/>
      </c>
      <c r="Q496" s="13">
        <f>CHAIN_RAW!I496</f>
        <v/>
      </c>
      <c r="R496" s="13">
        <f>CHAIN_RAW!P496</f>
        <v/>
      </c>
      <c r="S496" s="13">
        <f>IFERROR(R496/Q496,"")</f>
        <v/>
      </c>
      <c r="T496" s="13">
        <f>IFERROR((ABS(N496-O496)/MAX(1,(N496+O496)))*EXP(-ABS(E496-CONTROL!E5)/MAX(1,CONTROL!B8)),"")</f>
        <v/>
      </c>
      <c r="U496" s="13">
        <f>IFERROR(IF(O496&gt;N496,"SUPPORT (PE OI)","RESIST (CE OI)"),"")</f>
        <v/>
      </c>
      <c r="V496" s="13">
        <f>IFERROR(IF(Q496&gt;0,IF(R496&gt;0,"BOTH_ADD","CE_ADD_PE_REDUCE"),IF(R496&gt;0,"CE_REDUCE_PE_ADD","BOTH_REDUCE")),"")</f>
        <v/>
      </c>
      <c r="W496" s="13">
        <f>IFERROR( (P496-1)*0.5 + (M496)*0.1 - (I496+J496)*0.05 + T496*0.4 ,"")</f>
        <v/>
      </c>
      <c r="X496" s="13">
        <f>IFERROR(IF(ABS(F496)&lt;0.01,"ATM/NEAR",""),"")</f>
        <v/>
      </c>
    </row>
    <row r="497">
      <c r="A497" s="13">
        <f>CHAIN_RAW!A497</f>
        <v/>
      </c>
      <c r="B497" s="14">
        <f>CHAIN_RAW!B497</f>
        <v/>
      </c>
      <c r="C497" s="13">
        <f>CHAIN_RAW!C497</f>
        <v/>
      </c>
      <c r="D497" s="13">
        <f>CHAIN_RAW!D497</f>
        <v/>
      </c>
      <c r="E497" s="13">
        <f>CHAIN_RAW!E497</f>
        <v/>
      </c>
      <c r="F497" s="13">
        <f>IFERROR((E497-D497)/D497,"")</f>
        <v/>
      </c>
      <c r="G497" s="13">
        <f>IFERROR((CHAIN_RAW!K497+CHAIN_RAW!L497)/2,"")</f>
        <v/>
      </c>
      <c r="H497" s="13">
        <f>IFERROR((CHAIN_RAW!R497+CHAIN_RAW!S497)/2,"")</f>
        <v/>
      </c>
      <c r="I497" s="13">
        <f>IFERROR((CHAIN_RAW!L497-CHAIN_RAW!K497)/MAX(1E-9, G497),"")</f>
        <v/>
      </c>
      <c r="J497" s="13">
        <f>IFERROR((CHAIN_RAW!S497-CHAIN_RAW!R497)/MAX(1E-9, H497),"")</f>
        <v/>
      </c>
      <c r="K497" s="13">
        <f>CHAIN_RAW!G497</f>
        <v/>
      </c>
      <c r="L497" s="13">
        <f>CHAIN_RAW!N497</f>
        <v/>
      </c>
      <c r="M497" s="13">
        <f>IFERROR(L497-K497,"")</f>
        <v/>
      </c>
      <c r="N497" s="13">
        <f>CHAIN_RAW!H497</f>
        <v/>
      </c>
      <c r="O497" s="13">
        <f>CHAIN_RAW!O497</f>
        <v/>
      </c>
      <c r="P497" s="13">
        <f>IFERROR(O497/N497,"")</f>
        <v/>
      </c>
      <c r="Q497" s="13">
        <f>CHAIN_RAW!I497</f>
        <v/>
      </c>
      <c r="R497" s="13">
        <f>CHAIN_RAW!P497</f>
        <v/>
      </c>
      <c r="S497" s="13">
        <f>IFERROR(R497/Q497,"")</f>
        <v/>
      </c>
      <c r="T497" s="13">
        <f>IFERROR((ABS(N497-O497)/MAX(1,(N497+O497)))*EXP(-ABS(E497-CONTROL!E5)/MAX(1,CONTROL!B8)),"")</f>
        <v/>
      </c>
      <c r="U497" s="13">
        <f>IFERROR(IF(O497&gt;N497,"SUPPORT (PE OI)","RESIST (CE OI)"),"")</f>
        <v/>
      </c>
      <c r="V497" s="13">
        <f>IFERROR(IF(Q497&gt;0,IF(R497&gt;0,"BOTH_ADD","CE_ADD_PE_REDUCE"),IF(R497&gt;0,"CE_REDUCE_PE_ADD","BOTH_REDUCE")),"")</f>
        <v/>
      </c>
      <c r="W497" s="13">
        <f>IFERROR( (P497-1)*0.5 + (M497)*0.1 - (I497+J497)*0.05 + T497*0.4 ,"")</f>
        <v/>
      </c>
      <c r="X497" s="13">
        <f>IFERROR(IF(ABS(F497)&lt;0.01,"ATM/NEAR",""),"")</f>
        <v/>
      </c>
    </row>
    <row r="498">
      <c r="A498" s="13">
        <f>CHAIN_RAW!A498</f>
        <v/>
      </c>
      <c r="B498" s="14">
        <f>CHAIN_RAW!B498</f>
        <v/>
      </c>
      <c r="C498" s="13">
        <f>CHAIN_RAW!C498</f>
        <v/>
      </c>
      <c r="D498" s="13">
        <f>CHAIN_RAW!D498</f>
        <v/>
      </c>
      <c r="E498" s="13">
        <f>CHAIN_RAW!E498</f>
        <v/>
      </c>
      <c r="F498" s="13">
        <f>IFERROR((E498-D498)/D498,"")</f>
        <v/>
      </c>
      <c r="G498" s="13">
        <f>IFERROR((CHAIN_RAW!K498+CHAIN_RAW!L498)/2,"")</f>
        <v/>
      </c>
      <c r="H498" s="13">
        <f>IFERROR((CHAIN_RAW!R498+CHAIN_RAW!S498)/2,"")</f>
        <v/>
      </c>
      <c r="I498" s="13">
        <f>IFERROR((CHAIN_RAW!L498-CHAIN_RAW!K498)/MAX(1E-9, G498),"")</f>
        <v/>
      </c>
      <c r="J498" s="13">
        <f>IFERROR((CHAIN_RAW!S498-CHAIN_RAW!R498)/MAX(1E-9, H498),"")</f>
        <v/>
      </c>
      <c r="K498" s="13">
        <f>CHAIN_RAW!G498</f>
        <v/>
      </c>
      <c r="L498" s="13">
        <f>CHAIN_RAW!N498</f>
        <v/>
      </c>
      <c r="M498" s="13">
        <f>IFERROR(L498-K498,"")</f>
        <v/>
      </c>
      <c r="N498" s="13">
        <f>CHAIN_RAW!H498</f>
        <v/>
      </c>
      <c r="O498" s="13">
        <f>CHAIN_RAW!O498</f>
        <v/>
      </c>
      <c r="P498" s="13">
        <f>IFERROR(O498/N498,"")</f>
        <v/>
      </c>
      <c r="Q498" s="13">
        <f>CHAIN_RAW!I498</f>
        <v/>
      </c>
      <c r="R498" s="13">
        <f>CHAIN_RAW!P498</f>
        <v/>
      </c>
      <c r="S498" s="13">
        <f>IFERROR(R498/Q498,"")</f>
        <v/>
      </c>
      <c r="T498" s="13">
        <f>IFERROR((ABS(N498-O498)/MAX(1,(N498+O498)))*EXP(-ABS(E498-CONTROL!E5)/MAX(1,CONTROL!B8)),"")</f>
        <v/>
      </c>
      <c r="U498" s="13">
        <f>IFERROR(IF(O498&gt;N498,"SUPPORT (PE OI)","RESIST (CE OI)"),"")</f>
        <v/>
      </c>
      <c r="V498" s="13">
        <f>IFERROR(IF(Q498&gt;0,IF(R498&gt;0,"BOTH_ADD","CE_ADD_PE_REDUCE"),IF(R498&gt;0,"CE_REDUCE_PE_ADD","BOTH_REDUCE")),"")</f>
        <v/>
      </c>
      <c r="W498" s="13">
        <f>IFERROR( (P498-1)*0.5 + (M498)*0.1 - (I498+J498)*0.05 + T498*0.4 ,"")</f>
        <v/>
      </c>
      <c r="X498" s="13">
        <f>IFERROR(IF(ABS(F498)&lt;0.01,"ATM/NEAR",""),"")</f>
        <v/>
      </c>
    </row>
    <row r="499">
      <c r="A499" s="13">
        <f>CHAIN_RAW!A499</f>
        <v/>
      </c>
      <c r="B499" s="14">
        <f>CHAIN_RAW!B499</f>
        <v/>
      </c>
      <c r="C499" s="13">
        <f>CHAIN_RAW!C499</f>
        <v/>
      </c>
      <c r="D499" s="13">
        <f>CHAIN_RAW!D499</f>
        <v/>
      </c>
      <c r="E499" s="13">
        <f>CHAIN_RAW!E499</f>
        <v/>
      </c>
      <c r="F499" s="13">
        <f>IFERROR((E499-D499)/D499,"")</f>
        <v/>
      </c>
      <c r="G499" s="13">
        <f>IFERROR((CHAIN_RAW!K499+CHAIN_RAW!L499)/2,"")</f>
        <v/>
      </c>
      <c r="H499" s="13">
        <f>IFERROR((CHAIN_RAW!R499+CHAIN_RAW!S499)/2,"")</f>
        <v/>
      </c>
      <c r="I499" s="13">
        <f>IFERROR((CHAIN_RAW!L499-CHAIN_RAW!K499)/MAX(1E-9, G499),"")</f>
        <v/>
      </c>
      <c r="J499" s="13">
        <f>IFERROR((CHAIN_RAW!S499-CHAIN_RAW!R499)/MAX(1E-9, H499),"")</f>
        <v/>
      </c>
      <c r="K499" s="13">
        <f>CHAIN_RAW!G499</f>
        <v/>
      </c>
      <c r="L499" s="13">
        <f>CHAIN_RAW!N499</f>
        <v/>
      </c>
      <c r="M499" s="13">
        <f>IFERROR(L499-K499,"")</f>
        <v/>
      </c>
      <c r="N499" s="13">
        <f>CHAIN_RAW!H499</f>
        <v/>
      </c>
      <c r="O499" s="13">
        <f>CHAIN_RAW!O499</f>
        <v/>
      </c>
      <c r="P499" s="13">
        <f>IFERROR(O499/N499,"")</f>
        <v/>
      </c>
      <c r="Q499" s="13">
        <f>CHAIN_RAW!I499</f>
        <v/>
      </c>
      <c r="R499" s="13">
        <f>CHAIN_RAW!P499</f>
        <v/>
      </c>
      <c r="S499" s="13">
        <f>IFERROR(R499/Q499,"")</f>
        <v/>
      </c>
      <c r="T499" s="13">
        <f>IFERROR((ABS(N499-O499)/MAX(1,(N499+O499)))*EXP(-ABS(E499-CONTROL!E5)/MAX(1,CONTROL!B8)),"")</f>
        <v/>
      </c>
      <c r="U499" s="13">
        <f>IFERROR(IF(O499&gt;N499,"SUPPORT (PE OI)","RESIST (CE OI)"),"")</f>
        <v/>
      </c>
      <c r="V499" s="13">
        <f>IFERROR(IF(Q499&gt;0,IF(R499&gt;0,"BOTH_ADD","CE_ADD_PE_REDUCE"),IF(R499&gt;0,"CE_REDUCE_PE_ADD","BOTH_REDUCE")),"")</f>
        <v/>
      </c>
      <c r="W499" s="13">
        <f>IFERROR( (P499-1)*0.5 + (M499)*0.1 - (I499+J499)*0.05 + T499*0.4 ,"")</f>
        <v/>
      </c>
      <c r="X499" s="13">
        <f>IFERROR(IF(ABS(F499)&lt;0.01,"ATM/NEAR",""),"")</f>
        <v/>
      </c>
    </row>
    <row r="500">
      <c r="A500" s="13">
        <f>CHAIN_RAW!A500</f>
        <v/>
      </c>
      <c r="B500" s="14">
        <f>CHAIN_RAW!B500</f>
        <v/>
      </c>
      <c r="C500" s="13">
        <f>CHAIN_RAW!C500</f>
        <v/>
      </c>
      <c r="D500" s="13">
        <f>CHAIN_RAW!D500</f>
        <v/>
      </c>
      <c r="E500" s="13">
        <f>CHAIN_RAW!E500</f>
        <v/>
      </c>
      <c r="F500" s="13">
        <f>IFERROR((E500-D500)/D500,"")</f>
        <v/>
      </c>
      <c r="G500" s="13">
        <f>IFERROR((CHAIN_RAW!K500+CHAIN_RAW!L500)/2,"")</f>
        <v/>
      </c>
      <c r="H500" s="13">
        <f>IFERROR((CHAIN_RAW!R500+CHAIN_RAW!S500)/2,"")</f>
        <v/>
      </c>
      <c r="I500" s="13">
        <f>IFERROR((CHAIN_RAW!L500-CHAIN_RAW!K500)/MAX(1E-9, G500),"")</f>
        <v/>
      </c>
      <c r="J500" s="13">
        <f>IFERROR((CHAIN_RAW!S500-CHAIN_RAW!R500)/MAX(1E-9, H500),"")</f>
        <v/>
      </c>
      <c r="K500" s="13">
        <f>CHAIN_RAW!G500</f>
        <v/>
      </c>
      <c r="L500" s="13">
        <f>CHAIN_RAW!N500</f>
        <v/>
      </c>
      <c r="M500" s="13">
        <f>IFERROR(L500-K500,"")</f>
        <v/>
      </c>
      <c r="N500" s="13">
        <f>CHAIN_RAW!H500</f>
        <v/>
      </c>
      <c r="O500" s="13">
        <f>CHAIN_RAW!O500</f>
        <v/>
      </c>
      <c r="P500" s="13">
        <f>IFERROR(O500/N500,"")</f>
        <v/>
      </c>
      <c r="Q500" s="13">
        <f>CHAIN_RAW!I500</f>
        <v/>
      </c>
      <c r="R500" s="13">
        <f>CHAIN_RAW!P500</f>
        <v/>
      </c>
      <c r="S500" s="13">
        <f>IFERROR(R500/Q500,"")</f>
        <v/>
      </c>
      <c r="T500" s="13">
        <f>IFERROR((ABS(N500-O500)/MAX(1,(N500+O500)))*EXP(-ABS(E500-CONTROL!E5)/MAX(1,CONTROL!B8)),"")</f>
        <v/>
      </c>
      <c r="U500" s="13">
        <f>IFERROR(IF(O500&gt;N500,"SUPPORT (PE OI)","RESIST (CE OI)"),"")</f>
        <v/>
      </c>
      <c r="V500" s="13">
        <f>IFERROR(IF(Q500&gt;0,IF(R500&gt;0,"BOTH_ADD","CE_ADD_PE_REDUCE"),IF(R500&gt;0,"CE_REDUCE_PE_ADD","BOTH_REDUCE")),"")</f>
        <v/>
      </c>
      <c r="W500" s="13">
        <f>IFERROR( (P500-1)*0.5 + (M500)*0.1 - (I500+J500)*0.05 + T500*0.4 ,"")</f>
        <v/>
      </c>
      <c r="X500" s="13">
        <f>IFERROR(IF(ABS(F500)&lt;0.01,"ATM/NEAR",""),"")</f>
        <v/>
      </c>
    </row>
    <row r="501">
      <c r="A501" s="13">
        <f>CHAIN_RAW!A501</f>
        <v/>
      </c>
      <c r="B501" s="14">
        <f>CHAIN_RAW!B501</f>
        <v/>
      </c>
      <c r="C501" s="13">
        <f>CHAIN_RAW!C501</f>
        <v/>
      </c>
      <c r="D501" s="13">
        <f>CHAIN_RAW!D501</f>
        <v/>
      </c>
      <c r="E501" s="13">
        <f>CHAIN_RAW!E501</f>
        <v/>
      </c>
      <c r="F501" s="13">
        <f>IFERROR((E501-D501)/D501,"")</f>
        <v/>
      </c>
      <c r="G501" s="13">
        <f>IFERROR((CHAIN_RAW!K501+CHAIN_RAW!L501)/2,"")</f>
        <v/>
      </c>
      <c r="H501" s="13">
        <f>IFERROR((CHAIN_RAW!R501+CHAIN_RAW!S501)/2,"")</f>
        <v/>
      </c>
      <c r="I501" s="13">
        <f>IFERROR((CHAIN_RAW!L501-CHAIN_RAW!K501)/MAX(1E-9, G501),"")</f>
        <v/>
      </c>
      <c r="J501" s="13">
        <f>IFERROR((CHAIN_RAW!S501-CHAIN_RAW!R501)/MAX(1E-9, H501),"")</f>
        <v/>
      </c>
      <c r="K501" s="13">
        <f>CHAIN_RAW!G501</f>
        <v/>
      </c>
      <c r="L501" s="13">
        <f>CHAIN_RAW!N501</f>
        <v/>
      </c>
      <c r="M501" s="13">
        <f>IFERROR(L501-K501,"")</f>
        <v/>
      </c>
      <c r="N501" s="13">
        <f>CHAIN_RAW!H501</f>
        <v/>
      </c>
      <c r="O501" s="13">
        <f>CHAIN_RAW!O501</f>
        <v/>
      </c>
      <c r="P501" s="13">
        <f>IFERROR(O501/N501,"")</f>
        <v/>
      </c>
      <c r="Q501" s="13">
        <f>CHAIN_RAW!I501</f>
        <v/>
      </c>
      <c r="R501" s="13">
        <f>CHAIN_RAW!P501</f>
        <v/>
      </c>
      <c r="S501" s="13">
        <f>IFERROR(R501/Q501,"")</f>
        <v/>
      </c>
      <c r="T501" s="13">
        <f>IFERROR((ABS(N501-O501)/MAX(1,(N501+O501)))*EXP(-ABS(E501-CONTROL!E5)/MAX(1,CONTROL!B8)),"")</f>
        <v/>
      </c>
      <c r="U501" s="13">
        <f>IFERROR(IF(O501&gt;N501,"SUPPORT (PE OI)","RESIST (CE OI)"),"")</f>
        <v/>
      </c>
      <c r="V501" s="13">
        <f>IFERROR(IF(Q501&gt;0,IF(R501&gt;0,"BOTH_ADD","CE_ADD_PE_REDUCE"),IF(R501&gt;0,"CE_REDUCE_PE_ADD","BOTH_REDUCE")),"")</f>
        <v/>
      </c>
      <c r="W501" s="13">
        <f>IFERROR( (P501-1)*0.5 + (M501)*0.1 - (I501+J501)*0.05 + T501*0.4 ,"")</f>
        <v/>
      </c>
      <c r="X501" s="13">
        <f>IFERROR(IF(ABS(F501)&lt;0.01,"ATM/NEAR",""),"")</f>
        <v/>
      </c>
    </row>
    <row r="502">
      <c r="A502" s="13">
        <f>CHAIN_RAW!A502</f>
        <v/>
      </c>
      <c r="B502" s="14">
        <f>CHAIN_RAW!B502</f>
        <v/>
      </c>
      <c r="C502" s="13">
        <f>CHAIN_RAW!C502</f>
        <v/>
      </c>
      <c r="D502" s="13">
        <f>CHAIN_RAW!D502</f>
        <v/>
      </c>
      <c r="E502" s="13">
        <f>CHAIN_RAW!E502</f>
        <v/>
      </c>
      <c r="F502" s="13">
        <f>IFERROR((E502-D502)/D502,"")</f>
        <v/>
      </c>
      <c r="G502" s="13">
        <f>IFERROR((CHAIN_RAW!K502+CHAIN_RAW!L502)/2,"")</f>
        <v/>
      </c>
      <c r="H502" s="13">
        <f>IFERROR((CHAIN_RAW!R502+CHAIN_RAW!S502)/2,"")</f>
        <v/>
      </c>
      <c r="I502" s="13">
        <f>IFERROR((CHAIN_RAW!L502-CHAIN_RAW!K502)/MAX(1E-9, G502),"")</f>
        <v/>
      </c>
      <c r="J502" s="13">
        <f>IFERROR((CHAIN_RAW!S502-CHAIN_RAW!R502)/MAX(1E-9, H502),"")</f>
        <v/>
      </c>
      <c r="K502" s="13">
        <f>CHAIN_RAW!G502</f>
        <v/>
      </c>
      <c r="L502" s="13">
        <f>CHAIN_RAW!N502</f>
        <v/>
      </c>
      <c r="M502" s="13">
        <f>IFERROR(L502-K502,"")</f>
        <v/>
      </c>
      <c r="N502" s="13">
        <f>CHAIN_RAW!H502</f>
        <v/>
      </c>
      <c r="O502" s="13">
        <f>CHAIN_RAW!O502</f>
        <v/>
      </c>
      <c r="P502" s="13">
        <f>IFERROR(O502/N502,"")</f>
        <v/>
      </c>
      <c r="Q502" s="13">
        <f>CHAIN_RAW!I502</f>
        <v/>
      </c>
      <c r="R502" s="13">
        <f>CHAIN_RAW!P502</f>
        <v/>
      </c>
      <c r="S502" s="13">
        <f>IFERROR(R502/Q502,"")</f>
        <v/>
      </c>
      <c r="T502" s="13">
        <f>IFERROR((ABS(N502-O502)/MAX(1,(N502+O502)))*EXP(-ABS(E502-CONTROL!E5)/MAX(1,CONTROL!B8)),"")</f>
        <v/>
      </c>
      <c r="U502" s="13">
        <f>IFERROR(IF(O502&gt;N502,"SUPPORT (PE OI)","RESIST (CE OI)"),"")</f>
        <v/>
      </c>
      <c r="V502" s="13">
        <f>IFERROR(IF(Q502&gt;0,IF(R502&gt;0,"BOTH_ADD","CE_ADD_PE_REDUCE"),IF(R502&gt;0,"CE_REDUCE_PE_ADD","BOTH_REDUCE")),"")</f>
        <v/>
      </c>
      <c r="W502" s="13">
        <f>IFERROR( (P502-1)*0.5 + (M502)*0.1 - (I502+J502)*0.05 + T502*0.4 ,"")</f>
        <v/>
      </c>
      <c r="X502" s="13">
        <f>IFERROR(IF(ABS(F502)&lt;0.01,"ATM/NEAR",""),"")</f>
        <v/>
      </c>
    </row>
    <row r="503">
      <c r="A503" s="13">
        <f>CHAIN_RAW!A503</f>
        <v/>
      </c>
      <c r="B503" s="14">
        <f>CHAIN_RAW!B503</f>
        <v/>
      </c>
      <c r="C503" s="13">
        <f>CHAIN_RAW!C503</f>
        <v/>
      </c>
      <c r="D503" s="13">
        <f>CHAIN_RAW!D503</f>
        <v/>
      </c>
      <c r="E503" s="13">
        <f>CHAIN_RAW!E503</f>
        <v/>
      </c>
      <c r="F503" s="13">
        <f>IFERROR((E503-D503)/D503,"")</f>
        <v/>
      </c>
      <c r="G503" s="13">
        <f>IFERROR((CHAIN_RAW!K503+CHAIN_RAW!L503)/2,"")</f>
        <v/>
      </c>
      <c r="H503" s="13">
        <f>IFERROR((CHAIN_RAW!R503+CHAIN_RAW!S503)/2,"")</f>
        <v/>
      </c>
      <c r="I503" s="13">
        <f>IFERROR((CHAIN_RAW!L503-CHAIN_RAW!K503)/MAX(1E-9, G503),"")</f>
        <v/>
      </c>
      <c r="J503" s="13">
        <f>IFERROR((CHAIN_RAW!S503-CHAIN_RAW!R503)/MAX(1E-9, H503),"")</f>
        <v/>
      </c>
      <c r="K503" s="13">
        <f>CHAIN_RAW!G503</f>
        <v/>
      </c>
      <c r="L503" s="13">
        <f>CHAIN_RAW!N503</f>
        <v/>
      </c>
      <c r="M503" s="13">
        <f>IFERROR(L503-K503,"")</f>
        <v/>
      </c>
      <c r="N503" s="13">
        <f>CHAIN_RAW!H503</f>
        <v/>
      </c>
      <c r="O503" s="13">
        <f>CHAIN_RAW!O503</f>
        <v/>
      </c>
      <c r="P503" s="13">
        <f>IFERROR(O503/N503,"")</f>
        <v/>
      </c>
      <c r="Q503" s="13">
        <f>CHAIN_RAW!I503</f>
        <v/>
      </c>
      <c r="R503" s="13">
        <f>CHAIN_RAW!P503</f>
        <v/>
      </c>
      <c r="S503" s="13">
        <f>IFERROR(R503/Q503,"")</f>
        <v/>
      </c>
      <c r="T503" s="13">
        <f>IFERROR((ABS(N503-O503)/MAX(1,(N503+O503)))*EXP(-ABS(E503-CONTROL!E5)/MAX(1,CONTROL!B8)),"")</f>
        <v/>
      </c>
      <c r="U503" s="13">
        <f>IFERROR(IF(O503&gt;N503,"SUPPORT (PE OI)","RESIST (CE OI)"),"")</f>
        <v/>
      </c>
      <c r="V503" s="13">
        <f>IFERROR(IF(Q503&gt;0,IF(R503&gt;0,"BOTH_ADD","CE_ADD_PE_REDUCE"),IF(R503&gt;0,"CE_REDUCE_PE_ADD","BOTH_REDUCE")),"")</f>
        <v/>
      </c>
      <c r="W503" s="13">
        <f>IFERROR( (P503-1)*0.5 + (M503)*0.1 - (I503+J503)*0.05 + T503*0.4 ,"")</f>
        <v/>
      </c>
      <c r="X503" s="13">
        <f>IFERROR(IF(ABS(F503)&lt;0.01,"ATM/NEAR",""),"")</f>
        <v/>
      </c>
    </row>
    <row r="504">
      <c r="A504" s="13">
        <f>CHAIN_RAW!A504</f>
        <v/>
      </c>
      <c r="B504" s="14">
        <f>CHAIN_RAW!B504</f>
        <v/>
      </c>
      <c r="C504" s="13">
        <f>CHAIN_RAW!C504</f>
        <v/>
      </c>
      <c r="D504" s="13">
        <f>CHAIN_RAW!D504</f>
        <v/>
      </c>
      <c r="E504" s="13">
        <f>CHAIN_RAW!E504</f>
        <v/>
      </c>
      <c r="F504" s="13">
        <f>IFERROR((E504-D504)/D504,"")</f>
        <v/>
      </c>
      <c r="G504" s="13">
        <f>IFERROR((CHAIN_RAW!K504+CHAIN_RAW!L504)/2,"")</f>
        <v/>
      </c>
      <c r="H504" s="13">
        <f>IFERROR((CHAIN_RAW!R504+CHAIN_RAW!S504)/2,"")</f>
        <v/>
      </c>
      <c r="I504" s="13">
        <f>IFERROR((CHAIN_RAW!L504-CHAIN_RAW!K504)/MAX(1E-9, G504),"")</f>
        <v/>
      </c>
      <c r="J504" s="13">
        <f>IFERROR((CHAIN_RAW!S504-CHAIN_RAW!R504)/MAX(1E-9, H504),"")</f>
        <v/>
      </c>
      <c r="K504" s="13">
        <f>CHAIN_RAW!G504</f>
        <v/>
      </c>
      <c r="L504" s="13">
        <f>CHAIN_RAW!N504</f>
        <v/>
      </c>
      <c r="M504" s="13">
        <f>IFERROR(L504-K504,"")</f>
        <v/>
      </c>
      <c r="N504" s="13">
        <f>CHAIN_RAW!H504</f>
        <v/>
      </c>
      <c r="O504" s="13">
        <f>CHAIN_RAW!O504</f>
        <v/>
      </c>
      <c r="P504" s="13">
        <f>IFERROR(O504/N504,"")</f>
        <v/>
      </c>
      <c r="Q504" s="13">
        <f>CHAIN_RAW!I504</f>
        <v/>
      </c>
      <c r="R504" s="13">
        <f>CHAIN_RAW!P504</f>
        <v/>
      </c>
      <c r="S504" s="13">
        <f>IFERROR(R504/Q504,"")</f>
        <v/>
      </c>
      <c r="T504" s="13">
        <f>IFERROR((ABS(N504-O504)/MAX(1,(N504+O504)))*EXP(-ABS(E504-CONTROL!E5)/MAX(1,CONTROL!B8)),"")</f>
        <v/>
      </c>
      <c r="U504" s="13">
        <f>IFERROR(IF(O504&gt;N504,"SUPPORT (PE OI)","RESIST (CE OI)"),"")</f>
        <v/>
      </c>
      <c r="V504" s="13">
        <f>IFERROR(IF(Q504&gt;0,IF(R504&gt;0,"BOTH_ADD","CE_ADD_PE_REDUCE"),IF(R504&gt;0,"CE_REDUCE_PE_ADD","BOTH_REDUCE")),"")</f>
        <v/>
      </c>
      <c r="W504" s="13">
        <f>IFERROR( (P504-1)*0.5 + (M504)*0.1 - (I504+J504)*0.05 + T504*0.4 ,"")</f>
        <v/>
      </c>
      <c r="X504" s="13">
        <f>IFERROR(IF(ABS(F504)&lt;0.01,"ATM/NEAR",""),"")</f>
        <v/>
      </c>
    </row>
    <row r="505">
      <c r="A505" s="13">
        <f>CHAIN_RAW!A505</f>
        <v/>
      </c>
      <c r="B505" s="14">
        <f>CHAIN_RAW!B505</f>
        <v/>
      </c>
      <c r="C505" s="13">
        <f>CHAIN_RAW!C505</f>
        <v/>
      </c>
      <c r="D505" s="13">
        <f>CHAIN_RAW!D505</f>
        <v/>
      </c>
      <c r="E505" s="13">
        <f>CHAIN_RAW!E505</f>
        <v/>
      </c>
      <c r="F505" s="13">
        <f>IFERROR((E505-D505)/D505,"")</f>
        <v/>
      </c>
      <c r="G505" s="13">
        <f>IFERROR((CHAIN_RAW!K505+CHAIN_RAW!L505)/2,"")</f>
        <v/>
      </c>
      <c r="H505" s="13">
        <f>IFERROR((CHAIN_RAW!R505+CHAIN_RAW!S505)/2,"")</f>
        <v/>
      </c>
      <c r="I505" s="13">
        <f>IFERROR((CHAIN_RAW!L505-CHAIN_RAW!K505)/MAX(1E-9, G505),"")</f>
        <v/>
      </c>
      <c r="J505" s="13">
        <f>IFERROR((CHAIN_RAW!S505-CHAIN_RAW!R505)/MAX(1E-9, H505),"")</f>
        <v/>
      </c>
      <c r="K505" s="13">
        <f>CHAIN_RAW!G505</f>
        <v/>
      </c>
      <c r="L505" s="13">
        <f>CHAIN_RAW!N505</f>
        <v/>
      </c>
      <c r="M505" s="13">
        <f>IFERROR(L505-K505,"")</f>
        <v/>
      </c>
      <c r="N505" s="13">
        <f>CHAIN_RAW!H505</f>
        <v/>
      </c>
      <c r="O505" s="13">
        <f>CHAIN_RAW!O505</f>
        <v/>
      </c>
      <c r="P505" s="13">
        <f>IFERROR(O505/N505,"")</f>
        <v/>
      </c>
      <c r="Q505" s="13">
        <f>CHAIN_RAW!I505</f>
        <v/>
      </c>
      <c r="R505" s="13">
        <f>CHAIN_RAW!P505</f>
        <v/>
      </c>
      <c r="S505" s="13">
        <f>IFERROR(R505/Q505,"")</f>
        <v/>
      </c>
      <c r="T505" s="13">
        <f>IFERROR((ABS(N505-O505)/MAX(1,(N505+O505)))*EXP(-ABS(E505-CONTROL!E5)/MAX(1,CONTROL!B8)),"")</f>
        <v/>
      </c>
      <c r="U505" s="13">
        <f>IFERROR(IF(O505&gt;N505,"SUPPORT (PE OI)","RESIST (CE OI)"),"")</f>
        <v/>
      </c>
      <c r="V505" s="13">
        <f>IFERROR(IF(Q505&gt;0,IF(R505&gt;0,"BOTH_ADD","CE_ADD_PE_REDUCE"),IF(R505&gt;0,"CE_REDUCE_PE_ADD","BOTH_REDUCE")),"")</f>
        <v/>
      </c>
      <c r="W505" s="13">
        <f>IFERROR( (P505-1)*0.5 + (M505)*0.1 - (I505+J505)*0.05 + T505*0.4 ,"")</f>
        <v/>
      </c>
      <c r="X505" s="13">
        <f>IFERROR(IF(ABS(F505)&lt;0.01,"ATM/NEAR",""),"")</f>
        <v/>
      </c>
    </row>
    <row r="506">
      <c r="A506" s="13">
        <f>CHAIN_RAW!A506</f>
        <v/>
      </c>
      <c r="B506" s="14">
        <f>CHAIN_RAW!B506</f>
        <v/>
      </c>
      <c r="C506" s="13">
        <f>CHAIN_RAW!C506</f>
        <v/>
      </c>
      <c r="D506" s="13">
        <f>CHAIN_RAW!D506</f>
        <v/>
      </c>
      <c r="E506" s="13">
        <f>CHAIN_RAW!E506</f>
        <v/>
      </c>
      <c r="F506" s="13">
        <f>IFERROR((E506-D506)/D506,"")</f>
        <v/>
      </c>
      <c r="G506" s="13">
        <f>IFERROR((CHAIN_RAW!K506+CHAIN_RAW!L506)/2,"")</f>
        <v/>
      </c>
      <c r="H506" s="13">
        <f>IFERROR((CHAIN_RAW!R506+CHAIN_RAW!S506)/2,"")</f>
        <v/>
      </c>
      <c r="I506" s="13">
        <f>IFERROR((CHAIN_RAW!L506-CHAIN_RAW!K506)/MAX(1E-9, G506),"")</f>
        <v/>
      </c>
      <c r="J506" s="13">
        <f>IFERROR((CHAIN_RAW!S506-CHAIN_RAW!R506)/MAX(1E-9, H506),"")</f>
        <v/>
      </c>
      <c r="K506" s="13">
        <f>CHAIN_RAW!G506</f>
        <v/>
      </c>
      <c r="L506" s="13">
        <f>CHAIN_RAW!N506</f>
        <v/>
      </c>
      <c r="M506" s="13">
        <f>IFERROR(L506-K506,"")</f>
        <v/>
      </c>
      <c r="N506" s="13">
        <f>CHAIN_RAW!H506</f>
        <v/>
      </c>
      <c r="O506" s="13">
        <f>CHAIN_RAW!O506</f>
        <v/>
      </c>
      <c r="P506" s="13">
        <f>IFERROR(O506/N506,"")</f>
        <v/>
      </c>
      <c r="Q506" s="13">
        <f>CHAIN_RAW!I506</f>
        <v/>
      </c>
      <c r="R506" s="13">
        <f>CHAIN_RAW!P506</f>
        <v/>
      </c>
      <c r="S506" s="13">
        <f>IFERROR(R506/Q506,"")</f>
        <v/>
      </c>
      <c r="T506" s="13">
        <f>IFERROR((ABS(N506-O506)/MAX(1,(N506+O506)))*EXP(-ABS(E506-CONTROL!E5)/MAX(1,CONTROL!B8)),"")</f>
        <v/>
      </c>
      <c r="U506" s="13">
        <f>IFERROR(IF(O506&gt;N506,"SUPPORT (PE OI)","RESIST (CE OI)"),"")</f>
        <v/>
      </c>
      <c r="V506" s="13">
        <f>IFERROR(IF(Q506&gt;0,IF(R506&gt;0,"BOTH_ADD","CE_ADD_PE_REDUCE"),IF(R506&gt;0,"CE_REDUCE_PE_ADD","BOTH_REDUCE")),"")</f>
        <v/>
      </c>
      <c r="W506" s="13">
        <f>IFERROR( (P506-1)*0.5 + (M506)*0.1 - (I506+J506)*0.05 + T506*0.4 ,"")</f>
        <v/>
      </c>
      <c r="X506" s="13">
        <f>IFERROR(IF(ABS(F506)&lt;0.01,"ATM/NEAR",""),"")</f>
        <v/>
      </c>
    </row>
    <row r="507">
      <c r="A507" s="13">
        <f>CHAIN_RAW!A507</f>
        <v/>
      </c>
      <c r="B507" s="14">
        <f>CHAIN_RAW!B507</f>
        <v/>
      </c>
      <c r="C507" s="13">
        <f>CHAIN_RAW!C507</f>
        <v/>
      </c>
      <c r="D507" s="13">
        <f>CHAIN_RAW!D507</f>
        <v/>
      </c>
      <c r="E507" s="13">
        <f>CHAIN_RAW!E507</f>
        <v/>
      </c>
      <c r="F507" s="13">
        <f>IFERROR((E507-D507)/D507,"")</f>
        <v/>
      </c>
      <c r="G507" s="13">
        <f>IFERROR((CHAIN_RAW!K507+CHAIN_RAW!L507)/2,"")</f>
        <v/>
      </c>
      <c r="H507" s="13">
        <f>IFERROR((CHAIN_RAW!R507+CHAIN_RAW!S507)/2,"")</f>
        <v/>
      </c>
      <c r="I507" s="13">
        <f>IFERROR((CHAIN_RAW!L507-CHAIN_RAW!K507)/MAX(1E-9, G507),"")</f>
        <v/>
      </c>
      <c r="J507" s="13">
        <f>IFERROR((CHAIN_RAW!S507-CHAIN_RAW!R507)/MAX(1E-9, H507),"")</f>
        <v/>
      </c>
      <c r="K507" s="13">
        <f>CHAIN_RAW!G507</f>
        <v/>
      </c>
      <c r="L507" s="13">
        <f>CHAIN_RAW!N507</f>
        <v/>
      </c>
      <c r="M507" s="13">
        <f>IFERROR(L507-K507,"")</f>
        <v/>
      </c>
      <c r="N507" s="13">
        <f>CHAIN_RAW!H507</f>
        <v/>
      </c>
      <c r="O507" s="13">
        <f>CHAIN_RAW!O507</f>
        <v/>
      </c>
      <c r="P507" s="13">
        <f>IFERROR(O507/N507,"")</f>
        <v/>
      </c>
      <c r="Q507" s="13">
        <f>CHAIN_RAW!I507</f>
        <v/>
      </c>
      <c r="R507" s="13">
        <f>CHAIN_RAW!P507</f>
        <v/>
      </c>
      <c r="S507" s="13">
        <f>IFERROR(R507/Q507,"")</f>
        <v/>
      </c>
      <c r="T507" s="13">
        <f>IFERROR((ABS(N507-O507)/MAX(1,(N507+O507)))*EXP(-ABS(E507-CONTROL!E5)/MAX(1,CONTROL!B8)),"")</f>
        <v/>
      </c>
      <c r="U507" s="13">
        <f>IFERROR(IF(O507&gt;N507,"SUPPORT (PE OI)","RESIST (CE OI)"),"")</f>
        <v/>
      </c>
      <c r="V507" s="13">
        <f>IFERROR(IF(Q507&gt;0,IF(R507&gt;0,"BOTH_ADD","CE_ADD_PE_REDUCE"),IF(R507&gt;0,"CE_REDUCE_PE_ADD","BOTH_REDUCE")),"")</f>
        <v/>
      </c>
      <c r="W507" s="13">
        <f>IFERROR( (P507-1)*0.5 + (M507)*0.1 - (I507+J507)*0.05 + T507*0.4 ,"")</f>
        <v/>
      </c>
      <c r="X507" s="13">
        <f>IFERROR(IF(ABS(F507)&lt;0.01,"ATM/NEAR",""),"")</f>
        <v/>
      </c>
    </row>
    <row r="508">
      <c r="A508" s="13">
        <f>CHAIN_RAW!A508</f>
        <v/>
      </c>
      <c r="B508" s="14">
        <f>CHAIN_RAW!B508</f>
        <v/>
      </c>
      <c r="C508" s="13">
        <f>CHAIN_RAW!C508</f>
        <v/>
      </c>
      <c r="D508" s="13">
        <f>CHAIN_RAW!D508</f>
        <v/>
      </c>
      <c r="E508" s="13">
        <f>CHAIN_RAW!E508</f>
        <v/>
      </c>
      <c r="F508" s="13">
        <f>IFERROR((E508-D508)/D508,"")</f>
        <v/>
      </c>
      <c r="G508" s="13">
        <f>IFERROR((CHAIN_RAW!K508+CHAIN_RAW!L508)/2,"")</f>
        <v/>
      </c>
      <c r="H508" s="13">
        <f>IFERROR((CHAIN_RAW!R508+CHAIN_RAW!S508)/2,"")</f>
        <v/>
      </c>
      <c r="I508" s="13">
        <f>IFERROR((CHAIN_RAW!L508-CHAIN_RAW!K508)/MAX(1E-9, G508),"")</f>
        <v/>
      </c>
      <c r="J508" s="13">
        <f>IFERROR((CHAIN_RAW!S508-CHAIN_RAW!R508)/MAX(1E-9, H508),"")</f>
        <v/>
      </c>
      <c r="K508" s="13">
        <f>CHAIN_RAW!G508</f>
        <v/>
      </c>
      <c r="L508" s="13">
        <f>CHAIN_RAW!N508</f>
        <v/>
      </c>
      <c r="M508" s="13">
        <f>IFERROR(L508-K508,"")</f>
        <v/>
      </c>
      <c r="N508" s="13">
        <f>CHAIN_RAW!H508</f>
        <v/>
      </c>
      <c r="O508" s="13">
        <f>CHAIN_RAW!O508</f>
        <v/>
      </c>
      <c r="P508" s="13">
        <f>IFERROR(O508/N508,"")</f>
        <v/>
      </c>
      <c r="Q508" s="13">
        <f>CHAIN_RAW!I508</f>
        <v/>
      </c>
      <c r="R508" s="13">
        <f>CHAIN_RAW!P508</f>
        <v/>
      </c>
      <c r="S508" s="13">
        <f>IFERROR(R508/Q508,"")</f>
        <v/>
      </c>
      <c r="T508" s="13">
        <f>IFERROR((ABS(N508-O508)/MAX(1,(N508+O508)))*EXP(-ABS(E508-CONTROL!E5)/MAX(1,CONTROL!B8)),"")</f>
        <v/>
      </c>
      <c r="U508" s="13">
        <f>IFERROR(IF(O508&gt;N508,"SUPPORT (PE OI)","RESIST (CE OI)"),"")</f>
        <v/>
      </c>
      <c r="V508" s="13">
        <f>IFERROR(IF(Q508&gt;0,IF(R508&gt;0,"BOTH_ADD","CE_ADD_PE_REDUCE"),IF(R508&gt;0,"CE_REDUCE_PE_ADD","BOTH_REDUCE")),"")</f>
        <v/>
      </c>
      <c r="W508" s="13">
        <f>IFERROR( (P508-1)*0.5 + (M508)*0.1 - (I508+J508)*0.05 + T508*0.4 ,"")</f>
        <v/>
      </c>
      <c r="X508" s="13">
        <f>IFERROR(IF(ABS(F508)&lt;0.01,"ATM/NEAR",""),"")</f>
        <v/>
      </c>
    </row>
    <row r="509">
      <c r="A509" s="13">
        <f>CHAIN_RAW!A509</f>
        <v/>
      </c>
      <c r="B509" s="14">
        <f>CHAIN_RAW!B509</f>
        <v/>
      </c>
      <c r="C509" s="13">
        <f>CHAIN_RAW!C509</f>
        <v/>
      </c>
      <c r="D509" s="13">
        <f>CHAIN_RAW!D509</f>
        <v/>
      </c>
      <c r="E509" s="13">
        <f>CHAIN_RAW!E509</f>
        <v/>
      </c>
      <c r="F509" s="13">
        <f>IFERROR((E509-D509)/D509,"")</f>
        <v/>
      </c>
      <c r="G509" s="13">
        <f>IFERROR((CHAIN_RAW!K509+CHAIN_RAW!L509)/2,"")</f>
        <v/>
      </c>
      <c r="H509" s="13">
        <f>IFERROR((CHAIN_RAW!R509+CHAIN_RAW!S509)/2,"")</f>
        <v/>
      </c>
      <c r="I509" s="13">
        <f>IFERROR((CHAIN_RAW!L509-CHAIN_RAW!K509)/MAX(1E-9, G509),"")</f>
        <v/>
      </c>
      <c r="J509" s="13">
        <f>IFERROR((CHAIN_RAW!S509-CHAIN_RAW!R509)/MAX(1E-9, H509),"")</f>
        <v/>
      </c>
      <c r="K509" s="13">
        <f>CHAIN_RAW!G509</f>
        <v/>
      </c>
      <c r="L509" s="13">
        <f>CHAIN_RAW!N509</f>
        <v/>
      </c>
      <c r="M509" s="13">
        <f>IFERROR(L509-K509,"")</f>
        <v/>
      </c>
      <c r="N509" s="13">
        <f>CHAIN_RAW!H509</f>
        <v/>
      </c>
      <c r="O509" s="13">
        <f>CHAIN_RAW!O509</f>
        <v/>
      </c>
      <c r="P509" s="13">
        <f>IFERROR(O509/N509,"")</f>
        <v/>
      </c>
      <c r="Q509" s="13">
        <f>CHAIN_RAW!I509</f>
        <v/>
      </c>
      <c r="R509" s="13">
        <f>CHAIN_RAW!P509</f>
        <v/>
      </c>
      <c r="S509" s="13">
        <f>IFERROR(R509/Q509,"")</f>
        <v/>
      </c>
      <c r="T509" s="13">
        <f>IFERROR((ABS(N509-O509)/MAX(1,(N509+O509)))*EXP(-ABS(E509-CONTROL!E5)/MAX(1,CONTROL!B8)),"")</f>
        <v/>
      </c>
      <c r="U509" s="13">
        <f>IFERROR(IF(O509&gt;N509,"SUPPORT (PE OI)","RESIST (CE OI)"),"")</f>
        <v/>
      </c>
      <c r="V509" s="13">
        <f>IFERROR(IF(Q509&gt;0,IF(R509&gt;0,"BOTH_ADD","CE_ADD_PE_REDUCE"),IF(R509&gt;0,"CE_REDUCE_PE_ADD","BOTH_REDUCE")),"")</f>
        <v/>
      </c>
      <c r="W509" s="13">
        <f>IFERROR( (P509-1)*0.5 + (M509)*0.1 - (I509+J509)*0.05 + T509*0.4 ,"")</f>
        <v/>
      </c>
      <c r="X509" s="13">
        <f>IFERROR(IF(ABS(F509)&lt;0.01,"ATM/NEAR",""),"")</f>
        <v/>
      </c>
    </row>
    <row r="510">
      <c r="A510" s="13">
        <f>CHAIN_RAW!A510</f>
        <v/>
      </c>
      <c r="B510" s="14">
        <f>CHAIN_RAW!B510</f>
        <v/>
      </c>
      <c r="C510" s="13">
        <f>CHAIN_RAW!C510</f>
        <v/>
      </c>
      <c r="D510" s="13">
        <f>CHAIN_RAW!D510</f>
        <v/>
      </c>
      <c r="E510" s="13">
        <f>CHAIN_RAW!E510</f>
        <v/>
      </c>
      <c r="F510" s="13">
        <f>IFERROR((E510-D510)/D510,"")</f>
        <v/>
      </c>
      <c r="G510" s="13">
        <f>IFERROR((CHAIN_RAW!K510+CHAIN_RAW!L510)/2,"")</f>
        <v/>
      </c>
      <c r="H510" s="13">
        <f>IFERROR((CHAIN_RAW!R510+CHAIN_RAW!S510)/2,"")</f>
        <v/>
      </c>
      <c r="I510" s="13">
        <f>IFERROR((CHAIN_RAW!L510-CHAIN_RAW!K510)/MAX(1E-9, G510),"")</f>
        <v/>
      </c>
      <c r="J510" s="13">
        <f>IFERROR((CHAIN_RAW!S510-CHAIN_RAW!R510)/MAX(1E-9, H510),"")</f>
        <v/>
      </c>
      <c r="K510" s="13">
        <f>CHAIN_RAW!G510</f>
        <v/>
      </c>
      <c r="L510" s="13">
        <f>CHAIN_RAW!N510</f>
        <v/>
      </c>
      <c r="M510" s="13">
        <f>IFERROR(L510-K510,"")</f>
        <v/>
      </c>
      <c r="N510" s="13">
        <f>CHAIN_RAW!H510</f>
        <v/>
      </c>
      <c r="O510" s="13">
        <f>CHAIN_RAW!O510</f>
        <v/>
      </c>
      <c r="P510" s="13">
        <f>IFERROR(O510/N510,"")</f>
        <v/>
      </c>
      <c r="Q510" s="13">
        <f>CHAIN_RAW!I510</f>
        <v/>
      </c>
      <c r="R510" s="13">
        <f>CHAIN_RAW!P510</f>
        <v/>
      </c>
      <c r="S510" s="13">
        <f>IFERROR(R510/Q510,"")</f>
        <v/>
      </c>
      <c r="T510" s="13">
        <f>IFERROR((ABS(N510-O510)/MAX(1,(N510+O510)))*EXP(-ABS(E510-CONTROL!E5)/MAX(1,CONTROL!B8)),"")</f>
        <v/>
      </c>
      <c r="U510" s="13">
        <f>IFERROR(IF(O510&gt;N510,"SUPPORT (PE OI)","RESIST (CE OI)"),"")</f>
        <v/>
      </c>
      <c r="V510" s="13">
        <f>IFERROR(IF(Q510&gt;0,IF(R510&gt;0,"BOTH_ADD","CE_ADD_PE_REDUCE"),IF(R510&gt;0,"CE_REDUCE_PE_ADD","BOTH_REDUCE")),"")</f>
        <v/>
      </c>
      <c r="W510" s="13">
        <f>IFERROR( (P510-1)*0.5 + (M510)*0.1 - (I510+J510)*0.05 + T510*0.4 ,"")</f>
        <v/>
      </c>
      <c r="X510" s="13">
        <f>IFERROR(IF(ABS(F510)&lt;0.01,"ATM/NEAR",""),"")</f>
        <v/>
      </c>
    </row>
    <row r="511">
      <c r="A511" s="13">
        <f>CHAIN_RAW!A511</f>
        <v/>
      </c>
      <c r="B511" s="14">
        <f>CHAIN_RAW!B511</f>
        <v/>
      </c>
      <c r="C511" s="13">
        <f>CHAIN_RAW!C511</f>
        <v/>
      </c>
      <c r="D511" s="13">
        <f>CHAIN_RAW!D511</f>
        <v/>
      </c>
      <c r="E511" s="13">
        <f>CHAIN_RAW!E511</f>
        <v/>
      </c>
      <c r="F511" s="13">
        <f>IFERROR((E511-D511)/D511,"")</f>
        <v/>
      </c>
      <c r="G511" s="13">
        <f>IFERROR((CHAIN_RAW!K511+CHAIN_RAW!L511)/2,"")</f>
        <v/>
      </c>
      <c r="H511" s="13">
        <f>IFERROR((CHAIN_RAW!R511+CHAIN_RAW!S511)/2,"")</f>
        <v/>
      </c>
      <c r="I511" s="13">
        <f>IFERROR((CHAIN_RAW!L511-CHAIN_RAW!K511)/MAX(1E-9, G511),"")</f>
        <v/>
      </c>
      <c r="J511" s="13">
        <f>IFERROR((CHAIN_RAW!S511-CHAIN_RAW!R511)/MAX(1E-9, H511),"")</f>
        <v/>
      </c>
      <c r="K511" s="13">
        <f>CHAIN_RAW!G511</f>
        <v/>
      </c>
      <c r="L511" s="13">
        <f>CHAIN_RAW!N511</f>
        <v/>
      </c>
      <c r="M511" s="13">
        <f>IFERROR(L511-K511,"")</f>
        <v/>
      </c>
      <c r="N511" s="13">
        <f>CHAIN_RAW!H511</f>
        <v/>
      </c>
      <c r="O511" s="13">
        <f>CHAIN_RAW!O511</f>
        <v/>
      </c>
      <c r="P511" s="13">
        <f>IFERROR(O511/N511,"")</f>
        <v/>
      </c>
      <c r="Q511" s="13">
        <f>CHAIN_RAW!I511</f>
        <v/>
      </c>
      <c r="R511" s="13">
        <f>CHAIN_RAW!P511</f>
        <v/>
      </c>
      <c r="S511" s="13">
        <f>IFERROR(R511/Q511,"")</f>
        <v/>
      </c>
      <c r="T511" s="13">
        <f>IFERROR((ABS(N511-O511)/MAX(1,(N511+O511)))*EXP(-ABS(E511-CONTROL!E5)/MAX(1,CONTROL!B8)),"")</f>
        <v/>
      </c>
      <c r="U511" s="13">
        <f>IFERROR(IF(O511&gt;N511,"SUPPORT (PE OI)","RESIST (CE OI)"),"")</f>
        <v/>
      </c>
      <c r="V511" s="13">
        <f>IFERROR(IF(Q511&gt;0,IF(R511&gt;0,"BOTH_ADD","CE_ADD_PE_REDUCE"),IF(R511&gt;0,"CE_REDUCE_PE_ADD","BOTH_REDUCE")),"")</f>
        <v/>
      </c>
      <c r="W511" s="13">
        <f>IFERROR( (P511-1)*0.5 + (M511)*0.1 - (I511+J511)*0.05 + T511*0.4 ,"")</f>
        <v/>
      </c>
      <c r="X511" s="13">
        <f>IFERROR(IF(ABS(F511)&lt;0.01,"ATM/NEAR",""),"")</f>
        <v/>
      </c>
    </row>
    <row r="512">
      <c r="A512" s="13">
        <f>CHAIN_RAW!A512</f>
        <v/>
      </c>
      <c r="B512" s="14">
        <f>CHAIN_RAW!B512</f>
        <v/>
      </c>
      <c r="C512" s="13">
        <f>CHAIN_RAW!C512</f>
        <v/>
      </c>
      <c r="D512" s="13">
        <f>CHAIN_RAW!D512</f>
        <v/>
      </c>
      <c r="E512" s="13">
        <f>CHAIN_RAW!E512</f>
        <v/>
      </c>
      <c r="F512" s="13">
        <f>IFERROR((E512-D512)/D512,"")</f>
        <v/>
      </c>
      <c r="G512" s="13">
        <f>IFERROR((CHAIN_RAW!K512+CHAIN_RAW!L512)/2,"")</f>
        <v/>
      </c>
      <c r="H512" s="13">
        <f>IFERROR((CHAIN_RAW!R512+CHAIN_RAW!S512)/2,"")</f>
        <v/>
      </c>
      <c r="I512" s="13">
        <f>IFERROR((CHAIN_RAW!L512-CHAIN_RAW!K512)/MAX(1E-9, G512),"")</f>
        <v/>
      </c>
      <c r="J512" s="13">
        <f>IFERROR((CHAIN_RAW!S512-CHAIN_RAW!R512)/MAX(1E-9, H512),"")</f>
        <v/>
      </c>
      <c r="K512" s="13">
        <f>CHAIN_RAW!G512</f>
        <v/>
      </c>
      <c r="L512" s="13">
        <f>CHAIN_RAW!N512</f>
        <v/>
      </c>
      <c r="M512" s="13">
        <f>IFERROR(L512-K512,"")</f>
        <v/>
      </c>
      <c r="N512" s="13">
        <f>CHAIN_RAW!H512</f>
        <v/>
      </c>
      <c r="O512" s="13">
        <f>CHAIN_RAW!O512</f>
        <v/>
      </c>
      <c r="P512" s="13">
        <f>IFERROR(O512/N512,"")</f>
        <v/>
      </c>
      <c r="Q512" s="13">
        <f>CHAIN_RAW!I512</f>
        <v/>
      </c>
      <c r="R512" s="13">
        <f>CHAIN_RAW!P512</f>
        <v/>
      </c>
      <c r="S512" s="13">
        <f>IFERROR(R512/Q512,"")</f>
        <v/>
      </c>
      <c r="T512" s="13">
        <f>IFERROR((ABS(N512-O512)/MAX(1,(N512+O512)))*EXP(-ABS(E512-CONTROL!E5)/MAX(1,CONTROL!B8)),"")</f>
        <v/>
      </c>
      <c r="U512" s="13">
        <f>IFERROR(IF(O512&gt;N512,"SUPPORT (PE OI)","RESIST (CE OI)"),"")</f>
        <v/>
      </c>
      <c r="V512" s="13">
        <f>IFERROR(IF(Q512&gt;0,IF(R512&gt;0,"BOTH_ADD","CE_ADD_PE_REDUCE"),IF(R512&gt;0,"CE_REDUCE_PE_ADD","BOTH_REDUCE")),"")</f>
        <v/>
      </c>
      <c r="W512" s="13">
        <f>IFERROR( (P512-1)*0.5 + (M512)*0.1 - (I512+J512)*0.05 + T512*0.4 ,"")</f>
        <v/>
      </c>
      <c r="X512" s="13">
        <f>IFERROR(IF(ABS(F512)&lt;0.01,"ATM/NEAR",""),"")</f>
        <v/>
      </c>
    </row>
    <row r="513">
      <c r="A513" s="13">
        <f>CHAIN_RAW!A513</f>
        <v/>
      </c>
      <c r="B513" s="14">
        <f>CHAIN_RAW!B513</f>
        <v/>
      </c>
      <c r="C513" s="13">
        <f>CHAIN_RAW!C513</f>
        <v/>
      </c>
      <c r="D513" s="13">
        <f>CHAIN_RAW!D513</f>
        <v/>
      </c>
      <c r="E513" s="13">
        <f>CHAIN_RAW!E513</f>
        <v/>
      </c>
      <c r="F513" s="13">
        <f>IFERROR((E513-D513)/D513,"")</f>
        <v/>
      </c>
      <c r="G513" s="13">
        <f>IFERROR((CHAIN_RAW!K513+CHAIN_RAW!L513)/2,"")</f>
        <v/>
      </c>
      <c r="H513" s="13">
        <f>IFERROR((CHAIN_RAW!R513+CHAIN_RAW!S513)/2,"")</f>
        <v/>
      </c>
      <c r="I513" s="13">
        <f>IFERROR((CHAIN_RAW!L513-CHAIN_RAW!K513)/MAX(1E-9, G513),"")</f>
        <v/>
      </c>
      <c r="J513" s="13">
        <f>IFERROR((CHAIN_RAW!S513-CHAIN_RAW!R513)/MAX(1E-9, H513),"")</f>
        <v/>
      </c>
      <c r="K513" s="13">
        <f>CHAIN_RAW!G513</f>
        <v/>
      </c>
      <c r="L513" s="13">
        <f>CHAIN_RAW!N513</f>
        <v/>
      </c>
      <c r="M513" s="13">
        <f>IFERROR(L513-K513,"")</f>
        <v/>
      </c>
      <c r="N513" s="13">
        <f>CHAIN_RAW!H513</f>
        <v/>
      </c>
      <c r="O513" s="13">
        <f>CHAIN_RAW!O513</f>
        <v/>
      </c>
      <c r="P513" s="13">
        <f>IFERROR(O513/N513,"")</f>
        <v/>
      </c>
      <c r="Q513" s="13">
        <f>CHAIN_RAW!I513</f>
        <v/>
      </c>
      <c r="R513" s="13">
        <f>CHAIN_RAW!P513</f>
        <v/>
      </c>
      <c r="S513" s="13">
        <f>IFERROR(R513/Q513,"")</f>
        <v/>
      </c>
      <c r="T513" s="13">
        <f>IFERROR((ABS(N513-O513)/MAX(1,(N513+O513)))*EXP(-ABS(E513-CONTROL!E5)/MAX(1,CONTROL!B8)),"")</f>
        <v/>
      </c>
      <c r="U513" s="13">
        <f>IFERROR(IF(O513&gt;N513,"SUPPORT (PE OI)","RESIST (CE OI)"),"")</f>
        <v/>
      </c>
      <c r="V513" s="13">
        <f>IFERROR(IF(Q513&gt;0,IF(R513&gt;0,"BOTH_ADD","CE_ADD_PE_REDUCE"),IF(R513&gt;0,"CE_REDUCE_PE_ADD","BOTH_REDUCE")),"")</f>
        <v/>
      </c>
      <c r="W513" s="13">
        <f>IFERROR( (P513-1)*0.5 + (M513)*0.1 - (I513+J513)*0.05 + T513*0.4 ,"")</f>
        <v/>
      </c>
      <c r="X513" s="13">
        <f>IFERROR(IF(ABS(F513)&lt;0.01,"ATM/NEAR",""),"")</f>
        <v/>
      </c>
    </row>
    <row r="514">
      <c r="A514" s="13">
        <f>CHAIN_RAW!A514</f>
        <v/>
      </c>
      <c r="B514" s="14">
        <f>CHAIN_RAW!B514</f>
        <v/>
      </c>
      <c r="C514" s="13">
        <f>CHAIN_RAW!C514</f>
        <v/>
      </c>
      <c r="D514" s="13">
        <f>CHAIN_RAW!D514</f>
        <v/>
      </c>
      <c r="E514" s="13">
        <f>CHAIN_RAW!E514</f>
        <v/>
      </c>
      <c r="F514" s="13">
        <f>IFERROR((E514-D514)/D514,"")</f>
        <v/>
      </c>
      <c r="G514" s="13">
        <f>IFERROR((CHAIN_RAW!K514+CHAIN_RAW!L514)/2,"")</f>
        <v/>
      </c>
      <c r="H514" s="13">
        <f>IFERROR((CHAIN_RAW!R514+CHAIN_RAW!S514)/2,"")</f>
        <v/>
      </c>
      <c r="I514" s="13">
        <f>IFERROR((CHAIN_RAW!L514-CHAIN_RAW!K514)/MAX(1E-9, G514),"")</f>
        <v/>
      </c>
      <c r="J514" s="13">
        <f>IFERROR((CHAIN_RAW!S514-CHAIN_RAW!R514)/MAX(1E-9, H514),"")</f>
        <v/>
      </c>
      <c r="K514" s="13">
        <f>CHAIN_RAW!G514</f>
        <v/>
      </c>
      <c r="L514" s="13">
        <f>CHAIN_RAW!N514</f>
        <v/>
      </c>
      <c r="M514" s="13">
        <f>IFERROR(L514-K514,"")</f>
        <v/>
      </c>
      <c r="N514" s="13">
        <f>CHAIN_RAW!H514</f>
        <v/>
      </c>
      <c r="O514" s="13">
        <f>CHAIN_RAW!O514</f>
        <v/>
      </c>
      <c r="P514" s="13">
        <f>IFERROR(O514/N514,"")</f>
        <v/>
      </c>
      <c r="Q514" s="13">
        <f>CHAIN_RAW!I514</f>
        <v/>
      </c>
      <c r="R514" s="13">
        <f>CHAIN_RAW!P514</f>
        <v/>
      </c>
      <c r="S514" s="13">
        <f>IFERROR(R514/Q514,"")</f>
        <v/>
      </c>
      <c r="T514" s="13">
        <f>IFERROR((ABS(N514-O514)/MAX(1,(N514+O514)))*EXP(-ABS(E514-CONTROL!E5)/MAX(1,CONTROL!B8)),"")</f>
        <v/>
      </c>
      <c r="U514" s="13">
        <f>IFERROR(IF(O514&gt;N514,"SUPPORT (PE OI)","RESIST (CE OI)"),"")</f>
        <v/>
      </c>
      <c r="V514" s="13">
        <f>IFERROR(IF(Q514&gt;0,IF(R514&gt;0,"BOTH_ADD","CE_ADD_PE_REDUCE"),IF(R514&gt;0,"CE_REDUCE_PE_ADD","BOTH_REDUCE")),"")</f>
        <v/>
      </c>
      <c r="W514" s="13">
        <f>IFERROR( (P514-1)*0.5 + (M514)*0.1 - (I514+J514)*0.05 + T514*0.4 ,"")</f>
        <v/>
      </c>
      <c r="X514" s="13">
        <f>IFERROR(IF(ABS(F514)&lt;0.01,"ATM/NEAR",""),"")</f>
        <v/>
      </c>
    </row>
    <row r="515">
      <c r="A515" s="13">
        <f>CHAIN_RAW!A515</f>
        <v/>
      </c>
      <c r="B515" s="14">
        <f>CHAIN_RAW!B515</f>
        <v/>
      </c>
      <c r="C515" s="13">
        <f>CHAIN_RAW!C515</f>
        <v/>
      </c>
      <c r="D515" s="13">
        <f>CHAIN_RAW!D515</f>
        <v/>
      </c>
      <c r="E515" s="13">
        <f>CHAIN_RAW!E515</f>
        <v/>
      </c>
      <c r="F515" s="13">
        <f>IFERROR((E515-D515)/D515,"")</f>
        <v/>
      </c>
      <c r="G515" s="13">
        <f>IFERROR((CHAIN_RAW!K515+CHAIN_RAW!L515)/2,"")</f>
        <v/>
      </c>
      <c r="H515" s="13">
        <f>IFERROR((CHAIN_RAW!R515+CHAIN_RAW!S515)/2,"")</f>
        <v/>
      </c>
      <c r="I515" s="13">
        <f>IFERROR((CHAIN_RAW!L515-CHAIN_RAW!K515)/MAX(1E-9, G515),"")</f>
        <v/>
      </c>
      <c r="J515" s="13">
        <f>IFERROR((CHAIN_RAW!S515-CHAIN_RAW!R515)/MAX(1E-9, H515),"")</f>
        <v/>
      </c>
      <c r="K515" s="13">
        <f>CHAIN_RAW!G515</f>
        <v/>
      </c>
      <c r="L515" s="13">
        <f>CHAIN_RAW!N515</f>
        <v/>
      </c>
      <c r="M515" s="13">
        <f>IFERROR(L515-K515,"")</f>
        <v/>
      </c>
      <c r="N515" s="13">
        <f>CHAIN_RAW!H515</f>
        <v/>
      </c>
      <c r="O515" s="13">
        <f>CHAIN_RAW!O515</f>
        <v/>
      </c>
      <c r="P515" s="13">
        <f>IFERROR(O515/N515,"")</f>
        <v/>
      </c>
      <c r="Q515" s="13">
        <f>CHAIN_RAW!I515</f>
        <v/>
      </c>
      <c r="R515" s="13">
        <f>CHAIN_RAW!P515</f>
        <v/>
      </c>
      <c r="S515" s="13">
        <f>IFERROR(R515/Q515,"")</f>
        <v/>
      </c>
      <c r="T515" s="13">
        <f>IFERROR((ABS(N515-O515)/MAX(1,(N515+O515)))*EXP(-ABS(E515-CONTROL!E5)/MAX(1,CONTROL!B8)),"")</f>
        <v/>
      </c>
      <c r="U515" s="13">
        <f>IFERROR(IF(O515&gt;N515,"SUPPORT (PE OI)","RESIST (CE OI)"),"")</f>
        <v/>
      </c>
      <c r="V515" s="13">
        <f>IFERROR(IF(Q515&gt;0,IF(R515&gt;0,"BOTH_ADD","CE_ADD_PE_REDUCE"),IF(R515&gt;0,"CE_REDUCE_PE_ADD","BOTH_REDUCE")),"")</f>
        <v/>
      </c>
      <c r="W515" s="13">
        <f>IFERROR( (P515-1)*0.5 + (M515)*0.1 - (I515+J515)*0.05 + T515*0.4 ,"")</f>
        <v/>
      </c>
      <c r="X515" s="13">
        <f>IFERROR(IF(ABS(F515)&lt;0.01,"ATM/NEAR",""),"")</f>
        <v/>
      </c>
    </row>
    <row r="516">
      <c r="A516" s="13">
        <f>CHAIN_RAW!A516</f>
        <v/>
      </c>
      <c r="B516" s="14">
        <f>CHAIN_RAW!B516</f>
        <v/>
      </c>
      <c r="C516" s="13">
        <f>CHAIN_RAW!C516</f>
        <v/>
      </c>
      <c r="D516" s="13">
        <f>CHAIN_RAW!D516</f>
        <v/>
      </c>
      <c r="E516" s="13">
        <f>CHAIN_RAW!E516</f>
        <v/>
      </c>
      <c r="F516" s="13">
        <f>IFERROR((E516-D516)/D516,"")</f>
        <v/>
      </c>
      <c r="G516" s="13">
        <f>IFERROR((CHAIN_RAW!K516+CHAIN_RAW!L516)/2,"")</f>
        <v/>
      </c>
      <c r="H516" s="13">
        <f>IFERROR((CHAIN_RAW!R516+CHAIN_RAW!S516)/2,"")</f>
        <v/>
      </c>
      <c r="I516" s="13">
        <f>IFERROR((CHAIN_RAW!L516-CHAIN_RAW!K516)/MAX(1E-9, G516),"")</f>
        <v/>
      </c>
      <c r="J516" s="13">
        <f>IFERROR((CHAIN_RAW!S516-CHAIN_RAW!R516)/MAX(1E-9, H516),"")</f>
        <v/>
      </c>
      <c r="K516" s="13">
        <f>CHAIN_RAW!G516</f>
        <v/>
      </c>
      <c r="L516" s="13">
        <f>CHAIN_RAW!N516</f>
        <v/>
      </c>
      <c r="M516" s="13">
        <f>IFERROR(L516-K516,"")</f>
        <v/>
      </c>
      <c r="N516" s="13">
        <f>CHAIN_RAW!H516</f>
        <v/>
      </c>
      <c r="O516" s="13">
        <f>CHAIN_RAW!O516</f>
        <v/>
      </c>
      <c r="P516" s="13">
        <f>IFERROR(O516/N516,"")</f>
        <v/>
      </c>
      <c r="Q516" s="13">
        <f>CHAIN_RAW!I516</f>
        <v/>
      </c>
      <c r="R516" s="13">
        <f>CHAIN_RAW!P516</f>
        <v/>
      </c>
      <c r="S516" s="13">
        <f>IFERROR(R516/Q516,"")</f>
        <v/>
      </c>
      <c r="T516" s="13">
        <f>IFERROR((ABS(N516-O516)/MAX(1,(N516+O516)))*EXP(-ABS(E516-CONTROL!E5)/MAX(1,CONTROL!B8)),"")</f>
        <v/>
      </c>
      <c r="U516" s="13">
        <f>IFERROR(IF(O516&gt;N516,"SUPPORT (PE OI)","RESIST (CE OI)"),"")</f>
        <v/>
      </c>
      <c r="V516" s="13">
        <f>IFERROR(IF(Q516&gt;0,IF(R516&gt;0,"BOTH_ADD","CE_ADD_PE_REDUCE"),IF(R516&gt;0,"CE_REDUCE_PE_ADD","BOTH_REDUCE")),"")</f>
        <v/>
      </c>
      <c r="W516" s="13">
        <f>IFERROR( (P516-1)*0.5 + (M516)*0.1 - (I516+J516)*0.05 + T516*0.4 ,"")</f>
        <v/>
      </c>
      <c r="X516" s="13">
        <f>IFERROR(IF(ABS(F516)&lt;0.01,"ATM/NEAR",""),"")</f>
        <v/>
      </c>
    </row>
    <row r="517">
      <c r="A517" s="13">
        <f>CHAIN_RAW!A517</f>
        <v/>
      </c>
      <c r="B517" s="14">
        <f>CHAIN_RAW!B517</f>
        <v/>
      </c>
      <c r="C517" s="13">
        <f>CHAIN_RAW!C517</f>
        <v/>
      </c>
      <c r="D517" s="13">
        <f>CHAIN_RAW!D517</f>
        <v/>
      </c>
      <c r="E517" s="13">
        <f>CHAIN_RAW!E517</f>
        <v/>
      </c>
      <c r="F517" s="13">
        <f>IFERROR((E517-D517)/D517,"")</f>
        <v/>
      </c>
      <c r="G517" s="13">
        <f>IFERROR((CHAIN_RAW!K517+CHAIN_RAW!L517)/2,"")</f>
        <v/>
      </c>
      <c r="H517" s="13">
        <f>IFERROR((CHAIN_RAW!R517+CHAIN_RAW!S517)/2,"")</f>
        <v/>
      </c>
      <c r="I517" s="13">
        <f>IFERROR((CHAIN_RAW!L517-CHAIN_RAW!K517)/MAX(1E-9, G517),"")</f>
        <v/>
      </c>
      <c r="J517" s="13">
        <f>IFERROR((CHAIN_RAW!S517-CHAIN_RAW!R517)/MAX(1E-9, H517),"")</f>
        <v/>
      </c>
      <c r="K517" s="13">
        <f>CHAIN_RAW!G517</f>
        <v/>
      </c>
      <c r="L517" s="13">
        <f>CHAIN_RAW!N517</f>
        <v/>
      </c>
      <c r="M517" s="13">
        <f>IFERROR(L517-K517,"")</f>
        <v/>
      </c>
      <c r="N517" s="13">
        <f>CHAIN_RAW!H517</f>
        <v/>
      </c>
      <c r="O517" s="13">
        <f>CHAIN_RAW!O517</f>
        <v/>
      </c>
      <c r="P517" s="13">
        <f>IFERROR(O517/N517,"")</f>
        <v/>
      </c>
      <c r="Q517" s="13">
        <f>CHAIN_RAW!I517</f>
        <v/>
      </c>
      <c r="R517" s="13">
        <f>CHAIN_RAW!P517</f>
        <v/>
      </c>
      <c r="S517" s="13">
        <f>IFERROR(R517/Q517,"")</f>
        <v/>
      </c>
      <c r="T517" s="13">
        <f>IFERROR((ABS(N517-O517)/MAX(1,(N517+O517)))*EXP(-ABS(E517-CONTROL!E5)/MAX(1,CONTROL!B8)),"")</f>
        <v/>
      </c>
      <c r="U517" s="13">
        <f>IFERROR(IF(O517&gt;N517,"SUPPORT (PE OI)","RESIST (CE OI)"),"")</f>
        <v/>
      </c>
      <c r="V517" s="13">
        <f>IFERROR(IF(Q517&gt;0,IF(R517&gt;0,"BOTH_ADD","CE_ADD_PE_REDUCE"),IF(R517&gt;0,"CE_REDUCE_PE_ADD","BOTH_REDUCE")),"")</f>
        <v/>
      </c>
      <c r="W517" s="13">
        <f>IFERROR( (P517-1)*0.5 + (M517)*0.1 - (I517+J517)*0.05 + T517*0.4 ,"")</f>
        <v/>
      </c>
      <c r="X517" s="13">
        <f>IFERROR(IF(ABS(F517)&lt;0.01,"ATM/NEAR",""),"")</f>
        <v/>
      </c>
    </row>
    <row r="518">
      <c r="A518" s="13">
        <f>CHAIN_RAW!A518</f>
        <v/>
      </c>
      <c r="B518" s="14">
        <f>CHAIN_RAW!B518</f>
        <v/>
      </c>
      <c r="C518" s="13">
        <f>CHAIN_RAW!C518</f>
        <v/>
      </c>
      <c r="D518" s="13">
        <f>CHAIN_RAW!D518</f>
        <v/>
      </c>
      <c r="E518" s="13">
        <f>CHAIN_RAW!E518</f>
        <v/>
      </c>
      <c r="F518" s="13">
        <f>IFERROR((E518-D518)/D518,"")</f>
        <v/>
      </c>
      <c r="G518" s="13">
        <f>IFERROR((CHAIN_RAW!K518+CHAIN_RAW!L518)/2,"")</f>
        <v/>
      </c>
      <c r="H518" s="13">
        <f>IFERROR((CHAIN_RAW!R518+CHAIN_RAW!S518)/2,"")</f>
        <v/>
      </c>
      <c r="I518" s="13">
        <f>IFERROR((CHAIN_RAW!L518-CHAIN_RAW!K518)/MAX(1E-9, G518),"")</f>
        <v/>
      </c>
      <c r="J518" s="13">
        <f>IFERROR((CHAIN_RAW!S518-CHAIN_RAW!R518)/MAX(1E-9, H518),"")</f>
        <v/>
      </c>
      <c r="K518" s="13">
        <f>CHAIN_RAW!G518</f>
        <v/>
      </c>
      <c r="L518" s="13">
        <f>CHAIN_RAW!N518</f>
        <v/>
      </c>
      <c r="M518" s="13">
        <f>IFERROR(L518-K518,"")</f>
        <v/>
      </c>
      <c r="N518" s="13">
        <f>CHAIN_RAW!H518</f>
        <v/>
      </c>
      <c r="O518" s="13">
        <f>CHAIN_RAW!O518</f>
        <v/>
      </c>
      <c r="P518" s="13">
        <f>IFERROR(O518/N518,"")</f>
        <v/>
      </c>
      <c r="Q518" s="13">
        <f>CHAIN_RAW!I518</f>
        <v/>
      </c>
      <c r="R518" s="13">
        <f>CHAIN_RAW!P518</f>
        <v/>
      </c>
      <c r="S518" s="13">
        <f>IFERROR(R518/Q518,"")</f>
        <v/>
      </c>
      <c r="T518" s="13">
        <f>IFERROR((ABS(N518-O518)/MAX(1,(N518+O518)))*EXP(-ABS(E518-CONTROL!E5)/MAX(1,CONTROL!B8)),"")</f>
        <v/>
      </c>
      <c r="U518" s="13">
        <f>IFERROR(IF(O518&gt;N518,"SUPPORT (PE OI)","RESIST (CE OI)"),"")</f>
        <v/>
      </c>
      <c r="V518" s="13">
        <f>IFERROR(IF(Q518&gt;0,IF(R518&gt;0,"BOTH_ADD","CE_ADD_PE_REDUCE"),IF(R518&gt;0,"CE_REDUCE_PE_ADD","BOTH_REDUCE")),"")</f>
        <v/>
      </c>
      <c r="W518" s="13">
        <f>IFERROR( (P518-1)*0.5 + (M518)*0.1 - (I518+J518)*0.05 + T518*0.4 ,"")</f>
        <v/>
      </c>
      <c r="X518" s="13">
        <f>IFERROR(IF(ABS(F518)&lt;0.01,"ATM/NEAR",""),"")</f>
        <v/>
      </c>
    </row>
    <row r="519">
      <c r="A519" s="13">
        <f>CHAIN_RAW!A519</f>
        <v/>
      </c>
      <c r="B519" s="14">
        <f>CHAIN_RAW!B519</f>
        <v/>
      </c>
      <c r="C519" s="13">
        <f>CHAIN_RAW!C519</f>
        <v/>
      </c>
      <c r="D519" s="13">
        <f>CHAIN_RAW!D519</f>
        <v/>
      </c>
      <c r="E519" s="13">
        <f>CHAIN_RAW!E519</f>
        <v/>
      </c>
      <c r="F519" s="13">
        <f>IFERROR((E519-D519)/D519,"")</f>
        <v/>
      </c>
      <c r="G519" s="13">
        <f>IFERROR((CHAIN_RAW!K519+CHAIN_RAW!L519)/2,"")</f>
        <v/>
      </c>
      <c r="H519" s="13">
        <f>IFERROR((CHAIN_RAW!R519+CHAIN_RAW!S519)/2,"")</f>
        <v/>
      </c>
      <c r="I519" s="13">
        <f>IFERROR((CHAIN_RAW!L519-CHAIN_RAW!K519)/MAX(1E-9, G519),"")</f>
        <v/>
      </c>
      <c r="J519" s="13">
        <f>IFERROR((CHAIN_RAW!S519-CHAIN_RAW!R519)/MAX(1E-9, H519),"")</f>
        <v/>
      </c>
      <c r="K519" s="13">
        <f>CHAIN_RAW!G519</f>
        <v/>
      </c>
      <c r="L519" s="13">
        <f>CHAIN_RAW!N519</f>
        <v/>
      </c>
      <c r="M519" s="13">
        <f>IFERROR(L519-K519,"")</f>
        <v/>
      </c>
      <c r="N519" s="13">
        <f>CHAIN_RAW!H519</f>
        <v/>
      </c>
      <c r="O519" s="13">
        <f>CHAIN_RAW!O519</f>
        <v/>
      </c>
      <c r="P519" s="13">
        <f>IFERROR(O519/N519,"")</f>
        <v/>
      </c>
      <c r="Q519" s="13">
        <f>CHAIN_RAW!I519</f>
        <v/>
      </c>
      <c r="R519" s="13">
        <f>CHAIN_RAW!P519</f>
        <v/>
      </c>
      <c r="S519" s="13">
        <f>IFERROR(R519/Q519,"")</f>
        <v/>
      </c>
      <c r="T519" s="13">
        <f>IFERROR((ABS(N519-O519)/MAX(1,(N519+O519)))*EXP(-ABS(E519-CONTROL!E5)/MAX(1,CONTROL!B8)),"")</f>
        <v/>
      </c>
      <c r="U519" s="13">
        <f>IFERROR(IF(O519&gt;N519,"SUPPORT (PE OI)","RESIST (CE OI)"),"")</f>
        <v/>
      </c>
      <c r="V519" s="13">
        <f>IFERROR(IF(Q519&gt;0,IF(R519&gt;0,"BOTH_ADD","CE_ADD_PE_REDUCE"),IF(R519&gt;0,"CE_REDUCE_PE_ADD","BOTH_REDUCE")),"")</f>
        <v/>
      </c>
      <c r="W519" s="13">
        <f>IFERROR( (P519-1)*0.5 + (M519)*0.1 - (I519+J519)*0.05 + T519*0.4 ,"")</f>
        <v/>
      </c>
      <c r="X519" s="13">
        <f>IFERROR(IF(ABS(F519)&lt;0.01,"ATM/NEAR",""),"")</f>
        <v/>
      </c>
    </row>
    <row r="520">
      <c r="A520" s="13">
        <f>CHAIN_RAW!A520</f>
        <v/>
      </c>
      <c r="B520" s="14">
        <f>CHAIN_RAW!B520</f>
        <v/>
      </c>
      <c r="C520" s="13">
        <f>CHAIN_RAW!C520</f>
        <v/>
      </c>
      <c r="D520" s="13">
        <f>CHAIN_RAW!D520</f>
        <v/>
      </c>
      <c r="E520" s="13">
        <f>CHAIN_RAW!E520</f>
        <v/>
      </c>
      <c r="F520" s="13">
        <f>IFERROR((E520-D520)/D520,"")</f>
        <v/>
      </c>
      <c r="G520" s="13">
        <f>IFERROR((CHAIN_RAW!K520+CHAIN_RAW!L520)/2,"")</f>
        <v/>
      </c>
      <c r="H520" s="13">
        <f>IFERROR((CHAIN_RAW!R520+CHAIN_RAW!S520)/2,"")</f>
        <v/>
      </c>
      <c r="I520" s="13">
        <f>IFERROR((CHAIN_RAW!L520-CHAIN_RAW!K520)/MAX(1E-9, G520),"")</f>
        <v/>
      </c>
      <c r="J520" s="13">
        <f>IFERROR((CHAIN_RAW!S520-CHAIN_RAW!R520)/MAX(1E-9, H520),"")</f>
        <v/>
      </c>
      <c r="K520" s="13">
        <f>CHAIN_RAW!G520</f>
        <v/>
      </c>
      <c r="L520" s="13">
        <f>CHAIN_RAW!N520</f>
        <v/>
      </c>
      <c r="M520" s="13">
        <f>IFERROR(L520-K520,"")</f>
        <v/>
      </c>
      <c r="N520" s="13">
        <f>CHAIN_RAW!H520</f>
        <v/>
      </c>
      <c r="O520" s="13">
        <f>CHAIN_RAW!O520</f>
        <v/>
      </c>
      <c r="P520" s="13">
        <f>IFERROR(O520/N520,"")</f>
        <v/>
      </c>
      <c r="Q520" s="13">
        <f>CHAIN_RAW!I520</f>
        <v/>
      </c>
      <c r="R520" s="13">
        <f>CHAIN_RAW!P520</f>
        <v/>
      </c>
      <c r="S520" s="13">
        <f>IFERROR(R520/Q520,"")</f>
        <v/>
      </c>
      <c r="T520" s="13">
        <f>IFERROR((ABS(N520-O520)/MAX(1,(N520+O520)))*EXP(-ABS(E520-CONTROL!E5)/MAX(1,CONTROL!B8)),"")</f>
        <v/>
      </c>
      <c r="U520" s="13">
        <f>IFERROR(IF(O520&gt;N520,"SUPPORT (PE OI)","RESIST (CE OI)"),"")</f>
        <v/>
      </c>
      <c r="V520" s="13">
        <f>IFERROR(IF(Q520&gt;0,IF(R520&gt;0,"BOTH_ADD","CE_ADD_PE_REDUCE"),IF(R520&gt;0,"CE_REDUCE_PE_ADD","BOTH_REDUCE")),"")</f>
        <v/>
      </c>
      <c r="W520" s="13">
        <f>IFERROR( (P520-1)*0.5 + (M520)*0.1 - (I520+J520)*0.05 + T520*0.4 ,"")</f>
        <v/>
      </c>
      <c r="X520" s="13">
        <f>IFERROR(IF(ABS(F520)&lt;0.01,"ATM/NEAR",""),"")</f>
        <v/>
      </c>
    </row>
    <row r="521">
      <c r="A521" s="13">
        <f>CHAIN_RAW!A521</f>
        <v/>
      </c>
      <c r="B521" s="14">
        <f>CHAIN_RAW!B521</f>
        <v/>
      </c>
      <c r="C521" s="13">
        <f>CHAIN_RAW!C521</f>
        <v/>
      </c>
      <c r="D521" s="13">
        <f>CHAIN_RAW!D521</f>
        <v/>
      </c>
      <c r="E521" s="13">
        <f>CHAIN_RAW!E521</f>
        <v/>
      </c>
      <c r="F521" s="13">
        <f>IFERROR((E521-D521)/D521,"")</f>
        <v/>
      </c>
      <c r="G521" s="13">
        <f>IFERROR((CHAIN_RAW!K521+CHAIN_RAW!L521)/2,"")</f>
        <v/>
      </c>
      <c r="H521" s="13">
        <f>IFERROR((CHAIN_RAW!R521+CHAIN_RAW!S521)/2,"")</f>
        <v/>
      </c>
      <c r="I521" s="13">
        <f>IFERROR((CHAIN_RAW!L521-CHAIN_RAW!K521)/MAX(1E-9, G521),"")</f>
        <v/>
      </c>
      <c r="J521" s="13">
        <f>IFERROR((CHAIN_RAW!S521-CHAIN_RAW!R521)/MAX(1E-9, H521),"")</f>
        <v/>
      </c>
      <c r="K521" s="13">
        <f>CHAIN_RAW!G521</f>
        <v/>
      </c>
      <c r="L521" s="13">
        <f>CHAIN_RAW!N521</f>
        <v/>
      </c>
      <c r="M521" s="13">
        <f>IFERROR(L521-K521,"")</f>
        <v/>
      </c>
      <c r="N521" s="13">
        <f>CHAIN_RAW!H521</f>
        <v/>
      </c>
      <c r="O521" s="13">
        <f>CHAIN_RAW!O521</f>
        <v/>
      </c>
      <c r="P521" s="13">
        <f>IFERROR(O521/N521,"")</f>
        <v/>
      </c>
      <c r="Q521" s="13">
        <f>CHAIN_RAW!I521</f>
        <v/>
      </c>
      <c r="R521" s="13">
        <f>CHAIN_RAW!P521</f>
        <v/>
      </c>
      <c r="S521" s="13">
        <f>IFERROR(R521/Q521,"")</f>
        <v/>
      </c>
      <c r="T521" s="13">
        <f>IFERROR((ABS(N521-O521)/MAX(1,(N521+O521)))*EXP(-ABS(E521-CONTROL!E5)/MAX(1,CONTROL!B8)),"")</f>
        <v/>
      </c>
      <c r="U521" s="13">
        <f>IFERROR(IF(O521&gt;N521,"SUPPORT (PE OI)","RESIST (CE OI)"),"")</f>
        <v/>
      </c>
      <c r="V521" s="13">
        <f>IFERROR(IF(Q521&gt;0,IF(R521&gt;0,"BOTH_ADD","CE_ADD_PE_REDUCE"),IF(R521&gt;0,"CE_REDUCE_PE_ADD","BOTH_REDUCE")),"")</f>
        <v/>
      </c>
      <c r="W521" s="13">
        <f>IFERROR( (P521-1)*0.5 + (M521)*0.1 - (I521+J521)*0.05 + T521*0.4 ,"")</f>
        <v/>
      </c>
      <c r="X521" s="13">
        <f>IFERROR(IF(ABS(F521)&lt;0.01,"ATM/NEAR",""),"")</f>
        <v/>
      </c>
    </row>
    <row r="522">
      <c r="A522" s="13">
        <f>CHAIN_RAW!A522</f>
        <v/>
      </c>
      <c r="B522" s="14">
        <f>CHAIN_RAW!B522</f>
        <v/>
      </c>
      <c r="C522" s="13">
        <f>CHAIN_RAW!C522</f>
        <v/>
      </c>
      <c r="D522" s="13">
        <f>CHAIN_RAW!D522</f>
        <v/>
      </c>
      <c r="E522" s="13">
        <f>CHAIN_RAW!E522</f>
        <v/>
      </c>
      <c r="F522" s="13">
        <f>IFERROR((E522-D522)/D522,"")</f>
        <v/>
      </c>
      <c r="G522" s="13">
        <f>IFERROR((CHAIN_RAW!K522+CHAIN_RAW!L522)/2,"")</f>
        <v/>
      </c>
      <c r="H522" s="13">
        <f>IFERROR((CHAIN_RAW!R522+CHAIN_RAW!S522)/2,"")</f>
        <v/>
      </c>
      <c r="I522" s="13">
        <f>IFERROR((CHAIN_RAW!L522-CHAIN_RAW!K522)/MAX(1E-9, G522),"")</f>
        <v/>
      </c>
      <c r="J522" s="13">
        <f>IFERROR((CHAIN_RAW!S522-CHAIN_RAW!R522)/MAX(1E-9, H522),"")</f>
        <v/>
      </c>
      <c r="K522" s="13">
        <f>CHAIN_RAW!G522</f>
        <v/>
      </c>
      <c r="L522" s="13">
        <f>CHAIN_RAW!N522</f>
        <v/>
      </c>
      <c r="M522" s="13">
        <f>IFERROR(L522-K522,"")</f>
        <v/>
      </c>
      <c r="N522" s="13">
        <f>CHAIN_RAW!H522</f>
        <v/>
      </c>
      <c r="O522" s="13">
        <f>CHAIN_RAW!O522</f>
        <v/>
      </c>
      <c r="P522" s="13">
        <f>IFERROR(O522/N522,"")</f>
        <v/>
      </c>
      <c r="Q522" s="13">
        <f>CHAIN_RAW!I522</f>
        <v/>
      </c>
      <c r="R522" s="13">
        <f>CHAIN_RAW!P522</f>
        <v/>
      </c>
      <c r="S522" s="13">
        <f>IFERROR(R522/Q522,"")</f>
        <v/>
      </c>
      <c r="T522" s="13">
        <f>IFERROR((ABS(N522-O522)/MAX(1,(N522+O522)))*EXP(-ABS(E522-CONTROL!E5)/MAX(1,CONTROL!B8)),"")</f>
        <v/>
      </c>
      <c r="U522" s="13">
        <f>IFERROR(IF(O522&gt;N522,"SUPPORT (PE OI)","RESIST (CE OI)"),"")</f>
        <v/>
      </c>
      <c r="V522" s="13">
        <f>IFERROR(IF(Q522&gt;0,IF(R522&gt;0,"BOTH_ADD","CE_ADD_PE_REDUCE"),IF(R522&gt;0,"CE_REDUCE_PE_ADD","BOTH_REDUCE")),"")</f>
        <v/>
      </c>
      <c r="W522" s="13">
        <f>IFERROR( (P522-1)*0.5 + (M522)*0.1 - (I522+J522)*0.05 + T522*0.4 ,"")</f>
        <v/>
      </c>
      <c r="X522" s="13">
        <f>IFERROR(IF(ABS(F522)&lt;0.01,"ATM/NEAR",""),"")</f>
        <v/>
      </c>
    </row>
    <row r="523">
      <c r="A523" s="13">
        <f>CHAIN_RAW!A523</f>
        <v/>
      </c>
      <c r="B523" s="14">
        <f>CHAIN_RAW!B523</f>
        <v/>
      </c>
      <c r="C523" s="13">
        <f>CHAIN_RAW!C523</f>
        <v/>
      </c>
      <c r="D523" s="13">
        <f>CHAIN_RAW!D523</f>
        <v/>
      </c>
      <c r="E523" s="13">
        <f>CHAIN_RAW!E523</f>
        <v/>
      </c>
      <c r="F523" s="13">
        <f>IFERROR((E523-D523)/D523,"")</f>
        <v/>
      </c>
      <c r="G523" s="13">
        <f>IFERROR((CHAIN_RAW!K523+CHAIN_RAW!L523)/2,"")</f>
        <v/>
      </c>
      <c r="H523" s="13">
        <f>IFERROR((CHAIN_RAW!R523+CHAIN_RAW!S523)/2,"")</f>
        <v/>
      </c>
      <c r="I523" s="13">
        <f>IFERROR((CHAIN_RAW!L523-CHAIN_RAW!K523)/MAX(1E-9, G523),"")</f>
        <v/>
      </c>
      <c r="J523" s="13">
        <f>IFERROR((CHAIN_RAW!S523-CHAIN_RAW!R523)/MAX(1E-9, H523),"")</f>
        <v/>
      </c>
      <c r="K523" s="13">
        <f>CHAIN_RAW!G523</f>
        <v/>
      </c>
      <c r="L523" s="13">
        <f>CHAIN_RAW!N523</f>
        <v/>
      </c>
      <c r="M523" s="13">
        <f>IFERROR(L523-K523,"")</f>
        <v/>
      </c>
      <c r="N523" s="13">
        <f>CHAIN_RAW!H523</f>
        <v/>
      </c>
      <c r="O523" s="13">
        <f>CHAIN_RAW!O523</f>
        <v/>
      </c>
      <c r="P523" s="13">
        <f>IFERROR(O523/N523,"")</f>
        <v/>
      </c>
      <c r="Q523" s="13">
        <f>CHAIN_RAW!I523</f>
        <v/>
      </c>
      <c r="R523" s="13">
        <f>CHAIN_RAW!P523</f>
        <v/>
      </c>
      <c r="S523" s="13">
        <f>IFERROR(R523/Q523,"")</f>
        <v/>
      </c>
      <c r="T523" s="13">
        <f>IFERROR((ABS(N523-O523)/MAX(1,(N523+O523)))*EXP(-ABS(E523-CONTROL!E5)/MAX(1,CONTROL!B8)),"")</f>
        <v/>
      </c>
      <c r="U523" s="13">
        <f>IFERROR(IF(O523&gt;N523,"SUPPORT (PE OI)","RESIST (CE OI)"),"")</f>
        <v/>
      </c>
      <c r="V523" s="13">
        <f>IFERROR(IF(Q523&gt;0,IF(R523&gt;0,"BOTH_ADD","CE_ADD_PE_REDUCE"),IF(R523&gt;0,"CE_REDUCE_PE_ADD","BOTH_REDUCE")),"")</f>
        <v/>
      </c>
      <c r="W523" s="13">
        <f>IFERROR( (P523-1)*0.5 + (M523)*0.1 - (I523+J523)*0.05 + T523*0.4 ,"")</f>
        <v/>
      </c>
      <c r="X523" s="13">
        <f>IFERROR(IF(ABS(F523)&lt;0.01,"ATM/NEAR",""),"")</f>
        <v/>
      </c>
    </row>
    <row r="524">
      <c r="A524" s="13">
        <f>CHAIN_RAW!A524</f>
        <v/>
      </c>
      <c r="B524" s="14">
        <f>CHAIN_RAW!B524</f>
        <v/>
      </c>
      <c r="C524" s="13">
        <f>CHAIN_RAW!C524</f>
        <v/>
      </c>
      <c r="D524" s="13">
        <f>CHAIN_RAW!D524</f>
        <v/>
      </c>
      <c r="E524" s="13">
        <f>CHAIN_RAW!E524</f>
        <v/>
      </c>
      <c r="F524" s="13">
        <f>IFERROR((E524-D524)/D524,"")</f>
        <v/>
      </c>
      <c r="G524" s="13">
        <f>IFERROR((CHAIN_RAW!K524+CHAIN_RAW!L524)/2,"")</f>
        <v/>
      </c>
      <c r="H524" s="13">
        <f>IFERROR((CHAIN_RAW!R524+CHAIN_RAW!S524)/2,"")</f>
        <v/>
      </c>
      <c r="I524" s="13">
        <f>IFERROR((CHAIN_RAW!L524-CHAIN_RAW!K524)/MAX(1E-9, G524),"")</f>
        <v/>
      </c>
      <c r="J524" s="13">
        <f>IFERROR((CHAIN_RAW!S524-CHAIN_RAW!R524)/MAX(1E-9, H524),"")</f>
        <v/>
      </c>
      <c r="K524" s="13">
        <f>CHAIN_RAW!G524</f>
        <v/>
      </c>
      <c r="L524" s="13">
        <f>CHAIN_RAW!N524</f>
        <v/>
      </c>
      <c r="M524" s="13">
        <f>IFERROR(L524-K524,"")</f>
        <v/>
      </c>
      <c r="N524" s="13">
        <f>CHAIN_RAW!H524</f>
        <v/>
      </c>
      <c r="O524" s="13">
        <f>CHAIN_RAW!O524</f>
        <v/>
      </c>
      <c r="P524" s="13">
        <f>IFERROR(O524/N524,"")</f>
        <v/>
      </c>
      <c r="Q524" s="13">
        <f>CHAIN_RAW!I524</f>
        <v/>
      </c>
      <c r="R524" s="13">
        <f>CHAIN_RAW!P524</f>
        <v/>
      </c>
      <c r="S524" s="13">
        <f>IFERROR(R524/Q524,"")</f>
        <v/>
      </c>
      <c r="T524" s="13">
        <f>IFERROR((ABS(N524-O524)/MAX(1,(N524+O524)))*EXP(-ABS(E524-CONTROL!E5)/MAX(1,CONTROL!B8)),"")</f>
        <v/>
      </c>
      <c r="U524" s="13">
        <f>IFERROR(IF(O524&gt;N524,"SUPPORT (PE OI)","RESIST (CE OI)"),"")</f>
        <v/>
      </c>
      <c r="V524" s="13">
        <f>IFERROR(IF(Q524&gt;0,IF(R524&gt;0,"BOTH_ADD","CE_ADD_PE_REDUCE"),IF(R524&gt;0,"CE_REDUCE_PE_ADD","BOTH_REDUCE")),"")</f>
        <v/>
      </c>
      <c r="W524" s="13">
        <f>IFERROR( (P524-1)*0.5 + (M524)*0.1 - (I524+J524)*0.05 + T524*0.4 ,"")</f>
        <v/>
      </c>
      <c r="X524" s="13">
        <f>IFERROR(IF(ABS(F524)&lt;0.01,"ATM/NEAR",""),"")</f>
        <v/>
      </c>
    </row>
    <row r="525">
      <c r="A525" s="13">
        <f>CHAIN_RAW!A525</f>
        <v/>
      </c>
      <c r="B525" s="14">
        <f>CHAIN_RAW!B525</f>
        <v/>
      </c>
      <c r="C525" s="13">
        <f>CHAIN_RAW!C525</f>
        <v/>
      </c>
      <c r="D525" s="13">
        <f>CHAIN_RAW!D525</f>
        <v/>
      </c>
      <c r="E525" s="13">
        <f>CHAIN_RAW!E525</f>
        <v/>
      </c>
      <c r="F525" s="13">
        <f>IFERROR((E525-D525)/D525,"")</f>
        <v/>
      </c>
      <c r="G525" s="13">
        <f>IFERROR((CHAIN_RAW!K525+CHAIN_RAW!L525)/2,"")</f>
        <v/>
      </c>
      <c r="H525" s="13">
        <f>IFERROR((CHAIN_RAW!R525+CHAIN_RAW!S525)/2,"")</f>
        <v/>
      </c>
      <c r="I525" s="13">
        <f>IFERROR((CHAIN_RAW!L525-CHAIN_RAW!K525)/MAX(1E-9, G525),"")</f>
        <v/>
      </c>
      <c r="J525" s="13">
        <f>IFERROR((CHAIN_RAW!S525-CHAIN_RAW!R525)/MAX(1E-9, H525),"")</f>
        <v/>
      </c>
      <c r="K525" s="13">
        <f>CHAIN_RAW!G525</f>
        <v/>
      </c>
      <c r="L525" s="13">
        <f>CHAIN_RAW!N525</f>
        <v/>
      </c>
      <c r="M525" s="13">
        <f>IFERROR(L525-K525,"")</f>
        <v/>
      </c>
      <c r="N525" s="13">
        <f>CHAIN_RAW!H525</f>
        <v/>
      </c>
      <c r="O525" s="13">
        <f>CHAIN_RAW!O525</f>
        <v/>
      </c>
      <c r="P525" s="13">
        <f>IFERROR(O525/N525,"")</f>
        <v/>
      </c>
      <c r="Q525" s="13">
        <f>CHAIN_RAW!I525</f>
        <v/>
      </c>
      <c r="R525" s="13">
        <f>CHAIN_RAW!P525</f>
        <v/>
      </c>
      <c r="S525" s="13">
        <f>IFERROR(R525/Q525,"")</f>
        <v/>
      </c>
      <c r="T525" s="13">
        <f>IFERROR((ABS(N525-O525)/MAX(1,(N525+O525)))*EXP(-ABS(E525-CONTROL!E5)/MAX(1,CONTROL!B8)),"")</f>
        <v/>
      </c>
      <c r="U525" s="13">
        <f>IFERROR(IF(O525&gt;N525,"SUPPORT (PE OI)","RESIST (CE OI)"),"")</f>
        <v/>
      </c>
      <c r="V525" s="13">
        <f>IFERROR(IF(Q525&gt;0,IF(R525&gt;0,"BOTH_ADD","CE_ADD_PE_REDUCE"),IF(R525&gt;0,"CE_REDUCE_PE_ADD","BOTH_REDUCE")),"")</f>
        <v/>
      </c>
      <c r="W525" s="13">
        <f>IFERROR( (P525-1)*0.5 + (M525)*0.1 - (I525+J525)*0.05 + T525*0.4 ,"")</f>
        <v/>
      </c>
      <c r="X525" s="13">
        <f>IFERROR(IF(ABS(F525)&lt;0.01,"ATM/NEAR",""),"")</f>
        <v/>
      </c>
    </row>
    <row r="526">
      <c r="A526" s="13">
        <f>CHAIN_RAW!A526</f>
        <v/>
      </c>
      <c r="B526" s="14">
        <f>CHAIN_RAW!B526</f>
        <v/>
      </c>
      <c r="C526" s="13">
        <f>CHAIN_RAW!C526</f>
        <v/>
      </c>
      <c r="D526" s="13">
        <f>CHAIN_RAW!D526</f>
        <v/>
      </c>
      <c r="E526" s="13">
        <f>CHAIN_RAW!E526</f>
        <v/>
      </c>
      <c r="F526" s="13">
        <f>IFERROR((E526-D526)/D526,"")</f>
        <v/>
      </c>
      <c r="G526" s="13">
        <f>IFERROR((CHAIN_RAW!K526+CHAIN_RAW!L526)/2,"")</f>
        <v/>
      </c>
      <c r="H526" s="13">
        <f>IFERROR((CHAIN_RAW!R526+CHAIN_RAW!S526)/2,"")</f>
        <v/>
      </c>
      <c r="I526" s="13">
        <f>IFERROR((CHAIN_RAW!L526-CHAIN_RAW!K526)/MAX(1E-9, G526),"")</f>
        <v/>
      </c>
      <c r="J526" s="13">
        <f>IFERROR((CHAIN_RAW!S526-CHAIN_RAW!R526)/MAX(1E-9, H526),"")</f>
        <v/>
      </c>
      <c r="K526" s="13">
        <f>CHAIN_RAW!G526</f>
        <v/>
      </c>
      <c r="L526" s="13">
        <f>CHAIN_RAW!N526</f>
        <v/>
      </c>
      <c r="M526" s="13">
        <f>IFERROR(L526-K526,"")</f>
        <v/>
      </c>
      <c r="N526" s="13">
        <f>CHAIN_RAW!H526</f>
        <v/>
      </c>
      <c r="O526" s="13">
        <f>CHAIN_RAW!O526</f>
        <v/>
      </c>
      <c r="P526" s="13">
        <f>IFERROR(O526/N526,"")</f>
        <v/>
      </c>
      <c r="Q526" s="13">
        <f>CHAIN_RAW!I526</f>
        <v/>
      </c>
      <c r="R526" s="13">
        <f>CHAIN_RAW!P526</f>
        <v/>
      </c>
      <c r="S526" s="13">
        <f>IFERROR(R526/Q526,"")</f>
        <v/>
      </c>
      <c r="T526" s="13">
        <f>IFERROR((ABS(N526-O526)/MAX(1,(N526+O526)))*EXP(-ABS(E526-CONTROL!E5)/MAX(1,CONTROL!B8)),"")</f>
        <v/>
      </c>
      <c r="U526" s="13">
        <f>IFERROR(IF(O526&gt;N526,"SUPPORT (PE OI)","RESIST (CE OI)"),"")</f>
        <v/>
      </c>
      <c r="V526" s="13">
        <f>IFERROR(IF(Q526&gt;0,IF(R526&gt;0,"BOTH_ADD","CE_ADD_PE_REDUCE"),IF(R526&gt;0,"CE_REDUCE_PE_ADD","BOTH_REDUCE")),"")</f>
        <v/>
      </c>
      <c r="W526" s="13">
        <f>IFERROR( (P526-1)*0.5 + (M526)*0.1 - (I526+J526)*0.05 + T526*0.4 ,"")</f>
        <v/>
      </c>
      <c r="X526" s="13">
        <f>IFERROR(IF(ABS(F526)&lt;0.01,"ATM/NEAR",""),"")</f>
        <v/>
      </c>
    </row>
    <row r="527">
      <c r="A527" s="13">
        <f>CHAIN_RAW!A527</f>
        <v/>
      </c>
      <c r="B527" s="14">
        <f>CHAIN_RAW!B527</f>
        <v/>
      </c>
      <c r="C527" s="13">
        <f>CHAIN_RAW!C527</f>
        <v/>
      </c>
      <c r="D527" s="13">
        <f>CHAIN_RAW!D527</f>
        <v/>
      </c>
      <c r="E527" s="13">
        <f>CHAIN_RAW!E527</f>
        <v/>
      </c>
      <c r="F527" s="13">
        <f>IFERROR((E527-D527)/D527,"")</f>
        <v/>
      </c>
      <c r="G527" s="13">
        <f>IFERROR((CHAIN_RAW!K527+CHAIN_RAW!L527)/2,"")</f>
        <v/>
      </c>
      <c r="H527" s="13">
        <f>IFERROR((CHAIN_RAW!R527+CHAIN_RAW!S527)/2,"")</f>
        <v/>
      </c>
      <c r="I527" s="13">
        <f>IFERROR((CHAIN_RAW!L527-CHAIN_RAW!K527)/MAX(1E-9, G527),"")</f>
        <v/>
      </c>
      <c r="J527" s="13">
        <f>IFERROR((CHAIN_RAW!S527-CHAIN_RAW!R527)/MAX(1E-9, H527),"")</f>
        <v/>
      </c>
      <c r="K527" s="13">
        <f>CHAIN_RAW!G527</f>
        <v/>
      </c>
      <c r="L527" s="13">
        <f>CHAIN_RAW!N527</f>
        <v/>
      </c>
      <c r="M527" s="13">
        <f>IFERROR(L527-K527,"")</f>
        <v/>
      </c>
      <c r="N527" s="13">
        <f>CHAIN_RAW!H527</f>
        <v/>
      </c>
      <c r="O527" s="13">
        <f>CHAIN_RAW!O527</f>
        <v/>
      </c>
      <c r="P527" s="13">
        <f>IFERROR(O527/N527,"")</f>
        <v/>
      </c>
      <c r="Q527" s="13">
        <f>CHAIN_RAW!I527</f>
        <v/>
      </c>
      <c r="R527" s="13">
        <f>CHAIN_RAW!P527</f>
        <v/>
      </c>
      <c r="S527" s="13">
        <f>IFERROR(R527/Q527,"")</f>
        <v/>
      </c>
      <c r="T527" s="13">
        <f>IFERROR((ABS(N527-O527)/MAX(1,(N527+O527)))*EXP(-ABS(E527-CONTROL!E5)/MAX(1,CONTROL!B8)),"")</f>
        <v/>
      </c>
      <c r="U527" s="13">
        <f>IFERROR(IF(O527&gt;N527,"SUPPORT (PE OI)","RESIST (CE OI)"),"")</f>
        <v/>
      </c>
      <c r="V527" s="13">
        <f>IFERROR(IF(Q527&gt;0,IF(R527&gt;0,"BOTH_ADD","CE_ADD_PE_REDUCE"),IF(R527&gt;0,"CE_REDUCE_PE_ADD","BOTH_REDUCE")),"")</f>
        <v/>
      </c>
      <c r="W527" s="13">
        <f>IFERROR( (P527-1)*0.5 + (M527)*0.1 - (I527+J527)*0.05 + T527*0.4 ,"")</f>
        <v/>
      </c>
      <c r="X527" s="13">
        <f>IFERROR(IF(ABS(F527)&lt;0.01,"ATM/NEAR",""),"")</f>
        <v/>
      </c>
    </row>
    <row r="528">
      <c r="A528" s="13">
        <f>CHAIN_RAW!A528</f>
        <v/>
      </c>
      <c r="B528" s="14">
        <f>CHAIN_RAW!B528</f>
        <v/>
      </c>
      <c r="C528" s="13">
        <f>CHAIN_RAW!C528</f>
        <v/>
      </c>
      <c r="D528" s="13">
        <f>CHAIN_RAW!D528</f>
        <v/>
      </c>
      <c r="E528" s="13">
        <f>CHAIN_RAW!E528</f>
        <v/>
      </c>
      <c r="F528" s="13">
        <f>IFERROR((E528-D528)/D528,"")</f>
        <v/>
      </c>
      <c r="G528" s="13">
        <f>IFERROR((CHAIN_RAW!K528+CHAIN_RAW!L528)/2,"")</f>
        <v/>
      </c>
      <c r="H528" s="13">
        <f>IFERROR((CHAIN_RAW!R528+CHAIN_RAW!S528)/2,"")</f>
        <v/>
      </c>
      <c r="I528" s="13">
        <f>IFERROR((CHAIN_RAW!L528-CHAIN_RAW!K528)/MAX(1E-9, G528),"")</f>
        <v/>
      </c>
      <c r="J528" s="13">
        <f>IFERROR((CHAIN_RAW!S528-CHAIN_RAW!R528)/MAX(1E-9, H528),"")</f>
        <v/>
      </c>
      <c r="K528" s="13">
        <f>CHAIN_RAW!G528</f>
        <v/>
      </c>
      <c r="L528" s="13">
        <f>CHAIN_RAW!N528</f>
        <v/>
      </c>
      <c r="M528" s="13">
        <f>IFERROR(L528-K528,"")</f>
        <v/>
      </c>
      <c r="N528" s="13">
        <f>CHAIN_RAW!H528</f>
        <v/>
      </c>
      <c r="O528" s="13">
        <f>CHAIN_RAW!O528</f>
        <v/>
      </c>
      <c r="P528" s="13">
        <f>IFERROR(O528/N528,"")</f>
        <v/>
      </c>
      <c r="Q528" s="13">
        <f>CHAIN_RAW!I528</f>
        <v/>
      </c>
      <c r="R528" s="13">
        <f>CHAIN_RAW!P528</f>
        <v/>
      </c>
      <c r="S528" s="13">
        <f>IFERROR(R528/Q528,"")</f>
        <v/>
      </c>
      <c r="T528" s="13">
        <f>IFERROR((ABS(N528-O528)/MAX(1,(N528+O528)))*EXP(-ABS(E528-CONTROL!E5)/MAX(1,CONTROL!B8)),"")</f>
        <v/>
      </c>
      <c r="U528" s="13">
        <f>IFERROR(IF(O528&gt;N528,"SUPPORT (PE OI)","RESIST (CE OI)"),"")</f>
        <v/>
      </c>
      <c r="V528" s="13">
        <f>IFERROR(IF(Q528&gt;0,IF(R528&gt;0,"BOTH_ADD","CE_ADD_PE_REDUCE"),IF(R528&gt;0,"CE_REDUCE_PE_ADD","BOTH_REDUCE")),"")</f>
        <v/>
      </c>
      <c r="W528" s="13">
        <f>IFERROR( (P528-1)*0.5 + (M528)*0.1 - (I528+J528)*0.05 + T528*0.4 ,"")</f>
        <v/>
      </c>
      <c r="X528" s="13">
        <f>IFERROR(IF(ABS(F528)&lt;0.01,"ATM/NEAR",""),"")</f>
        <v/>
      </c>
    </row>
    <row r="529">
      <c r="A529" s="13">
        <f>CHAIN_RAW!A529</f>
        <v/>
      </c>
      <c r="B529" s="14">
        <f>CHAIN_RAW!B529</f>
        <v/>
      </c>
      <c r="C529" s="13">
        <f>CHAIN_RAW!C529</f>
        <v/>
      </c>
      <c r="D529" s="13">
        <f>CHAIN_RAW!D529</f>
        <v/>
      </c>
      <c r="E529" s="13">
        <f>CHAIN_RAW!E529</f>
        <v/>
      </c>
      <c r="F529" s="13">
        <f>IFERROR((E529-D529)/D529,"")</f>
        <v/>
      </c>
      <c r="G529" s="13">
        <f>IFERROR((CHAIN_RAW!K529+CHAIN_RAW!L529)/2,"")</f>
        <v/>
      </c>
      <c r="H529" s="13">
        <f>IFERROR((CHAIN_RAW!R529+CHAIN_RAW!S529)/2,"")</f>
        <v/>
      </c>
      <c r="I529" s="13">
        <f>IFERROR((CHAIN_RAW!L529-CHAIN_RAW!K529)/MAX(1E-9, G529),"")</f>
        <v/>
      </c>
      <c r="J529" s="13">
        <f>IFERROR((CHAIN_RAW!S529-CHAIN_RAW!R529)/MAX(1E-9, H529),"")</f>
        <v/>
      </c>
      <c r="K529" s="13">
        <f>CHAIN_RAW!G529</f>
        <v/>
      </c>
      <c r="L529" s="13">
        <f>CHAIN_RAW!N529</f>
        <v/>
      </c>
      <c r="M529" s="13">
        <f>IFERROR(L529-K529,"")</f>
        <v/>
      </c>
      <c r="N529" s="13">
        <f>CHAIN_RAW!H529</f>
        <v/>
      </c>
      <c r="O529" s="13">
        <f>CHAIN_RAW!O529</f>
        <v/>
      </c>
      <c r="P529" s="13">
        <f>IFERROR(O529/N529,"")</f>
        <v/>
      </c>
      <c r="Q529" s="13">
        <f>CHAIN_RAW!I529</f>
        <v/>
      </c>
      <c r="R529" s="13">
        <f>CHAIN_RAW!P529</f>
        <v/>
      </c>
      <c r="S529" s="13">
        <f>IFERROR(R529/Q529,"")</f>
        <v/>
      </c>
      <c r="T529" s="13">
        <f>IFERROR((ABS(N529-O529)/MAX(1,(N529+O529)))*EXP(-ABS(E529-CONTROL!E5)/MAX(1,CONTROL!B8)),"")</f>
        <v/>
      </c>
      <c r="U529" s="13">
        <f>IFERROR(IF(O529&gt;N529,"SUPPORT (PE OI)","RESIST (CE OI)"),"")</f>
        <v/>
      </c>
      <c r="V529" s="13">
        <f>IFERROR(IF(Q529&gt;0,IF(R529&gt;0,"BOTH_ADD","CE_ADD_PE_REDUCE"),IF(R529&gt;0,"CE_REDUCE_PE_ADD","BOTH_REDUCE")),"")</f>
        <v/>
      </c>
      <c r="W529" s="13">
        <f>IFERROR( (P529-1)*0.5 + (M529)*0.1 - (I529+J529)*0.05 + T529*0.4 ,"")</f>
        <v/>
      </c>
      <c r="X529" s="13">
        <f>IFERROR(IF(ABS(F529)&lt;0.01,"ATM/NEAR",""),"")</f>
        <v/>
      </c>
    </row>
    <row r="530">
      <c r="A530" s="13">
        <f>CHAIN_RAW!A530</f>
        <v/>
      </c>
      <c r="B530" s="14">
        <f>CHAIN_RAW!B530</f>
        <v/>
      </c>
      <c r="C530" s="13">
        <f>CHAIN_RAW!C530</f>
        <v/>
      </c>
      <c r="D530" s="13">
        <f>CHAIN_RAW!D530</f>
        <v/>
      </c>
      <c r="E530" s="13">
        <f>CHAIN_RAW!E530</f>
        <v/>
      </c>
      <c r="F530" s="13">
        <f>IFERROR((E530-D530)/D530,"")</f>
        <v/>
      </c>
      <c r="G530" s="13">
        <f>IFERROR((CHAIN_RAW!K530+CHAIN_RAW!L530)/2,"")</f>
        <v/>
      </c>
      <c r="H530" s="13">
        <f>IFERROR((CHAIN_RAW!R530+CHAIN_RAW!S530)/2,"")</f>
        <v/>
      </c>
      <c r="I530" s="13">
        <f>IFERROR((CHAIN_RAW!L530-CHAIN_RAW!K530)/MAX(1E-9, G530),"")</f>
        <v/>
      </c>
      <c r="J530" s="13">
        <f>IFERROR((CHAIN_RAW!S530-CHAIN_RAW!R530)/MAX(1E-9, H530),"")</f>
        <v/>
      </c>
      <c r="K530" s="13">
        <f>CHAIN_RAW!G530</f>
        <v/>
      </c>
      <c r="L530" s="13">
        <f>CHAIN_RAW!N530</f>
        <v/>
      </c>
      <c r="M530" s="13">
        <f>IFERROR(L530-K530,"")</f>
        <v/>
      </c>
      <c r="N530" s="13">
        <f>CHAIN_RAW!H530</f>
        <v/>
      </c>
      <c r="O530" s="13">
        <f>CHAIN_RAW!O530</f>
        <v/>
      </c>
      <c r="P530" s="13">
        <f>IFERROR(O530/N530,"")</f>
        <v/>
      </c>
      <c r="Q530" s="13">
        <f>CHAIN_RAW!I530</f>
        <v/>
      </c>
      <c r="R530" s="13">
        <f>CHAIN_RAW!P530</f>
        <v/>
      </c>
      <c r="S530" s="13">
        <f>IFERROR(R530/Q530,"")</f>
        <v/>
      </c>
      <c r="T530" s="13">
        <f>IFERROR((ABS(N530-O530)/MAX(1,(N530+O530)))*EXP(-ABS(E530-CONTROL!E5)/MAX(1,CONTROL!B8)),"")</f>
        <v/>
      </c>
      <c r="U530" s="13">
        <f>IFERROR(IF(O530&gt;N530,"SUPPORT (PE OI)","RESIST (CE OI)"),"")</f>
        <v/>
      </c>
      <c r="V530" s="13">
        <f>IFERROR(IF(Q530&gt;0,IF(R530&gt;0,"BOTH_ADD","CE_ADD_PE_REDUCE"),IF(R530&gt;0,"CE_REDUCE_PE_ADD","BOTH_REDUCE")),"")</f>
        <v/>
      </c>
      <c r="W530" s="13">
        <f>IFERROR( (P530-1)*0.5 + (M530)*0.1 - (I530+J530)*0.05 + T530*0.4 ,"")</f>
        <v/>
      </c>
      <c r="X530" s="13">
        <f>IFERROR(IF(ABS(F530)&lt;0.01,"ATM/NEAR",""),"")</f>
        <v/>
      </c>
    </row>
    <row r="531">
      <c r="A531" s="13">
        <f>CHAIN_RAW!A531</f>
        <v/>
      </c>
      <c r="B531" s="14">
        <f>CHAIN_RAW!B531</f>
        <v/>
      </c>
      <c r="C531" s="13">
        <f>CHAIN_RAW!C531</f>
        <v/>
      </c>
      <c r="D531" s="13">
        <f>CHAIN_RAW!D531</f>
        <v/>
      </c>
      <c r="E531" s="13">
        <f>CHAIN_RAW!E531</f>
        <v/>
      </c>
      <c r="F531" s="13">
        <f>IFERROR((E531-D531)/D531,"")</f>
        <v/>
      </c>
      <c r="G531" s="13">
        <f>IFERROR((CHAIN_RAW!K531+CHAIN_RAW!L531)/2,"")</f>
        <v/>
      </c>
      <c r="H531" s="13">
        <f>IFERROR((CHAIN_RAW!R531+CHAIN_RAW!S531)/2,"")</f>
        <v/>
      </c>
      <c r="I531" s="13">
        <f>IFERROR((CHAIN_RAW!L531-CHAIN_RAW!K531)/MAX(1E-9, G531),"")</f>
        <v/>
      </c>
      <c r="J531" s="13">
        <f>IFERROR((CHAIN_RAW!S531-CHAIN_RAW!R531)/MAX(1E-9, H531),"")</f>
        <v/>
      </c>
      <c r="K531" s="13">
        <f>CHAIN_RAW!G531</f>
        <v/>
      </c>
      <c r="L531" s="13">
        <f>CHAIN_RAW!N531</f>
        <v/>
      </c>
      <c r="M531" s="13">
        <f>IFERROR(L531-K531,"")</f>
        <v/>
      </c>
      <c r="N531" s="13">
        <f>CHAIN_RAW!H531</f>
        <v/>
      </c>
      <c r="O531" s="13">
        <f>CHAIN_RAW!O531</f>
        <v/>
      </c>
      <c r="P531" s="13">
        <f>IFERROR(O531/N531,"")</f>
        <v/>
      </c>
      <c r="Q531" s="13">
        <f>CHAIN_RAW!I531</f>
        <v/>
      </c>
      <c r="R531" s="13">
        <f>CHAIN_RAW!P531</f>
        <v/>
      </c>
      <c r="S531" s="13">
        <f>IFERROR(R531/Q531,"")</f>
        <v/>
      </c>
      <c r="T531" s="13">
        <f>IFERROR((ABS(N531-O531)/MAX(1,(N531+O531)))*EXP(-ABS(E531-CONTROL!E5)/MAX(1,CONTROL!B8)),"")</f>
        <v/>
      </c>
      <c r="U531" s="13">
        <f>IFERROR(IF(O531&gt;N531,"SUPPORT (PE OI)","RESIST (CE OI)"),"")</f>
        <v/>
      </c>
      <c r="V531" s="13">
        <f>IFERROR(IF(Q531&gt;0,IF(R531&gt;0,"BOTH_ADD","CE_ADD_PE_REDUCE"),IF(R531&gt;0,"CE_REDUCE_PE_ADD","BOTH_REDUCE")),"")</f>
        <v/>
      </c>
      <c r="W531" s="13">
        <f>IFERROR( (P531-1)*0.5 + (M531)*0.1 - (I531+J531)*0.05 + T531*0.4 ,"")</f>
        <v/>
      </c>
      <c r="X531" s="13">
        <f>IFERROR(IF(ABS(F531)&lt;0.01,"ATM/NEAR",""),"")</f>
        <v/>
      </c>
    </row>
    <row r="532">
      <c r="A532" s="13">
        <f>CHAIN_RAW!A532</f>
        <v/>
      </c>
      <c r="B532" s="14">
        <f>CHAIN_RAW!B532</f>
        <v/>
      </c>
      <c r="C532" s="13">
        <f>CHAIN_RAW!C532</f>
        <v/>
      </c>
      <c r="D532" s="13">
        <f>CHAIN_RAW!D532</f>
        <v/>
      </c>
      <c r="E532" s="13">
        <f>CHAIN_RAW!E532</f>
        <v/>
      </c>
      <c r="F532" s="13">
        <f>IFERROR((E532-D532)/D532,"")</f>
        <v/>
      </c>
      <c r="G532" s="13">
        <f>IFERROR((CHAIN_RAW!K532+CHAIN_RAW!L532)/2,"")</f>
        <v/>
      </c>
      <c r="H532" s="13">
        <f>IFERROR((CHAIN_RAW!R532+CHAIN_RAW!S532)/2,"")</f>
        <v/>
      </c>
      <c r="I532" s="13">
        <f>IFERROR((CHAIN_RAW!L532-CHAIN_RAW!K532)/MAX(1E-9, G532),"")</f>
        <v/>
      </c>
      <c r="J532" s="13">
        <f>IFERROR((CHAIN_RAW!S532-CHAIN_RAW!R532)/MAX(1E-9, H532),"")</f>
        <v/>
      </c>
      <c r="K532" s="13">
        <f>CHAIN_RAW!G532</f>
        <v/>
      </c>
      <c r="L532" s="13">
        <f>CHAIN_RAW!N532</f>
        <v/>
      </c>
      <c r="M532" s="13">
        <f>IFERROR(L532-K532,"")</f>
        <v/>
      </c>
      <c r="N532" s="13">
        <f>CHAIN_RAW!H532</f>
        <v/>
      </c>
      <c r="O532" s="13">
        <f>CHAIN_RAW!O532</f>
        <v/>
      </c>
      <c r="P532" s="13">
        <f>IFERROR(O532/N532,"")</f>
        <v/>
      </c>
      <c r="Q532" s="13">
        <f>CHAIN_RAW!I532</f>
        <v/>
      </c>
      <c r="R532" s="13">
        <f>CHAIN_RAW!P532</f>
        <v/>
      </c>
      <c r="S532" s="13">
        <f>IFERROR(R532/Q532,"")</f>
        <v/>
      </c>
      <c r="T532" s="13">
        <f>IFERROR((ABS(N532-O532)/MAX(1,(N532+O532)))*EXP(-ABS(E532-CONTROL!E5)/MAX(1,CONTROL!B8)),"")</f>
        <v/>
      </c>
      <c r="U532" s="13">
        <f>IFERROR(IF(O532&gt;N532,"SUPPORT (PE OI)","RESIST (CE OI)"),"")</f>
        <v/>
      </c>
      <c r="V532" s="13">
        <f>IFERROR(IF(Q532&gt;0,IF(R532&gt;0,"BOTH_ADD","CE_ADD_PE_REDUCE"),IF(R532&gt;0,"CE_REDUCE_PE_ADD","BOTH_REDUCE")),"")</f>
        <v/>
      </c>
      <c r="W532" s="13">
        <f>IFERROR( (P532-1)*0.5 + (M532)*0.1 - (I532+J532)*0.05 + T532*0.4 ,"")</f>
        <v/>
      </c>
      <c r="X532" s="13">
        <f>IFERROR(IF(ABS(F532)&lt;0.01,"ATM/NEAR",""),"")</f>
        <v/>
      </c>
    </row>
    <row r="533">
      <c r="A533" s="13">
        <f>CHAIN_RAW!A533</f>
        <v/>
      </c>
      <c r="B533" s="14">
        <f>CHAIN_RAW!B533</f>
        <v/>
      </c>
      <c r="C533" s="13">
        <f>CHAIN_RAW!C533</f>
        <v/>
      </c>
      <c r="D533" s="13">
        <f>CHAIN_RAW!D533</f>
        <v/>
      </c>
      <c r="E533" s="13">
        <f>CHAIN_RAW!E533</f>
        <v/>
      </c>
      <c r="F533" s="13">
        <f>IFERROR((E533-D533)/D533,"")</f>
        <v/>
      </c>
      <c r="G533" s="13">
        <f>IFERROR((CHAIN_RAW!K533+CHAIN_RAW!L533)/2,"")</f>
        <v/>
      </c>
      <c r="H533" s="13">
        <f>IFERROR((CHAIN_RAW!R533+CHAIN_RAW!S533)/2,"")</f>
        <v/>
      </c>
      <c r="I533" s="13">
        <f>IFERROR((CHAIN_RAW!L533-CHAIN_RAW!K533)/MAX(1E-9, G533),"")</f>
        <v/>
      </c>
      <c r="J533" s="13">
        <f>IFERROR((CHAIN_RAW!S533-CHAIN_RAW!R533)/MAX(1E-9, H533),"")</f>
        <v/>
      </c>
      <c r="K533" s="13">
        <f>CHAIN_RAW!G533</f>
        <v/>
      </c>
      <c r="L533" s="13">
        <f>CHAIN_RAW!N533</f>
        <v/>
      </c>
      <c r="M533" s="13">
        <f>IFERROR(L533-K533,"")</f>
        <v/>
      </c>
      <c r="N533" s="13">
        <f>CHAIN_RAW!H533</f>
        <v/>
      </c>
      <c r="O533" s="13">
        <f>CHAIN_RAW!O533</f>
        <v/>
      </c>
      <c r="P533" s="13">
        <f>IFERROR(O533/N533,"")</f>
        <v/>
      </c>
      <c r="Q533" s="13">
        <f>CHAIN_RAW!I533</f>
        <v/>
      </c>
      <c r="R533" s="13">
        <f>CHAIN_RAW!P533</f>
        <v/>
      </c>
      <c r="S533" s="13">
        <f>IFERROR(R533/Q533,"")</f>
        <v/>
      </c>
      <c r="T533" s="13">
        <f>IFERROR((ABS(N533-O533)/MAX(1,(N533+O533)))*EXP(-ABS(E533-CONTROL!E5)/MAX(1,CONTROL!B8)),"")</f>
        <v/>
      </c>
      <c r="U533" s="13">
        <f>IFERROR(IF(O533&gt;N533,"SUPPORT (PE OI)","RESIST (CE OI)"),"")</f>
        <v/>
      </c>
      <c r="V533" s="13">
        <f>IFERROR(IF(Q533&gt;0,IF(R533&gt;0,"BOTH_ADD","CE_ADD_PE_REDUCE"),IF(R533&gt;0,"CE_REDUCE_PE_ADD","BOTH_REDUCE")),"")</f>
        <v/>
      </c>
      <c r="W533" s="13">
        <f>IFERROR( (P533-1)*0.5 + (M533)*0.1 - (I533+J533)*0.05 + T533*0.4 ,"")</f>
        <v/>
      </c>
      <c r="X533" s="13">
        <f>IFERROR(IF(ABS(F533)&lt;0.01,"ATM/NEAR",""),"")</f>
        <v/>
      </c>
    </row>
    <row r="534">
      <c r="A534" s="13">
        <f>CHAIN_RAW!A534</f>
        <v/>
      </c>
      <c r="B534" s="14">
        <f>CHAIN_RAW!B534</f>
        <v/>
      </c>
      <c r="C534" s="13">
        <f>CHAIN_RAW!C534</f>
        <v/>
      </c>
      <c r="D534" s="13">
        <f>CHAIN_RAW!D534</f>
        <v/>
      </c>
      <c r="E534" s="13">
        <f>CHAIN_RAW!E534</f>
        <v/>
      </c>
      <c r="F534" s="13">
        <f>IFERROR((E534-D534)/D534,"")</f>
        <v/>
      </c>
      <c r="G534" s="13">
        <f>IFERROR((CHAIN_RAW!K534+CHAIN_RAW!L534)/2,"")</f>
        <v/>
      </c>
      <c r="H534" s="13">
        <f>IFERROR((CHAIN_RAW!R534+CHAIN_RAW!S534)/2,"")</f>
        <v/>
      </c>
      <c r="I534" s="13">
        <f>IFERROR((CHAIN_RAW!L534-CHAIN_RAW!K534)/MAX(1E-9, G534),"")</f>
        <v/>
      </c>
      <c r="J534" s="13">
        <f>IFERROR((CHAIN_RAW!S534-CHAIN_RAW!R534)/MAX(1E-9, H534),"")</f>
        <v/>
      </c>
      <c r="K534" s="13">
        <f>CHAIN_RAW!G534</f>
        <v/>
      </c>
      <c r="L534" s="13">
        <f>CHAIN_RAW!N534</f>
        <v/>
      </c>
      <c r="M534" s="13">
        <f>IFERROR(L534-K534,"")</f>
        <v/>
      </c>
      <c r="N534" s="13">
        <f>CHAIN_RAW!H534</f>
        <v/>
      </c>
      <c r="O534" s="13">
        <f>CHAIN_RAW!O534</f>
        <v/>
      </c>
      <c r="P534" s="13">
        <f>IFERROR(O534/N534,"")</f>
        <v/>
      </c>
      <c r="Q534" s="13">
        <f>CHAIN_RAW!I534</f>
        <v/>
      </c>
      <c r="R534" s="13">
        <f>CHAIN_RAW!P534</f>
        <v/>
      </c>
      <c r="S534" s="13">
        <f>IFERROR(R534/Q534,"")</f>
        <v/>
      </c>
      <c r="T534" s="13">
        <f>IFERROR((ABS(N534-O534)/MAX(1,(N534+O534)))*EXP(-ABS(E534-CONTROL!E5)/MAX(1,CONTROL!B8)),"")</f>
        <v/>
      </c>
      <c r="U534" s="13">
        <f>IFERROR(IF(O534&gt;N534,"SUPPORT (PE OI)","RESIST (CE OI)"),"")</f>
        <v/>
      </c>
      <c r="V534" s="13">
        <f>IFERROR(IF(Q534&gt;0,IF(R534&gt;0,"BOTH_ADD","CE_ADD_PE_REDUCE"),IF(R534&gt;0,"CE_REDUCE_PE_ADD","BOTH_REDUCE")),"")</f>
        <v/>
      </c>
      <c r="W534" s="13">
        <f>IFERROR( (P534-1)*0.5 + (M534)*0.1 - (I534+J534)*0.05 + T534*0.4 ,"")</f>
        <v/>
      </c>
      <c r="X534" s="13">
        <f>IFERROR(IF(ABS(F534)&lt;0.01,"ATM/NEAR",""),"")</f>
        <v/>
      </c>
    </row>
    <row r="535">
      <c r="A535" s="13">
        <f>CHAIN_RAW!A535</f>
        <v/>
      </c>
      <c r="B535" s="14">
        <f>CHAIN_RAW!B535</f>
        <v/>
      </c>
      <c r="C535" s="13">
        <f>CHAIN_RAW!C535</f>
        <v/>
      </c>
      <c r="D535" s="13">
        <f>CHAIN_RAW!D535</f>
        <v/>
      </c>
      <c r="E535" s="13">
        <f>CHAIN_RAW!E535</f>
        <v/>
      </c>
      <c r="F535" s="13">
        <f>IFERROR((E535-D535)/D535,"")</f>
        <v/>
      </c>
      <c r="G535" s="13">
        <f>IFERROR((CHAIN_RAW!K535+CHAIN_RAW!L535)/2,"")</f>
        <v/>
      </c>
      <c r="H535" s="13">
        <f>IFERROR((CHAIN_RAW!R535+CHAIN_RAW!S535)/2,"")</f>
        <v/>
      </c>
      <c r="I535" s="13">
        <f>IFERROR((CHAIN_RAW!L535-CHAIN_RAW!K535)/MAX(1E-9, G535),"")</f>
        <v/>
      </c>
      <c r="J535" s="13">
        <f>IFERROR((CHAIN_RAW!S535-CHAIN_RAW!R535)/MAX(1E-9, H535),"")</f>
        <v/>
      </c>
      <c r="K535" s="13">
        <f>CHAIN_RAW!G535</f>
        <v/>
      </c>
      <c r="L535" s="13">
        <f>CHAIN_RAW!N535</f>
        <v/>
      </c>
      <c r="M535" s="13">
        <f>IFERROR(L535-K535,"")</f>
        <v/>
      </c>
      <c r="N535" s="13">
        <f>CHAIN_RAW!H535</f>
        <v/>
      </c>
      <c r="O535" s="13">
        <f>CHAIN_RAW!O535</f>
        <v/>
      </c>
      <c r="P535" s="13">
        <f>IFERROR(O535/N535,"")</f>
        <v/>
      </c>
      <c r="Q535" s="13">
        <f>CHAIN_RAW!I535</f>
        <v/>
      </c>
      <c r="R535" s="13">
        <f>CHAIN_RAW!P535</f>
        <v/>
      </c>
      <c r="S535" s="13">
        <f>IFERROR(R535/Q535,"")</f>
        <v/>
      </c>
      <c r="T535" s="13">
        <f>IFERROR((ABS(N535-O535)/MAX(1,(N535+O535)))*EXP(-ABS(E535-CONTROL!E5)/MAX(1,CONTROL!B8)),"")</f>
        <v/>
      </c>
      <c r="U535" s="13">
        <f>IFERROR(IF(O535&gt;N535,"SUPPORT (PE OI)","RESIST (CE OI)"),"")</f>
        <v/>
      </c>
      <c r="V535" s="13">
        <f>IFERROR(IF(Q535&gt;0,IF(R535&gt;0,"BOTH_ADD","CE_ADD_PE_REDUCE"),IF(R535&gt;0,"CE_REDUCE_PE_ADD","BOTH_REDUCE")),"")</f>
        <v/>
      </c>
      <c r="W535" s="13">
        <f>IFERROR( (P535-1)*0.5 + (M535)*0.1 - (I535+J535)*0.05 + T535*0.4 ,"")</f>
        <v/>
      </c>
      <c r="X535" s="13">
        <f>IFERROR(IF(ABS(F535)&lt;0.01,"ATM/NEAR",""),"")</f>
        <v/>
      </c>
    </row>
    <row r="536">
      <c r="A536" s="13">
        <f>CHAIN_RAW!A536</f>
        <v/>
      </c>
      <c r="B536" s="14">
        <f>CHAIN_RAW!B536</f>
        <v/>
      </c>
      <c r="C536" s="13">
        <f>CHAIN_RAW!C536</f>
        <v/>
      </c>
      <c r="D536" s="13">
        <f>CHAIN_RAW!D536</f>
        <v/>
      </c>
      <c r="E536" s="13">
        <f>CHAIN_RAW!E536</f>
        <v/>
      </c>
      <c r="F536" s="13">
        <f>IFERROR((E536-D536)/D536,"")</f>
        <v/>
      </c>
      <c r="G536" s="13">
        <f>IFERROR((CHAIN_RAW!K536+CHAIN_RAW!L536)/2,"")</f>
        <v/>
      </c>
      <c r="H536" s="13">
        <f>IFERROR((CHAIN_RAW!R536+CHAIN_RAW!S536)/2,"")</f>
        <v/>
      </c>
      <c r="I536" s="13">
        <f>IFERROR((CHAIN_RAW!L536-CHAIN_RAW!K536)/MAX(1E-9, G536),"")</f>
        <v/>
      </c>
      <c r="J536" s="13">
        <f>IFERROR((CHAIN_RAW!S536-CHAIN_RAW!R536)/MAX(1E-9, H536),"")</f>
        <v/>
      </c>
      <c r="K536" s="13">
        <f>CHAIN_RAW!G536</f>
        <v/>
      </c>
      <c r="L536" s="13">
        <f>CHAIN_RAW!N536</f>
        <v/>
      </c>
      <c r="M536" s="13">
        <f>IFERROR(L536-K536,"")</f>
        <v/>
      </c>
      <c r="N536" s="13">
        <f>CHAIN_RAW!H536</f>
        <v/>
      </c>
      <c r="O536" s="13">
        <f>CHAIN_RAW!O536</f>
        <v/>
      </c>
      <c r="P536" s="13">
        <f>IFERROR(O536/N536,"")</f>
        <v/>
      </c>
      <c r="Q536" s="13">
        <f>CHAIN_RAW!I536</f>
        <v/>
      </c>
      <c r="R536" s="13">
        <f>CHAIN_RAW!P536</f>
        <v/>
      </c>
      <c r="S536" s="13">
        <f>IFERROR(R536/Q536,"")</f>
        <v/>
      </c>
      <c r="T536" s="13">
        <f>IFERROR((ABS(N536-O536)/MAX(1,(N536+O536)))*EXP(-ABS(E536-CONTROL!E5)/MAX(1,CONTROL!B8)),"")</f>
        <v/>
      </c>
      <c r="U536" s="13">
        <f>IFERROR(IF(O536&gt;N536,"SUPPORT (PE OI)","RESIST (CE OI)"),"")</f>
        <v/>
      </c>
      <c r="V536" s="13">
        <f>IFERROR(IF(Q536&gt;0,IF(R536&gt;0,"BOTH_ADD","CE_ADD_PE_REDUCE"),IF(R536&gt;0,"CE_REDUCE_PE_ADD","BOTH_REDUCE")),"")</f>
        <v/>
      </c>
      <c r="W536" s="13">
        <f>IFERROR( (P536-1)*0.5 + (M536)*0.1 - (I536+J536)*0.05 + T536*0.4 ,"")</f>
        <v/>
      </c>
      <c r="X536" s="13">
        <f>IFERROR(IF(ABS(F536)&lt;0.01,"ATM/NEAR",""),"")</f>
        <v/>
      </c>
    </row>
    <row r="537">
      <c r="A537" s="13">
        <f>CHAIN_RAW!A537</f>
        <v/>
      </c>
      <c r="B537" s="14">
        <f>CHAIN_RAW!B537</f>
        <v/>
      </c>
      <c r="C537" s="13">
        <f>CHAIN_RAW!C537</f>
        <v/>
      </c>
      <c r="D537" s="13">
        <f>CHAIN_RAW!D537</f>
        <v/>
      </c>
      <c r="E537" s="13">
        <f>CHAIN_RAW!E537</f>
        <v/>
      </c>
      <c r="F537" s="13">
        <f>IFERROR((E537-D537)/D537,"")</f>
        <v/>
      </c>
      <c r="G537" s="13">
        <f>IFERROR((CHAIN_RAW!K537+CHAIN_RAW!L537)/2,"")</f>
        <v/>
      </c>
      <c r="H537" s="13">
        <f>IFERROR((CHAIN_RAW!R537+CHAIN_RAW!S537)/2,"")</f>
        <v/>
      </c>
      <c r="I537" s="13">
        <f>IFERROR((CHAIN_RAW!L537-CHAIN_RAW!K537)/MAX(1E-9, G537),"")</f>
        <v/>
      </c>
      <c r="J537" s="13">
        <f>IFERROR((CHAIN_RAW!S537-CHAIN_RAW!R537)/MAX(1E-9, H537),"")</f>
        <v/>
      </c>
      <c r="K537" s="13">
        <f>CHAIN_RAW!G537</f>
        <v/>
      </c>
      <c r="L537" s="13">
        <f>CHAIN_RAW!N537</f>
        <v/>
      </c>
      <c r="M537" s="13">
        <f>IFERROR(L537-K537,"")</f>
        <v/>
      </c>
      <c r="N537" s="13">
        <f>CHAIN_RAW!H537</f>
        <v/>
      </c>
      <c r="O537" s="13">
        <f>CHAIN_RAW!O537</f>
        <v/>
      </c>
      <c r="P537" s="13">
        <f>IFERROR(O537/N537,"")</f>
        <v/>
      </c>
      <c r="Q537" s="13">
        <f>CHAIN_RAW!I537</f>
        <v/>
      </c>
      <c r="R537" s="13">
        <f>CHAIN_RAW!P537</f>
        <v/>
      </c>
      <c r="S537" s="13">
        <f>IFERROR(R537/Q537,"")</f>
        <v/>
      </c>
      <c r="T537" s="13">
        <f>IFERROR((ABS(N537-O537)/MAX(1,(N537+O537)))*EXP(-ABS(E537-CONTROL!E5)/MAX(1,CONTROL!B8)),"")</f>
        <v/>
      </c>
      <c r="U537" s="13">
        <f>IFERROR(IF(O537&gt;N537,"SUPPORT (PE OI)","RESIST (CE OI)"),"")</f>
        <v/>
      </c>
      <c r="V537" s="13">
        <f>IFERROR(IF(Q537&gt;0,IF(R537&gt;0,"BOTH_ADD","CE_ADD_PE_REDUCE"),IF(R537&gt;0,"CE_REDUCE_PE_ADD","BOTH_REDUCE")),"")</f>
        <v/>
      </c>
      <c r="W537" s="13">
        <f>IFERROR( (P537-1)*0.5 + (M537)*0.1 - (I537+J537)*0.05 + T537*0.4 ,"")</f>
        <v/>
      </c>
      <c r="X537" s="13">
        <f>IFERROR(IF(ABS(F537)&lt;0.01,"ATM/NEAR",""),"")</f>
        <v/>
      </c>
    </row>
    <row r="538">
      <c r="A538" s="13">
        <f>CHAIN_RAW!A538</f>
        <v/>
      </c>
      <c r="B538" s="14">
        <f>CHAIN_RAW!B538</f>
        <v/>
      </c>
      <c r="C538" s="13">
        <f>CHAIN_RAW!C538</f>
        <v/>
      </c>
      <c r="D538" s="13">
        <f>CHAIN_RAW!D538</f>
        <v/>
      </c>
      <c r="E538" s="13">
        <f>CHAIN_RAW!E538</f>
        <v/>
      </c>
      <c r="F538" s="13">
        <f>IFERROR((E538-D538)/D538,"")</f>
        <v/>
      </c>
      <c r="G538" s="13">
        <f>IFERROR((CHAIN_RAW!K538+CHAIN_RAW!L538)/2,"")</f>
        <v/>
      </c>
      <c r="H538" s="13">
        <f>IFERROR((CHAIN_RAW!R538+CHAIN_RAW!S538)/2,"")</f>
        <v/>
      </c>
      <c r="I538" s="13">
        <f>IFERROR((CHAIN_RAW!L538-CHAIN_RAW!K538)/MAX(1E-9, G538),"")</f>
        <v/>
      </c>
      <c r="J538" s="13">
        <f>IFERROR((CHAIN_RAW!S538-CHAIN_RAW!R538)/MAX(1E-9, H538),"")</f>
        <v/>
      </c>
      <c r="K538" s="13">
        <f>CHAIN_RAW!G538</f>
        <v/>
      </c>
      <c r="L538" s="13">
        <f>CHAIN_RAW!N538</f>
        <v/>
      </c>
      <c r="M538" s="13">
        <f>IFERROR(L538-K538,"")</f>
        <v/>
      </c>
      <c r="N538" s="13">
        <f>CHAIN_RAW!H538</f>
        <v/>
      </c>
      <c r="O538" s="13">
        <f>CHAIN_RAW!O538</f>
        <v/>
      </c>
      <c r="P538" s="13">
        <f>IFERROR(O538/N538,"")</f>
        <v/>
      </c>
      <c r="Q538" s="13">
        <f>CHAIN_RAW!I538</f>
        <v/>
      </c>
      <c r="R538" s="13">
        <f>CHAIN_RAW!P538</f>
        <v/>
      </c>
      <c r="S538" s="13">
        <f>IFERROR(R538/Q538,"")</f>
        <v/>
      </c>
      <c r="T538" s="13">
        <f>IFERROR((ABS(N538-O538)/MAX(1,(N538+O538)))*EXP(-ABS(E538-CONTROL!E5)/MAX(1,CONTROL!B8)),"")</f>
        <v/>
      </c>
      <c r="U538" s="13">
        <f>IFERROR(IF(O538&gt;N538,"SUPPORT (PE OI)","RESIST (CE OI)"),"")</f>
        <v/>
      </c>
      <c r="V538" s="13">
        <f>IFERROR(IF(Q538&gt;0,IF(R538&gt;0,"BOTH_ADD","CE_ADD_PE_REDUCE"),IF(R538&gt;0,"CE_REDUCE_PE_ADD","BOTH_REDUCE")),"")</f>
        <v/>
      </c>
      <c r="W538" s="13">
        <f>IFERROR( (P538-1)*0.5 + (M538)*0.1 - (I538+J538)*0.05 + T538*0.4 ,"")</f>
        <v/>
      </c>
      <c r="X538" s="13">
        <f>IFERROR(IF(ABS(F538)&lt;0.01,"ATM/NEAR",""),"")</f>
        <v/>
      </c>
    </row>
    <row r="539">
      <c r="A539" s="13">
        <f>CHAIN_RAW!A539</f>
        <v/>
      </c>
      <c r="B539" s="14">
        <f>CHAIN_RAW!B539</f>
        <v/>
      </c>
      <c r="C539" s="13">
        <f>CHAIN_RAW!C539</f>
        <v/>
      </c>
      <c r="D539" s="13">
        <f>CHAIN_RAW!D539</f>
        <v/>
      </c>
      <c r="E539" s="13">
        <f>CHAIN_RAW!E539</f>
        <v/>
      </c>
      <c r="F539" s="13">
        <f>IFERROR((E539-D539)/D539,"")</f>
        <v/>
      </c>
      <c r="G539" s="13">
        <f>IFERROR((CHAIN_RAW!K539+CHAIN_RAW!L539)/2,"")</f>
        <v/>
      </c>
      <c r="H539" s="13">
        <f>IFERROR((CHAIN_RAW!R539+CHAIN_RAW!S539)/2,"")</f>
        <v/>
      </c>
      <c r="I539" s="13">
        <f>IFERROR((CHAIN_RAW!L539-CHAIN_RAW!K539)/MAX(1E-9, G539),"")</f>
        <v/>
      </c>
      <c r="J539" s="13">
        <f>IFERROR((CHAIN_RAW!S539-CHAIN_RAW!R539)/MAX(1E-9, H539),"")</f>
        <v/>
      </c>
      <c r="K539" s="13">
        <f>CHAIN_RAW!G539</f>
        <v/>
      </c>
      <c r="L539" s="13">
        <f>CHAIN_RAW!N539</f>
        <v/>
      </c>
      <c r="M539" s="13">
        <f>IFERROR(L539-K539,"")</f>
        <v/>
      </c>
      <c r="N539" s="13">
        <f>CHAIN_RAW!H539</f>
        <v/>
      </c>
      <c r="O539" s="13">
        <f>CHAIN_RAW!O539</f>
        <v/>
      </c>
      <c r="P539" s="13">
        <f>IFERROR(O539/N539,"")</f>
        <v/>
      </c>
      <c r="Q539" s="13">
        <f>CHAIN_RAW!I539</f>
        <v/>
      </c>
      <c r="R539" s="13">
        <f>CHAIN_RAW!P539</f>
        <v/>
      </c>
      <c r="S539" s="13">
        <f>IFERROR(R539/Q539,"")</f>
        <v/>
      </c>
      <c r="T539" s="13">
        <f>IFERROR((ABS(N539-O539)/MAX(1,(N539+O539)))*EXP(-ABS(E539-CONTROL!E5)/MAX(1,CONTROL!B8)),"")</f>
        <v/>
      </c>
      <c r="U539" s="13">
        <f>IFERROR(IF(O539&gt;N539,"SUPPORT (PE OI)","RESIST (CE OI)"),"")</f>
        <v/>
      </c>
      <c r="V539" s="13">
        <f>IFERROR(IF(Q539&gt;0,IF(R539&gt;0,"BOTH_ADD","CE_ADD_PE_REDUCE"),IF(R539&gt;0,"CE_REDUCE_PE_ADD","BOTH_REDUCE")),"")</f>
        <v/>
      </c>
      <c r="W539" s="13">
        <f>IFERROR( (P539-1)*0.5 + (M539)*0.1 - (I539+J539)*0.05 + T539*0.4 ,"")</f>
        <v/>
      </c>
      <c r="X539" s="13">
        <f>IFERROR(IF(ABS(F539)&lt;0.01,"ATM/NEAR",""),"")</f>
        <v/>
      </c>
    </row>
    <row r="540">
      <c r="A540" s="13">
        <f>CHAIN_RAW!A540</f>
        <v/>
      </c>
      <c r="B540" s="14">
        <f>CHAIN_RAW!B540</f>
        <v/>
      </c>
      <c r="C540" s="13">
        <f>CHAIN_RAW!C540</f>
        <v/>
      </c>
      <c r="D540" s="13">
        <f>CHAIN_RAW!D540</f>
        <v/>
      </c>
      <c r="E540" s="13">
        <f>CHAIN_RAW!E540</f>
        <v/>
      </c>
      <c r="F540" s="13">
        <f>IFERROR((E540-D540)/D540,"")</f>
        <v/>
      </c>
      <c r="G540" s="13">
        <f>IFERROR((CHAIN_RAW!K540+CHAIN_RAW!L540)/2,"")</f>
        <v/>
      </c>
      <c r="H540" s="13">
        <f>IFERROR((CHAIN_RAW!R540+CHAIN_RAW!S540)/2,"")</f>
        <v/>
      </c>
      <c r="I540" s="13">
        <f>IFERROR((CHAIN_RAW!L540-CHAIN_RAW!K540)/MAX(1E-9, G540),"")</f>
        <v/>
      </c>
      <c r="J540" s="13">
        <f>IFERROR((CHAIN_RAW!S540-CHAIN_RAW!R540)/MAX(1E-9, H540),"")</f>
        <v/>
      </c>
      <c r="K540" s="13">
        <f>CHAIN_RAW!G540</f>
        <v/>
      </c>
      <c r="L540" s="13">
        <f>CHAIN_RAW!N540</f>
        <v/>
      </c>
      <c r="M540" s="13">
        <f>IFERROR(L540-K540,"")</f>
        <v/>
      </c>
      <c r="N540" s="13">
        <f>CHAIN_RAW!H540</f>
        <v/>
      </c>
      <c r="O540" s="13">
        <f>CHAIN_RAW!O540</f>
        <v/>
      </c>
      <c r="P540" s="13">
        <f>IFERROR(O540/N540,"")</f>
        <v/>
      </c>
      <c r="Q540" s="13">
        <f>CHAIN_RAW!I540</f>
        <v/>
      </c>
      <c r="R540" s="13">
        <f>CHAIN_RAW!P540</f>
        <v/>
      </c>
      <c r="S540" s="13">
        <f>IFERROR(R540/Q540,"")</f>
        <v/>
      </c>
      <c r="T540" s="13">
        <f>IFERROR((ABS(N540-O540)/MAX(1,(N540+O540)))*EXP(-ABS(E540-CONTROL!E5)/MAX(1,CONTROL!B8)),"")</f>
        <v/>
      </c>
      <c r="U540" s="13">
        <f>IFERROR(IF(O540&gt;N540,"SUPPORT (PE OI)","RESIST (CE OI)"),"")</f>
        <v/>
      </c>
      <c r="V540" s="13">
        <f>IFERROR(IF(Q540&gt;0,IF(R540&gt;0,"BOTH_ADD","CE_ADD_PE_REDUCE"),IF(R540&gt;0,"CE_REDUCE_PE_ADD","BOTH_REDUCE")),"")</f>
        <v/>
      </c>
      <c r="W540" s="13">
        <f>IFERROR( (P540-1)*0.5 + (M540)*0.1 - (I540+J540)*0.05 + T540*0.4 ,"")</f>
        <v/>
      </c>
      <c r="X540" s="13">
        <f>IFERROR(IF(ABS(F540)&lt;0.01,"ATM/NEAR",""),"")</f>
        <v/>
      </c>
    </row>
    <row r="541">
      <c r="A541" s="13">
        <f>CHAIN_RAW!A541</f>
        <v/>
      </c>
      <c r="B541" s="14">
        <f>CHAIN_RAW!B541</f>
        <v/>
      </c>
      <c r="C541" s="13">
        <f>CHAIN_RAW!C541</f>
        <v/>
      </c>
      <c r="D541" s="13">
        <f>CHAIN_RAW!D541</f>
        <v/>
      </c>
      <c r="E541" s="13">
        <f>CHAIN_RAW!E541</f>
        <v/>
      </c>
      <c r="F541" s="13">
        <f>IFERROR((E541-D541)/D541,"")</f>
        <v/>
      </c>
      <c r="G541" s="13">
        <f>IFERROR((CHAIN_RAW!K541+CHAIN_RAW!L541)/2,"")</f>
        <v/>
      </c>
      <c r="H541" s="13">
        <f>IFERROR((CHAIN_RAW!R541+CHAIN_RAW!S541)/2,"")</f>
        <v/>
      </c>
      <c r="I541" s="13">
        <f>IFERROR((CHAIN_RAW!L541-CHAIN_RAW!K541)/MAX(1E-9, G541),"")</f>
        <v/>
      </c>
      <c r="J541" s="13">
        <f>IFERROR((CHAIN_RAW!S541-CHAIN_RAW!R541)/MAX(1E-9, H541),"")</f>
        <v/>
      </c>
      <c r="K541" s="13">
        <f>CHAIN_RAW!G541</f>
        <v/>
      </c>
      <c r="L541" s="13">
        <f>CHAIN_RAW!N541</f>
        <v/>
      </c>
      <c r="M541" s="13">
        <f>IFERROR(L541-K541,"")</f>
        <v/>
      </c>
      <c r="N541" s="13">
        <f>CHAIN_RAW!H541</f>
        <v/>
      </c>
      <c r="O541" s="13">
        <f>CHAIN_RAW!O541</f>
        <v/>
      </c>
      <c r="P541" s="13">
        <f>IFERROR(O541/N541,"")</f>
        <v/>
      </c>
      <c r="Q541" s="13">
        <f>CHAIN_RAW!I541</f>
        <v/>
      </c>
      <c r="R541" s="13">
        <f>CHAIN_RAW!P541</f>
        <v/>
      </c>
      <c r="S541" s="13">
        <f>IFERROR(R541/Q541,"")</f>
        <v/>
      </c>
      <c r="T541" s="13">
        <f>IFERROR((ABS(N541-O541)/MAX(1,(N541+O541)))*EXP(-ABS(E541-CONTROL!E5)/MAX(1,CONTROL!B8)),"")</f>
        <v/>
      </c>
      <c r="U541" s="13">
        <f>IFERROR(IF(O541&gt;N541,"SUPPORT (PE OI)","RESIST (CE OI)"),"")</f>
        <v/>
      </c>
      <c r="V541" s="13">
        <f>IFERROR(IF(Q541&gt;0,IF(R541&gt;0,"BOTH_ADD","CE_ADD_PE_REDUCE"),IF(R541&gt;0,"CE_REDUCE_PE_ADD","BOTH_REDUCE")),"")</f>
        <v/>
      </c>
      <c r="W541" s="13">
        <f>IFERROR( (P541-1)*0.5 + (M541)*0.1 - (I541+J541)*0.05 + T541*0.4 ,"")</f>
        <v/>
      </c>
      <c r="X541" s="13">
        <f>IFERROR(IF(ABS(F541)&lt;0.01,"ATM/NEAR",""),"")</f>
        <v/>
      </c>
    </row>
    <row r="542">
      <c r="A542" s="13">
        <f>CHAIN_RAW!A542</f>
        <v/>
      </c>
      <c r="B542" s="14">
        <f>CHAIN_RAW!B542</f>
        <v/>
      </c>
      <c r="C542" s="13">
        <f>CHAIN_RAW!C542</f>
        <v/>
      </c>
      <c r="D542" s="13">
        <f>CHAIN_RAW!D542</f>
        <v/>
      </c>
      <c r="E542" s="13">
        <f>CHAIN_RAW!E542</f>
        <v/>
      </c>
      <c r="F542" s="13">
        <f>IFERROR((E542-D542)/D542,"")</f>
        <v/>
      </c>
      <c r="G542" s="13">
        <f>IFERROR((CHAIN_RAW!K542+CHAIN_RAW!L542)/2,"")</f>
        <v/>
      </c>
      <c r="H542" s="13">
        <f>IFERROR((CHAIN_RAW!R542+CHAIN_RAW!S542)/2,"")</f>
        <v/>
      </c>
      <c r="I542" s="13">
        <f>IFERROR((CHAIN_RAW!L542-CHAIN_RAW!K542)/MAX(1E-9, G542),"")</f>
        <v/>
      </c>
      <c r="J542" s="13">
        <f>IFERROR((CHAIN_RAW!S542-CHAIN_RAW!R542)/MAX(1E-9, H542),"")</f>
        <v/>
      </c>
      <c r="K542" s="13">
        <f>CHAIN_RAW!G542</f>
        <v/>
      </c>
      <c r="L542" s="13">
        <f>CHAIN_RAW!N542</f>
        <v/>
      </c>
      <c r="M542" s="13">
        <f>IFERROR(L542-K542,"")</f>
        <v/>
      </c>
      <c r="N542" s="13">
        <f>CHAIN_RAW!H542</f>
        <v/>
      </c>
      <c r="O542" s="13">
        <f>CHAIN_RAW!O542</f>
        <v/>
      </c>
      <c r="P542" s="13">
        <f>IFERROR(O542/N542,"")</f>
        <v/>
      </c>
      <c r="Q542" s="13">
        <f>CHAIN_RAW!I542</f>
        <v/>
      </c>
      <c r="R542" s="13">
        <f>CHAIN_RAW!P542</f>
        <v/>
      </c>
      <c r="S542" s="13">
        <f>IFERROR(R542/Q542,"")</f>
        <v/>
      </c>
      <c r="T542" s="13">
        <f>IFERROR((ABS(N542-O542)/MAX(1,(N542+O542)))*EXP(-ABS(E542-CONTROL!E5)/MAX(1,CONTROL!B8)),"")</f>
        <v/>
      </c>
      <c r="U542" s="13">
        <f>IFERROR(IF(O542&gt;N542,"SUPPORT (PE OI)","RESIST (CE OI)"),"")</f>
        <v/>
      </c>
      <c r="V542" s="13">
        <f>IFERROR(IF(Q542&gt;0,IF(R542&gt;0,"BOTH_ADD","CE_ADD_PE_REDUCE"),IF(R542&gt;0,"CE_REDUCE_PE_ADD","BOTH_REDUCE")),"")</f>
        <v/>
      </c>
      <c r="W542" s="13">
        <f>IFERROR( (P542-1)*0.5 + (M542)*0.1 - (I542+J542)*0.05 + T542*0.4 ,"")</f>
        <v/>
      </c>
      <c r="X542" s="13">
        <f>IFERROR(IF(ABS(F542)&lt;0.01,"ATM/NEAR",""),"")</f>
        <v/>
      </c>
    </row>
    <row r="543">
      <c r="A543" s="13">
        <f>CHAIN_RAW!A543</f>
        <v/>
      </c>
      <c r="B543" s="14">
        <f>CHAIN_RAW!B543</f>
        <v/>
      </c>
      <c r="C543" s="13">
        <f>CHAIN_RAW!C543</f>
        <v/>
      </c>
      <c r="D543" s="13">
        <f>CHAIN_RAW!D543</f>
        <v/>
      </c>
      <c r="E543" s="13">
        <f>CHAIN_RAW!E543</f>
        <v/>
      </c>
      <c r="F543" s="13">
        <f>IFERROR((E543-D543)/D543,"")</f>
        <v/>
      </c>
      <c r="G543" s="13">
        <f>IFERROR((CHAIN_RAW!K543+CHAIN_RAW!L543)/2,"")</f>
        <v/>
      </c>
      <c r="H543" s="13">
        <f>IFERROR((CHAIN_RAW!R543+CHAIN_RAW!S543)/2,"")</f>
        <v/>
      </c>
      <c r="I543" s="13">
        <f>IFERROR((CHAIN_RAW!L543-CHAIN_RAW!K543)/MAX(1E-9, G543),"")</f>
        <v/>
      </c>
      <c r="J543" s="13">
        <f>IFERROR((CHAIN_RAW!S543-CHAIN_RAW!R543)/MAX(1E-9, H543),"")</f>
        <v/>
      </c>
      <c r="K543" s="13">
        <f>CHAIN_RAW!G543</f>
        <v/>
      </c>
      <c r="L543" s="13">
        <f>CHAIN_RAW!N543</f>
        <v/>
      </c>
      <c r="M543" s="13">
        <f>IFERROR(L543-K543,"")</f>
        <v/>
      </c>
      <c r="N543" s="13">
        <f>CHAIN_RAW!H543</f>
        <v/>
      </c>
      <c r="O543" s="13">
        <f>CHAIN_RAW!O543</f>
        <v/>
      </c>
      <c r="P543" s="13">
        <f>IFERROR(O543/N543,"")</f>
        <v/>
      </c>
      <c r="Q543" s="13">
        <f>CHAIN_RAW!I543</f>
        <v/>
      </c>
      <c r="R543" s="13">
        <f>CHAIN_RAW!P543</f>
        <v/>
      </c>
      <c r="S543" s="13">
        <f>IFERROR(R543/Q543,"")</f>
        <v/>
      </c>
      <c r="T543" s="13">
        <f>IFERROR((ABS(N543-O543)/MAX(1,(N543+O543)))*EXP(-ABS(E543-CONTROL!E5)/MAX(1,CONTROL!B8)),"")</f>
        <v/>
      </c>
      <c r="U543" s="13">
        <f>IFERROR(IF(O543&gt;N543,"SUPPORT (PE OI)","RESIST (CE OI)"),"")</f>
        <v/>
      </c>
      <c r="V543" s="13">
        <f>IFERROR(IF(Q543&gt;0,IF(R543&gt;0,"BOTH_ADD","CE_ADD_PE_REDUCE"),IF(R543&gt;0,"CE_REDUCE_PE_ADD","BOTH_REDUCE")),"")</f>
        <v/>
      </c>
      <c r="W543" s="13">
        <f>IFERROR( (P543-1)*0.5 + (M543)*0.1 - (I543+J543)*0.05 + T543*0.4 ,"")</f>
        <v/>
      </c>
      <c r="X543" s="13">
        <f>IFERROR(IF(ABS(F543)&lt;0.01,"ATM/NEAR",""),"")</f>
        <v/>
      </c>
    </row>
    <row r="544">
      <c r="A544" s="13">
        <f>CHAIN_RAW!A544</f>
        <v/>
      </c>
      <c r="B544" s="14">
        <f>CHAIN_RAW!B544</f>
        <v/>
      </c>
      <c r="C544" s="13">
        <f>CHAIN_RAW!C544</f>
        <v/>
      </c>
      <c r="D544" s="13">
        <f>CHAIN_RAW!D544</f>
        <v/>
      </c>
      <c r="E544" s="13">
        <f>CHAIN_RAW!E544</f>
        <v/>
      </c>
      <c r="F544" s="13">
        <f>IFERROR((E544-D544)/D544,"")</f>
        <v/>
      </c>
      <c r="G544" s="13">
        <f>IFERROR((CHAIN_RAW!K544+CHAIN_RAW!L544)/2,"")</f>
        <v/>
      </c>
      <c r="H544" s="13">
        <f>IFERROR((CHAIN_RAW!R544+CHAIN_RAW!S544)/2,"")</f>
        <v/>
      </c>
      <c r="I544" s="13">
        <f>IFERROR((CHAIN_RAW!L544-CHAIN_RAW!K544)/MAX(1E-9, G544),"")</f>
        <v/>
      </c>
      <c r="J544" s="13">
        <f>IFERROR((CHAIN_RAW!S544-CHAIN_RAW!R544)/MAX(1E-9, H544),"")</f>
        <v/>
      </c>
      <c r="K544" s="13">
        <f>CHAIN_RAW!G544</f>
        <v/>
      </c>
      <c r="L544" s="13">
        <f>CHAIN_RAW!N544</f>
        <v/>
      </c>
      <c r="M544" s="13">
        <f>IFERROR(L544-K544,"")</f>
        <v/>
      </c>
      <c r="N544" s="13">
        <f>CHAIN_RAW!H544</f>
        <v/>
      </c>
      <c r="O544" s="13">
        <f>CHAIN_RAW!O544</f>
        <v/>
      </c>
      <c r="P544" s="13">
        <f>IFERROR(O544/N544,"")</f>
        <v/>
      </c>
      <c r="Q544" s="13">
        <f>CHAIN_RAW!I544</f>
        <v/>
      </c>
      <c r="R544" s="13">
        <f>CHAIN_RAW!P544</f>
        <v/>
      </c>
      <c r="S544" s="13">
        <f>IFERROR(R544/Q544,"")</f>
        <v/>
      </c>
      <c r="T544" s="13">
        <f>IFERROR((ABS(N544-O544)/MAX(1,(N544+O544)))*EXP(-ABS(E544-CONTROL!E5)/MAX(1,CONTROL!B8)),"")</f>
        <v/>
      </c>
      <c r="U544" s="13">
        <f>IFERROR(IF(O544&gt;N544,"SUPPORT (PE OI)","RESIST (CE OI)"),"")</f>
        <v/>
      </c>
      <c r="V544" s="13">
        <f>IFERROR(IF(Q544&gt;0,IF(R544&gt;0,"BOTH_ADD","CE_ADD_PE_REDUCE"),IF(R544&gt;0,"CE_REDUCE_PE_ADD","BOTH_REDUCE")),"")</f>
        <v/>
      </c>
      <c r="W544" s="13">
        <f>IFERROR( (P544-1)*0.5 + (M544)*0.1 - (I544+J544)*0.05 + T544*0.4 ,"")</f>
        <v/>
      </c>
      <c r="X544" s="13">
        <f>IFERROR(IF(ABS(F544)&lt;0.01,"ATM/NEAR",""),"")</f>
        <v/>
      </c>
    </row>
    <row r="545">
      <c r="A545" s="13">
        <f>CHAIN_RAW!A545</f>
        <v/>
      </c>
      <c r="B545" s="14">
        <f>CHAIN_RAW!B545</f>
        <v/>
      </c>
      <c r="C545" s="13">
        <f>CHAIN_RAW!C545</f>
        <v/>
      </c>
      <c r="D545" s="13">
        <f>CHAIN_RAW!D545</f>
        <v/>
      </c>
      <c r="E545" s="13">
        <f>CHAIN_RAW!E545</f>
        <v/>
      </c>
      <c r="F545" s="13">
        <f>IFERROR((E545-D545)/D545,"")</f>
        <v/>
      </c>
      <c r="G545" s="13">
        <f>IFERROR((CHAIN_RAW!K545+CHAIN_RAW!L545)/2,"")</f>
        <v/>
      </c>
      <c r="H545" s="13">
        <f>IFERROR((CHAIN_RAW!R545+CHAIN_RAW!S545)/2,"")</f>
        <v/>
      </c>
      <c r="I545" s="13">
        <f>IFERROR((CHAIN_RAW!L545-CHAIN_RAW!K545)/MAX(1E-9, G545),"")</f>
        <v/>
      </c>
      <c r="J545" s="13">
        <f>IFERROR((CHAIN_RAW!S545-CHAIN_RAW!R545)/MAX(1E-9, H545),"")</f>
        <v/>
      </c>
      <c r="K545" s="13">
        <f>CHAIN_RAW!G545</f>
        <v/>
      </c>
      <c r="L545" s="13">
        <f>CHAIN_RAW!N545</f>
        <v/>
      </c>
      <c r="M545" s="13">
        <f>IFERROR(L545-K545,"")</f>
        <v/>
      </c>
      <c r="N545" s="13">
        <f>CHAIN_RAW!H545</f>
        <v/>
      </c>
      <c r="O545" s="13">
        <f>CHAIN_RAW!O545</f>
        <v/>
      </c>
      <c r="P545" s="13">
        <f>IFERROR(O545/N545,"")</f>
        <v/>
      </c>
      <c r="Q545" s="13">
        <f>CHAIN_RAW!I545</f>
        <v/>
      </c>
      <c r="R545" s="13">
        <f>CHAIN_RAW!P545</f>
        <v/>
      </c>
      <c r="S545" s="13">
        <f>IFERROR(R545/Q545,"")</f>
        <v/>
      </c>
      <c r="T545" s="13">
        <f>IFERROR((ABS(N545-O545)/MAX(1,(N545+O545)))*EXP(-ABS(E545-CONTROL!E5)/MAX(1,CONTROL!B8)),"")</f>
        <v/>
      </c>
      <c r="U545" s="13">
        <f>IFERROR(IF(O545&gt;N545,"SUPPORT (PE OI)","RESIST (CE OI)"),"")</f>
        <v/>
      </c>
      <c r="V545" s="13">
        <f>IFERROR(IF(Q545&gt;0,IF(R545&gt;0,"BOTH_ADD","CE_ADD_PE_REDUCE"),IF(R545&gt;0,"CE_REDUCE_PE_ADD","BOTH_REDUCE")),"")</f>
        <v/>
      </c>
      <c r="W545" s="13">
        <f>IFERROR( (P545-1)*0.5 + (M545)*0.1 - (I545+J545)*0.05 + T545*0.4 ,"")</f>
        <v/>
      </c>
      <c r="X545" s="13">
        <f>IFERROR(IF(ABS(F545)&lt;0.01,"ATM/NEAR",""),"")</f>
        <v/>
      </c>
    </row>
    <row r="546">
      <c r="A546" s="13">
        <f>CHAIN_RAW!A546</f>
        <v/>
      </c>
      <c r="B546" s="14">
        <f>CHAIN_RAW!B546</f>
        <v/>
      </c>
      <c r="C546" s="13">
        <f>CHAIN_RAW!C546</f>
        <v/>
      </c>
      <c r="D546" s="13">
        <f>CHAIN_RAW!D546</f>
        <v/>
      </c>
      <c r="E546" s="13">
        <f>CHAIN_RAW!E546</f>
        <v/>
      </c>
      <c r="F546" s="13">
        <f>IFERROR((E546-D546)/D546,"")</f>
        <v/>
      </c>
      <c r="G546" s="13">
        <f>IFERROR((CHAIN_RAW!K546+CHAIN_RAW!L546)/2,"")</f>
        <v/>
      </c>
      <c r="H546" s="13">
        <f>IFERROR((CHAIN_RAW!R546+CHAIN_RAW!S546)/2,"")</f>
        <v/>
      </c>
      <c r="I546" s="13">
        <f>IFERROR((CHAIN_RAW!L546-CHAIN_RAW!K546)/MAX(1E-9, G546),"")</f>
        <v/>
      </c>
      <c r="J546" s="13">
        <f>IFERROR((CHAIN_RAW!S546-CHAIN_RAW!R546)/MAX(1E-9, H546),"")</f>
        <v/>
      </c>
      <c r="K546" s="13">
        <f>CHAIN_RAW!G546</f>
        <v/>
      </c>
      <c r="L546" s="13">
        <f>CHAIN_RAW!N546</f>
        <v/>
      </c>
      <c r="M546" s="13">
        <f>IFERROR(L546-K546,"")</f>
        <v/>
      </c>
      <c r="N546" s="13">
        <f>CHAIN_RAW!H546</f>
        <v/>
      </c>
      <c r="O546" s="13">
        <f>CHAIN_RAW!O546</f>
        <v/>
      </c>
      <c r="P546" s="13">
        <f>IFERROR(O546/N546,"")</f>
        <v/>
      </c>
      <c r="Q546" s="13">
        <f>CHAIN_RAW!I546</f>
        <v/>
      </c>
      <c r="R546" s="13">
        <f>CHAIN_RAW!P546</f>
        <v/>
      </c>
      <c r="S546" s="13">
        <f>IFERROR(R546/Q546,"")</f>
        <v/>
      </c>
      <c r="T546" s="13">
        <f>IFERROR((ABS(N546-O546)/MAX(1,(N546+O546)))*EXP(-ABS(E546-CONTROL!E5)/MAX(1,CONTROL!B8)),"")</f>
        <v/>
      </c>
      <c r="U546" s="13">
        <f>IFERROR(IF(O546&gt;N546,"SUPPORT (PE OI)","RESIST (CE OI)"),"")</f>
        <v/>
      </c>
      <c r="V546" s="13">
        <f>IFERROR(IF(Q546&gt;0,IF(R546&gt;0,"BOTH_ADD","CE_ADD_PE_REDUCE"),IF(R546&gt;0,"CE_REDUCE_PE_ADD","BOTH_REDUCE")),"")</f>
        <v/>
      </c>
      <c r="W546" s="13">
        <f>IFERROR( (P546-1)*0.5 + (M546)*0.1 - (I546+J546)*0.05 + T546*0.4 ,"")</f>
        <v/>
      </c>
      <c r="X546" s="13">
        <f>IFERROR(IF(ABS(F546)&lt;0.01,"ATM/NEAR",""),"")</f>
        <v/>
      </c>
    </row>
    <row r="547">
      <c r="A547" s="13">
        <f>CHAIN_RAW!A547</f>
        <v/>
      </c>
      <c r="B547" s="14">
        <f>CHAIN_RAW!B547</f>
        <v/>
      </c>
      <c r="C547" s="13">
        <f>CHAIN_RAW!C547</f>
        <v/>
      </c>
      <c r="D547" s="13">
        <f>CHAIN_RAW!D547</f>
        <v/>
      </c>
      <c r="E547" s="13">
        <f>CHAIN_RAW!E547</f>
        <v/>
      </c>
      <c r="F547" s="13">
        <f>IFERROR((E547-D547)/D547,"")</f>
        <v/>
      </c>
      <c r="G547" s="13">
        <f>IFERROR((CHAIN_RAW!K547+CHAIN_RAW!L547)/2,"")</f>
        <v/>
      </c>
      <c r="H547" s="13">
        <f>IFERROR((CHAIN_RAW!R547+CHAIN_RAW!S547)/2,"")</f>
        <v/>
      </c>
      <c r="I547" s="13">
        <f>IFERROR((CHAIN_RAW!L547-CHAIN_RAW!K547)/MAX(1E-9, G547),"")</f>
        <v/>
      </c>
      <c r="J547" s="13">
        <f>IFERROR((CHAIN_RAW!S547-CHAIN_RAW!R547)/MAX(1E-9, H547),"")</f>
        <v/>
      </c>
      <c r="K547" s="13">
        <f>CHAIN_RAW!G547</f>
        <v/>
      </c>
      <c r="L547" s="13">
        <f>CHAIN_RAW!N547</f>
        <v/>
      </c>
      <c r="M547" s="13">
        <f>IFERROR(L547-K547,"")</f>
        <v/>
      </c>
      <c r="N547" s="13">
        <f>CHAIN_RAW!H547</f>
        <v/>
      </c>
      <c r="O547" s="13">
        <f>CHAIN_RAW!O547</f>
        <v/>
      </c>
      <c r="P547" s="13">
        <f>IFERROR(O547/N547,"")</f>
        <v/>
      </c>
      <c r="Q547" s="13">
        <f>CHAIN_RAW!I547</f>
        <v/>
      </c>
      <c r="R547" s="13">
        <f>CHAIN_RAW!P547</f>
        <v/>
      </c>
      <c r="S547" s="13">
        <f>IFERROR(R547/Q547,"")</f>
        <v/>
      </c>
      <c r="T547" s="13">
        <f>IFERROR((ABS(N547-O547)/MAX(1,(N547+O547)))*EXP(-ABS(E547-CONTROL!E5)/MAX(1,CONTROL!B8)),"")</f>
        <v/>
      </c>
      <c r="U547" s="13">
        <f>IFERROR(IF(O547&gt;N547,"SUPPORT (PE OI)","RESIST (CE OI)"),"")</f>
        <v/>
      </c>
      <c r="V547" s="13">
        <f>IFERROR(IF(Q547&gt;0,IF(R547&gt;0,"BOTH_ADD","CE_ADD_PE_REDUCE"),IF(R547&gt;0,"CE_REDUCE_PE_ADD","BOTH_REDUCE")),"")</f>
        <v/>
      </c>
      <c r="W547" s="13">
        <f>IFERROR( (P547-1)*0.5 + (M547)*0.1 - (I547+J547)*0.05 + T547*0.4 ,"")</f>
        <v/>
      </c>
      <c r="X547" s="13">
        <f>IFERROR(IF(ABS(F547)&lt;0.01,"ATM/NEAR",""),"")</f>
        <v/>
      </c>
    </row>
    <row r="548">
      <c r="A548" s="13">
        <f>CHAIN_RAW!A548</f>
        <v/>
      </c>
      <c r="B548" s="14">
        <f>CHAIN_RAW!B548</f>
        <v/>
      </c>
      <c r="C548" s="13">
        <f>CHAIN_RAW!C548</f>
        <v/>
      </c>
      <c r="D548" s="13">
        <f>CHAIN_RAW!D548</f>
        <v/>
      </c>
      <c r="E548" s="13">
        <f>CHAIN_RAW!E548</f>
        <v/>
      </c>
      <c r="F548" s="13">
        <f>IFERROR((E548-D548)/D548,"")</f>
        <v/>
      </c>
      <c r="G548" s="13">
        <f>IFERROR((CHAIN_RAW!K548+CHAIN_RAW!L548)/2,"")</f>
        <v/>
      </c>
      <c r="H548" s="13">
        <f>IFERROR((CHAIN_RAW!R548+CHAIN_RAW!S548)/2,"")</f>
        <v/>
      </c>
      <c r="I548" s="13">
        <f>IFERROR((CHAIN_RAW!L548-CHAIN_RAW!K548)/MAX(1E-9, G548),"")</f>
        <v/>
      </c>
      <c r="J548" s="13">
        <f>IFERROR((CHAIN_RAW!S548-CHAIN_RAW!R548)/MAX(1E-9, H548),"")</f>
        <v/>
      </c>
      <c r="K548" s="13">
        <f>CHAIN_RAW!G548</f>
        <v/>
      </c>
      <c r="L548" s="13">
        <f>CHAIN_RAW!N548</f>
        <v/>
      </c>
      <c r="M548" s="13">
        <f>IFERROR(L548-K548,"")</f>
        <v/>
      </c>
      <c r="N548" s="13">
        <f>CHAIN_RAW!H548</f>
        <v/>
      </c>
      <c r="O548" s="13">
        <f>CHAIN_RAW!O548</f>
        <v/>
      </c>
      <c r="P548" s="13">
        <f>IFERROR(O548/N548,"")</f>
        <v/>
      </c>
      <c r="Q548" s="13">
        <f>CHAIN_RAW!I548</f>
        <v/>
      </c>
      <c r="R548" s="13">
        <f>CHAIN_RAW!P548</f>
        <v/>
      </c>
      <c r="S548" s="13">
        <f>IFERROR(R548/Q548,"")</f>
        <v/>
      </c>
      <c r="T548" s="13">
        <f>IFERROR((ABS(N548-O548)/MAX(1,(N548+O548)))*EXP(-ABS(E548-CONTROL!E5)/MAX(1,CONTROL!B8)),"")</f>
        <v/>
      </c>
      <c r="U548" s="13">
        <f>IFERROR(IF(O548&gt;N548,"SUPPORT (PE OI)","RESIST (CE OI)"),"")</f>
        <v/>
      </c>
      <c r="V548" s="13">
        <f>IFERROR(IF(Q548&gt;0,IF(R548&gt;0,"BOTH_ADD","CE_ADD_PE_REDUCE"),IF(R548&gt;0,"CE_REDUCE_PE_ADD","BOTH_REDUCE")),"")</f>
        <v/>
      </c>
      <c r="W548" s="13">
        <f>IFERROR( (P548-1)*0.5 + (M548)*0.1 - (I548+J548)*0.05 + T548*0.4 ,"")</f>
        <v/>
      </c>
      <c r="X548" s="13">
        <f>IFERROR(IF(ABS(F548)&lt;0.01,"ATM/NEAR",""),"")</f>
        <v/>
      </c>
    </row>
    <row r="549">
      <c r="A549" s="13">
        <f>CHAIN_RAW!A549</f>
        <v/>
      </c>
      <c r="B549" s="14">
        <f>CHAIN_RAW!B549</f>
        <v/>
      </c>
      <c r="C549" s="13">
        <f>CHAIN_RAW!C549</f>
        <v/>
      </c>
      <c r="D549" s="13">
        <f>CHAIN_RAW!D549</f>
        <v/>
      </c>
      <c r="E549" s="13">
        <f>CHAIN_RAW!E549</f>
        <v/>
      </c>
      <c r="F549" s="13">
        <f>IFERROR((E549-D549)/D549,"")</f>
        <v/>
      </c>
      <c r="G549" s="13">
        <f>IFERROR((CHAIN_RAW!K549+CHAIN_RAW!L549)/2,"")</f>
        <v/>
      </c>
      <c r="H549" s="13">
        <f>IFERROR((CHAIN_RAW!R549+CHAIN_RAW!S549)/2,"")</f>
        <v/>
      </c>
      <c r="I549" s="13">
        <f>IFERROR((CHAIN_RAW!L549-CHAIN_RAW!K549)/MAX(1E-9, G549),"")</f>
        <v/>
      </c>
      <c r="J549" s="13">
        <f>IFERROR((CHAIN_RAW!S549-CHAIN_RAW!R549)/MAX(1E-9, H549),"")</f>
        <v/>
      </c>
      <c r="K549" s="13">
        <f>CHAIN_RAW!G549</f>
        <v/>
      </c>
      <c r="L549" s="13">
        <f>CHAIN_RAW!N549</f>
        <v/>
      </c>
      <c r="M549" s="13">
        <f>IFERROR(L549-K549,"")</f>
        <v/>
      </c>
      <c r="N549" s="13">
        <f>CHAIN_RAW!H549</f>
        <v/>
      </c>
      <c r="O549" s="13">
        <f>CHAIN_RAW!O549</f>
        <v/>
      </c>
      <c r="P549" s="13">
        <f>IFERROR(O549/N549,"")</f>
        <v/>
      </c>
      <c r="Q549" s="13">
        <f>CHAIN_RAW!I549</f>
        <v/>
      </c>
      <c r="R549" s="13">
        <f>CHAIN_RAW!P549</f>
        <v/>
      </c>
      <c r="S549" s="13">
        <f>IFERROR(R549/Q549,"")</f>
        <v/>
      </c>
      <c r="T549" s="13">
        <f>IFERROR((ABS(N549-O549)/MAX(1,(N549+O549)))*EXP(-ABS(E549-CONTROL!E5)/MAX(1,CONTROL!B8)),"")</f>
        <v/>
      </c>
      <c r="U549" s="13">
        <f>IFERROR(IF(O549&gt;N549,"SUPPORT (PE OI)","RESIST (CE OI)"),"")</f>
        <v/>
      </c>
      <c r="V549" s="13">
        <f>IFERROR(IF(Q549&gt;0,IF(R549&gt;0,"BOTH_ADD","CE_ADD_PE_REDUCE"),IF(R549&gt;0,"CE_REDUCE_PE_ADD","BOTH_REDUCE")),"")</f>
        <v/>
      </c>
      <c r="W549" s="13">
        <f>IFERROR( (P549-1)*0.5 + (M549)*0.1 - (I549+J549)*0.05 + T549*0.4 ,"")</f>
        <v/>
      </c>
      <c r="X549" s="13">
        <f>IFERROR(IF(ABS(F549)&lt;0.01,"ATM/NEAR",""),"")</f>
        <v/>
      </c>
    </row>
    <row r="550">
      <c r="A550" s="13">
        <f>CHAIN_RAW!A550</f>
        <v/>
      </c>
      <c r="B550" s="14">
        <f>CHAIN_RAW!B550</f>
        <v/>
      </c>
      <c r="C550" s="13">
        <f>CHAIN_RAW!C550</f>
        <v/>
      </c>
      <c r="D550" s="13">
        <f>CHAIN_RAW!D550</f>
        <v/>
      </c>
      <c r="E550" s="13">
        <f>CHAIN_RAW!E550</f>
        <v/>
      </c>
      <c r="F550" s="13">
        <f>IFERROR((E550-D550)/D550,"")</f>
        <v/>
      </c>
      <c r="G550" s="13">
        <f>IFERROR((CHAIN_RAW!K550+CHAIN_RAW!L550)/2,"")</f>
        <v/>
      </c>
      <c r="H550" s="13">
        <f>IFERROR((CHAIN_RAW!R550+CHAIN_RAW!S550)/2,"")</f>
        <v/>
      </c>
      <c r="I550" s="13">
        <f>IFERROR((CHAIN_RAW!L550-CHAIN_RAW!K550)/MAX(1E-9, G550),"")</f>
        <v/>
      </c>
      <c r="J550" s="13">
        <f>IFERROR((CHAIN_RAW!S550-CHAIN_RAW!R550)/MAX(1E-9, H550),"")</f>
        <v/>
      </c>
      <c r="K550" s="13">
        <f>CHAIN_RAW!G550</f>
        <v/>
      </c>
      <c r="L550" s="13">
        <f>CHAIN_RAW!N550</f>
        <v/>
      </c>
      <c r="M550" s="13">
        <f>IFERROR(L550-K550,"")</f>
        <v/>
      </c>
      <c r="N550" s="13">
        <f>CHAIN_RAW!H550</f>
        <v/>
      </c>
      <c r="O550" s="13">
        <f>CHAIN_RAW!O550</f>
        <v/>
      </c>
      <c r="P550" s="13">
        <f>IFERROR(O550/N550,"")</f>
        <v/>
      </c>
      <c r="Q550" s="13">
        <f>CHAIN_RAW!I550</f>
        <v/>
      </c>
      <c r="R550" s="13">
        <f>CHAIN_RAW!P550</f>
        <v/>
      </c>
      <c r="S550" s="13">
        <f>IFERROR(R550/Q550,"")</f>
        <v/>
      </c>
      <c r="T550" s="13">
        <f>IFERROR((ABS(N550-O550)/MAX(1,(N550+O550)))*EXP(-ABS(E550-CONTROL!E5)/MAX(1,CONTROL!B8)),"")</f>
        <v/>
      </c>
      <c r="U550" s="13">
        <f>IFERROR(IF(O550&gt;N550,"SUPPORT (PE OI)","RESIST (CE OI)"),"")</f>
        <v/>
      </c>
      <c r="V550" s="13">
        <f>IFERROR(IF(Q550&gt;0,IF(R550&gt;0,"BOTH_ADD","CE_ADD_PE_REDUCE"),IF(R550&gt;0,"CE_REDUCE_PE_ADD","BOTH_REDUCE")),"")</f>
        <v/>
      </c>
      <c r="W550" s="13">
        <f>IFERROR( (P550-1)*0.5 + (M550)*0.1 - (I550+J550)*0.05 + T550*0.4 ,"")</f>
        <v/>
      </c>
      <c r="X550" s="13">
        <f>IFERROR(IF(ABS(F550)&lt;0.01,"ATM/NEAR",""),"")</f>
        <v/>
      </c>
    </row>
    <row r="551">
      <c r="A551" s="13">
        <f>CHAIN_RAW!A551</f>
        <v/>
      </c>
      <c r="B551" s="14">
        <f>CHAIN_RAW!B551</f>
        <v/>
      </c>
      <c r="C551" s="13">
        <f>CHAIN_RAW!C551</f>
        <v/>
      </c>
      <c r="D551" s="13">
        <f>CHAIN_RAW!D551</f>
        <v/>
      </c>
      <c r="E551" s="13">
        <f>CHAIN_RAW!E551</f>
        <v/>
      </c>
      <c r="F551" s="13">
        <f>IFERROR((E551-D551)/D551,"")</f>
        <v/>
      </c>
      <c r="G551" s="13">
        <f>IFERROR((CHAIN_RAW!K551+CHAIN_RAW!L551)/2,"")</f>
        <v/>
      </c>
      <c r="H551" s="13">
        <f>IFERROR((CHAIN_RAW!R551+CHAIN_RAW!S551)/2,"")</f>
        <v/>
      </c>
      <c r="I551" s="13">
        <f>IFERROR((CHAIN_RAW!L551-CHAIN_RAW!K551)/MAX(1E-9, G551),"")</f>
        <v/>
      </c>
      <c r="J551" s="13">
        <f>IFERROR((CHAIN_RAW!S551-CHAIN_RAW!R551)/MAX(1E-9, H551),"")</f>
        <v/>
      </c>
      <c r="K551" s="13">
        <f>CHAIN_RAW!G551</f>
        <v/>
      </c>
      <c r="L551" s="13">
        <f>CHAIN_RAW!N551</f>
        <v/>
      </c>
      <c r="M551" s="13">
        <f>IFERROR(L551-K551,"")</f>
        <v/>
      </c>
      <c r="N551" s="13">
        <f>CHAIN_RAW!H551</f>
        <v/>
      </c>
      <c r="O551" s="13">
        <f>CHAIN_RAW!O551</f>
        <v/>
      </c>
      <c r="P551" s="13">
        <f>IFERROR(O551/N551,"")</f>
        <v/>
      </c>
      <c r="Q551" s="13">
        <f>CHAIN_RAW!I551</f>
        <v/>
      </c>
      <c r="R551" s="13">
        <f>CHAIN_RAW!P551</f>
        <v/>
      </c>
      <c r="S551" s="13">
        <f>IFERROR(R551/Q551,"")</f>
        <v/>
      </c>
      <c r="T551" s="13">
        <f>IFERROR((ABS(N551-O551)/MAX(1,(N551+O551)))*EXP(-ABS(E551-CONTROL!E5)/MAX(1,CONTROL!B8)),"")</f>
        <v/>
      </c>
      <c r="U551" s="13">
        <f>IFERROR(IF(O551&gt;N551,"SUPPORT (PE OI)","RESIST (CE OI)"),"")</f>
        <v/>
      </c>
      <c r="V551" s="13">
        <f>IFERROR(IF(Q551&gt;0,IF(R551&gt;0,"BOTH_ADD","CE_ADD_PE_REDUCE"),IF(R551&gt;0,"CE_REDUCE_PE_ADD","BOTH_REDUCE")),"")</f>
        <v/>
      </c>
      <c r="W551" s="13">
        <f>IFERROR( (P551-1)*0.5 + (M551)*0.1 - (I551+J551)*0.05 + T551*0.4 ,"")</f>
        <v/>
      </c>
      <c r="X551" s="13">
        <f>IFERROR(IF(ABS(F551)&lt;0.01,"ATM/NEAR",""),"")</f>
        <v/>
      </c>
    </row>
    <row r="552">
      <c r="A552" s="13">
        <f>CHAIN_RAW!A552</f>
        <v/>
      </c>
      <c r="B552" s="14">
        <f>CHAIN_RAW!B552</f>
        <v/>
      </c>
      <c r="C552" s="13">
        <f>CHAIN_RAW!C552</f>
        <v/>
      </c>
      <c r="D552" s="13">
        <f>CHAIN_RAW!D552</f>
        <v/>
      </c>
      <c r="E552" s="13">
        <f>CHAIN_RAW!E552</f>
        <v/>
      </c>
      <c r="F552" s="13">
        <f>IFERROR((E552-D552)/D552,"")</f>
        <v/>
      </c>
      <c r="G552" s="13">
        <f>IFERROR((CHAIN_RAW!K552+CHAIN_RAW!L552)/2,"")</f>
        <v/>
      </c>
      <c r="H552" s="13">
        <f>IFERROR((CHAIN_RAW!R552+CHAIN_RAW!S552)/2,"")</f>
        <v/>
      </c>
      <c r="I552" s="13">
        <f>IFERROR((CHAIN_RAW!L552-CHAIN_RAW!K552)/MAX(1E-9, G552),"")</f>
        <v/>
      </c>
      <c r="J552" s="13">
        <f>IFERROR((CHAIN_RAW!S552-CHAIN_RAW!R552)/MAX(1E-9, H552),"")</f>
        <v/>
      </c>
      <c r="K552" s="13">
        <f>CHAIN_RAW!G552</f>
        <v/>
      </c>
      <c r="L552" s="13">
        <f>CHAIN_RAW!N552</f>
        <v/>
      </c>
      <c r="M552" s="13">
        <f>IFERROR(L552-K552,"")</f>
        <v/>
      </c>
      <c r="N552" s="13">
        <f>CHAIN_RAW!H552</f>
        <v/>
      </c>
      <c r="O552" s="13">
        <f>CHAIN_RAW!O552</f>
        <v/>
      </c>
      <c r="P552" s="13">
        <f>IFERROR(O552/N552,"")</f>
        <v/>
      </c>
      <c r="Q552" s="13">
        <f>CHAIN_RAW!I552</f>
        <v/>
      </c>
      <c r="R552" s="13">
        <f>CHAIN_RAW!P552</f>
        <v/>
      </c>
      <c r="S552" s="13">
        <f>IFERROR(R552/Q552,"")</f>
        <v/>
      </c>
      <c r="T552" s="13">
        <f>IFERROR((ABS(N552-O552)/MAX(1,(N552+O552)))*EXP(-ABS(E552-CONTROL!E5)/MAX(1,CONTROL!B8)),"")</f>
        <v/>
      </c>
      <c r="U552" s="13">
        <f>IFERROR(IF(O552&gt;N552,"SUPPORT (PE OI)","RESIST (CE OI)"),"")</f>
        <v/>
      </c>
      <c r="V552" s="13">
        <f>IFERROR(IF(Q552&gt;0,IF(R552&gt;0,"BOTH_ADD","CE_ADD_PE_REDUCE"),IF(R552&gt;0,"CE_REDUCE_PE_ADD","BOTH_REDUCE")),"")</f>
        <v/>
      </c>
      <c r="W552" s="13">
        <f>IFERROR( (P552-1)*0.5 + (M552)*0.1 - (I552+J552)*0.05 + T552*0.4 ,"")</f>
        <v/>
      </c>
      <c r="X552" s="13">
        <f>IFERROR(IF(ABS(F552)&lt;0.01,"ATM/NEAR",""),"")</f>
        <v/>
      </c>
    </row>
    <row r="553">
      <c r="A553" s="13">
        <f>CHAIN_RAW!A553</f>
        <v/>
      </c>
      <c r="B553" s="14">
        <f>CHAIN_RAW!B553</f>
        <v/>
      </c>
      <c r="C553" s="13">
        <f>CHAIN_RAW!C553</f>
        <v/>
      </c>
      <c r="D553" s="13">
        <f>CHAIN_RAW!D553</f>
        <v/>
      </c>
      <c r="E553" s="13">
        <f>CHAIN_RAW!E553</f>
        <v/>
      </c>
      <c r="F553" s="13">
        <f>IFERROR((E553-D553)/D553,"")</f>
        <v/>
      </c>
      <c r="G553" s="13">
        <f>IFERROR((CHAIN_RAW!K553+CHAIN_RAW!L553)/2,"")</f>
        <v/>
      </c>
      <c r="H553" s="13">
        <f>IFERROR((CHAIN_RAW!R553+CHAIN_RAW!S553)/2,"")</f>
        <v/>
      </c>
      <c r="I553" s="13">
        <f>IFERROR((CHAIN_RAW!L553-CHAIN_RAW!K553)/MAX(1E-9, G553),"")</f>
        <v/>
      </c>
      <c r="J553" s="13">
        <f>IFERROR((CHAIN_RAW!S553-CHAIN_RAW!R553)/MAX(1E-9, H553),"")</f>
        <v/>
      </c>
      <c r="K553" s="13">
        <f>CHAIN_RAW!G553</f>
        <v/>
      </c>
      <c r="L553" s="13">
        <f>CHAIN_RAW!N553</f>
        <v/>
      </c>
      <c r="M553" s="13">
        <f>IFERROR(L553-K553,"")</f>
        <v/>
      </c>
      <c r="N553" s="13">
        <f>CHAIN_RAW!H553</f>
        <v/>
      </c>
      <c r="O553" s="13">
        <f>CHAIN_RAW!O553</f>
        <v/>
      </c>
      <c r="P553" s="13">
        <f>IFERROR(O553/N553,"")</f>
        <v/>
      </c>
      <c r="Q553" s="13">
        <f>CHAIN_RAW!I553</f>
        <v/>
      </c>
      <c r="R553" s="13">
        <f>CHAIN_RAW!P553</f>
        <v/>
      </c>
      <c r="S553" s="13">
        <f>IFERROR(R553/Q553,"")</f>
        <v/>
      </c>
      <c r="T553" s="13">
        <f>IFERROR((ABS(N553-O553)/MAX(1,(N553+O553)))*EXP(-ABS(E553-CONTROL!E5)/MAX(1,CONTROL!B8)),"")</f>
        <v/>
      </c>
      <c r="U553" s="13">
        <f>IFERROR(IF(O553&gt;N553,"SUPPORT (PE OI)","RESIST (CE OI)"),"")</f>
        <v/>
      </c>
      <c r="V553" s="13">
        <f>IFERROR(IF(Q553&gt;0,IF(R553&gt;0,"BOTH_ADD","CE_ADD_PE_REDUCE"),IF(R553&gt;0,"CE_REDUCE_PE_ADD","BOTH_REDUCE")),"")</f>
        <v/>
      </c>
      <c r="W553" s="13">
        <f>IFERROR( (P553-1)*0.5 + (M553)*0.1 - (I553+J553)*0.05 + T553*0.4 ,"")</f>
        <v/>
      </c>
      <c r="X553" s="13">
        <f>IFERROR(IF(ABS(F553)&lt;0.01,"ATM/NEAR",""),"")</f>
        <v/>
      </c>
    </row>
    <row r="554">
      <c r="A554" s="13">
        <f>CHAIN_RAW!A554</f>
        <v/>
      </c>
      <c r="B554" s="14">
        <f>CHAIN_RAW!B554</f>
        <v/>
      </c>
      <c r="C554" s="13">
        <f>CHAIN_RAW!C554</f>
        <v/>
      </c>
      <c r="D554" s="13">
        <f>CHAIN_RAW!D554</f>
        <v/>
      </c>
      <c r="E554" s="13">
        <f>CHAIN_RAW!E554</f>
        <v/>
      </c>
      <c r="F554" s="13">
        <f>IFERROR((E554-D554)/D554,"")</f>
        <v/>
      </c>
      <c r="G554" s="13">
        <f>IFERROR((CHAIN_RAW!K554+CHAIN_RAW!L554)/2,"")</f>
        <v/>
      </c>
      <c r="H554" s="13">
        <f>IFERROR((CHAIN_RAW!R554+CHAIN_RAW!S554)/2,"")</f>
        <v/>
      </c>
      <c r="I554" s="13">
        <f>IFERROR((CHAIN_RAW!L554-CHAIN_RAW!K554)/MAX(1E-9, G554),"")</f>
        <v/>
      </c>
      <c r="J554" s="13">
        <f>IFERROR((CHAIN_RAW!S554-CHAIN_RAW!R554)/MAX(1E-9, H554),"")</f>
        <v/>
      </c>
      <c r="K554" s="13">
        <f>CHAIN_RAW!G554</f>
        <v/>
      </c>
      <c r="L554" s="13">
        <f>CHAIN_RAW!N554</f>
        <v/>
      </c>
      <c r="M554" s="13">
        <f>IFERROR(L554-K554,"")</f>
        <v/>
      </c>
      <c r="N554" s="13">
        <f>CHAIN_RAW!H554</f>
        <v/>
      </c>
      <c r="O554" s="13">
        <f>CHAIN_RAW!O554</f>
        <v/>
      </c>
      <c r="P554" s="13">
        <f>IFERROR(O554/N554,"")</f>
        <v/>
      </c>
      <c r="Q554" s="13">
        <f>CHAIN_RAW!I554</f>
        <v/>
      </c>
      <c r="R554" s="13">
        <f>CHAIN_RAW!P554</f>
        <v/>
      </c>
      <c r="S554" s="13">
        <f>IFERROR(R554/Q554,"")</f>
        <v/>
      </c>
      <c r="T554" s="13">
        <f>IFERROR((ABS(N554-O554)/MAX(1,(N554+O554)))*EXP(-ABS(E554-CONTROL!E5)/MAX(1,CONTROL!B8)),"")</f>
        <v/>
      </c>
      <c r="U554" s="13">
        <f>IFERROR(IF(O554&gt;N554,"SUPPORT (PE OI)","RESIST (CE OI)"),"")</f>
        <v/>
      </c>
      <c r="V554" s="13">
        <f>IFERROR(IF(Q554&gt;0,IF(R554&gt;0,"BOTH_ADD","CE_ADD_PE_REDUCE"),IF(R554&gt;0,"CE_REDUCE_PE_ADD","BOTH_REDUCE")),"")</f>
        <v/>
      </c>
      <c r="W554" s="13">
        <f>IFERROR( (P554-1)*0.5 + (M554)*0.1 - (I554+J554)*0.05 + T554*0.4 ,"")</f>
        <v/>
      </c>
      <c r="X554" s="13">
        <f>IFERROR(IF(ABS(F554)&lt;0.01,"ATM/NEAR",""),"")</f>
        <v/>
      </c>
    </row>
    <row r="555">
      <c r="A555" s="13">
        <f>CHAIN_RAW!A555</f>
        <v/>
      </c>
      <c r="B555" s="14">
        <f>CHAIN_RAW!B555</f>
        <v/>
      </c>
      <c r="C555" s="13">
        <f>CHAIN_RAW!C555</f>
        <v/>
      </c>
      <c r="D555" s="13">
        <f>CHAIN_RAW!D555</f>
        <v/>
      </c>
      <c r="E555" s="13">
        <f>CHAIN_RAW!E555</f>
        <v/>
      </c>
      <c r="F555" s="13">
        <f>IFERROR((E555-D555)/D555,"")</f>
        <v/>
      </c>
      <c r="G555" s="13">
        <f>IFERROR((CHAIN_RAW!K555+CHAIN_RAW!L555)/2,"")</f>
        <v/>
      </c>
      <c r="H555" s="13">
        <f>IFERROR((CHAIN_RAW!R555+CHAIN_RAW!S555)/2,"")</f>
        <v/>
      </c>
      <c r="I555" s="13">
        <f>IFERROR((CHAIN_RAW!L555-CHAIN_RAW!K555)/MAX(1E-9, G555),"")</f>
        <v/>
      </c>
      <c r="J555" s="13">
        <f>IFERROR((CHAIN_RAW!S555-CHAIN_RAW!R555)/MAX(1E-9, H555),"")</f>
        <v/>
      </c>
      <c r="K555" s="13">
        <f>CHAIN_RAW!G555</f>
        <v/>
      </c>
      <c r="L555" s="13">
        <f>CHAIN_RAW!N555</f>
        <v/>
      </c>
      <c r="M555" s="13">
        <f>IFERROR(L555-K555,"")</f>
        <v/>
      </c>
      <c r="N555" s="13">
        <f>CHAIN_RAW!H555</f>
        <v/>
      </c>
      <c r="O555" s="13">
        <f>CHAIN_RAW!O555</f>
        <v/>
      </c>
      <c r="P555" s="13">
        <f>IFERROR(O555/N555,"")</f>
        <v/>
      </c>
      <c r="Q555" s="13">
        <f>CHAIN_RAW!I555</f>
        <v/>
      </c>
      <c r="R555" s="13">
        <f>CHAIN_RAW!P555</f>
        <v/>
      </c>
      <c r="S555" s="13">
        <f>IFERROR(R555/Q555,"")</f>
        <v/>
      </c>
      <c r="T555" s="13">
        <f>IFERROR((ABS(N555-O555)/MAX(1,(N555+O555)))*EXP(-ABS(E555-CONTROL!E5)/MAX(1,CONTROL!B8)),"")</f>
        <v/>
      </c>
      <c r="U555" s="13">
        <f>IFERROR(IF(O555&gt;N555,"SUPPORT (PE OI)","RESIST (CE OI)"),"")</f>
        <v/>
      </c>
      <c r="V555" s="13">
        <f>IFERROR(IF(Q555&gt;0,IF(R555&gt;0,"BOTH_ADD","CE_ADD_PE_REDUCE"),IF(R555&gt;0,"CE_REDUCE_PE_ADD","BOTH_REDUCE")),"")</f>
        <v/>
      </c>
      <c r="W555" s="13">
        <f>IFERROR( (P555-1)*0.5 + (M555)*0.1 - (I555+J555)*0.05 + T555*0.4 ,"")</f>
        <v/>
      </c>
      <c r="X555" s="13">
        <f>IFERROR(IF(ABS(F555)&lt;0.01,"ATM/NEAR",""),"")</f>
        <v/>
      </c>
    </row>
    <row r="556">
      <c r="A556" s="13">
        <f>CHAIN_RAW!A556</f>
        <v/>
      </c>
      <c r="B556" s="14">
        <f>CHAIN_RAW!B556</f>
        <v/>
      </c>
      <c r="C556" s="13">
        <f>CHAIN_RAW!C556</f>
        <v/>
      </c>
      <c r="D556" s="13">
        <f>CHAIN_RAW!D556</f>
        <v/>
      </c>
      <c r="E556" s="13">
        <f>CHAIN_RAW!E556</f>
        <v/>
      </c>
      <c r="F556" s="13">
        <f>IFERROR((E556-D556)/D556,"")</f>
        <v/>
      </c>
      <c r="G556" s="13">
        <f>IFERROR((CHAIN_RAW!K556+CHAIN_RAW!L556)/2,"")</f>
        <v/>
      </c>
      <c r="H556" s="13">
        <f>IFERROR((CHAIN_RAW!R556+CHAIN_RAW!S556)/2,"")</f>
        <v/>
      </c>
      <c r="I556" s="13">
        <f>IFERROR((CHAIN_RAW!L556-CHAIN_RAW!K556)/MAX(1E-9, G556),"")</f>
        <v/>
      </c>
      <c r="J556" s="13">
        <f>IFERROR((CHAIN_RAW!S556-CHAIN_RAW!R556)/MAX(1E-9, H556),"")</f>
        <v/>
      </c>
      <c r="K556" s="13">
        <f>CHAIN_RAW!G556</f>
        <v/>
      </c>
      <c r="L556" s="13">
        <f>CHAIN_RAW!N556</f>
        <v/>
      </c>
      <c r="M556" s="13">
        <f>IFERROR(L556-K556,"")</f>
        <v/>
      </c>
      <c r="N556" s="13">
        <f>CHAIN_RAW!H556</f>
        <v/>
      </c>
      <c r="O556" s="13">
        <f>CHAIN_RAW!O556</f>
        <v/>
      </c>
      <c r="P556" s="13">
        <f>IFERROR(O556/N556,"")</f>
        <v/>
      </c>
      <c r="Q556" s="13">
        <f>CHAIN_RAW!I556</f>
        <v/>
      </c>
      <c r="R556" s="13">
        <f>CHAIN_RAW!P556</f>
        <v/>
      </c>
      <c r="S556" s="13">
        <f>IFERROR(R556/Q556,"")</f>
        <v/>
      </c>
      <c r="T556" s="13">
        <f>IFERROR((ABS(N556-O556)/MAX(1,(N556+O556)))*EXP(-ABS(E556-CONTROL!E5)/MAX(1,CONTROL!B8)),"")</f>
        <v/>
      </c>
      <c r="U556" s="13">
        <f>IFERROR(IF(O556&gt;N556,"SUPPORT (PE OI)","RESIST (CE OI)"),"")</f>
        <v/>
      </c>
      <c r="V556" s="13">
        <f>IFERROR(IF(Q556&gt;0,IF(R556&gt;0,"BOTH_ADD","CE_ADD_PE_REDUCE"),IF(R556&gt;0,"CE_REDUCE_PE_ADD","BOTH_REDUCE")),"")</f>
        <v/>
      </c>
      <c r="W556" s="13">
        <f>IFERROR( (P556-1)*0.5 + (M556)*0.1 - (I556+J556)*0.05 + T556*0.4 ,"")</f>
        <v/>
      </c>
      <c r="X556" s="13">
        <f>IFERROR(IF(ABS(F556)&lt;0.01,"ATM/NEAR",""),"")</f>
        <v/>
      </c>
    </row>
    <row r="557">
      <c r="A557" s="13">
        <f>CHAIN_RAW!A557</f>
        <v/>
      </c>
      <c r="B557" s="14">
        <f>CHAIN_RAW!B557</f>
        <v/>
      </c>
      <c r="C557" s="13">
        <f>CHAIN_RAW!C557</f>
        <v/>
      </c>
      <c r="D557" s="13">
        <f>CHAIN_RAW!D557</f>
        <v/>
      </c>
      <c r="E557" s="13">
        <f>CHAIN_RAW!E557</f>
        <v/>
      </c>
      <c r="F557" s="13">
        <f>IFERROR((E557-D557)/D557,"")</f>
        <v/>
      </c>
      <c r="G557" s="13">
        <f>IFERROR((CHAIN_RAW!K557+CHAIN_RAW!L557)/2,"")</f>
        <v/>
      </c>
      <c r="H557" s="13">
        <f>IFERROR((CHAIN_RAW!R557+CHAIN_RAW!S557)/2,"")</f>
        <v/>
      </c>
      <c r="I557" s="13">
        <f>IFERROR((CHAIN_RAW!L557-CHAIN_RAW!K557)/MAX(1E-9, G557),"")</f>
        <v/>
      </c>
      <c r="J557" s="13">
        <f>IFERROR((CHAIN_RAW!S557-CHAIN_RAW!R557)/MAX(1E-9, H557),"")</f>
        <v/>
      </c>
      <c r="K557" s="13">
        <f>CHAIN_RAW!G557</f>
        <v/>
      </c>
      <c r="L557" s="13">
        <f>CHAIN_RAW!N557</f>
        <v/>
      </c>
      <c r="M557" s="13">
        <f>IFERROR(L557-K557,"")</f>
        <v/>
      </c>
      <c r="N557" s="13">
        <f>CHAIN_RAW!H557</f>
        <v/>
      </c>
      <c r="O557" s="13">
        <f>CHAIN_RAW!O557</f>
        <v/>
      </c>
      <c r="P557" s="13">
        <f>IFERROR(O557/N557,"")</f>
        <v/>
      </c>
      <c r="Q557" s="13">
        <f>CHAIN_RAW!I557</f>
        <v/>
      </c>
      <c r="R557" s="13">
        <f>CHAIN_RAW!P557</f>
        <v/>
      </c>
      <c r="S557" s="13">
        <f>IFERROR(R557/Q557,"")</f>
        <v/>
      </c>
      <c r="T557" s="13">
        <f>IFERROR((ABS(N557-O557)/MAX(1,(N557+O557)))*EXP(-ABS(E557-CONTROL!E5)/MAX(1,CONTROL!B8)),"")</f>
        <v/>
      </c>
      <c r="U557" s="13">
        <f>IFERROR(IF(O557&gt;N557,"SUPPORT (PE OI)","RESIST (CE OI)"),"")</f>
        <v/>
      </c>
      <c r="V557" s="13">
        <f>IFERROR(IF(Q557&gt;0,IF(R557&gt;0,"BOTH_ADD","CE_ADD_PE_REDUCE"),IF(R557&gt;0,"CE_REDUCE_PE_ADD","BOTH_REDUCE")),"")</f>
        <v/>
      </c>
      <c r="W557" s="13">
        <f>IFERROR( (P557-1)*0.5 + (M557)*0.1 - (I557+J557)*0.05 + T557*0.4 ,"")</f>
        <v/>
      </c>
      <c r="X557" s="13">
        <f>IFERROR(IF(ABS(F557)&lt;0.01,"ATM/NEAR",""),"")</f>
        <v/>
      </c>
    </row>
    <row r="558">
      <c r="A558" s="13">
        <f>CHAIN_RAW!A558</f>
        <v/>
      </c>
      <c r="B558" s="14">
        <f>CHAIN_RAW!B558</f>
        <v/>
      </c>
      <c r="C558" s="13">
        <f>CHAIN_RAW!C558</f>
        <v/>
      </c>
      <c r="D558" s="13">
        <f>CHAIN_RAW!D558</f>
        <v/>
      </c>
      <c r="E558" s="13">
        <f>CHAIN_RAW!E558</f>
        <v/>
      </c>
      <c r="F558" s="13">
        <f>IFERROR((E558-D558)/D558,"")</f>
        <v/>
      </c>
      <c r="G558" s="13">
        <f>IFERROR((CHAIN_RAW!K558+CHAIN_RAW!L558)/2,"")</f>
        <v/>
      </c>
      <c r="H558" s="13">
        <f>IFERROR((CHAIN_RAW!R558+CHAIN_RAW!S558)/2,"")</f>
        <v/>
      </c>
      <c r="I558" s="13">
        <f>IFERROR((CHAIN_RAW!L558-CHAIN_RAW!K558)/MAX(1E-9, G558),"")</f>
        <v/>
      </c>
      <c r="J558" s="13">
        <f>IFERROR((CHAIN_RAW!S558-CHAIN_RAW!R558)/MAX(1E-9, H558),"")</f>
        <v/>
      </c>
      <c r="K558" s="13">
        <f>CHAIN_RAW!G558</f>
        <v/>
      </c>
      <c r="L558" s="13">
        <f>CHAIN_RAW!N558</f>
        <v/>
      </c>
      <c r="M558" s="13">
        <f>IFERROR(L558-K558,"")</f>
        <v/>
      </c>
      <c r="N558" s="13">
        <f>CHAIN_RAW!H558</f>
        <v/>
      </c>
      <c r="O558" s="13">
        <f>CHAIN_RAW!O558</f>
        <v/>
      </c>
      <c r="P558" s="13">
        <f>IFERROR(O558/N558,"")</f>
        <v/>
      </c>
      <c r="Q558" s="13">
        <f>CHAIN_RAW!I558</f>
        <v/>
      </c>
      <c r="R558" s="13">
        <f>CHAIN_RAW!P558</f>
        <v/>
      </c>
      <c r="S558" s="13">
        <f>IFERROR(R558/Q558,"")</f>
        <v/>
      </c>
      <c r="T558" s="13">
        <f>IFERROR((ABS(N558-O558)/MAX(1,(N558+O558)))*EXP(-ABS(E558-CONTROL!E5)/MAX(1,CONTROL!B8)),"")</f>
        <v/>
      </c>
      <c r="U558" s="13">
        <f>IFERROR(IF(O558&gt;N558,"SUPPORT (PE OI)","RESIST (CE OI)"),"")</f>
        <v/>
      </c>
      <c r="V558" s="13">
        <f>IFERROR(IF(Q558&gt;0,IF(R558&gt;0,"BOTH_ADD","CE_ADD_PE_REDUCE"),IF(R558&gt;0,"CE_REDUCE_PE_ADD","BOTH_REDUCE")),"")</f>
        <v/>
      </c>
      <c r="W558" s="13">
        <f>IFERROR( (P558-1)*0.5 + (M558)*0.1 - (I558+J558)*0.05 + T558*0.4 ,"")</f>
        <v/>
      </c>
      <c r="X558" s="13">
        <f>IFERROR(IF(ABS(F558)&lt;0.01,"ATM/NEAR",""),"")</f>
        <v/>
      </c>
    </row>
    <row r="559">
      <c r="A559" s="13">
        <f>CHAIN_RAW!A559</f>
        <v/>
      </c>
      <c r="B559" s="14">
        <f>CHAIN_RAW!B559</f>
        <v/>
      </c>
      <c r="C559" s="13">
        <f>CHAIN_RAW!C559</f>
        <v/>
      </c>
      <c r="D559" s="13">
        <f>CHAIN_RAW!D559</f>
        <v/>
      </c>
      <c r="E559" s="13">
        <f>CHAIN_RAW!E559</f>
        <v/>
      </c>
      <c r="F559" s="13">
        <f>IFERROR((E559-D559)/D559,"")</f>
        <v/>
      </c>
      <c r="G559" s="13">
        <f>IFERROR((CHAIN_RAW!K559+CHAIN_RAW!L559)/2,"")</f>
        <v/>
      </c>
      <c r="H559" s="13">
        <f>IFERROR((CHAIN_RAW!R559+CHAIN_RAW!S559)/2,"")</f>
        <v/>
      </c>
      <c r="I559" s="13">
        <f>IFERROR((CHAIN_RAW!L559-CHAIN_RAW!K559)/MAX(1E-9, G559),"")</f>
        <v/>
      </c>
      <c r="J559" s="13">
        <f>IFERROR((CHAIN_RAW!S559-CHAIN_RAW!R559)/MAX(1E-9, H559),"")</f>
        <v/>
      </c>
      <c r="K559" s="13">
        <f>CHAIN_RAW!G559</f>
        <v/>
      </c>
      <c r="L559" s="13">
        <f>CHAIN_RAW!N559</f>
        <v/>
      </c>
      <c r="M559" s="13">
        <f>IFERROR(L559-K559,"")</f>
        <v/>
      </c>
      <c r="N559" s="13">
        <f>CHAIN_RAW!H559</f>
        <v/>
      </c>
      <c r="O559" s="13">
        <f>CHAIN_RAW!O559</f>
        <v/>
      </c>
      <c r="P559" s="13">
        <f>IFERROR(O559/N559,"")</f>
        <v/>
      </c>
      <c r="Q559" s="13">
        <f>CHAIN_RAW!I559</f>
        <v/>
      </c>
      <c r="R559" s="13">
        <f>CHAIN_RAW!P559</f>
        <v/>
      </c>
      <c r="S559" s="13">
        <f>IFERROR(R559/Q559,"")</f>
        <v/>
      </c>
      <c r="T559" s="13">
        <f>IFERROR((ABS(N559-O559)/MAX(1,(N559+O559)))*EXP(-ABS(E559-CONTROL!E5)/MAX(1,CONTROL!B8)),"")</f>
        <v/>
      </c>
      <c r="U559" s="13">
        <f>IFERROR(IF(O559&gt;N559,"SUPPORT (PE OI)","RESIST (CE OI)"),"")</f>
        <v/>
      </c>
      <c r="V559" s="13">
        <f>IFERROR(IF(Q559&gt;0,IF(R559&gt;0,"BOTH_ADD","CE_ADD_PE_REDUCE"),IF(R559&gt;0,"CE_REDUCE_PE_ADD","BOTH_REDUCE")),"")</f>
        <v/>
      </c>
      <c r="W559" s="13">
        <f>IFERROR( (P559-1)*0.5 + (M559)*0.1 - (I559+J559)*0.05 + T559*0.4 ,"")</f>
        <v/>
      </c>
      <c r="X559" s="13">
        <f>IFERROR(IF(ABS(F559)&lt;0.01,"ATM/NEAR",""),"")</f>
        <v/>
      </c>
    </row>
    <row r="560">
      <c r="A560" s="13">
        <f>CHAIN_RAW!A560</f>
        <v/>
      </c>
      <c r="B560" s="14">
        <f>CHAIN_RAW!B560</f>
        <v/>
      </c>
      <c r="C560" s="13">
        <f>CHAIN_RAW!C560</f>
        <v/>
      </c>
      <c r="D560" s="13">
        <f>CHAIN_RAW!D560</f>
        <v/>
      </c>
      <c r="E560" s="13">
        <f>CHAIN_RAW!E560</f>
        <v/>
      </c>
      <c r="F560" s="13">
        <f>IFERROR((E560-D560)/D560,"")</f>
        <v/>
      </c>
      <c r="G560" s="13">
        <f>IFERROR((CHAIN_RAW!K560+CHAIN_RAW!L560)/2,"")</f>
        <v/>
      </c>
      <c r="H560" s="13">
        <f>IFERROR((CHAIN_RAW!R560+CHAIN_RAW!S560)/2,"")</f>
        <v/>
      </c>
      <c r="I560" s="13">
        <f>IFERROR((CHAIN_RAW!L560-CHAIN_RAW!K560)/MAX(1E-9, G560),"")</f>
        <v/>
      </c>
      <c r="J560" s="13">
        <f>IFERROR((CHAIN_RAW!S560-CHAIN_RAW!R560)/MAX(1E-9, H560),"")</f>
        <v/>
      </c>
      <c r="K560" s="13">
        <f>CHAIN_RAW!G560</f>
        <v/>
      </c>
      <c r="L560" s="13">
        <f>CHAIN_RAW!N560</f>
        <v/>
      </c>
      <c r="M560" s="13">
        <f>IFERROR(L560-K560,"")</f>
        <v/>
      </c>
      <c r="N560" s="13">
        <f>CHAIN_RAW!H560</f>
        <v/>
      </c>
      <c r="O560" s="13">
        <f>CHAIN_RAW!O560</f>
        <v/>
      </c>
      <c r="P560" s="13">
        <f>IFERROR(O560/N560,"")</f>
        <v/>
      </c>
      <c r="Q560" s="13">
        <f>CHAIN_RAW!I560</f>
        <v/>
      </c>
      <c r="R560" s="13">
        <f>CHAIN_RAW!P560</f>
        <v/>
      </c>
      <c r="S560" s="13">
        <f>IFERROR(R560/Q560,"")</f>
        <v/>
      </c>
      <c r="T560" s="13">
        <f>IFERROR((ABS(N560-O560)/MAX(1,(N560+O560)))*EXP(-ABS(E560-CONTROL!E5)/MAX(1,CONTROL!B8)),"")</f>
        <v/>
      </c>
      <c r="U560" s="13">
        <f>IFERROR(IF(O560&gt;N560,"SUPPORT (PE OI)","RESIST (CE OI)"),"")</f>
        <v/>
      </c>
      <c r="V560" s="13">
        <f>IFERROR(IF(Q560&gt;0,IF(R560&gt;0,"BOTH_ADD","CE_ADD_PE_REDUCE"),IF(R560&gt;0,"CE_REDUCE_PE_ADD","BOTH_REDUCE")),"")</f>
        <v/>
      </c>
      <c r="W560" s="13">
        <f>IFERROR( (P560-1)*0.5 + (M560)*0.1 - (I560+J560)*0.05 + T560*0.4 ,"")</f>
        <v/>
      </c>
      <c r="X560" s="13">
        <f>IFERROR(IF(ABS(F560)&lt;0.01,"ATM/NEAR",""),"")</f>
        <v/>
      </c>
    </row>
    <row r="561">
      <c r="A561" s="13">
        <f>CHAIN_RAW!A561</f>
        <v/>
      </c>
      <c r="B561" s="14">
        <f>CHAIN_RAW!B561</f>
        <v/>
      </c>
      <c r="C561" s="13">
        <f>CHAIN_RAW!C561</f>
        <v/>
      </c>
      <c r="D561" s="13">
        <f>CHAIN_RAW!D561</f>
        <v/>
      </c>
      <c r="E561" s="13">
        <f>CHAIN_RAW!E561</f>
        <v/>
      </c>
      <c r="F561" s="13">
        <f>IFERROR((E561-D561)/D561,"")</f>
        <v/>
      </c>
      <c r="G561" s="13">
        <f>IFERROR((CHAIN_RAW!K561+CHAIN_RAW!L561)/2,"")</f>
        <v/>
      </c>
      <c r="H561" s="13">
        <f>IFERROR((CHAIN_RAW!R561+CHAIN_RAW!S561)/2,"")</f>
        <v/>
      </c>
      <c r="I561" s="13">
        <f>IFERROR((CHAIN_RAW!L561-CHAIN_RAW!K561)/MAX(1E-9, G561),"")</f>
        <v/>
      </c>
      <c r="J561" s="13">
        <f>IFERROR((CHAIN_RAW!S561-CHAIN_RAW!R561)/MAX(1E-9, H561),"")</f>
        <v/>
      </c>
      <c r="K561" s="13">
        <f>CHAIN_RAW!G561</f>
        <v/>
      </c>
      <c r="L561" s="13">
        <f>CHAIN_RAW!N561</f>
        <v/>
      </c>
      <c r="M561" s="13">
        <f>IFERROR(L561-K561,"")</f>
        <v/>
      </c>
      <c r="N561" s="13">
        <f>CHAIN_RAW!H561</f>
        <v/>
      </c>
      <c r="O561" s="13">
        <f>CHAIN_RAW!O561</f>
        <v/>
      </c>
      <c r="P561" s="13">
        <f>IFERROR(O561/N561,"")</f>
        <v/>
      </c>
      <c r="Q561" s="13">
        <f>CHAIN_RAW!I561</f>
        <v/>
      </c>
      <c r="R561" s="13">
        <f>CHAIN_RAW!P561</f>
        <v/>
      </c>
      <c r="S561" s="13">
        <f>IFERROR(R561/Q561,"")</f>
        <v/>
      </c>
      <c r="T561" s="13">
        <f>IFERROR((ABS(N561-O561)/MAX(1,(N561+O561)))*EXP(-ABS(E561-CONTROL!E5)/MAX(1,CONTROL!B8)),"")</f>
        <v/>
      </c>
      <c r="U561" s="13">
        <f>IFERROR(IF(O561&gt;N561,"SUPPORT (PE OI)","RESIST (CE OI)"),"")</f>
        <v/>
      </c>
      <c r="V561" s="13">
        <f>IFERROR(IF(Q561&gt;0,IF(R561&gt;0,"BOTH_ADD","CE_ADD_PE_REDUCE"),IF(R561&gt;0,"CE_REDUCE_PE_ADD","BOTH_REDUCE")),"")</f>
        <v/>
      </c>
      <c r="W561" s="13">
        <f>IFERROR( (P561-1)*0.5 + (M561)*0.1 - (I561+J561)*0.05 + T561*0.4 ,"")</f>
        <v/>
      </c>
      <c r="X561" s="13">
        <f>IFERROR(IF(ABS(F561)&lt;0.01,"ATM/NEAR",""),"")</f>
        <v/>
      </c>
    </row>
    <row r="562">
      <c r="A562" s="13">
        <f>CHAIN_RAW!A562</f>
        <v/>
      </c>
      <c r="B562" s="14">
        <f>CHAIN_RAW!B562</f>
        <v/>
      </c>
      <c r="C562" s="13">
        <f>CHAIN_RAW!C562</f>
        <v/>
      </c>
      <c r="D562" s="13">
        <f>CHAIN_RAW!D562</f>
        <v/>
      </c>
      <c r="E562" s="13">
        <f>CHAIN_RAW!E562</f>
        <v/>
      </c>
      <c r="F562" s="13">
        <f>IFERROR((E562-D562)/D562,"")</f>
        <v/>
      </c>
      <c r="G562" s="13">
        <f>IFERROR((CHAIN_RAW!K562+CHAIN_RAW!L562)/2,"")</f>
        <v/>
      </c>
      <c r="H562" s="13">
        <f>IFERROR((CHAIN_RAW!R562+CHAIN_RAW!S562)/2,"")</f>
        <v/>
      </c>
      <c r="I562" s="13">
        <f>IFERROR((CHAIN_RAW!L562-CHAIN_RAW!K562)/MAX(1E-9, G562),"")</f>
        <v/>
      </c>
      <c r="J562" s="13">
        <f>IFERROR((CHAIN_RAW!S562-CHAIN_RAW!R562)/MAX(1E-9, H562),"")</f>
        <v/>
      </c>
      <c r="K562" s="13">
        <f>CHAIN_RAW!G562</f>
        <v/>
      </c>
      <c r="L562" s="13">
        <f>CHAIN_RAW!N562</f>
        <v/>
      </c>
      <c r="M562" s="13">
        <f>IFERROR(L562-K562,"")</f>
        <v/>
      </c>
      <c r="N562" s="13">
        <f>CHAIN_RAW!H562</f>
        <v/>
      </c>
      <c r="O562" s="13">
        <f>CHAIN_RAW!O562</f>
        <v/>
      </c>
      <c r="P562" s="13">
        <f>IFERROR(O562/N562,"")</f>
        <v/>
      </c>
      <c r="Q562" s="13">
        <f>CHAIN_RAW!I562</f>
        <v/>
      </c>
      <c r="R562" s="13">
        <f>CHAIN_RAW!P562</f>
        <v/>
      </c>
      <c r="S562" s="13">
        <f>IFERROR(R562/Q562,"")</f>
        <v/>
      </c>
      <c r="T562" s="13">
        <f>IFERROR((ABS(N562-O562)/MAX(1,(N562+O562)))*EXP(-ABS(E562-CONTROL!E5)/MAX(1,CONTROL!B8)),"")</f>
        <v/>
      </c>
      <c r="U562" s="13">
        <f>IFERROR(IF(O562&gt;N562,"SUPPORT (PE OI)","RESIST (CE OI)"),"")</f>
        <v/>
      </c>
      <c r="V562" s="13">
        <f>IFERROR(IF(Q562&gt;0,IF(R562&gt;0,"BOTH_ADD","CE_ADD_PE_REDUCE"),IF(R562&gt;0,"CE_REDUCE_PE_ADD","BOTH_REDUCE")),"")</f>
        <v/>
      </c>
      <c r="W562" s="13">
        <f>IFERROR( (P562-1)*0.5 + (M562)*0.1 - (I562+J562)*0.05 + T562*0.4 ,"")</f>
        <v/>
      </c>
      <c r="X562" s="13">
        <f>IFERROR(IF(ABS(F562)&lt;0.01,"ATM/NEAR",""),"")</f>
        <v/>
      </c>
    </row>
    <row r="563">
      <c r="A563" s="13">
        <f>CHAIN_RAW!A563</f>
        <v/>
      </c>
      <c r="B563" s="14">
        <f>CHAIN_RAW!B563</f>
        <v/>
      </c>
      <c r="C563" s="13">
        <f>CHAIN_RAW!C563</f>
        <v/>
      </c>
      <c r="D563" s="13">
        <f>CHAIN_RAW!D563</f>
        <v/>
      </c>
      <c r="E563" s="13">
        <f>CHAIN_RAW!E563</f>
        <v/>
      </c>
      <c r="F563" s="13">
        <f>IFERROR((E563-D563)/D563,"")</f>
        <v/>
      </c>
      <c r="G563" s="13">
        <f>IFERROR((CHAIN_RAW!K563+CHAIN_RAW!L563)/2,"")</f>
        <v/>
      </c>
      <c r="H563" s="13">
        <f>IFERROR((CHAIN_RAW!R563+CHAIN_RAW!S563)/2,"")</f>
        <v/>
      </c>
      <c r="I563" s="13">
        <f>IFERROR((CHAIN_RAW!L563-CHAIN_RAW!K563)/MAX(1E-9, G563),"")</f>
        <v/>
      </c>
      <c r="J563" s="13">
        <f>IFERROR((CHAIN_RAW!S563-CHAIN_RAW!R563)/MAX(1E-9, H563),"")</f>
        <v/>
      </c>
      <c r="K563" s="13">
        <f>CHAIN_RAW!G563</f>
        <v/>
      </c>
      <c r="L563" s="13">
        <f>CHAIN_RAW!N563</f>
        <v/>
      </c>
      <c r="M563" s="13">
        <f>IFERROR(L563-K563,"")</f>
        <v/>
      </c>
      <c r="N563" s="13">
        <f>CHAIN_RAW!H563</f>
        <v/>
      </c>
      <c r="O563" s="13">
        <f>CHAIN_RAW!O563</f>
        <v/>
      </c>
      <c r="P563" s="13">
        <f>IFERROR(O563/N563,"")</f>
        <v/>
      </c>
      <c r="Q563" s="13">
        <f>CHAIN_RAW!I563</f>
        <v/>
      </c>
      <c r="R563" s="13">
        <f>CHAIN_RAW!P563</f>
        <v/>
      </c>
      <c r="S563" s="13">
        <f>IFERROR(R563/Q563,"")</f>
        <v/>
      </c>
      <c r="T563" s="13">
        <f>IFERROR((ABS(N563-O563)/MAX(1,(N563+O563)))*EXP(-ABS(E563-CONTROL!E5)/MAX(1,CONTROL!B8)),"")</f>
        <v/>
      </c>
      <c r="U563" s="13">
        <f>IFERROR(IF(O563&gt;N563,"SUPPORT (PE OI)","RESIST (CE OI)"),"")</f>
        <v/>
      </c>
      <c r="V563" s="13">
        <f>IFERROR(IF(Q563&gt;0,IF(R563&gt;0,"BOTH_ADD","CE_ADD_PE_REDUCE"),IF(R563&gt;0,"CE_REDUCE_PE_ADD","BOTH_REDUCE")),"")</f>
        <v/>
      </c>
      <c r="W563" s="13">
        <f>IFERROR( (P563-1)*0.5 + (M563)*0.1 - (I563+J563)*0.05 + T563*0.4 ,"")</f>
        <v/>
      </c>
      <c r="X563" s="13">
        <f>IFERROR(IF(ABS(F563)&lt;0.01,"ATM/NEAR",""),"")</f>
        <v/>
      </c>
    </row>
    <row r="564">
      <c r="A564" s="13">
        <f>CHAIN_RAW!A564</f>
        <v/>
      </c>
      <c r="B564" s="14">
        <f>CHAIN_RAW!B564</f>
        <v/>
      </c>
      <c r="C564" s="13">
        <f>CHAIN_RAW!C564</f>
        <v/>
      </c>
      <c r="D564" s="13">
        <f>CHAIN_RAW!D564</f>
        <v/>
      </c>
      <c r="E564" s="13">
        <f>CHAIN_RAW!E564</f>
        <v/>
      </c>
      <c r="F564" s="13">
        <f>IFERROR((E564-D564)/D564,"")</f>
        <v/>
      </c>
      <c r="G564" s="13">
        <f>IFERROR((CHAIN_RAW!K564+CHAIN_RAW!L564)/2,"")</f>
        <v/>
      </c>
      <c r="H564" s="13">
        <f>IFERROR((CHAIN_RAW!R564+CHAIN_RAW!S564)/2,"")</f>
        <v/>
      </c>
      <c r="I564" s="13">
        <f>IFERROR((CHAIN_RAW!L564-CHAIN_RAW!K564)/MAX(1E-9, G564),"")</f>
        <v/>
      </c>
      <c r="J564" s="13">
        <f>IFERROR((CHAIN_RAW!S564-CHAIN_RAW!R564)/MAX(1E-9, H564),"")</f>
        <v/>
      </c>
      <c r="K564" s="13">
        <f>CHAIN_RAW!G564</f>
        <v/>
      </c>
      <c r="L564" s="13">
        <f>CHAIN_RAW!N564</f>
        <v/>
      </c>
      <c r="M564" s="13">
        <f>IFERROR(L564-K564,"")</f>
        <v/>
      </c>
      <c r="N564" s="13">
        <f>CHAIN_RAW!H564</f>
        <v/>
      </c>
      <c r="O564" s="13">
        <f>CHAIN_RAW!O564</f>
        <v/>
      </c>
      <c r="P564" s="13">
        <f>IFERROR(O564/N564,"")</f>
        <v/>
      </c>
      <c r="Q564" s="13">
        <f>CHAIN_RAW!I564</f>
        <v/>
      </c>
      <c r="R564" s="13">
        <f>CHAIN_RAW!P564</f>
        <v/>
      </c>
      <c r="S564" s="13">
        <f>IFERROR(R564/Q564,"")</f>
        <v/>
      </c>
      <c r="T564" s="13">
        <f>IFERROR((ABS(N564-O564)/MAX(1,(N564+O564)))*EXP(-ABS(E564-CONTROL!E5)/MAX(1,CONTROL!B8)),"")</f>
        <v/>
      </c>
      <c r="U564" s="13">
        <f>IFERROR(IF(O564&gt;N564,"SUPPORT (PE OI)","RESIST (CE OI)"),"")</f>
        <v/>
      </c>
      <c r="V564" s="13">
        <f>IFERROR(IF(Q564&gt;0,IF(R564&gt;0,"BOTH_ADD","CE_ADD_PE_REDUCE"),IF(R564&gt;0,"CE_REDUCE_PE_ADD","BOTH_REDUCE")),"")</f>
        <v/>
      </c>
      <c r="W564" s="13">
        <f>IFERROR( (P564-1)*0.5 + (M564)*0.1 - (I564+J564)*0.05 + T564*0.4 ,"")</f>
        <v/>
      </c>
      <c r="X564" s="13">
        <f>IFERROR(IF(ABS(F564)&lt;0.01,"ATM/NEAR",""),"")</f>
        <v/>
      </c>
    </row>
    <row r="565">
      <c r="A565" s="13">
        <f>CHAIN_RAW!A565</f>
        <v/>
      </c>
      <c r="B565" s="14">
        <f>CHAIN_RAW!B565</f>
        <v/>
      </c>
      <c r="C565" s="13">
        <f>CHAIN_RAW!C565</f>
        <v/>
      </c>
      <c r="D565" s="13">
        <f>CHAIN_RAW!D565</f>
        <v/>
      </c>
      <c r="E565" s="13">
        <f>CHAIN_RAW!E565</f>
        <v/>
      </c>
      <c r="F565" s="13">
        <f>IFERROR((E565-D565)/D565,"")</f>
        <v/>
      </c>
      <c r="G565" s="13">
        <f>IFERROR((CHAIN_RAW!K565+CHAIN_RAW!L565)/2,"")</f>
        <v/>
      </c>
      <c r="H565" s="13">
        <f>IFERROR((CHAIN_RAW!R565+CHAIN_RAW!S565)/2,"")</f>
        <v/>
      </c>
      <c r="I565" s="13">
        <f>IFERROR((CHAIN_RAW!L565-CHAIN_RAW!K565)/MAX(1E-9, G565),"")</f>
        <v/>
      </c>
      <c r="J565" s="13">
        <f>IFERROR((CHAIN_RAW!S565-CHAIN_RAW!R565)/MAX(1E-9, H565),"")</f>
        <v/>
      </c>
      <c r="K565" s="13">
        <f>CHAIN_RAW!G565</f>
        <v/>
      </c>
      <c r="L565" s="13">
        <f>CHAIN_RAW!N565</f>
        <v/>
      </c>
      <c r="M565" s="13">
        <f>IFERROR(L565-K565,"")</f>
        <v/>
      </c>
      <c r="N565" s="13">
        <f>CHAIN_RAW!H565</f>
        <v/>
      </c>
      <c r="O565" s="13">
        <f>CHAIN_RAW!O565</f>
        <v/>
      </c>
      <c r="P565" s="13">
        <f>IFERROR(O565/N565,"")</f>
        <v/>
      </c>
      <c r="Q565" s="13">
        <f>CHAIN_RAW!I565</f>
        <v/>
      </c>
      <c r="R565" s="13">
        <f>CHAIN_RAW!P565</f>
        <v/>
      </c>
      <c r="S565" s="13">
        <f>IFERROR(R565/Q565,"")</f>
        <v/>
      </c>
      <c r="T565" s="13">
        <f>IFERROR((ABS(N565-O565)/MAX(1,(N565+O565)))*EXP(-ABS(E565-CONTROL!E5)/MAX(1,CONTROL!B8)),"")</f>
        <v/>
      </c>
      <c r="U565" s="13">
        <f>IFERROR(IF(O565&gt;N565,"SUPPORT (PE OI)","RESIST (CE OI)"),"")</f>
        <v/>
      </c>
      <c r="V565" s="13">
        <f>IFERROR(IF(Q565&gt;0,IF(R565&gt;0,"BOTH_ADD","CE_ADD_PE_REDUCE"),IF(R565&gt;0,"CE_REDUCE_PE_ADD","BOTH_REDUCE")),"")</f>
        <v/>
      </c>
      <c r="W565" s="13">
        <f>IFERROR( (P565-1)*0.5 + (M565)*0.1 - (I565+J565)*0.05 + T565*0.4 ,"")</f>
        <v/>
      </c>
      <c r="X565" s="13">
        <f>IFERROR(IF(ABS(F565)&lt;0.01,"ATM/NEAR",""),"")</f>
        <v/>
      </c>
    </row>
    <row r="566">
      <c r="A566" s="13">
        <f>CHAIN_RAW!A566</f>
        <v/>
      </c>
      <c r="B566" s="14">
        <f>CHAIN_RAW!B566</f>
        <v/>
      </c>
      <c r="C566" s="13">
        <f>CHAIN_RAW!C566</f>
        <v/>
      </c>
      <c r="D566" s="13">
        <f>CHAIN_RAW!D566</f>
        <v/>
      </c>
      <c r="E566" s="13">
        <f>CHAIN_RAW!E566</f>
        <v/>
      </c>
      <c r="F566" s="13">
        <f>IFERROR((E566-D566)/D566,"")</f>
        <v/>
      </c>
      <c r="G566" s="13">
        <f>IFERROR((CHAIN_RAW!K566+CHAIN_RAW!L566)/2,"")</f>
        <v/>
      </c>
      <c r="H566" s="13">
        <f>IFERROR((CHAIN_RAW!R566+CHAIN_RAW!S566)/2,"")</f>
        <v/>
      </c>
      <c r="I566" s="13">
        <f>IFERROR((CHAIN_RAW!L566-CHAIN_RAW!K566)/MAX(1E-9, G566),"")</f>
        <v/>
      </c>
      <c r="J566" s="13">
        <f>IFERROR((CHAIN_RAW!S566-CHAIN_RAW!R566)/MAX(1E-9, H566),"")</f>
        <v/>
      </c>
      <c r="K566" s="13">
        <f>CHAIN_RAW!G566</f>
        <v/>
      </c>
      <c r="L566" s="13">
        <f>CHAIN_RAW!N566</f>
        <v/>
      </c>
      <c r="M566" s="13">
        <f>IFERROR(L566-K566,"")</f>
        <v/>
      </c>
      <c r="N566" s="13">
        <f>CHAIN_RAW!H566</f>
        <v/>
      </c>
      <c r="O566" s="13">
        <f>CHAIN_RAW!O566</f>
        <v/>
      </c>
      <c r="P566" s="13">
        <f>IFERROR(O566/N566,"")</f>
        <v/>
      </c>
      <c r="Q566" s="13">
        <f>CHAIN_RAW!I566</f>
        <v/>
      </c>
      <c r="R566" s="13">
        <f>CHAIN_RAW!P566</f>
        <v/>
      </c>
      <c r="S566" s="13">
        <f>IFERROR(R566/Q566,"")</f>
        <v/>
      </c>
      <c r="T566" s="13">
        <f>IFERROR((ABS(N566-O566)/MAX(1,(N566+O566)))*EXP(-ABS(E566-CONTROL!E5)/MAX(1,CONTROL!B8)),"")</f>
        <v/>
      </c>
      <c r="U566" s="13">
        <f>IFERROR(IF(O566&gt;N566,"SUPPORT (PE OI)","RESIST (CE OI)"),"")</f>
        <v/>
      </c>
      <c r="V566" s="13">
        <f>IFERROR(IF(Q566&gt;0,IF(R566&gt;0,"BOTH_ADD","CE_ADD_PE_REDUCE"),IF(R566&gt;0,"CE_REDUCE_PE_ADD","BOTH_REDUCE")),"")</f>
        <v/>
      </c>
      <c r="W566" s="13">
        <f>IFERROR( (P566-1)*0.5 + (M566)*0.1 - (I566+J566)*0.05 + T566*0.4 ,"")</f>
        <v/>
      </c>
      <c r="X566" s="13">
        <f>IFERROR(IF(ABS(F566)&lt;0.01,"ATM/NEAR",""),"")</f>
        <v/>
      </c>
    </row>
    <row r="567">
      <c r="A567" s="13">
        <f>CHAIN_RAW!A567</f>
        <v/>
      </c>
      <c r="B567" s="14">
        <f>CHAIN_RAW!B567</f>
        <v/>
      </c>
      <c r="C567" s="13">
        <f>CHAIN_RAW!C567</f>
        <v/>
      </c>
      <c r="D567" s="13">
        <f>CHAIN_RAW!D567</f>
        <v/>
      </c>
      <c r="E567" s="13">
        <f>CHAIN_RAW!E567</f>
        <v/>
      </c>
      <c r="F567" s="13">
        <f>IFERROR((E567-D567)/D567,"")</f>
        <v/>
      </c>
      <c r="G567" s="13">
        <f>IFERROR((CHAIN_RAW!K567+CHAIN_RAW!L567)/2,"")</f>
        <v/>
      </c>
      <c r="H567" s="13">
        <f>IFERROR((CHAIN_RAW!R567+CHAIN_RAW!S567)/2,"")</f>
        <v/>
      </c>
      <c r="I567" s="13">
        <f>IFERROR((CHAIN_RAW!L567-CHAIN_RAW!K567)/MAX(1E-9, G567),"")</f>
        <v/>
      </c>
      <c r="J567" s="13">
        <f>IFERROR((CHAIN_RAW!S567-CHAIN_RAW!R567)/MAX(1E-9, H567),"")</f>
        <v/>
      </c>
      <c r="K567" s="13">
        <f>CHAIN_RAW!G567</f>
        <v/>
      </c>
      <c r="L567" s="13">
        <f>CHAIN_RAW!N567</f>
        <v/>
      </c>
      <c r="M567" s="13">
        <f>IFERROR(L567-K567,"")</f>
        <v/>
      </c>
      <c r="N567" s="13">
        <f>CHAIN_RAW!H567</f>
        <v/>
      </c>
      <c r="O567" s="13">
        <f>CHAIN_RAW!O567</f>
        <v/>
      </c>
      <c r="P567" s="13">
        <f>IFERROR(O567/N567,"")</f>
        <v/>
      </c>
      <c r="Q567" s="13">
        <f>CHAIN_RAW!I567</f>
        <v/>
      </c>
      <c r="R567" s="13">
        <f>CHAIN_RAW!P567</f>
        <v/>
      </c>
      <c r="S567" s="13">
        <f>IFERROR(R567/Q567,"")</f>
        <v/>
      </c>
      <c r="T567" s="13">
        <f>IFERROR((ABS(N567-O567)/MAX(1,(N567+O567)))*EXP(-ABS(E567-CONTROL!E5)/MAX(1,CONTROL!B8)),"")</f>
        <v/>
      </c>
      <c r="U567" s="13">
        <f>IFERROR(IF(O567&gt;N567,"SUPPORT (PE OI)","RESIST (CE OI)"),"")</f>
        <v/>
      </c>
      <c r="V567" s="13">
        <f>IFERROR(IF(Q567&gt;0,IF(R567&gt;0,"BOTH_ADD","CE_ADD_PE_REDUCE"),IF(R567&gt;0,"CE_REDUCE_PE_ADD","BOTH_REDUCE")),"")</f>
        <v/>
      </c>
      <c r="W567" s="13">
        <f>IFERROR( (P567-1)*0.5 + (M567)*0.1 - (I567+J567)*0.05 + T567*0.4 ,"")</f>
        <v/>
      </c>
      <c r="X567" s="13">
        <f>IFERROR(IF(ABS(F567)&lt;0.01,"ATM/NEAR",""),"")</f>
        <v/>
      </c>
    </row>
    <row r="568">
      <c r="A568" s="13">
        <f>CHAIN_RAW!A568</f>
        <v/>
      </c>
      <c r="B568" s="14">
        <f>CHAIN_RAW!B568</f>
        <v/>
      </c>
      <c r="C568" s="13">
        <f>CHAIN_RAW!C568</f>
        <v/>
      </c>
      <c r="D568" s="13">
        <f>CHAIN_RAW!D568</f>
        <v/>
      </c>
      <c r="E568" s="13">
        <f>CHAIN_RAW!E568</f>
        <v/>
      </c>
      <c r="F568" s="13">
        <f>IFERROR((E568-D568)/D568,"")</f>
        <v/>
      </c>
      <c r="G568" s="13">
        <f>IFERROR((CHAIN_RAW!K568+CHAIN_RAW!L568)/2,"")</f>
        <v/>
      </c>
      <c r="H568" s="13">
        <f>IFERROR((CHAIN_RAW!R568+CHAIN_RAW!S568)/2,"")</f>
        <v/>
      </c>
      <c r="I568" s="13">
        <f>IFERROR((CHAIN_RAW!L568-CHAIN_RAW!K568)/MAX(1E-9, G568),"")</f>
        <v/>
      </c>
      <c r="J568" s="13">
        <f>IFERROR((CHAIN_RAW!S568-CHAIN_RAW!R568)/MAX(1E-9, H568),"")</f>
        <v/>
      </c>
      <c r="K568" s="13">
        <f>CHAIN_RAW!G568</f>
        <v/>
      </c>
      <c r="L568" s="13">
        <f>CHAIN_RAW!N568</f>
        <v/>
      </c>
      <c r="M568" s="13">
        <f>IFERROR(L568-K568,"")</f>
        <v/>
      </c>
      <c r="N568" s="13">
        <f>CHAIN_RAW!H568</f>
        <v/>
      </c>
      <c r="O568" s="13">
        <f>CHAIN_RAW!O568</f>
        <v/>
      </c>
      <c r="P568" s="13">
        <f>IFERROR(O568/N568,"")</f>
        <v/>
      </c>
      <c r="Q568" s="13">
        <f>CHAIN_RAW!I568</f>
        <v/>
      </c>
      <c r="R568" s="13">
        <f>CHAIN_RAW!P568</f>
        <v/>
      </c>
      <c r="S568" s="13">
        <f>IFERROR(R568/Q568,"")</f>
        <v/>
      </c>
      <c r="T568" s="13">
        <f>IFERROR((ABS(N568-O568)/MAX(1,(N568+O568)))*EXP(-ABS(E568-CONTROL!E5)/MAX(1,CONTROL!B8)),"")</f>
        <v/>
      </c>
      <c r="U568" s="13">
        <f>IFERROR(IF(O568&gt;N568,"SUPPORT (PE OI)","RESIST (CE OI)"),"")</f>
        <v/>
      </c>
      <c r="V568" s="13">
        <f>IFERROR(IF(Q568&gt;0,IF(R568&gt;0,"BOTH_ADD","CE_ADD_PE_REDUCE"),IF(R568&gt;0,"CE_REDUCE_PE_ADD","BOTH_REDUCE")),"")</f>
        <v/>
      </c>
      <c r="W568" s="13">
        <f>IFERROR( (P568-1)*0.5 + (M568)*0.1 - (I568+J568)*0.05 + T568*0.4 ,"")</f>
        <v/>
      </c>
      <c r="X568" s="13">
        <f>IFERROR(IF(ABS(F568)&lt;0.01,"ATM/NEAR",""),"")</f>
        <v/>
      </c>
    </row>
    <row r="569">
      <c r="A569" s="13">
        <f>CHAIN_RAW!A569</f>
        <v/>
      </c>
      <c r="B569" s="14">
        <f>CHAIN_RAW!B569</f>
        <v/>
      </c>
      <c r="C569" s="13">
        <f>CHAIN_RAW!C569</f>
        <v/>
      </c>
      <c r="D569" s="13">
        <f>CHAIN_RAW!D569</f>
        <v/>
      </c>
      <c r="E569" s="13">
        <f>CHAIN_RAW!E569</f>
        <v/>
      </c>
      <c r="F569" s="13">
        <f>IFERROR((E569-D569)/D569,"")</f>
        <v/>
      </c>
      <c r="G569" s="13">
        <f>IFERROR((CHAIN_RAW!K569+CHAIN_RAW!L569)/2,"")</f>
        <v/>
      </c>
      <c r="H569" s="13">
        <f>IFERROR((CHAIN_RAW!R569+CHAIN_RAW!S569)/2,"")</f>
        <v/>
      </c>
      <c r="I569" s="13">
        <f>IFERROR((CHAIN_RAW!L569-CHAIN_RAW!K569)/MAX(1E-9, G569),"")</f>
        <v/>
      </c>
      <c r="J569" s="13">
        <f>IFERROR((CHAIN_RAW!S569-CHAIN_RAW!R569)/MAX(1E-9, H569),"")</f>
        <v/>
      </c>
      <c r="K569" s="13">
        <f>CHAIN_RAW!G569</f>
        <v/>
      </c>
      <c r="L569" s="13">
        <f>CHAIN_RAW!N569</f>
        <v/>
      </c>
      <c r="M569" s="13">
        <f>IFERROR(L569-K569,"")</f>
        <v/>
      </c>
      <c r="N569" s="13">
        <f>CHAIN_RAW!H569</f>
        <v/>
      </c>
      <c r="O569" s="13">
        <f>CHAIN_RAW!O569</f>
        <v/>
      </c>
      <c r="P569" s="13">
        <f>IFERROR(O569/N569,"")</f>
        <v/>
      </c>
      <c r="Q569" s="13">
        <f>CHAIN_RAW!I569</f>
        <v/>
      </c>
      <c r="R569" s="13">
        <f>CHAIN_RAW!P569</f>
        <v/>
      </c>
      <c r="S569" s="13">
        <f>IFERROR(R569/Q569,"")</f>
        <v/>
      </c>
      <c r="T569" s="13">
        <f>IFERROR((ABS(N569-O569)/MAX(1,(N569+O569)))*EXP(-ABS(E569-CONTROL!E5)/MAX(1,CONTROL!B8)),"")</f>
        <v/>
      </c>
      <c r="U569" s="13">
        <f>IFERROR(IF(O569&gt;N569,"SUPPORT (PE OI)","RESIST (CE OI)"),"")</f>
        <v/>
      </c>
      <c r="V569" s="13">
        <f>IFERROR(IF(Q569&gt;0,IF(R569&gt;0,"BOTH_ADD","CE_ADD_PE_REDUCE"),IF(R569&gt;0,"CE_REDUCE_PE_ADD","BOTH_REDUCE")),"")</f>
        <v/>
      </c>
      <c r="W569" s="13">
        <f>IFERROR( (P569-1)*0.5 + (M569)*0.1 - (I569+J569)*0.05 + T569*0.4 ,"")</f>
        <v/>
      </c>
      <c r="X569" s="13">
        <f>IFERROR(IF(ABS(F569)&lt;0.01,"ATM/NEAR",""),"")</f>
        <v/>
      </c>
    </row>
    <row r="570">
      <c r="A570" s="13">
        <f>CHAIN_RAW!A570</f>
        <v/>
      </c>
      <c r="B570" s="14">
        <f>CHAIN_RAW!B570</f>
        <v/>
      </c>
      <c r="C570" s="13">
        <f>CHAIN_RAW!C570</f>
        <v/>
      </c>
      <c r="D570" s="13">
        <f>CHAIN_RAW!D570</f>
        <v/>
      </c>
      <c r="E570" s="13">
        <f>CHAIN_RAW!E570</f>
        <v/>
      </c>
      <c r="F570" s="13">
        <f>IFERROR((E570-D570)/D570,"")</f>
        <v/>
      </c>
      <c r="G570" s="13">
        <f>IFERROR((CHAIN_RAW!K570+CHAIN_RAW!L570)/2,"")</f>
        <v/>
      </c>
      <c r="H570" s="13">
        <f>IFERROR((CHAIN_RAW!R570+CHAIN_RAW!S570)/2,"")</f>
        <v/>
      </c>
      <c r="I570" s="13">
        <f>IFERROR((CHAIN_RAW!L570-CHAIN_RAW!K570)/MAX(1E-9, G570),"")</f>
        <v/>
      </c>
      <c r="J570" s="13">
        <f>IFERROR((CHAIN_RAW!S570-CHAIN_RAW!R570)/MAX(1E-9, H570),"")</f>
        <v/>
      </c>
      <c r="K570" s="13">
        <f>CHAIN_RAW!G570</f>
        <v/>
      </c>
      <c r="L570" s="13">
        <f>CHAIN_RAW!N570</f>
        <v/>
      </c>
      <c r="M570" s="13">
        <f>IFERROR(L570-K570,"")</f>
        <v/>
      </c>
      <c r="N570" s="13">
        <f>CHAIN_RAW!H570</f>
        <v/>
      </c>
      <c r="O570" s="13">
        <f>CHAIN_RAW!O570</f>
        <v/>
      </c>
      <c r="P570" s="13">
        <f>IFERROR(O570/N570,"")</f>
        <v/>
      </c>
      <c r="Q570" s="13">
        <f>CHAIN_RAW!I570</f>
        <v/>
      </c>
      <c r="R570" s="13">
        <f>CHAIN_RAW!P570</f>
        <v/>
      </c>
      <c r="S570" s="13">
        <f>IFERROR(R570/Q570,"")</f>
        <v/>
      </c>
      <c r="T570" s="13">
        <f>IFERROR((ABS(N570-O570)/MAX(1,(N570+O570)))*EXP(-ABS(E570-CONTROL!E5)/MAX(1,CONTROL!B8)),"")</f>
        <v/>
      </c>
      <c r="U570" s="13">
        <f>IFERROR(IF(O570&gt;N570,"SUPPORT (PE OI)","RESIST (CE OI)"),"")</f>
        <v/>
      </c>
      <c r="V570" s="13">
        <f>IFERROR(IF(Q570&gt;0,IF(R570&gt;0,"BOTH_ADD","CE_ADD_PE_REDUCE"),IF(R570&gt;0,"CE_REDUCE_PE_ADD","BOTH_REDUCE")),"")</f>
        <v/>
      </c>
      <c r="W570" s="13">
        <f>IFERROR( (P570-1)*0.5 + (M570)*0.1 - (I570+J570)*0.05 + T570*0.4 ,"")</f>
        <v/>
      </c>
      <c r="X570" s="13">
        <f>IFERROR(IF(ABS(F570)&lt;0.01,"ATM/NEAR",""),"")</f>
        <v/>
      </c>
    </row>
    <row r="571">
      <c r="A571" s="13">
        <f>CHAIN_RAW!A571</f>
        <v/>
      </c>
      <c r="B571" s="14">
        <f>CHAIN_RAW!B571</f>
        <v/>
      </c>
      <c r="C571" s="13">
        <f>CHAIN_RAW!C571</f>
        <v/>
      </c>
      <c r="D571" s="13">
        <f>CHAIN_RAW!D571</f>
        <v/>
      </c>
      <c r="E571" s="13">
        <f>CHAIN_RAW!E571</f>
        <v/>
      </c>
      <c r="F571" s="13">
        <f>IFERROR((E571-D571)/D571,"")</f>
        <v/>
      </c>
      <c r="G571" s="13">
        <f>IFERROR((CHAIN_RAW!K571+CHAIN_RAW!L571)/2,"")</f>
        <v/>
      </c>
      <c r="H571" s="13">
        <f>IFERROR((CHAIN_RAW!R571+CHAIN_RAW!S571)/2,"")</f>
        <v/>
      </c>
      <c r="I571" s="13">
        <f>IFERROR((CHAIN_RAW!L571-CHAIN_RAW!K571)/MAX(1E-9, G571),"")</f>
        <v/>
      </c>
      <c r="J571" s="13">
        <f>IFERROR((CHAIN_RAW!S571-CHAIN_RAW!R571)/MAX(1E-9, H571),"")</f>
        <v/>
      </c>
      <c r="K571" s="13">
        <f>CHAIN_RAW!G571</f>
        <v/>
      </c>
      <c r="L571" s="13">
        <f>CHAIN_RAW!N571</f>
        <v/>
      </c>
      <c r="M571" s="13">
        <f>IFERROR(L571-K571,"")</f>
        <v/>
      </c>
      <c r="N571" s="13">
        <f>CHAIN_RAW!H571</f>
        <v/>
      </c>
      <c r="O571" s="13">
        <f>CHAIN_RAW!O571</f>
        <v/>
      </c>
      <c r="P571" s="13">
        <f>IFERROR(O571/N571,"")</f>
        <v/>
      </c>
      <c r="Q571" s="13">
        <f>CHAIN_RAW!I571</f>
        <v/>
      </c>
      <c r="R571" s="13">
        <f>CHAIN_RAW!P571</f>
        <v/>
      </c>
      <c r="S571" s="13">
        <f>IFERROR(R571/Q571,"")</f>
        <v/>
      </c>
      <c r="T571" s="13">
        <f>IFERROR((ABS(N571-O571)/MAX(1,(N571+O571)))*EXP(-ABS(E571-CONTROL!E5)/MAX(1,CONTROL!B8)),"")</f>
        <v/>
      </c>
      <c r="U571" s="13">
        <f>IFERROR(IF(O571&gt;N571,"SUPPORT (PE OI)","RESIST (CE OI)"),"")</f>
        <v/>
      </c>
      <c r="V571" s="13">
        <f>IFERROR(IF(Q571&gt;0,IF(R571&gt;0,"BOTH_ADD","CE_ADD_PE_REDUCE"),IF(R571&gt;0,"CE_REDUCE_PE_ADD","BOTH_REDUCE")),"")</f>
        <v/>
      </c>
      <c r="W571" s="13">
        <f>IFERROR( (P571-1)*0.5 + (M571)*0.1 - (I571+J571)*0.05 + T571*0.4 ,"")</f>
        <v/>
      </c>
      <c r="X571" s="13">
        <f>IFERROR(IF(ABS(F571)&lt;0.01,"ATM/NEAR",""),"")</f>
        <v/>
      </c>
    </row>
    <row r="572">
      <c r="A572" s="13">
        <f>CHAIN_RAW!A572</f>
        <v/>
      </c>
      <c r="B572" s="14">
        <f>CHAIN_RAW!B572</f>
        <v/>
      </c>
      <c r="C572" s="13">
        <f>CHAIN_RAW!C572</f>
        <v/>
      </c>
      <c r="D572" s="13">
        <f>CHAIN_RAW!D572</f>
        <v/>
      </c>
      <c r="E572" s="13">
        <f>CHAIN_RAW!E572</f>
        <v/>
      </c>
      <c r="F572" s="13">
        <f>IFERROR((E572-D572)/D572,"")</f>
        <v/>
      </c>
      <c r="G572" s="13">
        <f>IFERROR((CHAIN_RAW!K572+CHAIN_RAW!L572)/2,"")</f>
        <v/>
      </c>
      <c r="H572" s="13">
        <f>IFERROR((CHAIN_RAW!R572+CHAIN_RAW!S572)/2,"")</f>
        <v/>
      </c>
      <c r="I572" s="13">
        <f>IFERROR((CHAIN_RAW!L572-CHAIN_RAW!K572)/MAX(1E-9, G572),"")</f>
        <v/>
      </c>
      <c r="J572" s="13">
        <f>IFERROR((CHAIN_RAW!S572-CHAIN_RAW!R572)/MAX(1E-9, H572),"")</f>
        <v/>
      </c>
      <c r="K572" s="13">
        <f>CHAIN_RAW!G572</f>
        <v/>
      </c>
      <c r="L572" s="13">
        <f>CHAIN_RAW!N572</f>
        <v/>
      </c>
      <c r="M572" s="13">
        <f>IFERROR(L572-K572,"")</f>
        <v/>
      </c>
      <c r="N572" s="13">
        <f>CHAIN_RAW!H572</f>
        <v/>
      </c>
      <c r="O572" s="13">
        <f>CHAIN_RAW!O572</f>
        <v/>
      </c>
      <c r="P572" s="13">
        <f>IFERROR(O572/N572,"")</f>
        <v/>
      </c>
      <c r="Q572" s="13">
        <f>CHAIN_RAW!I572</f>
        <v/>
      </c>
      <c r="R572" s="13">
        <f>CHAIN_RAW!P572</f>
        <v/>
      </c>
      <c r="S572" s="13">
        <f>IFERROR(R572/Q572,"")</f>
        <v/>
      </c>
      <c r="T572" s="13">
        <f>IFERROR((ABS(N572-O572)/MAX(1,(N572+O572)))*EXP(-ABS(E572-CONTROL!E5)/MAX(1,CONTROL!B8)),"")</f>
        <v/>
      </c>
      <c r="U572" s="13">
        <f>IFERROR(IF(O572&gt;N572,"SUPPORT (PE OI)","RESIST (CE OI)"),"")</f>
        <v/>
      </c>
      <c r="V572" s="13">
        <f>IFERROR(IF(Q572&gt;0,IF(R572&gt;0,"BOTH_ADD","CE_ADD_PE_REDUCE"),IF(R572&gt;0,"CE_REDUCE_PE_ADD","BOTH_REDUCE")),"")</f>
        <v/>
      </c>
      <c r="W572" s="13">
        <f>IFERROR( (P572-1)*0.5 + (M572)*0.1 - (I572+J572)*0.05 + T572*0.4 ,"")</f>
        <v/>
      </c>
      <c r="X572" s="13">
        <f>IFERROR(IF(ABS(F572)&lt;0.01,"ATM/NEAR",""),"")</f>
        <v/>
      </c>
    </row>
    <row r="573">
      <c r="A573" s="13">
        <f>CHAIN_RAW!A573</f>
        <v/>
      </c>
      <c r="B573" s="14">
        <f>CHAIN_RAW!B573</f>
        <v/>
      </c>
      <c r="C573" s="13">
        <f>CHAIN_RAW!C573</f>
        <v/>
      </c>
      <c r="D573" s="13">
        <f>CHAIN_RAW!D573</f>
        <v/>
      </c>
      <c r="E573" s="13">
        <f>CHAIN_RAW!E573</f>
        <v/>
      </c>
      <c r="F573" s="13">
        <f>IFERROR((E573-D573)/D573,"")</f>
        <v/>
      </c>
      <c r="G573" s="13">
        <f>IFERROR((CHAIN_RAW!K573+CHAIN_RAW!L573)/2,"")</f>
        <v/>
      </c>
      <c r="H573" s="13">
        <f>IFERROR((CHAIN_RAW!R573+CHAIN_RAW!S573)/2,"")</f>
        <v/>
      </c>
      <c r="I573" s="13">
        <f>IFERROR((CHAIN_RAW!L573-CHAIN_RAW!K573)/MAX(1E-9, G573),"")</f>
        <v/>
      </c>
      <c r="J573" s="13">
        <f>IFERROR((CHAIN_RAW!S573-CHAIN_RAW!R573)/MAX(1E-9, H573),"")</f>
        <v/>
      </c>
      <c r="K573" s="13">
        <f>CHAIN_RAW!G573</f>
        <v/>
      </c>
      <c r="L573" s="13">
        <f>CHAIN_RAW!N573</f>
        <v/>
      </c>
      <c r="M573" s="13">
        <f>IFERROR(L573-K573,"")</f>
        <v/>
      </c>
      <c r="N573" s="13">
        <f>CHAIN_RAW!H573</f>
        <v/>
      </c>
      <c r="O573" s="13">
        <f>CHAIN_RAW!O573</f>
        <v/>
      </c>
      <c r="P573" s="13">
        <f>IFERROR(O573/N573,"")</f>
        <v/>
      </c>
      <c r="Q573" s="13">
        <f>CHAIN_RAW!I573</f>
        <v/>
      </c>
      <c r="R573" s="13">
        <f>CHAIN_RAW!P573</f>
        <v/>
      </c>
      <c r="S573" s="13">
        <f>IFERROR(R573/Q573,"")</f>
        <v/>
      </c>
      <c r="T573" s="13">
        <f>IFERROR((ABS(N573-O573)/MAX(1,(N573+O573)))*EXP(-ABS(E573-CONTROL!E5)/MAX(1,CONTROL!B8)),"")</f>
        <v/>
      </c>
      <c r="U573" s="13">
        <f>IFERROR(IF(O573&gt;N573,"SUPPORT (PE OI)","RESIST (CE OI)"),"")</f>
        <v/>
      </c>
      <c r="V573" s="13">
        <f>IFERROR(IF(Q573&gt;0,IF(R573&gt;0,"BOTH_ADD","CE_ADD_PE_REDUCE"),IF(R573&gt;0,"CE_REDUCE_PE_ADD","BOTH_REDUCE")),"")</f>
        <v/>
      </c>
      <c r="W573" s="13">
        <f>IFERROR( (P573-1)*0.5 + (M573)*0.1 - (I573+J573)*0.05 + T573*0.4 ,"")</f>
        <v/>
      </c>
      <c r="X573" s="13">
        <f>IFERROR(IF(ABS(F573)&lt;0.01,"ATM/NEAR",""),"")</f>
        <v/>
      </c>
    </row>
    <row r="574">
      <c r="A574" s="13">
        <f>CHAIN_RAW!A574</f>
        <v/>
      </c>
      <c r="B574" s="14">
        <f>CHAIN_RAW!B574</f>
        <v/>
      </c>
      <c r="C574" s="13">
        <f>CHAIN_RAW!C574</f>
        <v/>
      </c>
      <c r="D574" s="13">
        <f>CHAIN_RAW!D574</f>
        <v/>
      </c>
      <c r="E574" s="13">
        <f>CHAIN_RAW!E574</f>
        <v/>
      </c>
      <c r="F574" s="13">
        <f>IFERROR((E574-D574)/D574,"")</f>
        <v/>
      </c>
      <c r="G574" s="13">
        <f>IFERROR((CHAIN_RAW!K574+CHAIN_RAW!L574)/2,"")</f>
        <v/>
      </c>
      <c r="H574" s="13">
        <f>IFERROR((CHAIN_RAW!R574+CHAIN_RAW!S574)/2,"")</f>
        <v/>
      </c>
      <c r="I574" s="13">
        <f>IFERROR((CHAIN_RAW!L574-CHAIN_RAW!K574)/MAX(1E-9, G574),"")</f>
        <v/>
      </c>
      <c r="J574" s="13">
        <f>IFERROR((CHAIN_RAW!S574-CHAIN_RAW!R574)/MAX(1E-9, H574),"")</f>
        <v/>
      </c>
      <c r="K574" s="13">
        <f>CHAIN_RAW!G574</f>
        <v/>
      </c>
      <c r="L574" s="13">
        <f>CHAIN_RAW!N574</f>
        <v/>
      </c>
      <c r="M574" s="13">
        <f>IFERROR(L574-K574,"")</f>
        <v/>
      </c>
      <c r="N574" s="13">
        <f>CHAIN_RAW!H574</f>
        <v/>
      </c>
      <c r="O574" s="13">
        <f>CHAIN_RAW!O574</f>
        <v/>
      </c>
      <c r="P574" s="13">
        <f>IFERROR(O574/N574,"")</f>
        <v/>
      </c>
      <c r="Q574" s="13">
        <f>CHAIN_RAW!I574</f>
        <v/>
      </c>
      <c r="R574" s="13">
        <f>CHAIN_RAW!P574</f>
        <v/>
      </c>
      <c r="S574" s="13">
        <f>IFERROR(R574/Q574,"")</f>
        <v/>
      </c>
      <c r="T574" s="13">
        <f>IFERROR((ABS(N574-O574)/MAX(1,(N574+O574)))*EXP(-ABS(E574-CONTROL!E5)/MAX(1,CONTROL!B8)),"")</f>
        <v/>
      </c>
      <c r="U574" s="13">
        <f>IFERROR(IF(O574&gt;N574,"SUPPORT (PE OI)","RESIST (CE OI)"),"")</f>
        <v/>
      </c>
      <c r="V574" s="13">
        <f>IFERROR(IF(Q574&gt;0,IF(R574&gt;0,"BOTH_ADD","CE_ADD_PE_REDUCE"),IF(R574&gt;0,"CE_REDUCE_PE_ADD","BOTH_REDUCE")),"")</f>
        <v/>
      </c>
      <c r="W574" s="13">
        <f>IFERROR( (P574-1)*0.5 + (M574)*0.1 - (I574+J574)*0.05 + T574*0.4 ,"")</f>
        <v/>
      </c>
      <c r="X574" s="13">
        <f>IFERROR(IF(ABS(F574)&lt;0.01,"ATM/NEAR",""),"")</f>
        <v/>
      </c>
    </row>
    <row r="575">
      <c r="A575" s="13">
        <f>CHAIN_RAW!A575</f>
        <v/>
      </c>
      <c r="B575" s="14">
        <f>CHAIN_RAW!B575</f>
        <v/>
      </c>
      <c r="C575" s="13">
        <f>CHAIN_RAW!C575</f>
        <v/>
      </c>
      <c r="D575" s="13">
        <f>CHAIN_RAW!D575</f>
        <v/>
      </c>
      <c r="E575" s="13">
        <f>CHAIN_RAW!E575</f>
        <v/>
      </c>
      <c r="F575" s="13">
        <f>IFERROR((E575-D575)/D575,"")</f>
        <v/>
      </c>
      <c r="G575" s="13">
        <f>IFERROR((CHAIN_RAW!K575+CHAIN_RAW!L575)/2,"")</f>
        <v/>
      </c>
      <c r="H575" s="13">
        <f>IFERROR((CHAIN_RAW!R575+CHAIN_RAW!S575)/2,"")</f>
        <v/>
      </c>
      <c r="I575" s="13">
        <f>IFERROR((CHAIN_RAW!L575-CHAIN_RAW!K575)/MAX(1E-9, G575),"")</f>
        <v/>
      </c>
      <c r="J575" s="13">
        <f>IFERROR((CHAIN_RAW!S575-CHAIN_RAW!R575)/MAX(1E-9, H575),"")</f>
        <v/>
      </c>
      <c r="K575" s="13">
        <f>CHAIN_RAW!G575</f>
        <v/>
      </c>
      <c r="L575" s="13">
        <f>CHAIN_RAW!N575</f>
        <v/>
      </c>
      <c r="M575" s="13">
        <f>IFERROR(L575-K575,"")</f>
        <v/>
      </c>
      <c r="N575" s="13">
        <f>CHAIN_RAW!H575</f>
        <v/>
      </c>
      <c r="O575" s="13">
        <f>CHAIN_RAW!O575</f>
        <v/>
      </c>
      <c r="P575" s="13">
        <f>IFERROR(O575/N575,"")</f>
        <v/>
      </c>
      <c r="Q575" s="13">
        <f>CHAIN_RAW!I575</f>
        <v/>
      </c>
      <c r="R575" s="13">
        <f>CHAIN_RAW!P575</f>
        <v/>
      </c>
      <c r="S575" s="13">
        <f>IFERROR(R575/Q575,"")</f>
        <v/>
      </c>
      <c r="T575" s="13">
        <f>IFERROR((ABS(N575-O575)/MAX(1,(N575+O575)))*EXP(-ABS(E575-CONTROL!E5)/MAX(1,CONTROL!B8)),"")</f>
        <v/>
      </c>
      <c r="U575" s="13">
        <f>IFERROR(IF(O575&gt;N575,"SUPPORT (PE OI)","RESIST (CE OI)"),"")</f>
        <v/>
      </c>
      <c r="V575" s="13">
        <f>IFERROR(IF(Q575&gt;0,IF(R575&gt;0,"BOTH_ADD","CE_ADD_PE_REDUCE"),IF(R575&gt;0,"CE_REDUCE_PE_ADD","BOTH_REDUCE")),"")</f>
        <v/>
      </c>
      <c r="W575" s="13">
        <f>IFERROR( (P575-1)*0.5 + (M575)*0.1 - (I575+J575)*0.05 + T575*0.4 ,"")</f>
        <v/>
      </c>
      <c r="X575" s="13">
        <f>IFERROR(IF(ABS(F575)&lt;0.01,"ATM/NEAR",""),"")</f>
        <v/>
      </c>
    </row>
    <row r="576">
      <c r="A576" s="13">
        <f>CHAIN_RAW!A576</f>
        <v/>
      </c>
      <c r="B576" s="14">
        <f>CHAIN_RAW!B576</f>
        <v/>
      </c>
      <c r="C576" s="13">
        <f>CHAIN_RAW!C576</f>
        <v/>
      </c>
      <c r="D576" s="13">
        <f>CHAIN_RAW!D576</f>
        <v/>
      </c>
      <c r="E576" s="13">
        <f>CHAIN_RAW!E576</f>
        <v/>
      </c>
      <c r="F576" s="13">
        <f>IFERROR((E576-D576)/D576,"")</f>
        <v/>
      </c>
      <c r="G576" s="13">
        <f>IFERROR((CHAIN_RAW!K576+CHAIN_RAW!L576)/2,"")</f>
        <v/>
      </c>
      <c r="H576" s="13">
        <f>IFERROR((CHAIN_RAW!R576+CHAIN_RAW!S576)/2,"")</f>
        <v/>
      </c>
      <c r="I576" s="13">
        <f>IFERROR((CHAIN_RAW!L576-CHAIN_RAW!K576)/MAX(1E-9, G576),"")</f>
        <v/>
      </c>
      <c r="J576" s="13">
        <f>IFERROR((CHAIN_RAW!S576-CHAIN_RAW!R576)/MAX(1E-9, H576),"")</f>
        <v/>
      </c>
      <c r="K576" s="13">
        <f>CHAIN_RAW!G576</f>
        <v/>
      </c>
      <c r="L576" s="13">
        <f>CHAIN_RAW!N576</f>
        <v/>
      </c>
      <c r="M576" s="13">
        <f>IFERROR(L576-K576,"")</f>
        <v/>
      </c>
      <c r="N576" s="13">
        <f>CHAIN_RAW!H576</f>
        <v/>
      </c>
      <c r="O576" s="13">
        <f>CHAIN_RAW!O576</f>
        <v/>
      </c>
      <c r="P576" s="13">
        <f>IFERROR(O576/N576,"")</f>
        <v/>
      </c>
      <c r="Q576" s="13">
        <f>CHAIN_RAW!I576</f>
        <v/>
      </c>
      <c r="R576" s="13">
        <f>CHAIN_RAW!P576</f>
        <v/>
      </c>
      <c r="S576" s="13">
        <f>IFERROR(R576/Q576,"")</f>
        <v/>
      </c>
      <c r="T576" s="13">
        <f>IFERROR((ABS(N576-O576)/MAX(1,(N576+O576)))*EXP(-ABS(E576-CONTROL!E5)/MAX(1,CONTROL!B8)),"")</f>
        <v/>
      </c>
      <c r="U576" s="13">
        <f>IFERROR(IF(O576&gt;N576,"SUPPORT (PE OI)","RESIST (CE OI)"),"")</f>
        <v/>
      </c>
      <c r="V576" s="13">
        <f>IFERROR(IF(Q576&gt;0,IF(R576&gt;0,"BOTH_ADD","CE_ADD_PE_REDUCE"),IF(R576&gt;0,"CE_REDUCE_PE_ADD","BOTH_REDUCE")),"")</f>
        <v/>
      </c>
      <c r="W576" s="13">
        <f>IFERROR( (P576-1)*0.5 + (M576)*0.1 - (I576+J576)*0.05 + T576*0.4 ,"")</f>
        <v/>
      </c>
      <c r="X576" s="13">
        <f>IFERROR(IF(ABS(F576)&lt;0.01,"ATM/NEAR",""),"")</f>
        <v/>
      </c>
    </row>
    <row r="577">
      <c r="A577" s="13">
        <f>CHAIN_RAW!A577</f>
        <v/>
      </c>
      <c r="B577" s="14">
        <f>CHAIN_RAW!B577</f>
        <v/>
      </c>
      <c r="C577" s="13">
        <f>CHAIN_RAW!C577</f>
        <v/>
      </c>
      <c r="D577" s="13">
        <f>CHAIN_RAW!D577</f>
        <v/>
      </c>
      <c r="E577" s="13">
        <f>CHAIN_RAW!E577</f>
        <v/>
      </c>
      <c r="F577" s="13">
        <f>IFERROR((E577-D577)/D577,"")</f>
        <v/>
      </c>
      <c r="G577" s="13">
        <f>IFERROR((CHAIN_RAW!K577+CHAIN_RAW!L577)/2,"")</f>
        <v/>
      </c>
      <c r="H577" s="13">
        <f>IFERROR((CHAIN_RAW!R577+CHAIN_RAW!S577)/2,"")</f>
        <v/>
      </c>
      <c r="I577" s="13">
        <f>IFERROR((CHAIN_RAW!L577-CHAIN_RAW!K577)/MAX(1E-9, G577),"")</f>
        <v/>
      </c>
      <c r="J577" s="13">
        <f>IFERROR((CHAIN_RAW!S577-CHAIN_RAW!R577)/MAX(1E-9, H577),"")</f>
        <v/>
      </c>
      <c r="K577" s="13">
        <f>CHAIN_RAW!G577</f>
        <v/>
      </c>
      <c r="L577" s="13">
        <f>CHAIN_RAW!N577</f>
        <v/>
      </c>
      <c r="M577" s="13">
        <f>IFERROR(L577-K577,"")</f>
        <v/>
      </c>
      <c r="N577" s="13">
        <f>CHAIN_RAW!H577</f>
        <v/>
      </c>
      <c r="O577" s="13">
        <f>CHAIN_RAW!O577</f>
        <v/>
      </c>
      <c r="P577" s="13">
        <f>IFERROR(O577/N577,"")</f>
        <v/>
      </c>
      <c r="Q577" s="13">
        <f>CHAIN_RAW!I577</f>
        <v/>
      </c>
      <c r="R577" s="13">
        <f>CHAIN_RAW!P577</f>
        <v/>
      </c>
      <c r="S577" s="13">
        <f>IFERROR(R577/Q577,"")</f>
        <v/>
      </c>
      <c r="T577" s="13">
        <f>IFERROR((ABS(N577-O577)/MAX(1,(N577+O577)))*EXP(-ABS(E577-CONTROL!E5)/MAX(1,CONTROL!B8)),"")</f>
        <v/>
      </c>
      <c r="U577" s="13">
        <f>IFERROR(IF(O577&gt;N577,"SUPPORT (PE OI)","RESIST (CE OI)"),"")</f>
        <v/>
      </c>
      <c r="V577" s="13">
        <f>IFERROR(IF(Q577&gt;0,IF(R577&gt;0,"BOTH_ADD","CE_ADD_PE_REDUCE"),IF(R577&gt;0,"CE_REDUCE_PE_ADD","BOTH_REDUCE")),"")</f>
        <v/>
      </c>
      <c r="W577" s="13">
        <f>IFERROR( (P577-1)*0.5 + (M577)*0.1 - (I577+J577)*0.05 + T577*0.4 ,"")</f>
        <v/>
      </c>
      <c r="X577" s="13">
        <f>IFERROR(IF(ABS(F577)&lt;0.01,"ATM/NEAR",""),"")</f>
        <v/>
      </c>
    </row>
    <row r="578">
      <c r="A578" s="13">
        <f>CHAIN_RAW!A578</f>
        <v/>
      </c>
      <c r="B578" s="14">
        <f>CHAIN_RAW!B578</f>
        <v/>
      </c>
      <c r="C578" s="13">
        <f>CHAIN_RAW!C578</f>
        <v/>
      </c>
      <c r="D578" s="13">
        <f>CHAIN_RAW!D578</f>
        <v/>
      </c>
      <c r="E578" s="13">
        <f>CHAIN_RAW!E578</f>
        <v/>
      </c>
      <c r="F578" s="13">
        <f>IFERROR((E578-D578)/D578,"")</f>
        <v/>
      </c>
      <c r="G578" s="13">
        <f>IFERROR((CHAIN_RAW!K578+CHAIN_RAW!L578)/2,"")</f>
        <v/>
      </c>
      <c r="H578" s="13">
        <f>IFERROR((CHAIN_RAW!R578+CHAIN_RAW!S578)/2,"")</f>
        <v/>
      </c>
      <c r="I578" s="13">
        <f>IFERROR((CHAIN_RAW!L578-CHAIN_RAW!K578)/MAX(1E-9, G578),"")</f>
        <v/>
      </c>
      <c r="J578" s="13">
        <f>IFERROR((CHAIN_RAW!S578-CHAIN_RAW!R578)/MAX(1E-9, H578),"")</f>
        <v/>
      </c>
      <c r="K578" s="13">
        <f>CHAIN_RAW!G578</f>
        <v/>
      </c>
      <c r="L578" s="13">
        <f>CHAIN_RAW!N578</f>
        <v/>
      </c>
      <c r="M578" s="13">
        <f>IFERROR(L578-K578,"")</f>
        <v/>
      </c>
      <c r="N578" s="13">
        <f>CHAIN_RAW!H578</f>
        <v/>
      </c>
      <c r="O578" s="13">
        <f>CHAIN_RAW!O578</f>
        <v/>
      </c>
      <c r="P578" s="13">
        <f>IFERROR(O578/N578,"")</f>
        <v/>
      </c>
      <c r="Q578" s="13">
        <f>CHAIN_RAW!I578</f>
        <v/>
      </c>
      <c r="R578" s="13">
        <f>CHAIN_RAW!P578</f>
        <v/>
      </c>
      <c r="S578" s="13">
        <f>IFERROR(R578/Q578,"")</f>
        <v/>
      </c>
      <c r="T578" s="13">
        <f>IFERROR((ABS(N578-O578)/MAX(1,(N578+O578)))*EXP(-ABS(E578-CONTROL!E5)/MAX(1,CONTROL!B8)),"")</f>
        <v/>
      </c>
      <c r="U578" s="13">
        <f>IFERROR(IF(O578&gt;N578,"SUPPORT (PE OI)","RESIST (CE OI)"),"")</f>
        <v/>
      </c>
      <c r="V578" s="13">
        <f>IFERROR(IF(Q578&gt;0,IF(R578&gt;0,"BOTH_ADD","CE_ADD_PE_REDUCE"),IF(R578&gt;0,"CE_REDUCE_PE_ADD","BOTH_REDUCE")),"")</f>
        <v/>
      </c>
      <c r="W578" s="13">
        <f>IFERROR( (P578-1)*0.5 + (M578)*0.1 - (I578+J578)*0.05 + T578*0.4 ,"")</f>
        <v/>
      </c>
      <c r="X578" s="13">
        <f>IFERROR(IF(ABS(F578)&lt;0.01,"ATM/NEAR",""),"")</f>
        <v/>
      </c>
    </row>
    <row r="579">
      <c r="A579" s="13">
        <f>CHAIN_RAW!A579</f>
        <v/>
      </c>
      <c r="B579" s="14">
        <f>CHAIN_RAW!B579</f>
        <v/>
      </c>
      <c r="C579" s="13">
        <f>CHAIN_RAW!C579</f>
        <v/>
      </c>
      <c r="D579" s="13">
        <f>CHAIN_RAW!D579</f>
        <v/>
      </c>
      <c r="E579" s="13">
        <f>CHAIN_RAW!E579</f>
        <v/>
      </c>
      <c r="F579" s="13">
        <f>IFERROR((E579-D579)/D579,"")</f>
        <v/>
      </c>
      <c r="G579" s="13">
        <f>IFERROR((CHAIN_RAW!K579+CHAIN_RAW!L579)/2,"")</f>
        <v/>
      </c>
      <c r="H579" s="13">
        <f>IFERROR((CHAIN_RAW!R579+CHAIN_RAW!S579)/2,"")</f>
        <v/>
      </c>
      <c r="I579" s="13">
        <f>IFERROR((CHAIN_RAW!L579-CHAIN_RAW!K579)/MAX(1E-9, G579),"")</f>
        <v/>
      </c>
      <c r="J579" s="13">
        <f>IFERROR((CHAIN_RAW!S579-CHAIN_RAW!R579)/MAX(1E-9, H579),"")</f>
        <v/>
      </c>
      <c r="K579" s="13">
        <f>CHAIN_RAW!G579</f>
        <v/>
      </c>
      <c r="L579" s="13">
        <f>CHAIN_RAW!N579</f>
        <v/>
      </c>
      <c r="M579" s="13">
        <f>IFERROR(L579-K579,"")</f>
        <v/>
      </c>
      <c r="N579" s="13">
        <f>CHAIN_RAW!H579</f>
        <v/>
      </c>
      <c r="O579" s="13">
        <f>CHAIN_RAW!O579</f>
        <v/>
      </c>
      <c r="P579" s="13">
        <f>IFERROR(O579/N579,"")</f>
        <v/>
      </c>
      <c r="Q579" s="13">
        <f>CHAIN_RAW!I579</f>
        <v/>
      </c>
      <c r="R579" s="13">
        <f>CHAIN_RAW!P579</f>
        <v/>
      </c>
      <c r="S579" s="13">
        <f>IFERROR(R579/Q579,"")</f>
        <v/>
      </c>
      <c r="T579" s="13">
        <f>IFERROR((ABS(N579-O579)/MAX(1,(N579+O579)))*EXP(-ABS(E579-CONTROL!E5)/MAX(1,CONTROL!B8)),"")</f>
        <v/>
      </c>
      <c r="U579" s="13">
        <f>IFERROR(IF(O579&gt;N579,"SUPPORT (PE OI)","RESIST (CE OI)"),"")</f>
        <v/>
      </c>
      <c r="V579" s="13">
        <f>IFERROR(IF(Q579&gt;0,IF(R579&gt;0,"BOTH_ADD","CE_ADD_PE_REDUCE"),IF(R579&gt;0,"CE_REDUCE_PE_ADD","BOTH_REDUCE")),"")</f>
        <v/>
      </c>
      <c r="W579" s="13">
        <f>IFERROR( (P579-1)*0.5 + (M579)*0.1 - (I579+J579)*0.05 + T579*0.4 ,"")</f>
        <v/>
      </c>
      <c r="X579" s="13">
        <f>IFERROR(IF(ABS(F579)&lt;0.01,"ATM/NEAR",""),"")</f>
        <v/>
      </c>
    </row>
    <row r="580">
      <c r="A580" s="13">
        <f>CHAIN_RAW!A580</f>
        <v/>
      </c>
      <c r="B580" s="14">
        <f>CHAIN_RAW!B580</f>
        <v/>
      </c>
      <c r="C580" s="13">
        <f>CHAIN_RAW!C580</f>
        <v/>
      </c>
      <c r="D580" s="13">
        <f>CHAIN_RAW!D580</f>
        <v/>
      </c>
      <c r="E580" s="13">
        <f>CHAIN_RAW!E580</f>
        <v/>
      </c>
      <c r="F580" s="13">
        <f>IFERROR((E580-D580)/D580,"")</f>
        <v/>
      </c>
      <c r="G580" s="13">
        <f>IFERROR((CHAIN_RAW!K580+CHAIN_RAW!L580)/2,"")</f>
        <v/>
      </c>
      <c r="H580" s="13">
        <f>IFERROR((CHAIN_RAW!R580+CHAIN_RAW!S580)/2,"")</f>
        <v/>
      </c>
      <c r="I580" s="13">
        <f>IFERROR((CHAIN_RAW!L580-CHAIN_RAW!K580)/MAX(1E-9, G580),"")</f>
        <v/>
      </c>
      <c r="J580" s="13">
        <f>IFERROR((CHAIN_RAW!S580-CHAIN_RAW!R580)/MAX(1E-9, H580),"")</f>
        <v/>
      </c>
      <c r="K580" s="13">
        <f>CHAIN_RAW!G580</f>
        <v/>
      </c>
      <c r="L580" s="13">
        <f>CHAIN_RAW!N580</f>
        <v/>
      </c>
      <c r="M580" s="13">
        <f>IFERROR(L580-K580,"")</f>
        <v/>
      </c>
      <c r="N580" s="13">
        <f>CHAIN_RAW!H580</f>
        <v/>
      </c>
      <c r="O580" s="13">
        <f>CHAIN_RAW!O580</f>
        <v/>
      </c>
      <c r="P580" s="13">
        <f>IFERROR(O580/N580,"")</f>
        <v/>
      </c>
      <c r="Q580" s="13">
        <f>CHAIN_RAW!I580</f>
        <v/>
      </c>
      <c r="R580" s="13">
        <f>CHAIN_RAW!P580</f>
        <v/>
      </c>
      <c r="S580" s="13">
        <f>IFERROR(R580/Q580,"")</f>
        <v/>
      </c>
      <c r="T580" s="13">
        <f>IFERROR((ABS(N580-O580)/MAX(1,(N580+O580)))*EXP(-ABS(E580-CONTROL!E5)/MAX(1,CONTROL!B8)),"")</f>
        <v/>
      </c>
      <c r="U580" s="13">
        <f>IFERROR(IF(O580&gt;N580,"SUPPORT (PE OI)","RESIST (CE OI)"),"")</f>
        <v/>
      </c>
      <c r="V580" s="13">
        <f>IFERROR(IF(Q580&gt;0,IF(R580&gt;0,"BOTH_ADD","CE_ADD_PE_REDUCE"),IF(R580&gt;0,"CE_REDUCE_PE_ADD","BOTH_REDUCE")),"")</f>
        <v/>
      </c>
      <c r="W580" s="13">
        <f>IFERROR( (P580-1)*0.5 + (M580)*0.1 - (I580+J580)*0.05 + T580*0.4 ,"")</f>
        <v/>
      </c>
      <c r="X580" s="13">
        <f>IFERROR(IF(ABS(F580)&lt;0.01,"ATM/NEAR",""),"")</f>
        <v/>
      </c>
    </row>
    <row r="581">
      <c r="A581" s="13">
        <f>CHAIN_RAW!A581</f>
        <v/>
      </c>
      <c r="B581" s="14">
        <f>CHAIN_RAW!B581</f>
        <v/>
      </c>
      <c r="C581" s="13">
        <f>CHAIN_RAW!C581</f>
        <v/>
      </c>
      <c r="D581" s="13">
        <f>CHAIN_RAW!D581</f>
        <v/>
      </c>
      <c r="E581" s="13">
        <f>CHAIN_RAW!E581</f>
        <v/>
      </c>
      <c r="F581" s="13">
        <f>IFERROR((E581-D581)/D581,"")</f>
        <v/>
      </c>
      <c r="G581" s="13">
        <f>IFERROR((CHAIN_RAW!K581+CHAIN_RAW!L581)/2,"")</f>
        <v/>
      </c>
      <c r="H581" s="13">
        <f>IFERROR((CHAIN_RAW!R581+CHAIN_RAW!S581)/2,"")</f>
        <v/>
      </c>
      <c r="I581" s="13">
        <f>IFERROR((CHAIN_RAW!L581-CHAIN_RAW!K581)/MAX(1E-9, G581),"")</f>
        <v/>
      </c>
      <c r="J581" s="13">
        <f>IFERROR((CHAIN_RAW!S581-CHAIN_RAW!R581)/MAX(1E-9, H581),"")</f>
        <v/>
      </c>
      <c r="K581" s="13">
        <f>CHAIN_RAW!G581</f>
        <v/>
      </c>
      <c r="L581" s="13">
        <f>CHAIN_RAW!N581</f>
        <v/>
      </c>
      <c r="M581" s="13">
        <f>IFERROR(L581-K581,"")</f>
        <v/>
      </c>
      <c r="N581" s="13">
        <f>CHAIN_RAW!H581</f>
        <v/>
      </c>
      <c r="O581" s="13">
        <f>CHAIN_RAW!O581</f>
        <v/>
      </c>
      <c r="P581" s="13">
        <f>IFERROR(O581/N581,"")</f>
        <v/>
      </c>
      <c r="Q581" s="13">
        <f>CHAIN_RAW!I581</f>
        <v/>
      </c>
      <c r="R581" s="13">
        <f>CHAIN_RAW!P581</f>
        <v/>
      </c>
      <c r="S581" s="13">
        <f>IFERROR(R581/Q581,"")</f>
        <v/>
      </c>
      <c r="T581" s="13">
        <f>IFERROR((ABS(N581-O581)/MAX(1,(N581+O581)))*EXP(-ABS(E581-CONTROL!E5)/MAX(1,CONTROL!B8)),"")</f>
        <v/>
      </c>
      <c r="U581" s="13">
        <f>IFERROR(IF(O581&gt;N581,"SUPPORT (PE OI)","RESIST (CE OI)"),"")</f>
        <v/>
      </c>
      <c r="V581" s="13">
        <f>IFERROR(IF(Q581&gt;0,IF(R581&gt;0,"BOTH_ADD","CE_ADD_PE_REDUCE"),IF(R581&gt;0,"CE_REDUCE_PE_ADD","BOTH_REDUCE")),"")</f>
        <v/>
      </c>
      <c r="W581" s="13">
        <f>IFERROR( (P581-1)*0.5 + (M581)*0.1 - (I581+J581)*0.05 + T581*0.4 ,"")</f>
        <v/>
      </c>
      <c r="X581" s="13">
        <f>IFERROR(IF(ABS(F581)&lt;0.01,"ATM/NEAR",""),"")</f>
        <v/>
      </c>
    </row>
    <row r="582">
      <c r="A582" s="13">
        <f>CHAIN_RAW!A582</f>
        <v/>
      </c>
      <c r="B582" s="14">
        <f>CHAIN_RAW!B582</f>
        <v/>
      </c>
      <c r="C582" s="13">
        <f>CHAIN_RAW!C582</f>
        <v/>
      </c>
      <c r="D582" s="13">
        <f>CHAIN_RAW!D582</f>
        <v/>
      </c>
      <c r="E582" s="13">
        <f>CHAIN_RAW!E582</f>
        <v/>
      </c>
      <c r="F582" s="13">
        <f>IFERROR((E582-D582)/D582,"")</f>
        <v/>
      </c>
      <c r="G582" s="13">
        <f>IFERROR((CHAIN_RAW!K582+CHAIN_RAW!L582)/2,"")</f>
        <v/>
      </c>
      <c r="H582" s="13">
        <f>IFERROR((CHAIN_RAW!R582+CHAIN_RAW!S582)/2,"")</f>
        <v/>
      </c>
      <c r="I582" s="13">
        <f>IFERROR((CHAIN_RAW!L582-CHAIN_RAW!K582)/MAX(1E-9, G582),"")</f>
        <v/>
      </c>
      <c r="J582" s="13">
        <f>IFERROR((CHAIN_RAW!S582-CHAIN_RAW!R582)/MAX(1E-9, H582),"")</f>
        <v/>
      </c>
      <c r="K582" s="13">
        <f>CHAIN_RAW!G582</f>
        <v/>
      </c>
      <c r="L582" s="13">
        <f>CHAIN_RAW!N582</f>
        <v/>
      </c>
      <c r="M582" s="13">
        <f>IFERROR(L582-K582,"")</f>
        <v/>
      </c>
      <c r="N582" s="13">
        <f>CHAIN_RAW!H582</f>
        <v/>
      </c>
      <c r="O582" s="13">
        <f>CHAIN_RAW!O582</f>
        <v/>
      </c>
      <c r="P582" s="13">
        <f>IFERROR(O582/N582,"")</f>
        <v/>
      </c>
      <c r="Q582" s="13">
        <f>CHAIN_RAW!I582</f>
        <v/>
      </c>
      <c r="R582" s="13">
        <f>CHAIN_RAW!P582</f>
        <v/>
      </c>
      <c r="S582" s="13">
        <f>IFERROR(R582/Q582,"")</f>
        <v/>
      </c>
      <c r="T582" s="13">
        <f>IFERROR((ABS(N582-O582)/MAX(1,(N582+O582)))*EXP(-ABS(E582-CONTROL!E5)/MAX(1,CONTROL!B8)),"")</f>
        <v/>
      </c>
      <c r="U582" s="13">
        <f>IFERROR(IF(O582&gt;N582,"SUPPORT (PE OI)","RESIST (CE OI)"),"")</f>
        <v/>
      </c>
      <c r="V582" s="13">
        <f>IFERROR(IF(Q582&gt;0,IF(R582&gt;0,"BOTH_ADD","CE_ADD_PE_REDUCE"),IF(R582&gt;0,"CE_REDUCE_PE_ADD","BOTH_REDUCE")),"")</f>
        <v/>
      </c>
      <c r="W582" s="13">
        <f>IFERROR( (P582-1)*0.5 + (M582)*0.1 - (I582+J582)*0.05 + T582*0.4 ,"")</f>
        <v/>
      </c>
      <c r="X582" s="13">
        <f>IFERROR(IF(ABS(F582)&lt;0.01,"ATM/NEAR",""),"")</f>
        <v/>
      </c>
    </row>
    <row r="583">
      <c r="A583" s="13">
        <f>CHAIN_RAW!A583</f>
        <v/>
      </c>
      <c r="B583" s="14">
        <f>CHAIN_RAW!B583</f>
        <v/>
      </c>
      <c r="C583" s="13">
        <f>CHAIN_RAW!C583</f>
        <v/>
      </c>
      <c r="D583" s="13">
        <f>CHAIN_RAW!D583</f>
        <v/>
      </c>
      <c r="E583" s="13">
        <f>CHAIN_RAW!E583</f>
        <v/>
      </c>
      <c r="F583" s="13">
        <f>IFERROR((E583-D583)/D583,"")</f>
        <v/>
      </c>
      <c r="G583" s="13">
        <f>IFERROR((CHAIN_RAW!K583+CHAIN_RAW!L583)/2,"")</f>
        <v/>
      </c>
      <c r="H583" s="13">
        <f>IFERROR((CHAIN_RAW!R583+CHAIN_RAW!S583)/2,"")</f>
        <v/>
      </c>
      <c r="I583" s="13">
        <f>IFERROR((CHAIN_RAW!L583-CHAIN_RAW!K583)/MAX(1E-9, G583),"")</f>
        <v/>
      </c>
      <c r="J583" s="13">
        <f>IFERROR((CHAIN_RAW!S583-CHAIN_RAW!R583)/MAX(1E-9, H583),"")</f>
        <v/>
      </c>
      <c r="K583" s="13">
        <f>CHAIN_RAW!G583</f>
        <v/>
      </c>
      <c r="L583" s="13">
        <f>CHAIN_RAW!N583</f>
        <v/>
      </c>
      <c r="M583" s="13">
        <f>IFERROR(L583-K583,"")</f>
        <v/>
      </c>
      <c r="N583" s="13">
        <f>CHAIN_RAW!H583</f>
        <v/>
      </c>
      <c r="O583" s="13">
        <f>CHAIN_RAW!O583</f>
        <v/>
      </c>
      <c r="P583" s="13">
        <f>IFERROR(O583/N583,"")</f>
        <v/>
      </c>
      <c r="Q583" s="13">
        <f>CHAIN_RAW!I583</f>
        <v/>
      </c>
      <c r="R583" s="13">
        <f>CHAIN_RAW!P583</f>
        <v/>
      </c>
      <c r="S583" s="13">
        <f>IFERROR(R583/Q583,"")</f>
        <v/>
      </c>
      <c r="T583" s="13">
        <f>IFERROR((ABS(N583-O583)/MAX(1,(N583+O583)))*EXP(-ABS(E583-CONTROL!E5)/MAX(1,CONTROL!B8)),"")</f>
        <v/>
      </c>
      <c r="U583" s="13">
        <f>IFERROR(IF(O583&gt;N583,"SUPPORT (PE OI)","RESIST (CE OI)"),"")</f>
        <v/>
      </c>
      <c r="V583" s="13">
        <f>IFERROR(IF(Q583&gt;0,IF(R583&gt;0,"BOTH_ADD","CE_ADD_PE_REDUCE"),IF(R583&gt;0,"CE_REDUCE_PE_ADD","BOTH_REDUCE")),"")</f>
        <v/>
      </c>
      <c r="W583" s="13">
        <f>IFERROR( (P583-1)*0.5 + (M583)*0.1 - (I583+J583)*0.05 + T583*0.4 ,"")</f>
        <v/>
      </c>
      <c r="X583" s="13">
        <f>IFERROR(IF(ABS(F583)&lt;0.01,"ATM/NEAR",""),"")</f>
        <v/>
      </c>
    </row>
    <row r="584">
      <c r="A584" s="13">
        <f>CHAIN_RAW!A584</f>
        <v/>
      </c>
      <c r="B584" s="14">
        <f>CHAIN_RAW!B584</f>
        <v/>
      </c>
      <c r="C584" s="13">
        <f>CHAIN_RAW!C584</f>
        <v/>
      </c>
      <c r="D584" s="13">
        <f>CHAIN_RAW!D584</f>
        <v/>
      </c>
      <c r="E584" s="13">
        <f>CHAIN_RAW!E584</f>
        <v/>
      </c>
      <c r="F584" s="13">
        <f>IFERROR((E584-D584)/D584,"")</f>
        <v/>
      </c>
      <c r="G584" s="13">
        <f>IFERROR((CHAIN_RAW!K584+CHAIN_RAW!L584)/2,"")</f>
        <v/>
      </c>
      <c r="H584" s="13">
        <f>IFERROR((CHAIN_RAW!R584+CHAIN_RAW!S584)/2,"")</f>
        <v/>
      </c>
      <c r="I584" s="13">
        <f>IFERROR((CHAIN_RAW!L584-CHAIN_RAW!K584)/MAX(1E-9, G584),"")</f>
        <v/>
      </c>
      <c r="J584" s="13">
        <f>IFERROR((CHAIN_RAW!S584-CHAIN_RAW!R584)/MAX(1E-9, H584),"")</f>
        <v/>
      </c>
      <c r="K584" s="13">
        <f>CHAIN_RAW!G584</f>
        <v/>
      </c>
      <c r="L584" s="13">
        <f>CHAIN_RAW!N584</f>
        <v/>
      </c>
      <c r="M584" s="13">
        <f>IFERROR(L584-K584,"")</f>
        <v/>
      </c>
      <c r="N584" s="13">
        <f>CHAIN_RAW!H584</f>
        <v/>
      </c>
      <c r="O584" s="13">
        <f>CHAIN_RAW!O584</f>
        <v/>
      </c>
      <c r="P584" s="13">
        <f>IFERROR(O584/N584,"")</f>
        <v/>
      </c>
      <c r="Q584" s="13">
        <f>CHAIN_RAW!I584</f>
        <v/>
      </c>
      <c r="R584" s="13">
        <f>CHAIN_RAW!P584</f>
        <v/>
      </c>
      <c r="S584" s="13">
        <f>IFERROR(R584/Q584,"")</f>
        <v/>
      </c>
      <c r="T584" s="13">
        <f>IFERROR((ABS(N584-O584)/MAX(1,(N584+O584)))*EXP(-ABS(E584-CONTROL!E5)/MAX(1,CONTROL!B8)),"")</f>
        <v/>
      </c>
      <c r="U584" s="13">
        <f>IFERROR(IF(O584&gt;N584,"SUPPORT (PE OI)","RESIST (CE OI)"),"")</f>
        <v/>
      </c>
      <c r="V584" s="13">
        <f>IFERROR(IF(Q584&gt;0,IF(R584&gt;0,"BOTH_ADD","CE_ADD_PE_REDUCE"),IF(R584&gt;0,"CE_REDUCE_PE_ADD","BOTH_REDUCE")),"")</f>
        <v/>
      </c>
      <c r="W584" s="13">
        <f>IFERROR( (P584-1)*0.5 + (M584)*0.1 - (I584+J584)*0.05 + T584*0.4 ,"")</f>
        <v/>
      </c>
      <c r="X584" s="13">
        <f>IFERROR(IF(ABS(F584)&lt;0.01,"ATM/NEAR",""),"")</f>
        <v/>
      </c>
    </row>
    <row r="585">
      <c r="A585" s="13">
        <f>CHAIN_RAW!A585</f>
        <v/>
      </c>
      <c r="B585" s="14">
        <f>CHAIN_RAW!B585</f>
        <v/>
      </c>
      <c r="C585" s="13">
        <f>CHAIN_RAW!C585</f>
        <v/>
      </c>
      <c r="D585" s="13">
        <f>CHAIN_RAW!D585</f>
        <v/>
      </c>
      <c r="E585" s="13">
        <f>CHAIN_RAW!E585</f>
        <v/>
      </c>
      <c r="F585" s="13">
        <f>IFERROR((E585-D585)/D585,"")</f>
        <v/>
      </c>
      <c r="G585" s="13">
        <f>IFERROR((CHAIN_RAW!K585+CHAIN_RAW!L585)/2,"")</f>
        <v/>
      </c>
      <c r="H585" s="13">
        <f>IFERROR((CHAIN_RAW!R585+CHAIN_RAW!S585)/2,"")</f>
        <v/>
      </c>
      <c r="I585" s="13">
        <f>IFERROR((CHAIN_RAW!L585-CHAIN_RAW!K585)/MAX(1E-9, G585),"")</f>
        <v/>
      </c>
      <c r="J585" s="13">
        <f>IFERROR((CHAIN_RAW!S585-CHAIN_RAW!R585)/MAX(1E-9, H585),"")</f>
        <v/>
      </c>
      <c r="K585" s="13">
        <f>CHAIN_RAW!G585</f>
        <v/>
      </c>
      <c r="L585" s="13">
        <f>CHAIN_RAW!N585</f>
        <v/>
      </c>
      <c r="M585" s="13">
        <f>IFERROR(L585-K585,"")</f>
        <v/>
      </c>
      <c r="N585" s="13">
        <f>CHAIN_RAW!H585</f>
        <v/>
      </c>
      <c r="O585" s="13">
        <f>CHAIN_RAW!O585</f>
        <v/>
      </c>
      <c r="P585" s="13">
        <f>IFERROR(O585/N585,"")</f>
        <v/>
      </c>
      <c r="Q585" s="13">
        <f>CHAIN_RAW!I585</f>
        <v/>
      </c>
      <c r="R585" s="13">
        <f>CHAIN_RAW!P585</f>
        <v/>
      </c>
      <c r="S585" s="13">
        <f>IFERROR(R585/Q585,"")</f>
        <v/>
      </c>
      <c r="T585" s="13">
        <f>IFERROR((ABS(N585-O585)/MAX(1,(N585+O585)))*EXP(-ABS(E585-CONTROL!E5)/MAX(1,CONTROL!B8)),"")</f>
        <v/>
      </c>
      <c r="U585" s="13">
        <f>IFERROR(IF(O585&gt;N585,"SUPPORT (PE OI)","RESIST (CE OI)"),"")</f>
        <v/>
      </c>
      <c r="V585" s="13">
        <f>IFERROR(IF(Q585&gt;0,IF(R585&gt;0,"BOTH_ADD","CE_ADD_PE_REDUCE"),IF(R585&gt;0,"CE_REDUCE_PE_ADD","BOTH_REDUCE")),"")</f>
        <v/>
      </c>
      <c r="W585" s="13">
        <f>IFERROR( (P585-1)*0.5 + (M585)*0.1 - (I585+J585)*0.05 + T585*0.4 ,"")</f>
        <v/>
      </c>
      <c r="X585" s="13">
        <f>IFERROR(IF(ABS(F585)&lt;0.01,"ATM/NEAR",""),"")</f>
        <v/>
      </c>
    </row>
    <row r="586">
      <c r="A586" s="13">
        <f>CHAIN_RAW!A586</f>
        <v/>
      </c>
      <c r="B586" s="14">
        <f>CHAIN_RAW!B586</f>
        <v/>
      </c>
      <c r="C586" s="13">
        <f>CHAIN_RAW!C586</f>
        <v/>
      </c>
      <c r="D586" s="13">
        <f>CHAIN_RAW!D586</f>
        <v/>
      </c>
      <c r="E586" s="13">
        <f>CHAIN_RAW!E586</f>
        <v/>
      </c>
      <c r="F586" s="13">
        <f>IFERROR((E586-D586)/D586,"")</f>
        <v/>
      </c>
      <c r="G586" s="13">
        <f>IFERROR((CHAIN_RAW!K586+CHAIN_RAW!L586)/2,"")</f>
        <v/>
      </c>
      <c r="H586" s="13">
        <f>IFERROR((CHAIN_RAW!R586+CHAIN_RAW!S586)/2,"")</f>
        <v/>
      </c>
      <c r="I586" s="13">
        <f>IFERROR((CHAIN_RAW!L586-CHAIN_RAW!K586)/MAX(1E-9, G586),"")</f>
        <v/>
      </c>
      <c r="J586" s="13">
        <f>IFERROR((CHAIN_RAW!S586-CHAIN_RAW!R586)/MAX(1E-9, H586),"")</f>
        <v/>
      </c>
      <c r="K586" s="13">
        <f>CHAIN_RAW!G586</f>
        <v/>
      </c>
      <c r="L586" s="13">
        <f>CHAIN_RAW!N586</f>
        <v/>
      </c>
      <c r="M586" s="13">
        <f>IFERROR(L586-K586,"")</f>
        <v/>
      </c>
      <c r="N586" s="13">
        <f>CHAIN_RAW!H586</f>
        <v/>
      </c>
      <c r="O586" s="13">
        <f>CHAIN_RAW!O586</f>
        <v/>
      </c>
      <c r="P586" s="13">
        <f>IFERROR(O586/N586,"")</f>
        <v/>
      </c>
      <c r="Q586" s="13">
        <f>CHAIN_RAW!I586</f>
        <v/>
      </c>
      <c r="R586" s="13">
        <f>CHAIN_RAW!P586</f>
        <v/>
      </c>
      <c r="S586" s="13">
        <f>IFERROR(R586/Q586,"")</f>
        <v/>
      </c>
      <c r="T586" s="13">
        <f>IFERROR((ABS(N586-O586)/MAX(1,(N586+O586)))*EXP(-ABS(E586-CONTROL!E5)/MAX(1,CONTROL!B8)),"")</f>
        <v/>
      </c>
      <c r="U586" s="13">
        <f>IFERROR(IF(O586&gt;N586,"SUPPORT (PE OI)","RESIST (CE OI)"),"")</f>
        <v/>
      </c>
      <c r="V586" s="13">
        <f>IFERROR(IF(Q586&gt;0,IF(R586&gt;0,"BOTH_ADD","CE_ADD_PE_REDUCE"),IF(R586&gt;0,"CE_REDUCE_PE_ADD","BOTH_REDUCE")),"")</f>
        <v/>
      </c>
      <c r="W586" s="13">
        <f>IFERROR( (P586-1)*0.5 + (M586)*0.1 - (I586+J586)*0.05 + T586*0.4 ,"")</f>
        <v/>
      </c>
      <c r="X586" s="13">
        <f>IFERROR(IF(ABS(F586)&lt;0.01,"ATM/NEAR",""),"")</f>
        <v/>
      </c>
    </row>
    <row r="587">
      <c r="A587" s="13">
        <f>CHAIN_RAW!A587</f>
        <v/>
      </c>
      <c r="B587" s="14">
        <f>CHAIN_RAW!B587</f>
        <v/>
      </c>
      <c r="C587" s="13">
        <f>CHAIN_RAW!C587</f>
        <v/>
      </c>
      <c r="D587" s="13">
        <f>CHAIN_RAW!D587</f>
        <v/>
      </c>
      <c r="E587" s="13">
        <f>CHAIN_RAW!E587</f>
        <v/>
      </c>
      <c r="F587" s="13">
        <f>IFERROR((E587-D587)/D587,"")</f>
        <v/>
      </c>
      <c r="G587" s="13">
        <f>IFERROR((CHAIN_RAW!K587+CHAIN_RAW!L587)/2,"")</f>
        <v/>
      </c>
      <c r="H587" s="13">
        <f>IFERROR((CHAIN_RAW!R587+CHAIN_RAW!S587)/2,"")</f>
        <v/>
      </c>
      <c r="I587" s="13">
        <f>IFERROR((CHAIN_RAW!L587-CHAIN_RAW!K587)/MAX(1E-9, G587),"")</f>
        <v/>
      </c>
      <c r="J587" s="13">
        <f>IFERROR((CHAIN_RAW!S587-CHAIN_RAW!R587)/MAX(1E-9, H587),"")</f>
        <v/>
      </c>
      <c r="K587" s="13">
        <f>CHAIN_RAW!G587</f>
        <v/>
      </c>
      <c r="L587" s="13">
        <f>CHAIN_RAW!N587</f>
        <v/>
      </c>
      <c r="M587" s="13">
        <f>IFERROR(L587-K587,"")</f>
        <v/>
      </c>
      <c r="N587" s="13">
        <f>CHAIN_RAW!H587</f>
        <v/>
      </c>
      <c r="O587" s="13">
        <f>CHAIN_RAW!O587</f>
        <v/>
      </c>
      <c r="P587" s="13">
        <f>IFERROR(O587/N587,"")</f>
        <v/>
      </c>
      <c r="Q587" s="13">
        <f>CHAIN_RAW!I587</f>
        <v/>
      </c>
      <c r="R587" s="13">
        <f>CHAIN_RAW!P587</f>
        <v/>
      </c>
      <c r="S587" s="13">
        <f>IFERROR(R587/Q587,"")</f>
        <v/>
      </c>
      <c r="T587" s="13">
        <f>IFERROR((ABS(N587-O587)/MAX(1,(N587+O587)))*EXP(-ABS(E587-CONTROL!E5)/MAX(1,CONTROL!B8)),"")</f>
        <v/>
      </c>
      <c r="U587" s="13">
        <f>IFERROR(IF(O587&gt;N587,"SUPPORT (PE OI)","RESIST (CE OI)"),"")</f>
        <v/>
      </c>
      <c r="V587" s="13">
        <f>IFERROR(IF(Q587&gt;0,IF(R587&gt;0,"BOTH_ADD","CE_ADD_PE_REDUCE"),IF(R587&gt;0,"CE_REDUCE_PE_ADD","BOTH_REDUCE")),"")</f>
        <v/>
      </c>
      <c r="W587" s="13">
        <f>IFERROR( (P587-1)*0.5 + (M587)*0.1 - (I587+J587)*0.05 + T587*0.4 ,"")</f>
        <v/>
      </c>
      <c r="X587" s="13">
        <f>IFERROR(IF(ABS(F587)&lt;0.01,"ATM/NEAR",""),"")</f>
        <v/>
      </c>
    </row>
    <row r="588">
      <c r="A588" s="13">
        <f>CHAIN_RAW!A588</f>
        <v/>
      </c>
      <c r="B588" s="14">
        <f>CHAIN_RAW!B588</f>
        <v/>
      </c>
      <c r="C588" s="13">
        <f>CHAIN_RAW!C588</f>
        <v/>
      </c>
      <c r="D588" s="13">
        <f>CHAIN_RAW!D588</f>
        <v/>
      </c>
      <c r="E588" s="13">
        <f>CHAIN_RAW!E588</f>
        <v/>
      </c>
      <c r="F588" s="13">
        <f>IFERROR((E588-D588)/D588,"")</f>
        <v/>
      </c>
      <c r="G588" s="13">
        <f>IFERROR((CHAIN_RAW!K588+CHAIN_RAW!L588)/2,"")</f>
        <v/>
      </c>
      <c r="H588" s="13">
        <f>IFERROR((CHAIN_RAW!R588+CHAIN_RAW!S588)/2,"")</f>
        <v/>
      </c>
      <c r="I588" s="13">
        <f>IFERROR((CHAIN_RAW!L588-CHAIN_RAW!K588)/MAX(1E-9, G588),"")</f>
        <v/>
      </c>
      <c r="J588" s="13">
        <f>IFERROR((CHAIN_RAW!S588-CHAIN_RAW!R588)/MAX(1E-9, H588),"")</f>
        <v/>
      </c>
      <c r="K588" s="13">
        <f>CHAIN_RAW!G588</f>
        <v/>
      </c>
      <c r="L588" s="13">
        <f>CHAIN_RAW!N588</f>
        <v/>
      </c>
      <c r="M588" s="13">
        <f>IFERROR(L588-K588,"")</f>
        <v/>
      </c>
      <c r="N588" s="13">
        <f>CHAIN_RAW!H588</f>
        <v/>
      </c>
      <c r="O588" s="13">
        <f>CHAIN_RAW!O588</f>
        <v/>
      </c>
      <c r="P588" s="13">
        <f>IFERROR(O588/N588,"")</f>
        <v/>
      </c>
      <c r="Q588" s="13">
        <f>CHAIN_RAW!I588</f>
        <v/>
      </c>
      <c r="R588" s="13">
        <f>CHAIN_RAW!P588</f>
        <v/>
      </c>
      <c r="S588" s="13">
        <f>IFERROR(R588/Q588,"")</f>
        <v/>
      </c>
      <c r="T588" s="13">
        <f>IFERROR((ABS(N588-O588)/MAX(1,(N588+O588)))*EXP(-ABS(E588-CONTROL!E5)/MAX(1,CONTROL!B8)),"")</f>
        <v/>
      </c>
      <c r="U588" s="13">
        <f>IFERROR(IF(O588&gt;N588,"SUPPORT (PE OI)","RESIST (CE OI)"),"")</f>
        <v/>
      </c>
      <c r="V588" s="13">
        <f>IFERROR(IF(Q588&gt;0,IF(R588&gt;0,"BOTH_ADD","CE_ADD_PE_REDUCE"),IF(R588&gt;0,"CE_REDUCE_PE_ADD","BOTH_REDUCE")),"")</f>
        <v/>
      </c>
      <c r="W588" s="13">
        <f>IFERROR( (P588-1)*0.5 + (M588)*0.1 - (I588+J588)*0.05 + T588*0.4 ,"")</f>
        <v/>
      </c>
      <c r="X588" s="13">
        <f>IFERROR(IF(ABS(F588)&lt;0.01,"ATM/NEAR",""),"")</f>
        <v/>
      </c>
    </row>
    <row r="589">
      <c r="A589" s="13">
        <f>CHAIN_RAW!A589</f>
        <v/>
      </c>
      <c r="B589" s="14">
        <f>CHAIN_RAW!B589</f>
        <v/>
      </c>
      <c r="C589" s="13">
        <f>CHAIN_RAW!C589</f>
        <v/>
      </c>
      <c r="D589" s="13">
        <f>CHAIN_RAW!D589</f>
        <v/>
      </c>
      <c r="E589" s="13">
        <f>CHAIN_RAW!E589</f>
        <v/>
      </c>
      <c r="F589" s="13">
        <f>IFERROR((E589-D589)/D589,"")</f>
        <v/>
      </c>
      <c r="G589" s="13">
        <f>IFERROR((CHAIN_RAW!K589+CHAIN_RAW!L589)/2,"")</f>
        <v/>
      </c>
      <c r="H589" s="13">
        <f>IFERROR((CHAIN_RAW!R589+CHAIN_RAW!S589)/2,"")</f>
        <v/>
      </c>
      <c r="I589" s="13">
        <f>IFERROR((CHAIN_RAW!L589-CHAIN_RAW!K589)/MAX(1E-9, G589),"")</f>
        <v/>
      </c>
      <c r="J589" s="13">
        <f>IFERROR((CHAIN_RAW!S589-CHAIN_RAW!R589)/MAX(1E-9, H589),"")</f>
        <v/>
      </c>
      <c r="K589" s="13">
        <f>CHAIN_RAW!G589</f>
        <v/>
      </c>
      <c r="L589" s="13">
        <f>CHAIN_RAW!N589</f>
        <v/>
      </c>
      <c r="M589" s="13">
        <f>IFERROR(L589-K589,"")</f>
        <v/>
      </c>
      <c r="N589" s="13">
        <f>CHAIN_RAW!H589</f>
        <v/>
      </c>
      <c r="O589" s="13">
        <f>CHAIN_RAW!O589</f>
        <v/>
      </c>
      <c r="P589" s="13">
        <f>IFERROR(O589/N589,"")</f>
        <v/>
      </c>
      <c r="Q589" s="13">
        <f>CHAIN_RAW!I589</f>
        <v/>
      </c>
      <c r="R589" s="13">
        <f>CHAIN_RAW!P589</f>
        <v/>
      </c>
      <c r="S589" s="13">
        <f>IFERROR(R589/Q589,"")</f>
        <v/>
      </c>
      <c r="T589" s="13">
        <f>IFERROR((ABS(N589-O589)/MAX(1,(N589+O589)))*EXP(-ABS(E589-CONTROL!E5)/MAX(1,CONTROL!B8)),"")</f>
        <v/>
      </c>
      <c r="U589" s="13">
        <f>IFERROR(IF(O589&gt;N589,"SUPPORT (PE OI)","RESIST (CE OI)"),"")</f>
        <v/>
      </c>
      <c r="V589" s="13">
        <f>IFERROR(IF(Q589&gt;0,IF(R589&gt;0,"BOTH_ADD","CE_ADD_PE_REDUCE"),IF(R589&gt;0,"CE_REDUCE_PE_ADD","BOTH_REDUCE")),"")</f>
        <v/>
      </c>
      <c r="W589" s="13">
        <f>IFERROR( (P589-1)*0.5 + (M589)*0.1 - (I589+J589)*0.05 + T589*0.4 ,"")</f>
        <v/>
      </c>
      <c r="X589" s="13">
        <f>IFERROR(IF(ABS(F589)&lt;0.01,"ATM/NEAR",""),"")</f>
        <v/>
      </c>
    </row>
    <row r="590">
      <c r="A590" s="13">
        <f>CHAIN_RAW!A590</f>
        <v/>
      </c>
      <c r="B590" s="14">
        <f>CHAIN_RAW!B590</f>
        <v/>
      </c>
      <c r="C590" s="13">
        <f>CHAIN_RAW!C590</f>
        <v/>
      </c>
      <c r="D590" s="13">
        <f>CHAIN_RAW!D590</f>
        <v/>
      </c>
      <c r="E590" s="13">
        <f>CHAIN_RAW!E590</f>
        <v/>
      </c>
      <c r="F590" s="13">
        <f>IFERROR((E590-D590)/D590,"")</f>
        <v/>
      </c>
      <c r="G590" s="13">
        <f>IFERROR((CHAIN_RAW!K590+CHAIN_RAW!L590)/2,"")</f>
        <v/>
      </c>
      <c r="H590" s="13">
        <f>IFERROR((CHAIN_RAW!R590+CHAIN_RAW!S590)/2,"")</f>
        <v/>
      </c>
      <c r="I590" s="13">
        <f>IFERROR((CHAIN_RAW!L590-CHAIN_RAW!K590)/MAX(1E-9, G590),"")</f>
        <v/>
      </c>
      <c r="J590" s="13">
        <f>IFERROR((CHAIN_RAW!S590-CHAIN_RAW!R590)/MAX(1E-9, H590),"")</f>
        <v/>
      </c>
      <c r="K590" s="13">
        <f>CHAIN_RAW!G590</f>
        <v/>
      </c>
      <c r="L590" s="13">
        <f>CHAIN_RAW!N590</f>
        <v/>
      </c>
      <c r="M590" s="13">
        <f>IFERROR(L590-K590,"")</f>
        <v/>
      </c>
      <c r="N590" s="13">
        <f>CHAIN_RAW!H590</f>
        <v/>
      </c>
      <c r="O590" s="13">
        <f>CHAIN_RAW!O590</f>
        <v/>
      </c>
      <c r="P590" s="13">
        <f>IFERROR(O590/N590,"")</f>
        <v/>
      </c>
      <c r="Q590" s="13">
        <f>CHAIN_RAW!I590</f>
        <v/>
      </c>
      <c r="R590" s="13">
        <f>CHAIN_RAW!P590</f>
        <v/>
      </c>
      <c r="S590" s="13">
        <f>IFERROR(R590/Q590,"")</f>
        <v/>
      </c>
      <c r="T590" s="13">
        <f>IFERROR((ABS(N590-O590)/MAX(1,(N590+O590)))*EXP(-ABS(E590-CONTROL!E5)/MAX(1,CONTROL!B8)),"")</f>
        <v/>
      </c>
      <c r="U590" s="13">
        <f>IFERROR(IF(O590&gt;N590,"SUPPORT (PE OI)","RESIST (CE OI)"),"")</f>
        <v/>
      </c>
      <c r="V590" s="13">
        <f>IFERROR(IF(Q590&gt;0,IF(R590&gt;0,"BOTH_ADD","CE_ADD_PE_REDUCE"),IF(R590&gt;0,"CE_REDUCE_PE_ADD","BOTH_REDUCE")),"")</f>
        <v/>
      </c>
      <c r="W590" s="13">
        <f>IFERROR( (P590-1)*0.5 + (M590)*0.1 - (I590+J590)*0.05 + T590*0.4 ,"")</f>
        <v/>
      </c>
      <c r="X590" s="13">
        <f>IFERROR(IF(ABS(F590)&lt;0.01,"ATM/NEAR",""),"")</f>
        <v/>
      </c>
    </row>
    <row r="591">
      <c r="A591" s="13">
        <f>CHAIN_RAW!A591</f>
        <v/>
      </c>
      <c r="B591" s="14">
        <f>CHAIN_RAW!B591</f>
        <v/>
      </c>
      <c r="C591" s="13">
        <f>CHAIN_RAW!C591</f>
        <v/>
      </c>
      <c r="D591" s="13">
        <f>CHAIN_RAW!D591</f>
        <v/>
      </c>
      <c r="E591" s="13">
        <f>CHAIN_RAW!E591</f>
        <v/>
      </c>
      <c r="F591" s="13">
        <f>IFERROR((E591-D591)/D591,"")</f>
        <v/>
      </c>
      <c r="G591" s="13">
        <f>IFERROR((CHAIN_RAW!K591+CHAIN_RAW!L591)/2,"")</f>
        <v/>
      </c>
      <c r="H591" s="13">
        <f>IFERROR((CHAIN_RAW!R591+CHAIN_RAW!S591)/2,"")</f>
        <v/>
      </c>
      <c r="I591" s="13">
        <f>IFERROR((CHAIN_RAW!L591-CHAIN_RAW!K591)/MAX(1E-9, G591),"")</f>
        <v/>
      </c>
      <c r="J591" s="13">
        <f>IFERROR((CHAIN_RAW!S591-CHAIN_RAW!R591)/MAX(1E-9, H591),"")</f>
        <v/>
      </c>
      <c r="K591" s="13">
        <f>CHAIN_RAW!G591</f>
        <v/>
      </c>
      <c r="L591" s="13">
        <f>CHAIN_RAW!N591</f>
        <v/>
      </c>
      <c r="M591" s="13">
        <f>IFERROR(L591-K591,"")</f>
        <v/>
      </c>
      <c r="N591" s="13">
        <f>CHAIN_RAW!H591</f>
        <v/>
      </c>
      <c r="O591" s="13">
        <f>CHAIN_RAW!O591</f>
        <v/>
      </c>
      <c r="P591" s="13">
        <f>IFERROR(O591/N591,"")</f>
        <v/>
      </c>
      <c r="Q591" s="13">
        <f>CHAIN_RAW!I591</f>
        <v/>
      </c>
      <c r="R591" s="13">
        <f>CHAIN_RAW!P591</f>
        <v/>
      </c>
      <c r="S591" s="13">
        <f>IFERROR(R591/Q591,"")</f>
        <v/>
      </c>
      <c r="T591" s="13">
        <f>IFERROR((ABS(N591-O591)/MAX(1,(N591+O591)))*EXP(-ABS(E591-CONTROL!E5)/MAX(1,CONTROL!B8)),"")</f>
        <v/>
      </c>
      <c r="U591" s="13">
        <f>IFERROR(IF(O591&gt;N591,"SUPPORT (PE OI)","RESIST (CE OI)"),"")</f>
        <v/>
      </c>
      <c r="V591" s="13">
        <f>IFERROR(IF(Q591&gt;0,IF(R591&gt;0,"BOTH_ADD","CE_ADD_PE_REDUCE"),IF(R591&gt;0,"CE_REDUCE_PE_ADD","BOTH_REDUCE")),"")</f>
        <v/>
      </c>
      <c r="W591" s="13">
        <f>IFERROR( (P591-1)*0.5 + (M591)*0.1 - (I591+J591)*0.05 + T591*0.4 ,"")</f>
        <v/>
      </c>
      <c r="X591" s="13">
        <f>IFERROR(IF(ABS(F591)&lt;0.01,"ATM/NEAR",""),"")</f>
        <v/>
      </c>
    </row>
    <row r="592">
      <c r="A592" s="13">
        <f>CHAIN_RAW!A592</f>
        <v/>
      </c>
      <c r="B592" s="14">
        <f>CHAIN_RAW!B592</f>
        <v/>
      </c>
      <c r="C592" s="13">
        <f>CHAIN_RAW!C592</f>
        <v/>
      </c>
      <c r="D592" s="13">
        <f>CHAIN_RAW!D592</f>
        <v/>
      </c>
      <c r="E592" s="13">
        <f>CHAIN_RAW!E592</f>
        <v/>
      </c>
      <c r="F592" s="13">
        <f>IFERROR((E592-D592)/D592,"")</f>
        <v/>
      </c>
      <c r="G592" s="13">
        <f>IFERROR((CHAIN_RAW!K592+CHAIN_RAW!L592)/2,"")</f>
        <v/>
      </c>
      <c r="H592" s="13">
        <f>IFERROR((CHAIN_RAW!R592+CHAIN_RAW!S592)/2,"")</f>
        <v/>
      </c>
      <c r="I592" s="13">
        <f>IFERROR((CHAIN_RAW!L592-CHAIN_RAW!K592)/MAX(1E-9, G592),"")</f>
        <v/>
      </c>
      <c r="J592" s="13">
        <f>IFERROR((CHAIN_RAW!S592-CHAIN_RAW!R592)/MAX(1E-9, H592),"")</f>
        <v/>
      </c>
      <c r="K592" s="13">
        <f>CHAIN_RAW!G592</f>
        <v/>
      </c>
      <c r="L592" s="13">
        <f>CHAIN_RAW!N592</f>
        <v/>
      </c>
      <c r="M592" s="13">
        <f>IFERROR(L592-K592,"")</f>
        <v/>
      </c>
      <c r="N592" s="13">
        <f>CHAIN_RAW!H592</f>
        <v/>
      </c>
      <c r="O592" s="13">
        <f>CHAIN_RAW!O592</f>
        <v/>
      </c>
      <c r="P592" s="13">
        <f>IFERROR(O592/N592,"")</f>
        <v/>
      </c>
      <c r="Q592" s="13">
        <f>CHAIN_RAW!I592</f>
        <v/>
      </c>
      <c r="R592" s="13">
        <f>CHAIN_RAW!P592</f>
        <v/>
      </c>
      <c r="S592" s="13">
        <f>IFERROR(R592/Q592,"")</f>
        <v/>
      </c>
      <c r="T592" s="13">
        <f>IFERROR((ABS(N592-O592)/MAX(1,(N592+O592)))*EXP(-ABS(E592-CONTROL!E5)/MAX(1,CONTROL!B8)),"")</f>
        <v/>
      </c>
      <c r="U592" s="13">
        <f>IFERROR(IF(O592&gt;N592,"SUPPORT (PE OI)","RESIST (CE OI)"),"")</f>
        <v/>
      </c>
      <c r="V592" s="13">
        <f>IFERROR(IF(Q592&gt;0,IF(R592&gt;0,"BOTH_ADD","CE_ADD_PE_REDUCE"),IF(R592&gt;0,"CE_REDUCE_PE_ADD","BOTH_REDUCE")),"")</f>
        <v/>
      </c>
      <c r="W592" s="13">
        <f>IFERROR( (P592-1)*0.5 + (M592)*0.1 - (I592+J592)*0.05 + T592*0.4 ,"")</f>
        <v/>
      </c>
      <c r="X592" s="13">
        <f>IFERROR(IF(ABS(F592)&lt;0.01,"ATM/NEAR",""),"")</f>
        <v/>
      </c>
    </row>
    <row r="593">
      <c r="A593" s="13">
        <f>CHAIN_RAW!A593</f>
        <v/>
      </c>
      <c r="B593" s="14">
        <f>CHAIN_RAW!B593</f>
        <v/>
      </c>
      <c r="C593" s="13">
        <f>CHAIN_RAW!C593</f>
        <v/>
      </c>
      <c r="D593" s="13">
        <f>CHAIN_RAW!D593</f>
        <v/>
      </c>
      <c r="E593" s="13">
        <f>CHAIN_RAW!E593</f>
        <v/>
      </c>
      <c r="F593" s="13">
        <f>IFERROR((E593-D593)/D593,"")</f>
        <v/>
      </c>
      <c r="G593" s="13">
        <f>IFERROR((CHAIN_RAW!K593+CHAIN_RAW!L593)/2,"")</f>
        <v/>
      </c>
      <c r="H593" s="13">
        <f>IFERROR((CHAIN_RAW!R593+CHAIN_RAW!S593)/2,"")</f>
        <v/>
      </c>
      <c r="I593" s="13">
        <f>IFERROR((CHAIN_RAW!L593-CHAIN_RAW!K593)/MAX(1E-9, G593),"")</f>
        <v/>
      </c>
      <c r="J593" s="13">
        <f>IFERROR((CHAIN_RAW!S593-CHAIN_RAW!R593)/MAX(1E-9, H593),"")</f>
        <v/>
      </c>
      <c r="K593" s="13">
        <f>CHAIN_RAW!G593</f>
        <v/>
      </c>
      <c r="L593" s="13">
        <f>CHAIN_RAW!N593</f>
        <v/>
      </c>
      <c r="M593" s="13">
        <f>IFERROR(L593-K593,"")</f>
        <v/>
      </c>
      <c r="N593" s="13">
        <f>CHAIN_RAW!H593</f>
        <v/>
      </c>
      <c r="O593" s="13">
        <f>CHAIN_RAW!O593</f>
        <v/>
      </c>
      <c r="P593" s="13">
        <f>IFERROR(O593/N593,"")</f>
        <v/>
      </c>
      <c r="Q593" s="13">
        <f>CHAIN_RAW!I593</f>
        <v/>
      </c>
      <c r="R593" s="13">
        <f>CHAIN_RAW!P593</f>
        <v/>
      </c>
      <c r="S593" s="13">
        <f>IFERROR(R593/Q593,"")</f>
        <v/>
      </c>
      <c r="T593" s="13">
        <f>IFERROR((ABS(N593-O593)/MAX(1,(N593+O593)))*EXP(-ABS(E593-CONTROL!E5)/MAX(1,CONTROL!B8)),"")</f>
        <v/>
      </c>
      <c r="U593" s="13">
        <f>IFERROR(IF(O593&gt;N593,"SUPPORT (PE OI)","RESIST (CE OI)"),"")</f>
        <v/>
      </c>
      <c r="V593" s="13">
        <f>IFERROR(IF(Q593&gt;0,IF(R593&gt;0,"BOTH_ADD","CE_ADD_PE_REDUCE"),IF(R593&gt;0,"CE_REDUCE_PE_ADD","BOTH_REDUCE")),"")</f>
        <v/>
      </c>
      <c r="W593" s="13">
        <f>IFERROR( (P593-1)*0.5 + (M593)*0.1 - (I593+J593)*0.05 + T593*0.4 ,"")</f>
        <v/>
      </c>
      <c r="X593" s="13">
        <f>IFERROR(IF(ABS(F593)&lt;0.01,"ATM/NEAR",""),"")</f>
        <v/>
      </c>
    </row>
    <row r="594">
      <c r="A594" s="13">
        <f>CHAIN_RAW!A594</f>
        <v/>
      </c>
      <c r="B594" s="14">
        <f>CHAIN_RAW!B594</f>
        <v/>
      </c>
      <c r="C594" s="13">
        <f>CHAIN_RAW!C594</f>
        <v/>
      </c>
      <c r="D594" s="13">
        <f>CHAIN_RAW!D594</f>
        <v/>
      </c>
      <c r="E594" s="13">
        <f>CHAIN_RAW!E594</f>
        <v/>
      </c>
      <c r="F594" s="13">
        <f>IFERROR((E594-D594)/D594,"")</f>
        <v/>
      </c>
      <c r="G594" s="13">
        <f>IFERROR((CHAIN_RAW!K594+CHAIN_RAW!L594)/2,"")</f>
        <v/>
      </c>
      <c r="H594" s="13">
        <f>IFERROR((CHAIN_RAW!R594+CHAIN_RAW!S594)/2,"")</f>
        <v/>
      </c>
      <c r="I594" s="13">
        <f>IFERROR((CHAIN_RAW!L594-CHAIN_RAW!K594)/MAX(1E-9, G594),"")</f>
        <v/>
      </c>
      <c r="J594" s="13">
        <f>IFERROR((CHAIN_RAW!S594-CHAIN_RAW!R594)/MAX(1E-9, H594),"")</f>
        <v/>
      </c>
      <c r="K594" s="13">
        <f>CHAIN_RAW!G594</f>
        <v/>
      </c>
      <c r="L594" s="13">
        <f>CHAIN_RAW!N594</f>
        <v/>
      </c>
      <c r="M594" s="13">
        <f>IFERROR(L594-K594,"")</f>
        <v/>
      </c>
      <c r="N594" s="13">
        <f>CHAIN_RAW!H594</f>
        <v/>
      </c>
      <c r="O594" s="13">
        <f>CHAIN_RAW!O594</f>
        <v/>
      </c>
      <c r="P594" s="13">
        <f>IFERROR(O594/N594,"")</f>
        <v/>
      </c>
      <c r="Q594" s="13">
        <f>CHAIN_RAW!I594</f>
        <v/>
      </c>
      <c r="R594" s="13">
        <f>CHAIN_RAW!P594</f>
        <v/>
      </c>
      <c r="S594" s="13">
        <f>IFERROR(R594/Q594,"")</f>
        <v/>
      </c>
      <c r="T594" s="13">
        <f>IFERROR((ABS(N594-O594)/MAX(1,(N594+O594)))*EXP(-ABS(E594-CONTROL!E5)/MAX(1,CONTROL!B8)),"")</f>
        <v/>
      </c>
      <c r="U594" s="13">
        <f>IFERROR(IF(O594&gt;N594,"SUPPORT (PE OI)","RESIST (CE OI)"),"")</f>
        <v/>
      </c>
      <c r="V594" s="13">
        <f>IFERROR(IF(Q594&gt;0,IF(R594&gt;0,"BOTH_ADD","CE_ADD_PE_REDUCE"),IF(R594&gt;0,"CE_REDUCE_PE_ADD","BOTH_REDUCE")),"")</f>
        <v/>
      </c>
      <c r="W594" s="13">
        <f>IFERROR( (P594-1)*0.5 + (M594)*0.1 - (I594+J594)*0.05 + T594*0.4 ,"")</f>
        <v/>
      </c>
      <c r="X594" s="13">
        <f>IFERROR(IF(ABS(F594)&lt;0.01,"ATM/NEAR",""),"")</f>
        <v/>
      </c>
    </row>
    <row r="595">
      <c r="A595" s="13">
        <f>CHAIN_RAW!A595</f>
        <v/>
      </c>
      <c r="B595" s="14">
        <f>CHAIN_RAW!B595</f>
        <v/>
      </c>
      <c r="C595" s="13">
        <f>CHAIN_RAW!C595</f>
        <v/>
      </c>
      <c r="D595" s="13">
        <f>CHAIN_RAW!D595</f>
        <v/>
      </c>
      <c r="E595" s="13">
        <f>CHAIN_RAW!E595</f>
        <v/>
      </c>
      <c r="F595" s="13">
        <f>IFERROR((E595-D595)/D595,"")</f>
        <v/>
      </c>
      <c r="G595" s="13">
        <f>IFERROR((CHAIN_RAW!K595+CHAIN_RAW!L595)/2,"")</f>
        <v/>
      </c>
      <c r="H595" s="13">
        <f>IFERROR((CHAIN_RAW!R595+CHAIN_RAW!S595)/2,"")</f>
        <v/>
      </c>
      <c r="I595" s="13">
        <f>IFERROR((CHAIN_RAW!L595-CHAIN_RAW!K595)/MAX(1E-9, G595),"")</f>
        <v/>
      </c>
      <c r="J595" s="13">
        <f>IFERROR((CHAIN_RAW!S595-CHAIN_RAW!R595)/MAX(1E-9, H595),"")</f>
        <v/>
      </c>
      <c r="K595" s="13">
        <f>CHAIN_RAW!G595</f>
        <v/>
      </c>
      <c r="L595" s="13">
        <f>CHAIN_RAW!N595</f>
        <v/>
      </c>
      <c r="M595" s="13">
        <f>IFERROR(L595-K595,"")</f>
        <v/>
      </c>
      <c r="N595" s="13">
        <f>CHAIN_RAW!H595</f>
        <v/>
      </c>
      <c r="O595" s="13">
        <f>CHAIN_RAW!O595</f>
        <v/>
      </c>
      <c r="P595" s="13">
        <f>IFERROR(O595/N595,"")</f>
        <v/>
      </c>
      <c r="Q595" s="13">
        <f>CHAIN_RAW!I595</f>
        <v/>
      </c>
      <c r="R595" s="13">
        <f>CHAIN_RAW!P595</f>
        <v/>
      </c>
      <c r="S595" s="13">
        <f>IFERROR(R595/Q595,"")</f>
        <v/>
      </c>
      <c r="T595" s="13">
        <f>IFERROR((ABS(N595-O595)/MAX(1,(N595+O595)))*EXP(-ABS(E595-CONTROL!E5)/MAX(1,CONTROL!B8)),"")</f>
        <v/>
      </c>
      <c r="U595" s="13">
        <f>IFERROR(IF(O595&gt;N595,"SUPPORT (PE OI)","RESIST (CE OI)"),"")</f>
        <v/>
      </c>
      <c r="V595" s="13">
        <f>IFERROR(IF(Q595&gt;0,IF(R595&gt;0,"BOTH_ADD","CE_ADD_PE_REDUCE"),IF(R595&gt;0,"CE_REDUCE_PE_ADD","BOTH_REDUCE")),"")</f>
        <v/>
      </c>
      <c r="W595" s="13">
        <f>IFERROR( (P595-1)*0.5 + (M595)*0.1 - (I595+J595)*0.05 + T595*0.4 ,"")</f>
        <v/>
      </c>
      <c r="X595" s="13">
        <f>IFERROR(IF(ABS(F595)&lt;0.01,"ATM/NEAR",""),"")</f>
        <v/>
      </c>
    </row>
    <row r="596">
      <c r="A596" s="13">
        <f>CHAIN_RAW!A596</f>
        <v/>
      </c>
      <c r="B596" s="14">
        <f>CHAIN_RAW!B596</f>
        <v/>
      </c>
      <c r="C596" s="13">
        <f>CHAIN_RAW!C596</f>
        <v/>
      </c>
      <c r="D596" s="13">
        <f>CHAIN_RAW!D596</f>
        <v/>
      </c>
      <c r="E596" s="13">
        <f>CHAIN_RAW!E596</f>
        <v/>
      </c>
      <c r="F596" s="13">
        <f>IFERROR((E596-D596)/D596,"")</f>
        <v/>
      </c>
      <c r="G596" s="13">
        <f>IFERROR((CHAIN_RAW!K596+CHAIN_RAW!L596)/2,"")</f>
        <v/>
      </c>
      <c r="H596" s="13">
        <f>IFERROR((CHAIN_RAW!R596+CHAIN_RAW!S596)/2,"")</f>
        <v/>
      </c>
      <c r="I596" s="13">
        <f>IFERROR((CHAIN_RAW!L596-CHAIN_RAW!K596)/MAX(1E-9, G596),"")</f>
        <v/>
      </c>
      <c r="J596" s="13">
        <f>IFERROR((CHAIN_RAW!S596-CHAIN_RAW!R596)/MAX(1E-9, H596),"")</f>
        <v/>
      </c>
      <c r="K596" s="13">
        <f>CHAIN_RAW!G596</f>
        <v/>
      </c>
      <c r="L596" s="13">
        <f>CHAIN_RAW!N596</f>
        <v/>
      </c>
      <c r="M596" s="13">
        <f>IFERROR(L596-K596,"")</f>
        <v/>
      </c>
      <c r="N596" s="13">
        <f>CHAIN_RAW!H596</f>
        <v/>
      </c>
      <c r="O596" s="13">
        <f>CHAIN_RAW!O596</f>
        <v/>
      </c>
      <c r="P596" s="13">
        <f>IFERROR(O596/N596,"")</f>
        <v/>
      </c>
      <c r="Q596" s="13">
        <f>CHAIN_RAW!I596</f>
        <v/>
      </c>
      <c r="R596" s="13">
        <f>CHAIN_RAW!P596</f>
        <v/>
      </c>
      <c r="S596" s="13">
        <f>IFERROR(R596/Q596,"")</f>
        <v/>
      </c>
      <c r="T596" s="13">
        <f>IFERROR((ABS(N596-O596)/MAX(1,(N596+O596)))*EXP(-ABS(E596-CONTROL!E5)/MAX(1,CONTROL!B8)),"")</f>
        <v/>
      </c>
      <c r="U596" s="13">
        <f>IFERROR(IF(O596&gt;N596,"SUPPORT (PE OI)","RESIST (CE OI)"),"")</f>
        <v/>
      </c>
      <c r="V596" s="13">
        <f>IFERROR(IF(Q596&gt;0,IF(R596&gt;0,"BOTH_ADD","CE_ADD_PE_REDUCE"),IF(R596&gt;0,"CE_REDUCE_PE_ADD","BOTH_REDUCE")),"")</f>
        <v/>
      </c>
      <c r="W596" s="13">
        <f>IFERROR( (P596-1)*0.5 + (M596)*0.1 - (I596+J596)*0.05 + T596*0.4 ,"")</f>
        <v/>
      </c>
      <c r="X596" s="13">
        <f>IFERROR(IF(ABS(F596)&lt;0.01,"ATM/NEAR",""),"")</f>
        <v/>
      </c>
    </row>
    <row r="597">
      <c r="A597" s="13">
        <f>CHAIN_RAW!A597</f>
        <v/>
      </c>
      <c r="B597" s="14">
        <f>CHAIN_RAW!B597</f>
        <v/>
      </c>
      <c r="C597" s="13">
        <f>CHAIN_RAW!C597</f>
        <v/>
      </c>
      <c r="D597" s="13">
        <f>CHAIN_RAW!D597</f>
        <v/>
      </c>
      <c r="E597" s="13">
        <f>CHAIN_RAW!E597</f>
        <v/>
      </c>
      <c r="F597" s="13">
        <f>IFERROR((E597-D597)/D597,"")</f>
        <v/>
      </c>
      <c r="G597" s="13">
        <f>IFERROR((CHAIN_RAW!K597+CHAIN_RAW!L597)/2,"")</f>
        <v/>
      </c>
      <c r="H597" s="13">
        <f>IFERROR((CHAIN_RAW!R597+CHAIN_RAW!S597)/2,"")</f>
        <v/>
      </c>
      <c r="I597" s="13">
        <f>IFERROR((CHAIN_RAW!L597-CHAIN_RAW!K597)/MAX(1E-9, G597),"")</f>
        <v/>
      </c>
      <c r="J597" s="13">
        <f>IFERROR((CHAIN_RAW!S597-CHAIN_RAW!R597)/MAX(1E-9, H597),"")</f>
        <v/>
      </c>
      <c r="K597" s="13">
        <f>CHAIN_RAW!G597</f>
        <v/>
      </c>
      <c r="L597" s="13">
        <f>CHAIN_RAW!N597</f>
        <v/>
      </c>
      <c r="M597" s="13">
        <f>IFERROR(L597-K597,"")</f>
        <v/>
      </c>
      <c r="N597" s="13">
        <f>CHAIN_RAW!H597</f>
        <v/>
      </c>
      <c r="O597" s="13">
        <f>CHAIN_RAW!O597</f>
        <v/>
      </c>
      <c r="P597" s="13">
        <f>IFERROR(O597/N597,"")</f>
        <v/>
      </c>
      <c r="Q597" s="13">
        <f>CHAIN_RAW!I597</f>
        <v/>
      </c>
      <c r="R597" s="13">
        <f>CHAIN_RAW!P597</f>
        <v/>
      </c>
      <c r="S597" s="13">
        <f>IFERROR(R597/Q597,"")</f>
        <v/>
      </c>
      <c r="T597" s="13">
        <f>IFERROR((ABS(N597-O597)/MAX(1,(N597+O597)))*EXP(-ABS(E597-CONTROL!E5)/MAX(1,CONTROL!B8)),"")</f>
        <v/>
      </c>
      <c r="U597" s="13">
        <f>IFERROR(IF(O597&gt;N597,"SUPPORT (PE OI)","RESIST (CE OI)"),"")</f>
        <v/>
      </c>
      <c r="V597" s="13">
        <f>IFERROR(IF(Q597&gt;0,IF(R597&gt;0,"BOTH_ADD","CE_ADD_PE_REDUCE"),IF(R597&gt;0,"CE_REDUCE_PE_ADD","BOTH_REDUCE")),"")</f>
        <v/>
      </c>
      <c r="W597" s="13">
        <f>IFERROR( (P597-1)*0.5 + (M597)*0.1 - (I597+J597)*0.05 + T597*0.4 ,"")</f>
        <v/>
      </c>
      <c r="X597" s="13">
        <f>IFERROR(IF(ABS(F597)&lt;0.01,"ATM/NEAR",""),"")</f>
        <v/>
      </c>
    </row>
    <row r="598">
      <c r="A598" s="13">
        <f>CHAIN_RAW!A598</f>
        <v/>
      </c>
      <c r="B598" s="14">
        <f>CHAIN_RAW!B598</f>
        <v/>
      </c>
      <c r="C598" s="13">
        <f>CHAIN_RAW!C598</f>
        <v/>
      </c>
      <c r="D598" s="13">
        <f>CHAIN_RAW!D598</f>
        <v/>
      </c>
      <c r="E598" s="13">
        <f>CHAIN_RAW!E598</f>
        <v/>
      </c>
      <c r="F598" s="13">
        <f>IFERROR((E598-D598)/D598,"")</f>
        <v/>
      </c>
      <c r="G598" s="13">
        <f>IFERROR((CHAIN_RAW!K598+CHAIN_RAW!L598)/2,"")</f>
        <v/>
      </c>
      <c r="H598" s="13">
        <f>IFERROR((CHAIN_RAW!R598+CHAIN_RAW!S598)/2,"")</f>
        <v/>
      </c>
      <c r="I598" s="13">
        <f>IFERROR((CHAIN_RAW!L598-CHAIN_RAW!K598)/MAX(1E-9, G598),"")</f>
        <v/>
      </c>
      <c r="J598" s="13">
        <f>IFERROR((CHAIN_RAW!S598-CHAIN_RAW!R598)/MAX(1E-9, H598),"")</f>
        <v/>
      </c>
      <c r="K598" s="13">
        <f>CHAIN_RAW!G598</f>
        <v/>
      </c>
      <c r="L598" s="13">
        <f>CHAIN_RAW!N598</f>
        <v/>
      </c>
      <c r="M598" s="13">
        <f>IFERROR(L598-K598,"")</f>
        <v/>
      </c>
      <c r="N598" s="13">
        <f>CHAIN_RAW!H598</f>
        <v/>
      </c>
      <c r="O598" s="13">
        <f>CHAIN_RAW!O598</f>
        <v/>
      </c>
      <c r="P598" s="13">
        <f>IFERROR(O598/N598,"")</f>
        <v/>
      </c>
      <c r="Q598" s="13">
        <f>CHAIN_RAW!I598</f>
        <v/>
      </c>
      <c r="R598" s="13">
        <f>CHAIN_RAW!P598</f>
        <v/>
      </c>
      <c r="S598" s="13">
        <f>IFERROR(R598/Q598,"")</f>
        <v/>
      </c>
      <c r="T598" s="13">
        <f>IFERROR((ABS(N598-O598)/MAX(1,(N598+O598)))*EXP(-ABS(E598-CONTROL!E5)/MAX(1,CONTROL!B8)),"")</f>
        <v/>
      </c>
      <c r="U598" s="13">
        <f>IFERROR(IF(O598&gt;N598,"SUPPORT (PE OI)","RESIST (CE OI)"),"")</f>
        <v/>
      </c>
      <c r="V598" s="13">
        <f>IFERROR(IF(Q598&gt;0,IF(R598&gt;0,"BOTH_ADD","CE_ADD_PE_REDUCE"),IF(R598&gt;0,"CE_REDUCE_PE_ADD","BOTH_REDUCE")),"")</f>
        <v/>
      </c>
      <c r="W598" s="13">
        <f>IFERROR( (P598-1)*0.5 + (M598)*0.1 - (I598+J598)*0.05 + T598*0.4 ,"")</f>
        <v/>
      </c>
      <c r="X598" s="13">
        <f>IFERROR(IF(ABS(F598)&lt;0.01,"ATM/NEAR",""),"")</f>
        <v/>
      </c>
    </row>
    <row r="599">
      <c r="A599" s="13">
        <f>CHAIN_RAW!A599</f>
        <v/>
      </c>
      <c r="B599" s="14">
        <f>CHAIN_RAW!B599</f>
        <v/>
      </c>
      <c r="C599" s="13">
        <f>CHAIN_RAW!C599</f>
        <v/>
      </c>
      <c r="D599" s="13">
        <f>CHAIN_RAW!D599</f>
        <v/>
      </c>
      <c r="E599" s="13">
        <f>CHAIN_RAW!E599</f>
        <v/>
      </c>
      <c r="F599" s="13">
        <f>IFERROR((E599-D599)/D599,"")</f>
        <v/>
      </c>
      <c r="G599" s="13">
        <f>IFERROR((CHAIN_RAW!K599+CHAIN_RAW!L599)/2,"")</f>
        <v/>
      </c>
      <c r="H599" s="13">
        <f>IFERROR((CHAIN_RAW!R599+CHAIN_RAW!S599)/2,"")</f>
        <v/>
      </c>
      <c r="I599" s="13">
        <f>IFERROR((CHAIN_RAW!L599-CHAIN_RAW!K599)/MAX(1E-9, G599),"")</f>
        <v/>
      </c>
      <c r="J599" s="13">
        <f>IFERROR((CHAIN_RAW!S599-CHAIN_RAW!R599)/MAX(1E-9, H599),"")</f>
        <v/>
      </c>
      <c r="K599" s="13">
        <f>CHAIN_RAW!G599</f>
        <v/>
      </c>
      <c r="L599" s="13">
        <f>CHAIN_RAW!N599</f>
        <v/>
      </c>
      <c r="M599" s="13">
        <f>IFERROR(L599-K599,"")</f>
        <v/>
      </c>
      <c r="N599" s="13">
        <f>CHAIN_RAW!H599</f>
        <v/>
      </c>
      <c r="O599" s="13">
        <f>CHAIN_RAW!O599</f>
        <v/>
      </c>
      <c r="P599" s="13">
        <f>IFERROR(O599/N599,"")</f>
        <v/>
      </c>
      <c r="Q599" s="13">
        <f>CHAIN_RAW!I599</f>
        <v/>
      </c>
      <c r="R599" s="13">
        <f>CHAIN_RAW!P599</f>
        <v/>
      </c>
      <c r="S599" s="13">
        <f>IFERROR(R599/Q599,"")</f>
        <v/>
      </c>
      <c r="T599" s="13">
        <f>IFERROR((ABS(N599-O599)/MAX(1,(N599+O599)))*EXP(-ABS(E599-CONTROL!E5)/MAX(1,CONTROL!B8)),"")</f>
        <v/>
      </c>
      <c r="U599" s="13">
        <f>IFERROR(IF(O599&gt;N599,"SUPPORT (PE OI)","RESIST (CE OI)"),"")</f>
        <v/>
      </c>
      <c r="V599" s="13">
        <f>IFERROR(IF(Q599&gt;0,IF(R599&gt;0,"BOTH_ADD","CE_ADD_PE_REDUCE"),IF(R599&gt;0,"CE_REDUCE_PE_ADD","BOTH_REDUCE")),"")</f>
        <v/>
      </c>
      <c r="W599" s="13">
        <f>IFERROR( (P599-1)*0.5 + (M599)*0.1 - (I599+J599)*0.05 + T599*0.4 ,"")</f>
        <v/>
      </c>
      <c r="X599" s="13">
        <f>IFERROR(IF(ABS(F599)&lt;0.01,"ATM/NEAR",""),"")</f>
        <v/>
      </c>
    </row>
    <row r="600">
      <c r="A600" s="13">
        <f>CHAIN_RAW!A600</f>
        <v/>
      </c>
      <c r="B600" s="14">
        <f>CHAIN_RAW!B600</f>
        <v/>
      </c>
      <c r="C600" s="13">
        <f>CHAIN_RAW!C600</f>
        <v/>
      </c>
      <c r="D600" s="13">
        <f>CHAIN_RAW!D600</f>
        <v/>
      </c>
      <c r="E600" s="13">
        <f>CHAIN_RAW!E600</f>
        <v/>
      </c>
      <c r="F600" s="13">
        <f>IFERROR((E600-D600)/D600,"")</f>
        <v/>
      </c>
      <c r="G600" s="13">
        <f>IFERROR((CHAIN_RAW!K600+CHAIN_RAW!L600)/2,"")</f>
        <v/>
      </c>
      <c r="H600" s="13">
        <f>IFERROR((CHAIN_RAW!R600+CHAIN_RAW!S600)/2,"")</f>
        <v/>
      </c>
      <c r="I600" s="13">
        <f>IFERROR((CHAIN_RAW!L600-CHAIN_RAW!K600)/MAX(1E-9, G600),"")</f>
        <v/>
      </c>
      <c r="J600" s="13">
        <f>IFERROR((CHAIN_RAW!S600-CHAIN_RAW!R600)/MAX(1E-9, H600),"")</f>
        <v/>
      </c>
      <c r="K600" s="13">
        <f>CHAIN_RAW!G600</f>
        <v/>
      </c>
      <c r="L600" s="13">
        <f>CHAIN_RAW!N600</f>
        <v/>
      </c>
      <c r="M600" s="13">
        <f>IFERROR(L600-K600,"")</f>
        <v/>
      </c>
      <c r="N600" s="13">
        <f>CHAIN_RAW!H600</f>
        <v/>
      </c>
      <c r="O600" s="13">
        <f>CHAIN_RAW!O600</f>
        <v/>
      </c>
      <c r="P600" s="13">
        <f>IFERROR(O600/N600,"")</f>
        <v/>
      </c>
      <c r="Q600" s="13">
        <f>CHAIN_RAW!I600</f>
        <v/>
      </c>
      <c r="R600" s="13">
        <f>CHAIN_RAW!P600</f>
        <v/>
      </c>
      <c r="S600" s="13">
        <f>IFERROR(R600/Q600,"")</f>
        <v/>
      </c>
      <c r="T600" s="13">
        <f>IFERROR((ABS(N600-O600)/MAX(1,(N600+O600)))*EXP(-ABS(E600-CONTROL!E5)/MAX(1,CONTROL!B8)),"")</f>
        <v/>
      </c>
      <c r="U600" s="13">
        <f>IFERROR(IF(O600&gt;N600,"SUPPORT (PE OI)","RESIST (CE OI)"),"")</f>
        <v/>
      </c>
      <c r="V600" s="13">
        <f>IFERROR(IF(Q600&gt;0,IF(R600&gt;0,"BOTH_ADD","CE_ADD_PE_REDUCE"),IF(R600&gt;0,"CE_REDUCE_PE_ADD","BOTH_REDUCE")),"")</f>
        <v/>
      </c>
      <c r="W600" s="13">
        <f>IFERROR( (P600-1)*0.5 + (M600)*0.1 - (I600+J600)*0.05 + T600*0.4 ,"")</f>
        <v/>
      </c>
      <c r="X600" s="13">
        <f>IFERROR(IF(ABS(F600)&lt;0.01,"ATM/NEAR",""),"")</f>
        <v/>
      </c>
    </row>
    <row r="601">
      <c r="A601" s="13">
        <f>CHAIN_RAW!A601</f>
        <v/>
      </c>
      <c r="B601" s="14">
        <f>CHAIN_RAW!B601</f>
        <v/>
      </c>
      <c r="C601" s="13">
        <f>CHAIN_RAW!C601</f>
        <v/>
      </c>
      <c r="D601" s="13">
        <f>CHAIN_RAW!D601</f>
        <v/>
      </c>
      <c r="E601" s="13">
        <f>CHAIN_RAW!E601</f>
        <v/>
      </c>
      <c r="F601" s="13">
        <f>IFERROR((E601-D601)/D601,"")</f>
        <v/>
      </c>
      <c r="G601" s="13">
        <f>IFERROR((CHAIN_RAW!K601+CHAIN_RAW!L601)/2,"")</f>
        <v/>
      </c>
      <c r="H601" s="13">
        <f>IFERROR((CHAIN_RAW!R601+CHAIN_RAW!S601)/2,"")</f>
        <v/>
      </c>
      <c r="I601" s="13">
        <f>IFERROR((CHAIN_RAW!L601-CHAIN_RAW!K601)/MAX(1E-9, G601),"")</f>
        <v/>
      </c>
      <c r="J601" s="13">
        <f>IFERROR((CHAIN_RAW!S601-CHAIN_RAW!R601)/MAX(1E-9, H601),"")</f>
        <v/>
      </c>
      <c r="K601" s="13">
        <f>CHAIN_RAW!G601</f>
        <v/>
      </c>
      <c r="L601" s="13">
        <f>CHAIN_RAW!N601</f>
        <v/>
      </c>
      <c r="M601" s="13">
        <f>IFERROR(L601-K601,"")</f>
        <v/>
      </c>
      <c r="N601" s="13">
        <f>CHAIN_RAW!H601</f>
        <v/>
      </c>
      <c r="O601" s="13">
        <f>CHAIN_RAW!O601</f>
        <v/>
      </c>
      <c r="P601" s="13">
        <f>IFERROR(O601/N601,"")</f>
        <v/>
      </c>
      <c r="Q601" s="13">
        <f>CHAIN_RAW!I601</f>
        <v/>
      </c>
      <c r="R601" s="13">
        <f>CHAIN_RAW!P601</f>
        <v/>
      </c>
      <c r="S601" s="13">
        <f>IFERROR(R601/Q601,"")</f>
        <v/>
      </c>
      <c r="T601" s="13">
        <f>IFERROR((ABS(N601-O601)/MAX(1,(N601+O601)))*EXP(-ABS(E601-CONTROL!E5)/MAX(1,CONTROL!B8)),"")</f>
        <v/>
      </c>
      <c r="U601" s="13">
        <f>IFERROR(IF(O601&gt;N601,"SUPPORT (PE OI)","RESIST (CE OI)"),"")</f>
        <v/>
      </c>
      <c r="V601" s="13">
        <f>IFERROR(IF(Q601&gt;0,IF(R601&gt;0,"BOTH_ADD","CE_ADD_PE_REDUCE"),IF(R601&gt;0,"CE_REDUCE_PE_ADD","BOTH_REDUCE")),"")</f>
        <v/>
      </c>
      <c r="W601" s="13">
        <f>IFERROR( (P601-1)*0.5 + (M601)*0.1 - (I601+J601)*0.05 + T601*0.4 ,"")</f>
        <v/>
      </c>
      <c r="X601" s="13">
        <f>IFERROR(IF(ABS(F601)&lt;0.01,"ATM/NEAR",""),"")</f>
        <v/>
      </c>
    </row>
    <row r="602">
      <c r="A602" s="13">
        <f>CHAIN_RAW!A602</f>
        <v/>
      </c>
      <c r="B602" s="14">
        <f>CHAIN_RAW!B602</f>
        <v/>
      </c>
      <c r="C602" s="13">
        <f>CHAIN_RAW!C602</f>
        <v/>
      </c>
      <c r="D602" s="13">
        <f>CHAIN_RAW!D602</f>
        <v/>
      </c>
      <c r="E602" s="13">
        <f>CHAIN_RAW!E602</f>
        <v/>
      </c>
      <c r="F602" s="13">
        <f>IFERROR((E602-D602)/D602,"")</f>
        <v/>
      </c>
      <c r="G602" s="13">
        <f>IFERROR((CHAIN_RAW!K602+CHAIN_RAW!L602)/2,"")</f>
        <v/>
      </c>
      <c r="H602" s="13">
        <f>IFERROR((CHAIN_RAW!R602+CHAIN_RAW!S602)/2,"")</f>
        <v/>
      </c>
      <c r="I602" s="13">
        <f>IFERROR((CHAIN_RAW!L602-CHAIN_RAW!K602)/MAX(1E-9, G602),"")</f>
        <v/>
      </c>
      <c r="J602" s="13">
        <f>IFERROR((CHAIN_RAW!S602-CHAIN_RAW!R602)/MAX(1E-9, H602),"")</f>
        <v/>
      </c>
      <c r="K602" s="13">
        <f>CHAIN_RAW!G602</f>
        <v/>
      </c>
      <c r="L602" s="13">
        <f>CHAIN_RAW!N602</f>
        <v/>
      </c>
      <c r="M602" s="13">
        <f>IFERROR(L602-K602,"")</f>
        <v/>
      </c>
      <c r="N602" s="13">
        <f>CHAIN_RAW!H602</f>
        <v/>
      </c>
      <c r="O602" s="13">
        <f>CHAIN_RAW!O602</f>
        <v/>
      </c>
      <c r="P602" s="13">
        <f>IFERROR(O602/N602,"")</f>
        <v/>
      </c>
      <c r="Q602" s="13">
        <f>CHAIN_RAW!I602</f>
        <v/>
      </c>
      <c r="R602" s="13">
        <f>CHAIN_RAW!P602</f>
        <v/>
      </c>
      <c r="S602" s="13">
        <f>IFERROR(R602/Q602,"")</f>
        <v/>
      </c>
      <c r="T602" s="13">
        <f>IFERROR((ABS(N602-O602)/MAX(1,(N602+O602)))*EXP(-ABS(E602-CONTROL!E5)/MAX(1,CONTROL!B8)),"")</f>
        <v/>
      </c>
      <c r="U602" s="13">
        <f>IFERROR(IF(O602&gt;N602,"SUPPORT (PE OI)","RESIST (CE OI)"),"")</f>
        <v/>
      </c>
      <c r="V602" s="13">
        <f>IFERROR(IF(Q602&gt;0,IF(R602&gt;0,"BOTH_ADD","CE_ADD_PE_REDUCE"),IF(R602&gt;0,"CE_REDUCE_PE_ADD","BOTH_REDUCE")),"")</f>
        <v/>
      </c>
      <c r="W602" s="13">
        <f>IFERROR( (P602-1)*0.5 + (M602)*0.1 - (I602+J602)*0.05 + T602*0.4 ,"")</f>
        <v/>
      </c>
      <c r="X602" s="13">
        <f>IFERROR(IF(ABS(F602)&lt;0.01,"ATM/NEAR",""),"")</f>
        <v/>
      </c>
    </row>
    <row r="603">
      <c r="A603" s="13">
        <f>CHAIN_RAW!A603</f>
        <v/>
      </c>
      <c r="B603" s="14">
        <f>CHAIN_RAW!B603</f>
        <v/>
      </c>
      <c r="C603" s="13">
        <f>CHAIN_RAW!C603</f>
        <v/>
      </c>
      <c r="D603" s="13">
        <f>CHAIN_RAW!D603</f>
        <v/>
      </c>
      <c r="E603" s="13">
        <f>CHAIN_RAW!E603</f>
        <v/>
      </c>
      <c r="F603" s="13">
        <f>IFERROR((E603-D603)/D603,"")</f>
        <v/>
      </c>
      <c r="G603" s="13">
        <f>IFERROR((CHAIN_RAW!K603+CHAIN_RAW!L603)/2,"")</f>
        <v/>
      </c>
      <c r="H603" s="13">
        <f>IFERROR((CHAIN_RAW!R603+CHAIN_RAW!S603)/2,"")</f>
        <v/>
      </c>
      <c r="I603" s="13">
        <f>IFERROR((CHAIN_RAW!L603-CHAIN_RAW!K603)/MAX(1E-9, G603),"")</f>
        <v/>
      </c>
      <c r="J603" s="13">
        <f>IFERROR((CHAIN_RAW!S603-CHAIN_RAW!R603)/MAX(1E-9, H603),"")</f>
        <v/>
      </c>
      <c r="K603" s="13">
        <f>CHAIN_RAW!G603</f>
        <v/>
      </c>
      <c r="L603" s="13">
        <f>CHAIN_RAW!N603</f>
        <v/>
      </c>
      <c r="M603" s="13">
        <f>IFERROR(L603-K603,"")</f>
        <v/>
      </c>
      <c r="N603" s="13">
        <f>CHAIN_RAW!H603</f>
        <v/>
      </c>
      <c r="O603" s="13">
        <f>CHAIN_RAW!O603</f>
        <v/>
      </c>
      <c r="P603" s="13">
        <f>IFERROR(O603/N603,"")</f>
        <v/>
      </c>
      <c r="Q603" s="13">
        <f>CHAIN_RAW!I603</f>
        <v/>
      </c>
      <c r="R603" s="13">
        <f>CHAIN_RAW!P603</f>
        <v/>
      </c>
      <c r="S603" s="13">
        <f>IFERROR(R603/Q603,"")</f>
        <v/>
      </c>
      <c r="T603" s="13">
        <f>IFERROR((ABS(N603-O603)/MAX(1,(N603+O603)))*EXP(-ABS(E603-CONTROL!E5)/MAX(1,CONTROL!B8)),"")</f>
        <v/>
      </c>
      <c r="U603" s="13">
        <f>IFERROR(IF(O603&gt;N603,"SUPPORT (PE OI)","RESIST (CE OI)"),"")</f>
        <v/>
      </c>
      <c r="V603" s="13">
        <f>IFERROR(IF(Q603&gt;0,IF(R603&gt;0,"BOTH_ADD","CE_ADD_PE_REDUCE"),IF(R603&gt;0,"CE_REDUCE_PE_ADD","BOTH_REDUCE")),"")</f>
        <v/>
      </c>
      <c r="W603" s="13">
        <f>IFERROR( (P603-1)*0.5 + (M603)*0.1 - (I603+J603)*0.05 + T603*0.4 ,"")</f>
        <v/>
      </c>
      <c r="X603" s="13">
        <f>IFERROR(IF(ABS(F603)&lt;0.01,"ATM/NEAR",""),"")</f>
        <v/>
      </c>
    </row>
    <row r="604">
      <c r="A604" s="13">
        <f>CHAIN_RAW!A604</f>
        <v/>
      </c>
      <c r="B604" s="14">
        <f>CHAIN_RAW!B604</f>
        <v/>
      </c>
      <c r="C604" s="13">
        <f>CHAIN_RAW!C604</f>
        <v/>
      </c>
      <c r="D604" s="13">
        <f>CHAIN_RAW!D604</f>
        <v/>
      </c>
      <c r="E604" s="13">
        <f>CHAIN_RAW!E604</f>
        <v/>
      </c>
      <c r="F604" s="13">
        <f>IFERROR((E604-D604)/D604,"")</f>
        <v/>
      </c>
      <c r="G604" s="13">
        <f>IFERROR((CHAIN_RAW!K604+CHAIN_RAW!L604)/2,"")</f>
        <v/>
      </c>
      <c r="H604" s="13">
        <f>IFERROR((CHAIN_RAW!R604+CHAIN_RAW!S604)/2,"")</f>
        <v/>
      </c>
      <c r="I604" s="13">
        <f>IFERROR((CHAIN_RAW!L604-CHAIN_RAW!K604)/MAX(1E-9, G604),"")</f>
        <v/>
      </c>
      <c r="J604" s="13">
        <f>IFERROR((CHAIN_RAW!S604-CHAIN_RAW!R604)/MAX(1E-9, H604),"")</f>
        <v/>
      </c>
      <c r="K604" s="13">
        <f>CHAIN_RAW!G604</f>
        <v/>
      </c>
      <c r="L604" s="13">
        <f>CHAIN_RAW!N604</f>
        <v/>
      </c>
      <c r="M604" s="13">
        <f>IFERROR(L604-K604,"")</f>
        <v/>
      </c>
      <c r="N604" s="13">
        <f>CHAIN_RAW!H604</f>
        <v/>
      </c>
      <c r="O604" s="13">
        <f>CHAIN_RAW!O604</f>
        <v/>
      </c>
      <c r="P604" s="13">
        <f>IFERROR(O604/N604,"")</f>
        <v/>
      </c>
      <c r="Q604" s="13">
        <f>CHAIN_RAW!I604</f>
        <v/>
      </c>
      <c r="R604" s="13">
        <f>CHAIN_RAW!P604</f>
        <v/>
      </c>
      <c r="S604" s="13">
        <f>IFERROR(R604/Q604,"")</f>
        <v/>
      </c>
      <c r="T604" s="13">
        <f>IFERROR((ABS(N604-O604)/MAX(1,(N604+O604)))*EXP(-ABS(E604-CONTROL!E5)/MAX(1,CONTROL!B8)),"")</f>
        <v/>
      </c>
      <c r="U604" s="13">
        <f>IFERROR(IF(O604&gt;N604,"SUPPORT (PE OI)","RESIST (CE OI)"),"")</f>
        <v/>
      </c>
      <c r="V604" s="13">
        <f>IFERROR(IF(Q604&gt;0,IF(R604&gt;0,"BOTH_ADD","CE_ADD_PE_REDUCE"),IF(R604&gt;0,"CE_REDUCE_PE_ADD","BOTH_REDUCE")),"")</f>
        <v/>
      </c>
      <c r="W604" s="13">
        <f>IFERROR( (P604-1)*0.5 + (M604)*0.1 - (I604+J604)*0.05 + T604*0.4 ,"")</f>
        <v/>
      </c>
      <c r="X604" s="13">
        <f>IFERROR(IF(ABS(F604)&lt;0.01,"ATM/NEAR",""),"")</f>
        <v/>
      </c>
    </row>
    <row r="605">
      <c r="A605" s="13">
        <f>CHAIN_RAW!A605</f>
        <v/>
      </c>
      <c r="B605" s="14">
        <f>CHAIN_RAW!B605</f>
        <v/>
      </c>
      <c r="C605" s="13">
        <f>CHAIN_RAW!C605</f>
        <v/>
      </c>
      <c r="D605" s="13">
        <f>CHAIN_RAW!D605</f>
        <v/>
      </c>
      <c r="E605" s="13">
        <f>CHAIN_RAW!E605</f>
        <v/>
      </c>
      <c r="F605" s="13">
        <f>IFERROR((E605-D605)/D605,"")</f>
        <v/>
      </c>
      <c r="G605" s="13">
        <f>IFERROR((CHAIN_RAW!K605+CHAIN_RAW!L605)/2,"")</f>
        <v/>
      </c>
      <c r="H605" s="13">
        <f>IFERROR((CHAIN_RAW!R605+CHAIN_RAW!S605)/2,"")</f>
        <v/>
      </c>
      <c r="I605" s="13">
        <f>IFERROR((CHAIN_RAW!L605-CHAIN_RAW!K605)/MAX(1E-9, G605),"")</f>
        <v/>
      </c>
      <c r="J605" s="13">
        <f>IFERROR((CHAIN_RAW!S605-CHAIN_RAW!R605)/MAX(1E-9, H605),"")</f>
        <v/>
      </c>
      <c r="K605" s="13">
        <f>CHAIN_RAW!G605</f>
        <v/>
      </c>
      <c r="L605" s="13">
        <f>CHAIN_RAW!N605</f>
        <v/>
      </c>
      <c r="M605" s="13">
        <f>IFERROR(L605-K605,"")</f>
        <v/>
      </c>
      <c r="N605" s="13">
        <f>CHAIN_RAW!H605</f>
        <v/>
      </c>
      <c r="O605" s="13">
        <f>CHAIN_RAW!O605</f>
        <v/>
      </c>
      <c r="P605" s="13">
        <f>IFERROR(O605/N605,"")</f>
        <v/>
      </c>
      <c r="Q605" s="13">
        <f>CHAIN_RAW!I605</f>
        <v/>
      </c>
      <c r="R605" s="13">
        <f>CHAIN_RAW!P605</f>
        <v/>
      </c>
      <c r="S605" s="13">
        <f>IFERROR(R605/Q605,"")</f>
        <v/>
      </c>
      <c r="T605" s="13">
        <f>IFERROR((ABS(N605-O605)/MAX(1,(N605+O605)))*EXP(-ABS(E605-CONTROL!E5)/MAX(1,CONTROL!B8)),"")</f>
        <v/>
      </c>
      <c r="U605" s="13">
        <f>IFERROR(IF(O605&gt;N605,"SUPPORT (PE OI)","RESIST (CE OI)"),"")</f>
        <v/>
      </c>
      <c r="V605" s="13">
        <f>IFERROR(IF(Q605&gt;0,IF(R605&gt;0,"BOTH_ADD","CE_ADD_PE_REDUCE"),IF(R605&gt;0,"CE_REDUCE_PE_ADD","BOTH_REDUCE")),"")</f>
        <v/>
      </c>
      <c r="W605" s="13">
        <f>IFERROR( (P605-1)*0.5 + (M605)*0.1 - (I605+J605)*0.05 + T605*0.4 ,"")</f>
        <v/>
      </c>
      <c r="X605" s="13">
        <f>IFERROR(IF(ABS(F605)&lt;0.01,"ATM/NEAR",""),"")</f>
        <v/>
      </c>
    </row>
    <row r="606">
      <c r="A606" s="13">
        <f>CHAIN_RAW!A606</f>
        <v/>
      </c>
      <c r="B606" s="14">
        <f>CHAIN_RAW!B606</f>
        <v/>
      </c>
      <c r="C606" s="13">
        <f>CHAIN_RAW!C606</f>
        <v/>
      </c>
      <c r="D606" s="13">
        <f>CHAIN_RAW!D606</f>
        <v/>
      </c>
      <c r="E606" s="13">
        <f>CHAIN_RAW!E606</f>
        <v/>
      </c>
      <c r="F606" s="13">
        <f>IFERROR((E606-D606)/D606,"")</f>
        <v/>
      </c>
      <c r="G606" s="13">
        <f>IFERROR((CHAIN_RAW!K606+CHAIN_RAW!L606)/2,"")</f>
        <v/>
      </c>
      <c r="H606" s="13">
        <f>IFERROR((CHAIN_RAW!R606+CHAIN_RAW!S606)/2,"")</f>
        <v/>
      </c>
      <c r="I606" s="13">
        <f>IFERROR((CHAIN_RAW!L606-CHAIN_RAW!K606)/MAX(1E-9, G606),"")</f>
        <v/>
      </c>
      <c r="J606" s="13">
        <f>IFERROR((CHAIN_RAW!S606-CHAIN_RAW!R606)/MAX(1E-9, H606),"")</f>
        <v/>
      </c>
      <c r="K606" s="13">
        <f>CHAIN_RAW!G606</f>
        <v/>
      </c>
      <c r="L606" s="13">
        <f>CHAIN_RAW!N606</f>
        <v/>
      </c>
      <c r="M606" s="13">
        <f>IFERROR(L606-K606,"")</f>
        <v/>
      </c>
      <c r="N606" s="13">
        <f>CHAIN_RAW!H606</f>
        <v/>
      </c>
      <c r="O606" s="13">
        <f>CHAIN_RAW!O606</f>
        <v/>
      </c>
      <c r="P606" s="13">
        <f>IFERROR(O606/N606,"")</f>
        <v/>
      </c>
      <c r="Q606" s="13">
        <f>CHAIN_RAW!I606</f>
        <v/>
      </c>
      <c r="R606" s="13">
        <f>CHAIN_RAW!P606</f>
        <v/>
      </c>
      <c r="S606" s="13">
        <f>IFERROR(R606/Q606,"")</f>
        <v/>
      </c>
      <c r="T606" s="13">
        <f>IFERROR((ABS(N606-O606)/MAX(1,(N606+O606)))*EXP(-ABS(E606-CONTROL!E5)/MAX(1,CONTROL!B8)),"")</f>
        <v/>
      </c>
      <c r="U606" s="13">
        <f>IFERROR(IF(O606&gt;N606,"SUPPORT (PE OI)","RESIST (CE OI)"),"")</f>
        <v/>
      </c>
      <c r="V606" s="13">
        <f>IFERROR(IF(Q606&gt;0,IF(R606&gt;0,"BOTH_ADD","CE_ADD_PE_REDUCE"),IF(R606&gt;0,"CE_REDUCE_PE_ADD","BOTH_REDUCE")),"")</f>
        <v/>
      </c>
      <c r="W606" s="13">
        <f>IFERROR( (P606-1)*0.5 + (M606)*0.1 - (I606+J606)*0.05 + T606*0.4 ,"")</f>
        <v/>
      </c>
      <c r="X606" s="13">
        <f>IFERROR(IF(ABS(F606)&lt;0.01,"ATM/NEAR",""),"")</f>
        <v/>
      </c>
    </row>
    <row r="607">
      <c r="A607" s="13">
        <f>CHAIN_RAW!A607</f>
        <v/>
      </c>
      <c r="B607" s="14">
        <f>CHAIN_RAW!B607</f>
        <v/>
      </c>
      <c r="C607" s="13">
        <f>CHAIN_RAW!C607</f>
        <v/>
      </c>
      <c r="D607" s="13">
        <f>CHAIN_RAW!D607</f>
        <v/>
      </c>
      <c r="E607" s="13">
        <f>CHAIN_RAW!E607</f>
        <v/>
      </c>
      <c r="F607" s="13">
        <f>IFERROR((E607-D607)/D607,"")</f>
        <v/>
      </c>
      <c r="G607" s="13">
        <f>IFERROR((CHAIN_RAW!K607+CHAIN_RAW!L607)/2,"")</f>
        <v/>
      </c>
      <c r="H607" s="13">
        <f>IFERROR((CHAIN_RAW!R607+CHAIN_RAW!S607)/2,"")</f>
        <v/>
      </c>
      <c r="I607" s="13">
        <f>IFERROR((CHAIN_RAW!L607-CHAIN_RAW!K607)/MAX(1E-9, G607),"")</f>
        <v/>
      </c>
      <c r="J607" s="13">
        <f>IFERROR((CHAIN_RAW!S607-CHAIN_RAW!R607)/MAX(1E-9, H607),"")</f>
        <v/>
      </c>
      <c r="K607" s="13">
        <f>CHAIN_RAW!G607</f>
        <v/>
      </c>
      <c r="L607" s="13">
        <f>CHAIN_RAW!N607</f>
        <v/>
      </c>
      <c r="M607" s="13">
        <f>IFERROR(L607-K607,"")</f>
        <v/>
      </c>
      <c r="N607" s="13">
        <f>CHAIN_RAW!H607</f>
        <v/>
      </c>
      <c r="O607" s="13">
        <f>CHAIN_RAW!O607</f>
        <v/>
      </c>
      <c r="P607" s="13">
        <f>IFERROR(O607/N607,"")</f>
        <v/>
      </c>
      <c r="Q607" s="13">
        <f>CHAIN_RAW!I607</f>
        <v/>
      </c>
      <c r="R607" s="13">
        <f>CHAIN_RAW!P607</f>
        <v/>
      </c>
      <c r="S607" s="13">
        <f>IFERROR(R607/Q607,"")</f>
        <v/>
      </c>
      <c r="T607" s="13">
        <f>IFERROR((ABS(N607-O607)/MAX(1,(N607+O607)))*EXP(-ABS(E607-CONTROL!E5)/MAX(1,CONTROL!B8)),"")</f>
        <v/>
      </c>
      <c r="U607" s="13">
        <f>IFERROR(IF(O607&gt;N607,"SUPPORT (PE OI)","RESIST (CE OI)"),"")</f>
        <v/>
      </c>
      <c r="V607" s="13">
        <f>IFERROR(IF(Q607&gt;0,IF(R607&gt;0,"BOTH_ADD","CE_ADD_PE_REDUCE"),IF(R607&gt;0,"CE_REDUCE_PE_ADD","BOTH_REDUCE")),"")</f>
        <v/>
      </c>
      <c r="W607" s="13">
        <f>IFERROR( (P607-1)*0.5 + (M607)*0.1 - (I607+J607)*0.05 + T607*0.4 ,"")</f>
        <v/>
      </c>
      <c r="X607" s="13">
        <f>IFERROR(IF(ABS(F607)&lt;0.01,"ATM/NEAR",""),"")</f>
        <v/>
      </c>
    </row>
    <row r="608">
      <c r="A608" s="13">
        <f>CHAIN_RAW!A608</f>
        <v/>
      </c>
      <c r="B608" s="14">
        <f>CHAIN_RAW!B608</f>
        <v/>
      </c>
      <c r="C608" s="13">
        <f>CHAIN_RAW!C608</f>
        <v/>
      </c>
      <c r="D608" s="13">
        <f>CHAIN_RAW!D608</f>
        <v/>
      </c>
      <c r="E608" s="13">
        <f>CHAIN_RAW!E608</f>
        <v/>
      </c>
      <c r="F608" s="13">
        <f>IFERROR((E608-D608)/D608,"")</f>
        <v/>
      </c>
      <c r="G608" s="13">
        <f>IFERROR((CHAIN_RAW!K608+CHAIN_RAW!L608)/2,"")</f>
        <v/>
      </c>
      <c r="H608" s="13">
        <f>IFERROR((CHAIN_RAW!R608+CHAIN_RAW!S608)/2,"")</f>
        <v/>
      </c>
      <c r="I608" s="13">
        <f>IFERROR((CHAIN_RAW!L608-CHAIN_RAW!K608)/MAX(1E-9, G608),"")</f>
        <v/>
      </c>
      <c r="J608" s="13">
        <f>IFERROR((CHAIN_RAW!S608-CHAIN_RAW!R608)/MAX(1E-9, H608),"")</f>
        <v/>
      </c>
      <c r="K608" s="13">
        <f>CHAIN_RAW!G608</f>
        <v/>
      </c>
      <c r="L608" s="13">
        <f>CHAIN_RAW!N608</f>
        <v/>
      </c>
      <c r="M608" s="13">
        <f>IFERROR(L608-K608,"")</f>
        <v/>
      </c>
      <c r="N608" s="13">
        <f>CHAIN_RAW!H608</f>
        <v/>
      </c>
      <c r="O608" s="13">
        <f>CHAIN_RAW!O608</f>
        <v/>
      </c>
      <c r="P608" s="13">
        <f>IFERROR(O608/N608,"")</f>
        <v/>
      </c>
      <c r="Q608" s="13">
        <f>CHAIN_RAW!I608</f>
        <v/>
      </c>
      <c r="R608" s="13">
        <f>CHAIN_RAW!P608</f>
        <v/>
      </c>
      <c r="S608" s="13">
        <f>IFERROR(R608/Q608,"")</f>
        <v/>
      </c>
      <c r="T608" s="13">
        <f>IFERROR((ABS(N608-O608)/MAX(1,(N608+O608)))*EXP(-ABS(E608-CONTROL!E5)/MAX(1,CONTROL!B8)),"")</f>
        <v/>
      </c>
      <c r="U608" s="13">
        <f>IFERROR(IF(O608&gt;N608,"SUPPORT (PE OI)","RESIST (CE OI)"),"")</f>
        <v/>
      </c>
      <c r="V608" s="13">
        <f>IFERROR(IF(Q608&gt;0,IF(R608&gt;0,"BOTH_ADD","CE_ADD_PE_REDUCE"),IF(R608&gt;0,"CE_REDUCE_PE_ADD","BOTH_REDUCE")),"")</f>
        <v/>
      </c>
      <c r="W608" s="13">
        <f>IFERROR( (P608-1)*0.5 + (M608)*0.1 - (I608+J608)*0.05 + T608*0.4 ,"")</f>
        <v/>
      </c>
      <c r="X608" s="13">
        <f>IFERROR(IF(ABS(F608)&lt;0.01,"ATM/NEAR",""),"")</f>
        <v/>
      </c>
    </row>
    <row r="609">
      <c r="A609" s="13">
        <f>CHAIN_RAW!A609</f>
        <v/>
      </c>
      <c r="B609" s="14">
        <f>CHAIN_RAW!B609</f>
        <v/>
      </c>
      <c r="C609" s="13">
        <f>CHAIN_RAW!C609</f>
        <v/>
      </c>
      <c r="D609" s="13">
        <f>CHAIN_RAW!D609</f>
        <v/>
      </c>
      <c r="E609" s="13">
        <f>CHAIN_RAW!E609</f>
        <v/>
      </c>
      <c r="F609" s="13">
        <f>IFERROR((E609-D609)/D609,"")</f>
        <v/>
      </c>
      <c r="G609" s="13">
        <f>IFERROR((CHAIN_RAW!K609+CHAIN_RAW!L609)/2,"")</f>
        <v/>
      </c>
      <c r="H609" s="13">
        <f>IFERROR((CHAIN_RAW!R609+CHAIN_RAW!S609)/2,"")</f>
        <v/>
      </c>
      <c r="I609" s="13">
        <f>IFERROR((CHAIN_RAW!L609-CHAIN_RAW!K609)/MAX(1E-9, G609),"")</f>
        <v/>
      </c>
      <c r="J609" s="13">
        <f>IFERROR((CHAIN_RAW!S609-CHAIN_RAW!R609)/MAX(1E-9, H609),"")</f>
        <v/>
      </c>
      <c r="K609" s="13">
        <f>CHAIN_RAW!G609</f>
        <v/>
      </c>
      <c r="L609" s="13">
        <f>CHAIN_RAW!N609</f>
        <v/>
      </c>
      <c r="M609" s="13">
        <f>IFERROR(L609-K609,"")</f>
        <v/>
      </c>
      <c r="N609" s="13">
        <f>CHAIN_RAW!H609</f>
        <v/>
      </c>
      <c r="O609" s="13">
        <f>CHAIN_RAW!O609</f>
        <v/>
      </c>
      <c r="P609" s="13">
        <f>IFERROR(O609/N609,"")</f>
        <v/>
      </c>
      <c r="Q609" s="13">
        <f>CHAIN_RAW!I609</f>
        <v/>
      </c>
      <c r="R609" s="13">
        <f>CHAIN_RAW!P609</f>
        <v/>
      </c>
      <c r="S609" s="13">
        <f>IFERROR(R609/Q609,"")</f>
        <v/>
      </c>
      <c r="T609" s="13">
        <f>IFERROR((ABS(N609-O609)/MAX(1,(N609+O609)))*EXP(-ABS(E609-CONTROL!E5)/MAX(1,CONTROL!B8)),"")</f>
        <v/>
      </c>
      <c r="U609" s="13">
        <f>IFERROR(IF(O609&gt;N609,"SUPPORT (PE OI)","RESIST (CE OI)"),"")</f>
        <v/>
      </c>
      <c r="V609" s="13">
        <f>IFERROR(IF(Q609&gt;0,IF(R609&gt;0,"BOTH_ADD","CE_ADD_PE_REDUCE"),IF(R609&gt;0,"CE_REDUCE_PE_ADD","BOTH_REDUCE")),"")</f>
        <v/>
      </c>
      <c r="W609" s="13">
        <f>IFERROR( (P609-1)*0.5 + (M609)*0.1 - (I609+J609)*0.05 + T609*0.4 ,"")</f>
        <v/>
      </c>
      <c r="X609" s="13">
        <f>IFERROR(IF(ABS(F609)&lt;0.01,"ATM/NEAR",""),"")</f>
        <v/>
      </c>
    </row>
    <row r="610">
      <c r="A610" s="13">
        <f>CHAIN_RAW!A610</f>
        <v/>
      </c>
      <c r="B610" s="14">
        <f>CHAIN_RAW!B610</f>
        <v/>
      </c>
      <c r="C610" s="13">
        <f>CHAIN_RAW!C610</f>
        <v/>
      </c>
      <c r="D610" s="13">
        <f>CHAIN_RAW!D610</f>
        <v/>
      </c>
      <c r="E610" s="13">
        <f>CHAIN_RAW!E610</f>
        <v/>
      </c>
      <c r="F610" s="13">
        <f>IFERROR((E610-D610)/D610,"")</f>
        <v/>
      </c>
      <c r="G610" s="13">
        <f>IFERROR((CHAIN_RAW!K610+CHAIN_RAW!L610)/2,"")</f>
        <v/>
      </c>
      <c r="H610" s="13">
        <f>IFERROR((CHAIN_RAW!R610+CHAIN_RAW!S610)/2,"")</f>
        <v/>
      </c>
      <c r="I610" s="13">
        <f>IFERROR((CHAIN_RAW!L610-CHAIN_RAW!K610)/MAX(1E-9, G610),"")</f>
        <v/>
      </c>
      <c r="J610" s="13">
        <f>IFERROR((CHAIN_RAW!S610-CHAIN_RAW!R610)/MAX(1E-9, H610),"")</f>
        <v/>
      </c>
      <c r="K610" s="13">
        <f>CHAIN_RAW!G610</f>
        <v/>
      </c>
      <c r="L610" s="13">
        <f>CHAIN_RAW!N610</f>
        <v/>
      </c>
      <c r="M610" s="13">
        <f>IFERROR(L610-K610,"")</f>
        <v/>
      </c>
      <c r="N610" s="13">
        <f>CHAIN_RAW!H610</f>
        <v/>
      </c>
      <c r="O610" s="13">
        <f>CHAIN_RAW!O610</f>
        <v/>
      </c>
      <c r="P610" s="13">
        <f>IFERROR(O610/N610,"")</f>
        <v/>
      </c>
      <c r="Q610" s="13">
        <f>CHAIN_RAW!I610</f>
        <v/>
      </c>
      <c r="R610" s="13">
        <f>CHAIN_RAW!P610</f>
        <v/>
      </c>
      <c r="S610" s="13">
        <f>IFERROR(R610/Q610,"")</f>
        <v/>
      </c>
      <c r="T610" s="13">
        <f>IFERROR((ABS(N610-O610)/MAX(1,(N610+O610)))*EXP(-ABS(E610-CONTROL!E5)/MAX(1,CONTROL!B8)),"")</f>
        <v/>
      </c>
      <c r="U610" s="13">
        <f>IFERROR(IF(O610&gt;N610,"SUPPORT (PE OI)","RESIST (CE OI)"),"")</f>
        <v/>
      </c>
      <c r="V610" s="13">
        <f>IFERROR(IF(Q610&gt;0,IF(R610&gt;0,"BOTH_ADD","CE_ADD_PE_REDUCE"),IF(R610&gt;0,"CE_REDUCE_PE_ADD","BOTH_REDUCE")),"")</f>
        <v/>
      </c>
      <c r="W610" s="13">
        <f>IFERROR( (P610-1)*0.5 + (M610)*0.1 - (I610+J610)*0.05 + T610*0.4 ,"")</f>
        <v/>
      </c>
      <c r="X610" s="13">
        <f>IFERROR(IF(ABS(F610)&lt;0.01,"ATM/NEAR",""),"")</f>
        <v/>
      </c>
    </row>
    <row r="611">
      <c r="A611" s="13">
        <f>CHAIN_RAW!A611</f>
        <v/>
      </c>
      <c r="B611" s="14">
        <f>CHAIN_RAW!B611</f>
        <v/>
      </c>
      <c r="C611" s="13">
        <f>CHAIN_RAW!C611</f>
        <v/>
      </c>
      <c r="D611" s="13">
        <f>CHAIN_RAW!D611</f>
        <v/>
      </c>
      <c r="E611" s="13">
        <f>CHAIN_RAW!E611</f>
        <v/>
      </c>
      <c r="F611" s="13">
        <f>IFERROR((E611-D611)/D611,"")</f>
        <v/>
      </c>
      <c r="G611" s="13">
        <f>IFERROR((CHAIN_RAW!K611+CHAIN_RAW!L611)/2,"")</f>
        <v/>
      </c>
      <c r="H611" s="13">
        <f>IFERROR((CHAIN_RAW!R611+CHAIN_RAW!S611)/2,"")</f>
        <v/>
      </c>
      <c r="I611" s="13">
        <f>IFERROR((CHAIN_RAW!L611-CHAIN_RAW!K611)/MAX(1E-9, G611),"")</f>
        <v/>
      </c>
      <c r="J611" s="13">
        <f>IFERROR((CHAIN_RAW!S611-CHAIN_RAW!R611)/MAX(1E-9, H611),"")</f>
        <v/>
      </c>
      <c r="K611" s="13">
        <f>CHAIN_RAW!G611</f>
        <v/>
      </c>
      <c r="L611" s="13">
        <f>CHAIN_RAW!N611</f>
        <v/>
      </c>
      <c r="M611" s="13">
        <f>IFERROR(L611-K611,"")</f>
        <v/>
      </c>
      <c r="N611" s="13">
        <f>CHAIN_RAW!H611</f>
        <v/>
      </c>
      <c r="O611" s="13">
        <f>CHAIN_RAW!O611</f>
        <v/>
      </c>
      <c r="P611" s="13">
        <f>IFERROR(O611/N611,"")</f>
        <v/>
      </c>
      <c r="Q611" s="13">
        <f>CHAIN_RAW!I611</f>
        <v/>
      </c>
      <c r="R611" s="13">
        <f>CHAIN_RAW!P611</f>
        <v/>
      </c>
      <c r="S611" s="13">
        <f>IFERROR(R611/Q611,"")</f>
        <v/>
      </c>
      <c r="T611" s="13">
        <f>IFERROR((ABS(N611-O611)/MAX(1,(N611+O611)))*EXP(-ABS(E611-CONTROL!E5)/MAX(1,CONTROL!B8)),"")</f>
        <v/>
      </c>
      <c r="U611" s="13">
        <f>IFERROR(IF(O611&gt;N611,"SUPPORT (PE OI)","RESIST (CE OI)"),"")</f>
        <v/>
      </c>
      <c r="V611" s="13">
        <f>IFERROR(IF(Q611&gt;0,IF(R611&gt;0,"BOTH_ADD","CE_ADD_PE_REDUCE"),IF(R611&gt;0,"CE_REDUCE_PE_ADD","BOTH_REDUCE")),"")</f>
        <v/>
      </c>
      <c r="W611" s="13">
        <f>IFERROR( (P611-1)*0.5 + (M611)*0.1 - (I611+J611)*0.05 + T611*0.4 ,"")</f>
        <v/>
      </c>
      <c r="X611" s="13">
        <f>IFERROR(IF(ABS(F611)&lt;0.01,"ATM/NEAR",""),"")</f>
        <v/>
      </c>
    </row>
    <row r="612">
      <c r="A612" s="13">
        <f>CHAIN_RAW!A612</f>
        <v/>
      </c>
      <c r="B612" s="14">
        <f>CHAIN_RAW!B612</f>
        <v/>
      </c>
      <c r="C612" s="13">
        <f>CHAIN_RAW!C612</f>
        <v/>
      </c>
      <c r="D612" s="13">
        <f>CHAIN_RAW!D612</f>
        <v/>
      </c>
      <c r="E612" s="13">
        <f>CHAIN_RAW!E612</f>
        <v/>
      </c>
      <c r="F612" s="13">
        <f>IFERROR((E612-D612)/D612,"")</f>
        <v/>
      </c>
      <c r="G612" s="13">
        <f>IFERROR((CHAIN_RAW!K612+CHAIN_RAW!L612)/2,"")</f>
        <v/>
      </c>
      <c r="H612" s="13">
        <f>IFERROR((CHAIN_RAW!R612+CHAIN_RAW!S612)/2,"")</f>
        <v/>
      </c>
      <c r="I612" s="13">
        <f>IFERROR((CHAIN_RAW!L612-CHAIN_RAW!K612)/MAX(1E-9, G612),"")</f>
        <v/>
      </c>
      <c r="J612" s="13">
        <f>IFERROR((CHAIN_RAW!S612-CHAIN_RAW!R612)/MAX(1E-9, H612),"")</f>
        <v/>
      </c>
      <c r="K612" s="13">
        <f>CHAIN_RAW!G612</f>
        <v/>
      </c>
      <c r="L612" s="13">
        <f>CHAIN_RAW!N612</f>
        <v/>
      </c>
      <c r="M612" s="13">
        <f>IFERROR(L612-K612,"")</f>
        <v/>
      </c>
      <c r="N612" s="13">
        <f>CHAIN_RAW!H612</f>
        <v/>
      </c>
      <c r="O612" s="13">
        <f>CHAIN_RAW!O612</f>
        <v/>
      </c>
      <c r="P612" s="13">
        <f>IFERROR(O612/N612,"")</f>
        <v/>
      </c>
      <c r="Q612" s="13">
        <f>CHAIN_RAW!I612</f>
        <v/>
      </c>
      <c r="R612" s="13">
        <f>CHAIN_RAW!P612</f>
        <v/>
      </c>
      <c r="S612" s="13">
        <f>IFERROR(R612/Q612,"")</f>
        <v/>
      </c>
      <c r="T612" s="13">
        <f>IFERROR((ABS(N612-O612)/MAX(1,(N612+O612)))*EXP(-ABS(E612-CONTROL!E5)/MAX(1,CONTROL!B8)),"")</f>
        <v/>
      </c>
      <c r="U612" s="13">
        <f>IFERROR(IF(O612&gt;N612,"SUPPORT (PE OI)","RESIST (CE OI)"),"")</f>
        <v/>
      </c>
      <c r="V612" s="13">
        <f>IFERROR(IF(Q612&gt;0,IF(R612&gt;0,"BOTH_ADD","CE_ADD_PE_REDUCE"),IF(R612&gt;0,"CE_REDUCE_PE_ADD","BOTH_REDUCE")),"")</f>
        <v/>
      </c>
      <c r="W612" s="13">
        <f>IFERROR( (P612-1)*0.5 + (M612)*0.1 - (I612+J612)*0.05 + T612*0.4 ,"")</f>
        <v/>
      </c>
      <c r="X612" s="13">
        <f>IFERROR(IF(ABS(F612)&lt;0.01,"ATM/NEAR",""),"")</f>
        <v/>
      </c>
    </row>
    <row r="613">
      <c r="A613" s="13">
        <f>CHAIN_RAW!A613</f>
        <v/>
      </c>
      <c r="B613" s="14">
        <f>CHAIN_RAW!B613</f>
        <v/>
      </c>
      <c r="C613" s="13">
        <f>CHAIN_RAW!C613</f>
        <v/>
      </c>
      <c r="D613" s="13">
        <f>CHAIN_RAW!D613</f>
        <v/>
      </c>
      <c r="E613" s="13">
        <f>CHAIN_RAW!E613</f>
        <v/>
      </c>
      <c r="F613" s="13">
        <f>IFERROR((E613-D613)/D613,"")</f>
        <v/>
      </c>
      <c r="G613" s="13">
        <f>IFERROR((CHAIN_RAW!K613+CHAIN_RAW!L613)/2,"")</f>
        <v/>
      </c>
      <c r="H613" s="13">
        <f>IFERROR((CHAIN_RAW!R613+CHAIN_RAW!S613)/2,"")</f>
        <v/>
      </c>
      <c r="I613" s="13">
        <f>IFERROR((CHAIN_RAW!L613-CHAIN_RAW!K613)/MAX(1E-9, G613),"")</f>
        <v/>
      </c>
      <c r="J613" s="13">
        <f>IFERROR((CHAIN_RAW!S613-CHAIN_RAW!R613)/MAX(1E-9, H613),"")</f>
        <v/>
      </c>
      <c r="K613" s="13">
        <f>CHAIN_RAW!G613</f>
        <v/>
      </c>
      <c r="L613" s="13">
        <f>CHAIN_RAW!N613</f>
        <v/>
      </c>
      <c r="M613" s="13">
        <f>IFERROR(L613-K613,"")</f>
        <v/>
      </c>
      <c r="N613" s="13">
        <f>CHAIN_RAW!H613</f>
        <v/>
      </c>
      <c r="O613" s="13">
        <f>CHAIN_RAW!O613</f>
        <v/>
      </c>
      <c r="P613" s="13">
        <f>IFERROR(O613/N613,"")</f>
        <v/>
      </c>
      <c r="Q613" s="13">
        <f>CHAIN_RAW!I613</f>
        <v/>
      </c>
      <c r="R613" s="13">
        <f>CHAIN_RAW!P613</f>
        <v/>
      </c>
      <c r="S613" s="13">
        <f>IFERROR(R613/Q613,"")</f>
        <v/>
      </c>
      <c r="T613" s="13">
        <f>IFERROR((ABS(N613-O613)/MAX(1,(N613+O613)))*EXP(-ABS(E613-CONTROL!E5)/MAX(1,CONTROL!B8)),"")</f>
        <v/>
      </c>
      <c r="U613" s="13">
        <f>IFERROR(IF(O613&gt;N613,"SUPPORT (PE OI)","RESIST (CE OI)"),"")</f>
        <v/>
      </c>
      <c r="V613" s="13">
        <f>IFERROR(IF(Q613&gt;0,IF(R613&gt;0,"BOTH_ADD","CE_ADD_PE_REDUCE"),IF(R613&gt;0,"CE_REDUCE_PE_ADD","BOTH_REDUCE")),"")</f>
        <v/>
      </c>
      <c r="W613" s="13">
        <f>IFERROR( (P613-1)*0.5 + (M613)*0.1 - (I613+J613)*0.05 + T613*0.4 ,"")</f>
        <v/>
      </c>
      <c r="X613" s="13">
        <f>IFERROR(IF(ABS(F613)&lt;0.01,"ATM/NEAR",""),"")</f>
        <v/>
      </c>
    </row>
    <row r="614">
      <c r="A614" s="13">
        <f>CHAIN_RAW!A614</f>
        <v/>
      </c>
      <c r="B614" s="14">
        <f>CHAIN_RAW!B614</f>
        <v/>
      </c>
      <c r="C614" s="13">
        <f>CHAIN_RAW!C614</f>
        <v/>
      </c>
      <c r="D614" s="13">
        <f>CHAIN_RAW!D614</f>
        <v/>
      </c>
      <c r="E614" s="13">
        <f>CHAIN_RAW!E614</f>
        <v/>
      </c>
      <c r="F614" s="13">
        <f>IFERROR((E614-D614)/D614,"")</f>
        <v/>
      </c>
      <c r="G614" s="13">
        <f>IFERROR((CHAIN_RAW!K614+CHAIN_RAW!L614)/2,"")</f>
        <v/>
      </c>
      <c r="H614" s="13">
        <f>IFERROR((CHAIN_RAW!R614+CHAIN_RAW!S614)/2,"")</f>
        <v/>
      </c>
      <c r="I614" s="13">
        <f>IFERROR((CHAIN_RAW!L614-CHAIN_RAW!K614)/MAX(1E-9, G614),"")</f>
        <v/>
      </c>
      <c r="J614" s="13">
        <f>IFERROR((CHAIN_RAW!S614-CHAIN_RAW!R614)/MAX(1E-9, H614),"")</f>
        <v/>
      </c>
      <c r="K614" s="13">
        <f>CHAIN_RAW!G614</f>
        <v/>
      </c>
      <c r="L614" s="13">
        <f>CHAIN_RAW!N614</f>
        <v/>
      </c>
      <c r="M614" s="13">
        <f>IFERROR(L614-K614,"")</f>
        <v/>
      </c>
      <c r="N614" s="13">
        <f>CHAIN_RAW!H614</f>
        <v/>
      </c>
      <c r="O614" s="13">
        <f>CHAIN_RAW!O614</f>
        <v/>
      </c>
      <c r="P614" s="13">
        <f>IFERROR(O614/N614,"")</f>
        <v/>
      </c>
      <c r="Q614" s="13">
        <f>CHAIN_RAW!I614</f>
        <v/>
      </c>
      <c r="R614" s="13">
        <f>CHAIN_RAW!P614</f>
        <v/>
      </c>
      <c r="S614" s="13">
        <f>IFERROR(R614/Q614,"")</f>
        <v/>
      </c>
      <c r="T614" s="13">
        <f>IFERROR((ABS(N614-O614)/MAX(1,(N614+O614)))*EXP(-ABS(E614-CONTROL!E5)/MAX(1,CONTROL!B8)),"")</f>
        <v/>
      </c>
      <c r="U614" s="13">
        <f>IFERROR(IF(O614&gt;N614,"SUPPORT (PE OI)","RESIST (CE OI)"),"")</f>
        <v/>
      </c>
      <c r="V614" s="13">
        <f>IFERROR(IF(Q614&gt;0,IF(R614&gt;0,"BOTH_ADD","CE_ADD_PE_REDUCE"),IF(R614&gt;0,"CE_REDUCE_PE_ADD","BOTH_REDUCE")),"")</f>
        <v/>
      </c>
      <c r="W614" s="13">
        <f>IFERROR( (P614-1)*0.5 + (M614)*0.1 - (I614+J614)*0.05 + T614*0.4 ,"")</f>
        <v/>
      </c>
      <c r="X614" s="13">
        <f>IFERROR(IF(ABS(F614)&lt;0.01,"ATM/NEAR",""),"")</f>
        <v/>
      </c>
    </row>
    <row r="615">
      <c r="A615" s="13">
        <f>CHAIN_RAW!A615</f>
        <v/>
      </c>
      <c r="B615" s="14">
        <f>CHAIN_RAW!B615</f>
        <v/>
      </c>
      <c r="C615" s="13">
        <f>CHAIN_RAW!C615</f>
        <v/>
      </c>
      <c r="D615" s="13">
        <f>CHAIN_RAW!D615</f>
        <v/>
      </c>
      <c r="E615" s="13">
        <f>CHAIN_RAW!E615</f>
        <v/>
      </c>
      <c r="F615" s="13">
        <f>IFERROR((E615-D615)/D615,"")</f>
        <v/>
      </c>
      <c r="G615" s="13">
        <f>IFERROR((CHAIN_RAW!K615+CHAIN_RAW!L615)/2,"")</f>
        <v/>
      </c>
      <c r="H615" s="13">
        <f>IFERROR((CHAIN_RAW!R615+CHAIN_RAW!S615)/2,"")</f>
        <v/>
      </c>
      <c r="I615" s="13">
        <f>IFERROR((CHAIN_RAW!L615-CHAIN_RAW!K615)/MAX(1E-9, G615),"")</f>
        <v/>
      </c>
      <c r="J615" s="13">
        <f>IFERROR((CHAIN_RAW!S615-CHAIN_RAW!R615)/MAX(1E-9, H615),"")</f>
        <v/>
      </c>
      <c r="K615" s="13">
        <f>CHAIN_RAW!G615</f>
        <v/>
      </c>
      <c r="L615" s="13">
        <f>CHAIN_RAW!N615</f>
        <v/>
      </c>
      <c r="M615" s="13">
        <f>IFERROR(L615-K615,"")</f>
        <v/>
      </c>
      <c r="N615" s="13">
        <f>CHAIN_RAW!H615</f>
        <v/>
      </c>
      <c r="O615" s="13">
        <f>CHAIN_RAW!O615</f>
        <v/>
      </c>
      <c r="P615" s="13">
        <f>IFERROR(O615/N615,"")</f>
        <v/>
      </c>
      <c r="Q615" s="13">
        <f>CHAIN_RAW!I615</f>
        <v/>
      </c>
      <c r="R615" s="13">
        <f>CHAIN_RAW!P615</f>
        <v/>
      </c>
      <c r="S615" s="13">
        <f>IFERROR(R615/Q615,"")</f>
        <v/>
      </c>
      <c r="T615" s="13">
        <f>IFERROR((ABS(N615-O615)/MAX(1,(N615+O615)))*EXP(-ABS(E615-CONTROL!E5)/MAX(1,CONTROL!B8)),"")</f>
        <v/>
      </c>
      <c r="U615" s="13">
        <f>IFERROR(IF(O615&gt;N615,"SUPPORT (PE OI)","RESIST (CE OI)"),"")</f>
        <v/>
      </c>
      <c r="V615" s="13">
        <f>IFERROR(IF(Q615&gt;0,IF(R615&gt;0,"BOTH_ADD","CE_ADD_PE_REDUCE"),IF(R615&gt;0,"CE_REDUCE_PE_ADD","BOTH_REDUCE")),"")</f>
        <v/>
      </c>
      <c r="W615" s="13">
        <f>IFERROR( (P615-1)*0.5 + (M615)*0.1 - (I615+J615)*0.05 + T615*0.4 ,"")</f>
        <v/>
      </c>
      <c r="X615" s="13">
        <f>IFERROR(IF(ABS(F615)&lt;0.01,"ATM/NEAR",""),"")</f>
        <v/>
      </c>
    </row>
    <row r="616">
      <c r="A616" s="13">
        <f>CHAIN_RAW!A616</f>
        <v/>
      </c>
      <c r="B616" s="14">
        <f>CHAIN_RAW!B616</f>
        <v/>
      </c>
      <c r="C616" s="13">
        <f>CHAIN_RAW!C616</f>
        <v/>
      </c>
      <c r="D616" s="13">
        <f>CHAIN_RAW!D616</f>
        <v/>
      </c>
      <c r="E616" s="13">
        <f>CHAIN_RAW!E616</f>
        <v/>
      </c>
      <c r="F616" s="13">
        <f>IFERROR((E616-D616)/D616,"")</f>
        <v/>
      </c>
      <c r="G616" s="13">
        <f>IFERROR((CHAIN_RAW!K616+CHAIN_RAW!L616)/2,"")</f>
        <v/>
      </c>
      <c r="H616" s="13">
        <f>IFERROR((CHAIN_RAW!R616+CHAIN_RAW!S616)/2,"")</f>
        <v/>
      </c>
      <c r="I616" s="13">
        <f>IFERROR((CHAIN_RAW!L616-CHAIN_RAW!K616)/MAX(1E-9, G616),"")</f>
        <v/>
      </c>
      <c r="J616" s="13">
        <f>IFERROR((CHAIN_RAW!S616-CHAIN_RAW!R616)/MAX(1E-9, H616),"")</f>
        <v/>
      </c>
      <c r="K616" s="13">
        <f>CHAIN_RAW!G616</f>
        <v/>
      </c>
      <c r="L616" s="13">
        <f>CHAIN_RAW!N616</f>
        <v/>
      </c>
      <c r="M616" s="13">
        <f>IFERROR(L616-K616,"")</f>
        <v/>
      </c>
      <c r="N616" s="13">
        <f>CHAIN_RAW!H616</f>
        <v/>
      </c>
      <c r="O616" s="13">
        <f>CHAIN_RAW!O616</f>
        <v/>
      </c>
      <c r="P616" s="13">
        <f>IFERROR(O616/N616,"")</f>
        <v/>
      </c>
      <c r="Q616" s="13">
        <f>CHAIN_RAW!I616</f>
        <v/>
      </c>
      <c r="R616" s="13">
        <f>CHAIN_RAW!P616</f>
        <v/>
      </c>
      <c r="S616" s="13">
        <f>IFERROR(R616/Q616,"")</f>
        <v/>
      </c>
      <c r="T616" s="13">
        <f>IFERROR((ABS(N616-O616)/MAX(1,(N616+O616)))*EXP(-ABS(E616-CONTROL!E5)/MAX(1,CONTROL!B8)),"")</f>
        <v/>
      </c>
      <c r="U616" s="13">
        <f>IFERROR(IF(O616&gt;N616,"SUPPORT (PE OI)","RESIST (CE OI)"),"")</f>
        <v/>
      </c>
      <c r="V616" s="13">
        <f>IFERROR(IF(Q616&gt;0,IF(R616&gt;0,"BOTH_ADD","CE_ADD_PE_REDUCE"),IF(R616&gt;0,"CE_REDUCE_PE_ADD","BOTH_REDUCE")),"")</f>
        <v/>
      </c>
      <c r="W616" s="13">
        <f>IFERROR( (P616-1)*0.5 + (M616)*0.1 - (I616+J616)*0.05 + T616*0.4 ,"")</f>
        <v/>
      </c>
      <c r="X616" s="13">
        <f>IFERROR(IF(ABS(F616)&lt;0.01,"ATM/NEAR",""),"")</f>
        <v/>
      </c>
    </row>
    <row r="617">
      <c r="A617" s="13">
        <f>CHAIN_RAW!A617</f>
        <v/>
      </c>
      <c r="B617" s="14">
        <f>CHAIN_RAW!B617</f>
        <v/>
      </c>
      <c r="C617" s="13">
        <f>CHAIN_RAW!C617</f>
        <v/>
      </c>
      <c r="D617" s="13">
        <f>CHAIN_RAW!D617</f>
        <v/>
      </c>
      <c r="E617" s="13">
        <f>CHAIN_RAW!E617</f>
        <v/>
      </c>
      <c r="F617" s="13">
        <f>IFERROR((E617-D617)/D617,"")</f>
        <v/>
      </c>
      <c r="G617" s="13">
        <f>IFERROR((CHAIN_RAW!K617+CHAIN_RAW!L617)/2,"")</f>
        <v/>
      </c>
      <c r="H617" s="13">
        <f>IFERROR((CHAIN_RAW!R617+CHAIN_RAW!S617)/2,"")</f>
        <v/>
      </c>
      <c r="I617" s="13">
        <f>IFERROR((CHAIN_RAW!L617-CHAIN_RAW!K617)/MAX(1E-9, G617),"")</f>
        <v/>
      </c>
      <c r="J617" s="13">
        <f>IFERROR((CHAIN_RAW!S617-CHAIN_RAW!R617)/MAX(1E-9, H617),"")</f>
        <v/>
      </c>
      <c r="K617" s="13">
        <f>CHAIN_RAW!G617</f>
        <v/>
      </c>
      <c r="L617" s="13">
        <f>CHAIN_RAW!N617</f>
        <v/>
      </c>
      <c r="M617" s="13">
        <f>IFERROR(L617-K617,"")</f>
        <v/>
      </c>
      <c r="N617" s="13">
        <f>CHAIN_RAW!H617</f>
        <v/>
      </c>
      <c r="O617" s="13">
        <f>CHAIN_RAW!O617</f>
        <v/>
      </c>
      <c r="P617" s="13">
        <f>IFERROR(O617/N617,"")</f>
        <v/>
      </c>
      <c r="Q617" s="13">
        <f>CHAIN_RAW!I617</f>
        <v/>
      </c>
      <c r="R617" s="13">
        <f>CHAIN_RAW!P617</f>
        <v/>
      </c>
      <c r="S617" s="13">
        <f>IFERROR(R617/Q617,"")</f>
        <v/>
      </c>
      <c r="T617" s="13">
        <f>IFERROR((ABS(N617-O617)/MAX(1,(N617+O617)))*EXP(-ABS(E617-CONTROL!E5)/MAX(1,CONTROL!B8)),"")</f>
        <v/>
      </c>
      <c r="U617" s="13">
        <f>IFERROR(IF(O617&gt;N617,"SUPPORT (PE OI)","RESIST (CE OI)"),"")</f>
        <v/>
      </c>
      <c r="V617" s="13">
        <f>IFERROR(IF(Q617&gt;0,IF(R617&gt;0,"BOTH_ADD","CE_ADD_PE_REDUCE"),IF(R617&gt;0,"CE_REDUCE_PE_ADD","BOTH_REDUCE")),"")</f>
        <v/>
      </c>
      <c r="W617" s="13">
        <f>IFERROR( (P617-1)*0.5 + (M617)*0.1 - (I617+J617)*0.05 + T617*0.4 ,"")</f>
        <v/>
      </c>
      <c r="X617" s="13">
        <f>IFERROR(IF(ABS(F617)&lt;0.01,"ATM/NEAR",""),"")</f>
        <v/>
      </c>
    </row>
    <row r="618">
      <c r="A618" s="13">
        <f>CHAIN_RAW!A618</f>
        <v/>
      </c>
      <c r="B618" s="14">
        <f>CHAIN_RAW!B618</f>
        <v/>
      </c>
      <c r="C618" s="13">
        <f>CHAIN_RAW!C618</f>
        <v/>
      </c>
      <c r="D618" s="13">
        <f>CHAIN_RAW!D618</f>
        <v/>
      </c>
      <c r="E618" s="13">
        <f>CHAIN_RAW!E618</f>
        <v/>
      </c>
      <c r="F618" s="13">
        <f>IFERROR((E618-D618)/D618,"")</f>
        <v/>
      </c>
      <c r="G618" s="13">
        <f>IFERROR((CHAIN_RAW!K618+CHAIN_RAW!L618)/2,"")</f>
        <v/>
      </c>
      <c r="H618" s="13">
        <f>IFERROR((CHAIN_RAW!R618+CHAIN_RAW!S618)/2,"")</f>
        <v/>
      </c>
      <c r="I618" s="13">
        <f>IFERROR((CHAIN_RAW!L618-CHAIN_RAW!K618)/MAX(1E-9, G618),"")</f>
        <v/>
      </c>
      <c r="J618" s="13">
        <f>IFERROR((CHAIN_RAW!S618-CHAIN_RAW!R618)/MAX(1E-9, H618),"")</f>
        <v/>
      </c>
      <c r="K618" s="13">
        <f>CHAIN_RAW!G618</f>
        <v/>
      </c>
      <c r="L618" s="13">
        <f>CHAIN_RAW!N618</f>
        <v/>
      </c>
      <c r="M618" s="13">
        <f>IFERROR(L618-K618,"")</f>
        <v/>
      </c>
      <c r="N618" s="13">
        <f>CHAIN_RAW!H618</f>
        <v/>
      </c>
      <c r="O618" s="13">
        <f>CHAIN_RAW!O618</f>
        <v/>
      </c>
      <c r="P618" s="13">
        <f>IFERROR(O618/N618,"")</f>
        <v/>
      </c>
      <c r="Q618" s="13">
        <f>CHAIN_RAW!I618</f>
        <v/>
      </c>
      <c r="R618" s="13">
        <f>CHAIN_RAW!P618</f>
        <v/>
      </c>
      <c r="S618" s="13">
        <f>IFERROR(R618/Q618,"")</f>
        <v/>
      </c>
      <c r="T618" s="13">
        <f>IFERROR((ABS(N618-O618)/MAX(1,(N618+O618)))*EXP(-ABS(E618-CONTROL!E5)/MAX(1,CONTROL!B8)),"")</f>
        <v/>
      </c>
      <c r="U618" s="13">
        <f>IFERROR(IF(O618&gt;N618,"SUPPORT (PE OI)","RESIST (CE OI)"),"")</f>
        <v/>
      </c>
      <c r="V618" s="13">
        <f>IFERROR(IF(Q618&gt;0,IF(R618&gt;0,"BOTH_ADD","CE_ADD_PE_REDUCE"),IF(R618&gt;0,"CE_REDUCE_PE_ADD","BOTH_REDUCE")),"")</f>
        <v/>
      </c>
      <c r="W618" s="13">
        <f>IFERROR( (P618-1)*0.5 + (M618)*0.1 - (I618+J618)*0.05 + T618*0.4 ,"")</f>
        <v/>
      </c>
      <c r="X618" s="13">
        <f>IFERROR(IF(ABS(F618)&lt;0.01,"ATM/NEAR",""),"")</f>
        <v/>
      </c>
    </row>
    <row r="619">
      <c r="A619" s="13">
        <f>CHAIN_RAW!A619</f>
        <v/>
      </c>
      <c r="B619" s="14">
        <f>CHAIN_RAW!B619</f>
        <v/>
      </c>
      <c r="C619" s="13">
        <f>CHAIN_RAW!C619</f>
        <v/>
      </c>
      <c r="D619" s="13">
        <f>CHAIN_RAW!D619</f>
        <v/>
      </c>
      <c r="E619" s="13">
        <f>CHAIN_RAW!E619</f>
        <v/>
      </c>
      <c r="F619" s="13">
        <f>IFERROR((E619-D619)/D619,"")</f>
        <v/>
      </c>
      <c r="G619" s="13">
        <f>IFERROR((CHAIN_RAW!K619+CHAIN_RAW!L619)/2,"")</f>
        <v/>
      </c>
      <c r="H619" s="13">
        <f>IFERROR((CHAIN_RAW!R619+CHAIN_RAW!S619)/2,"")</f>
        <v/>
      </c>
      <c r="I619" s="13">
        <f>IFERROR((CHAIN_RAW!L619-CHAIN_RAW!K619)/MAX(1E-9, G619),"")</f>
        <v/>
      </c>
      <c r="J619" s="13">
        <f>IFERROR((CHAIN_RAW!S619-CHAIN_RAW!R619)/MAX(1E-9, H619),"")</f>
        <v/>
      </c>
      <c r="K619" s="13">
        <f>CHAIN_RAW!G619</f>
        <v/>
      </c>
      <c r="L619" s="13">
        <f>CHAIN_RAW!N619</f>
        <v/>
      </c>
      <c r="M619" s="13">
        <f>IFERROR(L619-K619,"")</f>
        <v/>
      </c>
      <c r="N619" s="13">
        <f>CHAIN_RAW!H619</f>
        <v/>
      </c>
      <c r="O619" s="13">
        <f>CHAIN_RAW!O619</f>
        <v/>
      </c>
      <c r="P619" s="13">
        <f>IFERROR(O619/N619,"")</f>
        <v/>
      </c>
      <c r="Q619" s="13">
        <f>CHAIN_RAW!I619</f>
        <v/>
      </c>
      <c r="R619" s="13">
        <f>CHAIN_RAW!P619</f>
        <v/>
      </c>
      <c r="S619" s="13">
        <f>IFERROR(R619/Q619,"")</f>
        <v/>
      </c>
      <c r="T619" s="13">
        <f>IFERROR((ABS(N619-O619)/MAX(1,(N619+O619)))*EXP(-ABS(E619-CONTROL!E5)/MAX(1,CONTROL!B8)),"")</f>
        <v/>
      </c>
      <c r="U619" s="13">
        <f>IFERROR(IF(O619&gt;N619,"SUPPORT (PE OI)","RESIST (CE OI)"),"")</f>
        <v/>
      </c>
      <c r="V619" s="13">
        <f>IFERROR(IF(Q619&gt;0,IF(R619&gt;0,"BOTH_ADD","CE_ADD_PE_REDUCE"),IF(R619&gt;0,"CE_REDUCE_PE_ADD","BOTH_REDUCE")),"")</f>
        <v/>
      </c>
      <c r="W619" s="13">
        <f>IFERROR( (P619-1)*0.5 + (M619)*0.1 - (I619+J619)*0.05 + T619*0.4 ,"")</f>
        <v/>
      </c>
      <c r="X619" s="13">
        <f>IFERROR(IF(ABS(F619)&lt;0.01,"ATM/NEAR",""),"")</f>
        <v/>
      </c>
    </row>
    <row r="620">
      <c r="A620" s="13">
        <f>CHAIN_RAW!A620</f>
        <v/>
      </c>
      <c r="B620" s="14">
        <f>CHAIN_RAW!B620</f>
        <v/>
      </c>
      <c r="C620" s="13">
        <f>CHAIN_RAW!C620</f>
        <v/>
      </c>
      <c r="D620" s="13">
        <f>CHAIN_RAW!D620</f>
        <v/>
      </c>
      <c r="E620" s="13">
        <f>CHAIN_RAW!E620</f>
        <v/>
      </c>
      <c r="F620" s="13">
        <f>IFERROR((E620-D620)/D620,"")</f>
        <v/>
      </c>
      <c r="G620" s="13">
        <f>IFERROR((CHAIN_RAW!K620+CHAIN_RAW!L620)/2,"")</f>
        <v/>
      </c>
      <c r="H620" s="13">
        <f>IFERROR((CHAIN_RAW!R620+CHAIN_RAW!S620)/2,"")</f>
        <v/>
      </c>
      <c r="I620" s="13">
        <f>IFERROR((CHAIN_RAW!L620-CHAIN_RAW!K620)/MAX(1E-9, G620),"")</f>
        <v/>
      </c>
      <c r="J620" s="13">
        <f>IFERROR((CHAIN_RAW!S620-CHAIN_RAW!R620)/MAX(1E-9, H620),"")</f>
        <v/>
      </c>
      <c r="K620" s="13">
        <f>CHAIN_RAW!G620</f>
        <v/>
      </c>
      <c r="L620" s="13">
        <f>CHAIN_RAW!N620</f>
        <v/>
      </c>
      <c r="M620" s="13">
        <f>IFERROR(L620-K620,"")</f>
        <v/>
      </c>
      <c r="N620" s="13">
        <f>CHAIN_RAW!H620</f>
        <v/>
      </c>
      <c r="O620" s="13">
        <f>CHAIN_RAW!O620</f>
        <v/>
      </c>
      <c r="P620" s="13">
        <f>IFERROR(O620/N620,"")</f>
        <v/>
      </c>
      <c r="Q620" s="13">
        <f>CHAIN_RAW!I620</f>
        <v/>
      </c>
      <c r="R620" s="13">
        <f>CHAIN_RAW!P620</f>
        <v/>
      </c>
      <c r="S620" s="13">
        <f>IFERROR(R620/Q620,"")</f>
        <v/>
      </c>
      <c r="T620" s="13">
        <f>IFERROR((ABS(N620-O620)/MAX(1,(N620+O620)))*EXP(-ABS(E620-CONTROL!E5)/MAX(1,CONTROL!B8)),"")</f>
        <v/>
      </c>
      <c r="U620" s="13">
        <f>IFERROR(IF(O620&gt;N620,"SUPPORT (PE OI)","RESIST (CE OI)"),"")</f>
        <v/>
      </c>
      <c r="V620" s="13">
        <f>IFERROR(IF(Q620&gt;0,IF(R620&gt;0,"BOTH_ADD","CE_ADD_PE_REDUCE"),IF(R620&gt;0,"CE_REDUCE_PE_ADD","BOTH_REDUCE")),"")</f>
        <v/>
      </c>
      <c r="W620" s="13">
        <f>IFERROR( (P620-1)*0.5 + (M620)*0.1 - (I620+J620)*0.05 + T620*0.4 ,"")</f>
        <v/>
      </c>
      <c r="X620" s="13">
        <f>IFERROR(IF(ABS(F620)&lt;0.01,"ATM/NEAR",""),"")</f>
        <v/>
      </c>
    </row>
    <row r="621">
      <c r="A621" s="13">
        <f>CHAIN_RAW!A621</f>
        <v/>
      </c>
      <c r="B621" s="14">
        <f>CHAIN_RAW!B621</f>
        <v/>
      </c>
      <c r="C621" s="13">
        <f>CHAIN_RAW!C621</f>
        <v/>
      </c>
      <c r="D621" s="13">
        <f>CHAIN_RAW!D621</f>
        <v/>
      </c>
      <c r="E621" s="13">
        <f>CHAIN_RAW!E621</f>
        <v/>
      </c>
      <c r="F621" s="13">
        <f>IFERROR((E621-D621)/D621,"")</f>
        <v/>
      </c>
      <c r="G621" s="13">
        <f>IFERROR((CHAIN_RAW!K621+CHAIN_RAW!L621)/2,"")</f>
        <v/>
      </c>
      <c r="H621" s="13">
        <f>IFERROR((CHAIN_RAW!R621+CHAIN_RAW!S621)/2,"")</f>
        <v/>
      </c>
      <c r="I621" s="13">
        <f>IFERROR((CHAIN_RAW!L621-CHAIN_RAW!K621)/MAX(1E-9, G621),"")</f>
        <v/>
      </c>
      <c r="J621" s="13">
        <f>IFERROR((CHAIN_RAW!S621-CHAIN_RAW!R621)/MAX(1E-9, H621),"")</f>
        <v/>
      </c>
      <c r="K621" s="13">
        <f>CHAIN_RAW!G621</f>
        <v/>
      </c>
      <c r="L621" s="13">
        <f>CHAIN_RAW!N621</f>
        <v/>
      </c>
      <c r="M621" s="13">
        <f>IFERROR(L621-K621,"")</f>
        <v/>
      </c>
      <c r="N621" s="13">
        <f>CHAIN_RAW!H621</f>
        <v/>
      </c>
      <c r="O621" s="13">
        <f>CHAIN_RAW!O621</f>
        <v/>
      </c>
      <c r="P621" s="13">
        <f>IFERROR(O621/N621,"")</f>
        <v/>
      </c>
      <c r="Q621" s="13">
        <f>CHAIN_RAW!I621</f>
        <v/>
      </c>
      <c r="R621" s="13">
        <f>CHAIN_RAW!P621</f>
        <v/>
      </c>
      <c r="S621" s="13">
        <f>IFERROR(R621/Q621,"")</f>
        <v/>
      </c>
      <c r="T621" s="13">
        <f>IFERROR((ABS(N621-O621)/MAX(1,(N621+O621)))*EXP(-ABS(E621-CONTROL!E5)/MAX(1,CONTROL!B8)),"")</f>
        <v/>
      </c>
      <c r="U621" s="13">
        <f>IFERROR(IF(O621&gt;N621,"SUPPORT (PE OI)","RESIST (CE OI)"),"")</f>
        <v/>
      </c>
      <c r="V621" s="13">
        <f>IFERROR(IF(Q621&gt;0,IF(R621&gt;0,"BOTH_ADD","CE_ADD_PE_REDUCE"),IF(R621&gt;0,"CE_REDUCE_PE_ADD","BOTH_REDUCE")),"")</f>
        <v/>
      </c>
      <c r="W621" s="13">
        <f>IFERROR( (P621-1)*0.5 + (M621)*0.1 - (I621+J621)*0.05 + T621*0.4 ,"")</f>
        <v/>
      </c>
      <c r="X621" s="13">
        <f>IFERROR(IF(ABS(F621)&lt;0.01,"ATM/NEAR",""),"")</f>
        <v/>
      </c>
    </row>
    <row r="622">
      <c r="A622" s="13">
        <f>CHAIN_RAW!A622</f>
        <v/>
      </c>
      <c r="B622" s="14">
        <f>CHAIN_RAW!B622</f>
        <v/>
      </c>
      <c r="C622" s="13">
        <f>CHAIN_RAW!C622</f>
        <v/>
      </c>
      <c r="D622" s="13">
        <f>CHAIN_RAW!D622</f>
        <v/>
      </c>
      <c r="E622" s="13">
        <f>CHAIN_RAW!E622</f>
        <v/>
      </c>
      <c r="F622" s="13">
        <f>IFERROR((E622-D622)/D622,"")</f>
        <v/>
      </c>
      <c r="G622" s="13">
        <f>IFERROR((CHAIN_RAW!K622+CHAIN_RAW!L622)/2,"")</f>
        <v/>
      </c>
      <c r="H622" s="13">
        <f>IFERROR((CHAIN_RAW!R622+CHAIN_RAW!S622)/2,"")</f>
        <v/>
      </c>
      <c r="I622" s="13">
        <f>IFERROR((CHAIN_RAW!L622-CHAIN_RAW!K622)/MAX(1E-9, G622),"")</f>
        <v/>
      </c>
      <c r="J622" s="13">
        <f>IFERROR((CHAIN_RAW!S622-CHAIN_RAW!R622)/MAX(1E-9, H622),"")</f>
        <v/>
      </c>
      <c r="K622" s="13">
        <f>CHAIN_RAW!G622</f>
        <v/>
      </c>
      <c r="L622" s="13">
        <f>CHAIN_RAW!N622</f>
        <v/>
      </c>
      <c r="M622" s="13">
        <f>IFERROR(L622-K622,"")</f>
        <v/>
      </c>
      <c r="N622" s="13">
        <f>CHAIN_RAW!H622</f>
        <v/>
      </c>
      <c r="O622" s="13">
        <f>CHAIN_RAW!O622</f>
        <v/>
      </c>
      <c r="P622" s="13">
        <f>IFERROR(O622/N622,"")</f>
        <v/>
      </c>
      <c r="Q622" s="13">
        <f>CHAIN_RAW!I622</f>
        <v/>
      </c>
      <c r="R622" s="13">
        <f>CHAIN_RAW!P622</f>
        <v/>
      </c>
      <c r="S622" s="13">
        <f>IFERROR(R622/Q622,"")</f>
        <v/>
      </c>
      <c r="T622" s="13">
        <f>IFERROR((ABS(N622-O622)/MAX(1,(N622+O622)))*EXP(-ABS(E622-CONTROL!E5)/MAX(1,CONTROL!B8)),"")</f>
        <v/>
      </c>
      <c r="U622" s="13">
        <f>IFERROR(IF(O622&gt;N622,"SUPPORT (PE OI)","RESIST (CE OI)"),"")</f>
        <v/>
      </c>
      <c r="V622" s="13">
        <f>IFERROR(IF(Q622&gt;0,IF(R622&gt;0,"BOTH_ADD","CE_ADD_PE_REDUCE"),IF(R622&gt;0,"CE_REDUCE_PE_ADD","BOTH_REDUCE")),"")</f>
        <v/>
      </c>
      <c r="W622" s="13">
        <f>IFERROR( (P622-1)*0.5 + (M622)*0.1 - (I622+J622)*0.05 + T622*0.4 ,"")</f>
        <v/>
      </c>
      <c r="X622" s="13">
        <f>IFERROR(IF(ABS(F622)&lt;0.01,"ATM/NEAR",""),"")</f>
        <v/>
      </c>
    </row>
    <row r="623">
      <c r="A623" s="13">
        <f>CHAIN_RAW!A623</f>
        <v/>
      </c>
      <c r="B623" s="14">
        <f>CHAIN_RAW!B623</f>
        <v/>
      </c>
      <c r="C623" s="13">
        <f>CHAIN_RAW!C623</f>
        <v/>
      </c>
      <c r="D623" s="13">
        <f>CHAIN_RAW!D623</f>
        <v/>
      </c>
      <c r="E623" s="13">
        <f>CHAIN_RAW!E623</f>
        <v/>
      </c>
      <c r="F623" s="13">
        <f>IFERROR((E623-D623)/D623,"")</f>
        <v/>
      </c>
      <c r="G623" s="13">
        <f>IFERROR((CHAIN_RAW!K623+CHAIN_RAW!L623)/2,"")</f>
        <v/>
      </c>
      <c r="H623" s="13">
        <f>IFERROR((CHAIN_RAW!R623+CHAIN_RAW!S623)/2,"")</f>
        <v/>
      </c>
      <c r="I623" s="13">
        <f>IFERROR((CHAIN_RAW!L623-CHAIN_RAW!K623)/MAX(1E-9, G623),"")</f>
        <v/>
      </c>
      <c r="J623" s="13">
        <f>IFERROR((CHAIN_RAW!S623-CHAIN_RAW!R623)/MAX(1E-9, H623),"")</f>
        <v/>
      </c>
      <c r="K623" s="13">
        <f>CHAIN_RAW!G623</f>
        <v/>
      </c>
      <c r="L623" s="13">
        <f>CHAIN_RAW!N623</f>
        <v/>
      </c>
      <c r="M623" s="13">
        <f>IFERROR(L623-K623,"")</f>
        <v/>
      </c>
      <c r="N623" s="13">
        <f>CHAIN_RAW!H623</f>
        <v/>
      </c>
      <c r="O623" s="13">
        <f>CHAIN_RAW!O623</f>
        <v/>
      </c>
      <c r="P623" s="13">
        <f>IFERROR(O623/N623,"")</f>
        <v/>
      </c>
      <c r="Q623" s="13">
        <f>CHAIN_RAW!I623</f>
        <v/>
      </c>
      <c r="R623" s="13">
        <f>CHAIN_RAW!P623</f>
        <v/>
      </c>
      <c r="S623" s="13">
        <f>IFERROR(R623/Q623,"")</f>
        <v/>
      </c>
      <c r="T623" s="13">
        <f>IFERROR((ABS(N623-O623)/MAX(1,(N623+O623)))*EXP(-ABS(E623-CONTROL!E5)/MAX(1,CONTROL!B8)),"")</f>
        <v/>
      </c>
      <c r="U623" s="13">
        <f>IFERROR(IF(O623&gt;N623,"SUPPORT (PE OI)","RESIST (CE OI)"),"")</f>
        <v/>
      </c>
      <c r="V623" s="13">
        <f>IFERROR(IF(Q623&gt;0,IF(R623&gt;0,"BOTH_ADD","CE_ADD_PE_REDUCE"),IF(R623&gt;0,"CE_REDUCE_PE_ADD","BOTH_REDUCE")),"")</f>
        <v/>
      </c>
      <c r="W623" s="13">
        <f>IFERROR( (P623-1)*0.5 + (M623)*0.1 - (I623+J623)*0.05 + T623*0.4 ,"")</f>
        <v/>
      </c>
      <c r="X623" s="13">
        <f>IFERROR(IF(ABS(F623)&lt;0.01,"ATM/NEAR",""),"")</f>
        <v/>
      </c>
    </row>
    <row r="624">
      <c r="A624" s="13">
        <f>CHAIN_RAW!A624</f>
        <v/>
      </c>
      <c r="B624" s="14">
        <f>CHAIN_RAW!B624</f>
        <v/>
      </c>
      <c r="C624" s="13">
        <f>CHAIN_RAW!C624</f>
        <v/>
      </c>
      <c r="D624" s="13">
        <f>CHAIN_RAW!D624</f>
        <v/>
      </c>
      <c r="E624" s="13">
        <f>CHAIN_RAW!E624</f>
        <v/>
      </c>
      <c r="F624" s="13">
        <f>IFERROR((E624-D624)/D624,"")</f>
        <v/>
      </c>
      <c r="G624" s="13">
        <f>IFERROR((CHAIN_RAW!K624+CHAIN_RAW!L624)/2,"")</f>
        <v/>
      </c>
      <c r="H624" s="13">
        <f>IFERROR((CHAIN_RAW!R624+CHAIN_RAW!S624)/2,"")</f>
        <v/>
      </c>
      <c r="I624" s="13">
        <f>IFERROR((CHAIN_RAW!L624-CHAIN_RAW!K624)/MAX(1E-9, G624),"")</f>
        <v/>
      </c>
      <c r="J624" s="13">
        <f>IFERROR((CHAIN_RAW!S624-CHAIN_RAW!R624)/MAX(1E-9, H624),"")</f>
        <v/>
      </c>
      <c r="K624" s="13">
        <f>CHAIN_RAW!G624</f>
        <v/>
      </c>
      <c r="L624" s="13">
        <f>CHAIN_RAW!N624</f>
        <v/>
      </c>
      <c r="M624" s="13">
        <f>IFERROR(L624-K624,"")</f>
        <v/>
      </c>
      <c r="N624" s="13">
        <f>CHAIN_RAW!H624</f>
        <v/>
      </c>
      <c r="O624" s="13">
        <f>CHAIN_RAW!O624</f>
        <v/>
      </c>
      <c r="P624" s="13">
        <f>IFERROR(O624/N624,"")</f>
        <v/>
      </c>
      <c r="Q624" s="13">
        <f>CHAIN_RAW!I624</f>
        <v/>
      </c>
      <c r="R624" s="13">
        <f>CHAIN_RAW!P624</f>
        <v/>
      </c>
      <c r="S624" s="13">
        <f>IFERROR(R624/Q624,"")</f>
        <v/>
      </c>
      <c r="T624" s="13">
        <f>IFERROR((ABS(N624-O624)/MAX(1,(N624+O624)))*EXP(-ABS(E624-CONTROL!E5)/MAX(1,CONTROL!B8)),"")</f>
        <v/>
      </c>
      <c r="U624" s="13">
        <f>IFERROR(IF(O624&gt;N624,"SUPPORT (PE OI)","RESIST (CE OI)"),"")</f>
        <v/>
      </c>
      <c r="V624" s="13">
        <f>IFERROR(IF(Q624&gt;0,IF(R624&gt;0,"BOTH_ADD","CE_ADD_PE_REDUCE"),IF(R624&gt;0,"CE_REDUCE_PE_ADD","BOTH_REDUCE")),"")</f>
        <v/>
      </c>
      <c r="W624" s="13">
        <f>IFERROR( (P624-1)*0.5 + (M624)*0.1 - (I624+J624)*0.05 + T624*0.4 ,"")</f>
        <v/>
      </c>
      <c r="X624" s="13">
        <f>IFERROR(IF(ABS(F624)&lt;0.01,"ATM/NEAR",""),"")</f>
        <v/>
      </c>
    </row>
    <row r="625">
      <c r="A625" s="13">
        <f>CHAIN_RAW!A625</f>
        <v/>
      </c>
      <c r="B625" s="14">
        <f>CHAIN_RAW!B625</f>
        <v/>
      </c>
      <c r="C625" s="13">
        <f>CHAIN_RAW!C625</f>
        <v/>
      </c>
      <c r="D625" s="13">
        <f>CHAIN_RAW!D625</f>
        <v/>
      </c>
      <c r="E625" s="13">
        <f>CHAIN_RAW!E625</f>
        <v/>
      </c>
      <c r="F625" s="13">
        <f>IFERROR((E625-D625)/D625,"")</f>
        <v/>
      </c>
      <c r="G625" s="13">
        <f>IFERROR((CHAIN_RAW!K625+CHAIN_RAW!L625)/2,"")</f>
        <v/>
      </c>
      <c r="H625" s="13">
        <f>IFERROR((CHAIN_RAW!R625+CHAIN_RAW!S625)/2,"")</f>
        <v/>
      </c>
      <c r="I625" s="13">
        <f>IFERROR((CHAIN_RAW!L625-CHAIN_RAW!K625)/MAX(1E-9, G625),"")</f>
        <v/>
      </c>
      <c r="J625" s="13">
        <f>IFERROR((CHAIN_RAW!S625-CHAIN_RAW!R625)/MAX(1E-9, H625),"")</f>
        <v/>
      </c>
      <c r="K625" s="13">
        <f>CHAIN_RAW!G625</f>
        <v/>
      </c>
      <c r="L625" s="13">
        <f>CHAIN_RAW!N625</f>
        <v/>
      </c>
      <c r="M625" s="13">
        <f>IFERROR(L625-K625,"")</f>
        <v/>
      </c>
      <c r="N625" s="13">
        <f>CHAIN_RAW!H625</f>
        <v/>
      </c>
      <c r="O625" s="13">
        <f>CHAIN_RAW!O625</f>
        <v/>
      </c>
      <c r="P625" s="13">
        <f>IFERROR(O625/N625,"")</f>
        <v/>
      </c>
      <c r="Q625" s="13">
        <f>CHAIN_RAW!I625</f>
        <v/>
      </c>
      <c r="R625" s="13">
        <f>CHAIN_RAW!P625</f>
        <v/>
      </c>
      <c r="S625" s="13">
        <f>IFERROR(R625/Q625,"")</f>
        <v/>
      </c>
      <c r="T625" s="13">
        <f>IFERROR((ABS(N625-O625)/MAX(1,(N625+O625)))*EXP(-ABS(E625-CONTROL!E5)/MAX(1,CONTROL!B8)),"")</f>
        <v/>
      </c>
      <c r="U625" s="13">
        <f>IFERROR(IF(O625&gt;N625,"SUPPORT (PE OI)","RESIST (CE OI)"),"")</f>
        <v/>
      </c>
      <c r="V625" s="13">
        <f>IFERROR(IF(Q625&gt;0,IF(R625&gt;0,"BOTH_ADD","CE_ADD_PE_REDUCE"),IF(R625&gt;0,"CE_REDUCE_PE_ADD","BOTH_REDUCE")),"")</f>
        <v/>
      </c>
      <c r="W625" s="13">
        <f>IFERROR( (P625-1)*0.5 + (M625)*0.1 - (I625+J625)*0.05 + T625*0.4 ,"")</f>
        <v/>
      </c>
      <c r="X625" s="13">
        <f>IFERROR(IF(ABS(F625)&lt;0.01,"ATM/NEAR",""),"")</f>
        <v/>
      </c>
    </row>
    <row r="626">
      <c r="A626" s="13">
        <f>CHAIN_RAW!A626</f>
        <v/>
      </c>
      <c r="B626" s="14">
        <f>CHAIN_RAW!B626</f>
        <v/>
      </c>
      <c r="C626" s="13">
        <f>CHAIN_RAW!C626</f>
        <v/>
      </c>
      <c r="D626" s="13">
        <f>CHAIN_RAW!D626</f>
        <v/>
      </c>
      <c r="E626" s="13">
        <f>CHAIN_RAW!E626</f>
        <v/>
      </c>
      <c r="F626" s="13">
        <f>IFERROR((E626-D626)/D626,"")</f>
        <v/>
      </c>
      <c r="G626" s="13">
        <f>IFERROR((CHAIN_RAW!K626+CHAIN_RAW!L626)/2,"")</f>
        <v/>
      </c>
      <c r="H626" s="13">
        <f>IFERROR((CHAIN_RAW!R626+CHAIN_RAW!S626)/2,"")</f>
        <v/>
      </c>
      <c r="I626" s="13">
        <f>IFERROR((CHAIN_RAW!L626-CHAIN_RAW!K626)/MAX(1E-9, G626),"")</f>
        <v/>
      </c>
      <c r="J626" s="13">
        <f>IFERROR((CHAIN_RAW!S626-CHAIN_RAW!R626)/MAX(1E-9, H626),"")</f>
        <v/>
      </c>
      <c r="K626" s="13">
        <f>CHAIN_RAW!G626</f>
        <v/>
      </c>
      <c r="L626" s="13">
        <f>CHAIN_RAW!N626</f>
        <v/>
      </c>
      <c r="M626" s="13">
        <f>IFERROR(L626-K626,"")</f>
        <v/>
      </c>
      <c r="N626" s="13">
        <f>CHAIN_RAW!H626</f>
        <v/>
      </c>
      <c r="O626" s="13">
        <f>CHAIN_RAW!O626</f>
        <v/>
      </c>
      <c r="P626" s="13">
        <f>IFERROR(O626/N626,"")</f>
        <v/>
      </c>
      <c r="Q626" s="13">
        <f>CHAIN_RAW!I626</f>
        <v/>
      </c>
      <c r="R626" s="13">
        <f>CHAIN_RAW!P626</f>
        <v/>
      </c>
      <c r="S626" s="13">
        <f>IFERROR(R626/Q626,"")</f>
        <v/>
      </c>
      <c r="T626" s="13">
        <f>IFERROR((ABS(N626-O626)/MAX(1,(N626+O626)))*EXP(-ABS(E626-CONTROL!E5)/MAX(1,CONTROL!B8)),"")</f>
        <v/>
      </c>
      <c r="U626" s="13">
        <f>IFERROR(IF(O626&gt;N626,"SUPPORT (PE OI)","RESIST (CE OI)"),"")</f>
        <v/>
      </c>
      <c r="V626" s="13">
        <f>IFERROR(IF(Q626&gt;0,IF(R626&gt;0,"BOTH_ADD","CE_ADD_PE_REDUCE"),IF(R626&gt;0,"CE_REDUCE_PE_ADD","BOTH_REDUCE")),"")</f>
        <v/>
      </c>
      <c r="W626" s="13">
        <f>IFERROR( (P626-1)*0.5 + (M626)*0.1 - (I626+J626)*0.05 + T626*0.4 ,"")</f>
        <v/>
      </c>
      <c r="X626" s="13">
        <f>IFERROR(IF(ABS(F626)&lt;0.01,"ATM/NEAR",""),"")</f>
        <v/>
      </c>
    </row>
    <row r="627">
      <c r="A627" s="13">
        <f>CHAIN_RAW!A627</f>
        <v/>
      </c>
      <c r="B627" s="14">
        <f>CHAIN_RAW!B627</f>
        <v/>
      </c>
      <c r="C627" s="13">
        <f>CHAIN_RAW!C627</f>
        <v/>
      </c>
      <c r="D627" s="13">
        <f>CHAIN_RAW!D627</f>
        <v/>
      </c>
      <c r="E627" s="13">
        <f>CHAIN_RAW!E627</f>
        <v/>
      </c>
      <c r="F627" s="13">
        <f>IFERROR((E627-D627)/D627,"")</f>
        <v/>
      </c>
      <c r="G627" s="13">
        <f>IFERROR((CHAIN_RAW!K627+CHAIN_RAW!L627)/2,"")</f>
        <v/>
      </c>
      <c r="H627" s="13">
        <f>IFERROR((CHAIN_RAW!R627+CHAIN_RAW!S627)/2,"")</f>
        <v/>
      </c>
      <c r="I627" s="13">
        <f>IFERROR((CHAIN_RAW!L627-CHAIN_RAW!K627)/MAX(1E-9, G627),"")</f>
        <v/>
      </c>
      <c r="J627" s="13">
        <f>IFERROR((CHAIN_RAW!S627-CHAIN_RAW!R627)/MAX(1E-9, H627),"")</f>
        <v/>
      </c>
      <c r="K627" s="13">
        <f>CHAIN_RAW!G627</f>
        <v/>
      </c>
      <c r="L627" s="13">
        <f>CHAIN_RAW!N627</f>
        <v/>
      </c>
      <c r="M627" s="13">
        <f>IFERROR(L627-K627,"")</f>
        <v/>
      </c>
      <c r="N627" s="13">
        <f>CHAIN_RAW!H627</f>
        <v/>
      </c>
      <c r="O627" s="13">
        <f>CHAIN_RAW!O627</f>
        <v/>
      </c>
      <c r="P627" s="13">
        <f>IFERROR(O627/N627,"")</f>
        <v/>
      </c>
      <c r="Q627" s="13">
        <f>CHAIN_RAW!I627</f>
        <v/>
      </c>
      <c r="R627" s="13">
        <f>CHAIN_RAW!P627</f>
        <v/>
      </c>
      <c r="S627" s="13">
        <f>IFERROR(R627/Q627,"")</f>
        <v/>
      </c>
      <c r="T627" s="13">
        <f>IFERROR((ABS(N627-O627)/MAX(1,(N627+O627)))*EXP(-ABS(E627-CONTROL!E5)/MAX(1,CONTROL!B8)),"")</f>
        <v/>
      </c>
      <c r="U627" s="13">
        <f>IFERROR(IF(O627&gt;N627,"SUPPORT (PE OI)","RESIST (CE OI)"),"")</f>
        <v/>
      </c>
      <c r="V627" s="13">
        <f>IFERROR(IF(Q627&gt;0,IF(R627&gt;0,"BOTH_ADD","CE_ADD_PE_REDUCE"),IF(R627&gt;0,"CE_REDUCE_PE_ADD","BOTH_REDUCE")),"")</f>
        <v/>
      </c>
      <c r="W627" s="13">
        <f>IFERROR( (P627-1)*0.5 + (M627)*0.1 - (I627+J627)*0.05 + T627*0.4 ,"")</f>
        <v/>
      </c>
      <c r="X627" s="13">
        <f>IFERROR(IF(ABS(F627)&lt;0.01,"ATM/NEAR",""),"")</f>
        <v/>
      </c>
    </row>
    <row r="628">
      <c r="A628" s="13">
        <f>CHAIN_RAW!A628</f>
        <v/>
      </c>
      <c r="B628" s="14">
        <f>CHAIN_RAW!B628</f>
        <v/>
      </c>
      <c r="C628" s="13">
        <f>CHAIN_RAW!C628</f>
        <v/>
      </c>
      <c r="D628" s="13">
        <f>CHAIN_RAW!D628</f>
        <v/>
      </c>
      <c r="E628" s="13">
        <f>CHAIN_RAW!E628</f>
        <v/>
      </c>
      <c r="F628" s="13">
        <f>IFERROR((E628-D628)/D628,"")</f>
        <v/>
      </c>
      <c r="G628" s="13">
        <f>IFERROR((CHAIN_RAW!K628+CHAIN_RAW!L628)/2,"")</f>
        <v/>
      </c>
      <c r="H628" s="13">
        <f>IFERROR((CHAIN_RAW!R628+CHAIN_RAW!S628)/2,"")</f>
        <v/>
      </c>
      <c r="I628" s="13">
        <f>IFERROR((CHAIN_RAW!L628-CHAIN_RAW!K628)/MAX(1E-9, G628),"")</f>
        <v/>
      </c>
      <c r="J628" s="13">
        <f>IFERROR((CHAIN_RAW!S628-CHAIN_RAW!R628)/MAX(1E-9, H628),"")</f>
        <v/>
      </c>
      <c r="K628" s="13">
        <f>CHAIN_RAW!G628</f>
        <v/>
      </c>
      <c r="L628" s="13">
        <f>CHAIN_RAW!N628</f>
        <v/>
      </c>
      <c r="M628" s="13">
        <f>IFERROR(L628-K628,"")</f>
        <v/>
      </c>
      <c r="N628" s="13">
        <f>CHAIN_RAW!H628</f>
        <v/>
      </c>
      <c r="O628" s="13">
        <f>CHAIN_RAW!O628</f>
        <v/>
      </c>
      <c r="P628" s="13">
        <f>IFERROR(O628/N628,"")</f>
        <v/>
      </c>
      <c r="Q628" s="13">
        <f>CHAIN_RAW!I628</f>
        <v/>
      </c>
      <c r="R628" s="13">
        <f>CHAIN_RAW!P628</f>
        <v/>
      </c>
      <c r="S628" s="13">
        <f>IFERROR(R628/Q628,"")</f>
        <v/>
      </c>
      <c r="T628" s="13">
        <f>IFERROR((ABS(N628-O628)/MAX(1,(N628+O628)))*EXP(-ABS(E628-CONTROL!E5)/MAX(1,CONTROL!B8)),"")</f>
        <v/>
      </c>
      <c r="U628" s="13">
        <f>IFERROR(IF(O628&gt;N628,"SUPPORT (PE OI)","RESIST (CE OI)"),"")</f>
        <v/>
      </c>
      <c r="V628" s="13">
        <f>IFERROR(IF(Q628&gt;0,IF(R628&gt;0,"BOTH_ADD","CE_ADD_PE_REDUCE"),IF(R628&gt;0,"CE_REDUCE_PE_ADD","BOTH_REDUCE")),"")</f>
        <v/>
      </c>
      <c r="W628" s="13">
        <f>IFERROR( (P628-1)*0.5 + (M628)*0.1 - (I628+J628)*0.05 + T628*0.4 ,"")</f>
        <v/>
      </c>
      <c r="X628" s="13">
        <f>IFERROR(IF(ABS(F628)&lt;0.01,"ATM/NEAR",""),"")</f>
        <v/>
      </c>
    </row>
    <row r="629">
      <c r="A629" s="13">
        <f>CHAIN_RAW!A629</f>
        <v/>
      </c>
      <c r="B629" s="14">
        <f>CHAIN_RAW!B629</f>
        <v/>
      </c>
      <c r="C629" s="13">
        <f>CHAIN_RAW!C629</f>
        <v/>
      </c>
      <c r="D629" s="13">
        <f>CHAIN_RAW!D629</f>
        <v/>
      </c>
      <c r="E629" s="13">
        <f>CHAIN_RAW!E629</f>
        <v/>
      </c>
      <c r="F629" s="13">
        <f>IFERROR((E629-D629)/D629,"")</f>
        <v/>
      </c>
      <c r="G629" s="13">
        <f>IFERROR((CHAIN_RAW!K629+CHAIN_RAW!L629)/2,"")</f>
        <v/>
      </c>
      <c r="H629" s="13">
        <f>IFERROR((CHAIN_RAW!R629+CHAIN_RAW!S629)/2,"")</f>
        <v/>
      </c>
      <c r="I629" s="13">
        <f>IFERROR((CHAIN_RAW!L629-CHAIN_RAW!K629)/MAX(1E-9, G629),"")</f>
        <v/>
      </c>
      <c r="J629" s="13">
        <f>IFERROR((CHAIN_RAW!S629-CHAIN_RAW!R629)/MAX(1E-9, H629),"")</f>
        <v/>
      </c>
      <c r="K629" s="13">
        <f>CHAIN_RAW!G629</f>
        <v/>
      </c>
      <c r="L629" s="13">
        <f>CHAIN_RAW!N629</f>
        <v/>
      </c>
      <c r="M629" s="13">
        <f>IFERROR(L629-K629,"")</f>
        <v/>
      </c>
      <c r="N629" s="13">
        <f>CHAIN_RAW!H629</f>
        <v/>
      </c>
      <c r="O629" s="13">
        <f>CHAIN_RAW!O629</f>
        <v/>
      </c>
      <c r="P629" s="13">
        <f>IFERROR(O629/N629,"")</f>
        <v/>
      </c>
      <c r="Q629" s="13">
        <f>CHAIN_RAW!I629</f>
        <v/>
      </c>
      <c r="R629" s="13">
        <f>CHAIN_RAW!P629</f>
        <v/>
      </c>
      <c r="S629" s="13">
        <f>IFERROR(R629/Q629,"")</f>
        <v/>
      </c>
      <c r="T629" s="13">
        <f>IFERROR((ABS(N629-O629)/MAX(1,(N629+O629)))*EXP(-ABS(E629-CONTROL!E5)/MAX(1,CONTROL!B8)),"")</f>
        <v/>
      </c>
      <c r="U629" s="13">
        <f>IFERROR(IF(O629&gt;N629,"SUPPORT (PE OI)","RESIST (CE OI)"),"")</f>
        <v/>
      </c>
      <c r="V629" s="13">
        <f>IFERROR(IF(Q629&gt;0,IF(R629&gt;0,"BOTH_ADD","CE_ADD_PE_REDUCE"),IF(R629&gt;0,"CE_REDUCE_PE_ADD","BOTH_REDUCE")),"")</f>
        <v/>
      </c>
      <c r="W629" s="13">
        <f>IFERROR( (P629-1)*0.5 + (M629)*0.1 - (I629+J629)*0.05 + T629*0.4 ,"")</f>
        <v/>
      </c>
      <c r="X629" s="13">
        <f>IFERROR(IF(ABS(F629)&lt;0.01,"ATM/NEAR",""),"")</f>
        <v/>
      </c>
    </row>
    <row r="630">
      <c r="A630" s="13">
        <f>CHAIN_RAW!A630</f>
        <v/>
      </c>
      <c r="B630" s="14">
        <f>CHAIN_RAW!B630</f>
        <v/>
      </c>
      <c r="C630" s="13">
        <f>CHAIN_RAW!C630</f>
        <v/>
      </c>
      <c r="D630" s="13">
        <f>CHAIN_RAW!D630</f>
        <v/>
      </c>
      <c r="E630" s="13">
        <f>CHAIN_RAW!E630</f>
        <v/>
      </c>
      <c r="F630" s="13">
        <f>IFERROR((E630-D630)/D630,"")</f>
        <v/>
      </c>
      <c r="G630" s="13">
        <f>IFERROR((CHAIN_RAW!K630+CHAIN_RAW!L630)/2,"")</f>
        <v/>
      </c>
      <c r="H630" s="13">
        <f>IFERROR((CHAIN_RAW!R630+CHAIN_RAW!S630)/2,"")</f>
        <v/>
      </c>
      <c r="I630" s="13">
        <f>IFERROR((CHAIN_RAW!L630-CHAIN_RAW!K630)/MAX(1E-9, G630),"")</f>
        <v/>
      </c>
      <c r="J630" s="13">
        <f>IFERROR((CHAIN_RAW!S630-CHAIN_RAW!R630)/MAX(1E-9, H630),"")</f>
        <v/>
      </c>
      <c r="K630" s="13">
        <f>CHAIN_RAW!G630</f>
        <v/>
      </c>
      <c r="L630" s="13">
        <f>CHAIN_RAW!N630</f>
        <v/>
      </c>
      <c r="M630" s="13">
        <f>IFERROR(L630-K630,"")</f>
        <v/>
      </c>
      <c r="N630" s="13">
        <f>CHAIN_RAW!H630</f>
        <v/>
      </c>
      <c r="O630" s="13">
        <f>CHAIN_RAW!O630</f>
        <v/>
      </c>
      <c r="P630" s="13">
        <f>IFERROR(O630/N630,"")</f>
        <v/>
      </c>
      <c r="Q630" s="13">
        <f>CHAIN_RAW!I630</f>
        <v/>
      </c>
      <c r="R630" s="13">
        <f>CHAIN_RAW!P630</f>
        <v/>
      </c>
      <c r="S630" s="13">
        <f>IFERROR(R630/Q630,"")</f>
        <v/>
      </c>
      <c r="T630" s="13">
        <f>IFERROR((ABS(N630-O630)/MAX(1,(N630+O630)))*EXP(-ABS(E630-CONTROL!E5)/MAX(1,CONTROL!B8)),"")</f>
        <v/>
      </c>
      <c r="U630" s="13">
        <f>IFERROR(IF(O630&gt;N630,"SUPPORT (PE OI)","RESIST (CE OI)"),"")</f>
        <v/>
      </c>
      <c r="V630" s="13">
        <f>IFERROR(IF(Q630&gt;0,IF(R630&gt;0,"BOTH_ADD","CE_ADD_PE_REDUCE"),IF(R630&gt;0,"CE_REDUCE_PE_ADD","BOTH_REDUCE")),"")</f>
        <v/>
      </c>
      <c r="W630" s="13">
        <f>IFERROR( (P630-1)*0.5 + (M630)*0.1 - (I630+J630)*0.05 + T630*0.4 ,"")</f>
        <v/>
      </c>
      <c r="X630" s="13">
        <f>IFERROR(IF(ABS(F630)&lt;0.01,"ATM/NEAR",""),"")</f>
        <v/>
      </c>
    </row>
    <row r="631">
      <c r="A631" s="13">
        <f>CHAIN_RAW!A631</f>
        <v/>
      </c>
      <c r="B631" s="14">
        <f>CHAIN_RAW!B631</f>
        <v/>
      </c>
      <c r="C631" s="13">
        <f>CHAIN_RAW!C631</f>
        <v/>
      </c>
      <c r="D631" s="13">
        <f>CHAIN_RAW!D631</f>
        <v/>
      </c>
      <c r="E631" s="13">
        <f>CHAIN_RAW!E631</f>
        <v/>
      </c>
      <c r="F631" s="13">
        <f>IFERROR((E631-D631)/D631,"")</f>
        <v/>
      </c>
      <c r="G631" s="13">
        <f>IFERROR((CHAIN_RAW!K631+CHAIN_RAW!L631)/2,"")</f>
        <v/>
      </c>
      <c r="H631" s="13">
        <f>IFERROR((CHAIN_RAW!R631+CHAIN_RAW!S631)/2,"")</f>
        <v/>
      </c>
      <c r="I631" s="13">
        <f>IFERROR((CHAIN_RAW!L631-CHAIN_RAW!K631)/MAX(1E-9, G631),"")</f>
        <v/>
      </c>
      <c r="J631" s="13">
        <f>IFERROR((CHAIN_RAW!S631-CHAIN_RAW!R631)/MAX(1E-9, H631),"")</f>
        <v/>
      </c>
      <c r="K631" s="13">
        <f>CHAIN_RAW!G631</f>
        <v/>
      </c>
      <c r="L631" s="13">
        <f>CHAIN_RAW!N631</f>
        <v/>
      </c>
      <c r="M631" s="13">
        <f>IFERROR(L631-K631,"")</f>
        <v/>
      </c>
      <c r="N631" s="13">
        <f>CHAIN_RAW!H631</f>
        <v/>
      </c>
      <c r="O631" s="13">
        <f>CHAIN_RAW!O631</f>
        <v/>
      </c>
      <c r="P631" s="13">
        <f>IFERROR(O631/N631,"")</f>
        <v/>
      </c>
      <c r="Q631" s="13">
        <f>CHAIN_RAW!I631</f>
        <v/>
      </c>
      <c r="R631" s="13">
        <f>CHAIN_RAW!P631</f>
        <v/>
      </c>
      <c r="S631" s="13">
        <f>IFERROR(R631/Q631,"")</f>
        <v/>
      </c>
      <c r="T631" s="13">
        <f>IFERROR((ABS(N631-O631)/MAX(1,(N631+O631)))*EXP(-ABS(E631-CONTROL!E5)/MAX(1,CONTROL!B8)),"")</f>
        <v/>
      </c>
      <c r="U631" s="13">
        <f>IFERROR(IF(O631&gt;N631,"SUPPORT (PE OI)","RESIST (CE OI)"),"")</f>
        <v/>
      </c>
      <c r="V631" s="13">
        <f>IFERROR(IF(Q631&gt;0,IF(R631&gt;0,"BOTH_ADD","CE_ADD_PE_REDUCE"),IF(R631&gt;0,"CE_REDUCE_PE_ADD","BOTH_REDUCE")),"")</f>
        <v/>
      </c>
      <c r="W631" s="13">
        <f>IFERROR( (P631-1)*0.5 + (M631)*0.1 - (I631+J631)*0.05 + T631*0.4 ,"")</f>
        <v/>
      </c>
      <c r="X631" s="13">
        <f>IFERROR(IF(ABS(F631)&lt;0.01,"ATM/NEAR",""),"")</f>
        <v/>
      </c>
    </row>
    <row r="632">
      <c r="A632" s="13">
        <f>CHAIN_RAW!A632</f>
        <v/>
      </c>
      <c r="B632" s="14">
        <f>CHAIN_RAW!B632</f>
        <v/>
      </c>
      <c r="C632" s="13">
        <f>CHAIN_RAW!C632</f>
        <v/>
      </c>
      <c r="D632" s="13">
        <f>CHAIN_RAW!D632</f>
        <v/>
      </c>
      <c r="E632" s="13">
        <f>CHAIN_RAW!E632</f>
        <v/>
      </c>
      <c r="F632" s="13">
        <f>IFERROR((E632-D632)/D632,"")</f>
        <v/>
      </c>
      <c r="G632" s="13">
        <f>IFERROR((CHAIN_RAW!K632+CHAIN_RAW!L632)/2,"")</f>
        <v/>
      </c>
      <c r="H632" s="13">
        <f>IFERROR((CHAIN_RAW!R632+CHAIN_RAW!S632)/2,"")</f>
        <v/>
      </c>
      <c r="I632" s="13">
        <f>IFERROR((CHAIN_RAW!L632-CHAIN_RAW!K632)/MAX(1E-9, G632),"")</f>
        <v/>
      </c>
      <c r="J632" s="13">
        <f>IFERROR((CHAIN_RAW!S632-CHAIN_RAW!R632)/MAX(1E-9, H632),"")</f>
        <v/>
      </c>
      <c r="K632" s="13">
        <f>CHAIN_RAW!G632</f>
        <v/>
      </c>
      <c r="L632" s="13">
        <f>CHAIN_RAW!N632</f>
        <v/>
      </c>
      <c r="M632" s="13">
        <f>IFERROR(L632-K632,"")</f>
        <v/>
      </c>
      <c r="N632" s="13">
        <f>CHAIN_RAW!H632</f>
        <v/>
      </c>
      <c r="O632" s="13">
        <f>CHAIN_RAW!O632</f>
        <v/>
      </c>
      <c r="P632" s="13">
        <f>IFERROR(O632/N632,"")</f>
        <v/>
      </c>
      <c r="Q632" s="13">
        <f>CHAIN_RAW!I632</f>
        <v/>
      </c>
      <c r="R632" s="13">
        <f>CHAIN_RAW!P632</f>
        <v/>
      </c>
      <c r="S632" s="13">
        <f>IFERROR(R632/Q632,"")</f>
        <v/>
      </c>
      <c r="T632" s="13">
        <f>IFERROR((ABS(N632-O632)/MAX(1,(N632+O632)))*EXP(-ABS(E632-CONTROL!E5)/MAX(1,CONTROL!B8)),"")</f>
        <v/>
      </c>
      <c r="U632" s="13">
        <f>IFERROR(IF(O632&gt;N632,"SUPPORT (PE OI)","RESIST (CE OI)"),"")</f>
        <v/>
      </c>
      <c r="V632" s="13">
        <f>IFERROR(IF(Q632&gt;0,IF(R632&gt;0,"BOTH_ADD","CE_ADD_PE_REDUCE"),IF(R632&gt;0,"CE_REDUCE_PE_ADD","BOTH_REDUCE")),"")</f>
        <v/>
      </c>
      <c r="W632" s="13">
        <f>IFERROR( (P632-1)*0.5 + (M632)*0.1 - (I632+J632)*0.05 + T632*0.4 ,"")</f>
        <v/>
      </c>
      <c r="X632" s="13">
        <f>IFERROR(IF(ABS(F632)&lt;0.01,"ATM/NEAR",""),"")</f>
        <v/>
      </c>
    </row>
    <row r="633">
      <c r="A633" s="13">
        <f>CHAIN_RAW!A633</f>
        <v/>
      </c>
      <c r="B633" s="14">
        <f>CHAIN_RAW!B633</f>
        <v/>
      </c>
      <c r="C633" s="13">
        <f>CHAIN_RAW!C633</f>
        <v/>
      </c>
      <c r="D633" s="13">
        <f>CHAIN_RAW!D633</f>
        <v/>
      </c>
      <c r="E633" s="13">
        <f>CHAIN_RAW!E633</f>
        <v/>
      </c>
      <c r="F633" s="13">
        <f>IFERROR((E633-D633)/D633,"")</f>
        <v/>
      </c>
      <c r="G633" s="13">
        <f>IFERROR((CHAIN_RAW!K633+CHAIN_RAW!L633)/2,"")</f>
        <v/>
      </c>
      <c r="H633" s="13">
        <f>IFERROR((CHAIN_RAW!R633+CHAIN_RAW!S633)/2,"")</f>
        <v/>
      </c>
      <c r="I633" s="13">
        <f>IFERROR((CHAIN_RAW!L633-CHAIN_RAW!K633)/MAX(1E-9, G633),"")</f>
        <v/>
      </c>
      <c r="J633" s="13">
        <f>IFERROR((CHAIN_RAW!S633-CHAIN_RAW!R633)/MAX(1E-9, H633),"")</f>
        <v/>
      </c>
      <c r="K633" s="13">
        <f>CHAIN_RAW!G633</f>
        <v/>
      </c>
      <c r="L633" s="13">
        <f>CHAIN_RAW!N633</f>
        <v/>
      </c>
      <c r="M633" s="13">
        <f>IFERROR(L633-K633,"")</f>
        <v/>
      </c>
      <c r="N633" s="13">
        <f>CHAIN_RAW!H633</f>
        <v/>
      </c>
      <c r="O633" s="13">
        <f>CHAIN_RAW!O633</f>
        <v/>
      </c>
      <c r="P633" s="13">
        <f>IFERROR(O633/N633,"")</f>
        <v/>
      </c>
      <c r="Q633" s="13">
        <f>CHAIN_RAW!I633</f>
        <v/>
      </c>
      <c r="R633" s="13">
        <f>CHAIN_RAW!P633</f>
        <v/>
      </c>
      <c r="S633" s="13">
        <f>IFERROR(R633/Q633,"")</f>
        <v/>
      </c>
      <c r="T633" s="13">
        <f>IFERROR((ABS(N633-O633)/MAX(1,(N633+O633)))*EXP(-ABS(E633-CONTROL!E5)/MAX(1,CONTROL!B8)),"")</f>
        <v/>
      </c>
      <c r="U633" s="13">
        <f>IFERROR(IF(O633&gt;N633,"SUPPORT (PE OI)","RESIST (CE OI)"),"")</f>
        <v/>
      </c>
      <c r="V633" s="13">
        <f>IFERROR(IF(Q633&gt;0,IF(R633&gt;0,"BOTH_ADD","CE_ADD_PE_REDUCE"),IF(R633&gt;0,"CE_REDUCE_PE_ADD","BOTH_REDUCE")),"")</f>
        <v/>
      </c>
      <c r="W633" s="13">
        <f>IFERROR( (P633-1)*0.5 + (M633)*0.1 - (I633+J633)*0.05 + T633*0.4 ,"")</f>
        <v/>
      </c>
      <c r="X633" s="13">
        <f>IFERROR(IF(ABS(F633)&lt;0.01,"ATM/NEAR",""),"")</f>
        <v/>
      </c>
    </row>
    <row r="634">
      <c r="A634" s="13">
        <f>CHAIN_RAW!A634</f>
        <v/>
      </c>
      <c r="B634" s="14">
        <f>CHAIN_RAW!B634</f>
        <v/>
      </c>
      <c r="C634" s="13">
        <f>CHAIN_RAW!C634</f>
        <v/>
      </c>
      <c r="D634" s="13">
        <f>CHAIN_RAW!D634</f>
        <v/>
      </c>
      <c r="E634" s="13">
        <f>CHAIN_RAW!E634</f>
        <v/>
      </c>
      <c r="F634" s="13">
        <f>IFERROR((E634-D634)/D634,"")</f>
        <v/>
      </c>
      <c r="G634" s="13">
        <f>IFERROR((CHAIN_RAW!K634+CHAIN_RAW!L634)/2,"")</f>
        <v/>
      </c>
      <c r="H634" s="13">
        <f>IFERROR((CHAIN_RAW!R634+CHAIN_RAW!S634)/2,"")</f>
        <v/>
      </c>
      <c r="I634" s="13">
        <f>IFERROR((CHAIN_RAW!L634-CHAIN_RAW!K634)/MAX(1E-9, G634),"")</f>
        <v/>
      </c>
      <c r="J634" s="13">
        <f>IFERROR((CHAIN_RAW!S634-CHAIN_RAW!R634)/MAX(1E-9, H634),"")</f>
        <v/>
      </c>
      <c r="K634" s="13">
        <f>CHAIN_RAW!G634</f>
        <v/>
      </c>
      <c r="L634" s="13">
        <f>CHAIN_RAW!N634</f>
        <v/>
      </c>
      <c r="M634" s="13">
        <f>IFERROR(L634-K634,"")</f>
        <v/>
      </c>
      <c r="N634" s="13">
        <f>CHAIN_RAW!H634</f>
        <v/>
      </c>
      <c r="O634" s="13">
        <f>CHAIN_RAW!O634</f>
        <v/>
      </c>
      <c r="P634" s="13">
        <f>IFERROR(O634/N634,"")</f>
        <v/>
      </c>
      <c r="Q634" s="13">
        <f>CHAIN_RAW!I634</f>
        <v/>
      </c>
      <c r="R634" s="13">
        <f>CHAIN_RAW!P634</f>
        <v/>
      </c>
      <c r="S634" s="13">
        <f>IFERROR(R634/Q634,"")</f>
        <v/>
      </c>
      <c r="T634" s="13">
        <f>IFERROR((ABS(N634-O634)/MAX(1,(N634+O634)))*EXP(-ABS(E634-CONTROL!E5)/MAX(1,CONTROL!B8)),"")</f>
        <v/>
      </c>
      <c r="U634" s="13">
        <f>IFERROR(IF(O634&gt;N634,"SUPPORT (PE OI)","RESIST (CE OI)"),"")</f>
        <v/>
      </c>
      <c r="V634" s="13">
        <f>IFERROR(IF(Q634&gt;0,IF(R634&gt;0,"BOTH_ADD","CE_ADD_PE_REDUCE"),IF(R634&gt;0,"CE_REDUCE_PE_ADD","BOTH_REDUCE")),"")</f>
        <v/>
      </c>
      <c r="W634" s="13">
        <f>IFERROR( (P634-1)*0.5 + (M634)*0.1 - (I634+J634)*0.05 + T634*0.4 ,"")</f>
        <v/>
      </c>
      <c r="X634" s="13">
        <f>IFERROR(IF(ABS(F634)&lt;0.01,"ATM/NEAR",""),"")</f>
        <v/>
      </c>
    </row>
    <row r="635">
      <c r="A635" s="13">
        <f>CHAIN_RAW!A635</f>
        <v/>
      </c>
      <c r="B635" s="14">
        <f>CHAIN_RAW!B635</f>
        <v/>
      </c>
      <c r="C635" s="13">
        <f>CHAIN_RAW!C635</f>
        <v/>
      </c>
      <c r="D635" s="13">
        <f>CHAIN_RAW!D635</f>
        <v/>
      </c>
      <c r="E635" s="13">
        <f>CHAIN_RAW!E635</f>
        <v/>
      </c>
      <c r="F635" s="13">
        <f>IFERROR((E635-D635)/D635,"")</f>
        <v/>
      </c>
      <c r="G635" s="13">
        <f>IFERROR((CHAIN_RAW!K635+CHAIN_RAW!L635)/2,"")</f>
        <v/>
      </c>
      <c r="H635" s="13">
        <f>IFERROR((CHAIN_RAW!R635+CHAIN_RAW!S635)/2,"")</f>
        <v/>
      </c>
      <c r="I635" s="13">
        <f>IFERROR((CHAIN_RAW!L635-CHAIN_RAW!K635)/MAX(1E-9, G635),"")</f>
        <v/>
      </c>
      <c r="J635" s="13">
        <f>IFERROR((CHAIN_RAW!S635-CHAIN_RAW!R635)/MAX(1E-9, H635),"")</f>
        <v/>
      </c>
      <c r="K635" s="13">
        <f>CHAIN_RAW!G635</f>
        <v/>
      </c>
      <c r="L635" s="13">
        <f>CHAIN_RAW!N635</f>
        <v/>
      </c>
      <c r="M635" s="13">
        <f>IFERROR(L635-K635,"")</f>
        <v/>
      </c>
      <c r="N635" s="13">
        <f>CHAIN_RAW!H635</f>
        <v/>
      </c>
      <c r="O635" s="13">
        <f>CHAIN_RAW!O635</f>
        <v/>
      </c>
      <c r="P635" s="13">
        <f>IFERROR(O635/N635,"")</f>
        <v/>
      </c>
      <c r="Q635" s="13">
        <f>CHAIN_RAW!I635</f>
        <v/>
      </c>
      <c r="R635" s="13">
        <f>CHAIN_RAW!P635</f>
        <v/>
      </c>
      <c r="S635" s="13">
        <f>IFERROR(R635/Q635,"")</f>
        <v/>
      </c>
      <c r="T635" s="13">
        <f>IFERROR((ABS(N635-O635)/MAX(1,(N635+O635)))*EXP(-ABS(E635-CONTROL!E5)/MAX(1,CONTROL!B8)),"")</f>
        <v/>
      </c>
      <c r="U635" s="13">
        <f>IFERROR(IF(O635&gt;N635,"SUPPORT (PE OI)","RESIST (CE OI)"),"")</f>
        <v/>
      </c>
      <c r="V635" s="13">
        <f>IFERROR(IF(Q635&gt;0,IF(R635&gt;0,"BOTH_ADD","CE_ADD_PE_REDUCE"),IF(R635&gt;0,"CE_REDUCE_PE_ADD","BOTH_REDUCE")),"")</f>
        <v/>
      </c>
      <c r="W635" s="13">
        <f>IFERROR( (P635-1)*0.5 + (M635)*0.1 - (I635+J635)*0.05 + T635*0.4 ,"")</f>
        <v/>
      </c>
      <c r="X635" s="13">
        <f>IFERROR(IF(ABS(F635)&lt;0.01,"ATM/NEAR",""),"")</f>
        <v/>
      </c>
    </row>
    <row r="636">
      <c r="A636" s="13">
        <f>CHAIN_RAW!A636</f>
        <v/>
      </c>
      <c r="B636" s="14">
        <f>CHAIN_RAW!B636</f>
        <v/>
      </c>
      <c r="C636" s="13">
        <f>CHAIN_RAW!C636</f>
        <v/>
      </c>
      <c r="D636" s="13">
        <f>CHAIN_RAW!D636</f>
        <v/>
      </c>
      <c r="E636" s="13">
        <f>CHAIN_RAW!E636</f>
        <v/>
      </c>
      <c r="F636" s="13">
        <f>IFERROR((E636-D636)/D636,"")</f>
        <v/>
      </c>
      <c r="G636" s="13">
        <f>IFERROR((CHAIN_RAW!K636+CHAIN_RAW!L636)/2,"")</f>
        <v/>
      </c>
      <c r="H636" s="13">
        <f>IFERROR((CHAIN_RAW!R636+CHAIN_RAW!S636)/2,"")</f>
        <v/>
      </c>
      <c r="I636" s="13">
        <f>IFERROR((CHAIN_RAW!L636-CHAIN_RAW!K636)/MAX(1E-9, G636),"")</f>
        <v/>
      </c>
      <c r="J636" s="13">
        <f>IFERROR((CHAIN_RAW!S636-CHAIN_RAW!R636)/MAX(1E-9, H636),"")</f>
        <v/>
      </c>
      <c r="K636" s="13">
        <f>CHAIN_RAW!G636</f>
        <v/>
      </c>
      <c r="L636" s="13">
        <f>CHAIN_RAW!N636</f>
        <v/>
      </c>
      <c r="M636" s="13">
        <f>IFERROR(L636-K636,"")</f>
        <v/>
      </c>
      <c r="N636" s="13">
        <f>CHAIN_RAW!H636</f>
        <v/>
      </c>
      <c r="O636" s="13">
        <f>CHAIN_RAW!O636</f>
        <v/>
      </c>
      <c r="P636" s="13">
        <f>IFERROR(O636/N636,"")</f>
        <v/>
      </c>
      <c r="Q636" s="13">
        <f>CHAIN_RAW!I636</f>
        <v/>
      </c>
      <c r="R636" s="13">
        <f>CHAIN_RAW!P636</f>
        <v/>
      </c>
      <c r="S636" s="13">
        <f>IFERROR(R636/Q636,"")</f>
        <v/>
      </c>
      <c r="T636" s="13">
        <f>IFERROR((ABS(N636-O636)/MAX(1,(N636+O636)))*EXP(-ABS(E636-CONTROL!E5)/MAX(1,CONTROL!B8)),"")</f>
        <v/>
      </c>
      <c r="U636" s="13">
        <f>IFERROR(IF(O636&gt;N636,"SUPPORT (PE OI)","RESIST (CE OI)"),"")</f>
        <v/>
      </c>
      <c r="V636" s="13">
        <f>IFERROR(IF(Q636&gt;0,IF(R636&gt;0,"BOTH_ADD","CE_ADD_PE_REDUCE"),IF(R636&gt;0,"CE_REDUCE_PE_ADD","BOTH_REDUCE")),"")</f>
        <v/>
      </c>
      <c r="W636" s="13">
        <f>IFERROR( (P636-1)*0.5 + (M636)*0.1 - (I636+J636)*0.05 + T636*0.4 ,"")</f>
        <v/>
      </c>
      <c r="X636" s="13">
        <f>IFERROR(IF(ABS(F636)&lt;0.01,"ATM/NEAR",""),"")</f>
        <v/>
      </c>
    </row>
    <row r="637">
      <c r="A637" s="13">
        <f>CHAIN_RAW!A637</f>
        <v/>
      </c>
      <c r="B637" s="14">
        <f>CHAIN_RAW!B637</f>
        <v/>
      </c>
      <c r="C637" s="13">
        <f>CHAIN_RAW!C637</f>
        <v/>
      </c>
      <c r="D637" s="13">
        <f>CHAIN_RAW!D637</f>
        <v/>
      </c>
      <c r="E637" s="13">
        <f>CHAIN_RAW!E637</f>
        <v/>
      </c>
      <c r="F637" s="13">
        <f>IFERROR((E637-D637)/D637,"")</f>
        <v/>
      </c>
      <c r="G637" s="13">
        <f>IFERROR((CHAIN_RAW!K637+CHAIN_RAW!L637)/2,"")</f>
        <v/>
      </c>
      <c r="H637" s="13">
        <f>IFERROR((CHAIN_RAW!R637+CHAIN_RAW!S637)/2,"")</f>
        <v/>
      </c>
      <c r="I637" s="13">
        <f>IFERROR((CHAIN_RAW!L637-CHAIN_RAW!K637)/MAX(1E-9, G637),"")</f>
        <v/>
      </c>
      <c r="J637" s="13">
        <f>IFERROR((CHAIN_RAW!S637-CHAIN_RAW!R637)/MAX(1E-9, H637),"")</f>
        <v/>
      </c>
      <c r="K637" s="13">
        <f>CHAIN_RAW!G637</f>
        <v/>
      </c>
      <c r="L637" s="13">
        <f>CHAIN_RAW!N637</f>
        <v/>
      </c>
      <c r="M637" s="13">
        <f>IFERROR(L637-K637,"")</f>
        <v/>
      </c>
      <c r="N637" s="13">
        <f>CHAIN_RAW!H637</f>
        <v/>
      </c>
      <c r="O637" s="13">
        <f>CHAIN_RAW!O637</f>
        <v/>
      </c>
      <c r="P637" s="13">
        <f>IFERROR(O637/N637,"")</f>
        <v/>
      </c>
      <c r="Q637" s="13">
        <f>CHAIN_RAW!I637</f>
        <v/>
      </c>
      <c r="R637" s="13">
        <f>CHAIN_RAW!P637</f>
        <v/>
      </c>
      <c r="S637" s="13">
        <f>IFERROR(R637/Q637,"")</f>
        <v/>
      </c>
      <c r="T637" s="13">
        <f>IFERROR((ABS(N637-O637)/MAX(1,(N637+O637)))*EXP(-ABS(E637-CONTROL!E5)/MAX(1,CONTROL!B8)),"")</f>
        <v/>
      </c>
      <c r="U637" s="13">
        <f>IFERROR(IF(O637&gt;N637,"SUPPORT (PE OI)","RESIST (CE OI)"),"")</f>
        <v/>
      </c>
      <c r="V637" s="13">
        <f>IFERROR(IF(Q637&gt;0,IF(R637&gt;0,"BOTH_ADD","CE_ADD_PE_REDUCE"),IF(R637&gt;0,"CE_REDUCE_PE_ADD","BOTH_REDUCE")),"")</f>
        <v/>
      </c>
      <c r="W637" s="13">
        <f>IFERROR( (P637-1)*0.5 + (M637)*0.1 - (I637+J637)*0.05 + T637*0.4 ,"")</f>
        <v/>
      </c>
      <c r="X637" s="13">
        <f>IFERROR(IF(ABS(F637)&lt;0.01,"ATM/NEAR",""),"")</f>
        <v/>
      </c>
    </row>
    <row r="638">
      <c r="A638" s="13">
        <f>CHAIN_RAW!A638</f>
        <v/>
      </c>
      <c r="B638" s="14">
        <f>CHAIN_RAW!B638</f>
        <v/>
      </c>
      <c r="C638" s="13">
        <f>CHAIN_RAW!C638</f>
        <v/>
      </c>
      <c r="D638" s="13">
        <f>CHAIN_RAW!D638</f>
        <v/>
      </c>
      <c r="E638" s="13">
        <f>CHAIN_RAW!E638</f>
        <v/>
      </c>
      <c r="F638" s="13">
        <f>IFERROR((E638-D638)/D638,"")</f>
        <v/>
      </c>
      <c r="G638" s="13">
        <f>IFERROR((CHAIN_RAW!K638+CHAIN_RAW!L638)/2,"")</f>
        <v/>
      </c>
      <c r="H638" s="13">
        <f>IFERROR((CHAIN_RAW!R638+CHAIN_RAW!S638)/2,"")</f>
        <v/>
      </c>
      <c r="I638" s="13">
        <f>IFERROR((CHAIN_RAW!L638-CHAIN_RAW!K638)/MAX(1E-9, G638),"")</f>
        <v/>
      </c>
      <c r="J638" s="13">
        <f>IFERROR((CHAIN_RAW!S638-CHAIN_RAW!R638)/MAX(1E-9, H638),"")</f>
        <v/>
      </c>
      <c r="K638" s="13">
        <f>CHAIN_RAW!G638</f>
        <v/>
      </c>
      <c r="L638" s="13">
        <f>CHAIN_RAW!N638</f>
        <v/>
      </c>
      <c r="M638" s="13">
        <f>IFERROR(L638-K638,"")</f>
        <v/>
      </c>
      <c r="N638" s="13">
        <f>CHAIN_RAW!H638</f>
        <v/>
      </c>
      <c r="O638" s="13">
        <f>CHAIN_RAW!O638</f>
        <v/>
      </c>
      <c r="P638" s="13">
        <f>IFERROR(O638/N638,"")</f>
        <v/>
      </c>
      <c r="Q638" s="13">
        <f>CHAIN_RAW!I638</f>
        <v/>
      </c>
      <c r="R638" s="13">
        <f>CHAIN_RAW!P638</f>
        <v/>
      </c>
      <c r="S638" s="13">
        <f>IFERROR(R638/Q638,"")</f>
        <v/>
      </c>
      <c r="T638" s="13">
        <f>IFERROR((ABS(N638-O638)/MAX(1,(N638+O638)))*EXP(-ABS(E638-CONTROL!E5)/MAX(1,CONTROL!B8)),"")</f>
        <v/>
      </c>
      <c r="U638" s="13">
        <f>IFERROR(IF(O638&gt;N638,"SUPPORT (PE OI)","RESIST (CE OI)"),"")</f>
        <v/>
      </c>
      <c r="V638" s="13">
        <f>IFERROR(IF(Q638&gt;0,IF(R638&gt;0,"BOTH_ADD","CE_ADD_PE_REDUCE"),IF(R638&gt;0,"CE_REDUCE_PE_ADD","BOTH_REDUCE")),"")</f>
        <v/>
      </c>
      <c r="W638" s="13">
        <f>IFERROR( (P638-1)*0.5 + (M638)*0.1 - (I638+J638)*0.05 + T638*0.4 ,"")</f>
        <v/>
      </c>
      <c r="X638" s="13">
        <f>IFERROR(IF(ABS(F638)&lt;0.01,"ATM/NEAR",""),"")</f>
        <v/>
      </c>
    </row>
    <row r="639">
      <c r="A639" s="13">
        <f>CHAIN_RAW!A639</f>
        <v/>
      </c>
      <c r="B639" s="14">
        <f>CHAIN_RAW!B639</f>
        <v/>
      </c>
      <c r="C639" s="13">
        <f>CHAIN_RAW!C639</f>
        <v/>
      </c>
      <c r="D639" s="13">
        <f>CHAIN_RAW!D639</f>
        <v/>
      </c>
      <c r="E639" s="13">
        <f>CHAIN_RAW!E639</f>
        <v/>
      </c>
      <c r="F639" s="13">
        <f>IFERROR((E639-D639)/D639,"")</f>
        <v/>
      </c>
      <c r="G639" s="13">
        <f>IFERROR((CHAIN_RAW!K639+CHAIN_RAW!L639)/2,"")</f>
        <v/>
      </c>
      <c r="H639" s="13">
        <f>IFERROR((CHAIN_RAW!R639+CHAIN_RAW!S639)/2,"")</f>
        <v/>
      </c>
      <c r="I639" s="13">
        <f>IFERROR((CHAIN_RAW!L639-CHAIN_RAW!K639)/MAX(1E-9, G639),"")</f>
        <v/>
      </c>
      <c r="J639" s="13">
        <f>IFERROR((CHAIN_RAW!S639-CHAIN_RAW!R639)/MAX(1E-9, H639),"")</f>
        <v/>
      </c>
      <c r="K639" s="13">
        <f>CHAIN_RAW!G639</f>
        <v/>
      </c>
      <c r="L639" s="13">
        <f>CHAIN_RAW!N639</f>
        <v/>
      </c>
      <c r="M639" s="13">
        <f>IFERROR(L639-K639,"")</f>
        <v/>
      </c>
      <c r="N639" s="13">
        <f>CHAIN_RAW!H639</f>
        <v/>
      </c>
      <c r="O639" s="13">
        <f>CHAIN_RAW!O639</f>
        <v/>
      </c>
      <c r="P639" s="13">
        <f>IFERROR(O639/N639,"")</f>
        <v/>
      </c>
      <c r="Q639" s="13">
        <f>CHAIN_RAW!I639</f>
        <v/>
      </c>
      <c r="R639" s="13">
        <f>CHAIN_RAW!P639</f>
        <v/>
      </c>
      <c r="S639" s="13">
        <f>IFERROR(R639/Q639,"")</f>
        <v/>
      </c>
      <c r="T639" s="13">
        <f>IFERROR((ABS(N639-O639)/MAX(1,(N639+O639)))*EXP(-ABS(E639-CONTROL!E5)/MAX(1,CONTROL!B8)),"")</f>
        <v/>
      </c>
      <c r="U639" s="13">
        <f>IFERROR(IF(O639&gt;N639,"SUPPORT (PE OI)","RESIST (CE OI)"),"")</f>
        <v/>
      </c>
      <c r="V639" s="13">
        <f>IFERROR(IF(Q639&gt;0,IF(R639&gt;0,"BOTH_ADD","CE_ADD_PE_REDUCE"),IF(R639&gt;0,"CE_REDUCE_PE_ADD","BOTH_REDUCE")),"")</f>
        <v/>
      </c>
      <c r="W639" s="13">
        <f>IFERROR( (P639-1)*0.5 + (M639)*0.1 - (I639+J639)*0.05 + T639*0.4 ,"")</f>
        <v/>
      </c>
      <c r="X639" s="13">
        <f>IFERROR(IF(ABS(F639)&lt;0.01,"ATM/NEAR",""),"")</f>
        <v/>
      </c>
    </row>
    <row r="640">
      <c r="A640" s="13">
        <f>CHAIN_RAW!A640</f>
        <v/>
      </c>
      <c r="B640" s="14">
        <f>CHAIN_RAW!B640</f>
        <v/>
      </c>
      <c r="C640" s="13">
        <f>CHAIN_RAW!C640</f>
        <v/>
      </c>
      <c r="D640" s="13">
        <f>CHAIN_RAW!D640</f>
        <v/>
      </c>
      <c r="E640" s="13">
        <f>CHAIN_RAW!E640</f>
        <v/>
      </c>
      <c r="F640" s="13">
        <f>IFERROR((E640-D640)/D640,"")</f>
        <v/>
      </c>
      <c r="G640" s="13">
        <f>IFERROR((CHAIN_RAW!K640+CHAIN_RAW!L640)/2,"")</f>
        <v/>
      </c>
      <c r="H640" s="13">
        <f>IFERROR((CHAIN_RAW!R640+CHAIN_RAW!S640)/2,"")</f>
        <v/>
      </c>
      <c r="I640" s="13">
        <f>IFERROR((CHAIN_RAW!L640-CHAIN_RAW!K640)/MAX(1E-9, G640),"")</f>
        <v/>
      </c>
      <c r="J640" s="13">
        <f>IFERROR((CHAIN_RAW!S640-CHAIN_RAW!R640)/MAX(1E-9, H640),"")</f>
        <v/>
      </c>
      <c r="K640" s="13">
        <f>CHAIN_RAW!G640</f>
        <v/>
      </c>
      <c r="L640" s="13">
        <f>CHAIN_RAW!N640</f>
        <v/>
      </c>
      <c r="M640" s="13">
        <f>IFERROR(L640-K640,"")</f>
        <v/>
      </c>
      <c r="N640" s="13">
        <f>CHAIN_RAW!H640</f>
        <v/>
      </c>
      <c r="O640" s="13">
        <f>CHAIN_RAW!O640</f>
        <v/>
      </c>
      <c r="P640" s="13">
        <f>IFERROR(O640/N640,"")</f>
        <v/>
      </c>
      <c r="Q640" s="13">
        <f>CHAIN_RAW!I640</f>
        <v/>
      </c>
      <c r="R640" s="13">
        <f>CHAIN_RAW!P640</f>
        <v/>
      </c>
      <c r="S640" s="13">
        <f>IFERROR(R640/Q640,"")</f>
        <v/>
      </c>
      <c r="T640" s="13">
        <f>IFERROR((ABS(N640-O640)/MAX(1,(N640+O640)))*EXP(-ABS(E640-CONTROL!E5)/MAX(1,CONTROL!B8)),"")</f>
        <v/>
      </c>
      <c r="U640" s="13">
        <f>IFERROR(IF(O640&gt;N640,"SUPPORT (PE OI)","RESIST (CE OI)"),"")</f>
        <v/>
      </c>
      <c r="V640" s="13">
        <f>IFERROR(IF(Q640&gt;0,IF(R640&gt;0,"BOTH_ADD","CE_ADD_PE_REDUCE"),IF(R640&gt;0,"CE_REDUCE_PE_ADD","BOTH_REDUCE")),"")</f>
        <v/>
      </c>
      <c r="W640" s="13">
        <f>IFERROR( (P640-1)*0.5 + (M640)*0.1 - (I640+J640)*0.05 + T640*0.4 ,"")</f>
        <v/>
      </c>
      <c r="X640" s="13">
        <f>IFERROR(IF(ABS(F640)&lt;0.01,"ATM/NEAR",""),"")</f>
        <v/>
      </c>
    </row>
    <row r="641">
      <c r="A641" s="13">
        <f>CHAIN_RAW!A641</f>
        <v/>
      </c>
      <c r="B641" s="14">
        <f>CHAIN_RAW!B641</f>
        <v/>
      </c>
      <c r="C641" s="13">
        <f>CHAIN_RAW!C641</f>
        <v/>
      </c>
      <c r="D641" s="13">
        <f>CHAIN_RAW!D641</f>
        <v/>
      </c>
      <c r="E641" s="13">
        <f>CHAIN_RAW!E641</f>
        <v/>
      </c>
      <c r="F641" s="13">
        <f>IFERROR((E641-D641)/D641,"")</f>
        <v/>
      </c>
      <c r="G641" s="13">
        <f>IFERROR((CHAIN_RAW!K641+CHAIN_RAW!L641)/2,"")</f>
        <v/>
      </c>
      <c r="H641" s="13">
        <f>IFERROR((CHAIN_RAW!R641+CHAIN_RAW!S641)/2,"")</f>
        <v/>
      </c>
      <c r="I641" s="13">
        <f>IFERROR((CHAIN_RAW!L641-CHAIN_RAW!K641)/MAX(1E-9, G641),"")</f>
        <v/>
      </c>
      <c r="J641" s="13">
        <f>IFERROR((CHAIN_RAW!S641-CHAIN_RAW!R641)/MAX(1E-9, H641),"")</f>
        <v/>
      </c>
      <c r="K641" s="13">
        <f>CHAIN_RAW!G641</f>
        <v/>
      </c>
      <c r="L641" s="13">
        <f>CHAIN_RAW!N641</f>
        <v/>
      </c>
      <c r="M641" s="13">
        <f>IFERROR(L641-K641,"")</f>
        <v/>
      </c>
      <c r="N641" s="13">
        <f>CHAIN_RAW!H641</f>
        <v/>
      </c>
      <c r="O641" s="13">
        <f>CHAIN_RAW!O641</f>
        <v/>
      </c>
      <c r="P641" s="13">
        <f>IFERROR(O641/N641,"")</f>
        <v/>
      </c>
      <c r="Q641" s="13">
        <f>CHAIN_RAW!I641</f>
        <v/>
      </c>
      <c r="R641" s="13">
        <f>CHAIN_RAW!P641</f>
        <v/>
      </c>
      <c r="S641" s="13">
        <f>IFERROR(R641/Q641,"")</f>
        <v/>
      </c>
      <c r="T641" s="13">
        <f>IFERROR((ABS(N641-O641)/MAX(1,(N641+O641)))*EXP(-ABS(E641-CONTROL!E5)/MAX(1,CONTROL!B8)),"")</f>
        <v/>
      </c>
      <c r="U641" s="13">
        <f>IFERROR(IF(O641&gt;N641,"SUPPORT (PE OI)","RESIST (CE OI)"),"")</f>
        <v/>
      </c>
      <c r="V641" s="13">
        <f>IFERROR(IF(Q641&gt;0,IF(R641&gt;0,"BOTH_ADD","CE_ADD_PE_REDUCE"),IF(R641&gt;0,"CE_REDUCE_PE_ADD","BOTH_REDUCE")),"")</f>
        <v/>
      </c>
      <c r="W641" s="13">
        <f>IFERROR( (P641-1)*0.5 + (M641)*0.1 - (I641+J641)*0.05 + T641*0.4 ,"")</f>
        <v/>
      </c>
      <c r="X641" s="13">
        <f>IFERROR(IF(ABS(F641)&lt;0.01,"ATM/NEAR",""),"")</f>
        <v/>
      </c>
    </row>
    <row r="642">
      <c r="A642" s="13">
        <f>CHAIN_RAW!A642</f>
        <v/>
      </c>
      <c r="B642" s="14">
        <f>CHAIN_RAW!B642</f>
        <v/>
      </c>
      <c r="C642" s="13">
        <f>CHAIN_RAW!C642</f>
        <v/>
      </c>
      <c r="D642" s="13">
        <f>CHAIN_RAW!D642</f>
        <v/>
      </c>
      <c r="E642" s="13">
        <f>CHAIN_RAW!E642</f>
        <v/>
      </c>
      <c r="F642" s="13">
        <f>IFERROR((E642-D642)/D642,"")</f>
        <v/>
      </c>
      <c r="G642" s="13">
        <f>IFERROR((CHAIN_RAW!K642+CHAIN_RAW!L642)/2,"")</f>
        <v/>
      </c>
      <c r="H642" s="13">
        <f>IFERROR((CHAIN_RAW!R642+CHAIN_RAW!S642)/2,"")</f>
        <v/>
      </c>
      <c r="I642" s="13">
        <f>IFERROR((CHAIN_RAW!L642-CHAIN_RAW!K642)/MAX(1E-9, G642),"")</f>
        <v/>
      </c>
      <c r="J642" s="13">
        <f>IFERROR((CHAIN_RAW!S642-CHAIN_RAW!R642)/MAX(1E-9, H642),"")</f>
        <v/>
      </c>
      <c r="K642" s="13">
        <f>CHAIN_RAW!G642</f>
        <v/>
      </c>
      <c r="L642" s="13">
        <f>CHAIN_RAW!N642</f>
        <v/>
      </c>
      <c r="M642" s="13">
        <f>IFERROR(L642-K642,"")</f>
        <v/>
      </c>
      <c r="N642" s="13">
        <f>CHAIN_RAW!H642</f>
        <v/>
      </c>
      <c r="O642" s="13">
        <f>CHAIN_RAW!O642</f>
        <v/>
      </c>
      <c r="P642" s="13">
        <f>IFERROR(O642/N642,"")</f>
        <v/>
      </c>
      <c r="Q642" s="13">
        <f>CHAIN_RAW!I642</f>
        <v/>
      </c>
      <c r="R642" s="13">
        <f>CHAIN_RAW!P642</f>
        <v/>
      </c>
      <c r="S642" s="13">
        <f>IFERROR(R642/Q642,"")</f>
        <v/>
      </c>
      <c r="T642" s="13">
        <f>IFERROR((ABS(N642-O642)/MAX(1,(N642+O642)))*EXP(-ABS(E642-CONTROL!E5)/MAX(1,CONTROL!B8)),"")</f>
        <v/>
      </c>
      <c r="U642" s="13">
        <f>IFERROR(IF(O642&gt;N642,"SUPPORT (PE OI)","RESIST (CE OI)"),"")</f>
        <v/>
      </c>
      <c r="V642" s="13">
        <f>IFERROR(IF(Q642&gt;0,IF(R642&gt;0,"BOTH_ADD","CE_ADD_PE_REDUCE"),IF(R642&gt;0,"CE_REDUCE_PE_ADD","BOTH_REDUCE")),"")</f>
        <v/>
      </c>
      <c r="W642" s="13">
        <f>IFERROR( (P642-1)*0.5 + (M642)*0.1 - (I642+J642)*0.05 + T642*0.4 ,"")</f>
        <v/>
      </c>
      <c r="X642" s="13">
        <f>IFERROR(IF(ABS(F642)&lt;0.01,"ATM/NEAR",""),"")</f>
        <v/>
      </c>
    </row>
    <row r="643">
      <c r="A643" s="13">
        <f>CHAIN_RAW!A643</f>
        <v/>
      </c>
      <c r="B643" s="14">
        <f>CHAIN_RAW!B643</f>
        <v/>
      </c>
      <c r="C643" s="13">
        <f>CHAIN_RAW!C643</f>
        <v/>
      </c>
      <c r="D643" s="13">
        <f>CHAIN_RAW!D643</f>
        <v/>
      </c>
      <c r="E643" s="13">
        <f>CHAIN_RAW!E643</f>
        <v/>
      </c>
      <c r="F643" s="13">
        <f>IFERROR((E643-D643)/D643,"")</f>
        <v/>
      </c>
      <c r="G643" s="13">
        <f>IFERROR((CHAIN_RAW!K643+CHAIN_RAW!L643)/2,"")</f>
        <v/>
      </c>
      <c r="H643" s="13">
        <f>IFERROR((CHAIN_RAW!R643+CHAIN_RAW!S643)/2,"")</f>
        <v/>
      </c>
      <c r="I643" s="13">
        <f>IFERROR((CHAIN_RAW!L643-CHAIN_RAW!K643)/MAX(1E-9, G643),"")</f>
        <v/>
      </c>
      <c r="J643" s="13">
        <f>IFERROR((CHAIN_RAW!S643-CHAIN_RAW!R643)/MAX(1E-9, H643),"")</f>
        <v/>
      </c>
      <c r="K643" s="13">
        <f>CHAIN_RAW!G643</f>
        <v/>
      </c>
      <c r="L643" s="13">
        <f>CHAIN_RAW!N643</f>
        <v/>
      </c>
      <c r="M643" s="13">
        <f>IFERROR(L643-K643,"")</f>
        <v/>
      </c>
      <c r="N643" s="13">
        <f>CHAIN_RAW!H643</f>
        <v/>
      </c>
      <c r="O643" s="13">
        <f>CHAIN_RAW!O643</f>
        <v/>
      </c>
      <c r="P643" s="13">
        <f>IFERROR(O643/N643,"")</f>
        <v/>
      </c>
      <c r="Q643" s="13">
        <f>CHAIN_RAW!I643</f>
        <v/>
      </c>
      <c r="R643" s="13">
        <f>CHAIN_RAW!P643</f>
        <v/>
      </c>
      <c r="S643" s="13">
        <f>IFERROR(R643/Q643,"")</f>
        <v/>
      </c>
      <c r="T643" s="13">
        <f>IFERROR((ABS(N643-O643)/MAX(1,(N643+O643)))*EXP(-ABS(E643-CONTROL!E5)/MAX(1,CONTROL!B8)),"")</f>
        <v/>
      </c>
      <c r="U643" s="13">
        <f>IFERROR(IF(O643&gt;N643,"SUPPORT (PE OI)","RESIST (CE OI)"),"")</f>
        <v/>
      </c>
      <c r="V643" s="13">
        <f>IFERROR(IF(Q643&gt;0,IF(R643&gt;0,"BOTH_ADD","CE_ADD_PE_REDUCE"),IF(R643&gt;0,"CE_REDUCE_PE_ADD","BOTH_REDUCE")),"")</f>
        <v/>
      </c>
      <c r="W643" s="13">
        <f>IFERROR( (P643-1)*0.5 + (M643)*0.1 - (I643+J643)*0.05 + T643*0.4 ,"")</f>
        <v/>
      </c>
      <c r="X643" s="13">
        <f>IFERROR(IF(ABS(F643)&lt;0.01,"ATM/NEAR",""),"")</f>
        <v/>
      </c>
    </row>
    <row r="644">
      <c r="A644" s="13">
        <f>CHAIN_RAW!A644</f>
        <v/>
      </c>
      <c r="B644" s="14">
        <f>CHAIN_RAW!B644</f>
        <v/>
      </c>
      <c r="C644" s="13">
        <f>CHAIN_RAW!C644</f>
        <v/>
      </c>
      <c r="D644" s="13">
        <f>CHAIN_RAW!D644</f>
        <v/>
      </c>
      <c r="E644" s="13">
        <f>CHAIN_RAW!E644</f>
        <v/>
      </c>
      <c r="F644" s="13">
        <f>IFERROR((E644-D644)/D644,"")</f>
        <v/>
      </c>
      <c r="G644" s="13">
        <f>IFERROR((CHAIN_RAW!K644+CHAIN_RAW!L644)/2,"")</f>
        <v/>
      </c>
      <c r="H644" s="13">
        <f>IFERROR((CHAIN_RAW!R644+CHAIN_RAW!S644)/2,"")</f>
        <v/>
      </c>
      <c r="I644" s="13">
        <f>IFERROR((CHAIN_RAW!L644-CHAIN_RAW!K644)/MAX(1E-9, G644),"")</f>
        <v/>
      </c>
      <c r="J644" s="13">
        <f>IFERROR((CHAIN_RAW!S644-CHAIN_RAW!R644)/MAX(1E-9, H644),"")</f>
        <v/>
      </c>
      <c r="K644" s="13">
        <f>CHAIN_RAW!G644</f>
        <v/>
      </c>
      <c r="L644" s="13">
        <f>CHAIN_RAW!N644</f>
        <v/>
      </c>
      <c r="M644" s="13">
        <f>IFERROR(L644-K644,"")</f>
        <v/>
      </c>
      <c r="N644" s="13">
        <f>CHAIN_RAW!H644</f>
        <v/>
      </c>
      <c r="O644" s="13">
        <f>CHAIN_RAW!O644</f>
        <v/>
      </c>
      <c r="P644" s="13">
        <f>IFERROR(O644/N644,"")</f>
        <v/>
      </c>
      <c r="Q644" s="13">
        <f>CHAIN_RAW!I644</f>
        <v/>
      </c>
      <c r="R644" s="13">
        <f>CHAIN_RAW!P644</f>
        <v/>
      </c>
      <c r="S644" s="13">
        <f>IFERROR(R644/Q644,"")</f>
        <v/>
      </c>
      <c r="T644" s="13">
        <f>IFERROR((ABS(N644-O644)/MAX(1,(N644+O644)))*EXP(-ABS(E644-CONTROL!E5)/MAX(1,CONTROL!B8)),"")</f>
        <v/>
      </c>
      <c r="U644" s="13">
        <f>IFERROR(IF(O644&gt;N644,"SUPPORT (PE OI)","RESIST (CE OI)"),"")</f>
        <v/>
      </c>
      <c r="V644" s="13">
        <f>IFERROR(IF(Q644&gt;0,IF(R644&gt;0,"BOTH_ADD","CE_ADD_PE_REDUCE"),IF(R644&gt;0,"CE_REDUCE_PE_ADD","BOTH_REDUCE")),"")</f>
        <v/>
      </c>
      <c r="W644" s="13">
        <f>IFERROR( (P644-1)*0.5 + (M644)*0.1 - (I644+J644)*0.05 + T644*0.4 ,"")</f>
        <v/>
      </c>
      <c r="X644" s="13">
        <f>IFERROR(IF(ABS(F644)&lt;0.01,"ATM/NEAR",""),"")</f>
        <v/>
      </c>
    </row>
    <row r="645">
      <c r="A645" s="13">
        <f>CHAIN_RAW!A645</f>
        <v/>
      </c>
      <c r="B645" s="14">
        <f>CHAIN_RAW!B645</f>
        <v/>
      </c>
      <c r="C645" s="13">
        <f>CHAIN_RAW!C645</f>
        <v/>
      </c>
      <c r="D645" s="13">
        <f>CHAIN_RAW!D645</f>
        <v/>
      </c>
      <c r="E645" s="13">
        <f>CHAIN_RAW!E645</f>
        <v/>
      </c>
      <c r="F645" s="13">
        <f>IFERROR((E645-D645)/D645,"")</f>
        <v/>
      </c>
      <c r="G645" s="13">
        <f>IFERROR((CHAIN_RAW!K645+CHAIN_RAW!L645)/2,"")</f>
        <v/>
      </c>
      <c r="H645" s="13">
        <f>IFERROR((CHAIN_RAW!R645+CHAIN_RAW!S645)/2,"")</f>
        <v/>
      </c>
      <c r="I645" s="13">
        <f>IFERROR((CHAIN_RAW!L645-CHAIN_RAW!K645)/MAX(1E-9, G645),"")</f>
        <v/>
      </c>
      <c r="J645" s="13">
        <f>IFERROR((CHAIN_RAW!S645-CHAIN_RAW!R645)/MAX(1E-9, H645),"")</f>
        <v/>
      </c>
      <c r="K645" s="13">
        <f>CHAIN_RAW!G645</f>
        <v/>
      </c>
      <c r="L645" s="13">
        <f>CHAIN_RAW!N645</f>
        <v/>
      </c>
      <c r="M645" s="13">
        <f>IFERROR(L645-K645,"")</f>
        <v/>
      </c>
      <c r="N645" s="13">
        <f>CHAIN_RAW!H645</f>
        <v/>
      </c>
      <c r="O645" s="13">
        <f>CHAIN_RAW!O645</f>
        <v/>
      </c>
      <c r="P645" s="13">
        <f>IFERROR(O645/N645,"")</f>
        <v/>
      </c>
      <c r="Q645" s="13">
        <f>CHAIN_RAW!I645</f>
        <v/>
      </c>
      <c r="R645" s="13">
        <f>CHAIN_RAW!P645</f>
        <v/>
      </c>
      <c r="S645" s="13">
        <f>IFERROR(R645/Q645,"")</f>
        <v/>
      </c>
      <c r="T645" s="13">
        <f>IFERROR((ABS(N645-O645)/MAX(1,(N645+O645)))*EXP(-ABS(E645-CONTROL!E5)/MAX(1,CONTROL!B8)),"")</f>
        <v/>
      </c>
      <c r="U645" s="13">
        <f>IFERROR(IF(O645&gt;N645,"SUPPORT (PE OI)","RESIST (CE OI)"),"")</f>
        <v/>
      </c>
      <c r="V645" s="13">
        <f>IFERROR(IF(Q645&gt;0,IF(R645&gt;0,"BOTH_ADD","CE_ADD_PE_REDUCE"),IF(R645&gt;0,"CE_REDUCE_PE_ADD","BOTH_REDUCE")),"")</f>
        <v/>
      </c>
      <c r="W645" s="13">
        <f>IFERROR( (P645-1)*0.5 + (M645)*0.1 - (I645+J645)*0.05 + T645*0.4 ,"")</f>
        <v/>
      </c>
      <c r="X645" s="13">
        <f>IFERROR(IF(ABS(F645)&lt;0.01,"ATM/NEAR",""),"")</f>
        <v/>
      </c>
    </row>
    <row r="646">
      <c r="A646" s="13">
        <f>CHAIN_RAW!A646</f>
        <v/>
      </c>
      <c r="B646" s="14">
        <f>CHAIN_RAW!B646</f>
        <v/>
      </c>
      <c r="C646" s="13">
        <f>CHAIN_RAW!C646</f>
        <v/>
      </c>
      <c r="D646" s="13">
        <f>CHAIN_RAW!D646</f>
        <v/>
      </c>
      <c r="E646" s="13">
        <f>CHAIN_RAW!E646</f>
        <v/>
      </c>
      <c r="F646" s="13">
        <f>IFERROR((E646-D646)/D646,"")</f>
        <v/>
      </c>
      <c r="G646" s="13">
        <f>IFERROR((CHAIN_RAW!K646+CHAIN_RAW!L646)/2,"")</f>
        <v/>
      </c>
      <c r="H646" s="13">
        <f>IFERROR((CHAIN_RAW!R646+CHAIN_RAW!S646)/2,"")</f>
        <v/>
      </c>
      <c r="I646" s="13">
        <f>IFERROR((CHAIN_RAW!L646-CHAIN_RAW!K646)/MAX(1E-9, G646),"")</f>
        <v/>
      </c>
      <c r="J646" s="13">
        <f>IFERROR((CHAIN_RAW!S646-CHAIN_RAW!R646)/MAX(1E-9, H646),"")</f>
        <v/>
      </c>
      <c r="K646" s="13">
        <f>CHAIN_RAW!G646</f>
        <v/>
      </c>
      <c r="L646" s="13">
        <f>CHAIN_RAW!N646</f>
        <v/>
      </c>
      <c r="M646" s="13">
        <f>IFERROR(L646-K646,"")</f>
        <v/>
      </c>
      <c r="N646" s="13">
        <f>CHAIN_RAW!H646</f>
        <v/>
      </c>
      <c r="O646" s="13">
        <f>CHAIN_RAW!O646</f>
        <v/>
      </c>
      <c r="P646" s="13">
        <f>IFERROR(O646/N646,"")</f>
        <v/>
      </c>
      <c r="Q646" s="13">
        <f>CHAIN_RAW!I646</f>
        <v/>
      </c>
      <c r="R646" s="13">
        <f>CHAIN_RAW!P646</f>
        <v/>
      </c>
      <c r="S646" s="13">
        <f>IFERROR(R646/Q646,"")</f>
        <v/>
      </c>
      <c r="T646" s="13">
        <f>IFERROR((ABS(N646-O646)/MAX(1,(N646+O646)))*EXP(-ABS(E646-CONTROL!E5)/MAX(1,CONTROL!B8)),"")</f>
        <v/>
      </c>
      <c r="U646" s="13">
        <f>IFERROR(IF(O646&gt;N646,"SUPPORT (PE OI)","RESIST (CE OI)"),"")</f>
        <v/>
      </c>
      <c r="V646" s="13">
        <f>IFERROR(IF(Q646&gt;0,IF(R646&gt;0,"BOTH_ADD","CE_ADD_PE_REDUCE"),IF(R646&gt;0,"CE_REDUCE_PE_ADD","BOTH_REDUCE")),"")</f>
        <v/>
      </c>
      <c r="W646" s="13">
        <f>IFERROR( (P646-1)*0.5 + (M646)*0.1 - (I646+J646)*0.05 + T646*0.4 ,"")</f>
        <v/>
      </c>
      <c r="X646" s="13">
        <f>IFERROR(IF(ABS(F646)&lt;0.01,"ATM/NEAR",""),"")</f>
        <v/>
      </c>
    </row>
    <row r="647">
      <c r="A647" s="13">
        <f>CHAIN_RAW!A647</f>
        <v/>
      </c>
      <c r="B647" s="14">
        <f>CHAIN_RAW!B647</f>
        <v/>
      </c>
      <c r="C647" s="13">
        <f>CHAIN_RAW!C647</f>
        <v/>
      </c>
      <c r="D647" s="13">
        <f>CHAIN_RAW!D647</f>
        <v/>
      </c>
      <c r="E647" s="13">
        <f>CHAIN_RAW!E647</f>
        <v/>
      </c>
      <c r="F647" s="13">
        <f>IFERROR((E647-D647)/D647,"")</f>
        <v/>
      </c>
      <c r="G647" s="13">
        <f>IFERROR((CHAIN_RAW!K647+CHAIN_RAW!L647)/2,"")</f>
        <v/>
      </c>
      <c r="H647" s="13">
        <f>IFERROR((CHAIN_RAW!R647+CHAIN_RAW!S647)/2,"")</f>
        <v/>
      </c>
      <c r="I647" s="13">
        <f>IFERROR((CHAIN_RAW!L647-CHAIN_RAW!K647)/MAX(1E-9, G647),"")</f>
        <v/>
      </c>
      <c r="J647" s="13">
        <f>IFERROR((CHAIN_RAW!S647-CHAIN_RAW!R647)/MAX(1E-9, H647),"")</f>
        <v/>
      </c>
      <c r="K647" s="13">
        <f>CHAIN_RAW!G647</f>
        <v/>
      </c>
      <c r="L647" s="13">
        <f>CHAIN_RAW!N647</f>
        <v/>
      </c>
      <c r="M647" s="13">
        <f>IFERROR(L647-K647,"")</f>
        <v/>
      </c>
      <c r="N647" s="13">
        <f>CHAIN_RAW!H647</f>
        <v/>
      </c>
      <c r="O647" s="13">
        <f>CHAIN_RAW!O647</f>
        <v/>
      </c>
      <c r="P647" s="13">
        <f>IFERROR(O647/N647,"")</f>
        <v/>
      </c>
      <c r="Q647" s="13">
        <f>CHAIN_RAW!I647</f>
        <v/>
      </c>
      <c r="R647" s="13">
        <f>CHAIN_RAW!P647</f>
        <v/>
      </c>
      <c r="S647" s="13">
        <f>IFERROR(R647/Q647,"")</f>
        <v/>
      </c>
      <c r="T647" s="13">
        <f>IFERROR((ABS(N647-O647)/MAX(1,(N647+O647)))*EXP(-ABS(E647-CONTROL!E5)/MAX(1,CONTROL!B8)),"")</f>
        <v/>
      </c>
      <c r="U647" s="13">
        <f>IFERROR(IF(O647&gt;N647,"SUPPORT (PE OI)","RESIST (CE OI)"),"")</f>
        <v/>
      </c>
      <c r="V647" s="13">
        <f>IFERROR(IF(Q647&gt;0,IF(R647&gt;0,"BOTH_ADD","CE_ADD_PE_REDUCE"),IF(R647&gt;0,"CE_REDUCE_PE_ADD","BOTH_REDUCE")),"")</f>
        <v/>
      </c>
      <c r="W647" s="13">
        <f>IFERROR( (P647-1)*0.5 + (M647)*0.1 - (I647+J647)*0.05 + T647*0.4 ,"")</f>
        <v/>
      </c>
      <c r="X647" s="13">
        <f>IFERROR(IF(ABS(F647)&lt;0.01,"ATM/NEAR",""),"")</f>
        <v/>
      </c>
    </row>
    <row r="648">
      <c r="A648" s="13">
        <f>CHAIN_RAW!A648</f>
        <v/>
      </c>
      <c r="B648" s="14">
        <f>CHAIN_RAW!B648</f>
        <v/>
      </c>
      <c r="C648" s="13">
        <f>CHAIN_RAW!C648</f>
        <v/>
      </c>
      <c r="D648" s="13">
        <f>CHAIN_RAW!D648</f>
        <v/>
      </c>
      <c r="E648" s="13">
        <f>CHAIN_RAW!E648</f>
        <v/>
      </c>
      <c r="F648" s="13">
        <f>IFERROR((E648-D648)/D648,"")</f>
        <v/>
      </c>
      <c r="G648" s="13">
        <f>IFERROR((CHAIN_RAW!K648+CHAIN_RAW!L648)/2,"")</f>
        <v/>
      </c>
      <c r="H648" s="13">
        <f>IFERROR((CHAIN_RAW!R648+CHAIN_RAW!S648)/2,"")</f>
        <v/>
      </c>
      <c r="I648" s="13">
        <f>IFERROR((CHAIN_RAW!L648-CHAIN_RAW!K648)/MAX(1E-9, G648),"")</f>
        <v/>
      </c>
      <c r="J648" s="13">
        <f>IFERROR((CHAIN_RAW!S648-CHAIN_RAW!R648)/MAX(1E-9, H648),"")</f>
        <v/>
      </c>
      <c r="K648" s="13">
        <f>CHAIN_RAW!G648</f>
        <v/>
      </c>
      <c r="L648" s="13">
        <f>CHAIN_RAW!N648</f>
        <v/>
      </c>
      <c r="M648" s="13">
        <f>IFERROR(L648-K648,"")</f>
        <v/>
      </c>
      <c r="N648" s="13">
        <f>CHAIN_RAW!H648</f>
        <v/>
      </c>
      <c r="O648" s="13">
        <f>CHAIN_RAW!O648</f>
        <v/>
      </c>
      <c r="P648" s="13">
        <f>IFERROR(O648/N648,"")</f>
        <v/>
      </c>
      <c r="Q648" s="13">
        <f>CHAIN_RAW!I648</f>
        <v/>
      </c>
      <c r="R648" s="13">
        <f>CHAIN_RAW!P648</f>
        <v/>
      </c>
      <c r="S648" s="13">
        <f>IFERROR(R648/Q648,"")</f>
        <v/>
      </c>
      <c r="T648" s="13">
        <f>IFERROR((ABS(N648-O648)/MAX(1,(N648+O648)))*EXP(-ABS(E648-CONTROL!E5)/MAX(1,CONTROL!B8)),"")</f>
        <v/>
      </c>
      <c r="U648" s="13">
        <f>IFERROR(IF(O648&gt;N648,"SUPPORT (PE OI)","RESIST (CE OI)"),"")</f>
        <v/>
      </c>
      <c r="V648" s="13">
        <f>IFERROR(IF(Q648&gt;0,IF(R648&gt;0,"BOTH_ADD","CE_ADD_PE_REDUCE"),IF(R648&gt;0,"CE_REDUCE_PE_ADD","BOTH_REDUCE")),"")</f>
        <v/>
      </c>
      <c r="W648" s="13">
        <f>IFERROR( (P648-1)*0.5 + (M648)*0.1 - (I648+J648)*0.05 + T648*0.4 ,"")</f>
        <v/>
      </c>
      <c r="X648" s="13">
        <f>IFERROR(IF(ABS(F648)&lt;0.01,"ATM/NEAR",""),"")</f>
        <v/>
      </c>
    </row>
    <row r="649">
      <c r="A649" s="13">
        <f>CHAIN_RAW!A649</f>
        <v/>
      </c>
      <c r="B649" s="14">
        <f>CHAIN_RAW!B649</f>
        <v/>
      </c>
      <c r="C649" s="13">
        <f>CHAIN_RAW!C649</f>
        <v/>
      </c>
      <c r="D649" s="13">
        <f>CHAIN_RAW!D649</f>
        <v/>
      </c>
      <c r="E649" s="13">
        <f>CHAIN_RAW!E649</f>
        <v/>
      </c>
      <c r="F649" s="13">
        <f>IFERROR((E649-D649)/D649,"")</f>
        <v/>
      </c>
      <c r="G649" s="13">
        <f>IFERROR((CHAIN_RAW!K649+CHAIN_RAW!L649)/2,"")</f>
        <v/>
      </c>
      <c r="H649" s="13">
        <f>IFERROR((CHAIN_RAW!R649+CHAIN_RAW!S649)/2,"")</f>
        <v/>
      </c>
      <c r="I649" s="13">
        <f>IFERROR((CHAIN_RAW!L649-CHAIN_RAW!K649)/MAX(1E-9, G649),"")</f>
        <v/>
      </c>
      <c r="J649" s="13">
        <f>IFERROR((CHAIN_RAW!S649-CHAIN_RAW!R649)/MAX(1E-9, H649),"")</f>
        <v/>
      </c>
      <c r="K649" s="13">
        <f>CHAIN_RAW!G649</f>
        <v/>
      </c>
      <c r="L649" s="13">
        <f>CHAIN_RAW!N649</f>
        <v/>
      </c>
      <c r="M649" s="13">
        <f>IFERROR(L649-K649,"")</f>
        <v/>
      </c>
      <c r="N649" s="13">
        <f>CHAIN_RAW!H649</f>
        <v/>
      </c>
      <c r="O649" s="13">
        <f>CHAIN_RAW!O649</f>
        <v/>
      </c>
      <c r="P649" s="13">
        <f>IFERROR(O649/N649,"")</f>
        <v/>
      </c>
      <c r="Q649" s="13">
        <f>CHAIN_RAW!I649</f>
        <v/>
      </c>
      <c r="R649" s="13">
        <f>CHAIN_RAW!P649</f>
        <v/>
      </c>
      <c r="S649" s="13">
        <f>IFERROR(R649/Q649,"")</f>
        <v/>
      </c>
      <c r="T649" s="13">
        <f>IFERROR((ABS(N649-O649)/MAX(1,(N649+O649)))*EXP(-ABS(E649-CONTROL!E5)/MAX(1,CONTROL!B8)),"")</f>
        <v/>
      </c>
      <c r="U649" s="13">
        <f>IFERROR(IF(O649&gt;N649,"SUPPORT (PE OI)","RESIST (CE OI)"),"")</f>
        <v/>
      </c>
      <c r="V649" s="13">
        <f>IFERROR(IF(Q649&gt;0,IF(R649&gt;0,"BOTH_ADD","CE_ADD_PE_REDUCE"),IF(R649&gt;0,"CE_REDUCE_PE_ADD","BOTH_REDUCE")),"")</f>
        <v/>
      </c>
      <c r="W649" s="13">
        <f>IFERROR( (P649-1)*0.5 + (M649)*0.1 - (I649+J649)*0.05 + T649*0.4 ,"")</f>
        <v/>
      </c>
      <c r="X649" s="13">
        <f>IFERROR(IF(ABS(F649)&lt;0.01,"ATM/NEAR",""),"")</f>
        <v/>
      </c>
    </row>
    <row r="650">
      <c r="A650" s="13">
        <f>CHAIN_RAW!A650</f>
        <v/>
      </c>
      <c r="B650" s="14">
        <f>CHAIN_RAW!B650</f>
        <v/>
      </c>
      <c r="C650" s="13">
        <f>CHAIN_RAW!C650</f>
        <v/>
      </c>
      <c r="D650" s="13">
        <f>CHAIN_RAW!D650</f>
        <v/>
      </c>
      <c r="E650" s="13">
        <f>CHAIN_RAW!E650</f>
        <v/>
      </c>
      <c r="F650" s="13">
        <f>IFERROR((E650-D650)/D650,"")</f>
        <v/>
      </c>
      <c r="G650" s="13">
        <f>IFERROR((CHAIN_RAW!K650+CHAIN_RAW!L650)/2,"")</f>
        <v/>
      </c>
      <c r="H650" s="13">
        <f>IFERROR((CHAIN_RAW!R650+CHAIN_RAW!S650)/2,"")</f>
        <v/>
      </c>
      <c r="I650" s="13">
        <f>IFERROR((CHAIN_RAW!L650-CHAIN_RAW!K650)/MAX(1E-9, G650),"")</f>
        <v/>
      </c>
      <c r="J650" s="13">
        <f>IFERROR((CHAIN_RAW!S650-CHAIN_RAW!R650)/MAX(1E-9, H650),"")</f>
        <v/>
      </c>
      <c r="K650" s="13">
        <f>CHAIN_RAW!G650</f>
        <v/>
      </c>
      <c r="L650" s="13">
        <f>CHAIN_RAW!N650</f>
        <v/>
      </c>
      <c r="M650" s="13">
        <f>IFERROR(L650-K650,"")</f>
        <v/>
      </c>
      <c r="N650" s="13">
        <f>CHAIN_RAW!H650</f>
        <v/>
      </c>
      <c r="O650" s="13">
        <f>CHAIN_RAW!O650</f>
        <v/>
      </c>
      <c r="P650" s="13">
        <f>IFERROR(O650/N650,"")</f>
        <v/>
      </c>
      <c r="Q650" s="13">
        <f>CHAIN_RAW!I650</f>
        <v/>
      </c>
      <c r="R650" s="13">
        <f>CHAIN_RAW!P650</f>
        <v/>
      </c>
      <c r="S650" s="13">
        <f>IFERROR(R650/Q650,"")</f>
        <v/>
      </c>
      <c r="T650" s="13">
        <f>IFERROR((ABS(N650-O650)/MAX(1,(N650+O650)))*EXP(-ABS(E650-CONTROL!E5)/MAX(1,CONTROL!B8)),"")</f>
        <v/>
      </c>
      <c r="U650" s="13">
        <f>IFERROR(IF(O650&gt;N650,"SUPPORT (PE OI)","RESIST (CE OI)"),"")</f>
        <v/>
      </c>
      <c r="V650" s="13">
        <f>IFERROR(IF(Q650&gt;0,IF(R650&gt;0,"BOTH_ADD","CE_ADD_PE_REDUCE"),IF(R650&gt;0,"CE_REDUCE_PE_ADD","BOTH_REDUCE")),"")</f>
        <v/>
      </c>
      <c r="W650" s="13">
        <f>IFERROR( (P650-1)*0.5 + (M650)*0.1 - (I650+J650)*0.05 + T650*0.4 ,"")</f>
        <v/>
      </c>
      <c r="X650" s="13">
        <f>IFERROR(IF(ABS(F650)&lt;0.01,"ATM/NEAR",""),"")</f>
        <v/>
      </c>
    </row>
    <row r="651">
      <c r="A651" s="13">
        <f>CHAIN_RAW!A651</f>
        <v/>
      </c>
      <c r="B651" s="14">
        <f>CHAIN_RAW!B651</f>
        <v/>
      </c>
      <c r="C651" s="13">
        <f>CHAIN_RAW!C651</f>
        <v/>
      </c>
      <c r="D651" s="13">
        <f>CHAIN_RAW!D651</f>
        <v/>
      </c>
      <c r="E651" s="13">
        <f>CHAIN_RAW!E651</f>
        <v/>
      </c>
      <c r="F651" s="13">
        <f>IFERROR((E651-D651)/D651,"")</f>
        <v/>
      </c>
      <c r="G651" s="13">
        <f>IFERROR((CHAIN_RAW!K651+CHAIN_RAW!L651)/2,"")</f>
        <v/>
      </c>
      <c r="H651" s="13">
        <f>IFERROR((CHAIN_RAW!R651+CHAIN_RAW!S651)/2,"")</f>
        <v/>
      </c>
      <c r="I651" s="13">
        <f>IFERROR((CHAIN_RAW!L651-CHAIN_RAW!K651)/MAX(1E-9, G651),"")</f>
        <v/>
      </c>
      <c r="J651" s="13">
        <f>IFERROR((CHAIN_RAW!S651-CHAIN_RAW!R651)/MAX(1E-9, H651),"")</f>
        <v/>
      </c>
      <c r="K651" s="13">
        <f>CHAIN_RAW!G651</f>
        <v/>
      </c>
      <c r="L651" s="13">
        <f>CHAIN_RAW!N651</f>
        <v/>
      </c>
      <c r="M651" s="13">
        <f>IFERROR(L651-K651,"")</f>
        <v/>
      </c>
      <c r="N651" s="13">
        <f>CHAIN_RAW!H651</f>
        <v/>
      </c>
      <c r="O651" s="13">
        <f>CHAIN_RAW!O651</f>
        <v/>
      </c>
      <c r="P651" s="13">
        <f>IFERROR(O651/N651,"")</f>
        <v/>
      </c>
      <c r="Q651" s="13">
        <f>CHAIN_RAW!I651</f>
        <v/>
      </c>
      <c r="R651" s="13">
        <f>CHAIN_RAW!P651</f>
        <v/>
      </c>
      <c r="S651" s="13">
        <f>IFERROR(R651/Q651,"")</f>
        <v/>
      </c>
      <c r="T651" s="13">
        <f>IFERROR((ABS(N651-O651)/MAX(1,(N651+O651)))*EXP(-ABS(E651-CONTROL!E5)/MAX(1,CONTROL!B8)),"")</f>
        <v/>
      </c>
      <c r="U651" s="13">
        <f>IFERROR(IF(O651&gt;N651,"SUPPORT (PE OI)","RESIST (CE OI)"),"")</f>
        <v/>
      </c>
      <c r="V651" s="13">
        <f>IFERROR(IF(Q651&gt;0,IF(R651&gt;0,"BOTH_ADD","CE_ADD_PE_REDUCE"),IF(R651&gt;0,"CE_REDUCE_PE_ADD","BOTH_REDUCE")),"")</f>
        <v/>
      </c>
      <c r="W651" s="13">
        <f>IFERROR( (P651-1)*0.5 + (M651)*0.1 - (I651+J651)*0.05 + T651*0.4 ,"")</f>
        <v/>
      </c>
      <c r="X651" s="13">
        <f>IFERROR(IF(ABS(F651)&lt;0.01,"ATM/NEAR",""),"")</f>
        <v/>
      </c>
    </row>
    <row r="652">
      <c r="A652" s="13">
        <f>CHAIN_RAW!A652</f>
        <v/>
      </c>
      <c r="B652" s="14">
        <f>CHAIN_RAW!B652</f>
        <v/>
      </c>
      <c r="C652" s="13">
        <f>CHAIN_RAW!C652</f>
        <v/>
      </c>
      <c r="D652" s="13">
        <f>CHAIN_RAW!D652</f>
        <v/>
      </c>
      <c r="E652" s="13">
        <f>CHAIN_RAW!E652</f>
        <v/>
      </c>
      <c r="F652" s="13">
        <f>IFERROR((E652-D652)/D652,"")</f>
        <v/>
      </c>
      <c r="G652" s="13">
        <f>IFERROR((CHAIN_RAW!K652+CHAIN_RAW!L652)/2,"")</f>
        <v/>
      </c>
      <c r="H652" s="13">
        <f>IFERROR((CHAIN_RAW!R652+CHAIN_RAW!S652)/2,"")</f>
        <v/>
      </c>
      <c r="I652" s="13">
        <f>IFERROR((CHAIN_RAW!L652-CHAIN_RAW!K652)/MAX(1E-9, G652),"")</f>
        <v/>
      </c>
      <c r="J652" s="13">
        <f>IFERROR((CHAIN_RAW!S652-CHAIN_RAW!R652)/MAX(1E-9, H652),"")</f>
        <v/>
      </c>
      <c r="K652" s="13">
        <f>CHAIN_RAW!G652</f>
        <v/>
      </c>
      <c r="L652" s="13">
        <f>CHAIN_RAW!N652</f>
        <v/>
      </c>
      <c r="M652" s="13">
        <f>IFERROR(L652-K652,"")</f>
        <v/>
      </c>
      <c r="N652" s="13">
        <f>CHAIN_RAW!H652</f>
        <v/>
      </c>
      <c r="O652" s="13">
        <f>CHAIN_RAW!O652</f>
        <v/>
      </c>
      <c r="P652" s="13">
        <f>IFERROR(O652/N652,"")</f>
        <v/>
      </c>
      <c r="Q652" s="13">
        <f>CHAIN_RAW!I652</f>
        <v/>
      </c>
      <c r="R652" s="13">
        <f>CHAIN_RAW!P652</f>
        <v/>
      </c>
      <c r="S652" s="13">
        <f>IFERROR(R652/Q652,"")</f>
        <v/>
      </c>
      <c r="T652" s="13">
        <f>IFERROR((ABS(N652-O652)/MAX(1,(N652+O652)))*EXP(-ABS(E652-CONTROL!E5)/MAX(1,CONTROL!B8)),"")</f>
        <v/>
      </c>
      <c r="U652" s="13">
        <f>IFERROR(IF(O652&gt;N652,"SUPPORT (PE OI)","RESIST (CE OI)"),"")</f>
        <v/>
      </c>
      <c r="V652" s="13">
        <f>IFERROR(IF(Q652&gt;0,IF(R652&gt;0,"BOTH_ADD","CE_ADD_PE_REDUCE"),IF(R652&gt;0,"CE_REDUCE_PE_ADD","BOTH_REDUCE")),"")</f>
        <v/>
      </c>
      <c r="W652" s="13">
        <f>IFERROR( (P652-1)*0.5 + (M652)*0.1 - (I652+J652)*0.05 + T652*0.4 ,"")</f>
        <v/>
      </c>
      <c r="X652" s="13">
        <f>IFERROR(IF(ABS(F652)&lt;0.01,"ATM/NEAR",""),"")</f>
        <v/>
      </c>
    </row>
    <row r="653">
      <c r="A653" s="13">
        <f>CHAIN_RAW!A653</f>
        <v/>
      </c>
      <c r="B653" s="14">
        <f>CHAIN_RAW!B653</f>
        <v/>
      </c>
      <c r="C653" s="13">
        <f>CHAIN_RAW!C653</f>
        <v/>
      </c>
      <c r="D653" s="13">
        <f>CHAIN_RAW!D653</f>
        <v/>
      </c>
      <c r="E653" s="13">
        <f>CHAIN_RAW!E653</f>
        <v/>
      </c>
      <c r="F653" s="13">
        <f>IFERROR((E653-D653)/D653,"")</f>
        <v/>
      </c>
      <c r="G653" s="13">
        <f>IFERROR((CHAIN_RAW!K653+CHAIN_RAW!L653)/2,"")</f>
        <v/>
      </c>
      <c r="H653" s="13">
        <f>IFERROR((CHAIN_RAW!R653+CHAIN_RAW!S653)/2,"")</f>
        <v/>
      </c>
      <c r="I653" s="13">
        <f>IFERROR((CHAIN_RAW!L653-CHAIN_RAW!K653)/MAX(1E-9, G653),"")</f>
        <v/>
      </c>
      <c r="J653" s="13">
        <f>IFERROR((CHAIN_RAW!S653-CHAIN_RAW!R653)/MAX(1E-9, H653),"")</f>
        <v/>
      </c>
      <c r="K653" s="13">
        <f>CHAIN_RAW!G653</f>
        <v/>
      </c>
      <c r="L653" s="13">
        <f>CHAIN_RAW!N653</f>
        <v/>
      </c>
      <c r="M653" s="13">
        <f>IFERROR(L653-K653,"")</f>
        <v/>
      </c>
      <c r="N653" s="13">
        <f>CHAIN_RAW!H653</f>
        <v/>
      </c>
      <c r="O653" s="13">
        <f>CHAIN_RAW!O653</f>
        <v/>
      </c>
      <c r="P653" s="13">
        <f>IFERROR(O653/N653,"")</f>
        <v/>
      </c>
      <c r="Q653" s="13">
        <f>CHAIN_RAW!I653</f>
        <v/>
      </c>
      <c r="R653" s="13">
        <f>CHAIN_RAW!P653</f>
        <v/>
      </c>
      <c r="S653" s="13">
        <f>IFERROR(R653/Q653,"")</f>
        <v/>
      </c>
      <c r="T653" s="13">
        <f>IFERROR((ABS(N653-O653)/MAX(1,(N653+O653)))*EXP(-ABS(E653-CONTROL!E5)/MAX(1,CONTROL!B8)),"")</f>
        <v/>
      </c>
      <c r="U653" s="13">
        <f>IFERROR(IF(O653&gt;N653,"SUPPORT (PE OI)","RESIST (CE OI)"),"")</f>
        <v/>
      </c>
      <c r="V653" s="13">
        <f>IFERROR(IF(Q653&gt;0,IF(R653&gt;0,"BOTH_ADD","CE_ADD_PE_REDUCE"),IF(R653&gt;0,"CE_REDUCE_PE_ADD","BOTH_REDUCE")),"")</f>
        <v/>
      </c>
      <c r="W653" s="13">
        <f>IFERROR( (P653-1)*0.5 + (M653)*0.1 - (I653+J653)*0.05 + T653*0.4 ,"")</f>
        <v/>
      </c>
      <c r="X653" s="13">
        <f>IFERROR(IF(ABS(F653)&lt;0.01,"ATM/NEAR",""),"")</f>
        <v/>
      </c>
    </row>
    <row r="654">
      <c r="A654" s="13">
        <f>CHAIN_RAW!A654</f>
        <v/>
      </c>
      <c r="B654" s="14">
        <f>CHAIN_RAW!B654</f>
        <v/>
      </c>
      <c r="C654" s="13">
        <f>CHAIN_RAW!C654</f>
        <v/>
      </c>
      <c r="D654" s="13">
        <f>CHAIN_RAW!D654</f>
        <v/>
      </c>
      <c r="E654" s="13">
        <f>CHAIN_RAW!E654</f>
        <v/>
      </c>
      <c r="F654" s="13">
        <f>IFERROR((E654-D654)/D654,"")</f>
        <v/>
      </c>
      <c r="G654" s="13">
        <f>IFERROR((CHAIN_RAW!K654+CHAIN_RAW!L654)/2,"")</f>
        <v/>
      </c>
      <c r="H654" s="13">
        <f>IFERROR((CHAIN_RAW!R654+CHAIN_RAW!S654)/2,"")</f>
        <v/>
      </c>
      <c r="I654" s="13">
        <f>IFERROR((CHAIN_RAW!L654-CHAIN_RAW!K654)/MAX(1E-9, G654),"")</f>
        <v/>
      </c>
      <c r="J654" s="13">
        <f>IFERROR((CHAIN_RAW!S654-CHAIN_RAW!R654)/MAX(1E-9, H654),"")</f>
        <v/>
      </c>
      <c r="K654" s="13">
        <f>CHAIN_RAW!G654</f>
        <v/>
      </c>
      <c r="L654" s="13">
        <f>CHAIN_RAW!N654</f>
        <v/>
      </c>
      <c r="M654" s="13">
        <f>IFERROR(L654-K654,"")</f>
        <v/>
      </c>
      <c r="N654" s="13">
        <f>CHAIN_RAW!H654</f>
        <v/>
      </c>
      <c r="O654" s="13">
        <f>CHAIN_RAW!O654</f>
        <v/>
      </c>
      <c r="P654" s="13">
        <f>IFERROR(O654/N654,"")</f>
        <v/>
      </c>
      <c r="Q654" s="13">
        <f>CHAIN_RAW!I654</f>
        <v/>
      </c>
      <c r="R654" s="13">
        <f>CHAIN_RAW!P654</f>
        <v/>
      </c>
      <c r="S654" s="13">
        <f>IFERROR(R654/Q654,"")</f>
        <v/>
      </c>
      <c r="T654" s="13">
        <f>IFERROR((ABS(N654-O654)/MAX(1,(N654+O654)))*EXP(-ABS(E654-CONTROL!E5)/MAX(1,CONTROL!B8)),"")</f>
        <v/>
      </c>
      <c r="U654" s="13">
        <f>IFERROR(IF(O654&gt;N654,"SUPPORT (PE OI)","RESIST (CE OI)"),"")</f>
        <v/>
      </c>
      <c r="V654" s="13">
        <f>IFERROR(IF(Q654&gt;0,IF(R654&gt;0,"BOTH_ADD","CE_ADD_PE_REDUCE"),IF(R654&gt;0,"CE_REDUCE_PE_ADD","BOTH_REDUCE")),"")</f>
        <v/>
      </c>
      <c r="W654" s="13">
        <f>IFERROR( (P654-1)*0.5 + (M654)*0.1 - (I654+J654)*0.05 + T654*0.4 ,"")</f>
        <v/>
      </c>
      <c r="X654" s="13">
        <f>IFERROR(IF(ABS(F654)&lt;0.01,"ATM/NEAR",""),"")</f>
        <v/>
      </c>
    </row>
    <row r="655">
      <c r="A655" s="13">
        <f>CHAIN_RAW!A655</f>
        <v/>
      </c>
      <c r="B655" s="14">
        <f>CHAIN_RAW!B655</f>
        <v/>
      </c>
      <c r="C655" s="13">
        <f>CHAIN_RAW!C655</f>
        <v/>
      </c>
      <c r="D655" s="13">
        <f>CHAIN_RAW!D655</f>
        <v/>
      </c>
      <c r="E655" s="13">
        <f>CHAIN_RAW!E655</f>
        <v/>
      </c>
      <c r="F655" s="13">
        <f>IFERROR((E655-D655)/D655,"")</f>
        <v/>
      </c>
      <c r="G655" s="13">
        <f>IFERROR((CHAIN_RAW!K655+CHAIN_RAW!L655)/2,"")</f>
        <v/>
      </c>
      <c r="H655" s="13">
        <f>IFERROR((CHAIN_RAW!R655+CHAIN_RAW!S655)/2,"")</f>
        <v/>
      </c>
      <c r="I655" s="13">
        <f>IFERROR((CHAIN_RAW!L655-CHAIN_RAW!K655)/MAX(1E-9, G655),"")</f>
        <v/>
      </c>
      <c r="J655" s="13">
        <f>IFERROR((CHAIN_RAW!S655-CHAIN_RAW!R655)/MAX(1E-9, H655),"")</f>
        <v/>
      </c>
      <c r="K655" s="13">
        <f>CHAIN_RAW!G655</f>
        <v/>
      </c>
      <c r="L655" s="13">
        <f>CHAIN_RAW!N655</f>
        <v/>
      </c>
      <c r="M655" s="13">
        <f>IFERROR(L655-K655,"")</f>
        <v/>
      </c>
      <c r="N655" s="13">
        <f>CHAIN_RAW!H655</f>
        <v/>
      </c>
      <c r="O655" s="13">
        <f>CHAIN_RAW!O655</f>
        <v/>
      </c>
      <c r="P655" s="13">
        <f>IFERROR(O655/N655,"")</f>
        <v/>
      </c>
      <c r="Q655" s="13">
        <f>CHAIN_RAW!I655</f>
        <v/>
      </c>
      <c r="R655" s="13">
        <f>CHAIN_RAW!P655</f>
        <v/>
      </c>
      <c r="S655" s="13">
        <f>IFERROR(R655/Q655,"")</f>
        <v/>
      </c>
      <c r="T655" s="13">
        <f>IFERROR((ABS(N655-O655)/MAX(1,(N655+O655)))*EXP(-ABS(E655-CONTROL!E5)/MAX(1,CONTROL!B8)),"")</f>
        <v/>
      </c>
      <c r="U655" s="13">
        <f>IFERROR(IF(O655&gt;N655,"SUPPORT (PE OI)","RESIST (CE OI)"),"")</f>
        <v/>
      </c>
      <c r="V655" s="13">
        <f>IFERROR(IF(Q655&gt;0,IF(R655&gt;0,"BOTH_ADD","CE_ADD_PE_REDUCE"),IF(R655&gt;0,"CE_REDUCE_PE_ADD","BOTH_REDUCE")),"")</f>
        <v/>
      </c>
      <c r="W655" s="13">
        <f>IFERROR( (P655-1)*0.5 + (M655)*0.1 - (I655+J655)*0.05 + T655*0.4 ,"")</f>
        <v/>
      </c>
      <c r="X655" s="13">
        <f>IFERROR(IF(ABS(F655)&lt;0.01,"ATM/NEAR",""),"")</f>
        <v/>
      </c>
    </row>
    <row r="656">
      <c r="A656" s="13">
        <f>CHAIN_RAW!A656</f>
        <v/>
      </c>
      <c r="B656" s="14">
        <f>CHAIN_RAW!B656</f>
        <v/>
      </c>
      <c r="C656" s="13">
        <f>CHAIN_RAW!C656</f>
        <v/>
      </c>
      <c r="D656" s="13">
        <f>CHAIN_RAW!D656</f>
        <v/>
      </c>
      <c r="E656" s="13">
        <f>CHAIN_RAW!E656</f>
        <v/>
      </c>
      <c r="F656" s="13">
        <f>IFERROR((E656-D656)/D656,"")</f>
        <v/>
      </c>
      <c r="G656" s="13">
        <f>IFERROR((CHAIN_RAW!K656+CHAIN_RAW!L656)/2,"")</f>
        <v/>
      </c>
      <c r="H656" s="13">
        <f>IFERROR((CHAIN_RAW!R656+CHAIN_RAW!S656)/2,"")</f>
        <v/>
      </c>
      <c r="I656" s="13">
        <f>IFERROR((CHAIN_RAW!L656-CHAIN_RAW!K656)/MAX(1E-9, G656),"")</f>
        <v/>
      </c>
      <c r="J656" s="13">
        <f>IFERROR((CHAIN_RAW!S656-CHAIN_RAW!R656)/MAX(1E-9, H656),"")</f>
        <v/>
      </c>
      <c r="K656" s="13">
        <f>CHAIN_RAW!G656</f>
        <v/>
      </c>
      <c r="L656" s="13">
        <f>CHAIN_RAW!N656</f>
        <v/>
      </c>
      <c r="M656" s="13">
        <f>IFERROR(L656-K656,"")</f>
        <v/>
      </c>
      <c r="N656" s="13">
        <f>CHAIN_RAW!H656</f>
        <v/>
      </c>
      <c r="O656" s="13">
        <f>CHAIN_RAW!O656</f>
        <v/>
      </c>
      <c r="P656" s="13">
        <f>IFERROR(O656/N656,"")</f>
        <v/>
      </c>
      <c r="Q656" s="13">
        <f>CHAIN_RAW!I656</f>
        <v/>
      </c>
      <c r="R656" s="13">
        <f>CHAIN_RAW!P656</f>
        <v/>
      </c>
      <c r="S656" s="13">
        <f>IFERROR(R656/Q656,"")</f>
        <v/>
      </c>
      <c r="T656" s="13">
        <f>IFERROR((ABS(N656-O656)/MAX(1,(N656+O656)))*EXP(-ABS(E656-CONTROL!E5)/MAX(1,CONTROL!B8)),"")</f>
        <v/>
      </c>
      <c r="U656" s="13">
        <f>IFERROR(IF(O656&gt;N656,"SUPPORT (PE OI)","RESIST (CE OI)"),"")</f>
        <v/>
      </c>
      <c r="V656" s="13">
        <f>IFERROR(IF(Q656&gt;0,IF(R656&gt;0,"BOTH_ADD","CE_ADD_PE_REDUCE"),IF(R656&gt;0,"CE_REDUCE_PE_ADD","BOTH_REDUCE")),"")</f>
        <v/>
      </c>
      <c r="W656" s="13">
        <f>IFERROR( (P656-1)*0.5 + (M656)*0.1 - (I656+J656)*0.05 + T656*0.4 ,"")</f>
        <v/>
      </c>
      <c r="X656" s="13">
        <f>IFERROR(IF(ABS(F656)&lt;0.01,"ATM/NEAR",""),"")</f>
        <v/>
      </c>
    </row>
    <row r="657">
      <c r="A657" s="13">
        <f>CHAIN_RAW!A657</f>
        <v/>
      </c>
      <c r="B657" s="14">
        <f>CHAIN_RAW!B657</f>
        <v/>
      </c>
      <c r="C657" s="13">
        <f>CHAIN_RAW!C657</f>
        <v/>
      </c>
      <c r="D657" s="13">
        <f>CHAIN_RAW!D657</f>
        <v/>
      </c>
      <c r="E657" s="13">
        <f>CHAIN_RAW!E657</f>
        <v/>
      </c>
      <c r="F657" s="13">
        <f>IFERROR((E657-D657)/D657,"")</f>
        <v/>
      </c>
      <c r="G657" s="13">
        <f>IFERROR((CHAIN_RAW!K657+CHAIN_RAW!L657)/2,"")</f>
        <v/>
      </c>
      <c r="H657" s="13">
        <f>IFERROR((CHAIN_RAW!R657+CHAIN_RAW!S657)/2,"")</f>
        <v/>
      </c>
      <c r="I657" s="13">
        <f>IFERROR((CHAIN_RAW!L657-CHAIN_RAW!K657)/MAX(1E-9, G657),"")</f>
        <v/>
      </c>
      <c r="J657" s="13">
        <f>IFERROR((CHAIN_RAW!S657-CHAIN_RAW!R657)/MAX(1E-9, H657),"")</f>
        <v/>
      </c>
      <c r="K657" s="13">
        <f>CHAIN_RAW!G657</f>
        <v/>
      </c>
      <c r="L657" s="13">
        <f>CHAIN_RAW!N657</f>
        <v/>
      </c>
      <c r="M657" s="13">
        <f>IFERROR(L657-K657,"")</f>
        <v/>
      </c>
      <c r="N657" s="13">
        <f>CHAIN_RAW!H657</f>
        <v/>
      </c>
      <c r="O657" s="13">
        <f>CHAIN_RAW!O657</f>
        <v/>
      </c>
      <c r="P657" s="13">
        <f>IFERROR(O657/N657,"")</f>
        <v/>
      </c>
      <c r="Q657" s="13">
        <f>CHAIN_RAW!I657</f>
        <v/>
      </c>
      <c r="R657" s="13">
        <f>CHAIN_RAW!P657</f>
        <v/>
      </c>
      <c r="S657" s="13">
        <f>IFERROR(R657/Q657,"")</f>
        <v/>
      </c>
      <c r="T657" s="13">
        <f>IFERROR((ABS(N657-O657)/MAX(1,(N657+O657)))*EXP(-ABS(E657-CONTROL!E5)/MAX(1,CONTROL!B8)),"")</f>
        <v/>
      </c>
      <c r="U657" s="13">
        <f>IFERROR(IF(O657&gt;N657,"SUPPORT (PE OI)","RESIST (CE OI)"),"")</f>
        <v/>
      </c>
      <c r="V657" s="13">
        <f>IFERROR(IF(Q657&gt;0,IF(R657&gt;0,"BOTH_ADD","CE_ADD_PE_REDUCE"),IF(R657&gt;0,"CE_REDUCE_PE_ADD","BOTH_REDUCE")),"")</f>
        <v/>
      </c>
      <c r="W657" s="13">
        <f>IFERROR( (P657-1)*0.5 + (M657)*0.1 - (I657+J657)*0.05 + T657*0.4 ,"")</f>
        <v/>
      </c>
      <c r="X657" s="13">
        <f>IFERROR(IF(ABS(F657)&lt;0.01,"ATM/NEAR",""),"")</f>
        <v/>
      </c>
    </row>
    <row r="658">
      <c r="A658" s="13">
        <f>CHAIN_RAW!A658</f>
        <v/>
      </c>
      <c r="B658" s="14">
        <f>CHAIN_RAW!B658</f>
        <v/>
      </c>
      <c r="C658" s="13">
        <f>CHAIN_RAW!C658</f>
        <v/>
      </c>
      <c r="D658" s="13">
        <f>CHAIN_RAW!D658</f>
        <v/>
      </c>
      <c r="E658" s="13">
        <f>CHAIN_RAW!E658</f>
        <v/>
      </c>
      <c r="F658" s="13">
        <f>IFERROR((E658-D658)/D658,"")</f>
        <v/>
      </c>
      <c r="G658" s="13">
        <f>IFERROR((CHAIN_RAW!K658+CHAIN_RAW!L658)/2,"")</f>
        <v/>
      </c>
      <c r="H658" s="13">
        <f>IFERROR((CHAIN_RAW!R658+CHAIN_RAW!S658)/2,"")</f>
        <v/>
      </c>
      <c r="I658" s="13">
        <f>IFERROR((CHAIN_RAW!L658-CHAIN_RAW!K658)/MAX(1E-9, G658),"")</f>
        <v/>
      </c>
      <c r="J658" s="13">
        <f>IFERROR((CHAIN_RAW!S658-CHAIN_RAW!R658)/MAX(1E-9, H658),"")</f>
        <v/>
      </c>
      <c r="K658" s="13">
        <f>CHAIN_RAW!G658</f>
        <v/>
      </c>
      <c r="L658" s="13">
        <f>CHAIN_RAW!N658</f>
        <v/>
      </c>
      <c r="M658" s="13">
        <f>IFERROR(L658-K658,"")</f>
        <v/>
      </c>
      <c r="N658" s="13">
        <f>CHAIN_RAW!H658</f>
        <v/>
      </c>
      <c r="O658" s="13">
        <f>CHAIN_RAW!O658</f>
        <v/>
      </c>
      <c r="P658" s="13">
        <f>IFERROR(O658/N658,"")</f>
        <v/>
      </c>
      <c r="Q658" s="13">
        <f>CHAIN_RAW!I658</f>
        <v/>
      </c>
      <c r="R658" s="13">
        <f>CHAIN_RAW!P658</f>
        <v/>
      </c>
      <c r="S658" s="13">
        <f>IFERROR(R658/Q658,"")</f>
        <v/>
      </c>
      <c r="T658" s="13">
        <f>IFERROR((ABS(N658-O658)/MAX(1,(N658+O658)))*EXP(-ABS(E658-CONTROL!E5)/MAX(1,CONTROL!B8)),"")</f>
        <v/>
      </c>
      <c r="U658" s="13">
        <f>IFERROR(IF(O658&gt;N658,"SUPPORT (PE OI)","RESIST (CE OI)"),"")</f>
        <v/>
      </c>
      <c r="V658" s="13">
        <f>IFERROR(IF(Q658&gt;0,IF(R658&gt;0,"BOTH_ADD","CE_ADD_PE_REDUCE"),IF(R658&gt;0,"CE_REDUCE_PE_ADD","BOTH_REDUCE")),"")</f>
        <v/>
      </c>
      <c r="W658" s="13">
        <f>IFERROR( (P658-1)*0.5 + (M658)*0.1 - (I658+J658)*0.05 + T658*0.4 ,"")</f>
        <v/>
      </c>
      <c r="X658" s="13">
        <f>IFERROR(IF(ABS(F658)&lt;0.01,"ATM/NEAR",""),"")</f>
        <v/>
      </c>
    </row>
    <row r="659">
      <c r="A659" s="13">
        <f>CHAIN_RAW!A659</f>
        <v/>
      </c>
      <c r="B659" s="14">
        <f>CHAIN_RAW!B659</f>
        <v/>
      </c>
      <c r="C659" s="13">
        <f>CHAIN_RAW!C659</f>
        <v/>
      </c>
      <c r="D659" s="13">
        <f>CHAIN_RAW!D659</f>
        <v/>
      </c>
      <c r="E659" s="13">
        <f>CHAIN_RAW!E659</f>
        <v/>
      </c>
      <c r="F659" s="13">
        <f>IFERROR((E659-D659)/D659,"")</f>
        <v/>
      </c>
      <c r="G659" s="13">
        <f>IFERROR((CHAIN_RAW!K659+CHAIN_RAW!L659)/2,"")</f>
        <v/>
      </c>
      <c r="H659" s="13">
        <f>IFERROR((CHAIN_RAW!R659+CHAIN_RAW!S659)/2,"")</f>
        <v/>
      </c>
      <c r="I659" s="13">
        <f>IFERROR((CHAIN_RAW!L659-CHAIN_RAW!K659)/MAX(1E-9, G659),"")</f>
        <v/>
      </c>
      <c r="J659" s="13">
        <f>IFERROR((CHAIN_RAW!S659-CHAIN_RAW!R659)/MAX(1E-9, H659),"")</f>
        <v/>
      </c>
      <c r="K659" s="13">
        <f>CHAIN_RAW!G659</f>
        <v/>
      </c>
      <c r="L659" s="13">
        <f>CHAIN_RAW!N659</f>
        <v/>
      </c>
      <c r="M659" s="13">
        <f>IFERROR(L659-K659,"")</f>
        <v/>
      </c>
      <c r="N659" s="13">
        <f>CHAIN_RAW!H659</f>
        <v/>
      </c>
      <c r="O659" s="13">
        <f>CHAIN_RAW!O659</f>
        <v/>
      </c>
      <c r="P659" s="13">
        <f>IFERROR(O659/N659,"")</f>
        <v/>
      </c>
      <c r="Q659" s="13">
        <f>CHAIN_RAW!I659</f>
        <v/>
      </c>
      <c r="R659" s="13">
        <f>CHAIN_RAW!P659</f>
        <v/>
      </c>
      <c r="S659" s="13">
        <f>IFERROR(R659/Q659,"")</f>
        <v/>
      </c>
      <c r="T659" s="13">
        <f>IFERROR((ABS(N659-O659)/MAX(1,(N659+O659)))*EXP(-ABS(E659-CONTROL!E5)/MAX(1,CONTROL!B8)),"")</f>
        <v/>
      </c>
      <c r="U659" s="13">
        <f>IFERROR(IF(O659&gt;N659,"SUPPORT (PE OI)","RESIST (CE OI)"),"")</f>
        <v/>
      </c>
      <c r="V659" s="13">
        <f>IFERROR(IF(Q659&gt;0,IF(R659&gt;0,"BOTH_ADD","CE_ADD_PE_REDUCE"),IF(R659&gt;0,"CE_REDUCE_PE_ADD","BOTH_REDUCE")),"")</f>
        <v/>
      </c>
      <c r="W659" s="13">
        <f>IFERROR( (P659-1)*0.5 + (M659)*0.1 - (I659+J659)*0.05 + T659*0.4 ,"")</f>
        <v/>
      </c>
      <c r="X659" s="13">
        <f>IFERROR(IF(ABS(F659)&lt;0.01,"ATM/NEAR",""),"")</f>
        <v/>
      </c>
    </row>
    <row r="660">
      <c r="A660" s="13">
        <f>CHAIN_RAW!A660</f>
        <v/>
      </c>
      <c r="B660" s="14">
        <f>CHAIN_RAW!B660</f>
        <v/>
      </c>
      <c r="C660" s="13">
        <f>CHAIN_RAW!C660</f>
        <v/>
      </c>
      <c r="D660" s="13">
        <f>CHAIN_RAW!D660</f>
        <v/>
      </c>
      <c r="E660" s="13">
        <f>CHAIN_RAW!E660</f>
        <v/>
      </c>
      <c r="F660" s="13">
        <f>IFERROR((E660-D660)/D660,"")</f>
        <v/>
      </c>
      <c r="G660" s="13">
        <f>IFERROR((CHAIN_RAW!K660+CHAIN_RAW!L660)/2,"")</f>
        <v/>
      </c>
      <c r="H660" s="13">
        <f>IFERROR((CHAIN_RAW!R660+CHAIN_RAW!S660)/2,"")</f>
        <v/>
      </c>
      <c r="I660" s="13">
        <f>IFERROR((CHAIN_RAW!L660-CHAIN_RAW!K660)/MAX(1E-9, G660),"")</f>
        <v/>
      </c>
      <c r="J660" s="13">
        <f>IFERROR((CHAIN_RAW!S660-CHAIN_RAW!R660)/MAX(1E-9, H660),"")</f>
        <v/>
      </c>
      <c r="K660" s="13">
        <f>CHAIN_RAW!G660</f>
        <v/>
      </c>
      <c r="L660" s="13">
        <f>CHAIN_RAW!N660</f>
        <v/>
      </c>
      <c r="M660" s="13">
        <f>IFERROR(L660-K660,"")</f>
        <v/>
      </c>
      <c r="N660" s="13">
        <f>CHAIN_RAW!H660</f>
        <v/>
      </c>
      <c r="O660" s="13">
        <f>CHAIN_RAW!O660</f>
        <v/>
      </c>
      <c r="P660" s="13">
        <f>IFERROR(O660/N660,"")</f>
        <v/>
      </c>
      <c r="Q660" s="13">
        <f>CHAIN_RAW!I660</f>
        <v/>
      </c>
      <c r="R660" s="13">
        <f>CHAIN_RAW!P660</f>
        <v/>
      </c>
      <c r="S660" s="13">
        <f>IFERROR(R660/Q660,"")</f>
        <v/>
      </c>
      <c r="T660" s="13">
        <f>IFERROR((ABS(N660-O660)/MAX(1,(N660+O660)))*EXP(-ABS(E660-CONTROL!E5)/MAX(1,CONTROL!B8)),"")</f>
        <v/>
      </c>
      <c r="U660" s="13">
        <f>IFERROR(IF(O660&gt;N660,"SUPPORT (PE OI)","RESIST (CE OI)"),"")</f>
        <v/>
      </c>
      <c r="V660" s="13">
        <f>IFERROR(IF(Q660&gt;0,IF(R660&gt;0,"BOTH_ADD","CE_ADD_PE_REDUCE"),IF(R660&gt;0,"CE_REDUCE_PE_ADD","BOTH_REDUCE")),"")</f>
        <v/>
      </c>
      <c r="W660" s="13">
        <f>IFERROR( (P660-1)*0.5 + (M660)*0.1 - (I660+J660)*0.05 + T660*0.4 ,"")</f>
        <v/>
      </c>
      <c r="X660" s="13">
        <f>IFERROR(IF(ABS(F660)&lt;0.01,"ATM/NEAR",""),"")</f>
        <v/>
      </c>
    </row>
    <row r="661">
      <c r="A661" s="13">
        <f>CHAIN_RAW!A661</f>
        <v/>
      </c>
      <c r="B661" s="14">
        <f>CHAIN_RAW!B661</f>
        <v/>
      </c>
      <c r="C661" s="13">
        <f>CHAIN_RAW!C661</f>
        <v/>
      </c>
      <c r="D661" s="13">
        <f>CHAIN_RAW!D661</f>
        <v/>
      </c>
      <c r="E661" s="13">
        <f>CHAIN_RAW!E661</f>
        <v/>
      </c>
      <c r="F661" s="13">
        <f>IFERROR((E661-D661)/D661,"")</f>
        <v/>
      </c>
      <c r="G661" s="13">
        <f>IFERROR((CHAIN_RAW!K661+CHAIN_RAW!L661)/2,"")</f>
        <v/>
      </c>
      <c r="H661" s="13">
        <f>IFERROR((CHAIN_RAW!R661+CHAIN_RAW!S661)/2,"")</f>
        <v/>
      </c>
      <c r="I661" s="13">
        <f>IFERROR((CHAIN_RAW!L661-CHAIN_RAW!K661)/MAX(1E-9, G661),"")</f>
        <v/>
      </c>
      <c r="J661" s="13">
        <f>IFERROR((CHAIN_RAW!S661-CHAIN_RAW!R661)/MAX(1E-9, H661),"")</f>
        <v/>
      </c>
      <c r="K661" s="13">
        <f>CHAIN_RAW!G661</f>
        <v/>
      </c>
      <c r="L661" s="13">
        <f>CHAIN_RAW!N661</f>
        <v/>
      </c>
      <c r="M661" s="13">
        <f>IFERROR(L661-K661,"")</f>
        <v/>
      </c>
      <c r="N661" s="13">
        <f>CHAIN_RAW!H661</f>
        <v/>
      </c>
      <c r="O661" s="13">
        <f>CHAIN_RAW!O661</f>
        <v/>
      </c>
      <c r="P661" s="13">
        <f>IFERROR(O661/N661,"")</f>
        <v/>
      </c>
      <c r="Q661" s="13">
        <f>CHAIN_RAW!I661</f>
        <v/>
      </c>
      <c r="R661" s="13">
        <f>CHAIN_RAW!P661</f>
        <v/>
      </c>
      <c r="S661" s="13">
        <f>IFERROR(R661/Q661,"")</f>
        <v/>
      </c>
      <c r="T661" s="13">
        <f>IFERROR((ABS(N661-O661)/MAX(1,(N661+O661)))*EXP(-ABS(E661-CONTROL!E5)/MAX(1,CONTROL!B8)),"")</f>
        <v/>
      </c>
      <c r="U661" s="13">
        <f>IFERROR(IF(O661&gt;N661,"SUPPORT (PE OI)","RESIST (CE OI)"),"")</f>
        <v/>
      </c>
      <c r="V661" s="13">
        <f>IFERROR(IF(Q661&gt;0,IF(R661&gt;0,"BOTH_ADD","CE_ADD_PE_REDUCE"),IF(R661&gt;0,"CE_REDUCE_PE_ADD","BOTH_REDUCE")),"")</f>
        <v/>
      </c>
      <c r="W661" s="13">
        <f>IFERROR( (P661-1)*0.5 + (M661)*0.1 - (I661+J661)*0.05 + T661*0.4 ,"")</f>
        <v/>
      </c>
      <c r="X661" s="13">
        <f>IFERROR(IF(ABS(F661)&lt;0.01,"ATM/NEAR",""),"")</f>
        <v/>
      </c>
    </row>
    <row r="662">
      <c r="A662" s="13">
        <f>CHAIN_RAW!A662</f>
        <v/>
      </c>
      <c r="B662" s="14">
        <f>CHAIN_RAW!B662</f>
        <v/>
      </c>
      <c r="C662" s="13">
        <f>CHAIN_RAW!C662</f>
        <v/>
      </c>
      <c r="D662" s="13">
        <f>CHAIN_RAW!D662</f>
        <v/>
      </c>
      <c r="E662" s="13">
        <f>CHAIN_RAW!E662</f>
        <v/>
      </c>
      <c r="F662" s="13">
        <f>IFERROR((E662-D662)/D662,"")</f>
        <v/>
      </c>
      <c r="G662" s="13">
        <f>IFERROR((CHAIN_RAW!K662+CHAIN_RAW!L662)/2,"")</f>
        <v/>
      </c>
      <c r="H662" s="13">
        <f>IFERROR((CHAIN_RAW!R662+CHAIN_RAW!S662)/2,"")</f>
        <v/>
      </c>
      <c r="I662" s="13">
        <f>IFERROR((CHAIN_RAW!L662-CHAIN_RAW!K662)/MAX(1E-9, G662),"")</f>
        <v/>
      </c>
      <c r="J662" s="13">
        <f>IFERROR((CHAIN_RAW!S662-CHAIN_RAW!R662)/MAX(1E-9, H662),"")</f>
        <v/>
      </c>
      <c r="K662" s="13">
        <f>CHAIN_RAW!G662</f>
        <v/>
      </c>
      <c r="L662" s="13">
        <f>CHAIN_RAW!N662</f>
        <v/>
      </c>
      <c r="M662" s="13">
        <f>IFERROR(L662-K662,"")</f>
        <v/>
      </c>
      <c r="N662" s="13">
        <f>CHAIN_RAW!H662</f>
        <v/>
      </c>
      <c r="O662" s="13">
        <f>CHAIN_RAW!O662</f>
        <v/>
      </c>
      <c r="P662" s="13">
        <f>IFERROR(O662/N662,"")</f>
        <v/>
      </c>
      <c r="Q662" s="13">
        <f>CHAIN_RAW!I662</f>
        <v/>
      </c>
      <c r="R662" s="13">
        <f>CHAIN_RAW!P662</f>
        <v/>
      </c>
      <c r="S662" s="13">
        <f>IFERROR(R662/Q662,"")</f>
        <v/>
      </c>
      <c r="T662" s="13">
        <f>IFERROR((ABS(N662-O662)/MAX(1,(N662+O662)))*EXP(-ABS(E662-CONTROL!E5)/MAX(1,CONTROL!B8)),"")</f>
        <v/>
      </c>
      <c r="U662" s="13">
        <f>IFERROR(IF(O662&gt;N662,"SUPPORT (PE OI)","RESIST (CE OI)"),"")</f>
        <v/>
      </c>
      <c r="V662" s="13">
        <f>IFERROR(IF(Q662&gt;0,IF(R662&gt;0,"BOTH_ADD","CE_ADD_PE_REDUCE"),IF(R662&gt;0,"CE_REDUCE_PE_ADD","BOTH_REDUCE")),"")</f>
        <v/>
      </c>
      <c r="W662" s="13">
        <f>IFERROR( (P662-1)*0.5 + (M662)*0.1 - (I662+J662)*0.05 + T662*0.4 ,"")</f>
        <v/>
      </c>
      <c r="X662" s="13">
        <f>IFERROR(IF(ABS(F662)&lt;0.01,"ATM/NEAR",""),"")</f>
        <v/>
      </c>
    </row>
    <row r="663">
      <c r="A663" s="13">
        <f>CHAIN_RAW!A663</f>
        <v/>
      </c>
      <c r="B663" s="14">
        <f>CHAIN_RAW!B663</f>
        <v/>
      </c>
      <c r="C663" s="13">
        <f>CHAIN_RAW!C663</f>
        <v/>
      </c>
      <c r="D663" s="13">
        <f>CHAIN_RAW!D663</f>
        <v/>
      </c>
      <c r="E663" s="13">
        <f>CHAIN_RAW!E663</f>
        <v/>
      </c>
      <c r="F663" s="13">
        <f>IFERROR((E663-D663)/D663,"")</f>
        <v/>
      </c>
      <c r="G663" s="13">
        <f>IFERROR((CHAIN_RAW!K663+CHAIN_RAW!L663)/2,"")</f>
        <v/>
      </c>
      <c r="H663" s="13">
        <f>IFERROR((CHAIN_RAW!R663+CHAIN_RAW!S663)/2,"")</f>
        <v/>
      </c>
      <c r="I663" s="13">
        <f>IFERROR((CHAIN_RAW!L663-CHAIN_RAW!K663)/MAX(1E-9, G663),"")</f>
        <v/>
      </c>
      <c r="J663" s="13">
        <f>IFERROR((CHAIN_RAW!S663-CHAIN_RAW!R663)/MAX(1E-9, H663),"")</f>
        <v/>
      </c>
      <c r="K663" s="13">
        <f>CHAIN_RAW!G663</f>
        <v/>
      </c>
      <c r="L663" s="13">
        <f>CHAIN_RAW!N663</f>
        <v/>
      </c>
      <c r="M663" s="13">
        <f>IFERROR(L663-K663,"")</f>
        <v/>
      </c>
      <c r="N663" s="13">
        <f>CHAIN_RAW!H663</f>
        <v/>
      </c>
      <c r="O663" s="13">
        <f>CHAIN_RAW!O663</f>
        <v/>
      </c>
      <c r="P663" s="13">
        <f>IFERROR(O663/N663,"")</f>
        <v/>
      </c>
      <c r="Q663" s="13">
        <f>CHAIN_RAW!I663</f>
        <v/>
      </c>
      <c r="R663" s="13">
        <f>CHAIN_RAW!P663</f>
        <v/>
      </c>
      <c r="S663" s="13">
        <f>IFERROR(R663/Q663,"")</f>
        <v/>
      </c>
      <c r="T663" s="13">
        <f>IFERROR((ABS(N663-O663)/MAX(1,(N663+O663)))*EXP(-ABS(E663-CONTROL!E5)/MAX(1,CONTROL!B8)),"")</f>
        <v/>
      </c>
      <c r="U663" s="13">
        <f>IFERROR(IF(O663&gt;N663,"SUPPORT (PE OI)","RESIST (CE OI)"),"")</f>
        <v/>
      </c>
      <c r="V663" s="13">
        <f>IFERROR(IF(Q663&gt;0,IF(R663&gt;0,"BOTH_ADD","CE_ADD_PE_REDUCE"),IF(R663&gt;0,"CE_REDUCE_PE_ADD","BOTH_REDUCE")),"")</f>
        <v/>
      </c>
      <c r="W663" s="13">
        <f>IFERROR( (P663-1)*0.5 + (M663)*0.1 - (I663+J663)*0.05 + T663*0.4 ,"")</f>
        <v/>
      </c>
      <c r="X663" s="13">
        <f>IFERROR(IF(ABS(F663)&lt;0.01,"ATM/NEAR",""),"")</f>
        <v/>
      </c>
    </row>
    <row r="664">
      <c r="A664" s="13">
        <f>CHAIN_RAW!A664</f>
        <v/>
      </c>
      <c r="B664" s="14">
        <f>CHAIN_RAW!B664</f>
        <v/>
      </c>
      <c r="C664" s="13">
        <f>CHAIN_RAW!C664</f>
        <v/>
      </c>
      <c r="D664" s="13">
        <f>CHAIN_RAW!D664</f>
        <v/>
      </c>
      <c r="E664" s="13">
        <f>CHAIN_RAW!E664</f>
        <v/>
      </c>
      <c r="F664" s="13">
        <f>IFERROR((E664-D664)/D664,"")</f>
        <v/>
      </c>
      <c r="G664" s="13">
        <f>IFERROR((CHAIN_RAW!K664+CHAIN_RAW!L664)/2,"")</f>
        <v/>
      </c>
      <c r="H664" s="13">
        <f>IFERROR((CHAIN_RAW!R664+CHAIN_RAW!S664)/2,"")</f>
        <v/>
      </c>
      <c r="I664" s="13">
        <f>IFERROR((CHAIN_RAW!L664-CHAIN_RAW!K664)/MAX(1E-9, G664),"")</f>
        <v/>
      </c>
      <c r="J664" s="13">
        <f>IFERROR((CHAIN_RAW!S664-CHAIN_RAW!R664)/MAX(1E-9, H664),"")</f>
        <v/>
      </c>
      <c r="K664" s="13">
        <f>CHAIN_RAW!G664</f>
        <v/>
      </c>
      <c r="L664" s="13">
        <f>CHAIN_RAW!N664</f>
        <v/>
      </c>
      <c r="M664" s="13">
        <f>IFERROR(L664-K664,"")</f>
        <v/>
      </c>
      <c r="N664" s="13">
        <f>CHAIN_RAW!H664</f>
        <v/>
      </c>
      <c r="O664" s="13">
        <f>CHAIN_RAW!O664</f>
        <v/>
      </c>
      <c r="P664" s="13">
        <f>IFERROR(O664/N664,"")</f>
        <v/>
      </c>
      <c r="Q664" s="13">
        <f>CHAIN_RAW!I664</f>
        <v/>
      </c>
      <c r="R664" s="13">
        <f>CHAIN_RAW!P664</f>
        <v/>
      </c>
      <c r="S664" s="13">
        <f>IFERROR(R664/Q664,"")</f>
        <v/>
      </c>
      <c r="T664" s="13">
        <f>IFERROR((ABS(N664-O664)/MAX(1,(N664+O664)))*EXP(-ABS(E664-CONTROL!E5)/MAX(1,CONTROL!B8)),"")</f>
        <v/>
      </c>
      <c r="U664" s="13">
        <f>IFERROR(IF(O664&gt;N664,"SUPPORT (PE OI)","RESIST (CE OI)"),"")</f>
        <v/>
      </c>
      <c r="V664" s="13">
        <f>IFERROR(IF(Q664&gt;0,IF(R664&gt;0,"BOTH_ADD","CE_ADD_PE_REDUCE"),IF(R664&gt;0,"CE_REDUCE_PE_ADD","BOTH_REDUCE")),"")</f>
        <v/>
      </c>
      <c r="W664" s="13">
        <f>IFERROR( (P664-1)*0.5 + (M664)*0.1 - (I664+J664)*0.05 + T664*0.4 ,"")</f>
        <v/>
      </c>
      <c r="X664" s="13">
        <f>IFERROR(IF(ABS(F664)&lt;0.01,"ATM/NEAR",""),"")</f>
        <v/>
      </c>
    </row>
    <row r="665">
      <c r="A665" s="13">
        <f>CHAIN_RAW!A665</f>
        <v/>
      </c>
      <c r="B665" s="14">
        <f>CHAIN_RAW!B665</f>
        <v/>
      </c>
      <c r="C665" s="13">
        <f>CHAIN_RAW!C665</f>
        <v/>
      </c>
      <c r="D665" s="13">
        <f>CHAIN_RAW!D665</f>
        <v/>
      </c>
      <c r="E665" s="13">
        <f>CHAIN_RAW!E665</f>
        <v/>
      </c>
      <c r="F665" s="13">
        <f>IFERROR((E665-D665)/D665,"")</f>
        <v/>
      </c>
      <c r="G665" s="13">
        <f>IFERROR((CHAIN_RAW!K665+CHAIN_RAW!L665)/2,"")</f>
        <v/>
      </c>
      <c r="H665" s="13">
        <f>IFERROR((CHAIN_RAW!R665+CHAIN_RAW!S665)/2,"")</f>
        <v/>
      </c>
      <c r="I665" s="13">
        <f>IFERROR((CHAIN_RAW!L665-CHAIN_RAW!K665)/MAX(1E-9, G665),"")</f>
        <v/>
      </c>
      <c r="J665" s="13">
        <f>IFERROR((CHAIN_RAW!S665-CHAIN_RAW!R665)/MAX(1E-9, H665),"")</f>
        <v/>
      </c>
      <c r="K665" s="13">
        <f>CHAIN_RAW!G665</f>
        <v/>
      </c>
      <c r="L665" s="13">
        <f>CHAIN_RAW!N665</f>
        <v/>
      </c>
      <c r="M665" s="13">
        <f>IFERROR(L665-K665,"")</f>
        <v/>
      </c>
      <c r="N665" s="13">
        <f>CHAIN_RAW!H665</f>
        <v/>
      </c>
      <c r="O665" s="13">
        <f>CHAIN_RAW!O665</f>
        <v/>
      </c>
      <c r="P665" s="13">
        <f>IFERROR(O665/N665,"")</f>
        <v/>
      </c>
      <c r="Q665" s="13">
        <f>CHAIN_RAW!I665</f>
        <v/>
      </c>
      <c r="R665" s="13">
        <f>CHAIN_RAW!P665</f>
        <v/>
      </c>
      <c r="S665" s="13">
        <f>IFERROR(R665/Q665,"")</f>
        <v/>
      </c>
      <c r="T665" s="13">
        <f>IFERROR((ABS(N665-O665)/MAX(1,(N665+O665)))*EXP(-ABS(E665-CONTROL!E5)/MAX(1,CONTROL!B8)),"")</f>
        <v/>
      </c>
      <c r="U665" s="13">
        <f>IFERROR(IF(O665&gt;N665,"SUPPORT (PE OI)","RESIST (CE OI)"),"")</f>
        <v/>
      </c>
      <c r="V665" s="13">
        <f>IFERROR(IF(Q665&gt;0,IF(R665&gt;0,"BOTH_ADD","CE_ADD_PE_REDUCE"),IF(R665&gt;0,"CE_REDUCE_PE_ADD","BOTH_REDUCE")),"")</f>
        <v/>
      </c>
      <c r="W665" s="13">
        <f>IFERROR( (P665-1)*0.5 + (M665)*0.1 - (I665+J665)*0.05 + T665*0.4 ,"")</f>
        <v/>
      </c>
      <c r="X665" s="13">
        <f>IFERROR(IF(ABS(F665)&lt;0.01,"ATM/NEAR",""),"")</f>
        <v/>
      </c>
    </row>
    <row r="666">
      <c r="A666" s="13">
        <f>CHAIN_RAW!A666</f>
        <v/>
      </c>
      <c r="B666" s="14">
        <f>CHAIN_RAW!B666</f>
        <v/>
      </c>
      <c r="C666" s="13">
        <f>CHAIN_RAW!C666</f>
        <v/>
      </c>
      <c r="D666" s="13">
        <f>CHAIN_RAW!D666</f>
        <v/>
      </c>
      <c r="E666" s="13">
        <f>CHAIN_RAW!E666</f>
        <v/>
      </c>
      <c r="F666" s="13">
        <f>IFERROR((E666-D666)/D666,"")</f>
        <v/>
      </c>
      <c r="G666" s="13">
        <f>IFERROR((CHAIN_RAW!K666+CHAIN_RAW!L666)/2,"")</f>
        <v/>
      </c>
      <c r="H666" s="13">
        <f>IFERROR((CHAIN_RAW!R666+CHAIN_RAW!S666)/2,"")</f>
        <v/>
      </c>
      <c r="I666" s="13">
        <f>IFERROR((CHAIN_RAW!L666-CHAIN_RAW!K666)/MAX(1E-9, G666),"")</f>
        <v/>
      </c>
      <c r="J666" s="13">
        <f>IFERROR((CHAIN_RAW!S666-CHAIN_RAW!R666)/MAX(1E-9, H666),"")</f>
        <v/>
      </c>
      <c r="K666" s="13">
        <f>CHAIN_RAW!G666</f>
        <v/>
      </c>
      <c r="L666" s="13">
        <f>CHAIN_RAW!N666</f>
        <v/>
      </c>
      <c r="M666" s="13">
        <f>IFERROR(L666-K666,"")</f>
        <v/>
      </c>
      <c r="N666" s="13">
        <f>CHAIN_RAW!H666</f>
        <v/>
      </c>
      <c r="O666" s="13">
        <f>CHAIN_RAW!O666</f>
        <v/>
      </c>
      <c r="P666" s="13">
        <f>IFERROR(O666/N666,"")</f>
        <v/>
      </c>
      <c r="Q666" s="13">
        <f>CHAIN_RAW!I666</f>
        <v/>
      </c>
      <c r="R666" s="13">
        <f>CHAIN_RAW!P666</f>
        <v/>
      </c>
      <c r="S666" s="13">
        <f>IFERROR(R666/Q666,"")</f>
        <v/>
      </c>
      <c r="T666" s="13">
        <f>IFERROR((ABS(N666-O666)/MAX(1,(N666+O666)))*EXP(-ABS(E666-CONTROL!E5)/MAX(1,CONTROL!B8)),"")</f>
        <v/>
      </c>
      <c r="U666" s="13">
        <f>IFERROR(IF(O666&gt;N666,"SUPPORT (PE OI)","RESIST (CE OI)"),"")</f>
        <v/>
      </c>
      <c r="V666" s="13">
        <f>IFERROR(IF(Q666&gt;0,IF(R666&gt;0,"BOTH_ADD","CE_ADD_PE_REDUCE"),IF(R666&gt;0,"CE_REDUCE_PE_ADD","BOTH_REDUCE")),"")</f>
        <v/>
      </c>
      <c r="W666" s="13">
        <f>IFERROR( (P666-1)*0.5 + (M666)*0.1 - (I666+J666)*0.05 + T666*0.4 ,"")</f>
        <v/>
      </c>
      <c r="X666" s="13">
        <f>IFERROR(IF(ABS(F666)&lt;0.01,"ATM/NEAR",""),"")</f>
        <v/>
      </c>
    </row>
    <row r="667">
      <c r="A667" s="13">
        <f>CHAIN_RAW!A667</f>
        <v/>
      </c>
      <c r="B667" s="14">
        <f>CHAIN_RAW!B667</f>
        <v/>
      </c>
      <c r="C667" s="13">
        <f>CHAIN_RAW!C667</f>
        <v/>
      </c>
      <c r="D667" s="13">
        <f>CHAIN_RAW!D667</f>
        <v/>
      </c>
      <c r="E667" s="13">
        <f>CHAIN_RAW!E667</f>
        <v/>
      </c>
      <c r="F667" s="13">
        <f>IFERROR((E667-D667)/D667,"")</f>
        <v/>
      </c>
      <c r="G667" s="13">
        <f>IFERROR((CHAIN_RAW!K667+CHAIN_RAW!L667)/2,"")</f>
        <v/>
      </c>
      <c r="H667" s="13">
        <f>IFERROR((CHAIN_RAW!R667+CHAIN_RAW!S667)/2,"")</f>
        <v/>
      </c>
      <c r="I667" s="13">
        <f>IFERROR((CHAIN_RAW!L667-CHAIN_RAW!K667)/MAX(1E-9, G667),"")</f>
        <v/>
      </c>
      <c r="J667" s="13">
        <f>IFERROR((CHAIN_RAW!S667-CHAIN_RAW!R667)/MAX(1E-9, H667),"")</f>
        <v/>
      </c>
      <c r="K667" s="13">
        <f>CHAIN_RAW!G667</f>
        <v/>
      </c>
      <c r="L667" s="13">
        <f>CHAIN_RAW!N667</f>
        <v/>
      </c>
      <c r="M667" s="13">
        <f>IFERROR(L667-K667,"")</f>
        <v/>
      </c>
      <c r="N667" s="13">
        <f>CHAIN_RAW!H667</f>
        <v/>
      </c>
      <c r="O667" s="13">
        <f>CHAIN_RAW!O667</f>
        <v/>
      </c>
      <c r="P667" s="13">
        <f>IFERROR(O667/N667,"")</f>
        <v/>
      </c>
      <c r="Q667" s="13">
        <f>CHAIN_RAW!I667</f>
        <v/>
      </c>
      <c r="R667" s="13">
        <f>CHAIN_RAW!P667</f>
        <v/>
      </c>
      <c r="S667" s="13">
        <f>IFERROR(R667/Q667,"")</f>
        <v/>
      </c>
      <c r="T667" s="13">
        <f>IFERROR((ABS(N667-O667)/MAX(1,(N667+O667)))*EXP(-ABS(E667-CONTROL!E5)/MAX(1,CONTROL!B8)),"")</f>
        <v/>
      </c>
      <c r="U667" s="13">
        <f>IFERROR(IF(O667&gt;N667,"SUPPORT (PE OI)","RESIST (CE OI)"),"")</f>
        <v/>
      </c>
      <c r="V667" s="13">
        <f>IFERROR(IF(Q667&gt;0,IF(R667&gt;0,"BOTH_ADD","CE_ADD_PE_REDUCE"),IF(R667&gt;0,"CE_REDUCE_PE_ADD","BOTH_REDUCE")),"")</f>
        <v/>
      </c>
      <c r="W667" s="13">
        <f>IFERROR( (P667-1)*0.5 + (M667)*0.1 - (I667+J667)*0.05 + T667*0.4 ,"")</f>
        <v/>
      </c>
      <c r="X667" s="13">
        <f>IFERROR(IF(ABS(F667)&lt;0.01,"ATM/NEAR",""),"")</f>
        <v/>
      </c>
    </row>
    <row r="668">
      <c r="A668" s="13">
        <f>CHAIN_RAW!A668</f>
        <v/>
      </c>
      <c r="B668" s="14">
        <f>CHAIN_RAW!B668</f>
        <v/>
      </c>
      <c r="C668" s="13">
        <f>CHAIN_RAW!C668</f>
        <v/>
      </c>
      <c r="D668" s="13">
        <f>CHAIN_RAW!D668</f>
        <v/>
      </c>
      <c r="E668" s="13">
        <f>CHAIN_RAW!E668</f>
        <v/>
      </c>
      <c r="F668" s="13">
        <f>IFERROR((E668-D668)/D668,"")</f>
        <v/>
      </c>
      <c r="G668" s="13">
        <f>IFERROR((CHAIN_RAW!K668+CHAIN_RAW!L668)/2,"")</f>
        <v/>
      </c>
      <c r="H668" s="13">
        <f>IFERROR((CHAIN_RAW!R668+CHAIN_RAW!S668)/2,"")</f>
        <v/>
      </c>
      <c r="I668" s="13">
        <f>IFERROR((CHAIN_RAW!L668-CHAIN_RAW!K668)/MAX(1E-9, G668),"")</f>
        <v/>
      </c>
      <c r="J668" s="13">
        <f>IFERROR((CHAIN_RAW!S668-CHAIN_RAW!R668)/MAX(1E-9, H668),"")</f>
        <v/>
      </c>
      <c r="K668" s="13">
        <f>CHAIN_RAW!G668</f>
        <v/>
      </c>
      <c r="L668" s="13">
        <f>CHAIN_RAW!N668</f>
        <v/>
      </c>
      <c r="M668" s="13">
        <f>IFERROR(L668-K668,"")</f>
        <v/>
      </c>
      <c r="N668" s="13">
        <f>CHAIN_RAW!H668</f>
        <v/>
      </c>
      <c r="O668" s="13">
        <f>CHAIN_RAW!O668</f>
        <v/>
      </c>
      <c r="P668" s="13">
        <f>IFERROR(O668/N668,"")</f>
        <v/>
      </c>
      <c r="Q668" s="13">
        <f>CHAIN_RAW!I668</f>
        <v/>
      </c>
      <c r="R668" s="13">
        <f>CHAIN_RAW!P668</f>
        <v/>
      </c>
      <c r="S668" s="13">
        <f>IFERROR(R668/Q668,"")</f>
        <v/>
      </c>
      <c r="T668" s="13">
        <f>IFERROR((ABS(N668-O668)/MAX(1,(N668+O668)))*EXP(-ABS(E668-CONTROL!E5)/MAX(1,CONTROL!B8)),"")</f>
        <v/>
      </c>
      <c r="U668" s="13">
        <f>IFERROR(IF(O668&gt;N668,"SUPPORT (PE OI)","RESIST (CE OI)"),"")</f>
        <v/>
      </c>
      <c r="V668" s="13">
        <f>IFERROR(IF(Q668&gt;0,IF(R668&gt;0,"BOTH_ADD","CE_ADD_PE_REDUCE"),IF(R668&gt;0,"CE_REDUCE_PE_ADD","BOTH_REDUCE")),"")</f>
        <v/>
      </c>
      <c r="W668" s="13">
        <f>IFERROR( (P668-1)*0.5 + (M668)*0.1 - (I668+J668)*0.05 + T668*0.4 ,"")</f>
        <v/>
      </c>
      <c r="X668" s="13">
        <f>IFERROR(IF(ABS(F668)&lt;0.01,"ATM/NEAR",""),"")</f>
        <v/>
      </c>
    </row>
    <row r="669">
      <c r="A669" s="13">
        <f>CHAIN_RAW!A669</f>
        <v/>
      </c>
      <c r="B669" s="14">
        <f>CHAIN_RAW!B669</f>
        <v/>
      </c>
      <c r="C669" s="13">
        <f>CHAIN_RAW!C669</f>
        <v/>
      </c>
      <c r="D669" s="13">
        <f>CHAIN_RAW!D669</f>
        <v/>
      </c>
      <c r="E669" s="13">
        <f>CHAIN_RAW!E669</f>
        <v/>
      </c>
      <c r="F669" s="13">
        <f>IFERROR((E669-D669)/D669,"")</f>
        <v/>
      </c>
      <c r="G669" s="13">
        <f>IFERROR((CHAIN_RAW!K669+CHAIN_RAW!L669)/2,"")</f>
        <v/>
      </c>
      <c r="H669" s="13">
        <f>IFERROR((CHAIN_RAW!R669+CHAIN_RAW!S669)/2,"")</f>
        <v/>
      </c>
      <c r="I669" s="13">
        <f>IFERROR((CHAIN_RAW!L669-CHAIN_RAW!K669)/MAX(1E-9, G669),"")</f>
        <v/>
      </c>
      <c r="J669" s="13">
        <f>IFERROR((CHAIN_RAW!S669-CHAIN_RAW!R669)/MAX(1E-9, H669),"")</f>
        <v/>
      </c>
      <c r="K669" s="13">
        <f>CHAIN_RAW!G669</f>
        <v/>
      </c>
      <c r="L669" s="13">
        <f>CHAIN_RAW!N669</f>
        <v/>
      </c>
      <c r="M669" s="13">
        <f>IFERROR(L669-K669,"")</f>
        <v/>
      </c>
      <c r="N669" s="13">
        <f>CHAIN_RAW!H669</f>
        <v/>
      </c>
      <c r="O669" s="13">
        <f>CHAIN_RAW!O669</f>
        <v/>
      </c>
      <c r="P669" s="13">
        <f>IFERROR(O669/N669,"")</f>
        <v/>
      </c>
      <c r="Q669" s="13">
        <f>CHAIN_RAW!I669</f>
        <v/>
      </c>
      <c r="R669" s="13">
        <f>CHAIN_RAW!P669</f>
        <v/>
      </c>
      <c r="S669" s="13">
        <f>IFERROR(R669/Q669,"")</f>
        <v/>
      </c>
      <c r="T669" s="13">
        <f>IFERROR((ABS(N669-O669)/MAX(1,(N669+O669)))*EXP(-ABS(E669-CONTROL!E5)/MAX(1,CONTROL!B8)),"")</f>
        <v/>
      </c>
      <c r="U669" s="13">
        <f>IFERROR(IF(O669&gt;N669,"SUPPORT (PE OI)","RESIST (CE OI)"),"")</f>
        <v/>
      </c>
      <c r="V669" s="13">
        <f>IFERROR(IF(Q669&gt;0,IF(R669&gt;0,"BOTH_ADD","CE_ADD_PE_REDUCE"),IF(R669&gt;0,"CE_REDUCE_PE_ADD","BOTH_REDUCE")),"")</f>
        <v/>
      </c>
      <c r="W669" s="13">
        <f>IFERROR( (P669-1)*0.5 + (M669)*0.1 - (I669+J669)*0.05 + T669*0.4 ,"")</f>
        <v/>
      </c>
      <c r="X669" s="13">
        <f>IFERROR(IF(ABS(F669)&lt;0.01,"ATM/NEAR",""),"")</f>
        <v/>
      </c>
    </row>
    <row r="670">
      <c r="A670" s="13">
        <f>CHAIN_RAW!A670</f>
        <v/>
      </c>
      <c r="B670" s="14">
        <f>CHAIN_RAW!B670</f>
        <v/>
      </c>
      <c r="C670" s="13">
        <f>CHAIN_RAW!C670</f>
        <v/>
      </c>
      <c r="D670" s="13">
        <f>CHAIN_RAW!D670</f>
        <v/>
      </c>
      <c r="E670" s="13">
        <f>CHAIN_RAW!E670</f>
        <v/>
      </c>
      <c r="F670" s="13">
        <f>IFERROR((E670-D670)/D670,"")</f>
        <v/>
      </c>
      <c r="G670" s="13">
        <f>IFERROR((CHAIN_RAW!K670+CHAIN_RAW!L670)/2,"")</f>
        <v/>
      </c>
      <c r="H670" s="13">
        <f>IFERROR((CHAIN_RAW!R670+CHAIN_RAW!S670)/2,"")</f>
        <v/>
      </c>
      <c r="I670" s="13">
        <f>IFERROR((CHAIN_RAW!L670-CHAIN_RAW!K670)/MAX(1E-9, G670),"")</f>
        <v/>
      </c>
      <c r="J670" s="13">
        <f>IFERROR((CHAIN_RAW!S670-CHAIN_RAW!R670)/MAX(1E-9, H670),"")</f>
        <v/>
      </c>
      <c r="K670" s="13">
        <f>CHAIN_RAW!G670</f>
        <v/>
      </c>
      <c r="L670" s="13">
        <f>CHAIN_RAW!N670</f>
        <v/>
      </c>
      <c r="M670" s="13">
        <f>IFERROR(L670-K670,"")</f>
        <v/>
      </c>
      <c r="N670" s="13">
        <f>CHAIN_RAW!H670</f>
        <v/>
      </c>
      <c r="O670" s="13">
        <f>CHAIN_RAW!O670</f>
        <v/>
      </c>
      <c r="P670" s="13">
        <f>IFERROR(O670/N670,"")</f>
        <v/>
      </c>
      <c r="Q670" s="13">
        <f>CHAIN_RAW!I670</f>
        <v/>
      </c>
      <c r="R670" s="13">
        <f>CHAIN_RAW!P670</f>
        <v/>
      </c>
      <c r="S670" s="13">
        <f>IFERROR(R670/Q670,"")</f>
        <v/>
      </c>
      <c r="T670" s="13">
        <f>IFERROR((ABS(N670-O670)/MAX(1,(N670+O670)))*EXP(-ABS(E670-CONTROL!E5)/MAX(1,CONTROL!B8)),"")</f>
        <v/>
      </c>
      <c r="U670" s="13">
        <f>IFERROR(IF(O670&gt;N670,"SUPPORT (PE OI)","RESIST (CE OI)"),"")</f>
        <v/>
      </c>
      <c r="V670" s="13">
        <f>IFERROR(IF(Q670&gt;0,IF(R670&gt;0,"BOTH_ADD","CE_ADD_PE_REDUCE"),IF(R670&gt;0,"CE_REDUCE_PE_ADD","BOTH_REDUCE")),"")</f>
        <v/>
      </c>
      <c r="W670" s="13">
        <f>IFERROR( (P670-1)*0.5 + (M670)*0.1 - (I670+J670)*0.05 + T670*0.4 ,"")</f>
        <v/>
      </c>
      <c r="X670" s="13">
        <f>IFERROR(IF(ABS(F670)&lt;0.01,"ATM/NEAR",""),"")</f>
        <v/>
      </c>
    </row>
    <row r="671">
      <c r="A671" s="13">
        <f>CHAIN_RAW!A671</f>
        <v/>
      </c>
      <c r="B671" s="14">
        <f>CHAIN_RAW!B671</f>
        <v/>
      </c>
      <c r="C671" s="13">
        <f>CHAIN_RAW!C671</f>
        <v/>
      </c>
      <c r="D671" s="13">
        <f>CHAIN_RAW!D671</f>
        <v/>
      </c>
      <c r="E671" s="13">
        <f>CHAIN_RAW!E671</f>
        <v/>
      </c>
      <c r="F671" s="13">
        <f>IFERROR((E671-D671)/D671,"")</f>
        <v/>
      </c>
      <c r="G671" s="13">
        <f>IFERROR((CHAIN_RAW!K671+CHAIN_RAW!L671)/2,"")</f>
        <v/>
      </c>
      <c r="H671" s="13">
        <f>IFERROR((CHAIN_RAW!R671+CHAIN_RAW!S671)/2,"")</f>
        <v/>
      </c>
      <c r="I671" s="13">
        <f>IFERROR((CHAIN_RAW!L671-CHAIN_RAW!K671)/MAX(1E-9, G671),"")</f>
        <v/>
      </c>
      <c r="J671" s="13">
        <f>IFERROR((CHAIN_RAW!S671-CHAIN_RAW!R671)/MAX(1E-9, H671),"")</f>
        <v/>
      </c>
      <c r="K671" s="13">
        <f>CHAIN_RAW!G671</f>
        <v/>
      </c>
      <c r="L671" s="13">
        <f>CHAIN_RAW!N671</f>
        <v/>
      </c>
      <c r="M671" s="13">
        <f>IFERROR(L671-K671,"")</f>
        <v/>
      </c>
      <c r="N671" s="13">
        <f>CHAIN_RAW!H671</f>
        <v/>
      </c>
      <c r="O671" s="13">
        <f>CHAIN_RAW!O671</f>
        <v/>
      </c>
      <c r="P671" s="13">
        <f>IFERROR(O671/N671,"")</f>
        <v/>
      </c>
      <c r="Q671" s="13">
        <f>CHAIN_RAW!I671</f>
        <v/>
      </c>
      <c r="R671" s="13">
        <f>CHAIN_RAW!P671</f>
        <v/>
      </c>
      <c r="S671" s="13">
        <f>IFERROR(R671/Q671,"")</f>
        <v/>
      </c>
      <c r="T671" s="13">
        <f>IFERROR((ABS(N671-O671)/MAX(1,(N671+O671)))*EXP(-ABS(E671-CONTROL!E5)/MAX(1,CONTROL!B8)),"")</f>
        <v/>
      </c>
      <c r="U671" s="13">
        <f>IFERROR(IF(O671&gt;N671,"SUPPORT (PE OI)","RESIST (CE OI)"),"")</f>
        <v/>
      </c>
      <c r="V671" s="13">
        <f>IFERROR(IF(Q671&gt;0,IF(R671&gt;0,"BOTH_ADD","CE_ADD_PE_REDUCE"),IF(R671&gt;0,"CE_REDUCE_PE_ADD","BOTH_REDUCE")),"")</f>
        <v/>
      </c>
      <c r="W671" s="13">
        <f>IFERROR( (P671-1)*0.5 + (M671)*0.1 - (I671+J671)*0.05 + T671*0.4 ,"")</f>
        <v/>
      </c>
      <c r="X671" s="13">
        <f>IFERROR(IF(ABS(F671)&lt;0.01,"ATM/NEAR",""),"")</f>
        <v/>
      </c>
    </row>
    <row r="672">
      <c r="A672" s="13">
        <f>CHAIN_RAW!A672</f>
        <v/>
      </c>
      <c r="B672" s="14">
        <f>CHAIN_RAW!B672</f>
        <v/>
      </c>
      <c r="C672" s="13">
        <f>CHAIN_RAW!C672</f>
        <v/>
      </c>
      <c r="D672" s="13">
        <f>CHAIN_RAW!D672</f>
        <v/>
      </c>
      <c r="E672" s="13">
        <f>CHAIN_RAW!E672</f>
        <v/>
      </c>
      <c r="F672" s="13">
        <f>IFERROR((E672-D672)/D672,"")</f>
        <v/>
      </c>
      <c r="G672" s="13">
        <f>IFERROR((CHAIN_RAW!K672+CHAIN_RAW!L672)/2,"")</f>
        <v/>
      </c>
      <c r="H672" s="13">
        <f>IFERROR((CHAIN_RAW!R672+CHAIN_RAW!S672)/2,"")</f>
        <v/>
      </c>
      <c r="I672" s="13">
        <f>IFERROR((CHAIN_RAW!L672-CHAIN_RAW!K672)/MAX(1E-9, G672),"")</f>
        <v/>
      </c>
      <c r="J672" s="13">
        <f>IFERROR((CHAIN_RAW!S672-CHAIN_RAW!R672)/MAX(1E-9, H672),"")</f>
        <v/>
      </c>
      <c r="K672" s="13">
        <f>CHAIN_RAW!G672</f>
        <v/>
      </c>
      <c r="L672" s="13">
        <f>CHAIN_RAW!N672</f>
        <v/>
      </c>
      <c r="M672" s="13">
        <f>IFERROR(L672-K672,"")</f>
        <v/>
      </c>
      <c r="N672" s="13">
        <f>CHAIN_RAW!H672</f>
        <v/>
      </c>
      <c r="O672" s="13">
        <f>CHAIN_RAW!O672</f>
        <v/>
      </c>
      <c r="P672" s="13">
        <f>IFERROR(O672/N672,"")</f>
        <v/>
      </c>
      <c r="Q672" s="13">
        <f>CHAIN_RAW!I672</f>
        <v/>
      </c>
      <c r="R672" s="13">
        <f>CHAIN_RAW!P672</f>
        <v/>
      </c>
      <c r="S672" s="13">
        <f>IFERROR(R672/Q672,"")</f>
        <v/>
      </c>
      <c r="T672" s="13">
        <f>IFERROR((ABS(N672-O672)/MAX(1,(N672+O672)))*EXP(-ABS(E672-CONTROL!E5)/MAX(1,CONTROL!B8)),"")</f>
        <v/>
      </c>
      <c r="U672" s="13">
        <f>IFERROR(IF(O672&gt;N672,"SUPPORT (PE OI)","RESIST (CE OI)"),"")</f>
        <v/>
      </c>
      <c r="V672" s="13">
        <f>IFERROR(IF(Q672&gt;0,IF(R672&gt;0,"BOTH_ADD","CE_ADD_PE_REDUCE"),IF(R672&gt;0,"CE_REDUCE_PE_ADD","BOTH_REDUCE")),"")</f>
        <v/>
      </c>
      <c r="W672" s="13">
        <f>IFERROR( (P672-1)*0.5 + (M672)*0.1 - (I672+J672)*0.05 + T672*0.4 ,"")</f>
        <v/>
      </c>
      <c r="X672" s="13">
        <f>IFERROR(IF(ABS(F672)&lt;0.01,"ATM/NEAR",""),"")</f>
        <v/>
      </c>
    </row>
    <row r="673">
      <c r="A673" s="13">
        <f>CHAIN_RAW!A673</f>
        <v/>
      </c>
      <c r="B673" s="14">
        <f>CHAIN_RAW!B673</f>
        <v/>
      </c>
      <c r="C673" s="13">
        <f>CHAIN_RAW!C673</f>
        <v/>
      </c>
      <c r="D673" s="13">
        <f>CHAIN_RAW!D673</f>
        <v/>
      </c>
      <c r="E673" s="13">
        <f>CHAIN_RAW!E673</f>
        <v/>
      </c>
      <c r="F673" s="13">
        <f>IFERROR((E673-D673)/D673,"")</f>
        <v/>
      </c>
      <c r="G673" s="13">
        <f>IFERROR((CHAIN_RAW!K673+CHAIN_RAW!L673)/2,"")</f>
        <v/>
      </c>
      <c r="H673" s="13">
        <f>IFERROR((CHAIN_RAW!R673+CHAIN_RAW!S673)/2,"")</f>
        <v/>
      </c>
      <c r="I673" s="13">
        <f>IFERROR((CHAIN_RAW!L673-CHAIN_RAW!K673)/MAX(1E-9, G673),"")</f>
        <v/>
      </c>
      <c r="J673" s="13">
        <f>IFERROR((CHAIN_RAW!S673-CHAIN_RAW!R673)/MAX(1E-9, H673),"")</f>
        <v/>
      </c>
      <c r="K673" s="13">
        <f>CHAIN_RAW!G673</f>
        <v/>
      </c>
      <c r="L673" s="13">
        <f>CHAIN_RAW!N673</f>
        <v/>
      </c>
      <c r="M673" s="13">
        <f>IFERROR(L673-K673,"")</f>
        <v/>
      </c>
      <c r="N673" s="13">
        <f>CHAIN_RAW!H673</f>
        <v/>
      </c>
      <c r="O673" s="13">
        <f>CHAIN_RAW!O673</f>
        <v/>
      </c>
      <c r="P673" s="13">
        <f>IFERROR(O673/N673,"")</f>
        <v/>
      </c>
      <c r="Q673" s="13">
        <f>CHAIN_RAW!I673</f>
        <v/>
      </c>
      <c r="R673" s="13">
        <f>CHAIN_RAW!P673</f>
        <v/>
      </c>
      <c r="S673" s="13">
        <f>IFERROR(R673/Q673,"")</f>
        <v/>
      </c>
      <c r="T673" s="13">
        <f>IFERROR((ABS(N673-O673)/MAX(1,(N673+O673)))*EXP(-ABS(E673-CONTROL!E5)/MAX(1,CONTROL!B8)),"")</f>
        <v/>
      </c>
      <c r="U673" s="13">
        <f>IFERROR(IF(O673&gt;N673,"SUPPORT (PE OI)","RESIST (CE OI)"),"")</f>
        <v/>
      </c>
      <c r="V673" s="13">
        <f>IFERROR(IF(Q673&gt;0,IF(R673&gt;0,"BOTH_ADD","CE_ADD_PE_REDUCE"),IF(R673&gt;0,"CE_REDUCE_PE_ADD","BOTH_REDUCE")),"")</f>
        <v/>
      </c>
      <c r="W673" s="13">
        <f>IFERROR( (P673-1)*0.5 + (M673)*0.1 - (I673+J673)*0.05 + T673*0.4 ,"")</f>
        <v/>
      </c>
      <c r="X673" s="13">
        <f>IFERROR(IF(ABS(F673)&lt;0.01,"ATM/NEAR",""),"")</f>
        <v/>
      </c>
    </row>
    <row r="674">
      <c r="A674" s="13">
        <f>CHAIN_RAW!A674</f>
        <v/>
      </c>
      <c r="B674" s="14">
        <f>CHAIN_RAW!B674</f>
        <v/>
      </c>
      <c r="C674" s="13">
        <f>CHAIN_RAW!C674</f>
        <v/>
      </c>
      <c r="D674" s="13">
        <f>CHAIN_RAW!D674</f>
        <v/>
      </c>
      <c r="E674" s="13">
        <f>CHAIN_RAW!E674</f>
        <v/>
      </c>
      <c r="F674" s="13">
        <f>IFERROR((E674-D674)/D674,"")</f>
        <v/>
      </c>
      <c r="G674" s="13">
        <f>IFERROR((CHAIN_RAW!K674+CHAIN_RAW!L674)/2,"")</f>
        <v/>
      </c>
      <c r="H674" s="13">
        <f>IFERROR((CHAIN_RAW!R674+CHAIN_RAW!S674)/2,"")</f>
        <v/>
      </c>
      <c r="I674" s="13">
        <f>IFERROR((CHAIN_RAW!L674-CHAIN_RAW!K674)/MAX(1E-9, G674),"")</f>
        <v/>
      </c>
      <c r="J674" s="13">
        <f>IFERROR((CHAIN_RAW!S674-CHAIN_RAW!R674)/MAX(1E-9, H674),"")</f>
        <v/>
      </c>
      <c r="K674" s="13">
        <f>CHAIN_RAW!G674</f>
        <v/>
      </c>
      <c r="L674" s="13">
        <f>CHAIN_RAW!N674</f>
        <v/>
      </c>
      <c r="M674" s="13">
        <f>IFERROR(L674-K674,"")</f>
        <v/>
      </c>
      <c r="N674" s="13">
        <f>CHAIN_RAW!H674</f>
        <v/>
      </c>
      <c r="O674" s="13">
        <f>CHAIN_RAW!O674</f>
        <v/>
      </c>
      <c r="P674" s="13">
        <f>IFERROR(O674/N674,"")</f>
        <v/>
      </c>
      <c r="Q674" s="13">
        <f>CHAIN_RAW!I674</f>
        <v/>
      </c>
      <c r="R674" s="13">
        <f>CHAIN_RAW!P674</f>
        <v/>
      </c>
      <c r="S674" s="13">
        <f>IFERROR(R674/Q674,"")</f>
        <v/>
      </c>
      <c r="T674" s="13">
        <f>IFERROR((ABS(N674-O674)/MAX(1,(N674+O674)))*EXP(-ABS(E674-CONTROL!E5)/MAX(1,CONTROL!B8)),"")</f>
        <v/>
      </c>
      <c r="U674" s="13">
        <f>IFERROR(IF(O674&gt;N674,"SUPPORT (PE OI)","RESIST (CE OI)"),"")</f>
        <v/>
      </c>
      <c r="V674" s="13">
        <f>IFERROR(IF(Q674&gt;0,IF(R674&gt;0,"BOTH_ADD","CE_ADD_PE_REDUCE"),IF(R674&gt;0,"CE_REDUCE_PE_ADD","BOTH_REDUCE")),"")</f>
        <v/>
      </c>
      <c r="W674" s="13">
        <f>IFERROR( (P674-1)*0.5 + (M674)*0.1 - (I674+J674)*0.05 + T674*0.4 ,"")</f>
        <v/>
      </c>
      <c r="X674" s="13">
        <f>IFERROR(IF(ABS(F674)&lt;0.01,"ATM/NEAR",""),"")</f>
        <v/>
      </c>
    </row>
    <row r="675">
      <c r="A675" s="13">
        <f>CHAIN_RAW!A675</f>
        <v/>
      </c>
      <c r="B675" s="14">
        <f>CHAIN_RAW!B675</f>
        <v/>
      </c>
      <c r="C675" s="13">
        <f>CHAIN_RAW!C675</f>
        <v/>
      </c>
      <c r="D675" s="13">
        <f>CHAIN_RAW!D675</f>
        <v/>
      </c>
      <c r="E675" s="13">
        <f>CHAIN_RAW!E675</f>
        <v/>
      </c>
      <c r="F675" s="13">
        <f>IFERROR((E675-D675)/D675,"")</f>
        <v/>
      </c>
      <c r="G675" s="13">
        <f>IFERROR((CHAIN_RAW!K675+CHAIN_RAW!L675)/2,"")</f>
        <v/>
      </c>
      <c r="H675" s="13">
        <f>IFERROR((CHAIN_RAW!R675+CHAIN_RAW!S675)/2,"")</f>
        <v/>
      </c>
      <c r="I675" s="13">
        <f>IFERROR((CHAIN_RAW!L675-CHAIN_RAW!K675)/MAX(1E-9, G675),"")</f>
        <v/>
      </c>
      <c r="J675" s="13">
        <f>IFERROR((CHAIN_RAW!S675-CHAIN_RAW!R675)/MAX(1E-9, H675),"")</f>
        <v/>
      </c>
      <c r="K675" s="13">
        <f>CHAIN_RAW!G675</f>
        <v/>
      </c>
      <c r="L675" s="13">
        <f>CHAIN_RAW!N675</f>
        <v/>
      </c>
      <c r="M675" s="13">
        <f>IFERROR(L675-K675,"")</f>
        <v/>
      </c>
      <c r="N675" s="13">
        <f>CHAIN_RAW!H675</f>
        <v/>
      </c>
      <c r="O675" s="13">
        <f>CHAIN_RAW!O675</f>
        <v/>
      </c>
      <c r="P675" s="13">
        <f>IFERROR(O675/N675,"")</f>
        <v/>
      </c>
      <c r="Q675" s="13">
        <f>CHAIN_RAW!I675</f>
        <v/>
      </c>
      <c r="R675" s="13">
        <f>CHAIN_RAW!P675</f>
        <v/>
      </c>
      <c r="S675" s="13">
        <f>IFERROR(R675/Q675,"")</f>
        <v/>
      </c>
      <c r="T675" s="13">
        <f>IFERROR((ABS(N675-O675)/MAX(1,(N675+O675)))*EXP(-ABS(E675-CONTROL!E5)/MAX(1,CONTROL!B8)),"")</f>
        <v/>
      </c>
      <c r="U675" s="13">
        <f>IFERROR(IF(O675&gt;N675,"SUPPORT (PE OI)","RESIST (CE OI)"),"")</f>
        <v/>
      </c>
      <c r="V675" s="13">
        <f>IFERROR(IF(Q675&gt;0,IF(R675&gt;0,"BOTH_ADD","CE_ADD_PE_REDUCE"),IF(R675&gt;0,"CE_REDUCE_PE_ADD","BOTH_REDUCE")),"")</f>
        <v/>
      </c>
      <c r="W675" s="13">
        <f>IFERROR( (P675-1)*0.5 + (M675)*0.1 - (I675+J675)*0.05 + T675*0.4 ,"")</f>
        <v/>
      </c>
      <c r="X675" s="13">
        <f>IFERROR(IF(ABS(F675)&lt;0.01,"ATM/NEAR",""),"")</f>
        <v/>
      </c>
    </row>
    <row r="676">
      <c r="A676" s="13">
        <f>CHAIN_RAW!A676</f>
        <v/>
      </c>
      <c r="B676" s="14">
        <f>CHAIN_RAW!B676</f>
        <v/>
      </c>
      <c r="C676" s="13">
        <f>CHAIN_RAW!C676</f>
        <v/>
      </c>
      <c r="D676" s="13">
        <f>CHAIN_RAW!D676</f>
        <v/>
      </c>
      <c r="E676" s="13">
        <f>CHAIN_RAW!E676</f>
        <v/>
      </c>
      <c r="F676" s="13">
        <f>IFERROR((E676-D676)/D676,"")</f>
        <v/>
      </c>
      <c r="G676" s="13">
        <f>IFERROR((CHAIN_RAW!K676+CHAIN_RAW!L676)/2,"")</f>
        <v/>
      </c>
      <c r="H676" s="13">
        <f>IFERROR((CHAIN_RAW!R676+CHAIN_RAW!S676)/2,"")</f>
        <v/>
      </c>
      <c r="I676" s="13">
        <f>IFERROR((CHAIN_RAW!L676-CHAIN_RAW!K676)/MAX(1E-9, G676),"")</f>
        <v/>
      </c>
      <c r="J676" s="13">
        <f>IFERROR((CHAIN_RAW!S676-CHAIN_RAW!R676)/MAX(1E-9, H676),"")</f>
        <v/>
      </c>
      <c r="K676" s="13">
        <f>CHAIN_RAW!G676</f>
        <v/>
      </c>
      <c r="L676" s="13">
        <f>CHAIN_RAW!N676</f>
        <v/>
      </c>
      <c r="M676" s="13">
        <f>IFERROR(L676-K676,"")</f>
        <v/>
      </c>
      <c r="N676" s="13">
        <f>CHAIN_RAW!H676</f>
        <v/>
      </c>
      <c r="O676" s="13">
        <f>CHAIN_RAW!O676</f>
        <v/>
      </c>
      <c r="P676" s="13">
        <f>IFERROR(O676/N676,"")</f>
        <v/>
      </c>
      <c r="Q676" s="13">
        <f>CHAIN_RAW!I676</f>
        <v/>
      </c>
      <c r="R676" s="13">
        <f>CHAIN_RAW!P676</f>
        <v/>
      </c>
      <c r="S676" s="13">
        <f>IFERROR(R676/Q676,"")</f>
        <v/>
      </c>
      <c r="T676" s="13">
        <f>IFERROR((ABS(N676-O676)/MAX(1,(N676+O676)))*EXP(-ABS(E676-CONTROL!E5)/MAX(1,CONTROL!B8)),"")</f>
        <v/>
      </c>
      <c r="U676" s="13">
        <f>IFERROR(IF(O676&gt;N676,"SUPPORT (PE OI)","RESIST (CE OI)"),"")</f>
        <v/>
      </c>
      <c r="V676" s="13">
        <f>IFERROR(IF(Q676&gt;0,IF(R676&gt;0,"BOTH_ADD","CE_ADD_PE_REDUCE"),IF(R676&gt;0,"CE_REDUCE_PE_ADD","BOTH_REDUCE")),"")</f>
        <v/>
      </c>
      <c r="W676" s="13">
        <f>IFERROR( (P676-1)*0.5 + (M676)*0.1 - (I676+J676)*0.05 + T676*0.4 ,"")</f>
        <v/>
      </c>
      <c r="X676" s="13">
        <f>IFERROR(IF(ABS(F676)&lt;0.01,"ATM/NEAR",""),"")</f>
        <v/>
      </c>
    </row>
    <row r="677">
      <c r="A677" s="13">
        <f>CHAIN_RAW!A677</f>
        <v/>
      </c>
      <c r="B677" s="14">
        <f>CHAIN_RAW!B677</f>
        <v/>
      </c>
      <c r="C677" s="13">
        <f>CHAIN_RAW!C677</f>
        <v/>
      </c>
      <c r="D677" s="13">
        <f>CHAIN_RAW!D677</f>
        <v/>
      </c>
      <c r="E677" s="13">
        <f>CHAIN_RAW!E677</f>
        <v/>
      </c>
      <c r="F677" s="13">
        <f>IFERROR((E677-D677)/D677,"")</f>
        <v/>
      </c>
      <c r="G677" s="13">
        <f>IFERROR((CHAIN_RAW!K677+CHAIN_RAW!L677)/2,"")</f>
        <v/>
      </c>
      <c r="H677" s="13">
        <f>IFERROR((CHAIN_RAW!R677+CHAIN_RAW!S677)/2,"")</f>
        <v/>
      </c>
      <c r="I677" s="13">
        <f>IFERROR((CHAIN_RAW!L677-CHAIN_RAW!K677)/MAX(1E-9, G677),"")</f>
        <v/>
      </c>
      <c r="J677" s="13">
        <f>IFERROR((CHAIN_RAW!S677-CHAIN_RAW!R677)/MAX(1E-9, H677),"")</f>
        <v/>
      </c>
      <c r="K677" s="13">
        <f>CHAIN_RAW!G677</f>
        <v/>
      </c>
      <c r="L677" s="13">
        <f>CHAIN_RAW!N677</f>
        <v/>
      </c>
      <c r="M677" s="13">
        <f>IFERROR(L677-K677,"")</f>
        <v/>
      </c>
      <c r="N677" s="13">
        <f>CHAIN_RAW!H677</f>
        <v/>
      </c>
      <c r="O677" s="13">
        <f>CHAIN_RAW!O677</f>
        <v/>
      </c>
      <c r="P677" s="13">
        <f>IFERROR(O677/N677,"")</f>
        <v/>
      </c>
      <c r="Q677" s="13">
        <f>CHAIN_RAW!I677</f>
        <v/>
      </c>
      <c r="R677" s="13">
        <f>CHAIN_RAW!P677</f>
        <v/>
      </c>
      <c r="S677" s="13">
        <f>IFERROR(R677/Q677,"")</f>
        <v/>
      </c>
      <c r="T677" s="13">
        <f>IFERROR((ABS(N677-O677)/MAX(1,(N677+O677)))*EXP(-ABS(E677-CONTROL!E5)/MAX(1,CONTROL!B8)),"")</f>
        <v/>
      </c>
      <c r="U677" s="13">
        <f>IFERROR(IF(O677&gt;N677,"SUPPORT (PE OI)","RESIST (CE OI)"),"")</f>
        <v/>
      </c>
      <c r="V677" s="13">
        <f>IFERROR(IF(Q677&gt;0,IF(R677&gt;0,"BOTH_ADD","CE_ADD_PE_REDUCE"),IF(R677&gt;0,"CE_REDUCE_PE_ADD","BOTH_REDUCE")),"")</f>
        <v/>
      </c>
      <c r="W677" s="13">
        <f>IFERROR( (P677-1)*0.5 + (M677)*0.1 - (I677+J677)*0.05 + T677*0.4 ,"")</f>
        <v/>
      </c>
      <c r="X677" s="13">
        <f>IFERROR(IF(ABS(F677)&lt;0.01,"ATM/NEAR",""),"")</f>
        <v/>
      </c>
    </row>
    <row r="678">
      <c r="A678" s="13">
        <f>CHAIN_RAW!A678</f>
        <v/>
      </c>
      <c r="B678" s="14">
        <f>CHAIN_RAW!B678</f>
        <v/>
      </c>
      <c r="C678" s="13">
        <f>CHAIN_RAW!C678</f>
        <v/>
      </c>
      <c r="D678" s="13">
        <f>CHAIN_RAW!D678</f>
        <v/>
      </c>
      <c r="E678" s="13">
        <f>CHAIN_RAW!E678</f>
        <v/>
      </c>
      <c r="F678" s="13">
        <f>IFERROR((E678-D678)/D678,"")</f>
        <v/>
      </c>
      <c r="G678" s="13">
        <f>IFERROR((CHAIN_RAW!K678+CHAIN_RAW!L678)/2,"")</f>
        <v/>
      </c>
      <c r="H678" s="13">
        <f>IFERROR((CHAIN_RAW!R678+CHAIN_RAW!S678)/2,"")</f>
        <v/>
      </c>
      <c r="I678" s="13">
        <f>IFERROR((CHAIN_RAW!L678-CHAIN_RAW!K678)/MAX(1E-9, G678),"")</f>
        <v/>
      </c>
      <c r="J678" s="13">
        <f>IFERROR((CHAIN_RAW!S678-CHAIN_RAW!R678)/MAX(1E-9, H678),"")</f>
        <v/>
      </c>
      <c r="K678" s="13">
        <f>CHAIN_RAW!G678</f>
        <v/>
      </c>
      <c r="L678" s="13">
        <f>CHAIN_RAW!N678</f>
        <v/>
      </c>
      <c r="M678" s="13">
        <f>IFERROR(L678-K678,"")</f>
        <v/>
      </c>
      <c r="N678" s="13">
        <f>CHAIN_RAW!H678</f>
        <v/>
      </c>
      <c r="O678" s="13">
        <f>CHAIN_RAW!O678</f>
        <v/>
      </c>
      <c r="P678" s="13">
        <f>IFERROR(O678/N678,"")</f>
        <v/>
      </c>
      <c r="Q678" s="13">
        <f>CHAIN_RAW!I678</f>
        <v/>
      </c>
      <c r="R678" s="13">
        <f>CHAIN_RAW!P678</f>
        <v/>
      </c>
      <c r="S678" s="13">
        <f>IFERROR(R678/Q678,"")</f>
        <v/>
      </c>
      <c r="T678" s="13">
        <f>IFERROR((ABS(N678-O678)/MAX(1,(N678+O678)))*EXP(-ABS(E678-CONTROL!E5)/MAX(1,CONTROL!B8)),"")</f>
        <v/>
      </c>
      <c r="U678" s="13">
        <f>IFERROR(IF(O678&gt;N678,"SUPPORT (PE OI)","RESIST (CE OI)"),"")</f>
        <v/>
      </c>
      <c r="V678" s="13">
        <f>IFERROR(IF(Q678&gt;0,IF(R678&gt;0,"BOTH_ADD","CE_ADD_PE_REDUCE"),IF(R678&gt;0,"CE_REDUCE_PE_ADD","BOTH_REDUCE")),"")</f>
        <v/>
      </c>
      <c r="W678" s="13">
        <f>IFERROR( (P678-1)*0.5 + (M678)*0.1 - (I678+J678)*0.05 + T678*0.4 ,"")</f>
        <v/>
      </c>
      <c r="X678" s="13">
        <f>IFERROR(IF(ABS(F678)&lt;0.01,"ATM/NEAR",""),"")</f>
        <v/>
      </c>
    </row>
    <row r="679">
      <c r="A679" s="13">
        <f>CHAIN_RAW!A679</f>
        <v/>
      </c>
      <c r="B679" s="14">
        <f>CHAIN_RAW!B679</f>
        <v/>
      </c>
      <c r="C679" s="13">
        <f>CHAIN_RAW!C679</f>
        <v/>
      </c>
      <c r="D679" s="13">
        <f>CHAIN_RAW!D679</f>
        <v/>
      </c>
      <c r="E679" s="13">
        <f>CHAIN_RAW!E679</f>
        <v/>
      </c>
      <c r="F679" s="13">
        <f>IFERROR((E679-D679)/D679,"")</f>
        <v/>
      </c>
      <c r="G679" s="13">
        <f>IFERROR((CHAIN_RAW!K679+CHAIN_RAW!L679)/2,"")</f>
        <v/>
      </c>
      <c r="H679" s="13">
        <f>IFERROR((CHAIN_RAW!R679+CHAIN_RAW!S679)/2,"")</f>
        <v/>
      </c>
      <c r="I679" s="13">
        <f>IFERROR((CHAIN_RAW!L679-CHAIN_RAW!K679)/MAX(1E-9, G679),"")</f>
        <v/>
      </c>
      <c r="J679" s="13">
        <f>IFERROR((CHAIN_RAW!S679-CHAIN_RAW!R679)/MAX(1E-9, H679),"")</f>
        <v/>
      </c>
      <c r="K679" s="13">
        <f>CHAIN_RAW!G679</f>
        <v/>
      </c>
      <c r="L679" s="13">
        <f>CHAIN_RAW!N679</f>
        <v/>
      </c>
      <c r="M679" s="13">
        <f>IFERROR(L679-K679,"")</f>
        <v/>
      </c>
      <c r="N679" s="13">
        <f>CHAIN_RAW!H679</f>
        <v/>
      </c>
      <c r="O679" s="13">
        <f>CHAIN_RAW!O679</f>
        <v/>
      </c>
      <c r="P679" s="13">
        <f>IFERROR(O679/N679,"")</f>
        <v/>
      </c>
      <c r="Q679" s="13">
        <f>CHAIN_RAW!I679</f>
        <v/>
      </c>
      <c r="R679" s="13">
        <f>CHAIN_RAW!P679</f>
        <v/>
      </c>
      <c r="S679" s="13">
        <f>IFERROR(R679/Q679,"")</f>
        <v/>
      </c>
      <c r="T679" s="13">
        <f>IFERROR((ABS(N679-O679)/MAX(1,(N679+O679)))*EXP(-ABS(E679-CONTROL!E5)/MAX(1,CONTROL!B8)),"")</f>
        <v/>
      </c>
      <c r="U679" s="13">
        <f>IFERROR(IF(O679&gt;N679,"SUPPORT (PE OI)","RESIST (CE OI)"),"")</f>
        <v/>
      </c>
      <c r="V679" s="13">
        <f>IFERROR(IF(Q679&gt;0,IF(R679&gt;0,"BOTH_ADD","CE_ADD_PE_REDUCE"),IF(R679&gt;0,"CE_REDUCE_PE_ADD","BOTH_REDUCE")),"")</f>
        <v/>
      </c>
      <c r="W679" s="13">
        <f>IFERROR( (P679-1)*0.5 + (M679)*0.1 - (I679+J679)*0.05 + T679*0.4 ,"")</f>
        <v/>
      </c>
      <c r="X679" s="13">
        <f>IFERROR(IF(ABS(F679)&lt;0.01,"ATM/NEAR",""),"")</f>
        <v/>
      </c>
    </row>
    <row r="680">
      <c r="A680" s="13">
        <f>CHAIN_RAW!A680</f>
        <v/>
      </c>
      <c r="B680" s="14">
        <f>CHAIN_RAW!B680</f>
        <v/>
      </c>
      <c r="C680" s="13">
        <f>CHAIN_RAW!C680</f>
        <v/>
      </c>
      <c r="D680" s="13">
        <f>CHAIN_RAW!D680</f>
        <v/>
      </c>
      <c r="E680" s="13">
        <f>CHAIN_RAW!E680</f>
        <v/>
      </c>
      <c r="F680" s="13">
        <f>IFERROR((E680-D680)/D680,"")</f>
        <v/>
      </c>
      <c r="G680" s="13">
        <f>IFERROR((CHAIN_RAW!K680+CHAIN_RAW!L680)/2,"")</f>
        <v/>
      </c>
      <c r="H680" s="13">
        <f>IFERROR((CHAIN_RAW!R680+CHAIN_RAW!S680)/2,"")</f>
        <v/>
      </c>
      <c r="I680" s="13">
        <f>IFERROR((CHAIN_RAW!L680-CHAIN_RAW!K680)/MAX(1E-9, G680),"")</f>
        <v/>
      </c>
      <c r="J680" s="13">
        <f>IFERROR((CHAIN_RAW!S680-CHAIN_RAW!R680)/MAX(1E-9, H680),"")</f>
        <v/>
      </c>
      <c r="K680" s="13">
        <f>CHAIN_RAW!G680</f>
        <v/>
      </c>
      <c r="L680" s="13">
        <f>CHAIN_RAW!N680</f>
        <v/>
      </c>
      <c r="M680" s="13">
        <f>IFERROR(L680-K680,"")</f>
        <v/>
      </c>
      <c r="N680" s="13">
        <f>CHAIN_RAW!H680</f>
        <v/>
      </c>
      <c r="O680" s="13">
        <f>CHAIN_RAW!O680</f>
        <v/>
      </c>
      <c r="P680" s="13">
        <f>IFERROR(O680/N680,"")</f>
        <v/>
      </c>
      <c r="Q680" s="13">
        <f>CHAIN_RAW!I680</f>
        <v/>
      </c>
      <c r="R680" s="13">
        <f>CHAIN_RAW!P680</f>
        <v/>
      </c>
      <c r="S680" s="13">
        <f>IFERROR(R680/Q680,"")</f>
        <v/>
      </c>
      <c r="T680" s="13">
        <f>IFERROR((ABS(N680-O680)/MAX(1,(N680+O680)))*EXP(-ABS(E680-CONTROL!E5)/MAX(1,CONTROL!B8)),"")</f>
        <v/>
      </c>
      <c r="U680" s="13">
        <f>IFERROR(IF(O680&gt;N680,"SUPPORT (PE OI)","RESIST (CE OI)"),"")</f>
        <v/>
      </c>
      <c r="V680" s="13">
        <f>IFERROR(IF(Q680&gt;0,IF(R680&gt;0,"BOTH_ADD","CE_ADD_PE_REDUCE"),IF(R680&gt;0,"CE_REDUCE_PE_ADD","BOTH_REDUCE")),"")</f>
        <v/>
      </c>
      <c r="W680" s="13">
        <f>IFERROR( (P680-1)*0.5 + (M680)*0.1 - (I680+J680)*0.05 + T680*0.4 ,"")</f>
        <v/>
      </c>
      <c r="X680" s="13">
        <f>IFERROR(IF(ABS(F680)&lt;0.01,"ATM/NEAR",""),"")</f>
        <v/>
      </c>
    </row>
    <row r="681">
      <c r="A681" s="13">
        <f>CHAIN_RAW!A681</f>
        <v/>
      </c>
      <c r="B681" s="14">
        <f>CHAIN_RAW!B681</f>
        <v/>
      </c>
      <c r="C681" s="13">
        <f>CHAIN_RAW!C681</f>
        <v/>
      </c>
      <c r="D681" s="13">
        <f>CHAIN_RAW!D681</f>
        <v/>
      </c>
      <c r="E681" s="13">
        <f>CHAIN_RAW!E681</f>
        <v/>
      </c>
      <c r="F681" s="13">
        <f>IFERROR((E681-D681)/D681,"")</f>
        <v/>
      </c>
      <c r="G681" s="13">
        <f>IFERROR((CHAIN_RAW!K681+CHAIN_RAW!L681)/2,"")</f>
        <v/>
      </c>
      <c r="H681" s="13">
        <f>IFERROR((CHAIN_RAW!R681+CHAIN_RAW!S681)/2,"")</f>
        <v/>
      </c>
      <c r="I681" s="13">
        <f>IFERROR((CHAIN_RAW!L681-CHAIN_RAW!K681)/MAX(1E-9, G681),"")</f>
        <v/>
      </c>
      <c r="J681" s="13">
        <f>IFERROR((CHAIN_RAW!S681-CHAIN_RAW!R681)/MAX(1E-9, H681),"")</f>
        <v/>
      </c>
      <c r="K681" s="13">
        <f>CHAIN_RAW!G681</f>
        <v/>
      </c>
      <c r="L681" s="13">
        <f>CHAIN_RAW!N681</f>
        <v/>
      </c>
      <c r="M681" s="13">
        <f>IFERROR(L681-K681,"")</f>
        <v/>
      </c>
      <c r="N681" s="13">
        <f>CHAIN_RAW!H681</f>
        <v/>
      </c>
      <c r="O681" s="13">
        <f>CHAIN_RAW!O681</f>
        <v/>
      </c>
      <c r="P681" s="13">
        <f>IFERROR(O681/N681,"")</f>
        <v/>
      </c>
      <c r="Q681" s="13">
        <f>CHAIN_RAW!I681</f>
        <v/>
      </c>
      <c r="R681" s="13">
        <f>CHAIN_RAW!P681</f>
        <v/>
      </c>
      <c r="S681" s="13">
        <f>IFERROR(R681/Q681,"")</f>
        <v/>
      </c>
      <c r="T681" s="13">
        <f>IFERROR((ABS(N681-O681)/MAX(1,(N681+O681)))*EXP(-ABS(E681-CONTROL!E5)/MAX(1,CONTROL!B8)),"")</f>
        <v/>
      </c>
      <c r="U681" s="13">
        <f>IFERROR(IF(O681&gt;N681,"SUPPORT (PE OI)","RESIST (CE OI)"),"")</f>
        <v/>
      </c>
      <c r="V681" s="13">
        <f>IFERROR(IF(Q681&gt;0,IF(R681&gt;0,"BOTH_ADD","CE_ADD_PE_REDUCE"),IF(R681&gt;0,"CE_REDUCE_PE_ADD","BOTH_REDUCE")),"")</f>
        <v/>
      </c>
      <c r="W681" s="13">
        <f>IFERROR( (P681-1)*0.5 + (M681)*0.1 - (I681+J681)*0.05 + T681*0.4 ,"")</f>
        <v/>
      </c>
      <c r="X681" s="13">
        <f>IFERROR(IF(ABS(F681)&lt;0.01,"ATM/NEAR",""),"")</f>
        <v/>
      </c>
    </row>
    <row r="682">
      <c r="A682" s="13">
        <f>CHAIN_RAW!A682</f>
        <v/>
      </c>
      <c r="B682" s="14">
        <f>CHAIN_RAW!B682</f>
        <v/>
      </c>
      <c r="C682" s="13">
        <f>CHAIN_RAW!C682</f>
        <v/>
      </c>
      <c r="D682" s="13">
        <f>CHAIN_RAW!D682</f>
        <v/>
      </c>
      <c r="E682" s="13">
        <f>CHAIN_RAW!E682</f>
        <v/>
      </c>
      <c r="F682" s="13">
        <f>IFERROR((E682-D682)/D682,"")</f>
        <v/>
      </c>
      <c r="G682" s="13">
        <f>IFERROR((CHAIN_RAW!K682+CHAIN_RAW!L682)/2,"")</f>
        <v/>
      </c>
      <c r="H682" s="13">
        <f>IFERROR((CHAIN_RAW!R682+CHAIN_RAW!S682)/2,"")</f>
        <v/>
      </c>
      <c r="I682" s="13">
        <f>IFERROR((CHAIN_RAW!L682-CHAIN_RAW!K682)/MAX(1E-9, G682),"")</f>
        <v/>
      </c>
      <c r="J682" s="13">
        <f>IFERROR((CHAIN_RAW!S682-CHAIN_RAW!R682)/MAX(1E-9, H682),"")</f>
        <v/>
      </c>
      <c r="K682" s="13">
        <f>CHAIN_RAW!G682</f>
        <v/>
      </c>
      <c r="L682" s="13">
        <f>CHAIN_RAW!N682</f>
        <v/>
      </c>
      <c r="M682" s="13">
        <f>IFERROR(L682-K682,"")</f>
        <v/>
      </c>
      <c r="N682" s="13">
        <f>CHAIN_RAW!H682</f>
        <v/>
      </c>
      <c r="O682" s="13">
        <f>CHAIN_RAW!O682</f>
        <v/>
      </c>
      <c r="P682" s="13">
        <f>IFERROR(O682/N682,"")</f>
        <v/>
      </c>
      <c r="Q682" s="13">
        <f>CHAIN_RAW!I682</f>
        <v/>
      </c>
      <c r="R682" s="13">
        <f>CHAIN_RAW!P682</f>
        <v/>
      </c>
      <c r="S682" s="13">
        <f>IFERROR(R682/Q682,"")</f>
        <v/>
      </c>
      <c r="T682" s="13">
        <f>IFERROR((ABS(N682-O682)/MAX(1,(N682+O682)))*EXP(-ABS(E682-CONTROL!E5)/MAX(1,CONTROL!B8)),"")</f>
        <v/>
      </c>
      <c r="U682" s="13">
        <f>IFERROR(IF(O682&gt;N682,"SUPPORT (PE OI)","RESIST (CE OI)"),"")</f>
        <v/>
      </c>
      <c r="V682" s="13">
        <f>IFERROR(IF(Q682&gt;0,IF(R682&gt;0,"BOTH_ADD","CE_ADD_PE_REDUCE"),IF(R682&gt;0,"CE_REDUCE_PE_ADD","BOTH_REDUCE")),"")</f>
        <v/>
      </c>
      <c r="W682" s="13">
        <f>IFERROR( (P682-1)*0.5 + (M682)*0.1 - (I682+J682)*0.05 + T682*0.4 ,"")</f>
        <v/>
      </c>
      <c r="X682" s="13">
        <f>IFERROR(IF(ABS(F682)&lt;0.01,"ATM/NEAR",""),"")</f>
        <v/>
      </c>
    </row>
    <row r="683">
      <c r="A683" s="13">
        <f>CHAIN_RAW!A683</f>
        <v/>
      </c>
      <c r="B683" s="14">
        <f>CHAIN_RAW!B683</f>
        <v/>
      </c>
      <c r="C683" s="13">
        <f>CHAIN_RAW!C683</f>
        <v/>
      </c>
      <c r="D683" s="13">
        <f>CHAIN_RAW!D683</f>
        <v/>
      </c>
      <c r="E683" s="13">
        <f>CHAIN_RAW!E683</f>
        <v/>
      </c>
      <c r="F683" s="13">
        <f>IFERROR((E683-D683)/D683,"")</f>
        <v/>
      </c>
      <c r="G683" s="13">
        <f>IFERROR((CHAIN_RAW!K683+CHAIN_RAW!L683)/2,"")</f>
        <v/>
      </c>
      <c r="H683" s="13">
        <f>IFERROR((CHAIN_RAW!R683+CHAIN_RAW!S683)/2,"")</f>
        <v/>
      </c>
      <c r="I683" s="13">
        <f>IFERROR((CHAIN_RAW!L683-CHAIN_RAW!K683)/MAX(1E-9, G683),"")</f>
        <v/>
      </c>
      <c r="J683" s="13">
        <f>IFERROR((CHAIN_RAW!S683-CHAIN_RAW!R683)/MAX(1E-9, H683),"")</f>
        <v/>
      </c>
      <c r="K683" s="13">
        <f>CHAIN_RAW!G683</f>
        <v/>
      </c>
      <c r="L683" s="13">
        <f>CHAIN_RAW!N683</f>
        <v/>
      </c>
      <c r="M683" s="13">
        <f>IFERROR(L683-K683,"")</f>
        <v/>
      </c>
      <c r="N683" s="13">
        <f>CHAIN_RAW!H683</f>
        <v/>
      </c>
      <c r="O683" s="13">
        <f>CHAIN_RAW!O683</f>
        <v/>
      </c>
      <c r="P683" s="13">
        <f>IFERROR(O683/N683,"")</f>
        <v/>
      </c>
      <c r="Q683" s="13">
        <f>CHAIN_RAW!I683</f>
        <v/>
      </c>
      <c r="R683" s="13">
        <f>CHAIN_RAW!P683</f>
        <v/>
      </c>
      <c r="S683" s="13">
        <f>IFERROR(R683/Q683,"")</f>
        <v/>
      </c>
      <c r="T683" s="13">
        <f>IFERROR((ABS(N683-O683)/MAX(1,(N683+O683)))*EXP(-ABS(E683-CONTROL!E5)/MAX(1,CONTROL!B8)),"")</f>
        <v/>
      </c>
      <c r="U683" s="13">
        <f>IFERROR(IF(O683&gt;N683,"SUPPORT (PE OI)","RESIST (CE OI)"),"")</f>
        <v/>
      </c>
      <c r="V683" s="13">
        <f>IFERROR(IF(Q683&gt;0,IF(R683&gt;0,"BOTH_ADD","CE_ADD_PE_REDUCE"),IF(R683&gt;0,"CE_REDUCE_PE_ADD","BOTH_REDUCE")),"")</f>
        <v/>
      </c>
      <c r="W683" s="13">
        <f>IFERROR( (P683-1)*0.5 + (M683)*0.1 - (I683+J683)*0.05 + T683*0.4 ,"")</f>
        <v/>
      </c>
      <c r="X683" s="13">
        <f>IFERROR(IF(ABS(F683)&lt;0.01,"ATM/NEAR",""),"")</f>
        <v/>
      </c>
    </row>
    <row r="684">
      <c r="A684" s="13">
        <f>CHAIN_RAW!A684</f>
        <v/>
      </c>
      <c r="B684" s="14">
        <f>CHAIN_RAW!B684</f>
        <v/>
      </c>
      <c r="C684" s="13">
        <f>CHAIN_RAW!C684</f>
        <v/>
      </c>
      <c r="D684" s="13">
        <f>CHAIN_RAW!D684</f>
        <v/>
      </c>
      <c r="E684" s="13">
        <f>CHAIN_RAW!E684</f>
        <v/>
      </c>
      <c r="F684" s="13">
        <f>IFERROR((E684-D684)/D684,"")</f>
        <v/>
      </c>
      <c r="G684" s="13">
        <f>IFERROR((CHAIN_RAW!K684+CHAIN_RAW!L684)/2,"")</f>
        <v/>
      </c>
      <c r="H684" s="13">
        <f>IFERROR((CHAIN_RAW!R684+CHAIN_RAW!S684)/2,"")</f>
        <v/>
      </c>
      <c r="I684" s="13">
        <f>IFERROR((CHAIN_RAW!L684-CHAIN_RAW!K684)/MAX(1E-9, G684),"")</f>
        <v/>
      </c>
      <c r="J684" s="13">
        <f>IFERROR((CHAIN_RAW!S684-CHAIN_RAW!R684)/MAX(1E-9, H684),"")</f>
        <v/>
      </c>
      <c r="K684" s="13">
        <f>CHAIN_RAW!G684</f>
        <v/>
      </c>
      <c r="L684" s="13">
        <f>CHAIN_RAW!N684</f>
        <v/>
      </c>
      <c r="M684" s="13">
        <f>IFERROR(L684-K684,"")</f>
        <v/>
      </c>
      <c r="N684" s="13">
        <f>CHAIN_RAW!H684</f>
        <v/>
      </c>
      <c r="O684" s="13">
        <f>CHAIN_RAW!O684</f>
        <v/>
      </c>
      <c r="P684" s="13">
        <f>IFERROR(O684/N684,"")</f>
        <v/>
      </c>
      <c r="Q684" s="13">
        <f>CHAIN_RAW!I684</f>
        <v/>
      </c>
      <c r="R684" s="13">
        <f>CHAIN_RAW!P684</f>
        <v/>
      </c>
      <c r="S684" s="13">
        <f>IFERROR(R684/Q684,"")</f>
        <v/>
      </c>
      <c r="T684" s="13">
        <f>IFERROR((ABS(N684-O684)/MAX(1,(N684+O684)))*EXP(-ABS(E684-CONTROL!E5)/MAX(1,CONTROL!B8)),"")</f>
        <v/>
      </c>
      <c r="U684" s="13">
        <f>IFERROR(IF(O684&gt;N684,"SUPPORT (PE OI)","RESIST (CE OI)"),"")</f>
        <v/>
      </c>
      <c r="V684" s="13">
        <f>IFERROR(IF(Q684&gt;0,IF(R684&gt;0,"BOTH_ADD","CE_ADD_PE_REDUCE"),IF(R684&gt;0,"CE_REDUCE_PE_ADD","BOTH_REDUCE")),"")</f>
        <v/>
      </c>
      <c r="W684" s="13">
        <f>IFERROR( (P684-1)*0.5 + (M684)*0.1 - (I684+J684)*0.05 + T684*0.4 ,"")</f>
        <v/>
      </c>
      <c r="X684" s="13">
        <f>IFERROR(IF(ABS(F684)&lt;0.01,"ATM/NEAR",""),"")</f>
        <v/>
      </c>
    </row>
    <row r="685">
      <c r="A685" s="13">
        <f>CHAIN_RAW!A685</f>
        <v/>
      </c>
      <c r="B685" s="14">
        <f>CHAIN_RAW!B685</f>
        <v/>
      </c>
      <c r="C685" s="13">
        <f>CHAIN_RAW!C685</f>
        <v/>
      </c>
      <c r="D685" s="13">
        <f>CHAIN_RAW!D685</f>
        <v/>
      </c>
      <c r="E685" s="13">
        <f>CHAIN_RAW!E685</f>
        <v/>
      </c>
      <c r="F685" s="13">
        <f>IFERROR((E685-D685)/D685,"")</f>
        <v/>
      </c>
      <c r="G685" s="13">
        <f>IFERROR((CHAIN_RAW!K685+CHAIN_RAW!L685)/2,"")</f>
        <v/>
      </c>
      <c r="H685" s="13">
        <f>IFERROR((CHAIN_RAW!R685+CHAIN_RAW!S685)/2,"")</f>
        <v/>
      </c>
      <c r="I685" s="13">
        <f>IFERROR((CHAIN_RAW!L685-CHAIN_RAW!K685)/MAX(1E-9, G685),"")</f>
        <v/>
      </c>
      <c r="J685" s="13">
        <f>IFERROR((CHAIN_RAW!S685-CHAIN_RAW!R685)/MAX(1E-9, H685),"")</f>
        <v/>
      </c>
      <c r="K685" s="13">
        <f>CHAIN_RAW!G685</f>
        <v/>
      </c>
      <c r="L685" s="13">
        <f>CHAIN_RAW!N685</f>
        <v/>
      </c>
      <c r="M685" s="13">
        <f>IFERROR(L685-K685,"")</f>
        <v/>
      </c>
      <c r="N685" s="13">
        <f>CHAIN_RAW!H685</f>
        <v/>
      </c>
      <c r="O685" s="13">
        <f>CHAIN_RAW!O685</f>
        <v/>
      </c>
      <c r="P685" s="13">
        <f>IFERROR(O685/N685,"")</f>
        <v/>
      </c>
      <c r="Q685" s="13">
        <f>CHAIN_RAW!I685</f>
        <v/>
      </c>
      <c r="R685" s="13">
        <f>CHAIN_RAW!P685</f>
        <v/>
      </c>
      <c r="S685" s="13">
        <f>IFERROR(R685/Q685,"")</f>
        <v/>
      </c>
      <c r="T685" s="13">
        <f>IFERROR((ABS(N685-O685)/MAX(1,(N685+O685)))*EXP(-ABS(E685-CONTROL!E5)/MAX(1,CONTROL!B8)),"")</f>
        <v/>
      </c>
      <c r="U685" s="13">
        <f>IFERROR(IF(O685&gt;N685,"SUPPORT (PE OI)","RESIST (CE OI)"),"")</f>
        <v/>
      </c>
      <c r="V685" s="13">
        <f>IFERROR(IF(Q685&gt;0,IF(R685&gt;0,"BOTH_ADD","CE_ADD_PE_REDUCE"),IF(R685&gt;0,"CE_REDUCE_PE_ADD","BOTH_REDUCE")),"")</f>
        <v/>
      </c>
      <c r="W685" s="13">
        <f>IFERROR( (P685-1)*0.5 + (M685)*0.1 - (I685+J685)*0.05 + T685*0.4 ,"")</f>
        <v/>
      </c>
      <c r="X685" s="13">
        <f>IFERROR(IF(ABS(F685)&lt;0.01,"ATM/NEAR",""),"")</f>
        <v/>
      </c>
    </row>
    <row r="686">
      <c r="A686" s="13">
        <f>CHAIN_RAW!A686</f>
        <v/>
      </c>
      <c r="B686" s="14">
        <f>CHAIN_RAW!B686</f>
        <v/>
      </c>
      <c r="C686" s="13">
        <f>CHAIN_RAW!C686</f>
        <v/>
      </c>
      <c r="D686" s="13">
        <f>CHAIN_RAW!D686</f>
        <v/>
      </c>
      <c r="E686" s="13">
        <f>CHAIN_RAW!E686</f>
        <v/>
      </c>
      <c r="F686" s="13">
        <f>IFERROR((E686-D686)/D686,"")</f>
        <v/>
      </c>
      <c r="G686" s="13">
        <f>IFERROR((CHAIN_RAW!K686+CHAIN_RAW!L686)/2,"")</f>
        <v/>
      </c>
      <c r="H686" s="13">
        <f>IFERROR((CHAIN_RAW!R686+CHAIN_RAW!S686)/2,"")</f>
        <v/>
      </c>
      <c r="I686" s="13">
        <f>IFERROR((CHAIN_RAW!L686-CHAIN_RAW!K686)/MAX(1E-9, G686),"")</f>
        <v/>
      </c>
      <c r="J686" s="13">
        <f>IFERROR((CHAIN_RAW!S686-CHAIN_RAW!R686)/MAX(1E-9, H686),"")</f>
        <v/>
      </c>
      <c r="K686" s="13">
        <f>CHAIN_RAW!G686</f>
        <v/>
      </c>
      <c r="L686" s="13">
        <f>CHAIN_RAW!N686</f>
        <v/>
      </c>
      <c r="M686" s="13">
        <f>IFERROR(L686-K686,"")</f>
        <v/>
      </c>
      <c r="N686" s="13">
        <f>CHAIN_RAW!H686</f>
        <v/>
      </c>
      <c r="O686" s="13">
        <f>CHAIN_RAW!O686</f>
        <v/>
      </c>
      <c r="P686" s="13">
        <f>IFERROR(O686/N686,"")</f>
        <v/>
      </c>
      <c r="Q686" s="13">
        <f>CHAIN_RAW!I686</f>
        <v/>
      </c>
      <c r="R686" s="13">
        <f>CHAIN_RAW!P686</f>
        <v/>
      </c>
      <c r="S686" s="13">
        <f>IFERROR(R686/Q686,"")</f>
        <v/>
      </c>
      <c r="T686" s="13">
        <f>IFERROR((ABS(N686-O686)/MAX(1,(N686+O686)))*EXP(-ABS(E686-CONTROL!E5)/MAX(1,CONTROL!B8)),"")</f>
        <v/>
      </c>
      <c r="U686" s="13">
        <f>IFERROR(IF(O686&gt;N686,"SUPPORT (PE OI)","RESIST (CE OI)"),"")</f>
        <v/>
      </c>
      <c r="V686" s="13">
        <f>IFERROR(IF(Q686&gt;0,IF(R686&gt;0,"BOTH_ADD","CE_ADD_PE_REDUCE"),IF(R686&gt;0,"CE_REDUCE_PE_ADD","BOTH_REDUCE")),"")</f>
        <v/>
      </c>
      <c r="W686" s="13">
        <f>IFERROR( (P686-1)*0.5 + (M686)*0.1 - (I686+J686)*0.05 + T686*0.4 ,"")</f>
        <v/>
      </c>
      <c r="X686" s="13">
        <f>IFERROR(IF(ABS(F686)&lt;0.01,"ATM/NEAR",""),"")</f>
        <v/>
      </c>
    </row>
    <row r="687">
      <c r="A687" s="13">
        <f>CHAIN_RAW!A687</f>
        <v/>
      </c>
      <c r="B687" s="14">
        <f>CHAIN_RAW!B687</f>
        <v/>
      </c>
      <c r="C687" s="13">
        <f>CHAIN_RAW!C687</f>
        <v/>
      </c>
      <c r="D687" s="13">
        <f>CHAIN_RAW!D687</f>
        <v/>
      </c>
      <c r="E687" s="13">
        <f>CHAIN_RAW!E687</f>
        <v/>
      </c>
      <c r="F687" s="13">
        <f>IFERROR((E687-D687)/D687,"")</f>
        <v/>
      </c>
      <c r="G687" s="13">
        <f>IFERROR((CHAIN_RAW!K687+CHAIN_RAW!L687)/2,"")</f>
        <v/>
      </c>
      <c r="H687" s="13">
        <f>IFERROR((CHAIN_RAW!R687+CHAIN_RAW!S687)/2,"")</f>
        <v/>
      </c>
      <c r="I687" s="13">
        <f>IFERROR((CHAIN_RAW!L687-CHAIN_RAW!K687)/MAX(1E-9, G687),"")</f>
        <v/>
      </c>
      <c r="J687" s="13">
        <f>IFERROR((CHAIN_RAW!S687-CHAIN_RAW!R687)/MAX(1E-9, H687),"")</f>
        <v/>
      </c>
      <c r="K687" s="13">
        <f>CHAIN_RAW!G687</f>
        <v/>
      </c>
      <c r="L687" s="13">
        <f>CHAIN_RAW!N687</f>
        <v/>
      </c>
      <c r="M687" s="13">
        <f>IFERROR(L687-K687,"")</f>
        <v/>
      </c>
      <c r="N687" s="13">
        <f>CHAIN_RAW!H687</f>
        <v/>
      </c>
      <c r="O687" s="13">
        <f>CHAIN_RAW!O687</f>
        <v/>
      </c>
      <c r="P687" s="13">
        <f>IFERROR(O687/N687,"")</f>
        <v/>
      </c>
      <c r="Q687" s="13">
        <f>CHAIN_RAW!I687</f>
        <v/>
      </c>
      <c r="R687" s="13">
        <f>CHAIN_RAW!P687</f>
        <v/>
      </c>
      <c r="S687" s="13">
        <f>IFERROR(R687/Q687,"")</f>
        <v/>
      </c>
      <c r="T687" s="13">
        <f>IFERROR((ABS(N687-O687)/MAX(1,(N687+O687)))*EXP(-ABS(E687-CONTROL!E5)/MAX(1,CONTROL!B8)),"")</f>
        <v/>
      </c>
      <c r="U687" s="13">
        <f>IFERROR(IF(O687&gt;N687,"SUPPORT (PE OI)","RESIST (CE OI)"),"")</f>
        <v/>
      </c>
      <c r="V687" s="13">
        <f>IFERROR(IF(Q687&gt;0,IF(R687&gt;0,"BOTH_ADD","CE_ADD_PE_REDUCE"),IF(R687&gt;0,"CE_REDUCE_PE_ADD","BOTH_REDUCE")),"")</f>
        <v/>
      </c>
      <c r="W687" s="13">
        <f>IFERROR( (P687-1)*0.5 + (M687)*0.1 - (I687+J687)*0.05 + T687*0.4 ,"")</f>
        <v/>
      </c>
      <c r="X687" s="13">
        <f>IFERROR(IF(ABS(F687)&lt;0.01,"ATM/NEAR",""),"")</f>
        <v/>
      </c>
    </row>
    <row r="688">
      <c r="A688" s="13">
        <f>CHAIN_RAW!A688</f>
        <v/>
      </c>
      <c r="B688" s="14">
        <f>CHAIN_RAW!B688</f>
        <v/>
      </c>
      <c r="C688" s="13">
        <f>CHAIN_RAW!C688</f>
        <v/>
      </c>
      <c r="D688" s="13">
        <f>CHAIN_RAW!D688</f>
        <v/>
      </c>
      <c r="E688" s="13">
        <f>CHAIN_RAW!E688</f>
        <v/>
      </c>
      <c r="F688" s="13">
        <f>IFERROR((E688-D688)/D688,"")</f>
        <v/>
      </c>
      <c r="G688" s="13">
        <f>IFERROR((CHAIN_RAW!K688+CHAIN_RAW!L688)/2,"")</f>
        <v/>
      </c>
      <c r="H688" s="13">
        <f>IFERROR((CHAIN_RAW!R688+CHAIN_RAW!S688)/2,"")</f>
        <v/>
      </c>
      <c r="I688" s="13">
        <f>IFERROR((CHAIN_RAW!L688-CHAIN_RAW!K688)/MAX(1E-9, G688),"")</f>
        <v/>
      </c>
      <c r="J688" s="13">
        <f>IFERROR((CHAIN_RAW!S688-CHAIN_RAW!R688)/MAX(1E-9, H688),"")</f>
        <v/>
      </c>
      <c r="K688" s="13">
        <f>CHAIN_RAW!G688</f>
        <v/>
      </c>
      <c r="L688" s="13">
        <f>CHAIN_RAW!N688</f>
        <v/>
      </c>
      <c r="M688" s="13">
        <f>IFERROR(L688-K688,"")</f>
        <v/>
      </c>
      <c r="N688" s="13">
        <f>CHAIN_RAW!H688</f>
        <v/>
      </c>
      <c r="O688" s="13">
        <f>CHAIN_RAW!O688</f>
        <v/>
      </c>
      <c r="P688" s="13">
        <f>IFERROR(O688/N688,"")</f>
        <v/>
      </c>
      <c r="Q688" s="13">
        <f>CHAIN_RAW!I688</f>
        <v/>
      </c>
      <c r="R688" s="13">
        <f>CHAIN_RAW!P688</f>
        <v/>
      </c>
      <c r="S688" s="13">
        <f>IFERROR(R688/Q688,"")</f>
        <v/>
      </c>
      <c r="T688" s="13">
        <f>IFERROR((ABS(N688-O688)/MAX(1,(N688+O688)))*EXP(-ABS(E688-CONTROL!E5)/MAX(1,CONTROL!B8)),"")</f>
        <v/>
      </c>
      <c r="U688" s="13">
        <f>IFERROR(IF(O688&gt;N688,"SUPPORT (PE OI)","RESIST (CE OI)"),"")</f>
        <v/>
      </c>
      <c r="V688" s="13">
        <f>IFERROR(IF(Q688&gt;0,IF(R688&gt;0,"BOTH_ADD","CE_ADD_PE_REDUCE"),IF(R688&gt;0,"CE_REDUCE_PE_ADD","BOTH_REDUCE")),"")</f>
        <v/>
      </c>
      <c r="W688" s="13">
        <f>IFERROR( (P688-1)*0.5 + (M688)*0.1 - (I688+J688)*0.05 + T688*0.4 ,"")</f>
        <v/>
      </c>
      <c r="X688" s="13">
        <f>IFERROR(IF(ABS(F688)&lt;0.01,"ATM/NEAR",""),"")</f>
        <v/>
      </c>
    </row>
    <row r="689">
      <c r="A689" s="13">
        <f>CHAIN_RAW!A689</f>
        <v/>
      </c>
      <c r="B689" s="14">
        <f>CHAIN_RAW!B689</f>
        <v/>
      </c>
      <c r="C689" s="13">
        <f>CHAIN_RAW!C689</f>
        <v/>
      </c>
      <c r="D689" s="13">
        <f>CHAIN_RAW!D689</f>
        <v/>
      </c>
      <c r="E689" s="13">
        <f>CHAIN_RAW!E689</f>
        <v/>
      </c>
      <c r="F689" s="13">
        <f>IFERROR((E689-D689)/D689,"")</f>
        <v/>
      </c>
      <c r="G689" s="13">
        <f>IFERROR((CHAIN_RAW!K689+CHAIN_RAW!L689)/2,"")</f>
        <v/>
      </c>
      <c r="H689" s="13">
        <f>IFERROR((CHAIN_RAW!R689+CHAIN_RAW!S689)/2,"")</f>
        <v/>
      </c>
      <c r="I689" s="13">
        <f>IFERROR((CHAIN_RAW!L689-CHAIN_RAW!K689)/MAX(1E-9, G689),"")</f>
        <v/>
      </c>
      <c r="J689" s="13">
        <f>IFERROR((CHAIN_RAW!S689-CHAIN_RAW!R689)/MAX(1E-9, H689),"")</f>
        <v/>
      </c>
      <c r="K689" s="13">
        <f>CHAIN_RAW!G689</f>
        <v/>
      </c>
      <c r="L689" s="13">
        <f>CHAIN_RAW!N689</f>
        <v/>
      </c>
      <c r="M689" s="13">
        <f>IFERROR(L689-K689,"")</f>
        <v/>
      </c>
      <c r="N689" s="13">
        <f>CHAIN_RAW!H689</f>
        <v/>
      </c>
      <c r="O689" s="13">
        <f>CHAIN_RAW!O689</f>
        <v/>
      </c>
      <c r="P689" s="13">
        <f>IFERROR(O689/N689,"")</f>
        <v/>
      </c>
      <c r="Q689" s="13">
        <f>CHAIN_RAW!I689</f>
        <v/>
      </c>
      <c r="R689" s="13">
        <f>CHAIN_RAW!P689</f>
        <v/>
      </c>
      <c r="S689" s="13">
        <f>IFERROR(R689/Q689,"")</f>
        <v/>
      </c>
      <c r="T689" s="13">
        <f>IFERROR((ABS(N689-O689)/MAX(1,(N689+O689)))*EXP(-ABS(E689-CONTROL!E5)/MAX(1,CONTROL!B8)),"")</f>
        <v/>
      </c>
      <c r="U689" s="13">
        <f>IFERROR(IF(O689&gt;N689,"SUPPORT (PE OI)","RESIST (CE OI)"),"")</f>
        <v/>
      </c>
      <c r="V689" s="13">
        <f>IFERROR(IF(Q689&gt;0,IF(R689&gt;0,"BOTH_ADD","CE_ADD_PE_REDUCE"),IF(R689&gt;0,"CE_REDUCE_PE_ADD","BOTH_REDUCE")),"")</f>
        <v/>
      </c>
      <c r="W689" s="13">
        <f>IFERROR( (P689-1)*0.5 + (M689)*0.1 - (I689+J689)*0.05 + T689*0.4 ,"")</f>
        <v/>
      </c>
      <c r="X689" s="13">
        <f>IFERROR(IF(ABS(F689)&lt;0.01,"ATM/NEAR",""),"")</f>
        <v/>
      </c>
    </row>
    <row r="690">
      <c r="A690" s="13">
        <f>CHAIN_RAW!A690</f>
        <v/>
      </c>
      <c r="B690" s="14">
        <f>CHAIN_RAW!B690</f>
        <v/>
      </c>
      <c r="C690" s="13">
        <f>CHAIN_RAW!C690</f>
        <v/>
      </c>
      <c r="D690" s="13">
        <f>CHAIN_RAW!D690</f>
        <v/>
      </c>
      <c r="E690" s="13">
        <f>CHAIN_RAW!E690</f>
        <v/>
      </c>
      <c r="F690" s="13">
        <f>IFERROR((E690-D690)/D690,"")</f>
        <v/>
      </c>
      <c r="G690" s="13">
        <f>IFERROR((CHAIN_RAW!K690+CHAIN_RAW!L690)/2,"")</f>
        <v/>
      </c>
      <c r="H690" s="13">
        <f>IFERROR((CHAIN_RAW!R690+CHAIN_RAW!S690)/2,"")</f>
        <v/>
      </c>
      <c r="I690" s="13">
        <f>IFERROR((CHAIN_RAW!L690-CHAIN_RAW!K690)/MAX(1E-9, G690),"")</f>
        <v/>
      </c>
      <c r="J690" s="13">
        <f>IFERROR((CHAIN_RAW!S690-CHAIN_RAW!R690)/MAX(1E-9, H690),"")</f>
        <v/>
      </c>
      <c r="K690" s="13">
        <f>CHAIN_RAW!G690</f>
        <v/>
      </c>
      <c r="L690" s="13">
        <f>CHAIN_RAW!N690</f>
        <v/>
      </c>
      <c r="M690" s="13">
        <f>IFERROR(L690-K690,"")</f>
        <v/>
      </c>
      <c r="N690" s="13">
        <f>CHAIN_RAW!H690</f>
        <v/>
      </c>
      <c r="O690" s="13">
        <f>CHAIN_RAW!O690</f>
        <v/>
      </c>
      <c r="P690" s="13">
        <f>IFERROR(O690/N690,"")</f>
        <v/>
      </c>
      <c r="Q690" s="13">
        <f>CHAIN_RAW!I690</f>
        <v/>
      </c>
      <c r="R690" s="13">
        <f>CHAIN_RAW!P690</f>
        <v/>
      </c>
      <c r="S690" s="13">
        <f>IFERROR(R690/Q690,"")</f>
        <v/>
      </c>
      <c r="T690" s="13">
        <f>IFERROR((ABS(N690-O690)/MAX(1,(N690+O690)))*EXP(-ABS(E690-CONTROL!E5)/MAX(1,CONTROL!B8)),"")</f>
        <v/>
      </c>
      <c r="U690" s="13">
        <f>IFERROR(IF(O690&gt;N690,"SUPPORT (PE OI)","RESIST (CE OI)"),"")</f>
        <v/>
      </c>
      <c r="V690" s="13">
        <f>IFERROR(IF(Q690&gt;0,IF(R690&gt;0,"BOTH_ADD","CE_ADD_PE_REDUCE"),IF(R690&gt;0,"CE_REDUCE_PE_ADD","BOTH_REDUCE")),"")</f>
        <v/>
      </c>
      <c r="W690" s="13">
        <f>IFERROR( (P690-1)*0.5 + (M690)*0.1 - (I690+J690)*0.05 + T690*0.4 ,"")</f>
        <v/>
      </c>
      <c r="X690" s="13">
        <f>IFERROR(IF(ABS(F690)&lt;0.01,"ATM/NEAR",""),"")</f>
        <v/>
      </c>
    </row>
    <row r="691">
      <c r="A691" s="13">
        <f>CHAIN_RAW!A691</f>
        <v/>
      </c>
      <c r="B691" s="14">
        <f>CHAIN_RAW!B691</f>
        <v/>
      </c>
      <c r="C691" s="13">
        <f>CHAIN_RAW!C691</f>
        <v/>
      </c>
      <c r="D691" s="13">
        <f>CHAIN_RAW!D691</f>
        <v/>
      </c>
      <c r="E691" s="13">
        <f>CHAIN_RAW!E691</f>
        <v/>
      </c>
      <c r="F691" s="13">
        <f>IFERROR((E691-D691)/D691,"")</f>
        <v/>
      </c>
      <c r="G691" s="13">
        <f>IFERROR((CHAIN_RAW!K691+CHAIN_RAW!L691)/2,"")</f>
        <v/>
      </c>
      <c r="H691" s="13">
        <f>IFERROR((CHAIN_RAW!R691+CHAIN_RAW!S691)/2,"")</f>
        <v/>
      </c>
      <c r="I691" s="13">
        <f>IFERROR((CHAIN_RAW!L691-CHAIN_RAW!K691)/MAX(1E-9, G691),"")</f>
        <v/>
      </c>
      <c r="J691" s="13">
        <f>IFERROR((CHAIN_RAW!S691-CHAIN_RAW!R691)/MAX(1E-9, H691),"")</f>
        <v/>
      </c>
      <c r="K691" s="13">
        <f>CHAIN_RAW!G691</f>
        <v/>
      </c>
      <c r="L691" s="13">
        <f>CHAIN_RAW!N691</f>
        <v/>
      </c>
      <c r="M691" s="13">
        <f>IFERROR(L691-K691,"")</f>
        <v/>
      </c>
      <c r="N691" s="13">
        <f>CHAIN_RAW!H691</f>
        <v/>
      </c>
      <c r="O691" s="13">
        <f>CHAIN_RAW!O691</f>
        <v/>
      </c>
      <c r="P691" s="13">
        <f>IFERROR(O691/N691,"")</f>
        <v/>
      </c>
      <c r="Q691" s="13">
        <f>CHAIN_RAW!I691</f>
        <v/>
      </c>
      <c r="R691" s="13">
        <f>CHAIN_RAW!P691</f>
        <v/>
      </c>
      <c r="S691" s="13">
        <f>IFERROR(R691/Q691,"")</f>
        <v/>
      </c>
      <c r="T691" s="13">
        <f>IFERROR((ABS(N691-O691)/MAX(1,(N691+O691)))*EXP(-ABS(E691-CONTROL!E5)/MAX(1,CONTROL!B8)),"")</f>
        <v/>
      </c>
      <c r="U691" s="13">
        <f>IFERROR(IF(O691&gt;N691,"SUPPORT (PE OI)","RESIST (CE OI)"),"")</f>
        <v/>
      </c>
      <c r="V691" s="13">
        <f>IFERROR(IF(Q691&gt;0,IF(R691&gt;0,"BOTH_ADD","CE_ADD_PE_REDUCE"),IF(R691&gt;0,"CE_REDUCE_PE_ADD","BOTH_REDUCE")),"")</f>
        <v/>
      </c>
      <c r="W691" s="13">
        <f>IFERROR( (P691-1)*0.5 + (M691)*0.1 - (I691+J691)*0.05 + T691*0.4 ,"")</f>
        <v/>
      </c>
      <c r="X691" s="13">
        <f>IFERROR(IF(ABS(F691)&lt;0.01,"ATM/NEAR",""),"")</f>
        <v/>
      </c>
    </row>
    <row r="692">
      <c r="A692" s="13">
        <f>CHAIN_RAW!A692</f>
        <v/>
      </c>
      <c r="B692" s="14">
        <f>CHAIN_RAW!B692</f>
        <v/>
      </c>
      <c r="C692" s="13">
        <f>CHAIN_RAW!C692</f>
        <v/>
      </c>
      <c r="D692" s="13">
        <f>CHAIN_RAW!D692</f>
        <v/>
      </c>
      <c r="E692" s="13">
        <f>CHAIN_RAW!E692</f>
        <v/>
      </c>
      <c r="F692" s="13">
        <f>IFERROR((E692-D692)/D692,"")</f>
        <v/>
      </c>
      <c r="G692" s="13">
        <f>IFERROR((CHAIN_RAW!K692+CHAIN_RAW!L692)/2,"")</f>
        <v/>
      </c>
      <c r="H692" s="13">
        <f>IFERROR((CHAIN_RAW!R692+CHAIN_RAW!S692)/2,"")</f>
        <v/>
      </c>
      <c r="I692" s="13">
        <f>IFERROR((CHAIN_RAW!L692-CHAIN_RAW!K692)/MAX(1E-9, G692),"")</f>
        <v/>
      </c>
      <c r="J692" s="13">
        <f>IFERROR((CHAIN_RAW!S692-CHAIN_RAW!R692)/MAX(1E-9, H692),"")</f>
        <v/>
      </c>
      <c r="K692" s="13">
        <f>CHAIN_RAW!G692</f>
        <v/>
      </c>
      <c r="L692" s="13">
        <f>CHAIN_RAW!N692</f>
        <v/>
      </c>
      <c r="M692" s="13">
        <f>IFERROR(L692-K692,"")</f>
        <v/>
      </c>
      <c r="N692" s="13">
        <f>CHAIN_RAW!H692</f>
        <v/>
      </c>
      <c r="O692" s="13">
        <f>CHAIN_RAW!O692</f>
        <v/>
      </c>
      <c r="P692" s="13">
        <f>IFERROR(O692/N692,"")</f>
        <v/>
      </c>
      <c r="Q692" s="13">
        <f>CHAIN_RAW!I692</f>
        <v/>
      </c>
      <c r="R692" s="13">
        <f>CHAIN_RAW!P692</f>
        <v/>
      </c>
      <c r="S692" s="13">
        <f>IFERROR(R692/Q692,"")</f>
        <v/>
      </c>
      <c r="T692" s="13">
        <f>IFERROR((ABS(N692-O692)/MAX(1,(N692+O692)))*EXP(-ABS(E692-CONTROL!E5)/MAX(1,CONTROL!B8)),"")</f>
        <v/>
      </c>
      <c r="U692" s="13">
        <f>IFERROR(IF(O692&gt;N692,"SUPPORT (PE OI)","RESIST (CE OI)"),"")</f>
        <v/>
      </c>
      <c r="V692" s="13">
        <f>IFERROR(IF(Q692&gt;0,IF(R692&gt;0,"BOTH_ADD","CE_ADD_PE_REDUCE"),IF(R692&gt;0,"CE_REDUCE_PE_ADD","BOTH_REDUCE")),"")</f>
        <v/>
      </c>
      <c r="W692" s="13">
        <f>IFERROR( (P692-1)*0.5 + (M692)*0.1 - (I692+J692)*0.05 + T692*0.4 ,"")</f>
        <v/>
      </c>
      <c r="X692" s="13">
        <f>IFERROR(IF(ABS(F692)&lt;0.01,"ATM/NEAR",""),"")</f>
        <v/>
      </c>
    </row>
    <row r="693">
      <c r="A693" s="13">
        <f>CHAIN_RAW!A693</f>
        <v/>
      </c>
      <c r="B693" s="14">
        <f>CHAIN_RAW!B693</f>
        <v/>
      </c>
      <c r="C693" s="13">
        <f>CHAIN_RAW!C693</f>
        <v/>
      </c>
      <c r="D693" s="13">
        <f>CHAIN_RAW!D693</f>
        <v/>
      </c>
      <c r="E693" s="13">
        <f>CHAIN_RAW!E693</f>
        <v/>
      </c>
      <c r="F693" s="13">
        <f>IFERROR((E693-D693)/D693,"")</f>
        <v/>
      </c>
      <c r="G693" s="13">
        <f>IFERROR((CHAIN_RAW!K693+CHAIN_RAW!L693)/2,"")</f>
        <v/>
      </c>
      <c r="H693" s="13">
        <f>IFERROR((CHAIN_RAW!R693+CHAIN_RAW!S693)/2,"")</f>
        <v/>
      </c>
      <c r="I693" s="13">
        <f>IFERROR((CHAIN_RAW!L693-CHAIN_RAW!K693)/MAX(1E-9, G693),"")</f>
        <v/>
      </c>
      <c r="J693" s="13">
        <f>IFERROR((CHAIN_RAW!S693-CHAIN_RAW!R693)/MAX(1E-9, H693),"")</f>
        <v/>
      </c>
      <c r="K693" s="13">
        <f>CHAIN_RAW!G693</f>
        <v/>
      </c>
      <c r="L693" s="13">
        <f>CHAIN_RAW!N693</f>
        <v/>
      </c>
      <c r="M693" s="13">
        <f>IFERROR(L693-K693,"")</f>
        <v/>
      </c>
      <c r="N693" s="13">
        <f>CHAIN_RAW!H693</f>
        <v/>
      </c>
      <c r="O693" s="13">
        <f>CHAIN_RAW!O693</f>
        <v/>
      </c>
      <c r="P693" s="13">
        <f>IFERROR(O693/N693,"")</f>
        <v/>
      </c>
      <c r="Q693" s="13">
        <f>CHAIN_RAW!I693</f>
        <v/>
      </c>
      <c r="R693" s="13">
        <f>CHAIN_RAW!P693</f>
        <v/>
      </c>
      <c r="S693" s="13">
        <f>IFERROR(R693/Q693,"")</f>
        <v/>
      </c>
      <c r="T693" s="13">
        <f>IFERROR((ABS(N693-O693)/MAX(1,(N693+O693)))*EXP(-ABS(E693-CONTROL!E5)/MAX(1,CONTROL!B8)),"")</f>
        <v/>
      </c>
      <c r="U693" s="13">
        <f>IFERROR(IF(O693&gt;N693,"SUPPORT (PE OI)","RESIST (CE OI)"),"")</f>
        <v/>
      </c>
      <c r="V693" s="13">
        <f>IFERROR(IF(Q693&gt;0,IF(R693&gt;0,"BOTH_ADD","CE_ADD_PE_REDUCE"),IF(R693&gt;0,"CE_REDUCE_PE_ADD","BOTH_REDUCE")),"")</f>
        <v/>
      </c>
      <c r="W693" s="13">
        <f>IFERROR( (P693-1)*0.5 + (M693)*0.1 - (I693+J693)*0.05 + T693*0.4 ,"")</f>
        <v/>
      </c>
      <c r="X693" s="13">
        <f>IFERROR(IF(ABS(F693)&lt;0.01,"ATM/NEAR",""),"")</f>
        <v/>
      </c>
    </row>
    <row r="694">
      <c r="A694" s="13">
        <f>CHAIN_RAW!A694</f>
        <v/>
      </c>
      <c r="B694" s="14">
        <f>CHAIN_RAW!B694</f>
        <v/>
      </c>
      <c r="C694" s="13">
        <f>CHAIN_RAW!C694</f>
        <v/>
      </c>
      <c r="D694" s="13">
        <f>CHAIN_RAW!D694</f>
        <v/>
      </c>
      <c r="E694" s="13">
        <f>CHAIN_RAW!E694</f>
        <v/>
      </c>
      <c r="F694" s="13">
        <f>IFERROR((E694-D694)/D694,"")</f>
        <v/>
      </c>
      <c r="G694" s="13">
        <f>IFERROR((CHAIN_RAW!K694+CHAIN_RAW!L694)/2,"")</f>
        <v/>
      </c>
      <c r="H694" s="13">
        <f>IFERROR((CHAIN_RAW!R694+CHAIN_RAW!S694)/2,"")</f>
        <v/>
      </c>
      <c r="I694" s="13">
        <f>IFERROR((CHAIN_RAW!L694-CHAIN_RAW!K694)/MAX(1E-9, G694),"")</f>
        <v/>
      </c>
      <c r="J694" s="13">
        <f>IFERROR((CHAIN_RAW!S694-CHAIN_RAW!R694)/MAX(1E-9, H694),"")</f>
        <v/>
      </c>
      <c r="K694" s="13">
        <f>CHAIN_RAW!G694</f>
        <v/>
      </c>
      <c r="L694" s="13">
        <f>CHAIN_RAW!N694</f>
        <v/>
      </c>
      <c r="M694" s="13">
        <f>IFERROR(L694-K694,"")</f>
        <v/>
      </c>
      <c r="N694" s="13">
        <f>CHAIN_RAW!H694</f>
        <v/>
      </c>
      <c r="O694" s="13">
        <f>CHAIN_RAW!O694</f>
        <v/>
      </c>
      <c r="P694" s="13">
        <f>IFERROR(O694/N694,"")</f>
        <v/>
      </c>
      <c r="Q694" s="13">
        <f>CHAIN_RAW!I694</f>
        <v/>
      </c>
      <c r="R694" s="13">
        <f>CHAIN_RAW!P694</f>
        <v/>
      </c>
      <c r="S694" s="13">
        <f>IFERROR(R694/Q694,"")</f>
        <v/>
      </c>
      <c r="T694" s="13">
        <f>IFERROR((ABS(N694-O694)/MAX(1,(N694+O694)))*EXP(-ABS(E694-CONTROL!E5)/MAX(1,CONTROL!B8)),"")</f>
        <v/>
      </c>
      <c r="U694" s="13">
        <f>IFERROR(IF(O694&gt;N694,"SUPPORT (PE OI)","RESIST (CE OI)"),"")</f>
        <v/>
      </c>
      <c r="V694" s="13">
        <f>IFERROR(IF(Q694&gt;0,IF(R694&gt;0,"BOTH_ADD","CE_ADD_PE_REDUCE"),IF(R694&gt;0,"CE_REDUCE_PE_ADD","BOTH_REDUCE")),"")</f>
        <v/>
      </c>
      <c r="W694" s="13">
        <f>IFERROR( (P694-1)*0.5 + (M694)*0.1 - (I694+J694)*0.05 + T694*0.4 ,"")</f>
        <v/>
      </c>
      <c r="X694" s="13">
        <f>IFERROR(IF(ABS(F694)&lt;0.01,"ATM/NEAR",""),"")</f>
        <v/>
      </c>
    </row>
    <row r="695">
      <c r="A695" s="13">
        <f>CHAIN_RAW!A695</f>
        <v/>
      </c>
      <c r="B695" s="14">
        <f>CHAIN_RAW!B695</f>
        <v/>
      </c>
      <c r="C695" s="13">
        <f>CHAIN_RAW!C695</f>
        <v/>
      </c>
      <c r="D695" s="13">
        <f>CHAIN_RAW!D695</f>
        <v/>
      </c>
      <c r="E695" s="13">
        <f>CHAIN_RAW!E695</f>
        <v/>
      </c>
      <c r="F695" s="13">
        <f>IFERROR((E695-D695)/D695,"")</f>
        <v/>
      </c>
      <c r="G695" s="13">
        <f>IFERROR((CHAIN_RAW!K695+CHAIN_RAW!L695)/2,"")</f>
        <v/>
      </c>
      <c r="H695" s="13">
        <f>IFERROR((CHAIN_RAW!R695+CHAIN_RAW!S695)/2,"")</f>
        <v/>
      </c>
      <c r="I695" s="13">
        <f>IFERROR((CHAIN_RAW!L695-CHAIN_RAW!K695)/MAX(1E-9, G695),"")</f>
        <v/>
      </c>
      <c r="J695" s="13">
        <f>IFERROR((CHAIN_RAW!S695-CHAIN_RAW!R695)/MAX(1E-9, H695),"")</f>
        <v/>
      </c>
      <c r="K695" s="13">
        <f>CHAIN_RAW!G695</f>
        <v/>
      </c>
      <c r="L695" s="13">
        <f>CHAIN_RAW!N695</f>
        <v/>
      </c>
      <c r="M695" s="13">
        <f>IFERROR(L695-K695,"")</f>
        <v/>
      </c>
      <c r="N695" s="13">
        <f>CHAIN_RAW!H695</f>
        <v/>
      </c>
      <c r="O695" s="13">
        <f>CHAIN_RAW!O695</f>
        <v/>
      </c>
      <c r="P695" s="13">
        <f>IFERROR(O695/N695,"")</f>
        <v/>
      </c>
      <c r="Q695" s="13">
        <f>CHAIN_RAW!I695</f>
        <v/>
      </c>
      <c r="R695" s="13">
        <f>CHAIN_RAW!P695</f>
        <v/>
      </c>
      <c r="S695" s="13">
        <f>IFERROR(R695/Q695,"")</f>
        <v/>
      </c>
      <c r="T695" s="13">
        <f>IFERROR((ABS(N695-O695)/MAX(1,(N695+O695)))*EXP(-ABS(E695-CONTROL!E5)/MAX(1,CONTROL!B8)),"")</f>
        <v/>
      </c>
      <c r="U695" s="13">
        <f>IFERROR(IF(O695&gt;N695,"SUPPORT (PE OI)","RESIST (CE OI)"),"")</f>
        <v/>
      </c>
      <c r="V695" s="13">
        <f>IFERROR(IF(Q695&gt;0,IF(R695&gt;0,"BOTH_ADD","CE_ADD_PE_REDUCE"),IF(R695&gt;0,"CE_REDUCE_PE_ADD","BOTH_REDUCE")),"")</f>
        <v/>
      </c>
      <c r="W695" s="13">
        <f>IFERROR( (P695-1)*0.5 + (M695)*0.1 - (I695+J695)*0.05 + T695*0.4 ,"")</f>
        <v/>
      </c>
      <c r="X695" s="13">
        <f>IFERROR(IF(ABS(F695)&lt;0.01,"ATM/NEAR",""),"")</f>
        <v/>
      </c>
    </row>
    <row r="696">
      <c r="A696" s="13">
        <f>CHAIN_RAW!A696</f>
        <v/>
      </c>
      <c r="B696" s="14">
        <f>CHAIN_RAW!B696</f>
        <v/>
      </c>
      <c r="C696" s="13">
        <f>CHAIN_RAW!C696</f>
        <v/>
      </c>
      <c r="D696" s="13">
        <f>CHAIN_RAW!D696</f>
        <v/>
      </c>
      <c r="E696" s="13">
        <f>CHAIN_RAW!E696</f>
        <v/>
      </c>
      <c r="F696" s="13">
        <f>IFERROR((E696-D696)/D696,"")</f>
        <v/>
      </c>
      <c r="G696" s="13">
        <f>IFERROR((CHAIN_RAW!K696+CHAIN_RAW!L696)/2,"")</f>
        <v/>
      </c>
      <c r="H696" s="13">
        <f>IFERROR((CHAIN_RAW!R696+CHAIN_RAW!S696)/2,"")</f>
        <v/>
      </c>
      <c r="I696" s="13">
        <f>IFERROR((CHAIN_RAW!L696-CHAIN_RAW!K696)/MAX(1E-9, G696),"")</f>
        <v/>
      </c>
      <c r="J696" s="13">
        <f>IFERROR((CHAIN_RAW!S696-CHAIN_RAW!R696)/MAX(1E-9, H696),"")</f>
        <v/>
      </c>
      <c r="K696" s="13">
        <f>CHAIN_RAW!G696</f>
        <v/>
      </c>
      <c r="L696" s="13">
        <f>CHAIN_RAW!N696</f>
        <v/>
      </c>
      <c r="M696" s="13">
        <f>IFERROR(L696-K696,"")</f>
        <v/>
      </c>
      <c r="N696" s="13">
        <f>CHAIN_RAW!H696</f>
        <v/>
      </c>
      <c r="O696" s="13">
        <f>CHAIN_RAW!O696</f>
        <v/>
      </c>
      <c r="P696" s="13">
        <f>IFERROR(O696/N696,"")</f>
        <v/>
      </c>
      <c r="Q696" s="13">
        <f>CHAIN_RAW!I696</f>
        <v/>
      </c>
      <c r="R696" s="13">
        <f>CHAIN_RAW!P696</f>
        <v/>
      </c>
      <c r="S696" s="13">
        <f>IFERROR(R696/Q696,"")</f>
        <v/>
      </c>
      <c r="T696" s="13">
        <f>IFERROR((ABS(N696-O696)/MAX(1,(N696+O696)))*EXP(-ABS(E696-CONTROL!E5)/MAX(1,CONTROL!B8)),"")</f>
        <v/>
      </c>
      <c r="U696" s="13">
        <f>IFERROR(IF(O696&gt;N696,"SUPPORT (PE OI)","RESIST (CE OI)"),"")</f>
        <v/>
      </c>
      <c r="V696" s="13">
        <f>IFERROR(IF(Q696&gt;0,IF(R696&gt;0,"BOTH_ADD","CE_ADD_PE_REDUCE"),IF(R696&gt;0,"CE_REDUCE_PE_ADD","BOTH_REDUCE")),"")</f>
        <v/>
      </c>
      <c r="W696" s="13">
        <f>IFERROR( (P696-1)*0.5 + (M696)*0.1 - (I696+J696)*0.05 + T696*0.4 ,"")</f>
        <v/>
      </c>
      <c r="X696" s="13">
        <f>IFERROR(IF(ABS(F696)&lt;0.01,"ATM/NEAR",""),"")</f>
        <v/>
      </c>
    </row>
    <row r="697">
      <c r="A697" s="13">
        <f>CHAIN_RAW!A697</f>
        <v/>
      </c>
      <c r="B697" s="14">
        <f>CHAIN_RAW!B697</f>
        <v/>
      </c>
      <c r="C697" s="13">
        <f>CHAIN_RAW!C697</f>
        <v/>
      </c>
      <c r="D697" s="13">
        <f>CHAIN_RAW!D697</f>
        <v/>
      </c>
      <c r="E697" s="13">
        <f>CHAIN_RAW!E697</f>
        <v/>
      </c>
      <c r="F697" s="13">
        <f>IFERROR((E697-D697)/D697,"")</f>
        <v/>
      </c>
      <c r="G697" s="13">
        <f>IFERROR((CHAIN_RAW!K697+CHAIN_RAW!L697)/2,"")</f>
        <v/>
      </c>
      <c r="H697" s="13">
        <f>IFERROR((CHAIN_RAW!R697+CHAIN_RAW!S697)/2,"")</f>
        <v/>
      </c>
      <c r="I697" s="13">
        <f>IFERROR((CHAIN_RAW!L697-CHAIN_RAW!K697)/MAX(1E-9, G697),"")</f>
        <v/>
      </c>
      <c r="J697" s="13">
        <f>IFERROR((CHAIN_RAW!S697-CHAIN_RAW!R697)/MAX(1E-9, H697),"")</f>
        <v/>
      </c>
      <c r="K697" s="13">
        <f>CHAIN_RAW!G697</f>
        <v/>
      </c>
      <c r="L697" s="13">
        <f>CHAIN_RAW!N697</f>
        <v/>
      </c>
      <c r="M697" s="13">
        <f>IFERROR(L697-K697,"")</f>
        <v/>
      </c>
      <c r="N697" s="13">
        <f>CHAIN_RAW!H697</f>
        <v/>
      </c>
      <c r="O697" s="13">
        <f>CHAIN_RAW!O697</f>
        <v/>
      </c>
      <c r="P697" s="13">
        <f>IFERROR(O697/N697,"")</f>
        <v/>
      </c>
      <c r="Q697" s="13">
        <f>CHAIN_RAW!I697</f>
        <v/>
      </c>
      <c r="R697" s="13">
        <f>CHAIN_RAW!P697</f>
        <v/>
      </c>
      <c r="S697" s="13">
        <f>IFERROR(R697/Q697,"")</f>
        <v/>
      </c>
      <c r="T697" s="13">
        <f>IFERROR((ABS(N697-O697)/MAX(1,(N697+O697)))*EXP(-ABS(E697-CONTROL!E5)/MAX(1,CONTROL!B8)),"")</f>
        <v/>
      </c>
      <c r="U697" s="13">
        <f>IFERROR(IF(O697&gt;N697,"SUPPORT (PE OI)","RESIST (CE OI)"),"")</f>
        <v/>
      </c>
      <c r="V697" s="13">
        <f>IFERROR(IF(Q697&gt;0,IF(R697&gt;0,"BOTH_ADD","CE_ADD_PE_REDUCE"),IF(R697&gt;0,"CE_REDUCE_PE_ADD","BOTH_REDUCE")),"")</f>
        <v/>
      </c>
      <c r="W697" s="13">
        <f>IFERROR( (P697-1)*0.5 + (M697)*0.1 - (I697+J697)*0.05 + T697*0.4 ,"")</f>
        <v/>
      </c>
      <c r="X697" s="13">
        <f>IFERROR(IF(ABS(F697)&lt;0.01,"ATM/NEAR",""),"")</f>
        <v/>
      </c>
    </row>
    <row r="698">
      <c r="A698" s="13">
        <f>CHAIN_RAW!A698</f>
        <v/>
      </c>
      <c r="B698" s="14">
        <f>CHAIN_RAW!B698</f>
        <v/>
      </c>
      <c r="C698" s="13">
        <f>CHAIN_RAW!C698</f>
        <v/>
      </c>
      <c r="D698" s="13">
        <f>CHAIN_RAW!D698</f>
        <v/>
      </c>
      <c r="E698" s="13">
        <f>CHAIN_RAW!E698</f>
        <v/>
      </c>
      <c r="F698" s="13">
        <f>IFERROR((E698-D698)/D698,"")</f>
        <v/>
      </c>
      <c r="G698" s="13">
        <f>IFERROR((CHAIN_RAW!K698+CHAIN_RAW!L698)/2,"")</f>
        <v/>
      </c>
      <c r="H698" s="13">
        <f>IFERROR((CHAIN_RAW!R698+CHAIN_RAW!S698)/2,"")</f>
        <v/>
      </c>
      <c r="I698" s="13">
        <f>IFERROR((CHAIN_RAW!L698-CHAIN_RAW!K698)/MAX(1E-9, G698),"")</f>
        <v/>
      </c>
      <c r="J698" s="13">
        <f>IFERROR((CHAIN_RAW!S698-CHAIN_RAW!R698)/MAX(1E-9, H698),"")</f>
        <v/>
      </c>
      <c r="K698" s="13">
        <f>CHAIN_RAW!G698</f>
        <v/>
      </c>
      <c r="L698" s="13">
        <f>CHAIN_RAW!N698</f>
        <v/>
      </c>
      <c r="M698" s="13">
        <f>IFERROR(L698-K698,"")</f>
        <v/>
      </c>
      <c r="N698" s="13">
        <f>CHAIN_RAW!H698</f>
        <v/>
      </c>
      <c r="O698" s="13">
        <f>CHAIN_RAW!O698</f>
        <v/>
      </c>
      <c r="P698" s="13">
        <f>IFERROR(O698/N698,"")</f>
        <v/>
      </c>
      <c r="Q698" s="13">
        <f>CHAIN_RAW!I698</f>
        <v/>
      </c>
      <c r="R698" s="13">
        <f>CHAIN_RAW!P698</f>
        <v/>
      </c>
      <c r="S698" s="13">
        <f>IFERROR(R698/Q698,"")</f>
        <v/>
      </c>
      <c r="T698" s="13">
        <f>IFERROR((ABS(N698-O698)/MAX(1,(N698+O698)))*EXP(-ABS(E698-CONTROL!E5)/MAX(1,CONTROL!B8)),"")</f>
        <v/>
      </c>
      <c r="U698" s="13">
        <f>IFERROR(IF(O698&gt;N698,"SUPPORT (PE OI)","RESIST (CE OI)"),"")</f>
        <v/>
      </c>
      <c r="V698" s="13">
        <f>IFERROR(IF(Q698&gt;0,IF(R698&gt;0,"BOTH_ADD","CE_ADD_PE_REDUCE"),IF(R698&gt;0,"CE_REDUCE_PE_ADD","BOTH_REDUCE")),"")</f>
        <v/>
      </c>
      <c r="W698" s="13">
        <f>IFERROR( (P698-1)*0.5 + (M698)*0.1 - (I698+J698)*0.05 + T698*0.4 ,"")</f>
        <v/>
      </c>
      <c r="X698" s="13">
        <f>IFERROR(IF(ABS(F698)&lt;0.01,"ATM/NEAR",""),"")</f>
        <v/>
      </c>
    </row>
    <row r="699">
      <c r="A699" s="13">
        <f>CHAIN_RAW!A699</f>
        <v/>
      </c>
      <c r="B699" s="14">
        <f>CHAIN_RAW!B699</f>
        <v/>
      </c>
      <c r="C699" s="13">
        <f>CHAIN_RAW!C699</f>
        <v/>
      </c>
      <c r="D699" s="13">
        <f>CHAIN_RAW!D699</f>
        <v/>
      </c>
      <c r="E699" s="13">
        <f>CHAIN_RAW!E699</f>
        <v/>
      </c>
      <c r="F699" s="13">
        <f>IFERROR((E699-D699)/D699,"")</f>
        <v/>
      </c>
      <c r="G699" s="13">
        <f>IFERROR((CHAIN_RAW!K699+CHAIN_RAW!L699)/2,"")</f>
        <v/>
      </c>
      <c r="H699" s="13">
        <f>IFERROR((CHAIN_RAW!R699+CHAIN_RAW!S699)/2,"")</f>
        <v/>
      </c>
      <c r="I699" s="13">
        <f>IFERROR((CHAIN_RAW!L699-CHAIN_RAW!K699)/MAX(1E-9, G699),"")</f>
        <v/>
      </c>
      <c r="J699" s="13">
        <f>IFERROR((CHAIN_RAW!S699-CHAIN_RAW!R699)/MAX(1E-9, H699),"")</f>
        <v/>
      </c>
      <c r="K699" s="13">
        <f>CHAIN_RAW!G699</f>
        <v/>
      </c>
      <c r="L699" s="13">
        <f>CHAIN_RAW!N699</f>
        <v/>
      </c>
      <c r="M699" s="13">
        <f>IFERROR(L699-K699,"")</f>
        <v/>
      </c>
      <c r="N699" s="13">
        <f>CHAIN_RAW!H699</f>
        <v/>
      </c>
      <c r="O699" s="13">
        <f>CHAIN_RAW!O699</f>
        <v/>
      </c>
      <c r="P699" s="13">
        <f>IFERROR(O699/N699,"")</f>
        <v/>
      </c>
      <c r="Q699" s="13">
        <f>CHAIN_RAW!I699</f>
        <v/>
      </c>
      <c r="R699" s="13">
        <f>CHAIN_RAW!P699</f>
        <v/>
      </c>
      <c r="S699" s="13">
        <f>IFERROR(R699/Q699,"")</f>
        <v/>
      </c>
      <c r="T699" s="13">
        <f>IFERROR((ABS(N699-O699)/MAX(1,(N699+O699)))*EXP(-ABS(E699-CONTROL!E5)/MAX(1,CONTROL!B8)),"")</f>
        <v/>
      </c>
      <c r="U699" s="13">
        <f>IFERROR(IF(O699&gt;N699,"SUPPORT (PE OI)","RESIST (CE OI)"),"")</f>
        <v/>
      </c>
      <c r="V699" s="13">
        <f>IFERROR(IF(Q699&gt;0,IF(R699&gt;0,"BOTH_ADD","CE_ADD_PE_REDUCE"),IF(R699&gt;0,"CE_REDUCE_PE_ADD","BOTH_REDUCE")),"")</f>
        <v/>
      </c>
      <c r="W699" s="13">
        <f>IFERROR( (P699-1)*0.5 + (M699)*0.1 - (I699+J699)*0.05 + T699*0.4 ,"")</f>
        <v/>
      </c>
      <c r="X699" s="13">
        <f>IFERROR(IF(ABS(F699)&lt;0.01,"ATM/NEAR",""),"")</f>
        <v/>
      </c>
    </row>
    <row r="700">
      <c r="A700" s="13">
        <f>CHAIN_RAW!A700</f>
        <v/>
      </c>
      <c r="B700" s="14">
        <f>CHAIN_RAW!B700</f>
        <v/>
      </c>
      <c r="C700" s="13">
        <f>CHAIN_RAW!C700</f>
        <v/>
      </c>
      <c r="D700" s="13">
        <f>CHAIN_RAW!D700</f>
        <v/>
      </c>
      <c r="E700" s="13">
        <f>CHAIN_RAW!E700</f>
        <v/>
      </c>
      <c r="F700" s="13">
        <f>IFERROR((E700-D700)/D700,"")</f>
        <v/>
      </c>
      <c r="G700" s="13">
        <f>IFERROR((CHAIN_RAW!K700+CHAIN_RAW!L700)/2,"")</f>
        <v/>
      </c>
      <c r="H700" s="13">
        <f>IFERROR((CHAIN_RAW!R700+CHAIN_RAW!S700)/2,"")</f>
        <v/>
      </c>
      <c r="I700" s="13">
        <f>IFERROR((CHAIN_RAW!L700-CHAIN_RAW!K700)/MAX(1E-9, G700),"")</f>
        <v/>
      </c>
      <c r="J700" s="13">
        <f>IFERROR((CHAIN_RAW!S700-CHAIN_RAW!R700)/MAX(1E-9, H700),"")</f>
        <v/>
      </c>
      <c r="K700" s="13">
        <f>CHAIN_RAW!G700</f>
        <v/>
      </c>
      <c r="L700" s="13">
        <f>CHAIN_RAW!N700</f>
        <v/>
      </c>
      <c r="M700" s="13">
        <f>IFERROR(L700-K700,"")</f>
        <v/>
      </c>
      <c r="N700" s="13">
        <f>CHAIN_RAW!H700</f>
        <v/>
      </c>
      <c r="O700" s="13">
        <f>CHAIN_RAW!O700</f>
        <v/>
      </c>
      <c r="P700" s="13">
        <f>IFERROR(O700/N700,"")</f>
        <v/>
      </c>
      <c r="Q700" s="13">
        <f>CHAIN_RAW!I700</f>
        <v/>
      </c>
      <c r="R700" s="13">
        <f>CHAIN_RAW!P700</f>
        <v/>
      </c>
      <c r="S700" s="13">
        <f>IFERROR(R700/Q700,"")</f>
        <v/>
      </c>
      <c r="T700" s="13">
        <f>IFERROR((ABS(N700-O700)/MAX(1,(N700+O700)))*EXP(-ABS(E700-CONTROL!E5)/MAX(1,CONTROL!B8)),"")</f>
        <v/>
      </c>
      <c r="U700" s="13">
        <f>IFERROR(IF(O700&gt;N700,"SUPPORT (PE OI)","RESIST (CE OI)"),"")</f>
        <v/>
      </c>
      <c r="V700" s="13">
        <f>IFERROR(IF(Q700&gt;0,IF(R700&gt;0,"BOTH_ADD","CE_ADD_PE_REDUCE"),IF(R700&gt;0,"CE_REDUCE_PE_ADD","BOTH_REDUCE")),"")</f>
        <v/>
      </c>
      <c r="W700" s="13">
        <f>IFERROR( (P700-1)*0.5 + (M700)*0.1 - (I700+J700)*0.05 + T700*0.4 ,"")</f>
        <v/>
      </c>
      <c r="X700" s="13">
        <f>IFERROR(IF(ABS(F700)&lt;0.01,"ATM/NEAR",""),"")</f>
        <v/>
      </c>
    </row>
    <row r="701">
      <c r="A701" s="13">
        <f>CHAIN_RAW!A701</f>
        <v/>
      </c>
      <c r="B701" s="14">
        <f>CHAIN_RAW!B701</f>
        <v/>
      </c>
      <c r="C701" s="13">
        <f>CHAIN_RAW!C701</f>
        <v/>
      </c>
      <c r="D701" s="13">
        <f>CHAIN_RAW!D701</f>
        <v/>
      </c>
      <c r="E701" s="13">
        <f>CHAIN_RAW!E701</f>
        <v/>
      </c>
      <c r="F701" s="13">
        <f>IFERROR((E701-D701)/D701,"")</f>
        <v/>
      </c>
      <c r="G701" s="13">
        <f>IFERROR((CHAIN_RAW!K701+CHAIN_RAW!L701)/2,"")</f>
        <v/>
      </c>
      <c r="H701" s="13">
        <f>IFERROR((CHAIN_RAW!R701+CHAIN_RAW!S701)/2,"")</f>
        <v/>
      </c>
      <c r="I701" s="13">
        <f>IFERROR((CHAIN_RAW!L701-CHAIN_RAW!K701)/MAX(1E-9, G701),"")</f>
        <v/>
      </c>
      <c r="J701" s="13">
        <f>IFERROR((CHAIN_RAW!S701-CHAIN_RAW!R701)/MAX(1E-9, H701),"")</f>
        <v/>
      </c>
      <c r="K701" s="13">
        <f>CHAIN_RAW!G701</f>
        <v/>
      </c>
      <c r="L701" s="13">
        <f>CHAIN_RAW!N701</f>
        <v/>
      </c>
      <c r="M701" s="13">
        <f>IFERROR(L701-K701,"")</f>
        <v/>
      </c>
      <c r="N701" s="13">
        <f>CHAIN_RAW!H701</f>
        <v/>
      </c>
      <c r="O701" s="13">
        <f>CHAIN_RAW!O701</f>
        <v/>
      </c>
      <c r="P701" s="13">
        <f>IFERROR(O701/N701,"")</f>
        <v/>
      </c>
      <c r="Q701" s="13">
        <f>CHAIN_RAW!I701</f>
        <v/>
      </c>
      <c r="R701" s="13">
        <f>CHAIN_RAW!P701</f>
        <v/>
      </c>
      <c r="S701" s="13">
        <f>IFERROR(R701/Q701,"")</f>
        <v/>
      </c>
      <c r="T701" s="13">
        <f>IFERROR((ABS(N701-O701)/MAX(1,(N701+O701)))*EXP(-ABS(E701-CONTROL!E5)/MAX(1,CONTROL!B8)),"")</f>
        <v/>
      </c>
      <c r="U701" s="13">
        <f>IFERROR(IF(O701&gt;N701,"SUPPORT (PE OI)","RESIST (CE OI)"),"")</f>
        <v/>
      </c>
      <c r="V701" s="13">
        <f>IFERROR(IF(Q701&gt;0,IF(R701&gt;0,"BOTH_ADD","CE_ADD_PE_REDUCE"),IF(R701&gt;0,"CE_REDUCE_PE_ADD","BOTH_REDUCE")),"")</f>
        <v/>
      </c>
      <c r="W701" s="13">
        <f>IFERROR( (P701-1)*0.5 + (M701)*0.1 - (I701+J701)*0.05 + T701*0.4 ,"")</f>
        <v/>
      </c>
      <c r="X701" s="13">
        <f>IFERROR(IF(ABS(F701)&lt;0.01,"ATM/NEAR",""),"")</f>
        <v/>
      </c>
    </row>
    <row r="702">
      <c r="A702" s="13">
        <f>CHAIN_RAW!A702</f>
        <v/>
      </c>
      <c r="B702" s="14">
        <f>CHAIN_RAW!B702</f>
        <v/>
      </c>
      <c r="C702" s="13">
        <f>CHAIN_RAW!C702</f>
        <v/>
      </c>
      <c r="D702" s="13">
        <f>CHAIN_RAW!D702</f>
        <v/>
      </c>
      <c r="E702" s="13">
        <f>CHAIN_RAW!E702</f>
        <v/>
      </c>
      <c r="F702" s="13">
        <f>IFERROR((E702-D702)/D702,"")</f>
        <v/>
      </c>
      <c r="G702" s="13">
        <f>IFERROR((CHAIN_RAW!K702+CHAIN_RAW!L702)/2,"")</f>
        <v/>
      </c>
      <c r="H702" s="13">
        <f>IFERROR((CHAIN_RAW!R702+CHAIN_RAW!S702)/2,"")</f>
        <v/>
      </c>
      <c r="I702" s="13">
        <f>IFERROR((CHAIN_RAW!L702-CHAIN_RAW!K702)/MAX(1E-9, G702),"")</f>
        <v/>
      </c>
      <c r="J702" s="13">
        <f>IFERROR((CHAIN_RAW!S702-CHAIN_RAW!R702)/MAX(1E-9, H702),"")</f>
        <v/>
      </c>
      <c r="K702" s="13">
        <f>CHAIN_RAW!G702</f>
        <v/>
      </c>
      <c r="L702" s="13">
        <f>CHAIN_RAW!N702</f>
        <v/>
      </c>
      <c r="M702" s="13">
        <f>IFERROR(L702-K702,"")</f>
        <v/>
      </c>
      <c r="N702" s="13">
        <f>CHAIN_RAW!H702</f>
        <v/>
      </c>
      <c r="O702" s="13">
        <f>CHAIN_RAW!O702</f>
        <v/>
      </c>
      <c r="P702" s="13">
        <f>IFERROR(O702/N702,"")</f>
        <v/>
      </c>
      <c r="Q702" s="13">
        <f>CHAIN_RAW!I702</f>
        <v/>
      </c>
      <c r="R702" s="13">
        <f>CHAIN_RAW!P702</f>
        <v/>
      </c>
      <c r="S702" s="13">
        <f>IFERROR(R702/Q702,"")</f>
        <v/>
      </c>
      <c r="T702" s="13">
        <f>IFERROR((ABS(N702-O702)/MAX(1,(N702+O702)))*EXP(-ABS(E702-CONTROL!E5)/MAX(1,CONTROL!B8)),"")</f>
        <v/>
      </c>
      <c r="U702" s="13">
        <f>IFERROR(IF(O702&gt;N702,"SUPPORT (PE OI)","RESIST (CE OI)"),"")</f>
        <v/>
      </c>
      <c r="V702" s="13">
        <f>IFERROR(IF(Q702&gt;0,IF(R702&gt;0,"BOTH_ADD","CE_ADD_PE_REDUCE"),IF(R702&gt;0,"CE_REDUCE_PE_ADD","BOTH_REDUCE")),"")</f>
        <v/>
      </c>
      <c r="W702" s="13">
        <f>IFERROR( (P702-1)*0.5 + (M702)*0.1 - (I702+J702)*0.05 + T702*0.4 ,"")</f>
        <v/>
      </c>
      <c r="X702" s="13">
        <f>IFERROR(IF(ABS(F702)&lt;0.01,"ATM/NEAR",""),"")</f>
        <v/>
      </c>
    </row>
    <row r="703">
      <c r="A703" s="13">
        <f>CHAIN_RAW!A703</f>
        <v/>
      </c>
      <c r="B703" s="14">
        <f>CHAIN_RAW!B703</f>
        <v/>
      </c>
      <c r="C703" s="13">
        <f>CHAIN_RAW!C703</f>
        <v/>
      </c>
      <c r="D703" s="13">
        <f>CHAIN_RAW!D703</f>
        <v/>
      </c>
      <c r="E703" s="13">
        <f>CHAIN_RAW!E703</f>
        <v/>
      </c>
      <c r="F703" s="13">
        <f>IFERROR((E703-D703)/D703,"")</f>
        <v/>
      </c>
      <c r="G703" s="13">
        <f>IFERROR((CHAIN_RAW!K703+CHAIN_RAW!L703)/2,"")</f>
        <v/>
      </c>
      <c r="H703" s="13">
        <f>IFERROR((CHAIN_RAW!R703+CHAIN_RAW!S703)/2,"")</f>
        <v/>
      </c>
      <c r="I703" s="13">
        <f>IFERROR((CHAIN_RAW!L703-CHAIN_RAW!K703)/MAX(1E-9, G703),"")</f>
        <v/>
      </c>
      <c r="J703" s="13">
        <f>IFERROR((CHAIN_RAW!S703-CHAIN_RAW!R703)/MAX(1E-9, H703),"")</f>
        <v/>
      </c>
      <c r="K703" s="13">
        <f>CHAIN_RAW!G703</f>
        <v/>
      </c>
      <c r="L703" s="13">
        <f>CHAIN_RAW!N703</f>
        <v/>
      </c>
      <c r="M703" s="13">
        <f>IFERROR(L703-K703,"")</f>
        <v/>
      </c>
      <c r="N703" s="13">
        <f>CHAIN_RAW!H703</f>
        <v/>
      </c>
      <c r="O703" s="13">
        <f>CHAIN_RAW!O703</f>
        <v/>
      </c>
      <c r="P703" s="13">
        <f>IFERROR(O703/N703,"")</f>
        <v/>
      </c>
      <c r="Q703" s="13">
        <f>CHAIN_RAW!I703</f>
        <v/>
      </c>
      <c r="R703" s="13">
        <f>CHAIN_RAW!P703</f>
        <v/>
      </c>
      <c r="S703" s="13">
        <f>IFERROR(R703/Q703,"")</f>
        <v/>
      </c>
      <c r="T703" s="13">
        <f>IFERROR((ABS(N703-O703)/MAX(1,(N703+O703)))*EXP(-ABS(E703-CONTROL!E5)/MAX(1,CONTROL!B8)),"")</f>
        <v/>
      </c>
      <c r="U703" s="13">
        <f>IFERROR(IF(O703&gt;N703,"SUPPORT (PE OI)","RESIST (CE OI)"),"")</f>
        <v/>
      </c>
      <c r="V703" s="13">
        <f>IFERROR(IF(Q703&gt;0,IF(R703&gt;0,"BOTH_ADD","CE_ADD_PE_REDUCE"),IF(R703&gt;0,"CE_REDUCE_PE_ADD","BOTH_REDUCE")),"")</f>
        <v/>
      </c>
      <c r="W703" s="13">
        <f>IFERROR( (P703-1)*0.5 + (M703)*0.1 - (I703+J703)*0.05 + T703*0.4 ,"")</f>
        <v/>
      </c>
      <c r="X703" s="13">
        <f>IFERROR(IF(ABS(F703)&lt;0.01,"ATM/NEAR",""),"")</f>
        <v/>
      </c>
    </row>
    <row r="704">
      <c r="A704" s="13">
        <f>CHAIN_RAW!A704</f>
        <v/>
      </c>
      <c r="B704" s="14">
        <f>CHAIN_RAW!B704</f>
        <v/>
      </c>
      <c r="C704" s="13">
        <f>CHAIN_RAW!C704</f>
        <v/>
      </c>
      <c r="D704" s="13">
        <f>CHAIN_RAW!D704</f>
        <v/>
      </c>
      <c r="E704" s="13">
        <f>CHAIN_RAW!E704</f>
        <v/>
      </c>
      <c r="F704" s="13">
        <f>IFERROR((E704-D704)/D704,"")</f>
        <v/>
      </c>
      <c r="G704" s="13">
        <f>IFERROR((CHAIN_RAW!K704+CHAIN_RAW!L704)/2,"")</f>
        <v/>
      </c>
      <c r="H704" s="13">
        <f>IFERROR((CHAIN_RAW!R704+CHAIN_RAW!S704)/2,"")</f>
        <v/>
      </c>
      <c r="I704" s="13">
        <f>IFERROR((CHAIN_RAW!L704-CHAIN_RAW!K704)/MAX(1E-9, G704),"")</f>
        <v/>
      </c>
      <c r="J704" s="13">
        <f>IFERROR((CHAIN_RAW!S704-CHAIN_RAW!R704)/MAX(1E-9, H704),"")</f>
        <v/>
      </c>
      <c r="K704" s="13">
        <f>CHAIN_RAW!G704</f>
        <v/>
      </c>
      <c r="L704" s="13">
        <f>CHAIN_RAW!N704</f>
        <v/>
      </c>
      <c r="M704" s="13">
        <f>IFERROR(L704-K704,"")</f>
        <v/>
      </c>
      <c r="N704" s="13">
        <f>CHAIN_RAW!H704</f>
        <v/>
      </c>
      <c r="O704" s="13">
        <f>CHAIN_RAW!O704</f>
        <v/>
      </c>
      <c r="P704" s="13">
        <f>IFERROR(O704/N704,"")</f>
        <v/>
      </c>
      <c r="Q704" s="13">
        <f>CHAIN_RAW!I704</f>
        <v/>
      </c>
      <c r="R704" s="13">
        <f>CHAIN_RAW!P704</f>
        <v/>
      </c>
      <c r="S704" s="13">
        <f>IFERROR(R704/Q704,"")</f>
        <v/>
      </c>
      <c r="T704" s="13">
        <f>IFERROR((ABS(N704-O704)/MAX(1,(N704+O704)))*EXP(-ABS(E704-CONTROL!E5)/MAX(1,CONTROL!B8)),"")</f>
        <v/>
      </c>
      <c r="U704" s="13">
        <f>IFERROR(IF(O704&gt;N704,"SUPPORT (PE OI)","RESIST (CE OI)"),"")</f>
        <v/>
      </c>
      <c r="V704" s="13">
        <f>IFERROR(IF(Q704&gt;0,IF(R704&gt;0,"BOTH_ADD","CE_ADD_PE_REDUCE"),IF(R704&gt;0,"CE_REDUCE_PE_ADD","BOTH_REDUCE")),"")</f>
        <v/>
      </c>
      <c r="W704" s="13">
        <f>IFERROR( (P704-1)*0.5 + (M704)*0.1 - (I704+J704)*0.05 + T704*0.4 ,"")</f>
        <v/>
      </c>
      <c r="X704" s="13">
        <f>IFERROR(IF(ABS(F704)&lt;0.01,"ATM/NEAR",""),"")</f>
        <v/>
      </c>
    </row>
    <row r="705">
      <c r="A705" s="13">
        <f>CHAIN_RAW!A705</f>
        <v/>
      </c>
      <c r="B705" s="14">
        <f>CHAIN_RAW!B705</f>
        <v/>
      </c>
      <c r="C705" s="13">
        <f>CHAIN_RAW!C705</f>
        <v/>
      </c>
      <c r="D705" s="13">
        <f>CHAIN_RAW!D705</f>
        <v/>
      </c>
      <c r="E705" s="13">
        <f>CHAIN_RAW!E705</f>
        <v/>
      </c>
      <c r="F705" s="13">
        <f>IFERROR((E705-D705)/D705,"")</f>
        <v/>
      </c>
      <c r="G705" s="13">
        <f>IFERROR((CHAIN_RAW!K705+CHAIN_RAW!L705)/2,"")</f>
        <v/>
      </c>
      <c r="H705" s="13">
        <f>IFERROR((CHAIN_RAW!R705+CHAIN_RAW!S705)/2,"")</f>
        <v/>
      </c>
      <c r="I705" s="13">
        <f>IFERROR((CHAIN_RAW!L705-CHAIN_RAW!K705)/MAX(1E-9, G705),"")</f>
        <v/>
      </c>
      <c r="J705" s="13">
        <f>IFERROR((CHAIN_RAW!S705-CHAIN_RAW!R705)/MAX(1E-9, H705),"")</f>
        <v/>
      </c>
      <c r="K705" s="13">
        <f>CHAIN_RAW!G705</f>
        <v/>
      </c>
      <c r="L705" s="13">
        <f>CHAIN_RAW!N705</f>
        <v/>
      </c>
      <c r="M705" s="13">
        <f>IFERROR(L705-K705,"")</f>
        <v/>
      </c>
      <c r="N705" s="13">
        <f>CHAIN_RAW!H705</f>
        <v/>
      </c>
      <c r="O705" s="13">
        <f>CHAIN_RAW!O705</f>
        <v/>
      </c>
      <c r="P705" s="13">
        <f>IFERROR(O705/N705,"")</f>
        <v/>
      </c>
      <c r="Q705" s="13">
        <f>CHAIN_RAW!I705</f>
        <v/>
      </c>
      <c r="R705" s="13">
        <f>CHAIN_RAW!P705</f>
        <v/>
      </c>
      <c r="S705" s="13">
        <f>IFERROR(R705/Q705,"")</f>
        <v/>
      </c>
      <c r="T705" s="13">
        <f>IFERROR((ABS(N705-O705)/MAX(1,(N705+O705)))*EXP(-ABS(E705-CONTROL!E5)/MAX(1,CONTROL!B8)),"")</f>
        <v/>
      </c>
      <c r="U705" s="13">
        <f>IFERROR(IF(O705&gt;N705,"SUPPORT (PE OI)","RESIST (CE OI)"),"")</f>
        <v/>
      </c>
      <c r="V705" s="13">
        <f>IFERROR(IF(Q705&gt;0,IF(R705&gt;0,"BOTH_ADD","CE_ADD_PE_REDUCE"),IF(R705&gt;0,"CE_REDUCE_PE_ADD","BOTH_REDUCE")),"")</f>
        <v/>
      </c>
      <c r="W705" s="13">
        <f>IFERROR( (P705-1)*0.5 + (M705)*0.1 - (I705+J705)*0.05 + T705*0.4 ,"")</f>
        <v/>
      </c>
      <c r="X705" s="13">
        <f>IFERROR(IF(ABS(F705)&lt;0.01,"ATM/NEAR",""),"")</f>
        <v/>
      </c>
    </row>
    <row r="706">
      <c r="A706" s="13">
        <f>CHAIN_RAW!A706</f>
        <v/>
      </c>
      <c r="B706" s="14">
        <f>CHAIN_RAW!B706</f>
        <v/>
      </c>
      <c r="C706" s="13">
        <f>CHAIN_RAW!C706</f>
        <v/>
      </c>
      <c r="D706" s="13">
        <f>CHAIN_RAW!D706</f>
        <v/>
      </c>
      <c r="E706" s="13">
        <f>CHAIN_RAW!E706</f>
        <v/>
      </c>
      <c r="F706" s="13">
        <f>IFERROR((E706-D706)/D706,"")</f>
        <v/>
      </c>
      <c r="G706" s="13">
        <f>IFERROR((CHAIN_RAW!K706+CHAIN_RAW!L706)/2,"")</f>
        <v/>
      </c>
      <c r="H706" s="13">
        <f>IFERROR((CHAIN_RAW!R706+CHAIN_RAW!S706)/2,"")</f>
        <v/>
      </c>
      <c r="I706" s="13">
        <f>IFERROR((CHAIN_RAW!L706-CHAIN_RAW!K706)/MAX(1E-9, G706),"")</f>
        <v/>
      </c>
      <c r="J706" s="13">
        <f>IFERROR((CHAIN_RAW!S706-CHAIN_RAW!R706)/MAX(1E-9, H706),"")</f>
        <v/>
      </c>
      <c r="K706" s="13">
        <f>CHAIN_RAW!G706</f>
        <v/>
      </c>
      <c r="L706" s="13">
        <f>CHAIN_RAW!N706</f>
        <v/>
      </c>
      <c r="M706" s="13">
        <f>IFERROR(L706-K706,"")</f>
        <v/>
      </c>
      <c r="N706" s="13">
        <f>CHAIN_RAW!H706</f>
        <v/>
      </c>
      <c r="O706" s="13">
        <f>CHAIN_RAW!O706</f>
        <v/>
      </c>
      <c r="P706" s="13">
        <f>IFERROR(O706/N706,"")</f>
        <v/>
      </c>
      <c r="Q706" s="13">
        <f>CHAIN_RAW!I706</f>
        <v/>
      </c>
      <c r="R706" s="13">
        <f>CHAIN_RAW!P706</f>
        <v/>
      </c>
      <c r="S706" s="13">
        <f>IFERROR(R706/Q706,"")</f>
        <v/>
      </c>
      <c r="T706" s="13">
        <f>IFERROR((ABS(N706-O706)/MAX(1,(N706+O706)))*EXP(-ABS(E706-CONTROL!E5)/MAX(1,CONTROL!B8)),"")</f>
        <v/>
      </c>
      <c r="U706" s="13">
        <f>IFERROR(IF(O706&gt;N706,"SUPPORT (PE OI)","RESIST (CE OI)"),"")</f>
        <v/>
      </c>
      <c r="V706" s="13">
        <f>IFERROR(IF(Q706&gt;0,IF(R706&gt;0,"BOTH_ADD","CE_ADD_PE_REDUCE"),IF(R706&gt;0,"CE_REDUCE_PE_ADD","BOTH_REDUCE")),"")</f>
        <v/>
      </c>
      <c r="W706" s="13">
        <f>IFERROR( (P706-1)*0.5 + (M706)*0.1 - (I706+J706)*0.05 + T706*0.4 ,"")</f>
        <v/>
      </c>
      <c r="X706" s="13">
        <f>IFERROR(IF(ABS(F706)&lt;0.01,"ATM/NEAR",""),"")</f>
        <v/>
      </c>
    </row>
    <row r="707">
      <c r="A707" s="13">
        <f>CHAIN_RAW!A707</f>
        <v/>
      </c>
      <c r="B707" s="14">
        <f>CHAIN_RAW!B707</f>
        <v/>
      </c>
      <c r="C707" s="13">
        <f>CHAIN_RAW!C707</f>
        <v/>
      </c>
      <c r="D707" s="13">
        <f>CHAIN_RAW!D707</f>
        <v/>
      </c>
      <c r="E707" s="13">
        <f>CHAIN_RAW!E707</f>
        <v/>
      </c>
      <c r="F707" s="13">
        <f>IFERROR((E707-D707)/D707,"")</f>
        <v/>
      </c>
      <c r="G707" s="13">
        <f>IFERROR((CHAIN_RAW!K707+CHAIN_RAW!L707)/2,"")</f>
        <v/>
      </c>
      <c r="H707" s="13">
        <f>IFERROR((CHAIN_RAW!R707+CHAIN_RAW!S707)/2,"")</f>
        <v/>
      </c>
      <c r="I707" s="13">
        <f>IFERROR((CHAIN_RAW!L707-CHAIN_RAW!K707)/MAX(1E-9, G707),"")</f>
        <v/>
      </c>
      <c r="J707" s="13">
        <f>IFERROR((CHAIN_RAW!S707-CHAIN_RAW!R707)/MAX(1E-9, H707),"")</f>
        <v/>
      </c>
      <c r="K707" s="13">
        <f>CHAIN_RAW!G707</f>
        <v/>
      </c>
      <c r="L707" s="13">
        <f>CHAIN_RAW!N707</f>
        <v/>
      </c>
      <c r="M707" s="13">
        <f>IFERROR(L707-K707,"")</f>
        <v/>
      </c>
      <c r="N707" s="13">
        <f>CHAIN_RAW!H707</f>
        <v/>
      </c>
      <c r="O707" s="13">
        <f>CHAIN_RAW!O707</f>
        <v/>
      </c>
      <c r="P707" s="13">
        <f>IFERROR(O707/N707,"")</f>
        <v/>
      </c>
      <c r="Q707" s="13">
        <f>CHAIN_RAW!I707</f>
        <v/>
      </c>
      <c r="R707" s="13">
        <f>CHAIN_RAW!P707</f>
        <v/>
      </c>
      <c r="S707" s="13">
        <f>IFERROR(R707/Q707,"")</f>
        <v/>
      </c>
      <c r="T707" s="13">
        <f>IFERROR((ABS(N707-O707)/MAX(1,(N707+O707)))*EXP(-ABS(E707-CONTROL!E5)/MAX(1,CONTROL!B8)),"")</f>
        <v/>
      </c>
      <c r="U707" s="13">
        <f>IFERROR(IF(O707&gt;N707,"SUPPORT (PE OI)","RESIST (CE OI)"),"")</f>
        <v/>
      </c>
      <c r="V707" s="13">
        <f>IFERROR(IF(Q707&gt;0,IF(R707&gt;0,"BOTH_ADD","CE_ADD_PE_REDUCE"),IF(R707&gt;0,"CE_REDUCE_PE_ADD","BOTH_REDUCE")),"")</f>
        <v/>
      </c>
      <c r="W707" s="13">
        <f>IFERROR( (P707-1)*0.5 + (M707)*0.1 - (I707+J707)*0.05 + T707*0.4 ,"")</f>
        <v/>
      </c>
      <c r="X707" s="13">
        <f>IFERROR(IF(ABS(F707)&lt;0.01,"ATM/NEAR",""),"")</f>
        <v/>
      </c>
    </row>
    <row r="708">
      <c r="A708" s="13">
        <f>CHAIN_RAW!A708</f>
        <v/>
      </c>
      <c r="B708" s="14">
        <f>CHAIN_RAW!B708</f>
        <v/>
      </c>
      <c r="C708" s="13">
        <f>CHAIN_RAW!C708</f>
        <v/>
      </c>
      <c r="D708" s="13">
        <f>CHAIN_RAW!D708</f>
        <v/>
      </c>
      <c r="E708" s="13">
        <f>CHAIN_RAW!E708</f>
        <v/>
      </c>
      <c r="F708" s="13">
        <f>IFERROR((E708-D708)/D708,"")</f>
        <v/>
      </c>
      <c r="G708" s="13">
        <f>IFERROR((CHAIN_RAW!K708+CHAIN_RAW!L708)/2,"")</f>
        <v/>
      </c>
      <c r="H708" s="13">
        <f>IFERROR((CHAIN_RAW!R708+CHAIN_RAW!S708)/2,"")</f>
        <v/>
      </c>
      <c r="I708" s="13">
        <f>IFERROR((CHAIN_RAW!L708-CHAIN_RAW!K708)/MAX(1E-9, G708),"")</f>
        <v/>
      </c>
      <c r="J708" s="13">
        <f>IFERROR((CHAIN_RAW!S708-CHAIN_RAW!R708)/MAX(1E-9, H708),"")</f>
        <v/>
      </c>
      <c r="K708" s="13">
        <f>CHAIN_RAW!G708</f>
        <v/>
      </c>
      <c r="L708" s="13">
        <f>CHAIN_RAW!N708</f>
        <v/>
      </c>
      <c r="M708" s="13">
        <f>IFERROR(L708-K708,"")</f>
        <v/>
      </c>
      <c r="N708" s="13">
        <f>CHAIN_RAW!H708</f>
        <v/>
      </c>
      <c r="O708" s="13">
        <f>CHAIN_RAW!O708</f>
        <v/>
      </c>
      <c r="P708" s="13">
        <f>IFERROR(O708/N708,"")</f>
        <v/>
      </c>
      <c r="Q708" s="13">
        <f>CHAIN_RAW!I708</f>
        <v/>
      </c>
      <c r="R708" s="13">
        <f>CHAIN_RAW!P708</f>
        <v/>
      </c>
      <c r="S708" s="13">
        <f>IFERROR(R708/Q708,"")</f>
        <v/>
      </c>
      <c r="T708" s="13">
        <f>IFERROR((ABS(N708-O708)/MAX(1,(N708+O708)))*EXP(-ABS(E708-CONTROL!E5)/MAX(1,CONTROL!B8)),"")</f>
        <v/>
      </c>
      <c r="U708" s="13">
        <f>IFERROR(IF(O708&gt;N708,"SUPPORT (PE OI)","RESIST (CE OI)"),"")</f>
        <v/>
      </c>
      <c r="V708" s="13">
        <f>IFERROR(IF(Q708&gt;0,IF(R708&gt;0,"BOTH_ADD","CE_ADD_PE_REDUCE"),IF(R708&gt;0,"CE_REDUCE_PE_ADD","BOTH_REDUCE")),"")</f>
        <v/>
      </c>
      <c r="W708" s="13">
        <f>IFERROR( (P708-1)*0.5 + (M708)*0.1 - (I708+J708)*0.05 + T708*0.4 ,"")</f>
        <v/>
      </c>
      <c r="X708" s="13">
        <f>IFERROR(IF(ABS(F708)&lt;0.01,"ATM/NEAR",""),"")</f>
        <v/>
      </c>
    </row>
    <row r="709">
      <c r="A709" s="13">
        <f>CHAIN_RAW!A709</f>
        <v/>
      </c>
      <c r="B709" s="14">
        <f>CHAIN_RAW!B709</f>
        <v/>
      </c>
      <c r="C709" s="13">
        <f>CHAIN_RAW!C709</f>
        <v/>
      </c>
      <c r="D709" s="13">
        <f>CHAIN_RAW!D709</f>
        <v/>
      </c>
      <c r="E709" s="13">
        <f>CHAIN_RAW!E709</f>
        <v/>
      </c>
      <c r="F709" s="13">
        <f>IFERROR((E709-D709)/D709,"")</f>
        <v/>
      </c>
      <c r="G709" s="13">
        <f>IFERROR((CHAIN_RAW!K709+CHAIN_RAW!L709)/2,"")</f>
        <v/>
      </c>
      <c r="H709" s="13">
        <f>IFERROR((CHAIN_RAW!R709+CHAIN_RAW!S709)/2,"")</f>
        <v/>
      </c>
      <c r="I709" s="13">
        <f>IFERROR((CHAIN_RAW!L709-CHAIN_RAW!K709)/MAX(1E-9, G709),"")</f>
        <v/>
      </c>
      <c r="J709" s="13">
        <f>IFERROR((CHAIN_RAW!S709-CHAIN_RAW!R709)/MAX(1E-9, H709),"")</f>
        <v/>
      </c>
      <c r="K709" s="13">
        <f>CHAIN_RAW!G709</f>
        <v/>
      </c>
      <c r="L709" s="13">
        <f>CHAIN_RAW!N709</f>
        <v/>
      </c>
      <c r="M709" s="13">
        <f>IFERROR(L709-K709,"")</f>
        <v/>
      </c>
      <c r="N709" s="13">
        <f>CHAIN_RAW!H709</f>
        <v/>
      </c>
      <c r="O709" s="13">
        <f>CHAIN_RAW!O709</f>
        <v/>
      </c>
      <c r="P709" s="13">
        <f>IFERROR(O709/N709,"")</f>
        <v/>
      </c>
      <c r="Q709" s="13">
        <f>CHAIN_RAW!I709</f>
        <v/>
      </c>
      <c r="R709" s="13">
        <f>CHAIN_RAW!P709</f>
        <v/>
      </c>
      <c r="S709" s="13">
        <f>IFERROR(R709/Q709,"")</f>
        <v/>
      </c>
      <c r="T709" s="13">
        <f>IFERROR((ABS(N709-O709)/MAX(1,(N709+O709)))*EXP(-ABS(E709-CONTROL!E5)/MAX(1,CONTROL!B8)),"")</f>
        <v/>
      </c>
      <c r="U709" s="13">
        <f>IFERROR(IF(O709&gt;N709,"SUPPORT (PE OI)","RESIST (CE OI)"),"")</f>
        <v/>
      </c>
      <c r="V709" s="13">
        <f>IFERROR(IF(Q709&gt;0,IF(R709&gt;0,"BOTH_ADD","CE_ADD_PE_REDUCE"),IF(R709&gt;0,"CE_REDUCE_PE_ADD","BOTH_REDUCE")),"")</f>
        <v/>
      </c>
      <c r="W709" s="13">
        <f>IFERROR( (P709-1)*0.5 + (M709)*0.1 - (I709+J709)*0.05 + T709*0.4 ,"")</f>
        <v/>
      </c>
      <c r="X709" s="13">
        <f>IFERROR(IF(ABS(F709)&lt;0.01,"ATM/NEAR",""),"")</f>
        <v/>
      </c>
    </row>
    <row r="710">
      <c r="A710" s="13">
        <f>CHAIN_RAW!A710</f>
        <v/>
      </c>
      <c r="B710" s="14">
        <f>CHAIN_RAW!B710</f>
        <v/>
      </c>
      <c r="C710" s="13">
        <f>CHAIN_RAW!C710</f>
        <v/>
      </c>
      <c r="D710" s="13">
        <f>CHAIN_RAW!D710</f>
        <v/>
      </c>
      <c r="E710" s="13">
        <f>CHAIN_RAW!E710</f>
        <v/>
      </c>
      <c r="F710" s="13">
        <f>IFERROR((E710-D710)/D710,"")</f>
        <v/>
      </c>
      <c r="G710" s="13">
        <f>IFERROR((CHAIN_RAW!K710+CHAIN_RAW!L710)/2,"")</f>
        <v/>
      </c>
      <c r="H710" s="13">
        <f>IFERROR((CHAIN_RAW!R710+CHAIN_RAW!S710)/2,"")</f>
        <v/>
      </c>
      <c r="I710" s="13">
        <f>IFERROR((CHAIN_RAW!L710-CHAIN_RAW!K710)/MAX(1E-9, G710),"")</f>
        <v/>
      </c>
      <c r="J710" s="13">
        <f>IFERROR((CHAIN_RAW!S710-CHAIN_RAW!R710)/MAX(1E-9, H710),"")</f>
        <v/>
      </c>
      <c r="K710" s="13">
        <f>CHAIN_RAW!G710</f>
        <v/>
      </c>
      <c r="L710" s="13">
        <f>CHAIN_RAW!N710</f>
        <v/>
      </c>
      <c r="M710" s="13">
        <f>IFERROR(L710-K710,"")</f>
        <v/>
      </c>
      <c r="N710" s="13">
        <f>CHAIN_RAW!H710</f>
        <v/>
      </c>
      <c r="O710" s="13">
        <f>CHAIN_RAW!O710</f>
        <v/>
      </c>
      <c r="P710" s="13">
        <f>IFERROR(O710/N710,"")</f>
        <v/>
      </c>
      <c r="Q710" s="13">
        <f>CHAIN_RAW!I710</f>
        <v/>
      </c>
      <c r="R710" s="13">
        <f>CHAIN_RAW!P710</f>
        <v/>
      </c>
      <c r="S710" s="13">
        <f>IFERROR(R710/Q710,"")</f>
        <v/>
      </c>
      <c r="T710" s="13">
        <f>IFERROR((ABS(N710-O710)/MAX(1,(N710+O710)))*EXP(-ABS(E710-CONTROL!E5)/MAX(1,CONTROL!B8)),"")</f>
        <v/>
      </c>
      <c r="U710" s="13">
        <f>IFERROR(IF(O710&gt;N710,"SUPPORT (PE OI)","RESIST (CE OI)"),"")</f>
        <v/>
      </c>
      <c r="V710" s="13">
        <f>IFERROR(IF(Q710&gt;0,IF(R710&gt;0,"BOTH_ADD","CE_ADD_PE_REDUCE"),IF(R710&gt;0,"CE_REDUCE_PE_ADD","BOTH_REDUCE")),"")</f>
        <v/>
      </c>
      <c r="W710" s="13">
        <f>IFERROR( (P710-1)*0.5 + (M710)*0.1 - (I710+J710)*0.05 + T710*0.4 ,"")</f>
        <v/>
      </c>
      <c r="X710" s="13">
        <f>IFERROR(IF(ABS(F710)&lt;0.01,"ATM/NEAR",""),"")</f>
        <v/>
      </c>
    </row>
    <row r="711">
      <c r="A711" s="13">
        <f>CHAIN_RAW!A711</f>
        <v/>
      </c>
      <c r="B711" s="14">
        <f>CHAIN_RAW!B711</f>
        <v/>
      </c>
      <c r="C711" s="13">
        <f>CHAIN_RAW!C711</f>
        <v/>
      </c>
      <c r="D711" s="13">
        <f>CHAIN_RAW!D711</f>
        <v/>
      </c>
      <c r="E711" s="13">
        <f>CHAIN_RAW!E711</f>
        <v/>
      </c>
      <c r="F711" s="13">
        <f>IFERROR((E711-D711)/D711,"")</f>
        <v/>
      </c>
      <c r="G711" s="13">
        <f>IFERROR((CHAIN_RAW!K711+CHAIN_RAW!L711)/2,"")</f>
        <v/>
      </c>
      <c r="H711" s="13">
        <f>IFERROR((CHAIN_RAW!R711+CHAIN_RAW!S711)/2,"")</f>
        <v/>
      </c>
      <c r="I711" s="13">
        <f>IFERROR((CHAIN_RAW!L711-CHAIN_RAW!K711)/MAX(1E-9, G711),"")</f>
        <v/>
      </c>
      <c r="J711" s="13">
        <f>IFERROR((CHAIN_RAW!S711-CHAIN_RAW!R711)/MAX(1E-9, H711),"")</f>
        <v/>
      </c>
      <c r="K711" s="13">
        <f>CHAIN_RAW!G711</f>
        <v/>
      </c>
      <c r="L711" s="13">
        <f>CHAIN_RAW!N711</f>
        <v/>
      </c>
      <c r="M711" s="13">
        <f>IFERROR(L711-K711,"")</f>
        <v/>
      </c>
      <c r="N711" s="13">
        <f>CHAIN_RAW!H711</f>
        <v/>
      </c>
      <c r="O711" s="13">
        <f>CHAIN_RAW!O711</f>
        <v/>
      </c>
      <c r="P711" s="13">
        <f>IFERROR(O711/N711,"")</f>
        <v/>
      </c>
      <c r="Q711" s="13">
        <f>CHAIN_RAW!I711</f>
        <v/>
      </c>
      <c r="R711" s="13">
        <f>CHAIN_RAW!P711</f>
        <v/>
      </c>
      <c r="S711" s="13">
        <f>IFERROR(R711/Q711,"")</f>
        <v/>
      </c>
      <c r="T711" s="13">
        <f>IFERROR((ABS(N711-O711)/MAX(1,(N711+O711)))*EXP(-ABS(E711-CONTROL!E5)/MAX(1,CONTROL!B8)),"")</f>
        <v/>
      </c>
      <c r="U711" s="13">
        <f>IFERROR(IF(O711&gt;N711,"SUPPORT (PE OI)","RESIST (CE OI)"),"")</f>
        <v/>
      </c>
      <c r="V711" s="13">
        <f>IFERROR(IF(Q711&gt;0,IF(R711&gt;0,"BOTH_ADD","CE_ADD_PE_REDUCE"),IF(R711&gt;0,"CE_REDUCE_PE_ADD","BOTH_REDUCE")),"")</f>
        <v/>
      </c>
      <c r="W711" s="13">
        <f>IFERROR( (P711-1)*0.5 + (M711)*0.1 - (I711+J711)*0.05 + T711*0.4 ,"")</f>
        <v/>
      </c>
      <c r="X711" s="13">
        <f>IFERROR(IF(ABS(F711)&lt;0.01,"ATM/NEAR",""),"")</f>
        <v/>
      </c>
    </row>
    <row r="712">
      <c r="A712" s="13">
        <f>CHAIN_RAW!A712</f>
        <v/>
      </c>
      <c r="B712" s="14">
        <f>CHAIN_RAW!B712</f>
        <v/>
      </c>
      <c r="C712" s="13">
        <f>CHAIN_RAW!C712</f>
        <v/>
      </c>
      <c r="D712" s="13">
        <f>CHAIN_RAW!D712</f>
        <v/>
      </c>
      <c r="E712" s="13">
        <f>CHAIN_RAW!E712</f>
        <v/>
      </c>
      <c r="F712" s="13">
        <f>IFERROR((E712-D712)/D712,"")</f>
        <v/>
      </c>
      <c r="G712" s="13">
        <f>IFERROR((CHAIN_RAW!K712+CHAIN_RAW!L712)/2,"")</f>
        <v/>
      </c>
      <c r="H712" s="13">
        <f>IFERROR((CHAIN_RAW!R712+CHAIN_RAW!S712)/2,"")</f>
        <v/>
      </c>
      <c r="I712" s="13">
        <f>IFERROR((CHAIN_RAW!L712-CHAIN_RAW!K712)/MAX(1E-9, G712),"")</f>
        <v/>
      </c>
      <c r="J712" s="13">
        <f>IFERROR((CHAIN_RAW!S712-CHAIN_RAW!R712)/MAX(1E-9, H712),"")</f>
        <v/>
      </c>
      <c r="K712" s="13">
        <f>CHAIN_RAW!G712</f>
        <v/>
      </c>
      <c r="L712" s="13">
        <f>CHAIN_RAW!N712</f>
        <v/>
      </c>
      <c r="M712" s="13">
        <f>IFERROR(L712-K712,"")</f>
        <v/>
      </c>
      <c r="N712" s="13">
        <f>CHAIN_RAW!H712</f>
        <v/>
      </c>
      <c r="O712" s="13">
        <f>CHAIN_RAW!O712</f>
        <v/>
      </c>
      <c r="P712" s="13">
        <f>IFERROR(O712/N712,"")</f>
        <v/>
      </c>
      <c r="Q712" s="13">
        <f>CHAIN_RAW!I712</f>
        <v/>
      </c>
      <c r="R712" s="13">
        <f>CHAIN_RAW!P712</f>
        <v/>
      </c>
      <c r="S712" s="13">
        <f>IFERROR(R712/Q712,"")</f>
        <v/>
      </c>
      <c r="T712" s="13">
        <f>IFERROR((ABS(N712-O712)/MAX(1,(N712+O712)))*EXP(-ABS(E712-CONTROL!E5)/MAX(1,CONTROL!B8)),"")</f>
        <v/>
      </c>
      <c r="U712" s="13">
        <f>IFERROR(IF(O712&gt;N712,"SUPPORT (PE OI)","RESIST (CE OI)"),"")</f>
        <v/>
      </c>
      <c r="V712" s="13">
        <f>IFERROR(IF(Q712&gt;0,IF(R712&gt;0,"BOTH_ADD","CE_ADD_PE_REDUCE"),IF(R712&gt;0,"CE_REDUCE_PE_ADD","BOTH_REDUCE")),"")</f>
        <v/>
      </c>
      <c r="W712" s="13">
        <f>IFERROR( (P712-1)*0.5 + (M712)*0.1 - (I712+J712)*0.05 + T712*0.4 ,"")</f>
        <v/>
      </c>
      <c r="X712" s="13">
        <f>IFERROR(IF(ABS(F712)&lt;0.01,"ATM/NEAR",""),"")</f>
        <v/>
      </c>
    </row>
    <row r="713">
      <c r="A713" s="13">
        <f>CHAIN_RAW!A713</f>
        <v/>
      </c>
      <c r="B713" s="14">
        <f>CHAIN_RAW!B713</f>
        <v/>
      </c>
      <c r="C713" s="13">
        <f>CHAIN_RAW!C713</f>
        <v/>
      </c>
      <c r="D713" s="13">
        <f>CHAIN_RAW!D713</f>
        <v/>
      </c>
      <c r="E713" s="13">
        <f>CHAIN_RAW!E713</f>
        <v/>
      </c>
      <c r="F713" s="13">
        <f>IFERROR((E713-D713)/D713,"")</f>
        <v/>
      </c>
      <c r="G713" s="13">
        <f>IFERROR((CHAIN_RAW!K713+CHAIN_RAW!L713)/2,"")</f>
        <v/>
      </c>
      <c r="H713" s="13">
        <f>IFERROR((CHAIN_RAW!R713+CHAIN_RAW!S713)/2,"")</f>
        <v/>
      </c>
      <c r="I713" s="13">
        <f>IFERROR((CHAIN_RAW!L713-CHAIN_RAW!K713)/MAX(1E-9, G713),"")</f>
        <v/>
      </c>
      <c r="J713" s="13">
        <f>IFERROR((CHAIN_RAW!S713-CHAIN_RAW!R713)/MAX(1E-9, H713),"")</f>
        <v/>
      </c>
      <c r="K713" s="13">
        <f>CHAIN_RAW!G713</f>
        <v/>
      </c>
      <c r="L713" s="13">
        <f>CHAIN_RAW!N713</f>
        <v/>
      </c>
      <c r="M713" s="13">
        <f>IFERROR(L713-K713,"")</f>
        <v/>
      </c>
      <c r="N713" s="13">
        <f>CHAIN_RAW!H713</f>
        <v/>
      </c>
      <c r="O713" s="13">
        <f>CHAIN_RAW!O713</f>
        <v/>
      </c>
      <c r="P713" s="13">
        <f>IFERROR(O713/N713,"")</f>
        <v/>
      </c>
      <c r="Q713" s="13">
        <f>CHAIN_RAW!I713</f>
        <v/>
      </c>
      <c r="R713" s="13">
        <f>CHAIN_RAW!P713</f>
        <v/>
      </c>
      <c r="S713" s="13">
        <f>IFERROR(R713/Q713,"")</f>
        <v/>
      </c>
      <c r="T713" s="13">
        <f>IFERROR((ABS(N713-O713)/MAX(1,(N713+O713)))*EXP(-ABS(E713-CONTROL!E5)/MAX(1,CONTROL!B8)),"")</f>
        <v/>
      </c>
      <c r="U713" s="13">
        <f>IFERROR(IF(O713&gt;N713,"SUPPORT (PE OI)","RESIST (CE OI)"),"")</f>
        <v/>
      </c>
      <c r="V713" s="13">
        <f>IFERROR(IF(Q713&gt;0,IF(R713&gt;0,"BOTH_ADD","CE_ADD_PE_REDUCE"),IF(R713&gt;0,"CE_REDUCE_PE_ADD","BOTH_REDUCE")),"")</f>
        <v/>
      </c>
      <c r="W713" s="13">
        <f>IFERROR( (P713-1)*0.5 + (M713)*0.1 - (I713+J713)*0.05 + T713*0.4 ,"")</f>
        <v/>
      </c>
      <c r="X713" s="13">
        <f>IFERROR(IF(ABS(F713)&lt;0.01,"ATM/NEAR",""),"")</f>
        <v/>
      </c>
    </row>
    <row r="714">
      <c r="A714" s="13">
        <f>CHAIN_RAW!A714</f>
        <v/>
      </c>
      <c r="B714" s="14">
        <f>CHAIN_RAW!B714</f>
        <v/>
      </c>
      <c r="C714" s="13">
        <f>CHAIN_RAW!C714</f>
        <v/>
      </c>
      <c r="D714" s="13">
        <f>CHAIN_RAW!D714</f>
        <v/>
      </c>
      <c r="E714" s="13">
        <f>CHAIN_RAW!E714</f>
        <v/>
      </c>
      <c r="F714" s="13">
        <f>IFERROR((E714-D714)/D714,"")</f>
        <v/>
      </c>
      <c r="G714" s="13">
        <f>IFERROR((CHAIN_RAW!K714+CHAIN_RAW!L714)/2,"")</f>
        <v/>
      </c>
      <c r="H714" s="13">
        <f>IFERROR((CHAIN_RAW!R714+CHAIN_RAW!S714)/2,"")</f>
        <v/>
      </c>
      <c r="I714" s="13">
        <f>IFERROR((CHAIN_RAW!L714-CHAIN_RAW!K714)/MAX(1E-9, G714),"")</f>
        <v/>
      </c>
      <c r="J714" s="13">
        <f>IFERROR((CHAIN_RAW!S714-CHAIN_RAW!R714)/MAX(1E-9, H714),"")</f>
        <v/>
      </c>
      <c r="K714" s="13">
        <f>CHAIN_RAW!G714</f>
        <v/>
      </c>
      <c r="L714" s="13">
        <f>CHAIN_RAW!N714</f>
        <v/>
      </c>
      <c r="M714" s="13">
        <f>IFERROR(L714-K714,"")</f>
        <v/>
      </c>
      <c r="N714" s="13">
        <f>CHAIN_RAW!H714</f>
        <v/>
      </c>
      <c r="O714" s="13">
        <f>CHAIN_RAW!O714</f>
        <v/>
      </c>
      <c r="P714" s="13">
        <f>IFERROR(O714/N714,"")</f>
        <v/>
      </c>
      <c r="Q714" s="13">
        <f>CHAIN_RAW!I714</f>
        <v/>
      </c>
      <c r="R714" s="13">
        <f>CHAIN_RAW!P714</f>
        <v/>
      </c>
      <c r="S714" s="13">
        <f>IFERROR(R714/Q714,"")</f>
        <v/>
      </c>
      <c r="T714" s="13">
        <f>IFERROR((ABS(N714-O714)/MAX(1,(N714+O714)))*EXP(-ABS(E714-CONTROL!E5)/MAX(1,CONTROL!B8)),"")</f>
        <v/>
      </c>
      <c r="U714" s="13">
        <f>IFERROR(IF(O714&gt;N714,"SUPPORT (PE OI)","RESIST (CE OI)"),"")</f>
        <v/>
      </c>
      <c r="V714" s="13">
        <f>IFERROR(IF(Q714&gt;0,IF(R714&gt;0,"BOTH_ADD","CE_ADD_PE_REDUCE"),IF(R714&gt;0,"CE_REDUCE_PE_ADD","BOTH_REDUCE")),"")</f>
        <v/>
      </c>
      <c r="W714" s="13">
        <f>IFERROR( (P714-1)*0.5 + (M714)*0.1 - (I714+J714)*0.05 + T714*0.4 ,"")</f>
        <v/>
      </c>
      <c r="X714" s="13">
        <f>IFERROR(IF(ABS(F714)&lt;0.01,"ATM/NEAR",""),"")</f>
        <v/>
      </c>
    </row>
    <row r="715">
      <c r="A715" s="13">
        <f>CHAIN_RAW!A715</f>
        <v/>
      </c>
      <c r="B715" s="14">
        <f>CHAIN_RAW!B715</f>
        <v/>
      </c>
      <c r="C715" s="13">
        <f>CHAIN_RAW!C715</f>
        <v/>
      </c>
      <c r="D715" s="13">
        <f>CHAIN_RAW!D715</f>
        <v/>
      </c>
      <c r="E715" s="13">
        <f>CHAIN_RAW!E715</f>
        <v/>
      </c>
      <c r="F715" s="13">
        <f>IFERROR((E715-D715)/D715,"")</f>
        <v/>
      </c>
      <c r="G715" s="13">
        <f>IFERROR((CHAIN_RAW!K715+CHAIN_RAW!L715)/2,"")</f>
        <v/>
      </c>
      <c r="H715" s="13">
        <f>IFERROR((CHAIN_RAW!R715+CHAIN_RAW!S715)/2,"")</f>
        <v/>
      </c>
      <c r="I715" s="13">
        <f>IFERROR((CHAIN_RAW!L715-CHAIN_RAW!K715)/MAX(1E-9, G715),"")</f>
        <v/>
      </c>
      <c r="J715" s="13">
        <f>IFERROR((CHAIN_RAW!S715-CHAIN_RAW!R715)/MAX(1E-9, H715),"")</f>
        <v/>
      </c>
      <c r="K715" s="13">
        <f>CHAIN_RAW!G715</f>
        <v/>
      </c>
      <c r="L715" s="13">
        <f>CHAIN_RAW!N715</f>
        <v/>
      </c>
      <c r="M715" s="13">
        <f>IFERROR(L715-K715,"")</f>
        <v/>
      </c>
      <c r="N715" s="13">
        <f>CHAIN_RAW!H715</f>
        <v/>
      </c>
      <c r="O715" s="13">
        <f>CHAIN_RAW!O715</f>
        <v/>
      </c>
      <c r="P715" s="13">
        <f>IFERROR(O715/N715,"")</f>
        <v/>
      </c>
      <c r="Q715" s="13">
        <f>CHAIN_RAW!I715</f>
        <v/>
      </c>
      <c r="R715" s="13">
        <f>CHAIN_RAW!P715</f>
        <v/>
      </c>
      <c r="S715" s="13">
        <f>IFERROR(R715/Q715,"")</f>
        <v/>
      </c>
      <c r="T715" s="13">
        <f>IFERROR((ABS(N715-O715)/MAX(1,(N715+O715)))*EXP(-ABS(E715-CONTROL!E5)/MAX(1,CONTROL!B8)),"")</f>
        <v/>
      </c>
      <c r="U715" s="13">
        <f>IFERROR(IF(O715&gt;N715,"SUPPORT (PE OI)","RESIST (CE OI)"),"")</f>
        <v/>
      </c>
      <c r="V715" s="13">
        <f>IFERROR(IF(Q715&gt;0,IF(R715&gt;0,"BOTH_ADD","CE_ADD_PE_REDUCE"),IF(R715&gt;0,"CE_REDUCE_PE_ADD","BOTH_REDUCE")),"")</f>
        <v/>
      </c>
      <c r="W715" s="13">
        <f>IFERROR( (P715-1)*0.5 + (M715)*0.1 - (I715+J715)*0.05 + T715*0.4 ,"")</f>
        <v/>
      </c>
      <c r="X715" s="13">
        <f>IFERROR(IF(ABS(F715)&lt;0.01,"ATM/NEAR",""),"")</f>
        <v/>
      </c>
    </row>
    <row r="716">
      <c r="A716" s="13">
        <f>CHAIN_RAW!A716</f>
        <v/>
      </c>
      <c r="B716" s="14">
        <f>CHAIN_RAW!B716</f>
        <v/>
      </c>
      <c r="C716" s="13">
        <f>CHAIN_RAW!C716</f>
        <v/>
      </c>
      <c r="D716" s="13">
        <f>CHAIN_RAW!D716</f>
        <v/>
      </c>
      <c r="E716" s="13">
        <f>CHAIN_RAW!E716</f>
        <v/>
      </c>
      <c r="F716" s="13">
        <f>IFERROR((E716-D716)/D716,"")</f>
        <v/>
      </c>
      <c r="G716" s="13">
        <f>IFERROR((CHAIN_RAW!K716+CHAIN_RAW!L716)/2,"")</f>
        <v/>
      </c>
      <c r="H716" s="13">
        <f>IFERROR((CHAIN_RAW!R716+CHAIN_RAW!S716)/2,"")</f>
        <v/>
      </c>
      <c r="I716" s="13">
        <f>IFERROR((CHAIN_RAW!L716-CHAIN_RAW!K716)/MAX(1E-9, G716),"")</f>
        <v/>
      </c>
      <c r="J716" s="13">
        <f>IFERROR((CHAIN_RAW!S716-CHAIN_RAW!R716)/MAX(1E-9, H716),"")</f>
        <v/>
      </c>
      <c r="K716" s="13">
        <f>CHAIN_RAW!G716</f>
        <v/>
      </c>
      <c r="L716" s="13">
        <f>CHAIN_RAW!N716</f>
        <v/>
      </c>
      <c r="M716" s="13">
        <f>IFERROR(L716-K716,"")</f>
        <v/>
      </c>
      <c r="N716" s="13">
        <f>CHAIN_RAW!H716</f>
        <v/>
      </c>
      <c r="O716" s="13">
        <f>CHAIN_RAW!O716</f>
        <v/>
      </c>
      <c r="P716" s="13">
        <f>IFERROR(O716/N716,"")</f>
        <v/>
      </c>
      <c r="Q716" s="13">
        <f>CHAIN_RAW!I716</f>
        <v/>
      </c>
      <c r="R716" s="13">
        <f>CHAIN_RAW!P716</f>
        <v/>
      </c>
      <c r="S716" s="13">
        <f>IFERROR(R716/Q716,"")</f>
        <v/>
      </c>
      <c r="T716" s="13">
        <f>IFERROR((ABS(N716-O716)/MAX(1,(N716+O716)))*EXP(-ABS(E716-CONTROL!E5)/MAX(1,CONTROL!B8)),"")</f>
        <v/>
      </c>
      <c r="U716" s="13">
        <f>IFERROR(IF(O716&gt;N716,"SUPPORT (PE OI)","RESIST (CE OI)"),"")</f>
        <v/>
      </c>
      <c r="V716" s="13">
        <f>IFERROR(IF(Q716&gt;0,IF(R716&gt;0,"BOTH_ADD","CE_ADD_PE_REDUCE"),IF(R716&gt;0,"CE_REDUCE_PE_ADD","BOTH_REDUCE")),"")</f>
        <v/>
      </c>
      <c r="W716" s="13">
        <f>IFERROR( (P716-1)*0.5 + (M716)*0.1 - (I716+J716)*0.05 + T716*0.4 ,"")</f>
        <v/>
      </c>
      <c r="X716" s="13">
        <f>IFERROR(IF(ABS(F716)&lt;0.01,"ATM/NEAR",""),"")</f>
        <v/>
      </c>
    </row>
    <row r="717">
      <c r="A717" s="13">
        <f>CHAIN_RAW!A717</f>
        <v/>
      </c>
      <c r="B717" s="14">
        <f>CHAIN_RAW!B717</f>
        <v/>
      </c>
      <c r="C717" s="13">
        <f>CHAIN_RAW!C717</f>
        <v/>
      </c>
      <c r="D717" s="13">
        <f>CHAIN_RAW!D717</f>
        <v/>
      </c>
      <c r="E717" s="13">
        <f>CHAIN_RAW!E717</f>
        <v/>
      </c>
      <c r="F717" s="13">
        <f>IFERROR((E717-D717)/D717,"")</f>
        <v/>
      </c>
      <c r="G717" s="13">
        <f>IFERROR((CHAIN_RAW!K717+CHAIN_RAW!L717)/2,"")</f>
        <v/>
      </c>
      <c r="H717" s="13">
        <f>IFERROR((CHAIN_RAW!R717+CHAIN_RAW!S717)/2,"")</f>
        <v/>
      </c>
      <c r="I717" s="13">
        <f>IFERROR((CHAIN_RAW!L717-CHAIN_RAW!K717)/MAX(1E-9, G717),"")</f>
        <v/>
      </c>
      <c r="J717" s="13">
        <f>IFERROR((CHAIN_RAW!S717-CHAIN_RAW!R717)/MAX(1E-9, H717),"")</f>
        <v/>
      </c>
      <c r="K717" s="13">
        <f>CHAIN_RAW!G717</f>
        <v/>
      </c>
      <c r="L717" s="13">
        <f>CHAIN_RAW!N717</f>
        <v/>
      </c>
      <c r="M717" s="13">
        <f>IFERROR(L717-K717,"")</f>
        <v/>
      </c>
      <c r="N717" s="13">
        <f>CHAIN_RAW!H717</f>
        <v/>
      </c>
      <c r="O717" s="13">
        <f>CHAIN_RAW!O717</f>
        <v/>
      </c>
      <c r="P717" s="13">
        <f>IFERROR(O717/N717,"")</f>
        <v/>
      </c>
      <c r="Q717" s="13">
        <f>CHAIN_RAW!I717</f>
        <v/>
      </c>
      <c r="R717" s="13">
        <f>CHAIN_RAW!P717</f>
        <v/>
      </c>
      <c r="S717" s="13">
        <f>IFERROR(R717/Q717,"")</f>
        <v/>
      </c>
      <c r="T717" s="13">
        <f>IFERROR((ABS(N717-O717)/MAX(1,(N717+O717)))*EXP(-ABS(E717-CONTROL!E5)/MAX(1,CONTROL!B8)),"")</f>
        <v/>
      </c>
      <c r="U717" s="13">
        <f>IFERROR(IF(O717&gt;N717,"SUPPORT (PE OI)","RESIST (CE OI)"),"")</f>
        <v/>
      </c>
      <c r="V717" s="13">
        <f>IFERROR(IF(Q717&gt;0,IF(R717&gt;0,"BOTH_ADD","CE_ADD_PE_REDUCE"),IF(R717&gt;0,"CE_REDUCE_PE_ADD","BOTH_REDUCE")),"")</f>
        <v/>
      </c>
      <c r="W717" s="13">
        <f>IFERROR( (P717-1)*0.5 + (M717)*0.1 - (I717+J717)*0.05 + T717*0.4 ,"")</f>
        <v/>
      </c>
      <c r="X717" s="13">
        <f>IFERROR(IF(ABS(F717)&lt;0.01,"ATM/NEAR",""),"")</f>
        <v/>
      </c>
    </row>
    <row r="718">
      <c r="A718" s="13">
        <f>CHAIN_RAW!A718</f>
        <v/>
      </c>
      <c r="B718" s="14">
        <f>CHAIN_RAW!B718</f>
        <v/>
      </c>
      <c r="C718" s="13">
        <f>CHAIN_RAW!C718</f>
        <v/>
      </c>
      <c r="D718" s="13">
        <f>CHAIN_RAW!D718</f>
        <v/>
      </c>
      <c r="E718" s="13">
        <f>CHAIN_RAW!E718</f>
        <v/>
      </c>
      <c r="F718" s="13">
        <f>IFERROR((E718-D718)/D718,"")</f>
        <v/>
      </c>
      <c r="G718" s="13">
        <f>IFERROR((CHAIN_RAW!K718+CHAIN_RAW!L718)/2,"")</f>
        <v/>
      </c>
      <c r="H718" s="13">
        <f>IFERROR((CHAIN_RAW!R718+CHAIN_RAW!S718)/2,"")</f>
        <v/>
      </c>
      <c r="I718" s="13">
        <f>IFERROR((CHAIN_RAW!L718-CHAIN_RAW!K718)/MAX(1E-9, G718),"")</f>
        <v/>
      </c>
      <c r="J718" s="13">
        <f>IFERROR((CHAIN_RAW!S718-CHAIN_RAW!R718)/MAX(1E-9, H718),"")</f>
        <v/>
      </c>
      <c r="K718" s="13">
        <f>CHAIN_RAW!G718</f>
        <v/>
      </c>
      <c r="L718" s="13">
        <f>CHAIN_RAW!N718</f>
        <v/>
      </c>
      <c r="M718" s="13">
        <f>IFERROR(L718-K718,"")</f>
        <v/>
      </c>
      <c r="N718" s="13">
        <f>CHAIN_RAW!H718</f>
        <v/>
      </c>
      <c r="O718" s="13">
        <f>CHAIN_RAW!O718</f>
        <v/>
      </c>
      <c r="P718" s="13">
        <f>IFERROR(O718/N718,"")</f>
        <v/>
      </c>
      <c r="Q718" s="13">
        <f>CHAIN_RAW!I718</f>
        <v/>
      </c>
      <c r="R718" s="13">
        <f>CHAIN_RAW!P718</f>
        <v/>
      </c>
      <c r="S718" s="13">
        <f>IFERROR(R718/Q718,"")</f>
        <v/>
      </c>
      <c r="T718" s="13">
        <f>IFERROR((ABS(N718-O718)/MAX(1,(N718+O718)))*EXP(-ABS(E718-CONTROL!E5)/MAX(1,CONTROL!B8)),"")</f>
        <v/>
      </c>
      <c r="U718" s="13">
        <f>IFERROR(IF(O718&gt;N718,"SUPPORT (PE OI)","RESIST (CE OI)"),"")</f>
        <v/>
      </c>
      <c r="V718" s="13">
        <f>IFERROR(IF(Q718&gt;0,IF(R718&gt;0,"BOTH_ADD","CE_ADD_PE_REDUCE"),IF(R718&gt;0,"CE_REDUCE_PE_ADD","BOTH_REDUCE")),"")</f>
        <v/>
      </c>
      <c r="W718" s="13">
        <f>IFERROR( (P718-1)*0.5 + (M718)*0.1 - (I718+J718)*0.05 + T718*0.4 ,"")</f>
        <v/>
      </c>
      <c r="X718" s="13">
        <f>IFERROR(IF(ABS(F718)&lt;0.01,"ATM/NEAR",""),"")</f>
        <v/>
      </c>
    </row>
    <row r="719">
      <c r="A719" s="13">
        <f>CHAIN_RAW!A719</f>
        <v/>
      </c>
      <c r="B719" s="14">
        <f>CHAIN_RAW!B719</f>
        <v/>
      </c>
      <c r="C719" s="13">
        <f>CHAIN_RAW!C719</f>
        <v/>
      </c>
      <c r="D719" s="13">
        <f>CHAIN_RAW!D719</f>
        <v/>
      </c>
      <c r="E719" s="13">
        <f>CHAIN_RAW!E719</f>
        <v/>
      </c>
      <c r="F719" s="13">
        <f>IFERROR((E719-D719)/D719,"")</f>
        <v/>
      </c>
      <c r="G719" s="13">
        <f>IFERROR((CHAIN_RAW!K719+CHAIN_RAW!L719)/2,"")</f>
        <v/>
      </c>
      <c r="H719" s="13">
        <f>IFERROR((CHAIN_RAW!R719+CHAIN_RAW!S719)/2,"")</f>
        <v/>
      </c>
      <c r="I719" s="13">
        <f>IFERROR((CHAIN_RAW!L719-CHAIN_RAW!K719)/MAX(1E-9, G719),"")</f>
        <v/>
      </c>
      <c r="J719" s="13">
        <f>IFERROR((CHAIN_RAW!S719-CHAIN_RAW!R719)/MAX(1E-9, H719),"")</f>
        <v/>
      </c>
      <c r="K719" s="13">
        <f>CHAIN_RAW!G719</f>
        <v/>
      </c>
      <c r="L719" s="13">
        <f>CHAIN_RAW!N719</f>
        <v/>
      </c>
      <c r="M719" s="13">
        <f>IFERROR(L719-K719,"")</f>
        <v/>
      </c>
      <c r="N719" s="13">
        <f>CHAIN_RAW!H719</f>
        <v/>
      </c>
      <c r="O719" s="13">
        <f>CHAIN_RAW!O719</f>
        <v/>
      </c>
      <c r="P719" s="13">
        <f>IFERROR(O719/N719,"")</f>
        <v/>
      </c>
      <c r="Q719" s="13">
        <f>CHAIN_RAW!I719</f>
        <v/>
      </c>
      <c r="R719" s="13">
        <f>CHAIN_RAW!P719</f>
        <v/>
      </c>
      <c r="S719" s="13">
        <f>IFERROR(R719/Q719,"")</f>
        <v/>
      </c>
      <c r="T719" s="13">
        <f>IFERROR((ABS(N719-O719)/MAX(1,(N719+O719)))*EXP(-ABS(E719-CONTROL!E5)/MAX(1,CONTROL!B8)),"")</f>
        <v/>
      </c>
      <c r="U719" s="13">
        <f>IFERROR(IF(O719&gt;N719,"SUPPORT (PE OI)","RESIST (CE OI)"),"")</f>
        <v/>
      </c>
      <c r="V719" s="13">
        <f>IFERROR(IF(Q719&gt;0,IF(R719&gt;0,"BOTH_ADD","CE_ADD_PE_REDUCE"),IF(R719&gt;0,"CE_REDUCE_PE_ADD","BOTH_REDUCE")),"")</f>
        <v/>
      </c>
      <c r="W719" s="13">
        <f>IFERROR( (P719-1)*0.5 + (M719)*0.1 - (I719+J719)*0.05 + T719*0.4 ,"")</f>
        <v/>
      </c>
      <c r="X719" s="13">
        <f>IFERROR(IF(ABS(F719)&lt;0.01,"ATM/NEAR",""),"")</f>
        <v/>
      </c>
    </row>
    <row r="720">
      <c r="A720" s="13">
        <f>CHAIN_RAW!A720</f>
        <v/>
      </c>
      <c r="B720" s="14">
        <f>CHAIN_RAW!B720</f>
        <v/>
      </c>
      <c r="C720" s="13">
        <f>CHAIN_RAW!C720</f>
        <v/>
      </c>
      <c r="D720" s="13">
        <f>CHAIN_RAW!D720</f>
        <v/>
      </c>
      <c r="E720" s="13">
        <f>CHAIN_RAW!E720</f>
        <v/>
      </c>
      <c r="F720" s="13">
        <f>IFERROR((E720-D720)/D720,"")</f>
        <v/>
      </c>
      <c r="G720" s="13">
        <f>IFERROR((CHAIN_RAW!K720+CHAIN_RAW!L720)/2,"")</f>
        <v/>
      </c>
      <c r="H720" s="13">
        <f>IFERROR((CHAIN_RAW!R720+CHAIN_RAW!S720)/2,"")</f>
        <v/>
      </c>
      <c r="I720" s="13">
        <f>IFERROR((CHAIN_RAW!L720-CHAIN_RAW!K720)/MAX(1E-9, G720),"")</f>
        <v/>
      </c>
      <c r="J720" s="13">
        <f>IFERROR((CHAIN_RAW!S720-CHAIN_RAW!R720)/MAX(1E-9, H720),"")</f>
        <v/>
      </c>
      <c r="K720" s="13">
        <f>CHAIN_RAW!G720</f>
        <v/>
      </c>
      <c r="L720" s="13">
        <f>CHAIN_RAW!N720</f>
        <v/>
      </c>
      <c r="M720" s="13">
        <f>IFERROR(L720-K720,"")</f>
        <v/>
      </c>
      <c r="N720" s="13">
        <f>CHAIN_RAW!H720</f>
        <v/>
      </c>
      <c r="O720" s="13">
        <f>CHAIN_RAW!O720</f>
        <v/>
      </c>
      <c r="P720" s="13">
        <f>IFERROR(O720/N720,"")</f>
        <v/>
      </c>
      <c r="Q720" s="13">
        <f>CHAIN_RAW!I720</f>
        <v/>
      </c>
      <c r="R720" s="13">
        <f>CHAIN_RAW!P720</f>
        <v/>
      </c>
      <c r="S720" s="13">
        <f>IFERROR(R720/Q720,"")</f>
        <v/>
      </c>
      <c r="T720" s="13">
        <f>IFERROR((ABS(N720-O720)/MAX(1,(N720+O720)))*EXP(-ABS(E720-CONTROL!E5)/MAX(1,CONTROL!B8)),"")</f>
        <v/>
      </c>
      <c r="U720" s="13">
        <f>IFERROR(IF(O720&gt;N720,"SUPPORT (PE OI)","RESIST (CE OI)"),"")</f>
        <v/>
      </c>
      <c r="V720" s="13">
        <f>IFERROR(IF(Q720&gt;0,IF(R720&gt;0,"BOTH_ADD","CE_ADD_PE_REDUCE"),IF(R720&gt;0,"CE_REDUCE_PE_ADD","BOTH_REDUCE")),"")</f>
        <v/>
      </c>
      <c r="W720" s="13">
        <f>IFERROR( (P720-1)*0.5 + (M720)*0.1 - (I720+J720)*0.05 + T720*0.4 ,"")</f>
        <v/>
      </c>
      <c r="X720" s="13">
        <f>IFERROR(IF(ABS(F720)&lt;0.01,"ATM/NEAR",""),"")</f>
        <v/>
      </c>
    </row>
    <row r="721">
      <c r="A721" s="13">
        <f>CHAIN_RAW!A721</f>
        <v/>
      </c>
      <c r="B721" s="14">
        <f>CHAIN_RAW!B721</f>
        <v/>
      </c>
      <c r="C721" s="13">
        <f>CHAIN_RAW!C721</f>
        <v/>
      </c>
      <c r="D721" s="13">
        <f>CHAIN_RAW!D721</f>
        <v/>
      </c>
      <c r="E721" s="13">
        <f>CHAIN_RAW!E721</f>
        <v/>
      </c>
      <c r="F721" s="13">
        <f>IFERROR((E721-D721)/D721,"")</f>
        <v/>
      </c>
      <c r="G721" s="13">
        <f>IFERROR((CHAIN_RAW!K721+CHAIN_RAW!L721)/2,"")</f>
        <v/>
      </c>
      <c r="H721" s="13">
        <f>IFERROR((CHAIN_RAW!R721+CHAIN_RAW!S721)/2,"")</f>
        <v/>
      </c>
      <c r="I721" s="13">
        <f>IFERROR((CHAIN_RAW!L721-CHAIN_RAW!K721)/MAX(1E-9, G721),"")</f>
        <v/>
      </c>
      <c r="J721" s="13">
        <f>IFERROR((CHAIN_RAW!S721-CHAIN_RAW!R721)/MAX(1E-9, H721),"")</f>
        <v/>
      </c>
      <c r="K721" s="13">
        <f>CHAIN_RAW!G721</f>
        <v/>
      </c>
      <c r="L721" s="13">
        <f>CHAIN_RAW!N721</f>
        <v/>
      </c>
      <c r="M721" s="13">
        <f>IFERROR(L721-K721,"")</f>
        <v/>
      </c>
      <c r="N721" s="13">
        <f>CHAIN_RAW!H721</f>
        <v/>
      </c>
      <c r="O721" s="13">
        <f>CHAIN_RAW!O721</f>
        <v/>
      </c>
      <c r="P721" s="13">
        <f>IFERROR(O721/N721,"")</f>
        <v/>
      </c>
      <c r="Q721" s="13">
        <f>CHAIN_RAW!I721</f>
        <v/>
      </c>
      <c r="R721" s="13">
        <f>CHAIN_RAW!P721</f>
        <v/>
      </c>
      <c r="S721" s="13">
        <f>IFERROR(R721/Q721,"")</f>
        <v/>
      </c>
      <c r="T721" s="13">
        <f>IFERROR((ABS(N721-O721)/MAX(1,(N721+O721)))*EXP(-ABS(E721-CONTROL!E5)/MAX(1,CONTROL!B8)),"")</f>
        <v/>
      </c>
      <c r="U721" s="13">
        <f>IFERROR(IF(O721&gt;N721,"SUPPORT (PE OI)","RESIST (CE OI)"),"")</f>
        <v/>
      </c>
      <c r="V721" s="13">
        <f>IFERROR(IF(Q721&gt;0,IF(R721&gt;0,"BOTH_ADD","CE_ADD_PE_REDUCE"),IF(R721&gt;0,"CE_REDUCE_PE_ADD","BOTH_REDUCE")),"")</f>
        <v/>
      </c>
      <c r="W721" s="13">
        <f>IFERROR( (P721-1)*0.5 + (M721)*0.1 - (I721+J721)*0.05 + T721*0.4 ,"")</f>
        <v/>
      </c>
      <c r="X721" s="13">
        <f>IFERROR(IF(ABS(F721)&lt;0.01,"ATM/NEAR",""),"")</f>
        <v/>
      </c>
    </row>
    <row r="722">
      <c r="A722" s="13">
        <f>CHAIN_RAW!A722</f>
        <v/>
      </c>
      <c r="B722" s="14">
        <f>CHAIN_RAW!B722</f>
        <v/>
      </c>
      <c r="C722" s="13">
        <f>CHAIN_RAW!C722</f>
        <v/>
      </c>
      <c r="D722" s="13">
        <f>CHAIN_RAW!D722</f>
        <v/>
      </c>
      <c r="E722" s="13">
        <f>CHAIN_RAW!E722</f>
        <v/>
      </c>
      <c r="F722" s="13">
        <f>IFERROR((E722-D722)/D722,"")</f>
        <v/>
      </c>
      <c r="G722" s="13">
        <f>IFERROR((CHAIN_RAW!K722+CHAIN_RAW!L722)/2,"")</f>
        <v/>
      </c>
      <c r="H722" s="13">
        <f>IFERROR((CHAIN_RAW!R722+CHAIN_RAW!S722)/2,"")</f>
        <v/>
      </c>
      <c r="I722" s="13">
        <f>IFERROR((CHAIN_RAW!L722-CHAIN_RAW!K722)/MAX(1E-9, G722),"")</f>
        <v/>
      </c>
      <c r="J722" s="13">
        <f>IFERROR((CHAIN_RAW!S722-CHAIN_RAW!R722)/MAX(1E-9, H722),"")</f>
        <v/>
      </c>
      <c r="K722" s="13">
        <f>CHAIN_RAW!G722</f>
        <v/>
      </c>
      <c r="L722" s="13">
        <f>CHAIN_RAW!N722</f>
        <v/>
      </c>
      <c r="M722" s="13">
        <f>IFERROR(L722-K722,"")</f>
        <v/>
      </c>
      <c r="N722" s="13">
        <f>CHAIN_RAW!H722</f>
        <v/>
      </c>
      <c r="O722" s="13">
        <f>CHAIN_RAW!O722</f>
        <v/>
      </c>
      <c r="P722" s="13">
        <f>IFERROR(O722/N722,"")</f>
        <v/>
      </c>
      <c r="Q722" s="13">
        <f>CHAIN_RAW!I722</f>
        <v/>
      </c>
      <c r="R722" s="13">
        <f>CHAIN_RAW!P722</f>
        <v/>
      </c>
      <c r="S722" s="13">
        <f>IFERROR(R722/Q722,"")</f>
        <v/>
      </c>
      <c r="T722" s="13">
        <f>IFERROR((ABS(N722-O722)/MAX(1,(N722+O722)))*EXP(-ABS(E722-CONTROL!E5)/MAX(1,CONTROL!B8)),"")</f>
        <v/>
      </c>
      <c r="U722" s="13">
        <f>IFERROR(IF(O722&gt;N722,"SUPPORT (PE OI)","RESIST (CE OI)"),"")</f>
        <v/>
      </c>
      <c r="V722" s="13">
        <f>IFERROR(IF(Q722&gt;0,IF(R722&gt;0,"BOTH_ADD","CE_ADD_PE_REDUCE"),IF(R722&gt;0,"CE_REDUCE_PE_ADD","BOTH_REDUCE")),"")</f>
        <v/>
      </c>
      <c r="W722" s="13">
        <f>IFERROR( (P722-1)*0.5 + (M722)*0.1 - (I722+J722)*0.05 + T722*0.4 ,"")</f>
        <v/>
      </c>
      <c r="X722" s="13">
        <f>IFERROR(IF(ABS(F722)&lt;0.01,"ATM/NEAR",""),"")</f>
        <v/>
      </c>
    </row>
    <row r="723">
      <c r="A723" s="13">
        <f>CHAIN_RAW!A723</f>
        <v/>
      </c>
      <c r="B723" s="14">
        <f>CHAIN_RAW!B723</f>
        <v/>
      </c>
      <c r="C723" s="13">
        <f>CHAIN_RAW!C723</f>
        <v/>
      </c>
      <c r="D723" s="13">
        <f>CHAIN_RAW!D723</f>
        <v/>
      </c>
      <c r="E723" s="13">
        <f>CHAIN_RAW!E723</f>
        <v/>
      </c>
      <c r="F723" s="13">
        <f>IFERROR((E723-D723)/D723,"")</f>
        <v/>
      </c>
      <c r="G723" s="13">
        <f>IFERROR((CHAIN_RAW!K723+CHAIN_RAW!L723)/2,"")</f>
        <v/>
      </c>
      <c r="H723" s="13">
        <f>IFERROR((CHAIN_RAW!R723+CHAIN_RAW!S723)/2,"")</f>
        <v/>
      </c>
      <c r="I723" s="13">
        <f>IFERROR((CHAIN_RAW!L723-CHAIN_RAW!K723)/MAX(1E-9, G723),"")</f>
        <v/>
      </c>
      <c r="J723" s="13">
        <f>IFERROR((CHAIN_RAW!S723-CHAIN_RAW!R723)/MAX(1E-9, H723),"")</f>
        <v/>
      </c>
      <c r="K723" s="13">
        <f>CHAIN_RAW!G723</f>
        <v/>
      </c>
      <c r="L723" s="13">
        <f>CHAIN_RAW!N723</f>
        <v/>
      </c>
      <c r="M723" s="13">
        <f>IFERROR(L723-K723,"")</f>
        <v/>
      </c>
      <c r="N723" s="13">
        <f>CHAIN_RAW!H723</f>
        <v/>
      </c>
      <c r="O723" s="13">
        <f>CHAIN_RAW!O723</f>
        <v/>
      </c>
      <c r="P723" s="13">
        <f>IFERROR(O723/N723,"")</f>
        <v/>
      </c>
      <c r="Q723" s="13">
        <f>CHAIN_RAW!I723</f>
        <v/>
      </c>
      <c r="R723" s="13">
        <f>CHAIN_RAW!P723</f>
        <v/>
      </c>
      <c r="S723" s="13">
        <f>IFERROR(R723/Q723,"")</f>
        <v/>
      </c>
      <c r="T723" s="13">
        <f>IFERROR((ABS(N723-O723)/MAX(1,(N723+O723)))*EXP(-ABS(E723-CONTROL!E5)/MAX(1,CONTROL!B8)),"")</f>
        <v/>
      </c>
      <c r="U723" s="13">
        <f>IFERROR(IF(O723&gt;N723,"SUPPORT (PE OI)","RESIST (CE OI)"),"")</f>
        <v/>
      </c>
      <c r="V723" s="13">
        <f>IFERROR(IF(Q723&gt;0,IF(R723&gt;0,"BOTH_ADD","CE_ADD_PE_REDUCE"),IF(R723&gt;0,"CE_REDUCE_PE_ADD","BOTH_REDUCE")),"")</f>
        <v/>
      </c>
      <c r="W723" s="13">
        <f>IFERROR( (P723-1)*0.5 + (M723)*0.1 - (I723+J723)*0.05 + T723*0.4 ,"")</f>
        <v/>
      </c>
      <c r="X723" s="13">
        <f>IFERROR(IF(ABS(F723)&lt;0.01,"ATM/NEAR",""),"")</f>
        <v/>
      </c>
    </row>
    <row r="724">
      <c r="A724" s="13">
        <f>CHAIN_RAW!A724</f>
        <v/>
      </c>
      <c r="B724" s="14">
        <f>CHAIN_RAW!B724</f>
        <v/>
      </c>
      <c r="C724" s="13">
        <f>CHAIN_RAW!C724</f>
        <v/>
      </c>
      <c r="D724" s="13">
        <f>CHAIN_RAW!D724</f>
        <v/>
      </c>
      <c r="E724" s="13">
        <f>CHAIN_RAW!E724</f>
        <v/>
      </c>
      <c r="F724" s="13">
        <f>IFERROR((E724-D724)/D724,"")</f>
        <v/>
      </c>
      <c r="G724" s="13">
        <f>IFERROR((CHAIN_RAW!K724+CHAIN_RAW!L724)/2,"")</f>
        <v/>
      </c>
      <c r="H724" s="13">
        <f>IFERROR((CHAIN_RAW!R724+CHAIN_RAW!S724)/2,"")</f>
        <v/>
      </c>
      <c r="I724" s="13">
        <f>IFERROR((CHAIN_RAW!L724-CHAIN_RAW!K724)/MAX(1E-9, G724),"")</f>
        <v/>
      </c>
      <c r="J724" s="13">
        <f>IFERROR((CHAIN_RAW!S724-CHAIN_RAW!R724)/MAX(1E-9, H724),"")</f>
        <v/>
      </c>
      <c r="K724" s="13">
        <f>CHAIN_RAW!G724</f>
        <v/>
      </c>
      <c r="L724" s="13">
        <f>CHAIN_RAW!N724</f>
        <v/>
      </c>
      <c r="M724" s="13">
        <f>IFERROR(L724-K724,"")</f>
        <v/>
      </c>
      <c r="N724" s="13">
        <f>CHAIN_RAW!H724</f>
        <v/>
      </c>
      <c r="O724" s="13">
        <f>CHAIN_RAW!O724</f>
        <v/>
      </c>
      <c r="P724" s="13">
        <f>IFERROR(O724/N724,"")</f>
        <v/>
      </c>
      <c r="Q724" s="13">
        <f>CHAIN_RAW!I724</f>
        <v/>
      </c>
      <c r="R724" s="13">
        <f>CHAIN_RAW!P724</f>
        <v/>
      </c>
      <c r="S724" s="13">
        <f>IFERROR(R724/Q724,"")</f>
        <v/>
      </c>
      <c r="T724" s="13">
        <f>IFERROR((ABS(N724-O724)/MAX(1,(N724+O724)))*EXP(-ABS(E724-CONTROL!E5)/MAX(1,CONTROL!B8)),"")</f>
        <v/>
      </c>
      <c r="U724" s="13">
        <f>IFERROR(IF(O724&gt;N724,"SUPPORT (PE OI)","RESIST (CE OI)"),"")</f>
        <v/>
      </c>
      <c r="V724" s="13">
        <f>IFERROR(IF(Q724&gt;0,IF(R724&gt;0,"BOTH_ADD","CE_ADD_PE_REDUCE"),IF(R724&gt;0,"CE_REDUCE_PE_ADD","BOTH_REDUCE")),"")</f>
        <v/>
      </c>
      <c r="W724" s="13">
        <f>IFERROR( (P724-1)*0.5 + (M724)*0.1 - (I724+J724)*0.05 + T724*0.4 ,"")</f>
        <v/>
      </c>
      <c r="X724" s="13">
        <f>IFERROR(IF(ABS(F724)&lt;0.01,"ATM/NEAR",""),"")</f>
        <v/>
      </c>
    </row>
    <row r="725">
      <c r="A725" s="13">
        <f>CHAIN_RAW!A725</f>
        <v/>
      </c>
      <c r="B725" s="14">
        <f>CHAIN_RAW!B725</f>
        <v/>
      </c>
      <c r="C725" s="13">
        <f>CHAIN_RAW!C725</f>
        <v/>
      </c>
      <c r="D725" s="13">
        <f>CHAIN_RAW!D725</f>
        <v/>
      </c>
      <c r="E725" s="13">
        <f>CHAIN_RAW!E725</f>
        <v/>
      </c>
      <c r="F725" s="13">
        <f>IFERROR((E725-D725)/D725,"")</f>
        <v/>
      </c>
      <c r="G725" s="13">
        <f>IFERROR((CHAIN_RAW!K725+CHAIN_RAW!L725)/2,"")</f>
        <v/>
      </c>
      <c r="H725" s="13">
        <f>IFERROR((CHAIN_RAW!R725+CHAIN_RAW!S725)/2,"")</f>
        <v/>
      </c>
      <c r="I725" s="13">
        <f>IFERROR((CHAIN_RAW!L725-CHAIN_RAW!K725)/MAX(1E-9, G725),"")</f>
        <v/>
      </c>
      <c r="J725" s="13">
        <f>IFERROR((CHAIN_RAW!S725-CHAIN_RAW!R725)/MAX(1E-9, H725),"")</f>
        <v/>
      </c>
      <c r="K725" s="13">
        <f>CHAIN_RAW!G725</f>
        <v/>
      </c>
      <c r="L725" s="13">
        <f>CHAIN_RAW!N725</f>
        <v/>
      </c>
      <c r="M725" s="13">
        <f>IFERROR(L725-K725,"")</f>
        <v/>
      </c>
      <c r="N725" s="13">
        <f>CHAIN_RAW!H725</f>
        <v/>
      </c>
      <c r="O725" s="13">
        <f>CHAIN_RAW!O725</f>
        <v/>
      </c>
      <c r="P725" s="13">
        <f>IFERROR(O725/N725,"")</f>
        <v/>
      </c>
      <c r="Q725" s="13">
        <f>CHAIN_RAW!I725</f>
        <v/>
      </c>
      <c r="R725" s="13">
        <f>CHAIN_RAW!P725</f>
        <v/>
      </c>
      <c r="S725" s="13">
        <f>IFERROR(R725/Q725,"")</f>
        <v/>
      </c>
      <c r="T725" s="13">
        <f>IFERROR((ABS(N725-O725)/MAX(1,(N725+O725)))*EXP(-ABS(E725-CONTROL!E5)/MAX(1,CONTROL!B8)),"")</f>
        <v/>
      </c>
      <c r="U725" s="13">
        <f>IFERROR(IF(O725&gt;N725,"SUPPORT (PE OI)","RESIST (CE OI)"),"")</f>
        <v/>
      </c>
      <c r="V725" s="13">
        <f>IFERROR(IF(Q725&gt;0,IF(R725&gt;0,"BOTH_ADD","CE_ADD_PE_REDUCE"),IF(R725&gt;0,"CE_REDUCE_PE_ADD","BOTH_REDUCE")),"")</f>
        <v/>
      </c>
      <c r="W725" s="13">
        <f>IFERROR( (P725-1)*0.5 + (M725)*0.1 - (I725+J725)*0.05 + T725*0.4 ,"")</f>
        <v/>
      </c>
      <c r="X725" s="13">
        <f>IFERROR(IF(ABS(F725)&lt;0.01,"ATM/NEAR",""),"")</f>
        <v/>
      </c>
    </row>
    <row r="726">
      <c r="A726" s="13">
        <f>CHAIN_RAW!A726</f>
        <v/>
      </c>
      <c r="B726" s="14">
        <f>CHAIN_RAW!B726</f>
        <v/>
      </c>
      <c r="C726" s="13">
        <f>CHAIN_RAW!C726</f>
        <v/>
      </c>
      <c r="D726" s="13">
        <f>CHAIN_RAW!D726</f>
        <v/>
      </c>
      <c r="E726" s="13">
        <f>CHAIN_RAW!E726</f>
        <v/>
      </c>
      <c r="F726" s="13">
        <f>IFERROR((E726-D726)/D726,"")</f>
        <v/>
      </c>
      <c r="G726" s="13">
        <f>IFERROR((CHAIN_RAW!K726+CHAIN_RAW!L726)/2,"")</f>
        <v/>
      </c>
      <c r="H726" s="13">
        <f>IFERROR((CHAIN_RAW!R726+CHAIN_RAW!S726)/2,"")</f>
        <v/>
      </c>
      <c r="I726" s="13">
        <f>IFERROR((CHAIN_RAW!L726-CHAIN_RAW!K726)/MAX(1E-9, G726),"")</f>
        <v/>
      </c>
      <c r="J726" s="13">
        <f>IFERROR((CHAIN_RAW!S726-CHAIN_RAW!R726)/MAX(1E-9, H726),"")</f>
        <v/>
      </c>
      <c r="K726" s="13">
        <f>CHAIN_RAW!G726</f>
        <v/>
      </c>
      <c r="L726" s="13">
        <f>CHAIN_RAW!N726</f>
        <v/>
      </c>
      <c r="M726" s="13">
        <f>IFERROR(L726-K726,"")</f>
        <v/>
      </c>
      <c r="N726" s="13">
        <f>CHAIN_RAW!H726</f>
        <v/>
      </c>
      <c r="O726" s="13">
        <f>CHAIN_RAW!O726</f>
        <v/>
      </c>
      <c r="P726" s="13">
        <f>IFERROR(O726/N726,"")</f>
        <v/>
      </c>
      <c r="Q726" s="13">
        <f>CHAIN_RAW!I726</f>
        <v/>
      </c>
      <c r="R726" s="13">
        <f>CHAIN_RAW!P726</f>
        <v/>
      </c>
      <c r="S726" s="13">
        <f>IFERROR(R726/Q726,"")</f>
        <v/>
      </c>
      <c r="T726" s="13">
        <f>IFERROR((ABS(N726-O726)/MAX(1,(N726+O726)))*EXP(-ABS(E726-CONTROL!E5)/MAX(1,CONTROL!B8)),"")</f>
        <v/>
      </c>
      <c r="U726" s="13">
        <f>IFERROR(IF(O726&gt;N726,"SUPPORT (PE OI)","RESIST (CE OI)"),"")</f>
        <v/>
      </c>
      <c r="V726" s="13">
        <f>IFERROR(IF(Q726&gt;0,IF(R726&gt;0,"BOTH_ADD","CE_ADD_PE_REDUCE"),IF(R726&gt;0,"CE_REDUCE_PE_ADD","BOTH_REDUCE")),"")</f>
        <v/>
      </c>
      <c r="W726" s="13">
        <f>IFERROR( (P726-1)*0.5 + (M726)*0.1 - (I726+J726)*0.05 + T726*0.4 ,"")</f>
        <v/>
      </c>
      <c r="X726" s="13">
        <f>IFERROR(IF(ABS(F726)&lt;0.01,"ATM/NEAR",""),"")</f>
        <v/>
      </c>
    </row>
    <row r="727">
      <c r="A727" s="13">
        <f>CHAIN_RAW!A727</f>
        <v/>
      </c>
      <c r="B727" s="14">
        <f>CHAIN_RAW!B727</f>
        <v/>
      </c>
      <c r="C727" s="13">
        <f>CHAIN_RAW!C727</f>
        <v/>
      </c>
      <c r="D727" s="13">
        <f>CHAIN_RAW!D727</f>
        <v/>
      </c>
      <c r="E727" s="13">
        <f>CHAIN_RAW!E727</f>
        <v/>
      </c>
      <c r="F727" s="13">
        <f>IFERROR((E727-D727)/D727,"")</f>
        <v/>
      </c>
      <c r="G727" s="13">
        <f>IFERROR((CHAIN_RAW!K727+CHAIN_RAW!L727)/2,"")</f>
        <v/>
      </c>
      <c r="H727" s="13">
        <f>IFERROR((CHAIN_RAW!R727+CHAIN_RAW!S727)/2,"")</f>
        <v/>
      </c>
      <c r="I727" s="13">
        <f>IFERROR((CHAIN_RAW!L727-CHAIN_RAW!K727)/MAX(1E-9, G727),"")</f>
        <v/>
      </c>
      <c r="J727" s="13">
        <f>IFERROR((CHAIN_RAW!S727-CHAIN_RAW!R727)/MAX(1E-9, H727),"")</f>
        <v/>
      </c>
      <c r="K727" s="13">
        <f>CHAIN_RAW!G727</f>
        <v/>
      </c>
      <c r="L727" s="13">
        <f>CHAIN_RAW!N727</f>
        <v/>
      </c>
      <c r="M727" s="13">
        <f>IFERROR(L727-K727,"")</f>
        <v/>
      </c>
      <c r="N727" s="13">
        <f>CHAIN_RAW!H727</f>
        <v/>
      </c>
      <c r="O727" s="13">
        <f>CHAIN_RAW!O727</f>
        <v/>
      </c>
      <c r="P727" s="13">
        <f>IFERROR(O727/N727,"")</f>
        <v/>
      </c>
      <c r="Q727" s="13">
        <f>CHAIN_RAW!I727</f>
        <v/>
      </c>
      <c r="R727" s="13">
        <f>CHAIN_RAW!P727</f>
        <v/>
      </c>
      <c r="S727" s="13">
        <f>IFERROR(R727/Q727,"")</f>
        <v/>
      </c>
      <c r="T727" s="13">
        <f>IFERROR((ABS(N727-O727)/MAX(1,(N727+O727)))*EXP(-ABS(E727-CONTROL!E5)/MAX(1,CONTROL!B8)),"")</f>
        <v/>
      </c>
      <c r="U727" s="13">
        <f>IFERROR(IF(O727&gt;N727,"SUPPORT (PE OI)","RESIST (CE OI)"),"")</f>
        <v/>
      </c>
      <c r="V727" s="13">
        <f>IFERROR(IF(Q727&gt;0,IF(R727&gt;0,"BOTH_ADD","CE_ADD_PE_REDUCE"),IF(R727&gt;0,"CE_REDUCE_PE_ADD","BOTH_REDUCE")),"")</f>
        <v/>
      </c>
      <c r="W727" s="13">
        <f>IFERROR( (P727-1)*0.5 + (M727)*0.1 - (I727+J727)*0.05 + T727*0.4 ,"")</f>
        <v/>
      </c>
      <c r="X727" s="13">
        <f>IFERROR(IF(ABS(F727)&lt;0.01,"ATM/NEAR",""),"")</f>
        <v/>
      </c>
    </row>
    <row r="728">
      <c r="A728" s="13">
        <f>CHAIN_RAW!A728</f>
        <v/>
      </c>
      <c r="B728" s="14">
        <f>CHAIN_RAW!B728</f>
        <v/>
      </c>
      <c r="C728" s="13">
        <f>CHAIN_RAW!C728</f>
        <v/>
      </c>
      <c r="D728" s="13">
        <f>CHAIN_RAW!D728</f>
        <v/>
      </c>
      <c r="E728" s="13">
        <f>CHAIN_RAW!E728</f>
        <v/>
      </c>
      <c r="F728" s="13">
        <f>IFERROR((E728-D728)/D728,"")</f>
        <v/>
      </c>
      <c r="G728" s="13">
        <f>IFERROR((CHAIN_RAW!K728+CHAIN_RAW!L728)/2,"")</f>
        <v/>
      </c>
      <c r="H728" s="13">
        <f>IFERROR((CHAIN_RAW!R728+CHAIN_RAW!S728)/2,"")</f>
        <v/>
      </c>
      <c r="I728" s="13">
        <f>IFERROR((CHAIN_RAW!L728-CHAIN_RAW!K728)/MAX(1E-9, G728),"")</f>
        <v/>
      </c>
      <c r="J728" s="13">
        <f>IFERROR((CHAIN_RAW!S728-CHAIN_RAW!R728)/MAX(1E-9, H728),"")</f>
        <v/>
      </c>
      <c r="K728" s="13">
        <f>CHAIN_RAW!G728</f>
        <v/>
      </c>
      <c r="L728" s="13">
        <f>CHAIN_RAW!N728</f>
        <v/>
      </c>
      <c r="M728" s="13">
        <f>IFERROR(L728-K728,"")</f>
        <v/>
      </c>
      <c r="N728" s="13">
        <f>CHAIN_RAW!H728</f>
        <v/>
      </c>
      <c r="O728" s="13">
        <f>CHAIN_RAW!O728</f>
        <v/>
      </c>
      <c r="P728" s="13">
        <f>IFERROR(O728/N728,"")</f>
        <v/>
      </c>
      <c r="Q728" s="13">
        <f>CHAIN_RAW!I728</f>
        <v/>
      </c>
      <c r="R728" s="13">
        <f>CHAIN_RAW!P728</f>
        <v/>
      </c>
      <c r="S728" s="13">
        <f>IFERROR(R728/Q728,"")</f>
        <v/>
      </c>
      <c r="T728" s="13">
        <f>IFERROR((ABS(N728-O728)/MAX(1,(N728+O728)))*EXP(-ABS(E728-CONTROL!E5)/MAX(1,CONTROL!B8)),"")</f>
        <v/>
      </c>
      <c r="U728" s="13">
        <f>IFERROR(IF(O728&gt;N728,"SUPPORT (PE OI)","RESIST (CE OI)"),"")</f>
        <v/>
      </c>
      <c r="V728" s="13">
        <f>IFERROR(IF(Q728&gt;0,IF(R728&gt;0,"BOTH_ADD","CE_ADD_PE_REDUCE"),IF(R728&gt;0,"CE_REDUCE_PE_ADD","BOTH_REDUCE")),"")</f>
        <v/>
      </c>
      <c r="W728" s="13">
        <f>IFERROR( (P728-1)*0.5 + (M728)*0.1 - (I728+J728)*0.05 + T728*0.4 ,"")</f>
        <v/>
      </c>
      <c r="X728" s="13">
        <f>IFERROR(IF(ABS(F728)&lt;0.01,"ATM/NEAR",""),"")</f>
        <v/>
      </c>
    </row>
    <row r="729">
      <c r="A729" s="13">
        <f>CHAIN_RAW!A729</f>
        <v/>
      </c>
      <c r="B729" s="14">
        <f>CHAIN_RAW!B729</f>
        <v/>
      </c>
      <c r="C729" s="13">
        <f>CHAIN_RAW!C729</f>
        <v/>
      </c>
      <c r="D729" s="13">
        <f>CHAIN_RAW!D729</f>
        <v/>
      </c>
      <c r="E729" s="13">
        <f>CHAIN_RAW!E729</f>
        <v/>
      </c>
      <c r="F729" s="13">
        <f>IFERROR((E729-D729)/D729,"")</f>
        <v/>
      </c>
      <c r="G729" s="13">
        <f>IFERROR((CHAIN_RAW!K729+CHAIN_RAW!L729)/2,"")</f>
        <v/>
      </c>
      <c r="H729" s="13">
        <f>IFERROR((CHAIN_RAW!R729+CHAIN_RAW!S729)/2,"")</f>
        <v/>
      </c>
      <c r="I729" s="13">
        <f>IFERROR((CHAIN_RAW!L729-CHAIN_RAW!K729)/MAX(1E-9, G729),"")</f>
        <v/>
      </c>
      <c r="J729" s="13">
        <f>IFERROR((CHAIN_RAW!S729-CHAIN_RAW!R729)/MAX(1E-9, H729),"")</f>
        <v/>
      </c>
      <c r="K729" s="13">
        <f>CHAIN_RAW!G729</f>
        <v/>
      </c>
      <c r="L729" s="13">
        <f>CHAIN_RAW!N729</f>
        <v/>
      </c>
      <c r="M729" s="13">
        <f>IFERROR(L729-K729,"")</f>
        <v/>
      </c>
      <c r="N729" s="13">
        <f>CHAIN_RAW!H729</f>
        <v/>
      </c>
      <c r="O729" s="13">
        <f>CHAIN_RAW!O729</f>
        <v/>
      </c>
      <c r="P729" s="13">
        <f>IFERROR(O729/N729,"")</f>
        <v/>
      </c>
      <c r="Q729" s="13">
        <f>CHAIN_RAW!I729</f>
        <v/>
      </c>
      <c r="R729" s="13">
        <f>CHAIN_RAW!P729</f>
        <v/>
      </c>
      <c r="S729" s="13">
        <f>IFERROR(R729/Q729,"")</f>
        <v/>
      </c>
      <c r="T729" s="13">
        <f>IFERROR((ABS(N729-O729)/MAX(1,(N729+O729)))*EXP(-ABS(E729-CONTROL!E5)/MAX(1,CONTROL!B8)),"")</f>
        <v/>
      </c>
      <c r="U729" s="13">
        <f>IFERROR(IF(O729&gt;N729,"SUPPORT (PE OI)","RESIST (CE OI)"),"")</f>
        <v/>
      </c>
      <c r="V729" s="13">
        <f>IFERROR(IF(Q729&gt;0,IF(R729&gt;0,"BOTH_ADD","CE_ADD_PE_REDUCE"),IF(R729&gt;0,"CE_REDUCE_PE_ADD","BOTH_REDUCE")),"")</f>
        <v/>
      </c>
      <c r="W729" s="13">
        <f>IFERROR( (P729-1)*0.5 + (M729)*0.1 - (I729+J729)*0.05 + T729*0.4 ,"")</f>
        <v/>
      </c>
      <c r="X729" s="13">
        <f>IFERROR(IF(ABS(F729)&lt;0.01,"ATM/NEAR",""),"")</f>
        <v/>
      </c>
    </row>
    <row r="730">
      <c r="A730" s="13">
        <f>CHAIN_RAW!A730</f>
        <v/>
      </c>
      <c r="B730" s="14">
        <f>CHAIN_RAW!B730</f>
        <v/>
      </c>
      <c r="C730" s="13">
        <f>CHAIN_RAW!C730</f>
        <v/>
      </c>
      <c r="D730" s="13">
        <f>CHAIN_RAW!D730</f>
        <v/>
      </c>
      <c r="E730" s="13">
        <f>CHAIN_RAW!E730</f>
        <v/>
      </c>
      <c r="F730" s="13">
        <f>IFERROR((E730-D730)/D730,"")</f>
        <v/>
      </c>
      <c r="G730" s="13">
        <f>IFERROR((CHAIN_RAW!K730+CHAIN_RAW!L730)/2,"")</f>
        <v/>
      </c>
      <c r="H730" s="13">
        <f>IFERROR((CHAIN_RAW!R730+CHAIN_RAW!S730)/2,"")</f>
        <v/>
      </c>
      <c r="I730" s="13">
        <f>IFERROR((CHAIN_RAW!L730-CHAIN_RAW!K730)/MAX(1E-9, G730),"")</f>
        <v/>
      </c>
      <c r="J730" s="13">
        <f>IFERROR((CHAIN_RAW!S730-CHAIN_RAW!R730)/MAX(1E-9, H730),"")</f>
        <v/>
      </c>
      <c r="K730" s="13">
        <f>CHAIN_RAW!G730</f>
        <v/>
      </c>
      <c r="L730" s="13">
        <f>CHAIN_RAW!N730</f>
        <v/>
      </c>
      <c r="M730" s="13">
        <f>IFERROR(L730-K730,"")</f>
        <v/>
      </c>
      <c r="N730" s="13">
        <f>CHAIN_RAW!H730</f>
        <v/>
      </c>
      <c r="O730" s="13">
        <f>CHAIN_RAW!O730</f>
        <v/>
      </c>
      <c r="P730" s="13">
        <f>IFERROR(O730/N730,"")</f>
        <v/>
      </c>
      <c r="Q730" s="13">
        <f>CHAIN_RAW!I730</f>
        <v/>
      </c>
      <c r="R730" s="13">
        <f>CHAIN_RAW!P730</f>
        <v/>
      </c>
      <c r="S730" s="13">
        <f>IFERROR(R730/Q730,"")</f>
        <v/>
      </c>
      <c r="T730" s="13">
        <f>IFERROR((ABS(N730-O730)/MAX(1,(N730+O730)))*EXP(-ABS(E730-CONTROL!E5)/MAX(1,CONTROL!B8)),"")</f>
        <v/>
      </c>
      <c r="U730" s="13">
        <f>IFERROR(IF(O730&gt;N730,"SUPPORT (PE OI)","RESIST (CE OI)"),"")</f>
        <v/>
      </c>
      <c r="V730" s="13">
        <f>IFERROR(IF(Q730&gt;0,IF(R730&gt;0,"BOTH_ADD","CE_ADD_PE_REDUCE"),IF(R730&gt;0,"CE_REDUCE_PE_ADD","BOTH_REDUCE")),"")</f>
        <v/>
      </c>
      <c r="W730" s="13">
        <f>IFERROR( (P730-1)*0.5 + (M730)*0.1 - (I730+J730)*0.05 + T730*0.4 ,"")</f>
        <v/>
      </c>
      <c r="X730" s="13">
        <f>IFERROR(IF(ABS(F730)&lt;0.01,"ATM/NEAR",""),"")</f>
        <v/>
      </c>
    </row>
    <row r="731">
      <c r="A731" s="13">
        <f>CHAIN_RAW!A731</f>
        <v/>
      </c>
      <c r="B731" s="14">
        <f>CHAIN_RAW!B731</f>
        <v/>
      </c>
      <c r="C731" s="13">
        <f>CHAIN_RAW!C731</f>
        <v/>
      </c>
      <c r="D731" s="13">
        <f>CHAIN_RAW!D731</f>
        <v/>
      </c>
      <c r="E731" s="13">
        <f>CHAIN_RAW!E731</f>
        <v/>
      </c>
      <c r="F731" s="13">
        <f>IFERROR((E731-D731)/D731,"")</f>
        <v/>
      </c>
      <c r="G731" s="13">
        <f>IFERROR((CHAIN_RAW!K731+CHAIN_RAW!L731)/2,"")</f>
        <v/>
      </c>
      <c r="H731" s="13">
        <f>IFERROR((CHAIN_RAW!R731+CHAIN_RAW!S731)/2,"")</f>
        <v/>
      </c>
      <c r="I731" s="13">
        <f>IFERROR((CHAIN_RAW!L731-CHAIN_RAW!K731)/MAX(1E-9, G731),"")</f>
        <v/>
      </c>
      <c r="J731" s="13">
        <f>IFERROR((CHAIN_RAW!S731-CHAIN_RAW!R731)/MAX(1E-9, H731),"")</f>
        <v/>
      </c>
      <c r="K731" s="13">
        <f>CHAIN_RAW!G731</f>
        <v/>
      </c>
      <c r="L731" s="13">
        <f>CHAIN_RAW!N731</f>
        <v/>
      </c>
      <c r="M731" s="13">
        <f>IFERROR(L731-K731,"")</f>
        <v/>
      </c>
      <c r="N731" s="13">
        <f>CHAIN_RAW!H731</f>
        <v/>
      </c>
      <c r="O731" s="13">
        <f>CHAIN_RAW!O731</f>
        <v/>
      </c>
      <c r="P731" s="13">
        <f>IFERROR(O731/N731,"")</f>
        <v/>
      </c>
      <c r="Q731" s="13">
        <f>CHAIN_RAW!I731</f>
        <v/>
      </c>
      <c r="R731" s="13">
        <f>CHAIN_RAW!P731</f>
        <v/>
      </c>
      <c r="S731" s="13">
        <f>IFERROR(R731/Q731,"")</f>
        <v/>
      </c>
      <c r="T731" s="13">
        <f>IFERROR((ABS(N731-O731)/MAX(1,(N731+O731)))*EXP(-ABS(E731-CONTROL!E5)/MAX(1,CONTROL!B8)),"")</f>
        <v/>
      </c>
      <c r="U731" s="13">
        <f>IFERROR(IF(O731&gt;N731,"SUPPORT (PE OI)","RESIST (CE OI)"),"")</f>
        <v/>
      </c>
      <c r="V731" s="13">
        <f>IFERROR(IF(Q731&gt;0,IF(R731&gt;0,"BOTH_ADD","CE_ADD_PE_REDUCE"),IF(R731&gt;0,"CE_REDUCE_PE_ADD","BOTH_REDUCE")),"")</f>
        <v/>
      </c>
      <c r="W731" s="13">
        <f>IFERROR( (P731-1)*0.5 + (M731)*0.1 - (I731+J731)*0.05 + T731*0.4 ,"")</f>
        <v/>
      </c>
      <c r="X731" s="13">
        <f>IFERROR(IF(ABS(F731)&lt;0.01,"ATM/NEAR",""),"")</f>
        <v/>
      </c>
    </row>
    <row r="732">
      <c r="A732" s="13">
        <f>CHAIN_RAW!A732</f>
        <v/>
      </c>
      <c r="B732" s="14">
        <f>CHAIN_RAW!B732</f>
        <v/>
      </c>
      <c r="C732" s="13">
        <f>CHAIN_RAW!C732</f>
        <v/>
      </c>
      <c r="D732" s="13">
        <f>CHAIN_RAW!D732</f>
        <v/>
      </c>
      <c r="E732" s="13">
        <f>CHAIN_RAW!E732</f>
        <v/>
      </c>
      <c r="F732" s="13">
        <f>IFERROR((E732-D732)/D732,"")</f>
        <v/>
      </c>
      <c r="G732" s="13">
        <f>IFERROR((CHAIN_RAW!K732+CHAIN_RAW!L732)/2,"")</f>
        <v/>
      </c>
      <c r="H732" s="13">
        <f>IFERROR((CHAIN_RAW!R732+CHAIN_RAW!S732)/2,"")</f>
        <v/>
      </c>
      <c r="I732" s="13">
        <f>IFERROR((CHAIN_RAW!L732-CHAIN_RAW!K732)/MAX(1E-9, G732),"")</f>
        <v/>
      </c>
      <c r="J732" s="13">
        <f>IFERROR((CHAIN_RAW!S732-CHAIN_RAW!R732)/MAX(1E-9, H732),"")</f>
        <v/>
      </c>
      <c r="K732" s="13">
        <f>CHAIN_RAW!G732</f>
        <v/>
      </c>
      <c r="L732" s="13">
        <f>CHAIN_RAW!N732</f>
        <v/>
      </c>
      <c r="M732" s="13">
        <f>IFERROR(L732-K732,"")</f>
        <v/>
      </c>
      <c r="N732" s="13">
        <f>CHAIN_RAW!H732</f>
        <v/>
      </c>
      <c r="O732" s="13">
        <f>CHAIN_RAW!O732</f>
        <v/>
      </c>
      <c r="P732" s="13">
        <f>IFERROR(O732/N732,"")</f>
        <v/>
      </c>
      <c r="Q732" s="13">
        <f>CHAIN_RAW!I732</f>
        <v/>
      </c>
      <c r="R732" s="13">
        <f>CHAIN_RAW!P732</f>
        <v/>
      </c>
      <c r="S732" s="13">
        <f>IFERROR(R732/Q732,"")</f>
        <v/>
      </c>
      <c r="T732" s="13">
        <f>IFERROR((ABS(N732-O732)/MAX(1,(N732+O732)))*EXP(-ABS(E732-CONTROL!E5)/MAX(1,CONTROL!B8)),"")</f>
        <v/>
      </c>
      <c r="U732" s="13">
        <f>IFERROR(IF(O732&gt;N732,"SUPPORT (PE OI)","RESIST (CE OI)"),"")</f>
        <v/>
      </c>
      <c r="V732" s="13">
        <f>IFERROR(IF(Q732&gt;0,IF(R732&gt;0,"BOTH_ADD","CE_ADD_PE_REDUCE"),IF(R732&gt;0,"CE_REDUCE_PE_ADD","BOTH_REDUCE")),"")</f>
        <v/>
      </c>
      <c r="W732" s="13">
        <f>IFERROR( (P732-1)*0.5 + (M732)*0.1 - (I732+J732)*0.05 + T732*0.4 ,"")</f>
        <v/>
      </c>
      <c r="X732" s="13">
        <f>IFERROR(IF(ABS(F732)&lt;0.01,"ATM/NEAR",""),"")</f>
        <v/>
      </c>
    </row>
    <row r="733">
      <c r="A733" s="13">
        <f>CHAIN_RAW!A733</f>
        <v/>
      </c>
      <c r="B733" s="14">
        <f>CHAIN_RAW!B733</f>
        <v/>
      </c>
      <c r="C733" s="13">
        <f>CHAIN_RAW!C733</f>
        <v/>
      </c>
      <c r="D733" s="13">
        <f>CHAIN_RAW!D733</f>
        <v/>
      </c>
      <c r="E733" s="13">
        <f>CHAIN_RAW!E733</f>
        <v/>
      </c>
      <c r="F733" s="13">
        <f>IFERROR((E733-D733)/D733,"")</f>
        <v/>
      </c>
      <c r="G733" s="13">
        <f>IFERROR((CHAIN_RAW!K733+CHAIN_RAW!L733)/2,"")</f>
        <v/>
      </c>
      <c r="H733" s="13">
        <f>IFERROR((CHAIN_RAW!R733+CHAIN_RAW!S733)/2,"")</f>
        <v/>
      </c>
      <c r="I733" s="13">
        <f>IFERROR((CHAIN_RAW!L733-CHAIN_RAW!K733)/MAX(1E-9, G733),"")</f>
        <v/>
      </c>
      <c r="J733" s="13">
        <f>IFERROR((CHAIN_RAW!S733-CHAIN_RAW!R733)/MAX(1E-9, H733),"")</f>
        <v/>
      </c>
      <c r="K733" s="13">
        <f>CHAIN_RAW!G733</f>
        <v/>
      </c>
      <c r="L733" s="13">
        <f>CHAIN_RAW!N733</f>
        <v/>
      </c>
      <c r="M733" s="13">
        <f>IFERROR(L733-K733,"")</f>
        <v/>
      </c>
      <c r="N733" s="13">
        <f>CHAIN_RAW!H733</f>
        <v/>
      </c>
      <c r="O733" s="13">
        <f>CHAIN_RAW!O733</f>
        <v/>
      </c>
      <c r="P733" s="13">
        <f>IFERROR(O733/N733,"")</f>
        <v/>
      </c>
      <c r="Q733" s="13">
        <f>CHAIN_RAW!I733</f>
        <v/>
      </c>
      <c r="R733" s="13">
        <f>CHAIN_RAW!P733</f>
        <v/>
      </c>
      <c r="S733" s="13">
        <f>IFERROR(R733/Q733,"")</f>
        <v/>
      </c>
      <c r="T733" s="13">
        <f>IFERROR((ABS(N733-O733)/MAX(1,(N733+O733)))*EXP(-ABS(E733-CONTROL!E5)/MAX(1,CONTROL!B8)),"")</f>
        <v/>
      </c>
      <c r="U733" s="13">
        <f>IFERROR(IF(O733&gt;N733,"SUPPORT (PE OI)","RESIST (CE OI)"),"")</f>
        <v/>
      </c>
      <c r="V733" s="13">
        <f>IFERROR(IF(Q733&gt;0,IF(R733&gt;0,"BOTH_ADD","CE_ADD_PE_REDUCE"),IF(R733&gt;0,"CE_REDUCE_PE_ADD","BOTH_REDUCE")),"")</f>
        <v/>
      </c>
      <c r="W733" s="13">
        <f>IFERROR( (P733-1)*0.5 + (M733)*0.1 - (I733+J733)*0.05 + T733*0.4 ,"")</f>
        <v/>
      </c>
      <c r="X733" s="13">
        <f>IFERROR(IF(ABS(F733)&lt;0.01,"ATM/NEAR",""),"")</f>
        <v/>
      </c>
    </row>
    <row r="734">
      <c r="A734" s="13">
        <f>CHAIN_RAW!A734</f>
        <v/>
      </c>
      <c r="B734" s="14">
        <f>CHAIN_RAW!B734</f>
        <v/>
      </c>
      <c r="C734" s="13">
        <f>CHAIN_RAW!C734</f>
        <v/>
      </c>
      <c r="D734" s="13">
        <f>CHAIN_RAW!D734</f>
        <v/>
      </c>
      <c r="E734" s="13">
        <f>CHAIN_RAW!E734</f>
        <v/>
      </c>
      <c r="F734" s="13">
        <f>IFERROR((E734-D734)/D734,"")</f>
        <v/>
      </c>
      <c r="G734" s="13">
        <f>IFERROR((CHAIN_RAW!K734+CHAIN_RAW!L734)/2,"")</f>
        <v/>
      </c>
      <c r="H734" s="13">
        <f>IFERROR((CHAIN_RAW!R734+CHAIN_RAW!S734)/2,"")</f>
        <v/>
      </c>
      <c r="I734" s="13">
        <f>IFERROR((CHAIN_RAW!L734-CHAIN_RAW!K734)/MAX(1E-9, G734),"")</f>
        <v/>
      </c>
      <c r="J734" s="13">
        <f>IFERROR((CHAIN_RAW!S734-CHAIN_RAW!R734)/MAX(1E-9, H734),"")</f>
        <v/>
      </c>
      <c r="K734" s="13">
        <f>CHAIN_RAW!G734</f>
        <v/>
      </c>
      <c r="L734" s="13">
        <f>CHAIN_RAW!N734</f>
        <v/>
      </c>
      <c r="M734" s="13">
        <f>IFERROR(L734-K734,"")</f>
        <v/>
      </c>
      <c r="N734" s="13">
        <f>CHAIN_RAW!H734</f>
        <v/>
      </c>
      <c r="O734" s="13">
        <f>CHAIN_RAW!O734</f>
        <v/>
      </c>
      <c r="P734" s="13">
        <f>IFERROR(O734/N734,"")</f>
        <v/>
      </c>
      <c r="Q734" s="13">
        <f>CHAIN_RAW!I734</f>
        <v/>
      </c>
      <c r="R734" s="13">
        <f>CHAIN_RAW!P734</f>
        <v/>
      </c>
      <c r="S734" s="13">
        <f>IFERROR(R734/Q734,"")</f>
        <v/>
      </c>
      <c r="T734" s="13">
        <f>IFERROR((ABS(N734-O734)/MAX(1,(N734+O734)))*EXP(-ABS(E734-CONTROL!E5)/MAX(1,CONTROL!B8)),"")</f>
        <v/>
      </c>
      <c r="U734" s="13">
        <f>IFERROR(IF(O734&gt;N734,"SUPPORT (PE OI)","RESIST (CE OI)"),"")</f>
        <v/>
      </c>
      <c r="V734" s="13">
        <f>IFERROR(IF(Q734&gt;0,IF(R734&gt;0,"BOTH_ADD","CE_ADD_PE_REDUCE"),IF(R734&gt;0,"CE_REDUCE_PE_ADD","BOTH_REDUCE")),"")</f>
        <v/>
      </c>
      <c r="W734" s="13">
        <f>IFERROR( (P734-1)*0.5 + (M734)*0.1 - (I734+J734)*0.05 + T734*0.4 ,"")</f>
        <v/>
      </c>
      <c r="X734" s="13">
        <f>IFERROR(IF(ABS(F734)&lt;0.01,"ATM/NEAR",""),"")</f>
        <v/>
      </c>
    </row>
    <row r="735">
      <c r="A735" s="13">
        <f>CHAIN_RAW!A735</f>
        <v/>
      </c>
      <c r="B735" s="14">
        <f>CHAIN_RAW!B735</f>
        <v/>
      </c>
      <c r="C735" s="13">
        <f>CHAIN_RAW!C735</f>
        <v/>
      </c>
      <c r="D735" s="13">
        <f>CHAIN_RAW!D735</f>
        <v/>
      </c>
      <c r="E735" s="13">
        <f>CHAIN_RAW!E735</f>
        <v/>
      </c>
      <c r="F735" s="13">
        <f>IFERROR((E735-D735)/D735,"")</f>
        <v/>
      </c>
      <c r="G735" s="13">
        <f>IFERROR((CHAIN_RAW!K735+CHAIN_RAW!L735)/2,"")</f>
        <v/>
      </c>
      <c r="H735" s="13">
        <f>IFERROR((CHAIN_RAW!R735+CHAIN_RAW!S735)/2,"")</f>
        <v/>
      </c>
      <c r="I735" s="13">
        <f>IFERROR((CHAIN_RAW!L735-CHAIN_RAW!K735)/MAX(1E-9, G735),"")</f>
        <v/>
      </c>
      <c r="J735" s="13">
        <f>IFERROR((CHAIN_RAW!S735-CHAIN_RAW!R735)/MAX(1E-9, H735),"")</f>
        <v/>
      </c>
      <c r="K735" s="13">
        <f>CHAIN_RAW!G735</f>
        <v/>
      </c>
      <c r="L735" s="13">
        <f>CHAIN_RAW!N735</f>
        <v/>
      </c>
      <c r="M735" s="13">
        <f>IFERROR(L735-K735,"")</f>
        <v/>
      </c>
      <c r="N735" s="13">
        <f>CHAIN_RAW!H735</f>
        <v/>
      </c>
      <c r="O735" s="13">
        <f>CHAIN_RAW!O735</f>
        <v/>
      </c>
      <c r="P735" s="13">
        <f>IFERROR(O735/N735,"")</f>
        <v/>
      </c>
      <c r="Q735" s="13">
        <f>CHAIN_RAW!I735</f>
        <v/>
      </c>
      <c r="R735" s="13">
        <f>CHAIN_RAW!P735</f>
        <v/>
      </c>
      <c r="S735" s="13">
        <f>IFERROR(R735/Q735,"")</f>
        <v/>
      </c>
      <c r="T735" s="13">
        <f>IFERROR((ABS(N735-O735)/MAX(1,(N735+O735)))*EXP(-ABS(E735-CONTROL!E5)/MAX(1,CONTROL!B8)),"")</f>
        <v/>
      </c>
      <c r="U735" s="13">
        <f>IFERROR(IF(O735&gt;N735,"SUPPORT (PE OI)","RESIST (CE OI)"),"")</f>
        <v/>
      </c>
      <c r="V735" s="13">
        <f>IFERROR(IF(Q735&gt;0,IF(R735&gt;0,"BOTH_ADD","CE_ADD_PE_REDUCE"),IF(R735&gt;0,"CE_REDUCE_PE_ADD","BOTH_REDUCE")),"")</f>
        <v/>
      </c>
      <c r="W735" s="13">
        <f>IFERROR( (P735-1)*0.5 + (M735)*0.1 - (I735+J735)*0.05 + T735*0.4 ,"")</f>
        <v/>
      </c>
      <c r="X735" s="13">
        <f>IFERROR(IF(ABS(F735)&lt;0.01,"ATM/NEAR",""),"")</f>
        <v/>
      </c>
    </row>
    <row r="736">
      <c r="A736" s="13">
        <f>CHAIN_RAW!A736</f>
        <v/>
      </c>
      <c r="B736" s="14">
        <f>CHAIN_RAW!B736</f>
        <v/>
      </c>
      <c r="C736" s="13">
        <f>CHAIN_RAW!C736</f>
        <v/>
      </c>
      <c r="D736" s="13">
        <f>CHAIN_RAW!D736</f>
        <v/>
      </c>
      <c r="E736" s="13">
        <f>CHAIN_RAW!E736</f>
        <v/>
      </c>
      <c r="F736" s="13">
        <f>IFERROR((E736-D736)/D736,"")</f>
        <v/>
      </c>
      <c r="G736" s="13">
        <f>IFERROR((CHAIN_RAW!K736+CHAIN_RAW!L736)/2,"")</f>
        <v/>
      </c>
      <c r="H736" s="13">
        <f>IFERROR((CHAIN_RAW!R736+CHAIN_RAW!S736)/2,"")</f>
        <v/>
      </c>
      <c r="I736" s="13">
        <f>IFERROR((CHAIN_RAW!L736-CHAIN_RAW!K736)/MAX(1E-9, G736),"")</f>
        <v/>
      </c>
      <c r="J736" s="13">
        <f>IFERROR((CHAIN_RAW!S736-CHAIN_RAW!R736)/MAX(1E-9, H736),"")</f>
        <v/>
      </c>
      <c r="K736" s="13">
        <f>CHAIN_RAW!G736</f>
        <v/>
      </c>
      <c r="L736" s="13">
        <f>CHAIN_RAW!N736</f>
        <v/>
      </c>
      <c r="M736" s="13">
        <f>IFERROR(L736-K736,"")</f>
        <v/>
      </c>
      <c r="N736" s="13">
        <f>CHAIN_RAW!H736</f>
        <v/>
      </c>
      <c r="O736" s="13">
        <f>CHAIN_RAW!O736</f>
        <v/>
      </c>
      <c r="P736" s="13">
        <f>IFERROR(O736/N736,"")</f>
        <v/>
      </c>
      <c r="Q736" s="13">
        <f>CHAIN_RAW!I736</f>
        <v/>
      </c>
      <c r="R736" s="13">
        <f>CHAIN_RAW!P736</f>
        <v/>
      </c>
      <c r="S736" s="13">
        <f>IFERROR(R736/Q736,"")</f>
        <v/>
      </c>
      <c r="T736" s="13">
        <f>IFERROR((ABS(N736-O736)/MAX(1,(N736+O736)))*EXP(-ABS(E736-CONTROL!E5)/MAX(1,CONTROL!B8)),"")</f>
        <v/>
      </c>
      <c r="U736" s="13">
        <f>IFERROR(IF(O736&gt;N736,"SUPPORT (PE OI)","RESIST (CE OI)"),"")</f>
        <v/>
      </c>
      <c r="V736" s="13">
        <f>IFERROR(IF(Q736&gt;0,IF(R736&gt;0,"BOTH_ADD","CE_ADD_PE_REDUCE"),IF(R736&gt;0,"CE_REDUCE_PE_ADD","BOTH_REDUCE")),"")</f>
        <v/>
      </c>
      <c r="W736" s="13">
        <f>IFERROR( (P736-1)*0.5 + (M736)*0.1 - (I736+J736)*0.05 + T736*0.4 ,"")</f>
        <v/>
      </c>
      <c r="X736" s="13">
        <f>IFERROR(IF(ABS(F736)&lt;0.01,"ATM/NEAR",""),"")</f>
        <v/>
      </c>
    </row>
    <row r="737">
      <c r="A737" s="13">
        <f>CHAIN_RAW!A737</f>
        <v/>
      </c>
      <c r="B737" s="14">
        <f>CHAIN_RAW!B737</f>
        <v/>
      </c>
      <c r="C737" s="13">
        <f>CHAIN_RAW!C737</f>
        <v/>
      </c>
      <c r="D737" s="13">
        <f>CHAIN_RAW!D737</f>
        <v/>
      </c>
      <c r="E737" s="13">
        <f>CHAIN_RAW!E737</f>
        <v/>
      </c>
      <c r="F737" s="13">
        <f>IFERROR((E737-D737)/D737,"")</f>
        <v/>
      </c>
      <c r="G737" s="13">
        <f>IFERROR((CHAIN_RAW!K737+CHAIN_RAW!L737)/2,"")</f>
        <v/>
      </c>
      <c r="H737" s="13">
        <f>IFERROR((CHAIN_RAW!R737+CHAIN_RAW!S737)/2,"")</f>
        <v/>
      </c>
      <c r="I737" s="13">
        <f>IFERROR((CHAIN_RAW!L737-CHAIN_RAW!K737)/MAX(1E-9, G737),"")</f>
        <v/>
      </c>
      <c r="J737" s="13">
        <f>IFERROR((CHAIN_RAW!S737-CHAIN_RAW!R737)/MAX(1E-9, H737),"")</f>
        <v/>
      </c>
      <c r="K737" s="13">
        <f>CHAIN_RAW!G737</f>
        <v/>
      </c>
      <c r="L737" s="13">
        <f>CHAIN_RAW!N737</f>
        <v/>
      </c>
      <c r="M737" s="13">
        <f>IFERROR(L737-K737,"")</f>
        <v/>
      </c>
      <c r="N737" s="13">
        <f>CHAIN_RAW!H737</f>
        <v/>
      </c>
      <c r="O737" s="13">
        <f>CHAIN_RAW!O737</f>
        <v/>
      </c>
      <c r="P737" s="13">
        <f>IFERROR(O737/N737,"")</f>
        <v/>
      </c>
      <c r="Q737" s="13">
        <f>CHAIN_RAW!I737</f>
        <v/>
      </c>
      <c r="R737" s="13">
        <f>CHAIN_RAW!P737</f>
        <v/>
      </c>
      <c r="S737" s="13">
        <f>IFERROR(R737/Q737,"")</f>
        <v/>
      </c>
      <c r="T737" s="13">
        <f>IFERROR((ABS(N737-O737)/MAX(1,(N737+O737)))*EXP(-ABS(E737-CONTROL!E5)/MAX(1,CONTROL!B8)),"")</f>
        <v/>
      </c>
      <c r="U737" s="13">
        <f>IFERROR(IF(O737&gt;N737,"SUPPORT (PE OI)","RESIST (CE OI)"),"")</f>
        <v/>
      </c>
      <c r="V737" s="13">
        <f>IFERROR(IF(Q737&gt;0,IF(R737&gt;0,"BOTH_ADD","CE_ADD_PE_REDUCE"),IF(R737&gt;0,"CE_REDUCE_PE_ADD","BOTH_REDUCE")),"")</f>
        <v/>
      </c>
      <c r="W737" s="13">
        <f>IFERROR( (P737-1)*0.5 + (M737)*0.1 - (I737+J737)*0.05 + T737*0.4 ,"")</f>
        <v/>
      </c>
      <c r="X737" s="13">
        <f>IFERROR(IF(ABS(F737)&lt;0.01,"ATM/NEAR",""),"")</f>
        <v/>
      </c>
    </row>
    <row r="738">
      <c r="A738" s="13">
        <f>CHAIN_RAW!A738</f>
        <v/>
      </c>
      <c r="B738" s="14">
        <f>CHAIN_RAW!B738</f>
        <v/>
      </c>
      <c r="C738" s="13">
        <f>CHAIN_RAW!C738</f>
        <v/>
      </c>
      <c r="D738" s="13">
        <f>CHAIN_RAW!D738</f>
        <v/>
      </c>
      <c r="E738" s="13">
        <f>CHAIN_RAW!E738</f>
        <v/>
      </c>
      <c r="F738" s="13">
        <f>IFERROR((E738-D738)/D738,"")</f>
        <v/>
      </c>
      <c r="G738" s="13">
        <f>IFERROR((CHAIN_RAW!K738+CHAIN_RAW!L738)/2,"")</f>
        <v/>
      </c>
      <c r="H738" s="13">
        <f>IFERROR((CHAIN_RAW!R738+CHAIN_RAW!S738)/2,"")</f>
        <v/>
      </c>
      <c r="I738" s="13">
        <f>IFERROR((CHAIN_RAW!L738-CHAIN_RAW!K738)/MAX(1E-9, G738),"")</f>
        <v/>
      </c>
      <c r="J738" s="13">
        <f>IFERROR((CHAIN_RAW!S738-CHAIN_RAW!R738)/MAX(1E-9, H738),"")</f>
        <v/>
      </c>
      <c r="K738" s="13">
        <f>CHAIN_RAW!G738</f>
        <v/>
      </c>
      <c r="L738" s="13">
        <f>CHAIN_RAW!N738</f>
        <v/>
      </c>
      <c r="M738" s="13">
        <f>IFERROR(L738-K738,"")</f>
        <v/>
      </c>
      <c r="N738" s="13">
        <f>CHAIN_RAW!H738</f>
        <v/>
      </c>
      <c r="O738" s="13">
        <f>CHAIN_RAW!O738</f>
        <v/>
      </c>
      <c r="P738" s="13">
        <f>IFERROR(O738/N738,"")</f>
        <v/>
      </c>
      <c r="Q738" s="13">
        <f>CHAIN_RAW!I738</f>
        <v/>
      </c>
      <c r="R738" s="13">
        <f>CHAIN_RAW!P738</f>
        <v/>
      </c>
      <c r="S738" s="13">
        <f>IFERROR(R738/Q738,"")</f>
        <v/>
      </c>
      <c r="T738" s="13">
        <f>IFERROR((ABS(N738-O738)/MAX(1,(N738+O738)))*EXP(-ABS(E738-CONTROL!E5)/MAX(1,CONTROL!B8)),"")</f>
        <v/>
      </c>
      <c r="U738" s="13">
        <f>IFERROR(IF(O738&gt;N738,"SUPPORT (PE OI)","RESIST (CE OI)"),"")</f>
        <v/>
      </c>
      <c r="V738" s="13">
        <f>IFERROR(IF(Q738&gt;0,IF(R738&gt;0,"BOTH_ADD","CE_ADD_PE_REDUCE"),IF(R738&gt;0,"CE_REDUCE_PE_ADD","BOTH_REDUCE")),"")</f>
        <v/>
      </c>
      <c r="W738" s="13">
        <f>IFERROR( (P738-1)*0.5 + (M738)*0.1 - (I738+J738)*0.05 + T738*0.4 ,"")</f>
        <v/>
      </c>
      <c r="X738" s="13">
        <f>IFERROR(IF(ABS(F738)&lt;0.01,"ATM/NEAR",""),"")</f>
        <v/>
      </c>
    </row>
    <row r="739">
      <c r="A739" s="13">
        <f>CHAIN_RAW!A739</f>
        <v/>
      </c>
      <c r="B739" s="14">
        <f>CHAIN_RAW!B739</f>
        <v/>
      </c>
      <c r="C739" s="13">
        <f>CHAIN_RAW!C739</f>
        <v/>
      </c>
      <c r="D739" s="13">
        <f>CHAIN_RAW!D739</f>
        <v/>
      </c>
      <c r="E739" s="13">
        <f>CHAIN_RAW!E739</f>
        <v/>
      </c>
      <c r="F739" s="13">
        <f>IFERROR((E739-D739)/D739,"")</f>
        <v/>
      </c>
      <c r="G739" s="13">
        <f>IFERROR((CHAIN_RAW!K739+CHAIN_RAW!L739)/2,"")</f>
        <v/>
      </c>
      <c r="H739" s="13">
        <f>IFERROR((CHAIN_RAW!R739+CHAIN_RAW!S739)/2,"")</f>
        <v/>
      </c>
      <c r="I739" s="13">
        <f>IFERROR((CHAIN_RAW!L739-CHAIN_RAW!K739)/MAX(1E-9, G739),"")</f>
        <v/>
      </c>
      <c r="J739" s="13">
        <f>IFERROR((CHAIN_RAW!S739-CHAIN_RAW!R739)/MAX(1E-9, H739),"")</f>
        <v/>
      </c>
      <c r="K739" s="13">
        <f>CHAIN_RAW!G739</f>
        <v/>
      </c>
      <c r="L739" s="13">
        <f>CHAIN_RAW!N739</f>
        <v/>
      </c>
      <c r="M739" s="13">
        <f>IFERROR(L739-K739,"")</f>
        <v/>
      </c>
      <c r="N739" s="13">
        <f>CHAIN_RAW!H739</f>
        <v/>
      </c>
      <c r="O739" s="13">
        <f>CHAIN_RAW!O739</f>
        <v/>
      </c>
      <c r="P739" s="13">
        <f>IFERROR(O739/N739,"")</f>
        <v/>
      </c>
      <c r="Q739" s="13">
        <f>CHAIN_RAW!I739</f>
        <v/>
      </c>
      <c r="R739" s="13">
        <f>CHAIN_RAW!P739</f>
        <v/>
      </c>
      <c r="S739" s="13">
        <f>IFERROR(R739/Q739,"")</f>
        <v/>
      </c>
      <c r="T739" s="13">
        <f>IFERROR((ABS(N739-O739)/MAX(1,(N739+O739)))*EXP(-ABS(E739-CONTROL!E5)/MAX(1,CONTROL!B8)),"")</f>
        <v/>
      </c>
      <c r="U739" s="13">
        <f>IFERROR(IF(O739&gt;N739,"SUPPORT (PE OI)","RESIST (CE OI)"),"")</f>
        <v/>
      </c>
      <c r="V739" s="13">
        <f>IFERROR(IF(Q739&gt;0,IF(R739&gt;0,"BOTH_ADD","CE_ADD_PE_REDUCE"),IF(R739&gt;0,"CE_REDUCE_PE_ADD","BOTH_REDUCE")),"")</f>
        <v/>
      </c>
      <c r="W739" s="13">
        <f>IFERROR( (P739-1)*0.5 + (M739)*0.1 - (I739+J739)*0.05 + T739*0.4 ,"")</f>
        <v/>
      </c>
      <c r="X739" s="13">
        <f>IFERROR(IF(ABS(F739)&lt;0.01,"ATM/NEAR",""),"")</f>
        <v/>
      </c>
    </row>
    <row r="740">
      <c r="A740" s="13">
        <f>CHAIN_RAW!A740</f>
        <v/>
      </c>
      <c r="B740" s="14">
        <f>CHAIN_RAW!B740</f>
        <v/>
      </c>
      <c r="C740" s="13">
        <f>CHAIN_RAW!C740</f>
        <v/>
      </c>
      <c r="D740" s="13">
        <f>CHAIN_RAW!D740</f>
        <v/>
      </c>
      <c r="E740" s="13">
        <f>CHAIN_RAW!E740</f>
        <v/>
      </c>
      <c r="F740" s="13">
        <f>IFERROR((E740-D740)/D740,"")</f>
        <v/>
      </c>
      <c r="G740" s="13">
        <f>IFERROR((CHAIN_RAW!K740+CHAIN_RAW!L740)/2,"")</f>
        <v/>
      </c>
      <c r="H740" s="13">
        <f>IFERROR((CHAIN_RAW!R740+CHAIN_RAW!S740)/2,"")</f>
        <v/>
      </c>
      <c r="I740" s="13">
        <f>IFERROR((CHAIN_RAW!L740-CHAIN_RAW!K740)/MAX(1E-9, G740),"")</f>
        <v/>
      </c>
      <c r="J740" s="13">
        <f>IFERROR((CHAIN_RAW!S740-CHAIN_RAW!R740)/MAX(1E-9, H740),"")</f>
        <v/>
      </c>
      <c r="K740" s="13">
        <f>CHAIN_RAW!G740</f>
        <v/>
      </c>
      <c r="L740" s="13">
        <f>CHAIN_RAW!N740</f>
        <v/>
      </c>
      <c r="M740" s="13">
        <f>IFERROR(L740-K740,"")</f>
        <v/>
      </c>
      <c r="N740" s="13">
        <f>CHAIN_RAW!H740</f>
        <v/>
      </c>
      <c r="O740" s="13">
        <f>CHAIN_RAW!O740</f>
        <v/>
      </c>
      <c r="P740" s="13">
        <f>IFERROR(O740/N740,"")</f>
        <v/>
      </c>
      <c r="Q740" s="13">
        <f>CHAIN_RAW!I740</f>
        <v/>
      </c>
      <c r="R740" s="13">
        <f>CHAIN_RAW!P740</f>
        <v/>
      </c>
      <c r="S740" s="13">
        <f>IFERROR(R740/Q740,"")</f>
        <v/>
      </c>
      <c r="T740" s="13">
        <f>IFERROR((ABS(N740-O740)/MAX(1,(N740+O740)))*EXP(-ABS(E740-CONTROL!E5)/MAX(1,CONTROL!B8)),"")</f>
        <v/>
      </c>
      <c r="U740" s="13">
        <f>IFERROR(IF(O740&gt;N740,"SUPPORT (PE OI)","RESIST (CE OI)"),"")</f>
        <v/>
      </c>
      <c r="V740" s="13">
        <f>IFERROR(IF(Q740&gt;0,IF(R740&gt;0,"BOTH_ADD","CE_ADD_PE_REDUCE"),IF(R740&gt;0,"CE_REDUCE_PE_ADD","BOTH_REDUCE")),"")</f>
        <v/>
      </c>
      <c r="W740" s="13">
        <f>IFERROR( (P740-1)*0.5 + (M740)*0.1 - (I740+J740)*0.05 + T740*0.4 ,"")</f>
        <v/>
      </c>
      <c r="X740" s="13">
        <f>IFERROR(IF(ABS(F740)&lt;0.01,"ATM/NEAR",""),"")</f>
        <v/>
      </c>
    </row>
    <row r="741">
      <c r="A741" s="13">
        <f>CHAIN_RAW!A741</f>
        <v/>
      </c>
      <c r="B741" s="14">
        <f>CHAIN_RAW!B741</f>
        <v/>
      </c>
      <c r="C741" s="13">
        <f>CHAIN_RAW!C741</f>
        <v/>
      </c>
      <c r="D741" s="13">
        <f>CHAIN_RAW!D741</f>
        <v/>
      </c>
      <c r="E741" s="13">
        <f>CHAIN_RAW!E741</f>
        <v/>
      </c>
      <c r="F741" s="13">
        <f>IFERROR((E741-D741)/D741,"")</f>
        <v/>
      </c>
      <c r="G741" s="13">
        <f>IFERROR((CHAIN_RAW!K741+CHAIN_RAW!L741)/2,"")</f>
        <v/>
      </c>
      <c r="H741" s="13">
        <f>IFERROR((CHAIN_RAW!R741+CHAIN_RAW!S741)/2,"")</f>
        <v/>
      </c>
      <c r="I741" s="13">
        <f>IFERROR((CHAIN_RAW!L741-CHAIN_RAW!K741)/MAX(1E-9, G741),"")</f>
        <v/>
      </c>
      <c r="J741" s="13">
        <f>IFERROR((CHAIN_RAW!S741-CHAIN_RAW!R741)/MAX(1E-9, H741),"")</f>
        <v/>
      </c>
      <c r="K741" s="13">
        <f>CHAIN_RAW!G741</f>
        <v/>
      </c>
      <c r="L741" s="13">
        <f>CHAIN_RAW!N741</f>
        <v/>
      </c>
      <c r="M741" s="13">
        <f>IFERROR(L741-K741,"")</f>
        <v/>
      </c>
      <c r="N741" s="13">
        <f>CHAIN_RAW!H741</f>
        <v/>
      </c>
      <c r="O741" s="13">
        <f>CHAIN_RAW!O741</f>
        <v/>
      </c>
      <c r="P741" s="13">
        <f>IFERROR(O741/N741,"")</f>
        <v/>
      </c>
      <c r="Q741" s="13">
        <f>CHAIN_RAW!I741</f>
        <v/>
      </c>
      <c r="R741" s="13">
        <f>CHAIN_RAW!P741</f>
        <v/>
      </c>
      <c r="S741" s="13">
        <f>IFERROR(R741/Q741,"")</f>
        <v/>
      </c>
      <c r="T741" s="13">
        <f>IFERROR((ABS(N741-O741)/MAX(1,(N741+O741)))*EXP(-ABS(E741-CONTROL!E5)/MAX(1,CONTROL!B8)),"")</f>
        <v/>
      </c>
      <c r="U741" s="13">
        <f>IFERROR(IF(O741&gt;N741,"SUPPORT (PE OI)","RESIST (CE OI)"),"")</f>
        <v/>
      </c>
      <c r="V741" s="13">
        <f>IFERROR(IF(Q741&gt;0,IF(R741&gt;0,"BOTH_ADD","CE_ADD_PE_REDUCE"),IF(R741&gt;0,"CE_REDUCE_PE_ADD","BOTH_REDUCE")),"")</f>
        <v/>
      </c>
      <c r="W741" s="13">
        <f>IFERROR( (P741-1)*0.5 + (M741)*0.1 - (I741+J741)*0.05 + T741*0.4 ,"")</f>
        <v/>
      </c>
      <c r="X741" s="13">
        <f>IFERROR(IF(ABS(F741)&lt;0.01,"ATM/NEAR",""),"")</f>
        <v/>
      </c>
    </row>
    <row r="742">
      <c r="A742" s="13">
        <f>CHAIN_RAW!A742</f>
        <v/>
      </c>
      <c r="B742" s="14">
        <f>CHAIN_RAW!B742</f>
        <v/>
      </c>
      <c r="C742" s="13">
        <f>CHAIN_RAW!C742</f>
        <v/>
      </c>
      <c r="D742" s="13">
        <f>CHAIN_RAW!D742</f>
        <v/>
      </c>
      <c r="E742" s="13">
        <f>CHAIN_RAW!E742</f>
        <v/>
      </c>
      <c r="F742" s="13">
        <f>IFERROR((E742-D742)/D742,"")</f>
        <v/>
      </c>
      <c r="G742" s="13">
        <f>IFERROR((CHAIN_RAW!K742+CHAIN_RAW!L742)/2,"")</f>
        <v/>
      </c>
      <c r="H742" s="13">
        <f>IFERROR((CHAIN_RAW!R742+CHAIN_RAW!S742)/2,"")</f>
        <v/>
      </c>
      <c r="I742" s="13">
        <f>IFERROR((CHAIN_RAW!L742-CHAIN_RAW!K742)/MAX(1E-9, G742),"")</f>
        <v/>
      </c>
      <c r="J742" s="13">
        <f>IFERROR((CHAIN_RAW!S742-CHAIN_RAW!R742)/MAX(1E-9, H742),"")</f>
        <v/>
      </c>
      <c r="K742" s="13">
        <f>CHAIN_RAW!G742</f>
        <v/>
      </c>
      <c r="L742" s="13">
        <f>CHAIN_RAW!N742</f>
        <v/>
      </c>
      <c r="M742" s="13">
        <f>IFERROR(L742-K742,"")</f>
        <v/>
      </c>
      <c r="N742" s="13">
        <f>CHAIN_RAW!H742</f>
        <v/>
      </c>
      <c r="O742" s="13">
        <f>CHAIN_RAW!O742</f>
        <v/>
      </c>
      <c r="P742" s="13">
        <f>IFERROR(O742/N742,"")</f>
        <v/>
      </c>
      <c r="Q742" s="13">
        <f>CHAIN_RAW!I742</f>
        <v/>
      </c>
      <c r="R742" s="13">
        <f>CHAIN_RAW!P742</f>
        <v/>
      </c>
      <c r="S742" s="13">
        <f>IFERROR(R742/Q742,"")</f>
        <v/>
      </c>
      <c r="T742" s="13">
        <f>IFERROR((ABS(N742-O742)/MAX(1,(N742+O742)))*EXP(-ABS(E742-CONTROL!E5)/MAX(1,CONTROL!B8)),"")</f>
        <v/>
      </c>
      <c r="U742" s="13">
        <f>IFERROR(IF(O742&gt;N742,"SUPPORT (PE OI)","RESIST (CE OI)"),"")</f>
        <v/>
      </c>
      <c r="V742" s="13">
        <f>IFERROR(IF(Q742&gt;0,IF(R742&gt;0,"BOTH_ADD","CE_ADD_PE_REDUCE"),IF(R742&gt;0,"CE_REDUCE_PE_ADD","BOTH_REDUCE")),"")</f>
        <v/>
      </c>
      <c r="W742" s="13">
        <f>IFERROR( (P742-1)*0.5 + (M742)*0.1 - (I742+J742)*0.05 + T742*0.4 ,"")</f>
        <v/>
      </c>
      <c r="X742" s="13">
        <f>IFERROR(IF(ABS(F742)&lt;0.01,"ATM/NEAR",""),"")</f>
        <v/>
      </c>
    </row>
    <row r="743">
      <c r="A743" s="13">
        <f>CHAIN_RAW!A743</f>
        <v/>
      </c>
      <c r="B743" s="14">
        <f>CHAIN_RAW!B743</f>
        <v/>
      </c>
      <c r="C743" s="13">
        <f>CHAIN_RAW!C743</f>
        <v/>
      </c>
      <c r="D743" s="13">
        <f>CHAIN_RAW!D743</f>
        <v/>
      </c>
      <c r="E743" s="13">
        <f>CHAIN_RAW!E743</f>
        <v/>
      </c>
      <c r="F743" s="13">
        <f>IFERROR((E743-D743)/D743,"")</f>
        <v/>
      </c>
      <c r="G743" s="13">
        <f>IFERROR((CHAIN_RAW!K743+CHAIN_RAW!L743)/2,"")</f>
        <v/>
      </c>
      <c r="H743" s="13">
        <f>IFERROR((CHAIN_RAW!R743+CHAIN_RAW!S743)/2,"")</f>
        <v/>
      </c>
      <c r="I743" s="13">
        <f>IFERROR((CHAIN_RAW!L743-CHAIN_RAW!K743)/MAX(1E-9, G743),"")</f>
        <v/>
      </c>
      <c r="J743" s="13">
        <f>IFERROR((CHAIN_RAW!S743-CHAIN_RAW!R743)/MAX(1E-9, H743),"")</f>
        <v/>
      </c>
      <c r="K743" s="13">
        <f>CHAIN_RAW!G743</f>
        <v/>
      </c>
      <c r="L743" s="13">
        <f>CHAIN_RAW!N743</f>
        <v/>
      </c>
      <c r="M743" s="13">
        <f>IFERROR(L743-K743,"")</f>
        <v/>
      </c>
      <c r="N743" s="13">
        <f>CHAIN_RAW!H743</f>
        <v/>
      </c>
      <c r="O743" s="13">
        <f>CHAIN_RAW!O743</f>
        <v/>
      </c>
      <c r="P743" s="13">
        <f>IFERROR(O743/N743,"")</f>
        <v/>
      </c>
      <c r="Q743" s="13">
        <f>CHAIN_RAW!I743</f>
        <v/>
      </c>
      <c r="R743" s="13">
        <f>CHAIN_RAW!P743</f>
        <v/>
      </c>
      <c r="S743" s="13">
        <f>IFERROR(R743/Q743,"")</f>
        <v/>
      </c>
      <c r="T743" s="13">
        <f>IFERROR((ABS(N743-O743)/MAX(1,(N743+O743)))*EXP(-ABS(E743-CONTROL!E5)/MAX(1,CONTROL!B8)),"")</f>
        <v/>
      </c>
      <c r="U743" s="13">
        <f>IFERROR(IF(O743&gt;N743,"SUPPORT (PE OI)","RESIST (CE OI)"),"")</f>
        <v/>
      </c>
      <c r="V743" s="13">
        <f>IFERROR(IF(Q743&gt;0,IF(R743&gt;0,"BOTH_ADD","CE_ADD_PE_REDUCE"),IF(R743&gt;0,"CE_REDUCE_PE_ADD","BOTH_REDUCE")),"")</f>
        <v/>
      </c>
      <c r="W743" s="13">
        <f>IFERROR( (P743-1)*0.5 + (M743)*0.1 - (I743+J743)*0.05 + T743*0.4 ,"")</f>
        <v/>
      </c>
      <c r="X743" s="13">
        <f>IFERROR(IF(ABS(F743)&lt;0.01,"ATM/NEAR",""),"")</f>
        <v/>
      </c>
    </row>
    <row r="744">
      <c r="A744" s="13">
        <f>CHAIN_RAW!A744</f>
        <v/>
      </c>
      <c r="B744" s="14">
        <f>CHAIN_RAW!B744</f>
        <v/>
      </c>
      <c r="C744" s="13">
        <f>CHAIN_RAW!C744</f>
        <v/>
      </c>
      <c r="D744" s="13">
        <f>CHAIN_RAW!D744</f>
        <v/>
      </c>
      <c r="E744" s="13">
        <f>CHAIN_RAW!E744</f>
        <v/>
      </c>
      <c r="F744" s="13">
        <f>IFERROR((E744-D744)/D744,"")</f>
        <v/>
      </c>
      <c r="G744" s="13">
        <f>IFERROR((CHAIN_RAW!K744+CHAIN_RAW!L744)/2,"")</f>
        <v/>
      </c>
      <c r="H744" s="13">
        <f>IFERROR((CHAIN_RAW!R744+CHAIN_RAW!S744)/2,"")</f>
        <v/>
      </c>
      <c r="I744" s="13">
        <f>IFERROR((CHAIN_RAW!L744-CHAIN_RAW!K744)/MAX(1E-9, G744),"")</f>
        <v/>
      </c>
      <c r="J744" s="13">
        <f>IFERROR((CHAIN_RAW!S744-CHAIN_RAW!R744)/MAX(1E-9, H744),"")</f>
        <v/>
      </c>
      <c r="K744" s="13">
        <f>CHAIN_RAW!G744</f>
        <v/>
      </c>
      <c r="L744" s="13">
        <f>CHAIN_RAW!N744</f>
        <v/>
      </c>
      <c r="M744" s="13">
        <f>IFERROR(L744-K744,"")</f>
        <v/>
      </c>
      <c r="N744" s="13">
        <f>CHAIN_RAW!H744</f>
        <v/>
      </c>
      <c r="O744" s="13">
        <f>CHAIN_RAW!O744</f>
        <v/>
      </c>
      <c r="P744" s="13">
        <f>IFERROR(O744/N744,"")</f>
        <v/>
      </c>
      <c r="Q744" s="13">
        <f>CHAIN_RAW!I744</f>
        <v/>
      </c>
      <c r="R744" s="13">
        <f>CHAIN_RAW!P744</f>
        <v/>
      </c>
      <c r="S744" s="13">
        <f>IFERROR(R744/Q744,"")</f>
        <v/>
      </c>
      <c r="T744" s="13">
        <f>IFERROR((ABS(N744-O744)/MAX(1,(N744+O744)))*EXP(-ABS(E744-CONTROL!E5)/MAX(1,CONTROL!B8)),"")</f>
        <v/>
      </c>
      <c r="U744" s="13">
        <f>IFERROR(IF(O744&gt;N744,"SUPPORT (PE OI)","RESIST (CE OI)"),"")</f>
        <v/>
      </c>
      <c r="V744" s="13">
        <f>IFERROR(IF(Q744&gt;0,IF(R744&gt;0,"BOTH_ADD","CE_ADD_PE_REDUCE"),IF(R744&gt;0,"CE_REDUCE_PE_ADD","BOTH_REDUCE")),"")</f>
        <v/>
      </c>
      <c r="W744" s="13">
        <f>IFERROR( (P744-1)*0.5 + (M744)*0.1 - (I744+J744)*0.05 + T744*0.4 ,"")</f>
        <v/>
      </c>
      <c r="X744" s="13">
        <f>IFERROR(IF(ABS(F744)&lt;0.01,"ATM/NEAR",""),"")</f>
        <v/>
      </c>
    </row>
    <row r="745">
      <c r="A745" s="13">
        <f>CHAIN_RAW!A745</f>
        <v/>
      </c>
      <c r="B745" s="14">
        <f>CHAIN_RAW!B745</f>
        <v/>
      </c>
      <c r="C745" s="13">
        <f>CHAIN_RAW!C745</f>
        <v/>
      </c>
      <c r="D745" s="13">
        <f>CHAIN_RAW!D745</f>
        <v/>
      </c>
      <c r="E745" s="13">
        <f>CHAIN_RAW!E745</f>
        <v/>
      </c>
      <c r="F745" s="13">
        <f>IFERROR((E745-D745)/D745,"")</f>
        <v/>
      </c>
      <c r="G745" s="13">
        <f>IFERROR((CHAIN_RAW!K745+CHAIN_RAW!L745)/2,"")</f>
        <v/>
      </c>
      <c r="H745" s="13">
        <f>IFERROR((CHAIN_RAW!R745+CHAIN_RAW!S745)/2,"")</f>
        <v/>
      </c>
      <c r="I745" s="13">
        <f>IFERROR((CHAIN_RAW!L745-CHAIN_RAW!K745)/MAX(1E-9, G745),"")</f>
        <v/>
      </c>
      <c r="J745" s="13">
        <f>IFERROR((CHAIN_RAW!S745-CHAIN_RAW!R745)/MAX(1E-9, H745),"")</f>
        <v/>
      </c>
      <c r="K745" s="13">
        <f>CHAIN_RAW!G745</f>
        <v/>
      </c>
      <c r="L745" s="13">
        <f>CHAIN_RAW!N745</f>
        <v/>
      </c>
      <c r="M745" s="13">
        <f>IFERROR(L745-K745,"")</f>
        <v/>
      </c>
      <c r="N745" s="13">
        <f>CHAIN_RAW!H745</f>
        <v/>
      </c>
      <c r="O745" s="13">
        <f>CHAIN_RAW!O745</f>
        <v/>
      </c>
      <c r="P745" s="13">
        <f>IFERROR(O745/N745,"")</f>
        <v/>
      </c>
      <c r="Q745" s="13">
        <f>CHAIN_RAW!I745</f>
        <v/>
      </c>
      <c r="R745" s="13">
        <f>CHAIN_RAW!P745</f>
        <v/>
      </c>
      <c r="S745" s="13">
        <f>IFERROR(R745/Q745,"")</f>
        <v/>
      </c>
      <c r="T745" s="13">
        <f>IFERROR((ABS(N745-O745)/MAX(1,(N745+O745)))*EXP(-ABS(E745-CONTROL!E5)/MAX(1,CONTROL!B8)),"")</f>
        <v/>
      </c>
      <c r="U745" s="13">
        <f>IFERROR(IF(O745&gt;N745,"SUPPORT (PE OI)","RESIST (CE OI)"),"")</f>
        <v/>
      </c>
      <c r="V745" s="13">
        <f>IFERROR(IF(Q745&gt;0,IF(R745&gt;0,"BOTH_ADD","CE_ADD_PE_REDUCE"),IF(R745&gt;0,"CE_REDUCE_PE_ADD","BOTH_REDUCE")),"")</f>
        <v/>
      </c>
      <c r="W745" s="13">
        <f>IFERROR( (P745-1)*0.5 + (M745)*0.1 - (I745+J745)*0.05 + T745*0.4 ,"")</f>
        <v/>
      </c>
      <c r="X745" s="13">
        <f>IFERROR(IF(ABS(F745)&lt;0.01,"ATM/NEAR",""),"")</f>
        <v/>
      </c>
    </row>
    <row r="746">
      <c r="A746" s="13">
        <f>CHAIN_RAW!A746</f>
        <v/>
      </c>
      <c r="B746" s="14">
        <f>CHAIN_RAW!B746</f>
        <v/>
      </c>
      <c r="C746" s="13">
        <f>CHAIN_RAW!C746</f>
        <v/>
      </c>
      <c r="D746" s="13">
        <f>CHAIN_RAW!D746</f>
        <v/>
      </c>
      <c r="E746" s="13">
        <f>CHAIN_RAW!E746</f>
        <v/>
      </c>
      <c r="F746" s="13">
        <f>IFERROR((E746-D746)/D746,"")</f>
        <v/>
      </c>
      <c r="G746" s="13">
        <f>IFERROR((CHAIN_RAW!K746+CHAIN_RAW!L746)/2,"")</f>
        <v/>
      </c>
      <c r="H746" s="13">
        <f>IFERROR((CHAIN_RAW!R746+CHAIN_RAW!S746)/2,"")</f>
        <v/>
      </c>
      <c r="I746" s="13">
        <f>IFERROR((CHAIN_RAW!L746-CHAIN_RAW!K746)/MAX(1E-9, G746),"")</f>
        <v/>
      </c>
      <c r="J746" s="13">
        <f>IFERROR((CHAIN_RAW!S746-CHAIN_RAW!R746)/MAX(1E-9, H746),"")</f>
        <v/>
      </c>
      <c r="K746" s="13">
        <f>CHAIN_RAW!G746</f>
        <v/>
      </c>
      <c r="L746" s="13">
        <f>CHAIN_RAW!N746</f>
        <v/>
      </c>
      <c r="M746" s="13">
        <f>IFERROR(L746-K746,"")</f>
        <v/>
      </c>
      <c r="N746" s="13">
        <f>CHAIN_RAW!H746</f>
        <v/>
      </c>
      <c r="O746" s="13">
        <f>CHAIN_RAW!O746</f>
        <v/>
      </c>
      <c r="P746" s="13">
        <f>IFERROR(O746/N746,"")</f>
        <v/>
      </c>
      <c r="Q746" s="13">
        <f>CHAIN_RAW!I746</f>
        <v/>
      </c>
      <c r="R746" s="13">
        <f>CHAIN_RAW!P746</f>
        <v/>
      </c>
      <c r="S746" s="13">
        <f>IFERROR(R746/Q746,"")</f>
        <v/>
      </c>
      <c r="T746" s="13">
        <f>IFERROR((ABS(N746-O746)/MAX(1,(N746+O746)))*EXP(-ABS(E746-CONTROL!E5)/MAX(1,CONTROL!B8)),"")</f>
        <v/>
      </c>
      <c r="U746" s="13">
        <f>IFERROR(IF(O746&gt;N746,"SUPPORT (PE OI)","RESIST (CE OI)"),"")</f>
        <v/>
      </c>
      <c r="V746" s="13">
        <f>IFERROR(IF(Q746&gt;0,IF(R746&gt;0,"BOTH_ADD","CE_ADD_PE_REDUCE"),IF(R746&gt;0,"CE_REDUCE_PE_ADD","BOTH_REDUCE")),"")</f>
        <v/>
      </c>
      <c r="W746" s="13">
        <f>IFERROR( (P746-1)*0.5 + (M746)*0.1 - (I746+J746)*0.05 + T746*0.4 ,"")</f>
        <v/>
      </c>
      <c r="X746" s="13">
        <f>IFERROR(IF(ABS(F746)&lt;0.01,"ATM/NEAR",""),"")</f>
        <v/>
      </c>
    </row>
    <row r="747">
      <c r="A747" s="13">
        <f>CHAIN_RAW!A747</f>
        <v/>
      </c>
      <c r="B747" s="14">
        <f>CHAIN_RAW!B747</f>
        <v/>
      </c>
      <c r="C747" s="13">
        <f>CHAIN_RAW!C747</f>
        <v/>
      </c>
      <c r="D747" s="13">
        <f>CHAIN_RAW!D747</f>
        <v/>
      </c>
      <c r="E747" s="13">
        <f>CHAIN_RAW!E747</f>
        <v/>
      </c>
      <c r="F747" s="13">
        <f>IFERROR((E747-D747)/D747,"")</f>
        <v/>
      </c>
      <c r="G747" s="13">
        <f>IFERROR((CHAIN_RAW!K747+CHAIN_RAW!L747)/2,"")</f>
        <v/>
      </c>
      <c r="H747" s="13">
        <f>IFERROR((CHAIN_RAW!R747+CHAIN_RAW!S747)/2,"")</f>
        <v/>
      </c>
      <c r="I747" s="13">
        <f>IFERROR((CHAIN_RAW!L747-CHAIN_RAW!K747)/MAX(1E-9, G747),"")</f>
        <v/>
      </c>
      <c r="J747" s="13">
        <f>IFERROR((CHAIN_RAW!S747-CHAIN_RAW!R747)/MAX(1E-9, H747),"")</f>
        <v/>
      </c>
      <c r="K747" s="13">
        <f>CHAIN_RAW!G747</f>
        <v/>
      </c>
      <c r="L747" s="13">
        <f>CHAIN_RAW!N747</f>
        <v/>
      </c>
      <c r="M747" s="13">
        <f>IFERROR(L747-K747,"")</f>
        <v/>
      </c>
      <c r="N747" s="13">
        <f>CHAIN_RAW!H747</f>
        <v/>
      </c>
      <c r="O747" s="13">
        <f>CHAIN_RAW!O747</f>
        <v/>
      </c>
      <c r="P747" s="13">
        <f>IFERROR(O747/N747,"")</f>
        <v/>
      </c>
      <c r="Q747" s="13">
        <f>CHAIN_RAW!I747</f>
        <v/>
      </c>
      <c r="R747" s="13">
        <f>CHAIN_RAW!P747</f>
        <v/>
      </c>
      <c r="S747" s="13">
        <f>IFERROR(R747/Q747,"")</f>
        <v/>
      </c>
      <c r="T747" s="13">
        <f>IFERROR((ABS(N747-O747)/MAX(1,(N747+O747)))*EXP(-ABS(E747-CONTROL!E5)/MAX(1,CONTROL!B8)),"")</f>
        <v/>
      </c>
      <c r="U747" s="13">
        <f>IFERROR(IF(O747&gt;N747,"SUPPORT (PE OI)","RESIST (CE OI)"),"")</f>
        <v/>
      </c>
      <c r="V747" s="13">
        <f>IFERROR(IF(Q747&gt;0,IF(R747&gt;0,"BOTH_ADD","CE_ADD_PE_REDUCE"),IF(R747&gt;0,"CE_REDUCE_PE_ADD","BOTH_REDUCE")),"")</f>
        <v/>
      </c>
      <c r="W747" s="13">
        <f>IFERROR( (P747-1)*0.5 + (M747)*0.1 - (I747+J747)*0.05 + T747*0.4 ,"")</f>
        <v/>
      </c>
      <c r="X747" s="13">
        <f>IFERROR(IF(ABS(F747)&lt;0.01,"ATM/NEAR",""),"")</f>
        <v/>
      </c>
    </row>
    <row r="748">
      <c r="A748" s="13">
        <f>CHAIN_RAW!A748</f>
        <v/>
      </c>
      <c r="B748" s="14">
        <f>CHAIN_RAW!B748</f>
        <v/>
      </c>
      <c r="C748" s="13">
        <f>CHAIN_RAW!C748</f>
        <v/>
      </c>
      <c r="D748" s="13">
        <f>CHAIN_RAW!D748</f>
        <v/>
      </c>
      <c r="E748" s="13">
        <f>CHAIN_RAW!E748</f>
        <v/>
      </c>
      <c r="F748" s="13">
        <f>IFERROR((E748-D748)/D748,"")</f>
        <v/>
      </c>
      <c r="G748" s="13">
        <f>IFERROR((CHAIN_RAW!K748+CHAIN_RAW!L748)/2,"")</f>
        <v/>
      </c>
      <c r="H748" s="13">
        <f>IFERROR((CHAIN_RAW!R748+CHAIN_RAW!S748)/2,"")</f>
        <v/>
      </c>
      <c r="I748" s="13">
        <f>IFERROR((CHAIN_RAW!L748-CHAIN_RAW!K748)/MAX(1E-9, G748),"")</f>
        <v/>
      </c>
      <c r="J748" s="13">
        <f>IFERROR((CHAIN_RAW!S748-CHAIN_RAW!R748)/MAX(1E-9, H748),"")</f>
        <v/>
      </c>
      <c r="K748" s="13">
        <f>CHAIN_RAW!G748</f>
        <v/>
      </c>
      <c r="L748" s="13">
        <f>CHAIN_RAW!N748</f>
        <v/>
      </c>
      <c r="M748" s="13">
        <f>IFERROR(L748-K748,"")</f>
        <v/>
      </c>
      <c r="N748" s="13">
        <f>CHAIN_RAW!H748</f>
        <v/>
      </c>
      <c r="O748" s="13">
        <f>CHAIN_RAW!O748</f>
        <v/>
      </c>
      <c r="P748" s="13">
        <f>IFERROR(O748/N748,"")</f>
        <v/>
      </c>
      <c r="Q748" s="13">
        <f>CHAIN_RAW!I748</f>
        <v/>
      </c>
      <c r="R748" s="13">
        <f>CHAIN_RAW!P748</f>
        <v/>
      </c>
      <c r="S748" s="13">
        <f>IFERROR(R748/Q748,"")</f>
        <v/>
      </c>
      <c r="T748" s="13">
        <f>IFERROR((ABS(N748-O748)/MAX(1,(N748+O748)))*EXP(-ABS(E748-CONTROL!E5)/MAX(1,CONTROL!B8)),"")</f>
        <v/>
      </c>
      <c r="U748" s="13">
        <f>IFERROR(IF(O748&gt;N748,"SUPPORT (PE OI)","RESIST (CE OI)"),"")</f>
        <v/>
      </c>
      <c r="V748" s="13">
        <f>IFERROR(IF(Q748&gt;0,IF(R748&gt;0,"BOTH_ADD","CE_ADD_PE_REDUCE"),IF(R748&gt;0,"CE_REDUCE_PE_ADD","BOTH_REDUCE")),"")</f>
        <v/>
      </c>
      <c r="W748" s="13">
        <f>IFERROR( (P748-1)*0.5 + (M748)*0.1 - (I748+J748)*0.05 + T748*0.4 ,"")</f>
        <v/>
      </c>
      <c r="X748" s="13">
        <f>IFERROR(IF(ABS(F748)&lt;0.01,"ATM/NEAR",""),"")</f>
        <v/>
      </c>
    </row>
    <row r="749">
      <c r="A749" s="13">
        <f>CHAIN_RAW!A749</f>
        <v/>
      </c>
      <c r="B749" s="14">
        <f>CHAIN_RAW!B749</f>
        <v/>
      </c>
      <c r="C749" s="13">
        <f>CHAIN_RAW!C749</f>
        <v/>
      </c>
      <c r="D749" s="13">
        <f>CHAIN_RAW!D749</f>
        <v/>
      </c>
      <c r="E749" s="13">
        <f>CHAIN_RAW!E749</f>
        <v/>
      </c>
      <c r="F749" s="13">
        <f>IFERROR((E749-D749)/D749,"")</f>
        <v/>
      </c>
      <c r="G749" s="13">
        <f>IFERROR((CHAIN_RAW!K749+CHAIN_RAW!L749)/2,"")</f>
        <v/>
      </c>
      <c r="H749" s="13">
        <f>IFERROR((CHAIN_RAW!R749+CHAIN_RAW!S749)/2,"")</f>
        <v/>
      </c>
      <c r="I749" s="13">
        <f>IFERROR((CHAIN_RAW!L749-CHAIN_RAW!K749)/MAX(1E-9, G749),"")</f>
        <v/>
      </c>
      <c r="J749" s="13">
        <f>IFERROR((CHAIN_RAW!S749-CHAIN_RAW!R749)/MAX(1E-9, H749),"")</f>
        <v/>
      </c>
      <c r="K749" s="13">
        <f>CHAIN_RAW!G749</f>
        <v/>
      </c>
      <c r="L749" s="13">
        <f>CHAIN_RAW!N749</f>
        <v/>
      </c>
      <c r="M749" s="13">
        <f>IFERROR(L749-K749,"")</f>
        <v/>
      </c>
      <c r="N749" s="13">
        <f>CHAIN_RAW!H749</f>
        <v/>
      </c>
      <c r="O749" s="13">
        <f>CHAIN_RAW!O749</f>
        <v/>
      </c>
      <c r="P749" s="13">
        <f>IFERROR(O749/N749,"")</f>
        <v/>
      </c>
      <c r="Q749" s="13">
        <f>CHAIN_RAW!I749</f>
        <v/>
      </c>
      <c r="R749" s="13">
        <f>CHAIN_RAW!P749</f>
        <v/>
      </c>
      <c r="S749" s="13">
        <f>IFERROR(R749/Q749,"")</f>
        <v/>
      </c>
      <c r="T749" s="13">
        <f>IFERROR((ABS(N749-O749)/MAX(1,(N749+O749)))*EXP(-ABS(E749-CONTROL!E5)/MAX(1,CONTROL!B8)),"")</f>
        <v/>
      </c>
      <c r="U749" s="13">
        <f>IFERROR(IF(O749&gt;N749,"SUPPORT (PE OI)","RESIST (CE OI)"),"")</f>
        <v/>
      </c>
      <c r="V749" s="13">
        <f>IFERROR(IF(Q749&gt;0,IF(R749&gt;0,"BOTH_ADD","CE_ADD_PE_REDUCE"),IF(R749&gt;0,"CE_REDUCE_PE_ADD","BOTH_REDUCE")),"")</f>
        <v/>
      </c>
      <c r="W749" s="13">
        <f>IFERROR( (P749-1)*0.5 + (M749)*0.1 - (I749+J749)*0.05 + T749*0.4 ,"")</f>
        <v/>
      </c>
      <c r="X749" s="13">
        <f>IFERROR(IF(ABS(F749)&lt;0.01,"ATM/NEAR",""),"")</f>
        <v/>
      </c>
    </row>
    <row r="750">
      <c r="A750" s="13">
        <f>CHAIN_RAW!A750</f>
        <v/>
      </c>
      <c r="B750" s="14">
        <f>CHAIN_RAW!B750</f>
        <v/>
      </c>
      <c r="C750" s="13">
        <f>CHAIN_RAW!C750</f>
        <v/>
      </c>
      <c r="D750" s="13">
        <f>CHAIN_RAW!D750</f>
        <v/>
      </c>
      <c r="E750" s="13">
        <f>CHAIN_RAW!E750</f>
        <v/>
      </c>
      <c r="F750" s="13">
        <f>IFERROR((E750-D750)/D750,"")</f>
        <v/>
      </c>
      <c r="G750" s="13">
        <f>IFERROR((CHAIN_RAW!K750+CHAIN_RAW!L750)/2,"")</f>
        <v/>
      </c>
      <c r="H750" s="13">
        <f>IFERROR((CHAIN_RAW!R750+CHAIN_RAW!S750)/2,"")</f>
        <v/>
      </c>
      <c r="I750" s="13">
        <f>IFERROR((CHAIN_RAW!L750-CHAIN_RAW!K750)/MAX(1E-9, G750),"")</f>
        <v/>
      </c>
      <c r="J750" s="13">
        <f>IFERROR((CHAIN_RAW!S750-CHAIN_RAW!R750)/MAX(1E-9, H750),"")</f>
        <v/>
      </c>
      <c r="K750" s="13">
        <f>CHAIN_RAW!G750</f>
        <v/>
      </c>
      <c r="L750" s="13">
        <f>CHAIN_RAW!N750</f>
        <v/>
      </c>
      <c r="M750" s="13">
        <f>IFERROR(L750-K750,"")</f>
        <v/>
      </c>
      <c r="N750" s="13">
        <f>CHAIN_RAW!H750</f>
        <v/>
      </c>
      <c r="O750" s="13">
        <f>CHAIN_RAW!O750</f>
        <v/>
      </c>
      <c r="P750" s="13">
        <f>IFERROR(O750/N750,"")</f>
        <v/>
      </c>
      <c r="Q750" s="13">
        <f>CHAIN_RAW!I750</f>
        <v/>
      </c>
      <c r="R750" s="13">
        <f>CHAIN_RAW!P750</f>
        <v/>
      </c>
      <c r="S750" s="13">
        <f>IFERROR(R750/Q750,"")</f>
        <v/>
      </c>
      <c r="T750" s="13">
        <f>IFERROR((ABS(N750-O750)/MAX(1,(N750+O750)))*EXP(-ABS(E750-CONTROL!E5)/MAX(1,CONTROL!B8)),"")</f>
        <v/>
      </c>
      <c r="U750" s="13">
        <f>IFERROR(IF(O750&gt;N750,"SUPPORT (PE OI)","RESIST (CE OI)"),"")</f>
        <v/>
      </c>
      <c r="V750" s="13">
        <f>IFERROR(IF(Q750&gt;0,IF(R750&gt;0,"BOTH_ADD","CE_ADD_PE_REDUCE"),IF(R750&gt;0,"CE_REDUCE_PE_ADD","BOTH_REDUCE")),"")</f>
        <v/>
      </c>
      <c r="W750" s="13">
        <f>IFERROR( (P750-1)*0.5 + (M750)*0.1 - (I750+J750)*0.05 + T750*0.4 ,"")</f>
        <v/>
      </c>
      <c r="X750" s="13">
        <f>IFERROR(IF(ABS(F750)&lt;0.01,"ATM/NEAR",""),"")</f>
        <v/>
      </c>
    </row>
    <row r="751">
      <c r="A751" s="13">
        <f>CHAIN_RAW!A751</f>
        <v/>
      </c>
      <c r="B751" s="14">
        <f>CHAIN_RAW!B751</f>
        <v/>
      </c>
      <c r="C751" s="13">
        <f>CHAIN_RAW!C751</f>
        <v/>
      </c>
      <c r="D751" s="13">
        <f>CHAIN_RAW!D751</f>
        <v/>
      </c>
      <c r="E751" s="13">
        <f>CHAIN_RAW!E751</f>
        <v/>
      </c>
      <c r="F751" s="13">
        <f>IFERROR((E751-D751)/D751,"")</f>
        <v/>
      </c>
      <c r="G751" s="13">
        <f>IFERROR((CHAIN_RAW!K751+CHAIN_RAW!L751)/2,"")</f>
        <v/>
      </c>
      <c r="H751" s="13">
        <f>IFERROR((CHAIN_RAW!R751+CHAIN_RAW!S751)/2,"")</f>
        <v/>
      </c>
      <c r="I751" s="13">
        <f>IFERROR((CHAIN_RAW!L751-CHAIN_RAW!K751)/MAX(1E-9, G751),"")</f>
        <v/>
      </c>
      <c r="J751" s="13">
        <f>IFERROR((CHAIN_RAW!S751-CHAIN_RAW!R751)/MAX(1E-9, H751),"")</f>
        <v/>
      </c>
      <c r="K751" s="13">
        <f>CHAIN_RAW!G751</f>
        <v/>
      </c>
      <c r="L751" s="13">
        <f>CHAIN_RAW!N751</f>
        <v/>
      </c>
      <c r="M751" s="13">
        <f>IFERROR(L751-K751,"")</f>
        <v/>
      </c>
      <c r="N751" s="13">
        <f>CHAIN_RAW!H751</f>
        <v/>
      </c>
      <c r="O751" s="13">
        <f>CHAIN_RAW!O751</f>
        <v/>
      </c>
      <c r="P751" s="13">
        <f>IFERROR(O751/N751,"")</f>
        <v/>
      </c>
      <c r="Q751" s="13">
        <f>CHAIN_RAW!I751</f>
        <v/>
      </c>
      <c r="R751" s="13">
        <f>CHAIN_RAW!P751</f>
        <v/>
      </c>
      <c r="S751" s="13">
        <f>IFERROR(R751/Q751,"")</f>
        <v/>
      </c>
      <c r="T751" s="13">
        <f>IFERROR((ABS(N751-O751)/MAX(1,(N751+O751)))*EXP(-ABS(E751-CONTROL!E5)/MAX(1,CONTROL!B8)),"")</f>
        <v/>
      </c>
      <c r="U751" s="13">
        <f>IFERROR(IF(O751&gt;N751,"SUPPORT (PE OI)","RESIST (CE OI)"),"")</f>
        <v/>
      </c>
      <c r="V751" s="13">
        <f>IFERROR(IF(Q751&gt;0,IF(R751&gt;0,"BOTH_ADD","CE_ADD_PE_REDUCE"),IF(R751&gt;0,"CE_REDUCE_PE_ADD","BOTH_REDUCE")),"")</f>
        <v/>
      </c>
      <c r="W751" s="13">
        <f>IFERROR( (P751-1)*0.5 + (M751)*0.1 - (I751+J751)*0.05 + T751*0.4 ,"")</f>
        <v/>
      </c>
      <c r="X751" s="13">
        <f>IFERROR(IF(ABS(F751)&lt;0.01,"ATM/NEAR",""),"")</f>
        <v/>
      </c>
    </row>
    <row r="752">
      <c r="A752" s="13">
        <f>CHAIN_RAW!A752</f>
        <v/>
      </c>
      <c r="B752" s="14">
        <f>CHAIN_RAW!B752</f>
        <v/>
      </c>
      <c r="C752" s="13">
        <f>CHAIN_RAW!C752</f>
        <v/>
      </c>
      <c r="D752" s="13">
        <f>CHAIN_RAW!D752</f>
        <v/>
      </c>
      <c r="E752" s="13">
        <f>CHAIN_RAW!E752</f>
        <v/>
      </c>
      <c r="F752" s="13">
        <f>IFERROR((E752-D752)/D752,"")</f>
        <v/>
      </c>
      <c r="G752" s="13">
        <f>IFERROR((CHAIN_RAW!K752+CHAIN_RAW!L752)/2,"")</f>
        <v/>
      </c>
      <c r="H752" s="13">
        <f>IFERROR((CHAIN_RAW!R752+CHAIN_RAW!S752)/2,"")</f>
        <v/>
      </c>
      <c r="I752" s="13">
        <f>IFERROR((CHAIN_RAW!L752-CHAIN_RAW!K752)/MAX(1E-9, G752),"")</f>
        <v/>
      </c>
      <c r="J752" s="13">
        <f>IFERROR((CHAIN_RAW!S752-CHAIN_RAW!R752)/MAX(1E-9, H752),"")</f>
        <v/>
      </c>
      <c r="K752" s="13">
        <f>CHAIN_RAW!G752</f>
        <v/>
      </c>
      <c r="L752" s="13">
        <f>CHAIN_RAW!N752</f>
        <v/>
      </c>
      <c r="M752" s="13">
        <f>IFERROR(L752-K752,"")</f>
        <v/>
      </c>
      <c r="N752" s="13">
        <f>CHAIN_RAW!H752</f>
        <v/>
      </c>
      <c r="O752" s="13">
        <f>CHAIN_RAW!O752</f>
        <v/>
      </c>
      <c r="P752" s="13">
        <f>IFERROR(O752/N752,"")</f>
        <v/>
      </c>
      <c r="Q752" s="13">
        <f>CHAIN_RAW!I752</f>
        <v/>
      </c>
      <c r="R752" s="13">
        <f>CHAIN_RAW!P752</f>
        <v/>
      </c>
      <c r="S752" s="13">
        <f>IFERROR(R752/Q752,"")</f>
        <v/>
      </c>
      <c r="T752" s="13">
        <f>IFERROR((ABS(N752-O752)/MAX(1,(N752+O752)))*EXP(-ABS(E752-CONTROL!E5)/MAX(1,CONTROL!B8)),"")</f>
        <v/>
      </c>
      <c r="U752" s="13">
        <f>IFERROR(IF(O752&gt;N752,"SUPPORT (PE OI)","RESIST (CE OI)"),"")</f>
        <v/>
      </c>
      <c r="V752" s="13">
        <f>IFERROR(IF(Q752&gt;0,IF(R752&gt;0,"BOTH_ADD","CE_ADD_PE_REDUCE"),IF(R752&gt;0,"CE_REDUCE_PE_ADD","BOTH_REDUCE")),"")</f>
        <v/>
      </c>
      <c r="W752" s="13">
        <f>IFERROR( (P752-1)*0.5 + (M752)*0.1 - (I752+J752)*0.05 + T752*0.4 ,"")</f>
        <v/>
      </c>
      <c r="X752" s="13">
        <f>IFERROR(IF(ABS(F752)&lt;0.01,"ATM/NEAR",""),"")</f>
        <v/>
      </c>
    </row>
    <row r="753">
      <c r="A753" s="13">
        <f>CHAIN_RAW!A753</f>
        <v/>
      </c>
      <c r="B753" s="14">
        <f>CHAIN_RAW!B753</f>
        <v/>
      </c>
      <c r="C753" s="13">
        <f>CHAIN_RAW!C753</f>
        <v/>
      </c>
      <c r="D753" s="13">
        <f>CHAIN_RAW!D753</f>
        <v/>
      </c>
      <c r="E753" s="13">
        <f>CHAIN_RAW!E753</f>
        <v/>
      </c>
      <c r="F753" s="13">
        <f>IFERROR((E753-D753)/D753,"")</f>
        <v/>
      </c>
      <c r="G753" s="13">
        <f>IFERROR((CHAIN_RAW!K753+CHAIN_RAW!L753)/2,"")</f>
        <v/>
      </c>
      <c r="H753" s="13">
        <f>IFERROR((CHAIN_RAW!R753+CHAIN_RAW!S753)/2,"")</f>
        <v/>
      </c>
      <c r="I753" s="13">
        <f>IFERROR((CHAIN_RAW!L753-CHAIN_RAW!K753)/MAX(1E-9, G753),"")</f>
        <v/>
      </c>
      <c r="J753" s="13">
        <f>IFERROR((CHAIN_RAW!S753-CHAIN_RAW!R753)/MAX(1E-9, H753),"")</f>
        <v/>
      </c>
      <c r="K753" s="13">
        <f>CHAIN_RAW!G753</f>
        <v/>
      </c>
      <c r="L753" s="13">
        <f>CHAIN_RAW!N753</f>
        <v/>
      </c>
      <c r="M753" s="13">
        <f>IFERROR(L753-K753,"")</f>
        <v/>
      </c>
      <c r="N753" s="13">
        <f>CHAIN_RAW!H753</f>
        <v/>
      </c>
      <c r="O753" s="13">
        <f>CHAIN_RAW!O753</f>
        <v/>
      </c>
      <c r="P753" s="13">
        <f>IFERROR(O753/N753,"")</f>
        <v/>
      </c>
      <c r="Q753" s="13">
        <f>CHAIN_RAW!I753</f>
        <v/>
      </c>
      <c r="R753" s="13">
        <f>CHAIN_RAW!P753</f>
        <v/>
      </c>
      <c r="S753" s="13">
        <f>IFERROR(R753/Q753,"")</f>
        <v/>
      </c>
      <c r="T753" s="13">
        <f>IFERROR((ABS(N753-O753)/MAX(1,(N753+O753)))*EXP(-ABS(E753-CONTROL!E5)/MAX(1,CONTROL!B8)),"")</f>
        <v/>
      </c>
      <c r="U753" s="13">
        <f>IFERROR(IF(O753&gt;N753,"SUPPORT (PE OI)","RESIST (CE OI)"),"")</f>
        <v/>
      </c>
      <c r="V753" s="13">
        <f>IFERROR(IF(Q753&gt;0,IF(R753&gt;0,"BOTH_ADD","CE_ADD_PE_REDUCE"),IF(R753&gt;0,"CE_REDUCE_PE_ADD","BOTH_REDUCE")),"")</f>
        <v/>
      </c>
      <c r="W753" s="13">
        <f>IFERROR( (P753-1)*0.5 + (M753)*0.1 - (I753+J753)*0.05 + T753*0.4 ,"")</f>
        <v/>
      </c>
      <c r="X753" s="13">
        <f>IFERROR(IF(ABS(F753)&lt;0.01,"ATM/NEAR",""),"")</f>
        <v/>
      </c>
    </row>
    <row r="754">
      <c r="A754" s="13">
        <f>CHAIN_RAW!A754</f>
        <v/>
      </c>
      <c r="B754" s="14">
        <f>CHAIN_RAW!B754</f>
        <v/>
      </c>
      <c r="C754" s="13">
        <f>CHAIN_RAW!C754</f>
        <v/>
      </c>
      <c r="D754" s="13">
        <f>CHAIN_RAW!D754</f>
        <v/>
      </c>
      <c r="E754" s="13">
        <f>CHAIN_RAW!E754</f>
        <v/>
      </c>
      <c r="F754" s="13">
        <f>IFERROR((E754-D754)/D754,"")</f>
        <v/>
      </c>
      <c r="G754" s="13">
        <f>IFERROR((CHAIN_RAW!K754+CHAIN_RAW!L754)/2,"")</f>
        <v/>
      </c>
      <c r="H754" s="13">
        <f>IFERROR((CHAIN_RAW!R754+CHAIN_RAW!S754)/2,"")</f>
        <v/>
      </c>
      <c r="I754" s="13">
        <f>IFERROR((CHAIN_RAW!L754-CHAIN_RAW!K754)/MAX(1E-9, G754),"")</f>
        <v/>
      </c>
      <c r="J754" s="13">
        <f>IFERROR((CHAIN_RAW!S754-CHAIN_RAW!R754)/MAX(1E-9, H754),"")</f>
        <v/>
      </c>
      <c r="K754" s="13">
        <f>CHAIN_RAW!G754</f>
        <v/>
      </c>
      <c r="L754" s="13">
        <f>CHAIN_RAW!N754</f>
        <v/>
      </c>
      <c r="M754" s="13">
        <f>IFERROR(L754-K754,"")</f>
        <v/>
      </c>
      <c r="N754" s="13">
        <f>CHAIN_RAW!H754</f>
        <v/>
      </c>
      <c r="O754" s="13">
        <f>CHAIN_RAW!O754</f>
        <v/>
      </c>
      <c r="P754" s="13">
        <f>IFERROR(O754/N754,"")</f>
        <v/>
      </c>
      <c r="Q754" s="13">
        <f>CHAIN_RAW!I754</f>
        <v/>
      </c>
      <c r="R754" s="13">
        <f>CHAIN_RAW!P754</f>
        <v/>
      </c>
      <c r="S754" s="13">
        <f>IFERROR(R754/Q754,"")</f>
        <v/>
      </c>
      <c r="T754" s="13">
        <f>IFERROR((ABS(N754-O754)/MAX(1,(N754+O754)))*EXP(-ABS(E754-CONTROL!E5)/MAX(1,CONTROL!B8)),"")</f>
        <v/>
      </c>
      <c r="U754" s="13">
        <f>IFERROR(IF(O754&gt;N754,"SUPPORT (PE OI)","RESIST (CE OI)"),"")</f>
        <v/>
      </c>
      <c r="V754" s="13">
        <f>IFERROR(IF(Q754&gt;0,IF(R754&gt;0,"BOTH_ADD","CE_ADD_PE_REDUCE"),IF(R754&gt;0,"CE_REDUCE_PE_ADD","BOTH_REDUCE")),"")</f>
        <v/>
      </c>
      <c r="W754" s="13">
        <f>IFERROR( (P754-1)*0.5 + (M754)*0.1 - (I754+J754)*0.05 + T754*0.4 ,"")</f>
        <v/>
      </c>
      <c r="X754" s="13">
        <f>IFERROR(IF(ABS(F754)&lt;0.01,"ATM/NEAR",""),"")</f>
        <v/>
      </c>
    </row>
    <row r="755">
      <c r="A755" s="13">
        <f>CHAIN_RAW!A755</f>
        <v/>
      </c>
      <c r="B755" s="14">
        <f>CHAIN_RAW!B755</f>
        <v/>
      </c>
      <c r="C755" s="13">
        <f>CHAIN_RAW!C755</f>
        <v/>
      </c>
      <c r="D755" s="13">
        <f>CHAIN_RAW!D755</f>
        <v/>
      </c>
      <c r="E755" s="13">
        <f>CHAIN_RAW!E755</f>
        <v/>
      </c>
      <c r="F755" s="13">
        <f>IFERROR((E755-D755)/D755,"")</f>
        <v/>
      </c>
      <c r="G755" s="13">
        <f>IFERROR((CHAIN_RAW!K755+CHAIN_RAW!L755)/2,"")</f>
        <v/>
      </c>
      <c r="H755" s="13">
        <f>IFERROR((CHAIN_RAW!R755+CHAIN_RAW!S755)/2,"")</f>
        <v/>
      </c>
      <c r="I755" s="13">
        <f>IFERROR((CHAIN_RAW!L755-CHAIN_RAW!K755)/MAX(1E-9, G755),"")</f>
        <v/>
      </c>
      <c r="J755" s="13">
        <f>IFERROR((CHAIN_RAW!S755-CHAIN_RAW!R755)/MAX(1E-9, H755),"")</f>
        <v/>
      </c>
      <c r="K755" s="13">
        <f>CHAIN_RAW!G755</f>
        <v/>
      </c>
      <c r="L755" s="13">
        <f>CHAIN_RAW!N755</f>
        <v/>
      </c>
      <c r="M755" s="13">
        <f>IFERROR(L755-K755,"")</f>
        <v/>
      </c>
      <c r="N755" s="13">
        <f>CHAIN_RAW!H755</f>
        <v/>
      </c>
      <c r="O755" s="13">
        <f>CHAIN_RAW!O755</f>
        <v/>
      </c>
      <c r="P755" s="13">
        <f>IFERROR(O755/N755,"")</f>
        <v/>
      </c>
      <c r="Q755" s="13">
        <f>CHAIN_RAW!I755</f>
        <v/>
      </c>
      <c r="R755" s="13">
        <f>CHAIN_RAW!P755</f>
        <v/>
      </c>
      <c r="S755" s="13">
        <f>IFERROR(R755/Q755,"")</f>
        <v/>
      </c>
      <c r="T755" s="13">
        <f>IFERROR((ABS(N755-O755)/MAX(1,(N755+O755)))*EXP(-ABS(E755-CONTROL!E5)/MAX(1,CONTROL!B8)),"")</f>
        <v/>
      </c>
      <c r="U755" s="13">
        <f>IFERROR(IF(O755&gt;N755,"SUPPORT (PE OI)","RESIST (CE OI)"),"")</f>
        <v/>
      </c>
      <c r="V755" s="13">
        <f>IFERROR(IF(Q755&gt;0,IF(R755&gt;0,"BOTH_ADD","CE_ADD_PE_REDUCE"),IF(R755&gt;0,"CE_REDUCE_PE_ADD","BOTH_REDUCE")),"")</f>
        <v/>
      </c>
      <c r="W755" s="13">
        <f>IFERROR( (P755-1)*0.5 + (M755)*0.1 - (I755+J755)*0.05 + T755*0.4 ,"")</f>
        <v/>
      </c>
      <c r="X755" s="13">
        <f>IFERROR(IF(ABS(F755)&lt;0.01,"ATM/NEAR",""),"")</f>
        <v/>
      </c>
    </row>
    <row r="756">
      <c r="A756" s="13">
        <f>CHAIN_RAW!A756</f>
        <v/>
      </c>
      <c r="B756" s="14">
        <f>CHAIN_RAW!B756</f>
        <v/>
      </c>
      <c r="C756" s="13">
        <f>CHAIN_RAW!C756</f>
        <v/>
      </c>
      <c r="D756" s="13">
        <f>CHAIN_RAW!D756</f>
        <v/>
      </c>
      <c r="E756" s="13">
        <f>CHAIN_RAW!E756</f>
        <v/>
      </c>
      <c r="F756" s="13">
        <f>IFERROR((E756-D756)/D756,"")</f>
        <v/>
      </c>
      <c r="G756" s="13">
        <f>IFERROR((CHAIN_RAW!K756+CHAIN_RAW!L756)/2,"")</f>
        <v/>
      </c>
      <c r="H756" s="13">
        <f>IFERROR((CHAIN_RAW!R756+CHAIN_RAW!S756)/2,"")</f>
        <v/>
      </c>
      <c r="I756" s="13">
        <f>IFERROR((CHAIN_RAW!L756-CHAIN_RAW!K756)/MAX(1E-9, G756),"")</f>
        <v/>
      </c>
      <c r="J756" s="13">
        <f>IFERROR((CHAIN_RAW!S756-CHAIN_RAW!R756)/MAX(1E-9, H756),"")</f>
        <v/>
      </c>
      <c r="K756" s="13">
        <f>CHAIN_RAW!G756</f>
        <v/>
      </c>
      <c r="L756" s="13">
        <f>CHAIN_RAW!N756</f>
        <v/>
      </c>
      <c r="M756" s="13">
        <f>IFERROR(L756-K756,"")</f>
        <v/>
      </c>
      <c r="N756" s="13">
        <f>CHAIN_RAW!H756</f>
        <v/>
      </c>
      <c r="O756" s="13">
        <f>CHAIN_RAW!O756</f>
        <v/>
      </c>
      <c r="P756" s="13">
        <f>IFERROR(O756/N756,"")</f>
        <v/>
      </c>
      <c r="Q756" s="13">
        <f>CHAIN_RAW!I756</f>
        <v/>
      </c>
      <c r="R756" s="13">
        <f>CHAIN_RAW!P756</f>
        <v/>
      </c>
      <c r="S756" s="13">
        <f>IFERROR(R756/Q756,"")</f>
        <v/>
      </c>
      <c r="T756" s="13">
        <f>IFERROR((ABS(N756-O756)/MAX(1,(N756+O756)))*EXP(-ABS(E756-CONTROL!E5)/MAX(1,CONTROL!B8)),"")</f>
        <v/>
      </c>
      <c r="U756" s="13">
        <f>IFERROR(IF(O756&gt;N756,"SUPPORT (PE OI)","RESIST (CE OI)"),"")</f>
        <v/>
      </c>
      <c r="V756" s="13">
        <f>IFERROR(IF(Q756&gt;0,IF(R756&gt;0,"BOTH_ADD","CE_ADD_PE_REDUCE"),IF(R756&gt;0,"CE_REDUCE_PE_ADD","BOTH_REDUCE")),"")</f>
        <v/>
      </c>
      <c r="W756" s="13">
        <f>IFERROR( (P756-1)*0.5 + (M756)*0.1 - (I756+J756)*0.05 + T756*0.4 ,"")</f>
        <v/>
      </c>
      <c r="X756" s="13">
        <f>IFERROR(IF(ABS(F756)&lt;0.01,"ATM/NEAR",""),"")</f>
        <v/>
      </c>
    </row>
    <row r="757">
      <c r="A757" s="13">
        <f>CHAIN_RAW!A757</f>
        <v/>
      </c>
      <c r="B757" s="14">
        <f>CHAIN_RAW!B757</f>
        <v/>
      </c>
      <c r="C757" s="13">
        <f>CHAIN_RAW!C757</f>
        <v/>
      </c>
      <c r="D757" s="13">
        <f>CHAIN_RAW!D757</f>
        <v/>
      </c>
      <c r="E757" s="13">
        <f>CHAIN_RAW!E757</f>
        <v/>
      </c>
      <c r="F757" s="13">
        <f>IFERROR((E757-D757)/D757,"")</f>
        <v/>
      </c>
      <c r="G757" s="13">
        <f>IFERROR((CHAIN_RAW!K757+CHAIN_RAW!L757)/2,"")</f>
        <v/>
      </c>
      <c r="H757" s="13">
        <f>IFERROR((CHAIN_RAW!R757+CHAIN_RAW!S757)/2,"")</f>
        <v/>
      </c>
      <c r="I757" s="13">
        <f>IFERROR((CHAIN_RAW!L757-CHAIN_RAW!K757)/MAX(1E-9, G757),"")</f>
        <v/>
      </c>
      <c r="J757" s="13">
        <f>IFERROR((CHAIN_RAW!S757-CHAIN_RAW!R757)/MAX(1E-9, H757),"")</f>
        <v/>
      </c>
      <c r="K757" s="13">
        <f>CHAIN_RAW!G757</f>
        <v/>
      </c>
      <c r="L757" s="13">
        <f>CHAIN_RAW!N757</f>
        <v/>
      </c>
      <c r="M757" s="13">
        <f>IFERROR(L757-K757,"")</f>
        <v/>
      </c>
      <c r="N757" s="13">
        <f>CHAIN_RAW!H757</f>
        <v/>
      </c>
      <c r="O757" s="13">
        <f>CHAIN_RAW!O757</f>
        <v/>
      </c>
      <c r="P757" s="13">
        <f>IFERROR(O757/N757,"")</f>
        <v/>
      </c>
      <c r="Q757" s="13">
        <f>CHAIN_RAW!I757</f>
        <v/>
      </c>
      <c r="R757" s="13">
        <f>CHAIN_RAW!P757</f>
        <v/>
      </c>
      <c r="S757" s="13">
        <f>IFERROR(R757/Q757,"")</f>
        <v/>
      </c>
      <c r="T757" s="13">
        <f>IFERROR((ABS(N757-O757)/MAX(1,(N757+O757)))*EXP(-ABS(E757-CONTROL!E5)/MAX(1,CONTROL!B8)),"")</f>
        <v/>
      </c>
      <c r="U757" s="13">
        <f>IFERROR(IF(O757&gt;N757,"SUPPORT (PE OI)","RESIST (CE OI)"),"")</f>
        <v/>
      </c>
      <c r="V757" s="13">
        <f>IFERROR(IF(Q757&gt;0,IF(R757&gt;0,"BOTH_ADD","CE_ADD_PE_REDUCE"),IF(R757&gt;0,"CE_REDUCE_PE_ADD","BOTH_REDUCE")),"")</f>
        <v/>
      </c>
      <c r="W757" s="13">
        <f>IFERROR( (P757-1)*0.5 + (M757)*0.1 - (I757+J757)*0.05 + T757*0.4 ,"")</f>
        <v/>
      </c>
      <c r="X757" s="13">
        <f>IFERROR(IF(ABS(F757)&lt;0.01,"ATM/NEAR",""),"")</f>
        <v/>
      </c>
    </row>
    <row r="758">
      <c r="A758" s="13">
        <f>CHAIN_RAW!A758</f>
        <v/>
      </c>
      <c r="B758" s="14">
        <f>CHAIN_RAW!B758</f>
        <v/>
      </c>
      <c r="C758" s="13">
        <f>CHAIN_RAW!C758</f>
        <v/>
      </c>
      <c r="D758" s="13">
        <f>CHAIN_RAW!D758</f>
        <v/>
      </c>
      <c r="E758" s="13">
        <f>CHAIN_RAW!E758</f>
        <v/>
      </c>
      <c r="F758" s="13">
        <f>IFERROR((E758-D758)/D758,"")</f>
        <v/>
      </c>
      <c r="G758" s="13">
        <f>IFERROR((CHAIN_RAW!K758+CHAIN_RAW!L758)/2,"")</f>
        <v/>
      </c>
      <c r="H758" s="13">
        <f>IFERROR((CHAIN_RAW!R758+CHAIN_RAW!S758)/2,"")</f>
        <v/>
      </c>
      <c r="I758" s="13">
        <f>IFERROR((CHAIN_RAW!L758-CHAIN_RAW!K758)/MAX(1E-9, G758),"")</f>
        <v/>
      </c>
      <c r="J758" s="13">
        <f>IFERROR((CHAIN_RAW!S758-CHAIN_RAW!R758)/MAX(1E-9, H758),"")</f>
        <v/>
      </c>
      <c r="K758" s="13">
        <f>CHAIN_RAW!G758</f>
        <v/>
      </c>
      <c r="L758" s="13">
        <f>CHAIN_RAW!N758</f>
        <v/>
      </c>
      <c r="M758" s="13">
        <f>IFERROR(L758-K758,"")</f>
        <v/>
      </c>
      <c r="N758" s="13">
        <f>CHAIN_RAW!H758</f>
        <v/>
      </c>
      <c r="O758" s="13">
        <f>CHAIN_RAW!O758</f>
        <v/>
      </c>
      <c r="P758" s="13">
        <f>IFERROR(O758/N758,"")</f>
        <v/>
      </c>
      <c r="Q758" s="13">
        <f>CHAIN_RAW!I758</f>
        <v/>
      </c>
      <c r="R758" s="13">
        <f>CHAIN_RAW!P758</f>
        <v/>
      </c>
      <c r="S758" s="13">
        <f>IFERROR(R758/Q758,"")</f>
        <v/>
      </c>
      <c r="T758" s="13">
        <f>IFERROR((ABS(N758-O758)/MAX(1,(N758+O758)))*EXP(-ABS(E758-CONTROL!E5)/MAX(1,CONTROL!B8)),"")</f>
        <v/>
      </c>
      <c r="U758" s="13">
        <f>IFERROR(IF(O758&gt;N758,"SUPPORT (PE OI)","RESIST (CE OI)"),"")</f>
        <v/>
      </c>
      <c r="V758" s="13">
        <f>IFERROR(IF(Q758&gt;0,IF(R758&gt;0,"BOTH_ADD","CE_ADD_PE_REDUCE"),IF(R758&gt;0,"CE_REDUCE_PE_ADD","BOTH_REDUCE")),"")</f>
        <v/>
      </c>
      <c r="W758" s="13">
        <f>IFERROR( (P758-1)*0.5 + (M758)*0.1 - (I758+J758)*0.05 + T758*0.4 ,"")</f>
        <v/>
      </c>
      <c r="X758" s="13">
        <f>IFERROR(IF(ABS(F758)&lt;0.01,"ATM/NEAR",""),"")</f>
        <v/>
      </c>
    </row>
    <row r="759">
      <c r="A759" s="13">
        <f>CHAIN_RAW!A759</f>
        <v/>
      </c>
      <c r="B759" s="14">
        <f>CHAIN_RAW!B759</f>
        <v/>
      </c>
      <c r="C759" s="13">
        <f>CHAIN_RAW!C759</f>
        <v/>
      </c>
      <c r="D759" s="13">
        <f>CHAIN_RAW!D759</f>
        <v/>
      </c>
      <c r="E759" s="13">
        <f>CHAIN_RAW!E759</f>
        <v/>
      </c>
      <c r="F759" s="13">
        <f>IFERROR((E759-D759)/D759,"")</f>
        <v/>
      </c>
      <c r="G759" s="13">
        <f>IFERROR((CHAIN_RAW!K759+CHAIN_RAW!L759)/2,"")</f>
        <v/>
      </c>
      <c r="H759" s="13">
        <f>IFERROR((CHAIN_RAW!R759+CHAIN_RAW!S759)/2,"")</f>
        <v/>
      </c>
      <c r="I759" s="13">
        <f>IFERROR((CHAIN_RAW!L759-CHAIN_RAW!K759)/MAX(1E-9, G759),"")</f>
        <v/>
      </c>
      <c r="J759" s="13">
        <f>IFERROR((CHAIN_RAW!S759-CHAIN_RAW!R759)/MAX(1E-9, H759),"")</f>
        <v/>
      </c>
      <c r="K759" s="13">
        <f>CHAIN_RAW!G759</f>
        <v/>
      </c>
      <c r="L759" s="13">
        <f>CHAIN_RAW!N759</f>
        <v/>
      </c>
      <c r="M759" s="13">
        <f>IFERROR(L759-K759,"")</f>
        <v/>
      </c>
      <c r="N759" s="13">
        <f>CHAIN_RAW!H759</f>
        <v/>
      </c>
      <c r="O759" s="13">
        <f>CHAIN_RAW!O759</f>
        <v/>
      </c>
      <c r="P759" s="13">
        <f>IFERROR(O759/N759,"")</f>
        <v/>
      </c>
      <c r="Q759" s="13">
        <f>CHAIN_RAW!I759</f>
        <v/>
      </c>
      <c r="R759" s="13">
        <f>CHAIN_RAW!P759</f>
        <v/>
      </c>
      <c r="S759" s="13">
        <f>IFERROR(R759/Q759,"")</f>
        <v/>
      </c>
      <c r="T759" s="13">
        <f>IFERROR((ABS(N759-O759)/MAX(1,(N759+O759)))*EXP(-ABS(E759-CONTROL!E5)/MAX(1,CONTROL!B8)),"")</f>
        <v/>
      </c>
      <c r="U759" s="13">
        <f>IFERROR(IF(O759&gt;N759,"SUPPORT (PE OI)","RESIST (CE OI)"),"")</f>
        <v/>
      </c>
      <c r="V759" s="13">
        <f>IFERROR(IF(Q759&gt;0,IF(R759&gt;0,"BOTH_ADD","CE_ADD_PE_REDUCE"),IF(R759&gt;0,"CE_REDUCE_PE_ADD","BOTH_REDUCE")),"")</f>
        <v/>
      </c>
      <c r="W759" s="13">
        <f>IFERROR( (P759-1)*0.5 + (M759)*0.1 - (I759+J759)*0.05 + T759*0.4 ,"")</f>
        <v/>
      </c>
      <c r="X759" s="13">
        <f>IFERROR(IF(ABS(F759)&lt;0.01,"ATM/NEAR",""),"")</f>
        <v/>
      </c>
    </row>
    <row r="760">
      <c r="A760" s="13">
        <f>CHAIN_RAW!A760</f>
        <v/>
      </c>
      <c r="B760" s="14">
        <f>CHAIN_RAW!B760</f>
        <v/>
      </c>
      <c r="C760" s="13">
        <f>CHAIN_RAW!C760</f>
        <v/>
      </c>
      <c r="D760" s="13">
        <f>CHAIN_RAW!D760</f>
        <v/>
      </c>
      <c r="E760" s="13">
        <f>CHAIN_RAW!E760</f>
        <v/>
      </c>
      <c r="F760" s="13">
        <f>IFERROR((E760-D760)/D760,"")</f>
        <v/>
      </c>
      <c r="G760" s="13">
        <f>IFERROR((CHAIN_RAW!K760+CHAIN_RAW!L760)/2,"")</f>
        <v/>
      </c>
      <c r="H760" s="13">
        <f>IFERROR((CHAIN_RAW!R760+CHAIN_RAW!S760)/2,"")</f>
        <v/>
      </c>
      <c r="I760" s="13">
        <f>IFERROR((CHAIN_RAW!L760-CHAIN_RAW!K760)/MAX(1E-9, G760),"")</f>
        <v/>
      </c>
      <c r="J760" s="13">
        <f>IFERROR((CHAIN_RAW!S760-CHAIN_RAW!R760)/MAX(1E-9, H760),"")</f>
        <v/>
      </c>
      <c r="K760" s="13">
        <f>CHAIN_RAW!G760</f>
        <v/>
      </c>
      <c r="L760" s="13">
        <f>CHAIN_RAW!N760</f>
        <v/>
      </c>
      <c r="M760" s="13">
        <f>IFERROR(L760-K760,"")</f>
        <v/>
      </c>
      <c r="N760" s="13">
        <f>CHAIN_RAW!H760</f>
        <v/>
      </c>
      <c r="O760" s="13">
        <f>CHAIN_RAW!O760</f>
        <v/>
      </c>
      <c r="P760" s="13">
        <f>IFERROR(O760/N760,"")</f>
        <v/>
      </c>
      <c r="Q760" s="13">
        <f>CHAIN_RAW!I760</f>
        <v/>
      </c>
      <c r="R760" s="13">
        <f>CHAIN_RAW!P760</f>
        <v/>
      </c>
      <c r="S760" s="13">
        <f>IFERROR(R760/Q760,"")</f>
        <v/>
      </c>
      <c r="T760" s="13">
        <f>IFERROR((ABS(N760-O760)/MAX(1,(N760+O760)))*EXP(-ABS(E760-CONTROL!E5)/MAX(1,CONTROL!B8)),"")</f>
        <v/>
      </c>
      <c r="U760" s="13">
        <f>IFERROR(IF(O760&gt;N760,"SUPPORT (PE OI)","RESIST (CE OI)"),"")</f>
        <v/>
      </c>
      <c r="V760" s="13">
        <f>IFERROR(IF(Q760&gt;0,IF(R760&gt;0,"BOTH_ADD","CE_ADD_PE_REDUCE"),IF(R760&gt;0,"CE_REDUCE_PE_ADD","BOTH_REDUCE")),"")</f>
        <v/>
      </c>
      <c r="W760" s="13">
        <f>IFERROR( (P760-1)*0.5 + (M760)*0.1 - (I760+J760)*0.05 + T760*0.4 ,"")</f>
        <v/>
      </c>
      <c r="X760" s="13">
        <f>IFERROR(IF(ABS(F760)&lt;0.01,"ATM/NEAR",""),"")</f>
        <v/>
      </c>
    </row>
    <row r="761">
      <c r="A761" s="13">
        <f>CHAIN_RAW!A761</f>
        <v/>
      </c>
      <c r="B761" s="14">
        <f>CHAIN_RAW!B761</f>
        <v/>
      </c>
      <c r="C761" s="13">
        <f>CHAIN_RAW!C761</f>
        <v/>
      </c>
      <c r="D761" s="13">
        <f>CHAIN_RAW!D761</f>
        <v/>
      </c>
      <c r="E761" s="13">
        <f>CHAIN_RAW!E761</f>
        <v/>
      </c>
      <c r="F761" s="13">
        <f>IFERROR((E761-D761)/D761,"")</f>
        <v/>
      </c>
      <c r="G761" s="13">
        <f>IFERROR((CHAIN_RAW!K761+CHAIN_RAW!L761)/2,"")</f>
        <v/>
      </c>
      <c r="H761" s="13">
        <f>IFERROR((CHAIN_RAW!R761+CHAIN_RAW!S761)/2,"")</f>
        <v/>
      </c>
      <c r="I761" s="13">
        <f>IFERROR((CHAIN_RAW!L761-CHAIN_RAW!K761)/MAX(1E-9, G761),"")</f>
        <v/>
      </c>
      <c r="J761" s="13">
        <f>IFERROR((CHAIN_RAW!S761-CHAIN_RAW!R761)/MAX(1E-9, H761),"")</f>
        <v/>
      </c>
      <c r="K761" s="13">
        <f>CHAIN_RAW!G761</f>
        <v/>
      </c>
      <c r="L761" s="13">
        <f>CHAIN_RAW!N761</f>
        <v/>
      </c>
      <c r="M761" s="13">
        <f>IFERROR(L761-K761,"")</f>
        <v/>
      </c>
      <c r="N761" s="13">
        <f>CHAIN_RAW!H761</f>
        <v/>
      </c>
      <c r="O761" s="13">
        <f>CHAIN_RAW!O761</f>
        <v/>
      </c>
      <c r="P761" s="13">
        <f>IFERROR(O761/N761,"")</f>
        <v/>
      </c>
      <c r="Q761" s="13">
        <f>CHAIN_RAW!I761</f>
        <v/>
      </c>
      <c r="R761" s="13">
        <f>CHAIN_RAW!P761</f>
        <v/>
      </c>
      <c r="S761" s="13">
        <f>IFERROR(R761/Q761,"")</f>
        <v/>
      </c>
      <c r="T761" s="13">
        <f>IFERROR((ABS(N761-O761)/MAX(1,(N761+O761)))*EXP(-ABS(E761-CONTROL!E5)/MAX(1,CONTROL!B8)),"")</f>
        <v/>
      </c>
      <c r="U761" s="13">
        <f>IFERROR(IF(O761&gt;N761,"SUPPORT (PE OI)","RESIST (CE OI)"),"")</f>
        <v/>
      </c>
      <c r="V761" s="13">
        <f>IFERROR(IF(Q761&gt;0,IF(R761&gt;0,"BOTH_ADD","CE_ADD_PE_REDUCE"),IF(R761&gt;0,"CE_REDUCE_PE_ADD","BOTH_REDUCE")),"")</f>
        <v/>
      </c>
      <c r="W761" s="13">
        <f>IFERROR( (P761-1)*0.5 + (M761)*0.1 - (I761+J761)*0.05 + T761*0.4 ,"")</f>
        <v/>
      </c>
      <c r="X761" s="13">
        <f>IFERROR(IF(ABS(F761)&lt;0.01,"ATM/NEAR",""),"")</f>
        <v/>
      </c>
    </row>
    <row r="762">
      <c r="A762" s="13">
        <f>CHAIN_RAW!A762</f>
        <v/>
      </c>
      <c r="B762" s="14">
        <f>CHAIN_RAW!B762</f>
        <v/>
      </c>
      <c r="C762" s="13">
        <f>CHAIN_RAW!C762</f>
        <v/>
      </c>
      <c r="D762" s="13">
        <f>CHAIN_RAW!D762</f>
        <v/>
      </c>
      <c r="E762" s="13">
        <f>CHAIN_RAW!E762</f>
        <v/>
      </c>
      <c r="F762" s="13">
        <f>IFERROR((E762-D762)/D762,"")</f>
        <v/>
      </c>
      <c r="G762" s="13">
        <f>IFERROR((CHAIN_RAW!K762+CHAIN_RAW!L762)/2,"")</f>
        <v/>
      </c>
      <c r="H762" s="13">
        <f>IFERROR((CHAIN_RAW!R762+CHAIN_RAW!S762)/2,"")</f>
        <v/>
      </c>
      <c r="I762" s="13">
        <f>IFERROR((CHAIN_RAW!L762-CHAIN_RAW!K762)/MAX(1E-9, G762),"")</f>
        <v/>
      </c>
      <c r="J762" s="13">
        <f>IFERROR((CHAIN_RAW!S762-CHAIN_RAW!R762)/MAX(1E-9, H762),"")</f>
        <v/>
      </c>
      <c r="K762" s="13">
        <f>CHAIN_RAW!G762</f>
        <v/>
      </c>
      <c r="L762" s="13">
        <f>CHAIN_RAW!N762</f>
        <v/>
      </c>
      <c r="M762" s="13">
        <f>IFERROR(L762-K762,"")</f>
        <v/>
      </c>
      <c r="N762" s="13">
        <f>CHAIN_RAW!H762</f>
        <v/>
      </c>
      <c r="O762" s="13">
        <f>CHAIN_RAW!O762</f>
        <v/>
      </c>
      <c r="P762" s="13">
        <f>IFERROR(O762/N762,"")</f>
        <v/>
      </c>
      <c r="Q762" s="13">
        <f>CHAIN_RAW!I762</f>
        <v/>
      </c>
      <c r="R762" s="13">
        <f>CHAIN_RAW!P762</f>
        <v/>
      </c>
      <c r="S762" s="13">
        <f>IFERROR(R762/Q762,"")</f>
        <v/>
      </c>
      <c r="T762" s="13">
        <f>IFERROR((ABS(N762-O762)/MAX(1,(N762+O762)))*EXP(-ABS(E762-CONTROL!E5)/MAX(1,CONTROL!B8)),"")</f>
        <v/>
      </c>
      <c r="U762" s="13">
        <f>IFERROR(IF(O762&gt;N762,"SUPPORT (PE OI)","RESIST (CE OI)"),"")</f>
        <v/>
      </c>
      <c r="V762" s="13">
        <f>IFERROR(IF(Q762&gt;0,IF(R762&gt;0,"BOTH_ADD","CE_ADD_PE_REDUCE"),IF(R762&gt;0,"CE_REDUCE_PE_ADD","BOTH_REDUCE")),"")</f>
        <v/>
      </c>
      <c r="W762" s="13">
        <f>IFERROR( (P762-1)*0.5 + (M762)*0.1 - (I762+J762)*0.05 + T762*0.4 ,"")</f>
        <v/>
      </c>
      <c r="X762" s="13">
        <f>IFERROR(IF(ABS(F762)&lt;0.01,"ATM/NEAR",""),"")</f>
        <v/>
      </c>
    </row>
    <row r="763">
      <c r="A763" s="13">
        <f>CHAIN_RAW!A763</f>
        <v/>
      </c>
      <c r="B763" s="14">
        <f>CHAIN_RAW!B763</f>
        <v/>
      </c>
      <c r="C763" s="13">
        <f>CHAIN_RAW!C763</f>
        <v/>
      </c>
      <c r="D763" s="13">
        <f>CHAIN_RAW!D763</f>
        <v/>
      </c>
      <c r="E763" s="13">
        <f>CHAIN_RAW!E763</f>
        <v/>
      </c>
      <c r="F763" s="13">
        <f>IFERROR((E763-D763)/D763,"")</f>
        <v/>
      </c>
      <c r="G763" s="13">
        <f>IFERROR((CHAIN_RAW!K763+CHAIN_RAW!L763)/2,"")</f>
        <v/>
      </c>
      <c r="H763" s="13">
        <f>IFERROR((CHAIN_RAW!R763+CHAIN_RAW!S763)/2,"")</f>
        <v/>
      </c>
      <c r="I763" s="13">
        <f>IFERROR((CHAIN_RAW!L763-CHAIN_RAW!K763)/MAX(1E-9, G763),"")</f>
        <v/>
      </c>
      <c r="J763" s="13">
        <f>IFERROR((CHAIN_RAW!S763-CHAIN_RAW!R763)/MAX(1E-9, H763),"")</f>
        <v/>
      </c>
      <c r="K763" s="13">
        <f>CHAIN_RAW!G763</f>
        <v/>
      </c>
      <c r="L763" s="13">
        <f>CHAIN_RAW!N763</f>
        <v/>
      </c>
      <c r="M763" s="13">
        <f>IFERROR(L763-K763,"")</f>
        <v/>
      </c>
      <c r="N763" s="13">
        <f>CHAIN_RAW!H763</f>
        <v/>
      </c>
      <c r="O763" s="13">
        <f>CHAIN_RAW!O763</f>
        <v/>
      </c>
      <c r="P763" s="13">
        <f>IFERROR(O763/N763,"")</f>
        <v/>
      </c>
      <c r="Q763" s="13">
        <f>CHAIN_RAW!I763</f>
        <v/>
      </c>
      <c r="R763" s="13">
        <f>CHAIN_RAW!P763</f>
        <v/>
      </c>
      <c r="S763" s="13">
        <f>IFERROR(R763/Q763,"")</f>
        <v/>
      </c>
      <c r="T763" s="13">
        <f>IFERROR((ABS(N763-O763)/MAX(1,(N763+O763)))*EXP(-ABS(E763-CONTROL!E5)/MAX(1,CONTROL!B8)),"")</f>
        <v/>
      </c>
      <c r="U763" s="13">
        <f>IFERROR(IF(O763&gt;N763,"SUPPORT (PE OI)","RESIST (CE OI)"),"")</f>
        <v/>
      </c>
      <c r="V763" s="13">
        <f>IFERROR(IF(Q763&gt;0,IF(R763&gt;0,"BOTH_ADD","CE_ADD_PE_REDUCE"),IF(R763&gt;0,"CE_REDUCE_PE_ADD","BOTH_REDUCE")),"")</f>
        <v/>
      </c>
      <c r="W763" s="13">
        <f>IFERROR( (P763-1)*0.5 + (M763)*0.1 - (I763+J763)*0.05 + T763*0.4 ,"")</f>
        <v/>
      </c>
      <c r="X763" s="13">
        <f>IFERROR(IF(ABS(F763)&lt;0.01,"ATM/NEAR",""),"")</f>
        <v/>
      </c>
    </row>
    <row r="764">
      <c r="A764" s="13">
        <f>CHAIN_RAW!A764</f>
        <v/>
      </c>
      <c r="B764" s="14">
        <f>CHAIN_RAW!B764</f>
        <v/>
      </c>
      <c r="C764" s="13">
        <f>CHAIN_RAW!C764</f>
        <v/>
      </c>
      <c r="D764" s="13">
        <f>CHAIN_RAW!D764</f>
        <v/>
      </c>
      <c r="E764" s="13">
        <f>CHAIN_RAW!E764</f>
        <v/>
      </c>
      <c r="F764" s="13">
        <f>IFERROR((E764-D764)/D764,"")</f>
        <v/>
      </c>
      <c r="G764" s="13">
        <f>IFERROR((CHAIN_RAW!K764+CHAIN_RAW!L764)/2,"")</f>
        <v/>
      </c>
      <c r="H764" s="13">
        <f>IFERROR((CHAIN_RAW!R764+CHAIN_RAW!S764)/2,"")</f>
        <v/>
      </c>
      <c r="I764" s="13">
        <f>IFERROR((CHAIN_RAW!L764-CHAIN_RAW!K764)/MAX(1E-9, G764),"")</f>
        <v/>
      </c>
      <c r="J764" s="13">
        <f>IFERROR((CHAIN_RAW!S764-CHAIN_RAW!R764)/MAX(1E-9, H764),"")</f>
        <v/>
      </c>
      <c r="K764" s="13">
        <f>CHAIN_RAW!G764</f>
        <v/>
      </c>
      <c r="L764" s="13">
        <f>CHAIN_RAW!N764</f>
        <v/>
      </c>
      <c r="M764" s="13">
        <f>IFERROR(L764-K764,"")</f>
        <v/>
      </c>
      <c r="N764" s="13">
        <f>CHAIN_RAW!H764</f>
        <v/>
      </c>
      <c r="O764" s="13">
        <f>CHAIN_RAW!O764</f>
        <v/>
      </c>
      <c r="P764" s="13">
        <f>IFERROR(O764/N764,"")</f>
        <v/>
      </c>
      <c r="Q764" s="13">
        <f>CHAIN_RAW!I764</f>
        <v/>
      </c>
      <c r="R764" s="13">
        <f>CHAIN_RAW!P764</f>
        <v/>
      </c>
      <c r="S764" s="13">
        <f>IFERROR(R764/Q764,"")</f>
        <v/>
      </c>
      <c r="T764" s="13">
        <f>IFERROR((ABS(N764-O764)/MAX(1,(N764+O764)))*EXP(-ABS(E764-CONTROL!E5)/MAX(1,CONTROL!B8)),"")</f>
        <v/>
      </c>
      <c r="U764" s="13">
        <f>IFERROR(IF(O764&gt;N764,"SUPPORT (PE OI)","RESIST (CE OI)"),"")</f>
        <v/>
      </c>
      <c r="V764" s="13">
        <f>IFERROR(IF(Q764&gt;0,IF(R764&gt;0,"BOTH_ADD","CE_ADD_PE_REDUCE"),IF(R764&gt;0,"CE_REDUCE_PE_ADD","BOTH_REDUCE")),"")</f>
        <v/>
      </c>
      <c r="W764" s="13">
        <f>IFERROR( (P764-1)*0.5 + (M764)*0.1 - (I764+J764)*0.05 + T764*0.4 ,"")</f>
        <v/>
      </c>
      <c r="X764" s="13">
        <f>IFERROR(IF(ABS(F764)&lt;0.01,"ATM/NEAR",""),"")</f>
        <v/>
      </c>
    </row>
    <row r="765">
      <c r="A765" s="13">
        <f>CHAIN_RAW!A765</f>
        <v/>
      </c>
      <c r="B765" s="14">
        <f>CHAIN_RAW!B765</f>
        <v/>
      </c>
      <c r="C765" s="13">
        <f>CHAIN_RAW!C765</f>
        <v/>
      </c>
      <c r="D765" s="13">
        <f>CHAIN_RAW!D765</f>
        <v/>
      </c>
      <c r="E765" s="13">
        <f>CHAIN_RAW!E765</f>
        <v/>
      </c>
      <c r="F765" s="13">
        <f>IFERROR((E765-D765)/D765,"")</f>
        <v/>
      </c>
      <c r="G765" s="13">
        <f>IFERROR((CHAIN_RAW!K765+CHAIN_RAW!L765)/2,"")</f>
        <v/>
      </c>
      <c r="H765" s="13">
        <f>IFERROR((CHAIN_RAW!R765+CHAIN_RAW!S765)/2,"")</f>
        <v/>
      </c>
      <c r="I765" s="13">
        <f>IFERROR((CHAIN_RAW!L765-CHAIN_RAW!K765)/MAX(1E-9, G765),"")</f>
        <v/>
      </c>
      <c r="J765" s="13">
        <f>IFERROR((CHAIN_RAW!S765-CHAIN_RAW!R765)/MAX(1E-9, H765),"")</f>
        <v/>
      </c>
      <c r="K765" s="13">
        <f>CHAIN_RAW!G765</f>
        <v/>
      </c>
      <c r="L765" s="13">
        <f>CHAIN_RAW!N765</f>
        <v/>
      </c>
      <c r="M765" s="13">
        <f>IFERROR(L765-K765,"")</f>
        <v/>
      </c>
      <c r="N765" s="13">
        <f>CHAIN_RAW!H765</f>
        <v/>
      </c>
      <c r="O765" s="13">
        <f>CHAIN_RAW!O765</f>
        <v/>
      </c>
      <c r="P765" s="13">
        <f>IFERROR(O765/N765,"")</f>
        <v/>
      </c>
      <c r="Q765" s="13">
        <f>CHAIN_RAW!I765</f>
        <v/>
      </c>
      <c r="R765" s="13">
        <f>CHAIN_RAW!P765</f>
        <v/>
      </c>
      <c r="S765" s="13">
        <f>IFERROR(R765/Q765,"")</f>
        <v/>
      </c>
      <c r="T765" s="13">
        <f>IFERROR((ABS(N765-O765)/MAX(1,(N765+O765)))*EXP(-ABS(E765-CONTROL!E5)/MAX(1,CONTROL!B8)),"")</f>
        <v/>
      </c>
      <c r="U765" s="13">
        <f>IFERROR(IF(O765&gt;N765,"SUPPORT (PE OI)","RESIST (CE OI)"),"")</f>
        <v/>
      </c>
      <c r="V765" s="13">
        <f>IFERROR(IF(Q765&gt;0,IF(R765&gt;0,"BOTH_ADD","CE_ADD_PE_REDUCE"),IF(R765&gt;0,"CE_REDUCE_PE_ADD","BOTH_REDUCE")),"")</f>
        <v/>
      </c>
      <c r="W765" s="13">
        <f>IFERROR( (P765-1)*0.5 + (M765)*0.1 - (I765+J765)*0.05 + T765*0.4 ,"")</f>
        <v/>
      </c>
      <c r="X765" s="13">
        <f>IFERROR(IF(ABS(F765)&lt;0.01,"ATM/NEAR",""),"")</f>
        <v/>
      </c>
    </row>
    <row r="766">
      <c r="A766" s="13">
        <f>CHAIN_RAW!A766</f>
        <v/>
      </c>
      <c r="B766" s="14">
        <f>CHAIN_RAW!B766</f>
        <v/>
      </c>
      <c r="C766" s="13">
        <f>CHAIN_RAW!C766</f>
        <v/>
      </c>
      <c r="D766" s="13">
        <f>CHAIN_RAW!D766</f>
        <v/>
      </c>
      <c r="E766" s="13">
        <f>CHAIN_RAW!E766</f>
        <v/>
      </c>
      <c r="F766" s="13">
        <f>IFERROR((E766-D766)/D766,"")</f>
        <v/>
      </c>
      <c r="G766" s="13">
        <f>IFERROR((CHAIN_RAW!K766+CHAIN_RAW!L766)/2,"")</f>
        <v/>
      </c>
      <c r="H766" s="13">
        <f>IFERROR((CHAIN_RAW!R766+CHAIN_RAW!S766)/2,"")</f>
        <v/>
      </c>
      <c r="I766" s="13">
        <f>IFERROR((CHAIN_RAW!L766-CHAIN_RAW!K766)/MAX(1E-9, G766),"")</f>
        <v/>
      </c>
      <c r="J766" s="13">
        <f>IFERROR((CHAIN_RAW!S766-CHAIN_RAW!R766)/MAX(1E-9, H766),"")</f>
        <v/>
      </c>
      <c r="K766" s="13">
        <f>CHAIN_RAW!G766</f>
        <v/>
      </c>
      <c r="L766" s="13">
        <f>CHAIN_RAW!N766</f>
        <v/>
      </c>
      <c r="M766" s="13">
        <f>IFERROR(L766-K766,"")</f>
        <v/>
      </c>
      <c r="N766" s="13">
        <f>CHAIN_RAW!H766</f>
        <v/>
      </c>
      <c r="O766" s="13">
        <f>CHAIN_RAW!O766</f>
        <v/>
      </c>
      <c r="P766" s="13">
        <f>IFERROR(O766/N766,"")</f>
        <v/>
      </c>
      <c r="Q766" s="13">
        <f>CHAIN_RAW!I766</f>
        <v/>
      </c>
      <c r="R766" s="13">
        <f>CHAIN_RAW!P766</f>
        <v/>
      </c>
      <c r="S766" s="13">
        <f>IFERROR(R766/Q766,"")</f>
        <v/>
      </c>
      <c r="T766" s="13">
        <f>IFERROR((ABS(N766-O766)/MAX(1,(N766+O766)))*EXP(-ABS(E766-CONTROL!E5)/MAX(1,CONTROL!B8)),"")</f>
        <v/>
      </c>
      <c r="U766" s="13">
        <f>IFERROR(IF(O766&gt;N766,"SUPPORT (PE OI)","RESIST (CE OI)"),"")</f>
        <v/>
      </c>
      <c r="V766" s="13">
        <f>IFERROR(IF(Q766&gt;0,IF(R766&gt;0,"BOTH_ADD","CE_ADD_PE_REDUCE"),IF(R766&gt;0,"CE_REDUCE_PE_ADD","BOTH_REDUCE")),"")</f>
        <v/>
      </c>
      <c r="W766" s="13">
        <f>IFERROR( (P766-1)*0.5 + (M766)*0.1 - (I766+J766)*0.05 + T766*0.4 ,"")</f>
        <v/>
      </c>
      <c r="X766" s="13">
        <f>IFERROR(IF(ABS(F766)&lt;0.01,"ATM/NEAR",""),"")</f>
        <v/>
      </c>
    </row>
    <row r="767">
      <c r="A767" s="13">
        <f>CHAIN_RAW!A767</f>
        <v/>
      </c>
      <c r="B767" s="14">
        <f>CHAIN_RAW!B767</f>
        <v/>
      </c>
      <c r="C767" s="13">
        <f>CHAIN_RAW!C767</f>
        <v/>
      </c>
      <c r="D767" s="13">
        <f>CHAIN_RAW!D767</f>
        <v/>
      </c>
      <c r="E767" s="13">
        <f>CHAIN_RAW!E767</f>
        <v/>
      </c>
      <c r="F767" s="13">
        <f>IFERROR((E767-D767)/D767,"")</f>
        <v/>
      </c>
      <c r="G767" s="13">
        <f>IFERROR((CHAIN_RAW!K767+CHAIN_RAW!L767)/2,"")</f>
        <v/>
      </c>
      <c r="H767" s="13">
        <f>IFERROR((CHAIN_RAW!R767+CHAIN_RAW!S767)/2,"")</f>
        <v/>
      </c>
      <c r="I767" s="13">
        <f>IFERROR((CHAIN_RAW!L767-CHAIN_RAW!K767)/MAX(1E-9, G767),"")</f>
        <v/>
      </c>
      <c r="J767" s="13">
        <f>IFERROR((CHAIN_RAW!S767-CHAIN_RAW!R767)/MAX(1E-9, H767),"")</f>
        <v/>
      </c>
      <c r="K767" s="13">
        <f>CHAIN_RAW!G767</f>
        <v/>
      </c>
      <c r="L767" s="13">
        <f>CHAIN_RAW!N767</f>
        <v/>
      </c>
      <c r="M767" s="13">
        <f>IFERROR(L767-K767,"")</f>
        <v/>
      </c>
      <c r="N767" s="13">
        <f>CHAIN_RAW!H767</f>
        <v/>
      </c>
      <c r="O767" s="13">
        <f>CHAIN_RAW!O767</f>
        <v/>
      </c>
      <c r="P767" s="13">
        <f>IFERROR(O767/N767,"")</f>
        <v/>
      </c>
      <c r="Q767" s="13">
        <f>CHAIN_RAW!I767</f>
        <v/>
      </c>
      <c r="R767" s="13">
        <f>CHAIN_RAW!P767</f>
        <v/>
      </c>
      <c r="S767" s="13">
        <f>IFERROR(R767/Q767,"")</f>
        <v/>
      </c>
      <c r="T767" s="13">
        <f>IFERROR((ABS(N767-O767)/MAX(1,(N767+O767)))*EXP(-ABS(E767-CONTROL!E5)/MAX(1,CONTROL!B8)),"")</f>
        <v/>
      </c>
      <c r="U767" s="13">
        <f>IFERROR(IF(O767&gt;N767,"SUPPORT (PE OI)","RESIST (CE OI)"),"")</f>
        <v/>
      </c>
      <c r="V767" s="13">
        <f>IFERROR(IF(Q767&gt;0,IF(R767&gt;0,"BOTH_ADD","CE_ADD_PE_REDUCE"),IF(R767&gt;0,"CE_REDUCE_PE_ADD","BOTH_REDUCE")),"")</f>
        <v/>
      </c>
      <c r="W767" s="13">
        <f>IFERROR( (P767-1)*0.5 + (M767)*0.1 - (I767+J767)*0.05 + T767*0.4 ,"")</f>
        <v/>
      </c>
      <c r="X767" s="13">
        <f>IFERROR(IF(ABS(F767)&lt;0.01,"ATM/NEAR",""),"")</f>
        <v/>
      </c>
    </row>
    <row r="768">
      <c r="A768" s="13">
        <f>CHAIN_RAW!A768</f>
        <v/>
      </c>
      <c r="B768" s="14">
        <f>CHAIN_RAW!B768</f>
        <v/>
      </c>
      <c r="C768" s="13">
        <f>CHAIN_RAW!C768</f>
        <v/>
      </c>
      <c r="D768" s="13">
        <f>CHAIN_RAW!D768</f>
        <v/>
      </c>
      <c r="E768" s="13">
        <f>CHAIN_RAW!E768</f>
        <v/>
      </c>
      <c r="F768" s="13">
        <f>IFERROR((E768-D768)/D768,"")</f>
        <v/>
      </c>
      <c r="G768" s="13">
        <f>IFERROR((CHAIN_RAW!K768+CHAIN_RAW!L768)/2,"")</f>
        <v/>
      </c>
      <c r="H768" s="13">
        <f>IFERROR((CHAIN_RAW!R768+CHAIN_RAW!S768)/2,"")</f>
        <v/>
      </c>
      <c r="I768" s="13">
        <f>IFERROR((CHAIN_RAW!L768-CHAIN_RAW!K768)/MAX(1E-9, G768),"")</f>
        <v/>
      </c>
      <c r="J768" s="13">
        <f>IFERROR((CHAIN_RAW!S768-CHAIN_RAW!R768)/MAX(1E-9, H768),"")</f>
        <v/>
      </c>
      <c r="K768" s="13">
        <f>CHAIN_RAW!G768</f>
        <v/>
      </c>
      <c r="L768" s="13">
        <f>CHAIN_RAW!N768</f>
        <v/>
      </c>
      <c r="M768" s="13">
        <f>IFERROR(L768-K768,"")</f>
        <v/>
      </c>
      <c r="N768" s="13">
        <f>CHAIN_RAW!H768</f>
        <v/>
      </c>
      <c r="O768" s="13">
        <f>CHAIN_RAW!O768</f>
        <v/>
      </c>
      <c r="P768" s="13">
        <f>IFERROR(O768/N768,"")</f>
        <v/>
      </c>
      <c r="Q768" s="13">
        <f>CHAIN_RAW!I768</f>
        <v/>
      </c>
      <c r="R768" s="13">
        <f>CHAIN_RAW!P768</f>
        <v/>
      </c>
      <c r="S768" s="13">
        <f>IFERROR(R768/Q768,"")</f>
        <v/>
      </c>
      <c r="T768" s="13">
        <f>IFERROR((ABS(N768-O768)/MAX(1,(N768+O768)))*EXP(-ABS(E768-CONTROL!E5)/MAX(1,CONTROL!B8)),"")</f>
        <v/>
      </c>
      <c r="U768" s="13">
        <f>IFERROR(IF(O768&gt;N768,"SUPPORT (PE OI)","RESIST (CE OI)"),"")</f>
        <v/>
      </c>
      <c r="V768" s="13">
        <f>IFERROR(IF(Q768&gt;0,IF(R768&gt;0,"BOTH_ADD","CE_ADD_PE_REDUCE"),IF(R768&gt;0,"CE_REDUCE_PE_ADD","BOTH_REDUCE")),"")</f>
        <v/>
      </c>
      <c r="W768" s="13">
        <f>IFERROR( (P768-1)*0.5 + (M768)*0.1 - (I768+J768)*0.05 + T768*0.4 ,"")</f>
        <v/>
      </c>
      <c r="X768" s="13">
        <f>IFERROR(IF(ABS(F768)&lt;0.01,"ATM/NEAR",""),"")</f>
        <v/>
      </c>
    </row>
    <row r="769">
      <c r="A769" s="13">
        <f>CHAIN_RAW!A769</f>
        <v/>
      </c>
      <c r="B769" s="14">
        <f>CHAIN_RAW!B769</f>
        <v/>
      </c>
      <c r="C769" s="13">
        <f>CHAIN_RAW!C769</f>
        <v/>
      </c>
      <c r="D769" s="13">
        <f>CHAIN_RAW!D769</f>
        <v/>
      </c>
      <c r="E769" s="13">
        <f>CHAIN_RAW!E769</f>
        <v/>
      </c>
      <c r="F769" s="13">
        <f>IFERROR((E769-D769)/D769,"")</f>
        <v/>
      </c>
      <c r="G769" s="13">
        <f>IFERROR((CHAIN_RAW!K769+CHAIN_RAW!L769)/2,"")</f>
        <v/>
      </c>
      <c r="H769" s="13">
        <f>IFERROR((CHAIN_RAW!R769+CHAIN_RAW!S769)/2,"")</f>
        <v/>
      </c>
      <c r="I769" s="13">
        <f>IFERROR((CHAIN_RAW!L769-CHAIN_RAW!K769)/MAX(1E-9, G769),"")</f>
        <v/>
      </c>
      <c r="J769" s="13">
        <f>IFERROR((CHAIN_RAW!S769-CHAIN_RAW!R769)/MAX(1E-9, H769),"")</f>
        <v/>
      </c>
      <c r="K769" s="13">
        <f>CHAIN_RAW!G769</f>
        <v/>
      </c>
      <c r="L769" s="13">
        <f>CHAIN_RAW!N769</f>
        <v/>
      </c>
      <c r="M769" s="13">
        <f>IFERROR(L769-K769,"")</f>
        <v/>
      </c>
      <c r="N769" s="13">
        <f>CHAIN_RAW!H769</f>
        <v/>
      </c>
      <c r="O769" s="13">
        <f>CHAIN_RAW!O769</f>
        <v/>
      </c>
      <c r="P769" s="13">
        <f>IFERROR(O769/N769,"")</f>
        <v/>
      </c>
      <c r="Q769" s="13">
        <f>CHAIN_RAW!I769</f>
        <v/>
      </c>
      <c r="R769" s="13">
        <f>CHAIN_RAW!P769</f>
        <v/>
      </c>
      <c r="S769" s="13">
        <f>IFERROR(R769/Q769,"")</f>
        <v/>
      </c>
      <c r="T769" s="13">
        <f>IFERROR((ABS(N769-O769)/MAX(1,(N769+O769)))*EXP(-ABS(E769-CONTROL!E5)/MAX(1,CONTROL!B8)),"")</f>
        <v/>
      </c>
      <c r="U769" s="13">
        <f>IFERROR(IF(O769&gt;N769,"SUPPORT (PE OI)","RESIST (CE OI)"),"")</f>
        <v/>
      </c>
      <c r="V769" s="13">
        <f>IFERROR(IF(Q769&gt;0,IF(R769&gt;0,"BOTH_ADD","CE_ADD_PE_REDUCE"),IF(R769&gt;0,"CE_REDUCE_PE_ADD","BOTH_REDUCE")),"")</f>
        <v/>
      </c>
      <c r="W769" s="13">
        <f>IFERROR( (P769-1)*0.5 + (M769)*0.1 - (I769+J769)*0.05 + T769*0.4 ,"")</f>
        <v/>
      </c>
      <c r="X769" s="13">
        <f>IFERROR(IF(ABS(F769)&lt;0.01,"ATM/NEAR",""),"")</f>
        <v/>
      </c>
    </row>
    <row r="770">
      <c r="A770" s="13">
        <f>CHAIN_RAW!A770</f>
        <v/>
      </c>
      <c r="B770" s="14">
        <f>CHAIN_RAW!B770</f>
        <v/>
      </c>
      <c r="C770" s="13">
        <f>CHAIN_RAW!C770</f>
        <v/>
      </c>
      <c r="D770" s="13">
        <f>CHAIN_RAW!D770</f>
        <v/>
      </c>
      <c r="E770" s="13">
        <f>CHAIN_RAW!E770</f>
        <v/>
      </c>
      <c r="F770" s="13">
        <f>IFERROR((E770-D770)/D770,"")</f>
        <v/>
      </c>
      <c r="G770" s="13">
        <f>IFERROR((CHAIN_RAW!K770+CHAIN_RAW!L770)/2,"")</f>
        <v/>
      </c>
      <c r="H770" s="13">
        <f>IFERROR((CHAIN_RAW!R770+CHAIN_RAW!S770)/2,"")</f>
        <v/>
      </c>
      <c r="I770" s="13">
        <f>IFERROR((CHAIN_RAW!L770-CHAIN_RAW!K770)/MAX(1E-9, G770),"")</f>
        <v/>
      </c>
      <c r="J770" s="13">
        <f>IFERROR((CHAIN_RAW!S770-CHAIN_RAW!R770)/MAX(1E-9, H770),"")</f>
        <v/>
      </c>
      <c r="K770" s="13">
        <f>CHAIN_RAW!G770</f>
        <v/>
      </c>
      <c r="L770" s="13">
        <f>CHAIN_RAW!N770</f>
        <v/>
      </c>
      <c r="M770" s="13">
        <f>IFERROR(L770-K770,"")</f>
        <v/>
      </c>
      <c r="N770" s="13">
        <f>CHAIN_RAW!H770</f>
        <v/>
      </c>
      <c r="O770" s="13">
        <f>CHAIN_RAW!O770</f>
        <v/>
      </c>
      <c r="P770" s="13">
        <f>IFERROR(O770/N770,"")</f>
        <v/>
      </c>
      <c r="Q770" s="13">
        <f>CHAIN_RAW!I770</f>
        <v/>
      </c>
      <c r="R770" s="13">
        <f>CHAIN_RAW!P770</f>
        <v/>
      </c>
      <c r="S770" s="13">
        <f>IFERROR(R770/Q770,"")</f>
        <v/>
      </c>
      <c r="T770" s="13">
        <f>IFERROR((ABS(N770-O770)/MAX(1,(N770+O770)))*EXP(-ABS(E770-CONTROL!E5)/MAX(1,CONTROL!B8)),"")</f>
        <v/>
      </c>
      <c r="U770" s="13">
        <f>IFERROR(IF(O770&gt;N770,"SUPPORT (PE OI)","RESIST (CE OI)"),"")</f>
        <v/>
      </c>
      <c r="V770" s="13">
        <f>IFERROR(IF(Q770&gt;0,IF(R770&gt;0,"BOTH_ADD","CE_ADD_PE_REDUCE"),IF(R770&gt;0,"CE_REDUCE_PE_ADD","BOTH_REDUCE")),"")</f>
        <v/>
      </c>
      <c r="W770" s="13">
        <f>IFERROR( (P770-1)*0.5 + (M770)*0.1 - (I770+J770)*0.05 + T770*0.4 ,"")</f>
        <v/>
      </c>
      <c r="X770" s="13">
        <f>IFERROR(IF(ABS(F770)&lt;0.01,"ATM/NEAR",""),"")</f>
        <v/>
      </c>
    </row>
    <row r="771">
      <c r="A771" s="13">
        <f>CHAIN_RAW!A771</f>
        <v/>
      </c>
      <c r="B771" s="14">
        <f>CHAIN_RAW!B771</f>
        <v/>
      </c>
      <c r="C771" s="13">
        <f>CHAIN_RAW!C771</f>
        <v/>
      </c>
      <c r="D771" s="13">
        <f>CHAIN_RAW!D771</f>
        <v/>
      </c>
      <c r="E771" s="13">
        <f>CHAIN_RAW!E771</f>
        <v/>
      </c>
      <c r="F771" s="13">
        <f>IFERROR((E771-D771)/D771,"")</f>
        <v/>
      </c>
      <c r="G771" s="13">
        <f>IFERROR((CHAIN_RAW!K771+CHAIN_RAW!L771)/2,"")</f>
        <v/>
      </c>
      <c r="H771" s="13">
        <f>IFERROR((CHAIN_RAW!R771+CHAIN_RAW!S771)/2,"")</f>
        <v/>
      </c>
      <c r="I771" s="13">
        <f>IFERROR((CHAIN_RAW!L771-CHAIN_RAW!K771)/MAX(1E-9, G771),"")</f>
        <v/>
      </c>
      <c r="J771" s="13">
        <f>IFERROR((CHAIN_RAW!S771-CHAIN_RAW!R771)/MAX(1E-9, H771),"")</f>
        <v/>
      </c>
      <c r="K771" s="13">
        <f>CHAIN_RAW!G771</f>
        <v/>
      </c>
      <c r="L771" s="13">
        <f>CHAIN_RAW!N771</f>
        <v/>
      </c>
      <c r="M771" s="13">
        <f>IFERROR(L771-K771,"")</f>
        <v/>
      </c>
      <c r="N771" s="13">
        <f>CHAIN_RAW!H771</f>
        <v/>
      </c>
      <c r="O771" s="13">
        <f>CHAIN_RAW!O771</f>
        <v/>
      </c>
      <c r="P771" s="13">
        <f>IFERROR(O771/N771,"")</f>
        <v/>
      </c>
      <c r="Q771" s="13">
        <f>CHAIN_RAW!I771</f>
        <v/>
      </c>
      <c r="R771" s="13">
        <f>CHAIN_RAW!P771</f>
        <v/>
      </c>
      <c r="S771" s="13">
        <f>IFERROR(R771/Q771,"")</f>
        <v/>
      </c>
      <c r="T771" s="13">
        <f>IFERROR((ABS(N771-O771)/MAX(1,(N771+O771)))*EXP(-ABS(E771-CONTROL!E5)/MAX(1,CONTROL!B8)),"")</f>
        <v/>
      </c>
      <c r="U771" s="13">
        <f>IFERROR(IF(O771&gt;N771,"SUPPORT (PE OI)","RESIST (CE OI)"),"")</f>
        <v/>
      </c>
      <c r="V771" s="13">
        <f>IFERROR(IF(Q771&gt;0,IF(R771&gt;0,"BOTH_ADD","CE_ADD_PE_REDUCE"),IF(R771&gt;0,"CE_REDUCE_PE_ADD","BOTH_REDUCE")),"")</f>
        <v/>
      </c>
      <c r="W771" s="13">
        <f>IFERROR( (P771-1)*0.5 + (M771)*0.1 - (I771+J771)*0.05 + T771*0.4 ,"")</f>
        <v/>
      </c>
      <c r="X771" s="13">
        <f>IFERROR(IF(ABS(F771)&lt;0.01,"ATM/NEAR",""),"")</f>
        <v/>
      </c>
    </row>
    <row r="772">
      <c r="A772" s="13">
        <f>CHAIN_RAW!A772</f>
        <v/>
      </c>
      <c r="B772" s="14">
        <f>CHAIN_RAW!B772</f>
        <v/>
      </c>
      <c r="C772" s="13">
        <f>CHAIN_RAW!C772</f>
        <v/>
      </c>
      <c r="D772" s="13">
        <f>CHAIN_RAW!D772</f>
        <v/>
      </c>
      <c r="E772" s="13">
        <f>CHAIN_RAW!E772</f>
        <v/>
      </c>
      <c r="F772" s="13">
        <f>IFERROR((E772-D772)/D772,"")</f>
        <v/>
      </c>
      <c r="G772" s="13">
        <f>IFERROR((CHAIN_RAW!K772+CHAIN_RAW!L772)/2,"")</f>
        <v/>
      </c>
      <c r="H772" s="13">
        <f>IFERROR((CHAIN_RAW!R772+CHAIN_RAW!S772)/2,"")</f>
        <v/>
      </c>
      <c r="I772" s="13">
        <f>IFERROR((CHAIN_RAW!L772-CHAIN_RAW!K772)/MAX(1E-9, G772),"")</f>
        <v/>
      </c>
      <c r="J772" s="13">
        <f>IFERROR((CHAIN_RAW!S772-CHAIN_RAW!R772)/MAX(1E-9, H772),"")</f>
        <v/>
      </c>
      <c r="K772" s="13">
        <f>CHAIN_RAW!G772</f>
        <v/>
      </c>
      <c r="L772" s="13">
        <f>CHAIN_RAW!N772</f>
        <v/>
      </c>
      <c r="M772" s="13">
        <f>IFERROR(L772-K772,"")</f>
        <v/>
      </c>
      <c r="N772" s="13">
        <f>CHAIN_RAW!H772</f>
        <v/>
      </c>
      <c r="O772" s="13">
        <f>CHAIN_RAW!O772</f>
        <v/>
      </c>
      <c r="P772" s="13">
        <f>IFERROR(O772/N772,"")</f>
        <v/>
      </c>
      <c r="Q772" s="13">
        <f>CHAIN_RAW!I772</f>
        <v/>
      </c>
      <c r="R772" s="13">
        <f>CHAIN_RAW!P772</f>
        <v/>
      </c>
      <c r="S772" s="13">
        <f>IFERROR(R772/Q772,"")</f>
        <v/>
      </c>
      <c r="T772" s="13">
        <f>IFERROR((ABS(N772-O772)/MAX(1,(N772+O772)))*EXP(-ABS(E772-CONTROL!E5)/MAX(1,CONTROL!B8)),"")</f>
        <v/>
      </c>
      <c r="U772" s="13">
        <f>IFERROR(IF(O772&gt;N772,"SUPPORT (PE OI)","RESIST (CE OI)"),"")</f>
        <v/>
      </c>
      <c r="V772" s="13">
        <f>IFERROR(IF(Q772&gt;0,IF(R772&gt;0,"BOTH_ADD","CE_ADD_PE_REDUCE"),IF(R772&gt;0,"CE_REDUCE_PE_ADD","BOTH_REDUCE")),"")</f>
        <v/>
      </c>
      <c r="W772" s="13">
        <f>IFERROR( (P772-1)*0.5 + (M772)*0.1 - (I772+J772)*0.05 + T772*0.4 ,"")</f>
        <v/>
      </c>
      <c r="X772" s="13">
        <f>IFERROR(IF(ABS(F772)&lt;0.01,"ATM/NEAR",""),"")</f>
        <v/>
      </c>
    </row>
    <row r="773">
      <c r="A773" s="13">
        <f>CHAIN_RAW!A773</f>
        <v/>
      </c>
      <c r="B773" s="14">
        <f>CHAIN_RAW!B773</f>
        <v/>
      </c>
      <c r="C773" s="13">
        <f>CHAIN_RAW!C773</f>
        <v/>
      </c>
      <c r="D773" s="13">
        <f>CHAIN_RAW!D773</f>
        <v/>
      </c>
      <c r="E773" s="13">
        <f>CHAIN_RAW!E773</f>
        <v/>
      </c>
      <c r="F773" s="13">
        <f>IFERROR((E773-D773)/D773,"")</f>
        <v/>
      </c>
      <c r="G773" s="13">
        <f>IFERROR((CHAIN_RAW!K773+CHAIN_RAW!L773)/2,"")</f>
        <v/>
      </c>
      <c r="H773" s="13">
        <f>IFERROR((CHAIN_RAW!R773+CHAIN_RAW!S773)/2,"")</f>
        <v/>
      </c>
      <c r="I773" s="13">
        <f>IFERROR((CHAIN_RAW!L773-CHAIN_RAW!K773)/MAX(1E-9, G773),"")</f>
        <v/>
      </c>
      <c r="J773" s="13">
        <f>IFERROR((CHAIN_RAW!S773-CHAIN_RAW!R773)/MAX(1E-9, H773),"")</f>
        <v/>
      </c>
      <c r="K773" s="13">
        <f>CHAIN_RAW!G773</f>
        <v/>
      </c>
      <c r="L773" s="13">
        <f>CHAIN_RAW!N773</f>
        <v/>
      </c>
      <c r="M773" s="13">
        <f>IFERROR(L773-K773,"")</f>
        <v/>
      </c>
      <c r="N773" s="13">
        <f>CHAIN_RAW!H773</f>
        <v/>
      </c>
      <c r="O773" s="13">
        <f>CHAIN_RAW!O773</f>
        <v/>
      </c>
      <c r="P773" s="13">
        <f>IFERROR(O773/N773,"")</f>
        <v/>
      </c>
      <c r="Q773" s="13">
        <f>CHAIN_RAW!I773</f>
        <v/>
      </c>
      <c r="R773" s="13">
        <f>CHAIN_RAW!P773</f>
        <v/>
      </c>
      <c r="S773" s="13">
        <f>IFERROR(R773/Q773,"")</f>
        <v/>
      </c>
      <c r="T773" s="13">
        <f>IFERROR((ABS(N773-O773)/MAX(1,(N773+O773)))*EXP(-ABS(E773-CONTROL!E5)/MAX(1,CONTROL!B8)),"")</f>
        <v/>
      </c>
      <c r="U773" s="13">
        <f>IFERROR(IF(O773&gt;N773,"SUPPORT (PE OI)","RESIST (CE OI)"),"")</f>
        <v/>
      </c>
      <c r="V773" s="13">
        <f>IFERROR(IF(Q773&gt;0,IF(R773&gt;0,"BOTH_ADD","CE_ADD_PE_REDUCE"),IF(R773&gt;0,"CE_REDUCE_PE_ADD","BOTH_REDUCE")),"")</f>
        <v/>
      </c>
      <c r="W773" s="13">
        <f>IFERROR( (P773-1)*0.5 + (M773)*0.1 - (I773+J773)*0.05 + T773*0.4 ,"")</f>
        <v/>
      </c>
      <c r="X773" s="13">
        <f>IFERROR(IF(ABS(F773)&lt;0.01,"ATM/NEAR",""),"")</f>
        <v/>
      </c>
    </row>
    <row r="774">
      <c r="A774" s="13">
        <f>CHAIN_RAW!A774</f>
        <v/>
      </c>
      <c r="B774" s="14">
        <f>CHAIN_RAW!B774</f>
        <v/>
      </c>
      <c r="C774" s="13">
        <f>CHAIN_RAW!C774</f>
        <v/>
      </c>
      <c r="D774" s="13">
        <f>CHAIN_RAW!D774</f>
        <v/>
      </c>
      <c r="E774" s="13">
        <f>CHAIN_RAW!E774</f>
        <v/>
      </c>
      <c r="F774" s="13">
        <f>IFERROR((E774-D774)/D774,"")</f>
        <v/>
      </c>
      <c r="G774" s="13">
        <f>IFERROR((CHAIN_RAW!K774+CHAIN_RAW!L774)/2,"")</f>
        <v/>
      </c>
      <c r="H774" s="13">
        <f>IFERROR((CHAIN_RAW!R774+CHAIN_RAW!S774)/2,"")</f>
        <v/>
      </c>
      <c r="I774" s="13">
        <f>IFERROR((CHAIN_RAW!L774-CHAIN_RAW!K774)/MAX(1E-9, G774),"")</f>
        <v/>
      </c>
      <c r="J774" s="13">
        <f>IFERROR((CHAIN_RAW!S774-CHAIN_RAW!R774)/MAX(1E-9, H774),"")</f>
        <v/>
      </c>
      <c r="K774" s="13">
        <f>CHAIN_RAW!G774</f>
        <v/>
      </c>
      <c r="L774" s="13">
        <f>CHAIN_RAW!N774</f>
        <v/>
      </c>
      <c r="M774" s="13">
        <f>IFERROR(L774-K774,"")</f>
        <v/>
      </c>
      <c r="N774" s="13">
        <f>CHAIN_RAW!H774</f>
        <v/>
      </c>
      <c r="O774" s="13">
        <f>CHAIN_RAW!O774</f>
        <v/>
      </c>
      <c r="P774" s="13">
        <f>IFERROR(O774/N774,"")</f>
        <v/>
      </c>
      <c r="Q774" s="13">
        <f>CHAIN_RAW!I774</f>
        <v/>
      </c>
      <c r="R774" s="13">
        <f>CHAIN_RAW!P774</f>
        <v/>
      </c>
      <c r="S774" s="13">
        <f>IFERROR(R774/Q774,"")</f>
        <v/>
      </c>
      <c r="T774" s="13">
        <f>IFERROR((ABS(N774-O774)/MAX(1,(N774+O774)))*EXP(-ABS(E774-CONTROL!E5)/MAX(1,CONTROL!B8)),"")</f>
        <v/>
      </c>
      <c r="U774" s="13">
        <f>IFERROR(IF(O774&gt;N774,"SUPPORT (PE OI)","RESIST (CE OI)"),"")</f>
        <v/>
      </c>
      <c r="V774" s="13">
        <f>IFERROR(IF(Q774&gt;0,IF(R774&gt;0,"BOTH_ADD","CE_ADD_PE_REDUCE"),IF(R774&gt;0,"CE_REDUCE_PE_ADD","BOTH_REDUCE")),"")</f>
        <v/>
      </c>
      <c r="W774" s="13">
        <f>IFERROR( (P774-1)*0.5 + (M774)*0.1 - (I774+J774)*0.05 + T774*0.4 ,"")</f>
        <v/>
      </c>
      <c r="X774" s="13">
        <f>IFERROR(IF(ABS(F774)&lt;0.01,"ATM/NEAR",""),"")</f>
        <v/>
      </c>
    </row>
    <row r="775">
      <c r="A775" s="13">
        <f>CHAIN_RAW!A775</f>
        <v/>
      </c>
      <c r="B775" s="14">
        <f>CHAIN_RAW!B775</f>
        <v/>
      </c>
      <c r="C775" s="13">
        <f>CHAIN_RAW!C775</f>
        <v/>
      </c>
      <c r="D775" s="13">
        <f>CHAIN_RAW!D775</f>
        <v/>
      </c>
      <c r="E775" s="13">
        <f>CHAIN_RAW!E775</f>
        <v/>
      </c>
      <c r="F775" s="13">
        <f>IFERROR((E775-D775)/D775,"")</f>
        <v/>
      </c>
      <c r="G775" s="13">
        <f>IFERROR((CHAIN_RAW!K775+CHAIN_RAW!L775)/2,"")</f>
        <v/>
      </c>
      <c r="H775" s="13">
        <f>IFERROR((CHAIN_RAW!R775+CHAIN_RAW!S775)/2,"")</f>
        <v/>
      </c>
      <c r="I775" s="13">
        <f>IFERROR((CHAIN_RAW!L775-CHAIN_RAW!K775)/MAX(1E-9, G775),"")</f>
        <v/>
      </c>
      <c r="J775" s="13">
        <f>IFERROR((CHAIN_RAW!S775-CHAIN_RAW!R775)/MAX(1E-9, H775),"")</f>
        <v/>
      </c>
      <c r="K775" s="13">
        <f>CHAIN_RAW!G775</f>
        <v/>
      </c>
      <c r="L775" s="13">
        <f>CHAIN_RAW!N775</f>
        <v/>
      </c>
      <c r="M775" s="13">
        <f>IFERROR(L775-K775,"")</f>
        <v/>
      </c>
      <c r="N775" s="13">
        <f>CHAIN_RAW!H775</f>
        <v/>
      </c>
      <c r="O775" s="13">
        <f>CHAIN_RAW!O775</f>
        <v/>
      </c>
      <c r="P775" s="13">
        <f>IFERROR(O775/N775,"")</f>
        <v/>
      </c>
      <c r="Q775" s="13">
        <f>CHAIN_RAW!I775</f>
        <v/>
      </c>
      <c r="R775" s="13">
        <f>CHAIN_RAW!P775</f>
        <v/>
      </c>
      <c r="S775" s="13">
        <f>IFERROR(R775/Q775,"")</f>
        <v/>
      </c>
      <c r="T775" s="13">
        <f>IFERROR((ABS(N775-O775)/MAX(1,(N775+O775)))*EXP(-ABS(E775-CONTROL!E5)/MAX(1,CONTROL!B8)),"")</f>
        <v/>
      </c>
      <c r="U775" s="13">
        <f>IFERROR(IF(O775&gt;N775,"SUPPORT (PE OI)","RESIST (CE OI)"),"")</f>
        <v/>
      </c>
      <c r="V775" s="13">
        <f>IFERROR(IF(Q775&gt;0,IF(R775&gt;0,"BOTH_ADD","CE_ADD_PE_REDUCE"),IF(R775&gt;0,"CE_REDUCE_PE_ADD","BOTH_REDUCE")),"")</f>
        <v/>
      </c>
      <c r="W775" s="13">
        <f>IFERROR( (P775-1)*0.5 + (M775)*0.1 - (I775+J775)*0.05 + T775*0.4 ,"")</f>
        <v/>
      </c>
      <c r="X775" s="13">
        <f>IFERROR(IF(ABS(F775)&lt;0.01,"ATM/NEAR",""),"")</f>
        <v/>
      </c>
    </row>
    <row r="776">
      <c r="A776" s="13">
        <f>CHAIN_RAW!A776</f>
        <v/>
      </c>
      <c r="B776" s="14">
        <f>CHAIN_RAW!B776</f>
        <v/>
      </c>
      <c r="C776" s="13">
        <f>CHAIN_RAW!C776</f>
        <v/>
      </c>
      <c r="D776" s="13">
        <f>CHAIN_RAW!D776</f>
        <v/>
      </c>
      <c r="E776" s="13">
        <f>CHAIN_RAW!E776</f>
        <v/>
      </c>
      <c r="F776" s="13">
        <f>IFERROR((E776-D776)/D776,"")</f>
        <v/>
      </c>
      <c r="G776" s="13">
        <f>IFERROR((CHAIN_RAW!K776+CHAIN_RAW!L776)/2,"")</f>
        <v/>
      </c>
      <c r="H776" s="13">
        <f>IFERROR((CHAIN_RAW!R776+CHAIN_RAW!S776)/2,"")</f>
        <v/>
      </c>
      <c r="I776" s="13">
        <f>IFERROR((CHAIN_RAW!L776-CHAIN_RAW!K776)/MAX(1E-9, G776),"")</f>
        <v/>
      </c>
      <c r="J776" s="13">
        <f>IFERROR((CHAIN_RAW!S776-CHAIN_RAW!R776)/MAX(1E-9, H776),"")</f>
        <v/>
      </c>
      <c r="K776" s="13">
        <f>CHAIN_RAW!G776</f>
        <v/>
      </c>
      <c r="L776" s="13">
        <f>CHAIN_RAW!N776</f>
        <v/>
      </c>
      <c r="M776" s="13">
        <f>IFERROR(L776-K776,"")</f>
        <v/>
      </c>
      <c r="N776" s="13">
        <f>CHAIN_RAW!H776</f>
        <v/>
      </c>
      <c r="O776" s="13">
        <f>CHAIN_RAW!O776</f>
        <v/>
      </c>
      <c r="P776" s="13">
        <f>IFERROR(O776/N776,"")</f>
        <v/>
      </c>
      <c r="Q776" s="13">
        <f>CHAIN_RAW!I776</f>
        <v/>
      </c>
      <c r="R776" s="13">
        <f>CHAIN_RAW!P776</f>
        <v/>
      </c>
      <c r="S776" s="13">
        <f>IFERROR(R776/Q776,"")</f>
        <v/>
      </c>
      <c r="T776" s="13">
        <f>IFERROR((ABS(N776-O776)/MAX(1,(N776+O776)))*EXP(-ABS(E776-CONTROL!E5)/MAX(1,CONTROL!B8)),"")</f>
        <v/>
      </c>
      <c r="U776" s="13">
        <f>IFERROR(IF(O776&gt;N776,"SUPPORT (PE OI)","RESIST (CE OI)"),"")</f>
        <v/>
      </c>
      <c r="V776" s="13">
        <f>IFERROR(IF(Q776&gt;0,IF(R776&gt;0,"BOTH_ADD","CE_ADD_PE_REDUCE"),IF(R776&gt;0,"CE_REDUCE_PE_ADD","BOTH_REDUCE")),"")</f>
        <v/>
      </c>
      <c r="W776" s="13">
        <f>IFERROR( (P776-1)*0.5 + (M776)*0.1 - (I776+J776)*0.05 + T776*0.4 ,"")</f>
        <v/>
      </c>
      <c r="X776" s="13">
        <f>IFERROR(IF(ABS(F776)&lt;0.01,"ATM/NEAR",""),"")</f>
        <v/>
      </c>
    </row>
    <row r="777">
      <c r="A777" s="13">
        <f>CHAIN_RAW!A777</f>
        <v/>
      </c>
      <c r="B777" s="14">
        <f>CHAIN_RAW!B777</f>
        <v/>
      </c>
      <c r="C777" s="13">
        <f>CHAIN_RAW!C777</f>
        <v/>
      </c>
      <c r="D777" s="13">
        <f>CHAIN_RAW!D777</f>
        <v/>
      </c>
      <c r="E777" s="13">
        <f>CHAIN_RAW!E777</f>
        <v/>
      </c>
      <c r="F777" s="13">
        <f>IFERROR((E777-D777)/D777,"")</f>
        <v/>
      </c>
      <c r="G777" s="13">
        <f>IFERROR((CHAIN_RAW!K777+CHAIN_RAW!L777)/2,"")</f>
        <v/>
      </c>
      <c r="H777" s="13">
        <f>IFERROR((CHAIN_RAW!R777+CHAIN_RAW!S777)/2,"")</f>
        <v/>
      </c>
      <c r="I777" s="13">
        <f>IFERROR((CHAIN_RAW!L777-CHAIN_RAW!K777)/MAX(1E-9, G777),"")</f>
        <v/>
      </c>
      <c r="J777" s="13">
        <f>IFERROR((CHAIN_RAW!S777-CHAIN_RAW!R777)/MAX(1E-9, H777),"")</f>
        <v/>
      </c>
      <c r="K777" s="13">
        <f>CHAIN_RAW!G777</f>
        <v/>
      </c>
      <c r="L777" s="13">
        <f>CHAIN_RAW!N777</f>
        <v/>
      </c>
      <c r="M777" s="13">
        <f>IFERROR(L777-K777,"")</f>
        <v/>
      </c>
      <c r="N777" s="13">
        <f>CHAIN_RAW!H777</f>
        <v/>
      </c>
      <c r="O777" s="13">
        <f>CHAIN_RAW!O777</f>
        <v/>
      </c>
      <c r="P777" s="13">
        <f>IFERROR(O777/N777,"")</f>
        <v/>
      </c>
      <c r="Q777" s="13">
        <f>CHAIN_RAW!I777</f>
        <v/>
      </c>
      <c r="R777" s="13">
        <f>CHAIN_RAW!P777</f>
        <v/>
      </c>
      <c r="S777" s="13">
        <f>IFERROR(R777/Q777,"")</f>
        <v/>
      </c>
      <c r="T777" s="13">
        <f>IFERROR((ABS(N777-O777)/MAX(1,(N777+O777)))*EXP(-ABS(E777-CONTROL!E5)/MAX(1,CONTROL!B8)),"")</f>
        <v/>
      </c>
      <c r="U777" s="13">
        <f>IFERROR(IF(O777&gt;N777,"SUPPORT (PE OI)","RESIST (CE OI)"),"")</f>
        <v/>
      </c>
      <c r="V777" s="13">
        <f>IFERROR(IF(Q777&gt;0,IF(R777&gt;0,"BOTH_ADD","CE_ADD_PE_REDUCE"),IF(R777&gt;0,"CE_REDUCE_PE_ADD","BOTH_REDUCE")),"")</f>
        <v/>
      </c>
      <c r="W777" s="13">
        <f>IFERROR( (P777-1)*0.5 + (M777)*0.1 - (I777+J777)*0.05 + T777*0.4 ,"")</f>
        <v/>
      </c>
      <c r="X777" s="13">
        <f>IFERROR(IF(ABS(F777)&lt;0.01,"ATM/NEAR",""),"")</f>
        <v/>
      </c>
    </row>
    <row r="778">
      <c r="A778" s="13">
        <f>CHAIN_RAW!A778</f>
        <v/>
      </c>
      <c r="B778" s="14">
        <f>CHAIN_RAW!B778</f>
        <v/>
      </c>
      <c r="C778" s="13">
        <f>CHAIN_RAW!C778</f>
        <v/>
      </c>
      <c r="D778" s="13">
        <f>CHAIN_RAW!D778</f>
        <v/>
      </c>
      <c r="E778" s="13">
        <f>CHAIN_RAW!E778</f>
        <v/>
      </c>
      <c r="F778" s="13">
        <f>IFERROR((E778-D778)/D778,"")</f>
        <v/>
      </c>
      <c r="G778" s="13">
        <f>IFERROR((CHAIN_RAW!K778+CHAIN_RAW!L778)/2,"")</f>
        <v/>
      </c>
      <c r="H778" s="13">
        <f>IFERROR((CHAIN_RAW!R778+CHAIN_RAW!S778)/2,"")</f>
        <v/>
      </c>
      <c r="I778" s="13">
        <f>IFERROR((CHAIN_RAW!L778-CHAIN_RAW!K778)/MAX(1E-9, G778),"")</f>
        <v/>
      </c>
      <c r="J778" s="13">
        <f>IFERROR((CHAIN_RAW!S778-CHAIN_RAW!R778)/MAX(1E-9, H778),"")</f>
        <v/>
      </c>
      <c r="K778" s="13">
        <f>CHAIN_RAW!G778</f>
        <v/>
      </c>
      <c r="L778" s="13">
        <f>CHAIN_RAW!N778</f>
        <v/>
      </c>
      <c r="M778" s="13">
        <f>IFERROR(L778-K778,"")</f>
        <v/>
      </c>
      <c r="N778" s="13">
        <f>CHAIN_RAW!H778</f>
        <v/>
      </c>
      <c r="O778" s="13">
        <f>CHAIN_RAW!O778</f>
        <v/>
      </c>
      <c r="P778" s="13">
        <f>IFERROR(O778/N778,"")</f>
        <v/>
      </c>
      <c r="Q778" s="13">
        <f>CHAIN_RAW!I778</f>
        <v/>
      </c>
      <c r="R778" s="13">
        <f>CHAIN_RAW!P778</f>
        <v/>
      </c>
      <c r="S778" s="13">
        <f>IFERROR(R778/Q778,"")</f>
        <v/>
      </c>
      <c r="T778" s="13">
        <f>IFERROR((ABS(N778-O778)/MAX(1,(N778+O778)))*EXP(-ABS(E778-CONTROL!E5)/MAX(1,CONTROL!B8)),"")</f>
        <v/>
      </c>
      <c r="U778" s="13">
        <f>IFERROR(IF(O778&gt;N778,"SUPPORT (PE OI)","RESIST (CE OI)"),"")</f>
        <v/>
      </c>
      <c r="V778" s="13">
        <f>IFERROR(IF(Q778&gt;0,IF(R778&gt;0,"BOTH_ADD","CE_ADD_PE_REDUCE"),IF(R778&gt;0,"CE_REDUCE_PE_ADD","BOTH_REDUCE")),"")</f>
        <v/>
      </c>
      <c r="W778" s="13">
        <f>IFERROR( (P778-1)*0.5 + (M778)*0.1 - (I778+J778)*0.05 + T778*0.4 ,"")</f>
        <v/>
      </c>
      <c r="X778" s="13">
        <f>IFERROR(IF(ABS(F778)&lt;0.01,"ATM/NEAR",""),"")</f>
        <v/>
      </c>
    </row>
    <row r="779">
      <c r="A779" s="13">
        <f>CHAIN_RAW!A779</f>
        <v/>
      </c>
      <c r="B779" s="14">
        <f>CHAIN_RAW!B779</f>
        <v/>
      </c>
      <c r="C779" s="13">
        <f>CHAIN_RAW!C779</f>
        <v/>
      </c>
      <c r="D779" s="13">
        <f>CHAIN_RAW!D779</f>
        <v/>
      </c>
      <c r="E779" s="13">
        <f>CHAIN_RAW!E779</f>
        <v/>
      </c>
      <c r="F779" s="13">
        <f>IFERROR((E779-D779)/D779,"")</f>
        <v/>
      </c>
      <c r="G779" s="13">
        <f>IFERROR((CHAIN_RAW!K779+CHAIN_RAW!L779)/2,"")</f>
        <v/>
      </c>
      <c r="H779" s="13">
        <f>IFERROR((CHAIN_RAW!R779+CHAIN_RAW!S779)/2,"")</f>
        <v/>
      </c>
      <c r="I779" s="13">
        <f>IFERROR((CHAIN_RAW!L779-CHAIN_RAW!K779)/MAX(1E-9, G779),"")</f>
        <v/>
      </c>
      <c r="J779" s="13">
        <f>IFERROR((CHAIN_RAW!S779-CHAIN_RAW!R779)/MAX(1E-9, H779),"")</f>
        <v/>
      </c>
      <c r="K779" s="13">
        <f>CHAIN_RAW!G779</f>
        <v/>
      </c>
      <c r="L779" s="13">
        <f>CHAIN_RAW!N779</f>
        <v/>
      </c>
      <c r="M779" s="13">
        <f>IFERROR(L779-K779,"")</f>
        <v/>
      </c>
      <c r="N779" s="13">
        <f>CHAIN_RAW!H779</f>
        <v/>
      </c>
      <c r="O779" s="13">
        <f>CHAIN_RAW!O779</f>
        <v/>
      </c>
      <c r="P779" s="13">
        <f>IFERROR(O779/N779,"")</f>
        <v/>
      </c>
      <c r="Q779" s="13">
        <f>CHAIN_RAW!I779</f>
        <v/>
      </c>
      <c r="R779" s="13">
        <f>CHAIN_RAW!P779</f>
        <v/>
      </c>
      <c r="S779" s="13">
        <f>IFERROR(R779/Q779,"")</f>
        <v/>
      </c>
      <c r="T779" s="13">
        <f>IFERROR((ABS(N779-O779)/MAX(1,(N779+O779)))*EXP(-ABS(E779-CONTROL!E5)/MAX(1,CONTROL!B8)),"")</f>
        <v/>
      </c>
      <c r="U779" s="13">
        <f>IFERROR(IF(O779&gt;N779,"SUPPORT (PE OI)","RESIST (CE OI)"),"")</f>
        <v/>
      </c>
      <c r="V779" s="13">
        <f>IFERROR(IF(Q779&gt;0,IF(R779&gt;0,"BOTH_ADD","CE_ADD_PE_REDUCE"),IF(R779&gt;0,"CE_REDUCE_PE_ADD","BOTH_REDUCE")),"")</f>
        <v/>
      </c>
      <c r="W779" s="13">
        <f>IFERROR( (P779-1)*0.5 + (M779)*0.1 - (I779+J779)*0.05 + T779*0.4 ,"")</f>
        <v/>
      </c>
      <c r="X779" s="13">
        <f>IFERROR(IF(ABS(F779)&lt;0.01,"ATM/NEAR",""),"")</f>
        <v/>
      </c>
    </row>
    <row r="780">
      <c r="A780" s="13">
        <f>CHAIN_RAW!A780</f>
        <v/>
      </c>
      <c r="B780" s="14">
        <f>CHAIN_RAW!B780</f>
        <v/>
      </c>
      <c r="C780" s="13">
        <f>CHAIN_RAW!C780</f>
        <v/>
      </c>
      <c r="D780" s="13">
        <f>CHAIN_RAW!D780</f>
        <v/>
      </c>
      <c r="E780" s="13">
        <f>CHAIN_RAW!E780</f>
        <v/>
      </c>
      <c r="F780" s="13">
        <f>IFERROR((E780-D780)/D780,"")</f>
        <v/>
      </c>
      <c r="G780" s="13">
        <f>IFERROR((CHAIN_RAW!K780+CHAIN_RAW!L780)/2,"")</f>
        <v/>
      </c>
      <c r="H780" s="13">
        <f>IFERROR((CHAIN_RAW!R780+CHAIN_RAW!S780)/2,"")</f>
        <v/>
      </c>
      <c r="I780" s="13">
        <f>IFERROR((CHAIN_RAW!L780-CHAIN_RAW!K780)/MAX(1E-9, G780),"")</f>
        <v/>
      </c>
      <c r="J780" s="13">
        <f>IFERROR((CHAIN_RAW!S780-CHAIN_RAW!R780)/MAX(1E-9, H780),"")</f>
        <v/>
      </c>
      <c r="K780" s="13">
        <f>CHAIN_RAW!G780</f>
        <v/>
      </c>
      <c r="L780" s="13">
        <f>CHAIN_RAW!N780</f>
        <v/>
      </c>
      <c r="M780" s="13">
        <f>IFERROR(L780-K780,"")</f>
        <v/>
      </c>
      <c r="N780" s="13">
        <f>CHAIN_RAW!H780</f>
        <v/>
      </c>
      <c r="O780" s="13">
        <f>CHAIN_RAW!O780</f>
        <v/>
      </c>
      <c r="P780" s="13">
        <f>IFERROR(O780/N780,"")</f>
        <v/>
      </c>
      <c r="Q780" s="13">
        <f>CHAIN_RAW!I780</f>
        <v/>
      </c>
      <c r="R780" s="13">
        <f>CHAIN_RAW!P780</f>
        <v/>
      </c>
      <c r="S780" s="13">
        <f>IFERROR(R780/Q780,"")</f>
        <v/>
      </c>
      <c r="T780" s="13">
        <f>IFERROR((ABS(N780-O780)/MAX(1,(N780+O780)))*EXP(-ABS(E780-CONTROL!E5)/MAX(1,CONTROL!B8)),"")</f>
        <v/>
      </c>
      <c r="U780" s="13">
        <f>IFERROR(IF(O780&gt;N780,"SUPPORT (PE OI)","RESIST (CE OI)"),"")</f>
        <v/>
      </c>
      <c r="V780" s="13">
        <f>IFERROR(IF(Q780&gt;0,IF(R780&gt;0,"BOTH_ADD","CE_ADD_PE_REDUCE"),IF(R780&gt;0,"CE_REDUCE_PE_ADD","BOTH_REDUCE")),"")</f>
        <v/>
      </c>
      <c r="W780" s="13">
        <f>IFERROR( (P780-1)*0.5 + (M780)*0.1 - (I780+J780)*0.05 + T780*0.4 ,"")</f>
        <v/>
      </c>
      <c r="X780" s="13">
        <f>IFERROR(IF(ABS(F780)&lt;0.01,"ATM/NEAR",""),"")</f>
        <v/>
      </c>
    </row>
    <row r="781">
      <c r="A781" s="13">
        <f>CHAIN_RAW!A781</f>
        <v/>
      </c>
      <c r="B781" s="14">
        <f>CHAIN_RAW!B781</f>
        <v/>
      </c>
      <c r="C781" s="13">
        <f>CHAIN_RAW!C781</f>
        <v/>
      </c>
      <c r="D781" s="13">
        <f>CHAIN_RAW!D781</f>
        <v/>
      </c>
      <c r="E781" s="13">
        <f>CHAIN_RAW!E781</f>
        <v/>
      </c>
      <c r="F781" s="13">
        <f>IFERROR((E781-D781)/D781,"")</f>
        <v/>
      </c>
      <c r="G781" s="13">
        <f>IFERROR((CHAIN_RAW!K781+CHAIN_RAW!L781)/2,"")</f>
        <v/>
      </c>
      <c r="H781" s="13">
        <f>IFERROR((CHAIN_RAW!R781+CHAIN_RAW!S781)/2,"")</f>
        <v/>
      </c>
      <c r="I781" s="13">
        <f>IFERROR((CHAIN_RAW!L781-CHAIN_RAW!K781)/MAX(1E-9, G781),"")</f>
        <v/>
      </c>
      <c r="J781" s="13">
        <f>IFERROR((CHAIN_RAW!S781-CHAIN_RAW!R781)/MAX(1E-9, H781),"")</f>
        <v/>
      </c>
      <c r="K781" s="13">
        <f>CHAIN_RAW!G781</f>
        <v/>
      </c>
      <c r="L781" s="13">
        <f>CHAIN_RAW!N781</f>
        <v/>
      </c>
      <c r="M781" s="13">
        <f>IFERROR(L781-K781,"")</f>
        <v/>
      </c>
      <c r="N781" s="13">
        <f>CHAIN_RAW!H781</f>
        <v/>
      </c>
      <c r="O781" s="13">
        <f>CHAIN_RAW!O781</f>
        <v/>
      </c>
      <c r="P781" s="13">
        <f>IFERROR(O781/N781,"")</f>
        <v/>
      </c>
      <c r="Q781" s="13">
        <f>CHAIN_RAW!I781</f>
        <v/>
      </c>
      <c r="R781" s="13">
        <f>CHAIN_RAW!P781</f>
        <v/>
      </c>
      <c r="S781" s="13">
        <f>IFERROR(R781/Q781,"")</f>
        <v/>
      </c>
      <c r="T781" s="13">
        <f>IFERROR((ABS(N781-O781)/MAX(1,(N781+O781)))*EXP(-ABS(E781-CONTROL!E5)/MAX(1,CONTROL!B8)),"")</f>
        <v/>
      </c>
      <c r="U781" s="13">
        <f>IFERROR(IF(O781&gt;N781,"SUPPORT (PE OI)","RESIST (CE OI)"),"")</f>
        <v/>
      </c>
      <c r="V781" s="13">
        <f>IFERROR(IF(Q781&gt;0,IF(R781&gt;0,"BOTH_ADD","CE_ADD_PE_REDUCE"),IF(R781&gt;0,"CE_REDUCE_PE_ADD","BOTH_REDUCE")),"")</f>
        <v/>
      </c>
      <c r="W781" s="13">
        <f>IFERROR( (P781-1)*0.5 + (M781)*0.1 - (I781+J781)*0.05 + T781*0.4 ,"")</f>
        <v/>
      </c>
      <c r="X781" s="13">
        <f>IFERROR(IF(ABS(F781)&lt;0.01,"ATM/NEAR",""),"")</f>
        <v/>
      </c>
    </row>
    <row r="782">
      <c r="A782" s="13">
        <f>CHAIN_RAW!A782</f>
        <v/>
      </c>
      <c r="B782" s="14">
        <f>CHAIN_RAW!B782</f>
        <v/>
      </c>
      <c r="C782" s="13">
        <f>CHAIN_RAW!C782</f>
        <v/>
      </c>
      <c r="D782" s="13">
        <f>CHAIN_RAW!D782</f>
        <v/>
      </c>
      <c r="E782" s="13">
        <f>CHAIN_RAW!E782</f>
        <v/>
      </c>
      <c r="F782" s="13">
        <f>IFERROR((E782-D782)/D782,"")</f>
        <v/>
      </c>
      <c r="G782" s="13">
        <f>IFERROR((CHAIN_RAW!K782+CHAIN_RAW!L782)/2,"")</f>
        <v/>
      </c>
      <c r="H782" s="13">
        <f>IFERROR((CHAIN_RAW!R782+CHAIN_RAW!S782)/2,"")</f>
        <v/>
      </c>
      <c r="I782" s="13">
        <f>IFERROR((CHAIN_RAW!L782-CHAIN_RAW!K782)/MAX(1E-9, G782),"")</f>
        <v/>
      </c>
      <c r="J782" s="13">
        <f>IFERROR((CHAIN_RAW!S782-CHAIN_RAW!R782)/MAX(1E-9, H782),"")</f>
        <v/>
      </c>
      <c r="K782" s="13">
        <f>CHAIN_RAW!G782</f>
        <v/>
      </c>
      <c r="L782" s="13">
        <f>CHAIN_RAW!N782</f>
        <v/>
      </c>
      <c r="M782" s="13">
        <f>IFERROR(L782-K782,"")</f>
        <v/>
      </c>
      <c r="N782" s="13">
        <f>CHAIN_RAW!H782</f>
        <v/>
      </c>
      <c r="O782" s="13">
        <f>CHAIN_RAW!O782</f>
        <v/>
      </c>
      <c r="P782" s="13">
        <f>IFERROR(O782/N782,"")</f>
        <v/>
      </c>
      <c r="Q782" s="13">
        <f>CHAIN_RAW!I782</f>
        <v/>
      </c>
      <c r="R782" s="13">
        <f>CHAIN_RAW!P782</f>
        <v/>
      </c>
      <c r="S782" s="13">
        <f>IFERROR(R782/Q782,"")</f>
        <v/>
      </c>
      <c r="T782" s="13">
        <f>IFERROR((ABS(N782-O782)/MAX(1,(N782+O782)))*EXP(-ABS(E782-CONTROL!E5)/MAX(1,CONTROL!B8)),"")</f>
        <v/>
      </c>
      <c r="U782" s="13">
        <f>IFERROR(IF(O782&gt;N782,"SUPPORT (PE OI)","RESIST (CE OI)"),"")</f>
        <v/>
      </c>
      <c r="V782" s="13">
        <f>IFERROR(IF(Q782&gt;0,IF(R782&gt;0,"BOTH_ADD","CE_ADD_PE_REDUCE"),IF(R782&gt;0,"CE_REDUCE_PE_ADD","BOTH_REDUCE")),"")</f>
        <v/>
      </c>
      <c r="W782" s="13">
        <f>IFERROR( (P782-1)*0.5 + (M782)*0.1 - (I782+J782)*0.05 + T782*0.4 ,"")</f>
        <v/>
      </c>
      <c r="X782" s="13">
        <f>IFERROR(IF(ABS(F782)&lt;0.01,"ATM/NEAR",""),"")</f>
        <v/>
      </c>
    </row>
    <row r="783">
      <c r="A783" s="13">
        <f>CHAIN_RAW!A783</f>
        <v/>
      </c>
      <c r="B783" s="14">
        <f>CHAIN_RAW!B783</f>
        <v/>
      </c>
      <c r="C783" s="13">
        <f>CHAIN_RAW!C783</f>
        <v/>
      </c>
      <c r="D783" s="13">
        <f>CHAIN_RAW!D783</f>
        <v/>
      </c>
      <c r="E783" s="13">
        <f>CHAIN_RAW!E783</f>
        <v/>
      </c>
      <c r="F783" s="13">
        <f>IFERROR((E783-D783)/D783,"")</f>
        <v/>
      </c>
      <c r="G783" s="13">
        <f>IFERROR((CHAIN_RAW!K783+CHAIN_RAW!L783)/2,"")</f>
        <v/>
      </c>
      <c r="H783" s="13">
        <f>IFERROR((CHAIN_RAW!R783+CHAIN_RAW!S783)/2,"")</f>
        <v/>
      </c>
      <c r="I783" s="13">
        <f>IFERROR((CHAIN_RAW!L783-CHAIN_RAW!K783)/MAX(1E-9, G783),"")</f>
        <v/>
      </c>
      <c r="J783" s="13">
        <f>IFERROR((CHAIN_RAW!S783-CHAIN_RAW!R783)/MAX(1E-9, H783),"")</f>
        <v/>
      </c>
      <c r="K783" s="13">
        <f>CHAIN_RAW!G783</f>
        <v/>
      </c>
      <c r="L783" s="13">
        <f>CHAIN_RAW!N783</f>
        <v/>
      </c>
      <c r="M783" s="13">
        <f>IFERROR(L783-K783,"")</f>
        <v/>
      </c>
      <c r="N783" s="13">
        <f>CHAIN_RAW!H783</f>
        <v/>
      </c>
      <c r="O783" s="13">
        <f>CHAIN_RAW!O783</f>
        <v/>
      </c>
      <c r="P783" s="13">
        <f>IFERROR(O783/N783,"")</f>
        <v/>
      </c>
      <c r="Q783" s="13">
        <f>CHAIN_RAW!I783</f>
        <v/>
      </c>
      <c r="R783" s="13">
        <f>CHAIN_RAW!P783</f>
        <v/>
      </c>
      <c r="S783" s="13">
        <f>IFERROR(R783/Q783,"")</f>
        <v/>
      </c>
      <c r="T783" s="13">
        <f>IFERROR((ABS(N783-O783)/MAX(1,(N783+O783)))*EXP(-ABS(E783-CONTROL!E5)/MAX(1,CONTROL!B8)),"")</f>
        <v/>
      </c>
      <c r="U783" s="13">
        <f>IFERROR(IF(O783&gt;N783,"SUPPORT (PE OI)","RESIST (CE OI)"),"")</f>
        <v/>
      </c>
      <c r="V783" s="13">
        <f>IFERROR(IF(Q783&gt;0,IF(R783&gt;0,"BOTH_ADD","CE_ADD_PE_REDUCE"),IF(R783&gt;0,"CE_REDUCE_PE_ADD","BOTH_REDUCE")),"")</f>
        <v/>
      </c>
      <c r="W783" s="13">
        <f>IFERROR( (P783-1)*0.5 + (M783)*0.1 - (I783+J783)*0.05 + T783*0.4 ,"")</f>
        <v/>
      </c>
      <c r="X783" s="13">
        <f>IFERROR(IF(ABS(F783)&lt;0.01,"ATM/NEAR",""),"")</f>
        <v/>
      </c>
    </row>
    <row r="784">
      <c r="A784" s="13">
        <f>CHAIN_RAW!A784</f>
        <v/>
      </c>
      <c r="B784" s="14">
        <f>CHAIN_RAW!B784</f>
        <v/>
      </c>
      <c r="C784" s="13">
        <f>CHAIN_RAW!C784</f>
        <v/>
      </c>
      <c r="D784" s="13">
        <f>CHAIN_RAW!D784</f>
        <v/>
      </c>
      <c r="E784" s="13">
        <f>CHAIN_RAW!E784</f>
        <v/>
      </c>
      <c r="F784" s="13">
        <f>IFERROR((E784-D784)/D784,"")</f>
        <v/>
      </c>
      <c r="G784" s="13">
        <f>IFERROR((CHAIN_RAW!K784+CHAIN_RAW!L784)/2,"")</f>
        <v/>
      </c>
      <c r="H784" s="13">
        <f>IFERROR((CHAIN_RAW!R784+CHAIN_RAW!S784)/2,"")</f>
        <v/>
      </c>
      <c r="I784" s="13">
        <f>IFERROR((CHAIN_RAW!L784-CHAIN_RAW!K784)/MAX(1E-9, G784),"")</f>
        <v/>
      </c>
      <c r="J784" s="13">
        <f>IFERROR((CHAIN_RAW!S784-CHAIN_RAW!R784)/MAX(1E-9, H784),"")</f>
        <v/>
      </c>
      <c r="K784" s="13">
        <f>CHAIN_RAW!G784</f>
        <v/>
      </c>
      <c r="L784" s="13">
        <f>CHAIN_RAW!N784</f>
        <v/>
      </c>
      <c r="M784" s="13">
        <f>IFERROR(L784-K784,"")</f>
        <v/>
      </c>
      <c r="N784" s="13">
        <f>CHAIN_RAW!H784</f>
        <v/>
      </c>
      <c r="O784" s="13">
        <f>CHAIN_RAW!O784</f>
        <v/>
      </c>
      <c r="P784" s="13">
        <f>IFERROR(O784/N784,"")</f>
        <v/>
      </c>
      <c r="Q784" s="13">
        <f>CHAIN_RAW!I784</f>
        <v/>
      </c>
      <c r="R784" s="13">
        <f>CHAIN_RAW!P784</f>
        <v/>
      </c>
      <c r="S784" s="13">
        <f>IFERROR(R784/Q784,"")</f>
        <v/>
      </c>
      <c r="T784" s="13">
        <f>IFERROR((ABS(N784-O784)/MAX(1,(N784+O784)))*EXP(-ABS(E784-CONTROL!E5)/MAX(1,CONTROL!B8)),"")</f>
        <v/>
      </c>
      <c r="U784" s="13">
        <f>IFERROR(IF(O784&gt;N784,"SUPPORT (PE OI)","RESIST (CE OI)"),"")</f>
        <v/>
      </c>
      <c r="V784" s="13">
        <f>IFERROR(IF(Q784&gt;0,IF(R784&gt;0,"BOTH_ADD","CE_ADD_PE_REDUCE"),IF(R784&gt;0,"CE_REDUCE_PE_ADD","BOTH_REDUCE")),"")</f>
        <v/>
      </c>
      <c r="W784" s="13">
        <f>IFERROR( (P784-1)*0.5 + (M784)*0.1 - (I784+J784)*0.05 + T784*0.4 ,"")</f>
        <v/>
      </c>
      <c r="X784" s="13">
        <f>IFERROR(IF(ABS(F784)&lt;0.01,"ATM/NEAR",""),"")</f>
        <v/>
      </c>
    </row>
    <row r="785">
      <c r="A785" s="13">
        <f>CHAIN_RAW!A785</f>
        <v/>
      </c>
      <c r="B785" s="14">
        <f>CHAIN_RAW!B785</f>
        <v/>
      </c>
      <c r="C785" s="13">
        <f>CHAIN_RAW!C785</f>
        <v/>
      </c>
      <c r="D785" s="13">
        <f>CHAIN_RAW!D785</f>
        <v/>
      </c>
      <c r="E785" s="13">
        <f>CHAIN_RAW!E785</f>
        <v/>
      </c>
      <c r="F785" s="13">
        <f>IFERROR((E785-D785)/D785,"")</f>
        <v/>
      </c>
      <c r="G785" s="13">
        <f>IFERROR((CHAIN_RAW!K785+CHAIN_RAW!L785)/2,"")</f>
        <v/>
      </c>
      <c r="H785" s="13">
        <f>IFERROR((CHAIN_RAW!R785+CHAIN_RAW!S785)/2,"")</f>
        <v/>
      </c>
      <c r="I785" s="13">
        <f>IFERROR((CHAIN_RAW!L785-CHAIN_RAW!K785)/MAX(1E-9, G785),"")</f>
        <v/>
      </c>
      <c r="J785" s="13">
        <f>IFERROR((CHAIN_RAW!S785-CHAIN_RAW!R785)/MAX(1E-9, H785),"")</f>
        <v/>
      </c>
      <c r="K785" s="13">
        <f>CHAIN_RAW!G785</f>
        <v/>
      </c>
      <c r="L785" s="13">
        <f>CHAIN_RAW!N785</f>
        <v/>
      </c>
      <c r="M785" s="13">
        <f>IFERROR(L785-K785,"")</f>
        <v/>
      </c>
      <c r="N785" s="13">
        <f>CHAIN_RAW!H785</f>
        <v/>
      </c>
      <c r="O785" s="13">
        <f>CHAIN_RAW!O785</f>
        <v/>
      </c>
      <c r="P785" s="13">
        <f>IFERROR(O785/N785,"")</f>
        <v/>
      </c>
      <c r="Q785" s="13">
        <f>CHAIN_RAW!I785</f>
        <v/>
      </c>
      <c r="R785" s="13">
        <f>CHAIN_RAW!P785</f>
        <v/>
      </c>
      <c r="S785" s="13">
        <f>IFERROR(R785/Q785,"")</f>
        <v/>
      </c>
      <c r="T785" s="13">
        <f>IFERROR((ABS(N785-O785)/MAX(1,(N785+O785)))*EXP(-ABS(E785-CONTROL!E5)/MAX(1,CONTROL!B8)),"")</f>
        <v/>
      </c>
      <c r="U785" s="13">
        <f>IFERROR(IF(O785&gt;N785,"SUPPORT (PE OI)","RESIST (CE OI)"),"")</f>
        <v/>
      </c>
      <c r="V785" s="13">
        <f>IFERROR(IF(Q785&gt;0,IF(R785&gt;0,"BOTH_ADD","CE_ADD_PE_REDUCE"),IF(R785&gt;0,"CE_REDUCE_PE_ADD","BOTH_REDUCE")),"")</f>
        <v/>
      </c>
      <c r="W785" s="13">
        <f>IFERROR( (P785-1)*0.5 + (M785)*0.1 - (I785+J785)*0.05 + T785*0.4 ,"")</f>
        <v/>
      </c>
      <c r="X785" s="13">
        <f>IFERROR(IF(ABS(F785)&lt;0.01,"ATM/NEAR",""),"")</f>
        <v/>
      </c>
    </row>
    <row r="786">
      <c r="A786" s="13">
        <f>CHAIN_RAW!A786</f>
        <v/>
      </c>
      <c r="B786" s="14">
        <f>CHAIN_RAW!B786</f>
        <v/>
      </c>
      <c r="C786" s="13">
        <f>CHAIN_RAW!C786</f>
        <v/>
      </c>
      <c r="D786" s="13">
        <f>CHAIN_RAW!D786</f>
        <v/>
      </c>
      <c r="E786" s="13">
        <f>CHAIN_RAW!E786</f>
        <v/>
      </c>
      <c r="F786" s="13">
        <f>IFERROR((E786-D786)/D786,"")</f>
        <v/>
      </c>
      <c r="G786" s="13">
        <f>IFERROR((CHAIN_RAW!K786+CHAIN_RAW!L786)/2,"")</f>
        <v/>
      </c>
      <c r="H786" s="13">
        <f>IFERROR((CHAIN_RAW!R786+CHAIN_RAW!S786)/2,"")</f>
        <v/>
      </c>
      <c r="I786" s="13">
        <f>IFERROR((CHAIN_RAW!L786-CHAIN_RAW!K786)/MAX(1E-9, G786),"")</f>
        <v/>
      </c>
      <c r="J786" s="13">
        <f>IFERROR((CHAIN_RAW!S786-CHAIN_RAW!R786)/MAX(1E-9, H786),"")</f>
        <v/>
      </c>
      <c r="K786" s="13">
        <f>CHAIN_RAW!G786</f>
        <v/>
      </c>
      <c r="L786" s="13">
        <f>CHAIN_RAW!N786</f>
        <v/>
      </c>
      <c r="M786" s="13">
        <f>IFERROR(L786-K786,"")</f>
        <v/>
      </c>
      <c r="N786" s="13">
        <f>CHAIN_RAW!H786</f>
        <v/>
      </c>
      <c r="O786" s="13">
        <f>CHAIN_RAW!O786</f>
        <v/>
      </c>
      <c r="P786" s="13">
        <f>IFERROR(O786/N786,"")</f>
        <v/>
      </c>
      <c r="Q786" s="13">
        <f>CHAIN_RAW!I786</f>
        <v/>
      </c>
      <c r="R786" s="13">
        <f>CHAIN_RAW!P786</f>
        <v/>
      </c>
      <c r="S786" s="13">
        <f>IFERROR(R786/Q786,"")</f>
        <v/>
      </c>
      <c r="T786" s="13">
        <f>IFERROR((ABS(N786-O786)/MAX(1,(N786+O786)))*EXP(-ABS(E786-CONTROL!E5)/MAX(1,CONTROL!B8)),"")</f>
        <v/>
      </c>
      <c r="U786" s="13">
        <f>IFERROR(IF(O786&gt;N786,"SUPPORT (PE OI)","RESIST (CE OI)"),"")</f>
        <v/>
      </c>
      <c r="V786" s="13">
        <f>IFERROR(IF(Q786&gt;0,IF(R786&gt;0,"BOTH_ADD","CE_ADD_PE_REDUCE"),IF(R786&gt;0,"CE_REDUCE_PE_ADD","BOTH_REDUCE")),"")</f>
        <v/>
      </c>
      <c r="W786" s="13">
        <f>IFERROR( (P786-1)*0.5 + (M786)*0.1 - (I786+J786)*0.05 + T786*0.4 ,"")</f>
        <v/>
      </c>
      <c r="X786" s="13">
        <f>IFERROR(IF(ABS(F786)&lt;0.01,"ATM/NEAR",""),"")</f>
        <v/>
      </c>
    </row>
    <row r="787">
      <c r="A787" s="13">
        <f>CHAIN_RAW!A787</f>
        <v/>
      </c>
      <c r="B787" s="14">
        <f>CHAIN_RAW!B787</f>
        <v/>
      </c>
      <c r="C787" s="13">
        <f>CHAIN_RAW!C787</f>
        <v/>
      </c>
      <c r="D787" s="13">
        <f>CHAIN_RAW!D787</f>
        <v/>
      </c>
      <c r="E787" s="13">
        <f>CHAIN_RAW!E787</f>
        <v/>
      </c>
      <c r="F787" s="13">
        <f>IFERROR((E787-D787)/D787,"")</f>
        <v/>
      </c>
      <c r="G787" s="13">
        <f>IFERROR((CHAIN_RAW!K787+CHAIN_RAW!L787)/2,"")</f>
        <v/>
      </c>
      <c r="H787" s="13">
        <f>IFERROR((CHAIN_RAW!R787+CHAIN_RAW!S787)/2,"")</f>
        <v/>
      </c>
      <c r="I787" s="13">
        <f>IFERROR((CHAIN_RAW!L787-CHAIN_RAW!K787)/MAX(1E-9, G787),"")</f>
        <v/>
      </c>
      <c r="J787" s="13">
        <f>IFERROR((CHAIN_RAW!S787-CHAIN_RAW!R787)/MAX(1E-9, H787),"")</f>
        <v/>
      </c>
      <c r="K787" s="13">
        <f>CHAIN_RAW!G787</f>
        <v/>
      </c>
      <c r="L787" s="13">
        <f>CHAIN_RAW!N787</f>
        <v/>
      </c>
      <c r="M787" s="13">
        <f>IFERROR(L787-K787,"")</f>
        <v/>
      </c>
      <c r="N787" s="13">
        <f>CHAIN_RAW!H787</f>
        <v/>
      </c>
      <c r="O787" s="13">
        <f>CHAIN_RAW!O787</f>
        <v/>
      </c>
      <c r="P787" s="13">
        <f>IFERROR(O787/N787,"")</f>
        <v/>
      </c>
      <c r="Q787" s="13">
        <f>CHAIN_RAW!I787</f>
        <v/>
      </c>
      <c r="R787" s="13">
        <f>CHAIN_RAW!P787</f>
        <v/>
      </c>
      <c r="S787" s="13">
        <f>IFERROR(R787/Q787,"")</f>
        <v/>
      </c>
      <c r="T787" s="13">
        <f>IFERROR((ABS(N787-O787)/MAX(1,(N787+O787)))*EXP(-ABS(E787-CONTROL!E5)/MAX(1,CONTROL!B8)),"")</f>
        <v/>
      </c>
      <c r="U787" s="13">
        <f>IFERROR(IF(O787&gt;N787,"SUPPORT (PE OI)","RESIST (CE OI)"),"")</f>
        <v/>
      </c>
      <c r="V787" s="13">
        <f>IFERROR(IF(Q787&gt;0,IF(R787&gt;0,"BOTH_ADD","CE_ADD_PE_REDUCE"),IF(R787&gt;0,"CE_REDUCE_PE_ADD","BOTH_REDUCE")),"")</f>
        <v/>
      </c>
      <c r="W787" s="13">
        <f>IFERROR( (P787-1)*0.5 + (M787)*0.1 - (I787+J787)*0.05 + T787*0.4 ,"")</f>
        <v/>
      </c>
      <c r="X787" s="13">
        <f>IFERROR(IF(ABS(F787)&lt;0.01,"ATM/NEAR",""),"")</f>
        <v/>
      </c>
    </row>
    <row r="788">
      <c r="A788" s="13">
        <f>CHAIN_RAW!A788</f>
        <v/>
      </c>
      <c r="B788" s="14">
        <f>CHAIN_RAW!B788</f>
        <v/>
      </c>
      <c r="C788" s="13">
        <f>CHAIN_RAW!C788</f>
        <v/>
      </c>
      <c r="D788" s="13">
        <f>CHAIN_RAW!D788</f>
        <v/>
      </c>
      <c r="E788" s="13">
        <f>CHAIN_RAW!E788</f>
        <v/>
      </c>
      <c r="F788" s="13">
        <f>IFERROR((E788-D788)/D788,"")</f>
        <v/>
      </c>
      <c r="G788" s="13">
        <f>IFERROR((CHAIN_RAW!K788+CHAIN_RAW!L788)/2,"")</f>
        <v/>
      </c>
      <c r="H788" s="13">
        <f>IFERROR((CHAIN_RAW!R788+CHAIN_RAW!S788)/2,"")</f>
        <v/>
      </c>
      <c r="I788" s="13">
        <f>IFERROR((CHAIN_RAW!L788-CHAIN_RAW!K788)/MAX(1E-9, G788),"")</f>
        <v/>
      </c>
      <c r="J788" s="13">
        <f>IFERROR((CHAIN_RAW!S788-CHAIN_RAW!R788)/MAX(1E-9, H788),"")</f>
        <v/>
      </c>
      <c r="K788" s="13">
        <f>CHAIN_RAW!G788</f>
        <v/>
      </c>
      <c r="L788" s="13">
        <f>CHAIN_RAW!N788</f>
        <v/>
      </c>
      <c r="M788" s="13">
        <f>IFERROR(L788-K788,"")</f>
        <v/>
      </c>
      <c r="N788" s="13">
        <f>CHAIN_RAW!H788</f>
        <v/>
      </c>
      <c r="O788" s="13">
        <f>CHAIN_RAW!O788</f>
        <v/>
      </c>
      <c r="P788" s="13">
        <f>IFERROR(O788/N788,"")</f>
        <v/>
      </c>
      <c r="Q788" s="13">
        <f>CHAIN_RAW!I788</f>
        <v/>
      </c>
      <c r="R788" s="13">
        <f>CHAIN_RAW!P788</f>
        <v/>
      </c>
      <c r="S788" s="13">
        <f>IFERROR(R788/Q788,"")</f>
        <v/>
      </c>
      <c r="T788" s="13">
        <f>IFERROR((ABS(N788-O788)/MAX(1,(N788+O788)))*EXP(-ABS(E788-CONTROL!E5)/MAX(1,CONTROL!B8)),"")</f>
        <v/>
      </c>
      <c r="U788" s="13">
        <f>IFERROR(IF(O788&gt;N788,"SUPPORT (PE OI)","RESIST (CE OI)"),"")</f>
        <v/>
      </c>
      <c r="V788" s="13">
        <f>IFERROR(IF(Q788&gt;0,IF(R788&gt;0,"BOTH_ADD","CE_ADD_PE_REDUCE"),IF(R788&gt;0,"CE_REDUCE_PE_ADD","BOTH_REDUCE")),"")</f>
        <v/>
      </c>
      <c r="W788" s="13">
        <f>IFERROR( (P788-1)*0.5 + (M788)*0.1 - (I788+J788)*0.05 + T788*0.4 ,"")</f>
        <v/>
      </c>
      <c r="X788" s="13">
        <f>IFERROR(IF(ABS(F788)&lt;0.01,"ATM/NEAR",""),"")</f>
        <v/>
      </c>
    </row>
    <row r="789">
      <c r="A789" s="13">
        <f>CHAIN_RAW!A789</f>
        <v/>
      </c>
      <c r="B789" s="14">
        <f>CHAIN_RAW!B789</f>
        <v/>
      </c>
      <c r="C789" s="13">
        <f>CHAIN_RAW!C789</f>
        <v/>
      </c>
      <c r="D789" s="13">
        <f>CHAIN_RAW!D789</f>
        <v/>
      </c>
      <c r="E789" s="13">
        <f>CHAIN_RAW!E789</f>
        <v/>
      </c>
      <c r="F789" s="13">
        <f>IFERROR((E789-D789)/D789,"")</f>
        <v/>
      </c>
      <c r="G789" s="13">
        <f>IFERROR((CHAIN_RAW!K789+CHAIN_RAW!L789)/2,"")</f>
        <v/>
      </c>
      <c r="H789" s="13">
        <f>IFERROR((CHAIN_RAW!R789+CHAIN_RAW!S789)/2,"")</f>
        <v/>
      </c>
      <c r="I789" s="13">
        <f>IFERROR((CHAIN_RAW!L789-CHAIN_RAW!K789)/MAX(1E-9, G789),"")</f>
        <v/>
      </c>
      <c r="J789" s="13">
        <f>IFERROR((CHAIN_RAW!S789-CHAIN_RAW!R789)/MAX(1E-9, H789),"")</f>
        <v/>
      </c>
      <c r="K789" s="13">
        <f>CHAIN_RAW!G789</f>
        <v/>
      </c>
      <c r="L789" s="13">
        <f>CHAIN_RAW!N789</f>
        <v/>
      </c>
      <c r="M789" s="13">
        <f>IFERROR(L789-K789,"")</f>
        <v/>
      </c>
      <c r="N789" s="13">
        <f>CHAIN_RAW!H789</f>
        <v/>
      </c>
      <c r="O789" s="13">
        <f>CHAIN_RAW!O789</f>
        <v/>
      </c>
      <c r="P789" s="13">
        <f>IFERROR(O789/N789,"")</f>
        <v/>
      </c>
      <c r="Q789" s="13">
        <f>CHAIN_RAW!I789</f>
        <v/>
      </c>
      <c r="R789" s="13">
        <f>CHAIN_RAW!P789</f>
        <v/>
      </c>
      <c r="S789" s="13">
        <f>IFERROR(R789/Q789,"")</f>
        <v/>
      </c>
      <c r="T789" s="13">
        <f>IFERROR((ABS(N789-O789)/MAX(1,(N789+O789)))*EXP(-ABS(E789-CONTROL!E5)/MAX(1,CONTROL!B8)),"")</f>
        <v/>
      </c>
      <c r="U789" s="13">
        <f>IFERROR(IF(O789&gt;N789,"SUPPORT (PE OI)","RESIST (CE OI)"),"")</f>
        <v/>
      </c>
      <c r="V789" s="13">
        <f>IFERROR(IF(Q789&gt;0,IF(R789&gt;0,"BOTH_ADD","CE_ADD_PE_REDUCE"),IF(R789&gt;0,"CE_REDUCE_PE_ADD","BOTH_REDUCE")),"")</f>
        <v/>
      </c>
      <c r="W789" s="13">
        <f>IFERROR( (P789-1)*0.5 + (M789)*0.1 - (I789+J789)*0.05 + T789*0.4 ,"")</f>
        <v/>
      </c>
      <c r="X789" s="13">
        <f>IFERROR(IF(ABS(F789)&lt;0.01,"ATM/NEAR",""),"")</f>
        <v/>
      </c>
    </row>
    <row r="790">
      <c r="A790" s="13">
        <f>CHAIN_RAW!A790</f>
        <v/>
      </c>
      <c r="B790" s="14">
        <f>CHAIN_RAW!B790</f>
        <v/>
      </c>
      <c r="C790" s="13">
        <f>CHAIN_RAW!C790</f>
        <v/>
      </c>
      <c r="D790" s="13">
        <f>CHAIN_RAW!D790</f>
        <v/>
      </c>
      <c r="E790" s="13">
        <f>CHAIN_RAW!E790</f>
        <v/>
      </c>
      <c r="F790" s="13">
        <f>IFERROR((E790-D790)/D790,"")</f>
        <v/>
      </c>
      <c r="G790" s="13">
        <f>IFERROR((CHAIN_RAW!K790+CHAIN_RAW!L790)/2,"")</f>
        <v/>
      </c>
      <c r="H790" s="13">
        <f>IFERROR((CHAIN_RAW!R790+CHAIN_RAW!S790)/2,"")</f>
        <v/>
      </c>
      <c r="I790" s="13">
        <f>IFERROR((CHAIN_RAW!L790-CHAIN_RAW!K790)/MAX(1E-9, G790),"")</f>
        <v/>
      </c>
      <c r="J790" s="13">
        <f>IFERROR((CHAIN_RAW!S790-CHAIN_RAW!R790)/MAX(1E-9, H790),"")</f>
        <v/>
      </c>
      <c r="K790" s="13">
        <f>CHAIN_RAW!G790</f>
        <v/>
      </c>
      <c r="L790" s="13">
        <f>CHAIN_RAW!N790</f>
        <v/>
      </c>
      <c r="M790" s="13">
        <f>IFERROR(L790-K790,"")</f>
        <v/>
      </c>
      <c r="N790" s="13">
        <f>CHAIN_RAW!H790</f>
        <v/>
      </c>
      <c r="O790" s="13">
        <f>CHAIN_RAW!O790</f>
        <v/>
      </c>
      <c r="P790" s="13">
        <f>IFERROR(O790/N790,"")</f>
        <v/>
      </c>
      <c r="Q790" s="13">
        <f>CHAIN_RAW!I790</f>
        <v/>
      </c>
      <c r="R790" s="13">
        <f>CHAIN_RAW!P790</f>
        <v/>
      </c>
      <c r="S790" s="13">
        <f>IFERROR(R790/Q790,"")</f>
        <v/>
      </c>
      <c r="T790" s="13">
        <f>IFERROR((ABS(N790-O790)/MAX(1,(N790+O790)))*EXP(-ABS(E790-CONTROL!E5)/MAX(1,CONTROL!B8)),"")</f>
        <v/>
      </c>
      <c r="U790" s="13">
        <f>IFERROR(IF(O790&gt;N790,"SUPPORT (PE OI)","RESIST (CE OI)"),"")</f>
        <v/>
      </c>
      <c r="V790" s="13">
        <f>IFERROR(IF(Q790&gt;0,IF(R790&gt;0,"BOTH_ADD","CE_ADD_PE_REDUCE"),IF(R790&gt;0,"CE_REDUCE_PE_ADD","BOTH_REDUCE")),"")</f>
        <v/>
      </c>
      <c r="W790" s="13">
        <f>IFERROR( (P790-1)*0.5 + (M790)*0.1 - (I790+J790)*0.05 + T790*0.4 ,"")</f>
        <v/>
      </c>
      <c r="X790" s="13">
        <f>IFERROR(IF(ABS(F790)&lt;0.01,"ATM/NEAR",""),"")</f>
        <v/>
      </c>
    </row>
    <row r="791">
      <c r="A791" s="13">
        <f>CHAIN_RAW!A791</f>
        <v/>
      </c>
      <c r="B791" s="14">
        <f>CHAIN_RAW!B791</f>
        <v/>
      </c>
      <c r="C791" s="13">
        <f>CHAIN_RAW!C791</f>
        <v/>
      </c>
      <c r="D791" s="13">
        <f>CHAIN_RAW!D791</f>
        <v/>
      </c>
      <c r="E791" s="13">
        <f>CHAIN_RAW!E791</f>
        <v/>
      </c>
      <c r="F791" s="13">
        <f>IFERROR((E791-D791)/D791,"")</f>
        <v/>
      </c>
      <c r="G791" s="13">
        <f>IFERROR((CHAIN_RAW!K791+CHAIN_RAW!L791)/2,"")</f>
        <v/>
      </c>
      <c r="H791" s="13">
        <f>IFERROR((CHAIN_RAW!R791+CHAIN_RAW!S791)/2,"")</f>
        <v/>
      </c>
      <c r="I791" s="13">
        <f>IFERROR((CHAIN_RAW!L791-CHAIN_RAW!K791)/MAX(1E-9, G791),"")</f>
        <v/>
      </c>
      <c r="J791" s="13">
        <f>IFERROR((CHAIN_RAW!S791-CHAIN_RAW!R791)/MAX(1E-9, H791),"")</f>
        <v/>
      </c>
      <c r="K791" s="13">
        <f>CHAIN_RAW!G791</f>
        <v/>
      </c>
      <c r="L791" s="13">
        <f>CHAIN_RAW!N791</f>
        <v/>
      </c>
      <c r="M791" s="13">
        <f>IFERROR(L791-K791,"")</f>
        <v/>
      </c>
      <c r="N791" s="13">
        <f>CHAIN_RAW!H791</f>
        <v/>
      </c>
      <c r="O791" s="13">
        <f>CHAIN_RAW!O791</f>
        <v/>
      </c>
      <c r="P791" s="13">
        <f>IFERROR(O791/N791,"")</f>
        <v/>
      </c>
      <c r="Q791" s="13">
        <f>CHAIN_RAW!I791</f>
        <v/>
      </c>
      <c r="R791" s="13">
        <f>CHAIN_RAW!P791</f>
        <v/>
      </c>
      <c r="S791" s="13">
        <f>IFERROR(R791/Q791,"")</f>
        <v/>
      </c>
      <c r="T791" s="13">
        <f>IFERROR((ABS(N791-O791)/MAX(1,(N791+O791)))*EXP(-ABS(E791-CONTROL!E5)/MAX(1,CONTROL!B8)),"")</f>
        <v/>
      </c>
      <c r="U791" s="13">
        <f>IFERROR(IF(O791&gt;N791,"SUPPORT (PE OI)","RESIST (CE OI)"),"")</f>
        <v/>
      </c>
      <c r="V791" s="13">
        <f>IFERROR(IF(Q791&gt;0,IF(R791&gt;0,"BOTH_ADD","CE_ADD_PE_REDUCE"),IF(R791&gt;0,"CE_REDUCE_PE_ADD","BOTH_REDUCE")),"")</f>
        <v/>
      </c>
      <c r="W791" s="13">
        <f>IFERROR( (P791-1)*0.5 + (M791)*0.1 - (I791+J791)*0.05 + T791*0.4 ,"")</f>
        <v/>
      </c>
      <c r="X791" s="13">
        <f>IFERROR(IF(ABS(F791)&lt;0.01,"ATM/NEAR",""),"")</f>
        <v/>
      </c>
    </row>
    <row r="792">
      <c r="A792" s="13">
        <f>CHAIN_RAW!A792</f>
        <v/>
      </c>
      <c r="B792" s="14">
        <f>CHAIN_RAW!B792</f>
        <v/>
      </c>
      <c r="C792" s="13">
        <f>CHAIN_RAW!C792</f>
        <v/>
      </c>
      <c r="D792" s="13">
        <f>CHAIN_RAW!D792</f>
        <v/>
      </c>
      <c r="E792" s="13">
        <f>CHAIN_RAW!E792</f>
        <v/>
      </c>
      <c r="F792" s="13">
        <f>IFERROR((E792-D792)/D792,"")</f>
        <v/>
      </c>
      <c r="G792" s="13">
        <f>IFERROR((CHAIN_RAW!K792+CHAIN_RAW!L792)/2,"")</f>
        <v/>
      </c>
      <c r="H792" s="13">
        <f>IFERROR((CHAIN_RAW!R792+CHAIN_RAW!S792)/2,"")</f>
        <v/>
      </c>
      <c r="I792" s="13">
        <f>IFERROR((CHAIN_RAW!L792-CHAIN_RAW!K792)/MAX(1E-9, G792),"")</f>
        <v/>
      </c>
      <c r="J792" s="13">
        <f>IFERROR((CHAIN_RAW!S792-CHAIN_RAW!R792)/MAX(1E-9, H792),"")</f>
        <v/>
      </c>
      <c r="K792" s="13">
        <f>CHAIN_RAW!G792</f>
        <v/>
      </c>
      <c r="L792" s="13">
        <f>CHAIN_RAW!N792</f>
        <v/>
      </c>
      <c r="M792" s="13">
        <f>IFERROR(L792-K792,"")</f>
        <v/>
      </c>
      <c r="N792" s="13">
        <f>CHAIN_RAW!H792</f>
        <v/>
      </c>
      <c r="O792" s="13">
        <f>CHAIN_RAW!O792</f>
        <v/>
      </c>
      <c r="P792" s="13">
        <f>IFERROR(O792/N792,"")</f>
        <v/>
      </c>
      <c r="Q792" s="13">
        <f>CHAIN_RAW!I792</f>
        <v/>
      </c>
      <c r="R792" s="13">
        <f>CHAIN_RAW!P792</f>
        <v/>
      </c>
      <c r="S792" s="13">
        <f>IFERROR(R792/Q792,"")</f>
        <v/>
      </c>
      <c r="T792" s="13">
        <f>IFERROR((ABS(N792-O792)/MAX(1,(N792+O792)))*EXP(-ABS(E792-CONTROL!E5)/MAX(1,CONTROL!B8)),"")</f>
        <v/>
      </c>
      <c r="U792" s="13">
        <f>IFERROR(IF(O792&gt;N792,"SUPPORT (PE OI)","RESIST (CE OI)"),"")</f>
        <v/>
      </c>
      <c r="V792" s="13">
        <f>IFERROR(IF(Q792&gt;0,IF(R792&gt;0,"BOTH_ADD","CE_ADD_PE_REDUCE"),IF(R792&gt;0,"CE_REDUCE_PE_ADD","BOTH_REDUCE")),"")</f>
        <v/>
      </c>
      <c r="W792" s="13">
        <f>IFERROR( (P792-1)*0.5 + (M792)*0.1 - (I792+J792)*0.05 + T792*0.4 ,"")</f>
        <v/>
      </c>
      <c r="X792" s="13">
        <f>IFERROR(IF(ABS(F792)&lt;0.01,"ATM/NEAR",""),"")</f>
        <v/>
      </c>
    </row>
    <row r="793">
      <c r="A793" s="13">
        <f>CHAIN_RAW!A793</f>
        <v/>
      </c>
      <c r="B793" s="14">
        <f>CHAIN_RAW!B793</f>
        <v/>
      </c>
      <c r="C793" s="13">
        <f>CHAIN_RAW!C793</f>
        <v/>
      </c>
      <c r="D793" s="13">
        <f>CHAIN_RAW!D793</f>
        <v/>
      </c>
      <c r="E793" s="13">
        <f>CHAIN_RAW!E793</f>
        <v/>
      </c>
      <c r="F793" s="13">
        <f>IFERROR((E793-D793)/D793,"")</f>
        <v/>
      </c>
      <c r="G793" s="13">
        <f>IFERROR((CHAIN_RAW!K793+CHAIN_RAW!L793)/2,"")</f>
        <v/>
      </c>
      <c r="H793" s="13">
        <f>IFERROR((CHAIN_RAW!R793+CHAIN_RAW!S793)/2,"")</f>
        <v/>
      </c>
      <c r="I793" s="13">
        <f>IFERROR((CHAIN_RAW!L793-CHAIN_RAW!K793)/MAX(1E-9, G793),"")</f>
        <v/>
      </c>
      <c r="J793" s="13">
        <f>IFERROR((CHAIN_RAW!S793-CHAIN_RAW!R793)/MAX(1E-9, H793),"")</f>
        <v/>
      </c>
      <c r="K793" s="13">
        <f>CHAIN_RAW!G793</f>
        <v/>
      </c>
      <c r="L793" s="13">
        <f>CHAIN_RAW!N793</f>
        <v/>
      </c>
      <c r="M793" s="13">
        <f>IFERROR(L793-K793,"")</f>
        <v/>
      </c>
      <c r="N793" s="13">
        <f>CHAIN_RAW!H793</f>
        <v/>
      </c>
      <c r="O793" s="13">
        <f>CHAIN_RAW!O793</f>
        <v/>
      </c>
      <c r="P793" s="13">
        <f>IFERROR(O793/N793,"")</f>
        <v/>
      </c>
      <c r="Q793" s="13">
        <f>CHAIN_RAW!I793</f>
        <v/>
      </c>
      <c r="R793" s="13">
        <f>CHAIN_RAW!P793</f>
        <v/>
      </c>
      <c r="S793" s="13">
        <f>IFERROR(R793/Q793,"")</f>
        <v/>
      </c>
      <c r="T793" s="13">
        <f>IFERROR((ABS(N793-O793)/MAX(1,(N793+O793)))*EXP(-ABS(E793-CONTROL!E5)/MAX(1,CONTROL!B8)),"")</f>
        <v/>
      </c>
      <c r="U793" s="13">
        <f>IFERROR(IF(O793&gt;N793,"SUPPORT (PE OI)","RESIST (CE OI)"),"")</f>
        <v/>
      </c>
      <c r="V793" s="13">
        <f>IFERROR(IF(Q793&gt;0,IF(R793&gt;0,"BOTH_ADD","CE_ADD_PE_REDUCE"),IF(R793&gt;0,"CE_REDUCE_PE_ADD","BOTH_REDUCE")),"")</f>
        <v/>
      </c>
      <c r="W793" s="13">
        <f>IFERROR( (P793-1)*0.5 + (M793)*0.1 - (I793+J793)*0.05 + T793*0.4 ,"")</f>
        <v/>
      </c>
      <c r="X793" s="13">
        <f>IFERROR(IF(ABS(F793)&lt;0.01,"ATM/NEAR",""),"")</f>
        <v/>
      </c>
    </row>
    <row r="794">
      <c r="A794" s="13">
        <f>CHAIN_RAW!A794</f>
        <v/>
      </c>
      <c r="B794" s="14">
        <f>CHAIN_RAW!B794</f>
        <v/>
      </c>
      <c r="C794" s="13">
        <f>CHAIN_RAW!C794</f>
        <v/>
      </c>
      <c r="D794" s="13">
        <f>CHAIN_RAW!D794</f>
        <v/>
      </c>
      <c r="E794" s="13">
        <f>CHAIN_RAW!E794</f>
        <v/>
      </c>
      <c r="F794" s="13">
        <f>IFERROR((E794-D794)/D794,"")</f>
        <v/>
      </c>
      <c r="G794" s="13">
        <f>IFERROR((CHAIN_RAW!K794+CHAIN_RAW!L794)/2,"")</f>
        <v/>
      </c>
      <c r="H794" s="13">
        <f>IFERROR((CHAIN_RAW!R794+CHAIN_RAW!S794)/2,"")</f>
        <v/>
      </c>
      <c r="I794" s="13">
        <f>IFERROR((CHAIN_RAW!L794-CHAIN_RAW!K794)/MAX(1E-9, G794),"")</f>
        <v/>
      </c>
      <c r="J794" s="13">
        <f>IFERROR((CHAIN_RAW!S794-CHAIN_RAW!R794)/MAX(1E-9, H794),"")</f>
        <v/>
      </c>
      <c r="K794" s="13">
        <f>CHAIN_RAW!G794</f>
        <v/>
      </c>
      <c r="L794" s="13">
        <f>CHAIN_RAW!N794</f>
        <v/>
      </c>
      <c r="M794" s="13">
        <f>IFERROR(L794-K794,"")</f>
        <v/>
      </c>
      <c r="N794" s="13">
        <f>CHAIN_RAW!H794</f>
        <v/>
      </c>
      <c r="O794" s="13">
        <f>CHAIN_RAW!O794</f>
        <v/>
      </c>
      <c r="P794" s="13">
        <f>IFERROR(O794/N794,"")</f>
        <v/>
      </c>
      <c r="Q794" s="13">
        <f>CHAIN_RAW!I794</f>
        <v/>
      </c>
      <c r="R794" s="13">
        <f>CHAIN_RAW!P794</f>
        <v/>
      </c>
      <c r="S794" s="13">
        <f>IFERROR(R794/Q794,"")</f>
        <v/>
      </c>
      <c r="T794" s="13">
        <f>IFERROR((ABS(N794-O794)/MAX(1,(N794+O794)))*EXP(-ABS(E794-CONTROL!E5)/MAX(1,CONTROL!B8)),"")</f>
        <v/>
      </c>
      <c r="U794" s="13">
        <f>IFERROR(IF(O794&gt;N794,"SUPPORT (PE OI)","RESIST (CE OI)"),"")</f>
        <v/>
      </c>
      <c r="V794" s="13">
        <f>IFERROR(IF(Q794&gt;0,IF(R794&gt;0,"BOTH_ADD","CE_ADD_PE_REDUCE"),IF(R794&gt;0,"CE_REDUCE_PE_ADD","BOTH_REDUCE")),"")</f>
        <v/>
      </c>
      <c r="W794" s="13">
        <f>IFERROR( (P794-1)*0.5 + (M794)*0.1 - (I794+J794)*0.05 + T794*0.4 ,"")</f>
        <v/>
      </c>
      <c r="X794" s="13">
        <f>IFERROR(IF(ABS(F794)&lt;0.01,"ATM/NEAR",""),"")</f>
        <v/>
      </c>
    </row>
    <row r="795">
      <c r="A795" s="13">
        <f>CHAIN_RAW!A795</f>
        <v/>
      </c>
      <c r="B795" s="14">
        <f>CHAIN_RAW!B795</f>
        <v/>
      </c>
      <c r="C795" s="13">
        <f>CHAIN_RAW!C795</f>
        <v/>
      </c>
      <c r="D795" s="13">
        <f>CHAIN_RAW!D795</f>
        <v/>
      </c>
      <c r="E795" s="13">
        <f>CHAIN_RAW!E795</f>
        <v/>
      </c>
      <c r="F795" s="13">
        <f>IFERROR((E795-D795)/D795,"")</f>
        <v/>
      </c>
      <c r="G795" s="13">
        <f>IFERROR((CHAIN_RAW!K795+CHAIN_RAW!L795)/2,"")</f>
        <v/>
      </c>
      <c r="H795" s="13">
        <f>IFERROR((CHAIN_RAW!R795+CHAIN_RAW!S795)/2,"")</f>
        <v/>
      </c>
      <c r="I795" s="13">
        <f>IFERROR((CHAIN_RAW!L795-CHAIN_RAW!K795)/MAX(1E-9, G795),"")</f>
        <v/>
      </c>
      <c r="J795" s="13">
        <f>IFERROR((CHAIN_RAW!S795-CHAIN_RAW!R795)/MAX(1E-9, H795),"")</f>
        <v/>
      </c>
      <c r="K795" s="13">
        <f>CHAIN_RAW!G795</f>
        <v/>
      </c>
      <c r="L795" s="13">
        <f>CHAIN_RAW!N795</f>
        <v/>
      </c>
      <c r="M795" s="13">
        <f>IFERROR(L795-K795,"")</f>
        <v/>
      </c>
      <c r="N795" s="13">
        <f>CHAIN_RAW!H795</f>
        <v/>
      </c>
      <c r="O795" s="13">
        <f>CHAIN_RAW!O795</f>
        <v/>
      </c>
      <c r="P795" s="13">
        <f>IFERROR(O795/N795,"")</f>
        <v/>
      </c>
      <c r="Q795" s="13">
        <f>CHAIN_RAW!I795</f>
        <v/>
      </c>
      <c r="R795" s="13">
        <f>CHAIN_RAW!P795</f>
        <v/>
      </c>
      <c r="S795" s="13">
        <f>IFERROR(R795/Q795,"")</f>
        <v/>
      </c>
      <c r="T795" s="13">
        <f>IFERROR((ABS(N795-O795)/MAX(1,(N795+O795)))*EXP(-ABS(E795-CONTROL!E5)/MAX(1,CONTROL!B8)),"")</f>
        <v/>
      </c>
      <c r="U795" s="13">
        <f>IFERROR(IF(O795&gt;N795,"SUPPORT (PE OI)","RESIST (CE OI)"),"")</f>
        <v/>
      </c>
      <c r="V795" s="13">
        <f>IFERROR(IF(Q795&gt;0,IF(R795&gt;0,"BOTH_ADD","CE_ADD_PE_REDUCE"),IF(R795&gt;0,"CE_REDUCE_PE_ADD","BOTH_REDUCE")),"")</f>
        <v/>
      </c>
      <c r="W795" s="13">
        <f>IFERROR( (P795-1)*0.5 + (M795)*0.1 - (I795+J795)*0.05 + T795*0.4 ,"")</f>
        <v/>
      </c>
      <c r="X795" s="13">
        <f>IFERROR(IF(ABS(F795)&lt;0.01,"ATM/NEAR",""),"")</f>
        <v/>
      </c>
    </row>
    <row r="796">
      <c r="A796" s="13">
        <f>CHAIN_RAW!A796</f>
        <v/>
      </c>
      <c r="B796" s="14">
        <f>CHAIN_RAW!B796</f>
        <v/>
      </c>
      <c r="C796" s="13">
        <f>CHAIN_RAW!C796</f>
        <v/>
      </c>
      <c r="D796" s="13">
        <f>CHAIN_RAW!D796</f>
        <v/>
      </c>
      <c r="E796" s="13">
        <f>CHAIN_RAW!E796</f>
        <v/>
      </c>
      <c r="F796" s="13">
        <f>IFERROR((E796-D796)/D796,"")</f>
        <v/>
      </c>
      <c r="G796" s="13">
        <f>IFERROR((CHAIN_RAW!K796+CHAIN_RAW!L796)/2,"")</f>
        <v/>
      </c>
      <c r="H796" s="13">
        <f>IFERROR((CHAIN_RAW!R796+CHAIN_RAW!S796)/2,"")</f>
        <v/>
      </c>
      <c r="I796" s="13">
        <f>IFERROR((CHAIN_RAW!L796-CHAIN_RAW!K796)/MAX(1E-9, G796),"")</f>
        <v/>
      </c>
      <c r="J796" s="13">
        <f>IFERROR((CHAIN_RAW!S796-CHAIN_RAW!R796)/MAX(1E-9, H796),"")</f>
        <v/>
      </c>
      <c r="K796" s="13">
        <f>CHAIN_RAW!G796</f>
        <v/>
      </c>
      <c r="L796" s="13">
        <f>CHAIN_RAW!N796</f>
        <v/>
      </c>
      <c r="M796" s="13">
        <f>IFERROR(L796-K796,"")</f>
        <v/>
      </c>
      <c r="N796" s="13">
        <f>CHAIN_RAW!H796</f>
        <v/>
      </c>
      <c r="O796" s="13">
        <f>CHAIN_RAW!O796</f>
        <v/>
      </c>
      <c r="P796" s="13">
        <f>IFERROR(O796/N796,"")</f>
        <v/>
      </c>
      <c r="Q796" s="13">
        <f>CHAIN_RAW!I796</f>
        <v/>
      </c>
      <c r="R796" s="13">
        <f>CHAIN_RAW!P796</f>
        <v/>
      </c>
      <c r="S796" s="13">
        <f>IFERROR(R796/Q796,"")</f>
        <v/>
      </c>
      <c r="T796" s="13">
        <f>IFERROR((ABS(N796-O796)/MAX(1,(N796+O796)))*EXP(-ABS(E796-CONTROL!E5)/MAX(1,CONTROL!B8)),"")</f>
        <v/>
      </c>
      <c r="U796" s="13">
        <f>IFERROR(IF(O796&gt;N796,"SUPPORT (PE OI)","RESIST (CE OI)"),"")</f>
        <v/>
      </c>
      <c r="V796" s="13">
        <f>IFERROR(IF(Q796&gt;0,IF(R796&gt;0,"BOTH_ADD","CE_ADD_PE_REDUCE"),IF(R796&gt;0,"CE_REDUCE_PE_ADD","BOTH_REDUCE")),"")</f>
        <v/>
      </c>
      <c r="W796" s="13">
        <f>IFERROR( (P796-1)*0.5 + (M796)*0.1 - (I796+J796)*0.05 + T796*0.4 ,"")</f>
        <v/>
      </c>
      <c r="X796" s="13">
        <f>IFERROR(IF(ABS(F796)&lt;0.01,"ATM/NEAR",""),"")</f>
        <v/>
      </c>
    </row>
    <row r="797">
      <c r="A797" s="13">
        <f>CHAIN_RAW!A797</f>
        <v/>
      </c>
      <c r="B797" s="14">
        <f>CHAIN_RAW!B797</f>
        <v/>
      </c>
      <c r="C797" s="13">
        <f>CHAIN_RAW!C797</f>
        <v/>
      </c>
      <c r="D797" s="13">
        <f>CHAIN_RAW!D797</f>
        <v/>
      </c>
      <c r="E797" s="13">
        <f>CHAIN_RAW!E797</f>
        <v/>
      </c>
      <c r="F797" s="13">
        <f>IFERROR((E797-D797)/D797,"")</f>
        <v/>
      </c>
      <c r="G797" s="13">
        <f>IFERROR((CHAIN_RAW!K797+CHAIN_RAW!L797)/2,"")</f>
        <v/>
      </c>
      <c r="H797" s="13">
        <f>IFERROR((CHAIN_RAW!R797+CHAIN_RAW!S797)/2,"")</f>
        <v/>
      </c>
      <c r="I797" s="13">
        <f>IFERROR((CHAIN_RAW!L797-CHAIN_RAW!K797)/MAX(1E-9, G797),"")</f>
        <v/>
      </c>
      <c r="J797" s="13">
        <f>IFERROR((CHAIN_RAW!S797-CHAIN_RAW!R797)/MAX(1E-9, H797),"")</f>
        <v/>
      </c>
      <c r="K797" s="13">
        <f>CHAIN_RAW!G797</f>
        <v/>
      </c>
      <c r="L797" s="13">
        <f>CHAIN_RAW!N797</f>
        <v/>
      </c>
      <c r="M797" s="13">
        <f>IFERROR(L797-K797,"")</f>
        <v/>
      </c>
      <c r="N797" s="13">
        <f>CHAIN_RAW!H797</f>
        <v/>
      </c>
      <c r="O797" s="13">
        <f>CHAIN_RAW!O797</f>
        <v/>
      </c>
      <c r="P797" s="13">
        <f>IFERROR(O797/N797,"")</f>
        <v/>
      </c>
      <c r="Q797" s="13">
        <f>CHAIN_RAW!I797</f>
        <v/>
      </c>
      <c r="R797" s="13">
        <f>CHAIN_RAW!P797</f>
        <v/>
      </c>
      <c r="S797" s="13">
        <f>IFERROR(R797/Q797,"")</f>
        <v/>
      </c>
      <c r="T797" s="13">
        <f>IFERROR((ABS(N797-O797)/MAX(1,(N797+O797)))*EXP(-ABS(E797-CONTROL!E5)/MAX(1,CONTROL!B8)),"")</f>
        <v/>
      </c>
      <c r="U797" s="13">
        <f>IFERROR(IF(O797&gt;N797,"SUPPORT (PE OI)","RESIST (CE OI)"),"")</f>
        <v/>
      </c>
      <c r="V797" s="13">
        <f>IFERROR(IF(Q797&gt;0,IF(R797&gt;0,"BOTH_ADD","CE_ADD_PE_REDUCE"),IF(R797&gt;0,"CE_REDUCE_PE_ADD","BOTH_REDUCE")),"")</f>
        <v/>
      </c>
      <c r="W797" s="13">
        <f>IFERROR( (P797-1)*0.5 + (M797)*0.1 - (I797+J797)*0.05 + T797*0.4 ,"")</f>
        <v/>
      </c>
      <c r="X797" s="13">
        <f>IFERROR(IF(ABS(F797)&lt;0.01,"ATM/NEAR",""),"")</f>
        <v/>
      </c>
    </row>
    <row r="798">
      <c r="A798" s="13">
        <f>CHAIN_RAW!A798</f>
        <v/>
      </c>
      <c r="B798" s="14">
        <f>CHAIN_RAW!B798</f>
        <v/>
      </c>
      <c r="C798" s="13">
        <f>CHAIN_RAW!C798</f>
        <v/>
      </c>
      <c r="D798" s="13">
        <f>CHAIN_RAW!D798</f>
        <v/>
      </c>
      <c r="E798" s="13">
        <f>CHAIN_RAW!E798</f>
        <v/>
      </c>
      <c r="F798" s="13">
        <f>IFERROR((E798-D798)/D798,"")</f>
        <v/>
      </c>
      <c r="G798" s="13">
        <f>IFERROR((CHAIN_RAW!K798+CHAIN_RAW!L798)/2,"")</f>
        <v/>
      </c>
      <c r="H798" s="13">
        <f>IFERROR((CHAIN_RAW!R798+CHAIN_RAW!S798)/2,"")</f>
        <v/>
      </c>
      <c r="I798" s="13">
        <f>IFERROR((CHAIN_RAW!L798-CHAIN_RAW!K798)/MAX(1E-9, G798),"")</f>
        <v/>
      </c>
      <c r="J798" s="13">
        <f>IFERROR((CHAIN_RAW!S798-CHAIN_RAW!R798)/MAX(1E-9, H798),"")</f>
        <v/>
      </c>
      <c r="K798" s="13">
        <f>CHAIN_RAW!G798</f>
        <v/>
      </c>
      <c r="L798" s="13">
        <f>CHAIN_RAW!N798</f>
        <v/>
      </c>
      <c r="M798" s="13">
        <f>IFERROR(L798-K798,"")</f>
        <v/>
      </c>
      <c r="N798" s="13">
        <f>CHAIN_RAW!H798</f>
        <v/>
      </c>
      <c r="O798" s="13">
        <f>CHAIN_RAW!O798</f>
        <v/>
      </c>
      <c r="P798" s="13">
        <f>IFERROR(O798/N798,"")</f>
        <v/>
      </c>
      <c r="Q798" s="13">
        <f>CHAIN_RAW!I798</f>
        <v/>
      </c>
      <c r="R798" s="13">
        <f>CHAIN_RAW!P798</f>
        <v/>
      </c>
      <c r="S798" s="13">
        <f>IFERROR(R798/Q798,"")</f>
        <v/>
      </c>
      <c r="T798" s="13">
        <f>IFERROR((ABS(N798-O798)/MAX(1,(N798+O798)))*EXP(-ABS(E798-CONTROL!E5)/MAX(1,CONTROL!B8)),"")</f>
        <v/>
      </c>
      <c r="U798" s="13">
        <f>IFERROR(IF(O798&gt;N798,"SUPPORT (PE OI)","RESIST (CE OI)"),"")</f>
        <v/>
      </c>
      <c r="V798" s="13">
        <f>IFERROR(IF(Q798&gt;0,IF(R798&gt;0,"BOTH_ADD","CE_ADD_PE_REDUCE"),IF(R798&gt;0,"CE_REDUCE_PE_ADD","BOTH_REDUCE")),"")</f>
        <v/>
      </c>
      <c r="W798" s="13">
        <f>IFERROR( (P798-1)*0.5 + (M798)*0.1 - (I798+J798)*0.05 + T798*0.4 ,"")</f>
        <v/>
      </c>
      <c r="X798" s="13">
        <f>IFERROR(IF(ABS(F798)&lt;0.01,"ATM/NEAR",""),"")</f>
        <v/>
      </c>
    </row>
    <row r="799">
      <c r="A799" s="13">
        <f>CHAIN_RAW!A799</f>
        <v/>
      </c>
      <c r="B799" s="14">
        <f>CHAIN_RAW!B799</f>
        <v/>
      </c>
      <c r="C799" s="13">
        <f>CHAIN_RAW!C799</f>
        <v/>
      </c>
      <c r="D799" s="13">
        <f>CHAIN_RAW!D799</f>
        <v/>
      </c>
      <c r="E799" s="13">
        <f>CHAIN_RAW!E799</f>
        <v/>
      </c>
      <c r="F799" s="13">
        <f>IFERROR((E799-D799)/D799,"")</f>
        <v/>
      </c>
      <c r="G799" s="13">
        <f>IFERROR((CHAIN_RAW!K799+CHAIN_RAW!L799)/2,"")</f>
        <v/>
      </c>
      <c r="H799" s="13">
        <f>IFERROR((CHAIN_RAW!R799+CHAIN_RAW!S799)/2,"")</f>
        <v/>
      </c>
      <c r="I799" s="13">
        <f>IFERROR((CHAIN_RAW!L799-CHAIN_RAW!K799)/MAX(1E-9, G799),"")</f>
        <v/>
      </c>
      <c r="J799" s="13">
        <f>IFERROR((CHAIN_RAW!S799-CHAIN_RAW!R799)/MAX(1E-9, H799),"")</f>
        <v/>
      </c>
      <c r="K799" s="13">
        <f>CHAIN_RAW!G799</f>
        <v/>
      </c>
      <c r="L799" s="13">
        <f>CHAIN_RAW!N799</f>
        <v/>
      </c>
      <c r="M799" s="13">
        <f>IFERROR(L799-K799,"")</f>
        <v/>
      </c>
      <c r="N799" s="13">
        <f>CHAIN_RAW!H799</f>
        <v/>
      </c>
      <c r="O799" s="13">
        <f>CHAIN_RAW!O799</f>
        <v/>
      </c>
      <c r="P799" s="13">
        <f>IFERROR(O799/N799,"")</f>
        <v/>
      </c>
      <c r="Q799" s="13">
        <f>CHAIN_RAW!I799</f>
        <v/>
      </c>
      <c r="R799" s="13">
        <f>CHAIN_RAW!P799</f>
        <v/>
      </c>
      <c r="S799" s="13">
        <f>IFERROR(R799/Q799,"")</f>
        <v/>
      </c>
      <c r="T799" s="13">
        <f>IFERROR((ABS(N799-O799)/MAX(1,(N799+O799)))*EXP(-ABS(E799-CONTROL!E5)/MAX(1,CONTROL!B8)),"")</f>
        <v/>
      </c>
      <c r="U799" s="13">
        <f>IFERROR(IF(O799&gt;N799,"SUPPORT (PE OI)","RESIST (CE OI)"),"")</f>
        <v/>
      </c>
      <c r="V799" s="13">
        <f>IFERROR(IF(Q799&gt;0,IF(R799&gt;0,"BOTH_ADD","CE_ADD_PE_REDUCE"),IF(R799&gt;0,"CE_REDUCE_PE_ADD","BOTH_REDUCE")),"")</f>
        <v/>
      </c>
      <c r="W799" s="13">
        <f>IFERROR( (P799-1)*0.5 + (M799)*0.1 - (I799+J799)*0.05 + T799*0.4 ,"")</f>
        <v/>
      </c>
      <c r="X799" s="13">
        <f>IFERROR(IF(ABS(F799)&lt;0.01,"ATM/NEAR",""),"")</f>
        <v/>
      </c>
    </row>
    <row r="800">
      <c r="A800" s="13">
        <f>CHAIN_RAW!A800</f>
        <v/>
      </c>
      <c r="B800" s="14">
        <f>CHAIN_RAW!B800</f>
        <v/>
      </c>
      <c r="C800" s="13">
        <f>CHAIN_RAW!C800</f>
        <v/>
      </c>
      <c r="D800" s="13">
        <f>CHAIN_RAW!D800</f>
        <v/>
      </c>
      <c r="E800" s="13">
        <f>CHAIN_RAW!E800</f>
        <v/>
      </c>
      <c r="F800" s="13">
        <f>IFERROR((E800-D800)/D800,"")</f>
        <v/>
      </c>
      <c r="G800" s="13">
        <f>IFERROR((CHAIN_RAW!K800+CHAIN_RAW!L800)/2,"")</f>
        <v/>
      </c>
      <c r="H800" s="13">
        <f>IFERROR((CHAIN_RAW!R800+CHAIN_RAW!S800)/2,"")</f>
        <v/>
      </c>
      <c r="I800" s="13">
        <f>IFERROR((CHAIN_RAW!L800-CHAIN_RAW!K800)/MAX(1E-9, G800),"")</f>
        <v/>
      </c>
      <c r="J800" s="13">
        <f>IFERROR((CHAIN_RAW!S800-CHAIN_RAW!R800)/MAX(1E-9, H800),"")</f>
        <v/>
      </c>
      <c r="K800" s="13">
        <f>CHAIN_RAW!G800</f>
        <v/>
      </c>
      <c r="L800" s="13">
        <f>CHAIN_RAW!N800</f>
        <v/>
      </c>
      <c r="M800" s="13">
        <f>IFERROR(L800-K800,"")</f>
        <v/>
      </c>
      <c r="N800" s="13">
        <f>CHAIN_RAW!H800</f>
        <v/>
      </c>
      <c r="O800" s="13">
        <f>CHAIN_RAW!O800</f>
        <v/>
      </c>
      <c r="P800" s="13">
        <f>IFERROR(O800/N800,"")</f>
        <v/>
      </c>
      <c r="Q800" s="13">
        <f>CHAIN_RAW!I800</f>
        <v/>
      </c>
      <c r="R800" s="13">
        <f>CHAIN_RAW!P800</f>
        <v/>
      </c>
      <c r="S800" s="13">
        <f>IFERROR(R800/Q800,"")</f>
        <v/>
      </c>
      <c r="T800" s="13">
        <f>IFERROR((ABS(N800-O800)/MAX(1,(N800+O800)))*EXP(-ABS(E800-CONTROL!E5)/MAX(1,CONTROL!B8)),"")</f>
        <v/>
      </c>
      <c r="U800" s="13">
        <f>IFERROR(IF(O800&gt;N800,"SUPPORT (PE OI)","RESIST (CE OI)"),"")</f>
        <v/>
      </c>
      <c r="V800" s="13">
        <f>IFERROR(IF(Q800&gt;0,IF(R800&gt;0,"BOTH_ADD","CE_ADD_PE_REDUCE"),IF(R800&gt;0,"CE_REDUCE_PE_ADD","BOTH_REDUCE")),"")</f>
        <v/>
      </c>
      <c r="W800" s="13">
        <f>IFERROR( (P800-1)*0.5 + (M800)*0.1 - (I800+J800)*0.05 + T800*0.4 ,"")</f>
        <v/>
      </c>
      <c r="X800" s="13">
        <f>IFERROR(IF(ABS(F800)&lt;0.01,"ATM/NEAR",""),"")</f>
        <v/>
      </c>
    </row>
    <row r="801">
      <c r="A801" s="13">
        <f>CHAIN_RAW!A801</f>
        <v/>
      </c>
      <c r="B801" s="14">
        <f>CHAIN_RAW!B801</f>
        <v/>
      </c>
      <c r="C801" s="13">
        <f>CHAIN_RAW!C801</f>
        <v/>
      </c>
      <c r="D801" s="13">
        <f>CHAIN_RAW!D801</f>
        <v/>
      </c>
      <c r="E801" s="13">
        <f>CHAIN_RAW!E801</f>
        <v/>
      </c>
      <c r="F801" s="13">
        <f>IFERROR((E801-D801)/D801,"")</f>
        <v/>
      </c>
      <c r="G801" s="13">
        <f>IFERROR((CHAIN_RAW!K801+CHAIN_RAW!L801)/2,"")</f>
        <v/>
      </c>
      <c r="H801" s="13">
        <f>IFERROR((CHAIN_RAW!R801+CHAIN_RAW!S801)/2,"")</f>
        <v/>
      </c>
      <c r="I801" s="13">
        <f>IFERROR((CHAIN_RAW!L801-CHAIN_RAW!K801)/MAX(1E-9, G801),"")</f>
        <v/>
      </c>
      <c r="J801" s="13">
        <f>IFERROR((CHAIN_RAW!S801-CHAIN_RAW!R801)/MAX(1E-9, H801),"")</f>
        <v/>
      </c>
      <c r="K801" s="13">
        <f>CHAIN_RAW!G801</f>
        <v/>
      </c>
      <c r="L801" s="13">
        <f>CHAIN_RAW!N801</f>
        <v/>
      </c>
      <c r="M801" s="13">
        <f>IFERROR(L801-K801,"")</f>
        <v/>
      </c>
      <c r="N801" s="13">
        <f>CHAIN_RAW!H801</f>
        <v/>
      </c>
      <c r="O801" s="13">
        <f>CHAIN_RAW!O801</f>
        <v/>
      </c>
      <c r="P801" s="13">
        <f>IFERROR(O801/N801,"")</f>
        <v/>
      </c>
      <c r="Q801" s="13">
        <f>CHAIN_RAW!I801</f>
        <v/>
      </c>
      <c r="R801" s="13">
        <f>CHAIN_RAW!P801</f>
        <v/>
      </c>
      <c r="S801" s="13">
        <f>IFERROR(R801/Q801,"")</f>
        <v/>
      </c>
      <c r="T801" s="13">
        <f>IFERROR((ABS(N801-O801)/MAX(1,(N801+O801)))*EXP(-ABS(E801-CONTROL!E5)/MAX(1,CONTROL!B8)),"")</f>
        <v/>
      </c>
      <c r="U801" s="13">
        <f>IFERROR(IF(O801&gt;N801,"SUPPORT (PE OI)","RESIST (CE OI)"),"")</f>
        <v/>
      </c>
      <c r="V801" s="13">
        <f>IFERROR(IF(Q801&gt;0,IF(R801&gt;0,"BOTH_ADD","CE_ADD_PE_REDUCE"),IF(R801&gt;0,"CE_REDUCE_PE_ADD","BOTH_REDUCE")),"")</f>
        <v/>
      </c>
      <c r="W801" s="13">
        <f>IFERROR( (P801-1)*0.5 + (M801)*0.1 - (I801+J801)*0.05 + T801*0.4 ,"")</f>
        <v/>
      </c>
      <c r="X801" s="13">
        <f>IFERROR(IF(ABS(F801)&lt;0.01,"ATM/NEAR",""),"")</f>
        <v/>
      </c>
    </row>
    <row r="802">
      <c r="A802" s="13">
        <f>CHAIN_RAW!A802</f>
        <v/>
      </c>
      <c r="B802" s="14">
        <f>CHAIN_RAW!B802</f>
        <v/>
      </c>
      <c r="C802" s="13">
        <f>CHAIN_RAW!C802</f>
        <v/>
      </c>
      <c r="D802" s="13">
        <f>CHAIN_RAW!D802</f>
        <v/>
      </c>
      <c r="E802" s="13">
        <f>CHAIN_RAW!E802</f>
        <v/>
      </c>
      <c r="F802" s="13">
        <f>IFERROR((E802-D802)/D802,"")</f>
        <v/>
      </c>
      <c r="G802" s="13">
        <f>IFERROR((CHAIN_RAW!K802+CHAIN_RAW!L802)/2,"")</f>
        <v/>
      </c>
      <c r="H802" s="13">
        <f>IFERROR((CHAIN_RAW!R802+CHAIN_RAW!S802)/2,"")</f>
        <v/>
      </c>
      <c r="I802" s="13">
        <f>IFERROR((CHAIN_RAW!L802-CHAIN_RAW!K802)/MAX(1E-9, G802),"")</f>
        <v/>
      </c>
      <c r="J802" s="13">
        <f>IFERROR((CHAIN_RAW!S802-CHAIN_RAW!R802)/MAX(1E-9, H802),"")</f>
        <v/>
      </c>
      <c r="K802" s="13">
        <f>CHAIN_RAW!G802</f>
        <v/>
      </c>
      <c r="L802" s="13">
        <f>CHAIN_RAW!N802</f>
        <v/>
      </c>
      <c r="M802" s="13">
        <f>IFERROR(L802-K802,"")</f>
        <v/>
      </c>
      <c r="N802" s="13">
        <f>CHAIN_RAW!H802</f>
        <v/>
      </c>
      <c r="O802" s="13">
        <f>CHAIN_RAW!O802</f>
        <v/>
      </c>
      <c r="P802" s="13">
        <f>IFERROR(O802/N802,"")</f>
        <v/>
      </c>
      <c r="Q802" s="13">
        <f>CHAIN_RAW!I802</f>
        <v/>
      </c>
      <c r="R802" s="13">
        <f>CHAIN_RAW!P802</f>
        <v/>
      </c>
      <c r="S802" s="13">
        <f>IFERROR(R802/Q802,"")</f>
        <v/>
      </c>
      <c r="T802" s="13">
        <f>IFERROR((ABS(N802-O802)/MAX(1,(N802+O802)))*EXP(-ABS(E802-CONTROL!E5)/MAX(1,CONTROL!B8)),"")</f>
        <v/>
      </c>
      <c r="U802" s="13">
        <f>IFERROR(IF(O802&gt;N802,"SUPPORT (PE OI)","RESIST (CE OI)"),"")</f>
        <v/>
      </c>
      <c r="V802" s="13">
        <f>IFERROR(IF(Q802&gt;0,IF(R802&gt;0,"BOTH_ADD","CE_ADD_PE_REDUCE"),IF(R802&gt;0,"CE_REDUCE_PE_ADD","BOTH_REDUCE")),"")</f>
        <v/>
      </c>
      <c r="W802" s="13">
        <f>IFERROR( (P802-1)*0.5 + (M802)*0.1 - (I802+J802)*0.05 + T802*0.4 ,"")</f>
        <v/>
      </c>
      <c r="X802" s="13">
        <f>IFERROR(IF(ABS(F802)&lt;0.01,"ATM/NEAR",""),"")</f>
        <v/>
      </c>
    </row>
    <row r="803">
      <c r="A803" s="13">
        <f>CHAIN_RAW!A803</f>
        <v/>
      </c>
      <c r="B803" s="14">
        <f>CHAIN_RAW!B803</f>
        <v/>
      </c>
      <c r="C803" s="13">
        <f>CHAIN_RAW!C803</f>
        <v/>
      </c>
      <c r="D803" s="13">
        <f>CHAIN_RAW!D803</f>
        <v/>
      </c>
      <c r="E803" s="13">
        <f>CHAIN_RAW!E803</f>
        <v/>
      </c>
      <c r="F803" s="13">
        <f>IFERROR((E803-D803)/D803,"")</f>
        <v/>
      </c>
      <c r="G803" s="13">
        <f>IFERROR((CHAIN_RAW!K803+CHAIN_RAW!L803)/2,"")</f>
        <v/>
      </c>
      <c r="H803" s="13">
        <f>IFERROR((CHAIN_RAW!R803+CHAIN_RAW!S803)/2,"")</f>
        <v/>
      </c>
      <c r="I803" s="13">
        <f>IFERROR((CHAIN_RAW!L803-CHAIN_RAW!K803)/MAX(1E-9, G803),"")</f>
        <v/>
      </c>
      <c r="J803" s="13">
        <f>IFERROR((CHAIN_RAW!S803-CHAIN_RAW!R803)/MAX(1E-9, H803),"")</f>
        <v/>
      </c>
      <c r="K803" s="13">
        <f>CHAIN_RAW!G803</f>
        <v/>
      </c>
      <c r="L803" s="13">
        <f>CHAIN_RAW!N803</f>
        <v/>
      </c>
      <c r="M803" s="13">
        <f>IFERROR(L803-K803,"")</f>
        <v/>
      </c>
      <c r="N803" s="13">
        <f>CHAIN_RAW!H803</f>
        <v/>
      </c>
      <c r="O803" s="13">
        <f>CHAIN_RAW!O803</f>
        <v/>
      </c>
      <c r="P803" s="13">
        <f>IFERROR(O803/N803,"")</f>
        <v/>
      </c>
      <c r="Q803" s="13">
        <f>CHAIN_RAW!I803</f>
        <v/>
      </c>
      <c r="R803" s="13">
        <f>CHAIN_RAW!P803</f>
        <v/>
      </c>
      <c r="S803" s="13">
        <f>IFERROR(R803/Q803,"")</f>
        <v/>
      </c>
      <c r="T803" s="13">
        <f>IFERROR((ABS(N803-O803)/MAX(1,(N803+O803)))*EXP(-ABS(E803-CONTROL!E5)/MAX(1,CONTROL!B8)),"")</f>
        <v/>
      </c>
      <c r="U803" s="13">
        <f>IFERROR(IF(O803&gt;N803,"SUPPORT (PE OI)","RESIST (CE OI)"),"")</f>
        <v/>
      </c>
      <c r="V803" s="13">
        <f>IFERROR(IF(Q803&gt;0,IF(R803&gt;0,"BOTH_ADD","CE_ADD_PE_REDUCE"),IF(R803&gt;0,"CE_REDUCE_PE_ADD","BOTH_REDUCE")),"")</f>
        <v/>
      </c>
      <c r="W803" s="13">
        <f>IFERROR( (P803-1)*0.5 + (M803)*0.1 - (I803+J803)*0.05 + T803*0.4 ,"")</f>
        <v/>
      </c>
      <c r="X803" s="13">
        <f>IFERROR(IF(ABS(F803)&lt;0.01,"ATM/NEAR",""),"")</f>
        <v/>
      </c>
    </row>
    <row r="804">
      <c r="A804" s="13">
        <f>CHAIN_RAW!A804</f>
        <v/>
      </c>
      <c r="B804" s="14">
        <f>CHAIN_RAW!B804</f>
        <v/>
      </c>
      <c r="C804" s="13">
        <f>CHAIN_RAW!C804</f>
        <v/>
      </c>
      <c r="D804" s="13">
        <f>CHAIN_RAW!D804</f>
        <v/>
      </c>
      <c r="E804" s="13">
        <f>CHAIN_RAW!E804</f>
        <v/>
      </c>
      <c r="F804" s="13">
        <f>IFERROR((E804-D804)/D804,"")</f>
        <v/>
      </c>
      <c r="G804" s="13">
        <f>IFERROR((CHAIN_RAW!K804+CHAIN_RAW!L804)/2,"")</f>
        <v/>
      </c>
      <c r="H804" s="13">
        <f>IFERROR((CHAIN_RAW!R804+CHAIN_RAW!S804)/2,"")</f>
        <v/>
      </c>
      <c r="I804" s="13">
        <f>IFERROR((CHAIN_RAW!L804-CHAIN_RAW!K804)/MAX(1E-9, G804),"")</f>
        <v/>
      </c>
      <c r="J804" s="13">
        <f>IFERROR((CHAIN_RAW!S804-CHAIN_RAW!R804)/MAX(1E-9, H804),"")</f>
        <v/>
      </c>
      <c r="K804" s="13">
        <f>CHAIN_RAW!G804</f>
        <v/>
      </c>
      <c r="L804" s="13">
        <f>CHAIN_RAW!N804</f>
        <v/>
      </c>
      <c r="M804" s="13">
        <f>IFERROR(L804-K804,"")</f>
        <v/>
      </c>
      <c r="N804" s="13">
        <f>CHAIN_RAW!H804</f>
        <v/>
      </c>
      <c r="O804" s="13">
        <f>CHAIN_RAW!O804</f>
        <v/>
      </c>
      <c r="P804" s="13">
        <f>IFERROR(O804/N804,"")</f>
        <v/>
      </c>
      <c r="Q804" s="13">
        <f>CHAIN_RAW!I804</f>
        <v/>
      </c>
      <c r="R804" s="13">
        <f>CHAIN_RAW!P804</f>
        <v/>
      </c>
      <c r="S804" s="13">
        <f>IFERROR(R804/Q804,"")</f>
        <v/>
      </c>
      <c r="T804" s="13">
        <f>IFERROR((ABS(N804-O804)/MAX(1,(N804+O804)))*EXP(-ABS(E804-CONTROL!E5)/MAX(1,CONTROL!B8)),"")</f>
        <v/>
      </c>
      <c r="U804" s="13">
        <f>IFERROR(IF(O804&gt;N804,"SUPPORT (PE OI)","RESIST (CE OI)"),"")</f>
        <v/>
      </c>
      <c r="V804" s="13">
        <f>IFERROR(IF(Q804&gt;0,IF(R804&gt;0,"BOTH_ADD","CE_ADD_PE_REDUCE"),IF(R804&gt;0,"CE_REDUCE_PE_ADD","BOTH_REDUCE")),"")</f>
        <v/>
      </c>
      <c r="W804" s="13">
        <f>IFERROR( (P804-1)*0.5 + (M804)*0.1 - (I804+J804)*0.05 + T804*0.4 ,"")</f>
        <v/>
      </c>
      <c r="X804" s="13">
        <f>IFERROR(IF(ABS(F804)&lt;0.01,"ATM/NEAR",""),"")</f>
        <v/>
      </c>
    </row>
    <row r="805">
      <c r="A805" s="13">
        <f>CHAIN_RAW!A805</f>
        <v/>
      </c>
      <c r="B805" s="14">
        <f>CHAIN_RAW!B805</f>
        <v/>
      </c>
      <c r="C805" s="13">
        <f>CHAIN_RAW!C805</f>
        <v/>
      </c>
      <c r="D805" s="13">
        <f>CHAIN_RAW!D805</f>
        <v/>
      </c>
      <c r="E805" s="13">
        <f>CHAIN_RAW!E805</f>
        <v/>
      </c>
      <c r="F805" s="13">
        <f>IFERROR((E805-D805)/D805,"")</f>
        <v/>
      </c>
      <c r="G805" s="13">
        <f>IFERROR((CHAIN_RAW!K805+CHAIN_RAW!L805)/2,"")</f>
        <v/>
      </c>
      <c r="H805" s="13">
        <f>IFERROR((CHAIN_RAW!R805+CHAIN_RAW!S805)/2,"")</f>
        <v/>
      </c>
      <c r="I805" s="13">
        <f>IFERROR((CHAIN_RAW!L805-CHAIN_RAW!K805)/MAX(1E-9, G805),"")</f>
        <v/>
      </c>
      <c r="J805" s="13">
        <f>IFERROR((CHAIN_RAW!S805-CHAIN_RAW!R805)/MAX(1E-9, H805),"")</f>
        <v/>
      </c>
      <c r="K805" s="13">
        <f>CHAIN_RAW!G805</f>
        <v/>
      </c>
      <c r="L805" s="13">
        <f>CHAIN_RAW!N805</f>
        <v/>
      </c>
      <c r="M805" s="13">
        <f>IFERROR(L805-K805,"")</f>
        <v/>
      </c>
      <c r="N805" s="13">
        <f>CHAIN_RAW!H805</f>
        <v/>
      </c>
      <c r="O805" s="13">
        <f>CHAIN_RAW!O805</f>
        <v/>
      </c>
      <c r="P805" s="13">
        <f>IFERROR(O805/N805,"")</f>
        <v/>
      </c>
      <c r="Q805" s="13">
        <f>CHAIN_RAW!I805</f>
        <v/>
      </c>
      <c r="R805" s="13">
        <f>CHAIN_RAW!P805</f>
        <v/>
      </c>
      <c r="S805" s="13">
        <f>IFERROR(R805/Q805,"")</f>
        <v/>
      </c>
      <c r="T805" s="13">
        <f>IFERROR((ABS(N805-O805)/MAX(1,(N805+O805)))*EXP(-ABS(E805-CONTROL!E5)/MAX(1,CONTROL!B8)),"")</f>
        <v/>
      </c>
      <c r="U805" s="13">
        <f>IFERROR(IF(O805&gt;N805,"SUPPORT (PE OI)","RESIST (CE OI)"),"")</f>
        <v/>
      </c>
      <c r="V805" s="13">
        <f>IFERROR(IF(Q805&gt;0,IF(R805&gt;0,"BOTH_ADD","CE_ADD_PE_REDUCE"),IF(R805&gt;0,"CE_REDUCE_PE_ADD","BOTH_REDUCE")),"")</f>
        <v/>
      </c>
      <c r="W805" s="13">
        <f>IFERROR( (P805-1)*0.5 + (M805)*0.1 - (I805+J805)*0.05 + T805*0.4 ,"")</f>
        <v/>
      </c>
      <c r="X805" s="13">
        <f>IFERROR(IF(ABS(F805)&lt;0.01,"ATM/NEAR",""),"")</f>
        <v/>
      </c>
    </row>
    <row r="806">
      <c r="A806" s="13">
        <f>CHAIN_RAW!A806</f>
        <v/>
      </c>
      <c r="B806" s="14">
        <f>CHAIN_RAW!B806</f>
        <v/>
      </c>
      <c r="C806" s="13">
        <f>CHAIN_RAW!C806</f>
        <v/>
      </c>
      <c r="D806" s="13">
        <f>CHAIN_RAW!D806</f>
        <v/>
      </c>
      <c r="E806" s="13">
        <f>CHAIN_RAW!E806</f>
        <v/>
      </c>
      <c r="F806" s="13">
        <f>IFERROR((E806-D806)/D806,"")</f>
        <v/>
      </c>
      <c r="G806" s="13">
        <f>IFERROR((CHAIN_RAW!K806+CHAIN_RAW!L806)/2,"")</f>
        <v/>
      </c>
      <c r="H806" s="13">
        <f>IFERROR((CHAIN_RAW!R806+CHAIN_RAW!S806)/2,"")</f>
        <v/>
      </c>
      <c r="I806" s="13">
        <f>IFERROR((CHAIN_RAW!L806-CHAIN_RAW!K806)/MAX(1E-9, G806),"")</f>
        <v/>
      </c>
      <c r="J806" s="13">
        <f>IFERROR((CHAIN_RAW!S806-CHAIN_RAW!R806)/MAX(1E-9, H806),"")</f>
        <v/>
      </c>
      <c r="K806" s="13">
        <f>CHAIN_RAW!G806</f>
        <v/>
      </c>
      <c r="L806" s="13">
        <f>CHAIN_RAW!N806</f>
        <v/>
      </c>
      <c r="M806" s="13">
        <f>IFERROR(L806-K806,"")</f>
        <v/>
      </c>
      <c r="N806" s="13">
        <f>CHAIN_RAW!H806</f>
        <v/>
      </c>
      <c r="O806" s="13">
        <f>CHAIN_RAW!O806</f>
        <v/>
      </c>
      <c r="P806" s="13">
        <f>IFERROR(O806/N806,"")</f>
        <v/>
      </c>
      <c r="Q806" s="13">
        <f>CHAIN_RAW!I806</f>
        <v/>
      </c>
      <c r="R806" s="13">
        <f>CHAIN_RAW!P806</f>
        <v/>
      </c>
      <c r="S806" s="13">
        <f>IFERROR(R806/Q806,"")</f>
        <v/>
      </c>
      <c r="T806" s="13">
        <f>IFERROR((ABS(N806-O806)/MAX(1,(N806+O806)))*EXP(-ABS(E806-CONTROL!E5)/MAX(1,CONTROL!B8)),"")</f>
        <v/>
      </c>
      <c r="U806" s="13">
        <f>IFERROR(IF(O806&gt;N806,"SUPPORT (PE OI)","RESIST (CE OI)"),"")</f>
        <v/>
      </c>
      <c r="V806" s="13">
        <f>IFERROR(IF(Q806&gt;0,IF(R806&gt;0,"BOTH_ADD","CE_ADD_PE_REDUCE"),IF(R806&gt;0,"CE_REDUCE_PE_ADD","BOTH_REDUCE")),"")</f>
        <v/>
      </c>
      <c r="W806" s="13">
        <f>IFERROR( (P806-1)*0.5 + (M806)*0.1 - (I806+J806)*0.05 + T806*0.4 ,"")</f>
        <v/>
      </c>
      <c r="X806" s="13">
        <f>IFERROR(IF(ABS(F806)&lt;0.01,"ATM/NEAR",""),"")</f>
        <v/>
      </c>
    </row>
    <row r="807">
      <c r="A807" s="13">
        <f>CHAIN_RAW!A807</f>
        <v/>
      </c>
      <c r="B807" s="14">
        <f>CHAIN_RAW!B807</f>
        <v/>
      </c>
      <c r="C807" s="13">
        <f>CHAIN_RAW!C807</f>
        <v/>
      </c>
      <c r="D807" s="13">
        <f>CHAIN_RAW!D807</f>
        <v/>
      </c>
      <c r="E807" s="13">
        <f>CHAIN_RAW!E807</f>
        <v/>
      </c>
      <c r="F807" s="13">
        <f>IFERROR((E807-D807)/D807,"")</f>
        <v/>
      </c>
      <c r="G807" s="13">
        <f>IFERROR((CHAIN_RAW!K807+CHAIN_RAW!L807)/2,"")</f>
        <v/>
      </c>
      <c r="H807" s="13">
        <f>IFERROR((CHAIN_RAW!R807+CHAIN_RAW!S807)/2,"")</f>
        <v/>
      </c>
      <c r="I807" s="13">
        <f>IFERROR((CHAIN_RAW!L807-CHAIN_RAW!K807)/MAX(1E-9, G807),"")</f>
        <v/>
      </c>
      <c r="J807" s="13">
        <f>IFERROR((CHAIN_RAW!S807-CHAIN_RAW!R807)/MAX(1E-9, H807),"")</f>
        <v/>
      </c>
      <c r="K807" s="13">
        <f>CHAIN_RAW!G807</f>
        <v/>
      </c>
      <c r="L807" s="13">
        <f>CHAIN_RAW!N807</f>
        <v/>
      </c>
      <c r="M807" s="13">
        <f>IFERROR(L807-K807,"")</f>
        <v/>
      </c>
      <c r="N807" s="13">
        <f>CHAIN_RAW!H807</f>
        <v/>
      </c>
      <c r="O807" s="13">
        <f>CHAIN_RAW!O807</f>
        <v/>
      </c>
      <c r="P807" s="13">
        <f>IFERROR(O807/N807,"")</f>
        <v/>
      </c>
      <c r="Q807" s="13">
        <f>CHAIN_RAW!I807</f>
        <v/>
      </c>
      <c r="R807" s="13">
        <f>CHAIN_RAW!P807</f>
        <v/>
      </c>
      <c r="S807" s="13">
        <f>IFERROR(R807/Q807,"")</f>
        <v/>
      </c>
      <c r="T807" s="13">
        <f>IFERROR((ABS(N807-O807)/MAX(1,(N807+O807)))*EXP(-ABS(E807-CONTROL!E5)/MAX(1,CONTROL!B8)),"")</f>
        <v/>
      </c>
      <c r="U807" s="13">
        <f>IFERROR(IF(O807&gt;N807,"SUPPORT (PE OI)","RESIST (CE OI)"),"")</f>
        <v/>
      </c>
      <c r="V807" s="13">
        <f>IFERROR(IF(Q807&gt;0,IF(R807&gt;0,"BOTH_ADD","CE_ADD_PE_REDUCE"),IF(R807&gt;0,"CE_REDUCE_PE_ADD","BOTH_REDUCE")),"")</f>
        <v/>
      </c>
      <c r="W807" s="13">
        <f>IFERROR( (P807-1)*0.5 + (M807)*0.1 - (I807+J807)*0.05 + T807*0.4 ,"")</f>
        <v/>
      </c>
      <c r="X807" s="13">
        <f>IFERROR(IF(ABS(F807)&lt;0.01,"ATM/NEAR",""),"")</f>
        <v/>
      </c>
    </row>
    <row r="808">
      <c r="A808" s="13">
        <f>CHAIN_RAW!A808</f>
        <v/>
      </c>
      <c r="B808" s="14">
        <f>CHAIN_RAW!B808</f>
        <v/>
      </c>
      <c r="C808" s="13">
        <f>CHAIN_RAW!C808</f>
        <v/>
      </c>
      <c r="D808" s="13">
        <f>CHAIN_RAW!D808</f>
        <v/>
      </c>
      <c r="E808" s="13">
        <f>CHAIN_RAW!E808</f>
        <v/>
      </c>
      <c r="F808" s="13">
        <f>IFERROR((E808-D808)/D808,"")</f>
        <v/>
      </c>
      <c r="G808" s="13">
        <f>IFERROR((CHAIN_RAW!K808+CHAIN_RAW!L808)/2,"")</f>
        <v/>
      </c>
      <c r="H808" s="13">
        <f>IFERROR((CHAIN_RAW!R808+CHAIN_RAW!S808)/2,"")</f>
        <v/>
      </c>
      <c r="I808" s="13">
        <f>IFERROR((CHAIN_RAW!L808-CHAIN_RAW!K808)/MAX(1E-9, G808),"")</f>
        <v/>
      </c>
      <c r="J808" s="13">
        <f>IFERROR((CHAIN_RAW!S808-CHAIN_RAW!R808)/MAX(1E-9, H808),"")</f>
        <v/>
      </c>
      <c r="K808" s="13">
        <f>CHAIN_RAW!G808</f>
        <v/>
      </c>
      <c r="L808" s="13">
        <f>CHAIN_RAW!N808</f>
        <v/>
      </c>
      <c r="M808" s="13">
        <f>IFERROR(L808-K808,"")</f>
        <v/>
      </c>
      <c r="N808" s="13">
        <f>CHAIN_RAW!H808</f>
        <v/>
      </c>
      <c r="O808" s="13">
        <f>CHAIN_RAW!O808</f>
        <v/>
      </c>
      <c r="P808" s="13">
        <f>IFERROR(O808/N808,"")</f>
        <v/>
      </c>
      <c r="Q808" s="13">
        <f>CHAIN_RAW!I808</f>
        <v/>
      </c>
      <c r="R808" s="13">
        <f>CHAIN_RAW!P808</f>
        <v/>
      </c>
      <c r="S808" s="13">
        <f>IFERROR(R808/Q808,"")</f>
        <v/>
      </c>
      <c r="T808" s="13">
        <f>IFERROR((ABS(N808-O808)/MAX(1,(N808+O808)))*EXP(-ABS(E808-CONTROL!E5)/MAX(1,CONTROL!B8)),"")</f>
        <v/>
      </c>
      <c r="U808" s="13">
        <f>IFERROR(IF(O808&gt;N808,"SUPPORT (PE OI)","RESIST (CE OI)"),"")</f>
        <v/>
      </c>
      <c r="V808" s="13">
        <f>IFERROR(IF(Q808&gt;0,IF(R808&gt;0,"BOTH_ADD","CE_ADD_PE_REDUCE"),IF(R808&gt;0,"CE_REDUCE_PE_ADD","BOTH_REDUCE")),"")</f>
        <v/>
      </c>
      <c r="W808" s="13">
        <f>IFERROR( (P808-1)*0.5 + (M808)*0.1 - (I808+J808)*0.05 + T808*0.4 ,"")</f>
        <v/>
      </c>
      <c r="X808" s="13">
        <f>IFERROR(IF(ABS(F808)&lt;0.01,"ATM/NEAR",""),"")</f>
        <v/>
      </c>
    </row>
    <row r="809">
      <c r="A809" s="13">
        <f>CHAIN_RAW!A809</f>
        <v/>
      </c>
      <c r="B809" s="14">
        <f>CHAIN_RAW!B809</f>
        <v/>
      </c>
      <c r="C809" s="13">
        <f>CHAIN_RAW!C809</f>
        <v/>
      </c>
      <c r="D809" s="13">
        <f>CHAIN_RAW!D809</f>
        <v/>
      </c>
      <c r="E809" s="13">
        <f>CHAIN_RAW!E809</f>
        <v/>
      </c>
      <c r="F809" s="13">
        <f>IFERROR((E809-D809)/D809,"")</f>
        <v/>
      </c>
      <c r="G809" s="13">
        <f>IFERROR((CHAIN_RAW!K809+CHAIN_RAW!L809)/2,"")</f>
        <v/>
      </c>
      <c r="H809" s="13">
        <f>IFERROR((CHAIN_RAW!R809+CHAIN_RAW!S809)/2,"")</f>
        <v/>
      </c>
      <c r="I809" s="13">
        <f>IFERROR((CHAIN_RAW!L809-CHAIN_RAW!K809)/MAX(1E-9, G809),"")</f>
        <v/>
      </c>
      <c r="J809" s="13">
        <f>IFERROR((CHAIN_RAW!S809-CHAIN_RAW!R809)/MAX(1E-9, H809),"")</f>
        <v/>
      </c>
      <c r="K809" s="13">
        <f>CHAIN_RAW!G809</f>
        <v/>
      </c>
      <c r="L809" s="13">
        <f>CHAIN_RAW!N809</f>
        <v/>
      </c>
      <c r="M809" s="13">
        <f>IFERROR(L809-K809,"")</f>
        <v/>
      </c>
      <c r="N809" s="13">
        <f>CHAIN_RAW!H809</f>
        <v/>
      </c>
      <c r="O809" s="13">
        <f>CHAIN_RAW!O809</f>
        <v/>
      </c>
      <c r="P809" s="13">
        <f>IFERROR(O809/N809,"")</f>
        <v/>
      </c>
      <c r="Q809" s="13">
        <f>CHAIN_RAW!I809</f>
        <v/>
      </c>
      <c r="R809" s="13">
        <f>CHAIN_RAW!P809</f>
        <v/>
      </c>
      <c r="S809" s="13">
        <f>IFERROR(R809/Q809,"")</f>
        <v/>
      </c>
      <c r="T809" s="13">
        <f>IFERROR((ABS(N809-O809)/MAX(1,(N809+O809)))*EXP(-ABS(E809-CONTROL!E5)/MAX(1,CONTROL!B8)),"")</f>
        <v/>
      </c>
      <c r="U809" s="13">
        <f>IFERROR(IF(O809&gt;N809,"SUPPORT (PE OI)","RESIST (CE OI)"),"")</f>
        <v/>
      </c>
      <c r="V809" s="13">
        <f>IFERROR(IF(Q809&gt;0,IF(R809&gt;0,"BOTH_ADD","CE_ADD_PE_REDUCE"),IF(R809&gt;0,"CE_REDUCE_PE_ADD","BOTH_REDUCE")),"")</f>
        <v/>
      </c>
      <c r="W809" s="13">
        <f>IFERROR( (P809-1)*0.5 + (M809)*0.1 - (I809+J809)*0.05 + T809*0.4 ,"")</f>
        <v/>
      </c>
      <c r="X809" s="13">
        <f>IFERROR(IF(ABS(F809)&lt;0.01,"ATM/NEAR",""),"")</f>
        <v/>
      </c>
    </row>
    <row r="810">
      <c r="A810" s="13">
        <f>CHAIN_RAW!A810</f>
        <v/>
      </c>
      <c r="B810" s="14">
        <f>CHAIN_RAW!B810</f>
        <v/>
      </c>
      <c r="C810" s="13">
        <f>CHAIN_RAW!C810</f>
        <v/>
      </c>
      <c r="D810" s="13">
        <f>CHAIN_RAW!D810</f>
        <v/>
      </c>
      <c r="E810" s="13">
        <f>CHAIN_RAW!E810</f>
        <v/>
      </c>
      <c r="F810" s="13">
        <f>IFERROR((E810-D810)/D810,"")</f>
        <v/>
      </c>
      <c r="G810" s="13">
        <f>IFERROR((CHAIN_RAW!K810+CHAIN_RAW!L810)/2,"")</f>
        <v/>
      </c>
      <c r="H810" s="13">
        <f>IFERROR((CHAIN_RAW!R810+CHAIN_RAW!S810)/2,"")</f>
        <v/>
      </c>
      <c r="I810" s="13">
        <f>IFERROR((CHAIN_RAW!L810-CHAIN_RAW!K810)/MAX(1E-9, G810),"")</f>
        <v/>
      </c>
      <c r="J810" s="13">
        <f>IFERROR((CHAIN_RAW!S810-CHAIN_RAW!R810)/MAX(1E-9, H810),"")</f>
        <v/>
      </c>
      <c r="K810" s="13">
        <f>CHAIN_RAW!G810</f>
        <v/>
      </c>
      <c r="L810" s="13">
        <f>CHAIN_RAW!N810</f>
        <v/>
      </c>
      <c r="M810" s="13">
        <f>IFERROR(L810-K810,"")</f>
        <v/>
      </c>
      <c r="N810" s="13">
        <f>CHAIN_RAW!H810</f>
        <v/>
      </c>
      <c r="O810" s="13">
        <f>CHAIN_RAW!O810</f>
        <v/>
      </c>
      <c r="P810" s="13">
        <f>IFERROR(O810/N810,"")</f>
        <v/>
      </c>
      <c r="Q810" s="13">
        <f>CHAIN_RAW!I810</f>
        <v/>
      </c>
      <c r="R810" s="13">
        <f>CHAIN_RAW!P810</f>
        <v/>
      </c>
      <c r="S810" s="13">
        <f>IFERROR(R810/Q810,"")</f>
        <v/>
      </c>
      <c r="T810" s="13">
        <f>IFERROR((ABS(N810-O810)/MAX(1,(N810+O810)))*EXP(-ABS(E810-CONTROL!E5)/MAX(1,CONTROL!B8)),"")</f>
        <v/>
      </c>
      <c r="U810" s="13">
        <f>IFERROR(IF(O810&gt;N810,"SUPPORT (PE OI)","RESIST (CE OI)"),"")</f>
        <v/>
      </c>
      <c r="V810" s="13">
        <f>IFERROR(IF(Q810&gt;0,IF(R810&gt;0,"BOTH_ADD","CE_ADD_PE_REDUCE"),IF(R810&gt;0,"CE_REDUCE_PE_ADD","BOTH_REDUCE")),"")</f>
        <v/>
      </c>
      <c r="W810" s="13">
        <f>IFERROR( (P810-1)*0.5 + (M810)*0.1 - (I810+J810)*0.05 + T810*0.4 ,"")</f>
        <v/>
      </c>
      <c r="X810" s="13">
        <f>IFERROR(IF(ABS(F810)&lt;0.01,"ATM/NEAR",""),"")</f>
        <v/>
      </c>
    </row>
    <row r="811">
      <c r="A811" s="13">
        <f>CHAIN_RAW!A811</f>
        <v/>
      </c>
      <c r="B811" s="14">
        <f>CHAIN_RAW!B811</f>
        <v/>
      </c>
      <c r="C811" s="13">
        <f>CHAIN_RAW!C811</f>
        <v/>
      </c>
      <c r="D811" s="13">
        <f>CHAIN_RAW!D811</f>
        <v/>
      </c>
      <c r="E811" s="13">
        <f>CHAIN_RAW!E811</f>
        <v/>
      </c>
      <c r="F811" s="13">
        <f>IFERROR((E811-D811)/D811,"")</f>
        <v/>
      </c>
      <c r="G811" s="13">
        <f>IFERROR((CHAIN_RAW!K811+CHAIN_RAW!L811)/2,"")</f>
        <v/>
      </c>
      <c r="H811" s="13">
        <f>IFERROR((CHAIN_RAW!R811+CHAIN_RAW!S811)/2,"")</f>
        <v/>
      </c>
      <c r="I811" s="13">
        <f>IFERROR((CHAIN_RAW!L811-CHAIN_RAW!K811)/MAX(1E-9, G811),"")</f>
        <v/>
      </c>
      <c r="J811" s="13">
        <f>IFERROR((CHAIN_RAW!S811-CHAIN_RAW!R811)/MAX(1E-9, H811),"")</f>
        <v/>
      </c>
      <c r="K811" s="13">
        <f>CHAIN_RAW!G811</f>
        <v/>
      </c>
      <c r="L811" s="13">
        <f>CHAIN_RAW!N811</f>
        <v/>
      </c>
      <c r="M811" s="13">
        <f>IFERROR(L811-K811,"")</f>
        <v/>
      </c>
      <c r="N811" s="13">
        <f>CHAIN_RAW!H811</f>
        <v/>
      </c>
      <c r="O811" s="13">
        <f>CHAIN_RAW!O811</f>
        <v/>
      </c>
      <c r="P811" s="13">
        <f>IFERROR(O811/N811,"")</f>
        <v/>
      </c>
      <c r="Q811" s="13">
        <f>CHAIN_RAW!I811</f>
        <v/>
      </c>
      <c r="R811" s="13">
        <f>CHAIN_RAW!P811</f>
        <v/>
      </c>
      <c r="S811" s="13">
        <f>IFERROR(R811/Q811,"")</f>
        <v/>
      </c>
      <c r="T811" s="13">
        <f>IFERROR((ABS(N811-O811)/MAX(1,(N811+O811)))*EXP(-ABS(E811-CONTROL!E5)/MAX(1,CONTROL!B8)),"")</f>
        <v/>
      </c>
      <c r="U811" s="13">
        <f>IFERROR(IF(O811&gt;N811,"SUPPORT (PE OI)","RESIST (CE OI)"),"")</f>
        <v/>
      </c>
      <c r="V811" s="13">
        <f>IFERROR(IF(Q811&gt;0,IF(R811&gt;0,"BOTH_ADD","CE_ADD_PE_REDUCE"),IF(R811&gt;0,"CE_REDUCE_PE_ADD","BOTH_REDUCE")),"")</f>
        <v/>
      </c>
      <c r="W811" s="13">
        <f>IFERROR( (P811-1)*0.5 + (M811)*0.1 - (I811+J811)*0.05 + T811*0.4 ,"")</f>
        <v/>
      </c>
      <c r="X811" s="13">
        <f>IFERROR(IF(ABS(F811)&lt;0.01,"ATM/NEAR",""),"")</f>
        <v/>
      </c>
    </row>
    <row r="812">
      <c r="A812" s="13">
        <f>CHAIN_RAW!A812</f>
        <v/>
      </c>
      <c r="B812" s="14">
        <f>CHAIN_RAW!B812</f>
        <v/>
      </c>
      <c r="C812" s="13">
        <f>CHAIN_RAW!C812</f>
        <v/>
      </c>
      <c r="D812" s="13">
        <f>CHAIN_RAW!D812</f>
        <v/>
      </c>
      <c r="E812" s="13">
        <f>CHAIN_RAW!E812</f>
        <v/>
      </c>
      <c r="F812" s="13">
        <f>IFERROR((E812-D812)/D812,"")</f>
        <v/>
      </c>
      <c r="G812" s="13">
        <f>IFERROR((CHAIN_RAW!K812+CHAIN_RAW!L812)/2,"")</f>
        <v/>
      </c>
      <c r="H812" s="13">
        <f>IFERROR((CHAIN_RAW!R812+CHAIN_RAW!S812)/2,"")</f>
        <v/>
      </c>
      <c r="I812" s="13">
        <f>IFERROR((CHAIN_RAW!L812-CHAIN_RAW!K812)/MAX(1E-9, G812),"")</f>
        <v/>
      </c>
      <c r="J812" s="13">
        <f>IFERROR((CHAIN_RAW!S812-CHAIN_RAW!R812)/MAX(1E-9, H812),"")</f>
        <v/>
      </c>
      <c r="K812" s="13">
        <f>CHAIN_RAW!G812</f>
        <v/>
      </c>
      <c r="L812" s="13">
        <f>CHAIN_RAW!N812</f>
        <v/>
      </c>
      <c r="M812" s="13">
        <f>IFERROR(L812-K812,"")</f>
        <v/>
      </c>
      <c r="N812" s="13">
        <f>CHAIN_RAW!H812</f>
        <v/>
      </c>
      <c r="O812" s="13">
        <f>CHAIN_RAW!O812</f>
        <v/>
      </c>
      <c r="P812" s="13">
        <f>IFERROR(O812/N812,"")</f>
        <v/>
      </c>
      <c r="Q812" s="13">
        <f>CHAIN_RAW!I812</f>
        <v/>
      </c>
      <c r="R812" s="13">
        <f>CHAIN_RAW!P812</f>
        <v/>
      </c>
      <c r="S812" s="13">
        <f>IFERROR(R812/Q812,"")</f>
        <v/>
      </c>
      <c r="T812" s="13">
        <f>IFERROR((ABS(N812-O812)/MAX(1,(N812+O812)))*EXP(-ABS(E812-CONTROL!E5)/MAX(1,CONTROL!B8)),"")</f>
        <v/>
      </c>
      <c r="U812" s="13">
        <f>IFERROR(IF(O812&gt;N812,"SUPPORT (PE OI)","RESIST (CE OI)"),"")</f>
        <v/>
      </c>
      <c r="V812" s="13">
        <f>IFERROR(IF(Q812&gt;0,IF(R812&gt;0,"BOTH_ADD","CE_ADD_PE_REDUCE"),IF(R812&gt;0,"CE_REDUCE_PE_ADD","BOTH_REDUCE")),"")</f>
        <v/>
      </c>
      <c r="W812" s="13">
        <f>IFERROR( (P812-1)*0.5 + (M812)*0.1 - (I812+J812)*0.05 + T812*0.4 ,"")</f>
        <v/>
      </c>
      <c r="X812" s="13">
        <f>IFERROR(IF(ABS(F812)&lt;0.01,"ATM/NEAR",""),"")</f>
        <v/>
      </c>
    </row>
    <row r="813">
      <c r="A813" s="13">
        <f>CHAIN_RAW!A813</f>
        <v/>
      </c>
      <c r="B813" s="14">
        <f>CHAIN_RAW!B813</f>
        <v/>
      </c>
      <c r="C813" s="13">
        <f>CHAIN_RAW!C813</f>
        <v/>
      </c>
      <c r="D813" s="13">
        <f>CHAIN_RAW!D813</f>
        <v/>
      </c>
      <c r="E813" s="13">
        <f>CHAIN_RAW!E813</f>
        <v/>
      </c>
      <c r="F813" s="13">
        <f>IFERROR((E813-D813)/D813,"")</f>
        <v/>
      </c>
      <c r="G813" s="13">
        <f>IFERROR((CHAIN_RAW!K813+CHAIN_RAW!L813)/2,"")</f>
        <v/>
      </c>
      <c r="H813" s="13">
        <f>IFERROR((CHAIN_RAW!R813+CHAIN_RAW!S813)/2,"")</f>
        <v/>
      </c>
      <c r="I813" s="13">
        <f>IFERROR((CHAIN_RAW!L813-CHAIN_RAW!K813)/MAX(1E-9, G813),"")</f>
        <v/>
      </c>
      <c r="J813" s="13">
        <f>IFERROR((CHAIN_RAW!S813-CHAIN_RAW!R813)/MAX(1E-9, H813),"")</f>
        <v/>
      </c>
      <c r="K813" s="13">
        <f>CHAIN_RAW!G813</f>
        <v/>
      </c>
      <c r="L813" s="13">
        <f>CHAIN_RAW!N813</f>
        <v/>
      </c>
      <c r="M813" s="13">
        <f>IFERROR(L813-K813,"")</f>
        <v/>
      </c>
      <c r="N813" s="13">
        <f>CHAIN_RAW!H813</f>
        <v/>
      </c>
      <c r="O813" s="13">
        <f>CHAIN_RAW!O813</f>
        <v/>
      </c>
      <c r="P813" s="13">
        <f>IFERROR(O813/N813,"")</f>
        <v/>
      </c>
      <c r="Q813" s="13">
        <f>CHAIN_RAW!I813</f>
        <v/>
      </c>
      <c r="R813" s="13">
        <f>CHAIN_RAW!P813</f>
        <v/>
      </c>
      <c r="S813" s="13">
        <f>IFERROR(R813/Q813,"")</f>
        <v/>
      </c>
      <c r="T813" s="13">
        <f>IFERROR((ABS(N813-O813)/MAX(1,(N813+O813)))*EXP(-ABS(E813-CONTROL!E5)/MAX(1,CONTROL!B8)),"")</f>
        <v/>
      </c>
      <c r="U813" s="13">
        <f>IFERROR(IF(O813&gt;N813,"SUPPORT (PE OI)","RESIST (CE OI)"),"")</f>
        <v/>
      </c>
      <c r="V813" s="13">
        <f>IFERROR(IF(Q813&gt;0,IF(R813&gt;0,"BOTH_ADD","CE_ADD_PE_REDUCE"),IF(R813&gt;0,"CE_REDUCE_PE_ADD","BOTH_REDUCE")),"")</f>
        <v/>
      </c>
      <c r="W813" s="13">
        <f>IFERROR( (P813-1)*0.5 + (M813)*0.1 - (I813+J813)*0.05 + T813*0.4 ,"")</f>
        <v/>
      </c>
      <c r="X813" s="13">
        <f>IFERROR(IF(ABS(F813)&lt;0.01,"ATM/NEAR",""),"")</f>
        <v/>
      </c>
    </row>
    <row r="814">
      <c r="A814" s="13">
        <f>CHAIN_RAW!A814</f>
        <v/>
      </c>
      <c r="B814" s="14">
        <f>CHAIN_RAW!B814</f>
        <v/>
      </c>
      <c r="C814" s="13">
        <f>CHAIN_RAW!C814</f>
        <v/>
      </c>
      <c r="D814" s="13">
        <f>CHAIN_RAW!D814</f>
        <v/>
      </c>
      <c r="E814" s="13">
        <f>CHAIN_RAW!E814</f>
        <v/>
      </c>
      <c r="F814" s="13">
        <f>IFERROR((E814-D814)/D814,"")</f>
        <v/>
      </c>
      <c r="G814" s="13">
        <f>IFERROR((CHAIN_RAW!K814+CHAIN_RAW!L814)/2,"")</f>
        <v/>
      </c>
      <c r="H814" s="13">
        <f>IFERROR((CHAIN_RAW!R814+CHAIN_RAW!S814)/2,"")</f>
        <v/>
      </c>
      <c r="I814" s="13">
        <f>IFERROR((CHAIN_RAW!L814-CHAIN_RAW!K814)/MAX(1E-9, G814),"")</f>
        <v/>
      </c>
      <c r="J814" s="13">
        <f>IFERROR((CHAIN_RAW!S814-CHAIN_RAW!R814)/MAX(1E-9, H814),"")</f>
        <v/>
      </c>
      <c r="K814" s="13">
        <f>CHAIN_RAW!G814</f>
        <v/>
      </c>
      <c r="L814" s="13">
        <f>CHAIN_RAW!N814</f>
        <v/>
      </c>
      <c r="M814" s="13">
        <f>IFERROR(L814-K814,"")</f>
        <v/>
      </c>
      <c r="N814" s="13">
        <f>CHAIN_RAW!H814</f>
        <v/>
      </c>
      <c r="O814" s="13">
        <f>CHAIN_RAW!O814</f>
        <v/>
      </c>
      <c r="P814" s="13">
        <f>IFERROR(O814/N814,"")</f>
        <v/>
      </c>
      <c r="Q814" s="13">
        <f>CHAIN_RAW!I814</f>
        <v/>
      </c>
      <c r="R814" s="13">
        <f>CHAIN_RAW!P814</f>
        <v/>
      </c>
      <c r="S814" s="13">
        <f>IFERROR(R814/Q814,"")</f>
        <v/>
      </c>
      <c r="T814" s="13">
        <f>IFERROR((ABS(N814-O814)/MAX(1,(N814+O814)))*EXP(-ABS(E814-CONTROL!E5)/MAX(1,CONTROL!B8)),"")</f>
        <v/>
      </c>
      <c r="U814" s="13">
        <f>IFERROR(IF(O814&gt;N814,"SUPPORT (PE OI)","RESIST (CE OI)"),"")</f>
        <v/>
      </c>
      <c r="V814" s="13">
        <f>IFERROR(IF(Q814&gt;0,IF(R814&gt;0,"BOTH_ADD","CE_ADD_PE_REDUCE"),IF(R814&gt;0,"CE_REDUCE_PE_ADD","BOTH_REDUCE")),"")</f>
        <v/>
      </c>
      <c r="W814" s="13">
        <f>IFERROR( (P814-1)*0.5 + (M814)*0.1 - (I814+J814)*0.05 + T814*0.4 ,"")</f>
        <v/>
      </c>
      <c r="X814" s="13">
        <f>IFERROR(IF(ABS(F814)&lt;0.01,"ATM/NEAR",""),"")</f>
        <v/>
      </c>
    </row>
    <row r="815">
      <c r="A815" s="13">
        <f>CHAIN_RAW!A815</f>
        <v/>
      </c>
      <c r="B815" s="14">
        <f>CHAIN_RAW!B815</f>
        <v/>
      </c>
      <c r="C815" s="13">
        <f>CHAIN_RAW!C815</f>
        <v/>
      </c>
      <c r="D815" s="13">
        <f>CHAIN_RAW!D815</f>
        <v/>
      </c>
      <c r="E815" s="13">
        <f>CHAIN_RAW!E815</f>
        <v/>
      </c>
      <c r="F815" s="13">
        <f>IFERROR((E815-D815)/D815,"")</f>
        <v/>
      </c>
      <c r="G815" s="13">
        <f>IFERROR((CHAIN_RAW!K815+CHAIN_RAW!L815)/2,"")</f>
        <v/>
      </c>
      <c r="H815" s="13">
        <f>IFERROR((CHAIN_RAW!R815+CHAIN_RAW!S815)/2,"")</f>
        <v/>
      </c>
      <c r="I815" s="13">
        <f>IFERROR((CHAIN_RAW!L815-CHAIN_RAW!K815)/MAX(1E-9, G815),"")</f>
        <v/>
      </c>
      <c r="J815" s="13">
        <f>IFERROR((CHAIN_RAW!S815-CHAIN_RAW!R815)/MAX(1E-9, H815),"")</f>
        <v/>
      </c>
      <c r="K815" s="13">
        <f>CHAIN_RAW!G815</f>
        <v/>
      </c>
      <c r="L815" s="13">
        <f>CHAIN_RAW!N815</f>
        <v/>
      </c>
      <c r="M815" s="13">
        <f>IFERROR(L815-K815,"")</f>
        <v/>
      </c>
      <c r="N815" s="13">
        <f>CHAIN_RAW!H815</f>
        <v/>
      </c>
      <c r="O815" s="13">
        <f>CHAIN_RAW!O815</f>
        <v/>
      </c>
      <c r="P815" s="13">
        <f>IFERROR(O815/N815,"")</f>
        <v/>
      </c>
      <c r="Q815" s="13">
        <f>CHAIN_RAW!I815</f>
        <v/>
      </c>
      <c r="R815" s="13">
        <f>CHAIN_RAW!P815</f>
        <v/>
      </c>
      <c r="S815" s="13">
        <f>IFERROR(R815/Q815,"")</f>
        <v/>
      </c>
      <c r="T815" s="13">
        <f>IFERROR((ABS(N815-O815)/MAX(1,(N815+O815)))*EXP(-ABS(E815-CONTROL!E5)/MAX(1,CONTROL!B8)),"")</f>
        <v/>
      </c>
      <c r="U815" s="13">
        <f>IFERROR(IF(O815&gt;N815,"SUPPORT (PE OI)","RESIST (CE OI)"),"")</f>
        <v/>
      </c>
      <c r="V815" s="13">
        <f>IFERROR(IF(Q815&gt;0,IF(R815&gt;0,"BOTH_ADD","CE_ADD_PE_REDUCE"),IF(R815&gt;0,"CE_REDUCE_PE_ADD","BOTH_REDUCE")),"")</f>
        <v/>
      </c>
      <c r="W815" s="13">
        <f>IFERROR( (P815-1)*0.5 + (M815)*0.1 - (I815+J815)*0.05 + T815*0.4 ,"")</f>
        <v/>
      </c>
      <c r="X815" s="13">
        <f>IFERROR(IF(ABS(F815)&lt;0.01,"ATM/NEAR",""),"")</f>
        <v/>
      </c>
    </row>
    <row r="816">
      <c r="A816" s="13">
        <f>CHAIN_RAW!A816</f>
        <v/>
      </c>
      <c r="B816" s="14">
        <f>CHAIN_RAW!B816</f>
        <v/>
      </c>
      <c r="C816" s="13">
        <f>CHAIN_RAW!C816</f>
        <v/>
      </c>
      <c r="D816" s="13">
        <f>CHAIN_RAW!D816</f>
        <v/>
      </c>
      <c r="E816" s="13">
        <f>CHAIN_RAW!E816</f>
        <v/>
      </c>
      <c r="F816" s="13">
        <f>IFERROR((E816-D816)/D816,"")</f>
        <v/>
      </c>
      <c r="G816" s="13">
        <f>IFERROR((CHAIN_RAW!K816+CHAIN_RAW!L816)/2,"")</f>
        <v/>
      </c>
      <c r="H816" s="13">
        <f>IFERROR((CHAIN_RAW!R816+CHAIN_RAW!S816)/2,"")</f>
        <v/>
      </c>
      <c r="I816" s="13">
        <f>IFERROR((CHAIN_RAW!L816-CHAIN_RAW!K816)/MAX(1E-9, G816),"")</f>
        <v/>
      </c>
      <c r="J816" s="13">
        <f>IFERROR((CHAIN_RAW!S816-CHAIN_RAW!R816)/MAX(1E-9, H816),"")</f>
        <v/>
      </c>
      <c r="K816" s="13">
        <f>CHAIN_RAW!G816</f>
        <v/>
      </c>
      <c r="L816" s="13">
        <f>CHAIN_RAW!N816</f>
        <v/>
      </c>
      <c r="M816" s="13">
        <f>IFERROR(L816-K816,"")</f>
        <v/>
      </c>
      <c r="N816" s="13">
        <f>CHAIN_RAW!H816</f>
        <v/>
      </c>
      <c r="O816" s="13">
        <f>CHAIN_RAW!O816</f>
        <v/>
      </c>
      <c r="P816" s="13">
        <f>IFERROR(O816/N816,"")</f>
        <v/>
      </c>
      <c r="Q816" s="13">
        <f>CHAIN_RAW!I816</f>
        <v/>
      </c>
      <c r="R816" s="13">
        <f>CHAIN_RAW!P816</f>
        <v/>
      </c>
      <c r="S816" s="13">
        <f>IFERROR(R816/Q816,"")</f>
        <v/>
      </c>
      <c r="T816" s="13">
        <f>IFERROR((ABS(N816-O816)/MAX(1,(N816+O816)))*EXP(-ABS(E816-CONTROL!E5)/MAX(1,CONTROL!B8)),"")</f>
        <v/>
      </c>
      <c r="U816" s="13">
        <f>IFERROR(IF(O816&gt;N816,"SUPPORT (PE OI)","RESIST (CE OI)"),"")</f>
        <v/>
      </c>
      <c r="V816" s="13">
        <f>IFERROR(IF(Q816&gt;0,IF(R816&gt;0,"BOTH_ADD","CE_ADD_PE_REDUCE"),IF(R816&gt;0,"CE_REDUCE_PE_ADD","BOTH_REDUCE")),"")</f>
        <v/>
      </c>
      <c r="W816" s="13">
        <f>IFERROR( (P816-1)*0.5 + (M816)*0.1 - (I816+J816)*0.05 + T816*0.4 ,"")</f>
        <v/>
      </c>
      <c r="X816" s="13">
        <f>IFERROR(IF(ABS(F816)&lt;0.01,"ATM/NEAR",""),"")</f>
        <v/>
      </c>
    </row>
    <row r="817">
      <c r="A817" s="13">
        <f>CHAIN_RAW!A817</f>
        <v/>
      </c>
      <c r="B817" s="14">
        <f>CHAIN_RAW!B817</f>
        <v/>
      </c>
      <c r="C817" s="13">
        <f>CHAIN_RAW!C817</f>
        <v/>
      </c>
      <c r="D817" s="13">
        <f>CHAIN_RAW!D817</f>
        <v/>
      </c>
      <c r="E817" s="13">
        <f>CHAIN_RAW!E817</f>
        <v/>
      </c>
      <c r="F817" s="13">
        <f>IFERROR((E817-D817)/D817,"")</f>
        <v/>
      </c>
      <c r="G817" s="13">
        <f>IFERROR((CHAIN_RAW!K817+CHAIN_RAW!L817)/2,"")</f>
        <v/>
      </c>
      <c r="H817" s="13">
        <f>IFERROR((CHAIN_RAW!R817+CHAIN_RAW!S817)/2,"")</f>
        <v/>
      </c>
      <c r="I817" s="13">
        <f>IFERROR((CHAIN_RAW!L817-CHAIN_RAW!K817)/MAX(1E-9, G817),"")</f>
        <v/>
      </c>
      <c r="J817" s="13">
        <f>IFERROR((CHAIN_RAW!S817-CHAIN_RAW!R817)/MAX(1E-9, H817),"")</f>
        <v/>
      </c>
      <c r="K817" s="13">
        <f>CHAIN_RAW!G817</f>
        <v/>
      </c>
      <c r="L817" s="13">
        <f>CHAIN_RAW!N817</f>
        <v/>
      </c>
      <c r="M817" s="13">
        <f>IFERROR(L817-K817,"")</f>
        <v/>
      </c>
      <c r="N817" s="13">
        <f>CHAIN_RAW!H817</f>
        <v/>
      </c>
      <c r="O817" s="13">
        <f>CHAIN_RAW!O817</f>
        <v/>
      </c>
      <c r="P817" s="13">
        <f>IFERROR(O817/N817,"")</f>
        <v/>
      </c>
      <c r="Q817" s="13">
        <f>CHAIN_RAW!I817</f>
        <v/>
      </c>
      <c r="R817" s="13">
        <f>CHAIN_RAW!P817</f>
        <v/>
      </c>
      <c r="S817" s="13">
        <f>IFERROR(R817/Q817,"")</f>
        <v/>
      </c>
      <c r="T817" s="13">
        <f>IFERROR((ABS(N817-O817)/MAX(1,(N817+O817)))*EXP(-ABS(E817-CONTROL!E5)/MAX(1,CONTROL!B8)),"")</f>
        <v/>
      </c>
      <c r="U817" s="13">
        <f>IFERROR(IF(O817&gt;N817,"SUPPORT (PE OI)","RESIST (CE OI)"),"")</f>
        <v/>
      </c>
      <c r="V817" s="13">
        <f>IFERROR(IF(Q817&gt;0,IF(R817&gt;0,"BOTH_ADD","CE_ADD_PE_REDUCE"),IF(R817&gt;0,"CE_REDUCE_PE_ADD","BOTH_REDUCE")),"")</f>
        <v/>
      </c>
      <c r="W817" s="13">
        <f>IFERROR( (P817-1)*0.5 + (M817)*0.1 - (I817+J817)*0.05 + T817*0.4 ,"")</f>
        <v/>
      </c>
      <c r="X817" s="13">
        <f>IFERROR(IF(ABS(F817)&lt;0.01,"ATM/NEAR",""),"")</f>
        <v/>
      </c>
    </row>
    <row r="818">
      <c r="A818" s="13">
        <f>CHAIN_RAW!A818</f>
        <v/>
      </c>
      <c r="B818" s="14">
        <f>CHAIN_RAW!B818</f>
        <v/>
      </c>
      <c r="C818" s="13">
        <f>CHAIN_RAW!C818</f>
        <v/>
      </c>
      <c r="D818" s="13">
        <f>CHAIN_RAW!D818</f>
        <v/>
      </c>
      <c r="E818" s="13">
        <f>CHAIN_RAW!E818</f>
        <v/>
      </c>
      <c r="F818" s="13">
        <f>IFERROR((E818-D818)/D818,"")</f>
        <v/>
      </c>
      <c r="G818" s="13">
        <f>IFERROR((CHAIN_RAW!K818+CHAIN_RAW!L818)/2,"")</f>
        <v/>
      </c>
      <c r="H818" s="13">
        <f>IFERROR((CHAIN_RAW!R818+CHAIN_RAW!S818)/2,"")</f>
        <v/>
      </c>
      <c r="I818" s="13">
        <f>IFERROR((CHAIN_RAW!L818-CHAIN_RAW!K818)/MAX(1E-9, G818),"")</f>
        <v/>
      </c>
      <c r="J818" s="13">
        <f>IFERROR((CHAIN_RAW!S818-CHAIN_RAW!R818)/MAX(1E-9, H818),"")</f>
        <v/>
      </c>
      <c r="K818" s="13">
        <f>CHAIN_RAW!G818</f>
        <v/>
      </c>
      <c r="L818" s="13">
        <f>CHAIN_RAW!N818</f>
        <v/>
      </c>
      <c r="M818" s="13">
        <f>IFERROR(L818-K818,"")</f>
        <v/>
      </c>
      <c r="N818" s="13">
        <f>CHAIN_RAW!H818</f>
        <v/>
      </c>
      <c r="O818" s="13">
        <f>CHAIN_RAW!O818</f>
        <v/>
      </c>
      <c r="P818" s="13">
        <f>IFERROR(O818/N818,"")</f>
        <v/>
      </c>
      <c r="Q818" s="13">
        <f>CHAIN_RAW!I818</f>
        <v/>
      </c>
      <c r="R818" s="13">
        <f>CHAIN_RAW!P818</f>
        <v/>
      </c>
      <c r="S818" s="13">
        <f>IFERROR(R818/Q818,"")</f>
        <v/>
      </c>
      <c r="T818" s="13">
        <f>IFERROR((ABS(N818-O818)/MAX(1,(N818+O818)))*EXP(-ABS(E818-CONTROL!E5)/MAX(1,CONTROL!B8)),"")</f>
        <v/>
      </c>
      <c r="U818" s="13">
        <f>IFERROR(IF(O818&gt;N818,"SUPPORT (PE OI)","RESIST (CE OI)"),"")</f>
        <v/>
      </c>
      <c r="V818" s="13">
        <f>IFERROR(IF(Q818&gt;0,IF(R818&gt;0,"BOTH_ADD","CE_ADD_PE_REDUCE"),IF(R818&gt;0,"CE_REDUCE_PE_ADD","BOTH_REDUCE")),"")</f>
        <v/>
      </c>
      <c r="W818" s="13">
        <f>IFERROR( (P818-1)*0.5 + (M818)*0.1 - (I818+J818)*0.05 + T818*0.4 ,"")</f>
        <v/>
      </c>
      <c r="X818" s="13">
        <f>IFERROR(IF(ABS(F818)&lt;0.01,"ATM/NEAR",""),"")</f>
        <v/>
      </c>
    </row>
    <row r="819">
      <c r="A819" s="13">
        <f>CHAIN_RAW!A819</f>
        <v/>
      </c>
      <c r="B819" s="14">
        <f>CHAIN_RAW!B819</f>
        <v/>
      </c>
      <c r="C819" s="13">
        <f>CHAIN_RAW!C819</f>
        <v/>
      </c>
      <c r="D819" s="13">
        <f>CHAIN_RAW!D819</f>
        <v/>
      </c>
      <c r="E819" s="13">
        <f>CHAIN_RAW!E819</f>
        <v/>
      </c>
      <c r="F819" s="13">
        <f>IFERROR((E819-D819)/D819,"")</f>
        <v/>
      </c>
      <c r="G819" s="13">
        <f>IFERROR((CHAIN_RAW!K819+CHAIN_RAW!L819)/2,"")</f>
        <v/>
      </c>
      <c r="H819" s="13">
        <f>IFERROR((CHAIN_RAW!R819+CHAIN_RAW!S819)/2,"")</f>
        <v/>
      </c>
      <c r="I819" s="13">
        <f>IFERROR((CHAIN_RAW!L819-CHAIN_RAW!K819)/MAX(1E-9, G819),"")</f>
        <v/>
      </c>
      <c r="J819" s="13">
        <f>IFERROR((CHAIN_RAW!S819-CHAIN_RAW!R819)/MAX(1E-9, H819),"")</f>
        <v/>
      </c>
      <c r="K819" s="13">
        <f>CHAIN_RAW!G819</f>
        <v/>
      </c>
      <c r="L819" s="13">
        <f>CHAIN_RAW!N819</f>
        <v/>
      </c>
      <c r="M819" s="13">
        <f>IFERROR(L819-K819,"")</f>
        <v/>
      </c>
      <c r="N819" s="13">
        <f>CHAIN_RAW!H819</f>
        <v/>
      </c>
      <c r="O819" s="13">
        <f>CHAIN_RAW!O819</f>
        <v/>
      </c>
      <c r="P819" s="13">
        <f>IFERROR(O819/N819,"")</f>
        <v/>
      </c>
      <c r="Q819" s="13">
        <f>CHAIN_RAW!I819</f>
        <v/>
      </c>
      <c r="R819" s="13">
        <f>CHAIN_RAW!P819</f>
        <v/>
      </c>
      <c r="S819" s="13">
        <f>IFERROR(R819/Q819,"")</f>
        <v/>
      </c>
      <c r="T819" s="13">
        <f>IFERROR((ABS(N819-O819)/MAX(1,(N819+O819)))*EXP(-ABS(E819-CONTROL!E5)/MAX(1,CONTROL!B8)),"")</f>
        <v/>
      </c>
      <c r="U819" s="13">
        <f>IFERROR(IF(O819&gt;N819,"SUPPORT (PE OI)","RESIST (CE OI)"),"")</f>
        <v/>
      </c>
      <c r="V819" s="13">
        <f>IFERROR(IF(Q819&gt;0,IF(R819&gt;0,"BOTH_ADD","CE_ADD_PE_REDUCE"),IF(R819&gt;0,"CE_REDUCE_PE_ADD","BOTH_REDUCE")),"")</f>
        <v/>
      </c>
      <c r="W819" s="13">
        <f>IFERROR( (P819-1)*0.5 + (M819)*0.1 - (I819+J819)*0.05 + T819*0.4 ,"")</f>
        <v/>
      </c>
      <c r="X819" s="13">
        <f>IFERROR(IF(ABS(F819)&lt;0.01,"ATM/NEAR",""),"")</f>
        <v/>
      </c>
    </row>
    <row r="820">
      <c r="A820" s="13">
        <f>CHAIN_RAW!A820</f>
        <v/>
      </c>
      <c r="B820" s="14">
        <f>CHAIN_RAW!B820</f>
        <v/>
      </c>
      <c r="C820" s="13">
        <f>CHAIN_RAW!C820</f>
        <v/>
      </c>
      <c r="D820" s="13">
        <f>CHAIN_RAW!D820</f>
        <v/>
      </c>
      <c r="E820" s="13">
        <f>CHAIN_RAW!E820</f>
        <v/>
      </c>
      <c r="F820" s="13">
        <f>IFERROR((E820-D820)/D820,"")</f>
        <v/>
      </c>
      <c r="G820" s="13">
        <f>IFERROR((CHAIN_RAW!K820+CHAIN_RAW!L820)/2,"")</f>
        <v/>
      </c>
      <c r="H820" s="13">
        <f>IFERROR((CHAIN_RAW!R820+CHAIN_RAW!S820)/2,"")</f>
        <v/>
      </c>
      <c r="I820" s="13">
        <f>IFERROR((CHAIN_RAW!L820-CHAIN_RAW!K820)/MAX(1E-9, G820),"")</f>
        <v/>
      </c>
      <c r="J820" s="13">
        <f>IFERROR((CHAIN_RAW!S820-CHAIN_RAW!R820)/MAX(1E-9, H820),"")</f>
        <v/>
      </c>
      <c r="K820" s="13">
        <f>CHAIN_RAW!G820</f>
        <v/>
      </c>
      <c r="L820" s="13">
        <f>CHAIN_RAW!N820</f>
        <v/>
      </c>
      <c r="M820" s="13">
        <f>IFERROR(L820-K820,"")</f>
        <v/>
      </c>
      <c r="N820" s="13">
        <f>CHAIN_RAW!H820</f>
        <v/>
      </c>
      <c r="O820" s="13">
        <f>CHAIN_RAW!O820</f>
        <v/>
      </c>
      <c r="P820" s="13">
        <f>IFERROR(O820/N820,"")</f>
        <v/>
      </c>
      <c r="Q820" s="13">
        <f>CHAIN_RAW!I820</f>
        <v/>
      </c>
      <c r="R820" s="13">
        <f>CHAIN_RAW!P820</f>
        <v/>
      </c>
      <c r="S820" s="13">
        <f>IFERROR(R820/Q820,"")</f>
        <v/>
      </c>
      <c r="T820" s="13">
        <f>IFERROR((ABS(N820-O820)/MAX(1,(N820+O820)))*EXP(-ABS(E820-CONTROL!E5)/MAX(1,CONTROL!B8)),"")</f>
        <v/>
      </c>
      <c r="U820" s="13">
        <f>IFERROR(IF(O820&gt;N820,"SUPPORT (PE OI)","RESIST (CE OI)"),"")</f>
        <v/>
      </c>
      <c r="V820" s="13">
        <f>IFERROR(IF(Q820&gt;0,IF(R820&gt;0,"BOTH_ADD","CE_ADD_PE_REDUCE"),IF(R820&gt;0,"CE_REDUCE_PE_ADD","BOTH_REDUCE")),"")</f>
        <v/>
      </c>
      <c r="W820" s="13">
        <f>IFERROR( (P820-1)*0.5 + (M820)*0.1 - (I820+J820)*0.05 + T820*0.4 ,"")</f>
        <v/>
      </c>
      <c r="X820" s="13">
        <f>IFERROR(IF(ABS(F820)&lt;0.01,"ATM/NEAR",""),"")</f>
        <v/>
      </c>
    </row>
    <row r="821">
      <c r="A821" s="13">
        <f>CHAIN_RAW!A821</f>
        <v/>
      </c>
      <c r="B821" s="14">
        <f>CHAIN_RAW!B821</f>
        <v/>
      </c>
      <c r="C821" s="13">
        <f>CHAIN_RAW!C821</f>
        <v/>
      </c>
      <c r="D821" s="13">
        <f>CHAIN_RAW!D821</f>
        <v/>
      </c>
      <c r="E821" s="13">
        <f>CHAIN_RAW!E821</f>
        <v/>
      </c>
      <c r="F821" s="13">
        <f>IFERROR((E821-D821)/D821,"")</f>
        <v/>
      </c>
      <c r="G821" s="13">
        <f>IFERROR((CHAIN_RAW!K821+CHAIN_RAW!L821)/2,"")</f>
        <v/>
      </c>
      <c r="H821" s="13">
        <f>IFERROR((CHAIN_RAW!R821+CHAIN_RAW!S821)/2,"")</f>
        <v/>
      </c>
      <c r="I821" s="13">
        <f>IFERROR((CHAIN_RAW!L821-CHAIN_RAW!K821)/MAX(1E-9, G821),"")</f>
        <v/>
      </c>
      <c r="J821" s="13">
        <f>IFERROR((CHAIN_RAW!S821-CHAIN_RAW!R821)/MAX(1E-9, H821),"")</f>
        <v/>
      </c>
      <c r="K821" s="13">
        <f>CHAIN_RAW!G821</f>
        <v/>
      </c>
      <c r="L821" s="13">
        <f>CHAIN_RAW!N821</f>
        <v/>
      </c>
      <c r="M821" s="13">
        <f>IFERROR(L821-K821,"")</f>
        <v/>
      </c>
      <c r="N821" s="13">
        <f>CHAIN_RAW!H821</f>
        <v/>
      </c>
      <c r="O821" s="13">
        <f>CHAIN_RAW!O821</f>
        <v/>
      </c>
      <c r="P821" s="13">
        <f>IFERROR(O821/N821,"")</f>
        <v/>
      </c>
      <c r="Q821" s="13">
        <f>CHAIN_RAW!I821</f>
        <v/>
      </c>
      <c r="R821" s="13">
        <f>CHAIN_RAW!P821</f>
        <v/>
      </c>
      <c r="S821" s="13">
        <f>IFERROR(R821/Q821,"")</f>
        <v/>
      </c>
      <c r="T821" s="13">
        <f>IFERROR((ABS(N821-O821)/MAX(1,(N821+O821)))*EXP(-ABS(E821-CONTROL!E5)/MAX(1,CONTROL!B8)),"")</f>
        <v/>
      </c>
      <c r="U821" s="13">
        <f>IFERROR(IF(O821&gt;N821,"SUPPORT (PE OI)","RESIST (CE OI)"),"")</f>
        <v/>
      </c>
      <c r="V821" s="13">
        <f>IFERROR(IF(Q821&gt;0,IF(R821&gt;0,"BOTH_ADD","CE_ADD_PE_REDUCE"),IF(R821&gt;0,"CE_REDUCE_PE_ADD","BOTH_REDUCE")),"")</f>
        <v/>
      </c>
      <c r="W821" s="13">
        <f>IFERROR( (P821-1)*0.5 + (M821)*0.1 - (I821+J821)*0.05 + T821*0.4 ,"")</f>
        <v/>
      </c>
      <c r="X821" s="13">
        <f>IFERROR(IF(ABS(F821)&lt;0.01,"ATM/NEAR",""),"")</f>
        <v/>
      </c>
    </row>
    <row r="822">
      <c r="A822" s="13">
        <f>CHAIN_RAW!A822</f>
        <v/>
      </c>
      <c r="B822" s="14">
        <f>CHAIN_RAW!B822</f>
        <v/>
      </c>
      <c r="C822" s="13">
        <f>CHAIN_RAW!C822</f>
        <v/>
      </c>
      <c r="D822" s="13">
        <f>CHAIN_RAW!D822</f>
        <v/>
      </c>
      <c r="E822" s="13">
        <f>CHAIN_RAW!E822</f>
        <v/>
      </c>
      <c r="F822" s="13">
        <f>IFERROR((E822-D822)/D822,"")</f>
        <v/>
      </c>
      <c r="G822" s="13">
        <f>IFERROR((CHAIN_RAW!K822+CHAIN_RAW!L822)/2,"")</f>
        <v/>
      </c>
      <c r="H822" s="13">
        <f>IFERROR((CHAIN_RAW!R822+CHAIN_RAW!S822)/2,"")</f>
        <v/>
      </c>
      <c r="I822" s="13">
        <f>IFERROR((CHAIN_RAW!L822-CHAIN_RAW!K822)/MAX(1E-9, G822),"")</f>
        <v/>
      </c>
      <c r="J822" s="13">
        <f>IFERROR((CHAIN_RAW!S822-CHAIN_RAW!R822)/MAX(1E-9, H822),"")</f>
        <v/>
      </c>
      <c r="K822" s="13">
        <f>CHAIN_RAW!G822</f>
        <v/>
      </c>
      <c r="L822" s="13">
        <f>CHAIN_RAW!N822</f>
        <v/>
      </c>
      <c r="M822" s="13">
        <f>IFERROR(L822-K822,"")</f>
        <v/>
      </c>
      <c r="N822" s="13">
        <f>CHAIN_RAW!H822</f>
        <v/>
      </c>
      <c r="O822" s="13">
        <f>CHAIN_RAW!O822</f>
        <v/>
      </c>
      <c r="P822" s="13">
        <f>IFERROR(O822/N822,"")</f>
        <v/>
      </c>
      <c r="Q822" s="13">
        <f>CHAIN_RAW!I822</f>
        <v/>
      </c>
      <c r="R822" s="13">
        <f>CHAIN_RAW!P822</f>
        <v/>
      </c>
      <c r="S822" s="13">
        <f>IFERROR(R822/Q822,"")</f>
        <v/>
      </c>
      <c r="T822" s="13">
        <f>IFERROR((ABS(N822-O822)/MAX(1,(N822+O822)))*EXP(-ABS(E822-CONTROL!E5)/MAX(1,CONTROL!B8)),"")</f>
        <v/>
      </c>
      <c r="U822" s="13">
        <f>IFERROR(IF(O822&gt;N822,"SUPPORT (PE OI)","RESIST (CE OI)"),"")</f>
        <v/>
      </c>
      <c r="V822" s="13">
        <f>IFERROR(IF(Q822&gt;0,IF(R822&gt;0,"BOTH_ADD","CE_ADD_PE_REDUCE"),IF(R822&gt;0,"CE_REDUCE_PE_ADD","BOTH_REDUCE")),"")</f>
        <v/>
      </c>
      <c r="W822" s="13">
        <f>IFERROR( (P822-1)*0.5 + (M822)*0.1 - (I822+J822)*0.05 + T822*0.4 ,"")</f>
        <v/>
      </c>
      <c r="X822" s="13">
        <f>IFERROR(IF(ABS(F822)&lt;0.01,"ATM/NEAR",""),"")</f>
        <v/>
      </c>
    </row>
    <row r="823">
      <c r="A823" s="13">
        <f>CHAIN_RAW!A823</f>
        <v/>
      </c>
      <c r="B823" s="14">
        <f>CHAIN_RAW!B823</f>
        <v/>
      </c>
      <c r="C823" s="13">
        <f>CHAIN_RAW!C823</f>
        <v/>
      </c>
      <c r="D823" s="13">
        <f>CHAIN_RAW!D823</f>
        <v/>
      </c>
      <c r="E823" s="13">
        <f>CHAIN_RAW!E823</f>
        <v/>
      </c>
      <c r="F823" s="13">
        <f>IFERROR((E823-D823)/D823,"")</f>
        <v/>
      </c>
      <c r="G823" s="13">
        <f>IFERROR((CHAIN_RAW!K823+CHAIN_RAW!L823)/2,"")</f>
        <v/>
      </c>
      <c r="H823" s="13">
        <f>IFERROR((CHAIN_RAW!R823+CHAIN_RAW!S823)/2,"")</f>
        <v/>
      </c>
      <c r="I823" s="13">
        <f>IFERROR((CHAIN_RAW!L823-CHAIN_RAW!K823)/MAX(1E-9, G823),"")</f>
        <v/>
      </c>
      <c r="J823" s="13">
        <f>IFERROR((CHAIN_RAW!S823-CHAIN_RAW!R823)/MAX(1E-9, H823),"")</f>
        <v/>
      </c>
      <c r="K823" s="13">
        <f>CHAIN_RAW!G823</f>
        <v/>
      </c>
      <c r="L823" s="13">
        <f>CHAIN_RAW!N823</f>
        <v/>
      </c>
      <c r="M823" s="13">
        <f>IFERROR(L823-K823,"")</f>
        <v/>
      </c>
      <c r="N823" s="13">
        <f>CHAIN_RAW!H823</f>
        <v/>
      </c>
      <c r="O823" s="13">
        <f>CHAIN_RAW!O823</f>
        <v/>
      </c>
      <c r="P823" s="13">
        <f>IFERROR(O823/N823,"")</f>
        <v/>
      </c>
      <c r="Q823" s="13">
        <f>CHAIN_RAW!I823</f>
        <v/>
      </c>
      <c r="R823" s="13">
        <f>CHAIN_RAW!P823</f>
        <v/>
      </c>
      <c r="S823" s="13">
        <f>IFERROR(R823/Q823,"")</f>
        <v/>
      </c>
      <c r="T823" s="13">
        <f>IFERROR((ABS(N823-O823)/MAX(1,(N823+O823)))*EXP(-ABS(E823-CONTROL!E5)/MAX(1,CONTROL!B8)),"")</f>
        <v/>
      </c>
      <c r="U823" s="13">
        <f>IFERROR(IF(O823&gt;N823,"SUPPORT (PE OI)","RESIST (CE OI)"),"")</f>
        <v/>
      </c>
      <c r="V823" s="13">
        <f>IFERROR(IF(Q823&gt;0,IF(R823&gt;0,"BOTH_ADD","CE_ADD_PE_REDUCE"),IF(R823&gt;0,"CE_REDUCE_PE_ADD","BOTH_REDUCE")),"")</f>
        <v/>
      </c>
      <c r="W823" s="13">
        <f>IFERROR( (P823-1)*0.5 + (M823)*0.1 - (I823+J823)*0.05 + T823*0.4 ,"")</f>
        <v/>
      </c>
      <c r="X823" s="13">
        <f>IFERROR(IF(ABS(F823)&lt;0.01,"ATM/NEAR",""),"")</f>
        <v/>
      </c>
    </row>
    <row r="824">
      <c r="A824" s="13">
        <f>CHAIN_RAW!A824</f>
        <v/>
      </c>
      <c r="B824" s="14">
        <f>CHAIN_RAW!B824</f>
        <v/>
      </c>
      <c r="C824" s="13">
        <f>CHAIN_RAW!C824</f>
        <v/>
      </c>
      <c r="D824" s="13">
        <f>CHAIN_RAW!D824</f>
        <v/>
      </c>
      <c r="E824" s="13">
        <f>CHAIN_RAW!E824</f>
        <v/>
      </c>
      <c r="F824" s="13">
        <f>IFERROR((E824-D824)/D824,"")</f>
        <v/>
      </c>
      <c r="G824" s="13">
        <f>IFERROR((CHAIN_RAW!K824+CHAIN_RAW!L824)/2,"")</f>
        <v/>
      </c>
      <c r="H824" s="13">
        <f>IFERROR((CHAIN_RAW!R824+CHAIN_RAW!S824)/2,"")</f>
        <v/>
      </c>
      <c r="I824" s="13">
        <f>IFERROR((CHAIN_RAW!L824-CHAIN_RAW!K824)/MAX(1E-9, G824),"")</f>
        <v/>
      </c>
      <c r="J824" s="13">
        <f>IFERROR((CHAIN_RAW!S824-CHAIN_RAW!R824)/MAX(1E-9, H824),"")</f>
        <v/>
      </c>
      <c r="K824" s="13">
        <f>CHAIN_RAW!G824</f>
        <v/>
      </c>
      <c r="L824" s="13">
        <f>CHAIN_RAW!N824</f>
        <v/>
      </c>
      <c r="M824" s="13">
        <f>IFERROR(L824-K824,"")</f>
        <v/>
      </c>
      <c r="N824" s="13">
        <f>CHAIN_RAW!H824</f>
        <v/>
      </c>
      <c r="O824" s="13">
        <f>CHAIN_RAW!O824</f>
        <v/>
      </c>
      <c r="P824" s="13">
        <f>IFERROR(O824/N824,"")</f>
        <v/>
      </c>
      <c r="Q824" s="13">
        <f>CHAIN_RAW!I824</f>
        <v/>
      </c>
      <c r="R824" s="13">
        <f>CHAIN_RAW!P824</f>
        <v/>
      </c>
      <c r="S824" s="13">
        <f>IFERROR(R824/Q824,"")</f>
        <v/>
      </c>
      <c r="T824" s="13">
        <f>IFERROR((ABS(N824-O824)/MAX(1,(N824+O824)))*EXP(-ABS(E824-CONTROL!E5)/MAX(1,CONTROL!B8)),"")</f>
        <v/>
      </c>
      <c r="U824" s="13">
        <f>IFERROR(IF(O824&gt;N824,"SUPPORT (PE OI)","RESIST (CE OI)"),"")</f>
        <v/>
      </c>
      <c r="V824" s="13">
        <f>IFERROR(IF(Q824&gt;0,IF(R824&gt;0,"BOTH_ADD","CE_ADD_PE_REDUCE"),IF(R824&gt;0,"CE_REDUCE_PE_ADD","BOTH_REDUCE")),"")</f>
        <v/>
      </c>
      <c r="W824" s="13">
        <f>IFERROR( (P824-1)*0.5 + (M824)*0.1 - (I824+J824)*0.05 + T824*0.4 ,"")</f>
        <v/>
      </c>
      <c r="X824" s="13">
        <f>IFERROR(IF(ABS(F824)&lt;0.01,"ATM/NEAR",""),"")</f>
        <v/>
      </c>
    </row>
    <row r="825">
      <c r="A825" s="13">
        <f>CHAIN_RAW!A825</f>
        <v/>
      </c>
      <c r="B825" s="14">
        <f>CHAIN_RAW!B825</f>
        <v/>
      </c>
      <c r="C825" s="13">
        <f>CHAIN_RAW!C825</f>
        <v/>
      </c>
      <c r="D825" s="13">
        <f>CHAIN_RAW!D825</f>
        <v/>
      </c>
      <c r="E825" s="13">
        <f>CHAIN_RAW!E825</f>
        <v/>
      </c>
      <c r="F825" s="13">
        <f>IFERROR((E825-D825)/D825,"")</f>
        <v/>
      </c>
      <c r="G825" s="13">
        <f>IFERROR((CHAIN_RAW!K825+CHAIN_RAW!L825)/2,"")</f>
        <v/>
      </c>
      <c r="H825" s="13">
        <f>IFERROR((CHAIN_RAW!R825+CHAIN_RAW!S825)/2,"")</f>
        <v/>
      </c>
      <c r="I825" s="13">
        <f>IFERROR((CHAIN_RAW!L825-CHAIN_RAW!K825)/MAX(1E-9, G825),"")</f>
        <v/>
      </c>
      <c r="J825" s="13">
        <f>IFERROR((CHAIN_RAW!S825-CHAIN_RAW!R825)/MAX(1E-9, H825),"")</f>
        <v/>
      </c>
      <c r="K825" s="13">
        <f>CHAIN_RAW!G825</f>
        <v/>
      </c>
      <c r="L825" s="13">
        <f>CHAIN_RAW!N825</f>
        <v/>
      </c>
      <c r="M825" s="13">
        <f>IFERROR(L825-K825,"")</f>
        <v/>
      </c>
      <c r="N825" s="13">
        <f>CHAIN_RAW!H825</f>
        <v/>
      </c>
      <c r="O825" s="13">
        <f>CHAIN_RAW!O825</f>
        <v/>
      </c>
      <c r="P825" s="13">
        <f>IFERROR(O825/N825,"")</f>
        <v/>
      </c>
      <c r="Q825" s="13">
        <f>CHAIN_RAW!I825</f>
        <v/>
      </c>
      <c r="R825" s="13">
        <f>CHAIN_RAW!P825</f>
        <v/>
      </c>
      <c r="S825" s="13">
        <f>IFERROR(R825/Q825,"")</f>
        <v/>
      </c>
      <c r="T825" s="13">
        <f>IFERROR((ABS(N825-O825)/MAX(1,(N825+O825)))*EXP(-ABS(E825-CONTROL!E5)/MAX(1,CONTROL!B8)),"")</f>
        <v/>
      </c>
      <c r="U825" s="13">
        <f>IFERROR(IF(O825&gt;N825,"SUPPORT (PE OI)","RESIST (CE OI)"),"")</f>
        <v/>
      </c>
      <c r="V825" s="13">
        <f>IFERROR(IF(Q825&gt;0,IF(R825&gt;0,"BOTH_ADD","CE_ADD_PE_REDUCE"),IF(R825&gt;0,"CE_REDUCE_PE_ADD","BOTH_REDUCE")),"")</f>
        <v/>
      </c>
      <c r="W825" s="13">
        <f>IFERROR( (P825-1)*0.5 + (M825)*0.1 - (I825+J825)*0.05 + T825*0.4 ,"")</f>
        <v/>
      </c>
      <c r="X825" s="13">
        <f>IFERROR(IF(ABS(F825)&lt;0.01,"ATM/NEAR",""),"")</f>
        <v/>
      </c>
    </row>
    <row r="826">
      <c r="A826" s="13">
        <f>CHAIN_RAW!A826</f>
        <v/>
      </c>
      <c r="B826" s="14">
        <f>CHAIN_RAW!B826</f>
        <v/>
      </c>
      <c r="C826" s="13">
        <f>CHAIN_RAW!C826</f>
        <v/>
      </c>
      <c r="D826" s="13">
        <f>CHAIN_RAW!D826</f>
        <v/>
      </c>
      <c r="E826" s="13">
        <f>CHAIN_RAW!E826</f>
        <v/>
      </c>
      <c r="F826" s="13">
        <f>IFERROR((E826-D826)/D826,"")</f>
        <v/>
      </c>
      <c r="G826" s="13">
        <f>IFERROR((CHAIN_RAW!K826+CHAIN_RAW!L826)/2,"")</f>
        <v/>
      </c>
      <c r="H826" s="13">
        <f>IFERROR((CHAIN_RAW!R826+CHAIN_RAW!S826)/2,"")</f>
        <v/>
      </c>
      <c r="I826" s="13">
        <f>IFERROR((CHAIN_RAW!L826-CHAIN_RAW!K826)/MAX(1E-9, G826),"")</f>
        <v/>
      </c>
      <c r="J826" s="13">
        <f>IFERROR((CHAIN_RAW!S826-CHAIN_RAW!R826)/MAX(1E-9, H826),"")</f>
        <v/>
      </c>
      <c r="K826" s="13">
        <f>CHAIN_RAW!G826</f>
        <v/>
      </c>
      <c r="L826" s="13">
        <f>CHAIN_RAW!N826</f>
        <v/>
      </c>
      <c r="M826" s="13">
        <f>IFERROR(L826-K826,"")</f>
        <v/>
      </c>
      <c r="N826" s="13">
        <f>CHAIN_RAW!H826</f>
        <v/>
      </c>
      <c r="O826" s="13">
        <f>CHAIN_RAW!O826</f>
        <v/>
      </c>
      <c r="P826" s="13">
        <f>IFERROR(O826/N826,"")</f>
        <v/>
      </c>
      <c r="Q826" s="13">
        <f>CHAIN_RAW!I826</f>
        <v/>
      </c>
      <c r="R826" s="13">
        <f>CHAIN_RAW!P826</f>
        <v/>
      </c>
      <c r="S826" s="13">
        <f>IFERROR(R826/Q826,"")</f>
        <v/>
      </c>
      <c r="T826" s="13">
        <f>IFERROR((ABS(N826-O826)/MAX(1,(N826+O826)))*EXP(-ABS(E826-CONTROL!E5)/MAX(1,CONTROL!B8)),"")</f>
        <v/>
      </c>
      <c r="U826" s="13">
        <f>IFERROR(IF(O826&gt;N826,"SUPPORT (PE OI)","RESIST (CE OI)"),"")</f>
        <v/>
      </c>
      <c r="V826" s="13">
        <f>IFERROR(IF(Q826&gt;0,IF(R826&gt;0,"BOTH_ADD","CE_ADD_PE_REDUCE"),IF(R826&gt;0,"CE_REDUCE_PE_ADD","BOTH_REDUCE")),"")</f>
        <v/>
      </c>
      <c r="W826" s="13">
        <f>IFERROR( (P826-1)*0.5 + (M826)*0.1 - (I826+J826)*0.05 + T826*0.4 ,"")</f>
        <v/>
      </c>
      <c r="X826" s="13">
        <f>IFERROR(IF(ABS(F826)&lt;0.01,"ATM/NEAR",""),"")</f>
        <v/>
      </c>
    </row>
    <row r="827">
      <c r="A827" s="13">
        <f>CHAIN_RAW!A827</f>
        <v/>
      </c>
      <c r="B827" s="14">
        <f>CHAIN_RAW!B827</f>
        <v/>
      </c>
      <c r="C827" s="13">
        <f>CHAIN_RAW!C827</f>
        <v/>
      </c>
      <c r="D827" s="13">
        <f>CHAIN_RAW!D827</f>
        <v/>
      </c>
      <c r="E827" s="13">
        <f>CHAIN_RAW!E827</f>
        <v/>
      </c>
      <c r="F827" s="13">
        <f>IFERROR((E827-D827)/D827,"")</f>
        <v/>
      </c>
      <c r="G827" s="13">
        <f>IFERROR((CHAIN_RAW!K827+CHAIN_RAW!L827)/2,"")</f>
        <v/>
      </c>
      <c r="H827" s="13">
        <f>IFERROR((CHAIN_RAW!R827+CHAIN_RAW!S827)/2,"")</f>
        <v/>
      </c>
      <c r="I827" s="13">
        <f>IFERROR((CHAIN_RAW!L827-CHAIN_RAW!K827)/MAX(1E-9, G827),"")</f>
        <v/>
      </c>
      <c r="J827" s="13">
        <f>IFERROR((CHAIN_RAW!S827-CHAIN_RAW!R827)/MAX(1E-9, H827),"")</f>
        <v/>
      </c>
      <c r="K827" s="13">
        <f>CHAIN_RAW!G827</f>
        <v/>
      </c>
      <c r="L827" s="13">
        <f>CHAIN_RAW!N827</f>
        <v/>
      </c>
      <c r="M827" s="13">
        <f>IFERROR(L827-K827,"")</f>
        <v/>
      </c>
      <c r="N827" s="13">
        <f>CHAIN_RAW!H827</f>
        <v/>
      </c>
      <c r="O827" s="13">
        <f>CHAIN_RAW!O827</f>
        <v/>
      </c>
      <c r="P827" s="13">
        <f>IFERROR(O827/N827,"")</f>
        <v/>
      </c>
      <c r="Q827" s="13">
        <f>CHAIN_RAW!I827</f>
        <v/>
      </c>
      <c r="R827" s="13">
        <f>CHAIN_RAW!P827</f>
        <v/>
      </c>
      <c r="S827" s="13">
        <f>IFERROR(R827/Q827,"")</f>
        <v/>
      </c>
      <c r="T827" s="13">
        <f>IFERROR((ABS(N827-O827)/MAX(1,(N827+O827)))*EXP(-ABS(E827-CONTROL!E5)/MAX(1,CONTROL!B8)),"")</f>
        <v/>
      </c>
      <c r="U827" s="13">
        <f>IFERROR(IF(O827&gt;N827,"SUPPORT (PE OI)","RESIST (CE OI)"),"")</f>
        <v/>
      </c>
      <c r="V827" s="13">
        <f>IFERROR(IF(Q827&gt;0,IF(R827&gt;0,"BOTH_ADD","CE_ADD_PE_REDUCE"),IF(R827&gt;0,"CE_REDUCE_PE_ADD","BOTH_REDUCE")),"")</f>
        <v/>
      </c>
      <c r="W827" s="13">
        <f>IFERROR( (P827-1)*0.5 + (M827)*0.1 - (I827+J827)*0.05 + T827*0.4 ,"")</f>
        <v/>
      </c>
      <c r="X827" s="13">
        <f>IFERROR(IF(ABS(F827)&lt;0.01,"ATM/NEAR",""),"")</f>
        <v/>
      </c>
    </row>
    <row r="828">
      <c r="A828" s="13">
        <f>CHAIN_RAW!A828</f>
        <v/>
      </c>
      <c r="B828" s="14">
        <f>CHAIN_RAW!B828</f>
        <v/>
      </c>
      <c r="C828" s="13">
        <f>CHAIN_RAW!C828</f>
        <v/>
      </c>
      <c r="D828" s="13">
        <f>CHAIN_RAW!D828</f>
        <v/>
      </c>
      <c r="E828" s="13">
        <f>CHAIN_RAW!E828</f>
        <v/>
      </c>
      <c r="F828" s="13">
        <f>IFERROR((E828-D828)/D828,"")</f>
        <v/>
      </c>
      <c r="G828" s="13">
        <f>IFERROR((CHAIN_RAW!K828+CHAIN_RAW!L828)/2,"")</f>
        <v/>
      </c>
      <c r="H828" s="13">
        <f>IFERROR((CHAIN_RAW!R828+CHAIN_RAW!S828)/2,"")</f>
        <v/>
      </c>
      <c r="I828" s="13">
        <f>IFERROR((CHAIN_RAW!L828-CHAIN_RAW!K828)/MAX(1E-9, G828),"")</f>
        <v/>
      </c>
      <c r="J828" s="13">
        <f>IFERROR((CHAIN_RAW!S828-CHAIN_RAW!R828)/MAX(1E-9, H828),"")</f>
        <v/>
      </c>
      <c r="K828" s="13">
        <f>CHAIN_RAW!G828</f>
        <v/>
      </c>
      <c r="L828" s="13">
        <f>CHAIN_RAW!N828</f>
        <v/>
      </c>
      <c r="M828" s="13">
        <f>IFERROR(L828-K828,"")</f>
        <v/>
      </c>
      <c r="N828" s="13">
        <f>CHAIN_RAW!H828</f>
        <v/>
      </c>
      <c r="O828" s="13">
        <f>CHAIN_RAW!O828</f>
        <v/>
      </c>
      <c r="P828" s="13">
        <f>IFERROR(O828/N828,"")</f>
        <v/>
      </c>
      <c r="Q828" s="13">
        <f>CHAIN_RAW!I828</f>
        <v/>
      </c>
      <c r="R828" s="13">
        <f>CHAIN_RAW!P828</f>
        <v/>
      </c>
      <c r="S828" s="13">
        <f>IFERROR(R828/Q828,"")</f>
        <v/>
      </c>
      <c r="T828" s="13">
        <f>IFERROR((ABS(N828-O828)/MAX(1,(N828+O828)))*EXP(-ABS(E828-CONTROL!E5)/MAX(1,CONTROL!B8)),"")</f>
        <v/>
      </c>
      <c r="U828" s="13">
        <f>IFERROR(IF(O828&gt;N828,"SUPPORT (PE OI)","RESIST (CE OI)"),"")</f>
        <v/>
      </c>
      <c r="V828" s="13">
        <f>IFERROR(IF(Q828&gt;0,IF(R828&gt;0,"BOTH_ADD","CE_ADD_PE_REDUCE"),IF(R828&gt;0,"CE_REDUCE_PE_ADD","BOTH_REDUCE")),"")</f>
        <v/>
      </c>
      <c r="W828" s="13">
        <f>IFERROR( (P828-1)*0.5 + (M828)*0.1 - (I828+J828)*0.05 + T828*0.4 ,"")</f>
        <v/>
      </c>
      <c r="X828" s="13">
        <f>IFERROR(IF(ABS(F828)&lt;0.01,"ATM/NEAR",""),"")</f>
        <v/>
      </c>
    </row>
    <row r="829">
      <c r="A829" s="13">
        <f>CHAIN_RAW!A829</f>
        <v/>
      </c>
      <c r="B829" s="14">
        <f>CHAIN_RAW!B829</f>
        <v/>
      </c>
      <c r="C829" s="13">
        <f>CHAIN_RAW!C829</f>
        <v/>
      </c>
      <c r="D829" s="13">
        <f>CHAIN_RAW!D829</f>
        <v/>
      </c>
      <c r="E829" s="13">
        <f>CHAIN_RAW!E829</f>
        <v/>
      </c>
      <c r="F829" s="13">
        <f>IFERROR((E829-D829)/D829,"")</f>
        <v/>
      </c>
      <c r="G829" s="13">
        <f>IFERROR((CHAIN_RAW!K829+CHAIN_RAW!L829)/2,"")</f>
        <v/>
      </c>
      <c r="H829" s="13">
        <f>IFERROR((CHAIN_RAW!R829+CHAIN_RAW!S829)/2,"")</f>
        <v/>
      </c>
      <c r="I829" s="13">
        <f>IFERROR((CHAIN_RAW!L829-CHAIN_RAW!K829)/MAX(1E-9, G829),"")</f>
        <v/>
      </c>
      <c r="J829" s="13">
        <f>IFERROR((CHAIN_RAW!S829-CHAIN_RAW!R829)/MAX(1E-9, H829),"")</f>
        <v/>
      </c>
      <c r="K829" s="13">
        <f>CHAIN_RAW!G829</f>
        <v/>
      </c>
      <c r="L829" s="13">
        <f>CHAIN_RAW!N829</f>
        <v/>
      </c>
      <c r="M829" s="13">
        <f>IFERROR(L829-K829,"")</f>
        <v/>
      </c>
      <c r="N829" s="13">
        <f>CHAIN_RAW!H829</f>
        <v/>
      </c>
      <c r="O829" s="13">
        <f>CHAIN_RAW!O829</f>
        <v/>
      </c>
      <c r="P829" s="13">
        <f>IFERROR(O829/N829,"")</f>
        <v/>
      </c>
      <c r="Q829" s="13">
        <f>CHAIN_RAW!I829</f>
        <v/>
      </c>
      <c r="R829" s="13">
        <f>CHAIN_RAW!P829</f>
        <v/>
      </c>
      <c r="S829" s="13">
        <f>IFERROR(R829/Q829,"")</f>
        <v/>
      </c>
      <c r="T829" s="13">
        <f>IFERROR((ABS(N829-O829)/MAX(1,(N829+O829)))*EXP(-ABS(E829-CONTROL!E5)/MAX(1,CONTROL!B8)),"")</f>
        <v/>
      </c>
      <c r="U829" s="13">
        <f>IFERROR(IF(O829&gt;N829,"SUPPORT (PE OI)","RESIST (CE OI)"),"")</f>
        <v/>
      </c>
      <c r="V829" s="13">
        <f>IFERROR(IF(Q829&gt;0,IF(R829&gt;0,"BOTH_ADD","CE_ADD_PE_REDUCE"),IF(R829&gt;0,"CE_REDUCE_PE_ADD","BOTH_REDUCE")),"")</f>
        <v/>
      </c>
      <c r="W829" s="13">
        <f>IFERROR( (P829-1)*0.5 + (M829)*0.1 - (I829+J829)*0.05 + T829*0.4 ,"")</f>
        <v/>
      </c>
      <c r="X829" s="13">
        <f>IFERROR(IF(ABS(F829)&lt;0.01,"ATM/NEAR",""),"")</f>
        <v/>
      </c>
    </row>
    <row r="830">
      <c r="A830" s="13">
        <f>CHAIN_RAW!A830</f>
        <v/>
      </c>
      <c r="B830" s="14">
        <f>CHAIN_RAW!B830</f>
        <v/>
      </c>
      <c r="C830" s="13">
        <f>CHAIN_RAW!C830</f>
        <v/>
      </c>
      <c r="D830" s="13">
        <f>CHAIN_RAW!D830</f>
        <v/>
      </c>
      <c r="E830" s="13">
        <f>CHAIN_RAW!E830</f>
        <v/>
      </c>
      <c r="F830" s="13">
        <f>IFERROR((E830-D830)/D830,"")</f>
        <v/>
      </c>
      <c r="G830" s="13">
        <f>IFERROR((CHAIN_RAW!K830+CHAIN_RAW!L830)/2,"")</f>
        <v/>
      </c>
      <c r="H830" s="13">
        <f>IFERROR((CHAIN_RAW!R830+CHAIN_RAW!S830)/2,"")</f>
        <v/>
      </c>
      <c r="I830" s="13">
        <f>IFERROR((CHAIN_RAW!L830-CHAIN_RAW!K830)/MAX(1E-9, G830),"")</f>
        <v/>
      </c>
      <c r="J830" s="13">
        <f>IFERROR((CHAIN_RAW!S830-CHAIN_RAW!R830)/MAX(1E-9, H830),"")</f>
        <v/>
      </c>
      <c r="K830" s="13">
        <f>CHAIN_RAW!G830</f>
        <v/>
      </c>
      <c r="L830" s="13">
        <f>CHAIN_RAW!N830</f>
        <v/>
      </c>
      <c r="M830" s="13">
        <f>IFERROR(L830-K830,"")</f>
        <v/>
      </c>
      <c r="N830" s="13">
        <f>CHAIN_RAW!H830</f>
        <v/>
      </c>
      <c r="O830" s="13">
        <f>CHAIN_RAW!O830</f>
        <v/>
      </c>
      <c r="P830" s="13">
        <f>IFERROR(O830/N830,"")</f>
        <v/>
      </c>
      <c r="Q830" s="13">
        <f>CHAIN_RAW!I830</f>
        <v/>
      </c>
      <c r="R830" s="13">
        <f>CHAIN_RAW!P830</f>
        <v/>
      </c>
      <c r="S830" s="13">
        <f>IFERROR(R830/Q830,"")</f>
        <v/>
      </c>
      <c r="T830" s="13">
        <f>IFERROR((ABS(N830-O830)/MAX(1,(N830+O830)))*EXP(-ABS(E830-CONTROL!E5)/MAX(1,CONTROL!B8)),"")</f>
        <v/>
      </c>
      <c r="U830" s="13">
        <f>IFERROR(IF(O830&gt;N830,"SUPPORT (PE OI)","RESIST (CE OI)"),"")</f>
        <v/>
      </c>
      <c r="V830" s="13">
        <f>IFERROR(IF(Q830&gt;0,IF(R830&gt;0,"BOTH_ADD","CE_ADD_PE_REDUCE"),IF(R830&gt;0,"CE_REDUCE_PE_ADD","BOTH_REDUCE")),"")</f>
        <v/>
      </c>
      <c r="W830" s="13">
        <f>IFERROR( (P830-1)*0.5 + (M830)*0.1 - (I830+J830)*0.05 + T830*0.4 ,"")</f>
        <v/>
      </c>
      <c r="X830" s="13">
        <f>IFERROR(IF(ABS(F830)&lt;0.01,"ATM/NEAR",""),"")</f>
        <v/>
      </c>
    </row>
    <row r="831">
      <c r="A831" s="13">
        <f>CHAIN_RAW!A831</f>
        <v/>
      </c>
      <c r="B831" s="14">
        <f>CHAIN_RAW!B831</f>
        <v/>
      </c>
      <c r="C831" s="13">
        <f>CHAIN_RAW!C831</f>
        <v/>
      </c>
      <c r="D831" s="13">
        <f>CHAIN_RAW!D831</f>
        <v/>
      </c>
      <c r="E831" s="13">
        <f>CHAIN_RAW!E831</f>
        <v/>
      </c>
      <c r="F831" s="13">
        <f>IFERROR((E831-D831)/D831,"")</f>
        <v/>
      </c>
      <c r="G831" s="13">
        <f>IFERROR((CHAIN_RAW!K831+CHAIN_RAW!L831)/2,"")</f>
        <v/>
      </c>
      <c r="H831" s="13">
        <f>IFERROR((CHAIN_RAW!R831+CHAIN_RAW!S831)/2,"")</f>
        <v/>
      </c>
      <c r="I831" s="13">
        <f>IFERROR((CHAIN_RAW!L831-CHAIN_RAW!K831)/MAX(1E-9, G831),"")</f>
        <v/>
      </c>
      <c r="J831" s="13">
        <f>IFERROR((CHAIN_RAW!S831-CHAIN_RAW!R831)/MAX(1E-9, H831),"")</f>
        <v/>
      </c>
      <c r="K831" s="13">
        <f>CHAIN_RAW!G831</f>
        <v/>
      </c>
      <c r="L831" s="13">
        <f>CHAIN_RAW!N831</f>
        <v/>
      </c>
      <c r="M831" s="13">
        <f>IFERROR(L831-K831,"")</f>
        <v/>
      </c>
      <c r="N831" s="13">
        <f>CHAIN_RAW!H831</f>
        <v/>
      </c>
      <c r="O831" s="13">
        <f>CHAIN_RAW!O831</f>
        <v/>
      </c>
      <c r="P831" s="13">
        <f>IFERROR(O831/N831,"")</f>
        <v/>
      </c>
      <c r="Q831" s="13">
        <f>CHAIN_RAW!I831</f>
        <v/>
      </c>
      <c r="R831" s="13">
        <f>CHAIN_RAW!P831</f>
        <v/>
      </c>
      <c r="S831" s="13">
        <f>IFERROR(R831/Q831,"")</f>
        <v/>
      </c>
      <c r="T831" s="13">
        <f>IFERROR((ABS(N831-O831)/MAX(1,(N831+O831)))*EXP(-ABS(E831-CONTROL!E5)/MAX(1,CONTROL!B8)),"")</f>
        <v/>
      </c>
      <c r="U831" s="13">
        <f>IFERROR(IF(O831&gt;N831,"SUPPORT (PE OI)","RESIST (CE OI)"),"")</f>
        <v/>
      </c>
      <c r="V831" s="13">
        <f>IFERROR(IF(Q831&gt;0,IF(R831&gt;0,"BOTH_ADD","CE_ADD_PE_REDUCE"),IF(R831&gt;0,"CE_REDUCE_PE_ADD","BOTH_REDUCE")),"")</f>
        <v/>
      </c>
      <c r="W831" s="13">
        <f>IFERROR( (P831-1)*0.5 + (M831)*0.1 - (I831+J831)*0.05 + T831*0.4 ,"")</f>
        <v/>
      </c>
      <c r="X831" s="13">
        <f>IFERROR(IF(ABS(F831)&lt;0.01,"ATM/NEAR",""),"")</f>
        <v/>
      </c>
    </row>
    <row r="832">
      <c r="A832" s="13">
        <f>CHAIN_RAW!A832</f>
        <v/>
      </c>
      <c r="B832" s="14">
        <f>CHAIN_RAW!B832</f>
        <v/>
      </c>
      <c r="C832" s="13">
        <f>CHAIN_RAW!C832</f>
        <v/>
      </c>
      <c r="D832" s="13">
        <f>CHAIN_RAW!D832</f>
        <v/>
      </c>
      <c r="E832" s="13">
        <f>CHAIN_RAW!E832</f>
        <v/>
      </c>
      <c r="F832" s="13">
        <f>IFERROR((E832-D832)/D832,"")</f>
        <v/>
      </c>
      <c r="G832" s="13">
        <f>IFERROR((CHAIN_RAW!K832+CHAIN_RAW!L832)/2,"")</f>
        <v/>
      </c>
      <c r="H832" s="13">
        <f>IFERROR((CHAIN_RAW!R832+CHAIN_RAW!S832)/2,"")</f>
        <v/>
      </c>
      <c r="I832" s="13">
        <f>IFERROR((CHAIN_RAW!L832-CHAIN_RAW!K832)/MAX(1E-9, G832),"")</f>
        <v/>
      </c>
      <c r="J832" s="13">
        <f>IFERROR((CHAIN_RAW!S832-CHAIN_RAW!R832)/MAX(1E-9, H832),"")</f>
        <v/>
      </c>
      <c r="K832" s="13">
        <f>CHAIN_RAW!G832</f>
        <v/>
      </c>
      <c r="L832" s="13">
        <f>CHAIN_RAW!N832</f>
        <v/>
      </c>
      <c r="M832" s="13">
        <f>IFERROR(L832-K832,"")</f>
        <v/>
      </c>
      <c r="N832" s="13">
        <f>CHAIN_RAW!H832</f>
        <v/>
      </c>
      <c r="O832" s="13">
        <f>CHAIN_RAW!O832</f>
        <v/>
      </c>
      <c r="P832" s="13">
        <f>IFERROR(O832/N832,"")</f>
        <v/>
      </c>
      <c r="Q832" s="13">
        <f>CHAIN_RAW!I832</f>
        <v/>
      </c>
      <c r="R832" s="13">
        <f>CHAIN_RAW!P832</f>
        <v/>
      </c>
      <c r="S832" s="13">
        <f>IFERROR(R832/Q832,"")</f>
        <v/>
      </c>
      <c r="T832" s="13">
        <f>IFERROR((ABS(N832-O832)/MAX(1,(N832+O832)))*EXP(-ABS(E832-CONTROL!E5)/MAX(1,CONTROL!B8)),"")</f>
        <v/>
      </c>
      <c r="U832" s="13">
        <f>IFERROR(IF(O832&gt;N832,"SUPPORT (PE OI)","RESIST (CE OI)"),"")</f>
        <v/>
      </c>
      <c r="V832" s="13">
        <f>IFERROR(IF(Q832&gt;0,IF(R832&gt;0,"BOTH_ADD","CE_ADD_PE_REDUCE"),IF(R832&gt;0,"CE_REDUCE_PE_ADD","BOTH_REDUCE")),"")</f>
        <v/>
      </c>
      <c r="W832" s="13">
        <f>IFERROR( (P832-1)*0.5 + (M832)*0.1 - (I832+J832)*0.05 + T832*0.4 ,"")</f>
        <v/>
      </c>
      <c r="X832" s="13">
        <f>IFERROR(IF(ABS(F832)&lt;0.01,"ATM/NEAR",""),"")</f>
        <v/>
      </c>
    </row>
    <row r="833">
      <c r="A833" s="13">
        <f>CHAIN_RAW!A833</f>
        <v/>
      </c>
      <c r="B833" s="14">
        <f>CHAIN_RAW!B833</f>
        <v/>
      </c>
      <c r="C833" s="13">
        <f>CHAIN_RAW!C833</f>
        <v/>
      </c>
      <c r="D833" s="13">
        <f>CHAIN_RAW!D833</f>
        <v/>
      </c>
      <c r="E833" s="13">
        <f>CHAIN_RAW!E833</f>
        <v/>
      </c>
      <c r="F833" s="13">
        <f>IFERROR((E833-D833)/D833,"")</f>
        <v/>
      </c>
      <c r="G833" s="13">
        <f>IFERROR((CHAIN_RAW!K833+CHAIN_RAW!L833)/2,"")</f>
        <v/>
      </c>
      <c r="H833" s="13">
        <f>IFERROR((CHAIN_RAW!R833+CHAIN_RAW!S833)/2,"")</f>
        <v/>
      </c>
      <c r="I833" s="13">
        <f>IFERROR((CHAIN_RAW!L833-CHAIN_RAW!K833)/MAX(1E-9, G833),"")</f>
        <v/>
      </c>
      <c r="J833" s="13">
        <f>IFERROR((CHAIN_RAW!S833-CHAIN_RAW!R833)/MAX(1E-9, H833),"")</f>
        <v/>
      </c>
      <c r="K833" s="13">
        <f>CHAIN_RAW!G833</f>
        <v/>
      </c>
      <c r="L833" s="13">
        <f>CHAIN_RAW!N833</f>
        <v/>
      </c>
      <c r="M833" s="13">
        <f>IFERROR(L833-K833,"")</f>
        <v/>
      </c>
      <c r="N833" s="13">
        <f>CHAIN_RAW!H833</f>
        <v/>
      </c>
      <c r="O833" s="13">
        <f>CHAIN_RAW!O833</f>
        <v/>
      </c>
      <c r="P833" s="13">
        <f>IFERROR(O833/N833,"")</f>
        <v/>
      </c>
      <c r="Q833" s="13">
        <f>CHAIN_RAW!I833</f>
        <v/>
      </c>
      <c r="R833" s="13">
        <f>CHAIN_RAW!P833</f>
        <v/>
      </c>
      <c r="S833" s="13">
        <f>IFERROR(R833/Q833,"")</f>
        <v/>
      </c>
      <c r="T833" s="13">
        <f>IFERROR((ABS(N833-O833)/MAX(1,(N833+O833)))*EXP(-ABS(E833-CONTROL!E5)/MAX(1,CONTROL!B8)),"")</f>
        <v/>
      </c>
      <c r="U833" s="13">
        <f>IFERROR(IF(O833&gt;N833,"SUPPORT (PE OI)","RESIST (CE OI)"),"")</f>
        <v/>
      </c>
      <c r="V833" s="13">
        <f>IFERROR(IF(Q833&gt;0,IF(R833&gt;0,"BOTH_ADD","CE_ADD_PE_REDUCE"),IF(R833&gt;0,"CE_REDUCE_PE_ADD","BOTH_REDUCE")),"")</f>
        <v/>
      </c>
      <c r="W833" s="13">
        <f>IFERROR( (P833-1)*0.5 + (M833)*0.1 - (I833+J833)*0.05 + T833*0.4 ,"")</f>
        <v/>
      </c>
      <c r="X833" s="13">
        <f>IFERROR(IF(ABS(F833)&lt;0.01,"ATM/NEAR",""),"")</f>
        <v/>
      </c>
    </row>
    <row r="834">
      <c r="A834" s="13">
        <f>CHAIN_RAW!A834</f>
        <v/>
      </c>
      <c r="B834" s="14">
        <f>CHAIN_RAW!B834</f>
        <v/>
      </c>
      <c r="C834" s="13">
        <f>CHAIN_RAW!C834</f>
        <v/>
      </c>
      <c r="D834" s="13">
        <f>CHAIN_RAW!D834</f>
        <v/>
      </c>
      <c r="E834" s="13">
        <f>CHAIN_RAW!E834</f>
        <v/>
      </c>
      <c r="F834" s="13">
        <f>IFERROR((E834-D834)/D834,"")</f>
        <v/>
      </c>
      <c r="G834" s="13">
        <f>IFERROR((CHAIN_RAW!K834+CHAIN_RAW!L834)/2,"")</f>
        <v/>
      </c>
      <c r="H834" s="13">
        <f>IFERROR((CHAIN_RAW!R834+CHAIN_RAW!S834)/2,"")</f>
        <v/>
      </c>
      <c r="I834" s="13">
        <f>IFERROR((CHAIN_RAW!L834-CHAIN_RAW!K834)/MAX(1E-9, G834),"")</f>
        <v/>
      </c>
      <c r="J834" s="13">
        <f>IFERROR((CHAIN_RAW!S834-CHAIN_RAW!R834)/MAX(1E-9, H834),"")</f>
        <v/>
      </c>
      <c r="K834" s="13">
        <f>CHAIN_RAW!G834</f>
        <v/>
      </c>
      <c r="L834" s="13">
        <f>CHAIN_RAW!N834</f>
        <v/>
      </c>
      <c r="M834" s="13">
        <f>IFERROR(L834-K834,"")</f>
        <v/>
      </c>
      <c r="N834" s="13">
        <f>CHAIN_RAW!H834</f>
        <v/>
      </c>
      <c r="O834" s="13">
        <f>CHAIN_RAW!O834</f>
        <v/>
      </c>
      <c r="P834" s="13">
        <f>IFERROR(O834/N834,"")</f>
        <v/>
      </c>
      <c r="Q834" s="13">
        <f>CHAIN_RAW!I834</f>
        <v/>
      </c>
      <c r="R834" s="13">
        <f>CHAIN_RAW!P834</f>
        <v/>
      </c>
      <c r="S834" s="13">
        <f>IFERROR(R834/Q834,"")</f>
        <v/>
      </c>
      <c r="T834" s="13">
        <f>IFERROR((ABS(N834-O834)/MAX(1,(N834+O834)))*EXP(-ABS(E834-CONTROL!E5)/MAX(1,CONTROL!B8)),"")</f>
        <v/>
      </c>
      <c r="U834" s="13">
        <f>IFERROR(IF(O834&gt;N834,"SUPPORT (PE OI)","RESIST (CE OI)"),"")</f>
        <v/>
      </c>
      <c r="V834" s="13">
        <f>IFERROR(IF(Q834&gt;0,IF(R834&gt;0,"BOTH_ADD","CE_ADD_PE_REDUCE"),IF(R834&gt;0,"CE_REDUCE_PE_ADD","BOTH_REDUCE")),"")</f>
        <v/>
      </c>
      <c r="W834" s="13">
        <f>IFERROR( (P834-1)*0.5 + (M834)*0.1 - (I834+J834)*0.05 + T834*0.4 ,"")</f>
        <v/>
      </c>
      <c r="X834" s="13">
        <f>IFERROR(IF(ABS(F834)&lt;0.01,"ATM/NEAR",""),"")</f>
        <v/>
      </c>
    </row>
    <row r="835">
      <c r="A835" s="13">
        <f>CHAIN_RAW!A835</f>
        <v/>
      </c>
      <c r="B835" s="14">
        <f>CHAIN_RAW!B835</f>
        <v/>
      </c>
      <c r="C835" s="13">
        <f>CHAIN_RAW!C835</f>
        <v/>
      </c>
      <c r="D835" s="13">
        <f>CHAIN_RAW!D835</f>
        <v/>
      </c>
      <c r="E835" s="13">
        <f>CHAIN_RAW!E835</f>
        <v/>
      </c>
      <c r="F835" s="13">
        <f>IFERROR((E835-D835)/D835,"")</f>
        <v/>
      </c>
      <c r="G835" s="13">
        <f>IFERROR((CHAIN_RAW!K835+CHAIN_RAW!L835)/2,"")</f>
        <v/>
      </c>
      <c r="H835" s="13">
        <f>IFERROR((CHAIN_RAW!R835+CHAIN_RAW!S835)/2,"")</f>
        <v/>
      </c>
      <c r="I835" s="13">
        <f>IFERROR((CHAIN_RAW!L835-CHAIN_RAW!K835)/MAX(1E-9, G835),"")</f>
        <v/>
      </c>
      <c r="J835" s="13">
        <f>IFERROR((CHAIN_RAW!S835-CHAIN_RAW!R835)/MAX(1E-9, H835),"")</f>
        <v/>
      </c>
      <c r="K835" s="13">
        <f>CHAIN_RAW!G835</f>
        <v/>
      </c>
      <c r="L835" s="13">
        <f>CHAIN_RAW!N835</f>
        <v/>
      </c>
      <c r="M835" s="13">
        <f>IFERROR(L835-K835,"")</f>
        <v/>
      </c>
      <c r="N835" s="13">
        <f>CHAIN_RAW!H835</f>
        <v/>
      </c>
      <c r="O835" s="13">
        <f>CHAIN_RAW!O835</f>
        <v/>
      </c>
      <c r="P835" s="13">
        <f>IFERROR(O835/N835,"")</f>
        <v/>
      </c>
      <c r="Q835" s="13">
        <f>CHAIN_RAW!I835</f>
        <v/>
      </c>
      <c r="R835" s="13">
        <f>CHAIN_RAW!P835</f>
        <v/>
      </c>
      <c r="S835" s="13">
        <f>IFERROR(R835/Q835,"")</f>
        <v/>
      </c>
      <c r="T835" s="13">
        <f>IFERROR((ABS(N835-O835)/MAX(1,(N835+O835)))*EXP(-ABS(E835-CONTROL!E5)/MAX(1,CONTROL!B8)),"")</f>
        <v/>
      </c>
      <c r="U835" s="13">
        <f>IFERROR(IF(O835&gt;N835,"SUPPORT (PE OI)","RESIST (CE OI)"),"")</f>
        <v/>
      </c>
      <c r="V835" s="13">
        <f>IFERROR(IF(Q835&gt;0,IF(R835&gt;0,"BOTH_ADD","CE_ADD_PE_REDUCE"),IF(R835&gt;0,"CE_REDUCE_PE_ADD","BOTH_REDUCE")),"")</f>
        <v/>
      </c>
      <c r="W835" s="13">
        <f>IFERROR( (P835-1)*0.5 + (M835)*0.1 - (I835+J835)*0.05 + T835*0.4 ,"")</f>
        <v/>
      </c>
      <c r="X835" s="13">
        <f>IFERROR(IF(ABS(F835)&lt;0.01,"ATM/NEAR",""),"")</f>
        <v/>
      </c>
    </row>
    <row r="836">
      <c r="A836" s="13">
        <f>CHAIN_RAW!A836</f>
        <v/>
      </c>
      <c r="B836" s="14">
        <f>CHAIN_RAW!B836</f>
        <v/>
      </c>
      <c r="C836" s="13">
        <f>CHAIN_RAW!C836</f>
        <v/>
      </c>
      <c r="D836" s="13">
        <f>CHAIN_RAW!D836</f>
        <v/>
      </c>
      <c r="E836" s="13">
        <f>CHAIN_RAW!E836</f>
        <v/>
      </c>
      <c r="F836" s="13">
        <f>IFERROR((E836-D836)/D836,"")</f>
        <v/>
      </c>
      <c r="G836" s="13">
        <f>IFERROR((CHAIN_RAW!K836+CHAIN_RAW!L836)/2,"")</f>
        <v/>
      </c>
      <c r="H836" s="13">
        <f>IFERROR((CHAIN_RAW!R836+CHAIN_RAW!S836)/2,"")</f>
        <v/>
      </c>
      <c r="I836" s="13">
        <f>IFERROR((CHAIN_RAW!L836-CHAIN_RAW!K836)/MAX(1E-9, G836),"")</f>
        <v/>
      </c>
      <c r="J836" s="13">
        <f>IFERROR((CHAIN_RAW!S836-CHAIN_RAW!R836)/MAX(1E-9, H836),"")</f>
        <v/>
      </c>
      <c r="K836" s="13">
        <f>CHAIN_RAW!G836</f>
        <v/>
      </c>
      <c r="L836" s="13">
        <f>CHAIN_RAW!N836</f>
        <v/>
      </c>
      <c r="M836" s="13">
        <f>IFERROR(L836-K836,"")</f>
        <v/>
      </c>
      <c r="N836" s="13">
        <f>CHAIN_RAW!H836</f>
        <v/>
      </c>
      <c r="O836" s="13">
        <f>CHAIN_RAW!O836</f>
        <v/>
      </c>
      <c r="P836" s="13">
        <f>IFERROR(O836/N836,"")</f>
        <v/>
      </c>
      <c r="Q836" s="13">
        <f>CHAIN_RAW!I836</f>
        <v/>
      </c>
      <c r="R836" s="13">
        <f>CHAIN_RAW!P836</f>
        <v/>
      </c>
      <c r="S836" s="13">
        <f>IFERROR(R836/Q836,"")</f>
        <v/>
      </c>
      <c r="T836" s="13">
        <f>IFERROR((ABS(N836-O836)/MAX(1,(N836+O836)))*EXP(-ABS(E836-CONTROL!E5)/MAX(1,CONTROL!B8)),"")</f>
        <v/>
      </c>
      <c r="U836" s="13">
        <f>IFERROR(IF(O836&gt;N836,"SUPPORT (PE OI)","RESIST (CE OI)"),"")</f>
        <v/>
      </c>
      <c r="V836" s="13">
        <f>IFERROR(IF(Q836&gt;0,IF(R836&gt;0,"BOTH_ADD","CE_ADD_PE_REDUCE"),IF(R836&gt;0,"CE_REDUCE_PE_ADD","BOTH_REDUCE")),"")</f>
        <v/>
      </c>
      <c r="W836" s="13">
        <f>IFERROR( (P836-1)*0.5 + (M836)*0.1 - (I836+J836)*0.05 + T836*0.4 ,"")</f>
        <v/>
      </c>
      <c r="X836" s="13">
        <f>IFERROR(IF(ABS(F836)&lt;0.01,"ATM/NEAR",""),"")</f>
        <v/>
      </c>
    </row>
    <row r="837">
      <c r="A837" s="13">
        <f>CHAIN_RAW!A837</f>
        <v/>
      </c>
      <c r="B837" s="14">
        <f>CHAIN_RAW!B837</f>
        <v/>
      </c>
      <c r="C837" s="13">
        <f>CHAIN_RAW!C837</f>
        <v/>
      </c>
      <c r="D837" s="13">
        <f>CHAIN_RAW!D837</f>
        <v/>
      </c>
      <c r="E837" s="13">
        <f>CHAIN_RAW!E837</f>
        <v/>
      </c>
      <c r="F837" s="13">
        <f>IFERROR((E837-D837)/D837,"")</f>
        <v/>
      </c>
      <c r="G837" s="13">
        <f>IFERROR((CHAIN_RAW!K837+CHAIN_RAW!L837)/2,"")</f>
        <v/>
      </c>
      <c r="H837" s="13">
        <f>IFERROR((CHAIN_RAW!R837+CHAIN_RAW!S837)/2,"")</f>
        <v/>
      </c>
      <c r="I837" s="13">
        <f>IFERROR((CHAIN_RAW!L837-CHAIN_RAW!K837)/MAX(1E-9, G837),"")</f>
        <v/>
      </c>
      <c r="J837" s="13">
        <f>IFERROR((CHAIN_RAW!S837-CHAIN_RAW!R837)/MAX(1E-9, H837),"")</f>
        <v/>
      </c>
      <c r="K837" s="13">
        <f>CHAIN_RAW!G837</f>
        <v/>
      </c>
      <c r="L837" s="13">
        <f>CHAIN_RAW!N837</f>
        <v/>
      </c>
      <c r="M837" s="13">
        <f>IFERROR(L837-K837,"")</f>
        <v/>
      </c>
      <c r="N837" s="13">
        <f>CHAIN_RAW!H837</f>
        <v/>
      </c>
      <c r="O837" s="13">
        <f>CHAIN_RAW!O837</f>
        <v/>
      </c>
      <c r="P837" s="13">
        <f>IFERROR(O837/N837,"")</f>
        <v/>
      </c>
      <c r="Q837" s="13">
        <f>CHAIN_RAW!I837</f>
        <v/>
      </c>
      <c r="R837" s="13">
        <f>CHAIN_RAW!P837</f>
        <v/>
      </c>
      <c r="S837" s="13">
        <f>IFERROR(R837/Q837,"")</f>
        <v/>
      </c>
      <c r="T837" s="13">
        <f>IFERROR((ABS(N837-O837)/MAX(1,(N837+O837)))*EXP(-ABS(E837-CONTROL!E5)/MAX(1,CONTROL!B8)),"")</f>
        <v/>
      </c>
      <c r="U837" s="13">
        <f>IFERROR(IF(O837&gt;N837,"SUPPORT (PE OI)","RESIST (CE OI)"),"")</f>
        <v/>
      </c>
      <c r="V837" s="13">
        <f>IFERROR(IF(Q837&gt;0,IF(R837&gt;0,"BOTH_ADD","CE_ADD_PE_REDUCE"),IF(R837&gt;0,"CE_REDUCE_PE_ADD","BOTH_REDUCE")),"")</f>
        <v/>
      </c>
      <c r="W837" s="13">
        <f>IFERROR( (P837-1)*0.5 + (M837)*0.1 - (I837+J837)*0.05 + T837*0.4 ,"")</f>
        <v/>
      </c>
      <c r="X837" s="13">
        <f>IFERROR(IF(ABS(F837)&lt;0.01,"ATM/NEAR",""),"")</f>
        <v/>
      </c>
    </row>
    <row r="838">
      <c r="A838" s="13">
        <f>CHAIN_RAW!A838</f>
        <v/>
      </c>
      <c r="B838" s="14">
        <f>CHAIN_RAW!B838</f>
        <v/>
      </c>
      <c r="C838" s="13">
        <f>CHAIN_RAW!C838</f>
        <v/>
      </c>
      <c r="D838" s="13">
        <f>CHAIN_RAW!D838</f>
        <v/>
      </c>
      <c r="E838" s="13">
        <f>CHAIN_RAW!E838</f>
        <v/>
      </c>
      <c r="F838" s="13">
        <f>IFERROR((E838-D838)/D838,"")</f>
        <v/>
      </c>
      <c r="G838" s="13">
        <f>IFERROR((CHAIN_RAW!K838+CHAIN_RAW!L838)/2,"")</f>
        <v/>
      </c>
      <c r="H838" s="13">
        <f>IFERROR((CHAIN_RAW!R838+CHAIN_RAW!S838)/2,"")</f>
        <v/>
      </c>
      <c r="I838" s="13">
        <f>IFERROR((CHAIN_RAW!L838-CHAIN_RAW!K838)/MAX(1E-9, G838),"")</f>
        <v/>
      </c>
      <c r="J838" s="13">
        <f>IFERROR((CHAIN_RAW!S838-CHAIN_RAW!R838)/MAX(1E-9, H838),"")</f>
        <v/>
      </c>
      <c r="K838" s="13">
        <f>CHAIN_RAW!G838</f>
        <v/>
      </c>
      <c r="L838" s="13">
        <f>CHAIN_RAW!N838</f>
        <v/>
      </c>
      <c r="M838" s="13">
        <f>IFERROR(L838-K838,"")</f>
        <v/>
      </c>
      <c r="N838" s="13">
        <f>CHAIN_RAW!H838</f>
        <v/>
      </c>
      <c r="O838" s="13">
        <f>CHAIN_RAW!O838</f>
        <v/>
      </c>
      <c r="P838" s="13">
        <f>IFERROR(O838/N838,"")</f>
        <v/>
      </c>
      <c r="Q838" s="13">
        <f>CHAIN_RAW!I838</f>
        <v/>
      </c>
      <c r="R838" s="13">
        <f>CHAIN_RAW!P838</f>
        <v/>
      </c>
      <c r="S838" s="13">
        <f>IFERROR(R838/Q838,"")</f>
        <v/>
      </c>
      <c r="T838" s="13">
        <f>IFERROR((ABS(N838-O838)/MAX(1,(N838+O838)))*EXP(-ABS(E838-CONTROL!E5)/MAX(1,CONTROL!B8)),"")</f>
        <v/>
      </c>
      <c r="U838" s="13">
        <f>IFERROR(IF(O838&gt;N838,"SUPPORT (PE OI)","RESIST (CE OI)"),"")</f>
        <v/>
      </c>
      <c r="V838" s="13">
        <f>IFERROR(IF(Q838&gt;0,IF(R838&gt;0,"BOTH_ADD","CE_ADD_PE_REDUCE"),IF(R838&gt;0,"CE_REDUCE_PE_ADD","BOTH_REDUCE")),"")</f>
        <v/>
      </c>
      <c r="W838" s="13">
        <f>IFERROR( (P838-1)*0.5 + (M838)*0.1 - (I838+J838)*0.05 + T838*0.4 ,"")</f>
        <v/>
      </c>
      <c r="X838" s="13">
        <f>IFERROR(IF(ABS(F838)&lt;0.01,"ATM/NEAR",""),"")</f>
        <v/>
      </c>
    </row>
    <row r="839">
      <c r="A839" s="13">
        <f>CHAIN_RAW!A839</f>
        <v/>
      </c>
      <c r="B839" s="14">
        <f>CHAIN_RAW!B839</f>
        <v/>
      </c>
      <c r="C839" s="13">
        <f>CHAIN_RAW!C839</f>
        <v/>
      </c>
      <c r="D839" s="13">
        <f>CHAIN_RAW!D839</f>
        <v/>
      </c>
      <c r="E839" s="13">
        <f>CHAIN_RAW!E839</f>
        <v/>
      </c>
      <c r="F839" s="13">
        <f>IFERROR((E839-D839)/D839,"")</f>
        <v/>
      </c>
      <c r="G839" s="13">
        <f>IFERROR((CHAIN_RAW!K839+CHAIN_RAW!L839)/2,"")</f>
        <v/>
      </c>
      <c r="H839" s="13">
        <f>IFERROR((CHAIN_RAW!R839+CHAIN_RAW!S839)/2,"")</f>
        <v/>
      </c>
      <c r="I839" s="13">
        <f>IFERROR((CHAIN_RAW!L839-CHAIN_RAW!K839)/MAX(1E-9, G839),"")</f>
        <v/>
      </c>
      <c r="J839" s="13">
        <f>IFERROR((CHAIN_RAW!S839-CHAIN_RAW!R839)/MAX(1E-9, H839),"")</f>
        <v/>
      </c>
      <c r="K839" s="13">
        <f>CHAIN_RAW!G839</f>
        <v/>
      </c>
      <c r="L839" s="13">
        <f>CHAIN_RAW!N839</f>
        <v/>
      </c>
      <c r="M839" s="13">
        <f>IFERROR(L839-K839,"")</f>
        <v/>
      </c>
      <c r="N839" s="13">
        <f>CHAIN_RAW!H839</f>
        <v/>
      </c>
      <c r="O839" s="13">
        <f>CHAIN_RAW!O839</f>
        <v/>
      </c>
      <c r="P839" s="13">
        <f>IFERROR(O839/N839,"")</f>
        <v/>
      </c>
      <c r="Q839" s="13">
        <f>CHAIN_RAW!I839</f>
        <v/>
      </c>
      <c r="R839" s="13">
        <f>CHAIN_RAW!P839</f>
        <v/>
      </c>
      <c r="S839" s="13">
        <f>IFERROR(R839/Q839,"")</f>
        <v/>
      </c>
      <c r="T839" s="13">
        <f>IFERROR((ABS(N839-O839)/MAX(1,(N839+O839)))*EXP(-ABS(E839-CONTROL!E5)/MAX(1,CONTROL!B8)),"")</f>
        <v/>
      </c>
      <c r="U839" s="13">
        <f>IFERROR(IF(O839&gt;N839,"SUPPORT (PE OI)","RESIST (CE OI)"),"")</f>
        <v/>
      </c>
      <c r="V839" s="13">
        <f>IFERROR(IF(Q839&gt;0,IF(R839&gt;0,"BOTH_ADD","CE_ADD_PE_REDUCE"),IF(R839&gt;0,"CE_REDUCE_PE_ADD","BOTH_REDUCE")),"")</f>
        <v/>
      </c>
      <c r="W839" s="13">
        <f>IFERROR( (P839-1)*0.5 + (M839)*0.1 - (I839+J839)*0.05 + T839*0.4 ,"")</f>
        <v/>
      </c>
      <c r="X839" s="13">
        <f>IFERROR(IF(ABS(F839)&lt;0.01,"ATM/NEAR",""),"")</f>
        <v/>
      </c>
    </row>
    <row r="840">
      <c r="A840" s="13">
        <f>CHAIN_RAW!A840</f>
        <v/>
      </c>
      <c r="B840" s="14">
        <f>CHAIN_RAW!B840</f>
        <v/>
      </c>
      <c r="C840" s="13">
        <f>CHAIN_RAW!C840</f>
        <v/>
      </c>
      <c r="D840" s="13">
        <f>CHAIN_RAW!D840</f>
        <v/>
      </c>
      <c r="E840" s="13">
        <f>CHAIN_RAW!E840</f>
        <v/>
      </c>
      <c r="F840" s="13">
        <f>IFERROR((E840-D840)/D840,"")</f>
        <v/>
      </c>
      <c r="G840" s="13">
        <f>IFERROR((CHAIN_RAW!K840+CHAIN_RAW!L840)/2,"")</f>
        <v/>
      </c>
      <c r="H840" s="13">
        <f>IFERROR((CHAIN_RAW!R840+CHAIN_RAW!S840)/2,"")</f>
        <v/>
      </c>
      <c r="I840" s="13">
        <f>IFERROR((CHAIN_RAW!L840-CHAIN_RAW!K840)/MAX(1E-9, G840),"")</f>
        <v/>
      </c>
      <c r="J840" s="13">
        <f>IFERROR((CHAIN_RAW!S840-CHAIN_RAW!R840)/MAX(1E-9, H840),"")</f>
        <v/>
      </c>
      <c r="K840" s="13">
        <f>CHAIN_RAW!G840</f>
        <v/>
      </c>
      <c r="L840" s="13">
        <f>CHAIN_RAW!N840</f>
        <v/>
      </c>
      <c r="M840" s="13">
        <f>IFERROR(L840-K840,"")</f>
        <v/>
      </c>
      <c r="N840" s="13">
        <f>CHAIN_RAW!H840</f>
        <v/>
      </c>
      <c r="O840" s="13">
        <f>CHAIN_RAW!O840</f>
        <v/>
      </c>
      <c r="P840" s="13">
        <f>IFERROR(O840/N840,"")</f>
        <v/>
      </c>
      <c r="Q840" s="13">
        <f>CHAIN_RAW!I840</f>
        <v/>
      </c>
      <c r="R840" s="13">
        <f>CHAIN_RAW!P840</f>
        <v/>
      </c>
      <c r="S840" s="13">
        <f>IFERROR(R840/Q840,"")</f>
        <v/>
      </c>
      <c r="T840" s="13">
        <f>IFERROR((ABS(N840-O840)/MAX(1,(N840+O840)))*EXP(-ABS(E840-CONTROL!E5)/MAX(1,CONTROL!B8)),"")</f>
        <v/>
      </c>
      <c r="U840" s="13">
        <f>IFERROR(IF(O840&gt;N840,"SUPPORT (PE OI)","RESIST (CE OI)"),"")</f>
        <v/>
      </c>
      <c r="V840" s="13">
        <f>IFERROR(IF(Q840&gt;0,IF(R840&gt;0,"BOTH_ADD","CE_ADD_PE_REDUCE"),IF(R840&gt;0,"CE_REDUCE_PE_ADD","BOTH_REDUCE")),"")</f>
        <v/>
      </c>
      <c r="W840" s="13">
        <f>IFERROR( (P840-1)*0.5 + (M840)*0.1 - (I840+J840)*0.05 + T840*0.4 ,"")</f>
        <v/>
      </c>
      <c r="X840" s="13">
        <f>IFERROR(IF(ABS(F840)&lt;0.01,"ATM/NEAR",""),"")</f>
        <v/>
      </c>
    </row>
    <row r="841">
      <c r="A841" s="13">
        <f>CHAIN_RAW!A841</f>
        <v/>
      </c>
      <c r="B841" s="14">
        <f>CHAIN_RAW!B841</f>
        <v/>
      </c>
      <c r="C841" s="13">
        <f>CHAIN_RAW!C841</f>
        <v/>
      </c>
      <c r="D841" s="13">
        <f>CHAIN_RAW!D841</f>
        <v/>
      </c>
      <c r="E841" s="13">
        <f>CHAIN_RAW!E841</f>
        <v/>
      </c>
      <c r="F841" s="13">
        <f>IFERROR((E841-D841)/D841,"")</f>
        <v/>
      </c>
      <c r="G841" s="13">
        <f>IFERROR((CHAIN_RAW!K841+CHAIN_RAW!L841)/2,"")</f>
        <v/>
      </c>
      <c r="H841" s="13">
        <f>IFERROR((CHAIN_RAW!R841+CHAIN_RAW!S841)/2,"")</f>
        <v/>
      </c>
      <c r="I841" s="13">
        <f>IFERROR((CHAIN_RAW!L841-CHAIN_RAW!K841)/MAX(1E-9, G841),"")</f>
        <v/>
      </c>
      <c r="J841" s="13">
        <f>IFERROR((CHAIN_RAW!S841-CHAIN_RAW!R841)/MAX(1E-9, H841),"")</f>
        <v/>
      </c>
      <c r="K841" s="13">
        <f>CHAIN_RAW!G841</f>
        <v/>
      </c>
      <c r="L841" s="13">
        <f>CHAIN_RAW!N841</f>
        <v/>
      </c>
      <c r="M841" s="13">
        <f>IFERROR(L841-K841,"")</f>
        <v/>
      </c>
      <c r="N841" s="13">
        <f>CHAIN_RAW!H841</f>
        <v/>
      </c>
      <c r="O841" s="13">
        <f>CHAIN_RAW!O841</f>
        <v/>
      </c>
      <c r="P841" s="13">
        <f>IFERROR(O841/N841,"")</f>
        <v/>
      </c>
      <c r="Q841" s="13">
        <f>CHAIN_RAW!I841</f>
        <v/>
      </c>
      <c r="R841" s="13">
        <f>CHAIN_RAW!P841</f>
        <v/>
      </c>
      <c r="S841" s="13">
        <f>IFERROR(R841/Q841,"")</f>
        <v/>
      </c>
      <c r="T841" s="13">
        <f>IFERROR((ABS(N841-O841)/MAX(1,(N841+O841)))*EXP(-ABS(E841-CONTROL!E5)/MAX(1,CONTROL!B8)),"")</f>
        <v/>
      </c>
      <c r="U841" s="13">
        <f>IFERROR(IF(O841&gt;N841,"SUPPORT (PE OI)","RESIST (CE OI)"),"")</f>
        <v/>
      </c>
      <c r="V841" s="13">
        <f>IFERROR(IF(Q841&gt;0,IF(R841&gt;0,"BOTH_ADD","CE_ADD_PE_REDUCE"),IF(R841&gt;0,"CE_REDUCE_PE_ADD","BOTH_REDUCE")),"")</f>
        <v/>
      </c>
      <c r="W841" s="13">
        <f>IFERROR( (P841-1)*0.5 + (M841)*0.1 - (I841+J841)*0.05 + T841*0.4 ,"")</f>
        <v/>
      </c>
      <c r="X841" s="13">
        <f>IFERROR(IF(ABS(F841)&lt;0.01,"ATM/NEAR",""),"")</f>
        <v/>
      </c>
    </row>
    <row r="842">
      <c r="A842" s="13">
        <f>CHAIN_RAW!A842</f>
        <v/>
      </c>
      <c r="B842" s="14">
        <f>CHAIN_RAW!B842</f>
        <v/>
      </c>
      <c r="C842" s="13">
        <f>CHAIN_RAW!C842</f>
        <v/>
      </c>
      <c r="D842" s="13">
        <f>CHAIN_RAW!D842</f>
        <v/>
      </c>
      <c r="E842" s="13">
        <f>CHAIN_RAW!E842</f>
        <v/>
      </c>
      <c r="F842" s="13">
        <f>IFERROR((E842-D842)/D842,"")</f>
        <v/>
      </c>
      <c r="G842" s="13">
        <f>IFERROR((CHAIN_RAW!K842+CHAIN_RAW!L842)/2,"")</f>
        <v/>
      </c>
      <c r="H842" s="13">
        <f>IFERROR((CHAIN_RAW!R842+CHAIN_RAW!S842)/2,"")</f>
        <v/>
      </c>
      <c r="I842" s="13">
        <f>IFERROR((CHAIN_RAW!L842-CHAIN_RAW!K842)/MAX(1E-9, G842),"")</f>
        <v/>
      </c>
      <c r="J842" s="13">
        <f>IFERROR((CHAIN_RAW!S842-CHAIN_RAW!R842)/MAX(1E-9, H842),"")</f>
        <v/>
      </c>
      <c r="K842" s="13">
        <f>CHAIN_RAW!G842</f>
        <v/>
      </c>
      <c r="L842" s="13">
        <f>CHAIN_RAW!N842</f>
        <v/>
      </c>
      <c r="M842" s="13">
        <f>IFERROR(L842-K842,"")</f>
        <v/>
      </c>
      <c r="N842" s="13">
        <f>CHAIN_RAW!H842</f>
        <v/>
      </c>
      <c r="O842" s="13">
        <f>CHAIN_RAW!O842</f>
        <v/>
      </c>
      <c r="P842" s="13">
        <f>IFERROR(O842/N842,"")</f>
        <v/>
      </c>
      <c r="Q842" s="13">
        <f>CHAIN_RAW!I842</f>
        <v/>
      </c>
      <c r="R842" s="13">
        <f>CHAIN_RAW!P842</f>
        <v/>
      </c>
      <c r="S842" s="13">
        <f>IFERROR(R842/Q842,"")</f>
        <v/>
      </c>
      <c r="T842" s="13">
        <f>IFERROR((ABS(N842-O842)/MAX(1,(N842+O842)))*EXP(-ABS(E842-CONTROL!E5)/MAX(1,CONTROL!B8)),"")</f>
        <v/>
      </c>
      <c r="U842" s="13">
        <f>IFERROR(IF(O842&gt;N842,"SUPPORT (PE OI)","RESIST (CE OI)"),"")</f>
        <v/>
      </c>
      <c r="V842" s="13">
        <f>IFERROR(IF(Q842&gt;0,IF(R842&gt;0,"BOTH_ADD","CE_ADD_PE_REDUCE"),IF(R842&gt;0,"CE_REDUCE_PE_ADD","BOTH_REDUCE")),"")</f>
        <v/>
      </c>
      <c r="W842" s="13">
        <f>IFERROR( (P842-1)*0.5 + (M842)*0.1 - (I842+J842)*0.05 + T842*0.4 ,"")</f>
        <v/>
      </c>
      <c r="X842" s="13">
        <f>IFERROR(IF(ABS(F842)&lt;0.01,"ATM/NEAR",""),"")</f>
        <v/>
      </c>
    </row>
    <row r="843">
      <c r="A843" s="13">
        <f>CHAIN_RAW!A843</f>
        <v/>
      </c>
      <c r="B843" s="14">
        <f>CHAIN_RAW!B843</f>
        <v/>
      </c>
      <c r="C843" s="13">
        <f>CHAIN_RAW!C843</f>
        <v/>
      </c>
      <c r="D843" s="13">
        <f>CHAIN_RAW!D843</f>
        <v/>
      </c>
      <c r="E843" s="13">
        <f>CHAIN_RAW!E843</f>
        <v/>
      </c>
      <c r="F843" s="13">
        <f>IFERROR((E843-D843)/D843,"")</f>
        <v/>
      </c>
      <c r="G843" s="13">
        <f>IFERROR((CHAIN_RAW!K843+CHAIN_RAW!L843)/2,"")</f>
        <v/>
      </c>
      <c r="H843" s="13">
        <f>IFERROR((CHAIN_RAW!R843+CHAIN_RAW!S843)/2,"")</f>
        <v/>
      </c>
      <c r="I843" s="13">
        <f>IFERROR((CHAIN_RAW!L843-CHAIN_RAW!K843)/MAX(1E-9, G843),"")</f>
        <v/>
      </c>
      <c r="J843" s="13">
        <f>IFERROR((CHAIN_RAW!S843-CHAIN_RAW!R843)/MAX(1E-9, H843),"")</f>
        <v/>
      </c>
      <c r="K843" s="13">
        <f>CHAIN_RAW!G843</f>
        <v/>
      </c>
      <c r="L843" s="13">
        <f>CHAIN_RAW!N843</f>
        <v/>
      </c>
      <c r="M843" s="13">
        <f>IFERROR(L843-K843,"")</f>
        <v/>
      </c>
      <c r="N843" s="13">
        <f>CHAIN_RAW!H843</f>
        <v/>
      </c>
      <c r="O843" s="13">
        <f>CHAIN_RAW!O843</f>
        <v/>
      </c>
      <c r="P843" s="13">
        <f>IFERROR(O843/N843,"")</f>
        <v/>
      </c>
      <c r="Q843" s="13">
        <f>CHAIN_RAW!I843</f>
        <v/>
      </c>
      <c r="R843" s="13">
        <f>CHAIN_RAW!P843</f>
        <v/>
      </c>
      <c r="S843" s="13">
        <f>IFERROR(R843/Q843,"")</f>
        <v/>
      </c>
      <c r="T843" s="13">
        <f>IFERROR((ABS(N843-O843)/MAX(1,(N843+O843)))*EXP(-ABS(E843-CONTROL!E5)/MAX(1,CONTROL!B8)),"")</f>
        <v/>
      </c>
      <c r="U843" s="13">
        <f>IFERROR(IF(O843&gt;N843,"SUPPORT (PE OI)","RESIST (CE OI)"),"")</f>
        <v/>
      </c>
      <c r="V843" s="13">
        <f>IFERROR(IF(Q843&gt;0,IF(R843&gt;0,"BOTH_ADD","CE_ADD_PE_REDUCE"),IF(R843&gt;0,"CE_REDUCE_PE_ADD","BOTH_REDUCE")),"")</f>
        <v/>
      </c>
      <c r="W843" s="13">
        <f>IFERROR( (P843-1)*0.5 + (M843)*0.1 - (I843+J843)*0.05 + T843*0.4 ,"")</f>
        <v/>
      </c>
      <c r="X843" s="13">
        <f>IFERROR(IF(ABS(F843)&lt;0.01,"ATM/NEAR",""),"")</f>
        <v/>
      </c>
    </row>
    <row r="844">
      <c r="A844" s="13">
        <f>CHAIN_RAW!A844</f>
        <v/>
      </c>
      <c r="B844" s="14">
        <f>CHAIN_RAW!B844</f>
        <v/>
      </c>
      <c r="C844" s="13">
        <f>CHAIN_RAW!C844</f>
        <v/>
      </c>
      <c r="D844" s="13">
        <f>CHAIN_RAW!D844</f>
        <v/>
      </c>
      <c r="E844" s="13">
        <f>CHAIN_RAW!E844</f>
        <v/>
      </c>
      <c r="F844" s="13">
        <f>IFERROR((E844-D844)/D844,"")</f>
        <v/>
      </c>
      <c r="G844" s="13">
        <f>IFERROR((CHAIN_RAW!K844+CHAIN_RAW!L844)/2,"")</f>
        <v/>
      </c>
      <c r="H844" s="13">
        <f>IFERROR((CHAIN_RAW!R844+CHAIN_RAW!S844)/2,"")</f>
        <v/>
      </c>
      <c r="I844" s="13">
        <f>IFERROR((CHAIN_RAW!L844-CHAIN_RAW!K844)/MAX(1E-9, G844),"")</f>
        <v/>
      </c>
      <c r="J844" s="13">
        <f>IFERROR((CHAIN_RAW!S844-CHAIN_RAW!R844)/MAX(1E-9, H844),"")</f>
        <v/>
      </c>
      <c r="K844" s="13">
        <f>CHAIN_RAW!G844</f>
        <v/>
      </c>
      <c r="L844" s="13">
        <f>CHAIN_RAW!N844</f>
        <v/>
      </c>
      <c r="M844" s="13">
        <f>IFERROR(L844-K844,"")</f>
        <v/>
      </c>
      <c r="N844" s="13">
        <f>CHAIN_RAW!H844</f>
        <v/>
      </c>
      <c r="O844" s="13">
        <f>CHAIN_RAW!O844</f>
        <v/>
      </c>
      <c r="P844" s="13">
        <f>IFERROR(O844/N844,"")</f>
        <v/>
      </c>
      <c r="Q844" s="13">
        <f>CHAIN_RAW!I844</f>
        <v/>
      </c>
      <c r="R844" s="13">
        <f>CHAIN_RAW!P844</f>
        <v/>
      </c>
      <c r="S844" s="13">
        <f>IFERROR(R844/Q844,"")</f>
        <v/>
      </c>
      <c r="T844" s="13">
        <f>IFERROR((ABS(N844-O844)/MAX(1,(N844+O844)))*EXP(-ABS(E844-CONTROL!E5)/MAX(1,CONTROL!B8)),"")</f>
        <v/>
      </c>
      <c r="U844" s="13">
        <f>IFERROR(IF(O844&gt;N844,"SUPPORT (PE OI)","RESIST (CE OI)"),"")</f>
        <v/>
      </c>
      <c r="V844" s="13">
        <f>IFERROR(IF(Q844&gt;0,IF(R844&gt;0,"BOTH_ADD","CE_ADD_PE_REDUCE"),IF(R844&gt;0,"CE_REDUCE_PE_ADD","BOTH_REDUCE")),"")</f>
        <v/>
      </c>
      <c r="W844" s="13">
        <f>IFERROR( (P844-1)*0.5 + (M844)*0.1 - (I844+J844)*0.05 + T844*0.4 ,"")</f>
        <v/>
      </c>
      <c r="X844" s="13">
        <f>IFERROR(IF(ABS(F844)&lt;0.01,"ATM/NEAR",""),"")</f>
        <v/>
      </c>
    </row>
    <row r="845">
      <c r="A845" s="13">
        <f>CHAIN_RAW!A845</f>
        <v/>
      </c>
      <c r="B845" s="14">
        <f>CHAIN_RAW!B845</f>
        <v/>
      </c>
      <c r="C845" s="13">
        <f>CHAIN_RAW!C845</f>
        <v/>
      </c>
      <c r="D845" s="13">
        <f>CHAIN_RAW!D845</f>
        <v/>
      </c>
      <c r="E845" s="13">
        <f>CHAIN_RAW!E845</f>
        <v/>
      </c>
      <c r="F845" s="13">
        <f>IFERROR((E845-D845)/D845,"")</f>
        <v/>
      </c>
      <c r="G845" s="13">
        <f>IFERROR((CHAIN_RAW!K845+CHAIN_RAW!L845)/2,"")</f>
        <v/>
      </c>
      <c r="H845" s="13">
        <f>IFERROR((CHAIN_RAW!R845+CHAIN_RAW!S845)/2,"")</f>
        <v/>
      </c>
      <c r="I845" s="13">
        <f>IFERROR((CHAIN_RAW!L845-CHAIN_RAW!K845)/MAX(1E-9, G845),"")</f>
        <v/>
      </c>
      <c r="J845" s="13">
        <f>IFERROR((CHAIN_RAW!S845-CHAIN_RAW!R845)/MAX(1E-9, H845),"")</f>
        <v/>
      </c>
      <c r="K845" s="13">
        <f>CHAIN_RAW!G845</f>
        <v/>
      </c>
      <c r="L845" s="13">
        <f>CHAIN_RAW!N845</f>
        <v/>
      </c>
      <c r="M845" s="13">
        <f>IFERROR(L845-K845,"")</f>
        <v/>
      </c>
      <c r="N845" s="13">
        <f>CHAIN_RAW!H845</f>
        <v/>
      </c>
      <c r="O845" s="13">
        <f>CHAIN_RAW!O845</f>
        <v/>
      </c>
      <c r="P845" s="13">
        <f>IFERROR(O845/N845,"")</f>
        <v/>
      </c>
      <c r="Q845" s="13">
        <f>CHAIN_RAW!I845</f>
        <v/>
      </c>
      <c r="R845" s="13">
        <f>CHAIN_RAW!P845</f>
        <v/>
      </c>
      <c r="S845" s="13">
        <f>IFERROR(R845/Q845,"")</f>
        <v/>
      </c>
      <c r="T845" s="13">
        <f>IFERROR((ABS(N845-O845)/MAX(1,(N845+O845)))*EXP(-ABS(E845-CONTROL!E5)/MAX(1,CONTROL!B8)),"")</f>
        <v/>
      </c>
      <c r="U845" s="13">
        <f>IFERROR(IF(O845&gt;N845,"SUPPORT (PE OI)","RESIST (CE OI)"),"")</f>
        <v/>
      </c>
      <c r="V845" s="13">
        <f>IFERROR(IF(Q845&gt;0,IF(R845&gt;0,"BOTH_ADD","CE_ADD_PE_REDUCE"),IF(R845&gt;0,"CE_REDUCE_PE_ADD","BOTH_REDUCE")),"")</f>
        <v/>
      </c>
      <c r="W845" s="13">
        <f>IFERROR( (P845-1)*0.5 + (M845)*0.1 - (I845+J845)*0.05 + T845*0.4 ,"")</f>
        <v/>
      </c>
      <c r="X845" s="13">
        <f>IFERROR(IF(ABS(F845)&lt;0.01,"ATM/NEAR",""),"")</f>
        <v/>
      </c>
    </row>
    <row r="846">
      <c r="A846" s="13">
        <f>CHAIN_RAW!A846</f>
        <v/>
      </c>
      <c r="B846" s="14">
        <f>CHAIN_RAW!B846</f>
        <v/>
      </c>
      <c r="C846" s="13">
        <f>CHAIN_RAW!C846</f>
        <v/>
      </c>
      <c r="D846" s="13">
        <f>CHAIN_RAW!D846</f>
        <v/>
      </c>
      <c r="E846" s="13">
        <f>CHAIN_RAW!E846</f>
        <v/>
      </c>
      <c r="F846" s="13">
        <f>IFERROR((E846-D846)/D846,"")</f>
        <v/>
      </c>
      <c r="G846" s="13">
        <f>IFERROR((CHAIN_RAW!K846+CHAIN_RAW!L846)/2,"")</f>
        <v/>
      </c>
      <c r="H846" s="13">
        <f>IFERROR((CHAIN_RAW!R846+CHAIN_RAW!S846)/2,"")</f>
        <v/>
      </c>
      <c r="I846" s="13">
        <f>IFERROR((CHAIN_RAW!L846-CHAIN_RAW!K846)/MAX(1E-9, G846),"")</f>
        <v/>
      </c>
      <c r="J846" s="13">
        <f>IFERROR((CHAIN_RAW!S846-CHAIN_RAW!R846)/MAX(1E-9, H846),"")</f>
        <v/>
      </c>
      <c r="K846" s="13">
        <f>CHAIN_RAW!G846</f>
        <v/>
      </c>
      <c r="L846" s="13">
        <f>CHAIN_RAW!N846</f>
        <v/>
      </c>
      <c r="M846" s="13">
        <f>IFERROR(L846-K846,"")</f>
        <v/>
      </c>
      <c r="N846" s="13">
        <f>CHAIN_RAW!H846</f>
        <v/>
      </c>
      <c r="O846" s="13">
        <f>CHAIN_RAW!O846</f>
        <v/>
      </c>
      <c r="P846" s="13">
        <f>IFERROR(O846/N846,"")</f>
        <v/>
      </c>
      <c r="Q846" s="13">
        <f>CHAIN_RAW!I846</f>
        <v/>
      </c>
      <c r="R846" s="13">
        <f>CHAIN_RAW!P846</f>
        <v/>
      </c>
      <c r="S846" s="13">
        <f>IFERROR(R846/Q846,"")</f>
        <v/>
      </c>
      <c r="T846" s="13">
        <f>IFERROR((ABS(N846-O846)/MAX(1,(N846+O846)))*EXP(-ABS(E846-CONTROL!E5)/MAX(1,CONTROL!B8)),"")</f>
        <v/>
      </c>
      <c r="U846" s="13">
        <f>IFERROR(IF(O846&gt;N846,"SUPPORT (PE OI)","RESIST (CE OI)"),"")</f>
        <v/>
      </c>
      <c r="V846" s="13">
        <f>IFERROR(IF(Q846&gt;0,IF(R846&gt;0,"BOTH_ADD","CE_ADD_PE_REDUCE"),IF(R846&gt;0,"CE_REDUCE_PE_ADD","BOTH_REDUCE")),"")</f>
        <v/>
      </c>
      <c r="W846" s="13">
        <f>IFERROR( (P846-1)*0.5 + (M846)*0.1 - (I846+J846)*0.05 + T846*0.4 ,"")</f>
        <v/>
      </c>
      <c r="X846" s="13">
        <f>IFERROR(IF(ABS(F846)&lt;0.01,"ATM/NEAR",""),"")</f>
        <v/>
      </c>
    </row>
    <row r="847">
      <c r="A847" s="13">
        <f>CHAIN_RAW!A847</f>
        <v/>
      </c>
      <c r="B847" s="14">
        <f>CHAIN_RAW!B847</f>
        <v/>
      </c>
      <c r="C847" s="13">
        <f>CHAIN_RAW!C847</f>
        <v/>
      </c>
      <c r="D847" s="13">
        <f>CHAIN_RAW!D847</f>
        <v/>
      </c>
      <c r="E847" s="13">
        <f>CHAIN_RAW!E847</f>
        <v/>
      </c>
      <c r="F847" s="13">
        <f>IFERROR((E847-D847)/D847,"")</f>
        <v/>
      </c>
      <c r="G847" s="13">
        <f>IFERROR((CHAIN_RAW!K847+CHAIN_RAW!L847)/2,"")</f>
        <v/>
      </c>
      <c r="H847" s="13">
        <f>IFERROR((CHAIN_RAW!R847+CHAIN_RAW!S847)/2,"")</f>
        <v/>
      </c>
      <c r="I847" s="13">
        <f>IFERROR((CHAIN_RAW!L847-CHAIN_RAW!K847)/MAX(1E-9, G847),"")</f>
        <v/>
      </c>
      <c r="J847" s="13">
        <f>IFERROR((CHAIN_RAW!S847-CHAIN_RAW!R847)/MAX(1E-9, H847),"")</f>
        <v/>
      </c>
      <c r="K847" s="13">
        <f>CHAIN_RAW!G847</f>
        <v/>
      </c>
      <c r="L847" s="13">
        <f>CHAIN_RAW!N847</f>
        <v/>
      </c>
      <c r="M847" s="13">
        <f>IFERROR(L847-K847,"")</f>
        <v/>
      </c>
      <c r="N847" s="13">
        <f>CHAIN_RAW!H847</f>
        <v/>
      </c>
      <c r="O847" s="13">
        <f>CHAIN_RAW!O847</f>
        <v/>
      </c>
      <c r="P847" s="13">
        <f>IFERROR(O847/N847,"")</f>
        <v/>
      </c>
      <c r="Q847" s="13">
        <f>CHAIN_RAW!I847</f>
        <v/>
      </c>
      <c r="R847" s="13">
        <f>CHAIN_RAW!P847</f>
        <v/>
      </c>
      <c r="S847" s="13">
        <f>IFERROR(R847/Q847,"")</f>
        <v/>
      </c>
      <c r="T847" s="13">
        <f>IFERROR((ABS(N847-O847)/MAX(1,(N847+O847)))*EXP(-ABS(E847-CONTROL!E5)/MAX(1,CONTROL!B8)),"")</f>
        <v/>
      </c>
      <c r="U847" s="13">
        <f>IFERROR(IF(O847&gt;N847,"SUPPORT (PE OI)","RESIST (CE OI)"),"")</f>
        <v/>
      </c>
      <c r="V847" s="13">
        <f>IFERROR(IF(Q847&gt;0,IF(R847&gt;0,"BOTH_ADD","CE_ADD_PE_REDUCE"),IF(R847&gt;0,"CE_REDUCE_PE_ADD","BOTH_REDUCE")),"")</f>
        <v/>
      </c>
      <c r="W847" s="13">
        <f>IFERROR( (P847-1)*0.5 + (M847)*0.1 - (I847+J847)*0.05 + T847*0.4 ,"")</f>
        <v/>
      </c>
      <c r="X847" s="13">
        <f>IFERROR(IF(ABS(F847)&lt;0.01,"ATM/NEAR",""),"")</f>
        <v/>
      </c>
    </row>
    <row r="848">
      <c r="A848" s="13">
        <f>CHAIN_RAW!A848</f>
        <v/>
      </c>
      <c r="B848" s="14">
        <f>CHAIN_RAW!B848</f>
        <v/>
      </c>
      <c r="C848" s="13">
        <f>CHAIN_RAW!C848</f>
        <v/>
      </c>
      <c r="D848" s="13">
        <f>CHAIN_RAW!D848</f>
        <v/>
      </c>
      <c r="E848" s="13">
        <f>CHAIN_RAW!E848</f>
        <v/>
      </c>
      <c r="F848" s="13">
        <f>IFERROR((E848-D848)/D848,"")</f>
        <v/>
      </c>
      <c r="G848" s="13">
        <f>IFERROR((CHAIN_RAW!K848+CHAIN_RAW!L848)/2,"")</f>
        <v/>
      </c>
      <c r="H848" s="13">
        <f>IFERROR((CHAIN_RAW!R848+CHAIN_RAW!S848)/2,"")</f>
        <v/>
      </c>
      <c r="I848" s="13">
        <f>IFERROR((CHAIN_RAW!L848-CHAIN_RAW!K848)/MAX(1E-9, G848),"")</f>
        <v/>
      </c>
      <c r="J848" s="13">
        <f>IFERROR((CHAIN_RAW!S848-CHAIN_RAW!R848)/MAX(1E-9, H848),"")</f>
        <v/>
      </c>
      <c r="K848" s="13">
        <f>CHAIN_RAW!G848</f>
        <v/>
      </c>
      <c r="L848" s="13">
        <f>CHAIN_RAW!N848</f>
        <v/>
      </c>
      <c r="M848" s="13">
        <f>IFERROR(L848-K848,"")</f>
        <v/>
      </c>
      <c r="N848" s="13">
        <f>CHAIN_RAW!H848</f>
        <v/>
      </c>
      <c r="O848" s="13">
        <f>CHAIN_RAW!O848</f>
        <v/>
      </c>
      <c r="P848" s="13">
        <f>IFERROR(O848/N848,"")</f>
        <v/>
      </c>
      <c r="Q848" s="13">
        <f>CHAIN_RAW!I848</f>
        <v/>
      </c>
      <c r="R848" s="13">
        <f>CHAIN_RAW!P848</f>
        <v/>
      </c>
      <c r="S848" s="13">
        <f>IFERROR(R848/Q848,"")</f>
        <v/>
      </c>
      <c r="T848" s="13">
        <f>IFERROR((ABS(N848-O848)/MAX(1,(N848+O848)))*EXP(-ABS(E848-CONTROL!E5)/MAX(1,CONTROL!B8)),"")</f>
        <v/>
      </c>
      <c r="U848" s="13">
        <f>IFERROR(IF(O848&gt;N848,"SUPPORT (PE OI)","RESIST (CE OI)"),"")</f>
        <v/>
      </c>
      <c r="V848" s="13">
        <f>IFERROR(IF(Q848&gt;0,IF(R848&gt;0,"BOTH_ADD","CE_ADD_PE_REDUCE"),IF(R848&gt;0,"CE_REDUCE_PE_ADD","BOTH_REDUCE")),"")</f>
        <v/>
      </c>
      <c r="W848" s="13">
        <f>IFERROR( (P848-1)*0.5 + (M848)*0.1 - (I848+J848)*0.05 + T848*0.4 ,"")</f>
        <v/>
      </c>
      <c r="X848" s="13">
        <f>IFERROR(IF(ABS(F848)&lt;0.01,"ATM/NEAR",""),"")</f>
        <v/>
      </c>
    </row>
    <row r="849">
      <c r="A849" s="13">
        <f>CHAIN_RAW!A849</f>
        <v/>
      </c>
      <c r="B849" s="14">
        <f>CHAIN_RAW!B849</f>
        <v/>
      </c>
      <c r="C849" s="13">
        <f>CHAIN_RAW!C849</f>
        <v/>
      </c>
      <c r="D849" s="13">
        <f>CHAIN_RAW!D849</f>
        <v/>
      </c>
      <c r="E849" s="13">
        <f>CHAIN_RAW!E849</f>
        <v/>
      </c>
      <c r="F849" s="13">
        <f>IFERROR((E849-D849)/D849,"")</f>
        <v/>
      </c>
      <c r="G849" s="13">
        <f>IFERROR((CHAIN_RAW!K849+CHAIN_RAW!L849)/2,"")</f>
        <v/>
      </c>
      <c r="H849" s="13">
        <f>IFERROR((CHAIN_RAW!R849+CHAIN_RAW!S849)/2,"")</f>
        <v/>
      </c>
      <c r="I849" s="13">
        <f>IFERROR((CHAIN_RAW!L849-CHAIN_RAW!K849)/MAX(1E-9, G849),"")</f>
        <v/>
      </c>
      <c r="J849" s="13">
        <f>IFERROR((CHAIN_RAW!S849-CHAIN_RAW!R849)/MAX(1E-9, H849),"")</f>
        <v/>
      </c>
      <c r="K849" s="13">
        <f>CHAIN_RAW!G849</f>
        <v/>
      </c>
      <c r="L849" s="13">
        <f>CHAIN_RAW!N849</f>
        <v/>
      </c>
      <c r="M849" s="13">
        <f>IFERROR(L849-K849,"")</f>
        <v/>
      </c>
      <c r="N849" s="13">
        <f>CHAIN_RAW!H849</f>
        <v/>
      </c>
      <c r="O849" s="13">
        <f>CHAIN_RAW!O849</f>
        <v/>
      </c>
      <c r="P849" s="13">
        <f>IFERROR(O849/N849,"")</f>
        <v/>
      </c>
      <c r="Q849" s="13">
        <f>CHAIN_RAW!I849</f>
        <v/>
      </c>
      <c r="R849" s="13">
        <f>CHAIN_RAW!P849</f>
        <v/>
      </c>
      <c r="S849" s="13">
        <f>IFERROR(R849/Q849,"")</f>
        <v/>
      </c>
      <c r="T849" s="13">
        <f>IFERROR((ABS(N849-O849)/MAX(1,(N849+O849)))*EXP(-ABS(E849-CONTROL!E5)/MAX(1,CONTROL!B8)),"")</f>
        <v/>
      </c>
      <c r="U849" s="13">
        <f>IFERROR(IF(O849&gt;N849,"SUPPORT (PE OI)","RESIST (CE OI)"),"")</f>
        <v/>
      </c>
      <c r="V849" s="13">
        <f>IFERROR(IF(Q849&gt;0,IF(R849&gt;0,"BOTH_ADD","CE_ADD_PE_REDUCE"),IF(R849&gt;0,"CE_REDUCE_PE_ADD","BOTH_REDUCE")),"")</f>
        <v/>
      </c>
      <c r="W849" s="13">
        <f>IFERROR( (P849-1)*0.5 + (M849)*0.1 - (I849+J849)*0.05 + T849*0.4 ,"")</f>
        <v/>
      </c>
      <c r="X849" s="13">
        <f>IFERROR(IF(ABS(F849)&lt;0.01,"ATM/NEAR",""),"")</f>
        <v/>
      </c>
    </row>
    <row r="850">
      <c r="A850" s="13">
        <f>CHAIN_RAW!A850</f>
        <v/>
      </c>
      <c r="B850" s="14">
        <f>CHAIN_RAW!B850</f>
        <v/>
      </c>
      <c r="C850" s="13">
        <f>CHAIN_RAW!C850</f>
        <v/>
      </c>
      <c r="D850" s="13">
        <f>CHAIN_RAW!D850</f>
        <v/>
      </c>
      <c r="E850" s="13">
        <f>CHAIN_RAW!E850</f>
        <v/>
      </c>
      <c r="F850" s="13">
        <f>IFERROR((E850-D850)/D850,"")</f>
        <v/>
      </c>
      <c r="G850" s="13">
        <f>IFERROR((CHAIN_RAW!K850+CHAIN_RAW!L850)/2,"")</f>
        <v/>
      </c>
      <c r="H850" s="13">
        <f>IFERROR((CHAIN_RAW!R850+CHAIN_RAW!S850)/2,"")</f>
        <v/>
      </c>
      <c r="I850" s="13">
        <f>IFERROR((CHAIN_RAW!L850-CHAIN_RAW!K850)/MAX(1E-9, G850),"")</f>
        <v/>
      </c>
      <c r="J850" s="13">
        <f>IFERROR((CHAIN_RAW!S850-CHAIN_RAW!R850)/MAX(1E-9, H850),"")</f>
        <v/>
      </c>
      <c r="K850" s="13">
        <f>CHAIN_RAW!G850</f>
        <v/>
      </c>
      <c r="L850" s="13">
        <f>CHAIN_RAW!N850</f>
        <v/>
      </c>
      <c r="M850" s="13">
        <f>IFERROR(L850-K850,"")</f>
        <v/>
      </c>
      <c r="N850" s="13">
        <f>CHAIN_RAW!H850</f>
        <v/>
      </c>
      <c r="O850" s="13">
        <f>CHAIN_RAW!O850</f>
        <v/>
      </c>
      <c r="P850" s="13">
        <f>IFERROR(O850/N850,"")</f>
        <v/>
      </c>
      <c r="Q850" s="13">
        <f>CHAIN_RAW!I850</f>
        <v/>
      </c>
      <c r="R850" s="13">
        <f>CHAIN_RAW!P850</f>
        <v/>
      </c>
      <c r="S850" s="13">
        <f>IFERROR(R850/Q850,"")</f>
        <v/>
      </c>
      <c r="T850" s="13">
        <f>IFERROR((ABS(N850-O850)/MAX(1,(N850+O850)))*EXP(-ABS(E850-CONTROL!E5)/MAX(1,CONTROL!B8)),"")</f>
        <v/>
      </c>
      <c r="U850" s="13">
        <f>IFERROR(IF(O850&gt;N850,"SUPPORT (PE OI)","RESIST (CE OI)"),"")</f>
        <v/>
      </c>
      <c r="V850" s="13">
        <f>IFERROR(IF(Q850&gt;0,IF(R850&gt;0,"BOTH_ADD","CE_ADD_PE_REDUCE"),IF(R850&gt;0,"CE_REDUCE_PE_ADD","BOTH_REDUCE")),"")</f>
        <v/>
      </c>
      <c r="W850" s="13">
        <f>IFERROR( (P850-1)*0.5 + (M850)*0.1 - (I850+J850)*0.05 + T850*0.4 ,"")</f>
        <v/>
      </c>
      <c r="X850" s="13">
        <f>IFERROR(IF(ABS(F850)&lt;0.01,"ATM/NEAR",""),"")</f>
        <v/>
      </c>
    </row>
    <row r="851">
      <c r="A851" s="13">
        <f>CHAIN_RAW!A851</f>
        <v/>
      </c>
      <c r="B851" s="14">
        <f>CHAIN_RAW!B851</f>
        <v/>
      </c>
      <c r="C851" s="13">
        <f>CHAIN_RAW!C851</f>
        <v/>
      </c>
      <c r="D851" s="13">
        <f>CHAIN_RAW!D851</f>
        <v/>
      </c>
      <c r="E851" s="13">
        <f>CHAIN_RAW!E851</f>
        <v/>
      </c>
      <c r="F851" s="13">
        <f>IFERROR((E851-D851)/D851,"")</f>
        <v/>
      </c>
      <c r="G851" s="13">
        <f>IFERROR((CHAIN_RAW!K851+CHAIN_RAW!L851)/2,"")</f>
        <v/>
      </c>
      <c r="H851" s="13">
        <f>IFERROR((CHAIN_RAW!R851+CHAIN_RAW!S851)/2,"")</f>
        <v/>
      </c>
      <c r="I851" s="13">
        <f>IFERROR((CHAIN_RAW!L851-CHAIN_RAW!K851)/MAX(1E-9, G851),"")</f>
        <v/>
      </c>
      <c r="J851" s="13">
        <f>IFERROR((CHAIN_RAW!S851-CHAIN_RAW!R851)/MAX(1E-9, H851),"")</f>
        <v/>
      </c>
      <c r="K851" s="13">
        <f>CHAIN_RAW!G851</f>
        <v/>
      </c>
      <c r="L851" s="13">
        <f>CHAIN_RAW!N851</f>
        <v/>
      </c>
      <c r="M851" s="13">
        <f>IFERROR(L851-K851,"")</f>
        <v/>
      </c>
      <c r="N851" s="13">
        <f>CHAIN_RAW!H851</f>
        <v/>
      </c>
      <c r="O851" s="13">
        <f>CHAIN_RAW!O851</f>
        <v/>
      </c>
      <c r="P851" s="13">
        <f>IFERROR(O851/N851,"")</f>
        <v/>
      </c>
      <c r="Q851" s="13">
        <f>CHAIN_RAW!I851</f>
        <v/>
      </c>
      <c r="R851" s="13">
        <f>CHAIN_RAW!P851</f>
        <v/>
      </c>
      <c r="S851" s="13">
        <f>IFERROR(R851/Q851,"")</f>
        <v/>
      </c>
      <c r="T851" s="13">
        <f>IFERROR((ABS(N851-O851)/MAX(1,(N851+O851)))*EXP(-ABS(E851-CONTROL!E5)/MAX(1,CONTROL!B8)),"")</f>
        <v/>
      </c>
      <c r="U851" s="13">
        <f>IFERROR(IF(O851&gt;N851,"SUPPORT (PE OI)","RESIST (CE OI)"),"")</f>
        <v/>
      </c>
      <c r="V851" s="13">
        <f>IFERROR(IF(Q851&gt;0,IF(R851&gt;0,"BOTH_ADD","CE_ADD_PE_REDUCE"),IF(R851&gt;0,"CE_REDUCE_PE_ADD","BOTH_REDUCE")),"")</f>
        <v/>
      </c>
      <c r="W851" s="13">
        <f>IFERROR( (P851-1)*0.5 + (M851)*0.1 - (I851+J851)*0.05 + T851*0.4 ,"")</f>
        <v/>
      </c>
      <c r="X851" s="13">
        <f>IFERROR(IF(ABS(F851)&lt;0.01,"ATM/NEAR",""),"")</f>
        <v/>
      </c>
    </row>
    <row r="852">
      <c r="A852" s="13">
        <f>CHAIN_RAW!A852</f>
        <v/>
      </c>
      <c r="B852" s="14">
        <f>CHAIN_RAW!B852</f>
        <v/>
      </c>
      <c r="C852" s="13">
        <f>CHAIN_RAW!C852</f>
        <v/>
      </c>
      <c r="D852" s="13">
        <f>CHAIN_RAW!D852</f>
        <v/>
      </c>
      <c r="E852" s="13">
        <f>CHAIN_RAW!E852</f>
        <v/>
      </c>
      <c r="F852" s="13">
        <f>IFERROR((E852-D852)/D852,"")</f>
        <v/>
      </c>
      <c r="G852" s="13">
        <f>IFERROR((CHAIN_RAW!K852+CHAIN_RAW!L852)/2,"")</f>
        <v/>
      </c>
      <c r="H852" s="13">
        <f>IFERROR((CHAIN_RAW!R852+CHAIN_RAW!S852)/2,"")</f>
        <v/>
      </c>
      <c r="I852" s="13">
        <f>IFERROR((CHAIN_RAW!L852-CHAIN_RAW!K852)/MAX(1E-9, G852),"")</f>
        <v/>
      </c>
      <c r="J852" s="13">
        <f>IFERROR((CHAIN_RAW!S852-CHAIN_RAW!R852)/MAX(1E-9, H852),"")</f>
        <v/>
      </c>
      <c r="K852" s="13">
        <f>CHAIN_RAW!G852</f>
        <v/>
      </c>
      <c r="L852" s="13">
        <f>CHAIN_RAW!N852</f>
        <v/>
      </c>
      <c r="M852" s="13">
        <f>IFERROR(L852-K852,"")</f>
        <v/>
      </c>
      <c r="N852" s="13">
        <f>CHAIN_RAW!H852</f>
        <v/>
      </c>
      <c r="O852" s="13">
        <f>CHAIN_RAW!O852</f>
        <v/>
      </c>
      <c r="P852" s="13">
        <f>IFERROR(O852/N852,"")</f>
        <v/>
      </c>
      <c r="Q852" s="13">
        <f>CHAIN_RAW!I852</f>
        <v/>
      </c>
      <c r="R852" s="13">
        <f>CHAIN_RAW!P852</f>
        <v/>
      </c>
      <c r="S852" s="13">
        <f>IFERROR(R852/Q852,"")</f>
        <v/>
      </c>
      <c r="T852" s="13">
        <f>IFERROR((ABS(N852-O852)/MAX(1,(N852+O852)))*EXP(-ABS(E852-CONTROL!E5)/MAX(1,CONTROL!B8)),"")</f>
        <v/>
      </c>
      <c r="U852" s="13">
        <f>IFERROR(IF(O852&gt;N852,"SUPPORT (PE OI)","RESIST (CE OI)"),"")</f>
        <v/>
      </c>
      <c r="V852" s="13">
        <f>IFERROR(IF(Q852&gt;0,IF(R852&gt;0,"BOTH_ADD","CE_ADD_PE_REDUCE"),IF(R852&gt;0,"CE_REDUCE_PE_ADD","BOTH_REDUCE")),"")</f>
        <v/>
      </c>
      <c r="W852" s="13">
        <f>IFERROR( (P852-1)*0.5 + (M852)*0.1 - (I852+J852)*0.05 + T852*0.4 ,"")</f>
        <v/>
      </c>
      <c r="X852" s="13">
        <f>IFERROR(IF(ABS(F852)&lt;0.01,"ATM/NEAR",""),"")</f>
        <v/>
      </c>
    </row>
    <row r="853">
      <c r="A853" s="13">
        <f>CHAIN_RAW!A853</f>
        <v/>
      </c>
      <c r="B853" s="14">
        <f>CHAIN_RAW!B853</f>
        <v/>
      </c>
      <c r="C853" s="13">
        <f>CHAIN_RAW!C853</f>
        <v/>
      </c>
      <c r="D853" s="13">
        <f>CHAIN_RAW!D853</f>
        <v/>
      </c>
      <c r="E853" s="13">
        <f>CHAIN_RAW!E853</f>
        <v/>
      </c>
      <c r="F853" s="13">
        <f>IFERROR((E853-D853)/D853,"")</f>
        <v/>
      </c>
      <c r="G853" s="13">
        <f>IFERROR((CHAIN_RAW!K853+CHAIN_RAW!L853)/2,"")</f>
        <v/>
      </c>
      <c r="H853" s="13">
        <f>IFERROR((CHAIN_RAW!R853+CHAIN_RAW!S853)/2,"")</f>
        <v/>
      </c>
      <c r="I853" s="13">
        <f>IFERROR((CHAIN_RAW!L853-CHAIN_RAW!K853)/MAX(1E-9, G853),"")</f>
        <v/>
      </c>
      <c r="J853" s="13">
        <f>IFERROR((CHAIN_RAW!S853-CHAIN_RAW!R853)/MAX(1E-9, H853),"")</f>
        <v/>
      </c>
      <c r="K853" s="13">
        <f>CHAIN_RAW!G853</f>
        <v/>
      </c>
      <c r="L853" s="13">
        <f>CHAIN_RAW!N853</f>
        <v/>
      </c>
      <c r="M853" s="13">
        <f>IFERROR(L853-K853,"")</f>
        <v/>
      </c>
      <c r="N853" s="13">
        <f>CHAIN_RAW!H853</f>
        <v/>
      </c>
      <c r="O853" s="13">
        <f>CHAIN_RAW!O853</f>
        <v/>
      </c>
      <c r="P853" s="13">
        <f>IFERROR(O853/N853,"")</f>
        <v/>
      </c>
      <c r="Q853" s="13">
        <f>CHAIN_RAW!I853</f>
        <v/>
      </c>
      <c r="R853" s="13">
        <f>CHAIN_RAW!P853</f>
        <v/>
      </c>
      <c r="S853" s="13">
        <f>IFERROR(R853/Q853,"")</f>
        <v/>
      </c>
      <c r="T853" s="13">
        <f>IFERROR((ABS(N853-O853)/MAX(1,(N853+O853)))*EXP(-ABS(E853-CONTROL!E5)/MAX(1,CONTROL!B8)),"")</f>
        <v/>
      </c>
      <c r="U853" s="13">
        <f>IFERROR(IF(O853&gt;N853,"SUPPORT (PE OI)","RESIST (CE OI)"),"")</f>
        <v/>
      </c>
      <c r="V853" s="13">
        <f>IFERROR(IF(Q853&gt;0,IF(R853&gt;0,"BOTH_ADD","CE_ADD_PE_REDUCE"),IF(R853&gt;0,"CE_REDUCE_PE_ADD","BOTH_REDUCE")),"")</f>
        <v/>
      </c>
      <c r="W853" s="13">
        <f>IFERROR( (P853-1)*0.5 + (M853)*0.1 - (I853+J853)*0.05 + T853*0.4 ,"")</f>
        <v/>
      </c>
      <c r="X853" s="13">
        <f>IFERROR(IF(ABS(F853)&lt;0.01,"ATM/NEAR",""),"")</f>
        <v/>
      </c>
    </row>
    <row r="854">
      <c r="A854" s="13">
        <f>CHAIN_RAW!A854</f>
        <v/>
      </c>
      <c r="B854" s="14">
        <f>CHAIN_RAW!B854</f>
        <v/>
      </c>
      <c r="C854" s="13">
        <f>CHAIN_RAW!C854</f>
        <v/>
      </c>
      <c r="D854" s="13">
        <f>CHAIN_RAW!D854</f>
        <v/>
      </c>
      <c r="E854" s="13">
        <f>CHAIN_RAW!E854</f>
        <v/>
      </c>
      <c r="F854" s="13">
        <f>IFERROR((E854-D854)/D854,"")</f>
        <v/>
      </c>
      <c r="G854" s="13">
        <f>IFERROR((CHAIN_RAW!K854+CHAIN_RAW!L854)/2,"")</f>
        <v/>
      </c>
      <c r="H854" s="13">
        <f>IFERROR((CHAIN_RAW!R854+CHAIN_RAW!S854)/2,"")</f>
        <v/>
      </c>
      <c r="I854" s="13">
        <f>IFERROR((CHAIN_RAW!L854-CHAIN_RAW!K854)/MAX(1E-9, G854),"")</f>
        <v/>
      </c>
      <c r="J854" s="13">
        <f>IFERROR((CHAIN_RAW!S854-CHAIN_RAW!R854)/MAX(1E-9, H854),"")</f>
        <v/>
      </c>
      <c r="K854" s="13">
        <f>CHAIN_RAW!G854</f>
        <v/>
      </c>
      <c r="L854" s="13">
        <f>CHAIN_RAW!N854</f>
        <v/>
      </c>
      <c r="M854" s="13">
        <f>IFERROR(L854-K854,"")</f>
        <v/>
      </c>
      <c r="N854" s="13">
        <f>CHAIN_RAW!H854</f>
        <v/>
      </c>
      <c r="O854" s="13">
        <f>CHAIN_RAW!O854</f>
        <v/>
      </c>
      <c r="P854" s="13">
        <f>IFERROR(O854/N854,"")</f>
        <v/>
      </c>
      <c r="Q854" s="13">
        <f>CHAIN_RAW!I854</f>
        <v/>
      </c>
      <c r="R854" s="13">
        <f>CHAIN_RAW!P854</f>
        <v/>
      </c>
      <c r="S854" s="13">
        <f>IFERROR(R854/Q854,"")</f>
        <v/>
      </c>
      <c r="T854" s="13">
        <f>IFERROR((ABS(N854-O854)/MAX(1,(N854+O854)))*EXP(-ABS(E854-CONTROL!E5)/MAX(1,CONTROL!B8)),"")</f>
        <v/>
      </c>
      <c r="U854" s="13">
        <f>IFERROR(IF(O854&gt;N854,"SUPPORT (PE OI)","RESIST (CE OI)"),"")</f>
        <v/>
      </c>
      <c r="V854" s="13">
        <f>IFERROR(IF(Q854&gt;0,IF(R854&gt;0,"BOTH_ADD","CE_ADD_PE_REDUCE"),IF(R854&gt;0,"CE_REDUCE_PE_ADD","BOTH_REDUCE")),"")</f>
        <v/>
      </c>
      <c r="W854" s="13">
        <f>IFERROR( (P854-1)*0.5 + (M854)*0.1 - (I854+J854)*0.05 + T854*0.4 ,"")</f>
        <v/>
      </c>
      <c r="X854" s="13">
        <f>IFERROR(IF(ABS(F854)&lt;0.01,"ATM/NEAR",""),"")</f>
        <v/>
      </c>
    </row>
    <row r="855">
      <c r="A855" s="13">
        <f>CHAIN_RAW!A855</f>
        <v/>
      </c>
      <c r="B855" s="14">
        <f>CHAIN_RAW!B855</f>
        <v/>
      </c>
      <c r="C855" s="13">
        <f>CHAIN_RAW!C855</f>
        <v/>
      </c>
      <c r="D855" s="13">
        <f>CHAIN_RAW!D855</f>
        <v/>
      </c>
      <c r="E855" s="13">
        <f>CHAIN_RAW!E855</f>
        <v/>
      </c>
      <c r="F855" s="13">
        <f>IFERROR((E855-D855)/D855,"")</f>
        <v/>
      </c>
      <c r="G855" s="13">
        <f>IFERROR((CHAIN_RAW!K855+CHAIN_RAW!L855)/2,"")</f>
        <v/>
      </c>
      <c r="H855" s="13">
        <f>IFERROR((CHAIN_RAW!R855+CHAIN_RAW!S855)/2,"")</f>
        <v/>
      </c>
      <c r="I855" s="13">
        <f>IFERROR((CHAIN_RAW!L855-CHAIN_RAW!K855)/MAX(1E-9, G855),"")</f>
        <v/>
      </c>
      <c r="J855" s="13">
        <f>IFERROR((CHAIN_RAW!S855-CHAIN_RAW!R855)/MAX(1E-9, H855),"")</f>
        <v/>
      </c>
      <c r="K855" s="13">
        <f>CHAIN_RAW!G855</f>
        <v/>
      </c>
      <c r="L855" s="13">
        <f>CHAIN_RAW!N855</f>
        <v/>
      </c>
      <c r="M855" s="13">
        <f>IFERROR(L855-K855,"")</f>
        <v/>
      </c>
      <c r="N855" s="13">
        <f>CHAIN_RAW!H855</f>
        <v/>
      </c>
      <c r="O855" s="13">
        <f>CHAIN_RAW!O855</f>
        <v/>
      </c>
      <c r="P855" s="13">
        <f>IFERROR(O855/N855,"")</f>
        <v/>
      </c>
      <c r="Q855" s="13">
        <f>CHAIN_RAW!I855</f>
        <v/>
      </c>
      <c r="R855" s="13">
        <f>CHAIN_RAW!P855</f>
        <v/>
      </c>
      <c r="S855" s="13">
        <f>IFERROR(R855/Q855,"")</f>
        <v/>
      </c>
      <c r="T855" s="13">
        <f>IFERROR((ABS(N855-O855)/MAX(1,(N855+O855)))*EXP(-ABS(E855-CONTROL!E5)/MAX(1,CONTROL!B8)),"")</f>
        <v/>
      </c>
      <c r="U855" s="13">
        <f>IFERROR(IF(O855&gt;N855,"SUPPORT (PE OI)","RESIST (CE OI)"),"")</f>
        <v/>
      </c>
      <c r="V855" s="13">
        <f>IFERROR(IF(Q855&gt;0,IF(R855&gt;0,"BOTH_ADD","CE_ADD_PE_REDUCE"),IF(R855&gt;0,"CE_REDUCE_PE_ADD","BOTH_REDUCE")),"")</f>
        <v/>
      </c>
      <c r="W855" s="13">
        <f>IFERROR( (P855-1)*0.5 + (M855)*0.1 - (I855+J855)*0.05 + T855*0.4 ,"")</f>
        <v/>
      </c>
      <c r="X855" s="13">
        <f>IFERROR(IF(ABS(F855)&lt;0.01,"ATM/NEAR",""),"")</f>
        <v/>
      </c>
    </row>
    <row r="856">
      <c r="A856" s="13">
        <f>CHAIN_RAW!A856</f>
        <v/>
      </c>
      <c r="B856" s="14">
        <f>CHAIN_RAW!B856</f>
        <v/>
      </c>
      <c r="C856" s="13">
        <f>CHAIN_RAW!C856</f>
        <v/>
      </c>
      <c r="D856" s="13">
        <f>CHAIN_RAW!D856</f>
        <v/>
      </c>
      <c r="E856" s="13">
        <f>CHAIN_RAW!E856</f>
        <v/>
      </c>
      <c r="F856" s="13">
        <f>IFERROR((E856-D856)/D856,"")</f>
        <v/>
      </c>
      <c r="G856" s="13">
        <f>IFERROR((CHAIN_RAW!K856+CHAIN_RAW!L856)/2,"")</f>
        <v/>
      </c>
      <c r="H856" s="13">
        <f>IFERROR((CHAIN_RAW!R856+CHAIN_RAW!S856)/2,"")</f>
        <v/>
      </c>
      <c r="I856" s="13">
        <f>IFERROR((CHAIN_RAW!L856-CHAIN_RAW!K856)/MAX(1E-9, G856),"")</f>
        <v/>
      </c>
      <c r="J856" s="13">
        <f>IFERROR((CHAIN_RAW!S856-CHAIN_RAW!R856)/MAX(1E-9, H856),"")</f>
        <v/>
      </c>
      <c r="K856" s="13">
        <f>CHAIN_RAW!G856</f>
        <v/>
      </c>
      <c r="L856" s="13">
        <f>CHAIN_RAW!N856</f>
        <v/>
      </c>
      <c r="M856" s="13">
        <f>IFERROR(L856-K856,"")</f>
        <v/>
      </c>
      <c r="N856" s="13">
        <f>CHAIN_RAW!H856</f>
        <v/>
      </c>
      <c r="O856" s="13">
        <f>CHAIN_RAW!O856</f>
        <v/>
      </c>
      <c r="P856" s="13">
        <f>IFERROR(O856/N856,"")</f>
        <v/>
      </c>
      <c r="Q856" s="13">
        <f>CHAIN_RAW!I856</f>
        <v/>
      </c>
      <c r="R856" s="13">
        <f>CHAIN_RAW!P856</f>
        <v/>
      </c>
      <c r="S856" s="13">
        <f>IFERROR(R856/Q856,"")</f>
        <v/>
      </c>
      <c r="T856" s="13">
        <f>IFERROR((ABS(N856-O856)/MAX(1,(N856+O856)))*EXP(-ABS(E856-CONTROL!E5)/MAX(1,CONTROL!B8)),"")</f>
        <v/>
      </c>
      <c r="U856" s="13">
        <f>IFERROR(IF(O856&gt;N856,"SUPPORT (PE OI)","RESIST (CE OI)"),"")</f>
        <v/>
      </c>
      <c r="V856" s="13">
        <f>IFERROR(IF(Q856&gt;0,IF(R856&gt;0,"BOTH_ADD","CE_ADD_PE_REDUCE"),IF(R856&gt;0,"CE_REDUCE_PE_ADD","BOTH_REDUCE")),"")</f>
        <v/>
      </c>
      <c r="W856" s="13">
        <f>IFERROR( (P856-1)*0.5 + (M856)*0.1 - (I856+J856)*0.05 + T856*0.4 ,"")</f>
        <v/>
      </c>
      <c r="X856" s="13">
        <f>IFERROR(IF(ABS(F856)&lt;0.01,"ATM/NEAR",""),"")</f>
        <v/>
      </c>
    </row>
    <row r="857">
      <c r="A857" s="13">
        <f>CHAIN_RAW!A857</f>
        <v/>
      </c>
      <c r="B857" s="14">
        <f>CHAIN_RAW!B857</f>
        <v/>
      </c>
      <c r="C857" s="13">
        <f>CHAIN_RAW!C857</f>
        <v/>
      </c>
      <c r="D857" s="13">
        <f>CHAIN_RAW!D857</f>
        <v/>
      </c>
      <c r="E857" s="13">
        <f>CHAIN_RAW!E857</f>
        <v/>
      </c>
      <c r="F857" s="13">
        <f>IFERROR((E857-D857)/D857,"")</f>
        <v/>
      </c>
      <c r="G857" s="13">
        <f>IFERROR((CHAIN_RAW!K857+CHAIN_RAW!L857)/2,"")</f>
        <v/>
      </c>
      <c r="H857" s="13">
        <f>IFERROR((CHAIN_RAW!R857+CHAIN_RAW!S857)/2,"")</f>
        <v/>
      </c>
      <c r="I857" s="13">
        <f>IFERROR((CHAIN_RAW!L857-CHAIN_RAW!K857)/MAX(1E-9, G857),"")</f>
        <v/>
      </c>
      <c r="J857" s="13">
        <f>IFERROR((CHAIN_RAW!S857-CHAIN_RAW!R857)/MAX(1E-9, H857),"")</f>
        <v/>
      </c>
      <c r="K857" s="13">
        <f>CHAIN_RAW!G857</f>
        <v/>
      </c>
      <c r="L857" s="13">
        <f>CHAIN_RAW!N857</f>
        <v/>
      </c>
      <c r="M857" s="13">
        <f>IFERROR(L857-K857,"")</f>
        <v/>
      </c>
      <c r="N857" s="13">
        <f>CHAIN_RAW!H857</f>
        <v/>
      </c>
      <c r="O857" s="13">
        <f>CHAIN_RAW!O857</f>
        <v/>
      </c>
      <c r="P857" s="13">
        <f>IFERROR(O857/N857,"")</f>
        <v/>
      </c>
      <c r="Q857" s="13">
        <f>CHAIN_RAW!I857</f>
        <v/>
      </c>
      <c r="R857" s="13">
        <f>CHAIN_RAW!P857</f>
        <v/>
      </c>
      <c r="S857" s="13">
        <f>IFERROR(R857/Q857,"")</f>
        <v/>
      </c>
      <c r="T857" s="13">
        <f>IFERROR((ABS(N857-O857)/MAX(1,(N857+O857)))*EXP(-ABS(E857-CONTROL!E5)/MAX(1,CONTROL!B8)),"")</f>
        <v/>
      </c>
      <c r="U857" s="13">
        <f>IFERROR(IF(O857&gt;N857,"SUPPORT (PE OI)","RESIST (CE OI)"),"")</f>
        <v/>
      </c>
      <c r="V857" s="13">
        <f>IFERROR(IF(Q857&gt;0,IF(R857&gt;0,"BOTH_ADD","CE_ADD_PE_REDUCE"),IF(R857&gt;0,"CE_REDUCE_PE_ADD","BOTH_REDUCE")),"")</f>
        <v/>
      </c>
      <c r="W857" s="13">
        <f>IFERROR( (P857-1)*0.5 + (M857)*0.1 - (I857+J857)*0.05 + T857*0.4 ,"")</f>
        <v/>
      </c>
      <c r="X857" s="13">
        <f>IFERROR(IF(ABS(F857)&lt;0.01,"ATM/NEAR",""),"")</f>
        <v/>
      </c>
    </row>
    <row r="858">
      <c r="A858" s="13">
        <f>CHAIN_RAW!A858</f>
        <v/>
      </c>
      <c r="B858" s="14">
        <f>CHAIN_RAW!B858</f>
        <v/>
      </c>
      <c r="C858" s="13">
        <f>CHAIN_RAW!C858</f>
        <v/>
      </c>
      <c r="D858" s="13">
        <f>CHAIN_RAW!D858</f>
        <v/>
      </c>
      <c r="E858" s="13">
        <f>CHAIN_RAW!E858</f>
        <v/>
      </c>
      <c r="F858" s="13">
        <f>IFERROR((E858-D858)/D858,"")</f>
        <v/>
      </c>
      <c r="G858" s="13">
        <f>IFERROR((CHAIN_RAW!K858+CHAIN_RAW!L858)/2,"")</f>
        <v/>
      </c>
      <c r="H858" s="13">
        <f>IFERROR((CHAIN_RAW!R858+CHAIN_RAW!S858)/2,"")</f>
        <v/>
      </c>
      <c r="I858" s="13">
        <f>IFERROR((CHAIN_RAW!L858-CHAIN_RAW!K858)/MAX(1E-9, G858),"")</f>
        <v/>
      </c>
      <c r="J858" s="13">
        <f>IFERROR((CHAIN_RAW!S858-CHAIN_RAW!R858)/MAX(1E-9, H858),"")</f>
        <v/>
      </c>
      <c r="K858" s="13">
        <f>CHAIN_RAW!G858</f>
        <v/>
      </c>
      <c r="L858" s="13">
        <f>CHAIN_RAW!N858</f>
        <v/>
      </c>
      <c r="M858" s="13">
        <f>IFERROR(L858-K858,"")</f>
        <v/>
      </c>
      <c r="N858" s="13">
        <f>CHAIN_RAW!H858</f>
        <v/>
      </c>
      <c r="O858" s="13">
        <f>CHAIN_RAW!O858</f>
        <v/>
      </c>
      <c r="P858" s="13">
        <f>IFERROR(O858/N858,"")</f>
        <v/>
      </c>
      <c r="Q858" s="13">
        <f>CHAIN_RAW!I858</f>
        <v/>
      </c>
      <c r="R858" s="13">
        <f>CHAIN_RAW!P858</f>
        <v/>
      </c>
      <c r="S858" s="13">
        <f>IFERROR(R858/Q858,"")</f>
        <v/>
      </c>
      <c r="T858" s="13">
        <f>IFERROR((ABS(N858-O858)/MAX(1,(N858+O858)))*EXP(-ABS(E858-CONTROL!E5)/MAX(1,CONTROL!B8)),"")</f>
        <v/>
      </c>
      <c r="U858" s="13">
        <f>IFERROR(IF(O858&gt;N858,"SUPPORT (PE OI)","RESIST (CE OI)"),"")</f>
        <v/>
      </c>
      <c r="V858" s="13">
        <f>IFERROR(IF(Q858&gt;0,IF(R858&gt;0,"BOTH_ADD","CE_ADD_PE_REDUCE"),IF(R858&gt;0,"CE_REDUCE_PE_ADD","BOTH_REDUCE")),"")</f>
        <v/>
      </c>
      <c r="W858" s="13">
        <f>IFERROR( (P858-1)*0.5 + (M858)*0.1 - (I858+J858)*0.05 + T858*0.4 ,"")</f>
        <v/>
      </c>
      <c r="X858" s="13">
        <f>IFERROR(IF(ABS(F858)&lt;0.01,"ATM/NEAR",""),"")</f>
        <v/>
      </c>
    </row>
    <row r="859">
      <c r="A859" s="13">
        <f>CHAIN_RAW!A859</f>
        <v/>
      </c>
      <c r="B859" s="14">
        <f>CHAIN_RAW!B859</f>
        <v/>
      </c>
      <c r="C859" s="13">
        <f>CHAIN_RAW!C859</f>
        <v/>
      </c>
      <c r="D859" s="13">
        <f>CHAIN_RAW!D859</f>
        <v/>
      </c>
      <c r="E859" s="13">
        <f>CHAIN_RAW!E859</f>
        <v/>
      </c>
      <c r="F859" s="13">
        <f>IFERROR((E859-D859)/D859,"")</f>
        <v/>
      </c>
      <c r="G859" s="13">
        <f>IFERROR((CHAIN_RAW!K859+CHAIN_RAW!L859)/2,"")</f>
        <v/>
      </c>
      <c r="H859" s="13">
        <f>IFERROR((CHAIN_RAW!R859+CHAIN_RAW!S859)/2,"")</f>
        <v/>
      </c>
      <c r="I859" s="13">
        <f>IFERROR((CHAIN_RAW!L859-CHAIN_RAW!K859)/MAX(1E-9, G859),"")</f>
        <v/>
      </c>
      <c r="J859" s="13">
        <f>IFERROR((CHAIN_RAW!S859-CHAIN_RAW!R859)/MAX(1E-9, H859),"")</f>
        <v/>
      </c>
      <c r="K859" s="13">
        <f>CHAIN_RAW!G859</f>
        <v/>
      </c>
      <c r="L859" s="13">
        <f>CHAIN_RAW!N859</f>
        <v/>
      </c>
      <c r="M859" s="13">
        <f>IFERROR(L859-K859,"")</f>
        <v/>
      </c>
      <c r="N859" s="13">
        <f>CHAIN_RAW!H859</f>
        <v/>
      </c>
      <c r="O859" s="13">
        <f>CHAIN_RAW!O859</f>
        <v/>
      </c>
      <c r="P859" s="13">
        <f>IFERROR(O859/N859,"")</f>
        <v/>
      </c>
      <c r="Q859" s="13">
        <f>CHAIN_RAW!I859</f>
        <v/>
      </c>
      <c r="R859" s="13">
        <f>CHAIN_RAW!P859</f>
        <v/>
      </c>
      <c r="S859" s="13">
        <f>IFERROR(R859/Q859,"")</f>
        <v/>
      </c>
      <c r="T859" s="13">
        <f>IFERROR((ABS(N859-O859)/MAX(1,(N859+O859)))*EXP(-ABS(E859-CONTROL!E5)/MAX(1,CONTROL!B8)),"")</f>
        <v/>
      </c>
      <c r="U859" s="13">
        <f>IFERROR(IF(O859&gt;N859,"SUPPORT (PE OI)","RESIST (CE OI)"),"")</f>
        <v/>
      </c>
      <c r="V859" s="13">
        <f>IFERROR(IF(Q859&gt;0,IF(R859&gt;0,"BOTH_ADD","CE_ADD_PE_REDUCE"),IF(R859&gt;0,"CE_REDUCE_PE_ADD","BOTH_REDUCE")),"")</f>
        <v/>
      </c>
      <c r="W859" s="13">
        <f>IFERROR( (P859-1)*0.5 + (M859)*0.1 - (I859+J859)*0.05 + T859*0.4 ,"")</f>
        <v/>
      </c>
      <c r="X859" s="13">
        <f>IFERROR(IF(ABS(F859)&lt;0.01,"ATM/NEAR",""),"")</f>
        <v/>
      </c>
    </row>
    <row r="860">
      <c r="A860" s="13">
        <f>CHAIN_RAW!A860</f>
        <v/>
      </c>
      <c r="B860" s="14">
        <f>CHAIN_RAW!B860</f>
        <v/>
      </c>
      <c r="C860" s="13">
        <f>CHAIN_RAW!C860</f>
        <v/>
      </c>
      <c r="D860" s="13">
        <f>CHAIN_RAW!D860</f>
        <v/>
      </c>
      <c r="E860" s="13">
        <f>CHAIN_RAW!E860</f>
        <v/>
      </c>
      <c r="F860" s="13">
        <f>IFERROR((E860-D860)/D860,"")</f>
        <v/>
      </c>
      <c r="G860" s="13">
        <f>IFERROR((CHAIN_RAW!K860+CHAIN_RAW!L860)/2,"")</f>
        <v/>
      </c>
      <c r="H860" s="13">
        <f>IFERROR((CHAIN_RAW!R860+CHAIN_RAW!S860)/2,"")</f>
        <v/>
      </c>
      <c r="I860" s="13">
        <f>IFERROR((CHAIN_RAW!L860-CHAIN_RAW!K860)/MAX(1E-9, G860),"")</f>
        <v/>
      </c>
      <c r="J860" s="13">
        <f>IFERROR((CHAIN_RAW!S860-CHAIN_RAW!R860)/MAX(1E-9, H860),"")</f>
        <v/>
      </c>
      <c r="K860" s="13">
        <f>CHAIN_RAW!G860</f>
        <v/>
      </c>
      <c r="L860" s="13">
        <f>CHAIN_RAW!N860</f>
        <v/>
      </c>
      <c r="M860" s="13">
        <f>IFERROR(L860-K860,"")</f>
        <v/>
      </c>
      <c r="N860" s="13">
        <f>CHAIN_RAW!H860</f>
        <v/>
      </c>
      <c r="O860" s="13">
        <f>CHAIN_RAW!O860</f>
        <v/>
      </c>
      <c r="P860" s="13">
        <f>IFERROR(O860/N860,"")</f>
        <v/>
      </c>
      <c r="Q860" s="13">
        <f>CHAIN_RAW!I860</f>
        <v/>
      </c>
      <c r="R860" s="13">
        <f>CHAIN_RAW!P860</f>
        <v/>
      </c>
      <c r="S860" s="13">
        <f>IFERROR(R860/Q860,"")</f>
        <v/>
      </c>
      <c r="T860" s="13">
        <f>IFERROR((ABS(N860-O860)/MAX(1,(N860+O860)))*EXP(-ABS(E860-CONTROL!E5)/MAX(1,CONTROL!B8)),"")</f>
        <v/>
      </c>
      <c r="U860" s="13">
        <f>IFERROR(IF(O860&gt;N860,"SUPPORT (PE OI)","RESIST (CE OI)"),"")</f>
        <v/>
      </c>
      <c r="V860" s="13">
        <f>IFERROR(IF(Q860&gt;0,IF(R860&gt;0,"BOTH_ADD","CE_ADD_PE_REDUCE"),IF(R860&gt;0,"CE_REDUCE_PE_ADD","BOTH_REDUCE")),"")</f>
        <v/>
      </c>
      <c r="W860" s="13">
        <f>IFERROR( (P860-1)*0.5 + (M860)*0.1 - (I860+J860)*0.05 + T860*0.4 ,"")</f>
        <v/>
      </c>
      <c r="X860" s="13">
        <f>IFERROR(IF(ABS(F860)&lt;0.01,"ATM/NEAR",""),"")</f>
        <v/>
      </c>
    </row>
    <row r="861">
      <c r="A861" s="13">
        <f>CHAIN_RAW!A861</f>
        <v/>
      </c>
      <c r="B861" s="14">
        <f>CHAIN_RAW!B861</f>
        <v/>
      </c>
      <c r="C861" s="13">
        <f>CHAIN_RAW!C861</f>
        <v/>
      </c>
      <c r="D861" s="13">
        <f>CHAIN_RAW!D861</f>
        <v/>
      </c>
      <c r="E861" s="13">
        <f>CHAIN_RAW!E861</f>
        <v/>
      </c>
      <c r="F861" s="13">
        <f>IFERROR((E861-D861)/D861,"")</f>
        <v/>
      </c>
      <c r="G861" s="13">
        <f>IFERROR((CHAIN_RAW!K861+CHAIN_RAW!L861)/2,"")</f>
        <v/>
      </c>
      <c r="H861" s="13">
        <f>IFERROR((CHAIN_RAW!R861+CHAIN_RAW!S861)/2,"")</f>
        <v/>
      </c>
      <c r="I861" s="13">
        <f>IFERROR((CHAIN_RAW!L861-CHAIN_RAW!K861)/MAX(1E-9, G861),"")</f>
        <v/>
      </c>
      <c r="J861" s="13">
        <f>IFERROR((CHAIN_RAW!S861-CHAIN_RAW!R861)/MAX(1E-9, H861),"")</f>
        <v/>
      </c>
      <c r="K861" s="13">
        <f>CHAIN_RAW!G861</f>
        <v/>
      </c>
      <c r="L861" s="13">
        <f>CHAIN_RAW!N861</f>
        <v/>
      </c>
      <c r="M861" s="13">
        <f>IFERROR(L861-K861,"")</f>
        <v/>
      </c>
      <c r="N861" s="13">
        <f>CHAIN_RAW!H861</f>
        <v/>
      </c>
      <c r="O861" s="13">
        <f>CHAIN_RAW!O861</f>
        <v/>
      </c>
      <c r="P861" s="13">
        <f>IFERROR(O861/N861,"")</f>
        <v/>
      </c>
      <c r="Q861" s="13">
        <f>CHAIN_RAW!I861</f>
        <v/>
      </c>
      <c r="R861" s="13">
        <f>CHAIN_RAW!P861</f>
        <v/>
      </c>
      <c r="S861" s="13">
        <f>IFERROR(R861/Q861,"")</f>
        <v/>
      </c>
      <c r="T861" s="13">
        <f>IFERROR((ABS(N861-O861)/MAX(1,(N861+O861)))*EXP(-ABS(E861-CONTROL!E5)/MAX(1,CONTROL!B8)),"")</f>
        <v/>
      </c>
      <c r="U861" s="13">
        <f>IFERROR(IF(O861&gt;N861,"SUPPORT (PE OI)","RESIST (CE OI)"),"")</f>
        <v/>
      </c>
      <c r="V861" s="13">
        <f>IFERROR(IF(Q861&gt;0,IF(R861&gt;0,"BOTH_ADD","CE_ADD_PE_REDUCE"),IF(R861&gt;0,"CE_REDUCE_PE_ADD","BOTH_REDUCE")),"")</f>
        <v/>
      </c>
      <c r="W861" s="13">
        <f>IFERROR( (P861-1)*0.5 + (M861)*0.1 - (I861+J861)*0.05 + T861*0.4 ,"")</f>
        <v/>
      </c>
      <c r="X861" s="13">
        <f>IFERROR(IF(ABS(F861)&lt;0.01,"ATM/NEAR",""),"")</f>
        <v/>
      </c>
    </row>
    <row r="862">
      <c r="A862" s="13">
        <f>CHAIN_RAW!A862</f>
        <v/>
      </c>
      <c r="B862" s="14">
        <f>CHAIN_RAW!B862</f>
        <v/>
      </c>
      <c r="C862" s="13">
        <f>CHAIN_RAW!C862</f>
        <v/>
      </c>
      <c r="D862" s="13">
        <f>CHAIN_RAW!D862</f>
        <v/>
      </c>
      <c r="E862" s="13">
        <f>CHAIN_RAW!E862</f>
        <v/>
      </c>
      <c r="F862" s="13">
        <f>IFERROR((E862-D862)/D862,"")</f>
        <v/>
      </c>
      <c r="G862" s="13">
        <f>IFERROR((CHAIN_RAW!K862+CHAIN_RAW!L862)/2,"")</f>
        <v/>
      </c>
      <c r="H862" s="13">
        <f>IFERROR((CHAIN_RAW!R862+CHAIN_RAW!S862)/2,"")</f>
        <v/>
      </c>
      <c r="I862" s="13">
        <f>IFERROR((CHAIN_RAW!L862-CHAIN_RAW!K862)/MAX(1E-9, G862),"")</f>
        <v/>
      </c>
      <c r="J862" s="13">
        <f>IFERROR((CHAIN_RAW!S862-CHAIN_RAW!R862)/MAX(1E-9, H862),"")</f>
        <v/>
      </c>
      <c r="K862" s="13">
        <f>CHAIN_RAW!G862</f>
        <v/>
      </c>
      <c r="L862" s="13">
        <f>CHAIN_RAW!N862</f>
        <v/>
      </c>
      <c r="M862" s="13">
        <f>IFERROR(L862-K862,"")</f>
        <v/>
      </c>
      <c r="N862" s="13">
        <f>CHAIN_RAW!H862</f>
        <v/>
      </c>
      <c r="O862" s="13">
        <f>CHAIN_RAW!O862</f>
        <v/>
      </c>
      <c r="P862" s="13">
        <f>IFERROR(O862/N862,"")</f>
        <v/>
      </c>
      <c r="Q862" s="13">
        <f>CHAIN_RAW!I862</f>
        <v/>
      </c>
      <c r="R862" s="13">
        <f>CHAIN_RAW!P862</f>
        <v/>
      </c>
      <c r="S862" s="13">
        <f>IFERROR(R862/Q862,"")</f>
        <v/>
      </c>
      <c r="T862" s="13">
        <f>IFERROR((ABS(N862-O862)/MAX(1,(N862+O862)))*EXP(-ABS(E862-CONTROL!E5)/MAX(1,CONTROL!B8)),"")</f>
        <v/>
      </c>
      <c r="U862" s="13">
        <f>IFERROR(IF(O862&gt;N862,"SUPPORT (PE OI)","RESIST (CE OI)"),"")</f>
        <v/>
      </c>
      <c r="V862" s="13">
        <f>IFERROR(IF(Q862&gt;0,IF(R862&gt;0,"BOTH_ADD","CE_ADD_PE_REDUCE"),IF(R862&gt;0,"CE_REDUCE_PE_ADD","BOTH_REDUCE")),"")</f>
        <v/>
      </c>
      <c r="W862" s="13">
        <f>IFERROR( (P862-1)*0.5 + (M862)*0.1 - (I862+J862)*0.05 + T862*0.4 ,"")</f>
        <v/>
      </c>
      <c r="X862" s="13">
        <f>IFERROR(IF(ABS(F862)&lt;0.01,"ATM/NEAR",""),"")</f>
        <v/>
      </c>
    </row>
    <row r="863">
      <c r="A863" s="13">
        <f>CHAIN_RAW!A863</f>
        <v/>
      </c>
      <c r="B863" s="14">
        <f>CHAIN_RAW!B863</f>
        <v/>
      </c>
      <c r="C863" s="13">
        <f>CHAIN_RAW!C863</f>
        <v/>
      </c>
      <c r="D863" s="13">
        <f>CHAIN_RAW!D863</f>
        <v/>
      </c>
      <c r="E863" s="13">
        <f>CHAIN_RAW!E863</f>
        <v/>
      </c>
      <c r="F863" s="13">
        <f>IFERROR((E863-D863)/D863,"")</f>
        <v/>
      </c>
      <c r="G863" s="13">
        <f>IFERROR((CHAIN_RAW!K863+CHAIN_RAW!L863)/2,"")</f>
        <v/>
      </c>
      <c r="H863" s="13">
        <f>IFERROR((CHAIN_RAW!R863+CHAIN_RAW!S863)/2,"")</f>
        <v/>
      </c>
      <c r="I863" s="13">
        <f>IFERROR((CHAIN_RAW!L863-CHAIN_RAW!K863)/MAX(1E-9, G863),"")</f>
        <v/>
      </c>
      <c r="J863" s="13">
        <f>IFERROR((CHAIN_RAW!S863-CHAIN_RAW!R863)/MAX(1E-9, H863),"")</f>
        <v/>
      </c>
      <c r="K863" s="13">
        <f>CHAIN_RAW!G863</f>
        <v/>
      </c>
      <c r="L863" s="13">
        <f>CHAIN_RAW!N863</f>
        <v/>
      </c>
      <c r="M863" s="13">
        <f>IFERROR(L863-K863,"")</f>
        <v/>
      </c>
      <c r="N863" s="13">
        <f>CHAIN_RAW!H863</f>
        <v/>
      </c>
      <c r="O863" s="13">
        <f>CHAIN_RAW!O863</f>
        <v/>
      </c>
      <c r="P863" s="13">
        <f>IFERROR(O863/N863,"")</f>
        <v/>
      </c>
      <c r="Q863" s="13">
        <f>CHAIN_RAW!I863</f>
        <v/>
      </c>
      <c r="R863" s="13">
        <f>CHAIN_RAW!P863</f>
        <v/>
      </c>
      <c r="S863" s="13">
        <f>IFERROR(R863/Q863,"")</f>
        <v/>
      </c>
      <c r="T863" s="13">
        <f>IFERROR((ABS(N863-O863)/MAX(1,(N863+O863)))*EXP(-ABS(E863-CONTROL!E5)/MAX(1,CONTROL!B8)),"")</f>
        <v/>
      </c>
      <c r="U863" s="13">
        <f>IFERROR(IF(O863&gt;N863,"SUPPORT (PE OI)","RESIST (CE OI)"),"")</f>
        <v/>
      </c>
      <c r="V863" s="13">
        <f>IFERROR(IF(Q863&gt;0,IF(R863&gt;0,"BOTH_ADD","CE_ADD_PE_REDUCE"),IF(R863&gt;0,"CE_REDUCE_PE_ADD","BOTH_REDUCE")),"")</f>
        <v/>
      </c>
      <c r="W863" s="13">
        <f>IFERROR( (P863-1)*0.5 + (M863)*0.1 - (I863+J863)*0.05 + T863*0.4 ,"")</f>
        <v/>
      </c>
      <c r="X863" s="13">
        <f>IFERROR(IF(ABS(F863)&lt;0.01,"ATM/NEAR",""),"")</f>
        <v/>
      </c>
    </row>
    <row r="864">
      <c r="A864" s="13">
        <f>CHAIN_RAW!A864</f>
        <v/>
      </c>
      <c r="B864" s="14">
        <f>CHAIN_RAW!B864</f>
        <v/>
      </c>
      <c r="C864" s="13">
        <f>CHAIN_RAW!C864</f>
        <v/>
      </c>
      <c r="D864" s="13">
        <f>CHAIN_RAW!D864</f>
        <v/>
      </c>
      <c r="E864" s="13">
        <f>CHAIN_RAW!E864</f>
        <v/>
      </c>
      <c r="F864" s="13">
        <f>IFERROR((E864-D864)/D864,"")</f>
        <v/>
      </c>
      <c r="G864" s="13">
        <f>IFERROR((CHAIN_RAW!K864+CHAIN_RAW!L864)/2,"")</f>
        <v/>
      </c>
      <c r="H864" s="13">
        <f>IFERROR((CHAIN_RAW!R864+CHAIN_RAW!S864)/2,"")</f>
        <v/>
      </c>
      <c r="I864" s="13">
        <f>IFERROR((CHAIN_RAW!L864-CHAIN_RAW!K864)/MAX(1E-9, G864),"")</f>
        <v/>
      </c>
      <c r="J864" s="13">
        <f>IFERROR((CHAIN_RAW!S864-CHAIN_RAW!R864)/MAX(1E-9, H864),"")</f>
        <v/>
      </c>
      <c r="K864" s="13">
        <f>CHAIN_RAW!G864</f>
        <v/>
      </c>
      <c r="L864" s="13">
        <f>CHAIN_RAW!N864</f>
        <v/>
      </c>
      <c r="M864" s="13">
        <f>IFERROR(L864-K864,"")</f>
        <v/>
      </c>
      <c r="N864" s="13">
        <f>CHAIN_RAW!H864</f>
        <v/>
      </c>
      <c r="O864" s="13">
        <f>CHAIN_RAW!O864</f>
        <v/>
      </c>
      <c r="P864" s="13">
        <f>IFERROR(O864/N864,"")</f>
        <v/>
      </c>
      <c r="Q864" s="13">
        <f>CHAIN_RAW!I864</f>
        <v/>
      </c>
      <c r="R864" s="13">
        <f>CHAIN_RAW!P864</f>
        <v/>
      </c>
      <c r="S864" s="13">
        <f>IFERROR(R864/Q864,"")</f>
        <v/>
      </c>
      <c r="T864" s="13">
        <f>IFERROR((ABS(N864-O864)/MAX(1,(N864+O864)))*EXP(-ABS(E864-CONTROL!E5)/MAX(1,CONTROL!B8)),"")</f>
        <v/>
      </c>
      <c r="U864" s="13">
        <f>IFERROR(IF(O864&gt;N864,"SUPPORT (PE OI)","RESIST (CE OI)"),"")</f>
        <v/>
      </c>
      <c r="V864" s="13">
        <f>IFERROR(IF(Q864&gt;0,IF(R864&gt;0,"BOTH_ADD","CE_ADD_PE_REDUCE"),IF(R864&gt;0,"CE_REDUCE_PE_ADD","BOTH_REDUCE")),"")</f>
        <v/>
      </c>
      <c r="W864" s="13">
        <f>IFERROR( (P864-1)*0.5 + (M864)*0.1 - (I864+J864)*0.05 + T864*0.4 ,"")</f>
        <v/>
      </c>
      <c r="X864" s="13">
        <f>IFERROR(IF(ABS(F864)&lt;0.01,"ATM/NEAR",""),"")</f>
        <v/>
      </c>
    </row>
    <row r="865">
      <c r="A865" s="13">
        <f>CHAIN_RAW!A865</f>
        <v/>
      </c>
      <c r="B865" s="14">
        <f>CHAIN_RAW!B865</f>
        <v/>
      </c>
      <c r="C865" s="13">
        <f>CHAIN_RAW!C865</f>
        <v/>
      </c>
      <c r="D865" s="13">
        <f>CHAIN_RAW!D865</f>
        <v/>
      </c>
      <c r="E865" s="13">
        <f>CHAIN_RAW!E865</f>
        <v/>
      </c>
      <c r="F865" s="13">
        <f>IFERROR((E865-D865)/D865,"")</f>
        <v/>
      </c>
      <c r="G865" s="13">
        <f>IFERROR((CHAIN_RAW!K865+CHAIN_RAW!L865)/2,"")</f>
        <v/>
      </c>
      <c r="H865" s="13">
        <f>IFERROR((CHAIN_RAW!R865+CHAIN_RAW!S865)/2,"")</f>
        <v/>
      </c>
      <c r="I865" s="13">
        <f>IFERROR((CHAIN_RAW!L865-CHAIN_RAW!K865)/MAX(1E-9, G865),"")</f>
        <v/>
      </c>
      <c r="J865" s="13">
        <f>IFERROR((CHAIN_RAW!S865-CHAIN_RAW!R865)/MAX(1E-9, H865),"")</f>
        <v/>
      </c>
      <c r="K865" s="13">
        <f>CHAIN_RAW!G865</f>
        <v/>
      </c>
      <c r="L865" s="13">
        <f>CHAIN_RAW!N865</f>
        <v/>
      </c>
      <c r="M865" s="13">
        <f>IFERROR(L865-K865,"")</f>
        <v/>
      </c>
      <c r="N865" s="13">
        <f>CHAIN_RAW!H865</f>
        <v/>
      </c>
      <c r="O865" s="13">
        <f>CHAIN_RAW!O865</f>
        <v/>
      </c>
      <c r="P865" s="13">
        <f>IFERROR(O865/N865,"")</f>
        <v/>
      </c>
      <c r="Q865" s="13">
        <f>CHAIN_RAW!I865</f>
        <v/>
      </c>
      <c r="R865" s="13">
        <f>CHAIN_RAW!P865</f>
        <v/>
      </c>
      <c r="S865" s="13">
        <f>IFERROR(R865/Q865,"")</f>
        <v/>
      </c>
      <c r="T865" s="13">
        <f>IFERROR((ABS(N865-O865)/MAX(1,(N865+O865)))*EXP(-ABS(E865-CONTROL!E5)/MAX(1,CONTROL!B8)),"")</f>
        <v/>
      </c>
      <c r="U865" s="13">
        <f>IFERROR(IF(O865&gt;N865,"SUPPORT (PE OI)","RESIST (CE OI)"),"")</f>
        <v/>
      </c>
      <c r="V865" s="13">
        <f>IFERROR(IF(Q865&gt;0,IF(R865&gt;0,"BOTH_ADD","CE_ADD_PE_REDUCE"),IF(R865&gt;0,"CE_REDUCE_PE_ADD","BOTH_REDUCE")),"")</f>
        <v/>
      </c>
      <c r="W865" s="13">
        <f>IFERROR( (P865-1)*0.5 + (M865)*0.1 - (I865+J865)*0.05 + T865*0.4 ,"")</f>
        <v/>
      </c>
      <c r="X865" s="13">
        <f>IFERROR(IF(ABS(F865)&lt;0.01,"ATM/NEAR",""),"")</f>
        <v/>
      </c>
    </row>
    <row r="866">
      <c r="A866" s="13">
        <f>CHAIN_RAW!A866</f>
        <v/>
      </c>
      <c r="B866" s="14">
        <f>CHAIN_RAW!B866</f>
        <v/>
      </c>
      <c r="C866" s="13">
        <f>CHAIN_RAW!C866</f>
        <v/>
      </c>
      <c r="D866" s="13">
        <f>CHAIN_RAW!D866</f>
        <v/>
      </c>
      <c r="E866" s="13">
        <f>CHAIN_RAW!E866</f>
        <v/>
      </c>
      <c r="F866" s="13">
        <f>IFERROR((E866-D866)/D866,"")</f>
        <v/>
      </c>
      <c r="G866" s="13">
        <f>IFERROR((CHAIN_RAW!K866+CHAIN_RAW!L866)/2,"")</f>
        <v/>
      </c>
      <c r="H866" s="13">
        <f>IFERROR((CHAIN_RAW!R866+CHAIN_RAW!S866)/2,"")</f>
        <v/>
      </c>
      <c r="I866" s="13">
        <f>IFERROR((CHAIN_RAW!L866-CHAIN_RAW!K866)/MAX(1E-9, G866),"")</f>
        <v/>
      </c>
      <c r="J866" s="13">
        <f>IFERROR((CHAIN_RAW!S866-CHAIN_RAW!R866)/MAX(1E-9, H866),"")</f>
        <v/>
      </c>
      <c r="K866" s="13">
        <f>CHAIN_RAW!G866</f>
        <v/>
      </c>
      <c r="L866" s="13">
        <f>CHAIN_RAW!N866</f>
        <v/>
      </c>
      <c r="M866" s="13">
        <f>IFERROR(L866-K866,"")</f>
        <v/>
      </c>
      <c r="N866" s="13">
        <f>CHAIN_RAW!H866</f>
        <v/>
      </c>
      <c r="O866" s="13">
        <f>CHAIN_RAW!O866</f>
        <v/>
      </c>
      <c r="P866" s="13">
        <f>IFERROR(O866/N866,"")</f>
        <v/>
      </c>
      <c r="Q866" s="13">
        <f>CHAIN_RAW!I866</f>
        <v/>
      </c>
      <c r="R866" s="13">
        <f>CHAIN_RAW!P866</f>
        <v/>
      </c>
      <c r="S866" s="13">
        <f>IFERROR(R866/Q866,"")</f>
        <v/>
      </c>
      <c r="T866" s="13">
        <f>IFERROR((ABS(N866-O866)/MAX(1,(N866+O866)))*EXP(-ABS(E866-CONTROL!E5)/MAX(1,CONTROL!B8)),"")</f>
        <v/>
      </c>
      <c r="U866" s="13">
        <f>IFERROR(IF(O866&gt;N866,"SUPPORT (PE OI)","RESIST (CE OI)"),"")</f>
        <v/>
      </c>
      <c r="V866" s="13">
        <f>IFERROR(IF(Q866&gt;0,IF(R866&gt;0,"BOTH_ADD","CE_ADD_PE_REDUCE"),IF(R866&gt;0,"CE_REDUCE_PE_ADD","BOTH_REDUCE")),"")</f>
        <v/>
      </c>
      <c r="W866" s="13">
        <f>IFERROR( (P866-1)*0.5 + (M866)*0.1 - (I866+J866)*0.05 + T866*0.4 ,"")</f>
        <v/>
      </c>
      <c r="X866" s="13">
        <f>IFERROR(IF(ABS(F866)&lt;0.01,"ATM/NEAR",""),"")</f>
        <v/>
      </c>
    </row>
    <row r="867">
      <c r="A867" s="13">
        <f>CHAIN_RAW!A867</f>
        <v/>
      </c>
      <c r="B867" s="14">
        <f>CHAIN_RAW!B867</f>
        <v/>
      </c>
      <c r="C867" s="13">
        <f>CHAIN_RAW!C867</f>
        <v/>
      </c>
      <c r="D867" s="13">
        <f>CHAIN_RAW!D867</f>
        <v/>
      </c>
      <c r="E867" s="13">
        <f>CHAIN_RAW!E867</f>
        <v/>
      </c>
      <c r="F867" s="13">
        <f>IFERROR((E867-D867)/D867,"")</f>
        <v/>
      </c>
      <c r="G867" s="13">
        <f>IFERROR((CHAIN_RAW!K867+CHAIN_RAW!L867)/2,"")</f>
        <v/>
      </c>
      <c r="H867" s="13">
        <f>IFERROR((CHAIN_RAW!R867+CHAIN_RAW!S867)/2,"")</f>
        <v/>
      </c>
      <c r="I867" s="13">
        <f>IFERROR((CHAIN_RAW!L867-CHAIN_RAW!K867)/MAX(1E-9, G867),"")</f>
        <v/>
      </c>
      <c r="J867" s="13">
        <f>IFERROR((CHAIN_RAW!S867-CHAIN_RAW!R867)/MAX(1E-9, H867),"")</f>
        <v/>
      </c>
      <c r="K867" s="13">
        <f>CHAIN_RAW!G867</f>
        <v/>
      </c>
      <c r="L867" s="13">
        <f>CHAIN_RAW!N867</f>
        <v/>
      </c>
      <c r="M867" s="13">
        <f>IFERROR(L867-K867,"")</f>
        <v/>
      </c>
      <c r="N867" s="13">
        <f>CHAIN_RAW!H867</f>
        <v/>
      </c>
      <c r="O867" s="13">
        <f>CHAIN_RAW!O867</f>
        <v/>
      </c>
      <c r="P867" s="13">
        <f>IFERROR(O867/N867,"")</f>
        <v/>
      </c>
      <c r="Q867" s="13">
        <f>CHAIN_RAW!I867</f>
        <v/>
      </c>
      <c r="R867" s="13">
        <f>CHAIN_RAW!P867</f>
        <v/>
      </c>
      <c r="S867" s="13">
        <f>IFERROR(R867/Q867,"")</f>
        <v/>
      </c>
      <c r="T867" s="13">
        <f>IFERROR((ABS(N867-O867)/MAX(1,(N867+O867)))*EXP(-ABS(E867-CONTROL!E5)/MAX(1,CONTROL!B8)),"")</f>
        <v/>
      </c>
      <c r="U867" s="13">
        <f>IFERROR(IF(O867&gt;N867,"SUPPORT (PE OI)","RESIST (CE OI)"),"")</f>
        <v/>
      </c>
      <c r="V867" s="13">
        <f>IFERROR(IF(Q867&gt;0,IF(R867&gt;0,"BOTH_ADD","CE_ADD_PE_REDUCE"),IF(R867&gt;0,"CE_REDUCE_PE_ADD","BOTH_REDUCE")),"")</f>
        <v/>
      </c>
      <c r="W867" s="13">
        <f>IFERROR( (P867-1)*0.5 + (M867)*0.1 - (I867+J867)*0.05 + T867*0.4 ,"")</f>
        <v/>
      </c>
      <c r="X867" s="13">
        <f>IFERROR(IF(ABS(F867)&lt;0.01,"ATM/NEAR",""),"")</f>
        <v/>
      </c>
    </row>
    <row r="868">
      <c r="A868" s="13">
        <f>CHAIN_RAW!A868</f>
        <v/>
      </c>
      <c r="B868" s="14">
        <f>CHAIN_RAW!B868</f>
        <v/>
      </c>
      <c r="C868" s="13">
        <f>CHAIN_RAW!C868</f>
        <v/>
      </c>
      <c r="D868" s="13">
        <f>CHAIN_RAW!D868</f>
        <v/>
      </c>
      <c r="E868" s="13">
        <f>CHAIN_RAW!E868</f>
        <v/>
      </c>
      <c r="F868" s="13">
        <f>IFERROR((E868-D868)/D868,"")</f>
        <v/>
      </c>
      <c r="G868" s="13">
        <f>IFERROR((CHAIN_RAW!K868+CHAIN_RAW!L868)/2,"")</f>
        <v/>
      </c>
      <c r="H868" s="13">
        <f>IFERROR((CHAIN_RAW!R868+CHAIN_RAW!S868)/2,"")</f>
        <v/>
      </c>
      <c r="I868" s="13">
        <f>IFERROR((CHAIN_RAW!L868-CHAIN_RAW!K868)/MAX(1E-9, G868),"")</f>
        <v/>
      </c>
      <c r="J868" s="13">
        <f>IFERROR((CHAIN_RAW!S868-CHAIN_RAW!R868)/MAX(1E-9, H868),"")</f>
        <v/>
      </c>
      <c r="K868" s="13">
        <f>CHAIN_RAW!G868</f>
        <v/>
      </c>
      <c r="L868" s="13">
        <f>CHAIN_RAW!N868</f>
        <v/>
      </c>
      <c r="M868" s="13">
        <f>IFERROR(L868-K868,"")</f>
        <v/>
      </c>
      <c r="N868" s="13">
        <f>CHAIN_RAW!H868</f>
        <v/>
      </c>
      <c r="O868" s="13">
        <f>CHAIN_RAW!O868</f>
        <v/>
      </c>
      <c r="P868" s="13">
        <f>IFERROR(O868/N868,"")</f>
        <v/>
      </c>
      <c r="Q868" s="13">
        <f>CHAIN_RAW!I868</f>
        <v/>
      </c>
      <c r="R868" s="13">
        <f>CHAIN_RAW!P868</f>
        <v/>
      </c>
      <c r="S868" s="13">
        <f>IFERROR(R868/Q868,"")</f>
        <v/>
      </c>
      <c r="T868" s="13">
        <f>IFERROR((ABS(N868-O868)/MAX(1,(N868+O868)))*EXP(-ABS(E868-CONTROL!E5)/MAX(1,CONTROL!B8)),"")</f>
        <v/>
      </c>
      <c r="U868" s="13">
        <f>IFERROR(IF(O868&gt;N868,"SUPPORT (PE OI)","RESIST (CE OI)"),"")</f>
        <v/>
      </c>
      <c r="V868" s="13">
        <f>IFERROR(IF(Q868&gt;0,IF(R868&gt;0,"BOTH_ADD","CE_ADD_PE_REDUCE"),IF(R868&gt;0,"CE_REDUCE_PE_ADD","BOTH_REDUCE")),"")</f>
        <v/>
      </c>
      <c r="W868" s="13">
        <f>IFERROR( (P868-1)*0.5 + (M868)*0.1 - (I868+J868)*0.05 + T868*0.4 ,"")</f>
        <v/>
      </c>
      <c r="X868" s="13">
        <f>IFERROR(IF(ABS(F868)&lt;0.01,"ATM/NEAR",""),"")</f>
        <v/>
      </c>
    </row>
    <row r="869">
      <c r="A869" s="13">
        <f>CHAIN_RAW!A869</f>
        <v/>
      </c>
      <c r="B869" s="14">
        <f>CHAIN_RAW!B869</f>
        <v/>
      </c>
      <c r="C869" s="13">
        <f>CHAIN_RAW!C869</f>
        <v/>
      </c>
      <c r="D869" s="13">
        <f>CHAIN_RAW!D869</f>
        <v/>
      </c>
      <c r="E869" s="13">
        <f>CHAIN_RAW!E869</f>
        <v/>
      </c>
      <c r="F869" s="13">
        <f>IFERROR((E869-D869)/D869,"")</f>
        <v/>
      </c>
      <c r="G869" s="13">
        <f>IFERROR((CHAIN_RAW!K869+CHAIN_RAW!L869)/2,"")</f>
        <v/>
      </c>
      <c r="H869" s="13">
        <f>IFERROR((CHAIN_RAW!R869+CHAIN_RAW!S869)/2,"")</f>
        <v/>
      </c>
      <c r="I869" s="13">
        <f>IFERROR((CHAIN_RAW!L869-CHAIN_RAW!K869)/MAX(1E-9, G869),"")</f>
        <v/>
      </c>
      <c r="J869" s="13">
        <f>IFERROR((CHAIN_RAW!S869-CHAIN_RAW!R869)/MAX(1E-9, H869),"")</f>
        <v/>
      </c>
      <c r="K869" s="13">
        <f>CHAIN_RAW!G869</f>
        <v/>
      </c>
      <c r="L869" s="13">
        <f>CHAIN_RAW!N869</f>
        <v/>
      </c>
      <c r="M869" s="13">
        <f>IFERROR(L869-K869,"")</f>
        <v/>
      </c>
      <c r="N869" s="13">
        <f>CHAIN_RAW!H869</f>
        <v/>
      </c>
      <c r="O869" s="13">
        <f>CHAIN_RAW!O869</f>
        <v/>
      </c>
      <c r="P869" s="13">
        <f>IFERROR(O869/N869,"")</f>
        <v/>
      </c>
      <c r="Q869" s="13">
        <f>CHAIN_RAW!I869</f>
        <v/>
      </c>
      <c r="R869" s="13">
        <f>CHAIN_RAW!P869</f>
        <v/>
      </c>
      <c r="S869" s="13">
        <f>IFERROR(R869/Q869,"")</f>
        <v/>
      </c>
      <c r="T869" s="13">
        <f>IFERROR((ABS(N869-O869)/MAX(1,(N869+O869)))*EXP(-ABS(E869-CONTROL!E5)/MAX(1,CONTROL!B8)),"")</f>
        <v/>
      </c>
      <c r="U869" s="13">
        <f>IFERROR(IF(O869&gt;N869,"SUPPORT (PE OI)","RESIST (CE OI)"),"")</f>
        <v/>
      </c>
      <c r="V869" s="13">
        <f>IFERROR(IF(Q869&gt;0,IF(R869&gt;0,"BOTH_ADD","CE_ADD_PE_REDUCE"),IF(R869&gt;0,"CE_REDUCE_PE_ADD","BOTH_REDUCE")),"")</f>
        <v/>
      </c>
      <c r="W869" s="13">
        <f>IFERROR( (P869-1)*0.5 + (M869)*0.1 - (I869+J869)*0.05 + T869*0.4 ,"")</f>
        <v/>
      </c>
      <c r="X869" s="13">
        <f>IFERROR(IF(ABS(F869)&lt;0.01,"ATM/NEAR",""),"")</f>
        <v/>
      </c>
    </row>
    <row r="870">
      <c r="A870" s="13">
        <f>CHAIN_RAW!A870</f>
        <v/>
      </c>
      <c r="B870" s="14">
        <f>CHAIN_RAW!B870</f>
        <v/>
      </c>
      <c r="C870" s="13">
        <f>CHAIN_RAW!C870</f>
        <v/>
      </c>
      <c r="D870" s="13">
        <f>CHAIN_RAW!D870</f>
        <v/>
      </c>
      <c r="E870" s="13">
        <f>CHAIN_RAW!E870</f>
        <v/>
      </c>
      <c r="F870" s="13">
        <f>IFERROR((E870-D870)/D870,"")</f>
        <v/>
      </c>
      <c r="G870" s="13">
        <f>IFERROR((CHAIN_RAW!K870+CHAIN_RAW!L870)/2,"")</f>
        <v/>
      </c>
      <c r="H870" s="13">
        <f>IFERROR((CHAIN_RAW!R870+CHAIN_RAW!S870)/2,"")</f>
        <v/>
      </c>
      <c r="I870" s="13">
        <f>IFERROR((CHAIN_RAW!L870-CHAIN_RAW!K870)/MAX(1E-9, G870),"")</f>
        <v/>
      </c>
      <c r="J870" s="13">
        <f>IFERROR((CHAIN_RAW!S870-CHAIN_RAW!R870)/MAX(1E-9, H870),"")</f>
        <v/>
      </c>
      <c r="K870" s="13">
        <f>CHAIN_RAW!G870</f>
        <v/>
      </c>
      <c r="L870" s="13">
        <f>CHAIN_RAW!N870</f>
        <v/>
      </c>
      <c r="M870" s="13">
        <f>IFERROR(L870-K870,"")</f>
        <v/>
      </c>
      <c r="N870" s="13">
        <f>CHAIN_RAW!H870</f>
        <v/>
      </c>
      <c r="O870" s="13">
        <f>CHAIN_RAW!O870</f>
        <v/>
      </c>
      <c r="P870" s="13">
        <f>IFERROR(O870/N870,"")</f>
        <v/>
      </c>
      <c r="Q870" s="13">
        <f>CHAIN_RAW!I870</f>
        <v/>
      </c>
      <c r="R870" s="13">
        <f>CHAIN_RAW!P870</f>
        <v/>
      </c>
      <c r="S870" s="13">
        <f>IFERROR(R870/Q870,"")</f>
        <v/>
      </c>
      <c r="T870" s="13">
        <f>IFERROR((ABS(N870-O870)/MAX(1,(N870+O870)))*EXP(-ABS(E870-CONTROL!E5)/MAX(1,CONTROL!B8)),"")</f>
        <v/>
      </c>
      <c r="U870" s="13">
        <f>IFERROR(IF(O870&gt;N870,"SUPPORT (PE OI)","RESIST (CE OI)"),"")</f>
        <v/>
      </c>
      <c r="V870" s="13">
        <f>IFERROR(IF(Q870&gt;0,IF(R870&gt;0,"BOTH_ADD","CE_ADD_PE_REDUCE"),IF(R870&gt;0,"CE_REDUCE_PE_ADD","BOTH_REDUCE")),"")</f>
        <v/>
      </c>
      <c r="W870" s="13">
        <f>IFERROR( (P870-1)*0.5 + (M870)*0.1 - (I870+J870)*0.05 + T870*0.4 ,"")</f>
        <v/>
      </c>
      <c r="X870" s="13">
        <f>IFERROR(IF(ABS(F870)&lt;0.01,"ATM/NEAR",""),"")</f>
        <v/>
      </c>
    </row>
    <row r="871">
      <c r="A871" s="13">
        <f>CHAIN_RAW!A871</f>
        <v/>
      </c>
      <c r="B871" s="14">
        <f>CHAIN_RAW!B871</f>
        <v/>
      </c>
      <c r="C871" s="13">
        <f>CHAIN_RAW!C871</f>
        <v/>
      </c>
      <c r="D871" s="13">
        <f>CHAIN_RAW!D871</f>
        <v/>
      </c>
      <c r="E871" s="13">
        <f>CHAIN_RAW!E871</f>
        <v/>
      </c>
      <c r="F871" s="13">
        <f>IFERROR((E871-D871)/D871,"")</f>
        <v/>
      </c>
      <c r="G871" s="13">
        <f>IFERROR((CHAIN_RAW!K871+CHAIN_RAW!L871)/2,"")</f>
        <v/>
      </c>
      <c r="H871" s="13">
        <f>IFERROR((CHAIN_RAW!R871+CHAIN_RAW!S871)/2,"")</f>
        <v/>
      </c>
      <c r="I871" s="13">
        <f>IFERROR((CHAIN_RAW!L871-CHAIN_RAW!K871)/MAX(1E-9, G871),"")</f>
        <v/>
      </c>
      <c r="J871" s="13">
        <f>IFERROR((CHAIN_RAW!S871-CHAIN_RAW!R871)/MAX(1E-9, H871),"")</f>
        <v/>
      </c>
      <c r="K871" s="13">
        <f>CHAIN_RAW!G871</f>
        <v/>
      </c>
      <c r="L871" s="13">
        <f>CHAIN_RAW!N871</f>
        <v/>
      </c>
      <c r="M871" s="13">
        <f>IFERROR(L871-K871,"")</f>
        <v/>
      </c>
      <c r="N871" s="13">
        <f>CHAIN_RAW!H871</f>
        <v/>
      </c>
      <c r="O871" s="13">
        <f>CHAIN_RAW!O871</f>
        <v/>
      </c>
      <c r="P871" s="13">
        <f>IFERROR(O871/N871,"")</f>
        <v/>
      </c>
      <c r="Q871" s="13">
        <f>CHAIN_RAW!I871</f>
        <v/>
      </c>
      <c r="R871" s="13">
        <f>CHAIN_RAW!P871</f>
        <v/>
      </c>
      <c r="S871" s="13">
        <f>IFERROR(R871/Q871,"")</f>
        <v/>
      </c>
      <c r="T871" s="13">
        <f>IFERROR((ABS(N871-O871)/MAX(1,(N871+O871)))*EXP(-ABS(E871-CONTROL!E5)/MAX(1,CONTROL!B8)),"")</f>
        <v/>
      </c>
      <c r="U871" s="13">
        <f>IFERROR(IF(O871&gt;N871,"SUPPORT (PE OI)","RESIST (CE OI)"),"")</f>
        <v/>
      </c>
      <c r="V871" s="13">
        <f>IFERROR(IF(Q871&gt;0,IF(R871&gt;0,"BOTH_ADD","CE_ADD_PE_REDUCE"),IF(R871&gt;0,"CE_REDUCE_PE_ADD","BOTH_REDUCE")),"")</f>
        <v/>
      </c>
      <c r="W871" s="13">
        <f>IFERROR( (P871-1)*0.5 + (M871)*0.1 - (I871+J871)*0.05 + T871*0.4 ,"")</f>
        <v/>
      </c>
      <c r="X871" s="13">
        <f>IFERROR(IF(ABS(F871)&lt;0.01,"ATM/NEAR",""),"")</f>
        <v/>
      </c>
    </row>
    <row r="872">
      <c r="A872" s="13">
        <f>CHAIN_RAW!A872</f>
        <v/>
      </c>
      <c r="B872" s="14">
        <f>CHAIN_RAW!B872</f>
        <v/>
      </c>
      <c r="C872" s="13">
        <f>CHAIN_RAW!C872</f>
        <v/>
      </c>
      <c r="D872" s="13">
        <f>CHAIN_RAW!D872</f>
        <v/>
      </c>
      <c r="E872" s="13">
        <f>CHAIN_RAW!E872</f>
        <v/>
      </c>
      <c r="F872" s="13">
        <f>IFERROR((E872-D872)/D872,"")</f>
        <v/>
      </c>
      <c r="G872" s="13">
        <f>IFERROR((CHAIN_RAW!K872+CHAIN_RAW!L872)/2,"")</f>
        <v/>
      </c>
      <c r="H872" s="13">
        <f>IFERROR((CHAIN_RAW!R872+CHAIN_RAW!S872)/2,"")</f>
        <v/>
      </c>
      <c r="I872" s="13">
        <f>IFERROR((CHAIN_RAW!L872-CHAIN_RAW!K872)/MAX(1E-9, G872),"")</f>
        <v/>
      </c>
      <c r="J872" s="13">
        <f>IFERROR((CHAIN_RAW!S872-CHAIN_RAW!R872)/MAX(1E-9, H872),"")</f>
        <v/>
      </c>
      <c r="K872" s="13">
        <f>CHAIN_RAW!G872</f>
        <v/>
      </c>
      <c r="L872" s="13">
        <f>CHAIN_RAW!N872</f>
        <v/>
      </c>
      <c r="M872" s="13">
        <f>IFERROR(L872-K872,"")</f>
        <v/>
      </c>
      <c r="N872" s="13">
        <f>CHAIN_RAW!H872</f>
        <v/>
      </c>
      <c r="O872" s="13">
        <f>CHAIN_RAW!O872</f>
        <v/>
      </c>
      <c r="P872" s="13">
        <f>IFERROR(O872/N872,"")</f>
        <v/>
      </c>
      <c r="Q872" s="13">
        <f>CHAIN_RAW!I872</f>
        <v/>
      </c>
      <c r="R872" s="13">
        <f>CHAIN_RAW!P872</f>
        <v/>
      </c>
      <c r="S872" s="13">
        <f>IFERROR(R872/Q872,"")</f>
        <v/>
      </c>
      <c r="T872" s="13">
        <f>IFERROR((ABS(N872-O872)/MAX(1,(N872+O872)))*EXP(-ABS(E872-CONTROL!E5)/MAX(1,CONTROL!B8)),"")</f>
        <v/>
      </c>
      <c r="U872" s="13">
        <f>IFERROR(IF(O872&gt;N872,"SUPPORT (PE OI)","RESIST (CE OI)"),"")</f>
        <v/>
      </c>
      <c r="V872" s="13">
        <f>IFERROR(IF(Q872&gt;0,IF(R872&gt;0,"BOTH_ADD","CE_ADD_PE_REDUCE"),IF(R872&gt;0,"CE_REDUCE_PE_ADD","BOTH_REDUCE")),"")</f>
        <v/>
      </c>
      <c r="W872" s="13">
        <f>IFERROR( (P872-1)*0.5 + (M872)*0.1 - (I872+J872)*0.05 + T872*0.4 ,"")</f>
        <v/>
      </c>
      <c r="X872" s="13">
        <f>IFERROR(IF(ABS(F872)&lt;0.01,"ATM/NEAR",""),"")</f>
        <v/>
      </c>
    </row>
    <row r="873">
      <c r="A873" s="13">
        <f>CHAIN_RAW!A873</f>
        <v/>
      </c>
      <c r="B873" s="14">
        <f>CHAIN_RAW!B873</f>
        <v/>
      </c>
      <c r="C873" s="13">
        <f>CHAIN_RAW!C873</f>
        <v/>
      </c>
      <c r="D873" s="13">
        <f>CHAIN_RAW!D873</f>
        <v/>
      </c>
      <c r="E873" s="13">
        <f>CHAIN_RAW!E873</f>
        <v/>
      </c>
      <c r="F873" s="13">
        <f>IFERROR((E873-D873)/D873,"")</f>
        <v/>
      </c>
      <c r="G873" s="13">
        <f>IFERROR((CHAIN_RAW!K873+CHAIN_RAW!L873)/2,"")</f>
        <v/>
      </c>
      <c r="H873" s="13">
        <f>IFERROR((CHAIN_RAW!R873+CHAIN_RAW!S873)/2,"")</f>
        <v/>
      </c>
      <c r="I873" s="13">
        <f>IFERROR((CHAIN_RAW!L873-CHAIN_RAW!K873)/MAX(1E-9, G873),"")</f>
        <v/>
      </c>
      <c r="J873" s="13">
        <f>IFERROR((CHAIN_RAW!S873-CHAIN_RAW!R873)/MAX(1E-9, H873),"")</f>
        <v/>
      </c>
      <c r="K873" s="13">
        <f>CHAIN_RAW!G873</f>
        <v/>
      </c>
      <c r="L873" s="13">
        <f>CHAIN_RAW!N873</f>
        <v/>
      </c>
      <c r="M873" s="13">
        <f>IFERROR(L873-K873,"")</f>
        <v/>
      </c>
      <c r="N873" s="13">
        <f>CHAIN_RAW!H873</f>
        <v/>
      </c>
      <c r="O873" s="13">
        <f>CHAIN_RAW!O873</f>
        <v/>
      </c>
      <c r="P873" s="13">
        <f>IFERROR(O873/N873,"")</f>
        <v/>
      </c>
      <c r="Q873" s="13">
        <f>CHAIN_RAW!I873</f>
        <v/>
      </c>
      <c r="R873" s="13">
        <f>CHAIN_RAW!P873</f>
        <v/>
      </c>
      <c r="S873" s="13">
        <f>IFERROR(R873/Q873,"")</f>
        <v/>
      </c>
      <c r="T873" s="13">
        <f>IFERROR((ABS(N873-O873)/MAX(1,(N873+O873)))*EXP(-ABS(E873-CONTROL!E5)/MAX(1,CONTROL!B8)),"")</f>
        <v/>
      </c>
      <c r="U873" s="13">
        <f>IFERROR(IF(O873&gt;N873,"SUPPORT (PE OI)","RESIST (CE OI)"),"")</f>
        <v/>
      </c>
      <c r="V873" s="13">
        <f>IFERROR(IF(Q873&gt;0,IF(R873&gt;0,"BOTH_ADD","CE_ADD_PE_REDUCE"),IF(R873&gt;0,"CE_REDUCE_PE_ADD","BOTH_REDUCE")),"")</f>
        <v/>
      </c>
      <c r="W873" s="13">
        <f>IFERROR( (P873-1)*0.5 + (M873)*0.1 - (I873+J873)*0.05 + T873*0.4 ,"")</f>
        <v/>
      </c>
      <c r="X873" s="13">
        <f>IFERROR(IF(ABS(F873)&lt;0.01,"ATM/NEAR",""),"")</f>
        <v/>
      </c>
    </row>
    <row r="874">
      <c r="A874" s="13">
        <f>CHAIN_RAW!A874</f>
        <v/>
      </c>
      <c r="B874" s="14">
        <f>CHAIN_RAW!B874</f>
        <v/>
      </c>
      <c r="C874" s="13">
        <f>CHAIN_RAW!C874</f>
        <v/>
      </c>
      <c r="D874" s="13">
        <f>CHAIN_RAW!D874</f>
        <v/>
      </c>
      <c r="E874" s="13">
        <f>CHAIN_RAW!E874</f>
        <v/>
      </c>
      <c r="F874" s="13">
        <f>IFERROR((E874-D874)/D874,"")</f>
        <v/>
      </c>
      <c r="G874" s="13">
        <f>IFERROR((CHAIN_RAW!K874+CHAIN_RAW!L874)/2,"")</f>
        <v/>
      </c>
      <c r="H874" s="13">
        <f>IFERROR((CHAIN_RAW!R874+CHAIN_RAW!S874)/2,"")</f>
        <v/>
      </c>
      <c r="I874" s="13">
        <f>IFERROR((CHAIN_RAW!L874-CHAIN_RAW!K874)/MAX(1E-9, G874),"")</f>
        <v/>
      </c>
      <c r="J874" s="13">
        <f>IFERROR((CHAIN_RAW!S874-CHAIN_RAW!R874)/MAX(1E-9, H874),"")</f>
        <v/>
      </c>
      <c r="K874" s="13">
        <f>CHAIN_RAW!G874</f>
        <v/>
      </c>
      <c r="L874" s="13">
        <f>CHAIN_RAW!N874</f>
        <v/>
      </c>
      <c r="M874" s="13">
        <f>IFERROR(L874-K874,"")</f>
        <v/>
      </c>
      <c r="N874" s="13">
        <f>CHAIN_RAW!H874</f>
        <v/>
      </c>
      <c r="O874" s="13">
        <f>CHAIN_RAW!O874</f>
        <v/>
      </c>
      <c r="P874" s="13">
        <f>IFERROR(O874/N874,"")</f>
        <v/>
      </c>
      <c r="Q874" s="13">
        <f>CHAIN_RAW!I874</f>
        <v/>
      </c>
      <c r="R874" s="13">
        <f>CHAIN_RAW!P874</f>
        <v/>
      </c>
      <c r="S874" s="13">
        <f>IFERROR(R874/Q874,"")</f>
        <v/>
      </c>
      <c r="T874" s="13">
        <f>IFERROR((ABS(N874-O874)/MAX(1,(N874+O874)))*EXP(-ABS(E874-CONTROL!E5)/MAX(1,CONTROL!B8)),"")</f>
        <v/>
      </c>
      <c r="U874" s="13">
        <f>IFERROR(IF(O874&gt;N874,"SUPPORT (PE OI)","RESIST (CE OI)"),"")</f>
        <v/>
      </c>
      <c r="V874" s="13">
        <f>IFERROR(IF(Q874&gt;0,IF(R874&gt;0,"BOTH_ADD","CE_ADD_PE_REDUCE"),IF(R874&gt;0,"CE_REDUCE_PE_ADD","BOTH_REDUCE")),"")</f>
        <v/>
      </c>
      <c r="W874" s="13">
        <f>IFERROR( (P874-1)*0.5 + (M874)*0.1 - (I874+J874)*0.05 + T874*0.4 ,"")</f>
        <v/>
      </c>
      <c r="X874" s="13">
        <f>IFERROR(IF(ABS(F874)&lt;0.01,"ATM/NEAR",""),"")</f>
        <v/>
      </c>
    </row>
    <row r="875">
      <c r="A875" s="13">
        <f>CHAIN_RAW!A875</f>
        <v/>
      </c>
      <c r="B875" s="14">
        <f>CHAIN_RAW!B875</f>
        <v/>
      </c>
      <c r="C875" s="13">
        <f>CHAIN_RAW!C875</f>
        <v/>
      </c>
      <c r="D875" s="13">
        <f>CHAIN_RAW!D875</f>
        <v/>
      </c>
      <c r="E875" s="13">
        <f>CHAIN_RAW!E875</f>
        <v/>
      </c>
      <c r="F875" s="13">
        <f>IFERROR((E875-D875)/D875,"")</f>
        <v/>
      </c>
      <c r="G875" s="13">
        <f>IFERROR((CHAIN_RAW!K875+CHAIN_RAW!L875)/2,"")</f>
        <v/>
      </c>
      <c r="H875" s="13">
        <f>IFERROR((CHAIN_RAW!R875+CHAIN_RAW!S875)/2,"")</f>
        <v/>
      </c>
      <c r="I875" s="13">
        <f>IFERROR((CHAIN_RAW!L875-CHAIN_RAW!K875)/MAX(1E-9, G875),"")</f>
        <v/>
      </c>
      <c r="J875" s="13">
        <f>IFERROR((CHAIN_RAW!S875-CHAIN_RAW!R875)/MAX(1E-9, H875),"")</f>
        <v/>
      </c>
      <c r="K875" s="13">
        <f>CHAIN_RAW!G875</f>
        <v/>
      </c>
      <c r="L875" s="13">
        <f>CHAIN_RAW!N875</f>
        <v/>
      </c>
      <c r="M875" s="13">
        <f>IFERROR(L875-K875,"")</f>
        <v/>
      </c>
      <c r="N875" s="13">
        <f>CHAIN_RAW!H875</f>
        <v/>
      </c>
      <c r="O875" s="13">
        <f>CHAIN_RAW!O875</f>
        <v/>
      </c>
      <c r="P875" s="13">
        <f>IFERROR(O875/N875,"")</f>
        <v/>
      </c>
      <c r="Q875" s="13">
        <f>CHAIN_RAW!I875</f>
        <v/>
      </c>
      <c r="R875" s="13">
        <f>CHAIN_RAW!P875</f>
        <v/>
      </c>
      <c r="S875" s="13">
        <f>IFERROR(R875/Q875,"")</f>
        <v/>
      </c>
      <c r="T875" s="13">
        <f>IFERROR((ABS(N875-O875)/MAX(1,(N875+O875)))*EXP(-ABS(E875-CONTROL!E5)/MAX(1,CONTROL!B8)),"")</f>
        <v/>
      </c>
      <c r="U875" s="13">
        <f>IFERROR(IF(O875&gt;N875,"SUPPORT (PE OI)","RESIST (CE OI)"),"")</f>
        <v/>
      </c>
      <c r="V875" s="13">
        <f>IFERROR(IF(Q875&gt;0,IF(R875&gt;0,"BOTH_ADD","CE_ADD_PE_REDUCE"),IF(R875&gt;0,"CE_REDUCE_PE_ADD","BOTH_REDUCE")),"")</f>
        <v/>
      </c>
      <c r="W875" s="13">
        <f>IFERROR( (P875-1)*0.5 + (M875)*0.1 - (I875+J875)*0.05 + T875*0.4 ,"")</f>
        <v/>
      </c>
      <c r="X875" s="13">
        <f>IFERROR(IF(ABS(F875)&lt;0.01,"ATM/NEAR",""),"")</f>
        <v/>
      </c>
    </row>
    <row r="876">
      <c r="A876" s="13">
        <f>CHAIN_RAW!A876</f>
        <v/>
      </c>
      <c r="B876" s="14">
        <f>CHAIN_RAW!B876</f>
        <v/>
      </c>
      <c r="C876" s="13">
        <f>CHAIN_RAW!C876</f>
        <v/>
      </c>
      <c r="D876" s="13">
        <f>CHAIN_RAW!D876</f>
        <v/>
      </c>
      <c r="E876" s="13">
        <f>CHAIN_RAW!E876</f>
        <v/>
      </c>
      <c r="F876" s="13">
        <f>IFERROR((E876-D876)/D876,"")</f>
        <v/>
      </c>
      <c r="G876" s="13">
        <f>IFERROR((CHAIN_RAW!K876+CHAIN_RAW!L876)/2,"")</f>
        <v/>
      </c>
      <c r="H876" s="13">
        <f>IFERROR((CHAIN_RAW!R876+CHAIN_RAW!S876)/2,"")</f>
        <v/>
      </c>
      <c r="I876" s="13">
        <f>IFERROR((CHAIN_RAW!L876-CHAIN_RAW!K876)/MAX(1E-9, G876),"")</f>
        <v/>
      </c>
      <c r="J876" s="13">
        <f>IFERROR((CHAIN_RAW!S876-CHAIN_RAW!R876)/MAX(1E-9, H876),"")</f>
        <v/>
      </c>
      <c r="K876" s="13">
        <f>CHAIN_RAW!G876</f>
        <v/>
      </c>
      <c r="L876" s="13">
        <f>CHAIN_RAW!N876</f>
        <v/>
      </c>
      <c r="M876" s="13">
        <f>IFERROR(L876-K876,"")</f>
        <v/>
      </c>
      <c r="N876" s="13">
        <f>CHAIN_RAW!H876</f>
        <v/>
      </c>
      <c r="O876" s="13">
        <f>CHAIN_RAW!O876</f>
        <v/>
      </c>
      <c r="P876" s="13">
        <f>IFERROR(O876/N876,"")</f>
        <v/>
      </c>
      <c r="Q876" s="13">
        <f>CHAIN_RAW!I876</f>
        <v/>
      </c>
      <c r="R876" s="13">
        <f>CHAIN_RAW!P876</f>
        <v/>
      </c>
      <c r="S876" s="13">
        <f>IFERROR(R876/Q876,"")</f>
        <v/>
      </c>
      <c r="T876" s="13">
        <f>IFERROR((ABS(N876-O876)/MAX(1,(N876+O876)))*EXP(-ABS(E876-CONTROL!E5)/MAX(1,CONTROL!B8)),"")</f>
        <v/>
      </c>
      <c r="U876" s="13">
        <f>IFERROR(IF(O876&gt;N876,"SUPPORT (PE OI)","RESIST (CE OI)"),"")</f>
        <v/>
      </c>
      <c r="V876" s="13">
        <f>IFERROR(IF(Q876&gt;0,IF(R876&gt;0,"BOTH_ADD","CE_ADD_PE_REDUCE"),IF(R876&gt;0,"CE_REDUCE_PE_ADD","BOTH_REDUCE")),"")</f>
        <v/>
      </c>
      <c r="W876" s="13">
        <f>IFERROR( (P876-1)*0.5 + (M876)*0.1 - (I876+J876)*0.05 + T876*0.4 ,"")</f>
        <v/>
      </c>
      <c r="X876" s="13">
        <f>IFERROR(IF(ABS(F876)&lt;0.01,"ATM/NEAR",""),"")</f>
        <v/>
      </c>
    </row>
    <row r="877">
      <c r="A877" s="13">
        <f>CHAIN_RAW!A877</f>
        <v/>
      </c>
      <c r="B877" s="14">
        <f>CHAIN_RAW!B877</f>
        <v/>
      </c>
      <c r="C877" s="13">
        <f>CHAIN_RAW!C877</f>
        <v/>
      </c>
      <c r="D877" s="13">
        <f>CHAIN_RAW!D877</f>
        <v/>
      </c>
      <c r="E877" s="13">
        <f>CHAIN_RAW!E877</f>
        <v/>
      </c>
      <c r="F877" s="13">
        <f>IFERROR((E877-D877)/D877,"")</f>
        <v/>
      </c>
      <c r="G877" s="13">
        <f>IFERROR((CHAIN_RAW!K877+CHAIN_RAW!L877)/2,"")</f>
        <v/>
      </c>
      <c r="H877" s="13">
        <f>IFERROR((CHAIN_RAW!R877+CHAIN_RAW!S877)/2,"")</f>
        <v/>
      </c>
      <c r="I877" s="13">
        <f>IFERROR((CHAIN_RAW!L877-CHAIN_RAW!K877)/MAX(1E-9, G877),"")</f>
        <v/>
      </c>
      <c r="J877" s="13">
        <f>IFERROR((CHAIN_RAW!S877-CHAIN_RAW!R877)/MAX(1E-9, H877),"")</f>
        <v/>
      </c>
      <c r="K877" s="13">
        <f>CHAIN_RAW!G877</f>
        <v/>
      </c>
      <c r="L877" s="13">
        <f>CHAIN_RAW!N877</f>
        <v/>
      </c>
      <c r="M877" s="13">
        <f>IFERROR(L877-K877,"")</f>
        <v/>
      </c>
      <c r="N877" s="13">
        <f>CHAIN_RAW!H877</f>
        <v/>
      </c>
      <c r="O877" s="13">
        <f>CHAIN_RAW!O877</f>
        <v/>
      </c>
      <c r="P877" s="13">
        <f>IFERROR(O877/N877,"")</f>
        <v/>
      </c>
      <c r="Q877" s="13">
        <f>CHAIN_RAW!I877</f>
        <v/>
      </c>
      <c r="R877" s="13">
        <f>CHAIN_RAW!P877</f>
        <v/>
      </c>
      <c r="S877" s="13">
        <f>IFERROR(R877/Q877,"")</f>
        <v/>
      </c>
      <c r="T877" s="13">
        <f>IFERROR((ABS(N877-O877)/MAX(1,(N877+O877)))*EXP(-ABS(E877-CONTROL!E5)/MAX(1,CONTROL!B8)),"")</f>
        <v/>
      </c>
      <c r="U877" s="13">
        <f>IFERROR(IF(O877&gt;N877,"SUPPORT (PE OI)","RESIST (CE OI)"),"")</f>
        <v/>
      </c>
      <c r="V877" s="13">
        <f>IFERROR(IF(Q877&gt;0,IF(R877&gt;0,"BOTH_ADD","CE_ADD_PE_REDUCE"),IF(R877&gt;0,"CE_REDUCE_PE_ADD","BOTH_REDUCE")),"")</f>
        <v/>
      </c>
      <c r="W877" s="13">
        <f>IFERROR( (P877-1)*0.5 + (M877)*0.1 - (I877+J877)*0.05 + T877*0.4 ,"")</f>
        <v/>
      </c>
      <c r="X877" s="13">
        <f>IFERROR(IF(ABS(F877)&lt;0.01,"ATM/NEAR",""),"")</f>
        <v/>
      </c>
    </row>
    <row r="878">
      <c r="A878" s="13">
        <f>CHAIN_RAW!A878</f>
        <v/>
      </c>
      <c r="B878" s="14">
        <f>CHAIN_RAW!B878</f>
        <v/>
      </c>
      <c r="C878" s="13">
        <f>CHAIN_RAW!C878</f>
        <v/>
      </c>
      <c r="D878" s="13">
        <f>CHAIN_RAW!D878</f>
        <v/>
      </c>
      <c r="E878" s="13">
        <f>CHAIN_RAW!E878</f>
        <v/>
      </c>
      <c r="F878" s="13">
        <f>IFERROR((E878-D878)/D878,"")</f>
        <v/>
      </c>
      <c r="G878" s="13">
        <f>IFERROR((CHAIN_RAW!K878+CHAIN_RAW!L878)/2,"")</f>
        <v/>
      </c>
      <c r="H878" s="13">
        <f>IFERROR((CHAIN_RAW!R878+CHAIN_RAW!S878)/2,"")</f>
        <v/>
      </c>
      <c r="I878" s="13">
        <f>IFERROR((CHAIN_RAW!L878-CHAIN_RAW!K878)/MAX(1E-9, G878),"")</f>
        <v/>
      </c>
      <c r="J878" s="13">
        <f>IFERROR((CHAIN_RAW!S878-CHAIN_RAW!R878)/MAX(1E-9, H878),"")</f>
        <v/>
      </c>
      <c r="K878" s="13">
        <f>CHAIN_RAW!G878</f>
        <v/>
      </c>
      <c r="L878" s="13">
        <f>CHAIN_RAW!N878</f>
        <v/>
      </c>
      <c r="M878" s="13">
        <f>IFERROR(L878-K878,"")</f>
        <v/>
      </c>
      <c r="N878" s="13">
        <f>CHAIN_RAW!H878</f>
        <v/>
      </c>
      <c r="O878" s="13">
        <f>CHAIN_RAW!O878</f>
        <v/>
      </c>
      <c r="P878" s="13">
        <f>IFERROR(O878/N878,"")</f>
        <v/>
      </c>
      <c r="Q878" s="13">
        <f>CHAIN_RAW!I878</f>
        <v/>
      </c>
      <c r="R878" s="13">
        <f>CHAIN_RAW!P878</f>
        <v/>
      </c>
      <c r="S878" s="13">
        <f>IFERROR(R878/Q878,"")</f>
        <v/>
      </c>
      <c r="T878" s="13">
        <f>IFERROR((ABS(N878-O878)/MAX(1,(N878+O878)))*EXP(-ABS(E878-CONTROL!E5)/MAX(1,CONTROL!B8)),"")</f>
        <v/>
      </c>
      <c r="U878" s="13">
        <f>IFERROR(IF(O878&gt;N878,"SUPPORT (PE OI)","RESIST (CE OI)"),"")</f>
        <v/>
      </c>
      <c r="V878" s="13">
        <f>IFERROR(IF(Q878&gt;0,IF(R878&gt;0,"BOTH_ADD","CE_ADD_PE_REDUCE"),IF(R878&gt;0,"CE_REDUCE_PE_ADD","BOTH_REDUCE")),"")</f>
        <v/>
      </c>
      <c r="W878" s="13">
        <f>IFERROR( (P878-1)*0.5 + (M878)*0.1 - (I878+J878)*0.05 + T878*0.4 ,"")</f>
        <v/>
      </c>
      <c r="X878" s="13">
        <f>IFERROR(IF(ABS(F878)&lt;0.01,"ATM/NEAR",""),"")</f>
        <v/>
      </c>
    </row>
    <row r="879">
      <c r="A879" s="13">
        <f>CHAIN_RAW!A879</f>
        <v/>
      </c>
      <c r="B879" s="14">
        <f>CHAIN_RAW!B879</f>
        <v/>
      </c>
      <c r="C879" s="13">
        <f>CHAIN_RAW!C879</f>
        <v/>
      </c>
      <c r="D879" s="13">
        <f>CHAIN_RAW!D879</f>
        <v/>
      </c>
      <c r="E879" s="13">
        <f>CHAIN_RAW!E879</f>
        <v/>
      </c>
      <c r="F879" s="13">
        <f>IFERROR((E879-D879)/D879,"")</f>
        <v/>
      </c>
      <c r="G879" s="13">
        <f>IFERROR((CHAIN_RAW!K879+CHAIN_RAW!L879)/2,"")</f>
        <v/>
      </c>
      <c r="H879" s="13">
        <f>IFERROR((CHAIN_RAW!R879+CHAIN_RAW!S879)/2,"")</f>
        <v/>
      </c>
      <c r="I879" s="13">
        <f>IFERROR((CHAIN_RAW!L879-CHAIN_RAW!K879)/MAX(1E-9, G879),"")</f>
        <v/>
      </c>
      <c r="J879" s="13">
        <f>IFERROR((CHAIN_RAW!S879-CHAIN_RAW!R879)/MAX(1E-9, H879),"")</f>
        <v/>
      </c>
      <c r="K879" s="13">
        <f>CHAIN_RAW!G879</f>
        <v/>
      </c>
      <c r="L879" s="13">
        <f>CHAIN_RAW!N879</f>
        <v/>
      </c>
      <c r="M879" s="13">
        <f>IFERROR(L879-K879,"")</f>
        <v/>
      </c>
      <c r="N879" s="13">
        <f>CHAIN_RAW!H879</f>
        <v/>
      </c>
      <c r="O879" s="13">
        <f>CHAIN_RAW!O879</f>
        <v/>
      </c>
      <c r="P879" s="13">
        <f>IFERROR(O879/N879,"")</f>
        <v/>
      </c>
      <c r="Q879" s="13">
        <f>CHAIN_RAW!I879</f>
        <v/>
      </c>
      <c r="R879" s="13">
        <f>CHAIN_RAW!P879</f>
        <v/>
      </c>
      <c r="S879" s="13">
        <f>IFERROR(R879/Q879,"")</f>
        <v/>
      </c>
      <c r="T879" s="13">
        <f>IFERROR((ABS(N879-O879)/MAX(1,(N879+O879)))*EXP(-ABS(E879-CONTROL!E5)/MAX(1,CONTROL!B8)),"")</f>
        <v/>
      </c>
      <c r="U879" s="13">
        <f>IFERROR(IF(O879&gt;N879,"SUPPORT (PE OI)","RESIST (CE OI)"),"")</f>
        <v/>
      </c>
      <c r="V879" s="13">
        <f>IFERROR(IF(Q879&gt;0,IF(R879&gt;0,"BOTH_ADD","CE_ADD_PE_REDUCE"),IF(R879&gt;0,"CE_REDUCE_PE_ADD","BOTH_REDUCE")),"")</f>
        <v/>
      </c>
      <c r="W879" s="13">
        <f>IFERROR( (P879-1)*0.5 + (M879)*0.1 - (I879+J879)*0.05 + T879*0.4 ,"")</f>
        <v/>
      </c>
      <c r="X879" s="13">
        <f>IFERROR(IF(ABS(F879)&lt;0.01,"ATM/NEAR",""),"")</f>
        <v/>
      </c>
    </row>
    <row r="880">
      <c r="A880" s="13">
        <f>CHAIN_RAW!A880</f>
        <v/>
      </c>
      <c r="B880" s="14">
        <f>CHAIN_RAW!B880</f>
        <v/>
      </c>
      <c r="C880" s="13">
        <f>CHAIN_RAW!C880</f>
        <v/>
      </c>
      <c r="D880" s="13">
        <f>CHAIN_RAW!D880</f>
        <v/>
      </c>
      <c r="E880" s="13">
        <f>CHAIN_RAW!E880</f>
        <v/>
      </c>
      <c r="F880" s="13">
        <f>IFERROR((E880-D880)/D880,"")</f>
        <v/>
      </c>
      <c r="G880" s="13">
        <f>IFERROR((CHAIN_RAW!K880+CHAIN_RAW!L880)/2,"")</f>
        <v/>
      </c>
      <c r="H880" s="13">
        <f>IFERROR((CHAIN_RAW!R880+CHAIN_RAW!S880)/2,"")</f>
        <v/>
      </c>
      <c r="I880" s="13">
        <f>IFERROR((CHAIN_RAW!L880-CHAIN_RAW!K880)/MAX(1E-9, G880),"")</f>
        <v/>
      </c>
      <c r="J880" s="13">
        <f>IFERROR((CHAIN_RAW!S880-CHAIN_RAW!R880)/MAX(1E-9, H880),"")</f>
        <v/>
      </c>
      <c r="K880" s="13">
        <f>CHAIN_RAW!G880</f>
        <v/>
      </c>
      <c r="L880" s="13">
        <f>CHAIN_RAW!N880</f>
        <v/>
      </c>
      <c r="M880" s="13">
        <f>IFERROR(L880-K880,"")</f>
        <v/>
      </c>
      <c r="N880" s="13">
        <f>CHAIN_RAW!H880</f>
        <v/>
      </c>
      <c r="O880" s="13">
        <f>CHAIN_RAW!O880</f>
        <v/>
      </c>
      <c r="P880" s="13">
        <f>IFERROR(O880/N880,"")</f>
        <v/>
      </c>
      <c r="Q880" s="13">
        <f>CHAIN_RAW!I880</f>
        <v/>
      </c>
      <c r="R880" s="13">
        <f>CHAIN_RAW!P880</f>
        <v/>
      </c>
      <c r="S880" s="13">
        <f>IFERROR(R880/Q880,"")</f>
        <v/>
      </c>
      <c r="T880" s="13">
        <f>IFERROR((ABS(N880-O880)/MAX(1,(N880+O880)))*EXP(-ABS(E880-CONTROL!E5)/MAX(1,CONTROL!B8)),"")</f>
        <v/>
      </c>
      <c r="U880" s="13">
        <f>IFERROR(IF(O880&gt;N880,"SUPPORT (PE OI)","RESIST (CE OI)"),"")</f>
        <v/>
      </c>
      <c r="V880" s="13">
        <f>IFERROR(IF(Q880&gt;0,IF(R880&gt;0,"BOTH_ADD","CE_ADD_PE_REDUCE"),IF(R880&gt;0,"CE_REDUCE_PE_ADD","BOTH_REDUCE")),"")</f>
        <v/>
      </c>
      <c r="W880" s="13">
        <f>IFERROR( (P880-1)*0.5 + (M880)*0.1 - (I880+J880)*0.05 + T880*0.4 ,"")</f>
        <v/>
      </c>
      <c r="X880" s="13">
        <f>IFERROR(IF(ABS(F880)&lt;0.01,"ATM/NEAR",""),"")</f>
        <v/>
      </c>
    </row>
    <row r="881">
      <c r="A881" s="13">
        <f>CHAIN_RAW!A881</f>
        <v/>
      </c>
      <c r="B881" s="14">
        <f>CHAIN_RAW!B881</f>
        <v/>
      </c>
      <c r="C881" s="13">
        <f>CHAIN_RAW!C881</f>
        <v/>
      </c>
      <c r="D881" s="13">
        <f>CHAIN_RAW!D881</f>
        <v/>
      </c>
      <c r="E881" s="13">
        <f>CHAIN_RAW!E881</f>
        <v/>
      </c>
      <c r="F881" s="13">
        <f>IFERROR((E881-D881)/D881,"")</f>
        <v/>
      </c>
      <c r="G881" s="13">
        <f>IFERROR((CHAIN_RAW!K881+CHAIN_RAW!L881)/2,"")</f>
        <v/>
      </c>
      <c r="H881" s="13">
        <f>IFERROR((CHAIN_RAW!R881+CHAIN_RAW!S881)/2,"")</f>
        <v/>
      </c>
      <c r="I881" s="13">
        <f>IFERROR((CHAIN_RAW!L881-CHAIN_RAW!K881)/MAX(1E-9, G881),"")</f>
        <v/>
      </c>
      <c r="J881" s="13">
        <f>IFERROR((CHAIN_RAW!S881-CHAIN_RAW!R881)/MAX(1E-9, H881),"")</f>
        <v/>
      </c>
      <c r="K881" s="13">
        <f>CHAIN_RAW!G881</f>
        <v/>
      </c>
      <c r="L881" s="13">
        <f>CHAIN_RAW!N881</f>
        <v/>
      </c>
      <c r="M881" s="13">
        <f>IFERROR(L881-K881,"")</f>
        <v/>
      </c>
      <c r="N881" s="13">
        <f>CHAIN_RAW!H881</f>
        <v/>
      </c>
      <c r="O881" s="13">
        <f>CHAIN_RAW!O881</f>
        <v/>
      </c>
      <c r="P881" s="13">
        <f>IFERROR(O881/N881,"")</f>
        <v/>
      </c>
      <c r="Q881" s="13">
        <f>CHAIN_RAW!I881</f>
        <v/>
      </c>
      <c r="R881" s="13">
        <f>CHAIN_RAW!P881</f>
        <v/>
      </c>
      <c r="S881" s="13">
        <f>IFERROR(R881/Q881,"")</f>
        <v/>
      </c>
      <c r="T881" s="13">
        <f>IFERROR((ABS(N881-O881)/MAX(1,(N881+O881)))*EXP(-ABS(E881-CONTROL!E5)/MAX(1,CONTROL!B8)),"")</f>
        <v/>
      </c>
      <c r="U881" s="13">
        <f>IFERROR(IF(O881&gt;N881,"SUPPORT (PE OI)","RESIST (CE OI)"),"")</f>
        <v/>
      </c>
      <c r="V881" s="13">
        <f>IFERROR(IF(Q881&gt;0,IF(R881&gt;0,"BOTH_ADD","CE_ADD_PE_REDUCE"),IF(R881&gt;0,"CE_REDUCE_PE_ADD","BOTH_REDUCE")),"")</f>
        <v/>
      </c>
      <c r="W881" s="13">
        <f>IFERROR( (P881-1)*0.5 + (M881)*0.1 - (I881+J881)*0.05 + T881*0.4 ,"")</f>
        <v/>
      </c>
      <c r="X881" s="13">
        <f>IFERROR(IF(ABS(F881)&lt;0.01,"ATM/NEAR",""),"")</f>
        <v/>
      </c>
    </row>
    <row r="882">
      <c r="A882" s="13">
        <f>CHAIN_RAW!A882</f>
        <v/>
      </c>
      <c r="B882" s="14">
        <f>CHAIN_RAW!B882</f>
        <v/>
      </c>
      <c r="C882" s="13">
        <f>CHAIN_RAW!C882</f>
        <v/>
      </c>
      <c r="D882" s="13">
        <f>CHAIN_RAW!D882</f>
        <v/>
      </c>
      <c r="E882" s="13">
        <f>CHAIN_RAW!E882</f>
        <v/>
      </c>
      <c r="F882" s="13">
        <f>IFERROR((E882-D882)/D882,"")</f>
        <v/>
      </c>
      <c r="G882" s="13">
        <f>IFERROR((CHAIN_RAW!K882+CHAIN_RAW!L882)/2,"")</f>
        <v/>
      </c>
      <c r="H882" s="13">
        <f>IFERROR((CHAIN_RAW!R882+CHAIN_RAW!S882)/2,"")</f>
        <v/>
      </c>
      <c r="I882" s="13">
        <f>IFERROR((CHAIN_RAW!L882-CHAIN_RAW!K882)/MAX(1E-9, G882),"")</f>
        <v/>
      </c>
      <c r="J882" s="13">
        <f>IFERROR((CHAIN_RAW!S882-CHAIN_RAW!R882)/MAX(1E-9, H882),"")</f>
        <v/>
      </c>
      <c r="K882" s="13">
        <f>CHAIN_RAW!G882</f>
        <v/>
      </c>
      <c r="L882" s="13">
        <f>CHAIN_RAW!N882</f>
        <v/>
      </c>
      <c r="M882" s="13">
        <f>IFERROR(L882-K882,"")</f>
        <v/>
      </c>
      <c r="N882" s="13">
        <f>CHAIN_RAW!H882</f>
        <v/>
      </c>
      <c r="O882" s="13">
        <f>CHAIN_RAW!O882</f>
        <v/>
      </c>
      <c r="P882" s="13">
        <f>IFERROR(O882/N882,"")</f>
        <v/>
      </c>
      <c r="Q882" s="13">
        <f>CHAIN_RAW!I882</f>
        <v/>
      </c>
      <c r="R882" s="13">
        <f>CHAIN_RAW!P882</f>
        <v/>
      </c>
      <c r="S882" s="13">
        <f>IFERROR(R882/Q882,"")</f>
        <v/>
      </c>
      <c r="T882" s="13">
        <f>IFERROR((ABS(N882-O882)/MAX(1,(N882+O882)))*EXP(-ABS(E882-CONTROL!E5)/MAX(1,CONTROL!B8)),"")</f>
        <v/>
      </c>
      <c r="U882" s="13">
        <f>IFERROR(IF(O882&gt;N882,"SUPPORT (PE OI)","RESIST (CE OI)"),"")</f>
        <v/>
      </c>
      <c r="V882" s="13">
        <f>IFERROR(IF(Q882&gt;0,IF(R882&gt;0,"BOTH_ADD","CE_ADD_PE_REDUCE"),IF(R882&gt;0,"CE_REDUCE_PE_ADD","BOTH_REDUCE")),"")</f>
        <v/>
      </c>
      <c r="W882" s="13">
        <f>IFERROR( (P882-1)*0.5 + (M882)*0.1 - (I882+J882)*0.05 + T882*0.4 ,"")</f>
        <v/>
      </c>
      <c r="X882" s="13">
        <f>IFERROR(IF(ABS(F882)&lt;0.01,"ATM/NEAR",""),"")</f>
        <v/>
      </c>
    </row>
    <row r="883">
      <c r="A883" s="13">
        <f>CHAIN_RAW!A883</f>
        <v/>
      </c>
      <c r="B883" s="14">
        <f>CHAIN_RAW!B883</f>
        <v/>
      </c>
      <c r="C883" s="13">
        <f>CHAIN_RAW!C883</f>
        <v/>
      </c>
      <c r="D883" s="13">
        <f>CHAIN_RAW!D883</f>
        <v/>
      </c>
      <c r="E883" s="13">
        <f>CHAIN_RAW!E883</f>
        <v/>
      </c>
      <c r="F883" s="13">
        <f>IFERROR((E883-D883)/D883,"")</f>
        <v/>
      </c>
      <c r="G883" s="13">
        <f>IFERROR((CHAIN_RAW!K883+CHAIN_RAW!L883)/2,"")</f>
        <v/>
      </c>
      <c r="H883" s="13">
        <f>IFERROR((CHAIN_RAW!R883+CHAIN_RAW!S883)/2,"")</f>
        <v/>
      </c>
      <c r="I883" s="13">
        <f>IFERROR((CHAIN_RAW!L883-CHAIN_RAW!K883)/MAX(1E-9, G883),"")</f>
        <v/>
      </c>
      <c r="J883" s="13">
        <f>IFERROR((CHAIN_RAW!S883-CHAIN_RAW!R883)/MAX(1E-9, H883),"")</f>
        <v/>
      </c>
      <c r="K883" s="13">
        <f>CHAIN_RAW!G883</f>
        <v/>
      </c>
      <c r="L883" s="13">
        <f>CHAIN_RAW!N883</f>
        <v/>
      </c>
      <c r="M883" s="13">
        <f>IFERROR(L883-K883,"")</f>
        <v/>
      </c>
      <c r="N883" s="13">
        <f>CHAIN_RAW!H883</f>
        <v/>
      </c>
      <c r="O883" s="13">
        <f>CHAIN_RAW!O883</f>
        <v/>
      </c>
      <c r="P883" s="13">
        <f>IFERROR(O883/N883,"")</f>
        <v/>
      </c>
      <c r="Q883" s="13">
        <f>CHAIN_RAW!I883</f>
        <v/>
      </c>
      <c r="R883" s="13">
        <f>CHAIN_RAW!P883</f>
        <v/>
      </c>
      <c r="S883" s="13">
        <f>IFERROR(R883/Q883,"")</f>
        <v/>
      </c>
      <c r="T883" s="13">
        <f>IFERROR((ABS(N883-O883)/MAX(1,(N883+O883)))*EXP(-ABS(E883-CONTROL!E5)/MAX(1,CONTROL!B8)),"")</f>
        <v/>
      </c>
      <c r="U883" s="13">
        <f>IFERROR(IF(O883&gt;N883,"SUPPORT (PE OI)","RESIST (CE OI)"),"")</f>
        <v/>
      </c>
      <c r="V883" s="13">
        <f>IFERROR(IF(Q883&gt;0,IF(R883&gt;0,"BOTH_ADD","CE_ADD_PE_REDUCE"),IF(R883&gt;0,"CE_REDUCE_PE_ADD","BOTH_REDUCE")),"")</f>
        <v/>
      </c>
      <c r="W883" s="13">
        <f>IFERROR( (P883-1)*0.5 + (M883)*0.1 - (I883+J883)*0.05 + T883*0.4 ,"")</f>
        <v/>
      </c>
      <c r="X883" s="13">
        <f>IFERROR(IF(ABS(F883)&lt;0.01,"ATM/NEAR",""),"")</f>
        <v/>
      </c>
    </row>
    <row r="884">
      <c r="A884" s="13">
        <f>CHAIN_RAW!A884</f>
        <v/>
      </c>
      <c r="B884" s="14">
        <f>CHAIN_RAW!B884</f>
        <v/>
      </c>
      <c r="C884" s="13">
        <f>CHAIN_RAW!C884</f>
        <v/>
      </c>
      <c r="D884" s="13">
        <f>CHAIN_RAW!D884</f>
        <v/>
      </c>
      <c r="E884" s="13">
        <f>CHAIN_RAW!E884</f>
        <v/>
      </c>
      <c r="F884" s="13">
        <f>IFERROR((E884-D884)/D884,"")</f>
        <v/>
      </c>
      <c r="G884" s="13">
        <f>IFERROR((CHAIN_RAW!K884+CHAIN_RAW!L884)/2,"")</f>
        <v/>
      </c>
      <c r="H884" s="13">
        <f>IFERROR((CHAIN_RAW!R884+CHAIN_RAW!S884)/2,"")</f>
        <v/>
      </c>
      <c r="I884" s="13">
        <f>IFERROR((CHAIN_RAW!L884-CHAIN_RAW!K884)/MAX(1E-9, G884),"")</f>
        <v/>
      </c>
      <c r="J884" s="13">
        <f>IFERROR((CHAIN_RAW!S884-CHAIN_RAW!R884)/MAX(1E-9, H884),"")</f>
        <v/>
      </c>
      <c r="K884" s="13">
        <f>CHAIN_RAW!G884</f>
        <v/>
      </c>
      <c r="L884" s="13">
        <f>CHAIN_RAW!N884</f>
        <v/>
      </c>
      <c r="M884" s="13">
        <f>IFERROR(L884-K884,"")</f>
        <v/>
      </c>
      <c r="N884" s="13">
        <f>CHAIN_RAW!H884</f>
        <v/>
      </c>
      <c r="O884" s="13">
        <f>CHAIN_RAW!O884</f>
        <v/>
      </c>
      <c r="P884" s="13">
        <f>IFERROR(O884/N884,"")</f>
        <v/>
      </c>
      <c r="Q884" s="13">
        <f>CHAIN_RAW!I884</f>
        <v/>
      </c>
      <c r="R884" s="13">
        <f>CHAIN_RAW!P884</f>
        <v/>
      </c>
      <c r="S884" s="13">
        <f>IFERROR(R884/Q884,"")</f>
        <v/>
      </c>
      <c r="T884" s="13">
        <f>IFERROR((ABS(N884-O884)/MAX(1,(N884+O884)))*EXP(-ABS(E884-CONTROL!E5)/MAX(1,CONTROL!B8)),"")</f>
        <v/>
      </c>
      <c r="U884" s="13">
        <f>IFERROR(IF(O884&gt;N884,"SUPPORT (PE OI)","RESIST (CE OI)"),"")</f>
        <v/>
      </c>
      <c r="V884" s="13">
        <f>IFERROR(IF(Q884&gt;0,IF(R884&gt;0,"BOTH_ADD","CE_ADD_PE_REDUCE"),IF(R884&gt;0,"CE_REDUCE_PE_ADD","BOTH_REDUCE")),"")</f>
        <v/>
      </c>
      <c r="W884" s="13">
        <f>IFERROR( (P884-1)*0.5 + (M884)*0.1 - (I884+J884)*0.05 + T884*0.4 ,"")</f>
        <v/>
      </c>
      <c r="X884" s="13">
        <f>IFERROR(IF(ABS(F884)&lt;0.01,"ATM/NEAR",""),"")</f>
        <v/>
      </c>
    </row>
    <row r="885">
      <c r="A885" s="13">
        <f>CHAIN_RAW!A885</f>
        <v/>
      </c>
      <c r="B885" s="14">
        <f>CHAIN_RAW!B885</f>
        <v/>
      </c>
      <c r="C885" s="13">
        <f>CHAIN_RAW!C885</f>
        <v/>
      </c>
      <c r="D885" s="13">
        <f>CHAIN_RAW!D885</f>
        <v/>
      </c>
      <c r="E885" s="13">
        <f>CHAIN_RAW!E885</f>
        <v/>
      </c>
      <c r="F885" s="13">
        <f>IFERROR((E885-D885)/D885,"")</f>
        <v/>
      </c>
      <c r="G885" s="13">
        <f>IFERROR((CHAIN_RAW!K885+CHAIN_RAW!L885)/2,"")</f>
        <v/>
      </c>
      <c r="H885" s="13">
        <f>IFERROR((CHAIN_RAW!R885+CHAIN_RAW!S885)/2,"")</f>
        <v/>
      </c>
      <c r="I885" s="13">
        <f>IFERROR((CHAIN_RAW!L885-CHAIN_RAW!K885)/MAX(1E-9, G885),"")</f>
        <v/>
      </c>
      <c r="J885" s="13">
        <f>IFERROR((CHAIN_RAW!S885-CHAIN_RAW!R885)/MAX(1E-9, H885),"")</f>
        <v/>
      </c>
      <c r="K885" s="13">
        <f>CHAIN_RAW!G885</f>
        <v/>
      </c>
      <c r="L885" s="13">
        <f>CHAIN_RAW!N885</f>
        <v/>
      </c>
      <c r="M885" s="13">
        <f>IFERROR(L885-K885,"")</f>
        <v/>
      </c>
      <c r="N885" s="13">
        <f>CHAIN_RAW!H885</f>
        <v/>
      </c>
      <c r="O885" s="13">
        <f>CHAIN_RAW!O885</f>
        <v/>
      </c>
      <c r="P885" s="13">
        <f>IFERROR(O885/N885,"")</f>
        <v/>
      </c>
      <c r="Q885" s="13">
        <f>CHAIN_RAW!I885</f>
        <v/>
      </c>
      <c r="R885" s="13">
        <f>CHAIN_RAW!P885</f>
        <v/>
      </c>
      <c r="S885" s="13">
        <f>IFERROR(R885/Q885,"")</f>
        <v/>
      </c>
      <c r="T885" s="13">
        <f>IFERROR((ABS(N885-O885)/MAX(1,(N885+O885)))*EXP(-ABS(E885-CONTROL!E5)/MAX(1,CONTROL!B8)),"")</f>
        <v/>
      </c>
      <c r="U885" s="13">
        <f>IFERROR(IF(O885&gt;N885,"SUPPORT (PE OI)","RESIST (CE OI)"),"")</f>
        <v/>
      </c>
      <c r="V885" s="13">
        <f>IFERROR(IF(Q885&gt;0,IF(R885&gt;0,"BOTH_ADD","CE_ADD_PE_REDUCE"),IF(R885&gt;0,"CE_REDUCE_PE_ADD","BOTH_REDUCE")),"")</f>
        <v/>
      </c>
      <c r="W885" s="13">
        <f>IFERROR( (P885-1)*0.5 + (M885)*0.1 - (I885+J885)*0.05 + T885*0.4 ,"")</f>
        <v/>
      </c>
      <c r="X885" s="13">
        <f>IFERROR(IF(ABS(F885)&lt;0.01,"ATM/NEAR",""),"")</f>
        <v/>
      </c>
    </row>
    <row r="886">
      <c r="A886" s="13">
        <f>CHAIN_RAW!A886</f>
        <v/>
      </c>
      <c r="B886" s="14">
        <f>CHAIN_RAW!B886</f>
        <v/>
      </c>
      <c r="C886" s="13">
        <f>CHAIN_RAW!C886</f>
        <v/>
      </c>
      <c r="D886" s="13">
        <f>CHAIN_RAW!D886</f>
        <v/>
      </c>
      <c r="E886" s="13">
        <f>CHAIN_RAW!E886</f>
        <v/>
      </c>
      <c r="F886" s="13">
        <f>IFERROR((E886-D886)/D886,"")</f>
        <v/>
      </c>
      <c r="G886" s="13">
        <f>IFERROR((CHAIN_RAW!K886+CHAIN_RAW!L886)/2,"")</f>
        <v/>
      </c>
      <c r="H886" s="13">
        <f>IFERROR((CHAIN_RAW!R886+CHAIN_RAW!S886)/2,"")</f>
        <v/>
      </c>
      <c r="I886" s="13">
        <f>IFERROR((CHAIN_RAW!L886-CHAIN_RAW!K886)/MAX(1E-9, G886),"")</f>
        <v/>
      </c>
      <c r="J886" s="13">
        <f>IFERROR((CHAIN_RAW!S886-CHAIN_RAW!R886)/MAX(1E-9, H886),"")</f>
        <v/>
      </c>
      <c r="K886" s="13">
        <f>CHAIN_RAW!G886</f>
        <v/>
      </c>
      <c r="L886" s="13">
        <f>CHAIN_RAW!N886</f>
        <v/>
      </c>
      <c r="M886" s="13">
        <f>IFERROR(L886-K886,"")</f>
        <v/>
      </c>
      <c r="N886" s="13">
        <f>CHAIN_RAW!H886</f>
        <v/>
      </c>
      <c r="O886" s="13">
        <f>CHAIN_RAW!O886</f>
        <v/>
      </c>
      <c r="P886" s="13">
        <f>IFERROR(O886/N886,"")</f>
        <v/>
      </c>
      <c r="Q886" s="13">
        <f>CHAIN_RAW!I886</f>
        <v/>
      </c>
      <c r="R886" s="13">
        <f>CHAIN_RAW!P886</f>
        <v/>
      </c>
      <c r="S886" s="13">
        <f>IFERROR(R886/Q886,"")</f>
        <v/>
      </c>
      <c r="T886" s="13">
        <f>IFERROR((ABS(N886-O886)/MAX(1,(N886+O886)))*EXP(-ABS(E886-CONTROL!E5)/MAX(1,CONTROL!B8)),"")</f>
        <v/>
      </c>
      <c r="U886" s="13">
        <f>IFERROR(IF(O886&gt;N886,"SUPPORT (PE OI)","RESIST (CE OI)"),"")</f>
        <v/>
      </c>
      <c r="V886" s="13">
        <f>IFERROR(IF(Q886&gt;0,IF(R886&gt;0,"BOTH_ADD","CE_ADD_PE_REDUCE"),IF(R886&gt;0,"CE_REDUCE_PE_ADD","BOTH_REDUCE")),"")</f>
        <v/>
      </c>
      <c r="W886" s="13">
        <f>IFERROR( (P886-1)*0.5 + (M886)*0.1 - (I886+J886)*0.05 + T886*0.4 ,"")</f>
        <v/>
      </c>
      <c r="X886" s="13">
        <f>IFERROR(IF(ABS(F886)&lt;0.01,"ATM/NEAR",""),"")</f>
        <v/>
      </c>
    </row>
    <row r="887">
      <c r="A887" s="13">
        <f>CHAIN_RAW!A887</f>
        <v/>
      </c>
      <c r="B887" s="14">
        <f>CHAIN_RAW!B887</f>
        <v/>
      </c>
      <c r="C887" s="13">
        <f>CHAIN_RAW!C887</f>
        <v/>
      </c>
      <c r="D887" s="13">
        <f>CHAIN_RAW!D887</f>
        <v/>
      </c>
      <c r="E887" s="13">
        <f>CHAIN_RAW!E887</f>
        <v/>
      </c>
      <c r="F887" s="13">
        <f>IFERROR((E887-D887)/D887,"")</f>
        <v/>
      </c>
      <c r="G887" s="13">
        <f>IFERROR((CHAIN_RAW!K887+CHAIN_RAW!L887)/2,"")</f>
        <v/>
      </c>
      <c r="H887" s="13">
        <f>IFERROR((CHAIN_RAW!R887+CHAIN_RAW!S887)/2,"")</f>
        <v/>
      </c>
      <c r="I887" s="13">
        <f>IFERROR((CHAIN_RAW!L887-CHAIN_RAW!K887)/MAX(1E-9, G887),"")</f>
        <v/>
      </c>
      <c r="J887" s="13">
        <f>IFERROR((CHAIN_RAW!S887-CHAIN_RAW!R887)/MAX(1E-9, H887),"")</f>
        <v/>
      </c>
      <c r="K887" s="13">
        <f>CHAIN_RAW!G887</f>
        <v/>
      </c>
      <c r="L887" s="13">
        <f>CHAIN_RAW!N887</f>
        <v/>
      </c>
      <c r="M887" s="13">
        <f>IFERROR(L887-K887,"")</f>
        <v/>
      </c>
      <c r="N887" s="13">
        <f>CHAIN_RAW!H887</f>
        <v/>
      </c>
      <c r="O887" s="13">
        <f>CHAIN_RAW!O887</f>
        <v/>
      </c>
      <c r="P887" s="13">
        <f>IFERROR(O887/N887,"")</f>
        <v/>
      </c>
      <c r="Q887" s="13">
        <f>CHAIN_RAW!I887</f>
        <v/>
      </c>
      <c r="R887" s="13">
        <f>CHAIN_RAW!P887</f>
        <v/>
      </c>
      <c r="S887" s="13">
        <f>IFERROR(R887/Q887,"")</f>
        <v/>
      </c>
      <c r="T887" s="13">
        <f>IFERROR((ABS(N887-O887)/MAX(1,(N887+O887)))*EXP(-ABS(E887-CONTROL!E5)/MAX(1,CONTROL!B8)),"")</f>
        <v/>
      </c>
      <c r="U887" s="13">
        <f>IFERROR(IF(O887&gt;N887,"SUPPORT (PE OI)","RESIST (CE OI)"),"")</f>
        <v/>
      </c>
      <c r="V887" s="13">
        <f>IFERROR(IF(Q887&gt;0,IF(R887&gt;0,"BOTH_ADD","CE_ADD_PE_REDUCE"),IF(R887&gt;0,"CE_REDUCE_PE_ADD","BOTH_REDUCE")),"")</f>
        <v/>
      </c>
      <c r="W887" s="13">
        <f>IFERROR( (P887-1)*0.5 + (M887)*0.1 - (I887+J887)*0.05 + T887*0.4 ,"")</f>
        <v/>
      </c>
      <c r="X887" s="13">
        <f>IFERROR(IF(ABS(F887)&lt;0.01,"ATM/NEAR",""),"")</f>
        <v/>
      </c>
    </row>
    <row r="888">
      <c r="A888" s="13">
        <f>CHAIN_RAW!A888</f>
        <v/>
      </c>
      <c r="B888" s="14">
        <f>CHAIN_RAW!B888</f>
        <v/>
      </c>
      <c r="C888" s="13">
        <f>CHAIN_RAW!C888</f>
        <v/>
      </c>
      <c r="D888" s="13">
        <f>CHAIN_RAW!D888</f>
        <v/>
      </c>
      <c r="E888" s="13">
        <f>CHAIN_RAW!E888</f>
        <v/>
      </c>
      <c r="F888" s="13">
        <f>IFERROR((E888-D888)/D888,"")</f>
        <v/>
      </c>
      <c r="G888" s="13">
        <f>IFERROR((CHAIN_RAW!K888+CHAIN_RAW!L888)/2,"")</f>
        <v/>
      </c>
      <c r="H888" s="13">
        <f>IFERROR((CHAIN_RAW!R888+CHAIN_RAW!S888)/2,"")</f>
        <v/>
      </c>
      <c r="I888" s="13">
        <f>IFERROR((CHAIN_RAW!L888-CHAIN_RAW!K888)/MAX(1E-9, G888),"")</f>
        <v/>
      </c>
      <c r="J888" s="13">
        <f>IFERROR((CHAIN_RAW!S888-CHAIN_RAW!R888)/MAX(1E-9, H888),"")</f>
        <v/>
      </c>
      <c r="K888" s="13">
        <f>CHAIN_RAW!G888</f>
        <v/>
      </c>
      <c r="L888" s="13">
        <f>CHAIN_RAW!N888</f>
        <v/>
      </c>
      <c r="M888" s="13">
        <f>IFERROR(L888-K888,"")</f>
        <v/>
      </c>
      <c r="N888" s="13">
        <f>CHAIN_RAW!H888</f>
        <v/>
      </c>
      <c r="O888" s="13">
        <f>CHAIN_RAW!O888</f>
        <v/>
      </c>
      <c r="P888" s="13">
        <f>IFERROR(O888/N888,"")</f>
        <v/>
      </c>
      <c r="Q888" s="13">
        <f>CHAIN_RAW!I888</f>
        <v/>
      </c>
      <c r="R888" s="13">
        <f>CHAIN_RAW!P888</f>
        <v/>
      </c>
      <c r="S888" s="13">
        <f>IFERROR(R888/Q888,"")</f>
        <v/>
      </c>
      <c r="T888" s="13">
        <f>IFERROR((ABS(N888-O888)/MAX(1,(N888+O888)))*EXP(-ABS(E888-CONTROL!E5)/MAX(1,CONTROL!B8)),"")</f>
        <v/>
      </c>
      <c r="U888" s="13">
        <f>IFERROR(IF(O888&gt;N888,"SUPPORT (PE OI)","RESIST (CE OI)"),"")</f>
        <v/>
      </c>
      <c r="V888" s="13">
        <f>IFERROR(IF(Q888&gt;0,IF(R888&gt;0,"BOTH_ADD","CE_ADD_PE_REDUCE"),IF(R888&gt;0,"CE_REDUCE_PE_ADD","BOTH_REDUCE")),"")</f>
        <v/>
      </c>
      <c r="W888" s="13">
        <f>IFERROR( (P888-1)*0.5 + (M888)*0.1 - (I888+J888)*0.05 + T888*0.4 ,"")</f>
        <v/>
      </c>
      <c r="X888" s="13">
        <f>IFERROR(IF(ABS(F888)&lt;0.01,"ATM/NEAR",""),"")</f>
        <v/>
      </c>
    </row>
    <row r="889">
      <c r="A889" s="13">
        <f>CHAIN_RAW!A889</f>
        <v/>
      </c>
      <c r="B889" s="14">
        <f>CHAIN_RAW!B889</f>
        <v/>
      </c>
      <c r="C889" s="13">
        <f>CHAIN_RAW!C889</f>
        <v/>
      </c>
      <c r="D889" s="13">
        <f>CHAIN_RAW!D889</f>
        <v/>
      </c>
      <c r="E889" s="13">
        <f>CHAIN_RAW!E889</f>
        <v/>
      </c>
      <c r="F889" s="13">
        <f>IFERROR((E889-D889)/D889,"")</f>
        <v/>
      </c>
      <c r="G889" s="13">
        <f>IFERROR((CHAIN_RAW!K889+CHAIN_RAW!L889)/2,"")</f>
        <v/>
      </c>
      <c r="H889" s="13">
        <f>IFERROR((CHAIN_RAW!R889+CHAIN_RAW!S889)/2,"")</f>
        <v/>
      </c>
      <c r="I889" s="13">
        <f>IFERROR((CHAIN_RAW!L889-CHAIN_RAW!K889)/MAX(1E-9, G889),"")</f>
        <v/>
      </c>
      <c r="J889" s="13">
        <f>IFERROR((CHAIN_RAW!S889-CHAIN_RAW!R889)/MAX(1E-9, H889),"")</f>
        <v/>
      </c>
      <c r="K889" s="13">
        <f>CHAIN_RAW!G889</f>
        <v/>
      </c>
      <c r="L889" s="13">
        <f>CHAIN_RAW!N889</f>
        <v/>
      </c>
      <c r="M889" s="13">
        <f>IFERROR(L889-K889,"")</f>
        <v/>
      </c>
      <c r="N889" s="13">
        <f>CHAIN_RAW!H889</f>
        <v/>
      </c>
      <c r="O889" s="13">
        <f>CHAIN_RAW!O889</f>
        <v/>
      </c>
      <c r="P889" s="13">
        <f>IFERROR(O889/N889,"")</f>
        <v/>
      </c>
      <c r="Q889" s="13">
        <f>CHAIN_RAW!I889</f>
        <v/>
      </c>
      <c r="R889" s="13">
        <f>CHAIN_RAW!P889</f>
        <v/>
      </c>
      <c r="S889" s="13">
        <f>IFERROR(R889/Q889,"")</f>
        <v/>
      </c>
      <c r="T889" s="13">
        <f>IFERROR((ABS(N889-O889)/MAX(1,(N889+O889)))*EXP(-ABS(E889-CONTROL!E5)/MAX(1,CONTROL!B8)),"")</f>
        <v/>
      </c>
      <c r="U889" s="13">
        <f>IFERROR(IF(O889&gt;N889,"SUPPORT (PE OI)","RESIST (CE OI)"),"")</f>
        <v/>
      </c>
      <c r="V889" s="13">
        <f>IFERROR(IF(Q889&gt;0,IF(R889&gt;0,"BOTH_ADD","CE_ADD_PE_REDUCE"),IF(R889&gt;0,"CE_REDUCE_PE_ADD","BOTH_REDUCE")),"")</f>
        <v/>
      </c>
      <c r="W889" s="13">
        <f>IFERROR( (P889-1)*0.5 + (M889)*0.1 - (I889+J889)*0.05 + T889*0.4 ,"")</f>
        <v/>
      </c>
      <c r="X889" s="13">
        <f>IFERROR(IF(ABS(F889)&lt;0.01,"ATM/NEAR",""),"")</f>
        <v/>
      </c>
    </row>
    <row r="890">
      <c r="A890" s="13">
        <f>CHAIN_RAW!A890</f>
        <v/>
      </c>
      <c r="B890" s="14">
        <f>CHAIN_RAW!B890</f>
        <v/>
      </c>
      <c r="C890" s="13">
        <f>CHAIN_RAW!C890</f>
        <v/>
      </c>
      <c r="D890" s="13">
        <f>CHAIN_RAW!D890</f>
        <v/>
      </c>
      <c r="E890" s="13">
        <f>CHAIN_RAW!E890</f>
        <v/>
      </c>
      <c r="F890" s="13">
        <f>IFERROR((E890-D890)/D890,"")</f>
        <v/>
      </c>
      <c r="G890" s="13">
        <f>IFERROR((CHAIN_RAW!K890+CHAIN_RAW!L890)/2,"")</f>
        <v/>
      </c>
      <c r="H890" s="13">
        <f>IFERROR((CHAIN_RAW!R890+CHAIN_RAW!S890)/2,"")</f>
        <v/>
      </c>
      <c r="I890" s="13">
        <f>IFERROR((CHAIN_RAW!L890-CHAIN_RAW!K890)/MAX(1E-9, G890),"")</f>
        <v/>
      </c>
      <c r="J890" s="13">
        <f>IFERROR((CHAIN_RAW!S890-CHAIN_RAW!R890)/MAX(1E-9, H890),"")</f>
        <v/>
      </c>
      <c r="K890" s="13">
        <f>CHAIN_RAW!G890</f>
        <v/>
      </c>
      <c r="L890" s="13">
        <f>CHAIN_RAW!N890</f>
        <v/>
      </c>
      <c r="M890" s="13">
        <f>IFERROR(L890-K890,"")</f>
        <v/>
      </c>
      <c r="N890" s="13">
        <f>CHAIN_RAW!H890</f>
        <v/>
      </c>
      <c r="O890" s="13">
        <f>CHAIN_RAW!O890</f>
        <v/>
      </c>
      <c r="P890" s="13">
        <f>IFERROR(O890/N890,"")</f>
        <v/>
      </c>
      <c r="Q890" s="13">
        <f>CHAIN_RAW!I890</f>
        <v/>
      </c>
      <c r="R890" s="13">
        <f>CHAIN_RAW!P890</f>
        <v/>
      </c>
      <c r="S890" s="13">
        <f>IFERROR(R890/Q890,"")</f>
        <v/>
      </c>
      <c r="T890" s="13">
        <f>IFERROR((ABS(N890-O890)/MAX(1,(N890+O890)))*EXP(-ABS(E890-CONTROL!E5)/MAX(1,CONTROL!B8)),"")</f>
        <v/>
      </c>
      <c r="U890" s="13">
        <f>IFERROR(IF(O890&gt;N890,"SUPPORT (PE OI)","RESIST (CE OI)"),"")</f>
        <v/>
      </c>
      <c r="V890" s="13">
        <f>IFERROR(IF(Q890&gt;0,IF(R890&gt;0,"BOTH_ADD","CE_ADD_PE_REDUCE"),IF(R890&gt;0,"CE_REDUCE_PE_ADD","BOTH_REDUCE")),"")</f>
        <v/>
      </c>
      <c r="W890" s="13">
        <f>IFERROR( (P890-1)*0.5 + (M890)*0.1 - (I890+J890)*0.05 + T890*0.4 ,"")</f>
        <v/>
      </c>
      <c r="X890" s="13">
        <f>IFERROR(IF(ABS(F890)&lt;0.01,"ATM/NEAR",""),"")</f>
        <v/>
      </c>
    </row>
    <row r="891">
      <c r="A891" s="13">
        <f>CHAIN_RAW!A891</f>
        <v/>
      </c>
      <c r="B891" s="14">
        <f>CHAIN_RAW!B891</f>
        <v/>
      </c>
      <c r="C891" s="13">
        <f>CHAIN_RAW!C891</f>
        <v/>
      </c>
      <c r="D891" s="13">
        <f>CHAIN_RAW!D891</f>
        <v/>
      </c>
      <c r="E891" s="13">
        <f>CHAIN_RAW!E891</f>
        <v/>
      </c>
      <c r="F891" s="13">
        <f>IFERROR((E891-D891)/D891,"")</f>
        <v/>
      </c>
      <c r="G891" s="13">
        <f>IFERROR((CHAIN_RAW!K891+CHAIN_RAW!L891)/2,"")</f>
        <v/>
      </c>
      <c r="H891" s="13">
        <f>IFERROR((CHAIN_RAW!R891+CHAIN_RAW!S891)/2,"")</f>
        <v/>
      </c>
      <c r="I891" s="13">
        <f>IFERROR((CHAIN_RAW!L891-CHAIN_RAW!K891)/MAX(1E-9, G891),"")</f>
        <v/>
      </c>
      <c r="J891" s="13">
        <f>IFERROR((CHAIN_RAW!S891-CHAIN_RAW!R891)/MAX(1E-9, H891),"")</f>
        <v/>
      </c>
      <c r="K891" s="13">
        <f>CHAIN_RAW!G891</f>
        <v/>
      </c>
      <c r="L891" s="13">
        <f>CHAIN_RAW!N891</f>
        <v/>
      </c>
      <c r="M891" s="13">
        <f>IFERROR(L891-K891,"")</f>
        <v/>
      </c>
      <c r="N891" s="13">
        <f>CHAIN_RAW!H891</f>
        <v/>
      </c>
      <c r="O891" s="13">
        <f>CHAIN_RAW!O891</f>
        <v/>
      </c>
      <c r="P891" s="13">
        <f>IFERROR(O891/N891,"")</f>
        <v/>
      </c>
      <c r="Q891" s="13">
        <f>CHAIN_RAW!I891</f>
        <v/>
      </c>
      <c r="R891" s="13">
        <f>CHAIN_RAW!P891</f>
        <v/>
      </c>
      <c r="S891" s="13">
        <f>IFERROR(R891/Q891,"")</f>
        <v/>
      </c>
      <c r="T891" s="13">
        <f>IFERROR((ABS(N891-O891)/MAX(1,(N891+O891)))*EXP(-ABS(E891-CONTROL!E5)/MAX(1,CONTROL!B8)),"")</f>
        <v/>
      </c>
      <c r="U891" s="13">
        <f>IFERROR(IF(O891&gt;N891,"SUPPORT (PE OI)","RESIST (CE OI)"),"")</f>
        <v/>
      </c>
      <c r="V891" s="13">
        <f>IFERROR(IF(Q891&gt;0,IF(R891&gt;0,"BOTH_ADD","CE_ADD_PE_REDUCE"),IF(R891&gt;0,"CE_REDUCE_PE_ADD","BOTH_REDUCE")),"")</f>
        <v/>
      </c>
      <c r="W891" s="13">
        <f>IFERROR( (P891-1)*0.5 + (M891)*0.1 - (I891+J891)*0.05 + T891*0.4 ,"")</f>
        <v/>
      </c>
      <c r="X891" s="13">
        <f>IFERROR(IF(ABS(F891)&lt;0.01,"ATM/NEAR",""),"")</f>
        <v/>
      </c>
    </row>
    <row r="892">
      <c r="A892" s="13">
        <f>CHAIN_RAW!A892</f>
        <v/>
      </c>
      <c r="B892" s="14">
        <f>CHAIN_RAW!B892</f>
        <v/>
      </c>
      <c r="C892" s="13">
        <f>CHAIN_RAW!C892</f>
        <v/>
      </c>
      <c r="D892" s="13">
        <f>CHAIN_RAW!D892</f>
        <v/>
      </c>
      <c r="E892" s="13">
        <f>CHAIN_RAW!E892</f>
        <v/>
      </c>
      <c r="F892" s="13">
        <f>IFERROR((E892-D892)/D892,"")</f>
        <v/>
      </c>
      <c r="G892" s="13">
        <f>IFERROR((CHAIN_RAW!K892+CHAIN_RAW!L892)/2,"")</f>
        <v/>
      </c>
      <c r="H892" s="13">
        <f>IFERROR((CHAIN_RAW!R892+CHAIN_RAW!S892)/2,"")</f>
        <v/>
      </c>
      <c r="I892" s="13">
        <f>IFERROR((CHAIN_RAW!L892-CHAIN_RAW!K892)/MAX(1E-9, G892),"")</f>
        <v/>
      </c>
      <c r="J892" s="13">
        <f>IFERROR((CHAIN_RAW!S892-CHAIN_RAW!R892)/MAX(1E-9, H892),"")</f>
        <v/>
      </c>
      <c r="K892" s="13">
        <f>CHAIN_RAW!G892</f>
        <v/>
      </c>
      <c r="L892" s="13">
        <f>CHAIN_RAW!N892</f>
        <v/>
      </c>
      <c r="M892" s="13">
        <f>IFERROR(L892-K892,"")</f>
        <v/>
      </c>
      <c r="N892" s="13">
        <f>CHAIN_RAW!H892</f>
        <v/>
      </c>
      <c r="O892" s="13">
        <f>CHAIN_RAW!O892</f>
        <v/>
      </c>
      <c r="P892" s="13">
        <f>IFERROR(O892/N892,"")</f>
        <v/>
      </c>
      <c r="Q892" s="13">
        <f>CHAIN_RAW!I892</f>
        <v/>
      </c>
      <c r="R892" s="13">
        <f>CHAIN_RAW!P892</f>
        <v/>
      </c>
      <c r="S892" s="13">
        <f>IFERROR(R892/Q892,"")</f>
        <v/>
      </c>
      <c r="T892" s="13">
        <f>IFERROR((ABS(N892-O892)/MAX(1,(N892+O892)))*EXP(-ABS(E892-CONTROL!E5)/MAX(1,CONTROL!B8)),"")</f>
        <v/>
      </c>
      <c r="U892" s="13">
        <f>IFERROR(IF(O892&gt;N892,"SUPPORT (PE OI)","RESIST (CE OI)"),"")</f>
        <v/>
      </c>
      <c r="V892" s="13">
        <f>IFERROR(IF(Q892&gt;0,IF(R892&gt;0,"BOTH_ADD","CE_ADD_PE_REDUCE"),IF(R892&gt;0,"CE_REDUCE_PE_ADD","BOTH_REDUCE")),"")</f>
        <v/>
      </c>
      <c r="W892" s="13">
        <f>IFERROR( (P892-1)*0.5 + (M892)*0.1 - (I892+J892)*0.05 + T892*0.4 ,"")</f>
        <v/>
      </c>
      <c r="X892" s="13">
        <f>IFERROR(IF(ABS(F892)&lt;0.01,"ATM/NEAR",""),"")</f>
        <v/>
      </c>
    </row>
    <row r="893">
      <c r="A893" s="13">
        <f>CHAIN_RAW!A893</f>
        <v/>
      </c>
      <c r="B893" s="14">
        <f>CHAIN_RAW!B893</f>
        <v/>
      </c>
      <c r="C893" s="13">
        <f>CHAIN_RAW!C893</f>
        <v/>
      </c>
      <c r="D893" s="13">
        <f>CHAIN_RAW!D893</f>
        <v/>
      </c>
      <c r="E893" s="13">
        <f>CHAIN_RAW!E893</f>
        <v/>
      </c>
      <c r="F893" s="13">
        <f>IFERROR((E893-D893)/D893,"")</f>
        <v/>
      </c>
      <c r="G893" s="13">
        <f>IFERROR((CHAIN_RAW!K893+CHAIN_RAW!L893)/2,"")</f>
        <v/>
      </c>
      <c r="H893" s="13">
        <f>IFERROR((CHAIN_RAW!R893+CHAIN_RAW!S893)/2,"")</f>
        <v/>
      </c>
      <c r="I893" s="13">
        <f>IFERROR((CHAIN_RAW!L893-CHAIN_RAW!K893)/MAX(1E-9, G893),"")</f>
        <v/>
      </c>
      <c r="J893" s="13">
        <f>IFERROR((CHAIN_RAW!S893-CHAIN_RAW!R893)/MAX(1E-9, H893),"")</f>
        <v/>
      </c>
      <c r="K893" s="13">
        <f>CHAIN_RAW!G893</f>
        <v/>
      </c>
      <c r="L893" s="13">
        <f>CHAIN_RAW!N893</f>
        <v/>
      </c>
      <c r="M893" s="13">
        <f>IFERROR(L893-K893,"")</f>
        <v/>
      </c>
      <c r="N893" s="13">
        <f>CHAIN_RAW!H893</f>
        <v/>
      </c>
      <c r="O893" s="13">
        <f>CHAIN_RAW!O893</f>
        <v/>
      </c>
      <c r="P893" s="13">
        <f>IFERROR(O893/N893,"")</f>
        <v/>
      </c>
      <c r="Q893" s="13">
        <f>CHAIN_RAW!I893</f>
        <v/>
      </c>
      <c r="R893" s="13">
        <f>CHAIN_RAW!P893</f>
        <v/>
      </c>
      <c r="S893" s="13">
        <f>IFERROR(R893/Q893,"")</f>
        <v/>
      </c>
      <c r="T893" s="13">
        <f>IFERROR((ABS(N893-O893)/MAX(1,(N893+O893)))*EXP(-ABS(E893-CONTROL!E5)/MAX(1,CONTROL!B8)),"")</f>
        <v/>
      </c>
      <c r="U893" s="13">
        <f>IFERROR(IF(O893&gt;N893,"SUPPORT (PE OI)","RESIST (CE OI)"),"")</f>
        <v/>
      </c>
      <c r="V893" s="13">
        <f>IFERROR(IF(Q893&gt;0,IF(R893&gt;0,"BOTH_ADD","CE_ADD_PE_REDUCE"),IF(R893&gt;0,"CE_REDUCE_PE_ADD","BOTH_REDUCE")),"")</f>
        <v/>
      </c>
      <c r="W893" s="13">
        <f>IFERROR( (P893-1)*0.5 + (M893)*0.1 - (I893+J893)*0.05 + T893*0.4 ,"")</f>
        <v/>
      </c>
      <c r="X893" s="13">
        <f>IFERROR(IF(ABS(F893)&lt;0.01,"ATM/NEAR",""),"")</f>
        <v/>
      </c>
    </row>
    <row r="894">
      <c r="A894" s="13">
        <f>CHAIN_RAW!A894</f>
        <v/>
      </c>
      <c r="B894" s="14">
        <f>CHAIN_RAW!B894</f>
        <v/>
      </c>
      <c r="C894" s="13">
        <f>CHAIN_RAW!C894</f>
        <v/>
      </c>
      <c r="D894" s="13">
        <f>CHAIN_RAW!D894</f>
        <v/>
      </c>
      <c r="E894" s="13">
        <f>CHAIN_RAW!E894</f>
        <v/>
      </c>
      <c r="F894" s="13">
        <f>IFERROR((E894-D894)/D894,"")</f>
        <v/>
      </c>
      <c r="G894" s="13">
        <f>IFERROR((CHAIN_RAW!K894+CHAIN_RAW!L894)/2,"")</f>
        <v/>
      </c>
      <c r="H894" s="13">
        <f>IFERROR((CHAIN_RAW!R894+CHAIN_RAW!S894)/2,"")</f>
        <v/>
      </c>
      <c r="I894" s="13">
        <f>IFERROR((CHAIN_RAW!L894-CHAIN_RAW!K894)/MAX(1E-9, G894),"")</f>
        <v/>
      </c>
      <c r="J894" s="13">
        <f>IFERROR((CHAIN_RAW!S894-CHAIN_RAW!R894)/MAX(1E-9, H894),"")</f>
        <v/>
      </c>
      <c r="K894" s="13">
        <f>CHAIN_RAW!G894</f>
        <v/>
      </c>
      <c r="L894" s="13">
        <f>CHAIN_RAW!N894</f>
        <v/>
      </c>
      <c r="M894" s="13">
        <f>IFERROR(L894-K894,"")</f>
        <v/>
      </c>
      <c r="N894" s="13">
        <f>CHAIN_RAW!H894</f>
        <v/>
      </c>
      <c r="O894" s="13">
        <f>CHAIN_RAW!O894</f>
        <v/>
      </c>
      <c r="P894" s="13">
        <f>IFERROR(O894/N894,"")</f>
        <v/>
      </c>
      <c r="Q894" s="13">
        <f>CHAIN_RAW!I894</f>
        <v/>
      </c>
      <c r="R894" s="13">
        <f>CHAIN_RAW!P894</f>
        <v/>
      </c>
      <c r="S894" s="13">
        <f>IFERROR(R894/Q894,"")</f>
        <v/>
      </c>
      <c r="T894" s="13">
        <f>IFERROR((ABS(N894-O894)/MAX(1,(N894+O894)))*EXP(-ABS(E894-CONTROL!E5)/MAX(1,CONTROL!B8)),"")</f>
        <v/>
      </c>
      <c r="U894" s="13">
        <f>IFERROR(IF(O894&gt;N894,"SUPPORT (PE OI)","RESIST (CE OI)"),"")</f>
        <v/>
      </c>
      <c r="V894" s="13">
        <f>IFERROR(IF(Q894&gt;0,IF(R894&gt;0,"BOTH_ADD","CE_ADD_PE_REDUCE"),IF(R894&gt;0,"CE_REDUCE_PE_ADD","BOTH_REDUCE")),"")</f>
        <v/>
      </c>
      <c r="W894" s="13">
        <f>IFERROR( (P894-1)*0.5 + (M894)*0.1 - (I894+J894)*0.05 + T894*0.4 ,"")</f>
        <v/>
      </c>
      <c r="X894" s="13">
        <f>IFERROR(IF(ABS(F894)&lt;0.01,"ATM/NEAR",""),"")</f>
        <v/>
      </c>
    </row>
    <row r="895">
      <c r="A895" s="13">
        <f>CHAIN_RAW!A895</f>
        <v/>
      </c>
      <c r="B895" s="14">
        <f>CHAIN_RAW!B895</f>
        <v/>
      </c>
      <c r="C895" s="13">
        <f>CHAIN_RAW!C895</f>
        <v/>
      </c>
      <c r="D895" s="13">
        <f>CHAIN_RAW!D895</f>
        <v/>
      </c>
      <c r="E895" s="13">
        <f>CHAIN_RAW!E895</f>
        <v/>
      </c>
      <c r="F895" s="13">
        <f>IFERROR((E895-D895)/D895,"")</f>
        <v/>
      </c>
      <c r="G895" s="13">
        <f>IFERROR((CHAIN_RAW!K895+CHAIN_RAW!L895)/2,"")</f>
        <v/>
      </c>
      <c r="H895" s="13">
        <f>IFERROR((CHAIN_RAW!R895+CHAIN_RAW!S895)/2,"")</f>
        <v/>
      </c>
      <c r="I895" s="13">
        <f>IFERROR((CHAIN_RAW!L895-CHAIN_RAW!K895)/MAX(1E-9, G895),"")</f>
        <v/>
      </c>
      <c r="J895" s="13">
        <f>IFERROR((CHAIN_RAW!S895-CHAIN_RAW!R895)/MAX(1E-9, H895),"")</f>
        <v/>
      </c>
      <c r="K895" s="13">
        <f>CHAIN_RAW!G895</f>
        <v/>
      </c>
      <c r="L895" s="13">
        <f>CHAIN_RAW!N895</f>
        <v/>
      </c>
      <c r="M895" s="13">
        <f>IFERROR(L895-K895,"")</f>
        <v/>
      </c>
      <c r="N895" s="13">
        <f>CHAIN_RAW!H895</f>
        <v/>
      </c>
      <c r="O895" s="13">
        <f>CHAIN_RAW!O895</f>
        <v/>
      </c>
      <c r="P895" s="13">
        <f>IFERROR(O895/N895,"")</f>
        <v/>
      </c>
      <c r="Q895" s="13">
        <f>CHAIN_RAW!I895</f>
        <v/>
      </c>
      <c r="R895" s="13">
        <f>CHAIN_RAW!P895</f>
        <v/>
      </c>
      <c r="S895" s="13">
        <f>IFERROR(R895/Q895,"")</f>
        <v/>
      </c>
      <c r="T895" s="13">
        <f>IFERROR((ABS(N895-O895)/MAX(1,(N895+O895)))*EXP(-ABS(E895-CONTROL!E5)/MAX(1,CONTROL!B8)),"")</f>
        <v/>
      </c>
      <c r="U895" s="13">
        <f>IFERROR(IF(O895&gt;N895,"SUPPORT (PE OI)","RESIST (CE OI)"),"")</f>
        <v/>
      </c>
      <c r="V895" s="13">
        <f>IFERROR(IF(Q895&gt;0,IF(R895&gt;0,"BOTH_ADD","CE_ADD_PE_REDUCE"),IF(R895&gt;0,"CE_REDUCE_PE_ADD","BOTH_REDUCE")),"")</f>
        <v/>
      </c>
      <c r="W895" s="13">
        <f>IFERROR( (P895-1)*0.5 + (M895)*0.1 - (I895+J895)*0.05 + T895*0.4 ,"")</f>
        <v/>
      </c>
      <c r="X895" s="13">
        <f>IFERROR(IF(ABS(F895)&lt;0.01,"ATM/NEAR",""),"")</f>
        <v/>
      </c>
    </row>
    <row r="896">
      <c r="A896" s="13">
        <f>CHAIN_RAW!A896</f>
        <v/>
      </c>
      <c r="B896" s="14">
        <f>CHAIN_RAW!B896</f>
        <v/>
      </c>
      <c r="C896" s="13">
        <f>CHAIN_RAW!C896</f>
        <v/>
      </c>
      <c r="D896" s="13">
        <f>CHAIN_RAW!D896</f>
        <v/>
      </c>
      <c r="E896" s="13">
        <f>CHAIN_RAW!E896</f>
        <v/>
      </c>
      <c r="F896" s="13">
        <f>IFERROR((E896-D896)/D896,"")</f>
        <v/>
      </c>
      <c r="G896" s="13">
        <f>IFERROR((CHAIN_RAW!K896+CHAIN_RAW!L896)/2,"")</f>
        <v/>
      </c>
      <c r="H896" s="13">
        <f>IFERROR((CHAIN_RAW!R896+CHAIN_RAW!S896)/2,"")</f>
        <v/>
      </c>
      <c r="I896" s="13">
        <f>IFERROR((CHAIN_RAW!L896-CHAIN_RAW!K896)/MAX(1E-9, G896),"")</f>
        <v/>
      </c>
      <c r="J896" s="13">
        <f>IFERROR((CHAIN_RAW!S896-CHAIN_RAW!R896)/MAX(1E-9, H896),"")</f>
        <v/>
      </c>
      <c r="K896" s="13">
        <f>CHAIN_RAW!G896</f>
        <v/>
      </c>
      <c r="L896" s="13">
        <f>CHAIN_RAW!N896</f>
        <v/>
      </c>
      <c r="M896" s="13">
        <f>IFERROR(L896-K896,"")</f>
        <v/>
      </c>
      <c r="N896" s="13">
        <f>CHAIN_RAW!H896</f>
        <v/>
      </c>
      <c r="O896" s="13">
        <f>CHAIN_RAW!O896</f>
        <v/>
      </c>
      <c r="P896" s="13">
        <f>IFERROR(O896/N896,"")</f>
        <v/>
      </c>
      <c r="Q896" s="13">
        <f>CHAIN_RAW!I896</f>
        <v/>
      </c>
      <c r="R896" s="13">
        <f>CHAIN_RAW!P896</f>
        <v/>
      </c>
      <c r="S896" s="13">
        <f>IFERROR(R896/Q896,"")</f>
        <v/>
      </c>
      <c r="T896" s="13">
        <f>IFERROR((ABS(N896-O896)/MAX(1,(N896+O896)))*EXP(-ABS(E896-CONTROL!E5)/MAX(1,CONTROL!B8)),"")</f>
        <v/>
      </c>
      <c r="U896" s="13">
        <f>IFERROR(IF(O896&gt;N896,"SUPPORT (PE OI)","RESIST (CE OI)"),"")</f>
        <v/>
      </c>
      <c r="V896" s="13">
        <f>IFERROR(IF(Q896&gt;0,IF(R896&gt;0,"BOTH_ADD","CE_ADD_PE_REDUCE"),IF(R896&gt;0,"CE_REDUCE_PE_ADD","BOTH_REDUCE")),"")</f>
        <v/>
      </c>
      <c r="W896" s="13">
        <f>IFERROR( (P896-1)*0.5 + (M896)*0.1 - (I896+J896)*0.05 + T896*0.4 ,"")</f>
        <v/>
      </c>
      <c r="X896" s="13">
        <f>IFERROR(IF(ABS(F896)&lt;0.01,"ATM/NEAR",""),"")</f>
        <v/>
      </c>
    </row>
    <row r="897">
      <c r="A897" s="13">
        <f>CHAIN_RAW!A897</f>
        <v/>
      </c>
      <c r="B897" s="14">
        <f>CHAIN_RAW!B897</f>
        <v/>
      </c>
      <c r="C897" s="13">
        <f>CHAIN_RAW!C897</f>
        <v/>
      </c>
      <c r="D897" s="13">
        <f>CHAIN_RAW!D897</f>
        <v/>
      </c>
      <c r="E897" s="13">
        <f>CHAIN_RAW!E897</f>
        <v/>
      </c>
      <c r="F897" s="13">
        <f>IFERROR((E897-D897)/D897,"")</f>
        <v/>
      </c>
      <c r="G897" s="13">
        <f>IFERROR((CHAIN_RAW!K897+CHAIN_RAW!L897)/2,"")</f>
        <v/>
      </c>
      <c r="H897" s="13">
        <f>IFERROR((CHAIN_RAW!R897+CHAIN_RAW!S897)/2,"")</f>
        <v/>
      </c>
      <c r="I897" s="13">
        <f>IFERROR((CHAIN_RAW!L897-CHAIN_RAW!K897)/MAX(1E-9, G897),"")</f>
        <v/>
      </c>
      <c r="J897" s="13">
        <f>IFERROR((CHAIN_RAW!S897-CHAIN_RAW!R897)/MAX(1E-9, H897),"")</f>
        <v/>
      </c>
      <c r="K897" s="13">
        <f>CHAIN_RAW!G897</f>
        <v/>
      </c>
      <c r="L897" s="13">
        <f>CHAIN_RAW!N897</f>
        <v/>
      </c>
      <c r="M897" s="13">
        <f>IFERROR(L897-K897,"")</f>
        <v/>
      </c>
      <c r="N897" s="13">
        <f>CHAIN_RAW!H897</f>
        <v/>
      </c>
      <c r="O897" s="13">
        <f>CHAIN_RAW!O897</f>
        <v/>
      </c>
      <c r="P897" s="13">
        <f>IFERROR(O897/N897,"")</f>
        <v/>
      </c>
      <c r="Q897" s="13">
        <f>CHAIN_RAW!I897</f>
        <v/>
      </c>
      <c r="R897" s="13">
        <f>CHAIN_RAW!P897</f>
        <v/>
      </c>
      <c r="S897" s="13">
        <f>IFERROR(R897/Q897,"")</f>
        <v/>
      </c>
      <c r="T897" s="13">
        <f>IFERROR((ABS(N897-O897)/MAX(1,(N897+O897)))*EXP(-ABS(E897-CONTROL!E5)/MAX(1,CONTROL!B8)),"")</f>
        <v/>
      </c>
      <c r="U897" s="13">
        <f>IFERROR(IF(O897&gt;N897,"SUPPORT (PE OI)","RESIST (CE OI)"),"")</f>
        <v/>
      </c>
      <c r="V897" s="13">
        <f>IFERROR(IF(Q897&gt;0,IF(R897&gt;0,"BOTH_ADD","CE_ADD_PE_REDUCE"),IF(R897&gt;0,"CE_REDUCE_PE_ADD","BOTH_REDUCE")),"")</f>
        <v/>
      </c>
      <c r="W897" s="13">
        <f>IFERROR( (P897-1)*0.5 + (M897)*0.1 - (I897+J897)*0.05 + T897*0.4 ,"")</f>
        <v/>
      </c>
      <c r="X897" s="13">
        <f>IFERROR(IF(ABS(F897)&lt;0.01,"ATM/NEAR",""),"")</f>
        <v/>
      </c>
    </row>
    <row r="898">
      <c r="A898" s="13">
        <f>CHAIN_RAW!A898</f>
        <v/>
      </c>
      <c r="B898" s="14">
        <f>CHAIN_RAW!B898</f>
        <v/>
      </c>
      <c r="C898" s="13">
        <f>CHAIN_RAW!C898</f>
        <v/>
      </c>
      <c r="D898" s="13">
        <f>CHAIN_RAW!D898</f>
        <v/>
      </c>
      <c r="E898" s="13">
        <f>CHAIN_RAW!E898</f>
        <v/>
      </c>
      <c r="F898" s="13">
        <f>IFERROR((E898-D898)/D898,"")</f>
        <v/>
      </c>
      <c r="G898" s="13">
        <f>IFERROR((CHAIN_RAW!K898+CHAIN_RAW!L898)/2,"")</f>
        <v/>
      </c>
      <c r="H898" s="13">
        <f>IFERROR((CHAIN_RAW!R898+CHAIN_RAW!S898)/2,"")</f>
        <v/>
      </c>
      <c r="I898" s="13">
        <f>IFERROR((CHAIN_RAW!L898-CHAIN_RAW!K898)/MAX(1E-9, G898),"")</f>
        <v/>
      </c>
      <c r="J898" s="13">
        <f>IFERROR((CHAIN_RAW!S898-CHAIN_RAW!R898)/MAX(1E-9, H898),"")</f>
        <v/>
      </c>
      <c r="K898" s="13">
        <f>CHAIN_RAW!G898</f>
        <v/>
      </c>
      <c r="L898" s="13">
        <f>CHAIN_RAW!N898</f>
        <v/>
      </c>
      <c r="M898" s="13">
        <f>IFERROR(L898-K898,"")</f>
        <v/>
      </c>
      <c r="N898" s="13">
        <f>CHAIN_RAW!H898</f>
        <v/>
      </c>
      <c r="O898" s="13">
        <f>CHAIN_RAW!O898</f>
        <v/>
      </c>
      <c r="P898" s="13">
        <f>IFERROR(O898/N898,"")</f>
        <v/>
      </c>
      <c r="Q898" s="13">
        <f>CHAIN_RAW!I898</f>
        <v/>
      </c>
      <c r="R898" s="13">
        <f>CHAIN_RAW!P898</f>
        <v/>
      </c>
      <c r="S898" s="13">
        <f>IFERROR(R898/Q898,"")</f>
        <v/>
      </c>
      <c r="T898" s="13">
        <f>IFERROR((ABS(N898-O898)/MAX(1,(N898+O898)))*EXP(-ABS(E898-CONTROL!E5)/MAX(1,CONTROL!B8)),"")</f>
        <v/>
      </c>
      <c r="U898" s="13">
        <f>IFERROR(IF(O898&gt;N898,"SUPPORT (PE OI)","RESIST (CE OI)"),"")</f>
        <v/>
      </c>
      <c r="V898" s="13">
        <f>IFERROR(IF(Q898&gt;0,IF(R898&gt;0,"BOTH_ADD","CE_ADD_PE_REDUCE"),IF(R898&gt;0,"CE_REDUCE_PE_ADD","BOTH_REDUCE")),"")</f>
        <v/>
      </c>
      <c r="W898" s="13">
        <f>IFERROR( (P898-1)*0.5 + (M898)*0.1 - (I898+J898)*0.05 + T898*0.4 ,"")</f>
        <v/>
      </c>
      <c r="X898" s="13">
        <f>IFERROR(IF(ABS(F898)&lt;0.01,"ATM/NEAR",""),"")</f>
        <v/>
      </c>
    </row>
    <row r="899">
      <c r="A899" s="13">
        <f>CHAIN_RAW!A899</f>
        <v/>
      </c>
      <c r="B899" s="14">
        <f>CHAIN_RAW!B899</f>
        <v/>
      </c>
      <c r="C899" s="13">
        <f>CHAIN_RAW!C899</f>
        <v/>
      </c>
      <c r="D899" s="13">
        <f>CHAIN_RAW!D899</f>
        <v/>
      </c>
      <c r="E899" s="13">
        <f>CHAIN_RAW!E899</f>
        <v/>
      </c>
      <c r="F899" s="13">
        <f>IFERROR((E899-D899)/D899,"")</f>
        <v/>
      </c>
      <c r="G899" s="13">
        <f>IFERROR((CHAIN_RAW!K899+CHAIN_RAW!L899)/2,"")</f>
        <v/>
      </c>
      <c r="H899" s="13">
        <f>IFERROR((CHAIN_RAW!R899+CHAIN_RAW!S899)/2,"")</f>
        <v/>
      </c>
      <c r="I899" s="13">
        <f>IFERROR((CHAIN_RAW!L899-CHAIN_RAW!K899)/MAX(1E-9, G899),"")</f>
        <v/>
      </c>
      <c r="J899" s="13">
        <f>IFERROR((CHAIN_RAW!S899-CHAIN_RAW!R899)/MAX(1E-9, H899),"")</f>
        <v/>
      </c>
      <c r="K899" s="13">
        <f>CHAIN_RAW!G899</f>
        <v/>
      </c>
      <c r="L899" s="13">
        <f>CHAIN_RAW!N899</f>
        <v/>
      </c>
      <c r="M899" s="13">
        <f>IFERROR(L899-K899,"")</f>
        <v/>
      </c>
      <c r="N899" s="13">
        <f>CHAIN_RAW!H899</f>
        <v/>
      </c>
      <c r="O899" s="13">
        <f>CHAIN_RAW!O899</f>
        <v/>
      </c>
      <c r="P899" s="13">
        <f>IFERROR(O899/N899,"")</f>
        <v/>
      </c>
      <c r="Q899" s="13">
        <f>CHAIN_RAW!I899</f>
        <v/>
      </c>
      <c r="R899" s="13">
        <f>CHAIN_RAW!P899</f>
        <v/>
      </c>
      <c r="S899" s="13">
        <f>IFERROR(R899/Q899,"")</f>
        <v/>
      </c>
      <c r="T899" s="13">
        <f>IFERROR((ABS(N899-O899)/MAX(1,(N899+O899)))*EXP(-ABS(E899-CONTROL!E5)/MAX(1,CONTROL!B8)),"")</f>
        <v/>
      </c>
      <c r="U899" s="13">
        <f>IFERROR(IF(O899&gt;N899,"SUPPORT (PE OI)","RESIST (CE OI)"),"")</f>
        <v/>
      </c>
      <c r="V899" s="13">
        <f>IFERROR(IF(Q899&gt;0,IF(R899&gt;0,"BOTH_ADD","CE_ADD_PE_REDUCE"),IF(R899&gt;0,"CE_REDUCE_PE_ADD","BOTH_REDUCE")),"")</f>
        <v/>
      </c>
      <c r="W899" s="13">
        <f>IFERROR( (P899-1)*0.5 + (M899)*0.1 - (I899+J899)*0.05 + T899*0.4 ,"")</f>
        <v/>
      </c>
      <c r="X899" s="13">
        <f>IFERROR(IF(ABS(F899)&lt;0.01,"ATM/NEAR",""),"")</f>
        <v/>
      </c>
    </row>
    <row r="900">
      <c r="A900" s="13">
        <f>CHAIN_RAW!A900</f>
        <v/>
      </c>
      <c r="B900" s="14">
        <f>CHAIN_RAW!B900</f>
        <v/>
      </c>
      <c r="C900" s="13">
        <f>CHAIN_RAW!C900</f>
        <v/>
      </c>
      <c r="D900" s="13">
        <f>CHAIN_RAW!D900</f>
        <v/>
      </c>
      <c r="E900" s="13">
        <f>CHAIN_RAW!E900</f>
        <v/>
      </c>
      <c r="F900" s="13">
        <f>IFERROR((E900-D900)/D900,"")</f>
        <v/>
      </c>
      <c r="G900" s="13">
        <f>IFERROR((CHAIN_RAW!K900+CHAIN_RAW!L900)/2,"")</f>
        <v/>
      </c>
      <c r="H900" s="13">
        <f>IFERROR((CHAIN_RAW!R900+CHAIN_RAW!S900)/2,"")</f>
        <v/>
      </c>
      <c r="I900" s="13">
        <f>IFERROR((CHAIN_RAW!L900-CHAIN_RAW!K900)/MAX(1E-9, G900),"")</f>
        <v/>
      </c>
      <c r="J900" s="13">
        <f>IFERROR((CHAIN_RAW!S900-CHAIN_RAW!R900)/MAX(1E-9, H900),"")</f>
        <v/>
      </c>
      <c r="K900" s="13">
        <f>CHAIN_RAW!G900</f>
        <v/>
      </c>
      <c r="L900" s="13">
        <f>CHAIN_RAW!N900</f>
        <v/>
      </c>
      <c r="M900" s="13">
        <f>IFERROR(L900-K900,"")</f>
        <v/>
      </c>
      <c r="N900" s="13">
        <f>CHAIN_RAW!H900</f>
        <v/>
      </c>
      <c r="O900" s="13">
        <f>CHAIN_RAW!O900</f>
        <v/>
      </c>
      <c r="P900" s="13">
        <f>IFERROR(O900/N900,"")</f>
        <v/>
      </c>
      <c r="Q900" s="13">
        <f>CHAIN_RAW!I900</f>
        <v/>
      </c>
      <c r="R900" s="13">
        <f>CHAIN_RAW!P900</f>
        <v/>
      </c>
      <c r="S900" s="13">
        <f>IFERROR(R900/Q900,"")</f>
        <v/>
      </c>
      <c r="T900" s="13">
        <f>IFERROR((ABS(N900-O900)/MAX(1,(N900+O900)))*EXP(-ABS(E900-CONTROL!E5)/MAX(1,CONTROL!B8)),"")</f>
        <v/>
      </c>
      <c r="U900" s="13">
        <f>IFERROR(IF(O900&gt;N900,"SUPPORT (PE OI)","RESIST (CE OI)"),"")</f>
        <v/>
      </c>
      <c r="V900" s="13">
        <f>IFERROR(IF(Q900&gt;0,IF(R900&gt;0,"BOTH_ADD","CE_ADD_PE_REDUCE"),IF(R900&gt;0,"CE_REDUCE_PE_ADD","BOTH_REDUCE")),"")</f>
        <v/>
      </c>
      <c r="W900" s="13">
        <f>IFERROR( (P900-1)*0.5 + (M900)*0.1 - (I900+J900)*0.05 + T900*0.4 ,"")</f>
        <v/>
      </c>
      <c r="X900" s="13">
        <f>IFERROR(IF(ABS(F900)&lt;0.01,"ATM/NEAR",""),"")</f>
        <v/>
      </c>
    </row>
    <row r="901">
      <c r="A901" s="13">
        <f>CHAIN_RAW!A901</f>
        <v/>
      </c>
      <c r="B901" s="14">
        <f>CHAIN_RAW!B901</f>
        <v/>
      </c>
      <c r="C901" s="13">
        <f>CHAIN_RAW!C901</f>
        <v/>
      </c>
      <c r="D901" s="13">
        <f>CHAIN_RAW!D901</f>
        <v/>
      </c>
      <c r="E901" s="13">
        <f>CHAIN_RAW!E901</f>
        <v/>
      </c>
      <c r="F901" s="13">
        <f>IFERROR((E901-D901)/D901,"")</f>
        <v/>
      </c>
      <c r="G901" s="13">
        <f>IFERROR((CHAIN_RAW!K901+CHAIN_RAW!L901)/2,"")</f>
        <v/>
      </c>
      <c r="H901" s="13">
        <f>IFERROR((CHAIN_RAW!R901+CHAIN_RAW!S901)/2,"")</f>
        <v/>
      </c>
      <c r="I901" s="13">
        <f>IFERROR((CHAIN_RAW!L901-CHAIN_RAW!K901)/MAX(1E-9, G901),"")</f>
        <v/>
      </c>
      <c r="J901" s="13">
        <f>IFERROR((CHAIN_RAW!S901-CHAIN_RAW!R901)/MAX(1E-9, H901),"")</f>
        <v/>
      </c>
      <c r="K901" s="13">
        <f>CHAIN_RAW!G901</f>
        <v/>
      </c>
      <c r="L901" s="13">
        <f>CHAIN_RAW!N901</f>
        <v/>
      </c>
      <c r="M901" s="13">
        <f>IFERROR(L901-K901,"")</f>
        <v/>
      </c>
      <c r="N901" s="13">
        <f>CHAIN_RAW!H901</f>
        <v/>
      </c>
      <c r="O901" s="13">
        <f>CHAIN_RAW!O901</f>
        <v/>
      </c>
      <c r="P901" s="13">
        <f>IFERROR(O901/N901,"")</f>
        <v/>
      </c>
      <c r="Q901" s="13">
        <f>CHAIN_RAW!I901</f>
        <v/>
      </c>
      <c r="R901" s="13">
        <f>CHAIN_RAW!P901</f>
        <v/>
      </c>
      <c r="S901" s="13">
        <f>IFERROR(R901/Q901,"")</f>
        <v/>
      </c>
      <c r="T901" s="13">
        <f>IFERROR((ABS(N901-O901)/MAX(1,(N901+O901)))*EXP(-ABS(E901-CONTROL!E5)/MAX(1,CONTROL!B8)),"")</f>
        <v/>
      </c>
      <c r="U901" s="13">
        <f>IFERROR(IF(O901&gt;N901,"SUPPORT (PE OI)","RESIST (CE OI)"),"")</f>
        <v/>
      </c>
      <c r="V901" s="13">
        <f>IFERROR(IF(Q901&gt;0,IF(R901&gt;0,"BOTH_ADD","CE_ADD_PE_REDUCE"),IF(R901&gt;0,"CE_REDUCE_PE_ADD","BOTH_REDUCE")),"")</f>
        <v/>
      </c>
      <c r="W901" s="13">
        <f>IFERROR( (P901-1)*0.5 + (M901)*0.1 - (I901+J901)*0.05 + T901*0.4 ,"")</f>
        <v/>
      </c>
      <c r="X901" s="13">
        <f>IFERROR(IF(ABS(F901)&lt;0.01,"ATM/NEAR",""),"")</f>
        <v/>
      </c>
    </row>
    <row r="902">
      <c r="A902" s="13">
        <f>CHAIN_RAW!A902</f>
        <v/>
      </c>
      <c r="B902" s="14">
        <f>CHAIN_RAW!B902</f>
        <v/>
      </c>
      <c r="C902" s="13">
        <f>CHAIN_RAW!C902</f>
        <v/>
      </c>
      <c r="D902" s="13">
        <f>CHAIN_RAW!D902</f>
        <v/>
      </c>
      <c r="E902" s="13">
        <f>CHAIN_RAW!E902</f>
        <v/>
      </c>
      <c r="F902" s="13">
        <f>IFERROR((E902-D902)/D902,"")</f>
        <v/>
      </c>
      <c r="G902" s="13">
        <f>IFERROR((CHAIN_RAW!K902+CHAIN_RAW!L902)/2,"")</f>
        <v/>
      </c>
      <c r="H902" s="13">
        <f>IFERROR((CHAIN_RAW!R902+CHAIN_RAW!S902)/2,"")</f>
        <v/>
      </c>
      <c r="I902" s="13">
        <f>IFERROR((CHAIN_RAW!L902-CHAIN_RAW!K902)/MAX(1E-9, G902),"")</f>
        <v/>
      </c>
      <c r="J902" s="13">
        <f>IFERROR((CHAIN_RAW!S902-CHAIN_RAW!R902)/MAX(1E-9, H902),"")</f>
        <v/>
      </c>
      <c r="K902" s="13">
        <f>CHAIN_RAW!G902</f>
        <v/>
      </c>
      <c r="L902" s="13">
        <f>CHAIN_RAW!N902</f>
        <v/>
      </c>
      <c r="M902" s="13">
        <f>IFERROR(L902-K902,"")</f>
        <v/>
      </c>
      <c r="N902" s="13">
        <f>CHAIN_RAW!H902</f>
        <v/>
      </c>
      <c r="O902" s="13">
        <f>CHAIN_RAW!O902</f>
        <v/>
      </c>
      <c r="P902" s="13">
        <f>IFERROR(O902/N902,"")</f>
        <v/>
      </c>
      <c r="Q902" s="13">
        <f>CHAIN_RAW!I902</f>
        <v/>
      </c>
      <c r="R902" s="13">
        <f>CHAIN_RAW!P902</f>
        <v/>
      </c>
      <c r="S902" s="13">
        <f>IFERROR(R902/Q902,"")</f>
        <v/>
      </c>
      <c r="T902" s="13">
        <f>IFERROR((ABS(N902-O902)/MAX(1,(N902+O902)))*EXP(-ABS(E902-CONTROL!E5)/MAX(1,CONTROL!B8)),"")</f>
        <v/>
      </c>
      <c r="U902" s="13">
        <f>IFERROR(IF(O902&gt;N902,"SUPPORT (PE OI)","RESIST (CE OI)"),"")</f>
        <v/>
      </c>
      <c r="V902" s="13">
        <f>IFERROR(IF(Q902&gt;0,IF(R902&gt;0,"BOTH_ADD","CE_ADD_PE_REDUCE"),IF(R902&gt;0,"CE_REDUCE_PE_ADD","BOTH_REDUCE")),"")</f>
        <v/>
      </c>
      <c r="W902" s="13">
        <f>IFERROR( (P902-1)*0.5 + (M902)*0.1 - (I902+J902)*0.05 + T902*0.4 ,"")</f>
        <v/>
      </c>
      <c r="X902" s="13">
        <f>IFERROR(IF(ABS(F902)&lt;0.01,"ATM/NEAR",""),"")</f>
        <v/>
      </c>
    </row>
    <row r="903">
      <c r="A903" s="13">
        <f>CHAIN_RAW!A903</f>
        <v/>
      </c>
      <c r="B903" s="14">
        <f>CHAIN_RAW!B903</f>
        <v/>
      </c>
      <c r="C903" s="13">
        <f>CHAIN_RAW!C903</f>
        <v/>
      </c>
      <c r="D903" s="13">
        <f>CHAIN_RAW!D903</f>
        <v/>
      </c>
      <c r="E903" s="13">
        <f>CHAIN_RAW!E903</f>
        <v/>
      </c>
      <c r="F903" s="13">
        <f>IFERROR((E903-D903)/D903,"")</f>
        <v/>
      </c>
      <c r="G903" s="13">
        <f>IFERROR((CHAIN_RAW!K903+CHAIN_RAW!L903)/2,"")</f>
        <v/>
      </c>
      <c r="H903" s="13">
        <f>IFERROR((CHAIN_RAW!R903+CHAIN_RAW!S903)/2,"")</f>
        <v/>
      </c>
      <c r="I903" s="13">
        <f>IFERROR((CHAIN_RAW!L903-CHAIN_RAW!K903)/MAX(1E-9, G903),"")</f>
        <v/>
      </c>
      <c r="J903" s="13">
        <f>IFERROR((CHAIN_RAW!S903-CHAIN_RAW!R903)/MAX(1E-9, H903),"")</f>
        <v/>
      </c>
      <c r="K903" s="13">
        <f>CHAIN_RAW!G903</f>
        <v/>
      </c>
      <c r="L903" s="13">
        <f>CHAIN_RAW!N903</f>
        <v/>
      </c>
      <c r="M903" s="13">
        <f>IFERROR(L903-K903,"")</f>
        <v/>
      </c>
      <c r="N903" s="13">
        <f>CHAIN_RAW!H903</f>
        <v/>
      </c>
      <c r="O903" s="13">
        <f>CHAIN_RAW!O903</f>
        <v/>
      </c>
      <c r="P903" s="13">
        <f>IFERROR(O903/N903,"")</f>
        <v/>
      </c>
      <c r="Q903" s="13">
        <f>CHAIN_RAW!I903</f>
        <v/>
      </c>
      <c r="R903" s="13">
        <f>CHAIN_RAW!P903</f>
        <v/>
      </c>
      <c r="S903" s="13">
        <f>IFERROR(R903/Q903,"")</f>
        <v/>
      </c>
      <c r="T903" s="13">
        <f>IFERROR((ABS(N903-O903)/MAX(1,(N903+O903)))*EXP(-ABS(E903-CONTROL!E5)/MAX(1,CONTROL!B8)),"")</f>
        <v/>
      </c>
      <c r="U903" s="13">
        <f>IFERROR(IF(O903&gt;N903,"SUPPORT (PE OI)","RESIST (CE OI)"),"")</f>
        <v/>
      </c>
      <c r="V903" s="13">
        <f>IFERROR(IF(Q903&gt;0,IF(R903&gt;0,"BOTH_ADD","CE_ADD_PE_REDUCE"),IF(R903&gt;0,"CE_REDUCE_PE_ADD","BOTH_REDUCE")),"")</f>
        <v/>
      </c>
      <c r="W903" s="13">
        <f>IFERROR( (P903-1)*0.5 + (M903)*0.1 - (I903+J903)*0.05 + T903*0.4 ,"")</f>
        <v/>
      </c>
      <c r="X903" s="13">
        <f>IFERROR(IF(ABS(F903)&lt;0.01,"ATM/NEAR",""),"")</f>
        <v/>
      </c>
    </row>
    <row r="904">
      <c r="A904" s="13">
        <f>CHAIN_RAW!A904</f>
        <v/>
      </c>
      <c r="B904" s="14">
        <f>CHAIN_RAW!B904</f>
        <v/>
      </c>
      <c r="C904" s="13">
        <f>CHAIN_RAW!C904</f>
        <v/>
      </c>
      <c r="D904" s="13">
        <f>CHAIN_RAW!D904</f>
        <v/>
      </c>
      <c r="E904" s="13">
        <f>CHAIN_RAW!E904</f>
        <v/>
      </c>
      <c r="F904" s="13">
        <f>IFERROR((E904-D904)/D904,"")</f>
        <v/>
      </c>
      <c r="G904" s="13">
        <f>IFERROR((CHAIN_RAW!K904+CHAIN_RAW!L904)/2,"")</f>
        <v/>
      </c>
      <c r="H904" s="13">
        <f>IFERROR((CHAIN_RAW!R904+CHAIN_RAW!S904)/2,"")</f>
        <v/>
      </c>
      <c r="I904" s="13">
        <f>IFERROR((CHAIN_RAW!L904-CHAIN_RAW!K904)/MAX(1E-9, G904),"")</f>
        <v/>
      </c>
      <c r="J904" s="13">
        <f>IFERROR((CHAIN_RAW!S904-CHAIN_RAW!R904)/MAX(1E-9, H904),"")</f>
        <v/>
      </c>
      <c r="K904" s="13">
        <f>CHAIN_RAW!G904</f>
        <v/>
      </c>
      <c r="L904" s="13">
        <f>CHAIN_RAW!N904</f>
        <v/>
      </c>
      <c r="M904" s="13">
        <f>IFERROR(L904-K904,"")</f>
        <v/>
      </c>
      <c r="N904" s="13">
        <f>CHAIN_RAW!H904</f>
        <v/>
      </c>
      <c r="O904" s="13">
        <f>CHAIN_RAW!O904</f>
        <v/>
      </c>
      <c r="P904" s="13">
        <f>IFERROR(O904/N904,"")</f>
        <v/>
      </c>
      <c r="Q904" s="13">
        <f>CHAIN_RAW!I904</f>
        <v/>
      </c>
      <c r="R904" s="13">
        <f>CHAIN_RAW!P904</f>
        <v/>
      </c>
      <c r="S904" s="13">
        <f>IFERROR(R904/Q904,"")</f>
        <v/>
      </c>
      <c r="T904" s="13">
        <f>IFERROR((ABS(N904-O904)/MAX(1,(N904+O904)))*EXP(-ABS(E904-CONTROL!E5)/MAX(1,CONTROL!B8)),"")</f>
        <v/>
      </c>
      <c r="U904" s="13">
        <f>IFERROR(IF(O904&gt;N904,"SUPPORT (PE OI)","RESIST (CE OI)"),"")</f>
        <v/>
      </c>
      <c r="V904" s="13">
        <f>IFERROR(IF(Q904&gt;0,IF(R904&gt;0,"BOTH_ADD","CE_ADD_PE_REDUCE"),IF(R904&gt;0,"CE_REDUCE_PE_ADD","BOTH_REDUCE")),"")</f>
        <v/>
      </c>
      <c r="W904" s="13">
        <f>IFERROR( (P904-1)*0.5 + (M904)*0.1 - (I904+J904)*0.05 + T904*0.4 ,"")</f>
        <v/>
      </c>
      <c r="X904" s="13">
        <f>IFERROR(IF(ABS(F904)&lt;0.01,"ATM/NEAR",""),"")</f>
        <v/>
      </c>
    </row>
    <row r="905">
      <c r="A905" s="13">
        <f>CHAIN_RAW!A905</f>
        <v/>
      </c>
      <c r="B905" s="14">
        <f>CHAIN_RAW!B905</f>
        <v/>
      </c>
      <c r="C905" s="13">
        <f>CHAIN_RAW!C905</f>
        <v/>
      </c>
      <c r="D905" s="13">
        <f>CHAIN_RAW!D905</f>
        <v/>
      </c>
      <c r="E905" s="13">
        <f>CHAIN_RAW!E905</f>
        <v/>
      </c>
      <c r="F905" s="13">
        <f>IFERROR((E905-D905)/D905,"")</f>
        <v/>
      </c>
      <c r="G905" s="13">
        <f>IFERROR((CHAIN_RAW!K905+CHAIN_RAW!L905)/2,"")</f>
        <v/>
      </c>
      <c r="H905" s="13">
        <f>IFERROR((CHAIN_RAW!R905+CHAIN_RAW!S905)/2,"")</f>
        <v/>
      </c>
      <c r="I905" s="13">
        <f>IFERROR((CHAIN_RAW!L905-CHAIN_RAW!K905)/MAX(1E-9, G905),"")</f>
        <v/>
      </c>
      <c r="J905" s="13">
        <f>IFERROR((CHAIN_RAW!S905-CHAIN_RAW!R905)/MAX(1E-9, H905),"")</f>
        <v/>
      </c>
      <c r="K905" s="13">
        <f>CHAIN_RAW!G905</f>
        <v/>
      </c>
      <c r="L905" s="13">
        <f>CHAIN_RAW!N905</f>
        <v/>
      </c>
      <c r="M905" s="13">
        <f>IFERROR(L905-K905,"")</f>
        <v/>
      </c>
      <c r="N905" s="13">
        <f>CHAIN_RAW!H905</f>
        <v/>
      </c>
      <c r="O905" s="13">
        <f>CHAIN_RAW!O905</f>
        <v/>
      </c>
      <c r="P905" s="13">
        <f>IFERROR(O905/N905,"")</f>
        <v/>
      </c>
      <c r="Q905" s="13">
        <f>CHAIN_RAW!I905</f>
        <v/>
      </c>
      <c r="R905" s="13">
        <f>CHAIN_RAW!P905</f>
        <v/>
      </c>
      <c r="S905" s="13">
        <f>IFERROR(R905/Q905,"")</f>
        <v/>
      </c>
      <c r="T905" s="13">
        <f>IFERROR((ABS(N905-O905)/MAX(1,(N905+O905)))*EXP(-ABS(E905-CONTROL!E5)/MAX(1,CONTROL!B8)),"")</f>
        <v/>
      </c>
      <c r="U905" s="13">
        <f>IFERROR(IF(O905&gt;N905,"SUPPORT (PE OI)","RESIST (CE OI)"),"")</f>
        <v/>
      </c>
      <c r="V905" s="13">
        <f>IFERROR(IF(Q905&gt;0,IF(R905&gt;0,"BOTH_ADD","CE_ADD_PE_REDUCE"),IF(R905&gt;0,"CE_REDUCE_PE_ADD","BOTH_REDUCE")),"")</f>
        <v/>
      </c>
      <c r="W905" s="13">
        <f>IFERROR( (P905-1)*0.5 + (M905)*0.1 - (I905+J905)*0.05 + T905*0.4 ,"")</f>
        <v/>
      </c>
      <c r="X905" s="13">
        <f>IFERROR(IF(ABS(F905)&lt;0.01,"ATM/NEAR",""),"")</f>
        <v/>
      </c>
    </row>
    <row r="906">
      <c r="A906" s="13">
        <f>CHAIN_RAW!A906</f>
        <v/>
      </c>
      <c r="B906" s="14">
        <f>CHAIN_RAW!B906</f>
        <v/>
      </c>
      <c r="C906" s="13">
        <f>CHAIN_RAW!C906</f>
        <v/>
      </c>
      <c r="D906" s="13">
        <f>CHAIN_RAW!D906</f>
        <v/>
      </c>
      <c r="E906" s="13">
        <f>CHAIN_RAW!E906</f>
        <v/>
      </c>
      <c r="F906" s="13">
        <f>IFERROR((E906-D906)/D906,"")</f>
        <v/>
      </c>
      <c r="G906" s="13">
        <f>IFERROR((CHAIN_RAW!K906+CHAIN_RAW!L906)/2,"")</f>
        <v/>
      </c>
      <c r="H906" s="13">
        <f>IFERROR((CHAIN_RAW!R906+CHAIN_RAW!S906)/2,"")</f>
        <v/>
      </c>
      <c r="I906" s="13">
        <f>IFERROR((CHAIN_RAW!L906-CHAIN_RAW!K906)/MAX(1E-9, G906),"")</f>
        <v/>
      </c>
      <c r="J906" s="13">
        <f>IFERROR((CHAIN_RAW!S906-CHAIN_RAW!R906)/MAX(1E-9, H906),"")</f>
        <v/>
      </c>
      <c r="K906" s="13">
        <f>CHAIN_RAW!G906</f>
        <v/>
      </c>
      <c r="L906" s="13">
        <f>CHAIN_RAW!N906</f>
        <v/>
      </c>
      <c r="M906" s="13">
        <f>IFERROR(L906-K906,"")</f>
        <v/>
      </c>
      <c r="N906" s="13">
        <f>CHAIN_RAW!H906</f>
        <v/>
      </c>
      <c r="O906" s="13">
        <f>CHAIN_RAW!O906</f>
        <v/>
      </c>
      <c r="P906" s="13">
        <f>IFERROR(O906/N906,"")</f>
        <v/>
      </c>
      <c r="Q906" s="13">
        <f>CHAIN_RAW!I906</f>
        <v/>
      </c>
      <c r="R906" s="13">
        <f>CHAIN_RAW!P906</f>
        <v/>
      </c>
      <c r="S906" s="13">
        <f>IFERROR(R906/Q906,"")</f>
        <v/>
      </c>
      <c r="T906" s="13">
        <f>IFERROR((ABS(N906-O906)/MAX(1,(N906+O906)))*EXP(-ABS(E906-CONTROL!E5)/MAX(1,CONTROL!B8)),"")</f>
        <v/>
      </c>
      <c r="U906" s="13">
        <f>IFERROR(IF(O906&gt;N906,"SUPPORT (PE OI)","RESIST (CE OI)"),"")</f>
        <v/>
      </c>
      <c r="V906" s="13">
        <f>IFERROR(IF(Q906&gt;0,IF(R906&gt;0,"BOTH_ADD","CE_ADD_PE_REDUCE"),IF(R906&gt;0,"CE_REDUCE_PE_ADD","BOTH_REDUCE")),"")</f>
        <v/>
      </c>
      <c r="W906" s="13">
        <f>IFERROR( (P906-1)*0.5 + (M906)*0.1 - (I906+J906)*0.05 + T906*0.4 ,"")</f>
        <v/>
      </c>
      <c r="X906" s="13">
        <f>IFERROR(IF(ABS(F906)&lt;0.01,"ATM/NEAR",""),"")</f>
        <v/>
      </c>
    </row>
    <row r="907">
      <c r="A907" s="13">
        <f>CHAIN_RAW!A907</f>
        <v/>
      </c>
      <c r="B907" s="14">
        <f>CHAIN_RAW!B907</f>
        <v/>
      </c>
      <c r="C907" s="13">
        <f>CHAIN_RAW!C907</f>
        <v/>
      </c>
      <c r="D907" s="13">
        <f>CHAIN_RAW!D907</f>
        <v/>
      </c>
      <c r="E907" s="13">
        <f>CHAIN_RAW!E907</f>
        <v/>
      </c>
      <c r="F907" s="13">
        <f>IFERROR((E907-D907)/D907,"")</f>
        <v/>
      </c>
      <c r="G907" s="13">
        <f>IFERROR((CHAIN_RAW!K907+CHAIN_RAW!L907)/2,"")</f>
        <v/>
      </c>
      <c r="H907" s="13">
        <f>IFERROR((CHAIN_RAW!R907+CHAIN_RAW!S907)/2,"")</f>
        <v/>
      </c>
      <c r="I907" s="13">
        <f>IFERROR((CHAIN_RAW!L907-CHAIN_RAW!K907)/MAX(1E-9, G907),"")</f>
        <v/>
      </c>
      <c r="J907" s="13">
        <f>IFERROR((CHAIN_RAW!S907-CHAIN_RAW!R907)/MAX(1E-9, H907),"")</f>
        <v/>
      </c>
      <c r="K907" s="13">
        <f>CHAIN_RAW!G907</f>
        <v/>
      </c>
      <c r="L907" s="13">
        <f>CHAIN_RAW!N907</f>
        <v/>
      </c>
      <c r="M907" s="13">
        <f>IFERROR(L907-K907,"")</f>
        <v/>
      </c>
      <c r="N907" s="13">
        <f>CHAIN_RAW!H907</f>
        <v/>
      </c>
      <c r="O907" s="13">
        <f>CHAIN_RAW!O907</f>
        <v/>
      </c>
      <c r="P907" s="13">
        <f>IFERROR(O907/N907,"")</f>
        <v/>
      </c>
      <c r="Q907" s="13">
        <f>CHAIN_RAW!I907</f>
        <v/>
      </c>
      <c r="R907" s="13">
        <f>CHAIN_RAW!P907</f>
        <v/>
      </c>
      <c r="S907" s="13">
        <f>IFERROR(R907/Q907,"")</f>
        <v/>
      </c>
      <c r="T907" s="13">
        <f>IFERROR((ABS(N907-O907)/MAX(1,(N907+O907)))*EXP(-ABS(E907-CONTROL!E5)/MAX(1,CONTROL!B8)),"")</f>
        <v/>
      </c>
      <c r="U907" s="13">
        <f>IFERROR(IF(O907&gt;N907,"SUPPORT (PE OI)","RESIST (CE OI)"),"")</f>
        <v/>
      </c>
      <c r="V907" s="13">
        <f>IFERROR(IF(Q907&gt;0,IF(R907&gt;0,"BOTH_ADD","CE_ADD_PE_REDUCE"),IF(R907&gt;0,"CE_REDUCE_PE_ADD","BOTH_REDUCE")),"")</f>
        <v/>
      </c>
      <c r="W907" s="13">
        <f>IFERROR( (P907-1)*0.5 + (M907)*0.1 - (I907+J907)*0.05 + T907*0.4 ,"")</f>
        <v/>
      </c>
      <c r="X907" s="13">
        <f>IFERROR(IF(ABS(F907)&lt;0.01,"ATM/NEAR",""),"")</f>
        <v/>
      </c>
    </row>
    <row r="908">
      <c r="A908" s="13">
        <f>CHAIN_RAW!A908</f>
        <v/>
      </c>
      <c r="B908" s="14">
        <f>CHAIN_RAW!B908</f>
        <v/>
      </c>
      <c r="C908" s="13">
        <f>CHAIN_RAW!C908</f>
        <v/>
      </c>
      <c r="D908" s="13">
        <f>CHAIN_RAW!D908</f>
        <v/>
      </c>
      <c r="E908" s="13">
        <f>CHAIN_RAW!E908</f>
        <v/>
      </c>
      <c r="F908" s="13">
        <f>IFERROR((E908-D908)/D908,"")</f>
        <v/>
      </c>
      <c r="G908" s="13">
        <f>IFERROR((CHAIN_RAW!K908+CHAIN_RAW!L908)/2,"")</f>
        <v/>
      </c>
      <c r="H908" s="13">
        <f>IFERROR((CHAIN_RAW!R908+CHAIN_RAW!S908)/2,"")</f>
        <v/>
      </c>
      <c r="I908" s="13">
        <f>IFERROR((CHAIN_RAW!L908-CHAIN_RAW!K908)/MAX(1E-9, G908),"")</f>
        <v/>
      </c>
      <c r="J908" s="13">
        <f>IFERROR((CHAIN_RAW!S908-CHAIN_RAW!R908)/MAX(1E-9, H908),"")</f>
        <v/>
      </c>
      <c r="K908" s="13">
        <f>CHAIN_RAW!G908</f>
        <v/>
      </c>
      <c r="L908" s="13">
        <f>CHAIN_RAW!N908</f>
        <v/>
      </c>
      <c r="M908" s="13">
        <f>IFERROR(L908-K908,"")</f>
        <v/>
      </c>
      <c r="N908" s="13">
        <f>CHAIN_RAW!H908</f>
        <v/>
      </c>
      <c r="O908" s="13">
        <f>CHAIN_RAW!O908</f>
        <v/>
      </c>
      <c r="P908" s="13">
        <f>IFERROR(O908/N908,"")</f>
        <v/>
      </c>
      <c r="Q908" s="13">
        <f>CHAIN_RAW!I908</f>
        <v/>
      </c>
      <c r="R908" s="13">
        <f>CHAIN_RAW!P908</f>
        <v/>
      </c>
      <c r="S908" s="13">
        <f>IFERROR(R908/Q908,"")</f>
        <v/>
      </c>
      <c r="T908" s="13">
        <f>IFERROR((ABS(N908-O908)/MAX(1,(N908+O908)))*EXP(-ABS(E908-CONTROL!E5)/MAX(1,CONTROL!B8)),"")</f>
        <v/>
      </c>
      <c r="U908" s="13">
        <f>IFERROR(IF(O908&gt;N908,"SUPPORT (PE OI)","RESIST (CE OI)"),"")</f>
        <v/>
      </c>
      <c r="V908" s="13">
        <f>IFERROR(IF(Q908&gt;0,IF(R908&gt;0,"BOTH_ADD","CE_ADD_PE_REDUCE"),IF(R908&gt;0,"CE_REDUCE_PE_ADD","BOTH_REDUCE")),"")</f>
        <v/>
      </c>
      <c r="W908" s="13">
        <f>IFERROR( (P908-1)*0.5 + (M908)*0.1 - (I908+J908)*0.05 + T908*0.4 ,"")</f>
        <v/>
      </c>
      <c r="X908" s="13">
        <f>IFERROR(IF(ABS(F908)&lt;0.01,"ATM/NEAR",""),"")</f>
        <v/>
      </c>
    </row>
    <row r="909">
      <c r="A909" s="13">
        <f>CHAIN_RAW!A909</f>
        <v/>
      </c>
      <c r="B909" s="14">
        <f>CHAIN_RAW!B909</f>
        <v/>
      </c>
      <c r="C909" s="13">
        <f>CHAIN_RAW!C909</f>
        <v/>
      </c>
      <c r="D909" s="13">
        <f>CHAIN_RAW!D909</f>
        <v/>
      </c>
      <c r="E909" s="13">
        <f>CHAIN_RAW!E909</f>
        <v/>
      </c>
      <c r="F909" s="13">
        <f>IFERROR((E909-D909)/D909,"")</f>
        <v/>
      </c>
      <c r="G909" s="13">
        <f>IFERROR((CHAIN_RAW!K909+CHAIN_RAW!L909)/2,"")</f>
        <v/>
      </c>
      <c r="H909" s="13">
        <f>IFERROR((CHAIN_RAW!R909+CHAIN_RAW!S909)/2,"")</f>
        <v/>
      </c>
      <c r="I909" s="13">
        <f>IFERROR((CHAIN_RAW!L909-CHAIN_RAW!K909)/MAX(1E-9, G909),"")</f>
        <v/>
      </c>
      <c r="J909" s="13">
        <f>IFERROR((CHAIN_RAW!S909-CHAIN_RAW!R909)/MAX(1E-9, H909),"")</f>
        <v/>
      </c>
      <c r="K909" s="13">
        <f>CHAIN_RAW!G909</f>
        <v/>
      </c>
      <c r="L909" s="13">
        <f>CHAIN_RAW!N909</f>
        <v/>
      </c>
      <c r="M909" s="13">
        <f>IFERROR(L909-K909,"")</f>
        <v/>
      </c>
      <c r="N909" s="13">
        <f>CHAIN_RAW!H909</f>
        <v/>
      </c>
      <c r="O909" s="13">
        <f>CHAIN_RAW!O909</f>
        <v/>
      </c>
      <c r="P909" s="13">
        <f>IFERROR(O909/N909,"")</f>
        <v/>
      </c>
      <c r="Q909" s="13">
        <f>CHAIN_RAW!I909</f>
        <v/>
      </c>
      <c r="R909" s="13">
        <f>CHAIN_RAW!P909</f>
        <v/>
      </c>
      <c r="S909" s="13">
        <f>IFERROR(R909/Q909,"")</f>
        <v/>
      </c>
      <c r="T909" s="13">
        <f>IFERROR((ABS(N909-O909)/MAX(1,(N909+O909)))*EXP(-ABS(E909-CONTROL!E5)/MAX(1,CONTROL!B8)),"")</f>
        <v/>
      </c>
      <c r="U909" s="13">
        <f>IFERROR(IF(O909&gt;N909,"SUPPORT (PE OI)","RESIST (CE OI)"),"")</f>
        <v/>
      </c>
      <c r="V909" s="13">
        <f>IFERROR(IF(Q909&gt;0,IF(R909&gt;0,"BOTH_ADD","CE_ADD_PE_REDUCE"),IF(R909&gt;0,"CE_REDUCE_PE_ADD","BOTH_REDUCE")),"")</f>
        <v/>
      </c>
      <c r="W909" s="13">
        <f>IFERROR( (P909-1)*0.5 + (M909)*0.1 - (I909+J909)*0.05 + T909*0.4 ,"")</f>
        <v/>
      </c>
      <c r="X909" s="13">
        <f>IFERROR(IF(ABS(F909)&lt;0.01,"ATM/NEAR",""),"")</f>
        <v/>
      </c>
    </row>
    <row r="910">
      <c r="A910" s="13">
        <f>CHAIN_RAW!A910</f>
        <v/>
      </c>
      <c r="B910" s="14">
        <f>CHAIN_RAW!B910</f>
        <v/>
      </c>
      <c r="C910" s="13">
        <f>CHAIN_RAW!C910</f>
        <v/>
      </c>
      <c r="D910" s="13">
        <f>CHAIN_RAW!D910</f>
        <v/>
      </c>
      <c r="E910" s="13">
        <f>CHAIN_RAW!E910</f>
        <v/>
      </c>
      <c r="F910" s="13">
        <f>IFERROR((E910-D910)/D910,"")</f>
        <v/>
      </c>
      <c r="G910" s="13">
        <f>IFERROR((CHAIN_RAW!K910+CHAIN_RAW!L910)/2,"")</f>
        <v/>
      </c>
      <c r="H910" s="13">
        <f>IFERROR((CHAIN_RAW!R910+CHAIN_RAW!S910)/2,"")</f>
        <v/>
      </c>
      <c r="I910" s="13">
        <f>IFERROR((CHAIN_RAW!L910-CHAIN_RAW!K910)/MAX(1E-9, G910),"")</f>
        <v/>
      </c>
      <c r="J910" s="13">
        <f>IFERROR((CHAIN_RAW!S910-CHAIN_RAW!R910)/MAX(1E-9, H910),"")</f>
        <v/>
      </c>
      <c r="K910" s="13">
        <f>CHAIN_RAW!G910</f>
        <v/>
      </c>
      <c r="L910" s="13">
        <f>CHAIN_RAW!N910</f>
        <v/>
      </c>
      <c r="M910" s="13">
        <f>IFERROR(L910-K910,"")</f>
        <v/>
      </c>
      <c r="N910" s="13">
        <f>CHAIN_RAW!H910</f>
        <v/>
      </c>
      <c r="O910" s="13">
        <f>CHAIN_RAW!O910</f>
        <v/>
      </c>
      <c r="P910" s="13">
        <f>IFERROR(O910/N910,"")</f>
        <v/>
      </c>
      <c r="Q910" s="13">
        <f>CHAIN_RAW!I910</f>
        <v/>
      </c>
      <c r="R910" s="13">
        <f>CHAIN_RAW!P910</f>
        <v/>
      </c>
      <c r="S910" s="13">
        <f>IFERROR(R910/Q910,"")</f>
        <v/>
      </c>
      <c r="T910" s="13">
        <f>IFERROR((ABS(N910-O910)/MAX(1,(N910+O910)))*EXP(-ABS(E910-CONTROL!E5)/MAX(1,CONTROL!B8)),"")</f>
        <v/>
      </c>
      <c r="U910" s="13">
        <f>IFERROR(IF(O910&gt;N910,"SUPPORT (PE OI)","RESIST (CE OI)"),"")</f>
        <v/>
      </c>
      <c r="V910" s="13">
        <f>IFERROR(IF(Q910&gt;0,IF(R910&gt;0,"BOTH_ADD","CE_ADD_PE_REDUCE"),IF(R910&gt;0,"CE_REDUCE_PE_ADD","BOTH_REDUCE")),"")</f>
        <v/>
      </c>
      <c r="W910" s="13">
        <f>IFERROR( (P910-1)*0.5 + (M910)*0.1 - (I910+J910)*0.05 + T910*0.4 ,"")</f>
        <v/>
      </c>
      <c r="X910" s="13">
        <f>IFERROR(IF(ABS(F910)&lt;0.01,"ATM/NEAR",""),"")</f>
        <v/>
      </c>
    </row>
    <row r="911">
      <c r="A911" s="13">
        <f>CHAIN_RAW!A911</f>
        <v/>
      </c>
      <c r="B911" s="14">
        <f>CHAIN_RAW!B911</f>
        <v/>
      </c>
      <c r="C911" s="13">
        <f>CHAIN_RAW!C911</f>
        <v/>
      </c>
      <c r="D911" s="13">
        <f>CHAIN_RAW!D911</f>
        <v/>
      </c>
      <c r="E911" s="13">
        <f>CHAIN_RAW!E911</f>
        <v/>
      </c>
      <c r="F911" s="13">
        <f>IFERROR((E911-D911)/D911,"")</f>
        <v/>
      </c>
      <c r="G911" s="13">
        <f>IFERROR((CHAIN_RAW!K911+CHAIN_RAW!L911)/2,"")</f>
        <v/>
      </c>
      <c r="H911" s="13">
        <f>IFERROR((CHAIN_RAW!R911+CHAIN_RAW!S911)/2,"")</f>
        <v/>
      </c>
      <c r="I911" s="13">
        <f>IFERROR((CHAIN_RAW!L911-CHAIN_RAW!K911)/MAX(1E-9, G911),"")</f>
        <v/>
      </c>
      <c r="J911" s="13">
        <f>IFERROR((CHAIN_RAW!S911-CHAIN_RAW!R911)/MAX(1E-9, H911),"")</f>
        <v/>
      </c>
      <c r="K911" s="13">
        <f>CHAIN_RAW!G911</f>
        <v/>
      </c>
      <c r="L911" s="13">
        <f>CHAIN_RAW!N911</f>
        <v/>
      </c>
      <c r="M911" s="13">
        <f>IFERROR(L911-K911,"")</f>
        <v/>
      </c>
      <c r="N911" s="13">
        <f>CHAIN_RAW!H911</f>
        <v/>
      </c>
      <c r="O911" s="13">
        <f>CHAIN_RAW!O911</f>
        <v/>
      </c>
      <c r="P911" s="13">
        <f>IFERROR(O911/N911,"")</f>
        <v/>
      </c>
      <c r="Q911" s="13">
        <f>CHAIN_RAW!I911</f>
        <v/>
      </c>
      <c r="R911" s="13">
        <f>CHAIN_RAW!P911</f>
        <v/>
      </c>
      <c r="S911" s="13">
        <f>IFERROR(R911/Q911,"")</f>
        <v/>
      </c>
      <c r="T911" s="13">
        <f>IFERROR((ABS(N911-O911)/MAX(1,(N911+O911)))*EXP(-ABS(E911-CONTROL!E5)/MAX(1,CONTROL!B8)),"")</f>
        <v/>
      </c>
      <c r="U911" s="13">
        <f>IFERROR(IF(O911&gt;N911,"SUPPORT (PE OI)","RESIST (CE OI)"),"")</f>
        <v/>
      </c>
      <c r="V911" s="13">
        <f>IFERROR(IF(Q911&gt;0,IF(R911&gt;0,"BOTH_ADD","CE_ADD_PE_REDUCE"),IF(R911&gt;0,"CE_REDUCE_PE_ADD","BOTH_REDUCE")),"")</f>
        <v/>
      </c>
      <c r="W911" s="13">
        <f>IFERROR( (P911-1)*0.5 + (M911)*0.1 - (I911+J911)*0.05 + T911*0.4 ,"")</f>
        <v/>
      </c>
      <c r="X911" s="13">
        <f>IFERROR(IF(ABS(F911)&lt;0.01,"ATM/NEAR",""),"")</f>
        <v/>
      </c>
    </row>
    <row r="912">
      <c r="A912" s="13">
        <f>CHAIN_RAW!A912</f>
        <v/>
      </c>
      <c r="B912" s="14">
        <f>CHAIN_RAW!B912</f>
        <v/>
      </c>
      <c r="C912" s="13">
        <f>CHAIN_RAW!C912</f>
        <v/>
      </c>
      <c r="D912" s="13">
        <f>CHAIN_RAW!D912</f>
        <v/>
      </c>
      <c r="E912" s="13">
        <f>CHAIN_RAW!E912</f>
        <v/>
      </c>
      <c r="F912" s="13">
        <f>IFERROR((E912-D912)/D912,"")</f>
        <v/>
      </c>
      <c r="G912" s="13">
        <f>IFERROR((CHAIN_RAW!K912+CHAIN_RAW!L912)/2,"")</f>
        <v/>
      </c>
      <c r="H912" s="13">
        <f>IFERROR((CHAIN_RAW!R912+CHAIN_RAW!S912)/2,"")</f>
        <v/>
      </c>
      <c r="I912" s="13">
        <f>IFERROR((CHAIN_RAW!L912-CHAIN_RAW!K912)/MAX(1E-9, G912),"")</f>
        <v/>
      </c>
      <c r="J912" s="13">
        <f>IFERROR((CHAIN_RAW!S912-CHAIN_RAW!R912)/MAX(1E-9, H912),"")</f>
        <v/>
      </c>
      <c r="K912" s="13">
        <f>CHAIN_RAW!G912</f>
        <v/>
      </c>
      <c r="L912" s="13">
        <f>CHAIN_RAW!N912</f>
        <v/>
      </c>
      <c r="M912" s="13">
        <f>IFERROR(L912-K912,"")</f>
        <v/>
      </c>
      <c r="N912" s="13">
        <f>CHAIN_RAW!H912</f>
        <v/>
      </c>
      <c r="O912" s="13">
        <f>CHAIN_RAW!O912</f>
        <v/>
      </c>
      <c r="P912" s="13">
        <f>IFERROR(O912/N912,"")</f>
        <v/>
      </c>
      <c r="Q912" s="13">
        <f>CHAIN_RAW!I912</f>
        <v/>
      </c>
      <c r="R912" s="13">
        <f>CHAIN_RAW!P912</f>
        <v/>
      </c>
      <c r="S912" s="13">
        <f>IFERROR(R912/Q912,"")</f>
        <v/>
      </c>
      <c r="T912" s="13">
        <f>IFERROR((ABS(N912-O912)/MAX(1,(N912+O912)))*EXP(-ABS(E912-CONTROL!E5)/MAX(1,CONTROL!B8)),"")</f>
        <v/>
      </c>
      <c r="U912" s="13">
        <f>IFERROR(IF(O912&gt;N912,"SUPPORT (PE OI)","RESIST (CE OI)"),"")</f>
        <v/>
      </c>
      <c r="V912" s="13">
        <f>IFERROR(IF(Q912&gt;0,IF(R912&gt;0,"BOTH_ADD","CE_ADD_PE_REDUCE"),IF(R912&gt;0,"CE_REDUCE_PE_ADD","BOTH_REDUCE")),"")</f>
        <v/>
      </c>
      <c r="W912" s="13">
        <f>IFERROR( (P912-1)*0.5 + (M912)*0.1 - (I912+J912)*0.05 + T912*0.4 ,"")</f>
        <v/>
      </c>
      <c r="X912" s="13">
        <f>IFERROR(IF(ABS(F912)&lt;0.01,"ATM/NEAR",""),"")</f>
        <v/>
      </c>
    </row>
    <row r="913">
      <c r="A913" s="13">
        <f>CHAIN_RAW!A913</f>
        <v/>
      </c>
      <c r="B913" s="14">
        <f>CHAIN_RAW!B913</f>
        <v/>
      </c>
      <c r="C913" s="13">
        <f>CHAIN_RAW!C913</f>
        <v/>
      </c>
      <c r="D913" s="13">
        <f>CHAIN_RAW!D913</f>
        <v/>
      </c>
      <c r="E913" s="13">
        <f>CHAIN_RAW!E913</f>
        <v/>
      </c>
      <c r="F913" s="13">
        <f>IFERROR((E913-D913)/D913,"")</f>
        <v/>
      </c>
      <c r="G913" s="13">
        <f>IFERROR((CHAIN_RAW!K913+CHAIN_RAW!L913)/2,"")</f>
        <v/>
      </c>
      <c r="H913" s="13">
        <f>IFERROR((CHAIN_RAW!R913+CHAIN_RAW!S913)/2,"")</f>
        <v/>
      </c>
      <c r="I913" s="13">
        <f>IFERROR((CHAIN_RAW!L913-CHAIN_RAW!K913)/MAX(1E-9, G913),"")</f>
        <v/>
      </c>
      <c r="J913" s="13">
        <f>IFERROR((CHAIN_RAW!S913-CHAIN_RAW!R913)/MAX(1E-9, H913),"")</f>
        <v/>
      </c>
      <c r="K913" s="13">
        <f>CHAIN_RAW!G913</f>
        <v/>
      </c>
      <c r="L913" s="13">
        <f>CHAIN_RAW!N913</f>
        <v/>
      </c>
      <c r="M913" s="13">
        <f>IFERROR(L913-K913,"")</f>
        <v/>
      </c>
      <c r="N913" s="13">
        <f>CHAIN_RAW!H913</f>
        <v/>
      </c>
      <c r="O913" s="13">
        <f>CHAIN_RAW!O913</f>
        <v/>
      </c>
      <c r="P913" s="13">
        <f>IFERROR(O913/N913,"")</f>
        <v/>
      </c>
      <c r="Q913" s="13">
        <f>CHAIN_RAW!I913</f>
        <v/>
      </c>
      <c r="R913" s="13">
        <f>CHAIN_RAW!P913</f>
        <v/>
      </c>
      <c r="S913" s="13">
        <f>IFERROR(R913/Q913,"")</f>
        <v/>
      </c>
      <c r="T913" s="13">
        <f>IFERROR((ABS(N913-O913)/MAX(1,(N913+O913)))*EXP(-ABS(E913-CONTROL!E5)/MAX(1,CONTROL!B8)),"")</f>
        <v/>
      </c>
      <c r="U913" s="13">
        <f>IFERROR(IF(O913&gt;N913,"SUPPORT (PE OI)","RESIST (CE OI)"),"")</f>
        <v/>
      </c>
      <c r="V913" s="13">
        <f>IFERROR(IF(Q913&gt;0,IF(R913&gt;0,"BOTH_ADD","CE_ADD_PE_REDUCE"),IF(R913&gt;0,"CE_REDUCE_PE_ADD","BOTH_REDUCE")),"")</f>
        <v/>
      </c>
      <c r="W913" s="13">
        <f>IFERROR( (P913-1)*0.5 + (M913)*0.1 - (I913+J913)*0.05 + T913*0.4 ,"")</f>
        <v/>
      </c>
      <c r="X913" s="13">
        <f>IFERROR(IF(ABS(F913)&lt;0.01,"ATM/NEAR",""),"")</f>
        <v/>
      </c>
    </row>
    <row r="914">
      <c r="A914" s="13">
        <f>CHAIN_RAW!A914</f>
        <v/>
      </c>
      <c r="B914" s="14">
        <f>CHAIN_RAW!B914</f>
        <v/>
      </c>
      <c r="C914" s="13">
        <f>CHAIN_RAW!C914</f>
        <v/>
      </c>
      <c r="D914" s="13">
        <f>CHAIN_RAW!D914</f>
        <v/>
      </c>
      <c r="E914" s="13">
        <f>CHAIN_RAW!E914</f>
        <v/>
      </c>
      <c r="F914" s="13">
        <f>IFERROR((E914-D914)/D914,"")</f>
        <v/>
      </c>
      <c r="G914" s="13">
        <f>IFERROR((CHAIN_RAW!K914+CHAIN_RAW!L914)/2,"")</f>
        <v/>
      </c>
      <c r="H914" s="13">
        <f>IFERROR((CHAIN_RAW!R914+CHAIN_RAW!S914)/2,"")</f>
        <v/>
      </c>
      <c r="I914" s="13">
        <f>IFERROR((CHAIN_RAW!L914-CHAIN_RAW!K914)/MAX(1E-9, G914),"")</f>
        <v/>
      </c>
      <c r="J914" s="13">
        <f>IFERROR((CHAIN_RAW!S914-CHAIN_RAW!R914)/MAX(1E-9, H914),"")</f>
        <v/>
      </c>
      <c r="K914" s="13">
        <f>CHAIN_RAW!G914</f>
        <v/>
      </c>
      <c r="L914" s="13">
        <f>CHAIN_RAW!N914</f>
        <v/>
      </c>
      <c r="M914" s="13">
        <f>IFERROR(L914-K914,"")</f>
        <v/>
      </c>
      <c r="N914" s="13">
        <f>CHAIN_RAW!H914</f>
        <v/>
      </c>
      <c r="O914" s="13">
        <f>CHAIN_RAW!O914</f>
        <v/>
      </c>
      <c r="P914" s="13">
        <f>IFERROR(O914/N914,"")</f>
        <v/>
      </c>
      <c r="Q914" s="13">
        <f>CHAIN_RAW!I914</f>
        <v/>
      </c>
      <c r="R914" s="13">
        <f>CHAIN_RAW!P914</f>
        <v/>
      </c>
      <c r="S914" s="13">
        <f>IFERROR(R914/Q914,"")</f>
        <v/>
      </c>
      <c r="T914" s="13">
        <f>IFERROR((ABS(N914-O914)/MAX(1,(N914+O914)))*EXP(-ABS(E914-CONTROL!E5)/MAX(1,CONTROL!B8)),"")</f>
        <v/>
      </c>
      <c r="U914" s="13">
        <f>IFERROR(IF(O914&gt;N914,"SUPPORT (PE OI)","RESIST (CE OI)"),"")</f>
        <v/>
      </c>
      <c r="V914" s="13">
        <f>IFERROR(IF(Q914&gt;0,IF(R914&gt;0,"BOTH_ADD","CE_ADD_PE_REDUCE"),IF(R914&gt;0,"CE_REDUCE_PE_ADD","BOTH_REDUCE")),"")</f>
        <v/>
      </c>
      <c r="W914" s="13">
        <f>IFERROR( (P914-1)*0.5 + (M914)*0.1 - (I914+J914)*0.05 + T914*0.4 ,"")</f>
        <v/>
      </c>
      <c r="X914" s="13">
        <f>IFERROR(IF(ABS(F914)&lt;0.01,"ATM/NEAR",""),"")</f>
        <v/>
      </c>
    </row>
    <row r="915">
      <c r="A915" s="13">
        <f>CHAIN_RAW!A915</f>
        <v/>
      </c>
      <c r="B915" s="14">
        <f>CHAIN_RAW!B915</f>
        <v/>
      </c>
      <c r="C915" s="13">
        <f>CHAIN_RAW!C915</f>
        <v/>
      </c>
      <c r="D915" s="13">
        <f>CHAIN_RAW!D915</f>
        <v/>
      </c>
      <c r="E915" s="13">
        <f>CHAIN_RAW!E915</f>
        <v/>
      </c>
      <c r="F915" s="13">
        <f>IFERROR((E915-D915)/D915,"")</f>
        <v/>
      </c>
      <c r="G915" s="13">
        <f>IFERROR((CHAIN_RAW!K915+CHAIN_RAW!L915)/2,"")</f>
        <v/>
      </c>
      <c r="H915" s="13">
        <f>IFERROR((CHAIN_RAW!R915+CHAIN_RAW!S915)/2,"")</f>
        <v/>
      </c>
      <c r="I915" s="13">
        <f>IFERROR((CHAIN_RAW!L915-CHAIN_RAW!K915)/MAX(1E-9, G915),"")</f>
        <v/>
      </c>
      <c r="J915" s="13">
        <f>IFERROR((CHAIN_RAW!S915-CHAIN_RAW!R915)/MAX(1E-9, H915),"")</f>
        <v/>
      </c>
      <c r="K915" s="13">
        <f>CHAIN_RAW!G915</f>
        <v/>
      </c>
      <c r="L915" s="13">
        <f>CHAIN_RAW!N915</f>
        <v/>
      </c>
      <c r="M915" s="13">
        <f>IFERROR(L915-K915,"")</f>
        <v/>
      </c>
      <c r="N915" s="13">
        <f>CHAIN_RAW!H915</f>
        <v/>
      </c>
      <c r="O915" s="13">
        <f>CHAIN_RAW!O915</f>
        <v/>
      </c>
      <c r="P915" s="13">
        <f>IFERROR(O915/N915,"")</f>
        <v/>
      </c>
      <c r="Q915" s="13">
        <f>CHAIN_RAW!I915</f>
        <v/>
      </c>
      <c r="R915" s="13">
        <f>CHAIN_RAW!P915</f>
        <v/>
      </c>
      <c r="S915" s="13">
        <f>IFERROR(R915/Q915,"")</f>
        <v/>
      </c>
      <c r="T915" s="13">
        <f>IFERROR((ABS(N915-O915)/MAX(1,(N915+O915)))*EXP(-ABS(E915-CONTROL!E5)/MAX(1,CONTROL!B8)),"")</f>
        <v/>
      </c>
      <c r="U915" s="13">
        <f>IFERROR(IF(O915&gt;N915,"SUPPORT (PE OI)","RESIST (CE OI)"),"")</f>
        <v/>
      </c>
      <c r="V915" s="13">
        <f>IFERROR(IF(Q915&gt;0,IF(R915&gt;0,"BOTH_ADD","CE_ADD_PE_REDUCE"),IF(R915&gt;0,"CE_REDUCE_PE_ADD","BOTH_REDUCE")),"")</f>
        <v/>
      </c>
      <c r="W915" s="13">
        <f>IFERROR( (P915-1)*0.5 + (M915)*0.1 - (I915+J915)*0.05 + T915*0.4 ,"")</f>
        <v/>
      </c>
      <c r="X915" s="13">
        <f>IFERROR(IF(ABS(F915)&lt;0.01,"ATM/NEAR",""),"")</f>
        <v/>
      </c>
    </row>
    <row r="916">
      <c r="A916" s="13">
        <f>CHAIN_RAW!A916</f>
        <v/>
      </c>
      <c r="B916" s="14">
        <f>CHAIN_RAW!B916</f>
        <v/>
      </c>
      <c r="C916" s="13">
        <f>CHAIN_RAW!C916</f>
        <v/>
      </c>
      <c r="D916" s="13">
        <f>CHAIN_RAW!D916</f>
        <v/>
      </c>
      <c r="E916" s="13">
        <f>CHAIN_RAW!E916</f>
        <v/>
      </c>
      <c r="F916" s="13">
        <f>IFERROR((E916-D916)/D916,"")</f>
        <v/>
      </c>
      <c r="G916" s="13">
        <f>IFERROR((CHAIN_RAW!K916+CHAIN_RAW!L916)/2,"")</f>
        <v/>
      </c>
      <c r="H916" s="13">
        <f>IFERROR((CHAIN_RAW!R916+CHAIN_RAW!S916)/2,"")</f>
        <v/>
      </c>
      <c r="I916" s="13">
        <f>IFERROR((CHAIN_RAW!L916-CHAIN_RAW!K916)/MAX(1E-9, G916),"")</f>
        <v/>
      </c>
      <c r="J916" s="13">
        <f>IFERROR((CHAIN_RAW!S916-CHAIN_RAW!R916)/MAX(1E-9, H916),"")</f>
        <v/>
      </c>
      <c r="K916" s="13">
        <f>CHAIN_RAW!G916</f>
        <v/>
      </c>
      <c r="L916" s="13">
        <f>CHAIN_RAW!N916</f>
        <v/>
      </c>
      <c r="M916" s="13">
        <f>IFERROR(L916-K916,"")</f>
        <v/>
      </c>
      <c r="N916" s="13">
        <f>CHAIN_RAW!H916</f>
        <v/>
      </c>
      <c r="O916" s="13">
        <f>CHAIN_RAW!O916</f>
        <v/>
      </c>
      <c r="P916" s="13">
        <f>IFERROR(O916/N916,"")</f>
        <v/>
      </c>
      <c r="Q916" s="13">
        <f>CHAIN_RAW!I916</f>
        <v/>
      </c>
      <c r="R916" s="13">
        <f>CHAIN_RAW!P916</f>
        <v/>
      </c>
      <c r="S916" s="13">
        <f>IFERROR(R916/Q916,"")</f>
        <v/>
      </c>
      <c r="T916" s="13">
        <f>IFERROR((ABS(N916-O916)/MAX(1,(N916+O916)))*EXP(-ABS(E916-CONTROL!E5)/MAX(1,CONTROL!B8)),"")</f>
        <v/>
      </c>
      <c r="U916" s="13">
        <f>IFERROR(IF(O916&gt;N916,"SUPPORT (PE OI)","RESIST (CE OI)"),"")</f>
        <v/>
      </c>
      <c r="V916" s="13">
        <f>IFERROR(IF(Q916&gt;0,IF(R916&gt;0,"BOTH_ADD","CE_ADD_PE_REDUCE"),IF(R916&gt;0,"CE_REDUCE_PE_ADD","BOTH_REDUCE")),"")</f>
        <v/>
      </c>
      <c r="W916" s="13">
        <f>IFERROR( (P916-1)*0.5 + (M916)*0.1 - (I916+J916)*0.05 + T916*0.4 ,"")</f>
        <v/>
      </c>
      <c r="X916" s="13">
        <f>IFERROR(IF(ABS(F916)&lt;0.01,"ATM/NEAR",""),"")</f>
        <v/>
      </c>
    </row>
    <row r="917">
      <c r="A917" s="13">
        <f>CHAIN_RAW!A917</f>
        <v/>
      </c>
      <c r="B917" s="14">
        <f>CHAIN_RAW!B917</f>
        <v/>
      </c>
      <c r="C917" s="13">
        <f>CHAIN_RAW!C917</f>
        <v/>
      </c>
      <c r="D917" s="13">
        <f>CHAIN_RAW!D917</f>
        <v/>
      </c>
      <c r="E917" s="13">
        <f>CHAIN_RAW!E917</f>
        <v/>
      </c>
      <c r="F917" s="13">
        <f>IFERROR((E917-D917)/D917,"")</f>
        <v/>
      </c>
      <c r="G917" s="13">
        <f>IFERROR((CHAIN_RAW!K917+CHAIN_RAW!L917)/2,"")</f>
        <v/>
      </c>
      <c r="H917" s="13">
        <f>IFERROR((CHAIN_RAW!R917+CHAIN_RAW!S917)/2,"")</f>
        <v/>
      </c>
      <c r="I917" s="13">
        <f>IFERROR((CHAIN_RAW!L917-CHAIN_RAW!K917)/MAX(1E-9, G917),"")</f>
        <v/>
      </c>
      <c r="J917" s="13">
        <f>IFERROR((CHAIN_RAW!S917-CHAIN_RAW!R917)/MAX(1E-9, H917),"")</f>
        <v/>
      </c>
      <c r="K917" s="13">
        <f>CHAIN_RAW!G917</f>
        <v/>
      </c>
      <c r="L917" s="13">
        <f>CHAIN_RAW!N917</f>
        <v/>
      </c>
      <c r="M917" s="13">
        <f>IFERROR(L917-K917,"")</f>
        <v/>
      </c>
      <c r="N917" s="13">
        <f>CHAIN_RAW!H917</f>
        <v/>
      </c>
      <c r="O917" s="13">
        <f>CHAIN_RAW!O917</f>
        <v/>
      </c>
      <c r="P917" s="13">
        <f>IFERROR(O917/N917,"")</f>
        <v/>
      </c>
      <c r="Q917" s="13">
        <f>CHAIN_RAW!I917</f>
        <v/>
      </c>
      <c r="R917" s="13">
        <f>CHAIN_RAW!P917</f>
        <v/>
      </c>
      <c r="S917" s="13">
        <f>IFERROR(R917/Q917,"")</f>
        <v/>
      </c>
      <c r="T917" s="13">
        <f>IFERROR((ABS(N917-O917)/MAX(1,(N917+O917)))*EXP(-ABS(E917-CONTROL!E5)/MAX(1,CONTROL!B8)),"")</f>
        <v/>
      </c>
      <c r="U917" s="13">
        <f>IFERROR(IF(O917&gt;N917,"SUPPORT (PE OI)","RESIST (CE OI)"),"")</f>
        <v/>
      </c>
      <c r="V917" s="13">
        <f>IFERROR(IF(Q917&gt;0,IF(R917&gt;0,"BOTH_ADD","CE_ADD_PE_REDUCE"),IF(R917&gt;0,"CE_REDUCE_PE_ADD","BOTH_REDUCE")),"")</f>
        <v/>
      </c>
      <c r="W917" s="13">
        <f>IFERROR( (P917-1)*0.5 + (M917)*0.1 - (I917+J917)*0.05 + T917*0.4 ,"")</f>
        <v/>
      </c>
      <c r="X917" s="13">
        <f>IFERROR(IF(ABS(F917)&lt;0.01,"ATM/NEAR",""),"")</f>
        <v/>
      </c>
    </row>
    <row r="918">
      <c r="A918" s="13">
        <f>CHAIN_RAW!A918</f>
        <v/>
      </c>
      <c r="B918" s="14">
        <f>CHAIN_RAW!B918</f>
        <v/>
      </c>
      <c r="C918" s="13">
        <f>CHAIN_RAW!C918</f>
        <v/>
      </c>
      <c r="D918" s="13">
        <f>CHAIN_RAW!D918</f>
        <v/>
      </c>
      <c r="E918" s="13">
        <f>CHAIN_RAW!E918</f>
        <v/>
      </c>
      <c r="F918" s="13">
        <f>IFERROR((E918-D918)/D918,"")</f>
        <v/>
      </c>
      <c r="G918" s="13">
        <f>IFERROR((CHAIN_RAW!K918+CHAIN_RAW!L918)/2,"")</f>
        <v/>
      </c>
      <c r="H918" s="13">
        <f>IFERROR((CHAIN_RAW!R918+CHAIN_RAW!S918)/2,"")</f>
        <v/>
      </c>
      <c r="I918" s="13">
        <f>IFERROR((CHAIN_RAW!L918-CHAIN_RAW!K918)/MAX(1E-9, G918),"")</f>
        <v/>
      </c>
      <c r="J918" s="13">
        <f>IFERROR((CHAIN_RAW!S918-CHAIN_RAW!R918)/MAX(1E-9, H918),"")</f>
        <v/>
      </c>
      <c r="K918" s="13">
        <f>CHAIN_RAW!G918</f>
        <v/>
      </c>
      <c r="L918" s="13">
        <f>CHAIN_RAW!N918</f>
        <v/>
      </c>
      <c r="M918" s="13">
        <f>IFERROR(L918-K918,"")</f>
        <v/>
      </c>
      <c r="N918" s="13">
        <f>CHAIN_RAW!H918</f>
        <v/>
      </c>
      <c r="O918" s="13">
        <f>CHAIN_RAW!O918</f>
        <v/>
      </c>
      <c r="P918" s="13">
        <f>IFERROR(O918/N918,"")</f>
        <v/>
      </c>
      <c r="Q918" s="13">
        <f>CHAIN_RAW!I918</f>
        <v/>
      </c>
      <c r="R918" s="13">
        <f>CHAIN_RAW!P918</f>
        <v/>
      </c>
      <c r="S918" s="13">
        <f>IFERROR(R918/Q918,"")</f>
        <v/>
      </c>
      <c r="T918" s="13">
        <f>IFERROR((ABS(N918-O918)/MAX(1,(N918+O918)))*EXP(-ABS(E918-CONTROL!E5)/MAX(1,CONTROL!B8)),"")</f>
        <v/>
      </c>
      <c r="U918" s="13">
        <f>IFERROR(IF(O918&gt;N918,"SUPPORT (PE OI)","RESIST (CE OI)"),"")</f>
        <v/>
      </c>
      <c r="V918" s="13">
        <f>IFERROR(IF(Q918&gt;0,IF(R918&gt;0,"BOTH_ADD","CE_ADD_PE_REDUCE"),IF(R918&gt;0,"CE_REDUCE_PE_ADD","BOTH_REDUCE")),"")</f>
        <v/>
      </c>
      <c r="W918" s="13">
        <f>IFERROR( (P918-1)*0.5 + (M918)*0.1 - (I918+J918)*0.05 + T918*0.4 ,"")</f>
        <v/>
      </c>
      <c r="X918" s="13">
        <f>IFERROR(IF(ABS(F918)&lt;0.01,"ATM/NEAR",""),"")</f>
        <v/>
      </c>
    </row>
    <row r="919">
      <c r="A919" s="13">
        <f>CHAIN_RAW!A919</f>
        <v/>
      </c>
      <c r="B919" s="14">
        <f>CHAIN_RAW!B919</f>
        <v/>
      </c>
      <c r="C919" s="13">
        <f>CHAIN_RAW!C919</f>
        <v/>
      </c>
      <c r="D919" s="13">
        <f>CHAIN_RAW!D919</f>
        <v/>
      </c>
      <c r="E919" s="13">
        <f>CHAIN_RAW!E919</f>
        <v/>
      </c>
      <c r="F919" s="13">
        <f>IFERROR((E919-D919)/D919,"")</f>
        <v/>
      </c>
      <c r="G919" s="13">
        <f>IFERROR((CHAIN_RAW!K919+CHAIN_RAW!L919)/2,"")</f>
        <v/>
      </c>
      <c r="H919" s="13">
        <f>IFERROR((CHAIN_RAW!R919+CHAIN_RAW!S919)/2,"")</f>
        <v/>
      </c>
      <c r="I919" s="13">
        <f>IFERROR((CHAIN_RAW!L919-CHAIN_RAW!K919)/MAX(1E-9, G919),"")</f>
        <v/>
      </c>
      <c r="J919" s="13">
        <f>IFERROR((CHAIN_RAW!S919-CHAIN_RAW!R919)/MAX(1E-9, H919),"")</f>
        <v/>
      </c>
      <c r="K919" s="13">
        <f>CHAIN_RAW!G919</f>
        <v/>
      </c>
      <c r="L919" s="13">
        <f>CHAIN_RAW!N919</f>
        <v/>
      </c>
      <c r="M919" s="13">
        <f>IFERROR(L919-K919,"")</f>
        <v/>
      </c>
      <c r="N919" s="13">
        <f>CHAIN_RAW!H919</f>
        <v/>
      </c>
      <c r="O919" s="13">
        <f>CHAIN_RAW!O919</f>
        <v/>
      </c>
      <c r="P919" s="13">
        <f>IFERROR(O919/N919,"")</f>
        <v/>
      </c>
      <c r="Q919" s="13">
        <f>CHAIN_RAW!I919</f>
        <v/>
      </c>
      <c r="R919" s="13">
        <f>CHAIN_RAW!P919</f>
        <v/>
      </c>
      <c r="S919" s="13">
        <f>IFERROR(R919/Q919,"")</f>
        <v/>
      </c>
      <c r="T919" s="13">
        <f>IFERROR((ABS(N919-O919)/MAX(1,(N919+O919)))*EXP(-ABS(E919-CONTROL!E5)/MAX(1,CONTROL!B8)),"")</f>
        <v/>
      </c>
      <c r="U919" s="13">
        <f>IFERROR(IF(O919&gt;N919,"SUPPORT (PE OI)","RESIST (CE OI)"),"")</f>
        <v/>
      </c>
      <c r="V919" s="13">
        <f>IFERROR(IF(Q919&gt;0,IF(R919&gt;0,"BOTH_ADD","CE_ADD_PE_REDUCE"),IF(R919&gt;0,"CE_REDUCE_PE_ADD","BOTH_REDUCE")),"")</f>
        <v/>
      </c>
      <c r="W919" s="13">
        <f>IFERROR( (P919-1)*0.5 + (M919)*0.1 - (I919+J919)*0.05 + T919*0.4 ,"")</f>
        <v/>
      </c>
      <c r="X919" s="13">
        <f>IFERROR(IF(ABS(F919)&lt;0.01,"ATM/NEAR",""),"")</f>
        <v/>
      </c>
    </row>
    <row r="920">
      <c r="A920" s="13">
        <f>CHAIN_RAW!A920</f>
        <v/>
      </c>
      <c r="B920" s="14">
        <f>CHAIN_RAW!B920</f>
        <v/>
      </c>
      <c r="C920" s="13">
        <f>CHAIN_RAW!C920</f>
        <v/>
      </c>
      <c r="D920" s="13">
        <f>CHAIN_RAW!D920</f>
        <v/>
      </c>
      <c r="E920" s="13">
        <f>CHAIN_RAW!E920</f>
        <v/>
      </c>
      <c r="F920" s="13">
        <f>IFERROR((E920-D920)/D920,"")</f>
        <v/>
      </c>
      <c r="G920" s="13">
        <f>IFERROR((CHAIN_RAW!K920+CHAIN_RAW!L920)/2,"")</f>
        <v/>
      </c>
      <c r="H920" s="13">
        <f>IFERROR((CHAIN_RAW!R920+CHAIN_RAW!S920)/2,"")</f>
        <v/>
      </c>
      <c r="I920" s="13">
        <f>IFERROR((CHAIN_RAW!L920-CHAIN_RAW!K920)/MAX(1E-9, G920),"")</f>
        <v/>
      </c>
      <c r="J920" s="13">
        <f>IFERROR((CHAIN_RAW!S920-CHAIN_RAW!R920)/MAX(1E-9, H920),"")</f>
        <v/>
      </c>
      <c r="K920" s="13">
        <f>CHAIN_RAW!G920</f>
        <v/>
      </c>
      <c r="L920" s="13">
        <f>CHAIN_RAW!N920</f>
        <v/>
      </c>
      <c r="M920" s="13">
        <f>IFERROR(L920-K920,"")</f>
        <v/>
      </c>
      <c r="N920" s="13">
        <f>CHAIN_RAW!H920</f>
        <v/>
      </c>
      <c r="O920" s="13">
        <f>CHAIN_RAW!O920</f>
        <v/>
      </c>
      <c r="P920" s="13">
        <f>IFERROR(O920/N920,"")</f>
        <v/>
      </c>
      <c r="Q920" s="13">
        <f>CHAIN_RAW!I920</f>
        <v/>
      </c>
      <c r="R920" s="13">
        <f>CHAIN_RAW!P920</f>
        <v/>
      </c>
      <c r="S920" s="13">
        <f>IFERROR(R920/Q920,"")</f>
        <v/>
      </c>
      <c r="T920" s="13">
        <f>IFERROR((ABS(N920-O920)/MAX(1,(N920+O920)))*EXP(-ABS(E920-CONTROL!E5)/MAX(1,CONTROL!B8)),"")</f>
        <v/>
      </c>
      <c r="U920" s="13">
        <f>IFERROR(IF(O920&gt;N920,"SUPPORT (PE OI)","RESIST (CE OI)"),"")</f>
        <v/>
      </c>
      <c r="V920" s="13">
        <f>IFERROR(IF(Q920&gt;0,IF(R920&gt;0,"BOTH_ADD","CE_ADD_PE_REDUCE"),IF(R920&gt;0,"CE_REDUCE_PE_ADD","BOTH_REDUCE")),"")</f>
        <v/>
      </c>
      <c r="W920" s="13">
        <f>IFERROR( (P920-1)*0.5 + (M920)*0.1 - (I920+J920)*0.05 + T920*0.4 ,"")</f>
        <v/>
      </c>
      <c r="X920" s="13">
        <f>IFERROR(IF(ABS(F920)&lt;0.01,"ATM/NEAR",""),"")</f>
        <v/>
      </c>
    </row>
    <row r="921">
      <c r="A921" s="13">
        <f>CHAIN_RAW!A921</f>
        <v/>
      </c>
      <c r="B921" s="14">
        <f>CHAIN_RAW!B921</f>
        <v/>
      </c>
      <c r="C921" s="13">
        <f>CHAIN_RAW!C921</f>
        <v/>
      </c>
      <c r="D921" s="13">
        <f>CHAIN_RAW!D921</f>
        <v/>
      </c>
      <c r="E921" s="13">
        <f>CHAIN_RAW!E921</f>
        <v/>
      </c>
      <c r="F921" s="13">
        <f>IFERROR((E921-D921)/D921,"")</f>
        <v/>
      </c>
      <c r="G921" s="13">
        <f>IFERROR((CHAIN_RAW!K921+CHAIN_RAW!L921)/2,"")</f>
        <v/>
      </c>
      <c r="H921" s="13">
        <f>IFERROR((CHAIN_RAW!R921+CHAIN_RAW!S921)/2,"")</f>
        <v/>
      </c>
      <c r="I921" s="13">
        <f>IFERROR((CHAIN_RAW!L921-CHAIN_RAW!K921)/MAX(1E-9, G921),"")</f>
        <v/>
      </c>
      <c r="J921" s="13">
        <f>IFERROR((CHAIN_RAW!S921-CHAIN_RAW!R921)/MAX(1E-9, H921),"")</f>
        <v/>
      </c>
      <c r="K921" s="13">
        <f>CHAIN_RAW!G921</f>
        <v/>
      </c>
      <c r="L921" s="13">
        <f>CHAIN_RAW!N921</f>
        <v/>
      </c>
      <c r="M921" s="13">
        <f>IFERROR(L921-K921,"")</f>
        <v/>
      </c>
      <c r="N921" s="13">
        <f>CHAIN_RAW!H921</f>
        <v/>
      </c>
      <c r="O921" s="13">
        <f>CHAIN_RAW!O921</f>
        <v/>
      </c>
      <c r="P921" s="13">
        <f>IFERROR(O921/N921,"")</f>
        <v/>
      </c>
      <c r="Q921" s="13">
        <f>CHAIN_RAW!I921</f>
        <v/>
      </c>
      <c r="R921" s="13">
        <f>CHAIN_RAW!P921</f>
        <v/>
      </c>
      <c r="S921" s="13">
        <f>IFERROR(R921/Q921,"")</f>
        <v/>
      </c>
      <c r="T921" s="13">
        <f>IFERROR((ABS(N921-O921)/MAX(1,(N921+O921)))*EXP(-ABS(E921-CONTROL!E5)/MAX(1,CONTROL!B8)),"")</f>
        <v/>
      </c>
      <c r="U921" s="13">
        <f>IFERROR(IF(O921&gt;N921,"SUPPORT (PE OI)","RESIST (CE OI)"),"")</f>
        <v/>
      </c>
      <c r="V921" s="13">
        <f>IFERROR(IF(Q921&gt;0,IF(R921&gt;0,"BOTH_ADD","CE_ADD_PE_REDUCE"),IF(R921&gt;0,"CE_REDUCE_PE_ADD","BOTH_REDUCE")),"")</f>
        <v/>
      </c>
      <c r="W921" s="13">
        <f>IFERROR( (P921-1)*0.5 + (M921)*0.1 - (I921+J921)*0.05 + T921*0.4 ,"")</f>
        <v/>
      </c>
      <c r="X921" s="13">
        <f>IFERROR(IF(ABS(F921)&lt;0.01,"ATM/NEAR",""),"")</f>
        <v/>
      </c>
    </row>
    <row r="922">
      <c r="A922" s="13">
        <f>CHAIN_RAW!A922</f>
        <v/>
      </c>
      <c r="B922" s="14">
        <f>CHAIN_RAW!B922</f>
        <v/>
      </c>
      <c r="C922" s="13">
        <f>CHAIN_RAW!C922</f>
        <v/>
      </c>
      <c r="D922" s="13">
        <f>CHAIN_RAW!D922</f>
        <v/>
      </c>
      <c r="E922" s="13">
        <f>CHAIN_RAW!E922</f>
        <v/>
      </c>
      <c r="F922" s="13">
        <f>IFERROR((E922-D922)/D922,"")</f>
        <v/>
      </c>
      <c r="G922" s="13">
        <f>IFERROR((CHAIN_RAW!K922+CHAIN_RAW!L922)/2,"")</f>
        <v/>
      </c>
      <c r="H922" s="13">
        <f>IFERROR((CHAIN_RAW!R922+CHAIN_RAW!S922)/2,"")</f>
        <v/>
      </c>
      <c r="I922" s="13">
        <f>IFERROR((CHAIN_RAW!L922-CHAIN_RAW!K922)/MAX(1E-9, G922),"")</f>
        <v/>
      </c>
      <c r="J922" s="13">
        <f>IFERROR((CHAIN_RAW!S922-CHAIN_RAW!R922)/MAX(1E-9, H922),"")</f>
        <v/>
      </c>
      <c r="K922" s="13">
        <f>CHAIN_RAW!G922</f>
        <v/>
      </c>
      <c r="L922" s="13">
        <f>CHAIN_RAW!N922</f>
        <v/>
      </c>
      <c r="M922" s="13">
        <f>IFERROR(L922-K922,"")</f>
        <v/>
      </c>
      <c r="N922" s="13">
        <f>CHAIN_RAW!H922</f>
        <v/>
      </c>
      <c r="O922" s="13">
        <f>CHAIN_RAW!O922</f>
        <v/>
      </c>
      <c r="P922" s="13">
        <f>IFERROR(O922/N922,"")</f>
        <v/>
      </c>
      <c r="Q922" s="13">
        <f>CHAIN_RAW!I922</f>
        <v/>
      </c>
      <c r="R922" s="13">
        <f>CHAIN_RAW!P922</f>
        <v/>
      </c>
      <c r="S922" s="13">
        <f>IFERROR(R922/Q922,"")</f>
        <v/>
      </c>
      <c r="T922" s="13">
        <f>IFERROR((ABS(N922-O922)/MAX(1,(N922+O922)))*EXP(-ABS(E922-CONTROL!E5)/MAX(1,CONTROL!B8)),"")</f>
        <v/>
      </c>
      <c r="U922" s="13">
        <f>IFERROR(IF(O922&gt;N922,"SUPPORT (PE OI)","RESIST (CE OI)"),"")</f>
        <v/>
      </c>
      <c r="V922" s="13">
        <f>IFERROR(IF(Q922&gt;0,IF(R922&gt;0,"BOTH_ADD","CE_ADD_PE_REDUCE"),IF(R922&gt;0,"CE_REDUCE_PE_ADD","BOTH_REDUCE")),"")</f>
        <v/>
      </c>
      <c r="W922" s="13">
        <f>IFERROR( (P922-1)*0.5 + (M922)*0.1 - (I922+J922)*0.05 + T922*0.4 ,"")</f>
        <v/>
      </c>
      <c r="X922" s="13">
        <f>IFERROR(IF(ABS(F922)&lt;0.01,"ATM/NEAR",""),"")</f>
        <v/>
      </c>
    </row>
    <row r="923">
      <c r="A923" s="13">
        <f>CHAIN_RAW!A923</f>
        <v/>
      </c>
      <c r="B923" s="14">
        <f>CHAIN_RAW!B923</f>
        <v/>
      </c>
      <c r="C923" s="13">
        <f>CHAIN_RAW!C923</f>
        <v/>
      </c>
      <c r="D923" s="13">
        <f>CHAIN_RAW!D923</f>
        <v/>
      </c>
      <c r="E923" s="13">
        <f>CHAIN_RAW!E923</f>
        <v/>
      </c>
      <c r="F923" s="13">
        <f>IFERROR((E923-D923)/D923,"")</f>
        <v/>
      </c>
      <c r="G923" s="13">
        <f>IFERROR((CHAIN_RAW!K923+CHAIN_RAW!L923)/2,"")</f>
        <v/>
      </c>
      <c r="H923" s="13">
        <f>IFERROR((CHAIN_RAW!R923+CHAIN_RAW!S923)/2,"")</f>
        <v/>
      </c>
      <c r="I923" s="13">
        <f>IFERROR((CHAIN_RAW!L923-CHAIN_RAW!K923)/MAX(1E-9, G923),"")</f>
        <v/>
      </c>
      <c r="J923" s="13">
        <f>IFERROR((CHAIN_RAW!S923-CHAIN_RAW!R923)/MAX(1E-9, H923),"")</f>
        <v/>
      </c>
      <c r="K923" s="13">
        <f>CHAIN_RAW!G923</f>
        <v/>
      </c>
      <c r="L923" s="13">
        <f>CHAIN_RAW!N923</f>
        <v/>
      </c>
      <c r="M923" s="13">
        <f>IFERROR(L923-K923,"")</f>
        <v/>
      </c>
      <c r="N923" s="13">
        <f>CHAIN_RAW!H923</f>
        <v/>
      </c>
      <c r="O923" s="13">
        <f>CHAIN_RAW!O923</f>
        <v/>
      </c>
      <c r="P923" s="13">
        <f>IFERROR(O923/N923,"")</f>
        <v/>
      </c>
      <c r="Q923" s="13">
        <f>CHAIN_RAW!I923</f>
        <v/>
      </c>
      <c r="R923" s="13">
        <f>CHAIN_RAW!P923</f>
        <v/>
      </c>
      <c r="S923" s="13">
        <f>IFERROR(R923/Q923,"")</f>
        <v/>
      </c>
      <c r="T923" s="13">
        <f>IFERROR((ABS(N923-O923)/MAX(1,(N923+O923)))*EXP(-ABS(E923-CONTROL!E5)/MAX(1,CONTROL!B8)),"")</f>
        <v/>
      </c>
      <c r="U923" s="13">
        <f>IFERROR(IF(O923&gt;N923,"SUPPORT (PE OI)","RESIST (CE OI)"),"")</f>
        <v/>
      </c>
      <c r="V923" s="13">
        <f>IFERROR(IF(Q923&gt;0,IF(R923&gt;0,"BOTH_ADD","CE_ADD_PE_REDUCE"),IF(R923&gt;0,"CE_REDUCE_PE_ADD","BOTH_REDUCE")),"")</f>
        <v/>
      </c>
      <c r="W923" s="13">
        <f>IFERROR( (P923-1)*0.5 + (M923)*0.1 - (I923+J923)*0.05 + T923*0.4 ,"")</f>
        <v/>
      </c>
      <c r="X923" s="13">
        <f>IFERROR(IF(ABS(F923)&lt;0.01,"ATM/NEAR",""),"")</f>
        <v/>
      </c>
    </row>
    <row r="924">
      <c r="A924" s="13">
        <f>CHAIN_RAW!A924</f>
        <v/>
      </c>
      <c r="B924" s="14">
        <f>CHAIN_RAW!B924</f>
        <v/>
      </c>
      <c r="C924" s="13">
        <f>CHAIN_RAW!C924</f>
        <v/>
      </c>
      <c r="D924" s="13">
        <f>CHAIN_RAW!D924</f>
        <v/>
      </c>
      <c r="E924" s="13">
        <f>CHAIN_RAW!E924</f>
        <v/>
      </c>
      <c r="F924" s="13">
        <f>IFERROR((E924-D924)/D924,"")</f>
        <v/>
      </c>
      <c r="G924" s="13">
        <f>IFERROR((CHAIN_RAW!K924+CHAIN_RAW!L924)/2,"")</f>
        <v/>
      </c>
      <c r="H924" s="13">
        <f>IFERROR((CHAIN_RAW!R924+CHAIN_RAW!S924)/2,"")</f>
        <v/>
      </c>
      <c r="I924" s="13">
        <f>IFERROR((CHAIN_RAW!L924-CHAIN_RAW!K924)/MAX(1E-9, G924),"")</f>
        <v/>
      </c>
      <c r="J924" s="13">
        <f>IFERROR((CHAIN_RAW!S924-CHAIN_RAW!R924)/MAX(1E-9, H924),"")</f>
        <v/>
      </c>
      <c r="K924" s="13">
        <f>CHAIN_RAW!G924</f>
        <v/>
      </c>
      <c r="L924" s="13">
        <f>CHAIN_RAW!N924</f>
        <v/>
      </c>
      <c r="M924" s="13">
        <f>IFERROR(L924-K924,"")</f>
        <v/>
      </c>
      <c r="N924" s="13">
        <f>CHAIN_RAW!H924</f>
        <v/>
      </c>
      <c r="O924" s="13">
        <f>CHAIN_RAW!O924</f>
        <v/>
      </c>
      <c r="P924" s="13">
        <f>IFERROR(O924/N924,"")</f>
        <v/>
      </c>
      <c r="Q924" s="13">
        <f>CHAIN_RAW!I924</f>
        <v/>
      </c>
      <c r="R924" s="13">
        <f>CHAIN_RAW!P924</f>
        <v/>
      </c>
      <c r="S924" s="13">
        <f>IFERROR(R924/Q924,"")</f>
        <v/>
      </c>
      <c r="T924" s="13">
        <f>IFERROR((ABS(N924-O924)/MAX(1,(N924+O924)))*EXP(-ABS(E924-CONTROL!E5)/MAX(1,CONTROL!B8)),"")</f>
        <v/>
      </c>
      <c r="U924" s="13">
        <f>IFERROR(IF(O924&gt;N924,"SUPPORT (PE OI)","RESIST (CE OI)"),"")</f>
        <v/>
      </c>
      <c r="V924" s="13">
        <f>IFERROR(IF(Q924&gt;0,IF(R924&gt;0,"BOTH_ADD","CE_ADD_PE_REDUCE"),IF(R924&gt;0,"CE_REDUCE_PE_ADD","BOTH_REDUCE")),"")</f>
        <v/>
      </c>
      <c r="W924" s="13">
        <f>IFERROR( (P924-1)*0.5 + (M924)*0.1 - (I924+J924)*0.05 + T924*0.4 ,"")</f>
        <v/>
      </c>
      <c r="X924" s="13">
        <f>IFERROR(IF(ABS(F924)&lt;0.01,"ATM/NEAR",""),"")</f>
        <v/>
      </c>
    </row>
    <row r="925">
      <c r="A925" s="13">
        <f>CHAIN_RAW!A925</f>
        <v/>
      </c>
      <c r="B925" s="14">
        <f>CHAIN_RAW!B925</f>
        <v/>
      </c>
      <c r="C925" s="13">
        <f>CHAIN_RAW!C925</f>
        <v/>
      </c>
      <c r="D925" s="13">
        <f>CHAIN_RAW!D925</f>
        <v/>
      </c>
      <c r="E925" s="13">
        <f>CHAIN_RAW!E925</f>
        <v/>
      </c>
      <c r="F925" s="13">
        <f>IFERROR((E925-D925)/D925,"")</f>
        <v/>
      </c>
      <c r="G925" s="13">
        <f>IFERROR((CHAIN_RAW!K925+CHAIN_RAW!L925)/2,"")</f>
        <v/>
      </c>
      <c r="H925" s="13">
        <f>IFERROR((CHAIN_RAW!R925+CHAIN_RAW!S925)/2,"")</f>
        <v/>
      </c>
      <c r="I925" s="13">
        <f>IFERROR((CHAIN_RAW!L925-CHAIN_RAW!K925)/MAX(1E-9, G925),"")</f>
        <v/>
      </c>
      <c r="J925" s="13">
        <f>IFERROR((CHAIN_RAW!S925-CHAIN_RAW!R925)/MAX(1E-9, H925),"")</f>
        <v/>
      </c>
      <c r="K925" s="13">
        <f>CHAIN_RAW!G925</f>
        <v/>
      </c>
      <c r="L925" s="13">
        <f>CHAIN_RAW!N925</f>
        <v/>
      </c>
      <c r="M925" s="13">
        <f>IFERROR(L925-K925,"")</f>
        <v/>
      </c>
      <c r="N925" s="13">
        <f>CHAIN_RAW!H925</f>
        <v/>
      </c>
      <c r="O925" s="13">
        <f>CHAIN_RAW!O925</f>
        <v/>
      </c>
      <c r="P925" s="13">
        <f>IFERROR(O925/N925,"")</f>
        <v/>
      </c>
      <c r="Q925" s="13">
        <f>CHAIN_RAW!I925</f>
        <v/>
      </c>
      <c r="R925" s="13">
        <f>CHAIN_RAW!P925</f>
        <v/>
      </c>
      <c r="S925" s="13">
        <f>IFERROR(R925/Q925,"")</f>
        <v/>
      </c>
      <c r="T925" s="13">
        <f>IFERROR((ABS(N925-O925)/MAX(1,(N925+O925)))*EXP(-ABS(E925-CONTROL!E5)/MAX(1,CONTROL!B8)),"")</f>
        <v/>
      </c>
      <c r="U925" s="13">
        <f>IFERROR(IF(O925&gt;N925,"SUPPORT (PE OI)","RESIST (CE OI)"),"")</f>
        <v/>
      </c>
      <c r="V925" s="13">
        <f>IFERROR(IF(Q925&gt;0,IF(R925&gt;0,"BOTH_ADD","CE_ADD_PE_REDUCE"),IF(R925&gt;0,"CE_REDUCE_PE_ADD","BOTH_REDUCE")),"")</f>
        <v/>
      </c>
      <c r="W925" s="13">
        <f>IFERROR( (P925-1)*0.5 + (M925)*0.1 - (I925+J925)*0.05 + T925*0.4 ,"")</f>
        <v/>
      </c>
      <c r="X925" s="13">
        <f>IFERROR(IF(ABS(F925)&lt;0.01,"ATM/NEAR",""),"")</f>
        <v/>
      </c>
    </row>
    <row r="926">
      <c r="A926" s="13">
        <f>CHAIN_RAW!A926</f>
        <v/>
      </c>
      <c r="B926" s="14">
        <f>CHAIN_RAW!B926</f>
        <v/>
      </c>
      <c r="C926" s="13">
        <f>CHAIN_RAW!C926</f>
        <v/>
      </c>
      <c r="D926" s="13">
        <f>CHAIN_RAW!D926</f>
        <v/>
      </c>
      <c r="E926" s="13">
        <f>CHAIN_RAW!E926</f>
        <v/>
      </c>
      <c r="F926" s="13">
        <f>IFERROR((E926-D926)/D926,"")</f>
        <v/>
      </c>
      <c r="G926" s="13">
        <f>IFERROR((CHAIN_RAW!K926+CHAIN_RAW!L926)/2,"")</f>
        <v/>
      </c>
      <c r="H926" s="13">
        <f>IFERROR((CHAIN_RAW!R926+CHAIN_RAW!S926)/2,"")</f>
        <v/>
      </c>
      <c r="I926" s="13">
        <f>IFERROR((CHAIN_RAW!L926-CHAIN_RAW!K926)/MAX(1E-9, G926),"")</f>
        <v/>
      </c>
      <c r="J926" s="13">
        <f>IFERROR((CHAIN_RAW!S926-CHAIN_RAW!R926)/MAX(1E-9, H926),"")</f>
        <v/>
      </c>
      <c r="K926" s="13">
        <f>CHAIN_RAW!G926</f>
        <v/>
      </c>
      <c r="L926" s="13">
        <f>CHAIN_RAW!N926</f>
        <v/>
      </c>
      <c r="M926" s="13">
        <f>IFERROR(L926-K926,"")</f>
        <v/>
      </c>
      <c r="N926" s="13">
        <f>CHAIN_RAW!H926</f>
        <v/>
      </c>
      <c r="O926" s="13">
        <f>CHAIN_RAW!O926</f>
        <v/>
      </c>
      <c r="P926" s="13">
        <f>IFERROR(O926/N926,"")</f>
        <v/>
      </c>
      <c r="Q926" s="13">
        <f>CHAIN_RAW!I926</f>
        <v/>
      </c>
      <c r="R926" s="13">
        <f>CHAIN_RAW!P926</f>
        <v/>
      </c>
      <c r="S926" s="13">
        <f>IFERROR(R926/Q926,"")</f>
        <v/>
      </c>
      <c r="T926" s="13">
        <f>IFERROR((ABS(N926-O926)/MAX(1,(N926+O926)))*EXP(-ABS(E926-CONTROL!E5)/MAX(1,CONTROL!B8)),"")</f>
        <v/>
      </c>
      <c r="U926" s="13">
        <f>IFERROR(IF(O926&gt;N926,"SUPPORT (PE OI)","RESIST (CE OI)"),"")</f>
        <v/>
      </c>
      <c r="V926" s="13">
        <f>IFERROR(IF(Q926&gt;0,IF(R926&gt;0,"BOTH_ADD","CE_ADD_PE_REDUCE"),IF(R926&gt;0,"CE_REDUCE_PE_ADD","BOTH_REDUCE")),"")</f>
        <v/>
      </c>
      <c r="W926" s="13">
        <f>IFERROR( (P926-1)*0.5 + (M926)*0.1 - (I926+J926)*0.05 + T926*0.4 ,"")</f>
        <v/>
      </c>
      <c r="X926" s="13">
        <f>IFERROR(IF(ABS(F926)&lt;0.01,"ATM/NEAR",""),"")</f>
        <v/>
      </c>
    </row>
    <row r="927">
      <c r="A927" s="13">
        <f>CHAIN_RAW!A927</f>
        <v/>
      </c>
      <c r="B927" s="14">
        <f>CHAIN_RAW!B927</f>
        <v/>
      </c>
      <c r="C927" s="13">
        <f>CHAIN_RAW!C927</f>
        <v/>
      </c>
      <c r="D927" s="13">
        <f>CHAIN_RAW!D927</f>
        <v/>
      </c>
      <c r="E927" s="13">
        <f>CHAIN_RAW!E927</f>
        <v/>
      </c>
      <c r="F927" s="13">
        <f>IFERROR((E927-D927)/D927,"")</f>
        <v/>
      </c>
      <c r="G927" s="13">
        <f>IFERROR((CHAIN_RAW!K927+CHAIN_RAW!L927)/2,"")</f>
        <v/>
      </c>
      <c r="H927" s="13">
        <f>IFERROR((CHAIN_RAW!R927+CHAIN_RAW!S927)/2,"")</f>
        <v/>
      </c>
      <c r="I927" s="13">
        <f>IFERROR((CHAIN_RAW!L927-CHAIN_RAW!K927)/MAX(1E-9, G927),"")</f>
        <v/>
      </c>
      <c r="J927" s="13">
        <f>IFERROR((CHAIN_RAW!S927-CHAIN_RAW!R927)/MAX(1E-9, H927),"")</f>
        <v/>
      </c>
      <c r="K927" s="13">
        <f>CHAIN_RAW!G927</f>
        <v/>
      </c>
      <c r="L927" s="13">
        <f>CHAIN_RAW!N927</f>
        <v/>
      </c>
      <c r="M927" s="13">
        <f>IFERROR(L927-K927,"")</f>
        <v/>
      </c>
      <c r="N927" s="13">
        <f>CHAIN_RAW!H927</f>
        <v/>
      </c>
      <c r="O927" s="13">
        <f>CHAIN_RAW!O927</f>
        <v/>
      </c>
      <c r="P927" s="13">
        <f>IFERROR(O927/N927,"")</f>
        <v/>
      </c>
      <c r="Q927" s="13">
        <f>CHAIN_RAW!I927</f>
        <v/>
      </c>
      <c r="R927" s="13">
        <f>CHAIN_RAW!P927</f>
        <v/>
      </c>
      <c r="S927" s="13">
        <f>IFERROR(R927/Q927,"")</f>
        <v/>
      </c>
      <c r="T927" s="13">
        <f>IFERROR((ABS(N927-O927)/MAX(1,(N927+O927)))*EXP(-ABS(E927-CONTROL!E5)/MAX(1,CONTROL!B8)),"")</f>
        <v/>
      </c>
      <c r="U927" s="13">
        <f>IFERROR(IF(O927&gt;N927,"SUPPORT (PE OI)","RESIST (CE OI)"),"")</f>
        <v/>
      </c>
      <c r="V927" s="13">
        <f>IFERROR(IF(Q927&gt;0,IF(R927&gt;0,"BOTH_ADD","CE_ADD_PE_REDUCE"),IF(R927&gt;0,"CE_REDUCE_PE_ADD","BOTH_REDUCE")),"")</f>
        <v/>
      </c>
      <c r="W927" s="13">
        <f>IFERROR( (P927-1)*0.5 + (M927)*0.1 - (I927+J927)*0.05 + T927*0.4 ,"")</f>
        <v/>
      </c>
      <c r="X927" s="13">
        <f>IFERROR(IF(ABS(F927)&lt;0.01,"ATM/NEAR",""),"")</f>
        <v/>
      </c>
    </row>
    <row r="928">
      <c r="A928" s="13">
        <f>CHAIN_RAW!A928</f>
        <v/>
      </c>
      <c r="B928" s="14">
        <f>CHAIN_RAW!B928</f>
        <v/>
      </c>
      <c r="C928" s="13">
        <f>CHAIN_RAW!C928</f>
        <v/>
      </c>
      <c r="D928" s="13">
        <f>CHAIN_RAW!D928</f>
        <v/>
      </c>
      <c r="E928" s="13">
        <f>CHAIN_RAW!E928</f>
        <v/>
      </c>
      <c r="F928" s="13">
        <f>IFERROR((E928-D928)/D928,"")</f>
        <v/>
      </c>
      <c r="G928" s="13">
        <f>IFERROR((CHAIN_RAW!K928+CHAIN_RAW!L928)/2,"")</f>
        <v/>
      </c>
      <c r="H928" s="13">
        <f>IFERROR((CHAIN_RAW!R928+CHAIN_RAW!S928)/2,"")</f>
        <v/>
      </c>
      <c r="I928" s="13">
        <f>IFERROR((CHAIN_RAW!L928-CHAIN_RAW!K928)/MAX(1E-9, G928),"")</f>
        <v/>
      </c>
      <c r="J928" s="13">
        <f>IFERROR((CHAIN_RAW!S928-CHAIN_RAW!R928)/MAX(1E-9, H928),"")</f>
        <v/>
      </c>
      <c r="K928" s="13">
        <f>CHAIN_RAW!G928</f>
        <v/>
      </c>
      <c r="L928" s="13">
        <f>CHAIN_RAW!N928</f>
        <v/>
      </c>
      <c r="M928" s="13">
        <f>IFERROR(L928-K928,"")</f>
        <v/>
      </c>
      <c r="N928" s="13">
        <f>CHAIN_RAW!H928</f>
        <v/>
      </c>
      <c r="O928" s="13">
        <f>CHAIN_RAW!O928</f>
        <v/>
      </c>
      <c r="P928" s="13">
        <f>IFERROR(O928/N928,"")</f>
        <v/>
      </c>
      <c r="Q928" s="13">
        <f>CHAIN_RAW!I928</f>
        <v/>
      </c>
      <c r="R928" s="13">
        <f>CHAIN_RAW!P928</f>
        <v/>
      </c>
      <c r="S928" s="13">
        <f>IFERROR(R928/Q928,"")</f>
        <v/>
      </c>
      <c r="T928" s="13">
        <f>IFERROR((ABS(N928-O928)/MAX(1,(N928+O928)))*EXP(-ABS(E928-CONTROL!E5)/MAX(1,CONTROL!B8)),"")</f>
        <v/>
      </c>
      <c r="U928" s="13">
        <f>IFERROR(IF(O928&gt;N928,"SUPPORT (PE OI)","RESIST (CE OI)"),"")</f>
        <v/>
      </c>
      <c r="V928" s="13">
        <f>IFERROR(IF(Q928&gt;0,IF(R928&gt;0,"BOTH_ADD","CE_ADD_PE_REDUCE"),IF(R928&gt;0,"CE_REDUCE_PE_ADD","BOTH_REDUCE")),"")</f>
        <v/>
      </c>
      <c r="W928" s="13">
        <f>IFERROR( (P928-1)*0.5 + (M928)*0.1 - (I928+J928)*0.05 + T928*0.4 ,"")</f>
        <v/>
      </c>
      <c r="X928" s="13">
        <f>IFERROR(IF(ABS(F928)&lt;0.01,"ATM/NEAR",""),"")</f>
        <v/>
      </c>
    </row>
    <row r="929">
      <c r="A929" s="13">
        <f>CHAIN_RAW!A929</f>
        <v/>
      </c>
      <c r="B929" s="14">
        <f>CHAIN_RAW!B929</f>
        <v/>
      </c>
      <c r="C929" s="13">
        <f>CHAIN_RAW!C929</f>
        <v/>
      </c>
      <c r="D929" s="13">
        <f>CHAIN_RAW!D929</f>
        <v/>
      </c>
      <c r="E929" s="13">
        <f>CHAIN_RAW!E929</f>
        <v/>
      </c>
      <c r="F929" s="13">
        <f>IFERROR((E929-D929)/D929,"")</f>
        <v/>
      </c>
      <c r="G929" s="13">
        <f>IFERROR((CHAIN_RAW!K929+CHAIN_RAW!L929)/2,"")</f>
        <v/>
      </c>
      <c r="H929" s="13">
        <f>IFERROR((CHAIN_RAW!R929+CHAIN_RAW!S929)/2,"")</f>
        <v/>
      </c>
      <c r="I929" s="13">
        <f>IFERROR((CHAIN_RAW!L929-CHAIN_RAW!K929)/MAX(1E-9, G929),"")</f>
        <v/>
      </c>
      <c r="J929" s="13">
        <f>IFERROR((CHAIN_RAW!S929-CHAIN_RAW!R929)/MAX(1E-9, H929),"")</f>
        <v/>
      </c>
      <c r="K929" s="13">
        <f>CHAIN_RAW!G929</f>
        <v/>
      </c>
      <c r="L929" s="13">
        <f>CHAIN_RAW!N929</f>
        <v/>
      </c>
      <c r="M929" s="13">
        <f>IFERROR(L929-K929,"")</f>
        <v/>
      </c>
      <c r="N929" s="13">
        <f>CHAIN_RAW!H929</f>
        <v/>
      </c>
      <c r="O929" s="13">
        <f>CHAIN_RAW!O929</f>
        <v/>
      </c>
      <c r="P929" s="13">
        <f>IFERROR(O929/N929,"")</f>
        <v/>
      </c>
      <c r="Q929" s="13">
        <f>CHAIN_RAW!I929</f>
        <v/>
      </c>
      <c r="R929" s="13">
        <f>CHAIN_RAW!P929</f>
        <v/>
      </c>
      <c r="S929" s="13">
        <f>IFERROR(R929/Q929,"")</f>
        <v/>
      </c>
      <c r="T929" s="13">
        <f>IFERROR((ABS(N929-O929)/MAX(1,(N929+O929)))*EXP(-ABS(E929-CONTROL!E5)/MAX(1,CONTROL!B8)),"")</f>
        <v/>
      </c>
      <c r="U929" s="13">
        <f>IFERROR(IF(O929&gt;N929,"SUPPORT (PE OI)","RESIST (CE OI)"),"")</f>
        <v/>
      </c>
      <c r="V929" s="13">
        <f>IFERROR(IF(Q929&gt;0,IF(R929&gt;0,"BOTH_ADD","CE_ADD_PE_REDUCE"),IF(R929&gt;0,"CE_REDUCE_PE_ADD","BOTH_REDUCE")),"")</f>
        <v/>
      </c>
      <c r="W929" s="13">
        <f>IFERROR( (P929-1)*0.5 + (M929)*0.1 - (I929+J929)*0.05 + T929*0.4 ,"")</f>
        <v/>
      </c>
      <c r="X929" s="13">
        <f>IFERROR(IF(ABS(F929)&lt;0.01,"ATM/NEAR",""),"")</f>
        <v/>
      </c>
    </row>
    <row r="930">
      <c r="A930" s="13">
        <f>CHAIN_RAW!A930</f>
        <v/>
      </c>
      <c r="B930" s="14">
        <f>CHAIN_RAW!B930</f>
        <v/>
      </c>
      <c r="C930" s="13">
        <f>CHAIN_RAW!C930</f>
        <v/>
      </c>
      <c r="D930" s="13">
        <f>CHAIN_RAW!D930</f>
        <v/>
      </c>
      <c r="E930" s="13">
        <f>CHAIN_RAW!E930</f>
        <v/>
      </c>
      <c r="F930" s="13">
        <f>IFERROR((E930-D930)/D930,"")</f>
        <v/>
      </c>
      <c r="G930" s="13">
        <f>IFERROR((CHAIN_RAW!K930+CHAIN_RAW!L930)/2,"")</f>
        <v/>
      </c>
      <c r="H930" s="13">
        <f>IFERROR((CHAIN_RAW!R930+CHAIN_RAW!S930)/2,"")</f>
        <v/>
      </c>
      <c r="I930" s="13">
        <f>IFERROR((CHAIN_RAW!L930-CHAIN_RAW!K930)/MAX(1E-9, G930),"")</f>
        <v/>
      </c>
      <c r="J930" s="13">
        <f>IFERROR((CHAIN_RAW!S930-CHAIN_RAW!R930)/MAX(1E-9, H930),"")</f>
        <v/>
      </c>
      <c r="K930" s="13">
        <f>CHAIN_RAW!G930</f>
        <v/>
      </c>
      <c r="L930" s="13">
        <f>CHAIN_RAW!N930</f>
        <v/>
      </c>
      <c r="M930" s="13">
        <f>IFERROR(L930-K930,"")</f>
        <v/>
      </c>
      <c r="N930" s="13">
        <f>CHAIN_RAW!H930</f>
        <v/>
      </c>
      <c r="O930" s="13">
        <f>CHAIN_RAW!O930</f>
        <v/>
      </c>
      <c r="P930" s="13">
        <f>IFERROR(O930/N930,"")</f>
        <v/>
      </c>
      <c r="Q930" s="13">
        <f>CHAIN_RAW!I930</f>
        <v/>
      </c>
      <c r="R930" s="13">
        <f>CHAIN_RAW!P930</f>
        <v/>
      </c>
      <c r="S930" s="13">
        <f>IFERROR(R930/Q930,"")</f>
        <v/>
      </c>
      <c r="T930" s="13">
        <f>IFERROR((ABS(N930-O930)/MAX(1,(N930+O930)))*EXP(-ABS(E930-CONTROL!E5)/MAX(1,CONTROL!B8)),"")</f>
        <v/>
      </c>
      <c r="U930" s="13">
        <f>IFERROR(IF(O930&gt;N930,"SUPPORT (PE OI)","RESIST (CE OI)"),"")</f>
        <v/>
      </c>
      <c r="V930" s="13">
        <f>IFERROR(IF(Q930&gt;0,IF(R930&gt;0,"BOTH_ADD","CE_ADD_PE_REDUCE"),IF(R930&gt;0,"CE_REDUCE_PE_ADD","BOTH_REDUCE")),"")</f>
        <v/>
      </c>
      <c r="W930" s="13">
        <f>IFERROR( (P930-1)*0.5 + (M930)*0.1 - (I930+J930)*0.05 + T930*0.4 ,"")</f>
        <v/>
      </c>
      <c r="X930" s="13">
        <f>IFERROR(IF(ABS(F930)&lt;0.01,"ATM/NEAR",""),"")</f>
        <v/>
      </c>
    </row>
    <row r="931">
      <c r="A931" s="13">
        <f>CHAIN_RAW!A931</f>
        <v/>
      </c>
      <c r="B931" s="14">
        <f>CHAIN_RAW!B931</f>
        <v/>
      </c>
      <c r="C931" s="13">
        <f>CHAIN_RAW!C931</f>
        <v/>
      </c>
      <c r="D931" s="13">
        <f>CHAIN_RAW!D931</f>
        <v/>
      </c>
      <c r="E931" s="13">
        <f>CHAIN_RAW!E931</f>
        <v/>
      </c>
      <c r="F931" s="13">
        <f>IFERROR((E931-D931)/D931,"")</f>
        <v/>
      </c>
      <c r="G931" s="13">
        <f>IFERROR((CHAIN_RAW!K931+CHAIN_RAW!L931)/2,"")</f>
        <v/>
      </c>
      <c r="H931" s="13">
        <f>IFERROR((CHAIN_RAW!R931+CHAIN_RAW!S931)/2,"")</f>
        <v/>
      </c>
      <c r="I931" s="13">
        <f>IFERROR((CHAIN_RAW!L931-CHAIN_RAW!K931)/MAX(1E-9, G931),"")</f>
        <v/>
      </c>
      <c r="J931" s="13">
        <f>IFERROR((CHAIN_RAW!S931-CHAIN_RAW!R931)/MAX(1E-9, H931),"")</f>
        <v/>
      </c>
      <c r="K931" s="13">
        <f>CHAIN_RAW!G931</f>
        <v/>
      </c>
      <c r="L931" s="13">
        <f>CHAIN_RAW!N931</f>
        <v/>
      </c>
      <c r="M931" s="13">
        <f>IFERROR(L931-K931,"")</f>
        <v/>
      </c>
      <c r="N931" s="13">
        <f>CHAIN_RAW!H931</f>
        <v/>
      </c>
      <c r="O931" s="13">
        <f>CHAIN_RAW!O931</f>
        <v/>
      </c>
      <c r="P931" s="13">
        <f>IFERROR(O931/N931,"")</f>
        <v/>
      </c>
      <c r="Q931" s="13">
        <f>CHAIN_RAW!I931</f>
        <v/>
      </c>
      <c r="R931" s="13">
        <f>CHAIN_RAW!P931</f>
        <v/>
      </c>
      <c r="S931" s="13">
        <f>IFERROR(R931/Q931,"")</f>
        <v/>
      </c>
      <c r="T931" s="13">
        <f>IFERROR((ABS(N931-O931)/MAX(1,(N931+O931)))*EXP(-ABS(E931-CONTROL!E5)/MAX(1,CONTROL!B8)),"")</f>
        <v/>
      </c>
      <c r="U931" s="13">
        <f>IFERROR(IF(O931&gt;N931,"SUPPORT (PE OI)","RESIST (CE OI)"),"")</f>
        <v/>
      </c>
      <c r="V931" s="13">
        <f>IFERROR(IF(Q931&gt;0,IF(R931&gt;0,"BOTH_ADD","CE_ADD_PE_REDUCE"),IF(R931&gt;0,"CE_REDUCE_PE_ADD","BOTH_REDUCE")),"")</f>
        <v/>
      </c>
      <c r="W931" s="13">
        <f>IFERROR( (P931-1)*0.5 + (M931)*0.1 - (I931+J931)*0.05 + T931*0.4 ,"")</f>
        <v/>
      </c>
      <c r="X931" s="13">
        <f>IFERROR(IF(ABS(F931)&lt;0.01,"ATM/NEAR",""),"")</f>
        <v/>
      </c>
    </row>
    <row r="932">
      <c r="A932" s="13">
        <f>CHAIN_RAW!A932</f>
        <v/>
      </c>
      <c r="B932" s="14">
        <f>CHAIN_RAW!B932</f>
        <v/>
      </c>
      <c r="C932" s="13">
        <f>CHAIN_RAW!C932</f>
        <v/>
      </c>
      <c r="D932" s="13">
        <f>CHAIN_RAW!D932</f>
        <v/>
      </c>
      <c r="E932" s="13">
        <f>CHAIN_RAW!E932</f>
        <v/>
      </c>
      <c r="F932" s="13">
        <f>IFERROR((E932-D932)/D932,"")</f>
        <v/>
      </c>
      <c r="G932" s="13">
        <f>IFERROR((CHAIN_RAW!K932+CHAIN_RAW!L932)/2,"")</f>
        <v/>
      </c>
      <c r="H932" s="13">
        <f>IFERROR((CHAIN_RAW!R932+CHAIN_RAW!S932)/2,"")</f>
        <v/>
      </c>
      <c r="I932" s="13">
        <f>IFERROR((CHAIN_RAW!L932-CHAIN_RAW!K932)/MAX(1E-9, G932),"")</f>
        <v/>
      </c>
      <c r="J932" s="13">
        <f>IFERROR((CHAIN_RAW!S932-CHAIN_RAW!R932)/MAX(1E-9, H932),"")</f>
        <v/>
      </c>
      <c r="K932" s="13">
        <f>CHAIN_RAW!G932</f>
        <v/>
      </c>
      <c r="L932" s="13">
        <f>CHAIN_RAW!N932</f>
        <v/>
      </c>
      <c r="M932" s="13">
        <f>IFERROR(L932-K932,"")</f>
        <v/>
      </c>
      <c r="N932" s="13">
        <f>CHAIN_RAW!H932</f>
        <v/>
      </c>
      <c r="O932" s="13">
        <f>CHAIN_RAW!O932</f>
        <v/>
      </c>
      <c r="P932" s="13">
        <f>IFERROR(O932/N932,"")</f>
        <v/>
      </c>
      <c r="Q932" s="13">
        <f>CHAIN_RAW!I932</f>
        <v/>
      </c>
      <c r="R932" s="13">
        <f>CHAIN_RAW!P932</f>
        <v/>
      </c>
      <c r="S932" s="13">
        <f>IFERROR(R932/Q932,"")</f>
        <v/>
      </c>
      <c r="T932" s="13">
        <f>IFERROR((ABS(N932-O932)/MAX(1,(N932+O932)))*EXP(-ABS(E932-CONTROL!E5)/MAX(1,CONTROL!B8)),"")</f>
        <v/>
      </c>
      <c r="U932" s="13">
        <f>IFERROR(IF(O932&gt;N932,"SUPPORT (PE OI)","RESIST (CE OI)"),"")</f>
        <v/>
      </c>
      <c r="V932" s="13">
        <f>IFERROR(IF(Q932&gt;0,IF(R932&gt;0,"BOTH_ADD","CE_ADD_PE_REDUCE"),IF(R932&gt;0,"CE_REDUCE_PE_ADD","BOTH_REDUCE")),"")</f>
        <v/>
      </c>
      <c r="W932" s="13">
        <f>IFERROR( (P932-1)*0.5 + (M932)*0.1 - (I932+J932)*0.05 + T932*0.4 ,"")</f>
        <v/>
      </c>
      <c r="X932" s="13">
        <f>IFERROR(IF(ABS(F932)&lt;0.01,"ATM/NEAR",""),"")</f>
        <v/>
      </c>
    </row>
    <row r="933">
      <c r="A933" s="13">
        <f>CHAIN_RAW!A933</f>
        <v/>
      </c>
      <c r="B933" s="14">
        <f>CHAIN_RAW!B933</f>
        <v/>
      </c>
      <c r="C933" s="13">
        <f>CHAIN_RAW!C933</f>
        <v/>
      </c>
      <c r="D933" s="13">
        <f>CHAIN_RAW!D933</f>
        <v/>
      </c>
      <c r="E933" s="13">
        <f>CHAIN_RAW!E933</f>
        <v/>
      </c>
      <c r="F933" s="13">
        <f>IFERROR((E933-D933)/D933,"")</f>
        <v/>
      </c>
      <c r="G933" s="13">
        <f>IFERROR((CHAIN_RAW!K933+CHAIN_RAW!L933)/2,"")</f>
        <v/>
      </c>
      <c r="H933" s="13">
        <f>IFERROR((CHAIN_RAW!R933+CHAIN_RAW!S933)/2,"")</f>
        <v/>
      </c>
      <c r="I933" s="13">
        <f>IFERROR((CHAIN_RAW!L933-CHAIN_RAW!K933)/MAX(1E-9, G933),"")</f>
        <v/>
      </c>
      <c r="J933" s="13">
        <f>IFERROR((CHAIN_RAW!S933-CHAIN_RAW!R933)/MAX(1E-9, H933),"")</f>
        <v/>
      </c>
      <c r="K933" s="13">
        <f>CHAIN_RAW!G933</f>
        <v/>
      </c>
      <c r="L933" s="13">
        <f>CHAIN_RAW!N933</f>
        <v/>
      </c>
      <c r="M933" s="13">
        <f>IFERROR(L933-K933,"")</f>
        <v/>
      </c>
      <c r="N933" s="13">
        <f>CHAIN_RAW!H933</f>
        <v/>
      </c>
      <c r="O933" s="13">
        <f>CHAIN_RAW!O933</f>
        <v/>
      </c>
      <c r="P933" s="13">
        <f>IFERROR(O933/N933,"")</f>
        <v/>
      </c>
      <c r="Q933" s="13">
        <f>CHAIN_RAW!I933</f>
        <v/>
      </c>
      <c r="R933" s="13">
        <f>CHAIN_RAW!P933</f>
        <v/>
      </c>
      <c r="S933" s="13">
        <f>IFERROR(R933/Q933,"")</f>
        <v/>
      </c>
      <c r="T933" s="13">
        <f>IFERROR((ABS(N933-O933)/MAX(1,(N933+O933)))*EXP(-ABS(E933-CONTROL!E5)/MAX(1,CONTROL!B8)),"")</f>
        <v/>
      </c>
      <c r="U933" s="13">
        <f>IFERROR(IF(O933&gt;N933,"SUPPORT (PE OI)","RESIST (CE OI)"),"")</f>
        <v/>
      </c>
      <c r="V933" s="13">
        <f>IFERROR(IF(Q933&gt;0,IF(R933&gt;0,"BOTH_ADD","CE_ADD_PE_REDUCE"),IF(R933&gt;0,"CE_REDUCE_PE_ADD","BOTH_REDUCE")),"")</f>
        <v/>
      </c>
      <c r="W933" s="13">
        <f>IFERROR( (P933-1)*0.5 + (M933)*0.1 - (I933+J933)*0.05 + T933*0.4 ,"")</f>
        <v/>
      </c>
      <c r="X933" s="13">
        <f>IFERROR(IF(ABS(F933)&lt;0.01,"ATM/NEAR",""),"")</f>
        <v/>
      </c>
    </row>
    <row r="934">
      <c r="A934" s="13">
        <f>CHAIN_RAW!A934</f>
        <v/>
      </c>
      <c r="B934" s="14">
        <f>CHAIN_RAW!B934</f>
        <v/>
      </c>
      <c r="C934" s="13">
        <f>CHAIN_RAW!C934</f>
        <v/>
      </c>
      <c r="D934" s="13">
        <f>CHAIN_RAW!D934</f>
        <v/>
      </c>
      <c r="E934" s="13">
        <f>CHAIN_RAW!E934</f>
        <v/>
      </c>
      <c r="F934" s="13">
        <f>IFERROR((E934-D934)/D934,"")</f>
        <v/>
      </c>
      <c r="G934" s="13">
        <f>IFERROR((CHAIN_RAW!K934+CHAIN_RAW!L934)/2,"")</f>
        <v/>
      </c>
      <c r="H934" s="13">
        <f>IFERROR((CHAIN_RAW!R934+CHAIN_RAW!S934)/2,"")</f>
        <v/>
      </c>
      <c r="I934" s="13">
        <f>IFERROR((CHAIN_RAW!L934-CHAIN_RAW!K934)/MAX(1E-9, G934),"")</f>
        <v/>
      </c>
      <c r="J934" s="13">
        <f>IFERROR((CHAIN_RAW!S934-CHAIN_RAW!R934)/MAX(1E-9, H934),"")</f>
        <v/>
      </c>
      <c r="K934" s="13">
        <f>CHAIN_RAW!G934</f>
        <v/>
      </c>
      <c r="L934" s="13">
        <f>CHAIN_RAW!N934</f>
        <v/>
      </c>
      <c r="M934" s="13">
        <f>IFERROR(L934-K934,"")</f>
        <v/>
      </c>
      <c r="N934" s="13">
        <f>CHAIN_RAW!H934</f>
        <v/>
      </c>
      <c r="O934" s="13">
        <f>CHAIN_RAW!O934</f>
        <v/>
      </c>
      <c r="P934" s="13">
        <f>IFERROR(O934/N934,"")</f>
        <v/>
      </c>
      <c r="Q934" s="13">
        <f>CHAIN_RAW!I934</f>
        <v/>
      </c>
      <c r="R934" s="13">
        <f>CHAIN_RAW!P934</f>
        <v/>
      </c>
      <c r="S934" s="13">
        <f>IFERROR(R934/Q934,"")</f>
        <v/>
      </c>
      <c r="T934" s="13">
        <f>IFERROR((ABS(N934-O934)/MAX(1,(N934+O934)))*EXP(-ABS(E934-CONTROL!E5)/MAX(1,CONTROL!B8)),"")</f>
        <v/>
      </c>
      <c r="U934" s="13">
        <f>IFERROR(IF(O934&gt;N934,"SUPPORT (PE OI)","RESIST (CE OI)"),"")</f>
        <v/>
      </c>
      <c r="V934" s="13">
        <f>IFERROR(IF(Q934&gt;0,IF(R934&gt;0,"BOTH_ADD","CE_ADD_PE_REDUCE"),IF(R934&gt;0,"CE_REDUCE_PE_ADD","BOTH_REDUCE")),"")</f>
        <v/>
      </c>
      <c r="W934" s="13">
        <f>IFERROR( (P934-1)*0.5 + (M934)*0.1 - (I934+J934)*0.05 + T934*0.4 ,"")</f>
        <v/>
      </c>
      <c r="X934" s="13">
        <f>IFERROR(IF(ABS(F934)&lt;0.01,"ATM/NEAR",""),"")</f>
        <v/>
      </c>
    </row>
    <row r="935">
      <c r="A935" s="13">
        <f>CHAIN_RAW!A935</f>
        <v/>
      </c>
      <c r="B935" s="14">
        <f>CHAIN_RAW!B935</f>
        <v/>
      </c>
      <c r="C935" s="13">
        <f>CHAIN_RAW!C935</f>
        <v/>
      </c>
      <c r="D935" s="13">
        <f>CHAIN_RAW!D935</f>
        <v/>
      </c>
      <c r="E935" s="13">
        <f>CHAIN_RAW!E935</f>
        <v/>
      </c>
      <c r="F935" s="13">
        <f>IFERROR((E935-D935)/D935,"")</f>
        <v/>
      </c>
      <c r="G935" s="13">
        <f>IFERROR((CHAIN_RAW!K935+CHAIN_RAW!L935)/2,"")</f>
        <v/>
      </c>
      <c r="H935" s="13">
        <f>IFERROR((CHAIN_RAW!R935+CHAIN_RAW!S935)/2,"")</f>
        <v/>
      </c>
      <c r="I935" s="13">
        <f>IFERROR((CHAIN_RAW!L935-CHAIN_RAW!K935)/MAX(1E-9, G935),"")</f>
        <v/>
      </c>
      <c r="J935" s="13">
        <f>IFERROR((CHAIN_RAW!S935-CHAIN_RAW!R935)/MAX(1E-9, H935),"")</f>
        <v/>
      </c>
      <c r="K935" s="13">
        <f>CHAIN_RAW!G935</f>
        <v/>
      </c>
      <c r="L935" s="13">
        <f>CHAIN_RAW!N935</f>
        <v/>
      </c>
      <c r="M935" s="13">
        <f>IFERROR(L935-K935,"")</f>
        <v/>
      </c>
      <c r="N935" s="13">
        <f>CHAIN_RAW!H935</f>
        <v/>
      </c>
      <c r="O935" s="13">
        <f>CHAIN_RAW!O935</f>
        <v/>
      </c>
      <c r="P935" s="13">
        <f>IFERROR(O935/N935,"")</f>
        <v/>
      </c>
      <c r="Q935" s="13">
        <f>CHAIN_RAW!I935</f>
        <v/>
      </c>
      <c r="R935" s="13">
        <f>CHAIN_RAW!P935</f>
        <v/>
      </c>
      <c r="S935" s="13">
        <f>IFERROR(R935/Q935,"")</f>
        <v/>
      </c>
      <c r="T935" s="13">
        <f>IFERROR((ABS(N935-O935)/MAX(1,(N935+O935)))*EXP(-ABS(E935-CONTROL!E5)/MAX(1,CONTROL!B8)),"")</f>
        <v/>
      </c>
      <c r="U935" s="13">
        <f>IFERROR(IF(O935&gt;N935,"SUPPORT (PE OI)","RESIST (CE OI)"),"")</f>
        <v/>
      </c>
      <c r="V935" s="13">
        <f>IFERROR(IF(Q935&gt;0,IF(R935&gt;0,"BOTH_ADD","CE_ADD_PE_REDUCE"),IF(R935&gt;0,"CE_REDUCE_PE_ADD","BOTH_REDUCE")),"")</f>
        <v/>
      </c>
      <c r="W935" s="13">
        <f>IFERROR( (P935-1)*0.5 + (M935)*0.1 - (I935+J935)*0.05 + T935*0.4 ,"")</f>
        <v/>
      </c>
      <c r="X935" s="13">
        <f>IFERROR(IF(ABS(F935)&lt;0.01,"ATM/NEAR",""),"")</f>
        <v/>
      </c>
    </row>
    <row r="936">
      <c r="A936" s="13">
        <f>CHAIN_RAW!A936</f>
        <v/>
      </c>
      <c r="B936" s="14">
        <f>CHAIN_RAW!B936</f>
        <v/>
      </c>
      <c r="C936" s="13">
        <f>CHAIN_RAW!C936</f>
        <v/>
      </c>
      <c r="D936" s="13">
        <f>CHAIN_RAW!D936</f>
        <v/>
      </c>
      <c r="E936" s="13">
        <f>CHAIN_RAW!E936</f>
        <v/>
      </c>
      <c r="F936" s="13">
        <f>IFERROR((E936-D936)/D936,"")</f>
        <v/>
      </c>
      <c r="G936" s="13">
        <f>IFERROR((CHAIN_RAW!K936+CHAIN_RAW!L936)/2,"")</f>
        <v/>
      </c>
      <c r="H936" s="13">
        <f>IFERROR((CHAIN_RAW!R936+CHAIN_RAW!S936)/2,"")</f>
        <v/>
      </c>
      <c r="I936" s="13">
        <f>IFERROR((CHAIN_RAW!L936-CHAIN_RAW!K936)/MAX(1E-9, G936),"")</f>
        <v/>
      </c>
      <c r="J936" s="13">
        <f>IFERROR((CHAIN_RAW!S936-CHAIN_RAW!R936)/MAX(1E-9, H936),"")</f>
        <v/>
      </c>
      <c r="K936" s="13">
        <f>CHAIN_RAW!G936</f>
        <v/>
      </c>
      <c r="L936" s="13">
        <f>CHAIN_RAW!N936</f>
        <v/>
      </c>
      <c r="M936" s="13">
        <f>IFERROR(L936-K936,"")</f>
        <v/>
      </c>
      <c r="N936" s="13">
        <f>CHAIN_RAW!H936</f>
        <v/>
      </c>
      <c r="O936" s="13">
        <f>CHAIN_RAW!O936</f>
        <v/>
      </c>
      <c r="P936" s="13">
        <f>IFERROR(O936/N936,"")</f>
        <v/>
      </c>
      <c r="Q936" s="13">
        <f>CHAIN_RAW!I936</f>
        <v/>
      </c>
      <c r="R936" s="13">
        <f>CHAIN_RAW!P936</f>
        <v/>
      </c>
      <c r="S936" s="13">
        <f>IFERROR(R936/Q936,"")</f>
        <v/>
      </c>
      <c r="T936" s="13">
        <f>IFERROR((ABS(N936-O936)/MAX(1,(N936+O936)))*EXP(-ABS(E936-CONTROL!E5)/MAX(1,CONTROL!B8)),"")</f>
        <v/>
      </c>
      <c r="U936" s="13">
        <f>IFERROR(IF(O936&gt;N936,"SUPPORT (PE OI)","RESIST (CE OI)"),"")</f>
        <v/>
      </c>
      <c r="V936" s="13">
        <f>IFERROR(IF(Q936&gt;0,IF(R936&gt;0,"BOTH_ADD","CE_ADD_PE_REDUCE"),IF(R936&gt;0,"CE_REDUCE_PE_ADD","BOTH_REDUCE")),"")</f>
        <v/>
      </c>
      <c r="W936" s="13">
        <f>IFERROR( (P936-1)*0.5 + (M936)*0.1 - (I936+J936)*0.05 + T936*0.4 ,"")</f>
        <v/>
      </c>
      <c r="X936" s="13">
        <f>IFERROR(IF(ABS(F936)&lt;0.01,"ATM/NEAR",""),"")</f>
        <v/>
      </c>
    </row>
    <row r="937">
      <c r="A937" s="13">
        <f>CHAIN_RAW!A937</f>
        <v/>
      </c>
      <c r="B937" s="14">
        <f>CHAIN_RAW!B937</f>
        <v/>
      </c>
      <c r="C937" s="13">
        <f>CHAIN_RAW!C937</f>
        <v/>
      </c>
      <c r="D937" s="13">
        <f>CHAIN_RAW!D937</f>
        <v/>
      </c>
      <c r="E937" s="13">
        <f>CHAIN_RAW!E937</f>
        <v/>
      </c>
      <c r="F937" s="13">
        <f>IFERROR((E937-D937)/D937,"")</f>
        <v/>
      </c>
      <c r="G937" s="13">
        <f>IFERROR((CHAIN_RAW!K937+CHAIN_RAW!L937)/2,"")</f>
        <v/>
      </c>
      <c r="H937" s="13">
        <f>IFERROR((CHAIN_RAW!R937+CHAIN_RAW!S937)/2,"")</f>
        <v/>
      </c>
      <c r="I937" s="13">
        <f>IFERROR((CHAIN_RAW!L937-CHAIN_RAW!K937)/MAX(1E-9, G937),"")</f>
        <v/>
      </c>
      <c r="J937" s="13">
        <f>IFERROR((CHAIN_RAW!S937-CHAIN_RAW!R937)/MAX(1E-9, H937),"")</f>
        <v/>
      </c>
      <c r="K937" s="13">
        <f>CHAIN_RAW!G937</f>
        <v/>
      </c>
      <c r="L937" s="13">
        <f>CHAIN_RAW!N937</f>
        <v/>
      </c>
      <c r="M937" s="13">
        <f>IFERROR(L937-K937,"")</f>
        <v/>
      </c>
      <c r="N937" s="13">
        <f>CHAIN_RAW!H937</f>
        <v/>
      </c>
      <c r="O937" s="13">
        <f>CHAIN_RAW!O937</f>
        <v/>
      </c>
      <c r="P937" s="13">
        <f>IFERROR(O937/N937,"")</f>
        <v/>
      </c>
      <c r="Q937" s="13">
        <f>CHAIN_RAW!I937</f>
        <v/>
      </c>
      <c r="R937" s="13">
        <f>CHAIN_RAW!P937</f>
        <v/>
      </c>
      <c r="S937" s="13">
        <f>IFERROR(R937/Q937,"")</f>
        <v/>
      </c>
      <c r="T937" s="13">
        <f>IFERROR((ABS(N937-O937)/MAX(1,(N937+O937)))*EXP(-ABS(E937-CONTROL!E5)/MAX(1,CONTROL!B8)),"")</f>
        <v/>
      </c>
      <c r="U937" s="13">
        <f>IFERROR(IF(O937&gt;N937,"SUPPORT (PE OI)","RESIST (CE OI)"),"")</f>
        <v/>
      </c>
      <c r="V937" s="13">
        <f>IFERROR(IF(Q937&gt;0,IF(R937&gt;0,"BOTH_ADD","CE_ADD_PE_REDUCE"),IF(R937&gt;0,"CE_REDUCE_PE_ADD","BOTH_REDUCE")),"")</f>
        <v/>
      </c>
      <c r="W937" s="13">
        <f>IFERROR( (P937-1)*0.5 + (M937)*0.1 - (I937+J937)*0.05 + T937*0.4 ,"")</f>
        <v/>
      </c>
      <c r="X937" s="13">
        <f>IFERROR(IF(ABS(F937)&lt;0.01,"ATM/NEAR",""),"")</f>
        <v/>
      </c>
    </row>
    <row r="938">
      <c r="A938" s="13">
        <f>CHAIN_RAW!A938</f>
        <v/>
      </c>
      <c r="B938" s="14">
        <f>CHAIN_RAW!B938</f>
        <v/>
      </c>
      <c r="C938" s="13">
        <f>CHAIN_RAW!C938</f>
        <v/>
      </c>
      <c r="D938" s="13">
        <f>CHAIN_RAW!D938</f>
        <v/>
      </c>
      <c r="E938" s="13">
        <f>CHAIN_RAW!E938</f>
        <v/>
      </c>
      <c r="F938" s="13">
        <f>IFERROR((E938-D938)/D938,"")</f>
        <v/>
      </c>
      <c r="G938" s="13">
        <f>IFERROR((CHAIN_RAW!K938+CHAIN_RAW!L938)/2,"")</f>
        <v/>
      </c>
      <c r="H938" s="13">
        <f>IFERROR((CHAIN_RAW!R938+CHAIN_RAW!S938)/2,"")</f>
        <v/>
      </c>
      <c r="I938" s="13">
        <f>IFERROR((CHAIN_RAW!L938-CHAIN_RAW!K938)/MAX(1E-9, G938),"")</f>
        <v/>
      </c>
      <c r="J938" s="13">
        <f>IFERROR((CHAIN_RAW!S938-CHAIN_RAW!R938)/MAX(1E-9, H938),"")</f>
        <v/>
      </c>
      <c r="K938" s="13">
        <f>CHAIN_RAW!G938</f>
        <v/>
      </c>
      <c r="L938" s="13">
        <f>CHAIN_RAW!N938</f>
        <v/>
      </c>
      <c r="M938" s="13">
        <f>IFERROR(L938-K938,"")</f>
        <v/>
      </c>
      <c r="N938" s="13">
        <f>CHAIN_RAW!H938</f>
        <v/>
      </c>
      <c r="O938" s="13">
        <f>CHAIN_RAW!O938</f>
        <v/>
      </c>
      <c r="P938" s="13">
        <f>IFERROR(O938/N938,"")</f>
        <v/>
      </c>
      <c r="Q938" s="13">
        <f>CHAIN_RAW!I938</f>
        <v/>
      </c>
      <c r="R938" s="13">
        <f>CHAIN_RAW!P938</f>
        <v/>
      </c>
      <c r="S938" s="13">
        <f>IFERROR(R938/Q938,"")</f>
        <v/>
      </c>
      <c r="T938" s="13">
        <f>IFERROR((ABS(N938-O938)/MAX(1,(N938+O938)))*EXP(-ABS(E938-CONTROL!E5)/MAX(1,CONTROL!B8)),"")</f>
        <v/>
      </c>
      <c r="U938" s="13">
        <f>IFERROR(IF(O938&gt;N938,"SUPPORT (PE OI)","RESIST (CE OI)"),"")</f>
        <v/>
      </c>
      <c r="V938" s="13">
        <f>IFERROR(IF(Q938&gt;0,IF(R938&gt;0,"BOTH_ADD","CE_ADD_PE_REDUCE"),IF(R938&gt;0,"CE_REDUCE_PE_ADD","BOTH_REDUCE")),"")</f>
        <v/>
      </c>
      <c r="W938" s="13">
        <f>IFERROR( (P938-1)*0.5 + (M938)*0.1 - (I938+J938)*0.05 + T938*0.4 ,"")</f>
        <v/>
      </c>
      <c r="X938" s="13">
        <f>IFERROR(IF(ABS(F938)&lt;0.01,"ATM/NEAR",""),"")</f>
        <v/>
      </c>
    </row>
    <row r="939">
      <c r="A939" s="13">
        <f>CHAIN_RAW!A939</f>
        <v/>
      </c>
      <c r="B939" s="14">
        <f>CHAIN_RAW!B939</f>
        <v/>
      </c>
      <c r="C939" s="13">
        <f>CHAIN_RAW!C939</f>
        <v/>
      </c>
      <c r="D939" s="13">
        <f>CHAIN_RAW!D939</f>
        <v/>
      </c>
      <c r="E939" s="13">
        <f>CHAIN_RAW!E939</f>
        <v/>
      </c>
      <c r="F939" s="13">
        <f>IFERROR((E939-D939)/D939,"")</f>
        <v/>
      </c>
      <c r="G939" s="13">
        <f>IFERROR((CHAIN_RAW!K939+CHAIN_RAW!L939)/2,"")</f>
        <v/>
      </c>
      <c r="H939" s="13">
        <f>IFERROR((CHAIN_RAW!R939+CHAIN_RAW!S939)/2,"")</f>
        <v/>
      </c>
      <c r="I939" s="13">
        <f>IFERROR((CHAIN_RAW!L939-CHAIN_RAW!K939)/MAX(1E-9, G939),"")</f>
        <v/>
      </c>
      <c r="J939" s="13">
        <f>IFERROR((CHAIN_RAW!S939-CHAIN_RAW!R939)/MAX(1E-9, H939),"")</f>
        <v/>
      </c>
      <c r="K939" s="13">
        <f>CHAIN_RAW!G939</f>
        <v/>
      </c>
      <c r="L939" s="13">
        <f>CHAIN_RAW!N939</f>
        <v/>
      </c>
      <c r="M939" s="13">
        <f>IFERROR(L939-K939,"")</f>
        <v/>
      </c>
      <c r="N939" s="13">
        <f>CHAIN_RAW!H939</f>
        <v/>
      </c>
      <c r="O939" s="13">
        <f>CHAIN_RAW!O939</f>
        <v/>
      </c>
      <c r="P939" s="13">
        <f>IFERROR(O939/N939,"")</f>
        <v/>
      </c>
      <c r="Q939" s="13">
        <f>CHAIN_RAW!I939</f>
        <v/>
      </c>
      <c r="R939" s="13">
        <f>CHAIN_RAW!P939</f>
        <v/>
      </c>
      <c r="S939" s="13">
        <f>IFERROR(R939/Q939,"")</f>
        <v/>
      </c>
      <c r="T939" s="13">
        <f>IFERROR((ABS(N939-O939)/MAX(1,(N939+O939)))*EXP(-ABS(E939-CONTROL!E5)/MAX(1,CONTROL!B8)),"")</f>
        <v/>
      </c>
      <c r="U939" s="13">
        <f>IFERROR(IF(O939&gt;N939,"SUPPORT (PE OI)","RESIST (CE OI)"),"")</f>
        <v/>
      </c>
      <c r="V939" s="13">
        <f>IFERROR(IF(Q939&gt;0,IF(R939&gt;0,"BOTH_ADD","CE_ADD_PE_REDUCE"),IF(R939&gt;0,"CE_REDUCE_PE_ADD","BOTH_REDUCE")),"")</f>
        <v/>
      </c>
      <c r="W939" s="13">
        <f>IFERROR( (P939-1)*0.5 + (M939)*0.1 - (I939+J939)*0.05 + T939*0.4 ,"")</f>
        <v/>
      </c>
      <c r="X939" s="13">
        <f>IFERROR(IF(ABS(F939)&lt;0.01,"ATM/NEAR",""),"")</f>
        <v/>
      </c>
    </row>
    <row r="940">
      <c r="A940" s="13">
        <f>CHAIN_RAW!A940</f>
        <v/>
      </c>
      <c r="B940" s="14">
        <f>CHAIN_RAW!B940</f>
        <v/>
      </c>
      <c r="C940" s="13">
        <f>CHAIN_RAW!C940</f>
        <v/>
      </c>
      <c r="D940" s="13">
        <f>CHAIN_RAW!D940</f>
        <v/>
      </c>
      <c r="E940" s="13">
        <f>CHAIN_RAW!E940</f>
        <v/>
      </c>
      <c r="F940" s="13">
        <f>IFERROR((E940-D940)/D940,"")</f>
        <v/>
      </c>
      <c r="G940" s="13">
        <f>IFERROR((CHAIN_RAW!K940+CHAIN_RAW!L940)/2,"")</f>
        <v/>
      </c>
      <c r="H940" s="13">
        <f>IFERROR((CHAIN_RAW!R940+CHAIN_RAW!S940)/2,"")</f>
        <v/>
      </c>
      <c r="I940" s="13">
        <f>IFERROR((CHAIN_RAW!L940-CHAIN_RAW!K940)/MAX(1E-9, G940),"")</f>
        <v/>
      </c>
      <c r="J940" s="13">
        <f>IFERROR((CHAIN_RAW!S940-CHAIN_RAW!R940)/MAX(1E-9, H940),"")</f>
        <v/>
      </c>
      <c r="K940" s="13">
        <f>CHAIN_RAW!G940</f>
        <v/>
      </c>
      <c r="L940" s="13">
        <f>CHAIN_RAW!N940</f>
        <v/>
      </c>
      <c r="M940" s="13">
        <f>IFERROR(L940-K940,"")</f>
        <v/>
      </c>
      <c r="N940" s="13">
        <f>CHAIN_RAW!H940</f>
        <v/>
      </c>
      <c r="O940" s="13">
        <f>CHAIN_RAW!O940</f>
        <v/>
      </c>
      <c r="P940" s="13">
        <f>IFERROR(O940/N940,"")</f>
        <v/>
      </c>
      <c r="Q940" s="13">
        <f>CHAIN_RAW!I940</f>
        <v/>
      </c>
      <c r="R940" s="13">
        <f>CHAIN_RAW!P940</f>
        <v/>
      </c>
      <c r="S940" s="13">
        <f>IFERROR(R940/Q940,"")</f>
        <v/>
      </c>
      <c r="T940" s="13">
        <f>IFERROR((ABS(N940-O940)/MAX(1,(N940+O940)))*EXP(-ABS(E940-CONTROL!E5)/MAX(1,CONTROL!B8)),"")</f>
        <v/>
      </c>
      <c r="U940" s="13">
        <f>IFERROR(IF(O940&gt;N940,"SUPPORT (PE OI)","RESIST (CE OI)"),"")</f>
        <v/>
      </c>
      <c r="V940" s="13">
        <f>IFERROR(IF(Q940&gt;0,IF(R940&gt;0,"BOTH_ADD","CE_ADD_PE_REDUCE"),IF(R940&gt;0,"CE_REDUCE_PE_ADD","BOTH_REDUCE")),"")</f>
        <v/>
      </c>
      <c r="W940" s="13">
        <f>IFERROR( (P940-1)*0.5 + (M940)*0.1 - (I940+J940)*0.05 + T940*0.4 ,"")</f>
        <v/>
      </c>
      <c r="X940" s="13">
        <f>IFERROR(IF(ABS(F940)&lt;0.01,"ATM/NEAR",""),"")</f>
        <v/>
      </c>
    </row>
    <row r="941">
      <c r="A941" s="13">
        <f>CHAIN_RAW!A941</f>
        <v/>
      </c>
      <c r="B941" s="14">
        <f>CHAIN_RAW!B941</f>
        <v/>
      </c>
      <c r="C941" s="13">
        <f>CHAIN_RAW!C941</f>
        <v/>
      </c>
      <c r="D941" s="13">
        <f>CHAIN_RAW!D941</f>
        <v/>
      </c>
      <c r="E941" s="13">
        <f>CHAIN_RAW!E941</f>
        <v/>
      </c>
      <c r="F941" s="13">
        <f>IFERROR((E941-D941)/D941,"")</f>
        <v/>
      </c>
      <c r="G941" s="13">
        <f>IFERROR((CHAIN_RAW!K941+CHAIN_RAW!L941)/2,"")</f>
        <v/>
      </c>
      <c r="H941" s="13">
        <f>IFERROR((CHAIN_RAW!R941+CHAIN_RAW!S941)/2,"")</f>
        <v/>
      </c>
      <c r="I941" s="13">
        <f>IFERROR((CHAIN_RAW!L941-CHAIN_RAW!K941)/MAX(1E-9, G941),"")</f>
        <v/>
      </c>
      <c r="J941" s="13">
        <f>IFERROR((CHAIN_RAW!S941-CHAIN_RAW!R941)/MAX(1E-9, H941),"")</f>
        <v/>
      </c>
      <c r="K941" s="13">
        <f>CHAIN_RAW!G941</f>
        <v/>
      </c>
      <c r="L941" s="13">
        <f>CHAIN_RAW!N941</f>
        <v/>
      </c>
      <c r="M941" s="13">
        <f>IFERROR(L941-K941,"")</f>
        <v/>
      </c>
      <c r="N941" s="13">
        <f>CHAIN_RAW!H941</f>
        <v/>
      </c>
      <c r="O941" s="13">
        <f>CHAIN_RAW!O941</f>
        <v/>
      </c>
      <c r="P941" s="13">
        <f>IFERROR(O941/N941,"")</f>
        <v/>
      </c>
      <c r="Q941" s="13">
        <f>CHAIN_RAW!I941</f>
        <v/>
      </c>
      <c r="R941" s="13">
        <f>CHAIN_RAW!P941</f>
        <v/>
      </c>
      <c r="S941" s="13">
        <f>IFERROR(R941/Q941,"")</f>
        <v/>
      </c>
      <c r="T941" s="13">
        <f>IFERROR((ABS(N941-O941)/MAX(1,(N941+O941)))*EXP(-ABS(E941-CONTROL!E5)/MAX(1,CONTROL!B8)),"")</f>
        <v/>
      </c>
      <c r="U941" s="13">
        <f>IFERROR(IF(O941&gt;N941,"SUPPORT (PE OI)","RESIST (CE OI)"),"")</f>
        <v/>
      </c>
      <c r="V941" s="13">
        <f>IFERROR(IF(Q941&gt;0,IF(R941&gt;0,"BOTH_ADD","CE_ADD_PE_REDUCE"),IF(R941&gt;0,"CE_REDUCE_PE_ADD","BOTH_REDUCE")),"")</f>
        <v/>
      </c>
      <c r="W941" s="13">
        <f>IFERROR( (P941-1)*0.5 + (M941)*0.1 - (I941+J941)*0.05 + T941*0.4 ,"")</f>
        <v/>
      </c>
      <c r="X941" s="13">
        <f>IFERROR(IF(ABS(F941)&lt;0.01,"ATM/NEAR",""),"")</f>
        <v/>
      </c>
    </row>
    <row r="942">
      <c r="A942" s="13">
        <f>CHAIN_RAW!A942</f>
        <v/>
      </c>
      <c r="B942" s="14">
        <f>CHAIN_RAW!B942</f>
        <v/>
      </c>
      <c r="C942" s="13">
        <f>CHAIN_RAW!C942</f>
        <v/>
      </c>
      <c r="D942" s="13">
        <f>CHAIN_RAW!D942</f>
        <v/>
      </c>
      <c r="E942" s="13">
        <f>CHAIN_RAW!E942</f>
        <v/>
      </c>
      <c r="F942" s="13">
        <f>IFERROR((E942-D942)/D942,"")</f>
        <v/>
      </c>
      <c r="G942" s="13">
        <f>IFERROR((CHAIN_RAW!K942+CHAIN_RAW!L942)/2,"")</f>
        <v/>
      </c>
      <c r="H942" s="13">
        <f>IFERROR((CHAIN_RAW!R942+CHAIN_RAW!S942)/2,"")</f>
        <v/>
      </c>
      <c r="I942" s="13">
        <f>IFERROR((CHAIN_RAW!L942-CHAIN_RAW!K942)/MAX(1E-9, G942),"")</f>
        <v/>
      </c>
      <c r="J942" s="13">
        <f>IFERROR((CHAIN_RAW!S942-CHAIN_RAW!R942)/MAX(1E-9, H942),"")</f>
        <v/>
      </c>
      <c r="K942" s="13">
        <f>CHAIN_RAW!G942</f>
        <v/>
      </c>
      <c r="L942" s="13">
        <f>CHAIN_RAW!N942</f>
        <v/>
      </c>
      <c r="M942" s="13">
        <f>IFERROR(L942-K942,"")</f>
        <v/>
      </c>
      <c r="N942" s="13">
        <f>CHAIN_RAW!H942</f>
        <v/>
      </c>
      <c r="O942" s="13">
        <f>CHAIN_RAW!O942</f>
        <v/>
      </c>
      <c r="P942" s="13">
        <f>IFERROR(O942/N942,"")</f>
        <v/>
      </c>
      <c r="Q942" s="13">
        <f>CHAIN_RAW!I942</f>
        <v/>
      </c>
      <c r="R942" s="13">
        <f>CHAIN_RAW!P942</f>
        <v/>
      </c>
      <c r="S942" s="13">
        <f>IFERROR(R942/Q942,"")</f>
        <v/>
      </c>
      <c r="T942" s="13">
        <f>IFERROR((ABS(N942-O942)/MAX(1,(N942+O942)))*EXP(-ABS(E942-CONTROL!E5)/MAX(1,CONTROL!B8)),"")</f>
        <v/>
      </c>
      <c r="U942" s="13">
        <f>IFERROR(IF(O942&gt;N942,"SUPPORT (PE OI)","RESIST (CE OI)"),"")</f>
        <v/>
      </c>
      <c r="V942" s="13">
        <f>IFERROR(IF(Q942&gt;0,IF(R942&gt;0,"BOTH_ADD","CE_ADD_PE_REDUCE"),IF(R942&gt;0,"CE_REDUCE_PE_ADD","BOTH_REDUCE")),"")</f>
        <v/>
      </c>
      <c r="W942" s="13">
        <f>IFERROR( (P942-1)*0.5 + (M942)*0.1 - (I942+J942)*0.05 + T942*0.4 ,"")</f>
        <v/>
      </c>
      <c r="X942" s="13">
        <f>IFERROR(IF(ABS(F942)&lt;0.01,"ATM/NEAR",""),"")</f>
        <v/>
      </c>
    </row>
    <row r="943">
      <c r="A943" s="13">
        <f>CHAIN_RAW!A943</f>
        <v/>
      </c>
      <c r="B943" s="14">
        <f>CHAIN_RAW!B943</f>
        <v/>
      </c>
      <c r="C943" s="13">
        <f>CHAIN_RAW!C943</f>
        <v/>
      </c>
      <c r="D943" s="13">
        <f>CHAIN_RAW!D943</f>
        <v/>
      </c>
      <c r="E943" s="13">
        <f>CHAIN_RAW!E943</f>
        <v/>
      </c>
      <c r="F943" s="13">
        <f>IFERROR((E943-D943)/D943,"")</f>
        <v/>
      </c>
      <c r="G943" s="13">
        <f>IFERROR((CHAIN_RAW!K943+CHAIN_RAW!L943)/2,"")</f>
        <v/>
      </c>
      <c r="H943" s="13">
        <f>IFERROR((CHAIN_RAW!R943+CHAIN_RAW!S943)/2,"")</f>
        <v/>
      </c>
      <c r="I943" s="13">
        <f>IFERROR((CHAIN_RAW!L943-CHAIN_RAW!K943)/MAX(1E-9, G943),"")</f>
        <v/>
      </c>
      <c r="J943" s="13">
        <f>IFERROR((CHAIN_RAW!S943-CHAIN_RAW!R943)/MAX(1E-9, H943),"")</f>
        <v/>
      </c>
      <c r="K943" s="13">
        <f>CHAIN_RAW!G943</f>
        <v/>
      </c>
      <c r="L943" s="13">
        <f>CHAIN_RAW!N943</f>
        <v/>
      </c>
      <c r="M943" s="13">
        <f>IFERROR(L943-K943,"")</f>
        <v/>
      </c>
      <c r="N943" s="13">
        <f>CHAIN_RAW!H943</f>
        <v/>
      </c>
      <c r="O943" s="13">
        <f>CHAIN_RAW!O943</f>
        <v/>
      </c>
      <c r="P943" s="13">
        <f>IFERROR(O943/N943,"")</f>
        <v/>
      </c>
      <c r="Q943" s="13">
        <f>CHAIN_RAW!I943</f>
        <v/>
      </c>
      <c r="R943" s="13">
        <f>CHAIN_RAW!P943</f>
        <v/>
      </c>
      <c r="S943" s="13">
        <f>IFERROR(R943/Q943,"")</f>
        <v/>
      </c>
      <c r="T943" s="13">
        <f>IFERROR((ABS(N943-O943)/MAX(1,(N943+O943)))*EXP(-ABS(E943-CONTROL!E5)/MAX(1,CONTROL!B8)),"")</f>
        <v/>
      </c>
      <c r="U943" s="13">
        <f>IFERROR(IF(O943&gt;N943,"SUPPORT (PE OI)","RESIST (CE OI)"),"")</f>
        <v/>
      </c>
      <c r="V943" s="13">
        <f>IFERROR(IF(Q943&gt;0,IF(R943&gt;0,"BOTH_ADD","CE_ADD_PE_REDUCE"),IF(R943&gt;0,"CE_REDUCE_PE_ADD","BOTH_REDUCE")),"")</f>
        <v/>
      </c>
      <c r="W943" s="13">
        <f>IFERROR( (P943-1)*0.5 + (M943)*0.1 - (I943+J943)*0.05 + T943*0.4 ,"")</f>
        <v/>
      </c>
      <c r="X943" s="13">
        <f>IFERROR(IF(ABS(F943)&lt;0.01,"ATM/NEAR",""),"")</f>
        <v/>
      </c>
    </row>
    <row r="944">
      <c r="A944" s="13">
        <f>CHAIN_RAW!A944</f>
        <v/>
      </c>
      <c r="B944" s="14">
        <f>CHAIN_RAW!B944</f>
        <v/>
      </c>
      <c r="C944" s="13">
        <f>CHAIN_RAW!C944</f>
        <v/>
      </c>
      <c r="D944" s="13">
        <f>CHAIN_RAW!D944</f>
        <v/>
      </c>
      <c r="E944" s="13">
        <f>CHAIN_RAW!E944</f>
        <v/>
      </c>
      <c r="F944" s="13">
        <f>IFERROR((E944-D944)/D944,"")</f>
        <v/>
      </c>
      <c r="G944" s="13">
        <f>IFERROR((CHAIN_RAW!K944+CHAIN_RAW!L944)/2,"")</f>
        <v/>
      </c>
      <c r="H944" s="13">
        <f>IFERROR((CHAIN_RAW!R944+CHAIN_RAW!S944)/2,"")</f>
        <v/>
      </c>
      <c r="I944" s="13">
        <f>IFERROR((CHAIN_RAW!L944-CHAIN_RAW!K944)/MAX(1E-9, G944),"")</f>
        <v/>
      </c>
      <c r="J944" s="13">
        <f>IFERROR((CHAIN_RAW!S944-CHAIN_RAW!R944)/MAX(1E-9, H944),"")</f>
        <v/>
      </c>
      <c r="K944" s="13">
        <f>CHAIN_RAW!G944</f>
        <v/>
      </c>
      <c r="L944" s="13">
        <f>CHAIN_RAW!N944</f>
        <v/>
      </c>
      <c r="M944" s="13">
        <f>IFERROR(L944-K944,"")</f>
        <v/>
      </c>
      <c r="N944" s="13">
        <f>CHAIN_RAW!H944</f>
        <v/>
      </c>
      <c r="O944" s="13">
        <f>CHAIN_RAW!O944</f>
        <v/>
      </c>
      <c r="P944" s="13">
        <f>IFERROR(O944/N944,"")</f>
        <v/>
      </c>
      <c r="Q944" s="13">
        <f>CHAIN_RAW!I944</f>
        <v/>
      </c>
      <c r="R944" s="13">
        <f>CHAIN_RAW!P944</f>
        <v/>
      </c>
      <c r="S944" s="13">
        <f>IFERROR(R944/Q944,"")</f>
        <v/>
      </c>
      <c r="T944" s="13">
        <f>IFERROR((ABS(N944-O944)/MAX(1,(N944+O944)))*EXP(-ABS(E944-CONTROL!E5)/MAX(1,CONTROL!B8)),"")</f>
        <v/>
      </c>
      <c r="U944" s="13">
        <f>IFERROR(IF(O944&gt;N944,"SUPPORT (PE OI)","RESIST (CE OI)"),"")</f>
        <v/>
      </c>
      <c r="V944" s="13">
        <f>IFERROR(IF(Q944&gt;0,IF(R944&gt;0,"BOTH_ADD","CE_ADD_PE_REDUCE"),IF(R944&gt;0,"CE_REDUCE_PE_ADD","BOTH_REDUCE")),"")</f>
        <v/>
      </c>
      <c r="W944" s="13">
        <f>IFERROR( (P944-1)*0.5 + (M944)*0.1 - (I944+J944)*0.05 + T944*0.4 ,"")</f>
        <v/>
      </c>
      <c r="X944" s="13">
        <f>IFERROR(IF(ABS(F944)&lt;0.01,"ATM/NEAR",""),"")</f>
        <v/>
      </c>
    </row>
    <row r="945">
      <c r="A945" s="13">
        <f>CHAIN_RAW!A945</f>
        <v/>
      </c>
      <c r="B945" s="14">
        <f>CHAIN_RAW!B945</f>
        <v/>
      </c>
      <c r="C945" s="13">
        <f>CHAIN_RAW!C945</f>
        <v/>
      </c>
      <c r="D945" s="13">
        <f>CHAIN_RAW!D945</f>
        <v/>
      </c>
      <c r="E945" s="13">
        <f>CHAIN_RAW!E945</f>
        <v/>
      </c>
      <c r="F945" s="13">
        <f>IFERROR((E945-D945)/D945,"")</f>
        <v/>
      </c>
      <c r="G945" s="13">
        <f>IFERROR((CHAIN_RAW!K945+CHAIN_RAW!L945)/2,"")</f>
        <v/>
      </c>
      <c r="H945" s="13">
        <f>IFERROR((CHAIN_RAW!R945+CHAIN_RAW!S945)/2,"")</f>
        <v/>
      </c>
      <c r="I945" s="13">
        <f>IFERROR((CHAIN_RAW!L945-CHAIN_RAW!K945)/MAX(1E-9, G945),"")</f>
        <v/>
      </c>
      <c r="J945" s="13">
        <f>IFERROR((CHAIN_RAW!S945-CHAIN_RAW!R945)/MAX(1E-9, H945),"")</f>
        <v/>
      </c>
      <c r="K945" s="13">
        <f>CHAIN_RAW!G945</f>
        <v/>
      </c>
      <c r="L945" s="13">
        <f>CHAIN_RAW!N945</f>
        <v/>
      </c>
      <c r="M945" s="13">
        <f>IFERROR(L945-K945,"")</f>
        <v/>
      </c>
      <c r="N945" s="13">
        <f>CHAIN_RAW!H945</f>
        <v/>
      </c>
      <c r="O945" s="13">
        <f>CHAIN_RAW!O945</f>
        <v/>
      </c>
      <c r="P945" s="13">
        <f>IFERROR(O945/N945,"")</f>
        <v/>
      </c>
      <c r="Q945" s="13">
        <f>CHAIN_RAW!I945</f>
        <v/>
      </c>
      <c r="R945" s="13">
        <f>CHAIN_RAW!P945</f>
        <v/>
      </c>
      <c r="S945" s="13">
        <f>IFERROR(R945/Q945,"")</f>
        <v/>
      </c>
      <c r="T945" s="13">
        <f>IFERROR((ABS(N945-O945)/MAX(1,(N945+O945)))*EXP(-ABS(E945-CONTROL!E5)/MAX(1,CONTROL!B8)),"")</f>
        <v/>
      </c>
      <c r="U945" s="13">
        <f>IFERROR(IF(O945&gt;N945,"SUPPORT (PE OI)","RESIST (CE OI)"),"")</f>
        <v/>
      </c>
      <c r="V945" s="13">
        <f>IFERROR(IF(Q945&gt;0,IF(R945&gt;0,"BOTH_ADD","CE_ADD_PE_REDUCE"),IF(R945&gt;0,"CE_REDUCE_PE_ADD","BOTH_REDUCE")),"")</f>
        <v/>
      </c>
      <c r="W945" s="13">
        <f>IFERROR( (P945-1)*0.5 + (M945)*0.1 - (I945+J945)*0.05 + T945*0.4 ,"")</f>
        <v/>
      </c>
      <c r="X945" s="13">
        <f>IFERROR(IF(ABS(F945)&lt;0.01,"ATM/NEAR",""),"")</f>
        <v/>
      </c>
    </row>
    <row r="946">
      <c r="A946" s="13">
        <f>CHAIN_RAW!A946</f>
        <v/>
      </c>
      <c r="B946" s="14">
        <f>CHAIN_RAW!B946</f>
        <v/>
      </c>
      <c r="C946" s="13">
        <f>CHAIN_RAW!C946</f>
        <v/>
      </c>
      <c r="D946" s="13">
        <f>CHAIN_RAW!D946</f>
        <v/>
      </c>
      <c r="E946" s="13">
        <f>CHAIN_RAW!E946</f>
        <v/>
      </c>
      <c r="F946" s="13">
        <f>IFERROR((E946-D946)/D946,"")</f>
        <v/>
      </c>
      <c r="G946" s="13">
        <f>IFERROR((CHAIN_RAW!K946+CHAIN_RAW!L946)/2,"")</f>
        <v/>
      </c>
      <c r="H946" s="13">
        <f>IFERROR((CHAIN_RAW!R946+CHAIN_RAW!S946)/2,"")</f>
        <v/>
      </c>
      <c r="I946" s="13">
        <f>IFERROR((CHAIN_RAW!L946-CHAIN_RAW!K946)/MAX(1E-9, G946),"")</f>
        <v/>
      </c>
      <c r="J946" s="13">
        <f>IFERROR((CHAIN_RAW!S946-CHAIN_RAW!R946)/MAX(1E-9, H946),"")</f>
        <v/>
      </c>
      <c r="K946" s="13">
        <f>CHAIN_RAW!G946</f>
        <v/>
      </c>
      <c r="L946" s="13">
        <f>CHAIN_RAW!N946</f>
        <v/>
      </c>
      <c r="M946" s="13">
        <f>IFERROR(L946-K946,"")</f>
        <v/>
      </c>
      <c r="N946" s="13">
        <f>CHAIN_RAW!H946</f>
        <v/>
      </c>
      <c r="O946" s="13">
        <f>CHAIN_RAW!O946</f>
        <v/>
      </c>
      <c r="P946" s="13">
        <f>IFERROR(O946/N946,"")</f>
        <v/>
      </c>
      <c r="Q946" s="13">
        <f>CHAIN_RAW!I946</f>
        <v/>
      </c>
      <c r="R946" s="13">
        <f>CHAIN_RAW!P946</f>
        <v/>
      </c>
      <c r="S946" s="13">
        <f>IFERROR(R946/Q946,"")</f>
        <v/>
      </c>
      <c r="T946" s="13">
        <f>IFERROR((ABS(N946-O946)/MAX(1,(N946+O946)))*EXP(-ABS(E946-CONTROL!E5)/MAX(1,CONTROL!B8)),"")</f>
        <v/>
      </c>
      <c r="U946" s="13">
        <f>IFERROR(IF(O946&gt;N946,"SUPPORT (PE OI)","RESIST (CE OI)"),"")</f>
        <v/>
      </c>
      <c r="V946" s="13">
        <f>IFERROR(IF(Q946&gt;0,IF(R946&gt;0,"BOTH_ADD","CE_ADD_PE_REDUCE"),IF(R946&gt;0,"CE_REDUCE_PE_ADD","BOTH_REDUCE")),"")</f>
        <v/>
      </c>
      <c r="W946" s="13">
        <f>IFERROR( (P946-1)*0.5 + (M946)*0.1 - (I946+J946)*0.05 + T946*0.4 ,"")</f>
        <v/>
      </c>
      <c r="X946" s="13">
        <f>IFERROR(IF(ABS(F946)&lt;0.01,"ATM/NEAR",""),"")</f>
        <v/>
      </c>
    </row>
    <row r="947">
      <c r="A947" s="13">
        <f>CHAIN_RAW!A947</f>
        <v/>
      </c>
      <c r="B947" s="14">
        <f>CHAIN_RAW!B947</f>
        <v/>
      </c>
      <c r="C947" s="13">
        <f>CHAIN_RAW!C947</f>
        <v/>
      </c>
      <c r="D947" s="13">
        <f>CHAIN_RAW!D947</f>
        <v/>
      </c>
      <c r="E947" s="13">
        <f>CHAIN_RAW!E947</f>
        <v/>
      </c>
      <c r="F947" s="13">
        <f>IFERROR((E947-D947)/D947,"")</f>
        <v/>
      </c>
      <c r="G947" s="13">
        <f>IFERROR((CHAIN_RAW!K947+CHAIN_RAW!L947)/2,"")</f>
        <v/>
      </c>
      <c r="H947" s="13">
        <f>IFERROR((CHAIN_RAW!R947+CHAIN_RAW!S947)/2,"")</f>
        <v/>
      </c>
      <c r="I947" s="13">
        <f>IFERROR((CHAIN_RAW!L947-CHAIN_RAW!K947)/MAX(1E-9, G947),"")</f>
        <v/>
      </c>
      <c r="J947" s="13">
        <f>IFERROR((CHAIN_RAW!S947-CHAIN_RAW!R947)/MAX(1E-9, H947),"")</f>
        <v/>
      </c>
      <c r="K947" s="13">
        <f>CHAIN_RAW!G947</f>
        <v/>
      </c>
      <c r="L947" s="13">
        <f>CHAIN_RAW!N947</f>
        <v/>
      </c>
      <c r="M947" s="13">
        <f>IFERROR(L947-K947,"")</f>
        <v/>
      </c>
      <c r="N947" s="13">
        <f>CHAIN_RAW!H947</f>
        <v/>
      </c>
      <c r="O947" s="13">
        <f>CHAIN_RAW!O947</f>
        <v/>
      </c>
      <c r="P947" s="13">
        <f>IFERROR(O947/N947,"")</f>
        <v/>
      </c>
      <c r="Q947" s="13">
        <f>CHAIN_RAW!I947</f>
        <v/>
      </c>
      <c r="R947" s="13">
        <f>CHAIN_RAW!P947</f>
        <v/>
      </c>
      <c r="S947" s="13">
        <f>IFERROR(R947/Q947,"")</f>
        <v/>
      </c>
      <c r="T947" s="13">
        <f>IFERROR((ABS(N947-O947)/MAX(1,(N947+O947)))*EXP(-ABS(E947-CONTROL!E5)/MAX(1,CONTROL!B8)),"")</f>
        <v/>
      </c>
      <c r="U947" s="13">
        <f>IFERROR(IF(O947&gt;N947,"SUPPORT (PE OI)","RESIST (CE OI)"),"")</f>
        <v/>
      </c>
      <c r="V947" s="13">
        <f>IFERROR(IF(Q947&gt;0,IF(R947&gt;0,"BOTH_ADD","CE_ADD_PE_REDUCE"),IF(R947&gt;0,"CE_REDUCE_PE_ADD","BOTH_REDUCE")),"")</f>
        <v/>
      </c>
      <c r="W947" s="13">
        <f>IFERROR( (P947-1)*0.5 + (M947)*0.1 - (I947+J947)*0.05 + T947*0.4 ,"")</f>
        <v/>
      </c>
      <c r="X947" s="13">
        <f>IFERROR(IF(ABS(F947)&lt;0.01,"ATM/NEAR",""),"")</f>
        <v/>
      </c>
    </row>
    <row r="948">
      <c r="A948" s="13">
        <f>CHAIN_RAW!A948</f>
        <v/>
      </c>
      <c r="B948" s="14">
        <f>CHAIN_RAW!B948</f>
        <v/>
      </c>
      <c r="C948" s="13">
        <f>CHAIN_RAW!C948</f>
        <v/>
      </c>
      <c r="D948" s="13">
        <f>CHAIN_RAW!D948</f>
        <v/>
      </c>
      <c r="E948" s="13">
        <f>CHAIN_RAW!E948</f>
        <v/>
      </c>
      <c r="F948" s="13">
        <f>IFERROR((E948-D948)/D948,"")</f>
        <v/>
      </c>
      <c r="G948" s="13">
        <f>IFERROR((CHAIN_RAW!K948+CHAIN_RAW!L948)/2,"")</f>
        <v/>
      </c>
      <c r="H948" s="13">
        <f>IFERROR((CHAIN_RAW!R948+CHAIN_RAW!S948)/2,"")</f>
        <v/>
      </c>
      <c r="I948" s="13">
        <f>IFERROR((CHAIN_RAW!L948-CHAIN_RAW!K948)/MAX(1E-9, G948),"")</f>
        <v/>
      </c>
      <c r="J948" s="13">
        <f>IFERROR((CHAIN_RAW!S948-CHAIN_RAW!R948)/MAX(1E-9, H948),"")</f>
        <v/>
      </c>
      <c r="K948" s="13">
        <f>CHAIN_RAW!G948</f>
        <v/>
      </c>
      <c r="L948" s="13">
        <f>CHAIN_RAW!N948</f>
        <v/>
      </c>
      <c r="M948" s="13">
        <f>IFERROR(L948-K948,"")</f>
        <v/>
      </c>
      <c r="N948" s="13">
        <f>CHAIN_RAW!H948</f>
        <v/>
      </c>
      <c r="O948" s="13">
        <f>CHAIN_RAW!O948</f>
        <v/>
      </c>
      <c r="P948" s="13">
        <f>IFERROR(O948/N948,"")</f>
        <v/>
      </c>
      <c r="Q948" s="13">
        <f>CHAIN_RAW!I948</f>
        <v/>
      </c>
      <c r="R948" s="13">
        <f>CHAIN_RAW!P948</f>
        <v/>
      </c>
      <c r="S948" s="13">
        <f>IFERROR(R948/Q948,"")</f>
        <v/>
      </c>
      <c r="T948" s="13">
        <f>IFERROR((ABS(N948-O948)/MAX(1,(N948+O948)))*EXP(-ABS(E948-CONTROL!E5)/MAX(1,CONTROL!B8)),"")</f>
        <v/>
      </c>
      <c r="U948" s="13">
        <f>IFERROR(IF(O948&gt;N948,"SUPPORT (PE OI)","RESIST (CE OI)"),"")</f>
        <v/>
      </c>
      <c r="V948" s="13">
        <f>IFERROR(IF(Q948&gt;0,IF(R948&gt;0,"BOTH_ADD","CE_ADD_PE_REDUCE"),IF(R948&gt;0,"CE_REDUCE_PE_ADD","BOTH_REDUCE")),"")</f>
        <v/>
      </c>
      <c r="W948" s="13">
        <f>IFERROR( (P948-1)*0.5 + (M948)*0.1 - (I948+J948)*0.05 + T948*0.4 ,"")</f>
        <v/>
      </c>
      <c r="X948" s="13">
        <f>IFERROR(IF(ABS(F948)&lt;0.01,"ATM/NEAR",""),"")</f>
        <v/>
      </c>
    </row>
    <row r="949">
      <c r="A949" s="13">
        <f>CHAIN_RAW!A949</f>
        <v/>
      </c>
      <c r="B949" s="14">
        <f>CHAIN_RAW!B949</f>
        <v/>
      </c>
      <c r="C949" s="13">
        <f>CHAIN_RAW!C949</f>
        <v/>
      </c>
      <c r="D949" s="13">
        <f>CHAIN_RAW!D949</f>
        <v/>
      </c>
      <c r="E949" s="13">
        <f>CHAIN_RAW!E949</f>
        <v/>
      </c>
      <c r="F949" s="13">
        <f>IFERROR((E949-D949)/D949,"")</f>
        <v/>
      </c>
      <c r="G949" s="13">
        <f>IFERROR((CHAIN_RAW!K949+CHAIN_RAW!L949)/2,"")</f>
        <v/>
      </c>
      <c r="H949" s="13">
        <f>IFERROR((CHAIN_RAW!R949+CHAIN_RAW!S949)/2,"")</f>
        <v/>
      </c>
      <c r="I949" s="13">
        <f>IFERROR((CHAIN_RAW!L949-CHAIN_RAW!K949)/MAX(1E-9, G949),"")</f>
        <v/>
      </c>
      <c r="J949" s="13">
        <f>IFERROR((CHAIN_RAW!S949-CHAIN_RAW!R949)/MAX(1E-9, H949),"")</f>
        <v/>
      </c>
      <c r="K949" s="13">
        <f>CHAIN_RAW!G949</f>
        <v/>
      </c>
      <c r="L949" s="13">
        <f>CHAIN_RAW!N949</f>
        <v/>
      </c>
      <c r="M949" s="13">
        <f>IFERROR(L949-K949,"")</f>
        <v/>
      </c>
      <c r="N949" s="13">
        <f>CHAIN_RAW!H949</f>
        <v/>
      </c>
      <c r="O949" s="13">
        <f>CHAIN_RAW!O949</f>
        <v/>
      </c>
      <c r="P949" s="13">
        <f>IFERROR(O949/N949,"")</f>
        <v/>
      </c>
      <c r="Q949" s="13">
        <f>CHAIN_RAW!I949</f>
        <v/>
      </c>
      <c r="R949" s="13">
        <f>CHAIN_RAW!P949</f>
        <v/>
      </c>
      <c r="S949" s="13">
        <f>IFERROR(R949/Q949,"")</f>
        <v/>
      </c>
      <c r="T949" s="13">
        <f>IFERROR((ABS(N949-O949)/MAX(1,(N949+O949)))*EXP(-ABS(E949-CONTROL!E5)/MAX(1,CONTROL!B8)),"")</f>
        <v/>
      </c>
      <c r="U949" s="13">
        <f>IFERROR(IF(O949&gt;N949,"SUPPORT (PE OI)","RESIST (CE OI)"),"")</f>
        <v/>
      </c>
      <c r="V949" s="13">
        <f>IFERROR(IF(Q949&gt;0,IF(R949&gt;0,"BOTH_ADD","CE_ADD_PE_REDUCE"),IF(R949&gt;0,"CE_REDUCE_PE_ADD","BOTH_REDUCE")),"")</f>
        <v/>
      </c>
      <c r="W949" s="13">
        <f>IFERROR( (P949-1)*0.5 + (M949)*0.1 - (I949+J949)*0.05 + T949*0.4 ,"")</f>
        <v/>
      </c>
      <c r="X949" s="13">
        <f>IFERROR(IF(ABS(F949)&lt;0.01,"ATM/NEAR",""),"")</f>
        <v/>
      </c>
    </row>
    <row r="950">
      <c r="A950" s="13">
        <f>CHAIN_RAW!A950</f>
        <v/>
      </c>
      <c r="B950" s="14">
        <f>CHAIN_RAW!B950</f>
        <v/>
      </c>
      <c r="C950" s="13">
        <f>CHAIN_RAW!C950</f>
        <v/>
      </c>
      <c r="D950" s="13">
        <f>CHAIN_RAW!D950</f>
        <v/>
      </c>
      <c r="E950" s="13">
        <f>CHAIN_RAW!E950</f>
        <v/>
      </c>
      <c r="F950" s="13">
        <f>IFERROR((E950-D950)/D950,"")</f>
        <v/>
      </c>
      <c r="G950" s="13">
        <f>IFERROR((CHAIN_RAW!K950+CHAIN_RAW!L950)/2,"")</f>
        <v/>
      </c>
      <c r="H950" s="13">
        <f>IFERROR((CHAIN_RAW!R950+CHAIN_RAW!S950)/2,"")</f>
        <v/>
      </c>
      <c r="I950" s="13">
        <f>IFERROR((CHAIN_RAW!L950-CHAIN_RAW!K950)/MAX(1E-9, G950),"")</f>
        <v/>
      </c>
      <c r="J950" s="13">
        <f>IFERROR((CHAIN_RAW!S950-CHAIN_RAW!R950)/MAX(1E-9, H950),"")</f>
        <v/>
      </c>
      <c r="K950" s="13">
        <f>CHAIN_RAW!G950</f>
        <v/>
      </c>
      <c r="L950" s="13">
        <f>CHAIN_RAW!N950</f>
        <v/>
      </c>
      <c r="M950" s="13">
        <f>IFERROR(L950-K950,"")</f>
        <v/>
      </c>
      <c r="N950" s="13">
        <f>CHAIN_RAW!H950</f>
        <v/>
      </c>
      <c r="O950" s="13">
        <f>CHAIN_RAW!O950</f>
        <v/>
      </c>
      <c r="P950" s="13">
        <f>IFERROR(O950/N950,"")</f>
        <v/>
      </c>
      <c r="Q950" s="13">
        <f>CHAIN_RAW!I950</f>
        <v/>
      </c>
      <c r="R950" s="13">
        <f>CHAIN_RAW!P950</f>
        <v/>
      </c>
      <c r="S950" s="13">
        <f>IFERROR(R950/Q950,"")</f>
        <v/>
      </c>
      <c r="T950" s="13">
        <f>IFERROR((ABS(N950-O950)/MAX(1,(N950+O950)))*EXP(-ABS(E950-CONTROL!E5)/MAX(1,CONTROL!B8)),"")</f>
        <v/>
      </c>
      <c r="U950" s="13">
        <f>IFERROR(IF(O950&gt;N950,"SUPPORT (PE OI)","RESIST (CE OI)"),"")</f>
        <v/>
      </c>
      <c r="V950" s="13">
        <f>IFERROR(IF(Q950&gt;0,IF(R950&gt;0,"BOTH_ADD","CE_ADD_PE_REDUCE"),IF(R950&gt;0,"CE_REDUCE_PE_ADD","BOTH_REDUCE")),"")</f>
        <v/>
      </c>
      <c r="W950" s="13">
        <f>IFERROR( (P950-1)*0.5 + (M950)*0.1 - (I950+J950)*0.05 + T950*0.4 ,"")</f>
        <v/>
      </c>
      <c r="X950" s="13">
        <f>IFERROR(IF(ABS(F950)&lt;0.01,"ATM/NEAR",""),"")</f>
        <v/>
      </c>
    </row>
    <row r="951">
      <c r="A951" s="13">
        <f>CHAIN_RAW!A951</f>
        <v/>
      </c>
      <c r="B951" s="14">
        <f>CHAIN_RAW!B951</f>
        <v/>
      </c>
      <c r="C951" s="13">
        <f>CHAIN_RAW!C951</f>
        <v/>
      </c>
      <c r="D951" s="13">
        <f>CHAIN_RAW!D951</f>
        <v/>
      </c>
      <c r="E951" s="13">
        <f>CHAIN_RAW!E951</f>
        <v/>
      </c>
      <c r="F951" s="13">
        <f>IFERROR((E951-D951)/D951,"")</f>
        <v/>
      </c>
      <c r="G951" s="13">
        <f>IFERROR((CHAIN_RAW!K951+CHAIN_RAW!L951)/2,"")</f>
        <v/>
      </c>
      <c r="H951" s="13">
        <f>IFERROR((CHAIN_RAW!R951+CHAIN_RAW!S951)/2,"")</f>
        <v/>
      </c>
      <c r="I951" s="13">
        <f>IFERROR((CHAIN_RAW!L951-CHAIN_RAW!K951)/MAX(1E-9, G951),"")</f>
        <v/>
      </c>
      <c r="J951" s="13">
        <f>IFERROR((CHAIN_RAW!S951-CHAIN_RAW!R951)/MAX(1E-9, H951),"")</f>
        <v/>
      </c>
      <c r="K951" s="13">
        <f>CHAIN_RAW!G951</f>
        <v/>
      </c>
      <c r="L951" s="13">
        <f>CHAIN_RAW!N951</f>
        <v/>
      </c>
      <c r="M951" s="13">
        <f>IFERROR(L951-K951,"")</f>
        <v/>
      </c>
      <c r="N951" s="13">
        <f>CHAIN_RAW!H951</f>
        <v/>
      </c>
      <c r="O951" s="13">
        <f>CHAIN_RAW!O951</f>
        <v/>
      </c>
      <c r="P951" s="13">
        <f>IFERROR(O951/N951,"")</f>
        <v/>
      </c>
      <c r="Q951" s="13">
        <f>CHAIN_RAW!I951</f>
        <v/>
      </c>
      <c r="R951" s="13">
        <f>CHAIN_RAW!P951</f>
        <v/>
      </c>
      <c r="S951" s="13">
        <f>IFERROR(R951/Q951,"")</f>
        <v/>
      </c>
      <c r="T951" s="13">
        <f>IFERROR((ABS(N951-O951)/MAX(1,(N951+O951)))*EXP(-ABS(E951-CONTROL!E5)/MAX(1,CONTROL!B8)),"")</f>
        <v/>
      </c>
      <c r="U951" s="13">
        <f>IFERROR(IF(O951&gt;N951,"SUPPORT (PE OI)","RESIST (CE OI)"),"")</f>
        <v/>
      </c>
      <c r="V951" s="13">
        <f>IFERROR(IF(Q951&gt;0,IF(R951&gt;0,"BOTH_ADD","CE_ADD_PE_REDUCE"),IF(R951&gt;0,"CE_REDUCE_PE_ADD","BOTH_REDUCE")),"")</f>
        <v/>
      </c>
      <c r="W951" s="13">
        <f>IFERROR( (P951-1)*0.5 + (M951)*0.1 - (I951+J951)*0.05 + T951*0.4 ,"")</f>
        <v/>
      </c>
      <c r="X951" s="13">
        <f>IFERROR(IF(ABS(F951)&lt;0.01,"ATM/NEAR",""),"")</f>
        <v/>
      </c>
    </row>
    <row r="952">
      <c r="A952" s="13">
        <f>CHAIN_RAW!A952</f>
        <v/>
      </c>
      <c r="B952" s="14">
        <f>CHAIN_RAW!B952</f>
        <v/>
      </c>
      <c r="C952" s="13">
        <f>CHAIN_RAW!C952</f>
        <v/>
      </c>
      <c r="D952" s="13">
        <f>CHAIN_RAW!D952</f>
        <v/>
      </c>
      <c r="E952" s="13">
        <f>CHAIN_RAW!E952</f>
        <v/>
      </c>
      <c r="F952" s="13">
        <f>IFERROR((E952-D952)/D952,"")</f>
        <v/>
      </c>
      <c r="G952" s="13">
        <f>IFERROR((CHAIN_RAW!K952+CHAIN_RAW!L952)/2,"")</f>
        <v/>
      </c>
      <c r="H952" s="13">
        <f>IFERROR((CHAIN_RAW!R952+CHAIN_RAW!S952)/2,"")</f>
        <v/>
      </c>
      <c r="I952" s="13">
        <f>IFERROR((CHAIN_RAW!L952-CHAIN_RAW!K952)/MAX(1E-9, G952),"")</f>
        <v/>
      </c>
      <c r="J952" s="13">
        <f>IFERROR((CHAIN_RAW!S952-CHAIN_RAW!R952)/MAX(1E-9, H952),"")</f>
        <v/>
      </c>
      <c r="K952" s="13">
        <f>CHAIN_RAW!G952</f>
        <v/>
      </c>
      <c r="L952" s="13">
        <f>CHAIN_RAW!N952</f>
        <v/>
      </c>
      <c r="M952" s="13">
        <f>IFERROR(L952-K952,"")</f>
        <v/>
      </c>
      <c r="N952" s="13">
        <f>CHAIN_RAW!H952</f>
        <v/>
      </c>
      <c r="O952" s="13">
        <f>CHAIN_RAW!O952</f>
        <v/>
      </c>
      <c r="P952" s="13">
        <f>IFERROR(O952/N952,"")</f>
        <v/>
      </c>
      <c r="Q952" s="13">
        <f>CHAIN_RAW!I952</f>
        <v/>
      </c>
      <c r="R952" s="13">
        <f>CHAIN_RAW!P952</f>
        <v/>
      </c>
      <c r="S952" s="13">
        <f>IFERROR(R952/Q952,"")</f>
        <v/>
      </c>
      <c r="T952" s="13">
        <f>IFERROR((ABS(N952-O952)/MAX(1,(N952+O952)))*EXP(-ABS(E952-CONTROL!E5)/MAX(1,CONTROL!B8)),"")</f>
        <v/>
      </c>
      <c r="U952" s="13">
        <f>IFERROR(IF(O952&gt;N952,"SUPPORT (PE OI)","RESIST (CE OI)"),"")</f>
        <v/>
      </c>
      <c r="V952" s="13">
        <f>IFERROR(IF(Q952&gt;0,IF(R952&gt;0,"BOTH_ADD","CE_ADD_PE_REDUCE"),IF(R952&gt;0,"CE_REDUCE_PE_ADD","BOTH_REDUCE")),"")</f>
        <v/>
      </c>
      <c r="W952" s="13">
        <f>IFERROR( (P952-1)*0.5 + (M952)*0.1 - (I952+J952)*0.05 + T952*0.4 ,"")</f>
        <v/>
      </c>
      <c r="X952" s="13">
        <f>IFERROR(IF(ABS(F952)&lt;0.01,"ATM/NEAR",""),"")</f>
        <v/>
      </c>
    </row>
    <row r="953">
      <c r="A953" s="13">
        <f>CHAIN_RAW!A953</f>
        <v/>
      </c>
      <c r="B953" s="14">
        <f>CHAIN_RAW!B953</f>
        <v/>
      </c>
      <c r="C953" s="13">
        <f>CHAIN_RAW!C953</f>
        <v/>
      </c>
      <c r="D953" s="13">
        <f>CHAIN_RAW!D953</f>
        <v/>
      </c>
      <c r="E953" s="13">
        <f>CHAIN_RAW!E953</f>
        <v/>
      </c>
      <c r="F953" s="13">
        <f>IFERROR((E953-D953)/D953,"")</f>
        <v/>
      </c>
      <c r="G953" s="13">
        <f>IFERROR((CHAIN_RAW!K953+CHAIN_RAW!L953)/2,"")</f>
        <v/>
      </c>
      <c r="H953" s="13">
        <f>IFERROR((CHAIN_RAW!R953+CHAIN_RAW!S953)/2,"")</f>
        <v/>
      </c>
      <c r="I953" s="13">
        <f>IFERROR((CHAIN_RAW!L953-CHAIN_RAW!K953)/MAX(1E-9, G953),"")</f>
        <v/>
      </c>
      <c r="J953" s="13">
        <f>IFERROR((CHAIN_RAW!S953-CHAIN_RAW!R953)/MAX(1E-9, H953),"")</f>
        <v/>
      </c>
      <c r="K953" s="13">
        <f>CHAIN_RAW!G953</f>
        <v/>
      </c>
      <c r="L953" s="13">
        <f>CHAIN_RAW!N953</f>
        <v/>
      </c>
      <c r="M953" s="13">
        <f>IFERROR(L953-K953,"")</f>
        <v/>
      </c>
      <c r="N953" s="13">
        <f>CHAIN_RAW!H953</f>
        <v/>
      </c>
      <c r="O953" s="13">
        <f>CHAIN_RAW!O953</f>
        <v/>
      </c>
      <c r="P953" s="13">
        <f>IFERROR(O953/N953,"")</f>
        <v/>
      </c>
      <c r="Q953" s="13">
        <f>CHAIN_RAW!I953</f>
        <v/>
      </c>
      <c r="R953" s="13">
        <f>CHAIN_RAW!P953</f>
        <v/>
      </c>
      <c r="S953" s="13">
        <f>IFERROR(R953/Q953,"")</f>
        <v/>
      </c>
      <c r="T953" s="13">
        <f>IFERROR((ABS(N953-O953)/MAX(1,(N953+O953)))*EXP(-ABS(E953-CONTROL!E5)/MAX(1,CONTROL!B8)),"")</f>
        <v/>
      </c>
      <c r="U953" s="13">
        <f>IFERROR(IF(O953&gt;N953,"SUPPORT (PE OI)","RESIST (CE OI)"),"")</f>
        <v/>
      </c>
      <c r="V953" s="13">
        <f>IFERROR(IF(Q953&gt;0,IF(R953&gt;0,"BOTH_ADD","CE_ADD_PE_REDUCE"),IF(R953&gt;0,"CE_REDUCE_PE_ADD","BOTH_REDUCE")),"")</f>
        <v/>
      </c>
      <c r="W953" s="13">
        <f>IFERROR( (P953-1)*0.5 + (M953)*0.1 - (I953+J953)*0.05 + T953*0.4 ,"")</f>
        <v/>
      </c>
      <c r="X953" s="13">
        <f>IFERROR(IF(ABS(F953)&lt;0.01,"ATM/NEAR",""),"")</f>
        <v/>
      </c>
    </row>
    <row r="954">
      <c r="A954" s="13">
        <f>CHAIN_RAW!A954</f>
        <v/>
      </c>
      <c r="B954" s="14">
        <f>CHAIN_RAW!B954</f>
        <v/>
      </c>
      <c r="C954" s="13">
        <f>CHAIN_RAW!C954</f>
        <v/>
      </c>
      <c r="D954" s="13">
        <f>CHAIN_RAW!D954</f>
        <v/>
      </c>
      <c r="E954" s="13">
        <f>CHAIN_RAW!E954</f>
        <v/>
      </c>
      <c r="F954" s="13">
        <f>IFERROR((E954-D954)/D954,"")</f>
        <v/>
      </c>
      <c r="G954" s="13">
        <f>IFERROR((CHAIN_RAW!K954+CHAIN_RAW!L954)/2,"")</f>
        <v/>
      </c>
      <c r="H954" s="13">
        <f>IFERROR((CHAIN_RAW!R954+CHAIN_RAW!S954)/2,"")</f>
        <v/>
      </c>
      <c r="I954" s="13">
        <f>IFERROR((CHAIN_RAW!L954-CHAIN_RAW!K954)/MAX(1E-9, G954),"")</f>
        <v/>
      </c>
      <c r="J954" s="13">
        <f>IFERROR((CHAIN_RAW!S954-CHAIN_RAW!R954)/MAX(1E-9, H954),"")</f>
        <v/>
      </c>
      <c r="K954" s="13">
        <f>CHAIN_RAW!G954</f>
        <v/>
      </c>
      <c r="L954" s="13">
        <f>CHAIN_RAW!N954</f>
        <v/>
      </c>
      <c r="M954" s="13">
        <f>IFERROR(L954-K954,"")</f>
        <v/>
      </c>
      <c r="N954" s="13">
        <f>CHAIN_RAW!H954</f>
        <v/>
      </c>
      <c r="O954" s="13">
        <f>CHAIN_RAW!O954</f>
        <v/>
      </c>
      <c r="P954" s="13">
        <f>IFERROR(O954/N954,"")</f>
        <v/>
      </c>
      <c r="Q954" s="13">
        <f>CHAIN_RAW!I954</f>
        <v/>
      </c>
      <c r="R954" s="13">
        <f>CHAIN_RAW!P954</f>
        <v/>
      </c>
      <c r="S954" s="13">
        <f>IFERROR(R954/Q954,"")</f>
        <v/>
      </c>
      <c r="T954" s="13">
        <f>IFERROR((ABS(N954-O954)/MAX(1,(N954+O954)))*EXP(-ABS(E954-CONTROL!E5)/MAX(1,CONTROL!B8)),"")</f>
        <v/>
      </c>
      <c r="U954" s="13">
        <f>IFERROR(IF(O954&gt;N954,"SUPPORT (PE OI)","RESIST (CE OI)"),"")</f>
        <v/>
      </c>
      <c r="V954" s="13">
        <f>IFERROR(IF(Q954&gt;0,IF(R954&gt;0,"BOTH_ADD","CE_ADD_PE_REDUCE"),IF(R954&gt;0,"CE_REDUCE_PE_ADD","BOTH_REDUCE")),"")</f>
        <v/>
      </c>
      <c r="W954" s="13">
        <f>IFERROR( (P954-1)*0.5 + (M954)*0.1 - (I954+J954)*0.05 + T954*0.4 ,"")</f>
        <v/>
      </c>
      <c r="X954" s="13">
        <f>IFERROR(IF(ABS(F954)&lt;0.01,"ATM/NEAR",""),"")</f>
        <v/>
      </c>
    </row>
    <row r="955">
      <c r="A955" s="13">
        <f>CHAIN_RAW!A955</f>
        <v/>
      </c>
      <c r="B955" s="14">
        <f>CHAIN_RAW!B955</f>
        <v/>
      </c>
      <c r="C955" s="13">
        <f>CHAIN_RAW!C955</f>
        <v/>
      </c>
      <c r="D955" s="13">
        <f>CHAIN_RAW!D955</f>
        <v/>
      </c>
      <c r="E955" s="13">
        <f>CHAIN_RAW!E955</f>
        <v/>
      </c>
      <c r="F955" s="13">
        <f>IFERROR((E955-D955)/D955,"")</f>
        <v/>
      </c>
      <c r="G955" s="13">
        <f>IFERROR((CHAIN_RAW!K955+CHAIN_RAW!L955)/2,"")</f>
        <v/>
      </c>
      <c r="H955" s="13">
        <f>IFERROR((CHAIN_RAW!R955+CHAIN_RAW!S955)/2,"")</f>
        <v/>
      </c>
      <c r="I955" s="13">
        <f>IFERROR((CHAIN_RAW!L955-CHAIN_RAW!K955)/MAX(1E-9, G955),"")</f>
        <v/>
      </c>
      <c r="J955" s="13">
        <f>IFERROR((CHAIN_RAW!S955-CHAIN_RAW!R955)/MAX(1E-9, H955),"")</f>
        <v/>
      </c>
      <c r="K955" s="13">
        <f>CHAIN_RAW!G955</f>
        <v/>
      </c>
      <c r="L955" s="13">
        <f>CHAIN_RAW!N955</f>
        <v/>
      </c>
      <c r="M955" s="13">
        <f>IFERROR(L955-K955,"")</f>
        <v/>
      </c>
      <c r="N955" s="13">
        <f>CHAIN_RAW!H955</f>
        <v/>
      </c>
      <c r="O955" s="13">
        <f>CHAIN_RAW!O955</f>
        <v/>
      </c>
      <c r="P955" s="13">
        <f>IFERROR(O955/N955,"")</f>
        <v/>
      </c>
      <c r="Q955" s="13">
        <f>CHAIN_RAW!I955</f>
        <v/>
      </c>
      <c r="R955" s="13">
        <f>CHAIN_RAW!P955</f>
        <v/>
      </c>
      <c r="S955" s="13">
        <f>IFERROR(R955/Q955,"")</f>
        <v/>
      </c>
      <c r="T955" s="13">
        <f>IFERROR((ABS(N955-O955)/MAX(1,(N955+O955)))*EXP(-ABS(E955-CONTROL!E5)/MAX(1,CONTROL!B8)),"")</f>
        <v/>
      </c>
      <c r="U955" s="13">
        <f>IFERROR(IF(O955&gt;N955,"SUPPORT (PE OI)","RESIST (CE OI)"),"")</f>
        <v/>
      </c>
      <c r="V955" s="13">
        <f>IFERROR(IF(Q955&gt;0,IF(R955&gt;0,"BOTH_ADD","CE_ADD_PE_REDUCE"),IF(R955&gt;0,"CE_REDUCE_PE_ADD","BOTH_REDUCE")),"")</f>
        <v/>
      </c>
      <c r="W955" s="13">
        <f>IFERROR( (P955-1)*0.5 + (M955)*0.1 - (I955+J955)*0.05 + T955*0.4 ,"")</f>
        <v/>
      </c>
      <c r="X955" s="13">
        <f>IFERROR(IF(ABS(F955)&lt;0.01,"ATM/NEAR",""),"")</f>
        <v/>
      </c>
    </row>
    <row r="956">
      <c r="A956" s="13">
        <f>CHAIN_RAW!A956</f>
        <v/>
      </c>
      <c r="B956" s="14">
        <f>CHAIN_RAW!B956</f>
        <v/>
      </c>
      <c r="C956" s="13">
        <f>CHAIN_RAW!C956</f>
        <v/>
      </c>
      <c r="D956" s="13">
        <f>CHAIN_RAW!D956</f>
        <v/>
      </c>
      <c r="E956" s="13">
        <f>CHAIN_RAW!E956</f>
        <v/>
      </c>
      <c r="F956" s="13">
        <f>IFERROR((E956-D956)/D956,"")</f>
        <v/>
      </c>
      <c r="G956" s="13">
        <f>IFERROR((CHAIN_RAW!K956+CHAIN_RAW!L956)/2,"")</f>
        <v/>
      </c>
      <c r="H956" s="13">
        <f>IFERROR((CHAIN_RAW!R956+CHAIN_RAW!S956)/2,"")</f>
        <v/>
      </c>
      <c r="I956" s="13">
        <f>IFERROR((CHAIN_RAW!L956-CHAIN_RAW!K956)/MAX(1E-9, G956),"")</f>
        <v/>
      </c>
      <c r="J956" s="13">
        <f>IFERROR((CHAIN_RAW!S956-CHAIN_RAW!R956)/MAX(1E-9, H956),"")</f>
        <v/>
      </c>
      <c r="K956" s="13">
        <f>CHAIN_RAW!G956</f>
        <v/>
      </c>
      <c r="L956" s="13">
        <f>CHAIN_RAW!N956</f>
        <v/>
      </c>
      <c r="M956" s="13">
        <f>IFERROR(L956-K956,"")</f>
        <v/>
      </c>
      <c r="N956" s="13">
        <f>CHAIN_RAW!H956</f>
        <v/>
      </c>
      <c r="O956" s="13">
        <f>CHAIN_RAW!O956</f>
        <v/>
      </c>
      <c r="P956" s="13">
        <f>IFERROR(O956/N956,"")</f>
        <v/>
      </c>
      <c r="Q956" s="13">
        <f>CHAIN_RAW!I956</f>
        <v/>
      </c>
      <c r="R956" s="13">
        <f>CHAIN_RAW!P956</f>
        <v/>
      </c>
      <c r="S956" s="13">
        <f>IFERROR(R956/Q956,"")</f>
        <v/>
      </c>
      <c r="T956" s="13">
        <f>IFERROR((ABS(N956-O956)/MAX(1,(N956+O956)))*EXP(-ABS(E956-CONTROL!E5)/MAX(1,CONTROL!B8)),"")</f>
        <v/>
      </c>
      <c r="U956" s="13">
        <f>IFERROR(IF(O956&gt;N956,"SUPPORT (PE OI)","RESIST (CE OI)"),"")</f>
        <v/>
      </c>
      <c r="V956" s="13">
        <f>IFERROR(IF(Q956&gt;0,IF(R956&gt;0,"BOTH_ADD","CE_ADD_PE_REDUCE"),IF(R956&gt;0,"CE_REDUCE_PE_ADD","BOTH_REDUCE")),"")</f>
        <v/>
      </c>
      <c r="W956" s="13">
        <f>IFERROR( (P956-1)*0.5 + (M956)*0.1 - (I956+J956)*0.05 + T956*0.4 ,"")</f>
        <v/>
      </c>
      <c r="X956" s="13">
        <f>IFERROR(IF(ABS(F956)&lt;0.01,"ATM/NEAR",""),"")</f>
        <v/>
      </c>
    </row>
    <row r="957">
      <c r="A957" s="13">
        <f>CHAIN_RAW!A957</f>
        <v/>
      </c>
      <c r="B957" s="14">
        <f>CHAIN_RAW!B957</f>
        <v/>
      </c>
      <c r="C957" s="13">
        <f>CHAIN_RAW!C957</f>
        <v/>
      </c>
      <c r="D957" s="13">
        <f>CHAIN_RAW!D957</f>
        <v/>
      </c>
      <c r="E957" s="13">
        <f>CHAIN_RAW!E957</f>
        <v/>
      </c>
      <c r="F957" s="13">
        <f>IFERROR((E957-D957)/D957,"")</f>
        <v/>
      </c>
      <c r="G957" s="13">
        <f>IFERROR((CHAIN_RAW!K957+CHAIN_RAW!L957)/2,"")</f>
        <v/>
      </c>
      <c r="H957" s="13">
        <f>IFERROR((CHAIN_RAW!R957+CHAIN_RAW!S957)/2,"")</f>
        <v/>
      </c>
      <c r="I957" s="13">
        <f>IFERROR((CHAIN_RAW!L957-CHAIN_RAW!K957)/MAX(1E-9, G957),"")</f>
        <v/>
      </c>
      <c r="J957" s="13">
        <f>IFERROR((CHAIN_RAW!S957-CHAIN_RAW!R957)/MAX(1E-9, H957),"")</f>
        <v/>
      </c>
      <c r="K957" s="13">
        <f>CHAIN_RAW!G957</f>
        <v/>
      </c>
      <c r="L957" s="13">
        <f>CHAIN_RAW!N957</f>
        <v/>
      </c>
      <c r="M957" s="13">
        <f>IFERROR(L957-K957,"")</f>
        <v/>
      </c>
      <c r="N957" s="13">
        <f>CHAIN_RAW!H957</f>
        <v/>
      </c>
      <c r="O957" s="13">
        <f>CHAIN_RAW!O957</f>
        <v/>
      </c>
      <c r="P957" s="13">
        <f>IFERROR(O957/N957,"")</f>
        <v/>
      </c>
      <c r="Q957" s="13">
        <f>CHAIN_RAW!I957</f>
        <v/>
      </c>
      <c r="R957" s="13">
        <f>CHAIN_RAW!P957</f>
        <v/>
      </c>
      <c r="S957" s="13">
        <f>IFERROR(R957/Q957,"")</f>
        <v/>
      </c>
      <c r="T957" s="13">
        <f>IFERROR((ABS(N957-O957)/MAX(1,(N957+O957)))*EXP(-ABS(E957-CONTROL!E5)/MAX(1,CONTROL!B8)),"")</f>
        <v/>
      </c>
      <c r="U957" s="13">
        <f>IFERROR(IF(O957&gt;N957,"SUPPORT (PE OI)","RESIST (CE OI)"),"")</f>
        <v/>
      </c>
      <c r="V957" s="13">
        <f>IFERROR(IF(Q957&gt;0,IF(R957&gt;0,"BOTH_ADD","CE_ADD_PE_REDUCE"),IF(R957&gt;0,"CE_REDUCE_PE_ADD","BOTH_REDUCE")),"")</f>
        <v/>
      </c>
      <c r="W957" s="13">
        <f>IFERROR( (P957-1)*0.5 + (M957)*0.1 - (I957+J957)*0.05 + T957*0.4 ,"")</f>
        <v/>
      </c>
      <c r="X957" s="13">
        <f>IFERROR(IF(ABS(F957)&lt;0.01,"ATM/NEAR",""),"")</f>
        <v/>
      </c>
    </row>
    <row r="958">
      <c r="A958" s="13">
        <f>CHAIN_RAW!A958</f>
        <v/>
      </c>
      <c r="B958" s="14">
        <f>CHAIN_RAW!B958</f>
        <v/>
      </c>
      <c r="C958" s="13">
        <f>CHAIN_RAW!C958</f>
        <v/>
      </c>
      <c r="D958" s="13">
        <f>CHAIN_RAW!D958</f>
        <v/>
      </c>
      <c r="E958" s="13">
        <f>CHAIN_RAW!E958</f>
        <v/>
      </c>
      <c r="F958" s="13">
        <f>IFERROR((E958-D958)/D958,"")</f>
        <v/>
      </c>
      <c r="G958" s="13">
        <f>IFERROR((CHAIN_RAW!K958+CHAIN_RAW!L958)/2,"")</f>
        <v/>
      </c>
      <c r="H958" s="13">
        <f>IFERROR((CHAIN_RAW!R958+CHAIN_RAW!S958)/2,"")</f>
        <v/>
      </c>
      <c r="I958" s="13">
        <f>IFERROR((CHAIN_RAW!L958-CHAIN_RAW!K958)/MAX(1E-9, G958),"")</f>
        <v/>
      </c>
      <c r="J958" s="13">
        <f>IFERROR((CHAIN_RAW!S958-CHAIN_RAW!R958)/MAX(1E-9, H958),"")</f>
        <v/>
      </c>
      <c r="K958" s="13">
        <f>CHAIN_RAW!G958</f>
        <v/>
      </c>
      <c r="L958" s="13">
        <f>CHAIN_RAW!N958</f>
        <v/>
      </c>
      <c r="M958" s="13">
        <f>IFERROR(L958-K958,"")</f>
        <v/>
      </c>
      <c r="N958" s="13">
        <f>CHAIN_RAW!H958</f>
        <v/>
      </c>
      <c r="O958" s="13">
        <f>CHAIN_RAW!O958</f>
        <v/>
      </c>
      <c r="P958" s="13">
        <f>IFERROR(O958/N958,"")</f>
        <v/>
      </c>
      <c r="Q958" s="13">
        <f>CHAIN_RAW!I958</f>
        <v/>
      </c>
      <c r="R958" s="13">
        <f>CHAIN_RAW!P958</f>
        <v/>
      </c>
      <c r="S958" s="13">
        <f>IFERROR(R958/Q958,"")</f>
        <v/>
      </c>
      <c r="T958" s="13">
        <f>IFERROR((ABS(N958-O958)/MAX(1,(N958+O958)))*EXP(-ABS(E958-CONTROL!E5)/MAX(1,CONTROL!B8)),"")</f>
        <v/>
      </c>
      <c r="U958" s="13">
        <f>IFERROR(IF(O958&gt;N958,"SUPPORT (PE OI)","RESIST (CE OI)"),"")</f>
        <v/>
      </c>
      <c r="V958" s="13">
        <f>IFERROR(IF(Q958&gt;0,IF(R958&gt;0,"BOTH_ADD","CE_ADD_PE_REDUCE"),IF(R958&gt;0,"CE_REDUCE_PE_ADD","BOTH_REDUCE")),"")</f>
        <v/>
      </c>
      <c r="W958" s="13">
        <f>IFERROR( (P958-1)*0.5 + (M958)*0.1 - (I958+J958)*0.05 + T958*0.4 ,"")</f>
        <v/>
      </c>
      <c r="X958" s="13">
        <f>IFERROR(IF(ABS(F958)&lt;0.01,"ATM/NEAR",""),"")</f>
        <v/>
      </c>
    </row>
    <row r="959">
      <c r="A959" s="13">
        <f>CHAIN_RAW!A959</f>
        <v/>
      </c>
      <c r="B959" s="14">
        <f>CHAIN_RAW!B959</f>
        <v/>
      </c>
      <c r="C959" s="13">
        <f>CHAIN_RAW!C959</f>
        <v/>
      </c>
      <c r="D959" s="13">
        <f>CHAIN_RAW!D959</f>
        <v/>
      </c>
      <c r="E959" s="13">
        <f>CHAIN_RAW!E959</f>
        <v/>
      </c>
      <c r="F959" s="13">
        <f>IFERROR((E959-D959)/D959,"")</f>
        <v/>
      </c>
      <c r="G959" s="13">
        <f>IFERROR((CHAIN_RAW!K959+CHAIN_RAW!L959)/2,"")</f>
        <v/>
      </c>
      <c r="H959" s="13">
        <f>IFERROR((CHAIN_RAW!R959+CHAIN_RAW!S959)/2,"")</f>
        <v/>
      </c>
      <c r="I959" s="13">
        <f>IFERROR((CHAIN_RAW!L959-CHAIN_RAW!K959)/MAX(1E-9, G959),"")</f>
        <v/>
      </c>
      <c r="J959" s="13">
        <f>IFERROR((CHAIN_RAW!S959-CHAIN_RAW!R959)/MAX(1E-9, H959),"")</f>
        <v/>
      </c>
      <c r="K959" s="13">
        <f>CHAIN_RAW!G959</f>
        <v/>
      </c>
      <c r="L959" s="13">
        <f>CHAIN_RAW!N959</f>
        <v/>
      </c>
      <c r="M959" s="13">
        <f>IFERROR(L959-K959,"")</f>
        <v/>
      </c>
      <c r="N959" s="13">
        <f>CHAIN_RAW!H959</f>
        <v/>
      </c>
      <c r="O959" s="13">
        <f>CHAIN_RAW!O959</f>
        <v/>
      </c>
      <c r="P959" s="13">
        <f>IFERROR(O959/N959,"")</f>
        <v/>
      </c>
      <c r="Q959" s="13">
        <f>CHAIN_RAW!I959</f>
        <v/>
      </c>
      <c r="R959" s="13">
        <f>CHAIN_RAW!P959</f>
        <v/>
      </c>
      <c r="S959" s="13">
        <f>IFERROR(R959/Q959,"")</f>
        <v/>
      </c>
      <c r="T959" s="13">
        <f>IFERROR((ABS(N959-O959)/MAX(1,(N959+O959)))*EXP(-ABS(E959-CONTROL!E5)/MAX(1,CONTROL!B8)),"")</f>
        <v/>
      </c>
      <c r="U959" s="13">
        <f>IFERROR(IF(O959&gt;N959,"SUPPORT (PE OI)","RESIST (CE OI)"),"")</f>
        <v/>
      </c>
      <c r="V959" s="13">
        <f>IFERROR(IF(Q959&gt;0,IF(R959&gt;0,"BOTH_ADD","CE_ADD_PE_REDUCE"),IF(R959&gt;0,"CE_REDUCE_PE_ADD","BOTH_REDUCE")),"")</f>
        <v/>
      </c>
      <c r="W959" s="13">
        <f>IFERROR( (P959-1)*0.5 + (M959)*0.1 - (I959+J959)*0.05 + T959*0.4 ,"")</f>
        <v/>
      </c>
      <c r="X959" s="13">
        <f>IFERROR(IF(ABS(F959)&lt;0.01,"ATM/NEAR",""),"")</f>
        <v/>
      </c>
    </row>
    <row r="960">
      <c r="A960" s="13">
        <f>CHAIN_RAW!A960</f>
        <v/>
      </c>
      <c r="B960" s="14">
        <f>CHAIN_RAW!B960</f>
        <v/>
      </c>
      <c r="C960" s="13">
        <f>CHAIN_RAW!C960</f>
        <v/>
      </c>
      <c r="D960" s="13">
        <f>CHAIN_RAW!D960</f>
        <v/>
      </c>
      <c r="E960" s="13">
        <f>CHAIN_RAW!E960</f>
        <v/>
      </c>
      <c r="F960" s="13">
        <f>IFERROR((E960-D960)/D960,"")</f>
        <v/>
      </c>
      <c r="G960" s="13">
        <f>IFERROR((CHAIN_RAW!K960+CHAIN_RAW!L960)/2,"")</f>
        <v/>
      </c>
      <c r="H960" s="13">
        <f>IFERROR((CHAIN_RAW!R960+CHAIN_RAW!S960)/2,"")</f>
        <v/>
      </c>
      <c r="I960" s="13">
        <f>IFERROR((CHAIN_RAW!L960-CHAIN_RAW!K960)/MAX(1E-9, G960),"")</f>
        <v/>
      </c>
      <c r="J960" s="13">
        <f>IFERROR((CHAIN_RAW!S960-CHAIN_RAW!R960)/MAX(1E-9, H960),"")</f>
        <v/>
      </c>
      <c r="K960" s="13">
        <f>CHAIN_RAW!G960</f>
        <v/>
      </c>
      <c r="L960" s="13">
        <f>CHAIN_RAW!N960</f>
        <v/>
      </c>
      <c r="M960" s="13">
        <f>IFERROR(L960-K960,"")</f>
        <v/>
      </c>
      <c r="N960" s="13">
        <f>CHAIN_RAW!H960</f>
        <v/>
      </c>
      <c r="O960" s="13">
        <f>CHAIN_RAW!O960</f>
        <v/>
      </c>
      <c r="P960" s="13">
        <f>IFERROR(O960/N960,"")</f>
        <v/>
      </c>
      <c r="Q960" s="13">
        <f>CHAIN_RAW!I960</f>
        <v/>
      </c>
      <c r="R960" s="13">
        <f>CHAIN_RAW!P960</f>
        <v/>
      </c>
      <c r="S960" s="13">
        <f>IFERROR(R960/Q960,"")</f>
        <v/>
      </c>
      <c r="T960" s="13">
        <f>IFERROR((ABS(N960-O960)/MAX(1,(N960+O960)))*EXP(-ABS(E960-CONTROL!E5)/MAX(1,CONTROL!B8)),"")</f>
        <v/>
      </c>
      <c r="U960" s="13">
        <f>IFERROR(IF(O960&gt;N960,"SUPPORT (PE OI)","RESIST (CE OI)"),"")</f>
        <v/>
      </c>
      <c r="V960" s="13">
        <f>IFERROR(IF(Q960&gt;0,IF(R960&gt;0,"BOTH_ADD","CE_ADD_PE_REDUCE"),IF(R960&gt;0,"CE_REDUCE_PE_ADD","BOTH_REDUCE")),"")</f>
        <v/>
      </c>
      <c r="W960" s="13">
        <f>IFERROR( (P960-1)*0.5 + (M960)*0.1 - (I960+J960)*0.05 + T960*0.4 ,"")</f>
        <v/>
      </c>
      <c r="X960" s="13">
        <f>IFERROR(IF(ABS(F960)&lt;0.01,"ATM/NEAR",""),"")</f>
        <v/>
      </c>
    </row>
    <row r="961">
      <c r="A961" s="13">
        <f>CHAIN_RAW!A961</f>
        <v/>
      </c>
      <c r="B961" s="14">
        <f>CHAIN_RAW!B961</f>
        <v/>
      </c>
      <c r="C961" s="13">
        <f>CHAIN_RAW!C961</f>
        <v/>
      </c>
      <c r="D961" s="13">
        <f>CHAIN_RAW!D961</f>
        <v/>
      </c>
      <c r="E961" s="13">
        <f>CHAIN_RAW!E961</f>
        <v/>
      </c>
      <c r="F961" s="13">
        <f>IFERROR((E961-D961)/D961,"")</f>
        <v/>
      </c>
      <c r="G961" s="13">
        <f>IFERROR((CHAIN_RAW!K961+CHAIN_RAW!L961)/2,"")</f>
        <v/>
      </c>
      <c r="H961" s="13">
        <f>IFERROR((CHAIN_RAW!R961+CHAIN_RAW!S961)/2,"")</f>
        <v/>
      </c>
      <c r="I961" s="13">
        <f>IFERROR((CHAIN_RAW!L961-CHAIN_RAW!K961)/MAX(1E-9, G961),"")</f>
        <v/>
      </c>
      <c r="J961" s="13">
        <f>IFERROR((CHAIN_RAW!S961-CHAIN_RAW!R961)/MAX(1E-9, H961),"")</f>
        <v/>
      </c>
      <c r="K961" s="13">
        <f>CHAIN_RAW!G961</f>
        <v/>
      </c>
      <c r="L961" s="13">
        <f>CHAIN_RAW!N961</f>
        <v/>
      </c>
      <c r="M961" s="13">
        <f>IFERROR(L961-K961,"")</f>
        <v/>
      </c>
      <c r="N961" s="13">
        <f>CHAIN_RAW!H961</f>
        <v/>
      </c>
      <c r="O961" s="13">
        <f>CHAIN_RAW!O961</f>
        <v/>
      </c>
      <c r="P961" s="13">
        <f>IFERROR(O961/N961,"")</f>
        <v/>
      </c>
      <c r="Q961" s="13">
        <f>CHAIN_RAW!I961</f>
        <v/>
      </c>
      <c r="R961" s="13">
        <f>CHAIN_RAW!P961</f>
        <v/>
      </c>
      <c r="S961" s="13">
        <f>IFERROR(R961/Q961,"")</f>
        <v/>
      </c>
      <c r="T961" s="13">
        <f>IFERROR((ABS(N961-O961)/MAX(1,(N961+O961)))*EXP(-ABS(E961-CONTROL!E5)/MAX(1,CONTROL!B8)),"")</f>
        <v/>
      </c>
      <c r="U961" s="13">
        <f>IFERROR(IF(O961&gt;N961,"SUPPORT (PE OI)","RESIST (CE OI)"),"")</f>
        <v/>
      </c>
      <c r="V961" s="13">
        <f>IFERROR(IF(Q961&gt;0,IF(R961&gt;0,"BOTH_ADD","CE_ADD_PE_REDUCE"),IF(R961&gt;0,"CE_REDUCE_PE_ADD","BOTH_REDUCE")),"")</f>
        <v/>
      </c>
      <c r="W961" s="13">
        <f>IFERROR( (P961-1)*0.5 + (M961)*0.1 - (I961+J961)*0.05 + T961*0.4 ,"")</f>
        <v/>
      </c>
      <c r="X961" s="13">
        <f>IFERROR(IF(ABS(F961)&lt;0.01,"ATM/NEAR",""),"")</f>
        <v/>
      </c>
    </row>
    <row r="962">
      <c r="A962" s="13">
        <f>CHAIN_RAW!A962</f>
        <v/>
      </c>
      <c r="B962" s="14">
        <f>CHAIN_RAW!B962</f>
        <v/>
      </c>
      <c r="C962" s="13">
        <f>CHAIN_RAW!C962</f>
        <v/>
      </c>
      <c r="D962" s="13">
        <f>CHAIN_RAW!D962</f>
        <v/>
      </c>
      <c r="E962" s="13">
        <f>CHAIN_RAW!E962</f>
        <v/>
      </c>
      <c r="F962" s="13">
        <f>IFERROR((E962-D962)/D962,"")</f>
        <v/>
      </c>
      <c r="G962" s="13">
        <f>IFERROR((CHAIN_RAW!K962+CHAIN_RAW!L962)/2,"")</f>
        <v/>
      </c>
      <c r="H962" s="13">
        <f>IFERROR((CHAIN_RAW!R962+CHAIN_RAW!S962)/2,"")</f>
        <v/>
      </c>
      <c r="I962" s="13">
        <f>IFERROR((CHAIN_RAW!L962-CHAIN_RAW!K962)/MAX(1E-9, G962),"")</f>
        <v/>
      </c>
      <c r="J962" s="13">
        <f>IFERROR((CHAIN_RAW!S962-CHAIN_RAW!R962)/MAX(1E-9, H962),"")</f>
        <v/>
      </c>
      <c r="K962" s="13">
        <f>CHAIN_RAW!G962</f>
        <v/>
      </c>
      <c r="L962" s="13">
        <f>CHAIN_RAW!N962</f>
        <v/>
      </c>
      <c r="M962" s="13">
        <f>IFERROR(L962-K962,"")</f>
        <v/>
      </c>
      <c r="N962" s="13">
        <f>CHAIN_RAW!H962</f>
        <v/>
      </c>
      <c r="O962" s="13">
        <f>CHAIN_RAW!O962</f>
        <v/>
      </c>
      <c r="P962" s="13">
        <f>IFERROR(O962/N962,"")</f>
        <v/>
      </c>
      <c r="Q962" s="13">
        <f>CHAIN_RAW!I962</f>
        <v/>
      </c>
      <c r="R962" s="13">
        <f>CHAIN_RAW!P962</f>
        <v/>
      </c>
      <c r="S962" s="13">
        <f>IFERROR(R962/Q962,"")</f>
        <v/>
      </c>
      <c r="T962" s="13">
        <f>IFERROR((ABS(N962-O962)/MAX(1,(N962+O962)))*EXP(-ABS(E962-CONTROL!E5)/MAX(1,CONTROL!B8)),"")</f>
        <v/>
      </c>
      <c r="U962" s="13">
        <f>IFERROR(IF(O962&gt;N962,"SUPPORT (PE OI)","RESIST (CE OI)"),"")</f>
        <v/>
      </c>
      <c r="V962" s="13">
        <f>IFERROR(IF(Q962&gt;0,IF(R962&gt;0,"BOTH_ADD","CE_ADD_PE_REDUCE"),IF(R962&gt;0,"CE_REDUCE_PE_ADD","BOTH_REDUCE")),"")</f>
        <v/>
      </c>
      <c r="W962" s="13">
        <f>IFERROR( (P962-1)*0.5 + (M962)*0.1 - (I962+J962)*0.05 + T962*0.4 ,"")</f>
        <v/>
      </c>
      <c r="X962" s="13">
        <f>IFERROR(IF(ABS(F962)&lt;0.01,"ATM/NEAR",""),"")</f>
        <v/>
      </c>
    </row>
    <row r="963">
      <c r="A963" s="13">
        <f>CHAIN_RAW!A963</f>
        <v/>
      </c>
      <c r="B963" s="14">
        <f>CHAIN_RAW!B963</f>
        <v/>
      </c>
      <c r="C963" s="13">
        <f>CHAIN_RAW!C963</f>
        <v/>
      </c>
      <c r="D963" s="13">
        <f>CHAIN_RAW!D963</f>
        <v/>
      </c>
      <c r="E963" s="13">
        <f>CHAIN_RAW!E963</f>
        <v/>
      </c>
      <c r="F963" s="13">
        <f>IFERROR((E963-D963)/D963,"")</f>
        <v/>
      </c>
      <c r="G963" s="13">
        <f>IFERROR((CHAIN_RAW!K963+CHAIN_RAW!L963)/2,"")</f>
        <v/>
      </c>
      <c r="H963" s="13">
        <f>IFERROR((CHAIN_RAW!R963+CHAIN_RAW!S963)/2,"")</f>
        <v/>
      </c>
      <c r="I963" s="13">
        <f>IFERROR((CHAIN_RAW!L963-CHAIN_RAW!K963)/MAX(1E-9, G963),"")</f>
        <v/>
      </c>
      <c r="J963" s="13">
        <f>IFERROR((CHAIN_RAW!S963-CHAIN_RAW!R963)/MAX(1E-9, H963),"")</f>
        <v/>
      </c>
      <c r="K963" s="13">
        <f>CHAIN_RAW!G963</f>
        <v/>
      </c>
      <c r="L963" s="13">
        <f>CHAIN_RAW!N963</f>
        <v/>
      </c>
      <c r="M963" s="13">
        <f>IFERROR(L963-K963,"")</f>
        <v/>
      </c>
      <c r="N963" s="13">
        <f>CHAIN_RAW!H963</f>
        <v/>
      </c>
      <c r="O963" s="13">
        <f>CHAIN_RAW!O963</f>
        <v/>
      </c>
      <c r="P963" s="13">
        <f>IFERROR(O963/N963,"")</f>
        <v/>
      </c>
      <c r="Q963" s="13">
        <f>CHAIN_RAW!I963</f>
        <v/>
      </c>
      <c r="R963" s="13">
        <f>CHAIN_RAW!P963</f>
        <v/>
      </c>
      <c r="S963" s="13">
        <f>IFERROR(R963/Q963,"")</f>
        <v/>
      </c>
      <c r="T963" s="13">
        <f>IFERROR((ABS(N963-O963)/MAX(1,(N963+O963)))*EXP(-ABS(E963-CONTROL!E5)/MAX(1,CONTROL!B8)),"")</f>
        <v/>
      </c>
      <c r="U963" s="13">
        <f>IFERROR(IF(O963&gt;N963,"SUPPORT (PE OI)","RESIST (CE OI)"),"")</f>
        <v/>
      </c>
      <c r="V963" s="13">
        <f>IFERROR(IF(Q963&gt;0,IF(R963&gt;0,"BOTH_ADD","CE_ADD_PE_REDUCE"),IF(R963&gt;0,"CE_REDUCE_PE_ADD","BOTH_REDUCE")),"")</f>
        <v/>
      </c>
      <c r="W963" s="13">
        <f>IFERROR( (P963-1)*0.5 + (M963)*0.1 - (I963+J963)*0.05 + T963*0.4 ,"")</f>
        <v/>
      </c>
      <c r="X963" s="13">
        <f>IFERROR(IF(ABS(F963)&lt;0.01,"ATM/NEAR",""),"")</f>
        <v/>
      </c>
    </row>
    <row r="964">
      <c r="A964" s="13">
        <f>CHAIN_RAW!A964</f>
        <v/>
      </c>
      <c r="B964" s="14">
        <f>CHAIN_RAW!B964</f>
        <v/>
      </c>
      <c r="C964" s="13">
        <f>CHAIN_RAW!C964</f>
        <v/>
      </c>
      <c r="D964" s="13">
        <f>CHAIN_RAW!D964</f>
        <v/>
      </c>
      <c r="E964" s="13">
        <f>CHAIN_RAW!E964</f>
        <v/>
      </c>
      <c r="F964" s="13">
        <f>IFERROR((E964-D964)/D964,"")</f>
        <v/>
      </c>
      <c r="G964" s="13">
        <f>IFERROR((CHAIN_RAW!K964+CHAIN_RAW!L964)/2,"")</f>
        <v/>
      </c>
      <c r="H964" s="13">
        <f>IFERROR((CHAIN_RAW!R964+CHAIN_RAW!S964)/2,"")</f>
        <v/>
      </c>
      <c r="I964" s="13">
        <f>IFERROR((CHAIN_RAW!L964-CHAIN_RAW!K964)/MAX(1E-9, G964),"")</f>
        <v/>
      </c>
      <c r="J964" s="13">
        <f>IFERROR((CHAIN_RAW!S964-CHAIN_RAW!R964)/MAX(1E-9, H964),"")</f>
        <v/>
      </c>
      <c r="K964" s="13">
        <f>CHAIN_RAW!G964</f>
        <v/>
      </c>
      <c r="L964" s="13">
        <f>CHAIN_RAW!N964</f>
        <v/>
      </c>
      <c r="M964" s="13">
        <f>IFERROR(L964-K964,"")</f>
        <v/>
      </c>
      <c r="N964" s="13">
        <f>CHAIN_RAW!H964</f>
        <v/>
      </c>
      <c r="O964" s="13">
        <f>CHAIN_RAW!O964</f>
        <v/>
      </c>
      <c r="P964" s="13">
        <f>IFERROR(O964/N964,"")</f>
        <v/>
      </c>
      <c r="Q964" s="13">
        <f>CHAIN_RAW!I964</f>
        <v/>
      </c>
      <c r="R964" s="13">
        <f>CHAIN_RAW!P964</f>
        <v/>
      </c>
      <c r="S964" s="13">
        <f>IFERROR(R964/Q964,"")</f>
        <v/>
      </c>
      <c r="T964" s="13">
        <f>IFERROR((ABS(N964-O964)/MAX(1,(N964+O964)))*EXP(-ABS(E964-CONTROL!E5)/MAX(1,CONTROL!B8)),"")</f>
        <v/>
      </c>
      <c r="U964" s="13">
        <f>IFERROR(IF(O964&gt;N964,"SUPPORT (PE OI)","RESIST (CE OI)"),"")</f>
        <v/>
      </c>
      <c r="V964" s="13">
        <f>IFERROR(IF(Q964&gt;0,IF(R964&gt;0,"BOTH_ADD","CE_ADD_PE_REDUCE"),IF(R964&gt;0,"CE_REDUCE_PE_ADD","BOTH_REDUCE")),"")</f>
        <v/>
      </c>
      <c r="W964" s="13">
        <f>IFERROR( (P964-1)*0.5 + (M964)*0.1 - (I964+J964)*0.05 + T964*0.4 ,"")</f>
        <v/>
      </c>
      <c r="X964" s="13">
        <f>IFERROR(IF(ABS(F964)&lt;0.01,"ATM/NEAR",""),"")</f>
        <v/>
      </c>
    </row>
    <row r="965">
      <c r="A965" s="13">
        <f>CHAIN_RAW!A965</f>
        <v/>
      </c>
      <c r="B965" s="14">
        <f>CHAIN_RAW!B965</f>
        <v/>
      </c>
      <c r="C965" s="13">
        <f>CHAIN_RAW!C965</f>
        <v/>
      </c>
      <c r="D965" s="13">
        <f>CHAIN_RAW!D965</f>
        <v/>
      </c>
      <c r="E965" s="13">
        <f>CHAIN_RAW!E965</f>
        <v/>
      </c>
      <c r="F965" s="13">
        <f>IFERROR((E965-D965)/D965,"")</f>
        <v/>
      </c>
      <c r="G965" s="13">
        <f>IFERROR((CHAIN_RAW!K965+CHAIN_RAW!L965)/2,"")</f>
        <v/>
      </c>
      <c r="H965" s="13">
        <f>IFERROR((CHAIN_RAW!R965+CHAIN_RAW!S965)/2,"")</f>
        <v/>
      </c>
      <c r="I965" s="13">
        <f>IFERROR((CHAIN_RAW!L965-CHAIN_RAW!K965)/MAX(1E-9, G965),"")</f>
        <v/>
      </c>
      <c r="J965" s="13">
        <f>IFERROR((CHAIN_RAW!S965-CHAIN_RAW!R965)/MAX(1E-9, H965),"")</f>
        <v/>
      </c>
      <c r="K965" s="13">
        <f>CHAIN_RAW!G965</f>
        <v/>
      </c>
      <c r="L965" s="13">
        <f>CHAIN_RAW!N965</f>
        <v/>
      </c>
      <c r="M965" s="13">
        <f>IFERROR(L965-K965,"")</f>
        <v/>
      </c>
      <c r="N965" s="13">
        <f>CHAIN_RAW!H965</f>
        <v/>
      </c>
      <c r="O965" s="13">
        <f>CHAIN_RAW!O965</f>
        <v/>
      </c>
      <c r="P965" s="13">
        <f>IFERROR(O965/N965,"")</f>
        <v/>
      </c>
      <c r="Q965" s="13">
        <f>CHAIN_RAW!I965</f>
        <v/>
      </c>
      <c r="R965" s="13">
        <f>CHAIN_RAW!P965</f>
        <v/>
      </c>
      <c r="S965" s="13">
        <f>IFERROR(R965/Q965,"")</f>
        <v/>
      </c>
      <c r="T965" s="13">
        <f>IFERROR((ABS(N965-O965)/MAX(1,(N965+O965)))*EXP(-ABS(E965-CONTROL!E5)/MAX(1,CONTROL!B8)),"")</f>
        <v/>
      </c>
      <c r="U965" s="13">
        <f>IFERROR(IF(O965&gt;N965,"SUPPORT (PE OI)","RESIST (CE OI)"),"")</f>
        <v/>
      </c>
      <c r="V965" s="13">
        <f>IFERROR(IF(Q965&gt;0,IF(R965&gt;0,"BOTH_ADD","CE_ADD_PE_REDUCE"),IF(R965&gt;0,"CE_REDUCE_PE_ADD","BOTH_REDUCE")),"")</f>
        <v/>
      </c>
      <c r="W965" s="13">
        <f>IFERROR( (P965-1)*0.5 + (M965)*0.1 - (I965+J965)*0.05 + T965*0.4 ,"")</f>
        <v/>
      </c>
      <c r="X965" s="13">
        <f>IFERROR(IF(ABS(F965)&lt;0.01,"ATM/NEAR",""),"")</f>
        <v/>
      </c>
    </row>
    <row r="966">
      <c r="A966" s="13">
        <f>CHAIN_RAW!A966</f>
        <v/>
      </c>
      <c r="B966" s="14">
        <f>CHAIN_RAW!B966</f>
        <v/>
      </c>
      <c r="C966" s="13">
        <f>CHAIN_RAW!C966</f>
        <v/>
      </c>
      <c r="D966" s="13">
        <f>CHAIN_RAW!D966</f>
        <v/>
      </c>
      <c r="E966" s="13">
        <f>CHAIN_RAW!E966</f>
        <v/>
      </c>
      <c r="F966" s="13">
        <f>IFERROR((E966-D966)/D966,"")</f>
        <v/>
      </c>
      <c r="G966" s="13">
        <f>IFERROR((CHAIN_RAW!K966+CHAIN_RAW!L966)/2,"")</f>
        <v/>
      </c>
      <c r="H966" s="13">
        <f>IFERROR((CHAIN_RAW!R966+CHAIN_RAW!S966)/2,"")</f>
        <v/>
      </c>
      <c r="I966" s="13">
        <f>IFERROR((CHAIN_RAW!L966-CHAIN_RAW!K966)/MAX(1E-9, G966),"")</f>
        <v/>
      </c>
      <c r="J966" s="13">
        <f>IFERROR((CHAIN_RAW!S966-CHAIN_RAW!R966)/MAX(1E-9, H966),"")</f>
        <v/>
      </c>
      <c r="K966" s="13">
        <f>CHAIN_RAW!G966</f>
        <v/>
      </c>
      <c r="L966" s="13">
        <f>CHAIN_RAW!N966</f>
        <v/>
      </c>
      <c r="M966" s="13">
        <f>IFERROR(L966-K966,"")</f>
        <v/>
      </c>
      <c r="N966" s="13">
        <f>CHAIN_RAW!H966</f>
        <v/>
      </c>
      <c r="O966" s="13">
        <f>CHAIN_RAW!O966</f>
        <v/>
      </c>
      <c r="P966" s="13">
        <f>IFERROR(O966/N966,"")</f>
        <v/>
      </c>
      <c r="Q966" s="13">
        <f>CHAIN_RAW!I966</f>
        <v/>
      </c>
      <c r="R966" s="13">
        <f>CHAIN_RAW!P966</f>
        <v/>
      </c>
      <c r="S966" s="13">
        <f>IFERROR(R966/Q966,"")</f>
        <v/>
      </c>
      <c r="T966" s="13">
        <f>IFERROR((ABS(N966-O966)/MAX(1,(N966+O966)))*EXP(-ABS(E966-CONTROL!E5)/MAX(1,CONTROL!B8)),"")</f>
        <v/>
      </c>
      <c r="U966" s="13">
        <f>IFERROR(IF(O966&gt;N966,"SUPPORT (PE OI)","RESIST (CE OI)"),"")</f>
        <v/>
      </c>
      <c r="V966" s="13">
        <f>IFERROR(IF(Q966&gt;0,IF(R966&gt;0,"BOTH_ADD","CE_ADD_PE_REDUCE"),IF(R966&gt;0,"CE_REDUCE_PE_ADD","BOTH_REDUCE")),"")</f>
        <v/>
      </c>
      <c r="W966" s="13">
        <f>IFERROR( (P966-1)*0.5 + (M966)*0.1 - (I966+J966)*0.05 + T966*0.4 ,"")</f>
        <v/>
      </c>
      <c r="X966" s="13">
        <f>IFERROR(IF(ABS(F966)&lt;0.01,"ATM/NEAR",""),"")</f>
        <v/>
      </c>
    </row>
    <row r="967">
      <c r="A967" s="13">
        <f>CHAIN_RAW!A967</f>
        <v/>
      </c>
      <c r="B967" s="14">
        <f>CHAIN_RAW!B967</f>
        <v/>
      </c>
      <c r="C967" s="13">
        <f>CHAIN_RAW!C967</f>
        <v/>
      </c>
      <c r="D967" s="13">
        <f>CHAIN_RAW!D967</f>
        <v/>
      </c>
      <c r="E967" s="13">
        <f>CHAIN_RAW!E967</f>
        <v/>
      </c>
      <c r="F967" s="13">
        <f>IFERROR((E967-D967)/D967,"")</f>
        <v/>
      </c>
      <c r="G967" s="13">
        <f>IFERROR((CHAIN_RAW!K967+CHAIN_RAW!L967)/2,"")</f>
        <v/>
      </c>
      <c r="H967" s="13">
        <f>IFERROR((CHAIN_RAW!R967+CHAIN_RAW!S967)/2,"")</f>
        <v/>
      </c>
      <c r="I967" s="13">
        <f>IFERROR((CHAIN_RAW!L967-CHAIN_RAW!K967)/MAX(1E-9, G967),"")</f>
        <v/>
      </c>
      <c r="J967" s="13">
        <f>IFERROR((CHAIN_RAW!S967-CHAIN_RAW!R967)/MAX(1E-9, H967),"")</f>
        <v/>
      </c>
      <c r="K967" s="13">
        <f>CHAIN_RAW!G967</f>
        <v/>
      </c>
      <c r="L967" s="13">
        <f>CHAIN_RAW!N967</f>
        <v/>
      </c>
      <c r="M967" s="13">
        <f>IFERROR(L967-K967,"")</f>
        <v/>
      </c>
      <c r="N967" s="13">
        <f>CHAIN_RAW!H967</f>
        <v/>
      </c>
      <c r="O967" s="13">
        <f>CHAIN_RAW!O967</f>
        <v/>
      </c>
      <c r="P967" s="13">
        <f>IFERROR(O967/N967,"")</f>
        <v/>
      </c>
      <c r="Q967" s="13">
        <f>CHAIN_RAW!I967</f>
        <v/>
      </c>
      <c r="R967" s="13">
        <f>CHAIN_RAW!P967</f>
        <v/>
      </c>
      <c r="S967" s="13">
        <f>IFERROR(R967/Q967,"")</f>
        <v/>
      </c>
      <c r="T967" s="13">
        <f>IFERROR((ABS(N967-O967)/MAX(1,(N967+O967)))*EXP(-ABS(E967-CONTROL!E5)/MAX(1,CONTROL!B8)),"")</f>
        <v/>
      </c>
      <c r="U967" s="13">
        <f>IFERROR(IF(O967&gt;N967,"SUPPORT (PE OI)","RESIST (CE OI)"),"")</f>
        <v/>
      </c>
      <c r="V967" s="13">
        <f>IFERROR(IF(Q967&gt;0,IF(R967&gt;0,"BOTH_ADD","CE_ADD_PE_REDUCE"),IF(R967&gt;0,"CE_REDUCE_PE_ADD","BOTH_REDUCE")),"")</f>
        <v/>
      </c>
      <c r="W967" s="13">
        <f>IFERROR( (P967-1)*0.5 + (M967)*0.1 - (I967+J967)*0.05 + T967*0.4 ,"")</f>
        <v/>
      </c>
      <c r="X967" s="13">
        <f>IFERROR(IF(ABS(F967)&lt;0.01,"ATM/NEAR",""),"")</f>
        <v/>
      </c>
    </row>
    <row r="968">
      <c r="A968" s="13">
        <f>CHAIN_RAW!A968</f>
        <v/>
      </c>
      <c r="B968" s="14">
        <f>CHAIN_RAW!B968</f>
        <v/>
      </c>
      <c r="C968" s="13">
        <f>CHAIN_RAW!C968</f>
        <v/>
      </c>
      <c r="D968" s="13">
        <f>CHAIN_RAW!D968</f>
        <v/>
      </c>
      <c r="E968" s="13">
        <f>CHAIN_RAW!E968</f>
        <v/>
      </c>
      <c r="F968" s="13">
        <f>IFERROR((E968-D968)/D968,"")</f>
        <v/>
      </c>
      <c r="G968" s="13">
        <f>IFERROR((CHAIN_RAW!K968+CHAIN_RAW!L968)/2,"")</f>
        <v/>
      </c>
      <c r="H968" s="13">
        <f>IFERROR((CHAIN_RAW!R968+CHAIN_RAW!S968)/2,"")</f>
        <v/>
      </c>
      <c r="I968" s="13">
        <f>IFERROR((CHAIN_RAW!L968-CHAIN_RAW!K968)/MAX(1E-9, G968),"")</f>
        <v/>
      </c>
      <c r="J968" s="13">
        <f>IFERROR((CHAIN_RAW!S968-CHAIN_RAW!R968)/MAX(1E-9, H968),"")</f>
        <v/>
      </c>
      <c r="K968" s="13">
        <f>CHAIN_RAW!G968</f>
        <v/>
      </c>
      <c r="L968" s="13">
        <f>CHAIN_RAW!N968</f>
        <v/>
      </c>
      <c r="M968" s="13">
        <f>IFERROR(L968-K968,"")</f>
        <v/>
      </c>
      <c r="N968" s="13">
        <f>CHAIN_RAW!H968</f>
        <v/>
      </c>
      <c r="O968" s="13">
        <f>CHAIN_RAW!O968</f>
        <v/>
      </c>
      <c r="P968" s="13">
        <f>IFERROR(O968/N968,"")</f>
        <v/>
      </c>
      <c r="Q968" s="13">
        <f>CHAIN_RAW!I968</f>
        <v/>
      </c>
      <c r="R968" s="13">
        <f>CHAIN_RAW!P968</f>
        <v/>
      </c>
      <c r="S968" s="13">
        <f>IFERROR(R968/Q968,"")</f>
        <v/>
      </c>
      <c r="T968" s="13">
        <f>IFERROR((ABS(N968-O968)/MAX(1,(N968+O968)))*EXP(-ABS(E968-CONTROL!E5)/MAX(1,CONTROL!B8)),"")</f>
        <v/>
      </c>
      <c r="U968" s="13">
        <f>IFERROR(IF(O968&gt;N968,"SUPPORT (PE OI)","RESIST (CE OI)"),"")</f>
        <v/>
      </c>
      <c r="V968" s="13">
        <f>IFERROR(IF(Q968&gt;0,IF(R968&gt;0,"BOTH_ADD","CE_ADD_PE_REDUCE"),IF(R968&gt;0,"CE_REDUCE_PE_ADD","BOTH_REDUCE")),"")</f>
        <v/>
      </c>
      <c r="W968" s="13">
        <f>IFERROR( (P968-1)*0.5 + (M968)*0.1 - (I968+J968)*0.05 + T968*0.4 ,"")</f>
        <v/>
      </c>
      <c r="X968" s="13">
        <f>IFERROR(IF(ABS(F968)&lt;0.01,"ATM/NEAR",""),"")</f>
        <v/>
      </c>
    </row>
    <row r="969">
      <c r="A969" s="13">
        <f>CHAIN_RAW!A969</f>
        <v/>
      </c>
      <c r="B969" s="14">
        <f>CHAIN_RAW!B969</f>
        <v/>
      </c>
      <c r="C969" s="13">
        <f>CHAIN_RAW!C969</f>
        <v/>
      </c>
      <c r="D969" s="13">
        <f>CHAIN_RAW!D969</f>
        <v/>
      </c>
      <c r="E969" s="13">
        <f>CHAIN_RAW!E969</f>
        <v/>
      </c>
      <c r="F969" s="13">
        <f>IFERROR((E969-D969)/D969,"")</f>
        <v/>
      </c>
      <c r="G969" s="13">
        <f>IFERROR((CHAIN_RAW!K969+CHAIN_RAW!L969)/2,"")</f>
        <v/>
      </c>
      <c r="H969" s="13">
        <f>IFERROR((CHAIN_RAW!R969+CHAIN_RAW!S969)/2,"")</f>
        <v/>
      </c>
      <c r="I969" s="13">
        <f>IFERROR((CHAIN_RAW!L969-CHAIN_RAW!K969)/MAX(1E-9, G969),"")</f>
        <v/>
      </c>
      <c r="J969" s="13">
        <f>IFERROR((CHAIN_RAW!S969-CHAIN_RAW!R969)/MAX(1E-9, H969),"")</f>
        <v/>
      </c>
      <c r="K969" s="13">
        <f>CHAIN_RAW!G969</f>
        <v/>
      </c>
      <c r="L969" s="13">
        <f>CHAIN_RAW!N969</f>
        <v/>
      </c>
      <c r="M969" s="13">
        <f>IFERROR(L969-K969,"")</f>
        <v/>
      </c>
      <c r="N969" s="13">
        <f>CHAIN_RAW!H969</f>
        <v/>
      </c>
      <c r="O969" s="13">
        <f>CHAIN_RAW!O969</f>
        <v/>
      </c>
      <c r="P969" s="13">
        <f>IFERROR(O969/N969,"")</f>
        <v/>
      </c>
      <c r="Q969" s="13">
        <f>CHAIN_RAW!I969</f>
        <v/>
      </c>
      <c r="R969" s="13">
        <f>CHAIN_RAW!P969</f>
        <v/>
      </c>
      <c r="S969" s="13">
        <f>IFERROR(R969/Q969,"")</f>
        <v/>
      </c>
      <c r="T969" s="13">
        <f>IFERROR((ABS(N969-O969)/MAX(1,(N969+O969)))*EXP(-ABS(E969-CONTROL!E5)/MAX(1,CONTROL!B8)),"")</f>
        <v/>
      </c>
      <c r="U969" s="13">
        <f>IFERROR(IF(O969&gt;N969,"SUPPORT (PE OI)","RESIST (CE OI)"),"")</f>
        <v/>
      </c>
      <c r="V969" s="13">
        <f>IFERROR(IF(Q969&gt;0,IF(R969&gt;0,"BOTH_ADD","CE_ADD_PE_REDUCE"),IF(R969&gt;0,"CE_REDUCE_PE_ADD","BOTH_REDUCE")),"")</f>
        <v/>
      </c>
      <c r="W969" s="13">
        <f>IFERROR( (P969-1)*0.5 + (M969)*0.1 - (I969+J969)*0.05 + T969*0.4 ,"")</f>
        <v/>
      </c>
      <c r="X969" s="13">
        <f>IFERROR(IF(ABS(F969)&lt;0.01,"ATM/NEAR",""),"")</f>
        <v/>
      </c>
    </row>
    <row r="970">
      <c r="A970" s="13">
        <f>CHAIN_RAW!A970</f>
        <v/>
      </c>
      <c r="B970" s="14">
        <f>CHAIN_RAW!B970</f>
        <v/>
      </c>
      <c r="C970" s="13">
        <f>CHAIN_RAW!C970</f>
        <v/>
      </c>
      <c r="D970" s="13">
        <f>CHAIN_RAW!D970</f>
        <v/>
      </c>
      <c r="E970" s="13">
        <f>CHAIN_RAW!E970</f>
        <v/>
      </c>
      <c r="F970" s="13">
        <f>IFERROR((E970-D970)/D970,"")</f>
        <v/>
      </c>
      <c r="G970" s="13">
        <f>IFERROR((CHAIN_RAW!K970+CHAIN_RAW!L970)/2,"")</f>
        <v/>
      </c>
      <c r="H970" s="13">
        <f>IFERROR((CHAIN_RAW!R970+CHAIN_RAW!S970)/2,"")</f>
        <v/>
      </c>
      <c r="I970" s="13">
        <f>IFERROR((CHAIN_RAW!L970-CHAIN_RAW!K970)/MAX(1E-9, G970),"")</f>
        <v/>
      </c>
      <c r="J970" s="13">
        <f>IFERROR((CHAIN_RAW!S970-CHAIN_RAW!R970)/MAX(1E-9, H970),"")</f>
        <v/>
      </c>
      <c r="K970" s="13">
        <f>CHAIN_RAW!G970</f>
        <v/>
      </c>
      <c r="L970" s="13">
        <f>CHAIN_RAW!N970</f>
        <v/>
      </c>
      <c r="M970" s="13">
        <f>IFERROR(L970-K970,"")</f>
        <v/>
      </c>
      <c r="N970" s="13">
        <f>CHAIN_RAW!H970</f>
        <v/>
      </c>
      <c r="O970" s="13">
        <f>CHAIN_RAW!O970</f>
        <v/>
      </c>
      <c r="P970" s="13">
        <f>IFERROR(O970/N970,"")</f>
        <v/>
      </c>
      <c r="Q970" s="13">
        <f>CHAIN_RAW!I970</f>
        <v/>
      </c>
      <c r="R970" s="13">
        <f>CHAIN_RAW!P970</f>
        <v/>
      </c>
      <c r="S970" s="13">
        <f>IFERROR(R970/Q970,"")</f>
        <v/>
      </c>
      <c r="T970" s="13">
        <f>IFERROR((ABS(N970-O970)/MAX(1,(N970+O970)))*EXP(-ABS(E970-CONTROL!E5)/MAX(1,CONTROL!B8)),"")</f>
        <v/>
      </c>
      <c r="U970" s="13">
        <f>IFERROR(IF(O970&gt;N970,"SUPPORT (PE OI)","RESIST (CE OI)"),"")</f>
        <v/>
      </c>
      <c r="V970" s="13">
        <f>IFERROR(IF(Q970&gt;0,IF(R970&gt;0,"BOTH_ADD","CE_ADD_PE_REDUCE"),IF(R970&gt;0,"CE_REDUCE_PE_ADD","BOTH_REDUCE")),"")</f>
        <v/>
      </c>
      <c r="W970" s="13">
        <f>IFERROR( (P970-1)*0.5 + (M970)*0.1 - (I970+J970)*0.05 + T970*0.4 ,"")</f>
        <v/>
      </c>
      <c r="X970" s="13">
        <f>IFERROR(IF(ABS(F970)&lt;0.01,"ATM/NEAR",""),"")</f>
        <v/>
      </c>
    </row>
    <row r="971">
      <c r="A971" s="13">
        <f>CHAIN_RAW!A971</f>
        <v/>
      </c>
      <c r="B971" s="14">
        <f>CHAIN_RAW!B971</f>
        <v/>
      </c>
      <c r="C971" s="13">
        <f>CHAIN_RAW!C971</f>
        <v/>
      </c>
      <c r="D971" s="13">
        <f>CHAIN_RAW!D971</f>
        <v/>
      </c>
      <c r="E971" s="13">
        <f>CHAIN_RAW!E971</f>
        <v/>
      </c>
      <c r="F971" s="13">
        <f>IFERROR((E971-D971)/D971,"")</f>
        <v/>
      </c>
      <c r="G971" s="13">
        <f>IFERROR((CHAIN_RAW!K971+CHAIN_RAW!L971)/2,"")</f>
        <v/>
      </c>
      <c r="H971" s="13">
        <f>IFERROR((CHAIN_RAW!R971+CHAIN_RAW!S971)/2,"")</f>
        <v/>
      </c>
      <c r="I971" s="13">
        <f>IFERROR((CHAIN_RAW!L971-CHAIN_RAW!K971)/MAX(1E-9, G971),"")</f>
        <v/>
      </c>
      <c r="J971" s="13">
        <f>IFERROR((CHAIN_RAW!S971-CHAIN_RAW!R971)/MAX(1E-9, H971),"")</f>
        <v/>
      </c>
      <c r="K971" s="13">
        <f>CHAIN_RAW!G971</f>
        <v/>
      </c>
      <c r="L971" s="13">
        <f>CHAIN_RAW!N971</f>
        <v/>
      </c>
      <c r="M971" s="13">
        <f>IFERROR(L971-K971,"")</f>
        <v/>
      </c>
      <c r="N971" s="13">
        <f>CHAIN_RAW!H971</f>
        <v/>
      </c>
      <c r="O971" s="13">
        <f>CHAIN_RAW!O971</f>
        <v/>
      </c>
      <c r="P971" s="13">
        <f>IFERROR(O971/N971,"")</f>
        <v/>
      </c>
      <c r="Q971" s="13">
        <f>CHAIN_RAW!I971</f>
        <v/>
      </c>
      <c r="R971" s="13">
        <f>CHAIN_RAW!P971</f>
        <v/>
      </c>
      <c r="S971" s="13">
        <f>IFERROR(R971/Q971,"")</f>
        <v/>
      </c>
      <c r="T971" s="13">
        <f>IFERROR((ABS(N971-O971)/MAX(1,(N971+O971)))*EXP(-ABS(E971-CONTROL!E5)/MAX(1,CONTROL!B8)),"")</f>
        <v/>
      </c>
      <c r="U971" s="13">
        <f>IFERROR(IF(O971&gt;N971,"SUPPORT (PE OI)","RESIST (CE OI)"),"")</f>
        <v/>
      </c>
      <c r="V971" s="13">
        <f>IFERROR(IF(Q971&gt;0,IF(R971&gt;0,"BOTH_ADD","CE_ADD_PE_REDUCE"),IF(R971&gt;0,"CE_REDUCE_PE_ADD","BOTH_REDUCE")),"")</f>
        <v/>
      </c>
      <c r="W971" s="13">
        <f>IFERROR( (P971-1)*0.5 + (M971)*0.1 - (I971+J971)*0.05 + T971*0.4 ,"")</f>
        <v/>
      </c>
      <c r="X971" s="13">
        <f>IFERROR(IF(ABS(F971)&lt;0.01,"ATM/NEAR",""),"")</f>
        <v/>
      </c>
    </row>
    <row r="972">
      <c r="A972" s="13">
        <f>CHAIN_RAW!A972</f>
        <v/>
      </c>
      <c r="B972" s="14">
        <f>CHAIN_RAW!B972</f>
        <v/>
      </c>
      <c r="C972" s="13">
        <f>CHAIN_RAW!C972</f>
        <v/>
      </c>
      <c r="D972" s="13">
        <f>CHAIN_RAW!D972</f>
        <v/>
      </c>
      <c r="E972" s="13">
        <f>CHAIN_RAW!E972</f>
        <v/>
      </c>
      <c r="F972" s="13">
        <f>IFERROR((E972-D972)/D972,"")</f>
        <v/>
      </c>
      <c r="G972" s="13">
        <f>IFERROR((CHAIN_RAW!K972+CHAIN_RAW!L972)/2,"")</f>
        <v/>
      </c>
      <c r="H972" s="13">
        <f>IFERROR((CHAIN_RAW!R972+CHAIN_RAW!S972)/2,"")</f>
        <v/>
      </c>
      <c r="I972" s="13">
        <f>IFERROR((CHAIN_RAW!L972-CHAIN_RAW!K972)/MAX(1E-9, G972),"")</f>
        <v/>
      </c>
      <c r="J972" s="13">
        <f>IFERROR((CHAIN_RAW!S972-CHAIN_RAW!R972)/MAX(1E-9, H972),"")</f>
        <v/>
      </c>
      <c r="K972" s="13">
        <f>CHAIN_RAW!G972</f>
        <v/>
      </c>
      <c r="L972" s="13">
        <f>CHAIN_RAW!N972</f>
        <v/>
      </c>
      <c r="M972" s="13">
        <f>IFERROR(L972-K972,"")</f>
        <v/>
      </c>
      <c r="N972" s="13">
        <f>CHAIN_RAW!H972</f>
        <v/>
      </c>
      <c r="O972" s="13">
        <f>CHAIN_RAW!O972</f>
        <v/>
      </c>
      <c r="P972" s="13">
        <f>IFERROR(O972/N972,"")</f>
        <v/>
      </c>
      <c r="Q972" s="13">
        <f>CHAIN_RAW!I972</f>
        <v/>
      </c>
      <c r="R972" s="13">
        <f>CHAIN_RAW!P972</f>
        <v/>
      </c>
      <c r="S972" s="13">
        <f>IFERROR(R972/Q972,"")</f>
        <v/>
      </c>
      <c r="T972" s="13">
        <f>IFERROR((ABS(N972-O972)/MAX(1,(N972+O972)))*EXP(-ABS(E972-CONTROL!E5)/MAX(1,CONTROL!B8)),"")</f>
        <v/>
      </c>
      <c r="U972" s="13">
        <f>IFERROR(IF(O972&gt;N972,"SUPPORT (PE OI)","RESIST (CE OI)"),"")</f>
        <v/>
      </c>
      <c r="V972" s="13">
        <f>IFERROR(IF(Q972&gt;0,IF(R972&gt;0,"BOTH_ADD","CE_ADD_PE_REDUCE"),IF(R972&gt;0,"CE_REDUCE_PE_ADD","BOTH_REDUCE")),"")</f>
        <v/>
      </c>
      <c r="W972" s="13">
        <f>IFERROR( (P972-1)*0.5 + (M972)*0.1 - (I972+J972)*0.05 + T972*0.4 ,"")</f>
        <v/>
      </c>
      <c r="X972" s="13">
        <f>IFERROR(IF(ABS(F972)&lt;0.01,"ATM/NEAR",""),"")</f>
        <v/>
      </c>
    </row>
    <row r="973">
      <c r="A973" s="13">
        <f>CHAIN_RAW!A973</f>
        <v/>
      </c>
      <c r="B973" s="14">
        <f>CHAIN_RAW!B973</f>
        <v/>
      </c>
      <c r="C973" s="13">
        <f>CHAIN_RAW!C973</f>
        <v/>
      </c>
      <c r="D973" s="13">
        <f>CHAIN_RAW!D973</f>
        <v/>
      </c>
      <c r="E973" s="13">
        <f>CHAIN_RAW!E973</f>
        <v/>
      </c>
      <c r="F973" s="13">
        <f>IFERROR((E973-D973)/D973,"")</f>
        <v/>
      </c>
      <c r="G973" s="13">
        <f>IFERROR((CHAIN_RAW!K973+CHAIN_RAW!L973)/2,"")</f>
        <v/>
      </c>
      <c r="H973" s="13">
        <f>IFERROR((CHAIN_RAW!R973+CHAIN_RAW!S973)/2,"")</f>
        <v/>
      </c>
      <c r="I973" s="13">
        <f>IFERROR((CHAIN_RAW!L973-CHAIN_RAW!K973)/MAX(1E-9, G973),"")</f>
        <v/>
      </c>
      <c r="J973" s="13">
        <f>IFERROR((CHAIN_RAW!S973-CHAIN_RAW!R973)/MAX(1E-9, H973),"")</f>
        <v/>
      </c>
      <c r="K973" s="13">
        <f>CHAIN_RAW!G973</f>
        <v/>
      </c>
      <c r="L973" s="13">
        <f>CHAIN_RAW!N973</f>
        <v/>
      </c>
      <c r="M973" s="13">
        <f>IFERROR(L973-K973,"")</f>
        <v/>
      </c>
      <c r="N973" s="13">
        <f>CHAIN_RAW!H973</f>
        <v/>
      </c>
      <c r="O973" s="13">
        <f>CHAIN_RAW!O973</f>
        <v/>
      </c>
      <c r="P973" s="13">
        <f>IFERROR(O973/N973,"")</f>
        <v/>
      </c>
      <c r="Q973" s="13">
        <f>CHAIN_RAW!I973</f>
        <v/>
      </c>
      <c r="R973" s="13">
        <f>CHAIN_RAW!P973</f>
        <v/>
      </c>
      <c r="S973" s="13">
        <f>IFERROR(R973/Q973,"")</f>
        <v/>
      </c>
      <c r="T973" s="13">
        <f>IFERROR((ABS(N973-O973)/MAX(1,(N973+O973)))*EXP(-ABS(E973-CONTROL!E5)/MAX(1,CONTROL!B8)),"")</f>
        <v/>
      </c>
      <c r="U973" s="13">
        <f>IFERROR(IF(O973&gt;N973,"SUPPORT (PE OI)","RESIST (CE OI)"),"")</f>
        <v/>
      </c>
      <c r="V973" s="13">
        <f>IFERROR(IF(Q973&gt;0,IF(R973&gt;0,"BOTH_ADD","CE_ADD_PE_REDUCE"),IF(R973&gt;0,"CE_REDUCE_PE_ADD","BOTH_REDUCE")),"")</f>
        <v/>
      </c>
      <c r="W973" s="13">
        <f>IFERROR( (P973-1)*0.5 + (M973)*0.1 - (I973+J973)*0.05 + T973*0.4 ,"")</f>
        <v/>
      </c>
      <c r="X973" s="13">
        <f>IFERROR(IF(ABS(F973)&lt;0.01,"ATM/NEAR",""),"")</f>
        <v/>
      </c>
    </row>
    <row r="974">
      <c r="A974" s="13">
        <f>CHAIN_RAW!A974</f>
        <v/>
      </c>
      <c r="B974" s="14">
        <f>CHAIN_RAW!B974</f>
        <v/>
      </c>
      <c r="C974" s="13">
        <f>CHAIN_RAW!C974</f>
        <v/>
      </c>
      <c r="D974" s="13">
        <f>CHAIN_RAW!D974</f>
        <v/>
      </c>
      <c r="E974" s="13">
        <f>CHAIN_RAW!E974</f>
        <v/>
      </c>
      <c r="F974" s="13">
        <f>IFERROR((E974-D974)/D974,"")</f>
        <v/>
      </c>
      <c r="G974" s="13">
        <f>IFERROR((CHAIN_RAW!K974+CHAIN_RAW!L974)/2,"")</f>
        <v/>
      </c>
      <c r="H974" s="13">
        <f>IFERROR((CHAIN_RAW!R974+CHAIN_RAW!S974)/2,"")</f>
        <v/>
      </c>
      <c r="I974" s="13">
        <f>IFERROR((CHAIN_RAW!L974-CHAIN_RAW!K974)/MAX(1E-9, G974),"")</f>
        <v/>
      </c>
      <c r="J974" s="13">
        <f>IFERROR((CHAIN_RAW!S974-CHAIN_RAW!R974)/MAX(1E-9, H974),"")</f>
        <v/>
      </c>
      <c r="K974" s="13">
        <f>CHAIN_RAW!G974</f>
        <v/>
      </c>
      <c r="L974" s="13">
        <f>CHAIN_RAW!N974</f>
        <v/>
      </c>
      <c r="M974" s="13">
        <f>IFERROR(L974-K974,"")</f>
        <v/>
      </c>
      <c r="N974" s="13">
        <f>CHAIN_RAW!H974</f>
        <v/>
      </c>
      <c r="O974" s="13">
        <f>CHAIN_RAW!O974</f>
        <v/>
      </c>
      <c r="P974" s="13">
        <f>IFERROR(O974/N974,"")</f>
        <v/>
      </c>
      <c r="Q974" s="13">
        <f>CHAIN_RAW!I974</f>
        <v/>
      </c>
      <c r="R974" s="13">
        <f>CHAIN_RAW!P974</f>
        <v/>
      </c>
      <c r="S974" s="13">
        <f>IFERROR(R974/Q974,"")</f>
        <v/>
      </c>
      <c r="T974" s="13">
        <f>IFERROR((ABS(N974-O974)/MAX(1,(N974+O974)))*EXP(-ABS(E974-CONTROL!E5)/MAX(1,CONTROL!B8)),"")</f>
        <v/>
      </c>
      <c r="U974" s="13">
        <f>IFERROR(IF(O974&gt;N974,"SUPPORT (PE OI)","RESIST (CE OI)"),"")</f>
        <v/>
      </c>
      <c r="V974" s="13">
        <f>IFERROR(IF(Q974&gt;0,IF(R974&gt;0,"BOTH_ADD","CE_ADD_PE_REDUCE"),IF(R974&gt;0,"CE_REDUCE_PE_ADD","BOTH_REDUCE")),"")</f>
        <v/>
      </c>
      <c r="W974" s="13">
        <f>IFERROR( (P974-1)*0.5 + (M974)*0.1 - (I974+J974)*0.05 + T974*0.4 ,"")</f>
        <v/>
      </c>
      <c r="X974" s="13">
        <f>IFERROR(IF(ABS(F974)&lt;0.01,"ATM/NEAR",""),"")</f>
        <v/>
      </c>
    </row>
    <row r="975">
      <c r="A975" s="13">
        <f>CHAIN_RAW!A975</f>
        <v/>
      </c>
      <c r="B975" s="14">
        <f>CHAIN_RAW!B975</f>
        <v/>
      </c>
      <c r="C975" s="13">
        <f>CHAIN_RAW!C975</f>
        <v/>
      </c>
      <c r="D975" s="13">
        <f>CHAIN_RAW!D975</f>
        <v/>
      </c>
      <c r="E975" s="13">
        <f>CHAIN_RAW!E975</f>
        <v/>
      </c>
      <c r="F975" s="13">
        <f>IFERROR((E975-D975)/D975,"")</f>
        <v/>
      </c>
      <c r="G975" s="13">
        <f>IFERROR((CHAIN_RAW!K975+CHAIN_RAW!L975)/2,"")</f>
        <v/>
      </c>
      <c r="H975" s="13">
        <f>IFERROR((CHAIN_RAW!R975+CHAIN_RAW!S975)/2,"")</f>
        <v/>
      </c>
      <c r="I975" s="13">
        <f>IFERROR((CHAIN_RAW!L975-CHAIN_RAW!K975)/MAX(1E-9, G975),"")</f>
        <v/>
      </c>
      <c r="J975" s="13">
        <f>IFERROR((CHAIN_RAW!S975-CHAIN_RAW!R975)/MAX(1E-9, H975),"")</f>
        <v/>
      </c>
      <c r="K975" s="13">
        <f>CHAIN_RAW!G975</f>
        <v/>
      </c>
      <c r="L975" s="13">
        <f>CHAIN_RAW!N975</f>
        <v/>
      </c>
      <c r="M975" s="13">
        <f>IFERROR(L975-K975,"")</f>
        <v/>
      </c>
      <c r="N975" s="13">
        <f>CHAIN_RAW!H975</f>
        <v/>
      </c>
      <c r="O975" s="13">
        <f>CHAIN_RAW!O975</f>
        <v/>
      </c>
      <c r="P975" s="13">
        <f>IFERROR(O975/N975,"")</f>
        <v/>
      </c>
      <c r="Q975" s="13">
        <f>CHAIN_RAW!I975</f>
        <v/>
      </c>
      <c r="R975" s="13">
        <f>CHAIN_RAW!P975</f>
        <v/>
      </c>
      <c r="S975" s="13">
        <f>IFERROR(R975/Q975,"")</f>
        <v/>
      </c>
      <c r="T975" s="13">
        <f>IFERROR((ABS(N975-O975)/MAX(1,(N975+O975)))*EXP(-ABS(E975-CONTROL!E5)/MAX(1,CONTROL!B8)),"")</f>
        <v/>
      </c>
      <c r="U975" s="13">
        <f>IFERROR(IF(O975&gt;N975,"SUPPORT (PE OI)","RESIST (CE OI)"),"")</f>
        <v/>
      </c>
      <c r="V975" s="13">
        <f>IFERROR(IF(Q975&gt;0,IF(R975&gt;0,"BOTH_ADD","CE_ADD_PE_REDUCE"),IF(R975&gt;0,"CE_REDUCE_PE_ADD","BOTH_REDUCE")),"")</f>
        <v/>
      </c>
      <c r="W975" s="13">
        <f>IFERROR( (P975-1)*0.5 + (M975)*0.1 - (I975+J975)*0.05 + T975*0.4 ,"")</f>
        <v/>
      </c>
      <c r="X975" s="13">
        <f>IFERROR(IF(ABS(F975)&lt;0.01,"ATM/NEAR",""),"")</f>
        <v/>
      </c>
    </row>
    <row r="976">
      <c r="A976" s="13">
        <f>CHAIN_RAW!A976</f>
        <v/>
      </c>
      <c r="B976" s="14">
        <f>CHAIN_RAW!B976</f>
        <v/>
      </c>
      <c r="C976" s="13">
        <f>CHAIN_RAW!C976</f>
        <v/>
      </c>
      <c r="D976" s="13">
        <f>CHAIN_RAW!D976</f>
        <v/>
      </c>
      <c r="E976" s="13">
        <f>CHAIN_RAW!E976</f>
        <v/>
      </c>
      <c r="F976" s="13">
        <f>IFERROR((E976-D976)/D976,"")</f>
        <v/>
      </c>
      <c r="G976" s="13">
        <f>IFERROR((CHAIN_RAW!K976+CHAIN_RAW!L976)/2,"")</f>
        <v/>
      </c>
      <c r="H976" s="13">
        <f>IFERROR((CHAIN_RAW!R976+CHAIN_RAW!S976)/2,"")</f>
        <v/>
      </c>
      <c r="I976" s="13">
        <f>IFERROR((CHAIN_RAW!L976-CHAIN_RAW!K976)/MAX(1E-9, G976),"")</f>
        <v/>
      </c>
      <c r="J976" s="13">
        <f>IFERROR((CHAIN_RAW!S976-CHAIN_RAW!R976)/MAX(1E-9, H976),"")</f>
        <v/>
      </c>
      <c r="K976" s="13">
        <f>CHAIN_RAW!G976</f>
        <v/>
      </c>
      <c r="L976" s="13">
        <f>CHAIN_RAW!N976</f>
        <v/>
      </c>
      <c r="M976" s="13">
        <f>IFERROR(L976-K976,"")</f>
        <v/>
      </c>
      <c r="N976" s="13">
        <f>CHAIN_RAW!H976</f>
        <v/>
      </c>
      <c r="O976" s="13">
        <f>CHAIN_RAW!O976</f>
        <v/>
      </c>
      <c r="P976" s="13">
        <f>IFERROR(O976/N976,"")</f>
        <v/>
      </c>
      <c r="Q976" s="13">
        <f>CHAIN_RAW!I976</f>
        <v/>
      </c>
      <c r="R976" s="13">
        <f>CHAIN_RAW!P976</f>
        <v/>
      </c>
      <c r="S976" s="13">
        <f>IFERROR(R976/Q976,"")</f>
        <v/>
      </c>
      <c r="T976" s="13">
        <f>IFERROR((ABS(N976-O976)/MAX(1,(N976+O976)))*EXP(-ABS(E976-CONTROL!E5)/MAX(1,CONTROL!B8)),"")</f>
        <v/>
      </c>
      <c r="U976" s="13">
        <f>IFERROR(IF(O976&gt;N976,"SUPPORT (PE OI)","RESIST (CE OI)"),"")</f>
        <v/>
      </c>
      <c r="V976" s="13">
        <f>IFERROR(IF(Q976&gt;0,IF(R976&gt;0,"BOTH_ADD","CE_ADD_PE_REDUCE"),IF(R976&gt;0,"CE_REDUCE_PE_ADD","BOTH_REDUCE")),"")</f>
        <v/>
      </c>
      <c r="W976" s="13">
        <f>IFERROR( (P976-1)*0.5 + (M976)*0.1 - (I976+J976)*0.05 + T976*0.4 ,"")</f>
        <v/>
      </c>
      <c r="X976" s="13">
        <f>IFERROR(IF(ABS(F976)&lt;0.01,"ATM/NEAR",""),"")</f>
        <v/>
      </c>
    </row>
    <row r="977">
      <c r="A977" s="13">
        <f>CHAIN_RAW!A977</f>
        <v/>
      </c>
      <c r="B977" s="14">
        <f>CHAIN_RAW!B977</f>
        <v/>
      </c>
      <c r="C977" s="13">
        <f>CHAIN_RAW!C977</f>
        <v/>
      </c>
      <c r="D977" s="13">
        <f>CHAIN_RAW!D977</f>
        <v/>
      </c>
      <c r="E977" s="13">
        <f>CHAIN_RAW!E977</f>
        <v/>
      </c>
      <c r="F977" s="13">
        <f>IFERROR((E977-D977)/D977,"")</f>
        <v/>
      </c>
      <c r="G977" s="13">
        <f>IFERROR((CHAIN_RAW!K977+CHAIN_RAW!L977)/2,"")</f>
        <v/>
      </c>
      <c r="H977" s="13">
        <f>IFERROR((CHAIN_RAW!R977+CHAIN_RAW!S977)/2,"")</f>
        <v/>
      </c>
      <c r="I977" s="13">
        <f>IFERROR((CHAIN_RAW!L977-CHAIN_RAW!K977)/MAX(1E-9, G977),"")</f>
        <v/>
      </c>
      <c r="J977" s="13">
        <f>IFERROR((CHAIN_RAW!S977-CHAIN_RAW!R977)/MAX(1E-9, H977),"")</f>
        <v/>
      </c>
      <c r="K977" s="13">
        <f>CHAIN_RAW!G977</f>
        <v/>
      </c>
      <c r="L977" s="13">
        <f>CHAIN_RAW!N977</f>
        <v/>
      </c>
      <c r="M977" s="13">
        <f>IFERROR(L977-K977,"")</f>
        <v/>
      </c>
      <c r="N977" s="13">
        <f>CHAIN_RAW!H977</f>
        <v/>
      </c>
      <c r="O977" s="13">
        <f>CHAIN_RAW!O977</f>
        <v/>
      </c>
      <c r="P977" s="13">
        <f>IFERROR(O977/N977,"")</f>
        <v/>
      </c>
      <c r="Q977" s="13">
        <f>CHAIN_RAW!I977</f>
        <v/>
      </c>
      <c r="R977" s="13">
        <f>CHAIN_RAW!P977</f>
        <v/>
      </c>
      <c r="S977" s="13">
        <f>IFERROR(R977/Q977,"")</f>
        <v/>
      </c>
      <c r="T977" s="13">
        <f>IFERROR((ABS(N977-O977)/MAX(1,(N977+O977)))*EXP(-ABS(E977-CONTROL!E5)/MAX(1,CONTROL!B8)),"")</f>
        <v/>
      </c>
      <c r="U977" s="13">
        <f>IFERROR(IF(O977&gt;N977,"SUPPORT (PE OI)","RESIST (CE OI)"),"")</f>
        <v/>
      </c>
      <c r="V977" s="13">
        <f>IFERROR(IF(Q977&gt;0,IF(R977&gt;0,"BOTH_ADD","CE_ADD_PE_REDUCE"),IF(R977&gt;0,"CE_REDUCE_PE_ADD","BOTH_REDUCE")),"")</f>
        <v/>
      </c>
      <c r="W977" s="13">
        <f>IFERROR( (P977-1)*0.5 + (M977)*0.1 - (I977+J977)*0.05 + T977*0.4 ,"")</f>
        <v/>
      </c>
      <c r="X977" s="13">
        <f>IFERROR(IF(ABS(F977)&lt;0.01,"ATM/NEAR",""),"")</f>
        <v/>
      </c>
    </row>
    <row r="978">
      <c r="A978" s="13">
        <f>CHAIN_RAW!A978</f>
        <v/>
      </c>
      <c r="B978" s="14">
        <f>CHAIN_RAW!B978</f>
        <v/>
      </c>
      <c r="C978" s="13">
        <f>CHAIN_RAW!C978</f>
        <v/>
      </c>
      <c r="D978" s="13">
        <f>CHAIN_RAW!D978</f>
        <v/>
      </c>
      <c r="E978" s="13">
        <f>CHAIN_RAW!E978</f>
        <v/>
      </c>
      <c r="F978" s="13">
        <f>IFERROR((E978-D978)/D978,"")</f>
        <v/>
      </c>
      <c r="G978" s="13">
        <f>IFERROR((CHAIN_RAW!K978+CHAIN_RAW!L978)/2,"")</f>
        <v/>
      </c>
      <c r="H978" s="13">
        <f>IFERROR((CHAIN_RAW!R978+CHAIN_RAW!S978)/2,"")</f>
        <v/>
      </c>
      <c r="I978" s="13">
        <f>IFERROR((CHAIN_RAW!L978-CHAIN_RAW!K978)/MAX(1E-9, G978),"")</f>
        <v/>
      </c>
      <c r="J978" s="13">
        <f>IFERROR((CHAIN_RAW!S978-CHAIN_RAW!R978)/MAX(1E-9, H978),"")</f>
        <v/>
      </c>
      <c r="K978" s="13">
        <f>CHAIN_RAW!G978</f>
        <v/>
      </c>
      <c r="L978" s="13">
        <f>CHAIN_RAW!N978</f>
        <v/>
      </c>
      <c r="M978" s="13">
        <f>IFERROR(L978-K978,"")</f>
        <v/>
      </c>
      <c r="N978" s="13">
        <f>CHAIN_RAW!H978</f>
        <v/>
      </c>
      <c r="O978" s="13">
        <f>CHAIN_RAW!O978</f>
        <v/>
      </c>
      <c r="P978" s="13">
        <f>IFERROR(O978/N978,"")</f>
        <v/>
      </c>
      <c r="Q978" s="13">
        <f>CHAIN_RAW!I978</f>
        <v/>
      </c>
      <c r="R978" s="13">
        <f>CHAIN_RAW!P978</f>
        <v/>
      </c>
      <c r="S978" s="13">
        <f>IFERROR(R978/Q978,"")</f>
        <v/>
      </c>
      <c r="T978" s="13">
        <f>IFERROR((ABS(N978-O978)/MAX(1,(N978+O978)))*EXP(-ABS(E978-CONTROL!E5)/MAX(1,CONTROL!B8)),"")</f>
        <v/>
      </c>
      <c r="U978" s="13">
        <f>IFERROR(IF(O978&gt;N978,"SUPPORT (PE OI)","RESIST (CE OI)"),"")</f>
        <v/>
      </c>
      <c r="V978" s="13">
        <f>IFERROR(IF(Q978&gt;0,IF(R978&gt;0,"BOTH_ADD","CE_ADD_PE_REDUCE"),IF(R978&gt;0,"CE_REDUCE_PE_ADD","BOTH_REDUCE")),"")</f>
        <v/>
      </c>
      <c r="W978" s="13">
        <f>IFERROR( (P978-1)*0.5 + (M978)*0.1 - (I978+J978)*0.05 + T978*0.4 ,"")</f>
        <v/>
      </c>
      <c r="X978" s="13">
        <f>IFERROR(IF(ABS(F978)&lt;0.01,"ATM/NEAR",""),"")</f>
        <v/>
      </c>
    </row>
    <row r="979">
      <c r="A979" s="13">
        <f>CHAIN_RAW!A979</f>
        <v/>
      </c>
      <c r="B979" s="14">
        <f>CHAIN_RAW!B979</f>
        <v/>
      </c>
      <c r="C979" s="13">
        <f>CHAIN_RAW!C979</f>
        <v/>
      </c>
      <c r="D979" s="13">
        <f>CHAIN_RAW!D979</f>
        <v/>
      </c>
      <c r="E979" s="13">
        <f>CHAIN_RAW!E979</f>
        <v/>
      </c>
      <c r="F979" s="13">
        <f>IFERROR((E979-D979)/D979,"")</f>
        <v/>
      </c>
      <c r="G979" s="13">
        <f>IFERROR((CHAIN_RAW!K979+CHAIN_RAW!L979)/2,"")</f>
        <v/>
      </c>
      <c r="H979" s="13">
        <f>IFERROR((CHAIN_RAW!R979+CHAIN_RAW!S979)/2,"")</f>
        <v/>
      </c>
      <c r="I979" s="13">
        <f>IFERROR((CHAIN_RAW!L979-CHAIN_RAW!K979)/MAX(1E-9, G979),"")</f>
        <v/>
      </c>
      <c r="J979" s="13">
        <f>IFERROR((CHAIN_RAW!S979-CHAIN_RAW!R979)/MAX(1E-9, H979),"")</f>
        <v/>
      </c>
      <c r="K979" s="13">
        <f>CHAIN_RAW!G979</f>
        <v/>
      </c>
      <c r="L979" s="13">
        <f>CHAIN_RAW!N979</f>
        <v/>
      </c>
      <c r="M979" s="13">
        <f>IFERROR(L979-K979,"")</f>
        <v/>
      </c>
      <c r="N979" s="13">
        <f>CHAIN_RAW!H979</f>
        <v/>
      </c>
      <c r="O979" s="13">
        <f>CHAIN_RAW!O979</f>
        <v/>
      </c>
      <c r="P979" s="13">
        <f>IFERROR(O979/N979,"")</f>
        <v/>
      </c>
      <c r="Q979" s="13">
        <f>CHAIN_RAW!I979</f>
        <v/>
      </c>
      <c r="R979" s="13">
        <f>CHAIN_RAW!P979</f>
        <v/>
      </c>
      <c r="S979" s="13">
        <f>IFERROR(R979/Q979,"")</f>
        <v/>
      </c>
      <c r="T979" s="13">
        <f>IFERROR((ABS(N979-O979)/MAX(1,(N979+O979)))*EXP(-ABS(E979-CONTROL!E5)/MAX(1,CONTROL!B8)),"")</f>
        <v/>
      </c>
      <c r="U979" s="13">
        <f>IFERROR(IF(O979&gt;N979,"SUPPORT (PE OI)","RESIST (CE OI)"),"")</f>
        <v/>
      </c>
      <c r="V979" s="13">
        <f>IFERROR(IF(Q979&gt;0,IF(R979&gt;0,"BOTH_ADD","CE_ADD_PE_REDUCE"),IF(R979&gt;0,"CE_REDUCE_PE_ADD","BOTH_REDUCE")),"")</f>
        <v/>
      </c>
      <c r="W979" s="13">
        <f>IFERROR( (P979-1)*0.5 + (M979)*0.1 - (I979+J979)*0.05 + T979*0.4 ,"")</f>
        <v/>
      </c>
      <c r="X979" s="13">
        <f>IFERROR(IF(ABS(F979)&lt;0.01,"ATM/NEAR",""),"")</f>
        <v/>
      </c>
    </row>
    <row r="980">
      <c r="A980" s="13">
        <f>CHAIN_RAW!A980</f>
        <v/>
      </c>
      <c r="B980" s="14">
        <f>CHAIN_RAW!B980</f>
        <v/>
      </c>
      <c r="C980" s="13">
        <f>CHAIN_RAW!C980</f>
        <v/>
      </c>
      <c r="D980" s="13">
        <f>CHAIN_RAW!D980</f>
        <v/>
      </c>
      <c r="E980" s="13">
        <f>CHAIN_RAW!E980</f>
        <v/>
      </c>
      <c r="F980" s="13">
        <f>IFERROR((E980-D980)/D980,"")</f>
        <v/>
      </c>
      <c r="G980" s="13">
        <f>IFERROR((CHAIN_RAW!K980+CHAIN_RAW!L980)/2,"")</f>
        <v/>
      </c>
      <c r="H980" s="13">
        <f>IFERROR((CHAIN_RAW!R980+CHAIN_RAW!S980)/2,"")</f>
        <v/>
      </c>
      <c r="I980" s="13">
        <f>IFERROR((CHAIN_RAW!L980-CHAIN_RAW!K980)/MAX(1E-9, G980),"")</f>
        <v/>
      </c>
      <c r="J980" s="13">
        <f>IFERROR((CHAIN_RAW!S980-CHAIN_RAW!R980)/MAX(1E-9, H980),"")</f>
        <v/>
      </c>
      <c r="K980" s="13">
        <f>CHAIN_RAW!G980</f>
        <v/>
      </c>
      <c r="L980" s="13">
        <f>CHAIN_RAW!N980</f>
        <v/>
      </c>
      <c r="M980" s="13">
        <f>IFERROR(L980-K980,"")</f>
        <v/>
      </c>
      <c r="N980" s="13">
        <f>CHAIN_RAW!H980</f>
        <v/>
      </c>
      <c r="O980" s="13">
        <f>CHAIN_RAW!O980</f>
        <v/>
      </c>
      <c r="P980" s="13">
        <f>IFERROR(O980/N980,"")</f>
        <v/>
      </c>
      <c r="Q980" s="13">
        <f>CHAIN_RAW!I980</f>
        <v/>
      </c>
      <c r="R980" s="13">
        <f>CHAIN_RAW!P980</f>
        <v/>
      </c>
      <c r="S980" s="13">
        <f>IFERROR(R980/Q980,"")</f>
        <v/>
      </c>
      <c r="T980" s="13">
        <f>IFERROR((ABS(N980-O980)/MAX(1,(N980+O980)))*EXP(-ABS(E980-CONTROL!E5)/MAX(1,CONTROL!B8)),"")</f>
        <v/>
      </c>
      <c r="U980" s="13">
        <f>IFERROR(IF(O980&gt;N980,"SUPPORT (PE OI)","RESIST (CE OI)"),"")</f>
        <v/>
      </c>
      <c r="V980" s="13">
        <f>IFERROR(IF(Q980&gt;0,IF(R980&gt;0,"BOTH_ADD","CE_ADD_PE_REDUCE"),IF(R980&gt;0,"CE_REDUCE_PE_ADD","BOTH_REDUCE")),"")</f>
        <v/>
      </c>
      <c r="W980" s="13">
        <f>IFERROR( (P980-1)*0.5 + (M980)*0.1 - (I980+J980)*0.05 + T980*0.4 ,"")</f>
        <v/>
      </c>
      <c r="X980" s="13">
        <f>IFERROR(IF(ABS(F980)&lt;0.01,"ATM/NEAR",""),"")</f>
        <v/>
      </c>
    </row>
    <row r="981">
      <c r="A981" s="13">
        <f>CHAIN_RAW!A981</f>
        <v/>
      </c>
      <c r="B981" s="14">
        <f>CHAIN_RAW!B981</f>
        <v/>
      </c>
      <c r="C981" s="13">
        <f>CHAIN_RAW!C981</f>
        <v/>
      </c>
      <c r="D981" s="13">
        <f>CHAIN_RAW!D981</f>
        <v/>
      </c>
      <c r="E981" s="13">
        <f>CHAIN_RAW!E981</f>
        <v/>
      </c>
      <c r="F981" s="13">
        <f>IFERROR((E981-D981)/D981,"")</f>
        <v/>
      </c>
      <c r="G981" s="13">
        <f>IFERROR((CHAIN_RAW!K981+CHAIN_RAW!L981)/2,"")</f>
        <v/>
      </c>
      <c r="H981" s="13">
        <f>IFERROR((CHAIN_RAW!R981+CHAIN_RAW!S981)/2,"")</f>
        <v/>
      </c>
      <c r="I981" s="13">
        <f>IFERROR((CHAIN_RAW!L981-CHAIN_RAW!K981)/MAX(1E-9, G981),"")</f>
        <v/>
      </c>
      <c r="J981" s="13">
        <f>IFERROR((CHAIN_RAW!S981-CHAIN_RAW!R981)/MAX(1E-9, H981),"")</f>
        <v/>
      </c>
      <c r="K981" s="13">
        <f>CHAIN_RAW!G981</f>
        <v/>
      </c>
      <c r="L981" s="13">
        <f>CHAIN_RAW!N981</f>
        <v/>
      </c>
      <c r="M981" s="13">
        <f>IFERROR(L981-K981,"")</f>
        <v/>
      </c>
      <c r="N981" s="13">
        <f>CHAIN_RAW!H981</f>
        <v/>
      </c>
      <c r="O981" s="13">
        <f>CHAIN_RAW!O981</f>
        <v/>
      </c>
      <c r="P981" s="13">
        <f>IFERROR(O981/N981,"")</f>
        <v/>
      </c>
      <c r="Q981" s="13">
        <f>CHAIN_RAW!I981</f>
        <v/>
      </c>
      <c r="R981" s="13">
        <f>CHAIN_RAW!P981</f>
        <v/>
      </c>
      <c r="S981" s="13">
        <f>IFERROR(R981/Q981,"")</f>
        <v/>
      </c>
      <c r="T981" s="13">
        <f>IFERROR((ABS(N981-O981)/MAX(1,(N981+O981)))*EXP(-ABS(E981-CONTROL!E5)/MAX(1,CONTROL!B8)),"")</f>
        <v/>
      </c>
      <c r="U981" s="13">
        <f>IFERROR(IF(O981&gt;N981,"SUPPORT (PE OI)","RESIST (CE OI)"),"")</f>
        <v/>
      </c>
      <c r="V981" s="13">
        <f>IFERROR(IF(Q981&gt;0,IF(R981&gt;0,"BOTH_ADD","CE_ADD_PE_REDUCE"),IF(R981&gt;0,"CE_REDUCE_PE_ADD","BOTH_REDUCE")),"")</f>
        <v/>
      </c>
      <c r="W981" s="13">
        <f>IFERROR( (P981-1)*0.5 + (M981)*0.1 - (I981+J981)*0.05 + T981*0.4 ,"")</f>
        <v/>
      </c>
      <c r="X981" s="13">
        <f>IFERROR(IF(ABS(F981)&lt;0.01,"ATM/NEAR",""),"")</f>
        <v/>
      </c>
    </row>
    <row r="982">
      <c r="A982" s="13">
        <f>CHAIN_RAW!A982</f>
        <v/>
      </c>
      <c r="B982" s="14">
        <f>CHAIN_RAW!B982</f>
        <v/>
      </c>
      <c r="C982" s="13">
        <f>CHAIN_RAW!C982</f>
        <v/>
      </c>
      <c r="D982" s="13">
        <f>CHAIN_RAW!D982</f>
        <v/>
      </c>
      <c r="E982" s="13">
        <f>CHAIN_RAW!E982</f>
        <v/>
      </c>
      <c r="F982" s="13">
        <f>IFERROR((E982-D982)/D982,"")</f>
        <v/>
      </c>
      <c r="G982" s="13">
        <f>IFERROR((CHAIN_RAW!K982+CHAIN_RAW!L982)/2,"")</f>
        <v/>
      </c>
      <c r="H982" s="13">
        <f>IFERROR((CHAIN_RAW!R982+CHAIN_RAW!S982)/2,"")</f>
        <v/>
      </c>
      <c r="I982" s="13">
        <f>IFERROR((CHAIN_RAW!L982-CHAIN_RAW!K982)/MAX(1E-9, G982),"")</f>
        <v/>
      </c>
      <c r="J982" s="13">
        <f>IFERROR((CHAIN_RAW!S982-CHAIN_RAW!R982)/MAX(1E-9, H982),"")</f>
        <v/>
      </c>
      <c r="K982" s="13">
        <f>CHAIN_RAW!G982</f>
        <v/>
      </c>
      <c r="L982" s="13">
        <f>CHAIN_RAW!N982</f>
        <v/>
      </c>
      <c r="M982" s="13">
        <f>IFERROR(L982-K982,"")</f>
        <v/>
      </c>
      <c r="N982" s="13">
        <f>CHAIN_RAW!H982</f>
        <v/>
      </c>
      <c r="O982" s="13">
        <f>CHAIN_RAW!O982</f>
        <v/>
      </c>
      <c r="P982" s="13">
        <f>IFERROR(O982/N982,"")</f>
        <v/>
      </c>
      <c r="Q982" s="13">
        <f>CHAIN_RAW!I982</f>
        <v/>
      </c>
      <c r="R982" s="13">
        <f>CHAIN_RAW!P982</f>
        <v/>
      </c>
      <c r="S982" s="13">
        <f>IFERROR(R982/Q982,"")</f>
        <v/>
      </c>
      <c r="T982" s="13">
        <f>IFERROR((ABS(N982-O982)/MAX(1,(N982+O982)))*EXP(-ABS(E982-CONTROL!E5)/MAX(1,CONTROL!B8)),"")</f>
        <v/>
      </c>
      <c r="U982" s="13">
        <f>IFERROR(IF(O982&gt;N982,"SUPPORT (PE OI)","RESIST (CE OI)"),"")</f>
        <v/>
      </c>
      <c r="V982" s="13">
        <f>IFERROR(IF(Q982&gt;0,IF(R982&gt;0,"BOTH_ADD","CE_ADD_PE_REDUCE"),IF(R982&gt;0,"CE_REDUCE_PE_ADD","BOTH_REDUCE")),"")</f>
        <v/>
      </c>
      <c r="W982" s="13">
        <f>IFERROR( (P982-1)*0.5 + (M982)*0.1 - (I982+J982)*0.05 + T982*0.4 ,"")</f>
        <v/>
      </c>
      <c r="X982" s="13">
        <f>IFERROR(IF(ABS(F982)&lt;0.01,"ATM/NEAR",""),"")</f>
        <v/>
      </c>
    </row>
    <row r="983">
      <c r="A983" s="13">
        <f>CHAIN_RAW!A983</f>
        <v/>
      </c>
      <c r="B983" s="14">
        <f>CHAIN_RAW!B983</f>
        <v/>
      </c>
      <c r="C983" s="13">
        <f>CHAIN_RAW!C983</f>
        <v/>
      </c>
      <c r="D983" s="13">
        <f>CHAIN_RAW!D983</f>
        <v/>
      </c>
      <c r="E983" s="13">
        <f>CHAIN_RAW!E983</f>
        <v/>
      </c>
      <c r="F983" s="13">
        <f>IFERROR((E983-D983)/D983,"")</f>
        <v/>
      </c>
      <c r="G983" s="13">
        <f>IFERROR((CHAIN_RAW!K983+CHAIN_RAW!L983)/2,"")</f>
        <v/>
      </c>
      <c r="H983" s="13">
        <f>IFERROR((CHAIN_RAW!R983+CHAIN_RAW!S983)/2,"")</f>
        <v/>
      </c>
      <c r="I983" s="13">
        <f>IFERROR((CHAIN_RAW!L983-CHAIN_RAW!K983)/MAX(1E-9, G983),"")</f>
        <v/>
      </c>
      <c r="J983" s="13">
        <f>IFERROR((CHAIN_RAW!S983-CHAIN_RAW!R983)/MAX(1E-9, H983),"")</f>
        <v/>
      </c>
      <c r="K983" s="13">
        <f>CHAIN_RAW!G983</f>
        <v/>
      </c>
      <c r="L983" s="13">
        <f>CHAIN_RAW!N983</f>
        <v/>
      </c>
      <c r="M983" s="13">
        <f>IFERROR(L983-K983,"")</f>
        <v/>
      </c>
      <c r="N983" s="13">
        <f>CHAIN_RAW!H983</f>
        <v/>
      </c>
      <c r="O983" s="13">
        <f>CHAIN_RAW!O983</f>
        <v/>
      </c>
      <c r="P983" s="13">
        <f>IFERROR(O983/N983,"")</f>
        <v/>
      </c>
      <c r="Q983" s="13">
        <f>CHAIN_RAW!I983</f>
        <v/>
      </c>
      <c r="R983" s="13">
        <f>CHAIN_RAW!P983</f>
        <v/>
      </c>
      <c r="S983" s="13">
        <f>IFERROR(R983/Q983,"")</f>
        <v/>
      </c>
      <c r="T983" s="13">
        <f>IFERROR((ABS(N983-O983)/MAX(1,(N983+O983)))*EXP(-ABS(E983-CONTROL!E5)/MAX(1,CONTROL!B8)),"")</f>
        <v/>
      </c>
      <c r="U983" s="13">
        <f>IFERROR(IF(O983&gt;N983,"SUPPORT (PE OI)","RESIST (CE OI)"),"")</f>
        <v/>
      </c>
      <c r="V983" s="13">
        <f>IFERROR(IF(Q983&gt;0,IF(R983&gt;0,"BOTH_ADD","CE_ADD_PE_REDUCE"),IF(R983&gt;0,"CE_REDUCE_PE_ADD","BOTH_REDUCE")),"")</f>
        <v/>
      </c>
      <c r="W983" s="13">
        <f>IFERROR( (P983-1)*0.5 + (M983)*0.1 - (I983+J983)*0.05 + T983*0.4 ,"")</f>
        <v/>
      </c>
      <c r="X983" s="13">
        <f>IFERROR(IF(ABS(F983)&lt;0.01,"ATM/NEAR",""),"")</f>
        <v/>
      </c>
    </row>
    <row r="984">
      <c r="A984" s="13">
        <f>CHAIN_RAW!A984</f>
        <v/>
      </c>
      <c r="B984" s="14">
        <f>CHAIN_RAW!B984</f>
        <v/>
      </c>
      <c r="C984" s="13">
        <f>CHAIN_RAW!C984</f>
        <v/>
      </c>
      <c r="D984" s="13">
        <f>CHAIN_RAW!D984</f>
        <v/>
      </c>
      <c r="E984" s="13">
        <f>CHAIN_RAW!E984</f>
        <v/>
      </c>
      <c r="F984" s="13">
        <f>IFERROR((E984-D984)/D984,"")</f>
        <v/>
      </c>
      <c r="G984" s="13">
        <f>IFERROR((CHAIN_RAW!K984+CHAIN_RAW!L984)/2,"")</f>
        <v/>
      </c>
      <c r="H984" s="13">
        <f>IFERROR((CHAIN_RAW!R984+CHAIN_RAW!S984)/2,"")</f>
        <v/>
      </c>
      <c r="I984" s="13">
        <f>IFERROR((CHAIN_RAW!L984-CHAIN_RAW!K984)/MAX(1E-9, G984),"")</f>
        <v/>
      </c>
      <c r="J984" s="13">
        <f>IFERROR((CHAIN_RAW!S984-CHAIN_RAW!R984)/MAX(1E-9, H984),"")</f>
        <v/>
      </c>
      <c r="K984" s="13">
        <f>CHAIN_RAW!G984</f>
        <v/>
      </c>
      <c r="L984" s="13">
        <f>CHAIN_RAW!N984</f>
        <v/>
      </c>
      <c r="M984" s="13">
        <f>IFERROR(L984-K984,"")</f>
        <v/>
      </c>
      <c r="N984" s="13">
        <f>CHAIN_RAW!H984</f>
        <v/>
      </c>
      <c r="O984" s="13">
        <f>CHAIN_RAW!O984</f>
        <v/>
      </c>
      <c r="P984" s="13">
        <f>IFERROR(O984/N984,"")</f>
        <v/>
      </c>
      <c r="Q984" s="13">
        <f>CHAIN_RAW!I984</f>
        <v/>
      </c>
      <c r="R984" s="13">
        <f>CHAIN_RAW!P984</f>
        <v/>
      </c>
      <c r="S984" s="13">
        <f>IFERROR(R984/Q984,"")</f>
        <v/>
      </c>
      <c r="T984" s="13">
        <f>IFERROR((ABS(N984-O984)/MAX(1,(N984+O984)))*EXP(-ABS(E984-CONTROL!E5)/MAX(1,CONTROL!B8)),"")</f>
        <v/>
      </c>
      <c r="U984" s="13">
        <f>IFERROR(IF(O984&gt;N984,"SUPPORT (PE OI)","RESIST (CE OI)"),"")</f>
        <v/>
      </c>
      <c r="V984" s="13">
        <f>IFERROR(IF(Q984&gt;0,IF(R984&gt;0,"BOTH_ADD","CE_ADD_PE_REDUCE"),IF(R984&gt;0,"CE_REDUCE_PE_ADD","BOTH_REDUCE")),"")</f>
        <v/>
      </c>
      <c r="W984" s="13">
        <f>IFERROR( (P984-1)*0.5 + (M984)*0.1 - (I984+J984)*0.05 + T984*0.4 ,"")</f>
        <v/>
      </c>
      <c r="X984" s="13">
        <f>IFERROR(IF(ABS(F984)&lt;0.01,"ATM/NEAR",""),"")</f>
        <v/>
      </c>
    </row>
    <row r="985">
      <c r="A985" s="13">
        <f>CHAIN_RAW!A985</f>
        <v/>
      </c>
      <c r="B985" s="14">
        <f>CHAIN_RAW!B985</f>
        <v/>
      </c>
      <c r="C985" s="13">
        <f>CHAIN_RAW!C985</f>
        <v/>
      </c>
      <c r="D985" s="13">
        <f>CHAIN_RAW!D985</f>
        <v/>
      </c>
      <c r="E985" s="13">
        <f>CHAIN_RAW!E985</f>
        <v/>
      </c>
      <c r="F985" s="13">
        <f>IFERROR((E985-D985)/D985,"")</f>
        <v/>
      </c>
      <c r="G985" s="13">
        <f>IFERROR((CHAIN_RAW!K985+CHAIN_RAW!L985)/2,"")</f>
        <v/>
      </c>
      <c r="H985" s="13">
        <f>IFERROR((CHAIN_RAW!R985+CHAIN_RAW!S985)/2,"")</f>
        <v/>
      </c>
      <c r="I985" s="13">
        <f>IFERROR((CHAIN_RAW!L985-CHAIN_RAW!K985)/MAX(1E-9, G985),"")</f>
        <v/>
      </c>
      <c r="J985" s="13">
        <f>IFERROR((CHAIN_RAW!S985-CHAIN_RAW!R985)/MAX(1E-9, H985),"")</f>
        <v/>
      </c>
      <c r="K985" s="13">
        <f>CHAIN_RAW!G985</f>
        <v/>
      </c>
      <c r="L985" s="13">
        <f>CHAIN_RAW!N985</f>
        <v/>
      </c>
      <c r="M985" s="13">
        <f>IFERROR(L985-K985,"")</f>
        <v/>
      </c>
      <c r="N985" s="13">
        <f>CHAIN_RAW!H985</f>
        <v/>
      </c>
      <c r="O985" s="13">
        <f>CHAIN_RAW!O985</f>
        <v/>
      </c>
      <c r="P985" s="13">
        <f>IFERROR(O985/N985,"")</f>
        <v/>
      </c>
      <c r="Q985" s="13">
        <f>CHAIN_RAW!I985</f>
        <v/>
      </c>
      <c r="R985" s="13">
        <f>CHAIN_RAW!P985</f>
        <v/>
      </c>
      <c r="S985" s="13">
        <f>IFERROR(R985/Q985,"")</f>
        <v/>
      </c>
      <c r="T985" s="13">
        <f>IFERROR((ABS(N985-O985)/MAX(1,(N985+O985)))*EXP(-ABS(E985-CONTROL!E5)/MAX(1,CONTROL!B8)),"")</f>
        <v/>
      </c>
      <c r="U985" s="13">
        <f>IFERROR(IF(O985&gt;N985,"SUPPORT (PE OI)","RESIST (CE OI)"),"")</f>
        <v/>
      </c>
      <c r="V985" s="13">
        <f>IFERROR(IF(Q985&gt;0,IF(R985&gt;0,"BOTH_ADD","CE_ADD_PE_REDUCE"),IF(R985&gt;0,"CE_REDUCE_PE_ADD","BOTH_REDUCE")),"")</f>
        <v/>
      </c>
      <c r="W985" s="13">
        <f>IFERROR( (P985-1)*0.5 + (M985)*0.1 - (I985+J985)*0.05 + T985*0.4 ,"")</f>
        <v/>
      </c>
      <c r="X985" s="13">
        <f>IFERROR(IF(ABS(F985)&lt;0.01,"ATM/NEAR",""),"")</f>
        <v/>
      </c>
    </row>
    <row r="986">
      <c r="A986" s="13">
        <f>CHAIN_RAW!A986</f>
        <v/>
      </c>
      <c r="B986" s="14">
        <f>CHAIN_RAW!B986</f>
        <v/>
      </c>
      <c r="C986" s="13">
        <f>CHAIN_RAW!C986</f>
        <v/>
      </c>
      <c r="D986" s="13">
        <f>CHAIN_RAW!D986</f>
        <v/>
      </c>
      <c r="E986" s="13">
        <f>CHAIN_RAW!E986</f>
        <v/>
      </c>
      <c r="F986" s="13">
        <f>IFERROR((E986-D986)/D986,"")</f>
        <v/>
      </c>
      <c r="G986" s="13">
        <f>IFERROR((CHAIN_RAW!K986+CHAIN_RAW!L986)/2,"")</f>
        <v/>
      </c>
      <c r="H986" s="13">
        <f>IFERROR((CHAIN_RAW!R986+CHAIN_RAW!S986)/2,"")</f>
        <v/>
      </c>
      <c r="I986" s="13">
        <f>IFERROR((CHAIN_RAW!L986-CHAIN_RAW!K986)/MAX(1E-9, G986),"")</f>
        <v/>
      </c>
      <c r="J986" s="13">
        <f>IFERROR((CHAIN_RAW!S986-CHAIN_RAW!R986)/MAX(1E-9, H986),"")</f>
        <v/>
      </c>
      <c r="K986" s="13">
        <f>CHAIN_RAW!G986</f>
        <v/>
      </c>
      <c r="L986" s="13">
        <f>CHAIN_RAW!N986</f>
        <v/>
      </c>
      <c r="M986" s="13">
        <f>IFERROR(L986-K986,"")</f>
        <v/>
      </c>
      <c r="N986" s="13">
        <f>CHAIN_RAW!H986</f>
        <v/>
      </c>
      <c r="O986" s="13">
        <f>CHAIN_RAW!O986</f>
        <v/>
      </c>
      <c r="P986" s="13">
        <f>IFERROR(O986/N986,"")</f>
        <v/>
      </c>
      <c r="Q986" s="13">
        <f>CHAIN_RAW!I986</f>
        <v/>
      </c>
      <c r="R986" s="13">
        <f>CHAIN_RAW!P986</f>
        <v/>
      </c>
      <c r="S986" s="13">
        <f>IFERROR(R986/Q986,"")</f>
        <v/>
      </c>
      <c r="T986" s="13">
        <f>IFERROR((ABS(N986-O986)/MAX(1,(N986+O986)))*EXP(-ABS(E986-CONTROL!E5)/MAX(1,CONTROL!B8)),"")</f>
        <v/>
      </c>
      <c r="U986" s="13">
        <f>IFERROR(IF(O986&gt;N986,"SUPPORT (PE OI)","RESIST (CE OI)"),"")</f>
        <v/>
      </c>
      <c r="V986" s="13">
        <f>IFERROR(IF(Q986&gt;0,IF(R986&gt;0,"BOTH_ADD","CE_ADD_PE_REDUCE"),IF(R986&gt;0,"CE_REDUCE_PE_ADD","BOTH_REDUCE")),"")</f>
        <v/>
      </c>
      <c r="W986" s="13">
        <f>IFERROR( (P986-1)*0.5 + (M986)*0.1 - (I986+J986)*0.05 + T986*0.4 ,"")</f>
        <v/>
      </c>
      <c r="X986" s="13">
        <f>IFERROR(IF(ABS(F986)&lt;0.01,"ATM/NEAR",""),"")</f>
        <v/>
      </c>
    </row>
    <row r="987">
      <c r="A987" s="13">
        <f>CHAIN_RAW!A987</f>
        <v/>
      </c>
      <c r="B987" s="14">
        <f>CHAIN_RAW!B987</f>
        <v/>
      </c>
      <c r="C987" s="13">
        <f>CHAIN_RAW!C987</f>
        <v/>
      </c>
      <c r="D987" s="13">
        <f>CHAIN_RAW!D987</f>
        <v/>
      </c>
      <c r="E987" s="13">
        <f>CHAIN_RAW!E987</f>
        <v/>
      </c>
      <c r="F987" s="13">
        <f>IFERROR((E987-D987)/D987,"")</f>
        <v/>
      </c>
      <c r="G987" s="13">
        <f>IFERROR((CHAIN_RAW!K987+CHAIN_RAW!L987)/2,"")</f>
        <v/>
      </c>
      <c r="H987" s="13">
        <f>IFERROR((CHAIN_RAW!R987+CHAIN_RAW!S987)/2,"")</f>
        <v/>
      </c>
      <c r="I987" s="13">
        <f>IFERROR((CHAIN_RAW!L987-CHAIN_RAW!K987)/MAX(1E-9, G987),"")</f>
        <v/>
      </c>
      <c r="J987" s="13">
        <f>IFERROR((CHAIN_RAW!S987-CHAIN_RAW!R987)/MAX(1E-9, H987),"")</f>
        <v/>
      </c>
      <c r="K987" s="13">
        <f>CHAIN_RAW!G987</f>
        <v/>
      </c>
      <c r="L987" s="13">
        <f>CHAIN_RAW!N987</f>
        <v/>
      </c>
      <c r="M987" s="13">
        <f>IFERROR(L987-K987,"")</f>
        <v/>
      </c>
      <c r="N987" s="13">
        <f>CHAIN_RAW!H987</f>
        <v/>
      </c>
      <c r="O987" s="13">
        <f>CHAIN_RAW!O987</f>
        <v/>
      </c>
      <c r="P987" s="13">
        <f>IFERROR(O987/N987,"")</f>
        <v/>
      </c>
      <c r="Q987" s="13">
        <f>CHAIN_RAW!I987</f>
        <v/>
      </c>
      <c r="R987" s="13">
        <f>CHAIN_RAW!P987</f>
        <v/>
      </c>
      <c r="S987" s="13">
        <f>IFERROR(R987/Q987,"")</f>
        <v/>
      </c>
      <c r="T987" s="13">
        <f>IFERROR((ABS(N987-O987)/MAX(1,(N987+O987)))*EXP(-ABS(E987-CONTROL!E5)/MAX(1,CONTROL!B8)),"")</f>
        <v/>
      </c>
      <c r="U987" s="13">
        <f>IFERROR(IF(O987&gt;N987,"SUPPORT (PE OI)","RESIST (CE OI)"),"")</f>
        <v/>
      </c>
      <c r="V987" s="13">
        <f>IFERROR(IF(Q987&gt;0,IF(R987&gt;0,"BOTH_ADD","CE_ADD_PE_REDUCE"),IF(R987&gt;0,"CE_REDUCE_PE_ADD","BOTH_REDUCE")),"")</f>
        <v/>
      </c>
      <c r="W987" s="13">
        <f>IFERROR( (P987-1)*0.5 + (M987)*0.1 - (I987+J987)*0.05 + T987*0.4 ,"")</f>
        <v/>
      </c>
      <c r="X987" s="13">
        <f>IFERROR(IF(ABS(F987)&lt;0.01,"ATM/NEAR",""),"")</f>
        <v/>
      </c>
    </row>
    <row r="988">
      <c r="A988" s="13">
        <f>CHAIN_RAW!A988</f>
        <v/>
      </c>
      <c r="B988" s="14">
        <f>CHAIN_RAW!B988</f>
        <v/>
      </c>
      <c r="C988" s="13">
        <f>CHAIN_RAW!C988</f>
        <v/>
      </c>
      <c r="D988" s="13">
        <f>CHAIN_RAW!D988</f>
        <v/>
      </c>
      <c r="E988" s="13">
        <f>CHAIN_RAW!E988</f>
        <v/>
      </c>
      <c r="F988" s="13">
        <f>IFERROR((E988-D988)/D988,"")</f>
        <v/>
      </c>
      <c r="G988" s="13">
        <f>IFERROR((CHAIN_RAW!K988+CHAIN_RAW!L988)/2,"")</f>
        <v/>
      </c>
      <c r="H988" s="13">
        <f>IFERROR((CHAIN_RAW!R988+CHAIN_RAW!S988)/2,"")</f>
        <v/>
      </c>
      <c r="I988" s="13">
        <f>IFERROR((CHAIN_RAW!L988-CHAIN_RAW!K988)/MAX(1E-9, G988),"")</f>
        <v/>
      </c>
      <c r="J988" s="13">
        <f>IFERROR((CHAIN_RAW!S988-CHAIN_RAW!R988)/MAX(1E-9, H988),"")</f>
        <v/>
      </c>
      <c r="K988" s="13">
        <f>CHAIN_RAW!G988</f>
        <v/>
      </c>
      <c r="L988" s="13">
        <f>CHAIN_RAW!N988</f>
        <v/>
      </c>
      <c r="M988" s="13">
        <f>IFERROR(L988-K988,"")</f>
        <v/>
      </c>
      <c r="N988" s="13">
        <f>CHAIN_RAW!H988</f>
        <v/>
      </c>
      <c r="O988" s="13">
        <f>CHAIN_RAW!O988</f>
        <v/>
      </c>
      <c r="P988" s="13">
        <f>IFERROR(O988/N988,"")</f>
        <v/>
      </c>
      <c r="Q988" s="13">
        <f>CHAIN_RAW!I988</f>
        <v/>
      </c>
      <c r="R988" s="13">
        <f>CHAIN_RAW!P988</f>
        <v/>
      </c>
      <c r="S988" s="13">
        <f>IFERROR(R988/Q988,"")</f>
        <v/>
      </c>
      <c r="T988" s="13">
        <f>IFERROR((ABS(N988-O988)/MAX(1,(N988+O988)))*EXP(-ABS(E988-CONTROL!E5)/MAX(1,CONTROL!B8)),"")</f>
        <v/>
      </c>
      <c r="U988" s="13">
        <f>IFERROR(IF(O988&gt;N988,"SUPPORT (PE OI)","RESIST (CE OI)"),"")</f>
        <v/>
      </c>
      <c r="V988" s="13">
        <f>IFERROR(IF(Q988&gt;0,IF(R988&gt;0,"BOTH_ADD","CE_ADD_PE_REDUCE"),IF(R988&gt;0,"CE_REDUCE_PE_ADD","BOTH_REDUCE")),"")</f>
        <v/>
      </c>
      <c r="W988" s="13">
        <f>IFERROR( (P988-1)*0.5 + (M988)*0.1 - (I988+J988)*0.05 + T988*0.4 ,"")</f>
        <v/>
      </c>
      <c r="X988" s="13">
        <f>IFERROR(IF(ABS(F988)&lt;0.01,"ATM/NEAR",""),"")</f>
        <v/>
      </c>
    </row>
    <row r="989">
      <c r="A989" s="13">
        <f>CHAIN_RAW!A989</f>
        <v/>
      </c>
      <c r="B989" s="14">
        <f>CHAIN_RAW!B989</f>
        <v/>
      </c>
      <c r="C989" s="13">
        <f>CHAIN_RAW!C989</f>
        <v/>
      </c>
      <c r="D989" s="13">
        <f>CHAIN_RAW!D989</f>
        <v/>
      </c>
      <c r="E989" s="13">
        <f>CHAIN_RAW!E989</f>
        <v/>
      </c>
      <c r="F989" s="13">
        <f>IFERROR((E989-D989)/D989,"")</f>
        <v/>
      </c>
      <c r="G989" s="13">
        <f>IFERROR((CHAIN_RAW!K989+CHAIN_RAW!L989)/2,"")</f>
        <v/>
      </c>
      <c r="H989" s="13">
        <f>IFERROR((CHAIN_RAW!R989+CHAIN_RAW!S989)/2,"")</f>
        <v/>
      </c>
      <c r="I989" s="13">
        <f>IFERROR((CHAIN_RAW!L989-CHAIN_RAW!K989)/MAX(1E-9, G989),"")</f>
        <v/>
      </c>
      <c r="J989" s="13">
        <f>IFERROR((CHAIN_RAW!S989-CHAIN_RAW!R989)/MAX(1E-9, H989),"")</f>
        <v/>
      </c>
      <c r="K989" s="13">
        <f>CHAIN_RAW!G989</f>
        <v/>
      </c>
      <c r="L989" s="13">
        <f>CHAIN_RAW!N989</f>
        <v/>
      </c>
      <c r="M989" s="13">
        <f>IFERROR(L989-K989,"")</f>
        <v/>
      </c>
      <c r="N989" s="13">
        <f>CHAIN_RAW!H989</f>
        <v/>
      </c>
      <c r="O989" s="13">
        <f>CHAIN_RAW!O989</f>
        <v/>
      </c>
      <c r="P989" s="13">
        <f>IFERROR(O989/N989,"")</f>
        <v/>
      </c>
      <c r="Q989" s="13">
        <f>CHAIN_RAW!I989</f>
        <v/>
      </c>
      <c r="R989" s="13">
        <f>CHAIN_RAW!P989</f>
        <v/>
      </c>
      <c r="S989" s="13">
        <f>IFERROR(R989/Q989,"")</f>
        <v/>
      </c>
      <c r="T989" s="13">
        <f>IFERROR((ABS(N989-O989)/MAX(1,(N989+O989)))*EXP(-ABS(E989-CONTROL!E5)/MAX(1,CONTROL!B8)),"")</f>
        <v/>
      </c>
      <c r="U989" s="13">
        <f>IFERROR(IF(O989&gt;N989,"SUPPORT (PE OI)","RESIST (CE OI)"),"")</f>
        <v/>
      </c>
      <c r="V989" s="13">
        <f>IFERROR(IF(Q989&gt;0,IF(R989&gt;0,"BOTH_ADD","CE_ADD_PE_REDUCE"),IF(R989&gt;0,"CE_REDUCE_PE_ADD","BOTH_REDUCE")),"")</f>
        <v/>
      </c>
      <c r="W989" s="13">
        <f>IFERROR( (P989-1)*0.5 + (M989)*0.1 - (I989+J989)*0.05 + T989*0.4 ,"")</f>
        <v/>
      </c>
      <c r="X989" s="13">
        <f>IFERROR(IF(ABS(F989)&lt;0.01,"ATM/NEAR",""),"")</f>
        <v/>
      </c>
    </row>
    <row r="990">
      <c r="A990" s="13">
        <f>CHAIN_RAW!A990</f>
        <v/>
      </c>
      <c r="B990" s="14">
        <f>CHAIN_RAW!B990</f>
        <v/>
      </c>
      <c r="C990" s="13">
        <f>CHAIN_RAW!C990</f>
        <v/>
      </c>
      <c r="D990" s="13">
        <f>CHAIN_RAW!D990</f>
        <v/>
      </c>
      <c r="E990" s="13">
        <f>CHAIN_RAW!E990</f>
        <v/>
      </c>
      <c r="F990" s="13">
        <f>IFERROR((E990-D990)/D990,"")</f>
        <v/>
      </c>
      <c r="G990" s="13">
        <f>IFERROR((CHAIN_RAW!K990+CHAIN_RAW!L990)/2,"")</f>
        <v/>
      </c>
      <c r="H990" s="13">
        <f>IFERROR((CHAIN_RAW!R990+CHAIN_RAW!S990)/2,"")</f>
        <v/>
      </c>
      <c r="I990" s="13">
        <f>IFERROR((CHAIN_RAW!L990-CHAIN_RAW!K990)/MAX(1E-9, G990),"")</f>
        <v/>
      </c>
      <c r="J990" s="13">
        <f>IFERROR((CHAIN_RAW!S990-CHAIN_RAW!R990)/MAX(1E-9, H990),"")</f>
        <v/>
      </c>
      <c r="K990" s="13">
        <f>CHAIN_RAW!G990</f>
        <v/>
      </c>
      <c r="L990" s="13">
        <f>CHAIN_RAW!N990</f>
        <v/>
      </c>
      <c r="M990" s="13">
        <f>IFERROR(L990-K990,"")</f>
        <v/>
      </c>
      <c r="N990" s="13">
        <f>CHAIN_RAW!H990</f>
        <v/>
      </c>
      <c r="O990" s="13">
        <f>CHAIN_RAW!O990</f>
        <v/>
      </c>
      <c r="P990" s="13">
        <f>IFERROR(O990/N990,"")</f>
        <v/>
      </c>
      <c r="Q990" s="13">
        <f>CHAIN_RAW!I990</f>
        <v/>
      </c>
      <c r="R990" s="13">
        <f>CHAIN_RAW!P990</f>
        <v/>
      </c>
      <c r="S990" s="13">
        <f>IFERROR(R990/Q990,"")</f>
        <v/>
      </c>
      <c r="T990" s="13">
        <f>IFERROR((ABS(N990-O990)/MAX(1,(N990+O990)))*EXP(-ABS(E990-CONTROL!E5)/MAX(1,CONTROL!B8)),"")</f>
        <v/>
      </c>
      <c r="U990" s="13">
        <f>IFERROR(IF(O990&gt;N990,"SUPPORT (PE OI)","RESIST (CE OI)"),"")</f>
        <v/>
      </c>
      <c r="V990" s="13">
        <f>IFERROR(IF(Q990&gt;0,IF(R990&gt;0,"BOTH_ADD","CE_ADD_PE_REDUCE"),IF(R990&gt;0,"CE_REDUCE_PE_ADD","BOTH_REDUCE")),"")</f>
        <v/>
      </c>
      <c r="W990" s="13">
        <f>IFERROR( (P990-1)*0.5 + (M990)*0.1 - (I990+J990)*0.05 + T990*0.4 ,"")</f>
        <v/>
      </c>
      <c r="X990" s="13">
        <f>IFERROR(IF(ABS(F990)&lt;0.01,"ATM/NEAR",""),"")</f>
        <v/>
      </c>
    </row>
    <row r="991">
      <c r="A991" s="13">
        <f>CHAIN_RAW!A991</f>
        <v/>
      </c>
      <c r="B991" s="14">
        <f>CHAIN_RAW!B991</f>
        <v/>
      </c>
      <c r="C991" s="13">
        <f>CHAIN_RAW!C991</f>
        <v/>
      </c>
      <c r="D991" s="13">
        <f>CHAIN_RAW!D991</f>
        <v/>
      </c>
      <c r="E991" s="13">
        <f>CHAIN_RAW!E991</f>
        <v/>
      </c>
      <c r="F991" s="13">
        <f>IFERROR((E991-D991)/D991,"")</f>
        <v/>
      </c>
      <c r="G991" s="13">
        <f>IFERROR((CHAIN_RAW!K991+CHAIN_RAW!L991)/2,"")</f>
        <v/>
      </c>
      <c r="H991" s="13">
        <f>IFERROR((CHAIN_RAW!R991+CHAIN_RAW!S991)/2,"")</f>
        <v/>
      </c>
      <c r="I991" s="13">
        <f>IFERROR((CHAIN_RAW!L991-CHAIN_RAW!K991)/MAX(1E-9, G991),"")</f>
        <v/>
      </c>
      <c r="J991" s="13">
        <f>IFERROR((CHAIN_RAW!S991-CHAIN_RAW!R991)/MAX(1E-9, H991),"")</f>
        <v/>
      </c>
      <c r="K991" s="13">
        <f>CHAIN_RAW!G991</f>
        <v/>
      </c>
      <c r="L991" s="13">
        <f>CHAIN_RAW!N991</f>
        <v/>
      </c>
      <c r="M991" s="13">
        <f>IFERROR(L991-K991,"")</f>
        <v/>
      </c>
      <c r="N991" s="13">
        <f>CHAIN_RAW!H991</f>
        <v/>
      </c>
      <c r="O991" s="13">
        <f>CHAIN_RAW!O991</f>
        <v/>
      </c>
      <c r="P991" s="13">
        <f>IFERROR(O991/N991,"")</f>
        <v/>
      </c>
      <c r="Q991" s="13">
        <f>CHAIN_RAW!I991</f>
        <v/>
      </c>
      <c r="R991" s="13">
        <f>CHAIN_RAW!P991</f>
        <v/>
      </c>
      <c r="S991" s="13">
        <f>IFERROR(R991/Q991,"")</f>
        <v/>
      </c>
      <c r="T991" s="13">
        <f>IFERROR((ABS(N991-O991)/MAX(1,(N991+O991)))*EXP(-ABS(E991-CONTROL!E5)/MAX(1,CONTROL!B8)),"")</f>
        <v/>
      </c>
      <c r="U991" s="13">
        <f>IFERROR(IF(O991&gt;N991,"SUPPORT (PE OI)","RESIST (CE OI)"),"")</f>
        <v/>
      </c>
      <c r="V991" s="13">
        <f>IFERROR(IF(Q991&gt;0,IF(R991&gt;0,"BOTH_ADD","CE_ADD_PE_REDUCE"),IF(R991&gt;0,"CE_REDUCE_PE_ADD","BOTH_REDUCE")),"")</f>
        <v/>
      </c>
      <c r="W991" s="13">
        <f>IFERROR( (P991-1)*0.5 + (M991)*0.1 - (I991+J991)*0.05 + T991*0.4 ,"")</f>
        <v/>
      </c>
      <c r="X991" s="13">
        <f>IFERROR(IF(ABS(F991)&lt;0.01,"ATM/NEAR",""),"")</f>
        <v/>
      </c>
    </row>
    <row r="992">
      <c r="A992" s="13">
        <f>CHAIN_RAW!A992</f>
        <v/>
      </c>
      <c r="B992" s="14">
        <f>CHAIN_RAW!B992</f>
        <v/>
      </c>
      <c r="C992" s="13">
        <f>CHAIN_RAW!C992</f>
        <v/>
      </c>
      <c r="D992" s="13">
        <f>CHAIN_RAW!D992</f>
        <v/>
      </c>
      <c r="E992" s="13">
        <f>CHAIN_RAW!E992</f>
        <v/>
      </c>
      <c r="F992" s="13">
        <f>IFERROR((E992-D992)/D992,"")</f>
        <v/>
      </c>
      <c r="G992" s="13">
        <f>IFERROR((CHAIN_RAW!K992+CHAIN_RAW!L992)/2,"")</f>
        <v/>
      </c>
      <c r="H992" s="13">
        <f>IFERROR((CHAIN_RAW!R992+CHAIN_RAW!S992)/2,"")</f>
        <v/>
      </c>
      <c r="I992" s="13">
        <f>IFERROR((CHAIN_RAW!L992-CHAIN_RAW!K992)/MAX(1E-9, G992),"")</f>
        <v/>
      </c>
      <c r="J992" s="13">
        <f>IFERROR((CHAIN_RAW!S992-CHAIN_RAW!R992)/MAX(1E-9, H992),"")</f>
        <v/>
      </c>
      <c r="K992" s="13">
        <f>CHAIN_RAW!G992</f>
        <v/>
      </c>
      <c r="L992" s="13">
        <f>CHAIN_RAW!N992</f>
        <v/>
      </c>
      <c r="M992" s="13">
        <f>IFERROR(L992-K992,"")</f>
        <v/>
      </c>
      <c r="N992" s="13">
        <f>CHAIN_RAW!H992</f>
        <v/>
      </c>
      <c r="O992" s="13">
        <f>CHAIN_RAW!O992</f>
        <v/>
      </c>
      <c r="P992" s="13">
        <f>IFERROR(O992/N992,"")</f>
        <v/>
      </c>
      <c r="Q992" s="13">
        <f>CHAIN_RAW!I992</f>
        <v/>
      </c>
      <c r="R992" s="13">
        <f>CHAIN_RAW!P992</f>
        <v/>
      </c>
      <c r="S992" s="13">
        <f>IFERROR(R992/Q992,"")</f>
        <v/>
      </c>
      <c r="T992" s="13">
        <f>IFERROR((ABS(N992-O992)/MAX(1,(N992+O992)))*EXP(-ABS(E992-CONTROL!E5)/MAX(1,CONTROL!B8)),"")</f>
        <v/>
      </c>
      <c r="U992" s="13">
        <f>IFERROR(IF(O992&gt;N992,"SUPPORT (PE OI)","RESIST (CE OI)"),"")</f>
        <v/>
      </c>
      <c r="V992" s="13">
        <f>IFERROR(IF(Q992&gt;0,IF(R992&gt;0,"BOTH_ADD","CE_ADD_PE_REDUCE"),IF(R992&gt;0,"CE_REDUCE_PE_ADD","BOTH_REDUCE")),"")</f>
        <v/>
      </c>
      <c r="W992" s="13">
        <f>IFERROR( (P992-1)*0.5 + (M992)*0.1 - (I992+J992)*0.05 + T992*0.4 ,"")</f>
        <v/>
      </c>
      <c r="X992" s="13">
        <f>IFERROR(IF(ABS(F992)&lt;0.01,"ATM/NEAR",""),"")</f>
        <v/>
      </c>
    </row>
    <row r="993">
      <c r="A993" s="13">
        <f>CHAIN_RAW!A993</f>
        <v/>
      </c>
      <c r="B993" s="14">
        <f>CHAIN_RAW!B993</f>
        <v/>
      </c>
      <c r="C993" s="13">
        <f>CHAIN_RAW!C993</f>
        <v/>
      </c>
      <c r="D993" s="13">
        <f>CHAIN_RAW!D993</f>
        <v/>
      </c>
      <c r="E993" s="13">
        <f>CHAIN_RAW!E993</f>
        <v/>
      </c>
      <c r="F993" s="13">
        <f>IFERROR((E993-D993)/D993,"")</f>
        <v/>
      </c>
      <c r="G993" s="13">
        <f>IFERROR((CHAIN_RAW!K993+CHAIN_RAW!L993)/2,"")</f>
        <v/>
      </c>
      <c r="H993" s="13">
        <f>IFERROR((CHAIN_RAW!R993+CHAIN_RAW!S993)/2,"")</f>
        <v/>
      </c>
      <c r="I993" s="13">
        <f>IFERROR((CHAIN_RAW!L993-CHAIN_RAW!K993)/MAX(1E-9, G993),"")</f>
        <v/>
      </c>
      <c r="J993" s="13">
        <f>IFERROR((CHAIN_RAW!S993-CHAIN_RAW!R993)/MAX(1E-9, H993),"")</f>
        <v/>
      </c>
      <c r="K993" s="13">
        <f>CHAIN_RAW!G993</f>
        <v/>
      </c>
      <c r="L993" s="13">
        <f>CHAIN_RAW!N993</f>
        <v/>
      </c>
      <c r="M993" s="13">
        <f>IFERROR(L993-K993,"")</f>
        <v/>
      </c>
      <c r="N993" s="13">
        <f>CHAIN_RAW!H993</f>
        <v/>
      </c>
      <c r="O993" s="13">
        <f>CHAIN_RAW!O993</f>
        <v/>
      </c>
      <c r="P993" s="13">
        <f>IFERROR(O993/N993,"")</f>
        <v/>
      </c>
      <c r="Q993" s="13">
        <f>CHAIN_RAW!I993</f>
        <v/>
      </c>
      <c r="R993" s="13">
        <f>CHAIN_RAW!P993</f>
        <v/>
      </c>
      <c r="S993" s="13">
        <f>IFERROR(R993/Q993,"")</f>
        <v/>
      </c>
      <c r="T993" s="13">
        <f>IFERROR((ABS(N993-O993)/MAX(1,(N993+O993)))*EXP(-ABS(E993-CONTROL!E5)/MAX(1,CONTROL!B8)),"")</f>
        <v/>
      </c>
      <c r="U993" s="13">
        <f>IFERROR(IF(O993&gt;N993,"SUPPORT (PE OI)","RESIST (CE OI)"),"")</f>
        <v/>
      </c>
      <c r="V993" s="13">
        <f>IFERROR(IF(Q993&gt;0,IF(R993&gt;0,"BOTH_ADD","CE_ADD_PE_REDUCE"),IF(R993&gt;0,"CE_REDUCE_PE_ADD","BOTH_REDUCE")),"")</f>
        <v/>
      </c>
      <c r="W993" s="13">
        <f>IFERROR( (P993-1)*0.5 + (M993)*0.1 - (I993+J993)*0.05 + T993*0.4 ,"")</f>
        <v/>
      </c>
      <c r="X993" s="13">
        <f>IFERROR(IF(ABS(F993)&lt;0.01,"ATM/NEAR",""),"")</f>
        <v/>
      </c>
    </row>
    <row r="994">
      <c r="A994" s="13">
        <f>CHAIN_RAW!A994</f>
        <v/>
      </c>
      <c r="B994" s="14">
        <f>CHAIN_RAW!B994</f>
        <v/>
      </c>
      <c r="C994" s="13">
        <f>CHAIN_RAW!C994</f>
        <v/>
      </c>
      <c r="D994" s="13">
        <f>CHAIN_RAW!D994</f>
        <v/>
      </c>
      <c r="E994" s="13">
        <f>CHAIN_RAW!E994</f>
        <v/>
      </c>
      <c r="F994" s="13">
        <f>IFERROR((E994-D994)/D994,"")</f>
        <v/>
      </c>
      <c r="G994" s="13">
        <f>IFERROR((CHAIN_RAW!K994+CHAIN_RAW!L994)/2,"")</f>
        <v/>
      </c>
      <c r="H994" s="13">
        <f>IFERROR((CHAIN_RAW!R994+CHAIN_RAW!S994)/2,"")</f>
        <v/>
      </c>
      <c r="I994" s="13">
        <f>IFERROR((CHAIN_RAW!L994-CHAIN_RAW!K994)/MAX(1E-9, G994),"")</f>
        <v/>
      </c>
      <c r="J994" s="13">
        <f>IFERROR((CHAIN_RAW!S994-CHAIN_RAW!R994)/MAX(1E-9, H994),"")</f>
        <v/>
      </c>
      <c r="K994" s="13">
        <f>CHAIN_RAW!G994</f>
        <v/>
      </c>
      <c r="L994" s="13">
        <f>CHAIN_RAW!N994</f>
        <v/>
      </c>
      <c r="M994" s="13">
        <f>IFERROR(L994-K994,"")</f>
        <v/>
      </c>
      <c r="N994" s="13">
        <f>CHAIN_RAW!H994</f>
        <v/>
      </c>
      <c r="O994" s="13">
        <f>CHAIN_RAW!O994</f>
        <v/>
      </c>
      <c r="P994" s="13">
        <f>IFERROR(O994/N994,"")</f>
        <v/>
      </c>
      <c r="Q994" s="13">
        <f>CHAIN_RAW!I994</f>
        <v/>
      </c>
      <c r="R994" s="13">
        <f>CHAIN_RAW!P994</f>
        <v/>
      </c>
      <c r="S994" s="13">
        <f>IFERROR(R994/Q994,"")</f>
        <v/>
      </c>
      <c r="T994" s="13">
        <f>IFERROR((ABS(N994-O994)/MAX(1,(N994+O994)))*EXP(-ABS(E994-CONTROL!E5)/MAX(1,CONTROL!B8)),"")</f>
        <v/>
      </c>
      <c r="U994" s="13">
        <f>IFERROR(IF(O994&gt;N994,"SUPPORT (PE OI)","RESIST (CE OI)"),"")</f>
        <v/>
      </c>
      <c r="V994" s="13">
        <f>IFERROR(IF(Q994&gt;0,IF(R994&gt;0,"BOTH_ADD","CE_ADD_PE_REDUCE"),IF(R994&gt;0,"CE_REDUCE_PE_ADD","BOTH_REDUCE")),"")</f>
        <v/>
      </c>
      <c r="W994" s="13">
        <f>IFERROR( (P994-1)*0.5 + (M994)*0.1 - (I994+J994)*0.05 + T994*0.4 ,"")</f>
        <v/>
      </c>
      <c r="X994" s="13">
        <f>IFERROR(IF(ABS(F994)&lt;0.01,"ATM/NEAR",""),"")</f>
        <v/>
      </c>
    </row>
    <row r="995">
      <c r="A995" s="13">
        <f>CHAIN_RAW!A995</f>
        <v/>
      </c>
      <c r="B995" s="14">
        <f>CHAIN_RAW!B995</f>
        <v/>
      </c>
      <c r="C995" s="13">
        <f>CHAIN_RAW!C995</f>
        <v/>
      </c>
      <c r="D995" s="13">
        <f>CHAIN_RAW!D995</f>
        <v/>
      </c>
      <c r="E995" s="13">
        <f>CHAIN_RAW!E995</f>
        <v/>
      </c>
      <c r="F995" s="13">
        <f>IFERROR((E995-D995)/D995,"")</f>
        <v/>
      </c>
      <c r="G995" s="13">
        <f>IFERROR((CHAIN_RAW!K995+CHAIN_RAW!L995)/2,"")</f>
        <v/>
      </c>
      <c r="H995" s="13">
        <f>IFERROR((CHAIN_RAW!R995+CHAIN_RAW!S995)/2,"")</f>
        <v/>
      </c>
      <c r="I995" s="13">
        <f>IFERROR((CHAIN_RAW!L995-CHAIN_RAW!K995)/MAX(1E-9, G995),"")</f>
        <v/>
      </c>
      <c r="J995" s="13">
        <f>IFERROR((CHAIN_RAW!S995-CHAIN_RAW!R995)/MAX(1E-9, H995),"")</f>
        <v/>
      </c>
      <c r="K995" s="13">
        <f>CHAIN_RAW!G995</f>
        <v/>
      </c>
      <c r="L995" s="13">
        <f>CHAIN_RAW!N995</f>
        <v/>
      </c>
      <c r="M995" s="13">
        <f>IFERROR(L995-K995,"")</f>
        <v/>
      </c>
      <c r="N995" s="13">
        <f>CHAIN_RAW!H995</f>
        <v/>
      </c>
      <c r="O995" s="13">
        <f>CHAIN_RAW!O995</f>
        <v/>
      </c>
      <c r="P995" s="13">
        <f>IFERROR(O995/N995,"")</f>
        <v/>
      </c>
      <c r="Q995" s="13">
        <f>CHAIN_RAW!I995</f>
        <v/>
      </c>
      <c r="R995" s="13">
        <f>CHAIN_RAW!P995</f>
        <v/>
      </c>
      <c r="S995" s="13">
        <f>IFERROR(R995/Q995,"")</f>
        <v/>
      </c>
      <c r="T995" s="13">
        <f>IFERROR((ABS(N995-O995)/MAX(1,(N995+O995)))*EXP(-ABS(E995-CONTROL!E5)/MAX(1,CONTROL!B8)),"")</f>
        <v/>
      </c>
      <c r="U995" s="13">
        <f>IFERROR(IF(O995&gt;N995,"SUPPORT (PE OI)","RESIST (CE OI)"),"")</f>
        <v/>
      </c>
      <c r="V995" s="13">
        <f>IFERROR(IF(Q995&gt;0,IF(R995&gt;0,"BOTH_ADD","CE_ADD_PE_REDUCE"),IF(R995&gt;0,"CE_REDUCE_PE_ADD","BOTH_REDUCE")),"")</f>
        <v/>
      </c>
      <c r="W995" s="13">
        <f>IFERROR( (P995-1)*0.5 + (M995)*0.1 - (I995+J995)*0.05 + T995*0.4 ,"")</f>
        <v/>
      </c>
      <c r="X995" s="13">
        <f>IFERROR(IF(ABS(F995)&lt;0.01,"ATM/NEAR",""),"")</f>
        <v/>
      </c>
    </row>
    <row r="996">
      <c r="A996" s="13">
        <f>CHAIN_RAW!A996</f>
        <v/>
      </c>
      <c r="B996" s="14">
        <f>CHAIN_RAW!B996</f>
        <v/>
      </c>
      <c r="C996" s="13">
        <f>CHAIN_RAW!C996</f>
        <v/>
      </c>
      <c r="D996" s="13">
        <f>CHAIN_RAW!D996</f>
        <v/>
      </c>
      <c r="E996" s="13">
        <f>CHAIN_RAW!E996</f>
        <v/>
      </c>
      <c r="F996" s="13">
        <f>IFERROR((E996-D996)/D996,"")</f>
        <v/>
      </c>
      <c r="G996" s="13">
        <f>IFERROR((CHAIN_RAW!K996+CHAIN_RAW!L996)/2,"")</f>
        <v/>
      </c>
      <c r="H996" s="13">
        <f>IFERROR((CHAIN_RAW!R996+CHAIN_RAW!S996)/2,"")</f>
        <v/>
      </c>
      <c r="I996" s="13">
        <f>IFERROR((CHAIN_RAW!L996-CHAIN_RAW!K996)/MAX(1E-9, G996),"")</f>
        <v/>
      </c>
      <c r="J996" s="13">
        <f>IFERROR((CHAIN_RAW!S996-CHAIN_RAW!R996)/MAX(1E-9, H996),"")</f>
        <v/>
      </c>
      <c r="K996" s="13">
        <f>CHAIN_RAW!G996</f>
        <v/>
      </c>
      <c r="L996" s="13">
        <f>CHAIN_RAW!N996</f>
        <v/>
      </c>
      <c r="M996" s="13">
        <f>IFERROR(L996-K996,"")</f>
        <v/>
      </c>
      <c r="N996" s="13">
        <f>CHAIN_RAW!H996</f>
        <v/>
      </c>
      <c r="O996" s="13">
        <f>CHAIN_RAW!O996</f>
        <v/>
      </c>
      <c r="P996" s="13">
        <f>IFERROR(O996/N996,"")</f>
        <v/>
      </c>
      <c r="Q996" s="13">
        <f>CHAIN_RAW!I996</f>
        <v/>
      </c>
      <c r="R996" s="13">
        <f>CHAIN_RAW!P996</f>
        <v/>
      </c>
      <c r="S996" s="13">
        <f>IFERROR(R996/Q996,"")</f>
        <v/>
      </c>
      <c r="T996" s="13">
        <f>IFERROR((ABS(N996-O996)/MAX(1,(N996+O996)))*EXP(-ABS(E996-CONTROL!E5)/MAX(1,CONTROL!B8)),"")</f>
        <v/>
      </c>
      <c r="U996" s="13">
        <f>IFERROR(IF(O996&gt;N996,"SUPPORT (PE OI)","RESIST (CE OI)"),"")</f>
        <v/>
      </c>
      <c r="V996" s="13">
        <f>IFERROR(IF(Q996&gt;0,IF(R996&gt;0,"BOTH_ADD","CE_ADD_PE_REDUCE"),IF(R996&gt;0,"CE_REDUCE_PE_ADD","BOTH_REDUCE")),"")</f>
        <v/>
      </c>
      <c r="W996" s="13">
        <f>IFERROR( (P996-1)*0.5 + (M996)*0.1 - (I996+J996)*0.05 + T996*0.4 ,"")</f>
        <v/>
      </c>
      <c r="X996" s="13">
        <f>IFERROR(IF(ABS(F996)&lt;0.01,"ATM/NEAR",""),"")</f>
        <v/>
      </c>
    </row>
    <row r="997">
      <c r="A997" s="13">
        <f>CHAIN_RAW!A997</f>
        <v/>
      </c>
      <c r="B997" s="14">
        <f>CHAIN_RAW!B997</f>
        <v/>
      </c>
      <c r="C997" s="13">
        <f>CHAIN_RAW!C997</f>
        <v/>
      </c>
      <c r="D997" s="13">
        <f>CHAIN_RAW!D997</f>
        <v/>
      </c>
      <c r="E997" s="13">
        <f>CHAIN_RAW!E997</f>
        <v/>
      </c>
      <c r="F997" s="13">
        <f>IFERROR((E997-D997)/D997,"")</f>
        <v/>
      </c>
      <c r="G997" s="13">
        <f>IFERROR((CHAIN_RAW!K997+CHAIN_RAW!L997)/2,"")</f>
        <v/>
      </c>
      <c r="H997" s="13">
        <f>IFERROR((CHAIN_RAW!R997+CHAIN_RAW!S997)/2,"")</f>
        <v/>
      </c>
      <c r="I997" s="13">
        <f>IFERROR((CHAIN_RAW!L997-CHAIN_RAW!K997)/MAX(1E-9, G997),"")</f>
        <v/>
      </c>
      <c r="J997" s="13">
        <f>IFERROR((CHAIN_RAW!S997-CHAIN_RAW!R997)/MAX(1E-9, H997),"")</f>
        <v/>
      </c>
      <c r="K997" s="13">
        <f>CHAIN_RAW!G997</f>
        <v/>
      </c>
      <c r="L997" s="13">
        <f>CHAIN_RAW!N997</f>
        <v/>
      </c>
      <c r="M997" s="13">
        <f>IFERROR(L997-K997,"")</f>
        <v/>
      </c>
      <c r="N997" s="13">
        <f>CHAIN_RAW!H997</f>
        <v/>
      </c>
      <c r="O997" s="13">
        <f>CHAIN_RAW!O997</f>
        <v/>
      </c>
      <c r="P997" s="13">
        <f>IFERROR(O997/N997,"")</f>
        <v/>
      </c>
      <c r="Q997" s="13">
        <f>CHAIN_RAW!I997</f>
        <v/>
      </c>
      <c r="R997" s="13">
        <f>CHAIN_RAW!P997</f>
        <v/>
      </c>
      <c r="S997" s="13">
        <f>IFERROR(R997/Q997,"")</f>
        <v/>
      </c>
      <c r="T997" s="13">
        <f>IFERROR((ABS(N997-O997)/MAX(1,(N997+O997)))*EXP(-ABS(E997-CONTROL!E5)/MAX(1,CONTROL!B8)),"")</f>
        <v/>
      </c>
      <c r="U997" s="13">
        <f>IFERROR(IF(O997&gt;N997,"SUPPORT (PE OI)","RESIST (CE OI)"),"")</f>
        <v/>
      </c>
      <c r="V997" s="13">
        <f>IFERROR(IF(Q997&gt;0,IF(R997&gt;0,"BOTH_ADD","CE_ADD_PE_REDUCE"),IF(R997&gt;0,"CE_REDUCE_PE_ADD","BOTH_REDUCE")),"")</f>
        <v/>
      </c>
      <c r="W997" s="13">
        <f>IFERROR( (P997-1)*0.5 + (M997)*0.1 - (I997+J997)*0.05 + T997*0.4 ,"")</f>
        <v/>
      </c>
      <c r="X997" s="13">
        <f>IFERROR(IF(ABS(F997)&lt;0.01,"ATM/NEAR",""),"")</f>
        <v/>
      </c>
    </row>
    <row r="998">
      <c r="A998" s="13">
        <f>CHAIN_RAW!A998</f>
        <v/>
      </c>
      <c r="B998" s="14">
        <f>CHAIN_RAW!B998</f>
        <v/>
      </c>
      <c r="C998" s="13">
        <f>CHAIN_RAW!C998</f>
        <v/>
      </c>
      <c r="D998" s="13">
        <f>CHAIN_RAW!D998</f>
        <v/>
      </c>
      <c r="E998" s="13">
        <f>CHAIN_RAW!E998</f>
        <v/>
      </c>
      <c r="F998" s="13">
        <f>IFERROR((E998-D998)/D998,"")</f>
        <v/>
      </c>
      <c r="G998" s="13">
        <f>IFERROR((CHAIN_RAW!K998+CHAIN_RAW!L998)/2,"")</f>
        <v/>
      </c>
      <c r="H998" s="13">
        <f>IFERROR((CHAIN_RAW!R998+CHAIN_RAW!S998)/2,"")</f>
        <v/>
      </c>
      <c r="I998" s="13">
        <f>IFERROR((CHAIN_RAW!L998-CHAIN_RAW!K998)/MAX(1E-9, G998),"")</f>
        <v/>
      </c>
      <c r="J998" s="13">
        <f>IFERROR((CHAIN_RAW!S998-CHAIN_RAW!R998)/MAX(1E-9, H998),"")</f>
        <v/>
      </c>
      <c r="K998" s="13">
        <f>CHAIN_RAW!G998</f>
        <v/>
      </c>
      <c r="L998" s="13">
        <f>CHAIN_RAW!N998</f>
        <v/>
      </c>
      <c r="M998" s="13">
        <f>IFERROR(L998-K998,"")</f>
        <v/>
      </c>
      <c r="N998" s="13">
        <f>CHAIN_RAW!H998</f>
        <v/>
      </c>
      <c r="O998" s="13">
        <f>CHAIN_RAW!O998</f>
        <v/>
      </c>
      <c r="P998" s="13">
        <f>IFERROR(O998/N998,"")</f>
        <v/>
      </c>
      <c r="Q998" s="13">
        <f>CHAIN_RAW!I998</f>
        <v/>
      </c>
      <c r="R998" s="13">
        <f>CHAIN_RAW!P998</f>
        <v/>
      </c>
      <c r="S998" s="13">
        <f>IFERROR(R998/Q998,"")</f>
        <v/>
      </c>
      <c r="T998" s="13">
        <f>IFERROR((ABS(N998-O998)/MAX(1,(N998+O998)))*EXP(-ABS(E998-CONTROL!E5)/MAX(1,CONTROL!B8)),"")</f>
        <v/>
      </c>
      <c r="U998" s="13">
        <f>IFERROR(IF(O998&gt;N998,"SUPPORT (PE OI)","RESIST (CE OI)"),"")</f>
        <v/>
      </c>
      <c r="V998" s="13">
        <f>IFERROR(IF(Q998&gt;0,IF(R998&gt;0,"BOTH_ADD","CE_ADD_PE_REDUCE"),IF(R998&gt;0,"CE_REDUCE_PE_ADD","BOTH_REDUCE")),"")</f>
        <v/>
      </c>
      <c r="W998" s="13">
        <f>IFERROR( (P998-1)*0.5 + (M998)*0.1 - (I998+J998)*0.05 + T998*0.4 ,"")</f>
        <v/>
      </c>
      <c r="X998" s="13">
        <f>IFERROR(IF(ABS(F998)&lt;0.01,"ATM/NEAR",""),"")</f>
        <v/>
      </c>
    </row>
    <row r="999">
      <c r="A999" s="13">
        <f>CHAIN_RAW!A999</f>
        <v/>
      </c>
      <c r="B999" s="14">
        <f>CHAIN_RAW!B999</f>
        <v/>
      </c>
      <c r="C999" s="13">
        <f>CHAIN_RAW!C999</f>
        <v/>
      </c>
      <c r="D999" s="13">
        <f>CHAIN_RAW!D999</f>
        <v/>
      </c>
      <c r="E999" s="13">
        <f>CHAIN_RAW!E999</f>
        <v/>
      </c>
      <c r="F999" s="13">
        <f>IFERROR((E999-D999)/D999,"")</f>
        <v/>
      </c>
      <c r="G999" s="13">
        <f>IFERROR((CHAIN_RAW!K999+CHAIN_RAW!L999)/2,"")</f>
        <v/>
      </c>
      <c r="H999" s="13">
        <f>IFERROR((CHAIN_RAW!R999+CHAIN_RAW!S999)/2,"")</f>
        <v/>
      </c>
      <c r="I999" s="13">
        <f>IFERROR((CHAIN_RAW!L999-CHAIN_RAW!K999)/MAX(1E-9, G999),"")</f>
        <v/>
      </c>
      <c r="J999" s="13">
        <f>IFERROR((CHAIN_RAW!S999-CHAIN_RAW!R999)/MAX(1E-9, H999),"")</f>
        <v/>
      </c>
      <c r="K999" s="13">
        <f>CHAIN_RAW!G999</f>
        <v/>
      </c>
      <c r="L999" s="13">
        <f>CHAIN_RAW!N999</f>
        <v/>
      </c>
      <c r="M999" s="13">
        <f>IFERROR(L999-K999,"")</f>
        <v/>
      </c>
      <c r="N999" s="13">
        <f>CHAIN_RAW!H999</f>
        <v/>
      </c>
      <c r="O999" s="13">
        <f>CHAIN_RAW!O999</f>
        <v/>
      </c>
      <c r="P999" s="13">
        <f>IFERROR(O999/N999,"")</f>
        <v/>
      </c>
      <c r="Q999" s="13">
        <f>CHAIN_RAW!I999</f>
        <v/>
      </c>
      <c r="R999" s="13">
        <f>CHAIN_RAW!P999</f>
        <v/>
      </c>
      <c r="S999" s="13">
        <f>IFERROR(R999/Q999,"")</f>
        <v/>
      </c>
      <c r="T999" s="13">
        <f>IFERROR((ABS(N999-O999)/MAX(1,(N999+O999)))*EXP(-ABS(E999-CONTROL!E5)/MAX(1,CONTROL!B8)),"")</f>
        <v/>
      </c>
      <c r="U999" s="13">
        <f>IFERROR(IF(O999&gt;N999,"SUPPORT (PE OI)","RESIST (CE OI)"),"")</f>
        <v/>
      </c>
      <c r="V999" s="13">
        <f>IFERROR(IF(Q999&gt;0,IF(R999&gt;0,"BOTH_ADD","CE_ADD_PE_REDUCE"),IF(R999&gt;0,"CE_REDUCE_PE_ADD","BOTH_REDUCE")),"")</f>
        <v/>
      </c>
      <c r="W999" s="13">
        <f>IFERROR( (P999-1)*0.5 + (M999)*0.1 - (I999+J999)*0.05 + T999*0.4 ,"")</f>
        <v/>
      </c>
      <c r="X999" s="13">
        <f>IFERROR(IF(ABS(F999)&lt;0.01,"ATM/NEAR",""),"")</f>
        <v/>
      </c>
    </row>
    <row r="1000">
      <c r="A1000" s="13">
        <f>CHAIN_RAW!A1000</f>
        <v/>
      </c>
      <c r="B1000" s="14">
        <f>CHAIN_RAW!B1000</f>
        <v/>
      </c>
      <c r="C1000" s="13">
        <f>CHAIN_RAW!C1000</f>
        <v/>
      </c>
      <c r="D1000" s="13">
        <f>CHAIN_RAW!D1000</f>
        <v/>
      </c>
      <c r="E1000" s="13">
        <f>CHAIN_RAW!E1000</f>
        <v/>
      </c>
      <c r="F1000" s="13">
        <f>IFERROR((E1000-D1000)/D1000,"")</f>
        <v/>
      </c>
      <c r="G1000" s="13">
        <f>IFERROR((CHAIN_RAW!K1000+CHAIN_RAW!L1000)/2,"")</f>
        <v/>
      </c>
      <c r="H1000" s="13">
        <f>IFERROR((CHAIN_RAW!R1000+CHAIN_RAW!S1000)/2,"")</f>
        <v/>
      </c>
      <c r="I1000" s="13">
        <f>IFERROR((CHAIN_RAW!L1000-CHAIN_RAW!K1000)/MAX(1E-9, G1000),"")</f>
        <v/>
      </c>
      <c r="J1000" s="13">
        <f>IFERROR((CHAIN_RAW!S1000-CHAIN_RAW!R1000)/MAX(1E-9, H1000),"")</f>
        <v/>
      </c>
      <c r="K1000" s="13">
        <f>CHAIN_RAW!G1000</f>
        <v/>
      </c>
      <c r="L1000" s="13">
        <f>CHAIN_RAW!N1000</f>
        <v/>
      </c>
      <c r="M1000" s="13">
        <f>IFERROR(L1000-K1000,"")</f>
        <v/>
      </c>
      <c r="N1000" s="13">
        <f>CHAIN_RAW!H1000</f>
        <v/>
      </c>
      <c r="O1000" s="13">
        <f>CHAIN_RAW!O1000</f>
        <v/>
      </c>
      <c r="P1000" s="13">
        <f>IFERROR(O1000/N1000,"")</f>
        <v/>
      </c>
      <c r="Q1000" s="13">
        <f>CHAIN_RAW!I1000</f>
        <v/>
      </c>
      <c r="R1000" s="13">
        <f>CHAIN_RAW!P1000</f>
        <v/>
      </c>
      <c r="S1000" s="13">
        <f>IFERROR(R1000/Q1000,"")</f>
        <v/>
      </c>
      <c r="T1000" s="13">
        <f>IFERROR((ABS(N1000-O1000)/MAX(1,(N1000+O1000)))*EXP(-ABS(E1000-CONTROL!E5)/MAX(1,CONTROL!B8)),"")</f>
        <v/>
      </c>
      <c r="U1000" s="13">
        <f>IFERROR(IF(O1000&gt;N1000,"SUPPORT (PE OI)","RESIST (CE OI)"),"")</f>
        <v/>
      </c>
      <c r="V1000" s="13">
        <f>IFERROR(IF(Q1000&gt;0,IF(R1000&gt;0,"BOTH_ADD","CE_ADD_PE_REDUCE"),IF(R1000&gt;0,"CE_REDUCE_PE_ADD","BOTH_REDUCE")),"")</f>
        <v/>
      </c>
      <c r="W1000" s="13">
        <f>IFERROR( (P1000-1)*0.5 + (M1000)*0.1 - (I1000+J1000)*0.05 + T1000*0.4 ,"")</f>
        <v/>
      </c>
      <c r="X1000" s="13">
        <f>IFERROR(IF(ABS(F1000)&lt;0.01,"ATM/NEAR",""),"")</f>
        <v/>
      </c>
    </row>
    <row r="1001">
      <c r="A1001" s="13">
        <f>CHAIN_RAW!A1001</f>
        <v/>
      </c>
      <c r="B1001" s="14">
        <f>CHAIN_RAW!B1001</f>
        <v/>
      </c>
      <c r="C1001" s="13">
        <f>CHAIN_RAW!C1001</f>
        <v/>
      </c>
      <c r="D1001" s="13">
        <f>CHAIN_RAW!D1001</f>
        <v/>
      </c>
      <c r="E1001" s="13">
        <f>CHAIN_RAW!E1001</f>
        <v/>
      </c>
      <c r="F1001" s="13">
        <f>IFERROR((E1001-D1001)/D1001,"")</f>
        <v/>
      </c>
      <c r="G1001" s="13">
        <f>IFERROR((CHAIN_RAW!K1001+CHAIN_RAW!L1001)/2,"")</f>
        <v/>
      </c>
      <c r="H1001" s="13">
        <f>IFERROR((CHAIN_RAW!R1001+CHAIN_RAW!S1001)/2,"")</f>
        <v/>
      </c>
      <c r="I1001" s="13">
        <f>IFERROR((CHAIN_RAW!L1001-CHAIN_RAW!K1001)/MAX(1E-9, G1001),"")</f>
        <v/>
      </c>
      <c r="J1001" s="13">
        <f>IFERROR((CHAIN_RAW!S1001-CHAIN_RAW!R1001)/MAX(1E-9, H1001),"")</f>
        <v/>
      </c>
      <c r="K1001" s="13">
        <f>CHAIN_RAW!G1001</f>
        <v/>
      </c>
      <c r="L1001" s="13">
        <f>CHAIN_RAW!N1001</f>
        <v/>
      </c>
      <c r="M1001" s="13">
        <f>IFERROR(L1001-K1001,"")</f>
        <v/>
      </c>
      <c r="N1001" s="13">
        <f>CHAIN_RAW!H1001</f>
        <v/>
      </c>
      <c r="O1001" s="13">
        <f>CHAIN_RAW!O1001</f>
        <v/>
      </c>
      <c r="P1001" s="13">
        <f>IFERROR(O1001/N1001,"")</f>
        <v/>
      </c>
      <c r="Q1001" s="13">
        <f>CHAIN_RAW!I1001</f>
        <v/>
      </c>
      <c r="R1001" s="13">
        <f>CHAIN_RAW!P1001</f>
        <v/>
      </c>
      <c r="S1001" s="13">
        <f>IFERROR(R1001/Q1001,"")</f>
        <v/>
      </c>
      <c r="T1001" s="13">
        <f>IFERROR((ABS(N1001-O1001)/MAX(1,(N1001+O1001)))*EXP(-ABS(E1001-CONTROL!E5)/MAX(1,CONTROL!B8)),"")</f>
        <v/>
      </c>
      <c r="U1001" s="13">
        <f>IFERROR(IF(O1001&gt;N1001,"SUPPORT (PE OI)","RESIST (CE OI)"),"")</f>
        <v/>
      </c>
      <c r="V1001" s="13">
        <f>IFERROR(IF(Q1001&gt;0,IF(R1001&gt;0,"BOTH_ADD","CE_ADD_PE_REDUCE"),IF(R1001&gt;0,"CE_REDUCE_PE_ADD","BOTH_REDUCE")),"")</f>
        <v/>
      </c>
      <c r="W1001" s="13">
        <f>IFERROR( (P1001-1)*0.5 + (M1001)*0.1 - (I1001+J1001)*0.05 + T1001*0.4 ,"")</f>
        <v/>
      </c>
      <c r="X1001" s="13">
        <f>IFERROR(IF(ABS(F1001)&lt;0.01,"ATM/NEAR",""),"")</f>
        <v/>
      </c>
    </row>
    <row r="1002">
      <c r="A1002" s="13">
        <f>CHAIN_RAW!A1002</f>
        <v/>
      </c>
      <c r="B1002" s="14">
        <f>CHAIN_RAW!B1002</f>
        <v/>
      </c>
      <c r="C1002" s="13">
        <f>CHAIN_RAW!C1002</f>
        <v/>
      </c>
      <c r="D1002" s="13">
        <f>CHAIN_RAW!D1002</f>
        <v/>
      </c>
      <c r="E1002" s="13">
        <f>CHAIN_RAW!E1002</f>
        <v/>
      </c>
      <c r="F1002" s="13">
        <f>IFERROR((E1002-D1002)/D1002,"")</f>
        <v/>
      </c>
      <c r="G1002" s="13">
        <f>IFERROR((CHAIN_RAW!K1002+CHAIN_RAW!L1002)/2,"")</f>
        <v/>
      </c>
      <c r="H1002" s="13">
        <f>IFERROR((CHAIN_RAW!R1002+CHAIN_RAW!S1002)/2,"")</f>
        <v/>
      </c>
      <c r="I1002" s="13">
        <f>IFERROR((CHAIN_RAW!L1002-CHAIN_RAW!K1002)/MAX(1E-9, G1002),"")</f>
        <v/>
      </c>
      <c r="J1002" s="13">
        <f>IFERROR((CHAIN_RAW!S1002-CHAIN_RAW!R1002)/MAX(1E-9, H1002),"")</f>
        <v/>
      </c>
      <c r="K1002" s="13">
        <f>CHAIN_RAW!G1002</f>
        <v/>
      </c>
      <c r="L1002" s="13">
        <f>CHAIN_RAW!N1002</f>
        <v/>
      </c>
      <c r="M1002" s="13">
        <f>IFERROR(L1002-K1002,"")</f>
        <v/>
      </c>
      <c r="N1002" s="13">
        <f>CHAIN_RAW!H1002</f>
        <v/>
      </c>
      <c r="O1002" s="13">
        <f>CHAIN_RAW!O1002</f>
        <v/>
      </c>
      <c r="P1002" s="13">
        <f>IFERROR(O1002/N1002,"")</f>
        <v/>
      </c>
      <c r="Q1002" s="13">
        <f>CHAIN_RAW!I1002</f>
        <v/>
      </c>
      <c r="R1002" s="13">
        <f>CHAIN_RAW!P1002</f>
        <v/>
      </c>
      <c r="S1002" s="13">
        <f>IFERROR(R1002/Q1002,"")</f>
        <v/>
      </c>
      <c r="T1002" s="13">
        <f>IFERROR((ABS(N1002-O1002)/MAX(1,(N1002+O1002)))*EXP(-ABS(E1002-CONTROL!E5)/MAX(1,CONTROL!B8)),"")</f>
        <v/>
      </c>
      <c r="U1002" s="13">
        <f>IFERROR(IF(O1002&gt;N1002,"SUPPORT (PE OI)","RESIST (CE OI)"),"")</f>
        <v/>
      </c>
      <c r="V1002" s="13">
        <f>IFERROR(IF(Q1002&gt;0,IF(R1002&gt;0,"BOTH_ADD","CE_ADD_PE_REDUCE"),IF(R1002&gt;0,"CE_REDUCE_PE_ADD","BOTH_REDUCE")),"")</f>
        <v/>
      </c>
      <c r="W1002" s="13">
        <f>IFERROR( (P1002-1)*0.5 + (M1002)*0.1 - (I1002+J1002)*0.05 + T1002*0.4 ,"")</f>
        <v/>
      </c>
      <c r="X1002" s="13">
        <f>IFERROR(IF(ABS(F1002)&lt;0.01,"ATM/NEAR",""),"")</f>
        <v/>
      </c>
    </row>
    <row r="1003">
      <c r="A1003" s="13">
        <f>CHAIN_RAW!A1003</f>
        <v/>
      </c>
      <c r="B1003" s="14">
        <f>CHAIN_RAW!B1003</f>
        <v/>
      </c>
      <c r="C1003" s="13">
        <f>CHAIN_RAW!C1003</f>
        <v/>
      </c>
      <c r="D1003" s="13">
        <f>CHAIN_RAW!D1003</f>
        <v/>
      </c>
      <c r="E1003" s="13">
        <f>CHAIN_RAW!E1003</f>
        <v/>
      </c>
      <c r="F1003" s="13">
        <f>IFERROR((E1003-D1003)/D1003,"")</f>
        <v/>
      </c>
      <c r="G1003" s="13">
        <f>IFERROR((CHAIN_RAW!K1003+CHAIN_RAW!L1003)/2,"")</f>
        <v/>
      </c>
      <c r="H1003" s="13">
        <f>IFERROR((CHAIN_RAW!R1003+CHAIN_RAW!S1003)/2,"")</f>
        <v/>
      </c>
      <c r="I1003" s="13">
        <f>IFERROR((CHAIN_RAW!L1003-CHAIN_RAW!K1003)/MAX(1E-9, G1003),"")</f>
        <v/>
      </c>
      <c r="J1003" s="13">
        <f>IFERROR((CHAIN_RAW!S1003-CHAIN_RAW!R1003)/MAX(1E-9, H1003),"")</f>
        <v/>
      </c>
      <c r="K1003" s="13">
        <f>CHAIN_RAW!G1003</f>
        <v/>
      </c>
      <c r="L1003" s="13">
        <f>CHAIN_RAW!N1003</f>
        <v/>
      </c>
      <c r="M1003" s="13">
        <f>IFERROR(L1003-K1003,"")</f>
        <v/>
      </c>
      <c r="N1003" s="13">
        <f>CHAIN_RAW!H1003</f>
        <v/>
      </c>
      <c r="O1003" s="13">
        <f>CHAIN_RAW!O1003</f>
        <v/>
      </c>
      <c r="P1003" s="13">
        <f>IFERROR(O1003/N1003,"")</f>
        <v/>
      </c>
      <c r="Q1003" s="13">
        <f>CHAIN_RAW!I1003</f>
        <v/>
      </c>
      <c r="R1003" s="13">
        <f>CHAIN_RAW!P1003</f>
        <v/>
      </c>
      <c r="S1003" s="13">
        <f>IFERROR(R1003/Q1003,"")</f>
        <v/>
      </c>
      <c r="T1003" s="13">
        <f>IFERROR((ABS(N1003-O1003)/MAX(1,(N1003+O1003)))*EXP(-ABS(E1003-CONTROL!E5)/MAX(1,CONTROL!B8)),"")</f>
        <v/>
      </c>
      <c r="U1003" s="13">
        <f>IFERROR(IF(O1003&gt;N1003,"SUPPORT (PE OI)","RESIST (CE OI)"),"")</f>
        <v/>
      </c>
      <c r="V1003" s="13">
        <f>IFERROR(IF(Q1003&gt;0,IF(R1003&gt;0,"BOTH_ADD","CE_ADD_PE_REDUCE"),IF(R1003&gt;0,"CE_REDUCE_PE_ADD","BOTH_REDUCE")),"")</f>
        <v/>
      </c>
      <c r="W1003" s="13">
        <f>IFERROR( (P1003-1)*0.5 + (M1003)*0.1 - (I1003+J1003)*0.05 + T1003*0.4 ,"")</f>
        <v/>
      </c>
      <c r="X1003" s="13">
        <f>IFERROR(IF(ABS(F1003)&lt;0.01,"ATM/NEAR",""),"")</f>
        <v/>
      </c>
    </row>
    <row r="1004">
      <c r="A1004" s="13">
        <f>CHAIN_RAW!A1004</f>
        <v/>
      </c>
      <c r="B1004" s="14">
        <f>CHAIN_RAW!B1004</f>
        <v/>
      </c>
      <c r="C1004" s="13">
        <f>CHAIN_RAW!C1004</f>
        <v/>
      </c>
      <c r="D1004" s="13">
        <f>CHAIN_RAW!D1004</f>
        <v/>
      </c>
      <c r="E1004" s="13">
        <f>CHAIN_RAW!E1004</f>
        <v/>
      </c>
      <c r="F1004" s="13">
        <f>IFERROR((E1004-D1004)/D1004,"")</f>
        <v/>
      </c>
      <c r="G1004" s="13">
        <f>IFERROR((CHAIN_RAW!K1004+CHAIN_RAW!L1004)/2,"")</f>
        <v/>
      </c>
      <c r="H1004" s="13">
        <f>IFERROR((CHAIN_RAW!R1004+CHAIN_RAW!S1004)/2,"")</f>
        <v/>
      </c>
      <c r="I1004" s="13">
        <f>IFERROR((CHAIN_RAW!L1004-CHAIN_RAW!K1004)/MAX(1E-9, G1004),"")</f>
        <v/>
      </c>
      <c r="J1004" s="13">
        <f>IFERROR((CHAIN_RAW!S1004-CHAIN_RAW!R1004)/MAX(1E-9, H1004),"")</f>
        <v/>
      </c>
      <c r="K1004" s="13">
        <f>CHAIN_RAW!G1004</f>
        <v/>
      </c>
      <c r="L1004" s="13">
        <f>CHAIN_RAW!N1004</f>
        <v/>
      </c>
      <c r="M1004" s="13">
        <f>IFERROR(L1004-K1004,"")</f>
        <v/>
      </c>
      <c r="N1004" s="13">
        <f>CHAIN_RAW!H1004</f>
        <v/>
      </c>
      <c r="O1004" s="13">
        <f>CHAIN_RAW!O1004</f>
        <v/>
      </c>
      <c r="P1004" s="13">
        <f>IFERROR(O1004/N1004,"")</f>
        <v/>
      </c>
      <c r="Q1004" s="13">
        <f>CHAIN_RAW!I1004</f>
        <v/>
      </c>
      <c r="R1004" s="13">
        <f>CHAIN_RAW!P1004</f>
        <v/>
      </c>
      <c r="S1004" s="13">
        <f>IFERROR(R1004/Q1004,"")</f>
        <v/>
      </c>
      <c r="T1004" s="13">
        <f>IFERROR((ABS(N1004-O1004)/MAX(1,(N1004+O1004)))*EXP(-ABS(E1004-CONTROL!E5)/MAX(1,CONTROL!B8)),"")</f>
        <v/>
      </c>
      <c r="U1004" s="13">
        <f>IFERROR(IF(O1004&gt;N1004,"SUPPORT (PE OI)","RESIST (CE OI)"),"")</f>
        <v/>
      </c>
      <c r="V1004" s="13">
        <f>IFERROR(IF(Q1004&gt;0,IF(R1004&gt;0,"BOTH_ADD","CE_ADD_PE_REDUCE"),IF(R1004&gt;0,"CE_REDUCE_PE_ADD","BOTH_REDUCE")),"")</f>
        <v/>
      </c>
      <c r="W1004" s="13">
        <f>IFERROR( (P1004-1)*0.5 + (M1004)*0.1 - (I1004+J1004)*0.05 + T1004*0.4 ,"")</f>
        <v/>
      </c>
      <c r="X1004" s="13">
        <f>IFERROR(IF(ABS(F1004)&lt;0.01,"ATM/NEAR",""),"")</f>
        <v/>
      </c>
    </row>
    <row r="1005">
      <c r="A1005" s="13">
        <f>CHAIN_RAW!A1005</f>
        <v/>
      </c>
      <c r="B1005" s="14">
        <f>CHAIN_RAW!B1005</f>
        <v/>
      </c>
      <c r="C1005" s="13">
        <f>CHAIN_RAW!C1005</f>
        <v/>
      </c>
      <c r="D1005" s="13">
        <f>CHAIN_RAW!D1005</f>
        <v/>
      </c>
      <c r="E1005" s="13">
        <f>CHAIN_RAW!E1005</f>
        <v/>
      </c>
      <c r="F1005" s="13">
        <f>IFERROR((E1005-D1005)/D1005,"")</f>
        <v/>
      </c>
      <c r="G1005" s="13">
        <f>IFERROR((CHAIN_RAW!K1005+CHAIN_RAW!L1005)/2,"")</f>
        <v/>
      </c>
      <c r="H1005" s="13">
        <f>IFERROR((CHAIN_RAW!R1005+CHAIN_RAW!S1005)/2,"")</f>
        <v/>
      </c>
      <c r="I1005" s="13">
        <f>IFERROR((CHAIN_RAW!L1005-CHAIN_RAW!K1005)/MAX(1E-9, G1005),"")</f>
        <v/>
      </c>
      <c r="J1005" s="13">
        <f>IFERROR((CHAIN_RAW!S1005-CHAIN_RAW!R1005)/MAX(1E-9, H1005),"")</f>
        <v/>
      </c>
      <c r="K1005" s="13">
        <f>CHAIN_RAW!G1005</f>
        <v/>
      </c>
      <c r="L1005" s="13">
        <f>CHAIN_RAW!N1005</f>
        <v/>
      </c>
      <c r="M1005" s="13">
        <f>IFERROR(L1005-K1005,"")</f>
        <v/>
      </c>
      <c r="N1005" s="13">
        <f>CHAIN_RAW!H1005</f>
        <v/>
      </c>
      <c r="O1005" s="13">
        <f>CHAIN_RAW!O1005</f>
        <v/>
      </c>
      <c r="P1005" s="13">
        <f>IFERROR(O1005/N1005,"")</f>
        <v/>
      </c>
      <c r="Q1005" s="13">
        <f>CHAIN_RAW!I1005</f>
        <v/>
      </c>
      <c r="R1005" s="13">
        <f>CHAIN_RAW!P1005</f>
        <v/>
      </c>
      <c r="S1005" s="13">
        <f>IFERROR(R1005/Q1005,"")</f>
        <v/>
      </c>
      <c r="T1005" s="13">
        <f>IFERROR((ABS(N1005-O1005)/MAX(1,(N1005+O1005)))*EXP(-ABS(E1005-CONTROL!E5)/MAX(1,CONTROL!B8)),"")</f>
        <v/>
      </c>
      <c r="U1005" s="13">
        <f>IFERROR(IF(O1005&gt;N1005,"SUPPORT (PE OI)","RESIST (CE OI)"),"")</f>
        <v/>
      </c>
      <c r="V1005" s="13">
        <f>IFERROR(IF(Q1005&gt;0,IF(R1005&gt;0,"BOTH_ADD","CE_ADD_PE_REDUCE"),IF(R1005&gt;0,"CE_REDUCE_PE_ADD","BOTH_REDUCE")),"")</f>
        <v/>
      </c>
      <c r="W1005" s="13">
        <f>IFERROR( (P1005-1)*0.5 + (M1005)*0.1 - (I1005+J1005)*0.05 + T1005*0.4 ,"")</f>
        <v/>
      </c>
      <c r="X1005" s="13">
        <f>IFERROR(IF(ABS(F1005)&lt;0.01,"ATM/NEAR",""),"")</f>
        <v/>
      </c>
    </row>
    <row r="1006">
      <c r="A1006" s="13">
        <f>CHAIN_RAW!A1006</f>
        <v/>
      </c>
      <c r="B1006" s="14">
        <f>CHAIN_RAW!B1006</f>
        <v/>
      </c>
      <c r="C1006" s="13">
        <f>CHAIN_RAW!C1006</f>
        <v/>
      </c>
      <c r="D1006" s="13">
        <f>CHAIN_RAW!D1006</f>
        <v/>
      </c>
      <c r="E1006" s="13">
        <f>CHAIN_RAW!E1006</f>
        <v/>
      </c>
      <c r="F1006" s="13">
        <f>IFERROR((E1006-D1006)/D1006,"")</f>
        <v/>
      </c>
      <c r="G1006" s="13">
        <f>IFERROR((CHAIN_RAW!K1006+CHAIN_RAW!L1006)/2,"")</f>
        <v/>
      </c>
      <c r="H1006" s="13">
        <f>IFERROR((CHAIN_RAW!R1006+CHAIN_RAW!S1006)/2,"")</f>
        <v/>
      </c>
      <c r="I1006" s="13">
        <f>IFERROR((CHAIN_RAW!L1006-CHAIN_RAW!K1006)/MAX(1E-9, G1006),"")</f>
        <v/>
      </c>
      <c r="J1006" s="13">
        <f>IFERROR((CHAIN_RAW!S1006-CHAIN_RAW!R1006)/MAX(1E-9, H1006),"")</f>
        <v/>
      </c>
      <c r="K1006" s="13">
        <f>CHAIN_RAW!G1006</f>
        <v/>
      </c>
      <c r="L1006" s="13">
        <f>CHAIN_RAW!N1006</f>
        <v/>
      </c>
      <c r="M1006" s="13">
        <f>IFERROR(L1006-K1006,"")</f>
        <v/>
      </c>
      <c r="N1006" s="13">
        <f>CHAIN_RAW!H1006</f>
        <v/>
      </c>
      <c r="O1006" s="13">
        <f>CHAIN_RAW!O1006</f>
        <v/>
      </c>
      <c r="P1006" s="13">
        <f>IFERROR(O1006/N1006,"")</f>
        <v/>
      </c>
      <c r="Q1006" s="13">
        <f>CHAIN_RAW!I1006</f>
        <v/>
      </c>
      <c r="R1006" s="13">
        <f>CHAIN_RAW!P1006</f>
        <v/>
      </c>
      <c r="S1006" s="13">
        <f>IFERROR(R1006/Q1006,"")</f>
        <v/>
      </c>
      <c r="T1006" s="13">
        <f>IFERROR((ABS(N1006-O1006)/MAX(1,(N1006+O1006)))*EXP(-ABS(E1006-CONTROL!E5)/MAX(1,CONTROL!B8)),"")</f>
        <v/>
      </c>
      <c r="U1006" s="13">
        <f>IFERROR(IF(O1006&gt;N1006,"SUPPORT (PE OI)","RESIST (CE OI)"),"")</f>
        <v/>
      </c>
      <c r="V1006" s="13">
        <f>IFERROR(IF(Q1006&gt;0,IF(R1006&gt;0,"BOTH_ADD","CE_ADD_PE_REDUCE"),IF(R1006&gt;0,"CE_REDUCE_PE_ADD","BOTH_REDUCE")),"")</f>
        <v/>
      </c>
      <c r="W1006" s="13">
        <f>IFERROR( (P1006-1)*0.5 + (M1006)*0.1 - (I1006+J1006)*0.05 + T1006*0.4 ,"")</f>
        <v/>
      </c>
      <c r="X1006" s="13">
        <f>IFERROR(IF(ABS(F1006)&lt;0.01,"ATM/NEAR",""),"")</f>
        <v/>
      </c>
    </row>
    <row r="1007">
      <c r="A1007" s="13">
        <f>CHAIN_RAW!A1007</f>
        <v/>
      </c>
      <c r="B1007" s="14">
        <f>CHAIN_RAW!B1007</f>
        <v/>
      </c>
      <c r="C1007" s="13">
        <f>CHAIN_RAW!C1007</f>
        <v/>
      </c>
      <c r="D1007" s="13">
        <f>CHAIN_RAW!D1007</f>
        <v/>
      </c>
      <c r="E1007" s="13">
        <f>CHAIN_RAW!E1007</f>
        <v/>
      </c>
      <c r="F1007" s="13">
        <f>IFERROR((E1007-D1007)/D1007,"")</f>
        <v/>
      </c>
      <c r="G1007" s="13">
        <f>IFERROR((CHAIN_RAW!K1007+CHAIN_RAW!L1007)/2,"")</f>
        <v/>
      </c>
      <c r="H1007" s="13">
        <f>IFERROR((CHAIN_RAW!R1007+CHAIN_RAW!S1007)/2,"")</f>
        <v/>
      </c>
      <c r="I1007" s="13">
        <f>IFERROR((CHAIN_RAW!L1007-CHAIN_RAW!K1007)/MAX(1E-9, G1007),"")</f>
        <v/>
      </c>
      <c r="J1007" s="13">
        <f>IFERROR((CHAIN_RAW!S1007-CHAIN_RAW!R1007)/MAX(1E-9, H1007),"")</f>
        <v/>
      </c>
      <c r="K1007" s="13">
        <f>CHAIN_RAW!G1007</f>
        <v/>
      </c>
      <c r="L1007" s="13">
        <f>CHAIN_RAW!N1007</f>
        <v/>
      </c>
      <c r="M1007" s="13">
        <f>IFERROR(L1007-K1007,"")</f>
        <v/>
      </c>
      <c r="N1007" s="13">
        <f>CHAIN_RAW!H1007</f>
        <v/>
      </c>
      <c r="O1007" s="13">
        <f>CHAIN_RAW!O1007</f>
        <v/>
      </c>
      <c r="P1007" s="13">
        <f>IFERROR(O1007/N1007,"")</f>
        <v/>
      </c>
      <c r="Q1007" s="13">
        <f>CHAIN_RAW!I1007</f>
        <v/>
      </c>
      <c r="R1007" s="13">
        <f>CHAIN_RAW!P1007</f>
        <v/>
      </c>
      <c r="S1007" s="13">
        <f>IFERROR(R1007/Q1007,"")</f>
        <v/>
      </c>
      <c r="T1007" s="13">
        <f>IFERROR((ABS(N1007-O1007)/MAX(1,(N1007+O1007)))*EXP(-ABS(E1007-CONTROL!E5)/MAX(1,CONTROL!B8)),"")</f>
        <v/>
      </c>
      <c r="U1007" s="13">
        <f>IFERROR(IF(O1007&gt;N1007,"SUPPORT (PE OI)","RESIST (CE OI)"),"")</f>
        <v/>
      </c>
      <c r="V1007" s="13">
        <f>IFERROR(IF(Q1007&gt;0,IF(R1007&gt;0,"BOTH_ADD","CE_ADD_PE_REDUCE"),IF(R1007&gt;0,"CE_REDUCE_PE_ADD","BOTH_REDUCE")),"")</f>
        <v/>
      </c>
      <c r="W1007" s="13">
        <f>IFERROR( (P1007-1)*0.5 + (M1007)*0.1 - (I1007+J1007)*0.05 + T1007*0.4 ,"")</f>
        <v/>
      </c>
      <c r="X1007" s="13">
        <f>IFERROR(IF(ABS(F1007)&lt;0.01,"ATM/NEAR",""),"")</f>
        <v/>
      </c>
    </row>
    <row r="1008">
      <c r="A1008" s="13">
        <f>CHAIN_RAW!A1008</f>
        <v/>
      </c>
      <c r="B1008" s="14">
        <f>CHAIN_RAW!B1008</f>
        <v/>
      </c>
      <c r="C1008" s="13">
        <f>CHAIN_RAW!C1008</f>
        <v/>
      </c>
      <c r="D1008" s="13">
        <f>CHAIN_RAW!D1008</f>
        <v/>
      </c>
      <c r="E1008" s="13">
        <f>CHAIN_RAW!E1008</f>
        <v/>
      </c>
      <c r="F1008" s="13">
        <f>IFERROR((E1008-D1008)/D1008,"")</f>
        <v/>
      </c>
      <c r="G1008" s="13">
        <f>IFERROR((CHAIN_RAW!K1008+CHAIN_RAW!L1008)/2,"")</f>
        <v/>
      </c>
      <c r="H1008" s="13">
        <f>IFERROR((CHAIN_RAW!R1008+CHAIN_RAW!S1008)/2,"")</f>
        <v/>
      </c>
      <c r="I1008" s="13">
        <f>IFERROR((CHAIN_RAW!L1008-CHAIN_RAW!K1008)/MAX(1E-9, G1008),"")</f>
        <v/>
      </c>
      <c r="J1008" s="13">
        <f>IFERROR((CHAIN_RAW!S1008-CHAIN_RAW!R1008)/MAX(1E-9, H1008),"")</f>
        <v/>
      </c>
      <c r="K1008" s="13">
        <f>CHAIN_RAW!G1008</f>
        <v/>
      </c>
      <c r="L1008" s="13">
        <f>CHAIN_RAW!N1008</f>
        <v/>
      </c>
      <c r="M1008" s="13">
        <f>IFERROR(L1008-K1008,"")</f>
        <v/>
      </c>
      <c r="N1008" s="13">
        <f>CHAIN_RAW!H1008</f>
        <v/>
      </c>
      <c r="O1008" s="13">
        <f>CHAIN_RAW!O1008</f>
        <v/>
      </c>
      <c r="P1008" s="13">
        <f>IFERROR(O1008/N1008,"")</f>
        <v/>
      </c>
      <c r="Q1008" s="13">
        <f>CHAIN_RAW!I1008</f>
        <v/>
      </c>
      <c r="R1008" s="13">
        <f>CHAIN_RAW!P1008</f>
        <v/>
      </c>
      <c r="S1008" s="13">
        <f>IFERROR(R1008/Q1008,"")</f>
        <v/>
      </c>
      <c r="T1008" s="13">
        <f>IFERROR((ABS(N1008-O1008)/MAX(1,(N1008+O1008)))*EXP(-ABS(E1008-CONTROL!E5)/MAX(1,CONTROL!B8)),"")</f>
        <v/>
      </c>
      <c r="U1008" s="13">
        <f>IFERROR(IF(O1008&gt;N1008,"SUPPORT (PE OI)","RESIST (CE OI)"),"")</f>
        <v/>
      </c>
      <c r="V1008" s="13">
        <f>IFERROR(IF(Q1008&gt;0,IF(R1008&gt;0,"BOTH_ADD","CE_ADD_PE_REDUCE"),IF(R1008&gt;0,"CE_REDUCE_PE_ADD","BOTH_REDUCE")),"")</f>
        <v/>
      </c>
      <c r="W1008" s="13">
        <f>IFERROR( (P1008-1)*0.5 + (M1008)*0.1 - (I1008+J1008)*0.05 + T1008*0.4 ,"")</f>
        <v/>
      </c>
      <c r="X1008" s="13">
        <f>IFERROR(IF(ABS(F1008)&lt;0.01,"ATM/NEAR",""),"")</f>
        <v/>
      </c>
    </row>
    <row r="1009">
      <c r="A1009" s="13">
        <f>CHAIN_RAW!A1009</f>
        <v/>
      </c>
      <c r="B1009" s="14">
        <f>CHAIN_RAW!B1009</f>
        <v/>
      </c>
      <c r="C1009" s="13">
        <f>CHAIN_RAW!C1009</f>
        <v/>
      </c>
      <c r="D1009" s="13">
        <f>CHAIN_RAW!D1009</f>
        <v/>
      </c>
      <c r="E1009" s="13">
        <f>CHAIN_RAW!E1009</f>
        <v/>
      </c>
      <c r="F1009" s="13">
        <f>IFERROR((E1009-D1009)/D1009,"")</f>
        <v/>
      </c>
      <c r="G1009" s="13">
        <f>IFERROR((CHAIN_RAW!K1009+CHAIN_RAW!L1009)/2,"")</f>
        <v/>
      </c>
      <c r="H1009" s="13">
        <f>IFERROR((CHAIN_RAW!R1009+CHAIN_RAW!S1009)/2,"")</f>
        <v/>
      </c>
      <c r="I1009" s="13">
        <f>IFERROR((CHAIN_RAW!L1009-CHAIN_RAW!K1009)/MAX(1E-9, G1009),"")</f>
        <v/>
      </c>
      <c r="J1009" s="13">
        <f>IFERROR((CHAIN_RAW!S1009-CHAIN_RAW!R1009)/MAX(1E-9, H1009),"")</f>
        <v/>
      </c>
      <c r="K1009" s="13">
        <f>CHAIN_RAW!G1009</f>
        <v/>
      </c>
      <c r="L1009" s="13">
        <f>CHAIN_RAW!N1009</f>
        <v/>
      </c>
      <c r="M1009" s="13">
        <f>IFERROR(L1009-K1009,"")</f>
        <v/>
      </c>
      <c r="N1009" s="13">
        <f>CHAIN_RAW!H1009</f>
        <v/>
      </c>
      <c r="O1009" s="13">
        <f>CHAIN_RAW!O1009</f>
        <v/>
      </c>
      <c r="P1009" s="13">
        <f>IFERROR(O1009/N1009,"")</f>
        <v/>
      </c>
      <c r="Q1009" s="13">
        <f>CHAIN_RAW!I1009</f>
        <v/>
      </c>
      <c r="R1009" s="13">
        <f>CHAIN_RAW!P1009</f>
        <v/>
      </c>
      <c r="S1009" s="13">
        <f>IFERROR(R1009/Q1009,"")</f>
        <v/>
      </c>
      <c r="T1009" s="13">
        <f>IFERROR((ABS(N1009-O1009)/MAX(1,(N1009+O1009)))*EXP(-ABS(E1009-CONTROL!E5)/MAX(1,CONTROL!B8)),"")</f>
        <v/>
      </c>
      <c r="U1009" s="13">
        <f>IFERROR(IF(O1009&gt;N1009,"SUPPORT (PE OI)","RESIST (CE OI)"),"")</f>
        <v/>
      </c>
      <c r="V1009" s="13">
        <f>IFERROR(IF(Q1009&gt;0,IF(R1009&gt;0,"BOTH_ADD","CE_ADD_PE_REDUCE"),IF(R1009&gt;0,"CE_REDUCE_PE_ADD","BOTH_REDUCE")),"")</f>
        <v/>
      </c>
      <c r="W1009" s="13">
        <f>IFERROR( (P1009-1)*0.5 + (M1009)*0.1 - (I1009+J1009)*0.05 + T1009*0.4 ,"")</f>
        <v/>
      </c>
      <c r="X1009" s="13">
        <f>IFERROR(IF(ABS(F1009)&lt;0.01,"ATM/NEAR",""),"")</f>
        <v/>
      </c>
    </row>
    <row r="1010">
      <c r="A1010" s="13">
        <f>CHAIN_RAW!A1010</f>
        <v/>
      </c>
      <c r="B1010" s="14">
        <f>CHAIN_RAW!B1010</f>
        <v/>
      </c>
      <c r="C1010" s="13">
        <f>CHAIN_RAW!C1010</f>
        <v/>
      </c>
      <c r="D1010" s="13">
        <f>CHAIN_RAW!D1010</f>
        <v/>
      </c>
      <c r="E1010" s="13">
        <f>CHAIN_RAW!E1010</f>
        <v/>
      </c>
      <c r="F1010" s="13">
        <f>IFERROR((E1010-D1010)/D1010,"")</f>
        <v/>
      </c>
      <c r="G1010" s="13">
        <f>IFERROR((CHAIN_RAW!K1010+CHAIN_RAW!L1010)/2,"")</f>
        <v/>
      </c>
      <c r="H1010" s="13">
        <f>IFERROR((CHAIN_RAW!R1010+CHAIN_RAW!S1010)/2,"")</f>
        <v/>
      </c>
      <c r="I1010" s="13">
        <f>IFERROR((CHAIN_RAW!L1010-CHAIN_RAW!K1010)/MAX(1E-9, G1010),"")</f>
        <v/>
      </c>
      <c r="J1010" s="13">
        <f>IFERROR((CHAIN_RAW!S1010-CHAIN_RAW!R1010)/MAX(1E-9, H1010),"")</f>
        <v/>
      </c>
      <c r="K1010" s="13">
        <f>CHAIN_RAW!G1010</f>
        <v/>
      </c>
      <c r="L1010" s="13">
        <f>CHAIN_RAW!N1010</f>
        <v/>
      </c>
      <c r="M1010" s="13">
        <f>IFERROR(L1010-K1010,"")</f>
        <v/>
      </c>
      <c r="N1010" s="13">
        <f>CHAIN_RAW!H1010</f>
        <v/>
      </c>
      <c r="O1010" s="13">
        <f>CHAIN_RAW!O1010</f>
        <v/>
      </c>
      <c r="P1010" s="13">
        <f>IFERROR(O1010/N1010,"")</f>
        <v/>
      </c>
      <c r="Q1010" s="13">
        <f>CHAIN_RAW!I1010</f>
        <v/>
      </c>
      <c r="R1010" s="13">
        <f>CHAIN_RAW!P1010</f>
        <v/>
      </c>
      <c r="S1010" s="13">
        <f>IFERROR(R1010/Q1010,"")</f>
        <v/>
      </c>
      <c r="T1010" s="13">
        <f>IFERROR((ABS(N1010-O1010)/MAX(1,(N1010+O1010)))*EXP(-ABS(E1010-CONTROL!E5)/MAX(1,CONTROL!B8)),"")</f>
        <v/>
      </c>
      <c r="U1010" s="13">
        <f>IFERROR(IF(O1010&gt;N1010,"SUPPORT (PE OI)","RESIST (CE OI)"),"")</f>
        <v/>
      </c>
      <c r="V1010" s="13">
        <f>IFERROR(IF(Q1010&gt;0,IF(R1010&gt;0,"BOTH_ADD","CE_ADD_PE_REDUCE"),IF(R1010&gt;0,"CE_REDUCE_PE_ADD","BOTH_REDUCE")),"")</f>
        <v/>
      </c>
      <c r="W1010" s="13">
        <f>IFERROR( (P1010-1)*0.5 + (M1010)*0.1 - (I1010+J1010)*0.05 + T1010*0.4 ,"")</f>
        <v/>
      </c>
      <c r="X1010" s="13">
        <f>IFERROR(IF(ABS(F1010)&lt;0.01,"ATM/NEAR",""),"")</f>
        <v/>
      </c>
    </row>
    <row r="1011">
      <c r="A1011" s="13">
        <f>CHAIN_RAW!A1011</f>
        <v/>
      </c>
      <c r="B1011" s="14">
        <f>CHAIN_RAW!B1011</f>
        <v/>
      </c>
      <c r="C1011" s="13">
        <f>CHAIN_RAW!C1011</f>
        <v/>
      </c>
      <c r="D1011" s="13">
        <f>CHAIN_RAW!D1011</f>
        <v/>
      </c>
      <c r="E1011" s="13">
        <f>CHAIN_RAW!E1011</f>
        <v/>
      </c>
      <c r="F1011" s="13">
        <f>IFERROR((E1011-D1011)/D1011,"")</f>
        <v/>
      </c>
      <c r="G1011" s="13">
        <f>IFERROR((CHAIN_RAW!K1011+CHAIN_RAW!L1011)/2,"")</f>
        <v/>
      </c>
      <c r="H1011" s="13">
        <f>IFERROR((CHAIN_RAW!R1011+CHAIN_RAW!S1011)/2,"")</f>
        <v/>
      </c>
      <c r="I1011" s="13">
        <f>IFERROR((CHAIN_RAW!L1011-CHAIN_RAW!K1011)/MAX(1E-9, G1011),"")</f>
        <v/>
      </c>
      <c r="J1011" s="13">
        <f>IFERROR((CHAIN_RAW!S1011-CHAIN_RAW!R1011)/MAX(1E-9, H1011),"")</f>
        <v/>
      </c>
      <c r="K1011" s="13">
        <f>CHAIN_RAW!G1011</f>
        <v/>
      </c>
      <c r="L1011" s="13">
        <f>CHAIN_RAW!N1011</f>
        <v/>
      </c>
      <c r="M1011" s="13">
        <f>IFERROR(L1011-K1011,"")</f>
        <v/>
      </c>
      <c r="N1011" s="13">
        <f>CHAIN_RAW!H1011</f>
        <v/>
      </c>
      <c r="O1011" s="13">
        <f>CHAIN_RAW!O1011</f>
        <v/>
      </c>
      <c r="P1011" s="13">
        <f>IFERROR(O1011/N1011,"")</f>
        <v/>
      </c>
      <c r="Q1011" s="13">
        <f>CHAIN_RAW!I1011</f>
        <v/>
      </c>
      <c r="R1011" s="13">
        <f>CHAIN_RAW!P1011</f>
        <v/>
      </c>
      <c r="S1011" s="13">
        <f>IFERROR(R1011/Q1011,"")</f>
        <v/>
      </c>
      <c r="T1011" s="13">
        <f>IFERROR((ABS(N1011-O1011)/MAX(1,(N1011+O1011)))*EXP(-ABS(E1011-CONTROL!E5)/MAX(1,CONTROL!B8)),"")</f>
        <v/>
      </c>
      <c r="U1011" s="13">
        <f>IFERROR(IF(O1011&gt;N1011,"SUPPORT (PE OI)","RESIST (CE OI)"),"")</f>
        <v/>
      </c>
      <c r="V1011" s="13">
        <f>IFERROR(IF(Q1011&gt;0,IF(R1011&gt;0,"BOTH_ADD","CE_ADD_PE_REDUCE"),IF(R1011&gt;0,"CE_REDUCE_PE_ADD","BOTH_REDUCE")),"")</f>
        <v/>
      </c>
      <c r="W1011" s="13">
        <f>IFERROR( (P1011-1)*0.5 + (M1011)*0.1 - (I1011+J1011)*0.05 + T1011*0.4 ,"")</f>
        <v/>
      </c>
      <c r="X1011" s="13">
        <f>IFERROR(IF(ABS(F1011)&lt;0.01,"ATM/NEAR",""),"")</f>
        <v/>
      </c>
    </row>
    <row r="1012">
      <c r="A1012" s="13">
        <f>CHAIN_RAW!A1012</f>
        <v/>
      </c>
      <c r="B1012" s="14">
        <f>CHAIN_RAW!B1012</f>
        <v/>
      </c>
      <c r="C1012" s="13">
        <f>CHAIN_RAW!C1012</f>
        <v/>
      </c>
      <c r="D1012" s="13">
        <f>CHAIN_RAW!D1012</f>
        <v/>
      </c>
      <c r="E1012" s="13">
        <f>CHAIN_RAW!E1012</f>
        <v/>
      </c>
      <c r="F1012" s="13">
        <f>IFERROR((E1012-D1012)/D1012,"")</f>
        <v/>
      </c>
      <c r="G1012" s="13">
        <f>IFERROR((CHAIN_RAW!K1012+CHAIN_RAW!L1012)/2,"")</f>
        <v/>
      </c>
      <c r="H1012" s="13">
        <f>IFERROR((CHAIN_RAW!R1012+CHAIN_RAW!S1012)/2,"")</f>
        <v/>
      </c>
      <c r="I1012" s="13">
        <f>IFERROR((CHAIN_RAW!L1012-CHAIN_RAW!K1012)/MAX(1E-9, G1012),"")</f>
        <v/>
      </c>
      <c r="J1012" s="13">
        <f>IFERROR((CHAIN_RAW!S1012-CHAIN_RAW!R1012)/MAX(1E-9, H1012),"")</f>
        <v/>
      </c>
      <c r="K1012" s="13">
        <f>CHAIN_RAW!G1012</f>
        <v/>
      </c>
      <c r="L1012" s="13">
        <f>CHAIN_RAW!N1012</f>
        <v/>
      </c>
      <c r="M1012" s="13">
        <f>IFERROR(L1012-K1012,"")</f>
        <v/>
      </c>
      <c r="N1012" s="13">
        <f>CHAIN_RAW!H1012</f>
        <v/>
      </c>
      <c r="O1012" s="13">
        <f>CHAIN_RAW!O1012</f>
        <v/>
      </c>
      <c r="P1012" s="13">
        <f>IFERROR(O1012/N1012,"")</f>
        <v/>
      </c>
      <c r="Q1012" s="13">
        <f>CHAIN_RAW!I1012</f>
        <v/>
      </c>
      <c r="R1012" s="13">
        <f>CHAIN_RAW!P1012</f>
        <v/>
      </c>
      <c r="S1012" s="13">
        <f>IFERROR(R1012/Q1012,"")</f>
        <v/>
      </c>
      <c r="T1012" s="13">
        <f>IFERROR((ABS(N1012-O1012)/MAX(1,(N1012+O1012)))*EXP(-ABS(E1012-CONTROL!E5)/MAX(1,CONTROL!B8)),"")</f>
        <v/>
      </c>
      <c r="U1012" s="13">
        <f>IFERROR(IF(O1012&gt;N1012,"SUPPORT (PE OI)","RESIST (CE OI)"),"")</f>
        <v/>
      </c>
      <c r="V1012" s="13">
        <f>IFERROR(IF(Q1012&gt;0,IF(R1012&gt;0,"BOTH_ADD","CE_ADD_PE_REDUCE"),IF(R1012&gt;0,"CE_REDUCE_PE_ADD","BOTH_REDUCE")),"")</f>
        <v/>
      </c>
      <c r="W1012" s="13">
        <f>IFERROR( (P1012-1)*0.5 + (M1012)*0.1 - (I1012+J1012)*0.05 + T1012*0.4 ,"")</f>
        <v/>
      </c>
      <c r="X1012" s="13">
        <f>IFERROR(IF(ABS(F1012)&lt;0.01,"ATM/NEAR",""),"")</f>
        <v/>
      </c>
    </row>
    <row r="1013">
      <c r="A1013" s="13">
        <f>CHAIN_RAW!A1013</f>
        <v/>
      </c>
      <c r="B1013" s="14">
        <f>CHAIN_RAW!B1013</f>
        <v/>
      </c>
      <c r="C1013" s="13">
        <f>CHAIN_RAW!C1013</f>
        <v/>
      </c>
      <c r="D1013" s="13">
        <f>CHAIN_RAW!D1013</f>
        <v/>
      </c>
      <c r="E1013" s="13">
        <f>CHAIN_RAW!E1013</f>
        <v/>
      </c>
      <c r="F1013" s="13">
        <f>IFERROR((E1013-D1013)/D1013,"")</f>
        <v/>
      </c>
      <c r="G1013" s="13">
        <f>IFERROR((CHAIN_RAW!K1013+CHAIN_RAW!L1013)/2,"")</f>
        <v/>
      </c>
      <c r="H1013" s="13">
        <f>IFERROR((CHAIN_RAW!R1013+CHAIN_RAW!S1013)/2,"")</f>
        <v/>
      </c>
      <c r="I1013" s="13">
        <f>IFERROR((CHAIN_RAW!L1013-CHAIN_RAW!K1013)/MAX(1E-9, G1013),"")</f>
        <v/>
      </c>
      <c r="J1013" s="13">
        <f>IFERROR((CHAIN_RAW!S1013-CHAIN_RAW!R1013)/MAX(1E-9, H1013),"")</f>
        <v/>
      </c>
      <c r="K1013" s="13">
        <f>CHAIN_RAW!G1013</f>
        <v/>
      </c>
      <c r="L1013" s="13">
        <f>CHAIN_RAW!N1013</f>
        <v/>
      </c>
      <c r="M1013" s="13">
        <f>IFERROR(L1013-K1013,"")</f>
        <v/>
      </c>
      <c r="N1013" s="13">
        <f>CHAIN_RAW!H1013</f>
        <v/>
      </c>
      <c r="O1013" s="13">
        <f>CHAIN_RAW!O1013</f>
        <v/>
      </c>
      <c r="P1013" s="13">
        <f>IFERROR(O1013/N1013,"")</f>
        <v/>
      </c>
      <c r="Q1013" s="13">
        <f>CHAIN_RAW!I1013</f>
        <v/>
      </c>
      <c r="R1013" s="13">
        <f>CHAIN_RAW!P1013</f>
        <v/>
      </c>
      <c r="S1013" s="13">
        <f>IFERROR(R1013/Q1013,"")</f>
        <v/>
      </c>
      <c r="T1013" s="13">
        <f>IFERROR((ABS(N1013-O1013)/MAX(1,(N1013+O1013)))*EXP(-ABS(E1013-CONTROL!E5)/MAX(1,CONTROL!B8)),"")</f>
        <v/>
      </c>
      <c r="U1013" s="13">
        <f>IFERROR(IF(O1013&gt;N1013,"SUPPORT (PE OI)","RESIST (CE OI)"),"")</f>
        <v/>
      </c>
      <c r="V1013" s="13">
        <f>IFERROR(IF(Q1013&gt;0,IF(R1013&gt;0,"BOTH_ADD","CE_ADD_PE_REDUCE"),IF(R1013&gt;0,"CE_REDUCE_PE_ADD","BOTH_REDUCE")),"")</f>
        <v/>
      </c>
      <c r="W1013" s="13">
        <f>IFERROR( (P1013-1)*0.5 + (M1013)*0.1 - (I1013+J1013)*0.05 + T1013*0.4 ,"")</f>
        <v/>
      </c>
      <c r="X1013" s="13">
        <f>IFERROR(IF(ABS(F1013)&lt;0.01,"ATM/NEAR",""),"")</f>
        <v/>
      </c>
    </row>
    <row r="1014">
      <c r="A1014" s="13">
        <f>CHAIN_RAW!A1014</f>
        <v/>
      </c>
      <c r="B1014" s="14">
        <f>CHAIN_RAW!B1014</f>
        <v/>
      </c>
      <c r="C1014" s="13">
        <f>CHAIN_RAW!C1014</f>
        <v/>
      </c>
      <c r="D1014" s="13">
        <f>CHAIN_RAW!D1014</f>
        <v/>
      </c>
      <c r="E1014" s="13">
        <f>CHAIN_RAW!E1014</f>
        <v/>
      </c>
      <c r="F1014" s="13">
        <f>IFERROR((E1014-D1014)/D1014,"")</f>
        <v/>
      </c>
      <c r="G1014" s="13">
        <f>IFERROR((CHAIN_RAW!K1014+CHAIN_RAW!L1014)/2,"")</f>
        <v/>
      </c>
      <c r="H1014" s="13">
        <f>IFERROR((CHAIN_RAW!R1014+CHAIN_RAW!S1014)/2,"")</f>
        <v/>
      </c>
      <c r="I1014" s="13">
        <f>IFERROR((CHAIN_RAW!L1014-CHAIN_RAW!K1014)/MAX(1E-9, G1014),"")</f>
        <v/>
      </c>
      <c r="J1014" s="13">
        <f>IFERROR((CHAIN_RAW!S1014-CHAIN_RAW!R1014)/MAX(1E-9, H1014),"")</f>
        <v/>
      </c>
      <c r="K1014" s="13">
        <f>CHAIN_RAW!G1014</f>
        <v/>
      </c>
      <c r="L1014" s="13">
        <f>CHAIN_RAW!N1014</f>
        <v/>
      </c>
      <c r="M1014" s="13">
        <f>IFERROR(L1014-K1014,"")</f>
        <v/>
      </c>
      <c r="N1014" s="13">
        <f>CHAIN_RAW!H1014</f>
        <v/>
      </c>
      <c r="O1014" s="13">
        <f>CHAIN_RAW!O1014</f>
        <v/>
      </c>
      <c r="P1014" s="13">
        <f>IFERROR(O1014/N1014,"")</f>
        <v/>
      </c>
      <c r="Q1014" s="13">
        <f>CHAIN_RAW!I1014</f>
        <v/>
      </c>
      <c r="R1014" s="13">
        <f>CHAIN_RAW!P1014</f>
        <v/>
      </c>
      <c r="S1014" s="13">
        <f>IFERROR(R1014/Q1014,"")</f>
        <v/>
      </c>
      <c r="T1014" s="13">
        <f>IFERROR((ABS(N1014-O1014)/MAX(1,(N1014+O1014)))*EXP(-ABS(E1014-CONTROL!E5)/MAX(1,CONTROL!B8)),"")</f>
        <v/>
      </c>
      <c r="U1014" s="13">
        <f>IFERROR(IF(O1014&gt;N1014,"SUPPORT (PE OI)","RESIST (CE OI)"),"")</f>
        <v/>
      </c>
      <c r="V1014" s="13">
        <f>IFERROR(IF(Q1014&gt;0,IF(R1014&gt;0,"BOTH_ADD","CE_ADD_PE_REDUCE"),IF(R1014&gt;0,"CE_REDUCE_PE_ADD","BOTH_REDUCE")),"")</f>
        <v/>
      </c>
      <c r="W1014" s="13">
        <f>IFERROR( (P1014-1)*0.5 + (M1014)*0.1 - (I1014+J1014)*0.05 + T1014*0.4 ,"")</f>
        <v/>
      </c>
      <c r="X1014" s="13">
        <f>IFERROR(IF(ABS(F1014)&lt;0.01,"ATM/NEAR",""),"")</f>
        <v/>
      </c>
    </row>
    <row r="1015">
      <c r="A1015" s="13">
        <f>CHAIN_RAW!A1015</f>
        <v/>
      </c>
      <c r="B1015" s="14">
        <f>CHAIN_RAW!B1015</f>
        <v/>
      </c>
      <c r="C1015" s="13">
        <f>CHAIN_RAW!C1015</f>
        <v/>
      </c>
      <c r="D1015" s="13">
        <f>CHAIN_RAW!D1015</f>
        <v/>
      </c>
      <c r="E1015" s="13">
        <f>CHAIN_RAW!E1015</f>
        <v/>
      </c>
      <c r="F1015" s="13">
        <f>IFERROR((E1015-D1015)/D1015,"")</f>
        <v/>
      </c>
      <c r="G1015" s="13">
        <f>IFERROR((CHAIN_RAW!K1015+CHAIN_RAW!L1015)/2,"")</f>
        <v/>
      </c>
      <c r="H1015" s="13">
        <f>IFERROR((CHAIN_RAW!R1015+CHAIN_RAW!S1015)/2,"")</f>
        <v/>
      </c>
      <c r="I1015" s="13">
        <f>IFERROR((CHAIN_RAW!L1015-CHAIN_RAW!K1015)/MAX(1E-9, G1015),"")</f>
        <v/>
      </c>
      <c r="J1015" s="13">
        <f>IFERROR((CHAIN_RAW!S1015-CHAIN_RAW!R1015)/MAX(1E-9, H1015),"")</f>
        <v/>
      </c>
      <c r="K1015" s="13">
        <f>CHAIN_RAW!G1015</f>
        <v/>
      </c>
      <c r="L1015" s="13">
        <f>CHAIN_RAW!N1015</f>
        <v/>
      </c>
      <c r="M1015" s="13">
        <f>IFERROR(L1015-K1015,"")</f>
        <v/>
      </c>
      <c r="N1015" s="13">
        <f>CHAIN_RAW!H1015</f>
        <v/>
      </c>
      <c r="O1015" s="13">
        <f>CHAIN_RAW!O1015</f>
        <v/>
      </c>
      <c r="P1015" s="13">
        <f>IFERROR(O1015/N1015,"")</f>
        <v/>
      </c>
      <c r="Q1015" s="13">
        <f>CHAIN_RAW!I1015</f>
        <v/>
      </c>
      <c r="R1015" s="13">
        <f>CHAIN_RAW!P1015</f>
        <v/>
      </c>
      <c r="S1015" s="13">
        <f>IFERROR(R1015/Q1015,"")</f>
        <v/>
      </c>
      <c r="T1015" s="13">
        <f>IFERROR((ABS(N1015-O1015)/MAX(1,(N1015+O1015)))*EXP(-ABS(E1015-CONTROL!E5)/MAX(1,CONTROL!B8)),"")</f>
        <v/>
      </c>
      <c r="U1015" s="13">
        <f>IFERROR(IF(O1015&gt;N1015,"SUPPORT (PE OI)","RESIST (CE OI)"),"")</f>
        <v/>
      </c>
      <c r="V1015" s="13">
        <f>IFERROR(IF(Q1015&gt;0,IF(R1015&gt;0,"BOTH_ADD","CE_ADD_PE_REDUCE"),IF(R1015&gt;0,"CE_REDUCE_PE_ADD","BOTH_REDUCE")),"")</f>
        <v/>
      </c>
      <c r="W1015" s="13">
        <f>IFERROR( (P1015-1)*0.5 + (M1015)*0.1 - (I1015+J1015)*0.05 + T1015*0.4 ,"")</f>
        <v/>
      </c>
      <c r="X1015" s="13">
        <f>IFERROR(IF(ABS(F1015)&lt;0.01,"ATM/NEAR",""),"")</f>
        <v/>
      </c>
    </row>
    <row r="1016">
      <c r="A1016" s="13">
        <f>CHAIN_RAW!A1016</f>
        <v/>
      </c>
      <c r="B1016" s="14">
        <f>CHAIN_RAW!B1016</f>
        <v/>
      </c>
      <c r="C1016" s="13">
        <f>CHAIN_RAW!C1016</f>
        <v/>
      </c>
      <c r="D1016" s="13">
        <f>CHAIN_RAW!D1016</f>
        <v/>
      </c>
      <c r="E1016" s="13">
        <f>CHAIN_RAW!E1016</f>
        <v/>
      </c>
      <c r="F1016" s="13">
        <f>IFERROR((E1016-D1016)/D1016,"")</f>
        <v/>
      </c>
      <c r="G1016" s="13">
        <f>IFERROR((CHAIN_RAW!K1016+CHAIN_RAW!L1016)/2,"")</f>
        <v/>
      </c>
      <c r="H1016" s="13">
        <f>IFERROR((CHAIN_RAW!R1016+CHAIN_RAW!S1016)/2,"")</f>
        <v/>
      </c>
      <c r="I1016" s="13">
        <f>IFERROR((CHAIN_RAW!L1016-CHAIN_RAW!K1016)/MAX(1E-9, G1016),"")</f>
        <v/>
      </c>
      <c r="J1016" s="13">
        <f>IFERROR((CHAIN_RAW!S1016-CHAIN_RAW!R1016)/MAX(1E-9, H1016),"")</f>
        <v/>
      </c>
      <c r="K1016" s="13">
        <f>CHAIN_RAW!G1016</f>
        <v/>
      </c>
      <c r="L1016" s="13">
        <f>CHAIN_RAW!N1016</f>
        <v/>
      </c>
      <c r="M1016" s="13">
        <f>IFERROR(L1016-K1016,"")</f>
        <v/>
      </c>
      <c r="N1016" s="13">
        <f>CHAIN_RAW!H1016</f>
        <v/>
      </c>
      <c r="O1016" s="13">
        <f>CHAIN_RAW!O1016</f>
        <v/>
      </c>
      <c r="P1016" s="13">
        <f>IFERROR(O1016/N1016,"")</f>
        <v/>
      </c>
      <c r="Q1016" s="13">
        <f>CHAIN_RAW!I1016</f>
        <v/>
      </c>
      <c r="R1016" s="13">
        <f>CHAIN_RAW!P1016</f>
        <v/>
      </c>
      <c r="S1016" s="13">
        <f>IFERROR(R1016/Q1016,"")</f>
        <v/>
      </c>
      <c r="T1016" s="13">
        <f>IFERROR((ABS(N1016-O1016)/MAX(1,(N1016+O1016)))*EXP(-ABS(E1016-CONTROL!E5)/MAX(1,CONTROL!B8)),"")</f>
        <v/>
      </c>
      <c r="U1016" s="13">
        <f>IFERROR(IF(O1016&gt;N1016,"SUPPORT (PE OI)","RESIST (CE OI)"),"")</f>
        <v/>
      </c>
      <c r="V1016" s="13">
        <f>IFERROR(IF(Q1016&gt;0,IF(R1016&gt;0,"BOTH_ADD","CE_ADD_PE_REDUCE"),IF(R1016&gt;0,"CE_REDUCE_PE_ADD","BOTH_REDUCE")),"")</f>
        <v/>
      </c>
      <c r="W1016" s="13">
        <f>IFERROR( (P1016-1)*0.5 + (M1016)*0.1 - (I1016+J1016)*0.05 + T1016*0.4 ,"")</f>
        <v/>
      </c>
      <c r="X1016" s="13">
        <f>IFERROR(IF(ABS(F1016)&lt;0.01,"ATM/NEAR",""),"")</f>
        <v/>
      </c>
    </row>
    <row r="1017">
      <c r="A1017" s="13">
        <f>CHAIN_RAW!A1017</f>
        <v/>
      </c>
      <c r="B1017" s="14">
        <f>CHAIN_RAW!B1017</f>
        <v/>
      </c>
      <c r="C1017" s="13">
        <f>CHAIN_RAW!C1017</f>
        <v/>
      </c>
      <c r="D1017" s="13">
        <f>CHAIN_RAW!D1017</f>
        <v/>
      </c>
      <c r="E1017" s="13">
        <f>CHAIN_RAW!E1017</f>
        <v/>
      </c>
      <c r="F1017" s="13">
        <f>IFERROR((E1017-D1017)/D1017,"")</f>
        <v/>
      </c>
      <c r="G1017" s="13">
        <f>IFERROR((CHAIN_RAW!K1017+CHAIN_RAW!L1017)/2,"")</f>
        <v/>
      </c>
      <c r="H1017" s="13">
        <f>IFERROR((CHAIN_RAW!R1017+CHAIN_RAW!S1017)/2,"")</f>
        <v/>
      </c>
      <c r="I1017" s="13">
        <f>IFERROR((CHAIN_RAW!L1017-CHAIN_RAW!K1017)/MAX(1E-9, G1017),"")</f>
        <v/>
      </c>
      <c r="J1017" s="13">
        <f>IFERROR((CHAIN_RAW!S1017-CHAIN_RAW!R1017)/MAX(1E-9, H1017),"")</f>
        <v/>
      </c>
      <c r="K1017" s="13">
        <f>CHAIN_RAW!G1017</f>
        <v/>
      </c>
      <c r="L1017" s="13">
        <f>CHAIN_RAW!N1017</f>
        <v/>
      </c>
      <c r="M1017" s="13">
        <f>IFERROR(L1017-K1017,"")</f>
        <v/>
      </c>
      <c r="N1017" s="13">
        <f>CHAIN_RAW!H1017</f>
        <v/>
      </c>
      <c r="O1017" s="13">
        <f>CHAIN_RAW!O1017</f>
        <v/>
      </c>
      <c r="P1017" s="13">
        <f>IFERROR(O1017/N1017,"")</f>
        <v/>
      </c>
      <c r="Q1017" s="13">
        <f>CHAIN_RAW!I1017</f>
        <v/>
      </c>
      <c r="R1017" s="13">
        <f>CHAIN_RAW!P1017</f>
        <v/>
      </c>
      <c r="S1017" s="13">
        <f>IFERROR(R1017/Q1017,"")</f>
        <v/>
      </c>
      <c r="T1017" s="13">
        <f>IFERROR((ABS(N1017-O1017)/MAX(1,(N1017+O1017)))*EXP(-ABS(E1017-CONTROL!E5)/MAX(1,CONTROL!B8)),"")</f>
        <v/>
      </c>
      <c r="U1017" s="13">
        <f>IFERROR(IF(O1017&gt;N1017,"SUPPORT (PE OI)","RESIST (CE OI)"),"")</f>
        <v/>
      </c>
      <c r="V1017" s="13">
        <f>IFERROR(IF(Q1017&gt;0,IF(R1017&gt;0,"BOTH_ADD","CE_ADD_PE_REDUCE"),IF(R1017&gt;0,"CE_REDUCE_PE_ADD","BOTH_REDUCE")),"")</f>
        <v/>
      </c>
      <c r="W1017" s="13">
        <f>IFERROR( (P1017-1)*0.5 + (M1017)*0.1 - (I1017+J1017)*0.05 + T1017*0.4 ,"")</f>
        <v/>
      </c>
      <c r="X1017" s="13">
        <f>IFERROR(IF(ABS(F1017)&lt;0.01,"ATM/NEAR",""),"")</f>
        <v/>
      </c>
    </row>
    <row r="1018">
      <c r="A1018" s="13">
        <f>CHAIN_RAW!A1018</f>
        <v/>
      </c>
      <c r="B1018" s="14">
        <f>CHAIN_RAW!B1018</f>
        <v/>
      </c>
      <c r="C1018" s="13">
        <f>CHAIN_RAW!C1018</f>
        <v/>
      </c>
      <c r="D1018" s="13">
        <f>CHAIN_RAW!D1018</f>
        <v/>
      </c>
      <c r="E1018" s="13">
        <f>CHAIN_RAW!E1018</f>
        <v/>
      </c>
      <c r="F1018" s="13">
        <f>IFERROR((E1018-D1018)/D1018,"")</f>
        <v/>
      </c>
      <c r="G1018" s="13">
        <f>IFERROR((CHAIN_RAW!K1018+CHAIN_RAW!L1018)/2,"")</f>
        <v/>
      </c>
      <c r="H1018" s="13">
        <f>IFERROR((CHAIN_RAW!R1018+CHAIN_RAW!S1018)/2,"")</f>
        <v/>
      </c>
      <c r="I1018" s="13">
        <f>IFERROR((CHAIN_RAW!L1018-CHAIN_RAW!K1018)/MAX(1E-9, G1018),"")</f>
        <v/>
      </c>
      <c r="J1018" s="13">
        <f>IFERROR((CHAIN_RAW!S1018-CHAIN_RAW!R1018)/MAX(1E-9, H1018),"")</f>
        <v/>
      </c>
      <c r="K1018" s="13">
        <f>CHAIN_RAW!G1018</f>
        <v/>
      </c>
      <c r="L1018" s="13">
        <f>CHAIN_RAW!N1018</f>
        <v/>
      </c>
      <c r="M1018" s="13">
        <f>IFERROR(L1018-K1018,"")</f>
        <v/>
      </c>
      <c r="N1018" s="13">
        <f>CHAIN_RAW!H1018</f>
        <v/>
      </c>
      <c r="O1018" s="13">
        <f>CHAIN_RAW!O1018</f>
        <v/>
      </c>
      <c r="P1018" s="13">
        <f>IFERROR(O1018/N1018,"")</f>
        <v/>
      </c>
      <c r="Q1018" s="13">
        <f>CHAIN_RAW!I1018</f>
        <v/>
      </c>
      <c r="R1018" s="13">
        <f>CHAIN_RAW!P1018</f>
        <v/>
      </c>
      <c r="S1018" s="13">
        <f>IFERROR(R1018/Q1018,"")</f>
        <v/>
      </c>
      <c r="T1018" s="13">
        <f>IFERROR((ABS(N1018-O1018)/MAX(1,(N1018+O1018)))*EXP(-ABS(E1018-CONTROL!E5)/MAX(1,CONTROL!B8)),"")</f>
        <v/>
      </c>
      <c r="U1018" s="13">
        <f>IFERROR(IF(O1018&gt;N1018,"SUPPORT (PE OI)","RESIST (CE OI)"),"")</f>
        <v/>
      </c>
      <c r="V1018" s="13">
        <f>IFERROR(IF(Q1018&gt;0,IF(R1018&gt;0,"BOTH_ADD","CE_ADD_PE_REDUCE"),IF(R1018&gt;0,"CE_REDUCE_PE_ADD","BOTH_REDUCE")),"")</f>
        <v/>
      </c>
      <c r="W1018" s="13">
        <f>IFERROR( (P1018-1)*0.5 + (M1018)*0.1 - (I1018+J1018)*0.05 + T1018*0.4 ,"")</f>
        <v/>
      </c>
      <c r="X1018" s="13">
        <f>IFERROR(IF(ABS(F1018)&lt;0.01,"ATM/NEAR",""),"")</f>
        <v/>
      </c>
    </row>
    <row r="1019">
      <c r="A1019" s="13">
        <f>CHAIN_RAW!A1019</f>
        <v/>
      </c>
      <c r="B1019" s="14">
        <f>CHAIN_RAW!B1019</f>
        <v/>
      </c>
      <c r="C1019" s="13">
        <f>CHAIN_RAW!C1019</f>
        <v/>
      </c>
      <c r="D1019" s="13">
        <f>CHAIN_RAW!D1019</f>
        <v/>
      </c>
      <c r="E1019" s="13">
        <f>CHAIN_RAW!E1019</f>
        <v/>
      </c>
      <c r="F1019" s="13">
        <f>IFERROR((E1019-D1019)/D1019,"")</f>
        <v/>
      </c>
      <c r="G1019" s="13">
        <f>IFERROR((CHAIN_RAW!K1019+CHAIN_RAW!L1019)/2,"")</f>
        <v/>
      </c>
      <c r="H1019" s="13">
        <f>IFERROR((CHAIN_RAW!R1019+CHAIN_RAW!S1019)/2,"")</f>
        <v/>
      </c>
      <c r="I1019" s="13">
        <f>IFERROR((CHAIN_RAW!L1019-CHAIN_RAW!K1019)/MAX(1E-9, G1019),"")</f>
        <v/>
      </c>
      <c r="J1019" s="13">
        <f>IFERROR((CHAIN_RAW!S1019-CHAIN_RAW!R1019)/MAX(1E-9, H1019),"")</f>
        <v/>
      </c>
      <c r="K1019" s="13">
        <f>CHAIN_RAW!G1019</f>
        <v/>
      </c>
      <c r="L1019" s="13">
        <f>CHAIN_RAW!N1019</f>
        <v/>
      </c>
      <c r="M1019" s="13">
        <f>IFERROR(L1019-K1019,"")</f>
        <v/>
      </c>
      <c r="N1019" s="13">
        <f>CHAIN_RAW!H1019</f>
        <v/>
      </c>
      <c r="O1019" s="13">
        <f>CHAIN_RAW!O1019</f>
        <v/>
      </c>
      <c r="P1019" s="13">
        <f>IFERROR(O1019/N1019,"")</f>
        <v/>
      </c>
      <c r="Q1019" s="13">
        <f>CHAIN_RAW!I1019</f>
        <v/>
      </c>
      <c r="R1019" s="13">
        <f>CHAIN_RAW!P1019</f>
        <v/>
      </c>
      <c r="S1019" s="13">
        <f>IFERROR(R1019/Q1019,"")</f>
        <v/>
      </c>
      <c r="T1019" s="13">
        <f>IFERROR((ABS(N1019-O1019)/MAX(1,(N1019+O1019)))*EXP(-ABS(E1019-CONTROL!E5)/MAX(1,CONTROL!B8)),"")</f>
        <v/>
      </c>
      <c r="U1019" s="13">
        <f>IFERROR(IF(O1019&gt;N1019,"SUPPORT (PE OI)","RESIST (CE OI)"),"")</f>
        <v/>
      </c>
      <c r="V1019" s="13">
        <f>IFERROR(IF(Q1019&gt;0,IF(R1019&gt;0,"BOTH_ADD","CE_ADD_PE_REDUCE"),IF(R1019&gt;0,"CE_REDUCE_PE_ADD","BOTH_REDUCE")),"")</f>
        <v/>
      </c>
      <c r="W1019" s="13">
        <f>IFERROR( (P1019-1)*0.5 + (M1019)*0.1 - (I1019+J1019)*0.05 + T1019*0.4 ,"")</f>
        <v/>
      </c>
      <c r="X1019" s="13">
        <f>IFERROR(IF(ABS(F1019)&lt;0.01,"ATM/NEAR",""),"")</f>
        <v/>
      </c>
    </row>
    <row r="1020">
      <c r="A1020" s="13">
        <f>CHAIN_RAW!A1020</f>
        <v/>
      </c>
      <c r="B1020" s="14">
        <f>CHAIN_RAW!B1020</f>
        <v/>
      </c>
      <c r="C1020" s="13">
        <f>CHAIN_RAW!C1020</f>
        <v/>
      </c>
      <c r="D1020" s="13">
        <f>CHAIN_RAW!D1020</f>
        <v/>
      </c>
      <c r="E1020" s="13">
        <f>CHAIN_RAW!E1020</f>
        <v/>
      </c>
      <c r="F1020" s="13">
        <f>IFERROR((E1020-D1020)/D1020,"")</f>
        <v/>
      </c>
      <c r="G1020" s="13">
        <f>IFERROR((CHAIN_RAW!K1020+CHAIN_RAW!L1020)/2,"")</f>
        <v/>
      </c>
      <c r="H1020" s="13">
        <f>IFERROR((CHAIN_RAW!R1020+CHAIN_RAW!S1020)/2,"")</f>
        <v/>
      </c>
      <c r="I1020" s="13">
        <f>IFERROR((CHAIN_RAW!L1020-CHAIN_RAW!K1020)/MAX(1E-9, G1020),"")</f>
        <v/>
      </c>
      <c r="J1020" s="13">
        <f>IFERROR((CHAIN_RAW!S1020-CHAIN_RAW!R1020)/MAX(1E-9, H1020),"")</f>
        <v/>
      </c>
      <c r="K1020" s="13">
        <f>CHAIN_RAW!G1020</f>
        <v/>
      </c>
      <c r="L1020" s="13">
        <f>CHAIN_RAW!N1020</f>
        <v/>
      </c>
      <c r="M1020" s="13">
        <f>IFERROR(L1020-K1020,"")</f>
        <v/>
      </c>
      <c r="N1020" s="13">
        <f>CHAIN_RAW!H1020</f>
        <v/>
      </c>
      <c r="O1020" s="13">
        <f>CHAIN_RAW!O1020</f>
        <v/>
      </c>
      <c r="P1020" s="13">
        <f>IFERROR(O1020/N1020,"")</f>
        <v/>
      </c>
      <c r="Q1020" s="13">
        <f>CHAIN_RAW!I1020</f>
        <v/>
      </c>
      <c r="R1020" s="13">
        <f>CHAIN_RAW!P1020</f>
        <v/>
      </c>
      <c r="S1020" s="13">
        <f>IFERROR(R1020/Q1020,"")</f>
        <v/>
      </c>
      <c r="T1020" s="13">
        <f>IFERROR((ABS(N1020-O1020)/MAX(1,(N1020+O1020)))*EXP(-ABS(E1020-CONTROL!E5)/MAX(1,CONTROL!B8)),"")</f>
        <v/>
      </c>
      <c r="U1020" s="13">
        <f>IFERROR(IF(O1020&gt;N1020,"SUPPORT (PE OI)","RESIST (CE OI)"),"")</f>
        <v/>
      </c>
      <c r="V1020" s="13">
        <f>IFERROR(IF(Q1020&gt;0,IF(R1020&gt;0,"BOTH_ADD","CE_ADD_PE_REDUCE"),IF(R1020&gt;0,"CE_REDUCE_PE_ADD","BOTH_REDUCE")),"")</f>
        <v/>
      </c>
      <c r="W1020" s="13">
        <f>IFERROR( (P1020-1)*0.5 + (M1020)*0.1 - (I1020+J1020)*0.05 + T1020*0.4 ,"")</f>
        <v/>
      </c>
      <c r="X1020" s="13">
        <f>IFERROR(IF(ABS(F1020)&lt;0.01,"ATM/NEAR",""),"")</f>
        <v/>
      </c>
    </row>
    <row r="1021">
      <c r="A1021" s="13">
        <f>CHAIN_RAW!A1021</f>
        <v/>
      </c>
      <c r="B1021" s="14">
        <f>CHAIN_RAW!B1021</f>
        <v/>
      </c>
      <c r="C1021" s="13">
        <f>CHAIN_RAW!C1021</f>
        <v/>
      </c>
      <c r="D1021" s="13">
        <f>CHAIN_RAW!D1021</f>
        <v/>
      </c>
      <c r="E1021" s="13">
        <f>CHAIN_RAW!E1021</f>
        <v/>
      </c>
      <c r="F1021" s="13">
        <f>IFERROR((E1021-D1021)/D1021,"")</f>
        <v/>
      </c>
      <c r="G1021" s="13">
        <f>IFERROR((CHAIN_RAW!K1021+CHAIN_RAW!L1021)/2,"")</f>
        <v/>
      </c>
      <c r="H1021" s="13">
        <f>IFERROR((CHAIN_RAW!R1021+CHAIN_RAW!S1021)/2,"")</f>
        <v/>
      </c>
      <c r="I1021" s="13">
        <f>IFERROR((CHAIN_RAW!L1021-CHAIN_RAW!K1021)/MAX(1E-9, G1021),"")</f>
        <v/>
      </c>
      <c r="J1021" s="13">
        <f>IFERROR((CHAIN_RAW!S1021-CHAIN_RAW!R1021)/MAX(1E-9, H1021),"")</f>
        <v/>
      </c>
      <c r="K1021" s="13">
        <f>CHAIN_RAW!G1021</f>
        <v/>
      </c>
      <c r="L1021" s="13">
        <f>CHAIN_RAW!N1021</f>
        <v/>
      </c>
      <c r="M1021" s="13">
        <f>IFERROR(L1021-K1021,"")</f>
        <v/>
      </c>
      <c r="N1021" s="13">
        <f>CHAIN_RAW!H1021</f>
        <v/>
      </c>
      <c r="O1021" s="13">
        <f>CHAIN_RAW!O1021</f>
        <v/>
      </c>
      <c r="P1021" s="13">
        <f>IFERROR(O1021/N1021,"")</f>
        <v/>
      </c>
      <c r="Q1021" s="13">
        <f>CHAIN_RAW!I1021</f>
        <v/>
      </c>
      <c r="R1021" s="13">
        <f>CHAIN_RAW!P1021</f>
        <v/>
      </c>
      <c r="S1021" s="13">
        <f>IFERROR(R1021/Q1021,"")</f>
        <v/>
      </c>
      <c r="T1021" s="13">
        <f>IFERROR((ABS(N1021-O1021)/MAX(1,(N1021+O1021)))*EXP(-ABS(E1021-CONTROL!E5)/MAX(1,CONTROL!B8)),"")</f>
        <v/>
      </c>
      <c r="U1021" s="13">
        <f>IFERROR(IF(O1021&gt;N1021,"SUPPORT (PE OI)","RESIST (CE OI)"),"")</f>
        <v/>
      </c>
      <c r="V1021" s="13">
        <f>IFERROR(IF(Q1021&gt;0,IF(R1021&gt;0,"BOTH_ADD","CE_ADD_PE_REDUCE"),IF(R1021&gt;0,"CE_REDUCE_PE_ADD","BOTH_REDUCE")),"")</f>
        <v/>
      </c>
      <c r="W1021" s="13">
        <f>IFERROR( (P1021-1)*0.5 + (M1021)*0.1 - (I1021+J1021)*0.05 + T1021*0.4 ,"")</f>
        <v/>
      </c>
      <c r="X1021" s="13">
        <f>IFERROR(IF(ABS(F1021)&lt;0.01,"ATM/NEAR",""),"")</f>
        <v/>
      </c>
    </row>
    <row r="1022">
      <c r="A1022" s="13">
        <f>CHAIN_RAW!A1022</f>
        <v/>
      </c>
      <c r="B1022" s="14">
        <f>CHAIN_RAW!B1022</f>
        <v/>
      </c>
      <c r="C1022" s="13">
        <f>CHAIN_RAW!C1022</f>
        <v/>
      </c>
      <c r="D1022" s="13">
        <f>CHAIN_RAW!D1022</f>
        <v/>
      </c>
      <c r="E1022" s="13">
        <f>CHAIN_RAW!E1022</f>
        <v/>
      </c>
      <c r="F1022" s="13">
        <f>IFERROR((E1022-D1022)/D1022,"")</f>
        <v/>
      </c>
      <c r="G1022" s="13">
        <f>IFERROR((CHAIN_RAW!K1022+CHAIN_RAW!L1022)/2,"")</f>
        <v/>
      </c>
      <c r="H1022" s="13">
        <f>IFERROR((CHAIN_RAW!R1022+CHAIN_RAW!S1022)/2,"")</f>
        <v/>
      </c>
      <c r="I1022" s="13">
        <f>IFERROR((CHAIN_RAW!L1022-CHAIN_RAW!K1022)/MAX(1E-9, G1022),"")</f>
        <v/>
      </c>
      <c r="J1022" s="13">
        <f>IFERROR((CHAIN_RAW!S1022-CHAIN_RAW!R1022)/MAX(1E-9, H1022),"")</f>
        <v/>
      </c>
      <c r="K1022" s="13">
        <f>CHAIN_RAW!G1022</f>
        <v/>
      </c>
      <c r="L1022" s="13">
        <f>CHAIN_RAW!N1022</f>
        <v/>
      </c>
      <c r="M1022" s="13">
        <f>IFERROR(L1022-K1022,"")</f>
        <v/>
      </c>
      <c r="N1022" s="13">
        <f>CHAIN_RAW!H1022</f>
        <v/>
      </c>
      <c r="O1022" s="13">
        <f>CHAIN_RAW!O1022</f>
        <v/>
      </c>
      <c r="P1022" s="13">
        <f>IFERROR(O1022/N1022,"")</f>
        <v/>
      </c>
      <c r="Q1022" s="13">
        <f>CHAIN_RAW!I1022</f>
        <v/>
      </c>
      <c r="R1022" s="13">
        <f>CHAIN_RAW!P1022</f>
        <v/>
      </c>
      <c r="S1022" s="13">
        <f>IFERROR(R1022/Q1022,"")</f>
        <v/>
      </c>
      <c r="T1022" s="13">
        <f>IFERROR((ABS(N1022-O1022)/MAX(1,(N1022+O1022)))*EXP(-ABS(E1022-CONTROL!E5)/MAX(1,CONTROL!B8)),"")</f>
        <v/>
      </c>
      <c r="U1022" s="13">
        <f>IFERROR(IF(O1022&gt;N1022,"SUPPORT (PE OI)","RESIST (CE OI)"),"")</f>
        <v/>
      </c>
      <c r="V1022" s="13">
        <f>IFERROR(IF(Q1022&gt;0,IF(R1022&gt;0,"BOTH_ADD","CE_ADD_PE_REDUCE"),IF(R1022&gt;0,"CE_REDUCE_PE_ADD","BOTH_REDUCE")),"")</f>
        <v/>
      </c>
      <c r="W1022" s="13">
        <f>IFERROR( (P1022-1)*0.5 + (M1022)*0.1 - (I1022+J1022)*0.05 + T1022*0.4 ,"")</f>
        <v/>
      </c>
      <c r="X1022" s="13">
        <f>IFERROR(IF(ABS(F1022)&lt;0.01,"ATM/NEAR",""),"")</f>
        <v/>
      </c>
    </row>
    <row r="1023">
      <c r="A1023" s="13">
        <f>CHAIN_RAW!A1023</f>
        <v/>
      </c>
      <c r="B1023" s="14">
        <f>CHAIN_RAW!B1023</f>
        <v/>
      </c>
      <c r="C1023" s="13">
        <f>CHAIN_RAW!C1023</f>
        <v/>
      </c>
      <c r="D1023" s="13">
        <f>CHAIN_RAW!D1023</f>
        <v/>
      </c>
      <c r="E1023" s="13">
        <f>CHAIN_RAW!E1023</f>
        <v/>
      </c>
      <c r="F1023" s="13">
        <f>IFERROR((E1023-D1023)/D1023,"")</f>
        <v/>
      </c>
      <c r="G1023" s="13">
        <f>IFERROR((CHAIN_RAW!K1023+CHAIN_RAW!L1023)/2,"")</f>
        <v/>
      </c>
      <c r="H1023" s="13">
        <f>IFERROR((CHAIN_RAW!R1023+CHAIN_RAW!S1023)/2,"")</f>
        <v/>
      </c>
      <c r="I1023" s="13">
        <f>IFERROR((CHAIN_RAW!L1023-CHAIN_RAW!K1023)/MAX(1E-9, G1023),"")</f>
        <v/>
      </c>
      <c r="J1023" s="13">
        <f>IFERROR((CHAIN_RAW!S1023-CHAIN_RAW!R1023)/MAX(1E-9, H1023),"")</f>
        <v/>
      </c>
      <c r="K1023" s="13">
        <f>CHAIN_RAW!G1023</f>
        <v/>
      </c>
      <c r="L1023" s="13">
        <f>CHAIN_RAW!N1023</f>
        <v/>
      </c>
      <c r="M1023" s="13">
        <f>IFERROR(L1023-K1023,"")</f>
        <v/>
      </c>
      <c r="N1023" s="13">
        <f>CHAIN_RAW!H1023</f>
        <v/>
      </c>
      <c r="O1023" s="13">
        <f>CHAIN_RAW!O1023</f>
        <v/>
      </c>
      <c r="P1023" s="13">
        <f>IFERROR(O1023/N1023,"")</f>
        <v/>
      </c>
      <c r="Q1023" s="13">
        <f>CHAIN_RAW!I1023</f>
        <v/>
      </c>
      <c r="R1023" s="13">
        <f>CHAIN_RAW!P1023</f>
        <v/>
      </c>
      <c r="S1023" s="13">
        <f>IFERROR(R1023/Q1023,"")</f>
        <v/>
      </c>
      <c r="T1023" s="13">
        <f>IFERROR((ABS(N1023-O1023)/MAX(1,(N1023+O1023)))*EXP(-ABS(E1023-CONTROL!E5)/MAX(1,CONTROL!B8)),"")</f>
        <v/>
      </c>
      <c r="U1023" s="13">
        <f>IFERROR(IF(O1023&gt;N1023,"SUPPORT (PE OI)","RESIST (CE OI)"),"")</f>
        <v/>
      </c>
      <c r="V1023" s="13">
        <f>IFERROR(IF(Q1023&gt;0,IF(R1023&gt;0,"BOTH_ADD","CE_ADD_PE_REDUCE"),IF(R1023&gt;0,"CE_REDUCE_PE_ADD","BOTH_REDUCE")),"")</f>
        <v/>
      </c>
      <c r="W1023" s="13">
        <f>IFERROR( (P1023-1)*0.5 + (M1023)*0.1 - (I1023+J1023)*0.05 + T1023*0.4 ,"")</f>
        <v/>
      </c>
      <c r="X1023" s="13">
        <f>IFERROR(IF(ABS(F1023)&lt;0.01,"ATM/NEAR",""),"")</f>
        <v/>
      </c>
    </row>
    <row r="1024">
      <c r="A1024" s="13">
        <f>CHAIN_RAW!A1024</f>
        <v/>
      </c>
      <c r="B1024" s="14">
        <f>CHAIN_RAW!B1024</f>
        <v/>
      </c>
      <c r="C1024" s="13">
        <f>CHAIN_RAW!C1024</f>
        <v/>
      </c>
      <c r="D1024" s="13">
        <f>CHAIN_RAW!D1024</f>
        <v/>
      </c>
      <c r="E1024" s="13">
        <f>CHAIN_RAW!E1024</f>
        <v/>
      </c>
      <c r="F1024" s="13">
        <f>IFERROR((E1024-D1024)/D1024,"")</f>
        <v/>
      </c>
      <c r="G1024" s="13">
        <f>IFERROR((CHAIN_RAW!K1024+CHAIN_RAW!L1024)/2,"")</f>
        <v/>
      </c>
      <c r="H1024" s="13">
        <f>IFERROR((CHAIN_RAW!R1024+CHAIN_RAW!S1024)/2,"")</f>
        <v/>
      </c>
      <c r="I1024" s="13">
        <f>IFERROR((CHAIN_RAW!L1024-CHAIN_RAW!K1024)/MAX(1E-9, G1024),"")</f>
        <v/>
      </c>
      <c r="J1024" s="13">
        <f>IFERROR((CHAIN_RAW!S1024-CHAIN_RAW!R1024)/MAX(1E-9, H1024),"")</f>
        <v/>
      </c>
      <c r="K1024" s="13">
        <f>CHAIN_RAW!G1024</f>
        <v/>
      </c>
      <c r="L1024" s="13">
        <f>CHAIN_RAW!N1024</f>
        <v/>
      </c>
      <c r="M1024" s="13">
        <f>IFERROR(L1024-K1024,"")</f>
        <v/>
      </c>
      <c r="N1024" s="13">
        <f>CHAIN_RAW!H1024</f>
        <v/>
      </c>
      <c r="O1024" s="13">
        <f>CHAIN_RAW!O1024</f>
        <v/>
      </c>
      <c r="P1024" s="13">
        <f>IFERROR(O1024/N1024,"")</f>
        <v/>
      </c>
      <c r="Q1024" s="13">
        <f>CHAIN_RAW!I1024</f>
        <v/>
      </c>
      <c r="R1024" s="13">
        <f>CHAIN_RAW!P1024</f>
        <v/>
      </c>
      <c r="S1024" s="13">
        <f>IFERROR(R1024/Q1024,"")</f>
        <v/>
      </c>
      <c r="T1024" s="13">
        <f>IFERROR((ABS(N1024-O1024)/MAX(1,(N1024+O1024)))*EXP(-ABS(E1024-CONTROL!E5)/MAX(1,CONTROL!B8)),"")</f>
        <v/>
      </c>
      <c r="U1024" s="13">
        <f>IFERROR(IF(O1024&gt;N1024,"SUPPORT (PE OI)","RESIST (CE OI)"),"")</f>
        <v/>
      </c>
      <c r="V1024" s="13">
        <f>IFERROR(IF(Q1024&gt;0,IF(R1024&gt;0,"BOTH_ADD","CE_ADD_PE_REDUCE"),IF(R1024&gt;0,"CE_REDUCE_PE_ADD","BOTH_REDUCE")),"")</f>
        <v/>
      </c>
      <c r="W1024" s="13">
        <f>IFERROR( (P1024-1)*0.5 + (M1024)*0.1 - (I1024+J1024)*0.05 + T1024*0.4 ,"")</f>
        <v/>
      </c>
      <c r="X1024" s="13">
        <f>IFERROR(IF(ABS(F1024)&lt;0.01,"ATM/NEAR",""),"")</f>
        <v/>
      </c>
    </row>
    <row r="1025">
      <c r="A1025" s="13">
        <f>CHAIN_RAW!A1025</f>
        <v/>
      </c>
      <c r="B1025" s="14">
        <f>CHAIN_RAW!B1025</f>
        <v/>
      </c>
      <c r="C1025" s="13">
        <f>CHAIN_RAW!C1025</f>
        <v/>
      </c>
      <c r="D1025" s="13">
        <f>CHAIN_RAW!D1025</f>
        <v/>
      </c>
      <c r="E1025" s="13">
        <f>CHAIN_RAW!E1025</f>
        <v/>
      </c>
      <c r="F1025" s="13">
        <f>IFERROR((E1025-D1025)/D1025,"")</f>
        <v/>
      </c>
      <c r="G1025" s="13">
        <f>IFERROR((CHAIN_RAW!K1025+CHAIN_RAW!L1025)/2,"")</f>
        <v/>
      </c>
      <c r="H1025" s="13">
        <f>IFERROR((CHAIN_RAW!R1025+CHAIN_RAW!S1025)/2,"")</f>
        <v/>
      </c>
      <c r="I1025" s="13">
        <f>IFERROR((CHAIN_RAW!L1025-CHAIN_RAW!K1025)/MAX(1E-9, G1025),"")</f>
        <v/>
      </c>
      <c r="J1025" s="13">
        <f>IFERROR((CHAIN_RAW!S1025-CHAIN_RAW!R1025)/MAX(1E-9, H1025),"")</f>
        <v/>
      </c>
      <c r="K1025" s="13">
        <f>CHAIN_RAW!G1025</f>
        <v/>
      </c>
      <c r="L1025" s="13">
        <f>CHAIN_RAW!N1025</f>
        <v/>
      </c>
      <c r="M1025" s="13">
        <f>IFERROR(L1025-K1025,"")</f>
        <v/>
      </c>
      <c r="N1025" s="13">
        <f>CHAIN_RAW!H1025</f>
        <v/>
      </c>
      <c r="O1025" s="13">
        <f>CHAIN_RAW!O1025</f>
        <v/>
      </c>
      <c r="P1025" s="13">
        <f>IFERROR(O1025/N1025,"")</f>
        <v/>
      </c>
      <c r="Q1025" s="13">
        <f>CHAIN_RAW!I1025</f>
        <v/>
      </c>
      <c r="R1025" s="13">
        <f>CHAIN_RAW!P1025</f>
        <v/>
      </c>
      <c r="S1025" s="13">
        <f>IFERROR(R1025/Q1025,"")</f>
        <v/>
      </c>
      <c r="T1025" s="13">
        <f>IFERROR((ABS(N1025-O1025)/MAX(1,(N1025+O1025)))*EXP(-ABS(E1025-CONTROL!E5)/MAX(1,CONTROL!B8)),"")</f>
        <v/>
      </c>
      <c r="U1025" s="13">
        <f>IFERROR(IF(O1025&gt;N1025,"SUPPORT (PE OI)","RESIST (CE OI)"),"")</f>
        <v/>
      </c>
      <c r="V1025" s="13">
        <f>IFERROR(IF(Q1025&gt;0,IF(R1025&gt;0,"BOTH_ADD","CE_ADD_PE_REDUCE"),IF(R1025&gt;0,"CE_REDUCE_PE_ADD","BOTH_REDUCE")),"")</f>
        <v/>
      </c>
      <c r="W1025" s="13">
        <f>IFERROR( (P1025-1)*0.5 + (M1025)*0.1 - (I1025+J1025)*0.05 + T1025*0.4 ,"")</f>
        <v/>
      </c>
      <c r="X1025" s="13">
        <f>IFERROR(IF(ABS(F1025)&lt;0.01,"ATM/NEAR",""),"")</f>
        <v/>
      </c>
    </row>
    <row r="1026">
      <c r="A1026" s="13">
        <f>CHAIN_RAW!A1026</f>
        <v/>
      </c>
      <c r="B1026" s="14">
        <f>CHAIN_RAW!B1026</f>
        <v/>
      </c>
      <c r="C1026" s="13">
        <f>CHAIN_RAW!C1026</f>
        <v/>
      </c>
      <c r="D1026" s="13">
        <f>CHAIN_RAW!D1026</f>
        <v/>
      </c>
      <c r="E1026" s="13">
        <f>CHAIN_RAW!E1026</f>
        <v/>
      </c>
      <c r="F1026" s="13">
        <f>IFERROR((E1026-D1026)/D1026,"")</f>
        <v/>
      </c>
      <c r="G1026" s="13">
        <f>IFERROR((CHAIN_RAW!K1026+CHAIN_RAW!L1026)/2,"")</f>
        <v/>
      </c>
      <c r="H1026" s="13">
        <f>IFERROR((CHAIN_RAW!R1026+CHAIN_RAW!S1026)/2,"")</f>
        <v/>
      </c>
      <c r="I1026" s="13">
        <f>IFERROR((CHAIN_RAW!L1026-CHAIN_RAW!K1026)/MAX(1E-9, G1026),"")</f>
        <v/>
      </c>
      <c r="J1026" s="13">
        <f>IFERROR((CHAIN_RAW!S1026-CHAIN_RAW!R1026)/MAX(1E-9, H1026),"")</f>
        <v/>
      </c>
      <c r="K1026" s="13">
        <f>CHAIN_RAW!G1026</f>
        <v/>
      </c>
      <c r="L1026" s="13">
        <f>CHAIN_RAW!N1026</f>
        <v/>
      </c>
      <c r="M1026" s="13">
        <f>IFERROR(L1026-K1026,"")</f>
        <v/>
      </c>
      <c r="N1026" s="13">
        <f>CHAIN_RAW!H1026</f>
        <v/>
      </c>
      <c r="O1026" s="13">
        <f>CHAIN_RAW!O1026</f>
        <v/>
      </c>
      <c r="P1026" s="13">
        <f>IFERROR(O1026/N1026,"")</f>
        <v/>
      </c>
      <c r="Q1026" s="13">
        <f>CHAIN_RAW!I1026</f>
        <v/>
      </c>
      <c r="R1026" s="13">
        <f>CHAIN_RAW!P1026</f>
        <v/>
      </c>
      <c r="S1026" s="13">
        <f>IFERROR(R1026/Q1026,"")</f>
        <v/>
      </c>
      <c r="T1026" s="13">
        <f>IFERROR((ABS(N1026-O1026)/MAX(1,(N1026+O1026)))*EXP(-ABS(E1026-CONTROL!E5)/MAX(1,CONTROL!B8)),"")</f>
        <v/>
      </c>
      <c r="U1026" s="13">
        <f>IFERROR(IF(O1026&gt;N1026,"SUPPORT (PE OI)","RESIST (CE OI)"),"")</f>
        <v/>
      </c>
      <c r="V1026" s="13">
        <f>IFERROR(IF(Q1026&gt;0,IF(R1026&gt;0,"BOTH_ADD","CE_ADD_PE_REDUCE"),IF(R1026&gt;0,"CE_REDUCE_PE_ADD","BOTH_REDUCE")),"")</f>
        <v/>
      </c>
      <c r="W1026" s="13">
        <f>IFERROR( (P1026-1)*0.5 + (M1026)*0.1 - (I1026+J1026)*0.05 + T1026*0.4 ,"")</f>
        <v/>
      </c>
      <c r="X1026" s="13">
        <f>IFERROR(IF(ABS(F1026)&lt;0.01,"ATM/NEAR",""),"")</f>
        <v/>
      </c>
    </row>
    <row r="1027">
      <c r="A1027" s="13">
        <f>CHAIN_RAW!A1027</f>
        <v/>
      </c>
      <c r="B1027" s="14">
        <f>CHAIN_RAW!B1027</f>
        <v/>
      </c>
      <c r="C1027" s="13">
        <f>CHAIN_RAW!C1027</f>
        <v/>
      </c>
      <c r="D1027" s="13">
        <f>CHAIN_RAW!D1027</f>
        <v/>
      </c>
      <c r="E1027" s="13">
        <f>CHAIN_RAW!E1027</f>
        <v/>
      </c>
      <c r="F1027" s="13">
        <f>IFERROR((E1027-D1027)/D1027,"")</f>
        <v/>
      </c>
      <c r="G1027" s="13">
        <f>IFERROR((CHAIN_RAW!K1027+CHAIN_RAW!L1027)/2,"")</f>
        <v/>
      </c>
      <c r="H1027" s="13">
        <f>IFERROR((CHAIN_RAW!R1027+CHAIN_RAW!S1027)/2,"")</f>
        <v/>
      </c>
      <c r="I1027" s="13">
        <f>IFERROR((CHAIN_RAW!L1027-CHAIN_RAW!K1027)/MAX(1E-9, G1027),"")</f>
        <v/>
      </c>
      <c r="J1027" s="13">
        <f>IFERROR((CHAIN_RAW!S1027-CHAIN_RAW!R1027)/MAX(1E-9, H1027),"")</f>
        <v/>
      </c>
      <c r="K1027" s="13">
        <f>CHAIN_RAW!G1027</f>
        <v/>
      </c>
      <c r="L1027" s="13">
        <f>CHAIN_RAW!N1027</f>
        <v/>
      </c>
      <c r="M1027" s="13">
        <f>IFERROR(L1027-K1027,"")</f>
        <v/>
      </c>
      <c r="N1027" s="13">
        <f>CHAIN_RAW!H1027</f>
        <v/>
      </c>
      <c r="O1027" s="13">
        <f>CHAIN_RAW!O1027</f>
        <v/>
      </c>
      <c r="P1027" s="13">
        <f>IFERROR(O1027/N1027,"")</f>
        <v/>
      </c>
      <c r="Q1027" s="13">
        <f>CHAIN_RAW!I1027</f>
        <v/>
      </c>
      <c r="R1027" s="13">
        <f>CHAIN_RAW!P1027</f>
        <v/>
      </c>
      <c r="S1027" s="13">
        <f>IFERROR(R1027/Q1027,"")</f>
        <v/>
      </c>
      <c r="T1027" s="13">
        <f>IFERROR((ABS(N1027-O1027)/MAX(1,(N1027+O1027)))*EXP(-ABS(E1027-CONTROL!E5)/MAX(1,CONTROL!B8)),"")</f>
        <v/>
      </c>
      <c r="U1027" s="13">
        <f>IFERROR(IF(O1027&gt;N1027,"SUPPORT (PE OI)","RESIST (CE OI)"),"")</f>
        <v/>
      </c>
      <c r="V1027" s="13">
        <f>IFERROR(IF(Q1027&gt;0,IF(R1027&gt;0,"BOTH_ADD","CE_ADD_PE_REDUCE"),IF(R1027&gt;0,"CE_REDUCE_PE_ADD","BOTH_REDUCE")),"")</f>
        <v/>
      </c>
      <c r="W1027" s="13">
        <f>IFERROR( (P1027-1)*0.5 + (M1027)*0.1 - (I1027+J1027)*0.05 + T1027*0.4 ,"")</f>
        <v/>
      </c>
      <c r="X1027" s="13">
        <f>IFERROR(IF(ABS(F1027)&lt;0.01,"ATM/NEAR",""),"")</f>
        <v/>
      </c>
    </row>
    <row r="1028">
      <c r="A1028" s="13">
        <f>CHAIN_RAW!A1028</f>
        <v/>
      </c>
      <c r="B1028" s="14">
        <f>CHAIN_RAW!B1028</f>
        <v/>
      </c>
      <c r="C1028" s="13">
        <f>CHAIN_RAW!C1028</f>
        <v/>
      </c>
      <c r="D1028" s="13">
        <f>CHAIN_RAW!D1028</f>
        <v/>
      </c>
      <c r="E1028" s="13">
        <f>CHAIN_RAW!E1028</f>
        <v/>
      </c>
      <c r="F1028" s="13">
        <f>IFERROR((E1028-D1028)/D1028,"")</f>
        <v/>
      </c>
      <c r="G1028" s="13">
        <f>IFERROR((CHAIN_RAW!K1028+CHAIN_RAW!L1028)/2,"")</f>
        <v/>
      </c>
      <c r="H1028" s="13">
        <f>IFERROR((CHAIN_RAW!R1028+CHAIN_RAW!S1028)/2,"")</f>
        <v/>
      </c>
      <c r="I1028" s="13">
        <f>IFERROR((CHAIN_RAW!L1028-CHAIN_RAW!K1028)/MAX(1E-9, G1028),"")</f>
        <v/>
      </c>
      <c r="J1028" s="13">
        <f>IFERROR((CHAIN_RAW!S1028-CHAIN_RAW!R1028)/MAX(1E-9, H1028),"")</f>
        <v/>
      </c>
      <c r="K1028" s="13">
        <f>CHAIN_RAW!G1028</f>
        <v/>
      </c>
      <c r="L1028" s="13">
        <f>CHAIN_RAW!N1028</f>
        <v/>
      </c>
      <c r="M1028" s="13">
        <f>IFERROR(L1028-K1028,"")</f>
        <v/>
      </c>
      <c r="N1028" s="13">
        <f>CHAIN_RAW!H1028</f>
        <v/>
      </c>
      <c r="O1028" s="13">
        <f>CHAIN_RAW!O1028</f>
        <v/>
      </c>
      <c r="P1028" s="13">
        <f>IFERROR(O1028/N1028,"")</f>
        <v/>
      </c>
      <c r="Q1028" s="13">
        <f>CHAIN_RAW!I1028</f>
        <v/>
      </c>
      <c r="R1028" s="13">
        <f>CHAIN_RAW!P1028</f>
        <v/>
      </c>
      <c r="S1028" s="13">
        <f>IFERROR(R1028/Q1028,"")</f>
        <v/>
      </c>
      <c r="T1028" s="13">
        <f>IFERROR((ABS(N1028-O1028)/MAX(1,(N1028+O1028)))*EXP(-ABS(E1028-CONTROL!E5)/MAX(1,CONTROL!B8)),"")</f>
        <v/>
      </c>
      <c r="U1028" s="13">
        <f>IFERROR(IF(O1028&gt;N1028,"SUPPORT (PE OI)","RESIST (CE OI)"),"")</f>
        <v/>
      </c>
      <c r="V1028" s="13">
        <f>IFERROR(IF(Q1028&gt;0,IF(R1028&gt;0,"BOTH_ADD","CE_ADD_PE_REDUCE"),IF(R1028&gt;0,"CE_REDUCE_PE_ADD","BOTH_REDUCE")),"")</f>
        <v/>
      </c>
      <c r="W1028" s="13">
        <f>IFERROR( (P1028-1)*0.5 + (M1028)*0.1 - (I1028+J1028)*0.05 + T1028*0.4 ,"")</f>
        <v/>
      </c>
      <c r="X1028" s="13">
        <f>IFERROR(IF(ABS(F1028)&lt;0.01,"ATM/NEAR",""),"")</f>
        <v/>
      </c>
    </row>
    <row r="1029">
      <c r="A1029" s="13">
        <f>CHAIN_RAW!A1029</f>
        <v/>
      </c>
      <c r="B1029" s="14">
        <f>CHAIN_RAW!B1029</f>
        <v/>
      </c>
      <c r="C1029" s="13">
        <f>CHAIN_RAW!C1029</f>
        <v/>
      </c>
      <c r="D1029" s="13">
        <f>CHAIN_RAW!D1029</f>
        <v/>
      </c>
      <c r="E1029" s="13">
        <f>CHAIN_RAW!E1029</f>
        <v/>
      </c>
      <c r="F1029" s="13">
        <f>IFERROR((E1029-D1029)/D1029,"")</f>
        <v/>
      </c>
      <c r="G1029" s="13">
        <f>IFERROR((CHAIN_RAW!K1029+CHAIN_RAW!L1029)/2,"")</f>
        <v/>
      </c>
      <c r="H1029" s="13">
        <f>IFERROR((CHAIN_RAW!R1029+CHAIN_RAW!S1029)/2,"")</f>
        <v/>
      </c>
      <c r="I1029" s="13">
        <f>IFERROR((CHAIN_RAW!L1029-CHAIN_RAW!K1029)/MAX(1E-9, G1029),"")</f>
        <v/>
      </c>
      <c r="J1029" s="13">
        <f>IFERROR((CHAIN_RAW!S1029-CHAIN_RAW!R1029)/MAX(1E-9, H1029),"")</f>
        <v/>
      </c>
      <c r="K1029" s="13">
        <f>CHAIN_RAW!G1029</f>
        <v/>
      </c>
      <c r="L1029" s="13">
        <f>CHAIN_RAW!N1029</f>
        <v/>
      </c>
      <c r="M1029" s="13">
        <f>IFERROR(L1029-K1029,"")</f>
        <v/>
      </c>
      <c r="N1029" s="13">
        <f>CHAIN_RAW!H1029</f>
        <v/>
      </c>
      <c r="O1029" s="13">
        <f>CHAIN_RAW!O1029</f>
        <v/>
      </c>
      <c r="P1029" s="13">
        <f>IFERROR(O1029/N1029,"")</f>
        <v/>
      </c>
      <c r="Q1029" s="13">
        <f>CHAIN_RAW!I1029</f>
        <v/>
      </c>
      <c r="R1029" s="13">
        <f>CHAIN_RAW!P1029</f>
        <v/>
      </c>
      <c r="S1029" s="13">
        <f>IFERROR(R1029/Q1029,"")</f>
        <v/>
      </c>
      <c r="T1029" s="13">
        <f>IFERROR((ABS(N1029-O1029)/MAX(1,(N1029+O1029)))*EXP(-ABS(E1029-CONTROL!E5)/MAX(1,CONTROL!B8)),"")</f>
        <v/>
      </c>
      <c r="U1029" s="13">
        <f>IFERROR(IF(O1029&gt;N1029,"SUPPORT (PE OI)","RESIST (CE OI)"),"")</f>
        <v/>
      </c>
      <c r="V1029" s="13">
        <f>IFERROR(IF(Q1029&gt;0,IF(R1029&gt;0,"BOTH_ADD","CE_ADD_PE_REDUCE"),IF(R1029&gt;0,"CE_REDUCE_PE_ADD","BOTH_REDUCE")),"")</f>
        <v/>
      </c>
      <c r="W1029" s="13">
        <f>IFERROR( (P1029-1)*0.5 + (M1029)*0.1 - (I1029+J1029)*0.05 + T1029*0.4 ,"")</f>
        <v/>
      </c>
      <c r="X1029" s="13">
        <f>IFERROR(IF(ABS(F1029)&lt;0.01,"ATM/NEAR",""),"")</f>
        <v/>
      </c>
    </row>
    <row r="1030">
      <c r="A1030" s="13">
        <f>CHAIN_RAW!A1030</f>
        <v/>
      </c>
      <c r="B1030" s="14">
        <f>CHAIN_RAW!B1030</f>
        <v/>
      </c>
      <c r="C1030" s="13">
        <f>CHAIN_RAW!C1030</f>
        <v/>
      </c>
      <c r="D1030" s="13">
        <f>CHAIN_RAW!D1030</f>
        <v/>
      </c>
      <c r="E1030" s="13">
        <f>CHAIN_RAW!E1030</f>
        <v/>
      </c>
      <c r="F1030" s="13">
        <f>IFERROR((E1030-D1030)/D1030,"")</f>
        <v/>
      </c>
      <c r="G1030" s="13">
        <f>IFERROR((CHAIN_RAW!K1030+CHAIN_RAW!L1030)/2,"")</f>
        <v/>
      </c>
      <c r="H1030" s="13">
        <f>IFERROR((CHAIN_RAW!R1030+CHAIN_RAW!S1030)/2,"")</f>
        <v/>
      </c>
      <c r="I1030" s="13">
        <f>IFERROR((CHAIN_RAW!L1030-CHAIN_RAW!K1030)/MAX(1E-9, G1030),"")</f>
        <v/>
      </c>
      <c r="J1030" s="13">
        <f>IFERROR((CHAIN_RAW!S1030-CHAIN_RAW!R1030)/MAX(1E-9, H1030),"")</f>
        <v/>
      </c>
      <c r="K1030" s="13">
        <f>CHAIN_RAW!G1030</f>
        <v/>
      </c>
      <c r="L1030" s="13">
        <f>CHAIN_RAW!N1030</f>
        <v/>
      </c>
      <c r="M1030" s="13">
        <f>IFERROR(L1030-K1030,"")</f>
        <v/>
      </c>
      <c r="N1030" s="13">
        <f>CHAIN_RAW!H1030</f>
        <v/>
      </c>
      <c r="O1030" s="13">
        <f>CHAIN_RAW!O1030</f>
        <v/>
      </c>
      <c r="P1030" s="13">
        <f>IFERROR(O1030/N1030,"")</f>
        <v/>
      </c>
      <c r="Q1030" s="13">
        <f>CHAIN_RAW!I1030</f>
        <v/>
      </c>
      <c r="R1030" s="13">
        <f>CHAIN_RAW!P1030</f>
        <v/>
      </c>
      <c r="S1030" s="13">
        <f>IFERROR(R1030/Q1030,"")</f>
        <v/>
      </c>
      <c r="T1030" s="13">
        <f>IFERROR((ABS(N1030-O1030)/MAX(1,(N1030+O1030)))*EXP(-ABS(E1030-CONTROL!E5)/MAX(1,CONTROL!B8)),"")</f>
        <v/>
      </c>
      <c r="U1030" s="13">
        <f>IFERROR(IF(O1030&gt;N1030,"SUPPORT (PE OI)","RESIST (CE OI)"),"")</f>
        <v/>
      </c>
      <c r="V1030" s="13">
        <f>IFERROR(IF(Q1030&gt;0,IF(R1030&gt;0,"BOTH_ADD","CE_ADD_PE_REDUCE"),IF(R1030&gt;0,"CE_REDUCE_PE_ADD","BOTH_REDUCE")),"")</f>
        <v/>
      </c>
      <c r="W1030" s="13">
        <f>IFERROR( (P1030-1)*0.5 + (M1030)*0.1 - (I1030+J1030)*0.05 + T1030*0.4 ,"")</f>
        <v/>
      </c>
      <c r="X1030" s="13">
        <f>IFERROR(IF(ABS(F1030)&lt;0.01,"ATM/NEAR",""),"")</f>
        <v/>
      </c>
    </row>
    <row r="1031">
      <c r="A1031" s="13">
        <f>CHAIN_RAW!A1031</f>
        <v/>
      </c>
      <c r="B1031" s="14">
        <f>CHAIN_RAW!B1031</f>
        <v/>
      </c>
      <c r="C1031" s="13">
        <f>CHAIN_RAW!C1031</f>
        <v/>
      </c>
      <c r="D1031" s="13">
        <f>CHAIN_RAW!D1031</f>
        <v/>
      </c>
      <c r="E1031" s="13">
        <f>CHAIN_RAW!E1031</f>
        <v/>
      </c>
      <c r="F1031" s="13">
        <f>IFERROR((E1031-D1031)/D1031,"")</f>
        <v/>
      </c>
      <c r="G1031" s="13">
        <f>IFERROR((CHAIN_RAW!K1031+CHAIN_RAW!L1031)/2,"")</f>
        <v/>
      </c>
      <c r="H1031" s="13">
        <f>IFERROR((CHAIN_RAW!R1031+CHAIN_RAW!S1031)/2,"")</f>
        <v/>
      </c>
      <c r="I1031" s="13">
        <f>IFERROR((CHAIN_RAW!L1031-CHAIN_RAW!K1031)/MAX(1E-9, G1031),"")</f>
        <v/>
      </c>
      <c r="J1031" s="13">
        <f>IFERROR((CHAIN_RAW!S1031-CHAIN_RAW!R1031)/MAX(1E-9, H1031),"")</f>
        <v/>
      </c>
      <c r="K1031" s="13">
        <f>CHAIN_RAW!G1031</f>
        <v/>
      </c>
      <c r="L1031" s="13">
        <f>CHAIN_RAW!N1031</f>
        <v/>
      </c>
      <c r="M1031" s="13">
        <f>IFERROR(L1031-K1031,"")</f>
        <v/>
      </c>
      <c r="N1031" s="13">
        <f>CHAIN_RAW!H1031</f>
        <v/>
      </c>
      <c r="O1031" s="13">
        <f>CHAIN_RAW!O1031</f>
        <v/>
      </c>
      <c r="P1031" s="13">
        <f>IFERROR(O1031/N1031,"")</f>
        <v/>
      </c>
      <c r="Q1031" s="13">
        <f>CHAIN_RAW!I1031</f>
        <v/>
      </c>
      <c r="R1031" s="13">
        <f>CHAIN_RAW!P1031</f>
        <v/>
      </c>
      <c r="S1031" s="13">
        <f>IFERROR(R1031/Q1031,"")</f>
        <v/>
      </c>
      <c r="T1031" s="13">
        <f>IFERROR((ABS(N1031-O1031)/MAX(1,(N1031+O1031)))*EXP(-ABS(E1031-CONTROL!E5)/MAX(1,CONTROL!B8)),"")</f>
        <v/>
      </c>
      <c r="U1031" s="13">
        <f>IFERROR(IF(O1031&gt;N1031,"SUPPORT (PE OI)","RESIST (CE OI)"),"")</f>
        <v/>
      </c>
      <c r="V1031" s="13">
        <f>IFERROR(IF(Q1031&gt;0,IF(R1031&gt;0,"BOTH_ADD","CE_ADD_PE_REDUCE"),IF(R1031&gt;0,"CE_REDUCE_PE_ADD","BOTH_REDUCE")),"")</f>
        <v/>
      </c>
      <c r="W1031" s="13">
        <f>IFERROR( (P1031-1)*0.5 + (M1031)*0.1 - (I1031+J1031)*0.05 + T1031*0.4 ,"")</f>
        <v/>
      </c>
      <c r="X1031" s="13">
        <f>IFERROR(IF(ABS(F1031)&lt;0.01,"ATM/NEAR",""),"")</f>
        <v/>
      </c>
    </row>
    <row r="1032">
      <c r="A1032" s="13">
        <f>CHAIN_RAW!A1032</f>
        <v/>
      </c>
      <c r="B1032" s="14">
        <f>CHAIN_RAW!B1032</f>
        <v/>
      </c>
      <c r="C1032" s="13">
        <f>CHAIN_RAW!C1032</f>
        <v/>
      </c>
      <c r="D1032" s="13">
        <f>CHAIN_RAW!D1032</f>
        <v/>
      </c>
      <c r="E1032" s="13">
        <f>CHAIN_RAW!E1032</f>
        <v/>
      </c>
      <c r="F1032" s="13">
        <f>IFERROR((E1032-D1032)/D1032,"")</f>
        <v/>
      </c>
      <c r="G1032" s="13">
        <f>IFERROR((CHAIN_RAW!K1032+CHAIN_RAW!L1032)/2,"")</f>
        <v/>
      </c>
      <c r="H1032" s="13">
        <f>IFERROR((CHAIN_RAW!R1032+CHAIN_RAW!S1032)/2,"")</f>
        <v/>
      </c>
      <c r="I1032" s="13">
        <f>IFERROR((CHAIN_RAW!L1032-CHAIN_RAW!K1032)/MAX(1E-9, G1032),"")</f>
        <v/>
      </c>
      <c r="J1032" s="13">
        <f>IFERROR((CHAIN_RAW!S1032-CHAIN_RAW!R1032)/MAX(1E-9, H1032),"")</f>
        <v/>
      </c>
      <c r="K1032" s="13">
        <f>CHAIN_RAW!G1032</f>
        <v/>
      </c>
      <c r="L1032" s="13">
        <f>CHAIN_RAW!N1032</f>
        <v/>
      </c>
      <c r="M1032" s="13">
        <f>IFERROR(L1032-K1032,"")</f>
        <v/>
      </c>
      <c r="N1032" s="13">
        <f>CHAIN_RAW!H1032</f>
        <v/>
      </c>
      <c r="O1032" s="13">
        <f>CHAIN_RAW!O1032</f>
        <v/>
      </c>
      <c r="P1032" s="13">
        <f>IFERROR(O1032/N1032,"")</f>
        <v/>
      </c>
      <c r="Q1032" s="13">
        <f>CHAIN_RAW!I1032</f>
        <v/>
      </c>
      <c r="R1032" s="13">
        <f>CHAIN_RAW!P1032</f>
        <v/>
      </c>
      <c r="S1032" s="13">
        <f>IFERROR(R1032/Q1032,"")</f>
        <v/>
      </c>
      <c r="T1032" s="13">
        <f>IFERROR((ABS(N1032-O1032)/MAX(1,(N1032+O1032)))*EXP(-ABS(E1032-CONTROL!E5)/MAX(1,CONTROL!B8)),"")</f>
        <v/>
      </c>
      <c r="U1032" s="13">
        <f>IFERROR(IF(O1032&gt;N1032,"SUPPORT (PE OI)","RESIST (CE OI)"),"")</f>
        <v/>
      </c>
      <c r="V1032" s="13">
        <f>IFERROR(IF(Q1032&gt;0,IF(R1032&gt;0,"BOTH_ADD","CE_ADD_PE_REDUCE"),IF(R1032&gt;0,"CE_REDUCE_PE_ADD","BOTH_REDUCE")),"")</f>
        <v/>
      </c>
      <c r="W1032" s="13">
        <f>IFERROR( (P1032-1)*0.5 + (M1032)*0.1 - (I1032+J1032)*0.05 + T1032*0.4 ,"")</f>
        <v/>
      </c>
      <c r="X1032" s="13">
        <f>IFERROR(IF(ABS(F1032)&lt;0.01,"ATM/NEAR",""),"")</f>
        <v/>
      </c>
    </row>
    <row r="1033">
      <c r="A1033" s="13">
        <f>CHAIN_RAW!A1033</f>
        <v/>
      </c>
      <c r="B1033" s="14">
        <f>CHAIN_RAW!B1033</f>
        <v/>
      </c>
      <c r="C1033" s="13">
        <f>CHAIN_RAW!C1033</f>
        <v/>
      </c>
      <c r="D1033" s="13">
        <f>CHAIN_RAW!D1033</f>
        <v/>
      </c>
      <c r="E1033" s="13">
        <f>CHAIN_RAW!E1033</f>
        <v/>
      </c>
      <c r="F1033" s="13">
        <f>IFERROR((E1033-D1033)/D1033,"")</f>
        <v/>
      </c>
      <c r="G1033" s="13">
        <f>IFERROR((CHAIN_RAW!K1033+CHAIN_RAW!L1033)/2,"")</f>
        <v/>
      </c>
      <c r="H1033" s="13">
        <f>IFERROR((CHAIN_RAW!R1033+CHAIN_RAW!S1033)/2,"")</f>
        <v/>
      </c>
      <c r="I1033" s="13">
        <f>IFERROR((CHAIN_RAW!L1033-CHAIN_RAW!K1033)/MAX(1E-9, G1033),"")</f>
        <v/>
      </c>
      <c r="J1033" s="13">
        <f>IFERROR((CHAIN_RAW!S1033-CHAIN_RAW!R1033)/MAX(1E-9, H1033),"")</f>
        <v/>
      </c>
      <c r="K1033" s="13">
        <f>CHAIN_RAW!G1033</f>
        <v/>
      </c>
      <c r="L1033" s="13">
        <f>CHAIN_RAW!N1033</f>
        <v/>
      </c>
      <c r="M1033" s="13">
        <f>IFERROR(L1033-K1033,"")</f>
        <v/>
      </c>
      <c r="N1033" s="13">
        <f>CHAIN_RAW!H1033</f>
        <v/>
      </c>
      <c r="O1033" s="13">
        <f>CHAIN_RAW!O1033</f>
        <v/>
      </c>
      <c r="P1033" s="13">
        <f>IFERROR(O1033/N1033,"")</f>
        <v/>
      </c>
      <c r="Q1033" s="13">
        <f>CHAIN_RAW!I1033</f>
        <v/>
      </c>
      <c r="R1033" s="13">
        <f>CHAIN_RAW!P1033</f>
        <v/>
      </c>
      <c r="S1033" s="13">
        <f>IFERROR(R1033/Q1033,"")</f>
        <v/>
      </c>
      <c r="T1033" s="13">
        <f>IFERROR((ABS(N1033-O1033)/MAX(1,(N1033+O1033)))*EXP(-ABS(E1033-CONTROL!E5)/MAX(1,CONTROL!B8)),"")</f>
        <v/>
      </c>
      <c r="U1033" s="13">
        <f>IFERROR(IF(O1033&gt;N1033,"SUPPORT (PE OI)","RESIST (CE OI)"),"")</f>
        <v/>
      </c>
      <c r="V1033" s="13">
        <f>IFERROR(IF(Q1033&gt;0,IF(R1033&gt;0,"BOTH_ADD","CE_ADD_PE_REDUCE"),IF(R1033&gt;0,"CE_REDUCE_PE_ADD","BOTH_REDUCE")),"")</f>
        <v/>
      </c>
      <c r="W1033" s="13">
        <f>IFERROR( (P1033-1)*0.5 + (M1033)*0.1 - (I1033+J1033)*0.05 + T1033*0.4 ,"")</f>
        <v/>
      </c>
      <c r="X1033" s="13">
        <f>IFERROR(IF(ABS(F1033)&lt;0.01,"ATM/NEAR",""),"")</f>
        <v/>
      </c>
    </row>
    <row r="1034">
      <c r="A1034" s="13">
        <f>CHAIN_RAW!A1034</f>
        <v/>
      </c>
      <c r="B1034" s="14">
        <f>CHAIN_RAW!B1034</f>
        <v/>
      </c>
      <c r="C1034" s="13">
        <f>CHAIN_RAW!C1034</f>
        <v/>
      </c>
      <c r="D1034" s="13">
        <f>CHAIN_RAW!D1034</f>
        <v/>
      </c>
      <c r="E1034" s="13">
        <f>CHAIN_RAW!E1034</f>
        <v/>
      </c>
      <c r="F1034" s="13">
        <f>IFERROR((E1034-D1034)/D1034,"")</f>
        <v/>
      </c>
      <c r="G1034" s="13">
        <f>IFERROR((CHAIN_RAW!K1034+CHAIN_RAW!L1034)/2,"")</f>
        <v/>
      </c>
      <c r="H1034" s="13">
        <f>IFERROR((CHAIN_RAW!R1034+CHAIN_RAW!S1034)/2,"")</f>
        <v/>
      </c>
      <c r="I1034" s="13">
        <f>IFERROR((CHAIN_RAW!L1034-CHAIN_RAW!K1034)/MAX(1E-9, G1034),"")</f>
        <v/>
      </c>
      <c r="J1034" s="13">
        <f>IFERROR((CHAIN_RAW!S1034-CHAIN_RAW!R1034)/MAX(1E-9, H1034),"")</f>
        <v/>
      </c>
      <c r="K1034" s="13">
        <f>CHAIN_RAW!G1034</f>
        <v/>
      </c>
      <c r="L1034" s="13">
        <f>CHAIN_RAW!N1034</f>
        <v/>
      </c>
      <c r="M1034" s="13">
        <f>IFERROR(L1034-K1034,"")</f>
        <v/>
      </c>
      <c r="N1034" s="13">
        <f>CHAIN_RAW!H1034</f>
        <v/>
      </c>
      <c r="O1034" s="13">
        <f>CHAIN_RAW!O1034</f>
        <v/>
      </c>
      <c r="P1034" s="13">
        <f>IFERROR(O1034/N1034,"")</f>
        <v/>
      </c>
      <c r="Q1034" s="13">
        <f>CHAIN_RAW!I1034</f>
        <v/>
      </c>
      <c r="R1034" s="13">
        <f>CHAIN_RAW!P1034</f>
        <v/>
      </c>
      <c r="S1034" s="13">
        <f>IFERROR(R1034/Q1034,"")</f>
        <v/>
      </c>
      <c r="T1034" s="13">
        <f>IFERROR((ABS(N1034-O1034)/MAX(1,(N1034+O1034)))*EXP(-ABS(E1034-CONTROL!E5)/MAX(1,CONTROL!B8)),"")</f>
        <v/>
      </c>
      <c r="U1034" s="13">
        <f>IFERROR(IF(O1034&gt;N1034,"SUPPORT (PE OI)","RESIST (CE OI)"),"")</f>
        <v/>
      </c>
      <c r="V1034" s="13">
        <f>IFERROR(IF(Q1034&gt;0,IF(R1034&gt;0,"BOTH_ADD","CE_ADD_PE_REDUCE"),IF(R1034&gt;0,"CE_REDUCE_PE_ADD","BOTH_REDUCE")),"")</f>
        <v/>
      </c>
      <c r="W1034" s="13">
        <f>IFERROR( (P1034-1)*0.5 + (M1034)*0.1 - (I1034+J1034)*0.05 + T1034*0.4 ,"")</f>
        <v/>
      </c>
      <c r="X1034" s="13">
        <f>IFERROR(IF(ABS(F1034)&lt;0.01,"ATM/NEAR",""),"")</f>
        <v/>
      </c>
    </row>
    <row r="1035">
      <c r="A1035" s="13">
        <f>CHAIN_RAW!A1035</f>
        <v/>
      </c>
      <c r="B1035" s="14">
        <f>CHAIN_RAW!B1035</f>
        <v/>
      </c>
      <c r="C1035" s="13">
        <f>CHAIN_RAW!C1035</f>
        <v/>
      </c>
      <c r="D1035" s="13">
        <f>CHAIN_RAW!D1035</f>
        <v/>
      </c>
      <c r="E1035" s="13">
        <f>CHAIN_RAW!E1035</f>
        <v/>
      </c>
      <c r="F1035" s="13">
        <f>IFERROR((E1035-D1035)/D1035,"")</f>
        <v/>
      </c>
      <c r="G1035" s="13">
        <f>IFERROR((CHAIN_RAW!K1035+CHAIN_RAW!L1035)/2,"")</f>
        <v/>
      </c>
      <c r="H1035" s="13">
        <f>IFERROR((CHAIN_RAW!R1035+CHAIN_RAW!S1035)/2,"")</f>
        <v/>
      </c>
      <c r="I1035" s="13">
        <f>IFERROR((CHAIN_RAW!L1035-CHAIN_RAW!K1035)/MAX(1E-9, G1035),"")</f>
        <v/>
      </c>
      <c r="J1035" s="13">
        <f>IFERROR((CHAIN_RAW!S1035-CHAIN_RAW!R1035)/MAX(1E-9, H1035),"")</f>
        <v/>
      </c>
      <c r="K1035" s="13">
        <f>CHAIN_RAW!G1035</f>
        <v/>
      </c>
      <c r="L1035" s="13">
        <f>CHAIN_RAW!N1035</f>
        <v/>
      </c>
      <c r="M1035" s="13">
        <f>IFERROR(L1035-K1035,"")</f>
        <v/>
      </c>
      <c r="N1035" s="13">
        <f>CHAIN_RAW!H1035</f>
        <v/>
      </c>
      <c r="O1035" s="13">
        <f>CHAIN_RAW!O1035</f>
        <v/>
      </c>
      <c r="P1035" s="13">
        <f>IFERROR(O1035/N1035,"")</f>
        <v/>
      </c>
      <c r="Q1035" s="13">
        <f>CHAIN_RAW!I1035</f>
        <v/>
      </c>
      <c r="R1035" s="13">
        <f>CHAIN_RAW!P1035</f>
        <v/>
      </c>
      <c r="S1035" s="13">
        <f>IFERROR(R1035/Q1035,"")</f>
        <v/>
      </c>
      <c r="T1035" s="13">
        <f>IFERROR((ABS(N1035-O1035)/MAX(1,(N1035+O1035)))*EXP(-ABS(E1035-CONTROL!E5)/MAX(1,CONTROL!B8)),"")</f>
        <v/>
      </c>
      <c r="U1035" s="13">
        <f>IFERROR(IF(O1035&gt;N1035,"SUPPORT (PE OI)","RESIST (CE OI)"),"")</f>
        <v/>
      </c>
      <c r="V1035" s="13">
        <f>IFERROR(IF(Q1035&gt;0,IF(R1035&gt;0,"BOTH_ADD","CE_ADD_PE_REDUCE"),IF(R1035&gt;0,"CE_REDUCE_PE_ADD","BOTH_REDUCE")),"")</f>
        <v/>
      </c>
      <c r="W1035" s="13">
        <f>IFERROR( (P1035-1)*0.5 + (M1035)*0.1 - (I1035+J1035)*0.05 + T1035*0.4 ,"")</f>
        <v/>
      </c>
      <c r="X1035" s="13">
        <f>IFERROR(IF(ABS(F1035)&lt;0.01,"ATM/NEAR",""),"")</f>
        <v/>
      </c>
    </row>
    <row r="1036">
      <c r="A1036" s="13">
        <f>CHAIN_RAW!A1036</f>
        <v/>
      </c>
      <c r="B1036" s="14">
        <f>CHAIN_RAW!B1036</f>
        <v/>
      </c>
      <c r="C1036" s="13">
        <f>CHAIN_RAW!C1036</f>
        <v/>
      </c>
      <c r="D1036" s="13">
        <f>CHAIN_RAW!D1036</f>
        <v/>
      </c>
      <c r="E1036" s="13">
        <f>CHAIN_RAW!E1036</f>
        <v/>
      </c>
      <c r="F1036" s="13">
        <f>IFERROR((E1036-D1036)/D1036,"")</f>
        <v/>
      </c>
      <c r="G1036" s="13">
        <f>IFERROR((CHAIN_RAW!K1036+CHAIN_RAW!L1036)/2,"")</f>
        <v/>
      </c>
      <c r="H1036" s="13">
        <f>IFERROR((CHAIN_RAW!R1036+CHAIN_RAW!S1036)/2,"")</f>
        <v/>
      </c>
      <c r="I1036" s="13">
        <f>IFERROR((CHAIN_RAW!L1036-CHAIN_RAW!K1036)/MAX(1E-9, G1036),"")</f>
        <v/>
      </c>
      <c r="J1036" s="13">
        <f>IFERROR((CHAIN_RAW!S1036-CHAIN_RAW!R1036)/MAX(1E-9, H1036),"")</f>
        <v/>
      </c>
      <c r="K1036" s="13">
        <f>CHAIN_RAW!G1036</f>
        <v/>
      </c>
      <c r="L1036" s="13">
        <f>CHAIN_RAW!N1036</f>
        <v/>
      </c>
      <c r="M1036" s="13">
        <f>IFERROR(L1036-K1036,"")</f>
        <v/>
      </c>
      <c r="N1036" s="13">
        <f>CHAIN_RAW!H1036</f>
        <v/>
      </c>
      <c r="O1036" s="13">
        <f>CHAIN_RAW!O1036</f>
        <v/>
      </c>
      <c r="P1036" s="13">
        <f>IFERROR(O1036/N1036,"")</f>
        <v/>
      </c>
      <c r="Q1036" s="13">
        <f>CHAIN_RAW!I1036</f>
        <v/>
      </c>
      <c r="R1036" s="13">
        <f>CHAIN_RAW!P1036</f>
        <v/>
      </c>
      <c r="S1036" s="13">
        <f>IFERROR(R1036/Q1036,"")</f>
        <v/>
      </c>
      <c r="T1036" s="13">
        <f>IFERROR((ABS(N1036-O1036)/MAX(1,(N1036+O1036)))*EXP(-ABS(E1036-CONTROL!E5)/MAX(1,CONTROL!B8)),"")</f>
        <v/>
      </c>
      <c r="U1036" s="13">
        <f>IFERROR(IF(O1036&gt;N1036,"SUPPORT (PE OI)","RESIST (CE OI)"),"")</f>
        <v/>
      </c>
      <c r="V1036" s="13">
        <f>IFERROR(IF(Q1036&gt;0,IF(R1036&gt;0,"BOTH_ADD","CE_ADD_PE_REDUCE"),IF(R1036&gt;0,"CE_REDUCE_PE_ADD","BOTH_REDUCE")),"")</f>
        <v/>
      </c>
      <c r="W1036" s="13">
        <f>IFERROR( (P1036-1)*0.5 + (M1036)*0.1 - (I1036+J1036)*0.05 + T1036*0.4 ,"")</f>
        <v/>
      </c>
      <c r="X1036" s="13">
        <f>IFERROR(IF(ABS(F1036)&lt;0.01,"ATM/NEAR",""),"")</f>
        <v/>
      </c>
    </row>
    <row r="1037">
      <c r="A1037" s="13">
        <f>CHAIN_RAW!A1037</f>
        <v/>
      </c>
      <c r="B1037" s="14">
        <f>CHAIN_RAW!B1037</f>
        <v/>
      </c>
      <c r="C1037" s="13">
        <f>CHAIN_RAW!C1037</f>
        <v/>
      </c>
      <c r="D1037" s="13">
        <f>CHAIN_RAW!D1037</f>
        <v/>
      </c>
      <c r="E1037" s="13">
        <f>CHAIN_RAW!E1037</f>
        <v/>
      </c>
      <c r="F1037" s="13">
        <f>IFERROR((E1037-D1037)/D1037,"")</f>
        <v/>
      </c>
      <c r="G1037" s="13">
        <f>IFERROR((CHAIN_RAW!K1037+CHAIN_RAW!L1037)/2,"")</f>
        <v/>
      </c>
      <c r="H1037" s="13">
        <f>IFERROR((CHAIN_RAW!R1037+CHAIN_RAW!S1037)/2,"")</f>
        <v/>
      </c>
      <c r="I1037" s="13">
        <f>IFERROR((CHAIN_RAW!L1037-CHAIN_RAW!K1037)/MAX(1E-9, G1037),"")</f>
        <v/>
      </c>
      <c r="J1037" s="13">
        <f>IFERROR((CHAIN_RAW!S1037-CHAIN_RAW!R1037)/MAX(1E-9, H1037),"")</f>
        <v/>
      </c>
      <c r="K1037" s="13">
        <f>CHAIN_RAW!G1037</f>
        <v/>
      </c>
      <c r="L1037" s="13">
        <f>CHAIN_RAW!N1037</f>
        <v/>
      </c>
      <c r="M1037" s="13">
        <f>IFERROR(L1037-K1037,"")</f>
        <v/>
      </c>
      <c r="N1037" s="13">
        <f>CHAIN_RAW!H1037</f>
        <v/>
      </c>
      <c r="O1037" s="13">
        <f>CHAIN_RAW!O1037</f>
        <v/>
      </c>
      <c r="P1037" s="13">
        <f>IFERROR(O1037/N1037,"")</f>
        <v/>
      </c>
      <c r="Q1037" s="13">
        <f>CHAIN_RAW!I1037</f>
        <v/>
      </c>
      <c r="R1037" s="13">
        <f>CHAIN_RAW!P1037</f>
        <v/>
      </c>
      <c r="S1037" s="13">
        <f>IFERROR(R1037/Q1037,"")</f>
        <v/>
      </c>
      <c r="T1037" s="13">
        <f>IFERROR((ABS(N1037-O1037)/MAX(1,(N1037+O1037)))*EXP(-ABS(E1037-CONTROL!E5)/MAX(1,CONTROL!B8)),"")</f>
        <v/>
      </c>
      <c r="U1037" s="13">
        <f>IFERROR(IF(O1037&gt;N1037,"SUPPORT (PE OI)","RESIST (CE OI)"),"")</f>
        <v/>
      </c>
      <c r="V1037" s="13">
        <f>IFERROR(IF(Q1037&gt;0,IF(R1037&gt;0,"BOTH_ADD","CE_ADD_PE_REDUCE"),IF(R1037&gt;0,"CE_REDUCE_PE_ADD","BOTH_REDUCE")),"")</f>
        <v/>
      </c>
      <c r="W1037" s="13">
        <f>IFERROR( (P1037-1)*0.5 + (M1037)*0.1 - (I1037+J1037)*0.05 + T1037*0.4 ,"")</f>
        <v/>
      </c>
      <c r="X1037" s="13">
        <f>IFERROR(IF(ABS(F1037)&lt;0.01,"ATM/NEAR",""),"")</f>
        <v/>
      </c>
    </row>
    <row r="1038">
      <c r="A1038" s="13">
        <f>CHAIN_RAW!A1038</f>
        <v/>
      </c>
      <c r="B1038" s="14">
        <f>CHAIN_RAW!B1038</f>
        <v/>
      </c>
      <c r="C1038" s="13">
        <f>CHAIN_RAW!C1038</f>
        <v/>
      </c>
      <c r="D1038" s="13">
        <f>CHAIN_RAW!D1038</f>
        <v/>
      </c>
      <c r="E1038" s="13">
        <f>CHAIN_RAW!E1038</f>
        <v/>
      </c>
      <c r="F1038" s="13">
        <f>IFERROR((E1038-D1038)/D1038,"")</f>
        <v/>
      </c>
      <c r="G1038" s="13">
        <f>IFERROR((CHAIN_RAW!K1038+CHAIN_RAW!L1038)/2,"")</f>
        <v/>
      </c>
      <c r="H1038" s="13">
        <f>IFERROR((CHAIN_RAW!R1038+CHAIN_RAW!S1038)/2,"")</f>
        <v/>
      </c>
      <c r="I1038" s="13">
        <f>IFERROR((CHAIN_RAW!L1038-CHAIN_RAW!K1038)/MAX(1E-9, G1038),"")</f>
        <v/>
      </c>
      <c r="J1038" s="13">
        <f>IFERROR((CHAIN_RAW!S1038-CHAIN_RAW!R1038)/MAX(1E-9, H1038),"")</f>
        <v/>
      </c>
      <c r="K1038" s="13">
        <f>CHAIN_RAW!G1038</f>
        <v/>
      </c>
      <c r="L1038" s="13">
        <f>CHAIN_RAW!N1038</f>
        <v/>
      </c>
      <c r="M1038" s="13">
        <f>IFERROR(L1038-K1038,"")</f>
        <v/>
      </c>
      <c r="N1038" s="13">
        <f>CHAIN_RAW!H1038</f>
        <v/>
      </c>
      <c r="O1038" s="13">
        <f>CHAIN_RAW!O1038</f>
        <v/>
      </c>
      <c r="P1038" s="13">
        <f>IFERROR(O1038/N1038,"")</f>
        <v/>
      </c>
      <c r="Q1038" s="13">
        <f>CHAIN_RAW!I1038</f>
        <v/>
      </c>
      <c r="R1038" s="13">
        <f>CHAIN_RAW!P1038</f>
        <v/>
      </c>
      <c r="S1038" s="13">
        <f>IFERROR(R1038/Q1038,"")</f>
        <v/>
      </c>
      <c r="T1038" s="13">
        <f>IFERROR((ABS(N1038-O1038)/MAX(1,(N1038+O1038)))*EXP(-ABS(E1038-CONTROL!E5)/MAX(1,CONTROL!B8)),"")</f>
        <v/>
      </c>
      <c r="U1038" s="13">
        <f>IFERROR(IF(O1038&gt;N1038,"SUPPORT (PE OI)","RESIST (CE OI)"),"")</f>
        <v/>
      </c>
      <c r="V1038" s="13">
        <f>IFERROR(IF(Q1038&gt;0,IF(R1038&gt;0,"BOTH_ADD","CE_ADD_PE_REDUCE"),IF(R1038&gt;0,"CE_REDUCE_PE_ADD","BOTH_REDUCE")),"")</f>
        <v/>
      </c>
      <c r="W1038" s="13">
        <f>IFERROR( (P1038-1)*0.5 + (M1038)*0.1 - (I1038+J1038)*0.05 + T1038*0.4 ,"")</f>
        <v/>
      </c>
      <c r="X1038" s="13">
        <f>IFERROR(IF(ABS(F1038)&lt;0.01,"ATM/NEAR",""),"")</f>
        <v/>
      </c>
    </row>
    <row r="1039">
      <c r="A1039" s="13">
        <f>CHAIN_RAW!A1039</f>
        <v/>
      </c>
      <c r="B1039" s="14">
        <f>CHAIN_RAW!B1039</f>
        <v/>
      </c>
      <c r="C1039" s="13">
        <f>CHAIN_RAW!C1039</f>
        <v/>
      </c>
      <c r="D1039" s="13">
        <f>CHAIN_RAW!D1039</f>
        <v/>
      </c>
      <c r="E1039" s="13">
        <f>CHAIN_RAW!E1039</f>
        <v/>
      </c>
      <c r="F1039" s="13">
        <f>IFERROR((E1039-D1039)/D1039,"")</f>
        <v/>
      </c>
      <c r="G1039" s="13">
        <f>IFERROR((CHAIN_RAW!K1039+CHAIN_RAW!L1039)/2,"")</f>
        <v/>
      </c>
      <c r="H1039" s="13">
        <f>IFERROR((CHAIN_RAW!R1039+CHAIN_RAW!S1039)/2,"")</f>
        <v/>
      </c>
      <c r="I1039" s="13">
        <f>IFERROR((CHAIN_RAW!L1039-CHAIN_RAW!K1039)/MAX(1E-9, G1039),"")</f>
        <v/>
      </c>
      <c r="J1039" s="13">
        <f>IFERROR((CHAIN_RAW!S1039-CHAIN_RAW!R1039)/MAX(1E-9, H1039),"")</f>
        <v/>
      </c>
      <c r="K1039" s="13">
        <f>CHAIN_RAW!G1039</f>
        <v/>
      </c>
      <c r="L1039" s="13">
        <f>CHAIN_RAW!N1039</f>
        <v/>
      </c>
      <c r="M1039" s="13">
        <f>IFERROR(L1039-K1039,"")</f>
        <v/>
      </c>
      <c r="N1039" s="13">
        <f>CHAIN_RAW!H1039</f>
        <v/>
      </c>
      <c r="O1039" s="13">
        <f>CHAIN_RAW!O1039</f>
        <v/>
      </c>
      <c r="P1039" s="13">
        <f>IFERROR(O1039/N1039,"")</f>
        <v/>
      </c>
      <c r="Q1039" s="13">
        <f>CHAIN_RAW!I1039</f>
        <v/>
      </c>
      <c r="R1039" s="13">
        <f>CHAIN_RAW!P1039</f>
        <v/>
      </c>
      <c r="S1039" s="13">
        <f>IFERROR(R1039/Q1039,"")</f>
        <v/>
      </c>
      <c r="T1039" s="13">
        <f>IFERROR((ABS(N1039-O1039)/MAX(1,(N1039+O1039)))*EXP(-ABS(E1039-CONTROL!E5)/MAX(1,CONTROL!B8)),"")</f>
        <v/>
      </c>
      <c r="U1039" s="13">
        <f>IFERROR(IF(O1039&gt;N1039,"SUPPORT (PE OI)","RESIST (CE OI)"),"")</f>
        <v/>
      </c>
      <c r="V1039" s="13">
        <f>IFERROR(IF(Q1039&gt;0,IF(R1039&gt;0,"BOTH_ADD","CE_ADD_PE_REDUCE"),IF(R1039&gt;0,"CE_REDUCE_PE_ADD","BOTH_REDUCE")),"")</f>
        <v/>
      </c>
      <c r="W1039" s="13">
        <f>IFERROR( (P1039-1)*0.5 + (M1039)*0.1 - (I1039+J1039)*0.05 + T1039*0.4 ,"")</f>
        <v/>
      </c>
      <c r="X1039" s="13">
        <f>IFERROR(IF(ABS(F1039)&lt;0.01,"ATM/NEAR",""),"")</f>
        <v/>
      </c>
    </row>
    <row r="1040">
      <c r="A1040" s="13">
        <f>CHAIN_RAW!A1040</f>
        <v/>
      </c>
      <c r="B1040" s="14">
        <f>CHAIN_RAW!B1040</f>
        <v/>
      </c>
      <c r="C1040" s="13">
        <f>CHAIN_RAW!C1040</f>
        <v/>
      </c>
      <c r="D1040" s="13">
        <f>CHAIN_RAW!D1040</f>
        <v/>
      </c>
      <c r="E1040" s="13">
        <f>CHAIN_RAW!E1040</f>
        <v/>
      </c>
      <c r="F1040" s="13">
        <f>IFERROR((E1040-D1040)/D1040,"")</f>
        <v/>
      </c>
      <c r="G1040" s="13">
        <f>IFERROR((CHAIN_RAW!K1040+CHAIN_RAW!L1040)/2,"")</f>
        <v/>
      </c>
      <c r="H1040" s="13">
        <f>IFERROR((CHAIN_RAW!R1040+CHAIN_RAW!S1040)/2,"")</f>
        <v/>
      </c>
      <c r="I1040" s="13">
        <f>IFERROR((CHAIN_RAW!L1040-CHAIN_RAW!K1040)/MAX(1E-9, G1040),"")</f>
        <v/>
      </c>
      <c r="J1040" s="13">
        <f>IFERROR((CHAIN_RAW!S1040-CHAIN_RAW!R1040)/MAX(1E-9, H1040),"")</f>
        <v/>
      </c>
      <c r="K1040" s="13">
        <f>CHAIN_RAW!G1040</f>
        <v/>
      </c>
      <c r="L1040" s="13">
        <f>CHAIN_RAW!N1040</f>
        <v/>
      </c>
      <c r="M1040" s="13">
        <f>IFERROR(L1040-K1040,"")</f>
        <v/>
      </c>
      <c r="N1040" s="13">
        <f>CHAIN_RAW!H1040</f>
        <v/>
      </c>
      <c r="O1040" s="13">
        <f>CHAIN_RAW!O1040</f>
        <v/>
      </c>
      <c r="P1040" s="13">
        <f>IFERROR(O1040/N1040,"")</f>
        <v/>
      </c>
      <c r="Q1040" s="13">
        <f>CHAIN_RAW!I1040</f>
        <v/>
      </c>
      <c r="R1040" s="13">
        <f>CHAIN_RAW!P1040</f>
        <v/>
      </c>
      <c r="S1040" s="13">
        <f>IFERROR(R1040/Q1040,"")</f>
        <v/>
      </c>
      <c r="T1040" s="13">
        <f>IFERROR((ABS(N1040-O1040)/MAX(1,(N1040+O1040)))*EXP(-ABS(E1040-CONTROL!E5)/MAX(1,CONTROL!B8)),"")</f>
        <v/>
      </c>
      <c r="U1040" s="13">
        <f>IFERROR(IF(O1040&gt;N1040,"SUPPORT (PE OI)","RESIST (CE OI)"),"")</f>
        <v/>
      </c>
      <c r="V1040" s="13">
        <f>IFERROR(IF(Q1040&gt;0,IF(R1040&gt;0,"BOTH_ADD","CE_ADD_PE_REDUCE"),IF(R1040&gt;0,"CE_REDUCE_PE_ADD","BOTH_REDUCE")),"")</f>
        <v/>
      </c>
      <c r="W1040" s="13">
        <f>IFERROR( (P1040-1)*0.5 + (M1040)*0.1 - (I1040+J1040)*0.05 + T1040*0.4 ,"")</f>
        <v/>
      </c>
      <c r="X1040" s="13">
        <f>IFERROR(IF(ABS(F1040)&lt;0.01,"ATM/NEAR",""),"")</f>
        <v/>
      </c>
    </row>
    <row r="1041">
      <c r="A1041" s="13">
        <f>CHAIN_RAW!A1041</f>
        <v/>
      </c>
      <c r="B1041" s="14">
        <f>CHAIN_RAW!B1041</f>
        <v/>
      </c>
      <c r="C1041" s="13">
        <f>CHAIN_RAW!C1041</f>
        <v/>
      </c>
      <c r="D1041" s="13">
        <f>CHAIN_RAW!D1041</f>
        <v/>
      </c>
      <c r="E1041" s="13">
        <f>CHAIN_RAW!E1041</f>
        <v/>
      </c>
      <c r="F1041" s="13">
        <f>IFERROR((E1041-D1041)/D1041,"")</f>
        <v/>
      </c>
      <c r="G1041" s="13">
        <f>IFERROR((CHAIN_RAW!K1041+CHAIN_RAW!L1041)/2,"")</f>
        <v/>
      </c>
      <c r="H1041" s="13">
        <f>IFERROR((CHAIN_RAW!R1041+CHAIN_RAW!S1041)/2,"")</f>
        <v/>
      </c>
      <c r="I1041" s="13">
        <f>IFERROR((CHAIN_RAW!L1041-CHAIN_RAW!K1041)/MAX(1E-9, G1041),"")</f>
        <v/>
      </c>
      <c r="J1041" s="13">
        <f>IFERROR((CHAIN_RAW!S1041-CHAIN_RAW!R1041)/MAX(1E-9, H1041),"")</f>
        <v/>
      </c>
      <c r="K1041" s="13">
        <f>CHAIN_RAW!G1041</f>
        <v/>
      </c>
      <c r="L1041" s="13">
        <f>CHAIN_RAW!N1041</f>
        <v/>
      </c>
      <c r="M1041" s="13">
        <f>IFERROR(L1041-K1041,"")</f>
        <v/>
      </c>
      <c r="N1041" s="13">
        <f>CHAIN_RAW!H1041</f>
        <v/>
      </c>
      <c r="O1041" s="13">
        <f>CHAIN_RAW!O1041</f>
        <v/>
      </c>
      <c r="P1041" s="13">
        <f>IFERROR(O1041/N1041,"")</f>
        <v/>
      </c>
      <c r="Q1041" s="13">
        <f>CHAIN_RAW!I1041</f>
        <v/>
      </c>
      <c r="R1041" s="13">
        <f>CHAIN_RAW!P1041</f>
        <v/>
      </c>
      <c r="S1041" s="13">
        <f>IFERROR(R1041/Q1041,"")</f>
        <v/>
      </c>
      <c r="T1041" s="13">
        <f>IFERROR((ABS(N1041-O1041)/MAX(1,(N1041+O1041)))*EXP(-ABS(E1041-CONTROL!E5)/MAX(1,CONTROL!B8)),"")</f>
        <v/>
      </c>
      <c r="U1041" s="13">
        <f>IFERROR(IF(O1041&gt;N1041,"SUPPORT (PE OI)","RESIST (CE OI)"),"")</f>
        <v/>
      </c>
      <c r="V1041" s="13">
        <f>IFERROR(IF(Q1041&gt;0,IF(R1041&gt;0,"BOTH_ADD","CE_ADD_PE_REDUCE"),IF(R1041&gt;0,"CE_REDUCE_PE_ADD","BOTH_REDUCE")),"")</f>
        <v/>
      </c>
      <c r="W1041" s="13">
        <f>IFERROR( (P1041-1)*0.5 + (M1041)*0.1 - (I1041+J1041)*0.05 + T1041*0.4 ,"")</f>
        <v/>
      </c>
      <c r="X1041" s="13">
        <f>IFERROR(IF(ABS(F1041)&lt;0.01,"ATM/NEAR",""),"")</f>
        <v/>
      </c>
    </row>
    <row r="1042">
      <c r="A1042" s="13">
        <f>CHAIN_RAW!A1042</f>
        <v/>
      </c>
      <c r="B1042" s="14">
        <f>CHAIN_RAW!B1042</f>
        <v/>
      </c>
      <c r="C1042" s="13">
        <f>CHAIN_RAW!C1042</f>
        <v/>
      </c>
      <c r="D1042" s="13">
        <f>CHAIN_RAW!D1042</f>
        <v/>
      </c>
      <c r="E1042" s="13">
        <f>CHAIN_RAW!E1042</f>
        <v/>
      </c>
      <c r="F1042" s="13">
        <f>IFERROR((E1042-D1042)/D1042,"")</f>
        <v/>
      </c>
      <c r="G1042" s="13">
        <f>IFERROR((CHAIN_RAW!K1042+CHAIN_RAW!L1042)/2,"")</f>
        <v/>
      </c>
      <c r="H1042" s="13">
        <f>IFERROR((CHAIN_RAW!R1042+CHAIN_RAW!S1042)/2,"")</f>
        <v/>
      </c>
      <c r="I1042" s="13">
        <f>IFERROR((CHAIN_RAW!L1042-CHAIN_RAW!K1042)/MAX(1E-9, G1042),"")</f>
        <v/>
      </c>
      <c r="J1042" s="13">
        <f>IFERROR((CHAIN_RAW!S1042-CHAIN_RAW!R1042)/MAX(1E-9, H1042),"")</f>
        <v/>
      </c>
      <c r="K1042" s="13">
        <f>CHAIN_RAW!G1042</f>
        <v/>
      </c>
      <c r="L1042" s="13">
        <f>CHAIN_RAW!N1042</f>
        <v/>
      </c>
      <c r="M1042" s="13">
        <f>IFERROR(L1042-K1042,"")</f>
        <v/>
      </c>
      <c r="N1042" s="13">
        <f>CHAIN_RAW!H1042</f>
        <v/>
      </c>
      <c r="O1042" s="13">
        <f>CHAIN_RAW!O1042</f>
        <v/>
      </c>
      <c r="P1042" s="13">
        <f>IFERROR(O1042/N1042,"")</f>
        <v/>
      </c>
      <c r="Q1042" s="13">
        <f>CHAIN_RAW!I1042</f>
        <v/>
      </c>
      <c r="R1042" s="13">
        <f>CHAIN_RAW!P1042</f>
        <v/>
      </c>
      <c r="S1042" s="13">
        <f>IFERROR(R1042/Q1042,"")</f>
        <v/>
      </c>
      <c r="T1042" s="13">
        <f>IFERROR((ABS(N1042-O1042)/MAX(1,(N1042+O1042)))*EXP(-ABS(E1042-CONTROL!E5)/MAX(1,CONTROL!B8)),"")</f>
        <v/>
      </c>
      <c r="U1042" s="13">
        <f>IFERROR(IF(O1042&gt;N1042,"SUPPORT (PE OI)","RESIST (CE OI)"),"")</f>
        <v/>
      </c>
      <c r="V1042" s="13">
        <f>IFERROR(IF(Q1042&gt;0,IF(R1042&gt;0,"BOTH_ADD","CE_ADD_PE_REDUCE"),IF(R1042&gt;0,"CE_REDUCE_PE_ADD","BOTH_REDUCE")),"")</f>
        <v/>
      </c>
      <c r="W1042" s="13">
        <f>IFERROR( (P1042-1)*0.5 + (M1042)*0.1 - (I1042+J1042)*0.05 + T1042*0.4 ,"")</f>
        <v/>
      </c>
      <c r="X1042" s="13">
        <f>IFERROR(IF(ABS(F1042)&lt;0.01,"ATM/NEAR",""),"")</f>
        <v/>
      </c>
    </row>
    <row r="1043">
      <c r="A1043" s="13">
        <f>CHAIN_RAW!A1043</f>
        <v/>
      </c>
      <c r="B1043" s="14">
        <f>CHAIN_RAW!B1043</f>
        <v/>
      </c>
      <c r="C1043" s="13">
        <f>CHAIN_RAW!C1043</f>
        <v/>
      </c>
      <c r="D1043" s="13">
        <f>CHAIN_RAW!D1043</f>
        <v/>
      </c>
      <c r="E1043" s="13">
        <f>CHAIN_RAW!E1043</f>
        <v/>
      </c>
      <c r="F1043" s="13">
        <f>IFERROR((E1043-D1043)/D1043,"")</f>
        <v/>
      </c>
      <c r="G1043" s="13">
        <f>IFERROR((CHAIN_RAW!K1043+CHAIN_RAW!L1043)/2,"")</f>
        <v/>
      </c>
      <c r="H1043" s="13">
        <f>IFERROR((CHAIN_RAW!R1043+CHAIN_RAW!S1043)/2,"")</f>
        <v/>
      </c>
      <c r="I1043" s="13">
        <f>IFERROR((CHAIN_RAW!L1043-CHAIN_RAW!K1043)/MAX(1E-9, G1043),"")</f>
        <v/>
      </c>
      <c r="J1043" s="13">
        <f>IFERROR((CHAIN_RAW!S1043-CHAIN_RAW!R1043)/MAX(1E-9, H1043),"")</f>
        <v/>
      </c>
      <c r="K1043" s="13">
        <f>CHAIN_RAW!G1043</f>
        <v/>
      </c>
      <c r="L1043" s="13">
        <f>CHAIN_RAW!N1043</f>
        <v/>
      </c>
      <c r="M1043" s="13">
        <f>IFERROR(L1043-K1043,"")</f>
        <v/>
      </c>
      <c r="N1043" s="13">
        <f>CHAIN_RAW!H1043</f>
        <v/>
      </c>
      <c r="O1043" s="13">
        <f>CHAIN_RAW!O1043</f>
        <v/>
      </c>
      <c r="P1043" s="13">
        <f>IFERROR(O1043/N1043,"")</f>
        <v/>
      </c>
      <c r="Q1043" s="13">
        <f>CHAIN_RAW!I1043</f>
        <v/>
      </c>
      <c r="R1043" s="13">
        <f>CHAIN_RAW!P1043</f>
        <v/>
      </c>
      <c r="S1043" s="13">
        <f>IFERROR(R1043/Q1043,"")</f>
        <v/>
      </c>
      <c r="T1043" s="13">
        <f>IFERROR((ABS(N1043-O1043)/MAX(1,(N1043+O1043)))*EXP(-ABS(E1043-CONTROL!E5)/MAX(1,CONTROL!B8)),"")</f>
        <v/>
      </c>
      <c r="U1043" s="13">
        <f>IFERROR(IF(O1043&gt;N1043,"SUPPORT (PE OI)","RESIST (CE OI)"),"")</f>
        <v/>
      </c>
      <c r="V1043" s="13">
        <f>IFERROR(IF(Q1043&gt;0,IF(R1043&gt;0,"BOTH_ADD","CE_ADD_PE_REDUCE"),IF(R1043&gt;0,"CE_REDUCE_PE_ADD","BOTH_REDUCE")),"")</f>
        <v/>
      </c>
      <c r="W1043" s="13">
        <f>IFERROR( (P1043-1)*0.5 + (M1043)*0.1 - (I1043+J1043)*0.05 + T1043*0.4 ,"")</f>
        <v/>
      </c>
      <c r="X1043" s="13">
        <f>IFERROR(IF(ABS(F1043)&lt;0.01,"ATM/NEAR",""),"")</f>
        <v/>
      </c>
    </row>
    <row r="1044">
      <c r="A1044" s="13">
        <f>CHAIN_RAW!A1044</f>
        <v/>
      </c>
      <c r="B1044" s="14">
        <f>CHAIN_RAW!B1044</f>
        <v/>
      </c>
      <c r="C1044" s="13">
        <f>CHAIN_RAW!C1044</f>
        <v/>
      </c>
      <c r="D1044" s="13">
        <f>CHAIN_RAW!D1044</f>
        <v/>
      </c>
      <c r="E1044" s="13">
        <f>CHAIN_RAW!E1044</f>
        <v/>
      </c>
      <c r="F1044" s="13">
        <f>IFERROR((E1044-D1044)/D1044,"")</f>
        <v/>
      </c>
      <c r="G1044" s="13">
        <f>IFERROR((CHAIN_RAW!K1044+CHAIN_RAW!L1044)/2,"")</f>
        <v/>
      </c>
      <c r="H1044" s="13">
        <f>IFERROR((CHAIN_RAW!R1044+CHAIN_RAW!S1044)/2,"")</f>
        <v/>
      </c>
      <c r="I1044" s="13">
        <f>IFERROR((CHAIN_RAW!L1044-CHAIN_RAW!K1044)/MAX(1E-9, G1044),"")</f>
        <v/>
      </c>
      <c r="J1044" s="13">
        <f>IFERROR((CHAIN_RAW!S1044-CHAIN_RAW!R1044)/MAX(1E-9, H1044),"")</f>
        <v/>
      </c>
      <c r="K1044" s="13">
        <f>CHAIN_RAW!G1044</f>
        <v/>
      </c>
      <c r="L1044" s="13">
        <f>CHAIN_RAW!N1044</f>
        <v/>
      </c>
      <c r="M1044" s="13">
        <f>IFERROR(L1044-K1044,"")</f>
        <v/>
      </c>
      <c r="N1044" s="13">
        <f>CHAIN_RAW!H1044</f>
        <v/>
      </c>
      <c r="O1044" s="13">
        <f>CHAIN_RAW!O1044</f>
        <v/>
      </c>
      <c r="P1044" s="13">
        <f>IFERROR(O1044/N1044,"")</f>
        <v/>
      </c>
      <c r="Q1044" s="13">
        <f>CHAIN_RAW!I1044</f>
        <v/>
      </c>
      <c r="R1044" s="13">
        <f>CHAIN_RAW!P1044</f>
        <v/>
      </c>
      <c r="S1044" s="13">
        <f>IFERROR(R1044/Q1044,"")</f>
        <v/>
      </c>
      <c r="T1044" s="13">
        <f>IFERROR((ABS(N1044-O1044)/MAX(1,(N1044+O1044)))*EXP(-ABS(E1044-CONTROL!E5)/MAX(1,CONTROL!B8)),"")</f>
        <v/>
      </c>
      <c r="U1044" s="13">
        <f>IFERROR(IF(O1044&gt;N1044,"SUPPORT (PE OI)","RESIST (CE OI)"),"")</f>
        <v/>
      </c>
      <c r="V1044" s="13">
        <f>IFERROR(IF(Q1044&gt;0,IF(R1044&gt;0,"BOTH_ADD","CE_ADD_PE_REDUCE"),IF(R1044&gt;0,"CE_REDUCE_PE_ADD","BOTH_REDUCE")),"")</f>
        <v/>
      </c>
      <c r="W1044" s="13">
        <f>IFERROR( (P1044-1)*0.5 + (M1044)*0.1 - (I1044+J1044)*0.05 + T1044*0.4 ,"")</f>
        <v/>
      </c>
      <c r="X1044" s="13">
        <f>IFERROR(IF(ABS(F1044)&lt;0.01,"ATM/NEAR",""),"")</f>
        <v/>
      </c>
    </row>
    <row r="1045">
      <c r="A1045" s="13">
        <f>CHAIN_RAW!A1045</f>
        <v/>
      </c>
      <c r="B1045" s="14">
        <f>CHAIN_RAW!B1045</f>
        <v/>
      </c>
      <c r="C1045" s="13">
        <f>CHAIN_RAW!C1045</f>
        <v/>
      </c>
      <c r="D1045" s="13">
        <f>CHAIN_RAW!D1045</f>
        <v/>
      </c>
      <c r="E1045" s="13">
        <f>CHAIN_RAW!E1045</f>
        <v/>
      </c>
      <c r="F1045" s="13">
        <f>IFERROR((E1045-D1045)/D1045,"")</f>
        <v/>
      </c>
      <c r="G1045" s="13">
        <f>IFERROR((CHAIN_RAW!K1045+CHAIN_RAW!L1045)/2,"")</f>
        <v/>
      </c>
      <c r="H1045" s="13">
        <f>IFERROR((CHAIN_RAW!R1045+CHAIN_RAW!S1045)/2,"")</f>
        <v/>
      </c>
      <c r="I1045" s="13">
        <f>IFERROR((CHAIN_RAW!L1045-CHAIN_RAW!K1045)/MAX(1E-9, G1045),"")</f>
        <v/>
      </c>
      <c r="J1045" s="13">
        <f>IFERROR((CHAIN_RAW!S1045-CHAIN_RAW!R1045)/MAX(1E-9, H1045),"")</f>
        <v/>
      </c>
      <c r="K1045" s="13">
        <f>CHAIN_RAW!G1045</f>
        <v/>
      </c>
      <c r="L1045" s="13">
        <f>CHAIN_RAW!N1045</f>
        <v/>
      </c>
      <c r="M1045" s="13">
        <f>IFERROR(L1045-K1045,"")</f>
        <v/>
      </c>
      <c r="N1045" s="13">
        <f>CHAIN_RAW!H1045</f>
        <v/>
      </c>
      <c r="O1045" s="13">
        <f>CHAIN_RAW!O1045</f>
        <v/>
      </c>
      <c r="P1045" s="13">
        <f>IFERROR(O1045/N1045,"")</f>
        <v/>
      </c>
      <c r="Q1045" s="13">
        <f>CHAIN_RAW!I1045</f>
        <v/>
      </c>
      <c r="R1045" s="13">
        <f>CHAIN_RAW!P1045</f>
        <v/>
      </c>
      <c r="S1045" s="13">
        <f>IFERROR(R1045/Q1045,"")</f>
        <v/>
      </c>
      <c r="T1045" s="13">
        <f>IFERROR((ABS(N1045-O1045)/MAX(1,(N1045+O1045)))*EXP(-ABS(E1045-CONTROL!E5)/MAX(1,CONTROL!B8)),"")</f>
        <v/>
      </c>
      <c r="U1045" s="13">
        <f>IFERROR(IF(O1045&gt;N1045,"SUPPORT (PE OI)","RESIST (CE OI)"),"")</f>
        <v/>
      </c>
      <c r="V1045" s="13">
        <f>IFERROR(IF(Q1045&gt;0,IF(R1045&gt;0,"BOTH_ADD","CE_ADD_PE_REDUCE"),IF(R1045&gt;0,"CE_REDUCE_PE_ADD","BOTH_REDUCE")),"")</f>
        <v/>
      </c>
      <c r="W1045" s="13">
        <f>IFERROR( (P1045-1)*0.5 + (M1045)*0.1 - (I1045+J1045)*0.05 + T1045*0.4 ,"")</f>
        <v/>
      </c>
      <c r="X1045" s="13">
        <f>IFERROR(IF(ABS(F1045)&lt;0.01,"ATM/NEAR",""),"")</f>
        <v/>
      </c>
    </row>
    <row r="1046">
      <c r="A1046" s="13">
        <f>CHAIN_RAW!A1046</f>
        <v/>
      </c>
      <c r="B1046" s="14">
        <f>CHAIN_RAW!B1046</f>
        <v/>
      </c>
      <c r="C1046" s="13">
        <f>CHAIN_RAW!C1046</f>
        <v/>
      </c>
      <c r="D1046" s="13">
        <f>CHAIN_RAW!D1046</f>
        <v/>
      </c>
      <c r="E1046" s="13">
        <f>CHAIN_RAW!E1046</f>
        <v/>
      </c>
      <c r="F1046" s="13">
        <f>IFERROR((E1046-D1046)/D1046,"")</f>
        <v/>
      </c>
      <c r="G1046" s="13">
        <f>IFERROR((CHAIN_RAW!K1046+CHAIN_RAW!L1046)/2,"")</f>
        <v/>
      </c>
      <c r="H1046" s="13">
        <f>IFERROR((CHAIN_RAW!R1046+CHAIN_RAW!S1046)/2,"")</f>
        <v/>
      </c>
      <c r="I1046" s="13">
        <f>IFERROR((CHAIN_RAW!L1046-CHAIN_RAW!K1046)/MAX(1E-9, G1046),"")</f>
        <v/>
      </c>
      <c r="J1046" s="13">
        <f>IFERROR((CHAIN_RAW!S1046-CHAIN_RAW!R1046)/MAX(1E-9, H1046),"")</f>
        <v/>
      </c>
      <c r="K1046" s="13">
        <f>CHAIN_RAW!G1046</f>
        <v/>
      </c>
      <c r="L1046" s="13">
        <f>CHAIN_RAW!N1046</f>
        <v/>
      </c>
      <c r="M1046" s="13">
        <f>IFERROR(L1046-K1046,"")</f>
        <v/>
      </c>
      <c r="N1046" s="13">
        <f>CHAIN_RAW!H1046</f>
        <v/>
      </c>
      <c r="O1046" s="13">
        <f>CHAIN_RAW!O1046</f>
        <v/>
      </c>
      <c r="P1046" s="13">
        <f>IFERROR(O1046/N1046,"")</f>
        <v/>
      </c>
      <c r="Q1046" s="13">
        <f>CHAIN_RAW!I1046</f>
        <v/>
      </c>
      <c r="R1046" s="13">
        <f>CHAIN_RAW!P1046</f>
        <v/>
      </c>
      <c r="S1046" s="13">
        <f>IFERROR(R1046/Q1046,"")</f>
        <v/>
      </c>
      <c r="T1046" s="13">
        <f>IFERROR((ABS(N1046-O1046)/MAX(1,(N1046+O1046)))*EXP(-ABS(E1046-CONTROL!E5)/MAX(1,CONTROL!B8)),"")</f>
        <v/>
      </c>
      <c r="U1046" s="13">
        <f>IFERROR(IF(O1046&gt;N1046,"SUPPORT (PE OI)","RESIST (CE OI)"),"")</f>
        <v/>
      </c>
      <c r="V1046" s="13">
        <f>IFERROR(IF(Q1046&gt;0,IF(R1046&gt;0,"BOTH_ADD","CE_ADD_PE_REDUCE"),IF(R1046&gt;0,"CE_REDUCE_PE_ADD","BOTH_REDUCE")),"")</f>
        <v/>
      </c>
      <c r="W1046" s="13">
        <f>IFERROR( (P1046-1)*0.5 + (M1046)*0.1 - (I1046+J1046)*0.05 + T1046*0.4 ,"")</f>
        <v/>
      </c>
      <c r="X1046" s="13">
        <f>IFERROR(IF(ABS(F1046)&lt;0.01,"ATM/NEAR",""),"")</f>
        <v/>
      </c>
    </row>
    <row r="1047">
      <c r="A1047" s="13">
        <f>CHAIN_RAW!A1047</f>
        <v/>
      </c>
      <c r="B1047" s="14">
        <f>CHAIN_RAW!B1047</f>
        <v/>
      </c>
      <c r="C1047" s="13">
        <f>CHAIN_RAW!C1047</f>
        <v/>
      </c>
      <c r="D1047" s="13">
        <f>CHAIN_RAW!D1047</f>
        <v/>
      </c>
      <c r="E1047" s="13">
        <f>CHAIN_RAW!E1047</f>
        <v/>
      </c>
      <c r="F1047" s="13">
        <f>IFERROR((E1047-D1047)/D1047,"")</f>
        <v/>
      </c>
      <c r="G1047" s="13">
        <f>IFERROR((CHAIN_RAW!K1047+CHAIN_RAW!L1047)/2,"")</f>
        <v/>
      </c>
      <c r="H1047" s="13">
        <f>IFERROR((CHAIN_RAW!R1047+CHAIN_RAW!S1047)/2,"")</f>
        <v/>
      </c>
      <c r="I1047" s="13">
        <f>IFERROR((CHAIN_RAW!L1047-CHAIN_RAW!K1047)/MAX(1E-9, G1047),"")</f>
        <v/>
      </c>
      <c r="J1047" s="13">
        <f>IFERROR((CHAIN_RAW!S1047-CHAIN_RAW!R1047)/MAX(1E-9, H1047),"")</f>
        <v/>
      </c>
      <c r="K1047" s="13">
        <f>CHAIN_RAW!G1047</f>
        <v/>
      </c>
      <c r="L1047" s="13">
        <f>CHAIN_RAW!N1047</f>
        <v/>
      </c>
      <c r="M1047" s="13">
        <f>IFERROR(L1047-K1047,"")</f>
        <v/>
      </c>
      <c r="N1047" s="13">
        <f>CHAIN_RAW!H1047</f>
        <v/>
      </c>
      <c r="O1047" s="13">
        <f>CHAIN_RAW!O1047</f>
        <v/>
      </c>
      <c r="P1047" s="13">
        <f>IFERROR(O1047/N1047,"")</f>
        <v/>
      </c>
      <c r="Q1047" s="13">
        <f>CHAIN_RAW!I1047</f>
        <v/>
      </c>
      <c r="R1047" s="13">
        <f>CHAIN_RAW!P1047</f>
        <v/>
      </c>
      <c r="S1047" s="13">
        <f>IFERROR(R1047/Q1047,"")</f>
        <v/>
      </c>
      <c r="T1047" s="13">
        <f>IFERROR((ABS(N1047-O1047)/MAX(1,(N1047+O1047)))*EXP(-ABS(E1047-CONTROL!E5)/MAX(1,CONTROL!B8)),"")</f>
        <v/>
      </c>
      <c r="U1047" s="13">
        <f>IFERROR(IF(O1047&gt;N1047,"SUPPORT (PE OI)","RESIST (CE OI)"),"")</f>
        <v/>
      </c>
      <c r="V1047" s="13">
        <f>IFERROR(IF(Q1047&gt;0,IF(R1047&gt;0,"BOTH_ADD","CE_ADD_PE_REDUCE"),IF(R1047&gt;0,"CE_REDUCE_PE_ADD","BOTH_REDUCE")),"")</f>
        <v/>
      </c>
      <c r="W1047" s="13">
        <f>IFERROR( (P1047-1)*0.5 + (M1047)*0.1 - (I1047+J1047)*0.05 + T1047*0.4 ,"")</f>
        <v/>
      </c>
      <c r="X1047" s="13">
        <f>IFERROR(IF(ABS(F1047)&lt;0.01,"ATM/NEAR",""),"")</f>
        <v/>
      </c>
    </row>
    <row r="1048">
      <c r="A1048" s="13">
        <f>CHAIN_RAW!A1048</f>
        <v/>
      </c>
      <c r="B1048" s="14">
        <f>CHAIN_RAW!B1048</f>
        <v/>
      </c>
      <c r="C1048" s="13">
        <f>CHAIN_RAW!C1048</f>
        <v/>
      </c>
      <c r="D1048" s="13">
        <f>CHAIN_RAW!D1048</f>
        <v/>
      </c>
      <c r="E1048" s="13">
        <f>CHAIN_RAW!E1048</f>
        <v/>
      </c>
      <c r="F1048" s="13">
        <f>IFERROR((E1048-D1048)/D1048,"")</f>
        <v/>
      </c>
      <c r="G1048" s="13">
        <f>IFERROR((CHAIN_RAW!K1048+CHAIN_RAW!L1048)/2,"")</f>
        <v/>
      </c>
      <c r="H1048" s="13">
        <f>IFERROR((CHAIN_RAW!R1048+CHAIN_RAW!S1048)/2,"")</f>
        <v/>
      </c>
      <c r="I1048" s="13">
        <f>IFERROR((CHAIN_RAW!L1048-CHAIN_RAW!K1048)/MAX(1E-9, G1048),"")</f>
        <v/>
      </c>
      <c r="J1048" s="13">
        <f>IFERROR((CHAIN_RAW!S1048-CHAIN_RAW!R1048)/MAX(1E-9, H1048),"")</f>
        <v/>
      </c>
      <c r="K1048" s="13">
        <f>CHAIN_RAW!G1048</f>
        <v/>
      </c>
      <c r="L1048" s="13">
        <f>CHAIN_RAW!N1048</f>
        <v/>
      </c>
      <c r="M1048" s="13">
        <f>IFERROR(L1048-K1048,"")</f>
        <v/>
      </c>
      <c r="N1048" s="13">
        <f>CHAIN_RAW!H1048</f>
        <v/>
      </c>
      <c r="O1048" s="13">
        <f>CHAIN_RAW!O1048</f>
        <v/>
      </c>
      <c r="P1048" s="13">
        <f>IFERROR(O1048/N1048,"")</f>
        <v/>
      </c>
      <c r="Q1048" s="13">
        <f>CHAIN_RAW!I1048</f>
        <v/>
      </c>
      <c r="R1048" s="13">
        <f>CHAIN_RAW!P1048</f>
        <v/>
      </c>
      <c r="S1048" s="13">
        <f>IFERROR(R1048/Q1048,"")</f>
        <v/>
      </c>
      <c r="T1048" s="13">
        <f>IFERROR((ABS(N1048-O1048)/MAX(1,(N1048+O1048)))*EXP(-ABS(E1048-CONTROL!E5)/MAX(1,CONTROL!B8)),"")</f>
        <v/>
      </c>
      <c r="U1048" s="13">
        <f>IFERROR(IF(O1048&gt;N1048,"SUPPORT (PE OI)","RESIST (CE OI)"),"")</f>
        <v/>
      </c>
      <c r="V1048" s="13">
        <f>IFERROR(IF(Q1048&gt;0,IF(R1048&gt;0,"BOTH_ADD","CE_ADD_PE_REDUCE"),IF(R1048&gt;0,"CE_REDUCE_PE_ADD","BOTH_REDUCE")),"")</f>
        <v/>
      </c>
      <c r="W1048" s="13">
        <f>IFERROR( (P1048-1)*0.5 + (M1048)*0.1 - (I1048+J1048)*0.05 + T1048*0.4 ,"")</f>
        <v/>
      </c>
      <c r="X1048" s="13">
        <f>IFERROR(IF(ABS(F1048)&lt;0.01,"ATM/NEAR",""),"")</f>
        <v/>
      </c>
    </row>
    <row r="1049">
      <c r="A1049" s="13">
        <f>CHAIN_RAW!A1049</f>
        <v/>
      </c>
      <c r="B1049" s="14">
        <f>CHAIN_RAW!B1049</f>
        <v/>
      </c>
      <c r="C1049" s="13">
        <f>CHAIN_RAW!C1049</f>
        <v/>
      </c>
      <c r="D1049" s="13">
        <f>CHAIN_RAW!D1049</f>
        <v/>
      </c>
      <c r="E1049" s="13">
        <f>CHAIN_RAW!E1049</f>
        <v/>
      </c>
      <c r="F1049" s="13">
        <f>IFERROR((E1049-D1049)/D1049,"")</f>
        <v/>
      </c>
      <c r="G1049" s="13">
        <f>IFERROR((CHAIN_RAW!K1049+CHAIN_RAW!L1049)/2,"")</f>
        <v/>
      </c>
      <c r="H1049" s="13">
        <f>IFERROR((CHAIN_RAW!R1049+CHAIN_RAW!S1049)/2,"")</f>
        <v/>
      </c>
      <c r="I1049" s="13">
        <f>IFERROR((CHAIN_RAW!L1049-CHAIN_RAW!K1049)/MAX(1E-9, G1049),"")</f>
        <v/>
      </c>
      <c r="J1049" s="13">
        <f>IFERROR((CHAIN_RAW!S1049-CHAIN_RAW!R1049)/MAX(1E-9, H1049),"")</f>
        <v/>
      </c>
      <c r="K1049" s="13">
        <f>CHAIN_RAW!G1049</f>
        <v/>
      </c>
      <c r="L1049" s="13">
        <f>CHAIN_RAW!N1049</f>
        <v/>
      </c>
      <c r="M1049" s="13">
        <f>IFERROR(L1049-K1049,"")</f>
        <v/>
      </c>
      <c r="N1049" s="13">
        <f>CHAIN_RAW!H1049</f>
        <v/>
      </c>
      <c r="O1049" s="13">
        <f>CHAIN_RAW!O1049</f>
        <v/>
      </c>
      <c r="P1049" s="13">
        <f>IFERROR(O1049/N1049,"")</f>
        <v/>
      </c>
      <c r="Q1049" s="13">
        <f>CHAIN_RAW!I1049</f>
        <v/>
      </c>
      <c r="R1049" s="13">
        <f>CHAIN_RAW!P1049</f>
        <v/>
      </c>
      <c r="S1049" s="13">
        <f>IFERROR(R1049/Q1049,"")</f>
        <v/>
      </c>
      <c r="T1049" s="13">
        <f>IFERROR((ABS(N1049-O1049)/MAX(1,(N1049+O1049)))*EXP(-ABS(E1049-CONTROL!E5)/MAX(1,CONTROL!B8)),"")</f>
        <v/>
      </c>
      <c r="U1049" s="13">
        <f>IFERROR(IF(O1049&gt;N1049,"SUPPORT (PE OI)","RESIST (CE OI)"),"")</f>
        <v/>
      </c>
      <c r="V1049" s="13">
        <f>IFERROR(IF(Q1049&gt;0,IF(R1049&gt;0,"BOTH_ADD","CE_ADD_PE_REDUCE"),IF(R1049&gt;0,"CE_REDUCE_PE_ADD","BOTH_REDUCE")),"")</f>
        <v/>
      </c>
      <c r="W1049" s="13">
        <f>IFERROR( (P1049-1)*0.5 + (M1049)*0.1 - (I1049+J1049)*0.05 + T1049*0.4 ,"")</f>
        <v/>
      </c>
      <c r="X1049" s="13">
        <f>IFERROR(IF(ABS(F1049)&lt;0.01,"ATM/NEAR",""),"")</f>
        <v/>
      </c>
    </row>
    <row r="1050">
      <c r="A1050" s="13">
        <f>CHAIN_RAW!A1050</f>
        <v/>
      </c>
      <c r="B1050" s="14">
        <f>CHAIN_RAW!B1050</f>
        <v/>
      </c>
      <c r="C1050" s="13">
        <f>CHAIN_RAW!C1050</f>
        <v/>
      </c>
      <c r="D1050" s="13">
        <f>CHAIN_RAW!D1050</f>
        <v/>
      </c>
      <c r="E1050" s="13">
        <f>CHAIN_RAW!E1050</f>
        <v/>
      </c>
      <c r="F1050" s="13">
        <f>IFERROR((E1050-D1050)/D1050,"")</f>
        <v/>
      </c>
      <c r="G1050" s="13">
        <f>IFERROR((CHAIN_RAW!K1050+CHAIN_RAW!L1050)/2,"")</f>
        <v/>
      </c>
      <c r="H1050" s="13">
        <f>IFERROR((CHAIN_RAW!R1050+CHAIN_RAW!S1050)/2,"")</f>
        <v/>
      </c>
      <c r="I1050" s="13">
        <f>IFERROR((CHAIN_RAW!L1050-CHAIN_RAW!K1050)/MAX(1E-9, G1050),"")</f>
        <v/>
      </c>
      <c r="J1050" s="13">
        <f>IFERROR((CHAIN_RAW!S1050-CHAIN_RAW!R1050)/MAX(1E-9, H1050),"")</f>
        <v/>
      </c>
      <c r="K1050" s="13">
        <f>CHAIN_RAW!G1050</f>
        <v/>
      </c>
      <c r="L1050" s="13">
        <f>CHAIN_RAW!N1050</f>
        <v/>
      </c>
      <c r="M1050" s="13">
        <f>IFERROR(L1050-K1050,"")</f>
        <v/>
      </c>
      <c r="N1050" s="13">
        <f>CHAIN_RAW!H1050</f>
        <v/>
      </c>
      <c r="O1050" s="13">
        <f>CHAIN_RAW!O1050</f>
        <v/>
      </c>
      <c r="P1050" s="13">
        <f>IFERROR(O1050/N1050,"")</f>
        <v/>
      </c>
      <c r="Q1050" s="13">
        <f>CHAIN_RAW!I1050</f>
        <v/>
      </c>
      <c r="R1050" s="13">
        <f>CHAIN_RAW!P1050</f>
        <v/>
      </c>
      <c r="S1050" s="13">
        <f>IFERROR(R1050/Q1050,"")</f>
        <v/>
      </c>
      <c r="T1050" s="13">
        <f>IFERROR((ABS(N1050-O1050)/MAX(1,(N1050+O1050)))*EXP(-ABS(E1050-CONTROL!E5)/MAX(1,CONTROL!B8)),"")</f>
        <v/>
      </c>
      <c r="U1050" s="13">
        <f>IFERROR(IF(O1050&gt;N1050,"SUPPORT (PE OI)","RESIST (CE OI)"),"")</f>
        <v/>
      </c>
      <c r="V1050" s="13">
        <f>IFERROR(IF(Q1050&gt;0,IF(R1050&gt;0,"BOTH_ADD","CE_ADD_PE_REDUCE"),IF(R1050&gt;0,"CE_REDUCE_PE_ADD","BOTH_REDUCE")),"")</f>
        <v/>
      </c>
      <c r="W1050" s="13">
        <f>IFERROR( (P1050-1)*0.5 + (M1050)*0.1 - (I1050+J1050)*0.05 + T1050*0.4 ,"")</f>
        <v/>
      </c>
      <c r="X1050" s="13">
        <f>IFERROR(IF(ABS(F1050)&lt;0.01,"ATM/NEAR",""),"")</f>
        <v/>
      </c>
    </row>
    <row r="1051">
      <c r="A1051" s="13">
        <f>CHAIN_RAW!A1051</f>
        <v/>
      </c>
      <c r="B1051" s="14">
        <f>CHAIN_RAW!B1051</f>
        <v/>
      </c>
      <c r="C1051" s="13">
        <f>CHAIN_RAW!C1051</f>
        <v/>
      </c>
      <c r="D1051" s="13">
        <f>CHAIN_RAW!D1051</f>
        <v/>
      </c>
      <c r="E1051" s="13">
        <f>CHAIN_RAW!E1051</f>
        <v/>
      </c>
      <c r="F1051" s="13">
        <f>IFERROR((E1051-D1051)/D1051,"")</f>
        <v/>
      </c>
      <c r="G1051" s="13">
        <f>IFERROR((CHAIN_RAW!K1051+CHAIN_RAW!L1051)/2,"")</f>
        <v/>
      </c>
      <c r="H1051" s="13">
        <f>IFERROR((CHAIN_RAW!R1051+CHAIN_RAW!S1051)/2,"")</f>
        <v/>
      </c>
      <c r="I1051" s="13">
        <f>IFERROR((CHAIN_RAW!L1051-CHAIN_RAW!K1051)/MAX(1E-9, G1051),"")</f>
        <v/>
      </c>
      <c r="J1051" s="13">
        <f>IFERROR((CHAIN_RAW!S1051-CHAIN_RAW!R1051)/MAX(1E-9, H1051),"")</f>
        <v/>
      </c>
      <c r="K1051" s="13">
        <f>CHAIN_RAW!G1051</f>
        <v/>
      </c>
      <c r="L1051" s="13">
        <f>CHAIN_RAW!N1051</f>
        <v/>
      </c>
      <c r="M1051" s="13">
        <f>IFERROR(L1051-K1051,"")</f>
        <v/>
      </c>
      <c r="N1051" s="13">
        <f>CHAIN_RAW!H1051</f>
        <v/>
      </c>
      <c r="O1051" s="13">
        <f>CHAIN_RAW!O1051</f>
        <v/>
      </c>
      <c r="P1051" s="13">
        <f>IFERROR(O1051/N1051,"")</f>
        <v/>
      </c>
      <c r="Q1051" s="13">
        <f>CHAIN_RAW!I1051</f>
        <v/>
      </c>
      <c r="R1051" s="13">
        <f>CHAIN_RAW!P1051</f>
        <v/>
      </c>
      <c r="S1051" s="13">
        <f>IFERROR(R1051/Q1051,"")</f>
        <v/>
      </c>
      <c r="T1051" s="13">
        <f>IFERROR((ABS(N1051-O1051)/MAX(1,(N1051+O1051)))*EXP(-ABS(E1051-CONTROL!E5)/MAX(1,CONTROL!B8)),"")</f>
        <v/>
      </c>
      <c r="U1051" s="13">
        <f>IFERROR(IF(O1051&gt;N1051,"SUPPORT (PE OI)","RESIST (CE OI)"),"")</f>
        <v/>
      </c>
      <c r="V1051" s="13">
        <f>IFERROR(IF(Q1051&gt;0,IF(R1051&gt;0,"BOTH_ADD","CE_ADD_PE_REDUCE"),IF(R1051&gt;0,"CE_REDUCE_PE_ADD","BOTH_REDUCE")),"")</f>
        <v/>
      </c>
      <c r="W1051" s="13">
        <f>IFERROR( (P1051-1)*0.5 + (M1051)*0.1 - (I1051+J1051)*0.05 + T1051*0.4 ,"")</f>
        <v/>
      </c>
      <c r="X1051" s="13">
        <f>IFERROR(IF(ABS(F1051)&lt;0.01,"ATM/NEAR",""),"")</f>
        <v/>
      </c>
    </row>
    <row r="1052">
      <c r="A1052" s="13">
        <f>CHAIN_RAW!A1052</f>
        <v/>
      </c>
      <c r="B1052" s="14">
        <f>CHAIN_RAW!B1052</f>
        <v/>
      </c>
      <c r="C1052" s="13">
        <f>CHAIN_RAW!C1052</f>
        <v/>
      </c>
      <c r="D1052" s="13">
        <f>CHAIN_RAW!D1052</f>
        <v/>
      </c>
      <c r="E1052" s="13">
        <f>CHAIN_RAW!E1052</f>
        <v/>
      </c>
      <c r="F1052" s="13">
        <f>IFERROR((E1052-D1052)/D1052,"")</f>
        <v/>
      </c>
      <c r="G1052" s="13">
        <f>IFERROR((CHAIN_RAW!K1052+CHAIN_RAW!L1052)/2,"")</f>
        <v/>
      </c>
      <c r="H1052" s="13">
        <f>IFERROR((CHAIN_RAW!R1052+CHAIN_RAW!S1052)/2,"")</f>
        <v/>
      </c>
      <c r="I1052" s="13">
        <f>IFERROR((CHAIN_RAW!L1052-CHAIN_RAW!K1052)/MAX(1E-9, G1052),"")</f>
        <v/>
      </c>
      <c r="J1052" s="13">
        <f>IFERROR((CHAIN_RAW!S1052-CHAIN_RAW!R1052)/MAX(1E-9, H1052),"")</f>
        <v/>
      </c>
      <c r="K1052" s="13">
        <f>CHAIN_RAW!G1052</f>
        <v/>
      </c>
      <c r="L1052" s="13">
        <f>CHAIN_RAW!N1052</f>
        <v/>
      </c>
      <c r="M1052" s="13">
        <f>IFERROR(L1052-K1052,"")</f>
        <v/>
      </c>
      <c r="N1052" s="13">
        <f>CHAIN_RAW!H1052</f>
        <v/>
      </c>
      <c r="O1052" s="13">
        <f>CHAIN_RAW!O1052</f>
        <v/>
      </c>
      <c r="P1052" s="13">
        <f>IFERROR(O1052/N1052,"")</f>
        <v/>
      </c>
      <c r="Q1052" s="13">
        <f>CHAIN_RAW!I1052</f>
        <v/>
      </c>
      <c r="R1052" s="13">
        <f>CHAIN_RAW!P1052</f>
        <v/>
      </c>
      <c r="S1052" s="13">
        <f>IFERROR(R1052/Q1052,"")</f>
        <v/>
      </c>
      <c r="T1052" s="13">
        <f>IFERROR((ABS(N1052-O1052)/MAX(1,(N1052+O1052)))*EXP(-ABS(E1052-CONTROL!E5)/MAX(1,CONTROL!B8)),"")</f>
        <v/>
      </c>
      <c r="U1052" s="13">
        <f>IFERROR(IF(O1052&gt;N1052,"SUPPORT (PE OI)","RESIST (CE OI)"),"")</f>
        <v/>
      </c>
      <c r="V1052" s="13">
        <f>IFERROR(IF(Q1052&gt;0,IF(R1052&gt;0,"BOTH_ADD","CE_ADD_PE_REDUCE"),IF(R1052&gt;0,"CE_REDUCE_PE_ADD","BOTH_REDUCE")),"")</f>
        <v/>
      </c>
      <c r="W1052" s="13">
        <f>IFERROR( (P1052-1)*0.5 + (M1052)*0.1 - (I1052+J1052)*0.05 + T1052*0.4 ,"")</f>
        <v/>
      </c>
      <c r="X1052" s="13">
        <f>IFERROR(IF(ABS(F1052)&lt;0.01,"ATM/NEAR",""),"")</f>
        <v/>
      </c>
    </row>
    <row r="1053">
      <c r="A1053" s="13">
        <f>CHAIN_RAW!A1053</f>
        <v/>
      </c>
      <c r="B1053" s="14">
        <f>CHAIN_RAW!B1053</f>
        <v/>
      </c>
      <c r="C1053" s="13">
        <f>CHAIN_RAW!C1053</f>
        <v/>
      </c>
      <c r="D1053" s="13">
        <f>CHAIN_RAW!D1053</f>
        <v/>
      </c>
      <c r="E1053" s="13">
        <f>CHAIN_RAW!E1053</f>
        <v/>
      </c>
      <c r="F1053" s="13">
        <f>IFERROR((E1053-D1053)/D1053,"")</f>
        <v/>
      </c>
      <c r="G1053" s="13">
        <f>IFERROR((CHAIN_RAW!K1053+CHAIN_RAW!L1053)/2,"")</f>
        <v/>
      </c>
      <c r="H1053" s="13">
        <f>IFERROR((CHAIN_RAW!R1053+CHAIN_RAW!S1053)/2,"")</f>
        <v/>
      </c>
      <c r="I1053" s="13">
        <f>IFERROR((CHAIN_RAW!L1053-CHAIN_RAW!K1053)/MAX(1E-9, G1053),"")</f>
        <v/>
      </c>
      <c r="J1053" s="13">
        <f>IFERROR((CHAIN_RAW!S1053-CHAIN_RAW!R1053)/MAX(1E-9, H1053),"")</f>
        <v/>
      </c>
      <c r="K1053" s="13">
        <f>CHAIN_RAW!G1053</f>
        <v/>
      </c>
      <c r="L1053" s="13">
        <f>CHAIN_RAW!N1053</f>
        <v/>
      </c>
      <c r="M1053" s="13">
        <f>IFERROR(L1053-K1053,"")</f>
        <v/>
      </c>
      <c r="N1053" s="13">
        <f>CHAIN_RAW!H1053</f>
        <v/>
      </c>
      <c r="O1053" s="13">
        <f>CHAIN_RAW!O1053</f>
        <v/>
      </c>
      <c r="P1053" s="13">
        <f>IFERROR(O1053/N1053,"")</f>
        <v/>
      </c>
      <c r="Q1053" s="13">
        <f>CHAIN_RAW!I1053</f>
        <v/>
      </c>
      <c r="R1053" s="13">
        <f>CHAIN_RAW!P1053</f>
        <v/>
      </c>
      <c r="S1053" s="13">
        <f>IFERROR(R1053/Q1053,"")</f>
        <v/>
      </c>
      <c r="T1053" s="13">
        <f>IFERROR((ABS(N1053-O1053)/MAX(1,(N1053+O1053)))*EXP(-ABS(E1053-CONTROL!E5)/MAX(1,CONTROL!B8)),"")</f>
        <v/>
      </c>
      <c r="U1053" s="13">
        <f>IFERROR(IF(O1053&gt;N1053,"SUPPORT (PE OI)","RESIST (CE OI)"),"")</f>
        <v/>
      </c>
      <c r="V1053" s="13">
        <f>IFERROR(IF(Q1053&gt;0,IF(R1053&gt;0,"BOTH_ADD","CE_ADD_PE_REDUCE"),IF(R1053&gt;0,"CE_REDUCE_PE_ADD","BOTH_REDUCE")),"")</f>
        <v/>
      </c>
      <c r="W1053" s="13">
        <f>IFERROR( (P1053-1)*0.5 + (M1053)*0.1 - (I1053+J1053)*0.05 + T1053*0.4 ,"")</f>
        <v/>
      </c>
      <c r="X1053" s="13">
        <f>IFERROR(IF(ABS(F1053)&lt;0.01,"ATM/NEAR",""),"")</f>
        <v/>
      </c>
    </row>
    <row r="1054">
      <c r="A1054" s="13">
        <f>CHAIN_RAW!A1054</f>
        <v/>
      </c>
      <c r="B1054" s="14">
        <f>CHAIN_RAW!B1054</f>
        <v/>
      </c>
      <c r="C1054" s="13">
        <f>CHAIN_RAW!C1054</f>
        <v/>
      </c>
      <c r="D1054" s="13">
        <f>CHAIN_RAW!D1054</f>
        <v/>
      </c>
      <c r="E1054" s="13">
        <f>CHAIN_RAW!E1054</f>
        <v/>
      </c>
      <c r="F1054" s="13">
        <f>IFERROR((E1054-D1054)/D1054,"")</f>
        <v/>
      </c>
      <c r="G1054" s="13">
        <f>IFERROR((CHAIN_RAW!K1054+CHAIN_RAW!L1054)/2,"")</f>
        <v/>
      </c>
      <c r="H1054" s="13">
        <f>IFERROR((CHAIN_RAW!R1054+CHAIN_RAW!S1054)/2,"")</f>
        <v/>
      </c>
      <c r="I1054" s="13">
        <f>IFERROR((CHAIN_RAW!L1054-CHAIN_RAW!K1054)/MAX(1E-9, G1054),"")</f>
        <v/>
      </c>
      <c r="J1054" s="13">
        <f>IFERROR((CHAIN_RAW!S1054-CHAIN_RAW!R1054)/MAX(1E-9, H1054),"")</f>
        <v/>
      </c>
      <c r="K1054" s="13">
        <f>CHAIN_RAW!G1054</f>
        <v/>
      </c>
      <c r="L1054" s="13">
        <f>CHAIN_RAW!N1054</f>
        <v/>
      </c>
      <c r="M1054" s="13">
        <f>IFERROR(L1054-K1054,"")</f>
        <v/>
      </c>
      <c r="N1054" s="13">
        <f>CHAIN_RAW!H1054</f>
        <v/>
      </c>
      <c r="O1054" s="13">
        <f>CHAIN_RAW!O1054</f>
        <v/>
      </c>
      <c r="P1054" s="13">
        <f>IFERROR(O1054/N1054,"")</f>
        <v/>
      </c>
      <c r="Q1054" s="13">
        <f>CHAIN_RAW!I1054</f>
        <v/>
      </c>
      <c r="R1054" s="13">
        <f>CHAIN_RAW!P1054</f>
        <v/>
      </c>
      <c r="S1054" s="13">
        <f>IFERROR(R1054/Q1054,"")</f>
        <v/>
      </c>
      <c r="T1054" s="13">
        <f>IFERROR((ABS(N1054-O1054)/MAX(1,(N1054+O1054)))*EXP(-ABS(E1054-CONTROL!E5)/MAX(1,CONTROL!B8)),"")</f>
        <v/>
      </c>
      <c r="U1054" s="13">
        <f>IFERROR(IF(O1054&gt;N1054,"SUPPORT (PE OI)","RESIST (CE OI)"),"")</f>
        <v/>
      </c>
      <c r="V1054" s="13">
        <f>IFERROR(IF(Q1054&gt;0,IF(R1054&gt;0,"BOTH_ADD","CE_ADD_PE_REDUCE"),IF(R1054&gt;0,"CE_REDUCE_PE_ADD","BOTH_REDUCE")),"")</f>
        <v/>
      </c>
      <c r="W1054" s="13">
        <f>IFERROR( (P1054-1)*0.5 + (M1054)*0.1 - (I1054+J1054)*0.05 + T1054*0.4 ,"")</f>
        <v/>
      </c>
      <c r="X1054" s="13">
        <f>IFERROR(IF(ABS(F1054)&lt;0.01,"ATM/NEAR",""),"")</f>
        <v/>
      </c>
    </row>
    <row r="1055">
      <c r="A1055" s="13">
        <f>CHAIN_RAW!A1055</f>
        <v/>
      </c>
      <c r="B1055" s="14">
        <f>CHAIN_RAW!B1055</f>
        <v/>
      </c>
      <c r="C1055" s="13">
        <f>CHAIN_RAW!C1055</f>
        <v/>
      </c>
      <c r="D1055" s="13">
        <f>CHAIN_RAW!D1055</f>
        <v/>
      </c>
      <c r="E1055" s="13">
        <f>CHAIN_RAW!E1055</f>
        <v/>
      </c>
      <c r="F1055" s="13">
        <f>IFERROR((E1055-D1055)/D1055,"")</f>
        <v/>
      </c>
      <c r="G1055" s="13">
        <f>IFERROR((CHAIN_RAW!K1055+CHAIN_RAW!L1055)/2,"")</f>
        <v/>
      </c>
      <c r="H1055" s="13">
        <f>IFERROR((CHAIN_RAW!R1055+CHAIN_RAW!S1055)/2,"")</f>
        <v/>
      </c>
      <c r="I1055" s="13">
        <f>IFERROR((CHAIN_RAW!L1055-CHAIN_RAW!K1055)/MAX(1E-9, G1055),"")</f>
        <v/>
      </c>
      <c r="J1055" s="13">
        <f>IFERROR((CHAIN_RAW!S1055-CHAIN_RAW!R1055)/MAX(1E-9, H1055),"")</f>
        <v/>
      </c>
      <c r="K1055" s="13">
        <f>CHAIN_RAW!G1055</f>
        <v/>
      </c>
      <c r="L1055" s="13">
        <f>CHAIN_RAW!N1055</f>
        <v/>
      </c>
      <c r="M1055" s="13">
        <f>IFERROR(L1055-K1055,"")</f>
        <v/>
      </c>
      <c r="N1055" s="13">
        <f>CHAIN_RAW!H1055</f>
        <v/>
      </c>
      <c r="O1055" s="13">
        <f>CHAIN_RAW!O1055</f>
        <v/>
      </c>
      <c r="P1055" s="13">
        <f>IFERROR(O1055/N1055,"")</f>
        <v/>
      </c>
      <c r="Q1055" s="13">
        <f>CHAIN_RAW!I1055</f>
        <v/>
      </c>
      <c r="R1055" s="13">
        <f>CHAIN_RAW!P1055</f>
        <v/>
      </c>
      <c r="S1055" s="13">
        <f>IFERROR(R1055/Q1055,"")</f>
        <v/>
      </c>
      <c r="T1055" s="13">
        <f>IFERROR((ABS(N1055-O1055)/MAX(1,(N1055+O1055)))*EXP(-ABS(E1055-CONTROL!E5)/MAX(1,CONTROL!B8)),"")</f>
        <v/>
      </c>
      <c r="U1055" s="13">
        <f>IFERROR(IF(O1055&gt;N1055,"SUPPORT (PE OI)","RESIST (CE OI)"),"")</f>
        <v/>
      </c>
      <c r="V1055" s="13">
        <f>IFERROR(IF(Q1055&gt;0,IF(R1055&gt;0,"BOTH_ADD","CE_ADD_PE_REDUCE"),IF(R1055&gt;0,"CE_REDUCE_PE_ADD","BOTH_REDUCE")),"")</f>
        <v/>
      </c>
      <c r="W1055" s="13">
        <f>IFERROR( (P1055-1)*0.5 + (M1055)*0.1 - (I1055+J1055)*0.05 + T1055*0.4 ,"")</f>
        <v/>
      </c>
      <c r="X1055" s="13">
        <f>IFERROR(IF(ABS(F1055)&lt;0.01,"ATM/NEAR",""),"")</f>
        <v/>
      </c>
    </row>
    <row r="1056">
      <c r="A1056" s="13">
        <f>CHAIN_RAW!A1056</f>
        <v/>
      </c>
      <c r="B1056" s="14">
        <f>CHAIN_RAW!B1056</f>
        <v/>
      </c>
      <c r="C1056" s="13">
        <f>CHAIN_RAW!C1056</f>
        <v/>
      </c>
      <c r="D1056" s="13">
        <f>CHAIN_RAW!D1056</f>
        <v/>
      </c>
      <c r="E1056" s="13">
        <f>CHAIN_RAW!E1056</f>
        <v/>
      </c>
      <c r="F1056" s="13">
        <f>IFERROR((E1056-D1056)/D1056,"")</f>
        <v/>
      </c>
      <c r="G1056" s="13">
        <f>IFERROR((CHAIN_RAW!K1056+CHAIN_RAW!L1056)/2,"")</f>
        <v/>
      </c>
      <c r="H1056" s="13">
        <f>IFERROR((CHAIN_RAW!R1056+CHAIN_RAW!S1056)/2,"")</f>
        <v/>
      </c>
      <c r="I1056" s="13">
        <f>IFERROR((CHAIN_RAW!L1056-CHAIN_RAW!K1056)/MAX(1E-9, G1056),"")</f>
        <v/>
      </c>
      <c r="J1056" s="13">
        <f>IFERROR((CHAIN_RAW!S1056-CHAIN_RAW!R1056)/MAX(1E-9, H1056),"")</f>
        <v/>
      </c>
      <c r="K1056" s="13">
        <f>CHAIN_RAW!G1056</f>
        <v/>
      </c>
      <c r="L1056" s="13">
        <f>CHAIN_RAW!N1056</f>
        <v/>
      </c>
      <c r="M1056" s="13">
        <f>IFERROR(L1056-K1056,"")</f>
        <v/>
      </c>
      <c r="N1056" s="13">
        <f>CHAIN_RAW!H1056</f>
        <v/>
      </c>
      <c r="O1056" s="13">
        <f>CHAIN_RAW!O1056</f>
        <v/>
      </c>
      <c r="P1056" s="13">
        <f>IFERROR(O1056/N1056,"")</f>
        <v/>
      </c>
      <c r="Q1056" s="13">
        <f>CHAIN_RAW!I1056</f>
        <v/>
      </c>
      <c r="R1056" s="13">
        <f>CHAIN_RAW!P1056</f>
        <v/>
      </c>
      <c r="S1056" s="13">
        <f>IFERROR(R1056/Q1056,"")</f>
        <v/>
      </c>
      <c r="T1056" s="13">
        <f>IFERROR((ABS(N1056-O1056)/MAX(1,(N1056+O1056)))*EXP(-ABS(E1056-CONTROL!E5)/MAX(1,CONTROL!B8)),"")</f>
        <v/>
      </c>
      <c r="U1056" s="13">
        <f>IFERROR(IF(O1056&gt;N1056,"SUPPORT (PE OI)","RESIST (CE OI)"),"")</f>
        <v/>
      </c>
      <c r="V1056" s="13">
        <f>IFERROR(IF(Q1056&gt;0,IF(R1056&gt;0,"BOTH_ADD","CE_ADD_PE_REDUCE"),IF(R1056&gt;0,"CE_REDUCE_PE_ADD","BOTH_REDUCE")),"")</f>
        <v/>
      </c>
      <c r="W1056" s="13">
        <f>IFERROR( (P1056-1)*0.5 + (M1056)*0.1 - (I1056+J1056)*0.05 + T1056*0.4 ,"")</f>
        <v/>
      </c>
      <c r="X1056" s="13">
        <f>IFERROR(IF(ABS(F1056)&lt;0.01,"ATM/NEAR",""),"")</f>
        <v/>
      </c>
    </row>
    <row r="1057">
      <c r="A1057" s="13">
        <f>CHAIN_RAW!A1057</f>
        <v/>
      </c>
      <c r="B1057" s="14">
        <f>CHAIN_RAW!B1057</f>
        <v/>
      </c>
      <c r="C1057" s="13">
        <f>CHAIN_RAW!C1057</f>
        <v/>
      </c>
      <c r="D1057" s="13">
        <f>CHAIN_RAW!D1057</f>
        <v/>
      </c>
      <c r="E1057" s="13">
        <f>CHAIN_RAW!E1057</f>
        <v/>
      </c>
      <c r="F1057" s="13">
        <f>IFERROR((E1057-D1057)/D1057,"")</f>
        <v/>
      </c>
      <c r="G1057" s="13">
        <f>IFERROR((CHAIN_RAW!K1057+CHAIN_RAW!L1057)/2,"")</f>
        <v/>
      </c>
      <c r="H1057" s="13">
        <f>IFERROR((CHAIN_RAW!R1057+CHAIN_RAW!S1057)/2,"")</f>
        <v/>
      </c>
      <c r="I1057" s="13">
        <f>IFERROR((CHAIN_RAW!L1057-CHAIN_RAW!K1057)/MAX(1E-9, G1057),"")</f>
        <v/>
      </c>
      <c r="J1057" s="13">
        <f>IFERROR((CHAIN_RAW!S1057-CHAIN_RAW!R1057)/MAX(1E-9, H1057),"")</f>
        <v/>
      </c>
      <c r="K1057" s="13">
        <f>CHAIN_RAW!G1057</f>
        <v/>
      </c>
      <c r="L1057" s="13">
        <f>CHAIN_RAW!N1057</f>
        <v/>
      </c>
      <c r="M1057" s="13">
        <f>IFERROR(L1057-K1057,"")</f>
        <v/>
      </c>
      <c r="N1057" s="13">
        <f>CHAIN_RAW!H1057</f>
        <v/>
      </c>
      <c r="O1057" s="13">
        <f>CHAIN_RAW!O1057</f>
        <v/>
      </c>
      <c r="P1057" s="13">
        <f>IFERROR(O1057/N1057,"")</f>
        <v/>
      </c>
      <c r="Q1057" s="13">
        <f>CHAIN_RAW!I1057</f>
        <v/>
      </c>
      <c r="R1057" s="13">
        <f>CHAIN_RAW!P1057</f>
        <v/>
      </c>
      <c r="S1057" s="13">
        <f>IFERROR(R1057/Q1057,"")</f>
        <v/>
      </c>
      <c r="T1057" s="13">
        <f>IFERROR((ABS(N1057-O1057)/MAX(1,(N1057+O1057)))*EXP(-ABS(E1057-CONTROL!E5)/MAX(1,CONTROL!B8)),"")</f>
        <v/>
      </c>
      <c r="U1057" s="13">
        <f>IFERROR(IF(O1057&gt;N1057,"SUPPORT (PE OI)","RESIST (CE OI)"),"")</f>
        <v/>
      </c>
      <c r="V1057" s="13">
        <f>IFERROR(IF(Q1057&gt;0,IF(R1057&gt;0,"BOTH_ADD","CE_ADD_PE_REDUCE"),IF(R1057&gt;0,"CE_REDUCE_PE_ADD","BOTH_REDUCE")),"")</f>
        <v/>
      </c>
      <c r="W1057" s="13">
        <f>IFERROR( (P1057-1)*0.5 + (M1057)*0.1 - (I1057+J1057)*0.05 + T1057*0.4 ,"")</f>
        <v/>
      </c>
      <c r="X1057" s="13">
        <f>IFERROR(IF(ABS(F1057)&lt;0.01,"ATM/NEAR",""),"")</f>
        <v/>
      </c>
    </row>
    <row r="1058">
      <c r="A1058" s="13">
        <f>CHAIN_RAW!A1058</f>
        <v/>
      </c>
      <c r="B1058" s="14">
        <f>CHAIN_RAW!B1058</f>
        <v/>
      </c>
      <c r="C1058" s="13">
        <f>CHAIN_RAW!C1058</f>
        <v/>
      </c>
      <c r="D1058" s="13">
        <f>CHAIN_RAW!D1058</f>
        <v/>
      </c>
      <c r="E1058" s="13">
        <f>CHAIN_RAW!E1058</f>
        <v/>
      </c>
      <c r="F1058" s="13">
        <f>IFERROR((E1058-D1058)/D1058,"")</f>
        <v/>
      </c>
      <c r="G1058" s="13">
        <f>IFERROR((CHAIN_RAW!K1058+CHAIN_RAW!L1058)/2,"")</f>
        <v/>
      </c>
      <c r="H1058" s="13">
        <f>IFERROR((CHAIN_RAW!R1058+CHAIN_RAW!S1058)/2,"")</f>
        <v/>
      </c>
      <c r="I1058" s="13">
        <f>IFERROR((CHAIN_RAW!L1058-CHAIN_RAW!K1058)/MAX(1E-9, G1058),"")</f>
        <v/>
      </c>
      <c r="J1058" s="13">
        <f>IFERROR((CHAIN_RAW!S1058-CHAIN_RAW!R1058)/MAX(1E-9, H1058),"")</f>
        <v/>
      </c>
      <c r="K1058" s="13">
        <f>CHAIN_RAW!G1058</f>
        <v/>
      </c>
      <c r="L1058" s="13">
        <f>CHAIN_RAW!N1058</f>
        <v/>
      </c>
      <c r="M1058" s="13">
        <f>IFERROR(L1058-K1058,"")</f>
        <v/>
      </c>
      <c r="N1058" s="13">
        <f>CHAIN_RAW!H1058</f>
        <v/>
      </c>
      <c r="O1058" s="13">
        <f>CHAIN_RAW!O1058</f>
        <v/>
      </c>
      <c r="P1058" s="13">
        <f>IFERROR(O1058/N1058,"")</f>
        <v/>
      </c>
      <c r="Q1058" s="13">
        <f>CHAIN_RAW!I1058</f>
        <v/>
      </c>
      <c r="R1058" s="13">
        <f>CHAIN_RAW!P1058</f>
        <v/>
      </c>
      <c r="S1058" s="13">
        <f>IFERROR(R1058/Q1058,"")</f>
        <v/>
      </c>
      <c r="T1058" s="13">
        <f>IFERROR((ABS(N1058-O1058)/MAX(1,(N1058+O1058)))*EXP(-ABS(E1058-CONTROL!E5)/MAX(1,CONTROL!B8)),"")</f>
        <v/>
      </c>
      <c r="U1058" s="13">
        <f>IFERROR(IF(O1058&gt;N1058,"SUPPORT (PE OI)","RESIST (CE OI)"),"")</f>
        <v/>
      </c>
      <c r="V1058" s="13">
        <f>IFERROR(IF(Q1058&gt;0,IF(R1058&gt;0,"BOTH_ADD","CE_ADD_PE_REDUCE"),IF(R1058&gt;0,"CE_REDUCE_PE_ADD","BOTH_REDUCE")),"")</f>
        <v/>
      </c>
      <c r="W1058" s="13">
        <f>IFERROR( (P1058-1)*0.5 + (M1058)*0.1 - (I1058+J1058)*0.05 + T1058*0.4 ,"")</f>
        <v/>
      </c>
      <c r="X1058" s="13">
        <f>IFERROR(IF(ABS(F1058)&lt;0.01,"ATM/NEAR",""),"")</f>
        <v/>
      </c>
    </row>
    <row r="1059">
      <c r="A1059" s="13">
        <f>CHAIN_RAW!A1059</f>
        <v/>
      </c>
      <c r="B1059" s="14">
        <f>CHAIN_RAW!B1059</f>
        <v/>
      </c>
      <c r="C1059" s="13">
        <f>CHAIN_RAW!C1059</f>
        <v/>
      </c>
      <c r="D1059" s="13">
        <f>CHAIN_RAW!D1059</f>
        <v/>
      </c>
      <c r="E1059" s="13">
        <f>CHAIN_RAW!E1059</f>
        <v/>
      </c>
      <c r="F1059" s="13">
        <f>IFERROR((E1059-D1059)/D1059,"")</f>
        <v/>
      </c>
      <c r="G1059" s="13">
        <f>IFERROR((CHAIN_RAW!K1059+CHAIN_RAW!L1059)/2,"")</f>
        <v/>
      </c>
      <c r="H1059" s="13">
        <f>IFERROR((CHAIN_RAW!R1059+CHAIN_RAW!S1059)/2,"")</f>
        <v/>
      </c>
      <c r="I1059" s="13">
        <f>IFERROR((CHAIN_RAW!L1059-CHAIN_RAW!K1059)/MAX(1E-9, G1059),"")</f>
        <v/>
      </c>
      <c r="J1059" s="13">
        <f>IFERROR((CHAIN_RAW!S1059-CHAIN_RAW!R1059)/MAX(1E-9, H1059),"")</f>
        <v/>
      </c>
      <c r="K1059" s="13">
        <f>CHAIN_RAW!G1059</f>
        <v/>
      </c>
      <c r="L1059" s="13">
        <f>CHAIN_RAW!N1059</f>
        <v/>
      </c>
      <c r="M1059" s="13">
        <f>IFERROR(L1059-K1059,"")</f>
        <v/>
      </c>
      <c r="N1059" s="13">
        <f>CHAIN_RAW!H1059</f>
        <v/>
      </c>
      <c r="O1059" s="13">
        <f>CHAIN_RAW!O1059</f>
        <v/>
      </c>
      <c r="P1059" s="13">
        <f>IFERROR(O1059/N1059,"")</f>
        <v/>
      </c>
      <c r="Q1059" s="13">
        <f>CHAIN_RAW!I1059</f>
        <v/>
      </c>
      <c r="R1059" s="13">
        <f>CHAIN_RAW!P1059</f>
        <v/>
      </c>
      <c r="S1059" s="13">
        <f>IFERROR(R1059/Q1059,"")</f>
        <v/>
      </c>
      <c r="T1059" s="13">
        <f>IFERROR((ABS(N1059-O1059)/MAX(1,(N1059+O1059)))*EXP(-ABS(E1059-CONTROL!E5)/MAX(1,CONTROL!B8)),"")</f>
        <v/>
      </c>
      <c r="U1059" s="13">
        <f>IFERROR(IF(O1059&gt;N1059,"SUPPORT (PE OI)","RESIST (CE OI)"),"")</f>
        <v/>
      </c>
      <c r="V1059" s="13">
        <f>IFERROR(IF(Q1059&gt;0,IF(R1059&gt;0,"BOTH_ADD","CE_ADD_PE_REDUCE"),IF(R1059&gt;0,"CE_REDUCE_PE_ADD","BOTH_REDUCE")),"")</f>
        <v/>
      </c>
      <c r="W1059" s="13">
        <f>IFERROR( (P1059-1)*0.5 + (M1059)*0.1 - (I1059+J1059)*0.05 + T1059*0.4 ,"")</f>
        <v/>
      </c>
      <c r="X1059" s="13">
        <f>IFERROR(IF(ABS(F1059)&lt;0.01,"ATM/NEAR",""),"")</f>
        <v/>
      </c>
    </row>
    <row r="1060">
      <c r="A1060" s="13">
        <f>CHAIN_RAW!A1060</f>
        <v/>
      </c>
      <c r="B1060" s="14">
        <f>CHAIN_RAW!B1060</f>
        <v/>
      </c>
      <c r="C1060" s="13">
        <f>CHAIN_RAW!C1060</f>
        <v/>
      </c>
      <c r="D1060" s="13">
        <f>CHAIN_RAW!D1060</f>
        <v/>
      </c>
      <c r="E1060" s="13">
        <f>CHAIN_RAW!E1060</f>
        <v/>
      </c>
      <c r="F1060" s="13">
        <f>IFERROR((E1060-D1060)/D1060,"")</f>
        <v/>
      </c>
      <c r="G1060" s="13">
        <f>IFERROR((CHAIN_RAW!K1060+CHAIN_RAW!L1060)/2,"")</f>
        <v/>
      </c>
      <c r="H1060" s="13">
        <f>IFERROR((CHAIN_RAW!R1060+CHAIN_RAW!S1060)/2,"")</f>
        <v/>
      </c>
      <c r="I1060" s="13">
        <f>IFERROR((CHAIN_RAW!L1060-CHAIN_RAW!K1060)/MAX(1E-9, G1060),"")</f>
        <v/>
      </c>
      <c r="J1060" s="13">
        <f>IFERROR((CHAIN_RAW!S1060-CHAIN_RAW!R1060)/MAX(1E-9, H1060),"")</f>
        <v/>
      </c>
      <c r="K1060" s="13">
        <f>CHAIN_RAW!G1060</f>
        <v/>
      </c>
      <c r="L1060" s="13">
        <f>CHAIN_RAW!N1060</f>
        <v/>
      </c>
      <c r="M1060" s="13">
        <f>IFERROR(L1060-K1060,"")</f>
        <v/>
      </c>
      <c r="N1060" s="13">
        <f>CHAIN_RAW!H1060</f>
        <v/>
      </c>
      <c r="O1060" s="13">
        <f>CHAIN_RAW!O1060</f>
        <v/>
      </c>
      <c r="P1060" s="13">
        <f>IFERROR(O1060/N1060,"")</f>
        <v/>
      </c>
      <c r="Q1060" s="13">
        <f>CHAIN_RAW!I1060</f>
        <v/>
      </c>
      <c r="R1060" s="13">
        <f>CHAIN_RAW!P1060</f>
        <v/>
      </c>
      <c r="S1060" s="13">
        <f>IFERROR(R1060/Q1060,"")</f>
        <v/>
      </c>
      <c r="T1060" s="13">
        <f>IFERROR((ABS(N1060-O1060)/MAX(1,(N1060+O1060)))*EXP(-ABS(E1060-CONTROL!E5)/MAX(1,CONTROL!B8)),"")</f>
        <v/>
      </c>
      <c r="U1060" s="13">
        <f>IFERROR(IF(O1060&gt;N1060,"SUPPORT (PE OI)","RESIST (CE OI)"),"")</f>
        <v/>
      </c>
      <c r="V1060" s="13">
        <f>IFERROR(IF(Q1060&gt;0,IF(R1060&gt;0,"BOTH_ADD","CE_ADD_PE_REDUCE"),IF(R1060&gt;0,"CE_REDUCE_PE_ADD","BOTH_REDUCE")),"")</f>
        <v/>
      </c>
      <c r="W1060" s="13">
        <f>IFERROR( (P1060-1)*0.5 + (M1060)*0.1 - (I1060+J1060)*0.05 + T1060*0.4 ,"")</f>
        <v/>
      </c>
      <c r="X1060" s="13">
        <f>IFERROR(IF(ABS(F1060)&lt;0.01,"ATM/NEAR",""),"")</f>
        <v/>
      </c>
    </row>
    <row r="1061">
      <c r="A1061" s="13">
        <f>CHAIN_RAW!A1061</f>
        <v/>
      </c>
      <c r="B1061" s="14">
        <f>CHAIN_RAW!B1061</f>
        <v/>
      </c>
      <c r="C1061" s="13">
        <f>CHAIN_RAW!C1061</f>
        <v/>
      </c>
      <c r="D1061" s="13">
        <f>CHAIN_RAW!D1061</f>
        <v/>
      </c>
      <c r="E1061" s="13">
        <f>CHAIN_RAW!E1061</f>
        <v/>
      </c>
      <c r="F1061" s="13">
        <f>IFERROR((E1061-D1061)/D1061,"")</f>
        <v/>
      </c>
      <c r="G1061" s="13">
        <f>IFERROR((CHAIN_RAW!K1061+CHAIN_RAW!L1061)/2,"")</f>
        <v/>
      </c>
      <c r="H1061" s="13">
        <f>IFERROR((CHAIN_RAW!R1061+CHAIN_RAW!S1061)/2,"")</f>
        <v/>
      </c>
      <c r="I1061" s="13">
        <f>IFERROR((CHAIN_RAW!L1061-CHAIN_RAW!K1061)/MAX(1E-9, G1061),"")</f>
        <v/>
      </c>
      <c r="J1061" s="13">
        <f>IFERROR((CHAIN_RAW!S1061-CHAIN_RAW!R1061)/MAX(1E-9, H1061),"")</f>
        <v/>
      </c>
      <c r="K1061" s="13">
        <f>CHAIN_RAW!G1061</f>
        <v/>
      </c>
      <c r="L1061" s="13">
        <f>CHAIN_RAW!N1061</f>
        <v/>
      </c>
      <c r="M1061" s="13">
        <f>IFERROR(L1061-K1061,"")</f>
        <v/>
      </c>
      <c r="N1061" s="13">
        <f>CHAIN_RAW!H1061</f>
        <v/>
      </c>
      <c r="O1061" s="13">
        <f>CHAIN_RAW!O1061</f>
        <v/>
      </c>
      <c r="P1061" s="13">
        <f>IFERROR(O1061/N1061,"")</f>
        <v/>
      </c>
      <c r="Q1061" s="13">
        <f>CHAIN_RAW!I1061</f>
        <v/>
      </c>
      <c r="R1061" s="13">
        <f>CHAIN_RAW!P1061</f>
        <v/>
      </c>
      <c r="S1061" s="13">
        <f>IFERROR(R1061/Q1061,"")</f>
        <v/>
      </c>
      <c r="T1061" s="13">
        <f>IFERROR((ABS(N1061-O1061)/MAX(1,(N1061+O1061)))*EXP(-ABS(E1061-CONTROL!E5)/MAX(1,CONTROL!B8)),"")</f>
        <v/>
      </c>
      <c r="U1061" s="13">
        <f>IFERROR(IF(O1061&gt;N1061,"SUPPORT (PE OI)","RESIST (CE OI)"),"")</f>
        <v/>
      </c>
      <c r="V1061" s="13">
        <f>IFERROR(IF(Q1061&gt;0,IF(R1061&gt;0,"BOTH_ADD","CE_ADD_PE_REDUCE"),IF(R1061&gt;0,"CE_REDUCE_PE_ADD","BOTH_REDUCE")),"")</f>
        <v/>
      </c>
      <c r="W1061" s="13">
        <f>IFERROR( (P1061-1)*0.5 + (M1061)*0.1 - (I1061+J1061)*0.05 + T1061*0.4 ,"")</f>
        <v/>
      </c>
      <c r="X1061" s="13">
        <f>IFERROR(IF(ABS(F1061)&lt;0.01,"ATM/NEAR",""),"")</f>
        <v/>
      </c>
    </row>
    <row r="1062">
      <c r="A1062" s="13">
        <f>CHAIN_RAW!A1062</f>
        <v/>
      </c>
      <c r="B1062" s="14">
        <f>CHAIN_RAW!B1062</f>
        <v/>
      </c>
      <c r="C1062" s="13">
        <f>CHAIN_RAW!C1062</f>
        <v/>
      </c>
      <c r="D1062" s="13">
        <f>CHAIN_RAW!D1062</f>
        <v/>
      </c>
      <c r="E1062" s="13">
        <f>CHAIN_RAW!E1062</f>
        <v/>
      </c>
      <c r="F1062" s="13">
        <f>IFERROR((E1062-D1062)/D1062,"")</f>
        <v/>
      </c>
      <c r="G1062" s="13">
        <f>IFERROR((CHAIN_RAW!K1062+CHAIN_RAW!L1062)/2,"")</f>
        <v/>
      </c>
      <c r="H1062" s="13">
        <f>IFERROR((CHAIN_RAW!R1062+CHAIN_RAW!S1062)/2,"")</f>
        <v/>
      </c>
      <c r="I1062" s="13">
        <f>IFERROR((CHAIN_RAW!L1062-CHAIN_RAW!K1062)/MAX(1E-9, G1062),"")</f>
        <v/>
      </c>
      <c r="J1062" s="13">
        <f>IFERROR((CHAIN_RAW!S1062-CHAIN_RAW!R1062)/MAX(1E-9, H1062),"")</f>
        <v/>
      </c>
      <c r="K1062" s="13">
        <f>CHAIN_RAW!G1062</f>
        <v/>
      </c>
      <c r="L1062" s="13">
        <f>CHAIN_RAW!N1062</f>
        <v/>
      </c>
      <c r="M1062" s="13">
        <f>IFERROR(L1062-K1062,"")</f>
        <v/>
      </c>
      <c r="N1062" s="13">
        <f>CHAIN_RAW!H1062</f>
        <v/>
      </c>
      <c r="O1062" s="13">
        <f>CHAIN_RAW!O1062</f>
        <v/>
      </c>
      <c r="P1062" s="13">
        <f>IFERROR(O1062/N1062,"")</f>
        <v/>
      </c>
      <c r="Q1062" s="13">
        <f>CHAIN_RAW!I1062</f>
        <v/>
      </c>
      <c r="R1062" s="13">
        <f>CHAIN_RAW!P1062</f>
        <v/>
      </c>
      <c r="S1062" s="13">
        <f>IFERROR(R1062/Q1062,"")</f>
        <v/>
      </c>
      <c r="T1062" s="13">
        <f>IFERROR((ABS(N1062-O1062)/MAX(1,(N1062+O1062)))*EXP(-ABS(E1062-CONTROL!E5)/MAX(1,CONTROL!B8)),"")</f>
        <v/>
      </c>
      <c r="U1062" s="13">
        <f>IFERROR(IF(O1062&gt;N1062,"SUPPORT (PE OI)","RESIST (CE OI)"),"")</f>
        <v/>
      </c>
      <c r="V1062" s="13">
        <f>IFERROR(IF(Q1062&gt;0,IF(R1062&gt;0,"BOTH_ADD","CE_ADD_PE_REDUCE"),IF(R1062&gt;0,"CE_REDUCE_PE_ADD","BOTH_REDUCE")),"")</f>
        <v/>
      </c>
      <c r="W1062" s="13">
        <f>IFERROR( (P1062-1)*0.5 + (M1062)*0.1 - (I1062+J1062)*0.05 + T1062*0.4 ,"")</f>
        <v/>
      </c>
      <c r="X1062" s="13">
        <f>IFERROR(IF(ABS(F1062)&lt;0.01,"ATM/NEAR",""),"")</f>
        <v/>
      </c>
    </row>
    <row r="1063">
      <c r="A1063" s="13">
        <f>CHAIN_RAW!A1063</f>
        <v/>
      </c>
      <c r="B1063" s="14">
        <f>CHAIN_RAW!B1063</f>
        <v/>
      </c>
      <c r="C1063" s="13">
        <f>CHAIN_RAW!C1063</f>
        <v/>
      </c>
      <c r="D1063" s="13">
        <f>CHAIN_RAW!D1063</f>
        <v/>
      </c>
      <c r="E1063" s="13">
        <f>CHAIN_RAW!E1063</f>
        <v/>
      </c>
      <c r="F1063" s="13">
        <f>IFERROR((E1063-D1063)/D1063,"")</f>
        <v/>
      </c>
      <c r="G1063" s="13">
        <f>IFERROR((CHAIN_RAW!K1063+CHAIN_RAW!L1063)/2,"")</f>
        <v/>
      </c>
      <c r="H1063" s="13">
        <f>IFERROR((CHAIN_RAW!R1063+CHAIN_RAW!S1063)/2,"")</f>
        <v/>
      </c>
      <c r="I1063" s="13">
        <f>IFERROR((CHAIN_RAW!L1063-CHAIN_RAW!K1063)/MAX(1E-9, G1063),"")</f>
        <v/>
      </c>
      <c r="J1063" s="13">
        <f>IFERROR((CHAIN_RAW!S1063-CHAIN_RAW!R1063)/MAX(1E-9, H1063),"")</f>
        <v/>
      </c>
      <c r="K1063" s="13">
        <f>CHAIN_RAW!G1063</f>
        <v/>
      </c>
      <c r="L1063" s="13">
        <f>CHAIN_RAW!N1063</f>
        <v/>
      </c>
      <c r="M1063" s="13">
        <f>IFERROR(L1063-K1063,"")</f>
        <v/>
      </c>
      <c r="N1063" s="13">
        <f>CHAIN_RAW!H1063</f>
        <v/>
      </c>
      <c r="O1063" s="13">
        <f>CHAIN_RAW!O1063</f>
        <v/>
      </c>
      <c r="P1063" s="13">
        <f>IFERROR(O1063/N1063,"")</f>
        <v/>
      </c>
      <c r="Q1063" s="13">
        <f>CHAIN_RAW!I1063</f>
        <v/>
      </c>
      <c r="R1063" s="13">
        <f>CHAIN_RAW!P1063</f>
        <v/>
      </c>
      <c r="S1063" s="13">
        <f>IFERROR(R1063/Q1063,"")</f>
        <v/>
      </c>
      <c r="T1063" s="13">
        <f>IFERROR((ABS(N1063-O1063)/MAX(1,(N1063+O1063)))*EXP(-ABS(E1063-CONTROL!E5)/MAX(1,CONTROL!B8)),"")</f>
        <v/>
      </c>
      <c r="U1063" s="13">
        <f>IFERROR(IF(O1063&gt;N1063,"SUPPORT (PE OI)","RESIST (CE OI)"),"")</f>
        <v/>
      </c>
      <c r="V1063" s="13">
        <f>IFERROR(IF(Q1063&gt;0,IF(R1063&gt;0,"BOTH_ADD","CE_ADD_PE_REDUCE"),IF(R1063&gt;0,"CE_REDUCE_PE_ADD","BOTH_REDUCE")),"")</f>
        <v/>
      </c>
      <c r="W1063" s="13">
        <f>IFERROR( (P1063-1)*0.5 + (M1063)*0.1 - (I1063+J1063)*0.05 + T1063*0.4 ,"")</f>
        <v/>
      </c>
      <c r="X1063" s="13">
        <f>IFERROR(IF(ABS(F1063)&lt;0.01,"ATM/NEAR",""),"")</f>
        <v/>
      </c>
    </row>
    <row r="1064">
      <c r="A1064" s="13">
        <f>CHAIN_RAW!A1064</f>
        <v/>
      </c>
      <c r="B1064" s="14">
        <f>CHAIN_RAW!B1064</f>
        <v/>
      </c>
      <c r="C1064" s="13">
        <f>CHAIN_RAW!C1064</f>
        <v/>
      </c>
      <c r="D1064" s="13">
        <f>CHAIN_RAW!D1064</f>
        <v/>
      </c>
      <c r="E1064" s="13">
        <f>CHAIN_RAW!E1064</f>
        <v/>
      </c>
      <c r="F1064" s="13">
        <f>IFERROR((E1064-D1064)/D1064,"")</f>
        <v/>
      </c>
      <c r="G1064" s="13">
        <f>IFERROR((CHAIN_RAW!K1064+CHAIN_RAW!L1064)/2,"")</f>
        <v/>
      </c>
      <c r="H1064" s="13">
        <f>IFERROR((CHAIN_RAW!R1064+CHAIN_RAW!S1064)/2,"")</f>
        <v/>
      </c>
      <c r="I1064" s="13">
        <f>IFERROR((CHAIN_RAW!L1064-CHAIN_RAW!K1064)/MAX(1E-9, G1064),"")</f>
        <v/>
      </c>
      <c r="J1064" s="13">
        <f>IFERROR((CHAIN_RAW!S1064-CHAIN_RAW!R1064)/MAX(1E-9, H1064),"")</f>
        <v/>
      </c>
      <c r="K1064" s="13">
        <f>CHAIN_RAW!G1064</f>
        <v/>
      </c>
      <c r="L1064" s="13">
        <f>CHAIN_RAW!N1064</f>
        <v/>
      </c>
      <c r="M1064" s="13">
        <f>IFERROR(L1064-K1064,"")</f>
        <v/>
      </c>
      <c r="N1064" s="13">
        <f>CHAIN_RAW!H1064</f>
        <v/>
      </c>
      <c r="O1064" s="13">
        <f>CHAIN_RAW!O1064</f>
        <v/>
      </c>
      <c r="P1064" s="13">
        <f>IFERROR(O1064/N1064,"")</f>
        <v/>
      </c>
      <c r="Q1064" s="13">
        <f>CHAIN_RAW!I1064</f>
        <v/>
      </c>
      <c r="R1064" s="13">
        <f>CHAIN_RAW!P1064</f>
        <v/>
      </c>
      <c r="S1064" s="13">
        <f>IFERROR(R1064/Q1064,"")</f>
        <v/>
      </c>
      <c r="T1064" s="13">
        <f>IFERROR((ABS(N1064-O1064)/MAX(1,(N1064+O1064)))*EXP(-ABS(E1064-CONTROL!E5)/MAX(1,CONTROL!B8)),"")</f>
        <v/>
      </c>
      <c r="U1064" s="13">
        <f>IFERROR(IF(O1064&gt;N1064,"SUPPORT (PE OI)","RESIST (CE OI)"),"")</f>
        <v/>
      </c>
      <c r="V1064" s="13">
        <f>IFERROR(IF(Q1064&gt;0,IF(R1064&gt;0,"BOTH_ADD","CE_ADD_PE_REDUCE"),IF(R1064&gt;0,"CE_REDUCE_PE_ADD","BOTH_REDUCE")),"")</f>
        <v/>
      </c>
      <c r="W1064" s="13">
        <f>IFERROR( (P1064-1)*0.5 + (M1064)*0.1 - (I1064+J1064)*0.05 + T1064*0.4 ,"")</f>
        <v/>
      </c>
      <c r="X1064" s="13">
        <f>IFERROR(IF(ABS(F1064)&lt;0.01,"ATM/NEAR",""),"")</f>
        <v/>
      </c>
    </row>
    <row r="1065">
      <c r="A1065" s="13">
        <f>CHAIN_RAW!A1065</f>
        <v/>
      </c>
      <c r="B1065" s="14">
        <f>CHAIN_RAW!B1065</f>
        <v/>
      </c>
      <c r="C1065" s="13">
        <f>CHAIN_RAW!C1065</f>
        <v/>
      </c>
      <c r="D1065" s="13">
        <f>CHAIN_RAW!D1065</f>
        <v/>
      </c>
      <c r="E1065" s="13">
        <f>CHAIN_RAW!E1065</f>
        <v/>
      </c>
      <c r="F1065" s="13">
        <f>IFERROR((E1065-D1065)/D1065,"")</f>
        <v/>
      </c>
      <c r="G1065" s="13">
        <f>IFERROR((CHAIN_RAW!K1065+CHAIN_RAW!L1065)/2,"")</f>
        <v/>
      </c>
      <c r="H1065" s="13">
        <f>IFERROR((CHAIN_RAW!R1065+CHAIN_RAW!S1065)/2,"")</f>
        <v/>
      </c>
      <c r="I1065" s="13">
        <f>IFERROR((CHAIN_RAW!L1065-CHAIN_RAW!K1065)/MAX(1E-9, G1065),"")</f>
        <v/>
      </c>
      <c r="J1065" s="13">
        <f>IFERROR((CHAIN_RAW!S1065-CHAIN_RAW!R1065)/MAX(1E-9, H1065),"")</f>
        <v/>
      </c>
      <c r="K1065" s="13">
        <f>CHAIN_RAW!G1065</f>
        <v/>
      </c>
      <c r="L1065" s="13">
        <f>CHAIN_RAW!N1065</f>
        <v/>
      </c>
      <c r="M1065" s="13">
        <f>IFERROR(L1065-K1065,"")</f>
        <v/>
      </c>
      <c r="N1065" s="13">
        <f>CHAIN_RAW!H1065</f>
        <v/>
      </c>
      <c r="O1065" s="13">
        <f>CHAIN_RAW!O1065</f>
        <v/>
      </c>
      <c r="P1065" s="13">
        <f>IFERROR(O1065/N1065,"")</f>
        <v/>
      </c>
      <c r="Q1065" s="13">
        <f>CHAIN_RAW!I1065</f>
        <v/>
      </c>
      <c r="R1065" s="13">
        <f>CHAIN_RAW!P1065</f>
        <v/>
      </c>
      <c r="S1065" s="13">
        <f>IFERROR(R1065/Q1065,"")</f>
        <v/>
      </c>
      <c r="T1065" s="13">
        <f>IFERROR((ABS(N1065-O1065)/MAX(1,(N1065+O1065)))*EXP(-ABS(E1065-CONTROL!E5)/MAX(1,CONTROL!B8)),"")</f>
        <v/>
      </c>
      <c r="U1065" s="13">
        <f>IFERROR(IF(O1065&gt;N1065,"SUPPORT (PE OI)","RESIST (CE OI)"),"")</f>
        <v/>
      </c>
      <c r="V1065" s="13">
        <f>IFERROR(IF(Q1065&gt;0,IF(R1065&gt;0,"BOTH_ADD","CE_ADD_PE_REDUCE"),IF(R1065&gt;0,"CE_REDUCE_PE_ADD","BOTH_REDUCE")),"")</f>
        <v/>
      </c>
      <c r="W1065" s="13">
        <f>IFERROR( (P1065-1)*0.5 + (M1065)*0.1 - (I1065+J1065)*0.05 + T1065*0.4 ,"")</f>
        <v/>
      </c>
      <c r="X1065" s="13">
        <f>IFERROR(IF(ABS(F1065)&lt;0.01,"ATM/NEAR",""),"")</f>
        <v/>
      </c>
    </row>
    <row r="1066">
      <c r="A1066" s="13">
        <f>CHAIN_RAW!A1066</f>
        <v/>
      </c>
      <c r="B1066" s="14">
        <f>CHAIN_RAW!B1066</f>
        <v/>
      </c>
      <c r="C1066" s="13">
        <f>CHAIN_RAW!C1066</f>
        <v/>
      </c>
      <c r="D1066" s="13">
        <f>CHAIN_RAW!D1066</f>
        <v/>
      </c>
      <c r="E1066" s="13">
        <f>CHAIN_RAW!E1066</f>
        <v/>
      </c>
      <c r="F1066" s="13">
        <f>IFERROR((E1066-D1066)/D1066,"")</f>
        <v/>
      </c>
      <c r="G1066" s="13">
        <f>IFERROR((CHAIN_RAW!K1066+CHAIN_RAW!L1066)/2,"")</f>
        <v/>
      </c>
      <c r="H1066" s="13">
        <f>IFERROR((CHAIN_RAW!R1066+CHAIN_RAW!S1066)/2,"")</f>
        <v/>
      </c>
      <c r="I1066" s="13">
        <f>IFERROR((CHAIN_RAW!L1066-CHAIN_RAW!K1066)/MAX(1E-9, G1066),"")</f>
        <v/>
      </c>
      <c r="J1066" s="13">
        <f>IFERROR((CHAIN_RAW!S1066-CHAIN_RAW!R1066)/MAX(1E-9, H1066),"")</f>
        <v/>
      </c>
      <c r="K1066" s="13">
        <f>CHAIN_RAW!G1066</f>
        <v/>
      </c>
      <c r="L1066" s="13">
        <f>CHAIN_RAW!N1066</f>
        <v/>
      </c>
      <c r="M1066" s="13">
        <f>IFERROR(L1066-K1066,"")</f>
        <v/>
      </c>
      <c r="N1066" s="13">
        <f>CHAIN_RAW!H1066</f>
        <v/>
      </c>
      <c r="O1066" s="13">
        <f>CHAIN_RAW!O1066</f>
        <v/>
      </c>
      <c r="P1066" s="13">
        <f>IFERROR(O1066/N1066,"")</f>
        <v/>
      </c>
      <c r="Q1066" s="13">
        <f>CHAIN_RAW!I1066</f>
        <v/>
      </c>
      <c r="R1066" s="13">
        <f>CHAIN_RAW!P1066</f>
        <v/>
      </c>
      <c r="S1066" s="13">
        <f>IFERROR(R1066/Q1066,"")</f>
        <v/>
      </c>
      <c r="T1066" s="13">
        <f>IFERROR((ABS(N1066-O1066)/MAX(1,(N1066+O1066)))*EXP(-ABS(E1066-CONTROL!E5)/MAX(1,CONTROL!B8)),"")</f>
        <v/>
      </c>
      <c r="U1066" s="13">
        <f>IFERROR(IF(O1066&gt;N1066,"SUPPORT (PE OI)","RESIST (CE OI)"),"")</f>
        <v/>
      </c>
      <c r="V1066" s="13">
        <f>IFERROR(IF(Q1066&gt;0,IF(R1066&gt;0,"BOTH_ADD","CE_ADD_PE_REDUCE"),IF(R1066&gt;0,"CE_REDUCE_PE_ADD","BOTH_REDUCE")),"")</f>
        <v/>
      </c>
      <c r="W1066" s="13">
        <f>IFERROR( (P1066-1)*0.5 + (M1066)*0.1 - (I1066+J1066)*0.05 + T1066*0.4 ,"")</f>
        <v/>
      </c>
      <c r="X1066" s="13">
        <f>IFERROR(IF(ABS(F1066)&lt;0.01,"ATM/NEAR",""),"")</f>
        <v/>
      </c>
    </row>
    <row r="1067">
      <c r="A1067" s="13">
        <f>CHAIN_RAW!A1067</f>
        <v/>
      </c>
      <c r="B1067" s="14">
        <f>CHAIN_RAW!B1067</f>
        <v/>
      </c>
      <c r="C1067" s="13">
        <f>CHAIN_RAW!C1067</f>
        <v/>
      </c>
      <c r="D1067" s="13">
        <f>CHAIN_RAW!D1067</f>
        <v/>
      </c>
      <c r="E1067" s="13">
        <f>CHAIN_RAW!E1067</f>
        <v/>
      </c>
      <c r="F1067" s="13">
        <f>IFERROR((E1067-D1067)/D1067,"")</f>
        <v/>
      </c>
      <c r="G1067" s="13">
        <f>IFERROR((CHAIN_RAW!K1067+CHAIN_RAW!L1067)/2,"")</f>
        <v/>
      </c>
      <c r="H1067" s="13">
        <f>IFERROR((CHAIN_RAW!R1067+CHAIN_RAW!S1067)/2,"")</f>
        <v/>
      </c>
      <c r="I1067" s="13">
        <f>IFERROR((CHAIN_RAW!L1067-CHAIN_RAW!K1067)/MAX(1E-9, G1067),"")</f>
        <v/>
      </c>
      <c r="J1067" s="13">
        <f>IFERROR((CHAIN_RAW!S1067-CHAIN_RAW!R1067)/MAX(1E-9, H1067),"")</f>
        <v/>
      </c>
      <c r="K1067" s="13">
        <f>CHAIN_RAW!G1067</f>
        <v/>
      </c>
      <c r="L1067" s="13">
        <f>CHAIN_RAW!N1067</f>
        <v/>
      </c>
      <c r="M1067" s="13">
        <f>IFERROR(L1067-K1067,"")</f>
        <v/>
      </c>
      <c r="N1067" s="13">
        <f>CHAIN_RAW!H1067</f>
        <v/>
      </c>
      <c r="O1067" s="13">
        <f>CHAIN_RAW!O1067</f>
        <v/>
      </c>
      <c r="P1067" s="13">
        <f>IFERROR(O1067/N1067,"")</f>
        <v/>
      </c>
      <c r="Q1067" s="13">
        <f>CHAIN_RAW!I1067</f>
        <v/>
      </c>
      <c r="R1067" s="13">
        <f>CHAIN_RAW!P1067</f>
        <v/>
      </c>
      <c r="S1067" s="13">
        <f>IFERROR(R1067/Q1067,"")</f>
        <v/>
      </c>
      <c r="T1067" s="13">
        <f>IFERROR((ABS(N1067-O1067)/MAX(1,(N1067+O1067)))*EXP(-ABS(E1067-CONTROL!E5)/MAX(1,CONTROL!B8)),"")</f>
        <v/>
      </c>
      <c r="U1067" s="13">
        <f>IFERROR(IF(O1067&gt;N1067,"SUPPORT (PE OI)","RESIST (CE OI)"),"")</f>
        <v/>
      </c>
      <c r="V1067" s="13">
        <f>IFERROR(IF(Q1067&gt;0,IF(R1067&gt;0,"BOTH_ADD","CE_ADD_PE_REDUCE"),IF(R1067&gt;0,"CE_REDUCE_PE_ADD","BOTH_REDUCE")),"")</f>
        <v/>
      </c>
      <c r="W1067" s="13">
        <f>IFERROR( (P1067-1)*0.5 + (M1067)*0.1 - (I1067+J1067)*0.05 + T1067*0.4 ,"")</f>
        <v/>
      </c>
      <c r="X1067" s="13">
        <f>IFERROR(IF(ABS(F1067)&lt;0.01,"ATM/NEAR",""),"")</f>
        <v/>
      </c>
    </row>
    <row r="1068">
      <c r="A1068" s="13">
        <f>CHAIN_RAW!A1068</f>
        <v/>
      </c>
      <c r="B1068" s="14">
        <f>CHAIN_RAW!B1068</f>
        <v/>
      </c>
      <c r="C1068" s="13">
        <f>CHAIN_RAW!C1068</f>
        <v/>
      </c>
      <c r="D1068" s="13">
        <f>CHAIN_RAW!D1068</f>
        <v/>
      </c>
      <c r="E1068" s="13">
        <f>CHAIN_RAW!E1068</f>
        <v/>
      </c>
      <c r="F1068" s="13">
        <f>IFERROR((E1068-D1068)/D1068,"")</f>
        <v/>
      </c>
      <c r="G1068" s="13">
        <f>IFERROR((CHAIN_RAW!K1068+CHAIN_RAW!L1068)/2,"")</f>
        <v/>
      </c>
      <c r="H1068" s="13">
        <f>IFERROR((CHAIN_RAW!R1068+CHAIN_RAW!S1068)/2,"")</f>
        <v/>
      </c>
      <c r="I1068" s="13">
        <f>IFERROR((CHAIN_RAW!L1068-CHAIN_RAW!K1068)/MAX(1E-9, G1068),"")</f>
        <v/>
      </c>
      <c r="J1068" s="13">
        <f>IFERROR((CHAIN_RAW!S1068-CHAIN_RAW!R1068)/MAX(1E-9, H1068),"")</f>
        <v/>
      </c>
      <c r="K1068" s="13">
        <f>CHAIN_RAW!G1068</f>
        <v/>
      </c>
      <c r="L1068" s="13">
        <f>CHAIN_RAW!N1068</f>
        <v/>
      </c>
      <c r="M1068" s="13">
        <f>IFERROR(L1068-K1068,"")</f>
        <v/>
      </c>
      <c r="N1068" s="13">
        <f>CHAIN_RAW!H1068</f>
        <v/>
      </c>
      <c r="O1068" s="13">
        <f>CHAIN_RAW!O1068</f>
        <v/>
      </c>
      <c r="P1068" s="13">
        <f>IFERROR(O1068/N1068,"")</f>
        <v/>
      </c>
      <c r="Q1068" s="13">
        <f>CHAIN_RAW!I1068</f>
        <v/>
      </c>
      <c r="R1068" s="13">
        <f>CHAIN_RAW!P1068</f>
        <v/>
      </c>
      <c r="S1068" s="13">
        <f>IFERROR(R1068/Q1068,"")</f>
        <v/>
      </c>
      <c r="T1068" s="13">
        <f>IFERROR((ABS(N1068-O1068)/MAX(1,(N1068+O1068)))*EXP(-ABS(E1068-CONTROL!E5)/MAX(1,CONTROL!B8)),"")</f>
        <v/>
      </c>
      <c r="U1068" s="13">
        <f>IFERROR(IF(O1068&gt;N1068,"SUPPORT (PE OI)","RESIST (CE OI)"),"")</f>
        <v/>
      </c>
      <c r="V1068" s="13">
        <f>IFERROR(IF(Q1068&gt;0,IF(R1068&gt;0,"BOTH_ADD","CE_ADD_PE_REDUCE"),IF(R1068&gt;0,"CE_REDUCE_PE_ADD","BOTH_REDUCE")),"")</f>
        <v/>
      </c>
      <c r="W1068" s="13">
        <f>IFERROR( (P1068-1)*0.5 + (M1068)*0.1 - (I1068+J1068)*0.05 + T1068*0.4 ,"")</f>
        <v/>
      </c>
      <c r="X1068" s="13">
        <f>IFERROR(IF(ABS(F1068)&lt;0.01,"ATM/NEAR",""),"")</f>
        <v/>
      </c>
    </row>
    <row r="1069">
      <c r="A1069" s="13">
        <f>CHAIN_RAW!A1069</f>
        <v/>
      </c>
      <c r="B1069" s="14">
        <f>CHAIN_RAW!B1069</f>
        <v/>
      </c>
      <c r="C1069" s="13">
        <f>CHAIN_RAW!C1069</f>
        <v/>
      </c>
      <c r="D1069" s="13">
        <f>CHAIN_RAW!D1069</f>
        <v/>
      </c>
      <c r="E1069" s="13">
        <f>CHAIN_RAW!E1069</f>
        <v/>
      </c>
      <c r="F1069" s="13">
        <f>IFERROR((E1069-D1069)/D1069,"")</f>
        <v/>
      </c>
      <c r="G1069" s="13">
        <f>IFERROR((CHAIN_RAW!K1069+CHAIN_RAW!L1069)/2,"")</f>
        <v/>
      </c>
      <c r="H1069" s="13">
        <f>IFERROR((CHAIN_RAW!R1069+CHAIN_RAW!S1069)/2,"")</f>
        <v/>
      </c>
      <c r="I1069" s="13">
        <f>IFERROR((CHAIN_RAW!L1069-CHAIN_RAW!K1069)/MAX(1E-9, G1069),"")</f>
        <v/>
      </c>
      <c r="J1069" s="13">
        <f>IFERROR((CHAIN_RAW!S1069-CHAIN_RAW!R1069)/MAX(1E-9, H1069),"")</f>
        <v/>
      </c>
      <c r="K1069" s="13">
        <f>CHAIN_RAW!G1069</f>
        <v/>
      </c>
      <c r="L1069" s="13">
        <f>CHAIN_RAW!N1069</f>
        <v/>
      </c>
      <c r="M1069" s="13">
        <f>IFERROR(L1069-K1069,"")</f>
        <v/>
      </c>
      <c r="N1069" s="13">
        <f>CHAIN_RAW!H1069</f>
        <v/>
      </c>
      <c r="O1069" s="13">
        <f>CHAIN_RAW!O1069</f>
        <v/>
      </c>
      <c r="P1069" s="13">
        <f>IFERROR(O1069/N1069,"")</f>
        <v/>
      </c>
      <c r="Q1069" s="13">
        <f>CHAIN_RAW!I1069</f>
        <v/>
      </c>
      <c r="R1069" s="13">
        <f>CHAIN_RAW!P1069</f>
        <v/>
      </c>
      <c r="S1069" s="13">
        <f>IFERROR(R1069/Q1069,"")</f>
        <v/>
      </c>
      <c r="T1069" s="13">
        <f>IFERROR((ABS(N1069-O1069)/MAX(1,(N1069+O1069)))*EXP(-ABS(E1069-CONTROL!E5)/MAX(1,CONTROL!B8)),"")</f>
        <v/>
      </c>
      <c r="U1069" s="13">
        <f>IFERROR(IF(O1069&gt;N1069,"SUPPORT (PE OI)","RESIST (CE OI)"),"")</f>
        <v/>
      </c>
      <c r="V1069" s="13">
        <f>IFERROR(IF(Q1069&gt;0,IF(R1069&gt;0,"BOTH_ADD","CE_ADD_PE_REDUCE"),IF(R1069&gt;0,"CE_REDUCE_PE_ADD","BOTH_REDUCE")),"")</f>
        <v/>
      </c>
      <c r="W1069" s="13">
        <f>IFERROR( (P1069-1)*0.5 + (M1069)*0.1 - (I1069+J1069)*0.05 + T1069*0.4 ,"")</f>
        <v/>
      </c>
      <c r="X1069" s="13">
        <f>IFERROR(IF(ABS(F1069)&lt;0.01,"ATM/NEAR",""),"")</f>
        <v/>
      </c>
    </row>
    <row r="1070">
      <c r="A1070" s="13">
        <f>CHAIN_RAW!A1070</f>
        <v/>
      </c>
      <c r="B1070" s="14">
        <f>CHAIN_RAW!B1070</f>
        <v/>
      </c>
      <c r="C1070" s="13">
        <f>CHAIN_RAW!C1070</f>
        <v/>
      </c>
      <c r="D1070" s="13">
        <f>CHAIN_RAW!D1070</f>
        <v/>
      </c>
      <c r="E1070" s="13">
        <f>CHAIN_RAW!E1070</f>
        <v/>
      </c>
      <c r="F1070" s="13">
        <f>IFERROR((E1070-D1070)/D1070,"")</f>
        <v/>
      </c>
      <c r="G1070" s="13">
        <f>IFERROR((CHAIN_RAW!K1070+CHAIN_RAW!L1070)/2,"")</f>
        <v/>
      </c>
      <c r="H1070" s="13">
        <f>IFERROR((CHAIN_RAW!R1070+CHAIN_RAW!S1070)/2,"")</f>
        <v/>
      </c>
      <c r="I1070" s="13">
        <f>IFERROR((CHAIN_RAW!L1070-CHAIN_RAW!K1070)/MAX(1E-9, G1070),"")</f>
        <v/>
      </c>
      <c r="J1070" s="13">
        <f>IFERROR((CHAIN_RAW!S1070-CHAIN_RAW!R1070)/MAX(1E-9, H1070),"")</f>
        <v/>
      </c>
      <c r="K1070" s="13">
        <f>CHAIN_RAW!G1070</f>
        <v/>
      </c>
      <c r="L1070" s="13">
        <f>CHAIN_RAW!N1070</f>
        <v/>
      </c>
      <c r="M1070" s="13">
        <f>IFERROR(L1070-K1070,"")</f>
        <v/>
      </c>
      <c r="N1070" s="13">
        <f>CHAIN_RAW!H1070</f>
        <v/>
      </c>
      <c r="O1070" s="13">
        <f>CHAIN_RAW!O1070</f>
        <v/>
      </c>
      <c r="P1070" s="13">
        <f>IFERROR(O1070/N1070,"")</f>
        <v/>
      </c>
      <c r="Q1070" s="13">
        <f>CHAIN_RAW!I1070</f>
        <v/>
      </c>
      <c r="R1070" s="13">
        <f>CHAIN_RAW!P1070</f>
        <v/>
      </c>
      <c r="S1070" s="13">
        <f>IFERROR(R1070/Q1070,"")</f>
        <v/>
      </c>
      <c r="T1070" s="13">
        <f>IFERROR((ABS(N1070-O1070)/MAX(1,(N1070+O1070)))*EXP(-ABS(E1070-CONTROL!E5)/MAX(1,CONTROL!B8)),"")</f>
        <v/>
      </c>
      <c r="U1070" s="13">
        <f>IFERROR(IF(O1070&gt;N1070,"SUPPORT (PE OI)","RESIST (CE OI)"),"")</f>
        <v/>
      </c>
      <c r="V1070" s="13">
        <f>IFERROR(IF(Q1070&gt;0,IF(R1070&gt;0,"BOTH_ADD","CE_ADD_PE_REDUCE"),IF(R1070&gt;0,"CE_REDUCE_PE_ADD","BOTH_REDUCE")),"")</f>
        <v/>
      </c>
      <c r="W1070" s="13">
        <f>IFERROR( (P1070-1)*0.5 + (M1070)*0.1 - (I1070+J1070)*0.05 + T1070*0.4 ,"")</f>
        <v/>
      </c>
      <c r="X1070" s="13">
        <f>IFERROR(IF(ABS(F1070)&lt;0.01,"ATM/NEAR",""),"")</f>
        <v/>
      </c>
    </row>
    <row r="1071">
      <c r="A1071" s="13">
        <f>CHAIN_RAW!A1071</f>
        <v/>
      </c>
      <c r="B1071" s="14">
        <f>CHAIN_RAW!B1071</f>
        <v/>
      </c>
      <c r="C1071" s="13">
        <f>CHAIN_RAW!C1071</f>
        <v/>
      </c>
      <c r="D1071" s="13">
        <f>CHAIN_RAW!D1071</f>
        <v/>
      </c>
      <c r="E1071" s="13">
        <f>CHAIN_RAW!E1071</f>
        <v/>
      </c>
      <c r="F1071" s="13">
        <f>IFERROR((E1071-D1071)/D1071,"")</f>
        <v/>
      </c>
      <c r="G1071" s="13">
        <f>IFERROR((CHAIN_RAW!K1071+CHAIN_RAW!L1071)/2,"")</f>
        <v/>
      </c>
      <c r="H1071" s="13">
        <f>IFERROR((CHAIN_RAW!R1071+CHAIN_RAW!S1071)/2,"")</f>
        <v/>
      </c>
      <c r="I1071" s="13">
        <f>IFERROR((CHAIN_RAW!L1071-CHAIN_RAW!K1071)/MAX(1E-9, G1071),"")</f>
        <v/>
      </c>
      <c r="J1071" s="13">
        <f>IFERROR((CHAIN_RAW!S1071-CHAIN_RAW!R1071)/MAX(1E-9, H1071),"")</f>
        <v/>
      </c>
      <c r="K1071" s="13">
        <f>CHAIN_RAW!G1071</f>
        <v/>
      </c>
      <c r="L1071" s="13">
        <f>CHAIN_RAW!N1071</f>
        <v/>
      </c>
      <c r="M1071" s="13">
        <f>IFERROR(L1071-K1071,"")</f>
        <v/>
      </c>
      <c r="N1071" s="13">
        <f>CHAIN_RAW!H1071</f>
        <v/>
      </c>
      <c r="O1071" s="13">
        <f>CHAIN_RAW!O1071</f>
        <v/>
      </c>
      <c r="P1071" s="13">
        <f>IFERROR(O1071/N1071,"")</f>
        <v/>
      </c>
      <c r="Q1071" s="13">
        <f>CHAIN_RAW!I1071</f>
        <v/>
      </c>
      <c r="R1071" s="13">
        <f>CHAIN_RAW!P1071</f>
        <v/>
      </c>
      <c r="S1071" s="13">
        <f>IFERROR(R1071/Q1071,"")</f>
        <v/>
      </c>
      <c r="T1071" s="13">
        <f>IFERROR((ABS(N1071-O1071)/MAX(1,(N1071+O1071)))*EXP(-ABS(E1071-CONTROL!E5)/MAX(1,CONTROL!B8)),"")</f>
        <v/>
      </c>
      <c r="U1071" s="13">
        <f>IFERROR(IF(O1071&gt;N1071,"SUPPORT (PE OI)","RESIST (CE OI)"),"")</f>
        <v/>
      </c>
      <c r="V1071" s="13">
        <f>IFERROR(IF(Q1071&gt;0,IF(R1071&gt;0,"BOTH_ADD","CE_ADD_PE_REDUCE"),IF(R1071&gt;0,"CE_REDUCE_PE_ADD","BOTH_REDUCE")),"")</f>
        <v/>
      </c>
      <c r="W1071" s="13">
        <f>IFERROR( (P1071-1)*0.5 + (M1071)*0.1 - (I1071+J1071)*0.05 + T1071*0.4 ,"")</f>
        <v/>
      </c>
      <c r="X1071" s="13">
        <f>IFERROR(IF(ABS(F1071)&lt;0.01,"ATM/NEAR",""),"")</f>
        <v/>
      </c>
    </row>
    <row r="1072">
      <c r="A1072" s="13">
        <f>CHAIN_RAW!A1072</f>
        <v/>
      </c>
      <c r="B1072" s="14">
        <f>CHAIN_RAW!B1072</f>
        <v/>
      </c>
      <c r="C1072" s="13">
        <f>CHAIN_RAW!C1072</f>
        <v/>
      </c>
      <c r="D1072" s="13">
        <f>CHAIN_RAW!D1072</f>
        <v/>
      </c>
      <c r="E1072" s="13">
        <f>CHAIN_RAW!E1072</f>
        <v/>
      </c>
      <c r="F1072" s="13">
        <f>IFERROR((E1072-D1072)/D1072,"")</f>
        <v/>
      </c>
      <c r="G1072" s="13">
        <f>IFERROR((CHAIN_RAW!K1072+CHAIN_RAW!L1072)/2,"")</f>
        <v/>
      </c>
      <c r="H1072" s="13">
        <f>IFERROR((CHAIN_RAW!R1072+CHAIN_RAW!S1072)/2,"")</f>
        <v/>
      </c>
      <c r="I1072" s="13">
        <f>IFERROR((CHAIN_RAW!L1072-CHAIN_RAW!K1072)/MAX(1E-9, G1072),"")</f>
        <v/>
      </c>
      <c r="J1072" s="13">
        <f>IFERROR((CHAIN_RAW!S1072-CHAIN_RAW!R1072)/MAX(1E-9, H1072),"")</f>
        <v/>
      </c>
      <c r="K1072" s="13">
        <f>CHAIN_RAW!G1072</f>
        <v/>
      </c>
      <c r="L1072" s="13">
        <f>CHAIN_RAW!N1072</f>
        <v/>
      </c>
      <c r="M1072" s="13">
        <f>IFERROR(L1072-K1072,"")</f>
        <v/>
      </c>
      <c r="N1072" s="13">
        <f>CHAIN_RAW!H1072</f>
        <v/>
      </c>
      <c r="O1072" s="13">
        <f>CHAIN_RAW!O1072</f>
        <v/>
      </c>
      <c r="P1072" s="13">
        <f>IFERROR(O1072/N1072,"")</f>
        <v/>
      </c>
      <c r="Q1072" s="13">
        <f>CHAIN_RAW!I1072</f>
        <v/>
      </c>
      <c r="R1072" s="13">
        <f>CHAIN_RAW!P1072</f>
        <v/>
      </c>
      <c r="S1072" s="13">
        <f>IFERROR(R1072/Q1072,"")</f>
        <v/>
      </c>
      <c r="T1072" s="13">
        <f>IFERROR((ABS(N1072-O1072)/MAX(1,(N1072+O1072)))*EXP(-ABS(E1072-CONTROL!E5)/MAX(1,CONTROL!B8)),"")</f>
        <v/>
      </c>
      <c r="U1072" s="13">
        <f>IFERROR(IF(O1072&gt;N1072,"SUPPORT (PE OI)","RESIST (CE OI)"),"")</f>
        <v/>
      </c>
      <c r="V1072" s="13">
        <f>IFERROR(IF(Q1072&gt;0,IF(R1072&gt;0,"BOTH_ADD","CE_ADD_PE_REDUCE"),IF(R1072&gt;0,"CE_REDUCE_PE_ADD","BOTH_REDUCE")),"")</f>
        <v/>
      </c>
      <c r="W1072" s="13">
        <f>IFERROR( (P1072-1)*0.5 + (M1072)*0.1 - (I1072+J1072)*0.05 + T1072*0.4 ,"")</f>
        <v/>
      </c>
      <c r="X1072" s="13">
        <f>IFERROR(IF(ABS(F1072)&lt;0.01,"ATM/NEAR",""),"")</f>
        <v/>
      </c>
    </row>
    <row r="1073">
      <c r="A1073" s="13">
        <f>CHAIN_RAW!A1073</f>
        <v/>
      </c>
      <c r="B1073" s="14">
        <f>CHAIN_RAW!B1073</f>
        <v/>
      </c>
      <c r="C1073" s="13">
        <f>CHAIN_RAW!C1073</f>
        <v/>
      </c>
      <c r="D1073" s="13">
        <f>CHAIN_RAW!D1073</f>
        <v/>
      </c>
      <c r="E1073" s="13">
        <f>CHAIN_RAW!E1073</f>
        <v/>
      </c>
      <c r="F1073" s="13">
        <f>IFERROR((E1073-D1073)/D1073,"")</f>
        <v/>
      </c>
      <c r="G1073" s="13">
        <f>IFERROR((CHAIN_RAW!K1073+CHAIN_RAW!L1073)/2,"")</f>
        <v/>
      </c>
      <c r="H1073" s="13">
        <f>IFERROR((CHAIN_RAW!R1073+CHAIN_RAW!S1073)/2,"")</f>
        <v/>
      </c>
      <c r="I1073" s="13">
        <f>IFERROR((CHAIN_RAW!L1073-CHAIN_RAW!K1073)/MAX(1E-9, G1073),"")</f>
        <v/>
      </c>
      <c r="J1073" s="13">
        <f>IFERROR((CHAIN_RAW!S1073-CHAIN_RAW!R1073)/MAX(1E-9, H1073),"")</f>
        <v/>
      </c>
      <c r="K1073" s="13">
        <f>CHAIN_RAW!G1073</f>
        <v/>
      </c>
      <c r="L1073" s="13">
        <f>CHAIN_RAW!N1073</f>
        <v/>
      </c>
      <c r="M1073" s="13">
        <f>IFERROR(L1073-K1073,"")</f>
        <v/>
      </c>
      <c r="N1073" s="13">
        <f>CHAIN_RAW!H1073</f>
        <v/>
      </c>
      <c r="O1073" s="13">
        <f>CHAIN_RAW!O1073</f>
        <v/>
      </c>
      <c r="P1073" s="13">
        <f>IFERROR(O1073/N1073,"")</f>
        <v/>
      </c>
      <c r="Q1073" s="13">
        <f>CHAIN_RAW!I1073</f>
        <v/>
      </c>
      <c r="R1073" s="13">
        <f>CHAIN_RAW!P1073</f>
        <v/>
      </c>
      <c r="S1073" s="13">
        <f>IFERROR(R1073/Q1073,"")</f>
        <v/>
      </c>
      <c r="T1073" s="13">
        <f>IFERROR((ABS(N1073-O1073)/MAX(1,(N1073+O1073)))*EXP(-ABS(E1073-CONTROL!E5)/MAX(1,CONTROL!B8)),"")</f>
        <v/>
      </c>
      <c r="U1073" s="13">
        <f>IFERROR(IF(O1073&gt;N1073,"SUPPORT (PE OI)","RESIST (CE OI)"),"")</f>
        <v/>
      </c>
      <c r="V1073" s="13">
        <f>IFERROR(IF(Q1073&gt;0,IF(R1073&gt;0,"BOTH_ADD","CE_ADD_PE_REDUCE"),IF(R1073&gt;0,"CE_REDUCE_PE_ADD","BOTH_REDUCE")),"")</f>
        <v/>
      </c>
      <c r="W1073" s="13">
        <f>IFERROR( (P1073-1)*0.5 + (M1073)*0.1 - (I1073+J1073)*0.05 + T1073*0.4 ,"")</f>
        <v/>
      </c>
      <c r="X1073" s="13">
        <f>IFERROR(IF(ABS(F1073)&lt;0.01,"ATM/NEAR",""),"")</f>
        <v/>
      </c>
    </row>
    <row r="1074">
      <c r="A1074" s="13">
        <f>CHAIN_RAW!A1074</f>
        <v/>
      </c>
      <c r="B1074" s="14">
        <f>CHAIN_RAW!B1074</f>
        <v/>
      </c>
      <c r="C1074" s="13">
        <f>CHAIN_RAW!C1074</f>
        <v/>
      </c>
      <c r="D1074" s="13">
        <f>CHAIN_RAW!D1074</f>
        <v/>
      </c>
      <c r="E1074" s="13">
        <f>CHAIN_RAW!E1074</f>
        <v/>
      </c>
      <c r="F1074" s="13">
        <f>IFERROR((E1074-D1074)/D1074,"")</f>
        <v/>
      </c>
      <c r="G1074" s="13">
        <f>IFERROR((CHAIN_RAW!K1074+CHAIN_RAW!L1074)/2,"")</f>
        <v/>
      </c>
      <c r="H1074" s="13">
        <f>IFERROR((CHAIN_RAW!R1074+CHAIN_RAW!S1074)/2,"")</f>
        <v/>
      </c>
      <c r="I1074" s="13">
        <f>IFERROR((CHAIN_RAW!L1074-CHAIN_RAW!K1074)/MAX(1E-9, G1074),"")</f>
        <v/>
      </c>
      <c r="J1074" s="13">
        <f>IFERROR((CHAIN_RAW!S1074-CHAIN_RAW!R1074)/MAX(1E-9, H1074),"")</f>
        <v/>
      </c>
      <c r="K1074" s="13">
        <f>CHAIN_RAW!G1074</f>
        <v/>
      </c>
      <c r="L1074" s="13">
        <f>CHAIN_RAW!N1074</f>
        <v/>
      </c>
      <c r="M1074" s="13">
        <f>IFERROR(L1074-K1074,"")</f>
        <v/>
      </c>
      <c r="N1074" s="13">
        <f>CHAIN_RAW!H1074</f>
        <v/>
      </c>
      <c r="O1074" s="13">
        <f>CHAIN_RAW!O1074</f>
        <v/>
      </c>
      <c r="P1074" s="13">
        <f>IFERROR(O1074/N1074,"")</f>
        <v/>
      </c>
      <c r="Q1074" s="13">
        <f>CHAIN_RAW!I1074</f>
        <v/>
      </c>
      <c r="R1074" s="13">
        <f>CHAIN_RAW!P1074</f>
        <v/>
      </c>
      <c r="S1074" s="13">
        <f>IFERROR(R1074/Q1074,"")</f>
        <v/>
      </c>
      <c r="T1074" s="13">
        <f>IFERROR((ABS(N1074-O1074)/MAX(1,(N1074+O1074)))*EXP(-ABS(E1074-CONTROL!E5)/MAX(1,CONTROL!B8)),"")</f>
        <v/>
      </c>
      <c r="U1074" s="13">
        <f>IFERROR(IF(O1074&gt;N1074,"SUPPORT (PE OI)","RESIST (CE OI)"),"")</f>
        <v/>
      </c>
      <c r="V1074" s="13">
        <f>IFERROR(IF(Q1074&gt;0,IF(R1074&gt;0,"BOTH_ADD","CE_ADD_PE_REDUCE"),IF(R1074&gt;0,"CE_REDUCE_PE_ADD","BOTH_REDUCE")),"")</f>
        <v/>
      </c>
      <c r="W1074" s="13">
        <f>IFERROR( (P1074-1)*0.5 + (M1074)*0.1 - (I1074+J1074)*0.05 + T1074*0.4 ,"")</f>
        <v/>
      </c>
      <c r="X1074" s="13">
        <f>IFERROR(IF(ABS(F1074)&lt;0.01,"ATM/NEAR",""),"")</f>
        <v/>
      </c>
    </row>
    <row r="1075">
      <c r="A1075" s="13">
        <f>CHAIN_RAW!A1075</f>
        <v/>
      </c>
      <c r="B1075" s="14">
        <f>CHAIN_RAW!B1075</f>
        <v/>
      </c>
      <c r="C1075" s="13">
        <f>CHAIN_RAW!C1075</f>
        <v/>
      </c>
      <c r="D1075" s="13">
        <f>CHAIN_RAW!D1075</f>
        <v/>
      </c>
      <c r="E1075" s="13">
        <f>CHAIN_RAW!E1075</f>
        <v/>
      </c>
      <c r="F1075" s="13">
        <f>IFERROR((E1075-D1075)/D1075,"")</f>
        <v/>
      </c>
      <c r="G1075" s="13">
        <f>IFERROR((CHAIN_RAW!K1075+CHAIN_RAW!L1075)/2,"")</f>
        <v/>
      </c>
      <c r="H1075" s="13">
        <f>IFERROR((CHAIN_RAW!R1075+CHAIN_RAW!S1075)/2,"")</f>
        <v/>
      </c>
      <c r="I1075" s="13">
        <f>IFERROR((CHAIN_RAW!L1075-CHAIN_RAW!K1075)/MAX(1E-9, G1075),"")</f>
        <v/>
      </c>
      <c r="J1075" s="13">
        <f>IFERROR((CHAIN_RAW!S1075-CHAIN_RAW!R1075)/MAX(1E-9, H1075),"")</f>
        <v/>
      </c>
      <c r="K1075" s="13">
        <f>CHAIN_RAW!G1075</f>
        <v/>
      </c>
      <c r="L1075" s="13">
        <f>CHAIN_RAW!N1075</f>
        <v/>
      </c>
      <c r="M1075" s="13">
        <f>IFERROR(L1075-K1075,"")</f>
        <v/>
      </c>
      <c r="N1075" s="13">
        <f>CHAIN_RAW!H1075</f>
        <v/>
      </c>
      <c r="O1075" s="13">
        <f>CHAIN_RAW!O1075</f>
        <v/>
      </c>
      <c r="P1075" s="13">
        <f>IFERROR(O1075/N1075,"")</f>
        <v/>
      </c>
      <c r="Q1075" s="13">
        <f>CHAIN_RAW!I1075</f>
        <v/>
      </c>
      <c r="R1075" s="13">
        <f>CHAIN_RAW!P1075</f>
        <v/>
      </c>
      <c r="S1075" s="13">
        <f>IFERROR(R1075/Q1075,"")</f>
        <v/>
      </c>
      <c r="T1075" s="13">
        <f>IFERROR((ABS(N1075-O1075)/MAX(1,(N1075+O1075)))*EXP(-ABS(E1075-CONTROL!E5)/MAX(1,CONTROL!B8)),"")</f>
        <v/>
      </c>
      <c r="U1075" s="13">
        <f>IFERROR(IF(O1075&gt;N1075,"SUPPORT (PE OI)","RESIST (CE OI)"),"")</f>
        <v/>
      </c>
      <c r="V1075" s="13">
        <f>IFERROR(IF(Q1075&gt;0,IF(R1075&gt;0,"BOTH_ADD","CE_ADD_PE_REDUCE"),IF(R1075&gt;0,"CE_REDUCE_PE_ADD","BOTH_REDUCE")),"")</f>
        <v/>
      </c>
      <c r="W1075" s="13">
        <f>IFERROR( (P1075-1)*0.5 + (M1075)*0.1 - (I1075+J1075)*0.05 + T1075*0.4 ,"")</f>
        <v/>
      </c>
      <c r="X1075" s="13">
        <f>IFERROR(IF(ABS(F1075)&lt;0.01,"ATM/NEAR",""),"")</f>
        <v/>
      </c>
    </row>
    <row r="1076">
      <c r="A1076" s="13">
        <f>CHAIN_RAW!A1076</f>
        <v/>
      </c>
      <c r="B1076" s="14">
        <f>CHAIN_RAW!B1076</f>
        <v/>
      </c>
      <c r="C1076" s="13">
        <f>CHAIN_RAW!C1076</f>
        <v/>
      </c>
      <c r="D1076" s="13">
        <f>CHAIN_RAW!D1076</f>
        <v/>
      </c>
      <c r="E1076" s="13">
        <f>CHAIN_RAW!E1076</f>
        <v/>
      </c>
      <c r="F1076" s="13">
        <f>IFERROR((E1076-D1076)/D1076,"")</f>
        <v/>
      </c>
      <c r="G1076" s="13">
        <f>IFERROR((CHAIN_RAW!K1076+CHAIN_RAW!L1076)/2,"")</f>
        <v/>
      </c>
      <c r="H1076" s="13">
        <f>IFERROR((CHAIN_RAW!R1076+CHAIN_RAW!S1076)/2,"")</f>
        <v/>
      </c>
      <c r="I1076" s="13">
        <f>IFERROR((CHAIN_RAW!L1076-CHAIN_RAW!K1076)/MAX(1E-9, G1076),"")</f>
        <v/>
      </c>
      <c r="J1076" s="13">
        <f>IFERROR((CHAIN_RAW!S1076-CHAIN_RAW!R1076)/MAX(1E-9, H1076),"")</f>
        <v/>
      </c>
      <c r="K1076" s="13">
        <f>CHAIN_RAW!G1076</f>
        <v/>
      </c>
      <c r="L1076" s="13">
        <f>CHAIN_RAW!N1076</f>
        <v/>
      </c>
      <c r="M1076" s="13">
        <f>IFERROR(L1076-K1076,"")</f>
        <v/>
      </c>
      <c r="N1076" s="13">
        <f>CHAIN_RAW!H1076</f>
        <v/>
      </c>
      <c r="O1076" s="13">
        <f>CHAIN_RAW!O1076</f>
        <v/>
      </c>
      <c r="P1076" s="13">
        <f>IFERROR(O1076/N1076,"")</f>
        <v/>
      </c>
      <c r="Q1076" s="13">
        <f>CHAIN_RAW!I1076</f>
        <v/>
      </c>
      <c r="R1076" s="13">
        <f>CHAIN_RAW!P1076</f>
        <v/>
      </c>
      <c r="S1076" s="13">
        <f>IFERROR(R1076/Q1076,"")</f>
        <v/>
      </c>
      <c r="T1076" s="13">
        <f>IFERROR((ABS(N1076-O1076)/MAX(1,(N1076+O1076)))*EXP(-ABS(E1076-CONTROL!E5)/MAX(1,CONTROL!B8)),"")</f>
        <v/>
      </c>
      <c r="U1076" s="13">
        <f>IFERROR(IF(O1076&gt;N1076,"SUPPORT (PE OI)","RESIST (CE OI)"),"")</f>
        <v/>
      </c>
      <c r="V1076" s="13">
        <f>IFERROR(IF(Q1076&gt;0,IF(R1076&gt;0,"BOTH_ADD","CE_ADD_PE_REDUCE"),IF(R1076&gt;0,"CE_REDUCE_PE_ADD","BOTH_REDUCE")),"")</f>
        <v/>
      </c>
      <c r="W1076" s="13">
        <f>IFERROR( (P1076-1)*0.5 + (M1076)*0.1 - (I1076+J1076)*0.05 + T1076*0.4 ,"")</f>
        <v/>
      </c>
      <c r="X1076" s="13">
        <f>IFERROR(IF(ABS(F1076)&lt;0.01,"ATM/NEAR",""),"")</f>
        <v/>
      </c>
    </row>
    <row r="1077">
      <c r="A1077" s="13">
        <f>CHAIN_RAW!A1077</f>
        <v/>
      </c>
      <c r="B1077" s="14">
        <f>CHAIN_RAW!B1077</f>
        <v/>
      </c>
      <c r="C1077" s="13">
        <f>CHAIN_RAW!C1077</f>
        <v/>
      </c>
      <c r="D1077" s="13">
        <f>CHAIN_RAW!D1077</f>
        <v/>
      </c>
      <c r="E1077" s="13">
        <f>CHAIN_RAW!E1077</f>
        <v/>
      </c>
      <c r="F1077" s="13">
        <f>IFERROR((E1077-D1077)/D1077,"")</f>
        <v/>
      </c>
      <c r="G1077" s="13">
        <f>IFERROR((CHAIN_RAW!K1077+CHAIN_RAW!L1077)/2,"")</f>
        <v/>
      </c>
      <c r="H1077" s="13">
        <f>IFERROR((CHAIN_RAW!R1077+CHAIN_RAW!S1077)/2,"")</f>
        <v/>
      </c>
      <c r="I1077" s="13">
        <f>IFERROR((CHAIN_RAW!L1077-CHAIN_RAW!K1077)/MAX(1E-9, G1077),"")</f>
        <v/>
      </c>
      <c r="J1077" s="13">
        <f>IFERROR((CHAIN_RAW!S1077-CHAIN_RAW!R1077)/MAX(1E-9, H1077),"")</f>
        <v/>
      </c>
      <c r="K1077" s="13">
        <f>CHAIN_RAW!G1077</f>
        <v/>
      </c>
      <c r="L1077" s="13">
        <f>CHAIN_RAW!N1077</f>
        <v/>
      </c>
      <c r="M1077" s="13">
        <f>IFERROR(L1077-K1077,"")</f>
        <v/>
      </c>
      <c r="N1077" s="13">
        <f>CHAIN_RAW!H1077</f>
        <v/>
      </c>
      <c r="O1077" s="13">
        <f>CHAIN_RAW!O1077</f>
        <v/>
      </c>
      <c r="P1077" s="13">
        <f>IFERROR(O1077/N1077,"")</f>
        <v/>
      </c>
      <c r="Q1077" s="13">
        <f>CHAIN_RAW!I1077</f>
        <v/>
      </c>
      <c r="R1077" s="13">
        <f>CHAIN_RAW!P1077</f>
        <v/>
      </c>
      <c r="S1077" s="13">
        <f>IFERROR(R1077/Q1077,"")</f>
        <v/>
      </c>
      <c r="T1077" s="13">
        <f>IFERROR((ABS(N1077-O1077)/MAX(1,(N1077+O1077)))*EXP(-ABS(E1077-CONTROL!E5)/MAX(1,CONTROL!B8)),"")</f>
        <v/>
      </c>
      <c r="U1077" s="13">
        <f>IFERROR(IF(O1077&gt;N1077,"SUPPORT (PE OI)","RESIST (CE OI)"),"")</f>
        <v/>
      </c>
      <c r="V1077" s="13">
        <f>IFERROR(IF(Q1077&gt;0,IF(R1077&gt;0,"BOTH_ADD","CE_ADD_PE_REDUCE"),IF(R1077&gt;0,"CE_REDUCE_PE_ADD","BOTH_REDUCE")),"")</f>
        <v/>
      </c>
      <c r="W1077" s="13">
        <f>IFERROR( (P1077-1)*0.5 + (M1077)*0.1 - (I1077+J1077)*0.05 + T1077*0.4 ,"")</f>
        <v/>
      </c>
      <c r="X1077" s="13">
        <f>IFERROR(IF(ABS(F1077)&lt;0.01,"ATM/NEAR",""),"")</f>
        <v/>
      </c>
    </row>
    <row r="1078">
      <c r="A1078" s="13">
        <f>CHAIN_RAW!A1078</f>
        <v/>
      </c>
      <c r="B1078" s="14">
        <f>CHAIN_RAW!B1078</f>
        <v/>
      </c>
      <c r="C1078" s="13">
        <f>CHAIN_RAW!C1078</f>
        <v/>
      </c>
      <c r="D1078" s="13">
        <f>CHAIN_RAW!D1078</f>
        <v/>
      </c>
      <c r="E1078" s="13">
        <f>CHAIN_RAW!E1078</f>
        <v/>
      </c>
      <c r="F1078" s="13">
        <f>IFERROR((E1078-D1078)/D1078,"")</f>
        <v/>
      </c>
      <c r="G1078" s="13">
        <f>IFERROR((CHAIN_RAW!K1078+CHAIN_RAW!L1078)/2,"")</f>
        <v/>
      </c>
      <c r="H1078" s="13">
        <f>IFERROR((CHAIN_RAW!R1078+CHAIN_RAW!S1078)/2,"")</f>
        <v/>
      </c>
      <c r="I1078" s="13">
        <f>IFERROR((CHAIN_RAW!L1078-CHAIN_RAW!K1078)/MAX(1E-9, G1078),"")</f>
        <v/>
      </c>
      <c r="J1078" s="13">
        <f>IFERROR((CHAIN_RAW!S1078-CHAIN_RAW!R1078)/MAX(1E-9, H1078),"")</f>
        <v/>
      </c>
      <c r="K1078" s="13">
        <f>CHAIN_RAW!G1078</f>
        <v/>
      </c>
      <c r="L1078" s="13">
        <f>CHAIN_RAW!N1078</f>
        <v/>
      </c>
      <c r="M1078" s="13">
        <f>IFERROR(L1078-K1078,"")</f>
        <v/>
      </c>
      <c r="N1078" s="13">
        <f>CHAIN_RAW!H1078</f>
        <v/>
      </c>
      <c r="O1078" s="13">
        <f>CHAIN_RAW!O1078</f>
        <v/>
      </c>
      <c r="P1078" s="13">
        <f>IFERROR(O1078/N1078,"")</f>
        <v/>
      </c>
      <c r="Q1078" s="13">
        <f>CHAIN_RAW!I1078</f>
        <v/>
      </c>
      <c r="R1078" s="13">
        <f>CHAIN_RAW!P1078</f>
        <v/>
      </c>
      <c r="S1078" s="13">
        <f>IFERROR(R1078/Q1078,"")</f>
        <v/>
      </c>
      <c r="T1078" s="13">
        <f>IFERROR((ABS(N1078-O1078)/MAX(1,(N1078+O1078)))*EXP(-ABS(E1078-CONTROL!E5)/MAX(1,CONTROL!B8)),"")</f>
        <v/>
      </c>
      <c r="U1078" s="13">
        <f>IFERROR(IF(O1078&gt;N1078,"SUPPORT (PE OI)","RESIST (CE OI)"),"")</f>
        <v/>
      </c>
      <c r="V1078" s="13">
        <f>IFERROR(IF(Q1078&gt;0,IF(R1078&gt;0,"BOTH_ADD","CE_ADD_PE_REDUCE"),IF(R1078&gt;0,"CE_REDUCE_PE_ADD","BOTH_REDUCE")),"")</f>
        <v/>
      </c>
      <c r="W1078" s="13">
        <f>IFERROR( (P1078-1)*0.5 + (M1078)*0.1 - (I1078+J1078)*0.05 + T1078*0.4 ,"")</f>
        <v/>
      </c>
      <c r="X1078" s="13">
        <f>IFERROR(IF(ABS(F1078)&lt;0.01,"ATM/NEAR",""),"")</f>
        <v/>
      </c>
    </row>
    <row r="1079">
      <c r="A1079" s="13">
        <f>CHAIN_RAW!A1079</f>
        <v/>
      </c>
      <c r="B1079" s="14">
        <f>CHAIN_RAW!B1079</f>
        <v/>
      </c>
      <c r="C1079" s="13">
        <f>CHAIN_RAW!C1079</f>
        <v/>
      </c>
      <c r="D1079" s="13">
        <f>CHAIN_RAW!D1079</f>
        <v/>
      </c>
      <c r="E1079" s="13">
        <f>CHAIN_RAW!E1079</f>
        <v/>
      </c>
      <c r="F1079" s="13">
        <f>IFERROR((E1079-D1079)/D1079,"")</f>
        <v/>
      </c>
      <c r="G1079" s="13">
        <f>IFERROR((CHAIN_RAW!K1079+CHAIN_RAW!L1079)/2,"")</f>
        <v/>
      </c>
      <c r="H1079" s="13">
        <f>IFERROR((CHAIN_RAW!R1079+CHAIN_RAW!S1079)/2,"")</f>
        <v/>
      </c>
      <c r="I1079" s="13">
        <f>IFERROR((CHAIN_RAW!L1079-CHAIN_RAW!K1079)/MAX(1E-9, G1079),"")</f>
        <v/>
      </c>
      <c r="J1079" s="13">
        <f>IFERROR((CHAIN_RAW!S1079-CHAIN_RAW!R1079)/MAX(1E-9, H1079),"")</f>
        <v/>
      </c>
      <c r="K1079" s="13">
        <f>CHAIN_RAW!G1079</f>
        <v/>
      </c>
      <c r="L1079" s="13">
        <f>CHAIN_RAW!N1079</f>
        <v/>
      </c>
      <c r="M1079" s="13">
        <f>IFERROR(L1079-K1079,"")</f>
        <v/>
      </c>
      <c r="N1079" s="13">
        <f>CHAIN_RAW!H1079</f>
        <v/>
      </c>
      <c r="O1079" s="13">
        <f>CHAIN_RAW!O1079</f>
        <v/>
      </c>
      <c r="P1079" s="13">
        <f>IFERROR(O1079/N1079,"")</f>
        <v/>
      </c>
      <c r="Q1079" s="13">
        <f>CHAIN_RAW!I1079</f>
        <v/>
      </c>
      <c r="R1079" s="13">
        <f>CHAIN_RAW!P1079</f>
        <v/>
      </c>
      <c r="S1079" s="13">
        <f>IFERROR(R1079/Q1079,"")</f>
        <v/>
      </c>
      <c r="T1079" s="13">
        <f>IFERROR((ABS(N1079-O1079)/MAX(1,(N1079+O1079)))*EXP(-ABS(E1079-CONTROL!E5)/MAX(1,CONTROL!B8)),"")</f>
        <v/>
      </c>
      <c r="U1079" s="13">
        <f>IFERROR(IF(O1079&gt;N1079,"SUPPORT (PE OI)","RESIST (CE OI)"),"")</f>
        <v/>
      </c>
      <c r="V1079" s="13">
        <f>IFERROR(IF(Q1079&gt;0,IF(R1079&gt;0,"BOTH_ADD","CE_ADD_PE_REDUCE"),IF(R1079&gt;0,"CE_REDUCE_PE_ADD","BOTH_REDUCE")),"")</f>
        <v/>
      </c>
      <c r="W1079" s="13">
        <f>IFERROR( (P1079-1)*0.5 + (M1079)*0.1 - (I1079+J1079)*0.05 + T1079*0.4 ,"")</f>
        <v/>
      </c>
      <c r="X1079" s="13">
        <f>IFERROR(IF(ABS(F1079)&lt;0.01,"ATM/NEAR",""),"")</f>
        <v/>
      </c>
    </row>
    <row r="1080">
      <c r="A1080" s="13">
        <f>CHAIN_RAW!A1080</f>
        <v/>
      </c>
      <c r="B1080" s="14">
        <f>CHAIN_RAW!B1080</f>
        <v/>
      </c>
      <c r="C1080" s="13">
        <f>CHAIN_RAW!C1080</f>
        <v/>
      </c>
      <c r="D1080" s="13">
        <f>CHAIN_RAW!D1080</f>
        <v/>
      </c>
      <c r="E1080" s="13">
        <f>CHAIN_RAW!E1080</f>
        <v/>
      </c>
      <c r="F1080" s="13">
        <f>IFERROR((E1080-D1080)/D1080,"")</f>
        <v/>
      </c>
      <c r="G1080" s="13">
        <f>IFERROR((CHAIN_RAW!K1080+CHAIN_RAW!L1080)/2,"")</f>
        <v/>
      </c>
      <c r="H1080" s="13">
        <f>IFERROR((CHAIN_RAW!R1080+CHAIN_RAW!S1080)/2,"")</f>
        <v/>
      </c>
      <c r="I1080" s="13">
        <f>IFERROR((CHAIN_RAW!L1080-CHAIN_RAW!K1080)/MAX(1E-9, G1080),"")</f>
        <v/>
      </c>
      <c r="J1080" s="13">
        <f>IFERROR((CHAIN_RAW!S1080-CHAIN_RAW!R1080)/MAX(1E-9, H1080),"")</f>
        <v/>
      </c>
      <c r="K1080" s="13">
        <f>CHAIN_RAW!G1080</f>
        <v/>
      </c>
      <c r="L1080" s="13">
        <f>CHAIN_RAW!N1080</f>
        <v/>
      </c>
      <c r="M1080" s="13">
        <f>IFERROR(L1080-K1080,"")</f>
        <v/>
      </c>
      <c r="N1080" s="13">
        <f>CHAIN_RAW!H1080</f>
        <v/>
      </c>
      <c r="O1080" s="13">
        <f>CHAIN_RAW!O1080</f>
        <v/>
      </c>
      <c r="P1080" s="13">
        <f>IFERROR(O1080/N1080,"")</f>
        <v/>
      </c>
      <c r="Q1080" s="13">
        <f>CHAIN_RAW!I1080</f>
        <v/>
      </c>
      <c r="R1080" s="13">
        <f>CHAIN_RAW!P1080</f>
        <v/>
      </c>
      <c r="S1080" s="13">
        <f>IFERROR(R1080/Q1080,"")</f>
        <v/>
      </c>
      <c r="T1080" s="13">
        <f>IFERROR((ABS(N1080-O1080)/MAX(1,(N1080+O1080)))*EXP(-ABS(E1080-CONTROL!E5)/MAX(1,CONTROL!B8)),"")</f>
        <v/>
      </c>
      <c r="U1080" s="13">
        <f>IFERROR(IF(O1080&gt;N1080,"SUPPORT (PE OI)","RESIST (CE OI)"),"")</f>
        <v/>
      </c>
      <c r="V1080" s="13">
        <f>IFERROR(IF(Q1080&gt;0,IF(R1080&gt;0,"BOTH_ADD","CE_ADD_PE_REDUCE"),IF(R1080&gt;0,"CE_REDUCE_PE_ADD","BOTH_REDUCE")),"")</f>
        <v/>
      </c>
      <c r="W1080" s="13">
        <f>IFERROR( (P1080-1)*0.5 + (M1080)*0.1 - (I1080+J1080)*0.05 + T1080*0.4 ,"")</f>
        <v/>
      </c>
      <c r="X1080" s="13">
        <f>IFERROR(IF(ABS(F1080)&lt;0.01,"ATM/NEAR",""),"")</f>
        <v/>
      </c>
    </row>
    <row r="1081">
      <c r="A1081" s="13">
        <f>CHAIN_RAW!A1081</f>
        <v/>
      </c>
      <c r="B1081" s="14">
        <f>CHAIN_RAW!B1081</f>
        <v/>
      </c>
      <c r="C1081" s="13">
        <f>CHAIN_RAW!C1081</f>
        <v/>
      </c>
      <c r="D1081" s="13">
        <f>CHAIN_RAW!D1081</f>
        <v/>
      </c>
      <c r="E1081" s="13">
        <f>CHAIN_RAW!E1081</f>
        <v/>
      </c>
      <c r="F1081" s="13">
        <f>IFERROR((E1081-D1081)/D1081,"")</f>
        <v/>
      </c>
      <c r="G1081" s="13">
        <f>IFERROR((CHAIN_RAW!K1081+CHAIN_RAW!L1081)/2,"")</f>
        <v/>
      </c>
      <c r="H1081" s="13">
        <f>IFERROR((CHAIN_RAW!R1081+CHAIN_RAW!S1081)/2,"")</f>
        <v/>
      </c>
      <c r="I1081" s="13">
        <f>IFERROR((CHAIN_RAW!L1081-CHAIN_RAW!K1081)/MAX(1E-9, G1081),"")</f>
        <v/>
      </c>
      <c r="J1081" s="13">
        <f>IFERROR((CHAIN_RAW!S1081-CHAIN_RAW!R1081)/MAX(1E-9, H1081),"")</f>
        <v/>
      </c>
      <c r="K1081" s="13">
        <f>CHAIN_RAW!G1081</f>
        <v/>
      </c>
      <c r="L1081" s="13">
        <f>CHAIN_RAW!N1081</f>
        <v/>
      </c>
      <c r="M1081" s="13">
        <f>IFERROR(L1081-K1081,"")</f>
        <v/>
      </c>
      <c r="N1081" s="13">
        <f>CHAIN_RAW!H1081</f>
        <v/>
      </c>
      <c r="O1081" s="13">
        <f>CHAIN_RAW!O1081</f>
        <v/>
      </c>
      <c r="P1081" s="13">
        <f>IFERROR(O1081/N1081,"")</f>
        <v/>
      </c>
      <c r="Q1081" s="13">
        <f>CHAIN_RAW!I1081</f>
        <v/>
      </c>
      <c r="R1081" s="13">
        <f>CHAIN_RAW!P1081</f>
        <v/>
      </c>
      <c r="S1081" s="13">
        <f>IFERROR(R1081/Q1081,"")</f>
        <v/>
      </c>
      <c r="T1081" s="13">
        <f>IFERROR((ABS(N1081-O1081)/MAX(1,(N1081+O1081)))*EXP(-ABS(E1081-CONTROL!E5)/MAX(1,CONTROL!B8)),"")</f>
        <v/>
      </c>
      <c r="U1081" s="13">
        <f>IFERROR(IF(O1081&gt;N1081,"SUPPORT (PE OI)","RESIST (CE OI)"),"")</f>
        <v/>
      </c>
      <c r="V1081" s="13">
        <f>IFERROR(IF(Q1081&gt;0,IF(R1081&gt;0,"BOTH_ADD","CE_ADD_PE_REDUCE"),IF(R1081&gt;0,"CE_REDUCE_PE_ADD","BOTH_REDUCE")),"")</f>
        <v/>
      </c>
      <c r="W1081" s="13">
        <f>IFERROR( (P1081-1)*0.5 + (M1081)*0.1 - (I1081+J1081)*0.05 + T1081*0.4 ,"")</f>
        <v/>
      </c>
      <c r="X1081" s="13">
        <f>IFERROR(IF(ABS(F1081)&lt;0.01,"ATM/NEAR",""),"")</f>
        <v/>
      </c>
    </row>
    <row r="1082">
      <c r="A1082" s="13">
        <f>CHAIN_RAW!A1082</f>
        <v/>
      </c>
      <c r="B1082" s="14">
        <f>CHAIN_RAW!B1082</f>
        <v/>
      </c>
      <c r="C1082" s="13">
        <f>CHAIN_RAW!C1082</f>
        <v/>
      </c>
      <c r="D1082" s="13">
        <f>CHAIN_RAW!D1082</f>
        <v/>
      </c>
      <c r="E1082" s="13">
        <f>CHAIN_RAW!E1082</f>
        <v/>
      </c>
      <c r="F1082" s="13">
        <f>IFERROR((E1082-D1082)/D1082,"")</f>
        <v/>
      </c>
      <c r="G1082" s="13">
        <f>IFERROR((CHAIN_RAW!K1082+CHAIN_RAW!L1082)/2,"")</f>
        <v/>
      </c>
      <c r="H1082" s="13">
        <f>IFERROR((CHAIN_RAW!R1082+CHAIN_RAW!S1082)/2,"")</f>
        <v/>
      </c>
      <c r="I1082" s="13">
        <f>IFERROR((CHAIN_RAW!L1082-CHAIN_RAW!K1082)/MAX(1E-9, G1082),"")</f>
        <v/>
      </c>
      <c r="J1082" s="13">
        <f>IFERROR((CHAIN_RAW!S1082-CHAIN_RAW!R1082)/MAX(1E-9, H1082),"")</f>
        <v/>
      </c>
      <c r="K1082" s="13">
        <f>CHAIN_RAW!G1082</f>
        <v/>
      </c>
      <c r="L1082" s="13">
        <f>CHAIN_RAW!N1082</f>
        <v/>
      </c>
      <c r="M1082" s="13">
        <f>IFERROR(L1082-K1082,"")</f>
        <v/>
      </c>
      <c r="N1082" s="13">
        <f>CHAIN_RAW!H1082</f>
        <v/>
      </c>
      <c r="O1082" s="13">
        <f>CHAIN_RAW!O1082</f>
        <v/>
      </c>
      <c r="P1082" s="13">
        <f>IFERROR(O1082/N1082,"")</f>
        <v/>
      </c>
      <c r="Q1082" s="13">
        <f>CHAIN_RAW!I1082</f>
        <v/>
      </c>
      <c r="R1082" s="13">
        <f>CHAIN_RAW!P1082</f>
        <v/>
      </c>
      <c r="S1082" s="13">
        <f>IFERROR(R1082/Q1082,"")</f>
        <v/>
      </c>
      <c r="T1082" s="13">
        <f>IFERROR((ABS(N1082-O1082)/MAX(1,(N1082+O1082)))*EXP(-ABS(E1082-CONTROL!E5)/MAX(1,CONTROL!B8)),"")</f>
        <v/>
      </c>
      <c r="U1082" s="13">
        <f>IFERROR(IF(O1082&gt;N1082,"SUPPORT (PE OI)","RESIST (CE OI)"),"")</f>
        <v/>
      </c>
      <c r="V1082" s="13">
        <f>IFERROR(IF(Q1082&gt;0,IF(R1082&gt;0,"BOTH_ADD","CE_ADD_PE_REDUCE"),IF(R1082&gt;0,"CE_REDUCE_PE_ADD","BOTH_REDUCE")),"")</f>
        <v/>
      </c>
      <c r="W1082" s="13">
        <f>IFERROR( (P1082-1)*0.5 + (M1082)*0.1 - (I1082+J1082)*0.05 + T1082*0.4 ,"")</f>
        <v/>
      </c>
      <c r="X1082" s="13">
        <f>IFERROR(IF(ABS(F1082)&lt;0.01,"ATM/NEAR",""),"")</f>
        <v/>
      </c>
    </row>
    <row r="1083">
      <c r="A1083" s="13">
        <f>CHAIN_RAW!A1083</f>
        <v/>
      </c>
      <c r="B1083" s="14">
        <f>CHAIN_RAW!B1083</f>
        <v/>
      </c>
      <c r="C1083" s="13">
        <f>CHAIN_RAW!C1083</f>
        <v/>
      </c>
      <c r="D1083" s="13">
        <f>CHAIN_RAW!D1083</f>
        <v/>
      </c>
      <c r="E1083" s="13">
        <f>CHAIN_RAW!E1083</f>
        <v/>
      </c>
      <c r="F1083" s="13">
        <f>IFERROR((E1083-D1083)/D1083,"")</f>
        <v/>
      </c>
      <c r="G1083" s="13">
        <f>IFERROR((CHAIN_RAW!K1083+CHAIN_RAW!L1083)/2,"")</f>
        <v/>
      </c>
      <c r="H1083" s="13">
        <f>IFERROR((CHAIN_RAW!R1083+CHAIN_RAW!S1083)/2,"")</f>
        <v/>
      </c>
      <c r="I1083" s="13">
        <f>IFERROR((CHAIN_RAW!L1083-CHAIN_RAW!K1083)/MAX(1E-9, G1083),"")</f>
        <v/>
      </c>
      <c r="J1083" s="13">
        <f>IFERROR((CHAIN_RAW!S1083-CHAIN_RAW!R1083)/MAX(1E-9, H1083),"")</f>
        <v/>
      </c>
      <c r="K1083" s="13">
        <f>CHAIN_RAW!G1083</f>
        <v/>
      </c>
      <c r="L1083" s="13">
        <f>CHAIN_RAW!N1083</f>
        <v/>
      </c>
      <c r="M1083" s="13">
        <f>IFERROR(L1083-K1083,"")</f>
        <v/>
      </c>
      <c r="N1083" s="13">
        <f>CHAIN_RAW!H1083</f>
        <v/>
      </c>
      <c r="O1083" s="13">
        <f>CHAIN_RAW!O1083</f>
        <v/>
      </c>
      <c r="P1083" s="13">
        <f>IFERROR(O1083/N1083,"")</f>
        <v/>
      </c>
      <c r="Q1083" s="13">
        <f>CHAIN_RAW!I1083</f>
        <v/>
      </c>
      <c r="R1083" s="13">
        <f>CHAIN_RAW!P1083</f>
        <v/>
      </c>
      <c r="S1083" s="13">
        <f>IFERROR(R1083/Q1083,"")</f>
        <v/>
      </c>
      <c r="T1083" s="13">
        <f>IFERROR((ABS(N1083-O1083)/MAX(1,(N1083+O1083)))*EXP(-ABS(E1083-CONTROL!E5)/MAX(1,CONTROL!B8)),"")</f>
        <v/>
      </c>
      <c r="U1083" s="13">
        <f>IFERROR(IF(O1083&gt;N1083,"SUPPORT (PE OI)","RESIST (CE OI)"),"")</f>
        <v/>
      </c>
      <c r="V1083" s="13">
        <f>IFERROR(IF(Q1083&gt;0,IF(R1083&gt;0,"BOTH_ADD","CE_ADD_PE_REDUCE"),IF(R1083&gt;0,"CE_REDUCE_PE_ADD","BOTH_REDUCE")),"")</f>
        <v/>
      </c>
      <c r="W1083" s="13">
        <f>IFERROR( (P1083-1)*0.5 + (M1083)*0.1 - (I1083+J1083)*0.05 + T1083*0.4 ,"")</f>
        <v/>
      </c>
      <c r="X1083" s="13">
        <f>IFERROR(IF(ABS(F1083)&lt;0.01,"ATM/NEAR",""),"")</f>
        <v/>
      </c>
    </row>
    <row r="1084">
      <c r="A1084" s="13">
        <f>CHAIN_RAW!A1084</f>
        <v/>
      </c>
      <c r="B1084" s="14">
        <f>CHAIN_RAW!B1084</f>
        <v/>
      </c>
      <c r="C1084" s="13">
        <f>CHAIN_RAW!C1084</f>
        <v/>
      </c>
      <c r="D1084" s="13">
        <f>CHAIN_RAW!D1084</f>
        <v/>
      </c>
      <c r="E1084" s="13">
        <f>CHAIN_RAW!E1084</f>
        <v/>
      </c>
      <c r="F1084" s="13">
        <f>IFERROR((E1084-D1084)/D1084,"")</f>
        <v/>
      </c>
      <c r="G1084" s="13">
        <f>IFERROR((CHAIN_RAW!K1084+CHAIN_RAW!L1084)/2,"")</f>
        <v/>
      </c>
      <c r="H1084" s="13">
        <f>IFERROR((CHAIN_RAW!R1084+CHAIN_RAW!S1084)/2,"")</f>
        <v/>
      </c>
      <c r="I1084" s="13">
        <f>IFERROR((CHAIN_RAW!L1084-CHAIN_RAW!K1084)/MAX(1E-9, G1084),"")</f>
        <v/>
      </c>
      <c r="J1084" s="13">
        <f>IFERROR((CHAIN_RAW!S1084-CHAIN_RAW!R1084)/MAX(1E-9, H1084),"")</f>
        <v/>
      </c>
      <c r="K1084" s="13">
        <f>CHAIN_RAW!G1084</f>
        <v/>
      </c>
      <c r="L1084" s="13">
        <f>CHAIN_RAW!N1084</f>
        <v/>
      </c>
      <c r="M1084" s="13">
        <f>IFERROR(L1084-K1084,"")</f>
        <v/>
      </c>
      <c r="N1084" s="13">
        <f>CHAIN_RAW!H1084</f>
        <v/>
      </c>
      <c r="O1084" s="13">
        <f>CHAIN_RAW!O1084</f>
        <v/>
      </c>
      <c r="P1084" s="13">
        <f>IFERROR(O1084/N1084,"")</f>
        <v/>
      </c>
      <c r="Q1084" s="13">
        <f>CHAIN_RAW!I1084</f>
        <v/>
      </c>
      <c r="R1084" s="13">
        <f>CHAIN_RAW!P1084</f>
        <v/>
      </c>
      <c r="S1084" s="13">
        <f>IFERROR(R1084/Q1084,"")</f>
        <v/>
      </c>
      <c r="T1084" s="13">
        <f>IFERROR((ABS(N1084-O1084)/MAX(1,(N1084+O1084)))*EXP(-ABS(E1084-CONTROL!E5)/MAX(1,CONTROL!B8)),"")</f>
        <v/>
      </c>
      <c r="U1084" s="13">
        <f>IFERROR(IF(O1084&gt;N1084,"SUPPORT (PE OI)","RESIST (CE OI)"),"")</f>
        <v/>
      </c>
      <c r="V1084" s="13">
        <f>IFERROR(IF(Q1084&gt;0,IF(R1084&gt;0,"BOTH_ADD","CE_ADD_PE_REDUCE"),IF(R1084&gt;0,"CE_REDUCE_PE_ADD","BOTH_REDUCE")),"")</f>
        <v/>
      </c>
      <c r="W1084" s="13">
        <f>IFERROR( (P1084-1)*0.5 + (M1084)*0.1 - (I1084+J1084)*0.05 + T1084*0.4 ,"")</f>
        <v/>
      </c>
      <c r="X1084" s="13">
        <f>IFERROR(IF(ABS(F1084)&lt;0.01,"ATM/NEAR",""),"")</f>
        <v/>
      </c>
    </row>
    <row r="1085">
      <c r="A1085" s="13">
        <f>CHAIN_RAW!A1085</f>
        <v/>
      </c>
      <c r="B1085" s="14">
        <f>CHAIN_RAW!B1085</f>
        <v/>
      </c>
      <c r="C1085" s="13">
        <f>CHAIN_RAW!C1085</f>
        <v/>
      </c>
      <c r="D1085" s="13">
        <f>CHAIN_RAW!D1085</f>
        <v/>
      </c>
      <c r="E1085" s="13">
        <f>CHAIN_RAW!E1085</f>
        <v/>
      </c>
      <c r="F1085" s="13">
        <f>IFERROR((E1085-D1085)/D1085,"")</f>
        <v/>
      </c>
      <c r="G1085" s="13">
        <f>IFERROR((CHAIN_RAW!K1085+CHAIN_RAW!L1085)/2,"")</f>
        <v/>
      </c>
      <c r="H1085" s="13">
        <f>IFERROR((CHAIN_RAW!R1085+CHAIN_RAW!S1085)/2,"")</f>
        <v/>
      </c>
      <c r="I1085" s="13">
        <f>IFERROR((CHAIN_RAW!L1085-CHAIN_RAW!K1085)/MAX(1E-9, G1085),"")</f>
        <v/>
      </c>
      <c r="J1085" s="13">
        <f>IFERROR((CHAIN_RAW!S1085-CHAIN_RAW!R1085)/MAX(1E-9, H1085),"")</f>
        <v/>
      </c>
      <c r="K1085" s="13">
        <f>CHAIN_RAW!G1085</f>
        <v/>
      </c>
      <c r="L1085" s="13">
        <f>CHAIN_RAW!N1085</f>
        <v/>
      </c>
      <c r="M1085" s="13">
        <f>IFERROR(L1085-K1085,"")</f>
        <v/>
      </c>
      <c r="N1085" s="13">
        <f>CHAIN_RAW!H1085</f>
        <v/>
      </c>
      <c r="O1085" s="13">
        <f>CHAIN_RAW!O1085</f>
        <v/>
      </c>
      <c r="P1085" s="13">
        <f>IFERROR(O1085/N1085,"")</f>
        <v/>
      </c>
      <c r="Q1085" s="13">
        <f>CHAIN_RAW!I1085</f>
        <v/>
      </c>
      <c r="R1085" s="13">
        <f>CHAIN_RAW!P1085</f>
        <v/>
      </c>
      <c r="S1085" s="13">
        <f>IFERROR(R1085/Q1085,"")</f>
        <v/>
      </c>
      <c r="T1085" s="13">
        <f>IFERROR((ABS(N1085-O1085)/MAX(1,(N1085+O1085)))*EXP(-ABS(E1085-CONTROL!E5)/MAX(1,CONTROL!B8)),"")</f>
        <v/>
      </c>
      <c r="U1085" s="13">
        <f>IFERROR(IF(O1085&gt;N1085,"SUPPORT (PE OI)","RESIST (CE OI)"),"")</f>
        <v/>
      </c>
      <c r="V1085" s="13">
        <f>IFERROR(IF(Q1085&gt;0,IF(R1085&gt;0,"BOTH_ADD","CE_ADD_PE_REDUCE"),IF(R1085&gt;0,"CE_REDUCE_PE_ADD","BOTH_REDUCE")),"")</f>
        <v/>
      </c>
      <c r="W1085" s="13">
        <f>IFERROR( (P1085-1)*0.5 + (M1085)*0.1 - (I1085+J1085)*0.05 + T1085*0.4 ,"")</f>
        <v/>
      </c>
      <c r="X1085" s="13">
        <f>IFERROR(IF(ABS(F1085)&lt;0.01,"ATM/NEAR",""),"")</f>
        <v/>
      </c>
    </row>
    <row r="1086">
      <c r="A1086" s="13">
        <f>CHAIN_RAW!A1086</f>
        <v/>
      </c>
      <c r="B1086" s="14">
        <f>CHAIN_RAW!B1086</f>
        <v/>
      </c>
      <c r="C1086" s="13">
        <f>CHAIN_RAW!C1086</f>
        <v/>
      </c>
      <c r="D1086" s="13">
        <f>CHAIN_RAW!D1086</f>
        <v/>
      </c>
      <c r="E1086" s="13">
        <f>CHAIN_RAW!E1086</f>
        <v/>
      </c>
      <c r="F1086" s="13">
        <f>IFERROR((E1086-D1086)/D1086,"")</f>
        <v/>
      </c>
      <c r="G1086" s="13">
        <f>IFERROR((CHAIN_RAW!K1086+CHAIN_RAW!L1086)/2,"")</f>
        <v/>
      </c>
      <c r="H1086" s="13">
        <f>IFERROR((CHAIN_RAW!R1086+CHAIN_RAW!S1086)/2,"")</f>
        <v/>
      </c>
      <c r="I1086" s="13">
        <f>IFERROR((CHAIN_RAW!L1086-CHAIN_RAW!K1086)/MAX(1E-9, G1086),"")</f>
        <v/>
      </c>
      <c r="J1086" s="13">
        <f>IFERROR((CHAIN_RAW!S1086-CHAIN_RAW!R1086)/MAX(1E-9, H1086),"")</f>
        <v/>
      </c>
      <c r="K1086" s="13">
        <f>CHAIN_RAW!G1086</f>
        <v/>
      </c>
      <c r="L1086" s="13">
        <f>CHAIN_RAW!N1086</f>
        <v/>
      </c>
      <c r="M1086" s="13">
        <f>IFERROR(L1086-K1086,"")</f>
        <v/>
      </c>
      <c r="N1086" s="13">
        <f>CHAIN_RAW!H1086</f>
        <v/>
      </c>
      <c r="O1086" s="13">
        <f>CHAIN_RAW!O1086</f>
        <v/>
      </c>
      <c r="P1086" s="13">
        <f>IFERROR(O1086/N1086,"")</f>
        <v/>
      </c>
      <c r="Q1086" s="13">
        <f>CHAIN_RAW!I1086</f>
        <v/>
      </c>
      <c r="R1086" s="13">
        <f>CHAIN_RAW!P1086</f>
        <v/>
      </c>
      <c r="S1086" s="13">
        <f>IFERROR(R1086/Q1086,"")</f>
        <v/>
      </c>
      <c r="T1086" s="13">
        <f>IFERROR((ABS(N1086-O1086)/MAX(1,(N1086+O1086)))*EXP(-ABS(E1086-CONTROL!E5)/MAX(1,CONTROL!B8)),"")</f>
        <v/>
      </c>
      <c r="U1086" s="13">
        <f>IFERROR(IF(O1086&gt;N1086,"SUPPORT (PE OI)","RESIST (CE OI)"),"")</f>
        <v/>
      </c>
      <c r="V1086" s="13">
        <f>IFERROR(IF(Q1086&gt;0,IF(R1086&gt;0,"BOTH_ADD","CE_ADD_PE_REDUCE"),IF(R1086&gt;0,"CE_REDUCE_PE_ADD","BOTH_REDUCE")),"")</f>
        <v/>
      </c>
      <c r="W1086" s="13">
        <f>IFERROR( (P1086-1)*0.5 + (M1086)*0.1 - (I1086+J1086)*0.05 + T1086*0.4 ,"")</f>
        <v/>
      </c>
      <c r="X1086" s="13">
        <f>IFERROR(IF(ABS(F1086)&lt;0.01,"ATM/NEAR",""),"")</f>
        <v/>
      </c>
    </row>
    <row r="1087">
      <c r="A1087" s="13">
        <f>CHAIN_RAW!A1087</f>
        <v/>
      </c>
      <c r="B1087" s="14">
        <f>CHAIN_RAW!B1087</f>
        <v/>
      </c>
      <c r="C1087" s="13">
        <f>CHAIN_RAW!C1087</f>
        <v/>
      </c>
      <c r="D1087" s="13">
        <f>CHAIN_RAW!D1087</f>
        <v/>
      </c>
      <c r="E1087" s="13">
        <f>CHAIN_RAW!E1087</f>
        <v/>
      </c>
      <c r="F1087" s="13">
        <f>IFERROR((E1087-D1087)/D1087,"")</f>
        <v/>
      </c>
      <c r="G1087" s="13">
        <f>IFERROR((CHAIN_RAW!K1087+CHAIN_RAW!L1087)/2,"")</f>
        <v/>
      </c>
      <c r="H1087" s="13">
        <f>IFERROR((CHAIN_RAW!R1087+CHAIN_RAW!S1087)/2,"")</f>
        <v/>
      </c>
      <c r="I1087" s="13">
        <f>IFERROR((CHAIN_RAW!L1087-CHAIN_RAW!K1087)/MAX(1E-9, G1087),"")</f>
        <v/>
      </c>
      <c r="J1087" s="13">
        <f>IFERROR((CHAIN_RAW!S1087-CHAIN_RAW!R1087)/MAX(1E-9, H1087),"")</f>
        <v/>
      </c>
      <c r="K1087" s="13">
        <f>CHAIN_RAW!G1087</f>
        <v/>
      </c>
      <c r="L1087" s="13">
        <f>CHAIN_RAW!N1087</f>
        <v/>
      </c>
      <c r="M1087" s="13">
        <f>IFERROR(L1087-K1087,"")</f>
        <v/>
      </c>
      <c r="N1087" s="13">
        <f>CHAIN_RAW!H1087</f>
        <v/>
      </c>
      <c r="O1087" s="13">
        <f>CHAIN_RAW!O1087</f>
        <v/>
      </c>
      <c r="P1087" s="13">
        <f>IFERROR(O1087/N1087,"")</f>
        <v/>
      </c>
      <c r="Q1087" s="13">
        <f>CHAIN_RAW!I1087</f>
        <v/>
      </c>
      <c r="R1087" s="13">
        <f>CHAIN_RAW!P1087</f>
        <v/>
      </c>
      <c r="S1087" s="13">
        <f>IFERROR(R1087/Q1087,"")</f>
        <v/>
      </c>
      <c r="T1087" s="13">
        <f>IFERROR((ABS(N1087-O1087)/MAX(1,(N1087+O1087)))*EXP(-ABS(E1087-CONTROL!E5)/MAX(1,CONTROL!B8)),"")</f>
        <v/>
      </c>
      <c r="U1087" s="13">
        <f>IFERROR(IF(O1087&gt;N1087,"SUPPORT (PE OI)","RESIST (CE OI)"),"")</f>
        <v/>
      </c>
      <c r="V1087" s="13">
        <f>IFERROR(IF(Q1087&gt;0,IF(R1087&gt;0,"BOTH_ADD","CE_ADD_PE_REDUCE"),IF(R1087&gt;0,"CE_REDUCE_PE_ADD","BOTH_REDUCE")),"")</f>
        <v/>
      </c>
      <c r="W1087" s="13">
        <f>IFERROR( (P1087-1)*0.5 + (M1087)*0.1 - (I1087+J1087)*0.05 + T1087*0.4 ,"")</f>
        <v/>
      </c>
      <c r="X1087" s="13">
        <f>IFERROR(IF(ABS(F1087)&lt;0.01,"ATM/NEAR",""),"")</f>
        <v/>
      </c>
    </row>
    <row r="1088">
      <c r="A1088" s="13">
        <f>CHAIN_RAW!A1088</f>
        <v/>
      </c>
      <c r="B1088" s="14">
        <f>CHAIN_RAW!B1088</f>
        <v/>
      </c>
      <c r="C1088" s="13">
        <f>CHAIN_RAW!C1088</f>
        <v/>
      </c>
      <c r="D1088" s="13">
        <f>CHAIN_RAW!D1088</f>
        <v/>
      </c>
      <c r="E1088" s="13">
        <f>CHAIN_RAW!E1088</f>
        <v/>
      </c>
      <c r="F1088" s="13">
        <f>IFERROR((E1088-D1088)/D1088,"")</f>
        <v/>
      </c>
      <c r="G1088" s="13">
        <f>IFERROR((CHAIN_RAW!K1088+CHAIN_RAW!L1088)/2,"")</f>
        <v/>
      </c>
      <c r="H1088" s="13">
        <f>IFERROR((CHAIN_RAW!R1088+CHAIN_RAW!S1088)/2,"")</f>
        <v/>
      </c>
      <c r="I1088" s="13">
        <f>IFERROR((CHAIN_RAW!L1088-CHAIN_RAW!K1088)/MAX(1E-9, G1088),"")</f>
        <v/>
      </c>
      <c r="J1088" s="13">
        <f>IFERROR((CHAIN_RAW!S1088-CHAIN_RAW!R1088)/MAX(1E-9, H1088),"")</f>
        <v/>
      </c>
      <c r="K1088" s="13">
        <f>CHAIN_RAW!G1088</f>
        <v/>
      </c>
      <c r="L1088" s="13">
        <f>CHAIN_RAW!N1088</f>
        <v/>
      </c>
      <c r="M1088" s="13">
        <f>IFERROR(L1088-K1088,"")</f>
        <v/>
      </c>
      <c r="N1088" s="13">
        <f>CHAIN_RAW!H1088</f>
        <v/>
      </c>
      <c r="O1088" s="13">
        <f>CHAIN_RAW!O1088</f>
        <v/>
      </c>
      <c r="P1088" s="13">
        <f>IFERROR(O1088/N1088,"")</f>
        <v/>
      </c>
      <c r="Q1088" s="13">
        <f>CHAIN_RAW!I1088</f>
        <v/>
      </c>
      <c r="R1088" s="13">
        <f>CHAIN_RAW!P1088</f>
        <v/>
      </c>
      <c r="S1088" s="13">
        <f>IFERROR(R1088/Q1088,"")</f>
        <v/>
      </c>
      <c r="T1088" s="13">
        <f>IFERROR((ABS(N1088-O1088)/MAX(1,(N1088+O1088)))*EXP(-ABS(E1088-CONTROL!E5)/MAX(1,CONTROL!B8)),"")</f>
        <v/>
      </c>
      <c r="U1088" s="13">
        <f>IFERROR(IF(O1088&gt;N1088,"SUPPORT (PE OI)","RESIST (CE OI)"),"")</f>
        <v/>
      </c>
      <c r="V1088" s="13">
        <f>IFERROR(IF(Q1088&gt;0,IF(R1088&gt;0,"BOTH_ADD","CE_ADD_PE_REDUCE"),IF(R1088&gt;0,"CE_REDUCE_PE_ADD","BOTH_REDUCE")),"")</f>
        <v/>
      </c>
      <c r="W1088" s="13">
        <f>IFERROR( (P1088-1)*0.5 + (M1088)*0.1 - (I1088+J1088)*0.05 + T1088*0.4 ,"")</f>
        <v/>
      </c>
      <c r="X1088" s="13">
        <f>IFERROR(IF(ABS(F1088)&lt;0.01,"ATM/NEAR",""),"")</f>
        <v/>
      </c>
    </row>
    <row r="1089">
      <c r="A1089" s="13">
        <f>CHAIN_RAW!A1089</f>
        <v/>
      </c>
      <c r="B1089" s="14">
        <f>CHAIN_RAW!B1089</f>
        <v/>
      </c>
      <c r="C1089" s="13">
        <f>CHAIN_RAW!C1089</f>
        <v/>
      </c>
      <c r="D1089" s="13">
        <f>CHAIN_RAW!D1089</f>
        <v/>
      </c>
      <c r="E1089" s="13">
        <f>CHAIN_RAW!E1089</f>
        <v/>
      </c>
      <c r="F1089" s="13">
        <f>IFERROR((E1089-D1089)/D1089,"")</f>
        <v/>
      </c>
      <c r="G1089" s="13">
        <f>IFERROR((CHAIN_RAW!K1089+CHAIN_RAW!L1089)/2,"")</f>
        <v/>
      </c>
      <c r="H1089" s="13">
        <f>IFERROR((CHAIN_RAW!R1089+CHAIN_RAW!S1089)/2,"")</f>
        <v/>
      </c>
      <c r="I1089" s="13">
        <f>IFERROR((CHAIN_RAW!L1089-CHAIN_RAW!K1089)/MAX(1E-9, G1089),"")</f>
        <v/>
      </c>
      <c r="J1089" s="13">
        <f>IFERROR((CHAIN_RAW!S1089-CHAIN_RAW!R1089)/MAX(1E-9, H1089),"")</f>
        <v/>
      </c>
      <c r="K1089" s="13">
        <f>CHAIN_RAW!G1089</f>
        <v/>
      </c>
      <c r="L1089" s="13">
        <f>CHAIN_RAW!N1089</f>
        <v/>
      </c>
      <c r="M1089" s="13">
        <f>IFERROR(L1089-K1089,"")</f>
        <v/>
      </c>
      <c r="N1089" s="13">
        <f>CHAIN_RAW!H1089</f>
        <v/>
      </c>
      <c r="O1089" s="13">
        <f>CHAIN_RAW!O1089</f>
        <v/>
      </c>
      <c r="P1089" s="13">
        <f>IFERROR(O1089/N1089,"")</f>
        <v/>
      </c>
      <c r="Q1089" s="13">
        <f>CHAIN_RAW!I1089</f>
        <v/>
      </c>
      <c r="R1089" s="13">
        <f>CHAIN_RAW!P1089</f>
        <v/>
      </c>
      <c r="S1089" s="13">
        <f>IFERROR(R1089/Q1089,"")</f>
        <v/>
      </c>
      <c r="T1089" s="13">
        <f>IFERROR((ABS(N1089-O1089)/MAX(1,(N1089+O1089)))*EXP(-ABS(E1089-CONTROL!E5)/MAX(1,CONTROL!B8)),"")</f>
        <v/>
      </c>
      <c r="U1089" s="13">
        <f>IFERROR(IF(O1089&gt;N1089,"SUPPORT (PE OI)","RESIST (CE OI)"),"")</f>
        <v/>
      </c>
      <c r="V1089" s="13">
        <f>IFERROR(IF(Q1089&gt;0,IF(R1089&gt;0,"BOTH_ADD","CE_ADD_PE_REDUCE"),IF(R1089&gt;0,"CE_REDUCE_PE_ADD","BOTH_REDUCE")),"")</f>
        <v/>
      </c>
      <c r="W1089" s="13">
        <f>IFERROR( (P1089-1)*0.5 + (M1089)*0.1 - (I1089+J1089)*0.05 + T1089*0.4 ,"")</f>
        <v/>
      </c>
      <c r="X1089" s="13">
        <f>IFERROR(IF(ABS(F1089)&lt;0.01,"ATM/NEAR",""),"")</f>
        <v/>
      </c>
    </row>
    <row r="1090">
      <c r="A1090" s="13">
        <f>CHAIN_RAW!A1090</f>
        <v/>
      </c>
      <c r="B1090" s="14">
        <f>CHAIN_RAW!B1090</f>
        <v/>
      </c>
      <c r="C1090" s="13">
        <f>CHAIN_RAW!C1090</f>
        <v/>
      </c>
      <c r="D1090" s="13">
        <f>CHAIN_RAW!D1090</f>
        <v/>
      </c>
      <c r="E1090" s="13">
        <f>CHAIN_RAW!E1090</f>
        <v/>
      </c>
      <c r="F1090" s="13">
        <f>IFERROR((E1090-D1090)/D1090,"")</f>
        <v/>
      </c>
      <c r="G1090" s="13">
        <f>IFERROR((CHAIN_RAW!K1090+CHAIN_RAW!L1090)/2,"")</f>
        <v/>
      </c>
      <c r="H1090" s="13">
        <f>IFERROR((CHAIN_RAW!R1090+CHAIN_RAW!S1090)/2,"")</f>
        <v/>
      </c>
      <c r="I1090" s="13">
        <f>IFERROR((CHAIN_RAW!L1090-CHAIN_RAW!K1090)/MAX(1E-9, G1090),"")</f>
        <v/>
      </c>
      <c r="J1090" s="13">
        <f>IFERROR((CHAIN_RAW!S1090-CHAIN_RAW!R1090)/MAX(1E-9, H1090),"")</f>
        <v/>
      </c>
      <c r="K1090" s="13">
        <f>CHAIN_RAW!G1090</f>
        <v/>
      </c>
      <c r="L1090" s="13">
        <f>CHAIN_RAW!N1090</f>
        <v/>
      </c>
      <c r="M1090" s="13">
        <f>IFERROR(L1090-K1090,"")</f>
        <v/>
      </c>
      <c r="N1090" s="13">
        <f>CHAIN_RAW!H1090</f>
        <v/>
      </c>
      <c r="O1090" s="13">
        <f>CHAIN_RAW!O1090</f>
        <v/>
      </c>
      <c r="P1090" s="13">
        <f>IFERROR(O1090/N1090,"")</f>
        <v/>
      </c>
      <c r="Q1090" s="13">
        <f>CHAIN_RAW!I1090</f>
        <v/>
      </c>
      <c r="R1090" s="13">
        <f>CHAIN_RAW!P1090</f>
        <v/>
      </c>
      <c r="S1090" s="13">
        <f>IFERROR(R1090/Q1090,"")</f>
        <v/>
      </c>
      <c r="T1090" s="13">
        <f>IFERROR((ABS(N1090-O1090)/MAX(1,(N1090+O1090)))*EXP(-ABS(E1090-CONTROL!E5)/MAX(1,CONTROL!B8)),"")</f>
        <v/>
      </c>
      <c r="U1090" s="13">
        <f>IFERROR(IF(O1090&gt;N1090,"SUPPORT (PE OI)","RESIST (CE OI)"),"")</f>
        <v/>
      </c>
      <c r="V1090" s="13">
        <f>IFERROR(IF(Q1090&gt;0,IF(R1090&gt;0,"BOTH_ADD","CE_ADD_PE_REDUCE"),IF(R1090&gt;0,"CE_REDUCE_PE_ADD","BOTH_REDUCE")),"")</f>
        <v/>
      </c>
      <c r="W1090" s="13">
        <f>IFERROR( (P1090-1)*0.5 + (M1090)*0.1 - (I1090+J1090)*0.05 + T1090*0.4 ,"")</f>
        <v/>
      </c>
      <c r="X1090" s="13">
        <f>IFERROR(IF(ABS(F1090)&lt;0.01,"ATM/NEAR",""),"")</f>
        <v/>
      </c>
    </row>
    <row r="1091">
      <c r="A1091" s="13">
        <f>CHAIN_RAW!A1091</f>
        <v/>
      </c>
      <c r="B1091" s="14">
        <f>CHAIN_RAW!B1091</f>
        <v/>
      </c>
      <c r="C1091" s="13">
        <f>CHAIN_RAW!C1091</f>
        <v/>
      </c>
      <c r="D1091" s="13">
        <f>CHAIN_RAW!D1091</f>
        <v/>
      </c>
      <c r="E1091" s="13">
        <f>CHAIN_RAW!E1091</f>
        <v/>
      </c>
      <c r="F1091" s="13">
        <f>IFERROR((E1091-D1091)/D1091,"")</f>
        <v/>
      </c>
      <c r="G1091" s="13">
        <f>IFERROR((CHAIN_RAW!K1091+CHAIN_RAW!L1091)/2,"")</f>
        <v/>
      </c>
      <c r="H1091" s="13">
        <f>IFERROR((CHAIN_RAW!R1091+CHAIN_RAW!S1091)/2,"")</f>
        <v/>
      </c>
      <c r="I1091" s="13">
        <f>IFERROR((CHAIN_RAW!L1091-CHAIN_RAW!K1091)/MAX(1E-9, G1091),"")</f>
        <v/>
      </c>
      <c r="J1091" s="13">
        <f>IFERROR((CHAIN_RAW!S1091-CHAIN_RAW!R1091)/MAX(1E-9, H1091),"")</f>
        <v/>
      </c>
      <c r="K1091" s="13">
        <f>CHAIN_RAW!G1091</f>
        <v/>
      </c>
      <c r="L1091" s="13">
        <f>CHAIN_RAW!N1091</f>
        <v/>
      </c>
      <c r="M1091" s="13">
        <f>IFERROR(L1091-K1091,"")</f>
        <v/>
      </c>
      <c r="N1091" s="13">
        <f>CHAIN_RAW!H1091</f>
        <v/>
      </c>
      <c r="O1091" s="13">
        <f>CHAIN_RAW!O1091</f>
        <v/>
      </c>
      <c r="P1091" s="13">
        <f>IFERROR(O1091/N1091,"")</f>
        <v/>
      </c>
      <c r="Q1091" s="13">
        <f>CHAIN_RAW!I1091</f>
        <v/>
      </c>
      <c r="R1091" s="13">
        <f>CHAIN_RAW!P1091</f>
        <v/>
      </c>
      <c r="S1091" s="13">
        <f>IFERROR(R1091/Q1091,"")</f>
        <v/>
      </c>
      <c r="T1091" s="13">
        <f>IFERROR((ABS(N1091-O1091)/MAX(1,(N1091+O1091)))*EXP(-ABS(E1091-CONTROL!E5)/MAX(1,CONTROL!B8)),"")</f>
        <v/>
      </c>
      <c r="U1091" s="13">
        <f>IFERROR(IF(O1091&gt;N1091,"SUPPORT (PE OI)","RESIST (CE OI)"),"")</f>
        <v/>
      </c>
      <c r="V1091" s="13">
        <f>IFERROR(IF(Q1091&gt;0,IF(R1091&gt;0,"BOTH_ADD","CE_ADD_PE_REDUCE"),IF(R1091&gt;0,"CE_REDUCE_PE_ADD","BOTH_REDUCE")),"")</f>
        <v/>
      </c>
      <c r="W1091" s="13">
        <f>IFERROR( (P1091-1)*0.5 + (M1091)*0.1 - (I1091+J1091)*0.05 + T1091*0.4 ,"")</f>
        <v/>
      </c>
      <c r="X1091" s="13">
        <f>IFERROR(IF(ABS(F1091)&lt;0.01,"ATM/NEAR",""),"")</f>
        <v/>
      </c>
    </row>
    <row r="1092">
      <c r="A1092" s="13">
        <f>CHAIN_RAW!A1092</f>
        <v/>
      </c>
      <c r="B1092" s="14">
        <f>CHAIN_RAW!B1092</f>
        <v/>
      </c>
      <c r="C1092" s="13">
        <f>CHAIN_RAW!C1092</f>
        <v/>
      </c>
      <c r="D1092" s="13">
        <f>CHAIN_RAW!D1092</f>
        <v/>
      </c>
      <c r="E1092" s="13">
        <f>CHAIN_RAW!E1092</f>
        <v/>
      </c>
      <c r="F1092" s="13">
        <f>IFERROR((E1092-D1092)/D1092,"")</f>
        <v/>
      </c>
      <c r="G1092" s="13">
        <f>IFERROR((CHAIN_RAW!K1092+CHAIN_RAW!L1092)/2,"")</f>
        <v/>
      </c>
      <c r="H1092" s="13">
        <f>IFERROR((CHAIN_RAW!R1092+CHAIN_RAW!S1092)/2,"")</f>
        <v/>
      </c>
      <c r="I1092" s="13">
        <f>IFERROR((CHAIN_RAW!L1092-CHAIN_RAW!K1092)/MAX(1E-9, G1092),"")</f>
        <v/>
      </c>
      <c r="J1092" s="13">
        <f>IFERROR((CHAIN_RAW!S1092-CHAIN_RAW!R1092)/MAX(1E-9, H1092),"")</f>
        <v/>
      </c>
      <c r="K1092" s="13">
        <f>CHAIN_RAW!G1092</f>
        <v/>
      </c>
      <c r="L1092" s="13">
        <f>CHAIN_RAW!N1092</f>
        <v/>
      </c>
      <c r="M1092" s="13">
        <f>IFERROR(L1092-K1092,"")</f>
        <v/>
      </c>
      <c r="N1092" s="13">
        <f>CHAIN_RAW!H1092</f>
        <v/>
      </c>
      <c r="O1092" s="13">
        <f>CHAIN_RAW!O1092</f>
        <v/>
      </c>
      <c r="P1092" s="13">
        <f>IFERROR(O1092/N1092,"")</f>
        <v/>
      </c>
      <c r="Q1092" s="13">
        <f>CHAIN_RAW!I1092</f>
        <v/>
      </c>
      <c r="R1092" s="13">
        <f>CHAIN_RAW!P1092</f>
        <v/>
      </c>
      <c r="S1092" s="13">
        <f>IFERROR(R1092/Q1092,"")</f>
        <v/>
      </c>
      <c r="T1092" s="13">
        <f>IFERROR((ABS(N1092-O1092)/MAX(1,(N1092+O1092)))*EXP(-ABS(E1092-CONTROL!E5)/MAX(1,CONTROL!B8)),"")</f>
        <v/>
      </c>
      <c r="U1092" s="13">
        <f>IFERROR(IF(O1092&gt;N1092,"SUPPORT (PE OI)","RESIST (CE OI)"),"")</f>
        <v/>
      </c>
      <c r="V1092" s="13">
        <f>IFERROR(IF(Q1092&gt;0,IF(R1092&gt;0,"BOTH_ADD","CE_ADD_PE_REDUCE"),IF(R1092&gt;0,"CE_REDUCE_PE_ADD","BOTH_REDUCE")),"")</f>
        <v/>
      </c>
      <c r="W1092" s="13">
        <f>IFERROR( (P1092-1)*0.5 + (M1092)*0.1 - (I1092+J1092)*0.05 + T1092*0.4 ,"")</f>
        <v/>
      </c>
      <c r="X1092" s="13">
        <f>IFERROR(IF(ABS(F1092)&lt;0.01,"ATM/NEAR",""),"")</f>
        <v/>
      </c>
    </row>
    <row r="1093">
      <c r="A1093" s="13">
        <f>CHAIN_RAW!A1093</f>
        <v/>
      </c>
      <c r="B1093" s="14">
        <f>CHAIN_RAW!B1093</f>
        <v/>
      </c>
      <c r="C1093" s="13">
        <f>CHAIN_RAW!C1093</f>
        <v/>
      </c>
      <c r="D1093" s="13">
        <f>CHAIN_RAW!D1093</f>
        <v/>
      </c>
      <c r="E1093" s="13">
        <f>CHAIN_RAW!E1093</f>
        <v/>
      </c>
      <c r="F1093" s="13">
        <f>IFERROR((E1093-D1093)/D1093,"")</f>
        <v/>
      </c>
      <c r="G1093" s="13">
        <f>IFERROR((CHAIN_RAW!K1093+CHAIN_RAW!L1093)/2,"")</f>
        <v/>
      </c>
      <c r="H1093" s="13">
        <f>IFERROR((CHAIN_RAW!R1093+CHAIN_RAW!S1093)/2,"")</f>
        <v/>
      </c>
      <c r="I1093" s="13">
        <f>IFERROR((CHAIN_RAW!L1093-CHAIN_RAW!K1093)/MAX(1E-9, G1093),"")</f>
        <v/>
      </c>
      <c r="J1093" s="13">
        <f>IFERROR((CHAIN_RAW!S1093-CHAIN_RAW!R1093)/MAX(1E-9, H1093),"")</f>
        <v/>
      </c>
      <c r="K1093" s="13">
        <f>CHAIN_RAW!G1093</f>
        <v/>
      </c>
      <c r="L1093" s="13">
        <f>CHAIN_RAW!N1093</f>
        <v/>
      </c>
      <c r="M1093" s="13">
        <f>IFERROR(L1093-K1093,"")</f>
        <v/>
      </c>
      <c r="N1093" s="13">
        <f>CHAIN_RAW!H1093</f>
        <v/>
      </c>
      <c r="O1093" s="13">
        <f>CHAIN_RAW!O1093</f>
        <v/>
      </c>
      <c r="P1093" s="13">
        <f>IFERROR(O1093/N1093,"")</f>
        <v/>
      </c>
      <c r="Q1093" s="13">
        <f>CHAIN_RAW!I1093</f>
        <v/>
      </c>
      <c r="R1093" s="13">
        <f>CHAIN_RAW!P1093</f>
        <v/>
      </c>
      <c r="S1093" s="13">
        <f>IFERROR(R1093/Q1093,"")</f>
        <v/>
      </c>
      <c r="T1093" s="13">
        <f>IFERROR((ABS(N1093-O1093)/MAX(1,(N1093+O1093)))*EXP(-ABS(E1093-CONTROL!E5)/MAX(1,CONTROL!B8)),"")</f>
        <v/>
      </c>
      <c r="U1093" s="13">
        <f>IFERROR(IF(O1093&gt;N1093,"SUPPORT (PE OI)","RESIST (CE OI)"),"")</f>
        <v/>
      </c>
      <c r="V1093" s="13">
        <f>IFERROR(IF(Q1093&gt;0,IF(R1093&gt;0,"BOTH_ADD","CE_ADD_PE_REDUCE"),IF(R1093&gt;0,"CE_REDUCE_PE_ADD","BOTH_REDUCE")),"")</f>
        <v/>
      </c>
      <c r="W1093" s="13">
        <f>IFERROR( (P1093-1)*0.5 + (M1093)*0.1 - (I1093+J1093)*0.05 + T1093*0.4 ,"")</f>
        <v/>
      </c>
      <c r="X1093" s="13">
        <f>IFERROR(IF(ABS(F1093)&lt;0.01,"ATM/NEAR",""),"")</f>
        <v/>
      </c>
    </row>
    <row r="1094">
      <c r="A1094" s="13">
        <f>CHAIN_RAW!A1094</f>
        <v/>
      </c>
      <c r="B1094" s="14">
        <f>CHAIN_RAW!B1094</f>
        <v/>
      </c>
      <c r="C1094" s="13">
        <f>CHAIN_RAW!C1094</f>
        <v/>
      </c>
      <c r="D1094" s="13">
        <f>CHAIN_RAW!D1094</f>
        <v/>
      </c>
      <c r="E1094" s="13">
        <f>CHAIN_RAW!E1094</f>
        <v/>
      </c>
      <c r="F1094" s="13">
        <f>IFERROR((E1094-D1094)/D1094,"")</f>
        <v/>
      </c>
      <c r="G1094" s="13">
        <f>IFERROR((CHAIN_RAW!K1094+CHAIN_RAW!L1094)/2,"")</f>
        <v/>
      </c>
      <c r="H1094" s="13">
        <f>IFERROR((CHAIN_RAW!R1094+CHAIN_RAW!S1094)/2,"")</f>
        <v/>
      </c>
      <c r="I1094" s="13">
        <f>IFERROR((CHAIN_RAW!L1094-CHAIN_RAW!K1094)/MAX(1E-9, G1094),"")</f>
        <v/>
      </c>
      <c r="J1094" s="13">
        <f>IFERROR((CHAIN_RAW!S1094-CHAIN_RAW!R1094)/MAX(1E-9, H1094),"")</f>
        <v/>
      </c>
      <c r="K1094" s="13">
        <f>CHAIN_RAW!G1094</f>
        <v/>
      </c>
      <c r="L1094" s="13">
        <f>CHAIN_RAW!N1094</f>
        <v/>
      </c>
      <c r="M1094" s="13">
        <f>IFERROR(L1094-K1094,"")</f>
        <v/>
      </c>
      <c r="N1094" s="13">
        <f>CHAIN_RAW!H1094</f>
        <v/>
      </c>
      <c r="O1094" s="13">
        <f>CHAIN_RAW!O1094</f>
        <v/>
      </c>
      <c r="P1094" s="13">
        <f>IFERROR(O1094/N1094,"")</f>
        <v/>
      </c>
      <c r="Q1094" s="13">
        <f>CHAIN_RAW!I1094</f>
        <v/>
      </c>
      <c r="R1094" s="13">
        <f>CHAIN_RAW!P1094</f>
        <v/>
      </c>
      <c r="S1094" s="13">
        <f>IFERROR(R1094/Q1094,"")</f>
        <v/>
      </c>
      <c r="T1094" s="13">
        <f>IFERROR((ABS(N1094-O1094)/MAX(1,(N1094+O1094)))*EXP(-ABS(E1094-CONTROL!E5)/MAX(1,CONTROL!B8)),"")</f>
        <v/>
      </c>
      <c r="U1094" s="13">
        <f>IFERROR(IF(O1094&gt;N1094,"SUPPORT (PE OI)","RESIST (CE OI)"),"")</f>
        <v/>
      </c>
      <c r="V1094" s="13">
        <f>IFERROR(IF(Q1094&gt;0,IF(R1094&gt;0,"BOTH_ADD","CE_ADD_PE_REDUCE"),IF(R1094&gt;0,"CE_REDUCE_PE_ADD","BOTH_REDUCE")),"")</f>
        <v/>
      </c>
      <c r="W1094" s="13">
        <f>IFERROR( (P1094-1)*0.5 + (M1094)*0.1 - (I1094+J1094)*0.05 + T1094*0.4 ,"")</f>
        <v/>
      </c>
      <c r="X1094" s="13">
        <f>IFERROR(IF(ABS(F1094)&lt;0.01,"ATM/NEAR",""),"")</f>
        <v/>
      </c>
    </row>
    <row r="1095">
      <c r="A1095" s="13">
        <f>CHAIN_RAW!A1095</f>
        <v/>
      </c>
      <c r="B1095" s="14">
        <f>CHAIN_RAW!B1095</f>
        <v/>
      </c>
      <c r="C1095" s="13">
        <f>CHAIN_RAW!C1095</f>
        <v/>
      </c>
      <c r="D1095" s="13">
        <f>CHAIN_RAW!D1095</f>
        <v/>
      </c>
      <c r="E1095" s="13">
        <f>CHAIN_RAW!E1095</f>
        <v/>
      </c>
      <c r="F1095" s="13">
        <f>IFERROR((E1095-D1095)/D1095,"")</f>
        <v/>
      </c>
      <c r="G1095" s="13">
        <f>IFERROR((CHAIN_RAW!K1095+CHAIN_RAW!L1095)/2,"")</f>
        <v/>
      </c>
      <c r="H1095" s="13">
        <f>IFERROR((CHAIN_RAW!R1095+CHAIN_RAW!S1095)/2,"")</f>
        <v/>
      </c>
      <c r="I1095" s="13">
        <f>IFERROR((CHAIN_RAW!L1095-CHAIN_RAW!K1095)/MAX(1E-9, G1095),"")</f>
        <v/>
      </c>
      <c r="J1095" s="13">
        <f>IFERROR((CHAIN_RAW!S1095-CHAIN_RAW!R1095)/MAX(1E-9, H1095),"")</f>
        <v/>
      </c>
      <c r="K1095" s="13">
        <f>CHAIN_RAW!G1095</f>
        <v/>
      </c>
      <c r="L1095" s="13">
        <f>CHAIN_RAW!N1095</f>
        <v/>
      </c>
      <c r="M1095" s="13">
        <f>IFERROR(L1095-K1095,"")</f>
        <v/>
      </c>
      <c r="N1095" s="13">
        <f>CHAIN_RAW!H1095</f>
        <v/>
      </c>
      <c r="O1095" s="13">
        <f>CHAIN_RAW!O1095</f>
        <v/>
      </c>
      <c r="P1095" s="13">
        <f>IFERROR(O1095/N1095,"")</f>
        <v/>
      </c>
      <c r="Q1095" s="13">
        <f>CHAIN_RAW!I1095</f>
        <v/>
      </c>
      <c r="R1095" s="13">
        <f>CHAIN_RAW!P1095</f>
        <v/>
      </c>
      <c r="S1095" s="13">
        <f>IFERROR(R1095/Q1095,"")</f>
        <v/>
      </c>
      <c r="T1095" s="13">
        <f>IFERROR((ABS(N1095-O1095)/MAX(1,(N1095+O1095)))*EXP(-ABS(E1095-CONTROL!E5)/MAX(1,CONTROL!B8)),"")</f>
        <v/>
      </c>
      <c r="U1095" s="13">
        <f>IFERROR(IF(O1095&gt;N1095,"SUPPORT (PE OI)","RESIST (CE OI)"),"")</f>
        <v/>
      </c>
      <c r="V1095" s="13">
        <f>IFERROR(IF(Q1095&gt;0,IF(R1095&gt;0,"BOTH_ADD","CE_ADD_PE_REDUCE"),IF(R1095&gt;0,"CE_REDUCE_PE_ADD","BOTH_REDUCE")),"")</f>
        <v/>
      </c>
      <c r="W1095" s="13">
        <f>IFERROR( (P1095-1)*0.5 + (M1095)*0.1 - (I1095+J1095)*0.05 + T1095*0.4 ,"")</f>
        <v/>
      </c>
      <c r="X1095" s="13">
        <f>IFERROR(IF(ABS(F1095)&lt;0.01,"ATM/NEAR",""),"")</f>
        <v/>
      </c>
    </row>
    <row r="1096">
      <c r="A1096" s="13">
        <f>CHAIN_RAW!A1096</f>
        <v/>
      </c>
      <c r="B1096" s="14">
        <f>CHAIN_RAW!B1096</f>
        <v/>
      </c>
      <c r="C1096" s="13">
        <f>CHAIN_RAW!C1096</f>
        <v/>
      </c>
      <c r="D1096" s="13">
        <f>CHAIN_RAW!D1096</f>
        <v/>
      </c>
      <c r="E1096" s="13">
        <f>CHAIN_RAW!E1096</f>
        <v/>
      </c>
      <c r="F1096" s="13">
        <f>IFERROR((E1096-D1096)/D1096,"")</f>
        <v/>
      </c>
      <c r="G1096" s="13">
        <f>IFERROR((CHAIN_RAW!K1096+CHAIN_RAW!L1096)/2,"")</f>
        <v/>
      </c>
      <c r="H1096" s="13">
        <f>IFERROR((CHAIN_RAW!R1096+CHAIN_RAW!S1096)/2,"")</f>
        <v/>
      </c>
      <c r="I1096" s="13">
        <f>IFERROR((CHAIN_RAW!L1096-CHAIN_RAW!K1096)/MAX(1E-9, G1096),"")</f>
        <v/>
      </c>
      <c r="J1096" s="13">
        <f>IFERROR((CHAIN_RAW!S1096-CHAIN_RAW!R1096)/MAX(1E-9, H1096),"")</f>
        <v/>
      </c>
      <c r="K1096" s="13">
        <f>CHAIN_RAW!G1096</f>
        <v/>
      </c>
      <c r="L1096" s="13">
        <f>CHAIN_RAW!N1096</f>
        <v/>
      </c>
      <c r="M1096" s="13">
        <f>IFERROR(L1096-K1096,"")</f>
        <v/>
      </c>
      <c r="N1096" s="13">
        <f>CHAIN_RAW!H1096</f>
        <v/>
      </c>
      <c r="O1096" s="13">
        <f>CHAIN_RAW!O1096</f>
        <v/>
      </c>
      <c r="P1096" s="13">
        <f>IFERROR(O1096/N1096,"")</f>
        <v/>
      </c>
      <c r="Q1096" s="13">
        <f>CHAIN_RAW!I1096</f>
        <v/>
      </c>
      <c r="R1096" s="13">
        <f>CHAIN_RAW!P1096</f>
        <v/>
      </c>
      <c r="S1096" s="13">
        <f>IFERROR(R1096/Q1096,"")</f>
        <v/>
      </c>
      <c r="T1096" s="13">
        <f>IFERROR((ABS(N1096-O1096)/MAX(1,(N1096+O1096)))*EXP(-ABS(E1096-CONTROL!E5)/MAX(1,CONTROL!B8)),"")</f>
        <v/>
      </c>
      <c r="U1096" s="13">
        <f>IFERROR(IF(O1096&gt;N1096,"SUPPORT (PE OI)","RESIST (CE OI)"),"")</f>
        <v/>
      </c>
      <c r="V1096" s="13">
        <f>IFERROR(IF(Q1096&gt;0,IF(R1096&gt;0,"BOTH_ADD","CE_ADD_PE_REDUCE"),IF(R1096&gt;0,"CE_REDUCE_PE_ADD","BOTH_REDUCE")),"")</f>
        <v/>
      </c>
      <c r="W1096" s="13">
        <f>IFERROR( (P1096-1)*0.5 + (M1096)*0.1 - (I1096+J1096)*0.05 + T1096*0.4 ,"")</f>
        <v/>
      </c>
      <c r="X1096" s="13">
        <f>IFERROR(IF(ABS(F1096)&lt;0.01,"ATM/NEAR",""),"")</f>
        <v/>
      </c>
    </row>
    <row r="1097">
      <c r="A1097" s="13">
        <f>CHAIN_RAW!A1097</f>
        <v/>
      </c>
      <c r="B1097" s="14">
        <f>CHAIN_RAW!B1097</f>
        <v/>
      </c>
      <c r="C1097" s="13">
        <f>CHAIN_RAW!C1097</f>
        <v/>
      </c>
      <c r="D1097" s="13">
        <f>CHAIN_RAW!D1097</f>
        <v/>
      </c>
      <c r="E1097" s="13">
        <f>CHAIN_RAW!E1097</f>
        <v/>
      </c>
      <c r="F1097" s="13">
        <f>IFERROR((E1097-D1097)/D1097,"")</f>
        <v/>
      </c>
      <c r="G1097" s="13">
        <f>IFERROR((CHAIN_RAW!K1097+CHAIN_RAW!L1097)/2,"")</f>
        <v/>
      </c>
      <c r="H1097" s="13">
        <f>IFERROR((CHAIN_RAW!R1097+CHAIN_RAW!S1097)/2,"")</f>
        <v/>
      </c>
      <c r="I1097" s="13">
        <f>IFERROR((CHAIN_RAW!L1097-CHAIN_RAW!K1097)/MAX(1E-9, G1097),"")</f>
        <v/>
      </c>
      <c r="J1097" s="13">
        <f>IFERROR((CHAIN_RAW!S1097-CHAIN_RAW!R1097)/MAX(1E-9, H1097),"")</f>
        <v/>
      </c>
      <c r="K1097" s="13">
        <f>CHAIN_RAW!G1097</f>
        <v/>
      </c>
      <c r="L1097" s="13">
        <f>CHAIN_RAW!N1097</f>
        <v/>
      </c>
      <c r="M1097" s="13">
        <f>IFERROR(L1097-K1097,"")</f>
        <v/>
      </c>
      <c r="N1097" s="13">
        <f>CHAIN_RAW!H1097</f>
        <v/>
      </c>
      <c r="O1097" s="13">
        <f>CHAIN_RAW!O1097</f>
        <v/>
      </c>
      <c r="P1097" s="13">
        <f>IFERROR(O1097/N1097,"")</f>
        <v/>
      </c>
      <c r="Q1097" s="13">
        <f>CHAIN_RAW!I1097</f>
        <v/>
      </c>
      <c r="R1097" s="13">
        <f>CHAIN_RAW!P1097</f>
        <v/>
      </c>
      <c r="S1097" s="13">
        <f>IFERROR(R1097/Q1097,"")</f>
        <v/>
      </c>
      <c r="T1097" s="13">
        <f>IFERROR((ABS(N1097-O1097)/MAX(1,(N1097+O1097)))*EXP(-ABS(E1097-CONTROL!E5)/MAX(1,CONTROL!B8)),"")</f>
        <v/>
      </c>
      <c r="U1097" s="13">
        <f>IFERROR(IF(O1097&gt;N1097,"SUPPORT (PE OI)","RESIST (CE OI)"),"")</f>
        <v/>
      </c>
      <c r="V1097" s="13">
        <f>IFERROR(IF(Q1097&gt;0,IF(R1097&gt;0,"BOTH_ADD","CE_ADD_PE_REDUCE"),IF(R1097&gt;0,"CE_REDUCE_PE_ADD","BOTH_REDUCE")),"")</f>
        <v/>
      </c>
      <c r="W1097" s="13">
        <f>IFERROR( (P1097-1)*0.5 + (M1097)*0.1 - (I1097+J1097)*0.05 + T1097*0.4 ,"")</f>
        <v/>
      </c>
      <c r="X1097" s="13">
        <f>IFERROR(IF(ABS(F1097)&lt;0.01,"ATM/NEAR",""),"")</f>
        <v/>
      </c>
    </row>
    <row r="1098">
      <c r="A1098" s="13">
        <f>CHAIN_RAW!A1098</f>
        <v/>
      </c>
      <c r="B1098" s="14">
        <f>CHAIN_RAW!B1098</f>
        <v/>
      </c>
      <c r="C1098" s="13">
        <f>CHAIN_RAW!C1098</f>
        <v/>
      </c>
      <c r="D1098" s="13">
        <f>CHAIN_RAW!D1098</f>
        <v/>
      </c>
      <c r="E1098" s="13">
        <f>CHAIN_RAW!E1098</f>
        <v/>
      </c>
      <c r="F1098" s="13">
        <f>IFERROR((E1098-D1098)/D1098,"")</f>
        <v/>
      </c>
      <c r="G1098" s="13">
        <f>IFERROR((CHAIN_RAW!K1098+CHAIN_RAW!L1098)/2,"")</f>
        <v/>
      </c>
      <c r="H1098" s="13">
        <f>IFERROR((CHAIN_RAW!R1098+CHAIN_RAW!S1098)/2,"")</f>
        <v/>
      </c>
      <c r="I1098" s="13">
        <f>IFERROR((CHAIN_RAW!L1098-CHAIN_RAW!K1098)/MAX(1E-9, G1098),"")</f>
        <v/>
      </c>
      <c r="J1098" s="13">
        <f>IFERROR((CHAIN_RAW!S1098-CHAIN_RAW!R1098)/MAX(1E-9, H1098),"")</f>
        <v/>
      </c>
      <c r="K1098" s="13">
        <f>CHAIN_RAW!G1098</f>
        <v/>
      </c>
      <c r="L1098" s="13">
        <f>CHAIN_RAW!N1098</f>
        <v/>
      </c>
      <c r="M1098" s="13">
        <f>IFERROR(L1098-K1098,"")</f>
        <v/>
      </c>
      <c r="N1098" s="13">
        <f>CHAIN_RAW!H1098</f>
        <v/>
      </c>
      <c r="O1098" s="13">
        <f>CHAIN_RAW!O1098</f>
        <v/>
      </c>
      <c r="P1098" s="13">
        <f>IFERROR(O1098/N1098,"")</f>
        <v/>
      </c>
      <c r="Q1098" s="13">
        <f>CHAIN_RAW!I1098</f>
        <v/>
      </c>
      <c r="R1098" s="13">
        <f>CHAIN_RAW!P1098</f>
        <v/>
      </c>
      <c r="S1098" s="13">
        <f>IFERROR(R1098/Q1098,"")</f>
        <v/>
      </c>
      <c r="T1098" s="13">
        <f>IFERROR((ABS(N1098-O1098)/MAX(1,(N1098+O1098)))*EXP(-ABS(E1098-CONTROL!E5)/MAX(1,CONTROL!B8)),"")</f>
        <v/>
      </c>
      <c r="U1098" s="13">
        <f>IFERROR(IF(O1098&gt;N1098,"SUPPORT (PE OI)","RESIST (CE OI)"),"")</f>
        <v/>
      </c>
      <c r="V1098" s="13">
        <f>IFERROR(IF(Q1098&gt;0,IF(R1098&gt;0,"BOTH_ADD","CE_ADD_PE_REDUCE"),IF(R1098&gt;0,"CE_REDUCE_PE_ADD","BOTH_REDUCE")),"")</f>
        <v/>
      </c>
      <c r="W1098" s="13">
        <f>IFERROR( (P1098-1)*0.5 + (M1098)*0.1 - (I1098+J1098)*0.05 + T1098*0.4 ,"")</f>
        <v/>
      </c>
      <c r="X1098" s="13">
        <f>IFERROR(IF(ABS(F1098)&lt;0.01,"ATM/NEAR",""),"")</f>
        <v/>
      </c>
    </row>
    <row r="1099">
      <c r="A1099" s="13">
        <f>CHAIN_RAW!A1099</f>
        <v/>
      </c>
      <c r="B1099" s="14">
        <f>CHAIN_RAW!B1099</f>
        <v/>
      </c>
      <c r="C1099" s="13">
        <f>CHAIN_RAW!C1099</f>
        <v/>
      </c>
      <c r="D1099" s="13">
        <f>CHAIN_RAW!D1099</f>
        <v/>
      </c>
      <c r="E1099" s="13">
        <f>CHAIN_RAW!E1099</f>
        <v/>
      </c>
      <c r="F1099" s="13">
        <f>IFERROR((E1099-D1099)/D1099,"")</f>
        <v/>
      </c>
      <c r="G1099" s="13">
        <f>IFERROR((CHAIN_RAW!K1099+CHAIN_RAW!L1099)/2,"")</f>
        <v/>
      </c>
      <c r="H1099" s="13">
        <f>IFERROR((CHAIN_RAW!R1099+CHAIN_RAW!S1099)/2,"")</f>
        <v/>
      </c>
      <c r="I1099" s="13">
        <f>IFERROR((CHAIN_RAW!L1099-CHAIN_RAW!K1099)/MAX(1E-9, G1099),"")</f>
        <v/>
      </c>
      <c r="J1099" s="13">
        <f>IFERROR((CHAIN_RAW!S1099-CHAIN_RAW!R1099)/MAX(1E-9, H1099),"")</f>
        <v/>
      </c>
      <c r="K1099" s="13">
        <f>CHAIN_RAW!G1099</f>
        <v/>
      </c>
      <c r="L1099" s="13">
        <f>CHAIN_RAW!N1099</f>
        <v/>
      </c>
      <c r="M1099" s="13">
        <f>IFERROR(L1099-K1099,"")</f>
        <v/>
      </c>
      <c r="N1099" s="13">
        <f>CHAIN_RAW!H1099</f>
        <v/>
      </c>
      <c r="O1099" s="13">
        <f>CHAIN_RAW!O1099</f>
        <v/>
      </c>
      <c r="P1099" s="13">
        <f>IFERROR(O1099/N1099,"")</f>
        <v/>
      </c>
      <c r="Q1099" s="13">
        <f>CHAIN_RAW!I1099</f>
        <v/>
      </c>
      <c r="R1099" s="13">
        <f>CHAIN_RAW!P1099</f>
        <v/>
      </c>
      <c r="S1099" s="13">
        <f>IFERROR(R1099/Q1099,"")</f>
        <v/>
      </c>
      <c r="T1099" s="13">
        <f>IFERROR((ABS(N1099-O1099)/MAX(1,(N1099+O1099)))*EXP(-ABS(E1099-CONTROL!E5)/MAX(1,CONTROL!B8)),"")</f>
        <v/>
      </c>
      <c r="U1099" s="13">
        <f>IFERROR(IF(O1099&gt;N1099,"SUPPORT (PE OI)","RESIST (CE OI)"),"")</f>
        <v/>
      </c>
      <c r="V1099" s="13">
        <f>IFERROR(IF(Q1099&gt;0,IF(R1099&gt;0,"BOTH_ADD","CE_ADD_PE_REDUCE"),IF(R1099&gt;0,"CE_REDUCE_PE_ADD","BOTH_REDUCE")),"")</f>
        <v/>
      </c>
      <c r="W1099" s="13">
        <f>IFERROR( (P1099-1)*0.5 + (M1099)*0.1 - (I1099+J1099)*0.05 + T1099*0.4 ,"")</f>
        <v/>
      </c>
      <c r="X1099" s="13">
        <f>IFERROR(IF(ABS(F1099)&lt;0.01,"ATM/NEAR",""),"")</f>
        <v/>
      </c>
    </row>
    <row r="1100">
      <c r="A1100" s="13">
        <f>CHAIN_RAW!A1100</f>
        <v/>
      </c>
      <c r="B1100" s="14">
        <f>CHAIN_RAW!B1100</f>
        <v/>
      </c>
      <c r="C1100" s="13">
        <f>CHAIN_RAW!C1100</f>
        <v/>
      </c>
      <c r="D1100" s="13">
        <f>CHAIN_RAW!D1100</f>
        <v/>
      </c>
      <c r="E1100" s="13">
        <f>CHAIN_RAW!E1100</f>
        <v/>
      </c>
      <c r="F1100" s="13">
        <f>IFERROR((E1100-D1100)/D1100,"")</f>
        <v/>
      </c>
      <c r="G1100" s="13">
        <f>IFERROR((CHAIN_RAW!K1100+CHAIN_RAW!L1100)/2,"")</f>
        <v/>
      </c>
      <c r="H1100" s="13">
        <f>IFERROR((CHAIN_RAW!R1100+CHAIN_RAW!S1100)/2,"")</f>
        <v/>
      </c>
      <c r="I1100" s="13">
        <f>IFERROR((CHAIN_RAW!L1100-CHAIN_RAW!K1100)/MAX(1E-9, G1100),"")</f>
        <v/>
      </c>
      <c r="J1100" s="13">
        <f>IFERROR((CHAIN_RAW!S1100-CHAIN_RAW!R1100)/MAX(1E-9, H1100),"")</f>
        <v/>
      </c>
      <c r="K1100" s="13">
        <f>CHAIN_RAW!G1100</f>
        <v/>
      </c>
      <c r="L1100" s="13">
        <f>CHAIN_RAW!N1100</f>
        <v/>
      </c>
      <c r="M1100" s="13">
        <f>IFERROR(L1100-K1100,"")</f>
        <v/>
      </c>
      <c r="N1100" s="13">
        <f>CHAIN_RAW!H1100</f>
        <v/>
      </c>
      <c r="O1100" s="13">
        <f>CHAIN_RAW!O1100</f>
        <v/>
      </c>
      <c r="P1100" s="13">
        <f>IFERROR(O1100/N1100,"")</f>
        <v/>
      </c>
      <c r="Q1100" s="13">
        <f>CHAIN_RAW!I1100</f>
        <v/>
      </c>
      <c r="R1100" s="13">
        <f>CHAIN_RAW!P1100</f>
        <v/>
      </c>
      <c r="S1100" s="13">
        <f>IFERROR(R1100/Q1100,"")</f>
        <v/>
      </c>
      <c r="T1100" s="13">
        <f>IFERROR((ABS(N1100-O1100)/MAX(1,(N1100+O1100)))*EXP(-ABS(E1100-CONTROL!E5)/MAX(1,CONTROL!B8)),"")</f>
        <v/>
      </c>
      <c r="U1100" s="13">
        <f>IFERROR(IF(O1100&gt;N1100,"SUPPORT (PE OI)","RESIST (CE OI)"),"")</f>
        <v/>
      </c>
      <c r="V1100" s="13">
        <f>IFERROR(IF(Q1100&gt;0,IF(R1100&gt;0,"BOTH_ADD","CE_ADD_PE_REDUCE"),IF(R1100&gt;0,"CE_REDUCE_PE_ADD","BOTH_REDUCE")),"")</f>
        <v/>
      </c>
      <c r="W1100" s="13">
        <f>IFERROR( (P1100-1)*0.5 + (M1100)*0.1 - (I1100+J1100)*0.05 + T1100*0.4 ,"")</f>
        <v/>
      </c>
      <c r="X1100" s="13">
        <f>IFERROR(IF(ABS(F1100)&lt;0.01,"ATM/NEAR",""),"")</f>
        <v/>
      </c>
    </row>
    <row r="1101">
      <c r="A1101" s="13">
        <f>CHAIN_RAW!A1101</f>
        <v/>
      </c>
      <c r="B1101" s="14">
        <f>CHAIN_RAW!B1101</f>
        <v/>
      </c>
      <c r="C1101" s="13">
        <f>CHAIN_RAW!C1101</f>
        <v/>
      </c>
      <c r="D1101" s="13">
        <f>CHAIN_RAW!D1101</f>
        <v/>
      </c>
      <c r="E1101" s="13">
        <f>CHAIN_RAW!E1101</f>
        <v/>
      </c>
      <c r="F1101" s="13">
        <f>IFERROR((E1101-D1101)/D1101,"")</f>
        <v/>
      </c>
      <c r="G1101" s="13">
        <f>IFERROR((CHAIN_RAW!K1101+CHAIN_RAW!L1101)/2,"")</f>
        <v/>
      </c>
      <c r="H1101" s="13">
        <f>IFERROR((CHAIN_RAW!R1101+CHAIN_RAW!S1101)/2,"")</f>
        <v/>
      </c>
      <c r="I1101" s="13">
        <f>IFERROR((CHAIN_RAW!L1101-CHAIN_RAW!K1101)/MAX(1E-9, G1101),"")</f>
        <v/>
      </c>
      <c r="J1101" s="13">
        <f>IFERROR((CHAIN_RAW!S1101-CHAIN_RAW!R1101)/MAX(1E-9, H1101),"")</f>
        <v/>
      </c>
      <c r="K1101" s="13">
        <f>CHAIN_RAW!G1101</f>
        <v/>
      </c>
      <c r="L1101" s="13">
        <f>CHAIN_RAW!N1101</f>
        <v/>
      </c>
      <c r="M1101" s="13">
        <f>IFERROR(L1101-K1101,"")</f>
        <v/>
      </c>
      <c r="N1101" s="13">
        <f>CHAIN_RAW!H1101</f>
        <v/>
      </c>
      <c r="O1101" s="13">
        <f>CHAIN_RAW!O1101</f>
        <v/>
      </c>
      <c r="P1101" s="13">
        <f>IFERROR(O1101/N1101,"")</f>
        <v/>
      </c>
      <c r="Q1101" s="13">
        <f>CHAIN_RAW!I1101</f>
        <v/>
      </c>
      <c r="R1101" s="13">
        <f>CHAIN_RAW!P1101</f>
        <v/>
      </c>
      <c r="S1101" s="13">
        <f>IFERROR(R1101/Q1101,"")</f>
        <v/>
      </c>
      <c r="T1101" s="13">
        <f>IFERROR((ABS(N1101-O1101)/MAX(1,(N1101+O1101)))*EXP(-ABS(E1101-CONTROL!E5)/MAX(1,CONTROL!B8)),"")</f>
        <v/>
      </c>
      <c r="U1101" s="13">
        <f>IFERROR(IF(O1101&gt;N1101,"SUPPORT (PE OI)","RESIST (CE OI)"),"")</f>
        <v/>
      </c>
      <c r="V1101" s="13">
        <f>IFERROR(IF(Q1101&gt;0,IF(R1101&gt;0,"BOTH_ADD","CE_ADD_PE_REDUCE"),IF(R1101&gt;0,"CE_REDUCE_PE_ADD","BOTH_REDUCE")),"")</f>
        <v/>
      </c>
      <c r="W1101" s="13">
        <f>IFERROR( (P1101-1)*0.5 + (M1101)*0.1 - (I1101+J1101)*0.05 + T1101*0.4 ,"")</f>
        <v/>
      </c>
      <c r="X1101" s="13">
        <f>IFERROR(IF(ABS(F1101)&lt;0.01,"ATM/NEAR",""),"")</f>
        <v/>
      </c>
    </row>
    <row r="1102">
      <c r="A1102" s="13">
        <f>CHAIN_RAW!A1102</f>
        <v/>
      </c>
      <c r="B1102" s="14">
        <f>CHAIN_RAW!B1102</f>
        <v/>
      </c>
      <c r="C1102" s="13">
        <f>CHAIN_RAW!C1102</f>
        <v/>
      </c>
      <c r="D1102" s="13">
        <f>CHAIN_RAW!D1102</f>
        <v/>
      </c>
      <c r="E1102" s="13">
        <f>CHAIN_RAW!E1102</f>
        <v/>
      </c>
      <c r="F1102" s="13">
        <f>IFERROR((E1102-D1102)/D1102,"")</f>
        <v/>
      </c>
      <c r="G1102" s="13">
        <f>IFERROR((CHAIN_RAW!K1102+CHAIN_RAW!L1102)/2,"")</f>
        <v/>
      </c>
      <c r="H1102" s="13">
        <f>IFERROR((CHAIN_RAW!R1102+CHAIN_RAW!S1102)/2,"")</f>
        <v/>
      </c>
      <c r="I1102" s="13">
        <f>IFERROR((CHAIN_RAW!L1102-CHAIN_RAW!K1102)/MAX(1E-9, G1102),"")</f>
        <v/>
      </c>
      <c r="J1102" s="13">
        <f>IFERROR((CHAIN_RAW!S1102-CHAIN_RAW!R1102)/MAX(1E-9, H1102),"")</f>
        <v/>
      </c>
      <c r="K1102" s="13">
        <f>CHAIN_RAW!G1102</f>
        <v/>
      </c>
      <c r="L1102" s="13">
        <f>CHAIN_RAW!N1102</f>
        <v/>
      </c>
      <c r="M1102" s="13">
        <f>IFERROR(L1102-K1102,"")</f>
        <v/>
      </c>
      <c r="N1102" s="13">
        <f>CHAIN_RAW!H1102</f>
        <v/>
      </c>
      <c r="O1102" s="13">
        <f>CHAIN_RAW!O1102</f>
        <v/>
      </c>
      <c r="P1102" s="13">
        <f>IFERROR(O1102/N1102,"")</f>
        <v/>
      </c>
      <c r="Q1102" s="13">
        <f>CHAIN_RAW!I1102</f>
        <v/>
      </c>
      <c r="R1102" s="13">
        <f>CHAIN_RAW!P1102</f>
        <v/>
      </c>
      <c r="S1102" s="13">
        <f>IFERROR(R1102/Q1102,"")</f>
        <v/>
      </c>
      <c r="T1102" s="13">
        <f>IFERROR((ABS(N1102-O1102)/MAX(1,(N1102+O1102)))*EXP(-ABS(E1102-CONTROL!E5)/MAX(1,CONTROL!B8)),"")</f>
        <v/>
      </c>
      <c r="U1102" s="13">
        <f>IFERROR(IF(O1102&gt;N1102,"SUPPORT (PE OI)","RESIST (CE OI)"),"")</f>
        <v/>
      </c>
      <c r="V1102" s="13">
        <f>IFERROR(IF(Q1102&gt;0,IF(R1102&gt;0,"BOTH_ADD","CE_ADD_PE_REDUCE"),IF(R1102&gt;0,"CE_REDUCE_PE_ADD","BOTH_REDUCE")),"")</f>
        <v/>
      </c>
      <c r="W1102" s="13">
        <f>IFERROR( (P1102-1)*0.5 + (M1102)*0.1 - (I1102+J1102)*0.05 + T1102*0.4 ,"")</f>
        <v/>
      </c>
      <c r="X1102" s="13">
        <f>IFERROR(IF(ABS(F1102)&lt;0.01,"ATM/NEAR",""),"")</f>
        <v/>
      </c>
    </row>
    <row r="1103">
      <c r="A1103" s="13">
        <f>CHAIN_RAW!A1103</f>
        <v/>
      </c>
      <c r="B1103" s="14">
        <f>CHAIN_RAW!B1103</f>
        <v/>
      </c>
      <c r="C1103" s="13">
        <f>CHAIN_RAW!C1103</f>
        <v/>
      </c>
      <c r="D1103" s="13">
        <f>CHAIN_RAW!D1103</f>
        <v/>
      </c>
      <c r="E1103" s="13">
        <f>CHAIN_RAW!E1103</f>
        <v/>
      </c>
      <c r="F1103" s="13">
        <f>IFERROR((E1103-D1103)/D1103,"")</f>
        <v/>
      </c>
      <c r="G1103" s="13">
        <f>IFERROR((CHAIN_RAW!K1103+CHAIN_RAW!L1103)/2,"")</f>
        <v/>
      </c>
      <c r="H1103" s="13">
        <f>IFERROR((CHAIN_RAW!R1103+CHAIN_RAW!S1103)/2,"")</f>
        <v/>
      </c>
      <c r="I1103" s="13">
        <f>IFERROR((CHAIN_RAW!L1103-CHAIN_RAW!K1103)/MAX(1E-9, G1103),"")</f>
        <v/>
      </c>
      <c r="J1103" s="13">
        <f>IFERROR((CHAIN_RAW!S1103-CHAIN_RAW!R1103)/MAX(1E-9, H1103),"")</f>
        <v/>
      </c>
      <c r="K1103" s="13">
        <f>CHAIN_RAW!G1103</f>
        <v/>
      </c>
      <c r="L1103" s="13">
        <f>CHAIN_RAW!N1103</f>
        <v/>
      </c>
      <c r="M1103" s="13">
        <f>IFERROR(L1103-K1103,"")</f>
        <v/>
      </c>
      <c r="N1103" s="13">
        <f>CHAIN_RAW!H1103</f>
        <v/>
      </c>
      <c r="O1103" s="13">
        <f>CHAIN_RAW!O1103</f>
        <v/>
      </c>
      <c r="P1103" s="13">
        <f>IFERROR(O1103/N1103,"")</f>
        <v/>
      </c>
      <c r="Q1103" s="13">
        <f>CHAIN_RAW!I1103</f>
        <v/>
      </c>
      <c r="R1103" s="13">
        <f>CHAIN_RAW!P1103</f>
        <v/>
      </c>
      <c r="S1103" s="13">
        <f>IFERROR(R1103/Q1103,"")</f>
        <v/>
      </c>
      <c r="T1103" s="13">
        <f>IFERROR((ABS(N1103-O1103)/MAX(1,(N1103+O1103)))*EXP(-ABS(E1103-CONTROL!E5)/MAX(1,CONTROL!B8)),"")</f>
        <v/>
      </c>
      <c r="U1103" s="13">
        <f>IFERROR(IF(O1103&gt;N1103,"SUPPORT (PE OI)","RESIST (CE OI)"),"")</f>
        <v/>
      </c>
      <c r="V1103" s="13">
        <f>IFERROR(IF(Q1103&gt;0,IF(R1103&gt;0,"BOTH_ADD","CE_ADD_PE_REDUCE"),IF(R1103&gt;0,"CE_REDUCE_PE_ADD","BOTH_REDUCE")),"")</f>
        <v/>
      </c>
      <c r="W1103" s="13">
        <f>IFERROR( (P1103-1)*0.5 + (M1103)*0.1 - (I1103+J1103)*0.05 + T1103*0.4 ,"")</f>
        <v/>
      </c>
      <c r="X1103" s="13">
        <f>IFERROR(IF(ABS(F1103)&lt;0.01,"ATM/NEAR",""),"")</f>
        <v/>
      </c>
    </row>
    <row r="1104">
      <c r="A1104" s="13">
        <f>CHAIN_RAW!A1104</f>
        <v/>
      </c>
      <c r="B1104" s="14">
        <f>CHAIN_RAW!B1104</f>
        <v/>
      </c>
      <c r="C1104" s="13">
        <f>CHAIN_RAW!C1104</f>
        <v/>
      </c>
      <c r="D1104" s="13">
        <f>CHAIN_RAW!D1104</f>
        <v/>
      </c>
      <c r="E1104" s="13">
        <f>CHAIN_RAW!E1104</f>
        <v/>
      </c>
      <c r="F1104" s="13">
        <f>IFERROR((E1104-D1104)/D1104,"")</f>
        <v/>
      </c>
      <c r="G1104" s="13">
        <f>IFERROR((CHAIN_RAW!K1104+CHAIN_RAW!L1104)/2,"")</f>
        <v/>
      </c>
      <c r="H1104" s="13">
        <f>IFERROR((CHAIN_RAW!R1104+CHAIN_RAW!S1104)/2,"")</f>
        <v/>
      </c>
      <c r="I1104" s="13">
        <f>IFERROR((CHAIN_RAW!L1104-CHAIN_RAW!K1104)/MAX(1E-9, G1104),"")</f>
        <v/>
      </c>
      <c r="J1104" s="13">
        <f>IFERROR((CHAIN_RAW!S1104-CHAIN_RAW!R1104)/MAX(1E-9, H1104),"")</f>
        <v/>
      </c>
      <c r="K1104" s="13">
        <f>CHAIN_RAW!G1104</f>
        <v/>
      </c>
      <c r="L1104" s="13">
        <f>CHAIN_RAW!N1104</f>
        <v/>
      </c>
      <c r="M1104" s="13">
        <f>IFERROR(L1104-K1104,"")</f>
        <v/>
      </c>
      <c r="N1104" s="13">
        <f>CHAIN_RAW!H1104</f>
        <v/>
      </c>
      <c r="O1104" s="13">
        <f>CHAIN_RAW!O1104</f>
        <v/>
      </c>
      <c r="P1104" s="13">
        <f>IFERROR(O1104/N1104,"")</f>
        <v/>
      </c>
      <c r="Q1104" s="13">
        <f>CHAIN_RAW!I1104</f>
        <v/>
      </c>
      <c r="R1104" s="13">
        <f>CHAIN_RAW!P1104</f>
        <v/>
      </c>
      <c r="S1104" s="13">
        <f>IFERROR(R1104/Q1104,"")</f>
        <v/>
      </c>
      <c r="T1104" s="13">
        <f>IFERROR((ABS(N1104-O1104)/MAX(1,(N1104+O1104)))*EXP(-ABS(E1104-CONTROL!E5)/MAX(1,CONTROL!B8)),"")</f>
        <v/>
      </c>
      <c r="U1104" s="13">
        <f>IFERROR(IF(O1104&gt;N1104,"SUPPORT (PE OI)","RESIST (CE OI)"),"")</f>
        <v/>
      </c>
      <c r="V1104" s="13">
        <f>IFERROR(IF(Q1104&gt;0,IF(R1104&gt;0,"BOTH_ADD","CE_ADD_PE_REDUCE"),IF(R1104&gt;0,"CE_REDUCE_PE_ADD","BOTH_REDUCE")),"")</f>
        <v/>
      </c>
      <c r="W1104" s="13">
        <f>IFERROR( (P1104-1)*0.5 + (M1104)*0.1 - (I1104+J1104)*0.05 + T1104*0.4 ,"")</f>
        <v/>
      </c>
      <c r="X1104" s="13">
        <f>IFERROR(IF(ABS(F1104)&lt;0.01,"ATM/NEAR",""),"")</f>
        <v/>
      </c>
    </row>
    <row r="1105">
      <c r="A1105" s="13">
        <f>CHAIN_RAW!A1105</f>
        <v/>
      </c>
      <c r="B1105" s="14">
        <f>CHAIN_RAW!B1105</f>
        <v/>
      </c>
      <c r="C1105" s="13">
        <f>CHAIN_RAW!C1105</f>
        <v/>
      </c>
      <c r="D1105" s="13">
        <f>CHAIN_RAW!D1105</f>
        <v/>
      </c>
      <c r="E1105" s="13">
        <f>CHAIN_RAW!E1105</f>
        <v/>
      </c>
      <c r="F1105" s="13">
        <f>IFERROR((E1105-D1105)/D1105,"")</f>
        <v/>
      </c>
      <c r="G1105" s="13">
        <f>IFERROR((CHAIN_RAW!K1105+CHAIN_RAW!L1105)/2,"")</f>
        <v/>
      </c>
      <c r="H1105" s="13">
        <f>IFERROR((CHAIN_RAW!R1105+CHAIN_RAW!S1105)/2,"")</f>
        <v/>
      </c>
      <c r="I1105" s="13">
        <f>IFERROR((CHAIN_RAW!L1105-CHAIN_RAW!K1105)/MAX(1E-9, G1105),"")</f>
        <v/>
      </c>
      <c r="J1105" s="13">
        <f>IFERROR((CHAIN_RAW!S1105-CHAIN_RAW!R1105)/MAX(1E-9, H1105),"")</f>
        <v/>
      </c>
      <c r="K1105" s="13">
        <f>CHAIN_RAW!G1105</f>
        <v/>
      </c>
      <c r="L1105" s="13">
        <f>CHAIN_RAW!N1105</f>
        <v/>
      </c>
      <c r="M1105" s="13">
        <f>IFERROR(L1105-K1105,"")</f>
        <v/>
      </c>
      <c r="N1105" s="13">
        <f>CHAIN_RAW!H1105</f>
        <v/>
      </c>
      <c r="O1105" s="13">
        <f>CHAIN_RAW!O1105</f>
        <v/>
      </c>
      <c r="P1105" s="13">
        <f>IFERROR(O1105/N1105,"")</f>
        <v/>
      </c>
      <c r="Q1105" s="13">
        <f>CHAIN_RAW!I1105</f>
        <v/>
      </c>
      <c r="R1105" s="13">
        <f>CHAIN_RAW!P1105</f>
        <v/>
      </c>
      <c r="S1105" s="13">
        <f>IFERROR(R1105/Q1105,"")</f>
        <v/>
      </c>
      <c r="T1105" s="13">
        <f>IFERROR((ABS(N1105-O1105)/MAX(1,(N1105+O1105)))*EXP(-ABS(E1105-CONTROL!E5)/MAX(1,CONTROL!B8)),"")</f>
        <v/>
      </c>
      <c r="U1105" s="13">
        <f>IFERROR(IF(O1105&gt;N1105,"SUPPORT (PE OI)","RESIST (CE OI)"),"")</f>
        <v/>
      </c>
      <c r="V1105" s="13">
        <f>IFERROR(IF(Q1105&gt;0,IF(R1105&gt;0,"BOTH_ADD","CE_ADD_PE_REDUCE"),IF(R1105&gt;0,"CE_REDUCE_PE_ADD","BOTH_REDUCE")),"")</f>
        <v/>
      </c>
      <c r="W1105" s="13">
        <f>IFERROR( (P1105-1)*0.5 + (M1105)*0.1 - (I1105+J1105)*0.05 + T1105*0.4 ,"")</f>
        <v/>
      </c>
      <c r="X1105" s="13">
        <f>IFERROR(IF(ABS(F1105)&lt;0.01,"ATM/NEAR",""),"")</f>
        <v/>
      </c>
    </row>
    <row r="1106">
      <c r="A1106" s="13">
        <f>CHAIN_RAW!A1106</f>
        <v/>
      </c>
      <c r="B1106" s="14">
        <f>CHAIN_RAW!B1106</f>
        <v/>
      </c>
      <c r="C1106" s="13">
        <f>CHAIN_RAW!C1106</f>
        <v/>
      </c>
      <c r="D1106" s="13">
        <f>CHAIN_RAW!D1106</f>
        <v/>
      </c>
      <c r="E1106" s="13">
        <f>CHAIN_RAW!E1106</f>
        <v/>
      </c>
      <c r="F1106" s="13">
        <f>IFERROR((E1106-D1106)/D1106,"")</f>
        <v/>
      </c>
      <c r="G1106" s="13">
        <f>IFERROR((CHAIN_RAW!K1106+CHAIN_RAW!L1106)/2,"")</f>
        <v/>
      </c>
      <c r="H1106" s="13">
        <f>IFERROR((CHAIN_RAW!R1106+CHAIN_RAW!S1106)/2,"")</f>
        <v/>
      </c>
      <c r="I1106" s="13">
        <f>IFERROR((CHAIN_RAW!L1106-CHAIN_RAW!K1106)/MAX(1E-9, G1106),"")</f>
        <v/>
      </c>
      <c r="J1106" s="13">
        <f>IFERROR((CHAIN_RAW!S1106-CHAIN_RAW!R1106)/MAX(1E-9, H1106),"")</f>
        <v/>
      </c>
      <c r="K1106" s="13">
        <f>CHAIN_RAW!G1106</f>
        <v/>
      </c>
      <c r="L1106" s="13">
        <f>CHAIN_RAW!N1106</f>
        <v/>
      </c>
      <c r="M1106" s="13">
        <f>IFERROR(L1106-K1106,"")</f>
        <v/>
      </c>
      <c r="N1106" s="13">
        <f>CHAIN_RAW!H1106</f>
        <v/>
      </c>
      <c r="O1106" s="13">
        <f>CHAIN_RAW!O1106</f>
        <v/>
      </c>
      <c r="P1106" s="13">
        <f>IFERROR(O1106/N1106,"")</f>
        <v/>
      </c>
      <c r="Q1106" s="13">
        <f>CHAIN_RAW!I1106</f>
        <v/>
      </c>
      <c r="R1106" s="13">
        <f>CHAIN_RAW!P1106</f>
        <v/>
      </c>
      <c r="S1106" s="13">
        <f>IFERROR(R1106/Q1106,"")</f>
        <v/>
      </c>
      <c r="T1106" s="13">
        <f>IFERROR((ABS(N1106-O1106)/MAX(1,(N1106+O1106)))*EXP(-ABS(E1106-CONTROL!E5)/MAX(1,CONTROL!B8)),"")</f>
        <v/>
      </c>
      <c r="U1106" s="13">
        <f>IFERROR(IF(O1106&gt;N1106,"SUPPORT (PE OI)","RESIST (CE OI)"),"")</f>
        <v/>
      </c>
      <c r="V1106" s="13">
        <f>IFERROR(IF(Q1106&gt;0,IF(R1106&gt;0,"BOTH_ADD","CE_ADD_PE_REDUCE"),IF(R1106&gt;0,"CE_REDUCE_PE_ADD","BOTH_REDUCE")),"")</f>
        <v/>
      </c>
      <c r="W1106" s="13">
        <f>IFERROR( (P1106-1)*0.5 + (M1106)*0.1 - (I1106+J1106)*0.05 + T1106*0.4 ,"")</f>
        <v/>
      </c>
      <c r="X1106" s="13">
        <f>IFERROR(IF(ABS(F1106)&lt;0.01,"ATM/NEAR",""),"")</f>
        <v/>
      </c>
    </row>
    <row r="1107">
      <c r="A1107" s="13">
        <f>CHAIN_RAW!A1107</f>
        <v/>
      </c>
      <c r="B1107" s="14">
        <f>CHAIN_RAW!B1107</f>
        <v/>
      </c>
      <c r="C1107" s="13">
        <f>CHAIN_RAW!C1107</f>
        <v/>
      </c>
      <c r="D1107" s="13">
        <f>CHAIN_RAW!D1107</f>
        <v/>
      </c>
      <c r="E1107" s="13">
        <f>CHAIN_RAW!E1107</f>
        <v/>
      </c>
      <c r="F1107" s="13">
        <f>IFERROR((E1107-D1107)/D1107,"")</f>
        <v/>
      </c>
      <c r="G1107" s="13">
        <f>IFERROR((CHAIN_RAW!K1107+CHAIN_RAW!L1107)/2,"")</f>
        <v/>
      </c>
      <c r="H1107" s="13">
        <f>IFERROR((CHAIN_RAW!R1107+CHAIN_RAW!S1107)/2,"")</f>
        <v/>
      </c>
      <c r="I1107" s="13">
        <f>IFERROR((CHAIN_RAW!L1107-CHAIN_RAW!K1107)/MAX(1E-9, G1107),"")</f>
        <v/>
      </c>
      <c r="J1107" s="13">
        <f>IFERROR((CHAIN_RAW!S1107-CHAIN_RAW!R1107)/MAX(1E-9, H1107),"")</f>
        <v/>
      </c>
      <c r="K1107" s="13">
        <f>CHAIN_RAW!G1107</f>
        <v/>
      </c>
      <c r="L1107" s="13">
        <f>CHAIN_RAW!N1107</f>
        <v/>
      </c>
      <c r="M1107" s="13">
        <f>IFERROR(L1107-K1107,"")</f>
        <v/>
      </c>
      <c r="N1107" s="13">
        <f>CHAIN_RAW!H1107</f>
        <v/>
      </c>
      <c r="O1107" s="13">
        <f>CHAIN_RAW!O1107</f>
        <v/>
      </c>
      <c r="P1107" s="13">
        <f>IFERROR(O1107/N1107,"")</f>
        <v/>
      </c>
      <c r="Q1107" s="13">
        <f>CHAIN_RAW!I1107</f>
        <v/>
      </c>
      <c r="R1107" s="13">
        <f>CHAIN_RAW!P1107</f>
        <v/>
      </c>
      <c r="S1107" s="13">
        <f>IFERROR(R1107/Q1107,"")</f>
        <v/>
      </c>
      <c r="T1107" s="13">
        <f>IFERROR((ABS(N1107-O1107)/MAX(1,(N1107+O1107)))*EXP(-ABS(E1107-CONTROL!E5)/MAX(1,CONTROL!B8)),"")</f>
        <v/>
      </c>
      <c r="U1107" s="13">
        <f>IFERROR(IF(O1107&gt;N1107,"SUPPORT (PE OI)","RESIST (CE OI)"),"")</f>
        <v/>
      </c>
      <c r="V1107" s="13">
        <f>IFERROR(IF(Q1107&gt;0,IF(R1107&gt;0,"BOTH_ADD","CE_ADD_PE_REDUCE"),IF(R1107&gt;0,"CE_REDUCE_PE_ADD","BOTH_REDUCE")),"")</f>
        <v/>
      </c>
      <c r="W1107" s="13">
        <f>IFERROR( (P1107-1)*0.5 + (M1107)*0.1 - (I1107+J1107)*0.05 + T1107*0.4 ,"")</f>
        <v/>
      </c>
      <c r="X1107" s="13">
        <f>IFERROR(IF(ABS(F1107)&lt;0.01,"ATM/NEAR",""),"")</f>
        <v/>
      </c>
    </row>
    <row r="1108">
      <c r="A1108" s="13">
        <f>CHAIN_RAW!A1108</f>
        <v/>
      </c>
      <c r="B1108" s="14">
        <f>CHAIN_RAW!B1108</f>
        <v/>
      </c>
      <c r="C1108" s="13">
        <f>CHAIN_RAW!C1108</f>
        <v/>
      </c>
      <c r="D1108" s="13">
        <f>CHAIN_RAW!D1108</f>
        <v/>
      </c>
      <c r="E1108" s="13">
        <f>CHAIN_RAW!E1108</f>
        <v/>
      </c>
      <c r="F1108" s="13">
        <f>IFERROR((E1108-D1108)/D1108,"")</f>
        <v/>
      </c>
      <c r="G1108" s="13">
        <f>IFERROR((CHAIN_RAW!K1108+CHAIN_RAW!L1108)/2,"")</f>
        <v/>
      </c>
      <c r="H1108" s="13">
        <f>IFERROR((CHAIN_RAW!R1108+CHAIN_RAW!S1108)/2,"")</f>
        <v/>
      </c>
      <c r="I1108" s="13">
        <f>IFERROR((CHAIN_RAW!L1108-CHAIN_RAW!K1108)/MAX(1E-9, G1108),"")</f>
        <v/>
      </c>
      <c r="J1108" s="13">
        <f>IFERROR((CHAIN_RAW!S1108-CHAIN_RAW!R1108)/MAX(1E-9, H1108),"")</f>
        <v/>
      </c>
      <c r="K1108" s="13">
        <f>CHAIN_RAW!G1108</f>
        <v/>
      </c>
      <c r="L1108" s="13">
        <f>CHAIN_RAW!N1108</f>
        <v/>
      </c>
      <c r="M1108" s="13">
        <f>IFERROR(L1108-K1108,"")</f>
        <v/>
      </c>
      <c r="N1108" s="13">
        <f>CHAIN_RAW!H1108</f>
        <v/>
      </c>
      <c r="O1108" s="13">
        <f>CHAIN_RAW!O1108</f>
        <v/>
      </c>
      <c r="P1108" s="13">
        <f>IFERROR(O1108/N1108,"")</f>
        <v/>
      </c>
      <c r="Q1108" s="13">
        <f>CHAIN_RAW!I1108</f>
        <v/>
      </c>
      <c r="R1108" s="13">
        <f>CHAIN_RAW!P1108</f>
        <v/>
      </c>
      <c r="S1108" s="13">
        <f>IFERROR(R1108/Q1108,"")</f>
        <v/>
      </c>
      <c r="T1108" s="13">
        <f>IFERROR((ABS(N1108-O1108)/MAX(1,(N1108+O1108)))*EXP(-ABS(E1108-CONTROL!E5)/MAX(1,CONTROL!B8)),"")</f>
        <v/>
      </c>
      <c r="U1108" s="13">
        <f>IFERROR(IF(O1108&gt;N1108,"SUPPORT (PE OI)","RESIST (CE OI)"),"")</f>
        <v/>
      </c>
      <c r="V1108" s="13">
        <f>IFERROR(IF(Q1108&gt;0,IF(R1108&gt;0,"BOTH_ADD","CE_ADD_PE_REDUCE"),IF(R1108&gt;0,"CE_REDUCE_PE_ADD","BOTH_REDUCE")),"")</f>
        <v/>
      </c>
      <c r="W1108" s="13">
        <f>IFERROR( (P1108-1)*0.5 + (M1108)*0.1 - (I1108+J1108)*0.05 + T1108*0.4 ,"")</f>
        <v/>
      </c>
      <c r="X1108" s="13">
        <f>IFERROR(IF(ABS(F1108)&lt;0.01,"ATM/NEAR",""),"")</f>
        <v/>
      </c>
    </row>
    <row r="1109">
      <c r="A1109" s="13">
        <f>CHAIN_RAW!A1109</f>
        <v/>
      </c>
      <c r="B1109" s="14">
        <f>CHAIN_RAW!B1109</f>
        <v/>
      </c>
      <c r="C1109" s="13">
        <f>CHAIN_RAW!C1109</f>
        <v/>
      </c>
      <c r="D1109" s="13">
        <f>CHAIN_RAW!D1109</f>
        <v/>
      </c>
      <c r="E1109" s="13">
        <f>CHAIN_RAW!E1109</f>
        <v/>
      </c>
      <c r="F1109" s="13">
        <f>IFERROR((E1109-D1109)/D1109,"")</f>
        <v/>
      </c>
      <c r="G1109" s="13">
        <f>IFERROR((CHAIN_RAW!K1109+CHAIN_RAW!L1109)/2,"")</f>
        <v/>
      </c>
      <c r="H1109" s="13">
        <f>IFERROR((CHAIN_RAW!R1109+CHAIN_RAW!S1109)/2,"")</f>
        <v/>
      </c>
      <c r="I1109" s="13">
        <f>IFERROR((CHAIN_RAW!L1109-CHAIN_RAW!K1109)/MAX(1E-9, G1109),"")</f>
        <v/>
      </c>
      <c r="J1109" s="13">
        <f>IFERROR((CHAIN_RAW!S1109-CHAIN_RAW!R1109)/MAX(1E-9, H1109),"")</f>
        <v/>
      </c>
      <c r="K1109" s="13">
        <f>CHAIN_RAW!G1109</f>
        <v/>
      </c>
      <c r="L1109" s="13">
        <f>CHAIN_RAW!N1109</f>
        <v/>
      </c>
      <c r="M1109" s="13">
        <f>IFERROR(L1109-K1109,"")</f>
        <v/>
      </c>
      <c r="N1109" s="13">
        <f>CHAIN_RAW!H1109</f>
        <v/>
      </c>
      <c r="O1109" s="13">
        <f>CHAIN_RAW!O1109</f>
        <v/>
      </c>
      <c r="P1109" s="13">
        <f>IFERROR(O1109/N1109,"")</f>
        <v/>
      </c>
      <c r="Q1109" s="13">
        <f>CHAIN_RAW!I1109</f>
        <v/>
      </c>
      <c r="R1109" s="13">
        <f>CHAIN_RAW!P1109</f>
        <v/>
      </c>
      <c r="S1109" s="13">
        <f>IFERROR(R1109/Q1109,"")</f>
        <v/>
      </c>
      <c r="T1109" s="13">
        <f>IFERROR((ABS(N1109-O1109)/MAX(1,(N1109+O1109)))*EXP(-ABS(E1109-CONTROL!E5)/MAX(1,CONTROL!B8)),"")</f>
        <v/>
      </c>
      <c r="U1109" s="13">
        <f>IFERROR(IF(O1109&gt;N1109,"SUPPORT (PE OI)","RESIST (CE OI)"),"")</f>
        <v/>
      </c>
      <c r="V1109" s="13">
        <f>IFERROR(IF(Q1109&gt;0,IF(R1109&gt;0,"BOTH_ADD","CE_ADD_PE_REDUCE"),IF(R1109&gt;0,"CE_REDUCE_PE_ADD","BOTH_REDUCE")),"")</f>
        <v/>
      </c>
      <c r="W1109" s="13">
        <f>IFERROR( (P1109-1)*0.5 + (M1109)*0.1 - (I1109+J1109)*0.05 + T1109*0.4 ,"")</f>
        <v/>
      </c>
      <c r="X1109" s="13">
        <f>IFERROR(IF(ABS(F1109)&lt;0.01,"ATM/NEAR",""),"")</f>
        <v/>
      </c>
    </row>
    <row r="1110">
      <c r="A1110" s="13">
        <f>CHAIN_RAW!A1110</f>
        <v/>
      </c>
      <c r="B1110" s="14">
        <f>CHAIN_RAW!B1110</f>
        <v/>
      </c>
      <c r="C1110" s="13">
        <f>CHAIN_RAW!C1110</f>
        <v/>
      </c>
      <c r="D1110" s="13">
        <f>CHAIN_RAW!D1110</f>
        <v/>
      </c>
      <c r="E1110" s="13">
        <f>CHAIN_RAW!E1110</f>
        <v/>
      </c>
      <c r="F1110" s="13">
        <f>IFERROR((E1110-D1110)/D1110,"")</f>
        <v/>
      </c>
      <c r="G1110" s="13">
        <f>IFERROR((CHAIN_RAW!K1110+CHAIN_RAW!L1110)/2,"")</f>
        <v/>
      </c>
      <c r="H1110" s="13">
        <f>IFERROR((CHAIN_RAW!R1110+CHAIN_RAW!S1110)/2,"")</f>
        <v/>
      </c>
      <c r="I1110" s="13">
        <f>IFERROR((CHAIN_RAW!L1110-CHAIN_RAW!K1110)/MAX(1E-9, G1110),"")</f>
        <v/>
      </c>
      <c r="J1110" s="13">
        <f>IFERROR((CHAIN_RAW!S1110-CHAIN_RAW!R1110)/MAX(1E-9, H1110),"")</f>
        <v/>
      </c>
      <c r="K1110" s="13">
        <f>CHAIN_RAW!G1110</f>
        <v/>
      </c>
      <c r="L1110" s="13">
        <f>CHAIN_RAW!N1110</f>
        <v/>
      </c>
      <c r="M1110" s="13">
        <f>IFERROR(L1110-K1110,"")</f>
        <v/>
      </c>
      <c r="N1110" s="13">
        <f>CHAIN_RAW!H1110</f>
        <v/>
      </c>
      <c r="O1110" s="13">
        <f>CHAIN_RAW!O1110</f>
        <v/>
      </c>
      <c r="P1110" s="13">
        <f>IFERROR(O1110/N1110,"")</f>
        <v/>
      </c>
      <c r="Q1110" s="13">
        <f>CHAIN_RAW!I1110</f>
        <v/>
      </c>
      <c r="R1110" s="13">
        <f>CHAIN_RAW!P1110</f>
        <v/>
      </c>
      <c r="S1110" s="13">
        <f>IFERROR(R1110/Q1110,"")</f>
        <v/>
      </c>
      <c r="T1110" s="13">
        <f>IFERROR((ABS(N1110-O1110)/MAX(1,(N1110+O1110)))*EXP(-ABS(E1110-CONTROL!E5)/MAX(1,CONTROL!B8)),"")</f>
        <v/>
      </c>
      <c r="U1110" s="13">
        <f>IFERROR(IF(O1110&gt;N1110,"SUPPORT (PE OI)","RESIST (CE OI)"),"")</f>
        <v/>
      </c>
      <c r="V1110" s="13">
        <f>IFERROR(IF(Q1110&gt;0,IF(R1110&gt;0,"BOTH_ADD","CE_ADD_PE_REDUCE"),IF(R1110&gt;0,"CE_REDUCE_PE_ADD","BOTH_REDUCE")),"")</f>
        <v/>
      </c>
      <c r="W1110" s="13">
        <f>IFERROR( (P1110-1)*0.5 + (M1110)*0.1 - (I1110+J1110)*0.05 + T1110*0.4 ,"")</f>
        <v/>
      </c>
      <c r="X1110" s="13">
        <f>IFERROR(IF(ABS(F1110)&lt;0.01,"ATM/NEAR",""),"")</f>
        <v/>
      </c>
    </row>
    <row r="1111">
      <c r="A1111" s="13">
        <f>CHAIN_RAW!A1111</f>
        <v/>
      </c>
      <c r="B1111" s="14">
        <f>CHAIN_RAW!B1111</f>
        <v/>
      </c>
      <c r="C1111" s="13">
        <f>CHAIN_RAW!C1111</f>
        <v/>
      </c>
      <c r="D1111" s="13">
        <f>CHAIN_RAW!D1111</f>
        <v/>
      </c>
      <c r="E1111" s="13">
        <f>CHAIN_RAW!E1111</f>
        <v/>
      </c>
      <c r="F1111" s="13">
        <f>IFERROR((E1111-D1111)/D1111,"")</f>
        <v/>
      </c>
      <c r="G1111" s="13">
        <f>IFERROR((CHAIN_RAW!K1111+CHAIN_RAW!L1111)/2,"")</f>
        <v/>
      </c>
      <c r="H1111" s="13">
        <f>IFERROR((CHAIN_RAW!R1111+CHAIN_RAW!S1111)/2,"")</f>
        <v/>
      </c>
      <c r="I1111" s="13">
        <f>IFERROR((CHAIN_RAW!L1111-CHAIN_RAW!K1111)/MAX(1E-9, G1111),"")</f>
        <v/>
      </c>
      <c r="J1111" s="13">
        <f>IFERROR((CHAIN_RAW!S1111-CHAIN_RAW!R1111)/MAX(1E-9, H1111),"")</f>
        <v/>
      </c>
      <c r="K1111" s="13">
        <f>CHAIN_RAW!G1111</f>
        <v/>
      </c>
      <c r="L1111" s="13">
        <f>CHAIN_RAW!N1111</f>
        <v/>
      </c>
      <c r="M1111" s="13">
        <f>IFERROR(L1111-K1111,"")</f>
        <v/>
      </c>
      <c r="N1111" s="13">
        <f>CHAIN_RAW!H1111</f>
        <v/>
      </c>
      <c r="O1111" s="13">
        <f>CHAIN_RAW!O1111</f>
        <v/>
      </c>
      <c r="P1111" s="13">
        <f>IFERROR(O1111/N1111,"")</f>
        <v/>
      </c>
      <c r="Q1111" s="13">
        <f>CHAIN_RAW!I1111</f>
        <v/>
      </c>
      <c r="R1111" s="13">
        <f>CHAIN_RAW!P1111</f>
        <v/>
      </c>
      <c r="S1111" s="13">
        <f>IFERROR(R1111/Q1111,"")</f>
        <v/>
      </c>
      <c r="T1111" s="13">
        <f>IFERROR((ABS(N1111-O1111)/MAX(1,(N1111+O1111)))*EXP(-ABS(E1111-CONTROL!E5)/MAX(1,CONTROL!B8)),"")</f>
        <v/>
      </c>
      <c r="U1111" s="13">
        <f>IFERROR(IF(O1111&gt;N1111,"SUPPORT (PE OI)","RESIST (CE OI)"),"")</f>
        <v/>
      </c>
      <c r="V1111" s="13">
        <f>IFERROR(IF(Q1111&gt;0,IF(R1111&gt;0,"BOTH_ADD","CE_ADD_PE_REDUCE"),IF(R1111&gt;0,"CE_REDUCE_PE_ADD","BOTH_REDUCE")),"")</f>
        <v/>
      </c>
      <c r="W1111" s="13">
        <f>IFERROR( (P1111-1)*0.5 + (M1111)*0.1 - (I1111+J1111)*0.05 + T1111*0.4 ,"")</f>
        <v/>
      </c>
      <c r="X1111" s="13">
        <f>IFERROR(IF(ABS(F1111)&lt;0.01,"ATM/NEAR",""),"")</f>
        <v/>
      </c>
    </row>
    <row r="1112">
      <c r="A1112" s="13">
        <f>CHAIN_RAW!A1112</f>
        <v/>
      </c>
      <c r="B1112" s="14">
        <f>CHAIN_RAW!B1112</f>
        <v/>
      </c>
      <c r="C1112" s="13">
        <f>CHAIN_RAW!C1112</f>
        <v/>
      </c>
      <c r="D1112" s="13">
        <f>CHAIN_RAW!D1112</f>
        <v/>
      </c>
      <c r="E1112" s="13">
        <f>CHAIN_RAW!E1112</f>
        <v/>
      </c>
      <c r="F1112" s="13">
        <f>IFERROR((E1112-D1112)/D1112,"")</f>
        <v/>
      </c>
      <c r="G1112" s="13">
        <f>IFERROR((CHAIN_RAW!K1112+CHAIN_RAW!L1112)/2,"")</f>
        <v/>
      </c>
      <c r="H1112" s="13">
        <f>IFERROR((CHAIN_RAW!R1112+CHAIN_RAW!S1112)/2,"")</f>
        <v/>
      </c>
      <c r="I1112" s="13">
        <f>IFERROR((CHAIN_RAW!L1112-CHAIN_RAW!K1112)/MAX(1E-9, G1112),"")</f>
        <v/>
      </c>
      <c r="J1112" s="13">
        <f>IFERROR((CHAIN_RAW!S1112-CHAIN_RAW!R1112)/MAX(1E-9, H1112),"")</f>
        <v/>
      </c>
      <c r="K1112" s="13">
        <f>CHAIN_RAW!G1112</f>
        <v/>
      </c>
      <c r="L1112" s="13">
        <f>CHAIN_RAW!N1112</f>
        <v/>
      </c>
      <c r="M1112" s="13">
        <f>IFERROR(L1112-K1112,"")</f>
        <v/>
      </c>
      <c r="N1112" s="13">
        <f>CHAIN_RAW!H1112</f>
        <v/>
      </c>
      <c r="O1112" s="13">
        <f>CHAIN_RAW!O1112</f>
        <v/>
      </c>
      <c r="P1112" s="13">
        <f>IFERROR(O1112/N1112,"")</f>
        <v/>
      </c>
      <c r="Q1112" s="13">
        <f>CHAIN_RAW!I1112</f>
        <v/>
      </c>
      <c r="R1112" s="13">
        <f>CHAIN_RAW!P1112</f>
        <v/>
      </c>
      <c r="S1112" s="13">
        <f>IFERROR(R1112/Q1112,"")</f>
        <v/>
      </c>
      <c r="T1112" s="13">
        <f>IFERROR((ABS(N1112-O1112)/MAX(1,(N1112+O1112)))*EXP(-ABS(E1112-CONTROL!E5)/MAX(1,CONTROL!B8)),"")</f>
        <v/>
      </c>
      <c r="U1112" s="13">
        <f>IFERROR(IF(O1112&gt;N1112,"SUPPORT (PE OI)","RESIST (CE OI)"),"")</f>
        <v/>
      </c>
      <c r="V1112" s="13">
        <f>IFERROR(IF(Q1112&gt;0,IF(R1112&gt;0,"BOTH_ADD","CE_ADD_PE_REDUCE"),IF(R1112&gt;0,"CE_REDUCE_PE_ADD","BOTH_REDUCE")),"")</f>
        <v/>
      </c>
      <c r="W1112" s="13">
        <f>IFERROR( (P1112-1)*0.5 + (M1112)*0.1 - (I1112+J1112)*0.05 + T1112*0.4 ,"")</f>
        <v/>
      </c>
      <c r="X1112" s="13">
        <f>IFERROR(IF(ABS(F1112)&lt;0.01,"ATM/NEAR",""),"")</f>
        <v/>
      </c>
    </row>
    <row r="1113">
      <c r="A1113" s="13">
        <f>CHAIN_RAW!A1113</f>
        <v/>
      </c>
      <c r="B1113" s="14">
        <f>CHAIN_RAW!B1113</f>
        <v/>
      </c>
      <c r="C1113" s="13">
        <f>CHAIN_RAW!C1113</f>
        <v/>
      </c>
      <c r="D1113" s="13">
        <f>CHAIN_RAW!D1113</f>
        <v/>
      </c>
      <c r="E1113" s="13">
        <f>CHAIN_RAW!E1113</f>
        <v/>
      </c>
      <c r="F1113" s="13">
        <f>IFERROR((E1113-D1113)/D1113,"")</f>
        <v/>
      </c>
      <c r="G1113" s="13">
        <f>IFERROR((CHAIN_RAW!K1113+CHAIN_RAW!L1113)/2,"")</f>
        <v/>
      </c>
      <c r="H1113" s="13">
        <f>IFERROR((CHAIN_RAW!R1113+CHAIN_RAW!S1113)/2,"")</f>
        <v/>
      </c>
      <c r="I1113" s="13">
        <f>IFERROR((CHAIN_RAW!L1113-CHAIN_RAW!K1113)/MAX(1E-9, G1113),"")</f>
        <v/>
      </c>
      <c r="J1113" s="13">
        <f>IFERROR((CHAIN_RAW!S1113-CHAIN_RAW!R1113)/MAX(1E-9, H1113),"")</f>
        <v/>
      </c>
      <c r="K1113" s="13">
        <f>CHAIN_RAW!G1113</f>
        <v/>
      </c>
      <c r="L1113" s="13">
        <f>CHAIN_RAW!N1113</f>
        <v/>
      </c>
      <c r="M1113" s="13">
        <f>IFERROR(L1113-K1113,"")</f>
        <v/>
      </c>
      <c r="N1113" s="13">
        <f>CHAIN_RAW!H1113</f>
        <v/>
      </c>
      <c r="O1113" s="13">
        <f>CHAIN_RAW!O1113</f>
        <v/>
      </c>
      <c r="P1113" s="13">
        <f>IFERROR(O1113/N1113,"")</f>
        <v/>
      </c>
      <c r="Q1113" s="13">
        <f>CHAIN_RAW!I1113</f>
        <v/>
      </c>
      <c r="R1113" s="13">
        <f>CHAIN_RAW!P1113</f>
        <v/>
      </c>
      <c r="S1113" s="13">
        <f>IFERROR(R1113/Q1113,"")</f>
        <v/>
      </c>
      <c r="T1113" s="13">
        <f>IFERROR((ABS(N1113-O1113)/MAX(1,(N1113+O1113)))*EXP(-ABS(E1113-CONTROL!E5)/MAX(1,CONTROL!B8)),"")</f>
        <v/>
      </c>
      <c r="U1113" s="13">
        <f>IFERROR(IF(O1113&gt;N1113,"SUPPORT (PE OI)","RESIST (CE OI)"),"")</f>
        <v/>
      </c>
      <c r="V1113" s="13">
        <f>IFERROR(IF(Q1113&gt;0,IF(R1113&gt;0,"BOTH_ADD","CE_ADD_PE_REDUCE"),IF(R1113&gt;0,"CE_REDUCE_PE_ADD","BOTH_REDUCE")),"")</f>
        <v/>
      </c>
      <c r="W1113" s="13">
        <f>IFERROR( (P1113-1)*0.5 + (M1113)*0.1 - (I1113+J1113)*0.05 + T1113*0.4 ,"")</f>
        <v/>
      </c>
      <c r="X1113" s="13">
        <f>IFERROR(IF(ABS(F1113)&lt;0.01,"ATM/NEAR",""),"")</f>
        <v/>
      </c>
    </row>
    <row r="1114">
      <c r="A1114" s="13">
        <f>CHAIN_RAW!A1114</f>
        <v/>
      </c>
      <c r="B1114" s="14">
        <f>CHAIN_RAW!B1114</f>
        <v/>
      </c>
      <c r="C1114" s="13">
        <f>CHAIN_RAW!C1114</f>
        <v/>
      </c>
      <c r="D1114" s="13">
        <f>CHAIN_RAW!D1114</f>
        <v/>
      </c>
      <c r="E1114" s="13">
        <f>CHAIN_RAW!E1114</f>
        <v/>
      </c>
      <c r="F1114" s="13">
        <f>IFERROR((E1114-D1114)/D1114,"")</f>
        <v/>
      </c>
      <c r="G1114" s="13">
        <f>IFERROR((CHAIN_RAW!K1114+CHAIN_RAW!L1114)/2,"")</f>
        <v/>
      </c>
      <c r="H1114" s="13">
        <f>IFERROR((CHAIN_RAW!R1114+CHAIN_RAW!S1114)/2,"")</f>
        <v/>
      </c>
      <c r="I1114" s="13">
        <f>IFERROR((CHAIN_RAW!L1114-CHAIN_RAW!K1114)/MAX(1E-9, G1114),"")</f>
        <v/>
      </c>
      <c r="J1114" s="13">
        <f>IFERROR((CHAIN_RAW!S1114-CHAIN_RAW!R1114)/MAX(1E-9, H1114),"")</f>
        <v/>
      </c>
      <c r="K1114" s="13">
        <f>CHAIN_RAW!G1114</f>
        <v/>
      </c>
      <c r="L1114" s="13">
        <f>CHAIN_RAW!N1114</f>
        <v/>
      </c>
      <c r="M1114" s="13">
        <f>IFERROR(L1114-K1114,"")</f>
        <v/>
      </c>
      <c r="N1114" s="13">
        <f>CHAIN_RAW!H1114</f>
        <v/>
      </c>
      <c r="O1114" s="13">
        <f>CHAIN_RAW!O1114</f>
        <v/>
      </c>
      <c r="P1114" s="13">
        <f>IFERROR(O1114/N1114,"")</f>
        <v/>
      </c>
      <c r="Q1114" s="13">
        <f>CHAIN_RAW!I1114</f>
        <v/>
      </c>
      <c r="R1114" s="13">
        <f>CHAIN_RAW!P1114</f>
        <v/>
      </c>
      <c r="S1114" s="13">
        <f>IFERROR(R1114/Q1114,"")</f>
        <v/>
      </c>
      <c r="T1114" s="13">
        <f>IFERROR((ABS(N1114-O1114)/MAX(1,(N1114+O1114)))*EXP(-ABS(E1114-CONTROL!E5)/MAX(1,CONTROL!B8)),"")</f>
        <v/>
      </c>
      <c r="U1114" s="13">
        <f>IFERROR(IF(O1114&gt;N1114,"SUPPORT (PE OI)","RESIST (CE OI)"),"")</f>
        <v/>
      </c>
      <c r="V1114" s="13">
        <f>IFERROR(IF(Q1114&gt;0,IF(R1114&gt;0,"BOTH_ADD","CE_ADD_PE_REDUCE"),IF(R1114&gt;0,"CE_REDUCE_PE_ADD","BOTH_REDUCE")),"")</f>
        <v/>
      </c>
      <c r="W1114" s="13">
        <f>IFERROR( (P1114-1)*0.5 + (M1114)*0.1 - (I1114+J1114)*0.05 + T1114*0.4 ,"")</f>
        <v/>
      </c>
      <c r="X1114" s="13">
        <f>IFERROR(IF(ABS(F1114)&lt;0.01,"ATM/NEAR",""),"")</f>
        <v/>
      </c>
    </row>
    <row r="1115">
      <c r="A1115" s="13">
        <f>CHAIN_RAW!A1115</f>
        <v/>
      </c>
      <c r="B1115" s="14">
        <f>CHAIN_RAW!B1115</f>
        <v/>
      </c>
      <c r="C1115" s="13">
        <f>CHAIN_RAW!C1115</f>
        <v/>
      </c>
      <c r="D1115" s="13">
        <f>CHAIN_RAW!D1115</f>
        <v/>
      </c>
      <c r="E1115" s="13">
        <f>CHAIN_RAW!E1115</f>
        <v/>
      </c>
      <c r="F1115" s="13">
        <f>IFERROR((E1115-D1115)/D1115,"")</f>
        <v/>
      </c>
      <c r="G1115" s="13">
        <f>IFERROR((CHAIN_RAW!K1115+CHAIN_RAW!L1115)/2,"")</f>
        <v/>
      </c>
      <c r="H1115" s="13">
        <f>IFERROR((CHAIN_RAW!R1115+CHAIN_RAW!S1115)/2,"")</f>
        <v/>
      </c>
      <c r="I1115" s="13">
        <f>IFERROR((CHAIN_RAW!L1115-CHAIN_RAW!K1115)/MAX(1E-9, G1115),"")</f>
        <v/>
      </c>
      <c r="J1115" s="13">
        <f>IFERROR((CHAIN_RAW!S1115-CHAIN_RAW!R1115)/MAX(1E-9, H1115),"")</f>
        <v/>
      </c>
      <c r="K1115" s="13">
        <f>CHAIN_RAW!G1115</f>
        <v/>
      </c>
      <c r="L1115" s="13">
        <f>CHAIN_RAW!N1115</f>
        <v/>
      </c>
      <c r="M1115" s="13">
        <f>IFERROR(L1115-K1115,"")</f>
        <v/>
      </c>
      <c r="N1115" s="13">
        <f>CHAIN_RAW!H1115</f>
        <v/>
      </c>
      <c r="O1115" s="13">
        <f>CHAIN_RAW!O1115</f>
        <v/>
      </c>
      <c r="P1115" s="13">
        <f>IFERROR(O1115/N1115,"")</f>
        <v/>
      </c>
      <c r="Q1115" s="13">
        <f>CHAIN_RAW!I1115</f>
        <v/>
      </c>
      <c r="R1115" s="13">
        <f>CHAIN_RAW!P1115</f>
        <v/>
      </c>
      <c r="S1115" s="13">
        <f>IFERROR(R1115/Q1115,"")</f>
        <v/>
      </c>
      <c r="T1115" s="13">
        <f>IFERROR((ABS(N1115-O1115)/MAX(1,(N1115+O1115)))*EXP(-ABS(E1115-CONTROL!E5)/MAX(1,CONTROL!B8)),"")</f>
        <v/>
      </c>
      <c r="U1115" s="13">
        <f>IFERROR(IF(O1115&gt;N1115,"SUPPORT (PE OI)","RESIST (CE OI)"),"")</f>
        <v/>
      </c>
      <c r="V1115" s="13">
        <f>IFERROR(IF(Q1115&gt;0,IF(R1115&gt;0,"BOTH_ADD","CE_ADD_PE_REDUCE"),IF(R1115&gt;0,"CE_REDUCE_PE_ADD","BOTH_REDUCE")),"")</f>
        <v/>
      </c>
      <c r="W1115" s="13">
        <f>IFERROR( (P1115-1)*0.5 + (M1115)*0.1 - (I1115+J1115)*0.05 + T1115*0.4 ,"")</f>
        <v/>
      </c>
      <c r="X1115" s="13">
        <f>IFERROR(IF(ABS(F1115)&lt;0.01,"ATM/NEAR",""),"")</f>
        <v/>
      </c>
    </row>
    <row r="1116">
      <c r="A1116" s="13">
        <f>CHAIN_RAW!A1116</f>
        <v/>
      </c>
      <c r="B1116" s="14">
        <f>CHAIN_RAW!B1116</f>
        <v/>
      </c>
      <c r="C1116" s="13">
        <f>CHAIN_RAW!C1116</f>
        <v/>
      </c>
      <c r="D1116" s="13">
        <f>CHAIN_RAW!D1116</f>
        <v/>
      </c>
      <c r="E1116" s="13">
        <f>CHAIN_RAW!E1116</f>
        <v/>
      </c>
      <c r="F1116" s="13">
        <f>IFERROR((E1116-D1116)/D1116,"")</f>
        <v/>
      </c>
      <c r="G1116" s="13">
        <f>IFERROR((CHAIN_RAW!K1116+CHAIN_RAW!L1116)/2,"")</f>
        <v/>
      </c>
      <c r="H1116" s="13">
        <f>IFERROR((CHAIN_RAW!R1116+CHAIN_RAW!S1116)/2,"")</f>
        <v/>
      </c>
      <c r="I1116" s="13">
        <f>IFERROR((CHAIN_RAW!L1116-CHAIN_RAW!K1116)/MAX(1E-9, G1116),"")</f>
        <v/>
      </c>
      <c r="J1116" s="13">
        <f>IFERROR((CHAIN_RAW!S1116-CHAIN_RAW!R1116)/MAX(1E-9, H1116),"")</f>
        <v/>
      </c>
      <c r="K1116" s="13">
        <f>CHAIN_RAW!G1116</f>
        <v/>
      </c>
      <c r="L1116" s="13">
        <f>CHAIN_RAW!N1116</f>
        <v/>
      </c>
      <c r="M1116" s="13">
        <f>IFERROR(L1116-K1116,"")</f>
        <v/>
      </c>
      <c r="N1116" s="13">
        <f>CHAIN_RAW!H1116</f>
        <v/>
      </c>
      <c r="O1116" s="13">
        <f>CHAIN_RAW!O1116</f>
        <v/>
      </c>
      <c r="P1116" s="13">
        <f>IFERROR(O1116/N1116,"")</f>
        <v/>
      </c>
      <c r="Q1116" s="13">
        <f>CHAIN_RAW!I1116</f>
        <v/>
      </c>
      <c r="R1116" s="13">
        <f>CHAIN_RAW!P1116</f>
        <v/>
      </c>
      <c r="S1116" s="13">
        <f>IFERROR(R1116/Q1116,"")</f>
        <v/>
      </c>
      <c r="T1116" s="13">
        <f>IFERROR((ABS(N1116-O1116)/MAX(1,(N1116+O1116)))*EXP(-ABS(E1116-CONTROL!E5)/MAX(1,CONTROL!B8)),"")</f>
        <v/>
      </c>
      <c r="U1116" s="13">
        <f>IFERROR(IF(O1116&gt;N1116,"SUPPORT (PE OI)","RESIST (CE OI)"),"")</f>
        <v/>
      </c>
      <c r="V1116" s="13">
        <f>IFERROR(IF(Q1116&gt;0,IF(R1116&gt;0,"BOTH_ADD","CE_ADD_PE_REDUCE"),IF(R1116&gt;0,"CE_REDUCE_PE_ADD","BOTH_REDUCE")),"")</f>
        <v/>
      </c>
      <c r="W1116" s="13">
        <f>IFERROR( (P1116-1)*0.5 + (M1116)*0.1 - (I1116+J1116)*0.05 + T1116*0.4 ,"")</f>
        <v/>
      </c>
      <c r="X1116" s="13">
        <f>IFERROR(IF(ABS(F1116)&lt;0.01,"ATM/NEAR",""),"")</f>
        <v/>
      </c>
    </row>
    <row r="1117">
      <c r="A1117" s="13">
        <f>CHAIN_RAW!A1117</f>
        <v/>
      </c>
      <c r="B1117" s="14">
        <f>CHAIN_RAW!B1117</f>
        <v/>
      </c>
      <c r="C1117" s="13">
        <f>CHAIN_RAW!C1117</f>
        <v/>
      </c>
      <c r="D1117" s="13">
        <f>CHAIN_RAW!D1117</f>
        <v/>
      </c>
      <c r="E1117" s="13">
        <f>CHAIN_RAW!E1117</f>
        <v/>
      </c>
      <c r="F1117" s="13">
        <f>IFERROR((E1117-D1117)/D1117,"")</f>
        <v/>
      </c>
      <c r="G1117" s="13">
        <f>IFERROR((CHAIN_RAW!K1117+CHAIN_RAW!L1117)/2,"")</f>
        <v/>
      </c>
      <c r="H1117" s="13">
        <f>IFERROR((CHAIN_RAW!R1117+CHAIN_RAW!S1117)/2,"")</f>
        <v/>
      </c>
      <c r="I1117" s="13">
        <f>IFERROR((CHAIN_RAW!L1117-CHAIN_RAW!K1117)/MAX(1E-9, G1117),"")</f>
        <v/>
      </c>
      <c r="J1117" s="13">
        <f>IFERROR((CHAIN_RAW!S1117-CHAIN_RAW!R1117)/MAX(1E-9, H1117),"")</f>
        <v/>
      </c>
      <c r="K1117" s="13">
        <f>CHAIN_RAW!G1117</f>
        <v/>
      </c>
      <c r="L1117" s="13">
        <f>CHAIN_RAW!N1117</f>
        <v/>
      </c>
      <c r="M1117" s="13">
        <f>IFERROR(L1117-K1117,"")</f>
        <v/>
      </c>
      <c r="N1117" s="13">
        <f>CHAIN_RAW!H1117</f>
        <v/>
      </c>
      <c r="O1117" s="13">
        <f>CHAIN_RAW!O1117</f>
        <v/>
      </c>
      <c r="P1117" s="13">
        <f>IFERROR(O1117/N1117,"")</f>
        <v/>
      </c>
      <c r="Q1117" s="13">
        <f>CHAIN_RAW!I1117</f>
        <v/>
      </c>
      <c r="R1117" s="13">
        <f>CHAIN_RAW!P1117</f>
        <v/>
      </c>
      <c r="S1117" s="13">
        <f>IFERROR(R1117/Q1117,"")</f>
        <v/>
      </c>
      <c r="T1117" s="13">
        <f>IFERROR((ABS(N1117-O1117)/MAX(1,(N1117+O1117)))*EXP(-ABS(E1117-CONTROL!E5)/MAX(1,CONTROL!B8)),"")</f>
        <v/>
      </c>
      <c r="U1117" s="13">
        <f>IFERROR(IF(O1117&gt;N1117,"SUPPORT (PE OI)","RESIST (CE OI)"),"")</f>
        <v/>
      </c>
      <c r="V1117" s="13">
        <f>IFERROR(IF(Q1117&gt;0,IF(R1117&gt;0,"BOTH_ADD","CE_ADD_PE_REDUCE"),IF(R1117&gt;0,"CE_REDUCE_PE_ADD","BOTH_REDUCE")),"")</f>
        <v/>
      </c>
      <c r="W1117" s="13">
        <f>IFERROR( (P1117-1)*0.5 + (M1117)*0.1 - (I1117+J1117)*0.05 + T1117*0.4 ,"")</f>
        <v/>
      </c>
      <c r="X1117" s="13">
        <f>IFERROR(IF(ABS(F1117)&lt;0.01,"ATM/NEAR",""),"")</f>
        <v/>
      </c>
    </row>
    <row r="1118">
      <c r="A1118" s="13">
        <f>CHAIN_RAW!A1118</f>
        <v/>
      </c>
      <c r="B1118" s="14">
        <f>CHAIN_RAW!B1118</f>
        <v/>
      </c>
      <c r="C1118" s="13">
        <f>CHAIN_RAW!C1118</f>
        <v/>
      </c>
      <c r="D1118" s="13">
        <f>CHAIN_RAW!D1118</f>
        <v/>
      </c>
      <c r="E1118" s="13">
        <f>CHAIN_RAW!E1118</f>
        <v/>
      </c>
      <c r="F1118" s="13">
        <f>IFERROR((E1118-D1118)/D1118,"")</f>
        <v/>
      </c>
      <c r="G1118" s="13">
        <f>IFERROR((CHAIN_RAW!K1118+CHAIN_RAW!L1118)/2,"")</f>
        <v/>
      </c>
      <c r="H1118" s="13">
        <f>IFERROR((CHAIN_RAW!R1118+CHAIN_RAW!S1118)/2,"")</f>
        <v/>
      </c>
      <c r="I1118" s="13">
        <f>IFERROR((CHAIN_RAW!L1118-CHAIN_RAW!K1118)/MAX(1E-9, G1118),"")</f>
        <v/>
      </c>
      <c r="J1118" s="13">
        <f>IFERROR((CHAIN_RAW!S1118-CHAIN_RAW!R1118)/MAX(1E-9, H1118),"")</f>
        <v/>
      </c>
      <c r="K1118" s="13">
        <f>CHAIN_RAW!G1118</f>
        <v/>
      </c>
      <c r="L1118" s="13">
        <f>CHAIN_RAW!N1118</f>
        <v/>
      </c>
      <c r="M1118" s="13">
        <f>IFERROR(L1118-K1118,"")</f>
        <v/>
      </c>
      <c r="N1118" s="13">
        <f>CHAIN_RAW!H1118</f>
        <v/>
      </c>
      <c r="O1118" s="13">
        <f>CHAIN_RAW!O1118</f>
        <v/>
      </c>
      <c r="P1118" s="13">
        <f>IFERROR(O1118/N1118,"")</f>
        <v/>
      </c>
      <c r="Q1118" s="13">
        <f>CHAIN_RAW!I1118</f>
        <v/>
      </c>
      <c r="R1118" s="13">
        <f>CHAIN_RAW!P1118</f>
        <v/>
      </c>
      <c r="S1118" s="13">
        <f>IFERROR(R1118/Q1118,"")</f>
        <v/>
      </c>
      <c r="T1118" s="13">
        <f>IFERROR((ABS(N1118-O1118)/MAX(1,(N1118+O1118)))*EXP(-ABS(E1118-CONTROL!E5)/MAX(1,CONTROL!B8)),"")</f>
        <v/>
      </c>
      <c r="U1118" s="13">
        <f>IFERROR(IF(O1118&gt;N1118,"SUPPORT (PE OI)","RESIST (CE OI)"),"")</f>
        <v/>
      </c>
      <c r="V1118" s="13">
        <f>IFERROR(IF(Q1118&gt;0,IF(R1118&gt;0,"BOTH_ADD","CE_ADD_PE_REDUCE"),IF(R1118&gt;0,"CE_REDUCE_PE_ADD","BOTH_REDUCE")),"")</f>
        <v/>
      </c>
      <c r="W1118" s="13">
        <f>IFERROR( (P1118-1)*0.5 + (M1118)*0.1 - (I1118+J1118)*0.05 + T1118*0.4 ,"")</f>
        <v/>
      </c>
      <c r="X1118" s="13">
        <f>IFERROR(IF(ABS(F1118)&lt;0.01,"ATM/NEAR",""),"")</f>
        <v/>
      </c>
    </row>
    <row r="1119">
      <c r="A1119" s="13">
        <f>CHAIN_RAW!A1119</f>
        <v/>
      </c>
      <c r="B1119" s="14">
        <f>CHAIN_RAW!B1119</f>
        <v/>
      </c>
      <c r="C1119" s="13">
        <f>CHAIN_RAW!C1119</f>
        <v/>
      </c>
      <c r="D1119" s="13">
        <f>CHAIN_RAW!D1119</f>
        <v/>
      </c>
      <c r="E1119" s="13">
        <f>CHAIN_RAW!E1119</f>
        <v/>
      </c>
      <c r="F1119" s="13">
        <f>IFERROR((E1119-D1119)/D1119,"")</f>
        <v/>
      </c>
      <c r="G1119" s="13">
        <f>IFERROR((CHAIN_RAW!K1119+CHAIN_RAW!L1119)/2,"")</f>
        <v/>
      </c>
      <c r="H1119" s="13">
        <f>IFERROR((CHAIN_RAW!R1119+CHAIN_RAW!S1119)/2,"")</f>
        <v/>
      </c>
      <c r="I1119" s="13">
        <f>IFERROR((CHAIN_RAW!L1119-CHAIN_RAW!K1119)/MAX(1E-9, G1119),"")</f>
        <v/>
      </c>
      <c r="J1119" s="13">
        <f>IFERROR((CHAIN_RAW!S1119-CHAIN_RAW!R1119)/MAX(1E-9, H1119),"")</f>
        <v/>
      </c>
      <c r="K1119" s="13">
        <f>CHAIN_RAW!G1119</f>
        <v/>
      </c>
      <c r="L1119" s="13">
        <f>CHAIN_RAW!N1119</f>
        <v/>
      </c>
      <c r="M1119" s="13">
        <f>IFERROR(L1119-K1119,"")</f>
        <v/>
      </c>
      <c r="N1119" s="13">
        <f>CHAIN_RAW!H1119</f>
        <v/>
      </c>
      <c r="O1119" s="13">
        <f>CHAIN_RAW!O1119</f>
        <v/>
      </c>
      <c r="P1119" s="13">
        <f>IFERROR(O1119/N1119,"")</f>
        <v/>
      </c>
      <c r="Q1119" s="13">
        <f>CHAIN_RAW!I1119</f>
        <v/>
      </c>
      <c r="R1119" s="13">
        <f>CHAIN_RAW!P1119</f>
        <v/>
      </c>
      <c r="S1119" s="13">
        <f>IFERROR(R1119/Q1119,"")</f>
        <v/>
      </c>
      <c r="T1119" s="13">
        <f>IFERROR((ABS(N1119-O1119)/MAX(1,(N1119+O1119)))*EXP(-ABS(E1119-CONTROL!E5)/MAX(1,CONTROL!B8)),"")</f>
        <v/>
      </c>
      <c r="U1119" s="13">
        <f>IFERROR(IF(O1119&gt;N1119,"SUPPORT (PE OI)","RESIST (CE OI)"),"")</f>
        <v/>
      </c>
      <c r="V1119" s="13">
        <f>IFERROR(IF(Q1119&gt;0,IF(R1119&gt;0,"BOTH_ADD","CE_ADD_PE_REDUCE"),IF(R1119&gt;0,"CE_REDUCE_PE_ADD","BOTH_REDUCE")),"")</f>
        <v/>
      </c>
      <c r="W1119" s="13">
        <f>IFERROR( (P1119-1)*0.5 + (M1119)*0.1 - (I1119+J1119)*0.05 + T1119*0.4 ,"")</f>
        <v/>
      </c>
      <c r="X1119" s="13">
        <f>IFERROR(IF(ABS(F1119)&lt;0.01,"ATM/NEAR",""),"")</f>
        <v/>
      </c>
    </row>
    <row r="1120">
      <c r="A1120" s="13">
        <f>CHAIN_RAW!A1120</f>
        <v/>
      </c>
      <c r="B1120" s="14">
        <f>CHAIN_RAW!B1120</f>
        <v/>
      </c>
      <c r="C1120" s="13">
        <f>CHAIN_RAW!C1120</f>
        <v/>
      </c>
      <c r="D1120" s="13">
        <f>CHAIN_RAW!D1120</f>
        <v/>
      </c>
      <c r="E1120" s="13">
        <f>CHAIN_RAW!E1120</f>
        <v/>
      </c>
      <c r="F1120" s="13">
        <f>IFERROR((E1120-D1120)/D1120,"")</f>
        <v/>
      </c>
      <c r="G1120" s="13">
        <f>IFERROR((CHAIN_RAW!K1120+CHAIN_RAW!L1120)/2,"")</f>
        <v/>
      </c>
      <c r="H1120" s="13">
        <f>IFERROR((CHAIN_RAW!R1120+CHAIN_RAW!S1120)/2,"")</f>
        <v/>
      </c>
      <c r="I1120" s="13">
        <f>IFERROR((CHAIN_RAW!L1120-CHAIN_RAW!K1120)/MAX(1E-9, G1120),"")</f>
        <v/>
      </c>
      <c r="J1120" s="13">
        <f>IFERROR((CHAIN_RAW!S1120-CHAIN_RAW!R1120)/MAX(1E-9, H1120),"")</f>
        <v/>
      </c>
      <c r="K1120" s="13">
        <f>CHAIN_RAW!G1120</f>
        <v/>
      </c>
      <c r="L1120" s="13">
        <f>CHAIN_RAW!N1120</f>
        <v/>
      </c>
      <c r="M1120" s="13">
        <f>IFERROR(L1120-K1120,"")</f>
        <v/>
      </c>
      <c r="N1120" s="13">
        <f>CHAIN_RAW!H1120</f>
        <v/>
      </c>
      <c r="O1120" s="13">
        <f>CHAIN_RAW!O1120</f>
        <v/>
      </c>
      <c r="P1120" s="13">
        <f>IFERROR(O1120/N1120,"")</f>
        <v/>
      </c>
      <c r="Q1120" s="13">
        <f>CHAIN_RAW!I1120</f>
        <v/>
      </c>
      <c r="R1120" s="13">
        <f>CHAIN_RAW!P1120</f>
        <v/>
      </c>
      <c r="S1120" s="13">
        <f>IFERROR(R1120/Q1120,"")</f>
        <v/>
      </c>
      <c r="T1120" s="13">
        <f>IFERROR((ABS(N1120-O1120)/MAX(1,(N1120+O1120)))*EXP(-ABS(E1120-CONTROL!E5)/MAX(1,CONTROL!B8)),"")</f>
        <v/>
      </c>
      <c r="U1120" s="13">
        <f>IFERROR(IF(O1120&gt;N1120,"SUPPORT (PE OI)","RESIST (CE OI)"),"")</f>
        <v/>
      </c>
      <c r="V1120" s="13">
        <f>IFERROR(IF(Q1120&gt;0,IF(R1120&gt;0,"BOTH_ADD","CE_ADD_PE_REDUCE"),IF(R1120&gt;0,"CE_REDUCE_PE_ADD","BOTH_REDUCE")),"")</f>
        <v/>
      </c>
      <c r="W1120" s="13">
        <f>IFERROR( (P1120-1)*0.5 + (M1120)*0.1 - (I1120+J1120)*0.05 + T1120*0.4 ,"")</f>
        <v/>
      </c>
      <c r="X1120" s="13">
        <f>IFERROR(IF(ABS(F1120)&lt;0.01,"ATM/NEAR",""),"")</f>
        <v/>
      </c>
    </row>
    <row r="1121">
      <c r="A1121" s="13">
        <f>CHAIN_RAW!A1121</f>
        <v/>
      </c>
      <c r="B1121" s="14">
        <f>CHAIN_RAW!B1121</f>
        <v/>
      </c>
      <c r="C1121" s="13">
        <f>CHAIN_RAW!C1121</f>
        <v/>
      </c>
      <c r="D1121" s="13">
        <f>CHAIN_RAW!D1121</f>
        <v/>
      </c>
      <c r="E1121" s="13">
        <f>CHAIN_RAW!E1121</f>
        <v/>
      </c>
      <c r="F1121" s="13">
        <f>IFERROR((E1121-D1121)/D1121,"")</f>
        <v/>
      </c>
      <c r="G1121" s="13">
        <f>IFERROR((CHAIN_RAW!K1121+CHAIN_RAW!L1121)/2,"")</f>
        <v/>
      </c>
      <c r="H1121" s="13">
        <f>IFERROR((CHAIN_RAW!R1121+CHAIN_RAW!S1121)/2,"")</f>
        <v/>
      </c>
      <c r="I1121" s="13">
        <f>IFERROR((CHAIN_RAW!L1121-CHAIN_RAW!K1121)/MAX(1E-9, G1121),"")</f>
        <v/>
      </c>
      <c r="J1121" s="13">
        <f>IFERROR((CHAIN_RAW!S1121-CHAIN_RAW!R1121)/MAX(1E-9, H1121),"")</f>
        <v/>
      </c>
      <c r="K1121" s="13">
        <f>CHAIN_RAW!G1121</f>
        <v/>
      </c>
      <c r="L1121" s="13">
        <f>CHAIN_RAW!N1121</f>
        <v/>
      </c>
      <c r="M1121" s="13">
        <f>IFERROR(L1121-K1121,"")</f>
        <v/>
      </c>
      <c r="N1121" s="13">
        <f>CHAIN_RAW!H1121</f>
        <v/>
      </c>
      <c r="O1121" s="13">
        <f>CHAIN_RAW!O1121</f>
        <v/>
      </c>
      <c r="P1121" s="13">
        <f>IFERROR(O1121/N1121,"")</f>
        <v/>
      </c>
      <c r="Q1121" s="13">
        <f>CHAIN_RAW!I1121</f>
        <v/>
      </c>
      <c r="R1121" s="13">
        <f>CHAIN_RAW!P1121</f>
        <v/>
      </c>
      <c r="S1121" s="13">
        <f>IFERROR(R1121/Q1121,"")</f>
        <v/>
      </c>
      <c r="T1121" s="13">
        <f>IFERROR((ABS(N1121-O1121)/MAX(1,(N1121+O1121)))*EXP(-ABS(E1121-CONTROL!E5)/MAX(1,CONTROL!B8)),"")</f>
        <v/>
      </c>
      <c r="U1121" s="13">
        <f>IFERROR(IF(O1121&gt;N1121,"SUPPORT (PE OI)","RESIST (CE OI)"),"")</f>
        <v/>
      </c>
      <c r="V1121" s="13">
        <f>IFERROR(IF(Q1121&gt;0,IF(R1121&gt;0,"BOTH_ADD","CE_ADD_PE_REDUCE"),IF(R1121&gt;0,"CE_REDUCE_PE_ADD","BOTH_REDUCE")),"")</f>
        <v/>
      </c>
      <c r="W1121" s="13">
        <f>IFERROR( (P1121-1)*0.5 + (M1121)*0.1 - (I1121+J1121)*0.05 + T1121*0.4 ,"")</f>
        <v/>
      </c>
      <c r="X1121" s="13">
        <f>IFERROR(IF(ABS(F1121)&lt;0.01,"ATM/NEAR",""),"")</f>
        <v/>
      </c>
    </row>
    <row r="1122">
      <c r="A1122" s="13">
        <f>CHAIN_RAW!A1122</f>
        <v/>
      </c>
      <c r="B1122" s="14">
        <f>CHAIN_RAW!B1122</f>
        <v/>
      </c>
      <c r="C1122" s="13">
        <f>CHAIN_RAW!C1122</f>
        <v/>
      </c>
      <c r="D1122" s="13">
        <f>CHAIN_RAW!D1122</f>
        <v/>
      </c>
      <c r="E1122" s="13">
        <f>CHAIN_RAW!E1122</f>
        <v/>
      </c>
      <c r="F1122" s="13">
        <f>IFERROR((E1122-D1122)/D1122,"")</f>
        <v/>
      </c>
      <c r="G1122" s="13">
        <f>IFERROR((CHAIN_RAW!K1122+CHAIN_RAW!L1122)/2,"")</f>
        <v/>
      </c>
      <c r="H1122" s="13">
        <f>IFERROR((CHAIN_RAW!R1122+CHAIN_RAW!S1122)/2,"")</f>
        <v/>
      </c>
      <c r="I1122" s="13">
        <f>IFERROR((CHAIN_RAW!L1122-CHAIN_RAW!K1122)/MAX(1E-9, G1122),"")</f>
        <v/>
      </c>
      <c r="J1122" s="13">
        <f>IFERROR((CHAIN_RAW!S1122-CHAIN_RAW!R1122)/MAX(1E-9, H1122),"")</f>
        <v/>
      </c>
      <c r="K1122" s="13">
        <f>CHAIN_RAW!G1122</f>
        <v/>
      </c>
      <c r="L1122" s="13">
        <f>CHAIN_RAW!N1122</f>
        <v/>
      </c>
      <c r="M1122" s="13">
        <f>IFERROR(L1122-K1122,"")</f>
        <v/>
      </c>
      <c r="N1122" s="13">
        <f>CHAIN_RAW!H1122</f>
        <v/>
      </c>
      <c r="O1122" s="13">
        <f>CHAIN_RAW!O1122</f>
        <v/>
      </c>
      <c r="P1122" s="13">
        <f>IFERROR(O1122/N1122,"")</f>
        <v/>
      </c>
      <c r="Q1122" s="13">
        <f>CHAIN_RAW!I1122</f>
        <v/>
      </c>
      <c r="R1122" s="13">
        <f>CHAIN_RAW!P1122</f>
        <v/>
      </c>
      <c r="S1122" s="13">
        <f>IFERROR(R1122/Q1122,"")</f>
        <v/>
      </c>
      <c r="T1122" s="13">
        <f>IFERROR((ABS(N1122-O1122)/MAX(1,(N1122+O1122)))*EXP(-ABS(E1122-CONTROL!E5)/MAX(1,CONTROL!B8)),"")</f>
        <v/>
      </c>
      <c r="U1122" s="13">
        <f>IFERROR(IF(O1122&gt;N1122,"SUPPORT (PE OI)","RESIST (CE OI)"),"")</f>
        <v/>
      </c>
      <c r="V1122" s="13">
        <f>IFERROR(IF(Q1122&gt;0,IF(R1122&gt;0,"BOTH_ADD","CE_ADD_PE_REDUCE"),IF(R1122&gt;0,"CE_REDUCE_PE_ADD","BOTH_REDUCE")),"")</f>
        <v/>
      </c>
      <c r="W1122" s="13">
        <f>IFERROR( (P1122-1)*0.5 + (M1122)*0.1 - (I1122+J1122)*0.05 + T1122*0.4 ,"")</f>
        <v/>
      </c>
      <c r="X1122" s="13">
        <f>IFERROR(IF(ABS(F1122)&lt;0.01,"ATM/NEAR",""),"")</f>
        <v/>
      </c>
    </row>
    <row r="1123">
      <c r="A1123" s="13">
        <f>CHAIN_RAW!A1123</f>
        <v/>
      </c>
      <c r="B1123" s="14">
        <f>CHAIN_RAW!B1123</f>
        <v/>
      </c>
      <c r="C1123" s="13">
        <f>CHAIN_RAW!C1123</f>
        <v/>
      </c>
      <c r="D1123" s="13">
        <f>CHAIN_RAW!D1123</f>
        <v/>
      </c>
      <c r="E1123" s="13">
        <f>CHAIN_RAW!E1123</f>
        <v/>
      </c>
      <c r="F1123" s="13">
        <f>IFERROR((E1123-D1123)/D1123,"")</f>
        <v/>
      </c>
      <c r="G1123" s="13">
        <f>IFERROR((CHAIN_RAW!K1123+CHAIN_RAW!L1123)/2,"")</f>
        <v/>
      </c>
      <c r="H1123" s="13">
        <f>IFERROR((CHAIN_RAW!R1123+CHAIN_RAW!S1123)/2,"")</f>
        <v/>
      </c>
      <c r="I1123" s="13">
        <f>IFERROR((CHAIN_RAW!L1123-CHAIN_RAW!K1123)/MAX(1E-9, G1123),"")</f>
        <v/>
      </c>
      <c r="J1123" s="13">
        <f>IFERROR((CHAIN_RAW!S1123-CHAIN_RAW!R1123)/MAX(1E-9, H1123),"")</f>
        <v/>
      </c>
      <c r="K1123" s="13">
        <f>CHAIN_RAW!G1123</f>
        <v/>
      </c>
      <c r="L1123" s="13">
        <f>CHAIN_RAW!N1123</f>
        <v/>
      </c>
      <c r="M1123" s="13">
        <f>IFERROR(L1123-K1123,"")</f>
        <v/>
      </c>
      <c r="N1123" s="13">
        <f>CHAIN_RAW!H1123</f>
        <v/>
      </c>
      <c r="O1123" s="13">
        <f>CHAIN_RAW!O1123</f>
        <v/>
      </c>
      <c r="P1123" s="13">
        <f>IFERROR(O1123/N1123,"")</f>
        <v/>
      </c>
      <c r="Q1123" s="13">
        <f>CHAIN_RAW!I1123</f>
        <v/>
      </c>
      <c r="R1123" s="13">
        <f>CHAIN_RAW!P1123</f>
        <v/>
      </c>
      <c r="S1123" s="13">
        <f>IFERROR(R1123/Q1123,"")</f>
        <v/>
      </c>
      <c r="T1123" s="13">
        <f>IFERROR((ABS(N1123-O1123)/MAX(1,(N1123+O1123)))*EXP(-ABS(E1123-CONTROL!E5)/MAX(1,CONTROL!B8)),"")</f>
        <v/>
      </c>
      <c r="U1123" s="13">
        <f>IFERROR(IF(O1123&gt;N1123,"SUPPORT (PE OI)","RESIST (CE OI)"),"")</f>
        <v/>
      </c>
      <c r="V1123" s="13">
        <f>IFERROR(IF(Q1123&gt;0,IF(R1123&gt;0,"BOTH_ADD","CE_ADD_PE_REDUCE"),IF(R1123&gt;0,"CE_REDUCE_PE_ADD","BOTH_REDUCE")),"")</f>
        <v/>
      </c>
      <c r="W1123" s="13">
        <f>IFERROR( (P1123-1)*0.5 + (M1123)*0.1 - (I1123+J1123)*0.05 + T1123*0.4 ,"")</f>
        <v/>
      </c>
      <c r="X1123" s="13">
        <f>IFERROR(IF(ABS(F1123)&lt;0.01,"ATM/NEAR",""),"")</f>
        <v/>
      </c>
    </row>
    <row r="1124">
      <c r="A1124" s="13">
        <f>CHAIN_RAW!A1124</f>
        <v/>
      </c>
      <c r="B1124" s="14">
        <f>CHAIN_RAW!B1124</f>
        <v/>
      </c>
      <c r="C1124" s="13">
        <f>CHAIN_RAW!C1124</f>
        <v/>
      </c>
      <c r="D1124" s="13">
        <f>CHAIN_RAW!D1124</f>
        <v/>
      </c>
      <c r="E1124" s="13">
        <f>CHAIN_RAW!E1124</f>
        <v/>
      </c>
      <c r="F1124" s="13">
        <f>IFERROR((E1124-D1124)/D1124,"")</f>
        <v/>
      </c>
      <c r="G1124" s="13">
        <f>IFERROR((CHAIN_RAW!K1124+CHAIN_RAW!L1124)/2,"")</f>
        <v/>
      </c>
      <c r="H1124" s="13">
        <f>IFERROR((CHAIN_RAW!R1124+CHAIN_RAW!S1124)/2,"")</f>
        <v/>
      </c>
      <c r="I1124" s="13">
        <f>IFERROR((CHAIN_RAW!L1124-CHAIN_RAW!K1124)/MAX(1E-9, G1124),"")</f>
        <v/>
      </c>
      <c r="J1124" s="13">
        <f>IFERROR((CHAIN_RAW!S1124-CHAIN_RAW!R1124)/MAX(1E-9, H1124),"")</f>
        <v/>
      </c>
      <c r="K1124" s="13">
        <f>CHAIN_RAW!G1124</f>
        <v/>
      </c>
      <c r="L1124" s="13">
        <f>CHAIN_RAW!N1124</f>
        <v/>
      </c>
      <c r="M1124" s="13">
        <f>IFERROR(L1124-K1124,"")</f>
        <v/>
      </c>
      <c r="N1124" s="13">
        <f>CHAIN_RAW!H1124</f>
        <v/>
      </c>
      <c r="O1124" s="13">
        <f>CHAIN_RAW!O1124</f>
        <v/>
      </c>
      <c r="P1124" s="13">
        <f>IFERROR(O1124/N1124,"")</f>
        <v/>
      </c>
      <c r="Q1124" s="13">
        <f>CHAIN_RAW!I1124</f>
        <v/>
      </c>
      <c r="R1124" s="13">
        <f>CHAIN_RAW!P1124</f>
        <v/>
      </c>
      <c r="S1124" s="13">
        <f>IFERROR(R1124/Q1124,"")</f>
        <v/>
      </c>
      <c r="T1124" s="13">
        <f>IFERROR((ABS(N1124-O1124)/MAX(1,(N1124+O1124)))*EXP(-ABS(E1124-CONTROL!E5)/MAX(1,CONTROL!B8)),"")</f>
        <v/>
      </c>
      <c r="U1124" s="13">
        <f>IFERROR(IF(O1124&gt;N1124,"SUPPORT (PE OI)","RESIST (CE OI)"),"")</f>
        <v/>
      </c>
      <c r="V1124" s="13">
        <f>IFERROR(IF(Q1124&gt;0,IF(R1124&gt;0,"BOTH_ADD","CE_ADD_PE_REDUCE"),IF(R1124&gt;0,"CE_REDUCE_PE_ADD","BOTH_REDUCE")),"")</f>
        <v/>
      </c>
      <c r="W1124" s="13">
        <f>IFERROR( (P1124-1)*0.5 + (M1124)*0.1 - (I1124+J1124)*0.05 + T1124*0.4 ,"")</f>
        <v/>
      </c>
      <c r="X1124" s="13">
        <f>IFERROR(IF(ABS(F1124)&lt;0.01,"ATM/NEAR",""),"")</f>
        <v/>
      </c>
    </row>
    <row r="1125">
      <c r="A1125" s="13">
        <f>CHAIN_RAW!A1125</f>
        <v/>
      </c>
      <c r="B1125" s="14">
        <f>CHAIN_RAW!B1125</f>
        <v/>
      </c>
      <c r="C1125" s="13">
        <f>CHAIN_RAW!C1125</f>
        <v/>
      </c>
      <c r="D1125" s="13">
        <f>CHAIN_RAW!D1125</f>
        <v/>
      </c>
      <c r="E1125" s="13">
        <f>CHAIN_RAW!E1125</f>
        <v/>
      </c>
      <c r="F1125" s="13">
        <f>IFERROR((E1125-D1125)/D1125,"")</f>
        <v/>
      </c>
      <c r="G1125" s="13">
        <f>IFERROR((CHAIN_RAW!K1125+CHAIN_RAW!L1125)/2,"")</f>
        <v/>
      </c>
      <c r="H1125" s="13">
        <f>IFERROR((CHAIN_RAW!R1125+CHAIN_RAW!S1125)/2,"")</f>
        <v/>
      </c>
      <c r="I1125" s="13">
        <f>IFERROR((CHAIN_RAW!L1125-CHAIN_RAW!K1125)/MAX(1E-9, G1125),"")</f>
        <v/>
      </c>
      <c r="J1125" s="13">
        <f>IFERROR((CHAIN_RAW!S1125-CHAIN_RAW!R1125)/MAX(1E-9, H1125),"")</f>
        <v/>
      </c>
      <c r="K1125" s="13">
        <f>CHAIN_RAW!G1125</f>
        <v/>
      </c>
      <c r="L1125" s="13">
        <f>CHAIN_RAW!N1125</f>
        <v/>
      </c>
      <c r="M1125" s="13">
        <f>IFERROR(L1125-K1125,"")</f>
        <v/>
      </c>
      <c r="N1125" s="13">
        <f>CHAIN_RAW!H1125</f>
        <v/>
      </c>
      <c r="O1125" s="13">
        <f>CHAIN_RAW!O1125</f>
        <v/>
      </c>
      <c r="P1125" s="13">
        <f>IFERROR(O1125/N1125,"")</f>
        <v/>
      </c>
      <c r="Q1125" s="13">
        <f>CHAIN_RAW!I1125</f>
        <v/>
      </c>
      <c r="R1125" s="13">
        <f>CHAIN_RAW!P1125</f>
        <v/>
      </c>
      <c r="S1125" s="13">
        <f>IFERROR(R1125/Q1125,"")</f>
        <v/>
      </c>
      <c r="T1125" s="13">
        <f>IFERROR((ABS(N1125-O1125)/MAX(1,(N1125+O1125)))*EXP(-ABS(E1125-CONTROL!E5)/MAX(1,CONTROL!B8)),"")</f>
        <v/>
      </c>
      <c r="U1125" s="13">
        <f>IFERROR(IF(O1125&gt;N1125,"SUPPORT (PE OI)","RESIST (CE OI)"),"")</f>
        <v/>
      </c>
      <c r="V1125" s="13">
        <f>IFERROR(IF(Q1125&gt;0,IF(R1125&gt;0,"BOTH_ADD","CE_ADD_PE_REDUCE"),IF(R1125&gt;0,"CE_REDUCE_PE_ADD","BOTH_REDUCE")),"")</f>
        <v/>
      </c>
      <c r="W1125" s="13">
        <f>IFERROR( (P1125-1)*0.5 + (M1125)*0.1 - (I1125+J1125)*0.05 + T1125*0.4 ,"")</f>
        <v/>
      </c>
      <c r="X1125" s="13">
        <f>IFERROR(IF(ABS(F1125)&lt;0.01,"ATM/NEAR",""),"")</f>
        <v/>
      </c>
    </row>
    <row r="1126">
      <c r="A1126" s="13">
        <f>CHAIN_RAW!A1126</f>
        <v/>
      </c>
      <c r="B1126" s="14">
        <f>CHAIN_RAW!B1126</f>
        <v/>
      </c>
      <c r="C1126" s="13">
        <f>CHAIN_RAW!C1126</f>
        <v/>
      </c>
      <c r="D1126" s="13">
        <f>CHAIN_RAW!D1126</f>
        <v/>
      </c>
      <c r="E1126" s="13">
        <f>CHAIN_RAW!E1126</f>
        <v/>
      </c>
      <c r="F1126" s="13">
        <f>IFERROR((E1126-D1126)/D1126,"")</f>
        <v/>
      </c>
      <c r="G1126" s="13">
        <f>IFERROR((CHAIN_RAW!K1126+CHAIN_RAW!L1126)/2,"")</f>
        <v/>
      </c>
      <c r="H1126" s="13">
        <f>IFERROR((CHAIN_RAW!R1126+CHAIN_RAW!S1126)/2,"")</f>
        <v/>
      </c>
      <c r="I1126" s="13">
        <f>IFERROR((CHAIN_RAW!L1126-CHAIN_RAW!K1126)/MAX(1E-9, G1126),"")</f>
        <v/>
      </c>
      <c r="J1126" s="13">
        <f>IFERROR((CHAIN_RAW!S1126-CHAIN_RAW!R1126)/MAX(1E-9, H1126),"")</f>
        <v/>
      </c>
      <c r="K1126" s="13">
        <f>CHAIN_RAW!G1126</f>
        <v/>
      </c>
      <c r="L1126" s="13">
        <f>CHAIN_RAW!N1126</f>
        <v/>
      </c>
      <c r="M1126" s="13">
        <f>IFERROR(L1126-K1126,"")</f>
        <v/>
      </c>
      <c r="N1126" s="13">
        <f>CHAIN_RAW!H1126</f>
        <v/>
      </c>
      <c r="O1126" s="13">
        <f>CHAIN_RAW!O1126</f>
        <v/>
      </c>
      <c r="P1126" s="13">
        <f>IFERROR(O1126/N1126,"")</f>
        <v/>
      </c>
      <c r="Q1126" s="13">
        <f>CHAIN_RAW!I1126</f>
        <v/>
      </c>
      <c r="R1126" s="13">
        <f>CHAIN_RAW!P1126</f>
        <v/>
      </c>
      <c r="S1126" s="13">
        <f>IFERROR(R1126/Q1126,"")</f>
        <v/>
      </c>
      <c r="T1126" s="13">
        <f>IFERROR((ABS(N1126-O1126)/MAX(1,(N1126+O1126)))*EXP(-ABS(E1126-CONTROL!E5)/MAX(1,CONTROL!B8)),"")</f>
        <v/>
      </c>
      <c r="U1126" s="13">
        <f>IFERROR(IF(O1126&gt;N1126,"SUPPORT (PE OI)","RESIST (CE OI)"),"")</f>
        <v/>
      </c>
      <c r="V1126" s="13">
        <f>IFERROR(IF(Q1126&gt;0,IF(R1126&gt;0,"BOTH_ADD","CE_ADD_PE_REDUCE"),IF(R1126&gt;0,"CE_REDUCE_PE_ADD","BOTH_REDUCE")),"")</f>
        <v/>
      </c>
      <c r="W1126" s="13">
        <f>IFERROR( (P1126-1)*0.5 + (M1126)*0.1 - (I1126+J1126)*0.05 + T1126*0.4 ,"")</f>
        <v/>
      </c>
      <c r="X1126" s="13">
        <f>IFERROR(IF(ABS(F1126)&lt;0.01,"ATM/NEAR",""),"")</f>
        <v/>
      </c>
    </row>
    <row r="1127">
      <c r="A1127" s="13">
        <f>CHAIN_RAW!A1127</f>
        <v/>
      </c>
      <c r="B1127" s="14">
        <f>CHAIN_RAW!B1127</f>
        <v/>
      </c>
      <c r="C1127" s="13">
        <f>CHAIN_RAW!C1127</f>
        <v/>
      </c>
      <c r="D1127" s="13">
        <f>CHAIN_RAW!D1127</f>
        <v/>
      </c>
      <c r="E1127" s="13">
        <f>CHAIN_RAW!E1127</f>
        <v/>
      </c>
      <c r="F1127" s="13">
        <f>IFERROR((E1127-D1127)/D1127,"")</f>
        <v/>
      </c>
      <c r="G1127" s="13">
        <f>IFERROR((CHAIN_RAW!K1127+CHAIN_RAW!L1127)/2,"")</f>
        <v/>
      </c>
      <c r="H1127" s="13">
        <f>IFERROR((CHAIN_RAW!R1127+CHAIN_RAW!S1127)/2,"")</f>
        <v/>
      </c>
      <c r="I1127" s="13">
        <f>IFERROR((CHAIN_RAW!L1127-CHAIN_RAW!K1127)/MAX(1E-9, G1127),"")</f>
        <v/>
      </c>
      <c r="J1127" s="13">
        <f>IFERROR((CHAIN_RAW!S1127-CHAIN_RAW!R1127)/MAX(1E-9, H1127),"")</f>
        <v/>
      </c>
      <c r="K1127" s="13">
        <f>CHAIN_RAW!G1127</f>
        <v/>
      </c>
      <c r="L1127" s="13">
        <f>CHAIN_RAW!N1127</f>
        <v/>
      </c>
      <c r="M1127" s="13">
        <f>IFERROR(L1127-K1127,"")</f>
        <v/>
      </c>
      <c r="N1127" s="13">
        <f>CHAIN_RAW!H1127</f>
        <v/>
      </c>
      <c r="O1127" s="13">
        <f>CHAIN_RAW!O1127</f>
        <v/>
      </c>
      <c r="P1127" s="13">
        <f>IFERROR(O1127/N1127,"")</f>
        <v/>
      </c>
      <c r="Q1127" s="13">
        <f>CHAIN_RAW!I1127</f>
        <v/>
      </c>
      <c r="R1127" s="13">
        <f>CHAIN_RAW!P1127</f>
        <v/>
      </c>
      <c r="S1127" s="13">
        <f>IFERROR(R1127/Q1127,"")</f>
        <v/>
      </c>
      <c r="T1127" s="13">
        <f>IFERROR((ABS(N1127-O1127)/MAX(1,(N1127+O1127)))*EXP(-ABS(E1127-CONTROL!E5)/MAX(1,CONTROL!B8)),"")</f>
        <v/>
      </c>
      <c r="U1127" s="13">
        <f>IFERROR(IF(O1127&gt;N1127,"SUPPORT (PE OI)","RESIST (CE OI)"),"")</f>
        <v/>
      </c>
      <c r="V1127" s="13">
        <f>IFERROR(IF(Q1127&gt;0,IF(R1127&gt;0,"BOTH_ADD","CE_ADD_PE_REDUCE"),IF(R1127&gt;0,"CE_REDUCE_PE_ADD","BOTH_REDUCE")),"")</f>
        <v/>
      </c>
      <c r="W1127" s="13">
        <f>IFERROR( (P1127-1)*0.5 + (M1127)*0.1 - (I1127+J1127)*0.05 + T1127*0.4 ,"")</f>
        <v/>
      </c>
      <c r="X1127" s="13">
        <f>IFERROR(IF(ABS(F1127)&lt;0.01,"ATM/NEAR",""),"")</f>
        <v/>
      </c>
    </row>
    <row r="1128">
      <c r="A1128" s="13">
        <f>CHAIN_RAW!A1128</f>
        <v/>
      </c>
      <c r="B1128" s="14">
        <f>CHAIN_RAW!B1128</f>
        <v/>
      </c>
      <c r="C1128" s="13">
        <f>CHAIN_RAW!C1128</f>
        <v/>
      </c>
      <c r="D1128" s="13">
        <f>CHAIN_RAW!D1128</f>
        <v/>
      </c>
      <c r="E1128" s="13">
        <f>CHAIN_RAW!E1128</f>
        <v/>
      </c>
      <c r="F1128" s="13">
        <f>IFERROR((E1128-D1128)/D1128,"")</f>
        <v/>
      </c>
      <c r="G1128" s="13">
        <f>IFERROR((CHAIN_RAW!K1128+CHAIN_RAW!L1128)/2,"")</f>
        <v/>
      </c>
      <c r="H1128" s="13">
        <f>IFERROR((CHAIN_RAW!R1128+CHAIN_RAW!S1128)/2,"")</f>
        <v/>
      </c>
      <c r="I1128" s="13">
        <f>IFERROR((CHAIN_RAW!L1128-CHAIN_RAW!K1128)/MAX(1E-9, G1128),"")</f>
        <v/>
      </c>
      <c r="J1128" s="13">
        <f>IFERROR((CHAIN_RAW!S1128-CHAIN_RAW!R1128)/MAX(1E-9, H1128),"")</f>
        <v/>
      </c>
      <c r="K1128" s="13">
        <f>CHAIN_RAW!G1128</f>
        <v/>
      </c>
      <c r="L1128" s="13">
        <f>CHAIN_RAW!N1128</f>
        <v/>
      </c>
      <c r="M1128" s="13">
        <f>IFERROR(L1128-K1128,"")</f>
        <v/>
      </c>
      <c r="N1128" s="13">
        <f>CHAIN_RAW!H1128</f>
        <v/>
      </c>
      <c r="O1128" s="13">
        <f>CHAIN_RAW!O1128</f>
        <v/>
      </c>
      <c r="P1128" s="13">
        <f>IFERROR(O1128/N1128,"")</f>
        <v/>
      </c>
      <c r="Q1128" s="13">
        <f>CHAIN_RAW!I1128</f>
        <v/>
      </c>
      <c r="R1128" s="13">
        <f>CHAIN_RAW!P1128</f>
        <v/>
      </c>
      <c r="S1128" s="13">
        <f>IFERROR(R1128/Q1128,"")</f>
        <v/>
      </c>
      <c r="T1128" s="13">
        <f>IFERROR((ABS(N1128-O1128)/MAX(1,(N1128+O1128)))*EXP(-ABS(E1128-CONTROL!E5)/MAX(1,CONTROL!B8)),"")</f>
        <v/>
      </c>
      <c r="U1128" s="13">
        <f>IFERROR(IF(O1128&gt;N1128,"SUPPORT (PE OI)","RESIST (CE OI)"),"")</f>
        <v/>
      </c>
      <c r="V1128" s="13">
        <f>IFERROR(IF(Q1128&gt;0,IF(R1128&gt;0,"BOTH_ADD","CE_ADD_PE_REDUCE"),IF(R1128&gt;0,"CE_REDUCE_PE_ADD","BOTH_REDUCE")),"")</f>
        <v/>
      </c>
      <c r="W1128" s="13">
        <f>IFERROR( (P1128-1)*0.5 + (M1128)*0.1 - (I1128+J1128)*0.05 + T1128*0.4 ,"")</f>
        <v/>
      </c>
      <c r="X1128" s="13">
        <f>IFERROR(IF(ABS(F1128)&lt;0.01,"ATM/NEAR",""),"")</f>
        <v/>
      </c>
    </row>
    <row r="1129">
      <c r="A1129" s="13">
        <f>CHAIN_RAW!A1129</f>
        <v/>
      </c>
      <c r="B1129" s="14">
        <f>CHAIN_RAW!B1129</f>
        <v/>
      </c>
      <c r="C1129" s="13">
        <f>CHAIN_RAW!C1129</f>
        <v/>
      </c>
      <c r="D1129" s="13">
        <f>CHAIN_RAW!D1129</f>
        <v/>
      </c>
      <c r="E1129" s="13">
        <f>CHAIN_RAW!E1129</f>
        <v/>
      </c>
      <c r="F1129" s="13">
        <f>IFERROR((E1129-D1129)/D1129,"")</f>
        <v/>
      </c>
      <c r="G1129" s="13">
        <f>IFERROR((CHAIN_RAW!K1129+CHAIN_RAW!L1129)/2,"")</f>
        <v/>
      </c>
      <c r="H1129" s="13">
        <f>IFERROR((CHAIN_RAW!R1129+CHAIN_RAW!S1129)/2,"")</f>
        <v/>
      </c>
      <c r="I1129" s="13">
        <f>IFERROR((CHAIN_RAW!L1129-CHAIN_RAW!K1129)/MAX(1E-9, G1129),"")</f>
        <v/>
      </c>
      <c r="J1129" s="13">
        <f>IFERROR((CHAIN_RAW!S1129-CHAIN_RAW!R1129)/MAX(1E-9, H1129),"")</f>
        <v/>
      </c>
      <c r="K1129" s="13">
        <f>CHAIN_RAW!G1129</f>
        <v/>
      </c>
      <c r="L1129" s="13">
        <f>CHAIN_RAW!N1129</f>
        <v/>
      </c>
      <c r="M1129" s="13">
        <f>IFERROR(L1129-K1129,"")</f>
        <v/>
      </c>
      <c r="N1129" s="13">
        <f>CHAIN_RAW!H1129</f>
        <v/>
      </c>
      <c r="O1129" s="13">
        <f>CHAIN_RAW!O1129</f>
        <v/>
      </c>
      <c r="P1129" s="13">
        <f>IFERROR(O1129/N1129,"")</f>
        <v/>
      </c>
      <c r="Q1129" s="13">
        <f>CHAIN_RAW!I1129</f>
        <v/>
      </c>
      <c r="R1129" s="13">
        <f>CHAIN_RAW!P1129</f>
        <v/>
      </c>
      <c r="S1129" s="13">
        <f>IFERROR(R1129/Q1129,"")</f>
        <v/>
      </c>
      <c r="T1129" s="13">
        <f>IFERROR((ABS(N1129-O1129)/MAX(1,(N1129+O1129)))*EXP(-ABS(E1129-CONTROL!E5)/MAX(1,CONTROL!B8)),"")</f>
        <v/>
      </c>
      <c r="U1129" s="13">
        <f>IFERROR(IF(O1129&gt;N1129,"SUPPORT (PE OI)","RESIST (CE OI)"),"")</f>
        <v/>
      </c>
      <c r="V1129" s="13">
        <f>IFERROR(IF(Q1129&gt;0,IF(R1129&gt;0,"BOTH_ADD","CE_ADD_PE_REDUCE"),IF(R1129&gt;0,"CE_REDUCE_PE_ADD","BOTH_REDUCE")),"")</f>
        <v/>
      </c>
      <c r="W1129" s="13">
        <f>IFERROR( (P1129-1)*0.5 + (M1129)*0.1 - (I1129+J1129)*0.05 + T1129*0.4 ,"")</f>
        <v/>
      </c>
      <c r="X1129" s="13">
        <f>IFERROR(IF(ABS(F1129)&lt;0.01,"ATM/NEAR",""),"")</f>
        <v/>
      </c>
    </row>
    <row r="1130">
      <c r="A1130" s="13">
        <f>CHAIN_RAW!A1130</f>
        <v/>
      </c>
      <c r="B1130" s="14">
        <f>CHAIN_RAW!B1130</f>
        <v/>
      </c>
      <c r="C1130" s="13">
        <f>CHAIN_RAW!C1130</f>
        <v/>
      </c>
      <c r="D1130" s="13">
        <f>CHAIN_RAW!D1130</f>
        <v/>
      </c>
      <c r="E1130" s="13">
        <f>CHAIN_RAW!E1130</f>
        <v/>
      </c>
      <c r="F1130" s="13">
        <f>IFERROR((E1130-D1130)/D1130,"")</f>
        <v/>
      </c>
      <c r="G1130" s="13">
        <f>IFERROR((CHAIN_RAW!K1130+CHAIN_RAW!L1130)/2,"")</f>
        <v/>
      </c>
      <c r="H1130" s="13">
        <f>IFERROR((CHAIN_RAW!R1130+CHAIN_RAW!S1130)/2,"")</f>
        <v/>
      </c>
      <c r="I1130" s="13">
        <f>IFERROR((CHAIN_RAW!L1130-CHAIN_RAW!K1130)/MAX(1E-9, G1130),"")</f>
        <v/>
      </c>
      <c r="J1130" s="13">
        <f>IFERROR((CHAIN_RAW!S1130-CHAIN_RAW!R1130)/MAX(1E-9, H1130),"")</f>
        <v/>
      </c>
      <c r="K1130" s="13">
        <f>CHAIN_RAW!G1130</f>
        <v/>
      </c>
      <c r="L1130" s="13">
        <f>CHAIN_RAW!N1130</f>
        <v/>
      </c>
      <c r="M1130" s="13">
        <f>IFERROR(L1130-K1130,"")</f>
        <v/>
      </c>
      <c r="N1130" s="13">
        <f>CHAIN_RAW!H1130</f>
        <v/>
      </c>
      <c r="O1130" s="13">
        <f>CHAIN_RAW!O1130</f>
        <v/>
      </c>
      <c r="P1130" s="13">
        <f>IFERROR(O1130/N1130,"")</f>
        <v/>
      </c>
      <c r="Q1130" s="13">
        <f>CHAIN_RAW!I1130</f>
        <v/>
      </c>
      <c r="R1130" s="13">
        <f>CHAIN_RAW!P1130</f>
        <v/>
      </c>
      <c r="S1130" s="13">
        <f>IFERROR(R1130/Q1130,"")</f>
        <v/>
      </c>
      <c r="T1130" s="13">
        <f>IFERROR((ABS(N1130-O1130)/MAX(1,(N1130+O1130)))*EXP(-ABS(E1130-CONTROL!E5)/MAX(1,CONTROL!B8)),"")</f>
        <v/>
      </c>
      <c r="U1130" s="13">
        <f>IFERROR(IF(O1130&gt;N1130,"SUPPORT (PE OI)","RESIST (CE OI)"),"")</f>
        <v/>
      </c>
      <c r="V1130" s="13">
        <f>IFERROR(IF(Q1130&gt;0,IF(R1130&gt;0,"BOTH_ADD","CE_ADD_PE_REDUCE"),IF(R1130&gt;0,"CE_REDUCE_PE_ADD","BOTH_REDUCE")),"")</f>
        <v/>
      </c>
      <c r="W1130" s="13">
        <f>IFERROR( (P1130-1)*0.5 + (M1130)*0.1 - (I1130+J1130)*0.05 + T1130*0.4 ,"")</f>
        <v/>
      </c>
      <c r="X1130" s="13">
        <f>IFERROR(IF(ABS(F1130)&lt;0.01,"ATM/NEAR",""),"")</f>
        <v/>
      </c>
    </row>
    <row r="1131">
      <c r="A1131" s="13">
        <f>CHAIN_RAW!A1131</f>
        <v/>
      </c>
      <c r="B1131" s="14">
        <f>CHAIN_RAW!B1131</f>
        <v/>
      </c>
      <c r="C1131" s="13">
        <f>CHAIN_RAW!C1131</f>
        <v/>
      </c>
      <c r="D1131" s="13">
        <f>CHAIN_RAW!D1131</f>
        <v/>
      </c>
      <c r="E1131" s="13">
        <f>CHAIN_RAW!E1131</f>
        <v/>
      </c>
      <c r="F1131" s="13">
        <f>IFERROR((E1131-D1131)/D1131,"")</f>
        <v/>
      </c>
      <c r="G1131" s="13">
        <f>IFERROR((CHAIN_RAW!K1131+CHAIN_RAW!L1131)/2,"")</f>
        <v/>
      </c>
      <c r="H1131" s="13">
        <f>IFERROR((CHAIN_RAW!R1131+CHAIN_RAW!S1131)/2,"")</f>
        <v/>
      </c>
      <c r="I1131" s="13">
        <f>IFERROR((CHAIN_RAW!L1131-CHAIN_RAW!K1131)/MAX(1E-9, G1131),"")</f>
        <v/>
      </c>
      <c r="J1131" s="13">
        <f>IFERROR((CHAIN_RAW!S1131-CHAIN_RAW!R1131)/MAX(1E-9, H1131),"")</f>
        <v/>
      </c>
      <c r="K1131" s="13">
        <f>CHAIN_RAW!G1131</f>
        <v/>
      </c>
      <c r="L1131" s="13">
        <f>CHAIN_RAW!N1131</f>
        <v/>
      </c>
      <c r="M1131" s="13">
        <f>IFERROR(L1131-K1131,"")</f>
        <v/>
      </c>
      <c r="N1131" s="13">
        <f>CHAIN_RAW!H1131</f>
        <v/>
      </c>
      <c r="O1131" s="13">
        <f>CHAIN_RAW!O1131</f>
        <v/>
      </c>
      <c r="P1131" s="13">
        <f>IFERROR(O1131/N1131,"")</f>
        <v/>
      </c>
      <c r="Q1131" s="13">
        <f>CHAIN_RAW!I1131</f>
        <v/>
      </c>
      <c r="R1131" s="13">
        <f>CHAIN_RAW!P1131</f>
        <v/>
      </c>
      <c r="S1131" s="13">
        <f>IFERROR(R1131/Q1131,"")</f>
        <v/>
      </c>
      <c r="T1131" s="13">
        <f>IFERROR((ABS(N1131-O1131)/MAX(1,(N1131+O1131)))*EXP(-ABS(E1131-CONTROL!E5)/MAX(1,CONTROL!B8)),"")</f>
        <v/>
      </c>
      <c r="U1131" s="13">
        <f>IFERROR(IF(O1131&gt;N1131,"SUPPORT (PE OI)","RESIST (CE OI)"),"")</f>
        <v/>
      </c>
      <c r="V1131" s="13">
        <f>IFERROR(IF(Q1131&gt;0,IF(R1131&gt;0,"BOTH_ADD","CE_ADD_PE_REDUCE"),IF(R1131&gt;0,"CE_REDUCE_PE_ADD","BOTH_REDUCE")),"")</f>
        <v/>
      </c>
      <c r="W1131" s="13">
        <f>IFERROR( (P1131-1)*0.5 + (M1131)*0.1 - (I1131+J1131)*0.05 + T1131*0.4 ,"")</f>
        <v/>
      </c>
      <c r="X1131" s="13">
        <f>IFERROR(IF(ABS(F1131)&lt;0.01,"ATM/NEAR",""),"")</f>
        <v/>
      </c>
    </row>
    <row r="1132">
      <c r="A1132" s="13">
        <f>CHAIN_RAW!A1132</f>
        <v/>
      </c>
      <c r="B1132" s="14">
        <f>CHAIN_RAW!B1132</f>
        <v/>
      </c>
      <c r="C1132" s="13">
        <f>CHAIN_RAW!C1132</f>
        <v/>
      </c>
      <c r="D1132" s="13">
        <f>CHAIN_RAW!D1132</f>
        <v/>
      </c>
      <c r="E1132" s="13">
        <f>CHAIN_RAW!E1132</f>
        <v/>
      </c>
      <c r="F1132" s="13">
        <f>IFERROR((E1132-D1132)/D1132,"")</f>
        <v/>
      </c>
      <c r="G1132" s="13">
        <f>IFERROR((CHAIN_RAW!K1132+CHAIN_RAW!L1132)/2,"")</f>
        <v/>
      </c>
      <c r="H1132" s="13">
        <f>IFERROR((CHAIN_RAW!R1132+CHAIN_RAW!S1132)/2,"")</f>
        <v/>
      </c>
      <c r="I1132" s="13">
        <f>IFERROR((CHAIN_RAW!L1132-CHAIN_RAW!K1132)/MAX(1E-9, G1132),"")</f>
        <v/>
      </c>
      <c r="J1132" s="13">
        <f>IFERROR((CHAIN_RAW!S1132-CHAIN_RAW!R1132)/MAX(1E-9, H1132),"")</f>
        <v/>
      </c>
      <c r="K1132" s="13">
        <f>CHAIN_RAW!G1132</f>
        <v/>
      </c>
      <c r="L1132" s="13">
        <f>CHAIN_RAW!N1132</f>
        <v/>
      </c>
      <c r="M1132" s="13">
        <f>IFERROR(L1132-K1132,"")</f>
        <v/>
      </c>
      <c r="N1132" s="13">
        <f>CHAIN_RAW!H1132</f>
        <v/>
      </c>
      <c r="O1132" s="13">
        <f>CHAIN_RAW!O1132</f>
        <v/>
      </c>
      <c r="P1132" s="13">
        <f>IFERROR(O1132/N1132,"")</f>
        <v/>
      </c>
      <c r="Q1132" s="13">
        <f>CHAIN_RAW!I1132</f>
        <v/>
      </c>
      <c r="R1132" s="13">
        <f>CHAIN_RAW!P1132</f>
        <v/>
      </c>
      <c r="S1132" s="13">
        <f>IFERROR(R1132/Q1132,"")</f>
        <v/>
      </c>
      <c r="T1132" s="13">
        <f>IFERROR((ABS(N1132-O1132)/MAX(1,(N1132+O1132)))*EXP(-ABS(E1132-CONTROL!E5)/MAX(1,CONTROL!B8)),"")</f>
        <v/>
      </c>
      <c r="U1132" s="13">
        <f>IFERROR(IF(O1132&gt;N1132,"SUPPORT (PE OI)","RESIST (CE OI)"),"")</f>
        <v/>
      </c>
      <c r="V1132" s="13">
        <f>IFERROR(IF(Q1132&gt;0,IF(R1132&gt;0,"BOTH_ADD","CE_ADD_PE_REDUCE"),IF(R1132&gt;0,"CE_REDUCE_PE_ADD","BOTH_REDUCE")),"")</f>
        <v/>
      </c>
      <c r="W1132" s="13">
        <f>IFERROR( (P1132-1)*0.5 + (M1132)*0.1 - (I1132+J1132)*0.05 + T1132*0.4 ,"")</f>
        <v/>
      </c>
      <c r="X1132" s="13">
        <f>IFERROR(IF(ABS(F1132)&lt;0.01,"ATM/NEAR",""),"")</f>
        <v/>
      </c>
    </row>
    <row r="1133">
      <c r="A1133" s="13">
        <f>CHAIN_RAW!A1133</f>
        <v/>
      </c>
      <c r="B1133" s="14">
        <f>CHAIN_RAW!B1133</f>
        <v/>
      </c>
      <c r="C1133" s="13">
        <f>CHAIN_RAW!C1133</f>
        <v/>
      </c>
      <c r="D1133" s="13">
        <f>CHAIN_RAW!D1133</f>
        <v/>
      </c>
      <c r="E1133" s="13">
        <f>CHAIN_RAW!E1133</f>
        <v/>
      </c>
      <c r="F1133" s="13">
        <f>IFERROR((E1133-D1133)/D1133,"")</f>
        <v/>
      </c>
      <c r="G1133" s="13">
        <f>IFERROR((CHAIN_RAW!K1133+CHAIN_RAW!L1133)/2,"")</f>
        <v/>
      </c>
      <c r="H1133" s="13">
        <f>IFERROR((CHAIN_RAW!R1133+CHAIN_RAW!S1133)/2,"")</f>
        <v/>
      </c>
      <c r="I1133" s="13">
        <f>IFERROR((CHAIN_RAW!L1133-CHAIN_RAW!K1133)/MAX(1E-9, G1133),"")</f>
        <v/>
      </c>
      <c r="J1133" s="13">
        <f>IFERROR((CHAIN_RAW!S1133-CHAIN_RAW!R1133)/MAX(1E-9, H1133),"")</f>
        <v/>
      </c>
      <c r="K1133" s="13">
        <f>CHAIN_RAW!G1133</f>
        <v/>
      </c>
      <c r="L1133" s="13">
        <f>CHAIN_RAW!N1133</f>
        <v/>
      </c>
      <c r="M1133" s="13">
        <f>IFERROR(L1133-K1133,"")</f>
        <v/>
      </c>
      <c r="N1133" s="13">
        <f>CHAIN_RAW!H1133</f>
        <v/>
      </c>
      <c r="O1133" s="13">
        <f>CHAIN_RAW!O1133</f>
        <v/>
      </c>
      <c r="P1133" s="13">
        <f>IFERROR(O1133/N1133,"")</f>
        <v/>
      </c>
      <c r="Q1133" s="13">
        <f>CHAIN_RAW!I1133</f>
        <v/>
      </c>
      <c r="R1133" s="13">
        <f>CHAIN_RAW!P1133</f>
        <v/>
      </c>
      <c r="S1133" s="13">
        <f>IFERROR(R1133/Q1133,"")</f>
        <v/>
      </c>
      <c r="T1133" s="13">
        <f>IFERROR((ABS(N1133-O1133)/MAX(1,(N1133+O1133)))*EXP(-ABS(E1133-CONTROL!E5)/MAX(1,CONTROL!B8)),"")</f>
        <v/>
      </c>
      <c r="U1133" s="13">
        <f>IFERROR(IF(O1133&gt;N1133,"SUPPORT (PE OI)","RESIST (CE OI)"),"")</f>
        <v/>
      </c>
      <c r="V1133" s="13">
        <f>IFERROR(IF(Q1133&gt;0,IF(R1133&gt;0,"BOTH_ADD","CE_ADD_PE_REDUCE"),IF(R1133&gt;0,"CE_REDUCE_PE_ADD","BOTH_REDUCE")),"")</f>
        <v/>
      </c>
      <c r="W1133" s="13">
        <f>IFERROR( (P1133-1)*0.5 + (M1133)*0.1 - (I1133+J1133)*0.05 + T1133*0.4 ,"")</f>
        <v/>
      </c>
      <c r="X1133" s="13">
        <f>IFERROR(IF(ABS(F1133)&lt;0.01,"ATM/NEAR",""),"")</f>
        <v/>
      </c>
    </row>
    <row r="1134">
      <c r="A1134" s="13">
        <f>CHAIN_RAW!A1134</f>
        <v/>
      </c>
      <c r="B1134" s="14">
        <f>CHAIN_RAW!B1134</f>
        <v/>
      </c>
      <c r="C1134" s="13">
        <f>CHAIN_RAW!C1134</f>
        <v/>
      </c>
      <c r="D1134" s="13">
        <f>CHAIN_RAW!D1134</f>
        <v/>
      </c>
      <c r="E1134" s="13">
        <f>CHAIN_RAW!E1134</f>
        <v/>
      </c>
      <c r="F1134" s="13">
        <f>IFERROR((E1134-D1134)/D1134,"")</f>
        <v/>
      </c>
      <c r="G1134" s="13">
        <f>IFERROR((CHAIN_RAW!K1134+CHAIN_RAW!L1134)/2,"")</f>
        <v/>
      </c>
      <c r="H1134" s="13">
        <f>IFERROR((CHAIN_RAW!R1134+CHAIN_RAW!S1134)/2,"")</f>
        <v/>
      </c>
      <c r="I1134" s="13">
        <f>IFERROR((CHAIN_RAW!L1134-CHAIN_RAW!K1134)/MAX(1E-9, G1134),"")</f>
        <v/>
      </c>
      <c r="J1134" s="13">
        <f>IFERROR((CHAIN_RAW!S1134-CHAIN_RAW!R1134)/MAX(1E-9, H1134),"")</f>
        <v/>
      </c>
      <c r="K1134" s="13">
        <f>CHAIN_RAW!G1134</f>
        <v/>
      </c>
      <c r="L1134" s="13">
        <f>CHAIN_RAW!N1134</f>
        <v/>
      </c>
      <c r="M1134" s="13">
        <f>IFERROR(L1134-K1134,"")</f>
        <v/>
      </c>
      <c r="N1134" s="13">
        <f>CHAIN_RAW!H1134</f>
        <v/>
      </c>
      <c r="O1134" s="13">
        <f>CHAIN_RAW!O1134</f>
        <v/>
      </c>
      <c r="P1134" s="13">
        <f>IFERROR(O1134/N1134,"")</f>
        <v/>
      </c>
      <c r="Q1134" s="13">
        <f>CHAIN_RAW!I1134</f>
        <v/>
      </c>
      <c r="R1134" s="13">
        <f>CHAIN_RAW!P1134</f>
        <v/>
      </c>
      <c r="S1134" s="13">
        <f>IFERROR(R1134/Q1134,"")</f>
        <v/>
      </c>
      <c r="T1134" s="13">
        <f>IFERROR((ABS(N1134-O1134)/MAX(1,(N1134+O1134)))*EXP(-ABS(E1134-CONTROL!E5)/MAX(1,CONTROL!B8)),"")</f>
        <v/>
      </c>
      <c r="U1134" s="13">
        <f>IFERROR(IF(O1134&gt;N1134,"SUPPORT (PE OI)","RESIST (CE OI)"),"")</f>
        <v/>
      </c>
      <c r="V1134" s="13">
        <f>IFERROR(IF(Q1134&gt;0,IF(R1134&gt;0,"BOTH_ADD","CE_ADD_PE_REDUCE"),IF(R1134&gt;0,"CE_REDUCE_PE_ADD","BOTH_REDUCE")),"")</f>
        <v/>
      </c>
      <c r="W1134" s="13">
        <f>IFERROR( (P1134-1)*0.5 + (M1134)*0.1 - (I1134+J1134)*0.05 + T1134*0.4 ,"")</f>
        <v/>
      </c>
      <c r="X1134" s="13">
        <f>IFERROR(IF(ABS(F1134)&lt;0.01,"ATM/NEAR",""),"")</f>
        <v/>
      </c>
    </row>
    <row r="1135">
      <c r="A1135" s="13">
        <f>CHAIN_RAW!A1135</f>
        <v/>
      </c>
      <c r="B1135" s="14">
        <f>CHAIN_RAW!B1135</f>
        <v/>
      </c>
      <c r="C1135" s="13">
        <f>CHAIN_RAW!C1135</f>
        <v/>
      </c>
      <c r="D1135" s="13">
        <f>CHAIN_RAW!D1135</f>
        <v/>
      </c>
      <c r="E1135" s="13">
        <f>CHAIN_RAW!E1135</f>
        <v/>
      </c>
      <c r="F1135" s="13">
        <f>IFERROR((E1135-D1135)/D1135,"")</f>
        <v/>
      </c>
      <c r="G1135" s="13">
        <f>IFERROR((CHAIN_RAW!K1135+CHAIN_RAW!L1135)/2,"")</f>
        <v/>
      </c>
      <c r="H1135" s="13">
        <f>IFERROR((CHAIN_RAW!R1135+CHAIN_RAW!S1135)/2,"")</f>
        <v/>
      </c>
      <c r="I1135" s="13">
        <f>IFERROR((CHAIN_RAW!L1135-CHAIN_RAW!K1135)/MAX(1E-9, G1135),"")</f>
        <v/>
      </c>
      <c r="J1135" s="13">
        <f>IFERROR((CHAIN_RAW!S1135-CHAIN_RAW!R1135)/MAX(1E-9, H1135),"")</f>
        <v/>
      </c>
      <c r="K1135" s="13">
        <f>CHAIN_RAW!G1135</f>
        <v/>
      </c>
      <c r="L1135" s="13">
        <f>CHAIN_RAW!N1135</f>
        <v/>
      </c>
      <c r="M1135" s="13">
        <f>IFERROR(L1135-K1135,"")</f>
        <v/>
      </c>
      <c r="N1135" s="13">
        <f>CHAIN_RAW!H1135</f>
        <v/>
      </c>
      <c r="O1135" s="13">
        <f>CHAIN_RAW!O1135</f>
        <v/>
      </c>
      <c r="P1135" s="13">
        <f>IFERROR(O1135/N1135,"")</f>
        <v/>
      </c>
      <c r="Q1135" s="13">
        <f>CHAIN_RAW!I1135</f>
        <v/>
      </c>
      <c r="R1135" s="13">
        <f>CHAIN_RAW!P1135</f>
        <v/>
      </c>
      <c r="S1135" s="13">
        <f>IFERROR(R1135/Q1135,"")</f>
        <v/>
      </c>
      <c r="T1135" s="13">
        <f>IFERROR((ABS(N1135-O1135)/MAX(1,(N1135+O1135)))*EXP(-ABS(E1135-CONTROL!E5)/MAX(1,CONTROL!B8)),"")</f>
        <v/>
      </c>
      <c r="U1135" s="13">
        <f>IFERROR(IF(O1135&gt;N1135,"SUPPORT (PE OI)","RESIST (CE OI)"),"")</f>
        <v/>
      </c>
      <c r="V1135" s="13">
        <f>IFERROR(IF(Q1135&gt;0,IF(R1135&gt;0,"BOTH_ADD","CE_ADD_PE_REDUCE"),IF(R1135&gt;0,"CE_REDUCE_PE_ADD","BOTH_REDUCE")),"")</f>
        <v/>
      </c>
      <c r="W1135" s="13">
        <f>IFERROR( (P1135-1)*0.5 + (M1135)*0.1 - (I1135+J1135)*0.05 + T1135*0.4 ,"")</f>
        <v/>
      </c>
      <c r="X1135" s="13">
        <f>IFERROR(IF(ABS(F1135)&lt;0.01,"ATM/NEAR",""),"")</f>
        <v/>
      </c>
    </row>
    <row r="1136">
      <c r="A1136" s="13">
        <f>CHAIN_RAW!A1136</f>
        <v/>
      </c>
      <c r="B1136" s="14">
        <f>CHAIN_RAW!B1136</f>
        <v/>
      </c>
      <c r="C1136" s="13">
        <f>CHAIN_RAW!C1136</f>
        <v/>
      </c>
      <c r="D1136" s="13">
        <f>CHAIN_RAW!D1136</f>
        <v/>
      </c>
      <c r="E1136" s="13">
        <f>CHAIN_RAW!E1136</f>
        <v/>
      </c>
      <c r="F1136" s="13">
        <f>IFERROR((E1136-D1136)/D1136,"")</f>
        <v/>
      </c>
      <c r="G1136" s="13">
        <f>IFERROR((CHAIN_RAW!K1136+CHAIN_RAW!L1136)/2,"")</f>
        <v/>
      </c>
      <c r="H1136" s="13">
        <f>IFERROR((CHAIN_RAW!R1136+CHAIN_RAW!S1136)/2,"")</f>
        <v/>
      </c>
      <c r="I1136" s="13">
        <f>IFERROR((CHAIN_RAW!L1136-CHAIN_RAW!K1136)/MAX(1E-9, G1136),"")</f>
        <v/>
      </c>
      <c r="J1136" s="13">
        <f>IFERROR((CHAIN_RAW!S1136-CHAIN_RAW!R1136)/MAX(1E-9, H1136),"")</f>
        <v/>
      </c>
      <c r="K1136" s="13">
        <f>CHAIN_RAW!G1136</f>
        <v/>
      </c>
      <c r="L1136" s="13">
        <f>CHAIN_RAW!N1136</f>
        <v/>
      </c>
      <c r="M1136" s="13">
        <f>IFERROR(L1136-K1136,"")</f>
        <v/>
      </c>
      <c r="N1136" s="13">
        <f>CHAIN_RAW!H1136</f>
        <v/>
      </c>
      <c r="O1136" s="13">
        <f>CHAIN_RAW!O1136</f>
        <v/>
      </c>
      <c r="P1136" s="13">
        <f>IFERROR(O1136/N1136,"")</f>
        <v/>
      </c>
      <c r="Q1136" s="13">
        <f>CHAIN_RAW!I1136</f>
        <v/>
      </c>
      <c r="R1136" s="13">
        <f>CHAIN_RAW!P1136</f>
        <v/>
      </c>
      <c r="S1136" s="13">
        <f>IFERROR(R1136/Q1136,"")</f>
        <v/>
      </c>
      <c r="T1136" s="13">
        <f>IFERROR((ABS(N1136-O1136)/MAX(1,(N1136+O1136)))*EXP(-ABS(E1136-CONTROL!E5)/MAX(1,CONTROL!B8)),"")</f>
        <v/>
      </c>
      <c r="U1136" s="13">
        <f>IFERROR(IF(O1136&gt;N1136,"SUPPORT (PE OI)","RESIST (CE OI)"),"")</f>
        <v/>
      </c>
      <c r="V1136" s="13">
        <f>IFERROR(IF(Q1136&gt;0,IF(R1136&gt;0,"BOTH_ADD","CE_ADD_PE_REDUCE"),IF(R1136&gt;0,"CE_REDUCE_PE_ADD","BOTH_REDUCE")),"")</f>
        <v/>
      </c>
      <c r="W1136" s="13">
        <f>IFERROR( (P1136-1)*0.5 + (M1136)*0.1 - (I1136+J1136)*0.05 + T1136*0.4 ,"")</f>
        <v/>
      </c>
      <c r="X1136" s="13">
        <f>IFERROR(IF(ABS(F1136)&lt;0.01,"ATM/NEAR",""),"")</f>
        <v/>
      </c>
    </row>
    <row r="1137">
      <c r="A1137" s="13">
        <f>CHAIN_RAW!A1137</f>
        <v/>
      </c>
      <c r="B1137" s="14">
        <f>CHAIN_RAW!B1137</f>
        <v/>
      </c>
      <c r="C1137" s="13">
        <f>CHAIN_RAW!C1137</f>
        <v/>
      </c>
      <c r="D1137" s="13">
        <f>CHAIN_RAW!D1137</f>
        <v/>
      </c>
      <c r="E1137" s="13">
        <f>CHAIN_RAW!E1137</f>
        <v/>
      </c>
      <c r="F1137" s="13">
        <f>IFERROR((E1137-D1137)/D1137,"")</f>
        <v/>
      </c>
      <c r="G1137" s="13">
        <f>IFERROR((CHAIN_RAW!K1137+CHAIN_RAW!L1137)/2,"")</f>
        <v/>
      </c>
      <c r="H1137" s="13">
        <f>IFERROR((CHAIN_RAW!R1137+CHAIN_RAW!S1137)/2,"")</f>
        <v/>
      </c>
      <c r="I1137" s="13">
        <f>IFERROR((CHAIN_RAW!L1137-CHAIN_RAW!K1137)/MAX(1E-9, G1137),"")</f>
        <v/>
      </c>
      <c r="J1137" s="13">
        <f>IFERROR((CHAIN_RAW!S1137-CHAIN_RAW!R1137)/MAX(1E-9, H1137),"")</f>
        <v/>
      </c>
      <c r="K1137" s="13">
        <f>CHAIN_RAW!G1137</f>
        <v/>
      </c>
      <c r="L1137" s="13">
        <f>CHAIN_RAW!N1137</f>
        <v/>
      </c>
      <c r="M1137" s="13">
        <f>IFERROR(L1137-K1137,"")</f>
        <v/>
      </c>
      <c r="N1137" s="13">
        <f>CHAIN_RAW!H1137</f>
        <v/>
      </c>
      <c r="O1137" s="13">
        <f>CHAIN_RAW!O1137</f>
        <v/>
      </c>
      <c r="P1137" s="13">
        <f>IFERROR(O1137/N1137,"")</f>
        <v/>
      </c>
      <c r="Q1137" s="13">
        <f>CHAIN_RAW!I1137</f>
        <v/>
      </c>
      <c r="R1137" s="13">
        <f>CHAIN_RAW!P1137</f>
        <v/>
      </c>
      <c r="S1137" s="13">
        <f>IFERROR(R1137/Q1137,"")</f>
        <v/>
      </c>
      <c r="T1137" s="13">
        <f>IFERROR((ABS(N1137-O1137)/MAX(1,(N1137+O1137)))*EXP(-ABS(E1137-CONTROL!E5)/MAX(1,CONTROL!B8)),"")</f>
        <v/>
      </c>
      <c r="U1137" s="13">
        <f>IFERROR(IF(O1137&gt;N1137,"SUPPORT (PE OI)","RESIST (CE OI)"),"")</f>
        <v/>
      </c>
      <c r="V1137" s="13">
        <f>IFERROR(IF(Q1137&gt;0,IF(R1137&gt;0,"BOTH_ADD","CE_ADD_PE_REDUCE"),IF(R1137&gt;0,"CE_REDUCE_PE_ADD","BOTH_REDUCE")),"")</f>
        <v/>
      </c>
      <c r="W1137" s="13">
        <f>IFERROR( (P1137-1)*0.5 + (M1137)*0.1 - (I1137+J1137)*0.05 + T1137*0.4 ,"")</f>
        <v/>
      </c>
      <c r="X1137" s="13">
        <f>IFERROR(IF(ABS(F1137)&lt;0.01,"ATM/NEAR",""),"")</f>
        <v/>
      </c>
    </row>
    <row r="1138">
      <c r="A1138" s="13">
        <f>CHAIN_RAW!A1138</f>
        <v/>
      </c>
      <c r="B1138" s="14">
        <f>CHAIN_RAW!B1138</f>
        <v/>
      </c>
      <c r="C1138" s="13">
        <f>CHAIN_RAW!C1138</f>
        <v/>
      </c>
      <c r="D1138" s="13">
        <f>CHAIN_RAW!D1138</f>
        <v/>
      </c>
      <c r="E1138" s="13">
        <f>CHAIN_RAW!E1138</f>
        <v/>
      </c>
      <c r="F1138" s="13">
        <f>IFERROR((E1138-D1138)/D1138,"")</f>
        <v/>
      </c>
      <c r="G1138" s="13">
        <f>IFERROR((CHAIN_RAW!K1138+CHAIN_RAW!L1138)/2,"")</f>
        <v/>
      </c>
      <c r="H1138" s="13">
        <f>IFERROR((CHAIN_RAW!R1138+CHAIN_RAW!S1138)/2,"")</f>
        <v/>
      </c>
      <c r="I1138" s="13">
        <f>IFERROR((CHAIN_RAW!L1138-CHAIN_RAW!K1138)/MAX(1E-9, G1138),"")</f>
        <v/>
      </c>
      <c r="J1138" s="13">
        <f>IFERROR((CHAIN_RAW!S1138-CHAIN_RAW!R1138)/MAX(1E-9, H1138),"")</f>
        <v/>
      </c>
      <c r="K1138" s="13">
        <f>CHAIN_RAW!G1138</f>
        <v/>
      </c>
      <c r="L1138" s="13">
        <f>CHAIN_RAW!N1138</f>
        <v/>
      </c>
      <c r="M1138" s="13">
        <f>IFERROR(L1138-K1138,"")</f>
        <v/>
      </c>
      <c r="N1138" s="13">
        <f>CHAIN_RAW!H1138</f>
        <v/>
      </c>
      <c r="O1138" s="13">
        <f>CHAIN_RAW!O1138</f>
        <v/>
      </c>
      <c r="P1138" s="13">
        <f>IFERROR(O1138/N1138,"")</f>
        <v/>
      </c>
      <c r="Q1138" s="13">
        <f>CHAIN_RAW!I1138</f>
        <v/>
      </c>
      <c r="R1138" s="13">
        <f>CHAIN_RAW!P1138</f>
        <v/>
      </c>
      <c r="S1138" s="13">
        <f>IFERROR(R1138/Q1138,"")</f>
        <v/>
      </c>
      <c r="T1138" s="13">
        <f>IFERROR((ABS(N1138-O1138)/MAX(1,(N1138+O1138)))*EXP(-ABS(E1138-CONTROL!E5)/MAX(1,CONTROL!B8)),"")</f>
        <v/>
      </c>
      <c r="U1138" s="13">
        <f>IFERROR(IF(O1138&gt;N1138,"SUPPORT (PE OI)","RESIST (CE OI)"),"")</f>
        <v/>
      </c>
      <c r="V1138" s="13">
        <f>IFERROR(IF(Q1138&gt;0,IF(R1138&gt;0,"BOTH_ADD","CE_ADD_PE_REDUCE"),IF(R1138&gt;0,"CE_REDUCE_PE_ADD","BOTH_REDUCE")),"")</f>
        <v/>
      </c>
      <c r="W1138" s="13">
        <f>IFERROR( (P1138-1)*0.5 + (M1138)*0.1 - (I1138+J1138)*0.05 + T1138*0.4 ,"")</f>
        <v/>
      </c>
      <c r="X1138" s="13">
        <f>IFERROR(IF(ABS(F1138)&lt;0.01,"ATM/NEAR",""),"")</f>
        <v/>
      </c>
    </row>
    <row r="1139">
      <c r="A1139" s="13">
        <f>CHAIN_RAW!A1139</f>
        <v/>
      </c>
      <c r="B1139" s="14">
        <f>CHAIN_RAW!B1139</f>
        <v/>
      </c>
      <c r="C1139" s="13">
        <f>CHAIN_RAW!C1139</f>
        <v/>
      </c>
      <c r="D1139" s="13">
        <f>CHAIN_RAW!D1139</f>
        <v/>
      </c>
      <c r="E1139" s="13">
        <f>CHAIN_RAW!E1139</f>
        <v/>
      </c>
      <c r="F1139" s="13">
        <f>IFERROR((E1139-D1139)/D1139,"")</f>
        <v/>
      </c>
      <c r="G1139" s="13">
        <f>IFERROR((CHAIN_RAW!K1139+CHAIN_RAW!L1139)/2,"")</f>
        <v/>
      </c>
      <c r="H1139" s="13">
        <f>IFERROR((CHAIN_RAW!R1139+CHAIN_RAW!S1139)/2,"")</f>
        <v/>
      </c>
      <c r="I1139" s="13">
        <f>IFERROR((CHAIN_RAW!L1139-CHAIN_RAW!K1139)/MAX(1E-9, G1139),"")</f>
        <v/>
      </c>
      <c r="J1139" s="13">
        <f>IFERROR((CHAIN_RAW!S1139-CHAIN_RAW!R1139)/MAX(1E-9, H1139),"")</f>
        <v/>
      </c>
      <c r="K1139" s="13">
        <f>CHAIN_RAW!G1139</f>
        <v/>
      </c>
      <c r="L1139" s="13">
        <f>CHAIN_RAW!N1139</f>
        <v/>
      </c>
      <c r="M1139" s="13">
        <f>IFERROR(L1139-K1139,"")</f>
        <v/>
      </c>
      <c r="N1139" s="13">
        <f>CHAIN_RAW!H1139</f>
        <v/>
      </c>
      <c r="O1139" s="13">
        <f>CHAIN_RAW!O1139</f>
        <v/>
      </c>
      <c r="P1139" s="13">
        <f>IFERROR(O1139/N1139,"")</f>
        <v/>
      </c>
      <c r="Q1139" s="13">
        <f>CHAIN_RAW!I1139</f>
        <v/>
      </c>
      <c r="R1139" s="13">
        <f>CHAIN_RAW!P1139</f>
        <v/>
      </c>
      <c r="S1139" s="13">
        <f>IFERROR(R1139/Q1139,"")</f>
        <v/>
      </c>
      <c r="T1139" s="13">
        <f>IFERROR((ABS(N1139-O1139)/MAX(1,(N1139+O1139)))*EXP(-ABS(E1139-CONTROL!E5)/MAX(1,CONTROL!B8)),"")</f>
        <v/>
      </c>
      <c r="U1139" s="13">
        <f>IFERROR(IF(O1139&gt;N1139,"SUPPORT (PE OI)","RESIST (CE OI)"),"")</f>
        <v/>
      </c>
      <c r="V1139" s="13">
        <f>IFERROR(IF(Q1139&gt;0,IF(R1139&gt;0,"BOTH_ADD","CE_ADD_PE_REDUCE"),IF(R1139&gt;0,"CE_REDUCE_PE_ADD","BOTH_REDUCE")),"")</f>
        <v/>
      </c>
      <c r="W1139" s="13">
        <f>IFERROR( (P1139-1)*0.5 + (M1139)*0.1 - (I1139+J1139)*0.05 + T1139*0.4 ,"")</f>
        <v/>
      </c>
      <c r="X1139" s="13">
        <f>IFERROR(IF(ABS(F1139)&lt;0.01,"ATM/NEAR",""),"")</f>
        <v/>
      </c>
    </row>
    <row r="1140">
      <c r="A1140" s="13">
        <f>CHAIN_RAW!A1140</f>
        <v/>
      </c>
      <c r="B1140" s="14">
        <f>CHAIN_RAW!B1140</f>
        <v/>
      </c>
      <c r="C1140" s="13">
        <f>CHAIN_RAW!C1140</f>
        <v/>
      </c>
      <c r="D1140" s="13">
        <f>CHAIN_RAW!D1140</f>
        <v/>
      </c>
      <c r="E1140" s="13">
        <f>CHAIN_RAW!E1140</f>
        <v/>
      </c>
      <c r="F1140" s="13">
        <f>IFERROR((E1140-D1140)/D1140,"")</f>
        <v/>
      </c>
      <c r="G1140" s="13">
        <f>IFERROR((CHAIN_RAW!K1140+CHAIN_RAW!L1140)/2,"")</f>
        <v/>
      </c>
      <c r="H1140" s="13">
        <f>IFERROR((CHAIN_RAW!R1140+CHAIN_RAW!S1140)/2,"")</f>
        <v/>
      </c>
      <c r="I1140" s="13">
        <f>IFERROR((CHAIN_RAW!L1140-CHAIN_RAW!K1140)/MAX(1E-9, G1140),"")</f>
        <v/>
      </c>
      <c r="J1140" s="13">
        <f>IFERROR((CHAIN_RAW!S1140-CHAIN_RAW!R1140)/MAX(1E-9, H1140),"")</f>
        <v/>
      </c>
      <c r="K1140" s="13">
        <f>CHAIN_RAW!G1140</f>
        <v/>
      </c>
      <c r="L1140" s="13">
        <f>CHAIN_RAW!N1140</f>
        <v/>
      </c>
      <c r="M1140" s="13">
        <f>IFERROR(L1140-K1140,"")</f>
        <v/>
      </c>
      <c r="N1140" s="13">
        <f>CHAIN_RAW!H1140</f>
        <v/>
      </c>
      <c r="O1140" s="13">
        <f>CHAIN_RAW!O1140</f>
        <v/>
      </c>
      <c r="P1140" s="13">
        <f>IFERROR(O1140/N1140,"")</f>
        <v/>
      </c>
      <c r="Q1140" s="13">
        <f>CHAIN_RAW!I1140</f>
        <v/>
      </c>
      <c r="R1140" s="13">
        <f>CHAIN_RAW!P1140</f>
        <v/>
      </c>
      <c r="S1140" s="13">
        <f>IFERROR(R1140/Q1140,"")</f>
        <v/>
      </c>
      <c r="T1140" s="13">
        <f>IFERROR((ABS(N1140-O1140)/MAX(1,(N1140+O1140)))*EXP(-ABS(E1140-CONTROL!E5)/MAX(1,CONTROL!B8)),"")</f>
        <v/>
      </c>
      <c r="U1140" s="13">
        <f>IFERROR(IF(O1140&gt;N1140,"SUPPORT (PE OI)","RESIST (CE OI)"),"")</f>
        <v/>
      </c>
      <c r="V1140" s="13">
        <f>IFERROR(IF(Q1140&gt;0,IF(R1140&gt;0,"BOTH_ADD","CE_ADD_PE_REDUCE"),IF(R1140&gt;0,"CE_REDUCE_PE_ADD","BOTH_REDUCE")),"")</f>
        <v/>
      </c>
      <c r="W1140" s="13">
        <f>IFERROR( (P1140-1)*0.5 + (M1140)*0.1 - (I1140+J1140)*0.05 + T1140*0.4 ,"")</f>
        <v/>
      </c>
      <c r="X1140" s="13">
        <f>IFERROR(IF(ABS(F1140)&lt;0.01,"ATM/NEAR",""),"")</f>
        <v/>
      </c>
    </row>
    <row r="1141">
      <c r="A1141" s="13">
        <f>CHAIN_RAW!A1141</f>
        <v/>
      </c>
      <c r="B1141" s="14">
        <f>CHAIN_RAW!B1141</f>
        <v/>
      </c>
      <c r="C1141" s="13">
        <f>CHAIN_RAW!C1141</f>
        <v/>
      </c>
      <c r="D1141" s="13">
        <f>CHAIN_RAW!D1141</f>
        <v/>
      </c>
      <c r="E1141" s="13">
        <f>CHAIN_RAW!E1141</f>
        <v/>
      </c>
      <c r="F1141" s="13">
        <f>IFERROR((E1141-D1141)/D1141,"")</f>
        <v/>
      </c>
      <c r="G1141" s="13">
        <f>IFERROR((CHAIN_RAW!K1141+CHAIN_RAW!L1141)/2,"")</f>
        <v/>
      </c>
      <c r="H1141" s="13">
        <f>IFERROR((CHAIN_RAW!R1141+CHAIN_RAW!S1141)/2,"")</f>
        <v/>
      </c>
      <c r="I1141" s="13">
        <f>IFERROR((CHAIN_RAW!L1141-CHAIN_RAW!K1141)/MAX(1E-9, G1141),"")</f>
        <v/>
      </c>
      <c r="J1141" s="13">
        <f>IFERROR((CHAIN_RAW!S1141-CHAIN_RAW!R1141)/MAX(1E-9, H1141),"")</f>
        <v/>
      </c>
      <c r="K1141" s="13">
        <f>CHAIN_RAW!G1141</f>
        <v/>
      </c>
      <c r="L1141" s="13">
        <f>CHAIN_RAW!N1141</f>
        <v/>
      </c>
      <c r="M1141" s="13">
        <f>IFERROR(L1141-K1141,"")</f>
        <v/>
      </c>
      <c r="N1141" s="13">
        <f>CHAIN_RAW!H1141</f>
        <v/>
      </c>
      <c r="O1141" s="13">
        <f>CHAIN_RAW!O1141</f>
        <v/>
      </c>
      <c r="P1141" s="13">
        <f>IFERROR(O1141/N1141,"")</f>
        <v/>
      </c>
      <c r="Q1141" s="13">
        <f>CHAIN_RAW!I1141</f>
        <v/>
      </c>
      <c r="R1141" s="13">
        <f>CHAIN_RAW!P1141</f>
        <v/>
      </c>
      <c r="S1141" s="13">
        <f>IFERROR(R1141/Q1141,"")</f>
        <v/>
      </c>
      <c r="T1141" s="13">
        <f>IFERROR((ABS(N1141-O1141)/MAX(1,(N1141+O1141)))*EXP(-ABS(E1141-CONTROL!E5)/MAX(1,CONTROL!B8)),"")</f>
        <v/>
      </c>
      <c r="U1141" s="13">
        <f>IFERROR(IF(O1141&gt;N1141,"SUPPORT (PE OI)","RESIST (CE OI)"),"")</f>
        <v/>
      </c>
      <c r="V1141" s="13">
        <f>IFERROR(IF(Q1141&gt;0,IF(R1141&gt;0,"BOTH_ADD","CE_ADD_PE_REDUCE"),IF(R1141&gt;0,"CE_REDUCE_PE_ADD","BOTH_REDUCE")),"")</f>
        <v/>
      </c>
      <c r="W1141" s="13">
        <f>IFERROR( (P1141-1)*0.5 + (M1141)*0.1 - (I1141+J1141)*0.05 + T1141*0.4 ,"")</f>
        <v/>
      </c>
      <c r="X1141" s="13">
        <f>IFERROR(IF(ABS(F1141)&lt;0.01,"ATM/NEAR",""),"")</f>
        <v/>
      </c>
    </row>
    <row r="1142">
      <c r="A1142" s="13">
        <f>CHAIN_RAW!A1142</f>
        <v/>
      </c>
      <c r="B1142" s="14">
        <f>CHAIN_RAW!B1142</f>
        <v/>
      </c>
      <c r="C1142" s="13">
        <f>CHAIN_RAW!C1142</f>
        <v/>
      </c>
      <c r="D1142" s="13">
        <f>CHAIN_RAW!D1142</f>
        <v/>
      </c>
      <c r="E1142" s="13">
        <f>CHAIN_RAW!E1142</f>
        <v/>
      </c>
      <c r="F1142" s="13">
        <f>IFERROR((E1142-D1142)/D1142,"")</f>
        <v/>
      </c>
      <c r="G1142" s="13">
        <f>IFERROR((CHAIN_RAW!K1142+CHAIN_RAW!L1142)/2,"")</f>
        <v/>
      </c>
      <c r="H1142" s="13">
        <f>IFERROR((CHAIN_RAW!R1142+CHAIN_RAW!S1142)/2,"")</f>
        <v/>
      </c>
      <c r="I1142" s="13">
        <f>IFERROR((CHAIN_RAW!L1142-CHAIN_RAW!K1142)/MAX(1E-9, G1142),"")</f>
        <v/>
      </c>
      <c r="J1142" s="13">
        <f>IFERROR((CHAIN_RAW!S1142-CHAIN_RAW!R1142)/MAX(1E-9, H1142),"")</f>
        <v/>
      </c>
      <c r="K1142" s="13">
        <f>CHAIN_RAW!G1142</f>
        <v/>
      </c>
      <c r="L1142" s="13">
        <f>CHAIN_RAW!N1142</f>
        <v/>
      </c>
      <c r="M1142" s="13">
        <f>IFERROR(L1142-K1142,"")</f>
        <v/>
      </c>
      <c r="N1142" s="13">
        <f>CHAIN_RAW!H1142</f>
        <v/>
      </c>
      <c r="O1142" s="13">
        <f>CHAIN_RAW!O1142</f>
        <v/>
      </c>
      <c r="P1142" s="13">
        <f>IFERROR(O1142/N1142,"")</f>
        <v/>
      </c>
      <c r="Q1142" s="13">
        <f>CHAIN_RAW!I1142</f>
        <v/>
      </c>
      <c r="R1142" s="13">
        <f>CHAIN_RAW!P1142</f>
        <v/>
      </c>
      <c r="S1142" s="13">
        <f>IFERROR(R1142/Q1142,"")</f>
        <v/>
      </c>
      <c r="T1142" s="13">
        <f>IFERROR((ABS(N1142-O1142)/MAX(1,(N1142+O1142)))*EXP(-ABS(E1142-CONTROL!E5)/MAX(1,CONTROL!B8)),"")</f>
        <v/>
      </c>
      <c r="U1142" s="13">
        <f>IFERROR(IF(O1142&gt;N1142,"SUPPORT (PE OI)","RESIST (CE OI)"),"")</f>
        <v/>
      </c>
      <c r="V1142" s="13">
        <f>IFERROR(IF(Q1142&gt;0,IF(R1142&gt;0,"BOTH_ADD","CE_ADD_PE_REDUCE"),IF(R1142&gt;0,"CE_REDUCE_PE_ADD","BOTH_REDUCE")),"")</f>
        <v/>
      </c>
      <c r="W1142" s="13">
        <f>IFERROR( (P1142-1)*0.5 + (M1142)*0.1 - (I1142+J1142)*0.05 + T1142*0.4 ,"")</f>
        <v/>
      </c>
      <c r="X1142" s="13">
        <f>IFERROR(IF(ABS(F1142)&lt;0.01,"ATM/NEAR",""),"")</f>
        <v/>
      </c>
    </row>
    <row r="1143">
      <c r="A1143" s="13">
        <f>CHAIN_RAW!A1143</f>
        <v/>
      </c>
      <c r="B1143" s="14">
        <f>CHAIN_RAW!B1143</f>
        <v/>
      </c>
      <c r="C1143" s="13">
        <f>CHAIN_RAW!C1143</f>
        <v/>
      </c>
      <c r="D1143" s="13">
        <f>CHAIN_RAW!D1143</f>
        <v/>
      </c>
      <c r="E1143" s="13">
        <f>CHAIN_RAW!E1143</f>
        <v/>
      </c>
      <c r="F1143" s="13">
        <f>IFERROR((E1143-D1143)/D1143,"")</f>
        <v/>
      </c>
      <c r="G1143" s="13">
        <f>IFERROR((CHAIN_RAW!K1143+CHAIN_RAW!L1143)/2,"")</f>
        <v/>
      </c>
      <c r="H1143" s="13">
        <f>IFERROR((CHAIN_RAW!R1143+CHAIN_RAW!S1143)/2,"")</f>
        <v/>
      </c>
      <c r="I1143" s="13">
        <f>IFERROR((CHAIN_RAW!L1143-CHAIN_RAW!K1143)/MAX(1E-9, G1143),"")</f>
        <v/>
      </c>
      <c r="J1143" s="13">
        <f>IFERROR((CHAIN_RAW!S1143-CHAIN_RAW!R1143)/MAX(1E-9, H1143),"")</f>
        <v/>
      </c>
      <c r="K1143" s="13">
        <f>CHAIN_RAW!G1143</f>
        <v/>
      </c>
      <c r="L1143" s="13">
        <f>CHAIN_RAW!N1143</f>
        <v/>
      </c>
      <c r="M1143" s="13">
        <f>IFERROR(L1143-K1143,"")</f>
        <v/>
      </c>
      <c r="N1143" s="13">
        <f>CHAIN_RAW!H1143</f>
        <v/>
      </c>
      <c r="O1143" s="13">
        <f>CHAIN_RAW!O1143</f>
        <v/>
      </c>
      <c r="P1143" s="13">
        <f>IFERROR(O1143/N1143,"")</f>
        <v/>
      </c>
      <c r="Q1143" s="13">
        <f>CHAIN_RAW!I1143</f>
        <v/>
      </c>
      <c r="R1143" s="13">
        <f>CHAIN_RAW!P1143</f>
        <v/>
      </c>
      <c r="S1143" s="13">
        <f>IFERROR(R1143/Q1143,"")</f>
        <v/>
      </c>
      <c r="T1143" s="13">
        <f>IFERROR((ABS(N1143-O1143)/MAX(1,(N1143+O1143)))*EXP(-ABS(E1143-CONTROL!E5)/MAX(1,CONTROL!B8)),"")</f>
        <v/>
      </c>
      <c r="U1143" s="13">
        <f>IFERROR(IF(O1143&gt;N1143,"SUPPORT (PE OI)","RESIST (CE OI)"),"")</f>
        <v/>
      </c>
      <c r="V1143" s="13">
        <f>IFERROR(IF(Q1143&gt;0,IF(R1143&gt;0,"BOTH_ADD","CE_ADD_PE_REDUCE"),IF(R1143&gt;0,"CE_REDUCE_PE_ADD","BOTH_REDUCE")),"")</f>
        <v/>
      </c>
      <c r="W1143" s="13">
        <f>IFERROR( (P1143-1)*0.5 + (M1143)*0.1 - (I1143+J1143)*0.05 + T1143*0.4 ,"")</f>
        <v/>
      </c>
      <c r="X1143" s="13">
        <f>IFERROR(IF(ABS(F1143)&lt;0.01,"ATM/NEAR",""),"")</f>
        <v/>
      </c>
    </row>
    <row r="1144">
      <c r="A1144" s="13">
        <f>CHAIN_RAW!A1144</f>
        <v/>
      </c>
      <c r="B1144" s="14">
        <f>CHAIN_RAW!B1144</f>
        <v/>
      </c>
      <c r="C1144" s="13">
        <f>CHAIN_RAW!C1144</f>
        <v/>
      </c>
      <c r="D1144" s="13">
        <f>CHAIN_RAW!D1144</f>
        <v/>
      </c>
      <c r="E1144" s="13">
        <f>CHAIN_RAW!E1144</f>
        <v/>
      </c>
      <c r="F1144" s="13">
        <f>IFERROR((E1144-D1144)/D1144,"")</f>
        <v/>
      </c>
      <c r="G1144" s="13">
        <f>IFERROR((CHAIN_RAW!K1144+CHAIN_RAW!L1144)/2,"")</f>
        <v/>
      </c>
      <c r="H1144" s="13">
        <f>IFERROR((CHAIN_RAW!R1144+CHAIN_RAW!S1144)/2,"")</f>
        <v/>
      </c>
      <c r="I1144" s="13">
        <f>IFERROR((CHAIN_RAW!L1144-CHAIN_RAW!K1144)/MAX(1E-9, G1144),"")</f>
        <v/>
      </c>
      <c r="J1144" s="13">
        <f>IFERROR((CHAIN_RAW!S1144-CHAIN_RAW!R1144)/MAX(1E-9, H1144),"")</f>
        <v/>
      </c>
      <c r="K1144" s="13">
        <f>CHAIN_RAW!G1144</f>
        <v/>
      </c>
      <c r="L1144" s="13">
        <f>CHAIN_RAW!N1144</f>
        <v/>
      </c>
      <c r="M1144" s="13">
        <f>IFERROR(L1144-K1144,"")</f>
        <v/>
      </c>
      <c r="N1144" s="13">
        <f>CHAIN_RAW!H1144</f>
        <v/>
      </c>
      <c r="O1144" s="13">
        <f>CHAIN_RAW!O1144</f>
        <v/>
      </c>
      <c r="P1144" s="13">
        <f>IFERROR(O1144/N1144,"")</f>
        <v/>
      </c>
      <c r="Q1144" s="13">
        <f>CHAIN_RAW!I1144</f>
        <v/>
      </c>
      <c r="R1144" s="13">
        <f>CHAIN_RAW!P1144</f>
        <v/>
      </c>
      <c r="S1144" s="13">
        <f>IFERROR(R1144/Q1144,"")</f>
        <v/>
      </c>
      <c r="T1144" s="13">
        <f>IFERROR((ABS(N1144-O1144)/MAX(1,(N1144+O1144)))*EXP(-ABS(E1144-CONTROL!E5)/MAX(1,CONTROL!B8)),"")</f>
        <v/>
      </c>
      <c r="U1144" s="13">
        <f>IFERROR(IF(O1144&gt;N1144,"SUPPORT (PE OI)","RESIST (CE OI)"),"")</f>
        <v/>
      </c>
      <c r="V1144" s="13">
        <f>IFERROR(IF(Q1144&gt;0,IF(R1144&gt;0,"BOTH_ADD","CE_ADD_PE_REDUCE"),IF(R1144&gt;0,"CE_REDUCE_PE_ADD","BOTH_REDUCE")),"")</f>
        <v/>
      </c>
      <c r="W1144" s="13">
        <f>IFERROR( (P1144-1)*0.5 + (M1144)*0.1 - (I1144+J1144)*0.05 + T1144*0.4 ,"")</f>
        <v/>
      </c>
      <c r="X1144" s="13">
        <f>IFERROR(IF(ABS(F1144)&lt;0.01,"ATM/NEAR",""),"")</f>
        <v/>
      </c>
    </row>
    <row r="1145">
      <c r="A1145" s="13">
        <f>CHAIN_RAW!A1145</f>
        <v/>
      </c>
      <c r="B1145" s="14">
        <f>CHAIN_RAW!B1145</f>
        <v/>
      </c>
      <c r="C1145" s="13">
        <f>CHAIN_RAW!C1145</f>
        <v/>
      </c>
      <c r="D1145" s="13">
        <f>CHAIN_RAW!D1145</f>
        <v/>
      </c>
      <c r="E1145" s="13">
        <f>CHAIN_RAW!E1145</f>
        <v/>
      </c>
      <c r="F1145" s="13">
        <f>IFERROR((E1145-D1145)/D1145,"")</f>
        <v/>
      </c>
      <c r="G1145" s="13">
        <f>IFERROR((CHAIN_RAW!K1145+CHAIN_RAW!L1145)/2,"")</f>
        <v/>
      </c>
      <c r="H1145" s="13">
        <f>IFERROR((CHAIN_RAW!R1145+CHAIN_RAW!S1145)/2,"")</f>
        <v/>
      </c>
      <c r="I1145" s="13">
        <f>IFERROR((CHAIN_RAW!L1145-CHAIN_RAW!K1145)/MAX(1E-9, G1145),"")</f>
        <v/>
      </c>
      <c r="J1145" s="13">
        <f>IFERROR((CHAIN_RAW!S1145-CHAIN_RAW!R1145)/MAX(1E-9, H1145),"")</f>
        <v/>
      </c>
      <c r="K1145" s="13">
        <f>CHAIN_RAW!G1145</f>
        <v/>
      </c>
      <c r="L1145" s="13">
        <f>CHAIN_RAW!N1145</f>
        <v/>
      </c>
      <c r="M1145" s="13">
        <f>IFERROR(L1145-K1145,"")</f>
        <v/>
      </c>
      <c r="N1145" s="13">
        <f>CHAIN_RAW!H1145</f>
        <v/>
      </c>
      <c r="O1145" s="13">
        <f>CHAIN_RAW!O1145</f>
        <v/>
      </c>
      <c r="P1145" s="13">
        <f>IFERROR(O1145/N1145,"")</f>
        <v/>
      </c>
      <c r="Q1145" s="13">
        <f>CHAIN_RAW!I1145</f>
        <v/>
      </c>
      <c r="R1145" s="13">
        <f>CHAIN_RAW!P1145</f>
        <v/>
      </c>
      <c r="S1145" s="13">
        <f>IFERROR(R1145/Q1145,"")</f>
        <v/>
      </c>
      <c r="T1145" s="13">
        <f>IFERROR((ABS(N1145-O1145)/MAX(1,(N1145+O1145)))*EXP(-ABS(E1145-CONTROL!E5)/MAX(1,CONTROL!B8)),"")</f>
        <v/>
      </c>
      <c r="U1145" s="13">
        <f>IFERROR(IF(O1145&gt;N1145,"SUPPORT (PE OI)","RESIST (CE OI)"),"")</f>
        <v/>
      </c>
      <c r="V1145" s="13">
        <f>IFERROR(IF(Q1145&gt;0,IF(R1145&gt;0,"BOTH_ADD","CE_ADD_PE_REDUCE"),IF(R1145&gt;0,"CE_REDUCE_PE_ADD","BOTH_REDUCE")),"")</f>
        <v/>
      </c>
      <c r="W1145" s="13">
        <f>IFERROR( (P1145-1)*0.5 + (M1145)*0.1 - (I1145+J1145)*0.05 + T1145*0.4 ,"")</f>
        <v/>
      </c>
      <c r="X1145" s="13">
        <f>IFERROR(IF(ABS(F1145)&lt;0.01,"ATM/NEAR",""),"")</f>
        <v/>
      </c>
    </row>
    <row r="1146">
      <c r="A1146" s="13">
        <f>CHAIN_RAW!A1146</f>
        <v/>
      </c>
      <c r="B1146" s="14">
        <f>CHAIN_RAW!B1146</f>
        <v/>
      </c>
      <c r="C1146" s="13">
        <f>CHAIN_RAW!C1146</f>
        <v/>
      </c>
      <c r="D1146" s="13">
        <f>CHAIN_RAW!D1146</f>
        <v/>
      </c>
      <c r="E1146" s="13">
        <f>CHAIN_RAW!E1146</f>
        <v/>
      </c>
      <c r="F1146" s="13">
        <f>IFERROR((E1146-D1146)/D1146,"")</f>
        <v/>
      </c>
      <c r="G1146" s="13">
        <f>IFERROR((CHAIN_RAW!K1146+CHAIN_RAW!L1146)/2,"")</f>
        <v/>
      </c>
      <c r="H1146" s="13">
        <f>IFERROR((CHAIN_RAW!R1146+CHAIN_RAW!S1146)/2,"")</f>
        <v/>
      </c>
      <c r="I1146" s="13">
        <f>IFERROR((CHAIN_RAW!L1146-CHAIN_RAW!K1146)/MAX(1E-9, G1146),"")</f>
        <v/>
      </c>
      <c r="J1146" s="13">
        <f>IFERROR((CHAIN_RAW!S1146-CHAIN_RAW!R1146)/MAX(1E-9, H1146),"")</f>
        <v/>
      </c>
      <c r="K1146" s="13">
        <f>CHAIN_RAW!G1146</f>
        <v/>
      </c>
      <c r="L1146" s="13">
        <f>CHAIN_RAW!N1146</f>
        <v/>
      </c>
      <c r="M1146" s="13">
        <f>IFERROR(L1146-K1146,"")</f>
        <v/>
      </c>
      <c r="N1146" s="13">
        <f>CHAIN_RAW!H1146</f>
        <v/>
      </c>
      <c r="O1146" s="13">
        <f>CHAIN_RAW!O1146</f>
        <v/>
      </c>
      <c r="P1146" s="13">
        <f>IFERROR(O1146/N1146,"")</f>
        <v/>
      </c>
      <c r="Q1146" s="13">
        <f>CHAIN_RAW!I1146</f>
        <v/>
      </c>
      <c r="R1146" s="13">
        <f>CHAIN_RAW!P1146</f>
        <v/>
      </c>
      <c r="S1146" s="13">
        <f>IFERROR(R1146/Q1146,"")</f>
        <v/>
      </c>
      <c r="T1146" s="13">
        <f>IFERROR((ABS(N1146-O1146)/MAX(1,(N1146+O1146)))*EXP(-ABS(E1146-CONTROL!E5)/MAX(1,CONTROL!B8)),"")</f>
        <v/>
      </c>
      <c r="U1146" s="13">
        <f>IFERROR(IF(O1146&gt;N1146,"SUPPORT (PE OI)","RESIST (CE OI)"),"")</f>
        <v/>
      </c>
      <c r="V1146" s="13">
        <f>IFERROR(IF(Q1146&gt;0,IF(R1146&gt;0,"BOTH_ADD","CE_ADD_PE_REDUCE"),IF(R1146&gt;0,"CE_REDUCE_PE_ADD","BOTH_REDUCE")),"")</f>
        <v/>
      </c>
      <c r="W1146" s="13">
        <f>IFERROR( (P1146-1)*0.5 + (M1146)*0.1 - (I1146+J1146)*0.05 + T1146*0.4 ,"")</f>
        <v/>
      </c>
      <c r="X1146" s="13">
        <f>IFERROR(IF(ABS(F1146)&lt;0.01,"ATM/NEAR",""),"")</f>
        <v/>
      </c>
    </row>
    <row r="1147">
      <c r="A1147" s="13">
        <f>CHAIN_RAW!A1147</f>
        <v/>
      </c>
      <c r="B1147" s="14">
        <f>CHAIN_RAW!B1147</f>
        <v/>
      </c>
      <c r="C1147" s="13">
        <f>CHAIN_RAW!C1147</f>
        <v/>
      </c>
      <c r="D1147" s="13">
        <f>CHAIN_RAW!D1147</f>
        <v/>
      </c>
      <c r="E1147" s="13">
        <f>CHAIN_RAW!E1147</f>
        <v/>
      </c>
      <c r="F1147" s="13">
        <f>IFERROR((E1147-D1147)/D1147,"")</f>
        <v/>
      </c>
      <c r="G1147" s="13">
        <f>IFERROR((CHAIN_RAW!K1147+CHAIN_RAW!L1147)/2,"")</f>
        <v/>
      </c>
      <c r="H1147" s="13">
        <f>IFERROR((CHAIN_RAW!R1147+CHAIN_RAW!S1147)/2,"")</f>
        <v/>
      </c>
      <c r="I1147" s="13">
        <f>IFERROR((CHAIN_RAW!L1147-CHAIN_RAW!K1147)/MAX(1E-9, G1147),"")</f>
        <v/>
      </c>
      <c r="J1147" s="13">
        <f>IFERROR((CHAIN_RAW!S1147-CHAIN_RAW!R1147)/MAX(1E-9, H1147),"")</f>
        <v/>
      </c>
      <c r="K1147" s="13">
        <f>CHAIN_RAW!G1147</f>
        <v/>
      </c>
      <c r="L1147" s="13">
        <f>CHAIN_RAW!N1147</f>
        <v/>
      </c>
      <c r="M1147" s="13">
        <f>IFERROR(L1147-K1147,"")</f>
        <v/>
      </c>
      <c r="N1147" s="13">
        <f>CHAIN_RAW!H1147</f>
        <v/>
      </c>
      <c r="O1147" s="13">
        <f>CHAIN_RAW!O1147</f>
        <v/>
      </c>
      <c r="P1147" s="13">
        <f>IFERROR(O1147/N1147,"")</f>
        <v/>
      </c>
      <c r="Q1147" s="13">
        <f>CHAIN_RAW!I1147</f>
        <v/>
      </c>
      <c r="R1147" s="13">
        <f>CHAIN_RAW!P1147</f>
        <v/>
      </c>
      <c r="S1147" s="13">
        <f>IFERROR(R1147/Q1147,"")</f>
        <v/>
      </c>
      <c r="T1147" s="13">
        <f>IFERROR((ABS(N1147-O1147)/MAX(1,(N1147+O1147)))*EXP(-ABS(E1147-CONTROL!E5)/MAX(1,CONTROL!B8)),"")</f>
        <v/>
      </c>
      <c r="U1147" s="13">
        <f>IFERROR(IF(O1147&gt;N1147,"SUPPORT (PE OI)","RESIST (CE OI)"),"")</f>
        <v/>
      </c>
      <c r="V1147" s="13">
        <f>IFERROR(IF(Q1147&gt;0,IF(R1147&gt;0,"BOTH_ADD","CE_ADD_PE_REDUCE"),IF(R1147&gt;0,"CE_REDUCE_PE_ADD","BOTH_REDUCE")),"")</f>
        <v/>
      </c>
      <c r="W1147" s="13">
        <f>IFERROR( (P1147-1)*0.5 + (M1147)*0.1 - (I1147+J1147)*0.05 + T1147*0.4 ,"")</f>
        <v/>
      </c>
      <c r="X1147" s="13">
        <f>IFERROR(IF(ABS(F1147)&lt;0.01,"ATM/NEAR",""),"")</f>
        <v/>
      </c>
    </row>
    <row r="1148">
      <c r="A1148" s="13">
        <f>CHAIN_RAW!A1148</f>
        <v/>
      </c>
      <c r="B1148" s="14">
        <f>CHAIN_RAW!B1148</f>
        <v/>
      </c>
      <c r="C1148" s="13">
        <f>CHAIN_RAW!C1148</f>
        <v/>
      </c>
      <c r="D1148" s="13">
        <f>CHAIN_RAW!D1148</f>
        <v/>
      </c>
      <c r="E1148" s="13">
        <f>CHAIN_RAW!E1148</f>
        <v/>
      </c>
      <c r="F1148" s="13">
        <f>IFERROR((E1148-D1148)/D1148,"")</f>
        <v/>
      </c>
      <c r="G1148" s="13">
        <f>IFERROR((CHAIN_RAW!K1148+CHAIN_RAW!L1148)/2,"")</f>
        <v/>
      </c>
      <c r="H1148" s="13">
        <f>IFERROR((CHAIN_RAW!R1148+CHAIN_RAW!S1148)/2,"")</f>
        <v/>
      </c>
      <c r="I1148" s="13">
        <f>IFERROR((CHAIN_RAW!L1148-CHAIN_RAW!K1148)/MAX(1E-9, G1148),"")</f>
        <v/>
      </c>
      <c r="J1148" s="13">
        <f>IFERROR((CHAIN_RAW!S1148-CHAIN_RAW!R1148)/MAX(1E-9, H1148),"")</f>
        <v/>
      </c>
      <c r="K1148" s="13">
        <f>CHAIN_RAW!G1148</f>
        <v/>
      </c>
      <c r="L1148" s="13">
        <f>CHAIN_RAW!N1148</f>
        <v/>
      </c>
      <c r="M1148" s="13">
        <f>IFERROR(L1148-K1148,"")</f>
        <v/>
      </c>
      <c r="N1148" s="13">
        <f>CHAIN_RAW!H1148</f>
        <v/>
      </c>
      <c r="O1148" s="13">
        <f>CHAIN_RAW!O1148</f>
        <v/>
      </c>
      <c r="P1148" s="13">
        <f>IFERROR(O1148/N1148,"")</f>
        <v/>
      </c>
      <c r="Q1148" s="13">
        <f>CHAIN_RAW!I1148</f>
        <v/>
      </c>
      <c r="R1148" s="13">
        <f>CHAIN_RAW!P1148</f>
        <v/>
      </c>
      <c r="S1148" s="13">
        <f>IFERROR(R1148/Q1148,"")</f>
        <v/>
      </c>
      <c r="T1148" s="13">
        <f>IFERROR((ABS(N1148-O1148)/MAX(1,(N1148+O1148)))*EXP(-ABS(E1148-CONTROL!E5)/MAX(1,CONTROL!B8)),"")</f>
        <v/>
      </c>
      <c r="U1148" s="13">
        <f>IFERROR(IF(O1148&gt;N1148,"SUPPORT (PE OI)","RESIST (CE OI)"),"")</f>
        <v/>
      </c>
      <c r="V1148" s="13">
        <f>IFERROR(IF(Q1148&gt;0,IF(R1148&gt;0,"BOTH_ADD","CE_ADD_PE_REDUCE"),IF(R1148&gt;0,"CE_REDUCE_PE_ADD","BOTH_REDUCE")),"")</f>
        <v/>
      </c>
      <c r="W1148" s="13">
        <f>IFERROR( (P1148-1)*0.5 + (M1148)*0.1 - (I1148+J1148)*0.05 + T1148*0.4 ,"")</f>
        <v/>
      </c>
      <c r="X1148" s="13">
        <f>IFERROR(IF(ABS(F1148)&lt;0.01,"ATM/NEAR",""),"")</f>
        <v/>
      </c>
    </row>
    <row r="1149">
      <c r="A1149" s="13">
        <f>CHAIN_RAW!A1149</f>
        <v/>
      </c>
      <c r="B1149" s="14">
        <f>CHAIN_RAW!B1149</f>
        <v/>
      </c>
      <c r="C1149" s="13">
        <f>CHAIN_RAW!C1149</f>
        <v/>
      </c>
      <c r="D1149" s="13">
        <f>CHAIN_RAW!D1149</f>
        <v/>
      </c>
      <c r="E1149" s="13">
        <f>CHAIN_RAW!E1149</f>
        <v/>
      </c>
      <c r="F1149" s="13">
        <f>IFERROR((E1149-D1149)/D1149,"")</f>
        <v/>
      </c>
      <c r="G1149" s="13">
        <f>IFERROR((CHAIN_RAW!K1149+CHAIN_RAW!L1149)/2,"")</f>
        <v/>
      </c>
      <c r="H1149" s="13">
        <f>IFERROR((CHAIN_RAW!R1149+CHAIN_RAW!S1149)/2,"")</f>
        <v/>
      </c>
      <c r="I1149" s="13">
        <f>IFERROR((CHAIN_RAW!L1149-CHAIN_RAW!K1149)/MAX(1E-9, G1149),"")</f>
        <v/>
      </c>
      <c r="J1149" s="13">
        <f>IFERROR((CHAIN_RAW!S1149-CHAIN_RAW!R1149)/MAX(1E-9, H1149),"")</f>
        <v/>
      </c>
      <c r="K1149" s="13">
        <f>CHAIN_RAW!G1149</f>
        <v/>
      </c>
      <c r="L1149" s="13">
        <f>CHAIN_RAW!N1149</f>
        <v/>
      </c>
      <c r="M1149" s="13">
        <f>IFERROR(L1149-K1149,"")</f>
        <v/>
      </c>
      <c r="N1149" s="13">
        <f>CHAIN_RAW!H1149</f>
        <v/>
      </c>
      <c r="O1149" s="13">
        <f>CHAIN_RAW!O1149</f>
        <v/>
      </c>
      <c r="P1149" s="13">
        <f>IFERROR(O1149/N1149,"")</f>
        <v/>
      </c>
      <c r="Q1149" s="13">
        <f>CHAIN_RAW!I1149</f>
        <v/>
      </c>
      <c r="R1149" s="13">
        <f>CHAIN_RAW!P1149</f>
        <v/>
      </c>
      <c r="S1149" s="13">
        <f>IFERROR(R1149/Q1149,"")</f>
        <v/>
      </c>
      <c r="T1149" s="13">
        <f>IFERROR((ABS(N1149-O1149)/MAX(1,(N1149+O1149)))*EXP(-ABS(E1149-CONTROL!E5)/MAX(1,CONTROL!B8)),"")</f>
        <v/>
      </c>
      <c r="U1149" s="13">
        <f>IFERROR(IF(O1149&gt;N1149,"SUPPORT (PE OI)","RESIST (CE OI)"),"")</f>
        <v/>
      </c>
      <c r="V1149" s="13">
        <f>IFERROR(IF(Q1149&gt;0,IF(R1149&gt;0,"BOTH_ADD","CE_ADD_PE_REDUCE"),IF(R1149&gt;0,"CE_REDUCE_PE_ADD","BOTH_REDUCE")),"")</f>
        <v/>
      </c>
      <c r="W1149" s="13">
        <f>IFERROR( (P1149-1)*0.5 + (M1149)*0.1 - (I1149+J1149)*0.05 + T1149*0.4 ,"")</f>
        <v/>
      </c>
      <c r="X1149" s="13">
        <f>IFERROR(IF(ABS(F1149)&lt;0.01,"ATM/NEAR",""),"")</f>
        <v/>
      </c>
    </row>
    <row r="1150">
      <c r="A1150" s="13">
        <f>CHAIN_RAW!A1150</f>
        <v/>
      </c>
      <c r="B1150" s="14">
        <f>CHAIN_RAW!B1150</f>
        <v/>
      </c>
      <c r="C1150" s="13">
        <f>CHAIN_RAW!C1150</f>
        <v/>
      </c>
      <c r="D1150" s="13">
        <f>CHAIN_RAW!D1150</f>
        <v/>
      </c>
      <c r="E1150" s="13">
        <f>CHAIN_RAW!E1150</f>
        <v/>
      </c>
      <c r="F1150" s="13">
        <f>IFERROR((E1150-D1150)/D1150,"")</f>
        <v/>
      </c>
      <c r="G1150" s="13">
        <f>IFERROR((CHAIN_RAW!K1150+CHAIN_RAW!L1150)/2,"")</f>
        <v/>
      </c>
      <c r="H1150" s="13">
        <f>IFERROR((CHAIN_RAW!R1150+CHAIN_RAW!S1150)/2,"")</f>
        <v/>
      </c>
      <c r="I1150" s="13">
        <f>IFERROR((CHAIN_RAW!L1150-CHAIN_RAW!K1150)/MAX(1E-9, G1150),"")</f>
        <v/>
      </c>
      <c r="J1150" s="13">
        <f>IFERROR((CHAIN_RAW!S1150-CHAIN_RAW!R1150)/MAX(1E-9, H1150),"")</f>
        <v/>
      </c>
      <c r="K1150" s="13">
        <f>CHAIN_RAW!G1150</f>
        <v/>
      </c>
      <c r="L1150" s="13">
        <f>CHAIN_RAW!N1150</f>
        <v/>
      </c>
      <c r="M1150" s="13">
        <f>IFERROR(L1150-K1150,"")</f>
        <v/>
      </c>
      <c r="N1150" s="13">
        <f>CHAIN_RAW!H1150</f>
        <v/>
      </c>
      <c r="O1150" s="13">
        <f>CHAIN_RAW!O1150</f>
        <v/>
      </c>
      <c r="P1150" s="13">
        <f>IFERROR(O1150/N1150,"")</f>
        <v/>
      </c>
      <c r="Q1150" s="13">
        <f>CHAIN_RAW!I1150</f>
        <v/>
      </c>
      <c r="R1150" s="13">
        <f>CHAIN_RAW!P1150</f>
        <v/>
      </c>
      <c r="S1150" s="13">
        <f>IFERROR(R1150/Q1150,"")</f>
        <v/>
      </c>
      <c r="T1150" s="13">
        <f>IFERROR((ABS(N1150-O1150)/MAX(1,(N1150+O1150)))*EXP(-ABS(E1150-CONTROL!E5)/MAX(1,CONTROL!B8)),"")</f>
        <v/>
      </c>
      <c r="U1150" s="13">
        <f>IFERROR(IF(O1150&gt;N1150,"SUPPORT (PE OI)","RESIST (CE OI)"),"")</f>
        <v/>
      </c>
      <c r="V1150" s="13">
        <f>IFERROR(IF(Q1150&gt;0,IF(R1150&gt;0,"BOTH_ADD","CE_ADD_PE_REDUCE"),IF(R1150&gt;0,"CE_REDUCE_PE_ADD","BOTH_REDUCE")),"")</f>
        <v/>
      </c>
      <c r="W1150" s="13">
        <f>IFERROR( (P1150-1)*0.5 + (M1150)*0.1 - (I1150+J1150)*0.05 + T1150*0.4 ,"")</f>
        <v/>
      </c>
      <c r="X1150" s="13">
        <f>IFERROR(IF(ABS(F1150)&lt;0.01,"ATM/NEAR",""),"")</f>
        <v/>
      </c>
    </row>
    <row r="1151">
      <c r="A1151" s="13">
        <f>CHAIN_RAW!A1151</f>
        <v/>
      </c>
      <c r="B1151" s="14">
        <f>CHAIN_RAW!B1151</f>
        <v/>
      </c>
      <c r="C1151" s="13">
        <f>CHAIN_RAW!C1151</f>
        <v/>
      </c>
      <c r="D1151" s="13">
        <f>CHAIN_RAW!D1151</f>
        <v/>
      </c>
      <c r="E1151" s="13">
        <f>CHAIN_RAW!E1151</f>
        <v/>
      </c>
      <c r="F1151" s="13">
        <f>IFERROR((E1151-D1151)/D1151,"")</f>
        <v/>
      </c>
      <c r="G1151" s="13">
        <f>IFERROR((CHAIN_RAW!K1151+CHAIN_RAW!L1151)/2,"")</f>
        <v/>
      </c>
      <c r="H1151" s="13">
        <f>IFERROR((CHAIN_RAW!R1151+CHAIN_RAW!S1151)/2,"")</f>
        <v/>
      </c>
      <c r="I1151" s="13">
        <f>IFERROR((CHAIN_RAW!L1151-CHAIN_RAW!K1151)/MAX(1E-9, G1151),"")</f>
        <v/>
      </c>
      <c r="J1151" s="13">
        <f>IFERROR((CHAIN_RAW!S1151-CHAIN_RAW!R1151)/MAX(1E-9, H1151),"")</f>
        <v/>
      </c>
      <c r="K1151" s="13">
        <f>CHAIN_RAW!G1151</f>
        <v/>
      </c>
      <c r="L1151" s="13">
        <f>CHAIN_RAW!N1151</f>
        <v/>
      </c>
      <c r="M1151" s="13">
        <f>IFERROR(L1151-K1151,"")</f>
        <v/>
      </c>
      <c r="N1151" s="13">
        <f>CHAIN_RAW!H1151</f>
        <v/>
      </c>
      <c r="O1151" s="13">
        <f>CHAIN_RAW!O1151</f>
        <v/>
      </c>
      <c r="P1151" s="13">
        <f>IFERROR(O1151/N1151,"")</f>
        <v/>
      </c>
      <c r="Q1151" s="13">
        <f>CHAIN_RAW!I1151</f>
        <v/>
      </c>
      <c r="R1151" s="13">
        <f>CHAIN_RAW!P1151</f>
        <v/>
      </c>
      <c r="S1151" s="13">
        <f>IFERROR(R1151/Q1151,"")</f>
        <v/>
      </c>
      <c r="T1151" s="13">
        <f>IFERROR((ABS(N1151-O1151)/MAX(1,(N1151+O1151)))*EXP(-ABS(E1151-CONTROL!E5)/MAX(1,CONTROL!B8)),"")</f>
        <v/>
      </c>
      <c r="U1151" s="13">
        <f>IFERROR(IF(O1151&gt;N1151,"SUPPORT (PE OI)","RESIST (CE OI)"),"")</f>
        <v/>
      </c>
      <c r="V1151" s="13">
        <f>IFERROR(IF(Q1151&gt;0,IF(R1151&gt;0,"BOTH_ADD","CE_ADD_PE_REDUCE"),IF(R1151&gt;0,"CE_REDUCE_PE_ADD","BOTH_REDUCE")),"")</f>
        <v/>
      </c>
      <c r="W1151" s="13">
        <f>IFERROR( (P1151-1)*0.5 + (M1151)*0.1 - (I1151+J1151)*0.05 + T1151*0.4 ,"")</f>
        <v/>
      </c>
      <c r="X1151" s="13">
        <f>IFERROR(IF(ABS(F1151)&lt;0.01,"ATM/NEAR",""),"")</f>
        <v/>
      </c>
    </row>
    <row r="1152">
      <c r="A1152" s="13">
        <f>CHAIN_RAW!A1152</f>
        <v/>
      </c>
      <c r="B1152" s="14">
        <f>CHAIN_RAW!B1152</f>
        <v/>
      </c>
      <c r="C1152" s="13">
        <f>CHAIN_RAW!C1152</f>
        <v/>
      </c>
      <c r="D1152" s="13">
        <f>CHAIN_RAW!D1152</f>
        <v/>
      </c>
      <c r="E1152" s="13">
        <f>CHAIN_RAW!E1152</f>
        <v/>
      </c>
      <c r="F1152" s="13">
        <f>IFERROR((E1152-D1152)/D1152,"")</f>
        <v/>
      </c>
      <c r="G1152" s="13">
        <f>IFERROR((CHAIN_RAW!K1152+CHAIN_RAW!L1152)/2,"")</f>
        <v/>
      </c>
      <c r="H1152" s="13">
        <f>IFERROR((CHAIN_RAW!R1152+CHAIN_RAW!S1152)/2,"")</f>
        <v/>
      </c>
      <c r="I1152" s="13">
        <f>IFERROR((CHAIN_RAW!L1152-CHAIN_RAW!K1152)/MAX(1E-9, G1152),"")</f>
        <v/>
      </c>
      <c r="J1152" s="13">
        <f>IFERROR((CHAIN_RAW!S1152-CHAIN_RAW!R1152)/MAX(1E-9, H1152),"")</f>
        <v/>
      </c>
      <c r="K1152" s="13">
        <f>CHAIN_RAW!G1152</f>
        <v/>
      </c>
      <c r="L1152" s="13">
        <f>CHAIN_RAW!N1152</f>
        <v/>
      </c>
      <c r="M1152" s="13">
        <f>IFERROR(L1152-K1152,"")</f>
        <v/>
      </c>
      <c r="N1152" s="13">
        <f>CHAIN_RAW!H1152</f>
        <v/>
      </c>
      <c r="O1152" s="13">
        <f>CHAIN_RAW!O1152</f>
        <v/>
      </c>
      <c r="P1152" s="13">
        <f>IFERROR(O1152/N1152,"")</f>
        <v/>
      </c>
      <c r="Q1152" s="13">
        <f>CHAIN_RAW!I1152</f>
        <v/>
      </c>
      <c r="R1152" s="13">
        <f>CHAIN_RAW!P1152</f>
        <v/>
      </c>
      <c r="S1152" s="13">
        <f>IFERROR(R1152/Q1152,"")</f>
        <v/>
      </c>
      <c r="T1152" s="13">
        <f>IFERROR((ABS(N1152-O1152)/MAX(1,(N1152+O1152)))*EXP(-ABS(E1152-CONTROL!E5)/MAX(1,CONTROL!B8)),"")</f>
        <v/>
      </c>
      <c r="U1152" s="13">
        <f>IFERROR(IF(O1152&gt;N1152,"SUPPORT (PE OI)","RESIST (CE OI)"),"")</f>
        <v/>
      </c>
      <c r="V1152" s="13">
        <f>IFERROR(IF(Q1152&gt;0,IF(R1152&gt;0,"BOTH_ADD","CE_ADD_PE_REDUCE"),IF(R1152&gt;0,"CE_REDUCE_PE_ADD","BOTH_REDUCE")),"")</f>
        <v/>
      </c>
      <c r="W1152" s="13">
        <f>IFERROR( (P1152-1)*0.5 + (M1152)*0.1 - (I1152+J1152)*0.05 + T1152*0.4 ,"")</f>
        <v/>
      </c>
      <c r="X1152" s="13">
        <f>IFERROR(IF(ABS(F1152)&lt;0.01,"ATM/NEAR",""),"")</f>
        <v/>
      </c>
    </row>
    <row r="1153">
      <c r="A1153" s="13">
        <f>CHAIN_RAW!A1153</f>
        <v/>
      </c>
      <c r="B1153" s="14">
        <f>CHAIN_RAW!B1153</f>
        <v/>
      </c>
      <c r="C1153" s="13">
        <f>CHAIN_RAW!C1153</f>
        <v/>
      </c>
      <c r="D1153" s="13">
        <f>CHAIN_RAW!D1153</f>
        <v/>
      </c>
      <c r="E1153" s="13">
        <f>CHAIN_RAW!E1153</f>
        <v/>
      </c>
      <c r="F1153" s="13">
        <f>IFERROR((E1153-D1153)/D1153,"")</f>
        <v/>
      </c>
      <c r="G1153" s="13">
        <f>IFERROR((CHAIN_RAW!K1153+CHAIN_RAW!L1153)/2,"")</f>
        <v/>
      </c>
      <c r="H1153" s="13">
        <f>IFERROR((CHAIN_RAW!R1153+CHAIN_RAW!S1153)/2,"")</f>
        <v/>
      </c>
      <c r="I1153" s="13">
        <f>IFERROR((CHAIN_RAW!L1153-CHAIN_RAW!K1153)/MAX(1E-9, G1153),"")</f>
        <v/>
      </c>
      <c r="J1153" s="13">
        <f>IFERROR((CHAIN_RAW!S1153-CHAIN_RAW!R1153)/MAX(1E-9, H1153),"")</f>
        <v/>
      </c>
      <c r="K1153" s="13">
        <f>CHAIN_RAW!G1153</f>
        <v/>
      </c>
      <c r="L1153" s="13">
        <f>CHAIN_RAW!N1153</f>
        <v/>
      </c>
      <c r="M1153" s="13">
        <f>IFERROR(L1153-K1153,"")</f>
        <v/>
      </c>
      <c r="N1153" s="13">
        <f>CHAIN_RAW!H1153</f>
        <v/>
      </c>
      <c r="O1153" s="13">
        <f>CHAIN_RAW!O1153</f>
        <v/>
      </c>
      <c r="P1153" s="13">
        <f>IFERROR(O1153/N1153,"")</f>
        <v/>
      </c>
      <c r="Q1153" s="13">
        <f>CHAIN_RAW!I1153</f>
        <v/>
      </c>
      <c r="R1153" s="13">
        <f>CHAIN_RAW!P1153</f>
        <v/>
      </c>
      <c r="S1153" s="13">
        <f>IFERROR(R1153/Q1153,"")</f>
        <v/>
      </c>
      <c r="T1153" s="13">
        <f>IFERROR((ABS(N1153-O1153)/MAX(1,(N1153+O1153)))*EXP(-ABS(E1153-CONTROL!E5)/MAX(1,CONTROL!B8)),"")</f>
        <v/>
      </c>
      <c r="U1153" s="13">
        <f>IFERROR(IF(O1153&gt;N1153,"SUPPORT (PE OI)","RESIST (CE OI)"),"")</f>
        <v/>
      </c>
      <c r="V1153" s="13">
        <f>IFERROR(IF(Q1153&gt;0,IF(R1153&gt;0,"BOTH_ADD","CE_ADD_PE_REDUCE"),IF(R1153&gt;0,"CE_REDUCE_PE_ADD","BOTH_REDUCE")),"")</f>
        <v/>
      </c>
      <c r="W1153" s="13">
        <f>IFERROR( (P1153-1)*0.5 + (M1153)*0.1 - (I1153+J1153)*0.05 + T1153*0.4 ,"")</f>
        <v/>
      </c>
      <c r="X1153" s="13">
        <f>IFERROR(IF(ABS(F1153)&lt;0.01,"ATM/NEAR",""),"")</f>
        <v/>
      </c>
    </row>
    <row r="1154">
      <c r="A1154" s="13">
        <f>CHAIN_RAW!A1154</f>
        <v/>
      </c>
      <c r="B1154" s="14">
        <f>CHAIN_RAW!B1154</f>
        <v/>
      </c>
      <c r="C1154" s="13">
        <f>CHAIN_RAW!C1154</f>
        <v/>
      </c>
      <c r="D1154" s="13">
        <f>CHAIN_RAW!D1154</f>
        <v/>
      </c>
      <c r="E1154" s="13">
        <f>CHAIN_RAW!E1154</f>
        <v/>
      </c>
      <c r="F1154" s="13">
        <f>IFERROR((E1154-D1154)/D1154,"")</f>
        <v/>
      </c>
      <c r="G1154" s="13">
        <f>IFERROR((CHAIN_RAW!K1154+CHAIN_RAW!L1154)/2,"")</f>
        <v/>
      </c>
      <c r="H1154" s="13">
        <f>IFERROR((CHAIN_RAW!R1154+CHAIN_RAW!S1154)/2,"")</f>
        <v/>
      </c>
      <c r="I1154" s="13">
        <f>IFERROR((CHAIN_RAW!L1154-CHAIN_RAW!K1154)/MAX(1E-9, G1154),"")</f>
        <v/>
      </c>
      <c r="J1154" s="13">
        <f>IFERROR((CHAIN_RAW!S1154-CHAIN_RAW!R1154)/MAX(1E-9, H1154),"")</f>
        <v/>
      </c>
      <c r="K1154" s="13">
        <f>CHAIN_RAW!G1154</f>
        <v/>
      </c>
      <c r="L1154" s="13">
        <f>CHAIN_RAW!N1154</f>
        <v/>
      </c>
      <c r="M1154" s="13">
        <f>IFERROR(L1154-K1154,"")</f>
        <v/>
      </c>
      <c r="N1154" s="13">
        <f>CHAIN_RAW!H1154</f>
        <v/>
      </c>
      <c r="O1154" s="13">
        <f>CHAIN_RAW!O1154</f>
        <v/>
      </c>
      <c r="P1154" s="13">
        <f>IFERROR(O1154/N1154,"")</f>
        <v/>
      </c>
      <c r="Q1154" s="13">
        <f>CHAIN_RAW!I1154</f>
        <v/>
      </c>
      <c r="R1154" s="13">
        <f>CHAIN_RAW!P1154</f>
        <v/>
      </c>
      <c r="S1154" s="13">
        <f>IFERROR(R1154/Q1154,"")</f>
        <v/>
      </c>
      <c r="T1154" s="13">
        <f>IFERROR((ABS(N1154-O1154)/MAX(1,(N1154+O1154)))*EXP(-ABS(E1154-CONTROL!E5)/MAX(1,CONTROL!B8)),"")</f>
        <v/>
      </c>
      <c r="U1154" s="13">
        <f>IFERROR(IF(O1154&gt;N1154,"SUPPORT (PE OI)","RESIST (CE OI)"),"")</f>
        <v/>
      </c>
      <c r="V1154" s="13">
        <f>IFERROR(IF(Q1154&gt;0,IF(R1154&gt;0,"BOTH_ADD","CE_ADD_PE_REDUCE"),IF(R1154&gt;0,"CE_REDUCE_PE_ADD","BOTH_REDUCE")),"")</f>
        <v/>
      </c>
      <c r="W1154" s="13">
        <f>IFERROR( (P1154-1)*0.5 + (M1154)*0.1 - (I1154+J1154)*0.05 + T1154*0.4 ,"")</f>
        <v/>
      </c>
      <c r="X1154" s="13">
        <f>IFERROR(IF(ABS(F1154)&lt;0.01,"ATM/NEAR",""),"")</f>
        <v/>
      </c>
    </row>
    <row r="1155">
      <c r="A1155" s="13">
        <f>CHAIN_RAW!A1155</f>
        <v/>
      </c>
      <c r="B1155" s="14">
        <f>CHAIN_RAW!B1155</f>
        <v/>
      </c>
      <c r="C1155" s="13">
        <f>CHAIN_RAW!C1155</f>
        <v/>
      </c>
      <c r="D1155" s="13">
        <f>CHAIN_RAW!D1155</f>
        <v/>
      </c>
      <c r="E1155" s="13">
        <f>CHAIN_RAW!E1155</f>
        <v/>
      </c>
      <c r="F1155" s="13">
        <f>IFERROR((E1155-D1155)/D1155,"")</f>
        <v/>
      </c>
      <c r="G1155" s="13">
        <f>IFERROR((CHAIN_RAW!K1155+CHAIN_RAW!L1155)/2,"")</f>
        <v/>
      </c>
      <c r="H1155" s="13">
        <f>IFERROR((CHAIN_RAW!R1155+CHAIN_RAW!S1155)/2,"")</f>
        <v/>
      </c>
      <c r="I1155" s="13">
        <f>IFERROR((CHAIN_RAW!L1155-CHAIN_RAW!K1155)/MAX(1E-9, G1155),"")</f>
        <v/>
      </c>
      <c r="J1155" s="13">
        <f>IFERROR((CHAIN_RAW!S1155-CHAIN_RAW!R1155)/MAX(1E-9, H1155),"")</f>
        <v/>
      </c>
      <c r="K1155" s="13">
        <f>CHAIN_RAW!G1155</f>
        <v/>
      </c>
      <c r="L1155" s="13">
        <f>CHAIN_RAW!N1155</f>
        <v/>
      </c>
      <c r="M1155" s="13">
        <f>IFERROR(L1155-K1155,"")</f>
        <v/>
      </c>
      <c r="N1155" s="13">
        <f>CHAIN_RAW!H1155</f>
        <v/>
      </c>
      <c r="O1155" s="13">
        <f>CHAIN_RAW!O1155</f>
        <v/>
      </c>
      <c r="P1155" s="13">
        <f>IFERROR(O1155/N1155,"")</f>
        <v/>
      </c>
      <c r="Q1155" s="13">
        <f>CHAIN_RAW!I1155</f>
        <v/>
      </c>
      <c r="R1155" s="13">
        <f>CHAIN_RAW!P1155</f>
        <v/>
      </c>
      <c r="S1155" s="13">
        <f>IFERROR(R1155/Q1155,"")</f>
        <v/>
      </c>
      <c r="T1155" s="13">
        <f>IFERROR((ABS(N1155-O1155)/MAX(1,(N1155+O1155)))*EXP(-ABS(E1155-CONTROL!E5)/MAX(1,CONTROL!B8)),"")</f>
        <v/>
      </c>
      <c r="U1155" s="13">
        <f>IFERROR(IF(O1155&gt;N1155,"SUPPORT (PE OI)","RESIST (CE OI)"),"")</f>
        <v/>
      </c>
      <c r="V1155" s="13">
        <f>IFERROR(IF(Q1155&gt;0,IF(R1155&gt;0,"BOTH_ADD","CE_ADD_PE_REDUCE"),IF(R1155&gt;0,"CE_REDUCE_PE_ADD","BOTH_REDUCE")),"")</f>
        <v/>
      </c>
      <c r="W1155" s="13">
        <f>IFERROR( (P1155-1)*0.5 + (M1155)*0.1 - (I1155+J1155)*0.05 + T1155*0.4 ,"")</f>
        <v/>
      </c>
      <c r="X1155" s="13">
        <f>IFERROR(IF(ABS(F1155)&lt;0.01,"ATM/NEAR",""),"")</f>
        <v/>
      </c>
    </row>
    <row r="1156">
      <c r="A1156" s="13">
        <f>CHAIN_RAW!A1156</f>
        <v/>
      </c>
      <c r="B1156" s="14">
        <f>CHAIN_RAW!B1156</f>
        <v/>
      </c>
      <c r="C1156" s="13">
        <f>CHAIN_RAW!C1156</f>
        <v/>
      </c>
      <c r="D1156" s="13">
        <f>CHAIN_RAW!D1156</f>
        <v/>
      </c>
      <c r="E1156" s="13">
        <f>CHAIN_RAW!E1156</f>
        <v/>
      </c>
      <c r="F1156" s="13">
        <f>IFERROR((E1156-D1156)/D1156,"")</f>
        <v/>
      </c>
      <c r="G1156" s="13">
        <f>IFERROR((CHAIN_RAW!K1156+CHAIN_RAW!L1156)/2,"")</f>
        <v/>
      </c>
      <c r="H1156" s="13">
        <f>IFERROR((CHAIN_RAW!R1156+CHAIN_RAW!S1156)/2,"")</f>
        <v/>
      </c>
      <c r="I1156" s="13">
        <f>IFERROR((CHAIN_RAW!L1156-CHAIN_RAW!K1156)/MAX(1E-9, G1156),"")</f>
        <v/>
      </c>
      <c r="J1156" s="13">
        <f>IFERROR((CHAIN_RAW!S1156-CHAIN_RAW!R1156)/MAX(1E-9, H1156),"")</f>
        <v/>
      </c>
      <c r="K1156" s="13">
        <f>CHAIN_RAW!G1156</f>
        <v/>
      </c>
      <c r="L1156" s="13">
        <f>CHAIN_RAW!N1156</f>
        <v/>
      </c>
      <c r="M1156" s="13">
        <f>IFERROR(L1156-K1156,"")</f>
        <v/>
      </c>
      <c r="N1156" s="13">
        <f>CHAIN_RAW!H1156</f>
        <v/>
      </c>
      <c r="O1156" s="13">
        <f>CHAIN_RAW!O1156</f>
        <v/>
      </c>
      <c r="P1156" s="13">
        <f>IFERROR(O1156/N1156,"")</f>
        <v/>
      </c>
      <c r="Q1156" s="13">
        <f>CHAIN_RAW!I1156</f>
        <v/>
      </c>
      <c r="R1156" s="13">
        <f>CHAIN_RAW!P1156</f>
        <v/>
      </c>
      <c r="S1156" s="13">
        <f>IFERROR(R1156/Q1156,"")</f>
        <v/>
      </c>
      <c r="T1156" s="13">
        <f>IFERROR((ABS(N1156-O1156)/MAX(1,(N1156+O1156)))*EXP(-ABS(E1156-CONTROL!E5)/MAX(1,CONTROL!B8)),"")</f>
        <v/>
      </c>
      <c r="U1156" s="13">
        <f>IFERROR(IF(O1156&gt;N1156,"SUPPORT (PE OI)","RESIST (CE OI)"),"")</f>
        <v/>
      </c>
      <c r="V1156" s="13">
        <f>IFERROR(IF(Q1156&gt;0,IF(R1156&gt;0,"BOTH_ADD","CE_ADD_PE_REDUCE"),IF(R1156&gt;0,"CE_REDUCE_PE_ADD","BOTH_REDUCE")),"")</f>
        <v/>
      </c>
      <c r="W1156" s="13">
        <f>IFERROR( (P1156-1)*0.5 + (M1156)*0.1 - (I1156+J1156)*0.05 + T1156*0.4 ,"")</f>
        <v/>
      </c>
      <c r="X1156" s="13">
        <f>IFERROR(IF(ABS(F1156)&lt;0.01,"ATM/NEAR",""),"")</f>
        <v/>
      </c>
    </row>
    <row r="1157">
      <c r="A1157" s="13">
        <f>CHAIN_RAW!A1157</f>
        <v/>
      </c>
      <c r="B1157" s="14">
        <f>CHAIN_RAW!B1157</f>
        <v/>
      </c>
      <c r="C1157" s="13">
        <f>CHAIN_RAW!C1157</f>
        <v/>
      </c>
      <c r="D1157" s="13">
        <f>CHAIN_RAW!D1157</f>
        <v/>
      </c>
      <c r="E1157" s="13">
        <f>CHAIN_RAW!E1157</f>
        <v/>
      </c>
      <c r="F1157" s="13">
        <f>IFERROR((E1157-D1157)/D1157,"")</f>
        <v/>
      </c>
      <c r="G1157" s="13">
        <f>IFERROR((CHAIN_RAW!K1157+CHAIN_RAW!L1157)/2,"")</f>
        <v/>
      </c>
      <c r="H1157" s="13">
        <f>IFERROR((CHAIN_RAW!R1157+CHAIN_RAW!S1157)/2,"")</f>
        <v/>
      </c>
      <c r="I1157" s="13">
        <f>IFERROR((CHAIN_RAW!L1157-CHAIN_RAW!K1157)/MAX(1E-9, G1157),"")</f>
        <v/>
      </c>
      <c r="J1157" s="13">
        <f>IFERROR((CHAIN_RAW!S1157-CHAIN_RAW!R1157)/MAX(1E-9, H1157),"")</f>
        <v/>
      </c>
      <c r="K1157" s="13">
        <f>CHAIN_RAW!G1157</f>
        <v/>
      </c>
      <c r="L1157" s="13">
        <f>CHAIN_RAW!N1157</f>
        <v/>
      </c>
      <c r="M1157" s="13">
        <f>IFERROR(L1157-K1157,"")</f>
        <v/>
      </c>
      <c r="N1157" s="13">
        <f>CHAIN_RAW!H1157</f>
        <v/>
      </c>
      <c r="O1157" s="13">
        <f>CHAIN_RAW!O1157</f>
        <v/>
      </c>
      <c r="P1157" s="13">
        <f>IFERROR(O1157/N1157,"")</f>
        <v/>
      </c>
      <c r="Q1157" s="13">
        <f>CHAIN_RAW!I1157</f>
        <v/>
      </c>
      <c r="R1157" s="13">
        <f>CHAIN_RAW!P1157</f>
        <v/>
      </c>
      <c r="S1157" s="13">
        <f>IFERROR(R1157/Q1157,"")</f>
        <v/>
      </c>
      <c r="T1157" s="13">
        <f>IFERROR((ABS(N1157-O1157)/MAX(1,(N1157+O1157)))*EXP(-ABS(E1157-CONTROL!E5)/MAX(1,CONTROL!B8)),"")</f>
        <v/>
      </c>
      <c r="U1157" s="13">
        <f>IFERROR(IF(O1157&gt;N1157,"SUPPORT (PE OI)","RESIST (CE OI)"),"")</f>
        <v/>
      </c>
      <c r="V1157" s="13">
        <f>IFERROR(IF(Q1157&gt;0,IF(R1157&gt;0,"BOTH_ADD","CE_ADD_PE_REDUCE"),IF(R1157&gt;0,"CE_REDUCE_PE_ADD","BOTH_REDUCE")),"")</f>
        <v/>
      </c>
      <c r="W1157" s="13">
        <f>IFERROR( (P1157-1)*0.5 + (M1157)*0.1 - (I1157+J1157)*0.05 + T1157*0.4 ,"")</f>
        <v/>
      </c>
      <c r="X1157" s="13">
        <f>IFERROR(IF(ABS(F1157)&lt;0.01,"ATM/NEAR",""),"")</f>
        <v/>
      </c>
    </row>
    <row r="1158">
      <c r="A1158" s="13">
        <f>CHAIN_RAW!A1158</f>
        <v/>
      </c>
      <c r="B1158" s="14">
        <f>CHAIN_RAW!B1158</f>
        <v/>
      </c>
      <c r="C1158" s="13">
        <f>CHAIN_RAW!C1158</f>
        <v/>
      </c>
      <c r="D1158" s="13">
        <f>CHAIN_RAW!D1158</f>
        <v/>
      </c>
      <c r="E1158" s="13">
        <f>CHAIN_RAW!E1158</f>
        <v/>
      </c>
      <c r="F1158" s="13">
        <f>IFERROR((E1158-D1158)/D1158,"")</f>
        <v/>
      </c>
      <c r="G1158" s="13">
        <f>IFERROR((CHAIN_RAW!K1158+CHAIN_RAW!L1158)/2,"")</f>
        <v/>
      </c>
      <c r="H1158" s="13">
        <f>IFERROR((CHAIN_RAW!R1158+CHAIN_RAW!S1158)/2,"")</f>
        <v/>
      </c>
      <c r="I1158" s="13">
        <f>IFERROR((CHAIN_RAW!L1158-CHAIN_RAW!K1158)/MAX(1E-9, G1158),"")</f>
        <v/>
      </c>
      <c r="J1158" s="13">
        <f>IFERROR((CHAIN_RAW!S1158-CHAIN_RAW!R1158)/MAX(1E-9, H1158),"")</f>
        <v/>
      </c>
      <c r="K1158" s="13">
        <f>CHAIN_RAW!G1158</f>
        <v/>
      </c>
      <c r="L1158" s="13">
        <f>CHAIN_RAW!N1158</f>
        <v/>
      </c>
      <c r="M1158" s="13">
        <f>IFERROR(L1158-K1158,"")</f>
        <v/>
      </c>
      <c r="N1158" s="13">
        <f>CHAIN_RAW!H1158</f>
        <v/>
      </c>
      <c r="O1158" s="13">
        <f>CHAIN_RAW!O1158</f>
        <v/>
      </c>
      <c r="P1158" s="13">
        <f>IFERROR(O1158/N1158,"")</f>
        <v/>
      </c>
      <c r="Q1158" s="13">
        <f>CHAIN_RAW!I1158</f>
        <v/>
      </c>
      <c r="R1158" s="13">
        <f>CHAIN_RAW!P1158</f>
        <v/>
      </c>
      <c r="S1158" s="13">
        <f>IFERROR(R1158/Q1158,"")</f>
        <v/>
      </c>
      <c r="T1158" s="13">
        <f>IFERROR((ABS(N1158-O1158)/MAX(1,(N1158+O1158)))*EXP(-ABS(E1158-CONTROL!E5)/MAX(1,CONTROL!B8)),"")</f>
        <v/>
      </c>
      <c r="U1158" s="13">
        <f>IFERROR(IF(O1158&gt;N1158,"SUPPORT (PE OI)","RESIST (CE OI)"),"")</f>
        <v/>
      </c>
      <c r="V1158" s="13">
        <f>IFERROR(IF(Q1158&gt;0,IF(R1158&gt;0,"BOTH_ADD","CE_ADD_PE_REDUCE"),IF(R1158&gt;0,"CE_REDUCE_PE_ADD","BOTH_REDUCE")),"")</f>
        <v/>
      </c>
      <c r="W1158" s="13">
        <f>IFERROR( (P1158-1)*0.5 + (M1158)*0.1 - (I1158+J1158)*0.05 + T1158*0.4 ,"")</f>
        <v/>
      </c>
      <c r="X1158" s="13">
        <f>IFERROR(IF(ABS(F1158)&lt;0.01,"ATM/NEAR",""),"")</f>
        <v/>
      </c>
    </row>
    <row r="1159">
      <c r="A1159" s="13">
        <f>CHAIN_RAW!A1159</f>
        <v/>
      </c>
      <c r="B1159" s="14">
        <f>CHAIN_RAW!B1159</f>
        <v/>
      </c>
      <c r="C1159" s="13">
        <f>CHAIN_RAW!C1159</f>
        <v/>
      </c>
      <c r="D1159" s="13">
        <f>CHAIN_RAW!D1159</f>
        <v/>
      </c>
      <c r="E1159" s="13">
        <f>CHAIN_RAW!E1159</f>
        <v/>
      </c>
      <c r="F1159" s="13">
        <f>IFERROR((E1159-D1159)/D1159,"")</f>
        <v/>
      </c>
      <c r="G1159" s="13">
        <f>IFERROR((CHAIN_RAW!K1159+CHAIN_RAW!L1159)/2,"")</f>
        <v/>
      </c>
      <c r="H1159" s="13">
        <f>IFERROR((CHAIN_RAW!R1159+CHAIN_RAW!S1159)/2,"")</f>
        <v/>
      </c>
      <c r="I1159" s="13">
        <f>IFERROR((CHAIN_RAW!L1159-CHAIN_RAW!K1159)/MAX(1E-9, G1159),"")</f>
        <v/>
      </c>
      <c r="J1159" s="13">
        <f>IFERROR((CHAIN_RAW!S1159-CHAIN_RAW!R1159)/MAX(1E-9, H1159),"")</f>
        <v/>
      </c>
      <c r="K1159" s="13">
        <f>CHAIN_RAW!G1159</f>
        <v/>
      </c>
      <c r="L1159" s="13">
        <f>CHAIN_RAW!N1159</f>
        <v/>
      </c>
      <c r="M1159" s="13">
        <f>IFERROR(L1159-K1159,"")</f>
        <v/>
      </c>
      <c r="N1159" s="13">
        <f>CHAIN_RAW!H1159</f>
        <v/>
      </c>
      <c r="O1159" s="13">
        <f>CHAIN_RAW!O1159</f>
        <v/>
      </c>
      <c r="P1159" s="13">
        <f>IFERROR(O1159/N1159,"")</f>
        <v/>
      </c>
      <c r="Q1159" s="13">
        <f>CHAIN_RAW!I1159</f>
        <v/>
      </c>
      <c r="R1159" s="13">
        <f>CHAIN_RAW!P1159</f>
        <v/>
      </c>
      <c r="S1159" s="13">
        <f>IFERROR(R1159/Q1159,"")</f>
        <v/>
      </c>
      <c r="T1159" s="13">
        <f>IFERROR((ABS(N1159-O1159)/MAX(1,(N1159+O1159)))*EXP(-ABS(E1159-CONTROL!E5)/MAX(1,CONTROL!B8)),"")</f>
        <v/>
      </c>
      <c r="U1159" s="13">
        <f>IFERROR(IF(O1159&gt;N1159,"SUPPORT (PE OI)","RESIST (CE OI)"),"")</f>
        <v/>
      </c>
      <c r="V1159" s="13">
        <f>IFERROR(IF(Q1159&gt;0,IF(R1159&gt;0,"BOTH_ADD","CE_ADD_PE_REDUCE"),IF(R1159&gt;0,"CE_REDUCE_PE_ADD","BOTH_REDUCE")),"")</f>
        <v/>
      </c>
      <c r="W1159" s="13">
        <f>IFERROR( (P1159-1)*0.5 + (M1159)*0.1 - (I1159+J1159)*0.05 + T1159*0.4 ,"")</f>
        <v/>
      </c>
      <c r="X1159" s="13">
        <f>IFERROR(IF(ABS(F1159)&lt;0.01,"ATM/NEAR",""),"")</f>
        <v/>
      </c>
    </row>
    <row r="1160">
      <c r="A1160" s="13">
        <f>CHAIN_RAW!A1160</f>
        <v/>
      </c>
      <c r="B1160" s="14">
        <f>CHAIN_RAW!B1160</f>
        <v/>
      </c>
      <c r="C1160" s="13">
        <f>CHAIN_RAW!C1160</f>
        <v/>
      </c>
      <c r="D1160" s="13">
        <f>CHAIN_RAW!D1160</f>
        <v/>
      </c>
      <c r="E1160" s="13">
        <f>CHAIN_RAW!E1160</f>
        <v/>
      </c>
      <c r="F1160" s="13">
        <f>IFERROR((E1160-D1160)/D1160,"")</f>
        <v/>
      </c>
      <c r="G1160" s="13">
        <f>IFERROR((CHAIN_RAW!K1160+CHAIN_RAW!L1160)/2,"")</f>
        <v/>
      </c>
      <c r="H1160" s="13">
        <f>IFERROR((CHAIN_RAW!R1160+CHAIN_RAW!S1160)/2,"")</f>
        <v/>
      </c>
      <c r="I1160" s="13">
        <f>IFERROR((CHAIN_RAW!L1160-CHAIN_RAW!K1160)/MAX(1E-9, G1160),"")</f>
        <v/>
      </c>
      <c r="J1160" s="13">
        <f>IFERROR((CHAIN_RAW!S1160-CHAIN_RAW!R1160)/MAX(1E-9, H1160),"")</f>
        <v/>
      </c>
      <c r="K1160" s="13">
        <f>CHAIN_RAW!G1160</f>
        <v/>
      </c>
      <c r="L1160" s="13">
        <f>CHAIN_RAW!N1160</f>
        <v/>
      </c>
      <c r="M1160" s="13">
        <f>IFERROR(L1160-K1160,"")</f>
        <v/>
      </c>
      <c r="N1160" s="13">
        <f>CHAIN_RAW!H1160</f>
        <v/>
      </c>
      <c r="O1160" s="13">
        <f>CHAIN_RAW!O1160</f>
        <v/>
      </c>
      <c r="P1160" s="13">
        <f>IFERROR(O1160/N1160,"")</f>
        <v/>
      </c>
      <c r="Q1160" s="13">
        <f>CHAIN_RAW!I1160</f>
        <v/>
      </c>
      <c r="R1160" s="13">
        <f>CHAIN_RAW!P1160</f>
        <v/>
      </c>
      <c r="S1160" s="13">
        <f>IFERROR(R1160/Q1160,"")</f>
        <v/>
      </c>
      <c r="T1160" s="13">
        <f>IFERROR((ABS(N1160-O1160)/MAX(1,(N1160+O1160)))*EXP(-ABS(E1160-CONTROL!E5)/MAX(1,CONTROL!B8)),"")</f>
        <v/>
      </c>
      <c r="U1160" s="13">
        <f>IFERROR(IF(O1160&gt;N1160,"SUPPORT (PE OI)","RESIST (CE OI)"),"")</f>
        <v/>
      </c>
      <c r="V1160" s="13">
        <f>IFERROR(IF(Q1160&gt;0,IF(R1160&gt;0,"BOTH_ADD","CE_ADD_PE_REDUCE"),IF(R1160&gt;0,"CE_REDUCE_PE_ADD","BOTH_REDUCE")),"")</f>
        <v/>
      </c>
      <c r="W1160" s="13">
        <f>IFERROR( (P1160-1)*0.5 + (M1160)*0.1 - (I1160+J1160)*0.05 + T1160*0.4 ,"")</f>
        <v/>
      </c>
      <c r="X1160" s="13">
        <f>IFERROR(IF(ABS(F1160)&lt;0.01,"ATM/NEAR",""),"")</f>
        <v/>
      </c>
    </row>
    <row r="1161">
      <c r="A1161" s="13">
        <f>CHAIN_RAW!A1161</f>
        <v/>
      </c>
      <c r="B1161" s="14">
        <f>CHAIN_RAW!B1161</f>
        <v/>
      </c>
      <c r="C1161" s="13">
        <f>CHAIN_RAW!C1161</f>
        <v/>
      </c>
      <c r="D1161" s="13">
        <f>CHAIN_RAW!D1161</f>
        <v/>
      </c>
      <c r="E1161" s="13">
        <f>CHAIN_RAW!E1161</f>
        <v/>
      </c>
      <c r="F1161" s="13">
        <f>IFERROR((E1161-D1161)/D1161,"")</f>
        <v/>
      </c>
      <c r="G1161" s="13">
        <f>IFERROR((CHAIN_RAW!K1161+CHAIN_RAW!L1161)/2,"")</f>
        <v/>
      </c>
      <c r="H1161" s="13">
        <f>IFERROR((CHAIN_RAW!R1161+CHAIN_RAW!S1161)/2,"")</f>
        <v/>
      </c>
      <c r="I1161" s="13">
        <f>IFERROR((CHAIN_RAW!L1161-CHAIN_RAW!K1161)/MAX(1E-9, G1161),"")</f>
        <v/>
      </c>
      <c r="J1161" s="13">
        <f>IFERROR((CHAIN_RAW!S1161-CHAIN_RAW!R1161)/MAX(1E-9, H1161),"")</f>
        <v/>
      </c>
      <c r="K1161" s="13">
        <f>CHAIN_RAW!G1161</f>
        <v/>
      </c>
      <c r="L1161" s="13">
        <f>CHAIN_RAW!N1161</f>
        <v/>
      </c>
      <c r="M1161" s="13">
        <f>IFERROR(L1161-K1161,"")</f>
        <v/>
      </c>
      <c r="N1161" s="13">
        <f>CHAIN_RAW!H1161</f>
        <v/>
      </c>
      <c r="O1161" s="13">
        <f>CHAIN_RAW!O1161</f>
        <v/>
      </c>
      <c r="P1161" s="13">
        <f>IFERROR(O1161/N1161,"")</f>
        <v/>
      </c>
      <c r="Q1161" s="13">
        <f>CHAIN_RAW!I1161</f>
        <v/>
      </c>
      <c r="R1161" s="13">
        <f>CHAIN_RAW!P1161</f>
        <v/>
      </c>
      <c r="S1161" s="13">
        <f>IFERROR(R1161/Q1161,"")</f>
        <v/>
      </c>
      <c r="T1161" s="13">
        <f>IFERROR((ABS(N1161-O1161)/MAX(1,(N1161+O1161)))*EXP(-ABS(E1161-CONTROL!E5)/MAX(1,CONTROL!B8)),"")</f>
        <v/>
      </c>
      <c r="U1161" s="13">
        <f>IFERROR(IF(O1161&gt;N1161,"SUPPORT (PE OI)","RESIST (CE OI)"),"")</f>
        <v/>
      </c>
      <c r="V1161" s="13">
        <f>IFERROR(IF(Q1161&gt;0,IF(R1161&gt;0,"BOTH_ADD","CE_ADD_PE_REDUCE"),IF(R1161&gt;0,"CE_REDUCE_PE_ADD","BOTH_REDUCE")),"")</f>
        <v/>
      </c>
      <c r="W1161" s="13">
        <f>IFERROR( (P1161-1)*0.5 + (M1161)*0.1 - (I1161+J1161)*0.05 + T1161*0.4 ,"")</f>
        <v/>
      </c>
      <c r="X1161" s="13">
        <f>IFERROR(IF(ABS(F1161)&lt;0.01,"ATM/NEAR",""),"")</f>
        <v/>
      </c>
    </row>
    <row r="1162">
      <c r="A1162" s="13">
        <f>CHAIN_RAW!A1162</f>
        <v/>
      </c>
      <c r="B1162" s="14">
        <f>CHAIN_RAW!B1162</f>
        <v/>
      </c>
      <c r="C1162" s="13">
        <f>CHAIN_RAW!C1162</f>
        <v/>
      </c>
      <c r="D1162" s="13">
        <f>CHAIN_RAW!D1162</f>
        <v/>
      </c>
      <c r="E1162" s="13">
        <f>CHAIN_RAW!E1162</f>
        <v/>
      </c>
      <c r="F1162" s="13">
        <f>IFERROR((E1162-D1162)/D1162,"")</f>
        <v/>
      </c>
      <c r="G1162" s="13">
        <f>IFERROR((CHAIN_RAW!K1162+CHAIN_RAW!L1162)/2,"")</f>
        <v/>
      </c>
      <c r="H1162" s="13">
        <f>IFERROR((CHAIN_RAW!R1162+CHAIN_RAW!S1162)/2,"")</f>
        <v/>
      </c>
      <c r="I1162" s="13">
        <f>IFERROR((CHAIN_RAW!L1162-CHAIN_RAW!K1162)/MAX(1E-9, G1162),"")</f>
        <v/>
      </c>
      <c r="J1162" s="13">
        <f>IFERROR((CHAIN_RAW!S1162-CHAIN_RAW!R1162)/MAX(1E-9, H1162),"")</f>
        <v/>
      </c>
      <c r="K1162" s="13">
        <f>CHAIN_RAW!G1162</f>
        <v/>
      </c>
      <c r="L1162" s="13">
        <f>CHAIN_RAW!N1162</f>
        <v/>
      </c>
      <c r="M1162" s="13">
        <f>IFERROR(L1162-K1162,"")</f>
        <v/>
      </c>
      <c r="N1162" s="13">
        <f>CHAIN_RAW!H1162</f>
        <v/>
      </c>
      <c r="O1162" s="13">
        <f>CHAIN_RAW!O1162</f>
        <v/>
      </c>
      <c r="P1162" s="13">
        <f>IFERROR(O1162/N1162,"")</f>
        <v/>
      </c>
      <c r="Q1162" s="13">
        <f>CHAIN_RAW!I1162</f>
        <v/>
      </c>
      <c r="R1162" s="13">
        <f>CHAIN_RAW!P1162</f>
        <v/>
      </c>
      <c r="S1162" s="13">
        <f>IFERROR(R1162/Q1162,"")</f>
        <v/>
      </c>
      <c r="T1162" s="13">
        <f>IFERROR((ABS(N1162-O1162)/MAX(1,(N1162+O1162)))*EXP(-ABS(E1162-CONTROL!E5)/MAX(1,CONTROL!B8)),"")</f>
        <v/>
      </c>
      <c r="U1162" s="13">
        <f>IFERROR(IF(O1162&gt;N1162,"SUPPORT (PE OI)","RESIST (CE OI)"),"")</f>
        <v/>
      </c>
      <c r="V1162" s="13">
        <f>IFERROR(IF(Q1162&gt;0,IF(R1162&gt;0,"BOTH_ADD","CE_ADD_PE_REDUCE"),IF(R1162&gt;0,"CE_REDUCE_PE_ADD","BOTH_REDUCE")),"")</f>
        <v/>
      </c>
      <c r="W1162" s="13">
        <f>IFERROR( (P1162-1)*0.5 + (M1162)*0.1 - (I1162+J1162)*0.05 + T1162*0.4 ,"")</f>
        <v/>
      </c>
      <c r="X1162" s="13">
        <f>IFERROR(IF(ABS(F1162)&lt;0.01,"ATM/NEAR",""),"")</f>
        <v/>
      </c>
    </row>
    <row r="1163">
      <c r="A1163" s="13">
        <f>CHAIN_RAW!A1163</f>
        <v/>
      </c>
      <c r="B1163" s="14">
        <f>CHAIN_RAW!B1163</f>
        <v/>
      </c>
      <c r="C1163" s="13">
        <f>CHAIN_RAW!C1163</f>
        <v/>
      </c>
      <c r="D1163" s="13">
        <f>CHAIN_RAW!D1163</f>
        <v/>
      </c>
      <c r="E1163" s="13">
        <f>CHAIN_RAW!E1163</f>
        <v/>
      </c>
      <c r="F1163" s="13">
        <f>IFERROR((E1163-D1163)/D1163,"")</f>
        <v/>
      </c>
      <c r="G1163" s="13">
        <f>IFERROR((CHAIN_RAW!K1163+CHAIN_RAW!L1163)/2,"")</f>
        <v/>
      </c>
      <c r="H1163" s="13">
        <f>IFERROR((CHAIN_RAW!R1163+CHAIN_RAW!S1163)/2,"")</f>
        <v/>
      </c>
      <c r="I1163" s="13">
        <f>IFERROR((CHAIN_RAW!L1163-CHAIN_RAW!K1163)/MAX(1E-9, G1163),"")</f>
        <v/>
      </c>
      <c r="J1163" s="13">
        <f>IFERROR((CHAIN_RAW!S1163-CHAIN_RAW!R1163)/MAX(1E-9, H1163),"")</f>
        <v/>
      </c>
      <c r="K1163" s="13">
        <f>CHAIN_RAW!G1163</f>
        <v/>
      </c>
      <c r="L1163" s="13">
        <f>CHAIN_RAW!N1163</f>
        <v/>
      </c>
      <c r="M1163" s="13">
        <f>IFERROR(L1163-K1163,"")</f>
        <v/>
      </c>
      <c r="N1163" s="13">
        <f>CHAIN_RAW!H1163</f>
        <v/>
      </c>
      <c r="O1163" s="13">
        <f>CHAIN_RAW!O1163</f>
        <v/>
      </c>
      <c r="P1163" s="13">
        <f>IFERROR(O1163/N1163,"")</f>
        <v/>
      </c>
      <c r="Q1163" s="13">
        <f>CHAIN_RAW!I1163</f>
        <v/>
      </c>
      <c r="R1163" s="13">
        <f>CHAIN_RAW!P1163</f>
        <v/>
      </c>
      <c r="S1163" s="13">
        <f>IFERROR(R1163/Q1163,"")</f>
        <v/>
      </c>
      <c r="T1163" s="13">
        <f>IFERROR((ABS(N1163-O1163)/MAX(1,(N1163+O1163)))*EXP(-ABS(E1163-CONTROL!E5)/MAX(1,CONTROL!B8)),"")</f>
        <v/>
      </c>
      <c r="U1163" s="13">
        <f>IFERROR(IF(O1163&gt;N1163,"SUPPORT (PE OI)","RESIST (CE OI)"),"")</f>
        <v/>
      </c>
      <c r="V1163" s="13">
        <f>IFERROR(IF(Q1163&gt;0,IF(R1163&gt;0,"BOTH_ADD","CE_ADD_PE_REDUCE"),IF(R1163&gt;0,"CE_REDUCE_PE_ADD","BOTH_REDUCE")),"")</f>
        <v/>
      </c>
      <c r="W1163" s="13">
        <f>IFERROR( (P1163-1)*0.5 + (M1163)*0.1 - (I1163+J1163)*0.05 + T1163*0.4 ,"")</f>
        <v/>
      </c>
      <c r="X1163" s="13">
        <f>IFERROR(IF(ABS(F1163)&lt;0.01,"ATM/NEAR",""),"")</f>
        <v/>
      </c>
    </row>
    <row r="1164">
      <c r="A1164" s="13">
        <f>CHAIN_RAW!A1164</f>
        <v/>
      </c>
      <c r="B1164" s="14">
        <f>CHAIN_RAW!B1164</f>
        <v/>
      </c>
      <c r="C1164" s="13">
        <f>CHAIN_RAW!C1164</f>
        <v/>
      </c>
      <c r="D1164" s="13">
        <f>CHAIN_RAW!D1164</f>
        <v/>
      </c>
      <c r="E1164" s="13">
        <f>CHAIN_RAW!E1164</f>
        <v/>
      </c>
      <c r="F1164" s="13">
        <f>IFERROR((E1164-D1164)/D1164,"")</f>
        <v/>
      </c>
      <c r="G1164" s="13">
        <f>IFERROR((CHAIN_RAW!K1164+CHAIN_RAW!L1164)/2,"")</f>
        <v/>
      </c>
      <c r="H1164" s="13">
        <f>IFERROR((CHAIN_RAW!R1164+CHAIN_RAW!S1164)/2,"")</f>
        <v/>
      </c>
      <c r="I1164" s="13">
        <f>IFERROR((CHAIN_RAW!L1164-CHAIN_RAW!K1164)/MAX(1E-9, G1164),"")</f>
        <v/>
      </c>
      <c r="J1164" s="13">
        <f>IFERROR((CHAIN_RAW!S1164-CHAIN_RAW!R1164)/MAX(1E-9, H1164),"")</f>
        <v/>
      </c>
      <c r="K1164" s="13">
        <f>CHAIN_RAW!G1164</f>
        <v/>
      </c>
      <c r="L1164" s="13">
        <f>CHAIN_RAW!N1164</f>
        <v/>
      </c>
      <c r="M1164" s="13">
        <f>IFERROR(L1164-K1164,"")</f>
        <v/>
      </c>
      <c r="N1164" s="13">
        <f>CHAIN_RAW!H1164</f>
        <v/>
      </c>
      <c r="O1164" s="13">
        <f>CHAIN_RAW!O1164</f>
        <v/>
      </c>
      <c r="P1164" s="13">
        <f>IFERROR(O1164/N1164,"")</f>
        <v/>
      </c>
      <c r="Q1164" s="13">
        <f>CHAIN_RAW!I1164</f>
        <v/>
      </c>
      <c r="R1164" s="13">
        <f>CHAIN_RAW!P1164</f>
        <v/>
      </c>
      <c r="S1164" s="13">
        <f>IFERROR(R1164/Q1164,"")</f>
        <v/>
      </c>
      <c r="T1164" s="13">
        <f>IFERROR((ABS(N1164-O1164)/MAX(1,(N1164+O1164)))*EXP(-ABS(E1164-CONTROL!E5)/MAX(1,CONTROL!B8)),"")</f>
        <v/>
      </c>
      <c r="U1164" s="13">
        <f>IFERROR(IF(O1164&gt;N1164,"SUPPORT (PE OI)","RESIST (CE OI)"),"")</f>
        <v/>
      </c>
      <c r="V1164" s="13">
        <f>IFERROR(IF(Q1164&gt;0,IF(R1164&gt;0,"BOTH_ADD","CE_ADD_PE_REDUCE"),IF(R1164&gt;0,"CE_REDUCE_PE_ADD","BOTH_REDUCE")),"")</f>
        <v/>
      </c>
      <c r="W1164" s="13">
        <f>IFERROR( (P1164-1)*0.5 + (M1164)*0.1 - (I1164+J1164)*0.05 + T1164*0.4 ,"")</f>
        <v/>
      </c>
      <c r="X1164" s="13">
        <f>IFERROR(IF(ABS(F1164)&lt;0.01,"ATM/NEAR",""),"")</f>
        <v/>
      </c>
    </row>
    <row r="1165">
      <c r="A1165" s="13">
        <f>CHAIN_RAW!A1165</f>
        <v/>
      </c>
      <c r="B1165" s="14">
        <f>CHAIN_RAW!B1165</f>
        <v/>
      </c>
      <c r="C1165" s="13">
        <f>CHAIN_RAW!C1165</f>
        <v/>
      </c>
      <c r="D1165" s="13">
        <f>CHAIN_RAW!D1165</f>
        <v/>
      </c>
      <c r="E1165" s="13">
        <f>CHAIN_RAW!E1165</f>
        <v/>
      </c>
      <c r="F1165" s="13">
        <f>IFERROR((E1165-D1165)/D1165,"")</f>
        <v/>
      </c>
      <c r="G1165" s="13">
        <f>IFERROR((CHAIN_RAW!K1165+CHAIN_RAW!L1165)/2,"")</f>
        <v/>
      </c>
      <c r="H1165" s="13">
        <f>IFERROR((CHAIN_RAW!R1165+CHAIN_RAW!S1165)/2,"")</f>
        <v/>
      </c>
      <c r="I1165" s="13">
        <f>IFERROR((CHAIN_RAW!L1165-CHAIN_RAW!K1165)/MAX(1E-9, G1165),"")</f>
        <v/>
      </c>
      <c r="J1165" s="13">
        <f>IFERROR((CHAIN_RAW!S1165-CHAIN_RAW!R1165)/MAX(1E-9, H1165),"")</f>
        <v/>
      </c>
      <c r="K1165" s="13">
        <f>CHAIN_RAW!G1165</f>
        <v/>
      </c>
      <c r="L1165" s="13">
        <f>CHAIN_RAW!N1165</f>
        <v/>
      </c>
      <c r="M1165" s="13">
        <f>IFERROR(L1165-K1165,"")</f>
        <v/>
      </c>
      <c r="N1165" s="13">
        <f>CHAIN_RAW!H1165</f>
        <v/>
      </c>
      <c r="O1165" s="13">
        <f>CHAIN_RAW!O1165</f>
        <v/>
      </c>
      <c r="P1165" s="13">
        <f>IFERROR(O1165/N1165,"")</f>
        <v/>
      </c>
      <c r="Q1165" s="13">
        <f>CHAIN_RAW!I1165</f>
        <v/>
      </c>
      <c r="R1165" s="13">
        <f>CHAIN_RAW!P1165</f>
        <v/>
      </c>
      <c r="S1165" s="13">
        <f>IFERROR(R1165/Q1165,"")</f>
        <v/>
      </c>
      <c r="T1165" s="13">
        <f>IFERROR((ABS(N1165-O1165)/MAX(1,(N1165+O1165)))*EXP(-ABS(E1165-CONTROL!E5)/MAX(1,CONTROL!B8)),"")</f>
        <v/>
      </c>
      <c r="U1165" s="13">
        <f>IFERROR(IF(O1165&gt;N1165,"SUPPORT (PE OI)","RESIST (CE OI)"),"")</f>
        <v/>
      </c>
      <c r="V1165" s="13">
        <f>IFERROR(IF(Q1165&gt;0,IF(R1165&gt;0,"BOTH_ADD","CE_ADD_PE_REDUCE"),IF(R1165&gt;0,"CE_REDUCE_PE_ADD","BOTH_REDUCE")),"")</f>
        <v/>
      </c>
      <c r="W1165" s="13">
        <f>IFERROR( (P1165-1)*0.5 + (M1165)*0.1 - (I1165+J1165)*0.05 + T1165*0.4 ,"")</f>
        <v/>
      </c>
      <c r="X1165" s="13">
        <f>IFERROR(IF(ABS(F1165)&lt;0.01,"ATM/NEAR",""),"")</f>
        <v/>
      </c>
    </row>
    <row r="1166">
      <c r="A1166" s="13">
        <f>CHAIN_RAW!A1166</f>
        <v/>
      </c>
      <c r="B1166" s="14">
        <f>CHAIN_RAW!B1166</f>
        <v/>
      </c>
      <c r="C1166" s="13">
        <f>CHAIN_RAW!C1166</f>
        <v/>
      </c>
      <c r="D1166" s="13">
        <f>CHAIN_RAW!D1166</f>
        <v/>
      </c>
      <c r="E1166" s="13">
        <f>CHAIN_RAW!E1166</f>
        <v/>
      </c>
      <c r="F1166" s="13">
        <f>IFERROR((E1166-D1166)/D1166,"")</f>
        <v/>
      </c>
      <c r="G1166" s="13">
        <f>IFERROR((CHAIN_RAW!K1166+CHAIN_RAW!L1166)/2,"")</f>
        <v/>
      </c>
      <c r="H1166" s="13">
        <f>IFERROR((CHAIN_RAW!R1166+CHAIN_RAW!S1166)/2,"")</f>
        <v/>
      </c>
      <c r="I1166" s="13">
        <f>IFERROR((CHAIN_RAW!L1166-CHAIN_RAW!K1166)/MAX(1E-9, G1166),"")</f>
        <v/>
      </c>
      <c r="J1166" s="13">
        <f>IFERROR((CHAIN_RAW!S1166-CHAIN_RAW!R1166)/MAX(1E-9, H1166),"")</f>
        <v/>
      </c>
      <c r="K1166" s="13">
        <f>CHAIN_RAW!G1166</f>
        <v/>
      </c>
      <c r="L1166" s="13">
        <f>CHAIN_RAW!N1166</f>
        <v/>
      </c>
      <c r="M1166" s="13">
        <f>IFERROR(L1166-K1166,"")</f>
        <v/>
      </c>
      <c r="N1166" s="13">
        <f>CHAIN_RAW!H1166</f>
        <v/>
      </c>
      <c r="O1166" s="13">
        <f>CHAIN_RAW!O1166</f>
        <v/>
      </c>
      <c r="P1166" s="13">
        <f>IFERROR(O1166/N1166,"")</f>
        <v/>
      </c>
      <c r="Q1166" s="13">
        <f>CHAIN_RAW!I1166</f>
        <v/>
      </c>
      <c r="R1166" s="13">
        <f>CHAIN_RAW!P1166</f>
        <v/>
      </c>
      <c r="S1166" s="13">
        <f>IFERROR(R1166/Q1166,"")</f>
        <v/>
      </c>
      <c r="T1166" s="13">
        <f>IFERROR((ABS(N1166-O1166)/MAX(1,(N1166+O1166)))*EXP(-ABS(E1166-CONTROL!E5)/MAX(1,CONTROL!B8)),"")</f>
        <v/>
      </c>
      <c r="U1166" s="13">
        <f>IFERROR(IF(O1166&gt;N1166,"SUPPORT (PE OI)","RESIST (CE OI)"),"")</f>
        <v/>
      </c>
      <c r="V1166" s="13">
        <f>IFERROR(IF(Q1166&gt;0,IF(R1166&gt;0,"BOTH_ADD","CE_ADD_PE_REDUCE"),IF(R1166&gt;0,"CE_REDUCE_PE_ADD","BOTH_REDUCE")),"")</f>
        <v/>
      </c>
      <c r="W1166" s="13">
        <f>IFERROR( (P1166-1)*0.5 + (M1166)*0.1 - (I1166+J1166)*0.05 + T1166*0.4 ,"")</f>
        <v/>
      </c>
      <c r="X1166" s="13">
        <f>IFERROR(IF(ABS(F1166)&lt;0.01,"ATM/NEAR",""),"")</f>
        <v/>
      </c>
    </row>
    <row r="1167">
      <c r="A1167" s="13">
        <f>CHAIN_RAW!A1167</f>
        <v/>
      </c>
      <c r="B1167" s="14">
        <f>CHAIN_RAW!B1167</f>
        <v/>
      </c>
      <c r="C1167" s="13">
        <f>CHAIN_RAW!C1167</f>
        <v/>
      </c>
      <c r="D1167" s="13">
        <f>CHAIN_RAW!D1167</f>
        <v/>
      </c>
      <c r="E1167" s="13">
        <f>CHAIN_RAW!E1167</f>
        <v/>
      </c>
      <c r="F1167" s="13">
        <f>IFERROR((E1167-D1167)/D1167,"")</f>
        <v/>
      </c>
      <c r="G1167" s="13">
        <f>IFERROR((CHAIN_RAW!K1167+CHAIN_RAW!L1167)/2,"")</f>
        <v/>
      </c>
      <c r="H1167" s="13">
        <f>IFERROR((CHAIN_RAW!R1167+CHAIN_RAW!S1167)/2,"")</f>
        <v/>
      </c>
      <c r="I1167" s="13">
        <f>IFERROR((CHAIN_RAW!L1167-CHAIN_RAW!K1167)/MAX(1E-9, G1167),"")</f>
        <v/>
      </c>
      <c r="J1167" s="13">
        <f>IFERROR((CHAIN_RAW!S1167-CHAIN_RAW!R1167)/MAX(1E-9, H1167),"")</f>
        <v/>
      </c>
      <c r="K1167" s="13">
        <f>CHAIN_RAW!G1167</f>
        <v/>
      </c>
      <c r="L1167" s="13">
        <f>CHAIN_RAW!N1167</f>
        <v/>
      </c>
      <c r="M1167" s="13">
        <f>IFERROR(L1167-K1167,"")</f>
        <v/>
      </c>
      <c r="N1167" s="13">
        <f>CHAIN_RAW!H1167</f>
        <v/>
      </c>
      <c r="O1167" s="13">
        <f>CHAIN_RAW!O1167</f>
        <v/>
      </c>
      <c r="P1167" s="13">
        <f>IFERROR(O1167/N1167,"")</f>
        <v/>
      </c>
      <c r="Q1167" s="13">
        <f>CHAIN_RAW!I1167</f>
        <v/>
      </c>
      <c r="R1167" s="13">
        <f>CHAIN_RAW!P1167</f>
        <v/>
      </c>
      <c r="S1167" s="13">
        <f>IFERROR(R1167/Q1167,"")</f>
        <v/>
      </c>
      <c r="T1167" s="13">
        <f>IFERROR((ABS(N1167-O1167)/MAX(1,(N1167+O1167)))*EXP(-ABS(E1167-CONTROL!E5)/MAX(1,CONTROL!B8)),"")</f>
        <v/>
      </c>
      <c r="U1167" s="13">
        <f>IFERROR(IF(O1167&gt;N1167,"SUPPORT (PE OI)","RESIST (CE OI)"),"")</f>
        <v/>
      </c>
      <c r="V1167" s="13">
        <f>IFERROR(IF(Q1167&gt;0,IF(R1167&gt;0,"BOTH_ADD","CE_ADD_PE_REDUCE"),IF(R1167&gt;0,"CE_REDUCE_PE_ADD","BOTH_REDUCE")),"")</f>
        <v/>
      </c>
      <c r="W1167" s="13">
        <f>IFERROR( (P1167-1)*0.5 + (M1167)*0.1 - (I1167+J1167)*0.05 + T1167*0.4 ,"")</f>
        <v/>
      </c>
      <c r="X1167" s="13">
        <f>IFERROR(IF(ABS(F1167)&lt;0.01,"ATM/NEAR",""),"")</f>
        <v/>
      </c>
    </row>
    <row r="1168">
      <c r="A1168" s="13">
        <f>CHAIN_RAW!A1168</f>
        <v/>
      </c>
      <c r="B1168" s="14">
        <f>CHAIN_RAW!B1168</f>
        <v/>
      </c>
      <c r="C1168" s="13">
        <f>CHAIN_RAW!C1168</f>
        <v/>
      </c>
      <c r="D1168" s="13">
        <f>CHAIN_RAW!D1168</f>
        <v/>
      </c>
      <c r="E1168" s="13">
        <f>CHAIN_RAW!E1168</f>
        <v/>
      </c>
      <c r="F1168" s="13">
        <f>IFERROR((E1168-D1168)/D1168,"")</f>
        <v/>
      </c>
      <c r="G1168" s="13">
        <f>IFERROR((CHAIN_RAW!K1168+CHAIN_RAW!L1168)/2,"")</f>
        <v/>
      </c>
      <c r="H1168" s="13">
        <f>IFERROR((CHAIN_RAW!R1168+CHAIN_RAW!S1168)/2,"")</f>
        <v/>
      </c>
      <c r="I1168" s="13">
        <f>IFERROR((CHAIN_RAW!L1168-CHAIN_RAW!K1168)/MAX(1E-9, G1168),"")</f>
        <v/>
      </c>
      <c r="J1168" s="13">
        <f>IFERROR((CHAIN_RAW!S1168-CHAIN_RAW!R1168)/MAX(1E-9, H1168),"")</f>
        <v/>
      </c>
      <c r="K1168" s="13">
        <f>CHAIN_RAW!G1168</f>
        <v/>
      </c>
      <c r="L1168" s="13">
        <f>CHAIN_RAW!N1168</f>
        <v/>
      </c>
      <c r="M1168" s="13">
        <f>IFERROR(L1168-K1168,"")</f>
        <v/>
      </c>
      <c r="N1168" s="13">
        <f>CHAIN_RAW!H1168</f>
        <v/>
      </c>
      <c r="O1168" s="13">
        <f>CHAIN_RAW!O1168</f>
        <v/>
      </c>
      <c r="P1168" s="13">
        <f>IFERROR(O1168/N1168,"")</f>
        <v/>
      </c>
      <c r="Q1168" s="13">
        <f>CHAIN_RAW!I1168</f>
        <v/>
      </c>
      <c r="R1168" s="13">
        <f>CHAIN_RAW!P1168</f>
        <v/>
      </c>
      <c r="S1168" s="13">
        <f>IFERROR(R1168/Q1168,"")</f>
        <v/>
      </c>
      <c r="T1168" s="13">
        <f>IFERROR((ABS(N1168-O1168)/MAX(1,(N1168+O1168)))*EXP(-ABS(E1168-CONTROL!E5)/MAX(1,CONTROL!B8)),"")</f>
        <v/>
      </c>
      <c r="U1168" s="13">
        <f>IFERROR(IF(O1168&gt;N1168,"SUPPORT (PE OI)","RESIST (CE OI)"),"")</f>
        <v/>
      </c>
      <c r="V1168" s="13">
        <f>IFERROR(IF(Q1168&gt;0,IF(R1168&gt;0,"BOTH_ADD","CE_ADD_PE_REDUCE"),IF(R1168&gt;0,"CE_REDUCE_PE_ADD","BOTH_REDUCE")),"")</f>
        <v/>
      </c>
      <c r="W1168" s="13">
        <f>IFERROR( (P1168-1)*0.5 + (M1168)*0.1 - (I1168+J1168)*0.05 + T1168*0.4 ,"")</f>
        <v/>
      </c>
      <c r="X1168" s="13">
        <f>IFERROR(IF(ABS(F1168)&lt;0.01,"ATM/NEAR",""),"")</f>
        <v/>
      </c>
    </row>
    <row r="1169">
      <c r="A1169" s="13">
        <f>CHAIN_RAW!A1169</f>
        <v/>
      </c>
      <c r="B1169" s="14">
        <f>CHAIN_RAW!B1169</f>
        <v/>
      </c>
      <c r="C1169" s="13">
        <f>CHAIN_RAW!C1169</f>
        <v/>
      </c>
      <c r="D1169" s="13">
        <f>CHAIN_RAW!D1169</f>
        <v/>
      </c>
      <c r="E1169" s="13">
        <f>CHAIN_RAW!E1169</f>
        <v/>
      </c>
      <c r="F1169" s="13">
        <f>IFERROR((E1169-D1169)/D1169,"")</f>
        <v/>
      </c>
      <c r="G1169" s="13">
        <f>IFERROR((CHAIN_RAW!K1169+CHAIN_RAW!L1169)/2,"")</f>
        <v/>
      </c>
      <c r="H1169" s="13">
        <f>IFERROR((CHAIN_RAW!R1169+CHAIN_RAW!S1169)/2,"")</f>
        <v/>
      </c>
      <c r="I1169" s="13">
        <f>IFERROR((CHAIN_RAW!L1169-CHAIN_RAW!K1169)/MAX(1E-9, G1169),"")</f>
        <v/>
      </c>
      <c r="J1169" s="13">
        <f>IFERROR((CHAIN_RAW!S1169-CHAIN_RAW!R1169)/MAX(1E-9, H1169),"")</f>
        <v/>
      </c>
      <c r="K1169" s="13">
        <f>CHAIN_RAW!G1169</f>
        <v/>
      </c>
      <c r="L1169" s="13">
        <f>CHAIN_RAW!N1169</f>
        <v/>
      </c>
      <c r="M1169" s="13">
        <f>IFERROR(L1169-K1169,"")</f>
        <v/>
      </c>
      <c r="N1169" s="13">
        <f>CHAIN_RAW!H1169</f>
        <v/>
      </c>
      <c r="O1169" s="13">
        <f>CHAIN_RAW!O1169</f>
        <v/>
      </c>
      <c r="P1169" s="13">
        <f>IFERROR(O1169/N1169,"")</f>
        <v/>
      </c>
      <c r="Q1169" s="13">
        <f>CHAIN_RAW!I1169</f>
        <v/>
      </c>
      <c r="R1169" s="13">
        <f>CHAIN_RAW!P1169</f>
        <v/>
      </c>
      <c r="S1169" s="13">
        <f>IFERROR(R1169/Q1169,"")</f>
        <v/>
      </c>
      <c r="T1169" s="13">
        <f>IFERROR((ABS(N1169-O1169)/MAX(1,(N1169+O1169)))*EXP(-ABS(E1169-CONTROL!E5)/MAX(1,CONTROL!B8)),"")</f>
        <v/>
      </c>
      <c r="U1169" s="13">
        <f>IFERROR(IF(O1169&gt;N1169,"SUPPORT (PE OI)","RESIST (CE OI)"),"")</f>
        <v/>
      </c>
      <c r="V1169" s="13">
        <f>IFERROR(IF(Q1169&gt;0,IF(R1169&gt;0,"BOTH_ADD","CE_ADD_PE_REDUCE"),IF(R1169&gt;0,"CE_REDUCE_PE_ADD","BOTH_REDUCE")),"")</f>
        <v/>
      </c>
      <c r="W1169" s="13">
        <f>IFERROR( (P1169-1)*0.5 + (M1169)*0.1 - (I1169+J1169)*0.05 + T1169*0.4 ,"")</f>
        <v/>
      </c>
      <c r="X1169" s="13">
        <f>IFERROR(IF(ABS(F1169)&lt;0.01,"ATM/NEAR",""),"")</f>
        <v/>
      </c>
    </row>
    <row r="1170">
      <c r="A1170" s="13">
        <f>CHAIN_RAW!A1170</f>
        <v/>
      </c>
      <c r="B1170" s="14">
        <f>CHAIN_RAW!B1170</f>
        <v/>
      </c>
      <c r="C1170" s="13">
        <f>CHAIN_RAW!C1170</f>
        <v/>
      </c>
      <c r="D1170" s="13">
        <f>CHAIN_RAW!D1170</f>
        <v/>
      </c>
      <c r="E1170" s="13">
        <f>CHAIN_RAW!E1170</f>
        <v/>
      </c>
      <c r="F1170" s="13">
        <f>IFERROR((E1170-D1170)/D1170,"")</f>
        <v/>
      </c>
      <c r="G1170" s="13">
        <f>IFERROR((CHAIN_RAW!K1170+CHAIN_RAW!L1170)/2,"")</f>
        <v/>
      </c>
      <c r="H1170" s="13">
        <f>IFERROR((CHAIN_RAW!R1170+CHAIN_RAW!S1170)/2,"")</f>
        <v/>
      </c>
      <c r="I1170" s="13">
        <f>IFERROR((CHAIN_RAW!L1170-CHAIN_RAW!K1170)/MAX(1E-9, G1170),"")</f>
        <v/>
      </c>
      <c r="J1170" s="13">
        <f>IFERROR((CHAIN_RAW!S1170-CHAIN_RAW!R1170)/MAX(1E-9, H1170),"")</f>
        <v/>
      </c>
      <c r="K1170" s="13">
        <f>CHAIN_RAW!G1170</f>
        <v/>
      </c>
      <c r="L1170" s="13">
        <f>CHAIN_RAW!N1170</f>
        <v/>
      </c>
      <c r="M1170" s="13">
        <f>IFERROR(L1170-K1170,"")</f>
        <v/>
      </c>
      <c r="N1170" s="13">
        <f>CHAIN_RAW!H1170</f>
        <v/>
      </c>
      <c r="O1170" s="13">
        <f>CHAIN_RAW!O1170</f>
        <v/>
      </c>
      <c r="P1170" s="13">
        <f>IFERROR(O1170/N1170,"")</f>
        <v/>
      </c>
      <c r="Q1170" s="13">
        <f>CHAIN_RAW!I1170</f>
        <v/>
      </c>
      <c r="R1170" s="13">
        <f>CHAIN_RAW!P1170</f>
        <v/>
      </c>
      <c r="S1170" s="13">
        <f>IFERROR(R1170/Q1170,"")</f>
        <v/>
      </c>
      <c r="T1170" s="13">
        <f>IFERROR((ABS(N1170-O1170)/MAX(1,(N1170+O1170)))*EXP(-ABS(E1170-CONTROL!E5)/MAX(1,CONTROL!B8)),"")</f>
        <v/>
      </c>
      <c r="U1170" s="13">
        <f>IFERROR(IF(O1170&gt;N1170,"SUPPORT (PE OI)","RESIST (CE OI)"),"")</f>
        <v/>
      </c>
      <c r="V1170" s="13">
        <f>IFERROR(IF(Q1170&gt;0,IF(R1170&gt;0,"BOTH_ADD","CE_ADD_PE_REDUCE"),IF(R1170&gt;0,"CE_REDUCE_PE_ADD","BOTH_REDUCE")),"")</f>
        <v/>
      </c>
      <c r="W1170" s="13">
        <f>IFERROR( (P1170-1)*0.5 + (M1170)*0.1 - (I1170+J1170)*0.05 + T1170*0.4 ,"")</f>
        <v/>
      </c>
      <c r="X1170" s="13">
        <f>IFERROR(IF(ABS(F1170)&lt;0.01,"ATM/NEAR",""),"")</f>
        <v/>
      </c>
    </row>
    <row r="1171">
      <c r="A1171" s="13">
        <f>CHAIN_RAW!A1171</f>
        <v/>
      </c>
      <c r="B1171" s="14">
        <f>CHAIN_RAW!B1171</f>
        <v/>
      </c>
      <c r="C1171" s="13">
        <f>CHAIN_RAW!C1171</f>
        <v/>
      </c>
      <c r="D1171" s="13">
        <f>CHAIN_RAW!D1171</f>
        <v/>
      </c>
      <c r="E1171" s="13">
        <f>CHAIN_RAW!E1171</f>
        <v/>
      </c>
      <c r="F1171" s="13">
        <f>IFERROR((E1171-D1171)/D1171,"")</f>
        <v/>
      </c>
      <c r="G1171" s="13">
        <f>IFERROR((CHAIN_RAW!K1171+CHAIN_RAW!L1171)/2,"")</f>
        <v/>
      </c>
      <c r="H1171" s="13">
        <f>IFERROR((CHAIN_RAW!R1171+CHAIN_RAW!S1171)/2,"")</f>
        <v/>
      </c>
      <c r="I1171" s="13">
        <f>IFERROR((CHAIN_RAW!L1171-CHAIN_RAW!K1171)/MAX(1E-9, G1171),"")</f>
        <v/>
      </c>
      <c r="J1171" s="13">
        <f>IFERROR((CHAIN_RAW!S1171-CHAIN_RAW!R1171)/MAX(1E-9, H1171),"")</f>
        <v/>
      </c>
      <c r="K1171" s="13">
        <f>CHAIN_RAW!G1171</f>
        <v/>
      </c>
      <c r="L1171" s="13">
        <f>CHAIN_RAW!N1171</f>
        <v/>
      </c>
      <c r="M1171" s="13">
        <f>IFERROR(L1171-K1171,"")</f>
        <v/>
      </c>
      <c r="N1171" s="13">
        <f>CHAIN_RAW!H1171</f>
        <v/>
      </c>
      <c r="O1171" s="13">
        <f>CHAIN_RAW!O1171</f>
        <v/>
      </c>
      <c r="P1171" s="13">
        <f>IFERROR(O1171/N1171,"")</f>
        <v/>
      </c>
      <c r="Q1171" s="13">
        <f>CHAIN_RAW!I1171</f>
        <v/>
      </c>
      <c r="R1171" s="13">
        <f>CHAIN_RAW!P1171</f>
        <v/>
      </c>
      <c r="S1171" s="13">
        <f>IFERROR(R1171/Q1171,"")</f>
        <v/>
      </c>
      <c r="T1171" s="13">
        <f>IFERROR((ABS(N1171-O1171)/MAX(1,(N1171+O1171)))*EXP(-ABS(E1171-CONTROL!E5)/MAX(1,CONTROL!B8)),"")</f>
        <v/>
      </c>
      <c r="U1171" s="13">
        <f>IFERROR(IF(O1171&gt;N1171,"SUPPORT (PE OI)","RESIST (CE OI)"),"")</f>
        <v/>
      </c>
      <c r="V1171" s="13">
        <f>IFERROR(IF(Q1171&gt;0,IF(R1171&gt;0,"BOTH_ADD","CE_ADD_PE_REDUCE"),IF(R1171&gt;0,"CE_REDUCE_PE_ADD","BOTH_REDUCE")),"")</f>
        <v/>
      </c>
      <c r="W1171" s="13">
        <f>IFERROR( (P1171-1)*0.5 + (M1171)*0.1 - (I1171+J1171)*0.05 + T1171*0.4 ,"")</f>
        <v/>
      </c>
      <c r="X1171" s="13">
        <f>IFERROR(IF(ABS(F1171)&lt;0.01,"ATM/NEAR",""),"")</f>
        <v/>
      </c>
    </row>
    <row r="1172">
      <c r="A1172" s="13">
        <f>CHAIN_RAW!A1172</f>
        <v/>
      </c>
      <c r="B1172" s="14">
        <f>CHAIN_RAW!B1172</f>
        <v/>
      </c>
      <c r="C1172" s="13">
        <f>CHAIN_RAW!C1172</f>
        <v/>
      </c>
      <c r="D1172" s="13">
        <f>CHAIN_RAW!D1172</f>
        <v/>
      </c>
      <c r="E1172" s="13">
        <f>CHAIN_RAW!E1172</f>
        <v/>
      </c>
      <c r="F1172" s="13">
        <f>IFERROR((E1172-D1172)/D1172,"")</f>
        <v/>
      </c>
      <c r="G1172" s="13">
        <f>IFERROR((CHAIN_RAW!K1172+CHAIN_RAW!L1172)/2,"")</f>
        <v/>
      </c>
      <c r="H1172" s="13">
        <f>IFERROR((CHAIN_RAW!R1172+CHAIN_RAW!S1172)/2,"")</f>
        <v/>
      </c>
      <c r="I1172" s="13">
        <f>IFERROR((CHAIN_RAW!L1172-CHAIN_RAW!K1172)/MAX(1E-9, G1172),"")</f>
        <v/>
      </c>
      <c r="J1172" s="13">
        <f>IFERROR((CHAIN_RAW!S1172-CHAIN_RAW!R1172)/MAX(1E-9, H1172),"")</f>
        <v/>
      </c>
      <c r="K1172" s="13">
        <f>CHAIN_RAW!G1172</f>
        <v/>
      </c>
      <c r="L1172" s="13">
        <f>CHAIN_RAW!N1172</f>
        <v/>
      </c>
      <c r="M1172" s="13">
        <f>IFERROR(L1172-K1172,"")</f>
        <v/>
      </c>
      <c r="N1172" s="13">
        <f>CHAIN_RAW!H1172</f>
        <v/>
      </c>
      <c r="O1172" s="13">
        <f>CHAIN_RAW!O1172</f>
        <v/>
      </c>
      <c r="P1172" s="13">
        <f>IFERROR(O1172/N1172,"")</f>
        <v/>
      </c>
      <c r="Q1172" s="13">
        <f>CHAIN_RAW!I1172</f>
        <v/>
      </c>
      <c r="R1172" s="13">
        <f>CHAIN_RAW!P1172</f>
        <v/>
      </c>
      <c r="S1172" s="13">
        <f>IFERROR(R1172/Q1172,"")</f>
        <v/>
      </c>
      <c r="T1172" s="13">
        <f>IFERROR((ABS(N1172-O1172)/MAX(1,(N1172+O1172)))*EXP(-ABS(E1172-CONTROL!E5)/MAX(1,CONTROL!B8)),"")</f>
        <v/>
      </c>
      <c r="U1172" s="13">
        <f>IFERROR(IF(O1172&gt;N1172,"SUPPORT (PE OI)","RESIST (CE OI)"),"")</f>
        <v/>
      </c>
      <c r="V1172" s="13">
        <f>IFERROR(IF(Q1172&gt;0,IF(R1172&gt;0,"BOTH_ADD","CE_ADD_PE_REDUCE"),IF(R1172&gt;0,"CE_REDUCE_PE_ADD","BOTH_REDUCE")),"")</f>
        <v/>
      </c>
      <c r="W1172" s="13">
        <f>IFERROR( (P1172-1)*0.5 + (M1172)*0.1 - (I1172+J1172)*0.05 + T1172*0.4 ,"")</f>
        <v/>
      </c>
      <c r="X1172" s="13">
        <f>IFERROR(IF(ABS(F1172)&lt;0.01,"ATM/NEAR",""),"")</f>
        <v/>
      </c>
    </row>
    <row r="1173">
      <c r="A1173" s="13">
        <f>CHAIN_RAW!A1173</f>
        <v/>
      </c>
      <c r="B1173" s="14">
        <f>CHAIN_RAW!B1173</f>
        <v/>
      </c>
      <c r="C1173" s="13">
        <f>CHAIN_RAW!C1173</f>
        <v/>
      </c>
      <c r="D1173" s="13">
        <f>CHAIN_RAW!D1173</f>
        <v/>
      </c>
      <c r="E1173" s="13">
        <f>CHAIN_RAW!E1173</f>
        <v/>
      </c>
      <c r="F1173" s="13">
        <f>IFERROR((E1173-D1173)/D1173,"")</f>
        <v/>
      </c>
      <c r="G1173" s="13">
        <f>IFERROR((CHAIN_RAW!K1173+CHAIN_RAW!L1173)/2,"")</f>
        <v/>
      </c>
      <c r="H1173" s="13">
        <f>IFERROR((CHAIN_RAW!R1173+CHAIN_RAW!S1173)/2,"")</f>
        <v/>
      </c>
      <c r="I1173" s="13">
        <f>IFERROR((CHAIN_RAW!L1173-CHAIN_RAW!K1173)/MAX(1E-9, G1173),"")</f>
        <v/>
      </c>
      <c r="J1173" s="13">
        <f>IFERROR((CHAIN_RAW!S1173-CHAIN_RAW!R1173)/MAX(1E-9, H1173),"")</f>
        <v/>
      </c>
      <c r="K1173" s="13">
        <f>CHAIN_RAW!G1173</f>
        <v/>
      </c>
      <c r="L1173" s="13">
        <f>CHAIN_RAW!N1173</f>
        <v/>
      </c>
      <c r="M1173" s="13">
        <f>IFERROR(L1173-K1173,"")</f>
        <v/>
      </c>
      <c r="N1173" s="13">
        <f>CHAIN_RAW!H1173</f>
        <v/>
      </c>
      <c r="O1173" s="13">
        <f>CHAIN_RAW!O1173</f>
        <v/>
      </c>
      <c r="P1173" s="13">
        <f>IFERROR(O1173/N1173,"")</f>
        <v/>
      </c>
      <c r="Q1173" s="13">
        <f>CHAIN_RAW!I1173</f>
        <v/>
      </c>
      <c r="R1173" s="13">
        <f>CHAIN_RAW!P1173</f>
        <v/>
      </c>
      <c r="S1173" s="13">
        <f>IFERROR(R1173/Q1173,"")</f>
        <v/>
      </c>
      <c r="T1173" s="13">
        <f>IFERROR((ABS(N1173-O1173)/MAX(1,(N1173+O1173)))*EXP(-ABS(E1173-CONTROL!E5)/MAX(1,CONTROL!B8)),"")</f>
        <v/>
      </c>
      <c r="U1173" s="13">
        <f>IFERROR(IF(O1173&gt;N1173,"SUPPORT (PE OI)","RESIST (CE OI)"),"")</f>
        <v/>
      </c>
      <c r="V1173" s="13">
        <f>IFERROR(IF(Q1173&gt;0,IF(R1173&gt;0,"BOTH_ADD","CE_ADD_PE_REDUCE"),IF(R1173&gt;0,"CE_REDUCE_PE_ADD","BOTH_REDUCE")),"")</f>
        <v/>
      </c>
      <c r="W1173" s="13">
        <f>IFERROR( (P1173-1)*0.5 + (M1173)*0.1 - (I1173+J1173)*0.05 + T1173*0.4 ,"")</f>
        <v/>
      </c>
      <c r="X1173" s="13">
        <f>IFERROR(IF(ABS(F1173)&lt;0.01,"ATM/NEAR",""),"")</f>
        <v/>
      </c>
    </row>
    <row r="1174">
      <c r="A1174" s="13">
        <f>CHAIN_RAW!A1174</f>
        <v/>
      </c>
      <c r="B1174" s="14">
        <f>CHAIN_RAW!B1174</f>
        <v/>
      </c>
      <c r="C1174" s="13">
        <f>CHAIN_RAW!C1174</f>
        <v/>
      </c>
      <c r="D1174" s="13">
        <f>CHAIN_RAW!D1174</f>
        <v/>
      </c>
      <c r="E1174" s="13">
        <f>CHAIN_RAW!E1174</f>
        <v/>
      </c>
      <c r="F1174" s="13">
        <f>IFERROR((E1174-D1174)/D1174,"")</f>
        <v/>
      </c>
      <c r="G1174" s="13">
        <f>IFERROR((CHAIN_RAW!K1174+CHAIN_RAW!L1174)/2,"")</f>
        <v/>
      </c>
      <c r="H1174" s="13">
        <f>IFERROR((CHAIN_RAW!R1174+CHAIN_RAW!S1174)/2,"")</f>
        <v/>
      </c>
      <c r="I1174" s="13">
        <f>IFERROR((CHAIN_RAW!L1174-CHAIN_RAW!K1174)/MAX(1E-9, G1174),"")</f>
        <v/>
      </c>
      <c r="J1174" s="13">
        <f>IFERROR((CHAIN_RAW!S1174-CHAIN_RAW!R1174)/MAX(1E-9, H1174),"")</f>
        <v/>
      </c>
      <c r="K1174" s="13">
        <f>CHAIN_RAW!G1174</f>
        <v/>
      </c>
      <c r="L1174" s="13">
        <f>CHAIN_RAW!N1174</f>
        <v/>
      </c>
      <c r="M1174" s="13">
        <f>IFERROR(L1174-K1174,"")</f>
        <v/>
      </c>
      <c r="N1174" s="13">
        <f>CHAIN_RAW!H1174</f>
        <v/>
      </c>
      <c r="O1174" s="13">
        <f>CHAIN_RAW!O1174</f>
        <v/>
      </c>
      <c r="P1174" s="13">
        <f>IFERROR(O1174/N1174,"")</f>
        <v/>
      </c>
      <c r="Q1174" s="13">
        <f>CHAIN_RAW!I1174</f>
        <v/>
      </c>
      <c r="R1174" s="13">
        <f>CHAIN_RAW!P1174</f>
        <v/>
      </c>
      <c r="S1174" s="13">
        <f>IFERROR(R1174/Q1174,"")</f>
        <v/>
      </c>
      <c r="T1174" s="13">
        <f>IFERROR((ABS(N1174-O1174)/MAX(1,(N1174+O1174)))*EXP(-ABS(E1174-CONTROL!E5)/MAX(1,CONTROL!B8)),"")</f>
        <v/>
      </c>
      <c r="U1174" s="13">
        <f>IFERROR(IF(O1174&gt;N1174,"SUPPORT (PE OI)","RESIST (CE OI)"),"")</f>
        <v/>
      </c>
      <c r="V1174" s="13">
        <f>IFERROR(IF(Q1174&gt;0,IF(R1174&gt;0,"BOTH_ADD","CE_ADD_PE_REDUCE"),IF(R1174&gt;0,"CE_REDUCE_PE_ADD","BOTH_REDUCE")),"")</f>
        <v/>
      </c>
      <c r="W1174" s="13">
        <f>IFERROR( (P1174-1)*0.5 + (M1174)*0.1 - (I1174+J1174)*0.05 + T1174*0.4 ,"")</f>
        <v/>
      </c>
      <c r="X1174" s="13">
        <f>IFERROR(IF(ABS(F1174)&lt;0.01,"ATM/NEAR",""),"")</f>
        <v/>
      </c>
    </row>
    <row r="1175">
      <c r="A1175" s="13">
        <f>CHAIN_RAW!A1175</f>
        <v/>
      </c>
      <c r="B1175" s="14">
        <f>CHAIN_RAW!B1175</f>
        <v/>
      </c>
      <c r="C1175" s="13">
        <f>CHAIN_RAW!C1175</f>
        <v/>
      </c>
      <c r="D1175" s="13">
        <f>CHAIN_RAW!D1175</f>
        <v/>
      </c>
      <c r="E1175" s="13">
        <f>CHAIN_RAW!E1175</f>
        <v/>
      </c>
      <c r="F1175" s="13">
        <f>IFERROR((E1175-D1175)/D1175,"")</f>
        <v/>
      </c>
      <c r="G1175" s="13">
        <f>IFERROR((CHAIN_RAW!K1175+CHAIN_RAW!L1175)/2,"")</f>
        <v/>
      </c>
      <c r="H1175" s="13">
        <f>IFERROR((CHAIN_RAW!R1175+CHAIN_RAW!S1175)/2,"")</f>
        <v/>
      </c>
      <c r="I1175" s="13">
        <f>IFERROR((CHAIN_RAW!L1175-CHAIN_RAW!K1175)/MAX(1E-9, G1175),"")</f>
        <v/>
      </c>
      <c r="J1175" s="13">
        <f>IFERROR((CHAIN_RAW!S1175-CHAIN_RAW!R1175)/MAX(1E-9, H1175),"")</f>
        <v/>
      </c>
      <c r="K1175" s="13">
        <f>CHAIN_RAW!G1175</f>
        <v/>
      </c>
      <c r="L1175" s="13">
        <f>CHAIN_RAW!N1175</f>
        <v/>
      </c>
      <c r="M1175" s="13">
        <f>IFERROR(L1175-K1175,"")</f>
        <v/>
      </c>
      <c r="N1175" s="13">
        <f>CHAIN_RAW!H1175</f>
        <v/>
      </c>
      <c r="O1175" s="13">
        <f>CHAIN_RAW!O1175</f>
        <v/>
      </c>
      <c r="P1175" s="13">
        <f>IFERROR(O1175/N1175,"")</f>
        <v/>
      </c>
      <c r="Q1175" s="13">
        <f>CHAIN_RAW!I1175</f>
        <v/>
      </c>
      <c r="R1175" s="13">
        <f>CHAIN_RAW!P1175</f>
        <v/>
      </c>
      <c r="S1175" s="13">
        <f>IFERROR(R1175/Q1175,"")</f>
        <v/>
      </c>
      <c r="T1175" s="13">
        <f>IFERROR((ABS(N1175-O1175)/MAX(1,(N1175+O1175)))*EXP(-ABS(E1175-CONTROL!E5)/MAX(1,CONTROL!B8)),"")</f>
        <v/>
      </c>
      <c r="U1175" s="13">
        <f>IFERROR(IF(O1175&gt;N1175,"SUPPORT (PE OI)","RESIST (CE OI)"),"")</f>
        <v/>
      </c>
      <c r="V1175" s="13">
        <f>IFERROR(IF(Q1175&gt;0,IF(R1175&gt;0,"BOTH_ADD","CE_ADD_PE_REDUCE"),IF(R1175&gt;0,"CE_REDUCE_PE_ADD","BOTH_REDUCE")),"")</f>
        <v/>
      </c>
      <c r="W1175" s="13">
        <f>IFERROR( (P1175-1)*0.5 + (M1175)*0.1 - (I1175+J1175)*0.05 + T1175*0.4 ,"")</f>
        <v/>
      </c>
      <c r="X1175" s="13">
        <f>IFERROR(IF(ABS(F1175)&lt;0.01,"ATM/NEAR",""),"")</f>
        <v/>
      </c>
    </row>
    <row r="1176">
      <c r="A1176" s="13">
        <f>CHAIN_RAW!A1176</f>
        <v/>
      </c>
      <c r="B1176" s="14">
        <f>CHAIN_RAW!B1176</f>
        <v/>
      </c>
      <c r="C1176" s="13">
        <f>CHAIN_RAW!C1176</f>
        <v/>
      </c>
      <c r="D1176" s="13">
        <f>CHAIN_RAW!D1176</f>
        <v/>
      </c>
      <c r="E1176" s="13">
        <f>CHAIN_RAW!E1176</f>
        <v/>
      </c>
      <c r="F1176" s="13">
        <f>IFERROR((E1176-D1176)/D1176,"")</f>
        <v/>
      </c>
      <c r="G1176" s="13">
        <f>IFERROR((CHAIN_RAW!K1176+CHAIN_RAW!L1176)/2,"")</f>
        <v/>
      </c>
      <c r="H1176" s="13">
        <f>IFERROR((CHAIN_RAW!R1176+CHAIN_RAW!S1176)/2,"")</f>
        <v/>
      </c>
      <c r="I1176" s="13">
        <f>IFERROR((CHAIN_RAW!L1176-CHAIN_RAW!K1176)/MAX(1E-9, G1176),"")</f>
        <v/>
      </c>
      <c r="J1176" s="13">
        <f>IFERROR((CHAIN_RAW!S1176-CHAIN_RAW!R1176)/MAX(1E-9, H1176),"")</f>
        <v/>
      </c>
      <c r="K1176" s="13">
        <f>CHAIN_RAW!G1176</f>
        <v/>
      </c>
      <c r="L1176" s="13">
        <f>CHAIN_RAW!N1176</f>
        <v/>
      </c>
      <c r="M1176" s="13">
        <f>IFERROR(L1176-K1176,"")</f>
        <v/>
      </c>
      <c r="N1176" s="13">
        <f>CHAIN_RAW!H1176</f>
        <v/>
      </c>
      <c r="O1176" s="13">
        <f>CHAIN_RAW!O1176</f>
        <v/>
      </c>
      <c r="P1176" s="13">
        <f>IFERROR(O1176/N1176,"")</f>
        <v/>
      </c>
      <c r="Q1176" s="13">
        <f>CHAIN_RAW!I1176</f>
        <v/>
      </c>
      <c r="R1176" s="13">
        <f>CHAIN_RAW!P1176</f>
        <v/>
      </c>
      <c r="S1176" s="13">
        <f>IFERROR(R1176/Q1176,"")</f>
        <v/>
      </c>
      <c r="T1176" s="13">
        <f>IFERROR((ABS(N1176-O1176)/MAX(1,(N1176+O1176)))*EXP(-ABS(E1176-CONTROL!E5)/MAX(1,CONTROL!B8)),"")</f>
        <v/>
      </c>
      <c r="U1176" s="13">
        <f>IFERROR(IF(O1176&gt;N1176,"SUPPORT (PE OI)","RESIST (CE OI)"),"")</f>
        <v/>
      </c>
      <c r="V1176" s="13">
        <f>IFERROR(IF(Q1176&gt;0,IF(R1176&gt;0,"BOTH_ADD","CE_ADD_PE_REDUCE"),IF(R1176&gt;0,"CE_REDUCE_PE_ADD","BOTH_REDUCE")),"")</f>
        <v/>
      </c>
      <c r="W1176" s="13">
        <f>IFERROR( (P1176-1)*0.5 + (M1176)*0.1 - (I1176+J1176)*0.05 + T1176*0.4 ,"")</f>
        <v/>
      </c>
      <c r="X1176" s="13">
        <f>IFERROR(IF(ABS(F1176)&lt;0.01,"ATM/NEAR",""),"")</f>
        <v/>
      </c>
    </row>
    <row r="1177">
      <c r="A1177" s="13">
        <f>CHAIN_RAW!A1177</f>
        <v/>
      </c>
      <c r="B1177" s="14">
        <f>CHAIN_RAW!B1177</f>
        <v/>
      </c>
      <c r="C1177" s="13">
        <f>CHAIN_RAW!C1177</f>
        <v/>
      </c>
      <c r="D1177" s="13">
        <f>CHAIN_RAW!D1177</f>
        <v/>
      </c>
      <c r="E1177" s="13">
        <f>CHAIN_RAW!E1177</f>
        <v/>
      </c>
      <c r="F1177" s="13">
        <f>IFERROR((E1177-D1177)/D1177,"")</f>
        <v/>
      </c>
      <c r="G1177" s="13">
        <f>IFERROR((CHAIN_RAW!K1177+CHAIN_RAW!L1177)/2,"")</f>
        <v/>
      </c>
      <c r="H1177" s="13">
        <f>IFERROR((CHAIN_RAW!R1177+CHAIN_RAW!S1177)/2,"")</f>
        <v/>
      </c>
      <c r="I1177" s="13">
        <f>IFERROR((CHAIN_RAW!L1177-CHAIN_RAW!K1177)/MAX(1E-9, G1177),"")</f>
        <v/>
      </c>
      <c r="J1177" s="13">
        <f>IFERROR((CHAIN_RAW!S1177-CHAIN_RAW!R1177)/MAX(1E-9, H1177),"")</f>
        <v/>
      </c>
      <c r="K1177" s="13">
        <f>CHAIN_RAW!G1177</f>
        <v/>
      </c>
      <c r="L1177" s="13">
        <f>CHAIN_RAW!N1177</f>
        <v/>
      </c>
      <c r="M1177" s="13">
        <f>IFERROR(L1177-K1177,"")</f>
        <v/>
      </c>
      <c r="N1177" s="13">
        <f>CHAIN_RAW!H1177</f>
        <v/>
      </c>
      <c r="O1177" s="13">
        <f>CHAIN_RAW!O1177</f>
        <v/>
      </c>
      <c r="P1177" s="13">
        <f>IFERROR(O1177/N1177,"")</f>
        <v/>
      </c>
      <c r="Q1177" s="13">
        <f>CHAIN_RAW!I1177</f>
        <v/>
      </c>
      <c r="R1177" s="13">
        <f>CHAIN_RAW!P1177</f>
        <v/>
      </c>
      <c r="S1177" s="13">
        <f>IFERROR(R1177/Q1177,"")</f>
        <v/>
      </c>
      <c r="T1177" s="13">
        <f>IFERROR((ABS(N1177-O1177)/MAX(1,(N1177+O1177)))*EXP(-ABS(E1177-CONTROL!E5)/MAX(1,CONTROL!B8)),"")</f>
        <v/>
      </c>
      <c r="U1177" s="13">
        <f>IFERROR(IF(O1177&gt;N1177,"SUPPORT (PE OI)","RESIST (CE OI)"),"")</f>
        <v/>
      </c>
      <c r="V1177" s="13">
        <f>IFERROR(IF(Q1177&gt;0,IF(R1177&gt;0,"BOTH_ADD","CE_ADD_PE_REDUCE"),IF(R1177&gt;0,"CE_REDUCE_PE_ADD","BOTH_REDUCE")),"")</f>
        <v/>
      </c>
      <c r="W1177" s="13">
        <f>IFERROR( (P1177-1)*0.5 + (M1177)*0.1 - (I1177+J1177)*0.05 + T1177*0.4 ,"")</f>
        <v/>
      </c>
      <c r="X1177" s="13">
        <f>IFERROR(IF(ABS(F1177)&lt;0.01,"ATM/NEAR",""),"")</f>
        <v/>
      </c>
    </row>
    <row r="1178">
      <c r="A1178" s="13">
        <f>CHAIN_RAW!A1178</f>
        <v/>
      </c>
      <c r="B1178" s="14">
        <f>CHAIN_RAW!B1178</f>
        <v/>
      </c>
      <c r="C1178" s="13">
        <f>CHAIN_RAW!C1178</f>
        <v/>
      </c>
      <c r="D1178" s="13">
        <f>CHAIN_RAW!D1178</f>
        <v/>
      </c>
      <c r="E1178" s="13">
        <f>CHAIN_RAW!E1178</f>
        <v/>
      </c>
      <c r="F1178" s="13">
        <f>IFERROR((E1178-D1178)/D1178,"")</f>
        <v/>
      </c>
      <c r="G1178" s="13">
        <f>IFERROR((CHAIN_RAW!K1178+CHAIN_RAW!L1178)/2,"")</f>
        <v/>
      </c>
      <c r="H1178" s="13">
        <f>IFERROR((CHAIN_RAW!R1178+CHAIN_RAW!S1178)/2,"")</f>
        <v/>
      </c>
      <c r="I1178" s="13">
        <f>IFERROR((CHAIN_RAW!L1178-CHAIN_RAW!K1178)/MAX(1E-9, G1178),"")</f>
        <v/>
      </c>
      <c r="J1178" s="13">
        <f>IFERROR((CHAIN_RAW!S1178-CHAIN_RAW!R1178)/MAX(1E-9, H1178),"")</f>
        <v/>
      </c>
      <c r="K1178" s="13">
        <f>CHAIN_RAW!G1178</f>
        <v/>
      </c>
      <c r="L1178" s="13">
        <f>CHAIN_RAW!N1178</f>
        <v/>
      </c>
      <c r="M1178" s="13">
        <f>IFERROR(L1178-K1178,"")</f>
        <v/>
      </c>
      <c r="N1178" s="13">
        <f>CHAIN_RAW!H1178</f>
        <v/>
      </c>
      <c r="O1178" s="13">
        <f>CHAIN_RAW!O1178</f>
        <v/>
      </c>
      <c r="P1178" s="13">
        <f>IFERROR(O1178/N1178,"")</f>
        <v/>
      </c>
      <c r="Q1178" s="13">
        <f>CHAIN_RAW!I1178</f>
        <v/>
      </c>
      <c r="R1178" s="13">
        <f>CHAIN_RAW!P1178</f>
        <v/>
      </c>
      <c r="S1178" s="13">
        <f>IFERROR(R1178/Q1178,"")</f>
        <v/>
      </c>
      <c r="T1178" s="13">
        <f>IFERROR((ABS(N1178-O1178)/MAX(1,(N1178+O1178)))*EXP(-ABS(E1178-CONTROL!E5)/MAX(1,CONTROL!B8)),"")</f>
        <v/>
      </c>
      <c r="U1178" s="13">
        <f>IFERROR(IF(O1178&gt;N1178,"SUPPORT (PE OI)","RESIST (CE OI)"),"")</f>
        <v/>
      </c>
      <c r="V1178" s="13">
        <f>IFERROR(IF(Q1178&gt;0,IF(R1178&gt;0,"BOTH_ADD","CE_ADD_PE_REDUCE"),IF(R1178&gt;0,"CE_REDUCE_PE_ADD","BOTH_REDUCE")),"")</f>
        <v/>
      </c>
      <c r="W1178" s="13">
        <f>IFERROR( (P1178-1)*0.5 + (M1178)*0.1 - (I1178+J1178)*0.05 + T1178*0.4 ,"")</f>
        <v/>
      </c>
      <c r="X1178" s="13">
        <f>IFERROR(IF(ABS(F1178)&lt;0.01,"ATM/NEAR",""),"")</f>
        <v/>
      </c>
    </row>
    <row r="1179">
      <c r="A1179" s="13">
        <f>CHAIN_RAW!A1179</f>
        <v/>
      </c>
      <c r="B1179" s="14">
        <f>CHAIN_RAW!B1179</f>
        <v/>
      </c>
      <c r="C1179" s="13">
        <f>CHAIN_RAW!C1179</f>
        <v/>
      </c>
      <c r="D1179" s="13">
        <f>CHAIN_RAW!D1179</f>
        <v/>
      </c>
      <c r="E1179" s="13">
        <f>CHAIN_RAW!E1179</f>
        <v/>
      </c>
      <c r="F1179" s="13">
        <f>IFERROR((E1179-D1179)/D1179,"")</f>
        <v/>
      </c>
      <c r="G1179" s="13">
        <f>IFERROR((CHAIN_RAW!K1179+CHAIN_RAW!L1179)/2,"")</f>
        <v/>
      </c>
      <c r="H1179" s="13">
        <f>IFERROR((CHAIN_RAW!R1179+CHAIN_RAW!S1179)/2,"")</f>
        <v/>
      </c>
      <c r="I1179" s="13">
        <f>IFERROR((CHAIN_RAW!L1179-CHAIN_RAW!K1179)/MAX(1E-9, G1179),"")</f>
        <v/>
      </c>
      <c r="J1179" s="13">
        <f>IFERROR((CHAIN_RAW!S1179-CHAIN_RAW!R1179)/MAX(1E-9, H1179),"")</f>
        <v/>
      </c>
      <c r="K1179" s="13">
        <f>CHAIN_RAW!G1179</f>
        <v/>
      </c>
      <c r="L1179" s="13">
        <f>CHAIN_RAW!N1179</f>
        <v/>
      </c>
      <c r="M1179" s="13">
        <f>IFERROR(L1179-K1179,"")</f>
        <v/>
      </c>
      <c r="N1179" s="13">
        <f>CHAIN_RAW!H1179</f>
        <v/>
      </c>
      <c r="O1179" s="13">
        <f>CHAIN_RAW!O1179</f>
        <v/>
      </c>
      <c r="P1179" s="13">
        <f>IFERROR(O1179/N1179,"")</f>
        <v/>
      </c>
      <c r="Q1179" s="13">
        <f>CHAIN_RAW!I1179</f>
        <v/>
      </c>
      <c r="R1179" s="13">
        <f>CHAIN_RAW!P1179</f>
        <v/>
      </c>
      <c r="S1179" s="13">
        <f>IFERROR(R1179/Q1179,"")</f>
        <v/>
      </c>
      <c r="T1179" s="13">
        <f>IFERROR((ABS(N1179-O1179)/MAX(1,(N1179+O1179)))*EXP(-ABS(E1179-CONTROL!E5)/MAX(1,CONTROL!B8)),"")</f>
        <v/>
      </c>
      <c r="U1179" s="13">
        <f>IFERROR(IF(O1179&gt;N1179,"SUPPORT (PE OI)","RESIST (CE OI)"),"")</f>
        <v/>
      </c>
      <c r="V1179" s="13">
        <f>IFERROR(IF(Q1179&gt;0,IF(R1179&gt;0,"BOTH_ADD","CE_ADD_PE_REDUCE"),IF(R1179&gt;0,"CE_REDUCE_PE_ADD","BOTH_REDUCE")),"")</f>
        <v/>
      </c>
      <c r="W1179" s="13">
        <f>IFERROR( (P1179-1)*0.5 + (M1179)*0.1 - (I1179+J1179)*0.05 + T1179*0.4 ,"")</f>
        <v/>
      </c>
      <c r="X1179" s="13">
        <f>IFERROR(IF(ABS(F1179)&lt;0.01,"ATM/NEAR",""),"")</f>
        <v/>
      </c>
    </row>
    <row r="1180">
      <c r="A1180" s="13">
        <f>CHAIN_RAW!A1180</f>
        <v/>
      </c>
      <c r="B1180" s="14">
        <f>CHAIN_RAW!B1180</f>
        <v/>
      </c>
      <c r="C1180" s="13">
        <f>CHAIN_RAW!C1180</f>
        <v/>
      </c>
      <c r="D1180" s="13">
        <f>CHAIN_RAW!D1180</f>
        <v/>
      </c>
      <c r="E1180" s="13">
        <f>CHAIN_RAW!E1180</f>
        <v/>
      </c>
      <c r="F1180" s="13">
        <f>IFERROR((E1180-D1180)/D1180,"")</f>
        <v/>
      </c>
      <c r="G1180" s="13">
        <f>IFERROR((CHAIN_RAW!K1180+CHAIN_RAW!L1180)/2,"")</f>
        <v/>
      </c>
      <c r="H1180" s="13">
        <f>IFERROR((CHAIN_RAW!R1180+CHAIN_RAW!S1180)/2,"")</f>
        <v/>
      </c>
      <c r="I1180" s="13">
        <f>IFERROR((CHAIN_RAW!L1180-CHAIN_RAW!K1180)/MAX(1E-9, G1180),"")</f>
        <v/>
      </c>
      <c r="J1180" s="13">
        <f>IFERROR((CHAIN_RAW!S1180-CHAIN_RAW!R1180)/MAX(1E-9, H1180),"")</f>
        <v/>
      </c>
      <c r="K1180" s="13">
        <f>CHAIN_RAW!G1180</f>
        <v/>
      </c>
      <c r="L1180" s="13">
        <f>CHAIN_RAW!N1180</f>
        <v/>
      </c>
      <c r="M1180" s="13">
        <f>IFERROR(L1180-K1180,"")</f>
        <v/>
      </c>
      <c r="N1180" s="13">
        <f>CHAIN_RAW!H1180</f>
        <v/>
      </c>
      <c r="O1180" s="13">
        <f>CHAIN_RAW!O1180</f>
        <v/>
      </c>
      <c r="P1180" s="13">
        <f>IFERROR(O1180/N1180,"")</f>
        <v/>
      </c>
      <c r="Q1180" s="13">
        <f>CHAIN_RAW!I1180</f>
        <v/>
      </c>
      <c r="R1180" s="13">
        <f>CHAIN_RAW!P1180</f>
        <v/>
      </c>
      <c r="S1180" s="13">
        <f>IFERROR(R1180/Q1180,"")</f>
        <v/>
      </c>
      <c r="T1180" s="13">
        <f>IFERROR((ABS(N1180-O1180)/MAX(1,(N1180+O1180)))*EXP(-ABS(E1180-CONTROL!E5)/MAX(1,CONTROL!B8)),"")</f>
        <v/>
      </c>
      <c r="U1180" s="13">
        <f>IFERROR(IF(O1180&gt;N1180,"SUPPORT (PE OI)","RESIST (CE OI)"),"")</f>
        <v/>
      </c>
      <c r="V1180" s="13">
        <f>IFERROR(IF(Q1180&gt;0,IF(R1180&gt;0,"BOTH_ADD","CE_ADD_PE_REDUCE"),IF(R1180&gt;0,"CE_REDUCE_PE_ADD","BOTH_REDUCE")),"")</f>
        <v/>
      </c>
      <c r="W1180" s="13">
        <f>IFERROR( (P1180-1)*0.5 + (M1180)*0.1 - (I1180+J1180)*0.05 + T1180*0.4 ,"")</f>
        <v/>
      </c>
      <c r="X1180" s="13">
        <f>IFERROR(IF(ABS(F1180)&lt;0.01,"ATM/NEAR",""),"")</f>
        <v/>
      </c>
    </row>
    <row r="1181">
      <c r="A1181" s="13">
        <f>CHAIN_RAW!A1181</f>
        <v/>
      </c>
      <c r="B1181" s="14">
        <f>CHAIN_RAW!B1181</f>
        <v/>
      </c>
      <c r="C1181" s="13">
        <f>CHAIN_RAW!C1181</f>
        <v/>
      </c>
      <c r="D1181" s="13">
        <f>CHAIN_RAW!D1181</f>
        <v/>
      </c>
      <c r="E1181" s="13">
        <f>CHAIN_RAW!E1181</f>
        <v/>
      </c>
      <c r="F1181" s="13">
        <f>IFERROR((E1181-D1181)/D1181,"")</f>
        <v/>
      </c>
      <c r="G1181" s="13">
        <f>IFERROR((CHAIN_RAW!K1181+CHAIN_RAW!L1181)/2,"")</f>
        <v/>
      </c>
      <c r="H1181" s="13">
        <f>IFERROR((CHAIN_RAW!R1181+CHAIN_RAW!S1181)/2,"")</f>
        <v/>
      </c>
      <c r="I1181" s="13">
        <f>IFERROR((CHAIN_RAW!L1181-CHAIN_RAW!K1181)/MAX(1E-9, G1181),"")</f>
        <v/>
      </c>
      <c r="J1181" s="13">
        <f>IFERROR((CHAIN_RAW!S1181-CHAIN_RAW!R1181)/MAX(1E-9, H1181),"")</f>
        <v/>
      </c>
      <c r="K1181" s="13">
        <f>CHAIN_RAW!G1181</f>
        <v/>
      </c>
      <c r="L1181" s="13">
        <f>CHAIN_RAW!N1181</f>
        <v/>
      </c>
      <c r="M1181" s="13">
        <f>IFERROR(L1181-K1181,"")</f>
        <v/>
      </c>
      <c r="N1181" s="13">
        <f>CHAIN_RAW!H1181</f>
        <v/>
      </c>
      <c r="O1181" s="13">
        <f>CHAIN_RAW!O1181</f>
        <v/>
      </c>
      <c r="P1181" s="13">
        <f>IFERROR(O1181/N1181,"")</f>
        <v/>
      </c>
      <c r="Q1181" s="13">
        <f>CHAIN_RAW!I1181</f>
        <v/>
      </c>
      <c r="R1181" s="13">
        <f>CHAIN_RAW!P1181</f>
        <v/>
      </c>
      <c r="S1181" s="13">
        <f>IFERROR(R1181/Q1181,"")</f>
        <v/>
      </c>
      <c r="T1181" s="13">
        <f>IFERROR((ABS(N1181-O1181)/MAX(1,(N1181+O1181)))*EXP(-ABS(E1181-CONTROL!E5)/MAX(1,CONTROL!B8)),"")</f>
        <v/>
      </c>
      <c r="U1181" s="13">
        <f>IFERROR(IF(O1181&gt;N1181,"SUPPORT (PE OI)","RESIST (CE OI)"),"")</f>
        <v/>
      </c>
      <c r="V1181" s="13">
        <f>IFERROR(IF(Q1181&gt;0,IF(R1181&gt;0,"BOTH_ADD","CE_ADD_PE_REDUCE"),IF(R1181&gt;0,"CE_REDUCE_PE_ADD","BOTH_REDUCE")),"")</f>
        <v/>
      </c>
      <c r="W1181" s="13">
        <f>IFERROR( (P1181-1)*0.5 + (M1181)*0.1 - (I1181+J1181)*0.05 + T1181*0.4 ,"")</f>
        <v/>
      </c>
      <c r="X1181" s="13">
        <f>IFERROR(IF(ABS(F1181)&lt;0.01,"ATM/NEAR",""),"")</f>
        <v/>
      </c>
    </row>
    <row r="1182">
      <c r="A1182" s="13">
        <f>CHAIN_RAW!A1182</f>
        <v/>
      </c>
      <c r="B1182" s="14">
        <f>CHAIN_RAW!B1182</f>
        <v/>
      </c>
      <c r="C1182" s="13">
        <f>CHAIN_RAW!C1182</f>
        <v/>
      </c>
      <c r="D1182" s="13">
        <f>CHAIN_RAW!D1182</f>
        <v/>
      </c>
      <c r="E1182" s="13">
        <f>CHAIN_RAW!E1182</f>
        <v/>
      </c>
      <c r="F1182" s="13">
        <f>IFERROR((E1182-D1182)/D1182,"")</f>
        <v/>
      </c>
      <c r="G1182" s="13">
        <f>IFERROR((CHAIN_RAW!K1182+CHAIN_RAW!L1182)/2,"")</f>
        <v/>
      </c>
      <c r="H1182" s="13">
        <f>IFERROR((CHAIN_RAW!R1182+CHAIN_RAW!S1182)/2,"")</f>
        <v/>
      </c>
      <c r="I1182" s="13">
        <f>IFERROR((CHAIN_RAW!L1182-CHAIN_RAW!K1182)/MAX(1E-9, G1182),"")</f>
        <v/>
      </c>
      <c r="J1182" s="13">
        <f>IFERROR((CHAIN_RAW!S1182-CHAIN_RAW!R1182)/MAX(1E-9, H1182),"")</f>
        <v/>
      </c>
      <c r="K1182" s="13">
        <f>CHAIN_RAW!G1182</f>
        <v/>
      </c>
      <c r="L1182" s="13">
        <f>CHAIN_RAW!N1182</f>
        <v/>
      </c>
      <c r="M1182" s="13">
        <f>IFERROR(L1182-K1182,"")</f>
        <v/>
      </c>
      <c r="N1182" s="13">
        <f>CHAIN_RAW!H1182</f>
        <v/>
      </c>
      <c r="O1182" s="13">
        <f>CHAIN_RAW!O1182</f>
        <v/>
      </c>
      <c r="P1182" s="13">
        <f>IFERROR(O1182/N1182,"")</f>
        <v/>
      </c>
      <c r="Q1182" s="13">
        <f>CHAIN_RAW!I1182</f>
        <v/>
      </c>
      <c r="R1182" s="13">
        <f>CHAIN_RAW!P1182</f>
        <v/>
      </c>
      <c r="S1182" s="13">
        <f>IFERROR(R1182/Q1182,"")</f>
        <v/>
      </c>
      <c r="T1182" s="13">
        <f>IFERROR((ABS(N1182-O1182)/MAX(1,(N1182+O1182)))*EXP(-ABS(E1182-CONTROL!E5)/MAX(1,CONTROL!B8)),"")</f>
        <v/>
      </c>
      <c r="U1182" s="13">
        <f>IFERROR(IF(O1182&gt;N1182,"SUPPORT (PE OI)","RESIST (CE OI)"),"")</f>
        <v/>
      </c>
      <c r="V1182" s="13">
        <f>IFERROR(IF(Q1182&gt;0,IF(R1182&gt;0,"BOTH_ADD","CE_ADD_PE_REDUCE"),IF(R1182&gt;0,"CE_REDUCE_PE_ADD","BOTH_REDUCE")),"")</f>
        <v/>
      </c>
      <c r="W1182" s="13">
        <f>IFERROR( (P1182-1)*0.5 + (M1182)*0.1 - (I1182+J1182)*0.05 + T1182*0.4 ,"")</f>
        <v/>
      </c>
      <c r="X1182" s="13">
        <f>IFERROR(IF(ABS(F1182)&lt;0.01,"ATM/NEAR",""),"")</f>
        <v/>
      </c>
    </row>
    <row r="1183">
      <c r="A1183" s="13">
        <f>CHAIN_RAW!A1183</f>
        <v/>
      </c>
      <c r="B1183" s="14">
        <f>CHAIN_RAW!B1183</f>
        <v/>
      </c>
      <c r="C1183" s="13">
        <f>CHAIN_RAW!C1183</f>
        <v/>
      </c>
      <c r="D1183" s="13">
        <f>CHAIN_RAW!D1183</f>
        <v/>
      </c>
      <c r="E1183" s="13">
        <f>CHAIN_RAW!E1183</f>
        <v/>
      </c>
      <c r="F1183" s="13">
        <f>IFERROR((E1183-D1183)/D1183,"")</f>
        <v/>
      </c>
      <c r="G1183" s="13">
        <f>IFERROR((CHAIN_RAW!K1183+CHAIN_RAW!L1183)/2,"")</f>
        <v/>
      </c>
      <c r="H1183" s="13">
        <f>IFERROR((CHAIN_RAW!R1183+CHAIN_RAW!S1183)/2,"")</f>
        <v/>
      </c>
      <c r="I1183" s="13">
        <f>IFERROR((CHAIN_RAW!L1183-CHAIN_RAW!K1183)/MAX(1E-9, G1183),"")</f>
        <v/>
      </c>
      <c r="J1183" s="13">
        <f>IFERROR((CHAIN_RAW!S1183-CHAIN_RAW!R1183)/MAX(1E-9, H1183),"")</f>
        <v/>
      </c>
      <c r="K1183" s="13">
        <f>CHAIN_RAW!G1183</f>
        <v/>
      </c>
      <c r="L1183" s="13">
        <f>CHAIN_RAW!N1183</f>
        <v/>
      </c>
      <c r="M1183" s="13">
        <f>IFERROR(L1183-K1183,"")</f>
        <v/>
      </c>
      <c r="N1183" s="13">
        <f>CHAIN_RAW!H1183</f>
        <v/>
      </c>
      <c r="O1183" s="13">
        <f>CHAIN_RAW!O1183</f>
        <v/>
      </c>
      <c r="P1183" s="13">
        <f>IFERROR(O1183/N1183,"")</f>
        <v/>
      </c>
      <c r="Q1183" s="13">
        <f>CHAIN_RAW!I1183</f>
        <v/>
      </c>
      <c r="R1183" s="13">
        <f>CHAIN_RAW!P1183</f>
        <v/>
      </c>
      <c r="S1183" s="13">
        <f>IFERROR(R1183/Q1183,"")</f>
        <v/>
      </c>
      <c r="T1183" s="13">
        <f>IFERROR((ABS(N1183-O1183)/MAX(1,(N1183+O1183)))*EXP(-ABS(E1183-CONTROL!E5)/MAX(1,CONTROL!B8)),"")</f>
        <v/>
      </c>
      <c r="U1183" s="13">
        <f>IFERROR(IF(O1183&gt;N1183,"SUPPORT (PE OI)","RESIST (CE OI)"),"")</f>
        <v/>
      </c>
      <c r="V1183" s="13">
        <f>IFERROR(IF(Q1183&gt;0,IF(R1183&gt;0,"BOTH_ADD","CE_ADD_PE_REDUCE"),IF(R1183&gt;0,"CE_REDUCE_PE_ADD","BOTH_REDUCE")),"")</f>
        <v/>
      </c>
      <c r="W1183" s="13">
        <f>IFERROR( (P1183-1)*0.5 + (M1183)*0.1 - (I1183+J1183)*0.05 + T1183*0.4 ,"")</f>
        <v/>
      </c>
      <c r="X1183" s="13">
        <f>IFERROR(IF(ABS(F1183)&lt;0.01,"ATM/NEAR",""),"")</f>
        <v/>
      </c>
    </row>
    <row r="1184">
      <c r="A1184" s="13">
        <f>CHAIN_RAW!A1184</f>
        <v/>
      </c>
      <c r="B1184" s="14">
        <f>CHAIN_RAW!B1184</f>
        <v/>
      </c>
      <c r="C1184" s="13">
        <f>CHAIN_RAW!C1184</f>
        <v/>
      </c>
      <c r="D1184" s="13">
        <f>CHAIN_RAW!D1184</f>
        <v/>
      </c>
      <c r="E1184" s="13">
        <f>CHAIN_RAW!E1184</f>
        <v/>
      </c>
      <c r="F1184" s="13">
        <f>IFERROR((E1184-D1184)/D1184,"")</f>
        <v/>
      </c>
      <c r="G1184" s="13">
        <f>IFERROR((CHAIN_RAW!K1184+CHAIN_RAW!L1184)/2,"")</f>
        <v/>
      </c>
      <c r="H1184" s="13">
        <f>IFERROR((CHAIN_RAW!R1184+CHAIN_RAW!S1184)/2,"")</f>
        <v/>
      </c>
      <c r="I1184" s="13">
        <f>IFERROR((CHAIN_RAW!L1184-CHAIN_RAW!K1184)/MAX(1E-9, G1184),"")</f>
        <v/>
      </c>
      <c r="J1184" s="13">
        <f>IFERROR((CHAIN_RAW!S1184-CHAIN_RAW!R1184)/MAX(1E-9, H1184),"")</f>
        <v/>
      </c>
      <c r="K1184" s="13">
        <f>CHAIN_RAW!G1184</f>
        <v/>
      </c>
      <c r="L1184" s="13">
        <f>CHAIN_RAW!N1184</f>
        <v/>
      </c>
      <c r="M1184" s="13">
        <f>IFERROR(L1184-K1184,"")</f>
        <v/>
      </c>
      <c r="N1184" s="13">
        <f>CHAIN_RAW!H1184</f>
        <v/>
      </c>
      <c r="O1184" s="13">
        <f>CHAIN_RAW!O1184</f>
        <v/>
      </c>
      <c r="P1184" s="13">
        <f>IFERROR(O1184/N1184,"")</f>
        <v/>
      </c>
      <c r="Q1184" s="13">
        <f>CHAIN_RAW!I1184</f>
        <v/>
      </c>
      <c r="R1184" s="13">
        <f>CHAIN_RAW!P1184</f>
        <v/>
      </c>
      <c r="S1184" s="13">
        <f>IFERROR(R1184/Q1184,"")</f>
        <v/>
      </c>
      <c r="T1184" s="13">
        <f>IFERROR((ABS(N1184-O1184)/MAX(1,(N1184+O1184)))*EXP(-ABS(E1184-CONTROL!E5)/MAX(1,CONTROL!B8)),"")</f>
        <v/>
      </c>
      <c r="U1184" s="13">
        <f>IFERROR(IF(O1184&gt;N1184,"SUPPORT (PE OI)","RESIST (CE OI)"),"")</f>
        <v/>
      </c>
      <c r="V1184" s="13">
        <f>IFERROR(IF(Q1184&gt;0,IF(R1184&gt;0,"BOTH_ADD","CE_ADD_PE_REDUCE"),IF(R1184&gt;0,"CE_REDUCE_PE_ADD","BOTH_REDUCE")),"")</f>
        <v/>
      </c>
      <c r="W1184" s="13">
        <f>IFERROR( (P1184-1)*0.5 + (M1184)*0.1 - (I1184+J1184)*0.05 + T1184*0.4 ,"")</f>
        <v/>
      </c>
      <c r="X1184" s="13">
        <f>IFERROR(IF(ABS(F1184)&lt;0.01,"ATM/NEAR",""),"")</f>
        <v/>
      </c>
    </row>
    <row r="1185">
      <c r="A1185" s="13">
        <f>CHAIN_RAW!A1185</f>
        <v/>
      </c>
      <c r="B1185" s="14">
        <f>CHAIN_RAW!B1185</f>
        <v/>
      </c>
      <c r="C1185" s="13">
        <f>CHAIN_RAW!C1185</f>
        <v/>
      </c>
      <c r="D1185" s="13">
        <f>CHAIN_RAW!D1185</f>
        <v/>
      </c>
      <c r="E1185" s="13">
        <f>CHAIN_RAW!E1185</f>
        <v/>
      </c>
      <c r="F1185" s="13">
        <f>IFERROR((E1185-D1185)/D1185,"")</f>
        <v/>
      </c>
      <c r="G1185" s="13">
        <f>IFERROR((CHAIN_RAW!K1185+CHAIN_RAW!L1185)/2,"")</f>
        <v/>
      </c>
      <c r="H1185" s="13">
        <f>IFERROR((CHAIN_RAW!R1185+CHAIN_RAW!S1185)/2,"")</f>
        <v/>
      </c>
      <c r="I1185" s="13">
        <f>IFERROR((CHAIN_RAW!L1185-CHAIN_RAW!K1185)/MAX(1E-9, G1185),"")</f>
        <v/>
      </c>
      <c r="J1185" s="13">
        <f>IFERROR((CHAIN_RAW!S1185-CHAIN_RAW!R1185)/MAX(1E-9, H1185),"")</f>
        <v/>
      </c>
      <c r="K1185" s="13">
        <f>CHAIN_RAW!G1185</f>
        <v/>
      </c>
      <c r="L1185" s="13">
        <f>CHAIN_RAW!N1185</f>
        <v/>
      </c>
      <c r="M1185" s="13">
        <f>IFERROR(L1185-K1185,"")</f>
        <v/>
      </c>
      <c r="N1185" s="13">
        <f>CHAIN_RAW!H1185</f>
        <v/>
      </c>
      <c r="O1185" s="13">
        <f>CHAIN_RAW!O1185</f>
        <v/>
      </c>
      <c r="P1185" s="13">
        <f>IFERROR(O1185/N1185,"")</f>
        <v/>
      </c>
      <c r="Q1185" s="13">
        <f>CHAIN_RAW!I1185</f>
        <v/>
      </c>
      <c r="R1185" s="13">
        <f>CHAIN_RAW!P1185</f>
        <v/>
      </c>
      <c r="S1185" s="13">
        <f>IFERROR(R1185/Q1185,"")</f>
        <v/>
      </c>
      <c r="T1185" s="13">
        <f>IFERROR((ABS(N1185-O1185)/MAX(1,(N1185+O1185)))*EXP(-ABS(E1185-CONTROL!E5)/MAX(1,CONTROL!B8)),"")</f>
        <v/>
      </c>
      <c r="U1185" s="13">
        <f>IFERROR(IF(O1185&gt;N1185,"SUPPORT (PE OI)","RESIST (CE OI)"),"")</f>
        <v/>
      </c>
      <c r="V1185" s="13">
        <f>IFERROR(IF(Q1185&gt;0,IF(R1185&gt;0,"BOTH_ADD","CE_ADD_PE_REDUCE"),IF(R1185&gt;0,"CE_REDUCE_PE_ADD","BOTH_REDUCE")),"")</f>
        <v/>
      </c>
      <c r="W1185" s="13">
        <f>IFERROR( (P1185-1)*0.5 + (M1185)*0.1 - (I1185+J1185)*0.05 + T1185*0.4 ,"")</f>
        <v/>
      </c>
      <c r="X1185" s="13">
        <f>IFERROR(IF(ABS(F1185)&lt;0.01,"ATM/NEAR",""),"")</f>
        <v/>
      </c>
    </row>
    <row r="1186">
      <c r="A1186" s="13">
        <f>CHAIN_RAW!A1186</f>
        <v/>
      </c>
      <c r="B1186" s="14">
        <f>CHAIN_RAW!B1186</f>
        <v/>
      </c>
      <c r="C1186" s="13">
        <f>CHAIN_RAW!C1186</f>
        <v/>
      </c>
      <c r="D1186" s="13">
        <f>CHAIN_RAW!D1186</f>
        <v/>
      </c>
      <c r="E1186" s="13">
        <f>CHAIN_RAW!E1186</f>
        <v/>
      </c>
      <c r="F1186" s="13">
        <f>IFERROR((E1186-D1186)/D1186,"")</f>
        <v/>
      </c>
      <c r="G1186" s="13">
        <f>IFERROR((CHAIN_RAW!K1186+CHAIN_RAW!L1186)/2,"")</f>
        <v/>
      </c>
      <c r="H1186" s="13">
        <f>IFERROR((CHAIN_RAW!R1186+CHAIN_RAW!S1186)/2,"")</f>
        <v/>
      </c>
      <c r="I1186" s="13">
        <f>IFERROR((CHAIN_RAW!L1186-CHAIN_RAW!K1186)/MAX(1E-9, G1186),"")</f>
        <v/>
      </c>
      <c r="J1186" s="13">
        <f>IFERROR((CHAIN_RAW!S1186-CHAIN_RAW!R1186)/MAX(1E-9, H1186),"")</f>
        <v/>
      </c>
      <c r="K1186" s="13">
        <f>CHAIN_RAW!G1186</f>
        <v/>
      </c>
      <c r="L1186" s="13">
        <f>CHAIN_RAW!N1186</f>
        <v/>
      </c>
      <c r="M1186" s="13">
        <f>IFERROR(L1186-K1186,"")</f>
        <v/>
      </c>
      <c r="N1186" s="13">
        <f>CHAIN_RAW!H1186</f>
        <v/>
      </c>
      <c r="O1186" s="13">
        <f>CHAIN_RAW!O1186</f>
        <v/>
      </c>
      <c r="P1186" s="13">
        <f>IFERROR(O1186/N1186,"")</f>
        <v/>
      </c>
      <c r="Q1186" s="13">
        <f>CHAIN_RAW!I1186</f>
        <v/>
      </c>
      <c r="R1186" s="13">
        <f>CHAIN_RAW!P1186</f>
        <v/>
      </c>
      <c r="S1186" s="13">
        <f>IFERROR(R1186/Q1186,"")</f>
        <v/>
      </c>
      <c r="T1186" s="13">
        <f>IFERROR((ABS(N1186-O1186)/MAX(1,(N1186+O1186)))*EXP(-ABS(E1186-CONTROL!E5)/MAX(1,CONTROL!B8)),"")</f>
        <v/>
      </c>
      <c r="U1186" s="13">
        <f>IFERROR(IF(O1186&gt;N1186,"SUPPORT (PE OI)","RESIST (CE OI)"),"")</f>
        <v/>
      </c>
      <c r="V1186" s="13">
        <f>IFERROR(IF(Q1186&gt;0,IF(R1186&gt;0,"BOTH_ADD","CE_ADD_PE_REDUCE"),IF(R1186&gt;0,"CE_REDUCE_PE_ADD","BOTH_REDUCE")),"")</f>
        <v/>
      </c>
      <c r="W1186" s="13">
        <f>IFERROR( (P1186-1)*0.5 + (M1186)*0.1 - (I1186+J1186)*0.05 + T1186*0.4 ,"")</f>
        <v/>
      </c>
      <c r="X1186" s="13">
        <f>IFERROR(IF(ABS(F1186)&lt;0.01,"ATM/NEAR",""),"")</f>
        <v/>
      </c>
    </row>
    <row r="1187">
      <c r="A1187" s="13">
        <f>CHAIN_RAW!A1187</f>
        <v/>
      </c>
      <c r="B1187" s="14">
        <f>CHAIN_RAW!B1187</f>
        <v/>
      </c>
      <c r="C1187" s="13">
        <f>CHAIN_RAW!C1187</f>
        <v/>
      </c>
      <c r="D1187" s="13">
        <f>CHAIN_RAW!D1187</f>
        <v/>
      </c>
      <c r="E1187" s="13">
        <f>CHAIN_RAW!E1187</f>
        <v/>
      </c>
      <c r="F1187" s="13">
        <f>IFERROR((E1187-D1187)/D1187,"")</f>
        <v/>
      </c>
      <c r="G1187" s="13">
        <f>IFERROR((CHAIN_RAW!K1187+CHAIN_RAW!L1187)/2,"")</f>
        <v/>
      </c>
      <c r="H1187" s="13">
        <f>IFERROR((CHAIN_RAW!R1187+CHAIN_RAW!S1187)/2,"")</f>
        <v/>
      </c>
      <c r="I1187" s="13">
        <f>IFERROR((CHAIN_RAW!L1187-CHAIN_RAW!K1187)/MAX(1E-9, G1187),"")</f>
        <v/>
      </c>
      <c r="J1187" s="13">
        <f>IFERROR((CHAIN_RAW!S1187-CHAIN_RAW!R1187)/MAX(1E-9, H1187),"")</f>
        <v/>
      </c>
      <c r="K1187" s="13">
        <f>CHAIN_RAW!G1187</f>
        <v/>
      </c>
      <c r="L1187" s="13">
        <f>CHAIN_RAW!N1187</f>
        <v/>
      </c>
      <c r="M1187" s="13">
        <f>IFERROR(L1187-K1187,"")</f>
        <v/>
      </c>
      <c r="N1187" s="13">
        <f>CHAIN_RAW!H1187</f>
        <v/>
      </c>
      <c r="O1187" s="13">
        <f>CHAIN_RAW!O1187</f>
        <v/>
      </c>
      <c r="P1187" s="13">
        <f>IFERROR(O1187/N1187,"")</f>
        <v/>
      </c>
      <c r="Q1187" s="13">
        <f>CHAIN_RAW!I1187</f>
        <v/>
      </c>
      <c r="R1187" s="13">
        <f>CHAIN_RAW!P1187</f>
        <v/>
      </c>
      <c r="S1187" s="13">
        <f>IFERROR(R1187/Q1187,"")</f>
        <v/>
      </c>
      <c r="T1187" s="13">
        <f>IFERROR((ABS(N1187-O1187)/MAX(1,(N1187+O1187)))*EXP(-ABS(E1187-CONTROL!E5)/MAX(1,CONTROL!B8)),"")</f>
        <v/>
      </c>
      <c r="U1187" s="13">
        <f>IFERROR(IF(O1187&gt;N1187,"SUPPORT (PE OI)","RESIST (CE OI)"),"")</f>
        <v/>
      </c>
      <c r="V1187" s="13">
        <f>IFERROR(IF(Q1187&gt;0,IF(R1187&gt;0,"BOTH_ADD","CE_ADD_PE_REDUCE"),IF(R1187&gt;0,"CE_REDUCE_PE_ADD","BOTH_REDUCE")),"")</f>
        <v/>
      </c>
      <c r="W1187" s="13">
        <f>IFERROR( (P1187-1)*0.5 + (M1187)*0.1 - (I1187+J1187)*0.05 + T1187*0.4 ,"")</f>
        <v/>
      </c>
      <c r="X1187" s="13">
        <f>IFERROR(IF(ABS(F1187)&lt;0.01,"ATM/NEAR",""),"")</f>
        <v/>
      </c>
    </row>
    <row r="1188">
      <c r="A1188" s="13">
        <f>CHAIN_RAW!A1188</f>
        <v/>
      </c>
      <c r="B1188" s="14">
        <f>CHAIN_RAW!B1188</f>
        <v/>
      </c>
      <c r="C1188" s="13">
        <f>CHAIN_RAW!C1188</f>
        <v/>
      </c>
      <c r="D1188" s="13">
        <f>CHAIN_RAW!D1188</f>
        <v/>
      </c>
      <c r="E1188" s="13">
        <f>CHAIN_RAW!E1188</f>
        <v/>
      </c>
      <c r="F1188" s="13">
        <f>IFERROR((E1188-D1188)/D1188,"")</f>
        <v/>
      </c>
      <c r="G1188" s="13">
        <f>IFERROR((CHAIN_RAW!K1188+CHAIN_RAW!L1188)/2,"")</f>
        <v/>
      </c>
      <c r="H1188" s="13">
        <f>IFERROR((CHAIN_RAW!R1188+CHAIN_RAW!S1188)/2,"")</f>
        <v/>
      </c>
      <c r="I1188" s="13">
        <f>IFERROR((CHAIN_RAW!L1188-CHAIN_RAW!K1188)/MAX(1E-9, G1188),"")</f>
        <v/>
      </c>
      <c r="J1188" s="13">
        <f>IFERROR((CHAIN_RAW!S1188-CHAIN_RAW!R1188)/MAX(1E-9, H1188),"")</f>
        <v/>
      </c>
      <c r="K1188" s="13">
        <f>CHAIN_RAW!G1188</f>
        <v/>
      </c>
      <c r="L1188" s="13">
        <f>CHAIN_RAW!N1188</f>
        <v/>
      </c>
      <c r="M1188" s="13">
        <f>IFERROR(L1188-K1188,"")</f>
        <v/>
      </c>
      <c r="N1188" s="13">
        <f>CHAIN_RAW!H1188</f>
        <v/>
      </c>
      <c r="O1188" s="13">
        <f>CHAIN_RAW!O1188</f>
        <v/>
      </c>
      <c r="P1188" s="13">
        <f>IFERROR(O1188/N1188,"")</f>
        <v/>
      </c>
      <c r="Q1188" s="13">
        <f>CHAIN_RAW!I1188</f>
        <v/>
      </c>
      <c r="R1188" s="13">
        <f>CHAIN_RAW!P1188</f>
        <v/>
      </c>
      <c r="S1188" s="13">
        <f>IFERROR(R1188/Q1188,"")</f>
        <v/>
      </c>
      <c r="T1188" s="13">
        <f>IFERROR((ABS(N1188-O1188)/MAX(1,(N1188+O1188)))*EXP(-ABS(E1188-CONTROL!E5)/MAX(1,CONTROL!B8)),"")</f>
        <v/>
      </c>
      <c r="U1188" s="13">
        <f>IFERROR(IF(O1188&gt;N1188,"SUPPORT (PE OI)","RESIST (CE OI)"),"")</f>
        <v/>
      </c>
      <c r="V1188" s="13">
        <f>IFERROR(IF(Q1188&gt;0,IF(R1188&gt;0,"BOTH_ADD","CE_ADD_PE_REDUCE"),IF(R1188&gt;0,"CE_REDUCE_PE_ADD","BOTH_REDUCE")),"")</f>
        <v/>
      </c>
      <c r="W1188" s="13">
        <f>IFERROR( (P1188-1)*0.5 + (M1188)*0.1 - (I1188+J1188)*0.05 + T1188*0.4 ,"")</f>
        <v/>
      </c>
      <c r="X1188" s="13">
        <f>IFERROR(IF(ABS(F1188)&lt;0.01,"ATM/NEAR",""),"")</f>
        <v/>
      </c>
    </row>
    <row r="1189">
      <c r="A1189" s="13">
        <f>CHAIN_RAW!A1189</f>
        <v/>
      </c>
      <c r="B1189" s="14">
        <f>CHAIN_RAW!B1189</f>
        <v/>
      </c>
      <c r="C1189" s="13">
        <f>CHAIN_RAW!C1189</f>
        <v/>
      </c>
      <c r="D1189" s="13">
        <f>CHAIN_RAW!D1189</f>
        <v/>
      </c>
      <c r="E1189" s="13">
        <f>CHAIN_RAW!E1189</f>
        <v/>
      </c>
      <c r="F1189" s="13">
        <f>IFERROR((E1189-D1189)/D1189,"")</f>
        <v/>
      </c>
      <c r="G1189" s="13">
        <f>IFERROR((CHAIN_RAW!K1189+CHAIN_RAW!L1189)/2,"")</f>
        <v/>
      </c>
      <c r="H1189" s="13">
        <f>IFERROR((CHAIN_RAW!R1189+CHAIN_RAW!S1189)/2,"")</f>
        <v/>
      </c>
      <c r="I1189" s="13">
        <f>IFERROR((CHAIN_RAW!L1189-CHAIN_RAW!K1189)/MAX(1E-9, G1189),"")</f>
        <v/>
      </c>
      <c r="J1189" s="13">
        <f>IFERROR((CHAIN_RAW!S1189-CHAIN_RAW!R1189)/MAX(1E-9, H1189),"")</f>
        <v/>
      </c>
      <c r="K1189" s="13">
        <f>CHAIN_RAW!G1189</f>
        <v/>
      </c>
      <c r="L1189" s="13">
        <f>CHAIN_RAW!N1189</f>
        <v/>
      </c>
      <c r="M1189" s="13">
        <f>IFERROR(L1189-K1189,"")</f>
        <v/>
      </c>
      <c r="N1189" s="13">
        <f>CHAIN_RAW!H1189</f>
        <v/>
      </c>
      <c r="O1189" s="13">
        <f>CHAIN_RAW!O1189</f>
        <v/>
      </c>
      <c r="P1189" s="13">
        <f>IFERROR(O1189/N1189,"")</f>
        <v/>
      </c>
      <c r="Q1189" s="13">
        <f>CHAIN_RAW!I1189</f>
        <v/>
      </c>
      <c r="R1189" s="13">
        <f>CHAIN_RAW!P1189</f>
        <v/>
      </c>
      <c r="S1189" s="13">
        <f>IFERROR(R1189/Q1189,"")</f>
        <v/>
      </c>
      <c r="T1189" s="13">
        <f>IFERROR((ABS(N1189-O1189)/MAX(1,(N1189+O1189)))*EXP(-ABS(E1189-CONTROL!E5)/MAX(1,CONTROL!B8)),"")</f>
        <v/>
      </c>
      <c r="U1189" s="13">
        <f>IFERROR(IF(O1189&gt;N1189,"SUPPORT (PE OI)","RESIST (CE OI)"),"")</f>
        <v/>
      </c>
      <c r="V1189" s="13">
        <f>IFERROR(IF(Q1189&gt;0,IF(R1189&gt;0,"BOTH_ADD","CE_ADD_PE_REDUCE"),IF(R1189&gt;0,"CE_REDUCE_PE_ADD","BOTH_REDUCE")),"")</f>
        <v/>
      </c>
      <c r="W1189" s="13">
        <f>IFERROR( (P1189-1)*0.5 + (M1189)*0.1 - (I1189+J1189)*0.05 + T1189*0.4 ,"")</f>
        <v/>
      </c>
      <c r="X1189" s="13">
        <f>IFERROR(IF(ABS(F1189)&lt;0.01,"ATM/NEAR",""),"")</f>
        <v/>
      </c>
    </row>
    <row r="1190">
      <c r="A1190" s="13">
        <f>CHAIN_RAW!A1190</f>
        <v/>
      </c>
      <c r="B1190" s="14">
        <f>CHAIN_RAW!B1190</f>
        <v/>
      </c>
      <c r="C1190" s="13">
        <f>CHAIN_RAW!C1190</f>
        <v/>
      </c>
      <c r="D1190" s="13">
        <f>CHAIN_RAW!D1190</f>
        <v/>
      </c>
      <c r="E1190" s="13">
        <f>CHAIN_RAW!E1190</f>
        <v/>
      </c>
      <c r="F1190" s="13">
        <f>IFERROR((E1190-D1190)/D1190,"")</f>
        <v/>
      </c>
      <c r="G1190" s="13">
        <f>IFERROR((CHAIN_RAW!K1190+CHAIN_RAW!L1190)/2,"")</f>
        <v/>
      </c>
      <c r="H1190" s="13">
        <f>IFERROR((CHAIN_RAW!R1190+CHAIN_RAW!S1190)/2,"")</f>
        <v/>
      </c>
      <c r="I1190" s="13">
        <f>IFERROR((CHAIN_RAW!L1190-CHAIN_RAW!K1190)/MAX(1E-9, G1190),"")</f>
        <v/>
      </c>
      <c r="J1190" s="13">
        <f>IFERROR((CHAIN_RAW!S1190-CHAIN_RAW!R1190)/MAX(1E-9, H1190),"")</f>
        <v/>
      </c>
      <c r="K1190" s="13">
        <f>CHAIN_RAW!G1190</f>
        <v/>
      </c>
      <c r="L1190" s="13">
        <f>CHAIN_RAW!N1190</f>
        <v/>
      </c>
      <c r="M1190" s="13">
        <f>IFERROR(L1190-K1190,"")</f>
        <v/>
      </c>
      <c r="N1190" s="13">
        <f>CHAIN_RAW!H1190</f>
        <v/>
      </c>
      <c r="O1190" s="13">
        <f>CHAIN_RAW!O1190</f>
        <v/>
      </c>
      <c r="P1190" s="13">
        <f>IFERROR(O1190/N1190,"")</f>
        <v/>
      </c>
      <c r="Q1190" s="13">
        <f>CHAIN_RAW!I1190</f>
        <v/>
      </c>
      <c r="R1190" s="13">
        <f>CHAIN_RAW!P1190</f>
        <v/>
      </c>
      <c r="S1190" s="13">
        <f>IFERROR(R1190/Q1190,"")</f>
        <v/>
      </c>
      <c r="T1190" s="13">
        <f>IFERROR((ABS(N1190-O1190)/MAX(1,(N1190+O1190)))*EXP(-ABS(E1190-CONTROL!E5)/MAX(1,CONTROL!B8)),"")</f>
        <v/>
      </c>
      <c r="U1190" s="13">
        <f>IFERROR(IF(O1190&gt;N1190,"SUPPORT (PE OI)","RESIST (CE OI)"),"")</f>
        <v/>
      </c>
      <c r="V1190" s="13">
        <f>IFERROR(IF(Q1190&gt;0,IF(R1190&gt;0,"BOTH_ADD","CE_ADD_PE_REDUCE"),IF(R1190&gt;0,"CE_REDUCE_PE_ADD","BOTH_REDUCE")),"")</f>
        <v/>
      </c>
      <c r="W1190" s="13">
        <f>IFERROR( (P1190-1)*0.5 + (M1190)*0.1 - (I1190+J1190)*0.05 + T1190*0.4 ,"")</f>
        <v/>
      </c>
      <c r="X1190" s="13">
        <f>IFERROR(IF(ABS(F1190)&lt;0.01,"ATM/NEAR",""),"")</f>
        <v/>
      </c>
    </row>
    <row r="1191">
      <c r="A1191" s="13">
        <f>CHAIN_RAW!A1191</f>
        <v/>
      </c>
      <c r="B1191" s="14">
        <f>CHAIN_RAW!B1191</f>
        <v/>
      </c>
      <c r="C1191" s="13">
        <f>CHAIN_RAW!C1191</f>
        <v/>
      </c>
      <c r="D1191" s="13">
        <f>CHAIN_RAW!D1191</f>
        <v/>
      </c>
      <c r="E1191" s="13">
        <f>CHAIN_RAW!E1191</f>
        <v/>
      </c>
      <c r="F1191" s="13">
        <f>IFERROR((E1191-D1191)/D1191,"")</f>
        <v/>
      </c>
      <c r="G1191" s="13">
        <f>IFERROR((CHAIN_RAW!K1191+CHAIN_RAW!L1191)/2,"")</f>
        <v/>
      </c>
      <c r="H1191" s="13">
        <f>IFERROR((CHAIN_RAW!R1191+CHAIN_RAW!S1191)/2,"")</f>
        <v/>
      </c>
      <c r="I1191" s="13">
        <f>IFERROR((CHAIN_RAW!L1191-CHAIN_RAW!K1191)/MAX(1E-9, G1191),"")</f>
        <v/>
      </c>
      <c r="J1191" s="13">
        <f>IFERROR((CHAIN_RAW!S1191-CHAIN_RAW!R1191)/MAX(1E-9, H1191),"")</f>
        <v/>
      </c>
      <c r="K1191" s="13">
        <f>CHAIN_RAW!G1191</f>
        <v/>
      </c>
      <c r="L1191" s="13">
        <f>CHAIN_RAW!N1191</f>
        <v/>
      </c>
      <c r="M1191" s="13">
        <f>IFERROR(L1191-K1191,"")</f>
        <v/>
      </c>
      <c r="N1191" s="13">
        <f>CHAIN_RAW!H1191</f>
        <v/>
      </c>
      <c r="O1191" s="13">
        <f>CHAIN_RAW!O1191</f>
        <v/>
      </c>
      <c r="P1191" s="13">
        <f>IFERROR(O1191/N1191,"")</f>
        <v/>
      </c>
      <c r="Q1191" s="13">
        <f>CHAIN_RAW!I1191</f>
        <v/>
      </c>
      <c r="R1191" s="13">
        <f>CHAIN_RAW!P1191</f>
        <v/>
      </c>
      <c r="S1191" s="13">
        <f>IFERROR(R1191/Q1191,"")</f>
        <v/>
      </c>
      <c r="T1191" s="13">
        <f>IFERROR((ABS(N1191-O1191)/MAX(1,(N1191+O1191)))*EXP(-ABS(E1191-CONTROL!E5)/MAX(1,CONTROL!B8)),"")</f>
        <v/>
      </c>
      <c r="U1191" s="13">
        <f>IFERROR(IF(O1191&gt;N1191,"SUPPORT (PE OI)","RESIST (CE OI)"),"")</f>
        <v/>
      </c>
      <c r="V1191" s="13">
        <f>IFERROR(IF(Q1191&gt;0,IF(R1191&gt;0,"BOTH_ADD","CE_ADD_PE_REDUCE"),IF(R1191&gt;0,"CE_REDUCE_PE_ADD","BOTH_REDUCE")),"")</f>
        <v/>
      </c>
      <c r="W1191" s="13">
        <f>IFERROR( (P1191-1)*0.5 + (M1191)*0.1 - (I1191+J1191)*0.05 + T1191*0.4 ,"")</f>
        <v/>
      </c>
      <c r="X1191" s="13">
        <f>IFERROR(IF(ABS(F1191)&lt;0.01,"ATM/NEAR",""),"")</f>
        <v/>
      </c>
    </row>
    <row r="1192">
      <c r="A1192" s="13">
        <f>CHAIN_RAW!A1192</f>
        <v/>
      </c>
      <c r="B1192" s="14">
        <f>CHAIN_RAW!B1192</f>
        <v/>
      </c>
      <c r="C1192" s="13">
        <f>CHAIN_RAW!C1192</f>
        <v/>
      </c>
      <c r="D1192" s="13">
        <f>CHAIN_RAW!D1192</f>
        <v/>
      </c>
      <c r="E1192" s="13">
        <f>CHAIN_RAW!E1192</f>
        <v/>
      </c>
      <c r="F1192" s="13">
        <f>IFERROR((E1192-D1192)/D1192,"")</f>
        <v/>
      </c>
      <c r="G1192" s="13">
        <f>IFERROR((CHAIN_RAW!K1192+CHAIN_RAW!L1192)/2,"")</f>
        <v/>
      </c>
      <c r="H1192" s="13">
        <f>IFERROR((CHAIN_RAW!R1192+CHAIN_RAW!S1192)/2,"")</f>
        <v/>
      </c>
      <c r="I1192" s="13">
        <f>IFERROR((CHAIN_RAW!L1192-CHAIN_RAW!K1192)/MAX(1E-9, G1192),"")</f>
        <v/>
      </c>
      <c r="J1192" s="13">
        <f>IFERROR((CHAIN_RAW!S1192-CHAIN_RAW!R1192)/MAX(1E-9, H1192),"")</f>
        <v/>
      </c>
      <c r="K1192" s="13">
        <f>CHAIN_RAW!G1192</f>
        <v/>
      </c>
      <c r="L1192" s="13">
        <f>CHAIN_RAW!N1192</f>
        <v/>
      </c>
      <c r="M1192" s="13">
        <f>IFERROR(L1192-K1192,"")</f>
        <v/>
      </c>
      <c r="N1192" s="13">
        <f>CHAIN_RAW!H1192</f>
        <v/>
      </c>
      <c r="O1192" s="13">
        <f>CHAIN_RAW!O1192</f>
        <v/>
      </c>
      <c r="P1192" s="13">
        <f>IFERROR(O1192/N1192,"")</f>
        <v/>
      </c>
      <c r="Q1192" s="13">
        <f>CHAIN_RAW!I1192</f>
        <v/>
      </c>
      <c r="R1192" s="13">
        <f>CHAIN_RAW!P1192</f>
        <v/>
      </c>
      <c r="S1192" s="13">
        <f>IFERROR(R1192/Q1192,"")</f>
        <v/>
      </c>
      <c r="T1192" s="13">
        <f>IFERROR((ABS(N1192-O1192)/MAX(1,(N1192+O1192)))*EXP(-ABS(E1192-CONTROL!E5)/MAX(1,CONTROL!B8)),"")</f>
        <v/>
      </c>
      <c r="U1192" s="13">
        <f>IFERROR(IF(O1192&gt;N1192,"SUPPORT (PE OI)","RESIST (CE OI)"),"")</f>
        <v/>
      </c>
      <c r="V1192" s="13">
        <f>IFERROR(IF(Q1192&gt;0,IF(R1192&gt;0,"BOTH_ADD","CE_ADD_PE_REDUCE"),IF(R1192&gt;0,"CE_REDUCE_PE_ADD","BOTH_REDUCE")),"")</f>
        <v/>
      </c>
      <c r="W1192" s="13">
        <f>IFERROR( (P1192-1)*0.5 + (M1192)*0.1 - (I1192+J1192)*0.05 + T1192*0.4 ,"")</f>
        <v/>
      </c>
      <c r="X1192" s="13">
        <f>IFERROR(IF(ABS(F1192)&lt;0.01,"ATM/NEAR",""),"")</f>
        <v/>
      </c>
    </row>
    <row r="1193">
      <c r="A1193" s="13">
        <f>CHAIN_RAW!A1193</f>
        <v/>
      </c>
      <c r="B1193" s="14">
        <f>CHAIN_RAW!B1193</f>
        <v/>
      </c>
      <c r="C1193" s="13">
        <f>CHAIN_RAW!C1193</f>
        <v/>
      </c>
      <c r="D1193" s="13">
        <f>CHAIN_RAW!D1193</f>
        <v/>
      </c>
      <c r="E1193" s="13">
        <f>CHAIN_RAW!E1193</f>
        <v/>
      </c>
      <c r="F1193" s="13">
        <f>IFERROR((E1193-D1193)/D1193,"")</f>
        <v/>
      </c>
      <c r="G1193" s="13">
        <f>IFERROR((CHAIN_RAW!K1193+CHAIN_RAW!L1193)/2,"")</f>
        <v/>
      </c>
      <c r="H1193" s="13">
        <f>IFERROR((CHAIN_RAW!R1193+CHAIN_RAW!S1193)/2,"")</f>
        <v/>
      </c>
      <c r="I1193" s="13">
        <f>IFERROR((CHAIN_RAW!L1193-CHAIN_RAW!K1193)/MAX(1E-9, G1193),"")</f>
        <v/>
      </c>
      <c r="J1193" s="13">
        <f>IFERROR((CHAIN_RAW!S1193-CHAIN_RAW!R1193)/MAX(1E-9, H1193),"")</f>
        <v/>
      </c>
      <c r="K1193" s="13">
        <f>CHAIN_RAW!G1193</f>
        <v/>
      </c>
      <c r="L1193" s="13">
        <f>CHAIN_RAW!N1193</f>
        <v/>
      </c>
      <c r="M1193" s="13">
        <f>IFERROR(L1193-K1193,"")</f>
        <v/>
      </c>
      <c r="N1193" s="13">
        <f>CHAIN_RAW!H1193</f>
        <v/>
      </c>
      <c r="O1193" s="13">
        <f>CHAIN_RAW!O1193</f>
        <v/>
      </c>
      <c r="P1193" s="13">
        <f>IFERROR(O1193/N1193,"")</f>
        <v/>
      </c>
      <c r="Q1193" s="13">
        <f>CHAIN_RAW!I1193</f>
        <v/>
      </c>
      <c r="R1193" s="13">
        <f>CHAIN_RAW!P1193</f>
        <v/>
      </c>
      <c r="S1193" s="13">
        <f>IFERROR(R1193/Q1193,"")</f>
        <v/>
      </c>
      <c r="T1193" s="13">
        <f>IFERROR((ABS(N1193-O1193)/MAX(1,(N1193+O1193)))*EXP(-ABS(E1193-CONTROL!E5)/MAX(1,CONTROL!B8)),"")</f>
        <v/>
      </c>
      <c r="U1193" s="13">
        <f>IFERROR(IF(O1193&gt;N1193,"SUPPORT (PE OI)","RESIST (CE OI)"),"")</f>
        <v/>
      </c>
      <c r="V1193" s="13">
        <f>IFERROR(IF(Q1193&gt;0,IF(R1193&gt;0,"BOTH_ADD","CE_ADD_PE_REDUCE"),IF(R1193&gt;0,"CE_REDUCE_PE_ADD","BOTH_REDUCE")),"")</f>
        <v/>
      </c>
      <c r="W1193" s="13">
        <f>IFERROR( (P1193-1)*0.5 + (M1193)*0.1 - (I1193+J1193)*0.05 + T1193*0.4 ,"")</f>
        <v/>
      </c>
      <c r="X1193" s="13">
        <f>IFERROR(IF(ABS(F1193)&lt;0.01,"ATM/NEAR",""),"")</f>
        <v/>
      </c>
    </row>
    <row r="1194">
      <c r="A1194" s="13">
        <f>CHAIN_RAW!A1194</f>
        <v/>
      </c>
      <c r="B1194" s="14">
        <f>CHAIN_RAW!B1194</f>
        <v/>
      </c>
      <c r="C1194" s="13">
        <f>CHAIN_RAW!C1194</f>
        <v/>
      </c>
      <c r="D1194" s="13">
        <f>CHAIN_RAW!D1194</f>
        <v/>
      </c>
      <c r="E1194" s="13">
        <f>CHAIN_RAW!E1194</f>
        <v/>
      </c>
      <c r="F1194" s="13">
        <f>IFERROR((E1194-D1194)/D1194,"")</f>
        <v/>
      </c>
      <c r="G1194" s="13">
        <f>IFERROR((CHAIN_RAW!K1194+CHAIN_RAW!L1194)/2,"")</f>
        <v/>
      </c>
      <c r="H1194" s="13">
        <f>IFERROR((CHAIN_RAW!R1194+CHAIN_RAW!S1194)/2,"")</f>
        <v/>
      </c>
      <c r="I1194" s="13">
        <f>IFERROR((CHAIN_RAW!L1194-CHAIN_RAW!K1194)/MAX(1E-9, G1194),"")</f>
        <v/>
      </c>
      <c r="J1194" s="13">
        <f>IFERROR((CHAIN_RAW!S1194-CHAIN_RAW!R1194)/MAX(1E-9, H1194),"")</f>
        <v/>
      </c>
      <c r="K1194" s="13">
        <f>CHAIN_RAW!G1194</f>
        <v/>
      </c>
      <c r="L1194" s="13">
        <f>CHAIN_RAW!N1194</f>
        <v/>
      </c>
      <c r="M1194" s="13">
        <f>IFERROR(L1194-K1194,"")</f>
        <v/>
      </c>
      <c r="N1194" s="13">
        <f>CHAIN_RAW!H1194</f>
        <v/>
      </c>
      <c r="O1194" s="13">
        <f>CHAIN_RAW!O1194</f>
        <v/>
      </c>
      <c r="P1194" s="13">
        <f>IFERROR(O1194/N1194,"")</f>
        <v/>
      </c>
      <c r="Q1194" s="13">
        <f>CHAIN_RAW!I1194</f>
        <v/>
      </c>
      <c r="R1194" s="13">
        <f>CHAIN_RAW!P1194</f>
        <v/>
      </c>
      <c r="S1194" s="13">
        <f>IFERROR(R1194/Q1194,"")</f>
        <v/>
      </c>
      <c r="T1194" s="13">
        <f>IFERROR((ABS(N1194-O1194)/MAX(1,(N1194+O1194)))*EXP(-ABS(E1194-CONTROL!E5)/MAX(1,CONTROL!B8)),"")</f>
        <v/>
      </c>
      <c r="U1194" s="13">
        <f>IFERROR(IF(O1194&gt;N1194,"SUPPORT (PE OI)","RESIST (CE OI)"),"")</f>
        <v/>
      </c>
      <c r="V1194" s="13">
        <f>IFERROR(IF(Q1194&gt;0,IF(R1194&gt;0,"BOTH_ADD","CE_ADD_PE_REDUCE"),IF(R1194&gt;0,"CE_REDUCE_PE_ADD","BOTH_REDUCE")),"")</f>
        <v/>
      </c>
      <c r="W1194" s="13">
        <f>IFERROR( (P1194-1)*0.5 + (M1194)*0.1 - (I1194+J1194)*0.05 + T1194*0.4 ,"")</f>
        <v/>
      </c>
      <c r="X1194" s="13">
        <f>IFERROR(IF(ABS(F1194)&lt;0.01,"ATM/NEAR",""),"")</f>
        <v/>
      </c>
    </row>
    <row r="1195">
      <c r="A1195" s="13">
        <f>CHAIN_RAW!A1195</f>
        <v/>
      </c>
      <c r="B1195" s="14">
        <f>CHAIN_RAW!B1195</f>
        <v/>
      </c>
      <c r="C1195" s="13">
        <f>CHAIN_RAW!C1195</f>
        <v/>
      </c>
      <c r="D1195" s="13">
        <f>CHAIN_RAW!D1195</f>
        <v/>
      </c>
      <c r="E1195" s="13">
        <f>CHAIN_RAW!E1195</f>
        <v/>
      </c>
      <c r="F1195" s="13">
        <f>IFERROR((E1195-D1195)/D1195,"")</f>
        <v/>
      </c>
      <c r="G1195" s="13">
        <f>IFERROR((CHAIN_RAW!K1195+CHAIN_RAW!L1195)/2,"")</f>
        <v/>
      </c>
      <c r="H1195" s="13">
        <f>IFERROR((CHAIN_RAW!R1195+CHAIN_RAW!S1195)/2,"")</f>
        <v/>
      </c>
      <c r="I1195" s="13">
        <f>IFERROR((CHAIN_RAW!L1195-CHAIN_RAW!K1195)/MAX(1E-9, G1195),"")</f>
        <v/>
      </c>
      <c r="J1195" s="13">
        <f>IFERROR((CHAIN_RAW!S1195-CHAIN_RAW!R1195)/MAX(1E-9, H1195),"")</f>
        <v/>
      </c>
      <c r="K1195" s="13">
        <f>CHAIN_RAW!G1195</f>
        <v/>
      </c>
      <c r="L1195" s="13">
        <f>CHAIN_RAW!N1195</f>
        <v/>
      </c>
      <c r="M1195" s="13">
        <f>IFERROR(L1195-K1195,"")</f>
        <v/>
      </c>
      <c r="N1195" s="13">
        <f>CHAIN_RAW!H1195</f>
        <v/>
      </c>
      <c r="O1195" s="13">
        <f>CHAIN_RAW!O1195</f>
        <v/>
      </c>
      <c r="P1195" s="13">
        <f>IFERROR(O1195/N1195,"")</f>
        <v/>
      </c>
      <c r="Q1195" s="13">
        <f>CHAIN_RAW!I1195</f>
        <v/>
      </c>
      <c r="R1195" s="13">
        <f>CHAIN_RAW!P1195</f>
        <v/>
      </c>
      <c r="S1195" s="13">
        <f>IFERROR(R1195/Q1195,"")</f>
        <v/>
      </c>
      <c r="T1195" s="13">
        <f>IFERROR((ABS(N1195-O1195)/MAX(1,(N1195+O1195)))*EXP(-ABS(E1195-CONTROL!E5)/MAX(1,CONTROL!B8)),"")</f>
        <v/>
      </c>
      <c r="U1195" s="13">
        <f>IFERROR(IF(O1195&gt;N1195,"SUPPORT (PE OI)","RESIST (CE OI)"),"")</f>
        <v/>
      </c>
      <c r="V1195" s="13">
        <f>IFERROR(IF(Q1195&gt;0,IF(R1195&gt;0,"BOTH_ADD","CE_ADD_PE_REDUCE"),IF(R1195&gt;0,"CE_REDUCE_PE_ADD","BOTH_REDUCE")),"")</f>
        <v/>
      </c>
      <c r="W1195" s="13">
        <f>IFERROR( (P1195-1)*0.5 + (M1195)*0.1 - (I1195+J1195)*0.05 + T1195*0.4 ,"")</f>
        <v/>
      </c>
      <c r="X1195" s="13">
        <f>IFERROR(IF(ABS(F1195)&lt;0.01,"ATM/NEAR",""),"")</f>
        <v/>
      </c>
    </row>
    <row r="1196">
      <c r="A1196" s="13">
        <f>CHAIN_RAW!A1196</f>
        <v/>
      </c>
      <c r="B1196" s="14">
        <f>CHAIN_RAW!B1196</f>
        <v/>
      </c>
      <c r="C1196" s="13">
        <f>CHAIN_RAW!C1196</f>
        <v/>
      </c>
      <c r="D1196" s="13">
        <f>CHAIN_RAW!D1196</f>
        <v/>
      </c>
      <c r="E1196" s="13">
        <f>CHAIN_RAW!E1196</f>
        <v/>
      </c>
      <c r="F1196" s="13">
        <f>IFERROR((E1196-D1196)/D1196,"")</f>
        <v/>
      </c>
      <c r="G1196" s="13">
        <f>IFERROR((CHAIN_RAW!K1196+CHAIN_RAW!L1196)/2,"")</f>
        <v/>
      </c>
      <c r="H1196" s="13">
        <f>IFERROR((CHAIN_RAW!R1196+CHAIN_RAW!S1196)/2,"")</f>
        <v/>
      </c>
      <c r="I1196" s="13">
        <f>IFERROR((CHAIN_RAW!L1196-CHAIN_RAW!K1196)/MAX(1E-9, G1196),"")</f>
        <v/>
      </c>
      <c r="J1196" s="13">
        <f>IFERROR((CHAIN_RAW!S1196-CHAIN_RAW!R1196)/MAX(1E-9, H1196),"")</f>
        <v/>
      </c>
      <c r="K1196" s="13">
        <f>CHAIN_RAW!G1196</f>
        <v/>
      </c>
      <c r="L1196" s="13">
        <f>CHAIN_RAW!N1196</f>
        <v/>
      </c>
      <c r="M1196" s="13">
        <f>IFERROR(L1196-K1196,"")</f>
        <v/>
      </c>
      <c r="N1196" s="13">
        <f>CHAIN_RAW!H1196</f>
        <v/>
      </c>
      <c r="O1196" s="13">
        <f>CHAIN_RAW!O1196</f>
        <v/>
      </c>
      <c r="P1196" s="13">
        <f>IFERROR(O1196/N1196,"")</f>
        <v/>
      </c>
      <c r="Q1196" s="13">
        <f>CHAIN_RAW!I1196</f>
        <v/>
      </c>
      <c r="R1196" s="13">
        <f>CHAIN_RAW!P1196</f>
        <v/>
      </c>
      <c r="S1196" s="13">
        <f>IFERROR(R1196/Q1196,"")</f>
        <v/>
      </c>
      <c r="T1196" s="13">
        <f>IFERROR((ABS(N1196-O1196)/MAX(1,(N1196+O1196)))*EXP(-ABS(E1196-CONTROL!E5)/MAX(1,CONTROL!B8)),"")</f>
        <v/>
      </c>
      <c r="U1196" s="13">
        <f>IFERROR(IF(O1196&gt;N1196,"SUPPORT (PE OI)","RESIST (CE OI)"),"")</f>
        <v/>
      </c>
      <c r="V1196" s="13">
        <f>IFERROR(IF(Q1196&gt;0,IF(R1196&gt;0,"BOTH_ADD","CE_ADD_PE_REDUCE"),IF(R1196&gt;0,"CE_REDUCE_PE_ADD","BOTH_REDUCE")),"")</f>
        <v/>
      </c>
      <c r="W1196" s="13">
        <f>IFERROR( (P1196-1)*0.5 + (M1196)*0.1 - (I1196+J1196)*0.05 + T1196*0.4 ,"")</f>
        <v/>
      </c>
      <c r="X1196" s="13">
        <f>IFERROR(IF(ABS(F1196)&lt;0.01,"ATM/NEAR",""),"")</f>
        <v/>
      </c>
    </row>
    <row r="1197">
      <c r="A1197" s="13">
        <f>CHAIN_RAW!A1197</f>
        <v/>
      </c>
      <c r="B1197" s="14">
        <f>CHAIN_RAW!B1197</f>
        <v/>
      </c>
      <c r="C1197" s="13">
        <f>CHAIN_RAW!C1197</f>
        <v/>
      </c>
      <c r="D1197" s="13">
        <f>CHAIN_RAW!D1197</f>
        <v/>
      </c>
      <c r="E1197" s="13">
        <f>CHAIN_RAW!E1197</f>
        <v/>
      </c>
      <c r="F1197" s="13">
        <f>IFERROR((E1197-D1197)/D1197,"")</f>
        <v/>
      </c>
      <c r="G1197" s="13">
        <f>IFERROR((CHAIN_RAW!K1197+CHAIN_RAW!L1197)/2,"")</f>
        <v/>
      </c>
      <c r="H1197" s="13">
        <f>IFERROR((CHAIN_RAW!R1197+CHAIN_RAW!S1197)/2,"")</f>
        <v/>
      </c>
      <c r="I1197" s="13">
        <f>IFERROR((CHAIN_RAW!L1197-CHAIN_RAW!K1197)/MAX(1E-9, G1197),"")</f>
        <v/>
      </c>
      <c r="J1197" s="13">
        <f>IFERROR((CHAIN_RAW!S1197-CHAIN_RAW!R1197)/MAX(1E-9, H1197),"")</f>
        <v/>
      </c>
      <c r="K1197" s="13">
        <f>CHAIN_RAW!G1197</f>
        <v/>
      </c>
      <c r="L1197" s="13">
        <f>CHAIN_RAW!N1197</f>
        <v/>
      </c>
      <c r="M1197" s="13">
        <f>IFERROR(L1197-K1197,"")</f>
        <v/>
      </c>
      <c r="N1197" s="13">
        <f>CHAIN_RAW!H1197</f>
        <v/>
      </c>
      <c r="O1197" s="13">
        <f>CHAIN_RAW!O1197</f>
        <v/>
      </c>
      <c r="P1197" s="13">
        <f>IFERROR(O1197/N1197,"")</f>
        <v/>
      </c>
      <c r="Q1197" s="13">
        <f>CHAIN_RAW!I1197</f>
        <v/>
      </c>
      <c r="R1197" s="13">
        <f>CHAIN_RAW!P1197</f>
        <v/>
      </c>
      <c r="S1197" s="13">
        <f>IFERROR(R1197/Q1197,"")</f>
        <v/>
      </c>
      <c r="T1197" s="13">
        <f>IFERROR((ABS(N1197-O1197)/MAX(1,(N1197+O1197)))*EXP(-ABS(E1197-CONTROL!E5)/MAX(1,CONTROL!B8)),"")</f>
        <v/>
      </c>
      <c r="U1197" s="13">
        <f>IFERROR(IF(O1197&gt;N1197,"SUPPORT (PE OI)","RESIST (CE OI)"),"")</f>
        <v/>
      </c>
      <c r="V1197" s="13">
        <f>IFERROR(IF(Q1197&gt;0,IF(R1197&gt;0,"BOTH_ADD","CE_ADD_PE_REDUCE"),IF(R1197&gt;0,"CE_REDUCE_PE_ADD","BOTH_REDUCE")),"")</f>
        <v/>
      </c>
      <c r="W1197" s="13">
        <f>IFERROR( (P1197-1)*0.5 + (M1197)*0.1 - (I1197+J1197)*0.05 + T1197*0.4 ,"")</f>
        <v/>
      </c>
      <c r="X1197" s="13">
        <f>IFERROR(IF(ABS(F1197)&lt;0.01,"ATM/NEAR",""),"")</f>
        <v/>
      </c>
    </row>
    <row r="1198">
      <c r="A1198" s="13">
        <f>CHAIN_RAW!A1198</f>
        <v/>
      </c>
      <c r="B1198" s="14">
        <f>CHAIN_RAW!B1198</f>
        <v/>
      </c>
      <c r="C1198" s="13">
        <f>CHAIN_RAW!C1198</f>
        <v/>
      </c>
      <c r="D1198" s="13">
        <f>CHAIN_RAW!D1198</f>
        <v/>
      </c>
      <c r="E1198" s="13">
        <f>CHAIN_RAW!E1198</f>
        <v/>
      </c>
      <c r="F1198" s="13">
        <f>IFERROR((E1198-D1198)/D1198,"")</f>
        <v/>
      </c>
      <c r="G1198" s="13">
        <f>IFERROR((CHAIN_RAW!K1198+CHAIN_RAW!L1198)/2,"")</f>
        <v/>
      </c>
      <c r="H1198" s="13">
        <f>IFERROR((CHAIN_RAW!R1198+CHAIN_RAW!S1198)/2,"")</f>
        <v/>
      </c>
      <c r="I1198" s="13">
        <f>IFERROR((CHAIN_RAW!L1198-CHAIN_RAW!K1198)/MAX(1E-9, G1198),"")</f>
        <v/>
      </c>
      <c r="J1198" s="13">
        <f>IFERROR((CHAIN_RAW!S1198-CHAIN_RAW!R1198)/MAX(1E-9, H1198),"")</f>
        <v/>
      </c>
      <c r="K1198" s="13">
        <f>CHAIN_RAW!G1198</f>
        <v/>
      </c>
      <c r="L1198" s="13">
        <f>CHAIN_RAW!N1198</f>
        <v/>
      </c>
      <c r="M1198" s="13">
        <f>IFERROR(L1198-K1198,"")</f>
        <v/>
      </c>
      <c r="N1198" s="13">
        <f>CHAIN_RAW!H1198</f>
        <v/>
      </c>
      <c r="O1198" s="13">
        <f>CHAIN_RAW!O1198</f>
        <v/>
      </c>
      <c r="P1198" s="13">
        <f>IFERROR(O1198/N1198,"")</f>
        <v/>
      </c>
      <c r="Q1198" s="13">
        <f>CHAIN_RAW!I1198</f>
        <v/>
      </c>
      <c r="R1198" s="13">
        <f>CHAIN_RAW!P1198</f>
        <v/>
      </c>
      <c r="S1198" s="13">
        <f>IFERROR(R1198/Q1198,"")</f>
        <v/>
      </c>
      <c r="T1198" s="13">
        <f>IFERROR((ABS(N1198-O1198)/MAX(1,(N1198+O1198)))*EXP(-ABS(E1198-CONTROL!E5)/MAX(1,CONTROL!B8)),"")</f>
        <v/>
      </c>
      <c r="U1198" s="13">
        <f>IFERROR(IF(O1198&gt;N1198,"SUPPORT (PE OI)","RESIST (CE OI)"),"")</f>
        <v/>
      </c>
      <c r="V1198" s="13">
        <f>IFERROR(IF(Q1198&gt;0,IF(R1198&gt;0,"BOTH_ADD","CE_ADD_PE_REDUCE"),IF(R1198&gt;0,"CE_REDUCE_PE_ADD","BOTH_REDUCE")),"")</f>
        <v/>
      </c>
      <c r="W1198" s="13">
        <f>IFERROR( (P1198-1)*0.5 + (M1198)*0.1 - (I1198+J1198)*0.05 + T1198*0.4 ,"")</f>
        <v/>
      </c>
      <c r="X1198" s="13">
        <f>IFERROR(IF(ABS(F1198)&lt;0.01,"ATM/NEAR",""),"")</f>
        <v/>
      </c>
    </row>
    <row r="1199">
      <c r="A1199" s="13">
        <f>CHAIN_RAW!A1199</f>
        <v/>
      </c>
      <c r="B1199" s="14">
        <f>CHAIN_RAW!B1199</f>
        <v/>
      </c>
      <c r="C1199" s="13">
        <f>CHAIN_RAW!C1199</f>
        <v/>
      </c>
      <c r="D1199" s="13">
        <f>CHAIN_RAW!D1199</f>
        <v/>
      </c>
      <c r="E1199" s="13">
        <f>CHAIN_RAW!E1199</f>
        <v/>
      </c>
      <c r="F1199" s="13">
        <f>IFERROR((E1199-D1199)/D1199,"")</f>
        <v/>
      </c>
      <c r="G1199" s="13">
        <f>IFERROR((CHAIN_RAW!K1199+CHAIN_RAW!L1199)/2,"")</f>
        <v/>
      </c>
      <c r="H1199" s="13">
        <f>IFERROR((CHAIN_RAW!R1199+CHAIN_RAW!S1199)/2,"")</f>
        <v/>
      </c>
      <c r="I1199" s="13">
        <f>IFERROR((CHAIN_RAW!L1199-CHAIN_RAW!K1199)/MAX(1E-9, G1199),"")</f>
        <v/>
      </c>
      <c r="J1199" s="13">
        <f>IFERROR((CHAIN_RAW!S1199-CHAIN_RAW!R1199)/MAX(1E-9, H1199),"")</f>
        <v/>
      </c>
      <c r="K1199" s="13">
        <f>CHAIN_RAW!G1199</f>
        <v/>
      </c>
      <c r="L1199" s="13">
        <f>CHAIN_RAW!N1199</f>
        <v/>
      </c>
      <c r="M1199" s="13">
        <f>IFERROR(L1199-K1199,"")</f>
        <v/>
      </c>
      <c r="N1199" s="13">
        <f>CHAIN_RAW!H1199</f>
        <v/>
      </c>
      <c r="O1199" s="13">
        <f>CHAIN_RAW!O1199</f>
        <v/>
      </c>
      <c r="P1199" s="13">
        <f>IFERROR(O1199/N1199,"")</f>
        <v/>
      </c>
      <c r="Q1199" s="13">
        <f>CHAIN_RAW!I1199</f>
        <v/>
      </c>
      <c r="R1199" s="13">
        <f>CHAIN_RAW!P1199</f>
        <v/>
      </c>
      <c r="S1199" s="13">
        <f>IFERROR(R1199/Q1199,"")</f>
        <v/>
      </c>
      <c r="T1199" s="13">
        <f>IFERROR((ABS(N1199-O1199)/MAX(1,(N1199+O1199)))*EXP(-ABS(E1199-CONTROL!E5)/MAX(1,CONTROL!B8)),"")</f>
        <v/>
      </c>
      <c r="U1199" s="13">
        <f>IFERROR(IF(O1199&gt;N1199,"SUPPORT (PE OI)","RESIST (CE OI)"),"")</f>
        <v/>
      </c>
      <c r="V1199" s="13">
        <f>IFERROR(IF(Q1199&gt;0,IF(R1199&gt;0,"BOTH_ADD","CE_ADD_PE_REDUCE"),IF(R1199&gt;0,"CE_REDUCE_PE_ADD","BOTH_REDUCE")),"")</f>
        <v/>
      </c>
      <c r="W1199" s="13">
        <f>IFERROR( (P1199-1)*0.5 + (M1199)*0.1 - (I1199+J1199)*0.05 + T1199*0.4 ,"")</f>
        <v/>
      </c>
      <c r="X1199" s="13">
        <f>IFERROR(IF(ABS(F1199)&lt;0.01,"ATM/NEAR",""),"")</f>
        <v/>
      </c>
    </row>
    <row r="1200">
      <c r="A1200" s="13">
        <f>CHAIN_RAW!A1200</f>
        <v/>
      </c>
      <c r="B1200" s="14">
        <f>CHAIN_RAW!B1200</f>
        <v/>
      </c>
      <c r="C1200" s="13">
        <f>CHAIN_RAW!C1200</f>
        <v/>
      </c>
      <c r="D1200" s="13">
        <f>CHAIN_RAW!D1200</f>
        <v/>
      </c>
      <c r="E1200" s="13">
        <f>CHAIN_RAW!E1200</f>
        <v/>
      </c>
      <c r="F1200" s="13">
        <f>IFERROR((E1200-D1200)/D1200,"")</f>
        <v/>
      </c>
      <c r="G1200" s="13">
        <f>IFERROR((CHAIN_RAW!K1200+CHAIN_RAW!L1200)/2,"")</f>
        <v/>
      </c>
      <c r="H1200" s="13">
        <f>IFERROR((CHAIN_RAW!R1200+CHAIN_RAW!S1200)/2,"")</f>
        <v/>
      </c>
      <c r="I1200" s="13">
        <f>IFERROR((CHAIN_RAW!L1200-CHAIN_RAW!K1200)/MAX(1E-9, G1200),"")</f>
        <v/>
      </c>
      <c r="J1200" s="13">
        <f>IFERROR((CHAIN_RAW!S1200-CHAIN_RAW!R1200)/MAX(1E-9, H1200),"")</f>
        <v/>
      </c>
      <c r="K1200" s="13">
        <f>CHAIN_RAW!G1200</f>
        <v/>
      </c>
      <c r="L1200" s="13">
        <f>CHAIN_RAW!N1200</f>
        <v/>
      </c>
      <c r="M1200" s="13">
        <f>IFERROR(L1200-K1200,"")</f>
        <v/>
      </c>
      <c r="N1200" s="13">
        <f>CHAIN_RAW!H1200</f>
        <v/>
      </c>
      <c r="O1200" s="13">
        <f>CHAIN_RAW!O1200</f>
        <v/>
      </c>
      <c r="P1200" s="13">
        <f>IFERROR(O1200/N1200,"")</f>
        <v/>
      </c>
      <c r="Q1200" s="13">
        <f>CHAIN_RAW!I1200</f>
        <v/>
      </c>
      <c r="R1200" s="13">
        <f>CHAIN_RAW!P1200</f>
        <v/>
      </c>
      <c r="S1200" s="13">
        <f>IFERROR(R1200/Q1200,"")</f>
        <v/>
      </c>
      <c r="T1200" s="13">
        <f>IFERROR((ABS(N1200-O1200)/MAX(1,(N1200+O1200)))*EXP(-ABS(E1200-CONTROL!E5)/MAX(1,CONTROL!B8)),"")</f>
        <v/>
      </c>
      <c r="U1200" s="13">
        <f>IFERROR(IF(O1200&gt;N1200,"SUPPORT (PE OI)","RESIST (CE OI)"),"")</f>
        <v/>
      </c>
      <c r="V1200" s="13">
        <f>IFERROR(IF(Q1200&gt;0,IF(R1200&gt;0,"BOTH_ADD","CE_ADD_PE_REDUCE"),IF(R1200&gt;0,"CE_REDUCE_PE_ADD","BOTH_REDUCE")),"")</f>
        <v/>
      </c>
      <c r="W1200" s="13">
        <f>IFERROR( (P1200-1)*0.5 + (M1200)*0.1 - (I1200+J1200)*0.05 + T1200*0.4 ,"")</f>
        <v/>
      </c>
      <c r="X1200" s="13">
        <f>IFERROR(IF(ABS(F1200)&lt;0.01,"ATM/NEAR",""),"")</f>
        <v/>
      </c>
    </row>
    <row r="1201">
      <c r="A1201" s="13">
        <f>CHAIN_RAW!A1201</f>
        <v/>
      </c>
      <c r="B1201" s="14">
        <f>CHAIN_RAW!B1201</f>
        <v/>
      </c>
      <c r="C1201" s="13">
        <f>CHAIN_RAW!C1201</f>
        <v/>
      </c>
      <c r="D1201" s="13">
        <f>CHAIN_RAW!D1201</f>
        <v/>
      </c>
      <c r="E1201" s="13">
        <f>CHAIN_RAW!E1201</f>
        <v/>
      </c>
      <c r="F1201" s="13">
        <f>IFERROR((E1201-D1201)/D1201,"")</f>
        <v/>
      </c>
      <c r="G1201" s="13">
        <f>IFERROR((CHAIN_RAW!K1201+CHAIN_RAW!L1201)/2,"")</f>
        <v/>
      </c>
      <c r="H1201" s="13">
        <f>IFERROR((CHAIN_RAW!R1201+CHAIN_RAW!S1201)/2,"")</f>
        <v/>
      </c>
      <c r="I1201" s="13">
        <f>IFERROR((CHAIN_RAW!L1201-CHAIN_RAW!K1201)/MAX(1E-9, G1201),"")</f>
        <v/>
      </c>
      <c r="J1201" s="13">
        <f>IFERROR((CHAIN_RAW!S1201-CHAIN_RAW!R1201)/MAX(1E-9, H1201),"")</f>
        <v/>
      </c>
      <c r="K1201" s="13">
        <f>CHAIN_RAW!G1201</f>
        <v/>
      </c>
      <c r="L1201" s="13">
        <f>CHAIN_RAW!N1201</f>
        <v/>
      </c>
      <c r="M1201" s="13">
        <f>IFERROR(L1201-K1201,"")</f>
        <v/>
      </c>
      <c r="N1201" s="13">
        <f>CHAIN_RAW!H1201</f>
        <v/>
      </c>
      <c r="O1201" s="13">
        <f>CHAIN_RAW!O1201</f>
        <v/>
      </c>
      <c r="P1201" s="13">
        <f>IFERROR(O1201/N1201,"")</f>
        <v/>
      </c>
      <c r="Q1201" s="13">
        <f>CHAIN_RAW!I1201</f>
        <v/>
      </c>
      <c r="R1201" s="13">
        <f>CHAIN_RAW!P1201</f>
        <v/>
      </c>
      <c r="S1201" s="13">
        <f>IFERROR(R1201/Q1201,"")</f>
        <v/>
      </c>
      <c r="T1201" s="13">
        <f>IFERROR((ABS(N1201-O1201)/MAX(1,(N1201+O1201)))*EXP(-ABS(E1201-CONTROL!E5)/MAX(1,CONTROL!B8)),"")</f>
        <v/>
      </c>
      <c r="U1201" s="13">
        <f>IFERROR(IF(O1201&gt;N1201,"SUPPORT (PE OI)","RESIST (CE OI)"),"")</f>
        <v/>
      </c>
      <c r="V1201" s="13">
        <f>IFERROR(IF(Q1201&gt;0,IF(R1201&gt;0,"BOTH_ADD","CE_ADD_PE_REDUCE"),IF(R1201&gt;0,"CE_REDUCE_PE_ADD","BOTH_REDUCE")),"")</f>
        <v/>
      </c>
      <c r="W1201" s="13">
        <f>IFERROR( (P1201-1)*0.5 + (M1201)*0.1 - (I1201+J1201)*0.05 + T1201*0.4 ,"")</f>
        <v/>
      </c>
      <c r="X1201" s="13">
        <f>IFERROR(IF(ABS(F1201)&lt;0.01,"ATM/NEAR",""),"")</f>
        <v/>
      </c>
    </row>
    <row r="1202">
      <c r="A1202" s="13">
        <f>CHAIN_RAW!A1202</f>
        <v/>
      </c>
      <c r="B1202" s="14">
        <f>CHAIN_RAW!B1202</f>
        <v/>
      </c>
      <c r="C1202" s="13">
        <f>CHAIN_RAW!C1202</f>
        <v/>
      </c>
      <c r="D1202" s="13">
        <f>CHAIN_RAW!D1202</f>
        <v/>
      </c>
      <c r="E1202" s="13">
        <f>CHAIN_RAW!E1202</f>
        <v/>
      </c>
      <c r="F1202" s="13">
        <f>IFERROR((E1202-D1202)/D1202,"")</f>
        <v/>
      </c>
      <c r="G1202" s="13">
        <f>IFERROR((CHAIN_RAW!K1202+CHAIN_RAW!L1202)/2,"")</f>
        <v/>
      </c>
      <c r="H1202" s="13">
        <f>IFERROR((CHAIN_RAW!R1202+CHAIN_RAW!S1202)/2,"")</f>
        <v/>
      </c>
      <c r="I1202" s="13">
        <f>IFERROR((CHAIN_RAW!L1202-CHAIN_RAW!K1202)/MAX(1E-9, G1202),"")</f>
        <v/>
      </c>
      <c r="J1202" s="13">
        <f>IFERROR((CHAIN_RAW!S1202-CHAIN_RAW!R1202)/MAX(1E-9, H1202),"")</f>
        <v/>
      </c>
      <c r="K1202" s="13">
        <f>CHAIN_RAW!G1202</f>
        <v/>
      </c>
      <c r="L1202" s="13">
        <f>CHAIN_RAW!N1202</f>
        <v/>
      </c>
      <c r="M1202" s="13">
        <f>IFERROR(L1202-K1202,"")</f>
        <v/>
      </c>
      <c r="N1202" s="13">
        <f>CHAIN_RAW!H1202</f>
        <v/>
      </c>
      <c r="O1202" s="13">
        <f>CHAIN_RAW!O1202</f>
        <v/>
      </c>
      <c r="P1202" s="13">
        <f>IFERROR(O1202/N1202,"")</f>
        <v/>
      </c>
      <c r="Q1202" s="13">
        <f>CHAIN_RAW!I1202</f>
        <v/>
      </c>
      <c r="R1202" s="13">
        <f>CHAIN_RAW!P1202</f>
        <v/>
      </c>
      <c r="S1202" s="13">
        <f>IFERROR(R1202/Q1202,"")</f>
        <v/>
      </c>
      <c r="T1202" s="13">
        <f>IFERROR((ABS(N1202-O1202)/MAX(1,(N1202+O1202)))*EXP(-ABS(E1202-CONTROL!E5)/MAX(1,CONTROL!B8)),"")</f>
        <v/>
      </c>
      <c r="U1202" s="13">
        <f>IFERROR(IF(O1202&gt;N1202,"SUPPORT (PE OI)","RESIST (CE OI)"),"")</f>
        <v/>
      </c>
      <c r="V1202" s="13">
        <f>IFERROR(IF(Q1202&gt;0,IF(R1202&gt;0,"BOTH_ADD","CE_ADD_PE_REDUCE"),IF(R1202&gt;0,"CE_REDUCE_PE_ADD","BOTH_REDUCE")),"")</f>
        <v/>
      </c>
      <c r="W1202" s="13">
        <f>IFERROR( (P1202-1)*0.5 + (M1202)*0.1 - (I1202+J1202)*0.05 + T1202*0.4 ,"")</f>
        <v/>
      </c>
      <c r="X1202" s="13">
        <f>IFERROR(IF(ABS(F1202)&lt;0.01,"ATM/NEAR",""),"")</f>
        <v/>
      </c>
    </row>
    <row r="1203">
      <c r="A1203" s="13">
        <f>CHAIN_RAW!A1203</f>
        <v/>
      </c>
      <c r="B1203" s="14">
        <f>CHAIN_RAW!B1203</f>
        <v/>
      </c>
      <c r="C1203" s="13">
        <f>CHAIN_RAW!C1203</f>
        <v/>
      </c>
      <c r="D1203" s="13">
        <f>CHAIN_RAW!D1203</f>
        <v/>
      </c>
      <c r="E1203" s="13">
        <f>CHAIN_RAW!E1203</f>
        <v/>
      </c>
      <c r="F1203" s="13">
        <f>IFERROR((E1203-D1203)/D1203,"")</f>
        <v/>
      </c>
      <c r="G1203" s="13">
        <f>IFERROR((CHAIN_RAW!K1203+CHAIN_RAW!L1203)/2,"")</f>
        <v/>
      </c>
      <c r="H1203" s="13">
        <f>IFERROR((CHAIN_RAW!R1203+CHAIN_RAW!S1203)/2,"")</f>
        <v/>
      </c>
      <c r="I1203" s="13">
        <f>IFERROR((CHAIN_RAW!L1203-CHAIN_RAW!K1203)/MAX(1E-9, G1203),"")</f>
        <v/>
      </c>
      <c r="J1203" s="13">
        <f>IFERROR((CHAIN_RAW!S1203-CHAIN_RAW!R1203)/MAX(1E-9, H1203),"")</f>
        <v/>
      </c>
      <c r="K1203" s="13">
        <f>CHAIN_RAW!G1203</f>
        <v/>
      </c>
      <c r="L1203" s="13">
        <f>CHAIN_RAW!N1203</f>
        <v/>
      </c>
      <c r="M1203" s="13">
        <f>IFERROR(L1203-K1203,"")</f>
        <v/>
      </c>
      <c r="N1203" s="13">
        <f>CHAIN_RAW!H1203</f>
        <v/>
      </c>
      <c r="O1203" s="13">
        <f>CHAIN_RAW!O1203</f>
        <v/>
      </c>
      <c r="P1203" s="13">
        <f>IFERROR(O1203/N1203,"")</f>
        <v/>
      </c>
      <c r="Q1203" s="13">
        <f>CHAIN_RAW!I1203</f>
        <v/>
      </c>
      <c r="R1203" s="13">
        <f>CHAIN_RAW!P1203</f>
        <v/>
      </c>
      <c r="S1203" s="13">
        <f>IFERROR(R1203/Q1203,"")</f>
        <v/>
      </c>
      <c r="T1203" s="13">
        <f>IFERROR((ABS(N1203-O1203)/MAX(1,(N1203+O1203)))*EXP(-ABS(E1203-CONTROL!E5)/MAX(1,CONTROL!B8)),"")</f>
        <v/>
      </c>
      <c r="U1203" s="13">
        <f>IFERROR(IF(O1203&gt;N1203,"SUPPORT (PE OI)","RESIST (CE OI)"),"")</f>
        <v/>
      </c>
      <c r="V1203" s="13">
        <f>IFERROR(IF(Q1203&gt;0,IF(R1203&gt;0,"BOTH_ADD","CE_ADD_PE_REDUCE"),IF(R1203&gt;0,"CE_REDUCE_PE_ADD","BOTH_REDUCE")),"")</f>
        <v/>
      </c>
      <c r="W1203" s="13">
        <f>IFERROR( (P1203-1)*0.5 + (M1203)*0.1 - (I1203+J1203)*0.05 + T1203*0.4 ,"")</f>
        <v/>
      </c>
      <c r="X1203" s="13">
        <f>IFERROR(IF(ABS(F1203)&lt;0.01,"ATM/NEAR",""),"")</f>
        <v/>
      </c>
    </row>
    <row r="1204">
      <c r="A1204" s="13">
        <f>CHAIN_RAW!A1204</f>
        <v/>
      </c>
      <c r="B1204" s="14">
        <f>CHAIN_RAW!B1204</f>
        <v/>
      </c>
      <c r="C1204" s="13">
        <f>CHAIN_RAW!C1204</f>
        <v/>
      </c>
      <c r="D1204" s="13">
        <f>CHAIN_RAW!D1204</f>
        <v/>
      </c>
      <c r="E1204" s="13">
        <f>CHAIN_RAW!E1204</f>
        <v/>
      </c>
      <c r="F1204" s="13">
        <f>IFERROR((E1204-D1204)/D1204,"")</f>
        <v/>
      </c>
      <c r="G1204" s="13">
        <f>IFERROR((CHAIN_RAW!K1204+CHAIN_RAW!L1204)/2,"")</f>
        <v/>
      </c>
      <c r="H1204" s="13">
        <f>IFERROR((CHAIN_RAW!R1204+CHAIN_RAW!S1204)/2,"")</f>
        <v/>
      </c>
      <c r="I1204" s="13">
        <f>IFERROR((CHAIN_RAW!L1204-CHAIN_RAW!K1204)/MAX(1E-9, G1204),"")</f>
        <v/>
      </c>
      <c r="J1204" s="13">
        <f>IFERROR((CHAIN_RAW!S1204-CHAIN_RAW!R1204)/MAX(1E-9, H1204),"")</f>
        <v/>
      </c>
      <c r="K1204" s="13">
        <f>CHAIN_RAW!G1204</f>
        <v/>
      </c>
      <c r="L1204" s="13">
        <f>CHAIN_RAW!N1204</f>
        <v/>
      </c>
      <c r="M1204" s="13">
        <f>IFERROR(L1204-K1204,"")</f>
        <v/>
      </c>
      <c r="N1204" s="13">
        <f>CHAIN_RAW!H1204</f>
        <v/>
      </c>
      <c r="O1204" s="13">
        <f>CHAIN_RAW!O1204</f>
        <v/>
      </c>
      <c r="P1204" s="13">
        <f>IFERROR(O1204/N1204,"")</f>
        <v/>
      </c>
      <c r="Q1204" s="13">
        <f>CHAIN_RAW!I1204</f>
        <v/>
      </c>
      <c r="R1204" s="13">
        <f>CHAIN_RAW!P1204</f>
        <v/>
      </c>
      <c r="S1204" s="13">
        <f>IFERROR(R1204/Q1204,"")</f>
        <v/>
      </c>
      <c r="T1204" s="13">
        <f>IFERROR((ABS(N1204-O1204)/MAX(1,(N1204+O1204)))*EXP(-ABS(E1204-CONTROL!E5)/MAX(1,CONTROL!B8)),"")</f>
        <v/>
      </c>
      <c r="U1204" s="13">
        <f>IFERROR(IF(O1204&gt;N1204,"SUPPORT (PE OI)","RESIST (CE OI)"),"")</f>
        <v/>
      </c>
      <c r="V1204" s="13">
        <f>IFERROR(IF(Q1204&gt;0,IF(R1204&gt;0,"BOTH_ADD","CE_ADD_PE_REDUCE"),IF(R1204&gt;0,"CE_REDUCE_PE_ADD","BOTH_REDUCE")),"")</f>
        <v/>
      </c>
      <c r="W1204" s="13">
        <f>IFERROR( (P1204-1)*0.5 + (M1204)*0.1 - (I1204+J1204)*0.05 + T1204*0.4 ,"")</f>
        <v/>
      </c>
      <c r="X1204" s="13">
        <f>IFERROR(IF(ABS(F1204)&lt;0.01,"ATM/NEAR",""),"")</f>
        <v/>
      </c>
    </row>
    <row r="1205">
      <c r="A1205" s="13">
        <f>CHAIN_RAW!A1205</f>
        <v/>
      </c>
      <c r="B1205" s="14">
        <f>CHAIN_RAW!B1205</f>
        <v/>
      </c>
      <c r="C1205" s="13">
        <f>CHAIN_RAW!C1205</f>
        <v/>
      </c>
      <c r="D1205" s="13">
        <f>CHAIN_RAW!D1205</f>
        <v/>
      </c>
      <c r="E1205" s="13">
        <f>CHAIN_RAW!E1205</f>
        <v/>
      </c>
      <c r="F1205" s="13">
        <f>IFERROR((E1205-D1205)/D1205,"")</f>
        <v/>
      </c>
      <c r="G1205" s="13">
        <f>IFERROR((CHAIN_RAW!K1205+CHAIN_RAW!L1205)/2,"")</f>
        <v/>
      </c>
      <c r="H1205" s="13">
        <f>IFERROR((CHAIN_RAW!R1205+CHAIN_RAW!S1205)/2,"")</f>
        <v/>
      </c>
      <c r="I1205" s="13">
        <f>IFERROR((CHAIN_RAW!L1205-CHAIN_RAW!K1205)/MAX(1E-9, G1205),"")</f>
        <v/>
      </c>
      <c r="J1205" s="13">
        <f>IFERROR((CHAIN_RAW!S1205-CHAIN_RAW!R1205)/MAX(1E-9, H1205),"")</f>
        <v/>
      </c>
      <c r="K1205" s="13">
        <f>CHAIN_RAW!G1205</f>
        <v/>
      </c>
      <c r="L1205" s="13">
        <f>CHAIN_RAW!N1205</f>
        <v/>
      </c>
      <c r="M1205" s="13">
        <f>IFERROR(L1205-K1205,"")</f>
        <v/>
      </c>
      <c r="N1205" s="13">
        <f>CHAIN_RAW!H1205</f>
        <v/>
      </c>
      <c r="O1205" s="13">
        <f>CHAIN_RAW!O1205</f>
        <v/>
      </c>
      <c r="P1205" s="13">
        <f>IFERROR(O1205/N1205,"")</f>
        <v/>
      </c>
      <c r="Q1205" s="13">
        <f>CHAIN_RAW!I1205</f>
        <v/>
      </c>
      <c r="R1205" s="13">
        <f>CHAIN_RAW!P1205</f>
        <v/>
      </c>
      <c r="S1205" s="13">
        <f>IFERROR(R1205/Q1205,"")</f>
        <v/>
      </c>
      <c r="T1205" s="13">
        <f>IFERROR((ABS(N1205-O1205)/MAX(1,(N1205+O1205)))*EXP(-ABS(E1205-CONTROL!E5)/MAX(1,CONTROL!B8)),"")</f>
        <v/>
      </c>
      <c r="U1205" s="13">
        <f>IFERROR(IF(O1205&gt;N1205,"SUPPORT (PE OI)","RESIST (CE OI)"),"")</f>
        <v/>
      </c>
      <c r="V1205" s="13">
        <f>IFERROR(IF(Q1205&gt;0,IF(R1205&gt;0,"BOTH_ADD","CE_ADD_PE_REDUCE"),IF(R1205&gt;0,"CE_REDUCE_PE_ADD","BOTH_REDUCE")),"")</f>
        <v/>
      </c>
      <c r="W1205" s="13">
        <f>IFERROR( (P1205-1)*0.5 + (M1205)*0.1 - (I1205+J1205)*0.05 + T1205*0.4 ,"")</f>
        <v/>
      </c>
      <c r="X1205" s="13">
        <f>IFERROR(IF(ABS(F1205)&lt;0.01,"ATM/NEAR",""),"")</f>
        <v/>
      </c>
    </row>
    <row r="1206">
      <c r="A1206" s="13">
        <f>CHAIN_RAW!A1206</f>
        <v/>
      </c>
      <c r="B1206" s="14">
        <f>CHAIN_RAW!B1206</f>
        <v/>
      </c>
      <c r="C1206" s="13">
        <f>CHAIN_RAW!C1206</f>
        <v/>
      </c>
      <c r="D1206" s="13">
        <f>CHAIN_RAW!D1206</f>
        <v/>
      </c>
      <c r="E1206" s="13">
        <f>CHAIN_RAW!E1206</f>
        <v/>
      </c>
      <c r="F1206" s="13">
        <f>IFERROR((E1206-D1206)/D1206,"")</f>
        <v/>
      </c>
      <c r="G1206" s="13">
        <f>IFERROR((CHAIN_RAW!K1206+CHAIN_RAW!L1206)/2,"")</f>
        <v/>
      </c>
      <c r="H1206" s="13">
        <f>IFERROR((CHAIN_RAW!R1206+CHAIN_RAW!S1206)/2,"")</f>
        <v/>
      </c>
      <c r="I1206" s="13">
        <f>IFERROR((CHAIN_RAW!L1206-CHAIN_RAW!K1206)/MAX(1E-9, G1206),"")</f>
        <v/>
      </c>
      <c r="J1206" s="13">
        <f>IFERROR((CHAIN_RAW!S1206-CHAIN_RAW!R1206)/MAX(1E-9, H1206),"")</f>
        <v/>
      </c>
      <c r="K1206" s="13">
        <f>CHAIN_RAW!G1206</f>
        <v/>
      </c>
      <c r="L1206" s="13">
        <f>CHAIN_RAW!N1206</f>
        <v/>
      </c>
      <c r="M1206" s="13">
        <f>IFERROR(L1206-K1206,"")</f>
        <v/>
      </c>
      <c r="N1206" s="13">
        <f>CHAIN_RAW!H1206</f>
        <v/>
      </c>
      <c r="O1206" s="13">
        <f>CHAIN_RAW!O1206</f>
        <v/>
      </c>
      <c r="P1206" s="13">
        <f>IFERROR(O1206/N1206,"")</f>
        <v/>
      </c>
      <c r="Q1206" s="13">
        <f>CHAIN_RAW!I1206</f>
        <v/>
      </c>
      <c r="R1206" s="13">
        <f>CHAIN_RAW!P1206</f>
        <v/>
      </c>
      <c r="S1206" s="13">
        <f>IFERROR(R1206/Q1206,"")</f>
        <v/>
      </c>
      <c r="T1206" s="13">
        <f>IFERROR((ABS(N1206-O1206)/MAX(1,(N1206+O1206)))*EXP(-ABS(E1206-CONTROL!E5)/MAX(1,CONTROL!B8)),"")</f>
        <v/>
      </c>
      <c r="U1206" s="13">
        <f>IFERROR(IF(O1206&gt;N1206,"SUPPORT (PE OI)","RESIST (CE OI)"),"")</f>
        <v/>
      </c>
      <c r="V1206" s="13">
        <f>IFERROR(IF(Q1206&gt;0,IF(R1206&gt;0,"BOTH_ADD","CE_ADD_PE_REDUCE"),IF(R1206&gt;0,"CE_REDUCE_PE_ADD","BOTH_REDUCE")),"")</f>
        <v/>
      </c>
      <c r="W1206" s="13">
        <f>IFERROR( (P1206-1)*0.5 + (M1206)*0.1 - (I1206+J1206)*0.05 + T1206*0.4 ,"")</f>
        <v/>
      </c>
      <c r="X1206" s="13">
        <f>IFERROR(IF(ABS(F1206)&lt;0.01,"ATM/NEAR",""),"")</f>
        <v/>
      </c>
    </row>
    <row r="1207">
      <c r="A1207" s="13">
        <f>CHAIN_RAW!A1207</f>
        <v/>
      </c>
      <c r="B1207" s="14">
        <f>CHAIN_RAW!B1207</f>
        <v/>
      </c>
      <c r="C1207" s="13">
        <f>CHAIN_RAW!C1207</f>
        <v/>
      </c>
      <c r="D1207" s="13">
        <f>CHAIN_RAW!D1207</f>
        <v/>
      </c>
      <c r="E1207" s="13">
        <f>CHAIN_RAW!E1207</f>
        <v/>
      </c>
      <c r="F1207" s="13">
        <f>IFERROR((E1207-D1207)/D1207,"")</f>
        <v/>
      </c>
      <c r="G1207" s="13">
        <f>IFERROR((CHAIN_RAW!K1207+CHAIN_RAW!L1207)/2,"")</f>
        <v/>
      </c>
      <c r="H1207" s="13">
        <f>IFERROR((CHAIN_RAW!R1207+CHAIN_RAW!S1207)/2,"")</f>
        <v/>
      </c>
      <c r="I1207" s="13">
        <f>IFERROR((CHAIN_RAW!L1207-CHAIN_RAW!K1207)/MAX(1E-9, G1207),"")</f>
        <v/>
      </c>
      <c r="J1207" s="13">
        <f>IFERROR((CHAIN_RAW!S1207-CHAIN_RAW!R1207)/MAX(1E-9, H1207),"")</f>
        <v/>
      </c>
      <c r="K1207" s="13">
        <f>CHAIN_RAW!G1207</f>
        <v/>
      </c>
      <c r="L1207" s="13">
        <f>CHAIN_RAW!N1207</f>
        <v/>
      </c>
      <c r="M1207" s="13">
        <f>IFERROR(L1207-K1207,"")</f>
        <v/>
      </c>
      <c r="N1207" s="13">
        <f>CHAIN_RAW!H1207</f>
        <v/>
      </c>
      <c r="O1207" s="13">
        <f>CHAIN_RAW!O1207</f>
        <v/>
      </c>
      <c r="P1207" s="13">
        <f>IFERROR(O1207/N1207,"")</f>
        <v/>
      </c>
      <c r="Q1207" s="13">
        <f>CHAIN_RAW!I1207</f>
        <v/>
      </c>
      <c r="R1207" s="13">
        <f>CHAIN_RAW!P1207</f>
        <v/>
      </c>
      <c r="S1207" s="13">
        <f>IFERROR(R1207/Q1207,"")</f>
        <v/>
      </c>
      <c r="T1207" s="13">
        <f>IFERROR((ABS(N1207-O1207)/MAX(1,(N1207+O1207)))*EXP(-ABS(E1207-CONTROL!E5)/MAX(1,CONTROL!B8)),"")</f>
        <v/>
      </c>
      <c r="U1207" s="13">
        <f>IFERROR(IF(O1207&gt;N1207,"SUPPORT (PE OI)","RESIST (CE OI)"),"")</f>
        <v/>
      </c>
      <c r="V1207" s="13">
        <f>IFERROR(IF(Q1207&gt;0,IF(R1207&gt;0,"BOTH_ADD","CE_ADD_PE_REDUCE"),IF(R1207&gt;0,"CE_REDUCE_PE_ADD","BOTH_REDUCE")),"")</f>
        <v/>
      </c>
      <c r="W1207" s="13">
        <f>IFERROR( (P1207-1)*0.5 + (M1207)*0.1 - (I1207+J1207)*0.05 + T1207*0.4 ,"")</f>
        <v/>
      </c>
      <c r="X1207" s="13">
        <f>IFERROR(IF(ABS(F1207)&lt;0.01,"ATM/NEAR",""),"")</f>
        <v/>
      </c>
    </row>
    <row r="1208">
      <c r="A1208" s="13">
        <f>CHAIN_RAW!A1208</f>
        <v/>
      </c>
      <c r="B1208" s="14">
        <f>CHAIN_RAW!B1208</f>
        <v/>
      </c>
      <c r="C1208" s="13">
        <f>CHAIN_RAW!C1208</f>
        <v/>
      </c>
      <c r="D1208" s="13">
        <f>CHAIN_RAW!D1208</f>
        <v/>
      </c>
      <c r="E1208" s="13">
        <f>CHAIN_RAW!E1208</f>
        <v/>
      </c>
      <c r="F1208" s="13">
        <f>IFERROR((E1208-D1208)/D1208,"")</f>
        <v/>
      </c>
      <c r="G1208" s="13">
        <f>IFERROR((CHAIN_RAW!K1208+CHAIN_RAW!L1208)/2,"")</f>
        <v/>
      </c>
      <c r="H1208" s="13">
        <f>IFERROR((CHAIN_RAW!R1208+CHAIN_RAW!S1208)/2,"")</f>
        <v/>
      </c>
      <c r="I1208" s="13">
        <f>IFERROR((CHAIN_RAW!L1208-CHAIN_RAW!K1208)/MAX(1E-9, G1208),"")</f>
        <v/>
      </c>
      <c r="J1208" s="13">
        <f>IFERROR((CHAIN_RAW!S1208-CHAIN_RAW!R1208)/MAX(1E-9, H1208),"")</f>
        <v/>
      </c>
      <c r="K1208" s="13">
        <f>CHAIN_RAW!G1208</f>
        <v/>
      </c>
      <c r="L1208" s="13">
        <f>CHAIN_RAW!N1208</f>
        <v/>
      </c>
      <c r="M1208" s="13">
        <f>IFERROR(L1208-K1208,"")</f>
        <v/>
      </c>
      <c r="N1208" s="13">
        <f>CHAIN_RAW!H1208</f>
        <v/>
      </c>
      <c r="O1208" s="13">
        <f>CHAIN_RAW!O1208</f>
        <v/>
      </c>
      <c r="P1208" s="13">
        <f>IFERROR(O1208/N1208,"")</f>
        <v/>
      </c>
      <c r="Q1208" s="13">
        <f>CHAIN_RAW!I1208</f>
        <v/>
      </c>
      <c r="R1208" s="13">
        <f>CHAIN_RAW!P1208</f>
        <v/>
      </c>
      <c r="S1208" s="13">
        <f>IFERROR(R1208/Q1208,"")</f>
        <v/>
      </c>
      <c r="T1208" s="13">
        <f>IFERROR((ABS(N1208-O1208)/MAX(1,(N1208+O1208)))*EXP(-ABS(E1208-CONTROL!E5)/MAX(1,CONTROL!B8)),"")</f>
        <v/>
      </c>
      <c r="U1208" s="13">
        <f>IFERROR(IF(O1208&gt;N1208,"SUPPORT (PE OI)","RESIST (CE OI)"),"")</f>
        <v/>
      </c>
      <c r="V1208" s="13">
        <f>IFERROR(IF(Q1208&gt;0,IF(R1208&gt;0,"BOTH_ADD","CE_ADD_PE_REDUCE"),IF(R1208&gt;0,"CE_REDUCE_PE_ADD","BOTH_REDUCE")),"")</f>
        <v/>
      </c>
      <c r="W1208" s="13">
        <f>IFERROR( (P1208-1)*0.5 + (M1208)*0.1 - (I1208+J1208)*0.05 + T1208*0.4 ,"")</f>
        <v/>
      </c>
      <c r="X1208" s="13">
        <f>IFERROR(IF(ABS(F1208)&lt;0.01,"ATM/NEAR",""),"")</f>
        <v/>
      </c>
    </row>
    <row r="1209">
      <c r="A1209" s="13">
        <f>CHAIN_RAW!A1209</f>
        <v/>
      </c>
      <c r="B1209" s="14">
        <f>CHAIN_RAW!B1209</f>
        <v/>
      </c>
      <c r="C1209" s="13">
        <f>CHAIN_RAW!C1209</f>
        <v/>
      </c>
      <c r="D1209" s="13">
        <f>CHAIN_RAW!D1209</f>
        <v/>
      </c>
      <c r="E1209" s="13">
        <f>CHAIN_RAW!E1209</f>
        <v/>
      </c>
      <c r="F1209" s="13">
        <f>IFERROR((E1209-D1209)/D1209,"")</f>
        <v/>
      </c>
      <c r="G1209" s="13">
        <f>IFERROR((CHAIN_RAW!K1209+CHAIN_RAW!L1209)/2,"")</f>
        <v/>
      </c>
      <c r="H1209" s="13">
        <f>IFERROR((CHAIN_RAW!R1209+CHAIN_RAW!S1209)/2,"")</f>
        <v/>
      </c>
      <c r="I1209" s="13">
        <f>IFERROR((CHAIN_RAW!L1209-CHAIN_RAW!K1209)/MAX(1E-9, G1209),"")</f>
        <v/>
      </c>
      <c r="J1209" s="13">
        <f>IFERROR((CHAIN_RAW!S1209-CHAIN_RAW!R1209)/MAX(1E-9, H1209),"")</f>
        <v/>
      </c>
      <c r="K1209" s="13">
        <f>CHAIN_RAW!G1209</f>
        <v/>
      </c>
      <c r="L1209" s="13">
        <f>CHAIN_RAW!N1209</f>
        <v/>
      </c>
      <c r="M1209" s="13">
        <f>IFERROR(L1209-K1209,"")</f>
        <v/>
      </c>
      <c r="N1209" s="13">
        <f>CHAIN_RAW!H1209</f>
        <v/>
      </c>
      <c r="O1209" s="13">
        <f>CHAIN_RAW!O1209</f>
        <v/>
      </c>
      <c r="P1209" s="13">
        <f>IFERROR(O1209/N1209,"")</f>
        <v/>
      </c>
      <c r="Q1209" s="13">
        <f>CHAIN_RAW!I1209</f>
        <v/>
      </c>
      <c r="R1209" s="13">
        <f>CHAIN_RAW!P1209</f>
        <v/>
      </c>
      <c r="S1209" s="13">
        <f>IFERROR(R1209/Q1209,"")</f>
        <v/>
      </c>
      <c r="T1209" s="13">
        <f>IFERROR((ABS(N1209-O1209)/MAX(1,(N1209+O1209)))*EXP(-ABS(E1209-CONTROL!E5)/MAX(1,CONTROL!B8)),"")</f>
        <v/>
      </c>
      <c r="U1209" s="13">
        <f>IFERROR(IF(O1209&gt;N1209,"SUPPORT (PE OI)","RESIST (CE OI)"),"")</f>
        <v/>
      </c>
      <c r="V1209" s="13">
        <f>IFERROR(IF(Q1209&gt;0,IF(R1209&gt;0,"BOTH_ADD","CE_ADD_PE_REDUCE"),IF(R1209&gt;0,"CE_REDUCE_PE_ADD","BOTH_REDUCE")),"")</f>
        <v/>
      </c>
      <c r="W1209" s="13">
        <f>IFERROR( (P1209-1)*0.5 + (M1209)*0.1 - (I1209+J1209)*0.05 + T1209*0.4 ,"")</f>
        <v/>
      </c>
      <c r="X1209" s="13">
        <f>IFERROR(IF(ABS(F1209)&lt;0.01,"ATM/NEAR",""),"")</f>
        <v/>
      </c>
    </row>
    <row r="1210">
      <c r="A1210" s="13">
        <f>CHAIN_RAW!A1210</f>
        <v/>
      </c>
      <c r="B1210" s="14">
        <f>CHAIN_RAW!B1210</f>
        <v/>
      </c>
      <c r="C1210" s="13">
        <f>CHAIN_RAW!C1210</f>
        <v/>
      </c>
      <c r="D1210" s="13">
        <f>CHAIN_RAW!D1210</f>
        <v/>
      </c>
      <c r="E1210" s="13">
        <f>CHAIN_RAW!E1210</f>
        <v/>
      </c>
      <c r="F1210" s="13">
        <f>IFERROR((E1210-D1210)/D1210,"")</f>
        <v/>
      </c>
      <c r="G1210" s="13">
        <f>IFERROR((CHAIN_RAW!K1210+CHAIN_RAW!L1210)/2,"")</f>
        <v/>
      </c>
      <c r="H1210" s="13">
        <f>IFERROR((CHAIN_RAW!R1210+CHAIN_RAW!S1210)/2,"")</f>
        <v/>
      </c>
      <c r="I1210" s="13">
        <f>IFERROR((CHAIN_RAW!L1210-CHAIN_RAW!K1210)/MAX(1E-9, G1210),"")</f>
        <v/>
      </c>
      <c r="J1210" s="13">
        <f>IFERROR((CHAIN_RAW!S1210-CHAIN_RAW!R1210)/MAX(1E-9, H1210),"")</f>
        <v/>
      </c>
      <c r="K1210" s="13">
        <f>CHAIN_RAW!G1210</f>
        <v/>
      </c>
      <c r="L1210" s="13">
        <f>CHAIN_RAW!N1210</f>
        <v/>
      </c>
      <c r="M1210" s="13">
        <f>IFERROR(L1210-K1210,"")</f>
        <v/>
      </c>
      <c r="N1210" s="13">
        <f>CHAIN_RAW!H1210</f>
        <v/>
      </c>
      <c r="O1210" s="13">
        <f>CHAIN_RAW!O1210</f>
        <v/>
      </c>
      <c r="P1210" s="13">
        <f>IFERROR(O1210/N1210,"")</f>
        <v/>
      </c>
      <c r="Q1210" s="13">
        <f>CHAIN_RAW!I1210</f>
        <v/>
      </c>
      <c r="R1210" s="13">
        <f>CHAIN_RAW!P1210</f>
        <v/>
      </c>
      <c r="S1210" s="13">
        <f>IFERROR(R1210/Q1210,"")</f>
        <v/>
      </c>
      <c r="T1210" s="13">
        <f>IFERROR((ABS(N1210-O1210)/MAX(1,(N1210+O1210)))*EXP(-ABS(E1210-CONTROL!E5)/MAX(1,CONTROL!B8)),"")</f>
        <v/>
      </c>
      <c r="U1210" s="13">
        <f>IFERROR(IF(O1210&gt;N1210,"SUPPORT (PE OI)","RESIST (CE OI)"),"")</f>
        <v/>
      </c>
      <c r="V1210" s="13">
        <f>IFERROR(IF(Q1210&gt;0,IF(R1210&gt;0,"BOTH_ADD","CE_ADD_PE_REDUCE"),IF(R1210&gt;0,"CE_REDUCE_PE_ADD","BOTH_REDUCE")),"")</f>
        <v/>
      </c>
      <c r="W1210" s="13">
        <f>IFERROR( (P1210-1)*0.5 + (M1210)*0.1 - (I1210+J1210)*0.05 + T1210*0.4 ,"")</f>
        <v/>
      </c>
      <c r="X1210" s="13">
        <f>IFERROR(IF(ABS(F1210)&lt;0.01,"ATM/NEAR",""),"")</f>
        <v/>
      </c>
    </row>
    <row r="1211">
      <c r="A1211" s="13">
        <f>CHAIN_RAW!A1211</f>
        <v/>
      </c>
      <c r="B1211" s="14">
        <f>CHAIN_RAW!B1211</f>
        <v/>
      </c>
      <c r="C1211" s="13">
        <f>CHAIN_RAW!C1211</f>
        <v/>
      </c>
      <c r="D1211" s="13">
        <f>CHAIN_RAW!D1211</f>
        <v/>
      </c>
      <c r="E1211" s="13">
        <f>CHAIN_RAW!E1211</f>
        <v/>
      </c>
      <c r="F1211" s="13">
        <f>IFERROR((E1211-D1211)/D1211,"")</f>
        <v/>
      </c>
      <c r="G1211" s="13">
        <f>IFERROR((CHAIN_RAW!K1211+CHAIN_RAW!L1211)/2,"")</f>
        <v/>
      </c>
      <c r="H1211" s="13">
        <f>IFERROR((CHAIN_RAW!R1211+CHAIN_RAW!S1211)/2,"")</f>
        <v/>
      </c>
      <c r="I1211" s="13">
        <f>IFERROR((CHAIN_RAW!L1211-CHAIN_RAW!K1211)/MAX(1E-9, G1211),"")</f>
        <v/>
      </c>
      <c r="J1211" s="13">
        <f>IFERROR((CHAIN_RAW!S1211-CHAIN_RAW!R1211)/MAX(1E-9, H1211),"")</f>
        <v/>
      </c>
      <c r="K1211" s="13">
        <f>CHAIN_RAW!G1211</f>
        <v/>
      </c>
      <c r="L1211" s="13">
        <f>CHAIN_RAW!N1211</f>
        <v/>
      </c>
      <c r="M1211" s="13">
        <f>IFERROR(L1211-K1211,"")</f>
        <v/>
      </c>
      <c r="N1211" s="13">
        <f>CHAIN_RAW!H1211</f>
        <v/>
      </c>
      <c r="O1211" s="13">
        <f>CHAIN_RAW!O1211</f>
        <v/>
      </c>
      <c r="P1211" s="13">
        <f>IFERROR(O1211/N1211,"")</f>
        <v/>
      </c>
      <c r="Q1211" s="13">
        <f>CHAIN_RAW!I1211</f>
        <v/>
      </c>
      <c r="R1211" s="13">
        <f>CHAIN_RAW!P1211</f>
        <v/>
      </c>
      <c r="S1211" s="13">
        <f>IFERROR(R1211/Q1211,"")</f>
        <v/>
      </c>
      <c r="T1211" s="13">
        <f>IFERROR((ABS(N1211-O1211)/MAX(1,(N1211+O1211)))*EXP(-ABS(E1211-CONTROL!E5)/MAX(1,CONTROL!B8)),"")</f>
        <v/>
      </c>
      <c r="U1211" s="13">
        <f>IFERROR(IF(O1211&gt;N1211,"SUPPORT (PE OI)","RESIST (CE OI)"),"")</f>
        <v/>
      </c>
      <c r="V1211" s="13">
        <f>IFERROR(IF(Q1211&gt;0,IF(R1211&gt;0,"BOTH_ADD","CE_ADD_PE_REDUCE"),IF(R1211&gt;0,"CE_REDUCE_PE_ADD","BOTH_REDUCE")),"")</f>
        <v/>
      </c>
      <c r="W1211" s="13">
        <f>IFERROR( (P1211-1)*0.5 + (M1211)*0.1 - (I1211+J1211)*0.05 + T1211*0.4 ,"")</f>
        <v/>
      </c>
      <c r="X1211" s="13">
        <f>IFERROR(IF(ABS(F1211)&lt;0.01,"ATM/NEAR",""),"")</f>
        <v/>
      </c>
    </row>
    <row r="1212">
      <c r="A1212" s="13">
        <f>CHAIN_RAW!A1212</f>
        <v/>
      </c>
      <c r="B1212" s="14">
        <f>CHAIN_RAW!B1212</f>
        <v/>
      </c>
      <c r="C1212" s="13">
        <f>CHAIN_RAW!C1212</f>
        <v/>
      </c>
      <c r="D1212" s="13">
        <f>CHAIN_RAW!D1212</f>
        <v/>
      </c>
      <c r="E1212" s="13">
        <f>CHAIN_RAW!E1212</f>
        <v/>
      </c>
      <c r="F1212" s="13">
        <f>IFERROR((E1212-D1212)/D1212,"")</f>
        <v/>
      </c>
      <c r="G1212" s="13">
        <f>IFERROR((CHAIN_RAW!K1212+CHAIN_RAW!L1212)/2,"")</f>
        <v/>
      </c>
      <c r="H1212" s="13">
        <f>IFERROR((CHAIN_RAW!R1212+CHAIN_RAW!S1212)/2,"")</f>
        <v/>
      </c>
      <c r="I1212" s="13">
        <f>IFERROR((CHAIN_RAW!L1212-CHAIN_RAW!K1212)/MAX(1E-9, G1212),"")</f>
        <v/>
      </c>
      <c r="J1212" s="13">
        <f>IFERROR((CHAIN_RAW!S1212-CHAIN_RAW!R1212)/MAX(1E-9, H1212),"")</f>
        <v/>
      </c>
      <c r="K1212" s="13">
        <f>CHAIN_RAW!G1212</f>
        <v/>
      </c>
      <c r="L1212" s="13">
        <f>CHAIN_RAW!N1212</f>
        <v/>
      </c>
      <c r="M1212" s="13">
        <f>IFERROR(L1212-K1212,"")</f>
        <v/>
      </c>
      <c r="N1212" s="13">
        <f>CHAIN_RAW!H1212</f>
        <v/>
      </c>
      <c r="O1212" s="13">
        <f>CHAIN_RAW!O1212</f>
        <v/>
      </c>
      <c r="P1212" s="13">
        <f>IFERROR(O1212/N1212,"")</f>
        <v/>
      </c>
      <c r="Q1212" s="13">
        <f>CHAIN_RAW!I1212</f>
        <v/>
      </c>
      <c r="R1212" s="13">
        <f>CHAIN_RAW!P1212</f>
        <v/>
      </c>
      <c r="S1212" s="13">
        <f>IFERROR(R1212/Q1212,"")</f>
        <v/>
      </c>
      <c r="T1212" s="13">
        <f>IFERROR((ABS(N1212-O1212)/MAX(1,(N1212+O1212)))*EXP(-ABS(E1212-CONTROL!E5)/MAX(1,CONTROL!B8)),"")</f>
        <v/>
      </c>
      <c r="U1212" s="13">
        <f>IFERROR(IF(O1212&gt;N1212,"SUPPORT (PE OI)","RESIST (CE OI)"),"")</f>
        <v/>
      </c>
      <c r="V1212" s="13">
        <f>IFERROR(IF(Q1212&gt;0,IF(R1212&gt;0,"BOTH_ADD","CE_ADD_PE_REDUCE"),IF(R1212&gt;0,"CE_REDUCE_PE_ADD","BOTH_REDUCE")),"")</f>
        <v/>
      </c>
      <c r="W1212" s="13">
        <f>IFERROR( (P1212-1)*0.5 + (M1212)*0.1 - (I1212+J1212)*0.05 + T1212*0.4 ,"")</f>
        <v/>
      </c>
      <c r="X1212" s="13">
        <f>IFERROR(IF(ABS(F1212)&lt;0.01,"ATM/NEAR",""),"")</f>
        <v/>
      </c>
    </row>
    <row r="1213">
      <c r="A1213" s="13">
        <f>CHAIN_RAW!A1213</f>
        <v/>
      </c>
      <c r="B1213" s="14">
        <f>CHAIN_RAW!B1213</f>
        <v/>
      </c>
      <c r="C1213" s="13">
        <f>CHAIN_RAW!C1213</f>
        <v/>
      </c>
      <c r="D1213" s="13">
        <f>CHAIN_RAW!D1213</f>
        <v/>
      </c>
      <c r="E1213" s="13">
        <f>CHAIN_RAW!E1213</f>
        <v/>
      </c>
      <c r="F1213" s="13">
        <f>IFERROR((E1213-D1213)/D1213,"")</f>
        <v/>
      </c>
      <c r="G1213" s="13">
        <f>IFERROR((CHAIN_RAW!K1213+CHAIN_RAW!L1213)/2,"")</f>
        <v/>
      </c>
      <c r="H1213" s="13">
        <f>IFERROR((CHAIN_RAW!R1213+CHAIN_RAW!S1213)/2,"")</f>
        <v/>
      </c>
      <c r="I1213" s="13">
        <f>IFERROR((CHAIN_RAW!L1213-CHAIN_RAW!K1213)/MAX(1E-9, G1213),"")</f>
        <v/>
      </c>
      <c r="J1213" s="13">
        <f>IFERROR((CHAIN_RAW!S1213-CHAIN_RAW!R1213)/MAX(1E-9, H1213),"")</f>
        <v/>
      </c>
      <c r="K1213" s="13">
        <f>CHAIN_RAW!G1213</f>
        <v/>
      </c>
      <c r="L1213" s="13">
        <f>CHAIN_RAW!N1213</f>
        <v/>
      </c>
      <c r="M1213" s="13">
        <f>IFERROR(L1213-K1213,"")</f>
        <v/>
      </c>
      <c r="N1213" s="13">
        <f>CHAIN_RAW!H1213</f>
        <v/>
      </c>
      <c r="O1213" s="13">
        <f>CHAIN_RAW!O1213</f>
        <v/>
      </c>
      <c r="P1213" s="13">
        <f>IFERROR(O1213/N1213,"")</f>
        <v/>
      </c>
      <c r="Q1213" s="13">
        <f>CHAIN_RAW!I1213</f>
        <v/>
      </c>
      <c r="R1213" s="13">
        <f>CHAIN_RAW!P1213</f>
        <v/>
      </c>
      <c r="S1213" s="13">
        <f>IFERROR(R1213/Q1213,"")</f>
        <v/>
      </c>
      <c r="T1213" s="13">
        <f>IFERROR((ABS(N1213-O1213)/MAX(1,(N1213+O1213)))*EXP(-ABS(E1213-CONTROL!E5)/MAX(1,CONTROL!B8)),"")</f>
        <v/>
      </c>
      <c r="U1213" s="13">
        <f>IFERROR(IF(O1213&gt;N1213,"SUPPORT (PE OI)","RESIST (CE OI)"),"")</f>
        <v/>
      </c>
      <c r="V1213" s="13">
        <f>IFERROR(IF(Q1213&gt;0,IF(R1213&gt;0,"BOTH_ADD","CE_ADD_PE_REDUCE"),IF(R1213&gt;0,"CE_REDUCE_PE_ADD","BOTH_REDUCE")),"")</f>
        <v/>
      </c>
      <c r="W1213" s="13">
        <f>IFERROR( (P1213-1)*0.5 + (M1213)*0.1 - (I1213+J1213)*0.05 + T1213*0.4 ,"")</f>
        <v/>
      </c>
      <c r="X1213" s="13">
        <f>IFERROR(IF(ABS(F1213)&lt;0.01,"ATM/NEAR",""),"")</f>
        <v/>
      </c>
    </row>
    <row r="1214">
      <c r="A1214" s="13">
        <f>CHAIN_RAW!A1214</f>
        <v/>
      </c>
      <c r="B1214" s="14">
        <f>CHAIN_RAW!B1214</f>
        <v/>
      </c>
      <c r="C1214" s="13">
        <f>CHAIN_RAW!C1214</f>
        <v/>
      </c>
      <c r="D1214" s="13">
        <f>CHAIN_RAW!D1214</f>
        <v/>
      </c>
      <c r="E1214" s="13">
        <f>CHAIN_RAW!E1214</f>
        <v/>
      </c>
      <c r="F1214" s="13">
        <f>IFERROR((E1214-D1214)/D1214,"")</f>
        <v/>
      </c>
      <c r="G1214" s="13">
        <f>IFERROR((CHAIN_RAW!K1214+CHAIN_RAW!L1214)/2,"")</f>
        <v/>
      </c>
      <c r="H1214" s="13">
        <f>IFERROR((CHAIN_RAW!R1214+CHAIN_RAW!S1214)/2,"")</f>
        <v/>
      </c>
      <c r="I1214" s="13">
        <f>IFERROR((CHAIN_RAW!L1214-CHAIN_RAW!K1214)/MAX(1E-9, G1214),"")</f>
        <v/>
      </c>
      <c r="J1214" s="13">
        <f>IFERROR((CHAIN_RAW!S1214-CHAIN_RAW!R1214)/MAX(1E-9, H1214),"")</f>
        <v/>
      </c>
      <c r="K1214" s="13">
        <f>CHAIN_RAW!G1214</f>
        <v/>
      </c>
      <c r="L1214" s="13">
        <f>CHAIN_RAW!N1214</f>
        <v/>
      </c>
      <c r="M1214" s="13">
        <f>IFERROR(L1214-K1214,"")</f>
        <v/>
      </c>
      <c r="N1214" s="13">
        <f>CHAIN_RAW!H1214</f>
        <v/>
      </c>
      <c r="O1214" s="13">
        <f>CHAIN_RAW!O1214</f>
        <v/>
      </c>
      <c r="P1214" s="13">
        <f>IFERROR(O1214/N1214,"")</f>
        <v/>
      </c>
      <c r="Q1214" s="13">
        <f>CHAIN_RAW!I1214</f>
        <v/>
      </c>
      <c r="R1214" s="13">
        <f>CHAIN_RAW!P1214</f>
        <v/>
      </c>
      <c r="S1214" s="13">
        <f>IFERROR(R1214/Q1214,"")</f>
        <v/>
      </c>
      <c r="T1214" s="13">
        <f>IFERROR((ABS(N1214-O1214)/MAX(1,(N1214+O1214)))*EXP(-ABS(E1214-CONTROL!E5)/MAX(1,CONTROL!B8)),"")</f>
        <v/>
      </c>
      <c r="U1214" s="13">
        <f>IFERROR(IF(O1214&gt;N1214,"SUPPORT (PE OI)","RESIST (CE OI)"),"")</f>
        <v/>
      </c>
      <c r="V1214" s="13">
        <f>IFERROR(IF(Q1214&gt;0,IF(R1214&gt;0,"BOTH_ADD","CE_ADD_PE_REDUCE"),IF(R1214&gt;0,"CE_REDUCE_PE_ADD","BOTH_REDUCE")),"")</f>
        <v/>
      </c>
      <c r="W1214" s="13">
        <f>IFERROR( (P1214-1)*0.5 + (M1214)*0.1 - (I1214+J1214)*0.05 + T1214*0.4 ,"")</f>
        <v/>
      </c>
      <c r="X1214" s="13">
        <f>IFERROR(IF(ABS(F1214)&lt;0.01,"ATM/NEAR",""),"")</f>
        <v/>
      </c>
    </row>
    <row r="1215">
      <c r="A1215" s="13">
        <f>CHAIN_RAW!A1215</f>
        <v/>
      </c>
      <c r="B1215" s="14">
        <f>CHAIN_RAW!B1215</f>
        <v/>
      </c>
      <c r="C1215" s="13">
        <f>CHAIN_RAW!C1215</f>
        <v/>
      </c>
      <c r="D1215" s="13">
        <f>CHAIN_RAW!D1215</f>
        <v/>
      </c>
      <c r="E1215" s="13">
        <f>CHAIN_RAW!E1215</f>
        <v/>
      </c>
      <c r="F1215" s="13">
        <f>IFERROR((E1215-D1215)/D1215,"")</f>
        <v/>
      </c>
      <c r="G1215" s="13">
        <f>IFERROR((CHAIN_RAW!K1215+CHAIN_RAW!L1215)/2,"")</f>
        <v/>
      </c>
      <c r="H1215" s="13">
        <f>IFERROR((CHAIN_RAW!R1215+CHAIN_RAW!S1215)/2,"")</f>
        <v/>
      </c>
      <c r="I1215" s="13">
        <f>IFERROR((CHAIN_RAW!L1215-CHAIN_RAW!K1215)/MAX(1E-9, G1215),"")</f>
        <v/>
      </c>
      <c r="J1215" s="13">
        <f>IFERROR((CHAIN_RAW!S1215-CHAIN_RAW!R1215)/MAX(1E-9, H1215),"")</f>
        <v/>
      </c>
      <c r="K1215" s="13">
        <f>CHAIN_RAW!G1215</f>
        <v/>
      </c>
      <c r="L1215" s="13">
        <f>CHAIN_RAW!N1215</f>
        <v/>
      </c>
      <c r="M1215" s="13">
        <f>IFERROR(L1215-K1215,"")</f>
        <v/>
      </c>
      <c r="N1215" s="13">
        <f>CHAIN_RAW!H1215</f>
        <v/>
      </c>
      <c r="O1215" s="13">
        <f>CHAIN_RAW!O1215</f>
        <v/>
      </c>
      <c r="P1215" s="13">
        <f>IFERROR(O1215/N1215,"")</f>
        <v/>
      </c>
      <c r="Q1215" s="13">
        <f>CHAIN_RAW!I1215</f>
        <v/>
      </c>
      <c r="R1215" s="13">
        <f>CHAIN_RAW!P1215</f>
        <v/>
      </c>
      <c r="S1215" s="13">
        <f>IFERROR(R1215/Q1215,"")</f>
        <v/>
      </c>
      <c r="T1215" s="13">
        <f>IFERROR((ABS(N1215-O1215)/MAX(1,(N1215+O1215)))*EXP(-ABS(E1215-CONTROL!E5)/MAX(1,CONTROL!B8)),"")</f>
        <v/>
      </c>
      <c r="U1215" s="13">
        <f>IFERROR(IF(O1215&gt;N1215,"SUPPORT (PE OI)","RESIST (CE OI)"),"")</f>
        <v/>
      </c>
      <c r="V1215" s="13">
        <f>IFERROR(IF(Q1215&gt;0,IF(R1215&gt;0,"BOTH_ADD","CE_ADD_PE_REDUCE"),IF(R1215&gt;0,"CE_REDUCE_PE_ADD","BOTH_REDUCE")),"")</f>
        <v/>
      </c>
      <c r="W1215" s="13">
        <f>IFERROR( (P1215-1)*0.5 + (M1215)*0.1 - (I1215+J1215)*0.05 + T1215*0.4 ,"")</f>
        <v/>
      </c>
      <c r="X1215" s="13">
        <f>IFERROR(IF(ABS(F1215)&lt;0.01,"ATM/NEAR",""),"")</f>
        <v/>
      </c>
    </row>
    <row r="1216">
      <c r="A1216" s="13">
        <f>CHAIN_RAW!A1216</f>
        <v/>
      </c>
      <c r="B1216" s="14">
        <f>CHAIN_RAW!B1216</f>
        <v/>
      </c>
      <c r="C1216" s="13">
        <f>CHAIN_RAW!C1216</f>
        <v/>
      </c>
      <c r="D1216" s="13">
        <f>CHAIN_RAW!D1216</f>
        <v/>
      </c>
      <c r="E1216" s="13">
        <f>CHAIN_RAW!E1216</f>
        <v/>
      </c>
      <c r="F1216" s="13">
        <f>IFERROR((E1216-D1216)/D1216,"")</f>
        <v/>
      </c>
      <c r="G1216" s="13">
        <f>IFERROR((CHAIN_RAW!K1216+CHAIN_RAW!L1216)/2,"")</f>
        <v/>
      </c>
      <c r="H1216" s="13">
        <f>IFERROR((CHAIN_RAW!R1216+CHAIN_RAW!S1216)/2,"")</f>
        <v/>
      </c>
      <c r="I1216" s="13">
        <f>IFERROR((CHAIN_RAW!L1216-CHAIN_RAW!K1216)/MAX(1E-9, G1216),"")</f>
        <v/>
      </c>
      <c r="J1216" s="13">
        <f>IFERROR((CHAIN_RAW!S1216-CHAIN_RAW!R1216)/MAX(1E-9, H1216),"")</f>
        <v/>
      </c>
      <c r="K1216" s="13">
        <f>CHAIN_RAW!G1216</f>
        <v/>
      </c>
      <c r="L1216" s="13">
        <f>CHAIN_RAW!N1216</f>
        <v/>
      </c>
      <c r="M1216" s="13">
        <f>IFERROR(L1216-K1216,"")</f>
        <v/>
      </c>
      <c r="N1216" s="13">
        <f>CHAIN_RAW!H1216</f>
        <v/>
      </c>
      <c r="O1216" s="13">
        <f>CHAIN_RAW!O1216</f>
        <v/>
      </c>
      <c r="P1216" s="13">
        <f>IFERROR(O1216/N1216,"")</f>
        <v/>
      </c>
      <c r="Q1216" s="13">
        <f>CHAIN_RAW!I1216</f>
        <v/>
      </c>
      <c r="R1216" s="13">
        <f>CHAIN_RAW!P1216</f>
        <v/>
      </c>
      <c r="S1216" s="13">
        <f>IFERROR(R1216/Q1216,"")</f>
        <v/>
      </c>
      <c r="T1216" s="13">
        <f>IFERROR((ABS(N1216-O1216)/MAX(1,(N1216+O1216)))*EXP(-ABS(E1216-CONTROL!E5)/MAX(1,CONTROL!B8)),"")</f>
        <v/>
      </c>
      <c r="U1216" s="13">
        <f>IFERROR(IF(O1216&gt;N1216,"SUPPORT (PE OI)","RESIST (CE OI)"),"")</f>
        <v/>
      </c>
      <c r="V1216" s="13">
        <f>IFERROR(IF(Q1216&gt;0,IF(R1216&gt;0,"BOTH_ADD","CE_ADD_PE_REDUCE"),IF(R1216&gt;0,"CE_REDUCE_PE_ADD","BOTH_REDUCE")),"")</f>
        <v/>
      </c>
      <c r="W1216" s="13">
        <f>IFERROR( (P1216-1)*0.5 + (M1216)*0.1 - (I1216+J1216)*0.05 + T1216*0.4 ,"")</f>
        <v/>
      </c>
      <c r="X1216" s="13">
        <f>IFERROR(IF(ABS(F1216)&lt;0.01,"ATM/NEAR",""),"")</f>
        <v/>
      </c>
    </row>
    <row r="1217">
      <c r="A1217" s="13">
        <f>CHAIN_RAW!A1217</f>
        <v/>
      </c>
      <c r="B1217" s="14">
        <f>CHAIN_RAW!B1217</f>
        <v/>
      </c>
      <c r="C1217" s="13">
        <f>CHAIN_RAW!C1217</f>
        <v/>
      </c>
      <c r="D1217" s="13">
        <f>CHAIN_RAW!D1217</f>
        <v/>
      </c>
      <c r="E1217" s="13">
        <f>CHAIN_RAW!E1217</f>
        <v/>
      </c>
      <c r="F1217" s="13">
        <f>IFERROR((E1217-D1217)/D1217,"")</f>
        <v/>
      </c>
      <c r="G1217" s="13">
        <f>IFERROR((CHAIN_RAW!K1217+CHAIN_RAW!L1217)/2,"")</f>
        <v/>
      </c>
      <c r="H1217" s="13">
        <f>IFERROR((CHAIN_RAW!R1217+CHAIN_RAW!S1217)/2,"")</f>
        <v/>
      </c>
      <c r="I1217" s="13">
        <f>IFERROR((CHAIN_RAW!L1217-CHAIN_RAW!K1217)/MAX(1E-9, G1217),"")</f>
        <v/>
      </c>
      <c r="J1217" s="13">
        <f>IFERROR((CHAIN_RAW!S1217-CHAIN_RAW!R1217)/MAX(1E-9, H1217),"")</f>
        <v/>
      </c>
      <c r="K1217" s="13">
        <f>CHAIN_RAW!G1217</f>
        <v/>
      </c>
      <c r="L1217" s="13">
        <f>CHAIN_RAW!N1217</f>
        <v/>
      </c>
      <c r="M1217" s="13">
        <f>IFERROR(L1217-K1217,"")</f>
        <v/>
      </c>
      <c r="N1217" s="13">
        <f>CHAIN_RAW!H1217</f>
        <v/>
      </c>
      <c r="O1217" s="13">
        <f>CHAIN_RAW!O1217</f>
        <v/>
      </c>
      <c r="P1217" s="13">
        <f>IFERROR(O1217/N1217,"")</f>
        <v/>
      </c>
      <c r="Q1217" s="13">
        <f>CHAIN_RAW!I1217</f>
        <v/>
      </c>
      <c r="R1217" s="13">
        <f>CHAIN_RAW!P1217</f>
        <v/>
      </c>
      <c r="S1217" s="13">
        <f>IFERROR(R1217/Q1217,"")</f>
        <v/>
      </c>
      <c r="T1217" s="13">
        <f>IFERROR((ABS(N1217-O1217)/MAX(1,(N1217+O1217)))*EXP(-ABS(E1217-CONTROL!E5)/MAX(1,CONTROL!B8)),"")</f>
        <v/>
      </c>
      <c r="U1217" s="13">
        <f>IFERROR(IF(O1217&gt;N1217,"SUPPORT (PE OI)","RESIST (CE OI)"),"")</f>
        <v/>
      </c>
      <c r="V1217" s="13">
        <f>IFERROR(IF(Q1217&gt;0,IF(R1217&gt;0,"BOTH_ADD","CE_ADD_PE_REDUCE"),IF(R1217&gt;0,"CE_REDUCE_PE_ADD","BOTH_REDUCE")),"")</f>
        <v/>
      </c>
      <c r="W1217" s="13">
        <f>IFERROR( (P1217-1)*0.5 + (M1217)*0.1 - (I1217+J1217)*0.05 + T1217*0.4 ,"")</f>
        <v/>
      </c>
      <c r="X1217" s="13">
        <f>IFERROR(IF(ABS(F1217)&lt;0.01,"ATM/NEAR",""),"")</f>
        <v/>
      </c>
    </row>
    <row r="1218">
      <c r="A1218" s="13">
        <f>CHAIN_RAW!A1218</f>
        <v/>
      </c>
      <c r="B1218" s="14">
        <f>CHAIN_RAW!B1218</f>
        <v/>
      </c>
      <c r="C1218" s="13">
        <f>CHAIN_RAW!C1218</f>
        <v/>
      </c>
      <c r="D1218" s="13">
        <f>CHAIN_RAW!D1218</f>
        <v/>
      </c>
      <c r="E1218" s="13">
        <f>CHAIN_RAW!E1218</f>
        <v/>
      </c>
      <c r="F1218" s="13">
        <f>IFERROR((E1218-D1218)/D1218,"")</f>
        <v/>
      </c>
      <c r="G1218" s="13">
        <f>IFERROR((CHAIN_RAW!K1218+CHAIN_RAW!L1218)/2,"")</f>
        <v/>
      </c>
      <c r="H1218" s="13">
        <f>IFERROR((CHAIN_RAW!R1218+CHAIN_RAW!S1218)/2,"")</f>
        <v/>
      </c>
      <c r="I1218" s="13">
        <f>IFERROR((CHAIN_RAW!L1218-CHAIN_RAW!K1218)/MAX(1E-9, G1218),"")</f>
        <v/>
      </c>
      <c r="J1218" s="13">
        <f>IFERROR((CHAIN_RAW!S1218-CHAIN_RAW!R1218)/MAX(1E-9, H1218),"")</f>
        <v/>
      </c>
      <c r="K1218" s="13">
        <f>CHAIN_RAW!G1218</f>
        <v/>
      </c>
      <c r="L1218" s="13">
        <f>CHAIN_RAW!N1218</f>
        <v/>
      </c>
      <c r="M1218" s="13">
        <f>IFERROR(L1218-K1218,"")</f>
        <v/>
      </c>
      <c r="N1218" s="13">
        <f>CHAIN_RAW!H1218</f>
        <v/>
      </c>
      <c r="O1218" s="13">
        <f>CHAIN_RAW!O1218</f>
        <v/>
      </c>
      <c r="P1218" s="13">
        <f>IFERROR(O1218/N1218,"")</f>
        <v/>
      </c>
      <c r="Q1218" s="13">
        <f>CHAIN_RAW!I1218</f>
        <v/>
      </c>
      <c r="R1218" s="13">
        <f>CHAIN_RAW!P1218</f>
        <v/>
      </c>
      <c r="S1218" s="13">
        <f>IFERROR(R1218/Q1218,"")</f>
        <v/>
      </c>
      <c r="T1218" s="13">
        <f>IFERROR((ABS(N1218-O1218)/MAX(1,(N1218+O1218)))*EXP(-ABS(E1218-CONTROL!E5)/MAX(1,CONTROL!B8)),"")</f>
        <v/>
      </c>
      <c r="U1218" s="13">
        <f>IFERROR(IF(O1218&gt;N1218,"SUPPORT (PE OI)","RESIST (CE OI)"),"")</f>
        <v/>
      </c>
      <c r="V1218" s="13">
        <f>IFERROR(IF(Q1218&gt;0,IF(R1218&gt;0,"BOTH_ADD","CE_ADD_PE_REDUCE"),IF(R1218&gt;0,"CE_REDUCE_PE_ADD","BOTH_REDUCE")),"")</f>
        <v/>
      </c>
      <c r="W1218" s="13">
        <f>IFERROR( (P1218-1)*0.5 + (M1218)*0.1 - (I1218+J1218)*0.05 + T1218*0.4 ,"")</f>
        <v/>
      </c>
      <c r="X1218" s="13">
        <f>IFERROR(IF(ABS(F1218)&lt;0.01,"ATM/NEAR",""),"")</f>
        <v/>
      </c>
    </row>
    <row r="1219">
      <c r="A1219" s="13">
        <f>CHAIN_RAW!A1219</f>
        <v/>
      </c>
      <c r="B1219" s="14">
        <f>CHAIN_RAW!B1219</f>
        <v/>
      </c>
      <c r="C1219" s="13">
        <f>CHAIN_RAW!C1219</f>
        <v/>
      </c>
      <c r="D1219" s="13">
        <f>CHAIN_RAW!D1219</f>
        <v/>
      </c>
      <c r="E1219" s="13">
        <f>CHAIN_RAW!E1219</f>
        <v/>
      </c>
      <c r="F1219" s="13">
        <f>IFERROR((E1219-D1219)/D1219,"")</f>
        <v/>
      </c>
      <c r="G1219" s="13">
        <f>IFERROR((CHAIN_RAW!K1219+CHAIN_RAW!L1219)/2,"")</f>
        <v/>
      </c>
      <c r="H1219" s="13">
        <f>IFERROR((CHAIN_RAW!R1219+CHAIN_RAW!S1219)/2,"")</f>
        <v/>
      </c>
      <c r="I1219" s="13">
        <f>IFERROR((CHAIN_RAW!L1219-CHAIN_RAW!K1219)/MAX(1E-9, G1219),"")</f>
        <v/>
      </c>
      <c r="J1219" s="13">
        <f>IFERROR((CHAIN_RAW!S1219-CHAIN_RAW!R1219)/MAX(1E-9, H1219),"")</f>
        <v/>
      </c>
      <c r="K1219" s="13">
        <f>CHAIN_RAW!G1219</f>
        <v/>
      </c>
      <c r="L1219" s="13">
        <f>CHAIN_RAW!N1219</f>
        <v/>
      </c>
      <c r="M1219" s="13">
        <f>IFERROR(L1219-K1219,"")</f>
        <v/>
      </c>
      <c r="N1219" s="13">
        <f>CHAIN_RAW!H1219</f>
        <v/>
      </c>
      <c r="O1219" s="13">
        <f>CHAIN_RAW!O1219</f>
        <v/>
      </c>
      <c r="P1219" s="13">
        <f>IFERROR(O1219/N1219,"")</f>
        <v/>
      </c>
      <c r="Q1219" s="13">
        <f>CHAIN_RAW!I1219</f>
        <v/>
      </c>
      <c r="R1219" s="13">
        <f>CHAIN_RAW!P1219</f>
        <v/>
      </c>
      <c r="S1219" s="13">
        <f>IFERROR(R1219/Q1219,"")</f>
        <v/>
      </c>
      <c r="T1219" s="13">
        <f>IFERROR((ABS(N1219-O1219)/MAX(1,(N1219+O1219)))*EXP(-ABS(E1219-CONTROL!E5)/MAX(1,CONTROL!B8)),"")</f>
        <v/>
      </c>
      <c r="U1219" s="13">
        <f>IFERROR(IF(O1219&gt;N1219,"SUPPORT (PE OI)","RESIST (CE OI)"),"")</f>
        <v/>
      </c>
      <c r="V1219" s="13">
        <f>IFERROR(IF(Q1219&gt;0,IF(R1219&gt;0,"BOTH_ADD","CE_ADD_PE_REDUCE"),IF(R1219&gt;0,"CE_REDUCE_PE_ADD","BOTH_REDUCE")),"")</f>
        <v/>
      </c>
      <c r="W1219" s="13">
        <f>IFERROR( (P1219-1)*0.5 + (M1219)*0.1 - (I1219+J1219)*0.05 + T1219*0.4 ,"")</f>
        <v/>
      </c>
      <c r="X1219" s="13">
        <f>IFERROR(IF(ABS(F1219)&lt;0.01,"ATM/NEAR",""),"")</f>
        <v/>
      </c>
    </row>
    <row r="1220">
      <c r="A1220" s="13">
        <f>CHAIN_RAW!A1220</f>
        <v/>
      </c>
      <c r="B1220" s="14">
        <f>CHAIN_RAW!B1220</f>
        <v/>
      </c>
      <c r="C1220" s="13">
        <f>CHAIN_RAW!C1220</f>
        <v/>
      </c>
      <c r="D1220" s="13">
        <f>CHAIN_RAW!D1220</f>
        <v/>
      </c>
      <c r="E1220" s="13">
        <f>CHAIN_RAW!E1220</f>
        <v/>
      </c>
      <c r="F1220" s="13">
        <f>IFERROR((E1220-D1220)/D1220,"")</f>
        <v/>
      </c>
      <c r="G1220" s="13">
        <f>IFERROR((CHAIN_RAW!K1220+CHAIN_RAW!L1220)/2,"")</f>
        <v/>
      </c>
      <c r="H1220" s="13">
        <f>IFERROR((CHAIN_RAW!R1220+CHAIN_RAW!S1220)/2,"")</f>
        <v/>
      </c>
      <c r="I1220" s="13">
        <f>IFERROR((CHAIN_RAW!L1220-CHAIN_RAW!K1220)/MAX(1E-9, G1220),"")</f>
        <v/>
      </c>
      <c r="J1220" s="13">
        <f>IFERROR((CHAIN_RAW!S1220-CHAIN_RAW!R1220)/MAX(1E-9, H1220),"")</f>
        <v/>
      </c>
      <c r="K1220" s="13">
        <f>CHAIN_RAW!G1220</f>
        <v/>
      </c>
      <c r="L1220" s="13">
        <f>CHAIN_RAW!N1220</f>
        <v/>
      </c>
      <c r="M1220" s="13">
        <f>IFERROR(L1220-K1220,"")</f>
        <v/>
      </c>
      <c r="N1220" s="13">
        <f>CHAIN_RAW!H1220</f>
        <v/>
      </c>
      <c r="O1220" s="13">
        <f>CHAIN_RAW!O1220</f>
        <v/>
      </c>
      <c r="P1220" s="13">
        <f>IFERROR(O1220/N1220,"")</f>
        <v/>
      </c>
      <c r="Q1220" s="13">
        <f>CHAIN_RAW!I1220</f>
        <v/>
      </c>
      <c r="R1220" s="13">
        <f>CHAIN_RAW!P1220</f>
        <v/>
      </c>
      <c r="S1220" s="13">
        <f>IFERROR(R1220/Q1220,"")</f>
        <v/>
      </c>
      <c r="T1220" s="13">
        <f>IFERROR((ABS(N1220-O1220)/MAX(1,(N1220+O1220)))*EXP(-ABS(E1220-CONTROL!E5)/MAX(1,CONTROL!B8)),"")</f>
        <v/>
      </c>
      <c r="U1220" s="13">
        <f>IFERROR(IF(O1220&gt;N1220,"SUPPORT (PE OI)","RESIST (CE OI)"),"")</f>
        <v/>
      </c>
      <c r="V1220" s="13">
        <f>IFERROR(IF(Q1220&gt;0,IF(R1220&gt;0,"BOTH_ADD","CE_ADD_PE_REDUCE"),IF(R1220&gt;0,"CE_REDUCE_PE_ADD","BOTH_REDUCE")),"")</f>
        <v/>
      </c>
      <c r="W1220" s="13">
        <f>IFERROR( (P1220-1)*0.5 + (M1220)*0.1 - (I1220+J1220)*0.05 + T1220*0.4 ,"")</f>
        <v/>
      </c>
      <c r="X1220" s="13">
        <f>IFERROR(IF(ABS(F1220)&lt;0.01,"ATM/NEAR",""),"")</f>
        <v/>
      </c>
    </row>
    <row r="1221">
      <c r="A1221" s="13">
        <f>CHAIN_RAW!A1221</f>
        <v/>
      </c>
      <c r="B1221" s="14">
        <f>CHAIN_RAW!B1221</f>
        <v/>
      </c>
      <c r="C1221" s="13">
        <f>CHAIN_RAW!C1221</f>
        <v/>
      </c>
      <c r="D1221" s="13">
        <f>CHAIN_RAW!D1221</f>
        <v/>
      </c>
      <c r="E1221" s="13">
        <f>CHAIN_RAW!E1221</f>
        <v/>
      </c>
      <c r="F1221" s="13">
        <f>IFERROR((E1221-D1221)/D1221,"")</f>
        <v/>
      </c>
      <c r="G1221" s="13">
        <f>IFERROR((CHAIN_RAW!K1221+CHAIN_RAW!L1221)/2,"")</f>
        <v/>
      </c>
      <c r="H1221" s="13">
        <f>IFERROR((CHAIN_RAW!R1221+CHAIN_RAW!S1221)/2,"")</f>
        <v/>
      </c>
      <c r="I1221" s="13">
        <f>IFERROR((CHAIN_RAW!L1221-CHAIN_RAW!K1221)/MAX(1E-9, G1221),"")</f>
        <v/>
      </c>
      <c r="J1221" s="13">
        <f>IFERROR((CHAIN_RAW!S1221-CHAIN_RAW!R1221)/MAX(1E-9, H1221),"")</f>
        <v/>
      </c>
      <c r="K1221" s="13">
        <f>CHAIN_RAW!G1221</f>
        <v/>
      </c>
      <c r="L1221" s="13">
        <f>CHAIN_RAW!N1221</f>
        <v/>
      </c>
      <c r="M1221" s="13">
        <f>IFERROR(L1221-K1221,"")</f>
        <v/>
      </c>
      <c r="N1221" s="13">
        <f>CHAIN_RAW!H1221</f>
        <v/>
      </c>
      <c r="O1221" s="13">
        <f>CHAIN_RAW!O1221</f>
        <v/>
      </c>
      <c r="P1221" s="13">
        <f>IFERROR(O1221/N1221,"")</f>
        <v/>
      </c>
      <c r="Q1221" s="13">
        <f>CHAIN_RAW!I1221</f>
        <v/>
      </c>
      <c r="R1221" s="13">
        <f>CHAIN_RAW!P1221</f>
        <v/>
      </c>
      <c r="S1221" s="13">
        <f>IFERROR(R1221/Q1221,"")</f>
        <v/>
      </c>
      <c r="T1221" s="13">
        <f>IFERROR((ABS(N1221-O1221)/MAX(1,(N1221+O1221)))*EXP(-ABS(E1221-CONTROL!E5)/MAX(1,CONTROL!B8)),"")</f>
        <v/>
      </c>
      <c r="U1221" s="13">
        <f>IFERROR(IF(O1221&gt;N1221,"SUPPORT (PE OI)","RESIST (CE OI)"),"")</f>
        <v/>
      </c>
      <c r="V1221" s="13">
        <f>IFERROR(IF(Q1221&gt;0,IF(R1221&gt;0,"BOTH_ADD","CE_ADD_PE_REDUCE"),IF(R1221&gt;0,"CE_REDUCE_PE_ADD","BOTH_REDUCE")),"")</f>
        <v/>
      </c>
      <c r="W1221" s="13">
        <f>IFERROR( (P1221-1)*0.5 + (M1221)*0.1 - (I1221+J1221)*0.05 + T1221*0.4 ,"")</f>
        <v/>
      </c>
      <c r="X1221" s="13">
        <f>IFERROR(IF(ABS(F1221)&lt;0.01,"ATM/NEAR",""),"")</f>
        <v/>
      </c>
    </row>
    <row r="1222">
      <c r="A1222" s="13">
        <f>CHAIN_RAW!A1222</f>
        <v/>
      </c>
      <c r="B1222" s="14">
        <f>CHAIN_RAW!B1222</f>
        <v/>
      </c>
      <c r="C1222" s="13">
        <f>CHAIN_RAW!C1222</f>
        <v/>
      </c>
      <c r="D1222" s="13">
        <f>CHAIN_RAW!D1222</f>
        <v/>
      </c>
      <c r="E1222" s="13">
        <f>CHAIN_RAW!E1222</f>
        <v/>
      </c>
      <c r="F1222" s="13">
        <f>IFERROR((E1222-D1222)/D1222,"")</f>
        <v/>
      </c>
      <c r="G1222" s="13">
        <f>IFERROR((CHAIN_RAW!K1222+CHAIN_RAW!L1222)/2,"")</f>
        <v/>
      </c>
      <c r="H1222" s="13">
        <f>IFERROR((CHAIN_RAW!R1222+CHAIN_RAW!S1222)/2,"")</f>
        <v/>
      </c>
      <c r="I1222" s="13">
        <f>IFERROR((CHAIN_RAW!L1222-CHAIN_RAW!K1222)/MAX(1E-9, G1222),"")</f>
        <v/>
      </c>
      <c r="J1222" s="13">
        <f>IFERROR((CHAIN_RAW!S1222-CHAIN_RAW!R1222)/MAX(1E-9, H1222),"")</f>
        <v/>
      </c>
      <c r="K1222" s="13">
        <f>CHAIN_RAW!G1222</f>
        <v/>
      </c>
      <c r="L1222" s="13">
        <f>CHAIN_RAW!N1222</f>
        <v/>
      </c>
      <c r="M1222" s="13">
        <f>IFERROR(L1222-K1222,"")</f>
        <v/>
      </c>
      <c r="N1222" s="13">
        <f>CHAIN_RAW!H1222</f>
        <v/>
      </c>
      <c r="O1222" s="13">
        <f>CHAIN_RAW!O1222</f>
        <v/>
      </c>
      <c r="P1222" s="13">
        <f>IFERROR(O1222/N1222,"")</f>
        <v/>
      </c>
      <c r="Q1222" s="13">
        <f>CHAIN_RAW!I1222</f>
        <v/>
      </c>
      <c r="R1222" s="13">
        <f>CHAIN_RAW!P1222</f>
        <v/>
      </c>
      <c r="S1222" s="13">
        <f>IFERROR(R1222/Q1222,"")</f>
        <v/>
      </c>
      <c r="T1222" s="13">
        <f>IFERROR((ABS(N1222-O1222)/MAX(1,(N1222+O1222)))*EXP(-ABS(E1222-CONTROL!E5)/MAX(1,CONTROL!B8)),"")</f>
        <v/>
      </c>
      <c r="U1222" s="13">
        <f>IFERROR(IF(O1222&gt;N1222,"SUPPORT (PE OI)","RESIST (CE OI)"),"")</f>
        <v/>
      </c>
      <c r="V1222" s="13">
        <f>IFERROR(IF(Q1222&gt;0,IF(R1222&gt;0,"BOTH_ADD","CE_ADD_PE_REDUCE"),IF(R1222&gt;0,"CE_REDUCE_PE_ADD","BOTH_REDUCE")),"")</f>
        <v/>
      </c>
      <c r="W1222" s="13">
        <f>IFERROR( (P1222-1)*0.5 + (M1222)*0.1 - (I1222+J1222)*0.05 + T1222*0.4 ,"")</f>
        <v/>
      </c>
      <c r="X1222" s="13">
        <f>IFERROR(IF(ABS(F1222)&lt;0.01,"ATM/NEAR",""),"")</f>
        <v/>
      </c>
    </row>
    <row r="1223">
      <c r="A1223" s="13">
        <f>CHAIN_RAW!A1223</f>
        <v/>
      </c>
      <c r="B1223" s="14">
        <f>CHAIN_RAW!B1223</f>
        <v/>
      </c>
      <c r="C1223" s="13">
        <f>CHAIN_RAW!C1223</f>
        <v/>
      </c>
      <c r="D1223" s="13">
        <f>CHAIN_RAW!D1223</f>
        <v/>
      </c>
      <c r="E1223" s="13">
        <f>CHAIN_RAW!E1223</f>
        <v/>
      </c>
      <c r="F1223" s="13">
        <f>IFERROR((E1223-D1223)/D1223,"")</f>
        <v/>
      </c>
      <c r="G1223" s="13">
        <f>IFERROR((CHAIN_RAW!K1223+CHAIN_RAW!L1223)/2,"")</f>
        <v/>
      </c>
      <c r="H1223" s="13">
        <f>IFERROR((CHAIN_RAW!R1223+CHAIN_RAW!S1223)/2,"")</f>
        <v/>
      </c>
      <c r="I1223" s="13">
        <f>IFERROR((CHAIN_RAW!L1223-CHAIN_RAW!K1223)/MAX(1E-9, G1223),"")</f>
        <v/>
      </c>
      <c r="J1223" s="13">
        <f>IFERROR((CHAIN_RAW!S1223-CHAIN_RAW!R1223)/MAX(1E-9, H1223),"")</f>
        <v/>
      </c>
      <c r="K1223" s="13">
        <f>CHAIN_RAW!G1223</f>
        <v/>
      </c>
      <c r="L1223" s="13">
        <f>CHAIN_RAW!N1223</f>
        <v/>
      </c>
      <c r="M1223" s="13">
        <f>IFERROR(L1223-K1223,"")</f>
        <v/>
      </c>
      <c r="N1223" s="13">
        <f>CHAIN_RAW!H1223</f>
        <v/>
      </c>
      <c r="O1223" s="13">
        <f>CHAIN_RAW!O1223</f>
        <v/>
      </c>
      <c r="P1223" s="13">
        <f>IFERROR(O1223/N1223,"")</f>
        <v/>
      </c>
      <c r="Q1223" s="13">
        <f>CHAIN_RAW!I1223</f>
        <v/>
      </c>
      <c r="R1223" s="13">
        <f>CHAIN_RAW!P1223</f>
        <v/>
      </c>
      <c r="S1223" s="13">
        <f>IFERROR(R1223/Q1223,"")</f>
        <v/>
      </c>
      <c r="T1223" s="13">
        <f>IFERROR((ABS(N1223-O1223)/MAX(1,(N1223+O1223)))*EXP(-ABS(E1223-CONTROL!E5)/MAX(1,CONTROL!B8)),"")</f>
        <v/>
      </c>
      <c r="U1223" s="13">
        <f>IFERROR(IF(O1223&gt;N1223,"SUPPORT (PE OI)","RESIST (CE OI)"),"")</f>
        <v/>
      </c>
      <c r="V1223" s="13">
        <f>IFERROR(IF(Q1223&gt;0,IF(R1223&gt;0,"BOTH_ADD","CE_ADD_PE_REDUCE"),IF(R1223&gt;0,"CE_REDUCE_PE_ADD","BOTH_REDUCE")),"")</f>
        <v/>
      </c>
      <c r="W1223" s="13">
        <f>IFERROR( (P1223-1)*0.5 + (M1223)*0.1 - (I1223+J1223)*0.05 + T1223*0.4 ,"")</f>
        <v/>
      </c>
      <c r="X1223" s="13">
        <f>IFERROR(IF(ABS(F1223)&lt;0.01,"ATM/NEAR",""),"")</f>
        <v/>
      </c>
    </row>
    <row r="1224">
      <c r="A1224" s="13">
        <f>CHAIN_RAW!A1224</f>
        <v/>
      </c>
      <c r="B1224" s="14">
        <f>CHAIN_RAW!B1224</f>
        <v/>
      </c>
      <c r="C1224" s="13">
        <f>CHAIN_RAW!C1224</f>
        <v/>
      </c>
      <c r="D1224" s="13">
        <f>CHAIN_RAW!D1224</f>
        <v/>
      </c>
      <c r="E1224" s="13">
        <f>CHAIN_RAW!E1224</f>
        <v/>
      </c>
      <c r="F1224" s="13">
        <f>IFERROR((E1224-D1224)/D1224,"")</f>
        <v/>
      </c>
      <c r="G1224" s="13">
        <f>IFERROR((CHAIN_RAW!K1224+CHAIN_RAW!L1224)/2,"")</f>
        <v/>
      </c>
      <c r="H1224" s="13">
        <f>IFERROR((CHAIN_RAW!R1224+CHAIN_RAW!S1224)/2,"")</f>
        <v/>
      </c>
      <c r="I1224" s="13">
        <f>IFERROR((CHAIN_RAW!L1224-CHAIN_RAW!K1224)/MAX(1E-9, G1224),"")</f>
        <v/>
      </c>
      <c r="J1224" s="13">
        <f>IFERROR((CHAIN_RAW!S1224-CHAIN_RAW!R1224)/MAX(1E-9, H1224),"")</f>
        <v/>
      </c>
      <c r="K1224" s="13">
        <f>CHAIN_RAW!G1224</f>
        <v/>
      </c>
      <c r="L1224" s="13">
        <f>CHAIN_RAW!N1224</f>
        <v/>
      </c>
      <c r="M1224" s="13">
        <f>IFERROR(L1224-K1224,"")</f>
        <v/>
      </c>
      <c r="N1224" s="13">
        <f>CHAIN_RAW!H1224</f>
        <v/>
      </c>
      <c r="O1224" s="13">
        <f>CHAIN_RAW!O1224</f>
        <v/>
      </c>
      <c r="P1224" s="13">
        <f>IFERROR(O1224/N1224,"")</f>
        <v/>
      </c>
      <c r="Q1224" s="13">
        <f>CHAIN_RAW!I1224</f>
        <v/>
      </c>
      <c r="R1224" s="13">
        <f>CHAIN_RAW!P1224</f>
        <v/>
      </c>
      <c r="S1224" s="13">
        <f>IFERROR(R1224/Q1224,"")</f>
        <v/>
      </c>
      <c r="T1224" s="13">
        <f>IFERROR((ABS(N1224-O1224)/MAX(1,(N1224+O1224)))*EXP(-ABS(E1224-CONTROL!E5)/MAX(1,CONTROL!B8)),"")</f>
        <v/>
      </c>
      <c r="U1224" s="13">
        <f>IFERROR(IF(O1224&gt;N1224,"SUPPORT (PE OI)","RESIST (CE OI)"),"")</f>
        <v/>
      </c>
      <c r="V1224" s="13">
        <f>IFERROR(IF(Q1224&gt;0,IF(R1224&gt;0,"BOTH_ADD","CE_ADD_PE_REDUCE"),IF(R1224&gt;0,"CE_REDUCE_PE_ADD","BOTH_REDUCE")),"")</f>
        <v/>
      </c>
      <c r="W1224" s="13">
        <f>IFERROR( (P1224-1)*0.5 + (M1224)*0.1 - (I1224+J1224)*0.05 + T1224*0.4 ,"")</f>
        <v/>
      </c>
      <c r="X1224" s="13">
        <f>IFERROR(IF(ABS(F1224)&lt;0.01,"ATM/NEAR",""),"")</f>
        <v/>
      </c>
    </row>
    <row r="1225">
      <c r="A1225" s="13">
        <f>CHAIN_RAW!A1225</f>
        <v/>
      </c>
      <c r="B1225" s="14">
        <f>CHAIN_RAW!B1225</f>
        <v/>
      </c>
      <c r="C1225" s="13">
        <f>CHAIN_RAW!C1225</f>
        <v/>
      </c>
      <c r="D1225" s="13">
        <f>CHAIN_RAW!D1225</f>
        <v/>
      </c>
      <c r="E1225" s="13">
        <f>CHAIN_RAW!E1225</f>
        <v/>
      </c>
      <c r="F1225" s="13">
        <f>IFERROR((E1225-D1225)/D1225,"")</f>
        <v/>
      </c>
      <c r="G1225" s="13">
        <f>IFERROR((CHAIN_RAW!K1225+CHAIN_RAW!L1225)/2,"")</f>
        <v/>
      </c>
      <c r="H1225" s="13">
        <f>IFERROR((CHAIN_RAW!R1225+CHAIN_RAW!S1225)/2,"")</f>
        <v/>
      </c>
      <c r="I1225" s="13">
        <f>IFERROR((CHAIN_RAW!L1225-CHAIN_RAW!K1225)/MAX(1E-9, G1225),"")</f>
        <v/>
      </c>
      <c r="J1225" s="13">
        <f>IFERROR((CHAIN_RAW!S1225-CHAIN_RAW!R1225)/MAX(1E-9, H1225),"")</f>
        <v/>
      </c>
      <c r="K1225" s="13">
        <f>CHAIN_RAW!G1225</f>
        <v/>
      </c>
      <c r="L1225" s="13">
        <f>CHAIN_RAW!N1225</f>
        <v/>
      </c>
      <c r="M1225" s="13">
        <f>IFERROR(L1225-K1225,"")</f>
        <v/>
      </c>
      <c r="N1225" s="13">
        <f>CHAIN_RAW!H1225</f>
        <v/>
      </c>
      <c r="O1225" s="13">
        <f>CHAIN_RAW!O1225</f>
        <v/>
      </c>
      <c r="P1225" s="13">
        <f>IFERROR(O1225/N1225,"")</f>
        <v/>
      </c>
      <c r="Q1225" s="13">
        <f>CHAIN_RAW!I1225</f>
        <v/>
      </c>
      <c r="R1225" s="13">
        <f>CHAIN_RAW!P1225</f>
        <v/>
      </c>
      <c r="S1225" s="13">
        <f>IFERROR(R1225/Q1225,"")</f>
        <v/>
      </c>
      <c r="T1225" s="13">
        <f>IFERROR((ABS(N1225-O1225)/MAX(1,(N1225+O1225)))*EXP(-ABS(E1225-CONTROL!E5)/MAX(1,CONTROL!B8)),"")</f>
        <v/>
      </c>
      <c r="U1225" s="13">
        <f>IFERROR(IF(O1225&gt;N1225,"SUPPORT (PE OI)","RESIST (CE OI)"),"")</f>
        <v/>
      </c>
      <c r="V1225" s="13">
        <f>IFERROR(IF(Q1225&gt;0,IF(R1225&gt;0,"BOTH_ADD","CE_ADD_PE_REDUCE"),IF(R1225&gt;0,"CE_REDUCE_PE_ADD","BOTH_REDUCE")),"")</f>
        <v/>
      </c>
      <c r="W1225" s="13">
        <f>IFERROR( (P1225-1)*0.5 + (M1225)*0.1 - (I1225+J1225)*0.05 + T1225*0.4 ,"")</f>
        <v/>
      </c>
      <c r="X1225" s="13">
        <f>IFERROR(IF(ABS(F1225)&lt;0.01,"ATM/NEAR",""),"")</f>
        <v/>
      </c>
    </row>
    <row r="1226">
      <c r="A1226" s="13">
        <f>CHAIN_RAW!A1226</f>
        <v/>
      </c>
      <c r="B1226" s="14">
        <f>CHAIN_RAW!B1226</f>
        <v/>
      </c>
      <c r="C1226" s="13">
        <f>CHAIN_RAW!C1226</f>
        <v/>
      </c>
      <c r="D1226" s="13">
        <f>CHAIN_RAW!D1226</f>
        <v/>
      </c>
      <c r="E1226" s="13">
        <f>CHAIN_RAW!E1226</f>
        <v/>
      </c>
      <c r="F1226" s="13">
        <f>IFERROR((E1226-D1226)/D1226,"")</f>
        <v/>
      </c>
      <c r="G1226" s="13">
        <f>IFERROR((CHAIN_RAW!K1226+CHAIN_RAW!L1226)/2,"")</f>
        <v/>
      </c>
      <c r="H1226" s="13">
        <f>IFERROR((CHAIN_RAW!R1226+CHAIN_RAW!S1226)/2,"")</f>
        <v/>
      </c>
      <c r="I1226" s="13">
        <f>IFERROR((CHAIN_RAW!L1226-CHAIN_RAW!K1226)/MAX(1E-9, G1226),"")</f>
        <v/>
      </c>
      <c r="J1226" s="13">
        <f>IFERROR((CHAIN_RAW!S1226-CHAIN_RAW!R1226)/MAX(1E-9, H1226),"")</f>
        <v/>
      </c>
      <c r="K1226" s="13">
        <f>CHAIN_RAW!G1226</f>
        <v/>
      </c>
      <c r="L1226" s="13">
        <f>CHAIN_RAW!N1226</f>
        <v/>
      </c>
      <c r="M1226" s="13">
        <f>IFERROR(L1226-K1226,"")</f>
        <v/>
      </c>
      <c r="N1226" s="13">
        <f>CHAIN_RAW!H1226</f>
        <v/>
      </c>
      <c r="O1226" s="13">
        <f>CHAIN_RAW!O1226</f>
        <v/>
      </c>
      <c r="P1226" s="13">
        <f>IFERROR(O1226/N1226,"")</f>
        <v/>
      </c>
      <c r="Q1226" s="13">
        <f>CHAIN_RAW!I1226</f>
        <v/>
      </c>
      <c r="R1226" s="13">
        <f>CHAIN_RAW!P1226</f>
        <v/>
      </c>
      <c r="S1226" s="13">
        <f>IFERROR(R1226/Q1226,"")</f>
        <v/>
      </c>
      <c r="T1226" s="13">
        <f>IFERROR((ABS(N1226-O1226)/MAX(1,(N1226+O1226)))*EXP(-ABS(E1226-CONTROL!E5)/MAX(1,CONTROL!B8)),"")</f>
        <v/>
      </c>
      <c r="U1226" s="13">
        <f>IFERROR(IF(O1226&gt;N1226,"SUPPORT (PE OI)","RESIST (CE OI)"),"")</f>
        <v/>
      </c>
      <c r="V1226" s="13">
        <f>IFERROR(IF(Q1226&gt;0,IF(R1226&gt;0,"BOTH_ADD","CE_ADD_PE_REDUCE"),IF(R1226&gt;0,"CE_REDUCE_PE_ADD","BOTH_REDUCE")),"")</f>
        <v/>
      </c>
      <c r="W1226" s="13">
        <f>IFERROR( (P1226-1)*0.5 + (M1226)*0.1 - (I1226+J1226)*0.05 + T1226*0.4 ,"")</f>
        <v/>
      </c>
      <c r="X1226" s="13">
        <f>IFERROR(IF(ABS(F1226)&lt;0.01,"ATM/NEAR",""),"")</f>
        <v/>
      </c>
    </row>
    <row r="1227">
      <c r="A1227" s="13">
        <f>CHAIN_RAW!A1227</f>
        <v/>
      </c>
      <c r="B1227" s="14">
        <f>CHAIN_RAW!B1227</f>
        <v/>
      </c>
      <c r="C1227" s="13">
        <f>CHAIN_RAW!C1227</f>
        <v/>
      </c>
      <c r="D1227" s="13">
        <f>CHAIN_RAW!D1227</f>
        <v/>
      </c>
      <c r="E1227" s="13">
        <f>CHAIN_RAW!E1227</f>
        <v/>
      </c>
      <c r="F1227" s="13">
        <f>IFERROR((E1227-D1227)/D1227,"")</f>
        <v/>
      </c>
      <c r="G1227" s="13">
        <f>IFERROR((CHAIN_RAW!K1227+CHAIN_RAW!L1227)/2,"")</f>
        <v/>
      </c>
      <c r="H1227" s="13">
        <f>IFERROR((CHAIN_RAW!R1227+CHAIN_RAW!S1227)/2,"")</f>
        <v/>
      </c>
      <c r="I1227" s="13">
        <f>IFERROR((CHAIN_RAW!L1227-CHAIN_RAW!K1227)/MAX(1E-9, G1227),"")</f>
        <v/>
      </c>
      <c r="J1227" s="13">
        <f>IFERROR((CHAIN_RAW!S1227-CHAIN_RAW!R1227)/MAX(1E-9, H1227),"")</f>
        <v/>
      </c>
      <c r="K1227" s="13">
        <f>CHAIN_RAW!G1227</f>
        <v/>
      </c>
      <c r="L1227" s="13">
        <f>CHAIN_RAW!N1227</f>
        <v/>
      </c>
      <c r="M1227" s="13">
        <f>IFERROR(L1227-K1227,"")</f>
        <v/>
      </c>
      <c r="N1227" s="13">
        <f>CHAIN_RAW!H1227</f>
        <v/>
      </c>
      <c r="O1227" s="13">
        <f>CHAIN_RAW!O1227</f>
        <v/>
      </c>
      <c r="P1227" s="13">
        <f>IFERROR(O1227/N1227,"")</f>
        <v/>
      </c>
      <c r="Q1227" s="13">
        <f>CHAIN_RAW!I1227</f>
        <v/>
      </c>
      <c r="R1227" s="13">
        <f>CHAIN_RAW!P1227</f>
        <v/>
      </c>
      <c r="S1227" s="13">
        <f>IFERROR(R1227/Q1227,"")</f>
        <v/>
      </c>
      <c r="T1227" s="13">
        <f>IFERROR((ABS(N1227-O1227)/MAX(1,(N1227+O1227)))*EXP(-ABS(E1227-CONTROL!E5)/MAX(1,CONTROL!B8)),"")</f>
        <v/>
      </c>
      <c r="U1227" s="13">
        <f>IFERROR(IF(O1227&gt;N1227,"SUPPORT (PE OI)","RESIST (CE OI)"),"")</f>
        <v/>
      </c>
      <c r="V1227" s="13">
        <f>IFERROR(IF(Q1227&gt;0,IF(R1227&gt;0,"BOTH_ADD","CE_ADD_PE_REDUCE"),IF(R1227&gt;0,"CE_REDUCE_PE_ADD","BOTH_REDUCE")),"")</f>
        <v/>
      </c>
      <c r="W1227" s="13">
        <f>IFERROR( (P1227-1)*0.5 + (M1227)*0.1 - (I1227+J1227)*0.05 + T1227*0.4 ,"")</f>
        <v/>
      </c>
      <c r="X1227" s="13">
        <f>IFERROR(IF(ABS(F1227)&lt;0.01,"ATM/NEAR",""),"")</f>
        <v/>
      </c>
    </row>
    <row r="1228">
      <c r="A1228" s="13">
        <f>CHAIN_RAW!A1228</f>
        <v/>
      </c>
      <c r="B1228" s="14">
        <f>CHAIN_RAW!B1228</f>
        <v/>
      </c>
      <c r="C1228" s="13">
        <f>CHAIN_RAW!C1228</f>
        <v/>
      </c>
      <c r="D1228" s="13">
        <f>CHAIN_RAW!D1228</f>
        <v/>
      </c>
      <c r="E1228" s="13">
        <f>CHAIN_RAW!E1228</f>
        <v/>
      </c>
      <c r="F1228" s="13">
        <f>IFERROR((E1228-D1228)/D1228,"")</f>
        <v/>
      </c>
      <c r="G1228" s="13">
        <f>IFERROR((CHAIN_RAW!K1228+CHAIN_RAW!L1228)/2,"")</f>
        <v/>
      </c>
      <c r="H1228" s="13">
        <f>IFERROR((CHAIN_RAW!R1228+CHAIN_RAW!S1228)/2,"")</f>
        <v/>
      </c>
      <c r="I1228" s="13">
        <f>IFERROR((CHAIN_RAW!L1228-CHAIN_RAW!K1228)/MAX(1E-9, G1228),"")</f>
        <v/>
      </c>
      <c r="J1228" s="13">
        <f>IFERROR((CHAIN_RAW!S1228-CHAIN_RAW!R1228)/MAX(1E-9, H1228),"")</f>
        <v/>
      </c>
      <c r="K1228" s="13">
        <f>CHAIN_RAW!G1228</f>
        <v/>
      </c>
      <c r="L1228" s="13">
        <f>CHAIN_RAW!N1228</f>
        <v/>
      </c>
      <c r="M1228" s="13">
        <f>IFERROR(L1228-K1228,"")</f>
        <v/>
      </c>
      <c r="N1228" s="13">
        <f>CHAIN_RAW!H1228</f>
        <v/>
      </c>
      <c r="O1228" s="13">
        <f>CHAIN_RAW!O1228</f>
        <v/>
      </c>
      <c r="P1228" s="13">
        <f>IFERROR(O1228/N1228,"")</f>
        <v/>
      </c>
      <c r="Q1228" s="13">
        <f>CHAIN_RAW!I1228</f>
        <v/>
      </c>
      <c r="R1228" s="13">
        <f>CHAIN_RAW!P1228</f>
        <v/>
      </c>
      <c r="S1228" s="13">
        <f>IFERROR(R1228/Q1228,"")</f>
        <v/>
      </c>
      <c r="T1228" s="13">
        <f>IFERROR((ABS(N1228-O1228)/MAX(1,(N1228+O1228)))*EXP(-ABS(E1228-CONTROL!E5)/MAX(1,CONTROL!B8)),"")</f>
        <v/>
      </c>
      <c r="U1228" s="13">
        <f>IFERROR(IF(O1228&gt;N1228,"SUPPORT (PE OI)","RESIST (CE OI)"),"")</f>
        <v/>
      </c>
      <c r="V1228" s="13">
        <f>IFERROR(IF(Q1228&gt;0,IF(R1228&gt;0,"BOTH_ADD","CE_ADD_PE_REDUCE"),IF(R1228&gt;0,"CE_REDUCE_PE_ADD","BOTH_REDUCE")),"")</f>
        <v/>
      </c>
      <c r="W1228" s="13">
        <f>IFERROR( (P1228-1)*0.5 + (M1228)*0.1 - (I1228+J1228)*0.05 + T1228*0.4 ,"")</f>
        <v/>
      </c>
      <c r="X1228" s="13">
        <f>IFERROR(IF(ABS(F1228)&lt;0.01,"ATM/NEAR",""),"")</f>
        <v/>
      </c>
    </row>
    <row r="1229">
      <c r="A1229" s="13">
        <f>CHAIN_RAW!A1229</f>
        <v/>
      </c>
      <c r="B1229" s="14">
        <f>CHAIN_RAW!B1229</f>
        <v/>
      </c>
      <c r="C1229" s="13">
        <f>CHAIN_RAW!C1229</f>
        <v/>
      </c>
      <c r="D1229" s="13">
        <f>CHAIN_RAW!D1229</f>
        <v/>
      </c>
      <c r="E1229" s="13">
        <f>CHAIN_RAW!E1229</f>
        <v/>
      </c>
      <c r="F1229" s="13">
        <f>IFERROR((E1229-D1229)/D1229,"")</f>
        <v/>
      </c>
      <c r="G1229" s="13">
        <f>IFERROR((CHAIN_RAW!K1229+CHAIN_RAW!L1229)/2,"")</f>
        <v/>
      </c>
      <c r="H1229" s="13">
        <f>IFERROR((CHAIN_RAW!R1229+CHAIN_RAW!S1229)/2,"")</f>
        <v/>
      </c>
      <c r="I1229" s="13">
        <f>IFERROR((CHAIN_RAW!L1229-CHAIN_RAW!K1229)/MAX(1E-9, G1229),"")</f>
        <v/>
      </c>
      <c r="J1229" s="13">
        <f>IFERROR((CHAIN_RAW!S1229-CHAIN_RAW!R1229)/MAX(1E-9, H1229),"")</f>
        <v/>
      </c>
      <c r="K1229" s="13">
        <f>CHAIN_RAW!G1229</f>
        <v/>
      </c>
      <c r="L1229" s="13">
        <f>CHAIN_RAW!N1229</f>
        <v/>
      </c>
      <c r="M1229" s="13">
        <f>IFERROR(L1229-K1229,"")</f>
        <v/>
      </c>
      <c r="N1229" s="13">
        <f>CHAIN_RAW!H1229</f>
        <v/>
      </c>
      <c r="O1229" s="13">
        <f>CHAIN_RAW!O1229</f>
        <v/>
      </c>
      <c r="P1229" s="13">
        <f>IFERROR(O1229/N1229,"")</f>
        <v/>
      </c>
      <c r="Q1229" s="13">
        <f>CHAIN_RAW!I1229</f>
        <v/>
      </c>
      <c r="R1229" s="13">
        <f>CHAIN_RAW!P1229</f>
        <v/>
      </c>
      <c r="S1229" s="13">
        <f>IFERROR(R1229/Q1229,"")</f>
        <v/>
      </c>
      <c r="T1229" s="13">
        <f>IFERROR((ABS(N1229-O1229)/MAX(1,(N1229+O1229)))*EXP(-ABS(E1229-CONTROL!E5)/MAX(1,CONTROL!B8)),"")</f>
        <v/>
      </c>
      <c r="U1229" s="13">
        <f>IFERROR(IF(O1229&gt;N1229,"SUPPORT (PE OI)","RESIST (CE OI)"),"")</f>
        <v/>
      </c>
      <c r="V1229" s="13">
        <f>IFERROR(IF(Q1229&gt;0,IF(R1229&gt;0,"BOTH_ADD","CE_ADD_PE_REDUCE"),IF(R1229&gt;0,"CE_REDUCE_PE_ADD","BOTH_REDUCE")),"")</f>
        <v/>
      </c>
      <c r="W1229" s="13">
        <f>IFERROR( (P1229-1)*0.5 + (M1229)*0.1 - (I1229+J1229)*0.05 + T1229*0.4 ,"")</f>
        <v/>
      </c>
      <c r="X1229" s="13">
        <f>IFERROR(IF(ABS(F1229)&lt;0.01,"ATM/NEAR",""),"")</f>
        <v/>
      </c>
    </row>
    <row r="1230">
      <c r="A1230" s="13">
        <f>CHAIN_RAW!A1230</f>
        <v/>
      </c>
      <c r="B1230" s="14">
        <f>CHAIN_RAW!B1230</f>
        <v/>
      </c>
      <c r="C1230" s="13">
        <f>CHAIN_RAW!C1230</f>
        <v/>
      </c>
      <c r="D1230" s="13">
        <f>CHAIN_RAW!D1230</f>
        <v/>
      </c>
      <c r="E1230" s="13">
        <f>CHAIN_RAW!E1230</f>
        <v/>
      </c>
      <c r="F1230" s="13">
        <f>IFERROR((E1230-D1230)/D1230,"")</f>
        <v/>
      </c>
      <c r="G1230" s="13">
        <f>IFERROR((CHAIN_RAW!K1230+CHAIN_RAW!L1230)/2,"")</f>
        <v/>
      </c>
      <c r="H1230" s="13">
        <f>IFERROR((CHAIN_RAW!R1230+CHAIN_RAW!S1230)/2,"")</f>
        <v/>
      </c>
      <c r="I1230" s="13">
        <f>IFERROR((CHAIN_RAW!L1230-CHAIN_RAW!K1230)/MAX(1E-9, G1230),"")</f>
        <v/>
      </c>
      <c r="J1230" s="13">
        <f>IFERROR((CHAIN_RAW!S1230-CHAIN_RAW!R1230)/MAX(1E-9, H1230),"")</f>
        <v/>
      </c>
      <c r="K1230" s="13">
        <f>CHAIN_RAW!G1230</f>
        <v/>
      </c>
      <c r="L1230" s="13">
        <f>CHAIN_RAW!N1230</f>
        <v/>
      </c>
      <c r="M1230" s="13">
        <f>IFERROR(L1230-K1230,"")</f>
        <v/>
      </c>
      <c r="N1230" s="13">
        <f>CHAIN_RAW!H1230</f>
        <v/>
      </c>
      <c r="O1230" s="13">
        <f>CHAIN_RAW!O1230</f>
        <v/>
      </c>
      <c r="P1230" s="13">
        <f>IFERROR(O1230/N1230,"")</f>
        <v/>
      </c>
      <c r="Q1230" s="13">
        <f>CHAIN_RAW!I1230</f>
        <v/>
      </c>
      <c r="R1230" s="13">
        <f>CHAIN_RAW!P1230</f>
        <v/>
      </c>
      <c r="S1230" s="13">
        <f>IFERROR(R1230/Q1230,"")</f>
        <v/>
      </c>
      <c r="T1230" s="13">
        <f>IFERROR((ABS(N1230-O1230)/MAX(1,(N1230+O1230)))*EXP(-ABS(E1230-CONTROL!E5)/MAX(1,CONTROL!B8)),"")</f>
        <v/>
      </c>
      <c r="U1230" s="13">
        <f>IFERROR(IF(O1230&gt;N1230,"SUPPORT (PE OI)","RESIST (CE OI)"),"")</f>
        <v/>
      </c>
      <c r="V1230" s="13">
        <f>IFERROR(IF(Q1230&gt;0,IF(R1230&gt;0,"BOTH_ADD","CE_ADD_PE_REDUCE"),IF(R1230&gt;0,"CE_REDUCE_PE_ADD","BOTH_REDUCE")),"")</f>
        <v/>
      </c>
      <c r="W1230" s="13">
        <f>IFERROR( (P1230-1)*0.5 + (M1230)*0.1 - (I1230+J1230)*0.05 + T1230*0.4 ,"")</f>
        <v/>
      </c>
      <c r="X1230" s="13">
        <f>IFERROR(IF(ABS(F1230)&lt;0.01,"ATM/NEAR",""),"")</f>
        <v/>
      </c>
    </row>
    <row r="1231">
      <c r="A1231" s="13">
        <f>CHAIN_RAW!A1231</f>
        <v/>
      </c>
      <c r="B1231" s="14">
        <f>CHAIN_RAW!B1231</f>
        <v/>
      </c>
      <c r="C1231" s="13">
        <f>CHAIN_RAW!C1231</f>
        <v/>
      </c>
      <c r="D1231" s="13">
        <f>CHAIN_RAW!D1231</f>
        <v/>
      </c>
      <c r="E1231" s="13">
        <f>CHAIN_RAW!E1231</f>
        <v/>
      </c>
      <c r="F1231" s="13">
        <f>IFERROR((E1231-D1231)/D1231,"")</f>
        <v/>
      </c>
      <c r="G1231" s="13">
        <f>IFERROR((CHAIN_RAW!K1231+CHAIN_RAW!L1231)/2,"")</f>
        <v/>
      </c>
      <c r="H1231" s="13">
        <f>IFERROR((CHAIN_RAW!R1231+CHAIN_RAW!S1231)/2,"")</f>
        <v/>
      </c>
      <c r="I1231" s="13">
        <f>IFERROR((CHAIN_RAW!L1231-CHAIN_RAW!K1231)/MAX(1E-9, G1231),"")</f>
        <v/>
      </c>
      <c r="J1231" s="13">
        <f>IFERROR((CHAIN_RAW!S1231-CHAIN_RAW!R1231)/MAX(1E-9, H1231),"")</f>
        <v/>
      </c>
      <c r="K1231" s="13">
        <f>CHAIN_RAW!G1231</f>
        <v/>
      </c>
      <c r="L1231" s="13">
        <f>CHAIN_RAW!N1231</f>
        <v/>
      </c>
      <c r="M1231" s="13">
        <f>IFERROR(L1231-K1231,"")</f>
        <v/>
      </c>
      <c r="N1231" s="13">
        <f>CHAIN_RAW!H1231</f>
        <v/>
      </c>
      <c r="O1231" s="13">
        <f>CHAIN_RAW!O1231</f>
        <v/>
      </c>
      <c r="P1231" s="13">
        <f>IFERROR(O1231/N1231,"")</f>
        <v/>
      </c>
      <c r="Q1231" s="13">
        <f>CHAIN_RAW!I1231</f>
        <v/>
      </c>
      <c r="R1231" s="13">
        <f>CHAIN_RAW!P1231</f>
        <v/>
      </c>
      <c r="S1231" s="13">
        <f>IFERROR(R1231/Q1231,"")</f>
        <v/>
      </c>
      <c r="T1231" s="13">
        <f>IFERROR((ABS(N1231-O1231)/MAX(1,(N1231+O1231)))*EXP(-ABS(E1231-CONTROL!E5)/MAX(1,CONTROL!B8)),"")</f>
        <v/>
      </c>
      <c r="U1231" s="13">
        <f>IFERROR(IF(O1231&gt;N1231,"SUPPORT (PE OI)","RESIST (CE OI)"),"")</f>
        <v/>
      </c>
      <c r="V1231" s="13">
        <f>IFERROR(IF(Q1231&gt;0,IF(R1231&gt;0,"BOTH_ADD","CE_ADD_PE_REDUCE"),IF(R1231&gt;0,"CE_REDUCE_PE_ADD","BOTH_REDUCE")),"")</f>
        <v/>
      </c>
      <c r="W1231" s="13">
        <f>IFERROR( (P1231-1)*0.5 + (M1231)*0.1 - (I1231+J1231)*0.05 + T1231*0.4 ,"")</f>
        <v/>
      </c>
      <c r="X1231" s="13">
        <f>IFERROR(IF(ABS(F1231)&lt;0.01,"ATM/NEAR",""),"")</f>
        <v/>
      </c>
    </row>
    <row r="1232">
      <c r="A1232" s="13">
        <f>CHAIN_RAW!A1232</f>
        <v/>
      </c>
      <c r="B1232" s="14">
        <f>CHAIN_RAW!B1232</f>
        <v/>
      </c>
      <c r="C1232" s="13">
        <f>CHAIN_RAW!C1232</f>
        <v/>
      </c>
      <c r="D1232" s="13">
        <f>CHAIN_RAW!D1232</f>
        <v/>
      </c>
      <c r="E1232" s="13">
        <f>CHAIN_RAW!E1232</f>
        <v/>
      </c>
      <c r="F1232" s="13">
        <f>IFERROR((E1232-D1232)/D1232,"")</f>
        <v/>
      </c>
      <c r="G1232" s="13">
        <f>IFERROR((CHAIN_RAW!K1232+CHAIN_RAW!L1232)/2,"")</f>
        <v/>
      </c>
      <c r="H1232" s="13">
        <f>IFERROR((CHAIN_RAW!R1232+CHAIN_RAW!S1232)/2,"")</f>
        <v/>
      </c>
      <c r="I1232" s="13">
        <f>IFERROR((CHAIN_RAW!L1232-CHAIN_RAW!K1232)/MAX(1E-9, G1232),"")</f>
        <v/>
      </c>
      <c r="J1232" s="13">
        <f>IFERROR((CHAIN_RAW!S1232-CHAIN_RAW!R1232)/MAX(1E-9, H1232),"")</f>
        <v/>
      </c>
      <c r="K1232" s="13">
        <f>CHAIN_RAW!G1232</f>
        <v/>
      </c>
      <c r="L1232" s="13">
        <f>CHAIN_RAW!N1232</f>
        <v/>
      </c>
      <c r="M1232" s="13">
        <f>IFERROR(L1232-K1232,"")</f>
        <v/>
      </c>
      <c r="N1232" s="13">
        <f>CHAIN_RAW!H1232</f>
        <v/>
      </c>
      <c r="O1232" s="13">
        <f>CHAIN_RAW!O1232</f>
        <v/>
      </c>
      <c r="P1232" s="13">
        <f>IFERROR(O1232/N1232,"")</f>
        <v/>
      </c>
      <c r="Q1232" s="13">
        <f>CHAIN_RAW!I1232</f>
        <v/>
      </c>
      <c r="R1232" s="13">
        <f>CHAIN_RAW!P1232</f>
        <v/>
      </c>
      <c r="S1232" s="13">
        <f>IFERROR(R1232/Q1232,"")</f>
        <v/>
      </c>
      <c r="T1232" s="13">
        <f>IFERROR((ABS(N1232-O1232)/MAX(1,(N1232+O1232)))*EXP(-ABS(E1232-CONTROL!E5)/MAX(1,CONTROL!B8)),"")</f>
        <v/>
      </c>
      <c r="U1232" s="13">
        <f>IFERROR(IF(O1232&gt;N1232,"SUPPORT (PE OI)","RESIST (CE OI)"),"")</f>
        <v/>
      </c>
      <c r="V1232" s="13">
        <f>IFERROR(IF(Q1232&gt;0,IF(R1232&gt;0,"BOTH_ADD","CE_ADD_PE_REDUCE"),IF(R1232&gt;0,"CE_REDUCE_PE_ADD","BOTH_REDUCE")),"")</f>
        <v/>
      </c>
      <c r="W1232" s="13">
        <f>IFERROR( (P1232-1)*0.5 + (M1232)*0.1 - (I1232+J1232)*0.05 + T1232*0.4 ,"")</f>
        <v/>
      </c>
      <c r="X1232" s="13">
        <f>IFERROR(IF(ABS(F1232)&lt;0.01,"ATM/NEAR",""),"")</f>
        <v/>
      </c>
    </row>
    <row r="1233">
      <c r="A1233" s="13">
        <f>CHAIN_RAW!A1233</f>
        <v/>
      </c>
      <c r="B1233" s="14">
        <f>CHAIN_RAW!B1233</f>
        <v/>
      </c>
      <c r="C1233" s="13">
        <f>CHAIN_RAW!C1233</f>
        <v/>
      </c>
      <c r="D1233" s="13">
        <f>CHAIN_RAW!D1233</f>
        <v/>
      </c>
      <c r="E1233" s="13">
        <f>CHAIN_RAW!E1233</f>
        <v/>
      </c>
      <c r="F1233" s="13">
        <f>IFERROR((E1233-D1233)/D1233,"")</f>
        <v/>
      </c>
      <c r="G1233" s="13">
        <f>IFERROR((CHAIN_RAW!K1233+CHAIN_RAW!L1233)/2,"")</f>
        <v/>
      </c>
      <c r="H1233" s="13">
        <f>IFERROR((CHAIN_RAW!R1233+CHAIN_RAW!S1233)/2,"")</f>
        <v/>
      </c>
      <c r="I1233" s="13">
        <f>IFERROR((CHAIN_RAW!L1233-CHAIN_RAW!K1233)/MAX(1E-9, G1233),"")</f>
        <v/>
      </c>
      <c r="J1233" s="13">
        <f>IFERROR((CHAIN_RAW!S1233-CHAIN_RAW!R1233)/MAX(1E-9, H1233),"")</f>
        <v/>
      </c>
      <c r="K1233" s="13">
        <f>CHAIN_RAW!G1233</f>
        <v/>
      </c>
      <c r="L1233" s="13">
        <f>CHAIN_RAW!N1233</f>
        <v/>
      </c>
      <c r="M1233" s="13">
        <f>IFERROR(L1233-K1233,"")</f>
        <v/>
      </c>
      <c r="N1233" s="13">
        <f>CHAIN_RAW!H1233</f>
        <v/>
      </c>
      <c r="O1233" s="13">
        <f>CHAIN_RAW!O1233</f>
        <v/>
      </c>
      <c r="P1233" s="13">
        <f>IFERROR(O1233/N1233,"")</f>
        <v/>
      </c>
      <c r="Q1233" s="13">
        <f>CHAIN_RAW!I1233</f>
        <v/>
      </c>
      <c r="R1233" s="13">
        <f>CHAIN_RAW!P1233</f>
        <v/>
      </c>
      <c r="S1233" s="13">
        <f>IFERROR(R1233/Q1233,"")</f>
        <v/>
      </c>
      <c r="T1233" s="13">
        <f>IFERROR((ABS(N1233-O1233)/MAX(1,(N1233+O1233)))*EXP(-ABS(E1233-CONTROL!E5)/MAX(1,CONTROL!B8)),"")</f>
        <v/>
      </c>
      <c r="U1233" s="13">
        <f>IFERROR(IF(O1233&gt;N1233,"SUPPORT (PE OI)","RESIST (CE OI)"),"")</f>
        <v/>
      </c>
      <c r="V1233" s="13">
        <f>IFERROR(IF(Q1233&gt;0,IF(R1233&gt;0,"BOTH_ADD","CE_ADD_PE_REDUCE"),IF(R1233&gt;0,"CE_REDUCE_PE_ADD","BOTH_REDUCE")),"")</f>
        <v/>
      </c>
      <c r="W1233" s="13">
        <f>IFERROR( (P1233-1)*0.5 + (M1233)*0.1 - (I1233+J1233)*0.05 + T1233*0.4 ,"")</f>
        <v/>
      </c>
      <c r="X1233" s="13">
        <f>IFERROR(IF(ABS(F1233)&lt;0.01,"ATM/NEAR",""),"")</f>
        <v/>
      </c>
    </row>
    <row r="1234">
      <c r="A1234" s="13">
        <f>CHAIN_RAW!A1234</f>
        <v/>
      </c>
      <c r="B1234" s="14">
        <f>CHAIN_RAW!B1234</f>
        <v/>
      </c>
      <c r="C1234" s="13">
        <f>CHAIN_RAW!C1234</f>
        <v/>
      </c>
      <c r="D1234" s="13">
        <f>CHAIN_RAW!D1234</f>
        <v/>
      </c>
      <c r="E1234" s="13">
        <f>CHAIN_RAW!E1234</f>
        <v/>
      </c>
      <c r="F1234" s="13">
        <f>IFERROR((E1234-D1234)/D1234,"")</f>
        <v/>
      </c>
      <c r="G1234" s="13">
        <f>IFERROR((CHAIN_RAW!K1234+CHAIN_RAW!L1234)/2,"")</f>
        <v/>
      </c>
      <c r="H1234" s="13">
        <f>IFERROR((CHAIN_RAW!R1234+CHAIN_RAW!S1234)/2,"")</f>
        <v/>
      </c>
      <c r="I1234" s="13">
        <f>IFERROR((CHAIN_RAW!L1234-CHAIN_RAW!K1234)/MAX(1E-9, G1234),"")</f>
        <v/>
      </c>
      <c r="J1234" s="13">
        <f>IFERROR((CHAIN_RAW!S1234-CHAIN_RAW!R1234)/MAX(1E-9, H1234),"")</f>
        <v/>
      </c>
      <c r="K1234" s="13">
        <f>CHAIN_RAW!G1234</f>
        <v/>
      </c>
      <c r="L1234" s="13">
        <f>CHAIN_RAW!N1234</f>
        <v/>
      </c>
      <c r="M1234" s="13">
        <f>IFERROR(L1234-K1234,"")</f>
        <v/>
      </c>
      <c r="N1234" s="13">
        <f>CHAIN_RAW!H1234</f>
        <v/>
      </c>
      <c r="O1234" s="13">
        <f>CHAIN_RAW!O1234</f>
        <v/>
      </c>
      <c r="P1234" s="13">
        <f>IFERROR(O1234/N1234,"")</f>
        <v/>
      </c>
      <c r="Q1234" s="13">
        <f>CHAIN_RAW!I1234</f>
        <v/>
      </c>
      <c r="R1234" s="13">
        <f>CHAIN_RAW!P1234</f>
        <v/>
      </c>
      <c r="S1234" s="13">
        <f>IFERROR(R1234/Q1234,"")</f>
        <v/>
      </c>
      <c r="T1234" s="13">
        <f>IFERROR((ABS(N1234-O1234)/MAX(1,(N1234+O1234)))*EXP(-ABS(E1234-CONTROL!E5)/MAX(1,CONTROL!B8)),"")</f>
        <v/>
      </c>
      <c r="U1234" s="13">
        <f>IFERROR(IF(O1234&gt;N1234,"SUPPORT (PE OI)","RESIST (CE OI)"),"")</f>
        <v/>
      </c>
      <c r="V1234" s="13">
        <f>IFERROR(IF(Q1234&gt;0,IF(R1234&gt;0,"BOTH_ADD","CE_ADD_PE_REDUCE"),IF(R1234&gt;0,"CE_REDUCE_PE_ADD","BOTH_REDUCE")),"")</f>
        <v/>
      </c>
      <c r="W1234" s="13">
        <f>IFERROR( (P1234-1)*0.5 + (M1234)*0.1 - (I1234+J1234)*0.05 + T1234*0.4 ,"")</f>
        <v/>
      </c>
      <c r="X1234" s="13">
        <f>IFERROR(IF(ABS(F1234)&lt;0.01,"ATM/NEAR",""),"")</f>
        <v/>
      </c>
    </row>
    <row r="1235">
      <c r="A1235" s="13">
        <f>CHAIN_RAW!A1235</f>
        <v/>
      </c>
      <c r="B1235" s="14">
        <f>CHAIN_RAW!B1235</f>
        <v/>
      </c>
      <c r="C1235" s="13">
        <f>CHAIN_RAW!C1235</f>
        <v/>
      </c>
      <c r="D1235" s="13">
        <f>CHAIN_RAW!D1235</f>
        <v/>
      </c>
      <c r="E1235" s="13">
        <f>CHAIN_RAW!E1235</f>
        <v/>
      </c>
      <c r="F1235" s="13">
        <f>IFERROR((E1235-D1235)/D1235,"")</f>
        <v/>
      </c>
      <c r="G1235" s="13">
        <f>IFERROR((CHAIN_RAW!K1235+CHAIN_RAW!L1235)/2,"")</f>
        <v/>
      </c>
      <c r="H1235" s="13">
        <f>IFERROR((CHAIN_RAW!R1235+CHAIN_RAW!S1235)/2,"")</f>
        <v/>
      </c>
      <c r="I1235" s="13">
        <f>IFERROR((CHAIN_RAW!L1235-CHAIN_RAW!K1235)/MAX(1E-9, G1235),"")</f>
        <v/>
      </c>
      <c r="J1235" s="13">
        <f>IFERROR((CHAIN_RAW!S1235-CHAIN_RAW!R1235)/MAX(1E-9, H1235),"")</f>
        <v/>
      </c>
      <c r="K1235" s="13">
        <f>CHAIN_RAW!G1235</f>
        <v/>
      </c>
      <c r="L1235" s="13">
        <f>CHAIN_RAW!N1235</f>
        <v/>
      </c>
      <c r="M1235" s="13">
        <f>IFERROR(L1235-K1235,"")</f>
        <v/>
      </c>
      <c r="N1235" s="13">
        <f>CHAIN_RAW!H1235</f>
        <v/>
      </c>
      <c r="O1235" s="13">
        <f>CHAIN_RAW!O1235</f>
        <v/>
      </c>
      <c r="P1235" s="13">
        <f>IFERROR(O1235/N1235,"")</f>
        <v/>
      </c>
      <c r="Q1235" s="13">
        <f>CHAIN_RAW!I1235</f>
        <v/>
      </c>
      <c r="R1235" s="13">
        <f>CHAIN_RAW!P1235</f>
        <v/>
      </c>
      <c r="S1235" s="13">
        <f>IFERROR(R1235/Q1235,"")</f>
        <v/>
      </c>
      <c r="T1235" s="13">
        <f>IFERROR((ABS(N1235-O1235)/MAX(1,(N1235+O1235)))*EXP(-ABS(E1235-CONTROL!E5)/MAX(1,CONTROL!B8)),"")</f>
        <v/>
      </c>
      <c r="U1235" s="13">
        <f>IFERROR(IF(O1235&gt;N1235,"SUPPORT (PE OI)","RESIST (CE OI)"),"")</f>
        <v/>
      </c>
      <c r="V1235" s="13">
        <f>IFERROR(IF(Q1235&gt;0,IF(R1235&gt;0,"BOTH_ADD","CE_ADD_PE_REDUCE"),IF(R1235&gt;0,"CE_REDUCE_PE_ADD","BOTH_REDUCE")),"")</f>
        <v/>
      </c>
      <c r="W1235" s="13">
        <f>IFERROR( (P1235-1)*0.5 + (M1235)*0.1 - (I1235+J1235)*0.05 + T1235*0.4 ,"")</f>
        <v/>
      </c>
      <c r="X1235" s="13">
        <f>IFERROR(IF(ABS(F1235)&lt;0.01,"ATM/NEAR",""),"")</f>
        <v/>
      </c>
    </row>
    <row r="1236">
      <c r="A1236" s="13">
        <f>CHAIN_RAW!A1236</f>
        <v/>
      </c>
      <c r="B1236" s="14">
        <f>CHAIN_RAW!B1236</f>
        <v/>
      </c>
      <c r="C1236" s="13">
        <f>CHAIN_RAW!C1236</f>
        <v/>
      </c>
      <c r="D1236" s="13">
        <f>CHAIN_RAW!D1236</f>
        <v/>
      </c>
      <c r="E1236" s="13">
        <f>CHAIN_RAW!E1236</f>
        <v/>
      </c>
      <c r="F1236" s="13">
        <f>IFERROR((E1236-D1236)/D1236,"")</f>
        <v/>
      </c>
      <c r="G1236" s="13">
        <f>IFERROR((CHAIN_RAW!K1236+CHAIN_RAW!L1236)/2,"")</f>
        <v/>
      </c>
      <c r="H1236" s="13">
        <f>IFERROR((CHAIN_RAW!R1236+CHAIN_RAW!S1236)/2,"")</f>
        <v/>
      </c>
      <c r="I1236" s="13">
        <f>IFERROR((CHAIN_RAW!L1236-CHAIN_RAW!K1236)/MAX(1E-9, G1236),"")</f>
        <v/>
      </c>
      <c r="J1236" s="13">
        <f>IFERROR((CHAIN_RAW!S1236-CHAIN_RAW!R1236)/MAX(1E-9, H1236),"")</f>
        <v/>
      </c>
      <c r="K1236" s="13">
        <f>CHAIN_RAW!G1236</f>
        <v/>
      </c>
      <c r="L1236" s="13">
        <f>CHAIN_RAW!N1236</f>
        <v/>
      </c>
      <c r="M1236" s="13">
        <f>IFERROR(L1236-K1236,"")</f>
        <v/>
      </c>
      <c r="N1236" s="13">
        <f>CHAIN_RAW!H1236</f>
        <v/>
      </c>
      <c r="O1236" s="13">
        <f>CHAIN_RAW!O1236</f>
        <v/>
      </c>
      <c r="P1236" s="13">
        <f>IFERROR(O1236/N1236,"")</f>
        <v/>
      </c>
      <c r="Q1236" s="13">
        <f>CHAIN_RAW!I1236</f>
        <v/>
      </c>
      <c r="R1236" s="13">
        <f>CHAIN_RAW!P1236</f>
        <v/>
      </c>
      <c r="S1236" s="13">
        <f>IFERROR(R1236/Q1236,"")</f>
        <v/>
      </c>
      <c r="T1236" s="13">
        <f>IFERROR((ABS(N1236-O1236)/MAX(1,(N1236+O1236)))*EXP(-ABS(E1236-CONTROL!E5)/MAX(1,CONTROL!B8)),"")</f>
        <v/>
      </c>
      <c r="U1236" s="13">
        <f>IFERROR(IF(O1236&gt;N1236,"SUPPORT (PE OI)","RESIST (CE OI)"),"")</f>
        <v/>
      </c>
      <c r="V1236" s="13">
        <f>IFERROR(IF(Q1236&gt;0,IF(R1236&gt;0,"BOTH_ADD","CE_ADD_PE_REDUCE"),IF(R1236&gt;0,"CE_REDUCE_PE_ADD","BOTH_REDUCE")),"")</f>
        <v/>
      </c>
      <c r="W1236" s="13">
        <f>IFERROR( (P1236-1)*0.5 + (M1236)*0.1 - (I1236+J1236)*0.05 + T1236*0.4 ,"")</f>
        <v/>
      </c>
      <c r="X1236" s="13">
        <f>IFERROR(IF(ABS(F1236)&lt;0.01,"ATM/NEAR",""),"")</f>
        <v/>
      </c>
    </row>
    <row r="1237">
      <c r="A1237" s="13">
        <f>CHAIN_RAW!A1237</f>
        <v/>
      </c>
      <c r="B1237" s="14">
        <f>CHAIN_RAW!B1237</f>
        <v/>
      </c>
      <c r="C1237" s="13">
        <f>CHAIN_RAW!C1237</f>
        <v/>
      </c>
      <c r="D1237" s="13">
        <f>CHAIN_RAW!D1237</f>
        <v/>
      </c>
      <c r="E1237" s="13">
        <f>CHAIN_RAW!E1237</f>
        <v/>
      </c>
      <c r="F1237" s="13">
        <f>IFERROR((E1237-D1237)/D1237,"")</f>
        <v/>
      </c>
      <c r="G1237" s="13">
        <f>IFERROR((CHAIN_RAW!K1237+CHAIN_RAW!L1237)/2,"")</f>
        <v/>
      </c>
      <c r="H1237" s="13">
        <f>IFERROR((CHAIN_RAW!R1237+CHAIN_RAW!S1237)/2,"")</f>
        <v/>
      </c>
      <c r="I1237" s="13">
        <f>IFERROR((CHAIN_RAW!L1237-CHAIN_RAW!K1237)/MAX(1E-9, G1237),"")</f>
        <v/>
      </c>
      <c r="J1237" s="13">
        <f>IFERROR((CHAIN_RAW!S1237-CHAIN_RAW!R1237)/MAX(1E-9, H1237),"")</f>
        <v/>
      </c>
      <c r="K1237" s="13">
        <f>CHAIN_RAW!G1237</f>
        <v/>
      </c>
      <c r="L1237" s="13">
        <f>CHAIN_RAW!N1237</f>
        <v/>
      </c>
      <c r="M1237" s="13">
        <f>IFERROR(L1237-K1237,"")</f>
        <v/>
      </c>
      <c r="N1237" s="13">
        <f>CHAIN_RAW!H1237</f>
        <v/>
      </c>
      <c r="O1237" s="13">
        <f>CHAIN_RAW!O1237</f>
        <v/>
      </c>
      <c r="P1237" s="13">
        <f>IFERROR(O1237/N1237,"")</f>
        <v/>
      </c>
      <c r="Q1237" s="13">
        <f>CHAIN_RAW!I1237</f>
        <v/>
      </c>
      <c r="R1237" s="13">
        <f>CHAIN_RAW!P1237</f>
        <v/>
      </c>
      <c r="S1237" s="13">
        <f>IFERROR(R1237/Q1237,"")</f>
        <v/>
      </c>
      <c r="T1237" s="13">
        <f>IFERROR((ABS(N1237-O1237)/MAX(1,(N1237+O1237)))*EXP(-ABS(E1237-CONTROL!E5)/MAX(1,CONTROL!B8)),"")</f>
        <v/>
      </c>
      <c r="U1237" s="13">
        <f>IFERROR(IF(O1237&gt;N1237,"SUPPORT (PE OI)","RESIST (CE OI)"),"")</f>
        <v/>
      </c>
      <c r="V1237" s="13">
        <f>IFERROR(IF(Q1237&gt;0,IF(R1237&gt;0,"BOTH_ADD","CE_ADD_PE_REDUCE"),IF(R1237&gt;0,"CE_REDUCE_PE_ADD","BOTH_REDUCE")),"")</f>
        <v/>
      </c>
      <c r="W1237" s="13">
        <f>IFERROR( (P1237-1)*0.5 + (M1237)*0.1 - (I1237+J1237)*0.05 + T1237*0.4 ,"")</f>
        <v/>
      </c>
      <c r="X1237" s="13">
        <f>IFERROR(IF(ABS(F1237)&lt;0.01,"ATM/NEAR",""),"")</f>
        <v/>
      </c>
    </row>
    <row r="1238">
      <c r="A1238" s="13">
        <f>CHAIN_RAW!A1238</f>
        <v/>
      </c>
      <c r="B1238" s="14">
        <f>CHAIN_RAW!B1238</f>
        <v/>
      </c>
      <c r="C1238" s="13">
        <f>CHAIN_RAW!C1238</f>
        <v/>
      </c>
      <c r="D1238" s="13">
        <f>CHAIN_RAW!D1238</f>
        <v/>
      </c>
      <c r="E1238" s="13">
        <f>CHAIN_RAW!E1238</f>
        <v/>
      </c>
      <c r="F1238" s="13">
        <f>IFERROR((E1238-D1238)/D1238,"")</f>
        <v/>
      </c>
      <c r="G1238" s="13">
        <f>IFERROR((CHAIN_RAW!K1238+CHAIN_RAW!L1238)/2,"")</f>
        <v/>
      </c>
      <c r="H1238" s="13">
        <f>IFERROR((CHAIN_RAW!R1238+CHAIN_RAW!S1238)/2,"")</f>
        <v/>
      </c>
      <c r="I1238" s="13">
        <f>IFERROR((CHAIN_RAW!L1238-CHAIN_RAW!K1238)/MAX(1E-9, G1238),"")</f>
        <v/>
      </c>
      <c r="J1238" s="13">
        <f>IFERROR((CHAIN_RAW!S1238-CHAIN_RAW!R1238)/MAX(1E-9, H1238),"")</f>
        <v/>
      </c>
      <c r="K1238" s="13">
        <f>CHAIN_RAW!G1238</f>
        <v/>
      </c>
      <c r="L1238" s="13">
        <f>CHAIN_RAW!N1238</f>
        <v/>
      </c>
      <c r="M1238" s="13">
        <f>IFERROR(L1238-K1238,"")</f>
        <v/>
      </c>
      <c r="N1238" s="13">
        <f>CHAIN_RAW!H1238</f>
        <v/>
      </c>
      <c r="O1238" s="13">
        <f>CHAIN_RAW!O1238</f>
        <v/>
      </c>
      <c r="P1238" s="13">
        <f>IFERROR(O1238/N1238,"")</f>
        <v/>
      </c>
      <c r="Q1238" s="13">
        <f>CHAIN_RAW!I1238</f>
        <v/>
      </c>
      <c r="R1238" s="13">
        <f>CHAIN_RAW!P1238</f>
        <v/>
      </c>
      <c r="S1238" s="13">
        <f>IFERROR(R1238/Q1238,"")</f>
        <v/>
      </c>
      <c r="T1238" s="13">
        <f>IFERROR((ABS(N1238-O1238)/MAX(1,(N1238+O1238)))*EXP(-ABS(E1238-CONTROL!E5)/MAX(1,CONTROL!B8)),"")</f>
        <v/>
      </c>
      <c r="U1238" s="13">
        <f>IFERROR(IF(O1238&gt;N1238,"SUPPORT (PE OI)","RESIST (CE OI)"),"")</f>
        <v/>
      </c>
      <c r="V1238" s="13">
        <f>IFERROR(IF(Q1238&gt;0,IF(R1238&gt;0,"BOTH_ADD","CE_ADD_PE_REDUCE"),IF(R1238&gt;0,"CE_REDUCE_PE_ADD","BOTH_REDUCE")),"")</f>
        <v/>
      </c>
      <c r="W1238" s="13">
        <f>IFERROR( (P1238-1)*0.5 + (M1238)*0.1 - (I1238+J1238)*0.05 + T1238*0.4 ,"")</f>
        <v/>
      </c>
      <c r="X1238" s="13">
        <f>IFERROR(IF(ABS(F1238)&lt;0.01,"ATM/NEAR",""),"")</f>
        <v/>
      </c>
    </row>
    <row r="1239">
      <c r="A1239" s="13">
        <f>CHAIN_RAW!A1239</f>
        <v/>
      </c>
      <c r="B1239" s="14">
        <f>CHAIN_RAW!B1239</f>
        <v/>
      </c>
      <c r="C1239" s="13">
        <f>CHAIN_RAW!C1239</f>
        <v/>
      </c>
      <c r="D1239" s="13">
        <f>CHAIN_RAW!D1239</f>
        <v/>
      </c>
      <c r="E1239" s="13">
        <f>CHAIN_RAW!E1239</f>
        <v/>
      </c>
      <c r="F1239" s="13">
        <f>IFERROR((E1239-D1239)/D1239,"")</f>
        <v/>
      </c>
      <c r="G1239" s="13">
        <f>IFERROR((CHAIN_RAW!K1239+CHAIN_RAW!L1239)/2,"")</f>
        <v/>
      </c>
      <c r="H1239" s="13">
        <f>IFERROR((CHAIN_RAW!R1239+CHAIN_RAW!S1239)/2,"")</f>
        <v/>
      </c>
      <c r="I1239" s="13">
        <f>IFERROR((CHAIN_RAW!L1239-CHAIN_RAW!K1239)/MAX(1E-9, G1239),"")</f>
        <v/>
      </c>
      <c r="J1239" s="13">
        <f>IFERROR((CHAIN_RAW!S1239-CHAIN_RAW!R1239)/MAX(1E-9, H1239),"")</f>
        <v/>
      </c>
      <c r="K1239" s="13">
        <f>CHAIN_RAW!G1239</f>
        <v/>
      </c>
      <c r="L1239" s="13">
        <f>CHAIN_RAW!N1239</f>
        <v/>
      </c>
      <c r="M1239" s="13">
        <f>IFERROR(L1239-K1239,"")</f>
        <v/>
      </c>
      <c r="N1239" s="13">
        <f>CHAIN_RAW!H1239</f>
        <v/>
      </c>
      <c r="O1239" s="13">
        <f>CHAIN_RAW!O1239</f>
        <v/>
      </c>
      <c r="P1239" s="13">
        <f>IFERROR(O1239/N1239,"")</f>
        <v/>
      </c>
      <c r="Q1239" s="13">
        <f>CHAIN_RAW!I1239</f>
        <v/>
      </c>
      <c r="R1239" s="13">
        <f>CHAIN_RAW!P1239</f>
        <v/>
      </c>
      <c r="S1239" s="13">
        <f>IFERROR(R1239/Q1239,"")</f>
        <v/>
      </c>
      <c r="T1239" s="13">
        <f>IFERROR((ABS(N1239-O1239)/MAX(1,(N1239+O1239)))*EXP(-ABS(E1239-CONTROL!E5)/MAX(1,CONTROL!B8)),"")</f>
        <v/>
      </c>
      <c r="U1239" s="13">
        <f>IFERROR(IF(O1239&gt;N1239,"SUPPORT (PE OI)","RESIST (CE OI)"),"")</f>
        <v/>
      </c>
      <c r="V1239" s="13">
        <f>IFERROR(IF(Q1239&gt;0,IF(R1239&gt;0,"BOTH_ADD","CE_ADD_PE_REDUCE"),IF(R1239&gt;0,"CE_REDUCE_PE_ADD","BOTH_REDUCE")),"")</f>
        <v/>
      </c>
      <c r="W1239" s="13">
        <f>IFERROR( (P1239-1)*0.5 + (M1239)*0.1 - (I1239+J1239)*0.05 + T1239*0.4 ,"")</f>
        <v/>
      </c>
      <c r="X1239" s="13">
        <f>IFERROR(IF(ABS(F1239)&lt;0.01,"ATM/NEAR",""),"")</f>
        <v/>
      </c>
    </row>
    <row r="1240">
      <c r="A1240" s="13">
        <f>CHAIN_RAW!A1240</f>
        <v/>
      </c>
      <c r="B1240" s="14">
        <f>CHAIN_RAW!B1240</f>
        <v/>
      </c>
      <c r="C1240" s="13">
        <f>CHAIN_RAW!C1240</f>
        <v/>
      </c>
      <c r="D1240" s="13">
        <f>CHAIN_RAW!D1240</f>
        <v/>
      </c>
      <c r="E1240" s="13">
        <f>CHAIN_RAW!E1240</f>
        <v/>
      </c>
      <c r="F1240" s="13">
        <f>IFERROR((E1240-D1240)/D1240,"")</f>
        <v/>
      </c>
      <c r="G1240" s="13">
        <f>IFERROR((CHAIN_RAW!K1240+CHAIN_RAW!L1240)/2,"")</f>
        <v/>
      </c>
      <c r="H1240" s="13">
        <f>IFERROR((CHAIN_RAW!R1240+CHAIN_RAW!S1240)/2,"")</f>
        <v/>
      </c>
      <c r="I1240" s="13">
        <f>IFERROR((CHAIN_RAW!L1240-CHAIN_RAW!K1240)/MAX(1E-9, G1240),"")</f>
        <v/>
      </c>
      <c r="J1240" s="13">
        <f>IFERROR((CHAIN_RAW!S1240-CHAIN_RAW!R1240)/MAX(1E-9, H1240),"")</f>
        <v/>
      </c>
      <c r="K1240" s="13">
        <f>CHAIN_RAW!G1240</f>
        <v/>
      </c>
      <c r="L1240" s="13">
        <f>CHAIN_RAW!N1240</f>
        <v/>
      </c>
      <c r="M1240" s="13">
        <f>IFERROR(L1240-K1240,"")</f>
        <v/>
      </c>
      <c r="N1240" s="13">
        <f>CHAIN_RAW!H1240</f>
        <v/>
      </c>
      <c r="O1240" s="13">
        <f>CHAIN_RAW!O1240</f>
        <v/>
      </c>
      <c r="P1240" s="13">
        <f>IFERROR(O1240/N1240,"")</f>
        <v/>
      </c>
      <c r="Q1240" s="13">
        <f>CHAIN_RAW!I1240</f>
        <v/>
      </c>
      <c r="R1240" s="13">
        <f>CHAIN_RAW!P1240</f>
        <v/>
      </c>
      <c r="S1240" s="13">
        <f>IFERROR(R1240/Q1240,"")</f>
        <v/>
      </c>
      <c r="T1240" s="13">
        <f>IFERROR((ABS(N1240-O1240)/MAX(1,(N1240+O1240)))*EXP(-ABS(E1240-CONTROL!E5)/MAX(1,CONTROL!B8)),"")</f>
        <v/>
      </c>
      <c r="U1240" s="13">
        <f>IFERROR(IF(O1240&gt;N1240,"SUPPORT (PE OI)","RESIST (CE OI)"),"")</f>
        <v/>
      </c>
      <c r="V1240" s="13">
        <f>IFERROR(IF(Q1240&gt;0,IF(R1240&gt;0,"BOTH_ADD","CE_ADD_PE_REDUCE"),IF(R1240&gt;0,"CE_REDUCE_PE_ADD","BOTH_REDUCE")),"")</f>
        <v/>
      </c>
      <c r="W1240" s="13">
        <f>IFERROR( (P1240-1)*0.5 + (M1240)*0.1 - (I1240+J1240)*0.05 + T1240*0.4 ,"")</f>
        <v/>
      </c>
      <c r="X1240" s="13">
        <f>IFERROR(IF(ABS(F1240)&lt;0.01,"ATM/NEAR",""),"")</f>
        <v/>
      </c>
    </row>
    <row r="1241">
      <c r="A1241" s="13">
        <f>CHAIN_RAW!A1241</f>
        <v/>
      </c>
      <c r="B1241" s="14">
        <f>CHAIN_RAW!B1241</f>
        <v/>
      </c>
      <c r="C1241" s="13">
        <f>CHAIN_RAW!C1241</f>
        <v/>
      </c>
      <c r="D1241" s="13">
        <f>CHAIN_RAW!D1241</f>
        <v/>
      </c>
      <c r="E1241" s="13">
        <f>CHAIN_RAW!E1241</f>
        <v/>
      </c>
      <c r="F1241" s="13">
        <f>IFERROR((E1241-D1241)/D1241,"")</f>
        <v/>
      </c>
      <c r="G1241" s="13">
        <f>IFERROR((CHAIN_RAW!K1241+CHAIN_RAW!L1241)/2,"")</f>
        <v/>
      </c>
      <c r="H1241" s="13">
        <f>IFERROR((CHAIN_RAW!R1241+CHAIN_RAW!S1241)/2,"")</f>
        <v/>
      </c>
      <c r="I1241" s="13">
        <f>IFERROR((CHAIN_RAW!L1241-CHAIN_RAW!K1241)/MAX(1E-9, G1241),"")</f>
        <v/>
      </c>
      <c r="J1241" s="13">
        <f>IFERROR((CHAIN_RAW!S1241-CHAIN_RAW!R1241)/MAX(1E-9, H1241),"")</f>
        <v/>
      </c>
      <c r="K1241" s="13">
        <f>CHAIN_RAW!G1241</f>
        <v/>
      </c>
      <c r="L1241" s="13">
        <f>CHAIN_RAW!N1241</f>
        <v/>
      </c>
      <c r="M1241" s="13">
        <f>IFERROR(L1241-K1241,"")</f>
        <v/>
      </c>
      <c r="N1241" s="13">
        <f>CHAIN_RAW!H1241</f>
        <v/>
      </c>
      <c r="O1241" s="13">
        <f>CHAIN_RAW!O1241</f>
        <v/>
      </c>
      <c r="P1241" s="13">
        <f>IFERROR(O1241/N1241,"")</f>
        <v/>
      </c>
      <c r="Q1241" s="13">
        <f>CHAIN_RAW!I1241</f>
        <v/>
      </c>
      <c r="R1241" s="13">
        <f>CHAIN_RAW!P1241</f>
        <v/>
      </c>
      <c r="S1241" s="13">
        <f>IFERROR(R1241/Q1241,"")</f>
        <v/>
      </c>
      <c r="T1241" s="13">
        <f>IFERROR((ABS(N1241-O1241)/MAX(1,(N1241+O1241)))*EXP(-ABS(E1241-CONTROL!E5)/MAX(1,CONTROL!B8)),"")</f>
        <v/>
      </c>
      <c r="U1241" s="13">
        <f>IFERROR(IF(O1241&gt;N1241,"SUPPORT (PE OI)","RESIST (CE OI)"),"")</f>
        <v/>
      </c>
      <c r="V1241" s="13">
        <f>IFERROR(IF(Q1241&gt;0,IF(R1241&gt;0,"BOTH_ADD","CE_ADD_PE_REDUCE"),IF(R1241&gt;0,"CE_REDUCE_PE_ADD","BOTH_REDUCE")),"")</f>
        <v/>
      </c>
      <c r="W1241" s="13">
        <f>IFERROR( (P1241-1)*0.5 + (M1241)*0.1 - (I1241+J1241)*0.05 + T1241*0.4 ,"")</f>
        <v/>
      </c>
      <c r="X1241" s="13">
        <f>IFERROR(IF(ABS(F1241)&lt;0.01,"ATM/NEAR",""),"")</f>
        <v/>
      </c>
    </row>
    <row r="1242">
      <c r="A1242" s="13">
        <f>CHAIN_RAW!A1242</f>
        <v/>
      </c>
      <c r="B1242" s="14">
        <f>CHAIN_RAW!B1242</f>
        <v/>
      </c>
      <c r="C1242" s="13">
        <f>CHAIN_RAW!C1242</f>
        <v/>
      </c>
      <c r="D1242" s="13">
        <f>CHAIN_RAW!D1242</f>
        <v/>
      </c>
      <c r="E1242" s="13">
        <f>CHAIN_RAW!E1242</f>
        <v/>
      </c>
      <c r="F1242" s="13">
        <f>IFERROR((E1242-D1242)/D1242,"")</f>
        <v/>
      </c>
      <c r="G1242" s="13">
        <f>IFERROR((CHAIN_RAW!K1242+CHAIN_RAW!L1242)/2,"")</f>
        <v/>
      </c>
      <c r="H1242" s="13">
        <f>IFERROR((CHAIN_RAW!R1242+CHAIN_RAW!S1242)/2,"")</f>
        <v/>
      </c>
      <c r="I1242" s="13">
        <f>IFERROR((CHAIN_RAW!L1242-CHAIN_RAW!K1242)/MAX(1E-9, G1242),"")</f>
        <v/>
      </c>
      <c r="J1242" s="13">
        <f>IFERROR((CHAIN_RAW!S1242-CHAIN_RAW!R1242)/MAX(1E-9, H1242),"")</f>
        <v/>
      </c>
      <c r="K1242" s="13">
        <f>CHAIN_RAW!G1242</f>
        <v/>
      </c>
      <c r="L1242" s="13">
        <f>CHAIN_RAW!N1242</f>
        <v/>
      </c>
      <c r="M1242" s="13">
        <f>IFERROR(L1242-K1242,"")</f>
        <v/>
      </c>
      <c r="N1242" s="13">
        <f>CHAIN_RAW!H1242</f>
        <v/>
      </c>
      <c r="O1242" s="13">
        <f>CHAIN_RAW!O1242</f>
        <v/>
      </c>
      <c r="P1242" s="13">
        <f>IFERROR(O1242/N1242,"")</f>
        <v/>
      </c>
      <c r="Q1242" s="13">
        <f>CHAIN_RAW!I1242</f>
        <v/>
      </c>
      <c r="R1242" s="13">
        <f>CHAIN_RAW!P1242</f>
        <v/>
      </c>
      <c r="S1242" s="13">
        <f>IFERROR(R1242/Q1242,"")</f>
        <v/>
      </c>
      <c r="T1242" s="13">
        <f>IFERROR((ABS(N1242-O1242)/MAX(1,(N1242+O1242)))*EXP(-ABS(E1242-CONTROL!E5)/MAX(1,CONTROL!B8)),"")</f>
        <v/>
      </c>
      <c r="U1242" s="13">
        <f>IFERROR(IF(O1242&gt;N1242,"SUPPORT (PE OI)","RESIST (CE OI)"),"")</f>
        <v/>
      </c>
      <c r="V1242" s="13">
        <f>IFERROR(IF(Q1242&gt;0,IF(R1242&gt;0,"BOTH_ADD","CE_ADD_PE_REDUCE"),IF(R1242&gt;0,"CE_REDUCE_PE_ADD","BOTH_REDUCE")),"")</f>
        <v/>
      </c>
      <c r="W1242" s="13">
        <f>IFERROR( (P1242-1)*0.5 + (M1242)*0.1 - (I1242+J1242)*0.05 + T1242*0.4 ,"")</f>
        <v/>
      </c>
      <c r="X1242" s="13">
        <f>IFERROR(IF(ABS(F1242)&lt;0.01,"ATM/NEAR",""),"")</f>
        <v/>
      </c>
    </row>
    <row r="1243">
      <c r="A1243" s="13">
        <f>CHAIN_RAW!A1243</f>
        <v/>
      </c>
      <c r="B1243" s="14">
        <f>CHAIN_RAW!B1243</f>
        <v/>
      </c>
      <c r="C1243" s="13">
        <f>CHAIN_RAW!C1243</f>
        <v/>
      </c>
      <c r="D1243" s="13">
        <f>CHAIN_RAW!D1243</f>
        <v/>
      </c>
      <c r="E1243" s="13">
        <f>CHAIN_RAW!E1243</f>
        <v/>
      </c>
      <c r="F1243" s="13">
        <f>IFERROR((E1243-D1243)/D1243,"")</f>
        <v/>
      </c>
      <c r="G1243" s="13">
        <f>IFERROR((CHAIN_RAW!K1243+CHAIN_RAW!L1243)/2,"")</f>
        <v/>
      </c>
      <c r="H1243" s="13">
        <f>IFERROR((CHAIN_RAW!R1243+CHAIN_RAW!S1243)/2,"")</f>
        <v/>
      </c>
      <c r="I1243" s="13">
        <f>IFERROR((CHAIN_RAW!L1243-CHAIN_RAW!K1243)/MAX(1E-9, G1243),"")</f>
        <v/>
      </c>
      <c r="J1243" s="13">
        <f>IFERROR((CHAIN_RAW!S1243-CHAIN_RAW!R1243)/MAX(1E-9, H1243),"")</f>
        <v/>
      </c>
      <c r="K1243" s="13">
        <f>CHAIN_RAW!G1243</f>
        <v/>
      </c>
      <c r="L1243" s="13">
        <f>CHAIN_RAW!N1243</f>
        <v/>
      </c>
      <c r="M1243" s="13">
        <f>IFERROR(L1243-K1243,"")</f>
        <v/>
      </c>
      <c r="N1243" s="13">
        <f>CHAIN_RAW!H1243</f>
        <v/>
      </c>
      <c r="O1243" s="13">
        <f>CHAIN_RAW!O1243</f>
        <v/>
      </c>
      <c r="P1243" s="13">
        <f>IFERROR(O1243/N1243,"")</f>
        <v/>
      </c>
      <c r="Q1243" s="13">
        <f>CHAIN_RAW!I1243</f>
        <v/>
      </c>
      <c r="R1243" s="13">
        <f>CHAIN_RAW!P1243</f>
        <v/>
      </c>
      <c r="S1243" s="13">
        <f>IFERROR(R1243/Q1243,"")</f>
        <v/>
      </c>
      <c r="T1243" s="13">
        <f>IFERROR((ABS(N1243-O1243)/MAX(1,(N1243+O1243)))*EXP(-ABS(E1243-CONTROL!E5)/MAX(1,CONTROL!B8)),"")</f>
        <v/>
      </c>
      <c r="U1243" s="13">
        <f>IFERROR(IF(O1243&gt;N1243,"SUPPORT (PE OI)","RESIST (CE OI)"),"")</f>
        <v/>
      </c>
      <c r="V1243" s="13">
        <f>IFERROR(IF(Q1243&gt;0,IF(R1243&gt;0,"BOTH_ADD","CE_ADD_PE_REDUCE"),IF(R1243&gt;0,"CE_REDUCE_PE_ADD","BOTH_REDUCE")),"")</f>
        <v/>
      </c>
      <c r="W1243" s="13">
        <f>IFERROR( (P1243-1)*0.5 + (M1243)*0.1 - (I1243+J1243)*0.05 + T1243*0.4 ,"")</f>
        <v/>
      </c>
      <c r="X1243" s="13">
        <f>IFERROR(IF(ABS(F1243)&lt;0.01,"ATM/NEAR",""),"")</f>
        <v/>
      </c>
    </row>
    <row r="1244">
      <c r="A1244" s="13">
        <f>CHAIN_RAW!A1244</f>
        <v/>
      </c>
      <c r="B1244" s="14">
        <f>CHAIN_RAW!B1244</f>
        <v/>
      </c>
      <c r="C1244" s="13">
        <f>CHAIN_RAW!C1244</f>
        <v/>
      </c>
      <c r="D1244" s="13">
        <f>CHAIN_RAW!D1244</f>
        <v/>
      </c>
      <c r="E1244" s="13">
        <f>CHAIN_RAW!E1244</f>
        <v/>
      </c>
      <c r="F1244" s="13">
        <f>IFERROR((E1244-D1244)/D1244,"")</f>
        <v/>
      </c>
      <c r="G1244" s="13">
        <f>IFERROR((CHAIN_RAW!K1244+CHAIN_RAW!L1244)/2,"")</f>
        <v/>
      </c>
      <c r="H1244" s="13">
        <f>IFERROR((CHAIN_RAW!R1244+CHAIN_RAW!S1244)/2,"")</f>
        <v/>
      </c>
      <c r="I1244" s="13">
        <f>IFERROR((CHAIN_RAW!L1244-CHAIN_RAW!K1244)/MAX(1E-9, G1244),"")</f>
        <v/>
      </c>
      <c r="J1244" s="13">
        <f>IFERROR((CHAIN_RAW!S1244-CHAIN_RAW!R1244)/MAX(1E-9, H1244),"")</f>
        <v/>
      </c>
      <c r="K1244" s="13">
        <f>CHAIN_RAW!G1244</f>
        <v/>
      </c>
      <c r="L1244" s="13">
        <f>CHAIN_RAW!N1244</f>
        <v/>
      </c>
      <c r="M1244" s="13">
        <f>IFERROR(L1244-K1244,"")</f>
        <v/>
      </c>
      <c r="N1244" s="13">
        <f>CHAIN_RAW!H1244</f>
        <v/>
      </c>
      <c r="O1244" s="13">
        <f>CHAIN_RAW!O1244</f>
        <v/>
      </c>
      <c r="P1244" s="13">
        <f>IFERROR(O1244/N1244,"")</f>
        <v/>
      </c>
      <c r="Q1244" s="13">
        <f>CHAIN_RAW!I1244</f>
        <v/>
      </c>
      <c r="R1244" s="13">
        <f>CHAIN_RAW!P1244</f>
        <v/>
      </c>
      <c r="S1244" s="13">
        <f>IFERROR(R1244/Q1244,"")</f>
        <v/>
      </c>
      <c r="T1244" s="13">
        <f>IFERROR((ABS(N1244-O1244)/MAX(1,(N1244+O1244)))*EXP(-ABS(E1244-CONTROL!E5)/MAX(1,CONTROL!B8)),"")</f>
        <v/>
      </c>
      <c r="U1244" s="13">
        <f>IFERROR(IF(O1244&gt;N1244,"SUPPORT (PE OI)","RESIST (CE OI)"),"")</f>
        <v/>
      </c>
      <c r="V1244" s="13">
        <f>IFERROR(IF(Q1244&gt;0,IF(R1244&gt;0,"BOTH_ADD","CE_ADD_PE_REDUCE"),IF(R1244&gt;0,"CE_REDUCE_PE_ADD","BOTH_REDUCE")),"")</f>
        <v/>
      </c>
      <c r="W1244" s="13">
        <f>IFERROR( (P1244-1)*0.5 + (M1244)*0.1 - (I1244+J1244)*0.05 + T1244*0.4 ,"")</f>
        <v/>
      </c>
      <c r="X1244" s="13">
        <f>IFERROR(IF(ABS(F1244)&lt;0.01,"ATM/NEAR",""),"")</f>
        <v/>
      </c>
    </row>
    <row r="1245">
      <c r="A1245" s="13">
        <f>CHAIN_RAW!A1245</f>
        <v/>
      </c>
      <c r="B1245" s="14">
        <f>CHAIN_RAW!B1245</f>
        <v/>
      </c>
      <c r="C1245" s="13">
        <f>CHAIN_RAW!C1245</f>
        <v/>
      </c>
      <c r="D1245" s="13">
        <f>CHAIN_RAW!D1245</f>
        <v/>
      </c>
      <c r="E1245" s="13">
        <f>CHAIN_RAW!E1245</f>
        <v/>
      </c>
      <c r="F1245" s="13">
        <f>IFERROR((E1245-D1245)/D1245,"")</f>
        <v/>
      </c>
      <c r="G1245" s="13">
        <f>IFERROR((CHAIN_RAW!K1245+CHAIN_RAW!L1245)/2,"")</f>
        <v/>
      </c>
      <c r="H1245" s="13">
        <f>IFERROR((CHAIN_RAW!R1245+CHAIN_RAW!S1245)/2,"")</f>
        <v/>
      </c>
      <c r="I1245" s="13">
        <f>IFERROR((CHAIN_RAW!L1245-CHAIN_RAW!K1245)/MAX(1E-9, G1245),"")</f>
        <v/>
      </c>
      <c r="J1245" s="13">
        <f>IFERROR((CHAIN_RAW!S1245-CHAIN_RAW!R1245)/MAX(1E-9, H1245),"")</f>
        <v/>
      </c>
      <c r="K1245" s="13">
        <f>CHAIN_RAW!G1245</f>
        <v/>
      </c>
      <c r="L1245" s="13">
        <f>CHAIN_RAW!N1245</f>
        <v/>
      </c>
      <c r="M1245" s="13">
        <f>IFERROR(L1245-K1245,"")</f>
        <v/>
      </c>
      <c r="N1245" s="13">
        <f>CHAIN_RAW!H1245</f>
        <v/>
      </c>
      <c r="O1245" s="13">
        <f>CHAIN_RAW!O1245</f>
        <v/>
      </c>
      <c r="P1245" s="13">
        <f>IFERROR(O1245/N1245,"")</f>
        <v/>
      </c>
      <c r="Q1245" s="13">
        <f>CHAIN_RAW!I1245</f>
        <v/>
      </c>
      <c r="R1245" s="13">
        <f>CHAIN_RAW!P1245</f>
        <v/>
      </c>
      <c r="S1245" s="13">
        <f>IFERROR(R1245/Q1245,"")</f>
        <v/>
      </c>
      <c r="T1245" s="13">
        <f>IFERROR((ABS(N1245-O1245)/MAX(1,(N1245+O1245)))*EXP(-ABS(E1245-CONTROL!E5)/MAX(1,CONTROL!B8)),"")</f>
        <v/>
      </c>
      <c r="U1245" s="13">
        <f>IFERROR(IF(O1245&gt;N1245,"SUPPORT (PE OI)","RESIST (CE OI)"),"")</f>
        <v/>
      </c>
      <c r="V1245" s="13">
        <f>IFERROR(IF(Q1245&gt;0,IF(R1245&gt;0,"BOTH_ADD","CE_ADD_PE_REDUCE"),IF(R1245&gt;0,"CE_REDUCE_PE_ADD","BOTH_REDUCE")),"")</f>
        <v/>
      </c>
      <c r="W1245" s="13">
        <f>IFERROR( (P1245-1)*0.5 + (M1245)*0.1 - (I1245+J1245)*0.05 + T1245*0.4 ,"")</f>
        <v/>
      </c>
      <c r="X1245" s="13">
        <f>IFERROR(IF(ABS(F1245)&lt;0.01,"ATM/NEAR",""),"")</f>
        <v/>
      </c>
    </row>
    <row r="1246">
      <c r="A1246" s="13">
        <f>CHAIN_RAW!A1246</f>
        <v/>
      </c>
      <c r="B1246" s="14">
        <f>CHAIN_RAW!B1246</f>
        <v/>
      </c>
      <c r="C1246" s="13">
        <f>CHAIN_RAW!C1246</f>
        <v/>
      </c>
      <c r="D1246" s="13">
        <f>CHAIN_RAW!D1246</f>
        <v/>
      </c>
      <c r="E1246" s="13">
        <f>CHAIN_RAW!E1246</f>
        <v/>
      </c>
      <c r="F1246" s="13">
        <f>IFERROR((E1246-D1246)/D1246,"")</f>
        <v/>
      </c>
      <c r="G1246" s="13">
        <f>IFERROR((CHAIN_RAW!K1246+CHAIN_RAW!L1246)/2,"")</f>
        <v/>
      </c>
      <c r="H1246" s="13">
        <f>IFERROR((CHAIN_RAW!R1246+CHAIN_RAW!S1246)/2,"")</f>
        <v/>
      </c>
      <c r="I1246" s="13">
        <f>IFERROR((CHAIN_RAW!L1246-CHAIN_RAW!K1246)/MAX(1E-9, G1246),"")</f>
        <v/>
      </c>
      <c r="J1246" s="13">
        <f>IFERROR((CHAIN_RAW!S1246-CHAIN_RAW!R1246)/MAX(1E-9, H1246),"")</f>
        <v/>
      </c>
      <c r="K1246" s="13">
        <f>CHAIN_RAW!G1246</f>
        <v/>
      </c>
      <c r="L1246" s="13">
        <f>CHAIN_RAW!N1246</f>
        <v/>
      </c>
      <c r="M1246" s="13">
        <f>IFERROR(L1246-K1246,"")</f>
        <v/>
      </c>
      <c r="N1246" s="13">
        <f>CHAIN_RAW!H1246</f>
        <v/>
      </c>
      <c r="O1246" s="13">
        <f>CHAIN_RAW!O1246</f>
        <v/>
      </c>
      <c r="P1246" s="13">
        <f>IFERROR(O1246/N1246,"")</f>
        <v/>
      </c>
      <c r="Q1246" s="13">
        <f>CHAIN_RAW!I1246</f>
        <v/>
      </c>
      <c r="R1246" s="13">
        <f>CHAIN_RAW!P1246</f>
        <v/>
      </c>
      <c r="S1246" s="13">
        <f>IFERROR(R1246/Q1246,"")</f>
        <v/>
      </c>
      <c r="T1246" s="13">
        <f>IFERROR((ABS(N1246-O1246)/MAX(1,(N1246+O1246)))*EXP(-ABS(E1246-CONTROL!E5)/MAX(1,CONTROL!B8)),"")</f>
        <v/>
      </c>
      <c r="U1246" s="13">
        <f>IFERROR(IF(O1246&gt;N1246,"SUPPORT (PE OI)","RESIST (CE OI)"),"")</f>
        <v/>
      </c>
      <c r="V1246" s="13">
        <f>IFERROR(IF(Q1246&gt;0,IF(R1246&gt;0,"BOTH_ADD","CE_ADD_PE_REDUCE"),IF(R1246&gt;0,"CE_REDUCE_PE_ADD","BOTH_REDUCE")),"")</f>
        <v/>
      </c>
      <c r="W1246" s="13">
        <f>IFERROR( (P1246-1)*0.5 + (M1246)*0.1 - (I1246+J1246)*0.05 + T1246*0.4 ,"")</f>
        <v/>
      </c>
      <c r="X1246" s="13">
        <f>IFERROR(IF(ABS(F1246)&lt;0.01,"ATM/NEAR",""),"")</f>
        <v/>
      </c>
    </row>
    <row r="1247">
      <c r="A1247" s="13">
        <f>CHAIN_RAW!A1247</f>
        <v/>
      </c>
      <c r="B1247" s="14">
        <f>CHAIN_RAW!B1247</f>
        <v/>
      </c>
      <c r="C1247" s="13">
        <f>CHAIN_RAW!C1247</f>
        <v/>
      </c>
      <c r="D1247" s="13">
        <f>CHAIN_RAW!D1247</f>
        <v/>
      </c>
      <c r="E1247" s="13">
        <f>CHAIN_RAW!E1247</f>
        <v/>
      </c>
      <c r="F1247" s="13">
        <f>IFERROR((E1247-D1247)/D1247,"")</f>
        <v/>
      </c>
      <c r="G1247" s="13">
        <f>IFERROR((CHAIN_RAW!K1247+CHAIN_RAW!L1247)/2,"")</f>
        <v/>
      </c>
      <c r="H1247" s="13">
        <f>IFERROR((CHAIN_RAW!R1247+CHAIN_RAW!S1247)/2,"")</f>
        <v/>
      </c>
      <c r="I1247" s="13">
        <f>IFERROR((CHAIN_RAW!L1247-CHAIN_RAW!K1247)/MAX(1E-9, G1247),"")</f>
        <v/>
      </c>
      <c r="J1247" s="13">
        <f>IFERROR((CHAIN_RAW!S1247-CHAIN_RAW!R1247)/MAX(1E-9, H1247),"")</f>
        <v/>
      </c>
      <c r="K1247" s="13">
        <f>CHAIN_RAW!G1247</f>
        <v/>
      </c>
      <c r="L1247" s="13">
        <f>CHAIN_RAW!N1247</f>
        <v/>
      </c>
      <c r="M1247" s="13">
        <f>IFERROR(L1247-K1247,"")</f>
        <v/>
      </c>
      <c r="N1247" s="13">
        <f>CHAIN_RAW!H1247</f>
        <v/>
      </c>
      <c r="O1247" s="13">
        <f>CHAIN_RAW!O1247</f>
        <v/>
      </c>
      <c r="P1247" s="13">
        <f>IFERROR(O1247/N1247,"")</f>
        <v/>
      </c>
      <c r="Q1247" s="13">
        <f>CHAIN_RAW!I1247</f>
        <v/>
      </c>
      <c r="R1247" s="13">
        <f>CHAIN_RAW!P1247</f>
        <v/>
      </c>
      <c r="S1247" s="13">
        <f>IFERROR(R1247/Q1247,"")</f>
        <v/>
      </c>
      <c r="T1247" s="13">
        <f>IFERROR((ABS(N1247-O1247)/MAX(1,(N1247+O1247)))*EXP(-ABS(E1247-CONTROL!E5)/MAX(1,CONTROL!B8)),"")</f>
        <v/>
      </c>
      <c r="U1247" s="13">
        <f>IFERROR(IF(O1247&gt;N1247,"SUPPORT (PE OI)","RESIST (CE OI)"),"")</f>
        <v/>
      </c>
      <c r="V1247" s="13">
        <f>IFERROR(IF(Q1247&gt;0,IF(R1247&gt;0,"BOTH_ADD","CE_ADD_PE_REDUCE"),IF(R1247&gt;0,"CE_REDUCE_PE_ADD","BOTH_REDUCE")),"")</f>
        <v/>
      </c>
      <c r="W1247" s="13">
        <f>IFERROR( (P1247-1)*0.5 + (M1247)*0.1 - (I1247+J1247)*0.05 + T1247*0.4 ,"")</f>
        <v/>
      </c>
      <c r="X1247" s="13">
        <f>IFERROR(IF(ABS(F1247)&lt;0.01,"ATM/NEAR",""),"")</f>
        <v/>
      </c>
    </row>
    <row r="1248">
      <c r="A1248" s="13">
        <f>CHAIN_RAW!A1248</f>
        <v/>
      </c>
      <c r="B1248" s="14">
        <f>CHAIN_RAW!B1248</f>
        <v/>
      </c>
      <c r="C1248" s="13">
        <f>CHAIN_RAW!C1248</f>
        <v/>
      </c>
      <c r="D1248" s="13">
        <f>CHAIN_RAW!D1248</f>
        <v/>
      </c>
      <c r="E1248" s="13">
        <f>CHAIN_RAW!E1248</f>
        <v/>
      </c>
      <c r="F1248" s="13">
        <f>IFERROR((E1248-D1248)/D1248,"")</f>
        <v/>
      </c>
      <c r="G1248" s="13">
        <f>IFERROR((CHAIN_RAW!K1248+CHAIN_RAW!L1248)/2,"")</f>
        <v/>
      </c>
      <c r="H1248" s="13">
        <f>IFERROR((CHAIN_RAW!R1248+CHAIN_RAW!S1248)/2,"")</f>
        <v/>
      </c>
      <c r="I1248" s="13">
        <f>IFERROR((CHAIN_RAW!L1248-CHAIN_RAW!K1248)/MAX(1E-9, G1248),"")</f>
        <v/>
      </c>
      <c r="J1248" s="13">
        <f>IFERROR((CHAIN_RAW!S1248-CHAIN_RAW!R1248)/MAX(1E-9, H1248),"")</f>
        <v/>
      </c>
      <c r="K1248" s="13">
        <f>CHAIN_RAW!G1248</f>
        <v/>
      </c>
      <c r="L1248" s="13">
        <f>CHAIN_RAW!N1248</f>
        <v/>
      </c>
      <c r="M1248" s="13">
        <f>IFERROR(L1248-K1248,"")</f>
        <v/>
      </c>
      <c r="N1248" s="13">
        <f>CHAIN_RAW!H1248</f>
        <v/>
      </c>
      <c r="O1248" s="13">
        <f>CHAIN_RAW!O1248</f>
        <v/>
      </c>
      <c r="P1248" s="13">
        <f>IFERROR(O1248/N1248,"")</f>
        <v/>
      </c>
      <c r="Q1248" s="13">
        <f>CHAIN_RAW!I1248</f>
        <v/>
      </c>
      <c r="R1248" s="13">
        <f>CHAIN_RAW!P1248</f>
        <v/>
      </c>
      <c r="S1248" s="13">
        <f>IFERROR(R1248/Q1248,"")</f>
        <v/>
      </c>
      <c r="T1248" s="13">
        <f>IFERROR((ABS(N1248-O1248)/MAX(1,(N1248+O1248)))*EXP(-ABS(E1248-CONTROL!E5)/MAX(1,CONTROL!B8)),"")</f>
        <v/>
      </c>
      <c r="U1248" s="13">
        <f>IFERROR(IF(O1248&gt;N1248,"SUPPORT (PE OI)","RESIST (CE OI)"),"")</f>
        <v/>
      </c>
      <c r="V1248" s="13">
        <f>IFERROR(IF(Q1248&gt;0,IF(R1248&gt;0,"BOTH_ADD","CE_ADD_PE_REDUCE"),IF(R1248&gt;0,"CE_REDUCE_PE_ADD","BOTH_REDUCE")),"")</f>
        <v/>
      </c>
      <c r="W1248" s="13">
        <f>IFERROR( (P1248-1)*0.5 + (M1248)*0.1 - (I1248+J1248)*0.05 + T1248*0.4 ,"")</f>
        <v/>
      </c>
      <c r="X1248" s="13">
        <f>IFERROR(IF(ABS(F1248)&lt;0.01,"ATM/NEAR",""),"")</f>
        <v/>
      </c>
    </row>
    <row r="1249">
      <c r="A1249" s="13">
        <f>CHAIN_RAW!A1249</f>
        <v/>
      </c>
      <c r="B1249" s="14">
        <f>CHAIN_RAW!B1249</f>
        <v/>
      </c>
      <c r="C1249" s="13">
        <f>CHAIN_RAW!C1249</f>
        <v/>
      </c>
      <c r="D1249" s="13">
        <f>CHAIN_RAW!D1249</f>
        <v/>
      </c>
      <c r="E1249" s="13">
        <f>CHAIN_RAW!E1249</f>
        <v/>
      </c>
      <c r="F1249" s="13">
        <f>IFERROR((E1249-D1249)/D1249,"")</f>
        <v/>
      </c>
      <c r="G1249" s="13">
        <f>IFERROR((CHAIN_RAW!K1249+CHAIN_RAW!L1249)/2,"")</f>
        <v/>
      </c>
      <c r="H1249" s="13">
        <f>IFERROR((CHAIN_RAW!R1249+CHAIN_RAW!S1249)/2,"")</f>
        <v/>
      </c>
      <c r="I1249" s="13">
        <f>IFERROR((CHAIN_RAW!L1249-CHAIN_RAW!K1249)/MAX(1E-9, G1249),"")</f>
        <v/>
      </c>
      <c r="J1249" s="13">
        <f>IFERROR((CHAIN_RAW!S1249-CHAIN_RAW!R1249)/MAX(1E-9, H1249),"")</f>
        <v/>
      </c>
      <c r="K1249" s="13">
        <f>CHAIN_RAW!G1249</f>
        <v/>
      </c>
      <c r="L1249" s="13">
        <f>CHAIN_RAW!N1249</f>
        <v/>
      </c>
      <c r="M1249" s="13">
        <f>IFERROR(L1249-K1249,"")</f>
        <v/>
      </c>
      <c r="N1249" s="13">
        <f>CHAIN_RAW!H1249</f>
        <v/>
      </c>
      <c r="O1249" s="13">
        <f>CHAIN_RAW!O1249</f>
        <v/>
      </c>
      <c r="P1249" s="13">
        <f>IFERROR(O1249/N1249,"")</f>
        <v/>
      </c>
      <c r="Q1249" s="13">
        <f>CHAIN_RAW!I1249</f>
        <v/>
      </c>
      <c r="R1249" s="13">
        <f>CHAIN_RAW!P1249</f>
        <v/>
      </c>
      <c r="S1249" s="13">
        <f>IFERROR(R1249/Q1249,"")</f>
        <v/>
      </c>
      <c r="T1249" s="13">
        <f>IFERROR((ABS(N1249-O1249)/MAX(1,(N1249+O1249)))*EXP(-ABS(E1249-CONTROL!E5)/MAX(1,CONTROL!B8)),"")</f>
        <v/>
      </c>
      <c r="U1249" s="13">
        <f>IFERROR(IF(O1249&gt;N1249,"SUPPORT (PE OI)","RESIST (CE OI)"),"")</f>
        <v/>
      </c>
      <c r="V1249" s="13">
        <f>IFERROR(IF(Q1249&gt;0,IF(R1249&gt;0,"BOTH_ADD","CE_ADD_PE_REDUCE"),IF(R1249&gt;0,"CE_REDUCE_PE_ADD","BOTH_REDUCE")),"")</f>
        <v/>
      </c>
      <c r="W1249" s="13">
        <f>IFERROR( (P1249-1)*0.5 + (M1249)*0.1 - (I1249+J1249)*0.05 + T1249*0.4 ,"")</f>
        <v/>
      </c>
      <c r="X1249" s="13">
        <f>IFERROR(IF(ABS(F1249)&lt;0.01,"ATM/NEAR",""),"")</f>
        <v/>
      </c>
    </row>
    <row r="1250">
      <c r="A1250" s="13">
        <f>CHAIN_RAW!A1250</f>
        <v/>
      </c>
      <c r="B1250" s="14">
        <f>CHAIN_RAW!B1250</f>
        <v/>
      </c>
      <c r="C1250" s="13">
        <f>CHAIN_RAW!C1250</f>
        <v/>
      </c>
      <c r="D1250" s="13">
        <f>CHAIN_RAW!D1250</f>
        <v/>
      </c>
      <c r="E1250" s="13">
        <f>CHAIN_RAW!E1250</f>
        <v/>
      </c>
      <c r="F1250" s="13">
        <f>IFERROR((E1250-D1250)/D1250,"")</f>
        <v/>
      </c>
      <c r="G1250" s="13">
        <f>IFERROR((CHAIN_RAW!K1250+CHAIN_RAW!L1250)/2,"")</f>
        <v/>
      </c>
      <c r="H1250" s="13">
        <f>IFERROR((CHAIN_RAW!R1250+CHAIN_RAW!S1250)/2,"")</f>
        <v/>
      </c>
      <c r="I1250" s="13">
        <f>IFERROR((CHAIN_RAW!L1250-CHAIN_RAW!K1250)/MAX(1E-9, G1250),"")</f>
        <v/>
      </c>
      <c r="J1250" s="13">
        <f>IFERROR((CHAIN_RAW!S1250-CHAIN_RAW!R1250)/MAX(1E-9, H1250),"")</f>
        <v/>
      </c>
      <c r="K1250" s="13">
        <f>CHAIN_RAW!G1250</f>
        <v/>
      </c>
      <c r="L1250" s="13">
        <f>CHAIN_RAW!N1250</f>
        <v/>
      </c>
      <c r="M1250" s="13">
        <f>IFERROR(L1250-K1250,"")</f>
        <v/>
      </c>
      <c r="N1250" s="13">
        <f>CHAIN_RAW!H1250</f>
        <v/>
      </c>
      <c r="O1250" s="13">
        <f>CHAIN_RAW!O1250</f>
        <v/>
      </c>
      <c r="P1250" s="13">
        <f>IFERROR(O1250/N1250,"")</f>
        <v/>
      </c>
      <c r="Q1250" s="13">
        <f>CHAIN_RAW!I1250</f>
        <v/>
      </c>
      <c r="R1250" s="13">
        <f>CHAIN_RAW!P1250</f>
        <v/>
      </c>
      <c r="S1250" s="13">
        <f>IFERROR(R1250/Q1250,"")</f>
        <v/>
      </c>
      <c r="T1250" s="13">
        <f>IFERROR((ABS(N1250-O1250)/MAX(1,(N1250+O1250)))*EXP(-ABS(E1250-CONTROL!E5)/MAX(1,CONTROL!B8)),"")</f>
        <v/>
      </c>
      <c r="U1250" s="13">
        <f>IFERROR(IF(O1250&gt;N1250,"SUPPORT (PE OI)","RESIST (CE OI)"),"")</f>
        <v/>
      </c>
      <c r="V1250" s="13">
        <f>IFERROR(IF(Q1250&gt;0,IF(R1250&gt;0,"BOTH_ADD","CE_ADD_PE_REDUCE"),IF(R1250&gt;0,"CE_REDUCE_PE_ADD","BOTH_REDUCE")),"")</f>
        <v/>
      </c>
      <c r="W1250" s="13">
        <f>IFERROR( (P1250-1)*0.5 + (M1250)*0.1 - (I1250+J1250)*0.05 + T1250*0.4 ,"")</f>
        <v/>
      </c>
      <c r="X1250" s="13">
        <f>IFERROR(IF(ABS(F1250)&lt;0.01,"ATM/NEAR",""),"")</f>
        <v/>
      </c>
    </row>
    <row r="1251">
      <c r="A1251" s="13">
        <f>CHAIN_RAW!A1251</f>
        <v/>
      </c>
      <c r="B1251" s="14">
        <f>CHAIN_RAW!B1251</f>
        <v/>
      </c>
      <c r="C1251" s="13">
        <f>CHAIN_RAW!C1251</f>
        <v/>
      </c>
      <c r="D1251" s="13">
        <f>CHAIN_RAW!D1251</f>
        <v/>
      </c>
      <c r="E1251" s="13">
        <f>CHAIN_RAW!E1251</f>
        <v/>
      </c>
      <c r="F1251" s="13">
        <f>IFERROR((E1251-D1251)/D1251,"")</f>
        <v/>
      </c>
      <c r="G1251" s="13">
        <f>IFERROR((CHAIN_RAW!K1251+CHAIN_RAW!L1251)/2,"")</f>
        <v/>
      </c>
      <c r="H1251" s="13">
        <f>IFERROR((CHAIN_RAW!R1251+CHAIN_RAW!S1251)/2,"")</f>
        <v/>
      </c>
      <c r="I1251" s="13">
        <f>IFERROR((CHAIN_RAW!L1251-CHAIN_RAW!K1251)/MAX(1E-9, G1251),"")</f>
        <v/>
      </c>
      <c r="J1251" s="13">
        <f>IFERROR((CHAIN_RAW!S1251-CHAIN_RAW!R1251)/MAX(1E-9, H1251),"")</f>
        <v/>
      </c>
      <c r="K1251" s="13">
        <f>CHAIN_RAW!G1251</f>
        <v/>
      </c>
      <c r="L1251" s="13">
        <f>CHAIN_RAW!N1251</f>
        <v/>
      </c>
      <c r="M1251" s="13">
        <f>IFERROR(L1251-K1251,"")</f>
        <v/>
      </c>
      <c r="N1251" s="13">
        <f>CHAIN_RAW!H1251</f>
        <v/>
      </c>
      <c r="O1251" s="13">
        <f>CHAIN_RAW!O1251</f>
        <v/>
      </c>
      <c r="P1251" s="13">
        <f>IFERROR(O1251/N1251,"")</f>
        <v/>
      </c>
      <c r="Q1251" s="13">
        <f>CHAIN_RAW!I1251</f>
        <v/>
      </c>
      <c r="R1251" s="13">
        <f>CHAIN_RAW!P1251</f>
        <v/>
      </c>
      <c r="S1251" s="13">
        <f>IFERROR(R1251/Q1251,"")</f>
        <v/>
      </c>
      <c r="T1251" s="13">
        <f>IFERROR((ABS(N1251-O1251)/MAX(1,(N1251+O1251)))*EXP(-ABS(E1251-CONTROL!E5)/MAX(1,CONTROL!B8)),"")</f>
        <v/>
      </c>
      <c r="U1251" s="13">
        <f>IFERROR(IF(O1251&gt;N1251,"SUPPORT (PE OI)","RESIST (CE OI)"),"")</f>
        <v/>
      </c>
      <c r="V1251" s="13">
        <f>IFERROR(IF(Q1251&gt;0,IF(R1251&gt;0,"BOTH_ADD","CE_ADD_PE_REDUCE"),IF(R1251&gt;0,"CE_REDUCE_PE_ADD","BOTH_REDUCE")),"")</f>
        <v/>
      </c>
      <c r="W1251" s="13">
        <f>IFERROR( (P1251-1)*0.5 + (M1251)*0.1 - (I1251+J1251)*0.05 + T1251*0.4 ,"")</f>
        <v/>
      </c>
      <c r="X1251" s="13">
        <f>IFERROR(IF(ABS(F1251)&lt;0.01,"ATM/NEAR",""),"")</f>
        <v/>
      </c>
    </row>
    <row r="1252">
      <c r="A1252" s="13">
        <f>CHAIN_RAW!A1252</f>
        <v/>
      </c>
      <c r="B1252" s="14">
        <f>CHAIN_RAW!B1252</f>
        <v/>
      </c>
      <c r="C1252" s="13">
        <f>CHAIN_RAW!C1252</f>
        <v/>
      </c>
      <c r="D1252" s="13">
        <f>CHAIN_RAW!D1252</f>
        <v/>
      </c>
      <c r="E1252" s="13">
        <f>CHAIN_RAW!E1252</f>
        <v/>
      </c>
      <c r="F1252" s="13">
        <f>IFERROR((E1252-D1252)/D1252,"")</f>
        <v/>
      </c>
      <c r="G1252" s="13">
        <f>IFERROR((CHAIN_RAW!K1252+CHAIN_RAW!L1252)/2,"")</f>
        <v/>
      </c>
      <c r="H1252" s="13">
        <f>IFERROR((CHAIN_RAW!R1252+CHAIN_RAW!S1252)/2,"")</f>
        <v/>
      </c>
      <c r="I1252" s="13">
        <f>IFERROR((CHAIN_RAW!L1252-CHAIN_RAW!K1252)/MAX(1E-9, G1252),"")</f>
        <v/>
      </c>
      <c r="J1252" s="13">
        <f>IFERROR((CHAIN_RAW!S1252-CHAIN_RAW!R1252)/MAX(1E-9, H1252),"")</f>
        <v/>
      </c>
      <c r="K1252" s="13">
        <f>CHAIN_RAW!G1252</f>
        <v/>
      </c>
      <c r="L1252" s="13">
        <f>CHAIN_RAW!N1252</f>
        <v/>
      </c>
      <c r="M1252" s="13">
        <f>IFERROR(L1252-K1252,"")</f>
        <v/>
      </c>
      <c r="N1252" s="13">
        <f>CHAIN_RAW!H1252</f>
        <v/>
      </c>
      <c r="O1252" s="13">
        <f>CHAIN_RAW!O1252</f>
        <v/>
      </c>
      <c r="P1252" s="13">
        <f>IFERROR(O1252/N1252,"")</f>
        <v/>
      </c>
      <c r="Q1252" s="13">
        <f>CHAIN_RAW!I1252</f>
        <v/>
      </c>
      <c r="R1252" s="13">
        <f>CHAIN_RAW!P1252</f>
        <v/>
      </c>
      <c r="S1252" s="13">
        <f>IFERROR(R1252/Q1252,"")</f>
        <v/>
      </c>
      <c r="T1252" s="13">
        <f>IFERROR((ABS(N1252-O1252)/MAX(1,(N1252+O1252)))*EXP(-ABS(E1252-CONTROL!E5)/MAX(1,CONTROL!B8)),"")</f>
        <v/>
      </c>
      <c r="U1252" s="13">
        <f>IFERROR(IF(O1252&gt;N1252,"SUPPORT (PE OI)","RESIST (CE OI)"),"")</f>
        <v/>
      </c>
      <c r="V1252" s="13">
        <f>IFERROR(IF(Q1252&gt;0,IF(R1252&gt;0,"BOTH_ADD","CE_ADD_PE_REDUCE"),IF(R1252&gt;0,"CE_REDUCE_PE_ADD","BOTH_REDUCE")),"")</f>
        <v/>
      </c>
      <c r="W1252" s="13">
        <f>IFERROR( (P1252-1)*0.5 + (M1252)*0.1 - (I1252+J1252)*0.05 + T1252*0.4 ,"")</f>
        <v/>
      </c>
      <c r="X1252" s="13">
        <f>IFERROR(IF(ABS(F1252)&lt;0.01,"ATM/NEAR",""),"")</f>
        <v/>
      </c>
    </row>
    <row r="1253">
      <c r="A1253" s="13">
        <f>CHAIN_RAW!A1253</f>
        <v/>
      </c>
      <c r="B1253" s="14">
        <f>CHAIN_RAW!B1253</f>
        <v/>
      </c>
      <c r="C1253" s="13">
        <f>CHAIN_RAW!C1253</f>
        <v/>
      </c>
      <c r="D1253" s="13">
        <f>CHAIN_RAW!D1253</f>
        <v/>
      </c>
      <c r="E1253" s="13">
        <f>CHAIN_RAW!E1253</f>
        <v/>
      </c>
      <c r="F1253" s="13">
        <f>IFERROR((E1253-D1253)/D1253,"")</f>
        <v/>
      </c>
      <c r="G1253" s="13">
        <f>IFERROR((CHAIN_RAW!K1253+CHAIN_RAW!L1253)/2,"")</f>
        <v/>
      </c>
      <c r="H1253" s="13">
        <f>IFERROR((CHAIN_RAW!R1253+CHAIN_RAW!S1253)/2,"")</f>
        <v/>
      </c>
      <c r="I1253" s="13">
        <f>IFERROR((CHAIN_RAW!L1253-CHAIN_RAW!K1253)/MAX(1E-9, G1253),"")</f>
        <v/>
      </c>
      <c r="J1253" s="13">
        <f>IFERROR((CHAIN_RAW!S1253-CHAIN_RAW!R1253)/MAX(1E-9, H1253),"")</f>
        <v/>
      </c>
      <c r="K1253" s="13">
        <f>CHAIN_RAW!G1253</f>
        <v/>
      </c>
      <c r="L1253" s="13">
        <f>CHAIN_RAW!N1253</f>
        <v/>
      </c>
      <c r="M1253" s="13">
        <f>IFERROR(L1253-K1253,"")</f>
        <v/>
      </c>
      <c r="N1253" s="13">
        <f>CHAIN_RAW!H1253</f>
        <v/>
      </c>
      <c r="O1253" s="13">
        <f>CHAIN_RAW!O1253</f>
        <v/>
      </c>
      <c r="P1253" s="13">
        <f>IFERROR(O1253/N1253,"")</f>
        <v/>
      </c>
      <c r="Q1253" s="13">
        <f>CHAIN_RAW!I1253</f>
        <v/>
      </c>
      <c r="R1253" s="13">
        <f>CHAIN_RAW!P1253</f>
        <v/>
      </c>
      <c r="S1253" s="13">
        <f>IFERROR(R1253/Q1253,"")</f>
        <v/>
      </c>
      <c r="T1253" s="13">
        <f>IFERROR((ABS(N1253-O1253)/MAX(1,(N1253+O1253)))*EXP(-ABS(E1253-CONTROL!E5)/MAX(1,CONTROL!B8)),"")</f>
        <v/>
      </c>
      <c r="U1253" s="13">
        <f>IFERROR(IF(O1253&gt;N1253,"SUPPORT (PE OI)","RESIST (CE OI)"),"")</f>
        <v/>
      </c>
      <c r="V1253" s="13">
        <f>IFERROR(IF(Q1253&gt;0,IF(R1253&gt;0,"BOTH_ADD","CE_ADD_PE_REDUCE"),IF(R1253&gt;0,"CE_REDUCE_PE_ADD","BOTH_REDUCE")),"")</f>
        <v/>
      </c>
      <c r="W1253" s="13">
        <f>IFERROR( (P1253-1)*0.5 + (M1253)*0.1 - (I1253+J1253)*0.05 + T1253*0.4 ,"")</f>
        <v/>
      </c>
      <c r="X1253" s="13">
        <f>IFERROR(IF(ABS(F1253)&lt;0.01,"ATM/NEAR",""),"")</f>
        <v/>
      </c>
    </row>
    <row r="1254">
      <c r="A1254" s="13">
        <f>CHAIN_RAW!A1254</f>
        <v/>
      </c>
      <c r="B1254" s="14">
        <f>CHAIN_RAW!B1254</f>
        <v/>
      </c>
      <c r="C1254" s="13">
        <f>CHAIN_RAW!C1254</f>
        <v/>
      </c>
      <c r="D1254" s="13">
        <f>CHAIN_RAW!D1254</f>
        <v/>
      </c>
      <c r="E1254" s="13">
        <f>CHAIN_RAW!E1254</f>
        <v/>
      </c>
      <c r="F1254" s="13">
        <f>IFERROR((E1254-D1254)/D1254,"")</f>
        <v/>
      </c>
      <c r="G1254" s="13">
        <f>IFERROR((CHAIN_RAW!K1254+CHAIN_RAW!L1254)/2,"")</f>
        <v/>
      </c>
      <c r="H1254" s="13">
        <f>IFERROR((CHAIN_RAW!R1254+CHAIN_RAW!S1254)/2,"")</f>
        <v/>
      </c>
      <c r="I1254" s="13">
        <f>IFERROR((CHAIN_RAW!L1254-CHAIN_RAW!K1254)/MAX(1E-9, G1254),"")</f>
        <v/>
      </c>
      <c r="J1254" s="13">
        <f>IFERROR((CHAIN_RAW!S1254-CHAIN_RAW!R1254)/MAX(1E-9, H1254),"")</f>
        <v/>
      </c>
      <c r="K1254" s="13">
        <f>CHAIN_RAW!G1254</f>
        <v/>
      </c>
      <c r="L1254" s="13">
        <f>CHAIN_RAW!N1254</f>
        <v/>
      </c>
      <c r="M1254" s="13">
        <f>IFERROR(L1254-K1254,"")</f>
        <v/>
      </c>
      <c r="N1254" s="13">
        <f>CHAIN_RAW!H1254</f>
        <v/>
      </c>
      <c r="O1254" s="13">
        <f>CHAIN_RAW!O1254</f>
        <v/>
      </c>
      <c r="P1254" s="13">
        <f>IFERROR(O1254/N1254,"")</f>
        <v/>
      </c>
      <c r="Q1254" s="13">
        <f>CHAIN_RAW!I1254</f>
        <v/>
      </c>
      <c r="R1254" s="13">
        <f>CHAIN_RAW!P1254</f>
        <v/>
      </c>
      <c r="S1254" s="13">
        <f>IFERROR(R1254/Q1254,"")</f>
        <v/>
      </c>
      <c r="T1254" s="13">
        <f>IFERROR((ABS(N1254-O1254)/MAX(1,(N1254+O1254)))*EXP(-ABS(E1254-CONTROL!E5)/MAX(1,CONTROL!B8)),"")</f>
        <v/>
      </c>
      <c r="U1254" s="13">
        <f>IFERROR(IF(O1254&gt;N1254,"SUPPORT (PE OI)","RESIST (CE OI)"),"")</f>
        <v/>
      </c>
      <c r="V1254" s="13">
        <f>IFERROR(IF(Q1254&gt;0,IF(R1254&gt;0,"BOTH_ADD","CE_ADD_PE_REDUCE"),IF(R1254&gt;0,"CE_REDUCE_PE_ADD","BOTH_REDUCE")),"")</f>
        <v/>
      </c>
      <c r="W1254" s="13">
        <f>IFERROR( (P1254-1)*0.5 + (M1254)*0.1 - (I1254+J1254)*0.05 + T1254*0.4 ,"")</f>
        <v/>
      </c>
      <c r="X1254" s="13">
        <f>IFERROR(IF(ABS(F1254)&lt;0.01,"ATM/NEAR",""),"")</f>
        <v/>
      </c>
    </row>
    <row r="1255">
      <c r="A1255" s="13">
        <f>CHAIN_RAW!A1255</f>
        <v/>
      </c>
      <c r="B1255" s="14">
        <f>CHAIN_RAW!B1255</f>
        <v/>
      </c>
      <c r="C1255" s="13">
        <f>CHAIN_RAW!C1255</f>
        <v/>
      </c>
      <c r="D1255" s="13">
        <f>CHAIN_RAW!D1255</f>
        <v/>
      </c>
      <c r="E1255" s="13">
        <f>CHAIN_RAW!E1255</f>
        <v/>
      </c>
      <c r="F1255" s="13">
        <f>IFERROR((E1255-D1255)/D1255,"")</f>
        <v/>
      </c>
      <c r="G1255" s="13">
        <f>IFERROR((CHAIN_RAW!K1255+CHAIN_RAW!L1255)/2,"")</f>
        <v/>
      </c>
      <c r="H1255" s="13">
        <f>IFERROR((CHAIN_RAW!R1255+CHAIN_RAW!S1255)/2,"")</f>
        <v/>
      </c>
      <c r="I1255" s="13">
        <f>IFERROR((CHAIN_RAW!L1255-CHAIN_RAW!K1255)/MAX(1E-9, G1255),"")</f>
        <v/>
      </c>
      <c r="J1255" s="13">
        <f>IFERROR((CHAIN_RAW!S1255-CHAIN_RAW!R1255)/MAX(1E-9, H1255),"")</f>
        <v/>
      </c>
      <c r="K1255" s="13">
        <f>CHAIN_RAW!G1255</f>
        <v/>
      </c>
      <c r="L1255" s="13">
        <f>CHAIN_RAW!N1255</f>
        <v/>
      </c>
      <c r="M1255" s="13">
        <f>IFERROR(L1255-K1255,"")</f>
        <v/>
      </c>
      <c r="N1255" s="13">
        <f>CHAIN_RAW!H1255</f>
        <v/>
      </c>
      <c r="O1255" s="13">
        <f>CHAIN_RAW!O1255</f>
        <v/>
      </c>
      <c r="P1255" s="13">
        <f>IFERROR(O1255/N1255,"")</f>
        <v/>
      </c>
      <c r="Q1255" s="13">
        <f>CHAIN_RAW!I1255</f>
        <v/>
      </c>
      <c r="R1255" s="13">
        <f>CHAIN_RAW!P1255</f>
        <v/>
      </c>
      <c r="S1255" s="13">
        <f>IFERROR(R1255/Q1255,"")</f>
        <v/>
      </c>
      <c r="T1255" s="13">
        <f>IFERROR((ABS(N1255-O1255)/MAX(1,(N1255+O1255)))*EXP(-ABS(E1255-CONTROL!E5)/MAX(1,CONTROL!B8)),"")</f>
        <v/>
      </c>
      <c r="U1255" s="13">
        <f>IFERROR(IF(O1255&gt;N1255,"SUPPORT (PE OI)","RESIST (CE OI)"),"")</f>
        <v/>
      </c>
      <c r="V1255" s="13">
        <f>IFERROR(IF(Q1255&gt;0,IF(R1255&gt;0,"BOTH_ADD","CE_ADD_PE_REDUCE"),IF(R1255&gt;0,"CE_REDUCE_PE_ADD","BOTH_REDUCE")),"")</f>
        <v/>
      </c>
      <c r="W1255" s="13">
        <f>IFERROR( (P1255-1)*0.5 + (M1255)*0.1 - (I1255+J1255)*0.05 + T1255*0.4 ,"")</f>
        <v/>
      </c>
      <c r="X1255" s="13">
        <f>IFERROR(IF(ABS(F1255)&lt;0.01,"ATM/NEAR",""),"")</f>
        <v/>
      </c>
    </row>
    <row r="1256">
      <c r="A1256" s="13">
        <f>CHAIN_RAW!A1256</f>
        <v/>
      </c>
      <c r="B1256" s="14">
        <f>CHAIN_RAW!B1256</f>
        <v/>
      </c>
      <c r="C1256" s="13">
        <f>CHAIN_RAW!C1256</f>
        <v/>
      </c>
      <c r="D1256" s="13">
        <f>CHAIN_RAW!D1256</f>
        <v/>
      </c>
      <c r="E1256" s="13">
        <f>CHAIN_RAW!E1256</f>
        <v/>
      </c>
      <c r="F1256" s="13">
        <f>IFERROR((E1256-D1256)/D1256,"")</f>
        <v/>
      </c>
      <c r="G1256" s="13">
        <f>IFERROR((CHAIN_RAW!K1256+CHAIN_RAW!L1256)/2,"")</f>
        <v/>
      </c>
      <c r="H1256" s="13">
        <f>IFERROR((CHAIN_RAW!R1256+CHAIN_RAW!S1256)/2,"")</f>
        <v/>
      </c>
      <c r="I1256" s="13">
        <f>IFERROR((CHAIN_RAW!L1256-CHAIN_RAW!K1256)/MAX(1E-9, G1256),"")</f>
        <v/>
      </c>
      <c r="J1256" s="13">
        <f>IFERROR((CHAIN_RAW!S1256-CHAIN_RAW!R1256)/MAX(1E-9, H1256),"")</f>
        <v/>
      </c>
      <c r="K1256" s="13">
        <f>CHAIN_RAW!G1256</f>
        <v/>
      </c>
      <c r="L1256" s="13">
        <f>CHAIN_RAW!N1256</f>
        <v/>
      </c>
      <c r="M1256" s="13">
        <f>IFERROR(L1256-K1256,"")</f>
        <v/>
      </c>
      <c r="N1256" s="13">
        <f>CHAIN_RAW!H1256</f>
        <v/>
      </c>
      <c r="O1256" s="13">
        <f>CHAIN_RAW!O1256</f>
        <v/>
      </c>
      <c r="P1256" s="13">
        <f>IFERROR(O1256/N1256,"")</f>
        <v/>
      </c>
      <c r="Q1256" s="13">
        <f>CHAIN_RAW!I1256</f>
        <v/>
      </c>
      <c r="R1256" s="13">
        <f>CHAIN_RAW!P1256</f>
        <v/>
      </c>
      <c r="S1256" s="13">
        <f>IFERROR(R1256/Q1256,"")</f>
        <v/>
      </c>
      <c r="T1256" s="13">
        <f>IFERROR((ABS(N1256-O1256)/MAX(1,(N1256+O1256)))*EXP(-ABS(E1256-CONTROL!E5)/MAX(1,CONTROL!B8)),"")</f>
        <v/>
      </c>
      <c r="U1256" s="13">
        <f>IFERROR(IF(O1256&gt;N1256,"SUPPORT (PE OI)","RESIST (CE OI)"),"")</f>
        <v/>
      </c>
      <c r="V1256" s="13">
        <f>IFERROR(IF(Q1256&gt;0,IF(R1256&gt;0,"BOTH_ADD","CE_ADD_PE_REDUCE"),IF(R1256&gt;0,"CE_REDUCE_PE_ADD","BOTH_REDUCE")),"")</f>
        <v/>
      </c>
      <c r="W1256" s="13">
        <f>IFERROR( (P1256-1)*0.5 + (M1256)*0.1 - (I1256+J1256)*0.05 + T1256*0.4 ,"")</f>
        <v/>
      </c>
      <c r="X1256" s="13">
        <f>IFERROR(IF(ABS(F1256)&lt;0.01,"ATM/NEAR",""),"")</f>
        <v/>
      </c>
    </row>
    <row r="1257">
      <c r="A1257" s="13">
        <f>CHAIN_RAW!A1257</f>
        <v/>
      </c>
      <c r="B1257" s="14">
        <f>CHAIN_RAW!B1257</f>
        <v/>
      </c>
      <c r="C1257" s="13">
        <f>CHAIN_RAW!C1257</f>
        <v/>
      </c>
      <c r="D1257" s="13">
        <f>CHAIN_RAW!D1257</f>
        <v/>
      </c>
      <c r="E1257" s="13">
        <f>CHAIN_RAW!E1257</f>
        <v/>
      </c>
      <c r="F1257" s="13">
        <f>IFERROR((E1257-D1257)/D1257,"")</f>
        <v/>
      </c>
      <c r="G1257" s="13">
        <f>IFERROR((CHAIN_RAW!K1257+CHAIN_RAW!L1257)/2,"")</f>
        <v/>
      </c>
      <c r="H1257" s="13">
        <f>IFERROR((CHAIN_RAW!R1257+CHAIN_RAW!S1257)/2,"")</f>
        <v/>
      </c>
      <c r="I1257" s="13">
        <f>IFERROR((CHAIN_RAW!L1257-CHAIN_RAW!K1257)/MAX(1E-9, G1257),"")</f>
        <v/>
      </c>
      <c r="J1257" s="13">
        <f>IFERROR((CHAIN_RAW!S1257-CHAIN_RAW!R1257)/MAX(1E-9, H1257),"")</f>
        <v/>
      </c>
      <c r="K1257" s="13">
        <f>CHAIN_RAW!G1257</f>
        <v/>
      </c>
      <c r="L1257" s="13">
        <f>CHAIN_RAW!N1257</f>
        <v/>
      </c>
      <c r="M1257" s="13">
        <f>IFERROR(L1257-K1257,"")</f>
        <v/>
      </c>
      <c r="N1257" s="13">
        <f>CHAIN_RAW!H1257</f>
        <v/>
      </c>
      <c r="O1257" s="13">
        <f>CHAIN_RAW!O1257</f>
        <v/>
      </c>
      <c r="P1257" s="13">
        <f>IFERROR(O1257/N1257,"")</f>
        <v/>
      </c>
      <c r="Q1257" s="13">
        <f>CHAIN_RAW!I1257</f>
        <v/>
      </c>
      <c r="R1257" s="13">
        <f>CHAIN_RAW!P1257</f>
        <v/>
      </c>
      <c r="S1257" s="13">
        <f>IFERROR(R1257/Q1257,"")</f>
        <v/>
      </c>
      <c r="T1257" s="13">
        <f>IFERROR((ABS(N1257-O1257)/MAX(1,(N1257+O1257)))*EXP(-ABS(E1257-CONTROL!E5)/MAX(1,CONTROL!B8)),"")</f>
        <v/>
      </c>
      <c r="U1257" s="13">
        <f>IFERROR(IF(O1257&gt;N1257,"SUPPORT (PE OI)","RESIST (CE OI)"),"")</f>
        <v/>
      </c>
      <c r="V1257" s="13">
        <f>IFERROR(IF(Q1257&gt;0,IF(R1257&gt;0,"BOTH_ADD","CE_ADD_PE_REDUCE"),IF(R1257&gt;0,"CE_REDUCE_PE_ADD","BOTH_REDUCE")),"")</f>
        <v/>
      </c>
      <c r="W1257" s="13">
        <f>IFERROR( (P1257-1)*0.5 + (M1257)*0.1 - (I1257+J1257)*0.05 + T1257*0.4 ,"")</f>
        <v/>
      </c>
      <c r="X1257" s="13">
        <f>IFERROR(IF(ABS(F1257)&lt;0.01,"ATM/NEAR",""),"")</f>
        <v/>
      </c>
    </row>
    <row r="1258">
      <c r="A1258" s="13">
        <f>CHAIN_RAW!A1258</f>
        <v/>
      </c>
      <c r="B1258" s="14">
        <f>CHAIN_RAW!B1258</f>
        <v/>
      </c>
      <c r="C1258" s="13">
        <f>CHAIN_RAW!C1258</f>
        <v/>
      </c>
      <c r="D1258" s="13">
        <f>CHAIN_RAW!D1258</f>
        <v/>
      </c>
      <c r="E1258" s="13">
        <f>CHAIN_RAW!E1258</f>
        <v/>
      </c>
      <c r="F1258" s="13">
        <f>IFERROR((E1258-D1258)/D1258,"")</f>
        <v/>
      </c>
      <c r="G1258" s="13">
        <f>IFERROR((CHAIN_RAW!K1258+CHAIN_RAW!L1258)/2,"")</f>
        <v/>
      </c>
      <c r="H1258" s="13">
        <f>IFERROR((CHAIN_RAW!R1258+CHAIN_RAW!S1258)/2,"")</f>
        <v/>
      </c>
      <c r="I1258" s="13">
        <f>IFERROR((CHAIN_RAW!L1258-CHAIN_RAW!K1258)/MAX(1E-9, G1258),"")</f>
        <v/>
      </c>
      <c r="J1258" s="13">
        <f>IFERROR((CHAIN_RAW!S1258-CHAIN_RAW!R1258)/MAX(1E-9, H1258),"")</f>
        <v/>
      </c>
      <c r="K1258" s="13">
        <f>CHAIN_RAW!G1258</f>
        <v/>
      </c>
      <c r="L1258" s="13">
        <f>CHAIN_RAW!N1258</f>
        <v/>
      </c>
      <c r="M1258" s="13">
        <f>IFERROR(L1258-K1258,"")</f>
        <v/>
      </c>
      <c r="N1258" s="13">
        <f>CHAIN_RAW!H1258</f>
        <v/>
      </c>
      <c r="O1258" s="13">
        <f>CHAIN_RAW!O1258</f>
        <v/>
      </c>
      <c r="P1258" s="13">
        <f>IFERROR(O1258/N1258,"")</f>
        <v/>
      </c>
      <c r="Q1258" s="13">
        <f>CHAIN_RAW!I1258</f>
        <v/>
      </c>
      <c r="R1258" s="13">
        <f>CHAIN_RAW!P1258</f>
        <v/>
      </c>
      <c r="S1258" s="13">
        <f>IFERROR(R1258/Q1258,"")</f>
        <v/>
      </c>
      <c r="T1258" s="13">
        <f>IFERROR((ABS(N1258-O1258)/MAX(1,(N1258+O1258)))*EXP(-ABS(E1258-CONTROL!E5)/MAX(1,CONTROL!B8)),"")</f>
        <v/>
      </c>
      <c r="U1258" s="13">
        <f>IFERROR(IF(O1258&gt;N1258,"SUPPORT (PE OI)","RESIST (CE OI)"),"")</f>
        <v/>
      </c>
      <c r="V1258" s="13">
        <f>IFERROR(IF(Q1258&gt;0,IF(R1258&gt;0,"BOTH_ADD","CE_ADD_PE_REDUCE"),IF(R1258&gt;0,"CE_REDUCE_PE_ADD","BOTH_REDUCE")),"")</f>
        <v/>
      </c>
      <c r="W1258" s="13">
        <f>IFERROR( (P1258-1)*0.5 + (M1258)*0.1 - (I1258+J1258)*0.05 + T1258*0.4 ,"")</f>
        <v/>
      </c>
      <c r="X1258" s="13">
        <f>IFERROR(IF(ABS(F1258)&lt;0.01,"ATM/NEAR",""),"")</f>
        <v/>
      </c>
    </row>
    <row r="1259">
      <c r="A1259" s="13">
        <f>CHAIN_RAW!A1259</f>
        <v/>
      </c>
      <c r="B1259" s="14">
        <f>CHAIN_RAW!B1259</f>
        <v/>
      </c>
      <c r="C1259" s="13">
        <f>CHAIN_RAW!C1259</f>
        <v/>
      </c>
      <c r="D1259" s="13">
        <f>CHAIN_RAW!D1259</f>
        <v/>
      </c>
      <c r="E1259" s="13">
        <f>CHAIN_RAW!E1259</f>
        <v/>
      </c>
      <c r="F1259" s="13">
        <f>IFERROR((E1259-D1259)/D1259,"")</f>
        <v/>
      </c>
      <c r="G1259" s="13">
        <f>IFERROR((CHAIN_RAW!K1259+CHAIN_RAW!L1259)/2,"")</f>
        <v/>
      </c>
      <c r="H1259" s="13">
        <f>IFERROR((CHAIN_RAW!R1259+CHAIN_RAW!S1259)/2,"")</f>
        <v/>
      </c>
      <c r="I1259" s="13">
        <f>IFERROR((CHAIN_RAW!L1259-CHAIN_RAW!K1259)/MAX(1E-9, G1259),"")</f>
        <v/>
      </c>
      <c r="J1259" s="13">
        <f>IFERROR((CHAIN_RAW!S1259-CHAIN_RAW!R1259)/MAX(1E-9, H1259),"")</f>
        <v/>
      </c>
      <c r="K1259" s="13">
        <f>CHAIN_RAW!G1259</f>
        <v/>
      </c>
      <c r="L1259" s="13">
        <f>CHAIN_RAW!N1259</f>
        <v/>
      </c>
      <c r="M1259" s="13">
        <f>IFERROR(L1259-K1259,"")</f>
        <v/>
      </c>
      <c r="N1259" s="13">
        <f>CHAIN_RAW!H1259</f>
        <v/>
      </c>
      <c r="O1259" s="13">
        <f>CHAIN_RAW!O1259</f>
        <v/>
      </c>
      <c r="P1259" s="13">
        <f>IFERROR(O1259/N1259,"")</f>
        <v/>
      </c>
      <c r="Q1259" s="13">
        <f>CHAIN_RAW!I1259</f>
        <v/>
      </c>
      <c r="R1259" s="13">
        <f>CHAIN_RAW!P1259</f>
        <v/>
      </c>
      <c r="S1259" s="13">
        <f>IFERROR(R1259/Q1259,"")</f>
        <v/>
      </c>
      <c r="T1259" s="13">
        <f>IFERROR((ABS(N1259-O1259)/MAX(1,(N1259+O1259)))*EXP(-ABS(E1259-CONTROL!E5)/MAX(1,CONTROL!B8)),"")</f>
        <v/>
      </c>
      <c r="U1259" s="13">
        <f>IFERROR(IF(O1259&gt;N1259,"SUPPORT (PE OI)","RESIST (CE OI)"),"")</f>
        <v/>
      </c>
      <c r="V1259" s="13">
        <f>IFERROR(IF(Q1259&gt;0,IF(R1259&gt;0,"BOTH_ADD","CE_ADD_PE_REDUCE"),IF(R1259&gt;0,"CE_REDUCE_PE_ADD","BOTH_REDUCE")),"")</f>
        <v/>
      </c>
      <c r="W1259" s="13">
        <f>IFERROR( (P1259-1)*0.5 + (M1259)*0.1 - (I1259+J1259)*0.05 + T1259*0.4 ,"")</f>
        <v/>
      </c>
      <c r="X1259" s="13">
        <f>IFERROR(IF(ABS(F1259)&lt;0.01,"ATM/NEAR",""),"")</f>
        <v/>
      </c>
    </row>
    <row r="1260">
      <c r="A1260" s="13">
        <f>CHAIN_RAW!A1260</f>
        <v/>
      </c>
      <c r="B1260" s="14">
        <f>CHAIN_RAW!B1260</f>
        <v/>
      </c>
      <c r="C1260" s="13">
        <f>CHAIN_RAW!C1260</f>
        <v/>
      </c>
      <c r="D1260" s="13">
        <f>CHAIN_RAW!D1260</f>
        <v/>
      </c>
      <c r="E1260" s="13">
        <f>CHAIN_RAW!E1260</f>
        <v/>
      </c>
      <c r="F1260" s="13">
        <f>IFERROR((E1260-D1260)/D1260,"")</f>
        <v/>
      </c>
      <c r="G1260" s="13">
        <f>IFERROR((CHAIN_RAW!K1260+CHAIN_RAW!L1260)/2,"")</f>
        <v/>
      </c>
      <c r="H1260" s="13">
        <f>IFERROR((CHAIN_RAW!R1260+CHAIN_RAW!S1260)/2,"")</f>
        <v/>
      </c>
      <c r="I1260" s="13">
        <f>IFERROR((CHAIN_RAW!L1260-CHAIN_RAW!K1260)/MAX(1E-9, G1260),"")</f>
        <v/>
      </c>
      <c r="J1260" s="13">
        <f>IFERROR((CHAIN_RAW!S1260-CHAIN_RAW!R1260)/MAX(1E-9, H1260),"")</f>
        <v/>
      </c>
      <c r="K1260" s="13">
        <f>CHAIN_RAW!G1260</f>
        <v/>
      </c>
      <c r="L1260" s="13">
        <f>CHAIN_RAW!N1260</f>
        <v/>
      </c>
      <c r="M1260" s="13">
        <f>IFERROR(L1260-K1260,"")</f>
        <v/>
      </c>
      <c r="N1260" s="13">
        <f>CHAIN_RAW!H1260</f>
        <v/>
      </c>
      <c r="O1260" s="13">
        <f>CHAIN_RAW!O1260</f>
        <v/>
      </c>
      <c r="P1260" s="13">
        <f>IFERROR(O1260/N1260,"")</f>
        <v/>
      </c>
      <c r="Q1260" s="13">
        <f>CHAIN_RAW!I1260</f>
        <v/>
      </c>
      <c r="R1260" s="13">
        <f>CHAIN_RAW!P1260</f>
        <v/>
      </c>
      <c r="S1260" s="13">
        <f>IFERROR(R1260/Q1260,"")</f>
        <v/>
      </c>
      <c r="T1260" s="13">
        <f>IFERROR((ABS(N1260-O1260)/MAX(1,(N1260+O1260)))*EXP(-ABS(E1260-CONTROL!E5)/MAX(1,CONTROL!B8)),"")</f>
        <v/>
      </c>
      <c r="U1260" s="13">
        <f>IFERROR(IF(O1260&gt;N1260,"SUPPORT (PE OI)","RESIST (CE OI)"),"")</f>
        <v/>
      </c>
      <c r="V1260" s="13">
        <f>IFERROR(IF(Q1260&gt;0,IF(R1260&gt;0,"BOTH_ADD","CE_ADD_PE_REDUCE"),IF(R1260&gt;0,"CE_REDUCE_PE_ADD","BOTH_REDUCE")),"")</f>
        <v/>
      </c>
      <c r="W1260" s="13">
        <f>IFERROR( (P1260-1)*0.5 + (M1260)*0.1 - (I1260+J1260)*0.05 + T1260*0.4 ,"")</f>
        <v/>
      </c>
      <c r="X1260" s="13">
        <f>IFERROR(IF(ABS(F1260)&lt;0.01,"ATM/NEAR",""),"")</f>
        <v/>
      </c>
    </row>
    <row r="1261">
      <c r="A1261" s="13">
        <f>CHAIN_RAW!A1261</f>
        <v/>
      </c>
      <c r="B1261" s="14">
        <f>CHAIN_RAW!B1261</f>
        <v/>
      </c>
      <c r="C1261" s="13">
        <f>CHAIN_RAW!C1261</f>
        <v/>
      </c>
      <c r="D1261" s="13">
        <f>CHAIN_RAW!D1261</f>
        <v/>
      </c>
      <c r="E1261" s="13">
        <f>CHAIN_RAW!E1261</f>
        <v/>
      </c>
      <c r="F1261" s="13">
        <f>IFERROR((E1261-D1261)/D1261,"")</f>
        <v/>
      </c>
      <c r="G1261" s="13">
        <f>IFERROR((CHAIN_RAW!K1261+CHAIN_RAW!L1261)/2,"")</f>
        <v/>
      </c>
      <c r="H1261" s="13">
        <f>IFERROR((CHAIN_RAW!R1261+CHAIN_RAW!S1261)/2,"")</f>
        <v/>
      </c>
      <c r="I1261" s="13">
        <f>IFERROR((CHAIN_RAW!L1261-CHAIN_RAW!K1261)/MAX(1E-9, G1261),"")</f>
        <v/>
      </c>
      <c r="J1261" s="13">
        <f>IFERROR((CHAIN_RAW!S1261-CHAIN_RAW!R1261)/MAX(1E-9, H1261),"")</f>
        <v/>
      </c>
      <c r="K1261" s="13">
        <f>CHAIN_RAW!G1261</f>
        <v/>
      </c>
      <c r="L1261" s="13">
        <f>CHAIN_RAW!N1261</f>
        <v/>
      </c>
      <c r="M1261" s="13">
        <f>IFERROR(L1261-K1261,"")</f>
        <v/>
      </c>
      <c r="N1261" s="13">
        <f>CHAIN_RAW!H1261</f>
        <v/>
      </c>
      <c r="O1261" s="13">
        <f>CHAIN_RAW!O1261</f>
        <v/>
      </c>
      <c r="P1261" s="13">
        <f>IFERROR(O1261/N1261,"")</f>
        <v/>
      </c>
      <c r="Q1261" s="13">
        <f>CHAIN_RAW!I1261</f>
        <v/>
      </c>
      <c r="R1261" s="13">
        <f>CHAIN_RAW!P1261</f>
        <v/>
      </c>
      <c r="S1261" s="13">
        <f>IFERROR(R1261/Q1261,"")</f>
        <v/>
      </c>
      <c r="T1261" s="13">
        <f>IFERROR((ABS(N1261-O1261)/MAX(1,(N1261+O1261)))*EXP(-ABS(E1261-CONTROL!E5)/MAX(1,CONTROL!B8)),"")</f>
        <v/>
      </c>
      <c r="U1261" s="13">
        <f>IFERROR(IF(O1261&gt;N1261,"SUPPORT (PE OI)","RESIST (CE OI)"),"")</f>
        <v/>
      </c>
      <c r="V1261" s="13">
        <f>IFERROR(IF(Q1261&gt;0,IF(R1261&gt;0,"BOTH_ADD","CE_ADD_PE_REDUCE"),IF(R1261&gt;0,"CE_REDUCE_PE_ADD","BOTH_REDUCE")),"")</f>
        <v/>
      </c>
      <c r="W1261" s="13">
        <f>IFERROR( (P1261-1)*0.5 + (M1261)*0.1 - (I1261+J1261)*0.05 + T1261*0.4 ,"")</f>
        <v/>
      </c>
      <c r="X1261" s="13">
        <f>IFERROR(IF(ABS(F1261)&lt;0.01,"ATM/NEAR",""),"")</f>
        <v/>
      </c>
    </row>
    <row r="1262">
      <c r="A1262" s="13">
        <f>CHAIN_RAW!A1262</f>
        <v/>
      </c>
      <c r="B1262" s="14">
        <f>CHAIN_RAW!B1262</f>
        <v/>
      </c>
      <c r="C1262" s="13">
        <f>CHAIN_RAW!C1262</f>
        <v/>
      </c>
      <c r="D1262" s="13">
        <f>CHAIN_RAW!D1262</f>
        <v/>
      </c>
      <c r="E1262" s="13">
        <f>CHAIN_RAW!E1262</f>
        <v/>
      </c>
      <c r="F1262" s="13">
        <f>IFERROR((E1262-D1262)/D1262,"")</f>
        <v/>
      </c>
      <c r="G1262" s="13">
        <f>IFERROR((CHAIN_RAW!K1262+CHAIN_RAW!L1262)/2,"")</f>
        <v/>
      </c>
      <c r="H1262" s="13">
        <f>IFERROR((CHAIN_RAW!R1262+CHAIN_RAW!S1262)/2,"")</f>
        <v/>
      </c>
      <c r="I1262" s="13">
        <f>IFERROR((CHAIN_RAW!L1262-CHAIN_RAW!K1262)/MAX(1E-9, G1262),"")</f>
        <v/>
      </c>
      <c r="J1262" s="13">
        <f>IFERROR((CHAIN_RAW!S1262-CHAIN_RAW!R1262)/MAX(1E-9, H1262),"")</f>
        <v/>
      </c>
      <c r="K1262" s="13">
        <f>CHAIN_RAW!G1262</f>
        <v/>
      </c>
      <c r="L1262" s="13">
        <f>CHAIN_RAW!N1262</f>
        <v/>
      </c>
      <c r="M1262" s="13">
        <f>IFERROR(L1262-K1262,"")</f>
        <v/>
      </c>
      <c r="N1262" s="13">
        <f>CHAIN_RAW!H1262</f>
        <v/>
      </c>
      <c r="O1262" s="13">
        <f>CHAIN_RAW!O1262</f>
        <v/>
      </c>
      <c r="P1262" s="13">
        <f>IFERROR(O1262/N1262,"")</f>
        <v/>
      </c>
      <c r="Q1262" s="13">
        <f>CHAIN_RAW!I1262</f>
        <v/>
      </c>
      <c r="R1262" s="13">
        <f>CHAIN_RAW!P1262</f>
        <v/>
      </c>
      <c r="S1262" s="13">
        <f>IFERROR(R1262/Q1262,"")</f>
        <v/>
      </c>
      <c r="T1262" s="13">
        <f>IFERROR((ABS(N1262-O1262)/MAX(1,(N1262+O1262)))*EXP(-ABS(E1262-CONTROL!E5)/MAX(1,CONTROL!B8)),"")</f>
        <v/>
      </c>
      <c r="U1262" s="13">
        <f>IFERROR(IF(O1262&gt;N1262,"SUPPORT (PE OI)","RESIST (CE OI)"),"")</f>
        <v/>
      </c>
      <c r="V1262" s="13">
        <f>IFERROR(IF(Q1262&gt;0,IF(R1262&gt;0,"BOTH_ADD","CE_ADD_PE_REDUCE"),IF(R1262&gt;0,"CE_REDUCE_PE_ADD","BOTH_REDUCE")),"")</f>
        <v/>
      </c>
      <c r="W1262" s="13">
        <f>IFERROR( (P1262-1)*0.5 + (M1262)*0.1 - (I1262+J1262)*0.05 + T1262*0.4 ,"")</f>
        <v/>
      </c>
      <c r="X1262" s="13">
        <f>IFERROR(IF(ABS(F1262)&lt;0.01,"ATM/NEAR",""),"")</f>
        <v/>
      </c>
    </row>
    <row r="1263">
      <c r="A1263" s="13">
        <f>CHAIN_RAW!A1263</f>
        <v/>
      </c>
      <c r="B1263" s="14">
        <f>CHAIN_RAW!B1263</f>
        <v/>
      </c>
      <c r="C1263" s="13">
        <f>CHAIN_RAW!C1263</f>
        <v/>
      </c>
      <c r="D1263" s="13">
        <f>CHAIN_RAW!D1263</f>
        <v/>
      </c>
      <c r="E1263" s="13">
        <f>CHAIN_RAW!E1263</f>
        <v/>
      </c>
      <c r="F1263" s="13">
        <f>IFERROR((E1263-D1263)/D1263,"")</f>
        <v/>
      </c>
      <c r="G1263" s="13">
        <f>IFERROR((CHAIN_RAW!K1263+CHAIN_RAW!L1263)/2,"")</f>
        <v/>
      </c>
      <c r="H1263" s="13">
        <f>IFERROR((CHAIN_RAW!R1263+CHAIN_RAW!S1263)/2,"")</f>
        <v/>
      </c>
      <c r="I1263" s="13">
        <f>IFERROR((CHAIN_RAW!L1263-CHAIN_RAW!K1263)/MAX(1E-9, G1263),"")</f>
        <v/>
      </c>
      <c r="J1263" s="13">
        <f>IFERROR((CHAIN_RAW!S1263-CHAIN_RAW!R1263)/MAX(1E-9, H1263),"")</f>
        <v/>
      </c>
      <c r="K1263" s="13">
        <f>CHAIN_RAW!G1263</f>
        <v/>
      </c>
      <c r="L1263" s="13">
        <f>CHAIN_RAW!N1263</f>
        <v/>
      </c>
      <c r="M1263" s="13">
        <f>IFERROR(L1263-K1263,"")</f>
        <v/>
      </c>
      <c r="N1263" s="13">
        <f>CHAIN_RAW!H1263</f>
        <v/>
      </c>
      <c r="O1263" s="13">
        <f>CHAIN_RAW!O1263</f>
        <v/>
      </c>
      <c r="P1263" s="13">
        <f>IFERROR(O1263/N1263,"")</f>
        <v/>
      </c>
      <c r="Q1263" s="13">
        <f>CHAIN_RAW!I1263</f>
        <v/>
      </c>
      <c r="R1263" s="13">
        <f>CHAIN_RAW!P1263</f>
        <v/>
      </c>
      <c r="S1263" s="13">
        <f>IFERROR(R1263/Q1263,"")</f>
        <v/>
      </c>
      <c r="T1263" s="13">
        <f>IFERROR((ABS(N1263-O1263)/MAX(1,(N1263+O1263)))*EXP(-ABS(E1263-CONTROL!E5)/MAX(1,CONTROL!B8)),"")</f>
        <v/>
      </c>
      <c r="U1263" s="13">
        <f>IFERROR(IF(O1263&gt;N1263,"SUPPORT (PE OI)","RESIST (CE OI)"),"")</f>
        <v/>
      </c>
      <c r="V1263" s="13">
        <f>IFERROR(IF(Q1263&gt;0,IF(R1263&gt;0,"BOTH_ADD","CE_ADD_PE_REDUCE"),IF(R1263&gt;0,"CE_REDUCE_PE_ADD","BOTH_REDUCE")),"")</f>
        <v/>
      </c>
      <c r="W1263" s="13">
        <f>IFERROR( (P1263-1)*0.5 + (M1263)*0.1 - (I1263+J1263)*0.05 + T1263*0.4 ,"")</f>
        <v/>
      </c>
      <c r="X1263" s="13">
        <f>IFERROR(IF(ABS(F1263)&lt;0.01,"ATM/NEAR",""),"")</f>
        <v/>
      </c>
    </row>
    <row r="1264">
      <c r="A1264" s="13">
        <f>CHAIN_RAW!A1264</f>
        <v/>
      </c>
      <c r="B1264" s="14">
        <f>CHAIN_RAW!B1264</f>
        <v/>
      </c>
      <c r="C1264" s="13">
        <f>CHAIN_RAW!C1264</f>
        <v/>
      </c>
      <c r="D1264" s="13">
        <f>CHAIN_RAW!D1264</f>
        <v/>
      </c>
      <c r="E1264" s="13">
        <f>CHAIN_RAW!E1264</f>
        <v/>
      </c>
      <c r="F1264" s="13">
        <f>IFERROR((E1264-D1264)/D1264,"")</f>
        <v/>
      </c>
      <c r="G1264" s="13">
        <f>IFERROR((CHAIN_RAW!K1264+CHAIN_RAW!L1264)/2,"")</f>
        <v/>
      </c>
      <c r="H1264" s="13">
        <f>IFERROR((CHAIN_RAW!R1264+CHAIN_RAW!S1264)/2,"")</f>
        <v/>
      </c>
      <c r="I1264" s="13">
        <f>IFERROR((CHAIN_RAW!L1264-CHAIN_RAW!K1264)/MAX(1E-9, G1264),"")</f>
        <v/>
      </c>
      <c r="J1264" s="13">
        <f>IFERROR((CHAIN_RAW!S1264-CHAIN_RAW!R1264)/MAX(1E-9, H1264),"")</f>
        <v/>
      </c>
      <c r="K1264" s="13">
        <f>CHAIN_RAW!G1264</f>
        <v/>
      </c>
      <c r="L1264" s="13">
        <f>CHAIN_RAW!N1264</f>
        <v/>
      </c>
      <c r="M1264" s="13">
        <f>IFERROR(L1264-K1264,"")</f>
        <v/>
      </c>
      <c r="N1264" s="13">
        <f>CHAIN_RAW!H1264</f>
        <v/>
      </c>
      <c r="O1264" s="13">
        <f>CHAIN_RAW!O1264</f>
        <v/>
      </c>
      <c r="P1264" s="13">
        <f>IFERROR(O1264/N1264,"")</f>
        <v/>
      </c>
      <c r="Q1264" s="13">
        <f>CHAIN_RAW!I1264</f>
        <v/>
      </c>
      <c r="R1264" s="13">
        <f>CHAIN_RAW!P1264</f>
        <v/>
      </c>
      <c r="S1264" s="13">
        <f>IFERROR(R1264/Q1264,"")</f>
        <v/>
      </c>
      <c r="T1264" s="13">
        <f>IFERROR((ABS(N1264-O1264)/MAX(1,(N1264+O1264)))*EXP(-ABS(E1264-CONTROL!E5)/MAX(1,CONTROL!B8)),"")</f>
        <v/>
      </c>
      <c r="U1264" s="13">
        <f>IFERROR(IF(O1264&gt;N1264,"SUPPORT (PE OI)","RESIST (CE OI)"),"")</f>
        <v/>
      </c>
      <c r="V1264" s="13">
        <f>IFERROR(IF(Q1264&gt;0,IF(R1264&gt;0,"BOTH_ADD","CE_ADD_PE_REDUCE"),IF(R1264&gt;0,"CE_REDUCE_PE_ADD","BOTH_REDUCE")),"")</f>
        <v/>
      </c>
      <c r="W1264" s="13">
        <f>IFERROR( (P1264-1)*0.5 + (M1264)*0.1 - (I1264+J1264)*0.05 + T1264*0.4 ,"")</f>
        <v/>
      </c>
      <c r="X1264" s="13">
        <f>IFERROR(IF(ABS(F1264)&lt;0.01,"ATM/NEAR",""),"")</f>
        <v/>
      </c>
    </row>
    <row r="1265">
      <c r="A1265" s="13">
        <f>CHAIN_RAW!A1265</f>
        <v/>
      </c>
      <c r="B1265" s="14">
        <f>CHAIN_RAW!B1265</f>
        <v/>
      </c>
      <c r="C1265" s="13">
        <f>CHAIN_RAW!C1265</f>
        <v/>
      </c>
      <c r="D1265" s="13">
        <f>CHAIN_RAW!D1265</f>
        <v/>
      </c>
      <c r="E1265" s="13">
        <f>CHAIN_RAW!E1265</f>
        <v/>
      </c>
      <c r="F1265" s="13">
        <f>IFERROR((E1265-D1265)/D1265,"")</f>
        <v/>
      </c>
      <c r="G1265" s="13">
        <f>IFERROR((CHAIN_RAW!K1265+CHAIN_RAW!L1265)/2,"")</f>
        <v/>
      </c>
      <c r="H1265" s="13">
        <f>IFERROR((CHAIN_RAW!R1265+CHAIN_RAW!S1265)/2,"")</f>
        <v/>
      </c>
      <c r="I1265" s="13">
        <f>IFERROR((CHAIN_RAW!L1265-CHAIN_RAW!K1265)/MAX(1E-9, G1265),"")</f>
        <v/>
      </c>
      <c r="J1265" s="13">
        <f>IFERROR((CHAIN_RAW!S1265-CHAIN_RAW!R1265)/MAX(1E-9, H1265),"")</f>
        <v/>
      </c>
      <c r="K1265" s="13">
        <f>CHAIN_RAW!G1265</f>
        <v/>
      </c>
      <c r="L1265" s="13">
        <f>CHAIN_RAW!N1265</f>
        <v/>
      </c>
      <c r="M1265" s="13">
        <f>IFERROR(L1265-K1265,"")</f>
        <v/>
      </c>
      <c r="N1265" s="13">
        <f>CHAIN_RAW!H1265</f>
        <v/>
      </c>
      <c r="O1265" s="13">
        <f>CHAIN_RAW!O1265</f>
        <v/>
      </c>
      <c r="P1265" s="13">
        <f>IFERROR(O1265/N1265,"")</f>
        <v/>
      </c>
      <c r="Q1265" s="13">
        <f>CHAIN_RAW!I1265</f>
        <v/>
      </c>
      <c r="R1265" s="13">
        <f>CHAIN_RAW!P1265</f>
        <v/>
      </c>
      <c r="S1265" s="13">
        <f>IFERROR(R1265/Q1265,"")</f>
        <v/>
      </c>
      <c r="T1265" s="13">
        <f>IFERROR((ABS(N1265-O1265)/MAX(1,(N1265+O1265)))*EXP(-ABS(E1265-CONTROL!E5)/MAX(1,CONTROL!B8)),"")</f>
        <v/>
      </c>
      <c r="U1265" s="13">
        <f>IFERROR(IF(O1265&gt;N1265,"SUPPORT (PE OI)","RESIST (CE OI)"),"")</f>
        <v/>
      </c>
      <c r="V1265" s="13">
        <f>IFERROR(IF(Q1265&gt;0,IF(R1265&gt;0,"BOTH_ADD","CE_ADD_PE_REDUCE"),IF(R1265&gt;0,"CE_REDUCE_PE_ADD","BOTH_REDUCE")),"")</f>
        <v/>
      </c>
      <c r="W1265" s="13">
        <f>IFERROR( (P1265-1)*0.5 + (M1265)*0.1 - (I1265+J1265)*0.05 + T1265*0.4 ,"")</f>
        <v/>
      </c>
      <c r="X1265" s="13">
        <f>IFERROR(IF(ABS(F1265)&lt;0.01,"ATM/NEAR",""),"")</f>
        <v/>
      </c>
    </row>
    <row r="1266">
      <c r="A1266" s="13">
        <f>CHAIN_RAW!A1266</f>
        <v/>
      </c>
      <c r="B1266" s="14">
        <f>CHAIN_RAW!B1266</f>
        <v/>
      </c>
      <c r="C1266" s="13">
        <f>CHAIN_RAW!C1266</f>
        <v/>
      </c>
      <c r="D1266" s="13">
        <f>CHAIN_RAW!D1266</f>
        <v/>
      </c>
      <c r="E1266" s="13">
        <f>CHAIN_RAW!E1266</f>
        <v/>
      </c>
      <c r="F1266" s="13">
        <f>IFERROR((E1266-D1266)/D1266,"")</f>
        <v/>
      </c>
      <c r="G1266" s="13">
        <f>IFERROR((CHAIN_RAW!K1266+CHAIN_RAW!L1266)/2,"")</f>
        <v/>
      </c>
      <c r="H1266" s="13">
        <f>IFERROR((CHAIN_RAW!R1266+CHAIN_RAW!S1266)/2,"")</f>
        <v/>
      </c>
      <c r="I1266" s="13">
        <f>IFERROR((CHAIN_RAW!L1266-CHAIN_RAW!K1266)/MAX(1E-9, G1266),"")</f>
        <v/>
      </c>
      <c r="J1266" s="13">
        <f>IFERROR((CHAIN_RAW!S1266-CHAIN_RAW!R1266)/MAX(1E-9, H1266),"")</f>
        <v/>
      </c>
      <c r="K1266" s="13">
        <f>CHAIN_RAW!G1266</f>
        <v/>
      </c>
      <c r="L1266" s="13">
        <f>CHAIN_RAW!N1266</f>
        <v/>
      </c>
      <c r="M1266" s="13">
        <f>IFERROR(L1266-K1266,"")</f>
        <v/>
      </c>
      <c r="N1266" s="13">
        <f>CHAIN_RAW!H1266</f>
        <v/>
      </c>
      <c r="O1266" s="13">
        <f>CHAIN_RAW!O1266</f>
        <v/>
      </c>
      <c r="P1266" s="13">
        <f>IFERROR(O1266/N1266,"")</f>
        <v/>
      </c>
      <c r="Q1266" s="13">
        <f>CHAIN_RAW!I1266</f>
        <v/>
      </c>
      <c r="R1266" s="13">
        <f>CHAIN_RAW!P1266</f>
        <v/>
      </c>
      <c r="S1266" s="13">
        <f>IFERROR(R1266/Q1266,"")</f>
        <v/>
      </c>
      <c r="T1266" s="13">
        <f>IFERROR((ABS(N1266-O1266)/MAX(1,(N1266+O1266)))*EXP(-ABS(E1266-CONTROL!E5)/MAX(1,CONTROL!B8)),"")</f>
        <v/>
      </c>
      <c r="U1266" s="13">
        <f>IFERROR(IF(O1266&gt;N1266,"SUPPORT (PE OI)","RESIST (CE OI)"),"")</f>
        <v/>
      </c>
      <c r="V1266" s="13">
        <f>IFERROR(IF(Q1266&gt;0,IF(R1266&gt;0,"BOTH_ADD","CE_ADD_PE_REDUCE"),IF(R1266&gt;0,"CE_REDUCE_PE_ADD","BOTH_REDUCE")),"")</f>
        <v/>
      </c>
      <c r="W1266" s="13">
        <f>IFERROR( (P1266-1)*0.5 + (M1266)*0.1 - (I1266+J1266)*0.05 + T1266*0.4 ,"")</f>
        <v/>
      </c>
      <c r="X1266" s="13">
        <f>IFERROR(IF(ABS(F1266)&lt;0.01,"ATM/NEAR",""),"")</f>
        <v/>
      </c>
    </row>
    <row r="1267">
      <c r="A1267" s="13">
        <f>CHAIN_RAW!A1267</f>
        <v/>
      </c>
      <c r="B1267" s="14">
        <f>CHAIN_RAW!B1267</f>
        <v/>
      </c>
      <c r="C1267" s="13">
        <f>CHAIN_RAW!C1267</f>
        <v/>
      </c>
      <c r="D1267" s="13">
        <f>CHAIN_RAW!D1267</f>
        <v/>
      </c>
      <c r="E1267" s="13">
        <f>CHAIN_RAW!E1267</f>
        <v/>
      </c>
      <c r="F1267" s="13">
        <f>IFERROR((E1267-D1267)/D1267,"")</f>
        <v/>
      </c>
      <c r="G1267" s="13">
        <f>IFERROR((CHAIN_RAW!K1267+CHAIN_RAW!L1267)/2,"")</f>
        <v/>
      </c>
      <c r="H1267" s="13">
        <f>IFERROR((CHAIN_RAW!R1267+CHAIN_RAW!S1267)/2,"")</f>
        <v/>
      </c>
      <c r="I1267" s="13">
        <f>IFERROR((CHAIN_RAW!L1267-CHAIN_RAW!K1267)/MAX(1E-9, G1267),"")</f>
        <v/>
      </c>
      <c r="J1267" s="13">
        <f>IFERROR((CHAIN_RAW!S1267-CHAIN_RAW!R1267)/MAX(1E-9, H1267),"")</f>
        <v/>
      </c>
      <c r="K1267" s="13">
        <f>CHAIN_RAW!G1267</f>
        <v/>
      </c>
      <c r="L1267" s="13">
        <f>CHAIN_RAW!N1267</f>
        <v/>
      </c>
      <c r="M1267" s="13">
        <f>IFERROR(L1267-K1267,"")</f>
        <v/>
      </c>
      <c r="N1267" s="13">
        <f>CHAIN_RAW!H1267</f>
        <v/>
      </c>
      <c r="O1267" s="13">
        <f>CHAIN_RAW!O1267</f>
        <v/>
      </c>
      <c r="P1267" s="13">
        <f>IFERROR(O1267/N1267,"")</f>
        <v/>
      </c>
      <c r="Q1267" s="13">
        <f>CHAIN_RAW!I1267</f>
        <v/>
      </c>
      <c r="R1267" s="13">
        <f>CHAIN_RAW!P1267</f>
        <v/>
      </c>
      <c r="S1267" s="13">
        <f>IFERROR(R1267/Q1267,"")</f>
        <v/>
      </c>
      <c r="T1267" s="13">
        <f>IFERROR((ABS(N1267-O1267)/MAX(1,(N1267+O1267)))*EXP(-ABS(E1267-CONTROL!E5)/MAX(1,CONTROL!B8)),"")</f>
        <v/>
      </c>
      <c r="U1267" s="13">
        <f>IFERROR(IF(O1267&gt;N1267,"SUPPORT (PE OI)","RESIST (CE OI)"),"")</f>
        <v/>
      </c>
      <c r="V1267" s="13">
        <f>IFERROR(IF(Q1267&gt;0,IF(R1267&gt;0,"BOTH_ADD","CE_ADD_PE_REDUCE"),IF(R1267&gt;0,"CE_REDUCE_PE_ADD","BOTH_REDUCE")),"")</f>
        <v/>
      </c>
      <c r="W1267" s="13">
        <f>IFERROR( (P1267-1)*0.5 + (M1267)*0.1 - (I1267+J1267)*0.05 + T1267*0.4 ,"")</f>
        <v/>
      </c>
      <c r="X1267" s="13">
        <f>IFERROR(IF(ABS(F1267)&lt;0.01,"ATM/NEAR",""),"")</f>
        <v/>
      </c>
    </row>
    <row r="1268">
      <c r="A1268" s="13">
        <f>CHAIN_RAW!A1268</f>
        <v/>
      </c>
      <c r="B1268" s="14">
        <f>CHAIN_RAW!B1268</f>
        <v/>
      </c>
      <c r="C1268" s="13">
        <f>CHAIN_RAW!C1268</f>
        <v/>
      </c>
      <c r="D1268" s="13">
        <f>CHAIN_RAW!D1268</f>
        <v/>
      </c>
      <c r="E1268" s="13">
        <f>CHAIN_RAW!E1268</f>
        <v/>
      </c>
      <c r="F1268" s="13">
        <f>IFERROR((E1268-D1268)/D1268,"")</f>
        <v/>
      </c>
      <c r="G1268" s="13">
        <f>IFERROR((CHAIN_RAW!K1268+CHAIN_RAW!L1268)/2,"")</f>
        <v/>
      </c>
      <c r="H1268" s="13">
        <f>IFERROR((CHAIN_RAW!R1268+CHAIN_RAW!S1268)/2,"")</f>
        <v/>
      </c>
      <c r="I1268" s="13">
        <f>IFERROR((CHAIN_RAW!L1268-CHAIN_RAW!K1268)/MAX(1E-9, G1268),"")</f>
        <v/>
      </c>
      <c r="J1268" s="13">
        <f>IFERROR((CHAIN_RAW!S1268-CHAIN_RAW!R1268)/MAX(1E-9, H1268),"")</f>
        <v/>
      </c>
      <c r="K1268" s="13">
        <f>CHAIN_RAW!G1268</f>
        <v/>
      </c>
      <c r="L1268" s="13">
        <f>CHAIN_RAW!N1268</f>
        <v/>
      </c>
      <c r="M1268" s="13">
        <f>IFERROR(L1268-K1268,"")</f>
        <v/>
      </c>
      <c r="N1268" s="13">
        <f>CHAIN_RAW!H1268</f>
        <v/>
      </c>
      <c r="O1268" s="13">
        <f>CHAIN_RAW!O1268</f>
        <v/>
      </c>
      <c r="P1268" s="13">
        <f>IFERROR(O1268/N1268,"")</f>
        <v/>
      </c>
      <c r="Q1268" s="13">
        <f>CHAIN_RAW!I1268</f>
        <v/>
      </c>
      <c r="R1268" s="13">
        <f>CHAIN_RAW!P1268</f>
        <v/>
      </c>
      <c r="S1268" s="13">
        <f>IFERROR(R1268/Q1268,"")</f>
        <v/>
      </c>
      <c r="T1268" s="13">
        <f>IFERROR((ABS(N1268-O1268)/MAX(1,(N1268+O1268)))*EXP(-ABS(E1268-CONTROL!E5)/MAX(1,CONTROL!B8)),"")</f>
        <v/>
      </c>
      <c r="U1268" s="13">
        <f>IFERROR(IF(O1268&gt;N1268,"SUPPORT (PE OI)","RESIST (CE OI)"),"")</f>
        <v/>
      </c>
      <c r="V1268" s="13">
        <f>IFERROR(IF(Q1268&gt;0,IF(R1268&gt;0,"BOTH_ADD","CE_ADD_PE_REDUCE"),IF(R1268&gt;0,"CE_REDUCE_PE_ADD","BOTH_REDUCE")),"")</f>
        <v/>
      </c>
      <c r="W1268" s="13">
        <f>IFERROR( (P1268-1)*0.5 + (M1268)*0.1 - (I1268+J1268)*0.05 + T1268*0.4 ,"")</f>
        <v/>
      </c>
      <c r="X1268" s="13">
        <f>IFERROR(IF(ABS(F1268)&lt;0.01,"ATM/NEAR",""),"")</f>
        <v/>
      </c>
    </row>
    <row r="1269">
      <c r="A1269" s="13">
        <f>CHAIN_RAW!A1269</f>
        <v/>
      </c>
      <c r="B1269" s="14">
        <f>CHAIN_RAW!B1269</f>
        <v/>
      </c>
      <c r="C1269" s="13">
        <f>CHAIN_RAW!C1269</f>
        <v/>
      </c>
      <c r="D1269" s="13">
        <f>CHAIN_RAW!D1269</f>
        <v/>
      </c>
      <c r="E1269" s="13">
        <f>CHAIN_RAW!E1269</f>
        <v/>
      </c>
      <c r="F1269" s="13">
        <f>IFERROR((E1269-D1269)/D1269,"")</f>
        <v/>
      </c>
      <c r="G1269" s="13">
        <f>IFERROR((CHAIN_RAW!K1269+CHAIN_RAW!L1269)/2,"")</f>
        <v/>
      </c>
      <c r="H1269" s="13">
        <f>IFERROR((CHAIN_RAW!R1269+CHAIN_RAW!S1269)/2,"")</f>
        <v/>
      </c>
      <c r="I1269" s="13">
        <f>IFERROR((CHAIN_RAW!L1269-CHAIN_RAW!K1269)/MAX(1E-9, G1269),"")</f>
        <v/>
      </c>
      <c r="J1269" s="13">
        <f>IFERROR((CHAIN_RAW!S1269-CHAIN_RAW!R1269)/MAX(1E-9, H1269),"")</f>
        <v/>
      </c>
      <c r="K1269" s="13">
        <f>CHAIN_RAW!G1269</f>
        <v/>
      </c>
      <c r="L1269" s="13">
        <f>CHAIN_RAW!N1269</f>
        <v/>
      </c>
      <c r="M1269" s="13">
        <f>IFERROR(L1269-K1269,"")</f>
        <v/>
      </c>
      <c r="N1269" s="13">
        <f>CHAIN_RAW!H1269</f>
        <v/>
      </c>
      <c r="O1269" s="13">
        <f>CHAIN_RAW!O1269</f>
        <v/>
      </c>
      <c r="P1269" s="13">
        <f>IFERROR(O1269/N1269,"")</f>
        <v/>
      </c>
      <c r="Q1269" s="13">
        <f>CHAIN_RAW!I1269</f>
        <v/>
      </c>
      <c r="R1269" s="13">
        <f>CHAIN_RAW!P1269</f>
        <v/>
      </c>
      <c r="S1269" s="13">
        <f>IFERROR(R1269/Q1269,"")</f>
        <v/>
      </c>
      <c r="T1269" s="13">
        <f>IFERROR((ABS(N1269-O1269)/MAX(1,(N1269+O1269)))*EXP(-ABS(E1269-CONTROL!E5)/MAX(1,CONTROL!B8)),"")</f>
        <v/>
      </c>
      <c r="U1269" s="13">
        <f>IFERROR(IF(O1269&gt;N1269,"SUPPORT (PE OI)","RESIST (CE OI)"),"")</f>
        <v/>
      </c>
      <c r="V1269" s="13">
        <f>IFERROR(IF(Q1269&gt;0,IF(R1269&gt;0,"BOTH_ADD","CE_ADD_PE_REDUCE"),IF(R1269&gt;0,"CE_REDUCE_PE_ADD","BOTH_REDUCE")),"")</f>
        <v/>
      </c>
      <c r="W1269" s="13">
        <f>IFERROR( (P1269-1)*0.5 + (M1269)*0.1 - (I1269+J1269)*0.05 + T1269*0.4 ,"")</f>
        <v/>
      </c>
      <c r="X1269" s="13">
        <f>IFERROR(IF(ABS(F1269)&lt;0.01,"ATM/NEAR",""),"")</f>
        <v/>
      </c>
    </row>
    <row r="1270">
      <c r="A1270" s="13">
        <f>CHAIN_RAW!A1270</f>
        <v/>
      </c>
      <c r="B1270" s="14">
        <f>CHAIN_RAW!B1270</f>
        <v/>
      </c>
      <c r="C1270" s="13">
        <f>CHAIN_RAW!C1270</f>
        <v/>
      </c>
      <c r="D1270" s="13">
        <f>CHAIN_RAW!D1270</f>
        <v/>
      </c>
      <c r="E1270" s="13">
        <f>CHAIN_RAW!E1270</f>
        <v/>
      </c>
      <c r="F1270" s="13">
        <f>IFERROR((E1270-D1270)/D1270,"")</f>
        <v/>
      </c>
      <c r="G1270" s="13">
        <f>IFERROR((CHAIN_RAW!K1270+CHAIN_RAW!L1270)/2,"")</f>
        <v/>
      </c>
      <c r="H1270" s="13">
        <f>IFERROR((CHAIN_RAW!R1270+CHAIN_RAW!S1270)/2,"")</f>
        <v/>
      </c>
      <c r="I1270" s="13">
        <f>IFERROR((CHAIN_RAW!L1270-CHAIN_RAW!K1270)/MAX(1E-9, G1270),"")</f>
        <v/>
      </c>
      <c r="J1270" s="13">
        <f>IFERROR((CHAIN_RAW!S1270-CHAIN_RAW!R1270)/MAX(1E-9, H1270),"")</f>
        <v/>
      </c>
      <c r="K1270" s="13">
        <f>CHAIN_RAW!G1270</f>
        <v/>
      </c>
      <c r="L1270" s="13">
        <f>CHAIN_RAW!N1270</f>
        <v/>
      </c>
      <c r="M1270" s="13">
        <f>IFERROR(L1270-K1270,"")</f>
        <v/>
      </c>
      <c r="N1270" s="13">
        <f>CHAIN_RAW!H1270</f>
        <v/>
      </c>
      <c r="O1270" s="13">
        <f>CHAIN_RAW!O1270</f>
        <v/>
      </c>
      <c r="P1270" s="13">
        <f>IFERROR(O1270/N1270,"")</f>
        <v/>
      </c>
      <c r="Q1270" s="13">
        <f>CHAIN_RAW!I1270</f>
        <v/>
      </c>
      <c r="R1270" s="13">
        <f>CHAIN_RAW!P1270</f>
        <v/>
      </c>
      <c r="S1270" s="13">
        <f>IFERROR(R1270/Q1270,"")</f>
        <v/>
      </c>
      <c r="T1270" s="13">
        <f>IFERROR((ABS(N1270-O1270)/MAX(1,(N1270+O1270)))*EXP(-ABS(E1270-CONTROL!E5)/MAX(1,CONTROL!B8)),"")</f>
        <v/>
      </c>
      <c r="U1270" s="13">
        <f>IFERROR(IF(O1270&gt;N1270,"SUPPORT (PE OI)","RESIST (CE OI)"),"")</f>
        <v/>
      </c>
      <c r="V1270" s="13">
        <f>IFERROR(IF(Q1270&gt;0,IF(R1270&gt;0,"BOTH_ADD","CE_ADD_PE_REDUCE"),IF(R1270&gt;0,"CE_REDUCE_PE_ADD","BOTH_REDUCE")),"")</f>
        <v/>
      </c>
      <c r="W1270" s="13">
        <f>IFERROR( (P1270-1)*0.5 + (M1270)*0.1 - (I1270+J1270)*0.05 + T1270*0.4 ,"")</f>
        <v/>
      </c>
      <c r="X1270" s="13">
        <f>IFERROR(IF(ABS(F1270)&lt;0.01,"ATM/NEAR",""),"")</f>
        <v/>
      </c>
    </row>
    <row r="1271">
      <c r="A1271" s="13">
        <f>CHAIN_RAW!A1271</f>
        <v/>
      </c>
      <c r="B1271" s="14">
        <f>CHAIN_RAW!B1271</f>
        <v/>
      </c>
      <c r="C1271" s="13">
        <f>CHAIN_RAW!C1271</f>
        <v/>
      </c>
      <c r="D1271" s="13">
        <f>CHAIN_RAW!D1271</f>
        <v/>
      </c>
      <c r="E1271" s="13">
        <f>CHAIN_RAW!E1271</f>
        <v/>
      </c>
      <c r="F1271" s="13">
        <f>IFERROR((E1271-D1271)/D1271,"")</f>
        <v/>
      </c>
      <c r="G1271" s="13">
        <f>IFERROR((CHAIN_RAW!K1271+CHAIN_RAW!L1271)/2,"")</f>
        <v/>
      </c>
      <c r="H1271" s="13">
        <f>IFERROR((CHAIN_RAW!R1271+CHAIN_RAW!S1271)/2,"")</f>
        <v/>
      </c>
      <c r="I1271" s="13">
        <f>IFERROR((CHAIN_RAW!L1271-CHAIN_RAW!K1271)/MAX(1E-9, G1271),"")</f>
        <v/>
      </c>
      <c r="J1271" s="13">
        <f>IFERROR((CHAIN_RAW!S1271-CHAIN_RAW!R1271)/MAX(1E-9, H1271),"")</f>
        <v/>
      </c>
      <c r="K1271" s="13">
        <f>CHAIN_RAW!G1271</f>
        <v/>
      </c>
      <c r="L1271" s="13">
        <f>CHAIN_RAW!N1271</f>
        <v/>
      </c>
      <c r="M1271" s="13">
        <f>IFERROR(L1271-K1271,"")</f>
        <v/>
      </c>
      <c r="N1271" s="13">
        <f>CHAIN_RAW!H1271</f>
        <v/>
      </c>
      <c r="O1271" s="13">
        <f>CHAIN_RAW!O1271</f>
        <v/>
      </c>
      <c r="P1271" s="13">
        <f>IFERROR(O1271/N1271,"")</f>
        <v/>
      </c>
      <c r="Q1271" s="13">
        <f>CHAIN_RAW!I1271</f>
        <v/>
      </c>
      <c r="R1271" s="13">
        <f>CHAIN_RAW!P1271</f>
        <v/>
      </c>
      <c r="S1271" s="13">
        <f>IFERROR(R1271/Q1271,"")</f>
        <v/>
      </c>
      <c r="T1271" s="13">
        <f>IFERROR((ABS(N1271-O1271)/MAX(1,(N1271+O1271)))*EXP(-ABS(E1271-CONTROL!E5)/MAX(1,CONTROL!B8)),"")</f>
        <v/>
      </c>
      <c r="U1271" s="13">
        <f>IFERROR(IF(O1271&gt;N1271,"SUPPORT (PE OI)","RESIST (CE OI)"),"")</f>
        <v/>
      </c>
      <c r="V1271" s="13">
        <f>IFERROR(IF(Q1271&gt;0,IF(R1271&gt;0,"BOTH_ADD","CE_ADD_PE_REDUCE"),IF(R1271&gt;0,"CE_REDUCE_PE_ADD","BOTH_REDUCE")),"")</f>
        <v/>
      </c>
      <c r="W1271" s="13">
        <f>IFERROR( (P1271-1)*0.5 + (M1271)*0.1 - (I1271+J1271)*0.05 + T1271*0.4 ,"")</f>
        <v/>
      </c>
      <c r="X1271" s="13">
        <f>IFERROR(IF(ABS(F1271)&lt;0.01,"ATM/NEAR",""),"")</f>
        <v/>
      </c>
    </row>
    <row r="1272">
      <c r="A1272" s="13">
        <f>CHAIN_RAW!A1272</f>
        <v/>
      </c>
      <c r="B1272" s="14">
        <f>CHAIN_RAW!B1272</f>
        <v/>
      </c>
      <c r="C1272" s="13">
        <f>CHAIN_RAW!C1272</f>
        <v/>
      </c>
      <c r="D1272" s="13">
        <f>CHAIN_RAW!D1272</f>
        <v/>
      </c>
      <c r="E1272" s="13">
        <f>CHAIN_RAW!E1272</f>
        <v/>
      </c>
      <c r="F1272" s="13">
        <f>IFERROR((E1272-D1272)/D1272,"")</f>
        <v/>
      </c>
      <c r="G1272" s="13">
        <f>IFERROR((CHAIN_RAW!K1272+CHAIN_RAW!L1272)/2,"")</f>
        <v/>
      </c>
      <c r="H1272" s="13">
        <f>IFERROR((CHAIN_RAW!R1272+CHAIN_RAW!S1272)/2,"")</f>
        <v/>
      </c>
      <c r="I1272" s="13">
        <f>IFERROR((CHAIN_RAW!L1272-CHAIN_RAW!K1272)/MAX(1E-9, G1272),"")</f>
        <v/>
      </c>
      <c r="J1272" s="13">
        <f>IFERROR((CHAIN_RAW!S1272-CHAIN_RAW!R1272)/MAX(1E-9, H1272),"")</f>
        <v/>
      </c>
      <c r="K1272" s="13">
        <f>CHAIN_RAW!G1272</f>
        <v/>
      </c>
      <c r="L1272" s="13">
        <f>CHAIN_RAW!N1272</f>
        <v/>
      </c>
      <c r="M1272" s="13">
        <f>IFERROR(L1272-K1272,"")</f>
        <v/>
      </c>
      <c r="N1272" s="13">
        <f>CHAIN_RAW!H1272</f>
        <v/>
      </c>
      <c r="O1272" s="13">
        <f>CHAIN_RAW!O1272</f>
        <v/>
      </c>
      <c r="P1272" s="13">
        <f>IFERROR(O1272/N1272,"")</f>
        <v/>
      </c>
      <c r="Q1272" s="13">
        <f>CHAIN_RAW!I1272</f>
        <v/>
      </c>
      <c r="R1272" s="13">
        <f>CHAIN_RAW!P1272</f>
        <v/>
      </c>
      <c r="S1272" s="13">
        <f>IFERROR(R1272/Q1272,"")</f>
        <v/>
      </c>
      <c r="T1272" s="13">
        <f>IFERROR((ABS(N1272-O1272)/MAX(1,(N1272+O1272)))*EXP(-ABS(E1272-CONTROL!E5)/MAX(1,CONTROL!B8)),"")</f>
        <v/>
      </c>
      <c r="U1272" s="13">
        <f>IFERROR(IF(O1272&gt;N1272,"SUPPORT (PE OI)","RESIST (CE OI)"),"")</f>
        <v/>
      </c>
      <c r="V1272" s="13">
        <f>IFERROR(IF(Q1272&gt;0,IF(R1272&gt;0,"BOTH_ADD","CE_ADD_PE_REDUCE"),IF(R1272&gt;0,"CE_REDUCE_PE_ADD","BOTH_REDUCE")),"")</f>
        <v/>
      </c>
      <c r="W1272" s="13">
        <f>IFERROR( (P1272-1)*0.5 + (M1272)*0.1 - (I1272+J1272)*0.05 + T1272*0.4 ,"")</f>
        <v/>
      </c>
      <c r="X1272" s="13">
        <f>IFERROR(IF(ABS(F1272)&lt;0.01,"ATM/NEAR",""),"")</f>
        <v/>
      </c>
    </row>
    <row r="1273">
      <c r="A1273" s="13">
        <f>CHAIN_RAW!A1273</f>
        <v/>
      </c>
      <c r="B1273" s="14">
        <f>CHAIN_RAW!B1273</f>
        <v/>
      </c>
      <c r="C1273" s="13">
        <f>CHAIN_RAW!C1273</f>
        <v/>
      </c>
      <c r="D1273" s="13">
        <f>CHAIN_RAW!D1273</f>
        <v/>
      </c>
      <c r="E1273" s="13">
        <f>CHAIN_RAW!E1273</f>
        <v/>
      </c>
      <c r="F1273" s="13">
        <f>IFERROR((E1273-D1273)/D1273,"")</f>
        <v/>
      </c>
      <c r="G1273" s="13">
        <f>IFERROR((CHAIN_RAW!K1273+CHAIN_RAW!L1273)/2,"")</f>
        <v/>
      </c>
      <c r="H1273" s="13">
        <f>IFERROR((CHAIN_RAW!R1273+CHAIN_RAW!S1273)/2,"")</f>
        <v/>
      </c>
      <c r="I1273" s="13">
        <f>IFERROR((CHAIN_RAW!L1273-CHAIN_RAW!K1273)/MAX(1E-9, G1273),"")</f>
        <v/>
      </c>
      <c r="J1273" s="13">
        <f>IFERROR((CHAIN_RAW!S1273-CHAIN_RAW!R1273)/MAX(1E-9, H1273),"")</f>
        <v/>
      </c>
      <c r="K1273" s="13">
        <f>CHAIN_RAW!G1273</f>
        <v/>
      </c>
      <c r="L1273" s="13">
        <f>CHAIN_RAW!N1273</f>
        <v/>
      </c>
      <c r="M1273" s="13">
        <f>IFERROR(L1273-K1273,"")</f>
        <v/>
      </c>
      <c r="N1273" s="13">
        <f>CHAIN_RAW!H1273</f>
        <v/>
      </c>
      <c r="O1273" s="13">
        <f>CHAIN_RAW!O1273</f>
        <v/>
      </c>
      <c r="P1273" s="13">
        <f>IFERROR(O1273/N1273,"")</f>
        <v/>
      </c>
      <c r="Q1273" s="13">
        <f>CHAIN_RAW!I1273</f>
        <v/>
      </c>
      <c r="R1273" s="13">
        <f>CHAIN_RAW!P1273</f>
        <v/>
      </c>
      <c r="S1273" s="13">
        <f>IFERROR(R1273/Q1273,"")</f>
        <v/>
      </c>
      <c r="T1273" s="13">
        <f>IFERROR((ABS(N1273-O1273)/MAX(1,(N1273+O1273)))*EXP(-ABS(E1273-CONTROL!E5)/MAX(1,CONTROL!B8)),"")</f>
        <v/>
      </c>
      <c r="U1273" s="13">
        <f>IFERROR(IF(O1273&gt;N1273,"SUPPORT (PE OI)","RESIST (CE OI)"),"")</f>
        <v/>
      </c>
      <c r="V1273" s="13">
        <f>IFERROR(IF(Q1273&gt;0,IF(R1273&gt;0,"BOTH_ADD","CE_ADD_PE_REDUCE"),IF(R1273&gt;0,"CE_REDUCE_PE_ADD","BOTH_REDUCE")),"")</f>
        <v/>
      </c>
      <c r="W1273" s="13">
        <f>IFERROR( (P1273-1)*0.5 + (M1273)*0.1 - (I1273+J1273)*0.05 + T1273*0.4 ,"")</f>
        <v/>
      </c>
      <c r="X1273" s="13">
        <f>IFERROR(IF(ABS(F1273)&lt;0.01,"ATM/NEAR",""),"")</f>
        <v/>
      </c>
    </row>
    <row r="1274">
      <c r="A1274" s="13">
        <f>CHAIN_RAW!A1274</f>
        <v/>
      </c>
      <c r="B1274" s="14">
        <f>CHAIN_RAW!B1274</f>
        <v/>
      </c>
      <c r="C1274" s="13">
        <f>CHAIN_RAW!C1274</f>
        <v/>
      </c>
      <c r="D1274" s="13">
        <f>CHAIN_RAW!D1274</f>
        <v/>
      </c>
      <c r="E1274" s="13">
        <f>CHAIN_RAW!E1274</f>
        <v/>
      </c>
      <c r="F1274" s="13">
        <f>IFERROR((E1274-D1274)/D1274,"")</f>
        <v/>
      </c>
      <c r="G1274" s="13">
        <f>IFERROR((CHAIN_RAW!K1274+CHAIN_RAW!L1274)/2,"")</f>
        <v/>
      </c>
      <c r="H1274" s="13">
        <f>IFERROR((CHAIN_RAW!R1274+CHAIN_RAW!S1274)/2,"")</f>
        <v/>
      </c>
      <c r="I1274" s="13">
        <f>IFERROR((CHAIN_RAW!L1274-CHAIN_RAW!K1274)/MAX(1E-9, G1274),"")</f>
        <v/>
      </c>
      <c r="J1274" s="13">
        <f>IFERROR((CHAIN_RAW!S1274-CHAIN_RAW!R1274)/MAX(1E-9, H1274),"")</f>
        <v/>
      </c>
      <c r="K1274" s="13">
        <f>CHAIN_RAW!G1274</f>
        <v/>
      </c>
      <c r="L1274" s="13">
        <f>CHAIN_RAW!N1274</f>
        <v/>
      </c>
      <c r="M1274" s="13">
        <f>IFERROR(L1274-K1274,"")</f>
        <v/>
      </c>
      <c r="N1274" s="13">
        <f>CHAIN_RAW!H1274</f>
        <v/>
      </c>
      <c r="O1274" s="13">
        <f>CHAIN_RAW!O1274</f>
        <v/>
      </c>
      <c r="P1274" s="13">
        <f>IFERROR(O1274/N1274,"")</f>
        <v/>
      </c>
      <c r="Q1274" s="13">
        <f>CHAIN_RAW!I1274</f>
        <v/>
      </c>
      <c r="R1274" s="13">
        <f>CHAIN_RAW!P1274</f>
        <v/>
      </c>
      <c r="S1274" s="13">
        <f>IFERROR(R1274/Q1274,"")</f>
        <v/>
      </c>
      <c r="T1274" s="13">
        <f>IFERROR((ABS(N1274-O1274)/MAX(1,(N1274+O1274)))*EXP(-ABS(E1274-CONTROL!E5)/MAX(1,CONTROL!B8)),"")</f>
        <v/>
      </c>
      <c r="U1274" s="13">
        <f>IFERROR(IF(O1274&gt;N1274,"SUPPORT (PE OI)","RESIST (CE OI)"),"")</f>
        <v/>
      </c>
      <c r="V1274" s="13">
        <f>IFERROR(IF(Q1274&gt;0,IF(R1274&gt;0,"BOTH_ADD","CE_ADD_PE_REDUCE"),IF(R1274&gt;0,"CE_REDUCE_PE_ADD","BOTH_REDUCE")),"")</f>
        <v/>
      </c>
      <c r="W1274" s="13">
        <f>IFERROR( (P1274-1)*0.5 + (M1274)*0.1 - (I1274+J1274)*0.05 + T1274*0.4 ,"")</f>
        <v/>
      </c>
      <c r="X1274" s="13">
        <f>IFERROR(IF(ABS(F1274)&lt;0.01,"ATM/NEAR",""),"")</f>
        <v/>
      </c>
    </row>
    <row r="1275">
      <c r="A1275" s="13">
        <f>CHAIN_RAW!A1275</f>
        <v/>
      </c>
      <c r="B1275" s="14">
        <f>CHAIN_RAW!B1275</f>
        <v/>
      </c>
      <c r="C1275" s="13">
        <f>CHAIN_RAW!C1275</f>
        <v/>
      </c>
      <c r="D1275" s="13">
        <f>CHAIN_RAW!D1275</f>
        <v/>
      </c>
      <c r="E1275" s="13">
        <f>CHAIN_RAW!E1275</f>
        <v/>
      </c>
      <c r="F1275" s="13">
        <f>IFERROR((E1275-D1275)/D1275,"")</f>
        <v/>
      </c>
      <c r="G1275" s="13">
        <f>IFERROR((CHAIN_RAW!K1275+CHAIN_RAW!L1275)/2,"")</f>
        <v/>
      </c>
      <c r="H1275" s="13">
        <f>IFERROR((CHAIN_RAW!R1275+CHAIN_RAW!S1275)/2,"")</f>
        <v/>
      </c>
      <c r="I1275" s="13">
        <f>IFERROR((CHAIN_RAW!L1275-CHAIN_RAW!K1275)/MAX(1E-9, G1275),"")</f>
        <v/>
      </c>
      <c r="J1275" s="13">
        <f>IFERROR((CHAIN_RAW!S1275-CHAIN_RAW!R1275)/MAX(1E-9, H1275),"")</f>
        <v/>
      </c>
      <c r="K1275" s="13">
        <f>CHAIN_RAW!G1275</f>
        <v/>
      </c>
      <c r="L1275" s="13">
        <f>CHAIN_RAW!N1275</f>
        <v/>
      </c>
      <c r="M1275" s="13">
        <f>IFERROR(L1275-K1275,"")</f>
        <v/>
      </c>
      <c r="N1275" s="13">
        <f>CHAIN_RAW!H1275</f>
        <v/>
      </c>
      <c r="O1275" s="13">
        <f>CHAIN_RAW!O1275</f>
        <v/>
      </c>
      <c r="P1275" s="13">
        <f>IFERROR(O1275/N1275,"")</f>
        <v/>
      </c>
      <c r="Q1275" s="13">
        <f>CHAIN_RAW!I1275</f>
        <v/>
      </c>
      <c r="R1275" s="13">
        <f>CHAIN_RAW!P1275</f>
        <v/>
      </c>
      <c r="S1275" s="13">
        <f>IFERROR(R1275/Q1275,"")</f>
        <v/>
      </c>
      <c r="T1275" s="13">
        <f>IFERROR((ABS(N1275-O1275)/MAX(1,(N1275+O1275)))*EXP(-ABS(E1275-CONTROL!E5)/MAX(1,CONTROL!B8)),"")</f>
        <v/>
      </c>
      <c r="U1275" s="13">
        <f>IFERROR(IF(O1275&gt;N1275,"SUPPORT (PE OI)","RESIST (CE OI)"),"")</f>
        <v/>
      </c>
      <c r="V1275" s="13">
        <f>IFERROR(IF(Q1275&gt;0,IF(R1275&gt;0,"BOTH_ADD","CE_ADD_PE_REDUCE"),IF(R1275&gt;0,"CE_REDUCE_PE_ADD","BOTH_REDUCE")),"")</f>
        <v/>
      </c>
      <c r="W1275" s="13">
        <f>IFERROR( (P1275-1)*0.5 + (M1275)*0.1 - (I1275+J1275)*0.05 + T1275*0.4 ,"")</f>
        <v/>
      </c>
      <c r="X1275" s="13">
        <f>IFERROR(IF(ABS(F1275)&lt;0.01,"ATM/NEAR",""),"")</f>
        <v/>
      </c>
    </row>
    <row r="1276">
      <c r="A1276" s="13">
        <f>CHAIN_RAW!A1276</f>
        <v/>
      </c>
      <c r="B1276" s="14">
        <f>CHAIN_RAW!B1276</f>
        <v/>
      </c>
      <c r="C1276" s="13">
        <f>CHAIN_RAW!C1276</f>
        <v/>
      </c>
      <c r="D1276" s="13">
        <f>CHAIN_RAW!D1276</f>
        <v/>
      </c>
      <c r="E1276" s="13">
        <f>CHAIN_RAW!E1276</f>
        <v/>
      </c>
      <c r="F1276" s="13">
        <f>IFERROR((E1276-D1276)/D1276,"")</f>
        <v/>
      </c>
      <c r="G1276" s="13">
        <f>IFERROR((CHAIN_RAW!K1276+CHAIN_RAW!L1276)/2,"")</f>
        <v/>
      </c>
      <c r="H1276" s="13">
        <f>IFERROR((CHAIN_RAW!R1276+CHAIN_RAW!S1276)/2,"")</f>
        <v/>
      </c>
      <c r="I1276" s="13">
        <f>IFERROR((CHAIN_RAW!L1276-CHAIN_RAW!K1276)/MAX(1E-9, G1276),"")</f>
        <v/>
      </c>
      <c r="J1276" s="13">
        <f>IFERROR((CHAIN_RAW!S1276-CHAIN_RAW!R1276)/MAX(1E-9, H1276),"")</f>
        <v/>
      </c>
      <c r="K1276" s="13">
        <f>CHAIN_RAW!G1276</f>
        <v/>
      </c>
      <c r="L1276" s="13">
        <f>CHAIN_RAW!N1276</f>
        <v/>
      </c>
      <c r="M1276" s="13">
        <f>IFERROR(L1276-K1276,"")</f>
        <v/>
      </c>
      <c r="N1276" s="13">
        <f>CHAIN_RAW!H1276</f>
        <v/>
      </c>
      <c r="O1276" s="13">
        <f>CHAIN_RAW!O1276</f>
        <v/>
      </c>
      <c r="P1276" s="13">
        <f>IFERROR(O1276/N1276,"")</f>
        <v/>
      </c>
      <c r="Q1276" s="13">
        <f>CHAIN_RAW!I1276</f>
        <v/>
      </c>
      <c r="R1276" s="13">
        <f>CHAIN_RAW!P1276</f>
        <v/>
      </c>
      <c r="S1276" s="13">
        <f>IFERROR(R1276/Q1276,"")</f>
        <v/>
      </c>
      <c r="T1276" s="13">
        <f>IFERROR((ABS(N1276-O1276)/MAX(1,(N1276+O1276)))*EXP(-ABS(E1276-CONTROL!E5)/MAX(1,CONTROL!B8)),"")</f>
        <v/>
      </c>
      <c r="U1276" s="13">
        <f>IFERROR(IF(O1276&gt;N1276,"SUPPORT (PE OI)","RESIST (CE OI)"),"")</f>
        <v/>
      </c>
      <c r="V1276" s="13">
        <f>IFERROR(IF(Q1276&gt;0,IF(R1276&gt;0,"BOTH_ADD","CE_ADD_PE_REDUCE"),IF(R1276&gt;0,"CE_REDUCE_PE_ADD","BOTH_REDUCE")),"")</f>
        <v/>
      </c>
      <c r="W1276" s="13">
        <f>IFERROR( (P1276-1)*0.5 + (M1276)*0.1 - (I1276+J1276)*0.05 + T1276*0.4 ,"")</f>
        <v/>
      </c>
      <c r="X1276" s="13">
        <f>IFERROR(IF(ABS(F1276)&lt;0.01,"ATM/NEAR",""),"")</f>
        <v/>
      </c>
    </row>
    <row r="1277">
      <c r="A1277" s="13">
        <f>CHAIN_RAW!A1277</f>
        <v/>
      </c>
      <c r="B1277" s="14">
        <f>CHAIN_RAW!B1277</f>
        <v/>
      </c>
      <c r="C1277" s="13">
        <f>CHAIN_RAW!C1277</f>
        <v/>
      </c>
      <c r="D1277" s="13">
        <f>CHAIN_RAW!D1277</f>
        <v/>
      </c>
      <c r="E1277" s="13">
        <f>CHAIN_RAW!E1277</f>
        <v/>
      </c>
      <c r="F1277" s="13">
        <f>IFERROR((E1277-D1277)/D1277,"")</f>
        <v/>
      </c>
      <c r="G1277" s="13">
        <f>IFERROR((CHAIN_RAW!K1277+CHAIN_RAW!L1277)/2,"")</f>
        <v/>
      </c>
      <c r="H1277" s="13">
        <f>IFERROR((CHAIN_RAW!R1277+CHAIN_RAW!S1277)/2,"")</f>
        <v/>
      </c>
      <c r="I1277" s="13">
        <f>IFERROR((CHAIN_RAW!L1277-CHAIN_RAW!K1277)/MAX(1E-9, G1277),"")</f>
        <v/>
      </c>
      <c r="J1277" s="13">
        <f>IFERROR((CHAIN_RAW!S1277-CHAIN_RAW!R1277)/MAX(1E-9, H1277),"")</f>
        <v/>
      </c>
      <c r="K1277" s="13">
        <f>CHAIN_RAW!G1277</f>
        <v/>
      </c>
      <c r="L1277" s="13">
        <f>CHAIN_RAW!N1277</f>
        <v/>
      </c>
      <c r="M1277" s="13">
        <f>IFERROR(L1277-K1277,"")</f>
        <v/>
      </c>
      <c r="N1277" s="13">
        <f>CHAIN_RAW!H1277</f>
        <v/>
      </c>
      <c r="O1277" s="13">
        <f>CHAIN_RAW!O1277</f>
        <v/>
      </c>
      <c r="P1277" s="13">
        <f>IFERROR(O1277/N1277,"")</f>
        <v/>
      </c>
      <c r="Q1277" s="13">
        <f>CHAIN_RAW!I1277</f>
        <v/>
      </c>
      <c r="R1277" s="13">
        <f>CHAIN_RAW!P1277</f>
        <v/>
      </c>
      <c r="S1277" s="13">
        <f>IFERROR(R1277/Q1277,"")</f>
        <v/>
      </c>
      <c r="T1277" s="13">
        <f>IFERROR((ABS(N1277-O1277)/MAX(1,(N1277+O1277)))*EXP(-ABS(E1277-CONTROL!E5)/MAX(1,CONTROL!B8)),"")</f>
        <v/>
      </c>
      <c r="U1277" s="13">
        <f>IFERROR(IF(O1277&gt;N1277,"SUPPORT (PE OI)","RESIST (CE OI)"),"")</f>
        <v/>
      </c>
      <c r="V1277" s="13">
        <f>IFERROR(IF(Q1277&gt;0,IF(R1277&gt;0,"BOTH_ADD","CE_ADD_PE_REDUCE"),IF(R1277&gt;0,"CE_REDUCE_PE_ADD","BOTH_REDUCE")),"")</f>
        <v/>
      </c>
      <c r="W1277" s="13">
        <f>IFERROR( (P1277-1)*0.5 + (M1277)*0.1 - (I1277+J1277)*0.05 + T1277*0.4 ,"")</f>
        <v/>
      </c>
      <c r="X1277" s="13">
        <f>IFERROR(IF(ABS(F1277)&lt;0.01,"ATM/NEAR",""),"")</f>
        <v/>
      </c>
    </row>
    <row r="1278">
      <c r="A1278" s="13">
        <f>CHAIN_RAW!A1278</f>
        <v/>
      </c>
      <c r="B1278" s="14">
        <f>CHAIN_RAW!B1278</f>
        <v/>
      </c>
      <c r="C1278" s="13">
        <f>CHAIN_RAW!C1278</f>
        <v/>
      </c>
      <c r="D1278" s="13">
        <f>CHAIN_RAW!D1278</f>
        <v/>
      </c>
      <c r="E1278" s="13">
        <f>CHAIN_RAW!E1278</f>
        <v/>
      </c>
      <c r="F1278" s="13">
        <f>IFERROR((E1278-D1278)/D1278,"")</f>
        <v/>
      </c>
      <c r="G1278" s="13">
        <f>IFERROR((CHAIN_RAW!K1278+CHAIN_RAW!L1278)/2,"")</f>
        <v/>
      </c>
      <c r="H1278" s="13">
        <f>IFERROR((CHAIN_RAW!R1278+CHAIN_RAW!S1278)/2,"")</f>
        <v/>
      </c>
      <c r="I1278" s="13">
        <f>IFERROR((CHAIN_RAW!L1278-CHAIN_RAW!K1278)/MAX(1E-9, G1278),"")</f>
        <v/>
      </c>
      <c r="J1278" s="13">
        <f>IFERROR((CHAIN_RAW!S1278-CHAIN_RAW!R1278)/MAX(1E-9, H1278),"")</f>
        <v/>
      </c>
      <c r="K1278" s="13">
        <f>CHAIN_RAW!G1278</f>
        <v/>
      </c>
      <c r="L1278" s="13">
        <f>CHAIN_RAW!N1278</f>
        <v/>
      </c>
      <c r="M1278" s="13">
        <f>IFERROR(L1278-K1278,"")</f>
        <v/>
      </c>
      <c r="N1278" s="13">
        <f>CHAIN_RAW!H1278</f>
        <v/>
      </c>
      <c r="O1278" s="13">
        <f>CHAIN_RAW!O1278</f>
        <v/>
      </c>
      <c r="P1278" s="13">
        <f>IFERROR(O1278/N1278,"")</f>
        <v/>
      </c>
      <c r="Q1278" s="13">
        <f>CHAIN_RAW!I1278</f>
        <v/>
      </c>
      <c r="R1278" s="13">
        <f>CHAIN_RAW!P1278</f>
        <v/>
      </c>
      <c r="S1278" s="13">
        <f>IFERROR(R1278/Q1278,"")</f>
        <v/>
      </c>
      <c r="T1278" s="13">
        <f>IFERROR((ABS(N1278-O1278)/MAX(1,(N1278+O1278)))*EXP(-ABS(E1278-CONTROL!E5)/MAX(1,CONTROL!B8)),"")</f>
        <v/>
      </c>
      <c r="U1278" s="13">
        <f>IFERROR(IF(O1278&gt;N1278,"SUPPORT (PE OI)","RESIST (CE OI)"),"")</f>
        <v/>
      </c>
      <c r="V1278" s="13">
        <f>IFERROR(IF(Q1278&gt;0,IF(R1278&gt;0,"BOTH_ADD","CE_ADD_PE_REDUCE"),IF(R1278&gt;0,"CE_REDUCE_PE_ADD","BOTH_REDUCE")),"")</f>
        <v/>
      </c>
      <c r="W1278" s="13">
        <f>IFERROR( (P1278-1)*0.5 + (M1278)*0.1 - (I1278+J1278)*0.05 + T1278*0.4 ,"")</f>
        <v/>
      </c>
      <c r="X1278" s="13">
        <f>IFERROR(IF(ABS(F1278)&lt;0.01,"ATM/NEAR",""),"")</f>
        <v/>
      </c>
    </row>
    <row r="1279">
      <c r="A1279" s="13">
        <f>CHAIN_RAW!A1279</f>
        <v/>
      </c>
      <c r="B1279" s="14">
        <f>CHAIN_RAW!B1279</f>
        <v/>
      </c>
      <c r="C1279" s="13">
        <f>CHAIN_RAW!C1279</f>
        <v/>
      </c>
      <c r="D1279" s="13">
        <f>CHAIN_RAW!D1279</f>
        <v/>
      </c>
      <c r="E1279" s="13">
        <f>CHAIN_RAW!E1279</f>
        <v/>
      </c>
      <c r="F1279" s="13">
        <f>IFERROR((E1279-D1279)/D1279,"")</f>
        <v/>
      </c>
      <c r="G1279" s="13">
        <f>IFERROR((CHAIN_RAW!K1279+CHAIN_RAW!L1279)/2,"")</f>
        <v/>
      </c>
      <c r="H1279" s="13">
        <f>IFERROR((CHAIN_RAW!R1279+CHAIN_RAW!S1279)/2,"")</f>
        <v/>
      </c>
      <c r="I1279" s="13">
        <f>IFERROR((CHAIN_RAW!L1279-CHAIN_RAW!K1279)/MAX(1E-9, G1279),"")</f>
        <v/>
      </c>
      <c r="J1279" s="13">
        <f>IFERROR((CHAIN_RAW!S1279-CHAIN_RAW!R1279)/MAX(1E-9, H1279),"")</f>
        <v/>
      </c>
      <c r="K1279" s="13">
        <f>CHAIN_RAW!G1279</f>
        <v/>
      </c>
      <c r="L1279" s="13">
        <f>CHAIN_RAW!N1279</f>
        <v/>
      </c>
      <c r="M1279" s="13">
        <f>IFERROR(L1279-K1279,"")</f>
        <v/>
      </c>
      <c r="N1279" s="13">
        <f>CHAIN_RAW!H1279</f>
        <v/>
      </c>
      <c r="O1279" s="13">
        <f>CHAIN_RAW!O1279</f>
        <v/>
      </c>
      <c r="P1279" s="13">
        <f>IFERROR(O1279/N1279,"")</f>
        <v/>
      </c>
      <c r="Q1279" s="13">
        <f>CHAIN_RAW!I1279</f>
        <v/>
      </c>
      <c r="R1279" s="13">
        <f>CHAIN_RAW!P1279</f>
        <v/>
      </c>
      <c r="S1279" s="13">
        <f>IFERROR(R1279/Q1279,"")</f>
        <v/>
      </c>
      <c r="T1279" s="13">
        <f>IFERROR((ABS(N1279-O1279)/MAX(1,(N1279+O1279)))*EXP(-ABS(E1279-CONTROL!E5)/MAX(1,CONTROL!B8)),"")</f>
        <v/>
      </c>
      <c r="U1279" s="13">
        <f>IFERROR(IF(O1279&gt;N1279,"SUPPORT (PE OI)","RESIST (CE OI)"),"")</f>
        <v/>
      </c>
      <c r="V1279" s="13">
        <f>IFERROR(IF(Q1279&gt;0,IF(R1279&gt;0,"BOTH_ADD","CE_ADD_PE_REDUCE"),IF(R1279&gt;0,"CE_REDUCE_PE_ADD","BOTH_REDUCE")),"")</f>
        <v/>
      </c>
      <c r="W1279" s="13">
        <f>IFERROR( (P1279-1)*0.5 + (M1279)*0.1 - (I1279+J1279)*0.05 + T1279*0.4 ,"")</f>
        <v/>
      </c>
      <c r="X1279" s="13">
        <f>IFERROR(IF(ABS(F1279)&lt;0.01,"ATM/NEAR",""),"")</f>
        <v/>
      </c>
    </row>
    <row r="1280">
      <c r="A1280" s="13">
        <f>CHAIN_RAW!A1280</f>
        <v/>
      </c>
      <c r="B1280" s="14">
        <f>CHAIN_RAW!B1280</f>
        <v/>
      </c>
      <c r="C1280" s="13">
        <f>CHAIN_RAW!C1280</f>
        <v/>
      </c>
      <c r="D1280" s="13">
        <f>CHAIN_RAW!D1280</f>
        <v/>
      </c>
      <c r="E1280" s="13">
        <f>CHAIN_RAW!E1280</f>
        <v/>
      </c>
      <c r="F1280" s="13">
        <f>IFERROR((E1280-D1280)/D1280,"")</f>
        <v/>
      </c>
      <c r="G1280" s="13">
        <f>IFERROR((CHAIN_RAW!K1280+CHAIN_RAW!L1280)/2,"")</f>
        <v/>
      </c>
      <c r="H1280" s="13">
        <f>IFERROR((CHAIN_RAW!R1280+CHAIN_RAW!S1280)/2,"")</f>
        <v/>
      </c>
      <c r="I1280" s="13">
        <f>IFERROR((CHAIN_RAW!L1280-CHAIN_RAW!K1280)/MAX(1E-9, G1280),"")</f>
        <v/>
      </c>
      <c r="J1280" s="13">
        <f>IFERROR((CHAIN_RAW!S1280-CHAIN_RAW!R1280)/MAX(1E-9, H1280),"")</f>
        <v/>
      </c>
      <c r="K1280" s="13">
        <f>CHAIN_RAW!G1280</f>
        <v/>
      </c>
      <c r="L1280" s="13">
        <f>CHAIN_RAW!N1280</f>
        <v/>
      </c>
      <c r="M1280" s="13">
        <f>IFERROR(L1280-K1280,"")</f>
        <v/>
      </c>
      <c r="N1280" s="13">
        <f>CHAIN_RAW!H1280</f>
        <v/>
      </c>
      <c r="O1280" s="13">
        <f>CHAIN_RAW!O1280</f>
        <v/>
      </c>
      <c r="P1280" s="13">
        <f>IFERROR(O1280/N1280,"")</f>
        <v/>
      </c>
      <c r="Q1280" s="13">
        <f>CHAIN_RAW!I1280</f>
        <v/>
      </c>
      <c r="R1280" s="13">
        <f>CHAIN_RAW!P1280</f>
        <v/>
      </c>
      <c r="S1280" s="13">
        <f>IFERROR(R1280/Q1280,"")</f>
        <v/>
      </c>
      <c r="T1280" s="13">
        <f>IFERROR((ABS(N1280-O1280)/MAX(1,(N1280+O1280)))*EXP(-ABS(E1280-CONTROL!E5)/MAX(1,CONTROL!B8)),"")</f>
        <v/>
      </c>
      <c r="U1280" s="13">
        <f>IFERROR(IF(O1280&gt;N1280,"SUPPORT (PE OI)","RESIST (CE OI)"),"")</f>
        <v/>
      </c>
      <c r="V1280" s="13">
        <f>IFERROR(IF(Q1280&gt;0,IF(R1280&gt;0,"BOTH_ADD","CE_ADD_PE_REDUCE"),IF(R1280&gt;0,"CE_REDUCE_PE_ADD","BOTH_REDUCE")),"")</f>
        <v/>
      </c>
      <c r="W1280" s="13">
        <f>IFERROR( (P1280-1)*0.5 + (M1280)*0.1 - (I1280+J1280)*0.05 + T1280*0.4 ,"")</f>
        <v/>
      </c>
      <c r="X1280" s="13">
        <f>IFERROR(IF(ABS(F1280)&lt;0.01,"ATM/NEAR",""),"")</f>
        <v/>
      </c>
    </row>
    <row r="1281">
      <c r="A1281" s="13">
        <f>CHAIN_RAW!A1281</f>
        <v/>
      </c>
      <c r="B1281" s="14">
        <f>CHAIN_RAW!B1281</f>
        <v/>
      </c>
      <c r="C1281" s="13">
        <f>CHAIN_RAW!C1281</f>
        <v/>
      </c>
      <c r="D1281" s="13">
        <f>CHAIN_RAW!D1281</f>
        <v/>
      </c>
      <c r="E1281" s="13">
        <f>CHAIN_RAW!E1281</f>
        <v/>
      </c>
      <c r="F1281" s="13">
        <f>IFERROR((E1281-D1281)/D1281,"")</f>
        <v/>
      </c>
      <c r="G1281" s="13">
        <f>IFERROR((CHAIN_RAW!K1281+CHAIN_RAW!L1281)/2,"")</f>
        <v/>
      </c>
      <c r="H1281" s="13">
        <f>IFERROR((CHAIN_RAW!R1281+CHAIN_RAW!S1281)/2,"")</f>
        <v/>
      </c>
      <c r="I1281" s="13">
        <f>IFERROR((CHAIN_RAW!L1281-CHAIN_RAW!K1281)/MAX(1E-9, G1281),"")</f>
        <v/>
      </c>
      <c r="J1281" s="13">
        <f>IFERROR((CHAIN_RAW!S1281-CHAIN_RAW!R1281)/MAX(1E-9, H1281),"")</f>
        <v/>
      </c>
      <c r="K1281" s="13">
        <f>CHAIN_RAW!G1281</f>
        <v/>
      </c>
      <c r="L1281" s="13">
        <f>CHAIN_RAW!N1281</f>
        <v/>
      </c>
      <c r="M1281" s="13">
        <f>IFERROR(L1281-K1281,"")</f>
        <v/>
      </c>
      <c r="N1281" s="13">
        <f>CHAIN_RAW!H1281</f>
        <v/>
      </c>
      <c r="O1281" s="13">
        <f>CHAIN_RAW!O1281</f>
        <v/>
      </c>
      <c r="P1281" s="13">
        <f>IFERROR(O1281/N1281,"")</f>
        <v/>
      </c>
      <c r="Q1281" s="13">
        <f>CHAIN_RAW!I1281</f>
        <v/>
      </c>
      <c r="R1281" s="13">
        <f>CHAIN_RAW!P1281</f>
        <v/>
      </c>
      <c r="S1281" s="13">
        <f>IFERROR(R1281/Q1281,"")</f>
        <v/>
      </c>
      <c r="T1281" s="13">
        <f>IFERROR((ABS(N1281-O1281)/MAX(1,(N1281+O1281)))*EXP(-ABS(E1281-CONTROL!E5)/MAX(1,CONTROL!B8)),"")</f>
        <v/>
      </c>
      <c r="U1281" s="13">
        <f>IFERROR(IF(O1281&gt;N1281,"SUPPORT (PE OI)","RESIST (CE OI)"),"")</f>
        <v/>
      </c>
      <c r="V1281" s="13">
        <f>IFERROR(IF(Q1281&gt;0,IF(R1281&gt;0,"BOTH_ADD","CE_ADD_PE_REDUCE"),IF(R1281&gt;0,"CE_REDUCE_PE_ADD","BOTH_REDUCE")),"")</f>
        <v/>
      </c>
      <c r="W1281" s="13">
        <f>IFERROR( (P1281-1)*0.5 + (M1281)*0.1 - (I1281+J1281)*0.05 + T1281*0.4 ,"")</f>
        <v/>
      </c>
      <c r="X1281" s="13">
        <f>IFERROR(IF(ABS(F1281)&lt;0.01,"ATM/NEAR",""),"")</f>
        <v/>
      </c>
    </row>
    <row r="1282">
      <c r="A1282" s="13">
        <f>CHAIN_RAW!A1282</f>
        <v/>
      </c>
      <c r="B1282" s="14">
        <f>CHAIN_RAW!B1282</f>
        <v/>
      </c>
      <c r="C1282" s="13">
        <f>CHAIN_RAW!C1282</f>
        <v/>
      </c>
      <c r="D1282" s="13">
        <f>CHAIN_RAW!D1282</f>
        <v/>
      </c>
      <c r="E1282" s="13">
        <f>CHAIN_RAW!E1282</f>
        <v/>
      </c>
      <c r="F1282" s="13">
        <f>IFERROR((E1282-D1282)/D1282,"")</f>
        <v/>
      </c>
      <c r="G1282" s="13">
        <f>IFERROR((CHAIN_RAW!K1282+CHAIN_RAW!L1282)/2,"")</f>
        <v/>
      </c>
      <c r="H1282" s="13">
        <f>IFERROR((CHAIN_RAW!R1282+CHAIN_RAW!S1282)/2,"")</f>
        <v/>
      </c>
      <c r="I1282" s="13">
        <f>IFERROR((CHAIN_RAW!L1282-CHAIN_RAW!K1282)/MAX(1E-9, G1282),"")</f>
        <v/>
      </c>
      <c r="J1282" s="13">
        <f>IFERROR((CHAIN_RAW!S1282-CHAIN_RAW!R1282)/MAX(1E-9, H1282),"")</f>
        <v/>
      </c>
      <c r="K1282" s="13">
        <f>CHAIN_RAW!G1282</f>
        <v/>
      </c>
      <c r="L1282" s="13">
        <f>CHAIN_RAW!N1282</f>
        <v/>
      </c>
      <c r="M1282" s="13">
        <f>IFERROR(L1282-K1282,"")</f>
        <v/>
      </c>
      <c r="N1282" s="13">
        <f>CHAIN_RAW!H1282</f>
        <v/>
      </c>
      <c r="O1282" s="13">
        <f>CHAIN_RAW!O1282</f>
        <v/>
      </c>
      <c r="P1282" s="13">
        <f>IFERROR(O1282/N1282,"")</f>
        <v/>
      </c>
      <c r="Q1282" s="13">
        <f>CHAIN_RAW!I1282</f>
        <v/>
      </c>
      <c r="R1282" s="13">
        <f>CHAIN_RAW!P1282</f>
        <v/>
      </c>
      <c r="S1282" s="13">
        <f>IFERROR(R1282/Q1282,"")</f>
        <v/>
      </c>
      <c r="T1282" s="13">
        <f>IFERROR((ABS(N1282-O1282)/MAX(1,(N1282+O1282)))*EXP(-ABS(E1282-CONTROL!E5)/MAX(1,CONTROL!B8)),"")</f>
        <v/>
      </c>
      <c r="U1282" s="13">
        <f>IFERROR(IF(O1282&gt;N1282,"SUPPORT (PE OI)","RESIST (CE OI)"),"")</f>
        <v/>
      </c>
      <c r="V1282" s="13">
        <f>IFERROR(IF(Q1282&gt;0,IF(R1282&gt;0,"BOTH_ADD","CE_ADD_PE_REDUCE"),IF(R1282&gt;0,"CE_REDUCE_PE_ADD","BOTH_REDUCE")),"")</f>
        <v/>
      </c>
      <c r="W1282" s="13">
        <f>IFERROR( (P1282-1)*0.5 + (M1282)*0.1 - (I1282+J1282)*0.05 + T1282*0.4 ,"")</f>
        <v/>
      </c>
      <c r="X1282" s="13">
        <f>IFERROR(IF(ABS(F1282)&lt;0.01,"ATM/NEAR",""),"")</f>
        <v/>
      </c>
    </row>
    <row r="1283">
      <c r="A1283" s="13">
        <f>CHAIN_RAW!A1283</f>
        <v/>
      </c>
      <c r="B1283" s="14">
        <f>CHAIN_RAW!B1283</f>
        <v/>
      </c>
      <c r="C1283" s="13">
        <f>CHAIN_RAW!C1283</f>
        <v/>
      </c>
      <c r="D1283" s="13">
        <f>CHAIN_RAW!D1283</f>
        <v/>
      </c>
      <c r="E1283" s="13">
        <f>CHAIN_RAW!E1283</f>
        <v/>
      </c>
      <c r="F1283" s="13">
        <f>IFERROR((E1283-D1283)/D1283,"")</f>
        <v/>
      </c>
      <c r="G1283" s="13">
        <f>IFERROR((CHAIN_RAW!K1283+CHAIN_RAW!L1283)/2,"")</f>
        <v/>
      </c>
      <c r="H1283" s="13">
        <f>IFERROR((CHAIN_RAW!R1283+CHAIN_RAW!S1283)/2,"")</f>
        <v/>
      </c>
      <c r="I1283" s="13">
        <f>IFERROR((CHAIN_RAW!L1283-CHAIN_RAW!K1283)/MAX(1E-9, G1283),"")</f>
        <v/>
      </c>
      <c r="J1283" s="13">
        <f>IFERROR((CHAIN_RAW!S1283-CHAIN_RAW!R1283)/MAX(1E-9, H1283),"")</f>
        <v/>
      </c>
      <c r="K1283" s="13">
        <f>CHAIN_RAW!G1283</f>
        <v/>
      </c>
      <c r="L1283" s="13">
        <f>CHAIN_RAW!N1283</f>
        <v/>
      </c>
      <c r="M1283" s="13">
        <f>IFERROR(L1283-K1283,"")</f>
        <v/>
      </c>
      <c r="N1283" s="13">
        <f>CHAIN_RAW!H1283</f>
        <v/>
      </c>
      <c r="O1283" s="13">
        <f>CHAIN_RAW!O1283</f>
        <v/>
      </c>
      <c r="P1283" s="13">
        <f>IFERROR(O1283/N1283,"")</f>
        <v/>
      </c>
      <c r="Q1283" s="13">
        <f>CHAIN_RAW!I1283</f>
        <v/>
      </c>
      <c r="R1283" s="13">
        <f>CHAIN_RAW!P1283</f>
        <v/>
      </c>
      <c r="S1283" s="13">
        <f>IFERROR(R1283/Q1283,"")</f>
        <v/>
      </c>
      <c r="T1283" s="13">
        <f>IFERROR((ABS(N1283-O1283)/MAX(1,(N1283+O1283)))*EXP(-ABS(E1283-CONTROL!E5)/MAX(1,CONTROL!B8)),"")</f>
        <v/>
      </c>
      <c r="U1283" s="13">
        <f>IFERROR(IF(O1283&gt;N1283,"SUPPORT (PE OI)","RESIST (CE OI)"),"")</f>
        <v/>
      </c>
      <c r="V1283" s="13">
        <f>IFERROR(IF(Q1283&gt;0,IF(R1283&gt;0,"BOTH_ADD","CE_ADD_PE_REDUCE"),IF(R1283&gt;0,"CE_REDUCE_PE_ADD","BOTH_REDUCE")),"")</f>
        <v/>
      </c>
      <c r="W1283" s="13">
        <f>IFERROR( (P1283-1)*0.5 + (M1283)*0.1 - (I1283+J1283)*0.05 + T1283*0.4 ,"")</f>
        <v/>
      </c>
      <c r="X1283" s="13">
        <f>IFERROR(IF(ABS(F1283)&lt;0.01,"ATM/NEAR",""),"")</f>
        <v/>
      </c>
    </row>
    <row r="1284">
      <c r="A1284" s="13">
        <f>CHAIN_RAW!A1284</f>
        <v/>
      </c>
      <c r="B1284" s="14">
        <f>CHAIN_RAW!B1284</f>
        <v/>
      </c>
      <c r="C1284" s="13">
        <f>CHAIN_RAW!C1284</f>
        <v/>
      </c>
      <c r="D1284" s="13">
        <f>CHAIN_RAW!D1284</f>
        <v/>
      </c>
      <c r="E1284" s="13">
        <f>CHAIN_RAW!E1284</f>
        <v/>
      </c>
      <c r="F1284" s="13">
        <f>IFERROR((E1284-D1284)/D1284,"")</f>
        <v/>
      </c>
      <c r="G1284" s="13">
        <f>IFERROR((CHAIN_RAW!K1284+CHAIN_RAW!L1284)/2,"")</f>
        <v/>
      </c>
      <c r="H1284" s="13">
        <f>IFERROR((CHAIN_RAW!R1284+CHAIN_RAW!S1284)/2,"")</f>
        <v/>
      </c>
      <c r="I1284" s="13">
        <f>IFERROR((CHAIN_RAW!L1284-CHAIN_RAW!K1284)/MAX(1E-9, G1284),"")</f>
        <v/>
      </c>
      <c r="J1284" s="13">
        <f>IFERROR((CHAIN_RAW!S1284-CHAIN_RAW!R1284)/MAX(1E-9, H1284),"")</f>
        <v/>
      </c>
      <c r="K1284" s="13">
        <f>CHAIN_RAW!G1284</f>
        <v/>
      </c>
      <c r="L1284" s="13">
        <f>CHAIN_RAW!N1284</f>
        <v/>
      </c>
      <c r="M1284" s="13">
        <f>IFERROR(L1284-K1284,"")</f>
        <v/>
      </c>
      <c r="N1284" s="13">
        <f>CHAIN_RAW!H1284</f>
        <v/>
      </c>
      <c r="O1284" s="13">
        <f>CHAIN_RAW!O1284</f>
        <v/>
      </c>
      <c r="P1284" s="13">
        <f>IFERROR(O1284/N1284,"")</f>
        <v/>
      </c>
      <c r="Q1284" s="13">
        <f>CHAIN_RAW!I1284</f>
        <v/>
      </c>
      <c r="R1284" s="13">
        <f>CHAIN_RAW!P1284</f>
        <v/>
      </c>
      <c r="S1284" s="13">
        <f>IFERROR(R1284/Q1284,"")</f>
        <v/>
      </c>
      <c r="T1284" s="13">
        <f>IFERROR((ABS(N1284-O1284)/MAX(1,(N1284+O1284)))*EXP(-ABS(E1284-CONTROL!E5)/MAX(1,CONTROL!B8)),"")</f>
        <v/>
      </c>
      <c r="U1284" s="13">
        <f>IFERROR(IF(O1284&gt;N1284,"SUPPORT (PE OI)","RESIST (CE OI)"),"")</f>
        <v/>
      </c>
      <c r="V1284" s="13">
        <f>IFERROR(IF(Q1284&gt;0,IF(R1284&gt;0,"BOTH_ADD","CE_ADD_PE_REDUCE"),IF(R1284&gt;0,"CE_REDUCE_PE_ADD","BOTH_REDUCE")),"")</f>
        <v/>
      </c>
      <c r="W1284" s="13">
        <f>IFERROR( (P1284-1)*0.5 + (M1284)*0.1 - (I1284+J1284)*0.05 + T1284*0.4 ,"")</f>
        <v/>
      </c>
      <c r="X1284" s="13">
        <f>IFERROR(IF(ABS(F1284)&lt;0.01,"ATM/NEAR",""),"")</f>
        <v/>
      </c>
    </row>
    <row r="1285">
      <c r="A1285" s="13">
        <f>CHAIN_RAW!A1285</f>
        <v/>
      </c>
      <c r="B1285" s="14">
        <f>CHAIN_RAW!B1285</f>
        <v/>
      </c>
      <c r="C1285" s="13">
        <f>CHAIN_RAW!C1285</f>
        <v/>
      </c>
      <c r="D1285" s="13">
        <f>CHAIN_RAW!D1285</f>
        <v/>
      </c>
      <c r="E1285" s="13">
        <f>CHAIN_RAW!E1285</f>
        <v/>
      </c>
      <c r="F1285" s="13">
        <f>IFERROR((E1285-D1285)/D1285,"")</f>
        <v/>
      </c>
      <c r="G1285" s="13">
        <f>IFERROR((CHAIN_RAW!K1285+CHAIN_RAW!L1285)/2,"")</f>
        <v/>
      </c>
      <c r="H1285" s="13">
        <f>IFERROR((CHAIN_RAW!R1285+CHAIN_RAW!S1285)/2,"")</f>
        <v/>
      </c>
      <c r="I1285" s="13">
        <f>IFERROR((CHAIN_RAW!L1285-CHAIN_RAW!K1285)/MAX(1E-9, G1285),"")</f>
        <v/>
      </c>
      <c r="J1285" s="13">
        <f>IFERROR((CHAIN_RAW!S1285-CHAIN_RAW!R1285)/MAX(1E-9, H1285),"")</f>
        <v/>
      </c>
      <c r="K1285" s="13">
        <f>CHAIN_RAW!G1285</f>
        <v/>
      </c>
      <c r="L1285" s="13">
        <f>CHAIN_RAW!N1285</f>
        <v/>
      </c>
      <c r="M1285" s="13">
        <f>IFERROR(L1285-K1285,"")</f>
        <v/>
      </c>
      <c r="N1285" s="13">
        <f>CHAIN_RAW!H1285</f>
        <v/>
      </c>
      <c r="O1285" s="13">
        <f>CHAIN_RAW!O1285</f>
        <v/>
      </c>
      <c r="P1285" s="13">
        <f>IFERROR(O1285/N1285,"")</f>
        <v/>
      </c>
      <c r="Q1285" s="13">
        <f>CHAIN_RAW!I1285</f>
        <v/>
      </c>
      <c r="R1285" s="13">
        <f>CHAIN_RAW!P1285</f>
        <v/>
      </c>
      <c r="S1285" s="13">
        <f>IFERROR(R1285/Q1285,"")</f>
        <v/>
      </c>
      <c r="T1285" s="13">
        <f>IFERROR((ABS(N1285-O1285)/MAX(1,(N1285+O1285)))*EXP(-ABS(E1285-CONTROL!E5)/MAX(1,CONTROL!B8)),"")</f>
        <v/>
      </c>
      <c r="U1285" s="13">
        <f>IFERROR(IF(O1285&gt;N1285,"SUPPORT (PE OI)","RESIST (CE OI)"),"")</f>
        <v/>
      </c>
      <c r="V1285" s="13">
        <f>IFERROR(IF(Q1285&gt;0,IF(R1285&gt;0,"BOTH_ADD","CE_ADD_PE_REDUCE"),IF(R1285&gt;0,"CE_REDUCE_PE_ADD","BOTH_REDUCE")),"")</f>
        <v/>
      </c>
      <c r="W1285" s="13">
        <f>IFERROR( (P1285-1)*0.5 + (M1285)*0.1 - (I1285+J1285)*0.05 + T1285*0.4 ,"")</f>
        <v/>
      </c>
      <c r="X1285" s="13">
        <f>IFERROR(IF(ABS(F1285)&lt;0.01,"ATM/NEAR",""),"")</f>
        <v/>
      </c>
    </row>
    <row r="1286">
      <c r="A1286" s="13">
        <f>CHAIN_RAW!A1286</f>
        <v/>
      </c>
      <c r="B1286" s="14">
        <f>CHAIN_RAW!B1286</f>
        <v/>
      </c>
      <c r="C1286" s="13">
        <f>CHAIN_RAW!C1286</f>
        <v/>
      </c>
      <c r="D1286" s="13">
        <f>CHAIN_RAW!D1286</f>
        <v/>
      </c>
      <c r="E1286" s="13">
        <f>CHAIN_RAW!E1286</f>
        <v/>
      </c>
      <c r="F1286" s="13">
        <f>IFERROR((E1286-D1286)/D1286,"")</f>
        <v/>
      </c>
      <c r="G1286" s="13">
        <f>IFERROR((CHAIN_RAW!K1286+CHAIN_RAW!L1286)/2,"")</f>
        <v/>
      </c>
      <c r="H1286" s="13">
        <f>IFERROR((CHAIN_RAW!R1286+CHAIN_RAW!S1286)/2,"")</f>
        <v/>
      </c>
      <c r="I1286" s="13">
        <f>IFERROR((CHAIN_RAW!L1286-CHAIN_RAW!K1286)/MAX(1E-9, G1286),"")</f>
        <v/>
      </c>
      <c r="J1286" s="13">
        <f>IFERROR((CHAIN_RAW!S1286-CHAIN_RAW!R1286)/MAX(1E-9, H1286),"")</f>
        <v/>
      </c>
      <c r="K1286" s="13">
        <f>CHAIN_RAW!G1286</f>
        <v/>
      </c>
      <c r="L1286" s="13">
        <f>CHAIN_RAW!N1286</f>
        <v/>
      </c>
      <c r="M1286" s="13">
        <f>IFERROR(L1286-K1286,"")</f>
        <v/>
      </c>
      <c r="N1286" s="13">
        <f>CHAIN_RAW!H1286</f>
        <v/>
      </c>
      <c r="O1286" s="13">
        <f>CHAIN_RAW!O1286</f>
        <v/>
      </c>
      <c r="P1286" s="13">
        <f>IFERROR(O1286/N1286,"")</f>
        <v/>
      </c>
      <c r="Q1286" s="13">
        <f>CHAIN_RAW!I1286</f>
        <v/>
      </c>
      <c r="R1286" s="13">
        <f>CHAIN_RAW!P1286</f>
        <v/>
      </c>
      <c r="S1286" s="13">
        <f>IFERROR(R1286/Q1286,"")</f>
        <v/>
      </c>
      <c r="T1286" s="13">
        <f>IFERROR((ABS(N1286-O1286)/MAX(1,(N1286+O1286)))*EXP(-ABS(E1286-CONTROL!E5)/MAX(1,CONTROL!B8)),"")</f>
        <v/>
      </c>
      <c r="U1286" s="13">
        <f>IFERROR(IF(O1286&gt;N1286,"SUPPORT (PE OI)","RESIST (CE OI)"),"")</f>
        <v/>
      </c>
      <c r="V1286" s="13">
        <f>IFERROR(IF(Q1286&gt;0,IF(R1286&gt;0,"BOTH_ADD","CE_ADD_PE_REDUCE"),IF(R1286&gt;0,"CE_REDUCE_PE_ADD","BOTH_REDUCE")),"")</f>
        <v/>
      </c>
      <c r="W1286" s="13">
        <f>IFERROR( (P1286-1)*0.5 + (M1286)*0.1 - (I1286+J1286)*0.05 + T1286*0.4 ,"")</f>
        <v/>
      </c>
      <c r="X1286" s="13">
        <f>IFERROR(IF(ABS(F1286)&lt;0.01,"ATM/NEAR",""),"")</f>
        <v/>
      </c>
    </row>
    <row r="1287">
      <c r="A1287" s="13">
        <f>CHAIN_RAW!A1287</f>
        <v/>
      </c>
      <c r="B1287" s="14">
        <f>CHAIN_RAW!B1287</f>
        <v/>
      </c>
      <c r="C1287" s="13">
        <f>CHAIN_RAW!C1287</f>
        <v/>
      </c>
      <c r="D1287" s="13">
        <f>CHAIN_RAW!D1287</f>
        <v/>
      </c>
      <c r="E1287" s="13">
        <f>CHAIN_RAW!E1287</f>
        <v/>
      </c>
      <c r="F1287" s="13">
        <f>IFERROR((E1287-D1287)/D1287,"")</f>
        <v/>
      </c>
      <c r="G1287" s="13">
        <f>IFERROR((CHAIN_RAW!K1287+CHAIN_RAW!L1287)/2,"")</f>
        <v/>
      </c>
      <c r="H1287" s="13">
        <f>IFERROR((CHAIN_RAW!R1287+CHAIN_RAW!S1287)/2,"")</f>
        <v/>
      </c>
      <c r="I1287" s="13">
        <f>IFERROR((CHAIN_RAW!L1287-CHAIN_RAW!K1287)/MAX(1E-9, G1287),"")</f>
        <v/>
      </c>
      <c r="J1287" s="13">
        <f>IFERROR((CHAIN_RAW!S1287-CHAIN_RAW!R1287)/MAX(1E-9, H1287),"")</f>
        <v/>
      </c>
      <c r="K1287" s="13">
        <f>CHAIN_RAW!G1287</f>
        <v/>
      </c>
      <c r="L1287" s="13">
        <f>CHAIN_RAW!N1287</f>
        <v/>
      </c>
      <c r="M1287" s="13">
        <f>IFERROR(L1287-K1287,"")</f>
        <v/>
      </c>
      <c r="N1287" s="13">
        <f>CHAIN_RAW!H1287</f>
        <v/>
      </c>
      <c r="O1287" s="13">
        <f>CHAIN_RAW!O1287</f>
        <v/>
      </c>
      <c r="P1287" s="13">
        <f>IFERROR(O1287/N1287,"")</f>
        <v/>
      </c>
      <c r="Q1287" s="13">
        <f>CHAIN_RAW!I1287</f>
        <v/>
      </c>
      <c r="R1287" s="13">
        <f>CHAIN_RAW!P1287</f>
        <v/>
      </c>
      <c r="S1287" s="13">
        <f>IFERROR(R1287/Q1287,"")</f>
        <v/>
      </c>
      <c r="T1287" s="13">
        <f>IFERROR((ABS(N1287-O1287)/MAX(1,(N1287+O1287)))*EXP(-ABS(E1287-CONTROL!E5)/MAX(1,CONTROL!B8)),"")</f>
        <v/>
      </c>
      <c r="U1287" s="13">
        <f>IFERROR(IF(O1287&gt;N1287,"SUPPORT (PE OI)","RESIST (CE OI)"),"")</f>
        <v/>
      </c>
      <c r="V1287" s="13">
        <f>IFERROR(IF(Q1287&gt;0,IF(R1287&gt;0,"BOTH_ADD","CE_ADD_PE_REDUCE"),IF(R1287&gt;0,"CE_REDUCE_PE_ADD","BOTH_REDUCE")),"")</f>
        <v/>
      </c>
      <c r="W1287" s="13">
        <f>IFERROR( (P1287-1)*0.5 + (M1287)*0.1 - (I1287+J1287)*0.05 + T1287*0.4 ,"")</f>
        <v/>
      </c>
      <c r="X1287" s="13">
        <f>IFERROR(IF(ABS(F1287)&lt;0.01,"ATM/NEAR",""),"")</f>
        <v/>
      </c>
    </row>
    <row r="1288">
      <c r="A1288" s="13">
        <f>CHAIN_RAW!A1288</f>
        <v/>
      </c>
      <c r="B1288" s="14">
        <f>CHAIN_RAW!B1288</f>
        <v/>
      </c>
      <c r="C1288" s="13">
        <f>CHAIN_RAW!C1288</f>
        <v/>
      </c>
      <c r="D1288" s="13">
        <f>CHAIN_RAW!D1288</f>
        <v/>
      </c>
      <c r="E1288" s="13">
        <f>CHAIN_RAW!E1288</f>
        <v/>
      </c>
      <c r="F1288" s="13">
        <f>IFERROR((E1288-D1288)/D1288,"")</f>
        <v/>
      </c>
      <c r="G1288" s="13">
        <f>IFERROR((CHAIN_RAW!K1288+CHAIN_RAW!L1288)/2,"")</f>
        <v/>
      </c>
      <c r="H1288" s="13">
        <f>IFERROR((CHAIN_RAW!R1288+CHAIN_RAW!S1288)/2,"")</f>
        <v/>
      </c>
      <c r="I1288" s="13">
        <f>IFERROR((CHAIN_RAW!L1288-CHAIN_RAW!K1288)/MAX(1E-9, G1288),"")</f>
        <v/>
      </c>
      <c r="J1288" s="13">
        <f>IFERROR((CHAIN_RAW!S1288-CHAIN_RAW!R1288)/MAX(1E-9, H1288),"")</f>
        <v/>
      </c>
      <c r="K1288" s="13">
        <f>CHAIN_RAW!G1288</f>
        <v/>
      </c>
      <c r="L1288" s="13">
        <f>CHAIN_RAW!N1288</f>
        <v/>
      </c>
      <c r="M1288" s="13">
        <f>IFERROR(L1288-K1288,"")</f>
        <v/>
      </c>
      <c r="N1288" s="13">
        <f>CHAIN_RAW!H1288</f>
        <v/>
      </c>
      <c r="O1288" s="13">
        <f>CHAIN_RAW!O1288</f>
        <v/>
      </c>
      <c r="P1288" s="13">
        <f>IFERROR(O1288/N1288,"")</f>
        <v/>
      </c>
      <c r="Q1288" s="13">
        <f>CHAIN_RAW!I1288</f>
        <v/>
      </c>
      <c r="R1288" s="13">
        <f>CHAIN_RAW!P1288</f>
        <v/>
      </c>
      <c r="S1288" s="13">
        <f>IFERROR(R1288/Q1288,"")</f>
        <v/>
      </c>
      <c r="T1288" s="13">
        <f>IFERROR((ABS(N1288-O1288)/MAX(1,(N1288+O1288)))*EXP(-ABS(E1288-CONTROL!E5)/MAX(1,CONTROL!B8)),"")</f>
        <v/>
      </c>
      <c r="U1288" s="13">
        <f>IFERROR(IF(O1288&gt;N1288,"SUPPORT (PE OI)","RESIST (CE OI)"),"")</f>
        <v/>
      </c>
      <c r="V1288" s="13">
        <f>IFERROR(IF(Q1288&gt;0,IF(R1288&gt;0,"BOTH_ADD","CE_ADD_PE_REDUCE"),IF(R1288&gt;0,"CE_REDUCE_PE_ADD","BOTH_REDUCE")),"")</f>
        <v/>
      </c>
      <c r="W1288" s="13">
        <f>IFERROR( (P1288-1)*0.5 + (M1288)*0.1 - (I1288+J1288)*0.05 + T1288*0.4 ,"")</f>
        <v/>
      </c>
      <c r="X1288" s="13">
        <f>IFERROR(IF(ABS(F1288)&lt;0.01,"ATM/NEAR",""),"")</f>
        <v/>
      </c>
    </row>
    <row r="1289">
      <c r="A1289" s="13">
        <f>CHAIN_RAW!A1289</f>
        <v/>
      </c>
      <c r="B1289" s="14">
        <f>CHAIN_RAW!B1289</f>
        <v/>
      </c>
      <c r="C1289" s="13">
        <f>CHAIN_RAW!C1289</f>
        <v/>
      </c>
      <c r="D1289" s="13">
        <f>CHAIN_RAW!D1289</f>
        <v/>
      </c>
      <c r="E1289" s="13">
        <f>CHAIN_RAW!E1289</f>
        <v/>
      </c>
      <c r="F1289" s="13">
        <f>IFERROR((E1289-D1289)/D1289,"")</f>
        <v/>
      </c>
      <c r="G1289" s="13">
        <f>IFERROR((CHAIN_RAW!K1289+CHAIN_RAW!L1289)/2,"")</f>
        <v/>
      </c>
      <c r="H1289" s="13">
        <f>IFERROR((CHAIN_RAW!R1289+CHAIN_RAW!S1289)/2,"")</f>
        <v/>
      </c>
      <c r="I1289" s="13">
        <f>IFERROR((CHAIN_RAW!L1289-CHAIN_RAW!K1289)/MAX(1E-9, G1289),"")</f>
        <v/>
      </c>
      <c r="J1289" s="13">
        <f>IFERROR((CHAIN_RAW!S1289-CHAIN_RAW!R1289)/MAX(1E-9, H1289),"")</f>
        <v/>
      </c>
      <c r="K1289" s="13">
        <f>CHAIN_RAW!G1289</f>
        <v/>
      </c>
      <c r="L1289" s="13">
        <f>CHAIN_RAW!N1289</f>
        <v/>
      </c>
      <c r="M1289" s="13">
        <f>IFERROR(L1289-K1289,"")</f>
        <v/>
      </c>
      <c r="N1289" s="13">
        <f>CHAIN_RAW!H1289</f>
        <v/>
      </c>
      <c r="O1289" s="13">
        <f>CHAIN_RAW!O1289</f>
        <v/>
      </c>
      <c r="P1289" s="13">
        <f>IFERROR(O1289/N1289,"")</f>
        <v/>
      </c>
      <c r="Q1289" s="13">
        <f>CHAIN_RAW!I1289</f>
        <v/>
      </c>
      <c r="R1289" s="13">
        <f>CHAIN_RAW!P1289</f>
        <v/>
      </c>
      <c r="S1289" s="13">
        <f>IFERROR(R1289/Q1289,"")</f>
        <v/>
      </c>
      <c r="T1289" s="13">
        <f>IFERROR((ABS(N1289-O1289)/MAX(1,(N1289+O1289)))*EXP(-ABS(E1289-CONTROL!E5)/MAX(1,CONTROL!B8)),"")</f>
        <v/>
      </c>
      <c r="U1289" s="13">
        <f>IFERROR(IF(O1289&gt;N1289,"SUPPORT (PE OI)","RESIST (CE OI)"),"")</f>
        <v/>
      </c>
      <c r="V1289" s="13">
        <f>IFERROR(IF(Q1289&gt;0,IF(R1289&gt;0,"BOTH_ADD","CE_ADD_PE_REDUCE"),IF(R1289&gt;0,"CE_REDUCE_PE_ADD","BOTH_REDUCE")),"")</f>
        <v/>
      </c>
      <c r="W1289" s="13">
        <f>IFERROR( (P1289-1)*0.5 + (M1289)*0.1 - (I1289+J1289)*0.05 + T1289*0.4 ,"")</f>
        <v/>
      </c>
      <c r="X1289" s="13">
        <f>IFERROR(IF(ABS(F1289)&lt;0.01,"ATM/NEAR",""),"")</f>
        <v/>
      </c>
    </row>
    <row r="1290">
      <c r="A1290" s="13">
        <f>CHAIN_RAW!A1290</f>
        <v/>
      </c>
      <c r="B1290" s="14">
        <f>CHAIN_RAW!B1290</f>
        <v/>
      </c>
      <c r="C1290" s="13">
        <f>CHAIN_RAW!C1290</f>
        <v/>
      </c>
      <c r="D1290" s="13">
        <f>CHAIN_RAW!D1290</f>
        <v/>
      </c>
      <c r="E1290" s="13">
        <f>CHAIN_RAW!E1290</f>
        <v/>
      </c>
      <c r="F1290" s="13">
        <f>IFERROR((E1290-D1290)/D1290,"")</f>
        <v/>
      </c>
      <c r="G1290" s="13">
        <f>IFERROR((CHAIN_RAW!K1290+CHAIN_RAW!L1290)/2,"")</f>
        <v/>
      </c>
      <c r="H1290" s="13">
        <f>IFERROR((CHAIN_RAW!R1290+CHAIN_RAW!S1290)/2,"")</f>
        <v/>
      </c>
      <c r="I1290" s="13">
        <f>IFERROR((CHAIN_RAW!L1290-CHAIN_RAW!K1290)/MAX(1E-9, G1290),"")</f>
        <v/>
      </c>
      <c r="J1290" s="13">
        <f>IFERROR((CHAIN_RAW!S1290-CHAIN_RAW!R1290)/MAX(1E-9, H1290),"")</f>
        <v/>
      </c>
      <c r="K1290" s="13">
        <f>CHAIN_RAW!G1290</f>
        <v/>
      </c>
      <c r="L1290" s="13">
        <f>CHAIN_RAW!N1290</f>
        <v/>
      </c>
      <c r="M1290" s="13">
        <f>IFERROR(L1290-K1290,"")</f>
        <v/>
      </c>
      <c r="N1290" s="13">
        <f>CHAIN_RAW!H1290</f>
        <v/>
      </c>
      <c r="O1290" s="13">
        <f>CHAIN_RAW!O1290</f>
        <v/>
      </c>
      <c r="P1290" s="13">
        <f>IFERROR(O1290/N1290,"")</f>
        <v/>
      </c>
      <c r="Q1290" s="13">
        <f>CHAIN_RAW!I1290</f>
        <v/>
      </c>
      <c r="R1290" s="13">
        <f>CHAIN_RAW!P1290</f>
        <v/>
      </c>
      <c r="S1290" s="13">
        <f>IFERROR(R1290/Q1290,"")</f>
        <v/>
      </c>
      <c r="T1290" s="13">
        <f>IFERROR((ABS(N1290-O1290)/MAX(1,(N1290+O1290)))*EXP(-ABS(E1290-CONTROL!E5)/MAX(1,CONTROL!B8)),"")</f>
        <v/>
      </c>
      <c r="U1290" s="13">
        <f>IFERROR(IF(O1290&gt;N1290,"SUPPORT (PE OI)","RESIST (CE OI)"),"")</f>
        <v/>
      </c>
      <c r="V1290" s="13">
        <f>IFERROR(IF(Q1290&gt;0,IF(R1290&gt;0,"BOTH_ADD","CE_ADD_PE_REDUCE"),IF(R1290&gt;0,"CE_REDUCE_PE_ADD","BOTH_REDUCE")),"")</f>
        <v/>
      </c>
      <c r="W1290" s="13">
        <f>IFERROR( (P1290-1)*0.5 + (M1290)*0.1 - (I1290+J1290)*0.05 + T1290*0.4 ,"")</f>
        <v/>
      </c>
      <c r="X1290" s="13">
        <f>IFERROR(IF(ABS(F1290)&lt;0.01,"ATM/NEAR",""),"")</f>
        <v/>
      </c>
    </row>
    <row r="1291">
      <c r="A1291" s="13">
        <f>CHAIN_RAW!A1291</f>
        <v/>
      </c>
      <c r="B1291" s="14">
        <f>CHAIN_RAW!B1291</f>
        <v/>
      </c>
      <c r="C1291" s="13">
        <f>CHAIN_RAW!C1291</f>
        <v/>
      </c>
      <c r="D1291" s="13">
        <f>CHAIN_RAW!D1291</f>
        <v/>
      </c>
      <c r="E1291" s="13">
        <f>CHAIN_RAW!E1291</f>
        <v/>
      </c>
      <c r="F1291" s="13">
        <f>IFERROR((E1291-D1291)/D1291,"")</f>
        <v/>
      </c>
      <c r="G1291" s="13">
        <f>IFERROR((CHAIN_RAW!K1291+CHAIN_RAW!L1291)/2,"")</f>
        <v/>
      </c>
      <c r="H1291" s="13">
        <f>IFERROR((CHAIN_RAW!R1291+CHAIN_RAW!S1291)/2,"")</f>
        <v/>
      </c>
      <c r="I1291" s="13">
        <f>IFERROR((CHAIN_RAW!L1291-CHAIN_RAW!K1291)/MAX(1E-9, G1291),"")</f>
        <v/>
      </c>
      <c r="J1291" s="13">
        <f>IFERROR((CHAIN_RAW!S1291-CHAIN_RAW!R1291)/MAX(1E-9, H1291),"")</f>
        <v/>
      </c>
      <c r="K1291" s="13">
        <f>CHAIN_RAW!G1291</f>
        <v/>
      </c>
      <c r="L1291" s="13">
        <f>CHAIN_RAW!N1291</f>
        <v/>
      </c>
      <c r="M1291" s="13">
        <f>IFERROR(L1291-K1291,"")</f>
        <v/>
      </c>
      <c r="N1291" s="13">
        <f>CHAIN_RAW!H1291</f>
        <v/>
      </c>
      <c r="O1291" s="13">
        <f>CHAIN_RAW!O1291</f>
        <v/>
      </c>
      <c r="P1291" s="13">
        <f>IFERROR(O1291/N1291,"")</f>
        <v/>
      </c>
      <c r="Q1291" s="13">
        <f>CHAIN_RAW!I1291</f>
        <v/>
      </c>
      <c r="R1291" s="13">
        <f>CHAIN_RAW!P1291</f>
        <v/>
      </c>
      <c r="S1291" s="13">
        <f>IFERROR(R1291/Q1291,"")</f>
        <v/>
      </c>
      <c r="T1291" s="13">
        <f>IFERROR((ABS(N1291-O1291)/MAX(1,(N1291+O1291)))*EXP(-ABS(E1291-CONTROL!E5)/MAX(1,CONTROL!B8)),"")</f>
        <v/>
      </c>
      <c r="U1291" s="13">
        <f>IFERROR(IF(O1291&gt;N1291,"SUPPORT (PE OI)","RESIST (CE OI)"),"")</f>
        <v/>
      </c>
      <c r="V1291" s="13">
        <f>IFERROR(IF(Q1291&gt;0,IF(R1291&gt;0,"BOTH_ADD","CE_ADD_PE_REDUCE"),IF(R1291&gt;0,"CE_REDUCE_PE_ADD","BOTH_REDUCE")),"")</f>
        <v/>
      </c>
      <c r="W1291" s="13">
        <f>IFERROR( (P1291-1)*0.5 + (M1291)*0.1 - (I1291+J1291)*0.05 + T1291*0.4 ,"")</f>
        <v/>
      </c>
      <c r="X1291" s="13">
        <f>IFERROR(IF(ABS(F1291)&lt;0.01,"ATM/NEAR",""),"")</f>
        <v/>
      </c>
    </row>
    <row r="1292">
      <c r="A1292" s="13">
        <f>CHAIN_RAW!A1292</f>
        <v/>
      </c>
      <c r="B1292" s="14">
        <f>CHAIN_RAW!B1292</f>
        <v/>
      </c>
      <c r="C1292" s="13">
        <f>CHAIN_RAW!C1292</f>
        <v/>
      </c>
      <c r="D1292" s="13">
        <f>CHAIN_RAW!D1292</f>
        <v/>
      </c>
      <c r="E1292" s="13">
        <f>CHAIN_RAW!E1292</f>
        <v/>
      </c>
      <c r="F1292" s="13">
        <f>IFERROR((E1292-D1292)/D1292,"")</f>
        <v/>
      </c>
      <c r="G1292" s="13">
        <f>IFERROR((CHAIN_RAW!K1292+CHAIN_RAW!L1292)/2,"")</f>
        <v/>
      </c>
      <c r="H1292" s="13">
        <f>IFERROR((CHAIN_RAW!R1292+CHAIN_RAW!S1292)/2,"")</f>
        <v/>
      </c>
      <c r="I1292" s="13">
        <f>IFERROR((CHAIN_RAW!L1292-CHAIN_RAW!K1292)/MAX(1E-9, G1292),"")</f>
        <v/>
      </c>
      <c r="J1292" s="13">
        <f>IFERROR((CHAIN_RAW!S1292-CHAIN_RAW!R1292)/MAX(1E-9, H1292),"")</f>
        <v/>
      </c>
      <c r="K1292" s="13">
        <f>CHAIN_RAW!G1292</f>
        <v/>
      </c>
      <c r="L1292" s="13">
        <f>CHAIN_RAW!N1292</f>
        <v/>
      </c>
      <c r="M1292" s="13">
        <f>IFERROR(L1292-K1292,"")</f>
        <v/>
      </c>
      <c r="N1292" s="13">
        <f>CHAIN_RAW!H1292</f>
        <v/>
      </c>
      <c r="O1292" s="13">
        <f>CHAIN_RAW!O1292</f>
        <v/>
      </c>
      <c r="P1292" s="13">
        <f>IFERROR(O1292/N1292,"")</f>
        <v/>
      </c>
      <c r="Q1292" s="13">
        <f>CHAIN_RAW!I1292</f>
        <v/>
      </c>
      <c r="R1292" s="13">
        <f>CHAIN_RAW!P1292</f>
        <v/>
      </c>
      <c r="S1292" s="13">
        <f>IFERROR(R1292/Q1292,"")</f>
        <v/>
      </c>
      <c r="T1292" s="13">
        <f>IFERROR((ABS(N1292-O1292)/MAX(1,(N1292+O1292)))*EXP(-ABS(E1292-CONTROL!E5)/MAX(1,CONTROL!B8)),"")</f>
        <v/>
      </c>
      <c r="U1292" s="13">
        <f>IFERROR(IF(O1292&gt;N1292,"SUPPORT (PE OI)","RESIST (CE OI)"),"")</f>
        <v/>
      </c>
      <c r="V1292" s="13">
        <f>IFERROR(IF(Q1292&gt;0,IF(R1292&gt;0,"BOTH_ADD","CE_ADD_PE_REDUCE"),IF(R1292&gt;0,"CE_REDUCE_PE_ADD","BOTH_REDUCE")),"")</f>
        <v/>
      </c>
      <c r="W1292" s="13">
        <f>IFERROR( (P1292-1)*0.5 + (M1292)*0.1 - (I1292+J1292)*0.05 + T1292*0.4 ,"")</f>
        <v/>
      </c>
      <c r="X1292" s="13">
        <f>IFERROR(IF(ABS(F1292)&lt;0.01,"ATM/NEAR",""),"")</f>
        <v/>
      </c>
    </row>
    <row r="1293">
      <c r="A1293" s="13">
        <f>CHAIN_RAW!A1293</f>
        <v/>
      </c>
      <c r="B1293" s="14">
        <f>CHAIN_RAW!B1293</f>
        <v/>
      </c>
      <c r="C1293" s="13">
        <f>CHAIN_RAW!C1293</f>
        <v/>
      </c>
      <c r="D1293" s="13">
        <f>CHAIN_RAW!D1293</f>
        <v/>
      </c>
      <c r="E1293" s="13">
        <f>CHAIN_RAW!E1293</f>
        <v/>
      </c>
      <c r="F1293" s="13">
        <f>IFERROR((E1293-D1293)/D1293,"")</f>
        <v/>
      </c>
      <c r="G1293" s="13">
        <f>IFERROR((CHAIN_RAW!K1293+CHAIN_RAW!L1293)/2,"")</f>
        <v/>
      </c>
      <c r="H1293" s="13">
        <f>IFERROR((CHAIN_RAW!R1293+CHAIN_RAW!S1293)/2,"")</f>
        <v/>
      </c>
      <c r="I1293" s="13">
        <f>IFERROR((CHAIN_RAW!L1293-CHAIN_RAW!K1293)/MAX(1E-9, G1293),"")</f>
        <v/>
      </c>
      <c r="J1293" s="13">
        <f>IFERROR((CHAIN_RAW!S1293-CHAIN_RAW!R1293)/MAX(1E-9, H1293),"")</f>
        <v/>
      </c>
      <c r="K1293" s="13">
        <f>CHAIN_RAW!G1293</f>
        <v/>
      </c>
      <c r="L1293" s="13">
        <f>CHAIN_RAW!N1293</f>
        <v/>
      </c>
      <c r="M1293" s="13">
        <f>IFERROR(L1293-K1293,"")</f>
        <v/>
      </c>
      <c r="N1293" s="13">
        <f>CHAIN_RAW!H1293</f>
        <v/>
      </c>
      <c r="O1293" s="13">
        <f>CHAIN_RAW!O1293</f>
        <v/>
      </c>
      <c r="P1293" s="13">
        <f>IFERROR(O1293/N1293,"")</f>
        <v/>
      </c>
      <c r="Q1293" s="13">
        <f>CHAIN_RAW!I1293</f>
        <v/>
      </c>
      <c r="R1293" s="13">
        <f>CHAIN_RAW!P1293</f>
        <v/>
      </c>
      <c r="S1293" s="13">
        <f>IFERROR(R1293/Q1293,"")</f>
        <v/>
      </c>
      <c r="T1293" s="13">
        <f>IFERROR((ABS(N1293-O1293)/MAX(1,(N1293+O1293)))*EXP(-ABS(E1293-CONTROL!E5)/MAX(1,CONTROL!B8)),"")</f>
        <v/>
      </c>
      <c r="U1293" s="13">
        <f>IFERROR(IF(O1293&gt;N1293,"SUPPORT (PE OI)","RESIST (CE OI)"),"")</f>
        <v/>
      </c>
      <c r="V1293" s="13">
        <f>IFERROR(IF(Q1293&gt;0,IF(R1293&gt;0,"BOTH_ADD","CE_ADD_PE_REDUCE"),IF(R1293&gt;0,"CE_REDUCE_PE_ADD","BOTH_REDUCE")),"")</f>
        <v/>
      </c>
      <c r="W1293" s="13">
        <f>IFERROR( (P1293-1)*0.5 + (M1293)*0.1 - (I1293+J1293)*0.05 + T1293*0.4 ,"")</f>
        <v/>
      </c>
      <c r="X1293" s="13">
        <f>IFERROR(IF(ABS(F1293)&lt;0.01,"ATM/NEAR",""),"")</f>
        <v/>
      </c>
    </row>
    <row r="1294">
      <c r="A1294" s="13">
        <f>CHAIN_RAW!A1294</f>
        <v/>
      </c>
      <c r="B1294" s="14">
        <f>CHAIN_RAW!B1294</f>
        <v/>
      </c>
      <c r="C1294" s="13">
        <f>CHAIN_RAW!C1294</f>
        <v/>
      </c>
      <c r="D1294" s="13">
        <f>CHAIN_RAW!D1294</f>
        <v/>
      </c>
      <c r="E1294" s="13">
        <f>CHAIN_RAW!E1294</f>
        <v/>
      </c>
      <c r="F1294" s="13">
        <f>IFERROR((E1294-D1294)/D1294,"")</f>
        <v/>
      </c>
      <c r="G1294" s="13">
        <f>IFERROR((CHAIN_RAW!K1294+CHAIN_RAW!L1294)/2,"")</f>
        <v/>
      </c>
      <c r="H1294" s="13">
        <f>IFERROR((CHAIN_RAW!R1294+CHAIN_RAW!S1294)/2,"")</f>
        <v/>
      </c>
      <c r="I1294" s="13">
        <f>IFERROR((CHAIN_RAW!L1294-CHAIN_RAW!K1294)/MAX(1E-9, G1294),"")</f>
        <v/>
      </c>
      <c r="J1294" s="13">
        <f>IFERROR((CHAIN_RAW!S1294-CHAIN_RAW!R1294)/MAX(1E-9, H1294),"")</f>
        <v/>
      </c>
      <c r="K1294" s="13">
        <f>CHAIN_RAW!G1294</f>
        <v/>
      </c>
      <c r="L1294" s="13">
        <f>CHAIN_RAW!N1294</f>
        <v/>
      </c>
      <c r="M1294" s="13">
        <f>IFERROR(L1294-K1294,"")</f>
        <v/>
      </c>
      <c r="N1294" s="13">
        <f>CHAIN_RAW!H1294</f>
        <v/>
      </c>
      <c r="O1294" s="13">
        <f>CHAIN_RAW!O1294</f>
        <v/>
      </c>
      <c r="P1294" s="13">
        <f>IFERROR(O1294/N1294,"")</f>
        <v/>
      </c>
      <c r="Q1294" s="13">
        <f>CHAIN_RAW!I1294</f>
        <v/>
      </c>
      <c r="R1294" s="13">
        <f>CHAIN_RAW!P1294</f>
        <v/>
      </c>
      <c r="S1294" s="13">
        <f>IFERROR(R1294/Q1294,"")</f>
        <v/>
      </c>
      <c r="T1294" s="13">
        <f>IFERROR((ABS(N1294-O1294)/MAX(1,(N1294+O1294)))*EXP(-ABS(E1294-CONTROL!E5)/MAX(1,CONTROL!B8)),"")</f>
        <v/>
      </c>
      <c r="U1294" s="13">
        <f>IFERROR(IF(O1294&gt;N1294,"SUPPORT (PE OI)","RESIST (CE OI)"),"")</f>
        <v/>
      </c>
      <c r="V1294" s="13">
        <f>IFERROR(IF(Q1294&gt;0,IF(R1294&gt;0,"BOTH_ADD","CE_ADD_PE_REDUCE"),IF(R1294&gt;0,"CE_REDUCE_PE_ADD","BOTH_REDUCE")),"")</f>
        <v/>
      </c>
      <c r="W1294" s="13">
        <f>IFERROR( (P1294-1)*0.5 + (M1294)*0.1 - (I1294+J1294)*0.05 + T1294*0.4 ,"")</f>
        <v/>
      </c>
      <c r="X1294" s="13">
        <f>IFERROR(IF(ABS(F1294)&lt;0.01,"ATM/NEAR",""),"")</f>
        <v/>
      </c>
    </row>
    <row r="1295">
      <c r="A1295" s="13">
        <f>CHAIN_RAW!A1295</f>
        <v/>
      </c>
      <c r="B1295" s="14">
        <f>CHAIN_RAW!B1295</f>
        <v/>
      </c>
      <c r="C1295" s="13">
        <f>CHAIN_RAW!C1295</f>
        <v/>
      </c>
      <c r="D1295" s="13">
        <f>CHAIN_RAW!D1295</f>
        <v/>
      </c>
      <c r="E1295" s="13">
        <f>CHAIN_RAW!E1295</f>
        <v/>
      </c>
      <c r="F1295" s="13">
        <f>IFERROR((E1295-D1295)/D1295,"")</f>
        <v/>
      </c>
      <c r="G1295" s="13">
        <f>IFERROR((CHAIN_RAW!K1295+CHAIN_RAW!L1295)/2,"")</f>
        <v/>
      </c>
      <c r="H1295" s="13">
        <f>IFERROR((CHAIN_RAW!R1295+CHAIN_RAW!S1295)/2,"")</f>
        <v/>
      </c>
      <c r="I1295" s="13">
        <f>IFERROR((CHAIN_RAW!L1295-CHAIN_RAW!K1295)/MAX(1E-9, G1295),"")</f>
        <v/>
      </c>
      <c r="J1295" s="13">
        <f>IFERROR((CHAIN_RAW!S1295-CHAIN_RAW!R1295)/MAX(1E-9, H1295),"")</f>
        <v/>
      </c>
      <c r="K1295" s="13">
        <f>CHAIN_RAW!G1295</f>
        <v/>
      </c>
      <c r="L1295" s="13">
        <f>CHAIN_RAW!N1295</f>
        <v/>
      </c>
      <c r="M1295" s="13">
        <f>IFERROR(L1295-K1295,"")</f>
        <v/>
      </c>
      <c r="N1295" s="13">
        <f>CHAIN_RAW!H1295</f>
        <v/>
      </c>
      <c r="O1295" s="13">
        <f>CHAIN_RAW!O1295</f>
        <v/>
      </c>
      <c r="P1295" s="13">
        <f>IFERROR(O1295/N1295,"")</f>
        <v/>
      </c>
      <c r="Q1295" s="13">
        <f>CHAIN_RAW!I1295</f>
        <v/>
      </c>
      <c r="R1295" s="13">
        <f>CHAIN_RAW!P1295</f>
        <v/>
      </c>
      <c r="S1295" s="13">
        <f>IFERROR(R1295/Q1295,"")</f>
        <v/>
      </c>
      <c r="T1295" s="13">
        <f>IFERROR((ABS(N1295-O1295)/MAX(1,(N1295+O1295)))*EXP(-ABS(E1295-CONTROL!E5)/MAX(1,CONTROL!B8)),"")</f>
        <v/>
      </c>
      <c r="U1295" s="13">
        <f>IFERROR(IF(O1295&gt;N1295,"SUPPORT (PE OI)","RESIST (CE OI)"),"")</f>
        <v/>
      </c>
      <c r="V1295" s="13">
        <f>IFERROR(IF(Q1295&gt;0,IF(R1295&gt;0,"BOTH_ADD","CE_ADD_PE_REDUCE"),IF(R1295&gt;0,"CE_REDUCE_PE_ADD","BOTH_REDUCE")),"")</f>
        <v/>
      </c>
      <c r="W1295" s="13">
        <f>IFERROR( (P1295-1)*0.5 + (M1295)*0.1 - (I1295+J1295)*0.05 + T1295*0.4 ,"")</f>
        <v/>
      </c>
      <c r="X1295" s="13">
        <f>IFERROR(IF(ABS(F1295)&lt;0.01,"ATM/NEAR",""),"")</f>
        <v/>
      </c>
    </row>
    <row r="1296">
      <c r="A1296" s="13">
        <f>CHAIN_RAW!A1296</f>
        <v/>
      </c>
      <c r="B1296" s="14">
        <f>CHAIN_RAW!B1296</f>
        <v/>
      </c>
      <c r="C1296" s="13">
        <f>CHAIN_RAW!C1296</f>
        <v/>
      </c>
      <c r="D1296" s="13">
        <f>CHAIN_RAW!D1296</f>
        <v/>
      </c>
      <c r="E1296" s="13">
        <f>CHAIN_RAW!E1296</f>
        <v/>
      </c>
      <c r="F1296" s="13">
        <f>IFERROR((E1296-D1296)/D1296,"")</f>
        <v/>
      </c>
      <c r="G1296" s="13">
        <f>IFERROR((CHAIN_RAW!K1296+CHAIN_RAW!L1296)/2,"")</f>
        <v/>
      </c>
      <c r="H1296" s="13">
        <f>IFERROR((CHAIN_RAW!R1296+CHAIN_RAW!S1296)/2,"")</f>
        <v/>
      </c>
      <c r="I1296" s="13">
        <f>IFERROR((CHAIN_RAW!L1296-CHAIN_RAW!K1296)/MAX(1E-9, G1296),"")</f>
        <v/>
      </c>
      <c r="J1296" s="13">
        <f>IFERROR((CHAIN_RAW!S1296-CHAIN_RAW!R1296)/MAX(1E-9, H1296),"")</f>
        <v/>
      </c>
      <c r="K1296" s="13">
        <f>CHAIN_RAW!G1296</f>
        <v/>
      </c>
      <c r="L1296" s="13">
        <f>CHAIN_RAW!N1296</f>
        <v/>
      </c>
      <c r="M1296" s="13">
        <f>IFERROR(L1296-K1296,"")</f>
        <v/>
      </c>
      <c r="N1296" s="13">
        <f>CHAIN_RAW!H1296</f>
        <v/>
      </c>
      <c r="O1296" s="13">
        <f>CHAIN_RAW!O1296</f>
        <v/>
      </c>
      <c r="P1296" s="13">
        <f>IFERROR(O1296/N1296,"")</f>
        <v/>
      </c>
      <c r="Q1296" s="13">
        <f>CHAIN_RAW!I1296</f>
        <v/>
      </c>
      <c r="R1296" s="13">
        <f>CHAIN_RAW!P1296</f>
        <v/>
      </c>
      <c r="S1296" s="13">
        <f>IFERROR(R1296/Q1296,"")</f>
        <v/>
      </c>
      <c r="T1296" s="13">
        <f>IFERROR((ABS(N1296-O1296)/MAX(1,(N1296+O1296)))*EXP(-ABS(E1296-CONTROL!E5)/MAX(1,CONTROL!B8)),"")</f>
        <v/>
      </c>
      <c r="U1296" s="13">
        <f>IFERROR(IF(O1296&gt;N1296,"SUPPORT (PE OI)","RESIST (CE OI)"),"")</f>
        <v/>
      </c>
      <c r="V1296" s="13">
        <f>IFERROR(IF(Q1296&gt;0,IF(R1296&gt;0,"BOTH_ADD","CE_ADD_PE_REDUCE"),IF(R1296&gt;0,"CE_REDUCE_PE_ADD","BOTH_REDUCE")),"")</f>
        <v/>
      </c>
      <c r="W1296" s="13">
        <f>IFERROR( (P1296-1)*0.5 + (M1296)*0.1 - (I1296+J1296)*0.05 + T1296*0.4 ,"")</f>
        <v/>
      </c>
      <c r="X1296" s="13">
        <f>IFERROR(IF(ABS(F1296)&lt;0.01,"ATM/NEAR",""),"")</f>
        <v/>
      </c>
    </row>
    <row r="1297">
      <c r="A1297" s="13">
        <f>CHAIN_RAW!A1297</f>
        <v/>
      </c>
      <c r="B1297" s="14">
        <f>CHAIN_RAW!B1297</f>
        <v/>
      </c>
      <c r="C1297" s="13">
        <f>CHAIN_RAW!C1297</f>
        <v/>
      </c>
      <c r="D1297" s="13">
        <f>CHAIN_RAW!D1297</f>
        <v/>
      </c>
      <c r="E1297" s="13">
        <f>CHAIN_RAW!E1297</f>
        <v/>
      </c>
      <c r="F1297" s="13">
        <f>IFERROR((E1297-D1297)/D1297,"")</f>
        <v/>
      </c>
      <c r="G1297" s="13">
        <f>IFERROR((CHAIN_RAW!K1297+CHAIN_RAW!L1297)/2,"")</f>
        <v/>
      </c>
      <c r="H1297" s="13">
        <f>IFERROR((CHAIN_RAW!R1297+CHAIN_RAW!S1297)/2,"")</f>
        <v/>
      </c>
      <c r="I1297" s="13">
        <f>IFERROR((CHAIN_RAW!L1297-CHAIN_RAW!K1297)/MAX(1E-9, G1297),"")</f>
        <v/>
      </c>
      <c r="J1297" s="13">
        <f>IFERROR((CHAIN_RAW!S1297-CHAIN_RAW!R1297)/MAX(1E-9, H1297),"")</f>
        <v/>
      </c>
      <c r="K1297" s="13">
        <f>CHAIN_RAW!G1297</f>
        <v/>
      </c>
      <c r="L1297" s="13">
        <f>CHAIN_RAW!N1297</f>
        <v/>
      </c>
      <c r="M1297" s="13">
        <f>IFERROR(L1297-K1297,"")</f>
        <v/>
      </c>
      <c r="N1297" s="13">
        <f>CHAIN_RAW!H1297</f>
        <v/>
      </c>
      <c r="O1297" s="13">
        <f>CHAIN_RAW!O1297</f>
        <v/>
      </c>
      <c r="P1297" s="13">
        <f>IFERROR(O1297/N1297,"")</f>
        <v/>
      </c>
      <c r="Q1297" s="13">
        <f>CHAIN_RAW!I1297</f>
        <v/>
      </c>
      <c r="R1297" s="13">
        <f>CHAIN_RAW!P1297</f>
        <v/>
      </c>
      <c r="S1297" s="13">
        <f>IFERROR(R1297/Q1297,"")</f>
        <v/>
      </c>
      <c r="T1297" s="13">
        <f>IFERROR((ABS(N1297-O1297)/MAX(1,(N1297+O1297)))*EXP(-ABS(E1297-CONTROL!E5)/MAX(1,CONTROL!B8)),"")</f>
        <v/>
      </c>
      <c r="U1297" s="13">
        <f>IFERROR(IF(O1297&gt;N1297,"SUPPORT (PE OI)","RESIST (CE OI)"),"")</f>
        <v/>
      </c>
      <c r="V1297" s="13">
        <f>IFERROR(IF(Q1297&gt;0,IF(R1297&gt;0,"BOTH_ADD","CE_ADD_PE_REDUCE"),IF(R1297&gt;0,"CE_REDUCE_PE_ADD","BOTH_REDUCE")),"")</f>
        <v/>
      </c>
      <c r="W1297" s="13">
        <f>IFERROR( (P1297-1)*0.5 + (M1297)*0.1 - (I1297+J1297)*0.05 + T1297*0.4 ,"")</f>
        <v/>
      </c>
      <c r="X1297" s="13">
        <f>IFERROR(IF(ABS(F1297)&lt;0.01,"ATM/NEAR",""),"")</f>
        <v/>
      </c>
    </row>
    <row r="1298">
      <c r="A1298" s="13">
        <f>CHAIN_RAW!A1298</f>
        <v/>
      </c>
      <c r="B1298" s="14">
        <f>CHAIN_RAW!B1298</f>
        <v/>
      </c>
      <c r="C1298" s="13">
        <f>CHAIN_RAW!C1298</f>
        <v/>
      </c>
      <c r="D1298" s="13">
        <f>CHAIN_RAW!D1298</f>
        <v/>
      </c>
      <c r="E1298" s="13">
        <f>CHAIN_RAW!E1298</f>
        <v/>
      </c>
      <c r="F1298" s="13">
        <f>IFERROR((E1298-D1298)/D1298,"")</f>
        <v/>
      </c>
      <c r="G1298" s="13">
        <f>IFERROR((CHAIN_RAW!K1298+CHAIN_RAW!L1298)/2,"")</f>
        <v/>
      </c>
      <c r="H1298" s="13">
        <f>IFERROR((CHAIN_RAW!R1298+CHAIN_RAW!S1298)/2,"")</f>
        <v/>
      </c>
      <c r="I1298" s="13">
        <f>IFERROR((CHAIN_RAW!L1298-CHAIN_RAW!K1298)/MAX(1E-9, G1298),"")</f>
        <v/>
      </c>
      <c r="J1298" s="13">
        <f>IFERROR((CHAIN_RAW!S1298-CHAIN_RAW!R1298)/MAX(1E-9, H1298),"")</f>
        <v/>
      </c>
      <c r="K1298" s="13">
        <f>CHAIN_RAW!G1298</f>
        <v/>
      </c>
      <c r="L1298" s="13">
        <f>CHAIN_RAW!N1298</f>
        <v/>
      </c>
      <c r="M1298" s="13">
        <f>IFERROR(L1298-K1298,"")</f>
        <v/>
      </c>
      <c r="N1298" s="13">
        <f>CHAIN_RAW!H1298</f>
        <v/>
      </c>
      <c r="O1298" s="13">
        <f>CHAIN_RAW!O1298</f>
        <v/>
      </c>
      <c r="P1298" s="13">
        <f>IFERROR(O1298/N1298,"")</f>
        <v/>
      </c>
      <c r="Q1298" s="13">
        <f>CHAIN_RAW!I1298</f>
        <v/>
      </c>
      <c r="R1298" s="13">
        <f>CHAIN_RAW!P1298</f>
        <v/>
      </c>
      <c r="S1298" s="13">
        <f>IFERROR(R1298/Q1298,"")</f>
        <v/>
      </c>
      <c r="T1298" s="13">
        <f>IFERROR((ABS(N1298-O1298)/MAX(1,(N1298+O1298)))*EXP(-ABS(E1298-CONTROL!E5)/MAX(1,CONTROL!B8)),"")</f>
        <v/>
      </c>
      <c r="U1298" s="13">
        <f>IFERROR(IF(O1298&gt;N1298,"SUPPORT (PE OI)","RESIST (CE OI)"),"")</f>
        <v/>
      </c>
      <c r="V1298" s="13">
        <f>IFERROR(IF(Q1298&gt;0,IF(R1298&gt;0,"BOTH_ADD","CE_ADD_PE_REDUCE"),IF(R1298&gt;0,"CE_REDUCE_PE_ADD","BOTH_REDUCE")),"")</f>
        <v/>
      </c>
      <c r="W1298" s="13">
        <f>IFERROR( (P1298-1)*0.5 + (M1298)*0.1 - (I1298+J1298)*0.05 + T1298*0.4 ,"")</f>
        <v/>
      </c>
      <c r="X1298" s="13">
        <f>IFERROR(IF(ABS(F1298)&lt;0.01,"ATM/NEAR",""),"")</f>
        <v/>
      </c>
    </row>
    <row r="1299">
      <c r="A1299" s="13">
        <f>CHAIN_RAW!A1299</f>
        <v/>
      </c>
      <c r="B1299" s="14">
        <f>CHAIN_RAW!B1299</f>
        <v/>
      </c>
      <c r="C1299" s="13">
        <f>CHAIN_RAW!C1299</f>
        <v/>
      </c>
      <c r="D1299" s="13">
        <f>CHAIN_RAW!D1299</f>
        <v/>
      </c>
      <c r="E1299" s="13">
        <f>CHAIN_RAW!E1299</f>
        <v/>
      </c>
      <c r="F1299" s="13">
        <f>IFERROR((E1299-D1299)/D1299,"")</f>
        <v/>
      </c>
      <c r="G1299" s="13">
        <f>IFERROR((CHAIN_RAW!K1299+CHAIN_RAW!L1299)/2,"")</f>
        <v/>
      </c>
      <c r="H1299" s="13">
        <f>IFERROR((CHAIN_RAW!R1299+CHAIN_RAW!S1299)/2,"")</f>
        <v/>
      </c>
      <c r="I1299" s="13">
        <f>IFERROR((CHAIN_RAW!L1299-CHAIN_RAW!K1299)/MAX(1E-9, G1299),"")</f>
        <v/>
      </c>
      <c r="J1299" s="13">
        <f>IFERROR((CHAIN_RAW!S1299-CHAIN_RAW!R1299)/MAX(1E-9, H1299),"")</f>
        <v/>
      </c>
      <c r="K1299" s="13">
        <f>CHAIN_RAW!G1299</f>
        <v/>
      </c>
      <c r="L1299" s="13">
        <f>CHAIN_RAW!N1299</f>
        <v/>
      </c>
      <c r="M1299" s="13">
        <f>IFERROR(L1299-K1299,"")</f>
        <v/>
      </c>
      <c r="N1299" s="13">
        <f>CHAIN_RAW!H1299</f>
        <v/>
      </c>
      <c r="O1299" s="13">
        <f>CHAIN_RAW!O1299</f>
        <v/>
      </c>
      <c r="P1299" s="13">
        <f>IFERROR(O1299/N1299,"")</f>
        <v/>
      </c>
      <c r="Q1299" s="13">
        <f>CHAIN_RAW!I1299</f>
        <v/>
      </c>
      <c r="R1299" s="13">
        <f>CHAIN_RAW!P1299</f>
        <v/>
      </c>
      <c r="S1299" s="13">
        <f>IFERROR(R1299/Q1299,"")</f>
        <v/>
      </c>
      <c r="T1299" s="13">
        <f>IFERROR((ABS(N1299-O1299)/MAX(1,(N1299+O1299)))*EXP(-ABS(E1299-CONTROL!E5)/MAX(1,CONTROL!B8)),"")</f>
        <v/>
      </c>
      <c r="U1299" s="13">
        <f>IFERROR(IF(O1299&gt;N1299,"SUPPORT (PE OI)","RESIST (CE OI)"),"")</f>
        <v/>
      </c>
      <c r="V1299" s="13">
        <f>IFERROR(IF(Q1299&gt;0,IF(R1299&gt;0,"BOTH_ADD","CE_ADD_PE_REDUCE"),IF(R1299&gt;0,"CE_REDUCE_PE_ADD","BOTH_REDUCE")),"")</f>
        <v/>
      </c>
      <c r="W1299" s="13">
        <f>IFERROR( (P1299-1)*0.5 + (M1299)*0.1 - (I1299+J1299)*0.05 + T1299*0.4 ,"")</f>
        <v/>
      </c>
      <c r="X1299" s="13">
        <f>IFERROR(IF(ABS(F1299)&lt;0.01,"ATM/NEAR",""),"")</f>
        <v/>
      </c>
    </row>
    <row r="1300">
      <c r="A1300" s="13">
        <f>CHAIN_RAW!A1300</f>
        <v/>
      </c>
      <c r="B1300" s="14">
        <f>CHAIN_RAW!B1300</f>
        <v/>
      </c>
      <c r="C1300" s="13">
        <f>CHAIN_RAW!C1300</f>
        <v/>
      </c>
      <c r="D1300" s="13">
        <f>CHAIN_RAW!D1300</f>
        <v/>
      </c>
      <c r="E1300" s="13">
        <f>CHAIN_RAW!E1300</f>
        <v/>
      </c>
      <c r="F1300" s="13">
        <f>IFERROR((E1300-D1300)/D1300,"")</f>
        <v/>
      </c>
      <c r="G1300" s="13">
        <f>IFERROR((CHAIN_RAW!K1300+CHAIN_RAW!L1300)/2,"")</f>
        <v/>
      </c>
      <c r="H1300" s="13">
        <f>IFERROR((CHAIN_RAW!R1300+CHAIN_RAW!S1300)/2,"")</f>
        <v/>
      </c>
      <c r="I1300" s="13">
        <f>IFERROR((CHAIN_RAW!L1300-CHAIN_RAW!K1300)/MAX(1E-9, G1300),"")</f>
        <v/>
      </c>
      <c r="J1300" s="13">
        <f>IFERROR((CHAIN_RAW!S1300-CHAIN_RAW!R1300)/MAX(1E-9, H1300),"")</f>
        <v/>
      </c>
      <c r="K1300" s="13">
        <f>CHAIN_RAW!G1300</f>
        <v/>
      </c>
      <c r="L1300" s="13">
        <f>CHAIN_RAW!N1300</f>
        <v/>
      </c>
      <c r="M1300" s="13">
        <f>IFERROR(L1300-K1300,"")</f>
        <v/>
      </c>
      <c r="N1300" s="13">
        <f>CHAIN_RAW!H1300</f>
        <v/>
      </c>
      <c r="O1300" s="13">
        <f>CHAIN_RAW!O1300</f>
        <v/>
      </c>
      <c r="P1300" s="13">
        <f>IFERROR(O1300/N1300,"")</f>
        <v/>
      </c>
      <c r="Q1300" s="13">
        <f>CHAIN_RAW!I1300</f>
        <v/>
      </c>
      <c r="R1300" s="13">
        <f>CHAIN_RAW!P1300</f>
        <v/>
      </c>
      <c r="S1300" s="13">
        <f>IFERROR(R1300/Q1300,"")</f>
        <v/>
      </c>
      <c r="T1300" s="13">
        <f>IFERROR((ABS(N1300-O1300)/MAX(1,(N1300+O1300)))*EXP(-ABS(E1300-CONTROL!E5)/MAX(1,CONTROL!B8)),"")</f>
        <v/>
      </c>
      <c r="U1300" s="13">
        <f>IFERROR(IF(O1300&gt;N1300,"SUPPORT (PE OI)","RESIST (CE OI)"),"")</f>
        <v/>
      </c>
      <c r="V1300" s="13">
        <f>IFERROR(IF(Q1300&gt;0,IF(R1300&gt;0,"BOTH_ADD","CE_ADD_PE_REDUCE"),IF(R1300&gt;0,"CE_REDUCE_PE_ADD","BOTH_REDUCE")),"")</f>
        <v/>
      </c>
      <c r="W1300" s="13">
        <f>IFERROR( (P1300-1)*0.5 + (M1300)*0.1 - (I1300+J1300)*0.05 + T1300*0.4 ,"")</f>
        <v/>
      </c>
      <c r="X1300" s="13">
        <f>IFERROR(IF(ABS(F1300)&lt;0.01,"ATM/NEAR",""),"")</f>
        <v/>
      </c>
    </row>
    <row r="1301">
      <c r="A1301" s="13">
        <f>CHAIN_RAW!A1301</f>
        <v/>
      </c>
      <c r="B1301" s="14">
        <f>CHAIN_RAW!B1301</f>
        <v/>
      </c>
      <c r="C1301" s="13">
        <f>CHAIN_RAW!C1301</f>
        <v/>
      </c>
      <c r="D1301" s="13">
        <f>CHAIN_RAW!D1301</f>
        <v/>
      </c>
      <c r="E1301" s="13">
        <f>CHAIN_RAW!E1301</f>
        <v/>
      </c>
      <c r="F1301" s="13">
        <f>IFERROR((E1301-D1301)/D1301,"")</f>
        <v/>
      </c>
      <c r="G1301" s="13">
        <f>IFERROR((CHAIN_RAW!K1301+CHAIN_RAW!L1301)/2,"")</f>
        <v/>
      </c>
      <c r="H1301" s="13">
        <f>IFERROR((CHAIN_RAW!R1301+CHAIN_RAW!S1301)/2,"")</f>
        <v/>
      </c>
      <c r="I1301" s="13">
        <f>IFERROR((CHAIN_RAW!L1301-CHAIN_RAW!K1301)/MAX(1E-9, G1301),"")</f>
        <v/>
      </c>
      <c r="J1301" s="13">
        <f>IFERROR((CHAIN_RAW!S1301-CHAIN_RAW!R1301)/MAX(1E-9, H1301),"")</f>
        <v/>
      </c>
      <c r="K1301" s="13">
        <f>CHAIN_RAW!G1301</f>
        <v/>
      </c>
      <c r="L1301" s="13">
        <f>CHAIN_RAW!N1301</f>
        <v/>
      </c>
      <c r="M1301" s="13">
        <f>IFERROR(L1301-K1301,"")</f>
        <v/>
      </c>
      <c r="N1301" s="13">
        <f>CHAIN_RAW!H1301</f>
        <v/>
      </c>
      <c r="O1301" s="13">
        <f>CHAIN_RAW!O1301</f>
        <v/>
      </c>
      <c r="P1301" s="13">
        <f>IFERROR(O1301/N1301,"")</f>
        <v/>
      </c>
      <c r="Q1301" s="13">
        <f>CHAIN_RAW!I1301</f>
        <v/>
      </c>
      <c r="R1301" s="13">
        <f>CHAIN_RAW!P1301</f>
        <v/>
      </c>
      <c r="S1301" s="13">
        <f>IFERROR(R1301/Q1301,"")</f>
        <v/>
      </c>
      <c r="T1301" s="13">
        <f>IFERROR((ABS(N1301-O1301)/MAX(1,(N1301+O1301)))*EXP(-ABS(E1301-CONTROL!E5)/MAX(1,CONTROL!B8)),"")</f>
        <v/>
      </c>
      <c r="U1301" s="13">
        <f>IFERROR(IF(O1301&gt;N1301,"SUPPORT (PE OI)","RESIST (CE OI)"),"")</f>
        <v/>
      </c>
      <c r="V1301" s="13">
        <f>IFERROR(IF(Q1301&gt;0,IF(R1301&gt;0,"BOTH_ADD","CE_ADD_PE_REDUCE"),IF(R1301&gt;0,"CE_REDUCE_PE_ADD","BOTH_REDUCE")),"")</f>
        <v/>
      </c>
      <c r="W1301" s="13">
        <f>IFERROR( (P1301-1)*0.5 + (M1301)*0.1 - (I1301+J1301)*0.05 + T1301*0.4 ,"")</f>
        <v/>
      </c>
      <c r="X1301" s="13">
        <f>IFERROR(IF(ABS(F1301)&lt;0.01,"ATM/NEAR",""),"")</f>
        <v/>
      </c>
    </row>
    <row r="1302">
      <c r="A1302" s="13">
        <f>CHAIN_RAW!A1302</f>
        <v/>
      </c>
      <c r="B1302" s="14">
        <f>CHAIN_RAW!B1302</f>
        <v/>
      </c>
      <c r="C1302" s="13">
        <f>CHAIN_RAW!C1302</f>
        <v/>
      </c>
      <c r="D1302" s="13">
        <f>CHAIN_RAW!D1302</f>
        <v/>
      </c>
      <c r="E1302" s="13">
        <f>CHAIN_RAW!E1302</f>
        <v/>
      </c>
      <c r="F1302" s="13">
        <f>IFERROR((E1302-D1302)/D1302,"")</f>
        <v/>
      </c>
      <c r="G1302" s="13">
        <f>IFERROR((CHAIN_RAW!K1302+CHAIN_RAW!L1302)/2,"")</f>
        <v/>
      </c>
      <c r="H1302" s="13">
        <f>IFERROR((CHAIN_RAW!R1302+CHAIN_RAW!S1302)/2,"")</f>
        <v/>
      </c>
      <c r="I1302" s="13">
        <f>IFERROR((CHAIN_RAW!L1302-CHAIN_RAW!K1302)/MAX(1E-9, G1302),"")</f>
        <v/>
      </c>
      <c r="J1302" s="13">
        <f>IFERROR((CHAIN_RAW!S1302-CHAIN_RAW!R1302)/MAX(1E-9, H1302),"")</f>
        <v/>
      </c>
      <c r="K1302" s="13">
        <f>CHAIN_RAW!G1302</f>
        <v/>
      </c>
      <c r="L1302" s="13">
        <f>CHAIN_RAW!N1302</f>
        <v/>
      </c>
      <c r="M1302" s="13">
        <f>IFERROR(L1302-K1302,"")</f>
        <v/>
      </c>
      <c r="N1302" s="13">
        <f>CHAIN_RAW!H1302</f>
        <v/>
      </c>
      <c r="O1302" s="13">
        <f>CHAIN_RAW!O1302</f>
        <v/>
      </c>
      <c r="P1302" s="13">
        <f>IFERROR(O1302/N1302,"")</f>
        <v/>
      </c>
      <c r="Q1302" s="13">
        <f>CHAIN_RAW!I1302</f>
        <v/>
      </c>
      <c r="R1302" s="13">
        <f>CHAIN_RAW!P1302</f>
        <v/>
      </c>
      <c r="S1302" s="13">
        <f>IFERROR(R1302/Q1302,"")</f>
        <v/>
      </c>
      <c r="T1302" s="13">
        <f>IFERROR((ABS(N1302-O1302)/MAX(1,(N1302+O1302)))*EXP(-ABS(E1302-CONTROL!E5)/MAX(1,CONTROL!B8)),"")</f>
        <v/>
      </c>
      <c r="U1302" s="13">
        <f>IFERROR(IF(O1302&gt;N1302,"SUPPORT (PE OI)","RESIST (CE OI)"),"")</f>
        <v/>
      </c>
      <c r="V1302" s="13">
        <f>IFERROR(IF(Q1302&gt;0,IF(R1302&gt;0,"BOTH_ADD","CE_ADD_PE_REDUCE"),IF(R1302&gt;0,"CE_REDUCE_PE_ADD","BOTH_REDUCE")),"")</f>
        <v/>
      </c>
      <c r="W1302" s="13">
        <f>IFERROR( (P1302-1)*0.5 + (M1302)*0.1 - (I1302+J1302)*0.05 + T1302*0.4 ,"")</f>
        <v/>
      </c>
      <c r="X1302" s="13">
        <f>IFERROR(IF(ABS(F1302)&lt;0.01,"ATM/NEAR",""),"")</f>
        <v/>
      </c>
    </row>
    <row r="1303">
      <c r="A1303" s="13">
        <f>CHAIN_RAW!A1303</f>
        <v/>
      </c>
      <c r="B1303" s="14">
        <f>CHAIN_RAW!B1303</f>
        <v/>
      </c>
      <c r="C1303" s="13">
        <f>CHAIN_RAW!C1303</f>
        <v/>
      </c>
      <c r="D1303" s="13">
        <f>CHAIN_RAW!D1303</f>
        <v/>
      </c>
      <c r="E1303" s="13">
        <f>CHAIN_RAW!E1303</f>
        <v/>
      </c>
      <c r="F1303" s="13">
        <f>IFERROR((E1303-D1303)/D1303,"")</f>
        <v/>
      </c>
      <c r="G1303" s="13">
        <f>IFERROR((CHAIN_RAW!K1303+CHAIN_RAW!L1303)/2,"")</f>
        <v/>
      </c>
      <c r="H1303" s="13">
        <f>IFERROR((CHAIN_RAW!R1303+CHAIN_RAW!S1303)/2,"")</f>
        <v/>
      </c>
      <c r="I1303" s="13">
        <f>IFERROR((CHAIN_RAW!L1303-CHAIN_RAW!K1303)/MAX(1E-9, G1303),"")</f>
        <v/>
      </c>
      <c r="J1303" s="13">
        <f>IFERROR((CHAIN_RAW!S1303-CHAIN_RAW!R1303)/MAX(1E-9, H1303),"")</f>
        <v/>
      </c>
      <c r="K1303" s="13">
        <f>CHAIN_RAW!G1303</f>
        <v/>
      </c>
      <c r="L1303" s="13">
        <f>CHAIN_RAW!N1303</f>
        <v/>
      </c>
      <c r="M1303" s="13">
        <f>IFERROR(L1303-K1303,"")</f>
        <v/>
      </c>
      <c r="N1303" s="13">
        <f>CHAIN_RAW!H1303</f>
        <v/>
      </c>
      <c r="O1303" s="13">
        <f>CHAIN_RAW!O1303</f>
        <v/>
      </c>
      <c r="P1303" s="13">
        <f>IFERROR(O1303/N1303,"")</f>
        <v/>
      </c>
      <c r="Q1303" s="13">
        <f>CHAIN_RAW!I1303</f>
        <v/>
      </c>
      <c r="R1303" s="13">
        <f>CHAIN_RAW!P1303</f>
        <v/>
      </c>
      <c r="S1303" s="13">
        <f>IFERROR(R1303/Q1303,"")</f>
        <v/>
      </c>
      <c r="T1303" s="13">
        <f>IFERROR((ABS(N1303-O1303)/MAX(1,(N1303+O1303)))*EXP(-ABS(E1303-CONTROL!E5)/MAX(1,CONTROL!B8)),"")</f>
        <v/>
      </c>
      <c r="U1303" s="13">
        <f>IFERROR(IF(O1303&gt;N1303,"SUPPORT (PE OI)","RESIST (CE OI)"),"")</f>
        <v/>
      </c>
      <c r="V1303" s="13">
        <f>IFERROR(IF(Q1303&gt;0,IF(R1303&gt;0,"BOTH_ADD","CE_ADD_PE_REDUCE"),IF(R1303&gt;0,"CE_REDUCE_PE_ADD","BOTH_REDUCE")),"")</f>
        <v/>
      </c>
      <c r="W1303" s="13">
        <f>IFERROR( (P1303-1)*0.5 + (M1303)*0.1 - (I1303+J1303)*0.05 + T1303*0.4 ,"")</f>
        <v/>
      </c>
      <c r="X1303" s="13">
        <f>IFERROR(IF(ABS(F1303)&lt;0.01,"ATM/NEAR",""),"")</f>
        <v/>
      </c>
    </row>
    <row r="1304">
      <c r="A1304" s="13">
        <f>CHAIN_RAW!A1304</f>
        <v/>
      </c>
      <c r="B1304" s="14">
        <f>CHAIN_RAW!B1304</f>
        <v/>
      </c>
      <c r="C1304" s="13">
        <f>CHAIN_RAW!C1304</f>
        <v/>
      </c>
      <c r="D1304" s="13">
        <f>CHAIN_RAW!D1304</f>
        <v/>
      </c>
      <c r="E1304" s="13">
        <f>CHAIN_RAW!E1304</f>
        <v/>
      </c>
      <c r="F1304" s="13">
        <f>IFERROR((E1304-D1304)/D1304,"")</f>
        <v/>
      </c>
      <c r="G1304" s="13">
        <f>IFERROR((CHAIN_RAW!K1304+CHAIN_RAW!L1304)/2,"")</f>
        <v/>
      </c>
      <c r="H1304" s="13">
        <f>IFERROR((CHAIN_RAW!R1304+CHAIN_RAW!S1304)/2,"")</f>
        <v/>
      </c>
      <c r="I1304" s="13">
        <f>IFERROR((CHAIN_RAW!L1304-CHAIN_RAW!K1304)/MAX(1E-9, G1304),"")</f>
        <v/>
      </c>
      <c r="J1304" s="13">
        <f>IFERROR((CHAIN_RAW!S1304-CHAIN_RAW!R1304)/MAX(1E-9, H1304),"")</f>
        <v/>
      </c>
      <c r="K1304" s="13">
        <f>CHAIN_RAW!G1304</f>
        <v/>
      </c>
      <c r="L1304" s="13">
        <f>CHAIN_RAW!N1304</f>
        <v/>
      </c>
      <c r="M1304" s="13">
        <f>IFERROR(L1304-K1304,"")</f>
        <v/>
      </c>
      <c r="N1304" s="13">
        <f>CHAIN_RAW!H1304</f>
        <v/>
      </c>
      <c r="O1304" s="13">
        <f>CHAIN_RAW!O1304</f>
        <v/>
      </c>
      <c r="P1304" s="13">
        <f>IFERROR(O1304/N1304,"")</f>
        <v/>
      </c>
      <c r="Q1304" s="13">
        <f>CHAIN_RAW!I1304</f>
        <v/>
      </c>
      <c r="R1304" s="13">
        <f>CHAIN_RAW!P1304</f>
        <v/>
      </c>
      <c r="S1304" s="13">
        <f>IFERROR(R1304/Q1304,"")</f>
        <v/>
      </c>
      <c r="T1304" s="13">
        <f>IFERROR((ABS(N1304-O1304)/MAX(1,(N1304+O1304)))*EXP(-ABS(E1304-CONTROL!E5)/MAX(1,CONTROL!B8)),"")</f>
        <v/>
      </c>
      <c r="U1304" s="13">
        <f>IFERROR(IF(O1304&gt;N1304,"SUPPORT (PE OI)","RESIST (CE OI)"),"")</f>
        <v/>
      </c>
      <c r="V1304" s="13">
        <f>IFERROR(IF(Q1304&gt;0,IF(R1304&gt;0,"BOTH_ADD","CE_ADD_PE_REDUCE"),IF(R1304&gt;0,"CE_REDUCE_PE_ADD","BOTH_REDUCE")),"")</f>
        <v/>
      </c>
      <c r="W1304" s="13">
        <f>IFERROR( (P1304-1)*0.5 + (M1304)*0.1 - (I1304+J1304)*0.05 + T1304*0.4 ,"")</f>
        <v/>
      </c>
      <c r="X1304" s="13">
        <f>IFERROR(IF(ABS(F1304)&lt;0.01,"ATM/NEAR",""),"")</f>
        <v/>
      </c>
    </row>
    <row r="1305">
      <c r="A1305" s="13">
        <f>CHAIN_RAW!A1305</f>
        <v/>
      </c>
      <c r="B1305" s="14">
        <f>CHAIN_RAW!B1305</f>
        <v/>
      </c>
      <c r="C1305" s="13">
        <f>CHAIN_RAW!C1305</f>
        <v/>
      </c>
      <c r="D1305" s="13">
        <f>CHAIN_RAW!D1305</f>
        <v/>
      </c>
      <c r="E1305" s="13">
        <f>CHAIN_RAW!E1305</f>
        <v/>
      </c>
      <c r="F1305" s="13">
        <f>IFERROR((E1305-D1305)/D1305,"")</f>
        <v/>
      </c>
      <c r="G1305" s="13">
        <f>IFERROR((CHAIN_RAW!K1305+CHAIN_RAW!L1305)/2,"")</f>
        <v/>
      </c>
      <c r="H1305" s="13">
        <f>IFERROR((CHAIN_RAW!R1305+CHAIN_RAW!S1305)/2,"")</f>
        <v/>
      </c>
      <c r="I1305" s="13">
        <f>IFERROR((CHAIN_RAW!L1305-CHAIN_RAW!K1305)/MAX(1E-9, G1305),"")</f>
        <v/>
      </c>
      <c r="J1305" s="13">
        <f>IFERROR((CHAIN_RAW!S1305-CHAIN_RAW!R1305)/MAX(1E-9, H1305),"")</f>
        <v/>
      </c>
      <c r="K1305" s="13">
        <f>CHAIN_RAW!G1305</f>
        <v/>
      </c>
      <c r="L1305" s="13">
        <f>CHAIN_RAW!N1305</f>
        <v/>
      </c>
      <c r="M1305" s="13">
        <f>IFERROR(L1305-K1305,"")</f>
        <v/>
      </c>
      <c r="N1305" s="13">
        <f>CHAIN_RAW!H1305</f>
        <v/>
      </c>
      <c r="O1305" s="13">
        <f>CHAIN_RAW!O1305</f>
        <v/>
      </c>
      <c r="P1305" s="13">
        <f>IFERROR(O1305/N1305,"")</f>
        <v/>
      </c>
      <c r="Q1305" s="13">
        <f>CHAIN_RAW!I1305</f>
        <v/>
      </c>
      <c r="R1305" s="13">
        <f>CHAIN_RAW!P1305</f>
        <v/>
      </c>
      <c r="S1305" s="13">
        <f>IFERROR(R1305/Q1305,"")</f>
        <v/>
      </c>
      <c r="T1305" s="13">
        <f>IFERROR((ABS(N1305-O1305)/MAX(1,(N1305+O1305)))*EXP(-ABS(E1305-CONTROL!E5)/MAX(1,CONTROL!B8)),"")</f>
        <v/>
      </c>
      <c r="U1305" s="13">
        <f>IFERROR(IF(O1305&gt;N1305,"SUPPORT (PE OI)","RESIST (CE OI)"),"")</f>
        <v/>
      </c>
      <c r="V1305" s="13">
        <f>IFERROR(IF(Q1305&gt;0,IF(R1305&gt;0,"BOTH_ADD","CE_ADD_PE_REDUCE"),IF(R1305&gt;0,"CE_REDUCE_PE_ADD","BOTH_REDUCE")),"")</f>
        <v/>
      </c>
      <c r="W1305" s="13">
        <f>IFERROR( (P1305-1)*0.5 + (M1305)*0.1 - (I1305+J1305)*0.05 + T1305*0.4 ,"")</f>
        <v/>
      </c>
      <c r="X1305" s="13">
        <f>IFERROR(IF(ABS(F1305)&lt;0.01,"ATM/NEAR",""),"")</f>
        <v/>
      </c>
    </row>
    <row r="1306">
      <c r="A1306" s="13">
        <f>CHAIN_RAW!A1306</f>
        <v/>
      </c>
      <c r="B1306" s="14">
        <f>CHAIN_RAW!B1306</f>
        <v/>
      </c>
      <c r="C1306" s="13">
        <f>CHAIN_RAW!C1306</f>
        <v/>
      </c>
      <c r="D1306" s="13">
        <f>CHAIN_RAW!D1306</f>
        <v/>
      </c>
      <c r="E1306" s="13">
        <f>CHAIN_RAW!E1306</f>
        <v/>
      </c>
      <c r="F1306" s="13">
        <f>IFERROR((E1306-D1306)/D1306,"")</f>
        <v/>
      </c>
      <c r="G1306" s="13">
        <f>IFERROR((CHAIN_RAW!K1306+CHAIN_RAW!L1306)/2,"")</f>
        <v/>
      </c>
      <c r="H1306" s="13">
        <f>IFERROR((CHAIN_RAW!R1306+CHAIN_RAW!S1306)/2,"")</f>
        <v/>
      </c>
      <c r="I1306" s="13">
        <f>IFERROR((CHAIN_RAW!L1306-CHAIN_RAW!K1306)/MAX(1E-9, G1306),"")</f>
        <v/>
      </c>
      <c r="J1306" s="13">
        <f>IFERROR((CHAIN_RAW!S1306-CHAIN_RAW!R1306)/MAX(1E-9, H1306),"")</f>
        <v/>
      </c>
      <c r="K1306" s="13">
        <f>CHAIN_RAW!G1306</f>
        <v/>
      </c>
      <c r="L1306" s="13">
        <f>CHAIN_RAW!N1306</f>
        <v/>
      </c>
      <c r="M1306" s="13">
        <f>IFERROR(L1306-K1306,"")</f>
        <v/>
      </c>
      <c r="N1306" s="13">
        <f>CHAIN_RAW!H1306</f>
        <v/>
      </c>
      <c r="O1306" s="13">
        <f>CHAIN_RAW!O1306</f>
        <v/>
      </c>
      <c r="P1306" s="13">
        <f>IFERROR(O1306/N1306,"")</f>
        <v/>
      </c>
      <c r="Q1306" s="13">
        <f>CHAIN_RAW!I1306</f>
        <v/>
      </c>
      <c r="R1306" s="13">
        <f>CHAIN_RAW!P1306</f>
        <v/>
      </c>
      <c r="S1306" s="13">
        <f>IFERROR(R1306/Q1306,"")</f>
        <v/>
      </c>
      <c r="T1306" s="13">
        <f>IFERROR((ABS(N1306-O1306)/MAX(1,(N1306+O1306)))*EXP(-ABS(E1306-CONTROL!E5)/MAX(1,CONTROL!B8)),"")</f>
        <v/>
      </c>
      <c r="U1306" s="13">
        <f>IFERROR(IF(O1306&gt;N1306,"SUPPORT (PE OI)","RESIST (CE OI)"),"")</f>
        <v/>
      </c>
      <c r="V1306" s="13">
        <f>IFERROR(IF(Q1306&gt;0,IF(R1306&gt;0,"BOTH_ADD","CE_ADD_PE_REDUCE"),IF(R1306&gt;0,"CE_REDUCE_PE_ADD","BOTH_REDUCE")),"")</f>
        <v/>
      </c>
      <c r="W1306" s="13">
        <f>IFERROR( (P1306-1)*0.5 + (M1306)*0.1 - (I1306+J1306)*0.05 + T1306*0.4 ,"")</f>
        <v/>
      </c>
      <c r="X1306" s="13">
        <f>IFERROR(IF(ABS(F1306)&lt;0.01,"ATM/NEAR",""),"")</f>
        <v/>
      </c>
    </row>
    <row r="1307">
      <c r="A1307" s="13">
        <f>CHAIN_RAW!A1307</f>
        <v/>
      </c>
      <c r="B1307" s="14">
        <f>CHAIN_RAW!B1307</f>
        <v/>
      </c>
      <c r="C1307" s="13">
        <f>CHAIN_RAW!C1307</f>
        <v/>
      </c>
      <c r="D1307" s="13">
        <f>CHAIN_RAW!D1307</f>
        <v/>
      </c>
      <c r="E1307" s="13">
        <f>CHAIN_RAW!E1307</f>
        <v/>
      </c>
      <c r="F1307" s="13">
        <f>IFERROR((E1307-D1307)/D1307,"")</f>
        <v/>
      </c>
      <c r="G1307" s="13">
        <f>IFERROR((CHAIN_RAW!K1307+CHAIN_RAW!L1307)/2,"")</f>
        <v/>
      </c>
      <c r="H1307" s="13">
        <f>IFERROR((CHAIN_RAW!R1307+CHAIN_RAW!S1307)/2,"")</f>
        <v/>
      </c>
      <c r="I1307" s="13">
        <f>IFERROR((CHAIN_RAW!L1307-CHAIN_RAW!K1307)/MAX(1E-9, G1307),"")</f>
        <v/>
      </c>
      <c r="J1307" s="13">
        <f>IFERROR((CHAIN_RAW!S1307-CHAIN_RAW!R1307)/MAX(1E-9, H1307),"")</f>
        <v/>
      </c>
      <c r="K1307" s="13">
        <f>CHAIN_RAW!G1307</f>
        <v/>
      </c>
      <c r="L1307" s="13">
        <f>CHAIN_RAW!N1307</f>
        <v/>
      </c>
      <c r="M1307" s="13">
        <f>IFERROR(L1307-K1307,"")</f>
        <v/>
      </c>
      <c r="N1307" s="13">
        <f>CHAIN_RAW!H1307</f>
        <v/>
      </c>
      <c r="O1307" s="13">
        <f>CHAIN_RAW!O1307</f>
        <v/>
      </c>
      <c r="P1307" s="13">
        <f>IFERROR(O1307/N1307,"")</f>
        <v/>
      </c>
      <c r="Q1307" s="13">
        <f>CHAIN_RAW!I1307</f>
        <v/>
      </c>
      <c r="R1307" s="13">
        <f>CHAIN_RAW!P1307</f>
        <v/>
      </c>
      <c r="S1307" s="13">
        <f>IFERROR(R1307/Q1307,"")</f>
        <v/>
      </c>
      <c r="T1307" s="13">
        <f>IFERROR((ABS(N1307-O1307)/MAX(1,(N1307+O1307)))*EXP(-ABS(E1307-CONTROL!E5)/MAX(1,CONTROL!B8)),"")</f>
        <v/>
      </c>
      <c r="U1307" s="13">
        <f>IFERROR(IF(O1307&gt;N1307,"SUPPORT (PE OI)","RESIST (CE OI)"),"")</f>
        <v/>
      </c>
      <c r="V1307" s="13">
        <f>IFERROR(IF(Q1307&gt;0,IF(R1307&gt;0,"BOTH_ADD","CE_ADD_PE_REDUCE"),IF(R1307&gt;0,"CE_REDUCE_PE_ADD","BOTH_REDUCE")),"")</f>
        <v/>
      </c>
      <c r="W1307" s="13">
        <f>IFERROR( (P1307-1)*0.5 + (M1307)*0.1 - (I1307+J1307)*0.05 + T1307*0.4 ,"")</f>
        <v/>
      </c>
      <c r="X1307" s="13">
        <f>IFERROR(IF(ABS(F1307)&lt;0.01,"ATM/NEAR",""),"")</f>
        <v/>
      </c>
    </row>
    <row r="1308">
      <c r="A1308" s="13">
        <f>CHAIN_RAW!A1308</f>
        <v/>
      </c>
      <c r="B1308" s="14">
        <f>CHAIN_RAW!B1308</f>
        <v/>
      </c>
      <c r="C1308" s="13">
        <f>CHAIN_RAW!C1308</f>
        <v/>
      </c>
      <c r="D1308" s="13">
        <f>CHAIN_RAW!D1308</f>
        <v/>
      </c>
      <c r="E1308" s="13">
        <f>CHAIN_RAW!E1308</f>
        <v/>
      </c>
      <c r="F1308" s="13">
        <f>IFERROR((E1308-D1308)/D1308,"")</f>
        <v/>
      </c>
      <c r="G1308" s="13">
        <f>IFERROR((CHAIN_RAW!K1308+CHAIN_RAW!L1308)/2,"")</f>
        <v/>
      </c>
      <c r="H1308" s="13">
        <f>IFERROR((CHAIN_RAW!R1308+CHAIN_RAW!S1308)/2,"")</f>
        <v/>
      </c>
      <c r="I1308" s="13">
        <f>IFERROR((CHAIN_RAW!L1308-CHAIN_RAW!K1308)/MAX(1E-9, G1308),"")</f>
        <v/>
      </c>
      <c r="J1308" s="13">
        <f>IFERROR((CHAIN_RAW!S1308-CHAIN_RAW!R1308)/MAX(1E-9, H1308),"")</f>
        <v/>
      </c>
      <c r="K1308" s="13">
        <f>CHAIN_RAW!G1308</f>
        <v/>
      </c>
      <c r="L1308" s="13">
        <f>CHAIN_RAW!N1308</f>
        <v/>
      </c>
      <c r="M1308" s="13">
        <f>IFERROR(L1308-K1308,"")</f>
        <v/>
      </c>
      <c r="N1308" s="13">
        <f>CHAIN_RAW!H1308</f>
        <v/>
      </c>
      <c r="O1308" s="13">
        <f>CHAIN_RAW!O1308</f>
        <v/>
      </c>
      <c r="P1308" s="13">
        <f>IFERROR(O1308/N1308,"")</f>
        <v/>
      </c>
      <c r="Q1308" s="13">
        <f>CHAIN_RAW!I1308</f>
        <v/>
      </c>
      <c r="R1308" s="13">
        <f>CHAIN_RAW!P1308</f>
        <v/>
      </c>
      <c r="S1308" s="13">
        <f>IFERROR(R1308/Q1308,"")</f>
        <v/>
      </c>
      <c r="T1308" s="13">
        <f>IFERROR((ABS(N1308-O1308)/MAX(1,(N1308+O1308)))*EXP(-ABS(E1308-CONTROL!E5)/MAX(1,CONTROL!B8)),"")</f>
        <v/>
      </c>
      <c r="U1308" s="13">
        <f>IFERROR(IF(O1308&gt;N1308,"SUPPORT (PE OI)","RESIST (CE OI)"),"")</f>
        <v/>
      </c>
      <c r="V1308" s="13">
        <f>IFERROR(IF(Q1308&gt;0,IF(R1308&gt;0,"BOTH_ADD","CE_ADD_PE_REDUCE"),IF(R1308&gt;0,"CE_REDUCE_PE_ADD","BOTH_REDUCE")),"")</f>
        <v/>
      </c>
      <c r="W1308" s="13">
        <f>IFERROR( (P1308-1)*0.5 + (M1308)*0.1 - (I1308+J1308)*0.05 + T1308*0.4 ,"")</f>
        <v/>
      </c>
      <c r="X1308" s="13">
        <f>IFERROR(IF(ABS(F1308)&lt;0.01,"ATM/NEAR",""),"")</f>
        <v/>
      </c>
    </row>
    <row r="1309">
      <c r="A1309" s="13">
        <f>CHAIN_RAW!A1309</f>
        <v/>
      </c>
      <c r="B1309" s="14">
        <f>CHAIN_RAW!B1309</f>
        <v/>
      </c>
      <c r="C1309" s="13">
        <f>CHAIN_RAW!C1309</f>
        <v/>
      </c>
      <c r="D1309" s="13">
        <f>CHAIN_RAW!D1309</f>
        <v/>
      </c>
      <c r="E1309" s="13">
        <f>CHAIN_RAW!E1309</f>
        <v/>
      </c>
      <c r="F1309" s="13">
        <f>IFERROR((E1309-D1309)/D1309,"")</f>
        <v/>
      </c>
      <c r="G1309" s="13">
        <f>IFERROR((CHAIN_RAW!K1309+CHAIN_RAW!L1309)/2,"")</f>
        <v/>
      </c>
      <c r="H1309" s="13">
        <f>IFERROR((CHAIN_RAW!R1309+CHAIN_RAW!S1309)/2,"")</f>
        <v/>
      </c>
      <c r="I1309" s="13">
        <f>IFERROR((CHAIN_RAW!L1309-CHAIN_RAW!K1309)/MAX(1E-9, G1309),"")</f>
        <v/>
      </c>
      <c r="J1309" s="13">
        <f>IFERROR((CHAIN_RAW!S1309-CHAIN_RAW!R1309)/MAX(1E-9, H1309),"")</f>
        <v/>
      </c>
      <c r="K1309" s="13">
        <f>CHAIN_RAW!G1309</f>
        <v/>
      </c>
      <c r="L1309" s="13">
        <f>CHAIN_RAW!N1309</f>
        <v/>
      </c>
      <c r="M1309" s="13">
        <f>IFERROR(L1309-K1309,"")</f>
        <v/>
      </c>
      <c r="N1309" s="13">
        <f>CHAIN_RAW!H1309</f>
        <v/>
      </c>
      <c r="O1309" s="13">
        <f>CHAIN_RAW!O1309</f>
        <v/>
      </c>
      <c r="P1309" s="13">
        <f>IFERROR(O1309/N1309,"")</f>
        <v/>
      </c>
      <c r="Q1309" s="13">
        <f>CHAIN_RAW!I1309</f>
        <v/>
      </c>
      <c r="R1309" s="13">
        <f>CHAIN_RAW!P1309</f>
        <v/>
      </c>
      <c r="S1309" s="13">
        <f>IFERROR(R1309/Q1309,"")</f>
        <v/>
      </c>
      <c r="T1309" s="13">
        <f>IFERROR((ABS(N1309-O1309)/MAX(1,(N1309+O1309)))*EXP(-ABS(E1309-CONTROL!E5)/MAX(1,CONTROL!B8)),"")</f>
        <v/>
      </c>
      <c r="U1309" s="13">
        <f>IFERROR(IF(O1309&gt;N1309,"SUPPORT (PE OI)","RESIST (CE OI)"),"")</f>
        <v/>
      </c>
      <c r="V1309" s="13">
        <f>IFERROR(IF(Q1309&gt;0,IF(R1309&gt;0,"BOTH_ADD","CE_ADD_PE_REDUCE"),IF(R1309&gt;0,"CE_REDUCE_PE_ADD","BOTH_REDUCE")),"")</f>
        <v/>
      </c>
      <c r="W1309" s="13">
        <f>IFERROR( (P1309-1)*0.5 + (M1309)*0.1 - (I1309+J1309)*0.05 + T1309*0.4 ,"")</f>
        <v/>
      </c>
      <c r="X1309" s="13">
        <f>IFERROR(IF(ABS(F1309)&lt;0.01,"ATM/NEAR",""),"")</f>
        <v/>
      </c>
    </row>
    <row r="1310">
      <c r="A1310" s="13">
        <f>CHAIN_RAW!A1310</f>
        <v/>
      </c>
      <c r="B1310" s="14">
        <f>CHAIN_RAW!B1310</f>
        <v/>
      </c>
      <c r="C1310" s="13">
        <f>CHAIN_RAW!C1310</f>
        <v/>
      </c>
      <c r="D1310" s="13">
        <f>CHAIN_RAW!D1310</f>
        <v/>
      </c>
      <c r="E1310" s="13">
        <f>CHAIN_RAW!E1310</f>
        <v/>
      </c>
      <c r="F1310" s="13">
        <f>IFERROR((E1310-D1310)/D1310,"")</f>
        <v/>
      </c>
      <c r="G1310" s="13">
        <f>IFERROR((CHAIN_RAW!K1310+CHAIN_RAW!L1310)/2,"")</f>
        <v/>
      </c>
      <c r="H1310" s="13">
        <f>IFERROR((CHAIN_RAW!R1310+CHAIN_RAW!S1310)/2,"")</f>
        <v/>
      </c>
      <c r="I1310" s="13">
        <f>IFERROR((CHAIN_RAW!L1310-CHAIN_RAW!K1310)/MAX(1E-9, G1310),"")</f>
        <v/>
      </c>
      <c r="J1310" s="13">
        <f>IFERROR((CHAIN_RAW!S1310-CHAIN_RAW!R1310)/MAX(1E-9, H1310),"")</f>
        <v/>
      </c>
      <c r="K1310" s="13">
        <f>CHAIN_RAW!G1310</f>
        <v/>
      </c>
      <c r="L1310" s="13">
        <f>CHAIN_RAW!N1310</f>
        <v/>
      </c>
      <c r="M1310" s="13">
        <f>IFERROR(L1310-K1310,"")</f>
        <v/>
      </c>
      <c r="N1310" s="13">
        <f>CHAIN_RAW!H1310</f>
        <v/>
      </c>
      <c r="O1310" s="13">
        <f>CHAIN_RAW!O1310</f>
        <v/>
      </c>
      <c r="P1310" s="13">
        <f>IFERROR(O1310/N1310,"")</f>
        <v/>
      </c>
      <c r="Q1310" s="13">
        <f>CHAIN_RAW!I1310</f>
        <v/>
      </c>
      <c r="R1310" s="13">
        <f>CHAIN_RAW!P1310</f>
        <v/>
      </c>
      <c r="S1310" s="13">
        <f>IFERROR(R1310/Q1310,"")</f>
        <v/>
      </c>
      <c r="T1310" s="13">
        <f>IFERROR((ABS(N1310-O1310)/MAX(1,(N1310+O1310)))*EXP(-ABS(E1310-CONTROL!E5)/MAX(1,CONTROL!B8)),"")</f>
        <v/>
      </c>
      <c r="U1310" s="13">
        <f>IFERROR(IF(O1310&gt;N1310,"SUPPORT (PE OI)","RESIST (CE OI)"),"")</f>
        <v/>
      </c>
      <c r="V1310" s="13">
        <f>IFERROR(IF(Q1310&gt;0,IF(R1310&gt;0,"BOTH_ADD","CE_ADD_PE_REDUCE"),IF(R1310&gt;0,"CE_REDUCE_PE_ADD","BOTH_REDUCE")),"")</f>
        <v/>
      </c>
      <c r="W1310" s="13">
        <f>IFERROR( (P1310-1)*0.5 + (M1310)*0.1 - (I1310+J1310)*0.05 + T1310*0.4 ,"")</f>
        <v/>
      </c>
      <c r="X1310" s="13">
        <f>IFERROR(IF(ABS(F1310)&lt;0.01,"ATM/NEAR",""),"")</f>
        <v/>
      </c>
    </row>
    <row r="1311">
      <c r="A1311" s="13">
        <f>CHAIN_RAW!A1311</f>
        <v/>
      </c>
      <c r="B1311" s="14">
        <f>CHAIN_RAW!B1311</f>
        <v/>
      </c>
      <c r="C1311" s="13">
        <f>CHAIN_RAW!C1311</f>
        <v/>
      </c>
      <c r="D1311" s="13">
        <f>CHAIN_RAW!D1311</f>
        <v/>
      </c>
      <c r="E1311" s="13">
        <f>CHAIN_RAW!E1311</f>
        <v/>
      </c>
      <c r="F1311" s="13">
        <f>IFERROR((E1311-D1311)/D1311,"")</f>
        <v/>
      </c>
      <c r="G1311" s="13">
        <f>IFERROR((CHAIN_RAW!K1311+CHAIN_RAW!L1311)/2,"")</f>
        <v/>
      </c>
      <c r="H1311" s="13">
        <f>IFERROR((CHAIN_RAW!R1311+CHAIN_RAW!S1311)/2,"")</f>
        <v/>
      </c>
      <c r="I1311" s="13">
        <f>IFERROR((CHAIN_RAW!L1311-CHAIN_RAW!K1311)/MAX(1E-9, G1311),"")</f>
        <v/>
      </c>
      <c r="J1311" s="13">
        <f>IFERROR((CHAIN_RAW!S1311-CHAIN_RAW!R1311)/MAX(1E-9, H1311),"")</f>
        <v/>
      </c>
      <c r="K1311" s="13">
        <f>CHAIN_RAW!G1311</f>
        <v/>
      </c>
      <c r="L1311" s="13">
        <f>CHAIN_RAW!N1311</f>
        <v/>
      </c>
      <c r="M1311" s="13">
        <f>IFERROR(L1311-K1311,"")</f>
        <v/>
      </c>
      <c r="N1311" s="13">
        <f>CHAIN_RAW!H1311</f>
        <v/>
      </c>
      <c r="O1311" s="13">
        <f>CHAIN_RAW!O1311</f>
        <v/>
      </c>
      <c r="P1311" s="13">
        <f>IFERROR(O1311/N1311,"")</f>
        <v/>
      </c>
      <c r="Q1311" s="13">
        <f>CHAIN_RAW!I1311</f>
        <v/>
      </c>
      <c r="R1311" s="13">
        <f>CHAIN_RAW!P1311</f>
        <v/>
      </c>
      <c r="S1311" s="13">
        <f>IFERROR(R1311/Q1311,"")</f>
        <v/>
      </c>
      <c r="T1311" s="13">
        <f>IFERROR((ABS(N1311-O1311)/MAX(1,(N1311+O1311)))*EXP(-ABS(E1311-CONTROL!E5)/MAX(1,CONTROL!B8)),"")</f>
        <v/>
      </c>
      <c r="U1311" s="13">
        <f>IFERROR(IF(O1311&gt;N1311,"SUPPORT (PE OI)","RESIST (CE OI)"),"")</f>
        <v/>
      </c>
      <c r="V1311" s="13">
        <f>IFERROR(IF(Q1311&gt;0,IF(R1311&gt;0,"BOTH_ADD","CE_ADD_PE_REDUCE"),IF(R1311&gt;0,"CE_REDUCE_PE_ADD","BOTH_REDUCE")),"")</f>
        <v/>
      </c>
      <c r="W1311" s="13">
        <f>IFERROR( (P1311-1)*0.5 + (M1311)*0.1 - (I1311+J1311)*0.05 + T1311*0.4 ,"")</f>
        <v/>
      </c>
      <c r="X1311" s="13">
        <f>IFERROR(IF(ABS(F1311)&lt;0.01,"ATM/NEAR",""),"")</f>
        <v/>
      </c>
    </row>
    <row r="1312">
      <c r="A1312" s="13">
        <f>CHAIN_RAW!A1312</f>
        <v/>
      </c>
      <c r="B1312" s="14">
        <f>CHAIN_RAW!B1312</f>
        <v/>
      </c>
      <c r="C1312" s="13">
        <f>CHAIN_RAW!C1312</f>
        <v/>
      </c>
      <c r="D1312" s="13">
        <f>CHAIN_RAW!D1312</f>
        <v/>
      </c>
      <c r="E1312" s="13">
        <f>CHAIN_RAW!E1312</f>
        <v/>
      </c>
      <c r="F1312" s="13">
        <f>IFERROR((E1312-D1312)/D1312,"")</f>
        <v/>
      </c>
      <c r="G1312" s="13">
        <f>IFERROR((CHAIN_RAW!K1312+CHAIN_RAW!L1312)/2,"")</f>
        <v/>
      </c>
      <c r="H1312" s="13">
        <f>IFERROR((CHAIN_RAW!R1312+CHAIN_RAW!S1312)/2,"")</f>
        <v/>
      </c>
      <c r="I1312" s="13">
        <f>IFERROR((CHAIN_RAW!L1312-CHAIN_RAW!K1312)/MAX(1E-9, G1312),"")</f>
        <v/>
      </c>
      <c r="J1312" s="13">
        <f>IFERROR((CHAIN_RAW!S1312-CHAIN_RAW!R1312)/MAX(1E-9, H1312),"")</f>
        <v/>
      </c>
      <c r="K1312" s="13">
        <f>CHAIN_RAW!G1312</f>
        <v/>
      </c>
      <c r="L1312" s="13">
        <f>CHAIN_RAW!N1312</f>
        <v/>
      </c>
      <c r="M1312" s="13">
        <f>IFERROR(L1312-K1312,"")</f>
        <v/>
      </c>
      <c r="N1312" s="13">
        <f>CHAIN_RAW!H1312</f>
        <v/>
      </c>
      <c r="O1312" s="13">
        <f>CHAIN_RAW!O1312</f>
        <v/>
      </c>
      <c r="P1312" s="13">
        <f>IFERROR(O1312/N1312,"")</f>
        <v/>
      </c>
      <c r="Q1312" s="13">
        <f>CHAIN_RAW!I1312</f>
        <v/>
      </c>
      <c r="R1312" s="13">
        <f>CHAIN_RAW!P1312</f>
        <v/>
      </c>
      <c r="S1312" s="13">
        <f>IFERROR(R1312/Q1312,"")</f>
        <v/>
      </c>
      <c r="T1312" s="13">
        <f>IFERROR((ABS(N1312-O1312)/MAX(1,(N1312+O1312)))*EXP(-ABS(E1312-CONTROL!E5)/MAX(1,CONTROL!B8)),"")</f>
        <v/>
      </c>
      <c r="U1312" s="13">
        <f>IFERROR(IF(O1312&gt;N1312,"SUPPORT (PE OI)","RESIST (CE OI)"),"")</f>
        <v/>
      </c>
      <c r="V1312" s="13">
        <f>IFERROR(IF(Q1312&gt;0,IF(R1312&gt;0,"BOTH_ADD","CE_ADD_PE_REDUCE"),IF(R1312&gt;0,"CE_REDUCE_PE_ADD","BOTH_REDUCE")),"")</f>
        <v/>
      </c>
      <c r="W1312" s="13">
        <f>IFERROR( (P1312-1)*0.5 + (M1312)*0.1 - (I1312+J1312)*0.05 + T1312*0.4 ,"")</f>
        <v/>
      </c>
      <c r="X1312" s="13">
        <f>IFERROR(IF(ABS(F1312)&lt;0.01,"ATM/NEAR",""),"")</f>
        <v/>
      </c>
    </row>
    <row r="1313">
      <c r="A1313" s="13">
        <f>CHAIN_RAW!A1313</f>
        <v/>
      </c>
      <c r="B1313" s="14">
        <f>CHAIN_RAW!B1313</f>
        <v/>
      </c>
      <c r="C1313" s="13">
        <f>CHAIN_RAW!C1313</f>
        <v/>
      </c>
      <c r="D1313" s="13">
        <f>CHAIN_RAW!D1313</f>
        <v/>
      </c>
      <c r="E1313" s="13">
        <f>CHAIN_RAW!E1313</f>
        <v/>
      </c>
      <c r="F1313" s="13">
        <f>IFERROR((E1313-D1313)/D1313,"")</f>
        <v/>
      </c>
      <c r="G1313" s="13">
        <f>IFERROR((CHAIN_RAW!K1313+CHAIN_RAW!L1313)/2,"")</f>
        <v/>
      </c>
      <c r="H1313" s="13">
        <f>IFERROR((CHAIN_RAW!R1313+CHAIN_RAW!S1313)/2,"")</f>
        <v/>
      </c>
      <c r="I1313" s="13">
        <f>IFERROR((CHAIN_RAW!L1313-CHAIN_RAW!K1313)/MAX(1E-9, G1313),"")</f>
        <v/>
      </c>
      <c r="J1313" s="13">
        <f>IFERROR((CHAIN_RAW!S1313-CHAIN_RAW!R1313)/MAX(1E-9, H1313),"")</f>
        <v/>
      </c>
      <c r="K1313" s="13">
        <f>CHAIN_RAW!G1313</f>
        <v/>
      </c>
      <c r="L1313" s="13">
        <f>CHAIN_RAW!N1313</f>
        <v/>
      </c>
      <c r="M1313" s="13">
        <f>IFERROR(L1313-K1313,"")</f>
        <v/>
      </c>
      <c r="N1313" s="13">
        <f>CHAIN_RAW!H1313</f>
        <v/>
      </c>
      <c r="O1313" s="13">
        <f>CHAIN_RAW!O1313</f>
        <v/>
      </c>
      <c r="P1313" s="13">
        <f>IFERROR(O1313/N1313,"")</f>
        <v/>
      </c>
      <c r="Q1313" s="13">
        <f>CHAIN_RAW!I1313</f>
        <v/>
      </c>
      <c r="R1313" s="13">
        <f>CHAIN_RAW!P1313</f>
        <v/>
      </c>
      <c r="S1313" s="13">
        <f>IFERROR(R1313/Q1313,"")</f>
        <v/>
      </c>
      <c r="T1313" s="13">
        <f>IFERROR((ABS(N1313-O1313)/MAX(1,(N1313+O1313)))*EXP(-ABS(E1313-CONTROL!E5)/MAX(1,CONTROL!B8)),"")</f>
        <v/>
      </c>
      <c r="U1313" s="13">
        <f>IFERROR(IF(O1313&gt;N1313,"SUPPORT (PE OI)","RESIST (CE OI)"),"")</f>
        <v/>
      </c>
      <c r="V1313" s="13">
        <f>IFERROR(IF(Q1313&gt;0,IF(R1313&gt;0,"BOTH_ADD","CE_ADD_PE_REDUCE"),IF(R1313&gt;0,"CE_REDUCE_PE_ADD","BOTH_REDUCE")),"")</f>
        <v/>
      </c>
      <c r="W1313" s="13">
        <f>IFERROR( (P1313-1)*0.5 + (M1313)*0.1 - (I1313+J1313)*0.05 + T1313*0.4 ,"")</f>
        <v/>
      </c>
      <c r="X1313" s="13">
        <f>IFERROR(IF(ABS(F1313)&lt;0.01,"ATM/NEAR",""),"")</f>
        <v/>
      </c>
    </row>
    <row r="1314">
      <c r="A1314" s="13">
        <f>CHAIN_RAW!A1314</f>
        <v/>
      </c>
      <c r="B1314" s="14">
        <f>CHAIN_RAW!B1314</f>
        <v/>
      </c>
      <c r="C1314" s="13">
        <f>CHAIN_RAW!C1314</f>
        <v/>
      </c>
      <c r="D1314" s="13">
        <f>CHAIN_RAW!D1314</f>
        <v/>
      </c>
      <c r="E1314" s="13">
        <f>CHAIN_RAW!E1314</f>
        <v/>
      </c>
      <c r="F1314" s="13">
        <f>IFERROR((E1314-D1314)/D1314,"")</f>
        <v/>
      </c>
      <c r="G1314" s="13">
        <f>IFERROR((CHAIN_RAW!K1314+CHAIN_RAW!L1314)/2,"")</f>
        <v/>
      </c>
      <c r="H1314" s="13">
        <f>IFERROR((CHAIN_RAW!R1314+CHAIN_RAW!S1314)/2,"")</f>
        <v/>
      </c>
      <c r="I1314" s="13">
        <f>IFERROR((CHAIN_RAW!L1314-CHAIN_RAW!K1314)/MAX(1E-9, G1314),"")</f>
        <v/>
      </c>
      <c r="J1314" s="13">
        <f>IFERROR((CHAIN_RAW!S1314-CHAIN_RAW!R1314)/MAX(1E-9, H1314),"")</f>
        <v/>
      </c>
      <c r="K1314" s="13">
        <f>CHAIN_RAW!G1314</f>
        <v/>
      </c>
      <c r="L1314" s="13">
        <f>CHAIN_RAW!N1314</f>
        <v/>
      </c>
      <c r="M1314" s="13">
        <f>IFERROR(L1314-K1314,"")</f>
        <v/>
      </c>
      <c r="N1314" s="13">
        <f>CHAIN_RAW!H1314</f>
        <v/>
      </c>
      <c r="O1314" s="13">
        <f>CHAIN_RAW!O1314</f>
        <v/>
      </c>
      <c r="P1314" s="13">
        <f>IFERROR(O1314/N1314,"")</f>
        <v/>
      </c>
      <c r="Q1314" s="13">
        <f>CHAIN_RAW!I1314</f>
        <v/>
      </c>
      <c r="R1314" s="13">
        <f>CHAIN_RAW!P1314</f>
        <v/>
      </c>
      <c r="S1314" s="13">
        <f>IFERROR(R1314/Q1314,"")</f>
        <v/>
      </c>
      <c r="T1314" s="13">
        <f>IFERROR((ABS(N1314-O1314)/MAX(1,(N1314+O1314)))*EXP(-ABS(E1314-CONTROL!E5)/MAX(1,CONTROL!B8)),"")</f>
        <v/>
      </c>
      <c r="U1314" s="13">
        <f>IFERROR(IF(O1314&gt;N1314,"SUPPORT (PE OI)","RESIST (CE OI)"),"")</f>
        <v/>
      </c>
      <c r="V1314" s="13">
        <f>IFERROR(IF(Q1314&gt;0,IF(R1314&gt;0,"BOTH_ADD","CE_ADD_PE_REDUCE"),IF(R1314&gt;0,"CE_REDUCE_PE_ADD","BOTH_REDUCE")),"")</f>
        <v/>
      </c>
      <c r="W1314" s="13">
        <f>IFERROR( (P1314-1)*0.5 + (M1314)*0.1 - (I1314+J1314)*0.05 + T1314*0.4 ,"")</f>
        <v/>
      </c>
      <c r="X1314" s="13">
        <f>IFERROR(IF(ABS(F1314)&lt;0.01,"ATM/NEAR",""),"")</f>
        <v/>
      </c>
    </row>
    <row r="1315">
      <c r="A1315" s="13">
        <f>CHAIN_RAW!A1315</f>
        <v/>
      </c>
      <c r="B1315" s="14">
        <f>CHAIN_RAW!B1315</f>
        <v/>
      </c>
      <c r="C1315" s="13">
        <f>CHAIN_RAW!C1315</f>
        <v/>
      </c>
      <c r="D1315" s="13">
        <f>CHAIN_RAW!D1315</f>
        <v/>
      </c>
      <c r="E1315" s="13">
        <f>CHAIN_RAW!E1315</f>
        <v/>
      </c>
      <c r="F1315" s="13">
        <f>IFERROR((E1315-D1315)/D1315,"")</f>
        <v/>
      </c>
      <c r="G1315" s="13">
        <f>IFERROR((CHAIN_RAW!K1315+CHAIN_RAW!L1315)/2,"")</f>
        <v/>
      </c>
      <c r="H1315" s="13">
        <f>IFERROR((CHAIN_RAW!R1315+CHAIN_RAW!S1315)/2,"")</f>
        <v/>
      </c>
      <c r="I1315" s="13">
        <f>IFERROR((CHAIN_RAW!L1315-CHAIN_RAW!K1315)/MAX(1E-9, G1315),"")</f>
        <v/>
      </c>
      <c r="J1315" s="13">
        <f>IFERROR((CHAIN_RAW!S1315-CHAIN_RAW!R1315)/MAX(1E-9, H1315),"")</f>
        <v/>
      </c>
      <c r="K1315" s="13">
        <f>CHAIN_RAW!G1315</f>
        <v/>
      </c>
      <c r="L1315" s="13">
        <f>CHAIN_RAW!N1315</f>
        <v/>
      </c>
      <c r="M1315" s="13">
        <f>IFERROR(L1315-K1315,"")</f>
        <v/>
      </c>
      <c r="N1315" s="13">
        <f>CHAIN_RAW!H1315</f>
        <v/>
      </c>
      <c r="O1315" s="13">
        <f>CHAIN_RAW!O1315</f>
        <v/>
      </c>
      <c r="P1315" s="13">
        <f>IFERROR(O1315/N1315,"")</f>
        <v/>
      </c>
      <c r="Q1315" s="13">
        <f>CHAIN_RAW!I1315</f>
        <v/>
      </c>
      <c r="R1315" s="13">
        <f>CHAIN_RAW!P1315</f>
        <v/>
      </c>
      <c r="S1315" s="13">
        <f>IFERROR(R1315/Q1315,"")</f>
        <v/>
      </c>
      <c r="T1315" s="13">
        <f>IFERROR((ABS(N1315-O1315)/MAX(1,(N1315+O1315)))*EXP(-ABS(E1315-CONTROL!E5)/MAX(1,CONTROL!B8)),"")</f>
        <v/>
      </c>
      <c r="U1315" s="13">
        <f>IFERROR(IF(O1315&gt;N1315,"SUPPORT (PE OI)","RESIST (CE OI)"),"")</f>
        <v/>
      </c>
      <c r="V1315" s="13">
        <f>IFERROR(IF(Q1315&gt;0,IF(R1315&gt;0,"BOTH_ADD","CE_ADD_PE_REDUCE"),IF(R1315&gt;0,"CE_REDUCE_PE_ADD","BOTH_REDUCE")),"")</f>
        <v/>
      </c>
      <c r="W1315" s="13">
        <f>IFERROR( (P1315-1)*0.5 + (M1315)*0.1 - (I1315+J1315)*0.05 + T1315*0.4 ,"")</f>
        <v/>
      </c>
      <c r="X1315" s="13">
        <f>IFERROR(IF(ABS(F1315)&lt;0.01,"ATM/NEAR",""),"")</f>
        <v/>
      </c>
    </row>
    <row r="1316">
      <c r="A1316" s="13">
        <f>CHAIN_RAW!A1316</f>
        <v/>
      </c>
      <c r="B1316" s="14">
        <f>CHAIN_RAW!B1316</f>
        <v/>
      </c>
      <c r="C1316" s="13">
        <f>CHAIN_RAW!C1316</f>
        <v/>
      </c>
      <c r="D1316" s="13">
        <f>CHAIN_RAW!D1316</f>
        <v/>
      </c>
      <c r="E1316" s="13">
        <f>CHAIN_RAW!E1316</f>
        <v/>
      </c>
      <c r="F1316" s="13">
        <f>IFERROR((E1316-D1316)/D1316,"")</f>
        <v/>
      </c>
      <c r="G1316" s="13">
        <f>IFERROR((CHAIN_RAW!K1316+CHAIN_RAW!L1316)/2,"")</f>
        <v/>
      </c>
      <c r="H1316" s="13">
        <f>IFERROR((CHAIN_RAW!R1316+CHAIN_RAW!S1316)/2,"")</f>
        <v/>
      </c>
      <c r="I1316" s="13">
        <f>IFERROR((CHAIN_RAW!L1316-CHAIN_RAW!K1316)/MAX(1E-9, G1316),"")</f>
        <v/>
      </c>
      <c r="J1316" s="13">
        <f>IFERROR((CHAIN_RAW!S1316-CHAIN_RAW!R1316)/MAX(1E-9, H1316),"")</f>
        <v/>
      </c>
      <c r="K1316" s="13">
        <f>CHAIN_RAW!G1316</f>
        <v/>
      </c>
      <c r="L1316" s="13">
        <f>CHAIN_RAW!N1316</f>
        <v/>
      </c>
      <c r="M1316" s="13">
        <f>IFERROR(L1316-K1316,"")</f>
        <v/>
      </c>
      <c r="N1316" s="13">
        <f>CHAIN_RAW!H1316</f>
        <v/>
      </c>
      <c r="O1316" s="13">
        <f>CHAIN_RAW!O1316</f>
        <v/>
      </c>
      <c r="P1316" s="13">
        <f>IFERROR(O1316/N1316,"")</f>
        <v/>
      </c>
      <c r="Q1316" s="13">
        <f>CHAIN_RAW!I1316</f>
        <v/>
      </c>
      <c r="R1316" s="13">
        <f>CHAIN_RAW!P1316</f>
        <v/>
      </c>
      <c r="S1316" s="13">
        <f>IFERROR(R1316/Q1316,"")</f>
        <v/>
      </c>
      <c r="T1316" s="13">
        <f>IFERROR((ABS(N1316-O1316)/MAX(1,(N1316+O1316)))*EXP(-ABS(E1316-CONTROL!E5)/MAX(1,CONTROL!B8)),"")</f>
        <v/>
      </c>
      <c r="U1316" s="13">
        <f>IFERROR(IF(O1316&gt;N1316,"SUPPORT (PE OI)","RESIST (CE OI)"),"")</f>
        <v/>
      </c>
      <c r="V1316" s="13">
        <f>IFERROR(IF(Q1316&gt;0,IF(R1316&gt;0,"BOTH_ADD","CE_ADD_PE_REDUCE"),IF(R1316&gt;0,"CE_REDUCE_PE_ADD","BOTH_REDUCE")),"")</f>
        <v/>
      </c>
      <c r="W1316" s="13">
        <f>IFERROR( (P1316-1)*0.5 + (M1316)*0.1 - (I1316+J1316)*0.05 + T1316*0.4 ,"")</f>
        <v/>
      </c>
      <c r="X1316" s="13">
        <f>IFERROR(IF(ABS(F1316)&lt;0.01,"ATM/NEAR",""),"")</f>
        <v/>
      </c>
    </row>
    <row r="1317">
      <c r="A1317" s="13">
        <f>CHAIN_RAW!A1317</f>
        <v/>
      </c>
      <c r="B1317" s="14">
        <f>CHAIN_RAW!B1317</f>
        <v/>
      </c>
      <c r="C1317" s="13">
        <f>CHAIN_RAW!C1317</f>
        <v/>
      </c>
      <c r="D1317" s="13">
        <f>CHAIN_RAW!D1317</f>
        <v/>
      </c>
      <c r="E1317" s="13">
        <f>CHAIN_RAW!E1317</f>
        <v/>
      </c>
      <c r="F1317" s="13">
        <f>IFERROR((E1317-D1317)/D1317,"")</f>
        <v/>
      </c>
      <c r="G1317" s="13">
        <f>IFERROR((CHAIN_RAW!K1317+CHAIN_RAW!L1317)/2,"")</f>
        <v/>
      </c>
      <c r="H1317" s="13">
        <f>IFERROR((CHAIN_RAW!R1317+CHAIN_RAW!S1317)/2,"")</f>
        <v/>
      </c>
      <c r="I1317" s="13">
        <f>IFERROR((CHAIN_RAW!L1317-CHAIN_RAW!K1317)/MAX(1E-9, G1317),"")</f>
        <v/>
      </c>
      <c r="J1317" s="13">
        <f>IFERROR((CHAIN_RAW!S1317-CHAIN_RAW!R1317)/MAX(1E-9, H1317),"")</f>
        <v/>
      </c>
      <c r="K1317" s="13">
        <f>CHAIN_RAW!G1317</f>
        <v/>
      </c>
      <c r="L1317" s="13">
        <f>CHAIN_RAW!N1317</f>
        <v/>
      </c>
      <c r="M1317" s="13">
        <f>IFERROR(L1317-K1317,"")</f>
        <v/>
      </c>
      <c r="N1317" s="13">
        <f>CHAIN_RAW!H1317</f>
        <v/>
      </c>
      <c r="O1317" s="13">
        <f>CHAIN_RAW!O1317</f>
        <v/>
      </c>
      <c r="P1317" s="13">
        <f>IFERROR(O1317/N1317,"")</f>
        <v/>
      </c>
      <c r="Q1317" s="13">
        <f>CHAIN_RAW!I1317</f>
        <v/>
      </c>
      <c r="R1317" s="13">
        <f>CHAIN_RAW!P1317</f>
        <v/>
      </c>
      <c r="S1317" s="13">
        <f>IFERROR(R1317/Q1317,"")</f>
        <v/>
      </c>
      <c r="T1317" s="13">
        <f>IFERROR((ABS(N1317-O1317)/MAX(1,(N1317+O1317)))*EXP(-ABS(E1317-CONTROL!E5)/MAX(1,CONTROL!B8)),"")</f>
        <v/>
      </c>
      <c r="U1317" s="13">
        <f>IFERROR(IF(O1317&gt;N1317,"SUPPORT (PE OI)","RESIST (CE OI)"),"")</f>
        <v/>
      </c>
      <c r="V1317" s="13">
        <f>IFERROR(IF(Q1317&gt;0,IF(R1317&gt;0,"BOTH_ADD","CE_ADD_PE_REDUCE"),IF(R1317&gt;0,"CE_REDUCE_PE_ADD","BOTH_REDUCE")),"")</f>
        <v/>
      </c>
      <c r="W1317" s="13">
        <f>IFERROR( (P1317-1)*0.5 + (M1317)*0.1 - (I1317+J1317)*0.05 + T1317*0.4 ,"")</f>
        <v/>
      </c>
      <c r="X1317" s="13">
        <f>IFERROR(IF(ABS(F1317)&lt;0.01,"ATM/NEAR",""),"")</f>
        <v/>
      </c>
    </row>
    <row r="1318">
      <c r="A1318" s="13">
        <f>CHAIN_RAW!A1318</f>
        <v/>
      </c>
      <c r="B1318" s="14">
        <f>CHAIN_RAW!B1318</f>
        <v/>
      </c>
      <c r="C1318" s="13">
        <f>CHAIN_RAW!C1318</f>
        <v/>
      </c>
      <c r="D1318" s="13">
        <f>CHAIN_RAW!D1318</f>
        <v/>
      </c>
      <c r="E1318" s="13">
        <f>CHAIN_RAW!E1318</f>
        <v/>
      </c>
      <c r="F1318" s="13">
        <f>IFERROR((E1318-D1318)/D1318,"")</f>
        <v/>
      </c>
      <c r="G1318" s="13">
        <f>IFERROR((CHAIN_RAW!K1318+CHAIN_RAW!L1318)/2,"")</f>
        <v/>
      </c>
      <c r="H1318" s="13">
        <f>IFERROR((CHAIN_RAW!R1318+CHAIN_RAW!S1318)/2,"")</f>
        <v/>
      </c>
      <c r="I1318" s="13">
        <f>IFERROR((CHAIN_RAW!L1318-CHAIN_RAW!K1318)/MAX(1E-9, G1318),"")</f>
        <v/>
      </c>
      <c r="J1318" s="13">
        <f>IFERROR((CHAIN_RAW!S1318-CHAIN_RAW!R1318)/MAX(1E-9, H1318),"")</f>
        <v/>
      </c>
      <c r="K1318" s="13">
        <f>CHAIN_RAW!G1318</f>
        <v/>
      </c>
      <c r="L1318" s="13">
        <f>CHAIN_RAW!N1318</f>
        <v/>
      </c>
      <c r="M1318" s="13">
        <f>IFERROR(L1318-K1318,"")</f>
        <v/>
      </c>
      <c r="N1318" s="13">
        <f>CHAIN_RAW!H1318</f>
        <v/>
      </c>
      <c r="O1318" s="13">
        <f>CHAIN_RAW!O1318</f>
        <v/>
      </c>
      <c r="P1318" s="13">
        <f>IFERROR(O1318/N1318,"")</f>
        <v/>
      </c>
      <c r="Q1318" s="13">
        <f>CHAIN_RAW!I1318</f>
        <v/>
      </c>
      <c r="R1318" s="13">
        <f>CHAIN_RAW!P1318</f>
        <v/>
      </c>
      <c r="S1318" s="13">
        <f>IFERROR(R1318/Q1318,"")</f>
        <v/>
      </c>
      <c r="T1318" s="13">
        <f>IFERROR((ABS(N1318-O1318)/MAX(1,(N1318+O1318)))*EXP(-ABS(E1318-CONTROL!E5)/MAX(1,CONTROL!B8)),"")</f>
        <v/>
      </c>
      <c r="U1318" s="13">
        <f>IFERROR(IF(O1318&gt;N1318,"SUPPORT (PE OI)","RESIST (CE OI)"),"")</f>
        <v/>
      </c>
      <c r="V1318" s="13">
        <f>IFERROR(IF(Q1318&gt;0,IF(R1318&gt;0,"BOTH_ADD","CE_ADD_PE_REDUCE"),IF(R1318&gt;0,"CE_REDUCE_PE_ADD","BOTH_REDUCE")),"")</f>
        <v/>
      </c>
      <c r="W1318" s="13">
        <f>IFERROR( (P1318-1)*0.5 + (M1318)*0.1 - (I1318+J1318)*0.05 + T1318*0.4 ,"")</f>
        <v/>
      </c>
      <c r="X1318" s="13">
        <f>IFERROR(IF(ABS(F1318)&lt;0.01,"ATM/NEAR",""),"")</f>
        <v/>
      </c>
    </row>
    <row r="1319">
      <c r="A1319" s="13">
        <f>CHAIN_RAW!A1319</f>
        <v/>
      </c>
      <c r="B1319" s="14">
        <f>CHAIN_RAW!B1319</f>
        <v/>
      </c>
      <c r="C1319" s="13">
        <f>CHAIN_RAW!C1319</f>
        <v/>
      </c>
      <c r="D1319" s="13">
        <f>CHAIN_RAW!D1319</f>
        <v/>
      </c>
      <c r="E1319" s="13">
        <f>CHAIN_RAW!E1319</f>
        <v/>
      </c>
      <c r="F1319" s="13">
        <f>IFERROR((E1319-D1319)/D1319,"")</f>
        <v/>
      </c>
      <c r="G1319" s="13">
        <f>IFERROR((CHAIN_RAW!K1319+CHAIN_RAW!L1319)/2,"")</f>
        <v/>
      </c>
      <c r="H1319" s="13">
        <f>IFERROR((CHAIN_RAW!R1319+CHAIN_RAW!S1319)/2,"")</f>
        <v/>
      </c>
      <c r="I1319" s="13">
        <f>IFERROR((CHAIN_RAW!L1319-CHAIN_RAW!K1319)/MAX(1E-9, G1319),"")</f>
        <v/>
      </c>
      <c r="J1319" s="13">
        <f>IFERROR((CHAIN_RAW!S1319-CHAIN_RAW!R1319)/MAX(1E-9, H1319),"")</f>
        <v/>
      </c>
      <c r="K1319" s="13">
        <f>CHAIN_RAW!G1319</f>
        <v/>
      </c>
      <c r="L1319" s="13">
        <f>CHAIN_RAW!N1319</f>
        <v/>
      </c>
      <c r="M1319" s="13">
        <f>IFERROR(L1319-K1319,"")</f>
        <v/>
      </c>
      <c r="N1319" s="13">
        <f>CHAIN_RAW!H1319</f>
        <v/>
      </c>
      <c r="O1319" s="13">
        <f>CHAIN_RAW!O1319</f>
        <v/>
      </c>
      <c r="P1319" s="13">
        <f>IFERROR(O1319/N1319,"")</f>
        <v/>
      </c>
      <c r="Q1319" s="13">
        <f>CHAIN_RAW!I1319</f>
        <v/>
      </c>
      <c r="R1319" s="13">
        <f>CHAIN_RAW!P1319</f>
        <v/>
      </c>
      <c r="S1319" s="13">
        <f>IFERROR(R1319/Q1319,"")</f>
        <v/>
      </c>
      <c r="T1319" s="13">
        <f>IFERROR((ABS(N1319-O1319)/MAX(1,(N1319+O1319)))*EXP(-ABS(E1319-CONTROL!E5)/MAX(1,CONTROL!B8)),"")</f>
        <v/>
      </c>
      <c r="U1319" s="13">
        <f>IFERROR(IF(O1319&gt;N1319,"SUPPORT (PE OI)","RESIST (CE OI)"),"")</f>
        <v/>
      </c>
      <c r="V1319" s="13">
        <f>IFERROR(IF(Q1319&gt;0,IF(R1319&gt;0,"BOTH_ADD","CE_ADD_PE_REDUCE"),IF(R1319&gt;0,"CE_REDUCE_PE_ADD","BOTH_REDUCE")),"")</f>
        <v/>
      </c>
      <c r="W1319" s="13">
        <f>IFERROR( (P1319-1)*0.5 + (M1319)*0.1 - (I1319+J1319)*0.05 + T1319*0.4 ,"")</f>
        <v/>
      </c>
      <c r="X1319" s="13">
        <f>IFERROR(IF(ABS(F1319)&lt;0.01,"ATM/NEAR",""),"")</f>
        <v/>
      </c>
    </row>
    <row r="1320">
      <c r="A1320" s="13">
        <f>CHAIN_RAW!A1320</f>
        <v/>
      </c>
      <c r="B1320" s="14">
        <f>CHAIN_RAW!B1320</f>
        <v/>
      </c>
      <c r="C1320" s="13">
        <f>CHAIN_RAW!C1320</f>
        <v/>
      </c>
      <c r="D1320" s="13">
        <f>CHAIN_RAW!D1320</f>
        <v/>
      </c>
      <c r="E1320" s="13">
        <f>CHAIN_RAW!E1320</f>
        <v/>
      </c>
      <c r="F1320" s="13">
        <f>IFERROR((E1320-D1320)/D1320,"")</f>
        <v/>
      </c>
      <c r="G1320" s="13">
        <f>IFERROR((CHAIN_RAW!K1320+CHAIN_RAW!L1320)/2,"")</f>
        <v/>
      </c>
      <c r="H1320" s="13">
        <f>IFERROR((CHAIN_RAW!R1320+CHAIN_RAW!S1320)/2,"")</f>
        <v/>
      </c>
      <c r="I1320" s="13">
        <f>IFERROR((CHAIN_RAW!L1320-CHAIN_RAW!K1320)/MAX(1E-9, G1320),"")</f>
        <v/>
      </c>
      <c r="J1320" s="13">
        <f>IFERROR((CHAIN_RAW!S1320-CHAIN_RAW!R1320)/MAX(1E-9, H1320),"")</f>
        <v/>
      </c>
      <c r="K1320" s="13">
        <f>CHAIN_RAW!G1320</f>
        <v/>
      </c>
      <c r="L1320" s="13">
        <f>CHAIN_RAW!N1320</f>
        <v/>
      </c>
      <c r="M1320" s="13">
        <f>IFERROR(L1320-K1320,"")</f>
        <v/>
      </c>
      <c r="N1320" s="13">
        <f>CHAIN_RAW!H1320</f>
        <v/>
      </c>
      <c r="O1320" s="13">
        <f>CHAIN_RAW!O1320</f>
        <v/>
      </c>
      <c r="P1320" s="13">
        <f>IFERROR(O1320/N1320,"")</f>
        <v/>
      </c>
      <c r="Q1320" s="13">
        <f>CHAIN_RAW!I1320</f>
        <v/>
      </c>
      <c r="R1320" s="13">
        <f>CHAIN_RAW!P1320</f>
        <v/>
      </c>
      <c r="S1320" s="13">
        <f>IFERROR(R1320/Q1320,"")</f>
        <v/>
      </c>
      <c r="T1320" s="13">
        <f>IFERROR((ABS(N1320-O1320)/MAX(1,(N1320+O1320)))*EXP(-ABS(E1320-CONTROL!E5)/MAX(1,CONTROL!B8)),"")</f>
        <v/>
      </c>
      <c r="U1320" s="13">
        <f>IFERROR(IF(O1320&gt;N1320,"SUPPORT (PE OI)","RESIST (CE OI)"),"")</f>
        <v/>
      </c>
      <c r="V1320" s="13">
        <f>IFERROR(IF(Q1320&gt;0,IF(R1320&gt;0,"BOTH_ADD","CE_ADD_PE_REDUCE"),IF(R1320&gt;0,"CE_REDUCE_PE_ADD","BOTH_REDUCE")),"")</f>
        <v/>
      </c>
      <c r="W1320" s="13">
        <f>IFERROR( (P1320-1)*0.5 + (M1320)*0.1 - (I1320+J1320)*0.05 + T1320*0.4 ,"")</f>
        <v/>
      </c>
      <c r="X1320" s="13">
        <f>IFERROR(IF(ABS(F1320)&lt;0.01,"ATM/NEAR",""),"")</f>
        <v/>
      </c>
    </row>
    <row r="1321">
      <c r="A1321" s="13">
        <f>CHAIN_RAW!A1321</f>
        <v/>
      </c>
      <c r="B1321" s="14">
        <f>CHAIN_RAW!B1321</f>
        <v/>
      </c>
      <c r="C1321" s="13">
        <f>CHAIN_RAW!C1321</f>
        <v/>
      </c>
      <c r="D1321" s="13">
        <f>CHAIN_RAW!D1321</f>
        <v/>
      </c>
      <c r="E1321" s="13">
        <f>CHAIN_RAW!E1321</f>
        <v/>
      </c>
      <c r="F1321" s="13">
        <f>IFERROR((E1321-D1321)/D1321,"")</f>
        <v/>
      </c>
      <c r="G1321" s="13">
        <f>IFERROR((CHAIN_RAW!K1321+CHAIN_RAW!L1321)/2,"")</f>
        <v/>
      </c>
      <c r="H1321" s="13">
        <f>IFERROR((CHAIN_RAW!R1321+CHAIN_RAW!S1321)/2,"")</f>
        <v/>
      </c>
      <c r="I1321" s="13">
        <f>IFERROR((CHAIN_RAW!L1321-CHAIN_RAW!K1321)/MAX(1E-9, G1321),"")</f>
        <v/>
      </c>
      <c r="J1321" s="13">
        <f>IFERROR((CHAIN_RAW!S1321-CHAIN_RAW!R1321)/MAX(1E-9, H1321),"")</f>
        <v/>
      </c>
      <c r="K1321" s="13">
        <f>CHAIN_RAW!G1321</f>
        <v/>
      </c>
      <c r="L1321" s="13">
        <f>CHAIN_RAW!N1321</f>
        <v/>
      </c>
      <c r="M1321" s="13">
        <f>IFERROR(L1321-K1321,"")</f>
        <v/>
      </c>
      <c r="N1321" s="13">
        <f>CHAIN_RAW!H1321</f>
        <v/>
      </c>
      <c r="O1321" s="13">
        <f>CHAIN_RAW!O1321</f>
        <v/>
      </c>
      <c r="P1321" s="13">
        <f>IFERROR(O1321/N1321,"")</f>
        <v/>
      </c>
      <c r="Q1321" s="13">
        <f>CHAIN_RAW!I1321</f>
        <v/>
      </c>
      <c r="R1321" s="13">
        <f>CHAIN_RAW!P1321</f>
        <v/>
      </c>
      <c r="S1321" s="13">
        <f>IFERROR(R1321/Q1321,"")</f>
        <v/>
      </c>
      <c r="T1321" s="13">
        <f>IFERROR((ABS(N1321-O1321)/MAX(1,(N1321+O1321)))*EXP(-ABS(E1321-CONTROL!E5)/MAX(1,CONTROL!B8)),"")</f>
        <v/>
      </c>
      <c r="U1321" s="13">
        <f>IFERROR(IF(O1321&gt;N1321,"SUPPORT (PE OI)","RESIST (CE OI)"),"")</f>
        <v/>
      </c>
      <c r="V1321" s="13">
        <f>IFERROR(IF(Q1321&gt;0,IF(R1321&gt;0,"BOTH_ADD","CE_ADD_PE_REDUCE"),IF(R1321&gt;0,"CE_REDUCE_PE_ADD","BOTH_REDUCE")),"")</f>
        <v/>
      </c>
      <c r="W1321" s="13">
        <f>IFERROR( (P1321-1)*0.5 + (M1321)*0.1 - (I1321+J1321)*0.05 + T1321*0.4 ,"")</f>
        <v/>
      </c>
      <c r="X1321" s="13">
        <f>IFERROR(IF(ABS(F1321)&lt;0.01,"ATM/NEAR",""),"")</f>
        <v/>
      </c>
    </row>
    <row r="1322">
      <c r="A1322" s="13">
        <f>CHAIN_RAW!A1322</f>
        <v/>
      </c>
      <c r="B1322" s="14">
        <f>CHAIN_RAW!B1322</f>
        <v/>
      </c>
      <c r="C1322" s="13">
        <f>CHAIN_RAW!C1322</f>
        <v/>
      </c>
      <c r="D1322" s="13">
        <f>CHAIN_RAW!D1322</f>
        <v/>
      </c>
      <c r="E1322" s="13">
        <f>CHAIN_RAW!E1322</f>
        <v/>
      </c>
      <c r="F1322" s="13">
        <f>IFERROR((E1322-D1322)/D1322,"")</f>
        <v/>
      </c>
      <c r="G1322" s="13">
        <f>IFERROR((CHAIN_RAW!K1322+CHAIN_RAW!L1322)/2,"")</f>
        <v/>
      </c>
      <c r="H1322" s="13">
        <f>IFERROR((CHAIN_RAW!R1322+CHAIN_RAW!S1322)/2,"")</f>
        <v/>
      </c>
      <c r="I1322" s="13">
        <f>IFERROR((CHAIN_RAW!L1322-CHAIN_RAW!K1322)/MAX(1E-9, G1322),"")</f>
        <v/>
      </c>
      <c r="J1322" s="13">
        <f>IFERROR((CHAIN_RAW!S1322-CHAIN_RAW!R1322)/MAX(1E-9, H1322),"")</f>
        <v/>
      </c>
      <c r="K1322" s="13">
        <f>CHAIN_RAW!G1322</f>
        <v/>
      </c>
      <c r="L1322" s="13">
        <f>CHAIN_RAW!N1322</f>
        <v/>
      </c>
      <c r="M1322" s="13">
        <f>IFERROR(L1322-K1322,"")</f>
        <v/>
      </c>
      <c r="N1322" s="13">
        <f>CHAIN_RAW!H1322</f>
        <v/>
      </c>
      <c r="O1322" s="13">
        <f>CHAIN_RAW!O1322</f>
        <v/>
      </c>
      <c r="P1322" s="13">
        <f>IFERROR(O1322/N1322,"")</f>
        <v/>
      </c>
      <c r="Q1322" s="13">
        <f>CHAIN_RAW!I1322</f>
        <v/>
      </c>
      <c r="R1322" s="13">
        <f>CHAIN_RAW!P1322</f>
        <v/>
      </c>
      <c r="S1322" s="13">
        <f>IFERROR(R1322/Q1322,"")</f>
        <v/>
      </c>
      <c r="T1322" s="13">
        <f>IFERROR((ABS(N1322-O1322)/MAX(1,(N1322+O1322)))*EXP(-ABS(E1322-CONTROL!E5)/MAX(1,CONTROL!B8)),"")</f>
        <v/>
      </c>
      <c r="U1322" s="13">
        <f>IFERROR(IF(O1322&gt;N1322,"SUPPORT (PE OI)","RESIST (CE OI)"),"")</f>
        <v/>
      </c>
      <c r="V1322" s="13">
        <f>IFERROR(IF(Q1322&gt;0,IF(R1322&gt;0,"BOTH_ADD","CE_ADD_PE_REDUCE"),IF(R1322&gt;0,"CE_REDUCE_PE_ADD","BOTH_REDUCE")),"")</f>
        <v/>
      </c>
      <c r="W1322" s="13">
        <f>IFERROR( (P1322-1)*0.5 + (M1322)*0.1 - (I1322+J1322)*0.05 + T1322*0.4 ,"")</f>
        <v/>
      </c>
      <c r="X1322" s="13">
        <f>IFERROR(IF(ABS(F1322)&lt;0.01,"ATM/NEAR",""),"")</f>
        <v/>
      </c>
    </row>
    <row r="1323">
      <c r="A1323" s="13">
        <f>CHAIN_RAW!A1323</f>
        <v/>
      </c>
      <c r="B1323" s="14">
        <f>CHAIN_RAW!B1323</f>
        <v/>
      </c>
      <c r="C1323" s="13">
        <f>CHAIN_RAW!C1323</f>
        <v/>
      </c>
      <c r="D1323" s="13">
        <f>CHAIN_RAW!D1323</f>
        <v/>
      </c>
      <c r="E1323" s="13">
        <f>CHAIN_RAW!E1323</f>
        <v/>
      </c>
      <c r="F1323" s="13">
        <f>IFERROR((E1323-D1323)/D1323,"")</f>
        <v/>
      </c>
      <c r="G1323" s="13">
        <f>IFERROR((CHAIN_RAW!K1323+CHAIN_RAW!L1323)/2,"")</f>
        <v/>
      </c>
      <c r="H1323" s="13">
        <f>IFERROR((CHAIN_RAW!R1323+CHAIN_RAW!S1323)/2,"")</f>
        <v/>
      </c>
      <c r="I1323" s="13">
        <f>IFERROR((CHAIN_RAW!L1323-CHAIN_RAW!K1323)/MAX(1E-9, G1323),"")</f>
        <v/>
      </c>
      <c r="J1323" s="13">
        <f>IFERROR((CHAIN_RAW!S1323-CHAIN_RAW!R1323)/MAX(1E-9, H1323),"")</f>
        <v/>
      </c>
      <c r="K1323" s="13">
        <f>CHAIN_RAW!G1323</f>
        <v/>
      </c>
      <c r="L1323" s="13">
        <f>CHAIN_RAW!N1323</f>
        <v/>
      </c>
      <c r="M1323" s="13">
        <f>IFERROR(L1323-K1323,"")</f>
        <v/>
      </c>
      <c r="N1323" s="13">
        <f>CHAIN_RAW!H1323</f>
        <v/>
      </c>
      <c r="O1323" s="13">
        <f>CHAIN_RAW!O1323</f>
        <v/>
      </c>
      <c r="P1323" s="13">
        <f>IFERROR(O1323/N1323,"")</f>
        <v/>
      </c>
      <c r="Q1323" s="13">
        <f>CHAIN_RAW!I1323</f>
        <v/>
      </c>
      <c r="R1323" s="13">
        <f>CHAIN_RAW!P1323</f>
        <v/>
      </c>
      <c r="S1323" s="13">
        <f>IFERROR(R1323/Q1323,"")</f>
        <v/>
      </c>
      <c r="T1323" s="13">
        <f>IFERROR((ABS(N1323-O1323)/MAX(1,(N1323+O1323)))*EXP(-ABS(E1323-CONTROL!E5)/MAX(1,CONTROL!B8)),"")</f>
        <v/>
      </c>
      <c r="U1323" s="13">
        <f>IFERROR(IF(O1323&gt;N1323,"SUPPORT (PE OI)","RESIST (CE OI)"),"")</f>
        <v/>
      </c>
      <c r="V1323" s="13">
        <f>IFERROR(IF(Q1323&gt;0,IF(R1323&gt;0,"BOTH_ADD","CE_ADD_PE_REDUCE"),IF(R1323&gt;0,"CE_REDUCE_PE_ADD","BOTH_REDUCE")),"")</f>
        <v/>
      </c>
      <c r="W1323" s="13">
        <f>IFERROR( (P1323-1)*0.5 + (M1323)*0.1 - (I1323+J1323)*0.05 + T1323*0.4 ,"")</f>
        <v/>
      </c>
      <c r="X1323" s="13">
        <f>IFERROR(IF(ABS(F1323)&lt;0.01,"ATM/NEAR",""),"")</f>
        <v/>
      </c>
    </row>
    <row r="1324">
      <c r="A1324" s="13">
        <f>CHAIN_RAW!A1324</f>
        <v/>
      </c>
      <c r="B1324" s="14">
        <f>CHAIN_RAW!B1324</f>
        <v/>
      </c>
      <c r="C1324" s="13">
        <f>CHAIN_RAW!C1324</f>
        <v/>
      </c>
      <c r="D1324" s="13">
        <f>CHAIN_RAW!D1324</f>
        <v/>
      </c>
      <c r="E1324" s="13">
        <f>CHAIN_RAW!E1324</f>
        <v/>
      </c>
      <c r="F1324" s="13">
        <f>IFERROR((E1324-D1324)/D1324,"")</f>
        <v/>
      </c>
      <c r="G1324" s="13">
        <f>IFERROR((CHAIN_RAW!K1324+CHAIN_RAW!L1324)/2,"")</f>
        <v/>
      </c>
      <c r="H1324" s="13">
        <f>IFERROR((CHAIN_RAW!R1324+CHAIN_RAW!S1324)/2,"")</f>
        <v/>
      </c>
      <c r="I1324" s="13">
        <f>IFERROR((CHAIN_RAW!L1324-CHAIN_RAW!K1324)/MAX(1E-9, G1324),"")</f>
        <v/>
      </c>
      <c r="J1324" s="13">
        <f>IFERROR((CHAIN_RAW!S1324-CHAIN_RAW!R1324)/MAX(1E-9, H1324),"")</f>
        <v/>
      </c>
      <c r="K1324" s="13">
        <f>CHAIN_RAW!G1324</f>
        <v/>
      </c>
      <c r="L1324" s="13">
        <f>CHAIN_RAW!N1324</f>
        <v/>
      </c>
      <c r="M1324" s="13">
        <f>IFERROR(L1324-K1324,"")</f>
        <v/>
      </c>
      <c r="N1324" s="13">
        <f>CHAIN_RAW!H1324</f>
        <v/>
      </c>
      <c r="O1324" s="13">
        <f>CHAIN_RAW!O1324</f>
        <v/>
      </c>
      <c r="P1324" s="13">
        <f>IFERROR(O1324/N1324,"")</f>
        <v/>
      </c>
      <c r="Q1324" s="13">
        <f>CHAIN_RAW!I1324</f>
        <v/>
      </c>
      <c r="R1324" s="13">
        <f>CHAIN_RAW!P1324</f>
        <v/>
      </c>
      <c r="S1324" s="13">
        <f>IFERROR(R1324/Q1324,"")</f>
        <v/>
      </c>
      <c r="T1324" s="13">
        <f>IFERROR((ABS(N1324-O1324)/MAX(1,(N1324+O1324)))*EXP(-ABS(E1324-CONTROL!E5)/MAX(1,CONTROL!B8)),"")</f>
        <v/>
      </c>
      <c r="U1324" s="13">
        <f>IFERROR(IF(O1324&gt;N1324,"SUPPORT (PE OI)","RESIST (CE OI)"),"")</f>
        <v/>
      </c>
      <c r="V1324" s="13">
        <f>IFERROR(IF(Q1324&gt;0,IF(R1324&gt;0,"BOTH_ADD","CE_ADD_PE_REDUCE"),IF(R1324&gt;0,"CE_REDUCE_PE_ADD","BOTH_REDUCE")),"")</f>
        <v/>
      </c>
      <c r="W1324" s="13">
        <f>IFERROR( (P1324-1)*0.5 + (M1324)*0.1 - (I1324+J1324)*0.05 + T1324*0.4 ,"")</f>
        <v/>
      </c>
      <c r="X1324" s="13">
        <f>IFERROR(IF(ABS(F1324)&lt;0.01,"ATM/NEAR",""),"")</f>
        <v/>
      </c>
    </row>
    <row r="1325">
      <c r="A1325" s="13">
        <f>CHAIN_RAW!A1325</f>
        <v/>
      </c>
      <c r="B1325" s="14">
        <f>CHAIN_RAW!B1325</f>
        <v/>
      </c>
      <c r="C1325" s="13">
        <f>CHAIN_RAW!C1325</f>
        <v/>
      </c>
      <c r="D1325" s="13">
        <f>CHAIN_RAW!D1325</f>
        <v/>
      </c>
      <c r="E1325" s="13">
        <f>CHAIN_RAW!E1325</f>
        <v/>
      </c>
      <c r="F1325" s="13">
        <f>IFERROR((E1325-D1325)/D1325,"")</f>
        <v/>
      </c>
      <c r="G1325" s="13">
        <f>IFERROR((CHAIN_RAW!K1325+CHAIN_RAW!L1325)/2,"")</f>
        <v/>
      </c>
      <c r="H1325" s="13">
        <f>IFERROR((CHAIN_RAW!R1325+CHAIN_RAW!S1325)/2,"")</f>
        <v/>
      </c>
      <c r="I1325" s="13">
        <f>IFERROR((CHAIN_RAW!L1325-CHAIN_RAW!K1325)/MAX(1E-9, G1325),"")</f>
        <v/>
      </c>
      <c r="J1325" s="13">
        <f>IFERROR((CHAIN_RAW!S1325-CHAIN_RAW!R1325)/MAX(1E-9, H1325),"")</f>
        <v/>
      </c>
      <c r="K1325" s="13">
        <f>CHAIN_RAW!G1325</f>
        <v/>
      </c>
      <c r="L1325" s="13">
        <f>CHAIN_RAW!N1325</f>
        <v/>
      </c>
      <c r="M1325" s="13">
        <f>IFERROR(L1325-K1325,"")</f>
        <v/>
      </c>
      <c r="N1325" s="13">
        <f>CHAIN_RAW!H1325</f>
        <v/>
      </c>
      <c r="O1325" s="13">
        <f>CHAIN_RAW!O1325</f>
        <v/>
      </c>
      <c r="P1325" s="13">
        <f>IFERROR(O1325/N1325,"")</f>
        <v/>
      </c>
      <c r="Q1325" s="13">
        <f>CHAIN_RAW!I1325</f>
        <v/>
      </c>
      <c r="R1325" s="13">
        <f>CHAIN_RAW!P1325</f>
        <v/>
      </c>
      <c r="S1325" s="13">
        <f>IFERROR(R1325/Q1325,"")</f>
        <v/>
      </c>
      <c r="T1325" s="13">
        <f>IFERROR((ABS(N1325-O1325)/MAX(1,(N1325+O1325)))*EXP(-ABS(E1325-CONTROL!E5)/MAX(1,CONTROL!B8)),"")</f>
        <v/>
      </c>
      <c r="U1325" s="13">
        <f>IFERROR(IF(O1325&gt;N1325,"SUPPORT (PE OI)","RESIST (CE OI)"),"")</f>
        <v/>
      </c>
      <c r="V1325" s="13">
        <f>IFERROR(IF(Q1325&gt;0,IF(R1325&gt;0,"BOTH_ADD","CE_ADD_PE_REDUCE"),IF(R1325&gt;0,"CE_REDUCE_PE_ADD","BOTH_REDUCE")),"")</f>
        <v/>
      </c>
      <c r="W1325" s="13">
        <f>IFERROR( (P1325-1)*0.5 + (M1325)*0.1 - (I1325+J1325)*0.05 + T1325*0.4 ,"")</f>
        <v/>
      </c>
      <c r="X1325" s="13">
        <f>IFERROR(IF(ABS(F1325)&lt;0.01,"ATM/NEAR",""),"")</f>
        <v/>
      </c>
    </row>
    <row r="1326">
      <c r="A1326" s="13">
        <f>CHAIN_RAW!A1326</f>
        <v/>
      </c>
      <c r="B1326" s="14">
        <f>CHAIN_RAW!B1326</f>
        <v/>
      </c>
      <c r="C1326" s="13">
        <f>CHAIN_RAW!C1326</f>
        <v/>
      </c>
      <c r="D1326" s="13">
        <f>CHAIN_RAW!D1326</f>
        <v/>
      </c>
      <c r="E1326" s="13">
        <f>CHAIN_RAW!E1326</f>
        <v/>
      </c>
      <c r="F1326" s="13">
        <f>IFERROR((E1326-D1326)/D1326,"")</f>
        <v/>
      </c>
      <c r="G1326" s="13">
        <f>IFERROR((CHAIN_RAW!K1326+CHAIN_RAW!L1326)/2,"")</f>
        <v/>
      </c>
      <c r="H1326" s="13">
        <f>IFERROR((CHAIN_RAW!R1326+CHAIN_RAW!S1326)/2,"")</f>
        <v/>
      </c>
      <c r="I1326" s="13">
        <f>IFERROR((CHAIN_RAW!L1326-CHAIN_RAW!K1326)/MAX(1E-9, G1326),"")</f>
        <v/>
      </c>
      <c r="J1326" s="13">
        <f>IFERROR((CHAIN_RAW!S1326-CHAIN_RAW!R1326)/MAX(1E-9, H1326),"")</f>
        <v/>
      </c>
      <c r="K1326" s="13">
        <f>CHAIN_RAW!G1326</f>
        <v/>
      </c>
      <c r="L1326" s="13">
        <f>CHAIN_RAW!N1326</f>
        <v/>
      </c>
      <c r="M1326" s="13">
        <f>IFERROR(L1326-K1326,"")</f>
        <v/>
      </c>
      <c r="N1326" s="13">
        <f>CHAIN_RAW!H1326</f>
        <v/>
      </c>
      <c r="O1326" s="13">
        <f>CHAIN_RAW!O1326</f>
        <v/>
      </c>
      <c r="P1326" s="13">
        <f>IFERROR(O1326/N1326,"")</f>
        <v/>
      </c>
      <c r="Q1326" s="13">
        <f>CHAIN_RAW!I1326</f>
        <v/>
      </c>
      <c r="R1326" s="13">
        <f>CHAIN_RAW!P1326</f>
        <v/>
      </c>
      <c r="S1326" s="13">
        <f>IFERROR(R1326/Q1326,"")</f>
        <v/>
      </c>
      <c r="T1326" s="13">
        <f>IFERROR((ABS(N1326-O1326)/MAX(1,(N1326+O1326)))*EXP(-ABS(E1326-CONTROL!E5)/MAX(1,CONTROL!B8)),"")</f>
        <v/>
      </c>
      <c r="U1326" s="13">
        <f>IFERROR(IF(O1326&gt;N1326,"SUPPORT (PE OI)","RESIST (CE OI)"),"")</f>
        <v/>
      </c>
      <c r="V1326" s="13">
        <f>IFERROR(IF(Q1326&gt;0,IF(R1326&gt;0,"BOTH_ADD","CE_ADD_PE_REDUCE"),IF(R1326&gt;0,"CE_REDUCE_PE_ADD","BOTH_REDUCE")),"")</f>
        <v/>
      </c>
      <c r="W1326" s="13">
        <f>IFERROR( (P1326-1)*0.5 + (M1326)*0.1 - (I1326+J1326)*0.05 + T1326*0.4 ,"")</f>
        <v/>
      </c>
      <c r="X1326" s="13">
        <f>IFERROR(IF(ABS(F1326)&lt;0.01,"ATM/NEAR",""),"")</f>
        <v/>
      </c>
    </row>
    <row r="1327">
      <c r="A1327" s="13">
        <f>CHAIN_RAW!A1327</f>
        <v/>
      </c>
      <c r="B1327" s="14">
        <f>CHAIN_RAW!B1327</f>
        <v/>
      </c>
      <c r="C1327" s="13">
        <f>CHAIN_RAW!C1327</f>
        <v/>
      </c>
      <c r="D1327" s="13">
        <f>CHAIN_RAW!D1327</f>
        <v/>
      </c>
      <c r="E1327" s="13">
        <f>CHAIN_RAW!E1327</f>
        <v/>
      </c>
      <c r="F1327" s="13">
        <f>IFERROR((E1327-D1327)/D1327,"")</f>
        <v/>
      </c>
      <c r="G1327" s="13">
        <f>IFERROR((CHAIN_RAW!K1327+CHAIN_RAW!L1327)/2,"")</f>
        <v/>
      </c>
      <c r="H1327" s="13">
        <f>IFERROR((CHAIN_RAW!R1327+CHAIN_RAW!S1327)/2,"")</f>
        <v/>
      </c>
      <c r="I1327" s="13">
        <f>IFERROR((CHAIN_RAW!L1327-CHAIN_RAW!K1327)/MAX(1E-9, G1327),"")</f>
        <v/>
      </c>
      <c r="J1327" s="13">
        <f>IFERROR((CHAIN_RAW!S1327-CHAIN_RAW!R1327)/MAX(1E-9, H1327),"")</f>
        <v/>
      </c>
      <c r="K1327" s="13">
        <f>CHAIN_RAW!G1327</f>
        <v/>
      </c>
      <c r="L1327" s="13">
        <f>CHAIN_RAW!N1327</f>
        <v/>
      </c>
      <c r="M1327" s="13">
        <f>IFERROR(L1327-K1327,"")</f>
        <v/>
      </c>
      <c r="N1327" s="13">
        <f>CHAIN_RAW!H1327</f>
        <v/>
      </c>
      <c r="O1327" s="13">
        <f>CHAIN_RAW!O1327</f>
        <v/>
      </c>
      <c r="P1327" s="13">
        <f>IFERROR(O1327/N1327,"")</f>
        <v/>
      </c>
      <c r="Q1327" s="13">
        <f>CHAIN_RAW!I1327</f>
        <v/>
      </c>
      <c r="R1327" s="13">
        <f>CHAIN_RAW!P1327</f>
        <v/>
      </c>
      <c r="S1327" s="13">
        <f>IFERROR(R1327/Q1327,"")</f>
        <v/>
      </c>
      <c r="T1327" s="13">
        <f>IFERROR((ABS(N1327-O1327)/MAX(1,(N1327+O1327)))*EXP(-ABS(E1327-CONTROL!E5)/MAX(1,CONTROL!B8)),"")</f>
        <v/>
      </c>
      <c r="U1327" s="13">
        <f>IFERROR(IF(O1327&gt;N1327,"SUPPORT (PE OI)","RESIST (CE OI)"),"")</f>
        <v/>
      </c>
      <c r="V1327" s="13">
        <f>IFERROR(IF(Q1327&gt;0,IF(R1327&gt;0,"BOTH_ADD","CE_ADD_PE_REDUCE"),IF(R1327&gt;0,"CE_REDUCE_PE_ADD","BOTH_REDUCE")),"")</f>
        <v/>
      </c>
      <c r="W1327" s="13">
        <f>IFERROR( (P1327-1)*0.5 + (M1327)*0.1 - (I1327+J1327)*0.05 + T1327*0.4 ,"")</f>
        <v/>
      </c>
      <c r="X1327" s="13">
        <f>IFERROR(IF(ABS(F1327)&lt;0.01,"ATM/NEAR",""),"")</f>
        <v/>
      </c>
    </row>
    <row r="1328">
      <c r="A1328" s="13">
        <f>CHAIN_RAW!A1328</f>
        <v/>
      </c>
      <c r="B1328" s="14">
        <f>CHAIN_RAW!B1328</f>
        <v/>
      </c>
      <c r="C1328" s="13">
        <f>CHAIN_RAW!C1328</f>
        <v/>
      </c>
      <c r="D1328" s="13">
        <f>CHAIN_RAW!D1328</f>
        <v/>
      </c>
      <c r="E1328" s="13">
        <f>CHAIN_RAW!E1328</f>
        <v/>
      </c>
      <c r="F1328" s="13">
        <f>IFERROR((E1328-D1328)/D1328,"")</f>
        <v/>
      </c>
      <c r="G1328" s="13">
        <f>IFERROR((CHAIN_RAW!K1328+CHAIN_RAW!L1328)/2,"")</f>
        <v/>
      </c>
      <c r="H1328" s="13">
        <f>IFERROR((CHAIN_RAW!R1328+CHAIN_RAW!S1328)/2,"")</f>
        <v/>
      </c>
      <c r="I1328" s="13">
        <f>IFERROR((CHAIN_RAW!L1328-CHAIN_RAW!K1328)/MAX(1E-9, G1328),"")</f>
        <v/>
      </c>
      <c r="J1328" s="13">
        <f>IFERROR((CHAIN_RAW!S1328-CHAIN_RAW!R1328)/MAX(1E-9, H1328),"")</f>
        <v/>
      </c>
      <c r="K1328" s="13">
        <f>CHAIN_RAW!G1328</f>
        <v/>
      </c>
      <c r="L1328" s="13">
        <f>CHAIN_RAW!N1328</f>
        <v/>
      </c>
      <c r="M1328" s="13">
        <f>IFERROR(L1328-K1328,"")</f>
        <v/>
      </c>
      <c r="N1328" s="13">
        <f>CHAIN_RAW!H1328</f>
        <v/>
      </c>
      <c r="O1328" s="13">
        <f>CHAIN_RAW!O1328</f>
        <v/>
      </c>
      <c r="P1328" s="13">
        <f>IFERROR(O1328/N1328,"")</f>
        <v/>
      </c>
      <c r="Q1328" s="13">
        <f>CHAIN_RAW!I1328</f>
        <v/>
      </c>
      <c r="R1328" s="13">
        <f>CHAIN_RAW!P1328</f>
        <v/>
      </c>
      <c r="S1328" s="13">
        <f>IFERROR(R1328/Q1328,"")</f>
        <v/>
      </c>
      <c r="T1328" s="13">
        <f>IFERROR((ABS(N1328-O1328)/MAX(1,(N1328+O1328)))*EXP(-ABS(E1328-CONTROL!E5)/MAX(1,CONTROL!B8)),"")</f>
        <v/>
      </c>
      <c r="U1328" s="13">
        <f>IFERROR(IF(O1328&gt;N1328,"SUPPORT (PE OI)","RESIST (CE OI)"),"")</f>
        <v/>
      </c>
      <c r="V1328" s="13">
        <f>IFERROR(IF(Q1328&gt;0,IF(R1328&gt;0,"BOTH_ADD","CE_ADD_PE_REDUCE"),IF(R1328&gt;0,"CE_REDUCE_PE_ADD","BOTH_REDUCE")),"")</f>
        <v/>
      </c>
      <c r="W1328" s="13">
        <f>IFERROR( (P1328-1)*0.5 + (M1328)*0.1 - (I1328+J1328)*0.05 + T1328*0.4 ,"")</f>
        <v/>
      </c>
      <c r="X1328" s="13">
        <f>IFERROR(IF(ABS(F1328)&lt;0.01,"ATM/NEAR",""),"")</f>
        <v/>
      </c>
    </row>
    <row r="1329">
      <c r="A1329" s="13">
        <f>CHAIN_RAW!A1329</f>
        <v/>
      </c>
      <c r="B1329" s="14">
        <f>CHAIN_RAW!B1329</f>
        <v/>
      </c>
      <c r="C1329" s="13">
        <f>CHAIN_RAW!C1329</f>
        <v/>
      </c>
      <c r="D1329" s="13">
        <f>CHAIN_RAW!D1329</f>
        <v/>
      </c>
      <c r="E1329" s="13">
        <f>CHAIN_RAW!E1329</f>
        <v/>
      </c>
      <c r="F1329" s="13">
        <f>IFERROR((E1329-D1329)/D1329,"")</f>
        <v/>
      </c>
      <c r="G1329" s="13">
        <f>IFERROR((CHAIN_RAW!K1329+CHAIN_RAW!L1329)/2,"")</f>
        <v/>
      </c>
      <c r="H1329" s="13">
        <f>IFERROR((CHAIN_RAW!R1329+CHAIN_RAW!S1329)/2,"")</f>
        <v/>
      </c>
      <c r="I1329" s="13">
        <f>IFERROR((CHAIN_RAW!L1329-CHAIN_RAW!K1329)/MAX(1E-9, G1329),"")</f>
        <v/>
      </c>
      <c r="J1329" s="13">
        <f>IFERROR((CHAIN_RAW!S1329-CHAIN_RAW!R1329)/MAX(1E-9, H1329),"")</f>
        <v/>
      </c>
      <c r="K1329" s="13">
        <f>CHAIN_RAW!G1329</f>
        <v/>
      </c>
      <c r="L1329" s="13">
        <f>CHAIN_RAW!N1329</f>
        <v/>
      </c>
      <c r="M1329" s="13">
        <f>IFERROR(L1329-K1329,"")</f>
        <v/>
      </c>
      <c r="N1329" s="13">
        <f>CHAIN_RAW!H1329</f>
        <v/>
      </c>
      <c r="O1329" s="13">
        <f>CHAIN_RAW!O1329</f>
        <v/>
      </c>
      <c r="P1329" s="13">
        <f>IFERROR(O1329/N1329,"")</f>
        <v/>
      </c>
      <c r="Q1329" s="13">
        <f>CHAIN_RAW!I1329</f>
        <v/>
      </c>
      <c r="R1329" s="13">
        <f>CHAIN_RAW!P1329</f>
        <v/>
      </c>
      <c r="S1329" s="13">
        <f>IFERROR(R1329/Q1329,"")</f>
        <v/>
      </c>
      <c r="T1329" s="13">
        <f>IFERROR((ABS(N1329-O1329)/MAX(1,(N1329+O1329)))*EXP(-ABS(E1329-CONTROL!E5)/MAX(1,CONTROL!B8)),"")</f>
        <v/>
      </c>
      <c r="U1329" s="13">
        <f>IFERROR(IF(O1329&gt;N1329,"SUPPORT (PE OI)","RESIST (CE OI)"),"")</f>
        <v/>
      </c>
      <c r="V1329" s="13">
        <f>IFERROR(IF(Q1329&gt;0,IF(R1329&gt;0,"BOTH_ADD","CE_ADD_PE_REDUCE"),IF(R1329&gt;0,"CE_REDUCE_PE_ADD","BOTH_REDUCE")),"")</f>
        <v/>
      </c>
      <c r="W1329" s="13">
        <f>IFERROR( (P1329-1)*0.5 + (M1329)*0.1 - (I1329+J1329)*0.05 + T1329*0.4 ,"")</f>
        <v/>
      </c>
      <c r="X1329" s="13">
        <f>IFERROR(IF(ABS(F1329)&lt;0.01,"ATM/NEAR",""),"")</f>
        <v/>
      </c>
    </row>
    <row r="1330">
      <c r="A1330" s="13">
        <f>CHAIN_RAW!A1330</f>
        <v/>
      </c>
      <c r="B1330" s="14">
        <f>CHAIN_RAW!B1330</f>
        <v/>
      </c>
      <c r="C1330" s="13">
        <f>CHAIN_RAW!C1330</f>
        <v/>
      </c>
      <c r="D1330" s="13">
        <f>CHAIN_RAW!D1330</f>
        <v/>
      </c>
      <c r="E1330" s="13">
        <f>CHAIN_RAW!E1330</f>
        <v/>
      </c>
      <c r="F1330" s="13">
        <f>IFERROR((E1330-D1330)/D1330,"")</f>
        <v/>
      </c>
      <c r="G1330" s="13">
        <f>IFERROR((CHAIN_RAW!K1330+CHAIN_RAW!L1330)/2,"")</f>
        <v/>
      </c>
      <c r="H1330" s="13">
        <f>IFERROR((CHAIN_RAW!R1330+CHAIN_RAW!S1330)/2,"")</f>
        <v/>
      </c>
      <c r="I1330" s="13">
        <f>IFERROR((CHAIN_RAW!L1330-CHAIN_RAW!K1330)/MAX(1E-9, G1330),"")</f>
        <v/>
      </c>
      <c r="J1330" s="13">
        <f>IFERROR((CHAIN_RAW!S1330-CHAIN_RAW!R1330)/MAX(1E-9, H1330),"")</f>
        <v/>
      </c>
      <c r="K1330" s="13">
        <f>CHAIN_RAW!G1330</f>
        <v/>
      </c>
      <c r="L1330" s="13">
        <f>CHAIN_RAW!N1330</f>
        <v/>
      </c>
      <c r="M1330" s="13">
        <f>IFERROR(L1330-K1330,"")</f>
        <v/>
      </c>
      <c r="N1330" s="13">
        <f>CHAIN_RAW!H1330</f>
        <v/>
      </c>
      <c r="O1330" s="13">
        <f>CHAIN_RAW!O1330</f>
        <v/>
      </c>
      <c r="P1330" s="13">
        <f>IFERROR(O1330/N1330,"")</f>
        <v/>
      </c>
      <c r="Q1330" s="13">
        <f>CHAIN_RAW!I1330</f>
        <v/>
      </c>
      <c r="R1330" s="13">
        <f>CHAIN_RAW!P1330</f>
        <v/>
      </c>
      <c r="S1330" s="13">
        <f>IFERROR(R1330/Q1330,"")</f>
        <v/>
      </c>
      <c r="T1330" s="13">
        <f>IFERROR((ABS(N1330-O1330)/MAX(1,(N1330+O1330)))*EXP(-ABS(E1330-CONTROL!E5)/MAX(1,CONTROL!B8)),"")</f>
        <v/>
      </c>
      <c r="U1330" s="13">
        <f>IFERROR(IF(O1330&gt;N1330,"SUPPORT (PE OI)","RESIST (CE OI)"),"")</f>
        <v/>
      </c>
      <c r="V1330" s="13">
        <f>IFERROR(IF(Q1330&gt;0,IF(R1330&gt;0,"BOTH_ADD","CE_ADD_PE_REDUCE"),IF(R1330&gt;0,"CE_REDUCE_PE_ADD","BOTH_REDUCE")),"")</f>
        <v/>
      </c>
      <c r="W1330" s="13">
        <f>IFERROR( (P1330-1)*0.5 + (M1330)*0.1 - (I1330+J1330)*0.05 + T1330*0.4 ,"")</f>
        <v/>
      </c>
      <c r="X1330" s="13">
        <f>IFERROR(IF(ABS(F1330)&lt;0.01,"ATM/NEAR",""),"")</f>
        <v/>
      </c>
    </row>
    <row r="1331">
      <c r="A1331" s="13">
        <f>CHAIN_RAW!A1331</f>
        <v/>
      </c>
      <c r="B1331" s="14">
        <f>CHAIN_RAW!B1331</f>
        <v/>
      </c>
      <c r="C1331" s="13">
        <f>CHAIN_RAW!C1331</f>
        <v/>
      </c>
      <c r="D1331" s="13">
        <f>CHAIN_RAW!D1331</f>
        <v/>
      </c>
      <c r="E1331" s="13">
        <f>CHAIN_RAW!E1331</f>
        <v/>
      </c>
      <c r="F1331" s="13">
        <f>IFERROR((E1331-D1331)/D1331,"")</f>
        <v/>
      </c>
      <c r="G1331" s="13">
        <f>IFERROR((CHAIN_RAW!K1331+CHAIN_RAW!L1331)/2,"")</f>
        <v/>
      </c>
      <c r="H1331" s="13">
        <f>IFERROR((CHAIN_RAW!R1331+CHAIN_RAW!S1331)/2,"")</f>
        <v/>
      </c>
      <c r="I1331" s="13">
        <f>IFERROR((CHAIN_RAW!L1331-CHAIN_RAW!K1331)/MAX(1E-9, G1331),"")</f>
        <v/>
      </c>
      <c r="J1331" s="13">
        <f>IFERROR((CHAIN_RAW!S1331-CHAIN_RAW!R1331)/MAX(1E-9, H1331),"")</f>
        <v/>
      </c>
      <c r="K1331" s="13">
        <f>CHAIN_RAW!G1331</f>
        <v/>
      </c>
      <c r="L1331" s="13">
        <f>CHAIN_RAW!N1331</f>
        <v/>
      </c>
      <c r="M1331" s="13">
        <f>IFERROR(L1331-K1331,"")</f>
        <v/>
      </c>
      <c r="N1331" s="13">
        <f>CHAIN_RAW!H1331</f>
        <v/>
      </c>
      <c r="O1331" s="13">
        <f>CHAIN_RAW!O1331</f>
        <v/>
      </c>
      <c r="P1331" s="13">
        <f>IFERROR(O1331/N1331,"")</f>
        <v/>
      </c>
      <c r="Q1331" s="13">
        <f>CHAIN_RAW!I1331</f>
        <v/>
      </c>
      <c r="R1331" s="13">
        <f>CHAIN_RAW!P1331</f>
        <v/>
      </c>
      <c r="S1331" s="13">
        <f>IFERROR(R1331/Q1331,"")</f>
        <v/>
      </c>
      <c r="T1331" s="13">
        <f>IFERROR((ABS(N1331-O1331)/MAX(1,(N1331+O1331)))*EXP(-ABS(E1331-CONTROL!E5)/MAX(1,CONTROL!B8)),"")</f>
        <v/>
      </c>
      <c r="U1331" s="13">
        <f>IFERROR(IF(O1331&gt;N1331,"SUPPORT (PE OI)","RESIST (CE OI)"),"")</f>
        <v/>
      </c>
      <c r="V1331" s="13">
        <f>IFERROR(IF(Q1331&gt;0,IF(R1331&gt;0,"BOTH_ADD","CE_ADD_PE_REDUCE"),IF(R1331&gt;0,"CE_REDUCE_PE_ADD","BOTH_REDUCE")),"")</f>
        <v/>
      </c>
      <c r="W1331" s="13">
        <f>IFERROR( (P1331-1)*0.5 + (M1331)*0.1 - (I1331+J1331)*0.05 + T1331*0.4 ,"")</f>
        <v/>
      </c>
      <c r="X1331" s="13">
        <f>IFERROR(IF(ABS(F1331)&lt;0.01,"ATM/NEAR",""),"")</f>
        <v/>
      </c>
    </row>
    <row r="1332">
      <c r="A1332" s="13">
        <f>CHAIN_RAW!A1332</f>
        <v/>
      </c>
      <c r="B1332" s="14">
        <f>CHAIN_RAW!B1332</f>
        <v/>
      </c>
      <c r="C1332" s="13">
        <f>CHAIN_RAW!C1332</f>
        <v/>
      </c>
      <c r="D1332" s="13">
        <f>CHAIN_RAW!D1332</f>
        <v/>
      </c>
      <c r="E1332" s="13">
        <f>CHAIN_RAW!E1332</f>
        <v/>
      </c>
      <c r="F1332" s="13">
        <f>IFERROR((E1332-D1332)/D1332,"")</f>
        <v/>
      </c>
      <c r="G1332" s="13">
        <f>IFERROR((CHAIN_RAW!K1332+CHAIN_RAW!L1332)/2,"")</f>
        <v/>
      </c>
      <c r="H1332" s="13">
        <f>IFERROR((CHAIN_RAW!R1332+CHAIN_RAW!S1332)/2,"")</f>
        <v/>
      </c>
      <c r="I1332" s="13">
        <f>IFERROR((CHAIN_RAW!L1332-CHAIN_RAW!K1332)/MAX(1E-9, G1332),"")</f>
        <v/>
      </c>
      <c r="J1332" s="13">
        <f>IFERROR((CHAIN_RAW!S1332-CHAIN_RAW!R1332)/MAX(1E-9, H1332),"")</f>
        <v/>
      </c>
      <c r="K1332" s="13">
        <f>CHAIN_RAW!G1332</f>
        <v/>
      </c>
      <c r="L1332" s="13">
        <f>CHAIN_RAW!N1332</f>
        <v/>
      </c>
      <c r="M1332" s="13">
        <f>IFERROR(L1332-K1332,"")</f>
        <v/>
      </c>
      <c r="N1332" s="13">
        <f>CHAIN_RAW!H1332</f>
        <v/>
      </c>
      <c r="O1332" s="13">
        <f>CHAIN_RAW!O1332</f>
        <v/>
      </c>
      <c r="P1332" s="13">
        <f>IFERROR(O1332/N1332,"")</f>
        <v/>
      </c>
      <c r="Q1332" s="13">
        <f>CHAIN_RAW!I1332</f>
        <v/>
      </c>
      <c r="R1332" s="13">
        <f>CHAIN_RAW!P1332</f>
        <v/>
      </c>
      <c r="S1332" s="13">
        <f>IFERROR(R1332/Q1332,"")</f>
        <v/>
      </c>
      <c r="T1332" s="13">
        <f>IFERROR((ABS(N1332-O1332)/MAX(1,(N1332+O1332)))*EXP(-ABS(E1332-CONTROL!E5)/MAX(1,CONTROL!B8)),"")</f>
        <v/>
      </c>
      <c r="U1332" s="13">
        <f>IFERROR(IF(O1332&gt;N1332,"SUPPORT (PE OI)","RESIST (CE OI)"),"")</f>
        <v/>
      </c>
      <c r="V1332" s="13">
        <f>IFERROR(IF(Q1332&gt;0,IF(R1332&gt;0,"BOTH_ADD","CE_ADD_PE_REDUCE"),IF(R1332&gt;0,"CE_REDUCE_PE_ADD","BOTH_REDUCE")),"")</f>
        <v/>
      </c>
      <c r="W1332" s="13">
        <f>IFERROR( (P1332-1)*0.5 + (M1332)*0.1 - (I1332+J1332)*0.05 + T1332*0.4 ,"")</f>
        <v/>
      </c>
      <c r="X1332" s="13">
        <f>IFERROR(IF(ABS(F1332)&lt;0.01,"ATM/NEAR",""),"")</f>
        <v/>
      </c>
    </row>
    <row r="1333">
      <c r="A1333" s="13">
        <f>CHAIN_RAW!A1333</f>
        <v/>
      </c>
      <c r="B1333" s="14">
        <f>CHAIN_RAW!B1333</f>
        <v/>
      </c>
      <c r="C1333" s="13">
        <f>CHAIN_RAW!C1333</f>
        <v/>
      </c>
      <c r="D1333" s="13">
        <f>CHAIN_RAW!D1333</f>
        <v/>
      </c>
      <c r="E1333" s="13">
        <f>CHAIN_RAW!E1333</f>
        <v/>
      </c>
      <c r="F1333" s="13">
        <f>IFERROR((E1333-D1333)/D1333,"")</f>
        <v/>
      </c>
      <c r="G1333" s="13">
        <f>IFERROR((CHAIN_RAW!K1333+CHAIN_RAW!L1333)/2,"")</f>
        <v/>
      </c>
      <c r="H1333" s="13">
        <f>IFERROR((CHAIN_RAW!R1333+CHAIN_RAW!S1333)/2,"")</f>
        <v/>
      </c>
      <c r="I1333" s="13">
        <f>IFERROR((CHAIN_RAW!L1333-CHAIN_RAW!K1333)/MAX(1E-9, G1333),"")</f>
        <v/>
      </c>
      <c r="J1333" s="13">
        <f>IFERROR((CHAIN_RAW!S1333-CHAIN_RAW!R1333)/MAX(1E-9, H1333),"")</f>
        <v/>
      </c>
      <c r="K1333" s="13">
        <f>CHAIN_RAW!G1333</f>
        <v/>
      </c>
      <c r="L1333" s="13">
        <f>CHAIN_RAW!N1333</f>
        <v/>
      </c>
      <c r="M1333" s="13">
        <f>IFERROR(L1333-K1333,"")</f>
        <v/>
      </c>
      <c r="N1333" s="13">
        <f>CHAIN_RAW!H1333</f>
        <v/>
      </c>
      <c r="O1333" s="13">
        <f>CHAIN_RAW!O1333</f>
        <v/>
      </c>
      <c r="P1333" s="13">
        <f>IFERROR(O1333/N1333,"")</f>
        <v/>
      </c>
      <c r="Q1333" s="13">
        <f>CHAIN_RAW!I1333</f>
        <v/>
      </c>
      <c r="R1333" s="13">
        <f>CHAIN_RAW!P1333</f>
        <v/>
      </c>
      <c r="S1333" s="13">
        <f>IFERROR(R1333/Q1333,"")</f>
        <v/>
      </c>
      <c r="T1333" s="13">
        <f>IFERROR((ABS(N1333-O1333)/MAX(1,(N1333+O1333)))*EXP(-ABS(E1333-CONTROL!E5)/MAX(1,CONTROL!B8)),"")</f>
        <v/>
      </c>
      <c r="U1333" s="13">
        <f>IFERROR(IF(O1333&gt;N1333,"SUPPORT (PE OI)","RESIST (CE OI)"),"")</f>
        <v/>
      </c>
      <c r="V1333" s="13">
        <f>IFERROR(IF(Q1333&gt;0,IF(R1333&gt;0,"BOTH_ADD","CE_ADD_PE_REDUCE"),IF(R1333&gt;0,"CE_REDUCE_PE_ADD","BOTH_REDUCE")),"")</f>
        <v/>
      </c>
      <c r="W1333" s="13">
        <f>IFERROR( (P1333-1)*0.5 + (M1333)*0.1 - (I1333+J1333)*0.05 + T1333*0.4 ,"")</f>
        <v/>
      </c>
      <c r="X1333" s="13">
        <f>IFERROR(IF(ABS(F1333)&lt;0.01,"ATM/NEAR",""),"")</f>
        <v/>
      </c>
    </row>
    <row r="1334">
      <c r="A1334" s="13">
        <f>CHAIN_RAW!A1334</f>
        <v/>
      </c>
      <c r="B1334" s="14">
        <f>CHAIN_RAW!B1334</f>
        <v/>
      </c>
      <c r="C1334" s="13">
        <f>CHAIN_RAW!C1334</f>
        <v/>
      </c>
      <c r="D1334" s="13">
        <f>CHAIN_RAW!D1334</f>
        <v/>
      </c>
      <c r="E1334" s="13">
        <f>CHAIN_RAW!E1334</f>
        <v/>
      </c>
      <c r="F1334" s="13">
        <f>IFERROR((E1334-D1334)/D1334,"")</f>
        <v/>
      </c>
      <c r="G1334" s="13">
        <f>IFERROR((CHAIN_RAW!K1334+CHAIN_RAW!L1334)/2,"")</f>
        <v/>
      </c>
      <c r="H1334" s="13">
        <f>IFERROR((CHAIN_RAW!R1334+CHAIN_RAW!S1334)/2,"")</f>
        <v/>
      </c>
      <c r="I1334" s="13">
        <f>IFERROR((CHAIN_RAW!L1334-CHAIN_RAW!K1334)/MAX(1E-9, G1334),"")</f>
        <v/>
      </c>
      <c r="J1334" s="13">
        <f>IFERROR((CHAIN_RAW!S1334-CHAIN_RAW!R1334)/MAX(1E-9, H1334),"")</f>
        <v/>
      </c>
      <c r="K1334" s="13">
        <f>CHAIN_RAW!G1334</f>
        <v/>
      </c>
      <c r="L1334" s="13">
        <f>CHAIN_RAW!N1334</f>
        <v/>
      </c>
      <c r="M1334" s="13">
        <f>IFERROR(L1334-K1334,"")</f>
        <v/>
      </c>
      <c r="N1334" s="13">
        <f>CHAIN_RAW!H1334</f>
        <v/>
      </c>
      <c r="O1334" s="13">
        <f>CHAIN_RAW!O1334</f>
        <v/>
      </c>
      <c r="P1334" s="13">
        <f>IFERROR(O1334/N1334,"")</f>
        <v/>
      </c>
      <c r="Q1334" s="13">
        <f>CHAIN_RAW!I1334</f>
        <v/>
      </c>
      <c r="R1334" s="13">
        <f>CHAIN_RAW!P1334</f>
        <v/>
      </c>
      <c r="S1334" s="13">
        <f>IFERROR(R1334/Q1334,"")</f>
        <v/>
      </c>
      <c r="T1334" s="13">
        <f>IFERROR((ABS(N1334-O1334)/MAX(1,(N1334+O1334)))*EXP(-ABS(E1334-CONTROL!E5)/MAX(1,CONTROL!B8)),"")</f>
        <v/>
      </c>
      <c r="U1334" s="13">
        <f>IFERROR(IF(O1334&gt;N1334,"SUPPORT (PE OI)","RESIST (CE OI)"),"")</f>
        <v/>
      </c>
      <c r="V1334" s="13">
        <f>IFERROR(IF(Q1334&gt;0,IF(R1334&gt;0,"BOTH_ADD","CE_ADD_PE_REDUCE"),IF(R1334&gt;0,"CE_REDUCE_PE_ADD","BOTH_REDUCE")),"")</f>
        <v/>
      </c>
      <c r="W1334" s="13">
        <f>IFERROR( (P1334-1)*0.5 + (M1334)*0.1 - (I1334+J1334)*0.05 + T1334*0.4 ,"")</f>
        <v/>
      </c>
      <c r="X1334" s="13">
        <f>IFERROR(IF(ABS(F1334)&lt;0.01,"ATM/NEAR",""),"")</f>
        <v/>
      </c>
    </row>
    <row r="1335">
      <c r="A1335" s="13">
        <f>CHAIN_RAW!A1335</f>
        <v/>
      </c>
      <c r="B1335" s="14">
        <f>CHAIN_RAW!B1335</f>
        <v/>
      </c>
      <c r="C1335" s="13">
        <f>CHAIN_RAW!C1335</f>
        <v/>
      </c>
      <c r="D1335" s="13">
        <f>CHAIN_RAW!D1335</f>
        <v/>
      </c>
      <c r="E1335" s="13">
        <f>CHAIN_RAW!E1335</f>
        <v/>
      </c>
      <c r="F1335" s="13">
        <f>IFERROR((E1335-D1335)/D1335,"")</f>
        <v/>
      </c>
      <c r="G1335" s="13">
        <f>IFERROR((CHAIN_RAW!K1335+CHAIN_RAW!L1335)/2,"")</f>
        <v/>
      </c>
      <c r="H1335" s="13">
        <f>IFERROR((CHAIN_RAW!R1335+CHAIN_RAW!S1335)/2,"")</f>
        <v/>
      </c>
      <c r="I1335" s="13">
        <f>IFERROR((CHAIN_RAW!L1335-CHAIN_RAW!K1335)/MAX(1E-9, G1335),"")</f>
        <v/>
      </c>
      <c r="J1335" s="13">
        <f>IFERROR((CHAIN_RAW!S1335-CHAIN_RAW!R1335)/MAX(1E-9, H1335),"")</f>
        <v/>
      </c>
      <c r="K1335" s="13">
        <f>CHAIN_RAW!G1335</f>
        <v/>
      </c>
      <c r="L1335" s="13">
        <f>CHAIN_RAW!N1335</f>
        <v/>
      </c>
      <c r="M1335" s="13">
        <f>IFERROR(L1335-K1335,"")</f>
        <v/>
      </c>
      <c r="N1335" s="13">
        <f>CHAIN_RAW!H1335</f>
        <v/>
      </c>
      <c r="O1335" s="13">
        <f>CHAIN_RAW!O1335</f>
        <v/>
      </c>
      <c r="P1335" s="13">
        <f>IFERROR(O1335/N1335,"")</f>
        <v/>
      </c>
      <c r="Q1335" s="13">
        <f>CHAIN_RAW!I1335</f>
        <v/>
      </c>
      <c r="R1335" s="13">
        <f>CHAIN_RAW!P1335</f>
        <v/>
      </c>
      <c r="S1335" s="13">
        <f>IFERROR(R1335/Q1335,"")</f>
        <v/>
      </c>
      <c r="T1335" s="13">
        <f>IFERROR((ABS(N1335-O1335)/MAX(1,(N1335+O1335)))*EXP(-ABS(E1335-CONTROL!E5)/MAX(1,CONTROL!B8)),"")</f>
        <v/>
      </c>
      <c r="U1335" s="13">
        <f>IFERROR(IF(O1335&gt;N1335,"SUPPORT (PE OI)","RESIST (CE OI)"),"")</f>
        <v/>
      </c>
      <c r="V1335" s="13">
        <f>IFERROR(IF(Q1335&gt;0,IF(R1335&gt;0,"BOTH_ADD","CE_ADD_PE_REDUCE"),IF(R1335&gt;0,"CE_REDUCE_PE_ADD","BOTH_REDUCE")),"")</f>
        <v/>
      </c>
      <c r="W1335" s="13">
        <f>IFERROR( (P1335-1)*0.5 + (M1335)*0.1 - (I1335+J1335)*0.05 + T1335*0.4 ,"")</f>
        <v/>
      </c>
      <c r="X1335" s="13">
        <f>IFERROR(IF(ABS(F1335)&lt;0.01,"ATM/NEAR",""),"")</f>
        <v/>
      </c>
    </row>
    <row r="1336">
      <c r="A1336" s="13">
        <f>CHAIN_RAW!A1336</f>
        <v/>
      </c>
      <c r="B1336" s="14">
        <f>CHAIN_RAW!B1336</f>
        <v/>
      </c>
      <c r="C1336" s="13">
        <f>CHAIN_RAW!C1336</f>
        <v/>
      </c>
      <c r="D1336" s="13">
        <f>CHAIN_RAW!D1336</f>
        <v/>
      </c>
      <c r="E1336" s="13">
        <f>CHAIN_RAW!E1336</f>
        <v/>
      </c>
      <c r="F1336" s="13">
        <f>IFERROR((E1336-D1336)/D1336,"")</f>
        <v/>
      </c>
      <c r="G1336" s="13">
        <f>IFERROR((CHAIN_RAW!K1336+CHAIN_RAW!L1336)/2,"")</f>
        <v/>
      </c>
      <c r="H1336" s="13">
        <f>IFERROR((CHAIN_RAW!R1336+CHAIN_RAW!S1336)/2,"")</f>
        <v/>
      </c>
      <c r="I1336" s="13">
        <f>IFERROR((CHAIN_RAW!L1336-CHAIN_RAW!K1336)/MAX(1E-9, G1336),"")</f>
        <v/>
      </c>
      <c r="J1336" s="13">
        <f>IFERROR((CHAIN_RAW!S1336-CHAIN_RAW!R1336)/MAX(1E-9, H1336),"")</f>
        <v/>
      </c>
      <c r="K1336" s="13">
        <f>CHAIN_RAW!G1336</f>
        <v/>
      </c>
      <c r="L1336" s="13">
        <f>CHAIN_RAW!N1336</f>
        <v/>
      </c>
      <c r="M1336" s="13">
        <f>IFERROR(L1336-K1336,"")</f>
        <v/>
      </c>
      <c r="N1336" s="13">
        <f>CHAIN_RAW!H1336</f>
        <v/>
      </c>
      <c r="O1336" s="13">
        <f>CHAIN_RAW!O1336</f>
        <v/>
      </c>
      <c r="P1336" s="13">
        <f>IFERROR(O1336/N1336,"")</f>
        <v/>
      </c>
      <c r="Q1336" s="13">
        <f>CHAIN_RAW!I1336</f>
        <v/>
      </c>
      <c r="R1336" s="13">
        <f>CHAIN_RAW!P1336</f>
        <v/>
      </c>
      <c r="S1336" s="13">
        <f>IFERROR(R1336/Q1336,"")</f>
        <v/>
      </c>
      <c r="T1336" s="13">
        <f>IFERROR((ABS(N1336-O1336)/MAX(1,(N1336+O1336)))*EXP(-ABS(E1336-CONTROL!E5)/MAX(1,CONTROL!B8)),"")</f>
        <v/>
      </c>
      <c r="U1336" s="13">
        <f>IFERROR(IF(O1336&gt;N1336,"SUPPORT (PE OI)","RESIST (CE OI)"),"")</f>
        <v/>
      </c>
      <c r="V1336" s="13">
        <f>IFERROR(IF(Q1336&gt;0,IF(R1336&gt;0,"BOTH_ADD","CE_ADD_PE_REDUCE"),IF(R1336&gt;0,"CE_REDUCE_PE_ADD","BOTH_REDUCE")),"")</f>
        <v/>
      </c>
      <c r="W1336" s="13">
        <f>IFERROR( (P1336-1)*0.5 + (M1336)*0.1 - (I1336+J1336)*0.05 + T1336*0.4 ,"")</f>
        <v/>
      </c>
      <c r="X1336" s="13">
        <f>IFERROR(IF(ABS(F1336)&lt;0.01,"ATM/NEAR",""),"")</f>
        <v/>
      </c>
    </row>
    <row r="1337">
      <c r="A1337" s="13">
        <f>CHAIN_RAW!A1337</f>
        <v/>
      </c>
      <c r="B1337" s="14">
        <f>CHAIN_RAW!B1337</f>
        <v/>
      </c>
      <c r="C1337" s="13">
        <f>CHAIN_RAW!C1337</f>
        <v/>
      </c>
      <c r="D1337" s="13">
        <f>CHAIN_RAW!D1337</f>
        <v/>
      </c>
      <c r="E1337" s="13">
        <f>CHAIN_RAW!E1337</f>
        <v/>
      </c>
      <c r="F1337" s="13">
        <f>IFERROR((E1337-D1337)/D1337,"")</f>
        <v/>
      </c>
      <c r="G1337" s="13">
        <f>IFERROR((CHAIN_RAW!K1337+CHAIN_RAW!L1337)/2,"")</f>
        <v/>
      </c>
      <c r="H1337" s="13">
        <f>IFERROR((CHAIN_RAW!R1337+CHAIN_RAW!S1337)/2,"")</f>
        <v/>
      </c>
      <c r="I1337" s="13">
        <f>IFERROR((CHAIN_RAW!L1337-CHAIN_RAW!K1337)/MAX(1E-9, G1337),"")</f>
        <v/>
      </c>
      <c r="J1337" s="13">
        <f>IFERROR((CHAIN_RAW!S1337-CHAIN_RAW!R1337)/MAX(1E-9, H1337),"")</f>
        <v/>
      </c>
      <c r="K1337" s="13">
        <f>CHAIN_RAW!G1337</f>
        <v/>
      </c>
      <c r="L1337" s="13">
        <f>CHAIN_RAW!N1337</f>
        <v/>
      </c>
      <c r="M1337" s="13">
        <f>IFERROR(L1337-K1337,"")</f>
        <v/>
      </c>
      <c r="N1337" s="13">
        <f>CHAIN_RAW!H1337</f>
        <v/>
      </c>
      <c r="O1337" s="13">
        <f>CHAIN_RAW!O1337</f>
        <v/>
      </c>
      <c r="P1337" s="13">
        <f>IFERROR(O1337/N1337,"")</f>
        <v/>
      </c>
      <c r="Q1337" s="13">
        <f>CHAIN_RAW!I1337</f>
        <v/>
      </c>
      <c r="R1337" s="13">
        <f>CHAIN_RAW!P1337</f>
        <v/>
      </c>
      <c r="S1337" s="13">
        <f>IFERROR(R1337/Q1337,"")</f>
        <v/>
      </c>
      <c r="T1337" s="13">
        <f>IFERROR((ABS(N1337-O1337)/MAX(1,(N1337+O1337)))*EXP(-ABS(E1337-CONTROL!E5)/MAX(1,CONTROL!B8)),"")</f>
        <v/>
      </c>
      <c r="U1337" s="13">
        <f>IFERROR(IF(O1337&gt;N1337,"SUPPORT (PE OI)","RESIST (CE OI)"),"")</f>
        <v/>
      </c>
      <c r="V1337" s="13">
        <f>IFERROR(IF(Q1337&gt;0,IF(R1337&gt;0,"BOTH_ADD","CE_ADD_PE_REDUCE"),IF(R1337&gt;0,"CE_REDUCE_PE_ADD","BOTH_REDUCE")),"")</f>
        <v/>
      </c>
      <c r="W1337" s="13">
        <f>IFERROR( (P1337-1)*0.5 + (M1337)*0.1 - (I1337+J1337)*0.05 + T1337*0.4 ,"")</f>
        <v/>
      </c>
      <c r="X1337" s="13">
        <f>IFERROR(IF(ABS(F1337)&lt;0.01,"ATM/NEAR",""),"")</f>
        <v/>
      </c>
    </row>
    <row r="1338">
      <c r="A1338" s="13">
        <f>CHAIN_RAW!A1338</f>
        <v/>
      </c>
      <c r="B1338" s="14">
        <f>CHAIN_RAW!B1338</f>
        <v/>
      </c>
      <c r="C1338" s="13">
        <f>CHAIN_RAW!C1338</f>
        <v/>
      </c>
      <c r="D1338" s="13">
        <f>CHAIN_RAW!D1338</f>
        <v/>
      </c>
      <c r="E1338" s="13">
        <f>CHAIN_RAW!E1338</f>
        <v/>
      </c>
      <c r="F1338" s="13">
        <f>IFERROR((E1338-D1338)/D1338,"")</f>
        <v/>
      </c>
      <c r="G1338" s="13">
        <f>IFERROR((CHAIN_RAW!K1338+CHAIN_RAW!L1338)/2,"")</f>
        <v/>
      </c>
      <c r="H1338" s="13">
        <f>IFERROR((CHAIN_RAW!R1338+CHAIN_RAW!S1338)/2,"")</f>
        <v/>
      </c>
      <c r="I1338" s="13">
        <f>IFERROR((CHAIN_RAW!L1338-CHAIN_RAW!K1338)/MAX(1E-9, G1338),"")</f>
        <v/>
      </c>
      <c r="J1338" s="13">
        <f>IFERROR((CHAIN_RAW!S1338-CHAIN_RAW!R1338)/MAX(1E-9, H1338),"")</f>
        <v/>
      </c>
      <c r="K1338" s="13">
        <f>CHAIN_RAW!G1338</f>
        <v/>
      </c>
      <c r="L1338" s="13">
        <f>CHAIN_RAW!N1338</f>
        <v/>
      </c>
      <c r="M1338" s="13">
        <f>IFERROR(L1338-K1338,"")</f>
        <v/>
      </c>
      <c r="N1338" s="13">
        <f>CHAIN_RAW!H1338</f>
        <v/>
      </c>
      <c r="O1338" s="13">
        <f>CHAIN_RAW!O1338</f>
        <v/>
      </c>
      <c r="P1338" s="13">
        <f>IFERROR(O1338/N1338,"")</f>
        <v/>
      </c>
      <c r="Q1338" s="13">
        <f>CHAIN_RAW!I1338</f>
        <v/>
      </c>
      <c r="R1338" s="13">
        <f>CHAIN_RAW!P1338</f>
        <v/>
      </c>
      <c r="S1338" s="13">
        <f>IFERROR(R1338/Q1338,"")</f>
        <v/>
      </c>
      <c r="T1338" s="13">
        <f>IFERROR((ABS(N1338-O1338)/MAX(1,(N1338+O1338)))*EXP(-ABS(E1338-CONTROL!E5)/MAX(1,CONTROL!B8)),"")</f>
        <v/>
      </c>
      <c r="U1338" s="13">
        <f>IFERROR(IF(O1338&gt;N1338,"SUPPORT (PE OI)","RESIST (CE OI)"),"")</f>
        <v/>
      </c>
      <c r="V1338" s="13">
        <f>IFERROR(IF(Q1338&gt;0,IF(R1338&gt;0,"BOTH_ADD","CE_ADD_PE_REDUCE"),IF(R1338&gt;0,"CE_REDUCE_PE_ADD","BOTH_REDUCE")),"")</f>
        <v/>
      </c>
      <c r="W1338" s="13">
        <f>IFERROR( (P1338-1)*0.5 + (M1338)*0.1 - (I1338+J1338)*0.05 + T1338*0.4 ,"")</f>
        <v/>
      </c>
      <c r="X1338" s="13">
        <f>IFERROR(IF(ABS(F1338)&lt;0.01,"ATM/NEAR",""),"")</f>
        <v/>
      </c>
    </row>
    <row r="1339">
      <c r="A1339" s="13">
        <f>CHAIN_RAW!A1339</f>
        <v/>
      </c>
      <c r="B1339" s="14">
        <f>CHAIN_RAW!B1339</f>
        <v/>
      </c>
      <c r="C1339" s="13">
        <f>CHAIN_RAW!C1339</f>
        <v/>
      </c>
      <c r="D1339" s="13">
        <f>CHAIN_RAW!D1339</f>
        <v/>
      </c>
      <c r="E1339" s="13">
        <f>CHAIN_RAW!E1339</f>
        <v/>
      </c>
      <c r="F1339" s="13">
        <f>IFERROR((E1339-D1339)/D1339,"")</f>
        <v/>
      </c>
      <c r="G1339" s="13">
        <f>IFERROR((CHAIN_RAW!K1339+CHAIN_RAW!L1339)/2,"")</f>
        <v/>
      </c>
      <c r="H1339" s="13">
        <f>IFERROR((CHAIN_RAW!R1339+CHAIN_RAW!S1339)/2,"")</f>
        <v/>
      </c>
      <c r="I1339" s="13">
        <f>IFERROR((CHAIN_RAW!L1339-CHAIN_RAW!K1339)/MAX(1E-9, G1339),"")</f>
        <v/>
      </c>
      <c r="J1339" s="13">
        <f>IFERROR((CHAIN_RAW!S1339-CHAIN_RAW!R1339)/MAX(1E-9, H1339),"")</f>
        <v/>
      </c>
      <c r="K1339" s="13">
        <f>CHAIN_RAW!G1339</f>
        <v/>
      </c>
      <c r="L1339" s="13">
        <f>CHAIN_RAW!N1339</f>
        <v/>
      </c>
      <c r="M1339" s="13">
        <f>IFERROR(L1339-K1339,"")</f>
        <v/>
      </c>
      <c r="N1339" s="13">
        <f>CHAIN_RAW!H1339</f>
        <v/>
      </c>
      <c r="O1339" s="13">
        <f>CHAIN_RAW!O1339</f>
        <v/>
      </c>
      <c r="P1339" s="13">
        <f>IFERROR(O1339/N1339,"")</f>
        <v/>
      </c>
      <c r="Q1339" s="13">
        <f>CHAIN_RAW!I1339</f>
        <v/>
      </c>
      <c r="R1339" s="13">
        <f>CHAIN_RAW!P1339</f>
        <v/>
      </c>
      <c r="S1339" s="13">
        <f>IFERROR(R1339/Q1339,"")</f>
        <v/>
      </c>
      <c r="T1339" s="13">
        <f>IFERROR((ABS(N1339-O1339)/MAX(1,(N1339+O1339)))*EXP(-ABS(E1339-CONTROL!E5)/MAX(1,CONTROL!B8)),"")</f>
        <v/>
      </c>
      <c r="U1339" s="13">
        <f>IFERROR(IF(O1339&gt;N1339,"SUPPORT (PE OI)","RESIST (CE OI)"),"")</f>
        <v/>
      </c>
      <c r="V1339" s="13">
        <f>IFERROR(IF(Q1339&gt;0,IF(R1339&gt;0,"BOTH_ADD","CE_ADD_PE_REDUCE"),IF(R1339&gt;0,"CE_REDUCE_PE_ADD","BOTH_REDUCE")),"")</f>
        <v/>
      </c>
      <c r="W1339" s="13">
        <f>IFERROR( (P1339-1)*0.5 + (M1339)*0.1 - (I1339+J1339)*0.05 + T1339*0.4 ,"")</f>
        <v/>
      </c>
      <c r="X1339" s="13">
        <f>IFERROR(IF(ABS(F1339)&lt;0.01,"ATM/NEAR",""),"")</f>
        <v/>
      </c>
    </row>
    <row r="1340">
      <c r="A1340" s="13">
        <f>CHAIN_RAW!A1340</f>
        <v/>
      </c>
      <c r="B1340" s="14">
        <f>CHAIN_RAW!B1340</f>
        <v/>
      </c>
      <c r="C1340" s="13">
        <f>CHAIN_RAW!C1340</f>
        <v/>
      </c>
      <c r="D1340" s="13">
        <f>CHAIN_RAW!D1340</f>
        <v/>
      </c>
      <c r="E1340" s="13">
        <f>CHAIN_RAW!E1340</f>
        <v/>
      </c>
      <c r="F1340" s="13">
        <f>IFERROR((E1340-D1340)/D1340,"")</f>
        <v/>
      </c>
      <c r="G1340" s="13">
        <f>IFERROR((CHAIN_RAW!K1340+CHAIN_RAW!L1340)/2,"")</f>
        <v/>
      </c>
      <c r="H1340" s="13">
        <f>IFERROR((CHAIN_RAW!R1340+CHAIN_RAW!S1340)/2,"")</f>
        <v/>
      </c>
      <c r="I1340" s="13">
        <f>IFERROR((CHAIN_RAW!L1340-CHAIN_RAW!K1340)/MAX(1E-9, G1340),"")</f>
        <v/>
      </c>
      <c r="J1340" s="13">
        <f>IFERROR((CHAIN_RAW!S1340-CHAIN_RAW!R1340)/MAX(1E-9, H1340),"")</f>
        <v/>
      </c>
      <c r="K1340" s="13">
        <f>CHAIN_RAW!G1340</f>
        <v/>
      </c>
      <c r="L1340" s="13">
        <f>CHAIN_RAW!N1340</f>
        <v/>
      </c>
      <c r="M1340" s="13">
        <f>IFERROR(L1340-K1340,"")</f>
        <v/>
      </c>
      <c r="N1340" s="13">
        <f>CHAIN_RAW!H1340</f>
        <v/>
      </c>
      <c r="O1340" s="13">
        <f>CHAIN_RAW!O1340</f>
        <v/>
      </c>
      <c r="P1340" s="13">
        <f>IFERROR(O1340/N1340,"")</f>
        <v/>
      </c>
      <c r="Q1340" s="13">
        <f>CHAIN_RAW!I1340</f>
        <v/>
      </c>
      <c r="R1340" s="13">
        <f>CHAIN_RAW!P1340</f>
        <v/>
      </c>
      <c r="S1340" s="13">
        <f>IFERROR(R1340/Q1340,"")</f>
        <v/>
      </c>
      <c r="T1340" s="13">
        <f>IFERROR((ABS(N1340-O1340)/MAX(1,(N1340+O1340)))*EXP(-ABS(E1340-CONTROL!E5)/MAX(1,CONTROL!B8)),"")</f>
        <v/>
      </c>
      <c r="U1340" s="13">
        <f>IFERROR(IF(O1340&gt;N1340,"SUPPORT (PE OI)","RESIST (CE OI)"),"")</f>
        <v/>
      </c>
      <c r="V1340" s="13">
        <f>IFERROR(IF(Q1340&gt;0,IF(R1340&gt;0,"BOTH_ADD","CE_ADD_PE_REDUCE"),IF(R1340&gt;0,"CE_REDUCE_PE_ADD","BOTH_REDUCE")),"")</f>
        <v/>
      </c>
      <c r="W1340" s="13">
        <f>IFERROR( (P1340-1)*0.5 + (M1340)*0.1 - (I1340+J1340)*0.05 + T1340*0.4 ,"")</f>
        <v/>
      </c>
      <c r="X1340" s="13">
        <f>IFERROR(IF(ABS(F1340)&lt;0.01,"ATM/NEAR",""),"")</f>
        <v/>
      </c>
    </row>
    <row r="1341">
      <c r="A1341" s="13">
        <f>CHAIN_RAW!A1341</f>
        <v/>
      </c>
      <c r="B1341" s="14">
        <f>CHAIN_RAW!B1341</f>
        <v/>
      </c>
      <c r="C1341" s="13">
        <f>CHAIN_RAW!C1341</f>
        <v/>
      </c>
      <c r="D1341" s="13">
        <f>CHAIN_RAW!D1341</f>
        <v/>
      </c>
      <c r="E1341" s="13">
        <f>CHAIN_RAW!E1341</f>
        <v/>
      </c>
      <c r="F1341" s="13">
        <f>IFERROR((E1341-D1341)/D1341,"")</f>
        <v/>
      </c>
      <c r="G1341" s="13">
        <f>IFERROR((CHAIN_RAW!K1341+CHAIN_RAW!L1341)/2,"")</f>
        <v/>
      </c>
      <c r="H1341" s="13">
        <f>IFERROR((CHAIN_RAW!R1341+CHAIN_RAW!S1341)/2,"")</f>
        <v/>
      </c>
      <c r="I1341" s="13">
        <f>IFERROR((CHAIN_RAW!L1341-CHAIN_RAW!K1341)/MAX(1E-9, G1341),"")</f>
        <v/>
      </c>
      <c r="J1341" s="13">
        <f>IFERROR((CHAIN_RAW!S1341-CHAIN_RAW!R1341)/MAX(1E-9, H1341),"")</f>
        <v/>
      </c>
      <c r="K1341" s="13">
        <f>CHAIN_RAW!G1341</f>
        <v/>
      </c>
      <c r="L1341" s="13">
        <f>CHAIN_RAW!N1341</f>
        <v/>
      </c>
      <c r="M1341" s="13">
        <f>IFERROR(L1341-K1341,"")</f>
        <v/>
      </c>
      <c r="N1341" s="13">
        <f>CHAIN_RAW!H1341</f>
        <v/>
      </c>
      <c r="O1341" s="13">
        <f>CHAIN_RAW!O1341</f>
        <v/>
      </c>
      <c r="P1341" s="13">
        <f>IFERROR(O1341/N1341,"")</f>
        <v/>
      </c>
      <c r="Q1341" s="13">
        <f>CHAIN_RAW!I1341</f>
        <v/>
      </c>
      <c r="R1341" s="13">
        <f>CHAIN_RAW!P1341</f>
        <v/>
      </c>
      <c r="S1341" s="13">
        <f>IFERROR(R1341/Q1341,"")</f>
        <v/>
      </c>
      <c r="T1341" s="13">
        <f>IFERROR((ABS(N1341-O1341)/MAX(1,(N1341+O1341)))*EXP(-ABS(E1341-CONTROL!E5)/MAX(1,CONTROL!B8)),"")</f>
        <v/>
      </c>
      <c r="U1341" s="13">
        <f>IFERROR(IF(O1341&gt;N1341,"SUPPORT (PE OI)","RESIST (CE OI)"),"")</f>
        <v/>
      </c>
      <c r="V1341" s="13">
        <f>IFERROR(IF(Q1341&gt;0,IF(R1341&gt;0,"BOTH_ADD","CE_ADD_PE_REDUCE"),IF(R1341&gt;0,"CE_REDUCE_PE_ADD","BOTH_REDUCE")),"")</f>
        <v/>
      </c>
      <c r="W1341" s="13">
        <f>IFERROR( (P1341-1)*0.5 + (M1341)*0.1 - (I1341+J1341)*0.05 + T1341*0.4 ,"")</f>
        <v/>
      </c>
      <c r="X1341" s="13">
        <f>IFERROR(IF(ABS(F1341)&lt;0.01,"ATM/NEAR",""),"")</f>
        <v/>
      </c>
    </row>
    <row r="1342">
      <c r="A1342" s="13">
        <f>CHAIN_RAW!A1342</f>
        <v/>
      </c>
      <c r="B1342" s="14">
        <f>CHAIN_RAW!B1342</f>
        <v/>
      </c>
      <c r="C1342" s="13">
        <f>CHAIN_RAW!C1342</f>
        <v/>
      </c>
      <c r="D1342" s="13">
        <f>CHAIN_RAW!D1342</f>
        <v/>
      </c>
      <c r="E1342" s="13">
        <f>CHAIN_RAW!E1342</f>
        <v/>
      </c>
      <c r="F1342" s="13">
        <f>IFERROR((E1342-D1342)/D1342,"")</f>
        <v/>
      </c>
      <c r="G1342" s="13">
        <f>IFERROR((CHAIN_RAW!K1342+CHAIN_RAW!L1342)/2,"")</f>
        <v/>
      </c>
      <c r="H1342" s="13">
        <f>IFERROR((CHAIN_RAW!R1342+CHAIN_RAW!S1342)/2,"")</f>
        <v/>
      </c>
      <c r="I1342" s="13">
        <f>IFERROR((CHAIN_RAW!L1342-CHAIN_RAW!K1342)/MAX(1E-9, G1342),"")</f>
        <v/>
      </c>
      <c r="J1342" s="13">
        <f>IFERROR((CHAIN_RAW!S1342-CHAIN_RAW!R1342)/MAX(1E-9, H1342),"")</f>
        <v/>
      </c>
      <c r="K1342" s="13">
        <f>CHAIN_RAW!G1342</f>
        <v/>
      </c>
      <c r="L1342" s="13">
        <f>CHAIN_RAW!N1342</f>
        <v/>
      </c>
      <c r="M1342" s="13">
        <f>IFERROR(L1342-K1342,"")</f>
        <v/>
      </c>
      <c r="N1342" s="13">
        <f>CHAIN_RAW!H1342</f>
        <v/>
      </c>
      <c r="O1342" s="13">
        <f>CHAIN_RAW!O1342</f>
        <v/>
      </c>
      <c r="P1342" s="13">
        <f>IFERROR(O1342/N1342,"")</f>
        <v/>
      </c>
      <c r="Q1342" s="13">
        <f>CHAIN_RAW!I1342</f>
        <v/>
      </c>
      <c r="R1342" s="13">
        <f>CHAIN_RAW!P1342</f>
        <v/>
      </c>
      <c r="S1342" s="13">
        <f>IFERROR(R1342/Q1342,"")</f>
        <v/>
      </c>
      <c r="T1342" s="13">
        <f>IFERROR((ABS(N1342-O1342)/MAX(1,(N1342+O1342)))*EXP(-ABS(E1342-CONTROL!E5)/MAX(1,CONTROL!B8)),"")</f>
        <v/>
      </c>
      <c r="U1342" s="13">
        <f>IFERROR(IF(O1342&gt;N1342,"SUPPORT (PE OI)","RESIST (CE OI)"),"")</f>
        <v/>
      </c>
      <c r="V1342" s="13">
        <f>IFERROR(IF(Q1342&gt;0,IF(R1342&gt;0,"BOTH_ADD","CE_ADD_PE_REDUCE"),IF(R1342&gt;0,"CE_REDUCE_PE_ADD","BOTH_REDUCE")),"")</f>
        <v/>
      </c>
      <c r="W1342" s="13">
        <f>IFERROR( (P1342-1)*0.5 + (M1342)*0.1 - (I1342+J1342)*0.05 + T1342*0.4 ,"")</f>
        <v/>
      </c>
      <c r="X1342" s="13">
        <f>IFERROR(IF(ABS(F1342)&lt;0.01,"ATM/NEAR",""),"")</f>
        <v/>
      </c>
    </row>
    <row r="1343">
      <c r="A1343" s="13">
        <f>CHAIN_RAW!A1343</f>
        <v/>
      </c>
      <c r="B1343" s="14">
        <f>CHAIN_RAW!B1343</f>
        <v/>
      </c>
      <c r="C1343" s="13">
        <f>CHAIN_RAW!C1343</f>
        <v/>
      </c>
      <c r="D1343" s="13">
        <f>CHAIN_RAW!D1343</f>
        <v/>
      </c>
      <c r="E1343" s="13">
        <f>CHAIN_RAW!E1343</f>
        <v/>
      </c>
      <c r="F1343" s="13">
        <f>IFERROR((E1343-D1343)/D1343,"")</f>
        <v/>
      </c>
      <c r="G1343" s="13">
        <f>IFERROR((CHAIN_RAW!K1343+CHAIN_RAW!L1343)/2,"")</f>
        <v/>
      </c>
      <c r="H1343" s="13">
        <f>IFERROR((CHAIN_RAW!R1343+CHAIN_RAW!S1343)/2,"")</f>
        <v/>
      </c>
      <c r="I1343" s="13">
        <f>IFERROR((CHAIN_RAW!L1343-CHAIN_RAW!K1343)/MAX(1E-9, G1343),"")</f>
        <v/>
      </c>
      <c r="J1343" s="13">
        <f>IFERROR((CHAIN_RAW!S1343-CHAIN_RAW!R1343)/MAX(1E-9, H1343),"")</f>
        <v/>
      </c>
      <c r="K1343" s="13">
        <f>CHAIN_RAW!G1343</f>
        <v/>
      </c>
      <c r="L1343" s="13">
        <f>CHAIN_RAW!N1343</f>
        <v/>
      </c>
      <c r="M1343" s="13">
        <f>IFERROR(L1343-K1343,"")</f>
        <v/>
      </c>
      <c r="N1343" s="13">
        <f>CHAIN_RAW!H1343</f>
        <v/>
      </c>
      <c r="O1343" s="13">
        <f>CHAIN_RAW!O1343</f>
        <v/>
      </c>
      <c r="P1343" s="13">
        <f>IFERROR(O1343/N1343,"")</f>
        <v/>
      </c>
      <c r="Q1343" s="13">
        <f>CHAIN_RAW!I1343</f>
        <v/>
      </c>
      <c r="R1343" s="13">
        <f>CHAIN_RAW!P1343</f>
        <v/>
      </c>
      <c r="S1343" s="13">
        <f>IFERROR(R1343/Q1343,"")</f>
        <v/>
      </c>
      <c r="T1343" s="13">
        <f>IFERROR((ABS(N1343-O1343)/MAX(1,(N1343+O1343)))*EXP(-ABS(E1343-CONTROL!E5)/MAX(1,CONTROL!B8)),"")</f>
        <v/>
      </c>
      <c r="U1343" s="13">
        <f>IFERROR(IF(O1343&gt;N1343,"SUPPORT (PE OI)","RESIST (CE OI)"),"")</f>
        <v/>
      </c>
      <c r="V1343" s="13">
        <f>IFERROR(IF(Q1343&gt;0,IF(R1343&gt;0,"BOTH_ADD","CE_ADD_PE_REDUCE"),IF(R1343&gt;0,"CE_REDUCE_PE_ADD","BOTH_REDUCE")),"")</f>
        <v/>
      </c>
      <c r="W1343" s="13">
        <f>IFERROR( (P1343-1)*0.5 + (M1343)*0.1 - (I1343+J1343)*0.05 + T1343*0.4 ,"")</f>
        <v/>
      </c>
      <c r="X1343" s="13">
        <f>IFERROR(IF(ABS(F1343)&lt;0.01,"ATM/NEAR",""),"")</f>
        <v/>
      </c>
    </row>
    <row r="1344">
      <c r="A1344" s="13">
        <f>CHAIN_RAW!A1344</f>
        <v/>
      </c>
      <c r="B1344" s="14">
        <f>CHAIN_RAW!B1344</f>
        <v/>
      </c>
      <c r="C1344" s="13">
        <f>CHAIN_RAW!C1344</f>
        <v/>
      </c>
      <c r="D1344" s="13">
        <f>CHAIN_RAW!D1344</f>
        <v/>
      </c>
      <c r="E1344" s="13">
        <f>CHAIN_RAW!E1344</f>
        <v/>
      </c>
      <c r="F1344" s="13">
        <f>IFERROR((E1344-D1344)/D1344,"")</f>
        <v/>
      </c>
      <c r="G1344" s="13">
        <f>IFERROR((CHAIN_RAW!K1344+CHAIN_RAW!L1344)/2,"")</f>
        <v/>
      </c>
      <c r="H1344" s="13">
        <f>IFERROR((CHAIN_RAW!R1344+CHAIN_RAW!S1344)/2,"")</f>
        <v/>
      </c>
      <c r="I1344" s="13">
        <f>IFERROR((CHAIN_RAW!L1344-CHAIN_RAW!K1344)/MAX(1E-9, G1344),"")</f>
        <v/>
      </c>
      <c r="J1344" s="13">
        <f>IFERROR((CHAIN_RAW!S1344-CHAIN_RAW!R1344)/MAX(1E-9, H1344),"")</f>
        <v/>
      </c>
      <c r="K1344" s="13">
        <f>CHAIN_RAW!G1344</f>
        <v/>
      </c>
      <c r="L1344" s="13">
        <f>CHAIN_RAW!N1344</f>
        <v/>
      </c>
      <c r="M1344" s="13">
        <f>IFERROR(L1344-K1344,"")</f>
        <v/>
      </c>
      <c r="N1344" s="13">
        <f>CHAIN_RAW!H1344</f>
        <v/>
      </c>
      <c r="O1344" s="13">
        <f>CHAIN_RAW!O1344</f>
        <v/>
      </c>
      <c r="P1344" s="13">
        <f>IFERROR(O1344/N1344,"")</f>
        <v/>
      </c>
      <c r="Q1344" s="13">
        <f>CHAIN_RAW!I1344</f>
        <v/>
      </c>
      <c r="R1344" s="13">
        <f>CHAIN_RAW!P1344</f>
        <v/>
      </c>
      <c r="S1344" s="13">
        <f>IFERROR(R1344/Q1344,"")</f>
        <v/>
      </c>
      <c r="T1344" s="13">
        <f>IFERROR((ABS(N1344-O1344)/MAX(1,(N1344+O1344)))*EXP(-ABS(E1344-CONTROL!E5)/MAX(1,CONTROL!B8)),"")</f>
        <v/>
      </c>
      <c r="U1344" s="13">
        <f>IFERROR(IF(O1344&gt;N1344,"SUPPORT (PE OI)","RESIST (CE OI)"),"")</f>
        <v/>
      </c>
      <c r="V1344" s="13">
        <f>IFERROR(IF(Q1344&gt;0,IF(R1344&gt;0,"BOTH_ADD","CE_ADD_PE_REDUCE"),IF(R1344&gt;0,"CE_REDUCE_PE_ADD","BOTH_REDUCE")),"")</f>
        <v/>
      </c>
      <c r="W1344" s="13">
        <f>IFERROR( (P1344-1)*0.5 + (M1344)*0.1 - (I1344+J1344)*0.05 + T1344*0.4 ,"")</f>
        <v/>
      </c>
      <c r="X1344" s="13">
        <f>IFERROR(IF(ABS(F1344)&lt;0.01,"ATM/NEAR",""),"")</f>
        <v/>
      </c>
    </row>
    <row r="1345">
      <c r="A1345" s="13">
        <f>CHAIN_RAW!A1345</f>
        <v/>
      </c>
      <c r="B1345" s="14">
        <f>CHAIN_RAW!B1345</f>
        <v/>
      </c>
      <c r="C1345" s="13">
        <f>CHAIN_RAW!C1345</f>
        <v/>
      </c>
      <c r="D1345" s="13">
        <f>CHAIN_RAW!D1345</f>
        <v/>
      </c>
      <c r="E1345" s="13">
        <f>CHAIN_RAW!E1345</f>
        <v/>
      </c>
      <c r="F1345" s="13">
        <f>IFERROR((E1345-D1345)/D1345,"")</f>
        <v/>
      </c>
      <c r="G1345" s="13">
        <f>IFERROR((CHAIN_RAW!K1345+CHAIN_RAW!L1345)/2,"")</f>
        <v/>
      </c>
      <c r="H1345" s="13">
        <f>IFERROR((CHAIN_RAW!R1345+CHAIN_RAW!S1345)/2,"")</f>
        <v/>
      </c>
      <c r="I1345" s="13">
        <f>IFERROR((CHAIN_RAW!L1345-CHAIN_RAW!K1345)/MAX(1E-9, G1345),"")</f>
        <v/>
      </c>
      <c r="J1345" s="13">
        <f>IFERROR((CHAIN_RAW!S1345-CHAIN_RAW!R1345)/MAX(1E-9, H1345),"")</f>
        <v/>
      </c>
      <c r="K1345" s="13">
        <f>CHAIN_RAW!G1345</f>
        <v/>
      </c>
      <c r="L1345" s="13">
        <f>CHAIN_RAW!N1345</f>
        <v/>
      </c>
      <c r="M1345" s="13">
        <f>IFERROR(L1345-K1345,"")</f>
        <v/>
      </c>
      <c r="N1345" s="13">
        <f>CHAIN_RAW!H1345</f>
        <v/>
      </c>
      <c r="O1345" s="13">
        <f>CHAIN_RAW!O1345</f>
        <v/>
      </c>
      <c r="P1345" s="13">
        <f>IFERROR(O1345/N1345,"")</f>
        <v/>
      </c>
      <c r="Q1345" s="13">
        <f>CHAIN_RAW!I1345</f>
        <v/>
      </c>
      <c r="R1345" s="13">
        <f>CHAIN_RAW!P1345</f>
        <v/>
      </c>
      <c r="S1345" s="13">
        <f>IFERROR(R1345/Q1345,"")</f>
        <v/>
      </c>
      <c r="T1345" s="13">
        <f>IFERROR((ABS(N1345-O1345)/MAX(1,(N1345+O1345)))*EXP(-ABS(E1345-CONTROL!E5)/MAX(1,CONTROL!B8)),"")</f>
        <v/>
      </c>
      <c r="U1345" s="13">
        <f>IFERROR(IF(O1345&gt;N1345,"SUPPORT (PE OI)","RESIST (CE OI)"),"")</f>
        <v/>
      </c>
      <c r="V1345" s="13">
        <f>IFERROR(IF(Q1345&gt;0,IF(R1345&gt;0,"BOTH_ADD","CE_ADD_PE_REDUCE"),IF(R1345&gt;0,"CE_REDUCE_PE_ADD","BOTH_REDUCE")),"")</f>
        <v/>
      </c>
      <c r="W1345" s="13">
        <f>IFERROR( (P1345-1)*0.5 + (M1345)*0.1 - (I1345+J1345)*0.05 + T1345*0.4 ,"")</f>
        <v/>
      </c>
      <c r="X1345" s="13">
        <f>IFERROR(IF(ABS(F1345)&lt;0.01,"ATM/NEAR",""),"")</f>
        <v/>
      </c>
    </row>
    <row r="1346">
      <c r="A1346" s="13">
        <f>CHAIN_RAW!A1346</f>
        <v/>
      </c>
      <c r="B1346" s="14">
        <f>CHAIN_RAW!B1346</f>
        <v/>
      </c>
      <c r="C1346" s="13">
        <f>CHAIN_RAW!C1346</f>
        <v/>
      </c>
      <c r="D1346" s="13">
        <f>CHAIN_RAW!D1346</f>
        <v/>
      </c>
      <c r="E1346" s="13">
        <f>CHAIN_RAW!E1346</f>
        <v/>
      </c>
      <c r="F1346" s="13">
        <f>IFERROR((E1346-D1346)/D1346,"")</f>
        <v/>
      </c>
      <c r="G1346" s="13">
        <f>IFERROR((CHAIN_RAW!K1346+CHAIN_RAW!L1346)/2,"")</f>
        <v/>
      </c>
      <c r="H1346" s="13">
        <f>IFERROR((CHAIN_RAW!R1346+CHAIN_RAW!S1346)/2,"")</f>
        <v/>
      </c>
      <c r="I1346" s="13">
        <f>IFERROR((CHAIN_RAW!L1346-CHAIN_RAW!K1346)/MAX(1E-9, G1346),"")</f>
        <v/>
      </c>
      <c r="J1346" s="13">
        <f>IFERROR((CHAIN_RAW!S1346-CHAIN_RAW!R1346)/MAX(1E-9, H1346),"")</f>
        <v/>
      </c>
      <c r="K1346" s="13">
        <f>CHAIN_RAW!G1346</f>
        <v/>
      </c>
      <c r="L1346" s="13">
        <f>CHAIN_RAW!N1346</f>
        <v/>
      </c>
      <c r="M1346" s="13">
        <f>IFERROR(L1346-K1346,"")</f>
        <v/>
      </c>
      <c r="N1346" s="13">
        <f>CHAIN_RAW!H1346</f>
        <v/>
      </c>
      <c r="O1346" s="13">
        <f>CHAIN_RAW!O1346</f>
        <v/>
      </c>
      <c r="P1346" s="13">
        <f>IFERROR(O1346/N1346,"")</f>
        <v/>
      </c>
      <c r="Q1346" s="13">
        <f>CHAIN_RAW!I1346</f>
        <v/>
      </c>
      <c r="R1346" s="13">
        <f>CHAIN_RAW!P1346</f>
        <v/>
      </c>
      <c r="S1346" s="13">
        <f>IFERROR(R1346/Q1346,"")</f>
        <v/>
      </c>
      <c r="T1346" s="13">
        <f>IFERROR((ABS(N1346-O1346)/MAX(1,(N1346+O1346)))*EXP(-ABS(E1346-CONTROL!E5)/MAX(1,CONTROL!B8)),"")</f>
        <v/>
      </c>
      <c r="U1346" s="13">
        <f>IFERROR(IF(O1346&gt;N1346,"SUPPORT (PE OI)","RESIST (CE OI)"),"")</f>
        <v/>
      </c>
      <c r="V1346" s="13">
        <f>IFERROR(IF(Q1346&gt;0,IF(R1346&gt;0,"BOTH_ADD","CE_ADD_PE_REDUCE"),IF(R1346&gt;0,"CE_REDUCE_PE_ADD","BOTH_REDUCE")),"")</f>
        <v/>
      </c>
      <c r="W1346" s="13">
        <f>IFERROR( (P1346-1)*0.5 + (M1346)*0.1 - (I1346+J1346)*0.05 + T1346*0.4 ,"")</f>
        <v/>
      </c>
      <c r="X1346" s="13">
        <f>IFERROR(IF(ABS(F1346)&lt;0.01,"ATM/NEAR",""),"")</f>
        <v/>
      </c>
    </row>
    <row r="1347">
      <c r="A1347" s="13">
        <f>CHAIN_RAW!A1347</f>
        <v/>
      </c>
      <c r="B1347" s="14">
        <f>CHAIN_RAW!B1347</f>
        <v/>
      </c>
      <c r="C1347" s="13">
        <f>CHAIN_RAW!C1347</f>
        <v/>
      </c>
      <c r="D1347" s="13">
        <f>CHAIN_RAW!D1347</f>
        <v/>
      </c>
      <c r="E1347" s="13">
        <f>CHAIN_RAW!E1347</f>
        <v/>
      </c>
      <c r="F1347" s="13">
        <f>IFERROR((E1347-D1347)/D1347,"")</f>
        <v/>
      </c>
      <c r="G1347" s="13">
        <f>IFERROR((CHAIN_RAW!K1347+CHAIN_RAW!L1347)/2,"")</f>
        <v/>
      </c>
      <c r="H1347" s="13">
        <f>IFERROR((CHAIN_RAW!R1347+CHAIN_RAW!S1347)/2,"")</f>
        <v/>
      </c>
      <c r="I1347" s="13">
        <f>IFERROR((CHAIN_RAW!L1347-CHAIN_RAW!K1347)/MAX(1E-9, G1347),"")</f>
        <v/>
      </c>
      <c r="J1347" s="13">
        <f>IFERROR((CHAIN_RAW!S1347-CHAIN_RAW!R1347)/MAX(1E-9, H1347),"")</f>
        <v/>
      </c>
      <c r="K1347" s="13">
        <f>CHAIN_RAW!G1347</f>
        <v/>
      </c>
      <c r="L1347" s="13">
        <f>CHAIN_RAW!N1347</f>
        <v/>
      </c>
      <c r="M1347" s="13">
        <f>IFERROR(L1347-K1347,"")</f>
        <v/>
      </c>
      <c r="N1347" s="13">
        <f>CHAIN_RAW!H1347</f>
        <v/>
      </c>
      <c r="O1347" s="13">
        <f>CHAIN_RAW!O1347</f>
        <v/>
      </c>
      <c r="P1347" s="13">
        <f>IFERROR(O1347/N1347,"")</f>
        <v/>
      </c>
      <c r="Q1347" s="13">
        <f>CHAIN_RAW!I1347</f>
        <v/>
      </c>
      <c r="R1347" s="13">
        <f>CHAIN_RAW!P1347</f>
        <v/>
      </c>
      <c r="S1347" s="13">
        <f>IFERROR(R1347/Q1347,"")</f>
        <v/>
      </c>
      <c r="T1347" s="13">
        <f>IFERROR((ABS(N1347-O1347)/MAX(1,(N1347+O1347)))*EXP(-ABS(E1347-CONTROL!E5)/MAX(1,CONTROL!B8)),"")</f>
        <v/>
      </c>
      <c r="U1347" s="13">
        <f>IFERROR(IF(O1347&gt;N1347,"SUPPORT (PE OI)","RESIST (CE OI)"),"")</f>
        <v/>
      </c>
      <c r="V1347" s="13">
        <f>IFERROR(IF(Q1347&gt;0,IF(R1347&gt;0,"BOTH_ADD","CE_ADD_PE_REDUCE"),IF(R1347&gt;0,"CE_REDUCE_PE_ADD","BOTH_REDUCE")),"")</f>
        <v/>
      </c>
      <c r="W1347" s="13">
        <f>IFERROR( (P1347-1)*0.5 + (M1347)*0.1 - (I1347+J1347)*0.05 + T1347*0.4 ,"")</f>
        <v/>
      </c>
      <c r="X1347" s="13">
        <f>IFERROR(IF(ABS(F1347)&lt;0.01,"ATM/NEAR",""),"")</f>
        <v/>
      </c>
    </row>
    <row r="1348">
      <c r="A1348" s="13">
        <f>CHAIN_RAW!A1348</f>
        <v/>
      </c>
      <c r="B1348" s="14">
        <f>CHAIN_RAW!B1348</f>
        <v/>
      </c>
      <c r="C1348" s="13">
        <f>CHAIN_RAW!C1348</f>
        <v/>
      </c>
      <c r="D1348" s="13">
        <f>CHAIN_RAW!D1348</f>
        <v/>
      </c>
      <c r="E1348" s="13">
        <f>CHAIN_RAW!E1348</f>
        <v/>
      </c>
      <c r="F1348" s="13">
        <f>IFERROR((E1348-D1348)/D1348,"")</f>
        <v/>
      </c>
      <c r="G1348" s="13">
        <f>IFERROR((CHAIN_RAW!K1348+CHAIN_RAW!L1348)/2,"")</f>
        <v/>
      </c>
      <c r="H1348" s="13">
        <f>IFERROR((CHAIN_RAW!R1348+CHAIN_RAW!S1348)/2,"")</f>
        <v/>
      </c>
      <c r="I1348" s="13">
        <f>IFERROR((CHAIN_RAW!L1348-CHAIN_RAW!K1348)/MAX(1E-9, G1348),"")</f>
        <v/>
      </c>
      <c r="J1348" s="13">
        <f>IFERROR((CHAIN_RAW!S1348-CHAIN_RAW!R1348)/MAX(1E-9, H1348),"")</f>
        <v/>
      </c>
      <c r="K1348" s="13">
        <f>CHAIN_RAW!G1348</f>
        <v/>
      </c>
      <c r="L1348" s="13">
        <f>CHAIN_RAW!N1348</f>
        <v/>
      </c>
      <c r="M1348" s="13">
        <f>IFERROR(L1348-K1348,"")</f>
        <v/>
      </c>
      <c r="N1348" s="13">
        <f>CHAIN_RAW!H1348</f>
        <v/>
      </c>
      <c r="O1348" s="13">
        <f>CHAIN_RAW!O1348</f>
        <v/>
      </c>
      <c r="P1348" s="13">
        <f>IFERROR(O1348/N1348,"")</f>
        <v/>
      </c>
      <c r="Q1348" s="13">
        <f>CHAIN_RAW!I1348</f>
        <v/>
      </c>
      <c r="R1348" s="13">
        <f>CHAIN_RAW!P1348</f>
        <v/>
      </c>
      <c r="S1348" s="13">
        <f>IFERROR(R1348/Q1348,"")</f>
        <v/>
      </c>
      <c r="T1348" s="13">
        <f>IFERROR((ABS(N1348-O1348)/MAX(1,(N1348+O1348)))*EXP(-ABS(E1348-CONTROL!E5)/MAX(1,CONTROL!B8)),"")</f>
        <v/>
      </c>
      <c r="U1348" s="13">
        <f>IFERROR(IF(O1348&gt;N1348,"SUPPORT (PE OI)","RESIST (CE OI)"),"")</f>
        <v/>
      </c>
      <c r="V1348" s="13">
        <f>IFERROR(IF(Q1348&gt;0,IF(R1348&gt;0,"BOTH_ADD","CE_ADD_PE_REDUCE"),IF(R1348&gt;0,"CE_REDUCE_PE_ADD","BOTH_REDUCE")),"")</f>
        <v/>
      </c>
      <c r="W1348" s="13">
        <f>IFERROR( (P1348-1)*0.5 + (M1348)*0.1 - (I1348+J1348)*0.05 + T1348*0.4 ,"")</f>
        <v/>
      </c>
      <c r="X1348" s="13">
        <f>IFERROR(IF(ABS(F1348)&lt;0.01,"ATM/NEAR",""),"")</f>
        <v/>
      </c>
    </row>
    <row r="1349">
      <c r="A1349" s="13">
        <f>CHAIN_RAW!A1349</f>
        <v/>
      </c>
      <c r="B1349" s="14">
        <f>CHAIN_RAW!B1349</f>
        <v/>
      </c>
      <c r="C1349" s="13">
        <f>CHAIN_RAW!C1349</f>
        <v/>
      </c>
      <c r="D1349" s="13">
        <f>CHAIN_RAW!D1349</f>
        <v/>
      </c>
      <c r="E1349" s="13">
        <f>CHAIN_RAW!E1349</f>
        <v/>
      </c>
      <c r="F1349" s="13">
        <f>IFERROR((E1349-D1349)/D1349,"")</f>
        <v/>
      </c>
      <c r="G1349" s="13">
        <f>IFERROR((CHAIN_RAW!K1349+CHAIN_RAW!L1349)/2,"")</f>
        <v/>
      </c>
      <c r="H1349" s="13">
        <f>IFERROR((CHAIN_RAW!R1349+CHAIN_RAW!S1349)/2,"")</f>
        <v/>
      </c>
      <c r="I1349" s="13">
        <f>IFERROR((CHAIN_RAW!L1349-CHAIN_RAW!K1349)/MAX(1E-9, G1349),"")</f>
        <v/>
      </c>
      <c r="J1349" s="13">
        <f>IFERROR((CHAIN_RAW!S1349-CHAIN_RAW!R1349)/MAX(1E-9, H1349),"")</f>
        <v/>
      </c>
      <c r="K1349" s="13">
        <f>CHAIN_RAW!G1349</f>
        <v/>
      </c>
      <c r="L1349" s="13">
        <f>CHAIN_RAW!N1349</f>
        <v/>
      </c>
      <c r="M1349" s="13">
        <f>IFERROR(L1349-K1349,"")</f>
        <v/>
      </c>
      <c r="N1349" s="13">
        <f>CHAIN_RAW!H1349</f>
        <v/>
      </c>
      <c r="O1349" s="13">
        <f>CHAIN_RAW!O1349</f>
        <v/>
      </c>
      <c r="P1349" s="13">
        <f>IFERROR(O1349/N1349,"")</f>
        <v/>
      </c>
      <c r="Q1349" s="13">
        <f>CHAIN_RAW!I1349</f>
        <v/>
      </c>
      <c r="R1349" s="13">
        <f>CHAIN_RAW!P1349</f>
        <v/>
      </c>
      <c r="S1349" s="13">
        <f>IFERROR(R1349/Q1349,"")</f>
        <v/>
      </c>
      <c r="T1349" s="13">
        <f>IFERROR((ABS(N1349-O1349)/MAX(1,(N1349+O1349)))*EXP(-ABS(E1349-CONTROL!E5)/MAX(1,CONTROL!B8)),"")</f>
        <v/>
      </c>
      <c r="U1349" s="13">
        <f>IFERROR(IF(O1349&gt;N1349,"SUPPORT (PE OI)","RESIST (CE OI)"),"")</f>
        <v/>
      </c>
      <c r="V1349" s="13">
        <f>IFERROR(IF(Q1349&gt;0,IF(R1349&gt;0,"BOTH_ADD","CE_ADD_PE_REDUCE"),IF(R1349&gt;0,"CE_REDUCE_PE_ADD","BOTH_REDUCE")),"")</f>
        <v/>
      </c>
      <c r="W1349" s="13">
        <f>IFERROR( (P1349-1)*0.5 + (M1349)*0.1 - (I1349+J1349)*0.05 + T1349*0.4 ,"")</f>
        <v/>
      </c>
      <c r="X1349" s="13">
        <f>IFERROR(IF(ABS(F1349)&lt;0.01,"ATM/NEAR",""),"")</f>
        <v/>
      </c>
    </row>
    <row r="1350">
      <c r="A1350" s="13">
        <f>CHAIN_RAW!A1350</f>
        <v/>
      </c>
      <c r="B1350" s="14">
        <f>CHAIN_RAW!B1350</f>
        <v/>
      </c>
      <c r="C1350" s="13">
        <f>CHAIN_RAW!C1350</f>
        <v/>
      </c>
      <c r="D1350" s="13">
        <f>CHAIN_RAW!D1350</f>
        <v/>
      </c>
      <c r="E1350" s="13">
        <f>CHAIN_RAW!E1350</f>
        <v/>
      </c>
      <c r="F1350" s="13">
        <f>IFERROR((E1350-D1350)/D1350,"")</f>
        <v/>
      </c>
      <c r="G1350" s="13">
        <f>IFERROR((CHAIN_RAW!K1350+CHAIN_RAW!L1350)/2,"")</f>
        <v/>
      </c>
      <c r="H1350" s="13">
        <f>IFERROR((CHAIN_RAW!R1350+CHAIN_RAW!S1350)/2,"")</f>
        <v/>
      </c>
      <c r="I1350" s="13">
        <f>IFERROR((CHAIN_RAW!L1350-CHAIN_RAW!K1350)/MAX(1E-9, G1350),"")</f>
        <v/>
      </c>
      <c r="J1350" s="13">
        <f>IFERROR((CHAIN_RAW!S1350-CHAIN_RAW!R1350)/MAX(1E-9, H1350),"")</f>
        <v/>
      </c>
      <c r="K1350" s="13">
        <f>CHAIN_RAW!G1350</f>
        <v/>
      </c>
      <c r="L1350" s="13">
        <f>CHAIN_RAW!N1350</f>
        <v/>
      </c>
      <c r="M1350" s="13">
        <f>IFERROR(L1350-K1350,"")</f>
        <v/>
      </c>
      <c r="N1350" s="13">
        <f>CHAIN_RAW!H1350</f>
        <v/>
      </c>
      <c r="O1350" s="13">
        <f>CHAIN_RAW!O1350</f>
        <v/>
      </c>
      <c r="P1350" s="13">
        <f>IFERROR(O1350/N1350,"")</f>
        <v/>
      </c>
      <c r="Q1350" s="13">
        <f>CHAIN_RAW!I1350</f>
        <v/>
      </c>
      <c r="R1350" s="13">
        <f>CHAIN_RAW!P1350</f>
        <v/>
      </c>
      <c r="S1350" s="13">
        <f>IFERROR(R1350/Q1350,"")</f>
        <v/>
      </c>
      <c r="T1350" s="13">
        <f>IFERROR((ABS(N1350-O1350)/MAX(1,(N1350+O1350)))*EXP(-ABS(E1350-CONTROL!E5)/MAX(1,CONTROL!B8)),"")</f>
        <v/>
      </c>
      <c r="U1350" s="13">
        <f>IFERROR(IF(O1350&gt;N1350,"SUPPORT (PE OI)","RESIST (CE OI)"),"")</f>
        <v/>
      </c>
      <c r="V1350" s="13">
        <f>IFERROR(IF(Q1350&gt;0,IF(R1350&gt;0,"BOTH_ADD","CE_ADD_PE_REDUCE"),IF(R1350&gt;0,"CE_REDUCE_PE_ADD","BOTH_REDUCE")),"")</f>
        <v/>
      </c>
      <c r="W1350" s="13">
        <f>IFERROR( (P1350-1)*0.5 + (M1350)*0.1 - (I1350+J1350)*0.05 + T1350*0.4 ,"")</f>
        <v/>
      </c>
      <c r="X1350" s="13">
        <f>IFERROR(IF(ABS(F1350)&lt;0.01,"ATM/NEAR",""),"")</f>
        <v/>
      </c>
    </row>
    <row r="1351">
      <c r="A1351" s="13">
        <f>CHAIN_RAW!A1351</f>
        <v/>
      </c>
      <c r="B1351" s="14">
        <f>CHAIN_RAW!B1351</f>
        <v/>
      </c>
      <c r="C1351" s="13">
        <f>CHAIN_RAW!C1351</f>
        <v/>
      </c>
      <c r="D1351" s="13">
        <f>CHAIN_RAW!D1351</f>
        <v/>
      </c>
      <c r="E1351" s="13">
        <f>CHAIN_RAW!E1351</f>
        <v/>
      </c>
      <c r="F1351" s="13">
        <f>IFERROR((E1351-D1351)/D1351,"")</f>
        <v/>
      </c>
      <c r="G1351" s="13">
        <f>IFERROR((CHAIN_RAW!K1351+CHAIN_RAW!L1351)/2,"")</f>
        <v/>
      </c>
      <c r="H1351" s="13">
        <f>IFERROR((CHAIN_RAW!R1351+CHAIN_RAW!S1351)/2,"")</f>
        <v/>
      </c>
      <c r="I1351" s="13">
        <f>IFERROR((CHAIN_RAW!L1351-CHAIN_RAW!K1351)/MAX(1E-9, G1351),"")</f>
        <v/>
      </c>
      <c r="J1351" s="13">
        <f>IFERROR((CHAIN_RAW!S1351-CHAIN_RAW!R1351)/MAX(1E-9, H1351),"")</f>
        <v/>
      </c>
      <c r="K1351" s="13">
        <f>CHAIN_RAW!G1351</f>
        <v/>
      </c>
      <c r="L1351" s="13">
        <f>CHAIN_RAW!N1351</f>
        <v/>
      </c>
      <c r="M1351" s="13">
        <f>IFERROR(L1351-K1351,"")</f>
        <v/>
      </c>
      <c r="N1351" s="13">
        <f>CHAIN_RAW!H1351</f>
        <v/>
      </c>
      <c r="O1351" s="13">
        <f>CHAIN_RAW!O1351</f>
        <v/>
      </c>
      <c r="P1351" s="13">
        <f>IFERROR(O1351/N1351,"")</f>
        <v/>
      </c>
      <c r="Q1351" s="13">
        <f>CHAIN_RAW!I1351</f>
        <v/>
      </c>
      <c r="R1351" s="13">
        <f>CHAIN_RAW!P1351</f>
        <v/>
      </c>
      <c r="S1351" s="13">
        <f>IFERROR(R1351/Q1351,"")</f>
        <v/>
      </c>
      <c r="T1351" s="13">
        <f>IFERROR((ABS(N1351-O1351)/MAX(1,(N1351+O1351)))*EXP(-ABS(E1351-CONTROL!E5)/MAX(1,CONTROL!B8)),"")</f>
        <v/>
      </c>
      <c r="U1351" s="13">
        <f>IFERROR(IF(O1351&gt;N1351,"SUPPORT (PE OI)","RESIST (CE OI)"),"")</f>
        <v/>
      </c>
      <c r="V1351" s="13">
        <f>IFERROR(IF(Q1351&gt;0,IF(R1351&gt;0,"BOTH_ADD","CE_ADD_PE_REDUCE"),IF(R1351&gt;0,"CE_REDUCE_PE_ADD","BOTH_REDUCE")),"")</f>
        <v/>
      </c>
      <c r="W1351" s="13">
        <f>IFERROR( (P1351-1)*0.5 + (M1351)*0.1 - (I1351+J1351)*0.05 + T1351*0.4 ,"")</f>
        <v/>
      </c>
      <c r="X1351" s="13">
        <f>IFERROR(IF(ABS(F1351)&lt;0.01,"ATM/NEAR",""),"")</f>
        <v/>
      </c>
    </row>
    <row r="1352">
      <c r="A1352" s="13">
        <f>CHAIN_RAW!A1352</f>
        <v/>
      </c>
      <c r="B1352" s="14">
        <f>CHAIN_RAW!B1352</f>
        <v/>
      </c>
      <c r="C1352" s="13">
        <f>CHAIN_RAW!C1352</f>
        <v/>
      </c>
      <c r="D1352" s="13">
        <f>CHAIN_RAW!D1352</f>
        <v/>
      </c>
      <c r="E1352" s="13">
        <f>CHAIN_RAW!E1352</f>
        <v/>
      </c>
      <c r="F1352" s="13">
        <f>IFERROR((E1352-D1352)/D1352,"")</f>
        <v/>
      </c>
      <c r="G1352" s="13">
        <f>IFERROR((CHAIN_RAW!K1352+CHAIN_RAW!L1352)/2,"")</f>
        <v/>
      </c>
      <c r="H1352" s="13">
        <f>IFERROR((CHAIN_RAW!R1352+CHAIN_RAW!S1352)/2,"")</f>
        <v/>
      </c>
      <c r="I1352" s="13">
        <f>IFERROR((CHAIN_RAW!L1352-CHAIN_RAW!K1352)/MAX(1E-9, G1352),"")</f>
        <v/>
      </c>
      <c r="J1352" s="13">
        <f>IFERROR((CHAIN_RAW!S1352-CHAIN_RAW!R1352)/MAX(1E-9, H1352),"")</f>
        <v/>
      </c>
      <c r="K1352" s="13">
        <f>CHAIN_RAW!G1352</f>
        <v/>
      </c>
      <c r="L1352" s="13">
        <f>CHAIN_RAW!N1352</f>
        <v/>
      </c>
      <c r="M1352" s="13">
        <f>IFERROR(L1352-K1352,"")</f>
        <v/>
      </c>
      <c r="N1352" s="13">
        <f>CHAIN_RAW!H1352</f>
        <v/>
      </c>
      <c r="O1352" s="13">
        <f>CHAIN_RAW!O1352</f>
        <v/>
      </c>
      <c r="P1352" s="13">
        <f>IFERROR(O1352/N1352,"")</f>
        <v/>
      </c>
      <c r="Q1352" s="13">
        <f>CHAIN_RAW!I1352</f>
        <v/>
      </c>
      <c r="R1352" s="13">
        <f>CHAIN_RAW!P1352</f>
        <v/>
      </c>
      <c r="S1352" s="13">
        <f>IFERROR(R1352/Q1352,"")</f>
        <v/>
      </c>
      <c r="T1352" s="13">
        <f>IFERROR((ABS(N1352-O1352)/MAX(1,(N1352+O1352)))*EXP(-ABS(E1352-CONTROL!E5)/MAX(1,CONTROL!B8)),"")</f>
        <v/>
      </c>
      <c r="U1352" s="13">
        <f>IFERROR(IF(O1352&gt;N1352,"SUPPORT (PE OI)","RESIST (CE OI)"),"")</f>
        <v/>
      </c>
      <c r="V1352" s="13">
        <f>IFERROR(IF(Q1352&gt;0,IF(R1352&gt;0,"BOTH_ADD","CE_ADD_PE_REDUCE"),IF(R1352&gt;0,"CE_REDUCE_PE_ADD","BOTH_REDUCE")),"")</f>
        <v/>
      </c>
      <c r="W1352" s="13">
        <f>IFERROR( (P1352-1)*0.5 + (M1352)*0.1 - (I1352+J1352)*0.05 + T1352*0.4 ,"")</f>
        <v/>
      </c>
      <c r="X1352" s="13">
        <f>IFERROR(IF(ABS(F1352)&lt;0.01,"ATM/NEAR",""),"")</f>
        <v/>
      </c>
    </row>
    <row r="1353">
      <c r="A1353" s="13">
        <f>CHAIN_RAW!A1353</f>
        <v/>
      </c>
      <c r="B1353" s="14">
        <f>CHAIN_RAW!B1353</f>
        <v/>
      </c>
      <c r="C1353" s="13">
        <f>CHAIN_RAW!C1353</f>
        <v/>
      </c>
      <c r="D1353" s="13">
        <f>CHAIN_RAW!D1353</f>
        <v/>
      </c>
      <c r="E1353" s="13">
        <f>CHAIN_RAW!E1353</f>
        <v/>
      </c>
      <c r="F1353" s="13">
        <f>IFERROR((E1353-D1353)/D1353,"")</f>
        <v/>
      </c>
      <c r="G1353" s="13">
        <f>IFERROR((CHAIN_RAW!K1353+CHAIN_RAW!L1353)/2,"")</f>
        <v/>
      </c>
      <c r="H1353" s="13">
        <f>IFERROR((CHAIN_RAW!R1353+CHAIN_RAW!S1353)/2,"")</f>
        <v/>
      </c>
      <c r="I1353" s="13">
        <f>IFERROR((CHAIN_RAW!L1353-CHAIN_RAW!K1353)/MAX(1E-9, G1353),"")</f>
        <v/>
      </c>
      <c r="J1353" s="13">
        <f>IFERROR((CHAIN_RAW!S1353-CHAIN_RAW!R1353)/MAX(1E-9, H1353),"")</f>
        <v/>
      </c>
      <c r="K1353" s="13">
        <f>CHAIN_RAW!G1353</f>
        <v/>
      </c>
      <c r="L1353" s="13">
        <f>CHAIN_RAW!N1353</f>
        <v/>
      </c>
      <c r="M1353" s="13">
        <f>IFERROR(L1353-K1353,"")</f>
        <v/>
      </c>
      <c r="N1353" s="13">
        <f>CHAIN_RAW!H1353</f>
        <v/>
      </c>
      <c r="O1353" s="13">
        <f>CHAIN_RAW!O1353</f>
        <v/>
      </c>
      <c r="P1353" s="13">
        <f>IFERROR(O1353/N1353,"")</f>
        <v/>
      </c>
      <c r="Q1353" s="13">
        <f>CHAIN_RAW!I1353</f>
        <v/>
      </c>
      <c r="R1353" s="13">
        <f>CHAIN_RAW!P1353</f>
        <v/>
      </c>
      <c r="S1353" s="13">
        <f>IFERROR(R1353/Q1353,"")</f>
        <v/>
      </c>
      <c r="T1353" s="13">
        <f>IFERROR((ABS(N1353-O1353)/MAX(1,(N1353+O1353)))*EXP(-ABS(E1353-CONTROL!E5)/MAX(1,CONTROL!B8)),"")</f>
        <v/>
      </c>
      <c r="U1353" s="13">
        <f>IFERROR(IF(O1353&gt;N1353,"SUPPORT (PE OI)","RESIST (CE OI)"),"")</f>
        <v/>
      </c>
      <c r="V1353" s="13">
        <f>IFERROR(IF(Q1353&gt;0,IF(R1353&gt;0,"BOTH_ADD","CE_ADD_PE_REDUCE"),IF(R1353&gt;0,"CE_REDUCE_PE_ADD","BOTH_REDUCE")),"")</f>
        <v/>
      </c>
      <c r="W1353" s="13">
        <f>IFERROR( (P1353-1)*0.5 + (M1353)*0.1 - (I1353+J1353)*0.05 + T1353*0.4 ,"")</f>
        <v/>
      </c>
      <c r="X1353" s="13">
        <f>IFERROR(IF(ABS(F1353)&lt;0.01,"ATM/NEAR",""),"")</f>
        <v/>
      </c>
    </row>
    <row r="1354">
      <c r="A1354" s="13">
        <f>CHAIN_RAW!A1354</f>
        <v/>
      </c>
      <c r="B1354" s="14">
        <f>CHAIN_RAW!B1354</f>
        <v/>
      </c>
      <c r="C1354" s="13">
        <f>CHAIN_RAW!C1354</f>
        <v/>
      </c>
      <c r="D1354" s="13">
        <f>CHAIN_RAW!D1354</f>
        <v/>
      </c>
      <c r="E1354" s="13">
        <f>CHAIN_RAW!E1354</f>
        <v/>
      </c>
      <c r="F1354" s="13">
        <f>IFERROR((E1354-D1354)/D1354,"")</f>
        <v/>
      </c>
      <c r="G1354" s="13">
        <f>IFERROR((CHAIN_RAW!K1354+CHAIN_RAW!L1354)/2,"")</f>
        <v/>
      </c>
      <c r="H1354" s="13">
        <f>IFERROR((CHAIN_RAW!R1354+CHAIN_RAW!S1354)/2,"")</f>
        <v/>
      </c>
      <c r="I1354" s="13">
        <f>IFERROR((CHAIN_RAW!L1354-CHAIN_RAW!K1354)/MAX(1E-9, G1354),"")</f>
        <v/>
      </c>
      <c r="J1354" s="13">
        <f>IFERROR((CHAIN_RAW!S1354-CHAIN_RAW!R1354)/MAX(1E-9, H1354),"")</f>
        <v/>
      </c>
      <c r="K1354" s="13">
        <f>CHAIN_RAW!G1354</f>
        <v/>
      </c>
      <c r="L1354" s="13">
        <f>CHAIN_RAW!N1354</f>
        <v/>
      </c>
      <c r="M1354" s="13">
        <f>IFERROR(L1354-K1354,"")</f>
        <v/>
      </c>
      <c r="N1354" s="13">
        <f>CHAIN_RAW!H1354</f>
        <v/>
      </c>
      <c r="O1354" s="13">
        <f>CHAIN_RAW!O1354</f>
        <v/>
      </c>
      <c r="P1354" s="13">
        <f>IFERROR(O1354/N1354,"")</f>
        <v/>
      </c>
      <c r="Q1354" s="13">
        <f>CHAIN_RAW!I1354</f>
        <v/>
      </c>
      <c r="R1354" s="13">
        <f>CHAIN_RAW!P1354</f>
        <v/>
      </c>
      <c r="S1354" s="13">
        <f>IFERROR(R1354/Q1354,"")</f>
        <v/>
      </c>
      <c r="T1354" s="13">
        <f>IFERROR((ABS(N1354-O1354)/MAX(1,(N1354+O1354)))*EXP(-ABS(E1354-CONTROL!E5)/MAX(1,CONTROL!B8)),"")</f>
        <v/>
      </c>
      <c r="U1354" s="13">
        <f>IFERROR(IF(O1354&gt;N1354,"SUPPORT (PE OI)","RESIST (CE OI)"),"")</f>
        <v/>
      </c>
      <c r="V1354" s="13">
        <f>IFERROR(IF(Q1354&gt;0,IF(R1354&gt;0,"BOTH_ADD","CE_ADD_PE_REDUCE"),IF(R1354&gt;0,"CE_REDUCE_PE_ADD","BOTH_REDUCE")),"")</f>
        <v/>
      </c>
      <c r="W1354" s="13">
        <f>IFERROR( (P1354-1)*0.5 + (M1354)*0.1 - (I1354+J1354)*0.05 + T1354*0.4 ,"")</f>
        <v/>
      </c>
      <c r="X1354" s="13">
        <f>IFERROR(IF(ABS(F1354)&lt;0.01,"ATM/NEAR",""),"")</f>
        <v/>
      </c>
    </row>
    <row r="1355">
      <c r="A1355" s="13">
        <f>CHAIN_RAW!A1355</f>
        <v/>
      </c>
      <c r="B1355" s="14">
        <f>CHAIN_RAW!B1355</f>
        <v/>
      </c>
      <c r="C1355" s="13">
        <f>CHAIN_RAW!C1355</f>
        <v/>
      </c>
      <c r="D1355" s="13">
        <f>CHAIN_RAW!D1355</f>
        <v/>
      </c>
      <c r="E1355" s="13">
        <f>CHAIN_RAW!E1355</f>
        <v/>
      </c>
      <c r="F1355" s="13">
        <f>IFERROR((E1355-D1355)/D1355,"")</f>
        <v/>
      </c>
      <c r="G1355" s="13">
        <f>IFERROR((CHAIN_RAW!K1355+CHAIN_RAW!L1355)/2,"")</f>
        <v/>
      </c>
      <c r="H1355" s="13">
        <f>IFERROR((CHAIN_RAW!R1355+CHAIN_RAW!S1355)/2,"")</f>
        <v/>
      </c>
      <c r="I1355" s="13">
        <f>IFERROR((CHAIN_RAW!L1355-CHAIN_RAW!K1355)/MAX(1E-9, G1355),"")</f>
        <v/>
      </c>
      <c r="J1355" s="13">
        <f>IFERROR((CHAIN_RAW!S1355-CHAIN_RAW!R1355)/MAX(1E-9, H1355),"")</f>
        <v/>
      </c>
      <c r="K1355" s="13">
        <f>CHAIN_RAW!G1355</f>
        <v/>
      </c>
      <c r="L1355" s="13">
        <f>CHAIN_RAW!N1355</f>
        <v/>
      </c>
      <c r="M1355" s="13">
        <f>IFERROR(L1355-K1355,"")</f>
        <v/>
      </c>
      <c r="N1355" s="13">
        <f>CHAIN_RAW!H1355</f>
        <v/>
      </c>
      <c r="O1355" s="13">
        <f>CHAIN_RAW!O1355</f>
        <v/>
      </c>
      <c r="P1355" s="13">
        <f>IFERROR(O1355/N1355,"")</f>
        <v/>
      </c>
      <c r="Q1355" s="13">
        <f>CHAIN_RAW!I1355</f>
        <v/>
      </c>
      <c r="R1355" s="13">
        <f>CHAIN_RAW!P1355</f>
        <v/>
      </c>
      <c r="S1355" s="13">
        <f>IFERROR(R1355/Q1355,"")</f>
        <v/>
      </c>
      <c r="T1355" s="13">
        <f>IFERROR((ABS(N1355-O1355)/MAX(1,(N1355+O1355)))*EXP(-ABS(E1355-CONTROL!E5)/MAX(1,CONTROL!B8)),"")</f>
        <v/>
      </c>
      <c r="U1355" s="13">
        <f>IFERROR(IF(O1355&gt;N1355,"SUPPORT (PE OI)","RESIST (CE OI)"),"")</f>
        <v/>
      </c>
      <c r="V1355" s="13">
        <f>IFERROR(IF(Q1355&gt;0,IF(R1355&gt;0,"BOTH_ADD","CE_ADD_PE_REDUCE"),IF(R1355&gt;0,"CE_REDUCE_PE_ADD","BOTH_REDUCE")),"")</f>
        <v/>
      </c>
      <c r="W1355" s="13">
        <f>IFERROR( (P1355-1)*0.5 + (M1355)*0.1 - (I1355+J1355)*0.05 + T1355*0.4 ,"")</f>
        <v/>
      </c>
      <c r="X1355" s="13">
        <f>IFERROR(IF(ABS(F1355)&lt;0.01,"ATM/NEAR",""),"")</f>
        <v/>
      </c>
    </row>
    <row r="1356">
      <c r="A1356" s="13">
        <f>CHAIN_RAW!A1356</f>
        <v/>
      </c>
      <c r="B1356" s="14">
        <f>CHAIN_RAW!B1356</f>
        <v/>
      </c>
      <c r="C1356" s="13">
        <f>CHAIN_RAW!C1356</f>
        <v/>
      </c>
      <c r="D1356" s="13">
        <f>CHAIN_RAW!D1356</f>
        <v/>
      </c>
      <c r="E1356" s="13">
        <f>CHAIN_RAW!E1356</f>
        <v/>
      </c>
      <c r="F1356" s="13">
        <f>IFERROR((E1356-D1356)/D1356,"")</f>
        <v/>
      </c>
      <c r="G1356" s="13">
        <f>IFERROR((CHAIN_RAW!K1356+CHAIN_RAW!L1356)/2,"")</f>
        <v/>
      </c>
      <c r="H1356" s="13">
        <f>IFERROR((CHAIN_RAW!R1356+CHAIN_RAW!S1356)/2,"")</f>
        <v/>
      </c>
      <c r="I1356" s="13">
        <f>IFERROR((CHAIN_RAW!L1356-CHAIN_RAW!K1356)/MAX(1E-9, G1356),"")</f>
        <v/>
      </c>
      <c r="J1356" s="13">
        <f>IFERROR((CHAIN_RAW!S1356-CHAIN_RAW!R1356)/MAX(1E-9, H1356),"")</f>
        <v/>
      </c>
      <c r="K1356" s="13">
        <f>CHAIN_RAW!G1356</f>
        <v/>
      </c>
      <c r="L1356" s="13">
        <f>CHAIN_RAW!N1356</f>
        <v/>
      </c>
      <c r="M1356" s="13">
        <f>IFERROR(L1356-K1356,"")</f>
        <v/>
      </c>
      <c r="N1356" s="13">
        <f>CHAIN_RAW!H1356</f>
        <v/>
      </c>
      <c r="O1356" s="13">
        <f>CHAIN_RAW!O1356</f>
        <v/>
      </c>
      <c r="P1356" s="13">
        <f>IFERROR(O1356/N1356,"")</f>
        <v/>
      </c>
      <c r="Q1356" s="13">
        <f>CHAIN_RAW!I1356</f>
        <v/>
      </c>
      <c r="R1356" s="13">
        <f>CHAIN_RAW!P1356</f>
        <v/>
      </c>
      <c r="S1356" s="13">
        <f>IFERROR(R1356/Q1356,"")</f>
        <v/>
      </c>
      <c r="T1356" s="13">
        <f>IFERROR((ABS(N1356-O1356)/MAX(1,(N1356+O1356)))*EXP(-ABS(E1356-CONTROL!E5)/MAX(1,CONTROL!B8)),"")</f>
        <v/>
      </c>
      <c r="U1356" s="13">
        <f>IFERROR(IF(O1356&gt;N1356,"SUPPORT (PE OI)","RESIST (CE OI)"),"")</f>
        <v/>
      </c>
      <c r="V1356" s="13">
        <f>IFERROR(IF(Q1356&gt;0,IF(R1356&gt;0,"BOTH_ADD","CE_ADD_PE_REDUCE"),IF(R1356&gt;0,"CE_REDUCE_PE_ADD","BOTH_REDUCE")),"")</f>
        <v/>
      </c>
      <c r="W1356" s="13">
        <f>IFERROR( (P1356-1)*0.5 + (M1356)*0.1 - (I1356+J1356)*0.05 + T1356*0.4 ,"")</f>
        <v/>
      </c>
      <c r="X1356" s="13">
        <f>IFERROR(IF(ABS(F1356)&lt;0.01,"ATM/NEAR",""),"")</f>
        <v/>
      </c>
    </row>
    <row r="1357">
      <c r="A1357" s="13">
        <f>CHAIN_RAW!A1357</f>
        <v/>
      </c>
      <c r="B1357" s="14">
        <f>CHAIN_RAW!B1357</f>
        <v/>
      </c>
      <c r="C1357" s="13">
        <f>CHAIN_RAW!C1357</f>
        <v/>
      </c>
      <c r="D1357" s="13">
        <f>CHAIN_RAW!D1357</f>
        <v/>
      </c>
      <c r="E1357" s="13">
        <f>CHAIN_RAW!E1357</f>
        <v/>
      </c>
      <c r="F1357" s="13">
        <f>IFERROR((E1357-D1357)/D1357,"")</f>
        <v/>
      </c>
      <c r="G1357" s="13">
        <f>IFERROR((CHAIN_RAW!K1357+CHAIN_RAW!L1357)/2,"")</f>
        <v/>
      </c>
      <c r="H1357" s="13">
        <f>IFERROR((CHAIN_RAW!R1357+CHAIN_RAW!S1357)/2,"")</f>
        <v/>
      </c>
      <c r="I1357" s="13">
        <f>IFERROR((CHAIN_RAW!L1357-CHAIN_RAW!K1357)/MAX(1E-9, G1357),"")</f>
        <v/>
      </c>
      <c r="J1357" s="13">
        <f>IFERROR((CHAIN_RAW!S1357-CHAIN_RAW!R1357)/MAX(1E-9, H1357),"")</f>
        <v/>
      </c>
      <c r="K1357" s="13">
        <f>CHAIN_RAW!G1357</f>
        <v/>
      </c>
      <c r="L1357" s="13">
        <f>CHAIN_RAW!N1357</f>
        <v/>
      </c>
      <c r="M1357" s="13">
        <f>IFERROR(L1357-K1357,"")</f>
        <v/>
      </c>
      <c r="N1357" s="13">
        <f>CHAIN_RAW!H1357</f>
        <v/>
      </c>
      <c r="O1357" s="13">
        <f>CHAIN_RAW!O1357</f>
        <v/>
      </c>
      <c r="P1357" s="13">
        <f>IFERROR(O1357/N1357,"")</f>
        <v/>
      </c>
      <c r="Q1357" s="13">
        <f>CHAIN_RAW!I1357</f>
        <v/>
      </c>
      <c r="R1357" s="13">
        <f>CHAIN_RAW!P1357</f>
        <v/>
      </c>
      <c r="S1357" s="13">
        <f>IFERROR(R1357/Q1357,"")</f>
        <v/>
      </c>
      <c r="T1357" s="13">
        <f>IFERROR((ABS(N1357-O1357)/MAX(1,(N1357+O1357)))*EXP(-ABS(E1357-CONTROL!E5)/MAX(1,CONTROL!B8)),"")</f>
        <v/>
      </c>
      <c r="U1357" s="13">
        <f>IFERROR(IF(O1357&gt;N1357,"SUPPORT (PE OI)","RESIST (CE OI)"),"")</f>
        <v/>
      </c>
      <c r="V1357" s="13">
        <f>IFERROR(IF(Q1357&gt;0,IF(R1357&gt;0,"BOTH_ADD","CE_ADD_PE_REDUCE"),IF(R1357&gt;0,"CE_REDUCE_PE_ADD","BOTH_REDUCE")),"")</f>
        <v/>
      </c>
      <c r="W1357" s="13">
        <f>IFERROR( (P1357-1)*0.5 + (M1357)*0.1 - (I1357+J1357)*0.05 + T1357*0.4 ,"")</f>
        <v/>
      </c>
      <c r="X1357" s="13">
        <f>IFERROR(IF(ABS(F1357)&lt;0.01,"ATM/NEAR",""),"")</f>
        <v/>
      </c>
    </row>
    <row r="1358">
      <c r="A1358" s="13">
        <f>CHAIN_RAW!A1358</f>
        <v/>
      </c>
      <c r="B1358" s="14">
        <f>CHAIN_RAW!B1358</f>
        <v/>
      </c>
      <c r="C1358" s="13">
        <f>CHAIN_RAW!C1358</f>
        <v/>
      </c>
      <c r="D1358" s="13">
        <f>CHAIN_RAW!D1358</f>
        <v/>
      </c>
      <c r="E1358" s="13">
        <f>CHAIN_RAW!E1358</f>
        <v/>
      </c>
      <c r="F1358" s="13">
        <f>IFERROR((E1358-D1358)/D1358,"")</f>
        <v/>
      </c>
      <c r="G1358" s="13">
        <f>IFERROR((CHAIN_RAW!K1358+CHAIN_RAW!L1358)/2,"")</f>
        <v/>
      </c>
      <c r="H1358" s="13">
        <f>IFERROR((CHAIN_RAW!R1358+CHAIN_RAW!S1358)/2,"")</f>
        <v/>
      </c>
      <c r="I1358" s="13">
        <f>IFERROR((CHAIN_RAW!L1358-CHAIN_RAW!K1358)/MAX(1E-9, G1358),"")</f>
        <v/>
      </c>
      <c r="J1358" s="13">
        <f>IFERROR((CHAIN_RAW!S1358-CHAIN_RAW!R1358)/MAX(1E-9, H1358),"")</f>
        <v/>
      </c>
      <c r="K1358" s="13">
        <f>CHAIN_RAW!G1358</f>
        <v/>
      </c>
      <c r="L1358" s="13">
        <f>CHAIN_RAW!N1358</f>
        <v/>
      </c>
      <c r="M1358" s="13">
        <f>IFERROR(L1358-K1358,"")</f>
        <v/>
      </c>
      <c r="N1358" s="13">
        <f>CHAIN_RAW!H1358</f>
        <v/>
      </c>
      <c r="O1358" s="13">
        <f>CHAIN_RAW!O1358</f>
        <v/>
      </c>
      <c r="P1358" s="13">
        <f>IFERROR(O1358/N1358,"")</f>
        <v/>
      </c>
      <c r="Q1358" s="13">
        <f>CHAIN_RAW!I1358</f>
        <v/>
      </c>
      <c r="R1358" s="13">
        <f>CHAIN_RAW!P1358</f>
        <v/>
      </c>
      <c r="S1358" s="13">
        <f>IFERROR(R1358/Q1358,"")</f>
        <v/>
      </c>
      <c r="T1358" s="13">
        <f>IFERROR((ABS(N1358-O1358)/MAX(1,(N1358+O1358)))*EXP(-ABS(E1358-CONTROL!E5)/MAX(1,CONTROL!B8)),"")</f>
        <v/>
      </c>
      <c r="U1358" s="13">
        <f>IFERROR(IF(O1358&gt;N1358,"SUPPORT (PE OI)","RESIST (CE OI)"),"")</f>
        <v/>
      </c>
      <c r="V1358" s="13">
        <f>IFERROR(IF(Q1358&gt;0,IF(R1358&gt;0,"BOTH_ADD","CE_ADD_PE_REDUCE"),IF(R1358&gt;0,"CE_REDUCE_PE_ADD","BOTH_REDUCE")),"")</f>
        <v/>
      </c>
      <c r="W1358" s="13">
        <f>IFERROR( (P1358-1)*0.5 + (M1358)*0.1 - (I1358+J1358)*0.05 + T1358*0.4 ,"")</f>
        <v/>
      </c>
      <c r="X1358" s="13">
        <f>IFERROR(IF(ABS(F1358)&lt;0.01,"ATM/NEAR",""),"")</f>
        <v/>
      </c>
    </row>
    <row r="1359">
      <c r="A1359" s="13">
        <f>CHAIN_RAW!A1359</f>
        <v/>
      </c>
      <c r="B1359" s="14">
        <f>CHAIN_RAW!B1359</f>
        <v/>
      </c>
      <c r="C1359" s="13">
        <f>CHAIN_RAW!C1359</f>
        <v/>
      </c>
      <c r="D1359" s="13">
        <f>CHAIN_RAW!D1359</f>
        <v/>
      </c>
      <c r="E1359" s="13">
        <f>CHAIN_RAW!E1359</f>
        <v/>
      </c>
      <c r="F1359" s="13">
        <f>IFERROR((E1359-D1359)/D1359,"")</f>
        <v/>
      </c>
      <c r="G1359" s="13">
        <f>IFERROR((CHAIN_RAW!K1359+CHAIN_RAW!L1359)/2,"")</f>
        <v/>
      </c>
      <c r="H1359" s="13">
        <f>IFERROR((CHAIN_RAW!R1359+CHAIN_RAW!S1359)/2,"")</f>
        <v/>
      </c>
      <c r="I1359" s="13">
        <f>IFERROR((CHAIN_RAW!L1359-CHAIN_RAW!K1359)/MAX(1E-9, G1359),"")</f>
        <v/>
      </c>
      <c r="J1359" s="13">
        <f>IFERROR((CHAIN_RAW!S1359-CHAIN_RAW!R1359)/MAX(1E-9, H1359),"")</f>
        <v/>
      </c>
      <c r="K1359" s="13">
        <f>CHAIN_RAW!G1359</f>
        <v/>
      </c>
      <c r="L1359" s="13">
        <f>CHAIN_RAW!N1359</f>
        <v/>
      </c>
      <c r="M1359" s="13">
        <f>IFERROR(L1359-K1359,"")</f>
        <v/>
      </c>
      <c r="N1359" s="13">
        <f>CHAIN_RAW!H1359</f>
        <v/>
      </c>
      <c r="O1359" s="13">
        <f>CHAIN_RAW!O1359</f>
        <v/>
      </c>
      <c r="P1359" s="13">
        <f>IFERROR(O1359/N1359,"")</f>
        <v/>
      </c>
      <c r="Q1359" s="13">
        <f>CHAIN_RAW!I1359</f>
        <v/>
      </c>
      <c r="R1359" s="13">
        <f>CHAIN_RAW!P1359</f>
        <v/>
      </c>
      <c r="S1359" s="13">
        <f>IFERROR(R1359/Q1359,"")</f>
        <v/>
      </c>
      <c r="T1359" s="13">
        <f>IFERROR((ABS(N1359-O1359)/MAX(1,(N1359+O1359)))*EXP(-ABS(E1359-CONTROL!E5)/MAX(1,CONTROL!B8)),"")</f>
        <v/>
      </c>
      <c r="U1359" s="13">
        <f>IFERROR(IF(O1359&gt;N1359,"SUPPORT (PE OI)","RESIST (CE OI)"),"")</f>
        <v/>
      </c>
      <c r="V1359" s="13">
        <f>IFERROR(IF(Q1359&gt;0,IF(R1359&gt;0,"BOTH_ADD","CE_ADD_PE_REDUCE"),IF(R1359&gt;0,"CE_REDUCE_PE_ADD","BOTH_REDUCE")),"")</f>
        <v/>
      </c>
      <c r="W1359" s="13">
        <f>IFERROR( (P1359-1)*0.5 + (M1359)*0.1 - (I1359+J1359)*0.05 + T1359*0.4 ,"")</f>
        <v/>
      </c>
      <c r="X1359" s="13">
        <f>IFERROR(IF(ABS(F1359)&lt;0.01,"ATM/NEAR",""),"")</f>
        <v/>
      </c>
    </row>
    <row r="1360">
      <c r="A1360" s="13">
        <f>CHAIN_RAW!A1360</f>
        <v/>
      </c>
      <c r="B1360" s="14">
        <f>CHAIN_RAW!B1360</f>
        <v/>
      </c>
      <c r="C1360" s="13">
        <f>CHAIN_RAW!C1360</f>
        <v/>
      </c>
      <c r="D1360" s="13">
        <f>CHAIN_RAW!D1360</f>
        <v/>
      </c>
      <c r="E1360" s="13">
        <f>CHAIN_RAW!E1360</f>
        <v/>
      </c>
      <c r="F1360" s="13">
        <f>IFERROR((E1360-D1360)/D1360,"")</f>
        <v/>
      </c>
      <c r="G1360" s="13">
        <f>IFERROR((CHAIN_RAW!K1360+CHAIN_RAW!L1360)/2,"")</f>
        <v/>
      </c>
      <c r="H1360" s="13">
        <f>IFERROR((CHAIN_RAW!R1360+CHAIN_RAW!S1360)/2,"")</f>
        <v/>
      </c>
      <c r="I1360" s="13">
        <f>IFERROR((CHAIN_RAW!L1360-CHAIN_RAW!K1360)/MAX(1E-9, G1360),"")</f>
        <v/>
      </c>
      <c r="J1360" s="13">
        <f>IFERROR((CHAIN_RAW!S1360-CHAIN_RAW!R1360)/MAX(1E-9, H1360),"")</f>
        <v/>
      </c>
      <c r="K1360" s="13">
        <f>CHAIN_RAW!G1360</f>
        <v/>
      </c>
      <c r="L1360" s="13">
        <f>CHAIN_RAW!N1360</f>
        <v/>
      </c>
      <c r="M1360" s="13">
        <f>IFERROR(L1360-K1360,"")</f>
        <v/>
      </c>
      <c r="N1360" s="13">
        <f>CHAIN_RAW!H1360</f>
        <v/>
      </c>
      <c r="O1360" s="13">
        <f>CHAIN_RAW!O1360</f>
        <v/>
      </c>
      <c r="P1360" s="13">
        <f>IFERROR(O1360/N1360,"")</f>
        <v/>
      </c>
      <c r="Q1360" s="13">
        <f>CHAIN_RAW!I1360</f>
        <v/>
      </c>
      <c r="R1360" s="13">
        <f>CHAIN_RAW!P1360</f>
        <v/>
      </c>
      <c r="S1360" s="13">
        <f>IFERROR(R1360/Q1360,"")</f>
        <v/>
      </c>
      <c r="T1360" s="13">
        <f>IFERROR((ABS(N1360-O1360)/MAX(1,(N1360+O1360)))*EXP(-ABS(E1360-CONTROL!E5)/MAX(1,CONTROL!B8)),"")</f>
        <v/>
      </c>
      <c r="U1360" s="13">
        <f>IFERROR(IF(O1360&gt;N1360,"SUPPORT (PE OI)","RESIST (CE OI)"),"")</f>
        <v/>
      </c>
      <c r="V1360" s="13">
        <f>IFERROR(IF(Q1360&gt;0,IF(R1360&gt;0,"BOTH_ADD","CE_ADD_PE_REDUCE"),IF(R1360&gt;0,"CE_REDUCE_PE_ADD","BOTH_REDUCE")),"")</f>
        <v/>
      </c>
      <c r="W1360" s="13">
        <f>IFERROR( (P1360-1)*0.5 + (M1360)*0.1 - (I1360+J1360)*0.05 + T1360*0.4 ,"")</f>
        <v/>
      </c>
      <c r="X1360" s="13">
        <f>IFERROR(IF(ABS(F1360)&lt;0.01,"ATM/NEAR",""),"")</f>
        <v/>
      </c>
    </row>
    <row r="1361">
      <c r="A1361" s="13">
        <f>CHAIN_RAW!A1361</f>
        <v/>
      </c>
      <c r="B1361" s="14">
        <f>CHAIN_RAW!B1361</f>
        <v/>
      </c>
      <c r="C1361" s="13">
        <f>CHAIN_RAW!C1361</f>
        <v/>
      </c>
      <c r="D1361" s="13">
        <f>CHAIN_RAW!D1361</f>
        <v/>
      </c>
      <c r="E1361" s="13">
        <f>CHAIN_RAW!E1361</f>
        <v/>
      </c>
      <c r="F1361" s="13">
        <f>IFERROR((E1361-D1361)/D1361,"")</f>
        <v/>
      </c>
      <c r="G1361" s="13">
        <f>IFERROR((CHAIN_RAW!K1361+CHAIN_RAW!L1361)/2,"")</f>
        <v/>
      </c>
      <c r="H1361" s="13">
        <f>IFERROR((CHAIN_RAW!R1361+CHAIN_RAW!S1361)/2,"")</f>
        <v/>
      </c>
      <c r="I1361" s="13">
        <f>IFERROR((CHAIN_RAW!L1361-CHAIN_RAW!K1361)/MAX(1E-9, G1361),"")</f>
        <v/>
      </c>
      <c r="J1361" s="13">
        <f>IFERROR((CHAIN_RAW!S1361-CHAIN_RAW!R1361)/MAX(1E-9, H1361),"")</f>
        <v/>
      </c>
      <c r="K1361" s="13">
        <f>CHAIN_RAW!G1361</f>
        <v/>
      </c>
      <c r="L1361" s="13">
        <f>CHAIN_RAW!N1361</f>
        <v/>
      </c>
      <c r="M1361" s="13">
        <f>IFERROR(L1361-K1361,"")</f>
        <v/>
      </c>
      <c r="N1361" s="13">
        <f>CHAIN_RAW!H1361</f>
        <v/>
      </c>
      <c r="O1361" s="13">
        <f>CHAIN_RAW!O1361</f>
        <v/>
      </c>
      <c r="P1361" s="13">
        <f>IFERROR(O1361/N1361,"")</f>
        <v/>
      </c>
      <c r="Q1361" s="13">
        <f>CHAIN_RAW!I1361</f>
        <v/>
      </c>
      <c r="R1361" s="13">
        <f>CHAIN_RAW!P1361</f>
        <v/>
      </c>
      <c r="S1361" s="13">
        <f>IFERROR(R1361/Q1361,"")</f>
        <v/>
      </c>
      <c r="T1361" s="13">
        <f>IFERROR((ABS(N1361-O1361)/MAX(1,(N1361+O1361)))*EXP(-ABS(E1361-CONTROL!E5)/MAX(1,CONTROL!B8)),"")</f>
        <v/>
      </c>
      <c r="U1361" s="13">
        <f>IFERROR(IF(O1361&gt;N1361,"SUPPORT (PE OI)","RESIST (CE OI)"),"")</f>
        <v/>
      </c>
      <c r="V1361" s="13">
        <f>IFERROR(IF(Q1361&gt;0,IF(R1361&gt;0,"BOTH_ADD","CE_ADD_PE_REDUCE"),IF(R1361&gt;0,"CE_REDUCE_PE_ADD","BOTH_REDUCE")),"")</f>
        <v/>
      </c>
      <c r="W1361" s="13">
        <f>IFERROR( (P1361-1)*0.5 + (M1361)*0.1 - (I1361+J1361)*0.05 + T1361*0.4 ,"")</f>
        <v/>
      </c>
      <c r="X1361" s="13">
        <f>IFERROR(IF(ABS(F1361)&lt;0.01,"ATM/NEAR",""),"")</f>
        <v/>
      </c>
    </row>
    <row r="1362">
      <c r="A1362" s="13">
        <f>CHAIN_RAW!A1362</f>
        <v/>
      </c>
      <c r="B1362" s="14">
        <f>CHAIN_RAW!B1362</f>
        <v/>
      </c>
      <c r="C1362" s="13">
        <f>CHAIN_RAW!C1362</f>
        <v/>
      </c>
      <c r="D1362" s="13">
        <f>CHAIN_RAW!D1362</f>
        <v/>
      </c>
      <c r="E1362" s="13">
        <f>CHAIN_RAW!E1362</f>
        <v/>
      </c>
      <c r="F1362" s="13">
        <f>IFERROR((E1362-D1362)/D1362,"")</f>
        <v/>
      </c>
      <c r="G1362" s="13">
        <f>IFERROR((CHAIN_RAW!K1362+CHAIN_RAW!L1362)/2,"")</f>
        <v/>
      </c>
      <c r="H1362" s="13">
        <f>IFERROR((CHAIN_RAW!R1362+CHAIN_RAW!S1362)/2,"")</f>
        <v/>
      </c>
      <c r="I1362" s="13">
        <f>IFERROR((CHAIN_RAW!L1362-CHAIN_RAW!K1362)/MAX(1E-9, G1362),"")</f>
        <v/>
      </c>
      <c r="J1362" s="13">
        <f>IFERROR((CHAIN_RAW!S1362-CHAIN_RAW!R1362)/MAX(1E-9, H1362),"")</f>
        <v/>
      </c>
      <c r="K1362" s="13">
        <f>CHAIN_RAW!G1362</f>
        <v/>
      </c>
      <c r="L1362" s="13">
        <f>CHAIN_RAW!N1362</f>
        <v/>
      </c>
      <c r="M1362" s="13">
        <f>IFERROR(L1362-K1362,"")</f>
        <v/>
      </c>
      <c r="N1362" s="13">
        <f>CHAIN_RAW!H1362</f>
        <v/>
      </c>
      <c r="O1362" s="13">
        <f>CHAIN_RAW!O1362</f>
        <v/>
      </c>
      <c r="P1362" s="13">
        <f>IFERROR(O1362/N1362,"")</f>
        <v/>
      </c>
      <c r="Q1362" s="13">
        <f>CHAIN_RAW!I1362</f>
        <v/>
      </c>
      <c r="R1362" s="13">
        <f>CHAIN_RAW!P1362</f>
        <v/>
      </c>
      <c r="S1362" s="13">
        <f>IFERROR(R1362/Q1362,"")</f>
        <v/>
      </c>
      <c r="T1362" s="13">
        <f>IFERROR((ABS(N1362-O1362)/MAX(1,(N1362+O1362)))*EXP(-ABS(E1362-CONTROL!E5)/MAX(1,CONTROL!B8)),"")</f>
        <v/>
      </c>
      <c r="U1362" s="13">
        <f>IFERROR(IF(O1362&gt;N1362,"SUPPORT (PE OI)","RESIST (CE OI)"),"")</f>
        <v/>
      </c>
      <c r="V1362" s="13">
        <f>IFERROR(IF(Q1362&gt;0,IF(R1362&gt;0,"BOTH_ADD","CE_ADD_PE_REDUCE"),IF(R1362&gt;0,"CE_REDUCE_PE_ADD","BOTH_REDUCE")),"")</f>
        <v/>
      </c>
      <c r="W1362" s="13">
        <f>IFERROR( (P1362-1)*0.5 + (M1362)*0.1 - (I1362+J1362)*0.05 + T1362*0.4 ,"")</f>
        <v/>
      </c>
      <c r="X1362" s="13">
        <f>IFERROR(IF(ABS(F1362)&lt;0.01,"ATM/NEAR",""),"")</f>
        <v/>
      </c>
    </row>
    <row r="1363">
      <c r="A1363" s="13">
        <f>CHAIN_RAW!A1363</f>
        <v/>
      </c>
      <c r="B1363" s="14">
        <f>CHAIN_RAW!B1363</f>
        <v/>
      </c>
      <c r="C1363" s="13">
        <f>CHAIN_RAW!C1363</f>
        <v/>
      </c>
      <c r="D1363" s="13">
        <f>CHAIN_RAW!D1363</f>
        <v/>
      </c>
      <c r="E1363" s="13">
        <f>CHAIN_RAW!E1363</f>
        <v/>
      </c>
      <c r="F1363" s="13">
        <f>IFERROR((E1363-D1363)/D1363,"")</f>
        <v/>
      </c>
      <c r="G1363" s="13">
        <f>IFERROR((CHAIN_RAW!K1363+CHAIN_RAW!L1363)/2,"")</f>
        <v/>
      </c>
      <c r="H1363" s="13">
        <f>IFERROR((CHAIN_RAW!R1363+CHAIN_RAW!S1363)/2,"")</f>
        <v/>
      </c>
      <c r="I1363" s="13">
        <f>IFERROR((CHAIN_RAW!L1363-CHAIN_RAW!K1363)/MAX(1E-9, G1363),"")</f>
        <v/>
      </c>
      <c r="J1363" s="13">
        <f>IFERROR((CHAIN_RAW!S1363-CHAIN_RAW!R1363)/MAX(1E-9, H1363),"")</f>
        <v/>
      </c>
      <c r="K1363" s="13">
        <f>CHAIN_RAW!G1363</f>
        <v/>
      </c>
      <c r="L1363" s="13">
        <f>CHAIN_RAW!N1363</f>
        <v/>
      </c>
      <c r="M1363" s="13">
        <f>IFERROR(L1363-K1363,"")</f>
        <v/>
      </c>
      <c r="N1363" s="13">
        <f>CHAIN_RAW!H1363</f>
        <v/>
      </c>
      <c r="O1363" s="13">
        <f>CHAIN_RAW!O1363</f>
        <v/>
      </c>
      <c r="P1363" s="13">
        <f>IFERROR(O1363/N1363,"")</f>
        <v/>
      </c>
      <c r="Q1363" s="13">
        <f>CHAIN_RAW!I1363</f>
        <v/>
      </c>
      <c r="R1363" s="13">
        <f>CHAIN_RAW!P1363</f>
        <v/>
      </c>
      <c r="S1363" s="13">
        <f>IFERROR(R1363/Q1363,"")</f>
        <v/>
      </c>
      <c r="T1363" s="13">
        <f>IFERROR((ABS(N1363-O1363)/MAX(1,(N1363+O1363)))*EXP(-ABS(E1363-CONTROL!E5)/MAX(1,CONTROL!B8)),"")</f>
        <v/>
      </c>
      <c r="U1363" s="13">
        <f>IFERROR(IF(O1363&gt;N1363,"SUPPORT (PE OI)","RESIST (CE OI)"),"")</f>
        <v/>
      </c>
      <c r="V1363" s="13">
        <f>IFERROR(IF(Q1363&gt;0,IF(R1363&gt;0,"BOTH_ADD","CE_ADD_PE_REDUCE"),IF(R1363&gt;0,"CE_REDUCE_PE_ADD","BOTH_REDUCE")),"")</f>
        <v/>
      </c>
      <c r="W1363" s="13">
        <f>IFERROR( (P1363-1)*0.5 + (M1363)*0.1 - (I1363+J1363)*0.05 + T1363*0.4 ,"")</f>
        <v/>
      </c>
      <c r="X1363" s="13">
        <f>IFERROR(IF(ABS(F1363)&lt;0.01,"ATM/NEAR",""),"")</f>
        <v/>
      </c>
    </row>
    <row r="1364">
      <c r="A1364" s="13">
        <f>CHAIN_RAW!A1364</f>
        <v/>
      </c>
      <c r="B1364" s="14">
        <f>CHAIN_RAW!B1364</f>
        <v/>
      </c>
      <c r="C1364" s="13">
        <f>CHAIN_RAW!C1364</f>
        <v/>
      </c>
      <c r="D1364" s="13">
        <f>CHAIN_RAW!D1364</f>
        <v/>
      </c>
      <c r="E1364" s="13">
        <f>CHAIN_RAW!E1364</f>
        <v/>
      </c>
      <c r="F1364" s="13">
        <f>IFERROR((E1364-D1364)/D1364,"")</f>
        <v/>
      </c>
      <c r="G1364" s="13">
        <f>IFERROR((CHAIN_RAW!K1364+CHAIN_RAW!L1364)/2,"")</f>
        <v/>
      </c>
      <c r="H1364" s="13">
        <f>IFERROR((CHAIN_RAW!R1364+CHAIN_RAW!S1364)/2,"")</f>
        <v/>
      </c>
      <c r="I1364" s="13">
        <f>IFERROR((CHAIN_RAW!L1364-CHAIN_RAW!K1364)/MAX(1E-9, G1364),"")</f>
        <v/>
      </c>
      <c r="J1364" s="13">
        <f>IFERROR((CHAIN_RAW!S1364-CHAIN_RAW!R1364)/MAX(1E-9, H1364),"")</f>
        <v/>
      </c>
      <c r="K1364" s="13">
        <f>CHAIN_RAW!G1364</f>
        <v/>
      </c>
      <c r="L1364" s="13">
        <f>CHAIN_RAW!N1364</f>
        <v/>
      </c>
      <c r="M1364" s="13">
        <f>IFERROR(L1364-K1364,"")</f>
        <v/>
      </c>
      <c r="N1364" s="13">
        <f>CHAIN_RAW!H1364</f>
        <v/>
      </c>
      <c r="O1364" s="13">
        <f>CHAIN_RAW!O1364</f>
        <v/>
      </c>
      <c r="P1364" s="13">
        <f>IFERROR(O1364/N1364,"")</f>
        <v/>
      </c>
      <c r="Q1364" s="13">
        <f>CHAIN_RAW!I1364</f>
        <v/>
      </c>
      <c r="R1364" s="13">
        <f>CHAIN_RAW!P1364</f>
        <v/>
      </c>
      <c r="S1364" s="13">
        <f>IFERROR(R1364/Q1364,"")</f>
        <v/>
      </c>
      <c r="T1364" s="13">
        <f>IFERROR((ABS(N1364-O1364)/MAX(1,(N1364+O1364)))*EXP(-ABS(E1364-CONTROL!E5)/MAX(1,CONTROL!B8)),"")</f>
        <v/>
      </c>
      <c r="U1364" s="13">
        <f>IFERROR(IF(O1364&gt;N1364,"SUPPORT (PE OI)","RESIST (CE OI)"),"")</f>
        <v/>
      </c>
      <c r="V1364" s="13">
        <f>IFERROR(IF(Q1364&gt;0,IF(R1364&gt;0,"BOTH_ADD","CE_ADD_PE_REDUCE"),IF(R1364&gt;0,"CE_REDUCE_PE_ADD","BOTH_REDUCE")),"")</f>
        <v/>
      </c>
      <c r="W1364" s="13">
        <f>IFERROR( (P1364-1)*0.5 + (M1364)*0.1 - (I1364+J1364)*0.05 + T1364*0.4 ,"")</f>
        <v/>
      </c>
      <c r="X1364" s="13">
        <f>IFERROR(IF(ABS(F1364)&lt;0.01,"ATM/NEAR",""),"")</f>
        <v/>
      </c>
    </row>
    <row r="1365">
      <c r="A1365" s="13">
        <f>CHAIN_RAW!A1365</f>
        <v/>
      </c>
      <c r="B1365" s="14">
        <f>CHAIN_RAW!B1365</f>
        <v/>
      </c>
      <c r="C1365" s="13">
        <f>CHAIN_RAW!C1365</f>
        <v/>
      </c>
      <c r="D1365" s="13">
        <f>CHAIN_RAW!D1365</f>
        <v/>
      </c>
      <c r="E1365" s="13">
        <f>CHAIN_RAW!E1365</f>
        <v/>
      </c>
      <c r="F1365" s="13">
        <f>IFERROR((E1365-D1365)/D1365,"")</f>
        <v/>
      </c>
      <c r="G1365" s="13">
        <f>IFERROR((CHAIN_RAW!K1365+CHAIN_RAW!L1365)/2,"")</f>
        <v/>
      </c>
      <c r="H1365" s="13">
        <f>IFERROR((CHAIN_RAW!R1365+CHAIN_RAW!S1365)/2,"")</f>
        <v/>
      </c>
      <c r="I1365" s="13">
        <f>IFERROR((CHAIN_RAW!L1365-CHAIN_RAW!K1365)/MAX(1E-9, G1365),"")</f>
        <v/>
      </c>
      <c r="J1365" s="13">
        <f>IFERROR((CHAIN_RAW!S1365-CHAIN_RAW!R1365)/MAX(1E-9, H1365),"")</f>
        <v/>
      </c>
      <c r="K1365" s="13">
        <f>CHAIN_RAW!G1365</f>
        <v/>
      </c>
      <c r="L1365" s="13">
        <f>CHAIN_RAW!N1365</f>
        <v/>
      </c>
      <c r="M1365" s="13">
        <f>IFERROR(L1365-K1365,"")</f>
        <v/>
      </c>
      <c r="N1365" s="13">
        <f>CHAIN_RAW!H1365</f>
        <v/>
      </c>
      <c r="O1365" s="13">
        <f>CHAIN_RAW!O1365</f>
        <v/>
      </c>
      <c r="P1365" s="13">
        <f>IFERROR(O1365/N1365,"")</f>
        <v/>
      </c>
      <c r="Q1365" s="13">
        <f>CHAIN_RAW!I1365</f>
        <v/>
      </c>
      <c r="R1365" s="13">
        <f>CHAIN_RAW!P1365</f>
        <v/>
      </c>
      <c r="S1365" s="13">
        <f>IFERROR(R1365/Q1365,"")</f>
        <v/>
      </c>
      <c r="T1365" s="13">
        <f>IFERROR((ABS(N1365-O1365)/MAX(1,(N1365+O1365)))*EXP(-ABS(E1365-CONTROL!E5)/MAX(1,CONTROL!B8)),"")</f>
        <v/>
      </c>
      <c r="U1365" s="13">
        <f>IFERROR(IF(O1365&gt;N1365,"SUPPORT (PE OI)","RESIST (CE OI)"),"")</f>
        <v/>
      </c>
      <c r="V1365" s="13">
        <f>IFERROR(IF(Q1365&gt;0,IF(R1365&gt;0,"BOTH_ADD","CE_ADD_PE_REDUCE"),IF(R1365&gt;0,"CE_REDUCE_PE_ADD","BOTH_REDUCE")),"")</f>
        <v/>
      </c>
      <c r="W1365" s="13">
        <f>IFERROR( (P1365-1)*0.5 + (M1365)*0.1 - (I1365+J1365)*0.05 + T1365*0.4 ,"")</f>
        <v/>
      </c>
      <c r="X1365" s="13">
        <f>IFERROR(IF(ABS(F1365)&lt;0.01,"ATM/NEAR",""),"")</f>
        <v/>
      </c>
    </row>
    <row r="1366">
      <c r="A1366" s="13">
        <f>CHAIN_RAW!A1366</f>
        <v/>
      </c>
      <c r="B1366" s="14">
        <f>CHAIN_RAW!B1366</f>
        <v/>
      </c>
      <c r="C1366" s="13">
        <f>CHAIN_RAW!C1366</f>
        <v/>
      </c>
      <c r="D1366" s="13">
        <f>CHAIN_RAW!D1366</f>
        <v/>
      </c>
      <c r="E1366" s="13">
        <f>CHAIN_RAW!E1366</f>
        <v/>
      </c>
      <c r="F1366" s="13">
        <f>IFERROR((E1366-D1366)/D1366,"")</f>
        <v/>
      </c>
      <c r="G1366" s="13">
        <f>IFERROR((CHAIN_RAW!K1366+CHAIN_RAW!L1366)/2,"")</f>
        <v/>
      </c>
      <c r="H1366" s="13">
        <f>IFERROR((CHAIN_RAW!R1366+CHAIN_RAW!S1366)/2,"")</f>
        <v/>
      </c>
      <c r="I1366" s="13">
        <f>IFERROR((CHAIN_RAW!L1366-CHAIN_RAW!K1366)/MAX(1E-9, G1366),"")</f>
        <v/>
      </c>
      <c r="J1366" s="13">
        <f>IFERROR((CHAIN_RAW!S1366-CHAIN_RAW!R1366)/MAX(1E-9, H1366),"")</f>
        <v/>
      </c>
      <c r="K1366" s="13">
        <f>CHAIN_RAW!G1366</f>
        <v/>
      </c>
      <c r="L1366" s="13">
        <f>CHAIN_RAW!N1366</f>
        <v/>
      </c>
      <c r="M1366" s="13">
        <f>IFERROR(L1366-K1366,"")</f>
        <v/>
      </c>
      <c r="N1366" s="13">
        <f>CHAIN_RAW!H1366</f>
        <v/>
      </c>
      <c r="O1366" s="13">
        <f>CHAIN_RAW!O1366</f>
        <v/>
      </c>
      <c r="P1366" s="13">
        <f>IFERROR(O1366/N1366,"")</f>
        <v/>
      </c>
      <c r="Q1366" s="13">
        <f>CHAIN_RAW!I1366</f>
        <v/>
      </c>
      <c r="R1366" s="13">
        <f>CHAIN_RAW!P1366</f>
        <v/>
      </c>
      <c r="S1366" s="13">
        <f>IFERROR(R1366/Q1366,"")</f>
        <v/>
      </c>
      <c r="T1366" s="13">
        <f>IFERROR((ABS(N1366-O1366)/MAX(1,(N1366+O1366)))*EXP(-ABS(E1366-CONTROL!E5)/MAX(1,CONTROL!B8)),"")</f>
        <v/>
      </c>
      <c r="U1366" s="13">
        <f>IFERROR(IF(O1366&gt;N1366,"SUPPORT (PE OI)","RESIST (CE OI)"),"")</f>
        <v/>
      </c>
      <c r="V1366" s="13">
        <f>IFERROR(IF(Q1366&gt;0,IF(R1366&gt;0,"BOTH_ADD","CE_ADD_PE_REDUCE"),IF(R1366&gt;0,"CE_REDUCE_PE_ADD","BOTH_REDUCE")),"")</f>
        <v/>
      </c>
      <c r="W1366" s="13">
        <f>IFERROR( (P1366-1)*0.5 + (M1366)*0.1 - (I1366+J1366)*0.05 + T1366*0.4 ,"")</f>
        <v/>
      </c>
      <c r="X1366" s="13">
        <f>IFERROR(IF(ABS(F1366)&lt;0.01,"ATM/NEAR",""),"")</f>
        <v/>
      </c>
    </row>
    <row r="1367">
      <c r="A1367" s="13">
        <f>CHAIN_RAW!A1367</f>
        <v/>
      </c>
      <c r="B1367" s="14">
        <f>CHAIN_RAW!B1367</f>
        <v/>
      </c>
      <c r="C1367" s="13">
        <f>CHAIN_RAW!C1367</f>
        <v/>
      </c>
      <c r="D1367" s="13">
        <f>CHAIN_RAW!D1367</f>
        <v/>
      </c>
      <c r="E1367" s="13">
        <f>CHAIN_RAW!E1367</f>
        <v/>
      </c>
      <c r="F1367" s="13">
        <f>IFERROR((E1367-D1367)/D1367,"")</f>
        <v/>
      </c>
      <c r="G1367" s="13">
        <f>IFERROR((CHAIN_RAW!K1367+CHAIN_RAW!L1367)/2,"")</f>
        <v/>
      </c>
      <c r="H1367" s="13">
        <f>IFERROR((CHAIN_RAW!R1367+CHAIN_RAW!S1367)/2,"")</f>
        <v/>
      </c>
      <c r="I1367" s="13">
        <f>IFERROR((CHAIN_RAW!L1367-CHAIN_RAW!K1367)/MAX(1E-9, G1367),"")</f>
        <v/>
      </c>
      <c r="J1367" s="13">
        <f>IFERROR((CHAIN_RAW!S1367-CHAIN_RAW!R1367)/MAX(1E-9, H1367),"")</f>
        <v/>
      </c>
      <c r="K1367" s="13">
        <f>CHAIN_RAW!G1367</f>
        <v/>
      </c>
      <c r="L1367" s="13">
        <f>CHAIN_RAW!N1367</f>
        <v/>
      </c>
      <c r="M1367" s="13">
        <f>IFERROR(L1367-K1367,"")</f>
        <v/>
      </c>
      <c r="N1367" s="13">
        <f>CHAIN_RAW!H1367</f>
        <v/>
      </c>
      <c r="O1367" s="13">
        <f>CHAIN_RAW!O1367</f>
        <v/>
      </c>
      <c r="P1367" s="13">
        <f>IFERROR(O1367/N1367,"")</f>
        <v/>
      </c>
      <c r="Q1367" s="13">
        <f>CHAIN_RAW!I1367</f>
        <v/>
      </c>
      <c r="R1367" s="13">
        <f>CHAIN_RAW!P1367</f>
        <v/>
      </c>
      <c r="S1367" s="13">
        <f>IFERROR(R1367/Q1367,"")</f>
        <v/>
      </c>
      <c r="T1367" s="13">
        <f>IFERROR((ABS(N1367-O1367)/MAX(1,(N1367+O1367)))*EXP(-ABS(E1367-CONTROL!E5)/MAX(1,CONTROL!B8)),"")</f>
        <v/>
      </c>
      <c r="U1367" s="13">
        <f>IFERROR(IF(O1367&gt;N1367,"SUPPORT (PE OI)","RESIST (CE OI)"),"")</f>
        <v/>
      </c>
      <c r="V1367" s="13">
        <f>IFERROR(IF(Q1367&gt;0,IF(R1367&gt;0,"BOTH_ADD","CE_ADD_PE_REDUCE"),IF(R1367&gt;0,"CE_REDUCE_PE_ADD","BOTH_REDUCE")),"")</f>
        <v/>
      </c>
      <c r="W1367" s="13">
        <f>IFERROR( (P1367-1)*0.5 + (M1367)*0.1 - (I1367+J1367)*0.05 + T1367*0.4 ,"")</f>
        <v/>
      </c>
      <c r="X1367" s="13">
        <f>IFERROR(IF(ABS(F1367)&lt;0.01,"ATM/NEAR",""),"")</f>
        <v/>
      </c>
    </row>
    <row r="1368">
      <c r="A1368" s="13">
        <f>CHAIN_RAW!A1368</f>
        <v/>
      </c>
      <c r="B1368" s="14">
        <f>CHAIN_RAW!B1368</f>
        <v/>
      </c>
      <c r="C1368" s="13">
        <f>CHAIN_RAW!C1368</f>
        <v/>
      </c>
      <c r="D1368" s="13">
        <f>CHAIN_RAW!D1368</f>
        <v/>
      </c>
      <c r="E1368" s="13">
        <f>CHAIN_RAW!E1368</f>
        <v/>
      </c>
      <c r="F1368" s="13">
        <f>IFERROR((E1368-D1368)/D1368,"")</f>
        <v/>
      </c>
      <c r="G1368" s="13">
        <f>IFERROR((CHAIN_RAW!K1368+CHAIN_RAW!L1368)/2,"")</f>
        <v/>
      </c>
      <c r="H1368" s="13">
        <f>IFERROR((CHAIN_RAW!R1368+CHAIN_RAW!S1368)/2,"")</f>
        <v/>
      </c>
      <c r="I1368" s="13">
        <f>IFERROR((CHAIN_RAW!L1368-CHAIN_RAW!K1368)/MAX(1E-9, G1368),"")</f>
        <v/>
      </c>
      <c r="J1368" s="13">
        <f>IFERROR((CHAIN_RAW!S1368-CHAIN_RAW!R1368)/MAX(1E-9, H1368),"")</f>
        <v/>
      </c>
      <c r="K1368" s="13">
        <f>CHAIN_RAW!G1368</f>
        <v/>
      </c>
      <c r="L1368" s="13">
        <f>CHAIN_RAW!N1368</f>
        <v/>
      </c>
      <c r="M1368" s="13">
        <f>IFERROR(L1368-K1368,"")</f>
        <v/>
      </c>
      <c r="N1368" s="13">
        <f>CHAIN_RAW!H1368</f>
        <v/>
      </c>
      <c r="O1368" s="13">
        <f>CHAIN_RAW!O1368</f>
        <v/>
      </c>
      <c r="P1368" s="13">
        <f>IFERROR(O1368/N1368,"")</f>
        <v/>
      </c>
      <c r="Q1368" s="13">
        <f>CHAIN_RAW!I1368</f>
        <v/>
      </c>
      <c r="R1368" s="13">
        <f>CHAIN_RAW!P1368</f>
        <v/>
      </c>
      <c r="S1368" s="13">
        <f>IFERROR(R1368/Q1368,"")</f>
        <v/>
      </c>
      <c r="T1368" s="13">
        <f>IFERROR((ABS(N1368-O1368)/MAX(1,(N1368+O1368)))*EXP(-ABS(E1368-CONTROL!E5)/MAX(1,CONTROL!B8)),"")</f>
        <v/>
      </c>
      <c r="U1368" s="13">
        <f>IFERROR(IF(O1368&gt;N1368,"SUPPORT (PE OI)","RESIST (CE OI)"),"")</f>
        <v/>
      </c>
      <c r="V1368" s="13">
        <f>IFERROR(IF(Q1368&gt;0,IF(R1368&gt;0,"BOTH_ADD","CE_ADD_PE_REDUCE"),IF(R1368&gt;0,"CE_REDUCE_PE_ADD","BOTH_REDUCE")),"")</f>
        <v/>
      </c>
      <c r="W1368" s="13">
        <f>IFERROR( (P1368-1)*0.5 + (M1368)*0.1 - (I1368+J1368)*0.05 + T1368*0.4 ,"")</f>
        <v/>
      </c>
      <c r="X1368" s="13">
        <f>IFERROR(IF(ABS(F1368)&lt;0.01,"ATM/NEAR",""),"")</f>
        <v/>
      </c>
    </row>
    <row r="1369">
      <c r="A1369" s="13">
        <f>CHAIN_RAW!A1369</f>
        <v/>
      </c>
      <c r="B1369" s="14">
        <f>CHAIN_RAW!B1369</f>
        <v/>
      </c>
      <c r="C1369" s="13">
        <f>CHAIN_RAW!C1369</f>
        <v/>
      </c>
      <c r="D1369" s="13">
        <f>CHAIN_RAW!D1369</f>
        <v/>
      </c>
      <c r="E1369" s="13">
        <f>CHAIN_RAW!E1369</f>
        <v/>
      </c>
      <c r="F1369" s="13">
        <f>IFERROR((E1369-D1369)/D1369,"")</f>
        <v/>
      </c>
      <c r="G1369" s="13">
        <f>IFERROR((CHAIN_RAW!K1369+CHAIN_RAW!L1369)/2,"")</f>
        <v/>
      </c>
      <c r="H1369" s="13">
        <f>IFERROR((CHAIN_RAW!R1369+CHAIN_RAW!S1369)/2,"")</f>
        <v/>
      </c>
      <c r="I1369" s="13">
        <f>IFERROR((CHAIN_RAW!L1369-CHAIN_RAW!K1369)/MAX(1E-9, G1369),"")</f>
        <v/>
      </c>
      <c r="J1369" s="13">
        <f>IFERROR((CHAIN_RAW!S1369-CHAIN_RAW!R1369)/MAX(1E-9, H1369),"")</f>
        <v/>
      </c>
      <c r="K1369" s="13">
        <f>CHAIN_RAW!G1369</f>
        <v/>
      </c>
      <c r="L1369" s="13">
        <f>CHAIN_RAW!N1369</f>
        <v/>
      </c>
      <c r="M1369" s="13">
        <f>IFERROR(L1369-K1369,"")</f>
        <v/>
      </c>
      <c r="N1369" s="13">
        <f>CHAIN_RAW!H1369</f>
        <v/>
      </c>
      <c r="O1369" s="13">
        <f>CHAIN_RAW!O1369</f>
        <v/>
      </c>
      <c r="P1369" s="13">
        <f>IFERROR(O1369/N1369,"")</f>
        <v/>
      </c>
      <c r="Q1369" s="13">
        <f>CHAIN_RAW!I1369</f>
        <v/>
      </c>
      <c r="R1369" s="13">
        <f>CHAIN_RAW!P1369</f>
        <v/>
      </c>
      <c r="S1369" s="13">
        <f>IFERROR(R1369/Q1369,"")</f>
        <v/>
      </c>
      <c r="T1369" s="13">
        <f>IFERROR((ABS(N1369-O1369)/MAX(1,(N1369+O1369)))*EXP(-ABS(E1369-CONTROL!E5)/MAX(1,CONTROL!B8)),"")</f>
        <v/>
      </c>
      <c r="U1369" s="13">
        <f>IFERROR(IF(O1369&gt;N1369,"SUPPORT (PE OI)","RESIST (CE OI)"),"")</f>
        <v/>
      </c>
      <c r="V1369" s="13">
        <f>IFERROR(IF(Q1369&gt;0,IF(R1369&gt;0,"BOTH_ADD","CE_ADD_PE_REDUCE"),IF(R1369&gt;0,"CE_REDUCE_PE_ADD","BOTH_REDUCE")),"")</f>
        <v/>
      </c>
      <c r="W1369" s="13">
        <f>IFERROR( (P1369-1)*0.5 + (M1369)*0.1 - (I1369+J1369)*0.05 + T1369*0.4 ,"")</f>
        <v/>
      </c>
      <c r="X1369" s="13">
        <f>IFERROR(IF(ABS(F1369)&lt;0.01,"ATM/NEAR",""),"")</f>
        <v/>
      </c>
    </row>
    <row r="1370">
      <c r="A1370" s="13">
        <f>CHAIN_RAW!A1370</f>
        <v/>
      </c>
      <c r="B1370" s="14">
        <f>CHAIN_RAW!B1370</f>
        <v/>
      </c>
      <c r="C1370" s="13">
        <f>CHAIN_RAW!C1370</f>
        <v/>
      </c>
      <c r="D1370" s="13">
        <f>CHAIN_RAW!D1370</f>
        <v/>
      </c>
      <c r="E1370" s="13">
        <f>CHAIN_RAW!E1370</f>
        <v/>
      </c>
      <c r="F1370" s="13">
        <f>IFERROR((E1370-D1370)/D1370,"")</f>
        <v/>
      </c>
      <c r="G1370" s="13">
        <f>IFERROR((CHAIN_RAW!K1370+CHAIN_RAW!L1370)/2,"")</f>
        <v/>
      </c>
      <c r="H1370" s="13">
        <f>IFERROR((CHAIN_RAW!R1370+CHAIN_RAW!S1370)/2,"")</f>
        <v/>
      </c>
      <c r="I1370" s="13">
        <f>IFERROR((CHAIN_RAW!L1370-CHAIN_RAW!K1370)/MAX(1E-9, G1370),"")</f>
        <v/>
      </c>
      <c r="J1370" s="13">
        <f>IFERROR((CHAIN_RAW!S1370-CHAIN_RAW!R1370)/MAX(1E-9, H1370),"")</f>
        <v/>
      </c>
      <c r="K1370" s="13">
        <f>CHAIN_RAW!G1370</f>
        <v/>
      </c>
      <c r="L1370" s="13">
        <f>CHAIN_RAW!N1370</f>
        <v/>
      </c>
      <c r="M1370" s="13">
        <f>IFERROR(L1370-K1370,"")</f>
        <v/>
      </c>
      <c r="N1370" s="13">
        <f>CHAIN_RAW!H1370</f>
        <v/>
      </c>
      <c r="O1370" s="13">
        <f>CHAIN_RAW!O1370</f>
        <v/>
      </c>
      <c r="P1370" s="13">
        <f>IFERROR(O1370/N1370,"")</f>
        <v/>
      </c>
      <c r="Q1370" s="13">
        <f>CHAIN_RAW!I1370</f>
        <v/>
      </c>
      <c r="R1370" s="13">
        <f>CHAIN_RAW!P1370</f>
        <v/>
      </c>
      <c r="S1370" s="13">
        <f>IFERROR(R1370/Q1370,"")</f>
        <v/>
      </c>
      <c r="T1370" s="13">
        <f>IFERROR((ABS(N1370-O1370)/MAX(1,(N1370+O1370)))*EXP(-ABS(E1370-CONTROL!E5)/MAX(1,CONTROL!B8)),"")</f>
        <v/>
      </c>
      <c r="U1370" s="13">
        <f>IFERROR(IF(O1370&gt;N1370,"SUPPORT (PE OI)","RESIST (CE OI)"),"")</f>
        <v/>
      </c>
      <c r="V1370" s="13">
        <f>IFERROR(IF(Q1370&gt;0,IF(R1370&gt;0,"BOTH_ADD","CE_ADD_PE_REDUCE"),IF(R1370&gt;0,"CE_REDUCE_PE_ADD","BOTH_REDUCE")),"")</f>
        <v/>
      </c>
      <c r="W1370" s="13">
        <f>IFERROR( (P1370-1)*0.5 + (M1370)*0.1 - (I1370+J1370)*0.05 + T1370*0.4 ,"")</f>
        <v/>
      </c>
      <c r="X1370" s="13">
        <f>IFERROR(IF(ABS(F1370)&lt;0.01,"ATM/NEAR",""),"")</f>
        <v/>
      </c>
    </row>
    <row r="1371">
      <c r="A1371" s="13">
        <f>CHAIN_RAW!A1371</f>
        <v/>
      </c>
      <c r="B1371" s="14">
        <f>CHAIN_RAW!B1371</f>
        <v/>
      </c>
      <c r="C1371" s="13">
        <f>CHAIN_RAW!C1371</f>
        <v/>
      </c>
      <c r="D1371" s="13">
        <f>CHAIN_RAW!D1371</f>
        <v/>
      </c>
      <c r="E1371" s="13">
        <f>CHAIN_RAW!E1371</f>
        <v/>
      </c>
      <c r="F1371" s="13">
        <f>IFERROR((E1371-D1371)/D1371,"")</f>
        <v/>
      </c>
      <c r="G1371" s="13">
        <f>IFERROR((CHAIN_RAW!K1371+CHAIN_RAW!L1371)/2,"")</f>
        <v/>
      </c>
      <c r="H1371" s="13">
        <f>IFERROR((CHAIN_RAW!R1371+CHAIN_RAW!S1371)/2,"")</f>
        <v/>
      </c>
      <c r="I1371" s="13">
        <f>IFERROR((CHAIN_RAW!L1371-CHAIN_RAW!K1371)/MAX(1E-9, G1371),"")</f>
        <v/>
      </c>
      <c r="J1371" s="13">
        <f>IFERROR((CHAIN_RAW!S1371-CHAIN_RAW!R1371)/MAX(1E-9, H1371),"")</f>
        <v/>
      </c>
      <c r="K1371" s="13">
        <f>CHAIN_RAW!G1371</f>
        <v/>
      </c>
      <c r="L1371" s="13">
        <f>CHAIN_RAW!N1371</f>
        <v/>
      </c>
      <c r="M1371" s="13">
        <f>IFERROR(L1371-K1371,"")</f>
        <v/>
      </c>
      <c r="N1371" s="13">
        <f>CHAIN_RAW!H1371</f>
        <v/>
      </c>
      <c r="O1371" s="13">
        <f>CHAIN_RAW!O1371</f>
        <v/>
      </c>
      <c r="P1371" s="13">
        <f>IFERROR(O1371/N1371,"")</f>
        <v/>
      </c>
      <c r="Q1371" s="13">
        <f>CHAIN_RAW!I1371</f>
        <v/>
      </c>
      <c r="R1371" s="13">
        <f>CHAIN_RAW!P1371</f>
        <v/>
      </c>
      <c r="S1371" s="13">
        <f>IFERROR(R1371/Q1371,"")</f>
        <v/>
      </c>
      <c r="T1371" s="13">
        <f>IFERROR((ABS(N1371-O1371)/MAX(1,(N1371+O1371)))*EXP(-ABS(E1371-CONTROL!E5)/MAX(1,CONTROL!B8)),"")</f>
        <v/>
      </c>
      <c r="U1371" s="13">
        <f>IFERROR(IF(O1371&gt;N1371,"SUPPORT (PE OI)","RESIST (CE OI)"),"")</f>
        <v/>
      </c>
      <c r="V1371" s="13">
        <f>IFERROR(IF(Q1371&gt;0,IF(R1371&gt;0,"BOTH_ADD","CE_ADD_PE_REDUCE"),IF(R1371&gt;0,"CE_REDUCE_PE_ADD","BOTH_REDUCE")),"")</f>
        <v/>
      </c>
      <c r="W1371" s="13">
        <f>IFERROR( (P1371-1)*0.5 + (M1371)*0.1 - (I1371+J1371)*0.05 + T1371*0.4 ,"")</f>
        <v/>
      </c>
      <c r="X1371" s="13">
        <f>IFERROR(IF(ABS(F1371)&lt;0.01,"ATM/NEAR",""),"")</f>
        <v/>
      </c>
    </row>
    <row r="1372">
      <c r="A1372" s="13">
        <f>CHAIN_RAW!A1372</f>
        <v/>
      </c>
      <c r="B1372" s="14">
        <f>CHAIN_RAW!B1372</f>
        <v/>
      </c>
      <c r="C1372" s="13">
        <f>CHAIN_RAW!C1372</f>
        <v/>
      </c>
      <c r="D1372" s="13">
        <f>CHAIN_RAW!D1372</f>
        <v/>
      </c>
      <c r="E1372" s="13">
        <f>CHAIN_RAW!E1372</f>
        <v/>
      </c>
      <c r="F1372" s="13">
        <f>IFERROR((E1372-D1372)/D1372,"")</f>
        <v/>
      </c>
      <c r="G1372" s="13">
        <f>IFERROR((CHAIN_RAW!K1372+CHAIN_RAW!L1372)/2,"")</f>
        <v/>
      </c>
      <c r="H1372" s="13">
        <f>IFERROR((CHAIN_RAW!R1372+CHAIN_RAW!S1372)/2,"")</f>
        <v/>
      </c>
      <c r="I1372" s="13">
        <f>IFERROR((CHAIN_RAW!L1372-CHAIN_RAW!K1372)/MAX(1E-9, G1372),"")</f>
        <v/>
      </c>
      <c r="J1372" s="13">
        <f>IFERROR((CHAIN_RAW!S1372-CHAIN_RAW!R1372)/MAX(1E-9, H1372),"")</f>
        <v/>
      </c>
      <c r="K1372" s="13">
        <f>CHAIN_RAW!G1372</f>
        <v/>
      </c>
      <c r="L1372" s="13">
        <f>CHAIN_RAW!N1372</f>
        <v/>
      </c>
      <c r="M1372" s="13">
        <f>IFERROR(L1372-K1372,"")</f>
        <v/>
      </c>
      <c r="N1372" s="13">
        <f>CHAIN_RAW!H1372</f>
        <v/>
      </c>
      <c r="O1372" s="13">
        <f>CHAIN_RAW!O1372</f>
        <v/>
      </c>
      <c r="P1372" s="13">
        <f>IFERROR(O1372/N1372,"")</f>
        <v/>
      </c>
      <c r="Q1372" s="13">
        <f>CHAIN_RAW!I1372</f>
        <v/>
      </c>
      <c r="R1372" s="13">
        <f>CHAIN_RAW!P1372</f>
        <v/>
      </c>
      <c r="S1372" s="13">
        <f>IFERROR(R1372/Q1372,"")</f>
        <v/>
      </c>
      <c r="T1372" s="13">
        <f>IFERROR((ABS(N1372-O1372)/MAX(1,(N1372+O1372)))*EXP(-ABS(E1372-CONTROL!E5)/MAX(1,CONTROL!B8)),"")</f>
        <v/>
      </c>
      <c r="U1372" s="13">
        <f>IFERROR(IF(O1372&gt;N1372,"SUPPORT (PE OI)","RESIST (CE OI)"),"")</f>
        <v/>
      </c>
      <c r="V1372" s="13">
        <f>IFERROR(IF(Q1372&gt;0,IF(R1372&gt;0,"BOTH_ADD","CE_ADD_PE_REDUCE"),IF(R1372&gt;0,"CE_REDUCE_PE_ADD","BOTH_REDUCE")),"")</f>
        <v/>
      </c>
      <c r="W1372" s="13">
        <f>IFERROR( (P1372-1)*0.5 + (M1372)*0.1 - (I1372+J1372)*0.05 + T1372*0.4 ,"")</f>
        <v/>
      </c>
      <c r="X1372" s="13">
        <f>IFERROR(IF(ABS(F1372)&lt;0.01,"ATM/NEAR",""),"")</f>
        <v/>
      </c>
    </row>
    <row r="1373">
      <c r="A1373" s="13">
        <f>CHAIN_RAW!A1373</f>
        <v/>
      </c>
      <c r="B1373" s="14">
        <f>CHAIN_RAW!B1373</f>
        <v/>
      </c>
      <c r="C1373" s="13">
        <f>CHAIN_RAW!C1373</f>
        <v/>
      </c>
      <c r="D1373" s="13">
        <f>CHAIN_RAW!D1373</f>
        <v/>
      </c>
      <c r="E1373" s="13">
        <f>CHAIN_RAW!E1373</f>
        <v/>
      </c>
      <c r="F1373" s="13">
        <f>IFERROR((E1373-D1373)/D1373,"")</f>
        <v/>
      </c>
      <c r="G1373" s="13">
        <f>IFERROR((CHAIN_RAW!K1373+CHAIN_RAW!L1373)/2,"")</f>
        <v/>
      </c>
      <c r="H1373" s="13">
        <f>IFERROR((CHAIN_RAW!R1373+CHAIN_RAW!S1373)/2,"")</f>
        <v/>
      </c>
      <c r="I1373" s="13">
        <f>IFERROR((CHAIN_RAW!L1373-CHAIN_RAW!K1373)/MAX(1E-9, G1373),"")</f>
        <v/>
      </c>
      <c r="J1373" s="13">
        <f>IFERROR((CHAIN_RAW!S1373-CHAIN_RAW!R1373)/MAX(1E-9, H1373),"")</f>
        <v/>
      </c>
      <c r="K1373" s="13">
        <f>CHAIN_RAW!G1373</f>
        <v/>
      </c>
      <c r="L1373" s="13">
        <f>CHAIN_RAW!N1373</f>
        <v/>
      </c>
      <c r="M1373" s="13">
        <f>IFERROR(L1373-K1373,"")</f>
        <v/>
      </c>
      <c r="N1373" s="13">
        <f>CHAIN_RAW!H1373</f>
        <v/>
      </c>
      <c r="O1373" s="13">
        <f>CHAIN_RAW!O1373</f>
        <v/>
      </c>
      <c r="P1373" s="13">
        <f>IFERROR(O1373/N1373,"")</f>
        <v/>
      </c>
      <c r="Q1373" s="13">
        <f>CHAIN_RAW!I1373</f>
        <v/>
      </c>
      <c r="R1373" s="13">
        <f>CHAIN_RAW!P1373</f>
        <v/>
      </c>
      <c r="S1373" s="13">
        <f>IFERROR(R1373/Q1373,"")</f>
        <v/>
      </c>
      <c r="T1373" s="13">
        <f>IFERROR((ABS(N1373-O1373)/MAX(1,(N1373+O1373)))*EXP(-ABS(E1373-CONTROL!E5)/MAX(1,CONTROL!B8)),"")</f>
        <v/>
      </c>
      <c r="U1373" s="13">
        <f>IFERROR(IF(O1373&gt;N1373,"SUPPORT (PE OI)","RESIST (CE OI)"),"")</f>
        <v/>
      </c>
      <c r="V1373" s="13">
        <f>IFERROR(IF(Q1373&gt;0,IF(R1373&gt;0,"BOTH_ADD","CE_ADD_PE_REDUCE"),IF(R1373&gt;0,"CE_REDUCE_PE_ADD","BOTH_REDUCE")),"")</f>
        <v/>
      </c>
      <c r="W1373" s="13">
        <f>IFERROR( (P1373-1)*0.5 + (M1373)*0.1 - (I1373+J1373)*0.05 + T1373*0.4 ,"")</f>
        <v/>
      </c>
      <c r="X1373" s="13">
        <f>IFERROR(IF(ABS(F1373)&lt;0.01,"ATM/NEAR",""),"")</f>
        <v/>
      </c>
    </row>
    <row r="1374">
      <c r="A1374" s="13">
        <f>CHAIN_RAW!A1374</f>
        <v/>
      </c>
      <c r="B1374" s="14">
        <f>CHAIN_RAW!B1374</f>
        <v/>
      </c>
      <c r="C1374" s="13">
        <f>CHAIN_RAW!C1374</f>
        <v/>
      </c>
      <c r="D1374" s="13">
        <f>CHAIN_RAW!D1374</f>
        <v/>
      </c>
      <c r="E1374" s="13">
        <f>CHAIN_RAW!E1374</f>
        <v/>
      </c>
      <c r="F1374" s="13">
        <f>IFERROR((E1374-D1374)/D1374,"")</f>
        <v/>
      </c>
      <c r="G1374" s="13">
        <f>IFERROR((CHAIN_RAW!K1374+CHAIN_RAW!L1374)/2,"")</f>
        <v/>
      </c>
      <c r="H1374" s="13">
        <f>IFERROR((CHAIN_RAW!R1374+CHAIN_RAW!S1374)/2,"")</f>
        <v/>
      </c>
      <c r="I1374" s="13">
        <f>IFERROR((CHAIN_RAW!L1374-CHAIN_RAW!K1374)/MAX(1E-9, G1374),"")</f>
        <v/>
      </c>
      <c r="J1374" s="13">
        <f>IFERROR((CHAIN_RAW!S1374-CHAIN_RAW!R1374)/MAX(1E-9, H1374),"")</f>
        <v/>
      </c>
      <c r="K1374" s="13">
        <f>CHAIN_RAW!G1374</f>
        <v/>
      </c>
      <c r="L1374" s="13">
        <f>CHAIN_RAW!N1374</f>
        <v/>
      </c>
      <c r="M1374" s="13">
        <f>IFERROR(L1374-K1374,"")</f>
        <v/>
      </c>
      <c r="N1374" s="13">
        <f>CHAIN_RAW!H1374</f>
        <v/>
      </c>
      <c r="O1374" s="13">
        <f>CHAIN_RAW!O1374</f>
        <v/>
      </c>
      <c r="P1374" s="13">
        <f>IFERROR(O1374/N1374,"")</f>
        <v/>
      </c>
      <c r="Q1374" s="13">
        <f>CHAIN_RAW!I1374</f>
        <v/>
      </c>
      <c r="R1374" s="13">
        <f>CHAIN_RAW!P1374</f>
        <v/>
      </c>
      <c r="S1374" s="13">
        <f>IFERROR(R1374/Q1374,"")</f>
        <v/>
      </c>
      <c r="T1374" s="13">
        <f>IFERROR((ABS(N1374-O1374)/MAX(1,(N1374+O1374)))*EXP(-ABS(E1374-CONTROL!E5)/MAX(1,CONTROL!B8)),"")</f>
        <v/>
      </c>
      <c r="U1374" s="13">
        <f>IFERROR(IF(O1374&gt;N1374,"SUPPORT (PE OI)","RESIST (CE OI)"),"")</f>
        <v/>
      </c>
      <c r="V1374" s="13">
        <f>IFERROR(IF(Q1374&gt;0,IF(R1374&gt;0,"BOTH_ADD","CE_ADD_PE_REDUCE"),IF(R1374&gt;0,"CE_REDUCE_PE_ADD","BOTH_REDUCE")),"")</f>
        <v/>
      </c>
      <c r="W1374" s="13">
        <f>IFERROR( (P1374-1)*0.5 + (M1374)*0.1 - (I1374+J1374)*0.05 + T1374*0.4 ,"")</f>
        <v/>
      </c>
      <c r="X1374" s="13">
        <f>IFERROR(IF(ABS(F1374)&lt;0.01,"ATM/NEAR",""),"")</f>
        <v/>
      </c>
    </row>
    <row r="1375">
      <c r="A1375" s="13">
        <f>CHAIN_RAW!A1375</f>
        <v/>
      </c>
      <c r="B1375" s="14">
        <f>CHAIN_RAW!B1375</f>
        <v/>
      </c>
      <c r="C1375" s="13">
        <f>CHAIN_RAW!C1375</f>
        <v/>
      </c>
      <c r="D1375" s="13">
        <f>CHAIN_RAW!D1375</f>
        <v/>
      </c>
      <c r="E1375" s="13">
        <f>CHAIN_RAW!E1375</f>
        <v/>
      </c>
      <c r="F1375" s="13">
        <f>IFERROR((E1375-D1375)/D1375,"")</f>
        <v/>
      </c>
      <c r="G1375" s="13">
        <f>IFERROR((CHAIN_RAW!K1375+CHAIN_RAW!L1375)/2,"")</f>
        <v/>
      </c>
      <c r="H1375" s="13">
        <f>IFERROR((CHAIN_RAW!R1375+CHAIN_RAW!S1375)/2,"")</f>
        <v/>
      </c>
      <c r="I1375" s="13">
        <f>IFERROR((CHAIN_RAW!L1375-CHAIN_RAW!K1375)/MAX(1E-9, G1375),"")</f>
        <v/>
      </c>
      <c r="J1375" s="13">
        <f>IFERROR((CHAIN_RAW!S1375-CHAIN_RAW!R1375)/MAX(1E-9, H1375),"")</f>
        <v/>
      </c>
      <c r="K1375" s="13">
        <f>CHAIN_RAW!G1375</f>
        <v/>
      </c>
      <c r="L1375" s="13">
        <f>CHAIN_RAW!N1375</f>
        <v/>
      </c>
      <c r="M1375" s="13">
        <f>IFERROR(L1375-K1375,"")</f>
        <v/>
      </c>
      <c r="N1375" s="13">
        <f>CHAIN_RAW!H1375</f>
        <v/>
      </c>
      <c r="O1375" s="13">
        <f>CHAIN_RAW!O1375</f>
        <v/>
      </c>
      <c r="P1375" s="13">
        <f>IFERROR(O1375/N1375,"")</f>
        <v/>
      </c>
      <c r="Q1375" s="13">
        <f>CHAIN_RAW!I1375</f>
        <v/>
      </c>
      <c r="R1375" s="13">
        <f>CHAIN_RAW!P1375</f>
        <v/>
      </c>
      <c r="S1375" s="13">
        <f>IFERROR(R1375/Q1375,"")</f>
        <v/>
      </c>
      <c r="T1375" s="13">
        <f>IFERROR((ABS(N1375-O1375)/MAX(1,(N1375+O1375)))*EXP(-ABS(E1375-CONTROL!E5)/MAX(1,CONTROL!B8)),"")</f>
        <v/>
      </c>
      <c r="U1375" s="13">
        <f>IFERROR(IF(O1375&gt;N1375,"SUPPORT (PE OI)","RESIST (CE OI)"),"")</f>
        <v/>
      </c>
      <c r="V1375" s="13">
        <f>IFERROR(IF(Q1375&gt;0,IF(R1375&gt;0,"BOTH_ADD","CE_ADD_PE_REDUCE"),IF(R1375&gt;0,"CE_REDUCE_PE_ADD","BOTH_REDUCE")),"")</f>
        <v/>
      </c>
      <c r="W1375" s="13">
        <f>IFERROR( (P1375-1)*0.5 + (M1375)*0.1 - (I1375+J1375)*0.05 + T1375*0.4 ,"")</f>
        <v/>
      </c>
      <c r="X1375" s="13">
        <f>IFERROR(IF(ABS(F1375)&lt;0.01,"ATM/NEAR",""),"")</f>
        <v/>
      </c>
    </row>
    <row r="1376">
      <c r="A1376" s="13">
        <f>CHAIN_RAW!A1376</f>
        <v/>
      </c>
      <c r="B1376" s="14">
        <f>CHAIN_RAW!B1376</f>
        <v/>
      </c>
      <c r="C1376" s="13">
        <f>CHAIN_RAW!C1376</f>
        <v/>
      </c>
      <c r="D1376" s="13">
        <f>CHAIN_RAW!D1376</f>
        <v/>
      </c>
      <c r="E1376" s="13">
        <f>CHAIN_RAW!E1376</f>
        <v/>
      </c>
      <c r="F1376" s="13">
        <f>IFERROR((E1376-D1376)/D1376,"")</f>
        <v/>
      </c>
      <c r="G1376" s="13">
        <f>IFERROR((CHAIN_RAW!K1376+CHAIN_RAW!L1376)/2,"")</f>
        <v/>
      </c>
      <c r="H1376" s="13">
        <f>IFERROR((CHAIN_RAW!R1376+CHAIN_RAW!S1376)/2,"")</f>
        <v/>
      </c>
      <c r="I1376" s="13">
        <f>IFERROR((CHAIN_RAW!L1376-CHAIN_RAW!K1376)/MAX(1E-9, G1376),"")</f>
        <v/>
      </c>
      <c r="J1376" s="13">
        <f>IFERROR((CHAIN_RAW!S1376-CHAIN_RAW!R1376)/MAX(1E-9, H1376),"")</f>
        <v/>
      </c>
      <c r="K1376" s="13">
        <f>CHAIN_RAW!G1376</f>
        <v/>
      </c>
      <c r="L1376" s="13">
        <f>CHAIN_RAW!N1376</f>
        <v/>
      </c>
      <c r="M1376" s="13">
        <f>IFERROR(L1376-K1376,"")</f>
        <v/>
      </c>
      <c r="N1376" s="13">
        <f>CHAIN_RAW!H1376</f>
        <v/>
      </c>
      <c r="O1376" s="13">
        <f>CHAIN_RAW!O1376</f>
        <v/>
      </c>
      <c r="P1376" s="13">
        <f>IFERROR(O1376/N1376,"")</f>
        <v/>
      </c>
      <c r="Q1376" s="13">
        <f>CHAIN_RAW!I1376</f>
        <v/>
      </c>
      <c r="R1376" s="13">
        <f>CHAIN_RAW!P1376</f>
        <v/>
      </c>
      <c r="S1376" s="13">
        <f>IFERROR(R1376/Q1376,"")</f>
        <v/>
      </c>
      <c r="T1376" s="13">
        <f>IFERROR((ABS(N1376-O1376)/MAX(1,(N1376+O1376)))*EXP(-ABS(E1376-CONTROL!E5)/MAX(1,CONTROL!B8)),"")</f>
        <v/>
      </c>
      <c r="U1376" s="13">
        <f>IFERROR(IF(O1376&gt;N1376,"SUPPORT (PE OI)","RESIST (CE OI)"),"")</f>
        <v/>
      </c>
      <c r="V1376" s="13">
        <f>IFERROR(IF(Q1376&gt;0,IF(R1376&gt;0,"BOTH_ADD","CE_ADD_PE_REDUCE"),IF(R1376&gt;0,"CE_REDUCE_PE_ADD","BOTH_REDUCE")),"")</f>
        <v/>
      </c>
      <c r="W1376" s="13">
        <f>IFERROR( (P1376-1)*0.5 + (M1376)*0.1 - (I1376+J1376)*0.05 + T1376*0.4 ,"")</f>
        <v/>
      </c>
      <c r="X1376" s="13">
        <f>IFERROR(IF(ABS(F1376)&lt;0.01,"ATM/NEAR",""),"")</f>
        <v/>
      </c>
    </row>
    <row r="1377">
      <c r="A1377" s="13">
        <f>CHAIN_RAW!A1377</f>
        <v/>
      </c>
      <c r="B1377" s="14">
        <f>CHAIN_RAW!B1377</f>
        <v/>
      </c>
      <c r="C1377" s="13">
        <f>CHAIN_RAW!C1377</f>
        <v/>
      </c>
      <c r="D1377" s="13">
        <f>CHAIN_RAW!D1377</f>
        <v/>
      </c>
      <c r="E1377" s="13">
        <f>CHAIN_RAW!E1377</f>
        <v/>
      </c>
      <c r="F1377" s="13">
        <f>IFERROR((E1377-D1377)/D1377,"")</f>
        <v/>
      </c>
      <c r="G1377" s="13">
        <f>IFERROR((CHAIN_RAW!K1377+CHAIN_RAW!L1377)/2,"")</f>
        <v/>
      </c>
      <c r="H1377" s="13">
        <f>IFERROR((CHAIN_RAW!R1377+CHAIN_RAW!S1377)/2,"")</f>
        <v/>
      </c>
      <c r="I1377" s="13">
        <f>IFERROR((CHAIN_RAW!L1377-CHAIN_RAW!K1377)/MAX(1E-9, G1377),"")</f>
        <v/>
      </c>
      <c r="J1377" s="13">
        <f>IFERROR((CHAIN_RAW!S1377-CHAIN_RAW!R1377)/MAX(1E-9, H1377),"")</f>
        <v/>
      </c>
      <c r="K1377" s="13">
        <f>CHAIN_RAW!G1377</f>
        <v/>
      </c>
      <c r="L1377" s="13">
        <f>CHAIN_RAW!N1377</f>
        <v/>
      </c>
      <c r="M1377" s="13">
        <f>IFERROR(L1377-K1377,"")</f>
        <v/>
      </c>
      <c r="N1377" s="13">
        <f>CHAIN_RAW!H1377</f>
        <v/>
      </c>
      <c r="O1377" s="13">
        <f>CHAIN_RAW!O1377</f>
        <v/>
      </c>
      <c r="P1377" s="13">
        <f>IFERROR(O1377/N1377,"")</f>
        <v/>
      </c>
      <c r="Q1377" s="13">
        <f>CHAIN_RAW!I1377</f>
        <v/>
      </c>
      <c r="R1377" s="13">
        <f>CHAIN_RAW!P1377</f>
        <v/>
      </c>
      <c r="S1377" s="13">
        <f>IFERROR(R1377/Q1377,"")</f>
        <v/>
      </c>
      <c r="T1377" s="13">
        <f>IFERROR((ABS(N1377-O1377)/MAX(1,(N1377+O1377)))*EXP(-ABS(E1377-CONTROL!E5)/MAX(1,CONTROL!B8)),"")</f>
        <v/>
      </c>
      <c r="U1377" s="13">
        <f>IFERROR(IF(O1377&gt;N1377,"SUPPORT (PE OI)","RESIST (CE OI)"),"")</f>
        <v/>
      </c>
      <c r="V1377" s="13">
        <f>IFERROR(IF(Q1377&gt;0,IF(R1377&gt;0,"BOTH_ADD","CE_ADD_PE_REDUCE"),IF(R1377&gt;0,"CE_REDUCE_PE_ADD","BOTH_REDUCE")),"")</f>
        <v/>
      </c>
      <c r="W1377" s="13">
        <f>IFERROR( (P1377-1)*0.5 + (M1377)*0.1 - (I1377+J1377)*0.05 + T1377*0.4 ,"")</f>
        <v/>
      </c>
      <c r="X1377" s="13">
        <f>IFERROR(IF(ABS(F1377)&lt;0.01,"ATM/NEAR",""),"")</f>
        <v/>
      </c>
    </row>
    <row r="1378">
      <c r="A1378" s="13">
        <f>CHAIN_RAW!A1378</f>
        <v/>
      </c>
      <c r="B1378" s="14">
        <f>CHAIN_RAW!B1378</f>
        <v/>
      </c>
      <c r="C1378" s="13">
        <f>CHAIN_RAW!C1378</f>
        <v/>
      </c>
      <c r="D1378" s="13">
        <f>CHAIN_RAW!D1378</f>
        <v/>
      </c>
      <c r="E1378" s="13">
        <f>CHAIN_RAW!E1378</f>
        <v/>
      </c>
      <c r="F1378" s="13">
        <f>IFERROR((E1378-D1378)/D1378,"")</f>
        <v/>
      </c>
      <c r="G1378" s="13">
        <f>IFERROR((CHAIN_RAW!K1378+CHAIN_RAW!L1378)/2,"")</f>
        <v/>
      </c>
      <c r="H1378" s="13">
        <f>IFERROR((CHAIN_RAW!R1378+CHAIN_RAW!S1378)/2,"")</f>
        <v/>
      </c>
      <c r="I1378" s="13">
        <f>IFERROR((CHAIN_RAW!L1378-CHAIN_RAW!K1378)/MAX(1E-9, G1378),"")</f>
        <v/>
      </c>
      <c r="J1378" s="13">
        <f>IFERROR((CHAIN_RAW!S1378-CHAIN_RAW!R1378)/MAX(1E-9, H1378),"")</f>
        <v/>
      </c>
      <c r="K1378" s="13">
        <f>CHAIN_RAW!G1378</f>
        <v/>
      </c>
      <c r="L1378" s="13">
        <f>CHAIN_RAW!N1378</f>
        <v/>
      </c>
      <c r="M1378" s="13">
        <f>IFERROR(L1378-K1378,"")</f>
        <v/>
      </c>
      <c r="N1378" s="13">
        <f>CHAIN_RAW!H1378</f>
        <v/>
      </c>
      <c r="O1378" s="13">
        <f>CHAIN_RAW!O1378</f>
        <v/>
      </c>
      <c r="P1378" s="13">
        <f>IFERROR(O1378/N1378,"")</f>
        <v/>
      </c>
      <c r="Q1378" s="13">
        <f>CHAIN_RAW!I1378</f>
        <v/>
      </c>
      <c r="R1378" s="13">
        <f>CHAIN_RAW!P1378</f>
        <v/>
      </c>
      <c r="S1378" s="13">
        <f>IFERROR(R1378/Q1378,"")</f>
        <v/>
      </c>
      <c r="T1378" s="13">
        <f>IFERROR((ABS(N1378-O1378)/MAX(1,(N1378+O1378)))*EXP(-ABS(E1378-CONTROL!E5)/MAX(1,CONTROL!B8)),"")</f>
        <v/>
      </c>
      <c r="U1378" s="13">
        <f>IFERROR(IF(O1378&gt;N1378,"SUPPORT (PE OI)","RESIST (CE OI)"),"")</f>
        <v/>
      </c>
      <c r="V1378" s="13">
        <f>IFERROR(IF(Q1378&gt;0,IF(R1378&gt;0,"BOTH_ADD","CE_ADD_PE_REDUCE"),IF(R1378&gt;0,"CE_REDUCE_PE_ADD","BOTH_REDUCE")),"")</f>
        <v/>
      </c>
      <c r="W1378" s="13">
        <f>IFERROR( (P1378-1)*0.5 + (M1378)*0.1 - (I1378+J1378)*0.05 + T1378*0.4 ,"")</f>
        <v/>
      </c>
      <c r="X1378" s="13">
        <f>IFERROR(IF(ABS(F1378)&lt;0.01,"ATM/NEAR",""),"")</f>
        <v/>
      </c>
    </row>
    <row r="1379">
      <c r="A1379" s="13">
        <f>CHAIN_RAW!A1379</f>
        <v/>
      </c>
      <c r="B1379" s="14">
        <f>CHAIN_RAW!B1379</f>
        <v/>
      </c>
      <c r="C1379" s="13">
        <f>CHAIN_RAW!C1379</f>
        <v/>
      </c>
      <c r="D1379" s="13">
        <f>CHAIN_RAW!D1379</f>
        <v/>
      </c>
      <c r="E1379" s="13">
        <f>CHAIN_RAW!E1379</f>
        <v/>
      </c>
      <c r="F1379" s="13">
        <f>IFERROR((E1379-D1379)/D1379,"")</f>
        <v/>
      </c>
      <c r="G1379" s="13">
        <f>IFERROR((CHAIN_RAW!K1379+CHAIN_RAW!L1379)/2,"")</f>
        <v/>
      </c>
      <c r="H1379" s="13">
        <f>IFERROR((CHAIN_RAW!R1379+CHAIN_RAW!S1379)/2,"")</f>
        <v/>
      </c>
      <c r="I1379" s="13">
        <f>IFERROR((CHAIN_RAW!L1379-CHAIN_RAW!K1379)/MAX(1E-9, G1379),"")</f>
        <v/>
      </c>
      <c r="J1379" s="13">
        <f>IFERROR((CHAIN_RAW!S1379-CHAIN_RAW!R1379)/MAX(1E-9, H1379),"")</f>
        <v/>
      </c>
      <c r="K1379" s="13">
        <f>CHAIN_RAW!G1379</f>
        <v/>
      </c>
      <c r="L1379" s="13">
        <f>CHAIN_RAW!N1379</f>
        <v/>
      </c>
      <c r="M1379" s="13">
        <f>IFERROR(L1379-K1379,"")</f>
        <v/>
      </c>
      <c r="N1379" s="13">
        <f>CHAIN_RAW!H1379</f>
        <v/>
      </c>
      <c r="O1379" s="13">
        <f>CHAIN_RAW!O1379</f>
        <v/>
      </c>
      <c r="P1379" s="13">
        <f>IFERROR(O1379/N1379,"")</f>
        <v/>
      </c>
      <c r="Q1379" s="13">
        <f>CHAIN_RAW!I1379</f>
        <v/>
      </c>
      <c r="R1379" s="13">
        <f>CHAIN_RAW!P1379</f>
        <v/>
      </c>
      <c r="S1379" s="13">
        <f>IFERROR(R1379/Q1379,"")</f>
        <v/>
      </c>
      <c r="T1379" s="13">
        <f>IFERROR((ABS(N1379-O1379)/MAX(1,(N1379+O1379)))*EXP(-ABS(E1379-CONTROL!E5)/MAX(1,CONTROL!B8)),"")</f>
        <v/>
      </c>
      <c r="U1379" s="13">
        <f>IFERROR(IF(O1379&gt;N1379,"SUPPORT (PE OI)","RESIST (CE OI)"),"")</f>
        <v/>
      </c>
      <c r="V1379" s="13">
        <f>IFERROR(IF(Q1379&gt;0,IF(R1379&gt;0,"BOTH_ADD","CE_ADD_PE_REDUCE"),IF(R1379&gt;0,"CE_REDUCE_PE_ADD","BOTH_REDUCE")),"")</f>
        <v/>
      </c>
      <c r="W1379" s="13">
        <f>IFERROR( (P1379-1)*0.5 + (M1379)*0.1 - (I1379+J1379)*0.05 + T1379*0.4 ,"")</f>
        <v/>
      </c>
      <c r="X1379" s="13">
        <f>IFERROR(IF(ABS(F1379)&lt;0.01,"ATM/NEAR",""),"")</f>
        <v/>
      </c>
    </row>
    <row r="1380">
      <c r="A1380" s="13">
        <f>CHAIN_RAW!A1380</f>
        <v/>
      </c>
      <c r="B1380" s="14">
        <f>CHAIN_RAW!B1380</f>
        <v/>
      </c>
      <c r="C1380" s="13">
        <f>CHAIN_RAW!C1380</f>
        <v/>
      </c>
      <c r="D1380" s="13">
        <f>CHAIN_RAW!D1380</f>
        <v/>
      </c>
      <c r="E1380" s="13">
        <f>CHAIN_RAW!E1380</f>
        <v/>
      </c>
      <c r="F1380" s="13">
        <f>IFERROR((E1380-D1380)/D1380,"")</f>
        <v/>
      </c>
      <c r="G1380" s="13">
        <f>IFERROR((CHAIN_RAW!K1380+CHAIN_RAW!L1380)/2,"")</f>
        <v/>
      </c>
      <c r="H1380" s="13">
        <f>IFERROR((CHAIN_RAW!R1380+CHAIN_RAW!S1380)/2,"")</f>
        <v/>
      </c>
      <c r="I1380" s="13">
        <f>IFERROR((CHAIN_RAW!L1380-CHAIN_RAW!K1380)/MAX(1E-9, G1380),"")</f>
        <v/>
      </c>
      <c r="J1380" s="13">
        <f>IFERROR((CHAIN_RAW!S1380-CHAIN_RAW!R1380)/MAX(1E-9, H1380),"")</f>
        <v/>
      </c>
      <c r="K1380" s="13">
        <f>CHAIN_RAW!G1380</f>
        <v/>
      </c>
      <c r="L1380" s="13">
        <f>CHAIN_RAW!N1380</f>
        <v/>
      </c>
      <c r="M1380" s="13">
        <f>IFERROR(L1380-K1380,"")</f>
        <v/>
      </c>
      <c r="N1380" s="13">
        <f>CHAIN_RAW!H1380</f>
        <v/>
      </c>
      <c r="O1380" s="13">
        <f>CHAIN_RAW!O1380</f>
        <v/>
      </c>
      <c r="P1380" s="13">
        <f>IFERROR(O1380/N1380,"")</f>
        <v/>
      </c>
      <c r="Q1380" s="13">
        <f>CHAIN_RAW!I1380</f>
        <v/>
      </c>
      <c r="R1380" s="13">
        <f>CHAIN_RAW!P1380</f>
        <v/>
      </c>
      <c r="S1380" s="13">
        <f>IFERROR(R1380/Q1380,"")</f>
        <v/>
      </c>
      <c r="T1380" s="13">
        <f>IFERROR((ABS(N1380-O1380)/MAX(1,(N1380+O1380)))*EXP(-ABS(E1380-CONTROL!E5)/MAX(1,CONTROL!B8)),"")</f>
        <v/>
      </c>
      <c r="U1380" s="13">
        <f>IFERROR(IF(O1380&gt;N1380,"SUPPORT (PE OI)","RESIST (CE OI)"),"")</f>
        <v/>
      </c>
      <c r="V1380" s="13">
        <f>IFERROR(IF(Q1380&gt;0,IF(R1380&gt;0,"BOTH_ADD","CE_ADD_PE_REDUCE"),IF(R1380&gt;0,"CE_REDUCE_PE_ADD","BOTH_REDUCE")),"")</f>
        <v/>
      </c>
      <c r="W1380" s="13">
        <f>IFERROR( (P1380-1)*0.5 + (M1380)*0.1 - (I1380+J1380)*0.05 + T1380*0.4 ,"")</f>
        <v/>
      </c>
      <c r="X1380" s="13">
        <f>IFERROR(IF(ABS(F1380)&lt;0.01,"ATM/NEAR",""),"")</f>
        <v/>
      </c>
    </row>
    <row r="1381">
      <c r="A1381" s="13">
        <f>CHAIN_RAW!A1381</f>
        <v/>
      </c>
      <c r="B1381" s="14">
        <f>CHAIN_RAW!B1381</f>
        <v/>
      </c>
      <c r="C1381" s="13">
        <f>CHAIN_RAW!C1381</f>
        <v/>
      </c>
      <c r="D1381" s="13">
        <f>CHAIN_RAW!D1381</f>
        <v/>
      </c>
      <c r="E1381" s="13">
        <f>CHAIN_RAW!E1381</f>
        <v/>
      </c>
      <c r="F1381" s="13">
        <f>IFERROR((E1381-D1381)/D1381,"")</f>
        <v/>
      </c>
      <c r="G1381" s="13">
        <f>IFERROR((CHAIN_RAW!K1381+CHAIN_RAW!L1381)/2,"")</f>
        <v/>
      </c>
      <c r="H1381" s="13">
        <f>IFERROR((CHAIN_RAW!R1381+CHAIN_RAW!S1381)/2,"")</f>
        <v/>
      </c>
      <c r="I1381" s="13">
        <f>IFERROR((CHAIN_RAW!L1381-CHAIN_RAW!K1381)/MAX(1E-9, G1381),"")</f>
        <v/>
      </c>
      <c r="J1381" s="13">
        <f>IFERROR((CHAIN_RAW!S1381-CHAIN_RAW!R1381)/MAX(1E-9, H1381),"")</f>
        <v/>
      </c>
      <c r="K1381" s="13">
        <f>CHAIN_RAW!G1381</f>
        <v/>
      </c>
      <c r="L1381" s="13">
        <f>CHAIN_RAW!N1381</f>
        <v/>
      </c>
      <c r="M1381" s="13">
        <f>IFERROR(L1381-K1381,"")</f>
        <v/>
      </c>
      <c r="N1381" s="13">
        <f>CHAIN_RAW!H1381</f>
        <v/>
      </c>
      <c r="O1381" s="13">
        <f>CHAIN_RAW!O1381</f>
        <v/>
      </c>
      <c r="P1381" s="13">
        <f>IFERROR(O1381/N1381,"")</f>
        <v/>
      </c>
      <c r="Q1381" s="13">
        <f>CHAIN_RAW!I1381</f>
        <v/>
      </c>
      <c r="R1381" s="13">
        <f>CHAIN_RAW!P1381</f>
        <v/>
      </c>
      <c r="S1381" s="13">
        <f>IFERROR(R1381/Q1381,"")</f>
        <v/>
      </c>
      <c r="T1381" s="13">
        <f>IFERROR((ABS(N1381-O1381)/MAX(1,(N1381+O1381)))*EXP(-ABS(E1381-CONTROL!E5)/MAX(1,CONTROL!B8)),"")</f>
        <v/>
      </c>
      <c r="U1381" s="13">
        <f>IFERROR(IF(O1381&gt;N1381,"SUPPORT (PE OI)","RESIST (CE OI)"),"")</f>
        <v/>
      </c>
      <c r="V1381" s="13">
        <f>IFERROR(IF(Q1381&gt;0,IF(R1381&gt;0,"BOTH_ADD","CE_ADD_PE_REDUCE"),IF(R1381&gt;0,"CE_REDUCE_PE_ADD","BOTH_REDUCE")),"")</f>
        <v/>
      </c>
      <c r="W1381" s="13">
        <f>IFERROR( (P1381-1)*0.5 + (M1381)*0.1 - (I1381+J1381)*0.05 + T1381*0.4 ,"")</f>
        <v/>
      </c>
      <c r="X1381" s="13">
        <f>IFERROR(IF(ABS(F1381)&lt;0.01,"ATM/NEAR",""),"")</f>
        <v/>
      </c>
    </row>
    <row r="1382">
      <c r="A1382" s="13">
        <f>CHAIN_RAW!A1382</f>
        <v/>
      </c>
      <c r="B1382" s="14">
        <f>CHAIN_RAW!B1382</f>
        <v/>
      </c>
      <c r="C1382" s="13">
        <f>CHAIN_RAW!C1382</f>
        <v/>
      </c>
      <c r="D1382" s="13">
        <f>CHAIN_RAW!D1382</f>
        <v/>
      </c>
      <c r="E1382" s="13">
        <f>CHAIN_RAW!E1382</f>
        <v/>
      </c>
      <c r="F1382" s="13">
        <f>IFERROR((E1382-D1382)/D1382,"")</f>
        <v/>
      </c>
      <c r="G1382" s="13">
        <f>IFERROR((CHAIN_RAW!K1382+CHAIN_RAW!L1382)/2,"")</f>
        <v/>
      </c>
      <c r="H1382" s="13">
        <f>IFERROR((CHAIN_RAW!R1382+CHAIN_RAW!S1382)/2,"")</f>
        <v/>
      </c>
      <c r="I1382" s="13">
        <f>IFERROR((CHAIN_RAW!L1382-CHAIN_RAW!K1382)/MAX(1E-9, G1382),"")</f>
        <v/>
      </c>
      <c r="J1382" s="13">
        <f>IFERROR((CHAIN_RAW!S1382-CHAIN_RAW!R1382)/MAX(1E-9, H1382),"")</f>
        <v/>
      </c>
      <c r="K1382" s="13">
        <f>CHAIN_RAW!G1382</f>
        <v/>
      </c>
      <c r="L1382" s="13">
        <f>CHAIN_RAW!N1382</f>
        <v/>
      </c>
      <c r="M1382" s="13">
        <f>IFERROR(L1382-K1382,"")</f>
        <v/>
      </c>
      <c r="N1382" s="13">
        <f>CHAIN_RAW!H1382</f>
        <v/>
      </c>
      <c r="O1382" s="13">
        <f>CHAIN_RAW!O1382</f>
        <v/>
      </c>
      <c r="P1382" s="13">
        <f>IFERROR(O1382/N1382,"")</f>
        <v/>
      </c>
      <c r="Q1382" s="13">
        <f>CHAIN_RAW!I1382</f>
        <v/>
      </c>
      <c r="R1382" s="13">
        <f>CHAIN_RAW!P1382</f>
        <v/>
      </c>
      <c r="S1382" s="13">
        <f>IFERROR(R1382/Q1382,"")</f>
        <v/>
      </c>
      <c r="T1382" s="13">
        <f>IFERROR((ABS(N1382-O1382)/MAX(1,(N1382+O1382)))*EXP(-ABS(E1382-CONTROL!E5)/MAX(1,CONTROL!B8)),"")</f>
        <v/>
      </c>
      <c r="U1382" s="13">
        <f>IFERROR(IF(O1382&gt;N1382,"SUPPORT (PE OI)","RESIST (CE OI)"),"")</f>
        <v/>
      </c>
      <c r="V1382" s="13">
        <f>IFERROR(IF(Q1382&gt;0,IF(R1382&gt;0,"BOTH_ADD","CE_ADD_PE_REDUCE"),IF(R1382&gt;0,"CE_REDUCE_PE_ADD","BOTH_REDUCE")),"")</f>
        <v/>
      </c>
      <c r="W1382" s="13">
        <f>IFERROR( (P1382-1)*0.5 + (M1382)*0.1 - (I1382+J1382)*0.05 + T1382*0.4 ,"")</f>
        <v/>
      </c>
      <c r="X1382" s="13">
        <f>IFERROR(IF(ABS(F1382)&lt;0.01,"ATM/NEAR",""),"")</f>
        <v/>
      </c>
    </row>
    <row r="1383">
      <c r="A1383" s="13">
        <f>CHAIN_RAW!A1383</f>
        <v/>
      </c>
      <c r="B1383" s="14">
        <f>CHAIN_RAW!B1383</f>
        <v/>
      </c>
      <c r="C1383" s="13">
        <f>CHAIN_RAW!C1383</f>
        <v/>
      </c>
      <c r="D1383" s="13">
        <f>CHAIN_RAW!D1383</f>
        <v/>
      </c>
      <c r="E1383" s="13">
        <f>CHAIN_RAW!E1383</f>
        <v/>
      </c>
      <c r="F1383" s="13">
        <f>IFERROR((E1383-D1383)/D1383,"")</f>
        <v/>
      </c>
      <c r="G1383" s="13">
        <f>IFERROR((CHAIN_RAW!K1383+CHAIN_RAW!L1383)/2,"")</f>
        <v/>
      </c>
      <c r="H1383" s="13">
        <f>IFERROR((CHAIN_RAW!R1383+CHAIN_RAW!S1383)/2,"")</f>
        <v/>
      </c>
      <c r="I1383" s="13">
        <f>IFERROR((CHAIN_RAW!L1383-CHAIN_RAW!K1383)/MAX(1E-9, G1383),"")</f>
        <v/>
      </c>
      <c r="J1383" s="13">
        <f>IFERROR((CHAIN_RAW!S1383-CHAIN_RAW!R1383)/MAX(1E-9, H1383),"")</f>
        <v/>
      </c>
      <c r="K1383" s="13">
        <f>CHAIN_RAW!G1383</f>
        <v/>
      </c>
      <c r="L1383" s="13">
        <f>CHAIN_RAW!N1383</f>
        <v/>
      </c>
      <c r="M1383" s="13">
        <f>IFERROR(L1383-K1383,"")</f>
        <v/>
      </c>
      <c r="N1383" s="13">
        <f>CHAIN_RAW!H1383</f>
        <v/>
      </c>
      <c r="O1383" s="13">
        <f>CHAIN_RAW!O1383</f>
        <v/>
      </c>
      <c r="P1383" s="13">
        <f>IFERROR(O1383/N1383,"")</f>
        <v/>
      </c>
      <c r="Q1383" s="13">
        <f>CHAIN_RAW!I1383</f>
        <v/>
      </c>
      <c r="R1383" s="13">
        <f>CHAIN_RAW!P1383</f>
        <v/>
      </c>
      <c r="S1383" s="13">
        <f>IFERROR(R1383/Q1383,"")</f>
        <v/>
      </c>
      <c r="T1383" s="13">
        <f>IFERROR((ABS(N1383-O1383)/MAX(1,(N1383+O1383)))*EXP(-ABS(E1383-CONTROL!E5)/MAX(1,CONTROL!B8)),"")</f>
        <v/>
      </c>
      <c r="U1383" s="13">
        <f>IFERROR(IF(O1383&gt;N1383,"SUPPORT (PE OI)","RESIST (CE OI)"),"")</f>
        <v/>
      </c>
      <c r="V1383" s="13">
        <f>IFERROR(IF(Q1383&gt;0,IF(R1383&gt;0,"BOTH_ADD","CE_ADD_PE_REDUCE"),IF(R1383&gt;0,"CE_REDUCE_PE_ADD","BOTH_REDUCE")),"")</f>
        <v/>
      </c>
      <c r="W1383" s="13">
        <f>IFERROR( (P1383-1)*0.5 + (M1383)*0.1 - (I1383+J1383)*0.05 + T1383*0.4 ,"")</f>
        <v/>
      </c>
      <c r="X1383" s="13">
        <f>IFERROR(IF(ABS(F1383)&lt;0.01,"ATM/NEAR",""),"")</f>
        <v/>
      </c>
    </row>
    <row r="1384">
      <c r="A1384" s="13">
        <f>CHAIN_RAW!A1384</f>
        <v/>
      </c>
      <c r="B1384" s="14">
        <f>CHAIN_RAW!B1384</f>
        <v/>
      </c>
      <c r="C1384" s="13">
        <f>CHAIN_RAW!C1384</f>
        <v/>
      </c>
      <c r="D1384" s="13">
        <f>CHAIN_RAW!D1384</f>
        <v/>
      </c>
      <c r="E1384" s="13">
        <f>CHAIN_RAW!E1384</f>
        <v/>
      </c>
      <c r="F1384" s="13">
        <f>IFERROR((E1384-D1384)/D1384,"")</f>
        <v/>
      </c>
      <c r="G1384" s="13">
        <f>IFERROR((CHAIN_RAW!K1384+CHAIN_RAW!L1384)/2,"")</f>
        <v/>
      </c>
      <c r="H1384" s="13">
        <f>IFERROR((CHAIN_RAW!R1384+CHAIN_RAW!S1384)/2,"")</f>
        <v/>
      </c>
      <c r="I1384" s="13">
        <f>IFERROR((CHAIN_RAW!L1384-CHAIN_RAW!K1384)/MAX(1E-9, G1384),"")</f>
        <v/>
      </c>
      <c r="J1384" s="13">
        <f>IFERROR((CHAIN_RAW!S1384-CHAIN_RAW!R1384)/MAX(1E-9, H1384),"")</f>
        <v/>
      </c>
      <c r="K1384" s="13">
        <f>CHAIN_RAW!G1384</f>
        <v/>
      </c>
      <c r="L1384" s="13">
        <f>CHAIN_RAW!N1384</f>
        <v/>
      </c>
      <c r="M1384" s="13">
        <f>IFERROR(L1384-K1384,"")</f>
        <v/>
      </c>
      <c r="N1384" s="13">
        <f>CHAIN_RAW!H1384</f>
        <v/>
      </c>
      <c r="O1384" s="13">
        <f>CHAIN_RAW!O1384</f>
        <v/>
      </c>
      <c r="P1384" s="13">
        <f>IFERROR(O1384/N1384,"")</f>
        <v/>
      </c>
      <c r="Q1384" s="13">
        <f>CHAIN_RAW!I1384</f>
        <v/>
      </c>
      <c r="R1384" s="13">
        <f>CHAIN_RAW!P1384</f>
        <v/>
      </c>
      <c r="S1384" s="13">
        <f>IFERROR(R1384/Q1384,"")</f>
        <v/>
      </c>
      <c r="T1384" s="13">
        <f>IFERROR((ABS(N1384-O1384)/MAX(1,(N1384+O1384)))*EXP(-ABS(E1384-CONTROL!E5)/MAX(1,CONTROL!B8)),"")</f>
        <v/>
      </c>
      <c r="U1384" s="13">
        <f>IFERROR(IF(O1384&gt;N1384,"SUPPORT (PE OI)","RESIST (CE OI)"),"")</f>
        <v/>
      </c>
      <c r="V1384" s="13">
        <f>IFERROR(IF(Q1384&gt;0,IF(R1384&gt;0,"BOTH_ADD","CE_ADD_PE_REDUCE"),IF(R1384&gt;0,"CE_REDUCE_PE_ADD","BOTH_REDUCE")),"")</f>
        <v/>
      </c>
      <c r="W1384" s="13">
        <f>IFERROR( (P1384-1)*0.5 + (M1384)*0.1 - (I1384+J1384)*0.05 + T1384*0.4 ,"")</f>
        <v/>
      </c>
      <c r="X1384" s="13">
        <f>IFERROR(IF(ABS(F1384)&lt;0.01,"ATM/NEAR",""),"")</f>
        <v/>
      </c>
    </row>
    <row r="1385">
      <c r="A1385" s="13">
        <f>CHAIN_RAW!A1385</f>
        <v/>
      </c>
      <c r="B1385" s="14">
        <f>CHAIN_RAW!B1385</f>
        <v/>
      </c>
      <c r="C1385" s="13">
        <f>CHAIN_RAW!C1385</f>
        <v/>
      </c>
      <c r="D1385" s="13">
        <f>CHAIN_RAW!D1385</f>
        <v/>
      </c>
      <c r="E1385" s="13">
        <f>CHAIN_RAW!E1385</f>
        <v/>
      </c>
      <c r="F1385" s="13">
        <f>IFERROR((E1385-D1385)/D1385,"")</f>
        <v/>
      </c>
      <c r="G1385" s="13">
        <f>IFERROR((CHAIN_RAW!K1385+CHAIN_RAW!L1385)/2,"")</f>
        <v/>
      </c>
      <c r="H1385" s="13">
        <f>IFERROR((CHAIN_RAW!R1385+CHAIN_RAW!S1385)/2,"")</f>
        <v/>
      </c>
      <c r="I1385" s="13">
        <f>IFERROR((CHAIN_RAW!L1385-CHAIN_RAW!K1385)/MAX(1E-9, G1385),"")</f>
        <v/>
      </c>
      <c r="J1385" s="13">
        <f>IFERROR((CHAIN_RAW!S1385-CHAIN_RAW!R1385)/MAX(1E-9, H1385),"")</f>
        <v/>
      </c>
      <c r="K1385" s="13">
        <f>CHAIN_RAW!G1385</f>
        <v/>
      </c>
      <c r="L1385" s="13">
        <f>CHAIN_RAW!N1385</f>
        <v/>
      </c>
      <c r="M1385" s="13">
        <f>IFERROR(L1385-K1385,"")</f>
        <v/>
      </c>
      <c r="N1385" s="13">
        <f>CHAIN_RAW!H1385</f>
        <v/>
      </c>
      <c r="O1385" s="13">
        <f>CHAIN_RAW!O1385</f>
        <v/>
      </c>
      <c r="P1385" s="13">
        <f>IFERROR(O1385/N1385,"")</f>
        <v/>
      </c>
      <c r="Q1385" s="13">
        <f>CHAIN_RAW!I1385</f>
        <v/>
      </c>
      <c r="R1385" s="13">
        <f>CHAIN_RAW!P1385</f>
        <v/>
      </c>
      <c r="S1385" s="13">
        <f>IFERROR(R1385/Q1385,"")</f>
        <v/>
      </c>
      <c r="T1385" s="13">
        <f>IFERROR((ABS(N1385-O1385)/MAX(1,(N1385+O1385)))*EXP(-ABS(E1385-CONTROL!E5)/MAX(1,CONTROL!B8)),"")</f>
        <v/>
      </c>
      <c r="U1385" s="13">
        <f>IFERROR(IF(O1385&gt;N1385,"SUPPORT (PE OI)","RESIST (CE OI)"),"")</f>
        <v/>
      </c>
      <c r="V1385" s="13">
        <f>IFERROR(IF(Q1385&gt;0,IF(R1385&gt;0,"BOTH_ADD","CE_ADD_PE_REDUCE"),IF(R1385&gt;0,"CE_REDUCE_PE_ADD","BOTH_REDUCE")),"")</f>
        <v/>
      </c>
      <c r="W1385" s="13">
        <f>IFERROR( (P1385-1)*0.5 + (M1385)*0.1 - (I1385+J1385)*0.05 + T1385*0.4 ,"")</f>
        <v/>
      </c>
      <c r="X1385" s="13">
        <f>IFERROR(IF(ABS(F1385)&lt;0.01,"ATM/NEAR",""),"")</f>
        <v/>
      </c>
    </row>
    <row r="1386">
      <c r="A1386" s="13">
        <f>CHAIN_RAW!A1386</f>
        <v/>
      </c>
      <c r="B1386" s="14">
        <f>CHAIN_RAW!B1386</f>
        <v/>
      </c>
      <c r="C1386" s="13">
        <f>CHAIN_RAW!C1386</f>
        <v/>
      </c>
      <c r="D1386" s="13">
        <f>CHAIN_RAW!D1386</f>
        <v/>
      </c>
      <c r="E1386" s="13">
        <f>CHAIN_RAW!E1386</f>
        <v/>
      </c>
      <c r="F1386" s="13">
        <f>IFERROR((E1386-D1386)/D1386,"")</f>
        <v/>
      </c>
      <c r="G1386" s="13">
        <f>IFERROR((CHAIN_RAW!K1386+CHAIN_RAW!L1386)/2,"")</f>
        <v/>
      </c>
      <c r="H1386" s="13">
        <f>IFERROR((CHAIN_RAW!R1386+CHAIN_RAW!S1386)/2,"")</f>
        <v/>
      </c>
      <c r="I1386" s="13">
        <f>IFERROR((CHAIN_RAW!L1386-CHAIN_RAW!K1386)/MAX(1E-9, G1386),"")</f>
        <v/>
      </c>
      <c r="J1386" s="13">
        <f>IFERROR((CHAIN_RAW!S1386-CHAIN_RAW!R1386)/MAX(1E-9, H1386),"")</f>
        <v/>
      </c>
      <c r="K1386" s="13">
        <f>CHAIN_RAW!G1386</f>
        <v/>
      </c>
      <c r="L1386" s="13">
        <f>CHAIN_RAW!N1386</f>
        <v/>
      </c>
      <c r="M1386" s="13">
        <f>IFERROR(L1386-K1386,"")</f>
        <v/>
      </c>
      <c r="N1386" s="13">
        <f>CHAIN_RAW!H1386</f>
        <v/>
      </c>
      <c r="O1386" s="13">
        <f>CHAIN_RAW!O1386</f>
        <v/>
      </c>
      <c r="P1386" s="13">
        <f>IFERROR(O1386/N1386,"")</f>
        <v/>
      </c>
      <c r="Q1386" s="13">
        <f>CHAIN_RAW!I1386</f>
        <v/>
      </c>
      <c r="R1386" s="13">
        <f>CHAIN_RAW!P1386</f>
        <v/>
      </c>
      <c r="S1386" s="13">
        <f>IFERROR(R1386/Q1386,"")</f>
        <v/>
      </c>
      <c r="T1386" s="13">
        <f>IFERROR((ABS(N1386-O1386)/MAX(1,(N1386+O1386)))*EXP(-ABS(E1386-CONTROL!E5)/MAX(1,CONTROL!B8)),"")</f>
        <v/>
      </c>
      <c r="U1386" s="13">
        <f>IFERROR(IF(O1386&gt;N1386,"SUPPORT (PE OI)","RESIST (CE OI)"),"")</f>
        <v/>
      </c>
      <c r="V1386" s="13">
        <f>IFERROR(IF(Q1386&gt;0,IF(R1386&gt;0,"BOTH_ADD","CE_ADD_PE_REDUCE"),IF(R1386&gt;0,"CE_REDUCE_PE_ADD","BOTH_REDUCE")),"")</f>
        <v/>
      </c>
      <c r="W1386" s="13">
        <f>IFERROR( (P1386-1)*0.5 + (M1386)*0.1 - (I1386+J1386)*0.05 + T1386*0.4 ,"")</f>
        <v/>
      </c>
      <c r="X1386" s="13">
        <f>IFERROR(IF(ABS(F1386)&lt;0.01,"ATM/NEAR",""),"")</f>
        <v/>
      </c>
    </row>
    <row r="1387">
      <c r="A1387" s="13">
        <f>CHAIN_RAW!A1387</f>
        <v/>
      </c>
      <c r="B1387" s="14">
        <f>CHAIN_RAW!B1387</f>
        <v/>
      </c>
      <c r="C1387" s="13">
        <f>CHAIN_RAW!C1387</f>
        <v/>
      </c>
      <c r="D1387" s="13">
        <f>CHAIN_RAW!D1387</f>
        <v/>
      </c>
      <c r="E1387" s="13">
        <f>CHAIN_RAW!E1387</f>
        <v/>
      </c>
      <c r="F1387" s="13">
        <f>IFERROR((E1387-D1387)/D1387,"")</f>
        <v/>
      </c>
      <c r="G1387" s="13">
        <f>IFERROR((CHAIN_RAW!K1387+CHAIN_RAW!L1387)/2,"")</f>
        <v/>
      </c>
      <c r="H1387" s="13">
        <f>IFERROR((CHAIN_RAW!R1387+CHAIN_RAW!S1387)/2,"")</f>
        <v/>
      </c>
      <c r="I1387" s="13">
        <f>IFERROR((CHAIN_RAW!L1387-CHAIN_RAW!K1387)/MAX(1E-9, G1387),"")</f>
        <v/>
      </c>
      <c r="J1387" s="13">
        <f>IFERROR((CHAIN_RAW!S1387-CHAIN_RAW!R1387)/MAX(1E-9, H1387),"")</f>
        <v/>
      </c>
      <c r="K1387" s="13">
        <f>CHAIN_RAW!G1387</f>
        <v/>
      </c>
      <c r="L1387" s="13">
        <f>CHAIN_RAW!N1387</f>
        <v/>
      </c>
      <c r="M1387" s="13">
        <f>IFERROR(L1387-K1387,"")</f>
        <v/>
      </c>
      <c r="N1387" s="13">
        <f>CHAIN_RAW!H1387</f>
        <v/>
      </c>
      <c r="O1387" s="13">
        <f>CHAIN_RAW!O1387</f>
        <v/>
      </c>
      <c r="P1387" s="13">
        <f>IFERROR(O1387/N1387,"")</f>
        <v/>
      </c>
      <c r="Q1387" s="13">
        <f>CHAIN_RAW!I1387</f>
        <v/>
      </c>
      <c r="R1387" s="13">
        <f>CHAIN_RAW!P1387</f>
        <v/>
      </c>
      <c r="S1387" s="13">
        <f>IFERROR(R1387/Q1387,"")</f>
        <v/>
      </c>
      <c r="T1387" s="13">
        <f>IFERROR((ABS(N1387-O1387)/MAX(1,(N1387+O1387)))*EXP(-ABS(E1387-CONTROL!E5)/MAX(1,CONTROL!B8)),"")</f>
        <v/>
      </c>
      <c r="U1387" s="13">
        <f>IFERROR(IF(O1387&gt;N1387,"SUPPORT (PE OI)","RESIST (CE OI)"),"")</f>
        <v/>
      </c>
      <c r="V1387" s="13">
        <f>IFERROR(IF(Q1387&gt;0,IF(R1387&gt;0,"BOTH_ADD","CE_ADD_PE_REDUCE"),IF(R1387&gt;0,"CE_REDUCE_PE_ADD","BOTH_REDUCE")),"")</f>
        <v/>
      </c>
      <c r="W1387" s="13">
        <f>IFERROR( (P1387-1)*0.5 + (M1387)*0.1 - (I1387+J1387)*0.05 + T1387*0.4 ,"")</f>
        <v/>
      </c>
      <c r="X1387" s="13">
        <f>IFERROR(IF(ABS(F1387)&lt;0.01,"ATM/NEAR",""),"")</f>
        <v/>
      </c>
    </row>
    <row r="1388">
      <c r="A1388" s="13">
        <f>CHAIN_RAW!A1388</f>
        <v/>
      </c>
      <c r="B1388" s="14">
        <f>CHAIN_RAW!B1388</f>
        <v/>
      </c>
      <c r="C1388" s="13">
        <f>CHAIN_RAW!C1388</f>
        <v/>
      </c>
      <c r="D1388" s="13">
        <f>CHAIN_RAW!D1388</f>
        <v/>
      </c>
      <c r="E1388" s="13">
        <f>CHAIN_RAW!E1388</f>
        <v/>
      </c>
      <c r="F1388" s="13">
        <f>IFERROR((E1388-D1388)/D1388,"")</f>
        <v/>
      </c>
      <c r="G1388" s="13">
        <f>IFERROR((CHAIN_RAW!K1388+CHAIN_RAW!L1388)/2,"")</f>
        <v/>
      </c>
      <c r="H1388" s="13">
        <f>IFERROR((CHAIN_RAW!R1388+CHAIN_RAW!S1388)/2,"")</f>
        <v/>
      </c>
      <c r="I1388" s="13">
        <f>IFERROR((CHAIN_RAW!L1388-CHAIN_RAW!K1388)/MAX(1E-9, G1388),"")</f>
        <v/>
      </c>
      <c r="J1388" s="13">
        <f>IFERROR((CHAIN_RAW!S1388-CHAIN_RAW!R1388)/MAX(1E-9, H1388),"")</f>
        <v/>
      </c>
      <c r="K1388" s="13">
        <f>CHAIN_RAW!G1388</f>
        <v/>
      </c>
      <c r="L1388" s="13">
        <f>CHAIN_RAW!N1388</f>
        <v/>
      </c>
      <c r="M1388" s="13">
        <f>IFERROR(L1388-K1388,"")</f>
        <v/>
      </c>
      <c r="N1388" s="13">
        <f>CHAIN_RAW!H1388</f>
        <v/>
      </c>
      <c r="O1388" s="13">
        <f>CHAIN_RAW!O1388</f>
        <v/>
      </c>
      <c r="P1388" s="13">
        <f>IFERROR(O1388/N1388,"")</f>
        <v/>
      </c>
      <c r="Q1388" s="13">
        <f>CHAIN_RAW!I1388</f>
        <v/>
      </c>
      <c r="R1388" s="13">
        <f>CHAIN_RAW!P1388</f>
        <v/>
      </c>
      <c r="S1388" s="13">
        <f>IFERROR(R1388/Q1388,"")</f>
        <v/>
      </c>
      <c r="T1388" s="13">
        <f>IFERROR((ABS(N1388-O1388)/MAX(1,(N1388+O1388)))*EXP(-ABS(E1388-CONTROL!E5)/MAX(1,CONTROL!B8)),"")</f>
        <v/>
      </c>
      <c r="U1388" s="13">
        <f>IFERROR(IF(O1388&gt;N1388,"SUPPORT (PE OI)","RESIST (CE OI)"),"")</f>
        <v/>
      </c>
      <c r="V1388" s="13">
        <f>IFERROR(IF(Q1388&gt;0,IF(R1388&gt;0,"BOTH_ADD","CE_ADD_PE_REDUCE"),IF(R1388&gt;0,"CE_REDUCE_PE_ADD","BOTH_REDUCE")),"")</f>
        <v/>
      </c>
      <c r="W1388" s="13">
        <f>IFERROR( (P1388-1)*0.5 + (M1388)*0.1 - (I1388+J1388)*0.05 + T1388*0.4 ,"")</f>
        <v/>
      </c>
      <c r="X1388" s="13">
        <f>IFERROR(IF(ABS(F1388)&lt;0.01,"ATM/NEAR",""),"")</f>
        <v/>
      </c>
    </row>
    <row r="1389">
      <c r="A1389" s="13">
        <f>CHAIN_RAW!A1389</f>
        <v/>
      </c>
      <c r="B1389" s="14">
        <f>CHAIN_RAW!B1389</f>
        <v/>
      </c>
      <c r="C1389" s="13">
        <f>CHAIN_RAW!C1389</f>
        <v/>
      </c>
      <c r="D1389" s="13">
        <f>CHAIN_RAW!D1389</f>
        <v/>
      </c>
      <c r="E1389" s="13">
        <f>CHAIN_RAW!E1389</f>
        <v/>
      </c>
      <c r="F1389" s="13">
        <f>IFERROR((E1389-D1389)/D1389,"")</f>
        <v/>
      </c>
      <c r="G1389" s="13">
        <f>IFERROR((CHAIN_RAW!K1389+CHAIN_RAW!L1389)/2,"")</f>
        <v/>
      </c>
      <c r="H1389" s="13">
        <f>IFERROR((CHAIN_RAW!R1389+CHAIN_RAW!S1389)/2,"")</f>
        <v/>
      </c>
      <c r="I1389" s="13">
        <f>IFERROR((CHAIN_RAW!L1389-CHAIN_RAW!K1389)/MAX(1E-9, G1389),"")</f>
        <v/>
      </c>
      <c r="J1389" s="13">
        <f>IFERROR((CHAIN_RAW!S1389-CHAIN_RAW!R1389)/MAX(1E-9, H1389),"")</f>
        <v/>
      </c>
      <c r="K1389" s="13">
        <f>CHAIN_RAW!G1389</f>
        <v/>
      </c>
      <c r="L1389" s="13">
        <f>CHAIN_RAW!N1389</f>
        <v/>
      </c>
      <c r="M1389" s="13">
        <f>IFERROR(L1389-K1389,"")</f>
        <v/>
      </c>
      <c r="N1389" s="13">
        <f>CHAIN_RAW!H1389</f>
        <v/>
      </c>
      <c r="O1389" s="13">
        <f>CHAIN_RAW!O1389</f>
        <v/>
      </c>
      <c r="P1389" s="13">
        <f>IFERROR(O1389/N1389,"")</f>
        <v/>
      </c>
      <c r="Q1389" s="13">
        <f>CHAIN_RAW!I1389</f>
        <v/>
      </c>
      <c r="R1389" s="13">
        <f>CHAIN_RAW!P1389</f>
        <v/>
      </c>
      <c r="S1389" s="13">
        <f>IFERROR(R1389/Q1389,"")</f>
        <v/>
      </c>
      <c r="T1389" s="13">
        <f>IFERROR((ABS(N1389-O1389)/MAX(1,(N1389+O1389)))*EXP(-ABS(E1389-CONTROL!E5)/MAX(1,CONTROL!B8)),"")</f>
        <v/>
      </c>
      <c r="U1389" s="13">
        <f>IFERROR(IF(O1389&gt;N1389,"SUPPORT (PE OI)","RESIST (CE OI)"),"")</f>
        <v/>
      </c>
      <c r="V1389" s="13">
        <f>IFERROR(IF(Q1389&gt;0,IF(R1389&gt;0,"BOTH_ADD","CE_ADD_PE_REDUCE"),IF(R1389&gt;0,"CE_REDUCE_PE_ADD","BOTH_REDUCE")),"")</f>
        <v/>
      </c>
      <c r="W1389" s="13">
        <f>IFERROR( (P1389-1)*0.5 + (M1389)*0.1 - (I1389+J1389)*0.05 + T1389*0.4 ,"")</f>
        <v/>
      </c>
      <c r="X1389" s="13">
        <f>IFERROR(IF(ABS(F1389)&lt;0.01,"ATM/NEAR",""),"")</f>
        <v/>
      </c>
    </row>
    <row r="1390">
      <c r="A1390" s="13">
        <f>CHAIN_RAW!A1390</f>
        <v/>
      </c>
      <c r="B1390" s="14">
        <f>CHAIN_RAW!B1390</f>
        <v/>
      </c>
      <c r="C1390" s="13">
        <f>CHAIN_RAW!C1390</f>
        <v/>
      </c>
      <c r="D1390" s="13">
        <f>CHAIN_RAW!D1390</f>
        <v/>
      </c>
      <c r="E1390" s="13">
        <f>CHAIN_RAW!E1390</f>
        <v/>
      </c>
      <c r="F1390" s="13">
        <f>IFERROR((E1390-D1390)/D1390,"")</f>
        <v/>
      </c>
      <c r="G1390" s="13">
        <f>IFERROR((CHAIN_RAW!K1390+CHAIN_RAW!L1390)/2,"")</f>
        <v/>
      </c>
      <c r="H1390" s="13">
        <f>IFERROR((CHAIN_RAW!R1390+CHAIN_RAW!S1390)/2,"")</f>
        <v/>
      </c>
      <c r="I1390" s="13">
        <f>IFERROR((CHAIN_RAW!L1390-CHAIN_RAW!K1390)/MAX(1E-9, G1390),"")</f>
        <v/>
      </c>
      <c r="J1390" s="13">
        <f>IFERROR((CHAIN_RAW!S1390-CHAIN_RAW!R1390)/MAX(1E-9, H1390),"")</f>
        <v/>
      </c>
      <c r="K1390" s="13">
        <f>CHAIN_RAW!G1390</f>
        <v/>
      </c>
      <c r="L1390" s="13">
        <f>CHAIN_RAW!N1390</f>
        <v/>
      </c>
      <c r="M1390" s="13">
        <f>IFERROR(L1390-K1390,"")</f>
        <v/>
      </c>
      <c r="N1390" s="13">
        <f>CHAIN_RAW!H1390</f>
        <v/>
      </c>
      <c r="O1390" s="13">
        <f>CHAIN_RAW!O1390</f>
        <v/>
      </c>
      <c r="P1390" s="13">
        <f>IFERROR(O1390/N1390,"")</f>
        <v/>
      </c>
      <c r="Q1390" s="13">
        <f>CHAIN_RAW!I1390</f>
        <v/>
      </c>
      <c r="R1390" s="13">
        <f>CHAIN_RAW!P1390</f>
        <v/>
      </c>
      <c r="S1390" s="13">
        <f>IFERROR(R1390/Q1390,"")</f>
        <v/>
      </c>
      <c r="T1390" s="13">
        <f>IFERROR((ABS(N1390-O1390)/MAX(1,(N1390+O1390)))*EXP(-ABS(E1390-CONTROL!E5)/MAX(1,CONTROL!B8)),"")</f>
        <v/>
      </c>
      <c r="U1390" s="13">
        <f>IFERROR(IF(O1390&gt;N1390,"SUPPORT (PE OI)","RESIST (CE OI)"),"")</f>
        <v/>
      </c>
      <c r="V1390" s="13">
        <f>IFERROR(IF(Q1390&gt;0,IF(R1390&gt;0,"BOTH_ADD","CE_ADD_PE_REDUCE"),IF(R1390&gt;0,"CE_REDUCE_PE_ADD","BOTH_REDUCE")),"")</f>
        <v/>
      </c>
      <c r="W1390" s="13">
        <f>IFERROR( (P1390-1)*0.5 + (M1390)*0.1 - (I1390+J1390)*0.05 + T1390*0.4 ,"")</f>
        <v/>
      </c>
      <c r="X1390" s="13">
        <f>IFERROR(IF(ABS(F1390)&lt;0.01,"ATM/NEAR",""),"")</f>
        <v/>
      </c>
    </row>
    <row r="1391">
      <c r="A1391" s="13">
        <f>CHAIN_RAW!A1391</f>
        <v/>
      </c>
      <c r="B1391" s="14">
        <f>CHAIN_RAW!B1391</f>
        <v/>
      </c>
      <c r="C1391" s="13">
        <f>CHAIN_RAW!C1391</f>
        <v/>
      </c>
      <c r="D1391" s="13">
        <f>CHAIN_RAW!D1391</f>
        <v/>
      </c>
      <c r="E1391" s="13">
        <f>CHAIN_RAW!E1391</f>
        <v/>
      </c>
      <c r="F1391" s="13">
        <f>IFERROR((E1391-D1391)/D1391,"")</f>
        <v/>
      </c>
      <c r="G1391" s="13">
        <f>IFERROR((CHAIN_RAW!K1391+CHAIN_RAW!L1391)/2,"")</f>
        <v/>
      </c>
      <c r="H1391" s="13">
        <f>IFERROR((CHAIN_RAW!R1391+CHAIN_RAW!S1391)/2,"")</f>
        <v/>
      </c>
      <c r="I1391" s="13">
        <f>IFERROR((CHAIN_RAW!L1391-CHAIN_RAW!K1391)/MAX(1E-9, G1391),"")</f>
        <v/>
      </c>
      <c r="J1391" s="13">
        <f>IFERROR((CHAIN_RAW!S1391-CHAIN_RAW!R1391)/MAX(1E-9, H1391),"")</f>
        <v/>
      </c>
      <c r="K1391" s="13">
        <f>CHAIN_RAW!G1391</f>
        <v/>
      </c>
      <c r="L1391" s="13">
        <f>CHAIN_RAW!N1391</f>
        <v/>
      </c>
      <c r="M1391" s="13">
        <f>IFERROR(L1391-K1391,"")</f>
        <v/>
      </c>
      <c r="N1391" s="13">
        <f>CHAIN_RAW!H1391</f>
        <v/>
      </c>
      <c r="O1391" s="13">
        <f>CHAIN_RAW!O1391</f>
        <v/>
      </c>
      <c r="P1391" s="13">
        <f>IFERROR(O1391/N1391,"")</f>
        <v/>
      </c>
      <c r="Q1391" s="13">
        <f>CHAIN_RAW!I1391</f>
        <v/>
      </c>
      <c r="R1391" s="13">
        <f>CHAIN_RAW!P1391</f>
        <v/>
      </c>
      <c r="S1391" s="13">
        <f>IFERROR(R1391/Q1391,"")</f>
        <v/>
      </c>
      <c r="T1391" s="13">
        <f>IFERROR((ABS(N1391-O1391)/MAX(1,(N1391+O1391)))*EXP(-ABS(E1391-CONTROL!E5)/MAX(1,CONTROL!B8)),"")</f>
        <v/>
      </c>
      <c r="U1391" s="13">
        <f>IFERROR(IF(O1391&gt;N1391,"SUPPORT (PE OI)","RESIST (CE OI)"),"")</f>
        <v/>
      </c>
      <c r="V1391" s="13">
        <f>IFERROR(IF(Q1391&gt;0,IF(R1391&gt;0,"BOTH_ADD","CE_ADD_PE_REDUCE"),IF(R1391&gt;0,"CE_REDUCE_PE_ADD","BOTH_REDUCE")),"")</f>
        <v/>
      </c>
      <c r="W1391" s="13">
        <f>IFERROR( (P1391-1)*0.5 + (M1391)*0.1 - (I1391+J1391)*0.05 + T1391*0.4 ,"")</f>
        <v/>
      </c>
      <c r="X1391" s="13">
        <f>IFERROR(IF(ABS(F1391)&lt;0.01,"ATM/NEAR",""),"")</f>
        <v/>
      </c>
    </row>
    <row r="1392">
      <c r="A1392" s="13">
        <f>CHAIN_RAW!A1392</f>
        <v/>
      </c>
      <c r="B1392" s="14">
        <f>CHAIN_RAW!B1392</f>
        <v/>
      </c>
      <c r="C1392" s="13">
        <f>CHAIN_RAW!C1392</f>
        <v/>
      </c>
      <c r="D1392" s="13">
        <f>CHAIN_RAW!D1392</f>
        <v/>
      </c>
      <c r="E1392" s="13">
        <f>CHAIN_RAW!E1392</f>
        <v/>
      </c>
      <c r="F1392" s="13">
        <f>IFERROR((E1392-D1392)/D1392,"")</f>
        <v/>
      </c>
      <c r="G1392" s="13">
        <f>IFERROR((CHAIN_RAW!K1392+CHAIN_RAW!L1392)/2,"")</f>
        <v/>
      </c>
      <c r="H1392" s="13">
        <f>IFERROR((CHAIN_RAW!R1392+CHAIN_RAW!S1392)/2,"")</f>
        <v/>
      </c>
      <c r="I1392" s="13">
        <f>IFERROR((CHAIN_RAW!L1392-CHAIN_RAW!K1392)/MAX(1E-9, G1392),"")</f>
        <v/>
      </c>
      <c r="J1392" s="13">
        <f>IFERROR((CHAIN_RAW!S1392-CHAIN_RAW!R1392)/MAX(1E-9, H1392),"")</f>
        <v/>
      </c>
      <c r="K1392" s="13">
        <f>CHAIN_RAW!G1392</f>
        <v/>
      </c>
      <c r="L1392" s="13">
        <f>CHAIN_RAW!N1392</f>
        <v/>
      </c>
      <c r="M1392" s="13">
        <f>IFERROR(L1392-K1392,"")</f>
        <v/>
      </c>
      <c r="N1392" s="13">
        <f>CHAIN_RAW!H1392</f>
        <v/>
      </c>
      <c r="O1392" s="13">
        <f>CHAIN_RAW!O1392</f>
        <v/>
      </c>
      <c r="P1392" s="13">
        <f>IFERROR(O1392/N1392,"")</f>
        <v/>
      </c>
      <c r="Q1392" s="13">
        <f>CHAIN_RAW!I1392</f>
        <v/>
      </c>
      <c r="R1392" s="13">
        <f>CHAIN_RAW!P1392</f>
        <v/>
      </c>
      <c r="S1392" s="13">
        <f>IFERROR(R1392/Q1392,"")</f>
        <v/>
      </c>
      <c r="T1392" s="13">
        <f>IFERROR((ABS(N1392-O1392)/MAX(1,(N1392+O1392)))*EXP(-ABS(E1392-CONTROL!E5)/MAX(1,CONTROL!B8)),"")</f>
        <v/>
      </c>
      <c r="U1392" s="13">
        <f>IFERROR(IF(O1392&gt;N1392,"SUPPORT (PE OI)","RESIST (CE OI)"),"")</f>
        <v/>
      </c>
      <c r="V1392" s="13">
        <f>IFERROR(IF(Q1392&gt;0,IF(R1392&gt;0,"BOTH_ADD","CE_ADD_PE_REDUCE"),IF(R1392&gt;0,"CE_REDUCE_PE_ADD","BOTH_REDUCE")),"")</f>
        <v/>
      </c>
      <c r="W1392" s="13">
        <f>IFERROR( (P1392-1)*0.5 + (M1392)*0.1 - (I1392+J1392)*0.05 + T1392*0.4 ,"")</f>
        <v/>
      </c>
      <c r="X1392" s="13">
        <f>IFERROR(IF(ABS(F1392)&lt;0.01,"ATM/NEAR",""),"")</f>
        <v/>
      </c>
    </row>
    <row r="1393">
      <c r="A1393" s="13">
        <f>CHAIN_RAW!A1393</f>
        <v/>
      </c>
      <c r="B1393" s="14">
        <f>CHAIN_RAW!B1393</f>
        <v/>
      </c>
      <c r="C1393" s="13">
        <f>CHAIN_RAW!C1393</f>
        <v/>
      </c>
      <c r="D1393" s="13">
        <f>CHAIN_RAW!D1393</f>
        <v/>
      </c>
      <c r="E1393" s="13">
        <f>CHAIN_RAW!E1393</f>
        <v/>
      </c>
      <c r="F1393" s="13">
        <f>IFERROR((E1393-D1393)/D1393,"")</f>
        <v/>
      </c>
      <c r="G1393" s="13">
        <f>IFERROR((CHAIN_RAW!K1393+CHAIN_RAW!L1393)/2,"")</f>
        <v/>
      </c>
      <c r="H1393" s="13">
        <f>IFERROR((CHAIN_RAW!R1393+CHAIN_RAW!S1393)/2,"")</f>
        <v/>
      </c>
      <c r="I1393" s="13">
        <f>IFERROR((CHAIN_RAW!L1393-CHAIN_RAW!K1393)/MAX(1E-9, G1393),"")</f>
        <v/>
      </c>
      <c r="J1393" s="13">
        <f>IFERROR((CHAIN_RAW!S1393-CHAIN_RAW!R1393)/MAX(1E-9, H1393),"")</f>
        <v/>
      </c>
      <c r="K1393" s="13">
        <f>CHAIN_RAW!G1393</f>
        <v/>
      </c>
      <c r="L1393" s="13">
        <f>CHAIN_RAW!N1393</f>
        <v/>
      </c>
      <c r="M1393" s="13">
        <f>IFERROR(L1393-K1393,"")</f>
        <v/>
      </c>
      <c r="N1393" s="13">
        <f>CHAIN_RAW!H1393</f>
        <v/>
      </c>
      <c r="O1393" s="13">
        <f>CHAIN_RAW!O1393</f>
        <v/>
      </c>
      <c r="P1393" s="13">
        <f>IFERROR(O1393/N1393,"")</f>
        <v/>
      </c>
      <c r="Q1393" s="13">
        <f>CHAIN_RAW!I1393</f>
        <v/>
      </c>
      <c r="R1393" s="13">
        <f>CHAIN_RAW!P1393</f>
        <v/>
      </c>
      <c r="S1393" s="13">
        <f>IFERROR(R1393/Q1393,"")</f>
        <v/>
      </c>
      <c r="T1393" s="13">
        <f>IFERROR((ABS(N1393-O1393)/MAX(1,(N1393+O1393)))*EXP(-ABS(E1393-CONTROL!E5)/MAX(1,CONTROL!B8)),"")</f>
        <v/>
      </c>
      <c r="U1393" s="13">
        <f>IFERROR(IF(O1393&gt;N1393,"SUPPORT (PE OI)","RESIST (CE OI)"),"")</f>
        <v/>
      </c>
      <c r="V1393" s="13">
        <f>IFERROR(IF(Q1393&gt;0,IF(R1393&gt;0,"BOTH_ADD","CE_ADD_PE_REDUCE"),IF(R1393&gt;0,"CE_REDUCE_PE_ADD","BOTH_REDUCE")),"")</f>
        <v/>
      </c>
      <c r="W1393" s="13">
        <f>IFERROR( (P1393-1)*0.5 + (M1393)*0.1 - (I1393+J1393)*0.05 + T1393*0.4 ,"")</f>
        <v/>
      </c>
      <c r="X1393" s="13">
        <f>IFERROR(IF(ABS(F1393)&lt;0.01,"ATM/NEAR",""),"")</f>
        <v/>
      </c>
    </row>
    <row r="1394">
      <c r="A1394" s="13">
        <f>CHAIN_RAW!A1394</f>
        <v/>
      </c>
      <c r="B1394" s="14">
        <f>CHAIN_RAW!B1394</f>
        <v/>
      </c>
      <c r="C1394" s="13">
        <f>CHAIN_RAW!C1394</f>
        <v/>
      </c>
      <c r="D1394" s="13">
        <f>CHAIN_RAW!D1394</f>
        <v/>
      </c>
      <c r="E1394" s="13">
        <f>CHAIN_RAW!E1394</f>
        <v/>
      </c>
      <c r="F1394" s="13">
        <f>IFERROR((E1394-D1394)/D1394,"")</f>
        <v/>
      </c>
      <c r="G1394" s="13">
        <f>IFERROR((CHAIN_RAW!K1394+CHAIN_RAW!L1394)/2,"")</f>
        <v/>
      </c>
      <c r="H1394" s="13">
        <f>IFERROR((CHAIN_RAW!R1394+CHAIN_RAW!S1394)/2,"")</f>
        <v/>
      </c>
      <c r="I1394" s="13">
        <f>IFERROR((CHAIN_RAW!L1394-CHAIN_RAW!K1394)/MAX(1E-9, G1394),"")</f>
        <v/>
      </c>
      <c r="J1394" s="13">
        <f>IFERROR((CHAIN_RAW!S1394-CHAIN_RAW!R1394)/MAX(1E-9, H1394),"")</f>
        <v/>
      </c>
      <c r="K1394" s="13">
        <f>CHAIN_RAW!G1394</f>
        <v/>
      </c>
      <c r="L1394" s="13">
        <f>CHAIN_RAW!N1394</f>
        <v/>
      </c>
      <c r="M1394" s="13">
        <f>IFERROR(L1394-K1394,"")</f>
        <v/>
      </c>
      <c r="N1394" s="13">
        <f>CHAIN_RAW!H1394</f>
        <v/>
      </c>
      <c r="O1394" s="13">
        <f>CHAIN_RAW!O1394</f>
        <v/>
      </c>
      <c r="P1394" s="13">
        <f>IFERROR(O1394/N1394,"")</f>
        <v/>
      </c>
      <c r="Q1394" s="13">
        <f>CHAIN_RAW!I1394</f>
        <v/>
      </c>
      <c r="R1394" s="13">
        <f>CHAIN_RAW!P1394</f>
        <v/>
      </c>
      <c r="S1394" s="13">
        <f>IFERROR(R1394/Q1394,"")</f>
        <v/>
      </c>
      <c r="T1394" s="13">
        <f>IFERROR((ABS(N1394-O1394)/MAX(1,(N1394+O1394)))*EXP(-ABS(E1394-CONTROL!E5)/MAX(1,CONTROL!B8)),"")</f>
        <v/>
      </c>
      <c r="U1394" s="13">
        <f>IFERROR(IF(O1394&gt;N1394,"SUPPORT (PE OI)","RESIST (CE OI)"),"")</f>
        <v/>
      </c>
      <c r="V1394" s="13">
        <f>IFERROR(IF(Q1394&gt;0,IF(R1394&gt;0,"BOTH_ADD","CE_ADD_PE_REDUCE"),IF(R1394&gt;0,"CE_REDUCE_PE_ADD","BOTH_REDUCE")),"")</f>
        <v/>
      </c>
      <c r="W1394" s="13">
        <f>IFERROR( (P1394-1)*0.5 + (M1394)*0.1 - (I1394+J1394)*0.05 + T1394*0.4 ,"")</f>
        <v/>
      </c>
      <c r="X1394" s="13">
        <f>IFERROR(IF(ABS(F1394)&lt;0.01,"ATM/NEAR",""),"")</f>
        <v/>
      </c>
    </row>
    <row r="1395">
      <c r="A1395" s="13">
        <f>CHAIN_RAW!A1395</f>
        <v/>
      </c>
      <c r="B1395" s="14">
        <f>CHAIN_RAW!B1395</f>
        <v/>
      </c>
      <c r="C1395" s="13">
        <f>CHAIN_RAW!C1395</f>
        <v/>
      </c>
      <c r="D1395" s="13">
        <f>CHAIN_RAW!D1395</f>
        <v/>
      </c>
      <c r="E1395" s="13">
        <f>CHAIN_RAW!E1395</f>
        <v/>
      </c>
      <c r="F1395" s="13">
        <f>IFERROR((E1395-D1395)/D1395,"")</f>
        <v/>
      </c>
      <c r="G1395" s="13">
        <f>IFERROR((CHAIN_RAW!K1395+CHAIN_RAW!L1395)/2,"")</f>
        <v/>
      </c>
      <c r="H1395" s="13">
        <f>IFERROR((CHAIN_RAW!R1395+CHAIN_RAW!S1395)/2,"")</f>
        <v/>
      </c>
      <c r="I1395" s="13">
        <f>IFERROR((CHAIN_RAW!L1395-CHAIN_RAW!K1395)/MAX(1E-9, G1395),"")</f>
        <v/>
      </c>
      <c r="J1395" s="13">
        <f>IFERROR((CHAIN_RAW!S1395-CHAIN_RAW!R1395)/MAX(1E-9, H1395),"")</f>
        <v/>
      </c>
      <c r="K1395" s="13">
        <f>CHAIN_RAW!G1395</f>
        <v/>
      </c>
      <c r="L1395" s="13">
        <f>CHAIN_RAW!N1395</f>
        <v/>
      </c>
      <c r="M1395" s="13">
        <f>IFERROR(L1395-K1395,"")</f>
        <v/>
      </c>
      <c r="N1395" s="13">
        <f>CHAIN_RAW!H1395</f>
        <v/>
      </c>
      <c r="O1395" s="13">
        <f>CHAIN_RAW!O1395</f>
        <v/>
      </c>
      <c r="P1395" s="13">
        <f>IFERROR(O1395/N1395,"")</f>
        <v/>
      </c>
      <c r="Q1395" s="13">
        <f>CHAIN_RAW!I1395</f>
        <v/>
      </c>
      <c r="R1395" s="13">
        <f>CHAIN_RAW!P1395</f>
        <v/>
      </c>
      <c r="S1395" s="13">
        <f>IFERROR(R1395/Q1395,"")</f>
        <v/>
      </c>
      <c r="T1395" s="13">
        <f>IFERROR((ABS(N1395-O1395)/MAX(1,(N1395+O1395)))*EXP(-ABS(E1395-CONTROL!E5)/MAX(1,CONTROL!B8)),"")</f>
        <v/>
      </c>
      <c r="U1395" s="13">
        <f>IFERROR(IF(O1395&gt;N1395,"SUPPORT (PE OI)","RESIST (CE OI)"),"")</f>
        <v/>
      </c>
      <c r="V1395" s="13">
        <f>IFERROR(IF(Q1395&gt;0,IF(R1395&gt;0,"BOTH_ADD","CE_ADD_PE_REDUCE"),IF(R1395&gt;0,"CE_REDUCE_PE_ADD","BOTH_REDUCE")),"")</f>
        <v/>
      </c>
      <c r="W1395" s="13">
        <f>IFERROR( (P1395-1)*0.5 + (M1395)*0.1 - (I1395+J1395)*0.05 + T1395*0.4 ,"")</f>
        <v/>
      </c>
      <c r="X1395" s="13">
        <f>IFERROR(IF(ABS(F1395)&lt;0.01,"ATM/NEAR",""),"")</f>
        <v/>
      </c>
    </row>
    <row r="1396">
      <c r="A1396" s="13">
        <f>CHAIN_RAW!A1396</f>
        <v/>
      </c>
      <c r="B1396" s="14">
        <f>CHAIN_RAW!B1396</f>
        <v/>
      </c>
      <c r="C1396" s="13">
        <f>CHAIN_RAW!C1396</f>
        <v/>
      </c>
      <c r="D1396" s="13">
        <f>CHAIN_RAW!D1396</f>
        <v/>
      </c>
      <c r="E1396" s="13">
        <f>CHAIN_RAW!E1396</f>
        <v/>
      </c>
      <c r="F1396" s="13">
        <f>IFERROR((E1396-D1396)/D1396,"")</f>
        <v/>
      </c>
      <c r="G1396" s="13">
        <f>IFERROR((CHAIN_RAW!K1396+CHAIN_RAW!L1396)/2,"")</f>
        <v/>
      </c>
      <c r="H1396" s="13">
        <f>IFERROR((CHAIN_RAW!R1396+CHAIN_RAW!S1396)/2,"")</f>
        <v/>
      </c>
      <c r="I1396" s="13">
        <f>IFERROR((CHAIN_RAW!L1396-CHAIN_RAW!K1396)/MAX(1E-9, G1396),"")</f>
        <v/>
      </c>
      <c r="J1396" s="13">
        <f>IFERROR((CHAIN_RAW!S1396-CHAIN_RAW!R1396)/MAX(1E-9, H1396),"")</f>
        <v/>
      </c>
      <c r="K1396" s="13">
        <f>CHAIN_RAW!G1396</f>
        <v/>
      </c>
      <c r="L1396" s="13">
        <f>CHAIN_RAW!N1396</f>
        <v/>
      </c>
      <c r="M1396" s="13">
        <f>IFERROR(L1396-K1396,"")</f>
        <v/>
      </c>
      <c r="N1396" s="13">
        <f>CHAIN_RAW!H1396</f>
        <v/>
      </c>
      <c r="O1396" s="13">
        <f>CHAIN_RAW!O1396</f>
        <v/>
      </c>
      <c r="P1396" s="13">
        <f>IFERROR(O1396/N1396,"")</f>
        <v/>
      </c>
      <c r="Q1396" s="13">
        <f>CHAIN_RAW!I1396</f>
        <v/>
      </c>
      <c r="R1396" s="13">
        <f>CHAIN_RAW!P1396</f>
        <v/>
      </c>
      <c r="S1396" s="13">
        <f>IFERROR(R1396/Q1396,"")</f>
        <v/>
      </c>
      <c r="T1396" s="13">
        <f>IFERROR((ABS(N1396-O1396)/MAX(1,(N1396+O1396)))*EXP(-ABS(E1396-CONTROL!E5)/MAX(1,CONTROL!B8)),"")</f>
        <v/>
      </c>
      <c r="U1396" s="13">
        <f>IFERROR(IF(O1396&gt;N1396,"SUPPORT (PE OI)","RESIST (CE OI)"),"")</f>
        <v/>
      </c>
      <c r="V1396" s="13">
        <f>IFERROR(IF(Q1396&gt;0,IF(R1396&gt;0,"BOTH_ADD","CE_ADD_PE_REDUCE"),IF(R1396&gt;0,"CE_REDUCE_PE_ADD","BOTH_REDUCE")),"")</f>
        <v/>
      </c>
      <c r="W1396" s="13">
        <f>IFERROR( (P1396-1)*0.5 + (M1396)*0.1 - (I1396+J1396)*0.05 + T1396*0.4 ,"")</f>
        <v/>
      </c>
      <c r="X1396" s="13">
        <f>IFERROR(IF(ABS(F1396)&lt;0.01,"ATM/NEAR",""),"")</f>
        <v/>
      </c>
    </row>
    <row r="1397">
      <c r="A1397" s="13">
        <f>CHAIN_RAW!A1397</f>
        <v/>
      </c>
      <c r="B1397" s="14">
        <f>CHAIN_RAW!B1397</f>
        <v/>
      </c>
      <c r="C1397" s="13">
        <f>CHAIN_RAW!C1397</f>
        <v/>
      </c>
      <c r="D1397" s="13">
        <f>CHAIN_RAW!D1397</f>
        <v/>
      </c>
      <c r="E1397" s="13">
        <f>CHAIN_RAW!E1397</f>
        <v/>
      </c>
      <c r="F1397" s="13">
        <f>IFERROR((E1397-D1397)/D1397,"")</f>
        <v/>
      </c>
      <c r="G1397" s="13">
        <f>IFERROR((CHAIN_RAW!K1397+CHAIN_RAW!L1397)/2,"")</f>
        <v/>
      </c>
      <c r="H1397" s="13">
        <f>IFERROR((CHAIN_RAW!R1397+CHAIN_RAW!S1397)/2,"")</f>
        <v/>
      </c>
      <c r="I1397" s="13">
        <f>IFERROR((CHAIN_RAW!L1397-CHAIN_RAW!K1397)/MAX(1E-9, G1397),"")</f>
        <v/>
      </c>
      <c r="J1397" s="13">
        <f>IFERROR((CHAIN_RAW!S1397-CHAIN_RAW!R1397)/MAX(1E-9, H1397),"")</f>
        <v/>
      </c>
      <c r="K1397" s="13">
        <f>CHAIN_RAW!G1397</f>
        <v/>
      </c>
      <c r="L1397" s="13">
        <f>CHAIN_RAW!N1397</f>
        <v/>
      </c>
      <c r="M1397" s="13">
        <f>IFERROR(L1397-K1397,"")</f>
        <v/>
      </c>
      <c r="N1397" s="13">
        <f>CHAIN_RAW!H1397</f>
        <v/>
      </c>
      <c r="O1397" s="13">
        <f>CHAIN_RAW!O1397</f>
        <v/>
      </c>
      <c r="P1397" s="13">
        <f>IFERROR(O1397/N1397,"")</f>
        <v/>
      </c>
      <c r="Q1397" s="13">
        <f>CHAIN_RAW!I1397</f>
        <v/>
      </c>
      <c r="R1397" s="13">
        <f>CHAIN_RAW!P1397</f>
        <v/>
      </c>
      <c r="S1397" s="13">
        <f>IFERROR(R1397/Q1397,"")</f>
        <v/>
      </c>
      <c r="T1397" s="13">
        <f>IFERROR((ABS(N1397-O1397)/MAX(1,(N1397+O1397)))*EXP(-ABS(E1397-CONTROL!E5)/MAX(1,CONTROL!B8)),"")</f>
        <v/>
      </c>
      <c r="U1397" s="13">
        <f>IFERROR(IF(O1397&gt;N1397,"SUPPORT (PE OI)","RESIST (CE OI)"),"")</f>
        <v/>
      </c>
      <c r="V1397" s="13">
        <f>IFERROR(IF(Q1397&gt;0,IF(R1397&gt;0,"BOTH_ADD","CE_ADD_PE_REDUCE"),IF(R1397&gt;0,"CE_REDUCE_PE_ADD","BOTH_REDUCE")),"")</f>
        <v/>
      </c>
      <c r="W1397" s="13">
        <f>IFERROR( (P1397-1)*0.5 + (M1397)*0.1 - (I1397+J1397)*0.05 + T1397*0.4 ,"")</f>
        <v/>
      </c>
      <c r="X1397" s="13">
        <f>IFERROR(IF(ABS(F1397)&lt;0.01,"ATM/NEAR",""),"")</f>
        <v/>
      </c>
    </row>
    <row r="1398">
      <c r="A1398" s="13">
        <f>CHAIN_RAW!A1398</f>
        <v/>
      </c>
      <c r="B1398" s="14">
        <f>CHAIN_RAW!B1398</f>
        <v/>
      </c>
      <c r="C1398" s="13">
        <f>CHAIN_RAW!C1398</f>
        <v/>
      </c>
      <c r="D1398" s="13">
        <f>CHAIN_RAW!D1398</f>
        <v/>
      </c>
      <c r="E1398" s="13">
        <f>CHAIN_RAW!E1398</f>
        <v/>
      </c>
      <c r="F1398" s="13">
        <f>IFERROR((E1398-D1398)/D1398,"")</f>
        <v/>
      </c>
      <c r="G1398" s="13">
        <f>IFERROR((CHAIN_RAW!K1398+CHAIN_RAW!L1398)/2,"")</f>
        <v/>
      </c>
      <c r="H1398" s="13">
        <f>IFERROR((CHAIN_RAW!R1398+CHAIN_RAW!S1398)/2,"")</f>
        <v/>
      </c>
      <c r="I1398" s="13">
        <f>IFERROR((CHAIN_RAW!L1398-CHAIN_RAW!K1398)/MAX(1E-9, G1398),"")</f>
        <v/>
      </c>
      <c r="J1398" s="13">
        <f>IFERROR((CHAIN_RAW!S1398-CHAIN_RAW!R1398)/MAX(1E-9, H1398),"")</f>
        <v/>
      </c>
      <c r="K1398" s="13">
        <f>CHAIN_RAW!G1398</f>
        <v/>
      </c>
      <c r="L1398" s="13">
        <f>CHAIN_RAW!N1398</f>
        <v/>
      </c>
      <c r="M1398" s="13">
        <f>IFERROR(L1398-K1398,"")</f>
        <v/>
      </c>
      <c r="N1398" s="13">
        <f>CHAIN_RAW!H1398</f>
        <v/>
      </c>
      <c r="O1398" s="13">
        <f>CHAIN_RAW!O1398</f>
        <v/>
      </c>
      <c r="P1398" s="13">
        <f>IFERROR(O1398/N1398,"")</f>
        <v/>
      </c>
      <c r="Q1398" s="13">
        <f>CHAIN_RAW!I1398</f>
        <v/>
      </c>
      <c r="R1398" s="13">
        <f>CHAIN_RAW!P1398</f>
        <v/>
      </c>
      <c r="S1398" s="13">
        <f>IFERROR(R1398/Q1398,"")</f>
        <v/>
      </c>
      <c r="T1398" s="13">
        <f>IFERROR((ABS(N1398-O1398)/MAX(1,(N1398+O1398)))*EXP(-ABS(E1398-CONTROL!E5)/MAX(1,CONTROL!B8)),"")</f>
        <v/>
      </c>
      <c r="U1398" s="13">
        <f>IFERROR(IF(O1398&gt;N1398,"SUPPORT (PE OI)","RESIST (CE OI)"),"")</f>
        <v/>
      </c>
      <c r="V1398" s="13">
        <f>IFERROR(IF(Q1398&gt;0,IF(R1398&gt;0,"BOTH_ADD","CE_ADD_PE_REDUCE"),IF(R1398&gt;0,"CE_REDUCE_PE_ADD","BOTH_REDUCE")),"")</f>
        <v/>
      </c>
      <c r="W1398" s="13">
        <f>IFERROR( (P1398-1)*0.5 + (M1398)*0.1 - (I1398+J1398)*0.05 + T1398*0.4 ,"")</f>
        <v/>
      </c>
      <c r="X1398" s="13">
        <f>IFERROR(IF(ABS(F1398)&lt;0.01,"ATM/NEAR",""),"")</f>
        <v/>
      </c>
    </row>
    <row r="1399">
      <c r="A1399" s="13">
        <f>CHAIN_RAW!A1399</f>
        <v/>
      </c>
      <c r="B1399" s="14">
        <f>CHAIN_RAW!B1399</f>
        <v/>
      </c>
      <c r="C1399" s="13">
        <f>CHAIN_RAW!C1399</f>
        <v/>
      </c>
      <c r="D1399" s="13">
        <f>CHAIN_RAW!D1399</f>
        <v/>
      </c>
      <c r="E1399" s="13">
        <f>CHAIN_RAW!E1399</f>
        <v/>
      </c>
      <c r="F1399" s="13">
        <f>IFERROR((E1399-D1399)/D1399,"")</f>
        <v/>
      </c>
      <c r="G1399" s="13">
        <f>IFERROR((CHAIN_RAW!K1399+CHAIN_RAW!L1399)/2,"")</f>
        <v/>
      </c>
      <c r="H1399" s="13">
        <f>IFERROR((CHAIN_RAW!R1399+CHAIN_RAW!S1399)/2,"")</f>
        <v/>
      </c>
      <c r="I1399" s="13">
        <f>IFERROR((CHAIN_RAW!L1399-CHAIN_RAW!K1399)/MAX(1E-9, G1399),"")</f>
        <v/>
      </c>
      <c r="J1399" s="13">
        <f>IFERROR((CHAIN_RAW!S1399-CHAIN_RAW!R1399)/MAX(1E-9, H1399),"")</f>
        <v/>
      </c>
      <c r="K1399" s="13">
        <f>CHAIN_RAW!G1399</f>
        <v/>
      </c>
      <c r="L1399" s="13">
        <f>CHAIN_RAW!N1399</f>
        <v/>
      </c>
      <c r="M1399" s="13">
        <f>IFERROR(L1399-K1399,"")</f>
        <v/>
      </c>
      <c r="N1399" s="13">
        <f>CHAIN_RAW!H1399</f>
        <v/>
      </c>
      <c r="O1399" s="13">
        <f>CHAIN_RAW!O1399</f>
        <v/>
      </c>
      <c r="P1399" s="13">
        <f>IFERROR(O1399/N1399,"")</f>
        <v/>
      </c>
      <c r="Q1399" s="13">
        <f>CHAIN_RAW!I1399</f>
        <v/>
      </c>
      <c r="R1399" s="13">
        <f>CHAIN_RAW!P1399</f>
        <v/>
      </c>
      <c r="S1399" s="13">
        <f>IFERROR(R1399/Q1399,"")</f>
        <v/>
      </c>
      <c r="T1399" s="13">
        <f>IFERROR((ABS(N1399-O1399)/MAX(1,(N1399+O1399)))*EXP(-ABS(E1399-CONTROL!E5)/MAX(1,CONTROL!B8)),"")</f>
        <v/>
      </c>
      <c r="U1399" s="13">
        <f>IFERROR(IF(O1399&gt;N1399,"SUPPORT (PE OI)","RESIST (CE OI)"),"")</f>
        <v/>
      </c>
      <c r="V1399" s="13">
        <f>IFERROR(IF(Q1399&gt;0,IF(R1399&gt;0,"BOTH_ADD","CE_ADD_PE_REDUCE"),IF(R1399&gt;0,"CE_REDUCE_PE_ADD","BOTH_REDUCE")),"")</f>
        <v/>
      </c>
      <c r="W1399" s="13">
        <f>IFERROR( (P1399-1)*0.5 + (M1399)*0.1 - (I1399+J1399)*0.05 + T1399*0.4 ,"")</f>
        <v/>
      </c>
      <c r="X1399" s="13">
        <f>IFERROR(IF(ABS(F1399)&lt;0.01,"ATM/NEAR",""),"")</f>
        <v/>
      </c>
    </row>
    <row r="1400">
      <c r="A1400" s="13">
        <f>CHAIN_RAW!A1400</f>
        <v/>
      </c>
      <c r="B1400" s="14">
        <f>CHAIN_RAW!B1400</f>
        <v/>
      </c>
      <c r="C1400" s="13">
        <f>CHAIN_RAW!C1400</f>
        <v/>
      </c>
      <c r="D1400" s="13">
        <f>CHAIN_RAW!D1400</f>
        <v/>
      </c>
      <c r="E1400" s="13">
        <f>CHAIN_RAW!E1400</f>
        <v/>
      </c>
      <c r="F1400" s="13">
        <f>IFERROR((E1400-D1400)/D1400,"")</f>
        <v/>
      </c>
      <c r="G1400" s="13">
        <f>IFERROR((CHAIN_RAW!K1400+CHAIN_RAW!L1400)/2,"")</f>
        <v/>
      </c>
      <c r="H1400" s="13">
        <f>IFERROR((CHAIN_RAW!R1400+CHAIN_RAW!S1400)/2,"")</f>
        <v/>
      </c>
      <c r="I1400" s="13">
        <f>IFERROR((CHAIN_RAW!L1400-CHAIN_RAW!K1400)/MAX(1E-9, G1400),"")</f>
        <v/>
      </c>
      <c r="J1400" s="13">
        <f>IFERROR((CHAIN_RAW!S1400-CHAIN_RAW!R1400)/MAX(1E-9, H1400),"")</f>
        <v/>
      </c>
      <c r="K1400" s="13">
        <f>CHAIN_RAW!G1400</f>
        <v/>
      </c>
      <c r="L1400" s="13">
        <f>CHAIN_RAW!N1400</f>
        <v/>
      </c>
      <c r="M1400" s="13">
        <f>IFERROR(L1400-K1400,"")</f>
        <v/>
      </c>
      <c r="N1400" s="13">
        <f>CHAIN_RAW!H1400</f>
        <v/>
      </c>
      <c r="O1400" s="13">
        <f>CHAIN_RAW!O1400</f>
        <v/>
      </c>
      <c r="P1400" s="13">
        <f>IFERROR(O1400/N1400,"")</f>
        <v/>
      </c>
      <c r="Q1400" s="13">
        <f>CHAIN_RAW!I1400</f>
        <v/>
      </c>
      <c r="R1400" s="13">
        <f>CHAIN_RAW!P1400</f>
        <v/>
      </c>
      <c r="S1400" s="13">
        <f>IFERROR(R1400/Q1400,"")</f>
        <v/>
      </c>
      <c r="T1400" s="13">
        <f>IFERROR((ABS(N1400-O1400)/MAX(1,(N1400+O1400)))*EXP(-ABS(E1400-CONTROL!E5)/MAX(1,CONTROL!B8)),"")</f>
        <v/>
      </c>
      <c r="U1400" s="13">
        <f>IFERROR(IF(O1400&gt;N1400,"SUPPORT (PE OI)","RESIST (CE OI)"),"")</f>
        <v/>
      </c>
      <c r="V1400" s="13">
        <f>IFERROR(IF(Q1400&gt;0,IF(R1400&gt;0,"BOTH_ADD","CE_ADD_PE_REDUCE"),IF(R1400&gt;0,"CE_REDUCE_PE_ADD","BOTH_REDUCE")),"")</f>
        <v/>
      </c>
      <c r="W1400" s="13">
        <f>IFERROR( (P1400-1)*0.5 + (M1400)*0.1 - (I1400+J1400)*0.05 + T1400*0.4 ,"")</f>
        <v/>
      </c>
      <c r="X1400" s="13">
        <f>IFERROR(IF(ABS(F1400)&lt;0.01,"ATM/NEAR",""),"")</f>
        <v/>
      </c>
    </row>
    <row r="1401">
      <c r="A1401" s="13">
        <f>CHAIN_RAW!A1401</f>
        <v/>
      </c>
      <c r="B1401" s="14">
        <f>CHAIN_RAW!B1401</f>
        <v/>
      </c>
      <c r="C1401" s="13">
        <f>CHAIN_RAW!C1401</f>
        <v/>
      </c>
      <c r="D1401" s="13">
        <f>CHAIN_RAW!D1401</f>
        <v/>
      </c>
      <c r="E1401" s="13">
        <f>CHAIN_RAW!E1401</f>
        <v/>
      </c>
      <c r="F1401" s="13">
        <f>IFERROR((E1401-D1401)/D1401,"")</f>
        <v/>
      </c>
      <c r="G1401" s="13">
        <f>IFERROR((CHAIN_RAW!K1401+CHAIN_RAW!L1401)/2,"")</f>
        <v/>
      </c>
      <c r="H1401" s="13">
        <f>IFERROR((CHAIN_RAW!R1401+CHAIN_RAW!S1401)/2,"")</f>
        <v/>
      </c>
      <c r="I1401" s="13">
        <f>IFERROR((CHAIN_RAW!L1401-CHAIN_RAW!K1401)/MAX(1E-9, G1401),"")</f>
        <v/>
      </c>
      <c r="J1401" s="13">
        <f>IFERROR((CHAIN_RAW!S1401-CHAIN_RAW!R1401)/MAX(1E-9, H1401),"")</f>
        <v/>
      </c>
      <c r="K1401" s="13">
        <f>CHAIN_RAW!G1401</f>
        <v/>
      </c>
      <c r="L1401" s="13">
        <f>CHAIN_RAW!N1401</f>
        <v/>
      </c>
      <c r="M1401" s="13">
        <f>IFERROR(L1401-K1401,"")</f>
        <v/>
      </c>
      <c r="N1401" s="13">
        <f>CHAIN_RAW!H1401</f>
        <v/>
      </c>
      <c r="O1401" s="13">
        <f>CHAIN_RAW!O1401</f>
        <v/>
      </c>
      <c r="P1401" s="13">
        <f>IFERROR(O1401/N1401,"")</f>
        <v/>
      </c>
      <c r="Q1401" s="13">
        <f>CHAIN_RAW!I1401</f>
        <v/>
      </c>
      <c r="R1401" s="13">
        <f>CHAIN_RAW!P1401</f>
        <v/>
      </c>
      <c r="S1401" s="13">
        <f>IFERROR(R1401/Q1401,"")</f>
        <v/>
      </c>
      <c r="T1401" s="13">
        <f>IFERROR((ABS(N1401-O1401)/MAX(1,(N1401+O1401)))*EXP(-ABS(E1401-CONTROL!E5)/MAX(1,CONTROL!B8)),"")</f>
        <v/>
      </c>
      <c r="U1401" s="13">
        <f>IFERROR(IF(O1401&gt;N1401,"SUPPORT (PE OI)","RESIST (CE OI)"),"")</f>
        <v/>
      </c>
      <c r="V1401" s="13">
        <f>IFERROR(IF(Q1401&gt;0,IF(R1401&gt;0,"BOTH_ADD","CE_ADD_PE_REDUCE"),IF(R1401&gt;0,"CE_REDUCE_PE_ADD","BOTH_REDUCE")),"")</f>
        <v/>
      </c>
      <c r="W1401" s="13">
        <f>IFERROR( (P1401-1)*0.5 + (M1401)*0.1 - (I1401+J1401)*0.05 + T1401*0.4 ,"")</f>
        <v/>
      </c>
      <c r="X1401" s="13">
        <f>IFERROR(IF(ABS(F1401)&lt;0.01,"ATM/NEAR",""),"")</f>
        <v/>
      </c>
    </row>
    <row r="1402">
      <c r="A1402" s="13">
        <f>CHAIN_RAW!A1402</f>
        <v/>
      </c>
      <c r="B1402" s="14">
        <f>CHAIN_RAW!B1402</f>
        <v/>
      </c>
      <c r="C1402" s="13">
        <f>CHAIN_RAW!C1402</f>
        <v/>
      </c>
      <c r="D1402" s="13">
        <f>CHAIN_RAW!D1402</f>
        <v/>
      </c>
      <c r="E1402" s="13">
        <f>CHAIN_RAW!E1402</f>
        <v/>
      </c>
      <c r="F1402" s="13">
        <f>IFERROR((E1402-D1402)/D1402,"")</f>
        <v/>
      </c>
      <c r="G1402" s="13">
        <f>IFERROR((CHAIN_RAW!K1402+CHAIN_RAW!L1402)/2,"")</f>
        <v/>
      </c>
      <c r="H1402" s="13">
        <f>IFERROR((CHAIN_RAW!R1402+CHAIN_RAW!S1402)/2,"")</f>
        <v/>
      </c>
      <c r="I1402" s="13">
        <f>IFERROR((CHAIN_RAW!L1402-CHAIN_RAW!K1402)/MAX(1E-9, G1402),"")</f>
        <v/>
      </c>
      <c r="J1402" s="13">
        <f>IFERROR((CHAIN_RAW!S1402-CHAIN_RAW!R1402)/MAX(1E-9, H1402),"")</f>
        <v/>
      </c>
      <c r="K1402" s="13">
        <f>CHAIN_RAW!G1402</f>
        <v/>
      </c>
      <c r="L1402" s="13">
        <f>CHAIN_RAW!N1402</f>
        <v/>
      </c>
      <c r="M1402" s="13">
        <f>IFERROR(L1402-K1402,"")</f>
        <v/>
      </c>
      <c r="N1402" s="13">
        <f>CHAIN_RAW!H1402</f>
        <v/>
      </c>
      <c r="O1402" s="13">
        <f>CHAIN_RAW!O1402</f>
        <v/>
      </c>
      <c r="P1402" s="13">
        <f>IFERROR(O1402/N1402,"")</f>
        <v/>
      </c>
      <c r="Q1402" s="13">
        <f>CHAIN_RAW!I1402</f>
        <v/>
      </c>
      <c r="R1402" s="13">
        <f>CHAIN_RAW!P1402</f>
        <v/>
      </c>
      <c r="S1402" s="13">
        <f>IFERROR(R1402/Q1402,"")</f>
        <v/>
      </c>
      <c r="T1402" s="13">
        <f>IFERROR((ABS(N1402-O1402)/MAX(1,(N1402+O1402)))*EXP(-ABS(E1402-CONTROL!E5)/MAX(1,CONTROL!B8)),"")</f>
        <v/>
      </c>
      <c r="U1402" s="13">
        <f>IFERROR(IF(O1402&gt;N1402,"SUPPORT (PE OI)","RESIST (CE OI)"),"")</f>
        <v/>
      </c>
      <c r="V1402" s="13">
        <f>IFERROR(IF(Q1402&gt;0,IF(R1402&gt;0,"BOTH_ADD","CE_ADD_PE_REDUCE"),IF(R1402&gt;0,"CE_REDUCE_PE_ADD","BOTH_REDUCE")),"")</f>
        <v/>
      </c>
      <c r="W1402" s="13">
        <f>IFERROR( (P1402-1)*0.5 + (M1402)*0.1 - (I1402+J1402)*0.05 + T1402*0.4 ,"")</f>
        <v/>
      </c>
      <c r="X1402" s="13">
        <f>IFERROR(IF(ABS(F1402)&lt;0.01,"ATM/NEAR",""),"")</f>
        <v/>
      </c>
    </row>
    <row r="1403">
      <c r="A1403" s="13">
        <f>CHAIN_RAW!A1403</f>
        <v/>
      </c>
      <c r="B1403" s="14">
        <f>CHAIN_RAW!B1403</f>
        <v/>
      </c>
      <c r="C1403" s="13">
        <f>CHAIN_RAW!C1403</f>
        <v/>
      </c>
      <c r="D1403" s="13">
        <f>CHAIN_RAW!D1403</f>
        <v/>
      </c>
      <c r="E1403" s="13">
        <f>CHAIN_RAW!E1403</f>
        <v/>
      </c>
      <c r="F1403" s="13">
        <f>IFERROR((E1403-D1403)/D1403,"")</f>
        <v/>
      </c>
      <c r="G1403" s="13">
        <f>IFERROR((CHAIN_RAW!K1403+CHAIN_RAW!L1403)/2,"")</f>
        <v/>
      </c>
      <c r="H1403" s="13">
        <f>IFERROR((CHAIN_RAW!R1403+CHAIN_RAW!S1403)/2,"")</f>
        <v/>
      </c>
      <c r="I1403" s="13">
        <f>IFERROR((CHAIN_RAW!L1403-CHAIN_RAW!K1403)/MAX(1E-9, G1403),"")</f>
        <v/>
      </c>
      <c r="J1403" s="13">
        <f>IFERROR((CHAIN_RAW!S1403-CHAIN_RAW!R1403)/MAX(1E-9, H1403),"")</f>
        <v/>
      </c>
      <c r="K1403" s="13">
        <f>CHAIN_RAW!G1403</f>
        <v/>
      </c>
      <c r="L1403" s="13">
        <f>CHAIN_RAW!N1403</f>
        <v/>
      </c>
      <c r="M1403" s="13">
        <f>IFERROR(L1403-K1403,"")</f>
        <v/>
      </c>
      <c r="N1403" s="13">
        <f>CHAIN_RAW!H1403</f>
        <v/>
      </c>
      <c r="O1403" s="13">
        <f>CHAIN_RAW!O1403</f>
        <v/>
      </c>
      <c r="P1403" s="13">
        <f>IFERROR(O1403/N1403,"")</f>
        <v/>
      </c>
      <c r="Q1403" s="13">
        <f>CHAIN_RAW!I1403</f>
        <v/>
      </c>
      <c r="R1403" s="13">
        <f>CHAIN_RAW!P1403</f>
        <v/>
      </c>
      <c r="S1403" s="13">
        <f>IFERROR(R1403/Q1403,"")</f>
        <v/>
      </c>
      <c r="T1403" s="13">
        <f>IFERROR((ABS(N1403-O1403)/MAX(1,(N1403+O1403)))*EXP(-ABS(E1403-CONTROL!E5)/MAX(1,CONTROL!B8)),"")</f>
        <v/>
      </c>
      <c r="U1403" s="13">
        <f>IFERROR(IF(O1403&gt;N1403,"SUPPORT (PE OI)","RESIST (CE OI)"),"")</f>
        <v/>
      </c>
      <c r="V1403" s="13">
        <f>IFERROR(IF(Q1403&gt;0,IF(R1403&gt;0,"BOTH_ADD","CE_ADD_PE_REDUCE"),IF(R1403&gt;0,"CE_REDUCE_PE_ADD","BOTH_REDUCE")),"")</f>
        <v/>
      </c>
      <c r="W1403" s="13">
        <f>IFERROR( (P1403-1)*0.5 + (M1403)*0.1 - (I1403+J1403)*0.05 + T1403*0.4 ,"")</f>
        <v/>
      </c>
      <c r="X1403" s="13">
        <f>IFERROR(IF(ABS(F1403)&lt;0.01,"ATM/NEAR",""),"")</f>
        <v/>
      </c>
    </row>
    <row r="1404">
      <c r="A1404" s="13">
        <f>CHAIN_RAW!A1404</f>
        <v/>
      </c>
      <c r="B1404" s="14">
        <f>CHAIN_RAW!B1404</f>
        <v/>
      </c>
      <c r="C1404" s="13">
        <f>CHAIN_RAW!C1404</f>
        <v/>
      </c>
      <c r="D1404" s="13">
        <f>CHAIN_RAW!D1404</f>
        <v/>
      </c>
      <c r="E1404" s="13">
        <f>CHAIN_RAW!E1404</f>
        <v/>
      </c>
      <c r="F1404" s="13">
        <f>IFERROR((E1404-D1404)/D1404,"")</f>
        <v/>
      </c>
      <c r="G1404" s="13">
        <f>IFERROR((CHAIN_RAW!K1404+CHAIN_RAW!L1404)/2,"")</f>
        <v/>
      </c>
      <c r="H1404" s="13">
        <f>IFERROR((CHAIN_RAW!R1404+CHAIN_RAW!S1404)/2,"")</f>
        <v/>
      </c>
      <c r="I1404" s="13">
        <f>IFERROR((CHAIN_RAW!L1404-CHAIN_RAW!K1404)/MAX(1E-9, G1404),"")</f>
        <v/>
      </c>
      <c r="J1404" s="13">
        <f>IFERROR((CHAIN_RAW!S1404-CHAIN_RAW!R1404)/MAX(1E-9, H1404),"")</f>
        <v/>
      </c>
      <c r="K1404" s="13">
        <f>CHAIN_RAW!G1404</f>
        <v/>
      </c>
      <c r="L1404" s="13">
        <f>CHAIN_RAW!N1404</f>
        <v/>
      </c>
      <c r="M1404" s="13">
        <f>IFERROR(L1404-K1404,"")</f>
        <v/>
      </c>
      <c r="N1404" s="13">
        <f>CHAIN_RAW!H1404</f>
        <v/>
      </c>
      <c r="O1404" s="13">
        <f>CHAIN_RAW!O1404</f>
        <v/>
      </c>
      <c r="P1404" s="13">
        <f>IFERROR(O1404/N1404,"")</f>
        <v/>
      </c>
      <c r="Q1404" s="13">
        <f>CHAIN_RAW!I1404</f>
        <v/>
      </c>
      <c r="R1404" s="13">
        <f>CHAIN_RAW!P1404</f>
        <v/>
      </c>
      <c r="S1404" s="13">
        <f>IFERROR(R1404/Q1404,"")</f>
        <v/>
      </c>
      <c r="T1404" s="13">
        <f>IFERROR((ABS(N1404-O1404)/MAX(1,(N1404+O1404)))*EXP(-ABS(E1404-CONTROL!E5)/MAX(1,CONTROL!B8)),"")</f>
        <v/>
      </c>
      <c r="U1404" s="13">
        <f>IFERROR(IF(O1404&gt;N1404,"SUPPORT (PE OI)","RESIST (CE OI)"),"")</f>
        <v/>
      </c>
      <c r="V1404" s="13">
        <f>IFERROR(IF(Q1404&gt;0,IF(R1404&gt;0,"BOTH_ADD","CE_ADD_PE_REDUCE"),IF(R1404&gt;0,"CE_REDUCE_PE_ADD","BOTH_REDUCE")),"")</f>
        <v/>
      </c>
      <c r="W1404" s="13">
        <f>IFERROR( (P1404-1)*0.5 + (M1404)*0.1 - (I1404+J1404)*0.05 + T1404*0.4 ,"")</f>
        <v/>
      </c>
      <c r="X1404" s="13">
        <f>IFERROR(IF(ABS(F1404)&lt;0.01,"ATM/NEAR",""),"")</f>
        <v/>
      </c>
    </row>
    <row r="1405">
      <c r="A1405" s="13">
        <f>CHAIN_RAW!A1405</f>
        <v/>
      </c>
      <c r="B1405" s="14">
        <f>CHAIN_RAW!B1405</f>
        <v/>
      </c>
      <c r="C1405" s="13">
        <f>CHAIN_RAW!C1405</f>
        <v/>
      </c>
      <c r="D1405" s="13">
        <f>CHAIN_RAW!D1405</f>
        <v/>
      </c>
      <c r="E1405" s="13">
        <f>CHAIN_RAW!E1405</f>
        <v/>
      </c>
      <c r="F1405" s="13">
        <f>IFERROR((E1405-D1405)/D1405,"")</f>
        <v/>
      </c>
      <c r="G1405" s="13">
        <f>IFERROR((CHAIN_RAW!K1405+CHAIN_RAW!L1405)/2,"")</f>
        <v/>
      </c>
      <c r="H1405" s="13">
        <f>IFERROR((CHAIN_RAW!R1405+CHAIN_RAW!S1405)/2,"")</f>
        <v/>
      </c>
      <c r="I1405" s="13">
        <f>IFERROR((CHAIN_RAW!L1405-CHAIN_RAW!K1405)/MAX(1E-9, G1405),"")</f>
        <v/>
      </c>
      <c r="J1405" s="13">
        <f>IFERROR((CHAIN_RAW!S1405-CHAIN_RAW!R1405)/MAX(1E-9, H1405),"")</f>
        <v/>
      </c>
      <c r="K1405" s="13">
        <f>CHAIN_RAW!G1405</f>
        <v/>
      </c>
      <c r="L1405" s="13">
        <f>CHAIN_RAW!N1405</f>
        <v/>
      </c>
      <c r="M1405" s="13">
        <f>IFERROR(L1405-K1405,"")</f>
        <v/>
      </c>
      <c r="N1405" s="13">
        <f>CHAIN_RAW!H1405</f>
        <v/>
      </c>
      <c r="O1405" s="13">
        <f>CHAIN_RAW!O1405</f>
        <v/>
      </c>
      <c r="P1405" s="13">
        <f>IFERROR(O1405/N1405,"")</f>
        <v/>
      </c>
      <c r="Q1405" s="13">
        <f>CHAIN_RAW!I1405</f>
        <v/>
      </c>
      <c r="R1405" s="13">
        <f>CHAIN_RAW!P1405</f>
        <v/>
      </c>
      <c r="S1405" s="13">
        <f>IFERROR(R1405/Q1405,"")</f>
        <v/>
      </c>
      <c r="T1405" s="13">
        <f>IFERROR((ABS(N1405-O1405)/MAX(1,(N1405+O1405)))*EXP(-ABS(E1405-CONTROL!E5)/MAX(1,CONTROL!B8)),"")</f>
        <v/>
      </c>
      <c r="U1405" s="13">
        <f>IFERROR(IF(O1405&gt;N1405,"SUPPORT (PE OI)","RESIST (CE OI)"),"")</f>
        <v/>
      </c>
      <c r="V1405" s="13">
        <f>IFERROR(IF(Q1405&gt;0,IF(R1405&gt;0,"BOTH_ADD","CE_ADD_PE_REDUCE"),IF(R1405&gt;0,"CE_REDUCE_PE_ADD","BOTH_REDUCE")),"")</f>
        <v/>
      </c>
      <c r="W1405" s="13">
        <f>IFERROR( (P1405-1)*0.5 + (M1405)*0.1 - (I1405+J1405)*0.05 + T1405*0.4 ,"")</f>
        <v/>
      </c>
      <c r="X1405" s="13">
        <f>IFERROR(IF(ABS(F1405)&lt;0.01,"ATM/NEAR",""),"")</f>
        <v/>
      </c>
    </row>
    <row r="1406">
      <c r="A1406" s="13">
        <f>CHAIN_RAW!A1406</f>
        <v/>
      </c>
      <c r="B1406" s="14">
        <f>CHAIN_RAW!B1406</f>
        <v/>
      </c>
      <c r="C1406" s="13">
        <f>CHAIN_RAW!C1406</f>
        <v/>
      </c>
      <c r="D1406" s="13">
        <f>CHAIN_RAW!D1406</f>
        <v/>
      </c>
      <c r="E1406" s="13">
        <f>CHAIN_RAW!E1406</f>
        <v/>
      </c>
      <c r="F1406" s="13">
        <f>IFERROR((E1406-D1406)/D1406,"")</f>
        <v/>
      </c>
      <c r="G1406" s="13">
        <f>IFERROR((CHAIN_RAW!K1406+CHAIN_RAW!L1406)/2,"")</f>
        <v/>
      </c>
      <c r="H1406" s="13">
        <f>IFERROR((CHAIN_RAW!R1406+CHAIN_RAW!S1406)/2,"")</f>
        <v/>
      </c>
      <c r="I1406" s="13">
        <f>IFERROR((CHAIN_RAW!L1406-CHAIN_RAW!K1406)/MAX(1E-9, G1406),"")</f>
        <v/>
      </c>
      <c r="J1406" s="13">
        <f>IFERROR((CHAIN_RAW!S1406-CHAIN_RAW!R1406)/MAX(1E-9, H1406),"")</f>
        <v/>
      </c>
      <c r="K1406" s="13">
        <f>CHAIN_RAW!G1406</f>
        <v/>
      </c>
      <c r="L1406" s="13">
        <f>CHAIN_RAW!N1406</f>
        <v/>
      </c>
      <c r="M1406" s="13">
        <f>IFERROR(L1406-K1406,"")</f>
        <v/>
      </c>
      <c r="N1406" s="13">
        <f>CHAIN_RAW!H1406</f>
        <v/>
      </c>
      <c r="O1406" s="13">
        <f>CHAIN_RAW!O1406</f>
        <v/>
      </c>
      <c r="P1406" s="13">
        <f>IFERROR(O1406/N1406,"")</f>
        <v/>
      </c>
      <c r="Q1406" s="13">
        <f>CHAIN_RAW!I1406</f>
        <v/>
      </c>
      <c r="R1406" s="13">
        <f>CHAIN_RAW!P1406</f>
        <v/>
      </c>
      <c r="S1406" s="13">
        <f>IFERROR(R1406/Q1406,"")</f>
        <v/>
      </c>
      <c r="T1406" s="13">
        <f>IFERROR((ABS(N1406-O1406)/MAX(1,(N1406+O1406)))*EXP(-ABS(E1406-CONTROL!E5)/MAX(1,CONTROL!B8)),"")</f>
        <v/>
      </c>
      <c r="U1406" s="13">
        <f>IFERROR(IF(O1406&gt;N1406,"SUPPORT (PE OI)","RESIST (CE OI)"),"")</f>
        <v/>
      </c>
      <c r="V1406" s="13">
        <f>IFERROR(IF(Q1406&gt;0,IF(R1406&gt;0,"BOTH_ADD","CE_ADD_PE_REDUCE"),IF(R1406&gt;0,"CE_REDUCE_PE_ADD","BOTH_REDUCE")),"")</f>
        <v/>
      </c>
      <c r="W1406" s="13">
        <f>IFERROR( (P1406-1)*0.5 + (M1406)*0.1 - (I1406+J1406)*0.05 + T1406*0.4 ,"")</f>
        <v/>
      </c>
      <c r="X1406" s="13">
        <f>IFERROR(IF(ABS(F1406)&lt;0.01,"ATM/NEAR",""),"")</f>
        <v/>
      </c>
    </row>
    <row r="1407">
      <c r="A1407" s="13">
        <f>CHAIN_RAW!A1407</f>
        <v/>
      </c>
      <c r="B1407" s="14">
        <f>CHAIN_RAW!B1407</f>
        <v/>
      </c>
      <c r="C1407" s="13">
        <f>CHAIN_RAW!C1407</f>
        <v/>
      </c>
      <c r="D1407" s="13">
        <f>CHAIN_RAW!D1407</f>
        <v/>
      </c>
      <c r="E1407" s="13">
        <f>CHAIN_RAW!E1407</f>
        <v/>
      </c>
      <c r="F1407" s="13">
        <f>IFERROR((E1407-D1407)/D1407,"")</f>
        <v/>
      </c>
      <c r="G1407" s="13">
        <f>IFERROR((CHAIN_RAW!K1407+CHAIN_RAW!L1407)/2,"")</f>
        <v/>
      </c>
      <c r="H1407" s="13">
        <f>IFERROR((CHAIN_RAW!R1407+CHAIN_RAW!S1407)/2,"")</f>
        <v/>
      </c>
      <c r="I1407" s="13">
        <f>IFERROR((CHAIN_RAW!L1407-CHAIN_RAW!K1407)/MAX(1E-9, G1407),"")</f>
        <v/>
      </c>
      <c r="J1407" s="13">
        <f>IFERROR((CHAIN_RAW!S1407-CHAIN_RAW!R1407)/MAX(1E-9, H1407),"")</f>
        <v/>
      </c>
      <c r="K1407" s="13">
        <f>CHAIN_RAW!G1407</f>
        <v/>
      </c>
      <c r="L1407" s="13">
        <f>CHAIN_RAW!N1407</f>
        <v/>
      </c>
      <c r="M1407" s="13">
        <f>IFERROR(L1407-K1407,"")</f>
        <v/>
      </c>
      <c r="N1407" s="13">
        <f>CHAIN_RAW!H1407</f>
        <v/>
      </c>
      <c r="O1407" s="13">
        <f>CHAIN_RAW!O1407</f>
        <v/>
      </c>
      <c r="P1407" s="13">
        <f>IFERROR(O1407/N1407,"")</f>
        <v/>
      </c>
      <c r="Q1407" s="13">
        <f>CHAIN_RAW!I1407</f>
        <v/>
      </c>
      <c r="R1407" s="13">
        <f>CHAIN_RAW!P1407</f>
        <v/>
      </c>
      <c r="S1407" s="13">
        <f>IFERROR(R1407/Q1407,"")</f>
        <v/>
      </c>
      <c r="T1407" s="13">
        <f>IFERROR((ABS(N1407-O1407)/MAX(1,(N1407+O1407)))*EXP(-ABS(E1407-CONTROL!E5)/MAX(1,CONTROL!B8)),"")</f>
        <v/>
      </c>
      <c r="U1407" s="13">
        <f>IFERROR(IF(O1407&gt;N1407,"SUPPORT (PE OI)","RESIST (CE OI)"),"")</f>
        <v/>
      </c>
      <c r="V1407" s="13">
        <f>IFERROR(IF(Q1407&gt;0,IF(R1407&gt;0,"BOTH_ADD","CE_ADD_PE_REDUCE"),IF(R1407&gt;0,"CE_REDUCE_PE_ADD","BOTH_REDUCE")),"")</f>
        <v/>
      </c>
      <c r="W1407" s="13">
        <f>IFERROR( (P1407-1)*0.5 + (M1407)*0.1 - (I1407+J1407)*0.05 + T1407*0.4 ,"")</f>
        <v/>
      </c>
      <c r="X1407" s="13">
        <f>IFERROR(IF(ABS(F1407)&lt;0.01,"ATM/NEAR",""),"")</f>
        <v/>
      </c>
    </row>
    <row r="1408">
      <c r="A1408" s="13">
        <f>CHAIN_RAW!A1408</f>
        <v/>
      </c>
      <c r="B1408" s="14">
        <f>CHAIN_RAW!B1408</f>
        <v/>
      </c>
      <c r="C1408" s="13">
        <f>CHAIN_RAW!C1408</f>
        <v/>
      </c>
      <c r="D1408" s="13">
        <f>CHAIN_RAW!D1408</f>
        <v/>
      </c>
      <c r="E1408" s="13">
        <f>CHAIN_RAW!E1408</f>
        <v/>
      </c>
      <c r="F1408" s="13">
        <f>IFERROR((E1408-D1408)/D1408,"")</f>
        <v/>
      </c>
      <c r="G1408" s="13">
        <f>IFERROR((CHAIN_RAW!K1408+CHAIN_RAW!L1408)/2,"")</f>
        <v/>
      </c>
      <c r="H1408" s="13">
        <f>IFERROR((CHAIN_RAW!R1408+CHAIN_RAW!S1408)/2,"")</f>
        <v/>
      </c>
      <c r="I1408" s="13">
        <f>IFERROR((CHAIN_RAW!L1408-CHAIN_RAW!K1408)/MAX(1E-9, G1408),"")</f>
        <v/>
      </c>
      <c r="J1408" s="13">
        <f>IFERROR((CHAIN_RAW!S1408-CHAIN_RAW!R1408)/MAX(1E-9, H1408),"")</f>
        <v/>
      </c>
      <c r="K1408" s="13">
        <f>CHAIN_RAW!G1408</f>
        <v/>
      </c>
      <c r="L1408" s="13">
        <f>CHAIN_RAW!N1408</f>
        <v/>
      </c>
      <c r="M1408" s="13">
        <f>IFERROR(L1408-K1408,"")</f>
        <v/>
      </c>
      <c r="N1408" s="13">
        <f>CHAIN_RAW!H1408</f>
        <v/>
      </c>
      <c r="O1408" s="13">
        <f>CHAIN_RAW!O1408</f>
        <v/>
      </c>
      <c r="P1408" s="13">
        <f>IFERROR(O1408/N1408,"")</f>
        <v/>
      </c>
      <c r="Q1408" s="13">
        <f>CHAIN_RAW!I1408</f>
        <v/>
      </c>
      <c r="R1408" s="13">
        <f>CHAIN_RAW!P1408</f>
        <v/>
      </c>
      <c r="S1408" s="13">
        <f>IFERROR(R1408/Q1408,"")</f>
        <v/>
      </c>
      <c r="T1408" s="13">
        <f>IFERROR((ABS(N1408-O1408)/MAX(1,(N1408+O1408)))*EXP(-ABS(E1408-CONTROL!E5)/MAX(1,CONTROL!B8)),"")</f>
        <v/>
      </c>
      <c r="U1408" s="13">
        <f>IFERROR(IF(O1408&gt;N1408,"SUPPORT (PE OI)","RESIST (CE OI)"),"")</f>
        <v/>
      </c>
      <c r="V1408" s="13">
        <f>IFERROR(IF(Q1408&gt;0,IF(R1408&gt;0,"BOTH_ADD","CE_ADD_PE_REDUCE"),IF(R1408&gt;0,"CE_REDUCE_PE_ADD","BOTH_REDUCE")),"")</f>
        <v/>
      </c>
      <c r="W1408" s="13">
        <f>IFERROR( (P1408-1)*0.5 + (M1408)*0.1 - (I1408+J1408)*0.05 + T1408*0.4 ,"")</f>
        <v/>
      </c>
      <c r="X1408" s="13">
        <f>IFERROR(IF(ABS(F1408)&lt;0.01,"ATM/NEAR",""),"")</f>
        <v/>
      </c>
    </row>
    <row r="1409">
      <c r="A1409" s="13">
        <f>CHAIN_RAW!A1409</f>
        <v/>
      </c>
      <c r="B1409" s="14">
        <f>CHAIN_RAW!B1409</f>
        <v/>
      </c>
      <c r="C1409" s="13">
        <f>CHAIN_RAW!C1409</f>
        <v/>
      </c>
      <c r="D1409" s="13">
        <f>CHAIN_RAW!D1409</f>
        <v/>
      </c>
      <c r="E1409" s="13">
        <f>CHAIN_RAW!E1409</f>
        <v/>
      </c>
      <c r="F1409" s="13">
        <f>IFERROR((E1409-D1409)/D1409,"")</f>
        <v/>
      </c>
      <c r="G1409" s="13">
        <f>IFERROR((CHAIN_RAW!K1409+CHAIN_RAW!L1409)/2,"")</f>
        <v/>
      </c>
      <c r="H1409" s="13">
        <f>IFERROR((CHAIN_RAW!R1409+CHAIN_RAW!S1409)/2,"")</f>
        <v/>
      </c>
      <c r="I1409" s="13">
        <f>IFERROR((CHAIN_RAW!L1409-CHAIN_RAW!K1409)/MAX(1E-9, G1409),"")</f>
        <v/>
      </c>
      <c r="J1409" s="13">
        <f>IFERROR((CHAIN_RAW!S1409-CHAIN_RAW!R1409)/MAX(1E-9, H1409),"")</f>
        <v/>
      </c>
      <c r="K1409" s="13">
        <f>CHAIN_RAW!G1409</f>
        <v/>
      </c>
      <c r="L1409" s="13">
        <f>CHAIN_RAW!N1409</f>
        <v/>
      </c>
      <c r="M1409" s="13">
        <f>IFERROR(L1409-K1409,"")</f>
        <v/>
      </c>
      <c r="N1409" s="13">
        <f>CHAIN_RAW!H1409</f>
        <v/>
      </c>
      <c r="O1409" s="13">
        <f>CHAIN_RAW!O1409</f>
        <v/>
      </c>
      <c r="P1409" s="13">
        <f>IFERROR(O1409/N1409,"")</f>
        <v/>
      </c>
      <c r="Q1409" s="13">
        <f>CHAIN_RAW!I1409</f>
        <v/>
      </c>
      <c r="R1409" s="13">
        <f>CHAIN_RAW!P1409</f>
        <v/>
      </c>
      <c r="S1409" s="13">
        <f>IFERROR(R1409/Q1409,"")</f>
        <v/>
      </c>
      <c r="T1409" s="13">
        <f>IFERROR((ABS(N1409-O1409)/MAX(1,(N1409+O1409)))*EXP(-ABS(E1409-CONTROL!E5)/MAX(1,CONTROL!B8)),"")</f>
        <v/>
      </c>
      <c r="U1409" s="13">
        <f>IFERROR(IF(O1409&gt;N1409,"SUPPORT (PE OI)","RESIST (CE OI)"),"")</f>
        <v/>
      </c>
      <c r="V1409" s="13">
        <f>IFERROR(IF(Q1409&gt;0,IF(R1409&gt;0,"BOTH_ADD","CE_ADD_PE_REDUCE"),IF(R1409&gt;0,"CE_REDUCE_PE_ADD","BOTH_REDUCE")),"")</f>
        <v/>
      </c>
      <c r="W1409" s="13">
        <f>IFERROR( (P1409-1)*0.5 + (M1409)*0.1 - (I1409+J1409)*0.05 + T1409*0.4 ,"")</f>
        <v/>
      </c>
      <c r="X1409" s="13">
        <f>IFERROR(IF(ABS(F1409)&lt;0.01,"ATM/NEAR",""),"")</f>
        <v/>
      </c>
    </row>
    <row r="1410">
      <c r="A1410" s="13">
        <f>CHAIN_RAW!A1410</f>
        <v/>
      </c>
      <c r="B1410" s="14">
        <f>CHAIN_RAW!B1410</f>
        <v/>
      </c>
      <c r="C1410" s="13">
        <f>CHAIN_RAW!C1410</f>
        <v/>
      </c>
      <c r="D1410" s="13">
        <f>CHAIN_RAW!D1410</f>
        <v/>
      </c>
      <c r="E1410" s="13">
        <f>CHAIN_RAW!E1410</f>
        <v/>
      </c>
      <c r="F1410" s="13">
        <f>IFERROR((E1410-D1410)/D1410,"")</f>
        <v/>
      </c>
      <c r="G1410" s="13">
        <f>IFERROR((CHAIN_RAW!K1410+CHAIN_RAW!L1410)/2,"")</f>
        <v/>
      </c>
      <c r="H1410" s="13">
        <f>IFERROR((CHAIN_RAW!R1410+CHAIN_RAW!S1410)/2,"")</f>
        <v/>
      </c>
      <c r="I1410" s="13">
        <f>IFERROR((CHAIN_RAW!L1410-CHAIN_RAW!K1410)/MAX(1E-9, G1410),"")</f>
        <v/>
      </c>
      <c r="J1410" s="13">
        <f>IFERROR((CHAIN_RAW!S1410-CHAIN_RAW!R1410)/MAX(1E-9, H1410),"")</f>
        <v/>
      </c>
      <c r="K1410" s="13">
        <f>CHAIN_RAW!G1410</f>
        <v/>
      </c>
      <c r="L1410" s="13">
        <f>CHAIN_RAW!N1410</f>
        <v/>
      </c>
      <c r="M1410" s="13">
        <f>IFERROR(L1410-K1410,"")</f>
        <v/>
      </c>
      <c r="N1410" s="13">
        <f>CHAIN_RAW!H1410</f>
        <v/>
      </c>
      <c r="O1410" s="13">
        <f>CHAIN_RAW!O1410</f>
        <v/>
      </c>
      <c r="P1410" s="13">
        <f>IFERROR(O1410/N1410,"")</f>
        <v/>
      </c>
      <c r="Q1410" s="13">
        <f>CHAIN_RAW!I1410</f>
        <v/>
      </c>
      <c r="R1410" s="13">
        <f>CHAIN_RAW!P1410</f>
        <v/>
      </c>
      <c r="S1410" s="13">
        <f>IFERROR(R1410/Q1410,"")</f>
        <v/>
      </c>
      <c r="T1410" s="13">
        <f>IFERROR((ABS(N1410-O1410)/MAX(1,(N1410+O1410)))*EXP(-ABS(E1410-CONTROL!E5)/MAX(1,CONTROL!B8)),"")</f>
        <v/>
      </c>
      <c r="U1410" s="13">
        <f>IFERROR(IF(O1410&gt;N1410,"SUPPORT (PE OI)","RESIST (CE OI)"),"")</f>
        <v/>
      </c>
      <c r="V1410" s="13">
        <f>IFERROR(IF(Q1410&gt;0,IF(R1410&gt;0,"BOTH_ADD","CE_ADD_PE_REDUCE"),IF(R1410&gt;0,"CE_REDUCE_PE_ADD","BOTH_REDUCE")),"")</f>
        <v/>
      </c>
      <c r="W1410" s="13">
        <f>IFERROR( (P1410-1)*0.5 + (M1410)*0.1 - (I1410+J1410)*0.05 + T1410*0.4 ,"")</f>
        <v/>
      </c>
      <c r="X1410" s="13">
        <f>IFERROR(IF(ABS(F1410)&lt;0.01,"ATM/NEAR",""),"")</f>
        <v/>
      </c>
    </row>
    <row r="1411">
      <c r="A1411" s="13">
        <f>CHAIN_RAW!A1411</f>
        <v/>
      </c>
      <c r="B1411" s="14">
        <f>CHAIN_RAW!B1411</f>
        <v/>
      </c>
      <c r="C1411" s="13">
        <f>CHAIN_RAW!C1411</f>
        <v/>
      </c>
      <c r="D1411" s="13">
        <f>CHAIN_RAW!D1411</f>
        <v/>
      </c>
      <c r="E1411" s="13">
        <f>CHAIN_RAW!E1411</f>
        <v/>
      </c>
      <c r="F1411" s="13">
        <f>IFERROR((E1411-D1411)/D1411,"")</f>
        <v/>
      </c>
      <c r="G1411" s="13">
        <f>IFERROR((CHAIN_RAW!K1411+CHAIN_RAW!L1411)/2,"")</f>
        <v/>
      </c>
      <c r="H1411" s="13">
        <f>IFERROR((CHAIN_RAW!R1411+CHAIN_RAW!S1411)/2,"")</f>
        <v/>
      </c>
      <c r="I1411" s="13">
        <f>IFERROR((CHAIN_RAW!L1411-CHAIN_RAW!K1411)/MAX(1E-9, G1411),"")</f>
        <v/>
      </c>
      <c r="J1411" s="13">
        <f>IFERROR((CHAIN_RAW!S1411-CHAIN_RAW!R1411)/MAX(1E-9, H1411),"")</f>
        <v/>
      </c>
      <c r="K1411" s="13">
        <f>CHAIN_RAW!G1411</f>
        <v/>
      </c>
      <c r="L1411" s="13">
        <f>CHAIN_RAW!N1411</f>
        <v/>
      </c>
      <c r="M1411" s="13">
        <f>IFERROR(L1411-K1411,"")</f>
        <v/>
      </c>
      <c r="N1411" s="13">
        <f>CHAIN_RAW!H1411</f>
        <v/>
      </c>
      <c r="O1411" s="13">
        <f>CHAIN_RAW!O1411</f>
        <v/>
      </c>
      <c r="P1411" s="13">
        <f>IFERROR(O1411/N1411,"")</f>
        <v/>
      </c>
      <c r="Q1411" s="13">
        <f>CHAIN_RAW!I1411</f>
        <v/>
      </c>
      <c r="R1411" s="13">
        <f>CHAIN_RAW!P1411</f>
        <v/>
      </c>
      <c r="S1411" s="13">
        <f>IFERROR(R1411/Q1411,"")</f>
        <v/>
      </c>
      <c r="T1411" s="13">
        <f>IFERROR((ABS(N1411-O1411)/MAX(1,(N1411+O1411)))*EXP(-ABS(E1411-CONTROL!E5)/MAX(1,CONTROL!B8)),"")</f>
        <v/>
      </c>
      <c r="U1411" s="13">
        <f>IFERROR(IF(O1411&gt;N1411,"SUPPORT (PE OI)","RESIST (CE OI)"),"")</f>
        <v/>
      </c>
      <c r="V1411" s="13">
        <f>IFERROR(IF(Q1411&gt;0,IF(R1411&gt;0,"BOTH_ADD","CE_ADD_PE_REDUCE"),IF(R1411&gt;0,"CE_REDUCE_PE_ADD","BOTH_REDUCE")),"")</f>
        <v/>
      </c>
      <c r="W1411" s="13">
        <f>IFERROR( (P1411-1)*0.5 + (M1411)*0.1 - (I1411+J1411)*0.05 + T1411*0.4 ,"")</f>
        <v/>
      </c>
      <c r="X1411" s="13">
        <f>IFERROR(IF(ABS(F1411)&lt;0.01,"ATM/NEAR",""),"")</f>
        <v/>
      </c>
    </row>
    <row r="1412">
      <c r="A1412" s="13">
        <f>CHAIN_RAW!A1412</f>
        <v/>
      </c>
      <c r="B1412" s="14">
        <f>CHAIN_RAW!B1412</f>
        <v/>
      </c>
      <c r="C1412" s="13">
        <f>CHAIN_RAW!C1412</f>
        <v/>
      </c>
      <c r="D1412" s="13">
        <f>CHAIN_RAW!D1412</f>
        <v/>
      </c>
      <c r="E1412" s="13">
        <f>CHAIN_RAW!E1412</f>
        <v/>
      </c>
      <c r="F1412" s="13">
        <f>IFERROR((E1412-D1412)/D1412,"")</f>
        <v/>
      </c>
      <c r="G1412" s="13">
        <f>IFERROR((CHAIN_RAW!K1412+CHAIN_RAW!L1412)/2,"")</f>
        <v/>
      </c>
      <c r="H1412" s="13">
        <f>IFERROR((CHAIN_RAW!R1412+CHAIN_RAW!S1412)/2,"")</f>
        <v/>
      </c>
      <c r="I1412" s="13">
        <f>IFERROR((CHAIN_RAW!L1412-CHAIN_RAW!K1412)/MAX(1E-9, G1412),"")</f>
        <v/>
      </c>
      <c r="J1412" s="13">
        <f>IFERROR((CHAIN_RAW!S1412-CHAIN_RAW!R1412)/MAX(1E-9, H1412),"")</f>
        <v/>
      </c>
      <c r="K1412" s="13">
        <f>CHAIN_RAW!G1412</f>
        <v/>
      </c>
      <c r="L1412" s="13">
        <f>CHAIN_RAW!N1412</f>
        <v/>
      </c>
      <c r="M1412" s="13">
        <f>IFERROR(L1412-K1412,"")</f>
        <v/>
      </c>
      <c r="N1412" s="13">
        <f>CHAIN_RAW!H1412</f>
        <v/>
      </c>
      <c r="O1412" s="13">
        <f>CHAIN_RAW!O1412</f>
        <v/>
      </c>
      <c r="P1412" s="13">
        <f>IFERROR(O1412/N1412,"")</f>
        <v/>
      </c>
      <c r="Q1412" s="13">
        <f>CHAIN_RAW!I1412</f>
        <v/>
      </c>
      <c r="R1412" s="13">
        <f>CHAIN_RAW!P1412</f>
        <v/>
      </c>
      <c r="S1412" s="13">
        <f>IFERROR(R1412/Q1412,"")</f>
        <v/>
      </c>
      <c r="T1412" s="13">
        <f>IFERROR((ABS(N1412-O1412)/MAX(1,(N1412+O1412)))*EXP(-ABS(E1412-CONTROL!E5)/MAX(1,CONTROL!B8)),"")</f>
        <v/>
      </c>
      <c r="U1412" s="13">
        <f>IFERROR(IF(O1412&gt;N1412,"SUPPORT (PE OI)","RESIST (CE OI)"),"")</f>
        <v/>
      </c>
      <c r="V1412" s="13">
        <f>IFERROR(IF(Q1412&gt;0,IF(R1412&gt;0,"BOTH_ADD","CE_ADD_PE_REDUCE"),IF(R1412&gt;0,"CE_REDUCE_PE_ADD","BOTH_REDUCE")),"")</f>
        <v/>
      </c>
      <c r="W1412" s="13">
        <f>IFERROR( (P1412-1)*0.5 + (M1412)*0.1 - (I1412+J1412)*0.05 + T1412*0.4 ,"")</f>
        <v/>
      </c>
      <c r="X1412" s="13">
        <f>IFERROR(IF(ABS(F1412)&lt;0.01,"ATM/NEAR",""),"")</f>
        <v/>
      </c>
    </row>
    <row r="1413">
      <c r="A1413" s="13">
        <f>CHAIN_RAW!A1413</f>
        <v/>
      </c>
      <c r="B1413" s="14">
        <f>CHAIN_RAW!B1413</f>
        <v/>
      </c>
      <c r="C1413" s="13">
        <f>CHAIN_RAW!C1413</f>
        <v/>
      </c>
      <c r="D1413" s="13">
        <f>CHAIN_RAW!D1413</f>
        <v/>
      </c>
      <c r="E1413" s="13">
        <f>CHAIN_RAW!E1413</f>
        <v/>
      </c>
      <c r="F1413" s="13">
        <f>IFERROR((E1413-D1413)/D1413,"")</f>
        <v/>
      </c>
      <c r="G1413" s="13">
        <f>IFERROR((CHAIN_RAW!K1413+CHAIN_RAW!L1413)/2,"")</f>
        <v/>
      </c>
      <c r="H1413" s="13">
        <f>IFERROR((CHAIN_RAW!R1413+CHAIN_RAW!S1413)/2,"")</f>
        <v/>
      </c>
      <c r="I1413" s="13">
        <f>IFERROR((CHAIN_RAW!L1413-CHAIN_RAW!K1413)/MAX(1E-9, G1413),"")</f>
        <v/>
      </c>
      <c r="J1413" s="13">
        <f>IFERROR((CHAIN_RAW!S1413-CHAIN_RAW!R1413)/MAX(1E-9, H1413),"")</f>
        <v/>
      </c>
      <c r="K1413" s="13">
        <f>CHAIN_RAW!G1413</f>
        <v/>
      </c>
      <c r="L1413" s="13">
        <f>CHAIN_RAW!N1413</f>
        <v/>
      </c>
      <c r="M1413" s="13">
        <f>IFERROR(L1413-K1413,"")</f>
        <v/>
      </c>
      <c r="N1413" s="13">
        <f>CHAIN_RAW!H1413</f>
        <v/>
      </c>
      <c r="O1413" s="13">
        <f>CHAIN_RAW!O1413</f>
        <v/>
      </c>
      <c r="P1413" s="13">
        <f>IFERROR(O1413/N1413,"")</f>
        <v/>
      </c>
      <c r="Q1413" s="13">
        <f>CHAIN_RAW!I1413</f>
        <v/>
      </c>
      <c r="R1413" s="13">
        <f>CHAIN_RAW!P1413</f>
        <v/>
      </c>
      <c r="S1413" s="13">
        <f>IFERROR(R1413/Q1413,"")</f>
        <v/>
      </c>
      <c r="T1413" s="13">
        <f>IFERROR((ABS(N1413-O1413)/MAX(1,(N1413+O1413)))*EXP(-ABS(E1413-CONTROL!E5)/MAX(1,CONTROL!B8)),"")</f>
        <v/>
      </c>
      <c r="U1413" s="13">
        <f>IFERROR(IF(O1413&gt;N1413,"SUPPORT (PE OI)","RESIST (CE OI)"),"")</f>
        <v/>
      </c>
      <c r="V1413" s="13">
        <f>IFERROR(IF(Q1413&gt;0,IF(R1413&gt;0,"BOTH_ADD","CE_ADD_PE_REDUCE"),IF(R1413&gt;0,"CE_REDUCE_PE_ADD","BOTH_REDUCE")),"")</f>
        <v/>
      </c>
      <c r="W1413" s="13">
        <f>IFERROR( (P1413-1)*0.5 + (M1413)*0.1 - (I1413+J1413)*0.05 + T1413*0.4 ,"")</f>
        <v/>
      </c>
      <c r="X1413" s="13">
        <f>IFERROR(IF(ABS(F1413)&lt;0.01,"ATM/NEAR",""),"")</f>
        <v/>
      </c>
    </row>
    <row r="1414">
      <c r="A1414" s="13">
        <f>CHAIN_RAW!A1414</f>
        <v/>
      </c>
      <c r="B1414" s="14">
        <f>CHAIN_RAW!B1414</f>
        <v/>
      </c>
      <c r="C1414" s="13">
        <f>CHAIN_RAW!C1414</f>
        <v/>
      </c>
      <c r="D1414" s="13">
        <f>CHAIN_RAW!D1414</f>
        <v/>
      </c>
      <c r="E1414" s="13">
        <f>CHAIN_RAW!E1414</f>
        <v/>
      </c>
      <c r="F1414" s="13">
        <f>IFERROR((E1414-D1414)/D1414,"")</f>
        <v/>
      </c>
      <c r="G1414" s="13">
        <f>IFERROR((CHAIN_RAW!K1414+CHAIN_RAW!L1414)/2,"")</f>
        <v/>
      </c>
      <c r="H1414" s="13">
        <f>IFERROR((CHAIN_RAW!R1414+CHAIN_RAW!S1414)/2,"")</f>
        <v/>
      </c>
      <c r="I1414" s="13">
        <f>IFERROR((CHAIN_RAW!L1414-CHAIN_RAW!K1414)/MAX(1E-9, G1414),"")</f>
        <v/>
      </c>
      <c r="J1414" s="13">
        <f>IFERROR((CHAIN_RAW!S1414-CHAIN_RAW!R1414)/MAX(1E-9, H1414),"")</f>
        <v/>
      </c>
      <c r="K1414" s="13">
        <f>CHAIN_RAW!G1414</f>
        <v/>
      </c>
      <c r="L1414" s="13">
        <f>CHAIN_RAW!N1414</f>
        <v/>
      </c>
      <c r="M1414" s="13">
        <f>IFERROR(L1414-K1414,"")</f>
        <v/>
      </c>
      <c r="N1414" s="13">
        <f>CHAIN_RAW!H1414</f>
        <v/>
      </c>
      <c r="O1414" s="13">
        <f>CHAIN_RAW!O1414</f>
        <v/>
      </c>
      <c r="P1414" s="13">
        <f>IFERROR(O1414/N1414,"")</f>
        <v/>
      </c>
      <c r="Q1414" s="13">
        <f>CHAIN_RAW!I1414</f>
        <v/>
      </c>
      <c r="R1414" s="13">
        <f>CHAIN_RAW!P1414</f>
        <v/>
      </c>
      <c r="S1414" s="13">
        <f>IFERROR(R1414/Q1414,"")</f>
        <v/>
      </c>
      <c r="T1414" s="13">
        <f>IFERROR((ABS(N1414-O1414)/MAX(1,(N1414+O1414)))*EXP(-ABS(E1414-CONTROL!E5)/MAX(1,CONTROL!B8)),"")</f>
        <v/>
      </c>
      <c r="U1414" s="13">
        <f>IFERROR(IF(O1414&gt;N1414,"SUPPORT (PE OI)","RESIST (CE OI)"),"")</f>
        <v/>
      </c>
      <c r="V1414" s="13">
        <f>IFERROR(IF(Q1414&gt;0,IF(R1414&gt;0,"BOTH_ADD","CE_ADD_PE_REDUCE"),IF(R1414&gt;0,"CE_REDUCE_PE_ADD","BOTH_REDUCE")),"")</f>
        <v/>
      </c>
      <c r="W1414" s="13">
        <f>IFERROR( (P1414-1)*0.5 + (M1414)*0.1 - (I1414+J1414)*0.05 + T1414*0.4 ,"")</f>
        <v/>
      </c>
      <c r="X1414" s="13">
        <f>IFERROR(IF(ABS(F1414)&lt;0.01,"ATM/NEAR",""),"")</f>
        <v/>
      </c>
    </row>
    <row r="1415">
      <c r="A1415" s="13">
        <f>CHAIN_RAW!A1415</f>
        <v/>
      </c>
      <c r="B1415" s="14">
        <f>CHAIN_RAW!B1415</f>
        <v/>
      </c>
      <c r="C1415" s="13">
        <f>CHAIN_RAW!C1415</f>
        <v/>
      </c>
      <c r="D1415" s="13">
        <f>CHAIN_RAW!D1415</f>
        <v/>
      </c>
      <c r="E1415" s="13">
        <f>CHAIN_RAW!E1415</f>
        <v/>
      </c>
      <c r="F1415" s="13">
        <f>IFERROR((E1415-D1415)/D1415,"")</f>
        <v/>
      </c>
      <c r="G1415" s="13">
        <f>IFERROR((CHAIN_RAW!K1415+CHAIN_RAW!L1415)/2,"")</f>
        <v/>
      </c>
      <c r="H1415" s="13">
        <f>IFERROR((CHAIN_RAW!R1415+CHAIN_RAW!S1415)/2,"")</f>
        <v/>
      </c>
      <c r="I1415" s="13">
        <f>IFERROR((CHAIN_RAW!L1415-CHAIN_RAW!K1415)/MAX(1E-9, G1415),"")</f>
        <v/>
      </c>
      <c r="J1415" s="13">
        <f>IFERROR((CHAIN_RAW!S1415-CHAIN_RAW!R1415)/MAX(1E-9, H1415),"")</f>
        <v/>
      </c>
      <c r="K1415" s="13">
        <f>CHAIN_RAW!G1415</f>
        <v/>
      </c>
      <c r="L1415" s="13">
        <f>CHAIN_RAW!N1415</f>
        <v/>
      </c>
      <c r="M1415" s="13">
        <f>IFERROR(L1415-K1415,"")</f>
        <v/>
      </c>
      <c r="N1415" s="13">
        <f>CHAIN_RAW!H1415</f>
        <v/>
      </c>
      <c r="O1415" s="13">
        <f>CHAIN_RAW!O1415</f>
        <v/>
      </c>
      <c r="P1415" s="13">
        <f>IFERROR(O1415/N1415,"")</f>
        <v/>
      </c>
      <c r="Q1415" s="13">
        <f>CHAIN_RAW!I1415</f>
        <v/>
      </c>
      <c r="R1415" s="13">
        <f>CHAIN_RAW!P1415</f>
        <v/>
      </c>
      <c r="S1415" s="13">
        <f>IFERROR(R1415/Q1415,"")</f>
        <v/>
      </c>
      <c r="T1415" s="13">
        <f>IFERROR((ABS(N1415-O1415)/MAX(1,(N1415+O1415)))*EXP(-ABS(E1415-CONTROL!E5)/MAX(1,CONTROL!B8)),"")</f>
        <v/>
      </c>
      <c r="U1415" s="13">
        <f>IFERROR(IF(O1415&gt;N1415,"SUPPORT (PE OI)","RESIST (CE OI)"),"")</f>
        <v/>
      </c>
      <c r="V1415" s="13">
        <f>IFERROR(IF(Q1415&gt;0,IF(R1415&gt;0,"BOTH_ADD","CE_ADD_PE_REDUCE"),IF(R1415&gt;0,"CE_REDUCE_PE_ADD","BOTH_REDUCE")),"")</f>
        <v/>
      </c>
      <c r="W1415" s="13">
        <f>IFERROR( (P1415-1)*0.5 + (M1415)*0.1 - (I1415+J1415)*0.05 + T1415*0.4 ,"")</f>
        <v/>
      </c>
      <c r="X1415" s="13">
        <f>IFERROR(IF(ABS(F1415)&lt;0.01,"ATM/NEAR",""),"")</f>
        <v/>
      </c>
    </row>
    <row r="1416">
      <c r="A1416" s="13">
        <f>CHAIN_RAW!A1416</f>
        <v/>
      </c>
      <c r="B1416" s="14">
        <f>CHAIN_RAW!B1416</f>
        <v/>
      </c>
      <c r="C1416" s="13">
        <f>CHAIN_RAW!C1416</f>
        <v/>
      </c>
      <c r="D1416" s="13">
        <f>CHAIN_RAW!D1416</f>
        <v/>
      </c>
      <c r="E1416" s="13">
        <f>CHAIN_RAW!E1416</f>
        <v/>
      </c>
      <c r="F1416" s="13">
        <f>IFERROR((E1416-D1416)/D1416,"")</f>
        <v/>
      </c>
      <c r="G1416" s="13">
        <f>IFERROR((CHAIN_RAW!K1416+CHAIN_RAW!L1416)/2,"")</f>
        <v/>
      </c>
      <c r="H1416" s="13">
        <f>IFERROR((CHAIN_RAW!R1416+CHAIN_RAW!S1416)/2,"")</f>
        <v/>
      </c>
      <c r="I1416" s="13">
        <f>IFERROR((CHAIN_RAW!L1416-CHAIN_RAW!K1416)/MAX(1E-9, G1416),"")</f>
        <v/>
      </c>
      <c r="J1416" s="13">
        <f>IFERROR((CHAIN_RAW!S1416-CHAIN_RAW!R1416)/MAX(1E-9, H1416),"")</f>
        <v/>
      </c>
      <c r="K1416" s="13">
        <f>CHAIN_RAW!G1416</f>
        <v/>
      </c>
      <c r="L1416" s="13">
        <f>CHAIN_RAW!N1416</f>
        <v/>
      </c>
      <c r="M1416" s="13">
        <f>IFERROR(L1416-K1416,"")</f>
        <v/>
      </c>
      <c r="N1416" s="13">
        <f>CHAIN_RAW!H1416</f>
        <v/>
      </c>
      <c r="O1416" s="13">
        <f>CHAIN_RAW!O1416</f>
        <v/>
      </c>
      <c r="P1416" s="13">
        <f>IFERROR(O1416/N1416,"")</f>
        <v/>
      </c>
      <c r="Q1416" s="13">
        <f>CHAIN_RAW!I1416</f>
        <v/>
      </c>
      <c r="R1416" s="13">
        <f>CHAIN_RAW!P1416</f>
        <v/>
      </c>
      <c r="S1416" s="13">
        <f>IFERROR(R1416/Q1416,"")</f>
        <v/>
      </c>
      <c r="T1416" s="13">
        <f>IFERROR((ABS(N1416-O1416)/MAX(1,(N1416+O1416)))*EXP(-ABS(E1416-CONTROL!E5)/MAX(1,CONTROL!B8)),"")</f>
        <v/>
      </c>
      <c r="U1416" s="13">
        <f>IFERROR(IF(O1416&gt;N1416,"SUPPORT (PE OI)","RESIST (CE OI)"),"")</f>
        <v/>
      </c>
      <c r="V1416" s="13">
        <f>IFERROR(IF(Q1416&gt;0,IF(R1416&gt;0,"BOTH_ADD","CE_ADD_PE_REDUCE"),IF(R1416&gt;0,"CE_REDUCE_PE_ADD","BOTH_REDUCE")),"")</f>
        <v/>
      </c>
      <c r="W1416" s="13">
        <f>IFERROR( (P1416-1)*0.5 + (M1416)*0.1 - (I1416+J1416)*0.05 + T1416*0.4 ,"")</f>
        <v/>
      </c>
      <c r="X1416" s="13">
        <f>IFERROR(IF(ABS(F1416)&lt;0.01,"ATM/NEAR",""),"")</f>
        <v/>
      </c>
    </row>
    <row r="1417">
      <c r="A1417" s="13">
        <f>CHAIN_RAW!A1417</f>
        <v/>
      </c>
      <c r="B1417" s="14">
        <f>CHAIN_RAW!B1417</f>
        <v/>
      </c>
      <c r="C1417" s="13">
        <f>CHAIN_RAW!C1417</f>
        <v/>
      </c>
      <c r="D1417" s="13">
        <f>CHAIN_RAW!D1417</f>
        <v/>
      </c>
      <c r="E1417" s="13">
        <f>CHAIN_RAW!E1417</f>
        <v/>
      </c>
      <c r="F1417" s="13">
        <f>IFERROR((E1417-D1417)/D1417,"")</f>
        <v/>
      </c>
      <c r="G1417" s="13">
        <f>IFERROR((CHAIN_RAW!K1417+CHAIN_RAW!L1417)/2,"")</f>
        <v/>
      </c>
      <c r="H1417" s="13">
        <f>IFERROR((CHAIN_RAW!R1417+CHAIN_RAW!S1417)/2,"")</f>
        <v/>
      </c>
      <c r="I1417" s="13">
        <f>IFERROR((CHAIN_RAW!L1417-CHAIN_RAW!K1417)/MAX(1E-9, G1417),"")</f>
        <v/>
      </c>
      <c r="J1417" s="13">
        <f>IFERROR((CHAIN_RAW!S1417-CHAIN_RAW!R1417)/MAX(1E-9, H1417),"")</f>
        <v/>
      </c>
      <c r="K1417" s="13">
        <f>CHAIN_RAW!G1417</f>
        <v/>
      </c>
      <c r="L1417" s="13">
        <f>CHAIN_RAW!N1417</f>
        <v/>
      </c>
      <c r="M1417" s="13">
        <f>IFERROR(L1417-K1417,"")</f>
        <v/>
      </c>
      <c r="N1417" s="13">
        <f>CHAIN_RAW!H1417</f>
        <v/>
      </c>
      <c r="O1417" s="13">
        <f>CHAIN_RAW!O1417</f>
        <v/>
      </c>
      <c r="P1417" s="13">
        <f>IFERROR(O1417/N1417,"")</f>
        <v/>
      </c>
      <c r="Q1417" s="13">
        <f>CHAIN_RAW!I1417</f>
        <v/>
      </c>
      <c r="R1417" s="13">
        <f>CHAIN_RAW!P1417</f>
        <v/>
      </c>
      <c r="S1417" s="13">
        <f>IFERROR(R1417/Q1417,"")</f>
        <v/>
      </c>
      <c r="T1417" s="13">
        <f>IFERROR((ABS(N1417-O1417)/MAX(1,(N1417+O1417)))*EXP(-ABS(E1417-CONTROL!E5)/MAX(1,CONTROL!B8)),"")</f>
        <v/>
      </c>
      <c r="U1417" s="13">
        <f>IFERROR(IF(O1417&gt;N1417,"SUPPORT (PE OI)","RESIST (CE OI)"),"")</f>
        <v/>
      </c>
      <c r="V1417" s="13">
        <f>IFERROR(IF(Q1417&gt;0,IF(R1417&gt;0,"BOTH_ADD","CE_ADD_PE_REDUCE"),IF(R1417&gt;0,"CE_REDUCE_PE_ADD","BOTH_REDUCE")),"")</f>
        <v/>
      </c>
      <c r="W1417" s="13">
        <f>IFERROR( (P1417-1)*0.5 + (M1417)*0.1 - (I1417+J1417)*0.05 + T1417*0.4 ,"")</f>
        <v/>
      </c>
      <c r="X1417" s="13">
        <f>IFERROR(IF(ABS(F1417)&lt;0.01,"ATM/NEAR",""),"")</f>
        <v/>
      </c>
    </row>
    <row r="1418">
      <c r="A1418" s="13">
        <f>CHAIN_RAW!A1418</f>
        <v/>
      </c>
      <c r="B1418" s="14">
        <f>CHAIN_RAW!B1418</f>
        <v/>
      </c>
      <c r="C1418" s="13">
        <f>CHAIN_RAW!C1418</f>
        <v/>
      </c>
      <c r="D1418" s="13">
        <f>CHAIN_RAW!D1418</f>
        <v/>
      </c>
      <c r="E1418" s="13">
        <f>CHAIN_RAW!E1418</f>
        <v/>
      </c>
      <c r="F1418" s="13">
        <f>IFERROR((E1418-D1418)/D1418,"")</f>
        <v/>
      </c>
      <c r="G1418" s="13">
        <f>IFERROR((CHAIN_RAW!K1418+CHAIN_RAW!L1418)/2,"")</f>
        <v/>
      </c>
      <c r="H1418" s="13">
        <f>IFERROR((CHAIN_RAW!R1418+CHAIN_RAW!S1418)/2,"")</f>
        <v/>
      </c>
      <c r="I1418" s="13">
        <f>IFERROR((CHAIN_RAW!L1418-CHAIN_RAW!K1418)/MAX(1E-9, G1418),"")</f>
        <v/>
      </c>
      <c r="J1418" s="13">
        <f>IFERROR((CHAIN_RAW!S1418-CHAIN_RAW!R1418)/MAX(1E-9, H1418),"")</f>
        <v/>
      </c>
      <c r="K1418" s="13">
        <f>CHAIN_RAW!G1418</f>
        <v/>
      </c>
      <c r="L1418" s="13">
        <f>CHAIN_RAW!N1418</f>
        <v/>
      </c>
      <c r="M1418" s="13">
        <f>IFERROR(L1418-K1418,"")</f>
        <v/>
      </c>
      <c r="N1418" s="13">
        <f>CHAIN_RAW!H1418</f>
        <v/>
      </c>
      <c r="O1418" s="13">
        <f>CHAIN_RAW!O1418</f>
        <v/>
      </c>
      <c r="P1418" s="13">
        <f>IFERROR(O1418/N1418,"")</f>
        <v/>
      </c>
      <c r="Q1418" s="13">
        <f>CHAIN_RAW!I1418</f>
        <v/>
      </c>
      <c r="R1418" s="13">
        <f>CHAIN_RAW!P1418</f>
        <v/>
      </c>
      <c r="S1418" s="13">
        <f>IFERROR(R1418/Q1418,"")</f>
        <v/>
      </c>
      <c r="T1418" s="13">
        <f>IFERROR((ABS(N1418-O1418)/MAX(1,(N1418+O1418)))*EXP(-ABS(E1418-CONTROL!E5)/MAX(1,CONTROL!B8)),"")</f>
        <v/>
      </c>
      <c r="U1418" s="13">
        <f>IFERROR(IF(O1418&gt;N1418,"SUPPORT (PE OI)","RESIST (CE OI)"),"")</f>
        <v/>
      </c>
      <c r="V1418" s="13">
        <f>IFERROR(IF(Q1418&gt;0,IF(R1418&gt;0,"BOTH_ADD","CE_ADD_PE_REDUCE"),IF(R1418&gt;0,"CE_REDUCE_PE_ADD","BOTH_REDUCE")),"")</f>
        <v/>
      </c>
      <c r="W1418" s="13">
        <f>IFERROR( (P1418-1)*0.5 + (M1418)*0.1 - (I1418+J1418)*0.05 + T1418*0.4 ,"")</f>
        <v/>
      </c>
      <c r="X1418" s="13">
        <f>IFERROR(IF(ABS(F1418)&lt;0.01,"ATM/NEAR",""),"")</f>
        <v/>
      </c>
    </row>
    <row r="1419">
      <c r="A1419" s="13">
        <f>CHAIN_RAW!A1419</f>
        <v/>
      </c>
      <c r="B1419" s="14">
        <f>CHAIN_RAW!B1419</f>
        <v/>
      </c>
      <c r="C1419" s="13">
        <f>CHAIN_RAW!C1419</f>
        <v/>
      </c>
      <c r="D1419" s="13">
        <f>CHAIN_RAW!D1419</f>
        <v/>
      </c>
      <c r="E1419" s="13">
        <f>CHAIN_RAW!E1419</f>
        <v/>
      </c>
      <c r="F1419" s="13">
        <f>IFERROR((E1419-D1419)/D1419,"")</f>
        <v/>
      </c>
      <c r="G1419" s="13">
        <f>IFERROR((CHAIN_RAW!K1419+CHAIN_RAW!L1419)/2,"")</f>
        <v/>
      </c>
      <c r="H1419" s="13">
        <f>IFERROR((CHAIN_RAW!R1419+CHAIN_RAW!S1419)/2,"")</f>
        <v/>
      </c>
      <c r="I1419" s="13">
        <f>IFERROR((CHAIN_RAW!L1419-CHAIN_RAW!K1419)/MAX(1E-9, G1419),"")</f>
        <v/>
      </c>
      <c r="J1419" s="13">
        <f>IFERROR((CHAIN_RAW!S1419-CHAIN_RAW!R1419)/MAX(1E-9, H1419),"")</f>
        <v/>
      </c>
      <c r="K1419" s="13">
        <f>CHAIN_RAW!G1419</f>
        <v/>
      </c>
      <c r="L1419" s="13">
        <f>CHAIN_RAW!N1419</f>
        <v/>
      </c>
      <c r="M1419" s="13">
        <f>IFERROR(L1419-K1419,"")</f>
        <v/>
      </c>
      <c r="N1419" s="13">
        <f>CHAIN_RAW!H1419</f>
        <v/>
      </c>
      <c r="O1419" s="13">
        <f>CHAIN_RAW!O1419</f>
        <v/>
      </c>
      <c r="P1419" s="13">
        <f>IFERROR(O1419/N1419,"")</f>
        <v/>
      </c>
      <c r="Q1419" s="13">
        <f>CHAIN_RAW!I1419</f>
        <v/>
      </c>
      <c r="R1419" s="13">
        <f>CHAIN_RAW!P1419</f>
        <v/>
      </c>
      <c r="S1419" s="13">
        <f>IFERROR(R1419/Q1419,"")</f>
        <v/>
      </c>
      <c r="T1419" s="13">
        <f>IFERROR((ABS(N1419-O1419)/MAX(1,(N1419+O1419)))*EXP(-ABS(E1419-CONTROL!E5)/MAX(1,CONTROL!B8)),"")</f>
        <v/>
      </c>
      <c r="U1419" s="13">
        <f>IFERROR(IF(O1419&gt;N1419,"SUPPORT (PE OI)","RESIST (CE OI)"),"")</f>
        <v/>
      </c>
      <c r="V1419" s="13">
        <f>IFERROR(IF(Q1419&gt;0,IF(R1419&gt;0,"BOTH_ADD","CE_ADD_PE_REDUCE"),IF(R1419&gt;0,"CE_REDUCE_PE_ADD","BOTH_REDUCE")),"")</f>
        <v/>
      </c>
      <c r="W1419" s="13">
        <f>IFERROR( (P1419-1)*0.5 + (M1419)*0.1 - (I1419+J1419)*0.05 + T1419*0.4 ,"")</f>
        <v/>
      </c>
      <c r="X1419" s="13">
        <f>IFERROR(IF(ABS(F1419)&lt;0.01,"ATM/NEAR",""),"")</f>
        <v/>
      </c>
    </row>
    <row r="1420">
      <c r="A1420" s="13">
        <f>CHAIN_RAW!A1420</f>
        <v/>
      </c>
      <c r="B1420" s="14">
        <f>CHAIN_RAW!B1420</f>
        <v/>
      </c>
      <c r="C1420" s="13">
        <f>CHAIN_RAW!C1420</f>
        <v/>
      </c>
      <c r="D1420" s="13">
        <f>CHAIN_RAW!D1420</f>
        <v/>
      </c>
      <c r="E1420" s="13">
        <f>CHAIN_RAW!E1420</f>
        <v/>
      </c>
      <c r="F1420" s="13">
        <f>IFERROR((E1420-D1420)/D1420,"")</f>
        <v/>
      </c>
      <c r="G1420" s="13">
        <f>IFERROR((CHAIN_RAW!K1420+CHAIN_RAW!L1420)/2,"")</f>
        <v/>
      </c>
      <c r="H1420" s="13">
        <f>IFERROR((CHAIN_RAW!R1420+CHAIN_RAW!S1420)/2,"")</f>
        <v/>
      </c>
      <c r="I1420" s="13">
        <f>IFERROR((CHAIN_RAW!L1420-CHAIN_RAW!K1420)/MAX(1E-9, G1420),"")</f>
        <v/>
      </c>
      <c r="J1420" s="13">
        <f>IFERROR((CHAIN_RAW!S1420-CHAIN_RAW!R1420)/MAX(1E-9, H1420),"")</f>
        <v/>
      </c>
      <c r="K1420" s="13">
        <f>CHAIN_RAW!G1420</f>
        <v/>
      </c>
      <c r="L1420" s="13">
        <f>CHAIN_RAW!N1420</f>
        <v/>
      </c>
      <c r="M1420" s="13">
        <f>IFERROR(L1420-K1420,"")</f>
        <v/>
      </c>
      <c r="N1420" s="13">
        <f>CHAIN_RAW!H1420</f>
        <v/>
      </c>
      <c r="O1420" s="13">
        <f>CHAIN_RAW!O1420</f>
        <v/>
      </c>
      <c r="P1420" s="13">
        <f>IFERROR(O1420/N1420,"")</f>
        <v/>
      </c>
      <c r="Q1420" s="13">
        <f>CHAIN_RAW!I1420</f>
        <v/>
      </c>
      <c r="R1420" s="13">
        <f>CHAIN_RAW!P1420</f>
        <v/>
      </c>
      <c r="S1420" s="13">
        <f>IFERROR(R1420/Q1420,"")</f>
        <v/>
      </c>
      <c r="T1420" s="13">
        <f>IFERROR((ABS(N1420-O1420)/MAX(1,(N1420+O1420)))*EXP(-ABS(E1420-CONTROL!E5)/MAX(1,CONTROL!B8)),"")</f>
        <v/>
      </c>
      <c r="U1420" s="13">
        <f>IFERROR(IF(O1420&gt;N1420,"SUPPORT (PE OI)","RESIST (CE OI)"),"")</f>
        <v/>
      </c>
      <c r="V1420" s="13">
        <f>IFERROR(IF(Q1420&gt;0,IF(R1420&gt;0,"BOTH_ADD","CE_ADD_PE_REDUCE"),IF(R1420&gt;0,"CE_REDUCE_PE_ADD","BOTH_REDUCE")),"")</f>
        <v/>
      </c>
      <c r="W1420" s="13">
        <f>IFERROR( (P1420-1)*0.5 + (M1420)*0.1 - (I1420+J1420)*0.05 + T1420*0.4 ,"")</f>
        <v/>
      </c>
      <c r="X1420" s="13">
        <f>IFERROR(IF(ABS(F1420)&lt;0.01,"ATM/NEAR",""),"")</f>
        <v/>
      </c>
    </row>
    <row r="1421">
      <c r="A1421" s="13">
        <f>CHAIN_RAW!A1421</f>
        <v/>
      </c>
      <c r="B1421" s="14">
        <f>CHAIN_RAW!B1421</f>
        <v/>
      </c>
      <c r="C1421" s="13">
        <f>CHAIN_RAW!C1421</f>
        <v/>
      </c>
      <c r="D1421" s="13">
        <f>CHAIN_RAW!D1421</f>
        <v/>
      </c>
      <c r="E1421" s="13">
        <f>CHAIN_RAW!E1421</f>
        <v/>
      </c>
      <c r="F1421" s="13">
        <f>IFERROR((E1421-D1421)/D1421,"")</f>
        <v/>
      </c>
      <c r="G1421" s="13">
        <f>IFERROR((CHAIN_RAW!K1421+CHAIN_RAW!L1421)/2,"")</f>
        <v/>
      </c>
      <c r="H1421" s="13">
        <f>IFERROR((CHAIN_RAW!R1421+CHAIN_RAW!S1421)/2,"")</f>
        <v/>
      </c>
      <c r="I1421" s="13">
        <f>IFERROR((CHAIN_RAW!L1421-CHAIN_RAW!K1421)/MAX(1E-9, G1421),"")</f>
        <v/>
      </c>
      <c r="J1421" s="13">
        <f>IFERROR((CHAIN_RAW!S1421-CHAIN_RAW!R1421)/MAX(1E-9, H1421),"")</f>
        <v/>
      </c>
      <c r="K1421" s="13">
        <f>CHAIN_RAW!G1421</f>
        <v/>
      </c>
      <c r="L1421" s="13">
        <f>CHAIN_RAW!N1421</f>
        <v/>
      </c>
      <c r="M1421" s="13">
        <f>IFERROR(L1421-K1421,"")</f>
        <v/>
      </c>
      <c r="N1421" s="13">
        <f>CHAIN_RAW!H1421</f>
        <v/>
      </c>
      <c r="O1421" s="13">
        <f>CHAIN_RAW!O1421</f>
        <v/>
      </c>
      <c r="P1421" s="13">
        <f>IFERROR(O1421/N1421,"")</f>
        <v/>
      </c>
      <c r="Q1421" s="13">
        <f>CHAIN_RAW!I1421</f>
        <v/>
      </c>
      <c r="R1421" s="13">
        <f>CHAIN_RAW!P1421</f>
        <v/>
      </c>
      <c r="S1421" s="13">
        <f>IFERROR(R1421/Q1421,"")</f>
        <v/>
      </c>
      <c r="T1421" s="13">
        <f>IFERROR((ABS(N1421-O1421)/MAX(1,(N1421+O1421)))*EXP(-ABS(E1421-CONTROL!E5)/MAX(1,CONTROL!B8)),"")</f>
        <v/>
      </c>
      <c r="U1421" s="13">
        <f>IFERROR(IF(O1421&gt;N1421,"SUPPORT (PE OI)","RESIST (CE OI)"),"")</f>
        <v/>
      </c>
      <c r="V1421" s="13">
        <f>IFERROR(IF(Q1421&gt;0,IF(R1421&gt;0,"BOTH_ADD","CE_ADD_PE_REDUCE"),IF(R1421&gt;0,"CE_REDUCE_PE_ADD","BOTH_REDUCE")),"")</f>
        <v/>
      </c>
      <c r="W1421" s="13">
        <f>IFERROR( (P1421-1)*0.5 + (M1421)*0.1 - (I1421+J1421)*0.05 + T1421*0.4 ,"")</f>
        <v/>
      </c>
      <c r="X1421" s="13">
        <f>IFERROR(IF(ABS(F1421)&lt;0.01,"ATM/NEAR",""),"")</f>
        <v/>
      </c>
    </row>
    <row r="1422">
      <c r="A1422" s="13">
        <f>CHAIN_RAW!A1422</f>
        <v/>
      </c>
      <c r="B1422" s="14">
        <f>CHAIN_RAW!B1422</f>
        <v/>
      </c>
      <c r="C1422" s="13">
        <f>CHAIN_RAW!C1422</f>
        <v/>
      </c>
      <c r="D1422" s="13">
        <f>CHAIN_RAW!D1422</f>
        <v/>
      </c>
      <c r="E1422" s="13">
        <f>CHAIN_RAW!E1422</f>
        <v/>
      </c>
      <c r="F1422" s="13">
        <f>IFERROR((E1422-D1422)/D1422,"")</f>
        <v/>
      </c>
      <c r="G1422" s="13">
        <f>IFERROR((CHAIN_RAW!K1422+CHAIN_RAW!L1422)/2,"")</f>
        <v/>
      </c>
      <c r="H1422" s="13">
        <f>IFERROR((CHAIN_RAW!R1422+CHAIN_RAW!S1422)/2,"")</f>
        <v/>
      </c>
      <c r="I1422" s="13">
        <f>IFERROR((CHAIN_RAW!L1422-CHAIN_RAW!K1422)/MAX(1E-9, G1422),"")</f>
        <v/>
      </c>
      <c r="J1422" s="13">
        <f>IFERROR((CHAIN_RAW!S1422-CHAIN_RAW!R1422)/MAX(1E-9, H1422),"")</f>
        <v/>
      </c>
      <c r="K1422" s="13">
        <f>CHAIN_RAW!G1422</f>
        <v/>
      </c>
      <c r="L1422" s="13">
        <f>CHAIN_RAW!N1422</f>
        <v/>
      </c>
      <c r="M1422" s="13">
        <f>IFERROR(L1422-K1422,"")</f>
        <v/>
      </c>
      <c r="N1422" s="13">
        <f>CHAIN_RAW!H1422</f>
        <v/>
      </c>
      <c r="O1422" s="13">
        <f>CHAIN_RAW!O1422</f>
        <v/>
      </c>
      <c r="P1422" s="13">
        <f>IFERROR(O1422/N1422,"")</f>
        <v/>
      </c>
      <c r="Q1422" s="13">
        <f>CHAIN_RAW!I1422</f>
        <v/>
      </c>
      <c r="R1422" s="13">
        <f>CHAIN_RAW!P1422</f>
        <v/>
      </c>
      <c r="S1422" s="13">
        <f>IFERROR(R1422/Q1422,"")</f>
        <v/>
      </c>
      <c r="T1422" s="13">
        <f>IFERROR((ABS(N1422-O1422)/MAX(1,(N1422+O1422)))*EXP(-ABS(E1422-CONTROL!E5)/MAX(1,CONTROL!B8)),"")</f>
        <v/>
      </c>
      <c r="U1422" s="13">
        <f>IFERROR(IF(O1422&gt;N1422,"SUPPORT (PE OI)","RESIST (CE OI)"),"")</f>
        <v/>
      </c>
      <c r="V1422" s="13">
        <f>IFERROR(IF(Q1422&gt;0,IF(R1422&gt;0,"BOTH_ADD","CE_ADD_PE_REDUCE"),IF(R1422&gt;0,"CE_REDUCE_PE_ADD","BOTH_REDUCE")),"")</f>
        <v/>
      </c>
      <c r="W1422" s="13">
        <f>IFERROR( (P1422-1)*0.5 + (M1422)*0.1 - (I1422+J1422)*0.05 + T1422*0.4 ,"")</f>
        <v/>
      </c>
      <c r="X1422" s="13">
        <f>IFERROR(IF(ABS(F1422)&lt;0.01,"ATM/NEAR",""),"")</f>
        <v/>
      </c>
    </row>
    <row r="1423">
      <c r="A1423" s="13">
        <f>CHAIN_RAW!A1423</f>
        <v/>
      </c>
      <c r="B1423" s="14">
        <f>CHAIN_RAW!B1423</f>
        <v/>
      </c>
      <c r="C1423" s="13">
        <f>CHAIN_RAW!C1423</f>
        <v/>
      </c>
      <c r="D1423" s="13">
        <f>CHAIN_RAW!D1423</f>
        <v/>
      </c>
      <c r="E1423" s="13">
        <f>CHAIN_RAW!E1423</f>
        <v/>
      </c>
      <c r="F1423" s="13">
        <f>IFERROR((E1423-D1423)/D1423,"")</f>
        <v/>
      </c>
      <c r="G1423" s="13">
        <f>IFERROR((CHAIN_RAW!K1423+CHAIN_RAW!L1423)/2,"")</f>
        <v/>
      </c>
      <c r="H1423" s="13">
        <f>IFERROR((CHAIN_RAW!R1423+CHAIN_RAW!S1423)/2,"")</f>
        <v/>
      </c>
      <c r="I1423" s="13">
        <f>IFERROR((CHAIN_RAW!L1423-CHAIN_RAW!K1423)/MAX(1E-9, G1423),"")</f>
        <v/>
      </c>
      <c r="J1423" s="13">
        <f>IFERROR((CHAIN_RAW!S1423-CHAIN_RAW!R1423)/MAX(1E-9, H1423),"")</f>
        <v/>
      </c>
      <c r="K1423" s="13">
        <f>CHAIN_RAW!G1423</f>
        <v/>
      </c>
      <c r="L1423" s="13">
        <f>CHAIN_RAW!N1423</f>
        <v/>
      </c>
      <c r="M1423" s="13">
        <f>IFERROR(L1423-K1423,"")</f>
        <v/>
      </c>
      <c r="N1423" s="13">
        <f>CHAIN_RAW!H1423</f>
        <v/>
      </c>
      <c r="O1423" s="13">
        <f>CHAIN_RAW!O1423</f>
        <v/>
      </c>
      <c r="P1423" s="13">
        <f>IFERROR(O1423/N1423,"")</f>
        <v/>
      </c>
      <c r="Q1423" s="13">
        <f>CHAIN_RAW!I1423</f>
        <v/>
      </c>
      <c r="R1423" s="13">
        <f>CHAIN_RAW!P1423</f>
        <v/>
      </c>
      <c r="S1423" s="13">
        <f>IFERROR(R1423/Q1423,"")</f>
        <v/>
      </c>
      <c r="T1423" s="13">
        <f>IFERROR((ABS(N1423-O1423)/MAX(1,(N1423+O1423)))*EXP(-ABS(E1423-CONTROL!E5)/MAX(1,CONTROL!B8)),"")</f>
        <v/>
      </c>
      <c r="U1423" s="13">
        <f>IFERROR(IF(O1423&gt;N1423,"SUPPORT (PE OI)","RESIST (CE OI)"),"")</f>
        <v/>
      </c>
      <c r="V1423" s="13">
        <f>IFERROR(IF(Q1423&gt;0,IF(R1423&gt;0,"BOTH_ADD","CE_ADD_PE_REDUCE"),IF(R1423&gt;0,"CE_REDUCE_PE_ADD","BOTH_REDUCE")),"")</f>
        <v/>
      </c>
      <c r="W1423" s="13">
        <f>IFERROR( (P1423-1)*0.5 + (M1423)*0.1 - (I1423+J1423)*0.05 + T1423*0.4 ,"")</f>
        <v/>
      </c>
      <c r="X1423" s="13">
        <f>IFERROR(IF(ABS(F1423)&lt;0.01,"ATM/NEAR",""),"")</f>
        <v/>
      </c>
    </row>
    <row r="1424">
      <c r="A1424" s="13">
        <f>CHAIN_RAW!A1424</f>
        <v/>
      </c>
      <c r="B1424" s="14">
        <f>CHAIN_RAW!B1424</f>
        <v/>
      </c>
      <c r="C1424" s="13">
        <f>CHAIN_RAW!C1424</f>
        <v/>
      </c>
      <c r="D1424" s="13">
        <f>CHAIN_RAW!D1424</f>
        <v/>
      </c>
      <c r="E1424" s="13">
        <f>CHAIN_RAW!E1424</f>
        <v/>
      </c>
      <c r="F1424" s="13">
        <f>IFERROR((E1424-D1424)/D1424,"")</f>
        <v/>
      </c>
      <c r="G1424" s="13">
        <f>IFERROR((CHAIN_RAW!K1424+CHAIN_RAW!L1424)/2,"")</f>
        <v/>
      </c>
      <c r="H1424" s="13">
        <f>IFERROR((CHAIN_RAW!R1424+CHAIN_RAW!S1424)/2,"")</f>
        <v/>
      </c>
      <c r="I1424" s="13">
        <f>IFERROR((CHAIN_RAW!L1424-CHAIN_RAW!K1424)/MAX(1E-9, G1424),"")</f>
        <v/>
      </c>
      <c r="J1424" s="13">
        <f>IFERROR((CHAIN_RAW!S1424-CHAIN_RAW!R1424)/MAX(1E-9, H1424),"")</f>
        <v/>
      </c>
      <c r="K1424" s="13">
        <f>CHAIN_RAW!G1424</f>
        <v/>
      </c>
      <c r="L1424" s="13">
        <f>CHAIN_RAW!N1424</f>
        <v/>
      </c>
      <c r="M1424" s="13">
        <f>IFERROR(L1424-K1424,"")</f>
        <v/>
      </c>
      <c r="N1424" s="13">
        <f>CHAIN_RAW!H1424</f>
        <v/>
      </c>
      <c r="O1424" s="13">
        <f>CHAIN_RAW!O1424</f>
        <v/>
      </c>
      <c r="P1424" s="13">
        <f>IFERROR(O1424/N1424,"")</f>
        <v/>
      </c>
      <c r="Q1424" s="13">
        <f>CHAIN_RAW!I1424</f>
        <v/>
      </c>
      <c r="R1424" s="13">
        <f>CHAIN_RAW!P1424</f>
        <v/>
      </c>
      <c r="S1424" s="13">
        <f>IFERROR(R1424/Q1424,"")</f>
        <v/>
      </c>
      <c r="T1424" s="13">
        <f>IFERROR((ABS(N1424-O1424)/MAX(1,(N1424+O1424)))*EXP(-ABS(E1424-CONTROL!E5)/MAX(1,CONTROL!B8)),"")</f>
        <v/>
      </c>
      <c r="U1424" s="13">
        <f>IFERROR(IF(O1424&gt;N1424,"SUPPORT (PE OI)","RESIST (CE OI)"),"")</f>
        <v/>
      </c>
      <c r="V1424" s="13">
        <f>IFERROR(IF(Q1424&gt;0,IF(R1424&gt;0,"BOTH_ADD","CE_ADD_PE_REDUCE"),IF(R1424&gt;0,"CE_REDUCE_PE_ADD","BOTH_REDUCE")),"")</f>
        <v/>
      </c>
      <c r="W1424" s="13">
        <f>IFERROR( (P1424-1)*0.5 + (M1424)*0.1 - (I1424+J1424)*0.05 + T1424*0.4 ,"")</f>
        <v/>
      </c>
      <c r="X1424" s="13">
        <f>IFERROR(IF(ABS(F1424)&lt;0.01,"ATM/NEAR",""),"")</f>
        <v/>
      </c>
    </row>
    <row r="1425">
      <c r="A1425" s="13">
        <f>CHAIN_RAW!A1425</f>
        <v/>
      </c>
      <c r="B1425" s="14">
        <f>CHAIN_RAW!B1425</f>
        <v/>
      </c>
      <c r="C1425" s="13">
        <f>CHAIN_RAW!C1425</f>
        <v/>
      </c>
      <c r="D1425" s="13">
        <f>CHAIN_RAW!D1425</f>
        <v/>
      </c>
      <c r="E1425" s="13">
        <f>CHAIN_RAW!E1425</f>
        <v/>
      </c>
      <c r="F1425" s="13">
        <f>IFERROR((E1425-D1425)/D1425,"")</f>
        <v/>
      </c>
      <c r="G1425" s="13">
        <f>IFERROR((CHAIN_RAW!K1425+CHAIN_RAW!L1425)/2,"")</f>
        <v/>
      </c>
      <c r="H1425" s="13">
        <f>IFERROR((CHAIN_RAW!R1425+CHAIN_RAW!S1425)/2,"")</f>
        <v/>
      </c>
      <c r="I1425" s="13">
        <f>IFERROR((CHAIN_RAW!L1425-CHAIN_RAW!K1425)/MAX(1E-9, G1425),"")</f>
        <v/>
      </c>
      <c r="J1425" s="13">
        <f>IFERROR((CHAIN_RAW!S1425-CHAIN_RAW!R1425)/MAX(1E-9, H1425),"")</f>
        <v/>
      </c>
      <c r="K1425" s="13">
        <f>CHAIN_RAW!G1425</f>
        <v/>
      </c>
      <c r="L1425" s="13">
        <f>CHAIN_RAW!N1425</f>
        <v/>
      </c>
      <c r="M1425" s="13">
        <f>IFERROR(L1425-K1425,"")</f>
        <v/>
      </c>
      <c r="N1425" s="13">
        <f>CHAIN_RAW!H1425</f>
        <v/>
      </c>
      <c r="O1425" s="13">
        <f>CHAIN_RAW!O1425</f>
        <v/>
      </c>
      <c r="P1425" s="13">
        <f>IFERROR(O1425/N1425,"")</f>
        <v/>
      </c>
      <c r="Q1425" s="13">
        <f>CHAIN_RAW!I1425</f>
        <v/>
      </c>
      <c r="R1425" s="13">
        <f>CHAIN_RAW!P1425</f>
        <v/>
      </c>
      <c r="S1425" s="13">
        <f>IFERROR(R1425/Q1425,"")</f>
        <v/>
      </c>
      <c r="T1425" s="13">
        <f>IFERROR((ABS(N1425-O1425)/MAX(1,(N1425+O1425)))*EXP(-ABS(E1425-CONTROL!E5)/MAX(1,CONTROL!B8)),"")</f>
        <v/>
      </c>
      <c r="U1425" s="13">
        <f>IFERROR(IF(O1425&gt;N1425,"SUPPORT (PE OI)","RESIST (CE OI)"),"")</f>
        <v/>
      </c>
      <c r="V1425" s="13">
        <f>IFERROR(IF(Q1425&gt;0,IF(R1425&gt;0,"BOTH_ADD","CE_ADD_PE_REDUCE"),IF(R1425&gt;0,"CE_REDUCE_PE_ADD","BOTH_REDUCE")),"")</f>
        <v/>
      </c>
      <c r="W1425" s="13">
        <f>IFERROR( (P1425-1)*0.5 + (M1425)*0.1 - (I1425+J1425)*0.05 + T1425*0.4 ,"")</f>
        <v/>
      </c>
      <c r="X1425" s="13">
        <f>IFERROR(IF(ABS(F1425)&lt;0.01,"ATM/NEAR",""),"")</f>
        <v/>
      </c>
    </row>
    <row r="1426">
      <c r="A1426" s="13">
        <f>CHAIN_RAW!A1426</f>
        <v/>
      </c>
      <c r="B1426" s="14">
        <f>CHAIN_RAW!B1426</f>
        <v/>
      </c>
      <c r="C1426" s="13">
        <f>CHAIN_RAW!C1426</f>
        <v/>
      </c>
      <c r="D1426" s="13">
        <f>CHAIN_RAW!D1426</f>
        <v/>
      </c>
      <c r="E1426" s="13">
        <f>CHAIN_RAW!E1426</f>
        <v/>
      </c>
      <c r="F1426" s="13">
        <f>IFERROR((E1426-D1426)/D1426,"")</f>
        <v/>
      </c>
      <c r="G1426" s="13">
        <f>IFERROR((CHAIN_RAW!K1426+CHAIN_RAW!L1426)/2,"")</f>
        <v/>
      </c>
      <c r="H1426" s="13">
        <f>IFERROR((CHAIN_RAW!R1426+CHAIN_RAW!S1426)/2,"")</f>
        <v/>
      </c>
      <c r="I1426" s="13">
        <f>IFERROR((CHAIN_RAW!L1426-CHAIN_RAW!K1426)/MAX(1E-9, G1426),"")</f>
        <v/>
      </c>
      <c r="J1426" s="13">
        <f>IFERROR((CHAIN_RAW!S1426-CHAIN_RAW!R1426)/MAX(1E-9, H1426),"")</f>
        <v/>
      </c>
      <c r="K1426" s="13">
        <f>CHAIN_RAW!G1426</f>
        <v/>
      </c>
      <c r="L1426" s="13">
        <f>CHAIN_RAW!N1426</f>
        <v/>
      </c>
      <c r="M1426" s="13">
        <f>IFERROR(L1426-K1426,"")</f>
        <v/>
      </c>
      <c r="N1426" s="13">
        <f>CHAIN_RAW!H1426</f>
        <v/>
      </c>
      <c r="O1426" s="13">
        <f>CHAIN_RAW!O1426</f>
        <v/>
      </c>
      <c r="P1426" s="13">
        <f>IFERROR(O1426/N1426,"")</f>
        <v/>
      </c>
      <c r="Q1426" s="13">
        <f>CHAIN_RAW!I1426</f>
        <v/>
      </c>
      <c r="R1426" s="13">
        <f>CHAIN_RAW!P1426</f>
        <v/>
      </c>
      <c r="S1426" s="13">
        <f>IFERROR(R1426/Q1426,"")</f>
        <v/>
      </c>
      <c r="T1426" s="13">
        <f>IFERROR((ABS(N1426-O1426)/MAX(1,(N1426+O1426)))*EXP(-ABS(E1426-CONTROL!E5)/MAX(1,CONTROL!B8)),"")</f>
        <v/>
      </c>
      <c r="U1426" s="13">
        <f>IFERROR(IF(O1426&gt;N1426,"SUPPORT (PE OI)","RESIST (CE OI)"),"")</f>
        <v/>
      </c>
      <c r="V1426" s="13">
        <f>IFERROR(IF(Q1426&gt;0,IF(R1426&gt;0,"BOTH_ADD","CE_ADD_PE_REDUCE"),IF(R1426&gt;0,"CE_REDUCE_PE_ADD","BOTH_REDUCE")),"")</f>
        <v/>
      </c>
      <c r="W1426" s="13">
        <f>IFERROR( (P1426-1)*0.5 + (M1426)*0.1 - (I1426+J1426)*0.05 + T1426*0.4 ,"")</f>
        <v/>
      </c>
      <c r="X1426" s="13">
        <f>IFERROR(IF(ABS(F1426)&lt;0.01,"ATM/NEAR",""),"")</f>
        <v/>
      </c>
    </row>
    <row r="1427">
      <c r="A1427" s="13">
        <f>CHAIN_RAW!A1427</f>
        <v/>
      </c>
      <c r="B1427" s="14">
        <f>CHAIN_RAW!B1427</f>
        <v/>
      </c>
      <c r="C1427" s="13">
        <f>CHAIN_RAW!C1427</f>
        <v/>
      </c>
      <c r="D1427" s="13">
        <f>CHAIN_RAW!D1427</f>
        <v/>
      </c>
      <c r="E1427" s="13">
        <f>CHAIN_RAW!E1427</f>
        <v/>
      </c>
      <c r="F1427" s="13">
        <f>IFERROR((E1427-D1427)/D1427,"")</f>
        <v/>
      </c>
      <c r="G1427" s="13">
        <f>IFERROR((CHAIN_RAW!K1427+CHAIN_RAW!L1427)/2,"")</f>
        <v/>
      </c>
      <c r="H1427" s="13">
        <f>IFERROR((CHAIN_RAW!R1427+CHAIN_RAW!S1427)/2,"")</f>
        <v/>
      </c>
      <c r="I1427" s="13">
        <f>IFERROR((CHAIN_RAW!L1427-CHAIN_RAW!K1427)/MAX(1E-9, G1427),"")</f>
        <v/>
      </c>
      <c r="J1427" s="13">
        <f>IFERROR((CHAIN_RAW!S1427-CHAIN_RAW!R1427)/MAX(1E-9, H1427),"")</f>
        <v/>
      </c>
      <c r="K1427" s="13">
        <f>CHAIN_RAW!G1427</f>
        <v/>
      </c>
      <c r="L1427" s="13">
        <f>CHAIN_RAW!N1427</f>
        <v/>
      </c>
      <c r="M1427" s="13">
        <f>IFERROR(L1427-K1427,"")</f>
        <v/>
      </c>
      <c r="N1427" s="13">
        <f>CHAIN_RAW!H1427</f>
        <v/>
      </c>
      <c r="O1427" s="13">
        <f>CHAIN_RAW!O1427</f>
        <v/>
      </c>
      <c r="P1427" s="13">
        <f>IFERROR(O1427/N1427,"")</f>
        <v/>
      </c>
      <c r="Q1427" s="13">
        <f>CHAIN_RAW!I1427</f>
        <v/>
      </c>
      <c r="R1427" s="13">
        <f>CHAIN_RAW!P1427</f>
        <v/>
      </c>
      <c r="S1427" s="13">
        <f>IFERROR(R1427/Q1427,"")</f>
        <v/>
      </c>
      <c r="T1427" s="13">
        <f>IFERROR((ABS(N1427-O1427)/MAX(1,(N1427+O1427)))*EXP(-ABS(E1427-CONTROL!E5)/MAX(1,CONTROL!B8)),"")</f>
        <v/>
      </c>
      <c r="U1427" s="13">
        <f>IFERROR(IF(O1427&gt;N1427,"SUPPORT (PE OI)","RESIST (CE OI)"),"")</f>
        <v/>
      </c>
      <c r="V1427" s="13">
        <f>IFERROR(IF(Q1427&gt;0,IF(R1427&gt;0,"BOTH_ADD","CE_ADD_PE_REDUCE"),IF(R1427&gt;0,"CE_REDUCE_PE_ADD","BOTH_REDUCE")),"")</f>
        <v/>
      </c>
      <c r="W1427" s="13">
        <f>IFERROR( (P1427-1)*0.5 + (M1427)*0.1 - (I1427+J1427)*0.05 + T1427*0.4 ,"")</f>
        <v/>
      </c>
      <c r="X1427" s="13">
        <f>IFERROR(IF(ABS(F1427)&lt;0.01,"ATM/NEAR",""),"")</f>
        <v/>
      </c>
    </row>
    <row r="1428">
      <c r="A1428" s="13">
        <f>CHAIN_RAW!A1428</f>
        <v/>
      </c>
      <c r="B1428" s="14">
        <f>CHAIN_RAW!B1428</f>
        <v/>
      </c>
      <c r="C1428" s="13">
        <f>CHAIN_RAW!C1428</f>
        <v/>
      </c>
      <c r="D1428" s="13">
        <f>CHAIN_RAW!D1428</f>
        <v/>
      </c>
      <c r="E1428" s="13">
        <f>CHAIN_RAW!E1428</f>
        <v/>
      </c>
      <c r="F1428" s="13">
        <f>IFERROR((E1428-D1428)/D1428,"")</f>
        <v/>
      </c>
      <c r="G1428" s="13">
        <f>IFERROR((CHAIN_RAW!K1428+CHAIN_RAW!L1428)/2,"")</f>
        <v/>
      </c>
      <c r="H1428" s="13">
        <f>IFERROR((CHAIN_RAW!R1428+CHAIN_RAW!S1428)/2,"")</f>
        <v/>
      </c>
      <c r="I1428" s="13">
        <f>IFERROR((CHAIN_RAW!L1428-CHAIN_RAW!K1428)/MAX(1E-9, G1428),"")</f>
        <v/>
      </c>
      <c r="J1428" s="13">
        <f>IFERROR((CHAIN_RAW!S1428-CHAIN_RAW!R1428)/MAX(1E-9, H1428),"")</f>
        <v/>
      </c>
      <c r="K1428" s="13">
        <f>CHAIN_RAW!G1428</f>
        <v/>
      </c>
      <c r="L1428" s="13">
        <f>CHAIN_RAW!N1428</f>
        <v/>
      </c>
      <c r="M1428" s="13">
        <f>IFERROR(L1428-K1428,"")</f>
        <v/>
      </c>
      <c r="N1428" s="13">
        <f>CHAIN_RAW!H1428</f>
        <v/>
      </c>
      <c r="O1428" s="13">
        <f>CHAIN_RAW!O1428</f>
        <v/>
      </c>
      <c r="P1428" s="13">
        <f>IFERROR(O1428/N1428,"")</f>
        <v/>
      </c>
      <c r="Q1428" s="13">
        <f>CHAIN_RAW!I1428</f>
        <v/>
      </c>
      <c r="R1428" s="13">
        <f>CHAIN_RAW!P1428</f>
        <v/>
      </c>
      <c r="S1428" s="13">
        <f>IFERROR(R1428/Q1428,"")</f>
        <v/>
      </c>
      <c r="T1428" s="13">
        <f>IFERROR((ABS(N1428-O1428)/MAX(1,(N1428+O1428)))*EXP(-ABS(E1428-CONTROL!E5)/MAX(1,CONTROL!B8)),"")</f>
        <v/>
      </c>
      <c r="U1428" s="13">
        <f>IFERROR(IF(O1428&gt;N1428,"SUPPORT (PE OI)","RESIST (CE OI)"),"")</f>
        <v/>
      </c>
      <c r="V1428" s="13">
        <f>IFERROR(IF(Q1428&gt;0,IF(R1428&gt;0,"BOTH_ADD","CE_ADD_PE_REDUCE"),IF(R1428&gt;0,"CE_REDUCE_PE_ADD","BOTH_REDUCE")),"")</f>
        <v/>
      </c>
      <c r="W1428" s="13">
        <f>IFERROR( (P1428-1)*0.5 + (M1428)*0.1 - (I1428+J1428)*0.05 + T1428*0.4 ,"")</f>
        <v/>
      </c>
      <c r="X1428" s="13">
        <f>IFERROR(IF(ABS(F1428)&lt;0.01,"ATM/NEAR",""),"")</f>
        <v/>
      </c>
    </row>
    <row r="1429">
      <c r="A1429" s="13">
        <f>CHAIN_RAW!A1429</f>
        <v/>
      </c>
      <c r="B1429" s="14">
        <f>CHAIN_RAW!B1429</f>
        <v/>
      </c>
      <c r="C1429" s="13">
        <f>CHAIN_RAW!C1429</f>
        <v/>
      </c>
      <c r="D1429" s="13">
        <f>CHAIN_RAW!D1429</f>
        <v/>
      </c>
      <c r="E1429" s="13">
        <f>CHAIN_RAW!E1429</f>
        <v/>
      </c>
      <c r="F1429" s="13">
        <f>IFERROR((E1429-D1429)/D1429,"")</f>
        <v/>
      </c>
      <c r="G1429" s="13">
        <f>IFERROR((CHAIN_RAW!K1429+CHAIN_RAW!L1429)/2,"")</f>
        <v/>
      </c>
      <c r="H1429" s="13">
        <f>IFERROR((CHAIN_RAW!R1429+CHAIN_RAW!S1429)/2,"")</f>
        <v/>
      </c>
      <c r="I1429" s="13">
        <f>IFERROR((CHAIN_RAW!L1429-CHAIN_RAW!K1429)/MAX(1E-9, G1429),"")</f>
        <v/>
      </c>
      <c r="J1429" s="13">
        <f>IFERROR((CHAIN_RAW!S1429-CHAIN_RAW!R1429)/MAX(1E-9, H1429),"")</f>
        <v/>
      </c>
      <c r="K1429" s="13">
        <f>CHAIN_RAW!G1429</f>
        <v/>
      </c>
      <c r="L1429" s="13">
        <f>CHAIN_RAW!N1429</f>
        <v/>
      </c>
      <c r="M1429" s="13">
        <f>IFERROR(L1429-K1429,"")</f>
        <v/>
      </c>
      <c r="N1429" s="13">
        <f>CHAIN_RAW!H1429</f>
        <v/>
      </c>
      <c r="O1429" s="13">
        <f>CHAIN_RAW!O1429</f>
        <v/>
      </c>
      <c r="P1429" s="13">
        <f>IFERROR(O1429/N1429,"")</f>
        <v/>
      </c>
      <c r="Q1429" s="13">
        <f>CHAIN_RAW!I1429</f>
        <v/>
      </c>
      <c r="R1429" s="13">
        <f>CHAIN_RAW!P1429</f>
        <v/>
      </c>
      <c r="S1429" s="13">
        <f>IFERROR(R1429/Q1429,"")</f>
        <v/>
      </c>
      <c r="T1429" s="13">
        <f>IFERROR((ABS(N1429-O1429)/MAX(1,(N1429+O1429)))*EXP(-ABS(E1429-CONTROL!E5)/MAX(1,CONTROL!B8)),"")</f>
        <v/>
      </c>
      <c r="U1429" s="13">
        <f>IFERROR(IF(O1429&gt;N1429,"SUPPORT (PE OI)","RESIST (CE OI)"),"")</f>
        <v/>
      </c>
      <c r="V1429" s="13">
        <f>IFERROR(IF(Q1429&gt;0,IF(R1429&gt;0,"BOTH_ADD","CE_ADD_PE_REDUCE"),IF(R1429&gt;0,"CE_REDUCE_PE_ADD","BOTH_REDUCE")),"")</f>
        <v/>
      </c>
      <c r="W1429" s="13">
        <f>IFERROR( (P1429-1)*0.5 + (M1429)*0.1 - (I1429+J1429)*0.05 + T1429*0.4 ,"")</f>
        <v/>
      </c>
      <c r="X1429" s="13">
        <f>IFERROR(IF(ABS(F1429)&lt;0.01,"ATM/NEAR",""),"")</f>
        <v/>
      </c>
    </row>
    <row r="1430">
      <c r="A1430" s="13">
        <f>CHAIN_RAW!A1430</f>
        <v/>
      </c>
      <c r="B1430" s="14">
        <f>CHAIN_RAW!B1430</f>
        <v/>
      </c>
      <c r="C1430" s="13">
        <f>CHAIN_RAW!C1430</f>
        <v/>
      </c>
      <c r="D1430" s="13">
        <f>CHAIN_RAW!D1430</f>
        <v/>
      </c>
      <c r="E1430" s="13">
        <f>CHAIN_RAW!E1430</f>
        <v/>
      </c>
      <c r="F1430" s="13">
        <f>IFERROR((E1430-D1430)/D1430,"")</f>
        <v/>
      </c>
      <c r="G1430" s="13">
        <f>IFERROR((CHAIN_RAW!K1430+CHAIN_RAW!L1430)/2,"")</f>
        <v/>
      </c>
      <c r="H1430" s="13">
        <f>IFERROR((CHAIN_RAW!R1430+CHAIN_RAW!S1430)/2,"")</f>
        <v/>
      </c>
      <c r="I1430" s="13">
        <f>IFERROR((CHAIN_RAW!L1430-CHAIN_RAW!K1430)/MAX(1E-9, G1430),"")</f>
        <v/>
      </c>
      <c r="J1430" s="13">
        <f>IFERROR((CHAIN_RAW!S1430-CHAIN_RAW!R1430)/MAX(1E-9, H1430),"")</f>
        <v/>
      </c>
      <c r="K1430" s="13">
        <f>CHAIN_RAW!G1430</f>
        <v/>
      </c>
      <c r="L1430" s="13">
        <f>CHAIN_RAW!N1430</f>
        <v/>
      </c>
      <c r="M1430" s="13">
        <f>IFERROR(L1430-K1430,"")</f>
        <v/>
      </c>
      <c r="N1430" s="13">
        <f>CHAIN_RAW!H1430</f>
        <v/>
      </c>
      <c r="O1430" s="13">
        <f>CHAIN_RAW!O1430</f>
        <v/>
      </c>
      <c r="P1430" s="13">
        <f>IFERROR(O1430/N1430,"")</f>
        <v/>
      </c>
      <c r="Q1430" s="13">
        <f>CHAIN_RAW!I1430</f>
        <v/>
      </c>
      <c r="R1430" s="13">
        <f>CHAIN_RAW!P1430</f>
        <v/>
      </c>
      <c r="S1430" s="13">
        <f>IFERROR(R1430/Q1430,"")</f>
        <v/>
      </c>
      <c r="T1430" s="13">
        <f>IFERROR((ABS(N1430-O1430)/MAX(1,(N1430+O1430)))*EXP(-ABS(E1430-CONTROL!E5)/MAX(1,CONTROL!B8)),"")</f>
        <v/>
      </c>
      <c r="U1430" s="13">
        <f>IFERROR(IF(O1430&gt;N1430,"SUPPORT (PE OI)","RESIST (CE OI)"),"")</f>
        <v/>
      </c>
      <c r="V1430" s="13">
        <f>IFERROR(IF(Q1430&gt;0,IF(R1430&gt;0,"BOTH_ADD","CE_ADD_PE_REDUCE"),IF(R1430&gt;0,"CE_REDUCE_PE_ADD","BOTH_REDUCE")),"")</f>
        <v/>
      </c>
      <c r="W1430" s="13">
        <f>IFERROR( (P1430-1)*0.5 + (M1430)*0.1 - (I1430+J1430)*0.05 + T1430*0.4 ,"")</f>
        <v/>
      </c>
      <c r="X1430" s="13">
        <f>IFERROR(IF(ABS(F1430)&lt;0.01,"ATM/NEAR",""),"")</f>
        <v/>
      </c>
    </row>
    <row r="1431">
      <c r="A1431" s="13">
        <f>CHAIN_RAW!A1431</f>
        <v/>
      </c>
      <c r="B1431" s="14">
        <f>CHAIN_RAW!B1431</f>
        <v/>
      </c>
      <c r="C1431" s="13">
        <f>CHAIN_RAW!C1431</f>
        <v/>
      </c>
      <c r="D1431" s="13">
        <f>CHAIN_RAW!D1431</f>
        <v/>
      </c>
      <c r="E1431" s="13">
        <f>CHAIN_RAW!E1431</f>
        <v/>
      </c>
      <c r="F1431" s="13">
        <f>IFERROR((E1431-D1431)/D1431,"")</f>
        <v/>
      </c>
      <c r="G1431" s="13">
        <f>IFERROR((CHAIN_RAW!K1431+CHAIN_RAW!L1431)/2,"")</f>
        <v/>
      </c>
      <c r="H1431" s="13">
        <f>IFERROR((CHAIN_RAW!R1431+CHAIN_RAW!S1431)/2,"")</f>
        <v/>
      </c>
      <c r="I1431" s="13">
        <f>IFERROR((CHAIN_RAW!L1431-CHAIN_RAW!K1431)/MAX(1E-9, G1431),"")</f>
        <v/>
      </c>
      <c r="J1431" s="13">
        <f>IFERROR((CHAIN_RAW!S1431-CHAIN_RAW!R1431)/MAX(1E-9, H1431),"")</f>
        <v/>
      </c>
      <c r="K1431" s="13">
        <f>CHAIN_RAW!G1431</f>
        <v/>
      </c>
      <c r="L1431" s="13">
        <f>CHAIN_RAW!N1431</f>
        <v/>
      </c>
      <c r="M1431" s="13">
        <f>IFERROR(L1431-K1431,"")</f>
        <v/>
      </c>
      <c r="N1431" s="13">
        <f>CHAIN_RAW!H1431</f>
        <v/>
      </c>
      <c r="O1431" s="13">
        <f>CHAIN_RAW!O1431</f>
        <v/>
      </c>
      <c r="P1431" s="13">
        <f>IFERROR(O1431/N1431,"")</f>
        <v/>
      </c>
      <c r="Q1431" s="13">
        <f>CHAIN_RAW!I1431</f>
        <v/>
      </c>
      <c r="R1431" s="13">
        <f>CHAIN_RAW!P1431</f>
        <v/>
      </c>
      <c r="S1431" s="13">
        <f>IFERROR(R1431/Q1431,"")</f>
        <v/>
      </c>
      <c r="T1431" s="13">
        <f>IFERROR((ABS(N1431-O1431)/MAX(1,(N1431+O1431)))*EXP(-ABS(E1431-CONTROL!E5)/MAX(1,CONTROL!B8)),"")</f>
        <v/>
      </c>
      <c r="U1431" s="13">
        <f>IFERROR(IF(O1431&gt;N1431,"SUPPORT (PE OI)","RESIST (CE OI)"),"")</f>
        <v/>
      </c>
      <c r="V1431" s="13">
        <f>IFERROR(IF(Q1431&gt;0,IF(R1431&gt;0,"BOTH_ADD","CE_ADD_PE_REDUCE"),IF(R1431&gt;0,"CE_REDUCE_PE_ADD","BOTH_REDUCE")),"")</f>
        <v/>
      </c>
      <c r="W1431" s="13">
        <f>IFERROR( (P1431-1)*0.5 + (M1431)*0.1 - (I1431+J1431)*0.05 + T1431*0.4 ,"")</f>
        <v/>
      </c>
      <c r="X1431" s="13">
        <f>IFERROR(IF(ABS(F1431)&lt;0.01,"ATM/NEAR",""),"")</f>
        <v/>
      </c>
    </row>
    <row r="1432">
      <c r="A1432" s="13">
        <f>CHAIN_RAW!A1432</f>
        <v/>
      </c>
      <c r="B1432" s="14">
        <f>CHAIN_RAW!B1432</f>
        <v/>
      </c>
      <c r="C1432" s="13">
        <f>CHAIN_RAW!C1432</f>
        <v/>
      </c>
      <c r="D1432" s="13">
        <f>CHAIN_RAW!D1432</f>
        <v/>
      </c>
      <c r="E1432" s="13">
        <f>CHAIN_RAW!E1432</f>
        <v/>
      </c>
      <c r="F1432" s="13">
        <f>IFERROR((E1432-D1432)/D1432,"")</f>
        <v/>
      </c>
      <c r="G1432" s="13">
        <f>IFERROR((CHAIN_RAW!K1432+CHAIN_RAW!L1432)/2,"")</f>
        <v/>
      </c>
      <c r="H1432" s="13">
        <f>IFERROR((CHAIN_RAW!R1432+CHAIN_RAW!S1432)/2,"")</f>
        <v/>
      </c>
      <c r="I1432" s="13">
        <f>IFERROR((CHAIN_RAW!L1432-CHAIN_RAW!K1432)/MAX(1E-9, G1432),"")</f>
        <v/>
      </c>
      <c r="J1432" s="13">
        <f>IFERROR((CHAIN_RAW!S1432-CHAIN_RAW!R1432)/MAX(1E-9, H1432),"")</f>
        <v/>
      </c>
      <c r="K1432" s="13">
        <f>CHAIN_RAW!G1432</f>
        <v/>
      </c>
      <c r="L1432" s="13">
        <f>CHAIN_RAW!N1432</f>
        <v/>
      </c>
      <c r="M1432" s="13">
        <f>IFERROR(L1432-K1432,"")</f>
        <v/>
      </c>
      <c r="N1432" s="13">
        <f>CHAIN_RAW!H1432</f>
        <v/>
      </c>
      <c r="O1432" s="13">
        <f>CHAIN_RAW!O1432</f>
        <v/>
      </c>
      <c r="P1432" s="13">
        <f>IFERROR(O1432/N1432,"")</f>
        <v/>
      </c>
      <c r="Q1432" s="13">
        <f>CHAIN_RAW!I1432</f>
        <v/>
      </c>
      <c r="R1432" s="13">
        <f>CHAIN_RAW!P1432</f>
        <v/>
      </c>
      <c r="S1432" s="13">
        <f>IFERROR(R1432/Q1432,"")</f>
        <v/>
      </c>
      <c r="T1432" s="13">
        <f>IFERROR((ABS(N1432-O1432)/MAX(1,(N1432+O1432)))*EXP(-ABS(E1432-CONTROL!E5)/MAX(1,CONTROL!B8)),"")</f>
        <v/>
      </c>
      <c r="U1432" s="13">
        <f>IFERROR(IF(O1432&gt;N1432,"SUPPORT (PE OI)","RESIST (CE OI)"),"")</f>
        <v/>
      </c>
      <c r="V1432" s="13">
        <f>IFERROR(IF(Q1432&gt;0,IF(R1432&gt;0,"BOTH_ADD","CE_ADD_PE_REDUCE"),IF(R1432&gt;0,"CE_REDUCE_PE_ADD","BOTH_REDUCE")),"")</f>
        <v/>
      </c>
      <c r="W1432" s="13">
        <f>IFERROR( (P1432-1)*0.5 + (M1432)*0.1 - (I1432+J1432)*0.05 + T1432*0.4 ,"")</f>
        <v/>
      </c>
      <c r="X1432" s="13">
        <f>IFERROR(IF(ABS(F1432)&lt;0.01,"ATM/NEAR",""),"")</f>
        <v/>
      </c>
    </row>
    <row r="1433">
      <c r="A1433" s="13">
        <f>CHAIN_RAW!A1433</f>
        <v/>
      </c>
      <c r="B1433" s="14">
        <f>CHAIN_RAW!B1433</f>
        <v/>
      </c>
      <c r="C1433" s="13">
        <f>CHAIN_RAW!C1433</f>
        <v/>
      </c>
      <c r="D1433" s="13">
        <f>CHAIN_RAW!D1433</f>
        <v/>
      </c>
      <c r="E1433" s="13">
        <f>CHAIN_RAW!E1433</f>
        <v/>
      </c>
      <c r="F1433" s="13">
        <f>IFERROR((E1433-D1433)/D1433,"")</f>
        <v/>
      </c>
      <c r="G1433" s="13">
        <f>IFERROR((CHAIN_RAW!K1433+CHAIN_RAW!L1433)/2,"")</f>
        <v/>
      </c>
      <c r="H1433" s="13">
        <f>IFERROR((CHAIN_RAW!R1433+CHAIN_RAW!S1433)/2,"")</f>
        <v/>
      </c>
      <c r="I1433" s="13">
        <f>IFERROR((CHAIN_RAW!L1433-CHAIN_RAW!K1433)/MAX(1E-9, G1433),"")</f>
        <v/>
      </c>
      <c r="J1433" s="13">
        <f>IFERROR((CHAIN_RAW!S1433-CHAIN_RAW!R1433)/MAX(1E-9, H1433),"")</f>
        <v/>
      </c>
      <c r="K1433" s="13">
        <f>CHAIN_RAW!G1433</f>
        <v/>
      </c>
      <c r="L1433" s="13">
        <f>CHAIN_RAW!N1433</f>
        <v/>
      </c>
      <c r="M1433" s="13">
        <f>IFERROR(L1433-K1433,"")</f>
        <v/>
      </c>
      <c r="N1433" s="13">
        <f>CHAIN_RAW!H1433</f>
        <v/>
      </c>
      <c r="O1433" s="13">
        <f>CHAIN_RAW!O1433</f>
        <v/>
      </c>
      <c r="P1433" s="13">
        <f>IFERROR(O1433/N1433,"")</f>
        <v/>
      </c>
      <c r="Q1433" s="13">
        <f>CHAIN_RAW!I1433</f>
        <v/>
      </c>
      <c r="R1433" s="13">
        <f>CHAIN_RAW!P1433</f>
        <v/>
      </c>
      <c r="S1433" s="13">
        <f>IFERROR(R1433/Q1433,"")</f>
        <v/>
      </c>
      <c r="T1433" s="13">
        <f>IFERROR((ABS(N1433-O1433)/MAX(1,(N1433+O1433)))*EXP(-ABS(E1433-CONTROL!E5)/MAX(1,CONTROL!B8)),"")</f>
        <v/>
      </c>
      <c r="U1433" s="13">
        <f>IFERROR(IF(O1433&gt;N1433,"SUPPORT (PE OI)","RESIST (CE OI)"),"")</f>
        <v/>
      </c>
      <c r="V1433" s="13">
        <f>IFERROR(IF(Q1433&gt;0,IF(R1433&gt;0,"BOTH_ADD","CE_ADD_PE_REDUCE"),IF(R1433&gt;0,"CE_REDUCE_PE_ADD","BOTH_REDUCE")),"")</f>
        <v/>
      </c>
      <c r="W1433" s="13">
        <f>IFERROR( (P1433-1)*0.5 + (M1433)*0.1 - (I1433+J1433)*0.05 + T1433*0.4 ,"")</f>
        <v/>
      </c>
      <c r="X1433" s="13">
        <f>IFERROR(IF(ABS(F1433)&lt;0.01,"ATM/NEAR",""),"")</f>
        <v/>
      </c>
    </row>
    <row r="1434">
      <c r="A1434" s="13">
        <f>CHAIN_RAW!A1434</f>
        <v/>
      </c>
      <c r="B1434" s="14">
        <f>CHAIN_RAW!B1434</f>
        <v/>
      </c>
      <c r="C1434" s="13">
        <f>CHAIN_RAW!C1434</f>
        <v/>
      </c>
      <c r="D1434" s="13">
        <f>CHAIN_RAW!D1434</f>
        <v/>
      </c>
      <c r="E1434" s="13">
        <f>CHAIN_RAW!E1434</f>
        <v/>
      </c>
      <c r="F1434" s="13">
        <f>IFERROR((E1434-D1434)/D1434,"")</f>
        <v/>
      </c>
      <c r="G1434" s="13">
        <f>IFERROR((CHAIN_RAW!K1434+CHAIN_RAW!L1434)/2,"")</f>
        <v/>
      </c>
      <c r="H1434" s="13">
        <f>IFERROR((CHAIN_RAW!R1434+CHAIN_RAW!S1434)/2,"")</f>
        <v/>
      </c>
      <c r="I1434" s="13">
        <f>IFERROR((CHAIN_RAW!L1434-CHAIN_RAW!K1434)/MAX(1E-9, G1434),"")</f>
        <v/>
      </c>
      <c r="J1434" s="13">
        <f>IFERROR((CHAIN_RAW!S1434-CHAIN_RAW!R1434)/MAX(1E-9, H1434),"")</f>
        <v/>
      </c>
      <c r="K1434" s="13">
        <f>CHAIN_RAW!G1434</f>
        <v/>
      </c>
      <c r="L1434" s="13">
        <f>CHAIN_RAW!N1434</f>
        <v/>
      </c>
      <c r="M1434" s="13">
        <f>IFERROR(L1434-K1434,"")</f>
        <v/>
      </c>
      <c r="N1434" s="13">
        <f>CHAIN_RAW!H1434</f>
        <v/>
      </c>
      <c r="O1434" s="13">
        <f>CHAIN_RAW!O1434</f>
        <v/>
      </c>
      <c r="P1434" s="13">
        <f>IFERROR(O1434/N1434,"")</f>
        <v/>
      </c>
      <c r="Q1434" s="13">
        <f>CHAIN_RAW!I1434</f>
        <v/>
      </c>
      <c r="R1434" s="13">
        <f>CHAIN_RAW!P1434</f>
        <v/>
      </c>
      <c r="S1434" s="13">
        <f>IFERROR(R1434/Q1434,"")</f>
        <v/>
      </c>
      <c r="T1434" s="13">
        <f>IFERROR((ABS(N1434-O1434)/MAX(1,(N1434+O1434)))*EXP(-ABS(E1434-CONTROL!E5)/MAX(1,CONTROL!B8)),"")</f>
        <v/>
      </c>
      <c r="U1434" s="13">
        <f>IFERROR(IF(O1434&gt;N1434,"SUPPORT (PE OI)","RESIST (CE OI)"),"")</f>
        <v/>
      </c>
      <c r="V1434" s="13">
        <f>IFERROR(IF(Q1434&gt;0,IF(R1434&gt;0,"BOTH_ADD","CE_ADD_PE_REDUCE"),IF(R1434&gt;0,"CE_REDUCE_PE_ADD","BOTH_REDUCE")),"")</f>
        <v/>
      </c>
      <c r="W1434" s="13">
        <f>IFERROR( (P1434-1)*0.5 + (M1434)*0.1 - (I1434+J1434)*0.05 + T1434*0.4 ,"")</f>
        <v/>
      </c>
      <c r="X1434" s="13">
        <f>IFERROR(IF(ABS(F1434)&lt;0.01,"ATM/NEAR",""),"")</f>
        <v/>
      </c>
    </row>
    <row r="1435">
      <c r="A1435" s="13">
        <f>CHAIN_RAW!A1435</f>
        <v/>
      </c>
      <c r="B1435" s="14">
        <f>CHAIN_RAW!B1435</f>
        <v/>
      </c>
      <c r="C1435" s="13">
        <f>CHAIN_RAW!C1435</f>
        <v/>
      </c>
      <c r="D1435" s="13">
        <f>CHAIN_RAW!D1435</f>
        <v/>
      </c>
      <c r="E1435" s="13">
        <f>CHAIN_RAW!E1435</f>
        <v/>
      </c>
      <c r="F1435" s="13">
        <f>IFERROR((E1435-D1435)/D1435,"")</f>
        <v/>
      </c>
      <c r="G1435" s="13">
        <f>IFERROR((CHAIN_RAW!K1435+CHAIN_RAW!L1435)/2,"")</f>
        <v/>
      </c>
      <c r="H1435" s="13">
        <f>IFERROR((CHAIN_RAW!R1435+CHAIN_RAW!S1435)/2,"")</f>
        <v/>
      </c>
      <c r="I1435" s="13">
        <f>IFERROR((CHAIN_RAW!L1435-CHAIN_RAW!K1435)/MAX(1E-9, G1435),"")</f>
        <v/>
      </c>
      <c r="J1435" s="13">
        <f>IFERROR((CHAIN_RAW!S1435-CHAIN_RAW!R1435)/MAX(1E-9, H1435),"")</f>
        <v/>
      </c>
      <c r="K1435" s="13">
        <f>CHAIN_RAW!G1435</f>
        <v/>
      </c>
      <c r="L1435" s="13">
        <f>CHAIN_RAW!N1435</f>
        <v/>
      </c>
      <c r="M1435" s="13">
        <f>IFERROR(L1435-K1435,"")</f>
        <v/>
      </c>
      <c r="N1435" s="13">
        <f>CHAIN_RAW!H1435</f>
        <v/>
      </c>
      <c r="O1435" s="13">
        <f>CHAIN_RAW!O1435</f>
        <v/>
      </c>
      <c r="P1435" s="13">
        <f>IFERROR(O1435/N1435,"")</f>
        <v/>
      </c>
      <c r="Q1435" s="13">
        <f>CHAIN_RAW!I1435</f>
        <v/>
      </c>
      <c r="R1435" s="13">
        <f>CHAIN_RAW!P1435</f>
        <v/>
      </c>
      <c r="S1435" s="13">
        <f>IFERROR(R1435/Q1435,"")</f>
        <v/>
      </c>
      <c r="T1435" s="13">
        <f>IFERROR((ABS(N1435-O1435)/MAX(1,(N1435+O1435)))*EXP(-ABS(E1435-CONTROL!E5)/MAX(1,CONTROL!B8)),"")</f>
        <v/>
      </c>
      <c r="U1435" s="13">
        <f>IFERROR(IF(O1435&gt;N1435,"SUPPORT (PE OI)","RESIST (CE OI)"),"")</f>
        <v/>
      </c>
      <c r="V1435" s="13">
        <f>IFERROR(IF(Q1435&gt;0,IF(R1435&gt;0,"BOTH_ADD","CE_ADD_PE_REDUCE"),IF(R1435&gt;0,"CE_REDUCE_PE_ADD","BOTH_REDUCE")),"")</f>
        <v/>
      </c>
      <c r="W1435" s="13">
        <f>IFERROR( (P1435-1)*0.5 + (M1435)*0.1 - (I1435+J1435)*0.05 + T1435*0.4 ,"")</f>
        <v/>
      </c>
      <c r="X1435" s="13">
        <f>IFERROR(IF(ABS(F1435)&lt;0.01,"ATM/NEAR",""),"")</f>
        <v/>
      </c>
    </row>
    <row r="1436">
      <c r="A1436" s="13">
        <f>CHAIN_RAW!A1436</f>
        <v/>
      </c>
      <c r="B1436" s="14">
        <f>CHAIN_RAW!B1436</f>
        <v/>
      </c>
      <c r="C1436" s="13">
        <f>CHAIN_RAW!C1436</f>
        <v/>
      </c>
      <c r="D1436" s="13">
        <f>CHAIN_RAW!D1436</f>
        <v/>
      </c>
      <c r="E1436" s="13">
        <f>CHAIN_RAW!E1436</f>
        <v/>
      </c>
      <c r="F1436" s="13">
        <f>IFERROR((E1436-D1436)/D1436,"")</f>
        <v/>
      </c>
      <c r="G1436" s="13">
        <f>IFERROR((CHAIN_RAW!K1436+CHAIN_RAW!L1436)/2,"")</f>
        <v/>
      </c>
      <c r="H1436" s="13">
        <f>IFERROR((CHAIN_RAW!R1436+CHAIN_RAW!S1436)/2,"")</f>
        <v/>
      </c>
      <c r="I1436" s="13">
        <f>IFERROR((CHAIN_RAW!L1436-CHAIN_RAW!K1436)/MAX(1E-9, G1436),"")</f>
        <v/>
      </c>
      <c r="J1436" s="13">
        <f>IFERROR((CHAIN_RAW!S1436-CHAIN_RAW!R1436)/MAX(1E-9, H1436),"")</f>
        <v/>
      </c>
      <c r="K1436" s="13">
        <f>CHAIN_RAW!G1436</f>
        <v/>
      </c>
      <c r="L1436" s="13">
        <f>CHAIN_RAW!N1436</f>
        <v/>
      </c>
      <c r="M1436" s="13">
        <f>IFERROR(L1436-K1436,"")</f>
        <v/>
      </c>
      <c r="N1436" s="13">
        <f>CHAIN_RAW!H1436</f>
        <v/>
      </c>
      <c r="O1436" s="13">
        <f>CHAIN_RAW!O1436</f>
        <v/>
      </c>
      <c r="P1436" s="13">
        <f>IFERROR(O1436/N1436,"")</f>
        <v/>
      </c>
      <c r="Q1436" s="13">
        <f>CHAIN_RAW!I1436</f>
        <v/>
      </c>
      <c r="R1436" s="13">
        <f>CHAIN_RAW!P1436</f>
        <v/>
      </c>
      <c r="S1436" s="13">
        <f>IFERROR(R1436/Q1436,"")</f>
        <v/>
      </c>
      <c r="T1436" s="13">
        <f>IFERROR((ABS(N1436-O1436)/MAX(1,(N1436+O1436)))*EXP(-ABS(E1436-CONTROL!E5)/MAX(1,CONTROL!B8)),"")</f>
        <v/>
      </c>
      <c r="U1436" s="13">
        <f>IFERROR(IF(O1436&gt;N1436,"SUPPORT (PE OI)","RESIST (CE OI)"),"")</f>
        <v/>
      </c>
      <c r="V1436" s="13">
        <f>IFERROR(IF(Q1436&gt;0,IF(R1436&gt;0,"BOTH_ADD","CE_ADD_PE_REDUCE"),IF(R1436&gt;0,"CE_REDUCE_PE_ADD","BOTH_REDUCE")),"")</f>
        <v/>
      </c>
      <c r="W1436" s="13">
        <f>IFERROR( (P1436-1)*0.5 + (M1436)*0.1 - (I1436+J1436)*0.05 + T1436*0.4 ,"")</f>
        <v/>
      </c>
      <c r="X1436" s="13">
        <f>IFERROR(IF(ABS(F1436)&lt;0.01,"ATM/NEAR",""),"")</f>
        <v/>
      </c>
    </row>
    <row r="1437">
      <c r="A1437" s="13">
        <f>CHAIN_RAW!A1437</f>
        <v/>
      </c>
      <c r="B1437" s="14">
        <f>CHAIN_RAW!B1437</f>
        <v/>
      </c>
      <c r="C1437" s="13">
        <f>CHAIN_RAW!C1437</f>
        <v/>
      </c>
      <c r="D1437" s="13">
        <f>CHAIN_RAW!D1437</f>
        <v/>
      </c>
      <c r="E1437" s="13">
        <f>CHAIN_RAW!E1437</f>
        <v/>
      </c>
      <c r="F1437" s="13">
        <f>IFERROR((E1437-D1437)/D1437,"")</f>
        <v/>
      </c>
      <c r="G1437" s="13">
        <f>IFERROR((CHAIN_RAW!K1437+CHAIN_RAW!L1437)/2,"")</f>
        <v/>
      </c>
      <c r="H1437" s="13">
        <f>IFERROR((CHAIN_RAW!R1437+CHAIN_RAW!S1437)/2,"")</f>
        <v/>
      </c>
      <c r="I1437" s="13">
        <f>IFERROR((CHAIN_RAW!L1437-CHAIN_RAW!K1437)/MAX(1E-9, G1437),"")</f>
        <v/>
      </c>
      <c r="J1437" s="13">
        <f>IFERROR((CHAIN_RAW!S1437-CHAIN_RAW!R1437)/MAX(1E-9, H1437),"")</f>
        <v/>
      </c>
      <c r="K1437" s="13">
        <f>CHAIN_RAW!G1437</f>
        <v/>
      </c>
      <c r="L1437" s="13">
        <f>CHAIN_RAW!N1437</f>
        <v/>
      </c>
      <c r="M1437" s="13">
        <f>IFERROR(L1437-K1437,"")</f>
        <v/>
      </c>
      <c r="N1437" s="13">
        <f>CHAIN_RAW!H1437</f>
        <v/>
      </c>
      <c r="O1437" s="13">
        <f>CHAIN_RAW!O1437</f>
        <v/>
      </c>
      <c r="P1437" s="13">
        <f>IFERROR(O1437/N1437,"")</f>
        <v/>
      </c>
      <c r="Q1437" s="13">
        <f>CHAIN_RAW!I1437</f>
        <v/>
      </c>
      <c r="R1437" s="13">
        <f>CHAIN_RAW!P1437</f>
        <v/>
      </c>
      <c r="S1437" s="13">
        <f>IFERROR(R1437/Q1437,"")</f>
        <v/>
      </c>
      <c r="T1437" s="13">
        <f>IFERROR((ABS(N1437-O1437)/MAX(1,(N1437+O1437)))*EXP(-ABS(E1437-CONTROL!E5)/MAX(1,CONTROL!B8)),"")</f>
        <v/>
      </c>
      <c r="U1437" s="13">
        <f>IFERROR(IF(O1437&gt;N1437,"SUPPORT (PE OI)","RESIST (CE OI)"),"")</f>
        <v/>
      </c>
      <c r="V1437" s="13">
        <f>IFERROR(IF(Q1437&gt;0,IF(R1437&gt;0,"BOTH_ADD","CE_ADD_PE_REDUCE"),IF(R1437&gt;0,"CE_REDUCE_PE_ADD","BOTH_REDUCE")),"")</f>
        <v/>
      </c>
      <c r="W1437" s="13">
        <f>IFERROR( (P1437-1)*0.5 + (M1437)*0.1 - (I1437+J1437)*0.05 + T1437*0.4 ,"")</f>
        <v/>
      </c>
      <c r="X1437" s="13">
        <f>IFERROR(IF(ABS(F1437)&lt;0.01,"ATM/NEAR",""),"")</f>
        <v/>
      </c>
    </row>
    <row r="1438">
      <c r="A1438" s="13">
        <f>CHAIN_RAW!A1438</f>
        <v/>
      </c>
      <c r="B1438" s="14">
        <f>CHAIN_RAW!B1438</f>
        <v/>
      </c>
      <c r="C1438" s="13">
        <f>CHAIN_RAW!C1438</f>
        <v/>
      </c>
      <c r="D1438" s="13">
        <f>CHAIN_RAW!D1438</f>
        <v/>
      </c>
      <c r="E1438" s="13">
        <f>CHAIN_RAW!E1438</f>
        <v/>
      </c>
      <c r="F1438" s="13">
        <f>IFERROR((E1438-D1438)/D1438,"")</f>
        <v/>
      </c>
      <c r="G1438" s="13">
        <f>IFERROR((CHAIN_RAW!K1438+CHAIN_RAW!L1438)/2,"")</f>
        <v/>
      </c>
      <c r="H1438" s="13">
        <f>IFERROR((CHAIN_RAW!R1438+CHAIN_RAW!S1438)/2,"")</f>
        <v/>
      </c>
      <c r="I1438" s="13">
        <f>IFERROR((CHAIN_RAW!L1438-CHAIN_RAW!K1438)/MAX(1E-9, G1438),"")</f>
        <v/>
      </c>
      <c r="J1438" s="13">
        <f>IFERROR((CHAIN_RAW!S1438-CHAIN_RAW!R1438)/MAX(1E-9, H1438),"")</f>
        <v/>
      </c>
      <c r="K1438" s="13">
        <f>CHAIN_RAW!G1438</f>
        <v/>
      </c>
      <c r="L1438" s="13">
        <f>CHAIN_RAW!N1438</f>
        <v/>
      </c>
      <c r="M1438" s="13">
        <f>IFERROR(L1438-K1438,"")</f>
        <v/>
      </c>
      <c r="N1438" s="13">
        <f>CHAIN_RAW!H1438</f>
        <v/>
      </c>
      <c r="O1438" s="13">
        <f>CHAIN_RAW!O1438</f>
        <v/>
      </c>
      <c r="P1438" s="13">
        <f>IFERROR(O1438/N1438,"")</f>
        <v/>
      </c>
      <c r="Q1438" s="13">
        <f>CHAIN_RAW!I1438</f>
        <v/>
      </c>
      <c r="R1438" s="13">
        <f>CHAIN_RAW!P1438</f>
        <v/>
      </c>
      <c r="S1438" s="13">
        <f>IFERROR(R1438/Q1438,"")</f>
        <v/>
      </c>
      <c r="T1438" s="13">
        <f>IFERROR((ABS(N1438-O1438)/MAX(1,(N1438+O1438)))*EXP(-ABS(E1438-CONTROL!E5)/MAX(1,CONTROL!B8)),"")</f>
        <v/>
      </c>
      <c r="U1438" s="13">
        <f>IFERROR(IF(O1438&gt;N1438,"SUPPORT (PE OI)","RESIST (CE OI)"),"")</f>
        <v/>
      </c>
      <c r="V1438" s="13">
        <f>IFERROR(IF(Q1438&gt;0,IF(R1438&gt;0,"BOTH_ADD","CE_ADD_PE_REDUCE"),IF(R1438&gt;0,"CE_REDUCE_PE_ADD","BOTH_REDUCE")),"")</f>
        <v/>
      </c>
      <c r="W1438" s="13">
        <f>IFERROR( (P1438-1)*0.5 + (M1438)*0.1 - (I1438+J1438)*0.05 + T1438*0.4 ,"")</f>
        <v/>
      </c>
      <c r="X1438" s="13">
        <f>IFERROR(IF(ABS(F1438)&lt;0.01,"ATM/NEAR",""),"")</f>
        <v/>
      </c>
    </row>
    <row r="1439">
      <c r="A1439" s="13">
        <f>CHAIN_RAW!A1439</f>
        <v/>
      </c>
      <c r="B1439" s="14">
        <f>CHAIN_RAW!B1439</f>
        <v/>
      </c>
      <c r="C1439" s="13">
        <f>CHAIN_RAW!C1439</f>
        <v/>
      </c>
      <c r="D1439" s="13">
        <f>CHAIN_RAW!D1439</f>
        <v/>
      </c>
      <c r="E1439" s="13">
        <f>CHAIN_RAW!E1439</f>
        <v/>
      </c>
      <c r="F1439" s="13">
        <f>IFERROR((E1439-D1439)/D1439,"")</f>
        <v/>
      </c>
      <c r="G1439" s="13">
        <f>IFERROR((CHAIN_RAW!K1439+CHAIN_RAW!L1439)/2,"")</f>
        <v/>
      </c>
      <c r="H1439" s="13">
        <f>IFERROR((CHAIN_RAW!R1439+CHAIN_RAW!S1439)/2,"")</f>
        <v/>
      </c>
      <c r="I1439" s="13">
        <f>IFERROR((CHAIN_RAW!L1439-CHAIN_RAW!K1439)/MAX(1E-9, G1439),"")</f>
        <v/>
      </c>
      <c r="J1439" s="13">
        <f>IFERROR((CHAIN_RAW!S1439-CHAIN_RAW!R1439)/MAX(1E-9, H1439),"")</f>
        <v/>
      </c>
      <c r="K1439" s="13">
        <f>CHAIN_RAW!G1439</f>
        <v/>
      </c>
      <c r="L1439" s="13">
        <f>CHAIN_RAW!N1439</f>
        <v/>
      </c>
      <c r="M1439" s="13">
        <f>IFERROR(L1439-K1439,"")</f>
        <v/>
      </c>
      <c r="N1439" s="13">
        <f>CHAIN_RAW!H1439</f>
        <v/>
      </c>
      <c r="O1439" s="13">
        <f>CHAIN_RAW!O1439</f>
        <v/>
      </c>
      <c r="P1439" s="13">
        <f>IFERROR(O1439/N1439,"")</f>
        <v/>
      </c>
      <c r="Q1439" s="13">
        <f>CHAIN_RAW!I1439</f>
        <v/>
      </c>
      <c r="R1439" s="13">
        <f>CHAIN_RAW!P1439</f>
        <v/>
      </c>
      <c r="S1439" s="13">
        <f>IFERROR(R1439/Q1439,"")</f>
        <v/>
      </c>
      <c r="T1439" s="13">
        <f>IFERROR((ABS(N1439-O1439)/MAX(1,(N1439+O1439)))*EXP(-ABS(E1439-CONTROL!E5)/MAX(1,CONTROL!B8)),"")</f>
        <v/>
      </c>
      <c r="U1439" s="13">
        <f>IFERROR(IF(O1439&gt;N1439,"SUPPORT (PE OI)","RESIST (CE OI)"),"")</f>
        <v/>
      </c>
      <c r="V1439" s="13">
        <f>IFERROR(IF(Q1439&gt;0,IF(R1439&gt;0,"BOTH_ADD","CE_ADD_PE_REDUCE"),IF(R1439&gt;0,"CE_REDUCE_PE_ADD","BOTH_REDUCE")),"")</f>
        <v/>
      </c>
      <c r="W1439" s="13">
        <f>IFERROR( (P1439-1)*0.5 + (M1439)*0.1 - (I1439+J1439)*0.05 + T1439*0.4 ,"")</f>
        <v/>
      </c>
      <c r="X1439" s="13">
        <f>IFERROR(IF(ABS(F1439)&lt;0.01,"ATM/NEAR",""),"")</f>
        <v/>
      </c>
    </row>
    <row r="1440">
      <c r="A1440" s="13">
        <f>CHAIN_RAW!A1440</f>
        <v/>
      </c>
      <c r="B1440" s="14">
        <f>CHAIN_RAW!B1440</f>
        <v/>
      </c>
      <c r="C1440" s="13">
        <f>CHAIN_RAW!C1440</f>
        <v/>
      </c>
      <c r="D1440" s="13">
        <f>CHAIN_RAW!D1440</f>
        <v/>
      </c>
      <c r="E1440" s="13">
        <f>CHAIN_RAW!E1440</f>
        <v/>
      </c>
      <c r="F1440" s="13">
        <f>IFERROR((E1440-D1440)/D1440,"")</f>
        <v/>
      </c>
      <c r="G1440" s="13">
        <f>IFERROR((CHAIN_RAW!K1440+CHAIN_RAW!L1440)/2,"")</f>
        <v/>
      </c>
      <c r="H1440" s="13">
        <f>IFERROR((CHAIN_RAW!R1440+CHAIN_RAW!S1440)/2,"")</f>
        <v/>
      </c>
      <c r="I1440" s="13">
        <f>IFERROR((CHAIN_RAW!L1440-CHAIN_RAW!K1440)/MAX(1E-9, G1440),"")</f>
        <v/>
      </c>
      <c r="J1440" s="13">
        <f>IFERROR((CHAIN_RAW!S1440-CHAIN_RAW!R1440)/MAX(1E-9, H1440),"")</f>
        <v/>
      </c>
      <c r="K1440" s="13">
        <f>CHAIN_RAW!G1440</f>
        <v/>
      </c>
      <c r="L1440" s="13">
        <f>CHAIN_RAW!N1440</f>
        <v/>
      </c>
      <c r="M1440" s="13">
        <f>IFERROR(L1440-K1440,"")</f>
        <v/>
      </c>
      <c r="N1440" s="13">
        <f>CHAIN_RAW!H1440</f>
        <v/>
      </c>
      <c r="O1440" s="13">
        <f>CHAIN_RAW!O1440</f>
        <v/>
      </c>
      <c r="P1440" s="13">
        <f>IFERROR(O1440/N1440,"")</f>
        <v/>
      </c>
      <c r="Q1440" s="13">
        <f>CHAIN_RAW!I1440</f>
        <v/>
      </c>
      <c r="R1440" s="13">
        <f>CHAIN_RAW!P1440</f>
        <v/>
      </c>
      <c r="S1440" s="13">
        <f>IFERROR(R1440/Q1440,"")</f>
        <v/>
      </c>
      <c r="T1440" s="13">
        <f>IFERROR((ABS(N1440-O1440)/MAX(1,(N1440+O1440)))*EXP(-ABS(E1440-CONTROL!E5)/MAX(1,CONTROL!B8)),"")</f>
        <v/>
      </c>
      <c r="U1440" s="13">
        <f>IFERROR(IF(O1440&gt;N1440,"SUPPORT (PE OI)","RESIST (CE OI)"),"")</f>
        <v/>
      </c>
      <c r="V1440" s="13">
        <f>IFERROR(IF(Q1440&gt;0,IF(R1440&gt;0,"BOTH_ADD","CE_ADD_PE_REDUCE"),IF(R1440&gt;0,"CE_REDUCE_PE_ADD","BOTH_REDUCE")),"")</f>
        <v/>
      </c>
      <c r="W1440" s="13">
        <f>IFERROR( (P1440-1)*0.5 + (M1440)*0.1 - (I1440+J1440)*0.05 + T1440*0.4 ,"")</f>
        <v/>
      </c>
      <c r="X1440" s="13">
        <f>IFERROR(IF(ABS(F1440)&lt;0.01,"ATM/NEAR",""),"")</f>
        <v/>
      </c>
    </row>
    <row r="1441">
      <c r="A1441" s="13">
        <f>CHAIN_RAW!A1441</f>
        <v/>
      </c>
      <c r="B1441" s="14">
        <f>CHAIN_RAW!B1441</f>
        <v/>
      </c>
      <c r="C1441" s="13">
        <f>CHAIN_RAW!C1441</f>
        <v/>
      </c>
      <c r="D1441" s="13">
        <f>CHAIN_RAW!D1441</f>
        <v/>
      </c>
      <c r="E1441" s="13">
        <f>CHAIN_RAW!E1441</f>
        <v/>
      </c>
      <c r="F1441" s="13">
        <f>IFERROR((E1441-D1441)/D1441,"")</f>
        <v/>
      </c>
      <c r="G1441" s="13">
        <f>IFERROR((CHAIN_RAW!K1441+CHAIN_RAW!L1441)/2,"")</f>
        <v/>
      </c>
      <c r="H1441" s="13">
        <f>IFERROR((CHAIN_RAW!R1441+CHAIN_RAW!S1441)/2,"")</f>
        <v/>
      </c>
      <c r="I1441" s="13">
        <f>IFERROR((CHAIN_RAW!L1441-CHAIN_RAW!K1441)/MAX(1E-9, G1441),"")</f>
        <v/>
      </c>
      <c r="J1441" s="13">
        <f>IFERROR((CHAIN_RAW!S1441-CHAIN_RAW!R1441)/MAX(1E-9, H1441),"")</f>
        <v/>
      </c>
      <c r="K1441" s="13">
        <f>CHAIN_RAW!G1441</f>
        <v/>
      </c>
      <c r="L1441" s="13">
        <f>CHAIN_RAW!N1441</f>
        <v/>
      </c>
      <c r="M1441" s="13">
        <f>IFERROR(L1441-K1441,"")</f>
        <v/>
      </c>
      <c r="N1441" s="13">
        <f>CHAIN_RAW!H1441</f>
        <v/>
      </c>
      <c r="O1441" s="13">
        <f>CHAIN_RAW!O1441</f>
        <v/>
      </c>
      <c r="P1441" s="13">
        <f>IFERROR(O1441/N1441,"")</f>
        <v/>
      </c>
      <c r="Q1441" s="13">
        <f>CHAIN_RAW!I1441</f>
        <v/>
      </c>
      <c r="R1441" s="13">
        <f>CHAIN_RAW!P1441</f>
        <v/>
      </c>
      <c r="S1441" s="13">
        <f>IFERROR(R1441/Q1441,"")</f>
        <v/>
      </c>
      <c r="T1441" s="13">
        <f>IFERROR((ABS(N1441-O1441)/MAX(1,(N1441+O1441)))*EXP(-ABS(E1441-CONTROL!E5)/MAX(1,CONTROL!B8)),"")</f>
        <v/>
      </c>
      <c r="U1441" s="13">
        <f>IFERROR(IF(O1441&gt;N1441,"SUPPORT (PE OI)","RESIST (CE OI)"),"")</f>
        <v/>
      </c>
      <c r="V1441" s="13">
        <f>IFERROR(IF(Q1441&gt;0,IF(R1441&gt;0,"BOTH_ADD","CE_ADD_PE_REDUCE"),IF(R1441&gt;0,"CE_REDUCE_PE_ADD","BOTH_REDUCE")),"")</f>
        <v/>
      </c>
      <c r="W1441" s="13">
        <f>IFERROR( (P1441-1)*0.5 + (M1441)*0.1 - (I1441+J1441)*0.05 + T1441*0.4 ,"")</f>
        <v/>
      </c>
      <c r="X1441" s="13">
        <f>IFERROR(IF(ABS(F1441)&lt;0.01,"ATM/NEAR",""),"")</f>
        <v/>
      </c>
    </row>
    <row r="1442">
      <c r="A1442" s="13">
        <f>CHAIN_RAW!A1442</f>
        <v/>
      </c>
      <c r="B1442" s="14">
        <f>CHAIN_RAW!B1442</f>
        <v/>
      </c>
      <c r="C1442" s="13">
        <f>CHAIN_RAW!C1442</f>
        <v/>
      </c>
      <c r="D1442" s="13">
        <f>CHAIN_RAW!D1442</f>
        <v/>
      </c>
      <c r="E1442" s="13">
        <f>CHAIN_RAW!E1442</f>
        <v/>
      </c>
      <c r="F1442" s="13">
        <f>IFERROR((E1442-D1442)/D1442,"")</f>
        <v/>
      </c>
      <c r="G1442" s="13">
        <f>IFERROR((CHAIN_RAW!K1442+CHAIN_RAW!L1442)/2,"")</f>
        <v/>
      </c>
      <c r="H1442" s="13">
        <f>IFERROR((CHAIN_RAW!R1442+CHAIN_RAW!S1442)/2,"")</f>
        <v/>
      </c>
      <c r="I1442" s="13">
        <f>IFERROR((CHAIN_RAW!L1442-CHAIN_RAW!K1442)/MAX(1E-9, G1442),"")</f>
        <v/>
      </c>
      <c r="J1442" s="13">
        <f>IFERROR((CHAIN_RAW!S1442-CHAIN_RAW!R1442)/MAX(1E-9, H1442),"")</f>
        <v/>
      </c>
      <c r="K1442" s="13">
        <f>CHAIN_RAW!G1442</f>
        <v/>
      </c>
      <c r="L1442" s="13">
        <f>CHAIN_RAW!N1442</f>
        <v/>
      </c>
      <c r="M1442" s="13">
        <f>IFERROR(L1442-K1442,"")</f>
        <v/>
      </c>
      <c r="N1442" s="13">
        <f>CHAIN_RAW!H1442</f>
        <v/>
      </c>
      <c r="O1442" s="13">
        <f>CHAIN_RAW!O1442</f>
        <v/>
      </c>
      <c r="P1442" s="13">
        <f>IFERROR(O1442/N1442,"")</f>
        <v/>
      </c>
      <c r="Q1442" s="13">
        <f>CHAIN_RAW!I1442</f>
        <v/>
      </c>
      <c r="R1442" s="13">
        <f>CHAIN_RAW!P1442</f>
        <v/>
      </c>
      <c r="S1442" s="13">
        <f>IFERROR(R1442/Q1442,"")</f>
        <v/>
      </c>
      <c r="T1442" s="13">
        <f>IFERROR((ABS(N1442-O1442)/MAX(1,(N1442+O1442)))*EXP(-ABS(E1442-CONTROL!E5)/MAX(1,CONTROL!B8)),"")</f>
        <v/>
      </c>
      <c r="U1442" s="13">
        <f>IFERROR(IF(O1442&gt;N1442,"SUPPORT (PE OI)","RESIST (CE OI)"),"")</f>
        <v/>
      </c>
      <c r="V1442" s="13">
        <f>IFERROR(IF(Q1442&gt;0,IF(R1442&gt;0,"BOTH_ADD","CE_ADD_PE_REDUCE"),IF(R1442&gt;0,"CE_REDUCE_PE_ADD","BOTH_REDUCE")),"")</f>
        <v/>
      </c>
      <c r="W1442" s="13">
        <f>IFERROR( (P1442-1)*0.5 + (M1442)*0.1 - (I1442+J1442)*0.05 + T1442*0.4 ,"")</f>
        <v/>
      </c>
      <c r="X1442" s="13">
        <f>IFERROR(IF(ABS(F1442)&lt;0.01,"ATM/NEAR",""),"")</f>
        <v/>
      </c>
    </row>
    <row r="1443">
      <c r="A1443" s="13">
        <f>CHAIN_RAW!A1443</f>
        <v/>
      </c>
      <c r="B1443" s="14">
        <f>CHAIN_RAW!B1443</f>
        <v/>
      </c>
      <c r="C1443" s="13">
        <f>CHAIN_RAW!C1443</f>
        <v/>
      </c>
      <c r="D1443" s="13">
        <f>CHAIN_RAW!D1443</f>
        <v/>
      </c>
      <c r="E1443" s="13">
        <f>CHAIN_RAW!E1443</f>
        <v/>
      </c>
      <c r="F1443" s="13">
        <f>IFERROR((E1443-D1443)/D1443,"")</f>
        <v/>
      </c>
      <c r="G1443" s="13">
        <f>IFERROR((CHAIN_RAW!K1443+CHAIN_RAW!L1443)/2,"")</f>
        <v/>
      </c>
      <c r="H1443" s="13">
        <f>IFERROR((CHAIN_RAW!R1443+CHAIN_RAW!S1443)/2,"")</f>
        <v/>
      </c>
      <c r="I1443" s="13">
        <f>IFERROR((CHAIN_RAW!L1443-CHAIN_RAW!K1443)/MAX(1E-9, G1443),"")</f>
        <v/>
      </c>
      <c r="J1443" s="13">
        <f>IFERROR((CHAIN_RAW!S1443-CHAIN_RAW!R1443)/MAX(1E-9, H1443),"")</f>
        <v/>
      </c>
      <c r="K1443" s="13">
        <f>CHAIN_RAW!G1443</f>
        <v/>
      </c>
      <c r="L1443" s="13">
        <f>CHAIN_RAW!N1443</f>
        <v/>
      </c>
      <c r="M1443" s="13">
        <f>IFERROR(L1443-K1443,"")</f>
        <v/>
      </c>
      <c r="N1443" s="13">
        <f>CHAIN_RAW!H1443</f>
        <v/>
      </c>
      <c r="O1443" s="13">
        <f>CHAIN_RAW!O1443</f>
        <v/>
      </c>
      <c r="P1443" s="13">
        <f>IFERROR(O1443/N1443,"")</f>
        <v/>
      </c>
      <c r="Q1443" s="13">
        <f>CHAIN_RAW!I1443</f>
        <v/>
      </c>
      <c r="R1443" s="13">
        <f>CHAIN_RAW!P1443</f>
        <v/>
      </c>
      <c r="S1443" s="13">
        <f>IFERROR(R1443/Q1443,"")</f>
        <v/>
      </c>
      <c r="T1443" s="13">
        <f>IFERROR((ABS(N1443-O1443)/MAX(1,(N1443+O1443)))*EXP(-ABS(E1443-CONTROL!E5)/MAX(1,CONTROL!B8)),"")</f>
        <v/>
      </c>
      <c r="U1443" s="13">
        <f>IFERROR(IF(O1443&gt;N1443,"SUPPORT (PE OI)","RESIST (CE OI)"),"")</f>
        <v/>
      </c>
      <c r="V1443" s="13">
        <f>IFERROR(IF(Q1443&gt;0,IF(R1443&gt;0,"BOTH_ADD","CE_ADD_PE_REDUCE"),IF(R1443&gt;0,"CE_REDUCE_PE_ADD","BOTH_REDUCE")),"")</f>
        <v/>
      </c>
      <c r="W1443" s="13">
        <f>IFERROR( (P1443-1)*0.5 + (M1443)*0.1 - (I1443+J1443)*0.05 + T1443*0.4 ,"")</f>
        <v/>
      </c>
      <c r="X1443" s="13">
        <f>IFERROR(IF(ABS(F1443)&lt;0.01,"ATM/NEAR",""),"")</f>
        <v/>
      </c>
    </row>
    <row r="1444">
      <c r="A1444" s="13">
        <f>CHAIN_RAW!A1444</f>
        <v/>
      </c>
      <c r="B1444" s="14">
        <f>CHAIN_RAW!B1444</f>
        <v/>
      </c>
      <c r="C1444" s="13">
        <f>CHAIN_RAW!C1444</f>
        <v/>
      </c>
      <c r="D1444" s="13">
        <f>CHAIN_RAW!D1444</f>
        <v/>
      </c>
      <c r="E1444" s="13">
        <f>CHAIN_RAW!E1444</f>
        <v/>
      </c>
      <c r="F1444" s="13">
        <f>IFERROR((E1444-D1444)/D1444,"")</f>
        <v/>
      </c>
      <c r="G1444" s="13">
        <f>IFERROR((CHAIN_RAW!K1444+CHAIN_RAW!L1444)/2,"")</f>
        <v/>
      </c>
      <c r="H1444" s="13">
        <f>IFERROR((CHAIN_RAW!R1444+CHAIN_RAW!S1444)/2,"")</f>
        <v/>
      </c>
      <c r="I1444" s="13">
        <f>IFERROR((CHAIN_RAW!L1444-CHAIN_RAW!K1444)/MAX(1E-9, G1444),"")</f>
        <v/>
      </c>
      <c r="J1444" s="13">
        <f>IFERROR((CHAIN_RAW!S1444-CHAIN_RAW!R1444)/MAX(1E-9, H1444),"")</f>
        <v/>
      </c>
      <c r="K1444" s="13">
        <f>CHAIN_RAW!G1444</f>
        <v/>
      </c>
      <c r="L1444" s="13">
        <f>CHAIN_RAW!N1444</f>
        <v/>
      </c>
      <c r="M1444" s="13">
        <f>IFERROR(L1444-K1444,"")</f>
        <v/>
      </c>
      <c r="N1444" s="13">
        <f>CHAIN_RAW!H1444</f>
        <v/>
      </c>
      <c r="O1444" s="13">
        <f>CHAIN_RAW!O1444</f>
        <v/>
      </c>
      <c r="P1444" s="13">
        <f>IFERROR(O1444/N1444,"")</f>
        <v/>
      </c>
      <c r="Q1444" s="13">
        <f>CHAIN_RAW!I1444</f>
        <v/>
      </c>
      <c r="R1444" s="13">
        <f>CHAIN_RAW!P1444</f>
        <v/>
      </c>
      <c r="S1444" s="13">
        <f>IFERROR(R1444/Q1444,"")</f>
        <v/>
      </c>
      <c r="T1444" s="13">
        <f>IFERROR((ABS(N1444-O1444)/MAX(1,(N1444+O1444)))*EXP(-ABS(E1444-CONTROL!E5)/MAX(1,CONTROL!B8)),"")</f>
        <v/>
      </c>
      <c r="U1444" s="13">
        <f>IFERROR(IF(O1444&gt;N1444,"SUPPORT (PE OI)","RESIST (CE OI)"),"")</f>
        <v/>
      </c>
      <c r="V1444" s="13">
        <f>IFERROR(IF(Q1444&gt;0,IF(R1444&gt;0,"BOTH_ADD","CE_ADD_PE_REDUCE"),IF(R1444&gt;0,"CE_REDUCE_PE_ADD","BOTH_REDUCE")),"")</f>
        <v/>
      </c>
      <c r="W1444" s="13">
        <f>IFERROR( (P1444-1)*0.5 + (M1444)*0.1 - (I1444+J1444)*0.05 + T1444*0.4 ,"")</f>
        <v/>
      </c>
      <c r="X1444" s="13">
        <f>IFERROR(IF(ABS(F1444)&lt;0.01,"ATM/NEAR",""),"")</f>
        <v/>
      </c>
    </row>
    <row r="1445">
      <c r="A1445" s="13">
        <f>CHAIN_RAW!A1445</f>
        <v/>
      </c>
      <c r="B1445" s="14">
        <f>CHAIN_RAW!B1445</f>
        <v/>
      </c>
      <c r="C1445" s="13">
        <f>CHAIN_RAW!C1445</f>
        <v/>
      </c>
      <c r="D1445" s="13">
        <f>CHAIN_RAW!D1445</f>
        <v/>
      </c>
      <c r="E1445" s="13">
        <f>CHAIN_RAW!E1445</f>
        <v/>
      </c>
      <c r="F1445" s="13">
        <f>IFERROR((E1445-D1445)/D1445,"")</f>
        <v/>
      </c>
      <c r="G1445" s="13">
        <f>IFERROR((CHAIN_RAW!K1445+CHAIN_RAW!L1445)/2,"")</f>
        <v/>
      </c>
      <c r="H1445" s="13">
        <f>IFERROR((CHAIN_RAW!R1445+CHAIN_RAW!S1445)/2,"")</f>
        <v/>
      </c>
      <c r="I1445" s="13">
        <f>IFERROR((CHAIN_RAW!L1445-CHAIN_RAW!K1445)/MAX(1E-9, G1445),"")</f>
        <v/>
      </c>
      <c r="J1445" s="13">
        <f>IFERROR((CHAIN_RAW!S1445-CHAIN_RAW!R1445)/MAX(1E-9, H1445),"")</f>
        <v/>
      </c>
      <c r="K1445" s="13">
        <f>CHAIN_RAW!G1445</f>
        <v/>
      </c>
      <c r="L1445" s="13">
        <f>CHAIN_RAW!N1445</f>
        <v/>
      </c>
      <c r="M1445" s="13">
        <f>IFERROR(L1445-K1445,"")</f>
        <v/>
      </c>
      <c r="N1445" s="13">
        <f>CHAIN_RAW!H1445</f>
        <v/>
      </c>
      <c r="O1445" s="13">
        <f>CHAIN_RAW!O1445</f>
        <v/>
      </c>
      <c r="P1445" s="13">
        <f>IFERROR(O1445/N1445,"")</f>
        <v/>
      </c>
      <c r="Q1445" s="13">
        <f>CHAIN_RAW!I1445</f>
        <v/>
      </c>
      <c r="R1445" s="13">
        <f>CHAIN_RAW!P1445</f>
        <v/>
      </c>
      <c r="S1445" s="13">
        <f>IFERROR(R1445/Q1445,"")</f>
        <v/>
      </c>
      <c r="T1445" s="13">
        <f>IFERROR((ABS(N1445-O1445)/MAX(1,(N1445+O1445)))*EXP(-ABS(E1445-CONTROL!E5)/MAX(1,CONTROL!B8)),"")</f>
        <v/>
      </c>
      <c r="U1445" s="13">
        <f>IFERROR(IF(O1445&gt;N1445,"SUPPORT (PE OI)","RESIST (CE OI)"),"")</f>
        <v/>
      </c>
      <c r="V1445" s="13">
        <f>IFERROR(IF(Q1445&gt;0,IF(R1445&gt;0,"BOTH_ADD","CE_ADD_PE_REDUCE"),IF(R1445&gt;0,"CE_REDUCE_PE_ADD","BOTH_REDUCE")),"")</f>
        <v/>
      </c>
      <c r="W1445" s="13">
        <f>IFERROR( (P1445-1)*0.5 + (M1445)*0.1 - (I1445+J1445)*0.05 + T1445*0.4 ,"")</f>
        <v/>
      </c>
      <c r="X1445" s="13">
        <f>IFERROR(IF(ABS(F1445)&lt;0.01,"ATM/NEAR",""),"")</f>
        <v/>
      </c>
    </row>
    <row r="1446">
      <c r="A1446" s="13">
        <f>CHAIN_RAW!A1446</f>
        <v/>
      </c>
      <c r="B1446" s="14">
        <f>CHAIN_RAW!B1446</f>
        <v/>
      </c>
      <c r="C1446" s="13">
        <f>CHAIN_RAW!C1446</f>
        <v/>
      </c>
      <c r="D1446" s="13">
        <f>CHAIN_RAW!D1446</f>
        <v/>
      </c>
      <c r="E1446" s="13">
        <f>CHAIN_RAW!E1446</f>
        <v/>
      </c>
      <c r="F1446" s="13">
        <f>IFERROR((E1446-D1446)/D1446,"")</f>
        <v/>
      </c>
      <c r="G1446" s="13">
        <f>IFERROR((CHAIN_RAW!K1446+CHAIN_RAW!L1446)/2,"")</f>
        <v/>
      </c>
      <c r="H1446" s="13">
        <f>IFERROR((CHAIN_RAW!R1446+CHAIN_RAW!S1446)/2,"")</f>
        <v/>
      </c>
      <c r="I1446" s="13">
        <f>IFERROR((CHAIN_RAW!L1446-CHAIN_RAW!K1446)/MAX(1E-9, G1446),"")</f>
        <v/>
      </c>
      <c r="J1446" s="13">
        <f>IFERROR((CHAIN_RAW!S1446-CHAIN_RAW!R1446)/MAX(1E-9, H1446),"")</f>
        <v/>
      </c>
      <c r="K1446" s="13">
        <f>CHAIN_RAW!G1446</f>
        <v/>
      </c>
      <c r="L1446" s="13">
        <f>CHAIN_RAW!N1446</f>
        <v/>
      </c>
      <c r="M1446" s="13">
        <f>IFERROR(L1446-K1446,"")</f>
        <v/>
      </c>
      <c r="N1446" s="13">
        <f>CHAIN_RAW!H1446</f>
        <v/>
      </c>
      <c r="O1446" s="13">
        <f>CHAIN_RAW!O1446</f>
        <v/>
      </c>
      <c r="P1446" s="13">
        <f>IFERROR(O1446/N1446,"")</f>
        <v/>
      </c>
      <c r="Q1446" s="13">
        <f>CHAIN_RAW!I1446</f>
        <v/>
      </c>
      <c r="R1446" s="13">
        <f>CHAIN_RAW!P1446</f>
        <v/>
      </c>
      <c r="S1446" s="13">
        <f>IFERROR(R1446/Q1446,"")</f>
        <v/>
      </c>
      <c r="T1446" s="13">
        <f>IFERROR((ABS(N1446-O1446)/MAX(1,(N1446+O1446)))*EXP(-ABS(E1446-CONTROL!E5)/MAX(1,CONTROL!B8)),"")</f>
        <v/>
      </c>
      <c r="U1446" s="13">
        <f>IFERROR(IF(O1446&gt;N1446,"SUPPORT (PE OI)","RESIST (CE OI)"),"")</f>
        <v/>
      </c>
      <c r="V1446" s="13">
        <f>IFERROR(IF(Q1446&gt;0,IF(R1446&gt;0,"BOTH_ADD","CE_ADD_PE_REDUCE"),IF(R1446&gt;0,"CE_REDUCE_PE_ADD","BOTH_REDUCE")),"")</f>
        <v/>
      </c>
      <c r="W1446" s="13">
        <f>IFERROR( (P1446-1)*0.5 + (M1446)*0.1 - (I1446+J1446)*0.05 + T1446*0.4 ,"")</f>
        <v/>
      </c>
      <c r="X1446" s="13">
        <f>IFERROR(IF(ABS(F1446)&lt;0.01,"ATM/NEAR",""),"")</f>
        <v/>
      </c>
    </row>
    <row r="1447">
      <c r="A1447" s="13">
        <f>CHAIN_RAW!A1447</f>
        <v/>
      </c>
      <c r="B1447" s="14">
        <f>CHAIN_RAW!B1447</f>
        <v/>
      </c>
      <c r="C1447" s="13">
        <f>CHAIN_RAW!C1447</f>
        <v/>
      </c>
      <c r="D1447" s="13">
        <f>CHAIN_RAW!D1447</f>
        <v/>
      </c>
      <c r="E1447" s="13">
        <f>CHAIN_RAW!E1447</f>
        <v/>
      </c>
      <c r="F1447" s="13">
        <f>IFERROR((E1447-D1447)/D1447,"")</f>
        <v/>
      </c>
      <c r="G1447" s="13">
        <f>IFERROR((CHAIN_RAW!K1447+CHAIN_RAW!L1447)/2,"")</f>
        <v/>
      </c>
      <c r="H1447" s="13">
        <f>IFERROR((CHAIN_RAW!R1447+CHAIN_RAW!S1447)/2,"")</f>
        <v/>
      </c>
      <c r="I1447" s="13">
        <f>IFERROR((CHAIN_RAW!L1447-CHAIN_RAW!K1447)/MAX(1E-9, G1447),"")</f>
        <v/>
      </c>
      <c r="J1447" s="13">
        <f>IFERROR((CHAIN_RAW!S1447-CHAIN_RAW!R1447)/MAX(1E-9, H1447),"")</f>
        <v/>
      </c>
      <c r="K1447" s="13">
        <f>CHAIN_RAW!G1447</f>
        <v/>
      </c>
      <c r="L1447" s="13">
        <f>CHAIN_RAW!N1447</f>
        <v/>
      </c>
      <c r="M1447" s="13">
        <f>IFERROR(L1447-K1447,"")</f>
        <v/>
      </c>
      <c r="N1447" s="13">
        <f>CHAIN_RAW!H1447</f>
        <v/>
      </c>
      <c r="O1447" s="13">
        <f>CHAIN_RAW!O1447</f>
        <v/>
      </c>
      <c r="P1447" s="13">
        <f>IFERROR(O1447/N1447,"")</f>
        <v/>
      </c>
      <c r="Q1447" s="13">
        <f>CHAIN_RAW!I1447</f>
        <v/>
      </c>
      <c r="R1447" s="13">
        <f>CHAIN_RAW!P1447</f>
        <v/>
      </c>
      <c r="S1447" s="13">
        <f>IFERROR(R1447/Q1447,"")</f>
        <v/>
      </c>
      <c r="T1447" s="13">
        <f>IFERROR((ABS(N1447-O1447)/MAX(1,(N1447+O1447)))*EXP(-ABS(E1447-CONTROL!E5)/MAX(1,CONTROL!B8)),"")</f>
        <v/>
      </c>
      <c r="U1447" s="13">
        <f>IFERROR(IF(O1447&gt;N1447,"SUPPORT (PE OI)","RESIST (CE OI)"),"")</f>
        <v/>
      </c>
      <c r="V1447" s="13">
        <f>IFERROR(IF(Q1447&gt;0,IF(R1447&gt;0,"BOTH_ADD","CE_ADD_PE_REDUCE"),IF(R1447&gt;0,"CE_REDUCE_PE_ADD","BOTH_REDUCE")),"")</f>
        <v/>
      </c>
      <c r="W1447" s="13">
        <f>IFERROR( (P1447-1)*0.5 + (M1447)*0.1 - (I1447+J1447)*0.05 + T1447*0.4 ,"")</f>
        <v/>
      </c>
      <c r="X1447" s="13">
        <f>IFERROR(IF(ABS(F1447)&lt;0.01,"ATM/NEAR",""),"")</f>
        <v/>
      </c>
    </row>
    <row r="1448">
      <c r="A1448" s="13">
        <f>CHAIN_RAW!A1448</f>
        <v/>
      </c>
      <c r="B1448" s="14">
        <f>CHAIN_RAW!B1448</f>
        <v/>
      </c>
      <c r="C1448" s="13">
        <f>CHAIN_RAW!C1448</f>
        <v/>
      </c>
      <c r="D1448" s="13">
        <f>CHAIN_RAW!D1448</f>
        <v/>
      </c>
      <c r="E1448" s="13">
        <f>CHAIN_RAW!E1448</f>
        <v/>
      </c>
      <c r="F1448" s="13">
        <f>IFERROR((E1448-D1448)/D1448,"")</f>
        <v/>
      </c>
      <c r="G1448" s="13">
        <f>IFERROR((CHAIN_RAW!K1448+CHAIN_RAW!L1448)/2,"")</f>
        <v/>
      </c>
      <c r="H1448" s="13">
        <f>IFERROR((CHAIN_RAW!R1448+CHAIN_RAW!S1448)/2,"")</f>
        <v/>
      </c>
      <c r="I1448" s="13">
        <f>IFERROR((CHAIN_RAW!L1448-CHAIN_RAW!K1448)/MAX(1E-9, G1448),"")</f>
        <v/>
      </c>
      <c r="J1448" s="13">
        <f>IFERROR((CHAIN_RAW!S1448-CHAIN_RAW!R1448)/MAX(1E-9, H1448),"")</f>
        <v/>
      </c>
      <c r="K1448" s="13">
        <f>CHAIN_RAW!G1448</f>
        <v/>
      </c>
      <c r="L1448" s="13">
        <f>CHAIN_RAW!N1448</f>
        <v/>
      </c>
      <c r="M1448" s="13">
        <f>IFERROR(L1448-K1448,"")</f>
        <v/>
      </c>
      <c r="N1448" s="13">
        <f>CHAIN_RAW!H1448</f>
        <v/>
      </c>
      <c r="O1448" s="13">
        <f>CHAIN_RAW!O1448</f>
        <v/>
      </c>
      <c r="P1448" s="13">
        <f>IFERROR(O1448/N1448,"")</f>
        <v/>
      </c>
      <c r="Q1448" s="13">
        <f>CHAIN_RAW!I1448</f>
        <v/>
      </c>
      <c r="R1448" s="13">
        <f>CHAIN_RAW!P1448</f>
        <v/>
      </c>
      <c r="S1448" s="13">
        <f>IFERROR(R1448/Q1448,"")</f>
        <v/>
      </c>
      <c r="T1448" s="13">
        <f>IFERROR((ABS(N1448-O1448)/MAX(1,(N1448+O1448)))*EXP(-ABS(E1448-CONTROL!E5)/MAX(1,CONTROL!B8)),"")</f>
        <v/>
      </c>
      <c r="U1448" s="13">
        <f>IFERROR(IF(O1448&gt;N1448,"SUPPORT (PE OI)","RESIST (CE OI)"),"")</f>
        <v/>
      </c>
      <c r="V1448" s="13">
        <f>IFERROR(IF(Q1448&gt;0,IF(R1448&gt;0,"BOTH_ADD","CE_ADD_PE_REDUCE"),IF(R1448&gt;0,"CE_REDUCE_PE_ADD","BOTH_REDUCE")),"")</f>
        <v/>
      </c>
      <c r="W1448" s="13">
        <f>IFERROR( (P1448-1)*0.5 + (M1448)*0.1 - (I1448+J1448)*0.05 + T1448*0.4 ,"")</f>
        <v/>
      </c>
      <c r="X1448" s="13">
        <f>IFERROR(IF(ABS(F1448)&lt;0.01,"ATM/NEAR",""),"")</f>
        <v/>
      </c>
    </row>
    <row r="1449">
      <c r="A1449" s="13">
        <f>CHAIN_RAW!A1449</f>
        <v/>
      </c>
      <c r="B1449" s="14">
        <f>CHAIN_RAW!B1449</f>
        <v/>
      </c>
      <c r="C1449" s="13">
        <f>CHAIN_RAW!C1449</f>
        <v/>
      </c>
      <c r="D1449" s="13">
        <f>CHAIN_RAW!D1449</f>
        <v/>
      </c>
      <c r="E1449" s="13">
        <f>CHAIN_RAW!E1449</f>
        <v/>
      </c>
      <c r="F1449" s="13">
        <f>IFERROR((E1449-D1449)/D1449,"")</f>
        <v/>
      </c>
      <c r="G1449" s="13">
        <f>IFERROR((CHAIN_RAW!K1449+CHAIN_RAW!L1449)/2,"")</f>
        <v/>
      </c>
      <c r="H1449" s="13">
        <f>IFERROR((CHAIN_RAW!R1449+CHAIN_RAW!S1449)/2,"")</f>
        <v/>
      </c>
      <c r="I1449" s="13">
        <f>IFERROR((CHAIN_RAW!L1449-CHAIN_RAW!K1449)/MAX(1E-9, G1449),"")</f>
        <v/>
      </c>
      <c r="J1449" s="13">
        <f>IFERROR((CHAIN_RAW!S1449-CHAIN_RAW!R1449)/MAX(1E-9, H1449),"")</f>
        <v/>
      </c>
      <c r="K1449" s="13">
        <f>CHAIN_RAW!G1449</f>
        <v/>
      </c>
      <c r="L1449" s="13">
        <f>CHAIN_RAW!N1449</f>
        <v/>
      </c>
      <c r="M1449" s="13">
        <f>IFERROR(L1449-K1449,"")</f>
        <v/>
      </c>
      <c r="N1449" s="13">
        <f>CHAIN_RAW!H1449</f>
        <v/>
      </c>
      <c r="O1449" s="13">
        <f>CHAIN_RAW!O1449</f>
        <v/>
      </c>
      <c r="P1449" s="13">
        <f>IFERROR(O1449/N1449,"")</f>
        <v/>
      </c>
      <c r="Q1449" s="13">
        <f>CHAIN_RAW!I1449</f>
        <v/>
      </c>
      <c r="R1449" s="13">
        <f>CHAIN_RAW!P1449</f>
        <v/>
      </c>
      <c r="S1449" s="13">
        <f>IFERROR(R1449/Q1449,"")</f>
        <v/>
      </c>
      <c r="T1449" s="13">
        <f>IFERROR((ABS(N1449-O1449)/MAX(1,(N1449+O1449)))*EXP(-ABS(E1449-CONTROL!E5)/MAX(1,CONTROL!B8)),"")</f>
        <v/>
      </c>
      <c r="U1449" s="13">
        <f>IFERROR(IF(O1449&gt;N1449,"SUPPORT (PE OI)","RESIST (CE OI)"),"")</f>
        <v/>
      </c>
      <c r="V1449" s="13">
        <f>IFERROR(IF(Q1449&gt;0,IF(R1449&gt;0,"BOTH_ADD","CE_ADD_PE_REDUCE"),IF(R1449&gt;0,"CE_REDUCE_PE_ADD","BOTH_REDUCE")),"")</f>
        <v/>
      </c>
      <c r="W1449" s="13">
        <f>IFERROR( (P1449-1)*0.5 + (M1449)*0.1 - (I1449+J1449)*0.05 + T1449*0.4 ,"")</f>
        <v/>
      </c>
      <c r="X1449" s="13">
        <f>IFERROR(IF(ABS(F1449)&lt;0.01,"ATM/NEAR",""),"")</f>
        <v/>
      </c>
    </row>
    <row r="1450">
      <c r="A1450" s="13">
        <f>CHAIN_RAW!A1450</f>
        <v/>
      </c>
      <c r="B1450" s="14">
        <f>CHAIN_RAW!B1450</f>
        <v/>
      </c>
      <c r="C1450" s="13">
        <f>CHAIN_RAW!C1450</f>
        <v/>
      </c>
      <c r="D1450" s="13">
        <f>CHAIN_RAW!D1450</f>
        <v/>
      </c>
      <c r="E1450" s="13">
        <f>CHAIN_RAW!E1450</f>
        <v/>
      </c>
      <c r="F1450" s="13">
        <f>IFERROR((E1450-D1450)/D1450,"")</f>
        <v/>
      </c>
      <c r="G1450" s="13">
        <f>IFERROR((CHAIN_RAW!K1450+CHAIN_RAW!L1450)/2,"")</f>
        <v/>
      </c>
      <c r="H1450" s="13">
        <f>IFERROR((CHAIN_RAW!R1450+CHAIN_RAW!S1450)/2,"")</f>
        <v/>
      </c>
      <c r="I1450" s="13">
        <f>IFERROR((CHAIN_RAW!L1450-CHAIN_RAW!K1450)/MAX(1E-9, G1450),"")</f>
        <v/>
      </c>
      <c r="J1450" s="13">
        <f>IFERROR((CHAIN_RAW!S1450-CHAIN_RAW!R1450)/MAX(1E-9, H1450),"")</f>
        <v/>
      </c>
      <c r="K1450" s="13">
        <f>CHAIN_RAW!G1450</f>
        <v/>
      </c>
      <c r="L1450" s="13">
        <f>CHAIN_RAW!N1450</f>
        <v/>
      </c>
      <c r="M1450" s="13">
        <f>IFERROR(L1450-K1450,"")</f>
        <v/>
      </c>
      <c r="N1450" s="13">
        <f>CHAIN_RAW!H1450</f>
        <v/>
      </c>
      <c r="O1450" s="13">
        <f>CHAIN_RAW!O1450</f>
        <v/>
      </c>
      <c r="P1450" s="13">
        <f>IFERROR(O1450/N1450,"")</f>
        <v/>
      </c>
      <c r="Q1450" s="13">
        <f>CHAIN_RAW!I1450</f>
        <v/>
      </c>
      <c r="R1450" s="13">
        <f>CHAIN_RAW!P1450</f>
        <v/>
      </c>
      <c r="S1450" s="13">
        <f>IFERROR(R1450/Q1450,"")</f>
        <v/>
      </c>
      <c r="T1450" s="13">
        <f>IFERROR((ABS(N1450-O1450)/MAX(1,(N1450+O1450)))*EXP(-ABS(E1450-CONTROL!E5)/MAX(1,CONTROL!B8)),"")</f>
        <v/>
      </c>
      <c r="U1450" s="13">
        <f>IFERROR(IF(O1450&gt;N1450,"SUPPORT (PE OI)","RESIST (CE OI)"),"")</f>
        <v/>
      </c>
      <c r="V1450" s="13">
        <f>IFERROR(IF(Q1450&gt;0,IF(R1450&gt;0,"BOTH_ADD","CE_ADD_PE_REDUCE"),IF(R1450&gt;0,"CE_REDUCE_PE_ADD","BOTH_REDUCE")),"")</f>
        <v/>
      </c>
      <c r="W1450" s="13">
        <f>IFERROR( (P1450-1)*0.5 + (M1450)*0.1 - (I1450+J1450)*0.05 + T1450*0.4 ,"")</f>
        <v/>
      </c>
      <c r="X1450" s="13">
        <f>IFERROR(IF(ABS(F1450)&lt;0.01,"ATM/NEAR",""),"")</f>
        <v/>
      </c>
    </row>
    <row r="1451">
      <c r="A1451" s="13">
        <f>CHAIN_RAW!A1451</f>
        <v/>
      </c>
      <c r="B1451" s="14">
        <f>CHAIN_RAW!B1451</f>
        <v/>
      </c>
      <c r="C1451" s="13">
        <f>CHAIN_RAW!C1451</f>
        <v/>
      </c>
      <c r="D1451" s="13">
        <f>CHAIN_RAW!D1451</f>
        <v/>
      </c>
      <c r="E1451" s="13">
        <f>CHAIN_RAW!E1451</f>
        <v/>
      </c>
      <c r="F1451" s="13">
        <f>IFERROR((E1451-D1451)/D1451,"")</f>
        <v/>
      </c>
      <c r="G1451" s="13">
        <f>IFERROR((CHAIN_RAW!K1451+CHAIN_RAW!L1451)/2,"")</f>
        <v/>
      </c>
      <c r="H1451" s="13">
        <f>IFERROR((CHAIN_RAW!R1451+CHAIN_RAW!S1451)/2,"")</f>
        <v/>
      </c>
      <c r="I1451" s="13">
        <f>IFERROR((CHAIN_RAW!L1451-CHAIN_RAW!K1451)/MAX(1E-9, G1451),"")</f>
        <v/>
      </c>
      <c r="J1451" s="13">
        <f>IFERROR((CHAIN_RAW!S1451-CHAIN_RAW!R1451)/MAX(1E-9, H1451),"")</f>
        <v/>
      </c>
      <c r="K1451" s="13">
        <f>CHAIN_RAW!G1451</f>
        <v/>
      </c>
      <c r="L1451" s="13">
        <f>CHAIN_RAW!N1451</f>
        <v/>
      </c>
      <c r="M1451" s="13">
        <f>IFERROR(L1451-K1451,"")</f>
        <v/>
      </c>
      <c r="N1451" s="13">
        <f>CHAIN_RAW!H1451</f>
        <v/>
      </c>
      <c r="O1451" s="13">
        <f>CHAIN_RAW!O1451</f>
        <v/>
      </c>
      <c r="P1451" s="13">
        <f>IFERROR(O1451/N1451,"")</f>
        <v/>
      </c>
      <c r="Q1451" s="13">
        <f>CHAIN_RAW!I1451</f>
        <v/>
      </c>
      <c r="R1451" s="13">
        <f>CHAIN_RAW!P1451</f>
        <v/>
      </c>
      <c r="S1451" s="13">
        <f>IFERROR(R1451/Q1451,"")</f>
        <v/>
      </c>
      <c r="T1451" s="13">
        <f>IFERROR((ABS(N1451-O1451)/MAX(1,(N1451+O1451)))*EXP(-ABS(E1451-CONTROL!E5)/MAX(1,CONTROL!B8)),"")</f>
        <v/>
      </c>
      <c r="U1451" s="13">
        <f>IFERROR(IF(O1451&gt;N1451,"SUPPORT (PE OI)","RESIST (CE OI)"),"")</f>
        <v/>
      </c>
      <c r="V1451" s="13">
        <f>IFERROR(IF(Q1451&gt;0,IF(R1451&gt;0,"BOTH_ADD","CE_ADD_PE_REDUCE"),IF(R1451&gt;0,"CE_REDUCE_PE_ADD","BOTH_REDUCE")),"")</f>
        <v/>
      </c>
      <c r="W1451" s="13">
        <f>IFERROR( (P1451-1)*0.5 + (M1451)*0.1 - (I1451+J1451)*0.05 + T1451*0.4 ,"")</f>
        <v/>
      </c>
      <c r="X1451" s="13">
        <f>IFERROR(IF(ABS(F1451)&lt;0.01,"ATM/NEAR",""),"")</f>
        <v/>
      </c>
    </row>
    <row r="1452">
      <c r="A1452" s="13">
        <f>CHAIN_RAW!A1452</f>
        <v/>
      </c>
      <c r="B1452" s="14">
        <f>CHAIN_RAW!B1452</f>
        <v/>
      </c>
      <c r="C1452" s="13">
        <f>CHAIN_RAW!C1452</f>
        <v/>
      </c>
      <c r="D1452" s="13">
        <f>CHAIN_RAW!D1452</f>
        <v/>
      </c>
      <c r="E1452" s="13">
        <f>CHAIN_RAW!E1452</f>
        <v/>
      </c>
      <c r="F1452" s="13">
        <f>IFERROR((E1452-D1452)/D1452,"")</f>
        <v/>
      </c>
      <c r="G1452" s="13">
        <f>IFERROR((CHAIN_RAW!K1452+CHAIN_RAW!L1452)/2,"")</f>
        <v/>
      </c>
      <c r="H1452" s="13">
        <f>IFERROR((CHAIN_RAW!R1452+CHAIN_RAW!S1452)/2,"")</f>
        <v/>
      </c>
      <c r="I1452" s="13">
        <f>IFERROR((CHAIN_RAW!L1452-CHAIN_RAW!K1452)/MAX(1E-9, G1452),"")</f>
        <v/>
      </c>
      <c r="J1452" s="13">
        <f>IFERROR((CHAIN_RAW!S1452-CHAIN_RAW!R1452)/MAX(1E-9, H1452),"")</f>
        <v/>
      </c>
      <c r="K1452" s="13">
        <f>CHAIN_RAW!G1452</f>
        <v/>
      </c>
      <c r="L1452" s="13">
        <f>CHAIN_RAW!N1452</f>
        <v/>
      </c>
      <c r="M1452" s="13">
        <f>IFERROR(L1452-K1452,"")</f>
        <v/>
      </c>
      <c r="N1452" s="13">
        <f>CHAIN_RAW!H1452</f>
        <v/>
      </c>
      <c r="O1452" s="13">
        <f>CHAIN_RAW!O1452</f>
        <v/>
      </c>
      <c r="P1452" s="13">
        <f>IFERROR(O1452/N1452,"")</f>
        <v/>
      </c>
      <c r="Q1452" s="13">
        <f>CHAIN_RAW!I1452</f>
        <v/>
      </c>
      <c r="R1452" s="13">
        <f>CHAIN_RAW!P1452</f>
        <v/>
      </c>
      <c r="S1452" s="13">
        <f>IFERROR(R1452/Q1452,"")</f>
        <v/>
      </c>
      <c r="T1452" s="13">
        <f>IFERROR((ABS(N1452-O1452)/MAX(1,(N1452+O1452)))*EXP(-ABS(E1452-CONTROL!E5)/MAX(1,CONTROL!B8)),"")</f>
        <v/>
      </c>
      <c r="U1452" s="13">
        <f>IFERROR(IF(O1452&gt;N1452,"SUPPORT (PE OI)","RESIST (CE OI)"),"")</f>
        <v/>
      </c>
      <c r="V1452" s="13">
        <f>IFERROR(IF(Q1452&gt;0,IF(R1452&gt;0,"BOTH_ADD","CE_ADD_PE_REDUCE"),IF(R1452&gt;0,"CE_REDUCE_PE_ADD","BOTH_REDUCE")),"")</f>
        <v/>
      </c>
      <c r="W1452" s="13">
        <f>IFERROR( (P1452-1)*0.5 + (M1452)*0.1 - (I1452+J1452)*0.05 + T1452*0.4 ,"")</f>
        <v/>
      </c>
      <c r="X1452" s="13">
        <f>IFERROR(IF(ABS(F1452)&lt;0.01,"ATM/NEAR",""),"")</f>
        <v/>
      </c>
    </row>
    <row r="1453">
      <c r="A1453" s="13">
        <f>CHAIN_RAW!A1453</f>
        <v/>
      </c>
      <c r="B1453" s="14">
        <f>CHAIN_RAW!B1453</f>
        <v/>
      </c>
      <c r="C1453" s="13">
        <f>CHAIN_RAW!C1453</f>
        <v/>
      </c>
      <c r="D1453" s="13">
        <f>CHAIN_RAW!D1453</f>
        <v/>
      </c>
      <c r="E1453" s="13">
        <f>CHAIN_RAW!E1453</f>
        <v/>
      </c>
      <c r="F1453" s="13">
        <f>IFERROR((E1453-D1453)/D1453,"")</f>
        <v/>
      </c>
      <c r="G1453" s="13">
        <f>IFERROR((CHAIN_RAW!K1453+CHAIN_RAW!L1453)/2,"")</f>
        <v/>
      </c>
      <c r="H1453" s="13">
        <f>IFERROR((CHAIN_RAW!R1453+CHAIN_RAW!S1453)/2,"")</f>
        <v/>
      </c>
      <c r="I1453" s="13">
        <f>IFERROR((CHAIN_RAW!L1453-CHAIN_RAW!K1453)/MAX(1E-9, G1453),"")</f>
        <v/>
      </c>
      <c r="J1453" s="13">
        <f>IFERROR((CHAIN_RAW!S1453-CHAIN_RAW!R1453)/MAX(1E-9, H1453),"")</f>
        <v/>
      </c>
      <c r="K1453" s="13">
        <f>CHAIN_RAW!G1453</f>
        <v/>
      </c>
      <c r="L1453" s="13">
        <f>CHAIN_RAW!N1453</f>
        <v/>
      </c>
      <c r="M1453" s="13">
        <f>IFERROR(L1453-K1453,"")</f>
        <v/>
      </c>
      <c r="N1453" s="13">
        <f>CHAIN_RAW!H1453</f>
        <v/>
      </c>
      <c r="O1453" s="13">
        <f>CHAIN_RAW!O1453</f>
        <v/>
      </c>
      <c r="P1453" s="13">
        <f>IFERROR(O1453/N1453,"")</f>
        <v/>
      </c>
      <c r="Q1453" s="13">
        <f>CHAIN_RAW!I1453</f>
        <v/>
      </c>
      <c r="R1453" s="13">
        <f>CHAIN_RAW!P1453</f>
        <v/>
      </c>
      <c r="S1453" s="13">
        <f>IFERROR(R1453/Q1453,"")</f>
        <v/>
      </c>
      <c r="T1453" s="13">
        <f>IFERROR((ABS(N1453-O1453)/MAX(1,(N1453+O1453)))*EXP(-ABS(E1453-CONTROL!E5)/MAX(1,CONTROL!B8)),"")</f>
        <v/>
      </c>
      <c r="U1453" s="13">
        <f>IFERROR(IF(O1453&gt;N1453,"SUPPORT (PE OI)","RESIST (CE OI)"),"")</f>
        <v/>
      </c>
      <c r="V1453" s="13">
        <f>IFERROR(IF(Q1453&gt;0,IF(R1453&gt;0,"BOTH_ADD","CE_ADD_PE_REDUCE"),IF(R1453&gt;0,"CE_REDUCE_PE_ADD","BOTH_REDUCE")),"")</f>
        <v/>
      </c>
      <c r="W1453" s="13">
        <f>IFERROR( (P1453-1)*0.5 + (M1453)*0.1 - (I1453+J1453)*0.05 + T1453*0.4 ,"")</f>
        <v/>
      </c>
      <c r="X1453" s="13">
        <f>IFERROR(IF(ABS(F1453)&lt;0.01,"ATM/NEAR",""),"")</f>
        <v/>
      </c>
    </row>
    <row r="1454">
      <c r="A1454" s="13">
        <f>CHAIN_RAW!A1454</f>
        <v/>
      </c>
      <c r="B1454" s="14">
        <f>CHAIN_RAW!B1454</f>
        <v/>
      </c>
      <c r="C1454" s="13">
        <f>CHAIN_RAW!C1454</f>
        <v/>
      </c>
      <c r="D1454" s="13">
        <f>CHAIN_RAW!D1454</f>
        <v/>
      </c>
      <c r="E1454" s="13">
        <f>CHAIN_RAW!E1454</f>
        <v/>
      </c>
      <c r="F1454" s="13">
        <f>IFERROR((E1454-D1454)/D1454,"")</f>
        <v/>
      </c>
      <c r="G1454" s="13">
        <f>IFERROR((CHAIN_RAW!K1454+CHAIN_RAW!L1454)/2,"")</f>
        <v/>
      </c>
      <c r="H1454" s="13">
        <f>IFERROR((CHAIN_RAW!R1454+CHAIN_RAW!S1454)/2,"")</f>
        <v/>
      </c>
      <c r="I1454" s="13">
        <f>IFERROR((CHAIN_RAW!L1454-CHAIN_RAW!K1454)/MAX(1E-9, G1454),"")</f>
        <v/>
      </c>
      <c r="J1454" s="13">
        <f>IFERROR((CHAIN_RAW!S1454-CHAIN_RAW!R1454)/MAX(1E-9, H1454),"")</f>
        <v/>
      </c>
      <c r="K1454" s="13">
        <f>CHAIN_RAW!G1454</f>
        <v/>
      </c>
      <c r="L1454" s="13">
        <f>CHAIN_RAW!N1454</f>
        <v/>
      </c>
      <c r="M1454" s="13">
        <f>IFERROR(L1454-K1454,"")</f>
        <v/>
      </c>
      <c r="N1454" s="13">
        <f>CHAIN_RAW!H1454</f>
        <v/>
      </c>
      <c r="O1454" s="13">
        <f>CHAIN_RAW!O1454</f>
        <v/>
      </c>
      <c r="P1454" s="13">
        <f>IFERROR(O1454/N1454,"")</f>
        <v/>
      </c>
      <c r="Q1454" s="13">
        <f>CHAIN_RAW!I1454</f>
        <v/>
      </c>
      <c r="R1454" s="13">
        <f>CHAIN_RAW!P1454</f>
        <v/>
      </c>
      <c r="S1454" s="13">
        <f>IFERROR(R1454/Q1454,"")</f>
        <v/>
      </c>
      <c r="T1454" s="13">
        <f>IFERROR((ABS(N1454-O1454)/MAX(1,(N1454+O1454)))*EXP(-ABS(E1454-CONTROL!E5)/MAX(1,CONTROL!B8)),"")</f>
        <v/>
      </c>
      <c r="U1454" s="13">
        <f>IFERROR(IF(O1454&gt;N1454,"SUPPORT (PE OI)","RESIST (CE OI)"),"")</f>
        <v/>
      </c>
      <c r="V1454" s="13">
        <f>IFERROR(IF(Q1454&gt;0,IF(R1454&gt;0,"BOTH_ADD","CE_ADD_PE_REDUCE"),IF(R1454&gt;0,"CE_REDUCE_PE_ADD","BOTH_REDUCE")),"")</f>
        <v/>
      </c>
      <c r="W1454" s="13">
        <f>IFERROR( (P1454-1)*0.5 + (M1454)*0.1 - (I1454+J1454)*0.05 + T1454*0.4 ,"")</f>
        <v/>
      </c>
      <c r="X1454" s="13">
        <f>IFERROR(IF(ABS(F1454)&lt;0.01,"ATM/NEAR",""),"")</f>
        <v/>
      </c>
    </row>
    <row r="1455">
      <c r="A1455" s="13">
        <f>CHAIN_RAW!A1455</f>
        <v/>
      </c>
      <c r="B1455" s="14">
        <f>CHAIN_RAW!B1455</f>
        <v/>
      </c>
      <c r="C1455" s="13">
        <f>CHAIN_RAW!C1455</f>
        <v/>
      </c>
      <c r="D1455" s="13">
        <f>CHAIN_RAW!D1455</f>
        <v/>
      </c>
      <c r="E1455" s="13">
        <f>CHAIN_RAW!E1455</f>
        <v/>
      </c>
      <c r="F1455" s="13">
        <f>IFERROR((E1455-D1455)/D1455,"")</f>
        <v/>
      </c>
      <c r="G1455" s="13">
        <f>IFERROR((CHAIN_RAW!K1455+CHAIN_RAW!L1455)/2,"")</f>
        <v/>
      </c>
      <c r="H1455" s="13">
        <f>IFERROR((CHAIN_RAW!R1455+CHAIN_RAW!S1455)/2,"")</f>
        <v/>
      </c>
      <c r="I1455" s="13">
        <f>IFERROR((CHAIN_RAW!L1455-CHAIN_RAW!K1455)/MAX(1E-9, G1455),"")</f>
        <v/>
      </c>
      <c r="J1455" s="13">
        <f>IFERROR((CHAIN_RAW!S1455-CHAIN_RAW!R1455)/MAX(1E-9, H1455),"")</f>
        <v/>
      </c>
      <c r="K1455" s="13">
        <f>CHAIN_RAW!G1455</f>
        <v/>
      </c>
      <c r="L1455" s="13">
        <f>CHAIN_RAW!N1455</f>
        <v/>
      </c>
      <c r="M1455" s="13">
        <f>IFERROR(L1455-K1455,"")</f>
        <v/>
      </c>
      <c r="N1455" s="13">
        <f>CHAIN_RAW!H1455</f>
        <v/>
      </c>
      <c r="O1455" s="13">
        <f>CHAIN_RAW!O1455</f>
        <v/>
      </c>
      <c r="P1455" s="13">
        <f>IFERROR(O1455/N1455,"")</f>
        <v/>
      </c>
      <c r="Q1455" s="13">
        <f>CHAIN_RAW!I1455</f>
        <v/>
      </c>
      <c r="R1455" s="13">
        <f>CHAIN_RAW!P1455</f>
        <v/>
      </c>
      <c r="S1455" s="13">
        <f>IFERROR(R1455/Q1455,"")</f>
        <v/>
      </c>
      <c r="T1455" s="13">
        <f>IFERROR((ABS(N1455-O1455)/MAX(1,(N1455+O1455)))*EXP(-ABS(E1455-CONTROL!E5)/MAX(1,CONTROL!B8)),"")</f>
        <v/>
      </c>
      <c r="U1455" s="13">
        <f>IFERROR(IF(O1455&gt;N1455,"SUPPORT (PE OI)","RESIST (CE OI)"),"")</f>
        <v/>
      </c>
      <c r="V1455" s="13">
        <f>IFERROR(IF(Q1455&gt;0,IF(R1455&gt;0,"BOTH_ADD","CE_ADD_PE_REDUCE"),IF(R1455&gt;0,"CE_REDUCE_PE_ADD","BOTH_REDUCE")),"")</f>
        <v/>
      </c>
      <c r="W1455" s="13">
        <f>IFERROR( (P1455-1)*0.5 + (M1455)*0.1 - (I1455+J1455)*0.05 + T1455*0.4 ,"")</f>
        <v/>
      </c>
      <c r="X1455" s="13">
        <f>IFERROR(IF(ABS(F1455)&lt;0.01,"ATM/NEAR",""),"")</f>
        <v/>
      </c>
    </row>
    <row r="1456">
      <c r="A1456" s="13">
        <f>CHAIN_RAW!A1456</f>
        <v/>
      </c>
      <c r="B1456" s="14">
        <f>CHAIN_RAW!B1456</f>
        <v/>
      </c>
      <c r="C1456" s="13">
        <f>CHAIN_RAW!C1456</f>
        <v/>
      </c>
      <c r="D1456" s="13">
        <f>CHAIN_RAW!D1456</f>
        <v/>
      </c>
      <c r="E1456" s="13">
        <f>CHAIN_RAW!E1456</f>
        <v/>
      </c>
      <c r="F1456" s="13">
        <f>IFERROR((E1456-D1456)/D1456,"")</f>
        <v/>
      </c>
      <c r="G1456" s="13">
        <f>IFERROR((CHAIN_RAW!K1456+CHAIN_RAW!L1456)/2,"")</f>
        <v/>
      </c>
      <c r="H1456" s="13">
        <f>IFERROR((CHAIN_RAW!R1456+CHAIN_RAW!S1456)/2,"")</f>
        <v/>
      </c>
      <c r="I1456" s="13">
        <f>IFERROR((CHAIN_RAW!L1456-CHAIN_RAW!K1456)/MAX(1E-9, G1456),"")</f>
        <v/>
      </c>
      <c r="J1456" s="13">
        <f>IFERROR((CHAIN_RAW!S1456-CHAIN_RAW!R1456)/MAX(1E-9, H1456),"")</f>
        <v/>
      </c>
      <c r="K1456" s="13">
        <f>CHAIN_RAW!G1456</f>
        <v/>
      </c>
      <c r="L1456" s="13">
        <f>CHAIN_RAW!N1456</f>
        <v/>
      </c>
      <c r="M1456" s="13">
        <f>IFERROR(L1456-K1456,"")</f>
        <v/>
      </c>
      <c r="N1456" s="13">
        <f>CHAIN_RAW!H1456</f>
        <v/>
      </c>
      <c r="O1456" s="13">
        <f>CHAIN_RAW!O1456</f>
        <v/>
      </c>
      <c r="P1456" s="13">
        <f>IFERROR(O1456/N1456,"")</f>
        <v/>
      </c>
      <c r="Q1456" s="13">
        <f>CHAIN_RAW!I1456</f>
        <v/>
      </c>
      <c r="R1456" s="13">
        <f>CHAIN_RAW!P1456</f>
        <v/>
      </c>
      <c r="S1456" s="13">
        <f>IFERROR(R1456/Q1456,"")</f>
        <v/>
      </c>
      <c r="T1456" s="13">
        <f>IFERROR((ABS(N1456-O1456)/MAX(1,(N1456+O1456)))*EXP(-ABS(E1456-CONTROL!E5)/MAX(1,CONTROL!B8)),"")</f>
        <v/>
      </c>
      <c r="U1456" s="13">
        <f>IFERROR(IF(O1456&gt;N1456,"SUPPORT (PE OI)","RESIST (CE OI)"),"")</f>
        <v/>
      </c>
      <c r="V1456" s="13">
        <f>IFERROR(IF(Q1456&gt;0,IF(R1456&gt;0,"BOTH_ADD","CE_ADD_PE_REDUCE"),IF(R1456&gt;0,"CE_REDUCE_PE_ADD","BOTH_REDUCE")),"")</f>
        <v/>
      </c>
      <c r="W1456" s="13">
        <f>IFERROR( (P1456-1)*0.5 + (M1456)*0.1 - (I1456+J1456)*0.05 + T1456*0.4 ,"")</f>
        <v/>
      </c>
      <c r="X1456" s="13">
        <f>IFERROR(IF(ABS(F1456)&lt;0.01,"ATM/NEAR",""),"")</f>
        <v/>
      </c>
    </row>
    <row r="1457">
      <c r="A1457" s="13">
        <f>CHAIN_RAW!A1457</f>
        <v/>
      </c>
      <c r="B1457" s="14">
        <f>CHAIN_RAW!B1457</f>
        <v/>
      </c>
      <c r="C1457" s="13">
        <f>CHAIN_RAW!C1457</f>
        <v/>
      </c>
      <c r="D1457" s="13">
        <f>CHAIN_RAW!D1457</f>
        <v/>
      </c>
      <c r="E1457" s="13">
        <f>CHAIN_RAW!E1457</f>
        <v/>
      </c>
      <c r="F1457" s="13">
        <f>IFERROR((E1457-D1457)/D1457,"")</f>
        <v/>
      </c>
      <c r="G1457" s="13">
        <f>IFERROR((CHAIN_RAW!K1457+CHAIN_RAW!L1457)/2,"")</f>
        <v/>
      </c>
      <c r="H1457" s="13">
        <f>IFERROR((CHAIN_RAW!R1457+CHAIN_RAW!S1457)/2,"")</f>
        <v/>
      </c>
      <c r="I1457" s="13">
        <f>IFERROR((CHAIN_RAW!L1457-CHAIN_RAW!K1457)/MAX(1E-9, G1457),"")</f>
        <v/>
      </c>
      <c r="J1457" s="13">
        <f>IFERROR((CHAIN_RAW!S1457-CHAIN_RAW!R1457)/MAX(1E-9, H1457),"")</f>
        <v/>
      </c>
      <c r="K1457" s="13">
        <f>CHAIN_RAW!G1457</f>
        <v/>
      </c>
      <c r="L1457" s="13">
        <f>CHAIN_RAW!N1457</f>
        <v/>
      </c>
      <c r="M1457" s="13">
        <f>IFERROR(L1457-K1457,"")</f>
        <v/>
      </c>
      <c r="N1457" s="13">
        <f>CHAIN_RAW!H1457</f>
        <v/>
      </c>
      <c r="O1457" s="13">
        <f>CHAIN_RAW!O1457</f>
        <v/>
      </c>
      <c r="P1457" s="13">
        <f>IFERROR(O1457/N1457,"")</f>
        <v/>
      </c>
      <c r="Q1457" s="13">
        <f>CHAIN_RAW!I1457</f>
        <v/>
      </c>
      <c r="R1457" s="13">
        <f>CHAIN_RAW!P1457</f>
        <v/>
      </c>
      <c r="S1457" s="13">
        <f>IFERROR(R1457/Q1457,"")</f>
        <v/>
      </c>
      <c r="T1457" s="13">
        <f>IFERROR((ABS(N1457-O1457)/MAX(1,(N1457+O1457)))*EXP(-ABS(E1457-CONTROL!E5)/MAX(1,CONTROL!B8)),"")</f>
        <v/>
      </c>
      <c r="U1457" s="13">
        <f>IFERROR(IF(O1457&gt;N1457,"SUPPORT (PE OI)","RESIST (CE OI)"),"")</f>
        <v/>
      </c>
      <c r="V1457" s="13">
        <f>IFERROR(IF(Q1457&gt;0,IF(R1457&gt;0,"BOTH_ADD","CE_ADD_PE_REDUCE"),IF(R1457&gt;0,"CE_REDUCE_PE_ADD","BOTH_REDUCE")),"")</f>
        <v/>
      </c>
      <c r="W1457" s="13">
        <f>IFERROR( (P1457-1)*0.5 + (M1457)*0.1 - (I1457+J1457)*0.05 + T1457*0.4 ,"")</f>
        <v/>
      </c>
      <c r="X1457" s="13">
        <f>IFERROR(IF(ABS(F1457)&lt;0.01,"ATM/NEAR",""),"")</f>
        <v/>
      </c>
    </row>
    <row r="1458">
      <c r="A1458" s="13">
        <f>CHAIN_RAW!A1458</f>
        <v/>
      </c>
      <c r="B1458" s="14">
        <f>CHAIN_RAW!B1458</f>
        <v/>
      </c>
      <c r="C1458" s="13">
        <f>CHAIN_RAW!C1458</f>
        <v/>
      </c>
      <c r="D1458" s="13">
        <f>CHAIN_RAW!D1458</f>
        <v/>
      </c>
      <c r="E1458" s="13">
        <f>CHAIN_RAW!E1458</f>
        <v/>
      </c>
      <c r="F1458" s="13">
        <f>IFERROR((E1458-D1458)/D1458,"")</f>
        <v/>
      </c>
      <c r="G1458" s="13">
        <f>IFERROR((CHAIN_RAW!K1458+CHAIN_RAW!L1458)/2,"")</f>
        <v/>
      </c>
      <c r="H1458" s="13">
        <f>IFERROR((CHAIN_RAW!R1458+CHAIN_RAW!S1458)/2,"")</f>
        <v/>
      </c>
      <c r="I1458" s="13">
        <f>IFERROR((CHAIN_RAW!L1458-CHAIN_RAW!K1458)/MAX(1E-9, G1458),"")</f>
        <v/>
      </c>
      <c r="J1458" s="13">
        <f>IFERROR((CHAIN_RAW!S1458-CHAIN_RAW!R1458)/MAX(1E-9, H1458),"")</f>
        <v/>
      </c>
      <c r="K1458" s="13">
        <f>CHAIN_RAW!G1458</f>
        <v/>
      </c>
      <c r="L1458" s="13">
        <f>CHAIN_RAW!N1458</f>
        <v/>
      </c>
      <c r="M1458" s="13">
        <f>IFERROR(L1458-K1458,"")</f>
        <v/>
      </c>
      <c r="N1458" s="13">
        <f>CHAIN_RAW!H1458</f>
        <v/>
      </c>
      <c r="O1458" s="13">
        <f>CHAIN_RAW!O1458</f>
        <v/>
      </c>
      <c r="P1458" s="13">
        <f>IFERROR(O1458/N1458,"")</f>
        <v/>
      </c>
      <c r="Q1458" s="13">
        <f>CHAIN_RAW!I1458</f>
        <v/>
      </c>
      <c r="R1458" s="13">
        <f>CHAIN_RAW!P1458</f>
        <v/>
      </c>
      <c r="S1458" s="13">
        <f>IFERROR(R1458/Q1458,"")</f>
        <v/>
      </c>
      <c r="T1458" s="13">
        <f>IFERROR((ABS(N1458-O1458)/MAX(1,(N1458+O1458)))*EXP(-ABS(E1458-CONTROL!E5)/MAX(1,CONTROL!B8)),"")</f>
        <v/>
      </c>
      <c r="U1458" s="13">
        <f>IFERROR(IF(O1458&gt;N1458,"SUPPORT (PE OI)","RESIST (CE OI)"),"")</f>
        <v/>
      </c>
      <c r="V1458" s="13">
        <f>IFERROR(IF(Q1458&gt;0,IF(R1458&gt;0,"BOTH_ADD","CE_ADD_PE_REDUCE"),IF(R1458&gt;0,"CE_REDUCE_PE_ADD","BOTH_REDUCE")),"")</f>
        <v/>
      </c>
      <c r="W1458" s="13">
        <f>IFERROR( (P1458-1)*0.5 + (M1458)*0.1 - (I1458+J1458)*0.05 + T1458*0.4 ,"")</f>
        <v/>
      </c>
      <c r="X1458" s="13">
        <f>IFERROR(IF(ABS(F1458)&lt;0.01,"ATM/NEAR",""),"")</f>
        <v/>
      </c>
    </row>
    <row r="1459">
      <c r="A1459" s="13">
        <f>CHAIN_RAW!A1459</f>
        <v/>
      </c>
      <c r="B1459" s="14">
        <f>CHAIN_RAW!B1459</f>
        <v/>
      </c>
      <c r="C1459" s="13">
        <f>CHAIN_RAW!C1459</f>
        <v/>
      </c>
      <c r="D1459" s="13">
        <f>CHAIN_RAW!D1459</f>
        <v/>
      </c>
      <c r="E1459" s="13">
        <f>CHAIN_RAW!E1459</f>
        <v/>
      </c>
      <c r="F1459" s="13">
        <f>IFERROR((E1459-D1459)/D1459,"")</f>
        <v/>
      </c>
      <c r="G1459" s="13">
        <f>IFERROR((CHAIN_RAW!K1459+CHAIN_RAW!L1459)/2,"")</f>
        <v/>
      </c>
      <c r="H1459" s="13">
        <f>IFERROR((CHAIN_RAW!R1459+CHAIN_RAW!S1459)/2,"")</f>
        <v/>
      </c>
      <c r="I1459" s="13">
        <f>IFERROR((CHAIN_RAW!L1459-CHAIN_RAW!K1459)/MAX(1E-9, G1459),"")</f>
        <v/>
      </c>
      <c r="J1459" s="13">
        <f>IFERROR((CHAIN_RAW!S1459-CHAIN_RAW!R1459)/MAX(1E-9, H1459),"")</f>
        <v/>
      </c>
      <c r="K1459" s="13">
        <f>CHAIN_RAW!G1459</f>
        <v/>
      </c>
      <c r="L1459" s="13">
        <f>CHAIN_RAW!N1459</f>
        <v/>
      </c>
      <c r="M1459" s="13">
        <f>IFERROR(L1459-K1459,"")</f>
        <v/>
      </c>
      <c r="N1459" s="13">
        <f>CHAIN_RAW!H1459</f>
        <v/>
      </c>
      <c r="O1459" s="13">
        <f>CHAIN_RAW!O1459</f>
        <v/>
      </c>
      <c r="P1459" s="13">
        <f>IFERROR(O1459/N1459,"")</f>
        <v/>
      </c>
      <c r="Q1459" s="13">
        <f>CHAIN_RAW!I1459</f>
        <v/>
      </c>
      <c r="R1459" s="13">
        <f>CHAIN_RAW!P1459</f>
        <v/>
      </c>
      <c r="S1459" s="13">
        <f>IFERROR(R1459/Q1459,"")</f>
        <v/>
      </c>
      <c r="T1459" s="13">
        <f>IFERROR((ABS(N1459-O1459)/MAX(1,(N1459+O1459)))*EXP(-ABS(E1459-CONTROL!E5)/MAX(1,CONTROL!B8)),"")</f>
        <v/>
      </c>
      <c r="U1459" s="13">
        <f>IFERROR(IF(O1459&gt;N1459,"SUPPORT (PE OI)","RESIST (CE OI)"),"")</f>
        <v/>
      </c>
      <c r="V1459" s="13">
        <f>IFERROR(IF(Q1459&gt;0,IF(R1459&gt;0,"BOTH_ADD","CE_ADD_PE_REDUCE"),IF(R1459&gt;0,"CE_REDUCE_PE_ADD","BOTH_REDUCE")),"")</f>
        <v/>
      </c>
      <c r="W1459" s="13">
        <f>IFERROR( (P1459-1)*0.5 + (M1459)*0.1 - (I1459+J1459)*0.05 + T1459*0.4 ,"")</f>
        <v/>
      </c>
      <c r="X1459" s="13">
        <f>IFERROR(IF(ABS(F1459)&lt;0.01,"ATM/NEAR",""),"")</f>
        <v/>
      </c>
    </row>
    <row r="1460">
      <c r="A1460" s="13">
        <f>CHAIN_RAW!A1460</f>
        <v/>
      </c>
      <c r="B1460" s="14">
        <f>CHAIN_RAW!B1460</f>
        <v/>
      </c>
      <c r="C1460" s="13">
        <f>CHAIN_RAW!C1460</f>
        <v/>
      </c>
      <c r="D1460" s="13">
        <f>CHAIN_RAW!D1460</f>
        <v/>
      </c>
      <c r="E1460" s="13">
        <f>CHAIN_RAW!E1460</f>
        <v/>
      </c>
      <c r="F1460" s="13">
        <f>IFERROR((E1460-D1460)/D1460,"")</f>
        <v/>
      </c>
      <c r="G1460" s="13">
        <f>IFERROR((CHAIN_RAW!K1460+CHAIN_RAW!L1460)/2,"")</f>
        <v/>
      </c>
      <c r="H1460" s="13">
        <f>IFERROR((CHAIN_RAW!R1460+CHAIN_RAW!S1460)/2,"")</f>
        <v/>
      </c>
      <c r="I1460" s="13">
        <f>IFERROR((CHAIN_RAW!L1460-CHAIN_RAW!K1460)/MAX(1E-9, G1460),"")</f>
        <v/>
      </c>
      <c r="J1460" s="13">
        <f>IFERROR((CHAIN_RAW!S1460-CHAIN_RAW!R1460)/MAX(1E-9, H1460),"")</f>
        <v/>
      </c>
      <c r="K1460" s="13">
        <f>CHAIN_RAW!G1460</f>
        <v/>
      </c>
      <c r="L1460" s="13">
        <f>CHAIN_RAW!N1460</f>
        <v/>
      </c>
      <c r="M1460" s="13">
        <f>IFERROR(L1460-K1460,"")</f>
        <v/>
      </c>
      <c r="N1460" s="13">
        <f>CHAIN_RAW!H1460</f>
        <v/>
      </c>
      <c r="O1460" s="13">
        <f>CHAIN_RAW!O1460</f>
        <v/>
      </c>
      <c r="P1460" s="13">
        <f>IFERROR(O1460/N1460,"")</f>
        <v/>
      </c>
      <c r="Q1460" s="13">
        <f>CHAIN_RAW!I1460</f>
        <v/>
      </c>
      <c r="R1460" s="13">
        <f>CHAIN_RAW!P1460</f>
        <v/>
      </c>
      <c r="S1460" s="13">
        <f>IFERROR(R1460/Q1460,"")</f>
        <v/>
      </c>
      <c r="T1460" s="13">
        <f>IFERROR((ABS(N1460-O1460)/MAX(1,(N1460+O1460)))*EXP(-ABS(E1460-CONTROL!E5)/MAX(1,CONTROL!B8)),"")</f>
        <v/>
      </c>
      <c r="U1460" s="13">
        <f>IFERROR(IF(O1460&gt;N1460,"SUPPORT (PE OI)","RESIST (CE OI)"),"")</f>
        <v/>
      </c>
      <c r="V1460" s="13">
        <f>IFERROR(IF(Q1460&gt;0,IF(R1460&gt;0,"BOTH_ADD","CE_ADD_PE_REDUCE"),IF(R1460&gt;0,"CE_REDUCE_PE_ADD","BOTH_REDUCE")),"")</f>
        <v/>
      </c>
      <c r="W1460" s="13">
        <f>IFERROR( (P1460-1)*0.5 + (M1460)*0.1 - (I1460+J1460)*0.05 + T1460*0.4 ,"")</f>
        <v/>
      </c>
      <c r="X1460" s="13">
        <f>IFERROR(IF(ABS(F1460)&lt;0.01,"ATM/NEAR",""),"")</f>
        <v/>
      </c>
    </row>
    <row r="1461">
      <c r="A1461" s="13">
        <f>CHAIN_RAW!A1461</f>
        <v/>
      </c>
      <c r="B1461" s="14">
        <f>CHAIN_RAW!B1461</f>
        <v/>
      </c>
      <c r="C1461" s="13">
        <f>CHAIN_RAW!C1461</f>
        <v/>
      </c>
      <c r="D1461" s="13">
        <f>CHAIN_RAW!D1461</f>
        <v/>
      </c>
      <c r="E1461" s="13">
        <f>CHAIN_RAW!E1461</f>
        <v/>
      </c>
      <c r="F1461" s="13">
        <f>IFERROR((E1461-D1461)/D1461,"")</f>
        <v/>
      </c>
      <c r="G1461" s="13">
        <f>IFERROR((CHAIN_RAW!K1461+CHAIN_RAW!L1461)/2,"")</f>
        <v/>
      </c>
      <c r="H1461" s="13">
        <f>IFERROR((CHAIN_RAW!R1461+CHAIN_RAW!S1461)/2,"")</f>
        <v/>
      </c>
      <c r="I1461" s="13">
        <f>IFERROR((CHAIN_RAW!L1461-CHAIN_RAW!K1461)/MAX(1E-9, G1461),"")</f>
        <v/>
      </c>
      <c r="J1461" s="13">
        <f>IFERROR((CHAIN_RAW!S1461-CHAIN_RAW!R1461)/MAX(1E-9, H1461),"")</f>
        <v/>
      </c>
      <c r="K1461" s="13">
        <f>CHAIN_RAW!G1461</f>
        <v/>
      </c>
      <c r="L1461" s="13">
        <f>CHAIN_RAW!N1461</f>
        <v/>
      </c>
      <c r="M1461" s="13">
        <f>IFERROR(L1461-K1461,"")</f>
        <v/>
      </c>
      <c r="N1461" s="13">
        <f>CHAIN_RAW!H1461</f>
        <v/>
      </c>
      <c r="O1461" s="13">
        <f>CHAIN_RAW!O1461</f>
        <v/>
      </c>
      <c r="P1461" s="13">
        <f>IFERROR(O1461/N1461,"")</f>
        <v/>
      </c>
      <c r="Q1461" s="13">
        <f>CHAIN_RAW!I1461</f>
        <v/>
      </c>
      <c r="R1461" s="13">
        <f>CHAIN_RAW!P1461</f>
        <v/>
      </c>
      <c r="S1461" s="13">
        <f>IFERROR(R1461/Q1461,"")</f>
        <v/>
      </c>
      <c r="T1461" s="13">
        <f>IFERROR((ABS(N1461-O1461)/MAX(1,(N1461+O1461)))*EXP(-ABS(E1461-CONTROL!E5)/MAX(1,CONTROL!B8)),"")</f>
        <v/>
      </c>
      <c r="U1461" s="13">
        <f>IFERROR(IF(O1461&gt;N1461,"SUPPORT (PE OI)","RESIST (CE OI)"),"")</f>
        <v/>
      </c>
      <c r="V1461" s="13">
        <f>IFERROR(IF(Q1461&gt;0,IF(R1461&gt;0,"BOTH_ADD","CE_ADD_PE_REDUCE"),IF(R1461&gt;0,"CE_REDUCE_PE_ADD","BOTH_REDUCE")),"")</f>
        <v/>
      </c>
      <c r="W1461" s="13">
        <f>IFERROR( (P1461-1)*0.5 + (M1461)*0.1 - (I1461+J1461)*0.05 + T1461*0.4 ,"")</f>
        <v/>
      </c>
      <c r="X1461" s="13">
        <f>IFERROR(IF(ABS(F1461)&lt;0.01,"ATM/NEAR",""),"")</f>
        <v/>
      </c>
    </row>
    <row r="1462">
      <c r="A1462" s="13">
        <f>CHAIN_RAW!A1462</f>
        <v/>
      </c>
      <c r="B1462" s="14">
        <f>CHAIN_RAW!B1462</f>
        <v/>
      </c>
      <c r="C1462" s="13">
        <f>CHAIN_RAW!C1462</f>
        <v/>
      </c>
      <c r="D1462" s="13">
        <f>CHAIN_RAW!D1462</f>
        <v/>
      </c>
      <c r="E1462" s="13">
        <f>CHAIN_RAW!E1462</f>
        <v/>
      </c>
      <c r="F1462" s="13">
        <f>IFERROR((E1462-D1462)/D1462,"")</f>
        <v/>
      </c>
      <c r="G1462" s="13">
        <f>IFERROR((CHAIN_RAW!K1462+CHAIN_RAW!L1462)/2,"")</f>
        <v/>
      </c>
      <c r="H1462" s="13">
        <f>IFERROR((CHAIN_RAW!R1462+CHAIN_RAW!S1462)/2,"")</f>
        <v/>
      </c>
      <c r="I1462" s="13">
        <f>IFERROR((CHAIN_RAW!L1462-CHAIN_RAW!K1462)/MAX(1E-9, G1462),"")</f>
        <v/>
      </c>
      <c r="J1462" s="13">
        <f>IFERROR((CHAIN_RAW!S1462-CHAIN_RAW!R1462)/MAX(1E-9, H1462),"")</f>
        <v/>
      </c>
      <c r="K1462" s="13">
        <f>CHAIN_RAW!G1462</f>
        <v/>
      </c>
      <c r="L1462" s="13">
        <f>CHAIN_RAW!N1462</f>
        <v/>
      </c>
      <c r="M1462" s="13">
        <f>IFERROR(L1462-K1462,"")</f>
        <v/>
      </c>
      <c r="N1462" s="13">
        <f>CHAIN_RAW!H1462</f>
        <v/>
      </c>
      <c r="O1462" s="13">
        <f>CHAIN_RAW!O1462</f>
        <v/>
      </c>
      <c r="P1462" s="13">
        <f>IFERROR(O1462/N1462,"")</f>
        <v/>
      </c>
      <c r="Q1462" s="13">
        <f>CHAIN_RAW!I1462</f>
        <v/>
      </c>
      <c r="R1462" s="13">
        <f>CHAIN_RAW!P1462</f>
        <v/>
      </c>
      <c r="S1462" s="13">
        <f>IFERROR(R1462/Q1462,"")</f>
        <v/>
      </c>
      <c r="T1462" s="13">
        <f>IFERROR((ABS(N1462-O1462)/MAX(1,(N1462+O1462)))*EXP(-ABS(E1462-CONTROL!E5)/MAX(1,CONTROL!B8)),"")</f>
        <v/>
      </c>
      <c r="U1462" s="13">
        <f>IFERROR(IF(O1462&gt;N1462,"SUPPORT (PE OI)","RESIST (CE OI)"),"")</f>
        <v/>
      </c>
      <c r="V1462" s="13">
        <f>IFERROR(IF(Q1462&gt;0,IF(R1462&gt;0,"BOTH_ADD","CE_ADD_PE_REDUCE"),IF(R1462&gt;0,"CE_REDUCE_PE_ADD","BOTH_REDUCE")),"")</f>
        <v/>
      </c>
      <c r="W1462" s="13">
        <f>IFERROR( (P1462-1)*0.5 + (M1462)*0.1 - (I1462+J1462)*0.05 + T1462*0.4 ,"")</f>
        <v/>
      </c>
      <c r="X1462" s="13">
        <f>IFERROR(IF(ABS(F1462)&lt;0.01,"ATM/NEAR",""),"")</f>
        <v/>
      </c>
    </row>
    <row r="1463">
      <c r="A1463" s="13">
        <f>CHAIN_RAW!A1463</f>
        <v/>
      </c>
      <c r="B1463" s="14">
        <f>CHAIN_RAW!B1463</f>
        <v/>
      </c>
      <c r="C1463" s="13">
        <f>CHAIN_RAW!C1463</f>
        <v/>
      </c>
      <c r="D1463" s="13">
        <f>CHAIN_RAW!D1463</f>
        <v/>
      </c>
      <c r="E1463" s="13">
        <f>CHAIN_RAW!E1463</f>
        <v/>
      </c>
      <c r="F1463" s="13">
        <f>IFERROR((E1463-D1463)/D1463,"")</f>
        <v/>
      </c>
      <c r="G1463" s="13">
        <f>IFERROR((CHAIN_RAW!K1463+CHAIN_RAW!L1463)/2,"")</f>
        <v/>
      </c>
      <c r="H1463" s="13">
        <f>IFERROR((CHAIN_RAW!R1463+CHAIN_RAW!S1463)/2,"")</f>
        <v/>
      </c>
      <c r="I1463" s="13">
        <f>IFERROR((CHAIN_RAW!L1463-CHAIN_RAW!K1463)/MAX(1E-9, G1463),"")</f>
        <v/>
      </c>
      <c r="J1463" s="13">
        <f>IFERROR((CHAIN_RAW!S1463-CHAIN_RAW!R1463)/MAX(1E-9, H1463),"")</f>
        <v/>
      </c>
      <c r="K1463" s="13">
        <f>CHAIN_RAW!G1463</f>
        <v/>
      </c>
      <c r="L1463" s="13">
        <f>CHAIN_RAW!N1463</f>
        <v/>
      </c>
      <c r="M1463" s="13">
        <f>IFERROR(L1463-K1463,"")</f>
        <v/>
      </c>
      <c r="N1463" s="13">
        <f>CHAIN_RAW!H1463</f>
        <v/>
      </c>
      <c r="O1463" s="13">
        <f>CHAIN_RAW!O1463</f>
        <v/>
      </c>
      <c r="P1463" s="13">
        <f>IFERROR(O1463/N1463,"")</f>
        <v/>
      </c>
      <c r="Q1463" s="13">
        <f>CHAIN_RAW!I1463</f>
        <v/>
      </c>
      <c r="R1463" s="13">
        <f>CHAIN_RAW!P1463</f>
        <v/>
      </c>
      <c r="S1463" s="13">
        <f>IFERROR(R1463/Q1463,"")</f>
        <v/>
      </c>
      <c r="T1463" s="13">
        <f>IFERROR((ABS(N1463-O1463)/MAX(1,(N1463+O1463)))*EXP(-ABS(E1463-CONTROL!E5)/MAX(1,CONTROL!B8)),"")</f>
        <v/>
      </c>
      <c r="U1463" s="13">
        <f>IFERROR(IF(O1463&gt;N1463,"SUPPORT (PE OI)","RESIST (CE OI)"),"")</f>
        <v/>
      </c>
      <c r="V1463" s="13">
        <f>IFERROR(IF(Q1463&gt;0,IF(R1463&gt;0,"BOTH_ADD","CE_ADD_PE_REDUCE"),IF(R1463&gt;0,"CE_REDUCE_PE_ADD","BOTH_REDUCE")),"")</f>
        <v/>
      </c>
      <c r="W1463" s="13">
        <f>IFERROR( (P1463-1)*0.5 + (M1463)*0.1 - (I1463+J1463)*0.05 + T1463*0.4 ,"")</f>
        <v/>
      </c>
      <c r="X1463" s="13">
        <f>IFERROR(IF(ABS(F1463)&lt;0.01,"ATM/NEAR",""),"")</f>
        <v/>
      </c>
    </row>
    <row r="1464">
      <c r="A1464" s="13">
        <f>CHAIN_RAW!A1464</f>
        <v/>
      </c>
      <c r="B1464" s="14">
        <f>CHAIN_RAW!B1464</f>
        <v/>
      </c>
      <c r="C1464" s="13">
        <f>CHAIN_RAW!C1464</f>
        <v/>
      </c>
      <c r="D1464" s="13">
        <f>CHAIN_RAW!D1464</f>
        <v/>
      </c>
      <c r="E1464" s="13">
        <f>CHAIN_RAW!E1464</f>
        <v/>
      </c>
      <c r="F1464" s="13">
        <f>IFERROR((E1464-D1464)/D1464,"")</f>
        <v/>
      </c>
      <c r="G1464" s="13">
        <f>IFERROR((CHAIN_RAW!K1464+CHAIN_RAW!L1464)/2,"")</f>
        <v/>
      </c>
      <c r="H1464" s="13">
        <f>IFERROR((CHAIN_RAW!R1464+CHAIN_RAW!S1464)/2,"")</f>
        <v/>
      </c>
      <c r="I1464" s="13">
        <f>IFERROR((CHAIN_RAW!L1464-CHAIN_RAW!K1464)/MAX(1E-9, G1464),"")</f>
        <v/>
      </c>
      <c r="J1464" s="13">
        <f>IFERROR((CHAIN_RAW!S1464-CHAIN_RAW!R1464)/MAX(1E-9, H1464),"")</f>
        <v/>
      </c>
      <c r="K1464" s="13">
        <f>CHAIN_RAW!G1464</f>
        <v/>
      </c>
      <c r="L1464" s="13">
        <f>CHAIN_RAW!N1464</f>
        <v/>
      </c>
      <c r="M1464" s="13">
        <f>IFERROR(L1464-K1464,"")</f>
        <v/>
      </c>
      <c r="N1464" s="13">
        <f>CHAIN_RAW!H1464</f>
        <v/>
      </c>
      <c r="O1464" s="13">
        <f>CHAIN_RAW!O1464</f>
        <v/>
      </c>
      <c r="P1464" s="13">
        <f>IFERROR(O1464/N1464,"")</f>
        <v/>
      </c>
      <c r="Q1464" s="13">
        <f>CHAIN_RAW!I1464</f>
        <v/>
      </c>
      <c r="R1464" s="13">
        <f>CHAIN_RAW!P1464</f>
        <v/>
      </c>
      <c r="S1464" s="13">
        <f>IFERROR(R1464/Q1464,"")</f>
        <v/>
      </c>
      <c r="T1464" s="13">
        <f>IFERROR((ABS(N1464-O1464)/MAX(1,(N1464+O1464)))*EXP(-ABS(E1464-CONTROL!E5)/MAX(1,CONTROL!B8)),"")</f>
        <v/>
      </c>
      <c r="U1464" s="13">
        <f>IFERROR(IF(O1464&gt;N1464,"SUPPORT (PE OI)","RESIST (CE OI)"),"")</f>
        <v/>
      </c>
      <c r="V1464" s="13">
        <f>IFERROR(IF(Q1464&gt;0,IF(R1464&gt;0,"BOTH_ADD","CE_ADD_PE_REDUCE"),IF(R1464&gt;0,"CE_REDUCE_PE_ADD","BOTH_REDUCE")),"")</f>
        <v/>
      </c>
      <c r="W1464" s="13">
        <f>IFERROR( (P1464-1)*0.5 + (M1464)*0.1 - (I1464+J1464)*0.05 + T1464*0.4 ,"")</f>
        <v/>
      </c>
      <c r="X1464" s="13">
        <f>IFERROR(IF(ABS(F1464)&lt;0.01,"ATM/NEAR",""),"")</f>
        <v/>
      </c>
    </row>
    <row r="1465">
      <c r="A1465" s="13">
        <f>CHAIN_RAW!A1465</f>
        <v/>
      </c>
      <c r="B1465" s="14">
        <f>CHAIN_RAW!B1465</f>
        <v/>
      </c>
      <c r="C1465" s="13">
        <f>CHAIN_RAW!C1465</f>
        <v/>
      </c>
      <c r="D1465" s="13">
        <f>CHAIN_RAW!D1465</f>
        <v/>
      </c>
      <c r="E1465" s="13">
        <f>CHAIN_RAW!E1465</f>
        <v/>
      </c>
      <c r="F1465" s="13">
        <f>IFERROR((E1465-D1465)/D1465,"")</f>
        <v/>
      </c>
      <c r="G1465" s="13">
        <f>IFERROR((CHAIN_RAW!K1465+CHAIN_RAW!L1465)/2,"")</f>
        <v/>
      </c>
      <c r="H1465" s="13">
        <f>IFERROR((CHAIN_RAW!R1465+CHAIN_RAW!S1465)/2,"")</f>
        <v/>
      </c>
      <c r="I1465" s="13">
        <f>IFERROR((CHAIN_RAW!L1465-CHAIN_RAW!K1465)/MAX(1E-9, G1465),"")</f>
        <v/>
      </c>
      <c r="J1465" s="13">
        <f>IFERROR((CHAIN_RAW!S1465-CHAIN_RAW!R1465)/MAX(1E-9, H1465),"")</f>
        <v/>
      </c>
      <c r="K1465" s="13">
        <f>CHAIN_RAW!G1465</f>
        <v/>
      </c>
      <c r="L1465" s="13">
        <f>CHAIN_RAW!N1465</f>
        <v/>
      </c>
      <c r="M1465" s="13">
        <f>IFERROR(L1465-K1465,"")</f>
        <v/>
      </c>
      <c r="N1465" s="13">
        <f>CHAIN_RAW!H1465</f>
        <v/>
      </c>
      <c r="O1465" s="13">
        <f>CHAIN_RAW!O1465</f>
        <v/>
      </c>
      <c r="P1465" s="13">
        <f>IFERROR(O1465/N1465,"")</f>
        <v/>
      </c>
      <c r="Q1465" s="13">
        <f>CHAIN_RAW!I1465</f>
        <v/>
      </c>
      <c r="R1465" s="13">
        <f>CHAIN_RAW!P1465</f>
        <v/>
      </c>
      <c r="S1465" s="13">
        <f>IFERROR(R1465/Q1465,"")</f>
        <v/>
      </c>
      <c r="T1465" s="13">
        <f>IFERROR((ABS(N1465-O1465)/MAX(1,(N1465+O1465)))*EXP(-ABS(E1465-CONTROL!E5)/MAX(1,CONTROL!B8)),"")</f>
        <v/>
      </c>
      <c r="U1465" s="13">
        <f>IFERROR(IF(O1465&gt;N1465,"SUPPORT (PE OI)","RESIST (CE OI)"),"")</f>
        <v/>
      </c>
      <c r="V1465" s="13">
        <f>IFERROR(IF(Q1465&gt;0,IF(R1465&gt;0,"BOTH_ADD","CE_ADD_PE_REDUCE"),IF(R1465&gt;0,"CE_REDUCE_PE_ADD","BOTH_REDUCE")),"")</f>
        <v/>
      </c>
      <c r="W1465" s="13">
        <f>IFERROR( (P1465-1)*0.5 + (M1465)*0.1 - (I1465+J1465)*0.05 + T1465*0.4 ,"")</f>
        <v/>
      </c>
      <c r="X1465" s="13">
        <f>IFERROR(IF(ABS(F1465)&lt;0.01,"ATM/NEAR",""),"")</f>
        <v/>
      </c>
    </row>
    <row r="1466">
      <c r="A1466" s="13">
        <f>CHAIN_RAW!A1466</f>
        <v/>
      </c>
      <c r="B1466" s="14">
        <f>CHAIN_RAW!B1466</f>
        <v/>
      </c>
      <c r="C1466" s="13">
        <f>CHAIN_RAW!C1466</f>
        <v/>
      </c>
      <c r="D1466" s="13">
        <f>CHAIN_RAW!D1466</f>
        <v/>
      </c>
      <c r="E1466" s="13">
        <f>CHAIN_RAW!E1466</f>
        <v/>
      </c>
      <c r="F1466" s="13">
        <f>IFERROR((E1466-D1466)/D1466,"")</f>
        <v/>
      </c>
      <c r="G1466" s="13">
        <f>IFERROR((CHAIN_RAW!K1466+CHAIN_RAW!L1466)/2,"")</f>
        <v/>
      </c>
      <c r="H1466" s="13">
        <f>IFERROR((CHAIN_RAW!R1466+CHAIN_RAW!S1466)/2,"")</f>
        <v/>
      </c>
      <c r="I1466" s="13">
        <f>IFERROR((CHAIN_RAW!L1466-CHAIN_RAW!K1466)/MAX(1E-9, G1466),"")</f>
        <v/>
      </c>
      <c r="J1466" s="13">
        <f>IFERROR((CHAIN_RAW!S1466-CHAIN_RAW!R1466)/MAX(1E-9, H1466),"")</f>
        <v/>
      </c>
      <c r="K1466" s="13">
        <f>CHAIN_RAW!G1466</f>
        <v/>
      </c>
      <c r="L1466" s="13">
        <f>CHAIN_RAW!N1466</f>
        <v/>
      </c>
      <c r="M1466" s="13">
        <f>IFERROR(L1466-K1466,"")</f>
        <v/>
      </c>
      <c r="N1466" s="13">
        <f>CHAIN_RAW!H1466</f>
        <v/>
      </c>
      <c r="O1466" s="13">
        <f>CHAIN_RAW!O1466</f>
        <v/>
      </c>
      <c r="P1466" s="13">
        <f>IFERROR(O1466/N1466,"")</f>
        <v/>
      </c>
      <c r="Q1466" s="13">
        <f>CHAIN_RAW!I1466</f>
        <v/>
      </c>
      <c r="R1466" s="13">
        <f>CHAIN_RAW!P1466</f>
        <v/>
      </c>
      <c r="S1466" s="13">
        <f>IFERROR(R1466/Q1466,"")</f>
        <v/>
      </c>
      <c r="T1466" s="13">
        <f>IFERROR((ABS(N1466-O1466)/MAX(1,(N1466+O1466)))*EXP(-ABS(E1466-CONTROL!E5)/MAX(1,CONTROL!B8)),"")</f>
        <v/>
      </c>
      <c r="U1466" s="13">
        <f>IFERROR(IF(O1466&gt;N1466,"SUPPORT (PE OI)","RESIST (CE OI)"),"")</f>
        <v/>
      </c>
      <c r="V1466" s="13">
        <f>IFERROR(IF(Q1466&gt;0,IF(R1466&gt;0,"BOTH_ADD","CE_ADD_PE_REDUCE"),IF(R1466&gt;0,"CE_REDUCE_PE_ADD","BOTH_REDUCE")),"")</f>
        <v/>
      </c>
      <c r="W1466" s="13">
        <f>IFERROR( (P1466-1)*0.5 + (M1466)*0.1 - (I1466+J1466)*0.05 + T1466*0.4 ,"")</f>
        <v/>
      </c>
      <c r="X1466" s="13">
        <f>IFERROR(IF(ABS(F1466)&lt;0.01,"ATM/NEAR",""),"")</f>
        <v/>
      </c>
    </row>
    <row r="1467">
      <c r="A1467" s="13">
        <f>CHAIN_RAW!A1467</f>
        <v/>
      </c>
      <c r="B1467" s="14">
        <f>CHAIN_RAW!B1467</f>
        <v/>
      </c>
      <c r="C1467" s="13">
        <f>CHAIN_RAW!C1467</f>
        <v/>
      </c>
      <c r="D1467" s="13">
        <f>CHAIN_RAW!D1467</f>
        <v/>
      </c>
      <c r="E1467" s="13">
        <f>CHAIN_RAW!E1467</f>
        <v/>
      </c>
      <c r="F1467" s="13">
        <f>IFERROR((E1467-D1467)/D1467,"")</f>
        <v/>
      </c>
      <c r="G1467" s="13">
        <f>IFERROR((CHAIN_RAW!K1467+CHAIN_RAW!L1467)/2,"")</f>
        <v/>
      </c>
      <c r="H1467" s="13">
        <f>IFERROR((CHAIN_RAW!R1467+CHAIN_RAW!S1467)/2,"")</f>
        <v/>
      </c>
      <c r="I1467" s="13">
        <f>IFERROR((CHAIN_RAW!L1467-CHAIN_RAW!K1467)/MAX(1E-9, G1467),"")</f>
        <v/>
      </c>
      <c r="J1467" s="13">
        <f>IFERROR((CHAIN_RAW!S1467-CHAIN_RAW!R1467)/MAX(1E-9, H1467),"")</f>
        <v/>
      </c>
      <c r="K1467" s="13">
        <f>CHAIN_RAW!G1467</f>
        <v/>
      </c>
      <c r="L1467" s="13">
        <f>CHAIN_RAW!N1467</f>
        <v/>
      </c>
      <c r="M1467" s="13">
        <f>IFERROR(L1467-K1467,"")</f>
        <v/>
      </c>
      <c r="N1467" s="13">
        <f>CHAIN_RAW!H1467</f>
        <v/>
      </c>
      <c r="O1467" s="13">
        <f>CHAIN_RAW!O1467</f>
        <v/>
      </c>
      <c r="P1467" s="13">
        <f>IFERROR(O1467/N1467,"")</f>
        <v/>
      </c>
      <c r="Q1467" s="13">
        <f>CHAIN_RAW!I1467</f>
        <v/>
      </c>
      <c r="R1467" s="13">
        <f>CHAIN_RAW!P1467</f>
        <v/>
      </c>
      <c r="S1467" s="13">
        <f>IFERROR(R1467/Q1467,"")</f>
        <v/>
      </c>
      <c r="T1467" s="13">
        <f>IFERROR((ABS(N1467-O1467)/MAX(1,(N1467+O1467)))*EXP(-ABS(E1467-CONTROL!E5)/MAX(1,CONTROL!B8)),"")</f>
        <v/>
      </c>
      <c r="U1467" s="13">
        <f>IFERROR(IF(O1467&gt;N1467,"SUPPORT (PE OI)","RESIST (CE OI)"),"")</f>
        <v/>
      </c>
      <c r="V1467" s="13">
        <f>IFERROR(IF(Q1467&gt;0,IF(R1467&gt;0,"BOTH_ADD","CE_ADD_PE_REDUCE"),IF(R1467&gt;0,"CE_REDUCE_PE_ADD","BOTH_REDUCE")),"")</f>
        <v/>
      </c>
      <c r="W1467" s="13">
        <f>IFERROR( (P1467-1)*0.5 + (M1467)*0.1 - (I1467+J1467)*0.05 + T1467*0.4 ,"")</f>
        <v/>
      </c>
      <c r="X1467" s="13">
        <f>IFERROR(IF(ABS(F1467)&lt;0.01,"ATM/NEAR",""),"")</f>
        <v/>
      </c>
    </row>
    <row r="1468">
      <c r="A1468" s="13">
        <f>CHAIN_RAW!A1468</f>
        <v/>
      </c>
      <c r="B1468" s="14">
        <f>CHAIN_RAW!B1468</f>
        <v/>
      </c>
      <c r="C1468" s="13">
        <f>CHAIN_RAW!C1468</f>
        <v/>
      </c>
      <c r="D1468" s="13">
        <f>CHAIN_RAW!D1468</f>
        <v/>
      </c>
      <c r="E1468" s="13">
        <f>CHAIN_RAW!E1468</f>
        <v/>
      </c>
      <c r="F1468" s="13">
        <f>IFERROR((E1468-D1468)/D1468,"")</f>
        <v/>
      </c>
      <c r="G1468" s="13">
        <f>IFERROR((CHAIN_RAW!K1468+CHAIN_RAW!L1468)/2,"")</f>
        <v/>
      </c>
      <c r="H1468" s="13">
        <f>IFERROR((CHAIN_RAW!R1468+CHAIN_RAW!S1468)/2,"")</f>
        <v/>
      </c>
      <c r="I1468" s="13">
        <f>IFERROR((CHAIN_RAW!L1468-CHAIN_RAW!K1468)/MAX(1E-9, G1468),"")</f>
        <v/>
      </c>
      <c r="J1468" s="13">
        <f>IFERROR((CHAIN_RAW!S1468-CHAIN_RAW!R1468)/MAX(1E-9, H1468),"")</f>
        <v/>
      </c>
      <c r="K1468" s="13">
        <f>CHAIN_RAW!G1468</f>
        <v/>
      </c>
      <c r="L1468" s="13">
        <f>CHAIN_RAW!N1468</f>
        <v/>
      </c>
      <c r="M1468" s="13">
        <f>IFERROR(L1468-K1468,"")</f>
        <v/>
      </c>
      <c r="N1468" s="13">
        <f>CHAIN_RAW!H1468</f>
        <v/>
      </c>
      <c r="O1468" s="13">
        <f>CHAIN_RAW!O1468</f>
        <v/>
      </c>
      <c r="P1468" s="13">
        <f>IFERROR(O1468/N1468,"")</f>
        <v/>
      </c>
      <c r="Q1468" s="13">
        <f>CHAIN_RAW!I1468</f>
        <v/>
      </c>
      <c r="R1468" s="13">
        <f>CHAIN_RAW!P1468</f>
        <v/>
      </c>
      <c r="S1468" s="13">
        <f>IFERROR(R1468/Q1468,"")</f>
        <v/>
      </c>
      <c r="T1468" s="13">
        <f>IFERROR((ABS(N1468-O1468)/MAX(1,(N1468+O1468)))*EXP(-ABS(E1468-CONTROL!E5)/MAX(1,CONTROL!B8)),"")</f>
        <v/>
      </c>
      <c r="U1468" s="13">
        <f>IFERROR(IF(O1468&gt;N1468,"SUPPORT (PE OI)","RESIST (CE OI)"),"")</f>
        <v/>
      </c>
      <c r="V1468" s="13">
        <f>IFERROR(IF(Q1468&gt;0,IF(R1468&gt;0,"BOTH_ADD","CE_ADD_PE_REDUCE"),IF(R1468&gt;0,"CE_REDUCE_PE_ADD","BOTH_REDUCE")),"")</f>
        <v/>
      </c>
      <c r="W1468" s="13">
        <f>IFERROR( (P1468-1)*0.5 + (M1468)*0.1 - (I1468+J1468)*0.05 + T1468*0.4 ,"")</f>
        <v/>
      </c>
      <c r="X1468" s="13">
        <f>IFERROR(IF(ABS(F1468)&lt;0.01,"ATM/NEAR",""),"")</f>
        <v/>
      </c>
    </row>
    <row r="1469">
      <c r="A1469" s="13">
        <f>CHAIN_RAW!A1469</f>
        <v/>
      </c>
      <c r="B1469" s="14">
        <f>CHAIN_RAW!B1469</f>
        <v/>
      </c>
      <c r="C1469" s="13">
        <f>CHAIN_RAW!C1469</f>
        <v/>
      </c>
      <c r="D1469" s="13">
        <f>CHAIN_RAW!D1469</f>
        <v/>
      </c>
      <c r="E1469" s="13">
        <f>CHAIN_RAW!E1469</f>
        <v/>
      </c>
      <c r="F1469" s="13">
        <f>IFERROR((E1469-D1469)/D1469,"")</f>
        <v/>
      </c>
      <c r="G1469" s="13">
        <f>IFERROR((CHAIN_RAW!K1469+CHAIN_RAW!L1469)/2,"")</f>
        <v/>
      </c>
      <c r="H1469" s="13">
        <f>IFERROR((CHAIN_RAW!R1469+CHAIN_RAW!S1469)/2,"")</f>
        <v/>
      </c>
      <c r="I1469" s="13">
        <f>IFERROR((CHAIN_RAW!L1469-CHAIN_RAW!K1469)/MAX(1E-9, G1469),"")</f>
        <v/>
      </c>
      <c r="J1469" s="13">
        <f>IFERROR((CHAIN_RAW!S1469-CHAIN_RAW!R1469)/MAX(1E-9, H1469),"")</f>
        <v/>
      </c>
      <c r="K1469" s="13">
        <f>CHAIN_RAW!G1469</f>
        <v/>
      </c>
      <c r="L1469" s="13">
        <f>CHAIN_RAW!N1469</f>
        <v/>
      </c>
      <c r="M1469" s="13">
        <f>IFERROR(L1469-K1469,"")</f>
        <v/>
      </c>
      <c r="N1469" s="13">
        <f>CHAIN_RAW!H1469</f>
        <v/>
      </c>
      <c r="O1469" s="13">
        <f>CHAIN_RAW!O1469</f>
        <v/>
      </c>
      <c r="P1469" s="13">
        <f>IFERROR(O1469/N1469,"")</f>
        <v/>
      </c>
      <c r="Q1469" s="13">
        <f>CHAIN_RAW!I1469</f>
        <v/>
      </c>
      <c r="R1469" s="13">
        <f>CHAIN_RAW!P1469</f>
        <v/>
      </c>
      <c r="S1469" s="13">
        <f>IFERROR(R1469/Q1469,"")</f>
        <v/>
      </c>
      <c r="T1469" s="13">
        <f>IFERROR((ABS(N1469-O1469)/MAX(1,(N1469+O1469)))*EXP(-ABS(E1469-CONTROL!E5)/MAX(1,CONTROL!B8)),"")</f>
        <v/>
      </c>
      <c r="U1469" s="13">
        <f>IFERROR(IF(O1469&gt;N1469,"SUPPORT (PE OI)","RESIST (CE OI)"),"")</f>
        <v/>
      </c>
      <c r="V1469" s="13">
        <f>IFERROR(IF(Q1469&gt;0,IF(R1469&gt;0,"BOTH_ADD","CE_ADD_PE_REDUCE"),IF(R1469&gt;0,"CE_REDUCE_PE_ADD","BOTH_REDUCE")),"")</f>
        <v/>
      </c>
      <c r="W1469" s="13">
        <f>IFERROR( (P1469-1)*0.5 + (M1469)*0.1 - (I1469+J1469)*0.05 + T1469*0.4 ,"")</f>
        <v/>
      </c>
      <c r="X1469" s="13">
        <f>IFERROR(IF(ABS(F1469)&lt;0.01,"ATM/NEAR",""),"")</f>
        <v/>
      </c>
    </row>
    <row r="1470">
      <c r="A1470" s="13">
        <f>CHAIN_RAW!A1470</f>
        <v/>
      </c>
      <c r="B1470" s="14">
        <f>CHAIN_RAW!B1470</f>
        <v/>
      </c>
      <c r="C1470" s="13">
        <f>CHAIN_RAW!C1470</f>
        <v/>
      </c>
      <c r="D1470" s="13">
        <f>CHAIN_RAW!D1470</f>
        <v/>
      </c>
      <c r="E1470" s="13">
        <f>CHAIN_RAW!E1470</f>
        <v/>
      </c>
      <c r="F1470" s="13">
        <f>IFERROR((E1470-D1470)/D1470,"")</f>
        <v/>
      </c>
      <c r="G1470" s="13">
        <f>IFERROR((CHAIN_RAW!K1470+CHAIN_RAW!L1470)/2,"")</f>
        <v/>
      </c>
      <c r="H1470" s="13">
        <f>IFERROR((CHAIN_RAW!R1470+CHAIN_RAW!S1470)/2,"")</f>
        <v/>
      </c>
      <c r="I1470" s="13">
        <f>IFERROR((CHAIN_RAW!L1470-CHAIN_RAW!K1470)/MAX(1E-9, G1470),"")</f>
        <v/>
      </c>
      <c r="J1470" s="13">
        <f>IFERROR((CHAIN_RAW!S1470-CHAIN_RAW!R1470)/MAX(1E-9, H1470),"")</f>
        <v/>
      </c>
      <c r="K1470" s="13">
        <f>CHAIN_RAW!G1470</f>
        <v/>
      </c>
      <c r="L1470" s="13">
        <f>CHAIN_RAW!N1470</f>
        <v/>
      </c>
      <c r="M1470" s="13">
        <f>IFERROR(L1470-K1470,"")</f>
        <v/>
      </c>
      <c r="N1470" s="13">
        <f>CHAIN_RAW!H1470</f>
        <v/>
      </c>
      <c r="O1470" s="13">
        <f>CHAIN_RAW!O1470</f>
        <v/>
      </c>
      <c r="P1470" s="13">
        <f>IFERROR(O1470/N1470,"")</f>
        <v/>
      </c>
      <c r="Q1470" s="13">
        <f>CHAIN_RAW!I1470</f>
        <v/>
      </c>
      <c r="R1470" s="13">
        <f>CHAIN_RAW!P1470</f>
        <v/>
      </c>
      <c r="S1470" s="13">
        <f>IFERROR(R1470/Q1470,"")</f>
        <v/>
      </c>
      <c r="T1470" s="13">
        <f>IFERROR((ABS(N1470-O1470)/MAX(1,(N1470+O1470)))*EXP(-ABS(E1470-CONTROL!E5)/MAX(1,CONTROL!B8)),"")</f>
        <v/>
      </c>
      <c r="U1470" s="13">
        <f>IFERROR(IF(O1470&gt;N1470,"SUPPORT (PE OI)","RESIST (CE OI)"),"")</f>
        <v/>
      </c>
      <c r="V1470" s="13">
        <f>IFERROR(IF(Q1470&gt;0,IF(R1470&gt;0,"BOTH_ADD","CE_ADD_PE_REDUCE"),IF(R1470&gt;0,"CE_REDUCE_PE_ADD","BOTH_REDUCE")),"")</f>
        <v/>
      </c>
      <c r="W1470" s="13">
        <f>IFERROR( (P1470-1)*0.5 + (M1470)*0.1 - (I1470+J1470)*0.05 + T1470*0.4 ,"")</f>
        <v/>
      </c>
      <c r="X1470" s="13">
        <f>IFERROR(IF(ABS(F1470)&lt;0.01,"ATM/NEAR",""),"")</f>
        <v/>
      </c>
    </row>
    <row r="1471">
      <c r="A1471" s="13">
        <f>CHAIN_RAW!A1471</f>
        <v/>
      </c>
      <c r="B1471" s="14">
        <f>CHAIN_RAW!B1471</f>
        <v/>
      </c>
      <c r="C1471" s="13">
        <f>CHAIN_RAW!C1471</f>
        <v/>
      </c>
      <c r="D1471" s="13">
        <f>CHAIN_RAW!D1471</f>
        <v/>
      </c>
      <c r="E1471" s="13">
        <f>CHAIN_RAW!E1471</f>
        <v/>
      </c>
      <c r="F1471" s="13">
        <f>IFERROR((E1471-D1471)/D1471,"")</f>
        <v/>
      </c>
      <c r="G1471" s="13">
        <f>IFERROR((CHAIN_RAW!K1471+CHAIN_RAW!L1471)/2,"")</f>
        <v/>
      </c>
      <c r="H1471" s="13">
        <f>IFERROR((CHAIN_RAW!R1471+CHAIN_RAW!S1471)/2,"")</f>
        <v/>
      </c>
      <c r="I1471" s="13">
        <f>IFERROR((CHAIN_RAW!L1471-CHAIN_RAW!K1471)/MAX(1E-9, G1471),"")</f>
        <v/>
      </c>
      <c r="J1471" s="13">
        <f>IFERROR((CHAIN_RAW!S1471-CHAIN_RAW!R1471)/MAX(1E-9, H1471),"")</f>
        <v/>
      </c>
      <c r="K1471" s="13">
        <f>CHAIN_RAW!G1471</f>
        <v/>
      </c>
      <c r="L1471" s="13">
        <f>CHAIN_RAW!N1471</f>
        <v/>
      </c>
      <c r="M1471" s="13">
        <f>IFERROR(L1471-K1471,"")</f>
        <v/>
      </c>
      <c r="N1471" s="13">
        <f>CHAIN_RAW!H1471</f>
        <v/>
      </c>
      <c r="O1471" s="13">
        <f>CHAIN_RAW!O1471</f>
        <v/>
      </c>
      <c r="P1471" s="13">
        <f>IFERROR(O1471/N1471,"")</f>
        <v/>
      </c>
      <c r="Q1471" s="13">
        <f>CHAIN_RAW!I1471</f>
        <v/>
      </c>
      <c r="R1471" s="13">
        <f>CHAIN_RAW!P1471</f>
        <v/>
      </c>
      <c r="S1471" s="13">
        <f>IFERROR(R1471/Q1471,"")</f>
        <v/>
      </c>
      <c r="T1471" s="13">
        <f>IFERROR((ABS(N1471-O1471)/MAX(1,(N1471+O1471)))*EXP(-ABS(E1471-CONTROL!E5)/MAX(1,CONTROL!B8)),"")</f>
        <v/>
      </c>
      <c r="U1471" s="13">
        <f>IFERROR(IF(O1471&gt;N1471,"SUPPORT (PE OI)","RESIST (CE OI)"),"")</f>
        <v/>
      </c>
      <c r="V1471" s="13">
        <f>IFERROR(IF(Q1471&gt;0,IF(R1471&gt;0,"BOTH_ADD","CE_ADD_PE_REDUCE"),IF(R1471&gt;0,"CE_REDUCE_PE_ADD","BOTH_REDUCE")),"")</f>
        <v/>
      </c>
      <c r="W1471" s="13">
        <f>IFERROR( (P1471-1)*0.5 + (M1471)*0.1 - (I1471+J1471)*0.05 + T1471*0.4 ,"")</f>
        <v/>
      </c>
      <c r="X1471" s="13">
        <f>IFERROR(IF(ABS(F1471)&lt;0.01,"ATM/NEAR",""),"")</f>
        <v/>
      </c>
    </row>
    <row r="1472">
      <c r="A1472" s="13">
        <f>CHAIN_RAW!A1472</f>
        <v/>
      </c>
      <c r="B1472" s="14">
        <f>CHAIN_RAW!B1472</f>
        <v/>
      </c>
      <c r="C1472" s="13">
        <f>CHAIN_RAW!C1472</f>
        <v/>
      </c>
      <c r="D1472" s="13">
        <f>CHAIN_RAW!D1472</f>
        <v/>
      </c>
      <c r="E1472" s="13">
        <f>CHAIN_RAW!E1472</f>
        <v/>
      </c>
      <c r="F1472" s="13">
        <f>IFERROR((E1472-D1472)/D1472,"")</f>
        <v/>
      </c>
      <c r="G1472" s="13">
        <f>IFERROR((CHAIN_RAW!K1472+CHAIN_RAW!L1472)/2,"")</f>
        <v/>
      </c>
      <c r="H1472" s="13">
        <f>IFERROR((CHAIN_RAW!R1472+CHAIN_RAW!S1472)/2,"")</f>
        <v/>
      </c>
      <c r="I1472" s="13">
        <f>IFERROR((CHAIN_RAW!L1472-CHAIN_RAW!K1472)/MAX(1E-9, G1472),"")</f>
        <v/>
      </c>
      <c r="J1472" s="13">
        <f>IFERROR((CHAIN_RAW!S1472-CHAIN_RAW!R1472)/MAX(1E-9, H1472),"")</f>
        <v/>
      </c>
      <c r="K1472" s="13">
        <f>CHAIN_RAW!G1472</f>
        <v/>
      </c>
      <c r="L1472" s="13">
        <f>CHAIN_RAW!N1472</f>
        <v/>
      </c>
      <c r="M1472" s="13">
        <f>IFERROR(L1472-K1472,"")</f>
        <v/>
      </c>
      <c r="N1472" s="13">
        <f>CHAIN_RAW!H1472</f>
        <v/>
      </c>
      <c r="O1472" s="13">
        <f>CHAIN_RAW!O1472</f>
        <v/>
      </c>
      <c r="P1472" s="13">
        <f>IFERROR(O1472/N1472,"")</f>
        <v/>
      </c>
      <c r="Q1472" s="13">
        <f>CHAIN_RAW!I1472</f>
        <v/>
      </c>
      <c r="R1472" s="13">
        <f>CHAIN_RAW!P1472</f>
        <v/>
      </c>
      <c r="S1472" s="13">
        <f>IFERROR(R1472/Q1472,"")</f>
        <v/>
      </c>
      <c r="T1472" s="13">
        <f>IFERROR((ABS(N1472-O1472)/MAX(1,(N1472+O1472)))*EXP(-ABS(E1472-CONTROL!E5)/MAX(1,CONTROL!B8)),"")</f>
        <v/>
      </c>
      <c r="U1472" s="13">
        <f>IFERROR(IF(O1472&gt;N1472,"SUPPORT (PE OI)","RESIST (CE OI)"),"")</f>
        <v/>
      </c>
      <c r="V1472" s="13">
        <f>IFERROR(IF(Q1472&gt;0,IF(R1472&gt;0,"BOTH_ADD","CE_ADD_PE_REDUCE"),IF(R1472&gt;0,"CE_REDUCE_PE_ADD","BOTH_REDUCE")),"")</f>
        <v/>
      </c>
      <c r="W1472" s="13">
        <f>IFERROR( (P1472-1)*0.5 + (M1472)*0.1 - (I1472+J1472)*0.05 + T1472*0.4 ,"")</f>
        <v/>
      </c>
      <c r="X1472" s="13">
        <f>IFERROR(IF(ABS(F1472)&lt;0.01,"ATM/NEAR",""),"")</f>
        <v/>
      </c>
    </row>
    <row r="1473">
      <c r="A1473" s="13">
        <f>CHAIN_RAW!A1473</f>
        <v/>
      </c>
      <c r="B1473" s="14">
        <f>CHAIN_RAW!B1473</f>
        <v/>
      </c>
      <c r="C1473" s="13">
        <f>CHAIN_RAW!C1473</f>
        <v/>
      </c>
      <c r="D1473" s="13">
        <f>CHAIN_RAW!D1473</f>
        <v/>
      </c>
      <c r="E1473" s="13">
        <f>CHAIN_RAW!E1473</f>
        <v/>
      </c>
      <c r="F1473" s="13">
        <f>IFERROR((E1473-D1473)/D1473,"")</f>
        <v/>
      </c>
      <c r="G1473" s="13">
        <f>IFERROR((CHAIN_RAW!K1473+CHAIN_RAW!L1473)/2,"")</f>
        <v/>
      </c>
      <c r="H1473" s="13">
        <f>IFERROR((CHAIN_RAW!R1473+CHAIN_RAW!S1473)/2,"")</f>
        <v/>
      </c>
      <c r="I1473" s="13">
        <f>IFERROR((CHAIN_RAW!L1473-CHAIN_RAW!K1473)/MAX(1E-9, G1473),"")</f>
        <v/>
      </c>
      <c r="J1473" s="13">
        <f>IFERROR((CHAIN_RAW!S1473-CHAIN_RAW!R1473)/MAX(1E-9, H1473),"")</f>
        <v/>
      </c>
      <c r="K1473" s="13">
        <f>CHAIN_RAW!G1473</f>
        <v/>
      </c>
      <c r="L1473" s="13">
        <f>CHAIN_RAW!N1473</f>
        <v/>
      </c>
      <c r="M1473" s="13">
        <f>IFERROR(L1473-K1473,"")</f>
        <v/>
      </c>
      <c r="N1473" s="13">
        <f>CHAIN_RAW!H1473</f>
        <v/>
      </c>
      <c r="O1473" s="13">
        <f>CHAIN_RAW!O1473</f>
        <v/>
      </c>
      <c r="P1473" s="13">
        <f>IFERROR(O1473/N1473,"")</f>
        <v/>
      </c>
      <c r="Q1473" s="13">
        <f>CHAIN_RAW!I1473</f>
        <v/>
      </c>
      <c r="R1473" s="13">
        <f>CHAIN_RAW!P1473</f>
        <v/>
      </c>
      <c r="S1473" s="13">
        <f>IFERROR(R1473/Q1473,"")</f>
        <v/>
      </c>
      <c r="T1473" s="13">
        <f>IFERROR((ABS(N1473-O1473)/MAX(1,(N1473+O1473)))*EXP(-ABS(E1473-CONTROL!E5)/MAX(1,CONTROL!B8)),"")</f>
        <v/>
      </c>
      <c r="U1473" s="13">
        <f>IFERROR(IF(O1473&gt;N1473,"SUPPORT (PE OI)","RESIST (CE OI)"),"")</f>
        <v/>
      </c>
      <c r="V1473" s="13">
        <f>IFERROR(IF(Q1473&gt;0,IF(R1473&gt;0,"BOTH_ADD","CE_ADD_PE_REDUCE"),IF(R1473&gt;0,"CE_REDUCE_PE_ADD","BOTH_REDUCE")),"")</f>
        <v/>
      </c>
      <c r="W1473" s="13">
        <f>IFERROR( (P1473-1)*0.5 + (M1473)*0.1 - (I1473+J1473)*0.05 + T1473*0.4 ,"")</f>
        <v/>
      </c>
      <c r="X1473" s="13">
        <f>IFERROR(IF(ABS(F1473)&lt;0.01,"ATM/NEAR",""),"")</f>
        <v/>
      </c>
    </row>
    <row r="1474">
      <c r="A1474" s="13">
        <f>CHAIN_RAW!A1474</f>
        <v/>
      </c>
      <c r="B1474" s="14">
        <f>CHAIN_RAW!B1474</f>
        <v/>
      </c>
      <c r="C1474" s="13">
        <f>CHAIN_RAW!C1474</f>
        <v/>
      </c>
      <c r="D1474" s="13">
        <f>CHAIN_RAW!D1474</f>
        <v/>
      </c>
      <c r="E1474" s="13">
        <f>CHAIN_RAW!E1474</f>
        <v/>
      </c>
      <c r="F1474" s="13">
        <f>IFERROR((E1474-D1474)/D1474,"")</f>
        <v/>
      </c>
      <c r="G1474" s="13">
        <f>IFERROR((CHAIN_RAW!K1474+CHAIN_RAW!L1474)/2,"")</f>
        <v/>
      </c>
      <c r="H1474" s="13">
        <f>IFERROR((CHAIN_RAW!R1474+CHAIN_RAW!S1474)/2,"")</f>
        <v/>
      </c>
      <c r="I1474" s="13">
        <f>IFERROR((CHAIN_RAW!L1474-CHAIN_RAW!K1474)/MAX(1E-9, G1474),"")</f>
        <v/>
      </c>
      <c r="J1474" s="13">
        <f>IFERROR((CHAIN_RAW!S1474-CHAIN_RAW!R1474)/MAX(1E-9, H1474),"")</f>
        <v/>
      </c>
      <c r="K1474" s="13">
        <f>CHAIN_RAW!G1474</f>
        <v/>
      </c>
      <c r="L1474" s="13">
        <f>CHAIN_RAW!N1474</f>
        <v/>
      </c>
      <c r="M1474" s="13">
        <f>IFERROR(L1474-K1474,"")</f>
        <v/>
      </c>
      <c r="N1474" s="13">
        <f>CHAIN_RAW!H1474</f>
        <v/>
      </c>
      <c r="O1474" s="13">
        <f>CHAIN_RAW!O1474</f>
        <v/>
      </c>
      <c r="P1474" s="13">
        <f>IFERROR(O1474/N1474,"")</f>
        <v/>
      </c>
      <c r="Q1474" s="13">
        <f>CHAIN_RAW!I1474</f>
        <v/>
      </c>
      <c r="R1474" s="13">
        <f>CHAIN_RAW!P1474</f>
        <v/>
      </c>
      <c r="S1474" s="13">
        <f>IFERROR(R1474/Q1474,"")</f>
        <v/>
      </c>
      <c r="T1474" s="13">
        <f>IFERROR((ABS(N1474-O1474)/MAX(1,(N1474+O1474)))*EXP(-ABS(E1474-CONTROL!E5)/MAX(1,CONTROL!B8)),"")</f>
        <v/>
      </c>
      <c r="U1474" s="13">
        <f>IFERROR(IF(O1474&gt;N1474,"SUPPORT (PE OI)","RESIST (CE OI)"),"")</f>
        <v/>
      </c>
      <c r="V1474" s="13">
        <f>IFERROR(IF(Q1474&gt;0,IF(R1474&gt;0,"BOTH_ADD","CE_ADD_PE_REDUCE"),IF(R1474&gt;0,"CE_REDUCE_PE_ADD","BOTH_REDUCE")),"")</f>
        <v/>
      </c>
      <c r="W1474" s="13">
        <f>IFERROR( (P1474-1)*0.5 + (M1474)*0.1 - (I1474+J1474)*0.05 + T1474*0.4 ,"")</f>
        <v/>
      </c>
      <c r="X1474" s="13">
        <f>IFERROR(IF(ABS(F1474)&lt;0.01,"ATM/NEAR",""),"")</f>
        <v/>
      </c>
    </row>
    <row r="1475">
      <c r="A1475" s="13">
        <f>CHAIN_RAW!A1475</f>
        <v/>
      </c>
      <c r="B1475" s="14">
        <f>CHAIN_RAW!B1475</f>
        <v/>
      </c>
      <c r="C1475" s="13">
        <f>CHAIN_RAW!C1475</f>
        <v/>
      </c>
      <c r="D1475" s="13">
        <f>CHAIN_RAW!D1475</f>
        <v/>
      </c>
      <c r="E1475" s="13">
        <f>CHAIN_RAW!E1475</f>
        <v/>
      </c>
      <c r="F1475" s="13">
        <f>IFERROR((E1475-D1475)/D1475,"")</f>
        <v/>
      </c>
      <c r="G1475" s="13">
        <f>IFERROR((CHAIN_RAW!K1475+CHAIN_RAW!L1475)/2,"")</f>
        <v/>
      </c>
      <c r="H1475" s="13">
        <f>IFERROR((CHAIN_RAW!R1475+CHAIN_RAW!S1475)/2,"")</f>
        <v/>
      </c>
      <c r="I1475" s="13">
        <f>IFERROR((CHAIN_RAW!L1475-CHAIN_RAW!K1475)/MAX(1E-9, G1475),"")</f>
        <v/>
      </c>
      <c r="J1475" s="13">
        <f>IFERROR((CHAIN_RAW!S1475-CHAIN_RAW!R1475)/MAX(1E-9, H1475),"")</f>
        <v/>
      </c>
      <c r="K1475" s="13">
        <f>CHAIN_RAW!G1475</f>
        <v/>
      </c>
      <c r="L1475" s="13">
        <f>CHAIN_RAW!N1475</f>
        <v/>
      </c>
      <c r="M1475" s="13">
        <f>IFERROR(L1475-K1475,"")</f>
        <v/>
      </c>
      <c r="N1475" s="13">
        <f>CHAIN_RAW!H1475</f>
        <v/>
      </c>
      <c r="O1475" s="13">
        <f>CHAIN_RAW!O1475</f>
        <v/>
      </c>
      <c r="P1475" s="13">
        <f>IFERROR(O1475/N1475,"")</f>
        <v/>
      </c>
      <c r="Q1475" s="13">
        <f>CHAIN_RAW!I1475</f>
        <v/>
      </c>
      <c r="R1475" s="13">
        <f>CHAIN_RAW!P1475</f>
        <v/>
      </c>
      <c r="S1475" s="13">
        <f>IFERROR(R1475/Q1475,"")</f>
        <v/>
      </c>
      <c r="T1475" s="13">
        <f>IFERROR((ABS(N1475-O1475)/MAX(1,(N1475+O1475)))*EXP(-ABS(E1475-CONTROL!E5)/MAX(1,CONTROL!B8)),"")</f>
        <v/>
      </c>
      <c r="U1475" s="13">
        <f>IFERROR(IF(O1475&gt;N1475,"SUPPORT (PE OI)","RESIST (CE OI)"),"")</f>
        <v/>
      </c>
      <c r="V1475" s="13">
        <f>IFERROR(IF(Q1475&gt;0,IF(R1475&gt;0,"BOTH_ADD","CE_ADD_PE_REDUCE"),IF(R1475&gt;0,"CE_REDUCE_PE_ADD","BOTH_REDUCE")),"")</f>
        <v/>
      </c>
      <c r="W1475" s="13">
        <f>IFERROR( (P1475-1)*0.5 + (M1475)*0.1 - (I1475+J1475)*0.05 + T1475*0.4 ,"")</f>
        <v/>
      </c>
      <c r="X1475" s="13">
        <f>IFERROR(IF(ABS(F1475)&lt;0.01,"ATM/NEAR",""),"")</f>
        <v/>
      </c>
    </row>
    <row r="1476">
      <c r="A1476" s="13">
        <f>CHAIN_RAW!A1476</f>
        <v/>
      </c>
      <c r="B1476" s="14">
        <f>CHAIN_RAW!B1476</f>
        <v/>
      </c>
      <c r="C1476" s="13">
        <f>CHAIN_RAW!C1476</f>
        <v/>
      </c>
      <c r="D1476" s="13">
        <f>CHAIN_RAW!D1476</f>
        <v/>
      </c>
      <c r="E1476" s="13">
        <f>CHAIN_RAW!E1476</f>
        <v/>
      </c>
      <c r="F1476" s="13">
        <f>IFERROR((E1476-D1476)/D1476,"")</f>
        <v/>
      </c>
      <c r="G1476" s="13">
        <f>IFERROR((CHAIN_RAW!K1476+CHAIN_RAW!L1476)/2,"")</f>
        <v/>
      </c>
      <c r="H1476" s="13">
        <f>IFERROR((CHAIN_RAW!R1476+CHAIN_RAW!S1476)/2,"")</f>
        <v/>
      </c>
      <c r="I1476" s="13">
        <f>IFERROR((CHAIN_RAW!L1476-CHAIN_RAW!K1476)/MAX(1E-9, G1476),"")</f>
        <v/>
      </c>
      <c r="J1476" s="13">
        <f>IFERROR((CHAIN_RAW!S1476-CHAIN_RAW!R1476)/MAX(1E-9, H1476),"")</f>
        <v/>
      </c>
      <c r="K1476" s="13">
        <f>CHAIN_RAW!G1476</f>
        <v/>
      </c>
      <c r="L1476" s="13">
        <f>CHAIN_RAW!N1476</f>
        <v/>
      </c>
      <c r="M1476" s="13">
        <f>IFERROR(L1476-K1476,"")</f>
        <v/>
      </c>
      <c r="N1476" s="13">
        <f>CHAIN_RAW!H1476</f>
        <v/>
      </c>
      <c r="O1476" s="13">
        <f>CHAIN_RAW!O1476</f>
        <v/>
      </c>
      <c r="P1476" s="13">
        <f>IFERROR(O1476/N1476,"")</f>
        <v/>
      </c>
      <c r="Q1476" s="13">
        <f>CHAIN_RAW!I1476</f>
        <v/>
      </c>
      <c r="R1476" s="13">
        <f>CHAIN_RAW!P1476</f>
        <v/>
      </c>
      <c r="S1476" s="13">
        <f>IFERROR(R1476/Q1476,"")</f>
        <v/>
      </c>
      <c r="T1476" s="13">
        <f>IFERROR((ABS(N1476-O1476)/MAX(1,(N1476+O1476)))*EXP(-ABS(E1476-CONTROL!E5)/MAX(1,CONTROL!B8)),"")</f>
        <v/>
      </c>
      <c r="U1476" s="13">
        <f>IFERROR(IF(O1476&gt;N1476,"SUPPORT (PE OI)","RESIST (CE OI)"),"")</f>
        <v/>
      </c>
      <c r="V1476" s="13">
        <f>IFERROR(IF(Q1476&gt;0,IF(R1476&gt;0,"BOTH_ADD","CE_ADD_PE_REDUCE"),IF(R1476&gt;0,"CE_REDUCE_PE_ADD","BOTH_REDUCE")),"")</f>
        <v/>
      </c>
      <c r="W1476" s="13">
        <f>IFERROR( (P1476-1)*0.5 + (M1476)*0.1 - (I1476+J1476)*0.05 + T1476*0.4 ,"")</f>
        <v/>
      </c>
      <c r="X1476" s="13">
        <f>IFERROR(IF(ABS(F1476)&lt;0.01,"ATM/NEAR",""),"")</f>
        <v/>
      </c>
    </row>
    <row r="1477">
      <c r="A1477" s="13">
        <f>CHAIN_RAW!A1477</f>
        <v/>
      </c>
      <c r="B1477" s="14">
        <f>CHAIN_RAW!B1477</f>
        <v/>
      </c>
      <c r="C1477" s="13">
        <f>CHAIN_RAW!C1477</f>
        <v/>
      </c>
      <c r="D1477" s="13">
        <f>CHAIN_RAW!D1477</f>
        <v/>
      </c>
      <c r="E1477" s="13">
        <f>CHAIN_RAW!E1477</f>
        <v/>
      </c>
      <c r="F1477" s="13">
        <f>IFERROR((E1477-D1477)/D1477,"")</f>
        <v/>
      </c>
      <c r="G1477" s="13">
        <f>IFERROR((CHAIN_RAW!K1477+CHAIN_RAW!L1477)/2,"")</f>
        <v/>
      </c>
      <c r="H1477" s="13">
        <f>IFERROR((CHAIN_RAW!R1477+CHAIN_RAW!S1477)/2,"")</f>
        <v/>
      </c>
      <c r="I1477" s="13">
        <f>IFERROR((CHAIN_RAW!L1477-CHAIN_RAW!K1477)/MAX(1E-9, G1477),"")</f>
        <v/>
      </c>
      <c r="J1477" s="13">
        <f>IFERROR((CHAIN_RAW!S1477-CHAIN_RAW!R1477)/MAX(1E-9, H1477),"")</f>
        <v/>
      </c>
      <c r="K1477" s="13">
        <f>CHAIN_RAW!G1477</f>
        <v/>
      </c>
      <c r="L1477" s="13">
        <f>CHAIN_RAW!N1477</f>
        <v/>
      </c>
      <c r="M1477" s="13">
        <f>IFERROR(L1477-K1477,"")</f>
        <v/>
      </c>
      <c r="N1477" s="13">
        <f>CHAIN_RAW!H1477</f>
        <v/>
      </c>
      <c r="O1477" s="13">
        <f>CHAIN_RAW!O1477</f>
        <v/>
      </c>
      <c r="P1477" s="13">
        <f>IFERROR(O1477/N1477,"")</f>
        <v/>
      </c>
      <c r="Q1477" s="13">
        <f>CHAIN_RAW!I1477</f>
        <v/>
      </c>
      <c r="R1477" s="13">
        <f>CHAIN_RAW!P1477</f>
        <v/>
      </c>
      <c r="S1477" s="13">
        <f>IFERROR(R1477/Q1477,"")</f>
        <v/>
      </c>
      <c r="T1477" s="13">
        <f>IFERROR((ABS(N1477-O1477)/MAX(1,(N1477+O1477)))*EXP(-ABS(E1477-CONTROL!E5)/MAX(1,CONTROL!B8)),"")</f>
        <v/>
      </c>
      <c r="U1477" s="13">
        <f>IFERROR(IF(O1477&gt;N1477,"SUPPORT (PE OI)","RESIST (CE OI)"),"")</f>
        <v/>
      </c>
      <c r="V1477" s="13">
        <f>IFERROR(IF(Q1477&gt;0,IF(R1477&gt;0,"BOTH_ADD","CE_ADD_PE_REDUCE"),IF(R1477&gt;0,"CE_REDUCE_PE_ADD","BOTH_REDUCE")),"")</f>
        <v/>
      </c>
      <c r="W1477" s="13">
        <f>IFERROR( (P1477-1)*0.5 + (M1477)*0.1 - (I1477+J1477)*0.05 + T1477*0.4 ,"")</f>
        <v/>
      </c>
      <c r="X1477" s="13">
        <f>IFERROR(IF(ABS(F1477)&lt;0.01,"ATM/NEAR",""),"")</f>
        <v/>
      </c>
    </row>
    <row r="1478">
      <c r="A1478" s="13">
        <f>CHAIN_RAW!A1478</f>
        <v/>
      </c>
      <c r="B1478" s="14">
        <f>CHAIN_RAW!B1478</f>
        <v/>
      </c>
      <c r="C1478" s="13">
        <f>CHAIN_RAW!C1478</f>
        <v/>
      </c>
      <c r="D1478" s="13">
        <f>CHAIN_RAW!D1478</f>
        <v/>
      </c>
      <c r="E1478" s="13">
        <f>CHAIN_RAW!E1478</f>
        <v/>
      </c>
      <c r="F1478" s="13">
        <f>IFERROR((E1478-D1478)/D1478,"")</f>
        <v/>
      </c>
      <c r="G1478" s="13">
        <f>IFERROR((CHAIN_RAW!K1478+CHAIN_RAW!L1478)/2,"")</f>
        <v/>
      </c>
      <c r="H1478" s="13">
        <f>IFERROR((CHAIN_RAW!R1478+CHAIN_RAW!S1478)/2,"")</f>
        <v/>
      </c>
      <c r="I1478" s="13">
        <f>IFERROR((CHAIN_RAW!L1478-CHAIN_RAW!K1478)/MAX(1E-9, G1478),"")</f>
        <v/>
      </c>
      <c r="J1478" s="13">
        <f>IFERROR((CHAIN_RAW!S1478-CHAIN_RAW!R1478)/MAX(1E-9, H1478),"")</f>
        <v/>
      </c>
      <c r="K1478" s="13">
        <f>CHAIN_RAW!G1478</f>
        <v/>
      </c>
      <c r="L1478" s="13">
        <f>CHAIN_RAW!N1478</f>
        <v/>
      </c>
      <c r="M1478" s="13">
        <f>IFERROR(L1478-K1478,"")</f>
        <v/>
      </c>
      <c r="N1478" s="13">
        <f>CHAIN_RAW!H1478</f>
        <v/>
      </c>
      <c r="O1478" s="13">
        <f>CHAIN_RAW!O1478</f>
        <v/>
      </c>
      <c r="P1478" s="13">
        <f>IFERROR(O1478/N1478,"")</f>
        <v/>
      </c>
      <c r="Q1478" s="13">
        <f>CHAIN_RAW!I1478</f>
        <v/>
      </c>
      <c r="R1478" s="13">
        <f>CHAIN_RAW!P1478</f>
        <v/>
      </c>
      <c r="S1478" s="13">
        <f>IFERROR(R1478/Q1478,"")</f>
        <v/>
      </c>
      <c r="T1478" s="13">
        <f>IFERROR((ABS(N1478-O1478)/MAX(1,(N1478+O1478)))*EXP(-ABS(E1478-CONTROL!E5)/MAX(1,CONTROL!B8)),"")</f>
        <v/>
      </c>
      <c r="U1478" s="13">
        <f>IFERROR(IF(O1478&gt;N1478,"SUPPORT (PE OI)","RESIST (CE OI)"),"")</f>
        <v/>
      </c>
      <c r="V1478" s="13">
        <f>IFERROR(IF(Q1478&gt;0,IF(R1478&gt;0,"BOTH_ADD","CE_ADD_PE_REDUCE"),IF(R1478&gt;0,"CE_REDUCE_PE_ADD","BOTH_REDUCE")),"")</f>
        <v/>
      </c>
      <c r="W1478" s="13">
        <f>IFERROR( (P1478-1)*0.5 + (M1478)*0.1 - (I1478+J1478)*0.05 + T1478*0.4 ,"")</f>
        <v/>
      </c>
      <c r="X1478" s="13">
        <f>IFERROR(IF(ABS(F1478)&lt;0.01,"ATM/NEAR",""),"")</f>
        <v/>
      </c>
    </row>
    <row r="1479">
      <c r="A1479" s="13">
        <f>CHAIN_RAW!A1479</f>
        <v/>
      </c>
      <c r="B1479" s="14">
        <f>CHAIN_RAW!B1479</f>
        <v/>
      </c>
      <c r="C1479" s="13">
        <f>CHAIN_RAW!C1479</f>
        <v/>
      </c>
      <c r="D1479" s="13">
        <f>CHAIN_RAW!D1479</f>
        <v/>
      </c>
      <c r="E1479" s="13">
        <f>CHAIN_RAW!E1479</f>
        <v/>
      </c>
      <c r="F1479" s="13">
        <f>IFERROR((E1479-D1479)/D1479,"")</f>
        <v/>
      </c>
      <c r="G1479" s="13">
        <f>IFERROR((CHAIN_RAW!K1479+CHAIN_RAW!L1479)/2,"")</f>
        <v/>
      </c>
      <c r="H1479" s="13">
        <f>IFERROR((CHAIN_RAW!R1479+CHAIN_RAW!S1479)/2,"")</f>
        <v/>
      </c>
      <c r="I1479" s="13">
        <f>IFERROR((CHAIN_RAW!L1479-CHAIN_RAW!K1479)/MAX(1E-9, G1479),"")</f>
        <v/>
      </c>
      <c r="J1479" s="13">
        <f>IFERROR((CHAIN_RAW!S1479-CHAIN_RAW!R1479)/MAX(1E-9, H1479),"")</f>
        <v/>
      </c>
      <c r="K1479" s="13">
        <f>CHAIN_RAW!G1479</f>
        <v/>
      </c>
      <c r="L1479" s="13">
        <f>CHAIN_RAW!N1479</f>
        <v/>
      </c>
      <c r="M1479" s="13">
        <f>IFERROR(L1479-K1479,"")</f>
        <v/>
      </c>
      <c r="N1479" s="13">
        <f>CHAIN_RAW!H1479</f>
        <v/>
      </c>
      <c r="O1479" s="13">
        <f>CHAIN_RAW!O1479</f>
        <v/>
      </c>
      <c r="P1479" s="13">
        <f>IFERROR(O1479/N1479,"")</f>
        <v/>
      </c>
      <c r="Q1479" s="13">
        <f>CHAIN_RAW!I1479</f>
        <v/>
      </c>
      <c r="R1479" s="13">
        <f>CHAIN_RAW!P1479</f>
        <v/>
      </c>
      <c r="S1479" s="13">
        <f>IFERROR(R1479/Q1479,"")</f>
        <v/>
      </c>
      <c r="T1479" s="13">
        <f>IFERROR((ABS(N1479-O1479)/MAX(1,(N1479+O1479)))*EXP(-ABS(E1479-CONTROL!E5)/MAX(1,CONTROL!B8)),"")</f>
        <v/>
      </c>
      <c r="U1479" s="13">
        <f>IFERROR(IF(O1479&gt;N1479,"SUPPORT (PE OI)","RESIST (CE OI)"),"")</f>
        <v/>
      </c>
      <c r="V1479" s="13">
        <f>IFERROR(IF(Q1479&gt;0,IF(R1479&gt;0,"BOTH_ADD","CE_ADD_PE_REDUCE"),IF(R1479&gt;0,"CE_REDUCE_PE_ADD","BOTH_REDUCE")),"")</f>
        <v/>
      </c>
      <c r="W1479" s="13">
        <f>IFERROR( (P1479-1)*0.5 + (M1479)*0.1 - (I1479+J1479)*0.05 + T1479*0.4 ,"")</f>
        <v/>
      </c>
      <c r="X1479" s="13">
        <f>IFERROR(IF(ABS(F1479)&lt;0.01,"ATM/NEAR",""),"")</f>
        <v/>
      </c>
    </row>
    <row r="1480">
      <c r="A1480" s="13">
        <f>CHAIN_RAW!A1480</f>
        <v/>
      </c>
      <c r="B1480" s="14">
        <f>CHAIN_RAW!B1480</f>
        <v/>
      </c>
      <c r="C1480" s="13">
        <f>CHAIN_RAW!C1480</f>
        <v/>
      </c>
      <c r="D1480" s="13">
        <f>CHAIN_RAW!D1480</f>
        <v/>
      </c>
      <c r="E1480" s="13">
        <f>CHAIN_RAW!E1480</f>
        <v/>
      </c>
      <c r="F1480" s="13">
        <f>IFERROR((E1480-D1480)/D1480,"")</f>
        <v/>
      </c>
      <c r="G1480" s="13">
        <f>IFERROR((CHAIN_RAW!K1480+CHAIN_RAW!L1480)/2,"")</f>
        <v/>
      </c>
      <c r="H1480" s="13">
        <f>IFERROR((CHAIN_RAW!R1480+CHAIN_RAW!S1480)/2,"")</f>
        <v/>
      </c>
      <c r="I1480" s="13">
        <f>IFERROR((CHAIN_RAW!L1480-CHAIN_RAW!K1480)/MAX(1E-9, G1480),"")</f>
        <v/>
      </c>
      <c r="J1480" s="13">
        <f>IFERROR((CHAIN_RAW!S1480-CHAIN_RAW!R1480)/MAX(1E-9, H1480),"")</f>
        <v/>
      </c>
      <c r="K1480" s="13">
        <f>CHAIN_RAW!G1480</f>
        <v/>
      </c>
      <c r="L1480" s="13">
        <f>CHAIN_RAW!N1480</f>
        <v/>
      </c>
      <c r="M1480" s="13">
        <f>IFERROR(L1480-K1480,"")</f>
        <v/>
      </c>
      <c r="N1480" s="13">
        <f>CHAIN_RAW!H1480</f>
        <v/>
      </c>
      <c r="O1480" s="13">
        <f>CHAIN_RAW!O1480</f>
        <v/>
      </c>
      <c r="P1480" s="13">
        <f>IFERROR(O1480/N1480,"")</f>
        <v/>
      </c>
      <c r="Q1480" s="13">
        <f>CHAIN_RAW!I1480</f>
        <v/>
      </c>
      <c r="R1480" s="13">
        <f>CHAIN_RAW!P1480</f>
        <v/>
      </c>
      <c r="S1480" s="13">
        <f>IFERROR(R1480/Q1480,"")</f>
        <v/>
      </c>
      <c r="T1480" s="13">
        <f>IFERROR((ABS(N1480-O1480)/MAX(1,(N1480+O1480)))*EXP(-ABS(E1480-CONTROL!E5)/MAX(1,CONTROL!B8)),"")</f>
        <v/>
      </c>
      <c r="U1480" s="13">
        <f>IFERROR(IF(O1480&gt;N1480,"SUPPORT (PE OI)","RESIST (CE OI)"),"")</f>
        <v/>
      </c>
      <c r="V1480" s="13">
        <f>IFERROR(IF(Q1480&gt;0,IF(R1480&gt;0,"BOTH_ADD","CE_ADD_PE_REDUCE"),IF(R1480&gt;0,"CE_REDUCE_PE_ADD","BOTH_REDUCE")),"")</f>
        <v/>
      </c>
      <c r="W1480" s="13">
        <f>IFERROR( (P1480-1)*0.5 + (M1480)*0.1 - (I1480+J1480)*0.05 + T1480*0.4 ,"")</f>
        <v/>
      </c>
      <c r="X1480" s="13">
        <f>IFERROR(IF(ABS(F1480)&lt;0.01,"ATM/NEAR",""),"")</f>
        <v/>
      </c>
    </row>
    <row r="1481">
      <c r="A1481" s="13">
        <f>CHAIN_RAW!A1481</f>
        <v/>
      </c>
      <c r="B1481" s="14">
        <f>CHAIN_RAW!B1481</f>
        <v/>
      </c>
      <c r="C1481" s="13">
        <f>CHAIN_RAW!C1481</f>
        <v/>
      </c>
      <c r="D1481" s="13">
        <f>CHAIN_RAW!D1481</f>
        <v/>
      </c>
      <c r="E1481" s="13">
        <f>CHAIN_RAW!E1481</f>
        <v/>
      </c>
      <c r="F1481" s="13">
        <f>IFERROR((E1481-D1481)/D1481,"")</f>
        <v/>
      </c>
      <c r="G1481" s="13">
        <f>IFERROR((CHAIN_RAW!K1481+CHAIN_RAW!L1481)/2,"")</f>
        <v/>
      </c>
      <c r="H1481" s="13">
        <f>IFERROR((CHAIN_RAW!R1481+CHAIN_RAW!S1481)/2,"")</f>
        <v/>
      </c>
      <c r="I1481" s="13">
        <f>IFERROR((CHAIN_RAW!L1481-CHAIN_RAW!K1481)/MAX(1E-9, G1481),"")</f>
        <v/>
      </c>
      <c r="J1481" s="13">
        <f>IFERROR((CHAIN_RAW!S1481-CHAIN_RAW!R1481)/MAX(1E-9, H1481),"")</f>
        <v/>
      </c>
      <c r="K1481" s="13">
        <f>CHAIN_RAW!G1481</f>
        <v/>
      </c>
      <c r="L1481" s="13">
        <f>CHAIN_RAW!N1481</f>
        <v/>
      </c>
      <c r="M1481" s="13">
        <f>IFERROR(L1481-K1481,"")</f>
        <v/>
      </c>
      <c r="N1481" s="13">
        <f>CHAIN_RAW!H1481</f>
        <v/>
      </c>
      <c r="O1481" s="13">
        <f>CHAIN_RAW!O1481</f>
        <v/>
      </c>
      <c r="P1481" s="13">
        <f>IFERROR(O1481/N1481,"")</f>
        <v/>
      </c>
      <c r="Q1481" s="13">
        <f>CHAIN_RAW!I1481</f>
        <v/>
      </c>
      <c r="R1481" s="13">
        <f>CHAIN_RAW!P1481</f>
        <v/>
      </c>
      <c r="S1481" s="13">
        <f>IFERROR(R1481/Q1481,"")</f>
        <v/>
      </c>
      <c r="T1481" s="13">
        <f>IFERROR((ABS(N1481-O1481)/MAX(1,(N1481+O1481)))*EXP(-ABS(E1481-CONTROL!E5)/MAX(1,CONTROL!B8)),"")</f>
        <v/>
      </c>
      <c r="U1481" s="13">
        <f>IFERROR(IF(O1481&gt;N1481,"SUPPORT (PE OI)","RESIST (CE OI)"),"")</f>
        <v/>
      </c>
      <c r="V1481" s="13">
        <f>IFERROR(IF(Q1481&gt;0,IF(R1481&gt;0,"BOTH_ADD","CE_ADD_PE_REDUCE"),IF(R1481&gt;0,"CE_REDUCE_PE_ADD","BOTH_REDUCE")),"")</f>
        <v/>
      </c>
      <c r="W1481" s="13">
        <f>IFERROR( (P1481-1)*0.5 + (M1481)*0.1 - (I1481+J1481)*0.05 + T1481*0.4 ,"")</f>
        <v/>
      </c>
      <c r="X1481" s="13">
        <f>IFERROR(IF(ABS(F1481)&lt;0.01,"ATM/NEAR",""),"")</f>
        <v/>
      </c>
    </row>
    <row r="1482">
      <c r="A1482" s="13">
        <f>CHAIN_RAW!A1482</f>
        <v/>
      </c>
      <c r="B1482" s="14">
        <f>CHAIN_RAW!B1482</f>
        <v/>
      </c>
      <c r="C1482" s="13">
        <f>CHAIN_RAW!C1482</f>
        <v/>
      </c>
      <c r="D1482" s="13">
        <f>CHAIN_RAW!D1482</f>
        <v/>
      </c>
      <c r="E1482" s="13">
        <f>CHAIN_RAW!E1482</f>
        <v/>
      </c>
      <c r="F1482" s="13">
        <f>IFERROR((E1482-D1482)/D1482,"")</f>
        <v/>
      </c>
      <c r="G1482" s="13">
        <f>IFERROR((CHAIN_RAW!K1482+CHAIN_RAW!L1482)/2,"")</f>
        <v/>
      </c>
      <c r="H1482" s="13">
        <f>IFERROR((CHAIN_RAW!R1482+CHAIN_RAW!S1482)/2,"")</f>
        <v/>
      </c>
      <c r="I1482" s="13">
        <f>IFERROR((CHAIN_RAW!L1482-CHAIN_RAW!K1482)/MAX(1E-9, G1482),"")</f>
        <v/>
      </c>
      <c r="J1482" s="13">
        <f>IFERROR((CHAIN_RAW!S1482-CHAIN_RAW!R1482)/MAX(1E-9, H1482),"")</f>
        <v/>
      </c>
      <c r="K1482" s="13">
        <f>CHAIN_RAW!G1482</f>
        <v/>
      </c>
      <c r="L1482" s="13">
        <f>CHAIN_RAW!N1482</f>
        <v/>
      </c>
      <c r="M1482" s="13">
        <f>IFERROR(L1482-K1482,"")</f>
        <v/>
      </c>
      <c r="N1482" s="13">
        <f>CHAIN_RAW!H1482</f>
        <v/>
      </c>
      <c r="O1482" s="13">
        <f>CHAIN_RAW!O1482</f>
        <v/>
      </c>
      <c r="P1482" s="13">
        <f>IFERROR(O1482/N1482,"")</f>
        <v/>
      </c>
      <c r="Q1482" s="13">
        <f>CHAIN_RAW!I1482</f>
        <v/>
      </c>
      <c r="R1482" s="13">
        <f>CHAIN_RAW!P1482</f>
        <v/>
      </c>
      <c r="S1482" s="13">
        <f>IFERROR(R1482/Q1482,"")</f>
        <v/>
      </c>
      <c r="T1482" s="13">
        <f>IFERROR((ABS(N1482-O1482)/MAX(1,(N1482+O1482)))*EXP(-ABS(E1482-CONTROL!E5)/MAX(1,CONTROL!B8)),"")</f>
        <v/>
      </c>
      <c r="U1482" s="13">
        <f>IFERROR(IF(O1482&gt;N1482,"SUPPORT (PE OI)","RESIST (CE OI)"),"")</f>
        <v/>
      </c>
      <c r="V1482" s="13">
        <f>IFERROR(IF(Q1482&gt;0,IF(R1482&gt;0,"BOTH_ADD","CE_ADD_PE_REDUCE"),IF(R1482&gt;0,"CE_REDUCE_PE_ADD","BOTH_REDUCE")),"")</f>
        <v/>
      </c>
      <c r="W1482" s="13">
        <f>IFERROR( (P1482-1)*0.5 + (M1482)*0.1 - (I1482+J1482)*0.05 + T1482*0.4 ,"")</f>
        <v/>
      </c>
      <c r="X1482" s="13">
        <f>IFERROR(IF(ABS(F1482)&lt;0.01,"ATM/NEAR",""),"")</f>
        <v/>
      </c>
    </row>
    <row r="1483">
      <c r="A1483" s="13">
        <f>CHAIN_RAW!A1483</f>
        <v/>
      </c>
      <c r="B1483" s="14">
        <f>CHAIN_RAW!B1483</f>
        <v/>
      </c>
      <c r="C1483" s="13">
        <f>CHAIN_RAW!C1483</f>
        <v/>
      </c>
      <c r="D1483" s="13">
        <f>CHAIN_RAW!D1483</f>
        <v/>
      </c>
      <c r="E1483" s="13">
        <f>CHAIN_RAW!E1483</f>
        <v/>
      </c>
      <c r="F1483" s="13">
        <f>IFERROR((E1483-D1483)/D1483,"")</f>
        <v/>
      </c>
      <c r="G1483" s="13">
        <f>IFERROR((CHAIN_RAW!K1483+CHAIN_RAW!L1483)/2,"")</f>
        <v/>
      </c>
      <c r="H1483" s="13">
        <f>IFERROR((CHAIN_RAW!R1483+CHAIN_RAW!S1483)/2,"")</f>
        <v/>
      </c>
      <c r="I1483" s="13">
        <f>IFERROR((CHAIN_RAW!L1483-CHAIN_RAW!K1483)/MAX(1E-9, G1483),"")</f>
        <v/>
      </c>
      <c r="J1483" s="13">
        <f>IFERROR((CHAIN_RAW!S1483-CHAIN_RAW!R1483)/MAX(1E-9, H1483),"")</f>
        <v/>
      </c>
      <c r="K1483" s="13">
        <f>CHAIN_RAW!G1483</f>
        <v/>
      </c>
      <c r="L1483" s="13">
        <f>CHAIN_RAW!N1483</f>
        <v/>
      </c>
      <c r="M1483" s="13">
        <f>IFERROR(L1483-K1483,"")</f>
        <v/>
      </c>
      <c r="N1483" s="13">
        <f>CHAIN_RAW!H1483</f>
        <v/>
      </c>
      <c r="O1483" s="13">
        <f>CHAIN_RAW!O1483</f>
        <v/>
      </c>
      <c r="P1483" s="13">
        <f>IFERROR(O1483/N1483,"")</f>
        <v/>
      </c>
      <c r="Q1483" s="13">
        <f>CHAIN_RAW!I1483</f>
        <v/>
      </c>
      <c r="R1483" s="13">
        <f>CHAIN_RAW!P1483</f>
        <v/>
      </c>
      <c r="S1483" s="13">
        <f>IFERROR(R1483/Q1483,"")</f>
        <v/>
      </c>
      <c r="T1483" s="13">
        <f>IFERROR((ABS(N1483-O1483)/MAX(1,(N1483+O1483)))*EXP(-ABS(E1483-CONTROL!E5)/MAX(1,CONTROL!B8)),"")</f>
        <v/>
      </c>
      <c r="U1483" s="13">
        <f>IFERROR(IF(O1483&gt;N1483,"SUPPORT (PE OI)","RESIST (CE OI)"),"")</f>
        <v/>
      </c>
      <c r="V1483" s="13">
        <f>IFERROR(IF(Q1483&gt;0,IF(R1483&gt;0,"BOTH_ADD","CE_ADD_PE_REDUCE"),IF(R1483&gt;0,"CE_REDUCE_PE_ADD","BOTH_REDUCE")),"")</f>
        <v/>
      </c>
      <c r="W1483" s="13">
        <f>IFERROR( (P1483-1)*0.5 + (M1483)*0.1 - (I1483+J1483)*0.05 + T1483*0.4 ,"")</f>
        <v/>
      </c>
      <c r="X1483" s="13">
        <f>IFERROR(IF(ABS(F1483)&lt;0.01,"ATM/NEAR",""),"")</f>
        <v/>
      </c>
    </row>
    <row r="1484">
      <c r="A1484" s="13">
        <f>CHAIN_RAW!A1484</f>
        <v/>
      </c>
      <c r="B1484" s="14">
        <f>CHAIN_RAW!B1484</f>
        <v/>
      </c>
      <c r="C1484" s="13">
        <f>CHAIN_RAW!C1484</f>
        <v/>
      </c>
      <c r="D1484" s="13">
        <f>CHAIN_RAW!D1484</f>
        <v/>
      </c>
      <c r="E1484" s="13">
        <f>CHAIN_RAW!E1484</f>
        <v/>
      </c>
      <c r="F1484" s="13">
        <f>IFERROR((E1484-D1484)/D1484,"")</f>
        <v/>
      </c>
      <c r="G1484" s="13">
        <f>IFERROR((CHAIN_RAW!K1484+CHAIN_RAW!L1484)/2,"")</f>
        <v/>
      </c>
      <c r="H1484" s="13">
        <f>IFERROR((CHAIN_RAW!R1484+CHAIN_RAW!S1484)/2,"")</f>
        <v/>
      </c>
      <c r="I1484" s="13">
        <f>IFERROR((CHAIN_RAW!L1484-CHAIN_RAW!K1484)/MAX(1E-9, G1484),"")</f>
        <v/>
      </c>
      <c r="J1484" s="13">
        <f>IFERROR((CHAIN_RAW!S1484-CHAIN_RAW!R1484)/MAX(1E-9, H1484),"")</f>
        <v/>
      </c>
      <c r="K1484" s="13">
        <f>CHAIN_RAW!G1484</f>
        <v/>
      </c>
      <c r="L1484" s="13">
        <f>CHAIN_RAW!N1484</f>
        <v/>
      </c>
      <c r="M1484" s="13">
        <f>IFERROR(L1484-K1484,"")</f>
        <v/>
      </c>
      <c r="N1484" s="13">
        <f>CHAIN_RAW!H1484</f>
        <v/>
      </c>
      <c r="O1484" s="13">
        <f>CHAIN_RAW!O1484</f>
        <v/>
      </c>
      <c r="P1484" s="13">
        <f>IFERROR(O1484/N1484,"")</f>
        <v/>
      </c>
      <c r="Q1484" s="13">
        <f>CHAIN_RAW!I1484</f>
        <v/>
      </c>
      <c r="R1484" s="13">
        <f>CHAIN_RAW!P1484</f>
        <v/>
      </c>
      <c r="S1484" s="13">
        <f>IFERROR(R1484/Q1484,"")</f>
        <v/>
      </c>
      <c r="T1484" s="13">
        <f>IFERROR((ABS(N1484-O1484)/MAX(1,(N1484+O1484)))*EXP(-ABS(E1484-CONTROL!E5)/MAX(1,CONTROL!B8)),"")</f>
        <v/>
      </c>
      <c r="U1484" s="13">
        <f>IFERROR(IF(O1484&gt;N1484,"SUPPORT (PE OI)","RESIST (CE OI)"),"")</f>
        <v/>
      </c>
      <c r="V1484" s="13">
        <f>IFERROR(IF(Q1484&gt;0,IF(R1484&gt;0,"BOTH_ADD","CE_ADD_PE_REDUCE"),IF(R1484&gt;0,"CE_REDUCE_PE_ADD","BOTH_REDUCE")),"")</f>
        <v/>
      </c>
      <c r="W1484" s="13">
        <f>IFERROR( (P1484-1)*0.5 + (M1484)*0.1 - (I1484+J1484)*0.05 + T1484*0.4 ,"")</f>
        <v/>
      </c>
      <c r="X1484" s="13">
        <f>IFERROR(IF(ABS(F1484)&lt;0.01,"ATM/NEAR",""),"")</f>
        <v/>
      </c>
    </row>
    <row r="1485">
      <c r="A1485" s="13">
        <f>CHAIN_RAW!A1485</f>
        <v/>
      </c>
      <c r="B1485" s="14">
        <f>CHAIN_RAW!B1485</f>
        <v/>
      </c>
      <c r="C1485" s="13">
        <f>CHAIN_RAW!C1485</f>
        <v/>
      </c>
      <c r="D1485" s="13">
        <f>CHAIN_RAW!D1485</f>
        <v/>
      </c>
      <c r="E1485" s="13">
        <f>CHAIN_RAW!E1485</f>
        <v/>
      </c>
      <c r="F1485" s="13">
        <f>IFERROR((E1485-D1485)/D1485,"")</f>
        <v/>
      </c>
      <c r="G1485" s="13">
        <f>IFERROR((CHAIN_RAW!K1485+CHAIN_RAW!L1485)/2,"")</f>
        <v/>
      </c>
      <c r="H1485" s="13">
        <f>IFERROR((CHAIN_RAW!R1485+CHAIN_RAW!S1485)/2,"")</f>
        <v/>
      </c>
      <c r="I1485" s="13">
        <f>IFERROR((CHAIN_RAW!L1485-CHAIN_RAW!K1485)/MAX(1E-9, G1485),"")</f>
        <v/>
      </c>
      <c r="J1485" s="13">
        <f>IFERROR((CHAIN_RAW!S1485-CHAIN_RAW!R1485)/MAX(1E-9, H1485),"")</f>
        <v/>
      </c>
      <c r="K1485" s="13">
        <f>CHAIN_RAW!G1485</f>
        <v/>
      </c>
      <c r="L1485" s="13">
        <f>CHAIN_RAW!N1485</f>
        <v/>
      </c>
      <c r="M1485" s="13">
        <f>IFERROR(L1485-K1485,"")</f>
        <v/>
      </c>
      <c r="N1485" s="13">
        <f>CHAIN_RAW!H1485</f>
        <v/>
      </c>
      <c r="O1485" s="13">
        <f>CHAIN_RAW!O1485</f>
        <v/>
      </c>
      <c r="P1485" s="13">
        <f>IFERROR(O1485/N1485,"")</f>
        <v/>
      </c>
      <c r="Q1485" s="13">
        <f>CHAIN_RAW!I1485</f>
        <v/>
      </c>
      <c r="R1485" s="13">
        <f>CHAIN_RAW!P1485</f>
        <v/>
      </c>
      <c r="S1485" s="13">
        <f>IFERROR(R1485/Q1485,"")</f>
        <v/>
      </c>
      <c r="T1485" s="13">
        <f>IFERROR((ABS(N1485-O1485)/MAX(1,(N1485+O1485)))*EXP(-ABS(E1485-CONTROL!E5)/MAX(1,CONTROL!B8)),"")</f>
        <v/>
      </c>
      <c r="U1485" s="13">
        <f>IFERROR(IF(O1485&gt;N1485,"SUPPORT (PE OI)","RESIST (CE OI)"),"")</f>
        <v/>
      </c>
      <c r="V1485" s="13">
        <f>IFERROR(IF(Q1485&gt;0,IF(R1485&gt;0,"BOTH_ADD","CE_ADD_PE_REDUCE"),IF(R1485&gt;0,"CE_REDUCE_PE_ADD","BOTH_REDUCE")),"")</f>
        <v/>
      </c>
      <c r="W1485" s="13">
        <f>IFERROR( (P1485-1)*0.5 + (M1485)*0.1 - (I1485+J1485)*0.05 + T1485*0.4 ,"")</f>
        <v/>
      </c>
      <c r="X1485" s="13">
        <f>IFERROR(IF(ABS(F1485)&lt;0.01,"ATM/NEAR",""),"")</f>
        <v/>
      </c>
    </row>
    <row r="1486">
      <c r="A1486" s="13">
        <f>CHAIN_RAW!A1486</f>
        <v/>
      </c>
      <c r="B1486" s="14">
        <f>CHAIN_RAW!B1486</f>
        <v/>
      </c>
      <c r="C1486" s="13">
        <f>CHAIN_RAW!C1486</f>
        <v/>
      </c>
      <c r="D1486" s="13">
        <f>CHAIN_RAW!D1486</f>
        <v/>
      </c>
      <c r="E1486" s="13">
        <f>CHAIN_RAW!E1486</f>
        <v/>
      </c>
      <c r="F1486" s="13">
        <f>IFERROR((E1486-D1486)/D1486,"")</f>
        <v/>
      </c>
      <c r="G1486" s="13">
        <f>IFERROR((CHAIN_RAW!K1486+CHAIN_RAW!L1486)/2,"")</f>
        <v/>
      </c>
      <c r="H1486" s="13">
        <f>IFERROR((CHAIN_RAW!R1486+CHAIN_RAW!S1486)/2,"")</f>
        <v/>
      </c>
      <c r="I1486" s="13">
        <f>IFERROR((CHAIN_RAW!L1486-CHAIN_RAW!K1486)/MAX(1E-9, G1486),"")</f>
        <v/>
      </c>
      <c r="J1486" s="13">
        <f>IFERROR((CHAIN_RAW!S1486-CHAIN_RAW!R1486)/MAX(1E-9, H1486),"")</f>
        <v/>
      </c>
      <c r="K1486" s="13">
        <f>CHAIN_RAW!G1486</f>
        <v/>
      </c>
      <c r="L1486" s="13">
        <f>CHAIN_RAW!N1486</f>
        <v/>
      </c>
      <c r="M1486" s="13">
        <f>IFERROR(L1486-K1486,"")</f>
        <v/>
      </c>
      <c r="N1486" s="13">
        <f>CHAIN_RAW!H1486</f>
        <v/>
      </c>
      <c r="O1486" s="13">
        <f>CHAIN_RAW!O1486</f>
        <v/>
      </c>
      <c r="P1486" s="13">
        <f>IFERROR(O1486/N1486,"")</f>
        <v/>
      </c>
      <c r="Q1486" s="13">
        <f>CHAIN_RAW!I1486</f>
        <v/>
      </c>
      <c r="R1486" s="13">
        <f>CHAIN_RAW!P1486</f>
        <v/>
      </c>
      <c r="S1486" s="13">
        <f>IFERROR(R1486/Q1486,"")</f>
        <v/>
      </c>
      <c r="T1486" s="13">
        <f>IFERROR((ABS(N1486-O1486)/MAX(1,(N1486+O1486)))*EXP(-ABS(E1486-CONTROL!E5)/MAX(1,CONTROL!B8)),"")</f>
        <v/>
      </c>
      <c r="U1486" s="13">
        <f>IFERROR(IF(O1486&gt;N1486,"SUPPORT (PE OI)","RESIST (CE OI)"),"")</f>
        <v/>
      </c>
      <c r="V1486" s="13">
        <f>IFERROR(IF(Q1486&gt;0,IF(R1486&gt;0,"BOTH_ADD","CE_ADD_PE_REDUCE"),IF(R1486&gt;0,"CE_REDUCE_PE_ADD","BOTH_REDUCE")),"")</f>
        <v/>
      </c>
      <c r="W1486" s="13">
        <f>IFERROR( (P1486-1)*0.5 + (M1486)*0.1 - (I1486+J1486)*0.05 + T1486*0.4 ,"")</f>
        <v/>
      </c>
      <c r="X1486" s="13">
        <f>IFERROR(IF(ABS(F1486)&lt;0.01,"ATM/NEAR",""),"")</f>
        <v/>
      </c>
    </row>
    <row r="1487">
      <c r="A1487" s="13">
        <f>CHAIN_RAW!A1487</f>
        <v/>
      </c>
      <c r="B1487" s="14">
        <f>CHAIN_RAW!B1487</f>
        <v/>
      </c>
      <c r="C1487" s="13">
        <f>CHAIN_RAW!C1487</f>
        <v/>
      </c>
      <c r="D1487" s="13">
        <f>CHAIN_RAW!D1487</f>
        <v/>
      </c>
      <c r="E1487" s="13">
        <f>CHAIN_RAW!E1487</f>
        <v/>
      </c>
      <c r="F1487" s="13">
        <f>IFERROR((E1487-D1487)/D1487,"")</f>
        <v/>
      </c>
      <c r="G1487" s="13">
        <f>IFERROR((CHAIN_RAW!K1487+CHAIN_RAW!L1487)/2,"")</f>
        <v/>
      </c>
      <c r="H1487" s="13">
        <f>IFERROR((CHAIN_RAW!R1487+CHAIN_RAW!S1487)/2,"")</f>
        <v/>
      </c>
      <c r="I1487" s="13">
        <f>IFERROR((CHAIN_RAW!L1487-CHAIN_RAW!K1487)/MAX(1E-9, G1487),"")</f>
        <v/>
      </c>
      <c r="J1487" s="13">
        <f>IFERROR((CHAIN_RAW!S1487-CHAIN_RAW!R1487)/MAX(1E-9, H1487),"")</f>
        <v/>
      </c>
      <c r="K1487" s="13">
        <f>CHAIN_RAW!G1487</f>
        <v/>
      </c>
      <c r="L1487" s="13">
        <f>CHAIN_RAW!N1487</f>
        <v/>
      </c>
      <c r="M1487" s="13">
        <f>IFERROR(L1487-K1487,"")</f>
        <v/>
      </c>
      <c r="N1487" s="13">
        <f>CHAIN_RAW!H1487</f>
        <v/>
      </c>
      <c r="O1487" s="13">
        <f>CHAIN_RAW!O1487</f>
        <v/>
      </c>
      <c r="P1487" s="13">
        <f>IFERROR(O1487/N1487,"")</f>
        <v/>
      </c>
      <c r="Q1487" s="13">
        <f>CHAIN_RAW!I1487</f>
        <v/>
      </c>
      <c r="R1487" s="13">
        <f>CHAIN_RAW!P1487</f>
        <v/>
      </c>
      <c r="S1487" s="13">
        <f>IFERROR(R1487/Q1487,"")</f>
        <v/>
      </c>
      <c r="T1487" s="13">
        <f>IFERROR((ABS(N1487-O1487)/MAX(1,(N1487+O1487)))*EXP(-ABS(E1487-CONTROL!E5)/MAX(1,CONTROL!B8)),"")</f>
        <v/>
      </c>
      <c r="U1487" s="13">
        <f>IFERROR(IF(O1487&gt;N1487,"SUPPORT (PE OI)","RESIST (CE OI)"),"")</f>
        <v/>
      </c>
      <c r="V1487" s="13">
        <f>IFERROR(IF(Q1487&gt;0,IF(R1487&gt;0,"BOTH_ADD","CE_ADD_PE_REDUCE"),IF(R1487&gt;0,"CE_REDUCE_PE_ADD","BOTH_REDUCE")),"")</f>
        <v/>
      </c>
      <c r="W1487" s="13">
        <f>IFERROR( (P1487-1)*0.5 + (M1487)*0.1 - (I1487+J1487)*0.05 + T1487*0.4 ,"")</f>
        <v/>
      </c>
      <c r="X1487" s="13">
        <f>IFERROR(IF(ABS(F1487)&lt;0.01,"ATM/NEAR",""),"")</f>
        <v/>
      </c>
    </row>
    <row r="1488">
      <c r="A1488" s="13">
        <f>CHAIN_RAW!A1488</f>
        <v/>
      </c>
      <c r="B1488" s="14">
        <f>CHAIN_RAW!B1488</f>
        <v/>
      </c>
      <c r="C1488" s="13">
        <f>CHAIN_RAW!C1488</f>
        <v/>
      </c>
      <c r="D1488" s="13">
        <f>CHAIN_RAW!D1488</f>
        <v/>
      </c>
      <c r="E1488" s="13">
        <f>CHAIN_RAW!E1488</f>
        <v/>
      </c>
      <c r="F1488" s="13">
        <f>IFERROR((E1488-D1488)/D1488,"")</f>
        <v/>
      </c>
      <c r="G1488" s="13">
        <f>IFERROR((CHAIN_RAW!K1488+CHAIN_RAW!L1488)/2,"")</f>
        <v/>
      </c>
      <c r="H1488" s="13">
        <f>IFERROR((CHAIN_RAW!R1488+CHAIN_RAW!S1488)/2,"")</f>
        <v/>
      </c>
      <c r="I1488" s="13">
        <f>IFERROR((CHAIN_RAW!L1488-CHAIN_RAW!K1488)/MAX(1E-9, G1488),"")</f>
        <v/>
      </c>
      <c r="J1488" s="13">
        <f>IFERROR((CHAIN_RAW!S1488-CHAIN_RAW!R1488)/MAX(1E-9, H1488),"")</f>
        <v/>
      </c>
      <c r="K1488" s="13">
        <f>CHAIN_RAW!G1488</f>
        <v/>
      </c>
      <c r="L1488" s="13">
        <f>CHAIN_RAW!N1488</f>
        <v/>
      </c>
      <c r="M1488" s="13">
        <f>IFERROR(L1488-K1488,"")</f>
        <v/>
      </c>
      <c r="N1488" s="13">
        <f>CHAIN_RAW!H1488</f>
        <v/>
      </c>
      <c r="O1488" s="13">
        <f>CHAIN_RAW!O1488</f>
        <v/>
      </c>
      <c r="P1488" s="13">
        <f>IFERROR(O1488/N1488,"")</f>
        <v/>
      </c>
      <c r="Q1488" s="13">
        <f>CHAIN_RAW!I1488</f>
        <v/>
      </c>
      <c r="R1488" s="13">
        <f>CHAIN_RAW!P1488</f>
        <v/>
      </c>
      <c r="S1488" s="13">
        <f>IFERROR(R1488/Q1488,"")</f>
        <v/>
      </c>
      <c r="T1488" s="13">
        <f>IFERROR((ABS(N1488-O1488)/MAX(1,(N1488+O1488)))*EXP(-ABS(E1488-CONTROL!E5)/MAX(1,CONTROL!B8)),"")</f>
        <v/>
      </c>
      <c r="U1488" s="13">
        <f>IFERROR(IF(O1488&gt;N1488,"SUPPORT (PE OI)","RESIST (CE OI)"),"")</f>
        <v/>
      </c>
      <c r="V1488" s="13">
        <f>IFERROR(IF(Q1488&gt;0,IF(R1488&gt;0,"BOTH_ADD","CE_ADD_PE_REDUCE"),IF(R1488&gt;0,"CE_REDUCE_PE_ADD","BOTH_REDUCE")),"")</f>
        <v/>
      </c>
      <c r="W1488" s="13">
        <f>IFERROR( (P1488-1)*0.5 + (M1488)*0.1 - (I1488+J1488)*0.05 + T1488*0.4 ,"")</f>
        <v/>
      </c>
      <c r="X1488" s="13">
        <f>IFERROR(IF(ABS(F1488)&lt;0.01,"ATM/NEAR",""),"")</f>
        <v/>
      </c>
    </row>
    <row r="1489">
      <c r="A1489" s="13">
        <f>CHAIN_RAW!A1489</f>
        <v/>
      </c>
      <c r="B1489" s="14">
        <f>CHAIN_RAW!B1489</f>
        <v/>
      </c>
      <c r="C1489" s="13">
        <f>CHAIN_RAW!C1489</f>
        <v/>
      </c>
      <c r="D1489" s="13">
        <f>CHAIN_RAW!D1489</f>
        <v/>
      </c>
      <c r="E1489" s="13">
        <f>CHAIN_RAW!E1489</f>
        <v/>
      </c>
      <c r="F1489" s="13">
        <f>IFERROR((E1489-D1489)/D1489,"")</f>
        <v/>
      </c>
      <c r="G1489" s="13">
        <f>IFERROR((CHAIN_RAW!K1489+CHAIN_RAW!L1489)/2,"")</f>
        <v/>
      </c>
      <c r="H1489" s="13">
        <f>IFERROR((CHAIN_RAW!R1489+CHAIN_RAW!S1489)/2,"")</f>
        <v/>
      </c>
      <c r="I1489" s="13">
        <f>IFERROR((CHAIN_RAW!L1489-CHAIN_RAW!K1489)/MAX(1E-9, G1489),"")</f>
        <v/>
      </c>
      <c r="J1489" s="13">
        <f>IFERROR((CHAIN_RAW!S1489-CHAIN_RAW!R1489)/MAX(1E-9, H1489),"")</f>
        <v/>
      </c>
      <c r="K1489" s="13">
        <f>CHAIN_RAW!G1489</f>
        <v/>
      </c>
      <c r="L1489" s="13">
        <f>CHAIN_RAW!N1489</f>
        <v/>
      </c>
      <c r="M1489" s="13">
        <f>IFERROR(L1489-K1489,"")</f>
        <v/>
      </c>
      <c r="N1489" s="13">
        <f>CHAIN_RAW!H1489</f>
        <v/>
      </c>
      <c r="O1489" s="13">
        <f>CHAIN_RAW!O1489</f>
        <v/>
      </c>
      <c r="P1489" s="13">
        <f>IFERROR(O1489/N1489,"")</f>
        <v/>
      </c>
      <c r="Q1489" s="13">
        <f>CHAIN_RAW!I1489</f>
        <v/>
      </c>
      <c r="R1489" s="13">
        <f>CHAIN_RAW!P1489</f>
        <v/>
      </c>
      <c r="S1489" s="13">
        <f>IFERROR(R1489/Q1489,"")</f>
        <v/>
      </c>
      <c r="T1489" s="13">
        <f>IFERROR((ABS(N1489-O1489)/MAX(1,(N1489+O1489)))*EXP(-ABS(E1489-CONTROL!E5)/MAX(1,CONTROL!B8)),"")</f>
        <v/>
      </c>
      <c r="U1489" s="13">
        <f>IFERROR(IF(O1489&gt;N1489,"SUPPORT (PE OI)","RESIST (CE OI)"),"")</f>
        <v/>
      </c>
      <c r="V1489" s="13">
        <f>IFERROR(IF(Q1489&gt;0,IF(R1489&gt;0,"BOTH_ADD","CE_ADD_PE_REDUCE"),IF(R1489&gt;0,"CE_REDUCE_PE_ADD","BOTH_REDUCE")),"")</f>
        <v/>
      </c>
      <c r="W1489" s="13">
        <f>IFERROR( (P1489-1)*0.5 + (M1489)*0.1 - (I1489+J1489)*0.05 + T1489*0.4 ,"")</f>
        <v/>
      </c>
      <c r="X1489" s="13">
        <f>IFERROR(IF(ABS(F1489)&lt;0.01,"ATM/NEAR",""),"")</f>
        <v/>
      </c>
    </row>
    <row r="1490">
      <c r="A1490" s="13">
        <f>CHAIN_RAW!A1490</f>
        <v/>
      </c>
      <c r="B1490" s="14">
        <f>CHAIN_RAW!B1490</f>
        <v/>
      </c>
      <c r="C1490" s="13">
        <f>CHAIN_RAW!C1490</f>
        <v/>
      </c>
      <c r="D1490" s="13">
        <f>CHAIN_RAW!D1490</f>
        <v/>
      </c>
      <c r="E1490" s="13">
        <f>CHAIN_RAW!E1490</f>
        <v/>
      </c>
      <c r="F1490" s="13">
        <f>IFERROR((E1490-D1490)/D1490,"")</f>
        <v/>
      </c>
      <c r="G1490" s="13">
        <f>IFERROR((CHAIN_RAW!K1490+CHAIN_RAW!L1490)/2,"")</f>
        <v/>
      </c>
      <c r="H1490" s="13">
        <f>IFERROR((CHAIN_RAW!R1490+CHAIN_RAW!S1490)/2,"")</f>
        <v/>
      </c>
      <c r="I1490" s="13">
        <f>IFERROR((CHAIN_RAW!L1490-CHAIN_RAW!K1490)/MAX(1E-9, G1490),"")</f>
        <v/>
      </c>
      <c r="J1490" s="13">
        <f>IFERROR((CHAIN_RAW!S1490-CHAIN_RAW!R1490)/MAX(1E-9, H1490),"")</f>
        <v/>
      </c>
      <c r="K1490" s="13">
        <f>CHAIN_RAW!G1490</f>
        <v/>
      </c>
      <c r="L1490" s="13">
        <f>CHAIN_RAW!N1490</f>
        <v/>
      </c>
      <c r="M1490" s="13">
        <f>IFERROR(L1490-K1490,"")</f>
        <v/>
      </c>
      <c r="N1490" s="13">
        <f>CHAIN_RAW!H1490</f>
        <v/>
      </c>
      <c r="O1490" s="13">
        <f>CHAIN_RAW!O1490</f>
        <v/>
      </c>
      <c r="P1490" s="13">
        <f>IFERROR(O1490/N1490,"")</f>
        <v/>
      </c>
      <c r="Q1490" s="13">
        <f>CHAIN_RAW!I1490</f>
        <v/>
      </c>
      <c r="R1490" s="13">
        <f>CHAIN_RAW!P1490</f>
        <v/>
      </c>
      <c r="S1490" s="13">
        <f>IFERROR(R1490/Q1490,"")</f>
        <v/>
      </c>
      <c r="T1490" s="13">
        <f>IFERROR((ABS(N1490-O1490)/MAX(1,(N1490+O1490)))*EXP(-ABS(E1490-CONTROL!E5)/MAX(1,CONTROL!B8)),"")</f>
        <v/>
      </c>
      <c r="U1490" s="13">
        <f>IFERROR(IF(O1490&gt;N1490,"SUPPORT (PE OI)","RESIST (CE OI)"),"")</f>
        <v/>
      </c>
      <c r="V1490" s="13">
        <f>IFERROR(IF(Q1490&gt;0,IF(R1490&gt;0,"BOTH_ADD","CE_ADD_PE_REDUCE"),IF(R1490&gt;0,"CE_REDUCE_PE_ADD","BOTH_REDUCE")),"")</f>
        <v/>
      </c>
      <c r="W1490" s="13">
        <f>IFERROR( (P1490-1)*0.5 + (M1490)*0.1 - (I1490+J1490)*0.05 + T1490*0.4 ,"")</f>
        <v/>
      </c>
      <c r="X1490" s="13">
        <f>IFERROR(IF(ABS(F1490)&lt;0.01,"ATM/NEAR",""),"")</f>
        <v/>
      </c>
    </row>
    <row r="1491">
      <c r="A1491" s="13">
        <f>CHAIN_RAW!A1491</f>
        <v/>
      </c>
      <c r="B1491" s="14">
        <f>CHAIN_RAW!B1491</f>
        <v/>
      </c>
      <c r="C1491" s="13">
        <f>CHAIN_RAW!C1491</f>
        <v/>
      </c>
      <c r="D1491" s="13">
        <f>CHAIN_RAW!D1491</f>
        <v/>
      </c>
      <c r="E1491" s="13">
        <f>CHAIN_RAW!E1491</f>
        <v/>
      </c>
      <c r="F1491" s="13">
        <f>IFERROR((E1491-D1491)/D1491,"")</f>
        <v/>
      </c>
      <c r="G1491" s="13">
        <f>IFERROR((CHAIN_RAW!K1491+CHAIN_RAW!L1491)/2,"")</f>
        <v/>
      </c>
      <c r="H1491" s="13">
        <f>IFERROR((CHAIN_RAW!R1491+CHAIN_RAW!S1491)/2,"")</f>
        <v/>
      </c>
      <c r="I1491" s="13">
        <f>IFERROR((CHAIN_RAW!L1491-CHAIN_RAW!K1491)/MAX(1E-9, G1491),"")</f>
        <v/>
      </c>
      <c r="J1491" s="13">
        <f>IFERROR((CHAIN_RAW!S1491-CHAIN_RAW!R1491)/MAX(1E-9, H1491),"")</f>
        <v/>
      </c>
      <c r="K1491" s="13">
        <f>CHAIN_RAW!G1491</f>
        <v/>
      </c>
      <c r="L1491" s="13">
        <f>CHAIN_RAW!N1491</f>
        <v/>
      </c>
      <c r="M1491" s="13">
        <f>IFERROR(L1491-K1491,"")</f>
        <v/>
      </c>
      <c r="N1491" s="13">
        <f>CHAIN_RAW!H1491</f>
        <v/>
      </c>
      <c r="O1491" s="13">
        <f>CHAIN_RAW!O1491</f>
        <v/>
      </c>
      <c r="P1491" s="13">
        <f>IFERROR(O1491/N1491,"")</f>
        <v/>
      </c>
      <c r="Q1491" s="13">
        <f>CHAIN_RAW!I1491</f>
        <v/>
      </c>
      <c r="R1491" s="13">
        <f>CHAIN_RAW!P1491</f>
        <v/>
      </c>
      <c r="S1491" s="13">
        <f>IFERROR(R1491/Q1491,"")</f>
        <v/>
      </c>
      <c r="T1491" s="13">
        <f>IFERROR((ABS(N1491-O1491)/MAX(1,(N1491+O1491)))*EXP(-ABS(E1491-CONTROL!E5)/MAX(1,CONTROL!B8)),"")</f>
        <v/>
      </c>
      <c r="U1491" s="13">
        <f>IFERROR(IF(O1491&gt;N1491,"SUPPORT (PE OI)","RESIST (CE OI)"),"")</f>
        <v/>
      </c>
      <c r="V1491" s="13">
        <f>IFERROR(IF(Q1491&gt;0,IF(R1491&gt;0,"BOTH_ADD","CE_ADD_PE_REDUCE"),IF(R1491&gt;0,"CE_REDUCE_PE_ADD","BOTH_REDUCE")),"")</f>
        <v/>
      </c>
      <c r="W1491" s="13">
        <f>IFERROR( (P1491-1)*0.5 + (M1491)*0.1 - (I1491+J1491)*0.05 + T1491*0.4 ,"")</f>
        <v/>
      </c>
      <c r="X1491" s="13">
        <f>IFERROR(IF(ABS(F1491)&lt;0.01,"ATM/NEAR",""),"")</f>
        <v/>
      </c>
    </row>
    <row r="1492">
      <c r="A1492" s="13">
        <f>CHAIN_RAW!A1492</f>
        <v/>
      </c>
      <c r="B1492" s="14">
        <f>CHAIN_RAW!B1492</f>
        <v/>
      </c>
      <c r="C1492" s="13">
        <f>CHAIN_RAW!C1492</f>
        <v/>
      </c>
      <c r="D1492" s="13">
        <f>CHAIN_RAW!D1492</f>
        <v/>
      </c>
      <c r="E1492" s="13">
        <f>CHAIN_RAW!E1492</f>
        <v/>
      </c>
      <c r="F1492" s="13">
        <f>IFERROR((E1492-D1492)/D1492,"")</f>
        <v/>
      </c>
      <c r="G1492" s="13">
        <f>IFERROR((CHAIN_RAW!K1492+CHAIN_RAW!L1492)/2,"")</f>
        <v/>
      </c>
      <c r="H1492" s="13">
        <f>IFERROR((CHAIN_RAW!R1492+CHAIN_RAW!S1492)/2,"")</f>
        <v/>
      </c>
      <c r="I1492" s="13">
        <f>IFERROR((CHAIN_RAW!L1492-CHAIN_RAW!K1492)/MAX(1E-9, G1492),"")</f>
        <v/>
      </c>
      <c r="J1492" s="13">
        <f>IFERROR((CHAIN_RAW!S1492-CHAIN_RAW!R1492)/MAX(1E-9, H1492),"")</f>
        <v/>
      </c>
      <c r="K1492" s="13">
        <f>CHAIN_RAW!G1492</f>
        <v/>
      </c>
      <c r="L1492" s="13">
        <f>CHAIN_RAW!N1492</f>
        <v/>
      </c>
      <c r="M1492" s="13">
        <f>IFERROR(L1492-K1492,"")</f>
        <v/>
      </c>
      <c r="N1492" s="13">
        <f>CHAIN_RAW!H1492</f>
        <v/>
      </c>
      <c r="O1492" s="13">
        <f>CHAIN_RAW!O1492</f>
        <v/>
      </c>
      <c r="P1492" s="13">
        <f>IFERROR(O1492/N1492,"")</f>
        <v/>
      </c>
      <c r="Q1492" s="13">
        <f>CHAIN_RAW!I1492</f>
        <v/>
      </c>
      <c r="R1492" s="13">
        <f>CHAIN_RAW!P1492</f>
        <v/>
      </c>
      <c r="S1492" s="13">
        <f>IFERROR(R1492/Q1492,"")</f>
        <v/>
      </c>
      <c r="T1492" s="13">
        <f>IFERROR((ABS(N1492-O1492)/MAX(1,(N1492+O1492)))*EXP(-ABS(E1492-CONTROL!E5)/MAX(1,CONTROL!B8)),"")</f>
        <v/>
      </c>
      <c r="U1492" s="13">
        <f>IFERROR(IF(O1492&gt;N1492,"SUPPORT (PE OI)","RESIST (CE OI)"),"")</f>
        <v/>
      </c>
      <c r="V1492" s="13">
        <f>IFERROR(IF(Q1492&gt;0,IF(R1492&gt;0,"BOTH_ADD","CE_ADD_PE_REDUCE"),IF(R1492&gt;0,"CE_REDUCE_PE_ADD","BOTH_REDUCE")),"")</f>
        <v/>
      </c>
      <c r="W1492" s="13">
        <f>IFERROR( (P1492-1)*0.5 + (M1492)*0.1 - (I1492+J1492)*0.05 + T1492*0.4 ,"")</f>
        <v/>
      </c>
      <c r="X1492" s="13">
        <f>IFERROR(IF(ABS(F1492)&lt;0.01,"ATM/NEAR",""),"")</f>
        <v/>
      </c>
    </row>
    <row r="1493">
      <c r="A1493" s="13">
        <f>CHAIN_RAW!A1493</f>
        <v/>
      </c>
      <c r="B1493" s="14">
        <f>CHAIN_RAW!B1493</f>
        <v/>
      </c>
      <c r="C1493" s="13">
        <f>CHAIN_RAW!C1493</f>
        <v/>
      </c>
      <c r="D1493" s="13">
        <f>CHAIN_RAW!D1493</f>
        <v/>
      </c>
      <c r="E1493" s="13">
        <f>CHAIN_RAW!E1493</f>
        <v/>
      </c>
      <c r="F1493" s="13">
        <f>IFERROR((E1493-D1493)/D1493,"")</f>
        <v/>
      </c>
      <c r="G1493" s="13">
        <f>IFERROR((CHAIN_RAW!K1493+CHAIN_RAW!L1493)/2,"")</f>
        <v/>
      </c>
      <c r="H1493" s="13">
        <f>IFERROR((CHAIN_RAW!R1493+CHAIN_RAW!S1493)/2,"")</f>
        <v/>
      </c>
      <c r="I1493" s="13">
        <f>IFERROR((CHAIN_RAW!L1493-CHAIN_RAW!K1493)/MAX(1E-9, G1493),"")</f>
        <v/>
      </c>
      <c r="J1493" s="13">
        <f>IFERROR((CHAIN_RAW!S1493-CHAIN_RAW!R1493)/MAX(1E-9, H1493),"")</f>
        <v/>
      </c>
      <c r="K1493" s="13">
        <f>CHAIN_RAW!G1493</f>
        <v/>
      </c>
      <c r="L1493" s="13">
        <f>CHAIN_RAW!N1493</f>
        <v/>
      </c>
      <c r="M1493" s="13">
        <f>IFERROR(L1493-K1493,"")</f>
        <v/>
      </c>
      <c r="N1493" s="13">
        <f>CHAIN_RAW!H1493</f>
        <v/>
      </c>
      <c r="O1493" s="13">
        <f>CHAIN_RAW!O1493</f>
        <v/>
      </c>
      <c r="P1493" s="13">
        <f>IFERROR(O1493/N1493,"")</f>
        <v/>
      </c>
      <c r="Q1493" s="13">
        <f>CHAIN_RAW!I1493</f>
        <v/>
      </c>
      <c r="R1493" s="13">
        <f>CHAIN_RAW!P1493</f>
        <v/>
      </c>
      <c r="S1493" s="13">
        <f>IFERROR(R1493/Q1493,"")</f>
        <v/>
      </c>
      <c r="T1493" s="13">
        <f>IFERROR((ABS(N1493-O1493)/MAX(1,(N1493+O1493)))*EXP(-ABS(E1493-CONTROL!E5)/MAX(1,CONTROL!B8)),"")</f>
        <v/>
      </c>
      <c r="U1493" s="13">
        <f>IFERROR(IF(O1493&gt;N1493,"SUPPORT (PE OI)","RESIST (CE OI)"),"")</f>
        <v/>
      </c>
      <c r="V1493" s="13">
        <f>IFERROR(IF(Q1493&gt;0,IF(R1493&gt;0,"BOTH_ADD","CE_ADD_PE_REDUCE"),IF(R1493&gt;0,"CE_REDUCE_PE_ADD","BOTH_REDUCE")),"")</f>
        <v/>
      </c>
      <c r="W1493" s="13">
        <f>IFERROR( (P1493-1)*0.5 + (M1493)*0.1 - (I1493+J1493)*0.05 + T1493*0.4 ,"")</f>
        <v/>
      </c>
      <c r="X1493" s="13">
        <f>IFERROR(IF(ABS(F1493)&lt;0.01,"ATM/NEAR",""),"")</f>
        <v/>
      </c>
    </row>
    <row r="1494">
      <c r="A1494" s="13">
        <f>CHAIN_RAW!A1494</f>
        <v/>
      </c>
      <c r="B1494" s="14">
        <f>CHAIN_RAW!B1494</f>
        <v/>
      </c>
      <c r="C1494" s="13">
        <f>CHAIN_RAW!C1494</f>
        <v/>
      </c>
      <c r="D1494" s="13">
        <f>CHAIN_RAW!D1494</f>
        <v/>
      </c>
      <c r="E1494" s="13">
        <f>CHAIN_RAW!E1494</f>
        <v/>
      </c>
      <c r="F1494" s="13">
        <f>IFERROR((E1494-D1494)/D1494,"")</f>
        <v/>
      </c>
      <c r="G1494" s="13">
        <f>IFERROR((CHAIN_RAW!K1494+CHAIN_RAW!L1494)/2,"")</f>
        <v/>
      </c>
      <c r="H1494" s="13">
        <f>IFERROR((CHAIN_RAW!R1494+CHAIN_RAW!S1494)/2,"")</f>
        <v/>
      </c>
      <c r="I1494" s="13">
        <f>IFERROR((CHAIN_RAW!L1494-CHAIN_RAW!K1494)/MAX(1E-9, G1494),"")</f>
        <v/>
      </c>
      <c r="J1494" s="13">
        <f>IFERROR((CHAIN_RAW!S1494-CHAIN_RAW!R1494)/MAX(1E-9, H1494),"")</f>
        <v/>
      </c>
      <c r="K1494" s="13">
        <f>CHAIN_RAW!G1494</f>
        <v/>
      </c>
      <c r="L1494" s="13">
        <f>CHAIN_RAW!N1494</f>
        <v/>
      </c>
      <c r="M1494" s="13">
        <f>IFERROR(L1494-K1494,"")</f>
        <v/>
      </c>
      <c r="N1494" s="13">
        <f>CHAIN_RAW!H1494</f>
        <v/>
      </c>
      <c r="O1494" s="13">
        <f>CHAIN_RAW!O1494</f>
        <v/>
      </c>
      <c r="P1494" s="13">
        <f>IFERROR(O1494/N1494,"")</f>
        <v/>
      </c>
      <c r="Q1494" s="13">
        <f>CHAIN_RAW!I1494</f>
        <v/>
      </c>
      <c r="R1494" s="13">
        <f>CHAIN_RAW!P1494</f>
        <v/>
      </c>
      <c r="S1494" s="13">
        <f>IFERROR(R1494/Q1494,"")</f>
        <v/>
      </c>
      <c r="T1494" s="13">
        <f>IFERROR((ABS(N1494-O1494)/MAX(1,(N1494+O1494)))*EXP(-ABS(E1494-CONTROL!E5)/MAX(1,CONTROL!B8)),"")</f>
        <v/>
      </c>
      <c r="U1494" s="13">
        <f>IFERROR(IF(O1494&gt;N1494,"SUPPORT (PE OI)","RESIST (CE OI)"),"")</f>
        <v/>
      </c>
      <c r="V1494" s="13">
        <f>IFERROR(IF(Q1494&gt;0,IF(R1494&gt;0,"BOTH_ADD","CE_ADD_PE_REDUCE"),IF(R1494&gt;0,"CE_REDUCE_PE_ADD","BOTH_REDUCE")),"")</f>
        <v/>
      </c>
      <c r="W1494" s="13">
        <f>IFERROR( (P1494-1)*0.5 + (M1494)*0.1 - (I1494+J1494)*0.05 + T1494*0.4 ,"")</f>
        <v/>
      </c>
      <c r="X1494" s="13">
        <f>IFERROR(IF(ABS(F1494)&lt;0.01,"ATM/NEAR",""),"")</f>
        <v/>
      </c>
    </row>
    <row r="1495">
      <c r="A1495" s="13">
        <f>CHAIN_RAW!A1495</f>
        <v/>
      </c>
      <c r="B1495" s="14">
        <f>CHAIN_RAW!B1495</f>
        <v/>
      </c>
      <c r="C1495" s="13">
        <f>CHAIN_RAW!C1495</f>
        <v/>
      </c>
      <c r="D1495" s="13">
        <f>CHAIN_RAW!D1495</f>
        <v/>
      </c>
      <c r="E1495" s="13">
        <f>CHAIN_RAW!E1495</f>
        <v/>
      </c>
      <c r="F1495" s="13">
        <f>IFERROR((E1495-D1495)/D1495,"")</f>
        <v/>
      </c>
      <c r="G1495" s="13">
        <f>IFERROR((CHAIN_RAW!K1495+CHAIN_RAW!L1495)/2,"")</f>
        <v/>
      </c>
      <c r="H1495" s="13">
        <f>IFERROR((CHAIN_RAW!R1495+CHAIN_RAW!S1495)/2,"")</f>
        <v/>
      </c>
      <c r="I1495" s="13">
        <f>IFERROR((CHAIN_RAW!L1495-CHAIN_RAW!K1495)/MAX(1E-9, G1495),"")</f>
        <v/>
      </c>
      <c r="J1495" s="13">
        <f>IFERROR((CHAIN_RAW!S1495-CHAIN_RAW!R1495)/MAX(1E-9, H1495),"")</f>
        <v/>
      </c>
      <c r="K1495" s="13">
        <f>CHAIN_RAW!G1495</f>
        <v/>
      </c>
      <c r="L1495" s="13">
        <f>CHAIN_RAW!N1495</f>
        <v/>
      </c>
      <c r="M1495" s="13">
        <f>IFERROR(L1495-K1495,"")</f>
        <v/>
      </c>
      <c r="N1495" s="13">
        <f>CHAIN_RAW!H1495</f>
        <v/>
      </c>
      <c r="O1495" s="13">
        <f>CHAIN_RAW!O1495</f>
        <v/>
      </c>
      <c r="P1495" s="13">
        <f>IFERROR(O1495/N1495,"")</f>
        <v/>
      </c>
      <c r="Q1495" s="13">
        <f>CHAIN_RAW!I1495</f>
        <v/>
      </c>
      <c r="R1495" s="13">
        <f>CHAIN_RAW!P1495</f>
        <v/>
      </c>
      <c r="S1495" s="13">
        <f>IFERROR(R1495/Q1495,"")</f>
        <v/>
      </c>
      <c r="T1495" s="13">
        <f>IFERROR((ABS(N1495-O1495)/MAX(1,(N1495+O1495)))*EXP(-ABS(E1495-CONTROL!E5)/MAX(1,CONTROL!B8)),"")</f>
        <v/>
      </c>
      <c r="U1495" s="13">
        <f>IFERROR(IF(O1495&gt;N1495,"SUPPORT (PE OI)","RESIST (CE OI)"),"")</f>
        <v/>
      </c>
      <c r="V1495" s="13">
        <f>IFERROR(IF(Q1495&gt;0,IF(R1495&gt;0,"BOTH_ADD","CE_ADD_PE_REDUCE"),IF(R1495&gt;0,"CE_REDUCE_PE_ADD","BOTH_REDUCE")),"")</f>
        <v/>
      </c>
      <c r="W1495" s="13">
        <f>IFERROR( (P1495-1)*0.5 + (M1495)*0.1 - (I1495+J1495)*0.05 + T1495*0.4 ,"")</f>
        <v/>
      </c>
      <c r="X1495" s="13">
        <f>IFERROR(IF(ABS(F1495)&lt;0.01,"ATM/NEAR",""),"")</f>
        <v/>
      </c>
    </row>
    <row r="1496">
      <c r="A1496" s="13">
        <f>CHAIN_RAW!A1496</f>
        <v/>
      </c>
      <c r="B1496" s="14">
        <f>CHAIN_RAW!B1496</f>
        <v/>
      </c>
      <c r="C1496" s="13">
        <f>CHAIN_RAW!C1496</f>
        <v/>
      </c>
      <c r="D1496" s="13">
        <f>CHAIN_RAW!D1496</f>
        <v/>
      </c>
      <c r="E1496" s="13">
        <f>CHAIN_RAW!E1496</f>
        <v/>
      </c>
      <c r="F1496" s="13">
        <f>IFERROR((E1496-D1496)/D1496,"")</f>
        <v/>
      </c>
      <c r="G1496" s="13">
        <f>IFERROR((CHAIN_RAW!K1496+CHAIN_RAW!L1496)/2,"")</f>
        <v/>
      </c>
      <c r="H1496" s="13">
        <f>IFERROR((CHAIN_RAW!R1496+CHAIN_RAW!S1496)/2,"")</f>
        <v/>
      </c>
      <c r="I1496" s="13">
        <f>IFERROR((CHAIN_RAW!L1496-CHAIN_RAW!K1496)/MAX(1E-9, G1496),"")</f>
        <v/>
      </c>
      <c r="J1496" s="13">
        <f>IFERROR((CHAIN_RAW!S1496-CHAIN_RAW!R1496)/MAX(1E-9, H1496),"")</f>
        <v/>
      </c>
      <c r="K1496" s="13">
        <f>CHAIN_RAW!G1496</f>
        <v/>
      </c>
      <c r="L1496" s="13">
        <f>CHAIN_RAW!N1496</f>
        <v/>
      </c>
      <c r="M1496" s="13">
        <f>IFERROR(L1496-K1496,"")</f>
        <v/>
      </c>
      <c r="N1496" s="13">
        <f>CHAIN_RAW!H1496</f>
        <v/>
      </c>
      <c r="O1496" s="13">
        <f>CHAIN_RAW!O1496</f>
        <v/>
      </c>
      <c r="P1496" s="13">
        <f>IFERROR(O1496/N1496,"")</f>
        <v/>
      </c>
      <c r="Q1496" s="13">
        <f>CHAIN_RAW!I1496</f>
        <v/>
      </c>
      <c r="R1496" s="13">
        <f>CHAIN_RAW!P1496</f>
        <v/>
      </c>
      <c r="S1496" s="13">
        <f>IFERROR(R1496/Q1496,"")</f>
        <v/>
      </c>
      <c r="T1496" s="13">
        <f>IFERROR((ABS(N1496-O1496)/MAX(1,(N1496+O1496)))*EXP(-ABS(E1496-CONTROL!E5)/MAX(1,CONTROL!B8)),"")</f>
        <v/>
      </c>
      <c r="U1496" s="13">
        <f>IFERROR(IF(O1496&gt;N1496,"SUPPORT (PE OI)","RESIST (CE OI)"),"")</f>
        <v/>
      </c>
      <c r="V1496" s="13">
        <f>IFERROR(IF(Q1496&gt;0,IF(R1496&gt;0,"BOTH_ADD","CE_ADD_PE_REDUCE"),IF(R1496&gt;0,"CE_REDUCE_PE_ADD","BOTH_REDUCE")),"")</f>
        <v/>
      </c>
      <c r="W1496" s="13">
        <f>IFERROR( (P1496-1)*0.5 + (M1496)*0.1 - (I1496+J1496)*0.05 + T1496*0.4 ,"")</f>
        <v/>
      </c>
      <c r="X1496" s="13">
        <f>IFERROR(IF(ABS(F1496)&lt;0.01,"ATM/NEAR",""),"")</f>
        <v/>
      </c>
    </row>
    <row r="1497">
      <c r="A1497" s="13">
        <f>CHAIN_RAW!A1497</f>
        <v/>
      </c>
      <c r="B1497" s="14">
        <f>CHAIN_RAW!B1497</f>
        <v/>
      </c>
      <c r="C1497" s="13">
        <f>CHAIN_RAW!C1497</f>
        <v/>
      </c>
      <c r="D1497" s="13">
        <f>CHAIN_RAW!D1497</f>
        <v/>
      </c>
      <c r="E1497" s="13">
        <f>CHAIN_RAW!E1497</f>
        <v/>
      </c>
      <c r="F1497" s="13">
        <f>IFERROR((E1497-D1497)/D1497,"")</f>
        <v/>
      </c>
      <c r="G1497" s="13">
        <f>IFERROR((CHAIN_RAW!K1497+CHAIN_RAW!L1497)/2,"")</f>
        <v/>
      </c>
      <c r="H1497" s="13">
        <f>IFERROR((CHAIN_RAW!R1497+CHAIN_RAW!S1497)/2,"")</f>
        <v/>
      </c>
      <c r="I1497" s="13">
        <f>IFERROR((CHAIN_RAW!L1497-CHAIN_RAW!K1497)/MAX(1E-9, G1497),"")</f>
        <v/>
      </c>
      <c r="J1497" s="13">
        <f>IFERROR((CHAIN_RAW!S1497-CHAIN_RAW!R1497)/MAX(1E-9, H1497),"")</f>
        <v/>
      </c>
      <c r="K1497" s="13">
        <f>CHAIN_RAW!G1497</f>
        <v/>
      </c>
      <c r="L1497" s="13">
        <f>CHAIN_RAW!N1497</f>
        <v/>
      </c>
      <c r="M1497" s="13">
        <f>IFERROR(L1497-K1497,"")</f>
        <v/>
      </c>
      <c r="N1497" s="13">
        <f>CHAIN_RAW!H1497</f>
        <v/>
      </c>
      <c r="O1497" s="13">
        <f>CHAIN_RAW!O1497</f>
        <v/>
      </c>
      <c r="P1497" s="13">
        <f>IFERROR(O1497/N1497,"")</f>
        <v/>
      </c>
      <c r="Q1497" s="13">
        <f>CHAIN_RAW!I1497</f>
        <v/>
      </c>
      <c r="R1497" s="13">
        <f>CHAIN_RAW!P1497</f>
        <v/>
      </c>
      <c r="S1497" s="13">
        <f>IFERROR(R1497/Q1497,"")</f>
        <v/>
      </c>
      <c r="T1497" s="13">
        <f>IFERROR((ABS(N1497-O1497)/MAX(1,(N1497+O1497)))*EXP(-ABS(E1497-CONTROL!E5)/MAX(1,CONTROL!B8)),"")</f>
        <v/>
      </c>
      <c r="U1497" s="13">
        <f>IFERROR(IF(O1497&gt;N1497,"SUPPORT (PE OI)","RESIST (CE OI)"),"")</f>
        <v/>
      </c>
      <c r="V1497" s="13">
        <f>IFERROR(IF(Q1497&gt;0,IF(R1497&gt;0,"BOTH_ADD","CE_ADD_PE_REDUCE"),IF(R1497&gt;0,"CE_REDUCE_PE_ADD","BOTH_REDUCE")),"")</f>
        <v/>
      </c>
      <c r="W1497" s="13">
        <f>IFERROR( (P1497-1)*0.5 + (M1497)*0.1 - (I1497+J1497)*0.05 + T1497*0.4 ,"")</f>
        <v/>
      </c>
      <c r="X1497" s="13">
        <f>IFERROR(IF(ABS(F1497)&lt;0.01,"ATM/NEAR",""),"")</f>
        <v/>
      </c>
    </row>
    <row r="1498">
      <c r="A1498" s="13">
        <f>CHAIN_RAW!A1498</f>
        <v/>
      </c>
      <c r="B1498" s="14">
        <f>CHAIN_RAW!B1498</f>
        <v/>
      </c>
      <c r="C1498" s="13">
        <f>CHAIN_RAW!C1498</f>
        <v/>
      </c>
      <c r="D1498" s="13">
        <f>CHAIN_RAW!D1498</f>
        <v/>
      </c>
      <c r="E1498" s="13">
        <f>CHAIN_RAW!E1498</f>
        <v/>
      </c>
      <c r="F1498" s="13">
        <f>IFERROR((E1498-D1498)/D1498,"")</f>
        <v/>
      </c>
      <c r="G1498" s="13">
        <f>IFERROR((CHAIN_RAW!K1498+CHAIN_RAW!L1498)/2,"")</f>
        <v/>
      </c>
      <c r="H1498" s="13">
        <f>IFERROR((CHAIN_RAW!R1498+CHAIN_RAW!S1498)/2,"")</f>
        <v/>
      </c>
      <c r="I1498" s="13">
        <f>IFERROR((CHAIN_RAW!L1498-CHAIN_RAW!K1498)/MAX(1E-9, G1498),"")</f>
        <v/>
      </c>
      <c r="J1498" s="13">
        <f>IFERROR((CHAIN_RAW!S1498-CHAIN_RAW!R1498)/MAX(1E-9, H1498),"")</f>
        <v/>
      </c>
      <c r="K1498" s="13">
        <f>CHAIN_RAW!G1498</f>
        <v/>
      </c>
      <c r="L1498" s="13">
        <f>CHAIN_RAW!N1498</f>
        <v/>
      </c>
      <c r="M1498" s="13">
        <f>IFERROR(L1498-K1498,"")</f>
        <v/>
      </c>
      <c r="N1498" s="13">
        <f>CHAIN_RAW!H1498</f>
        <v/>
      </c>
      <c r="O1498" s="13">
        <f>CHAIN_RAW!O1498</f>
        <v/>
      </c>
      <c r="P1498" s="13">
        <f>IFERROR(O1498/N1498,"")</f>
        <v/>
      </c>
      <c r="Q1498" s="13">
        <f>CHAIN_RAW!I1498</f>
        <v/>
      </c>
      <c r="R1498" s="13">
        <f>CHAIN_RAW!P1498</f>
        <v/>
      </c>
      <c r="S1498" s="13">
        <f>IFERROR(R1498/Q1498,"")</f>
        <v/>
      </c>
      <c r="T1498" s="13">
        <f>IFERROR((ABS(N1498-O1498)/MAX(1,(N1498+O1498)))*EXP(-ABS(E1498-CONTROL!E5)/MAX(1,CONTROL!B8)),"")</f>
        <v/>
      </c>
      <c r="U1498" s="13">
        <f>IFERROR(IF(O1498&gt;N1498,"SUPPORT (PE OI)","RESIST (CE OI)"),"")</f>
        <v/>
      </c>
      <c r="V1498" s="13">
        <f>IFERROR(IF(Q1498&gt;0,IF(R1498&gt;0,"BOTH_ADD","CE_ADD_PE_REDUCE"),IF(R1498&gt;0,"CE_REDUCE_PE_ADD","BOTH_REDUCE")),"")</f>
        <v/>
      </c>
      <c r="W1498" s="13">
        <f>IFERROR( (P1498-1)*0.5 + (M1498)*0.1 - (I1498+J1498)*0.05 + T1498*0.4 ,"")</f>
        <v/>
      </c>
      <c r="X1498" s="13">
        <f>IFERROR(IF(ABS(F1498)&lt;0.01,"ATM/NEAR",""),"")</f>
        <v/>
      </c>
    </row>
    <row r="1499">
      <c r="A1499" s="13">
        <f>CHAIN_RAW!A1499</f>
        <v/>
      </c>
      <c r="B1499" s="14">
        <f>CHAIN_RAW!B1499</f>
        <v/>
      </c>
      <c r="C1499" s="13">
        <f>CHAIN_RAW!C1499</f>
        <v/>
      </c>
      <c r="D1499" s="13">
        <f>CHAIN_RAW!D1499</f>
        <v/>
      </c>
      <c r="E1499" s="13">
        <f>CHAIN_RAW!E1499</f>
        <v/>
      </c>
      <c r="F1499" s="13">
        <f>IFERROR((E1499-D1499)/D1499,"")</f>
        <v/>
      </c>
      <c r="G1499" s="13">
        <f>IFERROR((CHAIN_RAW!K1499+CHAIN_RAW!L1499)/2,"")</f>
        <v/>
      </c>
      <c r="H1499" s="13">
        <f>IFERROR((CHAIN_RAW!R1499+CHAIN_RAW!S1499)/2,"")</f>
        <v/>
      </c>
      <c r="I1499" s="13">
        <f>IFERROR((CHAIN_RAW!L1499-CHAIN_RAW!K1499)/MAX(1E-9, G1499),"")</f>
        <v/>
      </c>
      <c r="J1499" s="13">
        <f>IFERROR((CHAIN_RAW!S1499-CHAIN_RAW!R1499)/MAX(1E-9, H1499),"")</f>
        <v/>
      </c>
      <c r="K1499" s="13">
        <f>CHAIN_RAW!G1499</f>
        <v/>
      </c>
      <c r="L1499" s="13">
        <f>CHAIN_RAW!N1499</f>
        <v/>
      </c>
      <c r="M1499" s="13">
        <f>IFERROR(L1499-K1499,"")</f>
        <v/>
      </c>
      <c r="N1499" s="13">
        <f>CHAIN_RAW!H1499</f>
        <v/>
      </c>
      <c r="O1499" s="13">
        <f>CHAIN_RAW!O1499</f>
        <v/>
      </c>
      <c r="P1499" s="13">
        <f>IFERROR(O1499/N1499,"")</f>
        <v/>
      </c>
      <c r="Q1499" s="13">
        <f>CHAIN_RAW!I1499</f>
        <v/>
      </c>
      <c r="R1499" s="13">
        <f>CHAIN_RAW!P1499</f>
        <v/>
      </c>
      <c r="S1499" s="13">
        <f>IFERROR(R1499/Q1499,"")</f>
        <v/>
      </c>
      <c r="T1499" s="13">
        <f>IFERROR((ABS(N1499-O1499)/MAX(1,(N1499+O1499)))*EXP(-ABS(E1499-CONTROL!E5)/MAX(1,CONTROL!B8)),"")</f>
        <v/>
      </c>
      <c r="U1499" s="13">
        <f>IFERROR(IF(O1499&gt;N1499,"SUPPORT (PE OI)","RESIST (CE OI)"),"")</f>
        <v/>
      </c>
      <c r="V1499" s="13">
        <f>IFERROR(IF(Q1499&gt;0,IF(R1499&gt;0,"BOTH_ADD","CE_ADD_PE_REDUCE"),IF(R1499&gt;0,"CE_REDUCE_PE_ADD","BOTH_REDUCE")),"")</f>
        <v/>
      </c>
      <c r="W1499" s="13">
        <f>IFERROR( (P1499-1)*0.5 + (M1499)*0.1 - (I1499+J1499)*0.05 + T1499*0.4 ,"")</f>
        <v/>
      </c>
      <c r="X1499" s="13">
        <f>IFERROR(IF(ABS(F1499)&lt;0.01,"ATM/NEAR",""),"")</f>
        <v/>
      </c>
    </row>
    <row r="1500">
      <c r="A1500" s="13">
        <f>CHAIN_RAW!A1500</f>
        <v/>
      </c>
      <c r="B1500" s="14">
        <f>CHAIN_RAW!B1500</f>
        <v/>
      </c>
      <c r="C1500" s="13">
        <f>CHAIN_RAW!C1500</f>
        <v/>
      </c>
      <c r="D1500" s="13">
        <f>CHAIN_RAW!D1500</f>
        <v/>
      </c>
      <c r="E1500" s="13">
        <f>CHAIN_RAW!E1500</f>
        <v/>
      </c>
      <c r="F1500" s="13">
        <f>IFERROR((E1500-D1500)/D1500,"")</f>
        <v/>
      </c>
      <c r="G1500" s="13">
        <f>IFERROR((CHAIN_RAW!K1500+CHAIN_RAW!L1500)/2,"")</f>
        <v/>
      </c>
      <c r="H1500" s="13">
        <f>IFERROR((CHAIN_RAW!R1500+CHAIN_RAW!S1500)/2,"")</f>
        <v/>
      </c>
      <c r="I1500" s="13">
        <f>IFERROR((CHAIN_RAW!L1500-CHAIN_RAW!K1500)/MAX(1E-9, G1500),"")</f>
        <v/>
      </c>
      <c r="J1500" s="13">
        <f>IFERROR((CHAIN_RAW!S1500-CHAIN_RAW!R1500)/MAX(1E-9, H1500),"")</f>
        <v/>
      </c>
      <c r="K1500" s="13">
        <f>CHAIN_RAW!G1500</f>
        <v/>
      </c>
      <c r="L1500" s="13">
        <f>CHAIN_RAW!N1500</f>
        <v/>
      </c>
      <c r="M1500" s="13">
        <f>IFERROR(L1500-K1500,"")</f>
        <v/>
      </c>
      <c r="N1500" s="13">
        <f>CHAIN_RAW!H1500</f>
        <v/>
      </c>
      <c r="O1500" s="13">
        <f>CHAIN_RAW!O1500</f>
        <v/>
      </c>
      <c r="P1500" s="13">
        <f>IFERROR(O1500/N1500,"")</f>
        <v/>
      </c>
      <c r="Q1500" s="13">
        <f>CHAIN_RAW!I1500</f>
        <v/>
      </c>
      <c r="R1500" s="13">
        <f>CHAIN_RAW!P1500</f>
        <v/>
      </c>
      <c r="S1500" s="13">
        <f>IFERROR(R1500/Q1500,"")</f>
        <v/>
      </c>
      <c r="T1500" s="13">
        <f>IFERROR((ABS(N1500-O1500)/MAX(1,(N1500+O1500)))*EXP(-ABS(E1500-CONTROL!E5)/MAX(1,CONTROL!B8)),"")</f>
        <v/>
      </c>
      <c r="U1500" s="13">
        <f>IFERROR(IF(O1500&gt;N1500,"SUPPORT (PE OI)","RESIST (CE OI)"),"")</f>
        <v/>
      </c>
      <c r="V1500" s="13">
        <f>IFERROR(IF(Q1500&gt;0,IF(R1500&gt;0,"BOTH_ADD","CE_ADD_PE_REDUCE"),IF(R1500&gt;0,"CE_REDUCE_PE_ADD","BOTH_REDUCE")),"")</f>
        <v/>
      </c>
      <c r="W1500" s="13">
        <f>IFERROR( (P1500-1)*0.5 + (M1500)*0.1 - (I1500+J1500)*0.05 + T1500*0.4 ,"")</f>
        <v/>
      </c>
      <c r="X1500" s="13">
        <f>IFERROR(IF(ABS(F1500)&lt;0.01,"ATM/NEAR",""),"")</f>
        <v/>
      </c>
    </row>
    <row r="1501">
      <c r="A1501" s="13">
        <f>CHAIN_RAW!A1501</f>
        <v/>
      </c>
      <c r="B1501" s="14">
        <f>CHAIN_RAW!B1501</f>
        <v/>
      </c>
      <c r="C1501" s="13">
        <f>CHAIN_RAW!C1501</f>
        <v/>
      </c>
      <c r="D1501" s="13">
        <f>CHAIN_RAW!D1501</f>
        <v/>
      </c>
      <c r="E1501" s="13">
        <f>CHAIN_RAW!E1501</f>
        <v/>
      </c>
      <c r="F1501" s="13">
        <f>IFERROR((E1501-D1501)/D1501,"")</f>
        <v/>
      </c>
      <c r="G1501" s="13">
        <f>IFERROR((CHAIN_RAW!K1501+CHAIN_RAW!L1501)/2,"")</f>
        <v/>
      </c>
      <c r="H1501" s="13">
        <f>IFERROR((CHAIN_RAW!R1501+CHAIN_RAW!S1501)/2,"")</f>
        <v/>
      </c>
      <c r="I1501" s="13">
        <f>IFERROR((CHAIN_RAW!L1501-CHAIN_RAW!K1501)/MAX(1E-9, G1501),"")</f>
        <v/>
      </c>
      <c r="J1501" s="13">
        <f>IFERROR((CHAIN_RAW!S1501-CHAIN_RAW!R1501)/MAX(1E-9, H1501),"")</f>
        <v/>
      </c>
      <c r="K1501" s="13">
        <f>CHAIN_RAW!G1501</f>
        <v/>
      </c>
      <c r="L1501" s="13">
        <f>CHAIN_RAW!N1501</f>
        <v/>
      </c>
      <c r="M1501" s="13">
        <f>IFERROR(L1501-K1501,"")</f>
        <v/>
      </c>
      <c r="N1501" s="13">
        <f>CHAIN_RAW!H1501</f>
        <v/>
      </c>
      <c r="O1501" s="13">
        <f>CHAIN_RAW!O1501</f>
        <v/>
      </c>
      <c r="P1501" s="13">
        <f>IFERROR(O1501/N1501,"")</f>
        <v/>
      </c>
      <c r="Q1501" s="13">
        <f>CHAIN_RAW!I1501</f>
        <v/>
      </c>
      <c r="R1501" s="13">
        <f>CHAIN_RAW!P1501</f>
        <v/>
      </c>
      <c r="S1501" s="13">
        <f>IFERROR(R1501/Q1501,"")</f>
        <v/>
      </c>
      <c r="T1501" s="13">
        <f>IFERROR((ABS(N1501-O1501)/MAX(1,(N1501+O1501)))*EXP(-ABS(E1501-CONTROL!E5)/MAX(1,CONTROL!B8)),"")</f>
        <v/>
      </c>
      <c r="U1501" s="13">
        <f>IFERROR(IF(O1501&gt;N1501,"SUPPORT (PE OI)","RESIST (CE OI)"),"")</f>
        <v/>
      </c>
      <c r="V1501" s="13">
        <f>IFERROR(IF(Q1501&gt;0,IF(R1501&gt;0,"BOTH_ADD","CE_ADD_PE_REDUCE"),IF(R1501&gt;0,"CE_REDUCE_PE_ADD","BOTH_REDUCE")),"")</f>
        <v/>
      </c>
      <c r="W1501" s="13">
        <f>IFERROR( (P1501-1)*0.5 + (M1501)*0.1 - (I1501+J1501)*0.05 + T1501*0.4 ,"")</f>
        <v/>
      </c>
      <c r="X1501" s="13">
        <f>IFERROR(IF(ABS(F1501)&lt;0.01,"ATM/NEAR",""),"")</f>
        <v/>
      </c>
    </row>
    <row r="1502">
      <c r="A1502" s="13">
        <f>CHAIN_RAW!A1502</f>
        <v/>
      </c>
      <c r="B1502" s="14">
        <f>CHAIN_RAW!B1502</f>
        <v/>
      </c>
      <c r="C1502" s="13">
        <f>CHAIN_RAW!C1502</f>
        <v/>
      </c>
      <c r="D1502" s="13">
        <f>CHAIN_RAW!D1502</f>
        <v/>
      </c>
      <c r="E1502" s="13">
        <f>CHAIN_RAW!E1502</f>
        <v/>
      </c>
      <c r="F1502" s="13">
        <f>IFERROR((E1502-D1502)/D1502,"")</f>
        <v/>
      </c>
      <c r="G1502" s="13">
        <f>IFERROR((CHAIN_RAW!K1502+CHAIN_RAW!L1502)/2,"")</f>
        <v/>
      </c>
      <c r="H1502" s="13">
        <f>IFERROR((CHAIN_RAW!R1502+CHAIN_RAW!S1502)/2,"")</f>
        <v/>
      </c>
      <c r="I1502" s="13">
        <f>IFERROR((CHAIN_RAW!L1502-CHAIN_RAW!K1502)/MAX(1E-9, G1502),"")</f>
        <v/>
      </c>
      <c r="J1502" s="13">
        <f>IFERROR((CHAIN_RAW!S1502-CHAIN_RAW!R1502)/MAX(1E-9, H1502),"")</f>
        <v/>
      </c>
      <c r="K1502" s="13">
        <f>CHAIN_RAW!G1502</f>
        <v/>
      </c>
      <c r="L1502" s="13">
        <f>CHAIN_RAW!N1502</f>
        <v/>
      </c>
      <c r="M1502" s="13">
        <f>IFERROR(L1502-K1502,"")</f>
        <v/>
      </c>
      <c r="N1502" s="13">
        <f>CHAIN_RAW!H1502</f>
        <v/>
      </c>
      <c r="O1502" s="13">
        <f>CHAIN_RAW!O1502</f>
        <v/>
      </c>
      <c r="P1502" s="13">
        <f>IFERROR(O1502/N1502,"")</f>
        <v/>
      </c>
      <c r="Q1502" s="13">
        <f>CHAIN_RAW!I1502</f>
        <v/>
      </c>
      <c r="R1502" s="13">
        <f>CHAIN_RAW!P1502</f>
        <v/>
      </c>
      <c r="S1502" s="13">
        <f>IFERROR(R1502/Q1502,"")</f>
        <v/>
      </c>
      <c r="T1502" s="13">
        <f>IFERROR((ABS(N1502-O1502)/MAX(1,(N1502+O1502)))*EXP(-ABS(E1502-CONTROL!E5)/MAX(1,CONTROL!B8)),"")</f>
        <v/>
      </c>
      <c r="U1502" s="13">
        <f>IFERROR(IF(O1502&gt;N1502,"SUPPORT (PE OI)","RESIST (CE OI)"),"")</f>
        <v/>
      </c>
      <c r="V1502" s="13">
        <f>IFERROR(IF(Q1502&gt;0,IF(R1502&gt;0,"BOTH_ADD","CE_ADD_PE_REDUCE"),IF(R1502&gt;0,"CE_REDUCE_PE_ADD","BOTH_REDUCE")),"")</f>
        <v/>
      </c>
      <c r="W1502" s="13">
        <f>IFERROR( (P1502-1)*0.5 + (M1502)*0.1 - (I1502+J1502)*0.05 + T1502*0.4 ,"")</f>
        <v/>
      </c>
      <c r="X1502" s="13">
        <f>IFERROR(IF(ABS(F1502)&lt;0.01,"ATM/NEAR",""),"")</f>
        <v/>
      </c>
    </row>
    <row r="1503">
      <c r="A1503" s="13">
        <f>CHAIN_RAW!A1503</f>
        <v/>
      </c>
      <c r="B1503" s="14">
        <f>CHAIN_RAW!B1503</f>
        <v/>
      </c>
      <c r="C1503" s="13">
        <f>CHAIN_RAW!C1503</f>
        <v/>
      </c>
      <c r="D1503" s="13">
        <f>CHAIN_RAW!D1503</f>
        <v/>
      </c>
      <c r="E1503" s="13">
        <f>CHAIN_RAW!E1503</f>
        <v/>
      </c>
      <c r="F1503" s="13">
        <f>IFERROR((E1503-D1503)/D1503,"")</f>
        <v/>
      </c>
      <c r="G1503" s="13">
        <f>IFERROR((CHAIN_RAW!K1503+CHAIN_RAW!L1503)/2,"")</f>
        <v/>
      </c>
      <c r="H1503" s="13">
        <f>IFERROR((CHAIN_RAW!R1503+CHAIN_RAW!S1503)/2,"")</f>
        <v/>
      </c>
      <c r="I1503" s="13">
        <f>IFERROR((CHAIN_RAW!L1503-CHAIN_RAW!K1503)/MAX(1E-9, G1503),"")</f>
        <v/>
      </c>
      <c r="J1503" s="13">
        <f>IFERROR((CHAIN_RAW!S1503-CHAIN_RAW!R1503)/MAX(1E-9, H1503),"")</f>
        <v/>
      </c>
      <c r="K1503" s="13">
        <f>CHAIN_RAW!G1503</f>
        <v/>
      </c>
      <c r="L1503" s="13">
        <f>CHAIN_RAW!N1503</f>
        <v/>
      </c>
      <c r="M1503" s="13">
        <f>IFERROR(L1503-K1503,"")</f>
        <v/>
      </c>
      <c r="N1503" s="13">
        <f>CHAIN_RAW!H1503</f>
        <v/>
      </c>
      <c r="O1503" s="13">
        <f>CHAIN_RAW!O1503</f>
        <v/>
      </c>
      <c r="P1503" s="13">
        <f>IFERROR(O1503/N1503,"")</f>
        <v/>
      </c>
      <c r="Q1503" s="13">
        <f>CHAIN_RAW!I1503</f>
        <v/>
      </c>
      <c r="R1503" s="13">
        <f>CHAIN_RAW!P1503</f>
        <v/>
      </c>
      <c r="S1503" s="13">
        <f>IFERROR(R1503/Q1503,"")</f>
        <v/>
      </c>
      <c r="T1503" s="13">
        <f>IFERROR((ABS(N1503-O1503)/MAX(1,(N1503+O1503)))*EXP(-ABS(E1503-CONTROL!E5)/MAX(1,CONTROL!B8)),"")</f>
        <v/>
      </c>
      <c r="U1503" s="13">
        <f>IFERROR(IF(O1503&gt;N1503,"SUPPORT (PE OI)","RESIST (CE OI)"),"")</f>
        <v/>
      </c>
      <c r="V1503" s="13">
        <f>IFERROR(IF(Q1503&gt;0,IF(R1503&gt;0,"BOTH_ADD","CE_ADD_PE_REDUCE"),IF(R1503&gt;0,"CE_REDUCE_PE_ADD","BOTH_REDUCE")),"")</f>
        <v/>
      </c>
      <c r="W1503" s="13">
        <f>IFERROR( (P1503-1)*0.5 + (M1503)*0.1 - (I1503+J1503)*0.05 + T1503*0.4 ,"")</f>
        <v/>
      </c>
      <c r="X1503" s="13">
        <f>IFERROR(IF(ABS(F1503)&lt;0.01,"ATM/NEAR",""),"")</f>
        <v/>
      </c>
    </row>
    <row r="1504">
      <c r="A1504" s="13">
        <f>CHAIN_RAW!A1504</f>
        <v/>
      </c>
      <c r="B1504" s="14">
        <f>CHAIN_RAW!B1504</f>
        <v/>
      </c>
      <c r="C1504" s="13">
        <f>CHAIN_RAW!C1504</f>
        <v/>
      </c>
      <c r="D1504" s="13">
        <f>CHAIN_RAW!D1504</f>
        <v/>
      </c>
      <c r="E1504" s="13">
        <f>CHAIN_RAW!E1504</f>
        <v/>
      </c>
      <c r="F1504" s="13">
        <f>IFERROR((E1504-D1504)/D1504,"")</f>
        <v/>
      </c>
      <c r="G1504" s="13">
        <f>IFERROR((CHAIN_RAW!K1504+CHAIN_RAW!L1504)/2,"")</f>
        <v/>
      </c>
      <c r="H1504" s="13">
        <f>IFERROR((CHAIN_RAW!R1504+CHAIN_RAW!S1504)/2,"")</f>
        <v/>
      </c>
      <c r="I1504" s="13">
        <f>IFERROR((CHAIN_RAW!L1504-CHAIN_RAW!K1504)/MAX(1E-9, G1504),"")</f>
        <v/>
      </c>
      <c r="J1504" s="13">
        <f>IFERROR((CHAIN_RAW!S1504-CHAIN_RAW!R1504)/MAX(1E-9, H1504),"")</f>
        <v/>
      </c>
      <c r="K1504" s="13">
        <f>CHAIN_RAW!G1504</f>
        <v/>
      </c>
      <c r="L1504" s="13">
        <f>CHAIN_RAW!N1504</f>
        <v/>
      </c>
      <c r="M1504" s="13">
        <f>IFERROR(L1504-K1504,"")</f>
        <v/>
      </c>
      <c r="N1504" s="13">
        <f>CHAIN_RAW!H1504</f>
        <v/>
      </c>
      <c r="O1504" s="13">
        <f>CHAIN_RAW!O1504</f>
        <v/>
      </c>
      <c r="P1504" s="13">
        <f>IFERROR(O1504/N1504,"")</f>
        <v/>
      </c>
      <c r="Q1504" s="13">
        <f>CHAIN_RAW!I1504</f>
        <v/>
      </c>
      <c r="R1504" s="13">
        <f>CHAIN_RAW!P1504</f>
        <v/>
      </c>
      <c r="S1504" s="13">
        <f>IFERROR(R1504/Q1504,"")</f>
        <v/>
      </c>
      <c r="T1504" s="13">
        <f>IFERROR((ABS(N1504-O1504)/MAX(1,(N1504+O1504)))*EXP(-ABS(E1504-CONTROL!E5)/MAX(1,CONTROL!B8)),"")</f>
        <v/>
      </c>
      <c r="U1504" s="13">
        <f>IFERROR(IF(O1504&gt;N1504,"SUPPORT (PE OI)","RESIST (CE OI)"),"")</f>
        <v/>
      </c>
      <c r="V1504" s="13">
        <f>IFERROR(IF(Q1504&gt;0,IF(R1504&gt;0,"BOTH_ADD","CE_ADD_PE_REDUCE"),IF(R1504&gt;0,"CE_REDUCE_PE_ADD","BOTH_REDUCE")),"")</f>
        <v/>
      </c>
      <c r="W1504" s="13">
        <f>IFERROR( (P1504-1)*0.5 + (M1504)*0.1 - (I1504+J1504)*0.05 + T1504*0.4 ,"")</f>
        <v/>
      </c>
      <c r="X1504" s="13">
        <f>IFERROR(IF(ABS(F1504)&lt;0.01,"ATM/NEAR",""),"")</f>
        <v/>
      </c>
    </row>
    <row r="1505">
      <c r="A1505" s="13">
        <f>CHAIN_RAW!A1505</f>
        <v/>
      </c>
      <c r="B1505" s="14">
        <f>CHAIN_RAW!B1505</f>
        <v/>
      </c>
      <c r="C1505" s="13">
        <f>CHAIN_RAW!C1505</f>
        <v/>
      </c>
      <c r="D1505" s="13">
        <f>CHAIN_RAW!D1505</f>
        <v/>
      </c>
      <c r="E1505" s="13">
        <f>CHAIN_RAW!E1505</f>
        <v/>
      </c>
      <c r="F1505" s="13">
        <f>IFERROR((E1505-D1505)/D1505,"")</f>
        <v/>
      </c>
      <c r="G1505" s="13">
        <f>IFERROR((CHAIN_RAW!K1505+CHAIN_RAW!L1505)/2,"")</f>
        <v/>
      </c>
      <c r="H1505" s="13">
        <f>IFERROR((CHAIN_RAW!R1505+CHAIN_RAW!S1505)/2,"")</f>
        <v/>
      </c>
      <c r="I1505" s="13">
        <f>IFERROR((CHAIN_RAW!L1505-CHAIN_RAW!K1505)/MAX(1E-9, G1505),"")</f>
        <v/>
      </c>
      <c r="J1505" s="13">
        <f>IFERROR((CHAIN_RAW!S1505-CHAIN_RAW!R1505)/MAX(1E-9, H1505),"")</f>
        <v/>
      </c>
      <c r="K1505" s="13">
        <f>CHAIN_RAW!G1505</f>
        <v/>
      </c>
      <c r="L1505" s="13">
        <f>CHAIN_RAW!N1505</f>
        <v/>
      </c>
      <c r="M1505" s="13">
        <f>IFERROR(L1505-K1505,"")</f>
        <v/>
      </c>
      <c r="N1505" s="13">
        <f>CHAIN_RAW!H1505</f>
        <v/>
      </c>
      <c r="O1505" s="13">
        <f>CHAIN_RAW!O1505</f>
        <v/>
      </c>
      <c r="P1505" s="13">
        <f>IFERROR(O1505/N1505,"")</f>
        <v/>
      </c>
      <c r="Q1505" s="13">
        <f>CHAIN_RAW!I1505</f>
        <v/>
      </c>
      <c r="R1505" s="13">
        <f>CHAIN_RAW!P1505</f>
        <v/>
      </c>
      <c r="S1505" s="13">
        <f>IFERROR(R1505/Q1505,"")</f>
        <v/>
      </c>
      <c r="T1505" s="13">
        <f>IFERROR((ABS(N1505-O1505)/MAX(1,(N1505+O1505)))*EXP(-ABS(E1505-CONTROL!E5)/MAX(1,CONTROL!B8)),"")</f>
        <v/>
      </c>
      <c r="U1505" s="13">
        <f>IFERROR(IF(O1505&gt;N1505,"SUPPORT (PE OI)","RESIST (CE OI)"),"")</f>
        <v/>
      </c>
      <c r="V1505" s="13">
        <f>IFERROR(IF(Q1505&gt;0,IF(R1505&gt;0,"BOTH_ADD","CE_ADD_PE_REDUCE"),IF(R1505&gt;0,"CE_REDUCE_PE_ADD","BOTH_REDUCE")),"")</f>
        <v/>
      </c>
      <c r="W1505" s="13">
        <f>IFERROR( (P1505-1)*0.5 + (M1505)*0.1 - (I1505+J1505)*0.05 + T1505*0.4 ,"")</f>
        <v/>
      </c>
      <c r="X1505" s="13">
        <f>IFERROR(IF(ABS(F1505)&lt;0.01,"ATM/NEAR",""),"")</f>
        <v/>
      </c>
    </row>
    <row r="1506">
      <c r="A1506" s="13">
        <f>CHAIN_RAW!A1506</f>
        <v/>
      </c>
      <c r="B1506" s="14">
        <f>CHAIN_RAW!B1506</f>
        <v/>
      </c>
      <c r="C1506" s="13">
        <f>CHAIN_RAW!C1506</f>
        <v/>
      </c>
      <c r="D1506" s="13">
        <f>CHAIN_RAW!D1506</f>
        <v/>
      </c>
      <c r="E1506" s="13">
        <f>CHAIN_RAW!E1506</f>
        <v/>
      </c>
      <c r="F1506" s="13">
        <f>IFERROR((E1506-D1506)/D1506,"")</f>
        <v/>
      </c>
      <c r="G1506" s="13">
        <f>IFERROR((CHAIN_RAW!K1506+CHAIN_RAW!L1506)/2,"")</f>
        <v/>
      </c>
      <c r="H1506" s="13">
        <f>IFERROR((CHAIN_RAW!R1506+CHAIN_RAW!S1506)/2,"")</f>
        <v/>
      </c>
      <c r="I1506" s="13">
        <f>IFERROR((CHAIN_RAW!L1506-CHAIN_RAW!K1506)/MAX(1E-9, G1506),"")</f>
        <v/>
      </c>
      <c r="J1506" s="13">
        <f>IFERROR((CHAIN_RAW!S1506-CHAIN_RAW!R1506)/MAX(1E-9, H1506),"")</f>
        <v/>
      </c>
      <c r="K1506" s="13">
        <f>CHAIN_RAW!G1506</f>
        <v/>
      </c>
      <c r="L1506" s="13">
        <f>CHAIN_RAW!N1506</f>
        <v/>
      </c>
      <c r="M1506" s="13">
        <f>IFERROR(L1506-K1506,"")</f>
        <v/>
      </c>
      <c r="N1506" s="13">
        <f>CHAIN_RAW!H1506</f>
        <v/>
      </c>
      <c r="O1506" s="13">
        <f>CHAIN_RAW!O1506</f>
        <v/>
      </c>
      <c r="P1506" s="13">
        <f>IFERROR(O1506/N1506,"")</f>
        <v/>
      </c>
      <c r="Q1506" s="13">
        <f>CHAIN_RAW!I1506</f>
        <v/>
      </c>
      <c r="R1506" s="13">
        <f>CHAIN_RAW!P1506</f>
        <v/>
      </c>
      <c r="S1506" s="13">
        <f>IFERROR(R1506/Q1506,"")</f>
        <v/>
      </c>
      <c r="T1506" s="13">
        <f>IFERROR((ABS(N1506-O1506)/MAX(1,(N1506+O1506)))*EXP(-ABS(E1506-CONTROL!E5)/MAX(1,CONTROL!B8)),"")</f>
        <v/>
      </c>
      <c r="U1506" s="13">
        <f>IFERROR(IF(O1506&gt;N1506,"SUPPORT (PE OI)","RESIST (CE OI)"),"")</f>
        <v/>
      </c>
      <c r="V1506" s="13">
        <f>IFERROR(IF(Q1506&gt;0,IF(R1506&gt;0,"BOTH_ADD","CE_ADD_PE_REDUCE"),IF(R1506&gt;0,"CE_REDUCE_PE_ADD","BOTH_REDUCE")),"")</f>
        <v/>
      </c>
      <c r="W1506" s="13">
        <f>IFERROR( (P1506-1)*0.5 + (M1506)*0.1 - (I1506+J1506)*0.05 + T1506*0.4 ,"")</f>
        <v/>
      </c>
      <c r="X1506" s="13">
        <f>IFERROR(IF(ABS(F1506)&lt;0.01,"ATM/NEAR",""),"")</f>
        <v/>
      </c>
    </row>
    <row r="1507">
      <c r="A1507" s="13">
        <f>CHAIN_RAW!A1507</f>
        <v/>
      </c>
      <c r="B1507" s="14">
        <f>CHAIN_RAW!B1507</f>
        <v/>
      </c>
      <c r="C1507" s="13">
        <f>CHAIN_RAW!C1507</f>
        <v/>
      </c>
      <c r="D1507" s="13">
        <f>CHAIN_RAW!D1507</f>
        <v/>
      </c>
      <c r="E1507" s="13">
        <f>CHAIN_RAW!E1507</f>
        <v/>
      </c>
      <c r="F1507" s="13">
        <f>IFERROR((E1507-D1507)/D1507,"")</f>
        <v/>
      </c>
      <c r="G1507" s="13">
        <f>IFERROR((CHAIN_RAW!K1507+CHAIN_RAW!L1507)/2,"")</f>
        <v/>
      </c>
      <c r="H1507" s="13">
        <f>IFERROR((CHAIN_RAW!R1507+CHAIN_RAW!S1507)/2,"")</f>
        <v/>
      </c>
      <c r="I1507" s="13">
        <f>IFERROR((CHAIN_RAW!L1507-CHAIN_RAW!K1507)/MAX(1E-9, G1507),"")</f>
        <v/>
      </c>
      <c r="J1507" s="13">
        <f>IFERROR((CHAIN_RAW!S1507-CHAIN_RAW!R1507)/MAX(1E-9, H1507),"")</f>
        <v/>
      </c>
      <c r="K1507" s="13">
        <f>CHAIN_RAW!G1507</f>
        <v/>
      </c>
      <c r="L1507" s="13">
        <f>CHAIN_RAW!N1507</f>
        <v/>
      </c>
      <c r="M1507" s="13">
        <f>IFERROR(L1507-K1507,"")</f>
        <v/>
      </c>
      <c r="N1507" s="13">
        <f>CHAIN_RAW!H1507</f>
        <v/>
      </c>
      <c r="O1507" s="13">
        <f>CHAIN_RAW!O1507</f>
        <v/>
      </c>
      <c r="P1507" s="13">
        <f>IFERROR(O1507/N1507,"")</f>
        <v/>
      </c>
      <c r="Q1507" s="13">
        <f>CHAIN_RAW!I1507</f>
        <v/>
      </c>
      <c r="R1507" s="13">
        <f>CHAIN_RAW!P1507</f>
        <v/>
      </c>
      <c r="S1507" s="13">
        <f>IFERROR(R1507/Q1507,"")</f>
        <v/>
      </c>
      <c r="T1507" s="13">
        <f>IFERROR((ABS(N1507-O1507)/MAX(1,(N1507+O1507)))*EXP(-ABS(E1507-CONTROL!E5)/MAX(1,CONTROL!B8)),"")</f>
        <v/>
      </c>
      <c r="U1507" s="13">
        <f>IFERROR(IF(O1507&gt;N1507,"SUPPORT (PE OI)","RESIST (CE OI)"),"")</f>
        <v/>
      </c>
      <c r="V1507" s="13">
        <f>IFERROR(IF(Q1507&gt;0,IF(R1507&gt;0,"BOTH_ADD","CE_ADD_PE_REDUCE"),IF(R1507&gt;0,"CE_REDUCE_PE_ADD","BOTH_REDUCE")),"")</f>
        <v/>
      </c>
      <c r="W1507" s="13">
        <f>IFERROR( (P1507-1)*0.5 + (M1507)*0.1 - (I1507+J1507)*0.05 + T1507*0.4 ,"")</f>
        <v/>
      </c>
      <c r="X1507" s="13">
        <f>IFERROR(IF(ABS(F1507)&lt;0.01,"ATM/NEAR",""),"")</f>
        <v/>
      </c>
    </row>
    <row r="1508">
      <c r="A1508" s="13">
        <f>CHAIN_RAW!A1508</f>
        <v/>
      </c>
      <c r="B1508" s="14">
        <f>CHAIN_RAW!B1508</f>
        <v/>
      </c>
      <c r="C1508" s="13">
        <f>CHAIN_RAW!C1508</f>
        <v/>
      </c>
      <c r="D1508" s="13">
        <f>CHAIN_RAW!D1508</f>
        <v/>
      </c>
      <c r="E1508" s="13">
        <f>CHAIN_RAW!E1508</f>
        <v/>
      </c>
      <c r="F1508" s="13">
        <f>IFERROR((E1508-D1508)/D1508,"")</f>
        <v/>
      </c>
      <c r="G1508" s="13">
        <f>IFERROR((CHAIN_RAW!K1508+CHAIN_RAW!L1508)/2,"")</f>
        <v/>
      </c>
      <c r="H1508" s="13">
        <f>IFERROR((CHAIN_RAW!R1508+CHAIN_RAW!S1508)/2,"")</f>
        <v/>
      </c>
      <c r="I1508" s="13">
        <f>IFERROR((CHAIN_RAW!L1508-CHAIN_RAW!K1508)/MAX(1E-9, G1508),"")</f>
        <v/>
      </c>
      <c r="J1508" s="13">
        <f>IFERROR((CHAIN_RAW!S1508-CHAIN_RAW!R1508)/MAX(1E-9, H1508),"")</f>
        <v/>
      </c>
      <c r="K1508" s="13">
        <f>CHAIN_RAW!G1508</f>
        <v/>
      </c>
      <c r="L1508" s="13">
        <f>CHAIN_RAW!N1508</f>
        <v/>
      </c>
      <c r="M1508" s="13">
        <f>IFERROR(L1508-K1508,"")</f>
        <v/>
      </c>
      <c r="N1508" s="13">
        <f>CHAIN_RAW!H1508</f>
        <v/>
      </c>
      <c r="O1508" s="13">
        <f>CHAIN_RAW!O1508</f>
        <v/>
      </c>
      <c r="P1508" s="13">
        <f>IFERROR(O1508/N1508,"")</f>
        <v/>
      </c>
      <c r="Q1508" s="13">
        <f>CHAIN_RAW!I1508</f>
        <v/>
      </c>
      <c r="R1508" s="13">
        <f>CHAIN_RAW!P1508</f>
        <v/>
      </c>
      <c r="S1508" s="13">
        <f>IFERROR(R1508/Q1508,"")</f>
        <v/>
      </c>
      <c r="T1508" s="13">
        <f>IFERROR((ABS(N1508-O1508)/MAX(1,(N1508+O1508)))*EXP(-ABS(E1508-CONTROL!E5)/MAX(1,CONTROL!B8)),"")</f>
        <v/>
      </c>
      <c r="U1508" s="13">
        <f>IFERROR(IF(O1508&gt;N1508,"SUPPORT (PE OI)","RESIST (CE OI)"),"")</f>
        <v/>
      </c>
      <c r="V1508" s="13">
        <f>IFERROR(IF(Q1508&gt;0,IF(R1508&gt;0,"BOTH_ADD","CE_ADD_PE_REDUCE"),IF(R1508&gt;0,"CE_REDUCE_PE_ADD","BOTH_REDUCE")),"")</f>
        <v/>
      </c>
      <c r="W1508" s="13">
        <f>IFERROR( (P1508-1)*0.5 + (M1508)*0.1 - (I1508+J1508)*0.05 + T1508*0.4 ,"")</f>
        <v/>
      </c>
      <c r="X1508" s="13">
        <f>IFERROR(IF(ABS(F1508)&lt;0.01,"ATM/NEAR",""),"")</f>
        <v/>
      </c>
    </row>
    <row r="1509">
      <c r="A1509" s="13">
        <f>CHAIN_RAW!A1509</f>
        <v/>
      </c>
      <c r="B1509" s="14">
        <f>CHAIN_RAW!B1509</f>
        <v/>
      </c>
      <c r="C1509" s="13">
        <f>CHAIN_RAW!C1509</f>
        <v/>
      </c>
      <c r="D1509" s="13">
        <f>CHAIN_RAW!D1509</f>
        <v/>
      </c>
      <c r="E1509" s="13">
        <f>CHAIN_RAW!E1509</f>
        <v/>
      </c>
      <c r="F1509" s="13">
        <f>IFERROR((E1509-D1509)/D1509,"")</f>
        <v/>
      </c>
      <c r="G1509" s="13">
        <f>IFERROR((CHAIN_RAW!K1509+CHAIN_RAW!L1509)/2,"")</f>
        <v/>
      </c>
      <c r="H1509" s="13">
        <f>IFERROR((CHAIN_RAW!R1509+CHAIN_RAW!S1509)/2,"")</f>
        <v/>
      </c>
      <c r="I1509" s="13">
        <f>IFERROR((CHAIN_RAW!L1509-CHAIN_RAW!K1509)/MAX(1E-9, G1509),"")</f>
        <v/>
      </c>
      <c r="J1509" s="13">
        <f>IFERROR((CHAIN_RAW!S1509-CHAIN_RAW!R1509)/MAX(1E-9, H1509),"")</f>
        <v/>
      </c>
      <c r="K1509" s="13">
        <f>CHAIN_RAW!G1509</f>
        <v/>
      </c>
      <c r="L1509" s="13">
        <f>CHAIN_RAW!N1509</f>
        <v/>
      </c>
      <c r="M1509" s="13">
        <f>IFERROR(L1509-K1509,"")</f>
        <v/>
      </c>
      <c r="N1509" s="13">
        <f>CHAIN_RAW!H1509</f>
        <v/>
      </c>
      <c r="O1509" s="13">
        <f>CHAIN_RAW!O1509</f>
        <v/>
      </c>
      <c r="P1509" s="13">
        <f>IFERROR(O1509/N1509,"")</f>
        <v/>
      </c>
      <c r="Q1509" s="13">
        <f>CHAIN_RAW!I1509</f>
        <v/>
      </c>
      <c r="R1509" s="13">
        <f>CHAIN_RAW!P1509</f>
        <v/>
      </c>
      <c r="S1509" s="13">
        <f>IFERROR(R1509/Q1509,"")</f>
        <v/>
      </c>
      <c r="T1509" s="13">
        <f>IFERROR((ABS(N1509-O1509)/MAX(1,(N1509+O1509)))*EXP(-ABS(E1509-CONTROL!E5)/MAX(1,CONTROL!B8)),"")</f>
        <v/>
      </c>
      <c r="U1509" s="13">
        <f>IFERROR(IF(O1509&gt;N1509,"SUPPORT (PE OI)","RESIST (CE OI)"),"")</f>
        <v/>
      </c>
      <c r="V1509" s="13">
        <f>IFERROR(IF(Q1509&gt;0,IF(R1509&gt;0,"BOTH_ADD","CE_ADD_PE_REDUCE"),IF(R1509&gt;0,"CE_REDUCE_PE_ADD","BOTH_REDUCE")),"")</f>
        <v/>
      </c>
      <c r="W1509" s="13">
        <f>IFERROR( (P1509-1)*0.5 + (M1509)*0.1 - (I1509+J1509)*0.05 + T1509*0.4 ,"")</f>
        <v/>
      </c>
      <c r="X1509" s="13">
        <f>IFERROR(IF(ABS(F1509)&lt;0.01,"ATM/NEAR",""),"")</f>
        <v/>
      </c>
    </row>
    <row r="1510">
      <c r="A1510" s="13">
        <f>CHAIN_RAW!A1510</f>
        <v/>
      </c>
      <c r="B1510" s="14">
        <f>CHAIN_RAW!B1510</f>
        <v/>
      </c>
      <c r="C1510" s="13">
        <f>CHAIN_RAW!C1510</f>
        <v/>
      </c>
      <c r="D1510" s="13">
        <f>CHAIN_RAW!D1510</f>
        <v/>
      </c>
      <c r="E1510" s="13">
        <f>CHAIN_RAW!E1510</f>
        <v/>
      </c>
      <c r="F1510" s="13">
        <f>IFERROR((E1510-D1510)/D1510,"")</f>
        <v/>
      </c>
      <c r="G1510" s="13">
        <f>IFERROR((CHAIN_RAW!K1510+CHAIN_RAW!L1510)/2,"")</f>
        <v/>
      </c>
      <c r="H1510" s="13">
        <f>IFERROR((CHAIN_RAW!R1510+CHAIN_RAW!S1510)/2,"")</f>
        <v/>
      </c>
      <c r="I1510" s="13">
        <f>IFERROR((CHAIN_RAW!L1510-CHAIN_RAW!K1510)/MAX(1E-9, G1510),"")</f>
        <v/>
      </c>
      <c r="J1510" s="13">
        <f>IFERROR((CHAIN_RAW!S1510-CHAIN_RAW!R1510)/MAX(1E-9, H1510),"")</f>
        <v/>
      </c>
      <c r="K1510" s="13">
        <f>CHAIN_RAW!G1510</f>
        <v/>
      </c>
      <c r="L1510" s="13">
        <f>CHAIN_RAW!N1510</f>
        <v/>
      </c>
      <c r="M1510" s="13">
        <f>IFERROR(L1510-K1510,"")</f>
        <v/>
      </c>
      <c r="N1510" s="13">
        <f>CHAIN_RAW!H1510</f>
        <v/>
      </c>
      <c r="O1510" s="13">
        <f>CHAIN_RAW!O1510</f>
        <v/>
      </c>
      <c r="P1510" s="13">
        <f>IFERROR(O1510/N1510,"")</f>
        <v/>
      </c>
      <c r="Q1510" s="13">
        <f>CHAIN_RAW!I1510</f>
        <v/>
      </c>
      <c r="R1510" s="13">
        <f>CHAIN_RAW!P1510</f>
        <v/>
      </c>
      <c r="S1510" s="13">
        <f>IFERROR(R1510/Q1510,"")</f>
        <v/>
      </c>
      <c r="T1510" s="13">
        <f>IFERROR((ABS(N1510-O1510)/MAX(1,(N1510+O1510)))*EXP(-ABS(E1510-CONTROL!E5)/MAX(1,CONTROL!B8)),"")</f>
        <v/>
      </c>
      <c r="U1510" s="13">
        <f>IFERROR(IF(O1510&gt;N1510,"SUPPORT (PE OI)","RESIST (CE OI)"),"")</f>
        <v/>
      </c>
      <c r="V1510" s="13">
        <f>IFERROR(IF(Q1510&gt;0,IF(R1510&gt;0,"BOTH_ADD","CE_ADD_PE_REDUCE"),IF(R1510&gt;0,"CE_REDUCE_PE_ADD","BOTH_REDUCE")),"")</f>
        <v/>
      </c>
      <c r="W1510" s="13">
        <f>IFERROR( (P1510-1)*0.5 + (M1510)*0.1 - (I1510+J1510)*0.05 + T1510*0.4 ,"")</f>
        <v/>
      </c>
      <c r="X1510" s="13">
        <f>IFERROR(IF(ABS(F1510)&lt;0.01,"ATM/NEAR",""),"")</f>
        <v/>
      </c>
    </row>
    <row r="1511">
      <c r="A1511" s="13">
        <f>CHAIN_RAW!A1511</f>
        <v/>
      </c>
      <c r="B1511" s="14">
        <f>CHAIN_RAW!B1511</f>
        <v/>
      </c>
      <c r="C1511" s="13">
        <f>CHAIN_RAW!C1511</f>
        <v/>
      </c>
      <c r="D1511" s="13">
        <f>CHAIN_RAW!D1511</f>
        <v/>
      </c>
      <c r="E1511" s="13">
        <f>CHAIN_RAW!E1511</f>
        <v/>
      </c>
      <c r="F1511" s="13">
        <f>IFERROR((E1511-D1511)/D1511,"")</f>
        <v/>
      </c>
      <c r="G1511" s="13">
        <f>IFERROR((CHAIN_RAW!K1511+CHAIN_RAW!L1511)/2,"")</f>
        <v/>
      </c>
      <c r="H1511" s="13">
        <f>IFERROR((CHAIN_RAW!R1511+CHAIN_RAW!S1511)/2,"")</f>
        <v/>
      </c>
      <c r="I1511" s="13">
        <f>IFERROR((CHAIN_RAW!L1511-CHAIN_RAW!K1511)/MAX(1E-9, G1511),"")</f>
        <v/>
      </c>
      <c r="J1511" s="13">
        <f>IFERROR((CHAIN_RAW!S1511-CHAIN_RAW!R1511)/MAX(1E-9, H1511),"")</f>
        <v/>
      </c>
      <c r="K1511" s="13">
        <f>CHAIN_RAW!G1511</f>
        <v/>
      </c>
      <c r="L1511" s="13">
        <f>CHAIN_RAW!N1511</f>
        <v/>
      </c>
      <c r="M1511" s="13">
        <f>IFERROR(L1511-K1511,"")</f>
        <v/>
      </c>
      <c r="N1511" s="13">
        <f>CHAIN_RAW!H1511</f>
        <v/>
      </c>
      <c r="O1511" s="13">
        <f>CHAIN_RAW!O1511</f>
        <v/>
      </c>
      <c r="P1511" s="13">
        <f>IFERROR(O1511/N1511,"")</f>
        <v/>
      </c>
      <c r="Q1511" s="13">
        <f>CHAIN_RAW!I1511</f>
        <v/>
      </c>
      <c r="R1511" s="13">
        <f>CHAIN_RAW!P1511</f>
        <v/>
      </c>
      <c r="S1511" s="13">
        <f>IFERROR(R1511/Q1511,"")</f>
        <v/>
      </c>
      <c r="T1511" s="13">
        <f>IFERROR((ABS(N1511-O1511)/MAX(1,(N1511+O1511)))*EXP(-ABS(E1511-CONTROL!E5)/MAX(1,CONTROL!B8)),"")</f>
        <v/>
      </c>
      <c r="U1511" s="13">
        <f>IFERROR(IF(O1511&gt;N1511,"SUPPORT (PE OI)","RESIST (CE OI)"),"")</f>
        <v/>
      </c>
      <c r="V1511" s="13">
        <f>IFERROR(IF(Q1511&gt;0,IF(R1511&gt;0,"BOTH_ADD","CE_ADD_PE_REDUCE"),IF(R1511&gt;0,"CE_REDUCE_PE_ADD","BOTH_REDUCE")),"")</f>
        <v/>
      </c>
      <c r="W1511" s="13">
        <f>IFERROR( (P1511-1)*0.5 + (M1511)*0.1 - (I1511+J1511)*0.05 + T1511*0.4 ,"")</f>
        <v/>
      </c>
      <c r="X1511" s="13">
        <f>IFERROR(IF(ABS(F1511)&lt;0.01,"ATM/NEAR",""),"")</f>
        <v/>
      </c>
    </row>
    <row r="1512">
      <c r="A1512" s="13">
        <f>CHAIN_RAW!A1512</f>
        <v/>
      </c>
      <c r="B1512" s="14">
        <f>CHAIN_RAW!B1512</f>
        <v/>
      </c>
      <c r="C1512" s="13">
        <f>CHAIN_RAW!C1512</f>
        <v/>
      </c>
      <c r="D1512" s="13">
        <f>CHAIN_RAW!D1512</f>
        <v/>
      </c>
      <c r="E1512" s="13">
        <f>CHAIN_RAW!E1512</f>
        <v/>
      </c>
      <c r="F1512" s="13">
        <f>IFERROR((E1512-D1512)/D1512,"")</f>
        <v/>
      </c>
      <c r="G1512" s="13">
        <f>IFERROR((CHAIN_RAW!K1512+CHAIN_RAW!L1512)/2,"")</f>
        <v/>
      </c>
      <c r="H1512" s="13">
        <f>IFERROR((CHAIN_RAW!R1512+CHAIN_RAW!S1512)/2,"")</f>
        <v/>
      </c>
      <c r="I1512" s="13">
        <f>IFERROR((CHAIN_RAW!L1512-CHAIN_RAW!K1512)/MAX(1E-9, G1512),"")</f>
        <v/>
      </c>
      <c r="J1512" s="13">
        <f>IFERROR((CHAIN_RAW!S1512-CHAIN_RAW!R1512)/MAX(1E-9, H1512),"")</f>
        <v/>
      </c>
      <c r="K1512" s="13">
        <f>CHAIN_RAW!G1512</f>
        <v/>
      </c>
      <c r="L1512" s="13">
        <f>CHAIN_RAW!N1512</f>
        <v/>
      </c>
      <c r="M1512" s="13">
        <f>IFERROR(L1512-K1512,"")</f>
        <v/>
      </c>
      <c r="N1512" s="13">
        <f>CHAIN_RAW!H1512</f>
        <v/>
      </c>
      <c r="O1512" s="13">
        <f>CHAIN_RAW!O1512</f>
        <v/>
      </c>
      <c r="P1512" s="13">
        <f>IFERROR(O1512/N1512,"")</f>
        <v/>
      </c>
      <c r="Q1512" s="13">
        <f>CHAIN_RAW!I1512</f>
        <v/>
      </c>
      <c r="R1512" s="13">
        <f>CHAIN_RAW!P1512</f>
        <v/>
      </c>
      <c r="S1512" s="13">
        <f>IFERROR(R1512/Q1512,"")</f>
        <v/>
      </c>
      <c r="T1512" s="13">
        <f>IFERROR((ABS(N1512-O1512)/MAX(1,(N1512+O1512)))*EXP(-ABS(E1512-CONTROL!E5)/MAX(1,CONTROL!B8)),"")</f>
        <v/>
      </c>
      <c r="U1512" s="13">
        <f>IFERROR(IF(O1512&gt;N1512,"SUPPORT (PE OI)","RESIST (CE OI)"),"")</f>
        <v/>
      </c>
      <c r="V1512" s="13">
        <f>IFERROR(IF(Q1512&gt;0,IF(R1512&gt;0,"BOTH_ADD","CE_ADD_PE_REDUCE"),IF(R1512&gt;0,"CE_REDUCE_PE_ADD","BOTH_REDUCE")),"")</f>
        <v/>
      </c>
      <c r="W1512" s="13">
        <f>IFERROR( (P1512-1)*0.5 + (M1512)*0.1 - (I1512+J1512)*0.05 + T1512*0.4 ,"")</f>
        <v/>
      </c>
      <c r="X1512" s="13">
        <f>IFERROR(IF(ABS(F1512)&lt;0.01,"ATM/NEAR",""),"")</f>
        <v/>
      </c>
    </row>
    <row r="1513">
      <c r="A1513" s="13">
        <f>CHAIN_RAW!A1513</f>
        <v/>
      </c>
      <c r="B1513" s="14">
        <f>CHAIN_RAW!B1513</f>
        <v/>
      </c>
      <c r="C1513" s="13">
        <f>CHAIN_RAW!C1513</f>
        <v/>
      </c>
      <c r="D1513" s="13">
        <f>CHAIN_RAW!D1513</f>
        <v/>
      </c>
      <c r="E1513" s="13">
        <f>CHAIN_RAW!E1513</f>
        <v/>
      </c>
      <c r="F1513" s="13">
        <f>IFERROR((E1513-D1513)/D1513,"")</f>
        <v/>
      </c>
      <c r="G1513" s="13">
        <f>IFERROR((CHAIN_RAW!K1513+CHAIN_RAW!L1513)/2,"")</f>
        <v/>
      </c>
      <c r="H1513" s="13">
        <f>IFERROR((CHAIN_RAW!R1513+CHAIN_RAW!S1513)/2,"")</f>
        <v/>
      </c>
      <c r="I1513" s="13">
        <f>IFERROR((CHAIN_RAW!L1513-CHAIN_RAW!K1513)/MAX(1E-9, G1513),"")</f>
        <v/>
      </c>
      <c r="J1513" s="13">
        <f>IFERROR((CHAIN_RAW!S1513-CHAIN_RAW!R1513)/MAX(1E-9, H1513),"")</f>
        <v/>
      </c>
      <c r="K1513" s="13">
        <f>CHAIN_RAW!G1513</f>
        <v/>
      </c>
      <c r="L1513" s="13">
        <f>CHAIN_RAW!N1513</f>
        <v/>
      </c>
      <c r="M1513" s="13">
        <f>IFERROR(L1513-K1513,"")</f>
        <v/>
      </c>
      <c r="N1513" s="13">
        <f>CHAIN_RAW!H1513</f>
        <v/>
      </c>
      <c r="O1513" s="13">
        <f>CHAIN_RAW!O1513</f>
        <v/>
      </c>
      <c r="P1513" s="13">
        <f>IFERROR(O1513/N1513,"")</f>
        <v/>
      </c>
      <c r="Q1513" s="13">
        <f>CHAIN_RAW!I1513</f>
        <v/>
      </c>
      <c r="R1513" s="13">
        <f>CHAIN_RAW!P1513</f>
        <v/>
      </c>
      <c r="S1513" s="13">
        <f>IFERROR(R1513/Q1513,"")</f>
        <v/>
      </c>
      <c r="T1513" s="13">
        <f>IFERROR((ABS(N1513-O1513)/MAX(1,(N1513+O1513)))*EXP(-ABS(E1513-CONTROL!E5)/MAX(1,CONTROL!B8)),"")</f>
        <v/>
      </c>
      <c r="U1513" s="13">
        <f>IFERROR(IF(O1513&gt;N1513,"SUPPORT (PE OI)","RESIST (CE OI)"),"")</f>
        <v/>
      </c>
      <c r="V1513" s="13">
        <f>IFERROR(IF(Q1513&gt;0,IF(R1513&gt;0,"BOTH_ADD","CE_ADD_PE_REDUCE"),IF(R1513&gt;0,"CE_REDUCE_PE_ADD","BOTH_REDUCE")),"")</f>
        <v/>
      </c>
      <c r="W1513" s="13">
        <f>IFERROR( (P1513-1)*0.5 + (M1513)*0.1 - (I1513+J1513)*0.05 + T1513*0.4 ,"")</f>
        <v/>
      </c>
      <c r="X1513" s="13">
        <f>IFERROR(IF(ABS(F1513)&lt;0.01,"ATM/NEAR",""),"")</f>
        <v/>
      </c>
    </row>
    <row r="1514">
      <c r="A1514" s="13">
        <f>CHAIN_RAW!A1514</f>
        <v/>
      </c>
      <c r="B1514" s="14">
        <f>CHAIN_RAW!B1514</f>
        <v/>
      </c>
      <c r="C1514" s="13">
        <f>CHAIN_RAW!C1514</f>
        <v/>
      </c>
      <c r="D1514" s="13">
        <f>CHAIN_RAW!D1514</f>
        <v/>
      </c>
      <c r="E1514" s="13">
        <f>CHAIN_RAW!E1514</f>
        <v/>
      </c>
      <c r="F1514" s="13">
        <f>IFERROR((E1514-D1514)/D1514,"")</f>
        <v/>
      </c>
      <c r="G1514" s="13">
        <f>IFERROR((CHAIN_RAW!K1514+CHAIN_RAW!L1514)/2,"")</f>
        <v/>
      </c>
      <c r="H1514" s="13">
        <f>IFERROR((CHAIN_RAW!R1514+CHAIN_RAW!S1514)/2,"")</f>
        <v/>
      </c>
      <c r="I1514" s="13">
        <f>IFERROR((CHAIN_RAW!L1514-CHAIN_RAW!K1514)/MAX(1E-9, G1514),"")</f>
        <v/>
      </c>
      <c r="J1514" s="13">
        <f>IFERROR((CHAIN_RAW!S1514-CHAIN_RAW!R1514)/MAX(1E-9, H1514),"")</f>
        <v/>
      </c>
      <c r="K1514" s="13">
        <f>CHAIN_RAW!G1514</f>
        <v/>
      </c>
      <c r="L1514" s="13">
        <f>CHAIN_RAW!N1514</f>
        <v/>
      </c>
      <c r="M1514" s="13">
        <f>IFERROR(L1514-K1514,"")</f>
        <v/>
      </c>
      <c r="N1514" s="13">
        <f>CHAIN_RAW!H1514</f>
        <v/>
      </c>
      <c r="O1514" s="13">
        <f>CHAIN_RAW!O1514</f>
        <v/>
      </c>
      <c r="P1514" s="13">
        <f>IFERROR(O1514/N1514,"")</f>
        <v/>
      </c>
      <c r="Q1514" s="13">
        <f>CHAIN_RAW!I1514</f>
        <v/>
      </c>
      <c r="R1514" s="13">
        <f>CHAIN_RAW!P1514</f>
        <v/>
      </c>
      <c r="S1514" s="13">
        <f>IFERROR(R1514/Q1514,"")</f>
        <v/>
      </c>
      <c r="T1514" s="13">
        <f>IFERROR((ABS(N1514-O1514)/MAX(1,(N1514+O1514)))*EXP(-ABS(E1514-CONTROL!E5)/MAX(1,CONTROL!B8)),"")</f>
        <v/>
      </c>
      <c r="U1514" s="13">
        <f>IFERROR(IF(O1514&gt;N1514,"SUPPORT (PE OI)","RESIST (CE OI)"),"")</f>
        <v/>
      </c>
      <c r="V1514" s="13">
        <f>IFERROR(IF(Q1514&gt;0,IF(R1514&gt;0,"BOTH_ADD","CE_ADD_PE_REDUCE"),IF(R1514&gt;0,"CE_REDUCE_PE_ADD","BOTH_REDUCE")),"")</f>
        <v/>
      </c>
      <c r="W1514" s="13">
        <f>IFERROR( (P1514-1)*0.5 + (M1514)*0.1 - (I1514+J1514)*0.05 + T1514*0.4 ,"")</f>
        <v/>
      </c>
      <c r="X1514" s="13">
        <f>IFERROR(IF(ABS(F1514)&lt;0.01,"ATM/NEAR",""),"")</f>
        <v/>
      </c>
    </row>
    <row r="1515">
      <c r="A1515" s="13">
        <f>CHAIN_RAW!A1515</f>
        <v/>
      </c>
      <c r="B1515" s="14">
        <f>CHAIN_RAW!B1515</f>
        <v/>
      </c>
      <c r="C1515" s="13">
        <f>CHAIN_RAW!C1515</f>
        <v/>
      </c>
      <c r="D1515" s="13">
        <f>CHAIN_RAW!D1515</f>
        <v/>
      </c>
      <c r="E1515" s="13">
        <f>CHAIN_RAW!E1515</f>
        <v/>
      </c>
      <c r="F1515" s="13">
        <f>IFERROR((E1515-D1515)/D1515,"")</f>
        <v/>
      </c>
      <c r="G1515" s="13">
        <f>IFERROR((CHAIN_RAW!K1515+CHAIN_RAW!L1515)/2,"")</f>
        <v/>
      </c>
      <c r="H1515" s="13">
        <f>IFERROR((CHAIN_RAW!R1515+CHAIN_RAW!S1515)/2,"")</f>
        <v/>
      </c>
      <c r="I1515" s="13">
        <f>IFERROR((CHAIN_RAW!L1515-CHAIN_RAW!K1515)/MAX(1E-9, G1515),"")</f>
        <v/>
      </c>
      <c r="J1515" s="13">
        <f>IFERROR((CHAIN_RAW!S1515-CHAIN_RAW!R1515)/MAX(1E-9, H1515),"")</f>
        <v/>
      </c>
      <c r="K1515" s="13">
        <f>CHAIN_RAW!G1515</f>
        <v/>
      </c>
      <c r="L1515" s="13">
        <f>CHAIN_RAW!N1515</f>
        <v/>
      </c>
      <c r="M1515" s="13">
        <f>IFERROR(L1515-K1515,"")</f>
        <v/>
      </c>
      <c r="N1515" s="13">
        <f>CHAIN_RAW!H1515</f>
        <v/>
      </c>
      <c r="O1515" s="13">
        <f>CHAIN_RAW!O1515</f>
        <v/>
      </c>
      <c r="P1515" s="13">
        <f>IFERROR(O1515/N1515,"")</f>
        <v/>
      </c>
      <c r="Q1515" s="13">
        <f>CHAIN_RAW!I1515</f>
        <v/>
      </c>
      <c r="R1515" s="13">
        <f>CHAIN_RAW!P1515</f>
        <v/>
      </c>
      <c r="S1515" s="13">
        <f>IFERROR(R1515/Q1515,"")</f>
        <v/>
      </c>
      <c r="T1515" s="13">
        <f>IFERROR((ABS(N1515-O1515)/MAX(1,(N1515+O1515)))*EXP(-ABS(E1515-CONTROL!E5)/MAX(1,CONTROL!B8)),"")</f>
        <v/>
      </c>
      <c r="U1515" s="13">
        <f>IFERROR(IF(O1515&gt;N1515,"SUPPORT (PE OI)","RESIST (CE OI)"),"")</f>
        <v/>
      </c>
      <c r="V1515" s="13">
        <f>IFERROR(IF(Q1515&gt;0,IF(R1515&gt;0,"BOTH_ADD","CE_ADD_PE_REDUCE"),IF(R1515&gt;0,"CE_REDUCE_PE_ADD","BOTH_REDUCE")),"")</f>
        <v/>
      </c>
      <c r="W1515" s="13">
        <f>IFERROR( (P1515-1)*0.5 + (M1515)*0.1 - (I1515+J1515)*0.05 + T1515*0.4 ,"")</f>
        <v/>
      </c>
      <c r="X1515" s="13">
        <f>IFERROR(IF(ABS(F1515)&lt;0.01,"ATM/NEAR",""),"")</f>
        <v/>
      </c>
    </row>
    <row r="1516">
      <c r="A1516" s="13">
        <f>CHAIN_RAW!A1516</f>
        <v/>
      </c>
      <c r="B1516" s="14">
        <f>CHAIN_RAW!B1516</f>
        <v/>
      </c>
      <c r="C1516" s="13">
        <f>CHAIN_RAW!C1516</f>
        <v/>
      </c>
      <c r="D1516" s="13">
        <f>CHAIN_RAW!D1516</f>
        <v/>
      </c>
      <c r="E1516" s="13">
        <f>CHAIN_RAW!E1516</f>
        <v/>
      </c>
      <c r="F1516" s="13">
        <f>IFERROR((E1516-D1516)/D1516,"")</f>
        <v/>
      </c>
      <c r="G1516" s="13">
        <f>IFERROR((CHAIN_RAW!K1516+CHAIN_RAW!L1516)/2,"")</f>
        <v/>
      </c>
      <c r="H1516" s="13">
        <f>IFERROR((CHAIN_RAW!R1516+CHAIN_RAW!S1516)/2,"")</f>
        <v/>
      </c>
      <c r="I1516" s="13">
        <f>IFERROR((CHAIN_RAW!L1516-CHAIN_RAW!K1516)/MAX(1E-9, G1516),"")</f>
        <v/>
      </c>
      <c r="J1516" s="13">
        <f>IFERROR((CHAIN_RAW!S1516-CHAIN_RAW!R1516)/MAX(1E-9, H1516),"")</f>
        <v/>
      </c>
      <c r="K1516" s="13">
        <f>CHAIN_RAW!G1516</f>
        <v/>
      </c>
      <c r="L1516" s="13">
        <f>CHAIN_RAW!N1516</f>
        <v/>
      </c>
      <c r="M1516" s="13">
        <f>IFERROR(L1516-K1516,"")</f>
        <v/>
      </c>
      <c r="N1516" s="13">
        <f>CHAIN_RAW!H1516</f>
        <v/>
      </c>
      <c r="O1516" s="13">
        <f>CHAIN_RAW!O1516</f>
        <v/>
      </c>
      <c r="P1516" s="13">
        <f>IFERROR(O1516/N1516,"")</f>
        <v/>
      </c>
      <c r="Q1516" s="13">
        <f>CHAIN_RAW!I1516</f>
        <v/>
      </c>
      <c r="R1516" s="13">
        <f>CHAIN_RAW!P1516</f>
        <v/>
      </c>
      <c r="S1516" s="13">
        <f>IFERROR(R1516/Q1516,"")</f>
        <v/>
      </c>
      <c r="T1516" s="13">
        <f>IFERROR((ABS(N1516-O1516)/MAX(1,(N1516+O1516)))*EXP(-ABS(E1516-CONTROL!E5)/MAX(1,CONTROL!B8)),"")</f>
        <v/>
      </c>
      <c r="U1516" s="13">
        <f>IFERROR(IF(O1516&gt;N1516,"SUPPORT (PE OI)","RESIST (CE OI)"),"")</f>
        <v/>
      </c>
      <c r="V1516" s="13">
        <f>IFERROR(IF(Q1516&gt;0,IF(R1516&gt;0,"BOTH_ADD","CE_ADD_PE_REDUCE"),IF(R1516&gt;0,"CE_REDUCE_PE_ADD","BOTH_REDUCE")),"")</f>
        <v/>
      </c>
      <c r="W1516" s="13">
        <f>IFERROR( (P1516-1)*0.5 + (M1516)*0.1 - (I1516+J1516)*0.05 + T1516*0.4 ,"")</f>
        <v/>
      </c>
      <c r="X1516" s="13">
        <f>IFERROR(IF(ABS(F1516)&lt;0.01,"ATM/NEAR",""),"")</f>
        <v/>
      </c>
    </row>
    <row r="1517">
      <c r="A1517" s="13">
        <f>CHAIN_RAW!A1517</f>
        <v/>
      </c>
      <c r="B1517" s="14">
        <f>CHAIN_RAW!B1517</f>
        <v/>
      </c>
      <c r="C1517" s="13">
        <f>CHAIN_RAW!C1517</f>
        <v/>
      </c>
      <c r="D1517" s="13">
        <f>CHAIN_RAW!D1517</f>
        <v/>
      </c>
      <c r="E1517" s="13">
        <f>CHAIN_RAW!E1517</f>
        <v/>
      </c>
      <c r="F1517" s="13">
        <f>IFERROR((E1517-D1517)/D1517,"")</f>
        <v/>
      </c>
      <c r="G1517" s="13">
        <f>IFERROR((CHAIN_RAW!K1517+CHAIN_RAW!L1517)/2,"")</f>
        <v/>
      </c>
      <c r="H1517" s="13">
        <f>IFERROR((CHAIN_RAW!R1517+CHAIN_RAW!S1517)/2,"")</f>
        <v/>
      </c>
      <c r="I1517" s="13">
        <f>IFERROR((CHAIN_RAW!L1517-CHAIN_RAW!K1517)/MAX(1E-9, G1517),"")</f>
        <v/>
      </c>
      <c r="J1517" s="13">
        <f>IFERROR((CHAIN_RAW!S1517-CHAIN_RAW!R1517)/MAX(1E-9, H1517),"")</f>
        <v/>
      </c>
      <c r="K1517" s="13">
        <f>CHAIN_RAW!G1517</f>
        <v/>
      </c>
      <c r="L1517" s="13">
        <f>CHAIN_RAW!N1517</f>
        <v/>
      </c>
      <c r="M1517" s="13">
        <f>IFERROR(L1517-K1517,"")</f>
        <v/>
      </c>
      <c r="N1517" s="13">
        <f>CHAIN_RAW!H1517</f>
        <v/>
      </c>
      <c r="O1517" s="13">
        <f>CHAIN_RAW!O1517</f>
        <v/>
      </c>
      <c r="P1517" s="13">
        <f>IFERROR(O1517/N1517,"")</f>
        <v/>
      </c>
      <c r="Q1517" s="13">
        <f>CHAIN_RAW!I1517</f>
        <v/>
      </c>
      <c r="R1517" s="13">
        <f>CHAIN_RAW!P1517</f>
        <v/>
      </c>
      <c r="S1517" s="13">
        <f>IFERROR(R1517/Q1517,"")</f>
        <v/>
      </c>
      <c r="T1517" s="13">
        <f>IFERROR((ABS(N1517-O1517)/MAX(1,(N1517+O1517)))*EXP(-ABS(E1517-CONTROL!E5)/MAX(1,CONTROL!B8)),"")</f>
        <v/>
      </c>
      <c r="U1517" s="13">
        <f>IFERROR(IF(O1517&gt;N1517,"SUPPORT (PE OI)","RESIST (CE OI)"),"")</f>
        <v/>
      </c>
      <c r="V1517" s="13">
        <f>IFERROR(IF(Q1517&gt;0,IF(R1517&gt;0,"BOTH_ADD","CE_ADD_PE_REDUCE"),IF(R1517&gt;0,"CE_REDUCE_PE_ADD","BOTH_REDUCE")),"")</f>
        <v/>
      </c>
      <c r="W1517" s="13">
        <f>IFERROR( (P1517-1)*0.5 + (M1517)*0.1 - (I1517+J1517)*0.05 + T1517*0.4 ,"")</f>
        <v/>
      </c>
      <c r="X1517" s="13">
        <f>IFERROR(IF(ABS(F1517)&lt;0.01,"ATM/NEAR",""),"")</f>
        <v/>
      </c>
    </row>
    <row r="1518">
      <c r="A1518" s="13">
        <f>CHAIN_RAW!A1518</f>
        <v/>
      </c>
      <c r="B1518" s="14">
        <f>CHAIN_RAW!B1518</f>
        <v/>
      </c>
      <c r="C1518" s="13">
        <f>CHAIN_RAW!C1518</f>
        <v/>
      </c>
      <c r="D1518" s="13">
        <f>CHAIN_RAW!D1518</f>
        <v/>
      </c>
      <c r="E1518" s="13">
        <f>CHAIN_RAW!E1518</f>
        <v/>
      </c>
      <c r="F1518" s="13">
        <f>IFERROR((E1518-D1518)/D1518,"")</f>
        <v/>
      </c>
      <c r="G1518" s="13">
        <f>IFERROR((CHAIN_RAW!K1518+CHAIN_RAW!L1518)/2,"")</f>
        <v/>
      </c>
      <c r="H1518" s="13">
        <f>IFERROR((CHAIN_RAW!R1518+CHAIN_RAW!S1518)/2,"")</f>
        <v/>
      </c>
      <c r="I1518" s="13">
        <f>IFERROR((CHAIN_RAW!L1518-CHAIN_RAW!K1518)/MAX(1E-9, G1518),"")</f>
        <v/>
      </c>
      <c r="J1518" s="13">
        <f>IFERROR((CHAIN_RAW!S1518-CHAIN_RAW!R1518)/MAX(1E-9, H1518),"")</f>
        <v/>
      </c>
      <c r="K1518" s="13">
        <f>CHAIN_RAW!G1518</f>
        <v/>
      </c>
      <c r="L1518" s="13">
        <f>CHAIN_RAW!N1518</f>
        <v/>
      </c>
      <c r="M1518" s="13">
        <f>IFERROR(L1518-K1518,"")</f>
        <v/>
      </c>
      <c r="N1518" s="13">
        <f>CHAIN_RAW!H1518</f>
        <v/>
      </c>
      <c r="O1518" s="13">
        <f>CHAIN_RAW!O1518</f>
        <v/>
      </c>
      <c r="P1518" s="13">
        <f>IFERROR(O1518/N1518,"")</f>
        <v/>
      </c>
      <c r="Q1518" s="13">
        <f>CHAIN_RAW!I1518</f>
        <v/>
      </c>
      <c r="R1518" s="13">
        <f>CHAIN_RAW!P1518</f>
        <v/>
      </c>
      <c r="S1518" s="13">
        <f>IFERROR(R1518/Q1518,"")</f>
        <v/>
      </c>
      <c r="T1518" s="13">
        <f>IFERROR((ABS(N1518-O1518)/MAX(1,(N1518+O1518)))*EXP(-ABS(E1518-CONTROL!E5)/MAX(1,CONTROL!B8)),"")</f>
        <v/>
      </c>
      <c r="U1518" s="13">
        <f>IFERROR(IF(O1518&gt;N1518,"SUPPORT (PE OI)","RESIST (CE OI)"),"")</f>
        <v/>
      </c>
      <c r="V1518" s="13">
        <f>IFERROR(IF(Q1518&gt;0,IF(R1518&gt;0,"BOTH_ADD","CE_ADD_PE_REDUCE"),IF(R1518&gt;0,"CE_REDUCE_PE_ADD","BOTH_REDUCE")),"")</f>
        <v/>
      </c>
      <c r="W1518" s="13">
        <f>IFERROR( (P1518-1)*0.5 + (M1518)*0.1 - (I1518+J1518)*0.05 + T1518*0.4 ,"")</f>
        <v/>
      </c>
      <c r="X1518" s="13">
        <f>IFERROR(IF(ABS(F1518)&lt;0.01,"ATM/NEAR",""),"")</f>
        <v/>
      </c>
    </row>
    <row r="1519">
      <c r="A1519" s="13">
        <f>CHAIN_RAW!A1519</f>
        <v/>
      </c>
      <c r="B1519" s="14">
        <f>CHAIN_RAW!B1519</f>
        <v/>
      </c>
      <c r="C1519" s="13">
        <f>CHAIN_RAW!C1519</f>
        <v/>
      </c>
      <c r="D1519" s="13">
        <f>CHAIN_RAW!D1519</f>
        <v/>
      </c>
      <c r="E1519" s="13">
        <f>CHAIN_RAW!E1519</f>
        <v/>
      </c>
      <c r="F1519" s="13">
        <f>IFERROR((E1519-D1519)/D1519,"")</f>
        <v/>
      </c>
      <c r="G1519" s="13">
        <f>IFERROR((CHAIN_RAW!K1519+CHAIN_RAW!L1519)/2,"")</f>
        <v/>
      </c>
      <c r="H1519" s="13">
        <f>IFERROR((CHAIN_RAW!R1519+CHAIN_RAW!S1519)/2,"")</f>
        <v/>
      </c>
      <c r="I1519" s="13">
        <f>IFERROR((CHAIN_RAW!L1519-CHAIN_RAW!K1519)/MAX(1E-9, G1519),"")</f>
        <v/>
      </c>
      <c r="J1519" s="13">
        <f>IFERROR((CHAIN_RAW!S1519-CHAIN_RAW!R1519)/MAX(1E-9, H1519),"")</f>
        <v/>
      </c>
      <c r="K1519" s="13">
        <f>CHAIN_RAW!G1519</f>
        <v/>
      </c>
      <c r="L1519" s="13">
        <f>CHAIN_RAW!N1519</f>
        <v/>
      </c>
      <c r="M1519" s="13">
        <f>IFERROR(L1519-K1519,"")</f>
        <v/>
      </c>
      <c r="N1519" s="13">
        <f>CHAIN_RAW!H1519</f>
        <v/>
      </c>
      <c r="O1519" s="13">
        <f>CHAIN_RAW!O1519</f>
        <v/>
      </c>
      <c r="P1519" s="13">
        <f>IFERROR(O1519/N1519,"")</f>
        <v/>
      </c>
      <c r="Q1519" s="13">
        <f>CHAIN_RAW!I1519</f>
        <v/>
      </c>
      <c r="R1519" s="13">
        <f>CHAIN_RAW!P1519</f>
        <v/>
      </c>
      <c r="S1519" s="13">
        <f>IFERROR(R1519/Q1519,"")</f>
        <v/>
      </c>
      <c r="T1519" s="13">
        <f>IFERROR((ABS(N1519-O1519)/MAX(1,(N1519+O1519)))*EXP(-ABS(E1519-CONTROL!E5)/MAX(1,CONTROL!B8)),"")</f>
        <v/>
      </c>
      <c r="U1519" s="13">
        <f>IFERROR(IF(O1519&gt;N1519,"SUPPORT (PE OI)","RESIST (CE OI)"),"")</f>
        <v/>
      </c>
      <c r="V1519" s="13">
        <f>IFERROR(IF(Q1519&gt;0,IF(R1519&gt;0,"BOTH_ADD","CE_ADD_PE_REDUCE"),IF(R1519&gt;0,"CE_REDUCE_PE_ADD","BOTH_REDUCE")),"")</f>
        <v/>
      </c>
      <c r="W1519" s="13">
        <f>IFERROR( (P1519-1)*0.5 + (M1519)*0.1 - (I1519+J1519)*0.05 + T1519*0.4 ,"")</f>
        <v/>
      </c>
      <c r="X1519" s="13">
        <f>IFERROR(IF(ABS(F1519)&lt;0.01,"ATM/NEAR",""),"")</f>
        <v/>
      </c>
    </row>
    <row r="1520">
      <c r="A1520" s="13">
        <f>CHAIN_RAW!A1520</f>
        <v/>
      </c>
      <c r="B1520" s="14">
        <f>CHAIN_RAW!B1520</f>
        <v/>
      </c>
      <c r="C1520" s="13">
        <f>CHAIN_RAW!C1520</f>
        <v/>
      </c>
      <c r="D1520" s="13">
        <f>CHAIN_RAW!D1520</f>
        <v/>
      </c>
      <c r="E1520" s="13">
        <f>CHAIN_RAW!E1520</f>
        <v/>
      </c>
      <c r="F1520" s="13">
        <f>IFERROR((E1520-D1520)/D1520,"")</f>
        <v/>
      </c>
      <c r="G1520" s="13">
        <f>IFERROR((CHAIN_RAW!K1520+CHAIN_RAW!L1520)/2,"")</f>
        <v/>
      </c>
      <c r="H1520" s="13">
        <f>IFERROR((CHAIN_RAW!R1520+CHAIN_RAW!S1520)/2,"")</f>
        <v/>
      </c>
      <c r="I1520" s="13">
        <f>IFERROR((CHAIN_RAW!L1520-CHAIN_RAW!K1520)/MAX(1E-9, G1520),"")</f>
        <v/>
      </c>
      <c r="J1520" s="13">
        <f>IFERROR((CHAIN_RAW!S1520-CHAIN_RAW!R1520)/MAX(1E-9, H1520),"")</f>
        <v/>
      </c>
      <c r="K1520" s="13">
        <f>CHAIN_RAW!G1520</f>
        <v/>
      </c>
      <c r="L1520" s="13">
        <f>CHAIN_RAW!N1520</f>
        <v/>
      </c>
      <c r="M1520" s="13">
        <f>IFERROR(L1520-K1520,"")</f>
        <v/>
      </c>
      <c r="N1520" s="13">
        <f>CHAIN_RAW!H1520</f>
        <v/>
      </c>
      <c r="O1520" s="13">
        <f>CHAIN_RAW!O1520</f>
        <v/>
      </c>
      <c r="P1520" s="13">
        <f>IFERROR(O1520/N1520,"")</f>
        <v/>
      </c>
      <c r="Q1520" s="13">
        <f>CHAIN_RAW!I1520</f>
        <v/>
      </c>
      <c r="R1520" s="13">
        <f>CHAIN_RAW!P1520</f>
        <v/>
      </c>
      <c r="S1520" s="13">
        <f>IFERROR(R1520/Q1520,"")</f>
        <v/>
      </c>
      <c r="T1520" s="13">
        <f>IFERROR((ABS(N1520-O1520)/MAX(1,(N1520+O1520)))*EXP(-ABS(E1520-CONTROL!E5)/MAX(1,CONTROL!B8)),"")</f>
        <v/>
      </c>
      <c r="U1520" s="13">
        <f>IFERROR(IF(O1520&gt;N1520,"SUPPORT (PE OI)","RESIST (CE OI)"),"")</f>
        <v/>
      </c>
      <c r="V1520" s="13">
        <f>IFERROR(IF(Q1520&gt;0,IF(R1520&gt;0,"BOTH_ADD","CE_ADD_PE_REDUCE"),IF(R1520&gt;0,"CE_REDUCE_PE_ADD","BOTH_REDUCE")),"")</f>
        <v/>
      </c>
      <c r="W1520" s="13">
        <f>IFERROR( (P1520-1)*0.5 + (M1520)*0.1 - (I1520+J1520)*0.05 + T1520*0.4 ,"")</f>
        <v/>
      </c>
      <c r="X1520" s="13">
        <f>IFERROR(IF(ABS(F1520)&lt;0.01,"ATM/NEAR",""),"")</f>
        <v/>
      </c>
    </row>
    <row r="1521">
      <c r="A1521" s="13">
        <f>CHAIN_RAW!A1521</f>
        <v/>
      </c>
      <c r="B1521" s="14">
        <f>CHAIN_RAW!B1521</f>
        <v/>
      </c>
      <c r="C1521" s="13">
        <f>CHAIN_RAW!C1521</f>
        <v/>
      </c>
      <c r="D1521" s="13">
        <f>CHAIN_RAW!D1521</f>
        <v/>
      </c>
      <c r="E1521" s="13">
        <f>CHAIN_RAW!E1521</f>
        <v/>
      </c>
      <c r="F1521" s="13">
        <f>IFERROR((E1521-D1521)/D1521,"")</f>
        <v/>
      </c>
      <c r="G1521" s="13">
        <f>IFERROR((CHAIN_RAW!K1521+CHAIN_RAW!L1521)/2,"")</f>
        <v/>
      </c>
      <c r="H1521" s="13">
        <f>IFERROR((CHAIN_RAW!R1521+CHAIN_RAW!S1521)/2,"")</f>
        <v/>
      </c>
      <c r="I1521" s="13">
        <f>IFERROR((CHAIN_RAW!L1521-CHAIN_RAW!K1521)/MAX(1E-9, G1521),"")</f>
        <v/>
      </c>
      <c r="J1521" s="13">
        <f>IFERROR((CHAIN_RAW!S1521-CHAIN_RAW!R1521)/MAX(1E-9, H1521),"")</f>
        <v/>
      </c>
      <c r="K1521" s="13">
        <f>CHAIN_RAW!G1521</f>
        <v/>
      </c>
      <c r="L1521" s="13">
        <f>CHAIN_RAW!N1521</f>
        <v/>
      </c>
      <c r="M1521" s="13">
        <f>IFERROR(L1521-K1521,"")</f>
        <v/>
      </c>
      <c r="N1521" s="13">
        <f>CHAIN_RAW!H1521</f>
        <v/>
      </c>
      <c r="O1521" s="13">
        <f>CHAIN_RAW!O1521</f>
        <v/>
      </c>
      <c r="P1521" s="13">
        <f>IFERROR(O1521/N1521,"")</f>
        <v/>
      </c>
      <c r="Q1521" s="13">
        <f>CHAIN_RAW!I1521</f>
        <v/>
      </c>
      <c r="R1521" s="13">
        <f>CHAIN_RAW!P1521</f>
        <v/>
      </c>
      <c r="S1521" s="13">
        <f>IFERROR(R1521/Q1521,"")</f>
        <v/>
      </c>
      <c r="T1521" s="13">
        <f>IFERROR((ABS(N1521-O1521)/MAX(1,(N1521+O1521)))*EXP(-ABS(E1521-CONTROL!E5)/MAX(1,CONTROL!B8)),"")</f>
        <v/>
      </c>
      <c r="U1521" s="13">
        <f>IFERROR(IF(O1521&gt;N1521,"SUPPORT (PE OI)","RESIST (CE OI)"),"")</f>
        <v/>
      </c>
      <c r="V1521" s="13">
        <f>IFERROR(IF(Q1521&gt;0,IF(R1521&gt;0,"BOTH_ADD","CE_ADD_PE_REDUCE"),IF(R1521&gt;0,"CE_REDUCE_PE_ADD","BOTH_REDUCE")),"")</f>
        <v/>
      </c>
      <c r="W1521" s="13">
        <f>IFERROR( (P1521-1)*0.5 + (M1521)*0.1 - (I1521+J1521)*0.05 + T1521*0.4 ,"")</f>
        <v/>
      </c>
      <c r="X1521" s="13">
        <f>IFERROR(IF(ABS(F1521)&lt;0.01,"ATM/NEAR",""),"")</f>
        <v/>
      </c>
    </row>
    <row r="1522">
      <c r="A1522" s="13">
        <f>CHAIN_RAW!A1522</f>
        <v/>
      </c>
      <c r="B1522" s="14">
        <f>CHAIN_RAW!B1522</f>
        <v/>
      </c>
      <c r="C1522" s="13">
        <f>CHAIN_RAW!C1522</f>
        <v/>
      </c>
      <c r="D1522" s="13">
        <f>CHAIN_RAW!D1522</f>
        <v/>
      </c>
      <c r="E1522" s="13">
        <f>CHAIN_RAW!E1522</f>
        <v/>
      </c>
      <c r="F1522" s="13">
        <f>IFERROR((E1522-D1522)/D1522,"")</f>
        <v/>
      </c>
      <c r="G1522" s="13">
        <f>IFERROR((CHAIN_RAW!K1522+CHAIN_RAW!L1522)/2,"")</f>
        <v/>
      </c>
      <c r="H1522" s="13">
        <f>IFERROR((CHAIN_RAW!R1522+CHAIN_RAW!S1522)/2,"")</f>
        <v/>
      </c>
      <c r="I1522" s="13">
        <f>IFERROR((CHAIN_RAW!L1522-CHAIN_RAW!K1522)/MAX(1E-9, G1522),"")</f>
        <v/>
      </c>
      <c r="J1522" s="13">
        <f>IFERROR((CHAIN_RAW!S1522-CHAIN_RAW!R1522)/MAX(1E-9, H1522),"")</f>
        <v/>
      </c>
      <c r="K1522" s="13">
        <f>CHAIN_RAW!G1522</f>
        <v/>
      </c>
      <c r="L1522" s="13">
        <f>CHAIN_RAW!N1522</f>
        <v/>
      </c>
      <c r="M1522" s="13">
        <f>IFERROR(L1522-K1522,"")</f>
        <v/>
      </c>
      <c r="N1522" s="13">
        <f>CHAIN_RAW!H1522</f>
        <v/>
      </c>
      <c r="O1522" s="13">
        <f>CHAIN_RAW!O1522</f>
        <v/>
      </c>
      <c r="P1522" s="13">
        <f>IFERROR(O1522/N1522,"")</f>
        <v/>
      </c>
      <c r="Q1522" s="13">
        <f>CHAIN_RAW!I1522</f>
        <v/>
      </c>
      <c r="R1522" s="13">
        <f>CHAIN_RAW!P1522</f>
        <v/>
      </c>
      <c r="S1522" s="13">
        <f>IFERROR(R1522/Q1522,"")</f>
        <v/>
      </c>
      <c r="T1522" s="13">
        <f>IFERROR((ABS(N1522-O1522)/MAX(1,(N1522+O1522)))*EXP(-ABS(E1522-CONTROL!E5)/MAX(1,CONTROL!B8)),"")</f>
        <v/>
      </c>
      <c r="U1522" s="13">
        <f>IFERROR(IF(O1522&gt;N1522,"SUPPORT (PE OI)","RESIST (CE OI)"),"")</f>
        <v/>
      </c>
      <c r="V1522" s="13">
        <f>IFERROR(IF(Q1522&gt;0,IF(R1522&gt;0,"BOTH_ADD","CE_ADD_PE_REDUCE"),IF(R1522&gt;0,"CE_REDUCE_PE_ADD","BOTH_REDUCE")),"")</f>
        <v/>
      </c>
      <c r="W1522" s="13">
        <f>IFERROR( (P1522-1)*0.5 + (M1522)*0.1 - (I1522+J1522)*0.05 + T1522*0.4 ,"")</f>
        <v/>
      </c>
      <c r="X1522" s="13">
        <f>IFERROR(IF(ABS(F1522)&lt;0.01,"ATM/NEAR",""),"")</f>
        <v/>
      </c>
    </row>
    <row r="1523">
      <c r="A1523" s="13">
        <f>CHAIN_RAW!A1523</f>
        <v/>
      </c>
      <c r="B1523" s="14">
        <f>CHAIN_RAW!B1523</f>
        <v/>
      </c>
      <c r="C1523" s="13">
        <f>CHAIN_RAW!C1523</f>
        <v/>
      </c>
      <c r="D1523" s="13">
        <f>CHAIN_RAW!D1523</f>
        <v/>
      </c>
      <c r="E1523" s="13">
        <f>CHAIN_RAW!E1523</f>
        <v/>
      </c>
      <c r="F1523" s="13">
        <f>IFERROR((E1523-D1523)/D1523,"")</f>
        <v/>
      </c>
      <c r="G1523" s="13">
        <f>IFERROR((CHAIN_RAW!K1523+CHAIN_RAW!L1523)/2,"")</f>
        <v/>
      </c>
      <c r="H1523" s="13">
        <f>IFERROR((CHAIN_RAW!R1523+CHAIN_RAW!S1523)/2,"")</f>
        <v/>
      </c>
      <c r="I1523" s="13">
        <f>IFERROR((CHAIN_RAW!L1523-CHAIN_RAW!K1523)/MAX(1E-9, G1523),"")</f>
        <v/>
      </c>
      <c r="J1523" s="13">
        <f>IFERROR((CHAIN_RAW!S1523-CHAIN_RAW!R1523)/MAX(1E-9, H1523),"")</f>
        <v/>
      </c>
      <c r="K1523" s="13">
        <f>CHAIN_RAW!G1523</f>
        <v/>
      </c>
      <c r="L1523" s="13">
        <f>CHAIN_RAW!N1523</f>
        <v/>
      </c>
      <c r="M1523" s="13">
        <f>IFERROR(L1523-K1523,"")</f>
        <v/>
      </c>
      <c r="N1523" s="13">
        <f>CHAIN_RAW!H1523</f>
        <v/>
      </c>
      <c r="O1523" s="13">
        <f>CHAIN_RAW!O1523</f>
        <v/>
      </c>
      <c r="P1523" s="13">
        <f>IFERROR(O1523/N1523,"")</f>
        <v/>
      </c>
      <c r="Q1523" s="13">
        <f>CHAIN_RAW!I1523</f>
        <v/>
      </c>
      <c r="R1523" s="13">
        <f>CHAIN_RAW!P1523</f>
        <v/>
      </c>
      <c r="S1523" s="13">
        <f>IFERROR(R1523/Q1523,"")</f>
        <v/>
      </c>
      <c r="T1523" s="13">
        <f>IFERROR((ABS(N1523-O1523)/MAX(1,(N1523+O1523)))*EXP(-ABS(E1523-CONTROL!E5)/MAX(1,CONTROL!B8)),"")</f>
        <v/>
      </c>
      <c r="U1523" s="13">
        <f>IFERROR(IF(O1523&gt;N1523,"SUPPORT (PE OI)","RESIST (CE OI)"),"")</f>
        <v/>
      </c>
      <c r="V1523" s="13">
        <f>IFERROR(IF(Q1523&gt;0,IF(R1523&gt;0,"BOTH_ADD","CE_ADD_PE_REDUCE"),IF(R1523&gt;0,"CE_REDUCE_PE_ADD","BOTH_REDUCE")),"")</f>
        <v/>
      </c>
      <c r="W1523" s="13">
        <f>IFERROR( (P1523-1)*0.5 + (M1523)*0.1 - (I1523+J1523)*0.05 + T1523*0.4 ,"")</f>
        <v/>
      </c>
      <c r="X1523" s="13">
        <f>IFERROR(IF(ABS(F1523)&lt;0.01,"ATM/NEAR",""),"")</f>
        <v/>
      </c>
    </row>
    <row r="1524">
      <c r="A1524" s="13">
        <f>CHAIN_RAW!A1524</f>
        <v/>
      </c>
      <c r="B1524" s="14">
        <f>CHAIN_RAW!B1524</f>
        <v/>
      </c>
      <c r="C1524" s="13">
        <f>CHAIN_RAW!C1524</f>
        <v/>
      </c>
      <c r="D1524" s="13">
        <f>CHAIN_RAW!D1524</f>
        <v/>
      </c>
      <c r="E1524" s="13">
        <f>CHAIN_RAW!E1524</f>
        <v/>
      </c>
      <c r="F1524" s="13">
        <f>IFERROR((E1524-D1524)/D1524,"")</f>
        <v/>
      </c>
      <c r="G1524" s="13">
        <f>IFERROR((CHAIN_RAW!K1524+CHAIN_RAW!L1524)/2,"")</f>
        <v/>
      </c>
      <c r="H1524" s="13">
        <f>IFERROR((CHAIN_RAW!R1524+CHAIN_RAW!S1524)/2,"")</f>
        <v/>
      </c>
      <c r="I1524" s="13">
        <f>IFERROR((CHAIN_RAW!L1524-CHAIN_RAW!K1524)/MAX(1E-9, G1524),"")</f>
        <v/>
      </c>
      <c r="J1524" s="13">
        <f>IFERROR((CHAIN_RAW!S1524-CHAIN_RAW!R1524)/MAX(1E-9, H1524),"")</f>
        <v/>
      </c>
      <c r="K1524" s="13">
        <f>CHAIN_RAW!G1524</f>
        <v/>
      </c>
      <c r="L1524" s="13">
        <f>CHAIN_RAW!N1524</f>
        <v/>
      </c>
      <c r="M1524" s="13">
        <f>IFERROR(L1524-K1524,"")</f>
        <v/>
      </c>
      <c r="N1524" s="13">
        <f>CHAIN_RAW!H1524</f>
        <v/>
      </c>
      <c r="O1524" s="13">
        <f>CHAIN_RAW!O1524</f>
        <v/>
      </c>
      <c r="P1524" s="13">
        <f>IFERROR(O1524/N1524,"")</f>
        <v/>
      </c>
      <c r="Q1524" s="13">
        <f>CHAIN_RAW!I1524</f>
        <v/>
      </c>
      <c r="R1524" s="13">
        <f>CHAIN_RAW!P1524</f>
        <v/>
      </c>
      <c r="S1524" s="13">
        <f>IFERROR(R1524/Q1524,"")</f>
        <v/>
      </c>
      <c r="T1524" s="13">
        <f>IFERROR((ABS(N1524-O1524)/MAX(1,(N1524+O1524)))*EXP(-ABS(E1524-CONTROL!E5)/MAX(1,CONTROL!B8)),"")</f>
        <v/>
      </c>
      <c r="U1524" s="13">
        <f>IFERROR(IF(O1524&gt;N1524,"SUPPORT (PE OI)","RESIST (CE OI)"),"")</f>
        <v/>
      </c>
      <c r="V1524" s="13">
        <f>IFERROR(IF(Q1524&gt;0,IF(R1524&gt;0,"BOTH_ADD","CE_ADD_PE_REDUCE"),IF(R1524&gt;0,"CE_REDUCE_PE_ADD","BOTH_REDUCE")),"")</f>
        <v/>
      </c>
      <c r="W1524" s="13">
        <f>IFERROR( (P1524-1)*0.5 + (M1524)*0.1 - (I1524+J1524)*0.05 + T1524*0.4 ,"")</f>
        <v/>
      </c>
      <c r="X1524" s="13">
        <f>IFERROR(IF(ABS(F1524)&lt;0.01,"ATM/NEAR",""),"")</f>
        <v/>
      </c>
    </row>
    <row r="1525">
      <c r="A1525" s="13">
        <f>CHAIN_RAW!A1525</f>
        <v/>
      </c>
      <c r="B1525" s="14">
        <f>CHAIN_RAW!B1525</f>
        <v/>
      </c>
      <c r="C1525" s="13">
        <f>CHAIN_RAW!C1525</f>
        <v/>
      </c>
      <c r="D1525" s="13">
        <f>CHAIN_RAW!D1525</f>
        <v/>
      </c>
      <c r="E1525" s="13">
        <f>CHAIN_RAW!E1525</f>
        <v/>
      </c>
      <c r="F1525" s="13">
        <f>IFERROR((E1525-D1525)/D1525,"")</f>
        <v/>
      </c>
      <c r="G1525" s="13">
        <f>IFERROR((CHAIN_RAW!K1525+CHAIN_RAW!L1525)/2,"")</f>
        <v/>
      </c>
      <c r="H1525" s="13">
        <f>IFERROR((CHAIN_RAW!R1525+CHAIN_RAW!S1525)/2,"")</f>
        <v/>
      </c>
      <c r="I1525" s="13">
        <f>IFERROR((CHAIN_RAW!L1525-CHAIN_RAW!K1525)/MAX(1E-9, G1525),"")</f>
        <v/>
      </c>
      <c r="J1525" s="13">
        <f>IFERROR((CHAIN_RAW!S1525-CHAIN_RAW!R1525)/MAX(1E-9, H1525),"")</f>
        <v/>
      </c>
      <c r="K1525" s="13">
        <f>CHAIN_RAW!G1525</f>
        <v/>
      </c>
      <c r="L1525" s="13">
        <f>CHAIN_RAW!N1525</f>
        <v/>
      </c>
      <c r="M1525" s="13">
        <f>IFERROR(L1525-K1525,"")</f>
        <v/>
      </c>
      <c r="N1525" s="13">
        <f>CHAIN_RAW!H1525</f>
        <v/>
      </c>
      <c r="O1525" s="13">
        <f>CHAIN_RAW!O1525</f>
        <v/>
      </c>
      <c r="P1525" s="13">
        <f>IFERROR(O1525/N1525,"")</f>
        <v/>
      </c>
      <c r="Q1525" s="13">
        <f>CHAIN_RAW!I1525</f>
        <v/>
      </c>
      <c r="R1525" s="13">
        <f>CHAIN_RAW!P1525</f>
        <v/>
      </c>
      <c r="S1525" s="13">
        <f>IFERROR(R1525/Q1525,"")</f>
        <v/>
      </c>
      <c r="T1525" s="13">
        <f>IFERROR((ABS(N1525-O1525)/MAX(1,(N1525+O1525)))*EXP(-ABS(E1525-CONTROL!E5)/MAX(1,CONTROL!B8)),"")</f>
        <v/>
      </c>
      <c r="U1525" s="13">
        <f>IFERROR(IF(O1525&gt;N1525,"SUPPORT (PE OI)","RESIST (CE OI)"),"")</f>
        <v/>
      </c>
      <c r="V1525" s="13">
        <f>IFERROR(IF(Q1525&gt;0,IF(R1525&gt;0,"BOTH_ADD","CE_ADD_PE_REDUCE"),IF(R1525&gt;0,"CE_REDUCE_PE_ADD","BOTH_REDUCE")),"")</f>
        <v/>
      </c>
      <c r="W1525" s="13">
        <f>IFERROR( (P1525-1)*0.5 + (M1525)*0.1 - (I1525+J1525)*0.05 + T1525*0.4 ,"")</f>
        <v/>
      </c>
      <c r="X1525" s="13">
        <f>IFERROR(IF(ABS(F1525)&lt;0.01,"ATM/NEAR",""),"")</f>
        <v/>
      </c>
    </row>
    <row r="1526">
      <c r="A1526" s="13">
        <f>CHAIN_RAW!A1526</f>
        <v/>
      </c>
      <c r="B1526" s="14">
        <f>CHAIN_RAW!B1526</f>
        <v/>
      </c>
      <c r="C1526" s="13">
        <f>CHAIN_RAW!C1526</f>
        <v/>
      </c>
      <c r="D1526" s="13">
        <f>CHAIN_RAW!D1526</f>
        <v/>
      </c>
      <c r="E1526" s="13">
        <f>CHAIN_RAW!E1526</f>
        <v/>
      </c>
      <c r="F1526" s="13">
        <f>IFERROR((E1526-D1526)/D1526,"")</f>
        <v/>
      </c>
      <c r="G1526" s="13">
        <f>IFERROR((CHAIN_RAW!K1526+CHAIN_RAW!L1526)/2,"")</f>
        <v/>
      </c>
      <c r="H1526" s="13">
        <f>IFERROR((CHAIN_RAW!R1526+CHAIN_RAW!S1526)/2,"")</f>
        <v/>
      </c>
      <c r="I1526" s="13">
        <f>IFERROR((CHAIN_RAW!L1526-CHAIN_RAW!K1526)/MAX(1E-9, G1526),"")</f>
        <v/>
      </c>
      <c r="J1526" s="13">
        <f>IFERROR((CHAIN_RAW!S1526-CHAIN_RAW!R1526)/MAX(1E-9, H1526),"")</f>
        <v/>
      </c>
      <c r="K1526" s="13">
        <f>CHAIN_RAW!G1526</f>
        <v/>
      </c>
      <c r="L1526" s="13">
        <f>CHAIN_RAW!N1526</f>
        <v/>
      </c>
      <c r="M1526" s="13">
        <f>IFERROR(L1526-K1526,"")</f>
        <v/>
      </c>
      <c r="N1526" s="13">
        <f>CHAIN_RAW!H1526</f>
        <v/>
      </c>
      <c r="O1526" s="13">
        <f>CHAIN_RAW!O1526</f>
        <v/>
      </c>
      <c r="P1526" s="13">
        <f>IFERROR(O1526/N1526,"")</f>
        <v/>
      </c>
      <c r="Q1526" s="13">
        <f>CHAIN_RAW!I1526</f>
        <v/>
      </c>
      <c r="R1526" s="13">
        <f>CHAIN_RAW!P1526</f>
        <v/>
      </c>
      <c r="S1526" s="13">
        <f>IFERROR(R1526/Q1526,"")</f>
        <v/>
      </c>
      <c r="T1526" s="13">
        <f>IFERROR((ABS(N1526-O1526)/MAX(1,(N1526+O1526)))*EXP(-ABS(E1526-CONTROL!E5)/MAX(1,CONTROL!B8)),"")</f>
        <v/>
      </c>
      <c r="U1526" s="13">
        <f>IFERROR(IF(O1526&gt;N1526,"SUPPORT (PE OI)","RESIST (CE OI)"),"")</f>
        <v/>
      </c>
      <c r="V1526" s="13">
        <f>IFERROR(IF(Q1526&gt;0,IF(R1526&gt;0,"BOTH_ADD","CE_ADD_PE_REDUCE"),IF(R1526&gt;0,"CE_REDUCE_PE_ADD","BOTH_REDUCE")),"")</f>
        <v/>
      </c>
      <c r="W1526" s="13">
        <f>IFERROR( (P1526-1)*0.5 + (M1526)*0.1 - (I1526+J1526)*0.05 + T1526*0.4 ,"")</f>
        <v/>
      </c>
      <c r="X1526" s="13">
        <f>IFERROR(IF(ABS(F1526)&lt;0.01,"ATM/NEAR",""),"")</f>
        <v/>
      </c>
    </row>
    <row r="1527">
      <c r="A1527" s="13">
        <f>CHAIN_RAW!A1527</f>
        <v/>
      </c>
      <c r="B1527" s="14">
        <f>CHAIN_RAW!B1527</f>
        <v/>
      </c>
      <c r="C1527" s="13">
        <f>CHAIN_RAW!C1527</f>
        <v/>
      </c>
      <c r="D1527" s="13">
        <f>CHAIN_RAW!D1527</f>
        <v/>
      </c>
      <c r="E1527" s="13">
        <f>CHAIN_RAW!E1527</f>
        <v/>
      </c>
      <c r="F1527" s="13">
        <f>IFERROR((E1527-D1527)/D1527,"")</f>
        <v/>
      </c>
      <c r="G1527" s="13">
        <f>IFERROR((CHAIN_RAW!K1527+CHAIN_RAW!L1527)/2,"")</f>
        <v/>
      </c>
      <c r="H1527" s="13">
        <f>IFERROR((CHAIN_RAW!R1527+CHAIN_RAW!S1527)/2,"")</f>
        <v/>
      </c>
      <c r="I1527" s="13">
        <f>IFERROR((CHAIN_RAW!L1527-CHAIN_RAW!K1527)/MAX(1E-9, G1527),"")</f>
        <v/>
      </c>
      <c r="J1527" s="13">
        <f>IFERROR((CHAIN_RAW!S1527-CHAIN_RAW!R1527)/MAX(1E-9, H1527),"")</f>
        <v/>
      </c>
      <c r="K1527" s="13">
        <f>CHAIN_RAW!G1527</f>
        <v/>
      </c>
      <c r="L1527" s="13">
        <f>CHAIN_RAW!N1527</f>
        <v/>
      </c>
      <c r="M1527" s="13">
        <f>IFERROR(L1527-K1527,"")</f>
        <v/>
      </c>
      <c r="N1527" s="13">
        <f>CHAIN_RAW!H1527</f>
        <v/>
      </c>
      <c r="O1527" s="13">
        <f>CHAIN_RAW!O1527</f>
        <v/>
      </c>
      <c r="P1527" s="13">
        <f>IFERROR(O1527/N1527,"")</f>
        <v/>
      </c>
      <c r="Q1527" s="13">
        <f>CHAIN_RAW!I1527</f>
        <v/>
      </c>
      <c r="R1527" s="13">
        <f>CHAIN_RAW!P1527</f>
        <v/>
      </c>
      <c r="S1527" s="13">
        <f>IFERROR(R1527/Q1527,"")</f>
        <v/>
      </c>
      <c r="T1527" s="13">
        <f>IFERROR((ABS(N1527-O1527)/MAX(1,(N1527+O1527)))*EXP(-ABS(E1527-CONTROL!E5)/MAX(1,CONTROL!B8)),"")</f>
        <v/>
      </c>
      <c r="U1527" s="13">
        <f>IFERROR(IF(O1527&gt;N1527,"SUPPORT (PE OI)","RESIST (CE OI)"),"")</f>
        <v/>
      </c>
      <c r="V1527" s="13">
        <f>IFERROR(IF(Q1527&gt;0,IF(R1527&gt;0,"BOTH_ADD","CE_ADD_PE_REDUCE"),IF(R1527&gt;0,"CE_REDUCE_PE_ADD","BOTH_REDUCE")),"")</f>
        <v/>
      </c>
      <c r="W1527" s="13">
        <f>IFERROR( (P1527-1)*0.5 + (M1527)*0.1 - (I1527+J1527)*0.05 + T1527*0.4 ,"")</f>
        <v/>
      </c>
      <c r="X1527" s="13">
        <f>IFERROR(IF(ABS(F1527)&lt;0.01,"ATM/NEAR",""),"")</f>
        <v/>
      </c>
    </row>
    <row r="1528">
      <c r="A1528" s="13">
        <f>CHAIN_RAW!A1528</f>
        <v/>
      </c>
      <c r="B1528" s="14">
        <f>CHAIN_RAW!B1528</f>
        <v/>
      </c>
      <c r="C1528" s="13">
        <f>CHAIN_RAW!C1528</f>
        <v/>
      </c>
      <c r="D1528" s="13">
        <f>CHAIN_RAW!D1528</f>
        <v/>
      </c>
      <c r="E1528" s="13">
        <f>CHAIN_RAW!E1528</f>
        <v/>
      </c>
      <c r="F1528" s="13">
        <f>IFERROR((E1528-D1528)/D1528,"")</f>
        <v/>
      </c>
      <c r="G1528" s="13">
        <f>IFERROR((CHAIN_RAW!K1528+CHAIN_RAW!L1528)/2,"")</f>
        <v/>
      </c>
      <c r="H1528" s="13">
        <f>IFERROR((CHAIN_RAW!R1528+CHAIN_RAW!S1528)/2,"")</f>
        <v/>
      </c>
      <c r="I1528" s="13">
        <f>IFERROR((CHAIN_RAW!L1528-CHAIN_RAW!K1528)/MAX(1E-9, G1528),"")</f>
        <v/>
      </c>
      <c r="J1528" s="13">
        <f>IFERROR((CHAIN_RAW!S1528-CHAIN_RAW!R1528)/MAX(1E-9, H1528),"")</f>
        <v/>
      </c>
      <c r="K1528" s="13">
        <f>CHAIN_RAW!G1528</f>
        <v/>
      </c>
      <c r="L1528" s="13">
        <f>CHAIN_RAW!N1528</f>
        <v/>
      </c>
      <c r="M1528" s="13">
        <f>IFERROR(L1528-K1528,"")</f>
        <v/>
      </c>
      <c r="N1528" s="13">
        <f>CHAIN_RAW!H1528</f>
        <v/>
      </c>
      <c r="O1528" s="13">
        <f>CHAIN_RAW!O1528</f>
        <v/>
      </c>
      <c r="P1528" s="13">
        <f>IFERROR(O1528/N1528,"")</f>
        <v/>
      </c>
      <c r="Q1528" s="13">
        <f>CHAIN_RAW!I1528</f>
        <v/>
      </c>
      <c r="R1528" s="13">
        <f>CHAIN_RAW!P1528</f>
        <v/>
      </c>
      <c r="S1528" s="13">
        <f>IFERROR(R1528/Q1528,"")</f>
        <v/>
      </c>
      <c r="T1528" s="13">
        <f>IFERROR((ABS(N1528-O1528)/MAX(1,(N1528+O1528)))*EXP(-ABS(E1528-CONTROL!E5)/MAX(1,CONTROL!B8)),"")</f>
        <v/>
      </c>
      <c r="U1528" s="13">
        <f>IFERROR(IF(O1528&gt;N1528,"SUPPORT (PE OI)","RESIST (CE OI)"),"")</f>
        <v/>
      </c>
      <c r="V1528" s="13">
        <f>IFERROR(IF(Q1528&gt;0,IF(R1528&gt;0,"BOTH_ADD","CE_ADD_PE_REDUCE"),IF(R1528&gt;0,"CE_REDUCE_PE_ADD","BOTH_REDUCE")),"")</f>
        <v/>
      </c>
      <c r="W1528" s="13">
        <f>IFERROR( (P1528-1)*0.5 + (M1528)*0.1 - (I1528+J1528)*0.05 + T1528*0.4 ,"")</f>
        <v/>
      </c>
      <c r="X1528" s="13">
        <f>IFERROR(IF(ABS(F1528)&lt;0.01,"ATM/NEAR",""),"")</f>
        <v/>
      </c>
    </row>
    <row r="1529">
      <c r="A1529" s="13">
        <f>CHAIN_RAW!A1529</f>
        <v/>
      </c>
      <c r="B1529" s="14">
        <f>CHAIN_RAW!B1529</f>
        <v/>
      </c>
      <c r="C1529" s="13">
        <f>CHAIN_RAW!C1529</f>
        <v/>
      </c>
      <c r="D1529" s="13">
        <f>CHAIN_RAW!D1529</f>
        <v/>
      </c>
      <c r="E1529" s="13">
        <f>CHAIN_RAW!E1529</f>
        <v/>
      </c>
      <c r="F1529" s="13">
        <f>IFERROR((E1529-D1529)/D1529,"")</f>
        <v/>
      </c>
      <c r="G1529" s="13">
        <f>IFERROR((CHAIN_RAW!K1529+CHAIN_RAW!L1529)/2,"")</f>
        <v/>
      </c>
      <c r="H1529" s="13">
        <f>IFERROR((CHAIN_RAW!R1529+CHAIN_RAW!S1529)/2,"")</f>
        <v/>
      </c>
      <c r="I1529" s="13">
        <f>IFERROR((CHAIN_RAW!L1529-CHAIN_RAW!K1529)/MAX(1E-9, G1529),"")</f>
        <v/>
      </c>
      <c r="J1529" s="13">
        <f>IFERROR((CHAIN_RAW!S1529-CHAIN_RAW!R1529)/MAX(1E-9, H1529),"")</f>
        <v/>
      </c>
      <c r="K1529" s="13">
        <f>CHAIN_RAW!G1529</f>
        <v/>
      </c>
      <c r="L1529" s="13">
        <f>CHAIN_RAW!N1529</f>
        <v/>
      </c>
      <c r="M1529" s="13">
        <f>IFERROR(L1529-K1529,"")</f>
        <v/>
      </c>
      <c r="N1529" s="13">
        <f>CHAIN_RAW!H1529</f>
        <v/>
      </c>
      <c r="O1529" s="13">
        <f>CHAIN_RAW!O1529</f>
        <v/>
      </c>
      <c r="P1529" s="13">
        <f>IFERROR(O1529/N1529,"")</f>
        <v/>
      </c>
      <c r="Q1529" s="13">
        <f>CHAIN_RAW!I1529</f>
        <v/>
      </c>
      <c r="R1529" s="13">
        <f>CHAIN_RAW!P1529</f>
        <v/>
      </c>
      <c r="S1529" s="13">
        <f>IFERROR(R1529/Q1529,"")</f>
        <v/>
      </c>
      <c r="T1529" s="13">
        <f>IFERROR((ABS(N1529-O1529)/MAX(1,(N1529+O1529)))*EXP(-ABS(E1529-CONTROL!E5)/MAX(1,CONTROL!B8)),"")</f>
        <v/>
      </c>
      <c r="U1529" s="13">
        <f>IFERROR(IF(O1529&gt;N1529,"SUPPORT (PE OI)","RESIST (CE OI)"),"")</f>
        <v/>
      </c>
      <c r="V1529" s="13">
        <f>IFERROR(IF(Q1529&gt;0,IF(R1529&gt;0,"BOTH_ADD","CE_ADD_PE_REDUCE"),IF(R1529&gt;0,"CE_REDUCE_PE_ADD","BOTH_REDUCE")),"")</f>
        <v/>
      </c>
      <c r="W1529" s="13">
        <f>IFERROR( (P1529-1)*0.5 + (M1529)*0.1 - (I1529+J1529)*0.05 + T1529*0.4 ,"")</f>
        <v/>
      </c>
      <c r="X1529" s="13">
        <f>IFERROR(IF(ABS(F1529)&lt;0.01,"ATM/NEAR",""),"")</f>
        <v/>
      </c>
    </row>
    <row r="1530">
      <c r="A1530" s="13">
        <f>CHAIN_RAW!A1530</f>
        <v/>
      </c>
      <c r="B1530" s="14">
        <f>CHAIN_RAW!B1530</f>
        <v/>
      </c>
      <c r="C1530" s="13">
        <f>CHAIN_RAW!C1530</f>
        <v/>
      </c>
      <c r="D1530" s="13">
        <f>CHAIN_RAW!D1530</f>
        <v/>
      </c>
      <c r="E1530" s="13">
        <f>CHAIN_RAW!E1530</f>
        <v/>
      </c>
      <c r="F1530" s="13">
        <f>IFERROR((E1530-D1530)/D1530,"")</f>
        <v/>
      </c>
      <c r="G1530" s="13">
        <f>IFERROR((CHAIN_RAW!K1530+CHAIN_RAW!L1530)/2,"")</f>
        <v/>
      </c>
      <c r="H1530" s="13">
        <f>IFERROR((CHAIN_RAW!R1530+CHAIN_RAW!S1530)/2,"")</f>
        <v/>
      </c>
      <c r="I1530" s="13">
        <f>IFERROR((CHAIN_RAW!L1530-CHAIN_RAW!K1530)/MAX(1E-9, G1530),"")</f>
        <v/>
      </c>
      <c r="J1530" s="13">
        <f>IFERROR((CHAIN_RAW!S1530-CHAIN_RAW!R1530)/MAX(1E-9, H1530),"")</f>
        <v/>
      </c>
      <c r="K1530" s="13">
        <f>CHAIN_RAW!G1530</f>
        <v/>
      </c>
      <c r="L1530" s="13">
        <f>CHAIN_RAW!N1530</f>
        <v/>
      </c>
      <c r="M1530" s="13">
        <f>IFERROR(L1530-K1530,"")</f>
        <v/>
      </c>
      <c r="N1530" s="13">
        <f>CHAIN_RAW!H1530</f>
        <v/>
      </c>
      <c r="O1530" s="13">
        <f>CHAIN_RAW!O1530</f>
        <v/>
      </c>
      <c r="P1530" s="13">
        <f>IFERROR(O1530/N1530,"")</f>
        <v/>
      </c>
      <c r="Q1530" s="13">
        <f>CHAIN_RAW!I1530</f>
        <v/>
      </c>
      <c r="R1530" s="13">
        <f>CHAIN_RAW!P1530</f>
        <v/>
      </c>
      <c r="S1530" s="13">
        <f>IFERROR(R1530/Q1530,"")</f>
        <v/>
      </c>
      <c r="T1530" s="13">
        <f>IFERROR((ABS(N1530-O1530)/MAX(1,(N1530+O1530)))*EXP(-ABS(E1530-CONTROL!E5)/MAX(1,CONTROL!B8)),"")</f>
        <v/>
      </c>
      <c r="U1530" s="13">
        <f>IFERROR(IF(O1530&gt;N1530,"SUPPORT (PE OI)","RESIST (CE OI)"),"")</f>
        <v/>
      </c>
      <c r="V1530" s="13">
        <f>IFERROR(IF(Q1530&gt;0,IF(R1530&gt;0,"BOTH_ADD","CE_ADD_PE_REDUCE"),IF(R1530&gt;0,"CE_REDUCE_PE_ADD","BOTH_REDUCE")),"")</f>
        <v/>
      </c>
      <c r="W1530" s="13">
        <f>IFERROR( (P1530-1)*0.5 + (M1530)*0.1 - (I1530+J1530)*0.05 + T1530*0.4 ,"")</f>
        <v/>
      </c>
      <c r="X1530" s="13">
        <f>IFERROR(IF(ABS(F1530)&lt;0.01,"ATM/NEAR",""),"")</f>
        <v/>
      </c>
    </row>
    <row r="1531">
      <c r="A1531" s="13">
        <f>CHAIN_RAW!A1531</f>
        <v/>
      </c>
      <c r="B1531" s="14">
        <f>CHAIN_RAW!B1531</f>
        <v/>
      </c>
      <c r="C1531" s="13">
        <f>CHAIN_RAW!C1531</f>
        <v/>
      </c>
      <c r="D1531" s="13">
        <f>CHAIN_RAW!D1531</f>
        <v/>
      </c>
      <c r="E1531" s="13">
        <f>CHAIN_RAW!E1531</f>
        <v/>
      </c>
      <c r="F1531" s="13">
        <f>IFERROR((E1531-D1531)/D1531,"")</f>
        <v/>
      </c>
      <c r="G1531" s="13">
        <f>IFERROR((CHAIN_RAW!K1531+CHAIN_RAW!L1531)/2,"")</f>
        <v/>
      </c>
      <c r="H1531" s="13">
        <f>IFERROR((CHAIN_RAW!R1531+CHAIN_RAW!S1531)/2,"")</f>
        <v/>
      </c>
      <c r="I1531" s="13">
        <f>IFERROR((CHAIN_RAW!L1531-CHAIN_RAW!K1531)/MAX(1E-9, G1531),"")</f>
        <v/>
      </c>
      <c r="J1531" s="13">
        <f>IFERROR((CHAIN_RAW!S1531-CHAIN_RAW!R1531)/MAX(1E-9, H1531),"")</f>
        <v/>
      </c>
      <c r="K1531" s="13">
        <f>CHAIN_RAW!G1531</f>
        <v/>
      </c>
      <c r="L1531" s="13">
        <f>CHAIN_RAW!N1531</f>
        <v/>
      </c>
      <c r="M1531" s="13">
        <f>IFERROR(L1531-K1531,"")</f>
        <v/>
      </c>
      <c r="N1531" s="13">
        <f>CHAIN_RAW!H1531</f>
        <v/>
      </c>
      <c r="O1531" s="13">
        <f>CHAIN_RAW!O1531</f>
        <v/>
      </c>
      <c r="P1531" s="13">
        <f>IFERROR(O1531/N1531,"")</f>
        <v/>
      </c>
      <c r="Q1531" s="13">
        <f>CHAIN_RAW!I1531</f>
        <v/>
      </c>
      <c r="R1531" s="13">
        <f>CHAIN_RAW!P1531</f>
        <v/>
      </c>
      <c r="S1531" s="13">
        <f>IFERROR(R1531/Q1531,"")</f>
        <v/>
      </c>
      <c r="T1531" s="13">
        <f>IFERROR((ABS(N1531-O1531)/MAX(1,(N1531+O1531)))*EXP(-ABS(E1531-CONTROL!E5)/MAX(1,CONTROL!B8)),"")</f>
        <v/>
      </c>
      <c r="U1531" s="13">
        <f>IFERROR(IF(O1531&gt;N1531,"SUPPORT (PE OI)","RESIST (CE OI)"),"")</f>
        <v/>
      </c>
      <c r="V1531" s="13">
        <f>IFERROR(IF(Q1531&gt;0,IF(R1531&gt;0,"BOTH_ADD","CE_ADD_PE_REDUCE"),IF(R1531&gt;0,"CE_REDUCE_PE_ADD","BOTH_REDUCE")),"")</f>
        <v/>
      </c>
      <c r="W1531" s="13">
        <f>IFERROR( (P1531-1)*0.5 + (M1531)*0.1 - (I1531+J1531)*0.05 + T1531*0.4 ,"")</f>
        <v/>
      </c>
      <c r="X1531" s="13">
        <f>IFERROR(IF(ABS(F1531)&lt;0.01,"ATM/NEAR",""),"")</f>
        <v/>
      </c>
    </row>
    <row r="1532">
      <c r="A1532" s="13">
        <f>CHAIN_RAW!A1532</f>
        <v/>
      </c>
      <c r="B1532" s="14">
        <f>CHAIN_RAW!B1532</f>
        <v/>
      </c>
      <c r="C1532" s="13">
        <f>CHAIN_RAW!C1532</f>
        <v/>
      </c>
      <c r="D1532" s="13">
        <f>CHAIN_RAW!D1532</f>
        <v/>
      </c>
      <c r="E1532" s="13">
        <f>CHAIN_RAW!E1532</f>
        <v/>
      </c>
      <c r="F1532" s="13">
        <f>IFERROR((E1532-D1532)/D1532,"")</f>
        <v/>
      </c>
      <c r="G1532" s="13">
        <f>IFERROR((CHAIN_RAW!K1532+CHAIN_RAW!L1532)/2,"")</f>
        <v/>
      </c>
      <c r="H1532" s="13">
        <f>IFERROR((CHAIN_RAW!R1532+CHAIN_RAW!S1532)/2,"")</f>
        <v/>
      </c>
      <c r="I1532" s="13">
        <f>IFERROR((CHAIN_RAW!L1532-CHAIN_RAW!K1532)/MAX(1E-9, G1532),"")</f>
        <v/>
      </c>
      <c r="J1532" s="13">
        <f>IFERROR((CHAIN_RAW!S1532-CHAIN_RAW!R1532)/MAX(1E-9, H1532),"")</f>
        <v/>
      </c>
      <c r="K1532" s="13">
        <f>CHAIN_RAW!G1532</f>
        <v/>
      </c>
      <c r="L1532" s="13">
        <f>CHAIN_RAW!N1532</f>
        <v/>
      </c>
      <c r="M1532" s="13">
        <f>IFERROR(L1532-K1532,"")</f>
        <v/>
      </c>
      <c r="N1532" s="13">
        <f>CHAIN_RAW!H1532</f>
        <v/>
      </c>
      <c r="O1532" s="13">
        <f>CHAIN_RAW!O1532</f>
        <v/>
      </c>
      <c r="P1532" s="13">
        <f>IFERROR(O1532/N1532,"")</f>
        <v/>
      </c>
      <c r="Q1532" s="13">
        <f>CHAIN_RAW!I1532</f>
        <v/>
      </c>
      <c r="R1532" s="13">
        <f>CHAIN_RAW!P1532</f>
        <v/>
      </c>
      <c r="S1532" s="13">
        <f>IFERROR(R1532/Q1532,"")</f>
        <v/>
      </c>
      <c r="T1532" s="13">
        <f>IFERROR((ABS(N1532-O1532)/MAX(1,(N1532+O1532)))*EXP(-ABS(E1532-CONTROL!E5)/MAX(1,CONTROL!B8)),"")</f>
        <v/>
      </c>
      <c r="U1532" s="13">
        <f>IFERROR(IF(O1532&gt;N1532,"SUPPORT (PE OI)","RESIST (CE OI)"),"")</f>
        <v/>
      </c>
      <c r="V1532" s="13">
        <f>IFERROR(IF(Q1532&gt;0,IF(R1532&gt;0,"BOTH_ADD","CE_ADD_PE_REDUCE"),IF(R1532&gt;0,"CE_REDUCE_PE_ADD","BOTH_REDUCE")),"")</f>
        <v/>
      </c>
      <c r="W1532" s="13">
        <f>IFERROR( (P1532-1)*0.5 + (M1532)*0.1 - (I1532+J1532)*0.05 + T1532*0.4 ,"")</f>
        <v/>
      </c>
      <c r="X1532" s="13">
        <f>IFERROR(IF(ABS(F1532)&lt;0.01,"ATM/NEAR",""),"")</f>
        <v/>
      </c>
    </row>
    <row r="1533">
      <c r="A1533" s="13">
        <f>CHAIN_RAW!A1533</f>
        <v/>
      </c>
      <c r="B1533" s="14">
        <f>CHAIN_RAW!B1533</f>
        <v/>
      </c>
      <c r="C1533" s="13">
        <f>CHAIN_RAW!C1533</f>
        <v/>
      </c>
      <c r="D1533" s="13">
        <f>CHAIN_RAW!D1533</f>
        <v/>
      </c>
      <c r="E1533" s="13">
        <f>CHAIN_RAW!E1533</f>
        <v/>
      </c>
      <c r="F1533" s="13">
        <f>IFERROR((E1533-D1533)/D1533,"")</f>
        <v/>
      </c>
      <c r="G1533" s="13">
        <f>IFERROR((CHAIN_RAW!K1533+CHAIN_RAW!L1533)/2,"")</f>
        <v/>
      </c>
      <c r="H1533" s="13">
        <f>IFERROR((CHAIN_RAW!R1533+CHAIN_RAW!S1533)/2,"")</f>
        <v/>
      </c>
      <c r="I1533" s="13">
        <f>IFERROR((CHAIN_RAW!L1533-CHAIN_RAW!K1533)/MAX(1E-9, G1533),"")</f>
        <v/>
      </c>
      <c r="J1533" s="13">
        <f>IFERROR((CHAIN_RAW!S1533-CHAIN_RAW!R1533)/MAX(1E-9, H1533),"")</f>
        <v/>
      </c>
      <c r="K1533" s="13">
        <f>CHAIN_RAW!G1533</f>
        <v/>
      </c>
      <c r="L1533" s="13">
        <f>CHAIN_RAW!N1533</f>
        <v/>
      </c>
      <c r="M1533" s="13">
        <f>IFERROR(L1533-K1533,"")</f>
        <v/>
      </c>
      <c r="N1533" s="13">
        <f>CHAIN_RAW!H1533</f>
        <v/>
      </c>
      <c r="O1533" s="13">
        <f>CHAIN_RAW!O1533</f>
        <v/>
      </c>
      <c r="P1533" s="13">
        <f>IFERROR(O1533/N1533,"")</f>
        <v/>
      </c>
      <c r="Q1533" s="13">
        <f>CHAIN_RAW!I1533</f>
        <v/>
      </c>
      <c r="R1533" s="13">
        <f>CHAIN_RAW!P1533</f>
        <v/>
      </c>
      <c r="S1533" s="13">
        <f>IFERROR(R1533/Q1533,"")</f>
        <v/>
      </c>
      <c r="T1533" s="13">
        <f>IFERROR((ABS(N1533-O1533)/MAX(1,(N1533+O1533)))*EXP(-ABS(E1533-CONTROL!E5)/MAX(1,CONTROL!B8)),"")</f>
        <v/>
      </c>
      <c r="U1533" s="13">
        <f>IFERROR(IF(O1533&gt;N1533,"SUPPORT (PE OI)","RESIST (CE OI)"),"")</f>
        <v/>
      </c>
      <c r="V1533" s="13">
        <f>IFERROR(IF(Q1533&gt;0,IF(R1533&gt;0,"BOTH_ADD","CE_ADD_PE_REDUCE"),IF(R1533&gt;0,"CE_REDUCE_PE_ADD","BOTH_REDUCE")),"")</f>
        <v/>
      </c>
      <c r="W1533" s="13">
        <f>IFERROR( (P1533-1)*0.5 + (M1533)*0.1 - (I1533+J1533)*0.05 + T1533*0.4 ,"")</f>
        <v/>
      </c>
      <c r="X1533" s="13">
        <f>IFERROR(IF(ABS(F1533)&lt;0.01,"ATM/NEAR",""),"")</f>
        <v/>
      </c>
    </row>
    <row r="1534">
      <c r="A1534" s="13">
        <f>CHAIN_RAW!A1534</f>
        <v/>
      </c>
      <c r="B1534" s="14">
        <f>CHAIN_RAW!B1534</f>
        <v/>
      </c>
      <c r="C1534" s="13">
        <f>CHAIN_RAW!C1534</f>
        <v/>
      </c>
      <c r="D1534" s="13">
        <f>CHAIN_RAW!D1534</f>
        <v/>
      </c>
      <c r="E1534" s="13">
        <f>CHAIN_RAW!E1534</f>
        <v/>
      </c>
      <c r="F1534" s="13">
        <f>IFERROR((E1534-D1534)/D1534,"")</f>
        <v/>
      </c>
      <c r="G1534" s="13">
        <f>IFERROR((CHAIN_RAW!K1534+CHAIN_RAW!L1534)/2,"")</f>
        <v/>
      </c>
      <c r="H1534" s="13">
        <f>IFERROR((CHAIN_RAW!R1534+CHAIN_RAW!S1534)/2,"")</f>
        <v/>
      </c>
      <c r="I1534" s="13">
        <f>IFERROR((CHAIN_RAW!L1534-CHAIN_RAW!K1534)/MAX(1E-9, G1534),"")</f>
        <v/>
      </c>
      <c r="J1534" s="13">
        <f>IFERROR((CHAIN_RAW!S1534-CHAIN_RAW!R1534)/MAX(1E-9, H1534),"")</f>
        <v/>
      </c>
      <c r="K1534" s="13">
        <f>CHAIN_RAW!G1534</f>
        <v/>
      </c>
      <c r="L1534" s="13">
        <f>CHAIN_RAW!N1534</f>
        <v/>
      </c>
      <c r="M1534" s="13">
        <f>IFERROR(L1534-K1534,"")</f>
        <v/>
      </c>
      <c r="N1534" s="13">
        <f>CHAIN_RAW!H1534</f>
        <v/>
      </c>
      <c r="O1534" s="13">
        <f>CHAIN_RAW!O1534</f>
        <v/>
      </c>
      <c r="P1534" s="13">
        <f>IFERROR(O1534/N1534,"")</f>
        <v/>
      </c>
      <c r="Q1534" s="13">
        <f>CHAIN_RAW!I1534</f>
        <v/>
      </c>
      <c r="R1534" s="13">
        <f>CHAIN_RAW!P1534</f>
        <v/>
      </c>
      <c r="S1534" s="13">
        <f>IFERROR(R1534/Q1534,"")</f>
        <v/>
      </c>
      <c r="T1534" s="13">
        <f>IFERROR((ABS(N1534-O1534)/MAX(1,(N1534+O1534)))*EXP(-ABS(E1534-CONTROL!E5)/MAX(1,CONTROL!B8)),"")</f>
        <v/>
      </c>
      <c r="U1534" s="13">
        <f>IFERROR(IF(O1534&gt;N1534,"SUPPORT (PE OI)","RESIST (CE OI)"),"")</f>
        <v/>
      </c>
      <c r="V1534" s="13">
        <f>IFERROR(IF(Q1534&gt;0,IF(R1534&gt;0,"BOTH_ADD","CE_ADD_PE_REDUCE"),IF(R1534&gt;0,"CE_REDUCE_PE_ADD","BOTH_REDUCE")),"")</f>
        <v/>
      </c>
      <c r="W1534" s="13">
        <f>IFERROR( (P1534-1)*0.5 + (M1534)*0.1 - (I1534+J1534)*0.05 + T1534*0.4 ,"")</f>
        <v/>
      </c>
      <c r="X1534" s="13">
        <f>IFERROR(IF(ABS(F1534)&lt;0.01,"ATM/NEAR",""),"")</f>
        <v/>
      </c>
    </row>
    <row r="1535">
      <c r="A1535" s="13">
        <f>CHAIN_RAW!A1535</f>
        <v/>
      </c>
      <c r="B1535" s="14">
        <f>CHAIN_RAW!B1535</f>
        <v/>
      </c>
      <c r="C1535" s="13">
        <f>CHAIN_RAW!C1535</f>
        <v/>
      </c>
      <c r="D1535" s="13">
        <f>CHAIN_RAW!D1535</f>
        <v/>
      </c>
      <c r="E1535" s="13">
        <f>CHAIN_RAW!E1535</f>
        <v/>
      </c>
      <c r="F1535" s="13">
        <f>IFERROR((E1535-D1535)/D1535,"")</f>
        <v/>
      </c>
      <c r="G1535" s="13">
        <f>IFERROR((CHAIN_RAW!K1535+CHAIN_RAW!L1535)/2,"")</f>
        <v/>
      </c>
      <c r="H1535" s="13">
        <f>IFERROR((CHAIN_RAW!R1535+CHAIN_RAW!S1535)/2,"")</f>
        <v/>
      </c>
      <c r="I1535" s="13">
        <f>IFERROR((CHAIN_RAW!L1535-CHAIN_RAW!K1535)/MAX(1E-9, G1535),"")</f>
        <v/>
      </c>
      <c r="J1535" s="13">
        <f>IFERROR((CHAIN_RAW!S1535-CHAIN_RAW!R1535)/MAX(1E-9, H1535),"")</f>
        <v/>
      </c>
      <c r="K1535" s="13">
        <f>CHAIN_RAW!G1535</f>
        <v/>
      </c>
      <c r="L1535" s="13">
        <f>CHAIN_RAW!N1535</f>
        <v/>
      </c>
      <c r="M1535" s="13">
        <f>IFERROR(L1535-K1535,"")</f>
        <v/>
      </c>
      <c r="N1535" s="13">
        <f>CHAIN_RAW!H1535</f>
        <v/>
      </c>
      <c r="O1535" s="13">
        <f>CHAIN_RAW!O1535</f>
        <v/>
      </c>
      <c r="P1535" s="13">
        <f>IFERROR(O1535/N1535,"")</f>
        <v/>
      </c>
      <c r="Q1535" s="13">
        <f>CHAIN_RAW!I1535</f>
        <v/>
      </c>
      <c r="R1535" s="13">
        <f>CHAIN_RAW!P1535</f>
        <v/>
      </c>
      <c r="S1535" s="13">
        <f>IFERROR(R1535/Q1535,"")</f>
        <v/>
      </c>
      <c r="T1535" s="13">
        <f>IFERROR((ABS(N1535-O1535)/MAX(1,(N1535+O1535)))*EXP(-ABS(E1535-CONTROL!E5)/MAX(1,CONTROL!B8)),"")</f>
        <v/>
      </c>
      <c r="U1535" s="13">
        <f>IFERROR(IF(O1535&gt;N1535,"SUPPORT (PE OI)","RESIST (CE OI)"),"")</f>
        <v/>
      </c>
      <c r="V1535" s="13">
        <f>IFERROR(IF(Q1535&gt;0,IF(R1535&gt;0,"BOTH_ADD","CE_ADD_PE_REDUCE"),IF(R1535&gt;0,"CE_REDUCE_PE_ADD","BOTH_REDUCE")),"")</f>
        <v/>
      </c>
      <c r="W1535" s="13">
        <f>IFERROR( (P1535-1)*0.5 + (M1535)*0.1 - (I1535+J1535)*0.05 + T1535*0.4 ,"")</f>
        <v/>
      </c>
      <c r="X1535" s="13">
        <f>IFERROR(IF(ABS(F1535)&lt;0.01,"ATM/NEAR",""),"")</f>
        <v/>
      </c>
    </row>
    <row r="1536">
      <c r="A1536" s="13">
        <f>CHAIN_RAW!A1536</f>
        <v/>
      </c>
      <c r="B1536" s="14">
        <f>CHAIN_RAW!B1536</f>
        <v/>
      </c>
      <c r="C1536" s="13">
        <f>CHAIN_RAW!C1536</f>
        <v/>
      </c>
      <c r="D1536" s="13">
        <f>CHAIN_RAW!D1536</f>
        <v/>
      </c>
      <c r="E1536" s="13">
        <f>CHAIN_RAW!E1536</f>
        <v/>
      </c>
      <c r="F1536" s="13">
        <f>IFERROR((E1536-D1536)/D1536,"")</f>
        <v/>
      </c>
      <c r="G1536" s="13">
        <f>IFERROR((CHAIN_RAW!K1536+CHAIN_RAW!L1536)/2,"")</f>
        <v/>
      </c>
      <c r="H1536" s="13">
        <f>IFERROR((CHAIN_RAW!R1536+CHAIN_RAW!S1536)/2,"")</f>
        <v/>
      </c>
      <c r="I1536" s="13">
        <f>IFERROR((CHAIN_RAW!L1536-CHAIN_RAW!K1536)/MAX(1E-9, G1536),"")</f>
        <v/>
      </c>
      <c r="J1536" s="13">
        <f>IFERROR((CHAIN_RAW!S1536-CHAIN_RAW!R1536)/MAX(1E-9, H1536),"")</f>
        <v/>
      </c>
      <c r="K1536" s="13">
        <f>CHAIN_RAW!G1536</f>
        <v/>
      </c>
      <c r="L1536" s="13">
        <f>CHAIN_RAW!N1536</f>
        <v/>
      </c>
      <c r="M1536" s="13">
        <f>IFERROR(L1536-K1536,"")</f>
        <v/>
      </c>
      <c r="N1536" s="13">
        <f>CHAIN_RAW!H1536</f>
        <v/>
      </c>
      <c r="O1536" s="13">
        <f>CHAIN_RAW!O1536</f>
        <v/>
      </c>
      <c r="P1536" s="13">
        <f>IFERROR(O1536/N1536,"")</f>
        <v/>
      </c>
      <c r="Q1536" s="13">
        <f>CHAIN_RAW!I1536</f>
        <v/>
      </c>
      <c r="R1536" s="13">
        <f>CHAIN_RAW!P1536</f>
        <v/>
      </c>
      <c r="S1536" s="13">
        <f>IFERROR(R1536/Q1536,"")</f>
        <v/>
      </c>
      <c r="T1536" s="13">
        <f>IFERROR((ABS(N1536-O1536)/MAX(1,(N1536+O1536)))*EXP(-ABS(E1536-CONTROL!E5)/MAX(1,CONTROL!B8)),"")</f>
        <v/>
      </c>
      <c r="U1536" s="13">
        <f>IFERROR(IF(O1536&gt;N1536,"SUPPORT (PE OI)","RESIST (CE OI)"),"")</f>
        <v/>
      </c>
      <c r="V1536" s="13">
        <f>IFERROR(IF(Q1536&gt;0,IF(R1536&gt;0,"BOTH_ADD","CE_ADD_PE_REDUCE"),IF(R1536&gt;0,"CE_REDUCE_PE_ADD","BOTH_REDUCE")),"")</f>
        <v/>
      </c>
      <c r="W1536" s="13">
        <f>IFERROR( (P1536-1)*0.5 + (M1536)*0.1 - (I1536+J1536)*0.05 + T1536*0.4 ,"")</f>
        <v/>
      </c>
      <c r="X1536" s="13">
        <f>IFERROR(IF(ABS(F1536)&lt;0.01,"ATM/NEAR",""),"")</f>
        <v/>
      </c>
    </row>
    <row r="1537">
      <c r="A1537" s="13">
        <f>CHAIN_RAW!A1537</f>
        <v/>
      </c>
      <c r="B1537" s="14">
        <f>CHAIN_RAW!B1537</f>
        <v/>
      </c>
      <c r="C1537" s="13">
        <f>CHAIN_RAW!C1537</f>
        <v/>
      </c>
      <c r="D1537" s="13">
        <f>CHAIN_RAW!D1537</f>
        <v/>
      </c>
      <c r="E1537" s="13">
        <f>CHAIN_RAW!E1537</f>
        <v/>
      </c>
      <c r="F1537" s="13">
        <f>IFERROR((E1537-D1537)/D1537,"")</f>
        <v/>
      </c>
      <c r="G1537" s="13">
        <f>IFERROR((CHAIN_RAW!K1537+CHAIN_RAW!L1537)/2,"")</f>
        <v/>
      </c>
      <c r="H1537" s="13">
        <f>IFERROR((CHAIN_RAW!R1537+CHAIN_RAW!S1537)/2,"")</f>
        <v/>
      </c>
      <c r="I1537" s="13">
        <f>IFERROR((CHAIN_RAW!L1537-CHAIN_RAW!K1537)/MAX(1E-9, G1537),"")</f>
        <v/>
      </c>
      <c r="J1537" s="13">
        <f>IFERROR((CHAIN_RAW!S1537-CHAIN_RAW!R1537)/MAX(1E-9, H1537),"")</f>
        <v/>
      </c>
      <c r="K1537" s="13">
        <f>CHAIN_RAW!G1537</f>
        <v/>
      </c>
      <c r="L1537" s="13">
        <f>CHAIN_RAW!N1537</f>
        <v/>
      </c>
      <c r="M1537" s="13">
        <f>IFERROR(L1537-K1537,"")</f>
        <v/>
      </c>
      <c r="N1537" s="13">
        <f>CHAIN_RAW!H1537</f>
        <v/>
      </c>
      <c r="O1537" s="13">
        <f>CHAIN_RAW!O1537</f>
        <v/>
      </c>
      <c r="P1537" s="13">
        <f>IFERROR(O1537/N1537,"")</f>
        <v/>
      </c>
      <c r="Q1537" s="13">
        <f>CHAIN_RAW!I1537</f>
        <v/>
      </c>
      <c r="R1537" s="13">
        <f>CHAIN_RAW!P1537</f>
        <v/>
      </c>
      <c r="S1537" s="13">
        <f>IFERROR(R1537/Q1537,"")</f>
        <v/>
      </c>
      <c r="T1537" s="13">
        <f>IFERROR((ABS(N1537-O1537)/MAX(1,(N1537+O1537)))*EXP(-ABS(E1537-CONTROL!E5)/MAX(1,CONTROL!B8)),"")</f>
        <v/>
      </c>
      <c r="U1537" s="13">
        <f>IFERROR(IF(O1537&gt;N1537,"SUPPORT (PE OI)","RESIST (CE OI)"),"")</f>
        <v/>
      </c>
      <c r="V1537" s="13">
        <f>IFERROR(IF(Q1537&gt;0,IF(R1537&gt;0,"BOTH_ADD","CE_ADD_PE_REDUCE"),IF(R1537&gt;0,"CE_REDUCE_PE_ADD","BOTH_REDUCE")),"")</f>
        <v/>
      </c>
      <c r="W1537" s="13">
        <f>IFERROR( (P1537-1)*0.5 + (M1537)*0.1 - (I1537+J1537)*0.05 + T1537*0.4 ,"")</f>
        <v/>
      </c>
      <c r="X1537" s="13">
        <f>IFERROR(IF(ABS(F1537)&lt;0.01,"ATM/NEAR",""),"")</f>
        <v/>
      </c>
    </row>
    <row r="1538">
      <c r="A1538" s="13">
        <f>CHAIN_RAW!A1538</f>
        <v/>
      </c>
      <c r="B1538" s="14">
        <f>CHAIN_RAW!B1538</f>
        <v/>
      </c>
      <c r="C1538" s="13">
        <f>CHAIN_RAW!C1538</f>
        <v/>
      </c>
      <c r="D1538" s="13">
        <f>CHAIN_RAW!D1538</f>
        <v/>
      </c>
      <c r="E1538" s="13">
        <f>CHAIN_RAW!E1538</f>
        <v/>
      </c>
      <c r="F1538" s="13">
        <f>IFERROR((E1538-D1538)/D1538,"")</f>
        <v/>
      </c>
      <c r="G1538" s="13">
        <f>IFERROR((CHAIN_RAW!K1538+CHAIN_RAW!L1538)/2,"")</f>
        <v/>
      </c>
      <c r="H1538" s="13">
        <f>IFERROR((CHAIN_RAW!R1538+CHAIN_RAW!S1538)/2,"")</f>
        <v/>
      </c>
      <c r="I1538" s="13">
        <f>IFERROR((CHAIN_RAW!L1538-CHAIN_RAW!K1538)/MAX(1E-9, G1538),"")</f>
        <v/>
      </c>
      <c r="J1538" s="13">
        <f>IFERROR((CHAIN_RAW!S1538-CHAIN_RAW!R1538)/MAX(1E-9, H1538),"")</f>
        <v/>
      </c>
      <c r="K1538" s="13">
        <f>CHAIN_RAW!G1538</f>
        <v/>
      </c>
      <c r="L1538" s="13">
        <f>CHAIN_RAW!N1538</f>
        <v/>
      </c>
      <c r="M1538" s="13">
        <f>IFERROR(L1538-K1538,"")</f>
        <v/>
      </c>
      <c r="N1538" s="13">
        <f>CHAIN_RAW!H1538</f>
        <v/>
      </c>
      <c r="O1538" s="13">
        <f>CHAIN_RAW!O1538</f>
        <v/>
      </c>
      <c r="P1538" s="13">
        <f>IFERROR(O1538/N1538,"")</f>
        <v/>
      </c>
      <c r="Q1538" s="13">
        <f>CHAIN_RAW!I1538</f>
        <v/>
      </c>
      <c r="R1538" s="13">
        <f>CHAIN_RAW!P1538</f>
        <v/>
      </c>
      <c r="S1538" s="13">
        <f>IFERROR(R1538/Q1538,"")</f>
        <v/>
      </c>
      <c r="T1538" s="13">
        <f>IFERROR((ABS(N1538-O1538)/MAX(1,(N1538+O1538)))*EXP(-ABS(E1538-CONTROL!E5)/MAX(1,CONTROL!B8)),"")</f>
        <v/>
      </c>
      <c r="U1538" s="13">
        <f>IFERROR(IF(O1538&gt;N1538,"SUPPORT (PE OI)","RESIST (CE OI)"),"")</f>
        <v/>
      </c>
      <c r="V1538" s="13">
        <f>IFERROR(IF(Q1538&gt;0,IF(R1538&gt;0,"BOTH_ADD","CE_ADD_PE_REDUCE"),IF(R1538&gt;0,"CE_REDUCE_PE_ADD","BOTH_REDUCE")),"")</f>
        <v/>
      </c>
      <c r="W1538" s="13">
        <f>IFERROR( (P1538-1)*0.5 + (M1538)*0.1 - (I1538+J1538)*0.05 + T1538*0.4 ,"")</f>
        <v/>
      </c>
      <c r="X1538" s="13">
        <f>IFERROR(IF(ABS(F1538)&lt;0.01,"ATM/NEAR",""),"")</f>
        <v/>
      </c>
    </row>
    <row r="1539">
      <c r="A1539" s="13">
        <f>CHAIN_RAW!A1539</f>
        <v/>
      </c>
      <c r="B1539" s="14">
        <f>CHAIN_RAW!B1539</f>
        <v/>
      </c>
      <c r="C1539" s="13">
        <f>CHAIN_RAW!C1539</f>
        <v/>
      </c>
      <c r="D1539" s="13">
        <f>CHAIN_RAW!D1539</f>
        <v/>
      </c>
      <c r="E1539" s="13">
        <f>CHAIN_RAW!E1539</f>
        <v/>
      </c>
      <c r="F1539" s="13">
        <f>IFERROR((E1539-D1539)/D1539,"")</f>
        <v/>
      </c>
      <c r="G1539" s="13">
        <f>IFERROR((CHAIN_RAW!K1539+CHAIN_RAW!L1539)/2,"")</f>
        <v/>
      </c>
      <c r="H1539" s="13">
        <f>IFERROR((CHAIN_RAW!R1539+CHAIN_RAW!S1539)/2,"")</f>
        <v/>
      </c>
      <c r="I1539" s="13">
        <f>IFERROR((CHAIN_RAW!L1539-CHAIN_RAW!K1539)/MAX(1E-9, G1539),"")</f>
        <v/>
      </c>
      <c r="J1539" s="13">
        <f>IFERROR((CHAIN_RAW!S1539-CHAIN_RAW!R1539)/MAX(1E-9, H1539),"")</f>
        <v/>
      </c>
      <c r="K1539" s="13">
        <f>CHAIN_RAW!G1539</f>
        <v/>
      </c>
      <c r="L1539" s="13">
        <f>CHAIN_RAW!N1539</f>
        <v/>
      </c>
      <c r="M1539" s="13">
        <f>IFERROR(L1539-K1539,"")</f>
        <v/>
      </c>
      <c r="N1539" s="13">
        <f>CHAIN_RAW!H1539</f>
        <v/>
      </c>
      <c r="O1539" s="13">
        <f>CHAIN_RAW!O1539</f>
        <v/>
      </c>
      <c r="P1539" s="13">
        <f>IFERROR(O1539/N1539,"")</f>
        <v/>
      </c>
      <c r="Q1539" s="13">
        <f>CHAIN_RAW!I1539</f>
        <v/>
      </c>
      <c r="R1539" s="13">
        <f>CHAIN_RAW!P1539</f>
        <v/>
      </c>
      <c r="S1539" s="13">
        <f>IFERROR(R1539/Q1539,"")</f>
        <v/>
      </c>
      <c r="T1539" s="13">
        <f>IFERROR((ABS(N1539-O1539)/MAX(1,(N1539+O1539)))*EXP(-ABS(E1539-CONTROL!E5)/MAX(1,CONTROL!B8)),"")</f>
        <v/>
      </c>
      <c r="U1539" s="13">
        <f>IFERROR(IF(O1539&gt;N1539,"SUPPORT (PE OI)","RESIST (CE OI)"),"")</f>
        <v/>
      </c>
      <c r="V1539" s="13">
        <f>IFERROR(IF(Q1539&gt;0,IF(R1539&gt;0,"BOTH_ADD","CE_ADD_PE_REDUCE"),IF(R1539&gt;0,"CE_REDUCE_PE_ADD","BOTH_REDUCE")),"")</f>
        <v/>
      </c>
      <c r="W1539" s="13">
        <f>IFERROR( (P1539-1)*0.5 + (M1539)*0.1 - (I1539+J1539)*0.05 + T1539*0.4 ,"")</f>
        <v/>
      </c>
      <c r="X1539" s="13">
        <f>IFERROR(IF(ABS(F1539)&lt;0.01,"ATM/NEAR",""),"")</f>
        <v/>
      </c>
    </row>
    <row r="1540">
      <c r="A1540" s="13">
        <f>CHAIN_RAW!A1540</f>
        <v/>
      </c>
      <c r="B1540" s="14">
        <f>CHAIN_RAW!B1540</f>
        <v/>
      </c>
      <c r="C1540" s="13">
        <f>CHAIN_RAW!C1540</f>
        <v/>
      </c>
      <c r="D1540" s="13">
        <f>CHAIN_RAW!D1540</f>
        <v/>
      </c>
      <c r="E1540" s="13">
        <f>CHAIN_RAW!E1540</f>
        <v/>
      </c>
      <c r="F1540" s="13">
        <f>IFERROR((E1540-D1540)/D1540,"")</f>
        <v/>
      </c>
      <c r="G1540" s="13">
        <f>IFERROR((CHAIN_RAW!K1540+CHAIN_RAW!L1540)/2,"")</f>
        <v/>
      </c>
      <c r="H1540" s="13">
        <f>IFERROR((CHAIN_RAW!R1540+CHAIN_RAW!S1540)/2,"")</f>
        <v/>
      </c>
      <c r="I1540" s="13">
        <f>IFERROR((CHAIN_RAW!L1540-CHAIN_RAW!K1540)/MAX(1E-9, G1540),"")</f>
        <v/>
      </c>
      <c r="J1540" s="13">
        <f>IFERROR((CHAIN_RAW!S1540-CHAIN_RAW!R1540)/MAX(1E-9, H1540),"")</f>
        <v/>
      </c>
      <c r="K1540" s="13">
        <f>CHAIN_RAW!G1540</f>
        <v/>
      </c>
      <c r="L1540" s="13">
        <f>CHAIN_RAW!N1540</f>
        <v/>
      </c>
      <c r="M1540" s="13">
        <f>IFERROR(L1540-K1540,"")</f>
        <v/>
      </c>
      <c r="N1540" s="13">
        <f>CHAIN_RAW!H1540</f>
        <v/>
      </c>
      <c r="O1540" s="13">
        <f>CHAIN_RAW!O1540</f>
        <v/>
      </c>
      <c r="P1540" s="13">
        <f>IFERROR(O1540/N1540,"")</f>
        <v/>
      </c>
      <c r="Q1540" s="13">
        <f>CHAIN_RAW!I1540</f>
        <v/>
      </c>
      <c r="R1540" s="13">
        <f>CHAIN_RAW!P1540</f>
        <v/>
      </c>
      <c r="S1540" s="13">
        <f>IFERROR(R1540/Q1540,"")</f>
        <v/>
      </c>
      <c r="T1540" s="13">
        <f>IFERROR((ABS(N1540-O1540)/MAX(1,(N1540+O1540)))*EXP(-ABS(E1540-CONTROL!E5)/MAX(1,CONTROL!B8)),"")</f>
        <v/>
      </c>
      <c r="U1540" s="13">
        <f>IFERROR(IF(O1540&gt;N1540,"SUPPORT (PE OI)","RESIST (CE OI)"),"")</f>
        <v/>
      </c>
      <c r="V1540" s="13">
        <f>IFERROR(IF(Q1540&gt;0,IF(R1540&gt;0,"BOTH_ADD","CE_ADD_PE_REDUCE"),IF(R1540&gt;0,"CE_REDUCE_PE_ADD","BOTH_REDUCE")),"")</f>
        <v/>
      </c>
      <c r="W1540" s="13">
        <f>IFERROR( (P1540-1)*0.5 + (M1540)*0.1 - (I1540+J1540)*0.05 + T1540*0.4 ,"")</f>
        <v/>
      </c>
      <c r="X1540" s="13">
        <f>IFERROR(IF(ABS(F1540)&lt;0.01,"ATM/NEAR",""),"")</f>
        <v/>
      </c>
    </row>
    <row r="1541">
      <c r="A1541" s="13">
        <f>CHAIN_RAW!A1541</f>
        <v/>
      </c>
      <c r="B1541" s="14">
        <f>CHAIN_RAW!B1541</f>
        <v/>
      </c>
      <c r="C1541" s="13">
        <f>CHAIN_RAW!C1541</f>
        <v/>
      </c>
      <c r="D1541" s="13">
        <f>CHAIN_RAW!D1541</f>
        <v/>
      </c>
      <c r="E1541" s="13">
        <f>CHAIN_RAW!E1541</f>
        <v/>
      </c>
      <c r="F1541" s="13">
        <f>IFERROR((E1541-D1541)/D1541,"")</f>
        <v/>
      </c>
      <c r="G1541" s="13">
        <f>IFERROR((CHAIN_RAW!K1541+CHAIN_RAW!L1541)/2,"")</f>
        <v/>
      </c>
      <c r="H1541" s="13">
        <f>IFERROR((CHAIN_RAW!R1541+CHAIN_RAW!S1541)/2,"")</f>
        <v/>
      </c>
      <c r="I1541" s="13">
        <f>IFERROR((CHAIN_RAW!L1541-CHAIN_RAW!K1541)/MAX(1E-9, G1541),"")</f>
        <v/>
      </c>
      <c r="J1541" s="13">
        <f>IFERROR((CHAIN_RAW!S1541-CHAIN_RAW!R1541)/MAX(1E-9, H1541),"")</f>
        <v/>
      </c>
      <c r="K1541" s="13">
        <f>CHAIN_RAW!G1541</f>
        <v/>
      </c>
      <c r="L1541" s="13">
        <f>CHAIN_RAW!N1541</f>
        <v/>
      </c>
      <c r="M1541" s="13">
        <f>IFERROR(L1541-K1541,"")</f>
        <v/>
      </c>
      <c r="N1541" s="13">
        <f>CHAIN_RAW!H1541</f>
        <v/>
      </c>
      <c r="O1541" s="13">
        <f>CHAIN_RAW!O1541</f>
        <v/>
      </c>
      <c r="P1541" s="13">
        <f>IFERROR(O1541/N1541,"")</f>
        <v/>
      </c>
      <c r="Q1541" s="13">
        <f>CHAIN_RAW!I1541</f>
        <v/>
      </c>
      <c r="R1541" s="13">
        <f>CHAIN_RAW!P1541</f>
        <v/>
      </c>
      <c r="S1541" s="13">
        <f>IFERROR(R1541/Q1541,"")</f>
        <v/>
      </c>
      <c r="T1541" s="13">
        <f>IFERROR((ABS(N1541-O1541)/MAX(1,(N1541+O1541)))*EXP(-ABS(E1541-CONTROL!E5)/MAX(1,CONTROL!B8)),"")</f>
        <v/>
      </c>
      <c r="U1541" s="13">
        <f>IFERROR(IF(O1541&gt;N1541,"SUPPORT (PE OI)","RESIST (CE OI)"),"")</f>
        <v/>
      </c>
      <c r="V1541" s="13">
        <f>IFERROR(IF(Q1541&gt;0,IF(R1541&gt;0,"BOTH_ADD","CE_ADD_PE_REDUCE"),IF(R1541&gt;0,"CE_REDUCE_PE_ADD","BOTH_REDUCE")),"")</f>
        <v/>
      </c>
      <c r="W1541" s="13">
        <f>IFERROR( (P1541-1)*0.5 + (M1541)*0.1 - (I1541+J1541)*0.05 + T1541*0.4 ,"")</f>
        <v/>
      </c>
      <c r="X1541" s="13">
        <f>IFERROR(IF(ABS(F1541)&lt;0.01,"ATM/NEAR",""),"")</f>
        <v/>
      </c>
    </row>
    <row r="1542">
      <c r="A1542" s="13">
        <f>CHAIN_RAW!A1542</f>
        <v/>
      </c>
      <c r="B1542" s="14">
        <f>CHAIN_RAW!B1542</f>
        <v/>
      </c>
      <c r="C1542" s="13">
        <f>CHAIN_RAW!C1542</f>
        <v/>
      </c>
      <c r="D1542" s="13">
        <f>CHAIN_RAW!D1542</f>
        <v/>
      </c>
      <c r="E1542" s="13">
        <f>CHAIN_RAW!E1542</f>
        <v/>
      </c>
      <c r="F1542" s="13">
        <f>IFERROR((E1542-D1542)/D1542,"")</f>
        <v/>
      </c>
      <c r="G1542" s="13">
        <f>IFERROR((CHAIN_RAW!K1542+CHAIN_RAW!L1542)/2,"")</f>
        <v/>
      </c>
      <c r="H1542" s="13">
        <f>IFERROR((CHAIN_RAW!R1542+CHAIN_RAW!S1542)/2,"")</f>
        <v/>
      </c>
      <c r="I1542" s="13">
        <f>IFERROR((CHAIN_RAW!L1542-CHAIN_RAW!K1542)/MAX(1E-9, G1542),"")</f>
        <v/>
      </c>
      <c r="J1542" s="13">
        <f>IFERROR((CHAIN_RAW!S1542-CHAIN_RAW!R1542)/MAX(1E-9, H1542),"")</f>
        <v/>
      </c>
      <c r="K1542" s="13">
        <f>CHAIN_RAW!G1542</f>
        <v/>
      </c>
      <c r="L1542" s="13">
        <f>CHAIN_RAW!N1542</f>
        <v/>
      </c>
      <c r="M1542" s="13">
        <f>IFERROR(L1542-K1542,"")</f>
        <v/>
      </c>
      <c r="N1542" s="13">
        <f>CHAIN_RAW!H1542</f>
        <v/>
      </c>
      <c r="O1542" s="13">
        <f>CHAIN_RAW!O1542</f>
        <v/>
      </c>
      <c r="P1542" s="13">
        <f>IFERROR(O1542/N1542,"")</f>
        <v/>
      </c>
      <c r="Q1542" s="13">
        <f>CHAIN_RAW!I1542</f>
        <v/>
      </c>
      <c r="R1542" s="13">
        <f>CHAIN_RAW!P1542</f>
        <v/>
      </c>
      <c r="S1542" s="13">
        <f>IFERROR(R1542/Q1542,"")</f>
        <v/>
      </c>
      <c r="T1542" s="13">
        <f>IFERROR((ABS(N1542-O1542)/MAX(1,(N1542+O1542)))*EXP(-ABS(E1542-CONTROL!E5)/MAX(1,CONTROL!B8)),"")</f>
        <v/>
      </c>
      <c r="U1542" s="13">
        <f>IFERROR(IF(O1542&gt;N1542,"SUPPORT (PE OI)","RESIST (CE OI)"),"")</f>
        <v/>
      </c>
      <c r="V1542" s="13">
        <f>IFERROR(IF(Q1542&gt;0,IF(R1542&gt;0,"BOTH_ADD","CE_ADD_PE_REDUCE"),IF(R1542&gt;0,"CE_REDUCE_PE_ADD","BOTH_REDUCE")),"")</f>
        <v/>
      </c>
      <c r="W1542" s="13">
        <f>IFERROR( (P1542-1)*0.5 + (M1542)*0.1 - (I1542+J1542)*0.05 + T1542*0.4 ,"")</f>
        <v/>
      </c>
      <c r="X1542" s="13">
        <f>IFERROR(IF(ABS(F1542)&lt;0.01,"ATM/NEAR",""),"")</f>
        <v/>
      </c>
    </row>
    <row r="1543">
      <c r="A1543" s="13">
        <f>CHAIN_RAW!A1543</f>
        <v/>
      </c>
      <c r="B1543" s="14">
        <f>CHAIN_RAW!B1543</f>
        <v/>
      </c>
      <c r="C1543" s="13">
        <f>CHAIN_RAW!C1543</f>
        <v/>
      </c>
      <c r="D1543" s="13">
        <f>CHAIN_RAW!D1543</f>
        <v/>
      </c>
      <c r="E1543" s="13">
        <f>CHAIN_RAW!E1543</f>
        <v/>
      </c>
      <c r="F1543" s="13">
        <f>IFERROR((E1543-D1543)/D1543,"")</f>
        <v/>
      </c>
      <c r="G1543" s="13">
        <f>IFERROR((CHAIN_RAW!K1543+CHAIN_RAW!L1543)/2,"")</f>
        <v/>
      </c>
      <c r="H1543" s="13">
        <f>IFERROR((CHAIN_RAW!R1543+CHAIN_RAW!S1543)/2,"")</f>
        <v/>
      </c>
      <c r="I1543" s="13">
        <f>IFERROR((CHAIN_RAW!L1543-CHAIN_RAW!K1543)/MAX(1E-9, G1543),"")</f>
        <v/>
      </c>
      <c r="J1543" s="13">
        <f>IFERROR((CHAIN_RAW!S1543-CHAIN_RAW!R1543)/MAX(1E-9, H1543),"")</f>
        <v/>
      </c>
      <c r="K1543" s="13">
        <f>CHAIN_RAW!G1543</f>
        <v/>
      </c>
      <c r="L1543" s="13">
        <f>CHAIN_RAW!N1543</f>
        <v/>
      </c>
      <c r="M1543" s="13">
        <f>IFERROR(L1543-K1543,"")</f>
        <v/>
      </c>
      <c r="N1543" s="13">
        <f>CHAIN_RAW!H1543</f>
        <v/>
      </c>
      <c r="O1543" s="13">
        <f>CHAIN_RAW!O1543</f>
        <v/>
      </c>
      <c r="P1543" s="13">
        <f>IFERROR(O1543/N1543,"")</f>
        <v/>
      </c>
      <c r="Q1543" s="13">
        <f>CHAIN_RAW!I1543</f>
        <v/>
      </c>
      <c r="R1543" s="13">
        <f>CHAIN_RAW!P1543</f>
        <v/>
      </c>
      <c r="S1543" s="13">
        <f>IFERROR(R1543/Q1543,"")</f>
        <v/>
      </c>
      <c r="T1543" s="13">
        <f>IFERROR((ABS(N1543-O1543)/MAX(1,(N1543+O1543)))*EXP(-ABS(E1543-CONTROL!E5)/MAX(1,CONTROL!B8)),"")</f>
        <v/>
      </c>
      <c r="U1543" s="13">
        <f>IFERROR(IF(O1543&gt;N1543,"SUPPORT (PE OI)","RESIST (CE OI)"),"")</f>
        <v/>
      </c>
      <c r="V1543" s="13">
        <f>IFERROR(IF(Q1543&gt;0,IF(R1543&gt;0,"BOTH_ADD","CE_ADD_PE_REDUCE"),IF(R1543&gt;0,"CE_REDUCE_PE_ADD","BOTH_REDUCE")),"")</f>
        <v/>
      </c>
      <c r="W1543" s="13">
        <f>IFERROR( (P1543-1)*0.5 + (M1543)*0.1 - (I1543+J1543)*0.05 + T1543*0.4 ,"")</f>
        <v/>
      </c>
      <c r="X1543" s="13">
        <f>IFERROR(IF(ABS(F1543)&lt;0.01,"ATM/NEAR",""),"")</f>
        <v/>
      </c>
    </row>
    <row r="1544">
      <c r="A1544" s="13">
        <f>CHAIN_RAW!A1544</f>
        <v/>
      </c>
      <c r="B1544" s="14">
        <f>CHAIN_RAW!B1544</f>
        <v/>
      </c>
      <c r="C1544" s="13">
        <f>CHAIN_RAW!C1544</f>
        <v/>
      </c>
      <c r="D1544" s="13">
        <f>CHAIN_RAW!D1544</f>
        <v/>
      </c>
      <c r="E1544" s="13">
        <f>CHAIN_RAW!E1544</f>
        <v/>
      </c>
      <c r="F1544" s="13">
        <f>IFERROR((E1544-D1544)/D1544,"")</f>
        <v/>
      </c>
      <c r="G1544" s="13">
        <f>IFERROR((CHAIN_RAW!K1544+CHAIN_RAW!L1544)/2,"")</f>
        <v/>
      </c>
      <c r="H1544" s="13">
        <f>IFERROR((CHAIN_RAW!R1544+CHAIN_RAW!S1544)/2,"")</f>
        <v/>
      </c>
      <c r="I1544" s="13">
        <f>IFERROR((CHAIN_RAW!L1544-CHAIN_RAW!K1544)/MAX(1E-9, G1544),"")</f>
        <v/>
      </c>
      <c r="J1544" s="13">
        <f>IFERROR((CHAIN_RAW!S1544-CHAIN_RAW!R1544)/MAX(1E-9, H1544),"")</f>
        <v/>
      </c>
      <c r="K1544" s="13">
        <f>CHAIN_RAW!G1544</f>
        <v/>
      </c>
      <c r="L1544" s="13">
        <f>CHAIN_RAW!N1544</f>
        <v/>
      </c>
      <c r="M1544" s="13">
        <f>IFERROR(L1544-K1544,"")</f>
        <v/>
      </c>
      <c r="N1544" s="13">
        <f>CHAIN_RAW!H1544</f>
        <v/>
      </c>
      <c r="O1544" s="13">
        <f>CHAIN_RAW!O1544</f>
        <v/>
      </c>
      <c r="P1544" s="13">
        <f>IFERROR(O1544/N1544,"")</f>
        <v/>
      </c>
      <c r="Q1544" s="13">
        <f>CHAIN_RAW!I1544</f>
        <v/>
      </c>
      <c r="R1544" s="13">
        <f>CHAIN_RAW!P1544</f>
        <v/>
      </c>
      <c r="S1544" s="13">
        <f>IFERROR(R1544/Q1544,"")</f>
        <v/>
      </c>
      <c r="T1544" s="13">
        <f>IFERROR((ABS(N1544-O1544)/MAX(1,(N1544+O1544)))*EXP(-ABS(E1544-CONTROL!E5)/MAX(1,CONTROL!B8)),"")</f>
        <v/>
      </c>
      <c r="U1544" s="13">
        <f>IFERROR(IF(O1544&gt;N1544,"SUPPORT (PE OI)","RESIST (CE OI)"),"")</f>
        <v/>
      </c>
      <c r="V1544" s="13">
        <f>IFERROR(IF(Q1544&gt;0,IF(R1544&gt;0,"BOTH_ADD","CE_ADD_PE_REDUCE"),IF(R1544&gt;0,"CE_REDUCE_PE_ADD","BOTH_REDUCE")),"")</f>
        <v/>
      </c>
      <c r="W1544" s="13">
        <f>IFERROR( (P1544-1)*0.5 + (M1544)*0.1 - (I1544+J1544)*0.05 + T1544*0.4 ,"")</f>
        <v/>
      </c>
      <c r="X1544" s="13">
        <f>IFERROR(IF(ABS(F1544)&lt;0.01,"ATM/NEAR",""),"")</f>
        <v/>
      </c>
    </row>
    <row r="1545">
      <c r="A1545" s="13">
        <f>CHAIN_RAW!A1545</f>
        <v/>
      </c>
      <c r="B1545" s="14">
        <f>CHAIN_RAW!B1545</f>
        <v/>
      </c>
      <c r="C1545" s="13">
        <f>CHAIN_RAW!C1545</f>
        <v/>
      </c>
      <c r="D1545" s="13">
        <f>CHAIN_RAW!D1545</f>
        <v/>
      </c>
      <c r="E1545" s="13">
        <f>CHAIN_RAW!E1545</f>
        <v/>
      </c>
      <c r="F1545" s="13">
        <f>IFERROR((E1545-D1545)/D1545,"")</f>
        <v/>
      </c>
      <c r="G1545" s="13">
        <f>IFERROR((CHAIN_RAW!K1545+CHAIN_RAW!L1545)/2,"")</f>
        <v/>
      </c>
      <c r="H1545" s="13">
        <f>IFERROR((CHAIN_RAW!R1545+CHAIN_RAW!S1545)/2,"")</f>
        <v/>
      </c>
      <c r="I1545" s="13">
        <f>IFERROR((CHAIN_RAW!L1545-CHAIN_RAW!K1545)/MAX(1E-9, G1545),"")</f>
        <v/>
      </c>
      <c r="J1545" s="13">
        <f>IFERROR((CHAIN_RAW!S1545-CHAIN_RAW!R1545)/MAX(1E-9, H1545),"")</f>
        <v/>
      </c>
      <c r="K1545" s="13">
        <f>CHAIN_RAW!G1545</f>
        <v/>
      </c>
      <c r="L1545" s="13">
        <f>CHAIN_RAW!N1545</f>
        <v/>
      </c>
      <c r="M1545" s="13">
        <f>IFERROR(L1545-K1545,"")</f>
        <v/>
      </c>
      <c r="N1545" s="13">
        <f>CHAIN_RAW!H1545</f>
        <v/>
      </c>
      <c r="O1545" s="13">
        <f>CHAIN_RAW!O1545</f>
        <v/>
      </c>
      <c r="P1545" s="13">
        <f>IFERROR(O1545/N1545,"")</f>
        <v/>
      </c>
      <c r="Q1545" s="13">
        <f>CHAIN_RAW!I1545</f>
        <v/>
      </c>
      <c r="R1545" s="13">
        <f>CHAIN_RAW!P1545</f>
        <v/>
      </c>
      <c r="S1545" s="13">
        <f>IFERROR(R1545/Q1545,"")</f>
        <v/>
      </c>
      <c r="T1545" s="13">
        <f>IFERROR((ABS(N1545-O1545)/MAX(1,(N1545+O1545)))*EXP(-ABS(E1545-CONTROL!E5)/MAX(1,CONTROL!B8)),"")</f>
        <v/>
      </c>
      <c r="U1545" s="13">
        <f>IFERROR(IF(O1545&gt;N1545,"SUPPORT (PE OI)","RESIST (CE OI)"),"")</f>
        <v/>
      </c>
      <c r="V1545" s="13">
        <f>IFERROR(IF(Q1545&gt;0,IF(R1545&gt;0,"BOTH_ADD","CE_ADD_PE_REDUCE"),IF(R1545&gt;0,"CE_REDUCE_PE_ADD","BOTH_REDUCE")),"")</f>
        <v/>
      </c>
      <c r="W1545" s="13">
        <f>IFERROR( (P1545-1)*0.5 + (M1545)*0.1 - (I1545+J1545)*0.05 + T1545*0.4 ,"")</f>
        <v/>
      </c>
      <c r="X1545" s="13">
        <f>IFERROR(IF(ABS(F1545)&lt;0.01,"ATM/NEAR",""),"")</f>
        <v/>
      </c>
    </row>
    <row r="1546">
      <c r="A1546" s="13">
        <f>CHAIN_RAW!A1546</f>
        <v/>
      </c>
      <c r="B1546" s="14">
        <f>CHAIN_RAW!B1546</f>
        <v/>
      </c>
      <c r="C1546" s="13">
        <f>CHAIN_RAW!C1546</f>
        <v/>
      </c>
      <c r="D1546" s="13">
        <f>CHAIN_RAW!D1546</f>
        <v/>
      </c>
      <c r="E1546" s="13">
        <f>CHAIN_RAW!E1546</f>
        <v/>
      </c>
      <c r="F1546" s="13">
        <f>IFERROR((E1546-D1546)/D1546,"")</f>
        <v/>
      </c>
      <c r="G1546" s="13">
        <f>IFERROR((CHAIN_RAW!K1546+CHAIN_RAW!L1546)/2,"")</f>
        <v/>
      </c>
      <c r="H1546" s="13">
        <f>IFERROR((CHAIN_RAW!R1546+CHAIN_RAW!S1546)/2,"")</f>
        <v/>
      </c>
      <c r="I1546" s="13">
        <f>IFERROR((CHAIN_RAW!L1546-CHAIN_RAW!K1546)/MAX(1E-9, G1546),"")</f>
        <v/>
      </c>
      <c r="J1546" s="13">
        <f>IFERROR((CHAIN_RAW!S1546-CHAIN_RAW!R1546)/MAX(1E-9, H1546),"")</f>
        <v/>
      </c>
      <c r="K1546" s="13">
        <f>CHAIN_RAW!G1546</f>
        <v/>
      </c>
      <c r="L1546" s="13">
        <f>CHAIN_RAW!N1546</f>
        <v/>
      </c>
      <c r="M1546" s="13">
        <f>IFERROR(L1546-K1546,"")</f>
        <v/>
      </c>
      <c r="N1546" s="13">
        <f>CHAIN_RAW!H1546</f>
        <v/>
      </c>
      <c r="O1546" s="13">
        <f>CHAIN_RAW!O1546</f>
        <v/>
      </c>
      <c r="P1546" s="13">
        <f>IFERROR(O1546/N1546,"")</f>
        <v/>
      </c>
      <c r="Q1546" s="13">
        <f>CHAIN_RAW!I1546</f>
        <v/>
      </c>
      <c r="R1546" s="13">
        <f>CHAIN_RAW!P1546</f>
        <v/>
      </c>
      <c r="S1546" s="13">
        <f>IFERROR(R1546/Q1546,"")</f>
        <v/>
      </c>
      <c r="T1546" s="13">
        <f>IFERROR((ABS(N1546-O1546)/MAX(1,(N1546+O1546)))*EXP(-ABS(E1546-CONTROL!E5)/MAX(1,CONTROL!B8)),"")</f>
        <v/>
      </c>
      <c r="U1546" s="13">
        <f>IFERROR(IF(O1546&gt;N1546,"SUPPORT (PE OI)","RESIST (CE OI)"),"")</f>
        <v/>
      </c>
      <c r="V1546" s="13">
        <f>IFERROR(IF(Q1546&gt;0,IF(R1546&gt;0,"BOTH_ADD","CE_ADD_PE_REDUCE"),IF(R1546&gt;0,"CE_REDUCE_PE_ADD","BOTH_REDUCE")),"")</f>
        <v/>
      </c>
      <c r="W1546" s="13">
        <f>IFERROR( (P1546-1)*0.5 + (M1546)*0.1 - (I1546+J1546)*0.05 + T1546*0.4 ,"")</f>
        <v/>
      </c>
      <c r="X1546" s="13">
        <f>IFERROR(IF(ABS(F1546)&lt;0.01,"ATM/NEAR",""),"")</f>
        <v/>
      </c>
    </row>
    <row r="1547">
      <c r="A1547" s="13">
        <f>CHAIN_RAW!A1547</f>
        <v/>
      </c>
      <c r="B1547" s="14">
        <f>CHAIN_RAW!B1547</f>
        <v/>
      </c>
      <c r="C1547" s="13">
        <f>CHAIN_RAW!C1547</f>
        <v/>
      </c>
      <c r="D1547" s="13">
        <f>CHAIN_RAW!D1547</f>
        <v/>
      </c>
      <c r="E1547" s="13">
        <f>CHAIN_RAW!E1547</f>
        <v/>
      </c>
      <c r="F1547" s="13">
        <f>IFERROR((E1547-D1547)/D1547,"")</f>
        <v/>
      </c>
      <c r="G1547" s="13">
        <f>IFERROR((CHAIN_RAW!K1547+CHAIN_RAW!L1547)/2,"")</f>
        <v/>
      </c>
      <c r="H1547" s="13">
        <f>IFERROR((CHAIN_RAW!R1547+CHAIN_RAW!S1547)/2,"")</f>
        <v/>
      </c>
      <c r="I1547" s="13">
        <f>IFERROR((CHAIN_RAW!L1547-CHAIN_RAW!K1547)/MAX(1E-9, G1547),"")</f>
        <v/>
      </c>
      <c r="J1547" s="13">
        <f>IFERROR((CHAIN_RAW!S1547-CHAIN_RAW!R1547)/MAX(1E-9, H1547),"")</f>
        <v/>
      </c>
      <c r="K1547" s="13">
        <f>CHAIN_RAW!G1547</f>
        <v/>
      </c>
      <c r="L1547" s="13">
        <f>CHAIN_RAW!N1547</f>
        <v/>
      </c>
      <c r="M1547" s="13">
        <f>IFERROR(L1547-K1547,"")</f>
        <v/>
      </c>
      <c r="N1547" s="13">
        <f>CHAIN_RAW!H1547</f>
        <v/>
      </c>
      <c r="O1547" s="13">
        <f>CHAIN_RAW!O1547</f>
        <v/>
      </c>
      <c r="P1547" s="13">
        <f>IFERROR(O1547/N1547,"")</f>
        <v/>
      </c>
      <c r="Q1547" s="13">
        <f>CHAIN_RAW!I1547</f>
        <v/>
      </c>
      <c r="R1547" s="13">
        <f>CHAIN_RAW!P1547</f>
        <v/>
      </c>
      <c r="S1547" s="13">
        <f>IFERROR(R1547/Q1547,"")</f>
        <v/>
      </c>
      <c r="T1547" s="13">
        <f>IFERROR((ABS(N1547-O1547)/MAX(1,(N1547+O1547)))*EXP(-ABS(E1547-CONTROL!E5)/MAX(1,CONTROL!B8)),"")</f>
        <v/>
      </c>
      <c r="U1547" s="13">
        <f>IFERROR(IF(O1547&gt;N1547,"SUPPORT (PE OI)","RESIST (CE OI)"),"")</f>
        <v/>
      </c>
      <c r="V1547" s="13">
        <f>IFERROR(IF(Q1547&gt;0,IF(R1547&gt;0,"BOTH_ADD","CE_ADD_PE_REDUCE"),IF(R1547&gt;0,"CE_REDUCE_PE_ADD","BOTH_REDUCE")),"")</f>
        <v/>
      </c>
      <c r="W1547" s="13">
        <f>IFERROR( (P1547-1)*0.5 + (M1547)*0.1 - (I1547+J1547)*0.05 + T1547*0.4 ,"")</f>
        <v/>
      </c>
      <c r="X1547" s="13">
        <f>IFERROR(IF(ABS(F1547)&lt;0.01,"ATM/NEAR",""),"")</f>
        <v/>
      </c>
    </row>
    <row r="1548">
      <c r="A1548" s="13">
        <f>CHAIN_RAW!A1548</f>
        <v/>
      </c>
      <c r="B1548" s="14">
        <f>CHAIN_RAW!B1548</f>
        <v/>
      </c>
      <c r="C1548" s="13">
        <f>CHAIN_RAW!C1548</f>
        <v/>
      </c>
      <c r="D1548" s="13">
        <f>CHAIN_RAW!D1548</f>
        <v/>
      </c>
      <c r="E1548" s="13">
        <f>CHAIN_RAW!E1548</f>
        <v/>
      </c>
      <c r="F1548" s="13">
        <f>IFERROR((E1548-D1548)/D1548,"")</f>
        <v/>
      </c>
      <c r="G1548" s="13">
        <f>IFERROR((CHAIN_RAW!K1548+CHAIN_RAW!L1548)/2,"")</f>
        <v/>
      </c>
      <c r="H1548" s="13">
        <f>IFERROR((CHAIN_RAW!R1548+CHAIN_RAW!S1548)/2,"")</f>
        <v/>
      </c>
      <c r="I1548" s="13">
        <f>IFERROR((CHAIN_RAW!L1548-CHAIN_RAW!K1548)/MAX(1E-9, G1548),"")</f>
        <v/>
      </c>
      <c r="J1548" s="13">
        <f>IFERROR((CHAIN_RAW!S1548-CHAIN_RAW!R1548)/MAX(1E-9, H1548),"")</f>
        <v/>
      </c>
      <c r="K1548" s="13">
        <f>CHAIN_RAW!G1548</f>
        <v/>
      </c>
      <c r="L1548" s="13">
        <f>CHAIN_RAW!N1548</f>
        <v/>
      </c>
      <c r="M1548" s="13">
        <f>IFERROR(L1548-K1548,"")</f>
        <v/>
      </c>
      <c r="N1548" s="13">
        <f>CHAIN_RAW!H1548</f>
        <v/>
      </c>
      <c r="O1548" s="13">
        <f>CHAIN_RAW!O1548</f>
        <v/>
      </c>
      <c r="P1548" s="13">
        <f>IFERROR(O1548/N1548,"")</f>
        <v/>
      </c>
      <c r="Q1548" s="13">
        <f>CHAIN_RAW!I1548</f>
        <v/>
      </c>
      <c r="R1548" s="13">
        <f>CHAIN_RAW!P1548</f>
        <v/>
      </c>
      <c r="S1548" s="13">
        <f>IFERROR(R1548/Q1548,"")</f>
        <v/>
      </c>
      <c r="T1548" s="13">
        <f>IFERROR((ABS(N1548-O1548)/MAX(1,(N1548+O1548)))*EXP(-ABS(E1548-CONTROL!E5)/MAX(1,CONTROL!B8)),"")</f>
        <v/>
      </c>
      <c r="U1548" s="13">
        <f>IFERROR(IF(O1548&gt;N1548,"SUPPORT (PE OI)","RESIST (CE OI)"),"")</f>
        <v/>
      </c>
      <c r="V1548" s="13">
        <f>IFERROR(IF(Q1548&gt;0,IF(R1548&gt;0,"BOTH_ADD","CE_ADD_PE_REDUCE"),IF(R1548&gt;0,"CE_REDUCE_PE_ADD","BOTH_REDUCE")),"")</f>
        <v/>
      </c>
      <c r="W1548" s="13">
        <f>IFERROR( (P1548-1)*0.5 + (M1548)*0.1 - (I1548+J1548)*0.05 + T1548*0.4 ,"")</f>
        <v/>
      </c>
      <c r="X1548" s="13">
        <f>IFERROR(IF(ABS(F1548)&lt;0.01,"ATM/NEAR",""),"")</f>
        <v/>
      </c>
    </row>
    <row r="1549">
      <c r="A1549" s="13">
        <f>CHAIN_RAW!A1549</f>
        <v/>
      </c>
      <c r="B1549" s="14">
        <f>CHAIN_RAW!B1549</f>
        <v/>
      </c>
      <c r="C1549" s="13">
        <f>CHAIN_RAW!C1549</f>
        <v/>
      </c>
      <c r="D1549" s="13">
        <f>CHAIN_RAW!D1549</f>
        <v/>
      </c>
      <c r="E1549" s="13">
        <f>CHAIN_RAW!E1549</f>
        <v/>
      </c>
      <c r="F1549" s="13">
        <f>IFERROR((E1549-D1549)/D1549,"")</f>
        <v/>
      </c>
      <c r="G1549" s="13">
        <f>IFERROR((CHAIN_RAW!K1549+CHAIN_RAW!L1549)/2,"")</f>
        <v/>
      </c>
      <c r="H1549" s="13">
        <f>IFERROR((CHAIN_RAW!R1549+CHAIN_RAW!S1549)/2,"")</f>
        <v/>
      </c>
      <c r="I1549" s="13">
        <f>IFERROR((CHAIN_RAW!L1549-CHAIN_RAW!K1549)/MAX(1E-9, G1549),"")</f>
        <v/>
      </c>
      <c r="J1549" s="13">
        <f>IFERROR((CHAIN_RAW!S1549-CHAIN_RAW!R1549)/MAX(1E-9, H1549),"")</f>
        <v/>
      </c>
      <c r="K1549" s="13">
        <f>CHAIN_RAW!G1549</f>
        <v/>
      </c>
      <c r="L1549" s="13">
        <f>CHAIN_RAW!N1549</f>
        <v/>
      </c>
      <c r="M1549" s="13">
        <f>IFERROR(L1549-K1549,"")</f>
        <v/>
      </c>
      <c r="N1549" s="13">
        <f>CHAIN_RAW!H1549</f>
        <v/>
      </c>
      <c r="O1549" s="13">
        <f>CHAIN_RAW!O1549</f>
        <v/>
      </c>
      <c r="P1549" s="13">
        <f>IFERROR(O1549/N1549,"")</f>
        <v/>
      </c>
      <c r="Q1549" s="13">
        <f>CHAIN_RAW!I1549</f>
        <v/>
      </c>
      <c r="R1549" s="13">
        <f>CHAIN_RAW!P1549</f>
        <v/>
      </c>
      <c r="S1549" s="13">
        <f>IFERROR(R1549/Q1549,"")</f>
        <v/>
      </c>
      <c r="T1549" s="13">
        <f>IFERROR((ABS(N1549-O1549)/MAX(1,(N1549+O1549)))*EXP(-ABS(E1549-CONTROL!E5)/MAX(1,CONTROL!B8)),"")</f>
        <v/>
      </c>
      <c r="U1549" s="13">
        <f>IFERROR(IF(O1549&gt;N1549,"SUPPORT (PE OI)","RESIST (CE OI)"),"")</f>
        <v/>
      </c>
      <c r="V1549" s="13">
        <f>IFERROR(IF(Q1549&gt;0,IF(R1549&gt;0,"BOTH_ADD","CE_ADD_PE_REDUCE"),IF(R1549&gt;0,"CE_REDUCE_PE_ADD","BOTH_REDUCE")),"")</f>
        <v/>
      </c>
      <c r="W1549" s="13">
        <f>IFERROR( (P1549-1)*0.5 + (M1549)*0.1 - (I1549+J1549)*0.05 + T1549*0.4 ,"")</f>
        <v/>
      </c>
      <c r="X1549" s="13">
        <f>IFERROR(IF(ABS(F1549)&lt;0.01,"ATM/NEAR",""),"")</f>
        <v/>
      </c>
    </row>
    <row r="1550">
      <c r="A1550" s="13">
        <f>CHAIN_RAW!A1550</f>
        <v/>
      </c>
      <c r="B1550" s="14">
        <f>CHAIN_RAW!B1550</f>
        <v/>
      </c>
      <c r="C1550" s="13">
        <f>CHAIN_RAW!C1550</f>
        <v/>
      </c>
      <c r="D1550" s="13">
        <f>CHAIN_RAW!D1550</f>
        <v/>
      </c>
      <c r="E1550" s="13">
        <f>CHAIN_RAW!E1550</f>
        <v/>
      </c>
      <c r="F1550" s="13">
        <f>IFERROR((E1550-D1550)/D1550,"")</f>
        <v/>
      </c>
      <c r="G1550" s="13">
        <f>IFERROR((CHAIN_RAW!K1550+CHAIN_RAW!L1550)/2,"")</f>
        <v/>
      </c>
      <c r="H1550" s="13">
        <f>IFERROR((CHAIN_RAW!R1550+CHAIN_RAW!S1550)/2,"")</f>
        <v/>
      </c>
      <c r="I1550" s="13">
        <f>IFERROR((CHAIN_RAW!L1550-CHAIN_RAW!K1550)/MAX(1E-9, G1550),"")</f>
        <v/>
      </c>
      <c r="J1550" s="13">
        <f>IFERROR((CHAIN_RAW!S1550-CHAIN_RAW!R1550)/MAX(1E-9, H1550),"")</f>
        <v/>
      </c>
      <c r="K1550" s="13">
        <f>CHAIN_RAW!G1550</f>
        <v/>
      </c>
      <c r="L1550" s="13">
        <f>CHAIN_RAW!N1550</f>
        <v/>
      </c>
      <c r="M1550" s="13">
        <f>IFERROR(L1550-K1550,"")</f>
        <v/>
      </c>
      <c r="N1550" s="13">
        <f>CHAIN_RAW!H1550</f>
        <v/>
      </c>
      <c r="O1550" s="13">
        <f>CHAIN_RAW!O1550</f>
        <v/>
      </c>
      <c r="P1550" s="13">
        <f>IFERROR(O1550/N1550,"")</f>
        <v/>
      </c>
      <c r="Q1550" s="13">
        <f>CHAIN_RAW!I1550</f>
        <v/>
      </c>
      <c r="R1550" s="13">
        <f>CHAIN_RAW!P1550</f>
        <v/>
      </c>
      <c r="S1550" s="13">
        <f>IFERROR(R1550/Q1550,"")</f>
        <v/>
      </c>
      <c r="T1550" s="13">
        <f>IFERROR((ABS(N1550-O1550)/MAX(1,(N1550+O1550)))*EXP(-ABS(E1550-CONTROL!E5)/MAX(1,CONTROL!B8)),"")</f>
        <v/>
      </c>
      <c r="U1550" s="13">
        <f>IFERROR(IF(O1550&gt;N1550,"SUPPORT (PE OI)","RESIST (CE OI)"),"")</f>
        <v/>
      </c>
      <c r="V1550" s="13">
        <f>IFERROR(IF(Q1550&gt;0,IF(R1550&gt;0,"BOTH_ADD","CE_ADD_PE_REDUCE"),IF(R1550&gt;0,"CE_REDUCE_PE_ADD","BOTH_REDUCE")),"")</f>
        <v/>
      </c>
      <c r="W1550" s="13">
        <f>IFERROR( (P1550-1)*0.5 + (M1550)*0.1 - (I1550+J1550)*0.05 + T1550*0.4 ,"")</f>
        <v/>
      </c>
      <c r="X1550" s="13">
        <f>IFERROR(IF(ABS(F1550)&lt;0.01,"ATM/NEAR",""),"")</f>
        <v/>
      </c>
    </row>
    <row r="1551">
      <c r="A1551" s="13">
        <f>CHAIN_RAW!A1551</f>
        <v/>
      </c>
      <c r="B1551" s="14">
        <f>CHAIN_RAW!B1551</f>
        <v/>
      </c>
      <c r="C1551" s="13">
        <f>CHAIN_RAW!C1551</f>
        <v/>
      </c>
      <c r="D1551" s="13">
        <f>CHAIN_RAW!D1551</f>
        <v/>
      </c>
      <c r="E1551" s="13">
        <f>CHAIN_RAW!E1551</f>
        <v/>
      </c>
      <c r="F1551" s="13">
        <f>IFERROR((E1551-D1551)/D1551,"")</f>
        <v/>
      </c>
      <c r="G1551" s="13">
        <f>IFERROR((CHAIN_RAW!K1551+CHAIN_RAW!L1551)/2,"")</f>
        <v/>
      </c>
      <c r="H1551" s="13">
        <f>IFERROR((CHAIN_RAW!R1551+CHAIN_RAW!S1551)/2,"")</f>
        <v/>
      </c>
      <c r="I1551" s="13">
        <f>IFERROR((CHAIN_RAW!L1551-CHAIN_RAW!K1551)/MAX(1E-9, G1551),"")</f>
        <v/>
      </c>
      <c r="J1551" s="13">
        <f>IFERROR((CHAIN_RAW!S1551-CHAIN_RAW!R1551)/MAX(1E-9, H1551),"")</f>
        <v/>
      </c>
      <c r="K1551" s="13">
        <f>CHAIN_RAW!G1551</f>
        <v/>
      </c>
      <c r="L1551" s="13">
        <f>CHAIN_RAW!N1551</f>
        <v/>
      </c>
      <c r="M1551" s="13">
        <f>IFERROR(L1551-K1551,"")</f>
        <v/>
      </c>
      <c r="N1551" s="13">
        <f>CHAIN_RAW!H1551</f>
        <v/>
      </c>
      <c r="O1551" s="13">
        <f>CHAIN_RAW!O1551</f>
        <v/>
      </c>
      <c r="P1551" s="13">
        <f>IFERROR(O1551/N1551,"")</f>
        <v/>
      </c>
      <c r="Q1551" s="13">
        <f>CHAIN_RAW!I1551</f>
        <v/>
      </c>
      <c r="R1551" s="13">
        <f>CHAIN_RAW!P1551</f>
        <v/>
      </c>
      <c r="S1551" s="13">
        <f>IFERROR(R1551/Q1551,"")</f>
        <v/>
      </c>
      <c r="T1551" s="13">
        <f>IFERROR((ABS(N1551-O1551)/MAX(1,(N1551+O1551)))*EXP(-ABS(E1551-CONTROL!E5)/MAX(1,CONTROL!B8)),"")</f>
        <v/>
      </c>
      <c r="U1551" s="13">
        <f>IFERROR(IF(O1551&gt;N1551,"SUPPORT (PE OI)","RESIST (CE OI)"),"")</f>
        <v/>
      </c>
      <c r="V1551" s="13">
        <f>IFERROR(IF(Q1551&gt;0,IF(R1551&gt;0,"BOTH_ADD","CE_ADD_PE_REDUCE"),IF(R1551&gt;0,"CE_REDUCE_PE_ADD","BOTH_REDUCE")),"")</f>
        <v/>
      </c>
      <c r="W1551" s="13">
        <f>IFERROR( (P1551-1)*0.5 + (M1551)*0.1 - (I1551+J1551)*0.05 + T1551*0.4 ,"")</f>
        <v/>
      </c>
      <c r="X1551" s="13">
        <f>IFERROR(IF(ABS(F1551)&lt;0.01,"ATM/NEAR",""),"")</f>
        <v/>
      </c>
    </row>
    <row r="1552">
      <c r="A1552" s="13">
        <f>CHAIN_RAW!A1552</f>
        <v/>
      </c>
      <c r="B1552" s="14">
        <f>CHAIN_RAW!B1552</f>
        <v/>
      </c>
      <c r="C1552" s="13">
        <f>CHAIN_RAW!C1552</f>
        <v/>
      </c>
      <c r="D1552" s="13">
        <f>CHAIN_RAW!D1552</f>
        <v/>
      </c>
      <c r="E1552" s="13">
        <f>CHAIN_RAW!E1552</f>
        <v/>
      </c>
      <c r="F1552" s="13">
        <f>IFERROR((E1552-D1552)/D1552,"")</f>
        <v/>
      </c>
      <c r="G1552" s="13">
        <f>IFERROR((CHAIN_RAW!K1552+CHAIN_RAW!L1552)/2,"")</f>
        <v/>
      </c>
      <c r="H1552" s="13">
        <f>IFERROR((CHAIN_RAW!R1552+CHAIN_RAW!S1552)/2,"")</f>
        <v/>
      </c>
      <c r="I1552" s="13">
        <f>IFERROR((CHAIN_RAW!L1552-CHAIN_RAW!K1552)/MAX(1E-9, G1552),"")</f>
        <v/>
      </c>
      <c r="J1552" s="13">
        <f>IFERROR((CHAIN_RAW!S1552-CHAIN_RAW!R1552)/MAX(1E-9, H1552),"")</f>
        <v/>
      </c>
      <c r="K1552" s="13">
        <f>CHAIN_RAW!G1552</f>
        <v/>
      </c>
      <c r="L1552" s="13">
        <f>CHAIN_RAW!N1552</f>
        <v/>
      </c>
      <c r="M1552" s="13">
        <f>IFERROR(L1552-K1552,"")</f>
        <v/>
      </c>
      <c r="N1552" s="13">
        <f>CHAIN_RAW!H1552</f>
        <v/>
      </c>
      <c r="O1552" s="13">
        <f>CHAIN_RAW!O1552</f>
        <v/>
      </c>
      <c r="P1552" s="13">
        <f>IFERROR(O1552/N1552,"")</f>
        <v/>
      </c>
      <c r="Q1552" s="13">
        <f>CHAIN_RAW!I1552</f>
        <v/>
      </c>
      <c r="R1552" s="13">
        <f>CHAIN_RAW!P1552</f>
        <v/>
      </c>
      <c r="S1552" s="13">
        <f>IFERROR(R1552/Q1552,"")</f>
        <v/>
      </c>
      <c r="T1552" s="13">
        <f>IFERROR((ABS(N1552-O1552)/MAX(1,(N1552+O1552)))*EXP(-ABS(E1552-CONTROL!E5)/MAX(1,CONTROL!B8)),"")</f>
        <v/>
      </c>
      <c r="U1552" s="13">
        <f>IFERROR(IF(O1552&gt;N1552,"SUPPORT (PE OI)","RESIST (CE OI)"),"")</f>
        <v/>
      </c>
      <c r="V1552" s="13">
        <f>IFERROR(IF(Q1552&gt;0,IF(R1552&gt;0,"BOTH_ADD","CE_ADD_PE_REDUCE"),IF(R1552&gt;0,"CE_REDUCE_PE_ADD","BOTH_REDUCE")),"")</f>
        <v/>
      </c>
      <c r="W1552" s="13">
        <f>IFERROR( (P1552-1)*0.5 + (M1552)*0.1 - (I1552+J1552)*0.05 + T1552*0.4 ,"")</f>
        <v/>
      </c>
      <c r="X1552" s="13">
        <f>IFERROR(IF(ABS(F1552)&lt;0.01,"ATM/NEAR",""),"")</f>
        <v/>
      </c>
    </row>
    <row r="1553">
      <c r="A1553" s="13">
        <f>CHAIN_RAW!A1553</f>
        <v/>
      </c>
      <c r="B1553" s="14">
        <f>CHAIN_RAW!B1553</f>
        <v/>
      </c>
      <c r="C1553" s="13">
        <f>CHAIN_RAW!C1553</f>
        <v/>
      </c>
      <c r="D1553" s="13">
        <f>CHAIN_RAW!D1553</f>
        <v/>
      </c>
      <c r="E1553" s="13">
        <f>CHAIN_RAW!E1553</f>
        <v/>
      </c>
      <c r="F1553" s="13">
        <f>IFERROR((E1553-D1553)/D1553,"")</f>
        <v/>
      </c>
      <c r="G1553" s="13">
        <f>IFERROR((CHAIN_RAW!K1553+CHAIN_RAW!L1553)/2,"")</f>
        <v/>
      </c>
      <c r="H1553" s="13">
        <f>IFERROR((CHAIN_RAW!R1553+CHAIN_RAW!S1553)/2,"")</f>
        <v/>
      </c>
      <c r="I1553" s="13">
        <f>IFERROR((CHAIN_RAW!L1553-CHAIN_RAW!K1553)/MAX(1E-9, G1553),"")</f>
        <v/>
      </c>
      <c r="J1553" s="13">
        <f>IFERROR((CHAIN_RAW!S1553-CHAIN_RAW!R1553)/MAX(1E-9, H1553),"")</f>
        <v/>
      </c>
      <c r="K1553" s="13">
        <f>CHAIN_RAW!G1553</f>
        <v/>
      </c>
      <c r="L1553" s="13">
        <f>CHAIN_RAW!N1553</f>
        <v/>
      </c>
      <c r="M1553" s="13">
        <f>IFERROR(L1553-K1553,"")</f>
        <v/>
      </c>
      <c r="N1553" s="13">
        <f>CHAIN_RAW!H1553</f>
        <v/>
      </c>
      <c r="O1553" s="13">
        <f>CHAIN_RAW!O1553</f>
        <v/>
      </c>
      <c r="P1553" s="13">
        <f>IFERROR(O1553/N1553,"")</f>
        <v/>
      </c>
      <c r="Q1553" s="13">
        <f>CHAIN_RAW!I1553</f>
        <v/>
      </c>
      <c r="R1553" s="13">
        <f>CHAIN_RAW!P1553</f>
        <v/>
      </c>
      <c r="S1553" s="13">
        <f>IFERROR(R1553/Q1553,"")</f>
        <v/>
      </c>
      <c r="T1553" s="13">
        <f>IFERROR((ABS(N1553-O1553)/MAX(1,(N1553+O1553)))*EXP(-ABS(E1553-CONTROL!E5)/MAX(1,CONTROL!B8)),"")</f>
        <v/>
      </c>
      <c r="U1553" s="13">
        <f>IFERROR(IF(O1553&gt;N1553,"SUPPORT (PE OI)","RESIST (CE OI)"),"")</f>
        <v/>
      </c>
      <c r="V1553" s="13">
        <f>IFERROR(IF(Q1553&gt;0,IF(R1553&gt;0,"BOTH_ADD","CE_ADD_PE_REDUCE"),IF(R1553&gt;0,"CE_REDUCE_PE_ADD","BOTH_REDUCE")),"")</f>
        <v/>
      </c>
      <c r="W1553" s="13">
        <f>IFERROR( (P1553-1)*0.5 + (M1553)*0.1 - (I1553+J1553)*0.05 + T1553*0.4 ,"")</f>
        <v/>
      </c>
      <c r="X1553" s="13">
        <f>IFERROR(IF(ABS(F1553)&lt;0.01,"ATM/NEAR",""),"")</f>
        <v/>
      </c>
    </row>
    <row r="1554">
      <c r="A1554" s="13">
        <f>CHAIN_RAW!A1554</f>
        <v/>
      </c>
      <c r="B1554" s="14">
        <f>CHAIN_RAW!B1554</f>
        <v/>
      </c>
      <c r="C1554" s="13">
        <f>CHAIN_RAW!C1554</f>
        <v/>
      </c>
      <c r="D1554" s="13">
        <f>CHAIN_RAW!D1554</f>
        <v/>
      </c>
      <c r="E1554" s="13">
        <f>CHAIN_RAW!E1554</f>
        <v/>
      </c>
      <c r="F1554" s="13">
        <f>IFERROR((E1554-D1554)/D1554,"")</f>
        <v/>
      </c>
      <c r="G1554" s="13">
        <f>IFERROR((CHAIN_RAW!K1554+CHAIN_RAW!L1554)/2,"")</f>
        <v/>
      </c>
      <c r="H1554" s="13">
        <f>IFERROR((CHAIN_RAW!R1554+CHAIN_RAW!S1554)/2,"")</f>
        <v/>
      </c>
      <c r="I1554" s="13">
        <f>IFERROR((CHAIN_RAW!L1554-CHAIN_RAW!K1554)/MAX(1E-9, G1554),"")</f>
        <v/>
      </c>
      <c r="J1554" s="13">
        <f>IFERROR((CHAIN_RAW!S1554-CHAIN_RAW!R1554)/MAX(1E-9, H1554),"")</f>
        <v/>
      </c>
      <c r="K1554" s="13">
        <f>CHAIN_RAW!G1554</f>
        <v/>
      </c>
      <c r="L1554" s="13">
        <f>CHAIN_RAW!N1554</f>
        <v/>
      </c>
      <c r="M1554" s="13">
        <f>IFERROR(L1554-K1554,"")</f>
        <v/>
      </c>
      <c r="N1554" s="13">
        <f>CHAIN_RAW!H1554</f>
        <v/>
      </c>
      <c r="O1554" s="13">
        <f>CHAIN_RAW!O1554</f>
        <v/>
      </c>
      <c r="P1554" s="13">
        <f>IFERROR(O1554/N1554,"")</f>
        <v/>
      </c>
      <c r="Q1554" s="13">
        <f>CHAIN_RAW!I1554</f>
        <v/>
      </c>
      <c r="R1554" s="13">
        <f>CHAIN_RAW!P1554</f>
        <v/>
      </c>
      <c r="S1554" s="13">
        <f>IFERROR(R1554/Q1554,"")</f>
        <v/>
      </c>
      <c r="T1554" s="13">
        <f>IFERROR((ABS(N1554-O1554)/MAX(1,(N1554+O1554)))*EXP(-ABS(E1554-CONTROL!E5)/MAX(1,CONTROL!B8)),"")</f>
        <v/>
      </c>
      <c r="U1554" s="13">
        <f>IFERROR(IF(O1554&gt;N1554,"SUPPORT (PE OI)","RESIST (CE OI)"),"")</f>
        <v/>
      </c>
      <c r="V1554" s="13">
        <f>IFERROR(IF(Q1554&gt;0,IF(R1554&gt;0,"BOTH_ADD","CE_ADD_PE_REDUCE"),IF(R1554&gt;0,"CE_REDUCE_PE_ADD","BOTH_REDUCE")),"")</f>
        <v/>
      </c>
      <c r="W1554" s="13">
        <f>IFERROR( (P1554-1)*0.5 + (M1554)*0.1 - (I1554+J1554)*0.05 + T1554*0.4 ,"")</f>
        <v/>
      </c>
      <c r="X1554" s="13">
        <f>IFERROR(IF(ABS(F1554)&lt;0.01,"ATM/NEAR",""),"")</f>
        <v/>
      </c>
    </row>
    <row r="1555">
      <c r="A1555" s="13">
        <f>CHAIN_RAW!A1555</f>
        <v/>
      </c>
      <c r="B1555" s="14">
        <f>CHAIN_RAW!B1555</f>
        <v/>
      </c>
      <c r="C1555" s="13">
        <f>CHAIN_RAW!C1555</f>
        <v/>
      </c>
      <c r="D1555" s="13">
        <f>CHAIN_RAW!D1555</f>
        <v/>
      </c>
      <c r="E1555" s="13">
        <f>CHAIN_RAW!E1555</f>
        <v/>
      </c>
      <c r="F1555" s="13">
        <f>IFERROR((E1555-D1555)/D1555,"")</f>
        <v/>
      </c>
      <c r="G1555" s="13">
        <f>IFERROR((CHAIN_RAW!K1555+CHAIN_RAW!L1555)/2,"")</f>
        <v/>
      </c>
      <c r="H1555" s="13">
        <f>IFERROR((CHAIN_RAW!R1555+CHAIN_RAW!S1555)/2,"")</f>
        <v/>
      </c>
      <c r="I1555" s="13">
        <f>IFERROR((CHAIN_RAW!L1555-CHAIN_RAW!K1555)/MAX(1E-9, G1555),"")</f>
        <v/>
      </c>
      <c r="J1555" s="13">
        <f>IFERROR((CHAIN_RAW!S1555-CHAIN_RAW!R1555)/MAX(1E-9, H1555),"")</f>
        <v/>
      </c>
      <c r="K1555" s="13">
        <f>CHAIN_RAW!G1555</f>
        <v/>
      </c>
      <c r="L1555" s="13">
        <f>CHAIN_RAW!N1555</f>
        <v/>
      </c>
      <c r="M1555" s="13">
        <f>IFERROR(L1555-K1555,"")</f>
        <v/>
      </c>
      <c r="N1555" s="13">
        <f>CHAIN_RAW!H1555</f>
        <v/>
      </c>
      <c r="O1555" s="13">
        <f>CHAIN_RAW!O1555</f>
        <v/>
      </c>
      <c r="P1555" s="13">
        <f>IFERROR(O1555/N1555,"")</f>
        <v/>
      </c>
      <c r="Q1555" s="13">
        <f>CHAIN_RAW!I1555</f>
        <v/>
      </c>
      <c r="R1555" s="13">
        <f>CHAIN_RAW!P1555</f>
        <v/>
      </c>
      <c r="S1555" s="13">
        <f>IFERROR(R1555/Q1555,"")</f>
        <v/>
      </c>
      <c r="T1555" s="13">
        <f>IFERROR((ABS(N1555-O1555)/MAX(1,(N1555+O1555)))*EXP(-ABS(E1555-CONTROL!E5)/MAX(1,CONTROL!B8)),"")</f>
        <v/>
      </c>
      <c r="U1555" s="13">
        <f>IFERROR(IF(O1555&gt;N1555,"SUPPORT (PE OI)","RESIST (CE OI)"),"")</f>
        <v/>
      </c>
      <c r="V1555" s="13">
        <f>IFERROR(IF(Q1555&gt;0,IF(R1555&gt;0,"BOTH_ADD","CE_ADD_PE_REDUCE"),IF(R1555&gt;0,"CE_REDUCE_PE_ADD","BOTH_REDUCE")),"")</f>
        <v/>
      </c>
      <c r="W1555" s="13">
        <f>IFERROR( (P1555-1)*0.5 + (M1555)*0.1 - (I1555+J1555)*0.05 + T1555*0.4 ,"")</f>
        <v/>
      </c>
      <c r="X1555" s="13">
        <f>IFERROR(IF(ABS(F1555)&lt;0.01,"ATM/NEAR",""),"")</f>
        <v/>
      </c>
    </row>
    <row r="1556">
      <c r="A1556" s="13">
        <f>CHAIN_RAW!A1556</f>
        <v/>
      </c>
      <c r="B1556" s="14">
        <f>CHAIN_RAW!B1556</f>
        <v/>
      </c>
      <c r="C1556" s="13">
        <f>CHAIN_RAW!C1556</f>
        <v/>
      </c>
      <c r="D1556" s="13">
        <f>CHAIN_RAW!D1556</f>
        <v/>
      </c>
      <c r="E1556" s="13">
        <f>CHAIN_RAW!E1556</f>
        <v/>
      </c>
      <c r="F1556" s="13">
        <f>IFERROR((E1556-D1556)/D1556,"")</f>
        <v/>
      </c>
      <c r="G1556" s="13">
        <f>IFERROR((CHAIN_RAW!K1556+CHAIN_RAW!L1556)/2,"")</f>
        <v/>
      </c>
      <c r="H1556" s="13">
        <f>IFERROR((CHAIN_RAW!R1556+CHAIN_RAW!S1556)/2,"")</f>
        <v/>
      </c>
      <c r="I1556" s="13">
        <f>IFERROR((CHAIN_RAW!L1556-CHAIN_RAW!K1556)/MAX(1E-9, G1556),"")</f>
        <v/>
      </c>
      <c r="J1556" s="13">
        <f>IFERROR((CHAIN_RAW!S1556-CHAIN_RAW!R1556)/MAX(1E-9, H1556),"")</f>
        <v/>
      </c>
      <c r="K1556" s="13">
        <f>CHAIN_RAW!G1556</f>
        <v/>
      </c>
      <c r="L1556" s="13">
        <f>CHAIN_RAW!N1556</f>
        <v/>
      </c>
      <c r="M1556" s="13">
        <f>IFERROR(L1556-K1556,"")</f>
        <v/>
      </c>
      <c r="N1556" s="13">
        <f>CHAIN_RAW!H1556</f>
        <v/>
      </c>
      <c r="O1556" s="13">
        <f>CHAIN_RAW!O1556</f>
        <v/>
      </c>
      <c r="P1556" s="13">
        <f>IFERROR(O1556/N1556,"")</f>
        <v/>
      </c>
      <c r="Q1556" s="13">
        <f>CHAIN_RAW!I1556</f>
        <v/>
      </c>
      <c r="R1556" s="13">
        <f>CHAIN_RAW!P1556</f>
        <v/>
      </c>
      <c r="S1556" s="13">
        <f>IFERROR(R1556/Q1556,"")</f>
        <v/>
      </c>
      <c r="T1556" s="13">
        <f>IFERROR((ABS(N1556-O1556)/MAX(1,(N1556+O1556)))*EXP(-ABS(E1556-CONTROL!E5)/MAX(1,CONTROL!B8)),"")</f>
        <v/>
      </c>
      <c r="U1556" s="13">
        <f>IFERROR(IF(O1556&gt;N1556,"SUPPORT (PE OI)","RESIST (CE OI)"),"")</f>
        <v/>
      </c>
      <c r="V1556" s="13">
        <f>IFERROR(IF(Q1556&gt;0,IF(R1556&gt;0,"BOTH_ADD","CE_ADD_PE_REDUCE"),IF(R1556&gt;0,"CE_REDUCE_PE_ADD","BOTH_REDUCE")),"")</f>
        <v/>
      </c>
      <c r="W1556" s="13">
        <f>IFERROR( (P1556-1)*0.5 + (M1556)*0.1 - (I1556+J1556)*0.05 + T1556*0.4 ,"")</f>
        <v/>
      </c>
      <c r="X1556" s="13">
        <f>IFERROR(IF(ABS(F1556)&lt;0.01,"ATM/NEAR",""),"")</f>
        <v/>
      </c>
    </row>
    <row r="1557">
      <c r="A1557" s="13">
        <f>CHAIN_RAW!A1557</f>
        <v/>
      </c>
      <c r="B1557" s="14">
        <f>CHAIN_RAW!B1557</f>
        <v/>
      </c>
      <c r="C1557" s="13">
        <f>CHAIN_RAW!C1557</f>
        <v/>
      </c>
      <c r="D1557" s="13">
        <f>CHAIN_RAW!D1557</f>
        <v/>
      </c>
      <c r="E1557" s="13">
        <f>CHAIN_RAW!E1557</f>
        <v/>
      </c>
      <c r="F1557" s="13">
        <f>IFERROR((E1557-D1557)/D1557,"")</f>
        <v/>
      </c>
      <c r="G1557" s="13">
        <f>IFERROR((CHAIN_RAW!K1557+CHAIN_RAW!L1557)/2,"")</f>
        <v/>
      </c>
      <c r="H1557" s="13">
        <f>IFERROR((CHAIN_RAW!R1557+CHAIN_RAW!S1557)/2,"")</f>
        <v/>
      </c>
      <c r="I1557" s="13">
        <f>IFERROR((CHAIN_RAW!L1557-CHAIN_RAW!K1557)/MAX(1E-9, G1557),"")</f>
        <v/>
      </c>
      <c r="J1557" s="13">
        <f>IFERROR((CHAIN_RAW!S1557-CHAIN_RAW!R1557)/MAX(1E-9, H1557),"")</f>
        <v/>
      </c>
      <c r="K1557" s="13">
        <f>CHAIN_RAW!G1557</f>
        <v/>
      </c>
      <c r="L1557" s="13">
        <f>CHAIN_RAW!N1557</f>
        <v/>
      </c>
      <c r="M1557" s="13">
        <f>IFERROR(L1557-K1557,"")</f>
        <v/>
      </c>
      <c r="N1557" s="13">
        <f>CHAIN_RAW!H1557</f>
        <v/>
      </c>
      <c r="O1557" s="13">
        <f>CHAIN_RAW!O1557</f>
        <v/>
      </c>
      <c r="P1557" s="13">
        <f>IFERROR(O1557/N1557,"")</f>
        <v/>
      </c>
      <c r="Q1557" s="13">
        <f>CHAIN_RAW!I1557</f>
        <v/>
      </c>
      <c r="R1557" s="13">
        <f>CHAIN_RAW!P1557</f>
        <v/>
      </c>
      <c r="S1557" s="13">
        <f>IFERROR(R1557/Q1557,"")</f>
        <v/>
      </c>
      <c r="T1557" s="13">
        <f>IFERROR((ABS(N1557-O1557)/MAX(1,(N1557+O1557)))*EXP(-ABS(E1557-CONTROL!E5)/MAX(1,CONTROL!B8)),"")</f>
        <v/>
      </c>
      <c r="U1557" s="13">
        <f>IFERROR(IF(O1557&gt;N1557,"SUPPORT (PE OI)","RESIST (CE OI)"),"")</f>
        <v/>
      </c>
      <c r="V1557" s="13">
        <f>IFERROR(IF(Q1557&gt;0,IF(R1557&gt;0,"BOTH_ADD","CE_ADD_PE_REDUCE"),IF(R1557&gt;0,"CE_REDUCE_PE_ADD","BOTH_REDUCE")),"")</f>
        <v/>
      </c>
      <c r="W1557" s="13">
        <f>IFERROR( (P1557-1)*0.5 + (M1557)*0.1 - (I1557+J1557)*0.05 + T1557*0.4 ,"")</f>
        <v/>
      </c>
      <c r="X1557" s="13">
        <f>IFERROR(IF(ABS(F1557)&lt;0.01,"ATM/NEAR",""),"")</f>
        <v/>
      </c>
    </row>
    <row r="1558">
      <c r="A1558" s="13">
        <f>CHAIN_RAW!A1558</f>
        <v/>
      </c>
      <c r="B1558" s="14">
        <f>CHAIN_RAW!B1558</f>
        <v/>
      </c>
      <c r="C1558" s="13">
        <f>CHAIN_RAW!C1558</f>
        <v/>
      </c>
      <c r="D1558" s="13">
        <f>CHAIN_RAW!D1558</f>
        <v/>
      </c>
      <c r="E1558" s="13">
        <f>CHAIN_RAW!E1558</f>
        <v/>
      </c>
      <c r="F1558" s="13">
        <f>IFERROR((E1558-D1558)/D1558,"")</f>
        <v/>
      </c>
      <c r="G1558" s="13">
        <f>IFERROR((CHAIN_RAW!K1558+CHAIN_RAW!L1558)/2,"")</f>
        <v/>
      </c>
      <c r="H1558" s="13">
        <f>IFERROR((CHAIN_RAW!R1558+CHAIN_RAW!S1558)/2,"")</f>
        <v/>
      </c>
      <c r="I1558" s="13">
        <f>IFERROR((CHAIN_RAW!L1558-CHAIN_RAW!K1558)/MAX(1E-9, G1558),"")</f>
        <v/>
      </c>
      <c r="J1558" s="13">
        <f>IFERROR((CHAIN_RAW!S1558-CHAIN_RAW!R1558)/MAX(1E-9, H1558),"")</f>
        <v/>
      </c>
      <c r="K1558" s="13">
        <f>CHAIN_RAW!G1558</f>
        <v/>
      </c>
      <c r="L1558" s="13">
        <f>CHAIN_RAW!N1558</f>
        <v/>
      </c>
      <c r="M1558" s="13">
        <f>IFERROR(L1558-K1558,"")</f>
        <v/>
      </c>
      <c r="N1558" s="13">
        <f>CHAIN_RAW!H1558</f>
        <v/>
      </c>
      <c r="O1558" s="13">
        <f>CHAIN_RAW!O1558</f>
        <v/>
      </c>
      <c r="P1558" s="13">
        <f>IFERROR(O1558/N1558,"")</f>
        <v/>
      </c>
      <c r="Q1558" s="13">
        <f>CHAIN_RAW!I1558</f>
        <v/>
      </c>
      <c r="R1558" s="13">
        <f>CHAIN_RAW!P1558</f>
        <v/>
      </c>
      <c r="S1558" s="13">
        <f>IFERROR(R1558/Q1558,"")</f>
        <v/>
      </c>
      <c r="T1558" s="13">
        <f>IFERROR((ABS(N1558-O1558)/MAX(1,(N1558+O1558)))*EXP(-ABS(E1558-CONTROL!E5)/MAX(1,CONTROL!B8)),"")</f>
        <v/>
      </c>
      <c r="U1558" s="13">
        <f>IFERROR(IF(O1558&gt;N1558,"SUPPORT (PE OI)","RESIST (CE OI)"),"")</f>
        <v/>
      </c>
      <c r="V1558" s="13">
        <f>IFERROR(IF(Q1558&gt;0,IF(R1558&gt;0,"BOTH_ADD","CE_ADD_PE_REDUCE"),IF(R1558&gt;0,"CE_REDUCE_PE_ADD","BOTH_REDUCE")),"")</f>
        <v/>
      </c>
      <c r="W1558" s="13">
        <f>IFERROR( (P1558-1)*0.5 + (M1558)*0.1 - (I1558+J1558)*0.05 + T1558*0.4 ,"")</f>
        <v/>
      </c>
      <c r="X1558" s="13">
        <f>IFERROR(IF(ABS(F1558)&lt;0.01,"ATM/NEAR",""),"")</f>
        <v/>
      </c>
    </row>
    <row r="1559">
      <c r="A1559" s="13">
        <f>CHAIN_RAW!A1559</f>
        <v/>
      </c>
      <c r="B1559" s="14">
        <f>CHAIN_RAW!B1559</f>
        <v/>
      </c>
      <c r="C1559" s="13">
        <f>CHAIN_RAW!C1559</f>
        <v/>
      </c>
      <c r="D1559" s="13">
        <f>CHAIN_RAW!D1559</f>
        <v/>
      </c>
      <c r="E1559" s="13">
        <f>CHAIN_RAW!E1559</f>
        <v/>
      </c>
      <c r="F1559" s="13">
        <f>IFERROR((E1559-D1559)/D1559,"")</f>
        <v/>
      </c>
      <c r="G1559" s="13">
        <f>IFERROR((CHAIN_RAW!K1559+CHAIN_RAW!L1559)/2,"")</f>
        <v/>
      </c>
      <c r="H1559" s="13">
        <f>IFERROR((CHAIN_RAW!R1559+CHAIN_RAW!S1559)/2,"")</f>
        <v/>
      </c>
      <c r="I1559" s="13">
        <f>IFERROR((CHAIN_RAW!L1559-CHAIN_RAW!K1559)/MAX(1E-9, G1559),"")</f>
        <v/>
      </c>
      <c r="J1559" s="13">
        <f>IFERROR((CHAIN_RAW!S1559-CHAIN_RAW!R1559)/MAX(1E-9, H1559),"")</f>
        <v/>
      </c>
      <c r="K1559" s="13">
        <f>CHAIN_RAW!G1559</f>
        <v/>
      </c>
      <c r="L1559" s="13">
        <f>CHAIN_RAW!N1559</f>
        <v/>
      </c>
      <c r="M1559" s="13">
        <f>IFERROR(L1559-K1559,"")</f>
        <v/>
      </c>
      <c r="N1559" s="13">
        <f>CHAIN_RAW!H1559</f>
        <v/>
      </c>
      <c r="O1559" s="13">
        <f>CHAIN_RAW!O1559</f>
        <v/>
      </c>
      <c r="P1559" s="13">
        <f>IFERROR(O1559/N1559,"")</f>
        <v/>
      </c>
      <c r="Q1559" s="13">
        <f>CHAIN_RAW!I1559</f>
        <v/>
      </c>
      <c r="R1559" s="13">
        <f>CHAIN_RAW!P1559</f>
        <v/>
      </c>
      <c r="S1559" s="13">
        <f>IFERROR(R1559/Q1559,"")</f>
        <v/>
      </c>
      <c r="T1559" s="13">
        <f>IFERROR((ABS(N1559-O1559)/MAX(1,(N1559+O1559)))*EXP(-ABS(E1559-CONTROL!E5)/MAX(1,CONTROL!B8)),"")</f>
        <v/>
      </c>
      <c r="U1559" s="13">
        <f>IFERROR(IF(O1559&gt;N1559,"SUPPORT (PE OI)","RESIST (CE OI)"),"")</f>
        <v/>
      </c>
      <c r="V1559" s="13">
        <f>IFERROR(IF(Q1559&gt;0,IF(R1559&gt;0,"BOTH_ADD","CE_ADD_PE_REDUCE"),IF(R1559&gt;0,"CE_REDUCE_PE_ADD","BOTH_REDUCE")),"")</f>
        <v/>
      </c>
      <c r="W1559" s="13">
        <f>IFERROR( (P1559-1)*0.5 + (M1559)*0.1 - (I1559+J1559)*0.05 + T1559*0.4 ,"")</f>
        <v/>
      </c>
      <c r="X1559" s="13">
        <f>IFERROR(IF(ABS(F1559)&lt;0.01,"ATM/NEAR",""),"")</f>
        <v/>
      </c>
    </row>
    <row r="1560">
      <c r="A1560" s="13">
        <f>CHAIN_RAW!A1560</f>
        <v/>
      </c>
      <c r="B1560" s="14">
        <f>CHAIN_RAW!B1560</f>
        <v/>
      </c>
      <c r="C1560" s="13">
        <f>CHAIN_RAW!C1560</f>
        <v/>
      </c>
      <c r="D1560" s="13">
        <f>CHAIN_RAW!D1560</f>
        <v/>
      </c>
      <c r="E1560" s="13">
        <f>CHAIN_RAW!E1560</f>
        <v/>
      </c>
      <c r="F1560" s="13">
        <f>IFERROR((E1560-D1560)/D1560,"")</f>
        <v/>
      </c>
      <c r="G1560" s="13">
        <f>IFERROR((CHAIN_RAW!K1560+CHAIN_RAW!L1560)/2,"")</f>
        <v/>
      </c>
      <c r="H1560" s="13">
        <f>IFERROR((CHAIN_RAW!R1560+CHAIN_RAW!S1560)/2,"")</f>
        <v/>
      </c>
      <c r="I1560" s="13">
        <f>IFERROR((CHAIN_RAW!L1560-CHAIN_RAW!K1560)/MAX(1E-9, G1560),"")</f>
        <v/>
      </c>
      <c r="J1560" s="13">
        <f>IFERROR((CHAIN_RAW!S1560-CHAIN_RAW!R1560)/MAX(1E-9, H1560),"")</f>
        <v/>
      </c>
      <c r="K1560" s="13">
        <f>CHAIN_RAW!G1560</f>
        <v/>
      </c>
      <c r="L1560" s="13">
        <f>CHAIN_RAW!N1560</f>
        <v/>
      </c>
      <c r="M1560" s="13">
        <f>IFERROR(L1560-K1560,"")</f>
        <v/>
      </c>
      <c r="N1560" s="13">
        <f>CHAIN_RAW!H1560</f>
        <v/>
      </c>
      <c r="O1560" s="13">
        <f>CHAIN_RAW!O1560</f>
        <v/>
      </c>
      <c r="P1560" s="13">
        <f>IFERROR(O1560/N1560,"")</f>
        <v/>
      </c>
      <c r="Q1560" s="13">
        <f>CHAIN_RAW!I1560</f>
        <v/>
      </c>
      <c r="R1560" s="13">
        <f>CHAIN_RAW!P1560</f>
        <v/>
      </c>
      <c r="S1560" s="13">
        <f>IFERROR(R1560/Q1560,"")</f>
        <v/>
      </c>
      <c r="T1560" s="13">
        <f>IFERROR((ABS(N1560-O1560)/MAX(1,(N1560+O1560)))*EXP(-ABS(E1560-CONTROL!E5)/MAX(1,CONTROL!B8)),"")</f>
        <v/>
      </c>
      <c r="U1560" s="13">
        <f>IFERROR(IF(O1560&gt;N1560,"SUPPORT (PE OI)","RESIST (CE OI)"),"")</f>
        <v/>
      </c>
      <c r="V1560" s="13">
        <f>IFERROR(IF(Q1560&gt;0,IF(R1560&gt;0,"BOTH_ADD","CE_ADD_PE_REDUCE"),IF(R1560&gt;0,"CE_REDUCE_PE_ADD","BOTH_REDUCE")),"")</f>
        <v/>
      </c>
      <c r="W1560" s="13">
        <f>IFERROR( (P1560-1)*0.5 + (M1560)*0.1 - (I1560+J1560)*0.05 + T1560*0.4 ,"")</f>
        <v/>
      </c>
      <c r="X1560" s="13">
        <f>IFERROR(IF(ABS(F1560)&lt;0.01,"ATM/NEAR",""),"")</f>
        <v/>
      </c>
    </row>
    <row r="1561">
      <c r="A1561" s="13">
        <f>CHAIN_RAW!A1561</f>
        <v/>
      </c>
      <c r="B1561" s="14">
        <f>CHAIN_RAW!B1561</f>
        <v/>
      </c>
      <c r="C1561" s="13">
        <f>CHAIN_RAW!C1561</f>
        <v/>
      </c>
      <c r="D1561" s="13">
        <f>CHAIN_RAW!D1561</f>
        <v/>
      </c>
      <c r="E1561" s="13">
        <f>CHAIN_RAW!E1561</f>
        <v/>
      </c>
      <c r="F1561" s="13">
        <f>IFERROR((E1561-D1561)/D1561,"")</f>
        <v/>
      </c>
      <c r="G1561" s="13">
        <f>IFERROR((CHAIN_RAW!K1561+CHAIN_RAW!L1561)/2,"")</f>
        <v/>
      </c>
      <c r="H1561" s="13">
        <f>IFERROR((CHAIN_RAW!R1561+CHAIN_RAW!S1561)/2,"")</f>
        <v/>
      </c>
      <c r="I1561" s="13">
        <f>IFERROR((CHAIN_RAW!L1561-CHAIN_RAW!K1561)/MAX(1E-9, G1561),"")</f>
        <v/>
      </c>
      <c r="J1561" s="13">
        <f>IFERROR((CHAIN_RAW!S1561-CHAIN_RAW!R1561)/MAX(1E-9, H1561),"")</f>
        <v/>
      </c>
      <c r="K1561" s="13">
        <f>CHAIN_RAW!G1561</f>
        <v/>
      </c>
      <c r="L1561" s="13">
        <f>CHAIN_RAW!N1561</f>
        <v/>
      </c>
      <c r="M1561" s="13">
        <f>IFERROR(L1561-K1561,"")</f>
        <v/>
      </c>
      <c r="N1561" s="13">
        <f>CHAIN_RAW!H1561</f>
        <v/>
      </c>
      <c r="O1561" s="13">
        <f>CHAIN_RAW!O1561</f>
        <v/>
      </c>
      <c r="P1561" s="13">
        <f>IFERROR(O1561/N1561,"")</f>
        <v/>
      </c>
      <c r="Q1561" s="13">
        <f>CHAIN_RAW!I1561</f>
        <v/>
      </c>
      <c r="R1561" s="13">
        <f>CHAIN_RAW!P1561</f>
        <v/>
      </c>
      <c r="S1561" s="13">
        <f>IFERROR(R1561/Q1561,"")</f>
        <v/>
      </c>
      <c r="T1561" s="13">
        <f>IFERROR((ABS(N1561-O1561)/MAX(1,(N1561+O1561)))*EXP(-ABS(E1561-CONTROL!E5)/MAX(1,CONTROL!B8)),"")</f>
        <v/>
      </c>
      <c r="U1561" s="13">
        <f>IFERROR(IF(O1561&gt;N1561,"SUPPORT (PE OI)","RESIST (CE OI)"),"")</f>
        <v/>
      </c>
      <c r="V1561" s="13">
        <f>IFERROR(IF(Q1561&gt;0,IF(R1561&gt;0,"BOTH_ADD","CE_ADD_PE_REDUCE"),IF(R1561&gt;0,"CE_REDUCE_PE_ADD","BOTH_REDUCE")),"")</f>
        <v/>
      </c>
      <c r="W1561" s="13">
        <f>IFERROR( (P1561-1)*0.5 + (M1561)*0.1 - (I1561+J1561)*0.05 + T1561*0.4 ,"")</f>
        <v/>
      </c>
      <c r="X1561" s="13">
        <f>IFERROR(IF(ABS(F1561)&lt;0.01,"ATM/NEAR",""),"")</f>
        <v/>
      </c>
    </row>
    <row r="1562">
      <c r="A1562" s="13">
        <f>CHAIN_RAW!A1562</f>
        <v/>
      </c>
      <c r="B1562" s="14">
        <f>CHAIN_RAW!B1562</f>
        <v/>
      </c>
      <c r="C1562" s="13">
        <f>CHAIN_RAW!C1562</f>
        <v/>
      </c>
      <c r="D1562" s="13">
        <f>CHAIN_RAW!D1562</f>
        <v/>
      </c>
      <c r="E1562" s="13">
        <f>CHAIN_RAW!E1562</f>
        <v/>
      </c>
      <c r="F1562" s="13">
        <f>IFERROR((E1562-D1562)/D1562,"")</f>
        <v/>
      </c>
      <c r="G1562" s="13">
        <f>IFERROR((CHAIN_RAW!K1562+CHAIN_RAW!L1562)/2,"")</f>
        <v/>
      </c>
      <c r="H1562" s="13">
        <f>IFERROR((CHAIN_RAW!R1562+CHAIN_RAW!S1562)/2,"")</f>
        <v/>
      </c>
      <c r="I1562" s="13">
        <f>IFERROR((CHAIN_RAW!L1562-CHAIN_RAW!K1562)/MAX(1E-9, G1562),"")</f>
        <v/>
      </c>
      <c r="J1562" s="13">
        <f>IFERROR((CHAIN_RAW!S1562-CHAIN_RAW!R1562)/MAX(1E-9, H1562),"")</f>
        <v/>
      </c>
      <c r="K1562" s="13">
        <f>CHAIN_RAW!G1562</f>
        <v/>
      </c>
      <c r="L1562" s="13">
        <f>CHAIN_RAW!N1562</f>
        <v/>
      </c>
      <c r="M1562" s="13">
        <f>IFERROR(L1562-K1562,"")</f>
        <v/>
      </c>
      <c r="N1562" s="13">
        <f>CHAIN_RAW!H1562</f>
        <v/>
      </c>
      <c r="O1562" s="13">
        <f>CHAIN_RAW!O1562</f>
        <v/>
      </c>
      <c r="P1562" s="13">
        <f>IFERROR(O1562/N1562,"")</f>
        <v/>
      </c>
      <c r="Q1562" s="13">
        <f>CHAIN_RAW!I1562</f>
        <v/>
      </c>
      <c r="R1562" s="13">
        <f>CHAIN_RAW!P1562</f>
        <v/>
      </c>
      <c r="S1562" s="13">
        <f>IFERROR(R1562/Q1562,"")</f>
        <v/>
      </c>
      <c r="T1562" s="13">
        <f>IFERROR((ABS(N1562-O1562)/MAX(1,(N1562+O1562)))*EXP(-ABS(E1562-CONTROL!E5)/MAX(1,CONTROL!B8)),"")</f>
        <v/>
      </c>
      <c r="U1562" s="13">
        <f>IFERROR(IF(O1562&gt;N1562,"SUPPORT (PE OI)","RESIST (CE OI)"),"")</f>
        <v/>
      </c>
      <c r="V1562" s="13">
        <f>IFERROR(IF(Q1562&gt;0,IF(R1562&gt;0,"BOTH_ADD","CE_ADD_PE_REDUCE"),IF(R1562&gt;0,"CE_REDUCE_PE_ADD","BOTH_REDUCE")),"")</f>
        <v/>
      </c>
      <c r="W1562" s="13">
        <f>IFERROR( (P1562-1)*0.5 + (M1562)*0.1 - (I1562+J1562)*0.05 + T1562*0.4 ,"")</f>
        <v/>
      </c>
      <c r="X1562" s="13">
        <f>IFERROR(IF(ABS(F1562)&lt;0.01,"ATM/NEAR",""),"")</f>
        <v/>
      </c>
    </row>
    <row r="1563">
      <c r="A1563" s="13">
        <f>CHAIN_RAW!A1563</f>
        <v/>
      </c>
      <c r="B1563" s="14">
        <f>CHAIN_RAW!B1563</f>
        <v/>
      </c>
      <c r="C1563" s="13">
        <f>CHAIN_RAW!C1563</f>
        <v/>
      </c>
      <c r="D1563" s="13">
        <f>CHAIN_RAW!D1563</f>
        <v/>
      </c>
      <c r="E1563" s="13">
        <f>CHAIN_RAW!E1563</f>
        <v/>
      </c>
      <c r="F1563" s="13">
        <f>IFERROR((E1563-D1563)/D1563,"")</f>
        <v/>
      </c>
      <c r="G1563" s="13">
        <f>IFERROR((CHAIN_RAW!K1563+CHAIN_RAW!L1563)/2,"")</f>
        <v/>
      </c>
      <c r="H1563" s="13">
        <f>IFERROR((CHAIN_RAW!R1563+CHAIN_RAW!S1563)/2,"")</f>
        <v/>
      </c>
      <c r="I1563" s="13">
        <f>IFERROR((CHAIN_RAW!L1563-CHAIN_RAW!K1563)/MAX(1E-9, G1563),"")</f>
        <v/>
      </c>
      <c r="J1563" s="13">
        <f>IFERROR((CHAIN_RAW!S1563-CHAIN_RAW!R1563)/MAX(1E-9, H1563),"")</f>
        <v/>
      </c>
      <c r="K1563" s="13">
        <f>CHAIN_RAW!G1563</f>
        <v/>
      </c>
      <c r="L1563" s="13">
        <f>CHAIN_RAW!N1563</f>
        <v/>
      </c>
      <c r="M1563" s="13">
        <f>IFERROR(L1563-K1563,"")</f>
        <v/>
      </c>
      <c r="N1563" s="13">
        <f>CHAIN_RAW!H1563</f>
        <v/>
      </c>
      <c r="O1563" s="13">
        <f>CHAIN_RAW!O1563</f>
        <v/>
      </c>
      <c r="P1563" s="13">
        <f>IFERROR(O1563/N1563,"")</f>
        <v/>
      </c>
      <c r="Q1563" s="13">
        <f>CHAIN_RAW!I1563</f>
        <v/>
      </c>
      <c r="R1563" s="13">
        <f>CHAIN_RAW!P1563</f>
        <v/>
      </c>
      <c r="S1563" s="13">
        <f>IFERROR(R1563/Q1563,"")</f>
        <v/>
      </c>
      <c r="T1563" s="13">
        <f>IFERROR((ABS(N1563-O1563)/MAX(1,(N1563+O1563)))*EXP(-ABS(E1563-CONTROL!E5)/MAX(1,CONTROL!B8)),"")</f>
        <v/>
      </c>
      <c r="U1563" s="13">
        <f>IFERROR(IF(O1563&gt;N1563,"SUPPORT (PE OI)","RESIST (CE OI)"),"")</f>
        <v/>
      </c>
      <c r="V1563" s="13">
        <f>IFERROR(IF(Q1563&gt;0,IF(R1563&gt;0,"BOTH_ADD","CE_ADD_PE_REDUCE"),IF(R1563&gt;0,"CE_REDUCE_PE_ADD","BOTH_REDUCE")),"")</f>
        <v/>
      </c>
      <c r="W1563" s="13">
        <f>IFERROR( (P1563-1)*0.5 + (M1563)*0.1 - (I1563+J1563)*0.05 + T1563*0.4 ,"")</f>
        <v/>
      </c>
      <c r="X1563" s="13">
        <f>IFERROR(IF(ABS(F1563)&lt;0.01,"ATM/NEAR",""),"")</f>
        <v/>
      </c>
    </row>
    <row r="1564">
      <c r="A1564" s="13">
        <f>CHAIN_RAW!A1564</f>
        <v/>
      </c>
      <c r="B1564" s="14">
        <f>CHAIN_RAW!B1564</f>
        <v/>
      </c>
      <c r="C1564" s="13">
        <f>CHAIN_RAW!C1564</f>
        <v/>
      </c>
      <c r="D1564" s="13">
        <f>CHAIN_RAW!D1564</f>
        <v/>
      </c>
      <c r="E1564" s="13">
        <f>CHAIN_RAW!E1564</f>
        <v/>
      </c>
      <c r="F1564" s="13">
        <f>IFERROR((E1564-D1564)/D1564,"")</f>
        <v/>
      </c>
      <c r="G1564" s="13">
        <f>IFERROR((CHAIN_RAW!K1564+CHAIN_RAW!L1564)/2,"")</f>
        <v/>
      </c>
      <c r="H1564" s="13">
        <f>IFERROR((CHAIN_RAW!R1564+CHAIN_RAW!S1564)/2,"")</f>
        <v/>
      </c>
      <c r="I1564" s="13">
        <f>IFERROR((CHAIN_RAW!L1564-CHAIN_RAW!K1564)/MAX(1E-9, G1564),"")</f>
        <v/>
      </c>
      <c r="J1564" s="13">
        <f>IFERROR((CHAIN_RAW!S1564-CHAIN_RAW!R1564)/MAX(1E-9, H1564),"")</f>
        <v/>
      </c>
      <c r="K1564" s="13">
        <f>CHAIN_RAW!G1564</f>
        <v/>
      </c>
      <c r="L1564" s="13">
        <f>CHAIN_RAW!N1564</f>
        <v/>
      </c>
      <c r="M1564" s="13">
        <f>IFERROR(L1564-K1564,"")</f>
        <v/>
      </c>
      <c r="N1564" s="13">
        <f>CHAIN_RAW!H1564</f>
        <v/>
      </c>
      <c r="O1564" s="13">
        <f>CHAIN_RAW!O1564</f>
        <v/>
      </c>
      <c r="P1564" s="13">
        <f>IFERROR(O1564/N1564,"")</f>
        <v/>
      </c>
      <c r="Q1564" s="13">
        <f>CHAIN_RAW!I1564</f>
        <v/>
      </c>
      <c r="R1564" s="13">
        <f>CHAIN_RAW!P1564</f>
        <v/>
      </c>
      <c r="S1564" s="13">
        <f>IFERROR(R1564/Q1564,"")</f>
        <v/>
      </c>
      <c r="T1564" s="13">
        <f>IFERROR((ABS(N1564-O1564)/MAX(1,(N1564+O1564)))*EXP(-ABS(E1564-CONTROL!E5)/MAX(1,CONTROL!B8)),"")</f>
        <v/>
      </c>
      <c r="U1564" s="13">
        <f>IFERROR(IF(O1564&gt;N1564,"SUPPORT (PE OI)","RESIST (CE OI)"),"")</f>
        <v/>
      </c>
      <c r="V1564" s="13">
        <f>IFERROR(IF(Q1564&gt;0,IF(R1564&gt;0,"BOTH_ADD","CE_ADD_PE_REDUCE"),IF(R1564&gt;0,"CE_REDUCE_PE_ADD","BOTH_REDUCE")),"")</f>
        <v/>
      </c>
      <c r="W1564" s="13">
        <f>IFERROR( (P1564-1)*0.5 + (M1564)*0.1 - (I1564+J1564)*0.05 + T1564*0.4 ,"")</f>
        <v/>
      </c>
      <c r="X1564" s="13">
        <f>IFERROR(IF(ABS(F1564)&lt;0.01,"ATM/NEAR",""),"")</f>
        <v/>
      </c>
    </row>
    <row r="1565">
      <c r="A1565" s="13">
        <f>CHAIN_RAW!A1565</f>
        <v/>
      </c>
      <c r="B1565" s="14">
        <f>CHAIN_RAW!B1565</f>
        <v/>
      </c>
      <c r="C1565" s="13">
        <f>CHAIN_RAW!C1565</f>
        <v/>
      </c>
      <c r="D1565" s="13">
        <f>CHAIN_RAW!D1565</f>
        <v/>
      </c>
      <c r="E1565" s="13">
        <f>CHAIN_RAW!E1565</f>
        <v/>
      </c>
      <c r="F1565" s="13">
        <f>IFERROR((E1565-D1565)/D1565,"")</f>
        <v/>
      </c>
      <c r="G1565" s="13">
        <f>IFERROR((CHAIN_RAW!K1565+CHAIN_RAW!L1565)/2,"")</f>
        <v/>
      </c>
      <c r="H1565" s="13">
        <f>IFERROR((CHAIN_RAW!R1565+CHAIN_RAW!S1565)/2,"")</f>
        <v/>
      </c>
      <c r="I1565" s="13">
        <f>IFERROR((CHAIN_RAW!L1565-CHAIN_RAW!K1565)/MAX(1E-9, G1565),"")</f>
        <v/>
      </c>
      <c r="J1565" s="13">
        <f>IFERROR((CHAIN_RAW!S1565-CHAIN_RAW!R1565)/MAX(1E-9, H1565),"")</f>
        <v/>
      </c>
      <c r="K1565" s="13">
        <f>CHAIN_RAW!G1565</f>
        <v/>
      </c>
      <c r="L1565" s="13">
        <f>CHAIN_RAW!N1565</f>
        <v/>
      </c>
      <c r="M1565" s="13">
        <f>IFERROR(L1565-K1565,"")</f>
        <v/>
      </c>
      <c r="N1565" s="13">
        <f>CHAIN_RAW!H1565</f>
        <v/>
      </c>
      <c r="O1565" s="13">
        <f>CHAIN_RAW!O1565</f>
        <v/>
      </c>
      <c r="P1565" s="13">
        <f>IFERROR(O1565/N1565,"")</f>
        <v/>
      </c>
      <c r="Q1565" s="13">
        <f>CHAIN_RAW!I1565</f>
        <v/>
      </c>
      <c r="R1565" s="13">
        <f>CHAIN_RAW!P1565</f>
        <v/>
      </c>
      <c r="S1565" s="13">
        <f>IFERROR(R1565/Q1565,"")</f>
        <v/>
      </c>
      <c r="T1565" s="13">
        <f>IFERROR((ABS(N1565-O1565)/MAX(1,(N1565+O1565)))*EXP(-ABS(E1565-CONTROL!E5)/MAX(1,CONTROL!B8)),"")</f>
        <v/>
      </c>
      <c r="U1565" s="13">
        <f>IFERROR(IF(O1565&gt;N1565,"SUPPORT (PE OI)","RESIST (CE OI)"),"")</f>
        <v/>
      </c>
      <c r="V1565" s="13">
        <f>IFERROR(IF(Q1565&gt;0,IF(R1565&gt;0,"BOTH_ADD","CE_ADD_PE_REDUCE"),IF(R1565&gt;0,"CE_REDUCE_PE_ADD","BOTH_REDUCE")),"")</f>
        <v/>
      </c>
      <c r="W1565" s="13">
        <f>IFERROR( (P1565-1)*0.5 + (M1565)*0.1 - (I1565+J1565)*0.05 + T1565*0.4 ,"")</f>
        <v/>
      </c>
      <c r="X1565" s="13">
        <f>IFERROR(IF(ABS(F1565)&lt;0.01,"ATM/NEAR",""),"")</f>
        <v/>
      </c>
    </row>
    <row r="1566">
      <c r="A1566" s="13">
        <f>CHAIN_RAW!A1566</f>
        <v/>
      </c>
      <c r="B1566" s="14">
        <f>CHAIN_RAW!B1566</f>
        <v/>
      </c>
      <c r="C1566" s="13">
        <f>CHAIN_RAW!C1566</f>
        <v/>
      </c>
      <c r="D1566" s="13">
        <f>CHAIN_RAW!D1566</f>
        <v/>
      </c>
      <c r="E1566" s="13">
        <f>CHAIN_RAW!E1566</f>
        <v/>
      </c>
      <c r="F1566" s="13">
        <f>IFERROR((E1566-D1566)/D1566,"")</f>
        <v/>
      </c>
      <c r="G1566" s="13">
        <f>IFERROR((CHAIN_RAW!K1566+CHAIN_RAW!L1566)/2,"")</f>
        <v/>
      </c>
      <c r="H1566" s="13">
        <f>IFERROR((CHAIN_RAW!R1566+CHAIN_RAW!S1566)/2,"")</f>
        <v/>
      </c>
      <c r="I1566" s="13">
        <f>IFERROR((CHAIN_RAW!L1566-CHAIN_RAW!K1566)/MAX(1E-9, G1566),"")</f>
        <v/>
      </c>
      <c r="J1566" s="13">
        <f>IFERROR((CHAIN_RAW!S1566-CHAIN_RAW!R1566)/MAX(1E-9, H1566),"")</f>
        <v/>
      </c>
      <c r="K1566" s="13">
        <f>CHAIN_RAW!G1566</f>
        <v/>
      </c>
      <c r="L1566" s="13">
        <f>CHAIN_RAW!N1566</f>
        <v/>
      </c>
      <c r="M1566" s="13">
        <f>IFERROR(L1566-K1566,"")</f>
        <v/>
      </c>
      <c r="N1566" s="13">
        <f>CHAIN_RAW!H1566</f>
        <v/>
      </c>
      <c r="O1566" s="13">
        <f>CHAIN_RAW!O1566</f>
        <v/>
      </c>
      <c r="P1566" s="13">
        <f>IFERROR(O1566/N1566,"")</f>
        <v/>
      </c>
      <c r="Q1566" s="13">
        <f>CHAIN_RAW!I1566</f>
        <v/>
      </c>
      <c r="R1566" s="13">
        <f>CHAIN_RAW!P1566</f>
        <v/>
      </c>
      <c r="S1566" s="13">
        <f>IFERROR(R1566/Q1566,"")</f>
        <v/>
      </c>
      <c r="T1566" s="13">
        <f>IFERROR((ABS(N1566-O1566)/MAX(1,(N1566+O1566)))*EXP(-ABS(E1566-CONTROL!E5)/MAX(1,CONTROL!B8)),"")</f>
        <v/>
      </c>
      <c r="U1566" s="13">
        <f>IFERROR(IF(O1566&gt;N1566,"SUPPORT (PE OI)","RESIST (CE OI)"),"")</f>
        <v/>
      </c>
      <c r="V1566" s="13">
        <f>IFERROR(IF(Q1566&gt;0,IF(R1566&gt;0,"BOTH_ADD","CE_ADD_PE_REDUCE"),IF(R1566&gt;0,"CE_REDUCE_PE_ADD","BOTH_REDUCE")),"")</f>
        <v/>
      </c>
      <c r="W1566" s="13">
        <f>IFERROR( (P1566-1)*0.5 + (M1566)*0.1 - (I1566+J1566)*0.05 + T1566*0.4 ,"")</f>
        <v/>
      </c>
      <c r="X1566" s="13">
        <f>IFERROR(IF(ABS(F1566)&lt;0.01,"ATM/NEAR",""),"")</f>
        <v/>
      </c>
    </row>
    <row r="1567">
      <c r="A1567" s="13">
        <f>CHAIN_RAW!A1567</f>
        <v/>
      </c>
      <c r="B1567" s="14">
        <f>CHAIN_RAW!B1567</f>
        <v/>
      </c>
      <c r="C1567" s="13">
        <f>CHAIN_RAW!C1567</f>
        <v/>
      </c>
      <c r="D1567" s="13">
        <f>CHAIN_RAW!D1567</f>
        <v/>
      </c>
      <c r="E1567" s="13">
        <f>CHAIN_RAW!E1567</f>
        <v/>
      </c>
      <c r="F1567" s="13">
        <f>IFERROR((E1567-D1567)/D1567,"")</f>
        <v/>
      </c>
      <c r="G1567" s="13">
        <f>IFERROR((CHAIN_RAW!K1567+CHAIN_RAW!L1567)/2,"")</f>
        <v/>
      </c>
      <c r="H1567" s="13">
        <f>IFERROR((CHAIN_RAW!R1567+CHAIN_RAW!S1567)/2,"")</f>
        <v/>
      </c>
      <c r="I1567" s="13">
        <f>IFERROR((CHAIN_RAW!L1567-CHAIN_RAW!K1567)/MAX(1E-9, G1567),"")</f>
        <v/>
      </c>
      <c r="J1567" s="13">
        <f>IFERROR((CHAIN_RAW!S1567-CHAIN_RAW!R1567)/MAX(1E-9, H1567),"")</f>
        <v/>
      </c>
      <c r="K1567" s="13">
        <f>CHAIN_RAW!G1567</f>
        <v/>
      </c>
      <c r="L1567" s="13">
        <f>CHAIN_RAW!N1567</f>
        <v/>
      </c>
      <c r="M1567" s="13">
        <f>IFERROR(L1567-K1567,"")</f>
        <v/>
      </c>
      <c r="N1567" s="13">
        <f>CHAIN_RAW!H1567</f>
        <v/>
      </c>
      <c r="O1567" s="13">
        <f>CHAIN_RAW!O1567</f>
        <v/>
      </c>
      <c r="P1567" s="13">
        <f>IFERROR(O1567/N1567,"")</f>
        <v/>
      </c>
      <c r="Q1567" s="13">
        <f>CHAIN_RAW!I1567</f>
        <v/>
      </c>
      <c r="R1567" s="13">
        <f>CHAIN_RAW!P1567</f>
        <v/>
      </c>
      <c r="S1567" s="13">
        <f>IFERROR(R1567/Q1567,"")</f>
        <v/>
      </c>
      <c r="T1567" s="13">
        <f>IFERROR((ABS(N1567-O1567)/MAX(1,(N1567+O1567)))*EXP(-ABS(E1567-CONTROL!E5)/MAX(1,CONTROL!B8)),"")</f>
        <v/>
      </c>
      <c r="U1567" s="13">
        <f>IFERROR(IF(O1567&gt;N1567,"SUPPORT (PE OI)","RESIST (CE OI)"),"")</f>
        <v/>
      </c>
      <c r="V1567" s="13">
        <f>IFERROR(IF(Q1567&gt;0,IF(R1567&gt;0,"BOTH_ADD","CE_ADD_PE_REDUCE"),IF(R1567&gt;0,"CE_REDUCE_PE_ADD","BOTH_REDUCE")),"")</f>
        <v/>
      </c>
      <c r="W1567" s="13">
        <f>IFERROR( (P1567-1)*0.5 + (M1567)*0.1 - (I1567+J1567)*0.05 + T1567*0.4 ,"")</f>
        <v/>
      </c>
      <c r="X1567" s="13">
        <f>IFERROR(IF(ABS(F1567)&lt;0.01,"ATM/NEAR",""),"")</f>
        <v/>
      </c>
    </row>
    <row r="1568">
      <c r="A1568" s="13">
        <f>CHAIN_RAW!A1568</f>
        <v/>
      </c>
      <c r="B1568" s="14">
        <f>CHAIN_RAW!B1568</f>
        <v/>
      </c>
      <c r="C1568" s="13">
        <f>CHAIN_RAW!C1568</f>
        <v/>
      </c>
      <c r="D1568" s="13">
        <f>CHAIN_RAW!D1568</f>
        <v/>
      </c>
      <c r="E1568" s="13">
        <f>CHAIN_RAW!E1568</f>
        <v/>
      </c>
      <c r="F1568" s="13">
        <f>IFERROR((E1568-D1568)/D1568,"")</f>
        <v/>
      </c>
      <c r="G1568" s="13">
        <f>IFERROR((CHAIN_RAW!K1568+CHAIN_RAW!L1568)/2,"")</f>
        <v/>
      </c>
      <c r="H1568" s="13">
        <f>IFERROR((CHAIN_RAW!R1568+CHAIN_RAW!S1568)/2,"")</f>
        <v/>
      </c>
      <c r="I1568" s="13">
        <f>IFERROR((CHAIN_RAW!L1568-CHAIN_RAW!K1568)/MAX(1E-9, G1568),"")</f>
        <v/>
      </c>
      <c r="J1568" s="13">
        <f>IFERROR((CHAIN_RAW!S1568-CHAIN_RAW!R1568)/MAX(1E-9, H1568),"")</f>
        <v/>
      </c>
      <c r="K1568" s="13">
        <f>CHAIN_RAW!G1568</f>
        <v/>
      </c>
      <c r="L1568" s="13">
        <f>CHAIN_RAW!N1568</f>
        <v/>
      </c>
      <c r="M1568" s="13">
        <f>IFERROR(L1568-K1568,"")</f>
        <v/>
      </c>
      <c r="N1568" s="13">
        <f>CHAIN_RAW!H1568</f>
        <v/>
      </c>
      <c r="O1568" s="13">
        <f>CHAIN_RAW!O1568</f>
        <v/>
      </c>
      <c r="P1568" s="13">
        <f>IFERROR(O1568/N1568,"")</f>
        <v/>
      </c>
      <c r="Q1568" s="13">
        <f>CHAIN_RAW!I1568</f>
        <v/>
      </c>
      <c r="R1568" s="13">
        <f>CHAIN_RAW!P1568</f>
        <v/>
      </c>
      <c r="S1568" s="13">
        <f>IFERROR(R1568/Q1568,"")</f>
        <v/>
      </c>
      <c r="T1568" s="13">
        <f>IFERROR((ABS(N1568-O1568)/MAX(1,(N1568+O1568)))*EXP(-ABS(E1568-CONTROL!E5)/MAX(1,CONTROL!B8)),"")</f>
        <v/>
      </c>
      <c r="U1568" s="13">
        <f>IFERROR(IF(O1568&gt;N1568,"SUPPORT (PE OI)","RESIST (CE OI)"),"")</f>
        <v/>
      </c>
      <c r="V1568" s="13">
        <f>IFERROR(IF(Q1568&gt;0,IF(R1568&gt;0,"BOTH_ADD","CE_ADD_PE_REDUCE"),IF(R1568&gt;0,"CE_REDUCE_PE_ADD","BOTH_REDUCE")),"")</f>
        <v/>
      </c>
      <c r="W1568" s="13">
        <f>IFERROR( (P1568-1)*0.5 + (M1568)*0.1 - (I1568+J1568)*0.05 + T1568*0.4 ,"")</f>
        <v/>
      </c>
      <c r="X1568" s="13">
        <f>IFERROR(IF(ABS(F1568)&lt;0.01,"ATM/NEAR",""),"")</f>
        <v/>
      </c>
    </row>
    <row r="1569">
      <c r="A1569" s="13">
        <f>CHAIN_RAW!A1569</f>
        <v/>
      </c>
      <c r="B1569" s="14">
        <f>CHAIN_RAW!B1569</f>
        <v/>
      </c>
      <c r="C1569" s="13">
        <f>CHAIN_RAW!C1569</f>
        <v/>
      </c>
      <c r="D1569" s="13">
        <f>CHAIN_RAW!D1569</f>
        <v/>
      </c>
      <c r="E1569" s="13">
        <f>CHAIN_RAW!E1569</f>
        <v/>
      </c>
      <c r="F1569" s="13">
        <f>IFERROR((E1569-D1569)/D1569,"")</f>
        <v/>
      </c>
      <c r="G1569" s="13">
        <f>IFERROR((CHAIN_RAW!K1569+CHAIN_RAW!L1569)/2,"")</f>
        <v/>
      </c>
      <c r="H1569" s="13">
        <f>IFERROR((CHAIN_RAW!R1569+CHAIN_RAW!S1569)/2,"")</f>
        <v/>
      </c>
      <c r="I1569" s="13">
        <f>IFERROR((CHAIN_RAW!L1569-CHAIN_RAW!K1569)/MAX(1E-9, G1569),"")</f>
        <v/>
      </c>
      <c r="J1569" s="13">
        <f>IFERROR((CHAIN_RAW!S1569-CHAIN_RAW!R1569)/MAX(1E-9, H1569),"")</f>
        <v/>
      </c>
      <c r="K1569" s="13">
        <f>CHAIN_RAW!G1569</f>
        <v/>
      </c>
      <c r="L1569" s="13">
        <f>CHAIN_RAW!N1569</f>
        <v/>
      </c>
      <c r="M1569" s="13">
        <f>IFERROR(L1569-K1569,"")</f>
        <v/>
      </c>
      <c r="N1569" s="13">
        <f>CHAIN_RAW!H1569</f>
        <v/>
      </c>
      <c r="O1569" s="13">
        <f>CHAIN_RAW!O1569</f>
        <v/>
      </c>
      <c r="P1569" s="13">
        <f>IFERROR(O1569/N1569,"")</f>
        <v/>
      </c>
      <c r="Q1569" s="13">
        <f>CHAIN_RAW!I1569</f>
        <v/>
      </c>
      <c r="R1569" s="13">
        <f>CHAIN_RAW!P1569</f>
        <v/>
      </c>
      <c r="S1569" s="13">
        <f>IFERROR(R1569/Q1569,"")</f>
        <v/>
      </c>
      <c r="T1569" s="13">
        <f>IFERROR((ABS(N1569-O1569)/MAX(1,(N1569+O1569)))*EXP(-ABS(E1569-CONTROL!E5)/MAX(1,CONTROL!B8)),"")</f>
        <v/>
      </c>
      <c r="U1569" s="13">
        <f>IFERROR(IF(O1569&gt;N1569,"SUPPORT (PE OI)","RESIST (CE OI)"),"")</f>
        <v/>
      </c>
      <c r="V1569" s="13">
        <f>IFERROR(IF(Q1569&gt;0,IF(R1569&gt;0,"BOTH_ADD","CE_ADD_PE_REDUCE"),IF(R1569&gt;0,"CE_REDUCE_PE_ADD","BOTH_REDUCE")),"")</f>
        <v/>
      </c>
      <c r="W1569" s="13">
        <f>IFERROR( (P1569-1)*0.5 + (M1569)*0.1 - (I1569+J1569)*0.05 + T1569*0.4 ,"")</f>
        <v/>
      </c>
      <c r="X1569" s="13">
        <f>IFERROR(IF(ABS(F1569)&lt;0.01,"ATM/NEAR",""),"")</f>
        <v/>
      </c>
    </row>
    <row r="1570">
      <c r="A1570" s="13">
        <f>CHAIN_RAW!A1570</f>
        <v/>
      </c>
      <c r="B1570" s="14">
        <f>CHAIN_RAW!B1570</f>
        <v/>
      </c>
      <c r="C1570" s="13">
        <f>CHAIN_RAW!C1570</f>
        <v/>
      </c>
      <c r="D1570" s="13">
        <f>CHAIN_RAW!D1570</f>
        <v/>
      </c>
      <c r="E1570" s="13">
        <f>CHAIN_RAW!E1570</f>
        <v/>
      </c>
      <c r="F1570" s="13">
        <f>IFERROR((E1570-D1570)/D1570,"")</f>
        <v/>
      </c>
      <c r="G1570" s="13">
        <f>IFERROR((CHAIN_RAW!K1570+CHAIN_RAW!L1570)/2,"")</f>
        <v/>
      </c>
      <c r="H1570" s="13">
        <f>IFERROR((CHAIN_RAW!R1570+CHAIN_RAW!S1570)/2,"")</f>
        <v/>
      </c>
      <c r="I1570" s="13">
        <f>IFERROR((CHAIN_RAW!L1570-CHAIN_RAW!K1570)/MAX(1E-9, G1570),"")</f>
        <v/>
      </c>
      <c r="J1570" s="13">
        <f>IFERROR((CHAIN_RAW!S1570-CHAIN_RAW!R1570)/MAX(1E-9, H1570),"")</f>
        <v/>
      </c>
      <c r="K1570" s="13">
        <f>CHAIN_RAW!G1570</f>
        <v/>
      </c>
      <c r="L1570" s="13">
        <f>CHAIN_RAW!N1570</f>
        <v/>
      </c>
      <c r="M1570" s="13">
        <f>IFERROR(L1570-K1570,"")</f>
        <v/>
      </c>
      <c r="N1570" s="13">
        <f>CHAIN_RAW!H1570</f>
        <v/>
      </c>
      <c r="O1570" s="13">
        <f>CHAIN_RAW!O1570</f>
        <v/>
      </c>
      <c r="P1570" s="13">
        <f>IFERROR(O1570/N1570,"")</f>
        <v/>
      </c>
      <c r="Q1570" s="13">
        <f>CHAIN_RAW!I1570</f>
        <v/>
      </c>
      <c r="R1570" s="13">
        <f>CHAIN_RAW!P1570</f>
        <v/>
      </c>
      <c r="S1570" s="13">
        <f>IFERROR(R1570/Q1570,"")</f>
        <v/>
      </c>
      <c r="T1570" s="13">
        <f>IFERROR((ABS(N1570-O1570)/MAX(1,(N1570+O1570)))*EXP(-ABS(E1570-CONTROL!E5)/MAX(1,CONTROL!B8)),"")</f>
        <v/>
      </c>
      <c r="U1570" s="13">
        <f>IFERROR(IF(O1570&gt;N1570,"SUPPORT (PE OI)","RESIST (CE OI)"),"")</f>
        <v/>
      </c>
      <c r="V1570" s="13">
        <f>IFERROR(IF(Q1570&gt;0,IF(R1570&gt;0,"BOTH_ADD","CE_ADD_PE_REDUCE"),IF(R1570&gt;0,"CE_REDUCE_PE_ADD","BOTH_REDUCE")),"")</f>
        <v/>
      </c>
      <c r="W1570" s="13">
        <f>IFERROR( (P1570-1)*0.5 + (M1570)*0.1 - (I1570+J1570)*0.05 + T1570*0.4 ,"")</f>
        <v/>
      </c>
      <c r="X1570" s="13">
        <f>IFERROR(IF(ABS(F1570)&lt;0.01,"ATM/NEAR",""),"")</f>
        <v/>
      </c>
    </row>
    <row r="1571">
      <c r="A1571" s="13">
        <f>CHAIN_RAW!A1571</f>
        <v/>
      </c>
      <c r="B1571" s="14">
        <f>CHAIN_RAW!B1571</f>
        <v/>
      </c>
      <c r="C1571" s="13">
        <f>CHAIN_RAW!C1571</f>
        <v/>
      </c>
      <c r="D1571" s="13">
        <f>CHAIN_RAW!D1571</f>
        <v/>
      </c>
      <c r="E1571" s="13">
        <f>CHAIN_RAW!E1571</f>
        <v/>
      </c>
      <c r="F1571" s="13">
        <f>IFERROR((E1571-D1571)/D1571,"")</f>
        <v/>
      </c>
      <c r="G1571" s="13">
        <f>IFERROR((CHAIN_RAW!K1571+CHAIN_RAW!L1571)/2,"")</f>
        <v/>
      </c>
      <c r="H1571" s="13">
        <f>IFERROR((CHAIN_RAW!R1571+CHAIN_RAW!S1571)/2,"")</f>
        <v/>
      </c>
      <c r="I1571" s="13">
        <f>IFERROR((CHAIN_RAW!L1571-CHAIN_RAW!K1571)/MAX(1E-9, G1571),"")</f>
        <v/>
      </c>
      <c r="J1571" s="13">
        <f>IFERROR((CHAIN_RAW!S1571-CHAIN_RAW!R1571)/MAX(1E-9, H1571),"")</f>
        <v/>
      </c>
      <c r="K1571" s="13">
        <f>CHAIN_RAW!G1571</f>
        <v/>
      </c>
      <c r="L1571" s="13">
        <f>CHAIN_RAW!N1571</f>
        <v/>
      </c>
      <c r="M1571" s="13">
        <f>IFERROR(L1571-K1571,"")</f>
        <v/>
      </c>
      <c r="N1571" s="13">
        <f>CHAIN_RAW!H1571</f>
        <v/>
      </c>
      <c r="O1571" s="13">
        <f>CHAIN_RAW!O1571</f>
        <v/>
      </c>
      <c r="P1571" s="13">
        <f>IFERROR(O1571/N1571,"")</f>
        <v/>
      </c>
      <c r="Q1571" s="13">
        <f>CHAIN_RAW!I1571</f>
        <v/>
      </c>
      <c r="R1571" s="13">
        <f>CHAIN_RAW!P1571</f>
        <v/>
      </c>
      <c r="S1571" s="13">
        <f>IFERROR(R1571/Q1571,"")</f>
        <v/>
      </c>
      <c r="T1571" s="13">
        <f>IFERROR((ABS(N1571-O1571)/MAX(1,(N1571+O1571)))*EXP(-ABS(E1571-CONTROL!E5)/MAX(1,CONTROL!B8)),"")</f>
        <v/>
      </c>
      <c r="U1571" s="13">
        <f>IFERROR(IF(O1571&gt;N1571,"SUPPORT (PE OI)","RESIST (CE OI)"),"")</f>
        <v/>
      </c>
      <c r="V1571" s="13">
        <f>IFERROR(IF(Q1571&gt;0,IF(R1571&gt;0,"BOTH_ADD","CE_ADD_PE_REDUCE"),IF(R1571&gt;0,"CE_REDUCE_PE_ADD","BOTH_REDUCE")),"")</f>
        <v/>
      </c>
      <c r="W1571" s="13">
        <f>IFERROR( (P1571-1)*0.5 + (M1571)*0.1 - (I1571+J1571)*0.05 + T1571*0.4 ,"")</f>
        <v/>
      </c>
      <c r="X1571" s="13">
        <f>IFERROR(IF(ABS(F1571)&lt;0.01,"ATM/NEAR",""),"")</f>
        <v/>
      </c>
    </row>
    <row r="1572">
      <c r="A1572" s="13">
        <f>CHAIN_RAW!A1572</f>
        <v/>
      </c>
      <c r="B1572" s="14">
        <f>CHAIN_RAW!B1572</f>
        <v/>
      </c>
      <c r="C1572" s="13">
        <f>CHAIN_RAW!C1572</f>
        <v/>
      </c>
      <c r="D1572" s="13">
        <f>CHAIN_RAW!D1572</f>
        <v/>
      </c>
      <c r="E1572" s="13">
        <f>CHAIN_RAW!E1572</f>
        <v/>
      </c>
      <c r="F1572" s="13">
        <f>IFERROR((E1572-D1572)/D1572,"")</f>
        <v/>
      </c>
      <c r="G1572" s="13">
        <f>IFERROR((CHAIN_RAW!K1572+CHAIN_RAW!L1572)/2,"")</f>
        <v/>
      </c>
      <c r="H1572" s="13">
        <f>IFERROR((CHAIN_RAW!R1572+CHAIN_RAW!S1572)/2,"")</f>
        <v/>
      </c>
      <c r="I1572" s="13">
        <f>IFERROR((CHAIN_RAW!L1572-CHAIN_RAW!K1572)/MAX(1E-9, G1572),"")</f>
        <v/>
      </c>
      <c r="J1572" s="13">
        <f>IFERROR((CHAIN_RAW!S1572-CHAIN_RAW!R1572)/MAX(1E-9, H1572),"")</f>
        <v/>
      </c>
      <c r="K1572" s="13">
        <f>CHAIN_RAW!G1572</f>
        <v/>
      </c>
      <c r="L1572" s="13">
        <f>CHAIN_RAW!N1572</f>
        <v/>
      </c>
      <c r="M1572" s="13">
        <f>IFERROR(L1572-K1572,"")</f>
        <v/>
      </c>
      <c r="N1572" s="13">
        <f>CHAIN_RAW!H1572</f>
        <v/>
      </c>
      <c r="O1572" s="13">
        <f>CHAIN_RAW!O1572</f>
        <v/>
      </c>
      <c r="P1572" s="13">
        <f>IFERROR(O1572/N1572,"")</f>
        <v/>
      </c>
      <c r="Q1572" s="13">
        <f>CHAIN_RAW!I1572</f>
        <v/>
      </c>
      <c r="R1572" s="13">
        <f>CHAIN_RAW!P1572</f>
        <v/>
      </c>
      <c r="S1572" s="13">
        <f>IFERROR(R1572/Q1572,"")</f>
        <v/>
      </c>
      <c r="T1572" s="13">
        <f>IFERROR((ABS(N1572-O1572)/MAX(1,(N1572+O1572)))*EXP(-ABS(E1572-CONTROL!E5)/MAX(1,CONTROL!B8)),"")</f>
        <v/>
      </c>
      <c r="U1572" s="13">
        <f>IFERROR(IF(O1572&gt;N1572,"SUPPORT (PE OI)","RESIST (CE OI)"),"")</f>
        <v/>
      </c>
      <c r="V1572" s="13">
        <f>IFERROR(IF(Q1572&gt;0,IF(R1572&gt;0,"BOTH_ADD","CE_ADD_PE_REDUCE"),IF(R1572&gt;0,"CE_REDUCE_PE_ADD","BOTH_REDUCE")),"")</f>
        <v/>
      </c>
      <c r="W1572" s="13">
        <f>IFERROR( (P1572-1)*0.5 + (M1572)*0.1 - (I1572+J1572)*0.05 + T1572*0.4 ,"")</f>
        <v/>
      </c>
      <c r="X1572" s="13">
        <f>IFERROR(IF(ABS(F1572)&lt;0.01,"ATM/NEAR",""),"")</f>
        <v/>
      </c>
    </row>
    <row r="1573">
      <c r="A1573" s="13">
        <f>CHAIN_RAW!A1573</f>
        <v/>
      </c>
      <c r="B1573" s="14">
        <f>CHAIN_RAW!B1573</f>
        <v/>
      </c>
      <c r="C1573" s="13">
        <f>CHAIN_RAW!C1573</f>
        <v/>
      </c>
      <c r="D1573" s="13">
        <f>CHAIN_RAW!D1573</f>
        <v/>
      </c>
      <c r="E1573" s="13">
        <f>CHAIN_RAW!E1573</f>
        <v/>
      </c>
      <c r="F1573" s="13">
        <f>IFERROR((E1573-D1573)/D1573,"")</f>
        <v/>
      </c>
      <c r="G1573" s="13">
        <f>IFERROR((CHAIN_RAW!K1573+CHAIN_RAW!L1573)/2,"")</f>
        <v/>
      </c>
      <c r="H1573" s="13">
        <f>IFERROR((CHAIN_RAW!R1573+CHAIN_RAW!S1573)/2,"")</f>
        <v/>
      </c>
      <c r="I1573" s="13">
        <f>IFERROR((CHAIN_RAW!L1573-CHAIN_RAW!K1573)/MAX(1E-9, G1573),"")</f>
        <v/>
      </c>
      <c r="J1573" s="13">
        <f>IFERROR((CHAIN_RAW!S1573-CHAIN_RAW!R1573)/MAX(1E-9, H1573),"")</f>
        <v/>
      </c>
      <c r="K1573" s="13">
        <f>CHAIN_RAW!G1573</f>
        <v/>
      </c>
      <c r="L1573" s="13">
        <f>CHAIN_RAW!N1573</f>
        <v/>
      </c>
      <c r="M1573" s="13">
        <f>IFERROR(L1573-K1573,"")</f>
        <v/>
      </c>
      <c r="N1573" s="13">
        <f>CHAIN_RAW!H1573</f>
        <v/>
      </c>
      <c r="O1573" s="13">
        <f>CHAIN_RAW!O1573</f>
        <v/>
      </c>
      <c r="P1573" s="13">
        <f>IFERROR(O1573/N1573,"")</f>
        <v/>
      </c>
      <c r="Q1573" s="13">
        <f>CHAIN_RAW!I1573</f>
        <v/>
      </c>
      <c r="R1573" s="13">
        <f>CHAIN_RAW!P1573</f>
        <v/>
      </c>
      <c r="S1573" s="13">
        <f>IFERROR(R1573/Q1573,"")</f>
        <v/>
      </c>
      <c r="T1573" s="13">
        <f>IFERROR((ABS(N1573-O1573)/MAX(1,(N1573+O1573)))*EXP(-ABS(E1573-CONTROL!E5)/MAX(1,CONTROL!B8)),"")</f>
        <v/>
      </c>
      <c r="U1573" s="13">
        <f>IFERROR(IF(O1573&gt;N1573,"SUPPORT (PE OI)","RESIST (CE OI)"),"")</f>
        <v/>
      </c>
      <c r="V1573" s="13">
        <f>IFERROR(IF(Q1573&gt;0,IF(R1573&gt;0,"BOTH_ADD","CE_ADD_PE_REDUCE"),IF(R1573&gt;0,"CE_REDUCE_PE_ADD","BOTH_REDUCE")),"")</f>
        <v/>
      </c>
      <c r="W1573" s="13">
        <f>IFERROR( (P1573-1)*0.5 + (M1573)*0.1 - (I1573+J1573)*0.05 + T1573*0.4 ,"")</f>
        <v/>
      </c>
      <c r="X1573" s="13">
        <f>IFERROR(IF(ABS(F1573)&lt;0.01,"ATM/NEAR",""),"")</f>
        <v/>
      </c>
    </row>
    <row r="1574">
      <c r="A1574" s="13">
        <f>CHAIN_RAW!A1574</f>
        <v/>
      </c>
      <c r="B1574" s="14">
        <f>CHAIN_RAW!B1574</f>
        <v/>
      </c>
      <c r="C1574" s="13">
        <f>CHAIN_RAW!C1574</f>
        <v/>
      </c>
      <c r="D1574" s="13">
        <f>CHAIN_RAW!D1574</f>
        <v/>
      </c>
      <c r="E1574" s="13">
        <f>CHAIN_RAW!E1574</f>
        <v/>
      </c>
      <c r="F1574" s="13">
        <f>IFERROR((E1574-D1574)/D1574,"")</f>
        <v/>
      </c>
      <c r="G1574" s="13">
        <f>IFERROR((CHAIN_RAW!K1574+CHAIN_RAW!L1574)/2,"")</f>
        <v/>
      </c>
      <c r="H1574" s="13">
        <f>IFERROR((CHAIN_RAW!R1574+CHAIN_RAW!S1574)/2,"")</f>
        <v/>
      </c>
      <c r="I1574" s="13">
        <f>IFERROR((CHAIN_RAW!L1574-CHAIN_RAW!K1574)/MAX(1E-9, G1574),"")</f>
        <v/>
      </c>
      <c r="J1574" s="13">
        <f>IFERROR((CHAIN_RAW!S1574-CHAIN_RAW!R1574)/MAX(1E-9, H1574),"")</f>
        <v/>
      </c>
      <c r="K1574" s="13">
        <f>CHAIN_RAW!G1574</f>
        <v/>
      </c>
      <c r="L1574" s="13">
        <f>CHAIN_RAW!N1574</f>
        <v/>
      </c>
      <c r="M1574" s="13">
        <f>IFERROR(L1574-K1574,"")</f>
        <v/>
      </c>
      <c r="N1574" s="13">
        <f>CHAIN_RAW!H1574</f>
        <v/>
      </c>
      <c r="O1574" s="13">
        <f>CHAIN_RAW!O1574</f>
        <v/>
      </c>
      <c r="P1574" s="13">
        <f>IFERROR(O1574/N1574,"")</f>
        <v/>
      </c>
      <c r="Q1574" s="13">
        <f>CHAIN_RAW!I1574</f>
        <v/>
      </c>
      <c r="R1574" s="13">
        <f>CHAIN_RAW!P1574</f>
        <v/>
      </c>
      <c r="S1574" s="13">
        <f>IFERROR(R1574/Q1574,"")</f>
        <v/>
      </c>
      <c r="T1574" s="13">
        <f>IFERROR((ABS(N1574-O1574)/MAX(1,(N1574+O1574)))*EXP(-ABS(E1574-CONTROL!E5)/MAX(1,CONTROL!B8)),"")</f>
        <v/>
      </c>
      <c r="U1574" s="13">
        <f>IFERROR(IF(O1574&gt;N1574,"SUPPORT (PE OI)","RESIST (CE OI)"),"")</f>
        <v/>
      </c>
      <c r="V1574" s="13">
        <f>IFERROR(IF(Q1574&gt;0,IF(R1574&gt;0,"BOTH_ADD","CE_ADD_PE_REDUCE"),IF(R1574&gt;0,"CE_REDUCE_PE_ADD","BOTH_REDUCE")),"")</f>
        <v/>
      </c>
      <c r="W1574" s="13">
        <f>IFERROR( (P1574-1)*0.5 + (M1574)*0.1 - (I1574+J1574)*0.05 + T1574*0.4 ,"")</f>
        <v/>
      </c>
      <c r="X1574" s="13">
        <f>IFERROR(IF(ABS(F1574)&lt;0.01,"ATM/NEAR",""),"")</f>
        <v/>
      </c>
    </row>
    <row r="1575">
      <c r="A1575" s="13">
        <f>CHAIN_RAW!A1575</f>
        <v/>
      </c>
      <c r="B1575" s="14">
        <f>CHAIN_RAW!B1575</f>
        <v/>
      </c>
      <c r="C1575" s="13">
        <f>CHAIN_RAW!C1575</f>
        <v/>
      </c>
      <c r="D1575" s="13">
        <f>CHAIN_RAW!D1575</f>
        <v/>
      </c>
      <c r="E1575" s="13">
        <f>CHAIN_RAW!E1575</f>
        <v/>
      </c>
      <c r="F1575" s="13">
        <f>IFERROR((E1575-D1575)/D1575,"")</f>
        <v/>
      </c>
      <c r="G1575" s="13">
        <f>IFERROR((CHAIN_RAW!K1575+CHAIN_RAW!L1575)/2,"")</f>
        <v/>
      </c>
      <c r="H1575" s="13">
        <f>IFERROR((CHAIN_RAW!R1575+CHAIN_RAW!S1575)/2,"")</f>
        <v/>
      </c>
      <c r="I1575" s="13">
        <f>IFERROR((CHAIN_RAW!L1575-CHAIN_RAW!K1575)/MAX(1E-9, G1575),"")</f>
        <v/>
      </c>
      <c r="J1575" s="13">
        <f>IFERROR((CHAIN_RAW!S1575-CHAIN_RAW!R1575)/MAX(1E-9, H1575),"")</f>
        <v/>
      </c>
      <c r="K1575" s="13">
        <f>CHAIN_RAW!G1575</f>
        <v/>
      </c>
      <c r="L1575" s="13">
        <f>CHAIN_RAW!N1575</f>
        <v/>
      </c>
      <c r="M1575" s="13">
        <f>IFERROR(L1575-K1575,"")</f>
        <v/>
      </c>
      <c r="N1575" s="13">
        <f>CHAIN_RAW!H1575</f>
        <v/>
      </c>
      <c r="O1575" s="13">
        <f>CHAIN_RAW!O1575</f>
        <v/>
      </c>
      <c r="P1575" s="13">
        <f>IFERROR(O1575/N1575,"")</f>
        <v/>
      </c>
      <c r="Q1575" s="13">
        <f>CHAIN_RAW!I1575</f>
        <v/>
      </c>
      <c r="R1575" s="13">
        <f>CHAIN_RAW!P1575</f>
        <v/>
      </c>
      <c r="S1575" s="13">
        <f>IFERROR(R1575/Q1575,"")</f>
        <v/>
      </c>
      <c r="T1575" s="13">
        <f>IFERROR((ABS(N1575-O1575)/MAX(1,(N1575+O1575)))*EXP(-ABS(E1575-CONTROL!E5)/MAX(1,CONTROL!B8)),"")</f>
        <v/>
      </c>
      <c r="U1575" s="13">
        <f>IFERROR(IF(O1575&gt;N1575,"SUPPORT (PE OI)","RESIST (CE OI)"),"")</f>
        <v/>
      </c>
      <c r="V1575" s="13">
        <f>IFERROR(IF(Q1575&gt;0,IF(R1575&gt;0,"BOTH_ADD","CE_ADD_PE_REDUCE"),IF(R1575&gt;0,"CE_REDUCE_PE_ADD","BOTH_REDUCE")),"")</f>
        <v/>
      </c>
      <c r="W1575" s="13">
        <f>IFERROR( (P1575-1)*0.5 + (M1575)*0.1 - (I1575+J1575)*0.05 + T1575*0.4 ,"")</f>
        <v/>
      </c>
      <c r="X1575" s="13">
        <f>IFERROR(IF(ABS(F1575)&lt;0.01,"ATM/NEAR",""),"")</f>
        <v/>
      </c>
    </row>
    <row r="1576">
      <c r="A1576" s="13">
        <f>CHAIN_RAW!A1576</f>
        <v/>
      </c>
      <c r="B1576" s="14">
        <f>CHAIN_RAW!B1576</f>
        <v/>
      </c>
      <c r="C1576" s="13">
        <f>CHAIN_RAW!C1576</f>
        <v/>
      </c>
      <c r="D1576" s="13">
        <f>CHAIN_RAW!D1576</f>
        <v/>
      </c>
      <c r="E1576" s="13">
        <f>CHAIN_RAW!E1576</f>
        <v/>
      </c>
      <c r="F1576" s="13">
        <f>IFERROR((E1576-D1576)/D1576,"")</f>
        <v/>
      </c>
      <c r="G1576" s="13">
        <f>IFERROR((CHAIN_RAW!K1576+CHAIN_RAW!L1576)/2,"")</f>
        <v/>
      </c>
      <c r="H1576" s="13">
        <f>IFERROR((CHAIN_RAW!R1576+CHAIN_RAW!S1576)/2,"")</f>
        <v/>
      </c>
      <c r="I1576" s="13">
        <f>IFERROR((CHAIN_RAW!L1576-CHAIN_RAW!K1576)/MAX(1E-9, G1576),"")</f>
        <v/>
      </c>
      <c r="J1576" s="13">
        <f>IFERROR((CHAIN_RAW!S1576-CHAIN_RAW!R1576)/MAX(1E-9, H1576),"")</f>
        <v/>
      </c>
      <c r="K1576" s="13">
        <f>CHAIN_RAW!G1576</f>
        <v/>
      </c>
      <c r="L1576" s="13">
        <f>CHAIN_RAW!N1576</f>
        <v/>
      </c>
      <c r="M1576" s="13">
        <f>IFERROR(L1576-K1576,"")</f>
        <v/>
      </c>
      <c r="N1576" s="13">
        <f>CHAIN_RAW!H1576</f>
        <v/>
      </c>
      <c r="O1576" s="13">
        <f>CHAIN_RAW!O1576</f>
        <v/>
      </c>
      <c r="P1576" s="13">
        <f>IFERROR(O1576/N1576,"")</f>
        <v/>
      </c>
      <c r="Q1576" s="13">
        <f>CHAIN_RAW!I1576</f>
        <v/>
      </c>
      <c r="R1576" s="13">
        <f>CHAIN_RAW!P1576</f>
        <v/>
      </c>
      <c r="S1576" s="13">
        <f>IFERROR(R1576/Q1576,"")</f>
        <v/>
      </c>
      <c r="T1576" s="13">
        <f>IFERROR((ABS(N1576-O1576)/MAX(1,(N1576+O1576)))*EXP(-ABS(E1576-CONTROL!E5)/MAX(1,CONTROL!B8)),"")</f>
        <v/>
      </c>
      <c r="U1576" s="13">
        <f>IFERROR(IF(O1576&gt;N1576,"SUPPORT (PE OI)","RESIST (CE OI)"),"")</f>
        <v/>
      </c>
      <c r="V1576" s="13">
        <f>IFERROR(IF(Q1576&gt;0,IF(R1576&gt;0,"BOTH_ADD","CE_ADD_PE_REDUCE"),IF(R1576&gt;0,"CE_REDUCE_PE_ADD","BOTH_REDUCE")),"")</f>
        <v/>
      </c>
      <c r="W1576" s="13">
        <f>IFERROR( (P1576-1)*0.5 + (M1576)*0.1 - (I1576+J1576)*0.05 + T1576*0.4 ,"")</f>
        <v/>
      </c>
      <c r="X1576" s="13">
        <f>IFERROR(IF(ABS(F1576)&lt;0.01,"ATM/NEAR",""),"")</f>
        <v/>
      </c>
    </row>
    <row r="1577">
      <c r="A1577" s="13">
        <f>CHAIN_RAW!A1577</f>
        <v/>
      </c>
      <c r="B1577" s="14">
        <f>CHAIN_RAW!B1577</f>
        <v/>
      </c>
      <c r="C1577" s="13">
        <f>CHAIN_RAW!C1577</f>
        <v/>
      </c>
      <c r="D1577" s="13">
        <f>CHAIN_RAW!D1577</f>
        <v/>
      </c>
      <c r="E1577" s="13">
        <f>CHAIN_RAW!E1577</f>
        <v/>
      </c>
      <c r="F1577" s="13">
        <f>IFERROR((E1577-D1577)/D1577,"")</f>
        <v/>
      </c>
      <c r="G1577" s="13">
        <f>IFERROR((CHAIN_RAW!K1577+CHAIN_RAW!L1577)/2,"")</f>
        <v/>
      </c>
      <c r="H1577" s="13">
        <f>IFERROR((CHAIN_RAW!R1577+CHAIN_RAW!S1577)/2,"")</f>
        <v/>
      </c>
      <c r="I1577" s="13">
        <f>IFERROR((CHAIN_RAW!L1577-CHAIN_RAW!K1577)/MAX(1E-9, G1577),"")</f>
        <v/>
      </c>
      <c r="J1577" s="13">
        <f>IFERROR((CHAIN_RAW!S1577-CHAIN_RAW!R1577)/MAX(1E-9, H1577),"")</f>
        <v/>
      </c>
      <c r="K1577" s="13">
        <f>CHAIN_RAW!G1577</f>
        <v/>
      </c>
      <c r="L1577" s="13">
        <f>CHAIN_RAW!N1577</f>
        <v/>
      </c>
      <c r="M1577" s="13">
        <f>IFERROR(L1577-K1577,"")</f>
        <v/>
      </c>
      <c r="N1577" s="13">
        <f>CHAIN_RAW!H1577</f>
        <v/>
      </c>
      <c r="O1577" s="13">
        <f>CHAIN_RAW!O1577</f>
        <v/>
      </c>
      <c r="P1577" s="13">
        <f>IFERROR(O1577/N1577,"")</f>
        <v/>
      </c>
      <c r="Q1577" s="13">
        <f>CHAIN_RAW!I1577</f>
        <v/>
      </c>
      <c r="R1577" s="13">
        <f>CHAIN_RAW!P1577</f>
        <v/>
      </c>
      <c r="S1577" s="13">
        <f>IFERROR(R1577/Q1577,"")</f>
        <v/>
      </c>
      <c r="T1577" s="13">
        <f>IFERROR((ABS(N1577-O1577)/MAX(1,(N1577+O1577)))*EXP(-ABS(E1577-CONTROL!E5)/MAX(1,CONTROL!B8)),"")</f>
        <v/>
      </c>
      <c r="U1577" s="13">
        <f>IFERROR(IF(O1577&gt;N1577,"SUPPORT (PE OI)","RESIST (CE OI)"),"")</f>
        <v/>
      </c>
      <c r="V1577" s="13">
        <f>IFERROR(IF(Q1577&gt;0,IF(R1577&gt;0,"BOTH_ADD","CE_ADD_PE_REDUCE"),IF(R1577&gt;0,"CE_REDUCE_PE_ADD","BOTH_REDUCE")),"")</f>
        <v/>
      </c>
      <c r="W1577" s="13">
        <f>IFERROR( (P1577-1)*0.5 + (M1577)*0.1 - (I1577+J1577)*0.05 + T1577*0.4 ,"")</f>
        <v/>
      </c>
      <c r="X1577" s="13">
        <f>IFERROR(IF(ABS(F1577)&lt;0.01,"ATM/NEAR",""),"")</f>
        <v/>
      </c>
    </row>
    <row r="1578">
      <c r="A1578" s="13">
        <f>CHAIN_RAW!A1578</f>
        <v/>
      </c>
      <c r="B1578" s="14">
        <f>CHAIN_RAW!B1578</f>
        <v/>
      </c>
      <c r="C1578" s="13">
        <f>CHAIN_RAW!C1578</f>
        <v/>
      </c>
      <c r="D1578" s="13">
        <f>CHAIN_RAW!D1578</f>
        <v/>
      </c>
      <c r="E1578" s="13">
        <f>CHAIN_RAW!E1578</f>
        <v/>
      </c>
      <c r="F1578" s="13">
        <f>IFERROR((E1578-D1578)/D1578,"")</f>
        <v/>
      </c>
      <c r="G1578" s="13">
        <f>IFERROR((CHAIN_RAW!K1578+CHAIN_RAW!L1578)/2,"")</f>
        <v/>
      </c>
      <c r="H1578" s="13">
        <f>IFERROR((CHAIN_RAW!R1578+CHAIN_RAW!S1578)/2,"")</f>
        <v/>
      </c>
      <c r="I1578" s="13">
        <f>IFERROR((CHAIN_RAW!L1578-CHAIN_RAW!K1578)/MAX(1E-9, G1578),"")</f>
        <v/>
      </c>
      <c r="J1578" s="13">
        <f>IFERROR((CHAIN_RAW!S1578-CHAIN_RAW!R1578)/MAX(1E-9, H1578),"")</f>
        <v/>
      </c>
      <c r="K1578" s="13">
        <f>CHAIN_RAW!G1578</f>
        <v/>
      </c>
      <c r="L1578" s="13">
        <f>CHAIN_RAW!N1578</f>
        <v/>
      </c>
      <c r="M1578" s="13">
        <f>IFERROR(L1578-K1578,"")</f>
        <v/>
      </c>
      <c r="N1578" s="13">
        <f>CHAIN_RAW!H1578</f>
        <v/>
      </c>
      <c r="O1578" s="13">
        <f>CHAIN_RAW!O1578</f>
        <v/>
      </c>
      <c r="P1578" s="13">
        <f>IFERROR(O1578/N1578,"")</f>
        <v/>
      </c>
      <c r="Q1578" s="13">
        <f>CHAIN_RAW!I1578</f>
        <v/>
      </c>
      <c r="R1578" s="13">
        <f>CHAIN_RAW!P1578</f>
        <v/>
      </c>
      <c r="S1578" s="13">
        <f>IFERROR(R1578/Q1578,"")</f>
        <v/>
      </c>
      <c r="T1578" s="13">
        <f>IFERROR((ABS(N1578-O1578)/MAX(1,(N1578+O1578)))*EXP(-ABS(E1578-CONTROL!E5)/MAX(1,CONTROL!B8)),"")</f>
        <v/>
      </c>
      <c r="U1578" s="13">
        <f>IFERROR(IF(O1578&gt;N1578,"SUPPORT (PE OI)","RESIST (CE OI)"),"")</f>
        <v/>
      </c>
      <c r="V1578" s="13">
        <f>IFERROR(IF(Q1578&gt;0,IF(R1578&gt;0,"BOTH_ADD","CE_ADD_PE_REDUCE"),IF(R1578&gt;0,"CE_REDUCE_PE_ADD","BOTH_REDUCE")),"")</f>
        <v/>
      </c>
      <c r="W1578" s="13">
        <f>IFERROR( (P1578-1)*0.5 + (M1578)*0.1 - (I1578+J1578)*0.05 + T1578*0.4 ,"")</f>
        <v/>
      </c>
      <c r="X1578" s="13">
        <f>IFERROR(IF(ABS(F1578)&lt;0.01,"ATM/NEAR",""),"")</f>
        <v/>
      </c>
    </row>
    <row r="1579">
      <c r="A1579" s="13">
        <f>CHAIN_RAW!A1579</f>
        <v/>
      </c>
      <c r="B1579" s="14">
        <f>CHAIN_RAW!B1579</f>
        <v/>
      </c>
      <c r="C1579" s="13">
        <f>CHAIN_RAW!C1579</f>
        <v/>
      </c>
      <c r="D1579" s="13">
        <f>CHAIN_RAW!D1579</f>
        <v/>
      </c>
      <c r="E1579" s="13">
        <f>CHAIN_RAW!E1579</f>
        <v/>
      </c>
      <c r="F1579" s="13">
        <f>IFERROR((E1579-D1579)/D1579,"")</f>
        <v/>
      </c>
      <c r="G1579" s="13">
        <f>IFERROR((CHAIN_RAW!K1579+CHAIN_RAW!L1579)/2,"")</f>
        <v/>
      </c>
      <c r="H1579" s="13">
        <f>IFERROR((CHAIN_RAW!R1579+CHAIN_RAW!S1579)/2,"")</f>
        <v/>
      </c>
      <c r="I1579" s="13">
        <f>IFERROR((CHAIN_RAW!L1579-CHAIN_RAW!K1579)/MAX(1E-9, G1579),"")</f>
        <v/>
      </c>
      <c r="J1579" s="13">
        <f>IFERROR((CHAIN_RAW!S1579-CHAIN_RAW!R1579)/MAX(1E-9, H1579),"")</f>
        <v/>
      </c>
      <c r="K1579" s="13">
        <f>CHAIN_RAW!G1579</f>
        <v/>
      </c>
      <c r="L1579" s="13">
        <f>CHAIN_RAW!N1579</f>
        <v/>
      </c>
      <c r="M1579" s="13">
        <f>IFERROR(L1579-K1579,"")</f>
        <v/>
      </c>
      <c r="N1579" s="13">
        <f>CHAIN_RAW!H1579</f>
        <v/>
      </c>
      <c r="O1579" s="13">
        <f>CHAIN_RAW!O1579</f>
        <v/>
      </c>
      <c r="P1579" s="13">
        <f>IFERROR(O1579/N1579,"")</f>
        <v/>
      </c>
      <c r="Q1579" s="13">
        <f>CHAIN_RAW!I1579</f>
        <v/>
      </c>
      <c r="R1579" s="13">
        <f>CHAIN_RAW!P1579</f>
        <v/>
      </c>
      <c r="S1579" s="13">
        <f>IFERROR(R1579/Q1579,"")</f>
        <v/>
      </c>
      <c r="T1579" s="13">
        <f>IFERROR((ABS(N1579-O1579)/MAX(1,(N1579+O1579)))*EXP(-ABS(E1579-CONTROL!E5)/MAX(1,CONTROL!B8)),"")</f>
        <v/>
      </c>
      <c r="U1579" s="13">
        <f>IFERROR(IF(O1579&gt;N1579,"SUPPORT (PE OI)","RESIST (CE OI)"),"")</f>
        <v/>
      </c>
      <c r="V1579" s="13">
        <f>IFERROR(IF(Q1579&gt;0,IF(R1579&gt;0,"BOTH_ADD","CE_ADD_PE_REDUCE"),IF(R1579&gt;0,"CE_REDUCE_PE_ADD","BOTH_REDUCE")),"")</f>
        <v/>
      </c>
      <c r="W1579" s="13">
        <f>IFERROR( (P1579-1)*0.5 + (M1579)*0.1 - (I1579+J1579)*0.05 + T1579*0.4 ,"")</f>
        <v/>
      </c>
      <c r="X1579" s="13">
        <f>IFERROR(IF(ABS(F1579)&lt;0.01,"ATM/NEAR",""),"")</f>
        <v/>
      </c>
    </row>
    <row r="1580">
      <c r="A1580" s="13">
        <f>CHAIN_RAW!A1580</f>
        <v/>
      </c>
      <c r="B1580" s="14">
        <f>CHAIN_RAW!B1580</f>
        <v/>
      </c>
      <c r="C1580" s="13">
        <f>CHAIN_RAW!C1580</f>
        <v/>
      </c>
      <c r="D1580" s="13">
        <f>CHAIN_RAW!D1580</f>
        <v/>
      </c>
      <c r="E1580" s="13">
        <f>CHAIN_RAW!E1580</f>
        <v/>
      </c>
      <c r="F1580" s="13">
        <f>IFERROR((E1580-D1580)/D1580,"")</f>
        <v/>
      </c>
      <c r="G1580" s="13">
        <f>IFERROR((CHAIN_RAW!K1580+CHAIN_RAW!L1580)/2,"")</f>
        <v/>
      </c>
      <c r="H1580" s="13">
        <f>IFERROR((CHAIN_RAW!R1580+CHAIN_RAW!S1580)/2,"")</f>
        <v/>
      </c>
      <c r="I1580" s="13">
        <f>IFERROR((CHAIN_RAW!L1580-CHAIN_RAW!K1580)/MAX(1E-9, G1580),"")</f>
        <v/>
      </c>
      <c r="J1580" s="13">
        <f>IFERROR((CHAIN_RAW!S1580-CHAIN_RAW!R1580)/MAX(1E-9, H1580),"")</f>
        <v/>
      </c>
      <c r="K1580" s="13">
        <f>CHAIN_RAW!G1580</f>
        <v/>
      </c>
      <c r="L1580" s="13">
        <f>CHAIN_RAW!N1580</f>
        <v/>
      </c>
      <c r="M1580" s="13">
        <f>IFERROR(L1580-K1580,"")</f>
        <v/>
      </c>
      <c r="N1580" s="13">
        <f>CHAIN_RAW!H1580</f>
        <v/>
      </c>
      <c r="O1580" s="13">
        <f>CHAIN_RAW!O1580</f>
        <v/>
      </c>
      <c r="P1580" s="13">
        <f>IFERROR(O1580/N1580,"")</f>
        <v/>
      </c>
      <c r="Q1580" s="13">
        <f>CHAIN_RAW!I1580</f>
        <v/>
      </c>
      <c r="R1580" s="13">
        <f>CHAIN_RAW!P1580</f>
        <v/>
      </c>
      <c r="S1580" s="13">
        <f>IFERROR(R1580/Q1580,"")</f>
        <v/>
      </c>
      <c r="T1580" s="13">
        <f>IFERROR((ABS(N1580-O1580)/MAX(1,(N1580+O1580)))*EXP(-ABS(E1580-CONTROL!E5)/MAX(1,CONTROL!B8)),"")</f>
        <v/>
      </c>
      <c r="U1580" s="13">
        <f>IFERROR(IF(O1580&gt;N1580,"SUPPORT (PE OI)","RESIST (CE OI)"),"")</f>
        <v/>
      </c>
      <c r="V1580" s="13">
        <f>IFERROR(IF(Q1580&gt;0,IF(R1580&gt;0,"BOTH_ADD","CE_ADD_PE_REDUCE"),IF(R1580&gt;0,"CE_REDUCE_PE_ADD","BOTH_REDUCE")),"")</f>
        <v/>
      </c>
      <c r="W1580" s="13">
        <f>IFERROR( (P1580-1)*0.5 + (M1580)*0.1 - (I1580+J1580)*0.05 + T1580*0.4 ,"")</f>
        <v/>
      </c>
      <c r="X1580" s="13">
        <f>IFERROR(IF(ABS(F1580)&lt;0.01,"ATM/NEAR",""),"")</f>
        <v/>
      </c>
    </row>
    <row r="1581">
      <c r="A1581" s="13">
        <f>CHAIN_RAW!A1581</f>
        <v/>
      </c>
      <c r="B1581" s="14">
        <f>CHAIN_RAW!B1581</f>
        <v/>
      </c>
      <c r="C1581" s="13">
        <f>CHAIN_RAW!C1581</f>
        <v/>
      </c>
      <c r="D1581" s="13">
        <f>CHAIN_RAW!D1581</f>
        <v/>
      </c>
      <c r="E1581" s="13">
        <f>CHAIN_RAW!E1581</f>
        <v/>
      </c>
      <c r="F1581" s="13">
        <f>IFERROR((E1581-D1581)/D1581,"")</f>
        <v/>
      </c>
      <c r="G1581" s="13">
        <f>IFERROR((CHAIN_RAW!K1581+CHAIN_RAW!L1581)/2,"")</f>
        <v/>
      </c>
      <c r="H1581" s="13">
        <f>IFERROR((CHAIN_RAW!R1581+CHAIN_RAW!S1581)/2,"")</f>
        <v/>
      </c>
      <c r="I1581" s="13">
        <f>IFERROR((CHAIN_RAW!L1581-CHAIN_RAW!K1581)/MAX(1E-9, G1581),"")</f>
        <v/>
      </c>
      <c r="J1581" s="13">
        <f>IFERROR((CHAIN_RAW!S1581-CHAIN_RAW!R1581)/MAX(1E-9, H1581),"")</f>
        <v/>
      </c>
      <c r="K1581" s="13">
        <f>CHAIN_RAW!G1581</f>
        <v/>
      </c>
      <c r="L1581" s="13">
        <f>CHAIN_RAW!N1581</f>
        <v/>
      </c>
      <c r="M1581" s="13">
        <f>IFERROR(L1581-K1581,"")</f>
        <v/>
      </c>
      <c r="N1581" s="13">
        <f>CHAIN_RAW!H1581</f>
        <v/>
      </c>
      <c r="O1581" s="13">
        <f>CHAIN_RAW!O1581</f>
        <v/>
      </c>
      <c r="P1581" s="13">
        <f>IFERROR(O1581/N1581,"")</f>
        <v/>
      </c>
      <c r="Q1581" s="13">
        <f>CHAIN_RAW!I1581</f>
        <v/>
      </c>
      <c r="R1581" s="13">
        <f>CHAIN_RAW!P1581</f>
        <v/>
      </c>
      <c r="S1581" s="13">
        <f>IFERROR(R1581/Q1581,"")</f>
        <v/>
      </c>
      <c r="T1581" s="13">
        <f>IFERROR((ABS(N1581-O1581)/MAX(1,(N1581+O1581)))*EXP(-ABS(E1581-CONTROL!E5)/MAX(1,CONTROL!B8)),"")</f>
        <v/>
      </c>
      <c r="U1581" s="13">
        <f>IFERROR(IF(O1581&gt;N1581,"SUPPORT (PE OI)","RESIST (CE OI)"),"")</f>
        <v/>
      </c>
      <c r="V1581" s="13">
        <f>IFERROR(IF(Q1581&gt;0,IF(R1581&gt;0,"BOTH_ADD","CE_ADD_PE_REDUCE"),IF(R1581&gt;0,"CE_REDUCE_PE_ADD","BOTH_REDUCE")),"")</f>
        <v/>
      </c>
      <c r="W1581" s="13">
        <f>IFERROR( (P1581-1)*0.5 + (M1581)*0.1 - (I1581+J1581)*0.05 + T1581*0.4 ,"")</f>
        <v/>
      </c>
      <c r="X1581" s="13">
        <f>IFERROR(IF(ABS(F1581)&lt;0.01,"ATM/NEAR",""),"")</f>
        <v/>
      </c>
    </row>
    <row r="1582">
      <c r="A1582" s="13">
        <f>CHAIN_RAW!A1582</f>
        <v/>
      </c>
      <c r="B1582" s="14">
        <f>CHAIN_RAW!B1582</f>
        <v/>
      </c>
      <c r="C1582" s="13">
        <f>CHAIN_RAW!C1582</f>
        <v/>
      </c>
      <c r="D1582" s="13">
        <f>CHAIN_RAW!D1582</f>
        <v/>
      </c>
      <c r="E1582" s="13">
        <f>CHAIN_RAW!E1582</f>
        <v/>
      </c>
      <c r="F1582" s="13">
        <f>IFERROR((E1582-D1582)/D1582,"")</f>
        <v/>
      </c>
      <c r="G1582" s="13">
        <f>IFERROR((CHAIN_RAW!K1582+CHAIN_RAW!L1582)/2,"")</f>
        <v/>
      </c>
      <c r="H1582" s="13">
        <f>IFERROR((CHAIN_RAW!R1582+CHAIN_RAW!S1582)/2,"")</f>
        <v/>
      </c>
      <c r="I1582" s="13">
        <f>IFERROR((CHAIN_RAW!L1582-CHAIN_RAW!K1582)/MAX(1E-9, G1582),"")</f>
        <v/>
      </c>
      <c r="J1582" s="13">
        <f>IFERROR((CHAIN_RAW!S1582-CHAIN_RAW!R1582)/MAX(1E-9, H1582),"")</f>
        <v/>
      </c>
      <c r="K1582" s="13">
        <f>CHAIN_RAW!G1582</f>
        <v/>
      </c>
      <c r="L1582" s="13">
        <f>CHAIN_RAW!N1582</f>
        <v/>
      </c>
      <c r="M1582" s="13">
        <f>IFERROR(L1582-K1582,"")</f>
        <v/>
      </c>
      <c r="N1582" s="13">
        <f>CHAIN_RAW!H1582</f>
        <v/>
      </c>
      <c r="O1582" s="13">
        <f>CHAIN_RAW!O1582</f>
        <v/>
      </c>
      <c r="P1582" s="13">
        <f>IFERROR(O1582/N1582,"")</f>
        <v/>
      </c>
      <c r="Q1582" s="13">
        <f>CHAIN_RAW!I1582</f>
        <v/>
      </c>
      <c r="R1582" s="13">
        <f>CHAIN_RAW!P1582</f>
        <v/>
      </c>
      <c r="S1582" s="13">
        <f>IFERROR(R1582/Q1582,"")</f>
        <v/>
      </c>
      <c r="T1582" s="13">
        <f>IFERROR((ABS(N1582-O1582)/MAX(1,(N1582+O1582)))*EXP(-ABS(E1582-CONTROL!E5)/MAX(1,CONTROL!B8)),"")</f>
        <v/>
      </c>
      <c r="U1582" s="13">
        <f>IFERROR(IF(O1582&gt;N1582,"SUPPORT (PE OI)","RESIST (CE OI)"),"")</f>
        <v/>
      </c>
      <c r="V1582" s="13">
        <f>IFERROR(IF(Q1582&gt;0,IF(R1582&gt;0,"BOTH_ADD","CE_ADD_PE_REDUCE"),IF(R1582&gt;0,"CE_REDUCE_PE_ADD","BOTH_REDUCE")),"")</f>
        <v/>
      </c>
      <c r="W1582" s="13">
        <f>IFERROR( (P1582-1)*0.5 + (M1582)*0.1 - (I1582+J1582)*0.05 + T1582*0.4 ,"")</f>
        <v/>
      </c>
      <c r="X1582" s="13">
        <f>IFERROR(IF(ABS(F1582)&lt;0.01,"ATM/NEAR",""),"")</f>
        <v/>
      </c>
    </row>
    <row r="1583">
      <c r="A1583" s="13">
        <f>CHAIN_RAW!A1583</f>
        <v/>
      </c>
      <c r="B1583" s="14">
        <f>CHAIN_RAW!B1583</f>
        <v/>
      </c>
      <c r="C1583" s="13">
        <f>CHAIN_RAW!C1583</f>
        <v/>
      </c>
      <c r="D1583" s="13">
        <f>CHAIN_RAW!D1583</f>
        <v/>
      </c>
      <c r="E1583" s="13">
        <f>CHAIN_RAW!E1583</f>
        <v/>
      </c>
      <c r="F1583" s="13">
        <f>IFERROR((E1583-D1583)/D1583,"")</f>
        <v/>
      </c>
      <c r="G1583" s="13">
        <f>IFERROR((CHAIN_RAW!K1583+CHAIN_RAW!L1583)/2,"")</f>
        <v/>
      </c>
      <c r="H1583" s="13">
        <f>IFERROR((CHAIN_RAW!R1583+CHAIN_RAW!S1583)/2,"")</f>
        <v/>
      </c>
      <c r="I1583" s="13">
        <f>IFERROR((CHAIN_RAW!L1583-CHAIN_RAW!K1583)/MAX(1E-9, G1583),"")</f>
        <v/>
      </c>
      <c r="J1583" s="13">
        <f>IFERROR((CHAIN_RAW!S1583-CHAIN_RAW!R1583)/MAX(1E-9, H1583),"")</f>
        <v/>
      </c>
      <c r="K1583" s="13">
        <f>CHAIN_RAW!G1583</f>
        <v/>
      </c>
      <c r="L1583" s="13">
        <f>CHAIN_RAW!N1583</f>
        <v/>
      </c>
      <c r="M1583" s="13">
        <f>IFERROR(L1583-K1583,"")</f>
        <v/>
      </c>
      <c r="N1583" s="13">
        <f>CHAIN_RAW!H1583</f>
        <v/>
      </c>
      <c r="O1583" s="13">
        <f>CHAIN_RAW!O1583</f>
        <v/>
      </c>
      <c r="P1583" s="13">
        <f>IFERROR(O1583/N1583,"")</f>
        <v/>
      </c>
      <c r="Q1583" s="13">
        <f>CHAIN_RAW!I1583</f>
        <v/>
      </c>
      <c r="R1583" s="13">
        <f>CHAIN_RAW!P1583</f>
        <v/>
      </c>
      <c r="S1583" s="13">
        <f>IFERROR(R1583/Q1583,"")</f>
        <v/>
      </c>
      <c r="T1583" s="13">
        <f>IFERROR((ABS(N1583-O1583)/MAX(1,(N1583+O1583)))*EXP(-ABS(E1583-CONTROL!E5)/MAX(1,CONTROL!B8)),"")</f>
        <v/>
      </c>
      <c r="U1583" s="13">
        <f>IFERROR(IF(O1583&gt;N1583,"SUPPORT (PE OI)","RESIST (CE OI)"),"")</f>
        <v/>
      </c>
      <c r="V1583" s="13">
        <f>IFERROR(IF(Q1583&gt;0,IF(R1583&gt;0,"BOTH_ADD","CE_ADD_PE_REDUCE"),IF(R1583&gt;0,"CE_REDUCE_PE_ADD","BOTH_REDUCE")),"")</f>
        <v/>
      </c>
      <c r="W1583" s="13">
        <f>IFERROR( (P1583-1)*0.5 + (M1583)*0.1 - (I1583+J1583)*0.05 + T1583*0.4 ,"")</f>
        <v/>
      </c>
      <c r="X1583" s="13">
        <f>IFERROR(IF(ABS(F1583)&lt;0.01,"ATM/NEAR",""),"")</f>
        <v/>
      </c>
    </row>
    <row r="1584">
      <c r="A1584" s="13">
        <f>CHAIN_RAW!A1584</f>
        <v/>
      </c>
      <c r="B1584" s="14">
        <f>CHAIN_RAW!B1584</f>
        <v/>
      </c>
      <c r="C1584" s="13">
        <f>CHAIN_RAW!C1584</f>
        <v/>
      </c>
      <c r="D1584" s="13">
        <f>CHAIN_RAW!D1584</f>
        <v/>
      </c>
      <c r="E1584" s="13">
        <f>CHAIN_RAW!E1584</f>
        <v/>
      </c>
      <c r="F1584" s="13">
        <f>IFERROR((E1584-D1584)/D1584,"")</f>
        <v/>
      </c>
      <c r="G1584" s="13">
        <f>IFERROR((CHAIN_RAW!K1584+CHAIN_RAW!L1584)/2,"")</f>
        <v/>
      </c>
      <c r="H1584" s="13">
        <f>IFERROR((CHAIN_RAW!R1584+CHAIN_RAW!S1584)/2,"")</f>
        <v/>
      </c>
      <c r="I1584" s="13">
        <f>IFERROR((CHAIN_RAW!L1584-CHAIN_RAW!K1584)/MAX(1E-9, G1584),"")</f>
        <v/>
      </c>
      <c r="J1584" s="13">
        <f>IFERROR((CHAIN_RAW!S1584-CHAIN_RAW!R1584)/MAX(1E-9, H1584),"")</f>
        <v/>
      </c>
      <c r="K1584" s="13">
        <f>CHAIN_RAW!G1584</f>
        <v/>
      </c>
      <c r="L1584" s="13">
        <f>CHAIN_RAW!N1584</f>
        <v/>
      </c>
      <c r="M1584" s="13">
        <f>IFERROR(L1584-K1584,"")</f>
        <v/>
      </c>
      <c r="N1584" s="13">
        <f>CHAIN_RAW!H1584</f>
        <v/>
      </c>
      <c r="O1584" s="13">
        <f>CHAIN_RAW!O1584</f>
        <v/>
      </c>
      <c r="P1584" s="13">
        <f>IFERROR(O1584/N1584,"")</f>
        <v/>
      </c>
      <c r="Q1584" s="13">
        <f>CHAIN_RAW!I1584</f>
        <v/>
      </c>
      <c r="R1584" s="13">
        <f>CHAIN_RAW!P1584</f>
        <v/>
      </c>
      <c r="S1584" s="13">
        <f>IFERROR(R1584/Q1584,"")</f>
        <v/>
      </c>
      <c r="T1584" s="13">
        <f>IFERROR((ABS(N1584-O1584)/MAX(1,(N1584+O1584)))*EXP(-ABS(E1584-CONTROL!E5)/MAX(1,CONTROL!B8)),"")</f>
        <v/>
      </c>
      <c r="U1584" s="13">
        <f>IFERROR(IF(O1584&gt;N1584,"SUPPORT (PE OI)","RESIST (CE OI)"),"")</f>
        <v/>
      </c>
      <c r="V1584" s="13">
        <f>IFERROR(IF(Q1584&gt;0,IF(R1584&gt;0,"BOTH_ADD","CE_ADD_PE_REDUCE"),IF(R1584&gt;0,"CE_REDUCE_PE_ADD","BOTH_REDUCE")),"")</f>
        <v/>
      </c>
      <c r="W1584" s="13">
        <f>IFERROR( (P1584-1)*0.5 + (M1584)*0.1 - (I1584+J1584)*0.05 + T1584*0.4 ,"")</f>
        <v/>
      </c>
      <c r="X1584" s="13">
        <f>IFERROR(IF(ABS(F1584)&lt;0.01,"ATM/NEAR",""),"")</f>
        <v/>
      </c>
    </row>
    <row r="1585">
      <c r="A1585" s="13">
        <f>CHAIN_RAW!A1585</f>
        <v/>
      </c>
      <c r="B1585" s="14">
        <f>CHAIN_RAW!B1585</f>
        <v/>
      </c>
      <c r="C1585" s="13">
        <f>CHAIN_RAW!C1585</f>
        <v/>
      </c>
      <c r="D1585" s="13">
        <f>CHAIN_RAW!D1585</f>
        <v/>
      </c>
      <c r="E1585" s="13">
        <f>CHAIN_RAW!E1585</f>
        <v/>
      </c>
      <c r="F1585" s="13">
        <f>IFERROR((E1585-D1585)/D1585,"")</f>
        <v/>
      </c>
      <c r="G1585" s="13">
        <f>IFERROR((CHAIN_RAW!K1585+CHAIN_RAW!L1585)/2,"")</f>
        <v/>
      </c>
      <c r="H1585" s="13">
        <f>IFERROR((CHAIN_RAW!R1585+CHAIN_RAW!S1585)/2,"")</f>
        <v/>
      </c>
      <c r="I1585" s="13">
        <f>IFERROR((CHAIN_RAW!L1585-CHAIN_RAW!K1585)/MAX(1E-9, G1585),"")</f>
        <v/>
      </c>
      <c r="J1585" s="13">
        <f>IFERROR((CHAIN_RAW!S1585-CHAIN_RAW!R1585)/MAX(1E-9, H1585),"")</f>
        <v/>
      </c>
      <c r="K1585" s="13">
        <f>CHAIN_RAW!G1585</f>
        <v/>
      </c>
      <c r="L1585" s="13">
        <f>CHAIN_RAW!N1585</f>
        <v/>
      </c>
      <c r="M1585" s="13">
        <f>IFERROR(L1585-K1585,"")</f>
        <v/>
      </c>
      <c r="N1585" s="13">
        <f>CHAIN_RAW!H1585</f>
        <v/>
      </c>
      <c r="O1585" s="13">
        <f>CHAIN_RAW!O1585</f>
        <v/>
      </c>
      <c r="P1585" s="13">
        <f>IFERROR(O1585/N1585,"")</f>
        <v/>
      </c>
      <c r="Q1585" s="13">
        <f>CHAIN_RAW!I1585</f>
        <v/>
      </c>
      <c r="R1585" s="13">
        <f>CHAIN_RAW!P1585</f>
        <v/>
      </c>
      <c r="S1585" s="13">
        <f>IFERROR(R1585/Q1585,"")</f>
        <v/>
      </c>
      <c r="T1585" s="13">
        <f>IFERROR((ABS(N1585-O1585)/MAX(1,(N1585+O1585)))*EXP(-ABS(E1585-CONTROL!E5)/MAX(1,CONTROL!B8)),"")</f>
        <v/>
      </c>
      <c r="U1585" s="13">
        <f>IFERROR(IF(O1585&gt;N1585,"SUPPORT (PE OI)","RESIST (CE OI)"),"")</f>
        <v/>
      </c>
      <c r="V1585" s="13">
        <f>IFERROR(IF(Q1585&gt;0,IF(R1585&gt;0,"BOTH_ADD","CE_ADD_PE_REDUCE"),IF(R1585&gt;0,"CE_REDUCE_PE_ADD","BOTH_REDUCE")),"")</f>
        <v/>
      </c>
      <c r="W1585" s="13">
        <f>IFERROR( (P1585-1)*0.5 + (M1585)*0.1 - (I1585+J1585)*0.05 + T1585*0.4 ,"")</f>
        <v/>
      </c>
      <c r="X1585" s="13">
        <f>IFERROR(IF(ABS(F1585)&lt;0.01,"ATM/NEAR",""),"")</f>
        <v/>
      </c>
    </row>
    <row r="1586">
      <c r="A1586" s="13">
        <f>CHAIN_RAW!A1586</f>
        <v/>
      </c>
      <c r="B1586" s="14">
        <f>CHAIN_RAW!B1586</f>
        <v/>
      </c>
      <c r="C1586" s="13">
        <f>CHAIN_RAW!C1586</f>
        <v/>
      </c>
      <c r="D1586" s="13">
        <f>CHAIN_RAW!D1586</f>
        <v/>
      </c>
      <c r="E1586" s="13">
        <f>CHAIN_RAW!E1586</f>
        <v/>
      </c>
      <c r="F1586" s="13">
        <f>IFERROR((E1586-D1586)/D1586,"")</f>
        <v/>
      </c>
      <c r="G1586" s="13">
        <f>IFERROR((CHAIN_RAW!K1586+CHAIN_RAW!L1586)/2,"")</f>
        <v/>
      </c>
      <c r="H1586" s="13">
        <f>IFERROR((CHAIN_RAW!R1586+CHAIN_RAW!S1586)/2,"")</f>
        <v/>
      </c>
      <c r="I1586" s="13">
        <f>IFERROR((CHAIN_RAW!L1586-CHAIN_RAW!K1586)/MAX(1E-9, G1586),"")</f>
        <v/>
      </c>
      <c r="J1586" s="13">
        <f>IFERROR((CHAIN_RAW!S1586-CHAIN_RAW!R1586)/MAX(1E-9, H1586),"")</f>
        <v/>
      </c>
      <c r="K1586" s="13">
        <f>CHAIN_RAW!G1586</f>
        <v/>
      </c>
      <c r="L1586" s="13">
        <f>CHAIN_RAW!N1586</f>
        <v/>
      </c>
      <c r="M1586" s="13">
        <f>IFERROR(L1586-K1586,"")</f>
        <v/>
      </c>
      <c r="N1586" s="13">
        <f>CHAIN_RAW!H1586</f>
        <v/>
      </c>
      <c r="O1586" s="13">
        <f>CHAIN_RAW!O1586</f>
        <v/>
      </c>
      <c r="P1586" s="13">
        <f>IFERROR(O1586/N1586,"")</f>
        <v/>
      </c>
      <c r="Q1586" s="13">
        <f>CHAIN_RAW!I1586</f>
        <v/>
      </c>
      <c r="R1586" s="13">
        <f>CHAIN_RAW!P1586</f>
        <v/>
      </c>
      <c r="S1586" s="13">
        <f>IFERROR(R1586/Q1586,"")</f>
        <v/>
      </c>
      <c r="T1586" s="13">
        <f>IFERROR((ABS(N1586-O1586)/MAX(1,(N1586+O1586)))*EXP(-ABS(E1586-CONTROL!E5)/MAX(1,CONTROL!B8)),"")</f>
        <v/>
      </c>
      <c r="U1586" s="13">
        <f>IFERROR(IF(O1586&gt;N1586,"SUPPORT (PE OI)","RESIST (CE OI)"),"")</f>
        <v/>
      </c>
      <c r="V1586" s="13">
        <f>IFERROR(IF(Q1586&gt;0,IF(R1586&gt;0,"BOTH_ADD","CE_ADD_PE_REDUCE"),IF(R1586&gt;0,"CE_REDUCE_PE_ADD","BOTH_REDUCE")),"")</f>
        <v/>
      </c>
      <c r="W1586" s="13">
        <f>IFERROR( (P1586-1)*0.5 + (M1586)*0.1 - (I1586+J1586)*0.05 + T1586*0.4 ,"")</f>
        <v/>
      </c>
      <c r="X1586" s="13">
        <f>IFERROR(IF(ABS(F1586)&lt;0.01,"ATM/NEAR",""),"")</f>
        <v/>
      </c>
    </row>
    <row r="1587">
      <c r="A1587" s="13">
        <f>CHAIN_RAW!A1587</f>
        <v/>
      </c>
      <c r="B1587" s="14">
        <f>CHAIN_RAW!B1587</f>
        <v/>
      </c>
      <c r="C1587" s="13">
        <f>CHAIN_RAW!C1587</f>
        <v/>
      </c>
      <c r="D1587" s="13">
        <f>CHAIN_RAW!D1587</f>
        <v/>
      </c>
      <c r="E1587" s="13">
        <f>CHAIN_RAW!E1587</f>
        <v/>
      </c>
      <c r="F1587" s="13">
        <f>IFERROR((E1587-D1587)/D1587,"")</f>
        <v/>
      </c>
      <c r="G1587" s="13">
        <f>IFERROR((CHAIN_RAW!K1587+CHAIN_RAW!L1587)/2,"")</f>
        <v/>
      </c>
      <c r="H1587" s="13">
        <f>IFERROR((CHAIN_RAW!R1587+CHAIN_RAW!S1587)/2,"")</f>
        <v/>
      </c>
      <c r="I1587" s="13">
        <f>IFERROR((CHAIN_RAW!L1587-CHAIN_RAW!K1587)/MAX(1E-9, G1587),"")</f>
        <v/>
      </c>
      <c r="J1587" s="13">
        <f>IFERROR((CHAIN_RAW!S1587-CHAIN_RAW!R1587)/MAX(1E-9, H1587),"")</f>
        <v/>
      </c>
      <c r="K1587" s="13">
        <f>CHAIN_RAW!G1587</f>
        <v/>
      </c>
      <c r="L1587" s="13">
        <f>CHAIN_RAW!N1587</f>
        <v/>
      </c>
      <c r="M1587" s="13">
        <f>IFERROR(L1587-K1587,"")</f>
        <v/>
      </c>
      <c r="N1587" s="13">
        <f>CHAIN_RAW!H1587</f>
        <v/>
      </c>
      <c r="O1587" s="13">
        <f>CHAIN_RAW!O1587</f>
        <v/>
      </c>
      <c r="P1587" s="13">
        <f>IFERROR(O1587/N1587,"")</f>
        <v/>
      </c>
      <c r="Q1587" s="13">
        <f>CHAIN_RAW!I1587</f>
        <v/>
      </c>
      <c r="R1587" s="13">
        <f>CHAIN_RAW!P1587</f>
        <v/>
      </c>
      <c r="S1587" s="13">
        <f>IFERROR(R1587/Q1587,"")</f>
        <v/>
      </c>
      <c r="T1587" s="13">
        <f>IFERROR((ABS(N1587-O1587)/MAX(1,(N1587+O1587)))*EXP(-ABS(E1587-CONTROL!E5)/MAX(1,CONTROL!B8)),"")</f>
        <v/>
      </c>
      <c r="U1587" s="13">
        <f>IFERROR(IF(O1587&gt;N1587,"SUPPORT (PE OI)","RESIST (CE OI)"),"")</f>
        <v/>
      </c>
      <c r="V1587" s="13">
        <f>IFERROR(IF(Q1587&gt;0,IF(R1587&gt;0,"BOTH_ADD","CE_ADD_PE_REDUCE"),IF(R1587&gt;0,"CE_REDUCE_PE_ADD","BOTH_REDUCE")),"")</f>
        <v/>
      </c>
      <c r="W1587" s="13">
        <f>IFERROR( (P1587-1)*0.5 + (M1587)*0.1 - (I1587+J1587)*0.05 + T1587*0.4 ,"")</f>
        <v/>
      </c>
      <c r="X1587" s="13">
        <f>IFERROR(IF(ABS(F1587)&lt;0.01,"ATM/NEAR",""),"")</f>
        <v/>
      </c>
    </row>
    <row r="1588">
      <c r="A1588" s="13">
        <f>CHAIN_RAW!A1588</f>
        <v/>
      </c>
      <c r="B1588" s="14">
        <f>CHAIN_RAW!B1588</f>
        <v/>
      </c>
      <c r="C1588" s="13">
        <f>CHAIN_RAW!C1588</f>
        <v/>
      </c>
      <c r="D1588" s="13">
        <f>CHAIN_RAW!D1588</f>
        <v/>
      </c>
      <c r="E1588" s="13">
        <f>CHAIN_RAW!E1588</f>
        <v/>
      </c>
      <c r="F1588" s="13">
        <f>IFERROR((E1588-D1588)/D1588,"")</f>
        <v/>
      </c>
      <c r="G1588" s="13">
        <f>IFERROR((CHAIN_RAW!K1588+CHAIN_RAW!L1588)/2,"")</f>
        <v/>
      </c>
      <c r="H1588" s="13">
        <f>IFERROR((CHAIN_RAW!R1588+CHAIN_RAW!S1588)/2,"")</f>
        <v/>
      </c>
      <c r="I1588" s="13">
        <f>IFERROR((CHAIN_RAW!L1588-CHAIN_RAW!K1588)/MAX(1E-9, G1588),"")</f>
        <v/>
      </c>
      <c r="J1588" s="13">
        <f>IFERROR((CHAIN_RAW!S1588-CHAIN_RAW!R1588)/MAX(1E-9, H1588),"")</f>
        <v/>
      </c>
      <c r="K1588" s="13">
        <f>CHAIN_RAW!G1588</f>
        <v/>
      </c>
      <c r="L1588" s="13">
        <f>CHAIN_RAW!N1588</f>
        <v/>
      </c>
      <c r="M1588" s="13">
        <f>IFERROR(L1588-K1588,"")</f>
        <v/>
      </c>
      <c r="N1588" s="13">
        <f>CHAIN_RAW!H1588</f>
        <v/>
      </c>
      <c r="O1588" s="13">
        <f>CHAIN_RAW!O1588</f>
        <v/>
      </c>
      <c r="P1588" s="13">
        <f>IFERROR(O1588/N1588,"")</f>
        <v/>
      </c>
      <c r="Q1588" s="13">
        <f>CHAIN_RAW!I1588</f>
        <v/>
      </c>
      <c r="R1588" s="13">
        <f>CHAIN_RAW!P1588</f>
        <v/>
      </c>
      <c r="S1588" s="13">
        <f>IFERROR(R1588/Q1588,"")</f>
        <v/>
      </c>
      <c r="T1588" s="13">
        <f>IFERROR((ABS(N1588-O1588)/MAX(1,(N1588+O1588)))*EXP(-ABS(E1588-CONTROL!E5)/MAX(1,CONTROL!B8)),"")</f>
        <v/>
      </c>
      <c r="U1588" s="13">
        <f>IFERROR(IF(O1588&gt;N1588,"SUPPORT (PE OI)","RESIST (CE OI)"),"")</f>
        <v/>
      </c>
      <c r="V1588" s="13">
        <f>IFERROR(IF(Q1588&gt;0,IF(R1588&gt;0,"BOTH_ADD","CE_ADD_PE_REDUCE"),IF(R1588&gt;0,"CE_REDUCE_PE_ADD","BOTH_REDUCE")),"")</f>
        <v/>
      </c>
      <c r="W1588" s="13">
        <f>IFERROR( (P1588-1)*0.5 + (M1588)*0.1 - (I1588+J1588)*0.05 + T1588*0.4 ,"")</f>
        <v/>
      </c>
      <c r="X1588" s="13">
        <f>IFERROR(IF(ABS(F1588)&lt;0.01,"ATM/NEAR",""),"")</f>
        <v/>
      </c>
    </row>
    <row r="1589">
      <c r="A1589" s="13">
        <f>CHAIN_RAW!A1589</f>
        <v/>
      </c>
      <c r="B1589" s="14">
        <f>CHAIN_RAW!B1589</f>
        <v/>
      </c>
      <c r="C1589" s="13">
        <f>CHAIN_RAW!C1589</f>
        <v/>
      </c>
      <c r="D1589" s="13">
        <f>CHAIN_RAW!D1589</f>
        <v/>
      </c>
      <c r="E1589" s="13">
        <f>CHAIN_RAW!E1589</f>
        <v/>
      </c>
      <c r="F1589" s="13">
        <f>IFERROR((E1589-D1589)/D1589,"")</f>
        <v/>
      </c>
      <c r="G1589" s="13">
        <f>IFERROR((CHAIN_RAW!K1589+CHAIN_RAW!L1589)/2,"")</f>
        <v/>
      </c>
      <c r="H1589" s="13">
        <f>IFERROR((CHAIN_RAW!R1589+CHAIN_RAW!S1589)/2,"")</f>
        <v/>
      </c>
      <c r="I1589" s="13">
        <f>IFERROR((CHAIN_RAW!L1589-CHAIN_RAW!K1589)/MAX(1E-9, G1589),"")</f>
        <v/>
      </c>
      <c r="J1589" s="13">
        <f>IFERROR((CHAIN_RAW!S1589-CHAIN_RAW!R1589)/MAX(1E-9, H1589),"")</f>
        <v/>
      </c>
      <c r="K1589" s="13">
        <f>CHAIN_RAW!G1589</f>
        <v/>
      </c>
      <c r="L1589" s="13">
        <f>CHAIN_RAW!N1589</f>
        <v/>
      </c>
      <c r="M1589" s="13">
        <f>IFERROR(L1589-K1589,"")</f>
        <v/>
      </c>
      <c r="N1589" s="13">
        <f>CHAIN_RAW!H1589</f>
        <v/>
      </c>
      <c r="O1589" s="13">
        <f>CHAIN_RAW!O1589</f>
        <v/>
      </c>
      <c r="P1589" s="13">
        <f>IFERROR(O1589/N1589,"")</f>
        <v/>
      </c>
      <c r="Q1589" s="13">
        <f>CHAIN_RAW!I1589</f>
        <v/>
      </c>
      <c r="R1589" s="13">
        <f>CHAIN_RAW!P1589</f>
        <v/>
      </c>
      <c r="S1589" s="13">
        <f>IFERROR(R1589/Q1589,"")</f>
        <v/>
      </c>
      <c r="T1589" s="13">
        <f>IFERROR((ABS(N1589-O1589)/MAX(1,(N1589+O1589)))*EXP(-ABS(E1589-CONTROL!E5)/MAX(1,CONTROL!B8)),"")</f>
        <v/>
      </c>
      <c r="U1589" s="13">
        <f>IFERROR(IF(O1589&gt;N1589,"SUPPORT (PE OI)","RESIST (CE OI)"),"")</f>
        <v/>
      </c>
      <c r="V1589" s="13">
        <f>IFERROR(IF(Q1589&gt;0,IF(R1589&gt;0,"BOTH_ADD","CE_ADD_PE_REDUCE"),IF(R1589&gt;0,"CE_REDUCE_PE_ADD","BOTH_REDUCE")),"")</f>
        <v/>
      </c>
      <c r="W1589" s="13">
        <f>IFERROR( (P1589-1)*0.5 + (M1589)*0.1 - (I1589+J1589)*0.05 + T1589*0.4 ,"")</f>
        <v/>
      </c>
      <c r="X1589" s="13">
        <f>IFERROR(IF(ABS(F1589)&lt;0.01,"ATM/NEAR",""),"")</f>
        <v/>
      </c>
    </row>
    <row r="1590">
      <c r="A1590" s="13">
        <f>CHAIN_RAW!A1590</f>
        <v/>
      </c>
      <c r="B1590" s="14">
        <f>CHAIN_RAW!B1590</f>
        <v/>
      </c>
      <c r="C1590" s="13">
        <f>CHAIN_RAW!C1590</f>
        <v/>
      </c>
      <c r="D1590" s="13">
        <f>CHAIN_RAW!D1590</f>
        <v/>
      </c>
      <c r="E1590" s="13">
        <f>CHAIN_RAW!E1590</f>
        <v/>
      </c>
      <c r="F1590" s="13">
        <f>IFERROR((E1590-D1590)/D1590,"")</f>
        <v/>
      </c>
      <c r="G1590" s="13">
        <f>IFERROR((CHAIN_RAW!K1590+CHAIN_RAW!L1590)/2,"")</f>
        <v/>
      </c>
      <c r="H1590" s="13">
        <f>IFERROR((CHAIN_RAW!R1590+CHAIN_RAW!S1590)/2,"")</f>
        <v/>
      </c>
      <c r="I1590" s="13">
        <f>IFERROR((CHAIN_RAW!L1590-CHAIN_RAW!K1590)/MAX(1E-9, G1590),"")</f>
        <v/>
      </c>
      <c r="J1590" s="13">
        <f>IFERROR((CHAIN_RAW!S1590-CHAIN_RAW!R1590)/MAX(1E-9, H1590),"")</f>
        <v/>
      </c>
      <c r="K1590" s="13">
        <f>CHAIN_RAW!G1590</f>
        <v/>
      </c>
      <c r="L1590" s="13">
        <f>CHAIN_RAW!N1590</f>
        <v/>
      </c>
      <c r="M1590" s="13">
        <f>IFERROR(L1590-K1590,"")</f>
        <v/>
      </c>
      <c r="N1590" s="13">
        <f>CHAIN_RAW!H1590</f>
        <v/>
      </c>
      <c r="O1590" s="13">
        <f>CHAIN_RAW!O1590</f>
        <v/>
      </c>
      <c r="P1590" s="13">
        <f>IFERROR(O1590/N1590,"")</f>
        <v/>
      </c>
      <c r="Q1590" s="13">
        <f>CHAIN_RAW!I1590</f>
        <v/>
      </c>
      <c r="R1590" s="13">
        <f>CHAIN_RAW!P1590</f>
        <v/>
      </c>
      <c r="S1590" s="13">
        <f>IFERROR(R1590/Q1590,"")</f>
        <v/>
      </c>
      <c r="T1590" s="13">
        <f>IFERROR((ABS(N1590-O1590)/MAX(1,(N1590+O1590)))*EXP(-ABS(E1590-CONTROL!E5)/MAX(1,CONTROL!B8)),"")</f>
        <v/>
      </c>
      <c r="U1590" s="13">
        <f>IFERROR(IF(O1590&gt;N1590,"SUPPORT (PE OI)","RESIST (CE OI)"),"")</f>
        <v/>
      </c>
      <c r="V1590" s="13">
        <f>IFERROR(IF(Q1590&gt;0,IF(R1590&gt;0,"BOTH_ADD","CE_ADD_PE_REDUCE"),IF(R1590&gt;0,"CE_REDUCE_PE_ADD","BOTH_REDUCE")),"")</f>
        <v/>
      </c>
      <c r="W1590" s="13">
        <f>IFERROR( (P1590-1)*0.5 + (M1590)*0.1 - (I1590+J1590)*0.05 + T1590*0.4 ,"")</f>
        <v/>
      </c>
      <c r="X1590" s="13">
        <f>IFERROR(IF(ABS(F1590)&lt;0.01,"ATM/NEAR",""),"")</f>
        <v/>
      </c>
    </row>
    <row r="1591">
      <c r="A1591" s="13">
        <f>CHAIN_RAW!A1591</f>
        <v/>
      </c>
      <c r="B1591" s="14">
        <f>CHAIN_RAW!B1591</f>
        <v/>
      </c>
      <c r="C1591" s="13">
        <f>CHAIN_RAW!C1591</f>
        <v/>
      </c>
      <c r="D1591" s="13">
        <f>CHAIN_RAW!D1591</f>
        <v/>
      </c>
      <c r="E1591" s="13">
        <f>CHAIN_RAW!E1591</f>
        <v/>
      </c>
      <c r="F1591" s="13">
        <f>IFERROR((E1591-D1591)/D1591,"")</f>
        <v/>
      </c>
      <c r="G1591" s="13">
        <f>IFERROR((CHAIN_RAW!K1591+CHAIN_RAW!L1591)/2,"")</f>
        <v/>
      </c>
      <c r="H1591" s="13">
        <f>IFERROR((CHAIN_RAW!R1591+CHAIN_RAW!S1591)/2,"")</f>
        <v/>
      </c>
      <c r="I1591" s="13">
        <f>IFERROR((CHAIN_RAW!L1591-CHAIN_RAW!K1591)/MAX(1E-9, G1591),"")</f>
        <v/>
      </c>
      <c r="J1591" s="13">
        <f>IFERROR((CHAIN_RAW!S1591-CHAIN_RAW!R1591)/MAX(1E-9, H1591),"")</f>
        <v/>
      </c>
      <c r="K1591" s="13">
        <f>CHAIN_RAW!G1591</f>
        <v/>
      </c>
      <c r="L1591" s="13">
        <f>CHAIN_RAW!N1591</f>
        <v/>
      </c>
      <c r="M1591" s="13">
        <f>IFERROR(L1591-K1591,"")</f>
        <v/>
      </c>
      <c r="N1591" s="13">
        <f>CHAIN_RAW!H1591</f>
        <v/>
      </c>
      <c r="O1591" s="13">
        <f>CHAIN_RAW!O1591</f>
        <v/>
      </c>
      <c r="P1591" s="13">
        <f>IFERROR(O1591/N1591,"")</f>
        <v/>
      </c>
      <c r="Q1591" s="13">
        <f>CHAIN_RAW!I1591</f>
        <v/>
      </c>
      <c r="R1591" s="13">
        <f>CHAIN_RAW!P1591</f>
        <v/>
      </c>
      <c r="S1591" s="13">
        <f>IFERROR(R1591/Q1591,"")</f>
        <v/>
      </c>
      <c r="T1591" s="13">
        <f>IFERROR((ABS(N1591-O1591)/MAX(1,(N1591+O1591)))*EXP(-ABS(E1591-CONTROL!E5)/MAX(1,CONTROL!B8)),"")</f>
        <v/>
      </c>
      <c r="U1591" s="13">
        <f>IFERROR(IF(O1591&gt;N1591,"SUPPORT (PE OI)","RESIST (CE OI)"),"")</f>
        <v/>
      </c>
      <c r="V1591" s="13">
        <f>IFERROR(IF(Q1591&gt;0,IF(R1591&gt;0,"BOTH_ADD","CE_ADD_PE_REDUCE"),IF(R1591&gt;0,"CE_REDUCE_PE_ADD","BOTH_REDUCE")),"")</f>
        <v/>
      </c>
      <c r="W1591" s="13">
        <f>IFERROR( (P1591-1)*0.5 + (M1591)*0.1 - (I1591+J1591)*0.05 + T1591*0.4 ,"")</f>
        <v/>
      </c>
      <c r="X1591" s="13">
        <f>IFERROR(IF(ABS(F1591)&lt;0.01,"ATM/NEAR",""),"")</f>
        <v/>
      </c>
    </row>
    <row r="1592">
      <c r="A1592" s="13">
        <f>CHAIN_RAW!A1592</f>
        <v/>
      </c>
      <c r="B1592" s="14">
        <f>CHAIN_RAW!B1592</f>
        <v/>
      </c>
      <c r="C1592" s="13">
        <f>CHAIN_RAW!C1592</f>
        <v/>
      </c>
      <c r="D1592" s="13">
        <f>CHAIN_RAW!D1592</f>
        <v/>
      </c>
      <c r="E1592" s="13">
        <f>CHAIN_RAW!E1592</f>
        <v/>
      </c>
      <c r="F1592" s="13">
        <f>IFERROR((E1592-D1592)/D1592,"")</f>
        <v/>
      </c>
      <c r="G1592" s="13">
        <f>IFERROR((CHAIN_RAW!K1592+CHAIN_RAW!L1592)/2,"")</f>
        <v/>
      </c>
      <c r="H1592" s="13">
        <f>IFERROR((CHAIN_RAW!R1592+CHAIN_RAW!S1592)/2,"")</f>
        <v/>
      </c>
      <c r="I1592" s="13">
        <f>IFERROR((CHAIN_RAW!L1592-CHAIN_RAW!K1592)/MAX(1E-9, G1592),"")</f>
        <v/>
      </c>
      <c r="J1592" s="13">
        <f>IFERROR((CHAIN_RAW!S1592-CHAIN_RAW!R1592)/MAX(1E-9, H1592),"")</f>
        <v/>
      </c>
      <c r="K1592" s="13">
        <f>CHAIN_RAW!G1592</f>
        <v/>
      </c>
      <c r="L1592" s="13">
        <f>CHAIN_RAW!N1592</f>
        <v/>
      </c>
      <c r="M1592" s="13">
        <f>IFERROR(L1592-K1592,"")</f>
        <v/>
      </c>
      <c r="N1592" s="13">
        <f>CHAIN_RAW!H1592</f>
        <v/>
      </c>
      <c r="O1592" s="13">
        <f>CHAIN_RAW!O1592</f>
        <v/>
      </c>
      <c r="P1592" s="13">
        <f>IFERROR(O1592/N1592,"")</f>
        <v/>
      </c>
      <c r="Q1592" s="13">
        <f>CHAIN_RAW!I1592</f>
        <v/>
      </c>
      <c r="R1592" s="13">
        <f>CHAIN_RAW!P1592</f>
        <v/>
      </c>
      <c r="S1592" s="13">
        <f>IFERROR(R1592/Q1592,"")</f>
        <v/>
      </c>
      <c r="T1592" s="13">
        <f>IFERROR((ABS(N1592-O1592)/MAX(1,(N1592+O1592)))*EXP(-ABS(E1592-CONTROL!E5)/MAX(1,CONTROL!B8)),"")</f>
        <v/>
      </c>
      <c r="U1592" s="13">
        <f>IFERROR(IF(O1592&gt;N1592,"SUPPORT (PE OI)","RESIST (CE OI)"),"")</f>
        <v/>
      </c>
      <c r="V1592" s="13">
        <f>IFERROR(IF(Q1592&gt;0,IF(R1592&gt;0,"BOTH_ADD","CE_ADD_PE_REDUCE"),IF(R1592&gt;0,"CE_REDUCE_PE_ADD","BOTH_REDUCE")),"")</f>
        <v/>
      </c>
      <c r="W1592" s="13">
        <f>IFERROR( (P1592-1)*0.5 + (M1592)*0.1 - (I1592+J1592)*0.05 + T1592*0.4 ,"")</f>
        <v/>
      </c>
      <c r="X1592" s="13">
        <f>IFERROR(IF(ABS(F1592)&lt;0.01,"ATM/NEAR",""),"")</f>
        <v/>
      </c>
    </row>
    <row r="1593">
      <c r="A1593" s="13">
        <f>CHAIN_RAW!A1593</f>
        <v/>
      </c>
      <c r="B1593" s="14">
        <f>CHAIN_RAW!B1593</f>
        <v/>
      </c>
      <c r="C1593" s="13">
        <f>CHAIN_RAW!C1593</f>
        <v/>
      </c>
      <c r="D1593" s="13">
        <f>CHAIN_RAW!D1593</f>
        <v/>
      </c>
      <c r="E1593" s="13">
        <f>CHAIN_RAW!E1593</f>
        <v/>
      </c>
      <c r="F1593" s="13">
        <f>IFERROR((E1593-D1593)/D1593,"")</f>
        <v/>
      </c>
      <c r="G1593" s="13">
        <f>IFERROR((CHAIN_RAW!K1593+CHAIN_RAW!L1593)/2,"")</f>
        <v/>
      </c>
      <c r="H1593" s="13">
        <f>IFERROR((CHAIN_RAW!R1593+CHAIN_RAW!S1593)/2,"")</f>
        <v/>
      </c>
      <c r="I1593" s="13">
        <f>IFERROR((CHAIN_RAW!L1593-CHAIN_RAW!K1593)/MAX(1E-9, G1593),"")</f>
        <v/>
      </c>
      <c r="J1593" s="13">
        <f>IFERROR((CHAIN_RAW!S1593-CHAIN_RAW!R1593)/MAX(1E-9, H1593),"")</f>
        <v/>
      </c>
      <c r="K1593" s="13">
        <f>CHAIN_RAW!G1593</f>
        <v/>
      </c>
      <c r="L1593" s="13">
        <f>CHAIN_RAW!N1593</f>
        <v/>
      </c>
      <c r="M1593" s="13">
        <f>IFERROR(L1593-K1593,"")</f>
        <v/>
      </c>
      <c r="N1593" s="13">
        <f>CHAIN_RAW!H1593</f>
        <v/>
      </c>
      <c r="O1593" s="13">
        <f>CHAIN_RAW!O1593</f>
        <v/>
      </c>
      <c r="P1593" s="13">
        <f>IFERROR(O1593/N1593,"")</f>
        <v/>
      </c>
      <c r="Q1593" s="13">
        <f>CHAIN_RAW!I1593</f>
        <v/>
      </c>
      <c r="R1593" s="13">
        <f>CHAIN_RAW!P1593</f>
        <v/>
      </c>
      <c r="S1593" s="13">
        <f>IFERROR(R1593/Q1593,"")</f>
        <v/>
      </c>
      <c r="T1593" s="13">
        <f>IFERROR((ABS(N1593-O1593)/MAX(1,(N1593+O1593)))*EXP(-ABS(E1593-CONTROL!E5)/MAX(1,CONTROL!B8)),"")</f>
        <v/>
      </c>
      <c r="U1593" s="13">
        <f>IFERROR(IF(O1593&gt;N1593,"SUPPORT (PE OI)","RESIST (CE OI)"),"")</f>
        <v/>
      </c>
      <c r="V1593" s="13">
        <f>IFERROR(IF(Q1593&gt;0,IF(R1593&gt;0,"BOTH_ADD","CE_ADD_PE_REDUCE"),IF(R1593&gt;0,"CE_REDUCE_PE_ADD","BOTH_REDUCE")),"")</f>
        <v/>
      </c>
      <c r="W1593" s="13">
        <f>IFERROR( (P1593-1)*0.5 + (M1593)*0.1 - (I1593+J1593)*0.05 + T1593*0.4 ,"")</f>
        <v/>
      </c>
      <c r="X1593" s="13">
        <f>IFERROR(IF(ABS(F1593)&lt;0.01,"ATM/NEAR",""),"")</f>
        <v/>
      </c>
    </row>
    <row r="1594">
      <c r="A1594" s="13">
        <f>CHAIN_RAW!A1594</f>
        <v/>
      </c>
      <c r="B1594" s="14">
        <f>CHAIN_RAW!B1594</f>
        <v/>
      </c>
      <c r="C1594" s="13">
        <f>CHAIN_RAW!C1594</f>
        <v/>
      </c>
      <c r="D1594" s="13">
        <f>CHAIN_RAW!D1594</f>
        <v/>
      </c>
      <c r="E1594" s="13">
        <f>CHAIN_RAW!E1594</f>
        <v/>
      </c>
      <c r="F1594" s="13">
        <f>IFERROR((E1594-D1594)/D1594,"")</f>
        <v/>
      </c>
      <c r="G1594" s="13">
        <f>IFERROR((CHAIN_RAW!K1594+CHAIN_RAW!L1594)/2,"")</f>
        <v/>
      </c>
      <c r="H1594" s="13">
        <f>IFERROR((CHAIN_RAW!R1594+CHAIN_RAW!S1594)/2,"")</f>
        <v/>
      </c>
      <c r="I1594" s="13">
        <f>IFERROR((CHAIN_RAW!L1594-CHAIN_RAW!K1594)/MAX(1E-9, G1594),"")</f>
        <v/>
      </c>
      <c r="J1594" s="13">
        <f>IFERROR((CHAIN_RAW!S1594-CHAIN_RAW!R1594)/MAX(1E-9, H1594),"")</f>
        <v/>
      </c>
      <c r="K1594" s="13">
        <f>CHAIN_RAW!G1594</f>
        <v/>
      </c>
      <c r="L1594" s="13">
        <f>CHAIN_RAW!N1594</f>
        <v/>
      </c>
      <c r="M1594" s="13">
        <f>IFERROR(L1594-K1594,"")</f>
        <v/>
      </c>
      <c r="N1594" s="13">
        <f>CHAIN_RAW!H1594</f>
        <v/>
      </c>
      <c r="O1594" s="13">
        <f>CHAIN_RAW!O1594</f>
        <v/>
      </c>
      <c r="P1594" s="13">
        <f>IFERROR(O1594/N1594,"")</f>
        <v/>
      </c>
      <c r="Q1594" s="13">
        <f>CHAIN_RAW!I1594</f>
        <v/>
      </c>
      <c r="R1594" s="13">
        <f>CHAIN_RAW!P1594</f>
        <v/>
      </c>
      <c r="S1594" s="13">
        <f>IFERROR(R1594/Q1594,"")</f>
        <v/>
      </c>
      <c r="T1594" s="13">
        <f>IFERROR((ABS(N1594-O1594)/MAX(1,(N1594+O1594)))*EXP(-ABS(E1594-CONTROL!E5)/MAX(1,CONTROL!B8)),"")</f>
        <v/>
      </c>
      <c r="U1594" s="13">
        <f>IFERROR(IF(O1594&gt;N1594,"SUPPORT (PE OI)","RESIST (CE OI)"),"")</f>
        <v/>
      </c>
      <c r="V1594" s="13">
        <f>IFERROR(IF(Q1594&gt;0,IF(R1594&gt;0,"BOTH_ADD","CE_ADD_PE_REDUCE"),IF(R1594&gt;0,"CE_REDUCE_PE_ADD","BOTH_REDUCE")),"")</f>
        <v/>
      </c>
      <c r="W1594" s="13">
        <f>IFERROR( (P1594-1)*0.5 + (M1594)*0.1 - (I1594+J1594)*0.05 + T1594*0.4 ,"")</f>
        <v/>
      </c>
      <c r="X1594" s="13">
        <f>IFERROR(IF(ABS(F1594)&lt;0.01,"ATM/NEAR",""),"")</f>
        <v/>
      </c>
    </row>
    <row r="1595">
      <c r="A1595" s="13">
        <f>CHAIN_RAW!A1595</f>
        <v/>
      </c>
      <c r="B1595" s="14">
        <f>CHAIN_RAW!B1595</f>
        <v/>
      </c>
      <c r="C1595" s="13">
        <f>CHAIN_RAW!C1595</f>
        <v/>
      </c>
      <c r="D1595" s="13">
        <f>CHAIN_RAW!D1595</f>
        <v/>
      </c>
      <c r="E1595" s="13">
        <f>CHAIN_RAW!E1595</f>
        <v/>
      </c>
      <c r="F1595" s="13">
        <f>IFERROR((E1595-D1595)/D1595,"")</f>
        <v/>
      </c>
      <c r="G1595" s="13">
        <f>IFERROR((CHAIN_RAW!K1595+CHAIN_RAW!L1595)/2,"")</f>
        <v/>
      </c>
      <c r="H1595" s="13">
        <f>IFERROR((CHAIN_RAW!R1595+CHAIN_RAW!S1595)/2,"")</f>
        <v/>
      </c>
      <c r="I1595" s="13">
        <f>IFERROR((CHAIN_RAW!L1595-CHAIN_RAW!K1595)/MAX(1E-9, G1595),"")</f>
        <v/>
      </c>
      <c r="J1595" s="13">
        <f>IFERROR((CHAIN_RAW!S1595-CHAIN_RAW!R1595)/MAX(1E-9, H1595),"")</f>
        <v/>
      </c>
      <c r="K1595" s="13">
        <f>CHAIN_RAW!G1595</f>
        <v/>
      </c>
      <c r="L1595" s="13">
        <f>CHAIN_RAW!N1595</f>
        <v/>
      </c>
      <c r="M1595" s="13">
        <f>IFERROR(L1595-K1595,"")</f>
        <v/>
      </c>
      <c r="N1595" s="13">
        <f>CHAIN_RAW!H1595</f>
        <v/>
      </c>
      <c r="O1595" s="13">
        <f>CHAIN_RAW!O1595</f>
        <v/>
      </c>
      <c r="P1595" s="13">
        <f>IFERROR(O1595/N1595,"")</f>
        <v/>
      </c>
      <c r="Q1595" s="13">
        <f>CHAIN_RAW!I1595</f>
        <v/>
      </c>
      <c r="R1595" s="13">
        <f>CHAIN_RAW!P1595</f>
        <v/>
      </c>
      <c r="S1595" s="13">
        <f>IFERROR(R1595/Q1595,"")</f>
        <v/>
      </c>
      <c r="T1595" s="13">
        <f>IFERROR((ABS(N1595-O1595)/MAX(1,(N1595+O1595)))*EXP(-ABS(E1595-CONTROL!E5)/MAX(1,CONTROL!B8)),"")</f>
        <v/>
      </c>
      <c r="U1595" s="13">
        <f>IFERROR(IF(O1595&gt;N1595,"SUPPORT (PE OI)","RESIST (CE OI)"),"")</f>
        <v/>
      </c>
      <c r="V1595" s="13">
        <f>IFERROR(IF(Q1595&gt;0,IF(R1595&gt;0,"BOTH_ADD","CE_ADD_PE_REDUCE"),IF(R1595&gt;0,"CE_REDUCE_PE_ADD","BOTH_REDUCE")),"")</f>
        <v/>
      </c>
      <c r="W1595" s="13">
        <f>IFERROR( (P1595-1)*0.5 + (M1595)*0.1 - (I1595+J1595)*0.05 + T1595*0.4 ,"")</f>
        <v/>
      </c>
      <c r="X1595" s="13">
        <f>IFERROR(IF(ABS(F1595)&lt;0.01,"ATM/NEAR",""),"")</f>
        <v/>
      </c>
    </row>
    <row r="1596">
      <c r="A1596" s="13">
        <f>CHAIN_RAW!A1596</f>
        <v/>
      </c>
      <c r="B1596" s="14">
        <f>CHAIN_RAW!B1596</f>
        <v/>
      </c>
      <c r="C1596" s="13">
        <f>CHAIN_RAW!C1596</f>
        <v/>
      </c>
      <c r="D1596" s="13">
        <f>CHAIN_RAW!D1596</f>
        <v/>
      </c>
      <c r="E1596" s="13">
        <f>CHAIN_RAW!E1596</f>
        <v/>
      </c>
      <c r="F1596" s="13">
        <f>IFERROR((E1596-D1596)/D1596,"")</f>
        <v/>
      </c>
      <c r="G1596" s="13">
        <f>IFERROR((CHAIN_RAW!K1596+CHAIN_RAW!L1596)/2,"")</f>
        <v/>
      </c>
      <c r="H1596" s="13">
        <f>IFERROR((CHAIN_RAW!R1596+CHAIN_RAW!S1596)/2,"")</f>
        <v/>
      </c>
      <c r="I1596" s="13">
        <f>IFERROR((CHAIN_RAW!L1596-CHAIN_RAW!K1596)/MAX(1E-9, G1596),"")</f>
        <v/>
      </c>
      <c r="J1596" s="13">
        <f>IFERROR((CHAIN_RAW!S1596-CHAIN_RAW!R1596)/MAX(1E-9, H1596),"")</f>
        <v/>
      </c>
      <c r="K1596" s="13">
        <f>CHAIN_RAW!G1596</f>
        <v/>
      </c>
      <c r="L1596" s="13">
        <f>CHAIN_RAW!N1596</f>
        <v/>
      </c>
      <c r="M1596" s="13">
        <f>IFERROR(L1596-K1596,"")</f>
        <v/>
      </c>
      <c r="N1596" s="13">
        <f>CHAIN_RAW!H1596</f>
        <v/>
      </c>
      <c r="O1596" s="13">
        <f>CHAIN_RAW!O1596</f>
        <v/>
      </c>
      <c r="P1596" s="13">
        <f>IFERROR(O1596/N1596,"")</f>
        <v/>
      </c>
      <c r="Q1596" s="13">
        <f>CHAIN_RAW!I1596</f>
        <v/>
      </c>
      <c r="R1596" s="13">
        <f>CHAIN_RAW!P1596</f>
        <v/>
      </c>
      <c r="S1596" s="13">
        <f>IFERROR(R1596/Q1596,"")</f>
        <v/>
      </c>
      <c r="T1596" s="13">
        <f>IFERROR((ABS(N1596-O1596)/MAX(1,(N1596+O1596)))*EXP(-ABS(E1596-CONTROL!E5)/MAX(1,CONTROL!B8)),"")</f>
        <v/>
      </c>
      <c r="U1596" s="13">
        <f>IFERROR(IF(O1596&gt;N1596,"SUPPORT (PE OI)","RESIST (CE OI)"),"")</f>
        <v/>
      </c>
      <c r="V1596" s="13">
        <f>IFERROR(IF(Q1596&gt;0,IF(R1596&gt;0,"BOTH_ADD","CE_ADD_PE_REDUCE"),IF(R1596&gt;0,"CE_REDUCE_PE_ADD","BOTH_REDUCE")),"")</f>
        <v/>
      </c>
      <c r="W1596" s="13">
        <f>IFERROR( (P1596-1)*0.5 + (M1596)*0.1 - (I1596+J1596)*0.05 + T1596*0.4 ,"")</f>
        <v/>
      </c>
      <c r="X1596" s="13">
        <f>IFERROR(IF(ABS(F1596)&lt;0.01,"ATM/NEAR",""),"")</f>
        <v/>
      </c>
    </row>
    <row r="1597">
      <c r="A1597" s="13">
        <f>CHAIN_RAW!A1597</f>
        <v/>
      </c>
      <c r="B1597" s="14">
        <f>CHAIN_RAW!B1597</f>
        <v/>
      </c>
      <c r="C1597" s="13">
        <f>CHAIN_RAW!C1597</f>
        <v/>
      </c>
      <c r="D1597" s="13">
        <f>CHAIN_RAW!D1597</f>
        <v/>
      </c>
      <c r="E1597" s="13">
        <f>CHAIN_RAW!E1597</f>
        <v/>
      </c>
      <c r="F1597" s="13">
        <f>IFERROR((E1597-D1597)/D1597,"")</f>
        <v/>
      </c>
      <c r="G1597" s="13">
        <f>IFERROR((CHAIN_RAW!K1597+CHAIN_RAW!L1597)/2,"")</f>
        <v/>
      </c>
      <c r="H1597" s="13">
        <f>IFERROR((CHAIN_RAW!R1597+CHAIN_RAW!S1597)/2,"")</f>
        <v/>
      </c>
      <c r="I1597" s="13">
        <f>IFERROR((CHAIN_RAW!L1597-CHAIN_RAW!K1597)/MAX(1E-9, G1597),"")</f>
        <v/>
      </c>
      <c r="J1597" s="13">
        <f>IFERROR((CHAIN_RAW!S1597-CHAIN_RAW!R1597)/MAX(1E-9, H1597),"")</f>
        <v/>
      </c>
      <c r="K1597" s="13">
        <f>CHAIN_RAW!G1597</f>
        <v/>
      </c>
      <c r="L1597" s="13">
        <f>CHAIN_RAW!N1597</f>
        <v/>
      </c>
      <c r="M1597" s="13">
        <f>IFERROR(L1597-K1597,"")</f>
        <v/>
      </c>
      <c r="N1597" s="13">
        <f>CHAIN_RAW!H1597</f>
        <v/>
      </c>
      <c r="O1597" s="13">
        <f>CHAIN_RAW!O1597</f>
        <v/>
      </c>
      <c r="P1597" s="13">
        <f>IFERROR(O1597/N1597,"")</f>
        <v/>
      </c>
      <c r="Q1597" s="13">
        <f>CHAIN_RAW!I1597</f>
        <v/>
      </c>
      <c r="R1597" s="13">
        <f>CHAIN_RAW!P1597</f>
        <v/>
      </c>
      <c r="S1597" s="13">
        <f>IFERROR(R1597/Q1597,"")</f>
        <v/>
      </c>
      <c r="T1597" s="13">
        <f>IFERROR((ABS(N1597-O1597)/MAX(1,(N1597+O1597)))*EXP(-ABS(E1597-CONTROL!E5)/MAX(1,CONTROL!B8)),"")</f>
        <v/>
      </c>
      <c r="U1597" s="13">
        <f>IFERROR(IF(O1597&gt;N1597,"SUPPORT (PE OI)","RESIST (CE OI)"),"")</f>
        <v/>
      </c>
      <c r="V1597" s="13">
        <f>IFERROR(IF(Q1597&gt;0,IF(R1597&gt;0,"BOTH_ADD","CE_ADD_PE_REDUCE"),IF(R1597&gt;0,"CE_REDUCE_PE_ADD","BOTH_REDUCE")),"")</f>
        <v/>
      </c>
      <c r="W1597" s="13">
        <f>IFERROR( (P1597-1)*0.5 + (M1597)*0.1 - (I1597+J1597)*0.05 + T1597*0.4 ,"")</f>
        <v/>
      </c>
      <c r="X1597" s="13">
        <f>IFERROR(IF(ABS(F1597)&lt;0.01,"ATM/NEAR",""),"")</f>
        <v/>
      </c>
    </row>
    <row r="1598">
      <c r="A1598" s="13">
        <f>CHAIN_RAW!A1598</f>
        <v/>
      </c>
      <c r="B1598" s="14">
        <f>CHAIN_RAW!B1598</f>
        <v/>
      </c>
      <c r="C1598" s="13">
        <f>CHAIN_RAW!C1598</f>
        <v/>
      </c>
      <c r="D1598" s="13">
        <f>CHAIN_RAW!D1598</f>
        <v/>
      </c>
      <c r="E1598" s="13">
        <f>CHAIN_RAW!E1598</f>
        <v/>
      </c>
      <c r="F1598" s="13">
        <f>IFERROR((E1598-D1598)/D1598,"")</f>
        <v/>
      </c>
      <c r="G1598" s="13">
        <f>IFERROR((CHAIN_RAW!K1598+CHAIN_RAW!L1598)/2,"")</f>
        <v/>
      </c>
      <c r="H1598" s="13">
        <f>IFERROR((CHAIN_RAW!R1598+CHAIN_RAW!S1598)/2,"")</f>
        <v/>
      </c>
      <c r="I1598" s="13">
        <f>IFERROR((CHAIN_RAW!L1598-CHAIN_RAW!K1598)/MAX(1E-9, G1598),"")</f>
        <v/>
      </c>
      <c r="J1598" s="13">
        <f>IFERROR((CHAIN_RAW!S1598-CHAIN_RAW!R1598)/MAX(1E-9, H1598),"")</f>
        <v/>
      </c>
      <c r="K1598" s="13">
        <f>CHAIN_RAW!G1598</f>
        <v/>
      </c>
      <c r="L1598" s="13">
        <f>CHAIN_RAW!N1598</f>
        <v/>
      </c>
      <c r="M1598" s="13">
        <f>IFERROR(L1598-K1598,"")</f>
        <v/>
      </c>
      <c r="N1598" s="13">
        <f>CHAIN_RAW!H1598</f>
        <v/>
      </c>
      <c r="O1598" s="13">
        <f>CHAIN_RAW!O1598</f>
        <v/>
      </c>
      <c r="P1598" s="13">
        <f>IFERROR(O1598/N1598,"")</f>
        <v/>
      </c>
      <c r="Q1598" s="13">
        <f>CHAIN_RAW!I1598</f>
        <v/>
      </c>
      <c r="R1598" s="13">
        <f>CHAIN_RAW!P1598</f>
        <v/>
      </c>
      <c r="S1598" s="13">
        <f>IFERROR(R1598/Q1598,"")</f>
        <v/>
      </c>
      <c r="T1598" s="13">
        <f>IFERROR((ABS(N1598-O1598)/MAX(1,(N1598+O1598)))*EXP(-ABS(E1598-CONTROL!E5)/MAX(1,CONTROL!B8)),"")</f>
        <v/>
      </c>
      <c r="U1598" s="13">
        <f>IFERROR(IF(O1598&gt;N1598,"SUPPORT (PE OI)","RESIST (CE OI)"),"")</f>
        <v/>
      </c>
      <c r="V1598" s="13">
        <f>IFERROR(IF(Q1598&gt;0,IF(R1598&gt;0,"BOTH_ADD","CE_ADD_PE_REDUCE"),IF(R1598&gt;0,"CE_REDUCE_PE_ADD","BOTH_REDUCE")),"")</f>
        <v/>
      </c>
      <c r="W1598" s="13">
        <f>IFERROR( (P1598-1)*0.5 + (M1598)*0.1 - (I1598+J1598)*0.05 + T1598*0.4 ,"")</f>
        <v/>
      </c>
      <c r="X1598" s="13">
        <f>IFERROR(IF(ABS(F1598)&lt;0.01,"ATM/NEAR",""),"")</f>
        <v/>
      </c>
    </row>
    <row r="1599">
      <c r="A1599" s="13">
        <f>CHAIN_RAW!A1599</f>
        <v/>
      </c>
      <c r="B1599" s="14">
        <f>CHAIN_RAW!B1599</f>
        <v/>
      </c>
      <c r="C1599" s="13">
        <f>CHAIN_RAW!C1599</f>
        <v/>
      </c>
      <c r="D1599" s="13">
        <f>CHAIN_RAW!D1599</f>
        <v/>
      </c>
      <c r="E1599" s="13">
        <f>CHAIN_RAW!E1599</f>
        <v/>
      </c>
      <c r="F1599" s="13">
        <f>IFERROR((E1599-D1599)/D1599,"")</f>
        <v/>
      </c>
      <c r="G1599" s="13">
        <f>IFERROR((CHAIN_RAW!K1599+CHAIN_RAW!L1599)/2,"")</f>
        <v/>
      </c>
      <c r="H1599" s="13">
        <f>IFERROR((CHAIN_RAW!R1599+CHAIN_RAW!S1599)/2,"")</f>
        <v/>
      </c>
      <c r="I1599" s="13">
        <f>IFERROR((CHAIN_RAW!L1599-CHAIN_RAW!K1599)/MAX(1E-9, G1599),"")</f>
        <v/>
      </c>
      <c r="J1599" s="13">
        <f>IFERROR((CHAIN_RAW!S1599-CHAIN_RAW!R1599)/MAX(1E-9, H1599),"")</f>
        <v/>
      </c>
      <c r="K1599" s="13">
        <f>CHAIN_RAW!G1599</f>
        <v/>
      </c>
      <c r="L1599" s="13">
        <f>CHAIN_RAW!N1599</f>
        <v/>
      </c>
      <c r="M1599" s="13">
        <f>IFERROR(L1599-K1599,"")</f>
        <v/>
      </c>
      <c r="N1599" s="13">
        <f>CHAIN_RAW!H1599</f>
        <v/>
      </c>
      <c r="O1599" s="13">
        <f>CHAIN_RAW!O1599</f>
        <v/>
      </c>
      <c r="P1599" s="13">
        <f>IFERROR(O1599/N1599,"")</f>
        <v/>
      </c>
      <c r="Q1599" s="13">
        <f>CHAIN_RAW!I1599</f>
        <v/>
      </c>
      <c r="R1599" s="13">
        <f>CHAIN_RAW!P1599</f>
        <v/>
      </c>
      <c r="S1599" s="13">
        <f>IFERROR(R1599/Q1599,"")</f>
        <v/>
      </c>
      <c r="T1599" s="13">
        <f>IFERROR((ABS(N1599-O1599)/MAX(1,(N1599+O1599)))*EXP(-ABS(E1599-CONTROL!E5)/MAX(1,CONTROL!B8)),"")</f>
        <v/>
      </c>
      <c r="U1599" s="13">
        <f>IFERROR(IF(O1599&gt;N1599,"SUPPORT (PE OI)","RESIST (CE OI)"),"")</f>
        <v/>
      </c>
      <c r="V1599" s="13">
        <f>IFERROR(IF(Q1599&gt;0,IF(R1599&gt;0,"BOTH_ADD","CE_ADD_PE_REDUCE"),IF(R1599&gt;0,"CE_REDUCE_PE_ADD","BOTH_REDUCE")),"")</f>
        <v/>
      </c>
      <c r="W1599" s="13">
        <f>IFERROR( (P1599-1)*0.5 + (M1599)*0.1 - (I1599+J1599)*0.05 + T1599*0.4 ,"")</f>
        <v/>
      </c>
      <c r="X1599" s="13">
        <f>IFERROR(IF(ABS(F1599)&lt;0.01,"ATM/NEAR",""),"")</f>
        <v/>
      </c>
    </row>
    <row r="1600">
      <c r="A1600" s="13">
        <f>CHAIN_RAW!A1600</f>
        <v/>
      </c>
      <c r="B1600" s="14">
        <f>CHAIN_RAW!B1600</f>
        <v/>
      </c>
      <c r="C1600" s="13">
        <f>CHAIN_RAW!C1600</f>
        <v/>
      </c>
      <c r="D1600" s="13">
        <f>CHAIN_RAW!D1600</f>
        <v/>
      </c>
      <c r="E1600" s="13">
        <f>CHAIN_RAW!E1600</f>
        <v/>
      </c>
      <c r="F1600" s="13">
        <f>IFERROR((E1600-D1600)/D1600,"")</f>
        <v/>
      </c>
      <c r="G1600" s="13">
        <f>IFERROR((CHAIN_RAW!K1600+CHAIN_RAW!L1600)/2,"")</f>
        <v/>
      </c>
      <c r="H1600" s="13">
        <f>IFERROR((CHAIN_RAW!R1600+CHAIN_RAW!S1600)/2,"")</f>
        <v/>
      </c>
      <c r="I1600" s="13">
        <f>IFERROR((CHAIN_RAW!L1600-CHAIN_RAW!K1600)/MAX(1E-9, G1600),"")</f>
        <v/>
      </c>
      <c r="J1600" s="13">
        <f>IFERROR((CHAIN_RAW!S1600-CHAIN_RAW!R1600)/MAX(1E-9, H1600),"")</f>
        <v/>
      </c>
      <c r="K1600" s="13">
        <f>CHAIN_RAW!G1600</f>
        <v/>
      </c>
      <c r="L1600" s="13">
        <f>CHAIN_RAW!N1600</f>
        <v/>
      </c>
      <c r="M1600" s="13">
        <f>IFERROR(L1600-K1600,"")</f>
        <v/>
      </c>
      <c r="N1600" s="13">
        <f>CHAIN_RAW!H1600</f>
        <v/>
      </c>
      <c r="O1600" s="13">
        <f>CHAIN_RAW!O1600</f>
        <v/>
      </c>
      <c r="P1600" s="13">
        <f>IFERROR(O1600/N1600,"")</f>
        <v/>
      </c>
      <c r="Q1600" s="13">
        <f>CHAIN_RAW!I1600</f>
        <v/>
      </c>
      <c r="R1600" s="13">
        <f>CHAIN_RAW!P1600</f>
        <v/>
      </c>
      <c r="S1600" s="13">
        <f>IFERROR(R1600/Q1600,"")</f>
        <v/>
      </c>
      <c r="T1600" s="13">
        <f>IFERROR((ABS(N1600-O1600)/MAX(1,(N1600+O1600)))*EXP(-ABS(E1600-CONTROL!E5)/MAX(1,CONTROL!B8)),"")</f>
        <v/>
      </c>
      <c r="U1600" s="13">
        <f>IFERROR(IF(O1600&gt;N1600,"SUPPORT (PE OI)","RESIST (CE OI)"),"")</f>
        <v/>
      </c>
      <c r="V1600" s="13">
        <f>IFERROR(IF(Q1600&gt;0,IF(R1600&gt;0,"BOTH_ADD","CE_ADD_PE_REDUCE"),IF(R1600&gt;0,"CE_REDUCE_PE_ADD","BOTH_REDUCE")),"")</f>
        <v/>
      </c>
      <c r="W1600" s="13">
        <f>IFERROR( (P1600-1)*0.5 + (M1600)*0.1 - (I1600+J1600)*0.05 + T1600*0.4 ,"")</f>
        <v/>
      </c>
      <c r="X1600" s="13">
        <f>IFERROR(IF(ABS(F1600)&lt;0.01,"ATM/NEAR",""),"")</f>
        <v/>
      </c>
    </row>
    <row r="1601">
      <c r="A1601" s="13">
        <f>CHAIN_RAW!A1601</f>
        <v/>
      </c>
      <c r="B1601" s="14">
        <f>CHAIN_RAW!B1601</f>
        <v/>
      </c>
      <c r="C1601" s="13">
        <f>CHAIN_RAW!C1601</f>
        <v/>
      </c>
      <c r="D1601" s="13">
        <f>CHAIN_RAW!D1601</f>
        <v/>
      </c>
      <c r="E1601" s="13">
        <f>CHAIN_RAW!E1601</f>
        <v/>
      </c>
      <c r="F1601" s="13">
        <f>IFERROR((E1601-D1601)/D1601,"")</f>
        <v/>
      </c>
      <c r="G1601" s="13">
        <f>IFERROR((CHAIN_RAW!K1601+CHAIN_RAW!L1601)/2,"")</f>
        <v/>
      </c>
      <c r="H1601" s="13">
        <f>IFERROR((CHAIN_RAW!R1601+CHAIN_RAW!S1601)/2,"")</f>
        <v/>
      </c>
      <c r="I1601" s="13">
        <f>IFERROR((CHAIN_RAW!L1601-CHAIN_RAW!K1601)/MAX(1E-9, G1601),"")</f>
        <v/>
      </c>
      <c r="J1601" s="13">
        <f>IFERROR((CHAIN_RAW!S1601-CHAIN_RAW!R1601)/MAX(1E-9, H1601),"")</f>
        <v/>
      </c>
      <c r="K1601" s="13">
        <f>CHAIN_RAW!G1601</f>
        <v/>
      </c>
      <c r="L1601" s="13">
        <f>CHAIN_RAW!N1601</f>
        <v/>
      </c>
      <c r="M1601" s="13">
        <f>IFERROR(L1601-K1601,"")</f>
        <v/>
      </c>
      <c r="N1601" s="13">
        <f>CHAIN_RAW!H1601</f>
        <v/>
      </c>
      <c r="O1601" s="13">
        <f>CHAIN_RAW!O1601</f>
        <v/>
      </c>
      <c r="P1601" s="13">
        <f>IFERROR(O1601/N1601,"")</f>
        <v/>
      </c>
      <c r="Q1601" s="13">
        <f>CHAIN_RAW!I1601</f>
        <v/>
      </c>
      <c r="R1601" s="13">
        <f>CHAIN_RAW!P1601</f>
        <v/>
      </c>
      <c r="S1601" s="13">
        <f>IFERROR(R1601/Q1601,"")</f>
        <v/>
      </c>
      <c r="T1601" s="13">
        <f>IFERROR((ABS(N1601-O1601)/MAX(1,(N1601+O1601)))*EXP(-ABS(E1601-CONTROL!E5)/MAX(1,CONTROL!B8)),"")</f>
        <v/>
      </c>
      <c r="U1601" s="13">
        <f>IFERROR(IF(O1601&gt;N1601,"SUPPORT (PE OI)","RESIST (CE OI)"),"")</f>
        <v/>
      </c>
      <c r="V1601" s="13">
        <f>IFERROR(IF(Q1601&gt;0,IF(R1601&gt;0,"BOTH_ADD","CE_ADD_PE_REDUCE"),IF(R1601&gt;0,"CE_REDUCE_PE_ADD","BOTH_REDUCE")),"")</f>
        <v/>
      </c>
      <c r="W1601" s="13">
        <f>IFERROR( (P1601-1)*0.5 + (M1601)*0.1 - (I1601+J1601)*0.05 + T1601*0.4 ,"")</f>
        <v/>
      </c>
      <c r="X1601" s="13">
        <f>IFERROR(IF(ABS(F1601)&lt;0.01,"ATM/NEAR",""),"")</f>
        <v/>
      </c>
    </row>
    <row r="1602">
      <c r="A1602" s="13">
        <f>CHAIN_RAW!A1602</f>
        <v/>
      </c>
      <c r="B1602" s="14">
        <f>CHAIN_RAW!B1602</f>
        <v/>
      </c>
      <c r="C1602" s="13">
        <f>CHAIN_RAW!C1602</f>
        <v/>
      </c>
      <c r="D1602" s="13">
        <f>CHAIN_RAW!D1602</f>
        <v/>
      </c>
      <c r="E1602" s="13">
        <f>CHAIN_RAW!E1602</f>
        <v/>
      </c>
      <c r="F1602" s="13">
        <f>IFERROR((E1602-D1602)/D1602,"")</f>
        <v/>
      </c>
      <c r="G1602" s="13">
        <f>IFERROR((CHAIN_RAW!K1602+CHAIN_RAW!L1602)/2,"")</f>
        <v/>
      </c>
      <c r="H1602" s="13">
        <f>IFERROR((CHAIN_RAW!R1602+CHAIN_RAW!S1602)/2,"")</f>
        <v/>
      </c>
      <c r="I1602" s="13">
        <f>IFERROR((CHAIN_RAW!L1602-CHAIN_RAW!K1602)/MAX(1E-9, G1602),"")</f>
        <v/>
      </c>
      <c r="J1602" s="13">
        <f>IFERROR((CHAIN_RAW!S1602-CHAIN_RAW!R1602)/MAX(1E-9, H1602),"")</f>
        <v/>
      </c>
      <c r="K1602" s="13">
        <f>CHAIN_RAW!G1602</f>
        <v/>
      </c>
      <c r="L1602" s="13">
        <f>CHAIN_RAW!N1602</f>
        <v/>
      </c>
      <c r="M1602" s="13">
        <f>IFERROR(L1602-K1602,"")</f>
        <v/>
      </c>
      <c r="N1602" s="13">
        <f>CHAIN_RAW!H1602</f>
        <v/>
      </c>
      <c r="O1602" s="13">
        <f>CHAIN_RAW!O1602</f>
        <v/>
      </c>
      <c r="P1602" s="13">
        <f>IFERROR(O1602/N1602,"")</f>
        <v/>
      </c>
      <c r="Q1602" s="13">
        <f>CHAIN_RAW!I1602</f>
        <v/>
      </c>
      <c r="R1602" s="13">
        <f>CHAIN_RAW!P1602</f>
        <v/>
      </c>
      <c r="S1602" s="13">
        <f>IFERROR(R1602/Q1602,"")</f>
        <v/>
      </c>
      <c r="T1602" s="13">
        <f>IFERROR((ABS(N1602-O1602)/MAX(1,(N1602+O1602)))*EXP(-ABS(E1602-CONTROL!E5)/MAX(1,CONTROL!B8)),"")</f>
        <v/>
      </c>
      <c r="U1602" s="13">
        <f>IFERROR(IF(O1602&gt;N1602,"SUPPORT (PE OI)","RESIST (CE OI)"),"")</f>
        <v/>
      </c>
      <c r="V1602" s="13">
        <f>IFERROR(IF(Q1602&gt;0,IF(R1602&gt;0,"BOTH_ADD","CE_ADD_PE_REDUCE"),IF(R1602&gt;0,"CE_REDUCE_PE_ADD","BOTH_REDUCE")),"")</f>
        <v/>
      </c>
      <c r="W1602" s="13">
        <f>IFERROR( (P1602-1)*0.5 + (M1602)*0.1 - (I1602+J1602)*0.05 + T1602*0.4 ,"")</f>
        <v/>
      </c>
      <c r="X1602" s="13">
        <f>IFERROR(IF(ABS(F1602)&lt;0.01,"ATM/NEAR",""),"")</f>
        <v/>
      </c>
    </row>
    <row r="1603">
      <c r="A1603" s="13">
        <f>CHAIN_RAW!A1603</f>
        <v/>
      </c>
      <c r="B1603" s="14">
        <f>CHAIN_RAW!B1603</f>
        <v/>
      </c>
      <c r="C1603" s="13">
        <f>CHAIN_RAW!C1603</f>
        <v/>
      </c>
      <c r="D1603" s="13">
        <f>CHAIN_RAW!D1603</f>
        <v/>
      </c>
      <c r="E1603" s="13">
        <f>CHAIN_RAW!E1603</f>
        <v/>
      </c>
      <c r="F1603" s="13">
        <f>IFERROR((E1603-D1603)/D1603,"")</f>
        <v/>
      </c>
      <c r="G1603" s="13">
        <f>IFERROR((CHAIN_RAW!K1603+CHAIN_RAW!L1603)/2,"")</f>
        <v/>
      </c>
      <c r="H1603" s="13">
        <f>IFERROR((CHAIN_RAW!R1603+CHAIN_RAW!S1603)/2,"")</f>
        <v/>
      </c>
      <c r="I1603" s="13">
        <f>IFERROR((CHAIN_RAW!L1603-CHAIN_RAW!K1603)/MAX(1E-9, G1603),"")</f>
        <v/>
      </c>
      <c r="J1603" s="13">
        <f>IFERROR((CHAIN_RAW!S1603-CHAIN_RAW!R1603)/MAX(1E-9, H1603),"")</f>
        <v/>
      </c>
      <c r="K1603" s="13">
        <f>CHAIN_RAW!G1603</f>
        <v/>
      </c>
      <c r="L1603" s="13">
        <f>CHAIN_RAW!N1603</f>
        <v/>
      </c>
      <c r="M1603" s="13">
        <f>IFERROR(L1603-K1603,"")</f>
        <v/>
      </c>
      <c r="N1603" s="13">
        <f>CHAIN_RAW!H1603</f>
        <v/>
      </c>
      <c r="O1603" s="13">
        <f>CHAIN_RAW!O1603</f>
        <v/>
      </c>
      <c r="P1603" s="13">
        <f>IFERROR(O1603/N1603,"")</f>
        <v/>
      </c>
      <c r="Q1603" s="13">
        <f>CHAIN_RAW!I1603</f>
        <v/>
      </c>
      <c r="R1603" s="13">
        <f>CHAIN_RAW!P1603</f>
        <v/>
      </c>
      <c r="S1603" s="13">
        <f>IFERROR(R1603/Q1603,"")</f>
        <v/>
      </c>
      <c r="T1603" s="13">
        <f>IFERROR((ABS(N1603-O1603)/MAX(1,(N1603+O1603)))*EXP(-ABS(E1603-CONTROL!E5)/MAX(1,CONTROL!B8)),"")</f>
        <v/>
      </c>
      <c r="U1603" s="13">
        <f>IFERROR(IF(O1603&gt;N1603,"SUPPORT (PE OI)","RESIST (CE OI)"),"")</f>
        <v/>
      </c>
      <c r="V1603" s="13">
        <f>IFERROR(IF(Q1603&gt;0,IF(R1603&gt;0,"BOTH_ADD","CE_ADD_PE_REDUCE"),IF(R1603&gt;0,"CE_REDUCE_PE_ADD","BOTH_REDUCE")),"")</f>
        <v/>
      </c>
      <c r="W1603" s="13">
        <f>IFERROR( (P1603-1)*0.5 + (M1603)*0.1 - (I1603+J1603)*0.05 + T1603*0.4 ,"")</f>
        <v/>
      </c>
      <c r="X1603" s="13">
        <f>IFERROR(IF(ABS(F1603)&lt;0.01,"ATM/NEAR",""),"")</f>
        <v/>
      </c>
    </row>
    <row r="1604">
      <c r="A1604" s="13">
        <f>CHAIN_RAW!A1604</f>
        <v/>
      </c>
      <c r="B1604" s="14">
        <f>CHAIN_RAW!B1604</f>
        <v/>
      </c>
      <c r="C1604" s="13">
        <f>CHAIN_RAW!C1604</f>
        <v/>
      </c>
      <c r="D1604" s="13">
        <f>CHAIN_RAW!D1604</f>
        <v/>
      </c>
      <c r="E1604" s="13">
        <f>CHAIN_RAW!E1604</f>
        <v/>
      </c>
      <c r="F1604" s="13">
        <f>IFERROR((E1604-D1604)/D1604,"")</f>
        <v/>
      </c>
      <c r="G1604" s="13">
        <f>IFERROR((CHAIN_RAW!K1604+CHAIN_RAW!L1604)/2,"")</f>
        <v/>
      </c>
      <c r="H1604" s="13">
        <f>IFERROR((CHAIN_RAW!R1604+CHAIN_RAW!S1604)/2,"")</f>
        <v/>
      </c>
      <c r="I1604" s="13">
        <f>IFERROR((CHAIN_RAW!L1604-CHAIN_RAW!K1604)/MAX(1E-9, G1604),"")</f>
        <v/>
      </c>
      <c r="J1604" s="13">
        <f>IFERROR((CHAIN_RAW!S1604-CHAIN_RAW!R1604)/MAX(1E-9, H1604),"")</f>
        <v/>
      </c>
      <c r="K1604" s="13">
        <f>CHAIN_RAW!G1604</f>
        <v/>
      </c>
      <c r="L1604" s="13">
        <f>CHAIN_RAW!N1604</f>
        <v/>
      </c>
      <c r="M1604" s="13">
        <f>IFERROR(L1604-K1604,"")</f>
        <v/>
      </c>
      <c r="N1604" s="13">
        <f>CHAIN_RAW!H1604</f>
        <v/>
      </c>
      <c r="O1604" s="13">
        <f>CHAIN_RAW!O1604</f>
        <v/>
      </c>
      <c r="P1604" s="13">
        <f>IFERROR(O1604/N1604,"")</f>
        <v/>
      </c>
      <c r="Q1604" s="13">
        <f>CHAIN_RAW!I1604</f>
        <v/>
      </c>
      <c r="R1604" s="13">
        <f>CHAIN_RAW!P1604</f>
        <v/>
      </c>
      <c r="S1604" s="13">
        <f>IFERROR(R1604/Q1604,"")</f>
        <v/>
      </c>
      <c r="T1604" s="13">
        <f>IFERROR((ABS(N1604-O1604)/MAX(1,(N1604+O1604)))*EXP(-ABS(E1604-CONTROL!E5)/MAX(1,CONTROL!B8)),"")</f>
        <v/>
      </c>
      <c r="U1604" s="13">
        <f>IFERROR(IF(O1604&gt;N1604,"SUPPORT (PE OI)","RESIST (CE OI)"),"")</f>
        <v/>
      </c>
      <c r="V1604" s="13">
        <f>IFERROR(IF(Q1604&gt;0,IF(R1604&gt;0,"BOTH_ADD","CE_ADD_PE_REDUCE"),IF(R1604&gt;0,"CE_REDUCE_PE_ADD","BOTH_REDUCE")),"")</f>
        <v/>
      </c>
      <c r="W1604" s="13">
        <f>IFERROR( (P1604-1)*0.5 + (M1604)*0.1 - (I1604+J1604)*0.05 + T1604*0.4 ,"")</f>
        <v/>
      </c>
      <c r="X1604" s="13">
        <f>IFERROR(IF(ABS(F1604)&lt;0.01,"ATM/NEAR",""),"")</f>
        <v/>
      </c>
    </row>
    <row r="1605">
      <c r="A1605" s="13">
        <f>CHAIN_RAW!A1605</f>
        <v/>
      </c>
      <c r="B1605" s="14">
        <f>CHAIN_RAW!B1605</f>
        <v/>
      </c>
      <c r="C1605" s="13">
        <f>CHAIN_RAW!C1605</f>
        <v/>
      </c>
      <c r="D1605" s="13">
        <f>CHAIN_RAW!D1605</f>
        <v/>
      </c>
      <c r="E1605" s="13">
        <f>CHAIN_RAW!E1605</f>
        <v/>
      </c>
      <c r="F1605" s="13">
        <f>IFERROR((E1605-D1605)/D1605,"")</f>
        <v/>
      </c>
      <c r="G1605" s="13">
        <f>IFERROR((CHAIN_RAW!K1605+CHAIN_RAW!L1605)/2,"")</f>
        <v/>
      </c>
      <c r="H1605" s="13">
        <f>IFERROR((CHAIN_RAW!R1605+CHAIN_RAW!S1605)/2,"")</f>
        <v/>
      </c>
      <c r="I1605" s="13">
        <f>IFERROR((CHAIN_RAW!L1605-CHAIN_RAW!K1605)/MAX(1E-9, G1605),"")</f>
        <v/>
      </c>
      <c r="J1605" s="13">
        <f>IFERROR((CHAIN_RAW!S1605-CHAIN_RAW!R1605)/MAX(1E-9, H1605),"")</f>
        <v/>
      </c>
      <c r="K1605" s="13">
        <f>CHAIN_RAW!G1605</f>
        <v/>
      </c>
      <c r="L1605" s="13">
        <f>CHAIN_RAW!N1605</f>
        <v/>
      </c>
      <c r="M1605" s="13">
        <f>IFERROR(L1605-K1605,"")</f>
        <v/>
      </c>
      <c r="N1605" s="13">
        <f>CHAIN_RAW!H1605</f>
        <v/>
      </c>
      <c r="O1605" s="13">
        <f>CHAIN_RAW!O1605</f>
        <v/>
      </c>
      <c r="P1605" s="13">
        <f>IFERROR(O1605/N1605,"")</f>
        <v/>
      </c>
      <c r="Q1605" s="13">
        <f>CHAIN_RAW!I1605</f>
        <v/>
      </c>
      <c r="R1605" s="13">
        <f>CHAIN_RAW!P1605</f>
        <v/>
      </c>
      <c r="S1605" s="13">
        <f>IFERROR(R1605/Q1605,"")</f>
        <v/>
      </c>
      <c r="T1605" s="13">
        <f>IFERROR((ABS(N1605-O1605)/MAX(1,(N1605+O1605)))*EXP(-ABS(E1605-CONTROL!E5)/MAX(1,CONTROL!B8)),"")</f>
        <v/>
      </c>
      <c r="U1605" s="13">
        <f>IFERROR(IF(O1605&gt;N1605,"SUPPORT (PE OI)","RESIST (CE OI)"),"")</f>
        <v/>
      </c>
      <c r="V1605" s="13">
        <f>IFERROR(IF(Q1605&gt;0,IF(R1605&gt;0,"BOTH_ADD","CE_ADD_PE_REDUCE"),IF(R1605&gt;0,"CE_REDUCE_PE_ADD","BOTH_REDUCE")),"")</f>
        <v/>
      </c>
      <c r="W1605" s="13">
        <f>IFERROR( (P1605-1)*0.5 + (M1605)*0.1 - (I1605+J1605)*0.05 + T1605*0.4 ,"")</f>
        <v/>
      </c>
      <c r="X1605" s="13">
        <f>IFERROR(IF(ABS(F1605)&lt;0.01,"ATM/NEAR",""),"")</f>
        <v/>
      </c>
    </row>
    <row r="1606">
      <c r="A1606" s="13">
        <f>CHAIN_RAW!A1606</f>
        <v/>
      </c>
      <c r="B1606" s="14">
        <f>CHAIN_RAW!B1606</f>
        <v/>
      </c>
      <c r="C1606" s="13">
        <f>CHAIN_RAW!C1606</f>
        <v/>
      </c>
      <c r="D1606" s="13">
        <f>CHAIN_RAW!D1606</f>
        <v/>
      </c>
      <c r="E1606" s="13">
        <f>CHAIN_RAW!E1606</f>
        <v/>
      </c>
      <c r="F1606" s="13">
        <f>IFERROR((E1606-D1606)/D1606,"")</f>
        <v/>
      </c>
      <c r="G1606" s="13">
        <f>IFERROR((CHAIN_RAW!K1606+CHAIN_RAW!L1606)/2,"")</f>
        <v/>
      </c>
      <c r="H1606" s="13">
        <f>IFERROR((CHAIN_RAW!R1606+CHAIN_RAW!S1606)/2,"")</f>
        <v/>
      </c>
      <c r="I1606" s="13">
        <f>IFERROR((CHAIN_RAW!L1606-CHAIN_RAW!K1606)/MAX(1E-9, G1606),"")</f>
        <v/>
      </c>
      <c r="J1606" s="13">
        <f>IFERROR((CHAIN_RAW!S1606-CHAIN_RAW!R1606)/MAX(1E-9, H1606),"")</f>
        <v/>
      </c>
      <c r="K1606" s="13">
        <f>CHAIN_RAW!G1606</f>
        <v/>
      </c>
      <c r="L1606" s="13">
        <f>CHAIN_RAW!N1606</f>
        <v/>
      </c>
      <c r="M1606" s="13">
        <f>IFERROR(L1606-K1606,"")</f>
        <v/>
      </c>
      <c r="N1606" s="13">
        <f>CHAIN_RAW!H1606</f>
        <v/>
      </c>
      <c r="O1606" s="13">
        <f>CHAIN_RAW!O1606</f>
        <v/>
      </c>
      <c r="P1606" s="13">
        <f>IFERROR(O1606/N1606,"")</f>
        <v/>
      </c>
      <c r="Q1606" s="13">
        <f>CHAIN_RAW!I1606</f>
        <v/>
      </c>
      <c r="R1606" s="13">
        <f>CHAIN_RAW!P1606</f>
        <v/>
      </c>
      <c r="S1606" s="13">
        <f>IFERROR(R1606/Q1606,"")</f>
        <v/>
      </c>
      <c r="T1606" s="13">
        <f>IFERROR((ABS(N1606-O1606)/MAX(1,(N1606+O1606)))*EXP(-ABS(E1606-CONTROL!E5)/MAX(1,CONTROL!B8)),"")</f>
        <v/>
      </c>
      <c r="U1606" s="13">
        <f>IFERROR(IF(O1606&gt;N1606,"SUPPORT (PE OI)","RESIST (CE OI)"),"")</f>
        <v/>
      </c>
      <c r="V1606" s="13">
        <f>IFERROR(IF(Q1606&gt;0,IF(R1606&gt;0,"BOTH_ADD","CE_ADD_PE_REDUCE"),IF(R1606&gt;0,"CE_REDUCE_PE_ADD","BOTH_REDUCE")),"")</f>
        <v/>
      </c>
      <c r="W1606" s="13">
        <f>IFERROR( (P1606-1)*0.5 + (M1606)*0.1 - (I1606+J1606)*0.05 + T1606*0.4 ,"")</f>
        <v/>
      </c>
      <c r="X1606" s="13">
        <f>IFERROR(IF(ABS(F1606)&lt;0.01,"ATM/NEAR",""),"")</f>
        <v/>
      </c>
    </row>
    <row r="1607">
      <c r="A1607" s="13">
        <f>CHAIN_RAW!A1607</f>
        <v/>
      </c>
      <c r="B1607" s="14">
        <f>CHAIN_RAW!B1607</f>
        <v/>
      </c>
      <c r="C1607" s="13">
        <f>CHAIN_RAW!C1607</f>
        <v/>
      </c>
      <c r="D1607" s="13">
        <f>CHAIN_RAW!D1607</f>
        <v/>
      </c>
      <c r="E1607" s="13">
        <f>CHAIN_RAW!E1607</f>
        <v/>
      </c>
      <c r="F1607" s="13">
        <f>IFERROR((E1607-D1607)/D1607,"")</f>
        <v/>
      </c>
      <c r="G1607" s="13">
        <f>IFERROR((CHAIN_RAW!K1607+CHAIN_RAW!L1607)/2,"")</f>
        <v/>
      </c>
      <c r="H1607" s="13">
        <f>IFERROR((CHAIN_RAW!R1607+CHAIN_RAW!S1607)/2,"")</f>
        <v/>
      </c>
      <c r="I1607" s="13">
        <f>IFERROR((CHAIN_RAW!L1607-CHAIN_RAW!K1607)/MAX(1E-9, G1607),"")</f>
        <v/>
      </c>
      <c r="J1607" s="13">
        <f>IFERROR((CHAIN_RAW!S1607-CHAIN_RAW!R1607)/MAX(1E-9, H1607),"")</f>
        <v/>
      </c>
      <c r="K1607" s="13">
        <f>CHAIN_RAW!G1607</f>
        <v/>
      </c>
      <c r="L1607" s="13">
        <f>CHAIN_RAW!N1607</f>
        <v/>
      </c>
      <c r="M1607" s="13">
        <f>IFERROR(L1607-K1607,"")</f>
        <v/>
      </c>
      <c r="N1607" s="13">
        <f>CHAIN_RAW!H1607</f>
        <v/>
      </c>
      <c r="O1607" s="13">
        <f>CHAIN_RAW!O1607</f>
        <v/>
      </c>
      <c r="P1607" s="13">
        <f>IFERROR(O1607/N1607,"")</f>
        <v/>
      </c>
      <c r="Q1607" s="13">
        <f>CHAIN_RAW!I1607</f>
        <v/>
      </c>
      <c r="R1607" s="13">
        <f>CHAIN_RAW!P1607</f>
        <v/>
      </c>
      <c r="S1607" s="13">
        <f>IFERROR(R1607/Q1607,"")</f>
        <v/>
      </c>
      <c r="T1607" s="13">
        <f>IFERROR((ABS(N1607-O1607)/MAX(1,(N1607+O1607)))*EXP(-ABS(E1607-CONTROL!E5)/MAX(1,CONTROL!B8)),"")</f>
        <v/>
      </c>
      <c r="U1607" s="13">
        <f>IFERROR(IF(O1607&gt;N1607,"SUPPORT (PE OI)","RESIST (CE OI)"),"")</f>
        <v/>
      </c>
      <c r="V1607" s="13">
        <f>IFERROR(IF(Q1607&gt;0,IF(R1607&gt;0,"BOTH_ADD","CE_ADD_PE_REDUCE"),IF(R1607&gt;0,"CE_REDUCE_PE_ADD","BOTH_REDUCE")),"")</f>
        <v/>
      </c>
      <c r="W1607" s="13">
        <f>IFERROR( (P1607-1)*0.5 + (M1607)*0.1 - (I1607+J1607)*0.05 + T1607*0.4 ,"")</f>
        <v/>
      </c>
      <c r="X1607" s="13">
        <f>IFERROR(IF(ABS(F1607)&lt;0.01,"ATM/NEAR",""),"")</f>
        <v/>
      </c>
    </row>
    <row r="1608">
      <c r="A1608" s="13">
        <f>CHAIN_RAW!A1608</f>
        <v/>
      </c>
      <c r="B1608" s="14">
        <f>CHAIN_RAW!B1608</f>
        <v/>
      </c>
      <c r="C1608" s="13">
        <f>CHAIN_RAW!C1608</f>
        <v/>
      </c>
      <c r="D1608" s="13">
        <f>CHAIN_RAW!D1608</f>
        <v/>
      </c>
      <c r="E1608" s="13">
        <f>CHAIN_RAW!E1608</f>
        <v/>
      </c>
      <c r="F1608" s="13">
        <f>IFERROR((E1608-D1608)/D1608,"")</f>
        <v/>
      </c>
      <c r="G1608" s="13">
        <f>IFERROR((CHAIN_RAW!K1608+CHAIN_RAW!L1608)/2,"")</f>
        <v/>
      </c>
      <c r="H1608" s="13">
        <f>IFERROR((CHAIN_RAW!R1608+CHAIN_RAW!S1608)/2,"")</f>
        <v/>
      </c>
      <c r="I1608" s="13">
        <f>IFERROR((CHAIN_RAW!L1608-CHAIN_RAW!K1608)/MAX(1E-9, G1608),"")</f>
        <v/>
      </c>
      <c r="J1608" s="13">
        <f>IFERROR((CHAIN_RAW!S1608-CHAIN_RAW!R1608)/MAX(1E-9, H1608),"")</f>
        <v/>
      </c>
      <c r="K1608" s="13">
        <f>CHAIN_RAW!G1608</f>
        <v/>
      </c>
      <c r="L1608" s="13">
        <f>CHAIN_RAW!N1608</f>
        <v/>
      </c>
      <c r="M1608" s="13">
        <f>IFERROR(L1608-K1608,"")</f>
        <v/>
      </c>
      <c r="N1608" s="13">
        <f>CHAIN_RAW!H1608</f>
        <v/>
      </c>
      <c r="O1608" s="13">
        <f>CHAIN_RAW!O1608</f>
        <v/>
      </c>
      <c r="P1608" s="13">
        <f>IFERROR(O1608/N1608,"")</f>
        <v/>
      </c>
      <c r="Q1608" s="13">
        <f>CHAIN_RAW!I1608</f>
        <v/>
      </c>
      <c r="R1608" s="13">
        <f>CHAIN_RAW!P1608</f>
        <v/>
      </c>
      <c r="S1608" s="13">
        <f>IFERROR(R1608/Q1608,"")</f>
        <v/>
      </c>
      <c r="T1608" s="13">
        <f>IFERROR((ABS(N1608-O1608)/MAX(1,(N1608+O1608)))*EXP(-ABS(E1608-CONTROL!E5)/MAX(1,CONTROL!B8)),"")</f>
        <v/>
      </c>
      <c r="U1608" s="13">
        <f>IFERROR(IF(O1608&gt;N1608,"SUPPORT (PE OI)","RESIST (CE OI)"),"")</f>
        <v/>
      </c>
      <c r="V1608" s="13">
        <f>IFERROR(IF(Q1608&gt;0,IF(R1608&gt;0,"BOTH_ADD","CE_ADD_PE_REDUCE"),IF(R1608&gt;0,"CE_REDUCE_PE_ADD","BOTH_REDUCE")),"")</f>
        <v/>
      </c>
      <c r="W1608" s="13">
        <f>IFERROR( (P1608-1)*0.5 + (M1608)*0.1 - (I1608+J1608)*0.05 + T1608*0.4 ,"")</f>
        <v/>
      </c>
      <c r="X1608" s="13">
        <f>IFERROR(IF(ABS(F1608)&lt;0.01,"ATM/NEAR",""),"")</f>
        <v/>
      </c>
    </row>
    <row r="1609">
      <c r="A1609" s="13">
        <f>CHAIN_RAW!A1609</f>
        <v/>
      </c>
      <c r="B1609" s="14">
        <f>CHAIN_RAW!B1609</f>
        <v/>
      </c>
      <c r="C1609" s="13">
        <f>CHAIN_RAW!C1609</f>
        <v/>
      </c>
      <c r="D1609" s="13">
        <f>CHAIN_RAW!D1609</f>
        <v/>
      </c>
      <c r="E1609" s="13">
        <f>CHAIN_RAW!E1609</f>
        <v/>
      </c>
      <c r="F1609" s="13">
        <f>IFERROR((E1609-D1609)/D1609,"")</f>
        <v/>
      </c>
      <c r="G1609" s="13">
        <f>IFERROR((CHAIN_RAW!K1609+CHAIN_RAW!L1609)/2,"")</f>
        <v/>
      </c>
      <c r="H1609" s="13">
        <f>IFERROR((CHAIN_RAW!R1609+CHAIN_RAW!S1609)/2,"")</f>
        <v/>
      </c>
      <c r="I1609" s="13">
        <f>IFERROR((CHAIN_RAW!L1609-CHAIN_RAW!K1609)/MAX(1E-9, G1609),"")</f>
        <v/>
      </c>
      <c r="J1609" s="13">
        <f>IFERROR((CHAIN_RAW!S1609-CHAIN_RAW!R1609)/MAX(1E-9, H1609),"")</f>
        <v/>
      </c>
      <c r="K1609" s="13">
        <f>CHAIN_RAW!G1609</f>
        <v/>
      </c>
      <c r="L1609" s="13">
        <f>CHAIN_RAW!N1609</f>
        <v/>
      </c>
      <c r="M1609" s="13">
        <f>IFERROR(L1609-K1609,"")</f>
        <v/>
      </c>
      <c r="N1609" s="13">
        <f>CHAIN_RAW!H1609</f>
        <v/>
      </c>
      <c r="O1609" s="13">
        <f>CHAIN_RAW!O1609</f>
        <v/>
      </c>
      <c r="P1609" s="13">
        <f>IFERROR(O1609/N1609,"")</f>
        <v/>
      </c>
      <c r="Q1609" s="13">
        <f>CHAIN_RAW!I1609</f>
        <v/>
      </c>
      <c r="R1609" s="13">
        <f>CHAIN_RAW!P1609</f>
        <v/>
      </c>
      <c r="S1609" s="13">
        <f>IFERROR(R1609/Q1609,"")</f>
        <v/>
      </c>
      <c r="T1609" s="13">
        <f>IFERROR((ABS(N1609-O1609)/MAX(1,(N1609+O1609)))*EXP(-ABS(E1609-CONTROL!E5)/MAX(1,CONTROL!B8)),"")</f>
        <v/>
      </c>
      <c r="U1609" s="13">
        <f>IFERROR(IF(O1609&gt;N1609,"SUPPORT (PE OI)","RESIST (CE OI)"),"")</f>
        <v/>
      </c>
      <c r="V1609" s="13">
        <f>IFERROR(IF(Q1609&gt;0,IF(R1609&gt;0,"BOTH_ADD","CE_ADD_PE_REDUCE"),IF(R1609&gt;0,"CE_REDUCE_PE_ADD","BOTH_REDUCE")),"")</f>
        <v/>
      </c>
      <c r="W1609" s="13">
        <f>IFERROR( (P1609-1)*0.5 + (M1609)*0.1 - (I1609+J1609)*0.05 + T1609*0.4 ,"")</f>
        <v/>
      </c>
      <c r="X1609" s="13">
        <f>IFERROR(IF(ABS(F1609)&lt;0.01,"ATM/NEAR",""),"")</f>
        <v/>
      </c>
    </row>
    <row r="1610">
      <c r="A1610" s="13">
        <f>CHAIN_RAW!A1610</f>
        <v/>
      </c>
      <c r="B1610" s="14">
        <f>CHAIN_RAW!B1610</f>
        <v/>
      </c>
      <c r="C1610" s="13">
        <f>CHAIN_RAW!C1610</f>
        <v/>
      </c>
      <c r="D1610" s="13">
        <f>CHAIN_RAW!D1610</f>
        <v/>
      </c>
      <c r="E1610" s="13">
        <f>CHAIN_RAW!E1610</f>
        <v/>
      </c>
      <c r="F1610" s="13">
        <f>IFERROR((E1610-D1610)/D1610,"")</f>
        <v/>
      </c>
      <c r="G1610" s="13">
        <f>IFERROR((CHAIN_RAW!K1610+CHAIN_RAW!L1610)/2,"")</f>
        <v/>
      </c>
      <c r="H1610" s="13">
        <f>IFERROR((CHAIN_RAW!R1610+CHAIN_RAW!S1610)/2,"")</f>
        <v/>
      </c>
      <c r="I1610" s="13">
        <f>IFERROR((CHAIN_RAW!L1610-CHAIN_RAW!K1610)/MAX(1E-9, G1610),"")</f>
        <v/>
      </c>
      <c r="J1610" s="13">
        <f>IFERROR((CHAIN_RAW!S1610-CHAIN_RAW!R1610)/MAX(1E-9, H1610),"")</f>
        <v/>
      </c>
      <c r="K1610" s="13">
        <f>CHAIN_RAW!G1610</f>
        <v/>
      </c>
      <c r="L1610" s="13">
        <f>CHAIN_RAW!N1610</f>
        <v/>
      </c>
      <c r="M1610" s="13">
        <f>IFERROR(L1610-K1610,"")</f>
        <v/>
      </c>
      <c r="N1610" s="13">
        <f>CHAIN_RAW!H1610</f>
        <v/>
      </c>
      <c r="O1610" s="13">
        <f>CHAIN_RAW!O1610</f>
        <v/>
      </c>
      <c r="P1610" s="13">
        <f>IFERROR(O1610/N1610,"")</f>
        <v/>
      </c>
      <c r="Q1610" s="13">
        <f>CHAIN_RAW!I1610</f>
        <v/>
      </c>
      <c r="R1610" s="13">
        <f>CHAIN_RAW!P1610</f>
        <v/>
      </c>
      <c r="S1610" s="13">
        <f>IFERROR(R1610/Q1610,"")</f>
        <v/>
      </c>
      <c r="T1610" s="13">
        <f>IFERROR((ABS(N1610-O1610)/MAX(1,(N1610+O1610)))*EXP(-ABS(E1610-CONTROL!E5)/MAX(1,CONTROL!B8)),"")</f>
        <v/>
      </c>
      <c r="U1610" s="13">
        <f>IFERROR(IF(O1610&gt;N1610,"SUPPORT (PE OI)","RESIST (CE OI)"),"")</f>
        <v/>
      </c>
      <c r="V1610" s="13">
        <f>IFERROR(IF(Q1610&gt;0,IF(R1610&gt;0,"BOTH_ADD","CE_ADD_PE_REDUCE"),IF(R1610&gt;0,"CE_REDUCE_PE_ADD","BOTH_REDUCE")),"")</f>
        <v/>
      </c>
      <c r="W1610" s="13">
        <f>IFERROR( (P1610-1)*0.5 + (M1610)*0.1 - (I1610+J1610)*0.05 + T1610*0.4 ,"")</f>
        <v/>
      </c>
      <c r="X1610" s="13">
        <f>IFERROR(IF(ABS(F1610)&lt;0.01,"ATM/NEAR",""),"")</f>
        <v/>
      </c>
    </row>
    <row r="1611">
      <c r="A1611" s="13">
        <f>CHAIN_RAW!A1611</f>
        <v/>
      </c>
      <c r="B1611" s="14">
        <f>CHAIN_RAW!B1611</f>
        <v/>
      </c>
      <c r="C1611" s="13">
        <f>CHAIN_RAW!C1611</f>
        <v/>
      </c>
      <c r="D1611" s="13">
        <f>CHAIN_RAW!D1611</f>
        <v/>
      </c>
      <c r="E1611" s="13">
        <f>CHAIN_RAW!E1611</f>
        <v/>
      </c>
      <c r="F1611" s="13">
        <f>IFERROR((E1611-D1611)/D1611,"")</f>
        <v/>
      </c>
      <c r="G1611" s="13">
        <f>IFERROR((CHAIN_RAW!K1611+CHAIN_RAW!L1611)/2,"")</f>
        <v/>
      </c>
      <c r="H1611" s="13">
        <f>IFERROR((CHAIN_RAW!R1611+CHAIN_RAW!S1611)/2,"")</f>
        <v/>
      </c>
      <c r="I1611" s="13">
        <f>IFERROR((CHAIN_RAW!L1611-CHAIN_RAW!K1611)/MAX(1E-9, G1611),"")</f>
        <v/>
      </c>
      <c r="J1611" s="13">
        <f>IFERROR((CHAIN_RAW!S1611-CHAIN_RAW!R1611)/MAX(1E-9, H1611),"")</f>
        <v/>
      </c>
      <c r="K1611" s="13">
        <f>CHAIN_RAW!G1611</f>
        <v/>
      </c>
      <c r="L1611" s="13">
        <f>CHAIN_RAW!N1611</f>
        <v/>
      </c>
      <c r="M1611" s="13">
        <f>IFERROR(L1611-K1611,"")</f>
        <v/>
      </c>
      <c r="N1611" s="13">
        <f>CHAIN_RAW!H1611</f>
        <v/>
      </c>
      <c r="O1611" s="13">
        <f>CHAIN_RAW!O1611</f>
        <v/>
      </c>
      <c r="P1611" s="13">
        <f>IFERROR(O1611/N1611,"")</f>
        <v/>
      </c>
      <c r="Q1611" s="13">
        <f>CHAIN_RAW!I1611</f>
        <v/>
      </c>
      <c r="R1611" s="13">
        <f>CHAIN_RAW!P1611</f>
        <v/>
      </c>
      <c r="S1611" s="13">
        <f>IFERROR(R1611/Q1611,"")</f>
        <v/>
      </c>
      <c r="T1611" s="13">
        <f>IFERROR((ABS(N1611-O1611)/MAX(1,(N1611+O1611)))*EXP(-ABS(E1611-CONTROL!E5)/MAX(1,CONTROL!B8)),"")</f>
        <v/>
      </c>
      <c r="U1611" s="13">
        <f>IFERROR(IF(O1611&gt;N1611,"SUPPORT (PE OI)","RESIST (CE OI)"),"")</f>
        <v/>
      </c>
      <c r="V1611" s="13">
        <f>IFERROR(IF(Q1611&gt;0,IF(R1611&gt;0,"BOTH_ADD","CE_ADD_PE_REDUCE"),IF(R1611&gt;0,"CE_REDUCE_PE_ADD","BOTH_REDUCE")),"")</f>
        <v/>
      </c>
      <c r="W1611" s="13">
        <f>IFERROR( (P1611-1)*0.5 + (M1611)*0.1 - (I1611+J1611)*0.05 + T1611*0.4 ,"")</f>
        <v/>
      </c>
      <c r="X1611" s="13">
        <f>IFERROR(IF(ABS(F1611)&lt;0.01,"ATM/NEAR",""),"")</f>
        <v/>
      </c>
    </row>
    <row r="1612">
      <c r="A1612" s="13">
        <f>CHAIN_RAW!A1612</f>
        <v/>
      </c>
      <c r="B1612" s="14">
        <f>CHAIN_RAW!B1612</f>
        <v/>
      </c>
      <c r="C1612" s="13">
        <f>CHAIN_RAW!C1612</f>
        <v/>
      </c>
      <c r="D1612" s="13">
        <f>CHAIN_RAW!D1612</f>
        <v/>
      </c>
      <c r="E1612" s="13">
        <f>CHAIN_RAW!E1612</f>
        <v/>
      </c>
      <c r="F1612" s="13">
        <f>IFERROR((E1612-D1612)/D1612,"")</f>
        <v/>
      </c>
      <c r="G1612" s="13">
        <f>IFERROR((CHAIN_RAW!K1612+CHAIN_RAW!L1612)/2,"")</f>
        <v/>
      </c>
      <c r="H1612" s="13">
        <f>IFERROR((CHAIN_RAW!R1612+CHAIN_RAW!S1612)/2,"")</f>
        <v/>
      </c>
      <c r="I1612" s="13">
        <f>IFERROR((CHAIN_RAW!L1612-CHAIN_RAW!K1612)/MAX(1E-9, G1612),"")</f>
        <v/>
      </c>
      <c r="J1612" s="13">
        <f>IFERROR((CHAIN_RAW!S1612-CHAIN_RAW!R1612)/MAX(1E-9, H1612),"")</f>
        <v/>
      </c>
      <c r="K1612" s="13">
        <f>CHAIN_RAW!G1612</f>
        <v/>
      </c>
      <c r="L1612" s="13">
        <f>CHAIN_RAW!N1612</f>
        <v/>
      </c>
      <c r="M1612" s="13">
        <f>IFERROR(L1612-K1612,"")</f>
        <v/>
      </c>
      <c r="N1612" s="13">
        <f>CHAIN_RAW!H1612</f>
        <v/>
      </c>
      <c r="O1612" s="13">
        <f>CHAIN_RAW!O1612</f>
        <v/>
      </c>
      <c r="P1612" s="13">
        <f>IFERROR(O1612/N1612,"")</f>
        <v/>
      </c>
      <c r="Q1612" s="13">
        <f>CHAIN_RAW!I1612</f>
        <v/>
      </c>
      <c r="R1612" s="13">
        <f>CHAIN_RAW!P1612</f>
        <v/>
      </c>
      <c r="S1612" s="13">
        <f>IFERROR(R1612/Q1612,"")</f>
        <v/>
      </c>
      <c r="T1612" s="13">
        <f>IFERROR((ABS(N1612-O1612)/MAX(1,(N1612+O1612)))*EXP(-ABS(E1612-CONTROL!E5)/MAX(1,CONTROL!B8)),"")</f>
        <v/>
      </c>
      <c r="U1612" s="13">
        <f>IFERROR(IF(O1612&gt;N1612,"SUPPORT (PE OI)","RESIST (CE OI)"),"")</f>
        <v/>
      </c>
      <c r="V1612" s="13">
        <f>IFERROR(IF(Q1612&gt;0,IF(R1612&gt;0,"BOTH_ADD","CE_ADD_PE_REDUCE"),IF(R1612&gt;0,"CE_REDUCE_PE_ADD","BOTH_REDUCE")),"")</f>
        <v/>
      </c>
      <c r="W1612" s="13">
        <f>IFERROR( (P1612-1)*0.5 + (M1612)*0.1 - (I1612+J1612)*0.05 + T1612*0.4 ,"")</f>
        <v/>
      </c>
      <c r="X1612" s="13">
        <f>IFERROR(IF(ABS(F1612)&lt;0.01,"ATM/NEAR",""),"")</f>
        <v/>
      </c>
    </row>
    <row r="1613">
      <c r="A1613" s="13">
        <f>CHAIN_RAW!A1613</f>
        <v/>
      </c>
      <c r="B1613" s="14">
        <f>CHAIN_RAW!B1613</f>
        <v/>
      </c>
      <c r="C1613" s="13">
        <f>CHAIN_RAW!C1613</f>
        <v/>
      </c>
      <c r="D1613" s="13">
        <f>CHAIN_RAW!D1613</f>
        <v/>
      </c>
      <c r="E1613" s="13">
        <f>CHAIN_RAW!E1613</f>
        <v/>
      </c>
      <c r="F1613" s="13">
        <f>IFERROR((E1613-D1613)/D1613,"")</f>
        <v/>
      </c>
      <c r="G1613" s="13">
        <f>IFERROR((CHAIN_RAW!K1613+CHAIN_RAW!L1613)/2,"")</f>
        <v/>
      </c>
      <c r="H1613" s="13">
        <f>IFERROR((CHAIN_RAW!R1613+CHAIN_RAW!S1613)/2,"")</f>
        <v/>
      </c>
      <c r="I1613" s="13">
        <f>IFERROR((CHAIN_RAW!L1613-CHAIN_RAW!K1613)/MAX(1E-9, G1613),"")</f>
        <v/>
      </c>
      <c r="J1613" s="13">
        <f>IFERROR((CHAIN_RAW!S1613-CHAIN_RAW!R1613)/MAX(1E-9, H1613),"")</f>
        <v/>
      </c>
      <c r="K1613" s="13">
        <f>CHAIN_RAW!G1613</f>
        <v/>
      </c>
      <c r="L1613" s="13">
        <f>CHAIN_RAW!N1613</f>
        <v/>
      </c>
      <c r="M1613" s="13">
        <f>IFERROR(L1613-K1613,"")</f>
        <v/>
      </c>
      <c r="N1613" s="13">
        <f>CHAIN_RAW!H1613</f>
        <v/>
      </c>
      <c r="O1613" s="13">
        <f>CHAIN_RAW!O1613</f>
        <v/>
      </c>
      <c r="P1613" s="13">
        <f>IFERROR(O1613/N1613,"")</f>
        <v/>
      </c>
      <c r="Q1613" s="13">
        <f>CHAIN_RAW!I1613</f>
        <v/>
      </c>
      <c r="R1613" s="13">
        <f>CHAIN_RAW!P1613</f>
        <v/>
      </c>
      <c r="S1613" s="13">
        <f>IFERROR(R1613/Q1613,"")</f>
        <v/>
      </c>
      <c r="T1613" s="13">
        <f>IFERROR((ABS(N1613-O1613)/MAX(1,(N1613+O1613)))*EXP(-ABS(E1613-CONTROL!E5)/MAX(1,CONTROL!B8)),"")</f>
        <v/>
      </c>
      <c r="U1613" s="13">
        <f>IFERROR(IF(O1613&gt;N1613,"SUPPORT (PE OI)","RESIST (CE OI)"),"")</f>
        <v/>
      </c>
      <c r="V1613" s="13">
        <f>IFERROR(IF(Q1613&gt;0,IF(R1613&gt;0,"BOTH_ADD","CE_ADD_PE_REDUCE"),IF(R1613&gt;0,"CE_REDUCE_PE_ADD","BOTH_REDUCE")),"")</f>
        <v/>
      </c>
      <c r="W1613" s="13">
        <f>IFERROR( (P1613-1)*0.5 + (M1613)*0.1 - (I1613+J1613)*0.05 + T1613*0.4 ,"")</f>
        <v/>
      </c>
      <c r="X1613" s="13">
        <f>IFERROR(IF(ABS(F1613)&lt;0.01,"ATM/NEAR",""),"")</f>
        <v/>
      </c>
    </row>
    <row r="1614">
      <c r="A1614" s="13">
        <f>CHAIN_RAW!A1614</f>
        <v/>
      </c>
      <c r="B1614" s="14">
        <f>CHAIN_RAW!B1614</f>
        <v/>
      </c>
      <c r="C1614" s="13">
        <f>CHAIN_RAW!C1614</f>
        <v/>
      </c>
      <c r="D1614" s="13">
        <f>CHAIN_RAW!D1614</f>
        <v/>
      </c>
      <c r="E1614" s="13">
        <f>CHAIN_RAW!E1614</f>
        <v/>
      </c>
      <c r="F1614" s="13">
        <f>IFERROR((E1614-D1614)/D1614,"")</f>
        <v/>
      </c>
      <c r="G1614" s="13">
        <f>IFERROR((CHAIN_RAW!K1614+CHAIN_RAW!L1614)/2,"")</f>
        <v/>
      </c>
      <c r="H1614" s="13">
        <f>IFERROR((CHAIN_RAW!R1614+CHAIN_RAW!S1614)/2,"")</f>
        <v/>
      </c>
      <c r="I1614" s="13">
        <f>IFERROR((CHAIN_RAW!L1614-CHAIN_RAW!K1614)/MAX(1E-9, G1614),"")</f>
        <v/>
      </c>
      <c r="J1614" s="13">
        <f>IFERROR((CHAIN_RAW!S1614-CHAIN_RAW!R1614)/MAX(1E-9, H1614),"")</f>
        <v/>
      </c>
      <c r="K1614" s="13">
        <f>CHAIN_RAW!G1614</f>
        <v/>
      </c>
      <c r="L1614" s="13">
        <f>CHAIN_RAW!N1614</f>
        <v/>
      </c>
      <c r="M1614" s="13">
        <f>IFERROR(L1614-K1614,"")</f>
        <v/>
      </c>
      <c r="N1614" s="13">
        <f>CHAIN_RAW!H1614</f>
        <v/>
      </c>
      <c r="O1614" s="13">
        <f>CHAIN_RAW!O1614</f>
        <v/>
      </c>
      <c r="P1614" s="13">
        <f>IFERROR(O1614/N1614,"")</f>
        <v/>
      </c>
      <c r="Q1614" s="13">
        <f>CHAIN_RAW!I1614</f>
        <v/>
      </c>
      <c r="R1614" s="13">
        <f>CHAIN_RAW!P1614</f>
        <v/>
      </c>
      <c r="S1614" s="13">
        <f>IFERROR(R1614/Q1614,"")</f>
        <v/>
      </c>
      <c r="T1614" s="13">
        <f>IFERROR((ABS(N1614-O1614)/MAX(1,(N1614+O1614)))*EXP(-ABS(E1614-CONTROL!E5)/MAX(1,CONTROL!B8)),"")</f>
        <v/>
      </c>
      <c r="U1614" s="13">
        <f>IFERROR(IF(O1614&gt;N1614,"SUPPORT (PE OI)","RESIST (CE OI)"),"")</f>
        <v/>
      </c>
      <c r="V1614" s="13">
        <f>IFERROR(IF(Q1614&gt;0,IF(R1614&gt;0,"BOTH_ADD","CE_ADD_PE_REDUCE"),IF(R1614&gt;0,"CE_REDUCE_PE_ADD","BOTH_REDUCE")),"")</f>
        <v/>
      </c>
      <c r="W1614" s="13">
        <f>IFERROR( (P1614-1)*0.5 + (M1614)*0.1 - (I1614+J1614)*0.05 + T1614*0.4 ,"")</f>
        <v/>
      </c>
      <c r="X1614" s="13">
        <f>IFERROR(IF(ABS(F1614)&lt;0.01,"ATM/NEAR",""),"")</f>
        <v/>
      </c>
    </row>
    <row r="1615">
      <c r="A1615" s="13">
        <f>CHAIN_RAW!A1615</f>
        <v/>
      </c>
      <c r="B1615" s="14">
        <f>CHAIN_RAW!B1615</f>
        <v/>
      </c>
      <c r="C1615" s="13">
        <f>CHAIN_RAW!C1615</f>
        <v/>
      </c>
      <c r="D1615" s="13">
        <f>CHAIN_RAW!D1615</f>
        <v/>
      </c>
      <c r="E1615" s="13">
        <f>CHAIN_RAW!E1615</f>
        <v/>
      </c>
      <c r="F1615" s="13">
        <f>IFERROR((E1615-D1615)/D1615,"")</f>
        <v/>
      </c>
      <c r="G1615" s="13">
        <f>IFERROR((CHAIN_RAW!K1615+CHAIN_RAW!L1615)/2,"")</f>
        <v/>
      </c>
      <c r="H1615" s="13">
        <f>IFERROR((CHAIN_RAW!R1615+CHAIN_RAW!S1615)/2,"")</f>
        <v/>
      </c>
      <c r="I1615" s="13">
        <f>IFERROR((CHAIN_RAW!L1615-CHAIN_RAW!K1615)/MAX(1E-9, G1615),"")</f>
        <v/>
      </c>
      <c r="J1615" s="13">
        <f>IFERROR((CHAIN_RAW!S1615-CHAIN_RAW!R1615)/MAX(1E-9, H1615),"")</f>
        <v/>
      </c>
      <c r="K1615" s="13">
        <f>CHAIN_RAW!G1615</f>
        <v/>
      </c>
      <c r="L1615" s="13">
        <f>CHAIN_RAW!N1615</f>
        <v/>
      </c>
      <c r="M1615" s="13">
        <f>IFERROR(L1615-K1615,"")</f>
        <v/>
      </c>
      <c r="N1615" s="13">
        <f>CHAIN_RAW!H1615</f>
        <v/>
      </c>
      <c r="O1615" s="13">
        <f>CHAIN_RAW!O1615</f>
        <v/>
      </c>
      <c r="P1615" s="13">
        <f>IFERROR(O1615/N1615,"")</f>
        <v/>
      </c>
      <c r="Q1615" s="13">
        <f>CHAIN_RAW!I1615</f>
        <v/>
      </c>
      <c r="R1615" s="13">
        <f>CHAIN_RAW!P1615</f>
        <v/>
      </c>
      <c r="S1615" s="13">
        <f>IFERROR(R1615/Q1615,"")</f>
        <v/>
      </c>
      <c r="T1615" s="13">
        <f>IFERROR((ABS(N1615-O1615)/MAX(1,(N1615+O1615)))*EXP(-ABS(E1615-CONTROL!E5)/MAX(1,CONTROL!B8)),"")</f>
        <v/>
      </c>
      <c r="U1615" s="13">
        <f>IFERROR(IF(O1615&gt;N1615,"SUPPORT (PE OI)","RESIST (CE OI)"),"")</f>
        <v/>
      </c>
      <c r="V1615" s="13">
        <f>IFERROR(IF(Q1615&gt;0,IF(R1615&gt;0,"BOTH_ADD","CE_ADD_PE_REDUCE"),IF(R1615&gt;0,"CE_REDUCE_PE_ADD","BOTH_REDUCE")),"")</f>
        <v/>
      </c>
      <c r="W1615" s="13">
        <f>IFERROR( (P1615-1)*0.5 + (M1615)*0.1 - (I1615+J1615)*0.05 + T1615*0.4 ,"")</f>
        <v/>
      </c>
      <c r="X1615" s="13">
        <f>IFERROR(IF(ABS(F1615)&lt;0.01,"ATM/NEAR",""),"")</f>
        <v/>
      </c>
    </row>
    <row r="1616">
      <c r="A1616" s="13">
        <f>CHAIN_RAW!A1616</f>
        <v/>
      </c>
      <c r="B1616" s="14">
        <f>CHAIN_RAW!B1616</f>
        <v/>
      </c>
      <c r="C1616" s="13">
        <f>CHAIN_RAW!C1616</f>
        <v/>
      </c>
      <c r="D1616" s="13">
        <f>CHAIN_RAW!D1616</f>
        <v/>
      </c>
      <c r="E1616" s="13">
        <f>CHAIN_RAW!E1616</f>
        <v/>
      </c>
      <c r="F1616" s="13">
        <f>IFERROR((E1616-D1616)/D1616,"")</f>
        <v/>
      </c>
      <c r="G1616" s="13">
        <f>IFERROR((CHAIN_RAW!K1616+CHAIN_RAW!L1616)/2,"")</f>
        <v/>
      </c>
      <c r="H1616" s="13">
        <f>IFERROR((CHAIN_RAW!R1616+CHAIN_RAW!S1616)/2,"")</f>
        <v/>
      </c>
      <c r="I1616" s="13">
        <f>IFERROR((CHAIN_RAW!L1616-CHAIN_RAW!K1616)/MAX(1E-9, G1616),"")</f>
        <v/>
      </c>
      <c r="J1616" s="13">
        <f>IFERROR((CHAIN_RAW!S1616-CHAIN_RAW!R1616)/MAX(1E-9, H1616),"")</f>
        <v/>
      </c>
      <c r="K1616" s="13">
        <f>CHAIN_RAW!G1616</f>
        <v/>
      </c>
      <c r="L1616" s="13">
        <f>CHAIN_RAW!N1616</f>
        <v/>
      </c>
      <c r="M1616" s="13">
        <f>IFERROR(L1616-K1616,"")</f>
        <v/>
      </c>
      <c r="N1616" s="13">
        <f>CHAIN_RAW!H1616</f>
        <v/>
      </c>
      <c r="O1616" s="13">
        <f>CHAIN_RAW!O1616</f>
        <v/>
      </c>
      <c r="P1616" s="13">
        <f>IFERROR(O1616/N1616,"")</f>
        <v/>
      </c>
      <c r="Q1616" s="13">
        <f>CHAIN_RAW!I1616</f>
        <v/>
      </c>
      <c r="R1616" s="13">
        <f>CHAIN_RAW!P1616</f>
        <v/>
      </c>
      <c r="S1616" s="13">
        <f>IFERROR(R1616/Q1616,"")</f>
        <v/>
      </c>
      <c r="T1616" s="13">
        <f>IFERROR((ABS(N1616-O1616)/MAX(1,(N1616+O1616)))*EXP(-ABS(E1616-CONTROL!E5)/MAX(1,CONTROL!B8)),"")</f>
        <v/>
      </c>
      <c r="U1616" s="13">
        <f>IFERROR(IF(O1616&gt;N1616,"SUPPORT (PE OI)","RESIST (CE OI)"),"")</f>
        <v/>
      </c>
      <c r="V1616" s="13">
        <f>IFERROR(IF(Q1616&gt;0,IF(R1616&gt;0,"BOTH_ADD","CE_ADD_PE_REDUCE"),IF(R1616&gt;0,"CE_REDUCE_PE_ADD","BOTH_REDUCE")),"")</f>
        <v/>
      </c>
      <c r="W1616" s="13">
        <f>IFERROR( (P1616-1)*0.5 + (M1616)*0.1 - (I1616+J1616)*0.05 + T1616*0.4 ,"")</f>
        <v/>
      </c>
      <c r="X1616" s="13">
        <f>IFERROR(IF(ABS(F1616)&lt;0.01,"ATM/NEAR",""),"")</f>
        <v/>
      </c>
    </row>
    <row r="1617">
      <c r="A1617" s="13">
        <f>CHAIN_RAW!A1617</f>
        <v/>
      </c>
      <c r="B1617" s="14">
        <f>CHAIN_RAW!B1617</f>
        <v/>
      </c>
      <c r="C1617" s="13">
        <f>CHAIN_RAW!C1617</f>
        <v/>
      </c>
      <c r="D1617" s="13">
        <f>CHAIN_RAW!D1617</f>
        <v/>
      </c>
      <c r="E1617" s="13">
        <f>CHAIN_RAW!E1617</f>
        <v/>
      </c>
      <c r="F1617" s="13">
        <f>IFERROR((E1617-D1617)/D1617,"")</f>
        <v/>
      </c>
      <c r="G1617" s="13">
        <f>IFERROR((CHAIN_RAW!K1617+CHAIN_RAW!L1617)/2,"")</f>
        <v/>
      </c>
      <c r="H1617" s="13">
        <f>IFERROR((CHAIN_RAW!R1617+CHAIN_RAW!S1617)/2,"")</f>
        <v/>
      </c>
      <c r="I1617" s="13">
        <f>IFERROR((CHAIN_RAW!L1617-CHAIN_RAW!K1617)/MAX(1E-9, G1617),"")</f>
        <v/>
      </c>
      <c r="J1617" s="13">
        <f>IFERROR((CHAIN_RAW!S1617-CHAIN_RAW!R1617)/MAX(1E-9, H1617),"")</f>
        <v/>
      </c>
      <c r="K1617" s="13">
        <f>CHAIN_RAW!G1617</f>
        <v/>
      </c>
      <c r="L1617" s="13">
        <f>CHAIN_RAW!N1617</f>
        <v/>
      </c>
      <c r="M1617" s="13">
        <f>IFERROR(L1617-K1617,"")</f>
        <v/>
      </c>
      <c r="N1617" s="13">
        <f>CHAIN_RAW!H1617</f>
        <v/>
      </c>
      <c r="O1617" s="13">
        <f>CHAIN_RAW!O1617</f>
        <v/>
      </c>
      <c r="P1617" s="13">
        <f>IFERROR(O1617/N1617,"")</f>
        <v/>
      </c>
      <c r="Q1617" s="13">
        <f>CHAIN_RAW!I1617</f>
        <v/>
      </c>
      <c r="R1617" s="13">
        <f>CHAIN_RAW!P1617</f>
        <v/>
      </c>
      <c r="S1617" s="13">
        <f>IFERROR(R1617/Q1617,"")</f>
        <v/>
      </c>
      <c r="T1617" s="13">
        <f>IFERROR((ABS(N1617-O1617)/MAX(1,(N1617+O1617)))*EXP(-ABS(E1617-CONTROL!E5)/MAX(1,CONTROL!B8)),"")</f>
        <v/>
      </c>
      <c r="U1617" s="13">
        <f>IFERROR(IF(O1617&gt;N1617,"SUPPORT (PE OI)","RESIST (CE OI)"),"")</f>
        <v/>
      </c>
      <c r="V1617" s="13">
        <f>IFERROR(IF(Q1617&gt;0,IF(R1617&gt;0,"BOTH_ADD","CE_ADD_PE_REDUCE"),IF(R1617&gt;0,"CE_REDUCE_PE_ADD","BOTH_REDUCE")),"")</f>
        <v/>
      </c>
      <c r="W1617" s="13">
        <f>IFERROR( (P1617-1)*0.5 + (M1617)*0.1 - (I1617+J1617)*0.05 + T1617*0.4 ,"")</f>
        <v/>
      </c>
      <c r="X1617" s="13">
        <f>IFERROR(IF(ABS(F1617)&lt;0.01,"ATM/NEAR",""),"")</f>
        <v/>
      </c>
    </row>
    <row r="1618">
      <c r="A1618" s="13">
        <f>CHAIN_RAW!A1618</f>
        <v/>
      </c>
      <c r="B1618" s="14">
        <f>CHAIN_RAW!B1618</f>
        <v/>
      </c>
      <c r="C1618" s="13">
        <f>CHAIN_RAW!C1618</f>
        <v/>
      </c>
      <c r="D1618" s="13">
        <f>CHAIN_RAW!D1618</f>
        <v/>
      </c>
      <c r="E1618" s="13">
        <f>CHAIN_RAW!E1618</f>
        <v/>
      </c>
      <c r="F1618" s="13">
        <f>IFERROR((E1618-D1618)/D1618,"")</f>
        <v/>
      </c>
      <c r="G1618" s="13">
        <f>IFERROR((CHAIN_RAW!K1618+CHAIN_RAW!L1618)/2,"")</f>
        <v/>
      </c>
      <c r="H1618" s="13">
        <f>IFERROR((CHAIN_RAW!R1618+CHAIN_RAW!S1618)/2,"")</f>
        <v/>
      </c>
      <c r="I1618" s="13">
        <f>IFERROR((CHAIN_RAW!L1618-CHAIN_RAW!K1618)/MAX(1E-9, G1618),"")</f>
        <v/>
      </c>
      <c r="J1618" s="13">
        <f>IFERROR((CHAIN_RAW!S1618-CHAIN_RAW!R1618)/MAX(1E-9, H1618),"")</f>
        <v/>
      </c>
      <c r="K1618" s="13">
        <f>CHAIN_RAW!G1618</f>
        <v/>
      </c>
      <c r="L1618" s="13">
        <f>CHAIN_RAW!N1618</f>
        <v/>
      </c>
      <c r="M1618" s="13">
        <f>IFERROR(L1618-K1618,"")</f>
        <v/>
      </c>
      <c r="N1618" s="13">
        <f>CHAIN_RAW!H1618</f>
        <v/>
      </c>
      <c r="O1618" s="13">
        <f>CHAIN_RAW!O1618</f>
        <v/>
      </c>
      <c r="P1618" s="13">
        <f>IFERROR(O1618/N1618,"")</f>
        <v/>
      </c>
      <c r="Q1618" s="13">
        <f>CHAIN_RAW!I1618</f>
        <v/>
      </c>
      <c r="R1618" s="13">
        <f>CHAIN_RAW!P1618</f>
        <v/>
      </c>
      <c r="S1618" s="13">
        <f>IFERROR(R1618/Q1618,"")</f>
        <v/>
      </c>
      <c r="T1618" s="13">
        <f>IFERROR((ABS(N1618-O1618)/MAX(1,(N1618+O1618)))*EXP(-ABS(E1618-CONTROL!E5)/MAX(1,CONTROL!B8)),"")</f>
        <v/>
      </c>
      <c r="U1618" s="13">
        <f>IFERROR(IF(O1618&gt;N1618,"SUPPORT (PE OI)","RESIST (CE OI)"),"")</f>
        <v/>
      </c>
      <c r="V1618" s="13">
        <f>IFERROR(IF(Q1618&gt;0,IF(R1618&gt;0,"BOTH_ADD","CE_ADD_PE_REDUCE"),IF(R1618&gt;0,"CE_REDUCE_PE_ADD","BOTH_REDUCE")),"")</f>
        <v/>
      </c>
      <c r="W1618" s="13">
        <f>IFERROR( (P1618-1)*0.5 + (M1618)*0.1 - (I1618+J1618)*0.05 + T1618*0.4 ,"")</f>
        <v/>
      </c>
      <c r="X1618" s="13">
        <f>IFERROR(IF(ABS(F1618)&lt;0.01,"ATM/NEAR",""),"")</f>
        <v/>
      </c>
    </row>
    <row r="1619">
      <c r="A1619" s="13">
        <f>CHAIN_RAW!A1619</f>
        <v/>
      </c>
      <c r="B1619" s="14">
        <f>CHAIN_RAW!B1619</f>
        <v/>
      </c>
      <c r="C1619" s="13">
        <f>CHAIN_RAW!C1619</f>
        <v/>
      </c>
      <c r="D1619" s="13">
        <f>CHAIN_RAW!D1619</f>
        <v/>
      </c>
      <c r="E1619" s="13">
        <f>CHAIN_RAW!E1619</f>
        <v/>
      </c>
      <c r="F1619" s="13">
        <f>IFERROR((E1619-D1619)/D1619,"")</f>
        <v/>
      </c>
      <c r="G1619" s="13">
        <f>IFERROR((CHAIN_RAW!K1619+CHAIN_RAW!L1619)/2,"")</f>
        <v/>
      </c>
      <c r="H1619" s="13">
        <f>IFERROR((CHAIN_RAW!R1619+CHAIN_RAW!S1619)/2,"")</f>
        <v/>
      </c>
      <c r="I1619" s="13">
        <f>IFERROR((CHAIN_RAW!L1619-CHAIN_RAW!K1619)/MAX(1E-9, G1619),"")</f>
        <v/>
      </c>
      <c r="J1619" s="13">
        <f>IFERROR((CHAIN_RAW!S1619-CHAIN_RAW!R1619)/MAX(1E-9, H1619),"")</f>
        <v/>
      </c>
      <c r="K1619" s="13">
        <f>CHAIN_RAW!G1619</f>
        <v/>
      </c>
      <c r="L1619" s="13">
        <f>CHAIN_RAW!N1619</f>
        <v/>
      </c>
      <c r="M1619" s="13">
        <f>IFERROR(L1619-K1619,"")</f>
        <v/>
      </c>
      <c r="N1619" s="13">
        <f>CHAIN_RAW!H1619</f>
        <v/>
      </c>
      <c r="O1619" s="13">
        <f>CHAIN_RAW!O1619</f>
        <v/>
      </c>
      <c r="P1619" s="13">
        <f>IFERROR(O1619/N1619,"")</f>
        <v/>
      </c>
      <c r="Q1619" s="13">
        <f>CHAIN_RAW!I1619</f>
        <v/>
      </c>
      <c r="R1619" s="13">
        <f>CHAIN_RAW!P1619</f>
        <v/>
      </c>
      <c r="S1619" s="13">
        <f>IFERROR(R1619/Q1619,"")</f>
        <v/>
      </c>
      <c r="T1619" s="13">
        <f>IFERROR((ABS(N1619-O1619)/MAX(1,(N1619+O1619)))*EXP(-ABS(E1619-CONTROL!E5)/MAX(1,CONTROL!B8)),"")</f>
        <v/>
      </c>
      <c r="U1619" s="13">
        <f>IFERROR(IF(O1619&gt;N1619,"SUPPORT (PE OI)","RESIST (CE OI)"),"")</f>
        <v/>
      </c>
      <c r="V1619" s="13">
        <f>IFERROR(IF(Q1619&gt;0,IF(R1619&gt;0,"BOTH_ADD","CE_ADD_PE_REDUCE"),IF(R1619&gt;0,"CE_REDUCE_PE_ADD","BOTH_REDUCE")),"")</f>
        <v/>
      </c>
      <c r="W1619" s="13">
        <f>IFERROR( (P1619-1)*0.5 + (M1619)*0.1 - (I1619+J1619)*0.05 + T1619*0.4 ,"")</f>
        <v/>
      </c>
      <c r="X1619" s="13">
        <f>IFERROR(IF(ABS(F1619)&lt;0.01,"ATM/NEAR",""),"")</f>
        <v/>
      </c>
    </row>
    <row r="1620">
      <c r="A1620" s="13">
        <f>CHAIN_RAW!A1620</f>
        <v/>
      </c>
      <c r="B1620" s="14">
        <f>CHAIN_RAW!B1620</f>
        <v/>
      </c>
      <c r="C1620" s="13">
        <f>CHAIN_RAW!C1620</f>
        <v/>
      </c>
      <c r="D1620" s="13">
        <f>CHAIN_RAW!D1620</f>
        <v/>
      </c>
      <c r="E1620" s="13">
        <f>CHAIN_RAW!E1620</f>
        <v/>
      </c>
      <c r="F1620" s="13">
        <f>IFERROR((E1620-D1620)/D1620,"")</f>
        <v/>
      </c>
      <c r="G1620" s="13">
        <f>IFERROR((CHAIN_RAW!K1620+CHAIN_RAW!L1620)/2,"")</f>
        <v/>
      </c>
      <c r="H1620" s="13">
        <f>IFERROR((CHAIN_RAW!R1620+CHAIN_RAW!S1620)/2,"")</f>
        <v/>
      </c>
      <c r="I1620" s="13">
        <f>IFERROR((CHAIN_RAW!L1620-CHAIN_RAW!K1620)/MAX(1E-9, G1620),"")</f>
        <v/>
      </c>
      <c r="J1620" s="13">
        <f>IFERROR((CHAIN_RAW!S1620-CHAIN_RAW!R1620)/MAX(1E-9, H1620),"")</f>
        <v/>
      </c>
      <c r="K1620" s="13">
        <f>CHAIN_RAW!G1620</f>
        <v/>
      </c>
      <c r="L1620" s="13">
        <f>CHAIN_RAW!N1620</f>
        <v/>
      </c>
      <c r="M1620" s="13">
        <f>IFERROR(L1620-K1620,"")</f>
        <v/>
      </c>
      <c r="N1620" s="13">
        <f>CHAIN_RAW!H1620</f>
        <v/>
      </c>
      <c r="O1620" s="13">
        <f>CHAIN_RAW!O1620</f>
        <v/>
      </c>
      <c r="P1620" s="13">
        <f>IFERROR(O1620/N1620,"")</f>
        <v/>
      </c>
      <c r="Q1620" s="13">
        <f>CHAIN_RAW!I1620</f>
        <v/>
      </c>
      <c r="R1620" s="13">
        <f>CHAIN_RAW!P1620</f>
        <v/>
      </c>
      <c r="S1620" s="13">
        <f>IFERROR(R1620/Q1620,"")</f>
        <v/>
      </c>
      <c r="T1620" s="13">
        <f>IFERROR((ABS(N1620-O1620)/MAX(1,(N1620+O1620)))*EXP(-ABS(E1620-CONTROL!E5)/MAX(1,CONTROL!B8)),"")</f>
        <v/>
      </c>
      <c r="U1620" s="13">
        <f>IFERROR(IF(O1620&gt;N1620,"SUPPORT (PE OI)","RESIST (CE OI)"),"")</f>
        <v/>
      </c>
      <c r="V1620" s="13">
        <f>IFERROR(IF(Q1620&gt;0,IF(R1620&gt;0,"BOTH_ADD","CE_ADD_PE_REDUCE"),IF(R1620&gt;0,"CE_REDUCE_PE_ADD","BOTH_REDUCE")),"")</f>
        <v/>
      </c>
      <c r="W1620" s="13">
        <f>IFERROR( (P1620-1)*0.5 + (M1620)*0.1 - (I1620+J1620)*0.05 + T1620*0.4 ,"")</f>
        <v/>
      </c>
      <c r="X1620" s="13">
        <f>IFERROR(IF(ABS(F1620)&lt;0.01,"ATM/NEAR",""),"")</f>
        <v/>
      </c>
    </row>
    <row r="1621">
      <c r="A1621" s="13">
        <f>CHAIN_RAW!A1621</f>
        <v/>
      </c>
      <c r="B1621" s="14">
        <f>CHAIN_RAW!B1621</f>
        <v/>
      </c>
      <c r="C1621" s="13">
        <f>CHAIN_RAW!C1621</f>
        <v/>
      </c>
      <c r="D1621" s="13">
        <f>CHAIN_RAW!D1621</f>
        <v/>
      </c>
      <c r="E1621" s="13">
        <f>CHAIN_RAW!E1621</f>
        <v/>
      </c>
      <c r="F1621" s="13">
        <f>IFERROR((E1621-D1621)/D1621,"")</f>
        <v/>
      </c>
      <c r="G1621" s="13">
        <f>IFERROR((CHAIN_RAW!K1621+CHAIN_RAW!L1621)/2,"")</f>
        <v/>
      </c>
      <c r="H1621" s="13">
        <f>IFERROR((CHAIN_RAW!R1621+CHAIN_RAW!S1621)/2,"")</f>
        <v/>
      </c>
      <c r="I1621" s="13">
        <f>IFERROR((CHAIN_RAW!L1621-CHAIN_RAW!K1621)/MAX(1E-9, G1621),"")</f>
        <v/>
      </c>
      <c r="J1621" s="13">
        <f>IFERROR((CHAIN_RAW!S1621-CHAIN_RAW!R1621)/MAX(1E-9, H1621),"")</f>
        <v/>
      </c>
      <c r="K1621" s="13">
        <f>CHAIN_RAW!G1621</f>
        <v/>
      </c>
      <c r="L1621" s="13">
        <f>CHAIN_RAW!N1621</f>
        <v/>
      </c>
      <c r="M1621" s="13">
        <f>IFERROR(L1621-K1621,"")</f>
        <v/>
      </c>
      <c r="N1621" s="13">
        <f>CHAIN_RAW!H1621</f>
        <v/>
      </c>
      <c r="O1621" s="13">
        <f>CHAIN_RAW!O1621</f>
        <v/>
      </c>
      <c r="P1621" s="13">
        <f>IFERROR(O1621/N1621,"")</f>
        <v/>
      </c>
      <c r="Q1621" s="13">
        <f>CHAIN_RAW!I1621</f>
        <v/>
      </c>
      <c r="R1621" s="13">
        <f>CHAIN_RAW!P1621</f>
        <v/>
      </c>
      <c r="S1621" s="13">
        <f>IFERROR(R1621/Q1621,"")</f>
        <v/>
      </c>
      <c r="T1621" s="13">
        <f>IFERROR((ABS(N1621-O1621)/MAX(1,(N1621+O1621)))*EXP(-ABS(E1621-CONTROL!E5)/MAX(1,CONTROL!B8)),"")</f>
        <v/>
      </c>
      <c r="U1621" s="13">
        <f>IFERROR(IF(O1621&gt;N1621,"SUPPORT (PE OI)","RESIST (CE OI)"),"")</f>
        <v/>
      </c>
      <c r="V1621" s="13">
        <f>IFERROR(IF(Q1621&gt;0,IF(R1621&gt;0,"BOTH_ADD","CE_ADD_PE_REDUCE"),IF(R1621&gt;0,"CE_REDUCE_PE_ADD","BOTH_REDUCE")),"")</f>
        <v/>
      </c>
      <c r="W1621" s="13">
        <f>IFERROR( (P1621-1)*0.5 + (M1621)*0.1 - (I1621+J1621)*0.05 + T1621*0.4 ,"")</f>
        <v/>
      </c>
      <c r="X1621" s="13">
        <f>IFERROR(IF(ABS(F1621)&lt;0.01,"ATM/NEAR",""),"")</f>
        <v/>
      </c>
    </row>
    <row r="1622">
      <c r="A1622" s="13">
        <f>CHAIN_RAW!A1622</f>
        <v/>
      </c>
      <c r="B1622" s="14">
        <f>CHAIN_RAW!B1622</f>
        <v/>
      </c>
      <c r="C1622" s="13">
        <f>CHAIN_RAW!C1622</f>
        <v/>
      </c>
      <c r="D1622" s="13">
        <f>CHAIN_RAW!D1622</f>
        <v/>
      </c>
      <c r="E1622" s="13">
        <f>CHAIN_RAW!E1622</f>
        <v/>
      </c>
      <c r="F1622" s="13">
        <f>IFERROR((E1622-D1622)/D1622,"")</f>
        <v/>
      </c>
      <c r="G1622" s="13">
        <f>IFERROR((CHAIN_RAW!K1622+CHAIN_RAW!L1622)/2,"")</f>
        <v/>
      </c>
      <c r="H1622" s="13">
        <f>IFERROR((CHAIN_RAW!R1622+CHAIN_RAW!S1622)/2,"")</f>
        <v/>
      </c>
      <c r="I1622" s="13">
        <f>IFERROR((CHAIN_RAW!L1622-CHAIN_RAW!K1622)/MAX(1E-9, G1622),"")</f>
        <v/>
      </c>
      <c r="J1622" s="13">
        <f>IFERROR((CHAIN_RAW!S1622-CHAIN_RAW!R1622)/MAX(1E-9, H1622),"")</f>
        <v/>
      </c>
      <c r="K1622" s="13">
        <f>CHAIN_RAW!G1622</f>
        <v/>
      </c>
      <c r="L1622" s="13">
        <f>CHAIN_RAW!N1622</f>
        <v/>
      </c>
      <c r="M1622" s="13">
        <f>IFERROR(L1622-K1622,"")</f>
        <v/>
      </c>
      <c r="N1622" s="13">
        <f>CHAIN_RAW!H1622</f>
        <v/>
      </c>
      <c r="O1622" s="13">
        <f>CHAIN_RAW!O1622</f>
        <v/>
      </c>
      <c r="P1622" s="13">
        <f>IFERROR(O1622/N1622,"")</f>
        <v/>
      </c>
      <c r="Q1622" s="13">
        <f>CHAIN_RAW!I1622</f>
        <v/>
      </c>
      <c r="R1622" s="13">
        <f>CHAIN_RAW!P1622</f>
        <v/>
      </c>
      <c r="S1622" s="13">
        <f>IFERROR(R1622/Q1622,"")</f>
        <v/>
      </c>
      <c r="T1622" s="13">
        <f>IFERROR((ABS(N1622-O1622)/MAX(1,(N1622+O1622)))*EXP(-ABS(E1622-CONTROL!E5)/MAX(1,CONTROL!B8)),"")</f>
        <v/>
      </c>
      <c r="U1622" s="13">
        <f>IFERROR(IF(O1622&gt;N1622,"SUPPORT (PE OI)","RESIST (CE OI)"),"")</f>
        <v/>
      </c>
      <c r="V1622" s="13">
        <f>IFERROR(IF(Q1622&gt;0,IF(R1622&gt;0,"BOTH_ADD","CE_ADD_PE_REDUCE"),IF(R1622&gt;0,"CE_REDUCE_PE_ADD","BOTH_REDUCE")),"")</f>
        <v/>
      </c>
      <c r="W1622" s="13">
        <f>IFERROR( (P1622-1)*0.5 + (M1622)*0.1 - (I1622+J1622)*0.05 + T1622*0.4 ,"")</f>
        <v/>
      </c>
      <c r="X1622" s="13">
        <f>IFERROR(IF(ABS(F1622)&lt;0.01,"ATM/NEAR",""),"")</f>
        <v/>
      </c>
    </row>
    <row r="1623">
      <c r="A1623" s="13">
        <f>CHAIN_RAW!A1623</f>
        <v/>
      </c>
      <c r="B1623" s="14">
        <f>CHAIN_RAW!B1623</f>
        <v/>
      </c>
      <c r="C1623" s="13">
        <f>CHAIN_RAW!C1623</f>
        <v/>
      </c>
      <c r="D1623" s="13">
        <f>CHAIN_RAW!D1623</f>
        <v/>
      </c>
      <c r="E1623" s="13">
        <f>CHAIN_RAW!E1623</f>
        <v/>
      </c>
      <c r="F1623" s="13">
        <f>IFERROR((E1623-D1623)/D1623,"")</f>
        <v/>
      </c>
      <c r="G1623" s="13">
        <f>IFERROR((CHAIN_RAW!K1623+CHAIN_RAW!L1623)/2,"")</f>
        <v/>
      </c>
      <c r="H1623" s="13">
        <f>IFERROR((CHAIN_RAW!R1623+CHAIN_RAW!S1623)/2,"")</f>
        <v/>
      </c>
      <c r="I1623" s="13">
        <f>IFERROR((CHAIN_RAW!L1623-CHAIN_RAW!K1623)/MAX(1E-9, G1623),"")</f>
        <v/>
      </c>
      <c r="J1623" s="13">
        <f>IFERROR((CHAIN_RAW!S1623-CHAIN_RAW!R1623)/MAX(1E-9, H1623),"")</f>
        <v/>
      </c>
      <c r="K1623" s="13">
        <f>CHAIN_RAW!G1623</f>
        <v/>
      </c>
      <c r="L1623" s="13">
        <f>CHAIN_RAW!N1623</f>
        <v/>
      </c>
      <c r="M1623" s="13">
        <f>IFERROR(L1623-K1623,"")</f>
        <v/>
      </c>
      <c r="N1623" s="13">
        <f>CHAIN_RAW!H1623</f>
        <v/>
      </c>
      <c r="O1623" s="13">
        <f>CHAIN_RAW!O1623</f>
        <v/>
      </c>
      <c r="P1623" s="13">
        <f>IFERROR(O1623/N1623,"")</f>
        <v/>
      </c>
      <c r="Q1623" s="13">
        <f>CHAIN_RAW!I1623</f>
        <v/>
      </c>
      <c r="R1623" s="13">
        <f>CHAIN_RAW!P1623</f>
        <v/>
      </c>
      <c r="S1623" s="13">
        <f>IFERROR(R1623/Q1623,"")</f>
        <v/>
      </c>
      <c r="T1623" s="13">
        <f>IFERROR((ABS(N1623-O1623)/MAX(1,(N1623+O1623)))*EXP(-ABS(E1623-CONTROL!E5)/MAX(1,CONTROL!B8)),"")</f>
        <v/>
      </c>
      <c r="U1623" s="13">
        <f>IFERROR(IF(O1623&gt;N1623,"SUPPORT (PE OI)","RESIST (CE OI)"),"")</f>
        <v/>
      </c>
      <c r="V1623" s="13">
        <f>IFERROR(IF(Q1623&gt;0,IF(R1623&gt;0,"BOTH_ADD","CE_ADD_PE_REDUCE"),IF(R1623&gt;0,"CE_REDUCE_PE_ADD","BOTH_REDUCE")),"")</f>
        <v/>
      </c>
      <c r="W1623" s="13">
        <f>IFERROR( (P1623-1)*0.5 + (M1623)*0.1 - (I1623+J1623)*0.05 + T1623*0.4 ,"")</f>
        <v/>
      </c>
      <c r="X1623" s="13">
        <f>IFERROR(IF(ABS(F1623)&lt;0.01,"ATM/NEAR",""),"")</f>
        <v/>
      </c>
    </row>
    <row r="1624">
      <c r="A1624" s="13">
        <f>CHAIN_RAW!A1624</f>
        <v/>
      </c>
      <c r="B1624" s="14">
        <f>CHAIN_RAW!B1624</f>
        <v/>
      </c>
      <c r="C1624" s="13">
        <f>CHAIN_RAW!C1624</f>
        <v/>
      </c>
      <c r="D1624" s="13">
        <f>CHAIN_RAW!D1624</f>
        <v/>
      </c>
      <c r="E1624" s="13">
        <f>CHAIN_RAW!E1624</f>
        <v/>
      </c>
      <c r="F1624" s="13">
        <f>IFERROR((E1624-D1624)/D1624,"")</f>
        <v/>
      </c>
      <c r="G1624" s="13">
        <f>IFERROR((CHAIN_RAW!K1624+CHAIN_RAW!L1624)/2,"")</f>
        <v/>
      </c>
      <c r="H1624" s="13">
        <f>IFERROR((CHAIN_RAW!R1624+CHAIN_RAW!S1624)/2,"")</f>
        <v/>
      </c>
      <c r="I1624" s="13">
        <f>IFERROR((CHAIN_RAW!L1624-CHAIN_RAW!K1624)/MAX(1E-9, G1624),"")</f>
        <v/>
      </c>
      <c r="J1624" s="13">
        <f>IFERROR((CHAIN_RAW!S1624-CHAIN_RAW!R1624)/MAX(1E-9, H1624),"")</f>
        <v/>
      </c>
      <c r="K1624" s="13">
        <f>CHAIN_RAW!G1624</f>
        <v/>
      </c>
      <c r="L1624" s="13">
        <f>CHAIN_RAW!N1624</f>
        <v/>
      </c>
      <c r="M1624" s="13">
        <f>IFERROR(L1624-K1624,"")</f>
        <v/>
      </c>
      <c r="N1624" s="13">
        <f>CHAIN_RAW!H1624</f>
        <v/>
      </c>
      <c r="O1624" s="13">
        <f>CHAIN_RAW!O1624</f>
        <v/>
      </c>
      <c r="P1624" s="13">
        <f>IFERROR(O1624/N1624,"")</f>
        <v/>
      </c>
      <c r="Q1624" s="13">
        <f>CHAIN_RAW!I1624</f>
        <v/>
      </c>
      <c r="R1624" s="13">
        <f>CHAIN_RAW!P1624</f>
        <v/>
      </c>
      <c r="S1624" s="13">
        <f>IFERROR(R1624/Q1624,"")</f>
        <v/>
      </c>
      <c r="T1624" s="13">
        <f>IFERROR((ABS(N1624-O1624)/MAX(1,(N1624+O1624)))*EXP(-ABS(E1624-CONTROL!E5)/MAX(1,CONTROL!B8)),"")</f>
        <v/>
      </c>
      <c r="U1624" s="13">
        <f>IFERROR(IF(O1624&gt;N1624,"SUPPORT (PE OI)","RESIST (CE OI)"),"")</f>
        <v/>
      </c>
      <c r="V1624" s="13">
        <f>IFERROR(IF(Q1624&gt;0,IF(R1624&gt;0,"BOTH_ADD","CE_ADD_PE_REDUCE"),IF(R1624&gt;0,"CE_REDUCE_PE_ADD","BOTH_REDUCE")),"")</f>
        <v/>
      </c>
      <c r="W1624" s="13">
        <f>IFERROR( (P1624-1)*0.5 + (M1624)*0.1 - (I1624+J1624)*0.05 + T1624*0.4 ,"")</f>
        <v/>
      </c>
      <c r="X1624" s="13">
        <f>IFERROR(IF(ABS(F1624)&lt;0.01,"ATM/NEAR",""),"")</f>
        <v/>
      </c>
    </row>
    <row r="1625">
      <c r="A1625" s="13">
        <f>CHAIN_RAW!A1625</f>
        <v/>
      </c>
      <c r="B1625" s="14">
        <f>CHAIN_RAW!B1625</f>
        <v/>
      </c>
      <c r="C1625" s="13">
        <f>CHAIN_RAW!C1625</f>
        <v/>
      </c>
      <c r="D1625" s="13">
        <f>CHAIN_RAW!D1625</f>
        <v/>
      </c>
      <c r="E1625" s="13">
        <f>CHAIN_RAW!E1625</f>
        <v/>
      </c>
      <c r="F1625" s="13">
        <f>IFERROR((E1625-D1625)/D1625,"")</f>
        <v/>
      </c>
      <c r="G1625" s="13">
        <f>IFERROR((CHAIN_RAW!K1625+CHAIN_RAW!L1625)/2,"")</f>
        <v/>
      </c>
      <c r="H1625" s="13">
        <f>IFERROR((CHAIN_RAW!R1625+CHAIN_RAW!S1625)/2,"")</f>
        <v/>
      </c>
      <c r="I1625" s="13">
        <f>IFERROR((CHAIN_RAW!L1625-CHAIN_RAW!K1625)/MAX(1E-9, G1625),"")</f>
        <v/>
      </c>
      <c r="J1625" s="13">
        <f>IFERROR((CHAIN_RAW!S1625-CHAIN_RAW!R1625)/MAX(1E-9, H1625),"")</f>
        <v/>
      </c>
      <c r="K1625" s="13">
        <f>CHAIN_RAW!G1625</f>
        <v/>
      </c>
      <c r="L1625" s="13">
        <f>CHAIN_RAW!N1625</f>
        <v/>
      </c>
      <c r="M1625" s="13">
        <f>IFERROR(L1625-K1625,"")</f>
        <v/>
      </c>
      <c r="N1625" s="13">
        <f>CHAIN_RAW!H1625</f>
        <v/>
      </c>
      <c r="O1625" s="13">
        <f>CHAIN_RAW!O1625</f>
        <v/>
      </c>
      <c r="P1625" s="13">
        <f>IFERROR(O1625/N1625,"")</f>
        <v/>
      </c>
      <c r="Q1625" s="13">
        <f>CHAIN_RAW!I1625</f>
        <v/>
      </c>
      <c r="R1625" s="13">
        <f>CHAIN_RAW!P1625</f>
        <v/>
      </c>
      <c r="S1625" s="13">
        <f>IFERROR(R1625/Q1625,"")</f>
        <v/>
      </c>
      <c r="T1625" s="13">
        <f>IFERROR((ABS(N1625-O1625)/MAX(1,(N1625+O1625)))*EXP(-ABS(E1625-CONTROL!E5)/MAX(1,CONTROL!B8)),"")</f>
        <v/>
      </c>
      <c r="U1625" s="13">
        <f>IFERROR(IF(O1625&gt;N1625,"SUPPORT (PE OI)","RESIST (CE OI)"),"")</f>
        <v/>
      </c>
      <c r="V1625" s="13">
        <f>IFERROR(IF(Q1625&gt;0,IF(R1625&gt;0,"BOTH_ADD","CE_ADD_PE_REDUCE"),IF(R1625&gt;0,"CE_REDUCE_PE_ADD","BOTH_REDUCE")),"")</f>
        <v/>
      </c>
      <c r="W1625" s="13">
        <f>IFERROR( (P1625-1)*0.5 + (M1625)*0.1 - (I1625+J1625)*0.05 + T1625*0.4 ,"")</f>
        <v/>
      </c>
      <c r="X1625" s="13">
        <f>IFERROR(IF(ABS(F1625)&lt;0.01,"ATM/NEAR",""),"")</f>
        <v/>
      </c>
    </row>
    <row r="1626">
      <c r="A1626" s="13">
        <f>CHAIN_RAW!A1626</f>
        <v/>
      </c>
      <c r="B1626" s="14">
        <f>CHAIN_RAW!B1626</f>
        <v/>
      </c>
      <c r="C1626" s="13">
        <f>CHAIN_RAW!C1626</f>
        <v/>
      </c>
      <c r="D1626" s="13">
        <f>CHAIN_RAW!D1626</f>
        <v/>
      </c>
      <c r="E1626" s="13">
        <f>CHAIN_RAW!E1626</f>
        <v/>
      </c>
      <c r="F1626" s="13">
        <f>IFERROR((E1626-D1626)/D1626,"")</f>
        <v/>
      </c>
      <c r="G1626" s="13">
        <f>IFERROR((CHAIN_RAW!K1626+CHAIN_RAW!L1626)/2,"")</f>
        <v/>
      </c>
      <c r="H1626" s="13">
        <f>IFERROR((CHAIN_RAW!R1626+CHAIN_RAW!S1626)/2,"")</f>
        <v/>
      </c>
      <c r="I1626" s="13">
        <f>IFERROR((CHAIN_RAW!L1626-CHAIN_RAW!K1626)/MAX(1E-9, G1626),"")</f>
        <v/>
      </c>
      <c r="J1626" s="13">
        <f>IFERROR((CHAIN_RAW!S1626-CHAIN_RAW!R1626)/MAX(1E-9, H1626),"")</f>
        <v/>
      </c>
      <c r="K1626" s="13">
        <f>CHAIN_RAW!G1626</f>
        <v/>
      </c>
      <c r="L1626" s="13">
        <f>CHAIN_RAW!N1626</f>
        <v/>
      </c>
      <c r="M1626" s="13">
        <f>IFERROR(L1626-K1626,"")</f>
        <v/>
      </c>
      <c r="N1626" s="13">
        <f>CHAIN_RAW!H1626</f>
        <v/>
      </c>
      <c r="O1626" s="13">
        <f>CHAIN_RAW!O1626</f>
        <v/>
      </c>
      <c r="P1626" s="13">
        <f>IFERROR(O1626/N1626,"")</f>
        <v/>
      </c>
      <c r="Q1626" s="13">
        <f>CHAIN_RAW!I1626</f>
        <v/>
      </c>
      <c r="R1626" s="13">
        <f>CHAIN_RAW!P1626</f>
        <v/>
      </c>
      <c r="S1626" s="13">
        <f>IFERROR(R1626/Q1626,"")</f>
        <v/>
      </c>
      <c r="T1626" s="13">
        <f>IFERROR((ABS(N1626-O1626)/MAX(1,(N1626+O1626)))*EXP(-ABS(E1626-CONTROL!E5)/MAX(1,CONTROL!B8)),"")</f>
        <v/>
      </c>
      <c r="U1626" s="13">
        <f>IFERROR(IF(O1626&gt;N1626,"SUPPORT (PE OI)","RESIST (CE OI)"),"")</f>
        <v/>
      </c>
      <c r="V1626" s="13">
        <f>IFERROR(IF(Q1626&gt;0,IF(R1626&gt;0,"BOTH_ADD","CE_ADD_PE_REDUCE"),IF(R1626&gt;0,"CE_REDUCE_PE_ADD","BOTH_REDUCE")),"")</f>
        <v/>
      </c>
      <c r="W1626" s="13">
        <f>IFERROR( (P1626-1)*0.5 + (M1626)*0.1 - (I1626+J1626)*0.05 + T1626*0.4 ,"")</f>
        <v/>
      </c>
      <c r="X1626" s="13">
        <f>IFERROR(IF(ABS(F1626)&lt;0.01,"ATM/NEAR",""),"")</f>
        <v/>
      </c>
    </row>
    <row r="1627">
      <c r="A1627" s="13">
        <f>CHAIN_RAW!A1627</f>
        <v/>
      </c>
      <c r="B1627" s="14">
        <f>CHAIN_RAW!B1627</f>
        <v/>
      </c>
      <c r="C1627" s="13">
        <f>CHAIN_RAW!C1627</f>
        <v/>
      </c>
      <c r="D1627" s="13">
        <f>CHAIN_RAW!D1627</f>
        <v/>
      </c>
      <c r="E1627" s="13">
        <f>CHAIN_RAW!E1627</f>
        <v/>
      </c>
      <c r="F1627" s="13">
        <f>IFERROR((E1627-D1627)/D1627,"")</f>
        <v/>
      </c>
      <c r="G1627" s="13">
        <f>IFERROR((CHAIN_RAW!K1627+CHAIN_RAW!L1627)/2,"")</f>
        <v/>
      </c>
      <c r="H1627" s="13">
        <f>IFERROR((CHAIN_RAW!R1627+CHAIN_RAW!S1627)/2,"")</f>
        <v/>
      </c>
      <c r="I1627" s="13">
        <f>IFERROR((CHAIN_RAW!L1627-CHAIN_RAW!K1627)/MAX(1E-9, G1627),"")</f>
        <v/>
      </c>
      <c r="J1627" s="13">
        <f>IFERROR((CHAIN_RAW!S1627-CHAIN_RAW!R1627)/MAX(1E-9, H1627),"")</f>
        <v/>
      </c>
      <c r="K1627" s="13">
        <f>CHAIN_RAW!G1627</f>
        <v/>
      </c>
      <c r="L1627" s="13">
        <f>CHAIN_RAW!N1627</f>
        <v/>
      </c>
      <c r="M1627" s="13">
        <f>IFERROR(L1627-K1627,"")</f>
        <v/>
      </c>
      <c r="N1627" s="13">
        <f>CHAIN_RAW!H1627</f>
        <v/>
      </c>
      <c r="O1627" s="13">
        <f>CHAIN_RAW!O1627</f>
        <v/>
      </c>
      <c r="P1627" s="13">
        <f>IFERROR(O1627/N1627,"")</f>
        <v/>
      </c>
      <c r="Q1627" s="13">
        <f>CHAIN_RAW!I1627</f>
        <v/>
      </c>
      <c r="R1627" s="13">
        <f>CHAIN_RAW!P1627</f>
        <v/>
      </c>
      <c r="S1627" s="13">
        <f>IFERROR(R1627/Q1627,"")</f>
        <v/>
      </c>
      <c r="T1627" s="13">
        <f>IFERROR((ABS(N1627-O1627)/MAX(1,(N1627+O1627)))*EXP(-ABS(E1627-CONTROL!E5)/MAX(1,CONTROL!B8)),"")</f>
        <v/>
      </c>
      <c r="U1627" s="13">
        <f>IFERROR(IF(O1627&gt;N1627,"SUPPORT (PE OI)","RESIST (CE OI)"),"")</f>
        <v/>
      </c>
      <c r="V1627" s="13">
        <f>IFERROR(IF(Q1627&gt;0,IF(R1627&gt;0,"BOTH_ADD","CE_ADD_PE_REDUCE"),IF(R1627&gt;0,"CE_REDUCE_PE_ADD","BOTH_REDUCE")),"")</f>
        <v/>
      </c>
      <c r="W1627" s="13">
        <f>IFERROR( (P1627-1)*0.5 + (M1627)*0.1 - (I1627+J1627)*0.05 + T1627*0.4 ,"")</f>
        <v/>
      </c>
      <c r="X1627" s="13">
        <f>IFERROR(IF(ABS(F1627)&lt;0.01,"ATM/NEAR",""),"")</f>
        <v/>
      </c>
    </row>
    <row r="1628">
      <c r="A1628" s="13">
        <f>CHAIN_RAW!A1628</f>
        <v/>
      </c>
      <c r="B1628" s="14">
        <f>CHAIN_RAW!B1628</f>
        <v/>
      </c>
      <c r="C1628" s="13">
        <f>CHAIN_RAW!C1628</f>
        <v/>
      </c>
      <c r="D1628" s="13">
        <f>CHAIN_RAW!D1628</f>
        <v/>
      </c>
      <c r="E1628" s="13">
        <f>CHAIN_RAW!E1628</f>
        <v/>
      </c>
      <c r="F1628" s="13">
        <f>IFERROR((E1628-D1628)/D1628,"")</f>
        <v/>
      </c>
      <c r="G1628" s="13">
        <f>IFERROR((CHAIN_RAW!K1628+CHAIN_RAW!L1628)/2,"")</f>
        <v/>
      </c>
      <c r="H1628" s="13">
        <f>IFERROR((CHAIN_RAW!R1628+CHAIN_RAW!S1628)/2,"")</f>
        <v/>
      </c>
      <c r="I1628" s="13">
        <f>IFERROR((CHAIN_RAW!L1628-CHAIN_RAW!K1628)/MAX(1E-9, G1628),"")</f>
        <v/>
      </c>
      <c r="J1628" s="13">
        <f>IFERROR((CHAIN_RAW!S1628-CHAIN_RAW!R1628)/MAX(1E-9, H1628),"")</f>
        <v/>
      </c>
      <c r="K1628" s="13">
        <f>CHAIN_RAW!G1628</f>
        <v/>
      </c>
      <c r="L1628" s="13">
        <f>CHAIN_RAW!N1628</f>
        <v/>
      </c>
      <c r="M1628" s="13">
        <f>IFERROR(L1628-K1628,"")</f>
        <v/>
      </c>
      <c r="N1628" s="13">
        <f>CHAIN_RAW!H1628</f>
        <v/>
      </c>
      <c r="O1628" s="13">
        <f>CHAIN_RAW!O1628</f>
        <v/>
      </c>
      <c r="P1628" s="13">
        <f>IFERROR(O1628/N1628,"")</f>
        <v/>
      </c>
      <c r="Q1628" s="13">
        <f>CHAIN_RAW!I1628</f>
        <v/>
      </c>
      <c r="R1628" s="13">
        <f>CHAIN_RAW!P1628</f>
        <v/>
      </c>
      <c r="S1628" s="13">
        <f>IFERROR(R1628/Q1628,"")</f>
        <v/>
      </c>
      <c r="T1628" s="13">
        <f>IFERROR((ABS(N1628-O1628)/MAX(1,(N1628+O1628)))*EXP(-ABS(E1628-CONTROL!E5)/MAX(1,CONTROL!B8)),"")</f>
        <v/>
      </c>
      <c r="U1628" s="13">
        <f>IFERROR(IF(O1628&gt;N1628,"SUPPORT (PE OI)","RESIST (CE OI)"),"")</f>
        <v/>
      </c>
      <c r="V1628" s="13">
        <f>IFERROR(IF(Q1628&gt;0,IF(R1628&gt;0,"BOTH_ADD","CE_ADD_PE_REDUCE"),IF(R1628&gt;0,"CE_REDUCE_PE_ADD","BOTH_REDUCE")),"")</f>
        <v/>
      </c>
      <c r="W1628" s="13">
        <f>IFERROR( (P1628-1)*0.5 + (M1628)*0.1 - (I1628+J1628)*0.05 + T1628*0.4 ,"")</f>
        <v/>
      </c>
      <c r="X1628" s="13">
        <f>IFERROR(IF(ABS(F1628)&lt;0.01,"ATM/NEAR",""),"")</f>
        <v/>
      </c>
    </row>
    <row r="1629">
      <c r="A1629" s="13">
        <f>CHAIN_RAW!A1629</f>
        <v/>
      </c>
      <c r="B1629" s="14">
        <f>CHAIN_RAW!B1629</f>
        <v/>
      </c>
      <c r="C1629" s="13">
        <f>CHAIN_RAW!C1629</f>
        <v/>
      </c>
      <c r="D1629" s="13">
        <f>CHAIN_RAW!D1629</f>
        <v/>
      </c>
      <c r="E1629" s="13">
        <f>CHAIN_RAW!E1629</f>
        <v/>
      </c>
      <c r="F1629" s="13">
        <f>IFERROR((E1629-D1629)/D1629,"")</f>
        <v/>
      </c>
      <c r="G1629" s="13">
        <f>IFERROR((CHAIN_RAW!K1629+CHAIN_RAW!L1629)/2,"")</f>
        <v/>
      </c>
      <c r="H1629" s="13">
        <f>IFERROR((CHAIN_RAW!R1629+CHAIN_RAW!S1629)/2,"")</f>
        <v/>
      </c>
      <c r="I1629" s="13">
        <f>IFERROR((CHAIN_RAW!L1629-CHAIN_RAW!K1629)/MAX(1E-9, G1629),"")</f>
        <v/>
      </c>
      <c r="J1629" s="13">
        <f>IFERROR((CHAIN_RAW!S1629-CHAIN_RAW!R1629)/MAX(1E-9, H1629),"")</f>
        <v/>
      </c>
      <c r="K1629" s="13">
        <f>CHAIN_RAW!G1629</f>
        <v/>
      </c>
      <c r="L1629" s="13">
        <f>CHAIN_RAW!N1629</f>
        <v/>
      </c>
      <c r="M1629" s="13">
        <f>IFERROR(L1629-K1629,"")</f>
        <v/>
      </c>
      <c r="N1629" s="13">
        <f>CHAIN_RAW!H1629</f>
        <v/>
      </c>
      <c r="O1629" s="13">
        <f>CHAIN_RAW!O1629</f>
        <v/>
      </c>
      <c r="P1629" s="13">
        <f>IFERROR(O1629/N1629,"")</f>
        <v/>
      </c>
      <c r="Q1629" s="13">
        <f>CHAIN_RAW!I1629</f>
        <v/>
      </c>
      <c r="R1629" s="13">
        <f>CHAIN_RAW!P1629</f>
        <v/>
      </c>
      <c r="S1629" s="13">
        <f>IFERROR(R1629/Q1629,"")</f>
        <v/>
      </c>
      <c r="T1629" s="13">
        <f>IFERROR((ABS(N1629-O1629)/MAX(1,(N1629+O1629)))*EXP(-ABS(E1629-CONTROL!E5)/MAX(1,CONTROL!B8)),"")</f>
        <v/>
      </c>
      <c r="U1629" s="13">
        <f>IFERROR(IF(O1629&gt;N1629,"SUPPORT (PE OI)","RESIST (CE OI)"),"")</f>
        <v/>
      </c>
      <c r="V1629" s="13">
        <f>IFERROR(IF(Q1629&gt;0,IF(R1629&gt;0,"BOTH_ADD","CE_ADD_PE_REDUCE"),IF(R1629&gt;0,"CE_REDUCE_PE_ADD","BOTH_REDUCE")),"")</f>
        <v/>
      </c>
      <c r="W1629" s="13">
        <f>IFERROR( (P1629-1)*0.5 + (M1629)*0.1 - (I1629+J1629)*0.05 + T1629*0.4 ,"")</f>
        <v/>
      </c>
      <c r="X1629" s="13">
        <f>IFERROR(IF(ABS(F1629)&lt;0.01,"ATM/NEAR",""),"")</f>
        <v/>
      </c>
    </row>
    <row r="1630">
      <c r="A1630" s="13">
        <f>CHAIN_RAW!A1630</f>
        <v/>
      </c>
      <c r="B1630" s="14">
        <f>CHAIN_RAW!B1630</f>
        <v/>
      </c>
      <c r="C1630" s="13">
        <f>CHAIN_RAW!C1630</f>
        <v/>
      </c>
      <c r="D1630" s="13">
        <f>CHAIN_RAW!D1630</f>
        <v/>
      </c>
      <c r="E1630" s="13">
        <f>CHAIN_RAW!E1630</f>
        <v/>
      </c>
      <c r="F1630" s="13">
        <f>IFERROR((E1630-D1630)/D1630,"")</f>
        <v/>
      </c>
      <c r="G1630" s="13">
        <f>IFERROR((CHAIN_RAW!K1630+CHAIN_RAW!L1630)/2,"")</f>
        <v/>
      </c>
      <c r="H1630" s="13">
        <f>IFERROR((CHAIN_RAW!R1630+CHAIN_RAW!S1630)/2,"")</f>
        <v/>
      </c>
      <c r="I1630" s="13">
        <f>IFERROR((CHAIN_RAW!L1630-CHAIN_RAW!K1630)/MAX(1E-9, G1630),"")</f>
        <v/>
      </c>
      <c r="J1630" s="13">
        <f>IFERROR((CHAIN_RAW!S1630-CHAIN_RAW!R1630)/MAX(1E-9, H1630),"")</f>
        <v/>
      </c>
      <c r="K1630" s="13">
        <f>CHAIN_RAW!G1630</f>
        <v/>
      </c>
      <c r="L1630" s="13">
        <f>CHAIN_RAW!N1630</f>
        <v/>
      </c>
      <c r="M1630" s="13">
        <f>IFERROR(L1630-K1630,"")</f>
        <v/>
      </c>
      <c r="N1630" s="13">
        <f>CHAIN_RAW!H1630</f>
        <v/>
      </c>
      <c r="O1630" s="13">
        <f>CHAIN_RAW!O1630</f>
        <v/>
      </c>
      <c r="P1630" s="13">
        <f>IFERROR(O1630/N1630,"")</f>
        <v/>
      </c>
      <c r="Q1630" s="13">
        <f>CHAIN_RAW!I1630</f>
        <v/>
      </c>
      <c r="R1630" s="13">
        <f>CHAIN_RAW!P1630</f>
        <v/>
      </c>
      <c r="S1630" s="13">
        <f>IFERROR(R1630/Q1630,"")</f>
        <v/>
      </c>
      <c r="T1630" s="13">
        <f>IFERROR((ABS(N1630-O1630)/MAX(1,(N1630+O1630)))*EXP(-ABS(E1630-CONTROL!E5)/MAX(1,CONTROL!B8)),"")</f>
        <v/>
      </c>
      <c r="U1630" s="13">
        <f>IFERROR(IF(O1630&gt;N1630,"SUPPORT (PE OI)","RESIST (CE OI)"),"")</f>
        <v/>
      </c>
      <c r="V1630" s="13">
        <f>IFERROR(IF(Q1630&gt;0,IF(R1630&gt;0,"BOTH_ADD","CE_ADD_PE_REDUCE"),IF(R1630&gt;0,"CE_REDUCE_PE_ADD","BOTH_REDUCE")),"")</f>
        <v/>
      </c>
      <c r="W1630" s="13">
        <f>IFERROR( (P1630-1)*0.5 + (M1630)*0.1 - (I1630+J1630)*0.05 + T1630*0.4 ,"")</f>
        <v/>
      </c>
      <c r="X1630" s="13">
        <f>IFERROR(IF(ABS(F1630)&lt;0.01,"ATM/NEAR",""),"")</f>
        <v/>
      </c>
    </row>
    <row r="1631">
      <c r="A1631" s="13">
        <f>CHAIN_RAW!A1631</f>
        <v/>
      </c>
      <c r="B1631" s="14">
        <f>CHAIN_RAW!B1631</f>
        <v/>
      </c>
      <c r="C1631" s="13">
        <f>CHAIN_RAW!C1631</f>
        <v/>
      </c>
      <c r="D1631" s="13">
        <f>CHAIN_RAW!D1631</f>
        <v/>
      </c>
      <c r="E1631" s="13">
        <f>CHAIN_RAW!E1631</f>
        <v/>
      </c>
      <c r="F1631" s="13">
        <f>IFERROR((E1631-D1631)/D1631,"")</f>
        <v/>
      </c>
      <c r="G1631" s="13">
        <f>IFERROR((CHAIN_RAW!K1631+CHAIN_RAW!L1631)/2,"")</f>
        <v/>
      </c>
      <c r="H1631" s="13">
        <f>IFERROR((CHAIN_RAW!R1631+CHAIN_RAW!S1631)/2,"")</f>
        <v/>
      </c>
      <c r="I1631" s="13">
        <f>IFERROR((CHAIN_RAW!L1631-CHAIN_RAW!K1631)/MAX(1E-9, G1631),"")</f>
        <v/>
      </c>
      <c r="J1631" s="13">
        <f>IFERROR((CHAIN_RAW!S1631-CHAIN_RAW!R1631)/MAX(1E-9, H1631),"")</f>
        <v/>
      </c>
      <c r="K1631" s="13">
        <f>CHAIN_RAW!G1631</f>
        <v/>
      </c>
      <c r="L1631" s="13">
        <f>CHAIN_RAW!N1631</f>
        <v/>
      </c>
      <c r="M1631" s="13">
        <f>IFERROR(L1631-K1631,"")</f>
        <v/>
      </c>
      <c r="N1631" s="13">
        <f>CHAIN_RAW!H1631</f>
        <v/>
      </c>
      <c r="O1631" s="13">
        <f>CHAIN_RAW!O1631</f>
        <v/>
      </c>
      <c r="P1631" s="13">
        <f>IFERROR(O1631/N1631,"")</f>
        <v/>
      </c>
      <c r="Q1631" s="13">
        <f>CHAIN_RAW!I1631</f>
        <v/>
      </c>
      <c r="R1631" s="13">
        <f>CHAIN_RAW!P1631</f>
        <v/>
      </c>
      <c r="S1631" s="13">
        <f>IFERROR(R1631/Q1631,"")</f>
        <v/>
      </c>
      <c r="T1631" s="13">
        <f>IFERROR((ABS(N1631-O1631)/MAX(1,(N1631+O1631)))*EXP(-ABS(E1631-CONTROL!E5)/MAX(1,CONTROL!B8)),"")</f>
        <v/>
      </c>
      <c r="U1631" s="13">
        <f>IFERROR(IF(O1631&gt;N1631,"SUPPORT (PE OI)","RESIST (CE OI)"),"")</f>
        <v/>
      </c>
      <c r="V1631" s="13">
        <f>IFERROR(IF(Q1631&gt;0,IF(R1631&gt;0,"BOTH_ADD","CE_ADD_PE_REDUCE"),IF(R1631&gt;0,"CE_REDUCE_PE_ADD","BOTH_REDUCE")),"")</f>
        <v/>
      </c>
      <c r="W1631" s="13">
        <f>IFERROR( (P1631-1)*0.5 + (M1631)*0.1 - (I1631+J1631)*0.05 + T1631*0.4 ,"")</f>
        <v/>
      </c>
      <c r="X1631" s="13">
        <f>IFERROR(IF(ABS(F1631)&lt;0.01,"ATM/NEAR",""),"")</f>
        <v/>
      </c>
    </row>
    <row r="1632">
      <c r="A1632" s="13">
        <f>CHAIN_RAW!A1632</f>
        <v/>
      </c>
      <c r="B1632" s="14">
        <f>CHAIN_RAW!B1632</f>
        <v/>
      </c>
      <c r="C1632" s="13">
        <f>CHAIN_RAW!C1632</f>
        <v/>
      </c>
      <c r="D1632" s="13">
        <f>CHAIN_RAW!D1632</f>
        <v/>
      </c>
      <c r="E1632" s="13">
        <f>CHAIN_RAW!E1632</f>
        <v/>
      </c>
      <c r="F1632" s="13">
        <f>IFERROR((E1632-D1632)/D1632,"")</f>
        <v/>
      </c>
      <c r="G1632" s="13">
        <f>IFERROR((CHAIN_RAW!K1632+CHAIN_RAW!L1632)/2,"")</f>
        <v/>
      </c>
      <c r="H1632" s="13">
        <f>IFERROR((CHAIN_RAW!R1632+CHAIN_RAW!S1632)/2,"")</f>
        <v/>
      </c>
      <c r="I1632" s="13">
        <f>IFERROR((CHAIN_RAW!L1632-CHAIN_RAW!K1632)/MAX(1E-9, G1632),"")</f>
        <v/>
      </c>
      <c r="J1632" s="13">
        <f>IFERROR((CHAIN_RAW!S1632-CHAIN_RAW!R1632)/MAX(1E-9, H1632),"")</f>
        <v/>
      </c>
      <c r="K1632" s="13">
        <f>CHAIN_RAW!G1632</f>
        <v/>
      </c>
      <c r="L1632" s="13">
        <f>CHAIN_RAW!N1632</f>
        <v/>
      </c>
      <c r="M1632" s="13">
        <f>IFERROR(L1632-K1632,"")</f>
        <v/>
      </c>
      <c r="N1632" s="13">
        <f>CHAIN_RAW!H1632</f>
        <v/>
      </c>
      <c r="O1632" s="13">
        <f>CHAIN_RAW!O1632</f>
        <v/>
      </c>
      <c r="P1632" s="13">
        <f>IFERROR(O1632/N1632,"")</f>
        <v/>
      </c>
      <c r="Q1632" s="13">
        <f>CHAIN_RAW!I1632</f>
        <v/>
      </c>
      <c r="R1632" s="13">
        <f>CHAIN_RAW!P1632</f>
        <v/>
      </c>
      <c r="S1632" s="13">
        <f>IFERROR(R1632/Q1632,"")</f>
        <v/>
      </c>
      <c r="T1632" s="13">
        <f>IFERROR((ABS(N1632-O1632)/MAX(1,(N1632+O1632)))*EXP(-ABS(E1632-CONTROL!E5)/MAX(1,CONTROL!B8)),"")</f>
        <v/>
      </c>
      <c r="U1632" s="13">
        <f>IFERROR(IF(O1632&gt;N1632,"SUPPORT (PE OI)","RESIST (CE OI)"),"")</f>
        <v/>
      </c>
      <c r="V1632" s="13">
        <f>IFERROR(IF(Q1632&gt;0,IF(R1632&gt;0,"BOTH_ADD","CE_ADD_PE_REDUCE"),IF(R1632&gt;0,"CE_REDUCE_PE_ADD","BOTH_REDUCE")),"")</f>
        <v/>
      </c>
      <c r="W1632" s="13">
        <f>IFERROR( (P1632-1)*0.5 + (M1632)*0.1 - (I1632+J1632)*0.05 + T1632*0.4 ,"")</f>
        <v/>
      </c>
      <c r="X1632" s="13">
        <f>IFERROR(IF(ABS(F1632)&lt;0.01,"ATM/NEAR",""),"")</f>
        <v/>
      </c>
    </row>
    <row r="1633">
      <c r="A1633" s="13">
        <f>CHAIN_RAW!A1633</f>
        <v/>
      </c>
      <c r="B1633" s="14">
        <f>CHAIN_RAW!B1633</f>
        <v/>
      </c>
      <c r="C1633" s="13">
        <f>CHAIN_RAW!C1633</f>
        <v/>
      </c>
      <c r="D1633" s="13">
        <f>CHAIN_RAW!D1633</f>
        <v/>
      </c>
      <c r="E1633" s="13">
        <f>CHAIN_RAW!E1633</f>
        <v/>
      </c>
      <c r="F1633" s="13">
        <f>IFERROR((E1633-D1633)/D1633,"")</f>
        <v/>
      </c>
      <c r="G1633" s="13">
        <f>IFERROR((CHAIN_RAW!K1633+CHAIN_RAW!L1633)/2,"")</f>
        <v/>
      </c>
      <c r="H1633" s="13">
        <f>IFERROR((CHAIN_RAW!R1633+CHAIN_RAW!S1633)/2,"")</f>
        <v/>
      </c>
      <c r="I1633" s="13">
        <f>IFERROR((CHAIN_RAW!L1633-CHAIN_RAW!K1633)/MAX(1E-9, G1633),"")</f>
        <v/>
      </c>
      <c r="J1633" s="13">
        <f>IFERROR((CHAIN_RAW!S1633-CHAIN_RAW!R1633)/MAX(1E-9, H1633),"")</f>
        <v/>
      </c>
      <c r="K1633" s="13">
        <f>CHAIN_RAW!G1633</f>
        <v/>
      </c>
      <c r="L1633" s="13">
        <f>CHAIN_RAW!N1633</f>
        <v/>
      </c>
      <c r="M1633" s="13">
        <f>IFERROR(L1633-K1633,"")</f>
        <v/>
      </c>
      <c r="N1633" s="13">
        <f>CHAIN_RAW!H1633</f>
        <v/>
      </c>
      <c r="O1633" s="13">
        <f>CHAIN_RAW!O1633</f>
        <v/>
      </c>
      <c r="P1633" s="13">
        <f>IFERROR(O1633/N1633,"")</f>
        <v/>
      </c>
      <c r="Q1633" s="13">
        <f>CHAIN_RAW!I1633</f>
        <v/>
      </c>
      <c r="R1633" s="13">
        <f>CHAIN_RAW!P1633</f>
        <v/>
      </c>
      <c r="S1633" s="13">
        <f>IFERROR(R1633/Q1633,"")</f>
        <v/>
      </c>
      <c r="T1633" s="13">
        <f>IFERROR((ABS(N1633-O1633)/MAX(1,(N1633+O1633)))*EXP(-ABS(E1633-CONTROL!E5)/MAX(1,CONTROL!B8)),"")</f>
        <v/>
      </c>
      <c r="U1633" s="13">
        <f>IFERROR(IF(O1633&gt;N1633,"SUPPORT (PE OI)","RESIST (CE OI)"),"")</f>
        <v/>
      </c>
      <c r="V1633" s="13">
        <f>IFERROR(IF(Q1633&gt;0,IF(R1633&gt;0,"BOTH_ADD","CE_ADD_PE_REDUCE"),IF(R1633&gt;0,"CE_REDUCE_PE_ADD","BOTH_REDUCE")),"")</f>
        <v/>
      </c>
      <c r="W1633" s="13">
        <f>IFERROR( (P1633-1)*0.5 + (M1633)*0.1 - (I1633+J1633)*0.05 + T1633*0.4 ,"")</f>
        <v/>
      </c>
      <c r="X1633" s="13">
        <f>IFERROR(IF(ABS(F1633)&lt;0.01,"ATM/NEAR",""),"")</f>
        <v/>
      </c>
    </row>
    <row r="1634">
      <c r="A1634" s="13">
        <f>CHAIN_RAW!A1634</f>
        <v/>
      </c>
      <c r="B1634" s="14">
        <f>CHAIN_RAW!B1634</f>
        <v/>
      </c>
      <c r="C1634" s="13">
        <f>CHAIN_RAW!C1634</f>
        <v/>
      </c>
      <c r="D1634" s="13">
        <f>CHAIN_RAW!D1634</f>
        <v/>
      </c>
      <c r="E1634" s="13">
        <f>CHAIN_RAW!E1634</f>
        <v/>
      </c>
      <c r="F1634" s="13">
        <f>IFERROR((E1634-D1634)/D1634,"")</f>
        <v/>
      </c>
      <c r="G1634" s="13">
        <f>IFERROR((CHAIN_RAW!K1634+CHAIN_RAW!L1634)/2,"")</f>
        <v/>
      </c>
      <c r="H1634" s="13">
        <f>IFERROR((CHAIN_RAW!R1634+CHAIN_RAW!S1634)/2,"")</f>
        <v/>
      </c>
      <c r="I1634" s="13">
        <f>IFERROR((CHAIN_RAW!L1634-CHAIN_RAW!K1634)/MAX(1E-9, G1634),"")</f>
        <v/>
      </c>
      <c r="J1634" s="13">
        <f>IFERROR((CHAIN_RAW!S1634-CHAIN_RAW!R1634)/MAX(1E-9, H1634),"")</f>
        <v/>
      </c>
      <c r="K1634" s="13">
        <f>CHAIN_RAW!G1634</f>
        <v/>
      </c>
      <c r="L1634" s="13">
        <f>CHAIN_RAW!N1634</f>
        <v/>
      </c>
      <c r="M1634" s="13">
        <f>IFERROR(L1634-K1634,"")</f>
        <v/>
      </c>
      <c r="N1634" s="13">
        <f>CHAIN_RAW!H1634</f>
        <v/>
      </c>
      <c r="O1634" s="13">
        <f>CHAIN_RAW!O1634</f>
        <v/>
      </c>
      <c r="P1634" s="13">
        <f>IFERROR(O1634/N1634,"")</f>
        <v/>
      </c>
      <c r="Q1634" s="13">
        <f>CHAIN_RAW!I1634</f>
        <v/>
      </c>
      <c r="R1634" s="13">
        <f>CHAIN_RAW!P1634</f>
        <v/>
      </c>
      <c r="S1634" s="13">
        <f>IFERROR(R1634/Q1634,"")</f>
        <v/>
      </c>
      <c r="T1634" s="13">
        <f>IFERROR((ABS(N1634-O1634)/MAX(1,(N1634+O1634)))*EXP(-ABS(E1634-CONTROL!E5)/MAX(1,CONTROL!B8)),"")</f>
        <v/>
      </c>
      <c r="U1634" s="13">
        <f>IFERROR(IF(O1634&gt;N1634,"SUPPORT (PE OI)","RESIST (CE OI)"),"")</f>
        <v/>
      </c>
      <c r="V1634" s="13">
        <f>IFERROR(IF(Q1634&gt;0,IF(R1634&gt;0,"BOTH_ADD","CE_ADD_PE_REDUCE"),IF(R1634&gt;0,"CE_REDUCE_PE_ADD","BOTH_REDUCE")),"")</f>
        <v/>
      </c>
      <c r="W1634" s="13">
        <f>IFERROR( (P1634-1)*0.5 + (M1634)*0.1 - (I1634+J1634)*0.05 + T1634*0.4 ,"")</f>
        <v/>
      </c>
      <c r="X1634" s="13">
        <f>IFERROR(IF(ABS(F1634)&lt;0.01,"ATM/NEAR",""),"")</f>
        <v/>
      </c>
    </row>
    <row r="1635">
      <c r="A1635" s="13">
        <f>CHAIN_RAW!A1635</f>
        <v/>
      </c>
      <c r="B1635" s="14">
        <f>CHAIN_RAW!B1635</f>
        <v/>
      </c>
      <c r="C1635" s="13">
        <f>CHAIN_RAW!C1635</f>
        <v/>
      </c>
      <c r="D1635" s="13">
        <f>CHAIN_RAW!D1635</f>
        <v/>
      </c>
      <c r="E1635" s="13">
        <f>CHAIN_RAW!E1635</f>
        <v/>
      </c>
      <c r="F1635" s="13">
        <f>IFERROR((E1635-D1635)/D1635,"")</f>
        <v/>
      </c>
      <c r="G1635" s="13">
        <f>IFERROR((CHAIN_RAW!K1635+CHAIN_RAW!L1635)/2,"")</f>
        <v/>
      </c>
      <c r="H1635" s="13">
        <f>IFERROR((CHAIN_RAW!R1635+CHAIN_RAW!S1635)/2,"")</f>
        <v/>
      </c>
      <c r="I1635" s="13">
        <f>IFERROR((CHAIN_RAW!L1635-CHAIN_RAW!K1635)/MAX(1E-9, G1635),"")</f>
        <v/>
      </c>
      <c r="J1635" s="13">
        <f>IFERROR((CHAIN_RAW!S1635-CHAIN_RAW!R1635)/MAX(1E-9, H1635),"")</f>
        <v/>
      </c>
      <c r="K1635" s="13">
        <f>CHAIN_RAW!G1635</f>
        <v/>
      </c>
      <c r="L1635" s="13">
        <f>CHAIN_RAW!N1635</f>
        <v/>
      </c>
      <c r="M1635" s="13">
        <f>IFERROR(L1635-K1635,"")</f>
        <v/>
      </c>
      <c r="N1635" s="13">
        <f>CHAIN_RAW!H1635</f>
        <v/>
      </c>
      <c r="O1635" s="13">
        <f>CHAIN_RAW!O1635</f>
        <v/>
      </c>
      <c r="P1635" s="13">
        <f>IFERROR(O1635/N1635,"")</f>
        <v/>
      </c>
      <c r="Q1635" s="13">
        <f>CHAIN_RAW!I1635</f>
        <v/>
      </c>
      <c r="R1635" s="13">
        <f>CHAIN_RAW!P1635</f>
        <v/>
      </c>
      <c r="S1635" s="13">
        <f>IFERROR(R1635/Q1635,"")</f>
        <v/>
      </c>
      <c r="T1635" s="13">
        <f>IFERROR((ABS(N1635-O1635)/MAX(1,(N1635+O1635)))*EXP(-ABS(E1635-CONTROL!E5)/MAX(1,CONTROL!B8)),"")</f>
        <v/>
      </c>
      <c r="U1635" s="13">
        <f>IFERROR(IF(O1635&gt;N1635,"SUPPORT (PE OI)","RESIST (CE OI)"),"")</f>
        <v/>
      </c>
      <c r="V1635" s="13">
        <f>IFERROR(IF(Q1635&gt;0,IF(R1635&gt;0,"BOTH_ADD","CE_ADD_PE_REDUCE"),IF(R1635&gt;0,"CE_REDUCE_PE_ADD","BOTH_REDUCE")),"")</f>
        <v/>
      </c>
      <c r="W1635" s="13">
        <f>IFERROR( (P1635-1)*0.5 + (M1635)*0.1 - (I1635+J1635)*0.05 + T1635*0.4 ,"")</f>
        <v/>
      </c>
      <c r="X1635" s="13">
        <f>IFERROR(IF(ABS(F1635)&lt;0.01,"ATM/NEAR",""),"")</f>
        <v/>
      </c>
    </row>
    <row r="1636">
      <c r="A1636" s="13">
        <f>CHAIN_RAW!A1636</f>
        <v/>
      </c>
      <c r="B1636" s="14">
        <f>CHAIN_RAW!B1636</f>
        <v/>
      </c>
      <c r="C1636" s="13">
        <f>CHAIN_RAW!C1636</f>
        <v/>
      </c>
      <c r="D1636" s="13">
        <f>CHAIN_RAW!D1636</f>
        <v/>
      </c>
      <c r="E1636" s="13">
        <f>CHAIN_RAW!E1636</f>
        <v/>
      </c>
      <c r="F1636" s="13">
        <f>IFERROR((E1636-D1636)/D1636,"")</f>
        <v/>
      </c>
      <c r="G1636" s="13">
        <f>IFERROR((CHAIN_RAW!K1636+CHAIN_RAW!L1636)/2,"")</f>
        <v/>
      </c>
      <c r="H1636" s="13">
        <f>IFERROR((CHAIN_RAW!R1636+CHAIN_RAW!S1636)/2,"")</f>
        <v/>
      </c>
      <c r="I1636" s="13">
        <f>IFERROR((CHAIN_RAW!L1636-CHAIN_RAW!K1636)/MAX(1E-9, G1636),"")</f>
        <v/>
      </c>
      <c r="J1636" s="13">
        <f>IFERROR((CHAIN_RAW!S1636-CHAIN_RAW!R1636)/MAX(1E-9, H1636),"")</f>
        <v/>
      </c>
      <c r="K1636" s="13">
        <f>CHAIN_RAW!G1636</f>
        <v/>
      </c>
      <c r="L1636" s="13">
        <f>CHAIN_RAW!N1636</f>
        <v/>
      </c>
      <c r="M1636" s="13">
        <f>IFERROR(L1636-K1636,"")</f>
        <v/>
      </c>
      <c r="N1636" s="13">
        <f>CHAIN_RAW!H1636</f>
        <v/>
      </c>
      <c r="O1636" s="13">
        <f>CHAIN_RAW!O1636</f>
        <v/>
      </c>
      <c r="P1636" s="13">
        <f>IFERROR(O1636/N1636,"")</f>
        <v/>
      </c>
      <c r="Q1636" s="13">
        <f>CHAIN_RAW!I1636</f>
        <v/>
      </c>
      <c r="R1636" s="13">
        <f>CHAIN_RAW!P1636</f>
        <v/>
      </c>
      <c r="S1636" s="13">
        <f>IFERROR(R1636/Q1636,"")</f>
        <v/>
      </c>
      <c r="T1636" s="13">
        <f>IFERROR((ABS(N1636-O1636)/MAX(1,(N1636+O1636)))*EXP(-ABS(E1636-CONTROL!E5)/MAX(1,CONTROL!B8)),"")</f>
        <v/>
      </c>
      <c r="U1636" s="13">
        <f>IFERROR(IF(O1636&gt;N1636,"SUPPORT (PE OI)","RESIST (CE OI)"),"")</f>
        <v/>
      </c>
      <c r="V1636" s="13">
        <f>IFERROR(IF(Q1636&gt;0,IF(R1636&gt;0,"BOTH_ADD","CE_ADD_PE_REDUCE"),IF(R1636&gt;0,"CE_REDUCE_PE_ADD","BOTH_REDUCE")),"")</f>
        <v/>
      </c>
      <c r="W1636" s="13">
        <f>IFERROR( (P1636-1)*0.5 + (M1636)*0.1 - (I1636+J1636)*0.05 + T1636*0.4 ,"")</f>
        <v/>
      </c>
      <c r="X1636" s="13">
        <f>IFERROR(IF(ABS(F1636)&lt;0.01,"ATM/NEAR",""),"")</f>
        <v/>
      </c>
    </row>
    <row r="1637">
      <c r="A1637" s="13">
        <f>CHAIN_RAW!A1637</f>
        <v/>
      </c>
      <c r="B1637" s="14">
        <f>CHAIN_RAW!B1637</f>
        <v/>
      </c>
      <c r="C1637" s="13">
        <f>CHAIN_RAW!C1637</f>
        <v/>
      </c>
      <c r="D1637" s="13">
        <f>CHAIN_RAW!D1637</f>
        <v/>
      </c>
      <c r="E1637" s="13">
        <f>CHAIN_RAW!E1637</f>
        <v/>
      </c>
      <c r="F1637" s="13">
        <f>IFERROR((E1637-D1637)/D1637,"")</f>
        <v/>
      </c>
      <c r="G1637" s="13">
        <f>IFERROR((CHAIN_RAW!K1637+CHAIN_RAW!L1637)/2,"")</f>
        <v/>
      </c>
      <c r="H1637" s="13">
        <f>IFERROR((CHAIN_RAW!R1637+CHAIN_RAW!S1637)/2,"")</f>
        <v/>
      </c>
      <c r="I1637" s="13">
        <f>IFERROR((CHAIN_RAW!L1637-CHAIN_RAW!K1637)/MAX(1E-9, G1637),"")</f>
        <v/>
      </c>
      <c r="J1637" s="13">
        <f>IFERROR((CHAIN_RAW!S1637-CHAIN_RAW!R1637)/MAX(1E-9, H1637),"")</f>
        <v/>
      </c>
      <c r="K1637" s="13">
        <f>CHAIN_RAW!G1637</f>
        <v/>
      </c>
      <c r="L1637" s="13">
        <f>CHAIN_RAW!N1637</f>
        <v/>
      </c>
      <c r="M1637" s="13">
        <f>IFERROR(L1637-K1637,"")</f>
        <v/>
      </c>
      <c r="N1637" s="13">
        <f>CHAIN_RAW!H1637</f>
        <v/>
      </c>
      <c r="O1637" s="13">
        <f>CHAIN_RAW!O1637</f>
        <v/>
      </c>
      <c r="P1637" s="13">
        <f>IFERROR(O1637/N1637,"")</f>
        <v/>
      </c>
      <c r="Q1637" s="13">
        <f>CHAIN_RAW!I1637</f>
        <v/>
      </c>
      <c r="R1637" s="13">
        <f>CHAIN_RAW!P1637</f>
        <v/>
      </c>
      <c r="S1637" s="13">
        <f>IFERROR(R1637/Q1637,"")</f>
        <v/>
      </c>
      <c r="T1637" s="13">
        <f>IFERROR((ABS(N1637-O1637)/MAX(1,(N1637+O1637)))*EXP(-ABS(E1637-CONTROL!E5)/MAX(1,CONTROL!B8)),"")</f>
        <v/>
      </c>
      <c r="U1637" s="13">
        <f>IFERROR(IF(O1637&gt;N1637,"SUPPORT (PE OI)","RESIST (CE OI)"),"")</f>
        <v/>
      </c>
      <c r="V1637" s="13">
        <f>IFERROR(IF(Q1637&gt;0,IF(R1637&gt;0,"BOTH_ADD","CE_ADD_PE_REDUCE"),IF(R1637&gt;0,"CE_REDUCE_PE_ADD","BOTH_REDUCE")),"")</f>
        <v/>
      </c>
      <c r="W1637" s="13">
        <f>IFERROR( (P1637-1)*0.5 + (M1637)*0.1 - (I1637+J1637)*0.05 + T1637*0.4 ,"")</f>
        <v/>
      </c>
      <c r="X1637" s="13">
        <f>IFERROR(IF(ABS(F1637)&lt;0.01,"ATM/NEAR",""),"")</f>
        <v/>
      </c>
    </row>
    <row r="1638">
      <c r="A1638" s="13">
        <f>CHAIN_RAW!A1638</f>
        <v/>
      </c>
      <c r="B1638" s="14">
        <f>CHAIN_RAW!B1638</f>
        <v/>
      </c>
      <c r="C1638" s="13">
        <f>CHAIN_RAW!C1638</f>
        <v/>
      </c>
      <c r="D1638" s="13">
        <f>CHAIN_RAW!D1638</f>
        <v/>
      </c>
      <c r="E1638" s="13">
        <f>CHAIN_RAW!E1638</f>
        <v/>
      </c>
      <c r="F1638" s="13">
        <f>IFERROR((E1638-D1638)/D1638,"")</f>
        <v/>
      </c>
      <c r="G1638" s="13">
        <f>IFERROR((CHAIN_RAW!K1638+CHAIN_RAW!L1638)/2,"")</f>
        <v/>
      </c>
      <c r="H1638" s="13">
        <f>IFERROR((CHAIN_RAW!R1638+CHAIN_RAW!S1638)/2,"")</f>
        <v/>
      </c>
      <c r="I1638" s="13">
        <f>IFERROR((CHAIN_RAW!L1638-CHAIN_RAW!K1638)/MAX(1E-9, G1638),"")</f>
        <v/>
      </c>
      <c r="J1638" s="13">
        <f>IFERROR((CHAIN_RAW!S1638-CHAIN_RAW!R1638)/MAX(1E-9, H1638),"")</f>
        <v/>
      </c>
      <c r="K1638" s="13">
        <f>CHAIN_RAW!G1638</f>
        <v/>
      </c>
      <c r="L1638" s="13">
        <f>CHAIN_RAW!N1638</f>
        <v/>
      </c>
      <c r="M1638" s="13">
        <f>IFERROR(L1638-K1638,"")</f>
        <v/>
      </c>
      <c r="N1638" s="13">
        <f>CHAIN_RAW!H1638</f>
        <v/>
      </c>
      <c r="O1638" s="13">
        <f>CHAIN_RAW!O1638</f>
        <v/>
      </c>
      <c r="P1638" s="13">
        <f>IFERROR(O1638/N1638,"")</f>
        <v/>
      </c>
      <c r="Q1638" s="13">
        <f>CHAIN_RAW!I1638</f>
        <v/>
      </c>
      <c r="R1638" s="13">
        <f>CHAIN_RAW!P1638</f>
        <v/>
      </c>
      <c r="S1638" s="13">
        <f>IFERROR(R1638/Q1638,"")</f>
        <v/>
      </c>
      <c r="T1638" s="13">
        <f>IFERROR((ABS(N1638-O1638)/MAX(1,(N1638+O1638)))*EXP(-ABS(E1638-CONTROL!E5)/MAX(1,CONTROL!B8)),"")</f>
        <v/>
      </c>
      <c r="U1638" s="13">
        <f>IFERROR(IF(O1638&gt;N1638,"SUPPORT (PE OI)","RESIST (CE OI)"),"")</f>
        <v/>
      </c>
      <c r="V1638" s="13">
        <f>IFERROR(IF(Q1638&gt;0,IF(R1638&gt;0,"BOTH_ADD","CE_ADD_PE_REDUCE"),IF(R1638&gt;0,"CE_REDUCE_PE_ADD","BOTH_REDUCE")),"")</f>
        <v/>
      </c>
      <c r="W1638" s="13">
        <f>IFERROR( (P1638-1)*0.5 + (M1638)*0.1 - (I1638+J1638)*0.05 + T1638*0.4 ,"")</f>
        <v/>
      </c>
      <c r="X1638" s="13">
        <f>IFERROR(IF(ABS(F1638)&lt;0.01,"ATM/NEAR",""),"")</f>
        <v/>
      </c>
    </row>
    <row r="1639">
      <c r="A1639" s="13">
        <f>CHAIN_RAW!A1639</f>
        <v/>
      </c>
      <c r="B1639" s="14">
        <f>CHAIN_RAW!B1639</f>
        <v/>
      </c>
      <c r="C1639" s="13">
        <f>CHAIN_RAW!C1639</f>
        <v/>
      </c>
      <c r="D1639" s="13">
        <f>CHAIN_RAW!D1639</f>
        <v/>
      </c>
      <c r="E1639" s="13">
        <f>CHAIN_RAW!E1639</f>
        <v/>
      </c>
      <c r="F1639" s="13">
        <f>IFERROR((E1639-D1639)/D1639,"")</f>
        <v/>
      </c>
      <c r="G1639" s="13">
        <f>IFERROR((CHAIN_RAW!K1639+CHAIN_RAW!L1639)/2,"")</f>
        <v/>
      </c>
      <c r="H1639" s="13">
        <f>IFERROR((CHAIN_RAW!R1639+CHAIN_RAW!S1639)/2,"")</f>
        <v/>
      </c>
      <c r="I1639" s="13">
        <f>IFERROR((CHAIN_RAW!L1639-CHAIN_RAW!K1639)/MAX(1E-9, G1639),"")</f>
        <v/>
      </c>
      <c r="J1639" s="13">
        <f>IFERROR((CHAIN_RAW!S1639-CHAIN_RAW!R1639)/MAX(1E-9, H1639),"")</f>
        <v/>
      </c>
      <c r="K1639" s="13">
        <f>CHAIN_RAW!G1639</f>
        <v/>
      </c>
      <c r="L1639" s="13">
        <f>CHAIN_RAW!N1639</f>
        <v/>
      </c>
      <c r="M1639" s="13">
        <f>IFERROR(L1639-K1639,"")</f>
        <v/>
      </c>
      <c r="N1639" s="13">
        <f>CHAIN_RAW!H1639</f>
        <v/>
      </c>
      <c r="O1639" s="13">
        <f>CHAIN_RAW!O1639</f>
        <v/>
      </c>
      <c r="P1639" s="13">
        <f>IFERROR(O1639/N1639,"")</f>
        <v/>
      </c>
      <c r="Q1639" s="13">
        <f>CHAIN_RAW!I1639</f>
        <v/>
      </c>
      <c r="R1639" s="13">
        <f>CHAIN_RAW!P1639</f>
        <v/>
      </c>
      <c r="S1639" s="13">
        <f>IFERROR(R1639/Q1639,"")</f>
        <v/>
      </c>
      <c r="T1639" s="13">
        <f>IFERROR((ABS(N1639-O1639)/MAX(1,(N1639+O1639)))*EXP(-ABS(E1639-CONTROL!E5)/MAX(1,CONTROL!B8)),"")</f>
        <v/>
      </c>
      <c r="U1639" s="13">
        <f>IFERROR(IF(O1639&gt;N1639,"SUPPORT (PE OI)","RESIST (CE OI)"),"")</f>
        <v/>
      </c>
      <c r="V1639" s="13">
        <f>IFERROR(IF(Q1639&gt;0,IF(R1639&gt;0,"BOTH_ADD","CE_ADD_PE_REDUCE"),IF(R1639&gt;0,"CE_REDUCE_PE_ADD","BOTH_REDUCE")),"")</f>
        <v/>
      </c>
      <c r="W1639" s="13">
        <f>IFERROR( (P1639-1)*0.5 + (M1639)*0.1 - (I1639+J1639)*0.05 + T1639*0.4 ,"")</f>
        <v/>
      </c>
      <c r="X1639" s="13">
        <f>IFERROR(IF(ABS(F1639)&lt;0.01,"ATM/NEAR",""),"")</f>
        <v/>
      </c>
    </row>
    <row r="1640">
      <c r="A1640" s="13">
        <f>CHAIN_RAW!A1640</f>
        <v/>
      </c>
      <c r="B1640" s="14">
        <f>CHAIN_RAW!B1640</f>
        <v/>
      </c>
      <c r="C1640" s="13">
        <f>CHAIN_RAW!C1640</f>
        <v/>
      </c>
      <c r="D1640" s="13">
        <f>CHAIN_RAW!D1640</f>
        <v/>
      </c>
      <c r="E1640" s="13">
        <f>CHAIN_RAW!E1640</f>
        <v/>
      </c>
      <c r="F1640" s="13">
        <f>IFERROR((E1640-D1640)/D1640,"")</f>
        <v/>
      </c>
      <c r="G1640" s="13">
        <f>IFERROR((CHAIN_RAW!K1640+CHAIN_RAW!L1640)/2,"")</f>
        <v/>
      </c>
      <c r="H1640" s="13">
        <f>IFERROR((CHAIN_RAW!R1640+CHAIN_RAW!S1640)/2,"")</f>
        <v/>
      </c>
      <c r="I1640" s="13">
        <f>IFERROR((CHAIN_RAW!L1640-CHAIN_RAW!K1640)/MAX(1E-9, G1640),"")</f>
        <v/>
      </c>
      <c r="J1640" s="13">
        <f>IFERROR((CHAIN_RAW!S1640-CHAIN_RAW!R1640)/MAX(1E-9, H1640),"")</f>
        <v/>
      </c>
      <c r="K1640" s="13">
        <f>CHAIN_RAW!G1640</f>
        <v/>
      </c>
      <c r="L1640" s="13">
        <f>CHAIN_RAW!N1640</f>
        <v/>
      </c>
      <c r="M1640" s="13">
        <f>IFERROR(L1640-K1640,"")</f>
        <v/>
      </c>
      <c r="N1640" s="13">
        <f>CHAIN_RAW!H1640</f>
        <v/>
      </c>
      <c r="O1640" s="13">
        <f>CHAIN_RAW!O1640</f>
        <v/>
      </c>
      <c r="P1640" s="13">
        <f>IFERROR(O1640/N1640,"")</f>
        <v/>
      </c>
      <c r="Q1640" s="13">
        <f>CHAIN_RAW!I1640</f>
        <v/>
      </c>
      <c r="R1640" s="13">
        <f>CHAIN_RAW!P1640</f>
        <v/>
      </c>
      <c r="S1640" s="13">
        <f>IFERROR(R1640/Q1640,"")</f>
        <v/>
      </c>
      <c r="T1640" s="13">
        <f>IFERROR((ABS(N1640-O1640)/MAX(1,(N1640+O1640)))*EXP(-ABS(E1640-CONTROL!E5)/MAX(1,CONTROL!B8)),"")</f>
        <v/>
      </c>
      <c r="U1640" s="13">
        <f>IFERROR(IF(O1640&gt;N1640,"SUPPORT (PE OI)","RESIST (CE OI)"),"")</f>
        <v/>
      </c>
      <c r="V1640" s="13">
        <f>IFERROR(IF(Q1640&gt;0,IF(R1640&gt;0,"BOTH_ADD","CE_ADD_PE_REDUCE"),IF(R1640&gt;0,"CE_REDUCE_PE_ADD","BOTH_REDUCE")),"")</f>
        <v/>
      </c>
      <c r="W1640" s="13">
        <f>IFERROR( (P1640-1)*0.5 + (M1640)*0.1 - (I1640+J1640)*0.05 + T1640*0.4 ,"")</f>
        <v/>
      </c>
      <c r="X1640" s="13">
        <f>IFERROR(IF(ABS(F1640)&lt;0.01,"ATM/NEAR",""),"")</f>
        <v/>
      </c>
    </row>
    <row r="1641">
      <c r="A1641" s="13">
        <f>CHAIN_RAW!A1641</f>
        <v/>
      </c>
      <c r="B1641" s="14">
        <f>CHAIN_RAW!B1641</f>
        <v/>
      </c>
      <c r="C1641" s="13">
        <f>CHAIN_RAW!C1641</f>
        <v/>
      </c>
      <c r="D1641" s="13">
        <f>CHAIN_RAW!D1641</f>
        <v/>
      </c>
      <c r="E1641" s="13">
        <f>CHAIN_RAW!E1641</f>
        <v/>
      </c>
      <c r="F1641" s="13">
        <f>IFERROR((E1641-D1641)/D1641,"")</f>
        <v/>
      </c>
      <c r="G1641" s="13">
        <f>IFERROR((CHAIN_RAW!K1641+CHAIN_RAW!L1641)/2,"")</f>
        <v/>
      </c>
      <c r="H1641" s="13">
        <f>IFERROR((CHAIN_RAW!R1641+CHAIN_RAW!S1641)/2,"")</f>
        <v/>
      </c>
      <c r="I1641" s="13">
        <f>IFERROR((CHAIN_RAW!L1641-CHAIN_RAW!K1641)/MAX(1E-9, G1641),"")</f>
        <v/>
      </c>
      <c r="J1641" s="13">
        <f>IFERROR((CHAIN_RAW!S1641-CHAIN_RAW!R1641)/MAX(1E-9, H1641),"")</f>
        <v/>
      </c>
      <c r="K1641" s="13">
        <f>CHAIN_RAW!G1641</f>
        <v/>
      </c>
      <c r="L1641" s="13">
        <f>CHAIN_RAW!N1641</f>
        <v/>
      </c>
      <c r="M1641" s="13">
        <f>IFERROR(L1641-K1641,"")</f>
        <v/>
      </c>
      <c r="N1641" s="13">
        <f>CHAIN_RAW!H1641</f>
        <v/>
      </c>
      <c r="O1641" s="13">
        <f>CHAIN_RAW!O1641</f>
        <v/>
      </c>
      <c r="P1641" s="13">
        <f>IFERROR(O1641/N1641,"")</f>
        <v/>
      </c>
      <c r="Q1641" s="13">
        <f>CHAIN_RAW!I1641</f>
        <v/>
      </c>
      <c r="R1641" s="13">
        <f>CHAIN_RAW!P1641</f>
        <v/>
      </c>
      <c r="S1641" s="13">
        <f>IFERROR(R1641/Q1641,"")</f>
        <v/>
      </c>
      <c r="T1641" s="13">
        <f>IFERROR((ABS(N1641-O1641)/MAX(1,(N1641+O1641)))*EXP(-ABS(E1641-CONTROL!E5)/MAX(1,CONTROL!B8)),"")</f>
        <v/>
      </c>
      <c r="U1641" s="13">
        <f>IFERROR(IF(O1641&gt;N1641,"SUPPORT (PE OI)","RESIST (CE OI)"),"")</f>
        <v/>
      </c>
      <c r="V1641" s="13">
        <f>IFERROR(IF(Q1641&gt;0,IF(R1641&gt;0,"BOTH_ADD","CE_ADD_PE_REDUCE"),IF(R1641&gt;0,"CE_REDUCE_PE_ADD","BOTH_REDUCE")),"")</f>
        <v/>
      </c>
      <c r="W1641" s="13">
        <f>IFERROR( (P1641-1)*0.5 + (M1641)*0.1 - (I1641+J1641)*0.05 + T1641*0.4 ,"")</f>
        <v/>
      </c>
      <c r="X1641" s="13">
        <f>IFERROR(IF(ABS(F1641)&lt;0.01,"ATM/NEAR",""),"")</f>
        <v/>
      </c>
    </row>
    <row r="1642">
      <c r="A1642" s="13">
        <f>CHAIN_RAW!A1642</f>
        <v/>
      </c>
      <c r="B1642" s="14">
        <f>CHAIN_RAW!B1642</f>
        <v/>
      </c>
      <c r="C1642" s="13">
        <f>CHAIN_RAW!C1642</f>
        <v/>
      </c>
      <c r="D1642" s="13">
        <f>CHAIN_RAW!D1642</f>
        <v/>
      </c>
      <c r="E1642" s="13">
        <f>CHAIN_RAW!E1642</f>
        <v/>
      </c>
      <c r="F1642" s="13">
        <f>IFERROR((E1642-D1642)/D1642,"")</f>
        <v/>
      </c>
      <c r="G1642" s="13">
        <f>IFERROR((CHAIN_RAW!K1642+CHAIN_RAW!L1642)/2,"")</f>
        <v/>
      </c>
      <c r="H1642" s="13">
        <f>IFERROR((CHAIN_RAW!R1642+CHAIN_RAW!S1642)/2,"")</f>
        <v/>
      </c>
      <c r="I1642" s="13">
        <f>IFERROR((CHAIN_RAW!L1642-CHAIN_RAW!K1642)/MAX(1E-9, G1642),"")</f>
        <v/>
      </c>
      <c r="J1642" s="13">
        <f>IFERROR((CHAIN_RAW!S1642-CHAIN_RAW!R1642)/MAX(1E-9, H1642),"")</f>
        <v/>
      </c>
      <c r="K1642" s="13">
        <f>CHAIN_RAW!G1642</f>
        <v/>
      </c>
      <c r="L1642" s="13">
        <f>CHAIN_RAW!N1642</f>
        <v/>
      </c>
      <c r="M1642" s="13">
        <f>IFERROR(L1642-K1642,"")</f>
        <v/>
      </c>
      <c r="N1642" s="13">
        <f>CHAIN_RAW!H1642</f>
        <v/>
      </c>
      <c r="O1642" s="13">
        <f>CHAIN_RAW!O1642</f>
        <v/>
      </c>
      <c r="P1642" s="13">
        <f>IFERROR(O1642/N1642,"")</f>
        <v/>
      </c>
      <c r="Q1642" s="13">
        <f>CHAIN_RAW!I1642</f>
        <v/>
      </c>
      <c r="R1642" s="13">
        <f>CHAIN_RAW!P1642</f>
        <v/>
      </c>
      <c r="S1642" s="13">
        <f>IFERROR(R1642/Q1642,"")</f>
        <v/>
      </c>
      <c r="T1642" s="13">
        <f>IFERROR((ABS(N1642-O1642)/MAX(1,(N1642+O1642)))*EXP(-ABS(E1642-CONTROL!E5)/MAX(1,CONTROL!B8)),"")</f>
        <v/>
      </c>
      <c r="U1642" s="13">
        <f>IFERROR(IF(O1642&gt;N1642,"SUPPORT (PE OI)","RESIST (CE OI)"),"")</f>
        <v/>
      </c>
      <c r="V1642" s="13">
        <f>IFERROR(IF(Q1642&gt;0,IF(R1642&gt;0,"BOTH_ADD","CE_ADD_PE_REDUCE"),IF(R1642&gt;0,"CE_REDUCE_PE_ADD","BOTH_REDUCE")),"")</f>
        <v/>
      </c>
      <c r="W1642" s="13">
        <f>IFERROR( (P1642-1)*0.5 + (M1642)*0.1 - (I1642+J1642)*0.05 + T1642*0.4 ,"")</f>
        <v/>
      </c>
      <c r="X1642" s="13">
        <f>IFERROR(IF(ABS(F1642)&lt;0.01,"ATM/NEAR",""),"")</f>
        <v/>
      </c>
    </row>
    <row r="1643">
      <c r="A1643" s="13">
        <f>CHAIN_RAW!A1643</f>
        <v/>
      </c>
      <c r="B1643" s="14">
        <f>CHAIN_RAW!B1643</f>
        <v/>
      </c>
      <c r="C1643" s="13">
        <f>CHAIN_RAW!C1643</f>
        <v/>
      </c>
      <c r="D1643" s="13">
        <f>CHAIN_RAW!D1643</f>
        <v/>
      </c>
      <c r="E1643" s="13">
        <f>CHAIN_RAW!E1643</f>
        <v/>
      </c>
      <c r="F1643" s="13">
        <f>IFERROR((E1643-D1643)/D1643,"")</f>
        <v/>
      </c>
      <c r="G1643" s="13">
        <f>IFERROR((CHAIN_RAW!K1643+CHAIN_RAW!L1643)/2,"")</f>
        <v/>
      </c>
      <c r="H1643" s="13">
        <f>IFERROR((CHAIN_RAW!R1643+CHAIN_RAW!S1643)/2,"")</f>
        <v/>
      </c>
      <c r="I1643" s="13">
        <f>IFERROR((CHAIN_RAW!L1643-CHAIN_RAW!K1643)/MAX(1E-9, G1643),"")</f>
        <v/>
      </c>
      <c r="J1643" s="13">
        <f>IFERROR((CHAIN_RAW!S1643-CHAIN_RAW!R1643)/MAX(1E-9, H1643),"")</f>
        <v/>
      </c>
      <c r="K1643" s="13">
        <f>CHAIN_RAW!G1643</f>
        <v/>
      </c>
      <c r="L1643" s="13">
        <f>CHAIN_RAW!N1643</f>
        <v/>
      </c>
      <c r="M1643" s="13">
        <f>IFERROR(L1643-K1643,"")</f>
        <v/>
      </c>
      <c r="N1643" s="13">
        <f>CHAIN_RAW!H1643</f>
        <v/>
      </c>
      <c r="O1643" s="13">
        <f>CHAIN_RAW!O1643</f>
        <v/>
      </c>
      <c r="P1643" s="13">
        <f>IFERROR(O1643/N1643,"")</f>
        <v/>
      </c>
      <c r="Q1643" s="13">
        <f>CHAIN_RAW!I1643</f>
        <v/>
      </c>
      <c r="R1643" s="13">
        <f>CHAIN_RAW!P1643</f>
        <v/>
      </c>
      <c r="S1643" s="13">
        <f>IFERROR(R1643/Q1643,"")</f>
        <v/>
      </c>
      <c r="T1643" s="13">
        <f>IFERROR((ABS(N1643-O1643)/MAX(1,(N1643+O1643)))*EXP(-ABS(E1643-CONTROL!E5)/MAX(1,CONTROL!B8)),"")</f>
        <v/>
      </c>
      <c r="U1643" s="13">
        <f>IFERROR(IF(O1643&gt;N1643,"SUPPORT (PE OI)","RESIST (CE OI)"),"")</f>
        <v/>
      </c>
      <c r="V1643" s="13">
        <f>IFERROR(IF(Q1643&gt;0,IF(R1643&gt;0,"BOTH_ADD","CE_ADD_PE_REDUCE"),IF(R1643&gt;0,"CE_REDUCE_PE_ADD","BOTH_REDUCE")),"")</f>
        <v/>
      </c>
      <c r="W1643" s="13">
        <f>IFERROR( (P1643-1)*0.5 + (M1643)*0.1 - (I1643+J1643)*0.05 + T1643*0.4 ,"")</f>
        <v/>
      </c>
      <c r="X1643" s="13">
        <f>IFERROR(IF(ABS(F1643)&lt;0.01,"ATM/NEAR",""),"")</f>
        <v/>
      </c>
    </row>
    <row r="1644">
      <c r="A1644" s="13">
        <f>CHAIN_RAW!A1644</f>
        <v/>
      </c>
      <c r="B1644" s="14">
        <f>CHAIN_RAW!B1644</f>
        <v/>
      </c>
      <c r="C1644" s="13">
        <f>CHAIN_RAW!C1644</f>
        <v/>
      </c>
      <c r="D1644" s="13">
        <f>CHAIN_RAW!D1644</f>
        <v/>
      </c>
      <c r="E1644" s="13">
        <f>CHAIN_RAW!E1644</f>
        <v/>
      </c>
      <c r="F1644" s="13">
        <f>IFERROR((E1644-D1644)/D1644,"")</f>
        <v/>
      </c>
      <c r="G1644" s="13">
        <f>IFERROR((CHAIN_RAW!K1644+CHAIN_RAW!L1644)/2,"")</f>
        <v/>
      </c>
      <c r="H1644" s="13">
        <f>IFERROR((CHAIN_RAW!R1644+CHAIN_RAW!S1644)/2,"")</f>
        <v/>
      </c>
      <c r="I1644" s="13">
        <f>IFERROR((CHAIN_RAW!L1644-CHAIN_RAW!K1644)/MAX(1E-9, G1644),"")</f>
        <v/>
      </c>
      <c r="J1644" s="13">
        <f>IFERROR((CHAIN_RAW!S1644-CHAIN_RAW!R1644)/MAX(1E-9, H1644),"")</f>
        <v/>
      </c>
      <c r="K1644" s="13">
        <f>CHAIN_RAW!G1644</f>
        <v/>
      </c>
      <c r="L1644" s="13">
        <f>CHAIN_RAW!N1644</f>
        <v/>
      </c>
      <c r="M1644" s="13">
        <f>IFERROR(L1644-K1644,"")</f>
        <v/>
      </c>
      <c r="N1644" s="13">
        <f>CHAIN_RAW!H1644</f>
        <v/>
      </c>
      <c r="O1644" s="13">
        <f>CHAIN_RAW!O1644</f>
        <v/>
      </c>
      <c r="P1644" s="13">
        <f>IFERROR(O1644/N1644,"")</f>
        <v/>
      </c>
      <c r="Q1644" s="13">
        <f>CHAIN_RAW!I1644</f>
        <v/>
      </c>
      <c r="R1644" s="13">
        <f>CHAIN_RAW!P1644</f>
        <v/>
      </c>
      <c r="S1644" s="13">
        <f>IFERROR(R1644/Q1644,"")</f>
        <v/>
      </c>
      <c r="T1644" s="13">
        <f>IFERROR((ABS(N1644-O1644)/MAX(1,(N1644+O1644)))*EXP(-ABS(E1644-CONTROL!E5)/MAX(1,CONTROL!B8)),"")</f>
        <v/>
      </c>
      <c r="U1644" s="13">
        <f>IFERROR(IF(O1644&gt;N1644,"SUPPORT (PE OI)","RESIST (CE OI)"),"")</f>
        <v/>
      </c>
      <c r="V1644" s="13">
        <f>IFERROR(IF(Q1644&gt;0,IF(R1644&gt;0,"BOTH_ADD","CE_ADD_PE_REDUCE"),IF(R1644&gt;0,"CE_REDUCE_PE_ADD","BOTH_REDUCE")),"")</f>
        <v/>
      </c>
      <c r="W1644" s="13">
        <f>IFERROR( (P1644-1)*0.5 + (M1644)*0.1 - (I1644+J1644)*0.05 + T1644*0.4 ,"")</f>
        <v/>
      </c>
      <c r="X1644" s="13">
        <f>IFERROR(IF(ABS(F1644)&lt;0.01,"ATM/NEAR",""),"")</f>
        <v/>
      </c>
    </row>
    <row r="1645">
      <c r="A1645" s="13">
        <f>CHAIN_RAW!A1645</f>
        <v/>
      </c>
      <c r="B1645" s="14">
        <f>CHAIN_RAW!B1645</f>
        <v/>
      </c>
      <c r="C1645" s="13">
        <f>CHAIN_RAW!C1645</f>
        <v/>
      </c>
      <c r="D1645" s="13">
        <f>CHAIN_RAW!D1645</f>
        <v/>
      </c>
      <c r="E1645" s="13">
        <f>CHAIN_RAW!E1645</f>
        <v/>
      </c>
      <c r="F1645" s="13">
        <f>IFERROR((E1645-D1645)/D1645,"")</f>
        <v/>
      </c>
      <c r="G1645" s="13">
        <f>IFERROR((CHAIN_RAW!K1645+CHAIN_RAW!L1645)/2,"")</f>
        <v/>
      </c>
      <c r="H1645" s="13">
        <f>IFERROR((CHAIN_RAW!R1645+CHAIN_RAW!S1645)/2,"")</f>
        <v/>
      </c>
      <c r="I1645" s="13">
        <f>IFERROR((CHAIN_RAW!L1645-CHAIN_RAW!K1645)/MAX(1E-9, G1645),"")</f>
        <v/>
      </c>
      <c r="J1645" s="13">
        <f>IFERROR((CHAIN_RAW!S1645-CHAIN_RAW!R1645)/MAX(1E-9, H1645),"")</f>
        <v/>
      </c>
      <c r="K1645" s="13">
        <f>CHAIN_RAW!G1645</f>
        <v/>
      </c>
      <c r="L1645" s="13">
        <f>CHAIN_RAW!N1645</f>
        <v/>
      </c>
      <c r="M1645" s="13">
        <f>IFERROR(L1645-K1645,"")</f>
        <v/>
      </c>
      <c r="N1645" s="13">
        <f>CHAIN_RAW!H1645</f>
        <v/>
      </c>
      <c r="O1645" s="13">
        <f>CHAIN_RAW!O1645</f>
        <v/>
      </c>
      <c r="P1645" s="13">
        <f>IFERROR(O1645/N1645,"")</f>
        <v/>
      </c>
      <c r="Q1645" s="13">
        <f>CHAIN_RAW!I1645</f>
        <v/>
      </c>
      <c r="R1645" s="13">
        <f>CHAIN_RAW!P1645</f>
        <v/>
      </c>
      <c r="S1645" s="13">
        <f>IFERROR(R1645/Q1645,"")</f>
        <v/>
      </c>
      <c r="T1645" s="13">
        <f>IFERROR((ABS(N1645-O1645)/MAX(1,(N1645+O1645)))*EXP(-ABS(E1645-CONTROL!E5)/MAX(1,CONTROL!B8)),"")</f>
        <v/>
      </c>
      <c r="U1645" s="13">
        <f>IFERROR(IF(O1645&gt;N1645,"SUPPORT (PE OI)","RESIST (CE OI)"),"")</f>
        <v/>
      </c>
      <c r="V1645" s="13">
        <f>IFERROR(IF(Q1645&gt;0,IF(R1645&gt;0,"BOTH_ADD","CE_ADD_PE_REDUCE"),IF(R1645&gt;0,"CE_REDUCE_PE_ADD","BOTH_REDUCE")),"")</f>
        <v/>
      </c>
      <c r="W1645" s="13">
        <f>IFERROR( (P1645-1)*0.5 + (M1645)*0.1 - (I1645+J1645)*0.05 + T1645*0.4 ,"")</f>
        <v/>
      </c>
      <c r="X1645" s="13">
        <f>IFERROR(IF(ABS(F1645)&lt;0.01,"ATM/NEAR",""),"")</f>
        <v/>
      </c>
    </row>
    <row r="1646">
      <c r="A1646" s="13">
        <f>CHAIN_RAW!A1646</f>
        <v/>
      </c>
      <c r="B1646" s="14">
        <f>CHAIN_RAW!B1646</f>
        <v/>
      </c>
      <c r="C1646" s="13">
        <f>CHAIN_RAW!C1646</f>
        <v/>
      </c>
      <c r="D1646" s="13">
        <f>CHAIN_RAW!D1646</f>
        <v/>
      </c>
      <c r="E1646" s="13">
        <f>CHAIN_RAW!E1646</f>
        <v/>
      </c>
      <c r="F1646" s="13">
        <f>IFERROR((E1646-D1646)/D1646,"")</f>
        <v/>
      </c>
      <c r="G1646" s="13">
        <f>IFERROR((CHAIN_RAW!K1646+CHAIN_RAW!L1646)/2,"")</f>
        <v/>
      </c>
      <c r="H1646" s="13">
        <f>IFERROR((CHAIN_RAW!R1646+CHAIN_RAW!S1646)/2,"")</f>
        <v/>
      </c>
      <c r="I1646" s="13">
        <f>IFERROR((CHAIN_RAW!L1646-CHAIN_RAW!K1646)/MAX(1E-9, G1646),"")</f>
        <v/>
      </c>
      <c r="J1646" s="13">
        <f>IFERROR((CHAIN_RAW!S1646-CHAIN_RAW!R1646)/MAX(1E-9, H1646),"")</f>
        <v/>
      </c>
      <c r="K1646" s="13">
        <f>CHAIN_RAW!G1646</f>
        <v/>
      </c>
      <c r="L1646" s="13">
        <f>CHAIN_RAW!N1646</f>
        <v/>
      </c>
      <c r="M1646" s="13">
        <f>IFERROR(L1646-K1646,"")</f>
        <v/>
      </c>
      <c r="N1646" s="13">
        <f>CHAIN_RAW!H1646</f>
        <v/>
      </c>
      <c r="O1646" s="13">
        <f>CHAIN_RAW!O1646</f>
        <v/>
      </c>
      <c r="P1646" s="13">
        <f>IFERROR(O1646/N1646,"")</f>
        <v/>
      </c>
      <c r="Q1646" s="13">
        <f>CHAIN_RAW!I1646</f>
        <v/>
      </c>
      <c r="R1646" s="13">
        <f>CHAIN_RAW!P1646</f>
        <v/>
      </c>
      <c r="S1646" s="13">
        <f>IFERROR(R1646/Q1646,"")</f>
        <v/>
      </c>
      <c r="T1646" s="13">
        <f>IFERROR((ABS(N1646-O1646)/MAX(1,(N1646+O1646)))*EXP(-ABS(E1646-CONTROL!E5)/MAX(1,CONTROL!B8)),"")</f>
        <v/>
      </c>
      <c r="U1646" s="13">
        <f>IFERROR(IF(O1646&gt;N1646,"SUPPORT (PE OI)","RESIST (CE OI)"),"")</f>
        <v/>
      </c>
      <c r="V1646" s="13">
        <f>IFERROR(IF(Q1646&gt;0,IF(R1646&gt;0,"BOTH_ADD","CE_ADD_PE_REDUCE"),IF(R1646&gt;0,"CE_REDUCE_PE_ADD","BOTH_REDUCE")),"")</f>
        <v/>
      </c>
      <c r="W1646" s="13">
        <f>IFERROR( (P1646-1)*0.5 + (M1646)*0.1 - (I1646+J1646)*0.05 + T1646*0.4 ,"")</f>
        <v/>
      </c>
      <c r="X1646" s="13">
        <f>IFERROR(IF(ABS(F1646)&lt;0.01,"ATM/NEAR",""),"")</f>
        <v/>
      </c>
    </row>
    <row r="1647">
      <c r="A1647" s="13">
        <f>CHAIN_RAW!A1647</f>
        <v/>
      </c>
      <c r="B1647" s="14">
        <f>CHAIN_RAW!B1647</f>
        <v/>
      </c>
      <c r="C1647" s="13">
        <f>CHAIN_RAW!C1647</f>
        <v/>
      </c>
      <c r="D1647" s="13">
        <f>CHAIN_RAW!D1647</f>
        <v/>
      </c>
      <c r="E1647" s="13">
        <f>CHAIN_RAW!E1647</f>
        <v/>
      </c>
      <c r="F1647" s="13">
        <f>IFERROR((E1647-D1647)/D1647,"")</f>
        <v/>
      </c>
      <c r="G1647" s="13">
        <f>IFERROR((CHAIN_RAW!K1647+CHAIN_RAW!L1647)/2,"")</f>
        <v/>
      </c>
      <c r="H1647" s="13">
        <f>IFERROR((CHAIN_RAW!R1647+CHAIN_RAW!S1647)/2,"")</f>
        <v/>
      </c>
      <c r="I1647" s="13">
        <f>IFERROR((CHAIN_RAW!L1647-CHAIN_RAW!K1647)/MAX(1E-9, G1647),"")</f>
        <v/>
      </c>
      <c r="J1647" s="13">
        <f>IFERROR((CHAIN_RAW!S1647-CHAIN_RAW!R1647)/MAX(1E-9, H1647),"")</f>
        <v/>
      </c>
      <c r="K1647" s="13">
        <f>CHAIN_RAW!G1647</f>
        <v/>
      </c>
      <c r="L1647" s="13">
        <f>CHAIN_RAW!N1647</f>
        <v/>
      </c>
      <c r="M1647" s="13">
        <f>IFERROR(L1647-K1647,"")</f>
        <v/>
      </c>
      <c r="N1647" s="13">
        <f>CHAIN_RAW!H1647</f>
        <v/>
      </c>
      <c r="O1647" s="13">
        <f>CHAIN_RAW!O1647</f>
        <v/>
      </c>
      <c r="P1647" s="13">
        <f>IFERROR(O1647/N1647,"")</f>
        <v/>
      </c>
      <c r="Q1647" s="13">
        <f>CHAIN_RAW!I1647</f>
        <v/>
      </c>
      <c r="R1647" s="13">
        <f>CHAIN_RAW!P1647</f>
        <v/>
      </c>
      <c r="S1647" s="13">
        <f>IFERROR(R1647/Q1647,"")</f>
        <v/>
      </c>
      <c r="T1647" s="13">
        <f>IFERROR((ABS(N1647-O1647)/MAX(1,(N1647+O1647)))*EXP(-ABS(E1647-CONTROL!E5)/MAX(1,CONTROL!B8)),"")</f>
        <v/>
      </c>
      <c r="U1647" s="13">
        <f>IFERROR(IF(O1647&gt;N1647,"SUPPORT (PE OI)","RESIST (CE OI)"),"")</f>
        <v/>
      </c>
      <c r="V1647" s="13">
        <f>IFERROR(IF(Q1647&gt;0,IF(R1647&gt;0,"BOTH_ADD","CE_ADD_PE_REDUCE"),IF(R1647&gt;0,"CE_REDUCE_PE_ADD","BOTH_REDUCE")),"")</f>
        <v/>
      </c>
      <c r="W1647" s="13">
        <f>IFERROR( (P1647-1)*0.5 + (M1647)*0.1 - (I1647+J1647)*0.05 + T1647*0.4 ,"")</f>
        <v/>
      </c>
      <c r="X1647" s="13">
        <f>IFERROR(IF(ABS(F1647)&lt;0.01,"ATM/NEAR",""),"")</f>
        <v/>
      </c>
    </row>
    <row r="1648">
      <c r="A1648" s="13">
        <f>CHAIN_RAW!A1648</f>
        <v/>
      </c>
      <c r="B1648" s="14">
        <f>CHAIN_RAW!B1648</f>
        <v/>
      </c>
      <c r="C1648" s="13">
        <f>CHAIN_RAW!C1648</f>
        <v/>
      </c>
      <c r="D1648" s="13">
        <f>CHAIN_RAW!D1648</f>
        <v/>
      </c>
      <c r="E1648" s="13">
        <f>CHAIN_RAW!E1648</f>
        <v/>
      </c>
      <c r="F1648" s="13">
        <f>IFERROR((E1648-D1648)/D1648,"")</f>
        <v/>
      </c>
      <c r="G1648" s="13">
        <f>IFERROR((CHAIN_RAW!K1648+CHAIN_RAW!L1648)/2,"")</f>
        <v/>
      </c>
      <c r="H1648" s="13">
        <f>IFERROR((CHAIN_RAW!R1648+CHAIN_RAW!S1648)/2,"")</f>
        <v/>
      </c>
      <c r="I1648" s="13">
        <f>IFERROR((CHAIN_RAW!L1648-CHAIN_RAW!K1648)/MAX(1E-9, G1648),"")</f>
        <v/>
      </c>
      <c r="J1648" s="13">
        <f>IFERROR((CHAIN_RAW!S1648-CHAIN_RAW!R1648)/MAX(1E-9, H1648),"")</f>
        <v/>
      </c>
      <c r="K1648" s="13">
        <f>CHAIN_RAW!G1648</f>
        <v/>
      </c>
      <c r="L1648" s="13">
        <f>CHAIN_RAW!N1648</f>
        <v/>
      </c>
      <c r="M1648" s="13">
        <f>IFERROR(L1648-K1648,"")</f>
        <v/>
      </c>
      <c r="N1648" s="13">
        <f>CHAIN_RAW!H1648</f>
        <v/>
      </c>
      <c r="O1648" s="13">
        <f>CHAIN_RAW!O1648</f>
        <v/>
      </c>
      <c r="P1648" s="13">
        <f>IFERROR(O1648/N1648,"")</f>
        <v/>
      </c>
      <c r="Q1648" s="13">
        <f>CHAIN_RAW!I1648</f>
        <v/>
      </c>
      <c r="R1648" s="13">
        <f>CHAIN_RAW!P1648</f>
        <v/>
      </c>
      <c r="S1648" s="13">
        <f>IFERROR(R1648/Q1648,"")</f>
        <v/>
      </c>
      <c r="T1648" s="13">
        <f>IFERROR((ABS(N1648-O1648)/MAX(1,(N1648+O1648)))*EXP(-ABS(E1648-CONTROL!E5)/MAX(1,CONTROL!B8)),"")</f>
        <v/>
      </c>
      <c r="U1648" s="13">
        <f>IFERROR(IF(O1648&gt;N1648,"SUPPORT (PE OI)","RESIST (CE OI)"),"")</f>
        <v/>
      </c>
      <c r="V1648" s="13">
        <f>IFERROR(IF(Q1648&gt;0,IF(R1648&gt;0,"BOTH_ADD","CE_ADD_PE_REDUCE"),IF(R1648&gt;0,"CE_REDUCE_PE_ADD","BOTH_REDUCE")),"")</f>
        <v/>
      </c>
      <c r="W1648" s="13">
        <f>IFERROR( (P1648-1)*0.5 + (M1648)*0.1 - (I1648+J1648)*0.05 + T1648*0.4 ,"")</f>
        <v/>
      </c>
      <c r="X1648" s="13">
        <f>IFERROR(IF(ABS(F1648)&lt;0.01,"ATM/NEAR",""),"")</f>
        <v/>
      </c>
    </row>
    <row r="1649">
      <c r="A1649" s="13">
        <f>CHAIN_RAW!A1649</f>
        <v/>
      </c>
      <c r="B1649" s="14">
        <f>CHAIN_RAW!B1649</f>
        <v/>
      </c>
      <c r="C1649" s="13">
        <f>CHAIN_RAW!C1649</f>
        <v/>
      </c>
      <c r="D1649" s="13">
        <f>CHAIN_RAW!D1649</f>
        <v/>
      </c>
      <c r="E1649" s="13">
        <f>CHAIN_RAW!E1649</f>
        <v/>
      </c>
      <c r="F1649" s="13">
        <f>IFERROR((E1649-D1649)/D1649,"")</f>
        <v/>
      </c>
      <c r="G1649" s="13">
        <f>IFERROR((CHAIN_RAW!K1649+CHAIN_RAW!L1649)/2,"")</f>
        <v/>
      </c>
      <c r="H1649" s="13">
        <f>IFERROR((CHAIN_RAW!R1649+CHAIN_RAW!S1649)/2,"")</f>
        <v/>
      </c>
      <c r="I1649" s="13">
        <f>IFERROR((CHAIN_RAW!L1649-CHAIN_RAW!K1649)/MAX(1E-9, G1649),"")</f>
        <v/>
      </c>
      <c r="J1649" s="13">
        <f>IFERROR((CHAIN_RAW!S1649-CHAIN_RAW!R1649)/MAX(1E-9, H1649),"")</f>
        <v/>
      </c>
      <c r="K1649" s="13">
        <f>CHAIN_RAW!G1649</f>
        <v/>
      </c>
      <c r="L1649" s="13">
        <f>CHAIN_RAW!N1649</f>
        <v/>
      </c>
      <c r="M1649" s="13">
        <f>IFERROR(L1649-K1649,"")</f>
        <v/>
      </c>
      <c r="N1649" s="13">
        <f>CHAIN_RAW!H1649</f>
        <v/>
      </c>
      <c r="O1649" s="13">
        <f>CHAIN_RAW!O1649</f>
        <v/>
      </c>
      <c r="P1649" s="13">
        <f>IFERROR(O1649/N1649,"")</f>
        <v/>
      </c>
      <c r="Q1649" s="13">
        <f>CHAIN_RAW!I1649</f>
        <v/>
      </c>
      <c r="R1649" s="13">
        <f>CHAIN_RAW!P1649</f>
        <v/>
      </c>
      <c r="S1649" s="13">
        <f>IFERROR(R1649/Q1649,"")</f>
        <v/>
      </c>
      <c r="T1649" s="13">
        <f>IFERROR((ABS(N1649-O1649)/MAX(1,(N1649+O1649)))*EXP(-ABS(E1649-CONTROL!E5)/MAX(1,CONTROL!B8)),"")</f>
        <v/>
      </c>
      <c r="U1649" s="13">
        <f>IFERROR(IF(O1649&gt;N1649,"SUPPORT (PE OI)","RESIST (CE OI)"),"")</f>
        <v/>
      </c>
      <c r="V1649" s="13">
        <f>IFERROR(IF(Q1649&gt;0,IF(R1649&gt;0,"BOTH_ADD","CE_ADD_PE_REDUCE"),IF(R1649&gt;0,"CE_REDUCE_PE_ADD","BOTH_REDUCE")),"")</f>
        <v/>
      </c>
      <c r="W1649" s="13">
        <f>IFERROR( (P1649-1)*0.5 + (M1649)*0.1 - (I1649+J1649)*0.05 + T1649*0.4 ,"")</f>
        <v/>
      </c>
      <c r="X1649" s="13">
        <f>IFERROR(IF(ABS(F1649)&lt;0.01,"ATM/NEAR",""),"")</f>
        <v/>
      </c>
    </row>
    <row r="1650">
      <c r="A1650" s="13">
        <f>CHAIN_RAW!A1650</f>
        <v/>
      </c>
      <c r="B1650" s="14">
        <f>CHAIN_RAW!B1650</f>
        <v/>
      </c>
      <c r="C1650" s="13">
        <f>CHAIN_RAW!C1650</f>
        <v/>
      </c>
      <c r="D1650" s="13">
        <f>CHAIN_RAW!D1650</f>
        <v/>
      </c>
      <c r="E1650" s="13">
        <f>CHAIN_RAW!E1650</f>
        <v/>
      </c>
      <c r="F1650" s="13">
        <f>IFERROR((E1650-D1650)/D1650,"")</f>
        <v/>
      </c>
      <c r="G1650" s="13">
        <f>IFERROR((CHAIN_RAW!K1650+CHAIN_RAW!L1650)/2,"")</f>
        <v/>
      </c>
      <c r="H1650" s="13">
        <f>IFERROR((CHAIN_RAW!R1650+CHAIN_RAW!S1650)/2,"")</f>
        <v/>
      </c>
      <c r="I1650" s="13">
        <f>IFERROR((CHAIN_RAW!L1650-CHAIN_RAW!K1650)/MAX(1E-9, G1650),"")</f>
        <v/>
      </c>
      <c r="J1650" s="13">
        <f>IFERROR((CHAIN_RAW!S1650-CHAIN_RAW!R1650)/MAX(1E-9, H1650),"")</f>
        <v/>
      </c>
      <c r="K1650" s="13">
        <f>CHAIN_RAW!G1650</f>
        <v/>
      </c>
      <c r="L1650" s="13">
        <f>CHAIN_RAW!N1650</f>
        <v/>
      </c>
      <c r="M1650" s="13">
        <f>IFERROR(L1650-K1650,"")</f>
        <v/>
      </c>
      <c r="N1650" s="13">
        <f>CHAIN_RAW!H1650</f>
        <v/>
      </c>
      <c r="O1650" s="13">
        <f>CHAIN_RAW!O1650</f>
        <v/>
      </c>
      <c r="P1650" s="13">
        <f>IFERROR(O1650/N1650,"")</f>
        <v/>
      </c>
      <c r="Q1650" s="13">
        <f>CHAIN_RAW!I1650</f>
        <v/>
      </c>
      <c r="R1650" s="13">
        <f>CHAIN_RAW!P1650</f>
        <v/>
      </c>
      <c r="S1650" s="13">
        <f>IFERROR(R1650/Q1650,"")</f>
        <v/>
      </c>
      <c r="T1650" s="13">
        <f>IFERROR((ABS(N1650-O1650)/MAX(1,(N1650+O1650)))*EXP(-ABS(E1650-CONTROL!E5)/MAX(1,CONTROL!B8)),"")</f>
        <v/>
      </c>
      <c r="U1650" s="13">
        <f>IFERROR(IF(O1650&gt;N1650,"SUPPORT (PE OI)","RESIST (CE OI)"),"")</f>
        <v/>
      </c>
      <c r="V1650" s="13">
        <f>IFERROR(IF(Q1650&gt;0,IF(R1650&gt;0,"BOTH_ADD","CE_ADD_PE_REDUCE"),IF(R1650&gt;0,"CE_REDUCE_PE_ADD","BOTH_REDUCE")),"")</f>
        <v/>
      </c>
      <c r="W1650" s="13">
        <f>IFERROR( (P1650-1)*0.5 + (M1650)*0.1 - (I1650+J1650)*0.05 + T1650*0.4 ,"")</f>
        <v/>
      </c>
      <c r="X1650" s="13">
        <f>IFERROR(IF(ABS(F1650)&lt;0.01,"ATM/NEAR",""),"")</f>
        <v/>
      </c>
    </row>
    <row r="1651">
      <c r="A1651" s="13">
        <f>CHAIN_RAW!A1651</f>
        <v/>
      </c>
      <c r="B1651" s="14">
        <f>CHAIN_RAW!B1651</f>
        <v/>
      </c>
      <c r="C1651" s="13">
        <f>CHAIN_RAW!C1651</f>
        <v/>
      </c>
      <c r="D1651" s="13">
        <f>CHAIN_RAW!D1651</f>
        <v/>
      </c>
      <c r="E1651" s="13">
        <f>CHAIN_RAW!E1651</f>
        <v/>
      </c>
      <c r="F1651" s="13">
        <f>IFERROR((E1651-D1651)/D1651,"")</f>
        <v/>
      </c>
      <c r="G1651" s="13">
        <f>IFERROR((CHAIN_RAW!K1651+CHAIN_RAW!L1651)/2,"")</f>
        <v/>
      </c>
      <c r="H1651" s="13">
        <f>IFERROR((CHAIN_RAW!R1651+CHAIN_RAW!S1651)/2,"")</f>
        <v/>
      </c>
      <c r="I1651" s="13">
        <f>IFERROR((CHAIN_RAW!L1651-CHAIN_RAW!K1651)/MAX(1E-9, G1651),"")</f>
        <v/>
      </c>
      <c r="J1651" s="13">
        <f>IFERROR((CHAIN_RAW!S1651-CHAIN_RAW!R1651)/MAX(1E-9, H1651),"")</f>
        <v/>
      </c>
      <c r="K1651" s="13">
        <f>CHAIN_RAW!G1651</f>
        <v/>
      </c>
      <c r="L1651" s="13">
        <f>CHAIN_RAW!N1651</f>
        <v/>
      </c>
      <c r="M1651" s="13">
        <f>IFERROR(L1651-K1651,"")</f>
        <v/>
      </c>
      <c r="N1651" s="13">
        <f>CHAIN_RAW!H1651</f>
        <v/>
      </c>
      <c r="O1651" s="13">
        <f>CHAIN_RAW!O1651</f>
        <v/>
      </c>
      <c r="P1651" s="13">
        <f>IFERROR(O1651/N1651,"")</f>
        <v/>
      </c>
      <c r="Q1651" s="13">
        <f>CHAIN_RAW!I1651</f>
        <v/>
      </c>
      <c r="R1651" s="13">
        <f>CHAIN_RAW!P1651</f>
        <v/>
      </c>
      <c r="S1651" s="13">
        <f>IFERROR(R1651/Q1651,"")</f>
        <v/>
      </c>
      <c r="T1651" s="13">
        <f>IFERROR((ABS(N1651-O1651)/MAX(1,(N1651+O1651)))*EXP(-ABS(E1651-CONTROL!E5)/MAX(1,CONTROL!B8)),"")</f>
        <v/>
      </c>
      <c r="U1651" s="13">
        <f>IFERROR(IF(O1651&gt;N1651,"SUPPORT (PE OI)","RESIST (CE OI)"),"")</f>
        <v/>
      </c>
      <c r="V1651" s="13">
        <f>IFERROR(IF(Q1651&gt;0,IF(R1651&gt;0,"BOTH_ADD","CE_ADD_PE_REDUCE"),IF(R1651&gt;0,"CE_REDUCE_PE_ADD","BOTH_REDUCE")),"")</f>
        <v/>
      </c>
      <c r="W1651" s="13">
        <f>IFERROR( (P1651-1)*0.5 + (M1651)*0.1 - (I1651+J1651)*0.05 + T1651*0.4 ,"")</f>
        <v/>
      </c>
      <c r="X1651" s="13">
        <f>IFERROR(IF(ABS(F1651)&lt;0.01,"ATM/NEAR",""),"")</f>
        <v/>
      </c>
    </row>
    <row r="1652">
      <c r="A1652" s="13">
        <f>CHAIN_RAW!A1652</f>
        <v/>
      </c>
      <c r="B1652" s="14">
        <f>CHAIN_RAW!B1652</f>
        <v/>
      </c>
      <c r="C1652" s="13">
        <f>CHAIN_RAW!C1652</f>
        <v/>
      </c>
      <c r="D1652" s="13">
        <f>CHAIN_RAW!D1652</f>
        <v/>
      </c>
      <c r="E1652" s="13">
        <f>CHAIN_RAW!E1652</f>
        <v/>
      </c>
      <c r="F1652" s="13">
        <f>IFERROR((E1652-D1652)/D1652,"")</f>
        <v/>
      </c>
      <c r="G1652" s="13">
        <f>IFERROR((CHAIN_RAW!K1652+CHAIN_RAW!L1652)/2,"")</f>
        <v/>
      </c>
      <c r="H1652" s="13">
        <f>IFERROR((CHAIN_RAW!R1652+CHAIN_RAW!S1652)/2,"")</f>
        <v/>
      </c>
      <c r="I1652" s="13">
        <f>IFERROR((CHAIN_RAW!L1652-CHAIN_RAW!K1652)/MAX(1E-9, G1652),"")</f>
        <v/>
      </c>
      <c r="J1652" s="13">
        <f>IFERROR((CHAIN_RAW!S1652-CHAIN_RAW!R1652)/MAX(1E-9, H1652),"")</f>
        <v/>
      </c>
      <c r="K1652" s="13">
        <f>CHAIN_RAW!G1652</f>
        <v/>
      </c>
      <c r="L1652" s="13">
        <f>CHAIN_RAW!N1652</f>
        <v/>
      </c>
      <c r="M1652" s="13">
        <f>IFERROR(L1652-K1652,"")</f>
        <v/>
      </c>
      <c r="N1652" s="13">
        <f>CHAIN_RAW!H1652</f>
        <v/>
      </c>
      <c r="O1652" s="13">
        <f>CHAIN_RAW!O1652</f>
        <v/>
      </c>
      <c r="P1652" s="13">
        <f>IFERROR(O1652/N1652,"")</f>
        <v/>
      </c>
      <c r="Q1652" s="13">
        <f>CHAIN_RAW!I1652</f>
        <v/>
      </c>
      <c r="R1652" s="13">
        <f>CHAIN_RAW!P1652</f>
        <v/>
      </c>
      <c r="S1652" s="13">
        <f>IFERROR(R1652/Q1652,"")</f>
        <v/>
      </c>
      <c r="T1652" s="13">
        <f>IFERROR((ABS(N1652-O1652)/MAX(1,(N1652+O1652)))*EXP(-ABS(E1652-CONTROL!E5)/MAX(1,CONTROL!B8)),"")</f>
        <v/>
      </c>
      <c r="U1652" s="13">
        <f>IFERROR(IF(O1652&gt;N1652,"SUPPORT (PE OI)","RESIST (CE OI)"),"")</f>
        <v/>
      </c>
      <c r="V1652" s="13">
        <f>IFERROR(IF(Q1652&gt;0,IF(R1652&gt;0,"BOTH_ADD","CE_ADD_PE_REDUCE"),IF(R1652&gt;0,"CE_REDUCE_PE_ADD","BOTH_REDUCE")),"")</f>
        <v/>
      </c>
      <c r="W1652" s="13">
        <f>IFERROR( (P1652-1)*0.5 + (M1652)*0.1 - (I1652+J1652)*0.05 + T1652*0.4 ,"")</f>
        <v/>
      </c>
      <c r="X1652" s="13">
        <f>IFERROR(IF(ABS(F1652)&lt;0.01,"ATM/NEAR",""),"")</f>
        <v/>
      </c>
    </row>
    <row r="1653">
      <c r="A1653" s="13">
        <f>CHAIN_RAW!A1653</f>
        <v/>
      </c>
      <c r="B1653" s="14">
        <f>CHAIN_RAW!B1653</f>
        <v/>
      </c>
      <c r="C1653" s="13">
        <f>CHAIN_RAW!C1653</f>
        <v/>
      </c>
      <c r="D1653" s="13">
        <f>CHAIN_RAW!D1653</f>
        <v/>
      </c>
      <c r="E1653" s="13">
        <f>CHAIN_RAW!E1653</f>
        <v/>
      </c>
      <c r="F1653" s="13">
        <f>IFERROR((E1653-D1653)/D1653,"")</f>
        <v/>
      </c>
      <c r="G1653" s="13">
        <f>IFERROR((CHAIN_RAW!K1653+CHAIN_RAW!L1653)/2,"")</f>
        <v/>
      </c>
      <c r="H1653" s="13">
        <f>IFERROR((CHAIN_RAW!R1653+CHAIN_RAW!S1653)/2,"")</f>
        <v/>
      </c>
      <c r="I1653" s="13">
        <f>IFERROR((CHAIN_RAW!L1653-CHAIN_RAW!K1653)/MAX(1E-9, G1653),"")</f>
        <v/>
      </c>
      <c r="J1653" s="13">
        <f>IFERROR((CHAIN_RAW!S1653-CHAIN_RAW!R1653)/MAX(1E-9, H1653),"")</f>
        <v/>
      </c>
      <c r="K1653" s="13">
        <f>CHAIN_RAW!G1653</f>
        <v/>
      </c>
      <c r="L1653" s="13">
        <f>CHAIN_RAW!N1653</f>
        <v/>
      </c>
      <c r="M1653" s="13">
        <f>IFERROR(L1653-K1653,"")</f>
        <v/>
      </c>
      <c r="N1653" s="13">
        <f>CHAIN_RAW!H1653</f>
        <v/>
      </c>
      <c r="O1653" s="13">
        <f>CHAIN_RAW!O1653</f>
        <v/>
      </c>
      <c r="P1653" s="13">
        <f>IFERROR(O1653/N1653,"")</f>
        <v/>
      </c>
      <c r="Q1653" s="13">
        <f>CHAIN_RAW!I1653</f>
        <v/>
      </c>
      <c r="R1653" s="13">
        <f>CHAIN_RAW!P1653</f>
        <v/>
      </c>
      <c r="S1653" s="13">
        <f>IFERROR(R1653/Q1653,"")</f>
        <v/>
      </c>
      <c r="T1653" s="13">
        <f>IFERROR((ABS(N1653-O1653)/MAX(1,(N1653+O1653)))*EXP(-ABS(E1653-CONTROL!E5)/MAX(1,CONTROL!B8)),"")</f>
        <v/>
      </c>
      <c r="U1653" s="13">
        <f>IFERROR(IF(O1653&gt;N1653,"SUPPORT (PE OI)","RESIST (CE OI)"),"")</f>
        <v/>
      </c>
      <c r="V1653" s="13">
        <f>IFERROR(IF(Q1653&gt;0,IF(R1653&gt;0,"BOTH_ADD","CE_ADD_PE_REDUCE"),IF(R1653&gt;0,"CE_REDUCE_PE_ADD","BOTH_REDUCE")),"")</f>
        <v/>
      </c>
      <c r="W1653" s="13">
        <f>IFERROR( (P1653-1)*0.5 + (M1653)*0.1 - (I1653+J1653)*0.05 + T1653*0.4 ,"")</f>
        <v/>
      </c>
      <c r="X1653" s="13">
        <f>IFERROR(IF(ABS(F1653)&lt;0.01,"ATM/NEAR",""),"")</f>
        <v/>
      </c>
    </row>
    <row r="1654">
      <c r="A1654" s="13">
        <f>CHAIN_RAW!A1654</f>
        <v/>
      </c>
      <c r="B1654" s="14">
        <f>CHAIN_RAW!B1654</f>
        <v/>
      </c>
      <c r="C1654" s="13">
        <f>CHAIN_RAW!C1654</f>
        <v/>
      </c>
      <c r="D1654" s="13">
        <f>CHAIN_RAW!D1654</f>
        <v/>
      </c>
      <c r="E1654" s="13">
        <f>CHAIN_RAW!E1654</f>
        <v/>
      </c>
      <c r="F1654" s="13">
        <f>IFERROR((E1654-D1654)/D1654,"")</f>
        <v/>
      </c>
      <c r="G1654" s="13">
        <f>IFERROR((CHAIN_RAW!K1654+CHAIN_RAW!L1654)/2,"")</f>
        <v/>
      </c>
      <c r="H1654" s="13">
        <f>IFERROR((CHAIN_RAW!R1654+CHAIN_RAW!S1654)/2,"")</f>
        <v/>
      </c>
      <c r="I1654" s="13">
        <f>IFERROR((CHAIN_RAW!L1654-CHAIN_RAW!K1654)/MAX(1E-9, G1654),"")</f>
        <v/>
      </c>
      <c r="J1654" s="13">
        <f>IFERROR((CHAIN_RAW!S1654-CHAIN_RAW!R1654)/MAX(1E-9, H1654),"")</f>
        <v/>
      </c>
      <c r="K1654" s="13">
        <f>CHAIN_RAW!G1654</f>
        <v/>
      </c>
      <c r="L1654" s="13">
        <f>CHAIN_RAW!N1654</f>
        <v/>
      </c>
      <c r="M1654" s="13">
        <f>IFERROR(L1654-K1654,"")</f>
        <v/>
      </c>
      <c r="N1654" s="13">
        <f>CHAIN_RAW!H1654</f>
        <v/>
      </c>
      <c r="O1654" s="13">
        <f>CHAIN_RAW!O1654</f>
        <v/>
      </c>
      <c r="P1654" s="13">
        <f>IFERROR(O1654/N1654,"")</f>
        <v/>
      </c>
      <c r="Q1654" s="13">
        <f>CHAIN_RAW!I1654</f>
        <v/>
      </c>
      <c r="R1654" s="13">
        <f>CHAIN_RAW!P1654</f>
        <v/>
      </c>
      <c r="S1654" s="13">
        <f>IFERROR(R1654/Q1654,"")</f>
        <v/>
      </c>
      <c r="T1654" s="13">
        <f>IFERROR((ABS(N1654-O1654)/MAX(1,(N1654+O1654)))*EXP(-ABS(E1654-CONTROL!E5)/MAX(1,CONTROL!B8)),"")</f>
        <v/>
      </c>
      <c r="U1654" s="13">
        <f>IFERROR(IF(O1654&gt;N1654,"SUPPORT (PE OI)","RESIST (CE OI)"),"")</f>
        <v/>
      </c>
      <c r="V1654" s="13">
        <f>IFERROR(IF(Q1654&gt;0,IF(R1654&gt;0,"BOTH_ADD","CE_ADD_PE_REDUCE"),IF(R1654&gt;0,"CE_REDUCE_PE_ADD","BOTH_REDUCE")),"")</f>
        <v/>
      </c>
      <c r="W1654" s="13">
        <f>IFERROR( (P1654-1)*0.5 + (M1654)*0.1 - (I1654+J1654)*0.05 + T1654*0.4 ,"")</f>
        <v/>
      </c>
      <c r="X1654" s="13">
        <f>IFERROR(IF(ABS(F1654)&lt;0.01,"ATM/NEAR",""),"")</f>
        <v/>
      </c>
    </row>
    <row r="1655">
      <c r="A1655" s="13">
        <f>CHAIN_RAW!A1655</f>
        <v/>
      </c>
      <c r="B1655" s="14">
        <f>CHAIN_RAW!B1655</f>
        <v/>
      </c>
      <c r="C1655" s="13">
        <f>CHAIN_RAW!C1655</f>
        <v/>
      </c>
      <c r="D1655" s="13">
        <f>CHAIN_RAW!D1655</f>
        <v/>
      </c>
      <c r="E1655" s="13">
        <f>CHAIN_RAW!E1655</f>
        <v/>
      </c>
      <c r="F1655" s="13">
        <f>IFERROR((E1655-D1655)/D1655,"")</f>
        <v/>
      </c>
      <c r="G1655" s="13">
        <f>IFERROR((CHAIN_RAW!K1655+CHAIN_RAW!L1655)/2,"")</f>
        <v/>
      </c>
      <c r="H1655" s="13">
        <f>IFERROR((CHAIN_RAW!R1655+CHAIN_RAW!S1655)/2,"")</f>
        <v/>
      </c>
      <c r="I1655" s="13">
        <f>IFERROR((CHAIN_RAW!L1655-CHAIN_RAW!K1655)/MAX(1E-9, G1655),"")</f>
        <v/>
      </c>
      <c r="J1655" s="13">
        <f>IFERROR((CHAIN_RAW!S1655-CHAIN_RAW!R1655)/MAX(1E-9, H1655),"")</f>
        <v/>
      </c>
      <c r="K1655" s="13">
        <f>CHAIN_RAW!G1655</f>
        <v/>
      </c>
      <c r="L1655" s="13">
        <f>CHAIN_RAW!N1655</f>
        <v/>
      </c>
      <c r="M1655" s="13">
        <f>IFERROR(L1655-K1655,"")</f>
        <v/>
      </c>
      <c r="N1655" s="13">
        <f>CHAIN_RAW!H1655</f>
        <v/>
      </c>
      <c r="O1655" s="13">
        <f>CHAIN_RAW!O1655</f>
        <v/>
      </c>
      <c r="P1655" s="13">
        <f>IFERROR(O1655/N1655,"")</f>
        <v/>
      </c>
      <c r="Q1655" s="13">
        <f>CHAIN_RAW!I1655</f>
        <v/>
      </c>
      <c r="R1655" s="13">
        <f>CHAIN_RAW!P1655</f>
        <v/>
      </c>
      <c r="S1655" s="13">
        <f>IFERROR(R1655/Q1655,"")</f>
        <v/>
      </c>
      <c r="T1655" s="13">
        <f>IFERROR((ABS(N1655-O1655)/MAX(1,(N1655+O1655)))*EXP(-ABS(E1655-CONTROL!E5)/MAX(1,CONTROL!B8)),"")</f>
        <v/>
      </c>
      <c r="U1655" s="13">
        <f>IFERROR(IF(O1655&gt;N1655,"SUPPORT (PE OI)","RESIST (CE OI)"),"")</f>
        <v/>
      </c>
      <c r="V1655" s="13">
        <f>IFERROR(IF(Q1655&gt;0,IF(R1655&gt;0,"BOTH_ADD","CE_ADD_PE_REDUCE"),IF(R1655&gt;0,"CE_REDUCE_PE_ADD","BOTH_REDUCE")),"")</f>
        <v/>
      </c>
      <c r="W1655" s="13">
        <f>IFERROR( (P1655-1)*0.5 + (M1655)*0.1 - (I1655+J1655)*0.05 + T1655*0.4 ,"")</f>
        <v/>
      </c>
      <c r="X1655" s="13">
        <f>IFERROR(IF(ABS(F1655)&lt;0.01,"ATM/NEAR",""),"")</f>
        <v/>
      </c>
    </row>
    <row r="1656">
      <c r="A1656" s="13">
        <f>CHAIN_RAW!A1656</f>
        <v/>
      </c>
      <c r="B1656" s="14">
        <f>CHAIN_RAW!B1656</f>
        <v/>
      </c>
      <c r="C1656" s="13">
        <f>CHAIN_RAW!C1656</f>
        <v/>
      </c>
      <c r="D1656" s="13">
        <f>CHAIN_RAW!D1656</f>
        <v/>
      </c>
      <c r="E1656" s="13">
        <f>CHAIN_RAW!E1656</f>
        <v/>
      </c>
      <c r="F1656" s="13">
        <f>IFERROR((E1656-D1656)/D1656,"")</f>
        <v/>
      </c>
      <c r="G1656" s="13">
        <f>IFERROR((CHAIN_RAW!K1656+CHAIN_RAW!L1656)/2,"")</f>
        <v/>
      </c>
      <c r="H1656" s="13">
        <f>IFERROR((CHAIN_RAW!R1656+CHAIN_RAW!S1656)/2,"")</f>
        <v/>
      </c>
      <c r="I1656" s="13">
        <f>IFERROR((CHAIN_RAW!L1656-CHAIN_RAW!K1656)/MAX(1E-9, G1656),"")</f>
        <v/>
      </c>
      <c r="J1656" s="13">
        <f>IFERROR((CHAIN_RAW!S1656-CHAIN_RAW!R1656)/MAX(1E-9, H1656),"")</f>
        <v/>
      </c>
      <c r="K1656" s="13">
        <f>CHAIN_RAW!G1656</f>
        <v/>
      </c>
      <c r="L1656" s="13">
        <f>CHAIN_RAW!N1656</f>
        <v/>
      </c>
      <c r="M1656" s="13">
        <f>IFERROR(L1656-K1656,"")</f>
        <v/>
      </c>
      <c r="N1656" s="13">
        <f>CHAIN_RAW!H1656</f>
        <v/>
      </c>
      <c r="O1656" s="13">
        <f>CHAIN_RAW!O1656</f>
        <v/>
      </c>
      <c r="P1656" s="13">
        <f>IFERROR(O1656/N1656,"")</f>
        <v/>
      </c>
      <c r="Q1656" s="13">
        <f>CHAIN_RAW!I1656</f>
        <v/>
      </c>
      <c r="R1656" s="13">
        <f>CHAIN_RAW!P1656</f>
        <v/>
      </c>
      <c r="S1656" s="13">
        <f>IFERROR(R1656/Q1656,"")</f>
        <v/>
      </c>
      <c r="T1656" s="13">
        <f>IFERROR((ABS(N1656-O1656)/MAX(1,(N1656+O1656)))*EXP(-ABS(E1656-CONTROL!E5)/MAX(1,CONTROL!B8)),"")</f>
        <v/>
      </c>
      <c r="U1656" s="13">
        <f>IFERROR(IF(O1656&gt;N1656,"SUPPORT (PE OI)","RESIST (CE OI)"),"")</f>
        <v/>
      </c>
      <c r="V1656" s="13">
        <f>IFERROR(IF(Q1656&gt;0,IF(R1656&gt;0,"BOTH_ADD","CE_ADD_PE_REDUCE"),IF(R1656&gt;0,"CE_REDUCE_PE_ADD","BOTH_REDUCE")),"")</f>
        <v/>
      </c>
      <c r="W1656" s="13">
        <f>IFERROR( (P1656-1)*0.5 + (M1656)*0.1 - (I1656+J1656)*0.05 + T1656*0.4 ,"")</f>
        <v/>
      </c>
      <c r="X1656" s="13">
        <f>IFERROR(IF(ABS(F1656)&lt;0.01,"ATM/NEAR",""),"")</f>
        <v/>
      </c>
    </row>
    <row r="1657">
      <c r="A1657" s="13">
        <f>CHAIN_RAW!A1657</f>
        <v/>
      </c>
      <c r="B1657" s="14">
        <f>CHAIN_RAW!B1657</f>
        <v/>
      </c>
      <c r="C1657" s="13">
        <f>CHAIN_RAW!C1657</f>
        <v/>
      </c>
      <c r="D1657" s="13">
        <f>CHAIN_RAW!D1657</f>
        <v/>
      </c>
      <c r="E1657" s="13">
        <f>CHAIN_RAW!E1657</f>
        <v/>
      </c>
      <c r="F1657" s="13">
        <f>IFERROR((E1657-D1657)/D1657,"")</f>
        <v/>
      </c>
      <c r="G1657" s="13">
        <f>IFERROR((CHAIN_RAW!K1657+CHAIN_RAW!L1657)/2,"")</f>
        <v/>
      </c>
      <c r="H1657" s="13">
        <f>IFERROR((CHAIN_RAW!R1657+CHAIN_RAW!S1657)/2,"")</f>
        <v/>
      </c>
      <c r="I1657" s="13">
        <f>IFERROR((CHAIN_RAW!L1657-CHAIN_RAW!K1657)/MAX(1E-9, G1657),"")</f>
        <v/>
      </c>
      <c r="J1657" s="13">
        <f>IFERROR((CHAIN_RAW!S1657-CHAIN_RAW!R1657)/MAX(1E-9, H1657),"")</f>
        <v/>
      </c>
      <c r="K1657" s="13">
        <f>CHAIN_RAW!G1657</f>
        <v/>
      </c>
      <c r="L1657" s="13">
        <f>CHAIN_RAW!N1657</f>
        <v/>
      </c>
      <c r="M1657" s="13">
        <f>IFERROR(L1657-K1657,"")</f>
        <v/>
      </c>
      <c r="N1657" s="13">
        <f>CHAIN_RAW!H1657</f>
        <v/>
      </c>
      <c r="O1657" s="13">
        <f>CHAIN_RAW!O1657</f>
        <v/>
      </c>
      <c r="P1657" s="13">
        <f>IFERROR(O1657/N1657,"")</f>
        <v/>
      </c>
      <c r="Q1657" s="13">
        <f>CHAIN_RAW!I1657</f>
        <v/>
      </c>
      <c r="R1657" s="13">
        <f>CHAIN_RAW!P1657</f>
        <v/>
      </c>
      <c r="S1657" s="13">
        <f>IFERROR(R1657/Q1657,"")</f>
        <v/>
      </c>
      <c r="T1657" s="13">
        <f>IFERROR((ABS(N1657-O1657)/MAX(1,(N1657+O1657)))*EXP(-ABS(E1657-CONTROL!E5)/MAX(1,CONTROL!B8)),"")</f>
        <v/>
      </c>
      <c r="U1657" s="13">
        <f>IFERROR(IF(O1657&gt;N1657,"SUPPORT (PE OI)","RESIST (CE OI)"),"")</f>
        <v/>
      </c>
      <c r="V1657" s="13">
        <f>IFERROR(IF(Q1657&gt;0,IF(R1657&gt;0,"BOTH_ADD","CE_ADD_PE_REDUCE"),IF(R1657&gt;0,"CE_REDUCE_PE_ADD","BOTH_REDUCE")),"")</f>
        <v/>
      </c>
      <c r="W1657" s="13">
        <f>IFERROR( (P1657-1)*0.5 + (M1657)*0.1 - (I1657+J1657)*0.05 + T1657*0.4 ,"")</f>
        <v/>
      </c>
      <c r="X1657" s="13">
        <f>IFERROR(IF(ABS(F1657)&lt;0.01,"ATM/NEAR",""),"")</f>
        <v/>
      </c>
    </row>
    <row r="1658">
      <c r="A1658" s="13">
        <f>CHAIN_RAW!A1658</f>
        <v/>
      </c>
      <c r="B1658" s="14">
        <f>CHAIN_RAW!B1658</f>
        <v/>
      </c>
      <c r="C1658" s="13">
        <f>CHAIN_RAW!C1658</f>
        <v/>
      </c>
      <c r="D1658" s="13">
        <f>CHAIN_RAW!D1658</f>
        <v/>
      </c>
      <c r="E1658" s="13">
        <f>CHAIN_RAW!E1658</f>
        <v/>
      </c>
      <c r="F1658" s="13">
        <f>IFERROR((E1658-D1658)/D1658,"")</f>
        <v/>
      </c>
      <c r="G1658" s="13">
        <f>IFERROR((CHAIN_RAW!K1658+CHAIN_RAW!L1658)/2,"")</f>
        <v/>
      </c>
      <c r="H1658" s="13">
        <f>IFERROR((CHAIN_RAW!R1658+CHAIN_RAW!S1658)/2,"")</f>
        <v/>
      </c>
      <c r="I1658" s="13">
        <f>IFERROR((CHAIN_RAW!L1658-CHAIN_RAW!K1658)/MAX(1E-9, G1658),"")</f>
        <v/>
      </c>
      <c r="J1658" s="13">
        <f>IFERROR((CHAIN_RAW!S1658-CHAIN_RAW!R1658)/MAX(1E-9, H1658),"")</f>
        <v/>
      </c>
      <c r="K1658" s="13">
        <f>CHAIN_RAW!G1658</f>
        <v/>
      </c>
      <c r="L1658" s="13">
        <f>CHAIN_RAW!N1658</f>
        <v/>
      </c>
      <c r="M1658" s="13">
        <f>IFERROR(L1658-K1658,"")</f>
        <v/>
      </c>
      <c r="N1658" s="13">
        <f>CHAIN_RAW!H1658</f>
        <v/>
      </c>
      <c r="O1658" s="13">
        <f>CHAIN_RAW!O1658</f>
        <v/>
      </c>
      <c r="P1658" s="13">
        <f>IFERROR(O1658/N1658,"")</f>
        <v/>
      </c>
      <c r="Q1658" s="13">
        <f>CHAIN_RAW!I1658</f>
        <v/>
      </c>
      <c r="R1658" s="13">
        <f>CHAIN_RAW!P1658</f>
        <v/>
      </c>
      <c r="S1658" s="13">
        <f>IFERROR(R1658/Q1658,"")</f>
        <v/>
      </c>
      <c r="T1658" s="13">
        <f>IFERROR((ABS(N1658-O1658)/MAX(1,(N1658+O1658)))*EXP(-ABS(E1658-CONTROL!E5)/MAX(1,CONTROL!B8)),"")</f>
        <v/>
      </c>
      <c r="U1658" s="13">
        <f>IFERROR(IF(O1658&gt;N1658,"SUPPORT (PE OI)","RESIST (CE OI)"),"")</f>
        <v/>
      </c>
      <c r="V1658" s="13">
        <f>IFERROR(IF(Q1658&gt;0,IF(R1658&gt;0,"BOTH_ADD","CE_ADD_PE_REDUCE"),IF(R1658&gt;0,"CE_REDUCE_PE_ADD","BOTH_REDUCE")),"")</f>
        <v/>
      </c>
      <c r="W1658" s="13">
        <f>IFERROR( (P1658-1)*0.5 + (M1658)*0.1 - (I1658+J1658)*0.05 + T1658*0.4 ,"")</f>
        <v/>
      </c>
      <c r="X1658" s="13">
        <f>IFERROR(IF(ABS(F1658)&lt;0.01,"ATM/NEAR",""),"")</f>
        <v/>
      </c>
    </row>
    <row r="1659">
      <c r="A1659" s="13">
        <f>CHAIN_RAW!A1659</f>
        <v/>
      </c>
      <c r="B1659" s="14">
        <f>CHAIN_RAW!B1659</f>
        <v/>
      </c>
      <c r="C1659" s="13">
        <f>CHAIN_RAW!C1659</f>
        <v/>
      </c>
      <c r="D1659" s="13">
        <f>CHAIN_RAW!D1659</f>
        <v/>
      </c>
      <c r="E1659" s="13">
        <f>CHAIN_RAW!E1659</f>
        <v/>
      </c>
      <c r="F1659" s="13">
        <f>IFERROR((E1659-D1659)/D1659,"")</f>
        <v/>
      </c>
      <c r="G1659" s="13">
        <f>IFERROR((CHAIN_RAW!K1659+CHAIN_RAW!L1659)/2,"")</f>
        <v/>
      </c>
      <c r="H1659" s="13">
        <f>IFERROR((CHAIN_RAW!R1659+CHAIN_RAW!S1659)/2,"")</f>
        <v/>
      </c>
      <c r="I1659" s="13">
        <f>IFERROR((CHAIN_RAW!L1659-CHAIN_RAW!K1659)/MAX(1E-9, G1659),"")</f>
        <v/>
      </c>
      <c r="J1659" s="13">
        <f>IFERROR((CHAIN_RAW!S1659-CHAIN_RAW!R1659)/MAX(1E-9, H1659),"")</f>
        <v/>
      </c>
      <c r="K1659" s="13">
        <f>CHAIN_RAW!G1659</f>
        <v/>
      </c>
      <c r="L1659" s="13">
        <f>CHAIN_RAW!N1659</f>
        <v/>
      </c>
      <c r="M1659" s="13">
        <f>IFERROR(L1659-K1659,"")</f>
        <v/>
      </c>
      <c r="N1659" s="13">
        <f>CHAIN_RAW!H1659</f>
        <v/>
      </c>
      <c r="O1659" s="13">
        <f>CHAIN_RAW!O1659</f>
        <v/>
      </c>
      <c r="P1659" s="13">
        <f>IFERROR(O1659/N1659,"")</f>
        <v/>
      </c>
      <c r="Q1659" s="13">
        <f>CHAIN_RAW!I1659</f>
        <v/>
      </c>
      <c r="R1659" s="13">
        <f>CHAIN_RAW!P1659</f>
        <v/>
      </c>
      <c r="S1659" s="13">
        <f>IFERROR(R1659/Q1659,"")</f>
        <v/>
      </c>
      <c r="T1659" s="13">
        <f>IFERROR((ABS(N1659-O1659)/MAX(1,(N1659+O1659)))*EXP(-ABS(E1659-CONTROL!E5)/MAX(1,CONTROL!B8)),"")</f>
        <v/>
      </c>
      <c r="U1659" s="13">
        <f>IFERROR(IF(O1659&gt;N1659,"SUPPORT (PE OI)","RESIST (CE OI)"),"")</f>
        <v/>
      </c>
      <c r="V1659" s="13">
        <f>IFERROR(IF(Q1659&gt;0,IF(R1659&gt;0,"BOTH_ADD","CE_ADD_PE_REDUCE"),IF(R1659&gt;0,"CE_REDUCE_PE_ADD","BOTH_REDUCE")),"")</f>
        <v/>
      </c>
      <c r="W1659" s="13">
        <f>IFERROR( (P1659-1)*0.5 + (M1659)*0.1 - (I1659+J1659)*0.05 + T1659*0.4 ,"")</f>
        <v/>
      </c>
      <c r="X1659" s="13">
        <f>IFERROR(IF(ABS(F1659)&lt;0.01,"ATM/NEAR",""),"")</f>
        <v/>
      </c>
    </row>
    <row r="1660">
      <c r="A1660" s="13">
        <f>CHAIN_RAW!A1660</f>
        <v/>
      </c>
      <c r="B1660" s="14">
        <f>CHAIN_RAW!B1660</f>
        <v/>
      </c>
      <c r="C1660" s="13">
        <f>CHAIN_RAW!C1660</f>
        <v/>
      </c>
      <c r="D1660" s="13">
        <f>CHAIN_RAW!D1660</f>
        <v/>
      </c>
      <c r="E1660" s="13">
        <f>CHAIN_RAW!E1660</f>
        <v/>
      </c>
      <c r="F1660" s="13">
        <f>IFERROR((E1660-D1660)/D1660,"")</f>
        <v/>
      </c>
      <c r="G1660" s="13">
        <f>IFERROR((CHAIN_RAW!K1660+CHAIN_RAW!L1660)/2,"")</f>
        <v/>
      </c>
      <c r="H1660" s="13">
        <f>IFERROR((CHAIN_RAW!R1660+CHAIN_RAW!S1660)/2,"")</f>
        <v/>
      </c>
      <c r="I1660" s="13">
        <f>IFERROR((CHAIN_RAW!L1660-CHAIN_RAW!K1660)/MAX(1E-9, G1660),"")</f>
        <v/>
      </c>
      <c r="J1660" s="13">
        <f>IFERROR((CHAIN_RAW!S1660-CHAIN_RAW!R1660)/MAX(1E-9, H1660),"")</f>
        <v/>
      </c>
      <c r="K1660" s="13">
        <f>CHAIN_RAW!G1660</f>
        <v/>
      </c>
      <c r="L1660" s="13">
        <f>CHAIN_RAW!N1660</f>
        <v/>
      </c>
      <c r="M1660" s="13">
        <f>IFERROR(L1660-K1660,"")</f>
        <v/>
      </c>
      <c r="N1660" s="13">
        <f>CHAIN_RAW!H1660</f>
        <v/>
      </c>
      <c r="O1660" s="13">
        <f>CHAIN_RAW!O1660</f>
        <v/>
      </c>
      <c r="P1660" s="13">
        <f>IFERROR(O1660/N1660,"")</f>
        <v/>
      </c>
      <c r="Q1660" s="13">
        <f>CHAIN_RAW!I1660</f>
        <v/>
      </c>
      <c r="R1660" s="13">
        <f>CHAIN_RAW!P1660</f>
        <v/>
      </c>
      <c r="S1660" s="13">
        <f>IFERROR(R1660/Q1660,"")</f>
        <v/>
      </c>
      <c r="T1660" s="13">
        <f>IFERROR((ABS(N1660-O1660)/MAX(1,(N1660+O1660)))*EXP(-ABS(E1660-CONTROL!E5)/MAX(1,CONTROL!B8)),"")</f>
        <v/>
      </c>
      <c r="U1660" s="13">
        <f>IFERROR(IF(O1660&gt;N1660,"SUPPORT (PE OI)","RESIST (CE OI)"),"")</f>
        <v/>
      </c>
      <c r="V1660" s="13">
        <f>IFERROR(IF(Q1660&gt;0,IF(R1660&gt;0,"BOTH_ADD","CE_ADD_PE_REDUCE"),IF(R1660&gt;0,"CE_REDUCE_PE_ADD","BOTH_REDUCE")),"")</f>
        <v/>
      </c>
      <c r="W1660" s="13">
        <f>IFERROR( (P1660-1)*0.5 + (M1660)*0.1 - (I1660+J1660)*0.05 + T1660*0.4 ,"")</f>
        <v/>
      </c>
      <c r="X1660" s="13">
        <f>IFERROR(IF(ABS(F1660)&lt;0.01,"ATM/NEAR",""),"")</f>
        <v/>
      </c>
    </row>
    <row r="1661">
      <c r="A1661" s="13">
        <f>CHAIN_RAW!A1661</f>
        <v/>
      </c>
      <c r="B1661" s="14">
        <f>CHAIN_RAW!B1661</f>
        <v/>
      </c>
      <c r="C1661" s="13">
        <f>CHAIN_RAW!C1661</f>
        <v/>
      </c>
      <c r="D1661" s="13">
        <f>CHAIN_RAW!D1661</f>
        <v/>
      </c>
      <c r="E1661" s="13">
        <f>CHAIN_RAW!E1661</f>
        <v/>
      </c>
      <c r="F1661" s="13">
        <f>IFERROR((E1661-D1661)/D1661,"")</f>
        <v/>
      </c>
      <c r="G1661" s="13">
        <f>IFERROR((CHAIN_RAW!K1661+CHAIN_RAW!L1661)/2,"")</f>
        <v/>
      </c>
      <c r="H1661" s="13">
        <f>IFERROR((CHAIN_RAW!R1661+CHAIN_RAW!S1661)/2,"")</f>
        <v/>
      </c>
      <c r="I1661" s="13">
        <f>IFERROR((CHAIN_RAW!L1661-CHAIN_RAW!K1661)/MAX(1E-9, G1661),"")</f>
        <v/>
      </c>
      <c r="J1661" s="13">
        <f>IFERROR((CHAIN_RAW!S1661-CHAIN_RAW!R1661)/MAX(1E-9, H1661),"")</f>
        <v/>
      </c>
      <c r="K1661" s="13">
        <f>CHAIN_RAW!G1661</f>
        <v/>
      </c>
      <c r="L1661" s="13">
        <f>CHAIN_RAW!N1661</f>
        <v/>
      </c>
      <c r="M1661" s="13">
        <f>IFERROR(L1661-K1661,"")</f>
        <v/>
      </c>
      <c r="N1661" s="13">
        <f>CHAIN_RAW!H1661</f>
        <v/>
      </c>
      <c r="O1661" s="13">
        <f>CHAIN_RAW!O1661</f>
        <v/>
      </c>
      <c r="P1661" s="13">
        <f>IFERROR(O1661/N1661,"")</f>
        <v/>
      </c>
      <c r="Q1661" s="13">
        <f>CHAIN_RAW!I1661</f>
        <v/>
      </c>
      <c r="R1661" s="13">
        <f>CHAIN_RAW!P1661</f>
        <v/>
      </c>
      <c r="S1661" s="13">
        <f>IFERROR(R1661/Q1661,"")</f>
        <v/>
      </c>
      <c r="T1661" s="13">
        <f>IFERROR((ABS(N1661-O1661)/MAX(1,(N1661+O1661)))*EXP(-ABS(E1661-CONTROL!E5)/MAX(1,CONTROL!B8)),"")</f>
        <v/>
      </c>
      <c r="U1661" s="13">
        <f>IFERROR(IF(O1661&gt;N1661,"SUPPORT (PE OI)","RESIST (CE OI)"),"")</f>
        <v/>
      </c>
      <c r="V1661" s="13">
        <f>IFERROR(IF(Q1661&gt;0,IF(R1661&gt;0,"BOTH_ADD","CE_ADD_PE_REDUCE"),IF(R1661&gt;0,"CE_REDUCE_PE_ADD","BOTH_REDUCE")),"")</f>
        <v/>
      </c>
      <c r="W1661" s="13">
        <f>IFERROR( (P1661-1)*0.5 + (M1661)*0.1 - (I1661+J1661)*0.05 + T1661*0.4 ,"")</f>
        <v/>
      </c>
      <c r="X1661" s="13">
        <f>IFERROR(IF(ABS(F1661)&lt;0.01,"ATM/NEAR",""),"")</f>
        <v/>
      </c>
    </row>
    <row r="1662">
      <c r="A1662" s="13">
        <f>CHAIN_RAW!A1662</f>
        <v/>
      </c>
      <c r="B1662" s="14">
        <f>CHAIN_RAW!B1662</f>
        <v/>
      </c>
      <c r="C1662" s="13">
        <f>CHAIN_RAW!C1662</f>
        <v/>
      </c>
      <c r="D1662" s="13">
        <f>CHAIN_RAW!D1662</f>
        <v/>
      </c>
      <c r="E1662" s="13">
        <f>CHAIN_RAW!E1662</f>
        <v/>
      </c>
      <c r="F1662" s="13">
        <f>IFERROR((E1662-D1662)/D1662,"")</f>
        <v/>
      </c>
      <c r="G1662" s="13">
        <f>IFERROR((CHAIN_RAW!K1662+CHAIN_RAW!L1662)/2,"")</f>
        <v/>
      </c>
      <c r="H1662" s="13">
        <f>IFERROR((CHAIN_RAW!R1662+CHAIN_RAW!S1662)/2,"")</f>
        <v/>
      </c>
      <c r="I1662" s="13">
        <f>IFERROR((CHAIN_RAW!L1662-CHAIN_RAW!K1662)/MAX(1E-9, G1662),"")</f>
        <v/>
      </c>
      <c r="J1662" s="13">
        <f>IFERROR((CHAIN_RAW!S1662-CHAIN_RAW!R1662)/MAX(1E-9, H1662),"")</f>
        <v/>
      </c>
      <c r="K1662" s="13">
        <f>CHAIN_RAW!G1662</f>
        <v/>
      </c>
      <c r="L1662" s="13">
        <f>CHAIN_RAW!N1662</f>
        <v/>
      </c>
      <c r="M1662" s="13">
        <f>IFERROR(L1662-K1662,"")</f>
        <v/>
      </c>
      <c r="N1662" s="13">
        <f>CHAIN_RAW!H1662</f>
        <v/>
      </c>
      <c r="O1662" s="13">
        <f>CHAIN_RAW!O1662</f>
        <v/>
      </c>
      <c r="P1662" s="13">
        <f>IFERROR(O1662/N1662,"")</f>
        <v/>
      </c>
      <c r="Q1662" s="13">
        <f>CHAIN_RAW!I1662</f>
        <v/>
      </c>
      <c r="R1662" s="13">
        <f>CHAIN_RAW!P1662</f>
        <v/>
      </c>
      <c r="S1662" s="13">
        <f>IFERROR(R1662/Q1662,"")</f>
        <v/>
      </c>
      <c r="T1662" s="13">
        <f>IFERROR((ABS(N1662-O1662)/MAX(1,(N1662+O1662)))*EXP(-ABS(E1662-CONTROL!E5)/MAX(1,CONTROL!B8)),"")</f>
        <v/>
      </c>
      <c r="U1662" s="13">
        <f>IFERROR(IF(O1662&gt;N1662,"SUPPORT (PE OI)","RESIST (CE OI)"),"")</f>
        <v/>
      </c>
      <c r="V1662" s="13">
        <f>IFERROR(IF(Q1662&gt;0,IF(R1662&gt;0,"BOTH_ADD","CE_ADD_PE_REDUCE"),IF(R1662&gt;0,"CE_REDUCE_PE_ADD","BOTH_REDUCE")),"")</f>
        <v/>
      </c>
      <c r="W1662" s="13">
        <f>IFERROR( (P1662-1)*0.5 + (M1662)*0.1 - (I1662+J1662)*0.05 + T1662*0.4 ,"")</f>
        <v/>
      </c>
      <c r="X1662" s="13">
        <f>IFERROR(IF(ABS(F1662)&lt;0.01,"ATM/NEAR",""),"")</f>
        <v/>
      </c>
    </row>
    <row r="1663">
      <c r="A1663" s="13">
        <f>CHAIN_RAW!A1663</f>
        <v/>
      </c>
      <c r="B1663" s="14">
        <f>CHAIN_RAW!B1663</f>
        <v/>
      </c>
      <c r="C1663" s="13">
        <f>CHAIN_RAW!C1663</f>
        <v/>
      </c>
      <c r="D1663" s="13">
        <f>CHAIN_RAW!D1663</f>
        <v/>
      </c>
      <c r="E1663" s="13">
        <f>CHAIN_RAW!E1663</f>
        <v/>
      </c>
      <c r="F1663" s="13">
        <f>IFERROR((E1663-D1663)/D1663,"")</f>
        <v/>
      </c>
      <c r="G1663" s="13">
        <f>IFERROR((CHAIN_RAW!K1663+CHAIN_RAW!L1663)/2,"")</f>
        <v/>
      </c>
      <c r="H1663" s="13">
        <f>IFERROR((CHAIN_RAW!R1663+CHAIN_RAW!S1663)/2,"")</f>
        <v/>
      </c>
      <c r="I1663" s="13">
        <f>IFERROR((CHAIN_RAW!L1663-CHAIN_RAW!K1663)/MAX(1E-9, G1663),"")</f>
        <v/>
      </c>
      <c r="J1663" s="13">
        <f>IFERROR((CHAIN_RAW!S1663-CHAIN_RAW!R1663)/MAX(1E-9, H1663),"")</f>
        <v/>
      </c>
      <c r="K1663" s="13">
        <f>CHAIN_RAW!G1663</f>
        <v/>
      </c>
      <c r="L1663" s="13">
        <f>CHAIN_RAW!N1663</f>
        <v/>
      </c>
      <c r="M1663" s="13">
        <f>IFERROR(L1663-K1663,"")</f>
        <v/>
      </c>
      <c r="N1663" s="13">
        <f>CHAIN_RAW!H1663</f>
        <v/>
      </c>
      <c r="O1663" s="13">
        <f>CHAIN_RAW!O1663</f>
        <v/>
      </c>
      <c r="P1663" s="13">
        <f>IFERROR(O1663/N1663,"")</f>
        <v/>
      </c>
      <c r="Q1663" s="13">
        <f>CHAIN_RAW!I1663</f>
        <v/>
      </c>
      <c r="R1663" s="13">
        <f>CHAIN_RAW!P1663</f>
        <v/>
      </c>
      <c r="S1663" s="13">
        <f>IFERROR(R1663/Q1663,"")</f>
        <v/>
      </c>
      <c r="T1663" s="13">
        <f>IFERROR((ABS(N1663-O1663)/MAX(1,(N1663+O1663)))*EXP(-ABS(E1663-CONTROL!E5)/MAX(1,CONTROL!B8)),"")</f>
        <v/>
      </c>
      <c r="U1663" s="13">
        <f>IFERROR(IF(O1663&gt;N1663,"SUPPORT (PE OI)","RESIST (CE OI)"),"")</f>
        <v/>
      </c>
      <c r="V1663" s="13">
        <f>IFERROR(IF(Q1663&gt;0,IF(R1663&gt;0,"BOTH_ADD","CE_ADD_PE_REDUCE"),IF(R1663&gt;0,"CE_REDUCE_PE_ADD","BOTH_REDUCE")),"")</f>
        <v/>
      </c>
      <c r="W1663" s="13">
        <f>IFERROR( (P1663-1)*0.5 + (M1663)*0.1 - (I1663+J1663)*0.05 + T1663*0.4 ,"")</f>
        <v/>
      </c>
      <c r="X1663" s="13">
        <f>IFERROR(IF(ABS(F1663)&lt;0.01,"ATM/NEAR",""),"")</f>
        <v/>
      </c>
    </row>
    <row r="1664">
      <c r="A1664" s="13">
        <f>CHAIN_RAW!A1664</f>
        <v/>
      </c>
      <c r="B1664" s="14">
        <f>CHAIN_RAW!B1664</f>
        <v/>
      </c>
      <c r="C1664" s="13">
        <f>CHAIN_RAW!C1664</f>
        <v/>
      </c>
      <c r="D1664" s="13">
        <f>CHAIN_RAW!D1664</f>
        <v/>
      </c>
      <c r="E1664" s="13">
        <f>CHAIN_RAW!E1664</f>
        <v/>
      </c>
      <c r="F1664" s="13">
        <f>IFERROR((E1664-D1664)/D1664,"")</f>
        <v/>
      </c>
      <c r="G1664" s="13">
        <f>IFERROR((CHAIN_RAW!K1664+CHAIN_RAW!L1664)/2,"")</f>
        <v/>
      </c>
      <c r="H1664" s="13">
        <f>IFERROR((CHAIN_RAW!R1664+CHAIN_RAW!S1664)/2,"")</f>
        <v/>
      </c>
      <c r="I1664" s="13">
        <f>IFERROR((CHAIN_RAW!L1664-CHAIN_RAW!K1664)/MAX(1E-9, G1664),"")</f>
        <v/>
      </c>
      <c r="J1664" s="13">
        <f>IFERROR((CHAIN_RAW!S1664-CHAIN_RAW!R1664)/MAX(1E-9, H1664),"")</f>
        <v/>
      </c>
      <c r="K1664" s="13">
        <f>CHAIN_RAW!G1664</f>
        <v/>
      </c>
      <c r="L1664" s="13">
        <f>CHAIN_RAW!N1664</f>
        <v/>
      </c>
      <c r="M1664" s="13">
        <f>IFERROR(L1664-K1664,"")</f>
        <v/>
      </c>
      <c r="N1664" s="13">
        <f>CHAIN_RAW!H1664</f>
        <v/>
      </c>
      <c r="O1664" s="13">
        <f>CHAIN_RAW!O1664</f>
        <v/>
      </c>
      <c r="P1664" s="13">
        <f>IFERROR(O1664/N1664,"")</f>
        <v/>
      </c>
      <c r="Q1664" s="13">
        <f>CHAIN_RAW!I1664</f>
        <v/>
      </c>
      <c r="R1664" s="13">
        <f>CHAIN_RAW!P1664</f>
        <v/>
      </c>
      <c r="S1664" s="13">
        <f>IFERROR(R1664/Q1664,"")</f>
        <v/>
      </c>
      <c r="T1664" s="13">
        <f>IFERROR((ABS(N1664-O1664)/MAX(1,(N1664+O1664)))*EXP(-ABS(E1664-CONTROL!E5)/MAX(1,CONTROL!B8)),"")</f>
        <v/>
      </c>
      <c r="U1664" s="13">
        <f>IFERROR(IF(O1664&gt;N1664,"SUPPORT (PE OI)","RESIST (CE OI)"),"")</f>
        <v/>
      </c>
      <c r="V1664" s="13">
        <f>IFERROR(IF(Q1664&gt;0,IF(R1664&gt;0,"BOTH_ADD","CE_ADD_PE_REDUCE"),IF(R1664&gt;0,"CE_REDUCE_PE_ADD","BOTH_REDUCE")),"")</f>
        <v/>
      </c>
      <c r="W1664" s="13">
        <f>IFERROR( (P1664-1)*0.5 + (M1664)*0.1 - (I1664+J1664)*0.05 + T1664*0.4 ,"")</f>
        <v/>
      </c>
      <c r="X1664" s="13">
        <f>IFERROR(IF(ABS(F1664)&lt;0.01,"ATM/NEAR",""),"")</f>
        <v/>
      </c>
    </row>
    <row r="1665">
      <c r="A1665" s="13">
        <f>CHAIN_RAW!A1665</f>
        <v/>
      </c>
      <c r="B1665" s="14">
        <f>CHAIN_RAW!B1665</f>
        <v/>
      </c>
      <c r="C1665" s="13">
        <f>CHAIN_RAW!C1665</f>
        <v/>
      </c>
      <c r="D1665" s="13">
        <f>CHAIN_RAW!D1665</f>
        <v/>
      </c>
      <c r="E1665" s="13">
        <f>CHAIN_RAW!E1665</f>
        <v/>
      </c>
      <c r="F1665" s="13">
        <f>IFERROR((E1665-D1665)/D1665,"")</f>
        <v/>
      </c>
      <c r="G1665" s="13">
        <f>IFERROR((CHAIN_RAW!K1665+CHAIN_RAW!L1665)/2,"")</f>
        <v/>
      </c>
      <c r="H1665" s="13">
        <f>IFERROR((CHAIN_RAW!R1665+CHAIN_RAW!S1665)/2,"")</f>
        <v/>
      </c>
      <c r="I1665" s="13">
        <f>IFERROR((CHAIN_RAW!L1665-CHAIN_RAW!K1665)/MAX(1E-9, G1665),"")</f>
        <v/>
      </c>
      <c r="J1665" s="13">
        <f>IFERROR((CHAIN_RAW!S1665-CHAIN_RAW!R1665)/MAX(1E-9, H1665),"")</f>
        <v/>
      </c>
      <c r="K1665" s="13">
        <f>CHAIN_RAW!G1665</f>
        <v/>
      </c>
      <c r="L1665" s="13">
        <f>CHAIN_RAW!N1665</f>
        <v/>
      </c>
      <c r="M1665" s="13">
        <f>IFERROR(L1665-K1665,"")</f>
        <v/>
      </c>
      <c r="N1665" s="13">
        <f>CHAIN_RAW!H1665</f>
        <v/>
      </c>
      <c r="O1665" s="13">
        <f>CHAIN_RAW!O1665</f>
        <v/>
      </c>
      <c r="P1665" s="13">
        <f>IFERROR(O1665/N1665,"")</f>
        <v/>
      </c>
      <c r="Q1665" s="13">
        <f>CHAIN_RAW!I1665</f>
        <v/>
      </c>
      <c r="R1665" s="13">
        <f>CHAIN_RAW!P1665</f>
        <v/>
      </c>
      <c r="S1665" s="13">
        <f>IFERROR(R1665/Q1665,"")</f>
        <v/>
      </c>
      <c r="T1665" s="13">
        <f>IFERROR((ABS(N1665-O1665)/MAX(1,(N1665+O1665)))*EXP(-ABS(E1665-CONTROL!E5)/MAX(1,CONTROL!B8)),"")</f>
        <v/>
      </c>
      <c r="U1665" s="13">
        <f>IFERROR(IF(O1665&gt;N1665,"SUPPORT (PE OI)","RESIST (CE OI)"),"")</f>
        <v/>
      </c>
      <c r="V1665" s="13">
        <f>IFERROR(IF(Q1665&gt;0,IF(R1665&gt;0,"BOTH_ADD","CE_ADD_PE_REDUCE"),IF(R1665&gt;0,"CE_REDUCE_PE_ADD","BOTH_REDUCE")),"")</f>
        <v/>
      </c>
      <c r="W1665" s="13">
        <f>IFERROR( (P1665-1)*0.5 + (M1665)*0.1 - (I1665+J1665)*0.05 + T1665*0.4 ,"")</f>
        <v/>
      </c>
      <c r="X1665" s="13">
        <f>IFERROR(IF(ABS(F1665)&lt;0.01,"ATM/NEAR",""),"")</f>
        <v/>
      </c>
    </row>
    <row r="1666">
      <c r="A1666" s="13">
        <f>CHAIN_RAW!A1666</f>
        <v/>
      </c>
      <c r="B1666" s="14">
        <f>CHAIN_RAW!B1666</f>
        <v/>
      </c>
      <c r="C1666" s="13">
        <f>CHAIN_RAW!C1666</f>
        <v/>
      </c>
      <c r="D1666" s="13">
        <f>CHAIN_RAW!D1666</f>
        <v/>
      </c>
      <c r="E1666" s="13">
        <f>CHAIN_RAW!E1666</f>
        <v/>
      </c>
      <c r="F1666" s="13">
        <f>IFERROR((E1666-D1666)/D1666,"")</f>
        <v/>
      </c>
      <c r="G1666" s="13">
        <f>IFERROR((CHAIN_RAW!K1666+CHAIN_RAW!L1666)/2,"")</f>
        <v/>
      </c>
      <c r="H1666" s="13">
        <f>IFERROR((CHAIN_RAW!R1666+CHAIN_RAW!S1666)/2,"")</f>
        <v/>
      </c>
      <c r="I1666" s="13">
        <f>IFERROR((CHAIN_RAW!L1666-CHAIN_RAW!K1666)/MAX(1E-9, G1666),"")</f>
        <v/>
      </c>
      <c r="J1666" s="13">
        <f>IFERROR((CHAIN_RAW!S1666-CHAIN_RAW!R1666)/MAX(1E-9, H1666),"")</f>
        <v/>
      </c>
      <c r="K1666" s="13">
        <f>CHAIN_RAW!G1666</f>
        <v/>
      </c>
      <c r="L1666" s="13">
        <f>CHAIN_RAW!N1666</f>
        <v/>
      </c>
      <c r="M1666" s="13">
        <f>IFERROR(L1666-K1666,"")</f>
        <v/>
      </c>
      <c r="N1666" s="13">
        <f>CHAIN_RAW!H1666</f>
        <v/>
      </c>
      <c r="O1666" s="13">
        <f>CHAIN_RAW!O1666</f>
        <v/>
      </c>
      <c r="P1666" s="13">
        <f>IFERROR(O1666/N1666,"")</f>
        <v/>
      </c>
      <c r="Q1666" s="13">
        <f>CHAIN_RAW!I1666</f>
        <v/>
      </c>
      <c r="R1666" s="13">
        <f>CHAIN_RAW!P1666</f>
        <v/>
      </c>
      <c r="S1666" s="13">
        <f>IFERROR(R1666/Q1666,"")</f>
        <v/>
      </c>
      <c r="T1666" s="13">
        <f>IFERROR((ABS(N1666-O1666)/MAX(1,(N1666+O1666)))*EXP(-ABS(E1666-CONTROL!E5)/MAX(1,CONTROL!B8)),"")</f>
        <v/>
      </c>
      <c r="U1666" s="13">
        <f>IFERROR(IF(O1666&gt;N1666,"SUPPORT (PE OI)","RESIST (CE OI)"),"")</f>
        <v/>
      </c>
      <c r="V1666" s="13">
        <f>IFERROR(IF(Q1666&gt;0,IF(R1666&gt;0,"BOTH_ADD","CE_ADD_PE_REDUCE"),IF(R1666&gt;0,"CE_REDUCE_PE_ADD","BOTH_REDUCE")),"")</f>
        <v/>
      </c>
      <c r="W1666" s="13">
        <f>IFERROR( (P1666-1)*0.5 + (M1666)*0.1 - (I1666+J1666)*0.05 + T1666*0.4 ,"")</f>
        <v/>
      </c>
      <c r="X1666" s="13">
        <f>IFERROR(IF(ABS(F1666)&lt;0.01,"ATM/NEAR",""),"")</f>
        <v/>
      </c>
    </row>
    <row r="1667">
      <c r="A1667" s="13">
        <f>CHAIN_RAW!A1667</f>
        <v/>
      </c>
      <c r="B1667" s="14">
        <f>CHAIN_RAW!B1667</f>
        <v/>
      </c>
      <c r="C1667" s="13">
        <f>CHAIN_RAW!C1667</f>
        <v/>
      </c>
      <c r="D1667" s="13">
        <f>CHAIN_RAW!D1667</f>
        <v/>
      </c>
      <c r="E1667" s="13">
        <f>CHAIN_RAW!E1667</f>
        <v/>
      </c>
      <c r="F1667" s="13">
        <f>IFERROR((E1667-D1667)/D1667,"")</f>
        <v/>
      </c>
      <c r="G1667" s="13">
        <f>IFERROR((CHAIN_RAW!K1667+CHAIN_RAW!L1667)/2,"")</f>
        <v/>
      </c>
      <c r="H1667" s="13">
        <f>IFERROR((CHAIN_RAW!R1667+CHAIN_RAW!S1667)/2,"")</f>
        <v/>
      </c>
      <c r="I1667" s="13">
        <f>IFERROR((CHAIN_RAW!L1667-CHAIN_RAW!K1667)/MAX(1E-9, G1667),"")</f>
        <v/>
      </c>
      <c r="J1667" s="13">
        <f>IFERROR((CHAIN_RAW!S1667-CHAIN_RAW!R1667)/MAX(1E-9, H1667),"")</f>
        <v/>
      </c>
      <c r="K1667" s="13">
        <f>CHAIN_RAW!G1667</f>
        <v/>
      </c>
      <c r="L1667" s="13">
        <f>CHAIN_RAW!N1667</f>
        <v/>
      </c>
      <c r="M1667" s="13">
        <f>IFERROR(L1667-K1667,"")</f>
        <v/>
      </c>
      <c r="N1667" s="13">
        <f>CHAIN_RAW!H1667</f>
        <v/>
      </c>
      <c r="O1667" s="13">
        <f>CHAIN_RAW!O1667</f>
        <v/>
      </c>
      <c r="P1667" s="13">
        <f>IFERROR(O1667/N1667,"")</f>
        <v/>
      </c>
      <c r="Q1667" s="13">
        <f>CHAIN_RAW!I1667</f>
        <v/>
      </c>
      <c r="R1667" s="13">
        <f>CHAIN_RAW!P1667</f>
        <v/>
      </c>
      <c r="S1667" s="13">
        <f>IFERROR(R1667/Q1667,"")</f>
        <v/>
      </c>
      <c r="T1667" s="13">
        <f>IFERROR((ABS(N1667-O1667)/MAX(1,(N1667+O1667)))*EXP(-ABS(E1667-CONTROL!E5)/MAX(1,CONTROL!B8)),"")</f>
        <v/>
      </c>
      <c r="U1667" s="13">
        <f>IFERROR(IF(O1667&gt;N1667,"SUPPORT (PE OI)","RESIST (CE OI)"),"")</f>
        <v/>
      </c>
      <c r="V1667" s="13">
        <f>IFERROR(IF(Q1667&gt;0,IF(R1667&gt;0,"BOTH_ADD","CE_ADD_PE_REDUCE"),IF(R1667&gt;0,"CE_REDUCE_PE_ADD","BOTH_REDUCE")),"")</f>
        <v/>
      </c>
      <c r="W1667" s="13">
        <f>IFERROR( (P1667-1)*0.5 + (M1667)*0.1 - (I1667+J1667)*0.05 + T1667*0.4 ,"")</f>
        <v/>
      </c>
      <c r="X1667" s="13">
        <f>IFERROR(IF(ABS(F1667)&lt;0.01,"ATM/NEAR",""),"")</f>
        <v/>
      </c>
    </row>
    <row r="1668">
      <c r="A1668" s="13">
        <f>CHAIN_RAW!A1668</f>
        <v/>
      </c>
      <c r="B1668" s="14">
        <f>CHAIN_RAW!B1668</f>
        <v/>
      </c>
      <c r="C1668" s="13">
        <f>CHAIN_RAW!C1668</f>
        <v/>
      </c>
      <c r="D1668" s="13">
        <f>CHAIN_RAW!D1668</f>
        <v/>
      </c>
      <c r="E1668" s="13">
        <f>CHAIN_RAW!E1668</f>
        <v/>
      </c>
      <c r="F1668" s="13">
        <f>IFERROR((E1668-D1668)/D1668,"")</f>
        <v/>
      </c>
      <c r="G1668" s="13">
        <f>IFERROR((CHAIN_RAW!K1668+CHAIN_RAW!L1668)/2,"")</f>
        <v/>
      </c>
      <c r="H1668" s="13">
        <f>IFERROR((CHAIN_RAW!R1668+CHAIN_RAW!S1668)/2,"")</f>
        <v/>
      </c>
      <c r="I1668" s="13">
        <f>IFERROR((CHAIN_RAW!L1668-CHAIN_RAW!K1668)/MAX(1E-9, G1668),"")</f>
        <v/>
      </c>
      <c r="J1668" s="13">
        <f>IFERROR((CHAIN_RAW!S1668-CHAIN_RAW!R1668)/MAX(1E-9, H1668),"")</f>
        <v/>
      </c>
      <c r="K1668" s="13">
        <f>CHAIN_RAW!G1668</f>
        <v/>
      </c>
      <c r="L1668" s="13">
        <f>CHAIN_RAW!N1668</f>
        <v/>
      </c>
      <c r="M1668" s="13">
        <f>IFERROR(L1668-K1668,"")</f>
        <v/>
      </c>
      <c r="N1668" s="13">
        <f>CHAIN_RAW!H1668</f>
        <v/>
      </c>
      <c r="O1668" s="13">
        <f>CHAIN_RAW!O1668</f>
        <v/>
      </c>
      <c r="P1668" s="13">
        <f>IFERROR(O1668/N1668,"")</f>
        <v/>
      </c>
      <c r="Q1668" s="13">
        <f>CHAIN_RAW!I1668</f>
        <v/>
      </c>
      <c r="R1668" s="13">
        <f>CHAIN_RAW!P1668</f>
        <v/>
      </c>
      <c r="S1668" s="13">
        <f>IFERROR(R1668/Q1668,"")</f>
        <v/>
      </c>
      <c r="T1668" s="13">
        <f>IFERROR((ABS(N1668-O1668)/MAX(1,(N1668+O1668)))*EXP(-ABS(E1668-CONTROL!E5)/MAX(1,CONTROL!B8)),"")</f>
        <v/>
      </c>
      <c r="U1668" s="13">
        <f>IFERROR(IF(O1668&gt;N1668,"SUPPORT (PE OI)","RESIST (CE OI)"),"")</f>
        <v/>
      </c>
      <c r="V1668" s="13">
        <f>IFERROR(IF(Q1668&gt;0,IF(R1668&gt;0,"BOTH_ADD","CE_ADD_PE_REDUCE"),IF(R1668&gt;0,"CE_REDUCE_PE_ADD","BOTH_REDUCE")),"")</f>
        <v/>
      </c>
      <c r="W1668" s="13">
        <f>IFERROR( (P1668-1)*0.5 + (M1668)*0.1 - (I1668+J1668)*0.05 + T1668*0.4 ,"")</f>
        <v/>
      </c>
      <c r="X1668" s="13">
        <f>IFERROR(IF(ABS(F1668)&lt;0.01,"ATM/NEAR",""),"")</f>
        <v/>
      </c>
    </row>
    <row r="1669">
      <c r="A1669" s="13">
        <f>CHAIN_RAW!A1669</f>
        <v/>
      </c>
      <c r="B1669" s="14">
        <f>CHAIN_RAW!B1669</f>
        <v/>
      </c>
      <c r="C1669" s="13">
        <f>CHAIN_RAW!C1669</f>
        <v/>
      </c>
      <c r="D1669" s="13">
        <f>CHAIN_RAW!D1669</f>
        <v/>
      </c>
      <c r="E1669" s="13">
        <f>CHAIN_RAW!E1669</f>
        <v/>
      </c>
      <c r="F1669" s="13">
        <f>IFERROR((E1669-D1669)/D1669,"")</f>
        <v/>
      </c>
      <c r="G1669" s="13">
        <f>IFERROR((CHAIN_RAW!K1669+CHAIN_RAW!L1669)/2,"")</f>
        <v/>
      </c>
      <c r="H1669" s="13">
        <f>IFERROR((CHAIN_RAW!R1669+CHAIN_RAW!S1669)/2,"")</f>
        <v/>
      </c>
      <c r="I1669" s="13">
        <f>IFERROR((CHAIN_RAW!L1669-CHAIN_RAW!K1669)/MAX(1E-9, G1669),"")</f>
        <v/>
      </c>
      <c r="J1669" s="13">
        <f>IFERROR((CHAIN_RAW!S1669-CHAIN_RAW!R1669)/MAX(1E-9, H1669),"")</f>
        <v/>
      </c>
      <c r="K1669" s="13">
        <f>CHAIN_RAW!G1669</f>
        <v/>
      </c>
      <c r="L1669" s="13">
        <f>CHAIN_RAW!N1669</f>
        <v/>
      </c>
      <c r="M1669" s="13">
        <f>IFERROR(L1669-K1669,"")</f>
        <v/>
      </c>
      <c r="N1669" s="13">
        <f>CHAIN_RAW!H1669</f>
        <v/>
      </c>
      <c r="O1669" s="13">
        <f>CHAIN_RAW!O1669</f>
        <v/>
      </c>
      <c r="P1669" s="13">
        <f>IFERROR(O1669/N1669,"")</f>
        <v/>
      </c>
      <c r="Q1669" s="13">
        <f>CHAIN_RAW!I1669</f>
        <v/>
      </c>
      <c r="R1669" s="13">
        <f>CHAIN_RAW!P1669</f>
        <v/>
      </c>
      <c r="S1669" s="13">
        <f>IFERROR(R1669/Q1669,"")</f>
        <v/>
      </c>
      <c r="T1669" s="13">
        <f>IFERROR((ABS(N1669-O1669)/MAX(1,(N1669+O1669)))*EXP(-ABS(E1669-CONTROL!E5)/MAX(1,CONTROL!B8)),"")</f>
        <v/>
      </c>
      <c r="U1669" s="13">
        <f>IFERROR(IF(O1669&gt;N1669,"SUPPORT (PE OI)","RESIST (CE OI)"),"")</f>
        <v/>
      </c>
      <c r="V1669" s="13">
        <f>IFERROR(IF(Q1669&gt;0,IF(R1669&gt;0,"BOTH_ADD","CE_ADD_PE_REDUCE"),IF(R1669&gt;0,"CE_REDUCE_PE_ADD","BOTH_REDUCE")),"")</f>
        <v/>
      </c>
      <c r="W1669" s="13">
        <f>IFERROR( (P1669-1)*0.5 + (M1669)*0.1 - (I1669+J1669)*0.05 + T1669*0.4 ,"")</f>
        <v/>
      </c>
      <c r="X1669" s="13">
        <f>IFERROR(IF(ABS(F1669)&lt;0.01,"ATM/NEAR",""),"")</f>
        <v/>
      </c>
    </row>
    <row r="1670">
      <c r="A1670" s="13">
        <f>CHAIN_RAW!A1670</f>
        <v/>
      </c>
      <c r="B1670" s="14">
        <f>CHAIN_RAW!B1670</f>
        <v/>
      </c>
      <c r="C1670" s="13">
        <f>CHAIN_RAW!C1670</f>
        <v/>
      </c>
      <c r="D1670" s="13">
        <f>CHAIN_RAW!D1670</f>
        <v/>
      </c>
      <c r="E1670" s="13">
        <f>CHAIN_RAW!E1670</f>
        <v/>
      </c>
      <c r="F1670" s="13">
        <f>IFERROR((E1670-D1670)/D1670,"")</f>
        <v/>
      </c>
      <c r="G1670" s="13">
        <f>IFERROR((CHAIN_RAW!K1670+CHAIN_RAW!L1670)/2,"")</f>
        <v/>
      </c>
      <c r="H1670" s="13">
        <f>IFERROR((CHAIN_RAW!R1670+CHAIN_RAW!S1670)/2,"")</f>
        <v/>
      </c>
      <c r="I1670" s="13">
        <f>IFERROR((CHAIN_RAW!L1670-CHAIN_RAW!K1670)/MAX(1E-9, G1670),"")</f>
        <v/>
      </c>
      <c r="J1670" s="13">
        <f>IFERROR((CHAIN_RAW!S1670-CHAIN_RAW!R1670)/MAX(1E-9, H1670),"")</f>
        <v/>
      </c>
      <c r="K1670" s="13">
        <f>CHAIN_RAW!G1670</f>
        <v/>
      </c>
      <c r="L1670" s="13">
        <f>CHAIN_RAW!N1670</f>
        <v/>
      </c>
      <c r="M1670" s="13">
        <f>IFERROR(L1670-K1670,"")</f>
        <v/>
      </c>
      <c r="N1670" s="13">
        <f>CHAIN_RAW!H1670</f>
        <v/>
      </c>
      <c r="O1670" s="13">
        <f>CHAIN_RAW!O1670</f>
        <v/>
      </c>
      <c r="P1670" s="13">
        <f>IFERROR(O1670/N1670,"")</f>
        <v/>
      </c>
      <c r="Q1670" s="13">
        <f>CHAIN_RAW!I1670</f>
        <v/>
      </c>
      <c r="R1670" s="13">
        <f>CHAIN_RAW!P1670</f>
        <v/>
      </c>
      <c r="S1670" s="13">
        <f>IFERROR(R1670/Q1670,"")</f>
        <v/>
      </c>
      <c r="T1670" s="13">
        <f>IFERROR((ABS(N1670-O1670)/MAX(1,(N1670+O1670)))*EXP(-ABS(E1670-CONTROL!E5)/MAX(1,CONTROL!B8)),"")</f>
        <v/>
      </c>
      <c r="U1670" s="13">
        <f>IFERROR(IF(O1670&gt;N1670,"SUPPORT (PE OI)","RESIST (CE OI)"),"")</f>
        <v/>
      </c>
      <c r="V1670" s="13">
        <f>IFERROR(IF(Q1670&gt;0,IF(R1670&gt;0,"BOTH_ADD","CE_ADD_PE_REDUCE"),IF(R1670&gt;0,"CE_REDUCE_PE_ADD","BOTH_REDUCE")),"")</f>
        <v/>
      </c>
      <c r="W1670" s="13">
        <f>IFERROR( (P1670-1)*0.5 + (M1670)*0.1 - (I1670+J1670)*0.05 + T1670*0.4 ,"")</f>
        <v/>
      </c>
      <c r="X1670" s="13">
        <f>IFERROR(IF(ABS(F1670)&lt;0.01,"ATM/NEAR",""),"")</f>
        <v/>
      </c>
    </row>
    <row r="1671">
      <c r="A1671" s="13">
        <f>CHAIN_RAW!A1671</f>
        <v/>
      </c>
      <c r="B1671" s="14">
        <f>CHAIN_RAW!B1671</f>
        <v/>
      </c>
      <c r="C1671" s="13">
        <f>CHAIN_RAW!C1671</f>
        <v/>
      </c>
      <c r="D1671" s="13">
        <f>CHAIN_RAW!D1671</f>
        <v/>
      </c>
      <c r="E1671" s="13">
        <f>CHAIN_RAW!E1671</f>
        <v/>
      </c>
      <c r="F1671" s="13">
        <f>IFERROR((E1671-D1671)/D1671,"")</f>
        <v/>
      </c>
      <c r="G1671" s="13">
        <f>IFERROR((CHAIN_RAW!K1671+CHAIN_RAW!L1671)/2,"")</f>
        <v/>
      </c>
      <c r="H1671" s="13">
        <f>IFERROR((CHAIN_RAW!R1671+CHAIN_RAW!S1671)/2,"")</f>
        <v/>
      </c>
      <c r="I1671" s="13">
        <f>IFERROR((CHAIN_RAW!L1671-CHAIN_RAW!K1671)/MAX(1E-9, G1671),"")</f>
        <v/>
      </c>
      <c r="J1671" s="13">
        <f>IFERROR((CHAIN_RAW!S1671-CHAIN_RAW!R1671)/MAX(1E-9, H1671),"")</f>
        <v/>
      </c>
      <c r="K1671" s="13">
        <f>CHAIN_RAW!G1671</f>
        <v/>
      </c>
      <c r="L1671" s="13">
        <f>CHAIN_RAW!N1671</f>
        <v/>
      </c>
      <c r="M1671" s="13">
        <f>IFERROR(L1671-K1671,"")</f>
        <v/>
      </c>
      <c r="N1671" s="13">
        <f>CHAIN_RAW!H1671</f>
        <v/>
      </c>
      <c r="O1671" s="13">
        <f>CHAIN_RAW!O1671</f>
        <v/>
      </c>
      <c r="P1671" s="13">
        <f>IFERROR(O1671/N1671,"")</f>
        <v/>
      </c>
      <c r="Q1671" s="13">
        <f>CHAIN_RAW!I1671</f>
        <v/>
      </c>
      <c r="R1671" s="13">
        <f>CHAIN_RAW!P1671</f>
        <v/>
      </c>
      <c r="S1671" s="13">
        <f>IFERROR(R1671/Q1671,"")</f>
        <v/>
      </c>
      <c r="T1671" s="13">
        <f>IFERROR((ABS(N1671-O1671)/MAX(1,(N1671+O1671)))*EXP(-ABS(E1671-CONTROL!E5)/MAX(1,CONTROL!B8)),"")</f>
        <v/>
      </c>
      <c r="U1671" s="13">
        <f>IFERROR(IF(O1671&gt;N1671,"SUPPORT (PE OI)","RESIST (CE OI)"),"")</f>
        <v/>
      </c>
      <c r="V1671" s="13">
        <f>IFERROR(IF(Q1671&gt;0,IF(R1671&gt;0,"BOTH_ADD","CE_ADD_PE_REDUCE"),IF(R1671&gt;0,"CE_REDUCE_PE_ADD","BOTH_REDUCE")),"")</f>
        <v/>
      </c>
      <c r="W1671" s="13">
        <f>IFERROR( (P1671-1)*0.5 + (M1671)*0.1 - (I1671+J1671)*0.05 + T1671*0.4 ,"")</f>
        <v/>
      </c>
      <c r="X1671" s="13">
        <f>IFERROR(IF(ABS(F1671)&lt;0.01,"ATM/NEAR",""),"")</f>
        <v/>
      </c>
    </row>
    <row r="1672">
      <c r="A1672" s="13">
        <f>CHAIN_RAW!A1672</f>
        <v/>
      </c>
      <c r="B1672" s="14">
        <f>CHAIN_RAW!B1672</f>
        <v/>
      </c>
      <c r="C1672" s="13">
        <f>CHAIN_RAW!C1672</f>
        <v/>
      </c>
      <c r="D1672" s="13">
        <f>CHAIN_RAW!D1672</f>
        <v/>
      </c>
      <c r="E1672" s="13">
        <f>CHAIN_RAW!E1672</f>
        <v/>
      </c>
      <c r="F1672" s="13">
        <f>IFERROR((E1672-D1672)/D1672,"")</f>
        <v/>
      </c>
      <c r="G1672" s="13">
        <f>IFERROR((CHAIN_RAW!K1672+CHAIN_RAW!L1672)/2,"")</f>
        <v/>
      </c>
      <c r="H1672" s="13">
        <f>IFERROR((CHAIN_RAW!R1672+CHAIN_RAW!S1672)/2,"")</f>
        <v/>
      </c>
      <c r="I1672" s="13">
        <f>IFERROR((CHAIN_RAW!L1672-CHAIN_RAW!K1672)/MAX(1E-9, G1672),"")</f>
        <v/>
      </c>
      <c r="J1672" s="13">
        <f>IFERROR((CHAIN_RAW!S1672-CHAIN_RAW!R1672)/MAX(1E-9, H1672),"")</f>
        <v/>
      </c>
      <c r="K1672" s="13">
        <f>CHAIN_RAW!G1672</f>
        <v/>
      </c>
      <c r="L1672" s="13">
        <f>CHAIN_RAW!N1672</f>
        <v/>
      </c>
      <c r="M1672" s="13">
        <f>IFERROR(L1672-K1672,"")</f>
        <v/>
      </c>
      <c r="N1672" s="13">
        <f>CHAIN_RAW!H1672</f>
        <v/>
      </c>
      <c r="O1672" s="13">
        <f>CHAIN_RAW!O1672</f>
        <v/>
      </c>
      <c r="P1672" s="13">
        <f>IFERROR(O1672/N1672,"")</f>
        <v/>
      </c>
      <c r="Q1672" s="13">
        <f>CHAIN_RAW!I1672</f>
        <v/>
      </c>
      <c r="R1672" s="13">
        <f>CHAIN_RAW!P1672</f>
        <v/>
      </c>
      <c r="S1672" s="13">
        <f>IFERROR(R1672/Q1672,"")</f>
        <v/>
      </c>
      <c r="T1672" s="13">
        <f>IFERROR((ABS(N1672-O1672)/MAX(1,(N1672+O1672)))*EXP(-ABS(E1672-CONTROL!E5)/MAX(1,CONTROL!B8)),"")</f>
        <v/>
      </c>
      <c r="U1672" s="13">
        <f>IFERROR(IF(O1672&gt;N1672,"SUPPORT (PE OI)","RESIST (CE OI)"),"")</f>
        <v/>
      </c>
      <c r="V1672" s="13">
        <f>IFERROR(IF(Q1672&gt;0,IF(R1672&gt;0,"BOTH_ADD","CE_ADD_PE_REDUCE"),IF(R1672&gt;0,"CE_REDUCE_PE_ADD","BOTH_REDUCE")),"")</f>
        <v/>
      </c>
      <c r="W1672" s="13">
        <f>IFERROR( (P1672-1)*0.5 + (M1672)*0.1 - (I1672+J1672)*0.05 + T1672*0.4 ,"")</f>
        <v/>
      </c>
      <c r="X1672" s="13">
        <f>IFERROR(IF(ABS(F1672)&lt;0.01,"ATM/NEAR",""),"")</f>
        <v/>
      </c>
    </row>
    <row r="1673">
      <c r="A1673" s="13">
        <f>CHAIN_RAW!A1673</f>
        <v/>
      </c>
      <c r="B1673" s="14">
        <f>CHAIN_RAW!B1673</f>
        <v/>
      </c>
      <c r="C1673" s="13">
        <f>CHAIN_RAW!C1673</f>
        <v/>
      </c>
      <c r="D1673" s="13">
        <f>CHAIN_RAW!D1673</f>
        <v/>
      </c>
      <c r="E1673" s="13">
        <f>CHAIN_RAW!E1673</f>
        <v/>
      </c>
      <c r="F1673" s="13">
        <f>IFERROR((E1673-D1673)/D1673,"")</f>
        <v/>
      </c>
      <c r="G1673" s="13">
        <f>IFERROR((CHAIN_RAW!K1673+CHAIN_RAW!L1673)/2,"")</f>
        <v/>
      </c>
      <c r="H1673" s="13">
        <f>IFERROR((CHAIN_RAW!R1673+CHAIN_RAW!S1673)/2,"")</f>
        <v/>
      </c>
      <c r="I1673" s="13">
        <f>IFERROR((CHAIN_RAW!L1673-CHAIN_RAW!K1673)/MAX(1E-9, G1673),"")</f>
        <v/>
      </c>
      <c r="J1673" s="13">
        <f>IFERROR((CHAIN_RAW!S1673-CHAIN_RAW!R1673)/MAX(1E-9, H1673),"")</f>
        <v/>
      </c>
      <c r="K1673" s="13">
        <f>CHAIN_RAW!G1673</f>
        <v/>
      </c>
      <c r="L1673" s="13">
        <f>CHAIN_RAW!N1673</f>
        <v/>
      </c>
      <c r="M1673" s="13">
        <f>IFERROR(L1673-K1673,"")</f>
        <v/>
      </c>
      <c r="N1673" s="13">
        <f>CHAIN_RAW!H1673</f>
        <v/>
      </c>
      <c r="O1673" s="13">
        <f>CHAIN_RAW!O1673</f>
        <v/>
      </c>
      <c r="P1673" s="13">
        <f>IFERROR(O1673/N1673,"")</f>
        <v/>
      </c>
      <c r="Q1673" s="13">
        <f>CHAIN_RAW!I1673</f>
        <v/>
      </c>
      <c r="R1673" s="13">
        <f>CHAIN_RAW!P1673</f>
        <v/>
      </c>
      <c r="S1673" s="13">
        <f>IFERROR(R1673/Q1673,"")</f>
        <v/>
      </c>
      <c r="T1673" s="13">
        <f>IFERROR((ABS(N1673-O1673)/MAX(1,(N1673+O1673)))*EXP(-ABS(E1673-CONTROL!E5)/MAX(1,CONTROL!B8)),"")</f>
        <v/>
      </c>
      <c r="U1673" s="13">
        <f>IFERROR(IF(O1673&gt;N1673,"SUPPORT (PE OI)","RESIST (CE OI)"),"")</f>
        <v/>
      </c>
      <c r="V1673" s="13">
        <f>IFERROR(IF(Q1673&gt;0,IF(R1673&gt;0,"BOTH_ADD","CE_ADD_PE_REDUCE"),IF(R1673&gt;0,"CE_REDUCE_PE_ADD","BOTH_REDUCE")),"")</f>
        <v/>
      </c>
      <c r="W1673" s="13">
        <f>IFERROR( (P1673-1)*0.5 + (M1673)*0.1 - (I1673+J1673)*0.05 + T1673*0.4 ,"")</f>
        <v/>
      </c>
      <c r="X1673" s="13">
        <f>IFERROR(IF(ABS(F1673)&lt;0.01,"ATM/NEAR",""),"")</f>
        <v/>
      </c>
    </row>
    <row r="1674">
      <c r="A1674" s="13">
        <f>CHAIN_RAW!A1674</f>
        <v/>
      </c>
      <c r="B1674" s="14">
        <f>CHAIN_RAW!B1674</f>
        <v/>
      </c>
      <c r="C1674" s="13">
        <f>CHAIN_RAW!C1674</f>
        <v/>
      </c>
      <c r="D1674" s="13">
        <f>CHAIN_RAW!D1674</f>
        <v/>
      </c>
      <c r="E1674" s="13">
        <f>CHAIN_RAW!E1674</f>
        <v/>
      </c>
      <c r="F1674" s="13">
        <f>IFERROR((E1674-D1674)/D1674,"")</f>
        <v/>
      </c>
      <c r="G1674" s="13">
        <f>IFERROR((CHAIN_RAW!K1674+CHAIN_RAW!L1674)/2,"")</f>
        <v/>
      </c>
      <c r="H1674" s="13">
        <f>IFERROR((CHAIN_RAW!R1674+CHAIN_RAW!S1674)/2,"")</f>
        <v/>
      </c>
      <c r="I1674" s="13">
        <f>IFERROR((CHAIN_RAW!L1674-CHAIN_RAW!K1674)/MAX(1E-9, G1674),"")</f>
        <v/>
      </c>
      <c r="J1674" s="13">
        <f>IFERROR((CHAIN_RAW!S1674-CHAIN_RAW!R1674)/MAX(1E-9, H1674),"")</f>
        <v/>
      </c>
      <c r="K1674" s="13">
        <f>CHAIN_RAW!G1674</f>
        <v/>
      </c>
      <c r="L1674" s="13">
        <f>CHAIN_RAW!N1674</f>
        <v/>
      </c>
      <c r="M1674" s="13">
        <f>IFERROR(L1674-K1674,"")</f>
        <v/>
      </c>
      <c r="N1674" s="13">
        <f>CHAIN_RAW!H1674</f>
        <v/>
      </c>
      <c r="O1674" s="13">
        <f>CHAIN_RAW!O1674</f>
        <v/>
      </c>
      <c r="P1674" s="13">
        <f>IFERROR(O1674/N1674,"")</f>
        <v/>
      </c>
      <c r="Q1674" s="13">
        <f>CHAIN_RAW!I1674</f>
        <v/>
      </c>
      <c r="R1674" s="13">
        <f>CHAIN_RAW!P1674</f>
        <v/>
      </c>
      <c r="S1674" s="13">
        <f>IFERROR(R1674/Q1674,"")</f>
        <v/>
      </c>
      <c r="T1674" s="13">
        <f>IFERROR((ABS(N1674-O1674)/MAX(1,(N1674+O1674)))*EXP(-ABS(E1674-CONTROL!E5)/MAX(1,CONTROL!B8)),"")</f>
        <v/>
      </c>
      <c r="U1674" s="13">
        <f>IFERROR(IF(O1674&gt;N1674,"SUPPORT (PE OI)","RESIST (CE OI)"),"")</f>
        <v/>
      </c>
      <c r="V1674" s="13">
        <f>IFERROR(IF(Q1674&gt;0,IF(R1674&gt;0,"BOTH_ADD","CE_ADD_PE_REDUCE"),IF(R1674&gt;0,"CE_REDUCE_PE_ADD","BOTH_REDUCE")),"")</f>
        <v/>
      </c>
      <c r="W1674" s="13">
        <f>IFERROR( (P1674-1)*0.5 + (M1674)*0.1 - (I1674+J1674)*0.05 + T1674*0.4 ,"")</f>
        <v/>
      </c>
      <c r="X1674" s="13">
        <f>IFERROR(IF(ABS(F1674)&lt;0.01,"ATM/NEAR",""),"")</f>
        <v/>
      </c>
    </row>
    <row r="1675">
      <c r="A1675" s="13">
        <f>CHAIN_RAW!A1675</f>
        <v/>
      </c>
      <c r="B1675" s="14">
        <f>CHAIN_RAW!B1675</f>
        <v/>
      </c>
      <c r="C1675" s="13">
        <f>CHAIN_RAW!C1675</f>
        <v/>
      </c>
      <c r="D1675" s="13">
        <f>CHAIN_RAW!D1675</f>
        <v/>
      </c>
      <c r="E1675" s="13">
        <f>CHAIN_RAW!E1675</f>
        <v/>
      </c>
      <c r="F1675" s="13">
        <f>IFERROR((E1675-D1675)/D1675,"")</f>
        <v/>
      </c>
      <c r="G1675" s="13">
        <f>IFERROR((CHAIN_RAW!K1675+CHAIN_RAW!L1675)/2,"")</f>
        <v/>
      </c>
      <c r="H1675" s="13">
        <f>IFERROR((CHAIN_RAW!R1675+CHAIN_RAW!S1675)/2,"")</f>
        <v/>
      </c>
      <c r="I1675" s="13">
        <f>IFERROR((CHAIN_RAW!L1675-CHAIN_RAW!K1675)/MAX(1E-9, G1675),"")</f>
        <v/>
      </c>
      <c r="J1675" s="13">
        <f>IFERROR((CHAIN_RAW!S1675-CHAIN_RAW!R1675)/MAX(1E-9, H1675),"")</f>
        <v/>
      </c>
      <c r="K1675" s="13">
        <f>CHAIN_RAW!G1675</f>
        <v/>
      </c>
      <c r="L1675" s="13">
        <f>CHAIN_RAW!N1675</f>
        <v/>
      </c>
      <c r="M1675" s="13">
        <f>IFERROR(L1675-K1675,"")</f>
        <v/>
      </c>
      <c r="N1675" s="13">
        <f>CHAIN_RAW!H1675</f>
        <v/>
      </c>
      <c r="O1675" s="13">
        <f>CHAIN_RAW!O1675</f>
        <v/>
      </c>
      <c r="P1675" s="13">
        <f>IFERROR(O1675/N1675,"")</f>
        <v/>
      </c>
      <c r="Q1675" s="13">
        <f>CHAIN_RAW!I1675</f>
        <v/>
      </c>
      <c r="R1675" s="13">
        <f>CHAIN_RAW!P1675</f>
        <v/>
      </c>
      <c r="S1675" s="13">
        <f>IFERROR(R1675/Q1675,"")</f>
        <v/>
      </c>
      <c r="T1675" s="13">
        <f>IFERROR((ABS(N1675-O1675)/MAX(1,(N1675+O1675)))*EXP(-ABS(E1675-CONTROL!E5)/MAX(1,CONTROL!B8)),"")</f>
        <v/>
      </c>
      <c r="U1675" s="13">
        <f>IFERROR(IF(O1675&gt;N1675,"SUPPORT (PE OI)","RESIST (CE OI)"),"")</f>
        <v/>
      </c>
      <c r="V1675" s="13">
        <f>IFERROR(IF(Q1675&gt;0,IF(R1675&gt;0,"BOTH_ADD","CE_ADD_PE_REDUCE"),IF(R1675&gt;0,"CE_REDUCE_PE_ADD","BOTH_REDUCE")),"")</f>
        <v/>
      </c>
      <c r="W1675" s="13">
        <f>IFERROR( (P1675-1)*0.5 + (M1675)*0.1 - (I1675+J1675)*0.05 + T1675*0.4 ,"")</f>
        <v/>
      </c>
      <c r="X1675" s="13">
        <f>IFERROR(IF(ABS(F1675)&lt;0.01,"ATM/NEAR",""),"")</f>
        <v/>
      </c>
    </row>
    <row r="1676">
      <c r="A1676" s="13">
        <f>CHAIN_RAW!A1676</f>
        <v/>
      </c>
      <c r="B1676" s="14">
        <f>CHAIN_RAW!B1676</f>
        <v/>
      </c>
      <c r="C1676" s="13">
        <f>CHAIN_RAW!C1676</f>
        <v/>
      </c>
      <c r="D1676" s="13">
        <f>CHAIN_RAW!D1676</f>
        <v/>
      </c>
      <c r="E1676" s="13">
        <f>CHAIN_RAW!E1676</f>
        <v/>
      </c>
      <c r="F1676" s="13">
        <f>IFERROR((E1676-D1676)/D1676,"")</f>
        <v/>
      </c>
      <c r="G1676" s="13">
        <f>IFERROR((CHAIN_RAW!K1676+CHAIN_RAW!L1676)/2,"")</f>
        <v/>
      </c>
      <c r="H1676" s="13">
        <f>IFERROR((CHAIN_RAW!R1676+CHAIN_RAW!S1676)/2,"")</f>
        <v/>
      </c>
      <c r="I1676" s="13">
        <f>IFERROR((CHAIN_RAW!L1676-CHAIN_RAW!K1676)/MAX(1E-9, G1676),"")</f>
        <v/>
      </c>
      <c r="J1676" s="13">
        <f>IFERROR((CHAIN_RAW!S1676-CHAIN_RAW!R1676)/MAX(1E-9, H1676),"")</f>
        <v/>
      </c>
      <c r="K1676" s="13">
        <f>CHAIN_RAW!G1676</f>
        <v/>
      </c>
      <c r="L1676" s="13">
        <f>CHAIN_RAW!N1676</f>
        <v/>
      </c>
      <c r="M1676" s="13">
        <f>IFERROR(L1676-K1676,"")</f>
        <v/>
      </c>
      <c r="N1676" s="13">
        <f>CHAIN_RAW!H1676</f>
        <v/>
      </c>
      <c r="O1676" s="13">
        <f>CHAIN_RAW!O1676</f>
        <v/>
      </c>
      <c r="P1676" s="13">
        <f>IFERROR(O1676/N1676,"")</f>
        <v/>
      </c>
      <c r="Q1676" s="13">
        <f>CHAIN_RAW!I1676</f>
        <v/>
      </c>
      <c r="R1676" s="13">
        <f>CHAIN_RAW!P1676</f>
        <v/>
      </c>
      <c r="S1676" s="13">
        <f>IFERROR(R1676/Q1676,"")</f>
        <v/>
      </c>
      <c r="T1676" s="13">
        <f>IFERROR((ABS(N1676-O1676)/MAX(1,(N1676+O1676)))*EXP(-ABS(E1676-CONTROL!E5)/MAX(1,CONTROL!B8)),"")</f>
        <v/>
      </c>
      <c r="U1676" s="13">
        <f>IFERROR(IF(O1676&gt;N1676,"SUPPORT (PE OI)","RESIST (CE OI)"),"")</f>
        <v/>
      </c>
      <c r="V1676" s="13">
        <f>IFERROR(IF(Q1676&gt;0,IF(R1676&gt;0,"BOTH_ADD","CE_ADD_PE_REDUCE"),IF(R1676&gt;0,"CE_REDUCE_PE_ADD","BOTH_REDUCE")),"")</f>
        <v/>
      </c>
      <c r="W1676" s="13">
        <f>IFERROR( (P1676-1)*0.5 + (M1676)*0.1 - (I1676+J1676)*0.05 + T1676*0.4 ,"")</f>
        <v/>
      </c>
      <c r="X1676" s="13">
        <f>IFERROR(IF(ABS(F1676)&lt;0.01,"ATM/NEAR",""),"")</f>
        <v/>
      </c>
    </row>
    <row r="1677">
      <c r="A1677" s="13">
        <f>CHAIN_RAW!A1677</f>
        <v/>
      </c>
      <c r="B1677" s="14">
        <f>CHAIN_RAW!B1677</f>
        <v/>
      </c>
      <c r="C1677" s="13">
        <f>CHAIN_RAW!C1677</f>
        <v/>
      </c>
      <c r="D1677" s="13">
        <f>CHAIN_RAW!D1677</f>
        <v/>
      </c>
      <c r="E1677" s="13">
        <f>CHAIN_RAW!E1677</f>
        <v/>
      </c>
      <c r="F1677" s="13">
        <f>IFERROR((E1677-D1677)/D1677,"")</f>
        <v/>
      </c>
      <c r="G1677" s="13">
        <f>IFERROR((CHAIN_RAW!K1677+CHAIN_RAW!L1677)/2,"")</f>
        <v/>
      </c>
      <c r="H1677" s="13">
        <f>IFERROR((CHAIN_RAW!R1677+CHAIN_RAW!S1677)/2,"")</f>
        <v/>
      </c>
      <c r="I1677" s="13">
        <f>IFERROR((CHAIN_RAW!L1677-CHAIN_RAW!K1677)/MAX(1E-9, G1677),"")</f>
        <v/>
      </c>
      <c r="J1677" s="13">
        <f>IFERROR((CHAIN_RAW!S1677-CHAIN_RAW!R1677)/MAX(1E-9, H1677),"")</f>
        <v/>
      </c>
      <c r="K1677" s="13">
        <f>CHAIN_RAW!G1677</f>
        <v/>
      </c>
      <c r="L1677" s="13">
        <f>CHAIN_RAW!N1677</f>
        <v/>
      </c>
      <c r="M1677" s="13">
        <f>IFERROR(L1677-K1677,"")</f>
        <v/>
      </c>
      <c r="N1677" s="13">
        <f>CHAIN_RAW!H1677</f>
        <v/>
      </c>
      <c r="O1677" s="13">
        <f>CHAIN_RAW!O1677</f>
        <v/>
      </c>
      <c r="P1677" s="13">
        <f>IFERROR(O1677/N1677,"")</f>
        <v/>
      </c>
      <c r="Q1677" s="13">
        <f>CHAIN_RAW!I1677</f>
        <v/>
      </c>
      <c r="R1677" s="13">
        <f>CHAIN_RAW!P1677</f>
        <v/>
      </c>
      <c r="S1677" s="13">
        <f>IFERROR(R1677/Q1677,"")</f>
        <v/>
      </c>
      <c r="T1677" s="13">
        <f>IFERROR((ABS(N1677-O1677)/MAX(1,(N1677+O1677)))*EXP(-ABS(E1677-CONTROL!E5)/MAX(1,CONTROL!B8)),"")</f>
        <v/>
      </c>
      <c r="U1677" s="13">
        <f>IFERROR(IF(O1677&gt;N1677,"SUPPORT (PE OI)","RESIST (CE OI)"),"")</f>
        <v/>
      </c>
      <c r="V1677" s="13">
        <f>IFERROR(IF(Q1677&gt;0,IF(R1677&gt;0,"BOTH_ADD","CE_ADD_PE_REDUCE"),IF(R1677&gt;0,"CE_REDUCE_PE_ADD","BOTH_REDUCE")),"")</f>
        <v/>
      </c>
      <c r="W1677" s="13">
        <f>IFERROR( (P1677-1)*0.5 + (M1677)*0.1 - (I1677+J1677)*0.05 + T1677*0.4 ,"")</f>
        <v/>
      </c>
      <c r="X1677" s="13">
        <f>IFERROR(IF(ABS(F1677)&lt;0.01,"ATM/NEAR",""),"")</f>
        <v/>
      </c>
    </row>
    <row r="1678">
      <c r="A1678" s="13">
        <f>CHAIN_RAW!A1678</f>
        <v/>
      </c>
      <c r="B1678" s="14">
        <f>CHAIN_RAW!B1678</f>
        <v/>
      </c>
      <c r="C1678" s="13">
        <f>CHAIN_RAW!C1678</f>
        <v/>
      </c>
      <c r="D1678" s="13">
        <f>CHAIN_RAW!D1678</f>
        <v/>
      </c>
      <c r="E1678" s="13">
        <f>CHAIN_RAW!E1678</f>
        <v/>
      </c>
      <c r="F1678" s="13">
        <f>IFERROR((E1678-D1678)/D1678,"")</f>
        <v/>
      </c>
      <c r="G1678" s="13">
        <f>IFERROR((CHAIN_RAW!K1678+CHAIN_RAW!L1678)/2,"")</f>
        <v/>
      </c>
      <c r="H1678" s="13">
        <f>IFERROR((CHAIN_RAW!R1678+CHAIN_RAW!S1678)/2,"")</f>
        <v/>
      </c>
      <c r="I1678" s="13">
        <f>IFERROR((CHAIN_RAW!L1678-CHAIN_RAW!K1678)/MAX(1E-9, G1678),"")</f>
        <v/>
      </c>
      <c r="J1678" s="13">
        <f>IFERROR((CHAIN_RAW!S1678-CHAIN_RAW!R1678)/MAX(1E-9, H1678),"")</f>
        <v/>
      </c>
      <c r="K1678" s="13">
        <f>CHAIN_RAW!G1678</f>
        <v/>
      </c>
      <c r="L1678" s="13">
        <f>CHAIN_RAW!N1678</f>
        <v/>
      </c>
      <c r="M1678" s="13">
        <f>IFERROR(L1678-K1678,"")</f>
        <v/>
      </c>
      <c r="N1678" s="13">
        <f>CHAIN_RAW!H1678</f>
        <v/>
      </c>
      <c r="O1678" s="13">
        <f>CHAIN_RAW!O1678</f>
        <v/>
      </c>
      <c r="P1678" s="13">
        <f>IFERROR(O1678/N1678,"")</f>
        <v/>
      </c>
      <c r="Q1678" s="13">
        <f>CHAIN_RAW!I1678</f>
        <v/>
      </c>
      <c r="R1678" s="13">
        <f>CHAIN_RAW!P1678</f>
        <v/>
      </c>
      <c r="S1678" s="13">
        <f>IFERROR(R1678/Q1678,"")</f>
        <v/>
      </c>
      <c r="T1678" s="13">
        <f>IFERROR((ABS(N1678-O1678)/MAX(1,(N1678+O1678)))*EXP(-ABS(E1678-CONTROL!E5)/MAX(1,CONTROL!B8)),"")</f>
        <v/>
      </c>
      <c r="U1678" s="13">
        <f>IFERROR(IF(O1678&gt;N1678,"SUPPORT (PE OI)","RESIST (CE OI)"),"")</f>
        <v/>
      </c>
      <c r="V1678" s="13">
        <f>IFERROR(IF(Q1678&gt;0,IF(R1678&gt;0,"BOTH_ADD","CE_ADD_PE_REDUCE"),IF(R1678&gt;0,"CE_REDUCE_PE_ADD","BOTH_REDUCE")),"")</f>
        <v/>
      </c>
      <c r="W1678" s="13">
        <f>IFERROR( (P1678-1)*0.5 + (M1678)*0.1 - (I1678+J1678)*0.05 + T1678*0.4 ,"")</f>
        <v/>
      </c>
      <c r="X1678" s="13">
        <f>IFERROR(IF(ABS(F1678)&lt;0.01,"ATM/NEAR",""),"")</f>
        <v/>
      </c>
    </row>
    <row r="1679">
      <c r="A1679" s="13">
        <f>CHAIN_RAW!A1679</f>
        <v/>
      </c>
      <c r="B1679" s="14">
        <f>CHAIN_RAW!B1679</f>
        <v/>
      </c>
      <c r="C1679" s="13">
        <f>CHAIN_RAW!C1679</f>
        <v/>
      </c>
      <c r="D1679" s="13">
        <f>CHAIN_RAW!D1679</f>
        <v/>
      </c>
      <c r="E1679" s="13">
        <f>CHAIN_RAW!E1679</f>
        <v/>
      </c>
      <c r="F1679" s="13">
        <f>IFERROR((E1679-D1679)/D1679,"")</f>
        <v/>
      </c>
      <c r="G1679" s="13">
        <f>IFERROR((CHAIN_RAW!K1679+CHAIN_RAW!L1679)/2,"")</f>
        <v/>
      </c>
      <c r="H1679" s="13">
        <f>IFERROR((CHAIN_RAW!R1679+CHAIN_RAW!S1679)/2,"")</f>
        <v/>
      </c>
      <c r="I1679" s="13">
        <f>IFERROR((CHAIN_RAW!L1679-CHAIN_RAW!K1679)/MAX(1E-9, G1679),"")</f>
        <v/>
      </c>
      <c r="J1679" s="13">
        <f>IFERROR((CHAIN_RAW!S1679-CHAIN_RAW!R1679)/MAX(1E-9, H1679),"")</f>
        <v/>
      </c>
      <c r="K1679" s="13">
        <f>CHAIN_RAW!G1679</f>
        <v/>
      </c>
      <c r="L1679" s="13">
        <f>CHAIN_RAW!N1679</f>
        <v/>
      </c>
      <c r="M1679" s="13">
        <f>IFERROR(L1679-K1679,"")</f>
        <v/>
      </c>
      <c r="N1679" s="13">
        <f>CHAIN_RAW!H1679</f>
        <v/>
      </c>
      <c r="O1679" s="13">
        <f>CHAIN_RAW!O1679</f>
        <v/>
      </c>
      <c r="P1679" s="13">
        <f>IFERROR(O1679/N1679,"")</f>
        <v/>
      </c>
      <c r="Q1679" s="13">
        <f>CHAIN_RAW!I1679</f>
        <v/>
      </c>
      <c r="R1679" s="13">
        <f>CHAIN_RAW!P1679</f>
        <v/>
      </c>
      <c r="S1679" s="13">
        <f>IFERROR(R1679/Q1679,"")</f>
        <v/>
      </c>
      <c r="T1679" s="13">
        <f>IFERROR((ABS(N1679-O1679)/MAX(1,(N1679+O1679)))*EXP(-ABS(E1679-CONTROL!E5)/MAX(1,CONTROL!B8)),"")</f>
        <v/>
      </c>
      <c r="U1679" s="13">
        <f>IFERROR(IF(O1679&gt;N1679,"SUPPORT (PE OI)","RESIST (CE OI)"),"")</f>
        <v/>
      </c>
      <c r="V1679" s="13">
        <f>IFERROR(IF(Q1679&gt;0,IF(R1679&gt;0,"BOTH_ADD","CE_ADD_PE_REDUCE"),IF(R1679&gt;0,"CE_REDUCE_PE_ADD","BOTH_REDUCE")),"")</f>
        <v/>
      </c>
      <c r="W1679" s="13">
        <f>IFERROR( (P1679-1)*0.5 + (M1679)*0.1 - (I1679+J1679)*0.05 + T1679*0.4 ,"")</f>
        <v/>
      </c>
      <c r="X1679" s="13">
        <f>IFERROR(IF(ABS(F1679)&lt;0.01,"ATM/NEAR",""),"")</f>
        <v/>
      </c>
    </row>
    <row r="1680">
      <c r="A1680" s="13">
        <f>CHAIN_RAW!A1680</f>
        <v/>
      </c>
      <c r="B1680" s="14">
        <f>CHAIN_RAW!B1680</f>
        <v/>
      </c>
      <c r="C1680" s="13">
        <f>CHAIN_RAW!C1680</f>
        <v/>
      </c>
      <c r="D1680" s="13">
        <f>CHAIN_RAW!D1680</f>
        <v/>
      </c>
      <c r="E1680" s="13">
        <f>CHAIN_RAW!E1680</f>
        <v/>
      </c>
      <c r="F1680" s="13">
        <f>IFERROR((E1680-D1680)/D1680,"")</f>
        <v/>
      </c>
      <c r="G1680" s="13">
        <f>IFERROR((CHAIN_RAW!K1680+CHAIN_RAW!L1680)/2,"")</f>
        <v/>
      </c>
      <c r="H1680" s="13">
        <f>IFERROR((CHAIN_RAW!R1680+CHAIN_RAW!S1680)/2,"")</f>
        <v/>
      </c>
      <c r="I1680" s="13">
        <f>IFERROR((CHAIN_RAW!L1680-CHAIN_RAW!K1680)/MAX(1E-9, G1680),"")</f>
        <v/>
      </c>
      <c r="J1680" s="13">
        <f>IFERROR((CHAIN_RAW!S1680-CHAIN_RAW!R1680)/MAX(1E-9, H1680),"")</f>
        <v/>
      </c>
      <c r="K1680" s="13">
        <f>CHAIN_RAW!G1680</f>
        <v/>
      </c>
      <c r="L1680" s="13">
        <f>CHAIN_RAW!N1680</f>
        <v/>
      </c>
      <c r="M1680" s="13">
        <f>IFERROR(L1680-K1680,"")</f>
        <v/>
      </c>
      <c r="N1680" s="13">
        <f>CHAIN_RAW!H1680</f>
        <v/>
      </c>
      <c r="O1680" s="13">
        <f>CHAIN_RAW!O1680</f>
        <v/>
      </c>
      <c r="P1680" s="13">
        <f>IFERROR(O1680/N1680,"")</f>
        <v/>
      </c>
      <c r="Q1680" s="13">
        <f>CHAIN_RAW!I1680</f>
        <v/>
      </c>
      <c r="R1680" s="13">
        <f>CHAIN_RAW!P1680</f>
        <v/>
      </c>
      <c r="S1680" s="13">
        <f>IFERROR(R1680/Q1680,"")</f>
        <v/>
      </c>
      <c r="T1680" s="13">
        <f>IFERROR((ABS(N1680-O1680)/MAX(1,(N1680+O1680)))*EXP(-ABS(E1680-CONTROL!E5)/MAX(1,CONTROL!B8)),"")</f>
        <v/>
      </c>
      <c r="U1680" s="13">
        <f>IFERROR(IF(O1680&gt;N1680,"SUPPORT (PE OI)","RESIST (CE OI)"),"")</f>
        <v/>
      </c>
      <c r="V1680" s="13">
        <f>IFERROR(IF(Q1680&gt;0,IF(R1680&gt;0,"BOTH_ADD","CE_ADD_PE_REDUCE"),IF(R1680&gt;0,"CE_REDUCE_PE_ADD","BOTH_REDUCE")),"")</f>
        <v/>
      </c>
      <c r="W1680" s="13">
        <f>IFERROR( (P1680-1)*0.5 + (M1680)*0.1 - (I1680+J1680)*0.05 + T1680*0.4 ,"")</f>
        <v/>
      </c>
      <c r="X1680" s="13">
        <f>IFERROR(IF(ABS(F1680)&lt;0.01,"ATM/NEAR",""),"")</f>
        <v/>
      </c>
    </row>
    <row r="1681">
      <c r="A1681" s="13">
        <f>CHAIN_RAW!A1681</f>
        <v/>
      </c>
      <c r="B1681" s="14">
        <f>CHAIN_RAW!B1681</f>
        <v/>
      </c>
      <c r="C1681" s="13">
        <f>CHAIN_RAW!C1681</f>
        <v/>
      </c>
      <c r="D1681" s="13">
        <f>CHAIN_RAW!D1681</f>
        <v/>
      </c>
      <c r="E1681" s="13">
        <f>CHAIN_RAW!E1681</f>
        <v/>
      </c>
      <c r="F1681" s="13">
        <f>IFERROR((E1681-D1681)/D1681,"")</f>
        <v/>
      </c>
      <c r="G1681" s="13">
        <f>IFERROR((CHAIN_RAW!K1681+CHAIN_RAW!L1681)/2,"")</f>
        <v/>
      </c>
      <c r="H1681" s="13">
        <f>IFERROR((CHAIN_RAW!R1681+CHAIN_RAW!S1681)/2,"")</f>
        <v/>
      </c>
      <c r="I1681" s="13">
        <f>IFERROR((CHAIN_RAW!L1681-CHAIN_RAW!K1681)/MAX(1E-9, G1681),"")</f>
        <v/>
      </c>
      <c r="J1681" s="13">
        <f>IFERROR((CHAIN_RAW!S1681-CHAIN_RAW!R1681)/MAX(1E-9, H1681),"")</f>
        <v/>
      </c>
      <c r="K1681" s="13">
        <f>CHAIN_RAW!G1681</f>
        <v/>
      </c>
      <c r="L1681" s="13">
        <f>CHAIN_RAW!N1681</f>
        <v/>
      </c>
      <c r="M1681" s="13">
        <f>IFERROR(L1681-K1681,"")</f>
        <v/>
      </c>
      <c r="N1681" s="13">
        <f>CHAIN_RAW!H1681</f>
        <v/>
      </c>
      <c r="O1681" s="13">
        <f>CHAIN_RAW!O1681</f>
        <v/>
      </c>
      <c r="P1681" s="13">
        <f>IFERROR(O1681/N1681,"")</f>
        <v/>
      </c>
      <c r="Q1681" s="13">
        <f>CHAIN_RAW!I1681</f>
        <v/>
      </c>
      <c r="R1681" s="13">
        <f>CHAIN_RAW!P1681</f>
        <v/>
      </c>
      <c r="S1681" s="13">
        <f>IFERROR(R1681/Q1681,"")</f>
        <v/>
      </c>
      <c r="T1681" s="13">
        <f>IFERROR((ABS(N1681-O1681)/MAX(1,(N1681+O1681)))*EXP(-ABS(E1681-CONTROL!E5)/MAX(1,CONTROL!B8)),"")</f>
        <v/>
      </c>
      <c r="U1681" s="13">
        <f>IFERROR(IF(O1681&gt;N1681,"SUPPORT (PE OI)","RESIST (CE OI)"),"")</f>
        <v/>
      </c>
      <c r="V1681" s="13">
        <f>IFERROR(IF(Q1681&gt;0,IF(R1681&gt;0,"BOTH_ADD","CE_ADD_PE_REDUCE"),IF(R1681&gt;0,"CE_REDUCE_PE_ADD","BOTH_REDUCE")),"")</f>
        <v/>
      </c>
      <c r="W1681" s="13">
        <f>IFERROR( (P1681-1)*0.5 + (M1681)*0.1 - (I1681+J1681)*0.05 + T1681*0.4 ,"")</f>
        <v/>
      </c>
      <c r="X1681" s="13">
        <f>IFERROR(IF(ABS(F1681)&lt;0.01,"ATM/NEAR",""),"")</f>
        <v/>
      </c>
    </row>
    <row r="1682">
      <c r="A1682" s="13">
        <f>CHAIN_RAW!A1682</f>
        <v/>
      </c>
      <c r="B1682" s="14">
        <f>CHAIN_RAW!B1682</f>
        <v/>
      </c>
      <c r="C1682" s="13">
        <f>CHAIN_RAW!C1682</f>
        <v/>
      </c>
      <c r="D1682" s="13">
        <f>CHAIN_RAW!D1682</f>
        <v/>
      </c>
      <c r="E1682" s="13">
        <f>CHAIN_RAW!E1682</f>
        <v/>
      </c>
      <c r="F1682" s="13">
        <f>IFERROR((E1682-D1682)/D1682,"")</f>
        <v/>
      </c>
      <c r="G1682" s="13">
        <f>IFERROR((CHAIN_RAW!K1682+CHAIN_RAW!L1682)/2,"")</f>
        <v/>
      </c>
      <c r="H1682" s="13">
        <f>IFERROR((CHAIN_RAW!R1682+CHAIN_RAW!S1682)/2,"")</f>
        <v/>
      </c>
      <c r="I1682" s="13">
        <f>IFERROR((CHAIN_RAW!L1682-CHAIN_RAW!K1682)/MAX(1E-9, G1682),"")</f>
        <v/>
      </c>
      <c r="J1682" s="13">
        <f>IFERROR((CHAIN_RAW!S1682-CHAIN_RAW!R1682)/MAX(1E-9, H1682),"")</f>
        <v/>
      </c>
      <c r="K1682" s="13">
        <f>CHAIN_RAW!G1682</f>
        <v/>
      </c>
      <c r="L1682" s="13">
        <f>CHAIN_RAW!N1682</f>
        <v/>
      </c>
      <c r="M1682" s="13">
        <f>IFERROR(L1682-K1682,"")</f>
        <v/>
      </c>
      <c r="N1682" s="13">
        <f>CHAIN_RAW!H1682</f>
        <v/>
      </c>
      <c r="O1682" s="13">
        <f>CHAIN_RAW!O1682</f>
        <v/>
      </c>
      <c r="P1682" s="13">
        <f>IFERROR(O1682/N1682,"")</f>
        <v/>
      </c>
      <c r="Q1682" s="13">
        <f>CHAIN_RAW!I1682</f>
        <v/>
      </c>
      <c r="R1682" s="13">
        <f>CHAIN_RAW!P1682</f>
        <v/>
      </c>
      <c r="S1682" s="13">
        <f>IFERROR(R1682/Q1682,"")</f>
        <v/>
      </c>
      <c r="T1682" s="13">
        <f>IFERROR((ABS(N1682-O1682)/MAX(1,(N1682+O1682)))*EXP(-ABS(E1682-CONTROL!E5)/MAX(1,CONTROL!B8)),"")</f>
        <v/>
      </c>
      <c r="U1682" s="13">
        <f>IFERROR(IF(O1682&gt;N1682,"SUPPORT (PE OI)","RESIST (CE OI)"),"")</f>
        <v/>
      </c>
      <c r="V1682" s="13">
        <f>IFERROR(IF(Q1682&gt;0,IF(R1682&gt;0,"BOTH_ADD","CE_ADD_PE_REDUCE"),IF(R1682&gt;0,"CE_REDUCE_PE_ADD","BOTH_REDUCE")),"")</f>
        <v/>
      </c>
      <c r="W1682" s="13">
        <f>IFERROR( (P1682-1)*0.5 + (M1682)*0.1 - (I1682+J1682)*0.05 + T1682*0.4 ,"")</f>
        <v/>
      </c>
      <c r="X1682" s="13">
        <f>IFERROR(IF(ABS(F1682)&lt;0.01,"ATM/NEAR",""),"")</f>
        <v/>
      </c>
    </row>
    <row r="1683">
      <c r="A1683" s="13">
        <f>CHAIN_RAW!A1683</f>
        <v/>
      </c>
      <c r="B1683" s="14">
        <f>CHAIN_RAW!B1683</f>
        <v/>
      </c>
      <c r="C1683" s="13">
        <f>CHAIN_RAW!C1683</f>
        <v/>
      </c>
      <c r="D1683" s="13">
        <f>CHAIN_RAW!D1683</f>
        <v/>
      </c>
      <c r="E1683" s="13">
        <f>CHAIN_RAW!E1683</f>
        <v/>
      </c>
      <c r="F1683" s="13">
        <f>IFERROR((E1683-D1683)/D1683,"")</f>
        <v/>
      </c>
      <c r="G1683" s="13">
        <f>IFERROR((CHAIN_RAW!K1683+CHAIN_RAW!L1683)/2,"")</f>
        <v/>
      </c>
      <c r="H1683" s="13">
        <f>IFERROR((CHAIN_RAW!R1683+CHAIN_RAW!S1683)/2,"")</f>
        <v/>
      </c>
      <c r="I1683" s="13">
        <f>IFERROR((CHAIN_RAW!L1683-CHAIN_RAW!K1683)/MAX(1E-9, G1683),"")</f>
        <v/>
      </c>
      <c r="J1683" s="13">
        <f>IFERROR((CHAIN_RAW!S1683-CHAIN_RAW!R1683)/MAX(1E-9, H1683),"")</f>
        <v/>
      </c>
      <c r="K1683" s="13">
        <f>CHAIN_RAW!G1683</f>
        <v/>
      </c>
      <c r="L1683" s="13">
        <f>CHAIN_RAW!N1683</f>
        <v/>
      </c>
      <c r="M1683" s="13">
        <f>IFERROR(L1683-K1683,"")</f>
        <v/>
      </c>
      <c r="N1683" s="13">
        <f>CHAIN_RAW!H1683</f>
        <v/>
      </c>
      <c r="O1683" s="13">
        <f>CHAIN_RAW!O1683</f>
        <v/>
      </c>
      <c r="P1683" s="13">
        <f>IFERROR(O1683/N1683,"")</f>
        <v/>
      </c>
      <c r="Q1683" s="13">
        <f>CHAIN_RAW!I1683</f>
        <v/>
      </c>
      <c r="R1683" s="13">
        <f>CHAIN_RAW!P1683</f>
        <v/>
      </c>
      <c r="S1683" s="13">
        <f>IFERROR(R1683/Q1683,"")</f>
        <v/>
      </c>
      <c r="T1683" s="13">
        <f>IFERROR((ABS(N1683-O1683)/MAX(1,(N1683+O1683)))*EXP(-ABS(E1683-CONTROL!E5)/MAX(1,CONTROL!B8)),"")</f>
        <v/>
      </c>
      <c r="U1683" s="13">
        <f>IFERROR(IF(O1683&gt;N1683,"SUPPORT (PE OI)","RESIST (CE OI)"),"")</f>
        <v/>
      </c>
      <c r="V1683" s="13">
        <f>IFERROR(IF(Q1683&gt;0,IF(R1683&gt;0,"BOTH_ADD","CE_ADD_PE_REDUCE"),IF(R1683&gt;0,"CE_REDUCE_PE_ADD","BOTH_REDUCE")),"")</f>
        <v/>
      </c>
      <c r="W1683" s="13">
        <f>IFERROR( (P1683-1)*0.5 + (M1683)*0.1 - (I1683+J1683)*0.05 + T1683*0.4 ,"")</f>
        <v/>
      </c>
      <c r="X1683" s="13">
        <f>IFERROR(IF(ABS(F1683)&lt;0.01,"ATM/NEAR",""),"")</f>
        <v/>
      </c>
    </row>
    <row r="1684">
      <c r="A1684" s="13">
        <f>CHAIN_RAW!A1684</f>
        <v/>
      </c>
      <c r="B1684" s="14">
        <f>CHAIN_RAW!B1684</f>
        <v/>
      </c>
      <c r="C1684" s="13">
        <f>CHAIN_RAW!C1684</f>
        <v/>
      </c>
      <c r="D1684" s="13">
        <f>CHAIN_RAW!D1684</f>
        <v/>
      </c>
      <c r="E1684" s="13">
        <f>CHAIN_RAW!E1684</f>
        <v/>
      </c>
      <c r="F1684" s="13">
        <f>IFERROR((E1684-D1684)/D1684,"")</f>
        <v/>
      </c>
      <c r="G1684" s="13">
        <f>IFERROR((CHAIN_RAW!K1684+CHAIN_RAW!L1684)/2,"")</f>
        <v/>
      </c>
      <c r="H1684" s="13">
        <f>IFERROR((CHAIN_RAW!R1684+CHAIN_RAW!S1684)/2,"")</f>
        <v/>
      </c>
      <c r="I1684" s="13">
        <f>IFERROR((CHAIN_RAW!L1684-CHAIN_RAW!K1684)/MAX(1E-9, G1684),"")</f>
        <v/>
      </c>
      <c r="J1684" s="13">
        <f>IFERROR((CHAIN_RAW!S1684-CHAIN_RAW!R1684)/MAX(1E-9, H1684),"")</f>
        <v/>
      </c>
      <c r="K1684" s="13">
        <f>CHAIN_RAW!G1684</f>
        <v/>
      </c>
      <c r="L1684" s="13">
        <f>CHAIN_RAW!N1684</f>
        <v/>
      </c>
      <c r="M1684" s="13">
        <f>IFERROR(L1684-K1684,"")</f>
        <v/>
      </c>
      <c r="N1684" s="13">
        <f>CHAIN_RAW!H1684</f>
        <v/>
      </c>
      <c r="O1684" s="13">
        <f>CHAIN_RAW!O1684</f>
        <v/>
      </c>
      <c r="P1684" s="13">
        <f>IFERROR(O1684/N1684,"")</f>
        <v/>
      </c>
      <c r="Q1684" s="13">
        <f>CHAIN_RAW!I1684</f>
        <v/>
      </c>
      <c r="R1684" s="13">
        <f>CHAIN_RAW!P1684</f>
        <v/>
      </c>
      <c r="S1684" s="13">
        <f>IFERROR(R1684/Q1684,"")</f>
        <v/>
      </c>
      <c r="T1684" s="13">
        <f>IFERROR((ABS(N1684-O1684)/MAX(1,(N1684+O1684)))*EXP(-ABS(E1684-CONTROL!E5)/MAX(1,CONTROL!B8)),"")</f>
        <v/>
      </c>
      <c r="U1684" s="13">
        <f>IFERROR(IF(O1684&gt;N1684,"SUPPORT (PE OI)","RESIST (CE OI)"),"")</f>
        <v/>
      </c>
      <c r="V1684" s="13">
        <f>IFERROR(IF(Q1684&gt;0,IF(R1684&gt;0,"BOTH_ADD","CE_ADD_PE_REDUCE"),IF(R1684&gt;0,"CE_REDUCE_PE_ADD","BOTH_REDUCE")),"")</f>
        <v/>
      </c>
      <c r="W1684" s="13">
        <f>IFERROR( (P1684-1)*0.5 + (M1684)*0.1 - (I1684+J1684)*0.05 + T1684*0.4 ,"")</f>
        <v/>
      </c>
      <c r="X1684" s="13">
        <f>IFERROR(IF(ABS(F1684)&lt;0.01,"ATM/NEAR",""),"")</f>
        <v/>
      </c>
    </row>
    <row r="1685">
      <c r="A1685" s="13">
        <f>CHAIN_RAW!A1685</f>
        <v/>
      </c>
      <c r="B1685" s="14">
        <f>CHAIN_RAW!B1685</f>
        <v/>
      </c>
      <c r="C1685" s="13">
        <f>CHAIN_RAW!C1685</f>
        <v/>
      </c>
      <c r="D1685" s="13">
        <f>CHAIN_RAW!D1685</f>
        <v/>
      </c>
      <c r="E1685" s="13">
        <f>CHAIN_RAW!E1685</f>
        <v/>
      </c>
      <c r="F1685" s="13">
        <f>IFERROR((E1685-D1685)/D1685,"")</f>
        <v/>
      </c>
      <c r="G1685" s="13">
        <f>IFERROR((CHAIN_RAW!K1685+CHAIN_RAW!L1685)/2,"")</f>
        <v/>
      </c>
      <c r="H1685" s="13">
        <f>IFERROR((CHAIN_RAW!R1685+CHAIN_RAW!S1685)/2,"")</f>
        <v/>
      </c>
      <c r="I1685" s="13">
        <f>IFERROR((CHAIN_RAW!L1685-CHAIN_RAW!K1685)/MAX(1E-9, G1685),"")</f>
        <v/>
      </c>
      <c r="J1685" s="13">
        <f>IFERROR((CHAIN_RAW!S1685-CHAIN_RAW!R1685)/MAX(1E-9, H1685),"")</f>
        <v/>
      </c>
      <c r="K1685" s="13">
        <f>CHAIN_RAW!G1685</f>
        <v/>
      </c>
      <c r="L1685" s="13">
        <f>CHAIN_RAW!N1685</f>
        <v/>
      </c>
      <c r="M1685" s="13">
        <f>IFERROR(L1685-K1685,"")</f>
        <v/>
      </c>
      <c r="N1685" s="13">
        <f>CHAIN_RAW!H1685</f>
        <v/>
      </c>
      <c r="O1685" s="13">
        <f>CHAIN_RAW!O1685</f>
        <v/>
      </c>
      <c r="P1685" s="13">
        <f>IFERROR(O1685/N1685,"")</f>
        <v/>
      </c>
      <c r="Q1685" s="13">
        <f>CHAIN_RAW!I1685</f>
        <v/>
      </c>
      <c r="R1685" s="13">
        <f>CHAIN_RAW!P1685</f>
        <v/>
      </c>
      <c r="S1685" s="13">
        <f>IFERROR(R1685/Q1685,"")</f>
        <v/>
      </c>
      <c r="T1685" s="13">
        <f>IFERROR((ABS(N1685-O1685)/MAX(1,(N1685+O1685)))*EXP(-ABS(E1685-CONTROL!E5)/MAX(1,CONTROL!B8)),"")</f>
        <v/>
      </c>
      <c r="U1685" s="13">
        <f>IFERROR(IF(O1685&gt;N1685,"SUPPORT (PE OI)","RESIST (CE OI)"),"")</f>
        <v/>
      </c>
      <c r="V1685" s="13">
        <f>IFERROR(IF(Q1685&gt;0,IF(R1685&gt;0,"BOTH_ADD","CE_ADD_PE_REDUCE"),IF(R1685&gt;0,"CE_REDUCE_PE_ADD","BOTH_REDUCE")),"")</f>
        <v/>
      </c>
      <c r="W1685" s="13">
        <f>IFERROR( (P1685-1)*0.5 + (M1685)*0.1 - (I1685+J1685)*0.05 + T1685*0.4 ,"")</f>
        <v/>
      </c>
      <c r="X1685" s="13">
        <f>IFERROR(IF(ABS(F1685)&lt;0.01,"ATM/NEAR",""),"")</f>
        <v/>
      </c>
    </row>
    <row r="1686">
      <c r="A1686" s="13">
        <f>CHAIN_RAW!A1686</f>
        <v/>
      </c>
      <c r="B1686" s="14">
        <f>CHAIN_RAW!B1686</f>
        <v/>
      </c>
      <c r="C1686" s="13">
        <f>CHAIN_RAW!C1686</f>
        <v/>
      </c>
      <c r="D1686" s="13">
        <f>CHAIN_RAW!D1686</f>
        <v/>
      </c>
      <c r="E1686" s="13">
        <f>CHAIN_RAW!E1686</f>
        <v/>
      </c>
      <c r="F1686" s="13">
        <f>IFERROR((E1686-D1686)/D1686,"")</f>
        <v/>
      </c>
      <c r="G1686" s="13">
        <f>IFERROR((CHAIN_RAW!K1686+CHAIN_RAW!L1686)/2,"")</f>
        <v/>
      </c>
      <c r="H1686" s="13">
        <f>IFERROR((CHAIN_RAW!R1686+CHAIN_RAW!S1686)/2,"")</f>
        <v/>
      </c>
      <c r="I1686" s="13">
        <f>IFERROR((CHAIN_RAW!L1686-CHAIN_RAW!K1686)/MAX(1E-9, G1686),"")</f>
        <v/>
      </c>
      <c r="J1686" s="13">
        <f>IFERROR((CHAIN_RAW!S1686-CHAIN_RAW!R1686)/MAX(1E-9, H1686),"")</f>
        <v/>
      </c>
      <c r="K1686" s="13">
        <f>CHAIN_RAW!G1686</f>
        <v/>
      </c>
      <c r="L1686" s="13">
        <f>CHAIN_RAW!N1686</f>
        <v/>
      </c>
      <c r="M1686" s="13">
        <f>IFERROR(L1686-K1686,"")</f>
        <v/>
      </c>
      <c r="N1686" s="13">
        <f>CHAIN_RAW!H1686</f>
        <v/>
      </c>
      <c r="O1686" s="13">
        <f>CHAIN_RAW!O1686</f>
        <v/>
      </c>
      <c r="P1686" s="13">
        <f>IFERROR(O1686/N1686,"")</f>
        <v/>
      </c>
      <c r="Q1686" s="13">
        <f>CHAIN_RAW!I1686</f>
        <v/>
      </c>
      <c r="R1686" s="13">
        <f>CHAIN_RAW!P1686</f>
        <v/>
      </c>
      <c r="S1686" s="13">
        <f>IFERROR(R1686/Q1686,"")</f>
        <v/>
      </c>
      <c r="T1686" s="13">
        <f>IFERROR((ABS(N1686-O1686)/MAX(1,(N1686+O1686)))*EXP(-ABS(E1686-CONTROL!E5)/MAX(1,CONTROL!B8)),"")</f>
        <v/>
      </c>
      <c r="U1686" s="13">
        <f>IFERROR(IF(O1686&gt;N1686,"SUPPORT (PE OI)","RESIST (CE OI)"),"")</f>
        <v/>
      </c>
      <c r="V1686" s="13">
        <f>IFERROR(IF(Q1686&gt;0,IF(R1686&gt;0,"BOTH_ADD","CE_ADD_PE_REDUCE"),IF(R1686&gt;0,"CE_REDUCE_PE_ADD","BOTH_REDUCE")),"")</f>
        <v/>
      </c>
      <c r="W1686" s="13">
        <f>IFERROR( (P1686-1)*0.5 + (M1686)*0.1 - (I1686+J1686)*0.05 + T1686*0.4 ,"")</f>
        <v/>
      </c>
      <c r="X1686" s="13">
        <f>IFERROR(IF(ABS(F1686)&lt;0.01,"ATM/NEAR",""),"")</f>
        <v/>
      </c>
    </row>
    <row r="1687">
      <c r="A1687" s="13">
        <f>CHAIN_RAW!A1687</f>
        <v/>
      </c>
      <c r="B1687" s="14">
        <f>CHAIN_RAW!B1687</f>
        <v/>
      </c>
      <c r="C1687" s="13">
        <f>CHAIN_RAW!C1687</f>
        <v/>
      </c>
      <c r="D1687" s="13">
        <f>CHAIN_RAW!D1687</f>
        <v/>
      </c>
      <c r="E1687" s="13">
        <f>CHAIN_RAW!E1687</f>
        <v/>
      </c>
      <c r="F1687" s="13">
        <f>IFERROR((E1687-D1687)/D1687,"")</f>
        <v/>
      </c>
      <c r="G1687" s="13">
        <f>IFERROR((CHAIN_RAW!K1687+CHAIN_RAW!L1687)/2,"")</f>
        <v/>
      </c>
      <c r="H1687" s="13">
        <f>IFERROR((CHAIN_RAW!R1687+CHAIN_RAW!S1687)/2,"")</f>
        <v/>
      </c>
      <c r="I1687" s="13">
        <f>IFERROR((CHAIN_RAW!L1687-CHAIN_RAW!K1687)/MAX(1E-9, G1687),"")</f>
        <v/>
      </c>
      <c r="J1687" s="13">
        <f>IFERROR((CHAIN_RAW!S1687-CHAIN_RAW!R1687)/MAX(1E-9, H1687),"")</f>
        <v/>
      </c>
      <c r="K1687" s="13">
        <f>CHAIN_RAW!G1687</f>
        <v/>
      </c>
      <c r="L1687" s="13">
        <f>CHAIN_RAW!N1687</f>
        <v/>
      </c>
      <c r="M1687" s="13">
        <f>IFERROR(L1687-K1687,"")</f>
        <v/>
      </c>
      <c r="N1687" s="13">
        <f>CHAIN_RAW!H1687</f>
        <v/>
      </c>
      <c r="O1687" s="13">
        <f>CHAIN_RAW!O1687</f>
        <v/>
      </c>
      <c r="P1687" s="13">
        <f>IFERROR(O1687/N1687,"")</f>
        <v/>
      </c>
      <c r="Q1687" s="13">
        <f>CHAIN_RAW!I1687</f>
        <v/>
      </c>
      <c r="R1687" s="13">
        <f>CHAIN_RAW!P1687</f>
        <v/>
      </c>
      <c r="S1687" s="13">
        <f>IFERROR(R1687/Q1687,"")</f>
        <v/>
      </c>
      <c r="T1687" s="13">
        <f>IFERROR((ABS(N1687-O1687)/MAX(1,(N1687+O1687)))*EXP(-ABS(E1687-CONTROL!E5)/MAX(1,CONTROL!B8)),"")</f>
        <v/>
      </c>
      <c r="U1687" s="13">
        <f>IFERROR(IF(O1687&gt;N1687,"SUPPORT (PE OI)","RESIST (CE OI)"),"")</f>
        <v/>
      </c>
      <c r="V1687" s="13">
        <f>IFERROR(IF(Q1687&gt;0,IF(R1687&gt;0,"BOTH_ADD","CE_ADD_PE_REDUCE"),IF(R1687&gt;0,"CE_REDUCE_PE_ADD","BOTH_REDUCE")),"")</f>
        <v/>
      </c>
      <c r="W1687" s="13">
        <f>IFERROR( (P1687-1)*0.5 + (M1687)*0.1 - (I1687+J1687)*0.05 + T1687*0.4 ,"")</f>
        <v/>
      </c>
      <c r="X1687" s="13">
        <f>IFERROR(IF(ABS(F1687)&lt;0.01,"ATM/NEAR",""),"")</f>
        <v/>
      </c>
    </row>
    <row r="1688">
      <c r="A1688" s="13">
        <f>CHAIN_RAW!A1688</f>
        <v/>
      </c>
      <c r="B1688" s="14">
        <f>CHAIN_RAW!B1688</f>
        <v/>
      </c>
      <c r="C1688" s="13">
        <f>CHAIN_RAW!C1688</f>
        <v/>
      </c>
      <c r="D1688" s="13">
        <f>CHAIN_RAW!D1688</f>
        <v/>
      </c>
      <c r="E1688" s="13">
        <f>CHAIN_RAW!E1688</f>
        <v/>
      </c>
      <c r="F1688" s="13">
        <f>IFERROR((E1688-D1688)/D1688,"")</f>
        <v/>
      </c>
      <c r="G1688" s="13">
        <f>IFERROR((CHAIN_RAW!K1688+CHAIN_RAW!L1688)/2,"")</f>
        <v/>
      </c>
      <c r="H1688" s="13">
        <f>IFERROR((CHAIN_RAW!R1688+CHAIN_RAW!S1688)/2,"")</f>
        <v/>
      </c>
      <c r="I1688" s="13">
        <f>IFERROR((CHAIN_RAW!L1688-CHAIN_RAW!K1688)/MAX(1E-9, G1688),"")</f>
        <v/>
      </c>
      <c r="J1688" s="13">
        <f>IFERROR((CHAIN_RAW!S1688-CHAIN_RAW!R1688)/MAX(1E-9, H1688),"")</f>
        <v/>
      </c>
      <c r="K1688" s="13">
        <f>CHAIN_RAW!G1688</f>
        <v/>
      </c>
      <c r="L1688" s="13">
        <f>CHAIN_RAW!N1688</f>
        <v/>
      </c>
      <c r="M1688" s="13">
        <f>IFERROR(L1688-K1688,"")</f>
        <v/>
      </c>
      <c r="N1688" s="13">
        <f>CHAIN_RAW!H1688</f>
        <v/>
      </c>
      <c r="O1688" s="13">
        <f>CHAIN_RAW!O1688</f>
        <v/>
      </c>
      <c r="P1688" s="13">
        <f>IFERROR(O1688/N1688,"")</f>
        <v/>
      </c>
      <c r="Q1688" s="13">
        <f>CHAIN_RAW!I1688</f>
        <v/>
      </c>
      <c r="R1688" s="13">
        <f>CHAIN_RAW!P1688</f>
        <v/>
      </c>
      <c r="S1688" s="13">
        <f>IFERROR(R1688/Q1688,"")</f>
        <v/>
      </c>
      <c r="T1688" s="13">
        <f>IFERROR((ABS(N1688-O1688)/MAX(1,(N1688+O1688)))*EXP(-ABS(E1688-CONTROL!E5)/MAX(1,CONTROL!B8)),"")</f>
        <v/>
      </c>
      <c r="U1688" s="13">
        <f>IFERROR(IF(O1688&gt;N1688,"SUPPORT (PE OI)","RESIST (CE OI)"),"")</f>
        <v/>
      </c>
      <c r="V1688" s="13">
        <f>IFERROR(IF(Q1688&gt;0,IF(R1688&gt;0,"BOTH_ADD","CE_ADD_PE_REDUCE"),IF(R1688&gt;0,"CE_REDUCE_PE_ADD","BOTH_REDUCE")),"")</f>
        <v/>
      </c>
      <c r="W1688" s="13">
        <f>IFERROR( (P1688-1)*0.5 + (M1688)*0.1 - (I1688+J1688)*0.05 + T1688*0.4 ,"")</f>
        <v/>
      </c>
      <c r="X1688" s="13">
        <f>IFERROR(IF(ABS(F1688)&lt;0.01,"ATM/NEAR",""),"")</f>
        <v/>
      </c>
    </row>
    <row r="1689">
      <c r="A1689" s="13">
        <f>CHAIN_RAW!A1689</f>
        <v/>
      </c>
      <c r="B1689" s="14">
        <f>CHAIN_RAW!B1689</f>
        <v/>
      </c>
      <c r="C1689" s="13">
        <f>CHAIN_RAW!C1689</f>
        <v/>
      </c>
      <c r="D1689" s="13">
        <f>CHAIN_RAW!D1689</f>
        <v/>
      </c>
      <c r="E1689" s="13">
        <f>CHAIN_RAW!E1689</f>
        <v/>
      </c>
      <c r="F1689" s="13">
        <f>IFERROR((E1689-D1689)/D1689,"")</f>
        <v/>
      </c>
      <c r="G1689" s="13">
        <f>IFERROR((CHAIN_RAW!K1689+CHAIN_RAW!L1689)/2,"")</f>
        <v/>
      </c>
      <c r="H1689" s="13">
        <f>IFERROR((CHAIN_RAW!R1689+CHAIN_RAW!S1689)/2,"")</f>
        <v/>
      </c>
      <c r="I1689" s="13">
        <f>IFERROR((CHAIN_RAW!L1689-CHAIN_RAW!K1689)/MAX(1E-9, G1689),"")</f>
        <v/>
      </c>
      <c r="J1689" s="13">
        <f>IFERROR((CHAIN_RAW!S1689-CHAIN_RAW!R1689)/MAX(1E-9, H1689),"")</f>
        <v/>
      </c>
      <c r="K1689" s="13">
        <f>CHAIN_RAW!G1689</f>
        <v/>
      </c>
      <c r="L1689" s="13">
        <f>CHAIN_RAW!N1689</f>
        <v/>
      </c>
      <c r="M1689" s="13">
        <f>IFERROR(L1689-K1689,"")</f>
        <v/>
      </c>
      <c r="N1689" s="13">
        <f>CHAIN_RAW!H1689</f>
        <v/>
      </c>
      <c r="O1689" s="13">
        <f>CHAIN_RAW!O1689</f>
        <v/>
      </c>
      <c r="P1689" s="13">
        <f>IFERROR(O1689/N1689,"")</f>
        <v/>
      </c>
      <c r="Q1689" s="13">
        <f>CHAIN_RAW!I1689</f>
        <v/>
      </c>
      <c r="R1689" s="13">
        <f>CHAIN_RAW!P1689</f>
        <v/>
      </c>
      <c r="S1689" s="13">
        <f>IFERROR(R1689/Q1689,"")</f>
        <v/>
      </c>
      <c r="T1689" s="13">
        <f>IFERROR((ABS(N1689-O1689)/MAX(1,(N1689+O1689)))*EXP(-ABS(E1689-CONTROL!E5)/MAX(1,CONTROL!B8)),"")</f>
        <v/>
      </c>
      <c r="U1689" s="13">
        <f>IFERROR(IF(O1689&gt;N1689,"SUPPORT (PE OI)","RESIST (CE OI)"),"")</f>
        <v/>
      </c>
      <c r="V1689" s="13">
        <f>IFERROR(IF(Q1689&gt;0,IF(R1689&gt;0,"BOTH_ADD","CE_ADD_PE_REDUCE"),IF(R1689&gt;0,"CE_REDUCE_PE_ADD","BOTH_REDUCE")),"")</f>
        <v/>
      </c>
      <c r="W1689" s="13">
        <f>IFERROR( (P1689-1)*0.5 + (M1689)*0.1 - (I1689+J1689)*0.05 + T1689*0.4 ,"")</f>
        <v/>
      </c>
      <c r="X1689" s="13">
        <f>IFERROR(IF(ABS(F1689)&lt;0.01,"ATM/NEAR",""),"")</f>
        <v/>
      </c>
    </row>
    <row r="1690">
      <c r="A1690" s="13">
        <f>CHAIN_RAW!A1690</f>
        <v/>
      </c>
      <c r="B1690" s="14">
        <f>CHAIN_RAW!B1690</f>
        <v/>
      </c>
      <c r="C1690" s="13">
        <f>CHAIN_RAW!C1690</f>
        <v/>
      </c>
      <c r="D1690" s="13">
        <f>CHAIN_RAW!D1690</f>
        <v/>
      </c>
      <c r="E1690" s="13">
        <f>CHAIN_RAW!E1690</f>
        <v/>
      </c>
      <c r="F1690" s="13">
        <f>IFERROR((E1690-D1690)/D1690,"")</f>
        <v/>
      </c>
      <c r="G1690" s="13">
        <f>IFERROR((CHAIN_RAW!K1690+CHAIN_RAW!L1690)/2,"")</f>
        <v/>
      </c>
      <c r="H1690" s="13">
        <f>IFERROR((CHAIN_RAW!R1690+CHAIN_RAW!S1690)/2,"")</f>
        <v/>
      </c>
      <c r="I1690" s="13">
        <f>IFERROR((CHAIN_RAW!L1690-CHAIN_RAW!K1690)/MAX(1E-9, G1690),"")</f>
        <v/>
      </c>
      <c r="J1690" s="13">
        <f>IFERROR((CHAIN_RAW!S1690-CHAIN_RAW!R1690)/MAX(1E-9, H1690),"")</f>
        <v/>
      </c>
      <c r="K1690" s="13">
        <f>CHAIN_RAW!G1690</f>
        <v/>
      </c>
      <c r="L1690" s="13">
        <f>CHAIN_RAW!N1690</f>
        <v/>
      </c>
      <c r="M1690" s="13">
        <f>IFERROR(L1690-K1690,"")</f>
        <v/>
      </c>
      <c r="N1690" s="13">
        <f>CHAIN_RAW!H1690</f>
        <v/>
      </c>
      <c r="O1690" s="13">
        <f>CHAIN_RAW!O1690</f>
        <v/>
      </c>
      <c r="P1690" s="13">
        <f>IFERROR(O1690/N1690,"")</f>
        <v/>
      </c>
      <c r="Q1690" s="13">
        <f>CHAIN_RAW!I1690</f>
        <v/>
      </c>
      <c r="R1690" s="13">
        <f>CHAIN_RAW!P1690</f>
        <v/>
      </c>
      <c r="S1690" s="13">
        <f>IFERROR(R1690/Q1690,"")</f>
        <v/>
      </c>
      <c r="T1690" s="13">
        <f>IFERROR((ABS(N1690-O1690)/MAX(1,(N1690+O1690)))*EXP(-ABS(E1690-CONTROL!E5)/MAX(1,CONTROL!B8)),"")</f>
        <v/>
      </c>
      <c r="U1690" s="13">
        <f>IFERROR(IF(O1690&gt;N1690,"SUPPORT (PE OI)","RESIST (CE OI)"),"")</f>
        <v/>
      </c>
      <c r="V1690" s="13">
        <f>IFERROR(IF(Q1690&gt;0,IF(R1690&gt;0,"BOTH_ADD","CE_ADD_PE_REDUCE"),IF(R1690&gt;0,"CE_REDUCE_PE_ADD","BOTH_REDUCE")),"")</f>
        <v/>
      </c>
      <c r="W1690" s="13">
        <f>IFERROR( (P1690-1)*0.5 + (M1690)*0.1 - (I1690+J1690)*0.05 + T1690*0.4 ,"")</f>
        <v/>
      </c>
      <c r="X1690" s="13">
        <f>IFERROR(IF(ABS(F1690)&lt;0.01,"ATM/NEAR",""),"")</f>
        <v/>
      </c>
    </row>
    <row r="1691">
      <c r="A1691" s="13">
        <f>CHAIN_RAW!A1691</f>
        <v/>
      </c>
      <c r="B1691" s="14">
        <f>CHAIN_RAW!B1691</f>
        <v/>
      </c>
      <c r="C1691" s="13">
        <f>CHAIN_RAW!C1691</f>
        <v/>
      </c>
      <c r="D1691" s="13">
        <f>CHAIN_RAW!D1691</f>
        <v/>
      </c>
      <c r="E1691" s="13">
        <f>CHAIN_RAW!E1691</f>
        <v/>
      </c>
      <c r="F1691" s="13">
        <f>IFERROR((E1691-D1691)/D1691,"")</f>
        <v/>
      </c>
      <c r="G1691" s="13">
        <f>IFERROR((CHAIN_RAW!K1691+CHAIN_RAW!L1691)/2,"")</f>
        <v/>
      </c>
      <c r="H1691" s="13">
        <f>IFERROR((CHAIN_RAW!R1691+CHAIN_RAW!S1691)/2,"")</f>
        <v/>
      </c>
      <c r="I1691" s="13">
        <f>IFERROR((CHAIN_RAW!L1691-CHAIN_RAW!K1691)/MAX(1E-9, G1691),"")</f>
        <v/>
      </c>
      <c r="J1691" s="13">
        <f>IFERROR((CHAIN_RAW!S1691-CHAIN_RAW!R1691)/MAX(1E-9, H1691),"")</f>
        <v/>
      </c>
      <c r="K1691" s="13">
        <f>CHAIN_RAW!G1691</f>
        <v/>
      </c>
      <c r="L1691" s="13">
        <f>CHAIN_RAW!N1691</f>
        <v/>
      </c>
      <c r="M1691" s="13">
        <f>IFERROR(L1691-K1691,"")</f>
        <v/>
      </c>
      <c r="N1691" s="13">
        <f>CHAIN_RAW!H1691</f>
        <v/>
      </c>
      <c r="O1691" s="13">
        <f>CHAIN_RAW!O1691</f>
        <v/>
      </c>
      <c r="P1691" s="13">
        <f>IFERROR(O1691/N1691,"")</f>
        <v/>
      </c>
      <c r="Q1691" s="13">
        <f>CHAIN_RAW!I1691</f>
        <v/>
      </c>
      <c r="R1691" s="13">
        <f>CHAIN_RAW!P1691</f>
        <v/>
      </c>
      <c r="S1691" s="13">
        <f>IFERROR(R1691/Q1691,"")</f>
        <v/>
      </c>
      <c r="T1691" s="13">
        <f>IFERROR((ABS(N1691-O1691)/MAX(1,(N1691+O1691)))*EXP(-ABS(E1691-CONTROL!E5)/MAX(1,CONTROL!B8)),"")</f>
        <v/>
      </c>
      <c r="U1691" s="13">
        <f>IFERROR(IF(O1691&gt;N1691,"SUPPORT (PE OI)","RESIST (CE OI)"),"")</f>
        <v/>
      </c>
      <c r="V1691" s="13">
        <f>IFERROR(IF(Q1691&gt;0,IF(R1691&gt;0,"BOTH_ADD","CE_ADD_PE_REDUCE"),IF(R1691&gt;0,"CE_REDUCE_PE_ADD","BOTH_REDUCE")),"")</f>
        <v/>
      </c>
      <c r="W1691" s="13">
        <f>IFERROR( (P1691-1)*0.5 + (M1691)*0.1 - (I1691+J1691)*0.05 + T1691*0.4 ,"")</f>
        <v/>
      </c>
      <c r="X1691" s="13">
        <f>IFERROR(IF(ABS(F1691)&lt;0.01,"ATM/NEAR",""),"")</f>
        <v/>
      </c>
    </row>
    <row r="1692">
      <c r="A1692" s="13">
        <f>CHAIN_RAW!A1692</f>
        <v/>
      </c>
      <c r="B1692" s="14">
        <f>CHAIN_RAW!B1692</f>
        <v/>
      </c>
      <c r="C1692" s="13">
        <f>CHAIN_RAW!C1692</f>
        <v/>
      </c>
      <c r="D1692" s="13">
        <f>CHAIN_RAW!D1692</f>
        <v/>
      </c>
      <c r="E1692" s="13">
        <f>CHAIN_RAW!E1692</f>
        <v/>
      </c>
      <c r="F1692" s="13">
        <f>IFERROR((E1692-D1692)/D1692,"")</f>
        <v/>
      </c>
      <c r="G1692" s="13">
        <f>IFERROR((CHAIN_RAW!K1692+CHAIN_RAW!L1692)/2,"")</f>
        <v/>
      </c>
      <c r="H1692" s="13">
        <f>IFERROR((CHAIN_RAW!R1692+CHAIN_RAW!S1692)/2,"")</f>
        <v/>
      </c>
      <c r="I1692" s="13">
        <f>IFERROR((CHAIN_RAW!L1692-CHAIN_RAW!K1692)/MAX(1E-9, G1692),"")</f>
        <v/>
      </c>
      <c r="J1692" s="13">
        <f>IFERROR((CHAIN_RAW!S1692-CHAIN_RAW!R1692)/MAX(1E-9, H1692),"")</f>
        <v/>
      </c>
      <c r="K1692" s="13">
        <f>CHAIN_RAW!G1692</f>
        <v/>
      </c>
      <c r="L1692" s="13">
        <f>CHAIN_RAW!N1692</f>
        <v/>
      </c>
      <c r="M1692" s="13">
        <f>IFERROR(L1692-K1692,"")</f>
        <v/>
      </c>
      <c r="N1692" s="13">
        <f>CHAIN_RAW!H1692</f>
        <v/>
      </c>
      <c r="O1692" s="13">
        <f>CHAIN_RAW!O1692</f>
        <v/>
      </c>
      <c r="P1692" s="13">
        <f>IFERROR(O1692/N1692,"")</f>
        <v/>
      </c>
      <c r="Q1692" s="13">
        <f>CHAIN_RAW!I1692</f>
        <v/>
      </c>
      <c r="R1692" s="13">
        <f>CHAIN_RAW!P1692</f>
        <v/>
      </c>
      <c r="S1692" s="13">
        <f>IFERROR(R1692/Q1692,"")</f>
        <v/>
      </c>
      <c r="T1692" s="13">
        <f>IFERROR((ABS(N1692-O1692)/MAX(1,(N1692+O1692)))*EXP(-ABS(E1692-CONTROL!E5)/MAX(1,CONTROL!B8)),"")</f>
        <v/>
      </c>
      <c r="U1692" s="13">
        <f>IFERROR(IF(O1692&gt;N1692,"SUPPORT (PE OI)","RESIST (CE OI)"),"")</f>
        <v/>
      </c>
      <c r="V1692" s="13">
        <f>IFERROR(IF(Q1692&gt;0,IF(R1692&gt;0,"BOTH_ADD","CE_ADD_PE_REDUCE"),IF(R1692&gt;0,"CE_REDUCE_PE_ADD","BOTH_REDUCE")),"")</f>
        <v/>
      </c>
      <c r="W1692" s="13">
        <f>IFERROR( (P1692-1)*0.5 + (M1692)*0.1 - (I1692+J1692)*0.05 + T1692*0.4 ,"")</f>
        <v/>
      </c>
      <c r="X1692" s="13">
        <f>IFERROR(IF(ABS(F1692)&lt;0.01,"ATM/NEAR",""),"")</f>
        <v/>
      </c>
    </row>
    <row r="1693">
      <c r="A1693" s="13">
        <f>CHAIN_RAW!A1693</f>
        <v/>
      </c>
      <c r="B1693" s="14">
        <f>CHAIN_RAW!B1693</f>
        <v/>
      </c>
      <c r="C1693" s="13">
        <f>CHAIN_RAW!C1693</f>
        <v/>
      </c>
      <c r="D1693" s="13">
        <f>CHAIN_RAW!D1693</f>
        <v/>
      </c>
      <c r="E1693" s="13">
        <f>CHAIN_RAW!E1693</f>
        <v/>
      </c>
      <c r="F1693" s="13">
        <f>IFERROR((E1693-D1693)/D1693,"")</f>
        <v/>
      </c>
      <c r="G1693" s="13">
        <f>IFERROR((CHAIN_RAW!K1693+CHAIN_RAW!L1693)/2,"")</f>
        <v/>
      </c>
      <c r="H1693" s="13">
        <f>IFERROR((CHAIN_RAW!R1693+CHAIN_RAW!S1693)/2,"")</f>
        <v/>
      </c>
      <c r="I1693" s="13">
        <f>IFERROR((CHAIN_RAW!L1693-CHAIN_RAW!K1693)/MAX(1E-9, G1693),"")</f>
        <v/>
      </c>
      <c r="J1693" s="13">
        <f>IFERROR((CHAIN_RAW!S1693-CHAIN_RAW!R1693)/MAX(1E-9, H1693),"")</f>
        <v/>
      </c>
      <c r="K1693" s="13">
        <f>CHAIN_RAW!G1693</f>
        <v/>
      </c>
      <c r="L1693" s="13">
        <f>CHAIN_RAW!N1693</f>
        <v/>
      </c>
      <c r="M1693" s="13">
        <f>IFERROR(L1693-K1693,"")</f>
        <v/>
      </c>
      <c r="N1693" s="13">
        <f>CHAIN_RAW!H1693</f>
        <v/>
      </c>
      <c r="O1693" s="13">
        <f>CHAIN_RAW!O1693</f>
        <v/>
      </c>
      <c r="P1693" s="13">
        <f>IFERROR(O1693/N1693,"")</f>
        <v/>
      </c>
      <c r="Q1693" s="13">
        <f>CHAIN_RAW!I1693</f>
        <v/>
      </c>
      <c r="R1693" s="13">
        <f>CHAIN_RAW!P1693</f>
        <v/>
      </c>
      <c r="S1693" s="13">
        <f>IFERROR(R1693/Q1693,"")</f>
        <v/>
      </c>
      <c r="T1693" s="13">
        <f>IFERROR((ABS(N1693-O1693)/MAX(1,(N1693+O1693)))*EXP(-ABS(E1693-CONTROL!E5)/MAX(1,CONTROL!B8)),"")</f>
        <v/>
      </c>
      <c r="U1693" s="13">
        <f>IFERROR(IF(O1693&gt;N1693,"SUPPORT (PE OI)","RESIST (CE OI)"),"")</f>
        <v/>
      </c>
      <c r="V1693" s="13">
        <f>IFERROR(IF(Q1693&gt;0,IF(R1693&gt;0,"BOTH_ADD","CE_ADD_PE_REDUCE"),IF(R1693&gt;0,"CE_REDUCE_PE_ADD","BOTH_REDUCE")),"")</f>
        <v/>
      </c>
      <c r="W1693" s="13">
        <f>IFERROR( (P1693-1)*0.5 + (M1693)*0.1 - (I1693+J1693)*0.05 + T1693*0.4 ,"")</f>
        <v/>
      </c>
      <c r="X1693" s="13">
        <f>IFERROR(IF(ABS(F1693)&lt;0.01,"ATM/NEAR",""),"")</f>
        <v/>
      </c>
    </row>
    <row r="1694">
      <c r="A1694" s="13">
        <f>CHAIN_RAW!A1694</f>
        <v/>
      </c>
      <c r="B1694" s="14">
        <f>CHAIN_RAW!B1694</f>
        <v/>
      </c>
      <c r="C1694" s="13">
        <f>CHAIN_RAW!C1694</f>
        <v/>
      </c>
      <c r="D1694" s="13">
        <f>CHAIN_RAW!D1694</f>
        <v/>
      </c>
      <c r="E1694" s="13">
        <f>CHAIN_RAW!E1694</f>
        <v/>
      </c>
      <c r="F1694" s="13">
        <f>IFERROR((E1694-D1694)/D1694,"")</f>
        <v/>
      </c>
      <c r="G1694" s="13">
        <f>IFERROR((CHAIN_RAW!K1694+CHAIN_RAW!L1694)/2,"")</f>
        <v/>
      </c>
      <c r="H1694" s="13">
        <f>IFERROR((CHAIN_RAW!R1694+CHAIN_RAW!S1694)/2,"")</f>
        <v/>
      </c>
      <c r="I1694" s="13">
        <f>IFERROR((CHAIN_RAW!L1694-CHAIN_RAW!K1694)/MAX(1E-9, G1694),"")</f>
        <v/>
      </c>
      <c r="J1694" s="13">
        <f>IFERROR((CHAIN_RAW!S1694-CHAIN_RAW!R1694)/MAX(1E-9, H1694),"")</f>
        <v/>
      </c>
      <c r="K1694" s="13">
        <f>CHAIN_RAW!G1694</f>
        <v/>
      </c>
      <c r="L1694" s="13">
        <f>CHAIN_RAW!N1694</f>
        <v/>
      </c>
      <c r="M1694" s="13">
        <f>IFERROR(L1694-K1694,"")</f>
        <v/>
      </c>
      <c r="N1694" s="13">
        <f>CHAIN_RAW!H1694</f>
        <v/>
      </c>
      <c r="O1694" s="13">
        <f>CHAIN_RAW!O1694</f>
        <v/>
      </c>
      <c r="P1694" s="13">
        <f>IFERROR(O1694/N1694,"")</f>
        <v/>
      </c>
      <c r="Q1694" s="13">
        <f>CHAIN_RAW!I1694</f>
        <v/>
      </c>
      <c r="R1694" s="13">
        <f>CHAIN_RAW!P1694</f>
        <v/>
      </c>
      <c r="S1694" s="13">
        <f>IFERROR(R1694/Q1694,"")</f>
        <v/>
      </c>
      <c r="T1694" s="13">
        <f>IFERROR((ABS(N1694-O1694)/MAX(1,(N1694+O1694)))*EXP(-ABS(E1694-CONTROL!E5)/MAX(1,CONTROL!B8)),"")</f>
        <v/>
      </c>
      <c r="U1694" s="13">
        <f>IFERROR(IF(O1694&gt;N1694,"SUPPORT (PE OI)","RESIST (CE OI)"),"")</f>
        <v/>
      </c>
      <c r="V1694" s="13">
        <f>IFERROR(IF(Q1694&gt;0,IF(R1694&gt;0,"BOTH_ADD","CE_ADD_PE_REDUCE"),IF(R1694&gt;0,"CE_REDUCE_PE_ADD","BOTH_REDUCE")),"")</f>
        <v/>
      </c>
      <c r="W1694" s="13">
        <f>IFERROR( (P1694-1)*0.5 + (M1694)*0.1 - (I1694+J1694)*0.05 + T1694*0.4 ,"")</f>
        <v/>
      </c>
      <c r="X1694" s="13">
        <f>IFERROR(IF(ABS(F1694)&lt;0.01,"ATM/NEAR",""),"")</f>
        <v/>
      </c>
    </row>
    <row r="1695">
      <c r="A1695" s="13">
        <f>CHAIN_RAW!A1695</f>
        <v/>
      </c>
      <c r="B1695" s="14">
        <f>CHAIN_RAW!B1695</f>
        <v/>
      </c>
      <c r="C1695" s="13">
        <f>CHAIN_RAW!C1695</f>
        <v/>
      </c>
      <c r="D1695" s="13">
        <f>CHAIN_RAW!D1695</f>
        <v/>
      </c>
      <c r="E1695" s="13">
        <f>CHAIN_RAW!E1695</f>
        <v/>
      </c>
      <c r="F1695" s="13">
        <f>IFERROR((E1695-D1695)/D1695,"")</f>
        <v/>
      </c>
      <c r="G1695" s="13">
        <f>IFERROR((CHAIN_RAW!K1695+CHAIN_RAW!L1695)/2,"")</f>
        <v/>
      </c>
      <c r="H1695" s="13">
        <f>IFERROR((CHAIN_RAW!R1695+CHAIN_RAW!S1695)/2,"")</f>
        <v/>
      </c>
      <c r="I1695" s="13">
        <f>IFERROR((CHAIN_RAW!L1695-CHAIN_RAW!K1695)/MAX(1E-9, G1695),"")</f>
        <v/>
      </c>
      <c r="J1695" s="13">
        <f>IFERROR((CHAIN_RAW!S1695-CHAIN_RAW!R1695)/MAX(1E-9, H1695),"")</f>
        <v/>
      </c>
      <c r="K1695" s="13">
        <f>CHAIN_RAW!G1695</f>
        <v/>
      </c>
      <c r="L1695" s="13">
        <f>CHAIN_RAW!N1695</f>
        <v/>
      </c>
      <c r="M1695" s="13">
        <f>IFERROR(L1695-K1695,"")</f>
        <v/>
      </c>
      <c r="N1695" s="13">
        <f>CHAIN_RAW!H1695</f>
        <v/>
      </c>
      <c r="O1695" s="13">
        <f>CHAIN_RAW!O1695</f>
        <v/>
      </c>
      <c r="P1695" s="13">
        <f>IFERROR(O1695/N1695,"")</f>
        <v/>
      </c>
      <c r="Q1695" s="13">
        <f>CHAIN_RAW!I1695</f>
        <v/>
      </c>
      <c r="R1695" s="13">
        <f>CHAIN_RAW!P1695</f>
        <v/>
      </c>
      <c r="S1695" s="13">
        <f>IFERROR(R1695/Q1695,"")</f>
        <v/>
      </c>
      <c r="T1695" s="13">
        <f>IFERROR((ABS(N1695-O1695)/MAX(1,(N1695+O1695)))*EXP(-ABS(E1695-CONTROL!E5)/MAX(1,CONTROL!B8)),"")</f>
        <v/>
      </c>
      <c r="U1695" s="13">
        <f>IFERROR(IF(O1695&gt;N1695,"SUPPORT (PE OI)","RESIST (CE OI)"),"")</f>
        <v/>
      </c>
      <c r="V1695" s="13">
        <f>IFERROR(IF(Q1695&gt;0,IF(R1695&gt;0,"BOTH_ADD","CE_ADD_PE_REDUCE"),IF(R1695&gt;0,"CE_REDUCE_PE_ADD","BOTH_REDUCE")),"")</f>
        <v/>
      </c>
      <c r="W1695" s="13">
        <f>IFERROR( (P1695-1)*0.5 + (M1695)*0.1 - (I1695+J1695)*0.05 + T1695*0.4 ,"")</f>
        <v/>
      </c>
      <c r="X1695" s="13">
        <f>IFERROR(IF(ABS(F1695)&lt;0.01,"ATM/NEAR",""),"")</f>
        <v/>
      </c>
    </row>
    <row r="1696">
      <c r="A1696" s="13">
        <f>CHAIN_RAW!A1696</f>
        <v/>
      </c>
      <c r="B1696" s="14">
        <f>CHAIN_RAW!B1696</f>
        <v/>
      </c>
      <c r="C1696" s="13">
        <f>CHAIN_RAW!C1696</f>
        <v/>
      </c>
      <c r="D1696" s="13">
        <f>CHAIN_RAW!D1696</f>
        <v/>
      </c>
      <c r="E1696" s="13">
        <f>CHAIN_RAW!E1696</f>
        <v/>
      </c>
      <c r="F1696" s="13">
        <f>IFERROR((E1696-D1696)/D1696,"")</f>
        <v/>
      </c>
      <c r="G1696" s="13">
        <f>IFERROR((CHAIN_RAW!K1696+CHAIN_RAW!L1696)/2,"")</f>
        <v/>
      </c>
      <c r="H1696" s="13">
        <f>IFERROR((CHAIN_RAW!R1696+CHAIN_RAW!S1696)/2,"")</f>
        <v/>
      </c>
      <c r="I1696" s="13">
        <f>IFERROR((CHAIN_RAW!L1696-CHAIN_RAW!K1696)/MAX(1E-9, G1696),"")</f>
        <v/>
      </c>
      <c r="J1696" s="13">
        <f>IFERROR((CHAIN_RAW!S1696-CHAIN_RAW!R1696)/MAX(1E-9, H1696),"")</f>
        <v/>
      </c>
      <c r="K1696" s="13">
        <f>CHAIN_RAW!G1696</f>
        <v/>
      </c>
      <c r="L1696" s="13">
        <f>CHAIN_RAW!N1696</f>
        <v/>
      </c>
      <c r="M1696" s="13">
        <f>IFERROR(L1696-K1696,"")</f>
        <v/>
      </c>
      <c r="N1696" s="13">
        <f>CHAIN_RAW!H1696</f>
        <v/>
      </c>
      <c r="O1696" s="13">
        <f>CHAIN_RAW!O1696</f>
        <v/>
      </c>
      <c r="P1696" s="13">
        <f>IFERROR(O1696/N1696,"")</f>
        <v/>
      </c>
      <c r="Q1696" s="13">
        <f>CHAIN_RAW!I1696</f>
        <v/>
      </c>
      <c r="R1696" s="13">
        <f>CHAIN_RAW!P1696</f>
        <v/>
      </c>
      <c r="S1696" s="13">
        <f>IFERROR(R1696/Q1696,"")</f>
        <v/>
      </c>
      <c r="T1696" s="13">
        <f>IFERROR((ABS(N1696-O1696)/MAX(1,(N1696+O1696)))*EXP(-ABS(E1696-CONTROL!E5)/MAX(1,CONTROL!B8)),"")</f>
        <v/>
      </c>
      <c r="U1696" s="13">
        <f>IFERROR(IF(O1696&gt;N1696,"SUPPORT (PE OI)","RESIST (CE OI)"),"")</f>
        <v/>
      </c>
      <c r="V1696" s="13">
        <f>IFERROR(IF(Q1696&gt;0,IF(R1696&gt;0,"BOTH_ADD","CE_ADD_PE_REDUCE"),IF(R1696&gt;0,"CE_REDUCE_PE_ADD","BOTH_REDUCE")),"")</f>
        <v/>
      </c>
      <c r="W1696" s="13">
        <f>IFERROR( (P1696-1)*0.5 + (M1696)*0.1 - (I1696+J1696)*0.05 + T1696*0.4 ,"")</f>
        <v/>
      </c>
      <c r="X1696" s="13">
        <f>IFERROR(IF(ABS(F1696)&lt;0.01,"ATM/NEAR",""),"")</f>
        <v/>
      </c>
    </row>
    <row r="1697">
      <c r="A1697" s="13">
        <f>CHAIN_RAW!A1697</f>
        <v/>
      </c>
      <c r="B1697" s="14">
        <f>CHAIN_RAW!B1697</f>
        <v/>
      </c>
      <c r="C1697" s="13">
        <f>CHAIN_RAW!C1697</f>
        <v/>
      </c>
      <c r="D1697" s="13">
        <f>CHAIN_RAW!D1697</f>
        <v/>
      </c>
      <c r="E1697" s="13">
        <f>CHAIN_RAW!E1697</f>
        <v/>
      </c>
      <c r="F1697" s="13">
        <f>IFERROR((E1697-D1697)/D1697,"")</f>
        <v/>
      </c>
      <c r="G1697" s="13">
        <f>IFERROR((CHAIN_RAW!K1697+CHAIN_RAW!L1697)/2,"")</f>
        <v/>
      </c>
      <c r="H1697" s="13">
        <f>IFERROR((CHAIN_RAW!R1697+CHAIN_RAW!S1697)/2,"")</f>
        <v/>
      </c>
      <c r="I1697" s="13">
        <f>IFERROR((CHAIN_RAW!L1697-CHAIN_RAW!K1697)/MAX(1E-9, G1697),"")</f>
        <v/>
      </c>
      <c r="J1697" s="13">
        <f>IFERROR((CHAIN_RAW!S1697-CHAIN_RAW!R1697)/MAX(1E-9, H1697),"")</f>
        <v/>
      </c>
      <c r="K1697" s="13">
        <f>CHAIN_RAW!G1697</f>
        <v/>
      </c>
      <c r="L1697" s="13">
        <f>CHAIN_RAW!N1697</f>
        <v/>
      </c>
      <c r="M1697" s="13">
        <f>IFERROR(L1697-K1697,"")</f>
        <v/>
      </c>
      <c r="N1697" s="13">
        <f>CHAIN_RAW!H1697</f>
        <v/>
      </c>
      <c r="O1697" s="13">
        <f>CHAIN_RAW!O1697</f>
        <v/>
      </c>
      <c r="P1697" s="13">
        <f>IFERROR(O1697/N1697,"")</f>
        <v/>
      </c>
      <c r="Q1697" s="13">
        <f>CHAIN_RAW!I1697</f>
        <v/>
      </c>
      <c r="R1697" s="13">
        <f>CHAIN_RAW!P1697</f>
        <v/>
      </c>
      <c r="S1697" s="13">
        <f>IFERROR(R1697/Q1697,"")</f>
        <v/>
      </c>
      <c r="T1697" s="13">
        <f>IFERROR((ABS(N1697-O1697)/MAX(1,(N1697+O1697)))*EXP(-ABS(E1697-CONTROL!E5)/MAX(1,CONTROL!B8)),"")</f>
        <v/>
      </c>
      <c r="U1697" s="13">
        <f>IFERROR(IF(O1697&gt;N1697,"SUPPORT (PE OI)","RESIST (CE OI)"),"")</f>
        <v/>
      </c>
      <c r="V1697" s="13">
        <f>IFERROR(IF(Q1697&gt;0,IF(R1697&gt;0,"BOTH_ADD","CE_ADD_PE_REDUCE"),IF(R1697&gt;0,"CE_REDUCE_PE_ADD","BOTH_REDUCE")),"")</f>
        <v/>
      </c>
      <c r="W1697" s="13">
        <f>IFERROR( (P1697-1)*0.5 + (M1697)*0.1 - (I1697+J1697)*0.05 + T1697*0.4 ,"")</f>
        <v/>
      </c>
      <c r="X1697" s="13">
        <f>IFERROR(IF(ABS(F1697)&lt;0.01,"ATM/NEAR",""),"")</f>
        <v/>
      </c>
    </row>
    <row r="1698">
      <c r="A1698" s="13">
        <f>CHAIN_RAW!A1698</f>
        <v/>
      </c>
      <c r="B1698" s="14">
        <f>CHAIN_RAW!B1698</f>
        <v/>
      </c>
      <c r="C1698" s="13">
        <f>CHAIN_RAW!C1698</f>
        <v/>
      </c>
      <c r="D1698" s="13">
        <f>CHAIN_RAW!D1698</f>
        <v/>
      </c>
      <c r="E1698" s="13">
        <f>CHAIN_RAW!E1698</f>
        <v/>
      </c>
      <c r="F1698" s="13">
        <f>IFERROR((E1698-D1698)/D1698,"")</f>
        <v/>
      </c>
      <c r="G1698" s="13">
        <f>IFERROR((CHAIN_RAW!K1698+CHAIN_RAW!L1698)/2,"")</f>
        <v/>
      </c>
      <c r="H1698" s="13">
        <f>IFERROR((CHAIN_RAW!R1698+CHAIN_RAW!S1698)/2,"")</f>
        <v/>
      </c>
      <c r="I1698" s="13">
        <f>IFERROR((CHAIN_RAW!L1698-CHAIN_RAW!K1698)/MAX(1E-9, G1698),"")</f>
        <v/>
      </c>
      <c r="J1698" s="13">
        <f>IFERROR((CHAIN_RAW!S1698-CHAIN_RAW!R1698)/MAX(1E-9, H1698),"")</f>
        <v/>
      </c>
      <c r="K1698" s="13">
        <f>CHAIN_RAW!G1698</f>
        <v/>
      </c>
      <c r="L1698" s="13">
        <f>CHAIN_RAW!N1698</f>
        <v/>
      </c>
      <c r="M1698" s="13">
        <f>IFERROR(L1698-K1698,"")</f>
        <v/>
      </c>
      <c r="N1698" s="13">
        <f>CHAIN_RAW!H1698</f>
        <v/>
      </c>
      <c r="O1698" s="13">
        <f>CHAIN_RAW!O1698</f>
        <v/>
      </c>
      <c r="P1698" s="13">
        <f>IFERROR(O1698/N1698,"")</f>
        <v/>
      </c>
      <c r="Q1698" s="13">
        <f>CHAIN_RAW!I1698</f>
        <v/>
      </c>
      <c r="R1698" s="13">
        <f>CHAIN_RAW!P1698</f>
        <v/>
      </c>
      <c r="S1698" s="13">
        <f>IFERROR(R1698/Q1698,"")</f>
        <v/>
      </c>
      <c r="T1698" s="13">
        <f>IFERROR((ABS(N1698-O1698)/MAX(1,(N1698+O1698)))*EXP(-ABS(E1698-CONTROL!E5)/MAX(1,CONTROL!B8)),"")</f>
        <v/>
      </c>
      <c r="U1698" s="13">
        <f>IFERROR(IF(O1698&gt;N1698,"SUPPORT (PE OI)","RESIST (CE OI)"),"")</f>
        <v/>
      </c>
      <c r="V1698" s="13">
        <f>IFERROR(IF(Q1698&gt;0,IF(R1698&gt;0,"BOTH_ADD","CE_ADD_PE_REDUCE"),IF(R1698&gt;0,"CE_REDUCE_PE_ADD","BOTH_REDUCE")),"")</f>
        <v/>
      </c>
      <c r="W1698" s="13">
        <f>IFERROR( (P1698-1)*0.5 + (M1698)*0.1 - (I1698+J1698)*0.05 + T1698*0.4 ,"")</f>
        <v/>
      </c>
      <c r="X1698" s="13">
        <f>IFERROR(IF(ABS(F1698)&lt;0.01,"ATM/NEAR",""),"")</f>
        <v/>
      </c>
    </row>
    <row r="1699">
      <c r="A1699" s="13">
        <f>CHAIN_RAW!A1699</f>
        <v/>
      </c>
      <c r="B1699" s="14">
        <f>CHAIN_RAW!B1699</f>
        <v/>
      </c>
      <c r="C1699" s="13">
        <f>CHAIN_RAW!C1699</f>
        <v/>
      </c>
      <c r="D1699" s="13">
        <f>CHAIN_RAW!D1699</f>
        <v/>
      </c>
      <c r="E1699" s="13">
        <f>CHAIN_RAW!E1699</f>
        <v/>
      </c>
      <c r="F1699" s="13">
        <f>IFERROR((E1699-D1699)/D1699,"")</f>
        <v/>
      </c>
      <c r="G1699" s="13">
        <f>IFERROR((CHAIN_RAW!K1699+CHAIN_RAW!L1699)/2,"")</f>
        <v/>
      </c>
      <c r="H1699" s="13">
        <f>IFERROR((CHAIN_RAW!R1699+CHAIN_RAW!S1699)/2,"")</f>
        <v/>
      </c>
      <c r="I1699" s="13">
        <f>IFERROR((CHAIN_RAW!L1699-CHAIN_RAW!K1699)/MAX(1E-9, G1699),"")</f>
        <v/>
      </c>
      <c r="J1699" s="13">
        <f>IFERROR((CHAIN_RAW!S1699-CHAIN_RAW!R1699)/MAX(1E-9, H1699),"")</f>
        <v/>
      </c>
      <c r="K1699" s="13">
        <f>CHAIN_RAW!G1699</f>
        <v/>
      </c>
      <c r="L1699" s="13">
        <f>CHAIN_RAW!N1699</f>
        <v/>
      </c>
      <c r="M1699" s="13">
        <f>IFERROR(L1699-K1699,"")</f>
        <v/>
      </c>
      <c r="N1699" s="13">
        <f>CHAIN_RAW!H1699</f>
        <v/>
      </c>
      <c r="O1699" s="13">
        <f>CHAIN_RAW!O1699</f>
        <v/>
      </c>
      <c r="P1699" s="13">
        <f>IFERROR(O1699/N1699,"")</f>
        <v/>
      </c>
      <c r="Q1699" s="13">
        <f>CHAIN_RAW!I1699</f>
        <v/>
      </c>
      <c r="R1699" s="13">
        <f>CHAIN_RAW!P1699</f>
        <v/>
      </c>
      <c r="S1699" s="13">
        <f>IFERROR(R1699/Q1699,"")</f>
        <v/>
      </c>
      <c r="T1699" s="13">
        <f>IFERROR((ABS(N1699-O1699)/MAX(1,(N1699+O1699)))*EXP(-ABS(E1699-CONTROL!E5)/MAX(1,CONTROL!B8)),"")</f>
        <v/>
      </c>
      <c r="U1699" s="13">
        <f>IFERROR(IF(O1699&gt;N1699,"SUPPORT (PE OI)","RESIST (CE OI)"),"")</f>
        <v/>
      </c>
      <c r="V1699" s="13">
        <f>IFERROR(IF(Q1699&gt;0,IF(R1699&gt;0,"BOTH_ADD","CE_ADD_PE_REDUCE"),IF(R1699&gt;0,"CE_REDUCE_PE_ADD","BOTH_REDUCE")),"")</f>
        <v/>
      </c>
      <c r="W1699" s="13">
        <f>IFERROR( (P1699-1)*0.5 + (M1699)*0.1 - (I1699+J1699)*0.05 + T1699*0.4 ,"")</f>
        <v/>
      </c>
      <c r="X1699" s="13">
        <f>IFERROR(IF(ABS(F1699)&lt;0.01,"ATM/NEAR",""),"")</f>
        <v/>
      </c>
    </row>
    <row r="1700">
      <c r="A1700" s="13">
        <f>CHAIN_RAW!A1700</f>
        <v/>
      </c>
      <c r="B1700" s="14">
        <f>CHAIN_RAW!B1700</f>
        <v/>
      </c>
      <c r="C1700" s="13">
        <f>CHAIN_RAW!C1700</f>
        <v/>
      </c>
      <c r="D1700" s="13">
        <f>CHAIN_RAW!D1700</f>
        <v/>
      </c>
      <c r="E1700" s="13">
        <f>CHAIN_RAW!E1700</f>
        <v/>
      </c>
      <c r="F1700" s="13">
        <f>IFERROR((E1700-D1700)/D1700,"")</f>
        <v/>
      </c>
      <c r="G1700" s="13">
        <f>IFERROR((CHAIN_RAW!K1700+CHAIN_RAW!L1700)/2,"")</f>
        <v/>
      </c>
      <c r="H1700" s="13">
        <f>IFERROR((CHAIN_RAW!R1700+CHAIN_RAW!S1700)/2,"")</f>
        <v/>
      </c>
      <c r="I1700" s="13">
        <f>IFERROR((CHAIN_RAW!L1700-CHAIN_RAW!K1700)/MAX(1E-9, G1700),"")</f>
        <v/>
      </c>
      <c r="J1700" s="13">
        <f>IFERROR((CHAIN_RAW!S1700-CHAIN_RAW!R1700)/MAX(1E-9, H1700),"")</f>
        <v/>
      </c>
      <c r="K1700" s="13">
        <f>CHAIN_RAW!G1700</f>
        <v/>
      </c>
      <c r="L1700" s="13">
        <f>CHAIN_RAW!N1700</f>
        <v/>
      </c>
      <c r="M1700" s="13">
        <f>IFERROR(L1700-K1700,"")</f>
        <v/>
      </c>
      <c r="N1700" s="13">
        <f>CHAIN_RAW!H1700</f>
        <v/>
      </c>
      <c r="O1700" s="13">
        <f>CHAIN_RAW!O1700</f>
        <v/>
      </c>
      <c r="P1700" s="13">
        <f>IFERROR(O1700/N1700,"")</f>
        <v/>
      </c>
      <c r="Q1700" s="13">
        <f>CHAIN_RAW!I1700</f>
        <v/>
      </c>
      <c r="R1700" s="13">
        <f>CHAIN_RAW!P1700</f>
        <v/>
      </c>
      <c r="S1700" s="13">
        <f>IFERROR(R1700/Q1700,"")</f>
        <v/>
      </c>
      <c r="T1700" s="13">
        <f>IFERROR((ABS(N1700-O1700)/MAX(1,(N1700+O1700)))*EXP(-ABS(E1700-CONTROL!E5)/MAX(1,CONTROL!B8)),"")</f>
        <v/>
      </c>
      <c r="U1700" s="13">
        <f>IFERROR(IF(O1700&gt;N1700,"SUPPORT (PE OI)","RESIST (CE OI)"),"")</f>
        <v/>
      </c>
      <c r="V1700" s="13">
        <f>IFERROR(IF(Q1700&gt;0,IF(R1700&gt;0,"BOTH_ADD","CE_ADD_PE_REDUCE"),IF(R1700&gt;0,"CE_REDUCE_PE_ADD","BOTH_REDUCE")),"")</f>
        <v/>
      </c>
      <c r="W1700" s="13">
        <f>IFERROR( (P1700-1)*0.5 + (M1700)*0.1 - (I1700+J1700)*0.05 + T1700*0.4 ,"")</f>
        <v/>
      </c>
      <c r="X1700" s="13">
        <f>IFERROR(IF(ABS(F1700)&lt;0.01,"ATM/NEAR",""),"")</f>
        <v/>
      </c>
    </row>
    <row r="1701">
      <c r="A1701" s="13">
        <f>CHAIN_RAW!A1701</f>
        <v/>
      </c>
      <c r="B1701" s="14">
        <f>CHAIN_RAW!B1701</f>
        <v/>
      </c>
      <c r="C1701" s="13">
        <f>CHAIN_RAW!C1701</f>
        <v/>
      </c>
      <c r="D1701" s="13">
        <f>CHAIN_RAW!D1701</f>
        <v/>
      </c>
      <c r="E1701" s="13">
        <f>CHAIN_RAW!E1701</f>
        <v/>
      </c>
      <c r="F1701" s="13">
        <f>IFERROR((E1701-D1701)/D1701,"")</f>
        <v/>
      </c>
      <c r="G1701" s="13">
        <f>IFERROR((CHAIN_RAW!K1701+CHAIN_RAW!L1701)/2,"")</f>
        <v/>
      </c>
      <c r="H1701" s="13">
        <f>IFERROR((CHAIN_RAW!R1701+CHAIN_RAW!S1701)/2,"")</f>
        <v/>
      </c>
      <c r="I1701" s="13">
        <f>IFERROR((CHAIN_RAW!L1701-CHAIN_RAW!K1701)/MAX(1E-9, G1701),"")</f>
        <v/>
      </c>
      <c r="J1701" s="13">
        <f>IFERROR((CHAIN_RAW!S1701-CHAIN_RAW!R1701)/MAX(1E-9, H1701),"")</f>
        <v/>
      </c>
      <c r="K1701" s="13">
        <f>CHAIN_RAW!G1701</f>
        <v/>
      </c>
      <c r="L1701" s="13">
        <f>CHAIN_RAW!N1701</f>
        <v/>
      </c>
      <c r="M1701" s="13">
        <f>IFERROR(L1701-K1701,"")</f>
        <v/>
      </c>
      <c r="N1701" s="13">
        <f>CHAIN_RAW!H1701</f>
        <v/>
      </c>
      <c r="O1701" s="13">
        <f>CHAIN_RAW!O1701</f>
        <v/>
      </c>
      <c r="P1701" s="13">
        <f>IFERROR(O1701/N1701,"")</f>
        <v/>
      </c>
      <c r="Q1701" s="13">
        <f>CHAIN_RAW!I1701</f>
        <v/>
      </c>
      <c r="R1701" s="13">
        <f>CHAIN_RAW!P1701</f>
        <v/>
      </c>
      <c r="S1701" s="13">
        <f>IFERROR(R1701/Q1701,"")</f>
        <v/>
      </c>
      <c r="T1701" s="13">
        <f>IFERROR((ABS(N1701-O1701)/MAX(1,(N1701+O1701)))*EXP(-ABS(E1701-CONTROL!E5)/MAX(1,CONTROL!B8)),"")</f>
        <v/>
      </c>
      <c r="U1701" s="13">
        <f>IFERROR(IF(O1701&gt;N1701,"SUPPORT (PE OI)","RESIST (CE OI)"),"")</f>
        <v/>
      </c>
      <c r="V1701" s="13">
        <f>IFERROR(IF(Q1701&gt;0,IF(R1701&gt;0,"BOTH_ADD","CE_ADD_PE_REDUCE"),IF(R1701&gt;0,"CE_REDUCE_PE_ADD","BOTH_REDUCE")),"")</f>
        <v/>
      </c>
      <c r="W1701" s="13">
        <f>IFERROR( (P1701-1)*0.5 + (M1701)*0.1 - (I1701+J1701)*0.05 + T1701*0.4 ,"")</f>
        <v/>
      </c>
      <c r="X1701" s="13">
        <f>IFERROR(IF(ABS(F1701)&lt;0.01,"ATM/NEAR",""),"")</f>
        <v/>
      </c>
    </row>
    <row r="1702">
      <c r="A1702" s="13">
        <f>CHAIN_RAW!A1702</f>
        <v/>
      </c>
      <c r="B1702" s="14">
        <f>CHAIN_RAW!B1702</f>
        <v/>
      </c>
      <c r="C1702" s="13">
        <f>CHAIN_RAW!C1702</f>
        <v/>
      </c>
      <c r="D1702" s="13">
        <f>CHAIN_RAW!D1702</f>
        <v/>
      </c>
      <c r="E1702" s="13">
        <f>CHAIN_RAW!E1702</f>
        <v/>
      </c>
      <c r="F1702" s="13">
        <f>IFERROR((E1702-D1702)/D1702,"")</f>
        <v/>
      </c>
      <c r="G1702" s="13">
        <f>IFERROR((CHAIN_RAW!K1702+CHAIN_RAW!L1702)/2,"")</f>
        <v/>
      </c>
      <c r="H1702" s="13">
        <f>IFERROR((CHAIN_RAW!R1702+CHAIN_RAW!S1702)/2,"")</f>
        <v/>
      </c>
      <c r="I1702" s="13">
        <f>IFERROR((CHAIN_RAW!L1702-CHAIN_RAW!K1702)/MAX(1E-9, G1702),"")</f>
        <v/>
      </c>
      <c r="J1702" s="13">
        <f>IFERROR((CHAIN_RAW!S1702-CHAIN_RAW!R1702)/MAX(1E-9, H1702),"")</f>
        <v/>
      </c>
      <c r="K1702" s="13">
        <f>CHAIN_RAW!G1702</f>
        <v/>
      </c>
      <c r="L1702" s="13">
        <f>CHAIN_RAW!N1702</f>
        <v/>
      </c>
      <c r="M1702" s="13">
        <f>IFERROR(L1702-K1702,"")</f>
        <v/>
      </c>
      <c r="N1702" s="13">
        <f>CHAIN_RAW!H1702</f>
        <v/>
      </c>
      <c r="O1702" s="13">
        <f>CHAIN_RAW!O1702</f>
        <v/>
      </c>
      <c r="P1702" s="13">
        <f>IFERROR(O1702/N1702,"")</f>
        <v/>
      </c>
      <c r="Q1702" s="13">
        <f>CHAIN_RAW!I1702</f>
        <v/>
      </c>
      <c r="R1702" s="13">
        <f>CHAIN_RAW!P1702</f>
        <v/>
      </c>
      <c r="S1702" s="13">
        <f>IFERROR(R1702/Q1702,"")</f>
        <v/>
      </c>
      <c r="T1702" s="13">
        <f>IFERROR((ABS(N1702-O1702)/MAX(1,(N1702+O1702)))*EXP(-ABS(E1702-CONTROL!E5)/MAX(1,CONTROL!B8)),"")</f>
        <v/>
      </c>
      <c r="U1702" s="13">
        <f>IFERROR(IF(O1702&gt;N1702,"SUPPORT (PE OI)","RESIST (CE OI)"),"")</f>
        <v/>
      </c>
      <c r="V1702" s="13">
        <f>IFERROR(IF(Q1702&gt;0,IF(R1702&gt;0,"BOTH_ADD","CE_ADD_PE_REDUCE"),IF(R1702&gt;0,"CE_REDUCE_PE_ADD","BOTH_REDUCE")),"")</f>
        <v/>
      </c>
      <c r="W1702" s="13">
        <f>IFERROR( (P1702-1)*0.5 + (M1702)*0.1 - (I1702+J1702)*0.05 + T1702*0.4 ,"")</f>
        <v/>
      </c>
      <c r="X1702" s="13">
        <f>IFERROR(IF(ABS(F1702)&lt;0.01,"ATM/NEAR",""),"")</f>
        <v/>
      </c>
    </row>
    <row r="1703">
      <c r="A1703" s="13">
        <f>CHAIN_RAW!A1703</f>
        <v/>
      </c>
      <c r="B1703" s="14">
        <f>CHAIN_RAW!B1703</f>
        <v/>
      </c>
      <c r="C1703" s="13">
        <f>CHAIN_RAW!C1703</f>
        <v/>
      </c>
      <c r="D1703" s="13">
        <f>CHAIN_RAW!D1703</f>
        <v/>
      </c>
      <c r="E1703" s="13">
        <f>CHAIN_RAW!E1703</f>
        <v/>
      </c>
      <c r="F1703" s="13">
        <f>IFERROR((E1703-D1703)/D1703,"")</f>
        <v/>
      </c>
      <c r="G1703" s="13">
        <f>IFERROR((CHAIN_RAW!K1703+CHAIN_RAW!L1703)/2,"")</f>
        <v/>
      </c>
      <c r="H1703" s="13">
        <f>IFERROR((CHAIN_RAW!R1703+CHAIN_RAW!S1703)/2,"")</f>
        <v/>
      </c>
      <c r="I1703" s="13">
        <f>IFERROR((CHAIN_RAW!L1703-CHAIN_RAW!K1703)/MAX(1E-9, G1703),"")</f>
        <v/>
      </c>
      <c r="J1703" s="13">
        <f>IFERROR((CHAIN_RAW!S1703-CHAIN_RAW!R1703)/MAX(1E-9, H1703),"")</f>
        <v/>
      </c>
      <c r="K1703" s="13">
        <f>CHAIN_RAW!G1703</f>
        <v/>
      </c>
      <c r="L1703" s="13">
        <f>CHAIN_RAW!N1703</f>
        <v/>
      </c>
      <c r="M1703" s="13">
        <f>IFERROR(L1703-K1703,"")</f>
        <v/>
      </c>
      <c r="N1703" s="13">
        <f>CHAIN_RAW!H1703</f>
        <v/>
      </c>
      <c r="O1703" s="13">
        <f>CHAIN_RAW!O1703</f>
        <v/>
      </c>
      <c r="P1703" s="13">
        <f>IFERROR(O1703/N1703,"")</f>
        <v/>
      </c>
      <c r="Q1703" s="13">
        <f>CHAIN_RAW!I1703</f>
        <v/>
      </c>
      <c r="R1703" s="13">
        <f>CHAIN_RAW!P1703</f>
        <v/>
      </c>
      <c r="S1703" s="13">
        <f>IFERROR(R1703/Q1703,"")</f>
        <v/>
      </c>
      <c r="T1703" s="13">
        <f>IFERROR((ABS(N1703-O1703)/MAX(1,(N1703+O1703)))*EXP(-ABS(E1703-CONTROL!E5)/MAX(1,CONTROL!B8)),"")</f>
        <v/>
      </c>
      <c r="U1703" s="13">
        <f>IFERROR(IF(O1703&gt;N1703,"SUPPORT (PE OI)","RESIST (CE OI)"),"")</f>
        <v/>
      </c>
      <c r="V1703" s="13">
        <f>IFERROR(IF(Q1703&gt;0,IF(R1703&gt;0,"BOTH_ADD","CE_ADD_PE_REDUCE"),IF(R1703&gt;0,"CE_REDUCE_PE_ADD","BOTH_REDUCE")),"")</f>
        <v/>
      </c>
      <c r="W1703" s="13">
        <f>IFERROR( (P1703-1)*0.5 + (M1703)*0.1 - (I1703+J1703)*0.05 + T1703*0.4 ,"")</f>
        <v/>
      </c>
      <c r="X1703" s="13">
        <f>IFERROR(IF(ABS(F1703)&lt;0.01,"ATM/NEAR",""),"")</f>
        <v/>
      </c>
    </row>
    <row r="1704">
      <c r="A1704" s="13">
        <f>CHAIN_RAW!A1704</f>
        <v/>
      </c>
      <c r="B1704" s="14">
        <f>CHAIN_RAW!B1704</f>
        <v/>
      </c>
      <c r="C1704" s="13">
        <f>CHAIN_RAW!C1704</f>
        <v/>
      </c>
      <c r="D1704" s="13">
        <f>CHAIN_RAW!D1704</f>
        <v/>
      </c>
      <c r="E1704" s="13">
        <f>CHAIN_RAW!E1704</f>
        <v/>
      </c>
      <c r="F1704" s="13">
        <f>IFERROR((E1704-D1704)/D1704,"")</f>
        <v/>
      </c>
      <c r="G1704" s="13">
        <f>IFERROR((CHAIN_RAW!K1704+CHAIN_RAW!L1704)/2,"")</f>
        <v/>
      </c>
      <c r="H1704" s="13">
        <f>IFERROR((CHAIN_RAW!R1704+CHAIN_RAW!S1704)/2,"")</f>
        <v/>
      </c>
      <c r="I1704" s="13">
        <f>IFERROR((CHAIN_RAW!L1704-CHAIN_RAW!K1704)/MAX(1E-9, G1704),"")</f>
        <v/>
      </c>
      <c r="J1704" s="13">
        <f>IFERROR((CHAIN_RAW!S1704-CHAIN_RAW!R1704)/MAX(1E-9, H1704),"")</f>
        <v/>
      </c>
      <c r="K1704" s="13">
        <f>CHAIN_RAW!G1704</f>
        <v/>
      </c>
      <c r="L1704" s="13">
        <f>CHAIN_RAW!N1704</f>
        <v/>
      </c>
      <c r="M1704" s="13">
        <f>IFERROR(L1704-K1704,"")</f>
        <v/>
      </c>
      <c r="N1704" s="13">
        <f>CHAIN_RAW!H1704</f>
        <v/>
      </c>
      <c r="O1704" s="13">
        <f>CHAIN_RAW!O1704</f>
        <v/>
      </c>
      <c r="P1704" s="13">
        <f>IFERROR(O1704/N1704,"")</f>
        <v/>
      </c>
      <c r="Q1704" s="13">
        <f>CHAIN_RAW!I1704</f>
        <v/>
      </c>
      <c r="R1704" s="13">
        <f>CHAIN_RAW!P1704</f>
        <v/>
      </c>
      <c r="S1704" s="13">
        <f>IFERROR(R1704/Q1704,"")</f>
        <v/>
      </c>
      <c r="T1704" s="13">
        <f>IFERROR((ABS(N1704-O1704)/MAX(1,(N1704+O1704)))*EXP(-ABS(E1704-CONTROL!E5)/MAX(1,CONTROL!B8)),"")</f>
        <v/>
      </c>
      <c r="U1704" s="13">
        <f>IFERROR(IF(O1704&gt;N1704,"SUPPORT (PE OI)","RESIST (CE OI)"),"")</f>
        <v/>
      </c>
      <c r="V1704" s="13">
        <f>IFERROR(IF(Q1704&gt;0,IF(R1704&gt;0,"BOTH_ADD","CE_ADD_PE_REDUCE"),IF(R1704&gt;0,"CE_REDUCE_PE_ADD","BOTH_REDUCE")),"")</f>
        <v/>
      </c>
      <c r="W1704" s="13">
        <f>IFERROR( (P1704-1)*0.5 + (M1704)*0.1 - (I1704+J1704)*0.05 + T1704*0.4 ,"")</f>
        <v/>
      </c>
      <c r="X1704" s="13">
        <f>IFERROR(IF(ABS(F1704)&lt;0.01,"ATM/NEAR",""),"")</f>
        <v/>
      </c>
    </row>
    <row r="1705">
      <c r="A1705" s="13">
        <f>CHAIN_RAW!A1705</f>
        <v/>
      </c>
      <c r="B1705" s="14">
        <f>CHAIN_RAW!B1705</f>
        <v/>
      </c>
      <c r="C1705" s="13">
        <f>CHAIN_RAW!C1705</f>
        <v/>
      </c>
      <c r="D1705" s="13">
        <f>CHAIN_RAW!D1705</f>
        <v/>
      </c>
      <c r="E1705" s="13">
        <f>CHAIN_RAW!E1705</f>
        <v/>
      </c>
      <c r="F1705" s="13">
        <f>IFERROR((E1705-D1705)/D1705,"")</f>
        <v/>
      </c>
      <c r="G1705" s="13">
        <f>IFERROR((CHAIN_RAW!K1705+CHAIN_RAW!L1705)/2,"")</f>
        <v/>
      </c>
      <c r="H1705" s="13">
        <f>IFERROR((CHAIN_RAW!R1705+CHAIN_RAW!S1705)/2,"")</f>
        <v/>
      </c>
      <c r="I1705" s="13">
        <f>IFERROR((CHAIN_RAW!L1705-CHAIN_RAW!K1705)/MAX(1E-9, G1705),"")</f>
        <v/>
      </c>
      <c r="J1705" s="13">
        <f>IFERROR((CHAIN_RAW!S1705-CHAIN_RAW!R1705)/MAX(1E-9, H1705),"")</f>
        <v/>
      </c>
      <c r="K1705" s="13">
        <f>CHAIN_RAW!G1705</f>
        <v/>
      </c>
      <c r="L1705" s="13">
        <f>CHAIN_RAW!N1705</f>
        <v/>
      </c>
      <c r="M1705" s="13">
        <f>IFERROR(L1705-K1705,"")</f>
        <v/>
      </c>
      <c r="N1705" s="13">
        <f>CHAIN_RAW!H1705</f>
        <v/>
      </c>
      <c r="O1705" s="13">
        <f>CHAIN_RAW!O1705</f>
        <v/>
      </c>
      <c r="P1705" s="13">
        <f>IFERROR(O1705/N1705,"")</f>
        <v/>
      </c>
      <c r="Q1705" s="13">
        <f>CHAIN_RAW!I1705</f>
        <v/>
      </c>
      <c r="R1705" s="13">
        <f>CHAIN_RAW!P1705</f>
        <v/>
      </c>
      <c r="S1705" s="13">
        <f>IFERROR(R1705/Q1705,"")</f>
        <v/>
      </c>
      <c r="T1705" s="13">
        <f>IFERROR((ABS(N1705-O1705)/MAX(1,(N1705+O1705)))*EXP(-ABS(E1705-CONTROL!E5)/MAX(1,CONTROL!B8)),"")</f>
        <v/>
      </c>
      <c r="U1705" s="13">
        <f>IFERROR(IF(O1705&gt;N1705,"SUPPORT (PE OI)","RESIST (CE OI)"),"")</f>
        <v/>
      </c>
      <c r="V1705" s="13">
        <f>IFERROR(IF(Q1705&gt;0,IF(R1705&gt;0,"BOTH_ADD","CE_ADD_PE_REDUCE"),IF(R1705&gt;0,"CE_REDUCE_PE_ADD","BOTH_REDUCE")),"")</f>
        <v/>
      </c>
      <c r="W1705" s="13">
        <f>IFERROR( (P1705-1)*0.5 + (M1705)*0.1 - (I1705+J1705)*0.05 + T1705*0.4 ,"")</f>
        <v/>
      </c>
      <c r="X1705" s="13">
        <f>IFERROR(IF(ABS(F1705)&lt;0.01,"ATM/NEAR",""),"")</f>
        <v/>
      </c>
    </row>
    <row r="1706">
      <c r="A1706" s="13">
        <f>CHAIN_RAW!A1706</f>
        <v/>
      </c>
      <c r="B1706" s="14">
        <f>CHAIN_RAW!B1706</f>
        <v/>
      </c>
      <c r="C1706" s="13">
        <f>CHAIN_RAW!C1706</f>
        <v/>
      </c>
      <c r="D1706" s="13">
        <f>CHAIN_RAW!D1706</f>
        <v/>
      </c>
      <c r="E1706" s="13">
        <f>CHAIN_RAW!E1706</f>
        <v/>
      </c>
      <c r="F1706" s="13">
        <f>IFERROR((E1706-D1706)/D1706,"")</f>
        <v/>
      </c>
      <c r="G1706" s="13">
        <f>IFERROR((CHAIN_RAW!K1706+CHAIN_RAW!L1706)/2,"")</f>
        <v/>
      </c>
      <c r="H1706" s="13">
        <f>IFERROR((CHAIN_RAW!R1706+CHAIN_RAW!S1706)/2,"")</f>
        <v/>
      </c>
      <c r="I1706" s="13">
        <f>IFERROR((CHAIN_RAW!L1706-CHAIN_RAW!K1706)/MAX(1E-9, G1706),"")</f>
        <v/>
      </c>
      <c r="J1706" s="13">
        <f>IFERROR((CHAIN_RAW!S1706-CHAIN_RAW!R1706)/MAX(1E-9, H1706),"")</f>
        <v/>
      </c>
      <c r="K1706" s="13">
        <f>CHAIN_RAW!G1706</f>
        <v/>
      </c>
      <c r="L1706" s="13">
        <f>CHAIN_RAW!N1706</f>
        <v/>
      </c>
      <c r="M1706" s="13">
        <f>IFERROR(L1706-K1706,"")</f>
        <v/>
      </c>
      <c r="N1706" s="13">
        <f>CHAIN_RAW!H1706</f>
        <v/>
      </c>
      <c r="O1706" s="13">
        <f>CHAIN_RAW!O1706</f>
        <v/>
      </c>
      <c r="P1706" s="13">
        <f>IFERROR(O1706/N1706,"")</f>
        <v/>
      </c>
      <c r="Q1706" s="13">
        <f>CHAIN_RAW!I1706</f>
        <v/>
      </c>
      <c r="R1706" s="13">
        <f>CHAIN_RAW!P1706</f>
        <v/>
      </c>
      <c r="S1706" s="13">
        <f>IFERROR(R1706/Q1706,"")</f>
        <v/>
      </c>
      <c r="T1706" s="13">
        <f>IFERROR((ABS(N1706-O1706)/MAX(1,(N1706+O1706)))*EXP(-ABS(E1706-CONTROL!E5)/MAX(1,CONTROL!B8)),"")</f>
        <v/>
      </c>
      <c r="U1706" s="13">
        <f>IFERROR(IF(O1706&gt;N1706,"SUPPORT (PE OI)","RESIST (CE OI)"),"")</f>
        <v/>
      </c>
      <c r="V1706" s="13">
        <f>IFERROR(IF(Q1706&gt;0,IF(R1706&gt;0,"BOTH_ADD","CE_ADD_PE_REDUCE"),IF(R1706&gt;0,"CE_REDUCE_PE_ADD","BOTH_REDUCE")),"")</f>
        <v/>
      </c>
      <c r="W1706" s="13">
        <f>IFERROR( (P1706-1)*0.5 + (M1706)*0.1 - (I1706+J1706)*0.05 + T1706*0.4 ,"")</f>
        <v/>
      </c>
      <c r="X1706" s="13">
        <f>IFERROR(IF(ABS(F1706)&lt;0.01,"ATM/NEAR",""),"")</f>
        <v/>
      </c>
    </row>
    <row r="1707">
      <c r="A1707" s="13">
        <f>CHAIN_RAW!A1707</f>
        <v/>
      </c>
      <c r="B1707" s="14">
        <f>CHAIN_RAW!B1707</f>
        <v/>
      </c>
      <c r="C1707" s="13">
        <f>CHAIN_RAW!C1707</f>
        <v/>
      </c>
      <c r="D1707" s="13">
        <f>CHAIN_RAW!D1707</f>
        <v/>
      </c>
      <c r="E1707" s="13">
        <f>CHAIN_RAW!E1707</f>
        <v/>
      </c>
      <c r="F1707" s="13">
        <f>IFERROR((E1707-D1707)/D1707,"")</f>
        <v/>
      </c>
      <c r="G1707" s="13">
        <f>IFERROR((CHAIN_RAW!K1707+CHAIN_RAW!L1707)/2,"")</f>
        <v/>
      </c>
      <c r="H1707" s="13">
        <f>IFERROR((CHAIN_RAW!R1707+CHAIN_RAW!S1707)/2,"")</f>
        <v/>
      </c>
      <c r="I1707" s="13">
        <f>IFERROR((CHAIN_RAW!L1707-CHAIN_RAW!K1707)/MAX(1E-9, G1707),"")</f>
        <v/>
      </c>
      <c r="J1707" s="13">
        <f>IFERROR((CHAIN_RAW!S1707-CHAIN_RAW!R1707)/MAX(1E-9, H1707),"")</f>
        <v/>
      </c>
      <c r="K1707" s="13">
        <f>CHAIN_RAW!G1707</f>
        <v/>
      </c>
      <c r="L1707" s="13">
        <f>CHAIN_RAW!N1707</f>
        <v/>
      </c>
      <c r="M1707" s="13">
        <f>IFERROR(L1707-K1707,"")</f>
        <v/>
      </c>
      <c r="N1707" s="13">
        <f>CHAIN_RAW!H1707</f>
        <v/>
      </c>
      <c r="O1707" s="13">
        <f>CHAIN_RAW!O1707</f>
        <v/>
      </c>
      <c r="P1707" s="13">
        <f>IFERROR(O1707/N1707,"")</f>
        <v/>
      </c>
      <c r="Q1707" s="13">
        <f>CHAIN_RAW!I1707</f>
        <v/>
      </c>
      <c r="R1707" s="13">
        <f>CHAIN_RAW!P1707</f>
        <v/>
      </c>
      <c r="S1707" s="13">
        <f>IFERROR(R1707/Q1707,"")</f>
        <v/>
      </c>
      <c r="T1707" s="13">
        <f>IFERROR((ABS(N1707-O1707)/MAX(1,(N1707+O1707)))*EXP(-ABS(E1707-CONTROL!E5)/MAX(1,CONTROL!B8)),"")</f>
        <v/>
      </c>
      <c r="U1707" s="13">
        <f>IFERROR(IF(O1707&gt;N1707,"SUPPORT (PE OI)","RESIST (CE OI)"),"")</f>
        <v/>
      </c>
      <c r="V1707" s="13">
        <f>IFERROR(IF(Q1707&gt;0,IF(R1707&gt;0,"BOTH_ADD","CE_ADD_PE_REDUCE"),IF(R1707&gt;0,"CE_REDUCE_PE_ADD","BOTH_REDUCE")),"")</f>
        <v/>
      </c>
      <c r="W1707" s="13">
        <f>IFERROR( (P1707-1)*0.5 + (M1707)*0.1 - (I1707+J1707)*0.05 + T1707*0.4 ,"")</f>
        <v/>
      </c>
      <c r="X1707" s="13">
        <f>IFERROR(IF(ABS(F1707)&lt;0.01,"ATM/NEAR",""),"")</f>
        <v/>
      </c>
    </row>
    <row r="1708">
      <c r="A1708" s="13">
        <f>CHAIN_RAW!A1708</f>
        <v/>
      </c>
      <c r="B1708" s="14">
        <f>CHAIN_RAW!B1708</f>
        <v/>
      </c>
      <c r="C1708" s="13">
        <f>CHAIN_RAW!C1708</f>
        <v/>
      </c>
      <c r="D1708" s="13">
        <f>CHAIN_RAW!D1708</f>
        <v/>
      </c>
      <c r="E1708" s="13">
        <f>CHAIN_RAW!E1708</f>
        <v/>
      </c>
      <c r="F1708" s="13">
        <f>IFERROR((E1708-D1708)/D1708,"")</f>
        <v/>
      </c>
      <c r="G1708" s="13">
        <f>IFERROR((CHAIN_RAW!K1708+CHAIN_RAW!L1708)/2,"")</f>
        <v/>
      </c>
      <c r="H1708" s="13">
        <f>IFERROR((CHAIN_RAW!R1708+CHAIN_RAW!S1708)/2,"")</f>
        <v/>
      </c>
      <c r="I1708" s="13">
        <f>IFERROR((CHAIN_RAW!L1708-CHAIN_RAW!K1708)/MAX(1E-9, G1708),"")</f>
        <v/>
      </c>
      <c r="J1708" s="13">
        <f>IFERROR((CHAIN_RAW!S1708-CHAIN_RAW!R1708)/MAX(1E-9, H1708),"")</f>
        <v/>
      </c>
      <c r="K1708" s="13">
        <f>CHAIN_RAW!G1708</f>
        <v/>
      </c>
      <c r="L1708" s="13">
        <f>CHAIN_RAW!N1708</f>
        <v/>
      </c>
      <c r="M1708" s="13">
        <f>IFERROR(L1708-K1708,"")</f>
        <v/>
      </c>
      <c r="N1708" s="13">
        <f>CHAIN_RAW!H1708</f>
        <v/>
      </c>
      <c r="O1708" s="13">
        <f>CHAIN_RAW!O1708</f>
        <v/>
      </c>
      <c r="P1708" s="13">
        <f>IFERROR(O1708/N1708,"")</f>
        <v/>
      </c>
      <c r="Q1708" s="13">
        <f>CHAIN_RAW!I1708</f>
        <v/>
      </c>
      <c r="R1708" s="13">
        <f>CHAIN_RAW!P1708</f>
        <v/>
      </c>
      <c r="S1708" s="13">
        <f>IFERROR(R1708/Q1708,"")</f>
        <v/>
      </c>
      <c r="T1708" s="13">
        <f>IFERROR((ABS(N1708-O1708)/MAX(1,(N1708+O1708)))*EXP(-ABS(E1708-CONTROL!E5)/MAX(1,CONTROL!B8)),"")</f>
        <v/>
      </c>
      <c r="U1708" s="13">
        <f>IFERROR(IF(O1708&gt;N1708,"SUPPORT (PE OI)","RESIST (CE OI)"),"")</f>
        <v/>
      </c>
      <c r="V1708" s="13">
        <f>IFERROR(IF(Q1708&gt;0,IF(R1708&gt;0,"BOTH_ADD","CE_ADD_PE_REDUCE"),IF(R1708&gt;0,"CE_REDUCE_PE_ADD","BOTH_REDUCE")),"")</f>
        <v/>
      </c>
      <c r="W1708" s="13">
        <f>IFERROR( (P1708-1)*0.5 + (M1708)*0.1 - (I1708+J1708)*0.05 + T1708*0.4 ,"")</f>
        <v/>
      </c>
      <c r="X1708" s="13">
        <f>IFERROR(IF(ABS(F1708)&lt;0.01,"ATM/NEAR",""),"")</f>
        <v/>
      </c>
    </row>
    <row r="1709">
      <c r="A1709" s="13">
        <f>CHAIN_RAW!A1709</f>
        <v/>
      </c>
      <c r="B1709" s="14">
        <f>CHAIN_RAW!B1709</f>
        <v/>
      </c>
      <c r="C1709" s="13">
        <f>CHAIN_RAW!C1709</f>
        <v/>
      </c>
      <c r="D1709" s="13">
        <f>CHAIN_RAW!D1709</f>
        <v/>
      </c>
      <c r="E1709" s="13">
        <f>CHAIN_RAW!E1709</f>
        <v/>
      </c>
      <c r="F1709" s="13">
        <f>IFERROR((E1709-D1709)/D1709,"")</f>
        <v/>
      </c>
      <c r="G1709" s="13">
        <f>IFERROR((CHAIN_RAW!K1709+CHAIN_RAW!L1709)/2,"")</f>
        <v/>
      </c>
      <c r="H1709" s="13">
        <f>IFERROR((CHAIN_RAW!R1709+CHAIN_RAW!S1709)/2,"")</f>
        <v/>
      </c>
      <c r="I1709" s="13">
        <f>IFERROR((CHAIN_RAW!L1709-CHAIN_RAW!K1709)/MAX(1E-9, G1709),"")</f>
        <v/>
      </c>
      <c r="J1709" s="13">
        <f>IFERROR((CHAIN_RAW!S1709-CHAIN_RAW!R1709)/MAX(1E-9, H1709),"")</f>
        <v/>
      </c>
      <c r="K1709" s="13">
        <f>CHAIN_RAW!G1709</f>
        <v/>
      </c>
      <c r="L1709" s="13">
        <f>CHAIN_RAW!N1709</f>
        <v/>
      </c>
      <c r="M1709" s="13">
        <f>IFERROR(L1709-K1709,"")</f>
        <v/>
      </c>
      <c r="N1709" s="13">
        <f>CHAIN_RAW!H1709</f>
        <v/>
      </c>
      <c r="O1709" s="13">
        <f>CHAIN_RAW!O1709</f>
        <v/>
      </c>
      <c r="P1709" s="13">
        <f>IFERROR(O1709/N1709,"")</f>
        <v/>
      </c>
      <c r="Q1709" s="13">
        <f>CHAIN_RAW!I1709</f>
        <v/>
      </c>
      <c r="R1709" s="13">
        <f>CHAIN_RAW!P1709</f>
        <v/>
      </c>
      <c r="S1709" s="13">
        <f>IFERROR(R1709/Q1709,"")</f>
        <v/>
      </c>
      <c r="T1709" s="13">
        <f>IFERROR((ABS(N1709-O1709)/MAX(1,(N1709+O1709)))*EXP(-ABS(E1709-CONTROL!E5)/MAX(1,CONTROL!B8)),"")</f>
        <v/>
      </c>
      <c r="U1709" s="13">
        <f>IFERROR(IF(O1709&gt;N1709,"SUPPORT (PE OI)","RESIST (CE OI)"),"")</f>
        <v/>
      </c>
      <c r="V1709" s="13">
        <f>IFERROR(IF(Q1709&gt;0,IF(R1709&gt;0,"BOTH_ADD","CE_ADD_PE_REDUCE"),IF(R1709&gt;0,"CE_REDUCE_PE_ADD","BOTH_REDUCE")),"")</f>
        <v/>
      </c>
      <c r="W1709" s="13">
        <f>IFERROR( (P1709-1)*0.5 + (M1709)*0.1 - (I1709+J1709)*0.05 + T1709*0.4 ,"")</f>
        <v/>
      </c>
      <c r="X1709" s="13">
        <f>IFERROR(IF(ABS(F1709)&lt;0.01,"ATM/NEAR",""),"")</f>
        <v/>
      </c>
    </row>
    <row r="1710">
      <c r="A1710" s="13">
        <f>CHAIN_RAW!A1710</f>
        <v/>
      </c>
      <c r="B1710" s="14">
        <f>CHAIN_RAW!B1710</f>
        <v/>
      </c>
      <c r="C1710" s="13">
        <f>CHAIN_RAW!C1710</f>
        <v/>
      </c>
      <c r="D1710" s="13">
        <f>CHAIN_RAW!D1710</f>
        <v/>
      </c>
      <c r="E1710" s="13">
        <f>CHAIN_RAW!E1710</f>
        <v/>
      </c>
      <c r="F1710" s="13">
        <f>IFERROR((E1710-D1710)/D1710,"")</f>
        <v/>
      </c>
      <c r="G1710" s="13">
        <f>IFERROR((CHAIN_RAW!K1710+CHAIN_RAW!L1710)/2,"")</f>
        <v/>
      </c>
      <c r="H1710" s="13">
        <f>IFERROR((CHAIN_RAW!R1710+CHAIN_RAW!S1710)/2,"")</f>
        <v/>
      </c>
      <c r="I1710" s="13">
        <f>IFERROR((CHAIN_RAW!L1710-CHAIN_RAW!K1710)/MAX(1E-9, G1710),"")</f>
        <v/>
      </c>
      <c r="J1710" s="13">
        <f>IFERROR((CHAIN_RAW!S1710-CHAIN_RAW!R1710)/MAX(1E-9, H1710),"")</f>
        <v/>
      </c>
      <c r="K1710" s="13">
        <f>CHAIN_RAW!G1710</f>
        <v/>
      </c>
      <c r="L1710" s="13">
        <f>CHAIN_RAW!N1710</f>
        <v/>
      </c>
      <c r="M1710" s="13">
        <f>IFERROR(L1710-K1710,"")</f>
        <v/>
      </c>
      <c r="N1710" s="13">
        <f>CHAIN_RAW!H1710</f>
        <v/>
      </c>
      <c r="O1710" s="13">
        <f>CHAIN_RAW!O1710</f>
        <v/>
      </c>
      <c r="P1710" s="13">
        <f>IFERROR(O1710/N1710,"")</f>
        <v/>
      </c>
      <c r="Q1710" s="13">
        <f>CHAIN_RAW!I1710</f>
        <v/>
      </c>
      <c r="R1710" s="13">
        <f>CHAIN_RAW!P1710</f>
        <v/>
      </c>
      <c r="S1710" s="13">
        <f>IFERROR(R1710/Q1710,"")</f>
        <v/>
      </c>
      <c r="T1710" s="13">
        <f>IFERROR((ABS(N1710-O1710)/MAX(1,(N1710+O1710)))*EXP(-ABS(E1710-CONTROL!E5)/MAX(1,CONTROL!B8)),"")</f>
        <v/>
      </c>
      <c r="U1710" s="13">
        <f>IFERROR(IF(O1710&gt;N1710,"SUPPORT (PE OI)","RESIST (CE OI)"),"")</f>
        <v/>
      </c>
      <c r="V1710" s="13">
        <f>IFERROR(IF(Q1710&gt;0,IF(R1710&gt;0,"BOTH_ADD","CE_ADD_PE_REDUCE"),IF(R1710&gt;0,"CE_REDUCE_PE_ADD","BOTH_REDUCE")),"")</f>
        <v/>
      </c>
      <c r="W1710" s="13">
        <f>IFERROR( (P1710-1)*0.5 + (M1710)*0.1 - (I1710+J1710)*0.05 + T1710*0.4 ,"")</f>
        <v/>
      </c>
      <c r="X1710" s="13">
        <f>IFERROR(IF(ABS(F1710)&lt;0.01,"ATM/NEAR",""),"")</f>
        <v/>
      </c>
    </row>
    <row r="1711">
      <c r="A1711" s="13">
        <f>CHAIN_RAW!A1711</f>
        <v/>
      </c>
      <c r="B1711" s="14">
        <f>CHAIN_RAW!B1711</f>
        <v/>
      </c>
      <c r="C1711" s="13">
        <f>CHAIN_RAW!C1711</f>
        <v/>
      </c>
      <c r="D1711" s="13">
        <f>CHAIN_RAW!D1711</f>
        <v/>
      </c>
      <c r="E1711" s="13">
        <f>CHAIN_RAW!E1711</f>
        <v/>
      </c>
      <c r="F1711" s="13">
        <f>IFERROR((E1711-D1711)/D1711,"")</f>
        <v/>
      </c>
      <c r="G1711" s="13">
        <f>IFERROR((CHAIN_RAW!K1711+CHAIN_RAW!L1711)/2,"")</f>
        <v/>
      </c>
      <c r="H1711" s="13">
        <f>IFERROR((CHAIN_RAW!R1711+CHAIN_RAW!S1711)/2,"")</f>
        <v/>
      </c>
      <c r="I1711" s="13">
        <f>IFERROR((CHAIN_RAW!L1711-CHAIN_RAW!K1711)/MAX(1E-9, G1711),"")</f>
        <v/>
      </c>
      <c r="J1711" s="13">
        <f>IFERROR((CHAIN_RAW!S1711-CHAIN_RAW!R1711)/MAX(1E-9, H1711),"")</f>
        <v/>
      </c>
      <c r="K1711" s="13">
        <f>CHAIN_RAW!G1711</f>
        <v/>
      </c>
      <c r="L1711" s="13">
        <f>CHAIN_RAW!N1711</f>
        <v/>
      </c>
      <c r="M1711" s="13">
        <f>IFERROR(L1711-K1711,"")</f>
        <v/>
      </c>
      <c r="N1711" s="13">
        <f>CHAIN_RAW!H1711</f>
        <v/>
      </c>
      <c r="O1711" s="13">
        <f>CHAIN_RAW!O1711</f>
        <v/>
      </c>
      <c r="P1711" s="13">
        <f>IFERROR(O1711/N1711,"")</f>
        <v/>
      </c>
      <c r="Q1711" s="13">
        <f>CHAIN_RAW!I1711</f>
        <v/>
      </c>
      <c r="R1711" s="13">
        <f>CHAIN_RAW!P1711</f>
        <v/>
      </c>
      <c r="S1711" s="13">
        <f>IFERROR(R1711/Q1711,"")</f>
        <v/>
      </c>
      <c r="T1711" s="13">
        <f>IFERROR((ABS(N1711-O1711)/MAX(1,(N1711+O1711)))*EXP(-ABS(E1711-CONTROL!E5)/MAX(1,CONTROL!B8)),"")</f>
        <v/>
      </c>
      <c r="U1711" s="13">
        <f>IFERROR(IF(O1711&gt;N1711,"SUPPORT (PE OI)","RESIST (CE OI)"),"")</f>
        <v/>
      </c>
      <c r="V1711" s="13">
        <f>IFERROR(IF(Q1711&gt;0,IF(R1711&gt;0,"BOTH_ADD","CE_ADD_PE_REDUCE"),IF(R1711&gt;0,"CE_REDUCE_PE_ADD","BOTH_REDUCE")),"")</f>
        <v/>
      </c>
      <c r="W1711" s="13">
        <f>IFERROR( (P1711-1)*0.5 + (M1711)*0.1 - (I1711+J1711)*0.05 + T1711*0.4 ,"")</f>
        <v/>
      </c>
      <c r="X1711" s="13">
        <f>IFERROR(IF(ABS(F1711)&lt;0.01,"ATM/NEAR",""),"")</f>
        <v/>
      </c>
    </row>
    <row r="1712">
      <c r="A1712" s="13">
        <f>CHAIN_RAW!A1712</f>
        <v/>
      </c>
      <c r="B1712" s="14">
        <f>CHAIN_RAW!B1712</f>
        <v/>
      </c>
      <c r="C1712" s="13">
        <f>CHAIN_RAW!C1712</f>
        <v/>
      </c>
      <c r="D1712" s="13">
        <f>CHAIN_RAW!D1712</f>
        <v/>
      </c>
      <c r="E1712" s="13">
        <f>CHAIN_RAW!E1712</f>
        <v/>
      </c>
      <c r="F1712" s="13">
        <f>IFERROR((E1712-D1712)/D1712,"")</f>
        <v/>
      </c>
      <c r="G1712" s="13">
        <f>IFERROR((CHAIN_RAW!K1712+CHAIN_RAW!L1712)/2,"")</f>
        <v/>
      </c>
      <c r="H1712" s="13">
        <f>IFERROR((CHAIN_RAW!R1712+CHAIN_RAW!S1712)/2,"")</f>
        <v/>
      </c>
      <c r="I1712" s="13">
        <f>IFERROR((CHAIN_RAW!L1712-CHAIN_RAW!K1712)/MAX(1E-9, G1712),"")</f>
        <v/>
      </c>
      <c r="J1712" s="13">
        <f>IFERROR((CHAIN_RAW!S1712-CHAIN_RAW!R1712)/MAX(1E-9, H1712),"")</f>
        <v/>
      </c>
      <c r="K1712" s="13">
        <f>CHAIN_RAW!G1712</f>
        <v/>
      </c>
      <c r="L1712" s="13">
        <f>CHAIN_RAW!N1712</f>
        <v/>
      </c>
      <c r="M1712" s="13">
        <f>IFERROR(L1712-K1712,"")</f>
        <v/>
      </c>
      <c r="N1712" s="13">
        <f>CHAIN_RAW!H1712</f>
        <v/>
      </c>
      <c r="O1712" s="13">
        <f>CHAIN_RAW!O1712</f>
        <v/>
      </c>
      <c r="P1712" s="13">
        <f>IFERROR(O1712/N1712,"")</f>
        <v/>
      </c>
      <c r="Q1712" s="13">
        <f>CHAIN_RAW!I1712</f>
        <v/>
      </c>
      <c r="R1712" s="13">
        <f>CHAIN_RAW!P1712</f>
        <v/>
      </c>
      <c r="S1712" s="13">
        <f>IFERROR(R1712/Q1712,"")</f>
        <v/>
      </c>
      <c r="T1712" s="13">
        <f>IFERROR((ABS(N1712-O1712)/MAX(1,(N1712+O1712)))*EXP(-ABS(E1712-CONTROL!E5)/MAX(1,CONTROL!B8)),"")</f>
        <v/>
      </c>
      <c r="U1712" s="13">
        <f>IFERROR(IF(O1712&gt;N1712,"SUPPORT (PE OI)","RESIST (CE OI)"),"")</f>
        <v/>
      </c>
      <c r="V1712" s="13">
        <f>IFERROR(IF(Q1712&gt;0,IF(R1712&gt;0,"BOTH_ADD","CE_ADD_PE_REDUCE"),IF(R1712&gt;0,"CE_REDUCE_PE_ADD","BOTH_REDUCE")),"")</f>
        <v/>
      </c>
      <c r="W1712" s="13">
        <f>IFERROR( (P1712-1)*0.5 + (M1712)*0.1 - (I1712+J1712)*0.05 + T1712*0.4 ,"")</f>
        <v/>
      </c>
      <c r="X1712" s="13">
        <f>IFERROR(IF(ABS(F1712)&lt;0.01,"ATM/NEAR",""),"")</f>
        <v/>
      </c>
    </row>
    <row r="1713">
      <c r="A1713" s="13">
        <f>CHAIN_RAW!A1713</f>
        <v/>
      </c>
      <c r="B1713" s="14">
        <f>CHAIN_RAW!B1713</f>
        <v/>
      </c>
      <c r="C1713" s="13">
        <f>CHAIN_RAW!C1713</f>
        <v/>
      </c>
      <c r="D1713" s="13">
        <f>CHAIN_RAW!D1713</f>
        <v/>
      </c>
      <c r="E1713" s="13">
        <f>CHAIN_RAW!E1713</f>
        <v/>
      </c>
      <c r="F1713" s="13">
        <f>IFERROR((E1713-D1713)/D1713,"")</f>
        <v/>
      </c>
      <c r="G1713" s="13">
        <f>IFERROR((CHAIN_RAW!K1713+CHAIN_RAW!L1713)/2,"")</f>
        <v/>
      </c>
      <c r="H1713" s="13">
        <f>IFERROR((CHAIN_RAW!R1713+CHAIN_RAW!S1713)/2,"")</f>
        <v/>
      </c>
      <c r="I1713" s="13">
        <f>IFERROR((CHAIN_RAW!L1713-CHAIN_RAW!K1713)/MAX(1E-9, G1713),"")</f>
        <v/>
      </c>
      <c r="J1713" s="13">
        <f>IFERROR((CHAIN_RAW!S1713-CHAIN_RAW!R1713)/MAX(1E-9, H1713),"")</f>
        <v/>
      </c>
      <c r="K1713" s="13">
        <f>CHAIN_RAW!G1713</f>
        <v/>
      </c>
      <c r="L1713" s="13">
        <f>CHAIN_RAW!N1713</f>
        <v/>
      </c>
      <c r="M1713" s="13">
        <f>IFERROR(L1713-K1713,"")</f>
        <v/>
      </c>
      <c r="N1713" s="13">
        <f>CHAIN_RAW!H1713</f>
        <v/>
      </c>
      <c r="O1713" s="13">
        <f>CHAIN_RAW!O1713</f>
        <v/>
      </c>
      <c r="P1713" s="13">
        <f>IFERROR(O1713/N1713,"")</f>
        <v/>
      </c>
      <c r="Q1713" s="13">
        <f>CHAIN_RAW!I1713</f>
        <v/>
      </c>
      <c r="R1713" s="13">
        <f>CHAIN_RAW!P1713</f>
        <v/>
      </c>
      <c r="S1713" s="13">
        <f>IFERROR(R1713/Q1713,"")</f>
        <v/>
      </c>
      <c r="T1713" s="13">
        <f>IFERROR((ABS(N1713-O1713)/MAX(1,(N1713+O1713)))*EXP(-ABS(E1713-CONTROL!E5)/MAX(1,CONTROL!B8)),"")</f>
        <v/>
      </c>
      <c r="U1713" s="13">
        <f>IFERROR(IF(O1713&gt;N1713,"SUPPORT (PE OI)","RESIST (CE OI)"),"")</f>
        <v/>
      </c>
      <c r="V1713" s="13">
        <f>IFERROR(IF(Q1713&gt;0,IF(R1713&gt;0,"BOTH_ADD","CE_ADD_PE_REDUCE"),IF(R1713&gt;0,"CE_REDUCE_PE_ADD","BOTH_REDUCE")),"")</f>
        <v/>
      </c>
      <c r="W1713" s="13">
        <f>IFERROR( (P1713-1)*0.5 + (M1713)*0.1 - (I1713+J1713)*0.05 + T1713*0.4 ,"")</f>
        <v/>
      </c>
      <c r="X1713" s="13">
        <f>IFERROR(IF(ABS(F1713)&lt;0.01,"ATM/NEAR",""),"")</f>
        <v/>
      </c>
    </row>
    <row r="1714">
      <c r="A1714" s="13">
        <f>CHAIN_RAW!A1714</f>
        <v/>
      </c>
      <c r="B1714" s="14">
        <f>CHAIN_RAW!B1714</f>
        <v/>
      </c>
      <c r="C1714" s="13">
        <f>CHAIN_RAW!C1714</f>
        <v/>
      </c>
      <c r="D1714" s="13">
        <f>CHAIN_RAW!D1714</f>
        <v/>
      </c>
      <c r="E1714" s="13">
        <f>CHAIN_RAW!E1714</f>
        <v/>
      </c>
      <c r="F1714" s="13">
        <f>IFERROR((E1714-D1714)/D1714,"")</f>
        <v/>
      </c>
      <c r="G1714" s="13">
        <f>IFERROR((CHAIN_RAW!K1714+CHAIN_RAW!L1714)/2,"")</f>
        <v/>
      </c>
      <c r="H1714" s="13">
        <f>IFERROR((CHAIN_RAW!R1714+CHAIN_RAW!S1714)/2,"")</f>
        <v/>
      </c>
      <c r="I1714" s="13">
        <f>IFERROR((CHAIN_RAW!L1714-CHAIN_RAW!K1714)/MAX(1E-9, G1714),"")</f>
        <v/>
      </c>
      <c r="J1714" s="13">
        <f>IFERROR((CHAIN_RAW!S1714-CHAIN_RAW!R1714)/MAX(1E-9, H1714),"")</f>
        <v/>
      </c>
      <c r="K1714" s="13">
        <f>CHAIN_RAW!G1714</f>
        <v/>
      </c>
      <c r="L1714" s="13">
        <f>CHAIN_RAW!N1714</f>
        <v/>
      </c>
      <c r="M1714" s="13">
        <f>IFERROR(L1714-K1714,"")</f>
        <v/>
      </c>
      <c r="N1714" s="13">
        <f>CHAIN_RAW!H1714</f>
        <v/>
      </c>
      <c r="O1714" s="13">
        <f>CHAIN_RAW!O1714</f>
        <v/>
      </c>
      <c r="P1714" s="13">
        <f>IFERROR(O1714/N1714,"")</f>
        <v/>
      </c>
      <c r="Q1714" s="13">
        <f>CHAIN_RAW!I1714</f>
        <v/>
      </c>
      <c r="R1714" s="13">
        <f>CHAIN_RAW!P1714</f>
        <v/>
      </c>
      <c r="S1714" s="13">
        <f>IFERROR(R1714/Q1714,"")</f>
        <v/>
      </c>
      <c r="T1714" s="13">
        <f>IFERROR((ABS(N1714-O1714)/MAX(1,(N1714+O1714)))*EXP(-ABS(E1714-CONTROL!E5)/MAX(1,CONTROL!B8)),"")</f>
        <v/>
      </c>
      <c r="U1714" s="13">
        <f>IFERROR(IF(O1714&gt;N1714,"SUPPORT (PE OI)","RESIST (CE OI)"),"")</f>
        <v/>
      </c>
      <c r="V1714" s="13">
        <f>IFERROR(IF(Q1714&gt;0,IF(R1714&gt;0,"BOTH_ADD","CE_ADD_PE_REDUCE"),IF(R1714&gt;0,"CE_REDUCE_PE_ADD","BOTH_REDUCE")),"")</f>
        <v/>
      </c>
      <c r="W1714" s="13">
        <f>IFERROR( (P1714-1)*0.5 + (M1714)*0.1 - (I1714+J1714)*0.05 + T1714*0.4 ,"")</f>
        <v/>
      </c>
      <c r="X1714" s="13">
        <f>IFERROR(IF(ABS(F1714)&lt;0.01,"ATM/NEAR",""),"")</f>
        <v/>
      </c>
    </row>
    <row r="1715">
      <c r="A1715" s="13">
        <f>CHAIN_RAW!A1715</f>
        <v/>
      </c>
      <c r="B1715" s="14">
        <f>CHAIN_RAW!B1715</f>
        <v/>
      </c>
      <c r="C1715" s="13">
        <f>CHAIN_RAW!C1715</f>
        <v/>
      </c>
      <c r="D1715" s="13">
        <f>CHAIN_RAW!D1715</f>
        <v/>
      </c>
      <c r="E1715" s="13">
        <f>CHAIN_RAW!E1715</f>
        <v/>
      </c>
      <c r="F1715" s="13">
        <f>IFERROR((E1715-D1715)/D1715,"")</f>
        <v/>
      </c>
      <c r="G1715" s="13">
        <f>IFERROR((CHAIN_RAW!K1715+CHAIN_RAW!L1715)/2,"")</f>
        <v/>
      </c>
      <c r="H1715" s="13">
        <f>IFERROR((CHAIN_RAW!R1715+CHAIN_RAW!S1715)/2,"")</f>
        <v/>
      </c>
      <c r="I1715" s="13">
        <f>IFERROR((CHAIN_RAW!L1715-CHAIN_RAW!K1715)/MAX(1E-9, G1715),"")</f>
        <v/>
      </c>
      <c r="J1715" s="13">
        <f>IFERROR((CHAIN_RAW!S1715-CHAIN_RAW!R1715)/MAX(1E-9, H1715),"")</f>
        <v/>
      </c>
      <c r="K1715" s="13">
        <f>CHAIN_RAW!G1715</f>
        <v/>
      </c>
      <c r="L1715" s="13">
        <f>CHAIN_RAW!N1715</f>
        <v/>
      </c>
      <c r="M1715" s="13">
        <f>IFERROR(L1715-K1715,"")</f>
        <v/>
      </c>
      <c r="N1715" s="13">
        <f>CHAIN_RAW!H1715</f>
        <v/>
      </c>
      <c r="O1715" s="13">
        <f>CHAIN_RAW!O1715</f>
        <v/>
      </c>
      <c r="P1715" s="13">
        <f>IFERROR(O1715/N1715,"")</f>
        <v/>
      </c>
      <c r="Q1715" s="13">
        <f>CHAIN_RAW!I1715</f>
        <v/>
      </c>
      <c r="R1715" s="13">
        <f>CHAIN_RAW!P1715</f>
        <v/>
      </c>
      <c r="S1715" s="13">
        <f>IFERROR(R1715/Q1715,"")</f>
        <v/>
      </c>
      <c r="T1715" s="13">
        <f>IFERROR((ABS(N1715-O1715)/MAX(1,(N1715+O1715)))*EXP(-ABS(E1715-CONTROL!E5)/MAX(1,CONTROL!B8)),"")</f>
        <v/>
      </c>
      <c r="U1715" s="13">
        <f>IFERROR(IF(O1715&gt;N1715,"SUPPORT (PE OI)","RESIST (CE OI)"),"")</f>
        <v/>
      </c>
      <c r="V1715" s="13">
        <f>IFERROR(IF(Q1715&gt;0,IF(R1715&gt;0,"BOTH_ADD","CE_ADD_PE_REDUCE"),IF(R1715&gt;0,"CE_REDUCE_PE_ADD","BOTH_REDUCE")),"")</f>
        <v/>
      </c>
      <c r="W1715" s="13">
        <f>IFERROR( (P1715-1)*0.5 + (M1715)*0.1 - (I1715+J1715)*0.05 + T1715*0.4 ,"")</f>
        <v/>
      </c>
      <c r="X1715" s="13">
        <f>IFERROR(IF(ABS(F1715)&lt;0.01,"ATM/NEAR",""),"")</f>
        <v/>
      </c>
    </row>
    <row r="1716">
      <c r="A1716" s="13">
        <f>CHAIN_RAW!A1716</f>
        <v/>
      </c>
      <c r="B1716" s="14">
        <f>CHAIN_RAW!B1716</f>
        <v/>
      </c>
      <c r="C1716" s="13">
        <f>CHAIN_RAW!C1716</f>
        <v/>
      </c>
      <c r="D1716" s="13">
        <f>CHAIN_RAW!D1716</f>
        <v/>
      </c>
      <c r="E1716" s="13">
        <f>CHAIN_RAW!E1716</f>
        <v/>
      </c>
      <c r="F1716" s="13">
        <f>IFERROR((E1716-D1716)/D1716,"")</f>
        <v/>
      </c>
      <c r="G1716" s="13">
        <f>IFERROR((CHAIN_RAW!K1716+CHAIN_RAW!L1716)/2,"")</f>
        <v/>
      </c>
      <c r="H1716" s="13">
        <f>IFERROR((CHAIN_RAW!R1716+CHAIN_RAW!S1716)/2,"")</f>
        <v/>
      </c>
      <c r="I1716" s="13">
        <f>IFERROR((CHAIN_RAW!L1716-CHAIN_RAW!K1716)/MAX(1E-9, G1716),"")</f>
        <v/>
      </c>
      <c r="J1716" s="13">
        <f>IFERROR((CHAIN_RAW!S1716-CHAIN_RAW!R1716)/MAX(1E-9, H1716),"")</f>
        <v/>
      </c>
      <c r="K1716" s="13">
        <f>CHAIN_RAW!G1716</f>
        <v/>
      </c>
      <c r="L1716" s="13">
        <f>CHAIN_RAW!N1716</f>
        <v/>
      </c>
      <c r="M1716" s="13">
        <f>IFERROR(L1716-K1716,"")</f>
        <v/>
      </c>
      <c r="N1716" s="13">
        <f>CHAIN_RAW!H1716</f>
        <v/>
      </c>
      <c r="O1716" s="13">
        <f>CHAIN_RAW!O1716</f>
        <v/>
      </c>
      <c r="P1716" s="13">
        <f>IFERROR(O1716/N1716,"")</f>
        <v/>
      </c>
      <c r="Q1716" s="13">
        <f>CHAIN_RAW!I1716</f>
        <v/>
      </c>
      <c r="R1716" s="13">
        <f>CHAIN_RAW!P1716</f>
        <v/>
      </c>
      <c r="S1716" s="13">
        <f>IFERROR(R1716/Q1716,"")</f>
        <v/>
      </c>
      <c r="T1716" s="13">
        <f>IFERROR((ABS(N1716-O1716)/MAX(1,(N1716+O1716)))*EXP(-ABS(E1716-CONTROL!E5)/MAX(1,CONTROL!B8)),"")</f>
        <v/>
      </c>
      <c r="U1716" s="13">
        <f>IFERROR(IF(O1716&gt;N1716,"SUPPORT (PE OI)","RESIST (CE OI)"),"")</f>
        <v/>
      </c>
      <c r="V1716" s="13">
        <f>IFERROR(IF(Q1716&gt;0,IF(R1716&gt;0,"BOTH_ADD","CE_ADD_PE_REDUCE"),IF(R1716&gt;0,"CE_REDUCE_PE_ADD","BOTH_REDUCE")),"")</f>
        <v/>
      </c>
      <c r="W1716" s="13">
        <f>IFERROR( (P1716-1)*0.5 + (M1716)*0.1 - (I1716+J1716)*0.05 + T1716*0.4 ,"")</f>
        <v/>
      </c>
      <c r="X1716" s="13">
        <f>IFERROR(IF(ABS(F1716)&lt;0.01,"ATM/NEAR",""),"")</f>
        <v/>
      </c>
    </row>
    <row r="1717">
      <c r="A1717" s="13">
        <f>CHAIN_RAW!A1717</f>
        <v/>
      </c>
      <c r="B1717" s="14">
        <f>CHAIN_RAW!B1717</f>
        <v/>
      </c>
      <c r="C1717" s="13">
        <f>CHAIN_RAW!C1717</f>
        <v/>
      </c>
      <c r="D1717" s="13">
        <f>CHAIN_RAW!D1717</f>
        <v/>
      </c>
      <c r="E1717" s="13">
        <f>CHAIN_RAW!E1717</f>
        <v/>
      </c>
      <c r="F1717" s="13">
        <f>IFERROR((E1717-D1717)/D1717,"")</f>
        <v/>
      </c>
      <c r="G1717" s="13">
        <f>IFERROR((CHAIN_RAW!K1717+CHAIN_RAW!L1717)/2,"")</f>
        <v/>
      </c>
      <c r="H1717" s="13">
        <f>IFERROR((CHAIN_RAW!R1717+CHAIN_RAW!S1717)/2,"")</f>
        <v/>
      </c>
      <c r="I1717" s="13">
        <f>IFERROR((CHAIN_RAW!L1717-CHAIN_RAW!K1717)/MAX(1E-9, G1717),"")</f>
        <v/>
      </c>
      <c r="J1717" s="13">
        <f>IFERROR((CHAIN_RAW!S1717-CHAIN_RAW!R1717)/MAX(1E-9, H1717),"")</f>
        <v/>
      </c>
      <c r="K1717" s="13">
        <f>CHAIN_RAW!G1717</f>
        <v/>
      </c>
      <c r="L1717" s="13">
        <f>CHAIN_RAW!N1717</f>
        <v/>
      </c>
      <c r="M1717" s="13">
        <f>IFERROR(L1717-K1717,"")</f>
        <v/>
      </c>
      <c r="N1717" s="13">
        <f>CHAIN_RAW!H1717</f>
        <v/>
      </c>
      <c r="O1717" s="13">
        <f>CHAIN_RAW!O1717</f>
        <v/>
      </c>
      <c r="P1717" s="13">
        <f>IFERROR(O1717/N1717,"")</f>
        <v/>
      </c>
      <c r="Q1717" s="13">
        <f>CHAIN_RAW!I1717</f>
        <v/>
      </c>
      <c r="R1717" s="13">
        <f>CHAIN_RAW!P1717</f>
        <v/>
      </c>
      <c r="S1717" s="13">
        <f>IFERROR(R1717/Q1717,"")</f>
        <v/>
      </c>
      <c r="T1717" s="13">
        <f>IFERROR((ABS(N1717-O1717)/MAX(1,(N1717+O1717)))*EXP(-ABS(E1717-CONTROL!E5)/MAX(1,CONTROL!B8)),"")</f>
        <v/>
      </c>
      <c r="U1717" s="13">
        <f>IFERROR(IF(O1717&gt;N1717,"SUPPORT (PE OI)","RESIST (CE OI)"),"")</f>
        <v/>
      </c>
      <c r="V1717" s="13">
        <f>IFERROR(IF(Q1717&gt;0,IF(R1717&gt;0,"BOTH_ADD","CE_ADD_PE_REDUCE"),IF(R1717&gt;0,"CE_REDUCE_PE_ADD","BOTH_REDUCE")),"")</f>
        <v/>
      </c>
      <c r="W1717" s="13">
        <f>IFERROR( (P1717-1)*0.5 + (M1717)*0.1 - (I1717+J1717)*0.05 + T1717*0.4 ,"")</f>
        <v/>
      </c>
      <c r="X1717" s="13">
        <f>IFERROR(IF(ABS(F1717)&lt;0.01,"ATM/NEAR",""),"")</f>
        <v/>
      </c>
    </row>
    <row r="1718">
      <c r="A1718" s="13">
        <f>CHAIN_RAW!A1718</f>
        <v/>
      </c>
      <c r="B1718" s="14">
        <f>CHAIN_RAW!B1718</f>
        <v/>
      </c>
      <c r="C1718" s="13">
        <f>CHAIN_RAW!C1718</f>
        <v/>
      </c>
      <c r="D1718" s="13">
        <f>CHAIN_RAW!D1718</f>
        <v/>
      </c>
      <c r="E1718" s="13">
        <f>CHAIN_RAW!E1718</f>
        <v/>
      </c>
      <c r="F1718" s="13">
        <f>IFERROR((E1718-D1718)/D1718,"")</f>
        <v/>
      </c>
      <c r="G1718" s="13">
        <f>IFERROR((CHAIN_RAW!K1718+CHAIN_RAW!L1718)/2,"")</f>
        <v/>
      </c>
      <c r="H1718" s="13">
        <f>IFERROR((CHAIN_RAW!R1718+CHAIN_RAW!S1718)/2,"")</f>
        <v/>
      </c>
      <c r="I1718" s="13">
        <f>IFERROR((CHAIN_RAW!L1718-CHAIN_RAW!K1718)/MAX(1E-9, G1718),"")</f>
        <v/>
      </c>
      <c r="J1718" s="13">
        <f>IFERROR((CHAIN_RAW!S1718-CHAIN_RAW!R1718)/MAX(1E-9, H1718),"")</f>
        <v/>
      </c>
      <c r="K1718" s="13">
        <f>CHAIN_RAW!G1718</f>
        <v/>
      </c>
      <c r="L1718" s="13">
        <f>CHAIN_RAW!N1718</f>
        <v/>
      </c>
      <c r="M1718" s="13">
        <f>IFERROR(L1718-K1718,"")</f>
        <v/>
      </c>
      <c r="N1718" s="13">
        <f>CHAIN_RAW!H1718</f>
        <v/>
      </c>
      <c r="O1718" s="13">
        <f>CHAIN_RAW!O1718</f>
        <v/>
      </c>
      <c r="P1718" s="13">
        <f>IFERROR(O1718/N1718,"")</f>
        <v/>
      </c>
      <c r="Q1718" s="13">
        <f>CHAIN_RAW!I1718</f>
        <v/>
      </c>
      <c r="R1718" s="13">
        <f>CHAIN_RAW!P1718</f>
        <v/>
      </c>
      <c r="S1718" s="13">
        <f>IFERROR(R1718/Q1718,"")</f>
        <v/>
      </c>
      <c r="T1718" s="13">
        <f>IFERROR((ABS(N1718-O1718)/MAX(1,(N1718+O1718)))*EXP(-ABS(E1718-CONTROL!E5)/MAX(1,CONTROL!B8)),"")</f>
        <v/>
      </c>
      <c r="U1718" s="13">
        <f>IFERROR(IF(O1718&gt;N1718,"SUPPORT (PE OI)","RESIST (CE OI)"),"")</f>
        <v/>
      </c>
      <c r="V1718" s="13">
        <f>IFERROR(IF(Q1718&gt;0,IF(R1718&gt;0,"BOTH_ADD","CE_ADD_PE_REDUCE"),IF(R1718&gt;0,"CE_REDUCE_PE_ADD","BOTH_REDUCE")),"")</f>
        <v/>
      </c>
      <c r="W1718" s="13">
        <f>IFERROR( (P1718-1)*0.5 + (M1718)*0.1 - (I1718+J1718)*0.05 + T1718*0.4 ,"")</f>
        <v/>
      </c>
      <c r="X1718" s="13">
        <f>IFERROR(IF(ABS(F1718)&lt;0.01,"ATM/NEAR",""),"")</f>
        <v/>
      </c>
    </row>
    <row r="1719">
      <c r="A1719" s="13">
        <f>CHAIN_RAW!A1719</f>
        <v/>
      </c>
      <c r="B1719" s="14">
        <f>CHAIN_RAW!B1719</f>
        <v/>
      </c>
      <c r="C1719" s="13">
        <f>CHAIN_RAW!C1719</f>
        <v/>
      </c>
      <c r="D1719" s="13">
        <f>CHAIN_RAW!D1719</f>
        <v/>
      </c>
      <c r="E1719" s="13">
        <f>CHAIN_RAW!E1719</f>
        <v/>
      </c>
      <c r="F1719" s="13">
        <f>IFERROR((E1719-D1719)/D1719,"")</f>
        <v/>
      </c>
      <c r="G1719" s="13">
        <f>IFERROR((CHAIN_RAW!K1719+CHAIN_RAW!L1719)/2,"")</f>
        <v/>
      </c>
      <c r="H1719" s="13">
        <f>IFERROR((CHAIN_RAW!R1719+CHAIN_RAW!S1719)/2,"")</f>
        <v/>
      </c>
      <c r="I1719" s="13">
        <f>IFERROR((CHAIN_RAW!L1719-CHAIN_RAW!K1719)/MAX(1E-9, G1719),"")</f>
        <v/>
      </c>
      <c r="J1719" s="13">
        <f>IFERROR((CHAIN_RAW!S1719-CHAIN_RAW!R1719)/MAX(1E-9, H1719),"")</f>
        <v/>
      </c>
      <c r="K1719" s="13">
        <f>CHAIN_RAW!G1719</f>
        <v/>
      </c>
      <c r="L1719" s="13">
        <f>CHAIN_RAW!N1719</f>
        <v/>
      </c>
      <c r="M1719" s="13">
        <f>IFERROR(L1719-K1719,"")</f>
        <v/>
      </c>
      <c r="N1719" s="13">
        <f>CHAIN_RAW!H1719</f>
        <v/>
      </c>
      <c r="O1719" s="13">
        <f>CHAIN_RAW!O1719</f>
        <v/>
      </c>
      <c r="P1719" s="13">
        <f>IFERROR(O1719/N1719,"")</f>
        <v/>
      </c>
      <c r="Q1719" s="13">
        <f>CHAIN_RAW!I1719</f>
        <v/>
      </c>
      <c r="R1719" s="13">
        <f>CHAIN_RAW!P1719</f>
        <v/>
      </c>
      <c r="S1719" s="13">
        <f>IFERROR(R1719/Q1719,"")</f>
        <v/>
      </c>
      <c r="T1719" s="13">
        <f>IFERROR((ABS(N1719-O1719)/MAX(1,(N1719+O1719)))*EXP(-ABS(E1719-CONTROL!E5)/MAX(1,CONTROL!B8)),"")</f>
        <v/>
      </c>
      <c r="U1719" s="13">
        <f>IFERROR(IF(O1719&gt;N1719,"SUPPORT (PE OI)","RESIST (CE OI)"),"")</f>
        <v/>
      </c>
      <c r="V1719" s="13">
        <f>IFERROR(IF(Q1719&gt;0,IF(R1719&gt;0,"BOTH_ADD","CE_ADD_PE_REDUCE"),IF(R1719&gt;0,"CE_REDUCE_PE_ADD","BOTH_REDUCE")),"")</f>
        <v/>
      </c>
      <c r="W1719" s="13">
        <f>IFERROR( (P1719-1)*0.5 + (M1719)*0.1 - (I1719+J1719)*0.05 + T1719*0.4 ,"")</f>
        <v/>
      </c>
      <c r="X1719" s="13">
        <f>IFERROR(IF(ABS(F1719)&lt;0.01,"ATM/NEAR",""),"")</f>
        <v/>
      </c>
    </row>
    <row r="1720">
      <c r="A1720" s="13">
        <f>CHAIN_RAW!A1720</f>
        <v/>
      </c>
      <c r="B1720" s="14">
        <f>CHAIN_RAW!B1720</f>
        <v/>
      </c>
      <c r="C1720" s="13">
        <f>CHAIN_RAW!C1720</f>
        <v/>
      </c>
      <c r="D1720" s="13">
        <f>CHAIN_RAW!D1720</f>
        <v/>
      </c>
      <c r="E1720" s="13">
        <f>CHAIN_RAW!E1720</f>
        <v/>
      </c>
      <c r="F1720" s="13">
        <f>IFERROR((E1720-D1720)/D1720,"")</f>
        <v/>
      </c>
      <c r="G1720" s="13">
        <f>IFERROR((CHAIN_RAW!K1720+CHAIN_RAW!L1720)/2,"")</f>
        <v/>
      </c>
      <c r="H1720" s="13">
        <f>IFERROR((CHAIN_RAW!R1720+CHAIN_RAW!S1720)/2,"")</f>
        <v/>
      </c>
      <c r="I1720" s="13">
        <f>IFERROR((CHAIN_RAW!L1720-CHAIN_RAW!K1720)/MAX(1E-9, G1720),"")</f>
        <v/>
      </c>
      <c r="J1720" s="13">
        <f>IFERROR((CHAIN_RAW!S1720-CHAIN_RAW!R1720)/MAX(1E-9, H1720),"")</f>
        <v/>
      </c>
      <c r="K1720" s="13">
        <f>CHAIN_RAW!G1720</f>
        <v/>
      </c>
      <c r="L1720" s="13">
        <f>CHAIN_RAW!N1720</f>
        <v/>
      </c>
      <c r="M1720" s="13">
        <f>IFERROR(L1720-K1720,"")</f>
        <v/>
      </c>
      <c r="N1720" s="13">
        <f>CHAIN_RAW!H1720</f>
        <v/>
      </c>
      <c r="O1720" s="13">
        <f>CHAIN_RAW!O1720</f>
        <v/>
      </c>
      <c r="P1720" s="13">
        <f>IFERROR(O1720/N1720,"")</f>
        <v/>
      </c>
      <c r="Q1720" s="13">
        <f>CHAIN_RAW!I1720</f>
        <v/>
      </c>
      <c r="R1720" s="13">
        <f>CHAIN_RAW!P1720</f>
        <v/>
      </c>
      <c r="S1720" s="13">
        <f>IFERROR(R1720/Q1720,"")</f>
        <v/>
      </c>
      <c r="T1720" s="13">
        <f>IFERROR((ABS(N1720-O1720)/MAX(1,(N1720+O1720)))*EXP(-ABS(E1720-CONTROL!E5)/MAX(1,CONTROL!B8)),"")</f>
        <v/>
      </c>
      <c r="U1720" s="13">
        <f>IFERROR(IF(O1720&gt;N1720,"SUPPORT (PE OI)","RESIST (CE OI)"),"")</f>
        <v/>
      </c>
      <c r="V1720" s="13">
        <f>IFERROR(IF(Q1720&gt;0,IF(R1720&gt;0,"BOTH_ADD","CE_ADD_PE_REDUCE"),IF(R1720&gt;0,"CE_REDUCE_PE_ADD","BOTH_REDUCE")),"")</f>
        <v/>
      </c>
      <c r="W1720" s="13">
        <f>IFERROR( (P1720-1)*0.5 + (M1720)*0.1 - (I1720+J1720)*0.05 + T1720*0.4 ,"")</f>
        <v/>
      </c>
      <c r="X1720" s="13">
        <f>IFERROR(IF(ABS(F1720)&lt;0.01,"ATM/NEAR",""),"")</f>
        <v/>
      </c>
    </row>
    <row r="1721">
      <c r="A1721" s="13">
        <f>CHAIN_RAW!A1721</f>
        <v/>
      </c>
      <c r="B1721" s="14">
        <f>CHAIN_RAW!B1721</f>
        <v/>
      </c>
      <c r="C1721" s="13">
        <f>CHAIN_RAW!C1721</f>
        <v/>
      </c>
      <c r="D1721" s="13">
        <f>CHAIN_RAW!D1721</f>
        <v/>
      </c>
      <c r="E1721" s="13">
        <f>CHAIN_RAW!E1721</f>
        <v/>
      </c>
      <c r="F1721" s="13">
        <f>IFERROR((E1721-D1721)/D1721,"")</f>
        <v/>
      </c>
      <c r="G1721" s="13">
        <f>IFERROR((CHAIN_RAW!K1721+CHAIN_RAW!L1721)/2,"")</f>
        <v/>
      </c>
      <c r="H1721" s="13">
        <f>IFERROR((CHAIN_RAW!R1721+CHAIN_RAW!S1721)/2,"")</f>
        <v/>
      </c>
      <c r="I1721" s="13">
        <f>IFERROR((CHAIN_RAW!L1721-CHAIN_RAW!K1721)/MAX(1E-9, G1721),"")</f>
        <v/>
      </c>
      <c r="J1721" s="13">
        <f>IFERROR((CHAIN_RAW!S1721-CHAIN_RAW!R1721)/MAX(1E-9, H1721),"")</f>
        <v/>
      </c>
      <c r="K1721" s="13">
        <f>CHAIN_RAW!G1721</f>
        <v/>
      </c>
      <c r="L1721" s="13">
        <f>CHAIN_RAW!N1721</f>
        <v/>
      </c>
      <c r="M1721" s="13">
        <f>IFERROR(L1721-K1721,"")</f>
        <v/>
      </c>
      <c r="N1721" s="13">
        <f>CHAIN_RAW!H1721</f>
        <v/>
      </c>
      <c r="O1721" s="13">
        <f>CHAIN_RAW!O1721</f>
        <v/>
      </c>
      <c r="P1721" s="13">
        <f>IFERROR(O1721/N1721,"")</f>
        <v/>
      </c>
      <c r="Q1721" s="13">
        <f>CHAIN_RAW!I1721</f>
        <v/>
      </c>
      <c r="R1721" s="13">
        <f>CHAIN_RAW!P1721</f>
        <v/>
      </c>
      <c r="S1721" s="13">
        <f>IFERROR(R1721/Q1721,"")</f>
        <v/>
      </c>
      <c r="T1721" s="13">
        <f>IFERROR((ABS(N1721-O1721)/MAX(1,(N1721+O1721)))*EXP(-ABS(E1721-CONTROL!E5)/MAX(1,CONTROL!B8)),"")</f>
        <v/>
      </c>
      <c r="U1721" s="13">
        <f>IFERROR(IF(O1721&gt;N1721,"SUPPORT (PE OI)","RESIST (CE OI)"),"")</f>
        <v/>
      </c>
      <c r="V1721" s="13">
        <f>IFERROR(IF(Q1721&gt;0,IF(R1721&gt;0,"BOTH_ADD","CE_ADD_PE_REDUCE"),IF(R1721&gt;0,"CE_REDUCE_PE_ADD","BOTH_REDUCE")),"")</f>
        <v/>
      </c>
      <c r="W1721" s="13">
        <f>IFERROR( (P1721-1)*0.5 + (M1721)*0.1 - (I1721+J1721)*0.05 + T1721*0.4 ,"")</f>
        <v/>
      </c>
      <c r="X1721" s="13">
        <f>IFERROR(IF(ABS(F1721)&lt;0.01,"ATM/NEAR",""),"")</f>
        <v/>
      </c>
    </row>
    <row r="1722">
      <c r="A1722" s="13">
        <f>CHAIN_RAW!A1722</f>
        <v/>
      </c>
      <c r="B1722" s="14">
        <f>CHAIN_RAW!B1722</f>
        <v/>
      </c>
      <c r="C1722" s="13">
        <f>CHAIN_RAW!C1722</f>
        <v/>
      </c>
      <c r="D1722" s="13">
        <f>CHAIN_RAW!D1722</f>
        <v/>
      </c>
      <c r="E1722" s="13">
        <f>CHAIN_RAW!E1722</f>
        <v/>
      </c>
      <c r="F1722" s="13">
        <f>IFERROR((E1722-D1722)/D1722,"")</f>
        <v/>
      </c>
      <c r="G1722" s="13">
        <f>IFERROR((CHAIN_RAW!K1722+CHAIN_RAW!L1722)/2,"")</f>
        <v/>
      </c>
      <c r="H1722" s="13">
        <f>IFERROR((CHAIN_RAW!R1722+CHAIN_RAW!S1722)/2,"")</f>
        <v/>
      </c>
      <c r="I1722" s="13">
        <f>IFERROR((CHAIN_RAW!L1722-CHAIN_RAW!K1722)/MAX(1E-9, G1722),"")</f>
        <v/>
      </c>
      <c r="J1722" s="13">
        <f>IFERROR((CHAIN_RAW!S1722-CHAIN_RAW!R1722)/MAX(1E-9, H1722),"")</f>
        <v/>
      </c>
      <c r="K1722" s="13">
        <f>CHAIN_RAW!G1722</f>
        <v/>
      </c>
      <c r="L1722" s="13">
        <f>CHAIN_RAW!N1722</f>
        <v/>
      </c>
      <c r="M1722" s="13">
        <f>IFERROR(L1722-K1722,"")</f>
        <v/>
      </c>
      <c r="N1722" s="13">
        <f>CHAIN_RAW!H1722</f>
        <v/>
      </c>
      <c r="O1722" s="13">
        <f>CHAIN_RAW!O1722</f>
        <v/>
      </c>
      <c r="P1722" s="13">
        <f>IFERROR(O1722/N1722,"")</f>
        <v/>
      </c>
      <c r="Q1722" s="13">
        <f>CHAIN_RAW!I1722</f>
        <v/>
      </c>
      <c r="R1722" s="13">
        <f>CHAIN_RAW!P1722</f>
        <v/>
      </c>
      <c r="S1722" s="13">
        <f>IFERROR(R1722/Q1722,"")</f>
        <v/>
      </c>
      <c r="T1722" s="13">
        <f>IFERROR((ABS(N1722-O1722)/MAX(1,(N1722+O1722)))*EXP(-ABS(E1722-CONTROL!E5)/MAX(1,CONTROL!B8)),"")</f>
        <v/>
      </c>
      <c r="U1722" s="13">
        <f>IFERROR(IF(O1722&gt;N1722,"SUPPORT (PE OI)","RESIST (CE OI)"),"")</f>
        <v/>
      </c>
      <c r="V1722" s="13">
        <f>IFERROR(IF(Q1722&gt;0,IF(R1722&gt;0,"BOTH_ADD","CE_ADD_PE_REDUCE"),IF(R1722&gt;0,"CE_REDUCE_PE_ADD","BOTH_REDUCE")),"")</f>
        <v/>
      </c>
      <c r="W1722" s="13">
        <f>IFERROR( (P1722-1)*0.5 + (M1722)*0.1 - (I1722+J1722)*0.05 + T1722*0.4 ,"")</f>
        <v/>
      </c>
      <c r="X1722" s="13">
        <f>IFERROR(IF(ABS(F1722)&lt;0.01,"ATM/NEAR",""),"")</f>
        <v/>
      </c>
    </row>
    <row r="1723">
      <c r="A1723" s="13">
        <f>CHAIN_RAW!A1723</f>
        <v/>
      </c>
      <c r="B1723" s="14">
        <f>CHAIN_RAW!B1723</f>
        <v/>
      </c>
      <c r="C1723" s="13">
        <f>CHAIN_RAW!C1723</f>
        <v/>
      </c>
      <c r="D1723" s="13">
        <f>CHAIN_RAW!D1723</f>
        <v/>
      </c>
      <c r="E1723" s="13">
        <f>CHAIN_RAW!E1723</f>
        <v/>
      </c>
      <c r="F1723" s="13">
        <f>IFERROR((E1723-D1723)/D1723,"")</f>
        <v/>
      </c>
      <c r="G1723" s="13">
        <f>IFERROR((CHAIN_RAW!K1723+CHAIN_RAW!L1723)/2,"")</f>
        <v/>
      </c>
      <c r="H1723" s="13">
        <f>IFERROR((CHAIN_RAW!R1723+CHAIN_RAW!S1723)/2,"")</f>
        <v/>
      </c>
      <c r="I1723" s="13">
        <f>IFERROR((CHAIN_RAW!L1723-CHAIN_RAW!K1723)/MAX(1E-9, G1723),"")</f>
        <v/>
      </c>
      <c r="J1723" s="13">
        <f>IFERROR((CHAIN_RAW!S1723-CHAIN_RAW!R1723)/MAX(1E-9, H1723),"")</f>
        <v/>
      </c>
      <c r="K1723" s="13">
        <f>CHAIN_RAW!G1723</f>
        <v/>
      </c>
      <c r="L1723" s="13">
        <f>CHAIN_RAW!N1723</f>
        <v/>
      </c>
      <c r="M1723" s="13">
        <f>IFERROR(L1723-K1723,"")</f>
        <v/>
      </c>
      <c r="N1723" s="13">
        <f>CHAIN_RAW!H1723</f>
        <v/>
      </c>
      <c r="O1723" s="13">
        <f>CHAIN_RAW!O1723</f>
        <v/>
      </c>
      <c r="P1723" s="13">
        <f>IFERROR(O1723/N1723,"")</f>
        <v/>
      </c>
      <c r="Q1723" s="13">
        <f>CHAIN_RAW!I1723</f>
        <v/>
      </c>
      <c r="R1723" s="13">
        <f>CHAIN_RAW!P1723</f>
        <v/>
      </c>
      <c r="S1723" s="13">
        <f>IFERROR(R1723/Q1723,"")</f>
        <v/>
      </c>
      <c r="T1723" s="13">
        <f>IFERROR((ABS(N1723-O1723)/MAX(1,(N1723+O1723)))*EXP(-ABS(E1723-CONTROL!E5)/MAX(1,CONTROL!B8)),"")</f>
        <v/>
      </c>
      <c r="U1723" s="13">
        <f>IFERROR(IF(O1723&gt;N1723,"SUPPORT (PE OI)","RESIST (CE OI)"),"")</f>
        <v/>
      </c>
      <c r="V1723" s="13">
        <f>IFERROR(IF(Q1723&gt;0,IF(R1723&gt;0,"BOTH_ADD","CE_ADD_PE_REDUCE"),IF(R1723&gt;0,"CE_REDUCE_PE_ADD","BOTH_REDUCE")),"")</f>
        <v/>
      </c>
      <c r="W1723" s="13">
        <f>IFERROR( (P1723-1)*0.5 + (M1723)*0.1 - (I1723+J1723)*0.05 + T1723*0.4 ,"")</f>
        <v/>
      </c>
      <c r="X1723" s="13">
        <f>IFERROR(IF(ABS(F1723)&lt;0.01,"ATM/NEAR",""),"")</f>
        <v/>
      </c>
    </row>
    <row r="1724">
      <c r="A1724" s="13">
        <f>CHAIN_RAW!A1724</f>
        <v/>
      </c>
      <c r="B1724" s="14">
        <f>CHAIN_RAW!B1724</f>
        <v/>
      </c>
      <c r="C1724" s="13">
        <f>CHAIN_RAW!C1724</f>
        <v/>
      </c>
      <c r="D1724" s="13">
        <f>CHAIN_RAW!D1724</f>
        <v/>
      </c>
      <c r="E1724" s="13">
        <f>CHAIN_RAW!E1724</f>
        <v/>
      </c>
      <c r="F1724" s="13">
        <f>IFERROR((E1724-D1724)/D1724,"")</f>
        <v/>
      </c>
      <c r="G1724" s="13">
        <f>IFERROR((CHAIN_RAW!K1724+CHAIN_RAW!L1724)/2,"")</f>
        <v/>
      </c>
      <c r="H1724" s="13">
        <f>IFERROR((CHAIN_RAW!R1724+CHAIN_RAW!S1724)/2,"")</f>
        <v/>
      </c>
      <c r="I1724" s="13">
        <f>IFERROR((CHAIN_RAW!L1724-CHAIN_RAW!K1724)/MAX(1E-9, G1724),"")</f>
        <v/>
      </c>
      <c r="J1724" s="13">
        <f>IFERROR((CHAIN_RAW!S1724-CHAIN_RAW!R1724)/MAX(1E-9, H1724),"")</f>
        <v/>
      </c>
      <c r="K1724" s="13">
        <f>CHAIN_RAW!G1724</f>
        <v/>
      </c>
      <c r="L1724" s="13">
        <f>CHAIN_RAW!N1724</f>
        <v/>
      </c>
      <c r="M1724" s="13">
        <f>IFERROR(L1724-K1724,"")</f>
        <v/>
      </c>
      <c r="N1724" s="13">
        <f>CHAIN_RAW!H1724</f>
        <v/>
      </c>
      <c r="O1724" s="13">
        <f>CHAIN_RAW!O1724</f>
        <v/>
      </c>
      <c r="P1724" s="13">
        <f>IFERROR(O1724/N1724,"")</f>
        <v/>
      </c>
      <c r="Q1724" s="13">
        <f>CHAIN_RAW!I1724</f>
        <v/>
      </c>
      <c r="R1724" s="13">
        <f>CHAIN_RAW!P1724</f>
        <v/>
      </c>
      <c r="S1724" s="13">
        <f>IFERROR(R1724/Q1724,"")</f>
        <v/>
      </c>
      <c r="T1724" s="13">
        <f>IFERROR((ABS(N1724-O1724)/MAX(1,(N1724+O1724)))*EXP(-ABS(E1724-CONTROL!E5)/MAX(1,CONTROL!B8)),"")</f>
        <v/>
      </c>
      <c r="U1724" s="13">
        <f>IFERROR(IF(O1724&gt;N1724,"SUPPORT (PE OI)","RESIST (CE OI)"),"")</f>
        <v/>
      </c>
      <c r="V1724" s="13">
        <f>IFERROR(IF(Q1724&gt;0,IF(R1724&gt;0,"BOTH_ADD","CE_ADD_PE_REDUCE"),IF(R1724&gt;0,"CE_REDUCE_PE_ADD","BOTH_REDUCE")),"")</f>
        <v/>
      </c>
      <c r="W1724" s="13">
        <f>IFERROR( (P1724-1)*0.5 + (M1724)*0.1 - (I1724+J1724)*0.05 + T1724*0.4 ,"")</f>
        <v/>
      </c>
      <c r="X1724" s="13">
        <f>IFERROR(IF(ABS(F1724)&lt;0.01,"ATM/NEAR",""),"")</f>
        <v/>
      </c>
    </row>
    <row r="1725">
      <c r="A1725" s="13">
        <f>CHAIN_RAW!A1725</f>
        <v/>
      </c>
      <c r="B1725" s="14">
        <f>CHAIN_RAW!B1725</f>
        <v/>
      </c>
      <c r="C1725" s="13">
        <f>CHAIN_RAW!C1725</f>
        <v/>
      </c>
      <c r="D1725" s="13">
        <f>CHAIN_RAW!D1725</f>
        <v/>
      </c>
      <c r="E1725" s="13">
        <f>CHAIN_RAW!E1725</f>
        <v/>
      </c>
      <c r="F1725" s="13">
        <f>IFERROR((E1725-D1725)/D1725,"")</f>
        <v/>
      </c>
      <c r="G1725" s="13">
        <f>IFERROR((CHAIN_RAW!K1725+CHAIN_RAW!L1725)/2,"")</f>
        <v/>
      </c>
      <c r="H1725" s="13">
        <f>IFERROR((CHAIN_RAW!R1725+CHAIN_RAW!S1725)/2,"")</f>
        <v/>
      </c>
      <c r="I1725" s="13">
        <f>IFERROR((CHAIN_RAW!L1725-CHAIN_RAW!K1725)/MAX(1E-9, G1725),"")</f>
        <v/>
      </c>
      <c r="J1725" s="13">
        <f>IFERROR((CHAIN_RAW!S1725-CHAIN_RAW!R1725)/MAX(1E-9, H1725),"")</f>
        <v/>
      </c>
      <c r="K1725" s="13">
        <f>CHAIN_RAW!G1725</f>
        <v/>
      </c>
      <c r="L1725" s="13">
        <f>CHAIN_RAW!N1725</f>
        <v/>
      </c>
      <c r="M1725" s="13">
        <f>IFERROR(L1725-K1725,"")</f>
        <v/>
      </c>
      <c r="N1725" s="13">
        <f>CHAIN_RAW!H1725</f>
        <v/>
      </c>
      <c r="O1725" s="13">
        <f>CHAIN_RAW!O1725</f>
        <v/>
      </c>
      <c r="P1725" s="13">
        <f>IFERROR(O1725/N1725,"")</f>
        <v/>
      </c>
      <c r="Q1725" s="13">
        <f>CHAIN_RAW!I1725</f>
        <v/>
      </c>
      <c r="R1725" s="13">
        <f>CHAIN_RAW!P1725</f>
        <v/>
      </c>
      <c r="S1725" s="13">
        <f>IFERROR(R1725/Q1725,"")</f>
        <v/>
      </c>
      <c r="T1725" s="13">
        <f>IFERROR((ABS(N1725-O1725)/MAX(1,(N1725+O1725)))*EXP(-ABS(E1725-CONTROL!E5)/MAX(1,CONTROL!B8)),"")</f>
        <v/>
      </c>
      <c r="U1725" s="13">
        <f>IFERROR(IF(O1725&gt;N1725,"SUPPORT (PE OI)","RESIST (CE OI)"),"")</f>
        <v/>
      </c>
      <c r="V1725" s="13">
        <f>IFERROR(IF(Q1725&gt;0,IF(R1725&gt;0,"BOTH_ADD","CE_ADD_PE_REDUCE"),IF(R1725&gt;0,"CE_REDUCE_PE_ADD","BOTH_REDUCE")),"")</f>
        <v/>
      </c>
      <c r="W1725" s="13">
        <f>IFERROR( (P1725-1)*0.5 + (M1725)*0.1 - (I1725+J1725)*0.05 + T1725*0.4 ,"")</f>
        <v/>
      </c>
      <c r="X1725" s="13">
        <f>IFERROR(IF(ABS(F1725)&lt;0.01,"ATM/NEAR",""),"")</f>
        <v/>
      </c>
    </row>
    <row r="1726">
      <c r="A1726" s="13">
        <f>CHAIN_RAW!A1726</f>
        <v/>
      </c>
      <c r="B1726" s="14">
        <f>CHAIN_RAW!B1726</f>
        <v/>
      </c>
      <c r="C1726" s="13">
        <f>CHAIN_RAW!C1726</f>
        <v/>
      </c>
      <c r="D1726" s="13">
        <f>CHAIN_RAW!D1726</f>
        <v/>
      </c>
      <c r="E1726" s="13">
        <f>CHAIN_RAW!E1726</f>
        <v/>
      </c>
      <c r="F1726" s="13">
        <f>IFERROR((E1726-D1726)/D1726,"")</f>
        <v/>
      </c>
      <c r="G1726" s="13">
        <f>IFERROR((CHAIN_RAW!K1726+CHAIN_RAW!L1726)/2,"")</f>
        <v/>
      </c>
      <c r="H1726" s="13">
        <f>IFERROR((CHAIN_RAW!R1726+CHAIN_RAW!S1726)/2,"")</f>
        <v/>
      </c>
      <c r="I1726" s="13">
        <f>IFERROR((CHAIN_RAW!L1726-CHAIN_RAW!K1726)/MAX(1E-9, G1726),"")</f>
        <v/>
      </c>
      <c r="J1726" s="13">
        <f>IFERROR((CHAIN_RAW!S1726-CHAIN_RAW!R1726)/MAX(1E-9, H1726),"")</f>
        <v/>
      </c>
      <c r="K1726" s="13">
        <f>CHAIN_RAW!G1726</f>
        <v/>
      </c>
      <c r="L1726" s="13">
        <f>CHAIN_RAW!N1726</f>
        <v/>
      </c>
      <c r="M1726" s="13">
        <f>IFERROR(L1726-K1726,"")</f>
        <v/>
      </c>
      <c r="N1726" s="13">
        <f>CHAIN_RAW!H1726</f>
        <v/>
      </c>
      <c r="O1726" s="13">
        <f>CHAIN_RAW!O1726</f>
        <v/>
      </c>
      <c r="P1726" s="13">
        <f>IFERROR(O1726/N1726,"")</f>
        <v/>
      </c>
      <c r="Q1726" s="13">
        <f>CHAIN_RAW!I1726</f>
        <v/>
      </c>
      <c r="R1726" s="13">
        <f>CHAIN_RAW!P1726</f>
        <v/>
      </c>
      <c r="S1726" s="13">
        <f>IFERROR(R1726/Q1726,"")</f>
        <v/>
      </c>
      <c r="T1726" s="13">
        <f>IFERROR((ABS(N1726-O1726)/MAX(1,(N1726+O1726)))*EXP(-ABS(E1726-CONTROL!E5)/MAX(1,CONTROL!B8)),"")</f>
        <v/>
      </c>
      <c r="U1726" s="13">
        <f>IFERROR(IF(O1726&gt;N1726,"SUPPORT (PE OI)","RESIST (CE OI)"),"")</f>
        <v/>
      </c>
      <c r="V1726" s="13">
        <f>IFERROR(IF(Q1726&gt;0,IF(R1726&gt;0,"BOTH_ADD","CE_ADD_PE_REDUCE"),IF(R1726&gt;0,"CE_REDUCE_PE_ADD","BOTH_REDUCE")),"")</f>
        <v/>
      </c>
      <c r="W1726" s="13">
        <f>IFERROR( (P1726-1)*0.5 + (M1726)*0.1 - (I1726+J1726)*0.05 + T1726*0.4 ,"")</f>
        <v/>
      </c>
      <c r="X1726" s="13">
        <f>IFERROR(IF(ABS(F1726)&lt;0.01,"ATM/NEAR",""),"")</f>
        <v/>
      </c>
    </row>
    <row r="1727">
      <c r="A1727" s="13">
        <f>CHAIN_RAW!A1727</f>
        <v/>
      </c>
      <c r="B1727" s="14">
        <f>CHAIN_RAW!B1727</f>
        <v/>
      </c>
      <c r="C1727" s="13">
        <f>CHAIN_RAW!C1727</f>
        <v/>
      </c>
      <c r="D1727" s="13">
        <f>CHAIN_RAW!D1727</f>
        <v/>
      </c>
      <c r="E1727" s="13">
        <f>CHAIN_RAW!E1727</f>
        <v/>
      </c>
      <c r="F1727" s="13">
        <f>IFERROR((E1727-D1727)/D1727,"")</f>
        <v/>
      </c>
      <c r="G1727" s="13">
        <f>IFERROR((CHAIN_RAW!K1727+CHAIN_RAW!L1727)/2,"")</f>
        <v/>
      </c>
      <c r="H1727" s="13">
        <f>IFERROR((CHAIN_RAW!R1727+CHAIN_RAW!S1727)/2,"")</f>
        <v/>
      </c>
      <c r="I1727" s="13">
        <f>IFERROR((CHAIN_RAW!L1727-CHAIN_RAW!K1727)/MAX(1E-9, G1727),"")</f>
        <v/>
      </c>
      <c r="J1727" s="13">
        <f>IFERROR((CHAIN_RAW!S1727-CHAIN_RAW!R1727)/MAX(1E-9, H1727),"")</f>
        <v/>
      </c>
      <c r="K1727" s="13">
        <f>CHAIN_RAW!G1727</f>
        <v/>
      </c>
      <c r="L1727" s="13">
        <f>CHAIN_RAW!N1727</f>
        <v/>
      </c>
      <c r="M1727" s="13">
        <f>IFERROR(L1727-K1727,"")</f>
        <v/>
      </c>
      <c r="N1727" s="13">
        <f>CHAIN_RAW!H1727</f>
        <v/>
      </c>
      <c r="O1727" s="13">
        <f>CHAIN_RAW!O1727</f>
        <v/>
      </c>
      <c r="P1727" s="13">
        <f>IFERROR(O1727/N1727,"")</f>
        <v/>
      </c>
      <c r="Q1727" s="13">
        <f>CHAIN_RAW!I1727</f>
        <v/>
      </c>
      <c r="R1727" s="13">
        <f>CHAIN_RAW!P1727</f>
        <v/>
      </c>
      <c r="S1727" s="13">
        <f>IFERROR(R1727/Q1727,"")</f>
        <v/>
      </c>
      <c r="T1727" s="13">
        <f>IFERROR((ABS(N1727-O1727)/MAX(1,(N1727+O1727)))*EXP(-ABS(E1727-CONTROL!E5)/MAX(1,CONTROL!B8)),"")</f>
        <v/>
      </c>
      <c r="U1727" s="13">
        <f>IFERROR(IF(O1727&gt;N1727,"SUPPORT (PE OI)","RESIST (CE OI)"),"")</f>
        <v/>
      </c>
      <c r="V1727" s="13">
        <f>IFERROR(IF(Q1727&gt;0,IF(R1727&gt;0,"BOTH_ADD","CE_ADD_PE_REDUCE"),IF(R1727&gt;0,"CE_REDUCE_PE_ADD","BOTH_REDUCE")),"")</f>
        <v/>
      </c>
      <c r="W1727" s="13">
        <f>IFERROR( (P1727-1)*0.5 + (M1727)*0.1 - (I1727+J1727)*0.05 + T1727*0.4 ,"")</f>
        <v/>
      </c>
      <c r="X1727" s="13">
        <f>IFERROR(IF(ABS(F1727)&lt;0.01,"ATM/NEAR",""),"")</f>
        <v/>
      </c>
    </row>
    <row r="1728">
      <c r="A1728" s="13">
        <f>CHAIN_RAW!A1728</f>
        <v/>
      </c>
      <c r="B1728" s="14">
        <f>CHAIN_RAW!B1728</f>
        <v/>
      </c>
      <c r="C1728" s="13">
        <f>CHAIN_RAW!C1728</f>
        <v/>
      </c>
      <c r="D1728" s="13">
        <f>CHAIN_RAW!D1728</f>
        <v/>
      </c>
      <c r="E1728" s="13">
        <f>CHAIN_RAW!E1728</f>
        <v/>
      </c>
      <c r="F1728" s="13">
        <f>IFERROR((E1728-D1728)/D1728,"")</f>
        <v/>
      </c>
      <c r="G1728" s="13">
        <f>IFERROR((CHAIN_RAW!K1728+CHAIN_RAW!L1728)/2,"")</f>
        <v/>
      </c>
      <c r="H1728" s="13">
        <f>IFERROR((CHAIN_RAW!R1728+CHAIN_RAW!S1728)/2,"")</f>
        <v/>
      </c>
      <c r="I1728" s="13">
        <f>IFERROR((CHAIN_RAW!L1728-CHAIN_RAW!K1728)/MAX(1E-9, G1728),"")</f>
        <v/>
      </c>
      <c r="J1728" s="13">
        <f>IFERROR((CHAIN_RAW!S1728-CHAIN_RAW!R1728)/MAX(1E-9, H1728),"")</f>
        <v/>
      </c>
      <c r="K1728" s="13">
        <f>CHAIN_RAW!G1728</f>
        <v/>
      </c>
      <c r="L1728" s="13">
        <f>CHAIN_RAW!N1728</f>
        <v/>
      </c>
      <c r="M1728" s="13">
        <f>IFERROR(L1728-K1728,"")</f>
        <v/>
      </c>
      <c r="N1728" s="13">
        <f>CHAIN_RAW!H1728</f>
        <v/>
      </c>
      <c r="O1728" s="13">
        <f>CHAIN_RAW!O1728</f>
        <v/>
      </c>
      <c r="P1728" s="13">
        <f>IFERROR(O1728/N1728,"")</f>
        <v/>
      </c>
      <c r="Q1728" s="13">
        <f>CHAIN_RAW!I1728</f>
        <v/>
      </c>
      <c r="R1728" s="13">
        <f>CHAIN_RAW!P1728</f>
        <v/>
      </c>
      <c r="S1728" s="13">
        <f>IFERROR(R1728/Q1728,"")</f>
        <v/>
      </c>
      <c r="T1728" s="13">
        <f>IFERROR((ABS(N1728-O1728)/MAX(1,(N1728+O1728)))*EXP(-ABS(E1728-CONTROL!E5)/MAX(1,CONTROL!B8)),"")</f>
        <v/>
      </c>
      <c r="U1728" s="13">
        <f>IFERROR(IF(O1728&gt;N1728,"SUPPORT (PE OI)","RESIST (CE OI)"),"")</f>
        <v/>
      </c>
      <c r="V1728" s="13">
        <f>IFERROR(IF(Q1728&gt;0,IF(R1728&gt;0,"BOTH_ADD","CE_ADD_PE_REDUCE"),IF(R1728&gt;0,"CE_REDUCE_PE_ADD","BOTH_REDUCE")),"")</f>
        <v/>
      </c>
      <c r="W1728" s="13">
        <f>IFERROR( (P1728-1)*0.5 + (M1728)*0.1 - (I1728+J1728)*0.05 + T1728*0.4 ,"")</f>
        <v/>
      </c>
      <c r="X1728" s="13">
        <f>IFERROR(IF(ABS(F1728)&lt;0.01,"ATM/NEAR",""),"")</f>
        <v/>
      </c>
    </row>
    <row r="1729">
      <c r="A1729" s="13">
        <f>CHAIN_RAW!A1729</f>
        <v/>
      </c>
      <c r="B1729" s="14">
        <f>CHAIN_RAW!B1729</f>
        <v/>
      </c>
      <c r="C1729" s="13">
        <f>CHAIN_RAW!C1729</f>
        <v/>
      </c>
      <c r="D1729" s="13">
        <f>CHAIN_RAW!D1729</f>
        <v/>
      </c>
      <c r="E1729" s="13">
        <f>CHAIN_RAW!E1729</f>
        <v/>
      </c>
      <c r="F1729" s="13">
        <f>IFERROR((E1729-D1729)/D1729,"")</f>
        <v/>
      </c>
      <c r="G1729" s="13">
        <f>IFERROR((CHAIN_RAW!K1729+CHAIN_RAW!L1729)/2,"")</f>
        <v/>
      </c>
      <c r="H1729" s="13">
        <f>IFERROR((CHAIN_RAW!R1729+CHAIN_RAW!S1729)/2,"")</f>
        <v/>
      </c>
      <c r="I1729" s="13">
        <f>IFERROR((CHAIN_RAW!L1729-CHAIN_RAW!K1729)/MAX(1E-9, G1729),"")</f>
        <v/>
      </c>
      <c r="J1729" s="13">
        <f>IFERROR((CHAIN_RAW!S1729-CHAIN_RAW!R1729)/MAX(1E-9, H1729),"")</f>
        <v/>
      </c>
      <c r="K1729" s="13">
        <f>CHAIN_RAW!G1729</f>
        <v/>
      </c>
      <c r="L1729" s="13">
        <f>CHAIN_RAW!N1729</f>
        <v/>
      </c>
      <c r="M1729" s="13">
        <f>IFERROR(L1729-K1729,"")</f>
        <v/>
      </c>
      <c r="N1729" s="13">
        <f>CHAIN_RAW!H1729</f>
        <v/>
      </c>
      <c r="O1729" s="13">
        <f>CHAIN_RAW!O1729</f>
        <v/>
      </c>
      <c r="P1729" s="13">
        <f>IFERROR(O1729/N1729,"")</f>
        <v/>
      </c>
      <c r="Q1729" s="13">
        <f>CHAIN_RAW!I1729</f>
        <v/>
      </c>
      <c r="R1729" s="13">
        <f>CHAIN_RAW!P1729</f>
        <v/>
      </c>
      <c r="S1729" s="13">
        <f>IFERROR(R1729/Q1729,"")</f>
        <v/>
      </c>
      <c r="T1729" s="13">
        <f>IFERROR((ABS(N1729-O1729)/MAX(1,(N1729+O1729)))*EXP(-ABS(E1729-CONTROL!E5)/MAX(1,CONTROL!B8)),"")</f>
        <v/>
      </c>
      <c r="U1729" s="13">
        <f>IFERROR(IF(O1729&gt;N1729,"SUPPORT (PE OI)","RESIST (CE OI)"),"")</f>
        <v/>
      </c>
      <c r="V1729" s="13">
        <f>IFERROR(IF(Q1729&gt;0,IF(R1729&gt;0,"BOTH_ADD","CE_ADD_PE_REDUCE"),IF(R1729&gt;0,"CE_REDUCE_PE_ADD","BOTH_REDUCE")),"")</f>
        <v/>
      </c>
      <c r="W1729" s="13">
        <f>IFERROR( (P1729-1)*0.5 + (M1729)*0.1 - (I1729+J1729)*0.05 + T1729*0.4 ,"")</f>
        <v/>
      </c>
      <c r="X1729" s="13">
        <f>IFERROR(IF(ABS(F1729)&lt;0.01,"ATM/NEAR",""),"")</f>
        <v/>
      </c>
    </row>
    <row r="1730">
      <c r="A1730" s="13">
        <f>CHAIN_RAW!A1730</f>
        <v/>
      </c>
      <c r="B1730" s="14">
        <f>CHAIN_RAW!B1730</f>
        <v/>
      </c>
      <c r="C1730" s="13">
        <f>CHAIN_RAW!C1730</f>
        <v/>
      </c>
      <c r="D1730" s="13">
        <f>CHAIN_RAW!D1730</f>
        <v/>
      </c>
      <c r="E1730" s="13">
        <f>CHAIN_RAW!E1730</f>
        <v/>
      </c>
      <c r="F1730" s="13">
        <f>IFERROR((E1730-D1730)/D1730,"")</f>
        <v/>
      </c>
      <c r="G1730" s="13">
        <f>IFERROR((CHAIN_RAW!K1730+CHAIN_RAW!L1730)/2,"")</f>
        <v/>
      </c>
      <c r="H1730" s="13">
        <f>IFERROR((CHAIN_RAW!R1730+CHAIN_RAW!S1730)/2,"")</f>
        <v/>
      </c>
      <c r="I1730" s="13">
        <f>IFERROR((CHAIN_RAW!L1730-CHAIN_RAW!K1730)/MAX(1E-9, G1730),"")</f>
        <v/>
      </c>
      <c r="J1730" s="13">
        <f>IFERROR((CHAIN_RAW!S1730-CHAIN_RAW!R1730)/MAX(1E-9, H1730),"")</f>
        <v/>
      </c>
      <c r="K1730" s="13">
        <f>CHAIN_RAW!G1730</f>
        <v/>
      </c>
      <c r="L1730" s="13">
        <f>CHAIN_RAW!N1730</f>
        <v/>
      </c>
      <c r="M1730" s="13">
        <f>IFERROR(L1730-K1730,"")</f>
        <v/>
      </c>
      <c r="N1730" s="13">
        <f>CHAIN_RAW!H1730</f>
        <v/>
      </c>
      <c r="O1730" s="13">
        <f>CHAIN_RAW!O1730</f>
        <v/>
      </c>
      <c r="P1730" s="13">
        <f>IFERROR(O1730/N1730,"")</f>
        <v/>
      </c>
      <c r="Q1730" s="13">
        <f>CHAIN_RAW!I1730</f>
        <v/>
      </c>
      <c r="R1730" s="13">
        <f>CHAIN_RAW!P1730</f>
        <v/>
      </c>
      <c r="S1730" s="13">
        <f>IFERROR(R1730/Q1730,"")</f>
        <v/>
      </c>
      <c r="T1730" s="13">
        <f>IFERROR((ABS(N1730-O1730)/MAX(1,(N1730+O1730)))*EXP(-ABS(E1730-CONTROL!E5)/MAX(1,CONTROL!B8)),"")</f>
        <v/>
      </c>
      <c r="U1730" s="13">
        <f>IFERROR(IF(O1730&gt;N1730,"SUPPORT (PE OI)","RESIST (CE OI)"),"")</f>
        <v/>
      </c>
      <c r="V1730" s="13">
        <f>IFERROR(IF(Q1730&gt;0,IF(R1730&gt;0,"BOTH_ADD","CE_ADD_PE_REDUCE"),IF(R1730&gt;0,"CE_REDUCE_PE_ADD","BOTH_REDUCE")),"")</f>
        <v/>
      </c>
      <c r="W1730" s="13">
        <f>IFERROR( (P1730-1)*0.5 + (M1730)*0.1 - (I1730+J1730)*0.05 + T1730*0.4 ,"")</f>
        <v/>
      </c>
      <c r="X1730" s="13">
        <f>IFERROR(IF(ABS(F1730)&lt;0.01,"ATM/NEAR",""),"")</f>
        <v/>
      </c>
    </row>
    <row r="1731">
      <c r="A1731" s="13">
        <f>CHAIN_RAW!A1731</f>
        <v/>
      </c>
      <c r="B1731" s="14">
        <f>CHAIN_RAW!B1731</f>
        <v/>
      </c>
      <c r="C1731" s="13">
        <f>CHAIN_RAW!C1731</f>
        <v/>
      </c>
      <c r="D1731" s="13">
        <f>CHAIN_RAW!D1731</f>
        <v/>
      </c>
      <c r="E1731" s="13">
        <f>CHAIN_RAW!E1731</f>
        <v/>
      </c>
      <c r="F1731" s="13">
        <f>IFERROR((E1731-D1731)/D1731,"")</f>
        <v/>
      </c>
      <c r="G1731" s="13">
        <f>IFERROR((CHAIN_RAW!K1731+CHAIN_RAW!L1731)/2,"")</f>
        <v/>
      </c>
      <c r="H1731" s="13">
        <f>IFERROR((CHAIN_RAW!R1731+CHAIN_RAW!S1731)/2,"")</f>
        <v/>
      </c>
      <c r="I1731" s="13">
        <f>IFERROR((CHAIN_RAW!L1731-CHAIN_RAW!K1731)/MAX(1E-9, G1731),"")</f>
        <v/>
      </c>
      <c r="J1731" s="13">
        <f>IFERROR((CHAIN_RAW!S1731-CHAIN_RAW!R1731)/MAX(1E-9, H1731),"")</f>
        <v/>
      </c>
      <c r="K1731" s="13">
        <f>CHAIN_RAW!G1731</f>
        <v/>
      </c>
      <c r="L1731" s="13">
        <f>CHAIN_RAW!N1731</f>
        <v/>
      </c>
      <c r="M1731" s="13">
        <f>IFERROR(L1731-K1731,"")</f>
        <v/>
      </c>
      <c r="N1731" s="13">
        <f>CHAIN_RAW!H1731</f>
        <v/>
      </c>
      <c r="O1731" s="13">
        <f>CHAIN_RAW!O1731</f>
        <v/>
      </c>
      <c r="P1731" s="13">
        <f>IFERROR(O1731/N1731,"")</f>
        <v/>
      </c>
      <c r="Q1731" s="13">
        <f>CHAIN_RAW!I1731</f>
        <v/>
      </c>
      <c r="R1731" s="13">
        <f>CHAIN_RAW!P1731</f>
        <v/>
      </c>
      <c r="S1731" s="13">
        <f>IFERROR(R1731/Q1731,"")</f>
        <v/>
      </c>
      <c r="T1731" s="13">
        <f>IFERROR((ABS(N1731-O1731)/MAX(1,(N1731+O1731)))*EXP(-ABS(E1731-CONTROL!E5)/MAX(1,CONTROL!B8)),"")</f>
        <v/>
      </c>
      <c r="U1731" s="13">
        <f>IFERROR(IF(O1731&gt;N1731,"SUPPORT (PE OI)","RESIST (CE OI)"),"")</f>
        <v/>
      </c>
      <c r="V1731" s="13">
        <f>IFERROR(IF(Q1731&gt;0,IF(R1731&gt;0,"BOTH_ADD","CE_ADD_PE_REDUCE"),IF(R1731&gt;0,"CE_REDUCE_PE_ADD","BOTH_REDUCE")),"")</f>
        <v/>
      </c>
      <c r="W1731" s="13">
        <f>IFERROR( (P1731-1)*0.5 + (M1731)*0.1 - (I1731+J1731)*0.05 + T1731*0.4 ,"")</f>
        <v/>
      </c>
      <c r="X1731" s="13">
        <f>IFERROR(IF(ABS(F1731)&lt;0.01,"ATM/NEAR",""),"")</f>
        <v/>
      </c>
    </row>
    <row r="1732">
      <c r="A1732" s="13">
        <f>CHAIN_RAW!A1732</f>
        <v/>
      </c>
      <c r="B1732" s="14">
        <f>CHAIN_RAW!B1732</f>
        <v/>
      </c>
      <c r="C1732" s="13">
        <f>CHAIN_RAW!C1732</f>
        <v/>
      </c>
      <c r="D1732" s="13">
        <f>CHAIN_RAW!D1732</f>
        <v/>
      </c>
      <c r="E1732" s="13">
        <f>CHAIN_RAW!E1732</f>
        <v/>
      </c>
      <c r="F1732" s="13">
        <f>IFERROR((E1732-D1732)/D1732,"")</f>
        <v/>
      </c>
      <c r="G1732" s="13">
        <f>IFERROR((CHAIN_RAW!K1732+CHAIN_RAW!L1732)/2,"")</f>
        <v/>
      </c>
      <c r="H1732" s="13">
        <f>IFERROR((CHAIN_RAW!R1732+CHAIN_RAW!S1732)/2,"")</f>
        <v/>
      </c>
      <c r="I1732" s="13">
        <f>IFERROR((CHAIN_RAW!L1732-CHAIN_RAW!K1732)/MAX(1E-9, G1732),"")</f>
        <v/>
      </c>
      <c r="J1732" s="13">
        <f>IFERROR((CHAIN_RAW!S1732-CHAIN_RAW!R1732)/MAX(1E-9, H1732),"")</f>
        <v/>
      </c>
      <c r="K1732" s="13">
        <f>CHAIN_RAW!G1732</f>
        <v/>
      </c>
      <c r="L1732" s="13">
        <f>CHAIN_RAW!N1732</f>
        <v/>
      </c>
      <c r="M1732" s="13">
        <f>IFERROR(L1732-K1732,"")</f>
        <v/>
      </c>
      <c r="N1732" s="13">
        <f>CHAIN_RAW!H1732</f>
        <v/>
      </c>
      <c r="O1732" s="13">
        <f>CHAIN_RAW!O1732</f>
        <v/>
      </c>
      <c r="P1732" s="13">
        <f>IFERROR(O1732/N1732,"")</f>
        <v/>
      </c>
      <c r="Q1732" s="13">
        <f>CHAIN_RAW!I1732</f>
        <v/>
      </c>
      <c r="R1732" s="13">
        <f>CHAIN_RAW!P1732</f>
        <v/>
      </c>
      <c r="S1732" s="13">
        <f>IFERROR(R1732/Q1732,"")</f>
        <v/>
      </c>
      <c r="T1732" s="13">
        <f>IFERROR((ABS(N1732-O1732)/MAX(1,(N1732+O1732)))*EXP(-ABS(E1732-CONTROL!E5)/MAX(1,CONTROL!B8)),"")</f>
        <v/>
      </c>
      <c r="U1732" s="13">
        <f>IFERROR(IF(O1732&gt;N1732,"SUPPORT (PE OI)","RESIST (CE OI)"),"")</f>
        <v/>
      </c>
      <c r="V1732" s="13">
        <f>IFERROR(IF(Q1732&gt;0,IF(R1732&gt;0,"BOTH_ADD","CE_ADD_PE_REDUCE"),IF(R1732&gt;0,"CE_REDUCE_PE_ADD","BOTH_REDUCE")),"")</f>
        <v/>
      </c>
      <c r="W1732" s="13">
        <f>IFERROR( (P1732-1)*0.5 + (M1732)*0.1 - (I1732+J1732)*0.05 + T1732*0.4 ,"")</f>
        <v/>
      </c>
      <c r="X1732" s="13">
        <f>IFERROR(IF(ABS(F1732)&lt;0.01,"ATM/NEAR",""),"")</f>
        <v/>
      </c>
    </row>
    <row r="1733">
      <c r="A1733" s="13">
        <f>CHAIN_RAW!A1733</f>
        <v/>
      </c>
      <c r="B1733" s="14">
        <f>CHAIN_RAW!B1733</f>
        <v/>
      </c>
      <c r="C1733" s="13">
        <f>CHAIN_RAW!C1733</f>
        <v/>
      </c>
      <c r="D1733" s="13">
        <f>CHAIN_RAW!D1733</f>
        <v/>
      </c>
      <c r="E1733" s="13">
        <f>CHAIN_RAW!E1733</f>
        <v/>
      </c>
      <c r="F1733" s="13">
        <f>IFERROR((E1733-D1733)/D1733,"")</f>
        <v/>
      </c>
      <c r="G1733" s="13">
        <f>IFERROR((CHAIN_RAW!K1733+CHAIN_RAW!L1733)/2,"")</f>
        <v/>
      </c>
      <c r="H1733" s="13">
        <f>IFERROR((CHAIN_RAW!R1733+CHAIN_RAW!S1733)/2,"")</f>
        <v/>
      </c>
      <c r="I1733" s="13">
        <f>IFERROR((CHAIN_RAW!L1733-CHAIN_RAW!K1733)/MAX(1E-9, G1733),"")</f>
        <v/>
      </c>
      <c r="J1733" s="13">
        <f>IFERROR((CHAIN_RAW!S1733-CHAIN_RAW!R1733)/MAX(1E-9, H1733),"")</f>
        <v/>
      </c>
      <c r="K1733" s="13">
        <f>CHAIN_RAW!G1733</f>
        <v/>
      </c>
      <c r="L1733" s="13">
        <f>CHAIN_RAW!N1733</f>
        <v/>
      </c>
      <c r="M1733" s="13">
        <f>IFERROR(L1733-K1733,"")</f>
        <v/>
      </c>
      <c r="N1733" s="13">
        <f>CHAIN_RAW!H1733</f>
        <v/>
      </c>
      <c r="O1733" s="13">
        <f>CHAIN_RAW!O1733</f>
        <v/>
      </c>
      <c r="P1733" s="13">
        <f>IFERROR(O1733/N1733,"")</f>
        <v/>
      </c>
      <c r="Q1733" s="13">
        <f>CHAIN_RAW!I1733</f>
        <v/>
      </c>
      <c r="R1733" s="13">
        <f>CHAIN_RAW!P1733</f>
        <v/>
      </c>
      <c r="S1733" s="13">
        <f>IFERROR(R1733/Q1733,"")</f>
        <v/>
      </c>
      <c r="T1733" s="13">
        <f>IFERROR((ABS(N1733-O1733)/MAX(1,(N1733+O1733)))*EXP(-ABS(E1733-CONTROL!E5)/MAX(1,CONTROL!B8)),"")</f>
        <v/>
      </c>
      <c r="U1733" s="13">
        <f>IFERROR(IF(O1733&gt;N1733,"SUPPORT (PE OI)","RESIST (CE OI)"),"")</f>
        <v/>
      </c>
      <c r="V1733" s="13">
        <f>IFERROR(IF(Q1733&gt;0,IF(R1733&gt;0,"BOTH_ADD","CE_ADD_PE_REDUCE"),IF(R1733&gt;0,"CE_REDUCE_PE_ADD","BOTH_REDUCE")),"")</f>
        <v/>
      </c>
      <c r="W1733" s="13">
        <f>IFERROR( (P1733-1)*0.5 + (M1733)*0.1 - (I1733+J1733)*0.05 + T1733*0.4 ,"")</f>
        <v/>
      </c>
      <c r="X1733" s="13">
        <f>IFERROR(IF(ABS(F1733)&lt;0.01,"ATM/NEAR",""),"")</f>
        <v/>
      </c>
    </row>
    <row r="1734">
      <c r="A1734" s="13">
        <f>CHAIN_RAW!A1734</f>
        <v/>
      </c>
      <c r="B1734" s="14">
        <f>CHAIN_RAW!B1734</f>
        <v/>
      </c>
      <c r="C1734" s="13">
        <f>CHAIN_RAW!C1734</f>
        <v/>
      </c>
      <c r="D1734" s="13">
        <f>CHAIN_RAW!D1734</f>
        <v/>
      </c>
      <c r="E1734" s="13">
        <f>CHAIN_RAW!E1734</f>
        <v/>
      </c>
      <c r="F1734" s="13">
        <f>IFERROR((E1734-D1734)/D1734,"")</f>
        <v/>
      </c>
      <c r="G1734" s="13">
        <f>IFERROR((CHAIN_RAW!K1734+CHAIN_RAW!L1734)/2,"")</f>
        <v/>
      </c>
      <c r="H1734" s="13">
        <f>IFERROR((CHAIN_RAW!R1734+CHAIN_RAW!S1734)/2,"")</f>
        <v/>
      </c>
      <c r="I1734" s="13">
        <f>IFERROR((CHAIN_RAW!L1734-CHAIN_RAW!K1734)/MAX(1E-9, G1734),"")</f>
        <v/>
      </c>
      <c r="J1734" s="13">
        <f>IFERROR((CHAIN_RAW!S1734-CHAIN_RAW!R1734)/MAX(1E-9, H1734),"")</f>
        <v/>
      </c>
      <c r="K1734" s="13">
        <f>CHAIN_RAW!G1734</f>
        <v/>
      </c>
      <c r="L1734" s="13">
        <f>CHAIN_RAW!N1734</f>
        <v/>
      </c>
      <c r="M1734" s="13">
        <f>IFERROR(L1734-K1734,"")</f>
        <v/>
      </c>
      <c r="N1734" s="13">
        <f>CHAIN_RAW!H1734</f>
        <v/>
      </c>
      <c r="O1734" s="13">
        <f>CHAIN_RAW!O1734</f>
        <v/>
      </c>
      <c r="P1734" s="13">
        <f>IFERROR(O1734/N1734,"")</f>
        <v/>
      </c>
      <c r="Q1734" s="13">
        <f>CHAIN_RAW!I1734</f>
        <v/>
      </c>
      <c r="R1734" s="13">
        <f>CHAIN_RAW!P1734</f>
        <v/>
      </c>
      <c r="S1734" s="13">
        <f>IFERROR(R1734/Q1734,"")</f>
        <v/>
      </c>
      <c r="T1734" s="13">
        <f>IFERROR((ABS(N1734-O1734)/MAX(1,(N1734+O1734)))*EXP(-ABS(E1734-CONTROL!E5)/MAX(1,CONTROL!B8)),"")</f>
        <v/>
      </c>
      <c r="U1734" s="13">
        <f>IFERROR(IF(O1734&gt;N1734,"SUPPORT (PE OI)","RESIST (CE OI)"),"")</f>
        <v/>
      </c>
      <c r="V1734" s="13">
        <f>IFERROR(IF(Q1734&gt;0,IF(R1734&gt;0,"BOTH_ADD","CE_ADD_PE_REDUCE"),IF(R1734&gt;0,"CE_REDUCE_PE_ADD","BOTH_REDUCE")),"")</f>
        <v/>
      </c>
      <c r="W1734" s="13">
        <f>IFERROR( (P1734-1)*0.5 + (M1734)*0.1 - (I1734+J1734)*0.05 + T1734*0.4 ,"")</f>
        <v/>
      </c>
      <c r="X1734" s="13">
        <f>IFERROR(IF(ABS(F1734)&lt;0.01,"ATM/NEAR",""),"")</f>
        <v/>
      </c>
    </row>
    <row r="1735">
      <c r="A1735" s="13">
        <f>CHAIN_RAW!A1735</f>
        <v/>
      </c>
      <c r="B1735" s="14">
        <f>CHAIN_RAW!B1735</f>
        <v/>
      </c>
      <c r="C1735" s="13">
        <f>CHAIN_RAW!C1735</f>
        <v/>
      </c>
      <c r="D1735" s="13">
        <f>CHAIN_RAW!D1735</f>
        <v/>
      </c>
      <c r="E1735" s="13">
        <f>CHAIN_RAW!E1735</f>
        <v/>
      </c>
      <c r="F1735" s="13">
        <f>IFERROR((E1735-D1735)/D1735,"")</f>
        <v/>
      </c>
      <c r="G1735" s="13">
        <f>IFERROR((CHAIN_RAW!K1735+CHAIN_RAW!L1735)/2,"")</f>
        <v/>
      </c>
      <c r="H1735" s="13">
        <f>IFERROR((CHAIN_RAW!R1735+CHAIN_RAW!S1735)/2,"")</f>
        <v/>
      </c>
      <c r="I1735" s="13">
        <f>IFERROR((CHAIN_RAW!L1735-CHAIN_RAW!K1735)/MAX(1E-9, G1735),"")</f>
        <v/>
      </c>
      <c r="J1735" s="13">
        <f>IFERROR((CHAIN_RAW!S1735-CHAIN_RAW!R1735)/MAX(1E-9, H1735),"")</f>
        <v/>
      </c>
      <c r="K1735" s="13">
        <f>CHAIN_RAW!G1735</f>
        <v/>
      </c>
      <c r="L1735" s="13">
        <f>CHAIN_RAW!N1735</f>
        <v/>
      </c>
      <c r="M1735" s="13">
        <f>IFERROR(L1735-K1735,"")</f>
        <v/>
      </c>
      <c r="N1735" s="13">
        <f>CHAIN_RAW!H1735</f>
        <v/>
      </c>
      <c r="O1735" s="13">
        <f>CHAIN_RAW!O1735</f>
        <v/>
      </c>
      <c r="P1735" s="13">
        <f>IFERROR(O1735/N1735,"")</f>
        <v/>
      </c>
      <c r="Q1735" s="13">
        <f>CHAIN_RAW!I1735</f>
        <v/>
      </c>
      <c r="R1735" s="13">
        <f>CHAIN_RAW!P1735</f>
        <v/>
      </c>
      <c r="S1735" s="13">
        <f>IFERROR(R1735/Q1735,"")</f>
        <v/>
      </c>
      <c r="T1735" s="13">
        <f>IFERROR((ABS(N1735-O1735)/MAX(1,(N1735+O1735)))*EXP(-ABS(E1735-CONTROL!E5)/MAX(1,CONTROL!B8)),"")</f>
        <v/>
      </c>
      <c r="U1735" s="13">
        <f>IFERROR(IF(O1735&gt;N1735,"SUPPORT (PE OI)","RESIST (CE OI)"),"")</f>
        <v/>
      </c>
      <c r="V1735" s="13">
        <f>IFERROR(IF(Q1735&gt;0,IF(R1735&gt;0,"BOTH_ADD","CE_ADD_PE_REDUCE"),IF(R1735&gt;0,"CE_REDUCE_PE_ADD","BOTH_REDUCE")),"")</f>
        <v/>
      </c>
      <c r="W1735" s="13">
        <f>IFERROR( (P1735-1)*0.5 + (M1735)*0.1 - (I1735+J1735)*0.05 + T1735*0.4 ,"")</f>
        <v/>
      </c>
      <c r="X1735" s="13">
        <f>IFERROR(IF(ABS(F1735)&lt;0.01,"ATM/NEAR",""),"")</f>
        <v/>
      </c>
    </row>
    <row r="1736">
      <c r="A1736" s="13">
        <f>CHAIN_RAW!A1736</f>
        <v/>
      </c>
      <c r="B1736" s="14">
        <f>CHAIN_RAW!B1736</f>
        <v/>
      </c>
      <c r="C1736" s="13">
        <f>CHAIN_RAW!C1736</f>
        <v/>
      </c>
      <c r="D1736" s="13">
        <f>CHAIN_RAW!D1736</f>
        <v/>
      </c>
      <c r="E1736" s="13">
        <f>CHAIN_RAW!E1736</f>
        <v/>
      </c>
      <c r="F1736" s="13">
        <f>IFERROR((E1736-D1736)/D1736,"")</f>
        <v/>
      </c>
      <c r="G1736" s="13">
        <f>IFERROR((CHAIN_RAW!K1736+CHAIN_RAW!L1736)/2,"")</f>
        <v/>
      </c>
      <c r="H1736" s="13">
        <f>IFERROR((CHAIN_RAW!R1736+CHAIN_RAW!S1736)/2,"")</f>
        <v/>
      </c>
      <c r="I1736" s="13">
        <f>IFERROR((CHAIN_RAW!L1736-CHAIN_RAW!K1736)/MAX(1E-9, G1736),"")</f>
        <v/>
      </c>
      <c r="J1736" s="13">
        <f>IFERROR((CHAIN_RAW!S1736-CHAIN_RAW!R1736)/MAX(1E-9, H1736),"")</f>
        <v/>
      </c>
      <c r="K1736" s="13">
        <f>CHAIN_RAW!G1736</f>
        <v/>
      </c>
      <c r="L1736" s="13">
        <f>CHAIN_RAW!N1736</f>
        <v/>
      </c>
      <c r="M1736" s="13">
        <f>IFERROR(L1736-K1736,"")</f>
        <v/>
      </c>
      <c r="N1736" s="13">
        <f>CHAIN_RAW!H1736</f>
        <v/>
      </c>
      <c r="O1736" s="13">
        <f>CHAIN_RAW!O1736</f>
        <v/>
      </c>
      <c r="P1736" s="13">
        <f>IFERROR(O1736/N1736,"")</f>
        <v/>
      </c>
      <c r="Q1736" s="13">
        <f>CHAIN_RAW!I1736</f>
        <v/>
      </c>
      <c r="R1736" s="13">
        <f>CHAIN_RAW!P1736</f>
        <v/>
      </c>
      <c r="S1736" s="13">
        <f>IFERROR(R1736/Q1736,"")</f>
        <v/>
      </c>
      <c r="T1736" s="13">
        <f>IFERROR((ABS(N1736-O1736)/MAX(1,(N1736+O1736)))*EXP(-ABS(E1736-CONTROL!E5)/MAX(1,CONTROL!B8)),"")</f>
        <v/>
      </c>
      <c r="U1736" s="13">
        <f>IFERROR(IF(O1736&gt;N1736,"SUPPORT (PE OI)","RESIST (CE OI)"),"")</f>
        <v/>
      </c>
      <c r="V1736" s="13">
        <f>IFERROR(IF(Q1736&gt;0,IF(R1736&gt;0,"BOTH_ADD","CE_ADD_PE_REDUCE"),IF(R1736&gt;0,"CE_REDUCE_PE_ADD","BOTH_REDUCE")),"")</f>
        <v/>
      </c>
      <c r="W1736" s="13">
        <f>IFERROR( (P1736-1)*0.5 + (M1736)*0.1 - (I1736+J1736)*0.05 + T1736*0.4 ,"")</f>
        <v/>
      </c>
      <c r="X1736" s="13">
        <f>IFERROR(IF(ABS(F1736)&lt;0.01,"ATM/NEAR",""),"")</f>
        <v/>
      </c>
    </row>
    <row r="1737">
      <c r="A1737" s="13">
        <f>CHAIN_RAW!A1737</f>
        <v/>
      </c>
      <c r="B1737" s="14">
        <f>CHAIN_RAW!B1737</f>
        <v/>
      </c>
      <c r="C1737" s="13">
        <f>CHAIN_RAW!C1737</f>
        <v/>
      </c>
      <c r="D1737" s="13">
        <f>CHAIN_RAW!D1737</f>
        <v/>
      </c>
      <c r="E1737" s="13">
        <f>CHAIN_RAW!E1737</f>
        <v/>
      </c>
      <c r="F1737" s="13">
        <f>IFERROR((E1737-D1737)/D1737,"")</f>
        <v/>
      </c>
      <c r="G1737" s="13">
        <f>IFERROR((CHAIN_RAW!K1737+CHAIN_RAW!L1737)/2,"")</f>
        <v/>
      </c>
      <c r="H1737" s="13">
        <f>IFERROR((CHAIN_RAW!R1737+CHAIN_RAW!S1737)/2,"")</f>
        <v/>
      </c>
      <c r="I1737" s="13">
        <f>IFERROR((CHAIN_RAW!L1737-CHAIN_RAW!K1737)/MAX(1E-9, G1737),"")</f>
        <v/>
      </c>
      <c r="J1737" s="13">
        <f>IFERROR((CHAIN_RAW!S1737-CHAIN_RAW!R1737)/MAX(1E-9, H1737),"")</f>
        <v/>
      </c>
      <c r="K1737" s="13">
        <f>CHAIN_RAW!G1737</f>
        <v/>
      </c>
      <c r="L1737" s="13">
        <f>CHAIN_RAW!N1737</f>
        <v/>
      </c>
      <c r="M1737" s="13">
        <f>IFERROR(L1737-K1737,"")</f>
        <v/>
      </c>
      <c r="N1737" s="13">
        <f>CHAIN_RAW!H1737</f>
        <v/>
      </c>
      <c r="O1737" s="13">
        <f>CHAIN_RAW!O1737</f>
        <v/>
      </c>
      <c r="P1737" s="13">
        <f>IFERROR(O1737/N1737,"")</f>
        <v/>
      </c>
      <c r="Q1737" s="13">
        <f>CHAIN_RAW!I1737</f>
        <v/>
      </c>
      <c r="R1737" s="13">
        <f>CHAIN_RAW!P1737</f>
        <v/>
      </c>
      <c r="S1737" s="13">
        <f>IFERROR(R1737/Q1737,"")</f>
        <v/>
      </c>
      <c r="T1737" s="13">
        <f>IFERROR((ABS(N1737-O1737)/MAX(1,(N1737+O1737)))*EXP(-ABS(E1737-CONTROL!E5)/MAX(1,CONTROL!B8)),"")</f>
        <v/>
      </c>
      <c r="U1737" s="13">
        <f>IFERROR(IF(O1737&gt;N1737,"SUPPORT (PE OI)","RESIST (CE OI)"),"")</f>
        <v/>
      </c>
      <c r="V1737" s="13">
        <f>IFERROR(IF(Q1737&gt;0,IF(R1737&gt;0,"BOTH_ADD","CE_ADD_PE_REDUCE"),IF(R1737&gt;0,"CE_REDUCE_PE_ADD","BOTH_REDUCE")),"")</f>
        <v/>
      </c>
      <c r="W1737" s="13">
        <f>IFERROR( (P1737-1)*0.5 + (M1737)*0.1 - (I1737+J1737)*0.05 + T1737*0.4 ,"")</f>
        <v/>
      </c>
      <c r="X1737" s="13">
        <f>IFERROR(IF(ABS(F1737)&lt;0.01,"ATM/NEAR",""),"")</f>
        <v/>
      </c>
    </row>
    <row r="1738">
      <c r="A1738" s="13">
        <f>CHAIN_RAW!A1738</f>
        <v/>
      </c>
      <c r="B1738" s="14">
        <f>CHAIN_RAW!B1738</f>
        <v/>
      </c>
      <c r="C1738" s="13">
        <f>CHAIN_RAW!C1738</f>
        <v/>
      </c>
      <c r="D1738" s="13">
        <f>CHAIN_RAW!D1738</f>
        <v/>
      </c>
      <c r="E1738" s="13">
        <f>CHAIN_RAW!E1738</f>
        <v/>
      </c>
      <c r="F1738" s="13">
        <f>IFERROR((E1738-D1738)/D1738,"")</f>
        <v/>
      </c>
      <c r="G1738" s="13">
        <f>IFERROR((CHAIN_RAW!K1738+CHAIN_RAW!L1738)/2,"")</f>
        <v/>
      </c>
      <c r="H1738" s="13">
        <f>IFERROR((CHAIN_RAW!R1738+CHAIN_RAW!S1738)/2,"")</f>
        <v/>
      </c>
      <c r="I1738" s="13">
        <f>IFERROR((CHAIN_RAW!L1738-CHAIN_RAW!K1738)/MAX(1E-9, G1738),"")</f>
        <v/>
      </c>
      <c r="J1738" s="13">
        <f>IFERROR((CHAIN_RAW!S1738-CHAIN_RAW!R1738)/MAX(1E-9, H1738),"")</f>
        <v/>
      </c>
      <c r="K1738" s="13">
        <f>CHAIN_RAW!G1738</f>
        <v/>
      </c>
      <c r="L1738" s="13">
        <f>CHAIN_RAW!N1738</f>
        <v/>
      </c>
      <c r="M1738" s="13">
        <f>IFERROR(L1738-K1738,"")</f>
        <v/>
      </c>
      <c r="N1738" s="13">
        <f>CHAIN_RAW!H1738</f>
        <v/>
      </c>
      <c r="O1738" s="13">
        <f>CHAIN_RAW!O1738</f>
        <v/>
      </c>
      <c r="P1738" s="13">
        <f>IFERROR(O1738/N1738,"")</f>
        <v/>
      </c>
      <c r="Q1738" s="13">
        <f>CHAIN_RAW!I1738</f>
        <v/>
      </c>
      <c r="R1738" s="13">
        <f>CHAIN_RAW!P1738</f>
        <v/>
      </c>
      <c r="S1738" s="13">
        <f>IFERROR(R1738/Q1738,"")</f>
        <v/>
      </c>
      <c r="T1738" s="13">
        <f>IFERROR((ABS(N1738-O1738)/MAX(1,(N1738+O1738)))*EXP(-ABS(E1738-CONTROL!E5)/MAX(1,CONTROL!B8)),"")</f>
        <v/>
      </c>
      <c r="U1738" s="13">
        <f>IFERROR(IF(O1738&gt;N1738,"SUPPORT (PE OI)","RESIST (CE OI)"),"")</f>
        <v/>
      </c>
      <c r="V1738" s="13">
        <f>IFERROR(IF(Q1738&gt;0,IF(R1738&gt;0,"BOTH_ADD","CE_ADD_PE_REDUCE"),IF(R1738&gt;0,"CE_REDUCE_PE_ADD","BOTH_REDUCE")),"")</f>
        <v/>
      </c>
      <c r="W1738" s="13">
        <f>IFERROR( (P1738-1)*0.5 + (M1738)*0.1 - (I1738+J1738)*0.05 + T1738*0.4 ,"")</f>
        <v/>
      </c>
      <c r="X1738" s="13">
        <f>IFERROR(IF(ABS(F1738)&lt;0.01,"ATM/NEAR",""),"")</f>
        <v/>
      </c>
    </row>
    <row r="1739">
      <c r="A1739" s="13">
        <f>CHAIN_RAW!A1739</f>
        <v/>
      </c>
      <c r="B1739" s="14">
        <f>CHAIN_RAW!B1739</f>
        <v/>
      </c>
      <c r="C1739" s="13">
        <f>CHAIN_RAW!C1739</f>
        <v/>
      </c>
      <c r="D1739" s="13">
        <f>CHAIN_RAW!D1739</f>
        <v/>
      </c>
      <c r="E1739" s="13">
        <f>CHAIN_RAW!E1739</f>
        <v/>
      </c>
      <c r="F1739" s="13">
        <f>IFERROR((E1739-D1739)/D1739,"")</f>
        <v/>
      </c>
      <c r="G1739" s="13">
        <f>IFERROR((CHAIN_RAW!K1739+CHAIN_RAW!L1739)/2,"")</f>
        <v/>
      </c>
      <c r="H1739" s="13">
        <f>IFERROR((CHAIN_RAW!R1739+CHAIN_RAW!S1739)/2,"")</f>
        <v/>
      </c>
      <c r="I1739" s="13">
        <f>IFERROR((CHAIN_RAW!L1739-CHAIN_RAW!K1739)/MAX(1E-9, G1739),"")</f>
        <v/>
      </c>
      <c r="J1739" s="13">
        <f>IFERROR((CHAIN_RAW!S1739-CHAIN_RAW!R1739)/MAX(1E-9, H1739),"")</f>
        <v/>
      </c>
      <c r="K1739" s="13">
        <f>CHAIN_RAW!G1739</f>
        <v/>
      </c>
      <c r="L1739" s="13">
        <f>CHAIN_RAW!N1739</f>
        <v/>
      </c>
      <c r="M1739" s="13">
        <f>IFERROR(L1739-K1739,"")</f>
        <v/>
      </c>
      <c r="N1739" s="13">
        <f>CHAIN_RAW!H1739</f>
        <v/>
      </c>
      <c r="O1739" s="13">
        <f>CHAIN_RAW!O1739</f>
        <v/>
      </c>
      <c r="P1739" s="13">
        <f>IFERROR(O1739/N1739,"")</f>
        <v/>
      </c>
      <c r="Q1739" s="13">
        <f>CHAIN_RAW!I1739</f>
        <v/>
      </c>
      <c r="R1739" s="13">
        <f>CHAIN_RAW!P1739</f>
        <v/>
      </c>
      <c r="S1739" s="13">
        <f>IFERROR(R1739/Q1739,"")</f>
        <v/>
      </c>
      <c r="T1739" s="13">
        <f>IFERROR((ABS(N1739-O1739)/MAX(1,(N1739+O1739)))*EXP(-ABS(E1739-CONTROL!E5)/MAX(1,CONTROL!B8)),"")</f>
        <v/>
      </c>
      <c r="U1739" s="13">
        <f>IFERROR(IF(O1739&gt;N1739,"SUPPORT (PE OI)","RESIST (CE OI)"),"")</f>
        <v/>
      </c>
      <c r="V1739" s="13">
        <f>IFERROR(IF(Q1739&gt;0,IF(R1739&gt;0,"BOTH_ADD","CE_ADD_PE_REDUCE"),IF(R1739&gt;0,"CE_REDUCE_PE_ADD","BOTH_REDUCE")),"")</f>
        <v/>
      </c>
      <c r="W1739" s="13">
        <f>IFERROR( (P1739-1)*0.5 + (M1739)*0.1 - (I1739+J1739)*0.05 + T1739*0.4 ,"")</f>
        <v/>
      </c>
      <c r="X1739" s="13">
        <f>IFERROR(IF(ABS(F1739)&lt;0.01,"ATM/NEAR",""),"")</f>
        <v/>
      </c>
    </row>
    <row r="1740">
      <c r="A1740" s="13">
        <f>CHAIN_RAW!A1740</f>
        <v/>
      </c>
      <c r="B1740" s="14">
        <f>CHAIN_RAW!B1740</f>
        <v/>
      </c>
      <c r="C1740" s="13">
        <f>CHAIN_RAW!C1740</f>
        <v/>
      </c>
      <c r="D1740" s="13">
        <f>CHAIN_RAW!D1740</f>
        <v/>
      </c>
      <c r="E1740" s="13">
        <f>CHAIN_RAW!E1740</f>
        <v/>
      </c>
      <c r="F1740" s="13">
        <f>IFERROR((E1740-D1740)/D1740,"")</f>
        <v/>
      </c>
      <c r="G1740" s="13">
        <f>IFERROR((CHAIN_RAW!K1740+CHAIN_RAW!L1740)/2,"")</f>
        <v/>
      </c>
      <c r="H1740" s="13">
        <f>IFERROR((CHAIN_RAW!R1740+CHAIN_RAW!S1740)/2,"")</f>
        <v/>
      </c>
      <c r="I1740" s="13">
        <f>IFERROR((CHAIN_RAW!L1740-CHAIN_RAW!K1740)/MAX(1E-9, G1740),"")</f>
        <v/>
      </c>
      <c r="J1740" s="13">
        <f>IFERROR((CHAIN_RAW!S1740-CHAIN_RAW!R1740)/MAX(1E-9, H1740),"")</f>
        <v/>
      </c>
      <c r="K1740" s="13">
        <f>CHAIN_RAW!G1740</f>
        <v/>
      </c>
      <c r="L1740" s="13">
        <f>CHAIN_RAW!N1740</f>
        <v/>
      </c>
      <c r="M1740" s="13">
        <f>IFERROR(L1740-K1740,"")</f>
        <v/>
      </c>
      <c r="N1740" s="13">
        <f>CHAIN_RAW!H1740</f>
        <v/>
      </c>
      <c r="O1740" s="13">
        <f>CHAIN_RAW!O1740</f>
        <v/>
      </c>
      <c r="P1740" s="13">
        <f>IFERROR(O1740/N1740,"")</f>
        <v/>
      </c>
      <c r="Q1740" s="13">
        <f>CHAIN_RAW!I1740</f>
        <v/>
      </c>
      <c r="R1740" s="13">
        <f>CHAIN_RAW!P1740</f>
        <v/>
      </c>
      <c r="S1740" s="13">
        <f>IFERROR(R1740/Q1740,"")</f>
        <v/>
      </c>
      <c r="T1740" s="13">
        <f>IFERROR((ABS(N1740-O1740)/MAX(1,(N1740+O1740)))*EXP(-ABS(E1740-CONTROL!E5)/MAX(1,CONTROL!B8)),"")</f>
        <v/>
      </c>
      <c r="U1740" s="13">
        <f>IFERROR(IF(O1740&gt;N1740,"SUPPORT (PE OI)","RESIST (CE OI)"),"")</f>
        <v/>
      </c>
      <c r="V1740" s="13">
        <f>IFERROR(IF(Q1740&gt;0,IF(R1740&gt;0,"BOTH_ADD","CE_ADD_PE_REDUCE"),IF(R1740&gt;0,"CE_REDUCE_PE_ADD","BOTH_REDUCE")),"")</f>
        <v/>
      </c>
      <c r="W1740" s="13">
        <f>IFERROR( (P1740-1)*0.5 + (M1740)*0.1 - (I1740+J1740)*0.05 + T1740*0.4 ,"")</f>
        <v/>
      </c>
      <c r="X1740" s="13">
        <f>IFERROR(IF(ABS(F1740)&lt;0.01,"ATM/NEAR",""),"")</f>
        <v/>
      </c>
    </row>
    <row r="1741">
      <c r="A1741" s="13">
        <f>CHAIN_RAW!A1741</f>
        <v/>
      </c>
      <c r="B1741" s="14">
        <f>CHAIN_RAW!B1741</f>
        <v/>
      </c>
      <c r="C1741" s="13">
        <f>CHAIN_RAW!C1741</f>
        <v/>
      </c>
      <c r="D1741" s="13">
        <f>CHAIN_RAW!D1741</f>
        <v/>
      </c>
      <c r="E1741" s="13">
        <f>CHAIN_RAW!E1741</f>
        <v/>
      </c>
      <c r="F1741" s="13">
        <f>IFERROR((E1741-D1741)/D1741,"")</f>
        <v/>
      </c>
      <c r="G1741" s="13">
        <f>IFERROR((CHAIN_RAW!K1741+CHAIN_RAW!L1741)/2,"")</f>
        <v/>
      </c>
      <c r="H1741" s="13">
        <f>IFERROR((CHAIN_RAW!R1741+CHAIN_RAW!S1741)/2,"")</f>
        <v/>
      </c>
      <c r="I1741" s="13">
        <f>IFERROR((CHAIN_RAW!L1741-CHAIN_RAW!K1741)/MAX(1E-9, G1741),"")</f>
        <v/>
      </c>
      <c r="J1741" s="13">
        <f>IFERROR((CHAIN_RAW!S1741-CHAIN_RAW!R1741)/MAX(1E-9, H1741),"")</f>
        <v/>
      </c>
      <c r="K1741" s="13">
        <f>CHAIN_RAW!G1741</f>
        <v/>
      </c>
      <c r="L1741" s="13">
        <f>CHAIN_RAW!N1741</f>
        <v/>
      </c>
      <c r="M1741" s="13">
        <f>IFERROR(L1741-K1741,"")</f>
        <v/>
      </c>
      <c r="N1741" s="13">
        <f>CHAIN_RAW!H1741</f>
        <v/>
      </c>
      <c r="O1741" s="13">
        <f>CHAIN_RAW!O1741</f>
        <v/>
      </c>
      <c r="P1741" s="13">
        <f>IFERROR(O1741/N1741,"")</f>
        <v/>
      </c>
      <c r="Q1741" s="13">
        <f>CHAIN_RAW!I1741</f>
        <v/>
      </c>
      <c r="R1741" s="13">
        <f>CHAIN_RAW!P1741</f>
        <v/>
      </c>
      <c r="S1741" s="13">
        <f>IFERROR(R1741/Q1741,"")</f>
        <v/>
      </c>
      <c r="T1741" s="13">
        <f>IFERROR((ABS(N1741-O1741)/MAX(1,(N1741+O1741)))*EXP(-ABS(E1741-CONTROL!E5)/MAX(1,CONTROL!B8)),"")</f>
        <v/>
      </c>
      <c r="U1741" s="13">
        <f>IFERROR(IF(O1741&gt;N1741,"SUPPORT (PE OI)","RESIST (CE OI)"),"")</f>
        <v/>
      </c>
      <c r="V1741" s="13">
        <f>IFERROR(IF(Q1741&gt;0,IF(R1741&gt;0,"BOTH_ADD","CE_ADD_PE_REDUCE"),IF(R1741&gt;0,"CE_REDUCE_PE_ADD","BOTH_REDUCE")),"")</f>
        <v/>
      </c>
      <c r="W1741" s="13">
        <f>IFERROR( (P1741-1)*0.5 + (M1741)*0.1 - (I1741+J1741)*0.05 + T1741*0.4 ,"")</f>
        <v/>
      </c>
      <c r="X1741" s="13">
        <f>IFERROR(IF(ABS(F1741)&lt;0.01,"ATM/NEAR",""),"")</f>
        <v/>
      </c>
    </row>
    <row r="1742">
      <c r="A1742" s="13">
        <f>CHAIN_RAW!A1742</f>
        <v/>
      </c>
      <c r="B1742" s="14">
        <f>CHAIN_RAW!B1742</f>
        <v/>
      </c>
      <c r="C1742" s="13">
        <f>CHAIN_RAW!C1742</f>
        <v/>
      </c>
      <c r="D1742" s="13">
        <f>CHAIN_RAW!D1742</f>
        <v/>
      </c>
      <c r="E1742" s="13">
        <f>CHAIN_RAW!E1742</f>
        <v/>
      </c>
      <c r="F1742" s="13">
        <f>IFERROR((E1742-D1742)/D1742,"")</f>
        <v/>
      </c>
      <c r="G1742" s="13">
        <f>IFERROR((CHAIN_RAW!K1742+CHAIN_RAW!L1742)/2,"")</f>
        <v/>
      </c>
      <c r="H1742" s="13">
        <f>IFERROR((CHAIN_RAW!R1742+CHAIN_RAW!S1742)/2,"")</f>
        <v/>
      </c>
      <c r="I1742" s="13">
        <f>IFERROR((CHAIN_RAW!L1742-CHAIN_RAW!K1742)/MAX(1E-9, G1742),"")</f>
        <v/>
      </c>
      <c r="J1742" s="13">
        <f>IFERROR((CHAIN_RAW!S1742-CHAIN_RAW!R1742)/MAX(1E-9, H1742),"")</f>
        <v/>
      </c>
      <c r="K1742" s="13">
        <f>CHAIN_RAW!G1742</f>
        <v/>
      </c>
      <c r="L1742" s="13">
        <f>CHAIN_RAW!N1742</f>
        <v/>
      </c>
      <c r="M1742" s="13">
        <f>IFERROR(L1742-K1742,"")</f>
        <v/>
      </c>
      <c r="N1742" s="13">
        <f>CHAIN_RAW!H1742</f>
        <v/>
      </c>
      <c r="O1742" s="13">
        <f>CHAIN_RAW!O1742</f>
        <v/>
      </c>
      <c r="P1742" s="13">
        <f>IFERROR(O1742/N1742,"")</f>
        <v/>
      </c>
      <c r="Q1742" s="13">
        <f>CHAIN_RAW!I1742</f>
        <v/>
      </c>
      <c r="R1742" s="13">
        <f>CHAIN_RAW!P1742</f>
        <v/>
      </c>
      <c r="S1742" s="13">
        <f>IFERROR(R1742/Q1742,"")</f>
        <v/>
      </c>
      <c r="T1742" s="13">
        <f>IFERROR((ABS(N1742-O1742)/MAX(1,(N1742+O1742)))*EXP(-ABS(E1742-CONTROL!E5)/MAX(1,CONTROL!B8)),"")</f>
        <v/>
      </c>
      <c r="U1742" s="13">
        <f>IFERROR(IF(O1742&gt;N1742,"SUPPORT (PE OI)","RESIST (CE OI)"),"")</f>
        <v/>
      </c>
      <c r="V1742" s="13">
        <f>IFERROR(IF(Q1742&gt;0,IF(R1742&gt;0,"BOTH_ADD","CE_ADD_PE_REDUCE"),IF(R1742&gt;0,"CE_REDUCE_PE_ADD","BOTH_REDUCE")),"")</f>
        <v/>
      </c>
      <c r="W1742" s="13">
        <f>IFERROR( (P1742-1)*0.5 + (M1742)*0.1 - (I1742+J1742)*0.05 + T1742*0.4 ,"")</f>
        <v/>
      </c>
      <c r="X1742" s="13">
        <f>IFERROR(IF(ABS(F1742)&lt;0.01,"ATM/NEAR",""),"")</f>
        <v/>
      </c>
    </row>
    <row r="1743">
      <c r="A1743" s="13">
        <f>CHAIN_RAW!A1743</f>
        <v/>
      </c>
      <c r="B1743" s="14">
        <f>CHAIN_RAW!B1743</f>
        <v/>
      </c>
      <c r="C1743" s="13">
        <f>CHAIN_RAW!C1743</f>
        <v/>
      </c>
      <c r="D1743" s="13">
        <f>CHAIN_RAW!D1743</f>
        <v/>
      </c>
      <c r="E1743" s="13">
        <f>CHAIN_RAW!E1743</f>
        <v/>
      </c>
      <c r="F1743" s="13">
        <f>IFERROR((E1743-D1743)/D1743,"")</f>
        <v/>
      </c>
      <c r="G1743" s="13">
        <f>IFERROR((CHAIN_RAW!K1743+CHAIN_RAW!L1743)/2,"")</f>
        <v/>
      </c>
      <c r="H1743" s="13">
        <f>IFERROR((CHAIN_RAW!R1743+CHAIN_RAW!S1743)/2,"")</f>
        <v/>
      </c>
      <c r="I1743" s="13">
        <f>IFERROR((CHAIN_RAW!L1743-CHAIN_RAW!K1743)/MAX(1E-9, G1743),"")</f>
        <v/>
      </c>
      <c r="J1743" s="13">
        <f>IFERROR((CHAIN_RAW!S1743-CHAIN_RAW!R1743)/MAX(1E-9, H1743),"")</f>
        <v/>
      </c>
      <c r="K1743" s="13">
        <f>CHAIN_RAW!G1743</f>
        <v/>
      </c>
      <c r="L1743" s="13">
        <f>CHAIN_RAW!N1743</f>
        <v/>
      </c>
      <c r="M1743" s="13">
        <f>IFERROR(L1743-K1743,"")</f>
        <v/>
      </c>
      <c r="N1743" s="13">
        <f>CHAIN_RAW!H1743</f>
        <v/>
      </c>
      <c r="O1743" s="13">
        <f>CHAIN_RAW!O1743</f>
        <v/>
      </c>
      <c r="P1743" s="13">
        <f>IFERROR(O1743/N1743,"")</f>
        <v/>
      </c>
      <c r="Q1743" s="13">
        <f>CHAIN_RAW!I1743</f>
        <v/>
      </c>
      <c r="R1743" s="13">
        <f>CHAIN_RAW!P1743</f>
        <v/>
      </c>
      <c r="S1743" s="13">
        <f>IFERROR(R1743/Q1743,"")</f>
        <v/>
      </c>
      <c r="T1743" s="13">
        <f>IFERROR((ABS(N1743-O1743)/MAX(1,(N1743+O1743)))*EXP(-ABS(E1743-CONTROL!E5)/MAX(1,CONTROL!B8)),"")</f>
        <v/>
      </c>
      <c r="U1743" s="13">
        <f>IFERROR(IF(O1743&gt;N1743,"SUPPORT (PE OI)","RESIST (CE OI)"),"")</f>
        <v/>
      </c>
      <c r="V1743" s="13">
        <f>IFERROR(IF(Q1743&gt;0,IF(R1743&gt;0,"BOTH_ADD","CE_ADD_PE_REDUCE"),IF(R1743&gt;0,"CE_REDUCE_PE_ADD","BOTH_REDUCE")),"")</f>
        <v/>
      </c>
      <c r="W1743" s="13">
        <f>IFERROR( (P1743-1)*0.5 + (M1743)*0.1 - (I1743+J1743)*0.05 + T1743*0.4 ,"")</f>
        <v/>
      </c>
      <c r="X1743" s="13">
        <f>IFERROR(IF(ABS(F1743)&lt;0.01,"ATM/NEAR",""),"")</f>
        <v/>
      </c>
    </row>
    <row r="1744">
      <c r="A1744" s="13">
        <f>CHAIN_RAW!A1744</f>
        <v/>
      </c>
      <c r="B1744" s="14">
        <f>CHAIN_RAW!B1744</f>
        <v/>
      </c>
      <c r="C1744" s="13">
        <f>CHAIN_RAW!C1744</f>
        <v/>
      </c>
      <c r="D1744" s="13">
        <f>CHAIN_RAW!D1744</f>
        <v/>
      </c>
      <c r="E1744" s="13">
        <f>CHAIN_RAW!E1744</f>
        <v/>
      </c>
      <c r="F1744" s="13">
        <f>IFERROR((E1744-D1744)/D1744,"")</f>
        <v/>
      </c>
      <c r="G1744" s="13">
        <f>IFERROR((CHAIN_RAW!K1744+CHAIN_RAW!L1744)/2,"")</f>
        <v/>
      </c>
      <c r="H1744" s="13">
        <f>IFERROR((CHAIN_RAW!R1744+CHAIN_RAW!S1744)/2,"")</f>
        <v/>
      </c>
      <c r="I1744" s="13">
        <f>IFERROR((CHAIN_RAW!L1744-CHAIN_RAW!K1744)/MAX(1E-9, G1744),"")</f>
        <v/>
      </c>
      <c r="J1744" s="13">
        <f>IFERROR((CHAIN_RAW!S1744-CHAIN_RAW!R1744)/MAX(1E-9, H1744),"")</f>
        <v/>
      </c>
      <c r="K1744" s="13">
        <f>CHAIN_RAW!G1744</f>
        <v/>
      </c>
      <c r="L1744" s="13">
        <f>CHAIN_RAW!N1744</f>
        <v/>
      </c>
      <c r="M1744" s="13">
        <f>IFERROR(L1744-K1744,"")</f>
        <v/>
      </c>
      <c r="N1744" s="13">
        <f>CHAIN_RAW!H1744</f>
        <v/>
      </c>
      <c r="O1744" s="13">
        <f>CHAIN_RAW!O1744</f>
        <v/>
      </c>
      <c r="P1744" s="13">
        <f>IFERROR(O1744/N1744,"")</f>
        <v/>
      </c>
      <c r="Q1744" s="13">
        <f>CHAIN_RAW!I1744</f>
        <v/>
      </c>
      <c r="R1744" s="13">
        <f>CHAIN_RAW!P1744</f>
        <v/>
      </c>
      <c r="S1744" s="13">
        <f>IFERROR(R1744/Q1744,"")</f>
        <v/>
      </c>
      <c r="T1744" s="13">
        <f>IFERROR((ABS(N1744-O1744)/MAX(1,(N1744+O1744)))*EXP(-ABS(E1744-CONTROL!E5)/MAX(1,CONTROL!B8)),"")</f>
        <v/>
      </c>
      <c r="U1744" s="13">
        <f>IFERROR(IF(O1744&gt;N1744,"SUPPORT (PE OI)","RESIST (CE OI)"),"")</f>
        <v/>
      </c>
      <c r="V1744" s="13">
        <f>IFERROR(IF(Q1744&gt;0,IF(R1744&gt;0,"BOTH_ADD","CE_ADD_PE_REDUCE"),IF(R1744&gt;0,"CE_REDUCE_PE_ADD","BOTH_REDUCE")),"")</f>
        <v/>
      </c>
      <c r="W1744" s="13">
        <f>IFERROR( (P1744-1)*0.5 + (M1744)*0.1 - (I1744+J1744)*0.05 + T1744*0.4 ,"")</f>
        <v/>
      </c>
      <c r="X1744" s="13">
        <f>IFERROR(IF(ABS(F1744)&lt;0.01,"ATM/NEAR",""),"")</f>
        <v/>
      </c>
    </row>
    <row r="1745">
      <c r="A1745" s="13">
        <f>CHAIN_RAW!A1745</f>
        <v/>
      </c>
      <c r="B1745" s="14">
        <f>CHAIN_RAW!B1745</f>
        <v/>
      </c>
      <c r="C1745" s="13">
        <f>CHAIN_RAW!C1745</f>
        <v/>
      </c>
      <c r="D1745" s="13">
        <f>CHAIN_RAW!D1745</f>
        <v/>
      </c>
      <c r="E1745" s="13">
        <f>CHAIN_RAW!E1745</f>
        <v/>
      </c>
      <c r="F1745" s="13">
        <f>IFERROR((E1745-D1745)/D1745,"")</f>
        <v/>
      </c>
      <c r="G1745" s="13">
        <f>IFERROR((CHAIN_RAW!K1745+CHAIN_RAW!L1745)/2,"")</f>
        <v/>
      </c>
      <c r="H1745" s="13">
        <f>IFERROR((CHAIN_RAW!R1745+CHAIN_RAW!S1745)/2,"")</f>
        <v/>
      </c>
      <c r="I1745" s="13">
        <f>IFERROR((CHAIN_RAW!L1745-CHAIN_RAW!K1745)/MAX(1E-9, G1745),"")</f>
        <v/>
      </c>
      <c r="J1745" s="13">
        <f>IFERROR((CHAIN_RAW!S1745-CHAIN_RAW!R1745)/MAX(1E-9, H1745),"")</f>
        <v/>
      </c>
      <c r="K1745" s="13">
        <f>CHAIN_RAW!G1745</f>
        <v/>
      </c>
      <c r="L1745" s="13">
        <f>CHAIN_RAW!N1745</f>
        <v/>
      </c>
      <c r="M1745" s="13">
        <f>IFERROR(L1745-K1745,"")</f>
        <v/>
      </c>
      <c r="N1745" s="13">
        <f>CHAIN_RAW!H1745</f>
        <v/>
      </c>
      <c r="O1745" s="13">
        <f>CHAIN_RAW!O1745</f>
        <v/>
      </c>
      <c r="P1745" s="13">
        <f>IFERROR(O1745/N1745,"")</f>
        <v/>
      </c>
      <c r="Q1745" s="13">
        <f>CHAIN_RAW!I1745</f>
        <v/>
      </c>
      <c r="R1745" s="13">
        <f>CHAIN_RAW!P1745</f>
        <v/>
      </c>
      <c r="S1745" s="13">
        <f>IFERROR(R1745/Q1745,"")</f>
        <v/>
      </c>
      <c r="T1745" s="13">
        <f>IFERROR((ABS(N1745-O1745)/MAX(1,(N1745+O1745)))*EXP(-ABS(E1745-CONTROL!E5)/MAX(1,CONTROL!B8)),"")</f>
        <v/>
      </c>
      <c r="U1745" s="13">
        <f>IFERROR(IF(O1745&gt;N1745,"SUPPORT (PE OI)","RESIST (CE OI)"),"")</f>
        <v/>
      </c>
      <c r="V1745" s="13">
        <f>IFERROR(IF(Q1745&gt;0,IF(R1745&gt;0,"BOTH_ADD","CE_ADD_PE_REDUCE"),IF(R1745&gt;0,"CE_REDUCE_PE_ADD","BOTH_REDUCE")),"")</f>
        <v/>
      </c>
      <c r="W1745" s="13">
        <f>IFERROR( (P1745-1)*0.5 + (M1745)*0.1 - (I1745+J1745)*0.05 + T1745*0.4 ,"")</f>
        <v/>
      </c>
      <c r="X1745" s="13">
        <f>IFERROR(IF(ABS(F1745)&lt;0.01,"ATM/NEAR",""),"")</f>
        <v/>
      </c>
    </row>
    <row r="1746">
      <c r="A1746" s="13">
        <f>CHAIN_RAW!A1746</f>
        <v/>
      </c>
      <c r="B1746" s="14">
        <f>CHAIN_RAW!B1746</f>
        <v/>
      </c>
      <c r="C1746" s="13">
        <f>CHAIN_RAW!C1746</f>
        <v/>
      </c>
      <c r="D1746" s="13">
        <f>CHAIN_RAW!D1746</f>
        <v/>
      </c>
      <c r="E1746" s="13">
        <f>CHAIN_RAW!E1746</f>
        <v/>
      </c>
      <c r="F1746" s="13">
        <f>IFERROR((E1746-D1746)/D1746,"")</f>
        <v/>
      </c>
      <c r="G1746" s="13">
        <f>IFERROR((CHAIN_RAW!K1746+CHAIN_RAW!L1746)/2,"")</f>
        <v/>
      </c>
      <c r="H1746" s="13">
        <f>IFERROR((CHAIN_RAW!R1746+CHAIN_RAW!S1746)/2,"")</f>
        <v/>
      </c>
      <c r="I1746" s="13">
        <f>IFERROR((CHAIN_RAW!L1746-CHAIN_RAW!K1746)/MAX(1E-9, G1746),"")</f>
        <v/>
      </c>
      <c r="J1746" s="13">
        <f>IFERROR((CHAIN_RAW!S1746-CHAIN_RAW!R1746)/MAX(1E-9, H1746),"")</f>
        <v/>
      </c>
      <c r="K1746" s="13">
        <f>CHAIN_RAW!G1746</f>
        <v/>
      </c>
      <c r="L1746" s="13">
        <f>CHAIN_RAW!N1746</f>
        <v/>
      </c>
      <c r="M1746" s="13">
        <f>IFERROR(L1746-K1746,"")</f>
        <v/>
      </c>
      <c r="N1746" s="13">
        <f>CHAIN_RAW!H1746</f>
        <v/>
      </c>
      <c r="O1746" s="13">
        <f>CHAIN_RAW!O1746</f>
        <v/>
      </c>
      <c r="P1746" s="13">
        <f>IFERROR(O1746/N1746,"")</f>
        <v/>
      </c>
      <c r="Q1746" s="13">
        <f>CHAIN_RAW!I1746</f>
        <v/>
      </c>
      <c r="R1746" s="13">
        <f>CHAIN_RAW!P1746</f>
        <v/>
      </c>
      <c r="S1746" s="13">
        <f>IFERROR(R1746/Q1746,"")</f>
        <v/>
      </c>
      <c r="T1746" s="13">
        <f>IFERROR((ABS(N1746-O1746)/MAX(1,(N1746+O1746)))*EXP(-ABS(E1746-CONTROL!E5)/MAX(1,CONTROL!B8)),"")</f>
        <v/>
      </c>
      <c r="U1746" s="13">
        <f>IFERROR(IF(O1746&gt;N1746,"SUPPORT (PE OI)","RESIST (CE OI)"),"")</f>
        <v/>
      </c>
      <c r="V1746" s="13">
        <f>IFERROR(IF(Q1746&gt;0,IF(R1746&gt;0,"BOTH_ADD","CE_ADD_PE_REDUCE"),IF(R1746&gt;0,"CE_REDUCE_PE_ADD","BOTH_REDUCE")),"")</f>
        <v/>
      </c>
      <c r="W1746" s="13">
        <f>IFERROR( (P1746-1)*0.5 + (M1746)*0.1 - (I1746+J1746)*0.05 + T1746*0.4 ,"")</f>
        <v/>
      </c>
      <c r="X1746" s="13">
        <f>IFERROR(IF(ABS(F1746)&lt;0.01,"ATM/NEAR",""),"")</f>
        <v/>
      </c>
    </row>
    <row r="1747">
      <c r="A1747" s="13">
        <f>CHAIN_RAW!A1747</f>
        <v/>
      </c>
      <c r="B1747" s="14">
        <f>CHAIN_RAW!B1747</f>
        <v/>
      </c>
      <c r="C1747" s="13">
        <f>CHAIN_RAW!C1747</f>
        <v/>
      </c>
      <c r="D1747" s="13">
        <f>CHAIN_RAW!D1747</f>
        <v/>
      </c>
      <c r="E1747" s="13">
        <f>CHAIN_RAW!E1747</f>
        <v/>
      </c>
      <c r="F1747" s="13">
        <f>IFERROR((E1747-D1747)/D1747,"")</f>
        <v/>
      </c>
      <c r="G1747" s="13">
        <f>IFERROR((CHAIN_RAW!K1747+CHAIN_RAW!L1747)/2,"")</f>
        <v/>
      </c>
      <c r="H1747" s="13">
        <f>IFERROR((CHAIN_RAW!R1747+CHAIN_RAW!S1747)/2,"")</f>
        <v/>
      </c>
      <c r="I1747" s="13">
        <f>IFERROR((CHAIN_RAW!L1747-CHAIN_RAW!K1747)/MAX(1E-9, G1747),"")</f>
        <v/>
      </c>
      <c r="J1747" s="13">
        <f>IFERROR((CHAIN_RAW!S1747-CHAIN_RAW!R1747)/MAX(1E-9, H1747),"")</f>
        <v/>
      </c>
      <c r="K1747" s="13">
        <f>CHAIN_RAW!G1747</f>
        <v/>
      </c>
      <c r="L1747" s="13">
        <f>CHAIN_RAW!N1747</f>
        <v/>
      </c>
      <c r="M1747" s="13">
        <f>IFERROR(L1747-K1747,"")</f>
        <v/>
      </c>
      <c r="N1747" s="13">
        <f>CHAIN_RAW!H1747</f>
        <v/>
      </c>
      <c r="O1747" s="13">
        <f>CHAIN_RAW!O1747</f>
        <v/>
      </c>
      <c r="P1747" s="13">
        <f>IFERROR(O1747/N1747,"")</f>
        <v/>
      </c>
      <c r="Q1747" s="13">
        <f>CHAIN_RAW!I1747</f>
        <v/>
      </c>
      <c r="R1747" s="13">
        <f>CHAIN_RAW!P1747</f>
        <v/>
      </c>
      <c r="S1747" s="13">
        <f>IFERROR(R1747/Q1747,"")</f>
        <v/>
      </c>
      <c r="T1747" s="13">
        <f>IFERROR((ABS(N1747-O1747)/MAX(1,(N1747+O1747)))*EXP(-ABS(E1747-CONTROL!E5)/MAX(1,CONTROL!B8)),"")</f>
        <v/>
      </c>
      <c r="U1747" s="13">
        <f>IFERROR(IF(O1747&gt;N1747,"SUPPORT (PE OI)","RESIST (CE OI)"),"")</f>
        <v/>
      </c>
      <c r="V1747" s="13">
        <f>IFERROR(IF(Q1747&gt;0,IF(R1747&gt;0,"BOTH_ADD","CE_ADD_PE_REDUCE"),IF(R1747&gt;0,"CE_REDUCE_PE_ADD","BOTH_REDUCE")),"")</f>
        <v/>
      </c>
      <c r="W1747" s="13">
        <f>IFERROR( (P1747-1)*0.5 + (M1747)*0.1 - (I1747+J1747)*0.05 + T1747*0.4 ,"")</f>
        <v/>
      </c>
      <c r="X1747" s="13">
        <f>IFERROR(IF(ABS(F1747)&lt;0.01,"ATM/NEAR",""),"")</f>
        <v/>
      </c>
    </row>
    <row r="1748">
      <c r="A1748" s="13">
        <f>CHAIN_RAW!A1748</f>
        <v/>
      </c>
      <c r="B1748" s="14">
        <f>CHAIN_RAW!B1748</f>
        <v/>
      </c>
      <c r="C1748" s="13">
        <f>CHAIN_RAW!C1748</f>
        <v/>
      </c>
      <c r="D1748" s="13">
        <f>CHAIN_RAW!D1748</f>
        <v/>
      </c>
      <c r="E1748" s="13">
        <f>CHAIN_RAW!E1748</f>
        <v/>
      </c>
      <c r="F1748" s="13">
        <f>IFERROR((E1748-D1748)/D1748,"")</f>
        <v/>
      </c>
      <c r="G1748" s="13">
        <f>IFERROR((CHAIN_RAW!K1748+CHAIN_RAW!L1748)/2,"")</f>
        <v/>
      </c>
      <c r="H1748" s="13">
        <f>IFERROR((CHAIN_RAW!R1748+CHAIN_RAW!S1748)/2,"")</f>
        <v/>
      </c>
      <c r="I1748" s="13">
        <f>IFERROR((CHAIN_RAW!L1748-CHAIN_RAW!K1748)/MAX(1E-9, G1748),"")</f>
        <v/>
      </c>
      <c r="J1748" s="13">
        <f>IFERROR((CHAIN_RAW!S1748-CHAIN_RAW!R1748)/MAX(1E-9, H1748),"")</f>
        <v/>
      </c>
      <c r="K1748" s="13">
        <f>CHAIN_RAW!G1748</f>
        <v/>
      </c>
      <c r="L1748" s="13">
        <f>CHAIN_RAW!N1748</f>
        <v/>
      </c>
      <c r="M1748" s="13">
        <f>IFERROR(L1748-K1748,"")</f>
        <v/>
      </c>
      <c r="N1748" s="13">
        <f>CHAIN_RAW!H1748</f>
        <v/>
      </c>
      <c r="O1748" s="13">
        <f>CHAIN_RAW!O1748</f>
        <v/>
      </c>
      <c r="P1748" s="13">
        <f>IFERROR(O1748/N1748,"")</f>
        <v/>
      </c>
      <c r="Q1748" s="13">
        <f>CHAIN_RAW!I1748</f>
        <v/>
      </c>
      <c r="R1748" s="13">
        <f>CHAIN_RAW!P1748</f>
        <v/>
      </c>
      <c r="S1748" s="13">
        <f>IFERROR(R1748/Q1748,"")</f>
        <v/>
      </c>
      <c r="T1748" s="13">
        <f>IFERROR((ABS(N1748-O1748)/MAX(1,(N1748+O1748)))*EXP(-ABS(E1748-CONTROL!E5)/MAX(1,CONTROL!B8)),"")</f>
        <v/>
      </c>
      <c r="U1748" s="13">
        <f>IFERROR(IF(O1748&gt;N1748,"SUPPORT (PE OI)","RESIST (CE OI)"),"")</f>
        <v/>
      </c>
      <c r="V1748" s="13">
        <f>IFERROR(IF(Q1748&gt;0,IF(R1748&gt;0,"BOTH_ADD","CE_ADD_PE_REDUCE"),IF(R1748&gt;0,"CE_REDUCE_PE_ADD","BOTH_REDUCE")),"")</f>
        <v/>
      </c>
      <c r="W1748" s="13">
        <f>IFERROR( (P1748-1)*0.5 + (M1748)*0.1 - (I1748+J1748)*0.05 + T1748*0.4 ,"")</f>
        <v/>
      </c>
      <c r="X1748" s="13">
        <f>IFERROR(IF(ABS(F1748)&lt;0.01,"ATM/NEAR",""),"")</f>
        <v/>
      </c>
    </row>
    <row r="1749">
      <c r="A1749" s="13">
        <f>CHAIN_RAW!A1749</f>
        <v/>
      </c>
      <c r="B1749" s="14">
        <f>CHAIN_RAW!B1749</f>
        <v/>
      </c>
      <c r="C1749" s="13">
        <f>CHAIN_RAW!C1749</f>
        <v/>
      </c>
      <c r="D1749" s="13">
        <f>CHAIN_RAW!D1749</f>
        <v/>
      </c>
      <c r="E1749" s="13">
        <f>CHAIN_RAW!E1749</f>
        <v/>
      </c>
      <c r="F1749" s="13">
        <f>IFERROR((E1749-D1749)/D1749,"")</f>
        <v/>
      </c>
      <c r="G1749" s="13">
        <f>IFERROR((CHAIN_RAW!K1749+CHAIN_RAW!L1749)/2,"")</f>
        <v/>
      </c>
      <c r="H1749" s="13">
        <f>IFERROR((CHAIN_RAW!R1749+CHAIN_RAW!S1749)/2,"")</f>
        <v/>
      </c>
      <c r="I1749" s="13">
        <f>IFERROR((CHAIN_RAW!L1749-CHAIN_RAW!K1749)/MAX(1E-9, G1749),"")</f>
        <v/>
      </c>
      <c r="J1749" s="13">
        <f>IFERROR((CHAIN_RAW!S1749-CHAIN_RAW!R1749)/MAX(1E-9, H1749),"")</f>
        <v/>
      </c>
      <c r="K1749" s="13">
        <f>CHAIN_RAW!G1749</f>
        <v/>
      </c>
      <c r="L1749" s="13">
        <f>CHAIN_RAW!N1749</f>
        <v/>
      </c>
      <c r="M1749" s="13">
        <f>IFERROR(L1749-K1749,"")</f>
        <v/>
      </c>
      <c r="N1749" s="13">
        <f>CHAIN_RAW!H1749</f>
        <v/>
      </c>
      <c r="O1749" s="13">
        <f>CHAIN_RAW!O1749</f>
        <v/>
      </c>
      <c r="P1749" s="13">
        <f>IFERROR(O1749/N1749,"")</f>
        <v/>
      </c>
      <c r="Q1749" s="13">
        <f>CHAIN_RAW!I1749</f>
        <v/>
      </c>
      <c r="R1749" s="13">
        <f>CHAIN_RAW!P1749</f>
        <v/>
      </c>
      <c r="S1749" s="13">
        <f>IFERROR(R1749/Q1749,"")</f>
        <v/>
      </c>
      <c r="T1749" s="13">
        <f>IFERROR((ABS(N1749-O1749)/MAX(1,(N1749+O1749)))*EXP(-ABS(E1749-CONTROL!E5)/MAX(1,CONTROL!B8)),"")</f>
        <v/>
      </c>
      <c r="U1749" s="13">
        <f>IFERROR(IF(O1749&gt;N1749,"SUPPORT (PE OI)","RESIST (CE OI)"),"")</f>
        <v/>
      </c>
      <c r="V1749" s="13">
        <f>IFERROR(IF(Q1749&gt;0,IF(R1749&gt;0,"BOTH_ADD","CE_ADD_PE_REDUCE"),IF(R1749&gt;0,"CE_REDUCE_PE_ADD","BOTH_REDUCE")),"")</f>
        <v/>
      </c>
      <c r="W1749" s="13">
        <f>IFERROR( (P1749-1)*0.5 + (M1749)*0.1 - (I1749+J1749)*0.05 + T1749*0.4 ,"")</f>
        <v/>
      </c>
      <c r="X1749" s="13">
        <f>IFERROR(IF(ABS(F1749)&lt;0.01,"ATM/NEAR",""),"")</f>
        <v/>
      </c>
    </row>
    <row r="1750">
      <c r="A1750" s="13">
        <f>CHAIN_RAW!A1750</f>
        <v/>
      </c>
      <c r="B1750" s="14">
        <f>CHAIN_RAW!B1750</f>
        <v/>
      </c>
      <c r="C1750" s="13">
        <f>CHAIN_RAW!C1750</f>
        <v/>
      </c>
      <c r="D1750" s="13">
        <f>CHAIN_RAW!D1750</f>
        <v/>
      </c>
      <c r="E1750" s="13">
        <f>CHAIN_RAW!E1750</f>
        <v/>
      </c>
      <c r="F1750" s="13">
        <f>IFERROR((E1750-D1750)/D1750,"")</f>
        <v/>
      </c>
      <c r="G1750" s="13">
        <f>IFERROR((CHAIN_RAW!K1750+CHAIN_RAW!L1750)/2,"")</f>
        <v/>
      </c>
      <c r="H1750" s="13">
        <f>IFERROR((CHAIN_RAW!R1750+CHAIN_RAW!S1750)/2,"")</f>
        <v/>
      </c>
      <c r="I1750" s="13">
        <f>IFERROR((CHAIN_RAW!L1750-CHAIN_RAW!K1750)/MAX(1E-9, G1750),"")</f>
        <v/>
      </c>
      <c r="J1750" s="13">
        <f>IFERROR((CHAIN_RAW!S1750-CHAIN_RAW!R1750)/MAX(1E-9, H1750),"")</f>
        <v/>
      </c>
      <c r="K1750" s="13">
        <f>CHAIN_RAW!G1750</f>
        <v/>
      </c>
      <c r="L1750" s="13">
        <f>CHAIN_RAW!N1750</f>
        <v/>
      </c>
      <c r="M1750" s="13">
        <f>IFERROR(L1750-K1750,"")</f>
        <v/>
      </c>
      <c r="N1750" s="13">
        <f>CHAIN_RAW!H1750</f>
        <v/>
      </c>
      <c r="O1750" s="13">
        <f>CHAIN_RAW!O1750</f>
        <v/>
      </c>
      <c r="P1750" s="13">
        <f>IFERROR(O1750/N1750,"")</f>
        <v/>
      </c>
      <c r="Q1750" s="13">
        <f>CHAIN_RAW!I1750</f>
        <v/>
      </c>
      <c r="R1750" s="13">
        <f>CHAIN_RAW!P1750</f>
        <v/>
      </c>
      <c r="S1750" s="13">
        <f>IFERROR(R1750/Q1750,"")</f>
        <v/>
      </c>
      <c r="T1750" s="13">
        <f>IFERROR((ABS(N1750-O1750)/MAX(1,(N1750+O1750)))*EXP(-ABS(E1750-CONTROL!E5)/MAX(1,CONTROL!B8)),"")</f>
        <v/>
      </c>
      <c r="U1750" s="13">
        <f>IFERROR(IF(O1750&gt;N1750,"SUPPORT (PE OI)","RESIST (CE OI)"),"")</f>
        <v/>
      </c>
      <c r="V1750" s="13">
        <f>IFERROR(IF(Q1750&gt;0,IF(R1750&gt;0,"BOTH_ADD","CE_ADD_PE_REDUCE"),IF(R1750&gt;0,"CE_REDUCE_PE_ADD","BOTH_REDUCE")),"")</f>
        <v/>
      </c>
      <c r="W1750" s="13">
        <f>IFERROR( (P1750-1)*0.5 + (M1750)*0.1 - (I1750+J1750)*0.05 + T1750*0.4 ,"")</f>
        <v/>
      </c>
      <c r="X1750" s="13">
        <f>IFERROR(IF(ABS(F1750)&lt;0.01,"ATM/NEAR",""),"")</f>
        <v/>
      </c>
    </row>
    <row r="1751">
      <c r="A1751" s="13">
        <f>CHAIN_RAW!A1751</f>
        <v/>
      </c>
      <c r="B1751" s="14">
        <f>CHAIN_RAW!B1751</f>
        <v/>
      </c>
      <c r="C1751" s="13">
        <f>CHAIN_RAW!C1751</f>
        <v/>
      </c>
      <c r="D1751" s="13">
        <f>CHAIN_RAW!D1751</f>
        <v/>
      </c>
      <c r="E1751" s="13">
        <f>CHAIN_RAW!E1751</f>
        <v/>
      </c>
      <c r="F1751" s="13">
        <f>IFERROR((E1751-D1751)/D1751,"")</f>
        <v/>
      </c>
      <c r="G1751" s="13">
        <f>IFERROR((CHAIN_RAW!K1751+CHAIN_RAW!L1751)/2,"")</f>
        <v/>
      </c>
      <c r="H1751" s="13">
        <f>IFERROR((CHAIN_RAW!R1751+CHAIN_RAW!S1751)/2,"")</f>
        <v/>
      </c>
      <c r="I1751" s="13">
        <f>IFERROR((CHAIN_RAW!L1751-CHAIN_RAW!K1751)/MAX(1E-9, G1751),"")</f>
        <v/>
      </c>
      <c r="J1751" s="13">
        <f>IFERROR((CHAIN_RAW!S1751-CHAIN_RAW!R1751)/MAX(1E-9, H1751),"")</f>
        <v/>
      </c>
      <c r="K1751" s="13">
        <f>CHAIN_RAW!G1751</f>
        <v/>
      </c>
      <c r="L1751" s="13">
        <f>CHAIN_RAW!N1751</f>
        <v/>
      </c>
      <c r="M1751" s="13">
        <f>IFERROR(L1751-K1751,"")</f>
        <v/>
      </c>
      <c r="N1751" s="13">
        <f>CHAIN_RAW!H1751</f>
        <v/>
      </c>
      <c r="O1751" s="13">
        <f>CHAIN_RAW!O1751</f>
        <v/>
      </c>
      <c r="P1751" s="13">
        <f>IFERROR(O1751/N1751,"")</f>
        <v/>
      </c>
      <c r="Q1751" s="13">
        <f>CHAIN_RAW!I1751</f>
        <v/>
      </c>
      <c r="R1751" s="13">
        <f>CHAIN_RAW!P1751</f>
        <v/>
      </c>
      <c r="S1751" s="13">
        <f>IFERROR(R1751/Q1751,"")</f>
        <v/>
      </c>
      <c r="T1751" s="13">
        <f>IFERROR((ABS(N1751-O1751)/MAX(1,(N1751+O1751)))*EXP(-ABS(E1751-CONTROL!E5)/MAX(1,CONTROL!B8)),"")</f>
        <v/>
      </c>
      <c r="U1751" s="13">
        <f>IFERROR(IF(O1751&gt;N1751,"SUPPORT (PE OI)","RESIST (CE OI)"),"")</f>
        <v/>
      </c>
      <c r="V1751" s="13">
        <f>IFERROR(IF(Q1751&gt;0,IF(R1751&gt;0,"BOTH_ADD","CE_ADD_PE_REDUCE"),IF(R1751&gt;0,"CE_REDUCE_PE_ADD","BOTH_REDUCE")),"")</f>
        <v/>
      </c>
      <c r="W1751" s="13">
        <f>IFERROR( (P1751-1)*0.5 + (M1751)*0.1 - (I1751+J1751)*0.05 + T1751*0.4 ,"")</f>
        <v/>
      </c>
      <c r="X1751" s="13">
        <f>IFERROR(IF(ABS(F1751)&lt;0.01,"ATM/NEAR",""),"")</f>
        <v/>
      </c>
    </row>
    <row r="1752">
      <c r="A1752" s="13">
        <f>CHAIN_RAW!A1752</f>
        <v/>
      </c>
      <c r="B1752" s="14">
        <f>CHAIN_RAW!B1752</f>
        <v/>
      </c>
      <c r="C1752" s="13">
        <f>CHAIN_RAW!C1752</f>
        <v/>
      </c>
      <c r="D1752" s="13">
        <f>CHAIN_RAW!D1752</f>
        <v/>
      </c>
      <c r="E1752" s="13">
        <f>CHAIN_RAW!E1752</f>
        <v/>
      </c>
      <c r="F1752" s="13">
        <f>IFERROR((E1752-D1752)/D1752,"")</f>
        <v/>
      </c>
      <c r="G1752" s="13">
        <f>IFERROR((CHAIN_RAW!K1752+CHAIN_RAW!L1752)/2,"")</f>
        <v/>
      </c>
      <c r="H1752" s="13">
        <f>IFERROR((CHAIN_RAW!R1752+CHAIN_RAW!S1752)/2,"")</f>
        <v/>
      </c>
      <c r="I1752" s="13">
        <f>IFERROR((CHAIN_RAW!L1752-CHAIN_RAW!K1752)/MAX(1E-9, G1752),"")</f>
        <v/>
      </c>
      <c r="J1752" s="13">
        <f>IFERROR((CHAIN_RAW!S1752-CHAIN_RAW!R1752)/MAX(1E-9, H1752),"")</f>
        <v/>
      </c>
      <c r="K1752" s="13">
        <f>CHAIN_RAW!G1752</f>
        <v/>
      </c>
      <c r="L1752" s="13">
        <f>CHAIN_RAW!N1752</f>
        <v/>
      </c>
      <c r="M1752" s="13">
        <f>IFERROR(L1752-K1752,"")</f>
        <v/>
      </c>
      <c r="N1752" s="13">
        <f>CHAIN_RAW!H1752</f>
        <v/>
      </c>
      <c r="O1752" s="13">
        <f>CHAIN_RAW!O1752</f>
        <v/>
      </c>
      <c r="P1752" s="13">
        <f>IFERROR(O1752/N1752,"")</f>
        <v/>
      </c>
      <c r="Q1752" s="13">
        <f>CHAIN_RAW!I1752</f>
        <v/>
      </c>
      <c r="R1752" s="13">
        <f>CHAIN_RAW!P1752</f>
        <v/>
      </c>
      <c r="S1752" s="13">
        <f>IFERROR(R1752/Q1752,"")</f>
        <v/>
      </c>
      <c r="T1752" s="13">
        <f>IFERROR((ABS(N1752-O1752)/MAX(1,(N1752+O1752)))*EXP(-ABS(E1752-CONTROL!E5)/MAX(1,CONTROL!B8)),"")</f>
        <v/>
      </c>
      <c r="U1752" s="13">
        <f>IFERROR(IF(O1752&gt;N1752,"SUPPORT (PE OI)","RESIST (CE OI)"),"")</f>
        <v/>
      </c>
      <c r="V1752" s="13">
        <f>IFERROR(IF(Q1752&gt;0,IF(R1752&gt;0,"BOTH_ADD","CE_ADD_PE_REDUCE"),IF(R1752&gt;0,"CE_REDUCE_PE_ADD","BOTH_REDUCE")),"")</f>
        <v/>
      </c>
      <c r="W1752" s="13">
        <f>IFERROR( (P1752-1)*0.5 + (M1752)*0.1 - (I1752+J1752)*0.05 + T1752*0.4 ,"")</f>
        <v/>
      </c>
      <c r="X1752" s="13">
        <f>IFERROR(IF(ABS(F1752)&lt;0.01,"ATM/NEAR",""),"")</f>
        <v/>
      </c>
    </row>
    <row r="1753">
      <c r="A1753" s="13">
        <f>CHAIN_RAW!A1753</f>
        <v/>
      </c>
      <c r="B1753" s="14">
        <f>CHAIN_RAW!B1753</f>
        <v/>
      </c>
      <c r="C1753" s="13">
        <f>CHAIN_RAW!C1753</f>
        <v/>
      </c>
      <c r="D1753" s="13">
        <f>CHAIN_RAW!D1753</f>
        <v/>
      </c>
      <c r="E1753" s="13">
        <f>CHAIN_RAW!E1753</f>
        <v/>
      </c>
      <c r="F1753" s="13">
        <f>IFERROR((E1753-D1753)/D1753,"")</f>
        <v/>
      </c>
      <c r="G1753" s="13">
        <f>IFERROR((CHAIN_RAW!K1753+CHAIN_RAW!L1753)/2,"")</f>
        <v/>
      </c>
      <c r="H1753" s="13">
        <f>IFERROR((CHAIN_RAW!R1753+CHAIN_RAW!S1753)/2,"")</f>
        <v/>
      </c>
      <c r="I1753" s="13">
        <f>IFERROR((CHAIN_RAW!L1753-CHAIN_RAW!K1753)/MAX(1E-9, G1753),"")</f>
        <v/>
      </c>
      <c r="J1753" s="13">
        <f>IFERROR((CHAIN_RAW!S1753-CHAIN_RAW!R1753)/MAX(1E-9, H1753),"")</f>
        <v/>
      </c>
      <c r="K1753" s="13">
        <f>CHAIN_RAW!G1753</f>
        <v/>
      </c>
      <c r="L1753" s="13">
        <f>CHAIN_RAW!N1753</f>
        <v/>
      </c>
      <c r="M1753" s="13">
        <f>IFERROR(L1753-K1753,"")</f>
        <v/>
      </c>
      <c r="N1753" s="13">
        <f>CHAIN_RAW!H1753</f>
        <v/>
      </c>
      <c r="O1753" s="13">
        <f>CHAIN_RAW!O1753</f>
        <v/>
      </c>
      <c r="P1753" s="13">
        <f>IFERROR(O1753/N1753,"")</f>
        <v/>
      </c>
      <c r="Q1753" s="13">
        <f>CHAIN_RAW!I1753</f>
        <v/>
      </c>
      <c r="R1753" s="13">
        <f>CHAIN_RAW!P1753</f>
        <v/>
      </c>
      <c r="S1753" s="13">
        <f>IFERROR(R1753/Q1753,"")</f>
        <v/>
      </c>
      <c r="T1753" s="13">
        <f>IFERROR((ABS(N1753-O1753)/MAX(1,(N1753+O1753)))*EXP(-ABS(E1753-CONTROL!E5)/MAX(1,CONTROL!B8)),"")</f>
        <v/>
      </c>
      <c r="U1753" s="13">
        <f>IFERROR(IF(O1753&gt;N1753,"SUPPORT (PE OI)","RESIST (CE OI)"),"")</f>
        <v/>
      </c>
      <c r="V1753" s="13">
        <f>IFERROR(IF(Q1753&gt;0,IF(R1753&gt;0,"BOTH_ADD","CE_ADD_PE_REDUCE"),IF(R1753&gt;0,"CE_REDUCE_PE_ADD","BOTH_REDUCE")),"")</f>
        <v/>
      </c>
      <c r="W1753" s="13">
        <f>IFERROR( (P1753-1)*0.5 + (M1753)*0.1 - (I1753+J1753)*0.05 + T1753*0.4 ,"")</f>
        <v/>
      </c>
      <c r="X1753" s="13">
        <f>IFERROR(IF(ABS(F1753)&lt;0.01,"ATM/NEAR",""),"")</f>
        <v/>
      </c>
    </row>
    <row r="1754">
      <c r="A1754" s="13">
        <f>CHAIN_RAW!A1754</f>
        <v/>
      </c>
      <c r="B1754" s="14">
        <f>CHAIN_RAW!B1754</f>
        <v/>
      </c>
      <c r="C1754" s="13">
        <f>CHAIN_RAW!C1754</f>
        <v/>
      </c>
      <c r="D1754" s="13">
        <f>CHAIN_RAW!D1754</f>
        <v/>
      </c>
      <c r="E1754" s="13">
        <f>CHAIN_RAW!E1754</f>
        <v/>
      </c>
      <c r="F1754" s="13">
        <f>IFERROR((E1754-D1754)/D1754,"")</f>
        <v/>
      </c>
      <c r="G1754" s="13">
        <f>IFERROR((CHAIN_RAW!K1754+CHAIN_RAW!L1754)/2,"")</f>
        <v/>
      </c>
      <c r="H1754" s="13">
        <f>IFERROR((CHAIN_RAW!R1754+CHAIN_RAW!S1754)/2,"")</f>
        <v/>
      </c>
      <c r="I1754" s="13">
        <f>IFERROR((CHAIN_RAW!L1754-CHAIN_RAW!K1754)/MAX(1E-9, G1754),"")</f>
        <v/>
      </c>
      <c r="J1754" s="13">
        <f>IFERROR((CHAIN_RAW!S1754-CHAIN_RAW!R1754)/MAX(1E-9, H1754),"")</f>
        <v/>
      </c>
      <c r="K1754" s="13">
        <f>CHAIN_RAW!G1754</f>
        <v/>
      </c>
      <c r="L1754" s="13">
        <f>CHAIN_RAW!N1754</f>
        <v/>
      </c>
      <c r="M1754" s="13">
        <f>IFERROR(L1754-K1754,"")</f>
        <v/>
      </c>
      <c r="N1754" s="13">
        <f>CHAIN_RAW!H1754</f>
        <v/>
      </c>
      <c r="O1754" s="13">
        <f>CHAIN_RAW!O1754</f>
        <v/>
      </c>
      <c r="P1754" s="13">
        <f>IFERROR(O1754/N1754,"")</f>
        <v/>
      </c>
      <c r="Q1754" s="13">
        <f>CHAIN_RAW!I1754</f>
        <v/>
      </c>
      <c r="R1754" s="13">
        <f>CHAIN_RAW!P1754</f>
        <v/>
      </c>
      <c r="S1754" s="13">
        <f>IFERROR(R1754/Q1754,"")</f>
        <v/>
      </c>
      <c r="T1754" s="13">
        <f>IFERROR((ABS(N1754-O1754)/MAX(1,(N1754+O1754)))*EXP(-ABS(E1754-CONTROL!E5)/MAX(1,CONTROL!B8)),"")</f>
        <v/>
      </c>
      <c r="U1754" s="13">
        <f>IFERROR(IF(O1754&gt;N1754,"SUPPORT (PE OI)","RESIST (CE OI)"),"")</f>
        <v/>
      </c>
      <c r="V1754" s="13">
        <f>IFERROR(IF(Q1754&gt;0,IF(R1754&gt;0,"BOTH_ADD","CE_ADD_PE_REDUCE"),IF(R1754&gt;0,"CE_REDUCE_PE_ADD","BOTH_REDUCE")),"")</f>
        <v/>
      </c>
      <c r="W1754" s="13">
        <f>IFERROR( (P1754-1)*0.5 + (M1754)*0.1 - (I1754+J1754)*0.05 + T1754*0.4 ,"")</f>
        <v/>
      </c>
      <c r="X1754" s="13">
        <f>IFERROR(IF(ABS(F1754)&lt;0.01,"ATM/NEAR",""),"")</f>
        <v/>
      </c>
    </row>
    <row r="1755">
      <c r="A1755" s="13">
        <f>CHAIN_RAW!A1755</f>
        <v/>
      </c>
      <c r="B1755" s="14">
        <f>CHAIN_RAW!B1755</f>
        <v/>
      </c>
      <c r="C1755" s="13">
        <f>CHAIN_RAW!C1755</f>
        <v/>
      </c>
      <c r="D1755" s="13">
        <f>CHAIN_RAW!D1755</f>
        <v/>
      </c>
      <c r="E1755" s="13">
        <f>CHAIN_RAW!E1755</f>
        <v/>
      </c>
      <c r="F1755" s="13">
        <f>IFERROR((E1755-D1755)/D1755,"")</f>
        <v/>
      </c>
      <c r="G1755" s="13">
        <f>IFERROR((CHAIN_RAW!K1755+CHAIN_RAW!L1755)/2,"")</f>
        <v/>
      </c>
      <c r="H1755" s="13">
        <f>IFERROR((CHAIN_RAW!R1755+CHAIN_RAW!S1755)/2,"")</f>
        <v/>
      </c>
      <c r="I1755" s="13">
        <f>IFERROR((CHAIN_RAW!L1755-CHAIN_RAW!K1755)/MAX(1E-9, G1755),"")</f>
        <v/>
      </c>
      <c r="J1755" s="13">
        <f>IFERROR((CHAIN_RAW!S1755-CHAIN_RAW!R1755)/MAX(1E-9, H1755),"")</f>
        <v/>
      </c>
      <c r="K1755" s="13">
        <f>CHAIN_RAW!G1755</f>
        <v/>
      </c>
      <c r="L1755" s="13">
        <f>CHAIN_RAW!N1755</f>
        <v/>
      </c>
      <c r="M1755" s="13">
        <f>IFERROR(L1755-K1755,"")</f>
        <v/>
      </c>
      <c r="N1755" s="13">
        <f>CHAIN_RAW!H1755</f>
        <v/>
      </c>
      <c r="O1755" s="13">
        <f>CHAIN_RAW!O1755</f>
        <v/>
      </c>
      <c r="P1755" s="13">
        <f>IFERROR(O1755/N1755,"")</f>
        <v/>
      </c>
      <c r="Q1755" s="13">
        <f>CHAIN_RAW!I1755</f>
        <v/>
      </c>
      <c r="R1755" s="13">
        <f>CHAIN_RAW!P1755</f>
        <v/>
      </c>
      <c r="S1755" s="13">
        <f>IFERROR(R1755/Q1755,"")</f>
        <v/>
      </c>
      <c r="T1755" s="13">
        <f>IFERROR((ABS(N1755-O1755)/MAX(1,(N1755+O1755)))*EXP(-ABS(E1755-CONTROL!E5)/MAX(1,CONTROL!B8)),"")</f>
        <v/>
      </c>
      <c r="U1755" s="13">
        <f>IFERROR(IF(O1755&gt;N1755,"SUPPORT (PE OI)","RESIST (CE OI)"),"")</f>
        <v/>
      </c>
      <c r="V1755" s="13">
        <f>IFERROR(IF(Q1755&gt;0,IF(R1755&gt;0,"BOTH_ADD","CE_ADD_PE_REDUCE"),IF(R1755&gt;0,"CE_REDUCE_PE_ADD","BOTH_REDUCE")),"")</f>
        <v/>
      </c>
      <c r="W1755" s="13">
        <f>IFERROR( (P1755-1)*0.5 + (M1755)*0.1 - (I1755+J1755)*0.05 + T1755*0.4 ,"")</f>
        <v/>
      </c>
      <c r="X1755" s="13">
        <f>IFERROR(IF(ABS(F1755)&lt;0.01,"ATM/NEAR",""),"")</f>
        <v/>
      </c>
    </row>
    <row r="1756">
      <c r="A1756" s="13">
        <f>CHAIN_RAW!A1756</f>
        <v/>
      </c>
      <c r="B1756" s="14">
        <f>CHAIN_RAW!B1756</f>
        <v/>
      </c>
      <c r="C1756" s="13">
        <f>CHAIN_RAW!C1756</f>
        <v/>
      </c>
      <c r="D1756" s="13">
        <f>CHAIN_RAW!D1756</f>
        <v/>
      </c>
      <c r="E1756" s="13">
        <f>CHAIN_RAW!E1756</f>
        <v/>
      </c>
      <c r="F1756" s="13">
        <f>IFERROR((E1756-D1756)/D1756,"")</f>
        <v/>
      </c>
      <c r="G1756" s="13">
        <f>IFERROR((CHAIN_RAW!K1756+CHAIN_RAW!L1756)/2,"")</f>
        <v/>
      </c>
      <c r="H1756" s="13">
        <f>IFERROR((CHAIN_RAW!R1756+CHAIN_RAW!S1756)/2,"")</f>
        <v/>
      </c>
      <c r="I1756" s="13">
        <f>IFERROR((CHAIN_RAW!L1756-CHAIN_RAW!K1756)/MAX(1E-9, G1756),"")</f>
        <v/>
      </c>
      <c r="J1756" s="13">
        <f>IFERROR((CHAIN_RAW!S1756-CHAIN_RAW!R1756)/MAX(1E-9, H1756),"")</f>
        <v/>
      </c>
      <c r="K1756" s="13">
        <f>CHAIN_RAW!G1756</f>
        <v/>
      </c>
      <c r="L1756" s="13">
        <f>CHAIN_RAW!N1756</f>
        <v/>
      </c>
      <c r="M1756" s="13">
        <f>IFERROR(L1756-K1756,"")</f>
        <v/>
      </c>
      <c r="N1756" s="13">
        <f>CHAIN_RAW!H1756</f>
        <v/>
      </c>
      <c r="O1756" s="13">
        <f>CHAIN_RAW!O1756</f>
        <v/>
      </c>
      <c r="P1756" s="13">
        <f>IFERROR(O1756/N1756,"")</f>
        <v/>
      </c>
      <c r="Q1756" s="13">
        <f>CHAIN_RAW!I1756</f>
        <v/>
      </c>
      <c r="R1756" s="13">
        <f>CHAIN_RAW!P1756</f>
        <v/>
      </c>
      <c r="S1756" s="13">
        <f>IFERROR(R1756/Q1756,"")</f>
        <v/>
      </c>
      <c r="T1756" s="13">
        <f>IFERROR((ABS(N1756-O1756)/MAX(1,(N1756+O1756)))*EXP(-ABS(E1756-CONTROL!E5)/MAX(1,CONTROL!B8)),"")</f>
        <v/>
      </c>
      <c r="U1756" s="13">
        <f>IFERROR(IF(O1756&gt;N1756,"SUPPORT (PE OI)","RESIST (CE OI)"),"")</f>
        <v/>
      </c>
      <c r="V1756" s="13">
        <f>IFERROR(IF(Q1756&gt;0,IF(R1756&gt;0,"BOTH_ADD","CE_ADD_PE_REDUCE"),IF(R1756&gt;0,"CE_REDUCE_PE_ADD","BOTH_REDUCE")),"")</f>
        <v/>
      </c>
      <c r="W1756" s="13">
        <f>IFERROR( (P1756-1)*0.5 + (M1756)*0.1 - (I1756+J1756)*0.05 + T1756*0.4 ,"")</f>
        <v/>
      </c>
      <c r="X1756" s="13">
        <f>IFERROR(IF(ABS(F1756)&lt;0.01,"ATM/NEAR",""),"")</f>
        <v/>
      </c>
    </row>
    <row r="1757">
      <c r="A1757" s="13">
        <f>CHAIN_RAW!A1757</f>
        <v/>
      </c>
      <c r="B1757" s="14">
        <f>CHAIN_RAW!B1757</f>
        <v/>
      </c>
      <c r="C1757" s="13">
        <f>CHAIN_RAW!C1757</f>
        <v/>
      </c>
      <c r="D1757" s="13">
        <f>CHAIN_RAW!D1757</f>
        <v/>
      </c>
      <c r="E1757" s="13">
        <f>CHAIN_RAW!E1757</f>
        <v/>
      </c>
      <c r="F1757" s="13">
        <f>IFERROR((E1757-D1757)/D1757,"")</f>
        <v/>
      </c>
      <c r="G1757" s="13">
        <f>IFERROR((CHAIN_RAW!K1757+CHAIN_RAW!L1757)/2,"")</f>
        <v/>
      </c>
      <c r="H1757" s="13">
        <f>IFERROR((CHAIN_RAW!R1757+CHAIN_RAW!S1757)/2,"")</f>
        <v/>
      </c>
      <c r="I1757" s="13">
        <f>IFERROR((CHAIN_RAW!L1757-CHAIN_RAW!K1757)/MAX(1E-9, G1757),"")</f>
        <v/>
      </c>
      <c r="J1757" s="13">
        <f>IFERROR((CHAIN_RAW!S1757-CHAIN_RAW!R1757)/MAX(1E-9, H1757),"")</f>
        <v/>
      </c>
      <c r="K1757" s="13">
        <f>CHAIN_RAW!G1757</f>
        <v/>
      </c>
      <c r="L1757" s="13">
        <f>CHAIN_RAW!N1757</f>
        <v/>
      </c>
      <c r="M1757" s="13">
        <f>IFERROR(L1757-K1757,"")</f>
        <v/>
      </c>
      <c r="N1757" s="13">
        <f>CHAIN_RAW!H1757</f>
        <v/>
      </c>
      <c r="O1757" s="13">
        <f>CHAIN_RAW!O1757</f>
        <v/>
      </c>
      <c r="P1757" s="13">
        <f>IFERROR(O1757/N1757,"")</f>
        <v/>
      </c>
      <c r="Q1757" s="13">
        <f>CHAIN_RAW!I1757</f>
        <v/>
      </c>
      <c r="R1757" s="13">
        <f>CHAIN_RAW!P1757</f>
        <v/>
      </c>
      <c r="S1757" s="13">
        <f>IFERROR(R1757/Q1757,"")</f>
        <v/>
      </c>
      <c r="T1757" s="13">
        <f>IFERROR((ABS(N1757-O1757)/MAX(1,(N1757+O1757)))*EXP(-ABS(E1757-CONTROL!E5)/MAX(1,CONTROL!B8)),"")</f>
        <v/>
      </c>
      <c r="U1757" s="13">
        <f>IFERROR(IF(O1757&gt;N1757,"SUPPORT (PE OI)","RESIST (CE OI)"),"")</f>
        <v/>
      </c>
      <c r="V1757" s="13">
        <f>IFERROR(IF(Q1757&gt;0,IF(R1757&gt;0,"BOTH_ADD","CE_ADD_PE_REDUCE"),IF(R1757&gt;0,"CE_REDUCE_PE_ADD","BOTH_REDUCE")),"")</f>
        <v/>
      </c>
      <c r="W1757" s="13">
        <f>IFERROR( (P1757-1)*0.5 + (M1757)*0.1 - (I1757+J1757)*0.05 + T1757*0.4 ,"")</f>
        <v/>
      </c>
      <c r="X1757" s="13">
        <f>IFERROR(IF(ABS(F1757)&lt;0.01,"ATM/NEAR",""),"")</f>
        <v/>
      </c>
    </row>
    <row r="1758">
      <c r="A1758" s="13">
        <f>CHAIN_RAW!A1758</f>
        <v/>
      </c>
      <c r="B1758" s="14">
        <f>CHAIN_RAW!B1758</f>
        <v/>
      </c>
      <c r="C1758" s="13">
        <f>CHAIN_RAW!C1758</f>
        <v/>
      </c>
      <c r="D1758" s="13">
        <f>CHAIN_RAW!D1758</f>
        <v/>
      </c>
      <c r="E1758" s="13">
        <f>CHAIN_RAW!E1758</f>
        <v/>
      </c>
      <c r="F1758" s="13">
        <f>IFERROR((E1758-D1758)/D1758,"")</f>
        <v/>
      </c>
      <c r="G1758" s="13">
        <f>IFERROR((CHAIN_RAW!K1758+CHAIN_RAW!L1758)/2,"")</f>
        <v/>
      </c>
      <c r="H1758" s="13">
        <f>IFERROR((CHAIN_RAW!R1758+CHAIN_RAW!S1758)/2,"")</f>
        <v/>
      </c>
      <c r="I1758" s="13">
        <f>IFERROR((CHAIN_RAW!L1758-CHAIN_RAW!K1758)/MAX(1E-9, G1758),"")</f>
        <v/>
      </c>
      <c r="J1758" s="13">
        <f>IFERROR((CHAIN_RAW!S1758-CHAIN_RAW!R1758)/MAX(1E-9, H1758),"")</f>
        <v/>
      </c>
      <c r="K1758" s="13">
        <f>CHAIN_RAW!G1758</f>
        <v/>
      </c>
      <c r="L1758" s="13">
        <f>CHAIN_RAW!N1758</f>
        <v/>
      </c>
      <c r="M1758" s="13">
        <f>IFERROR(L1758-K1758,"")</f>
        <v/>
      </c>
      <c r="N1758" s="13">
        <f>CHAIN_RAW!H1758</f>
        <v/>
      </c>
      <c r="O1758" s="13">
        <f>CHAIN_RAW!O1758</f>
        <v/>
      </c>
      <c r="P1758" s="13">
        <f>IFERROR(O1758/N1758,"")</f>
        <v/>
      </c>
      <c r="Q1758" s="13">
        <f>CHAIN_RAW!I1758</f>
        <v/>
      </c>
      <c r="R1758" s="13">
        <f>CHAIN_RAW!P1758</f>
        <v/>
      </c>
      <c r="S1758" s="13">
        <f>IFERROR(R1758/Q1758,"")</f>
        <v/>
      </c>
      <c r="T1758" s="13">
        <f>IFERROR((ABS(N1758-O1758)/MAX(1,(N1758+O1758)))*EXP(-ABS(E1758-CONTROL!E5)/MAX(1,CONTROL!B8)),"")</f>
        <v/>
      </c>
      <c r="U1758" s="13">
        <f>IFERROR(IF(O1758&gt;N1758,"SUPPORT (PE OI)","RESIST (CE OI)"),"")</f>
        <v/>
      </c>
      <c r="V1758" s="13">
        <f>IFERROR(IF(Q1758&gt;0,IF(R1758&gt;0,"BOTH_ADD","CE_ADD_PE_REDUCE"),IF(R1758&gt;0,"CE_REDUCE_PE_ADD","BOTH_REDUCE")),"")</f>
        <v/>
      </c>
      <c r="W1758" s="13">
        <f>IFERROR( (P1758-1)*0.5 + (M1758)*0.1 - (I1758+J1758)*0.05 + T1758*0.4 ,"")</f>
        <v/>
      </c>
      <c r="X1758" s="13">
        <f>IFERROR(IF(ABS(F1758)&lt;0.01,"ATM/NEAR",""),"")</f>
        <v/>
      </c>
    </row>
    <row r="1759">
      <c r="A1759" s="13">
        <f>CHAIN_RAW!A1759</f>
        <v/>
      </c>
      <c r="B1759" s="14">
        <f>CHAIN_RAW!B1759</f>
        <v/>
      </c>
      <c r="C1759" s="13">
        <f>CHAIN_RAW!C1759</f>
        <v/>
      </c>
      <c r="D1759" s="13">
        <f>CHAIN_RAW!D1759</f>
        <v/>
      </c>
      <c r="E1759" s="13">
        <f>CHAIN_RAW!E1759</f>
        <v/>
      </c>
      <c r="F1759" s="13">
        <f>IFERROR((E1759-D1759)/D1759,"")</f>
        <v/>
      </c>
      <c r="G1759" s="13">
        <f>IFERROR((CHAIN_RAW!K1759+CHAIN_RAW!L1759)/2,"")</f>
        <v/>
      </c>
      <c r="H1759" s="13">
        <f>IFERROR((CHAIN_RAW!R1759+CHAIN_RAW!S1759)/2,"")</f>
        <v/>
      </c>
      <c r="I1759" s="13">
        <f>IFERROR((CHAIN_RAW!L1759-CHAIN_RAW!K1759)/MAX(1E-9, G1759),"")</f>
        <v/>
      </c>
      <c r="J1759" s="13">
        <f>IFERROR((CHAIN_RAW!S1759-CHAIN_RAW!R1759)/MAX(1E-9, H1759),"")</f>
        <v/>
      </c>
      <c r="K1759" s="13">
        <f>CHAIN_RAW!G1759</f>
        <v/>
      </c>
      <c r="L1759" s="13">
        <f>CHAIN_RAW!N1759</f>
        <v/>
      </c>
      <c r="M1759" s="13">
        <f>IFERROR(L1759-K1759,"")</f>
        <v/>
      </c>
      <c r="N1759" s="13">
        <f>CHAIN_RAW!H1759</f>
        <v/>
      </c>
      <c r="O1759" s="13">
        <f>CHAIN_RAW!O1759</f>
        <v/>
      </c>
      <c r="P1759" s="13">
        <f>IFERROR(O1759/N1759,"")</f>
        <v/>
      </c>
      <c r="Q1759" s="13">
        <f>CHAIN_RAW!I1759</f>
        <v/>
      </c>
      <c r="R1759" s="13">
        <f>CHAIN_RAW!P1759</f>
        <v/>
      </c>
      <c r="S1759" s="13">
        <f>IFERROR(R1759/Q1759,"")</f>
        <v/>
      </c>
      <c r="T1759" s="13">
        <f>IFERROR((ABS(N1759-O1759)/MAX(1,(N1759+O1759)))*EXP(-ABS(E1759-CONTROL!E5)/MAX(1,CONTROL!B8)),"")</f>
        <v/>
      </c>
      <c r="U1759" s="13">
        <f>IFERROR(IF(O1759&gt;N1759,"SUPPORT (PE OI)","RESIST (CE OI)"),"")</f>
        <v/>
      </c>
      <c r="V1759" s="13">
        <f>IFERROR(IF(Q1759&gt;0,IF(R1759&gt;0,"BOTH_ADD","CE_ADD_PE_REDUCE"),IF(R1759&gt;0,"CE_REDUCE_PE_ADD","BOTH_REDUCE")),"")</f>
        <v/>
      </c>
      <c r="W1759" s="13">
        <f>IFERROR( (P1759-1)*0.5 + (M1759)*0.1 - (I1759+J1759)*0.05 + T1759*0.4 ,"")</f>
        <v/>
      </c>
      <c r="X1759" s="13">
        <f>IFERROR(IF(ABS(F1759)&lt;0.01,"ATM/NEAR",""),"")</f>
        <v/>
      </c>
    </row>
    <row r="1760">
      <c r="A1760" s="13">
        <f>CHAIN_RAW!A1760</f>
        <v/>
      </c>
      <c r="B1760" s="14">
        <f>CHAIN_RAW!B1760</f>
        <v/>
      </c>
      <c r="C1760" s="13">
        <f>CHAIN_RAW!C1760</f>
        <v/>
      </c>
      <c r="D1760" s="13">
        <f>CHAIN_RAW!D1760</f>
        <v/>
      </c>
      <c r="E1760" s="13">
        <f>CHAIN_RAW!E1760</f>
        <v/>
      </c>
      <c r="F1760" s="13">
        <f>IFERROR((E1760-D1760)/D1760,"")</f>
        <v/>
      </c>
      <c r="G1760" s="13">
        <f>IFERROR((CHAIN_RAW!K1760+CHAIN_RAW!L1760)/2,"")</f>
        <v/>
      </c>
      <c r="H1760" s="13">
        <f>IFERROR((CHAIN_RAW!R1760+CHAIN_RAW!S1760)/2,"")</f>
        <v/>
      </c>
      <c r="I1760" s="13">
        <f>IFERROR((CHAIN_RAW!L1760-CHAIN_RAW!K1760)/MAX(1E-9, G1760),"")</f>
        <v/>
      </c>
      <c r="J1760" s="13">
        <f>IFERROR((CHAIN_RAW!S1760-CHAIN_RAW!R1760)/MAX(1E-9, H1760),"")</f>
        <v/>
      </c>
      <c r="K1760" s="13">
        <f>CHAIN_RAW!G1760</f>
        <v/>
      </c>
      <c r="L1760" s="13">
        <f>CHAIN_RAW!N1760</f>
        <v/>
      </c>
      <c r="M1760" s="13">
        <f>IFERROR(L1760-K1760,"")</f>
        <v/>
      </c>
      <c r="N1760" s="13">
        <f>CHAIN_RAW!H1760</f>
        <v/>
      </c>
      <c r="O1760" s="13">
        <f>CHAIN_RAW!O1760</f>
        <v/>
      </c>
      <c r="P1760" s="13">
        <f>IFERROR(O1760/N1760,"")</f>
        <v/>
      </c>
      <c r="Q1760" s="13">
        <f>CHAIN_RAW!I1760</f>
        <v/>
      </c>
      <c r="R1760" s="13">
        <f>CHAIN_RAW!P1760</f>
        <v/>
      </c>
      <c r="S1760" s="13">
        <f>IFERROR(R1760/Q1760,"")</f>
        <v/>
      </c>
      <c r="T1760" s="13">
        <f>IFERROR((ABS(N1760-O1760)/MAX(1,(N1760+O1760)))*EXP(-ABS(E1760-CONTROL!E5)/MAX(1,CONTROL!B8)),"")</f>
        <v/>
      </c>
      <c r="U1760" s="13">
        <f>IFERROR(IF(O1760&gt;N1760,"SUPPORT (PE OI)","RESIST (CE OI)"),"")</f>
        <v/>
      </c>
      <c r="V1760" s="13">
        <f>IFERROR(IF(Q1760&gt;0,IF(R1760&gt;0,"BOTH_ADD","CE_ADD_PE_REDUCE"),IF(R1760&gt;0,"CE_REDUCE_PE_ADD","BOTH_REDUCE")),"")</f>
        <v/>
      </c>
      <c r="W1760" s="13">
        <f>IFERROR( (P1760-1)*0.5 + (M1760)*0.1 - (I1760+J1760)*0.05 + T1760*0.4 ,"")</f>
        <v/>
      </c>
      <c r="X1760" s="13">
        <f>IFERROR(IF(ABS(F1760)&lt;0.01,"ATM/NEAR",""),"")</f>
        <v/>
      </c>
    </row>
    <row r="1761">
      <c r="A1761" s="13">
        <f>CHAIN_RAW!A1761</f>
        <v/>
      </c>
      <c r="B1761" s="14">
        <f>CHAIN_RAW!B1761</f>
        <v/>
      </c>
      <c r="C1761" s="13">
        <f>CHAIN_RAW!C1761</f>
        <v/>
      </c>
      <c r="D1761" s="13">
        <f>CHAIN_RAW!D1761</f>
        <v/>
      </c>
      <c r="E1761" s="13">
        <f>CHAIN_RAW!E1761</f>
        <v/>
      </c>
      <c r="F1761" s="13">
        <f>IFERROR((E1761-D1761)/D1761,"")</f>
        <v/>
      </c>
      <c r="G1761" s="13">
        <f>IFERROR((CHAIN_RAW!K1761+CHAIN_RAW!L1761)/2,"")</f>
        <v/>
      </c>
      <c r="H1761" s="13">
        <f>IFERROR((CHAIN_RAW!R1761+CHAIN_RAW!S1761)/2,"")</f>
        <v/>
      </c>
      <c r="I1761" s="13">
        <f>IFERROR((CHAIN_RAW!L1761-CHAIN_RAW!K1761)/MAX(1E-9, G1761),"")</f>
        <v/>
      </c>
      <c r="J1761" s="13">
        <f>IFERROR((CHAIN_RAW!S1761-CHAIN_RAW!R1761)/MAX(1E-9, H1761),"")</f>
        <v/>
      </c>
      <c r="K1761" s="13">
        <f>CHAIN_RAW!G1761</f>
        <v/>
      </c>
      <c r="L1761" s="13">
        <f>CHAIN_RAW!N1761</f>
        <v/>
      </c>
      <c r="M1761" s="13">
        <f>IFERROR(L1761-K1761,"")</f>
        <v/>
      </c>
      <c r="N1761" s="13">
        <f>CHAIN_RAW!H1761</f>
        <v/>
      </c>
      <c r="O1761" s="13">
        <f>CHAIN_RAW!O1761</f>
        <v/>
      </c>
      <c r="P1761" s="13">
        <f>IFERROR(O1761/N1761,"")</f>
        <v/>
      </c>
      <c r="Q1761" s="13">
        <f>CHAIN_RAW!I1761</f>
        <v/>
      </c>
      <c r="R1761" s="13">
        <f>CHAIN_RAW!P1761</f>
        <v/>
      </c>
      <c r="S1761" s="13">
        <f>IFERROR(R1761/Q1761,"")</f>
        <v/>
      </c>
      <c r="T1761" s="13">
        <f>IFERROR((ABS(N1761-O1761)/MAX(1,(N1761+O1761)))*EXP(-ABS(E1761-CONTROL!E5)/MAX(1,CONTROL!B8)),"")</f>
        <v/>
      </c>
      <c r="U1761" s="13">
        <f>IFERROR(IF(O1761&gt;N1761,"SUPPORT (PE OI)","RESIST (CE OI)"),"")</f>
        <v/>
      </c>
      <c r="V1761" s="13">
        <f>IFERROR(IF(Q1761&gt;0,IF(R1761&gt;0,"BOTH_ADD","CE_ADD_PE_REDUCE"),IF(R1761&gt;0,"CE_REDUCE_PE_ADD","BOTH_REDUCE")),"")</f>
        <v/>
      </c>
      <c r="W1761" s="13">
        <f>IFERROR( (P1761-1)*0.5 + (M1761)*0.1 - (I1761+J1761)*0.05 + T1761*0.4 ,"")</f>
        <v/>
      </c>
      <c r="X1761" s="13">
        <f>IFERROR(IF(ABS(F1761)&lt;0.01,"ATM/NEAR",""),"")</f>
        <v/>
      </c>
    </row>
    <row r="1762">
      <c r="A1762" s="13">
        <f>CHAIN_RAW!A1762</f>
        <v/>
      </c>
      <c r="B1762" s="14">
        <f>CHAIN_RAW!B1762</f>
        <v/>
      </c>
      <c r="C1762" s="13">
        <f>CHAIN_RAW!C1762</f>
        <v/>
      </c>
      <c r="D1762" s="13">
        <f>CHAIN_RAW!D1762</f>
        <v/>
      </c>
      <c r="E1762" s="13">
        <f>CHAIN_RAW!E1762</f>
        <v/>
      </c>
      <c r="F1762" s="13">
        <f>IFERROR((E1762-D1762)/D1762,"")</f>
        <v/>
      </c>
      <c r="G1762" s="13">
        <f>IFERROR((CHAIN_RAW!K1762+CHAIN_RAW!L1762)/2,"")</f>
        <v/>
      </c>
      <c r="H1762" s="13">
        <f>IFERROR((CHAIN_RAW!R1762+CHAIN_RAW!S1762)/2,"")</f>
        <v/>
      </c>
      <c r="I1762" s="13">
        <f>IFERROR((CHAIN_RAW!L1762-CHAIN_RAW!K1762)/MAX(1E-9, G1762),"")</f>
        <v/>
      </c>
      <c r="J1762" s="13">
        <f>IFERROR((CHAIN_RAW!S1762-CHAIN_RAW!R1762)/MAX(1E-9, H1762),"")</f>
        <v/>
      </c>
      <c r="K1762" s="13">
        <f>CHAIN_RAW!G1762</f>
        <v/>
      </c>
      <c r="L1762" s="13">
        <f>CHAIN_RAW!N1762</f>
        <v/>
      </c>
      <c r="M1762" s="13">
        <f>IFERROR(L1762-K1762,"")</f>
        <v/>
      </c>
      <c r="N1762" s="13">
        <f>CHAIN_RAW!H1762</f>
        <v/>
      </c>
      <c r="O1762" s="13">
        <f>CHAIN_RAW!O1762</f>
        <v/>
      </c>
      <c r="P1762" s="13">
        <f>IFERROR(O1762/N1762,"")</f>
        <v/>
      </c>
      <c r="Q1762" s="13">
        <f>CHAIN_RAW!I1762</f>
        <v/>
      </c>
      <c r="R1762" s="13">
        <f>CHAIN_RAW!P1762</f>
        <v/>
      </c>
      <c r="S1762" s="13">
        <f>IFERROR(R1762/Q1762,"")</f>
        <v/>
      </c>
      <c r="T1762" s="13">
        <f>IFERROR((ABS(N1762-O1762)/MAX(1,(N1762+O1762)))*EXP(-ABS(E1762-CONTROL!E5)/MAX(1,CONTROL!B8)),"")</f>
        <v/>
      </c>
      <c r="U1762" s="13">
        <f>IFERROR(IF(O1762&gt;N1762,"SUPPORT (PE OI)","RESIST (CE OI)"),"")</f>
        <v/>
      </c>
      <c r="V1762" s="13">
        <f>IFERROR(IF(Q1762&gt;0,IF(R1762&gt;0,"BOTH_ADD","CE_ADD_PE_REDUCE"),IF(R1762&gt;0,"CE_REDUCE_PE_ADD","BOTH_REDUCE")),"")</f>
        <v/>
      </c>
      <c r="W1762" s="13">
        <f>IFERROR( (P1762-1)*0.5 + (M1762)*0.1 - (I1762+J1762)*0.05 + T1762*0.4 ,"")</f>
        <v/>
      </c>
      <c r="X1762" s="13">
        <f>IFERROR(IF(ABS(F1762)&lt;0.01,"ATM/NEAR",""),"")</f>
        <v/>
      </c>
    </row>
    <row r="1763">
      <c r="A1763" s="13">
        <f>CHAIN_RAW!A1763</f>
        <v/>
      </c>
      <c r="B1763" s="14">
        <f>CHAIN_RAW!B1763</f>
        <v/>
      </c>
      <c r="C1763" s="13">
        <f>CHAIN_RAW!C1763</f>
        <v/>
      </c>
      <c r="D1763" s="13">
        <f>CHAIN_RAW!D1763</f>
        <v/>
      </c>
      <c r="E1763" s="13">
        <f>CHAIN_RAW!E1763</f>
        <v/>
      </c>
      <c r="F1763" s="13">
        <f>IFERROR((E1763-D1763)/D1763,"")</f>
        <v/>
      </c>
      <c r="G1763" s="13">
        <f>IFERROR((CHAIN_RAW!K1763+CHAIN_RAW!L1763)/2,"")</f>
        <v/>
      </c>
      <c r="H1763" s="13">
        <f>IFERROR((CHAIN_RAW!R1763+CHAIN_RAW!S1763)/2,"")</f>
        <v/>
      </c>
      <c r="I1763" s="13">
        <f>IFERROR((CHAIN_RAW!L1763-CHAIN_RAW!K1763)/MAX(1E-9, G1763),"")</f>
        <v/>
      </c>
      <c r="J1763" s="13">
        <f>IFERROR((CHAIN_RAW!S1763-CHAIN_RAW!R1763)/MAX(1E-9, H1763),"")</f>
        <v/>
      </c>
      <c r="K1763" s="13">
        <f>CHAIN_RAW!G1763</f>
        <v/>
      </c>
      <c r="L1763" s="13">
        <f>CHAIN_RAW!N1763</f>
        <v/>
      </c>
      <c r="M1763" s="13">
        <f>IFERROR(L1763-K1763,"")</f>
        <v/>
      </c>
      <c r="N1763" s="13">
        <f>CHAIN_RAW!H1763</f>
        <v/>
      </c>
      <c r="O1763" s="13">
        <f>CHAIN_RAW!O1763</f>
        <v/>
      </c>
      <c r="P1763" s="13">
        <f>IFERROR(O1763/N1763,"")</f>
        <v/>
      </c>
      <c r="Q1763" s="13">
        <f>CHAIN_RAW!I1763</f>
        <v/>
      </c>
      <c r="R1763" s="13">
        <f>CHAIN_RAW!P1763</f>
        <v/>
      </c>
      <c r="S1763" s="13">
        <f>IFERROR(R1763/Q1763,"")</f>
        <v/>
      </c>
      <c r="T1763" s="13">
        <f>IFERROR((ABS(N1763-O1763)/MAX(1,(N1763+O1763)))*EXP(-ABS(E1763-CONTROL!E5)/MAX(1,CONTROL!B8)),"")</f>
        <v/>
      </c>
      <c r="U1763" s="13">
        <f>IFERROR(IF(O1763&gt;N1763,"SUPPORT (PE OI)","RESIST (CE OI)"),"")</f>
        <v/>
      </c>
      <c r="V1763" s="13">
        <f>IFERROR(IF(Q1763&gt;0,IF(R1763&gt;0,"BOTH_ADD","CE_ADD_PE_REDUCE"),IF(R1763&gt;0,"CE_REDUCE_PE_ADD","BOTH_REDUCE")),"")</f>
        <v/>
      </c>
      <c r="W1763" s="13">
        <f>IFERROR( (P1763-1)*0.5 + (M1763)*0.1 - (I1763+J1763)*0.05 + T1763*0.4 ,"")</f>
        <v/>
      </c>
      <c r="X1763" s="13">
        <f>IFERROR(IF(ABS(F1763)&lt;0.01,"ATM/NEAR",""),"")</f>
        <v/>
      </c>
    </row>
    <row r="1764">
      <c r="A1764" s="13">
        <f>CHAIN_RAW!A1764</f>
        <v/>
      </c>
      <c r="B1764" s="14">
        <f>CHAIN_RAW!B1764</f>
        <v/>
      </c>
      <c r="C1764" s="13">
        <f>CHAIN_RAW!C1764</f>
        <v/>
      </c>
      <c r="D1764" s="13">
        <f>CHAIN_RAW!D1764</f>
        <v/>
      </c>
      <c r="E1764" s="13">
        <f>CHAIN_RAW!E1764</f>
        <v/>
      </c>
      <c r="F1764" s="13">
        <f>IFERROR((E1764-D1764)/D1764,"")</f>
        <v/>
      </c>
      <c r="G1764" s="13">
        <f>IFERROR((CHAIN_RAW!K1764+CHAIN_RAW!L1764)/2,"")</f>
        <v/>
      </c>
      <c r="H1764" s="13">
        <f>IFERROR((CHAIN_RAW!R1764+CHAIN_RAW!S1764)/2,"")</f>
        <v/>
      </c>
      <c r="I1764" s="13">
        <f>IFERROR((CHAIN_RAW!L1764-CHAIN_RAW!K1764)/MAX(1E-9, G1764),"")</f>
        <v/>
      </c>
      <c r="J1764" s="13">
        <f>IFERROR((CHAIN_RAW!S1764-CHAIN_RAW!R1764)/MAX(1E-9, H1764),"")</f>
        <v/>
      </c>
      <c r="K1764" s="13">
        <f>CHAIN_RAW!G1764</f>
        <v/>
      </c>
      <c r="L1764" s="13">
        <f>CHAIN_RAW!N1764</f>
        <v/>
      </c>
      <c r="M1764" s="13">
        <f>IFERROR(L1764-K1764,"")</f>
        <v/>
      </c>
      <c r="N1764" s="13">
        <f>CHAIN_RAW!H1764</f>
        <v/>
      </c>
      <c r="O1764" s="13">
        <f>CHAIN_RAW!O1764</f>
        <v/>
      </c>
      <c r="P1764" s="13">
        <f>IFERROR(O1764/N1764,"")</f>
        <v/>
      </c>
      <c r="Q1764" s="13">
        <f>CHAIN_RAW!I1764</f>
        <v/>
      </c>
      <c r="R1764" s="13">
        <f>CHAIN_RAW!P1764</f>
        <v/>
      </c>
      <c r="S1764" s="13">
        <f>IFERROR(R1764/Q1764,"")</f>
        <v/>
      </c>
      <c r="T1764" s="13">
        <f>IFERROR((ABS(N1764-O1764)/MAX(1,(N1764+O1764)))*EXP(-ABS(E1764-CONTROL!E5)/MAX(1,CONTROL!B8)),"")</f>
        <v/>
      </c>
      <c r="U1764" s="13">
        <f>IFERROR(IF(O1764&gt;N1764,"SUPPORT (PE OI)","RESIST (CE OI)"),"")</f>
        <v/>
      </c>
      <c r="V1764" s="13">
        <f>IFERROR(IF(Q1764&gt;0,IF(R1764&gt;0,"BOTH_ADD","CE_ADD_PE_REDUCE"),IF(R1764&gt;0,"CE_REDUCE_PE_ADD","BOTH_REDUCE")),"")</f>
        <v/>
      </c>
      <c r="W1764" s="13">
        <f>IFERROR( (P1764-1)*0.5 + (M1764)*0.1 - (I1764+J1764)*0.05 + T1764*0.4 ,"")</f>
        <v/>
      </c>
      <c r="X1764" s="13">
        <f>IFERROR(IF(ABS(F1764)&lt;0.01,"ATM/NEAR",""),"")</f>
        <v/>
      </c>
    </row>
    <row r="1765">
      <c r="A1765" s="13">
        <f>CHAIN_RAW!A1765</f>
        <v/>
      </c>
      <c r="B1765" s="14">
        <f>CHAIN_RAW!B1765</f>
        <v/>
      </c>
      <c r="C1765" s="13">
        <f>CHAIN_RAW!C1765</f>
        <v/>
      </c>
      <c r="D1765" s="13">
        <f>CHAIN_RAW!D1765</f>
        <v/>
      </c>
      <c r="E1765" s="13">
        <f>CHAIN_RAW!E1765</f>
        <v/>
      </c>
      <c r="F1765" s="13">
        <f>IFERROR((E1765-D1765)/D1765,"")</f>
        <v/>
      </c>
      <c r="G1765" s="13">
        <f>IFERROR((CHAIN_RAW!K1765+CHAIN_RAW!L1765)/2,"")</f>
        <v/>
      </c>
      <c r="H1765" s="13">
        <f>IFERROR((CHAIN_RAW!R1765+CHAIN_RAW!S1765)/2,"")</f>
        <v/>
      </c>
      <c r="I1765" s="13">
        <f>IFERROR((CHAIN_RAW!L1765-CHAIN_RAW!K1765)/MAX(1E-9, G1765),"")</f>
        <v/>
      </c>
      <c r="J1765" s="13">
        <f>IFERROR((CHAIN_RAW!S1765-CHAIN_RAW!R1765)/MAX(1E-9, H1765),"")</f>
        <v/>
      </c>
      <c r="K1765" s="13">
        <f>CHAIN_RAW!G1765</f>
        <v/>
      </c>
      <c r="L1765" s="13">
        <f>CHAIN_RAW!N1765</f>
        <v/>
      </c>
      <c r="M1765" s="13">
        <f>IFERROR(L1765-K1765,"")</f>
        <v/>
      </c>
      <c r="N1765" s="13">
        <f>CHAIN_RAW!H1765</f>
        <v/>
      </c>
      <c r="O1765" s="13">
        <f>CHAIN_RAW!O1765</f>
        <v/>
      </c>
      <c r="P1765" s="13">
        <f>IFERROR(O1765/N1765,"")</f>
        <v/>
      </c>
      <c r="Q1765" s="13">
        <f>CHAIN_RAW!I1765</f>
        <v/>
      </c>
      <c r="R1765" s="13">
        <f>CHAIN_RAW!P1765</f>
        <v/>
      </c>
      <c r="S1765" s="13">
        <f>IFERROR(R1765/Q1765,"")</f>
        <v/>
      </c>
      <c r="T1765" s="13">
        <f>IFERROR((ABS(N1765-O1765)/MAX(1,(N1765+O1765)))*EXP(-ABS(E1765-CONTROL!E5)/MAX(1,CONTROL!B8)),"")</f>
        <v/>
      </c>
      <c r="U1765" s="13">
        <f>IFERROR(IF(O1765&gt;N1765,"SUPPORT (PE OI)","RESIST (CE OI)"),"")</f>
        <v/>
      </c>
      <c r="V1765" s="13">
        <f>IFERROR(IF(Q1765&gt;0,IF(R1765&gt;0,"BOTH_ADD","CE_ADD_PE_REDUCE"),IF(R1765&gt;0,"CE_REDUCE_PE_ADD","BOTH_REDUCE")),"")</f>
        <v/>
      </c>
      <c r="W1765" s="13">
        <f>IFERROR( (P1765-1)*0.5 + (M1765)*0.1 - (I1765+J1765)*0.05 + T1765*0.4 ,"")</f>
        <v/>
      </c>
      <c r="X1765" s="13">
        <f>IFERROR(IF(ABS(F1765)&lt;0.01,"ATM/NEAR",""),"")</f>
        <v/>
      </c>
    </row>
    <row r="1766">
      <c r="A1766" s="13">
        <f>CHAIN_RAW!A1766</f>
        <v/>
      </c>
      <c r="B1766" s="14">
        <f>CHAIN_RAW!B1766</f>
        <v/>
      </c>
      <c r="C1766" s="13">
        <f>CHAIN_RAW!C1766</f>
        <v/>
      </c>
      <c r="D1766" s="13">
        <f>CHAIN_RAW!D1766</f>
        <v/>
      </c>
      <c r="E1766" s="13">
        <f>CHAIN_RAW!E1766</f>
        <v/>
      </c>
      <c r="F1766" s="13">
        <f>IFERROR((E1766-D1766)/D1766,"")</f>
        <v/>
      </c>
      <c r="G1766" s="13">
        <f>IFERROR((CHAIN_RAW!K1766+CHAIN_RAW!L1766)/2,"")</f>
        <v/>
      </c>
      <c r="H1766" s="13">
        <f>IFERROR((CHAIN_RAW!R1766+CHAIN_RAW!S1766)/2,"")</f>
        <v/>
      </c>
      <c r="I1766" s="13">
        <f>IFERROR((CHAIN_RAW!L1766-CHAIN_RAW!K1766)/MAX(1E-9, G1766),"")</f>
        <v/>
      </c>
      <c r="J1766" s="13">
        <f>IFERROR((CHAIN_RAW!S1766-CHAIN_RAW!R1766)/MAX(1E-9, H1766),"")</f>
        <v/>
      </c>
      <c r="K1766" s="13">
        <f>CHAIN_RAW!G1766</f>
        <v/>
      </c>
      <c r="L1766" s="13">
        <f>CHAIN_RAW!N1766</f>
        <v/>
      </c>
      <c r="M1766" s="13">
        <f>IFERROR(L1766-K1766,"")</f>
        <v/>
      </c>
      <c r="N1766" s="13">
        <f>CHAIN_RAW!H1766</f>
        <v/>
      </c>
      <c r="O1766" s="13">
        <f>CHAIN_RAW!O1766</f>
        <v/>
      </c>
      <c r="P1766" s="13">
        <f>IFERROR(O1766/N1766,"")</f>
        <v/>
      </c>
      <c r="Q1766" s="13">
        <f>CHAIN_RAW!I1766</f>
        <v/>
      </c>
      <c r="R1766" s="13">
        <f>CHAIN_RAW!P1766</f>
        <v/>
      </c>
      <c r="S1766" s="13">
        <f>IFERROR(R1766/Q1766,"")</f>
        <v/>
      </c>
      <c r="T1766" s="13">
        <f>IFERROR((ABS(N1766-O1766)/MAX(1,(N1766+O1766)))*EXP(-ABS(E1766-CONTROL!E5)/MAX(1,CONTROL!B8)),"")</f>
        <v/>
      </c>
      <c r="U1766" s="13">
        <f>IFERROR(IF(O1766&gt;N1766,"SUPPORT (PE OI)","RESIST (CE OI)"),"")</f>
        <v/>
      </c>
      <c r="V1766" s="13">
        <f>IFERROR(IF(Q1766&gt;0,IF(R1766&gt;0,"BOTH_ADD","CE_ADD_PE_REDUCE"),IF(R1766&gt;0,"CE_REDUCE_PE_ADD","BOTH_REDUCE")),"")</f>
        <v/>
      </c>
      <c r="W1766" s="13">
        <f>IFERROR( (P1766-1)*0.5 + (M1766)*0.1 - (I1766+J1766)*0.05 + T1766*0.4 ,"")</f>
        <v/>
      </c>
      <c r="X1766" s="13">
        <f>IFERROR(IF(ABS(F1766)&lt;0.01,"ATM/NEAR",""),"")</f>
        <v/>
      </c>
    </row>
    <row r="1767">
      <c r="A1767" s="13">
        <f>CHAIN_RAW!A1767</f>
        <v/>
      </c>
      <c r="B1767" s="14">
        <f>CHAIN_RAW!B1767</f>
        <v/>
      </c>
      <c r="C1767" s="13">
        <f>CHAIN_RAW!C1767</f>
        <v/>
      </c>
      <c r="D1767" s="13">
        <f>CHAIN_RAW!D1767</f>
        <v/>
      </c>
      <c r="E1767" s="13">
        <f>CHAIN_RAW!E1767</f>
        <v/>
      </c>
      <c r="F1767" s="13">
        <f>IFERROR((E1767-D1767)/D1767,"")</f>
        <v/>
      </c>
      <c r="G1767" s="13">
        <f>IFERROR((CHAIN_RAW!K1767+CHAIN_RAW!L1767)/2,"")</f>
        <v/>
      </c>
      <c r="H1767" s="13">
        <f>IFERROR((CHAIN_RAW!R1767+CHAIN_RAW!S1767)/2,"")</f>
        <v/>
      </c>
      <c r="I1767" s="13">
        <f>IFERROR((CHAIN_RAW!L1767-CHAIN_RAW!K1767)/MAX(1E-9, G1767),"")</f>
        <v/>
      </c>
      <c r="J1767" s="13">
        <f>IFERROR((CHAIN_RAW!S1767-CHAIN_RAW!R1767)/MAX(1E-9, H1767),"")</f>
        <v/>
      </c>
      <c r="K1767" s="13">
        <f>CHAIN_RAW!G1767</f>
        <v/>
      </c>
      <c r="L1767" s="13">
        <f>CHAIN_RAW!N1767</f>
        <v/>
      </c>
      <c r="M1767" s="13">
        <f>IFERROR(L1767-K1767,"")</f>
        <v/>
      </c>
      <c r="N1767" s="13">
        <f>CHAIN_RAW!H1767</f>
        <v/>
      </c>
      <c r="O1767" s="13">
        <f>CHAIN_RAW!O1767</f>
        <v/>
      </c>
      <c r="P1767" s="13">
        <f>IFERROR(O1767/N1767,"")</f>
        <v/>
      </c>
      <c r="Q1767" s="13">
        <f>CHAIN_RAW!I1767</f>
        <v/>
      </c>
      <c r="R1767" s="13">
        <f>CHAIN_RAW!P1767</f>
        <v/>
      </c>
      <c r="S1767" s="13">
        <f>IFERROR(R1767/Q1767,"")</f>
        <v/>
      </c>
      <c r="T1767" s="13">
        <f>IFERROR((ABS(N1767-O1767)/MAX(1,(N1767+O1767)))*EXP(-ABS(E1767-CONTROL!E5)/MAX(1,CONTROL!B8)),"")</f>
        <v/>
      </c>
      <c r="U1767" s="13">
        <f>IFERROR(IF(O1767&gt;N1767,"SUPPORT (PE OI)","RESIST (CE OI)"),"")</f>
        <v/>
      </c>
      <c r="V1767" s="13">
        <f>IFERROR(IF(Q1767&gt;0,IF(R1767&gt;0,"BOTH_ADD","CE_ADD_PE_REDUCE"),IF(R1767&gt;0,"CE_REDUCE_PE_ADD","BOTH_REDUCE")),"")</f>
        <v/>
      </c>
      <c r="W1767" s="13">
        <f>IFERROR( (P1767-1)*0.5 + (M1767)*0.1 - (I1767+J1767)*0.05 + T1767*0.4 ,"")</f>
        <v/>
      </c>
      <c r="X1767" s="13">
        <f>IFERROR(IF(ABS(F1767)&lt;0.01,"ATM/NEAR",""),"")</f>
        <v/>
      </c>
    </row>
    <row r="1768">
      <c r="A1768" s="13">
        <f>CHAIN_RAW!A1768</f>
        <v/>
      </c>
      <c r="B1768" s="14">
        <f>CHAIN_RAW!B1768</f>
        <v/>
      </c>
      <c r="C1768" s="13">
        <f>CHAIN_RAW!C1768</f>
        <v/>
      </c>
      <c r="D1768" s="13">
        <f>CHAIN_RAW!D1768</f>
        <v/>
      </c>
      <c r="E1768" s="13">
        <f>CHAIN_RAW!E1768</f>
        <v/>
      </c>
      <c r="F1768" s="13">
        <f>IFERROR((E1768-D1768)/D1768,"")</f>
        <v/>
      </c>
      <c r="G1768" s="13">
        <f>IFERROR((CHAIN_RAW!K1768+CHAIN_RAW!L1768)/2,"")</f>
        <v/>
      </c>
      <c r="H1768" s="13">
        <f>IFERROR((CHAIN_RAW!R1768+CHAIN_RAW!S1768)/2,"")</f>
        <v/>
      </c>
      <c r="I1768" s="13">
        <f>IFERROR((CHAIN_RAW!L1768-CHAIN_RAW!K1768)/MAX(1E-9, G1768),"")</f>
        <v/>
      </c>
      <c r="J1768" s="13">
        <f>IFERROR((CHAIN_RAW!S1768-CHAIN_RAW!R1768)/MAX(1E-9, H1768),"")</f>
        <v/>
      </c>
      <c r="K1768" s="13">
        <f>CHAIN_RAW!G1768</f>
        <v/>
      </c>
      <c r="L1768" s="13">
        <f>CHAIN_RAW!N1768</f>
        <v/>
      </c>
      <c r="M1768" s="13">
        <f>IFERROR(L1768-K1768,"")</f>
        <v/>
      </c>
      <c r="N1768" s="13">
        <f>CHAIN_RAW!H1768</f>
        <v/>
      </c>
      <c r="O1768" s="13">
        <f>CHAIN_RAW!O1768</f>
        <v/>
      </c>
      <c r="P1768" s="13">
        <f>IFERROR(O1768/N1768,"")</f>
        <v/>
      </c>
      <c r="Q1768" s="13">
        <f>CHAIN_RAW!I1768</f>
        <v/>
      </c>
      <c r="R1768" s="13">
        <f>CHAIN_RAW!P1768</f>
        <v/>
      </c>
      <c r="S1768" s="13">
        <f>IFERROR(R1768/Q1768,"")</f>
        <v/>
      </c>
      <c r="T1768" s="13">
        <f>IFERROR((ABS(N1768-O1768)/MAX(1,(N1768+O1768)))*EXP(-ABS(E1768-CONTROL!E5)/MAX(1,CONTROL!B8)),"")</f>
        <v/>
      </c>
      <c r="U1768" s="13">
        <f>IFERROR(IF(O1768&gt;N1768,"SUPPORT (PE OI)","RESIST (CE OI)"),"")</f>
        <v/>
      </c>
      <c r="V1768" s="13">
        <f>IFERROR(IF(Q1768&gt;0,IF(R1768&gt;0,"BOTH_ADD","CE_ADD_PE_REDUCE"),IF(R1768&gt;0,"CE_REDUCE_PE_ADD","BOTH_REDUCE")),"")</f>
        <v/>
      </c>
      <c r="W1768" s="13">
        <f>IFERROR( (P1768-1)*0.5 + (M1768)*0.1 - (I1768+J1768)*0.05 + T1768*0.4 ,"")</f>
        <v/>
      </c>
      <c r="X1768" s="13">
        <f>IFERROR(IF(ABS(F1768)&lt;0.01,"ATM/NEAR",""),"")</f>
        <v/>
      </c>
    </row>
    <row r="1769">
      <c r="A1769" s="13">
        <f>CHAIN_RAW!A1769</f>
        <v/>
      </c>
      <c r="B1769" s="14">
        <f>CHAIN_RAW!B1769</f>
        <v/>
      </c>
      <c r="C1769" s="13">
        <f>CHAIN_RAW!C1769</f>
        <v/>
      </c>
      <c r="D1769" s="13">
        <f>CHAIN_RAW!D1769</f>
        <v/>
      </c>
      <c r="E1769" s="13">
        <f>CHAIN_RAW!E1769</f>
        <v/>
      </c>
      <c r="F1769" s="13">
        <f>IFERROR((E1769-D1769)/D1769,"")</f>
        <v/>
      </c>
      <c r="G1769" s="13">
        <f>IFERROR((CHAIN_RAW!K1769+CHAIN_RAW!L1769)/2,"")</f>
        <v/>
      </c>
      <c r="H1769" s="13">
        <f>IFERROR((CHAIN_RAW!R1769+CHAIN_RAW!S1769)/2,"")</f>
        <v/>
      </c>
      <c r="I1769" s="13">
        <f>IFERROR((CHAIN_RAW!L1769-CHAIN_RAW!K1769)/MAX(1E-9, G1769),"")</f>
        <v/>
      </c>
      <c r="J1769" s="13">
        <f>IFERROR((CHAIN_RAW!S1769-CHAIN_RAW!R1769)/MAX(1E-9, H1769),"")</f>
        <v/>
      </c>
      <c r="K1769" s="13">
        <f>CHAIN_RAW!G1769</f>
        <v/>
      </c>
      <c r="L1769" s="13">
        <f>CHAIN_RAW!N1769</f>
        <v/>
      </c>
      <c r="M1769" s="13">
        <f>IFERROR(L1769-K1769,"")</f>
        <v/>
      </c>
      <c r="N1769" s="13">
        <f>CHAIN_RAW!H1769</f>
        <v/>
      </c>
      <c r="O1769" s="13">
        <f>CHAIN_RAW!O1769</f>
        <v/>
      </c>
      <c r="P1769" s="13">
        <f>IFERROR(O1769/N1769,"")</f>
        <v/>
      </c>
      <c r="Q1769" s="13">
        <f>CHAIN_RAW!I1769</f>
        <v/>
      </c>
      <c r="R1769" s="13">
        <f>CHAIN_RAW!P1769</f>
        <v/>
      </c>
      <c r="S1769" s="13">
        <f>IFERROR(R1769/Q1769,"")</f>
        <v/>
      </c>
      <c r="T1769" s="13">
        <f>IFERROR((ABS(N1769-O1769)/MAX(1,(N1769+O1769)))*EXP(-ABS(E1769-CONTROL!E5)/MAX(1,CONTROL!B8)),"")</f>
        <v/>
      </c>
      <c r="U1769" s="13">
        <f>IFERROR(IF(O1769&gt;N1769,"SUPPORT (PE OI)","RESIST (CE OI)"),"")</f>
        <v/>
      </c>
      <c r="V1769" s="13">
        <f>IFERROR(IF(Q1769&gt;0,IF(R1769&gt;0,"BOTH_ADD","CE_ADD_PE_REDUCE"),IF(R1769&gt;0,"CE_REDUCE_PE_ADD","BOTH_REDUCE")),"")</f>
        <v/>
      </c>
      <c r="W1769" s="13">
        <f>IFERROR( (P1769-1)*0.5 + (M1769)*0.1 - (I1769+J1769)*0.05 + T1769*0.4 ,"")</f>
        <v/>
      </c>
      <c r="X1769" s="13">
        <f>IFERROR(IF(ABS(F1769)&lt;0.01,"ATM/NEAR",""),"")</f>
        <v/>
      </c>
    </row>
    <row r="1770">
      <c r="A1770" s="13">
        <f>CHAIN_RAW!A1770</f>
        <v/>
      </c>
      <c r="B1770" s="14">
        <f>CHAIN_RAW!B1770</f>
        <v/>
      </c>
      <c r="C1770" s="13">
        <f>CHAIN_RAW!C1770</f>
        <v/>
      </c>
      <c r="D1770" s="13">
        <f>CHAIN_RAW!D1770</f>
        <v/>
      </c>
      <c r="E1770" s="13">
        <f>CHAIN_RAW!E1770</f>
        <v/>
      </c>
      <c r="F1770" s="13">
        <f>IFERROR((E1770-D1770)/D1770,"")</f>
        <v/>
      </c>
      <c r="G1770" s="13">
        <f>IFERROR((CHAIN_RAW!K1770+CHAIN_RAW!L1770)/2,"")</f>
        <v/>
      </c>
      <c r="H1770" s="13">
        <f>IFERROR((CHAIN_RAW!R1770+CHAIN_RAW!S1770)/2,"")</f>
        <v/>
      </c>
      <c r="I1770" s="13">
        <f>IFERROR((CHAIN_RAW!L1770-CHAIN_RAW!K1770)/MAX(1E-9, G1770),"")</f>
        <v/>
      </c>
      <c r="J1770" s="13">
        <f>IFERROR((CHAIN_RAW!S1770-CHAIN_RAW!R1770)/MAX(1E-9, H1770),"")</f>
        <v/>
      </c>
      <c r="K1770" s="13">
        <f>CHAIN_RAW!G1770</f>
        <v/>
      </c>
      <c r="L1770" s="13">
        <f>CHAIN_RAW!N1770</f>
        <v/>
      </c>
      <c r="M1770" s="13">
        <f>IFERROR(L1770-K1770,"")</f>
        <v/>
      </c>
      <c r="N1770" s="13">
        <f>CHAIN_RAW!H1770</f>
        <v/>
      </c>
      <c r="O1770" s="13">
        <f>CHAIN_RAW!O1770</f>
        <v/>
      </c>
      <c r="P1770" s="13">
        <f>IFERROR(O1770/N1770,"")</f>
        <v/>
      </c>
      <c r="Q1770" s="13">
        <f>CHAIN_RAW!I1770</f>
        <v/>
      </c>
      <c r="R1770" s="13">
        <f>CHAIN_RAW!P1770</f>
        <v/>
      </c>
      <c r="S1770" s="13">
        <f>IFERROR(R1770/Q1770,"")</f>
        <v/>
      </c>
      <c r="T1770" s="13">
        <f>IFERROR((ABS(N1770-O1770)/MAX(1,(N1770+O1770)))*EXP(-ABS(E1770-CONTROL!E5)/MAX(1,CONTROL!B8)),"")</f>
        <v/>
      </c>
      <c r="U1770" s="13">
        <f>IFERROR(IF(O1770&gt;N1770,"SUPPORT (PE OI)","RESIST (CE OI)"),"")</f>
        <v/>
      </c>
      <c r="V1770" s="13">
        <f>IFERROR(IF(Q1770&gt;0,IF(R1770&gt;0,"BOTH_ADD","CE_ADD_PE_REDUCE"),IF(R1770&gt;0,"CE_REDUCE_PE_ADD","BOTH_REDUCE")),"")</f>
        <v/>
      </c>
      <c r="W1770" s="13">
        <f>IFERROR( (P1770-1)*0.5 + (M1770)*0.1 - (I1770+J1770)*0.05 + T1770*0.4 ,"")</f>
        <v/>
      </c>
      <c r="X1770" s="13">
        <f>IFERROR(IF(ABS(F1770)&lt;0.01,"ATM/NEAR",""),"")</f>
        <v/>
      </c>
    </row>
    <row r="1771">
      <c r="A1771" s="13">
        <f>CHAIN_RAW!A1771</f>
        <v/>
      </c>
      <c r="B1771" s="14">
        <f>CHAIN_RAW!B1771</f>
        <v/>
      </c>
      <c r="C1771" s="13">
        <f>CHAIN_RAW!C1771</f>
        <v/>
      </c>
      <c r="D1771" s="13">
        <f>CHAIN_RAW!D1771</f>
        <v/>
      </c>
      <c r="E1771" s="13">
        <f>CHAIN_RAW!E1771</f>
        <v/>
      </c>
      <c r="F1771" s="13">
        <f>IFERROR((E1771-D1771)/D1771,"")</f>
        <v/>
      </c>
      <c r="G1771" s="13">
        <f>IFERROR((CHAIN_RAW!K1771+CHAIN_RAW!L1771)/2,"")</f>
        <v/>
      </c>
      <c r="H1771" s="13">
        <f>IFERROR((CHAIN_RAW!R1771+CHAIN_RAW!S1771)/2,"")</f>
        <v/>
      </c>
      <c r="I1771" s="13">
        <f>IFERROR((CHAIN_RAW!L1771-CHAIN_RAW!K1771)/MAX(1E-9, G1771),"")</f>
        <v/>
      </c>
      <c r="J1771" s="13">
        <f>IFERROR((CHAIN_RAW!S1771-CHAIN_RAW!R1771)/MAX(1E-9, H1771),"")</f>
        <v/>
      </c>
      <c r="K1771" s="13">
        <f>CHAIN_RAW!G1771</f>
        <v/>
      </c>
      <c r="L1771" s="13">
        <f>CHAIN_RAW!N1771</f>
        <v/>
      </c>
      <c r="M1771" s="13">
        <f>IFERROR(L1771-K1771,"")</f>
        <v/>
      </c>
      <c r="N1771" s="13">
        <f>CHAIN_RAW!H1771</f>
        <v/>
      </c>
      <c r="O1771" s="13">
        <f>CHAIN_RAW!O1771</f>
        <v/>
      </c>
      <c r="P1771" s="13">
        <f>IFERROR(O1771/N1771,"")</f>
        <v/>
      </c>
      <c r="Q1771" s="13">
        <f>CHAIN_RAW!I1771</f>
        <v/>
      </c>
      <c r="R1771" s="13">
        <f>CHAIN_RAW!P1771</f>
        <v/>
      </c>
      <c r="S1771" s="13">
        <f>IFERROR(R1771/Q1771,"")</f>
        <v/>
      </c>
      <c r="T1771" s="13">
        <f>IFERROR((ABS(N1771-O1771)/MAX(1,(N1771+O1771)))*EXP(-ABS(E1771-CONTROL!E5)/MAX(1,CONTROL!B8)),"")</f>
        <v/>
      </c>
      <c r="U1771" s="13">
        <f>IFERROR(IF(O1771&gt;N1771,"SUPPORT (PE OI)","RESIST (CE OI)"),"")</f>
        <v/>
      </c>
      <c r="V1771" s="13">
        <f>IFERROR(IF(Q1771&gt;0,IF(R1771&gt;0,"BOTH_ADD","CE_ADD_PE_REDUCE"),IF(R1771&gt;0,"CE_REDUCE_PE_ADD","BOTH_REDUCE")),"")</f>
        <v/>
      </c>
      <c r="W1771" s="13">
        <f>IFERROR( (P1771-1)*0.5 + (M1771)*0.1 - (I1771+J1771)*0.05 + T1771*0.4 ,"")</f>
        <v/>
      </c>
      <c r="X1771" s="13">
        <f>IFERROR(IF(ABS(F1771)&lt;0.01,"ATM/NEAR",""),"")</f>
        <v/>
      </c>
    </row>
    <row r="1772">
      <c r="A1772" s="13">
        <f>CHAIN_RAW!A1772</f>
        <v/>
      </c>
      <c r="B1772" s="14">
        <f>CHAIN_RAW!B1772</f>
        <v/>
      </c>
      <c r="C1772" s="13">
        <f>CHAIN_RAW!C1772</f>
        <v/>
      </c>
      <c r="D1772" s="13">
        <f>CHAIN_RAW!D1772</f>
        <v/>
      </c>
      <c r="E1772" s="13">
        <f>CHAIN_RAW!E1772</f>
        <v/>
      </c>
      <c r="F1772" s="13">
        <f>IFERROR((E1772-D1772)/D1772,"")</f>
        <v/>
      </c>
      <c r="G1772" s="13">
        <f>IFERROR((CHAIN_RAW!K1772+CHAIN_RAW!L1772)/2,"")</f>
        <v/>
      </c>
      <c r="H1772" s="13">
        <f>IFERROR((CHAIN_RAW!R1772+CHAIN_RAW!S1772)/2,"")</f>
        <v/>
      </c>
      <c r="I1772" s="13">
        <f>IFERROR((CHAIN_RAW!L1772-CHAIN_RAW!K1772)/MAX(1E-9, G1772),"")</f>
        <v/>
      </c>
      <c r="J1772" s="13">
        <f>IFERROR((CHAIN_RAW!S1772-CHAIN_RAW!R1772)/MAX(1E-9, H1772),"")</f>
        <v/>
      </c>
      <c r="K1772" s="13">
        <f>CHAIN_RAW!G1772</f>
        <v/>
      </c>
      <c r="L1772" s="13">
        <f>CHAIN_RAW!N1772</f>
        <v/>
      </c>
      <c r="M1772" s="13">
        <f>IFERROR(L1772-K1772,"")</f>
        <v/>
      </c>
      <c r="N1772" s="13">
        <f>CHAIN_RAW!H1772</f>
        <v/>
      </c>
      <c r="O1772" s="13">
        <f>CHAIN_RAW!O1772</f>
        <v/>
      </c>
      <c r="P1772" s="13">
        <f>IFERROR(O1772/N1772,"")</f>
        <v/>
      </c>
      <c r="Q1772" s="13">
        <f>CHAIN_RAW!I1772</f>
        <v/>
      </c>
      <c r="R1772" s="13">
        <f>CHAIN_RAW!P1772</f>
        <v/>
      </c>
      <c r="S1772" s="13">
        <f>IFERROR(R1772/Q1772,"")</f>
        <v/>
      </c>
      <c r="T1772" s="13">
        <f>IFERROR((ABS(N1772-O1772)/MAX(1,(N1772+O1772)))*EXP(-ABS(E1772-CONTROL!E5)/MAX(1,CONTROL!B8)),"")</f>
        <v/>
      </c>
      <c r="U1772" s="13">
        <f>IFERROR(IF(O1772&gt;N1772,"SUPPORT (PE OI)","RESIST (CE OI)"),"")</f>
        <v/>
      </c>
      <c r="V1772" s="13">
        <f>IFERROR(IF(Q1772&gt;0,IF(R1772&gt;0,"BOTH_ADD","CE_ADD_PE_REDUCE"),IF(R1772&gt;0,"CE_REDUCE_PE_ADD","BOTH_REDUCE")),"")</f>
        <v/>
      </c>
      <c r="W1772" s="13">
        <f>IFERROR( (P1772-1)*0.5 + (M1772)*0.1 - (I1772+J1772)*0.05 + T1772*0.4 ,"")</f>
        <v/>
      </c>
      <c r="X1772" s="13">
        <f>IFERROR(IF(ABS(F1772)&lt;0.01,"ATM/NEAR",""),"")</f>
        <v/>
      </c>
    </row>
    <row r="1773">
      <c r="A1773" s="13">
        <f>CHAIN_RAW!A1773</f>
        <v/>
      </c>
      <c r="B1773" s="14">
        <f>CHAIN_RAW!B1773</f>
        <v/>
      </c>
      <c r="C1773" s="13">
        <f>CHAIN_RAW!C1773</f>
        <v/>
      </c>
      <c r="D1773" s="13">
        <f>CHAIN_RAW!D1773</f>
        <v/>
      </c>
      <c r="E1773" s="13">
        <f>CHAIN_RAW!E1773</f>
        <v/>
      </c>
      <c r="F1773" s="13">
        <f>IFERROR((E1773-D1773)/D1773,"")</f>
        <v/>
      </c>
      <c r="G1773" s="13">
        <f>IFERROR((CHAIN_RAW!K1773+CHAIN_RAW!L1773)/2,"")</f>
        <v/>
      </c>
      <c r="H1773" s="13">
        <f>IFERROR((CHAIN_RAW!R1773+CHAIN_RAW!S1773)/2,"")</f>
        <v/>
      </c>
      <c r="I1773" s="13">
        <f>IFERROR((CHAIN_RAW!L1773-CHAIN_RAW!K1773)/MAX(1E-9, G1773),"")</f>
        <v/>
      </c>
      <c r="J1773" s="13">
        <f>IFERROR((CHAIN_RAW!S1773-CHAIN_RAW!R1773)/MAX(1E-9, H1773),"")</f>
        <v/>
      </c>
      <c r="K1773" s="13">
        <f>CHAIN_RAW!G1773</f>
        <v/>
      </c>
      <c r="L1773" s="13">
        <f>CHAIN_RAW!N1773</f>
        <v/>
      </c>
      <c r="M1773" s="13">
        <f>IFERROR(L1773-K1773,"")</f>
        <v/>
      </c>
      <c r="N1773" s="13">
        <f>CHAIN_RAW!H1773</f>
        <v/>
      </c>
      <c r="O1773" s="13">
        <f>CHAIN_RAW!O1773</f>
        <v/>
      </c>
      <c r="P1773" s="13">
        <f>IFERROR(O1773/N1773,"")</f>
        <v/>
      </c>
      <c r="Q1773" s="13">
        <f>CHAIN_RAW!I1773</f>
        <v/>
      </c>
      <c r="R1773" s="13">
        <f>CHAIN_RAW!P1773</f>
        <v/>
      </c>
      <c r="S1773" s="13">
        <f>IFERROR(R1773/Q1773,"")</f>
        <v/>
      </c>
      <c r="T1773" s="13">
        <f>IFERROR((ABS(N1773-O1773)/MAX(1,(N1773+O1773)))*EXP(-ABS(E1773-CONTROL!E5)/MAX(1,CONTROL!B8)),"")</f>
        <v/>
      </c>
      <c r="U1773" s="13">
        <f>IFERROR(IF(O1773&gt;N1773,"SUPPORT (PE OI)","RESIST (CE OI)"),"")</f>
        <v/>
      </c>
      <c r="V1773" s="13">
        <f>IFERROR(IF(Q1773&gt;0,IF(R1773&gt;0,"BOTH_ADD","CE_ADD_PE_REDUCE"),IF(R1773&gt;0,"CE_REDUCE_PE_ADD","BOTH_REDUCE")),"")</f>
        <v/>
      </c>
      <c r="W1773" s="13">
        <f>IFERROR( (P1773-1)*0.5 + (M1773)*0.1 - (I1773+J1773)*0.05 + T1773*0.4 ,"")</f>
        <v/>
      </c>
      <c r="X1773" s="13">
        <f>IFERROR(IF(ABS(F1773)&lt;0.01,"ATM/NEAR",""),"")</f>
        <v/>
      </c>
    </row>
    <row r="1774">
      <c r="A1774" s="13">
        <f>CHAIN_RAW!A1774</f>
        <v/>
      </c>
      <c r="B1774" s="14">
        <f>CHAIN_RAW!B1774</f>
        <v/>
      </c>
      <c r="C1774" s="13">
        <f>CHAIN_RAW!C1774</f>
        <v/>
      </c>
      <c r="D1774" s="13">
        <f>CHAIN_RAW!D1774</f>
        <v/>
      </c>
      <c r="E1774" s="13">
        <f>CHAIN_RAW!E1774</f>
        <v/>
      </c>
      <c r="F1774" s="13">
        <f>IFERROR((E1774-D1774)/D1774,"")</f>
        <v/>
      </c>
      <c r="G1774" s="13">
        <f>IFERROR((CHAIN_RAW!K1774+CHAIN_RAW!L1774)/2,"")</f>
        <v/>
      </c>
      <c r="H1774" s="13">
        <f>IFERROR((CHAIN_RAW!R1774+CHAIN_RAW!S1774)/2,"")</f>
        <v/>
      </c>
      <c r="I1774" s="13">
        <f>IFERROR((CHAIN_RAW!L1774-CHAIN_RAW!K1774)/MAX(1E-9, G1774),"")</f>
        <v/>
      </c>
      <c r="J1774" s="13">
        <f>IFERROR((CHAIN_RAW!S1774-CHAIN_RAW!R1774)/MAX(1E-9, H1774),"")</f>
        <v/>
      </c>
      <c r="K1774" s="13">
        <f>CHAIN_RAW!G1774</f>
        <v/>
      </c>
      <c r="L1774" s="13">
        <f>CHAIN_RAW!N1774</f>
        <v/>
      </c>
      <c r="M1774" s="13">
        <f>IFERROR(L1774-K1774,"")</f>
        <v/>
      </c>
      <c r="N1774" s="13">
        <f>CHAIN_RAW!H1774</f>
        <v/>
      </c>
      <c r="O1774" s="13">
        <f>CHAIN_RAW!O1774</f>
        <v/>
      </c>
      <c r="P1774" s="13">
        <f>IFERROR(O1774/N1774,"")</f>
        <v/>
      </c>
      <c r="Q1774" s="13">
        <f>CHAIN_RAW!I1774</f>
        <v/>
      </c>
      <c r="R1774" s="13">
        <f>CHAIN_RAW!P1774</f>
        <v/>
      </c>
      <c r="S1774" s="13">
        <f>IFERROR(R1774/Q1774,"")</f>
        <v/>
      </c>
      <c r="T1774" s="13">
        <f>IFERROR((ABS(N1774-O1774)/MAX(1,(N1774+O1774)))*EXP(-ABS(E1774-CONTROL!E5)/MAX(1,CONTROL!B8)),"")</f>
        <v/>
      </c>
      <c r="U1774" s="13">
        <f>IFERROR(IF(O1774&gt;N1774,"SUPPORT (PE OI)","RESIST (CE OI)"),"")</f>
        <v/>
      </c>
      <c r="V1774" s="13">
        <f>IFERROR(IF(Q1774&gt;0,IF(R1774&gt;0,"BOTH_ADD","CE_ADD_PE_REDUCE"),IF(R1774&gt;0,"CE_REDUCE_PE_ADD","BOTH_REDUCE")),"")</f>
        <v/>
      </c>
      <c r="W1774" s="13">
        <f>IFERROR( (P1774-1)*0.5 + (M1774)*0.1 - (I1774+J1774)*0.05 + T1774*0.4 ,"")</f>
        <v/>
      </c>
      <c r="X1774" s="13">
        <f>IFERROR(IF(ABS(F1774)&lt;0.01,"ATM/NEAR",""),"")</f>
        <v/>
      </c>
    </row>
    <row r="1775">
      <c r="A1775" s="13">
        <f>CHAIN_RAW!A1775</f>
        <v/>
      </c>
      <c r="B1775" s="14">
        <f>CHAIN_RAW!B1775</f>
        <v/>
      </c>
      <c r="C1775" s="13">
        <f>CHAIN_RAW!C1775</f>
        <v/>
      </c>
      <c r="D1775" s="13">
        <f>CHAIN_RAW!D1775</f>
        <v/>
      </c>
      <c r="E1775" s="13">
        <f>CHAIN_RAW!E1775</f>
        <v/>
      </c>
      <c r="F1775" s="13">
        <f>IFERROR((E1775-D1775)/D1775,"")</f>
        <v/>
      </c>
      <c r="G1775" s="13">
        <f>IFERROR((CHAIN_RAW!K1775+CHAIN_RAW!L1775)/2,"")</f>
        <v/>
      </c>
      <c r="H1775" s="13">
        <f>IFERROR((CHAIN_RAW!R1775+CHAIN_RAW!S1775)/2,"")</f>
        <v/>
      </c>
      <c r="I1775" s="13">
        <f>IFERROR((CHAIN_RAW!L1775-CHAIN_RAW!K1775)/MAX(1E-9, G1775),"")</f>
        <v/>
      </c>
      <c r="J1775" s="13">
        <f>IFERROR((CHAIN_RAW!S1775-CHAIN_RAW!R1775)/MAX(1E-9, H1775),"")</f>
        <v/>
      </c>
      <c r="K1775" s="13">
        <f>CHAIN_RAW!G1775</f>
        <v/>
      </c>
      <c r="L1775" s="13">
        <f>CHAIN_RAW!N1775</f>
        <v/>
      </c>
      <c r="M1775" s="13">
        <f>IFERROR(L1775-K1775,"")</f>
        <v/>
      </c>
      <c r="N1775" s="13">
        <f>CHAIN_RAW!H1775</f>
        <v/>
      </c>
      <c r="O1775" s="13">
        <f>CHAIN_RAW!O1775</f>
        <v/>
      </c>
      <c r="P1775" s="13">
        <f>IFERROR(O1775/N1775,"")</f>
        <v/>
      </c>
      <c r="Q1775" s="13">
        <f>CHAIN_RAW!I1775</f>
        <v/>
      </c>
      <c r="R1775" s="13">
        <f>CHAIN_RAW!P1775</f>
        <v/>
      </c>
      <c r="S1775" s="13">
        <f>IFERROR(R1775/Q1775,"")</f>
        <v/>
      </c>
      <c r="T1775" s="13">
        <f>IFERROR((ABS(N1775-O1775)/MAX(1,(N1775+O1775)))*EXP(-ABS(E1775-CONTROL!E5)/MAX(1,CONTROL!B8)),"")</f>
        <v/>
      </c>
      <c r="U1775" s="13">
        <f>IFERROR(IF(O1775&gt;N1775,"SUPPORT (PE OI)","RESIST (CE OI)"),"")</f>
        <v/>
      </c>
      <c r="V1775" s="13">
        <f>IFERROR(IF(Q1775&gt;0,IF(R1775&gt;0,"BOTH_ADD","CE_ADD_PE_REDUCE"),IF(R1775&gt;0,"CE_REDUCE_PE_ADD","BOTH_REDUCE")),"")</f>
        <v/>
      </c>
      <c r="W1775" s="13">
        <f>IFERROR( (P1775-1)*0.5 + (M1775)*0.1 - (I1775+J1775)*0.05 + T1775*0.4 ,"")</f>
        <v/>
      </c>
      <c r="X1775" s="13">
        <f>IFERROR(IF(ABS(F1775)&lt;0.01,"ATM/NEAR",""),"")</f>
        <v/>
      </c>
    </row>
    <row r="1776">
      <c r="A1776" s="13">
        <f>CHAIN_RAW!A1776</f>
        <v/>
      </c>
      <c r="B1776" s="14">
        <f>CHAIN_RAW!B1776</f>
        <v/>
      </c>
      <c r="C1776" s="13">
        <f>CHAIN_RAW!C1776</f>
        <v/>
      </c>
      <c r="D1776" s="13">
        <f>CHAIN_RAW!D1776</f>
        <v/>
      </c>
      <c r="E1776" s="13">
        <f>CHAIN_RAW!E1776</f>
        <v/>
      </c>
      <c r="F1776" s="13">
        <f>IFERROR((E1776-D1776)/D1776,"")</f>
        <v/>
      </c>
      <c r="G1776" s="13">
        <f>IFERROR((CHAIN_RAW!K1776+CHAIN_RAW!L1776)/2,"")</f>
        <v/>
      </c>
      <c r="H1776" s="13">
        <f>IFERROR((CHAIN_RAW!R1776+CHAIN_RAW!S1776)/2,"")</f>
        <v/>
      </c>
      <c r="I1776" s="13">
        <f>IFERROR((CHAIN_RAW!L1776-CHAIN_RAW!K1776)/MAX(1E-9, G1776),"")</f>
        <v/>
      </c>
      <c r="J1776" s="13">
        <f>IFERROR((CHAIN_RAW!S1776-CHAIN_RAW!R1776)/MAX(1E-9, H1776),"")</f>
        <v/>
      </c>
      <c r="K1776" s="13">
        <f>CHAIN_RAW!G1776</f>
        <v/>
      </c>
      <c r="L1776" s="13">
        <f>CHAIN_RAW!N1776</f>
        <v/>
      </c>
      <c r="M1776" s="13">
        <f>IFERROR(L1776-K1776,"")</f>
        <v/>
      </c>
      <c r="N1776" s="13">
        <f>CHAIN_RAW!H1776</f>
        <v/>
      </c>
      <c r="O1776" s="13">
        <f>CHAIN_RAW!O1776</f>
        <v/>
      </c>
      <c r="P1776" s="13">
        <f>IFERROR(O1776/N1776,"")</f>
        <v/>
      </c>
      <c r="Q1776" s="13">
        <f>CHAIN_RAW!I1776</f>
        <v/>
      </c>
      <c r="R1776" s="13">
        <f>CHAIN_RAW!P1776</f>
        <v/>
      </c>
      <c r="S1776" s="13">
        <f>IFERROR(R1776/Q1776,"")</f>
        <v/>
      </c>
      <c r="T1776" s="13">
        <f>IFERROR((ABS(N1776-O1776)/MAX(1,(N1776+O1776)))*EXP(-ABS(E1776-CONTROL!E5)/MAX(1,CONTROL!B8)),"")</f>
        <v/>
      </c>
      <c r="U1776" s="13">
        <f>IFERROR(IF(O1776&gt;N1776,"SUPPORT (PE OI)","RESIST (CE OI)"),"")</f>
        <v/>
      </c>
      <c r="V1776" s="13">
        <f>IFERROR(IF(Q1776&gt;0,IF(R1776&gt;0,"BOTH_ADD","CE_ADD_PE_REDUCE"),IF(R1776&gt;0,"CE_REDUCE_PE_ADD","BOTH_REDUCE")),"")</f>
        <v/>
      </c>
      <c r="W1776" s="13">
        <f>IFERROR( (P1776-1)*0.5 + (M1776)*0.1 - (I1776+J1776)*0.05 + T1776*0.4 ,"")</f>
        <v/>
      </c>
      <c r="X1776" s="13">
        <f>IFERROR(IF(ABS(F1776)&lt;0.01,"ATM/NEAR",""),"")</f>
        <v/>
      </c>
    </row>
    <row r="1777">
      <c r="A1777" s="13">
        <f>CHAIN_RAW!A1777</f>
        <v/>
      </c>
      <c r="B1777" s="14">
        <f>CHAIN_RAW!B1777</f>
        <v/>
      </c>
      <c r="C1777" s="13">
        <f>CHAIN_RAW!C1777</f>
        <v/>
      </c>
      <c r="D1777" s="13">
        <f>CHAIN_RAW!D1777</f>
        <v/>
      </c>
      <c r="E1777" s="13">
        <f>CHAIN_RAW!E1777</f>
        <v/>
      </c>
      <c r="F1777" s="13">
        <f>IFERROR((E1777-D1777)/D1777,"")</f>
        <v/>
      </c>
      <c r="G1777" s="13">
        <f>IFERROR((CHAIN_RAW!K1777+CHAIN_RAW!L1777)/2,"")</f>
        <v/>
      </c>
      <c r="H1777" s="13">
        <f>IFERROR((CHAIN_RAW!R1777+CHAIN_RAW!S1777)/2,"")</f>
        <v/>
      </c>
      <c r="I1777" s="13">
        <f>IFERROR((CHAIN_RAW!L1777-CHAIN_RAW!K1777)/MAX(1E-9, G1777),"")</f>
        <v/>
      </c>
      <c r="J1777" s="13">
        <f>IFERROR((CHAIN_RAW!S1777-CHAIN_RAW!R1777)/MAX(1E-9, H1777),"")</f>
        <v/>
      </c>
      <c r="K1777" s="13">
        <f>CHAIN_RAW!G1777</f>
        <v/>
      </c>
      <c r="L1777" s="13">
        <f>CHAIN_RAW!N1777</f>
        <v/>
      </c>
      <c r="M1777" s="13">
        <f>IFERROR(L1777-K1777,"")</f>
        <v/>
      </c>
      <c r="N1777" s="13">
        <f>CHAIN_RAW!H1777</f>
        <v/>
      </c>
      <c r="O1777" s="13">
        <f>CHAIN_RAW!O1777</f>
        <v/>
      </c>
      <c r="P1777" s="13">
        <f>IFERROR(O1777/N1777,"")</f>
        <v/>
      </c>
      <c r="Q1777" s="13">
        <f>CHAIN_RAW!I1777</f>
        <v/>
      </c>
      <c r="R1777" s="13">
        <f>CHAIN_RAW!P1777</f>
        <v/>
      </c>
      <c r="S1777" s="13">
        <f>IFERROR(R1777/Q1777,"")</f>
        <v/>
      </c>
      <c r="T1777" s="13">
        <f>IFERROR((ABS(N1777-O1777)/MAX(1,(N1777+O1777)))*EXP(-ABS(E1777-CONTROL!E5)/MAX(1,CONTROL!B8)),"")</f>
        <v/>
      </c>
      <c r="U1777" s="13">
        <f>IFERROR(IF(O1777&gt;N1777,"SUPPORT (PE OI)","RESIST (CE OI)"),"")</f>
        <v/>
      </c>
      <c r="V1777" s="13">
        <f>IFERROR(IF(Q1777&gt;0,IF(R1777&gt;0,"BOTH_ADD","CE_ADD_PE_REDUCE"),IF(R1777&gt;0,"CE_REDUCE_PE_ADD","BOTH_REDUCE")),"")</f>
        <v/>
      </c>
      <c r="W1777" s="13">
        <f>IFERROR( (P1777-1)*0.5 + (M1777)*0.1 - (I1777+J1777)*0.05 + T1777*0.4 ,"")</f>
        <v/>
      </c>
      <c r="X1777" s="13">
        <f>IFERROR(IF(ABS(F1777)&lt;0.01,"ATM/NEAR",""),"")</f>
        <v/>
      </c>
    </row>
    <row r="1778">
      <c r="A1778" s="13">
        <f>CHAIN_RAW!A1778</f>
        <v/>
      </c>
      <c r="B1778" s="14">
        <f>CHAIN_RAW!B1778</f>
        <v/>
      </c>
      <c r="C1778" s="13">
        <f>CHAIN_RAW!C1778</f>
        <v/>
      </c>
      <c r="D1778" s="13">
        <f>CHAIN_RAW!D1778</f>
        <v/>
      </c>
      <c r="E1778" s="13">
        <f>CHAIN_RAW!E1778</f>
        <v/>
      </c>
      <c r="F1778" s="13">
        <f>IFERROR((E1778-D1778)/D1778,"")</f>
        <v/>
      </c>
      <c r="G1778" s="13">
        <f>IFERROR((CHAIN_RAW!K1778+CHAIN_RAW!L1778)/2,"")</f>
        <v/>
      </c>
      <c r="H1778" s="13">
        <f>IFERROR((CHAIN_RAW!R1778+CHAIN_RAW!S1778)/2,"")</f>
        <v/>
      </c>
      <c r="I1778" s="13">
        <f>IFERROR((CHAIN_RAW!L1778-CHAIN_RAW!K1778)/MAX(1E-9, G1778),"")</f>
        <v/>
      </c>
      <c r="J1778" s="13">
        <f>IFERROR((CHAIN_RAW!S1778-CHAIN_RAW!R1778)/MAX(1E-9, H1778),"")</f>
        <v/>
      </c>
      <c r="K1778" s="13">
        <f>CHAIN_RAW!G1778</f>
        <v/>
      </c>
      <c r="L1778" s="13">
        <f>CHAIN_RAW!N1778</f>
        <v/>
      </c>
      <c r="M1778" s="13">
        <f>IFERROR(L1778-K1778,"")</f>
        <v/>
      </c>
      <c r="N1778" s="13">
        <f>CHAIN_RAW!H1778</f>
        <v/>
      </c>
      <c r="O1778" s="13">
        <f>CHAIN_RAW!O1778</f>
        <v/>
      </c>
      <c r="P1778" s="13">
        <f>IFERROR(O1778/N1778,"")</f>
        <v/>
      </c>
      <c r="Q1778" s="13">
        <f>CHAIN_RAW!I1778</f>
        <v/>
      </c>
      <c r="R1778" s="13">
        <f>CHAIN_RAW!P1778</f>
        <v/>
      </c>
      <c r="S1778" s="13">
        <f>IFERROR(R1778/Q1778,"")</f>
        <v/>
      </c>
      <c r="T1778" s="13">
        <f>IFERROR((ABS(N1778-O1778)/MAX(1,(N1778+O1778)))*EXP(-ABS(E1778-CONTROL!E5)/MAX(1,CONTROL!B8)),"")</f>
        <v/>
      </c>
      <c r="U1778" s="13">
        <f>IFERROR(IF(O1778&gt;N1778,"SUPPORT (PE OI)","RESIST (CE OI)"),"")</f>
        <v/>
      </c>
      <c r="V1778" s="13">
        <f>IFERROR(IF(Q1778&gt;0,IF(R1778&gt;0,"BOTH_ADD","CE_ADD_PE_REDUCE"),IF(R1778&gt;0,"CE_REDUCE_PE_ADD","BOTH_REDUCE")),"")</f>
        <v/>
      </c>
      <c r="W1778" s="13">
        <f>IFERROR( (P1778-1)*0.5 + (M1778)*0.1 - (I1778+J1778)*0.05 + T1778*0.4 ,"")</f>
        <v/>
      </c>
      <c r="X1778" s="13">
        <f>IFERROR(IF(ABS(F1778)&lt;0.01,"ATM/NEAR",""),"")</f>
        <v/>
      </c>
    </row>
    <row r="1779">
      <c r="A1779" s="13">
        <f>CHAIN_RAW!A1779</f>
        <v/>
      </c>
      <c r="B1779" s="14">
        <f>CHAIN_RAW!B1779</f>
        <v/>
      </c>
      <c r="C1779" s="13">
        <f>CHAIN_RAW!C1779</f>
        <v/>
      </c>
      <c r="D1779" s="13">
        <f>CHAIN_RAW!D1779</f>
        <v/>
      </c>
      <c r="E1779" s="13">
        <f>CHAIN_RAW!E1779</f>
        <v/>
      </c>
      <c r="F1779" s="13">
        <f>IFERROR((E1779-D1779)/D1779,"")</f>
        <v/>
      </c>
      <c r="G1779" s="13">
        <f>IFERROR((CHAIN_RAW!K1779+CHAIN_RAW!L1779)/2,"")</f>
        <v/>
      </c>
      <c r="H1779" s="13">
        <f>IFERROR((CHAIN_RAW!R1779+CHAIN_RAW!S1779)/2,"")</f>
        <v/>
      </c>
      <c r="I1779" s="13">
        <f>IFERROR((CHAIN_RAW!L1779-CHAIN_RAW!K1779)/MAX(1E-9, G1779),"")</f>
        <v/>
      </c>
      <c r="J1779" s="13">
        <f>IFERROR((CHAIN_RAW!S1779-CHAIN_RAW!R1779)/MAX(1E-9, H1779),"")</f>
        <v/>
      </c>
      <c r="K1779" s="13">
        <f>CHAIN_RAW!G1779</f>
        <v/>
      </c>
      <c r="L1779" s="13">
        <f>CHAIN_RAW!N1779</f>
        <v/>
      </c>
      <c r="M1779" s="13">
        <f>IFERROR(L1779-K1779,"")</f>
        <v/>
      </c>
      <c r="N1779" s="13">
        <f>CHAIN_RAW!H1779</f>
        <v/>
      </c>
      <c r="O1779" s="13">
        <f>CHAIN_RAW!O1779</f>
        <v/>
      </c>
      <c r="P1779" s="13">
        <f>IFERROR(O1779/N1779,"")</f>
        <v/>
      </c>
      <c r="Q1779" s="13">
        <f>CHAIN_RAW!I1779</f>
        <v/>
      </c>
      <c r="R1779" s="13">
        <f>CHAIN_RAW!P1779</f>
        <v/>
      </c>
      <c r="S1779" s="13">
        <f>IFERROR(R1779/Q1779,"")</f>
        <v/>
      </c>
      <c r="T1779" s="13">
        <f>IFERROR((ABS(N1779-O1779)/MAX(1,(N1779+O1779)))*EXP(-ABS(E1779-CONTROL!E5)/MAX(1,CONTROL!B8)),"")</f>
        <v/>
      </c>
      <c r="U1779" s="13">
        <f>IFERROR(IF(O1779&gt;N1779,"SUPPORT (PE OI)","RESIST (CE OI)"),"")</f>
        <v/>
      </c>
      <c r="V1779" s="13">
        <f>IFERROR(IF(Q1779&gt;0,IF(R1779&gt;0,"BOTH_ADD","CE_ADD_PE_REDUCE"),IF(R1779&gt;0,"CE_REDUCE_PE_ADD","BOTH_REDUCE")),"")</f>
        <v/>
      </c>
      <c r="W1779" s="13">
        <f>IFERROR( (P1779-1)*0.5 + (M1779)*0.1 - (I1779+J1779)*0.05 + T1779*0.4 ,"")</f>
        <v/>
      </c>
      <c r="X1779" s="13">
        <f>IFERROR(IF(ABS(F1779)&lt;0.01,"ATM/NEAR",""),"")</f>
        <v/>
      </c>
    </row>
    <row r="1780">
      <c r="A1780" s="13">
        <f>CHAIN_RAW!A1780</f>
        <v/>
      </c>
      <c r="B1780" s="14">
        <f>CHAIN_RAW!B1780</f>
        <v/>
      </c>
      <c r="C1780" s="13">
        <f>CHAIN_RAW!C1780</f>
        <v/>
      </c>
      <c r="D1780" s="13">
        <f>CHAIN_RAW!D1780</f>
        <v/>
      </c>
      <c r="E1780" s="13">
        <f>CHAIN_RAW!E1780</f>
        <v/>
      </c>
      <c r="F1780" s="13">
        <f>IFERROR((E1780-D1780)/D1780,"")</f>
        <v/>
      </c>
      <c r="G1780" s="13">
        <f>IFERROR((CHAIN_RAW!K1780+CHAIN_RAW!L1780)/2,"")</f>
        <v/>
      </c>
      <c r="H1780" s="13">
        <f>IFERROR((CHAIN_RAW!R1780+CHAIN_RAW!S1780)/2,"")</f>
        <v/>
      </c>
      <c r="I1780" s="13">
        <f>IFERROR((CHAIN_RAW!L1780-CHAIN_RAW!K1780)/MAX(1E-9, G1780),"")</f>
        <v/>
      </c>
      <c r="J1780" s="13">
        <f>IFERROR((CHAIN_RAW!S1780-CHAIN_RAW!R1780)/MAX(1E-9, H1780),"")</f>
        <v/>
      </c>
      <c r="K1780" s="13">
        <f>CHAIN_RAW!G1780</f>
        <v/>
      </c>
      <c r="L1780" s="13">
        <f>CHAIN_RAW!N1780</f>
        <v/>
      </c>
      <c r="M1780" s="13">
        <f>IFERROR(L1780-K1780,"")</f>
        <v/>
      </c>
      <c r="N1780" s="13">
        <f>CHAIN_RAW!H1780</f>
        <v/>
      </c>
      <c r="O1780" s="13">
        <f>CHAIN_RAW!O1780</f>
        <v/>
      </c>
      <c r="P1780" s="13">
        <f>IFERROR(O1780/N1780,"")</f>
        <v/>
      </c>
      <c r="Q1780" s="13">
        <f>CHAIN_RAW!I1780</f>
        <v/>
      </c>
      <c r="R1780" s="13">
        <f>CHAIN_RAW!P1780</f>
        <v/>
      </c>
      <c r="S1780" s="13">
        <f>IFERROR(R1780/Q1780,"")</f>
        <v/>
      </c>
      <c r="T1780" s="13">
        <f>IFERROR((ABS(N1780-O1780)/MAX(1,(N1780+O1780)))*EXP(-ABS(E1780-CONTROL!E5)/MAX(1,CONTROL!B8)),"")</f>
        <v/>
      </c>
      <c r="U1780" s="13">
        <f>IFERROR(IF(O1780&gt;N1780,"SUPPORT (PE OI)","RESIST (CE OI)"),"")</f>
        <v/>
      </c>
      <c r="V1780" s="13">
        <f>IFERROR(IF(Q1780&gt;0,IF(R1780&gt;0,"BOTH_ADD","CE_ADD_PE_REDUCE"),IF(R1780&gt;0,"CE_REDUCE_PE_ADD","BOTH_REDUCE")),"")</f>
        <v/>
      </c>
      <c r="W1780" s="13">
        <f>IFERROR( (P1780-1)*0.5 + (M1780)*0.1 - (I1780+J1780)*0.05 + T1780*0.4 ,"")</f>
        <v/>
      </c>
      <c r="X1780" s="13">
        <f>IFERROR(IF(ABS(F1780)&lt;0.01,"ATM/NEAR",""),"")</f>
        <v/>
      </c>
    </row>
    <row r="1781">
      <c r="A1781" s="13">
        <f>CHAIN_RAW!A1781</f>
        <v/>
      </c>
      <c r="B1781" s="14">
        <f>CHAIN_RAW!B1781</f>
        <v/>
      </c>
      <c r="C1781" s="13">
        <f>CHAIN_RAW!C1781</f>
        <v/>
      </c>
      <c r="D1781" s="13">
        <f>CHAIN_RAW!D1781</f>
        <v/>
      </c>
      <c r="E1781" s="13">
        <f>CHAIN_RAW!E1781</f>
        <v/>
      </c>
      <c r="F1781" s="13">
        <f>IFERROR((E1781-D1781)/D1781,"")</f>
        <v/>
      </c>
      <c r="G1781" s="13">
        <f>IFERROR((CHAIN_RAW!K1781+CHAIN_RAW!L1781)/2,"")</f>
        <v/>
      </c>
      <c r="H1781" s="13">
        <f>IFERROR((CHAIN_RAW!R1781+CHAIN_RAW!S1781)/2,"")</f>
        <v/>
      </c>
      <c r="I1781" s="13">
        <f>IFERROR((CHAIN_RAW!L1781-CHAIN_RAW!K1781)/MAX(1E-9, G1781),"")</f>
        <v/>
      </c>
      <c r="J1781" s="13">
        <f>IFERROR((CHAIN_RAW!S1781-CHAIN_RAW!R1781)/MAX(1E-9, H1781),"")</f>
        <v/>
      </c>
      <c r="K1781" s="13">
        <f>CHAIN_RAW!G1781</f>
        <v/>
      </c>
      <c r="L1781" s="13">
        <f>CHAIN_RAW!N1781</f>
        <v/>
      </c>
      <c r="M1781" s="13">
        <f>IFERROR(L1781-K1781,"")</f>
        <v/>
      </c>
      <c r="N1781" s="13">
        <f>CHAIN_RAW!H1781</f>
        <v/>
      </c>
      <c r="O1781" s="13">
        <f>CHAIN_RAW!O1781</f>
        <v/>
      </c>
      <c r="P1781" s="13">
        <f>IFERROR(O1781/N1781,"")</f>
        <v/>
      </c>
      <c r="Q1781" s="13">
        <f>CHAIN_RAW!I1781</f>
        <v/>
      </c>
      <c r="R1781" s="13">
        <f>CHAIN_RAW!P1781</f>
        <v/>
      </c>
      <c r="S1781" s="13">
        <f>IFERROR(R1781/Q1781,"")</f>
        <v/>
      </c>
      <c r="T1781" s="13">
        <f>IFERROR((ABS(N1781-O1781)/MAX(1,(N1781+O1781)))*EXP(-ABS(E1781-CONTROL!E5)/MAX(1,CONTROL!B8)),"")</f>
        <v/>
      </c>
      <c r="U1781" s="13">
        <f>IFERROR(IF(O1781&gt;N1781,"SUPPORT (PE OI)","RESIST (CE OI)"),"")</f>
        <v/>
      </c>
      <c r="V1781" s="13">
        <f>IFERROR(IF(Q1781&gt;0,IF(R1781&gt;0,"BOTH_ADD","CE_ADD_PE_REDUCE"),IF(R1781&gt;0,"CE_REDUCE_PE_ADD","BOTH_REDUCE")),"")</f>
        <v/>
      </c>
      <c r="W1781" s="13">
        <f>IFERROR( (P1781-1)*0.5 + (M1781)*0.1 - (I1781+J1781)*0.05 + T1781*0.4 ,"")</f>
        <v/>
      </c>
      <c r="X1781" s="13">
        <f>IFERROR(IF(ABS(F1781)&lt;0.01,"ATM/NEAR",""),"")</f>
        <v/>
      </c>
    </row>
    <row r="1782">
      <c r="A1782" s="13">
        <f>CHAIN_RAW!A1782</f>
        <v/>
      </c>
      <c r="B1782" s="14">
        <f>CHAIN_RAW!B1782</f>
        <v/>
      </c>
      <c r="C1782" s="13">
        <f>CHAIN_RAW!C1782</f>
        <v/>
      </c>
      <c r="D1782" s="13">
        <f>CHAIN_RAW!D1782</f>
        <v/>
      </c>
      <c r="E1782" s="13">
        <f>CHAIN_RAW!E1782</f>
        <v/>
      </c>
      <c r="F1782" s="13">
        <f>IFERROR((E1782-D1782)/D1782,"")</f>
        <v/>
      </c>
      <c r="G1782" s="13">
        <f>IFERROR((CHAIN_RAW!K1782+CHAIN_RAW!L1782)/2,"")</f>
        <v/>
      </c>
      <c r="H1782" s="13">
        <f>IFERROR((CHAIN_RAW!R1782+CHAIN_RAW!S1782)/2,"")</f>
        <v/>
      </c>
      <c r="I1782" s="13">
        <f>IFERROR((CHAIN_RAW!L1782-CHAIN_RAW!K1782)/MAX(1E-9, G1782),"")</f>
        <v/>
      </c>
      <c r="J1782" s="13">
        <f>IFERROR((CHAIN_RAW!S1782-CHAIN_RAW!R1782)/MAX(1E-9, H1782),"")</f>
        <v/>
      </c>
      <c r="K1782" s="13">
        <f>CHAIN_RAW!G1782</f>
        <v/>
      </c>
      <c r="L1782" s="13">
        <f>CHAIN_RAW!N1782</f>
        <v/>
      </c>
      <c r="M1782" s="13">
        <f>IFERROR(L1782-K1782,"")</f>
        <v/>
      </c>
      <c r="N1782" s="13">
        <f>CHAIN_RAW!H1782</f>
        <v/>
      </c>
      <c r="O1782" s="13">
        <f>CHAIN_RAW!O1782</f>
        <v/>
      </c>
      <c r="P1782" s="13">
        <f>IFERROR(O1782/N1782,"")</f>
        <v/>
      </c>
      <c r="Q1782" s="13">
        <f>CHAIN_RAW!I1782</f>
        <v/>
      </c>
      <c r="R1782" s="13">
        <f>CHAIN_RAW!P1782</f>
        <v/>
      </c>
      <c r="S1782" s="13">
        <f>IFERROR(R1782/Q1782,"")</f>
        <v/>
      </c>
      <c r="T1782" s="13">
        <f>IFERROR((ABS(N1782-O1782)/MAX(1,(N1782+O1782)))*EXP(-ABS(E1782-CONTROL!E5)/MAX(1,CONTROL!B8)),"")</f>
        <v/>
      </c>
      <c r="U1782" s="13">
        <f>IFERROR(IF(O1782&gt;N1782,"SUPPORT (PE OI)","RESIST (CE OI)"),"")</f>
        <v/>
      </c>
      <c r="V1782" s="13">
        <f>IFERROR(IF(Q1782&gt;0,IF(R1782&gt;0,"BOTH_ADD","CE_ADD_PE_REDUCE"),IF(R1782&gt;0,"CE_REDUCE_PE_ADD","BOTH_REDUCE")),"")</f>
        <v/>
      </c>
      <c r="W1782" s="13">
        <f>IFERROR( (P1782-1)*0.5 + (M1782)*0.1 - (I1782+J1782)*0.05 + T1782*0.4 ,"")</f>
        <v/>
      </c>
      <c r="X1782" s="13">
        <f>IFERROR(IF(ABS(F1782)&lt;0.01,"ATM/NEAR",""),"")</f>
        <v/>
      </c>
    </row>
    <row r="1783">
      <c r="A1783" s="13">
        <f>CHAIN_RAW!A1783</f>
        <v/>
      </c>
      <c r="B1783" s="14">
        <f>CHAIN_RAW!B1783</f>
        <v/>
      </c>
      <c r="C1783" s="13">
        <f>CHAIN_RAW!C1783</f>
        <v/>
      </c>
      <c r="D1783" s="13">
        <f>CHAIN_RAW!D1783</f>
        <v/>
      </c>
      <c r="E1783" s="13">
        <f>CHAIN_RAW!E1783</f>
        <v/>
      </c>
      <c r="F1783" s="13">
        <f>IFERROR((E1783-D1783)/D1783,"")</f>
        <v/>
      </c>
      <c r="G1783" s="13">
        <f>IFERROR((CHAIN_RAW!K1783+CHAIN_RAW!L1783)/2,"")</f>
        <v/>
      </c>
      <c r="H1783" s="13">
        <f>IFERROR((CHAIN_RAW!R1783+CHAIN_RAW!S1783)/2,"")</f>
        <v/>
      </c>
      <c r="I1783" s="13">
        <f>IFERROR((CHAIN_RAW!L1783-CHAIN_RAW!K1783)/MAX(1E-9, G1783),"")</f>
        <v/>
      </c>
      <c r="J1783" s="13">
        <f>IFERROR((CHAIN_RAW!S1783-CHAIN_RAW!R1783)/MAX(1E-9, H1783),"")</f>
        <v/>
      </c>
      <c r="K1783" s="13">
        <f>CHAIN_RAW!G1783</f>
        <v/>
      </c>
      <c r="L1783" s="13">
        <f>CHAIN_RAW!N1783</f>
        <v/>
      </c>
      <c r="M1783" s="13">
        <f>IFERROR(L1783-K1783,"")</f>
        <v/>
      </c>
      <c r="N1783" s="13">
        <f>CHAIN_RAW!H1783</f>
        <v/>
      </c>
      <c r="O1783" s="13">
        <f>CHAIN_RAW!O1783</f>
        <v/>
      </c>
      <c r="P1783" s="13">
        <f>IFERROR(O1783/N1783,"")</f>
        <v/>
      </c>
      <c r="Q1783" s="13">
        <f>CHAIN_RAW!I1783</f>
        <v/>
      </c>
      <c r="R1783" s="13">
        <f>CHAIN_RAW!P1783</f>
        <v/>
      </c>
      <c r="S1783" s="13">
        <f>IFERROR(R1783/Q1783,"")</f>
        <v/>
      </c>
      <c r="T1783" s="13">
        <f>IFERROR((ABS(N1783-O1783)/MAX(1,(N1783+O1783)))*EXP(-ABS(E1783-CONTROL!E5)/MAX(1,CONTROL!B8)),"")</f>
        <v/>
      </c>
      <c r="U1783" s="13">
        <f>IFERROR(IF(O1783&gt;N1783,"SUPPORT (PE OI)","RESIST (CE OI)"),"")</f>
        <v/>
      </c>
      <c r="V1783" s="13">
        <f>IFERROR(IF(Q1783&gt;0,IF(R1783&gt;0,"BOTH_ADD","CE_ADD_PE_REDUCE"),IF(R1783&gt;0,"CE_REDUCE_PE_ADD","BOTH_REDUCE")),"")</f>
        <v/>
      </c>
      <c r="W1783" s="13">
        <f>IFERROR( (P1783-1)*0.5 + (M1783)*0.1 - (I1783+J1783)*0.05 + T1783*0.4 ,"")</f>
        <v/>
      </c>
      <c r="X1783" s="13">
        <f>IFERROR(IF(ABS(F1783)&lt;0.01,"ATM/NEAR",""),"")</f>
        <v/>
      </c>
    </row>
    <row r="1784">
      <c r="A1784" s="13">
        <f>CHAIN_RAW!A1784</f>
        <v/>
      </c>
      <c r="B1784" s="14">
        <f>CHAIN_RAW!B1784</f>
        <v/>
      </c>
      <c r="C1784" s="13">
        <f>CHAIN_RAW!C1784</f>
        <v/>
      </c>
      <c r="D1784" s="13">
        <f>CHAIN_RAW!D1784</f>
        <v/>
      </c>
      <c r="E1784" s="13">
        <f>CHAIN_RAW!E1784</f>
        <v/>
      </c>
      <c r="F1784" s="13">
        <f>IFERROR((E1784-D1784)/D1784,"")</f>
        <v/>
      </c>
      <c r="G1784" s="13">
        <f>IFERROR((CHAIN_RAW!K1784+CHAIN_RAW!L1784)/2,"")</f>
        <v/>
      </c>
      <c r="H1784" s="13">
        <f>IFERROR((CHAIN_RAW!R1784+CHAIN_RAW!S1784)/2,"")</f>
        <v/>
      </c>
      <c r="I1784" s="13">
        <f>IFERROR((CHAIN_RAW!L1784-CHAIN_RAW!K1784)/MAX(1E-9, G1784),"")</f>
        <v/>
      </c>
      <c r="J1784" s="13">
        <f>IFERROR((CHAIN_RAW!S1784-CHAIN_RAW!R1784)/MAX(1E-9, H1784),"")</f>
        <v/>
      </c>
      <c r="K1784" s="13">
        <f>CHAIN_RAW!G1784</f>
        <v/>
      </c>
      <c r="L1784" s="13">
        <f>CHAIN_RAW!N1784</f>
        <v/>
      </c>
      <c r="M1784" s="13">
        <f>IFERROR(L1784-K1784,"")</f>
        <v/>
      </c>
      <c r="N1784" s="13">
        <f>CHAIN_RAW!H1784</f>
        <v/>
      </c>
      <c r="O1784" s="13">
        <f>CHAIN_RAW!O1784</f>
        <v/>
      </c>
      <c r="P1784" s="13">
        <f>IFERROR(O1784/N1784,"")</f>
        <v/>
      </c>
      <c r="Q1784" s="13">
        <f>CHAIN_RAW!I1784</f>
        <v/>
      </c>
      <c r="R1784" s="13">
        <f>CHAIN_RAW!P1784</f>
        <v/>
      </c>
      <c r="S1784" s="13">
        <f>IFERROR(R1784/Q1784,"")</f>
        <v/>
      </c>
      <c r="T1784" s="13">
        <f>IFERROR((ABS(N1784-O1784)/MAX(1,(N1784+O1784)))*EXP(-ABS(E1784-CONTROL!E5)/MAX(1,CONTROL!B8)),"")</f>
        <v/>
      </c>
      <c r="U1784" s="13">
        <f>IFERROR(IF(O1784&gt;N1784,"SUPPORT (PE OI)","RESIST (CE OI)"),"")</f>
        <v/>
      </c>
      <c r="V1784" s="13">
        <f>IFERROR(IF(Q1784&gt;0,IF(R1784&gt;0,"BOTH_ADD","CE_ADD_PE_REDUCE"),IF(R1784&gt;0,"CE_REDUCE_PE_ADD","BOTH_REDUCE")),"")</f>
        <v/>
      </c>
      <c r="W1784" s="13">
        <f>IFERROR( (P1784-1)*0.5 + (M1784)*0.1 - (I1784+J1784)*0.05 + T1784*0.4 ,"")</f>
        <v/>
      </c>
      <c r="X1784" s="13">
        <f>IFERROR(IF(ABS(F1784)&lt;0.01,"ATM/NEAR",""),"")</f>
        <v/>
      </c>
    </row>
    <row r="1785">
      <c r="A1785" s="13">
        <f>CHAIN_RAW!A1785</f>
        <v/>
      </c>
      <c r="B1785" s="14">
        <f>CHAIN_RAW!B1785</f>
        <v/>
      </c>
      <c r="C1785" s="13">
        <f>CHAIN_RAW!C1785</f>
        <v/>
      </c>
      <c r="D1785" s="13">
        <f>CHAIN_RAW!D1785</f>
        <v/>
      </c>
      <c r="E1785" s="13">
        <f>CHAIN_RAW!E1785</f>
        <v/>
      </c>
      <c r="F1785" s="13">
        <f>IFERROR((E1785-D1785)/D1785,"")</f>
        <v/>
      </c>
      <c r="G1785" s="13">
        <f>IFERROR((CHAIN_RAW!K1785+CHAIN_RAW!L1785)/2,"")</f>
        <v/>
      </c>
      <c r="H1785" s="13">
        <f>IFERROR((CHAIN_RAW!R1785+CHAIN_RAW!S1785)/2,"")</f>
        <v/>
      </c>
      <c r="I1785" s="13">
        <f>IFERROR((CHAIN_RAW!L1785-CHAIN_RAW!K1785)/MAX(1E-9, G1785),"")</f>
        <v/>
      </c>
      <c r="J1785" s="13">
        <f>IFERROR((CHAIN_RAW!S1785-CHAIN_RAW!R1785)/MAX(1E-9, H1785),"")</f>
        <v/>
      </c>
      <c r="K1785" s="13">
        <f>CHAIN_RAW!G1785</f>
        <v/>
      </c>
      <c r="L1785" s="13">
        <f>CHAIN_RAW!N1785</f>
        <v/>
      </c>
      <c r="M1785" s="13">
        <f>IFERROR(L1785-K1785,"")</f>
        <v/>
      </c>
      <c r="N1785" s="13">
        <f>CHAIN_RAW!H1785</f>
        <v/>
      </c>
      <c r="O1785" s="13">
        <f>CHAIN_RAW!O1785</f>
        <v/>
      </c>
      <c r="P1785" s="13">
        <f>IFERROR(O1785/N1785,"")</f>
        <v/>
      </c>
      <c r="Q1785" s="13">
        <f>CHAIN_RAW!I1785</f>
        <v/>
      </c>
      <c r="R1785" s="13">
        <f>CHAIN_RAW!P1785</f>
        <v/>
      </c>
      <c r="S1785" s="13">
        <f>IFERROR(R1785/Q1785,"")</f>
        <v/>
      </c>
      <c r="T1785" s="13">
        <f>IFERROR((ABS(N1785-O1785)/MAX(1,(N1785+O1785)))*EXP(-ABS(E1785-CONTROL!E5)/MAX(1,CONTROL!B8)),"")</f>
        <v/>
      </c>
      <c r="U1785" s="13">
        <f>IFERROR(IF(O1785&gt;N1785,"SUPPORT (PE OI)","RESIST (CE OI)"),"")</f>
        <v/>
      </c>
      <c r="V1785" s="13">
        <f>IFERROR(IF(Q1785&gt;0,IF(R1785&gt;0,"BOTH_ADD","CE_ADD_PE_REDUCE"),IF(R1785&gt;0,"CE_REDUCE_PE_ADD","BOTH_REDUCE")),"")</f>
        <v/>
      </c>
      <c r="W1785" s="13">
        <f>IFERROR( (P1785-1)*0.5 + (M1785)*0.1 - (I1785+J1785)*0.05 + T1785*0.4 ,"")</f>
        <v/>
      </c>
      <c r="X1785" s="13">
        <f>IFERROR(IF(ABS(F1785)&lt;0.01,"ATM/NEAR",""),"")</f>
        <v/>
      </c>
    </row>
    <row r="1786">
      <c r="A1786" s="13">
        <f>CHAIN_RAW!A1786</f>
        <v/>
      </c>
      <c r="B1786" s="14">
        <f>CHAIN_RAW!B1786</f>
        <v/>
      </c>
      <c r="C1786" s="13">
        <f>CHAIN_RAW!C1786</f>
        <v/>
      </c>
      <c r="D1786" s="13">
        <f>CHAIN_RAW!D1786</f>
        <v/>
      </c>
      <c r="E1786" s="13">
        <f>CHAIN_RAW!E1786</f>
        <v/>
      </c>
      <c r="F1786" s="13">
        <f>IFERROR((E1786-D1786)/D1786,"")</f>
        <v/>
      </c>
      <c r="G1786" s="13">
        <f>IFERROR((CHAIN_RAW!K1786+CHAIN_RAW!L1786)/2,"")</f>
        <v/>
      </c>
      <c r="H1786" s="13">
        <f>IFERROR((CHAIN_RAW!R1786+CHAIN_RAW!S1786)/2,"")</f>
        <v/>
      </c>
      <c r="I1786" s="13">
        <f>IFERROR((CHAIN_RAW!L1786-CHAIN_RAW!K1786)/MAX(1E-9, G1786),"")</f>
        <v/>
      </c>
      <c r="J1786" s="13">
        <f>IFERROR((CHAIN_RAW!S1786-CHAIN_RAW!R1786)/MAX(1E-9, H1786),"")</f>
        <v/>
      </c>
      <c r="K1786" s="13">
        <f>CHAIN_RAW!G1786</f>
        <v/>
      </c>
      <c r="L1786" s="13">
        <f>CHAIN_RAW!N1786</f>
        <v/>
      </c>
      <c r="M1786" s="13">
        <f>IFERROR(L1786-K1786,"")</f>
        <v/>
      </c>
      <c r="N1786" s="13">
        <f>CHAIN_RAW!H1786</f>
        <v/>
      </c>
      <c r="O1786" s="13">
        <f>CHAIN_RAW!O1786</f>
        <v/>
      </c>
      <c r="P1786" s="13">
        <f>IFERROR(O1786/N1786,"")</f>
        <v/>
      </c>
      <c r="Q1786" s="13">
        <f>CHAIN_RAW!I1786</f>
        <v/>
      </c>
      <c r="R1786" s="13">
        <f>CHAIN_RAW!P1786</f>
        <v/>
      </c>
      <c r="S1786" s="13">
        <f>IFERROR(R1786/Q1786,"")</f>
        <v/>
      </c>
      <c r="T1786" s="13">
        <f>IFERROR((ABS(N1786-O1786)/MAX(1,(N1786+O1786)))*EXP(-ABS(E1786-CONTROL!E5)/MAX(1,CONTROL!B8)),"")</f>
        <v/>
      </c>
      <c r="U1786" s="13">
        <f>IFERROR(IF(O1786&gt;N1786,"SUPPORT (PE OI)","RESIST (CE OI)"),"")</f>
        <v/>
      </c>
      <c r="V1786" s="13">
        <f>IFERROR(IF(Q1786&gt;0,IF(R1786&gt;0,"BOTH_ADD","CE_ADD_PE_REDUCE"),IF(R1786&gt;0,"CE_REDUCE_PE_ADD","BOTH_REDUCE")),"")</f>
        <v/>
      </c>
      <c r="W1786" s="13">
        <f>IFERROR( (P1786-1)*0.5 + (M1786)*0.1 - (I1786+J1786)*0.05 + T1786*0.4 ,"")</f>
        <v/>
      </c>
      <c r="X1786" s="13">
        <f>IFERROR(IF(ABS(F1786)&lt;0.01,"ATM/NEAR",""),"")</f>
        <v/>
      </c>
    </row>
    <row r="1787">
      <c r="A1787" s="13">
        <f>CHAIN_RAW!A1787</f>
        <v/>
      </c>
      <c r="B1787" s="14">
        <f>CHAIN_RAW!B1787</f>
        <v/>
      </c>
      <c r="C1787" s="13">
        <f>CHAIN_RAW!C1787</f>
        <v/>
      </c>
      <c r="D1787" s="13">
        <f>CHAIN_RAW!D1787</f>
        <v/>
      </c>
      <c r="E1787" s="13">
        <f>CHAIN_RAW!E1787</f>
        <v/>
      </c>
      <c r="F1787" s="13">
        <f>IFERROR((E1787-D1787)/D1787,"")</f>
        <v/>
      </c>
      <c r="G1787" s="13">
        <f>IFERROR((CHAIN_RAW!K1787+CHAIN_RAW!L1787)/2,"")</f>
        <v/>
      </c>
      <c r="H1787" s="13">
        <f>IFERROR((CHAIN_RAW!R1787+CHAIN_RAW!S1787)/2,"")</f>
        <v/>
      </c>
      <c r="I1787" s="13">
        <f>IFERROR((CHAIN_RAW!L1787-CHAIN_RAW!K1787)/MAX(1E-9, G1787),"")</f>
        <v/>
      </c>
      <c r="J1787" s="13">
        <f>IFERROR((CHAIN_RAW!S1787-CHAIN_RAW!R1787)/MAX(1E-9, H1787),"")</f>
        <v/>
      </c>
      <c r="K1787" s="13">
        <f>CHAIN_RAW!G1787</f>
        <v/>
      </c>
      <c r="L1787" s="13">
        <f>CHAIN_RAW!N1787</f>
        <v/>
      </c>
      <c r="M1787" s="13">
        <f>IFERROR(L1787-K1787,"")</f>
        <v/>
      </c>
      <c r="N1787" s="13">
        <f>CHAIN_RAW!H1787</f>
        <v/>
      </c>
      <c r="O1787" s="13">
        <f>CHAIN_RAW!O1787</f>
        <v/>
      </c>
      <c r="P1787" s="13">
        <f>IFERROR(O1787/N1787,"")</f>
        <v/>
      </c>
      <c r="Q1787" s="13">
        <f>CHAIN_RAW!I1787</f>
        <v/>
      </c>
      <c r="R1787" s="13">
        <f>CHAIN_RAW!P1787</f>
        <v/>
      </c>
      <c r="S1787" s="13">
        <f>IFERROR(R1787/Q1787,"")</f>
        <v/>
      </c>
      <c r="T1787" s="13">
        <f>IFERROR((ABS(N1787-O1787)/MAX(1,(N1787+O1787)))*EXP(-ABS(E1787-CONTROL!E5)/MAX(1,CONTROL!B8)),"")</f>
        <v/>
      </c>
      <c r="U1787" s="13">
        <f>IFERROR(IF(O1787&gt;N1787,"SUPPORT (PE OI)","RESIST (CE OI)"),"")</f>
        <v/>
      </c>
      <c r="V1787" s="13">
        <f>IFERROR(IF(Q1787&gt;0,IF(R1787&gt;0,"BOTH_ADD","CE_ADD_PE_REDUCE"),IF(R1787&gt;0,"CE_REDUCE_PE_ADD","BOTH_REDUCE")),"")</f>
        <v/>
      </c>
      <c r="W1787" s="13">
        <f>IFERROR( (P1787-1)*0.5 + (M1787)*0.1 - (I1787+J1787)*0.05 + T1787*0.4 ,"")</f>
        <v/>
      </c>
      <c r="X1787" s="13">
        <f>IFERROR(IF(ABS(F1787)&lt;0.01,"ATM/NEAR",""),"")</f>
        <v/>
      </c>
    </row>
    <row r="1788">
      <c r="A1788" s="13">
        <f>CHAIN_RAW!A1788</f>
        <v/>
      </c>
      <c r="B1788" s="14">
        <f>CHAIN_RAW!B1788</f>
        <v/>
      </c>
      <c r="C1788" s="13">
        <f>CHAIN_RAW!C1788</f>
        <v/>
      </c>
      <c r="D1788" s="13">
        <f>CHAIN_RAW!D1788</f>
        <v/>
      </c>
      <c r="E1788" s="13">
        <f>CHAIN_RAW!E1788</f>
        <v/>
      </c>
      <c r="F1788" s="13">
        <f>IFERROR((E1788-D1788)/D1788,"")</f>
        <v/>
      </c>
      <c r="G1788" s="13">
        <f>IFERROR((CHAIN_RAW!K1788+CHAIN_RAW!L1788)/2,"")</f>
        <v/>
      </c>
      <c r="H1788" s="13">
        <f>IFERROR((CHAIN_RAW!R1788+CHAIN_RAW!S1788)/2,"")</f>
        <v/>
      </c>
      <c r="I1788" s="13">
        <f>IFERROR((CHAIN_RAW!L1788-CHAIN_RAW!K1788)/MAX(1E-9, G1788),"")</f>
        <v/>
      </c>
      <c r="J1788" s="13">
        <f>IFERROR((CHAIN_RAW!S1788-CHAIN_RAW!R1788)/MAX(1E-9, H1788),"")</f>
        <v/>
      </c>
      <c r="K1788" s="13">
        <f>CHAIN_RAW!G1788</f>
        <v/>
      </c>
      <c r="L1788" s="13">
        <f>CHAIN_RAW!N1788</f>
        <v/>
      </c>
      <c r="M1788" s="13">
        <f>IFERROR(L1788-K1788,"")</f>
        <v/>
      </c>
      <c r="N1788" s="13">
        <f>CHAIN_RAW!H1788</f>
        <v/>
      </c>
      <c r="O1788" s="13">
        <f>CHAIN_RAW!O1788</f>
        <v/>
      </c>
      <c r="P1788" s="13">
        <f>IFERROR(O1788/N1788,"")</f>
        <v/>
      </c>
      <c r="Q1788" s="13">
        <f>CHAIN_RAW!I1788</f>
        <v/>
      </c>
      <c r="R1788" s="13">
        <f>CHAIN_RAW!P1788</f>
        <v/>
      </c>
      <c r="S1788" s="13">
        <f>IFERROR(R1788/Q1788,"")</f>
        <v/>
      </c>
      <c r="T1788" s="13">
        <f>IFERROR((ABS(N1788-O1788)/MAX(1,(N1788+O1788)))*EXP(-ABS(E1788-CONTROL!E5)/MAX(1,CONTROL!B8)),"")</f>
        <v/>
      </c>
      <c r="U1788" s="13">
        <f>IFERROR(IF(O1788&gt;N1788,"SUPPORT (PE OI)","RESIST (CE OI)"),"")</f>
        <v/>
      </c>
      <c r="V1788" s="13">
        <f>IFERROR(IF(Q1788&gt;0,IF(R1788&gt;0,"BOTH_ADD","CE_ADD_PE_REDUCE"),IF(R1788&gt;0,"CE_REDUCE_PE_ADD","BOTH_REDUCE")),"")</f>
        <v/>
      </c>
      <c r="W1788" s="13">
        <f>IFERROR( (P1788-1)*0.5 + (M1788)*0.1 - (I1788+J1788)*0.05 + T1788*0.4 ,"")</f>
        <v/>
      </c>
      <c r="X1788" s="13">
        <f>IFERROR(IF(ABS(F1788)&lt;0.01,"ATM/NEAR",""),"")</f>
        <v/>
      </c>
    </row>
    <row r="1789">
      <c r="A1789" s="13">
        <f>CHAIN_RAW!A1789</f>
        <v/>
      </c>
      <c r="B1789" s="14">
        <f>CHAIN_RAW!B1789</f>
        <v/>
      </c>
      <c r="C1789" s="13">
        <f>CHAIN_RAW!C1789</f>
        <v/>
      </c>
      <c r="D1789" s="13">
        <f>CHAIN_RAW!D1789</f>
        <v/>
      </c>
      <c r="E1789" s="13">
        <f>CHAIN_RAW!E1789</f>
        <v/>
      </c>
      <c r="F1789" s="13">
        <f>IFERROR((E1789-D1789)/D1789,"")</f>
        <v/>
      </c>
      <c r="G1789" s="13">
        <f>IFERROR((CHAIN_RAW!K1789+CHAIN_RAW!L1789)/2,"")</f>
        <v/>
      </c>
      <c r="H1789" s="13">
        <f>IFERROR((CHAIN_RAW!R1789+CHAIN_RAW!S1789)/2,"")</f>
        <v/>
      </c>
      <c r="I1789" s="13">
        <f>IFERROR((CHAIN_RAW!L1789-CHAIN_RAW!K1789)/MAX(1E-9, G1789),"")</f>
        <v/>
      </c>
      <c r="J1789" s="13">
        <f>IFERROR((CHAIN_RAW!S1789-CHAIN_RAW!R1789)/MAX(1E-9, H1789),"")</f>
        <v/>
      </c>
      <c r="K1789" s="13">
        <f>CHAIN_RAW!G1789</f>
        <v/>
      </c>
      <c r="L1789" s="13">
        <f>CHAIN_RAW!N1789</f>
        <v/>
      </c>
      <c r="M1789" s="13">
        <f>IFERROR(L1789-K1789,"")</f>
        <v/>
      </c>
      <c r="N1789" s="13">
        <f>CHAIN_RAW!H1789</f>
        <v/>
      </c>
      <c r="O1789" s="13">
        <f>CHAIN_RAW!O1789</f>
        <v/>
      </c>
      <c r="P1789" s="13">
        <f>IFERROR(O1789/N1789,"")</f>
        <v/>
      </c>
      <c r="Q1789" s="13">
        <f>CHAIN_RAW!I1789</f>
        <v/>
      </c>
      <c r="R1789" s="13">
        <f>CHAIN_RAW!P1789</f>
        <v/>
      </c>
      <c r="S1789" s="13">
        <f>IFERROR(R1789/Q1789,"")</f>
        <v/>
      </c>
      <c r="T1789" s="13">
        <f>IFERROR((ABS(N1789-O1789)/MAX(1,(N1789+O1789)))*EXP(-ABS(E1789-CONTROL!E5)/MAX(1,CONTROL!B8)),"")</f>
        <v/>
      </c>
      <c r="U1789" s="13">
        <f>IFERROR(IF(O1789&gt;N1789,"SUPPORT (PE OI)","RESIST (CE OI)"),"")</f>
        <v/>
      </c>
      <c r="V1789" s="13">
        <f>IFERROR(IF(Q1789&gt;0,IF(R1789&gt;0,"BOTH_ADD","CE_ADD_PE_REDUCE"),IF(R1789&gt;0,"CE_REDUCE_PE_ADD","BOTH_REDUCE")),"")</f>
        <v/>
      </c>
      <c r="W1789" s="13">
        <f>IFERROR( (P1789-1)*0.5 + (M1789)*0.1 - (I1789+J1789)*0.05 + T1789*0.4 ,"")</f>
        <v/>
      </c>
      <c r="X1789" s="13">
        <f>IFERROR(IF(ABS(F1789)&lt;0.01,"ATM/NEAR",""),"")</f>
        <v/>
      </c>
    </row>
    <row r="1790">
      <c r="A1790" s="13">
        <f>CHAIN_RAW!A1790</f>
        <v/>
      </c>
      <c r="B1790" s="14">
        <f>CHAIN_RAW!B1790</f>
        <v/>
      </c>
      <c r="C1790" s="13">
        <f>CHAIN_RAW!C1790</f>
        <v/>
      </c>
      <c r="D1790" s="13">
        <f>CHAIN_RAW!D1790</f>
        <v/>
      </c>
      <c r="E1790" s="13">
        <f>CHAIN_RAW!E1790</f>
        <v/>
      </c>
      <c r="F1790" s="13">
        <f>IFERROR((E1790-D1790)/D1790,"")</f>
        <v/>
      </c>
      <c r="G1790" s="13">
        <f>IFERROR((CHAIN_RAW!K1790+CHAIN_RAW!L1790)/2,"")</f>
        <v/>
      </c>
      <c r="H1790" s="13">
        <f>IFERROR((CHAIN_RAW!R1790+CHAIN_RAW!S1790)/2,"")</f>
        <v/>
      </c>
      <c r="I1790" s="13">
        <f>IFERROR((CHAIN_RAW!L1790-CHAIN_RAW!K1790)/MAX(1E-9, G1790),"")</f>
        <v/>
      </c>
      <c r="J1790" s="13">
        <f>IFERROR((CHAIN_RAW!S1790-CHAIN_RAW!R1790)/MAX(1E-9, H1790),"")</f>
        <v/>
      </c>
      <c r="K1790" s="13">
        <f>CHAIN_RAW!G1790</f>
        <v/>
      </c>
      <c r="L1790" s="13">
        <f>CHAIN_RAW!N1790</f>
        <v/>
      </c>
      <c r="M1790" s="13">
        <f>IFERROR(L1790-K1790,"")</f>
        <v/>
      </c>
      <c r="N1790" s="13">
        <f>CHAIN_RAW!H1790</f>
        <v/>
      </c>
      <c r="O1790" s="13">
        <f>CHAIN_RAW!O1790</f>
        <v/>
      </c>
      <c r="P1790" s="13">
        <f>IFERROR(O1790/N1790,"")</f>
        <v/>
      </c>
      <c r="Q1790" s="13">
        <f>CHAIN_RAW!I1790</f>
        <v/>
      </c>
      <c r="R1790" s="13">
        <f>CHAIN_RAW!P1790</f>
        <v/>
      </c>
      <c r="S1790" s="13">
        <f>IFERROR(R1790/Q1790,"")</f>
        <v/>
      </c>
      <c r="T1790" s="13">
        <f>IFERROR((ABS(N1790-O1790)/MAX(1,(N1790+O1790)))*EXP(-ABS(E1790-CONTROL!E5)/MAX(1,CONTROL!B8)),"")</f>
        <v/>
      </c>
      <c r="U1790" s="13">
        <f>IFERROR(IF(O1790&gt;N1790,"SUPPORT (PE OI)","RESIST (CE OI)"),"")</f>
        <v/>
      </c>
      <c r="V1790" s="13">
        <f>IFERROR(IF(Q1790&gt;0,IF(R1790&gt;0,"BOTH_ADD","CE_ADD_PE_REDUCE"),IF(R1790&gt;0,"CE_REDUCE_PE_ADD","BOTH_REDUCE")),"")</f>
        <v/>
      </c>
      <c r="W1790" s="13">
        <f>IFERROR( (P1790-1)*0.5 + (M1790)*0.1 - (I1790+J1790)*0.05 + T1790*0.4 ,"")</f>
        <v/>
      </c>
      <c r="X1790" s="13">
        <f>IFERROR(IF(ABS(F1790)&lt;0.01,"ATM/NEAR",""),"")</f>
        <v/>
      </c>
    </row>
    <row r="1791">
      <c r="A1791" s="13">
        <f>CHAIN_RAW!A1791</f>
        <v/>
      </c>
      <c r="B1791" s="14">
        <f>CHAIN_RAW!B1791</f>
        <v/>
      </c>
      <c r="C1791" s="13">
        <f>CHAIN_RAW!C1791</f>
        <v/>
      </c>
      <c r="D1791" s="13">
        <f>CHAIN_RAW!D1791</f>
        <v/>
      </c>
      <c r="E1791" s="13">
        <f>CHAIN_RAW!E1791</f>
        <v/>
      </c>
      <c r="F1791" s="13">
        <f>IFERROR((E1791-D1791)/D1791,"")</f>
        <v/>
      </c>
      <c r="G1791" s="13">
        <f>IFERROR((CHAIN_RAW!K1791+CHAIN_RAW!L1791)/2,"")</f>
        <v/>
      </c>
      <c r="H1791" s="13">
        <f>IFERROR((CHAIN_RAW!R1791+CHAIN_RAW!S1791)/2,"")</f>
        <v/>
      </c>
      <c r="I1791" s="13">
        <f>IFERROR((CHAIN_RAW!L1791-CHAIN_RAW!K1791)/MAX(1E-9, G1791),"")</f>
        <v/>
      </c>
      <c r="J1791" s="13">
        <f>IFERROR((CHAIN_RAW!S1791-CHAIN_RAW!R1791)/MAX(1E-9, H1791),"")</f>
        <v/>
      </c>
      <c r="K1791" s="13">
        <f>CHAIN_RAW!G1791</f>
        <v/>
      </c>
      <c r="L1791" s="13">
        <f>CHAIN_RAW!N1791</f>
        <v/>
      </c>
      <c r="M1791" s="13">
        <f>IFERROR(L1791-K1791,"")</f>
        <v/>
      </c>
      <c r="N1791" s="13">
        <f>CHAIN_RAW!H1791</f>
        <v/>
      </c>
      <c r="O1791" s="13">
        <f>CHAIN_RAW!O1791</f>
        <v/>
      </c>
      <c r="P1791" s="13">
        <f>IFERROR(O1791/N1791,"")</f>
        <v/>
      </c>
      <c r="Q1791" s="13">
        <f>CHAIN_RAW!I1791</f>
        <v/>
      </c>
      <c r="R1791" s="13">
        <f>CHAIN_RAW!P1791</f>
        <v/>
      </c>
      <c r="S1791" s="13">
        <f>IFERROR(R1791/Q1791,"")</f>
        <v/>
      </c>
      <c r="T1791" s="13">
        <f>IFERROR((ABS(N1791-O1791)/MAX(1,(N1791+O1791)))*EXP(-ABS(E1791-CONTROL!E5)/MAX(1,CONTROL!B8)),"")</f>
        <v/>
      </c>
      <c r="U1791" s="13">
        <f>IFERROR(IF(O1791&gt;N1791,"SUPPORT (PE OI)","RESIST (CE OI)"),"")</f>
        <v/>
      </c>
      <c r="V1791" s="13">
        <f>IFERROR(IF(Q1791&gt;0,IF(R1791&gt;0,"BOTH_ADD","CE_ADD_PE_REDUCE"),IF(R1791&gt;0,"CE_REDUCE_PE_ADD","BOTH_REDUCE")),"")</f>
        <v/>
      </c>
      <c r="W1791" s="13">
        <f>IFERROR( (P1791-1)*0.5 + (M1791)*0.1 - (I1791+J1791)*0.05 + T1791*0.4 ,"")</f>
        <v/>
      </c>
      <c r="X1791" s="13">
        <f>IFERROR(IF(ABS(F1791)&lt;0.01,"ATM/NEAR",""),"")</f>
        <v/>
      </c>
    </row>
    <row r="1792">
      <c r="A1792" s="13">
        <f>CHAIN_RAW!A1792</f>
        <v/>
      </c>
      <c r="B1792" s="14">
        <f>CHAIN_RAW!B1792</f>
        <v/>
      </c>
      <c r="C1792" s="13">
        <f>CHAIN_RAW!C1792</f>
        <v/>
      </c>
      <c r="D1792" s="13">
        <f>CHAIN_RAW!D1792</f>
        <v/>
      </c>
      <c r="E1792" s="13">
        <f>CHAIN_RAW!E1792</f>
        <v/>
      </c>
      <c r="F1792" s="13">
        <f>IFERROR((E1792-D1792)/D1792,"")</f>
        <v/>
      </c>
      <c r="G1792" s="13">
        <f>IFERROR((CHAIN_RAW!K1792+CHAIN_RAW!L1792)/2,"")</f>
        <v/>
      </c>
      <c r="H1792" s="13">
        <f>IFERROR((CHAIN_RAW!R1792+CHAIN_RAW!S1792)/2,"")</f>
        <v/>
      </c>
      <c r="I1792" s="13">
        <f>IFERROR((CHAIN_RAW!L1792-CHAIN_RAW!K1792)/MAX(1E-9, G1792),"")</f>
        <v/>
      </c>
      <c r="J1792" s="13">
        <f>IFERROR((CHAIN_RAW!S1792-CHAIN_RAW!R1792)/MAX(1E-9, H1792),"")</f>
        <v/>
      </c>
      <c r="K1792" s="13">
        <f>CHAIN_RAW!G1792</f>
        <v/>
      </c>
      <c r="L1792" s="13">
        <f>CHAIN_RAW!N1792</f>
        <v/>
      </c>
      <c r="M1792" s="13">
        <f>IFERROR(L1792-K1792,"")</f>
        <v/>
      </c>
      <c r="N1792" s="13">
        <f>CHAIN_RAW!H1792</f>
        <v/>
      </c>
      <c r="O1792" s="13">
        <f>CHAIN_RAW!O1792</f>
        <v/>
      </c>
      <c r="P1792" s="13">
        <f>IFERROR(O1792/N1792,"")</f>
        <v/>
      </c>
      <c r="Q1792" s="13">
        <f>CHAIN_RAW!I1792</f>
        <v/>
      </c>
      <c r="R1792" s="13">
        <f>CHAIN_RAW!P1792</f>
        <v/>
      </c>
      <c r="S1792" s="13">
        <f>IFERROR(R1792/Q1792,"")</f>
        <v/>
      </c>
      <c r="T1792" s="13">
        <f>IFERROR((ABS(N1792-O1792)/MAX(1,(N1792+O1792)))*EXP(-ABS(E1792-CONTROL!E5)/MAX(1,CONTROL!B8)),"")</f>
        <v/>
      </c>
      <c r="U1792" s="13">
        <f>IFERROR(IF(O1792&gt;N1792,"SUPPORT (PE OI)","RESIST (CE OI)"),"")</f>
        <v/>
      </c>
      <c r="V1792" s="13">
        <f>IFERROR(IF(Q1792&gt;0,IF(R1792&gt;0,"BOTH_ADD","CE_ADD_PE_REDUCE"),IF(R1792&gt;0,"CE_REDUCE_PE_ADD","BOTH_REDUCE")),"")</f>
        <v/>
      </c>
      <c r="W1792" s="13">
        <f>IFERROR( (P1792-1)*0.5 + (M1792)*0.1 - (I1792+J1792)*0.05 + T1792*0.4 ,"")</f>
        <v/>
      </c>
      <c r="X1792" s="13">
        <f>IFERROR(IF(ABS(F1792)&lt;0.01,"ATM/NEAR",""),"")</f>
        <v/>
      </c>
    </row>
    <row r="1793">
      <c r="A1793" s="13">
        <f>CHAIN_RAW!A1793</f>
        <v/>
      </c>
      <c r="B1793" s="14">
        <f>CHAIN_RAW!B1793</f>
        <v/>
      </c>
      <c r="C1793" s="13">
        <f>CHAIN_RAW!C1793</f>
        <v/>
      </c>
      <c r="D1793" s="13">
        <f>CHAIN_RAW!D1793</f>
        <v/>
      </c>
      <c r="E1793" s="13">
        <f>CHAIN_RAW!E1793</f>
        <v/>
      </c>
      <c r="F1793" s="13">
        <f>IFERROR((E1793-D1793)/D1793,"")</f>
        <v/>
      </c>
      <c r="G1793" s="13">
        <f>IFERROR((CHAIN_RAW!K1793+CHAIN_RAW!L1793)/2,"")</f>
        <v/>
      </c>
      <c r="H1793" s="13">
        <f>IFERROR((CHAIN_RAW!R1793+CHAIN_RAW!S1793)/2,"")</f>
        <v/>
      </c>
      <c r="I1793" s="13">
        <f>IFERROR((CHAIN_RAW!L1793-CHAIN_RAW!K1793)/MAX(1E-9, G1793),"")</f>
        <v/>
      </c>
      <c r="J1793" s="13">
        <f>IFERROR((CHAIN_RAW!S1793-CHAIN_RAW!R1793)/MAX(1E-9, H1793),"")</f>
        <v/>
      </c>
      <c r="K1793" s="13">
        <f>CHAIN_RAW!G1793</f>
        <v/>
      </c>
      <c r="L1793" s="13">
        <f>CHAIN_RAW!N1793</f>
        <v/>
      </c>
      <c r="M1793" s="13">
        <f>IFERROR(L1793-K1793,"")</f>
        <v/>
      </c>
      <c r="N1793" s="13">
        <f>CHAIN_RAW!H1793</f>
        <v/>
      </c>
      <c r="O1793" s="13">
        <f>CHAIN_RAW!O1793</f>
        <v/>
      </c>
      <c r="P1793" s="13">
        <f>IFERROR(O1793/N1793,"")</f>
        <v/>
      </c>
      <c r="Q1793" s="13">
        <f>CHAIN_RAW!I1793</f>
        <v/>
      </c>
      <c r="R1793" s="13">
        <f>CHAIN_RAW!P1793</f>
        <v/>
      </c>
      <c r="S1793" s="13">
        <f>IFERROR(R1793/Q1793,"")</f>
        <v/>
      </c>
      <c r="T1793" s="13">
        <f>IFERROR((ABS(N1793-O1793)/MAX(1,(N1793+O1793)))*EXP(-ABS(E1793-CONTROL!E5)/MAX(1,CONTROL!B8)),"")</f>
        <v/>
      </c>
      <c r="U1793" s="13">
        <f>IFERROR(IF(O1793&gt;N1793,"SUPPORT (PE OI)","RESIST (CE OI)"),"")</f>
        <v/>
      </c>
      <c r="V1793" s="13">
        <f>IFERROR(IF(Q1793&gt;0,IF(R1793&gt;0,"BOTH_ADD","CE_ADD_PE_REDUCE"),IF(R1793&gt;0,"CE_REDUCE_PE_ADD","BOTH_REDUCE")),"")</f>
        <v/>
      </c>
      <c r="W1793" s="13">
        <f>IFERROR( (P1793-1)*0.5 + (M1793)*0.1 - (I1793+J1793)*0.05 + T1793*0.4 ,"")</f>
        <v/>
      </c>
      <c r="X1793" s="13">
        <f>IFERROR(IF(ABS(F1793)&lt;0.01,"ATM/NEAR",""),"")</f>
        <v/>
      </c>
    </row>
    <row r="1794">
      <c r="A1794" s="13">
        <f>CHAIN_RAW!A1794</f>
        <v/>
      </c>
      <c r="B1794" s="14">
        <f>CHAIN_RAW!B1794</f>
        <v/>
      </c>
      <c r="C1794" s="13">
        <f>CHAIN_RAW!C1794</f>
        <v/>
      </c>
      <c r="D1794" s="13">
        <f>CHAIN_RAW!D1794</f>
        <v/>
      </c>
      <c r="E1794" s="13">
        <f>CHAIN_RAW!E1794</f>
        <v/>
      </c>
      <c r="F1794" s="13">
        <f>IFERROR((E1794-D1794)/D1794,"")</f>
        <v/>
      </c>
      <c r="G1794" s="13">
        <f>IFERROR((CHAIN_RAW!K1794+CHAIN_RAW!L1794)/2,"")</f>
        <v/>
      </c>
      <c r="H1794" s="13">
        <f>IFERROR((CHAIN_RAW!R1794+CHAIN_RAW!S1794)/2,"")</f>
        <v/>
      </c>
      <c r="I1794" s="13">
        <f>IFERROR((CHAIN_RAW!L1794-CHAIN_RAW!K1794)/MAX(1E-9, G1794),"")</f>
        <v/>
      </c>
      <c r="J1794" s="13">
        <f>IFERROR((CHAIN_RAW!S1794-CHAIN_RAW!R1794)/MAX(1E-9, H1794),"")</f>
        <v/>
      </c>
      <c r="K1794" s="13">
        <f>CHAIN_RAW!G1794</f>
        <v/>
      </c>
      <c r="L1794" s="13">
        <f>CHAIN_RAW!N1794</f>
        <v/>
      </c>
      <c r="M1794" s="13">
        <f>IFERROR(L1794-K1794,"")</f>
        <v/>
      </c>
      <c r="N1794" s="13">
        <f>CHAIN_RAW!H1794</f>
        <v/>
      </c>
      <c r="O1794" s="13">
        <f>CHAIN_RAW!O1794</f>
        <v/>
      </c>
      <c r="P1794" s="13">
        <f>IFERROR(O1794/N1794,"")</f>
        <v/>
      </c>
      <c r="Q1794" s="13">
        <f>CHAIN_RAW!I1794</f>
        <v/>
      </c>
      <c r="R1794" s="13">
        <f>CHAIN_RAW!P1794</f>
        <v/>
      </c>
      <c r="S1794" s="13">
        <f>IFERROR(R1794/Q1794,"")</f>
        <v/>
      </c>
      <c r="T1794" s="13">
        <f>IFERROR((ABS(N1794-O1794)/MAX(1,(N1794+O1794)))*EXP(-ABS(E1794-CONTROL!E5)/MAX(1,CONTROL!B8)),"")</f>
        <v/>
      </c>
      <c r="U1794" s="13">
        <f>IFERROR(IF(O1794&gt;N1794,"SUPPORT (PE OI)","RESIST (CE OI)"),"")</f>
        <v/>
      </c>
      <c r="V1794" s="13">
        <f>IFERROR(IF(Q1794&gt;0,IF(R1794&gt;0,"BOTH_ADD","CE_ADD_PE_REDUCE"),IF(R1794&gt;0,"CE_REDUCE_PE_ADD","BOTH_REDUCE")),"")</f>
        <v/>
      </c>
      <c r="W1794" s="13">
        <f>IFERROR( (P1794-1)*0.5 + (M1794)*0.1 - (I1794+J1794)*0.05 + T1794*0.4 ,"")</f>
        <v/>
      </c>
      <c r="X1794" s="13">
        <f>IFERROR(IF(ABS(F1794)&lt;0.01,"ATM/NEAR",""),"")</f>
        <v/>
      </c>
    </row>
    <row r="1795">
      <c r="A1795" s="13">
        <f>CHAIN_RAW!A1795</f>
        <v/>
      </c>
      <c r="B1795" s="14">
        <f>CHAIN_RAW!B1795</f>
        <v/>
      </c>
      <c r="C1795" s="13">
        <f>CHAIN_RAW!C1795</f>
        <v/>
      </c>
      <c r="D1795" s="13">
        <f>CHAIN_RAW!D1795</f>
        <v/>
      </c>
      <c r="E1795" s="13">
        <f>CHAIN_RAW!E1795</f>
        <v/>
      </c>
      <c r="F1795" s="13">
        <f>IFERROR((E1795-D1795)/D1795,"")</f>
        <v/>
      </c>
      <c r="G1795" s="13">
        <f>IFERROR((CHAIN_RAW!K1795+CHAIN_RAW!L1795)/2,"")</f>
        <v/>
      </c>
      <c r="H1795" s="13">
        <f>IFERROR((CHAIN_RAW!R1795+CHAIN_RAW!S1795)/2,"")</f>
        <v/>
      </c>
      <c r="I1795" s="13">
        <f>IFERROR((CHAIN_RAW!L1795-CHAIN_RAW!K1795)/MAX(1E-9, G1795),"")</f>
        <v/>
      </c>
      <c r="J1795" s="13">
        <f>IFERROR((CHAIN_RAW!S1795-CHAIN_RAW!R1795)/MAX(1E-9, H1795),"")</f>
        <v/>
      </c>
      <c r="K1795" s="13">
        <f>CHAIN_RAW!G1795</f>
        <v/>
      </c>
      <c r="L1795" s="13">
        <f>CHAIN_RAW!N1795</f>
        <v/>
      </c>
      <c r="M1795" s="13">
        <f>IFERROR(L1795-K1795,"")</f>
        <v/>
      </c>
      <c r="N1795" s="13">
        <f>CHAIN_RAW!H1795</f>
        <v/>
      </c>
      <c r="O1795" s="13">
        <f>CHAIN_RAW!O1795</f>
        <v/>
      </c>
      <c r="P1795" s="13">
        <f>IFERROR(O1795/N1795,"")</f>
        <v/>
      </c>
      <c r="Q1795" s="13">
        <f>CHAIN_RAW!I1795</f>
        <v/>
      </c>
      <c r="R1795" s="13">
        <f>CHAIN_RAW!P1795</f>
        <v/>
      </c>
      <c r="S1795" s="13">
        <f>IFERROR(R1795/Q1795,"")</f>
        <v/>
      </c>
      <c r="T1795" s="13">
        <f>IFERROR((ABS(N1795-O1795)/MAX(1,(N1795+O1795)))*EXP(-ABS(E1795-CONTROL!E5)/MAX(1,CONTROL!B8)),"")</f>
        <v/>
      </c>
      <c r="U1795" s="13">
        <f>IFERROR(IF(O1795&gt;N1795,"SUPPORT (PE OI)","RESIST (CE OI)"),"")</f>
        <v/>
      </c>
      <c r="V1795" s="13">
        <f>IFERROR(IF(Q1795&gt;0,IF(R1795&gt;0,"BOTH_ADD","CE_ADD_PE_REDUCE"),IF(R1795&gt;0,"CE_REDUCE_PE_ADD","BOTH_REDUCE")),"")</f>
        <v/>
      </c>
      <c r="W1795" s="13">
        <f>IFERROR( (P1795-1)*0.5 + (M1795)*0.1 - (I1795+J1795)*0.05 + T1795*0.4 ,"")</f>
        <v/>
      </c>
      <c r="X1795" s="13">
        <f>IFERROR(IF(ABS(F1795)&lt;0.01,"ATM/NEAR",""),"")</f>
        <v/>
      </c>
    </row>
    <row r="1796">
      <c r="A1796" s="13">
        <f>CHAIN_RAW!A1796</f>
        <v/>
      </c>
      <c r="B1796" s="14">
        <f>CHAIN_RAW!B1796</f>
        <v/>
      </c>
      <c r="C1796" s="13">
        <f>CHAIN_RAW!C1796</f>
        <v/>
      </c>
      <c r="D1796" s="13">
        <f>CHAIN_RAW!D1796</f>
        <v/>
      </c>
      <c r="E1796" s="13">
        <f>CHAIN_RAW!E1796</f>
        <v/>
      </c>
      <c r="F1796" s="13">
        <f>IFERROR((E1796-D1796)/D1796,"")</f>
        <v/>
      </c>
      <c r="G1796" s="13">
        <f>IFERROR((CHAIN_RAW!K1796+CHAIN_RAW!L1796)/2,"")</f>
        <v/>
      </c>
      <c r="H1796" s="13">
        <f>IFERROR((CHAIN_RAW!R1796+CHAIN_RAW!S1796)/2,"")</f>
        <v/>
      </c>
      <c r="I1796" s="13">
        <f>IFERROR((CHAIN_RAW!L1796-CHAIN_RAW!K1796)/MAX(1E-9, G1796),"")</f>
        <v/>
      </c>
      <c r="J1796" s="13">
        <f>IFERROR((CHAIN_RAW!S1796-CHAIN_RAW!R1796)/MAX(1E-9, H1796),"")</f>
        <v/>
      </c>
      <c r="K1796" s="13">
        <f>CHAIN_RAW!G1796</f>
        <v/>
      </c>
      <c r="L1796" s="13">
        <f>CHAIN_RAW!N1796</f>
        <v/>
      </c>
      <c r="M1796" s="13">
        <f>IFERROR(L1796-K1796,"")</f>
        <v/>
      </c>
      <c r="N1796" s="13">
        <f>CHAIN_RAW!H1796</f>
        <v/>
      </c>
      <c r="O1796" s="13">
        <f>CHAIN_RAW!O1796</f>
        <v/>
      </c>
      <c r="P1796" s="13">
        <f>IFERROR(O1796/N1796,"")</f>
        <v/>
      </c>
      <c r="Q1796" s="13">
        <f>CHAIN_RAW!I1796</f>
        <v/>
      </c>
      <c r="R1796" s="13">
        <f>CHAIN_RAW!P1796</f>
        <v/>
      </c>
      <c r="S1796" s="13">
        <f>IFERROR(R1796/Q1796,"")</f>
        <v/>
      </c>
      <c r="T1796" s="13">
        <f>IFERROR((ABS(N1796-O1796)/MAX(1,(N1796+O1796)))*EXP(-ABS(E1796-CONTROL!E5)/MAX(1,CONTROL!B8)),"")</f>
        <v/>
      </c>
      <c r="U1796" s="13">
        <f>IFERROR(IF(O1796&gt;N1796,"SUPPORT (PE OI)","RESIST (CE OI)"),"")</f>
        <v/>
      </c>
      <c r="V1796" s="13">
        <f>IFERROR(IF(Q1796&gt;0,IF(R1796&gt;0,"BOTH_ADD","CE_ADD_PE_REDUCE"),IF(R1796&gt;0,"CE_REDUCE_PE_ADD","BOTH_REDUCE")),"")</f>
        <v/>
      </c>
      <c r="W1796" s="13">
        <f>IFERROR( (P1796-1)*0.5 + (M1796)*0.1 - (I1796+J1796)*0.05 + T1796*0.4 ,"")</f>
        <v/>
      </c>
      <c r="X1796" s="13">
        <f>IFERROR(IF(ABS(F1796)&lt;0.01,"ATM/NEAR",""),"")</f>
        <v/>
      </c>
    </row>
    <row r="1797">
      <c r="A1797" s="13">
        <f>CHAIN_RAW!A1797</f>
        <v/>
      </c>
      <c r="B1797" s="14">
        <f>CHAIN_RAW!B1797</f>
        <v/>
      </c>
      <c r="C1797" s="13">
        <f>CHAIN_RAW!C1797</f>
        <v/>
      </c>
      <c r="D1797" s="13">
        <f>CHAIN_RAW!D1797</f>
        <v/>
      </c>
      <c r="E1797" s="13">
        <f>CHAIN_RAW!E1797</f>
        <v/>
      </c>
      <c r="F1797" s="13">
        <f>IFERROR((E1797-D1797)/D1797,"")</f>
        <v/>
      </c>
      <c r="G1797" s="13">
        <f>IFERROR((CHAIN_RAW!K1797+CHAIN_RAW!L1797)/2,"")</f>
        <v/>
      </c>
      <c r="H1797" s="13">
        <f>IFERROR((CHAIN_RAW!R1797+CHAIN_RAW!S1797)/2,"")</f>
        <v/>
      </c>
      <c r="I1797" s="13">
        <f>IFERROR((CHAIN_RAW!L1797-CHAIN_RAW!K1797)/MAX(1E-9, G1797),"")</f>
        <v/>
      </c>
      <c r="J1797" s="13">
        <f>IFERROR((CHAIN_RAW!S1797-CHAIN_RAW!R1797)/MAX(1E-9, H1797),"")</f>
        <v/>
      </c>
      <c r="K1797" s="13">
        <f>CHAIN_RAW!G1797</f>
        <v/>
      </c>
      <c r="L1797" s="13">
        <f>CHAIN_RAW!N1797</f>
        <v/>
      </c>
      <c r="M1797" s="13">
        <f>IFERROR(L1797-K1797,"")</f>
        <v/>
      </c>
      <c r="N1797" s="13">
        <f>CHAIN_RAW!H1797</f>
        <v/>
      </c>
      <c r="O1797" s="13">
        <f>CHAIN_RAW!O1797</f>
        <v/>
      </c>
      <c r="P1797" s="13">
        <f>IFERROR(O1797/N1797,"")</f>
        <v/>
      </c>
      <c r="Q1797" s="13">
        <f>CHAIN_RAW!I1797</f>
        <v/>
      </c>
      <c r="R1797" s="13">
        <f>CHAIN_RAW!P1797</f>
        <v/>
      </c>
      <c r="S1797" s="13">
        <f>IFERROR(R1797/Q1797,"")</f>
        <v/>
      </c>
      <c r="T1797" s="13">
        <f>IFERROR((ABS(N1797-O1797)/MAX(1,(N1797+O1797)))*EXP(-ABS(E1797-CONTROL!E5)/MAX(1,CONTROL!B8)),"")</f>
        <v/>
      </c>
      <c r="U1797" s="13">
        <f>IFERROR(IF(O1797&gt;N1797,"SUPPORT (PE OI)","RESIST (CE OI)"),"")</f>
        <v/>
      </c>
      <c r="V1797" s="13">
        <f>IFERROR(IF(Q1797&gt;0,IF(R1797&gt;0,"BOTH_ADD","CE_ADD_PE_REDUCE"),IF(R1797&gt;0,"CE_REDUCE_PE_ADD","BOTH_REDUCE")),"")</f>
        <v/>
      </c>
      <c r="W1797" s="13">
        <f>IFERROR( (P1797-1)*0.5 + (M1797)*0.1 - (I1797+J1797)*0.05 + T1797*0.4 ,"")</f>
        <v/>
      </c>
      <c r="X1797" s="13">
        <f>IFERROR(IF(ABS(F1797)&lt;0.01,"ATM/NEAR",""),"")</f>
        <v/>
      </c>
    </row>
    <row r="1798">
      <c r="A1798" s="13">
        <f>CHAIN_RAW!A1798</f>
        <v/>
      </c>
      <c r="B1798" s="14">
        <f>CHAIN_RAW!B1798</f>
        <v/>
      </c>
      <c r="C1798" s="13">
        <f>CHAIN_RAW!C1798</f>
        <v/>
      </c>
      <c r="D1798" s="13">
        <f>CHAIN_RAW!D1798</f>
        <v/>
      </c>
      <c r="E1798" s="13">
        <f>CHAIN_RAW!E1798</f>
        <v/>
      </c>
      <c r="F1798" s="13">
        <f>IFERROR((E1798-D1798)/D1798,"")</f>
        <v/>
      </c>
      <c r="G1798" s="13">
        <f>IFERROR((CHAIN_RAW!K1798+CHAIN_RAW!L1798)/2,"")</f>
        <v/>
      </c>
      <c r="H1798" s="13">
        <f>IFERROR((CHAIN_RAW!R1798+CHAIN_RAW!S1798)/2,"")</f>
        <v/>
      </c>
      <c r="I1798" s="13">
        <f>IFERROR((CHAIN_RAW!L1798-CHAIN_RAW!K1798)/MAX(1E-9, G1798),"")</f>
        <v/>
      </c>
      <c r="J1798" s="13">
        <f>IFERROR((CHAIN_RAW!S1798-CHAIN_RAW!R1798)/MAX(1E-9, H1798),"")</f>
        <v/>
      </c>
      <c r="K1798" s="13">
        <f>CHAIN_RAW!G1798</f>
        <v/>
      </c>
      <c r="L1798" s="13">
        <f>CHAIN_RAW!N1798</f>
        <v/>
      </c>
      <c r="M1798" s="13">
        <f>IFERROR(L1798-K1798,"")</f>
        <v/>
      </c>
      <c r="N1798" s="13">
        <f>CHAIN_RAW!H1798</f>
        <v/>
      </c>
      <c r="O1798" s="13">
        <f>CHAIN_RAW!O1798</f>
        <v/>
      </c>
      <c r="P1798" s="13">
        <f>IFERROR(O1798/N1798,"")</f>
        <v/>
      </c>
      <c r="Q1798" s="13">
        <f>CHAIN_RAW!I1798</f>
        <v/>
      </c>
      <c r="R1798" s="13">
        <f>CHAIN_RAW!P1798</f>
        <v/>
      </c>
      <c r="S1798" s="13">
        <f>IFERROR(R1798/Q1798,"")</f>
        <v/>
      </c>
      <c r="T1798" s="13">
        <f>IFERROR((ABS(N1798-O1798)/MAX(1,(N1798+O1798)))*EXP(-ABS(E1798-CONTROL!E5)/MAX(1,CONTROL!B8)),"")</f>
        <v/>
      </c>
      <c r="U1798" s="13">
        <f>IFERROR(IF(O1798&gt;N1798,"SUPPORT (PE OI)","RESIST (CE OI)"),"")</f>
        <v/>
      </c>
      <c r="V1798" s="13">
        <f>IFERROR(IF(Q1798&gt;0,IF(R1798&gt;0,"BOTH_ADD","CE_ADD_PE_REDUCE"),IF(R1798&gt;0,"CE_REDUCE_PE_ADD","BOTH_REDUCE")),"")</f>
        <v/>
      </c>
      <c r="W1798" s="13">
        <f>IFERROR( (P1798-1)*0.5 + (M1798)*0.1 - (I1798+J1798)*0.05 + T1798*0.4 ,"")</f>
        <v/>
      </c>
      <c r="X1798" s="13">
        <f>IFERROR(IF(ABS(F1798)&lt;0.01,"ATM/NEAR",""),"")</f>
        <v/>
      </c>
    </row>
    <row r="1799">
      <c r="A1799" s="13">
        <f>CHAIN_RAW!A1799</f>
        <v/>
      </c>
      <c r="B1799" s="14">
        <f>CHAIN_RAW!B1799</f>
        <v/>
      </c>
      <c r="C1799" s="13">
        <f>CHAIN_RAW!C1799</f>
        <v/>
      </c>
      <c r="D1799" s="13">
        <f>CHAIN_RAW!D1799</f>
        <v/>
      </c>
      <c r="E1799" s="13">
        <f>CHAIN_RAW!E1799</f>
        <v/>
      </c>
      <c r="F1799" s="13">
        <f>IFERROR((E1799-D1799)/D1799,"")</f>
        <v/>
      </c>
      <c r="G1799" s="13">
        <f>IFERROR((CHAIN_RAW!K1799+CHAIN_RAW!L1799)/2,"")</f>
        <v/>
      </c>
      <c r="H1799" s="13">
        <f>IFERROR((CHAIN_RAW!R1799+CHAIN_RAW!S1799)/2,"")</f>
        <v/>
      </c>
      <c r="I1799" s="13">
        <f>IFERROR((CHAIN_RAW!L1799-CHAIN_RAW!K1799)/MAX(1E-9, G1799),"")</f>
        <v/>
      </c>
      <c r="J1799" s="13">
        <f>IFERROR((CHAIN_RAW!S1799-CHAIN_RAW!R1799)/MAX(1E-9, H1799),"")</f>
        <v/>
      </c>
      <c r="K1799" s="13">
        <f>CHAIN_RAW!G1799</f>
        <v/>
      </c>
      <c r="L1799" s="13">
        <f>CHAIN_RAW!N1799</f>
        <v/>
      </c>
      <c r="M1799" s="13">
        <f>IFERROR(L1799-K1799,"")</f>
        <v/>
      </c>
      <c r="N1799" s="13">
        <f>CHAIN_RAW!H1799</f>
        <v/>
      </c>
      <c r="O1799" s="13">
        <f>CHAIN_RAW!O1799</f>
        <v/>
      </c>
      <c r="P1799" s="13">
        <f>IFERROR(O1799/N1799,"")</f>
        <v/>
      </c>
      <c r="Q1799" s="13">
        <f>CHAIN_RAW!I1799</f>
        <v/>
      </c>
      <c r="R1799" s="13">
        <f>CHAIN_RAW!P1799</f>
        <v/>
      </c>
      <c r="S1799" s="13">
        <f>IFERROR(R1799/Q1799,"")</f>
        <v/>
      </c>
      <c r="T1799" s="13">
        <f>IFERROR((ABS(N1799-O1799)/MAX(1,(N1799+O1799)))*EXP(-ABS(E1799-CONTROL!E5)/MAX(1,CONTROL!B8)),"")</f>
        <v/>
      </c>
      <c r="U1799" s="13">
        <f>IFERROR(IF(O1799&gt;N1799,"SUPPORT (PE OI)","RESIST (CE OI)"),"")</f>
        <v/>
      </c>
      <c r="V1799" s="13">
        <f>IFERROR(IF(Q1799&gt;0,IF(R1799&gt;0,"BOTH_ADD","CE_ADD_PE_REDUCE"),IF(R1799&gt;0,"CE_REDUCE_PE_ADD","BOTH_REDUCE")),"")</f>
        <v/>
      </c>
      <c r="W1799" s="13">
        <f>IFERROR( (P1799-1)*0.5 + (M1799)*0.1 - (I1799+J1799)*0.05 + T1799*0.4 ,"")</f>
        <v/>
      </c>
      <c r="X1799" s="13">
        <f>IFERROR(IF(ABS(F1799)&lt;0.01,"ATM/NEAR",""),"")</f>
        <v/>
      </c>
    </row>
    <row r="1800">
      <c r="A1800" s="13">
        <f>CHAIN_RAW!A1800</f>
        <v/>
      </c>
      <c r="B1800" s="14">
        <f>CHAIN_RAW!B1800</f>
        <v/>
      </c>
      <c r="C1800" s="13">
        <f>CHAIN_RAW!C1800</f>
        <v/>
      </c>
      <c r="D1800" s="13">
        <f>CHAIN_RAW!D1800</f>
        <v/>
      </c>
      <c r="E1800" s="13">
        <f>CHAIN_RAW!E1800</f>
        <v/>
      </c>
      <c r="F1800" s="13">
        <f>IFERROR((E1800-D1800)/D1800,"")</f>
        <v/>
      </c>
      <c r="G1800" s="13">
        <f>IFERROR((CHAIN_RAW!K1800+CHAIN_RAW!L1800)/2,"")</f>
        <v/>
      </c>
      <c r="H1800" s="13">
        <f>IFERROR((CHAIN_RAW!R1800+CHAIN_RAW!S1800)/2,"")</f>
        <v/>
      </c>
      <c r="I1800" s="13">
        <f>IFERROR((CHAIN_RAW!L1800-CHAIN_RAW!K1800)/MAX(1E-9, G1800),"")</f>
        <v/>
      </c>
      <c r="J1800" s="13">
        <f>IFERROR((CHAIN_RAW!S1800-CHAIN_RAW!R1800)/MAX(1E-9, H1800),"")</f>
        <v/>
      </c>
      <c r="K1800" s="13">
        <f>CHAIN_RAW!G1800</f>
        <v/>
      </c>
      <c r="L1800" s="13">
        <f>CHAIN_RAW!N1800</f>
        <v/>
      </c>
      <c r="M1800" s="13">
        <f>IFERROR(L1800-K1800,"")</f>
        <v/>
      </c>
      <c r="N1800" s="13">
        <f>CHAIN_RAW!H1800</f>
        <v/>
      </c>
      <c r="O1800" s="13">
        <f>CHAIN_RAW!O1800</f>
        <v/>
      </c>
      <c r="P1800" s="13">
        <f>IFERROR(O1800/N1800,"")</f>
        <v/>
      </c>
      <c r="Q1800" s="13">
        <f>CHAIN_RAW!I1800</f>
        <v/>
      </c>
      <c r="R1800" s="13">
        <f>CHAIN_RAW!P1800</f>
        <v/>
      </c>
      <c r="S1800" s="13">
        <f>IFERROR(R1800/Q1800,"")</f>
        <v/>
      </c>
      <c r="T1800" s="13">
        <f>IFERROR((ABS(N1800-O1800)/MAX(1,(N1800+O1800)))*EXP(-ABS(E1800-CONTROL!E5)/MAX(1,CONTROL!B8)),"")</f>
        <v/>
      </c>
      <c r="U1800" s="13">
        <f>IFERROR(IF(O1800&gt;N1800,"SUPPORT (PE OI)","RESIST (CE OI)"),"")</f>
        <v/>
      </c>
      <c r="V1800" s="13">
        <f>IFERROR(IF(Q1800&gt;0,IF(R1800&gt;0,"BOTH_ADD","CE_ADD_PE_REDUCE"),IF(R1800&gt;0,"CE_REDUCE_PE_ADD","BOTH_REDUCE")),"")</f>
        <v/>
      </c>
      <c r="W1800" s="13">
        <f>IFERROR( (P1800-1)*0.5 + (M1800)*0.1 - (I1800+J1800)*0.05 + T1800*0.4 ,"")</f>
        <v/>
      </c>
      <c r="X1800" s="13">
        <f>IFERROR(IF(ABS(F1800)&lt;0.01,"ATM/NEAR",""),"")</f>
        <v/>
      </c>
    </row>
    <row r="1801">
      <c r="A1801" s="13">
        <f>CHAIN_RAW!A1801</f>
        <v/>
      </c>
      <c r="B1801" s="14">
        <f>CHAIN_RAW!B1801</f>
        <v/>
      </c>
      <c r="C1801" s="13">
        <f>CHAIN_RAW!C1801</f>
        <v/>
      </c>
      <c r="D1801" s="13">
        <f>CHAIN_RAW!D1801</f>
        <v/>
      </c>
      <c r="E1801" s="13">
        <f>CHAIN_RAW!E1801</f>
        <v/>
      </c>
      <c r="F1801" s="13">
        <f>IFERROR((E1801-D1801)/D1801,"")</f>
        <v/>
      </c>
      <c r="G1801" s="13">
        <f>IFERROR((CHAIN_RAW!K1801+CHAIN_RAW!L1801)/2,"")</f>
        <v/>
      </c>
      <c r="H1801" s="13">
        <f>IFERROR((CHAIN_RAW!R1801+CHAIN_RAW!S1801)/2,"")</f>
        <v/>
      </c>
      <c r="I1801" s="13">
        <f>IFERROR((CHAIN_RAW!L1801-CHAIN_RAW!K1801)/MAX(1E-9, G1801),"")</f>
        <v/>
      </c>
      <c r="J1801" s="13">
        <f>IFERROR((CHAIN_RAW!S1801-CHAIN_RAW!R1801)/MAX(1E-9, H1801),"")</f>
        <v/>
      </c>
      <c r="K1801" s="13">
        <f>CHAIN_RAW!G1801</f>
        <v/>
      </c>
      <c r="L1801" s="13">
        <f>CHAIN_RAW!N1801</f>
        <v/>
      </c>
      <c r="M1801" s="13">
        <f>IFERROR(L1801-K1801,"")</f>
        <v/>
      </c>
      <c r="N1801" s="13">
        <f>CHAIN_RAW!H1801</f>
        <v/>
      </c>
      <c r="O1801" s="13">
        <f>CHAIN_RAW!O1801</f>
        <v/>
      </c>
      <c r="P1801" s="13">
        <f>IFERROR(O1801/N1801,"")</f>
        <v/>
      </c>
      <c r="Q1801" s="13">
        <f>CHAIN_RAW!I1801</f>
        <v/>
      </c>
      <c r="R1801" s="13">
        <f>CHAIN_RAW!P1801</f>
        <v/>
      </c>
      <c r="S1801" s="13">
        <f>IFERROR(R1801/Q1801,"")</f>
        <v/>
      </c>
      <c r="T1801" s="13">
        <f>IFERROR((ABS(N1801-O1801)/MAX(1,(N1801+O1801)))*EXP(-ABS(E1801-CONTROL!E5)/MAX(1,CONTROL!B8)),"")</f>
        <v/>
      </c>
      <c r="U1801" s="13">
        <f>IFERROR(IF(O1801&gt;N1801,"SUPPORT (PE OI)","RESIST (CE OI)"),"")</f>
        <v/>
      </c>
      <c r="V1801" s="13">
        <f>IFERROR(IF(Q1801&gt;0,IF(R1801&gt;0,"BOTH_ADD","CE_ADD_PE_REDUCE"),IF(R1801&gt;0,"CE_REDUCE_PE_ADD","BOTH_REDUCE")),"")</f>
        <v/>
      </c>
      <c r="W1801" s="13">
        <f>IFERROR( (P1801-1)*0.5 + (M1801)*0.1 - (I1801+J1801)*0.05 + T1801*0.4 ,"")</f>
        <v/>
      </c>
      <c r="X1801" s="13">
        <f>IFERROR(IF(ABS(F1801)&lt;0.01,"ATM/NEAR",""),"")</f>
        <v/>
      </c>
    </row>
    <row r="1802">
      <c r="A1802" s="13">
        <f>CHAIN_RAW!A1802</f>
        <v/>
      </c>
      <c r="B1802" s="14">
        <f>CHAIN_RAW!B1802</f>
        <v/>
      </c>
      <c r="C1802" s="13">
        <f>CHAIN_RAW!C1802</f>
        <v/>
      </c>
      <c r="D1802" s="13">
        <f>CHAIN_RAW!D1802</f>
        <v/>
      </c>
      <c r="E1802" s="13">
        <f>CHAIN_RAW!E1802</f>
        <v/>
      </c>
      <c r="F1802" s="13">
        <f>IFERROR((E1802-D1802)/D1802,"")</f>
        <v/>
      </c>
      <c r="G1802" s="13">
        <f>IFERROR((CHAIN_RAW!K1802+CHAIN_RAW!L1802)/2,"")</f>
        <v/>
      </c>
      <c r="H1802" s="13">
        <f>IFERROR((CHAIN_RAW!R1802+CHAIN_RAW!S1802)/2,"")</f>
        <v/>
      </c>
      <c r="I1802" s="13">
        <f>IFERROR((CHAIN_RAW!L1802-CHAIN_RAW!K1802)/MAX(1E-9, G1802),"")</f>
        <v/>
      </c>
      <c r="J1802" s="13">
        <f>IFERROR((CHAIN_RAW!S1802-CHAIN_RAW!R1802)/MAX(1E-9, H1802),"")</f>
        <v/>
      </c>
      <c r="K1802" s="13">
        <f>CHAIN_RAW!G1802</f>
        <v/>
      </c>
      <c r="L1802" s="13">
        <f>CHAIN_RAW!N1802</f>
        <v/>
      </c>
      <c r="M1802" s="13">
        <f>IFERROR(L1802-K1802,"")</f>
        <v/>
      </c>
      <c r="N1802" s="13">
        <f>CHAIN_RAW!H1802</f>
        <v/>
      </c>
      <c r="O1802" s="13">
        <f>CHAIN_RAW!O1802</f>
        <v/>
      </c>
      <c r="P1802" s="13">
        <f>IFERROR(O1802/N1802,"")</f>
        <v/>
      </c>
      <c r="Q1802" s="13">
        <f>CHAIN_RAW!I1802</f>
        <v/>
      </c>
      <c r="R1802" s="13">
        <f>CHAIN_RAW!P1802</f>
        <v/>
      </c>
      <c r="S1802" s="13">
        <f>IFERROR(R1802/Q1802,"")</f>
        <v/>
      </c>
      <c r="T1802" s="13">
        <f>IFERROR((ABS(N1802-O1802)/MAX(1,(N1802+O1802)))*EXP(-ABS(E1802-CONTROL!E5)/MAX(1,CONTROL!B8)),"")</f>
        <v/>
      </c>
      <c r="U1802" s="13">
        <f>IFERROR(IF(O1802&gt;N1802,"SUPPORT (PE OI)","RESIST (CE OI)"),"")</f>
        <v/>
      </c>
      <c r="V1802" s="13">
        <f>IFERROR(IF(Q1802&gt;0,IF(R1802&gt;0,"BOTH_ADD","CE_ADD_PE_REDUCE"),IF(R1802&gt;0,"CE_REDUCE_PE_ADD","BOTH_REDUCE")),"")</f>
        <v/>
      </c>
      <c r="W1802" s="13">
        <f>IFERROR( (P1802-1)*0.5 + (M1802)*0.1 - (I1802+J1802)*0.05 + T1802*0.4 ,"")</f>
        <v/>
      </c>
      <c r="X1802" s="13">
        <f>IFERROR(IF(ABS(F1802)&lt;0.01,"ATM/NEAR",""),"")</f>
        <v/>
      </c>
    </row>
    <row r="1803">
      <c r="A1803" s="13">
        <f>CHAIN_RAW!A1803</f>
        <v/>
      </c>
      <c r="B1803" s="14">
        <f>CHAIN_RAW!B1803</f>
        <v/>
      </c>
      <c r="C1803" s="13">
        <f>CHAIN_RAW!C1803</f>
        <v/>
      </c>
      <c r="D1803" s="13">
        <f>CHAIN_RAW!D1803</f>
        <v/>
      </c>
      <c r="E1803" s="13">
        <f>CHAIN_RAW!E1803</f>
        <v/>
      </c>
      <c r="F1803" s="13">
        <f>IFERROR((E1803-D1803)/D1803,"")</f>
        <v/>
      </c>
      <c r="G1803" s="13">
        <f>IFERROR((CHAIN_RAW!K1803+CHAIN_RAW!L1803)/2,"")</f>
        <v/>
      </c>
      <c r="H1803" s="13">
        <f>IFERROR((CHAIN_RAW!R1803+CHAIN_RAW!S1803)/2,"")</f>
        <v/>
      </c>
      <c r="I1803" s="13">
        <f>IFERROR((CHAIN_RAW!L1803-CHAIN_RAW!K1803)/MAX(1E-9, G1803),"")</f>
        <v/>
      </c>
      <c r="J1803" s="13">
        <f>IFERROR((CHAIN_RAW!S1803-CHAIN_RAW!R1803)/MAX(1E-9, H1803),"")</f>
        <v/>
      </c>
      <c r="K1803" s="13">
        <f>CHAIN_RAW!G1803</f>
        <v/>
      </c>
      <c r="L1803" s="13">
        <f>CHAIN_RAW!N1803</f>
        <v/>
      </c>
      <c r="M1803" s="13">
        <f>IFERROR(L1803-K1803,"")</f>
        <v/>
      </c>
      <c r="N1803" s="13">
        <f>CHAIN_RAW!H1803</f>
        <v/>
      </c>
      <c r="O1803" s="13">
        <f>CHAIN_RAW!O1803</f>
        <v/>
      </c>
      <c r="P1803" s="13">
        <f>IFERROR(O1803/N1803,"")</f>
        <v/>
      </c>
      <c r="Q1803" s="13">
        <f>CHAIN_RAW!I1803</f>
        <v/>
      </c>
      <c r="R1803" s="13">
        <f>CHAIN_RAW!P1803</f>
        <v/>
      </c>
      <c r="S1803" s="13">
        <f>IFERROR(R1803/Q1803,"")</f>
        <v/>
      </c>
      <c r="T1803" s="13">
        <f>IFERROR((ABS(N1803-O1803)/MAX(1,(N1803+O1803)))*EXP(-ABS(E1803-CONTROL!E5)/MAX(1,CONTROL!B8)),"")</f>
        <v/>
      </c>
      <c r="U1803" s="13">
        <f>IFERROR(IF(O1803&gt;N1803,"SUPPORT (PE OI)","RESIST (CE OI)"),"")</f>
        <v/>
      </c>
      <c r="V1803" s="13">
        <f>IFERROR(IF(Q1803&gt;0,IF(R1803&gt;0,"BOTH_ADD","CE_ADD_PE_REDUCE"),IF(R1803&gt;0,"CE_REDUCE_PE_ADD","BOTH_REDUCE")),"")</f>
        <v/>
      </c>
      <c r="W1803" s="13">
        <f>IFERROR( (P1803-1)*0.5 + (M1803)*0.1 - (I1803+J1803)*0.05 + T1803*0.4 ,"")</f>
        <v/>
      </c>
      <c r="X1803" s="13">
        <f>IFERROR(IF(ABS(F1803)&lt;0.01,"ATM/NEAR",""),"")</f>
        <v/>
      </c>
    </row>
    <row r="1804">
      <c r="A1804" s="13">
        <f>CHAIN_RAW!A1804</f>
        <v/>
      </c>
      <c r="B1804" s="14">
        <f>CHAIN_RAW!B1804</f>
        <v/>
      </c>
      <c r="C1804" s="13">
        <f>CHAIN_RAW!C1804</f>
        <v/>
      </c>
      <c r="D1804" s="13">
        <f>CHAIN_RAW!D1804</f>
        <v/>
      </c>
      <c r="E1804" s="13">
        <f>CHAIN_RAW!E1804</f>
        <v/>
      </c>
      <c r="F1804" s="13">
        <f>IFERROR((E1804-D1804)/D1804,"")</f>
        <v/>
      </c>
      <c r="G1804" s="13">
        <f>IFERROR((CHAIN_RAW!K1804+CHAIN_RAW!L1804)/2,"")</f>
        <v/>
      </c>
      <c r="H1804" s="13">
        <f>IFERROR((CHAIN_RAW!R1804+CHAIN_RAW!S1804)/2,"")</f>
        <v/>
      </c>
      <c r="I1804" s="13">
        <f>IFERROR((CHAIN_RAW!L1804-CHAIN_RAW!K1804)/MAX(1E-9, G1804),"")</f>
        <v/>
      </c>
      <c r="J1804" s="13">
        <f>IFERROR((CHAIN_RAW!S1804-CHAIN_RAW!R1804)/MAX(1E-9, H1804),"")</f>
        <v/>
      </c>
      <c r="K1804" s="13">
        <f>CHAIN_RAW!G1804</f>
        <v/>
      </c>
      <c r="L1804" s="13">
        <f>CHAIN_RAW!N1804</f>
        <v/>
      </c>
      <c r="M1804" s="13">
        <f>IFERROR(L1804-K1804,"")</f>
        <v/>
      </c>
      <c r="N1804" s="13">
        <f>CHAIN_RAW!H1804</f>
        <v/>
      </c>
      <c r="O1804" s="13">
        <f>CHAIN_RAW!O1804</f>
        <v/>
      </c>
      <c r="P1804" s="13">
        <f>IFERROR(O1804/N1804,"")</f>
        <v/>
      </c>
      <c r="Q1804" s="13">
        <f>CHAIN_RAW!I1804</f>
        <v/>
      </c>
      <c r="R1804" s="13">
        <f>CHAIN_RAW!P1804</f>
        <v/>
      </c>
      <c r="S1804" s="13">
        <f>IFERROR(R1804/Q1804,"")</f>
        <v/>
      </c>
      <c r="T1804" s="13">
        <f>IFERROR((ABS(N1804-O1804)/MAX(1,(N1804+O1804)))*EXP(-ABS(E1804-CONTROL!E5)/MAX(1,CONTROL!B8)),"")</f>
        <v/>
      </c>
      <c r="U1804" s="13">
        <f>IFERROR(IF(O1804&gt;N1804,"SUPPORT (PE OI)","RESIST (CE OI)"),"")</f>
        <v/>
      </c>
      <c r="V1804" s="13">
        <f>IFERROR(IF(Q1804&gt;0,IF(R1804&gt;0,"BOTH_ADD","CE_ADD_PE_REDUCE"),IF(R1804&gt;0,"CE_REDUCE_PE_ADD","BOTH_REDUCE")),"")</f>
        <v/>
      </c>
      <c r="W1804" s="13">
        <f>IFERROR( (P1804-1)*0.5 + (M1804)*0.1 - (I1804+J1804)*0.05 + T1804*0.4 ,"")</f>
        <v/>
      </c>
      <c r="X1804" s="13">
        <f>IFERROR(IF(ABS(F1804)&lt;0.01,"ATM/NEAR",""),"")</f>
        <v/>
      </c>
    </row>
    <row r="1805">
      <c r="A1805" s="13">
        <f>CHAIN_RAW!A1805</f>
        <v/>
      </c>
      <c r="B1805" s="14">
        <f>CHAIN_RAW!B1805</f>
        <v/>
      </c>
      <c r="C1805" s="13">
        <f>CHAIN_RAW!C1805</f>
        <v/>
      </c>
      <c r="D1805" s="13">
        <f>CHAIN_RAW!D1805</f>
        <v/>
      </c>
      <c r="E1805" s="13">
        <f>CHAIN_RAW!E1805</f>
        <v/>
      </c>
      <c r="F1805" s="13">
        <f>IFERROR((E1805-D1805)/D1805,"")</f>
        <v/>
      </c>
      <c r="G1805" s="13">
        <f>IFERROR((CHAIN_RAW!K1805+CHAIN_RAW!L1805)/2,"")</f>
        <v/>
      </c>
      <c r="H1805" s="13">
        <f>IFERROR((CHAIN_RAW!R1805+CHAIN_RAW!S1805)/2,"")</f>
        <v/>
      </c>
      <c r="I1805" s="13">
        <f>IFERROR((CHAIN_RAW!L1805-CHAIN_RAW!K1805)/MAX(1E-9, G1805),"")</f>
        <v/>
      </c>
      <c r="J1805" s="13">
        <f>IFERROR((CHAIN_RAW!S1805-CHAIN_RAW!R1805)/MAX(1E-9, H1805),"")</f>
        <v/>
      </c>
      <c r="K1805" s="13">
        <f>CHAIN_RAW!G1805</f>
        <v/>
      </c>
      <c r="L1805" s="13">
        <f>CHAIN_RAW!N1805</f>
        <v/>
      </c>
      <c r="M1805" s="13">
        <f>IFERROR(L1805-K1805,"")</f>
        <v/>
      </c>
      <c r="N1805" s="13">
        <f>CHAIN_RAW!H1805</f>
        <v/>
      </c>
      <c r="O1805" s="13">
        <f>CHAIN_RAW!O1805</f>
        <v/>
      </c>
      <c r="P1805" s="13">
        <f>IFERROR(O1805/N1805,"")</f>
        <v/>
      </c>
      <c r="Q1805" s="13">
        <f>CHAIN_RAW!I1805</f>
        <v/>
      </c>
      <c r="R1805" s="13">
        <f>CHAIN_RAW!P1805</f>
        <v/>
      </c>
      <c r="S1805" s="13">
        <f>IFERROR(R1805/Q1805,"")</f>
        <v/>
      </c>
      <c r="T1805" s="13">
        <f>IFERROR((ABS(N1805-O1805)/MAX(1,(N1805+O1805)))*EXP(-ABS(E1805-CONTROL!E5)/MAX(1,CONTROL!B8)),"")</f>
        <v/>
      </c>
      <c r="U1805" s="13">
        <f>IFERROR(IF(O1805&gt;N1805,"SUPPORT (PE OI)","RESIST (CE OI)"),"")</f>
        <v/>
      </c>
      <c r="V1805" s="13">
        <f>IFERROR(IF(Q1805&gt;0,IF(R1805&gt;0,"BOTH_ADD","CE_ADD_PE_REDUCE"),IF(R1805&gt;0,"CE_REDUCE_PE_ADD","BOTH_REDUCE")),"")</f>
        <v/>
      </c>
      <c r="W1805" s="13">
        <f>IFERROR( (P1805-1)*0.5 + (M1805)*0.1 - (I1805+J1805)*0.05 + T1805*0.4 ,"")</f>
        <v/>
      </c>
      <c r="X1805" s="13">
        <f>IFERROR(IF(ABS(F1805)&lt;0.01,"ATM/NEAR",""),"")</f>
        <v/>
      </c>
    </row>
    <row r="1806">
      <c r="A1806" s="13">
        <f>CHAIN_RAW!A1806</f>
        <v/>
      </c>
      <c r="B1806" s="14">
        <f>CHAIN_RAW!B1806</f>
        <v/>
      </c>
      <c r="C1806" s="13">
        <f>CHAIN_RAW!C1806</f>
        <v/>
      </c>
      <c r="D1806" s="13">
        <f>CHAIN_RAW!D1806</f>
        <v/>
      </c>
      <c r="E1806" s="13">
        <f>CHAIN_RAW!E1806</f>
        <v/>
      </c>
      <c r="F1806" s="13">
        <f>IFERROR((E1806-D1806)/D1806,"")</f>
        <v/>
      </c>
      <c r="G1806" s="13">
        <f>IFERROR((CHAIN_RAW!K1806+CHAIN_RAW!L1806)/2,"")</f>
        <v/>
      </c>
      <c r="H1806" s="13">
        <f>IFERROR((CHAIN_RAW!R1806+CHAIN_RAW!S1806)/2,"")</f>
        <v/>
      </c>
      <c r="I1806" s="13">
        <f>IFERROR((CHAIN_RAW!L1806-CHAIN_RAW!K1806)/MAX(1E-9, G1806),"")</f>
        <v/>
      </c>
      <c r="J1806" s="13">
        <f>IFERROR((CHAIN_RAW!S1806-CHAIN_RAW!R1806)/MAX(1E-9, H1806),"")</f>
        <v/>
      </c>
      <c r="K1806" s="13">
        <f>CHAIN_RAW!G1806</f>
        <v/>
      </c>
      <c r="L1806" s="13">
        <f>CHAIN_RAW!N1806</f>
        <v/>
      </c>
      <c r="M1806" s="13">
        <f>IFERROR(L1806-K1806,"")</f>
        <v/>
      </c>
      <c r="N1806" s="13">
        <f>CHAIN_RAW!H1806</f>
        <v/>
      </c>
      <c r="O1806" s="13">
        <f>CHAIN_RAW!O1806</f>
        <v/>
      </c>
      <c r="P1806" s="13">
        <f>IFERROR(O1806/N1806,"")</f>
        <v/>
      </c>
      <c r="Q1806" s="13">
        <f>CHAIN_RAW!I1806</f>
        <v/>
      </c>
      <c r="R1806" s="13">
        <f>CHAIN_RAW!P1806</f>
        <v/>
      </c>
      <c r="S1806" s="13">
        <f>IFERROR(R1806/Q1806,"")</f>
        <v/>
      </c>
      <c r="T1806" s="13">
        <f>IFERROR((ABS(N1806-O1806)/MAX(1,(N1806+O1806)))*EXP(-ABS(E1806-CONTROL!E5)/MAX(1,CONTROL!B8)),"")</f>
        <v/>
      </c>
      <c r="U1806" s="13">
        <f>IFERROR(IF(O1806&gt;N1806,"SUPPORT (PE OI)","RESIST (CE OI)"),"")</f>
        <v/>
      </c>
      <c r="V1806" s="13">
        <f>IFERROR(IF(Q1806&gt;0,IF(R1806&gt;0,"BOTH_ADD","CE_ADD_PE_REDUCE"),IF(R1806&gt;0,"CE_REDUCE_PE_ADD","BOTH_REDUCE")),"")</f>
        <v/>
      </c>
      <c r="W1806" s="13">
        <f>IFERROR( (P1806-1)*0.5 + (M1806)*0.1 - (I1806+J1806)*0.05 + T1806*0.4 ,"")</f>
        <v/>
      </c>
      <c r="X1806" s="13">
        <f>IFERROR(IF(ABS(F1806)&lt;0.01,"ATM/NEAR",""),"")</f>
        <v/>
      </c>
    </row>
    <row r="1807">
      <c r="A1807" s="13">
        <f>CHAIN_RAW!A1807</f>
        <v/>
      </c>
      <c r="B1807" s="14">
        <f>CHAIN_RAW!B1807</f>
        <v/>
      </c>
      <c r="C1807" s="13">
        <f>CHAIN_RAW!C1807</f>
        <v/>
      </c>
      <c r="D1807" s="13">
        <f>CHAIN_RAW!D1807</f>
        <v/>
      </c>
      <c r="E1807" s="13">
        <f>CHAIN_RAW!E1807</f>
        <v/>
      </c>
      <c r="F1807" s="13">
        <f>IFERROR((E1807-D1807)/D1807,"")</f>
        <v/>
      </c>
      <c r="G1807" s="13">
        <f>IFERROR((CHAIN_RAW!K1807+CHAIN_RAW!L1807)/2,"")</f>
        <v/>
      </c>
      <c r="H1807" s="13">
        <f>IFERROR((CHAIN_RAW!R1807+CHAIN_RAW!S1807)/2,"")</f>
        <v/>
      </c>
      <c r="I1807" s="13">
        <f>IFERROR((CHAIN_RAW!L1807-CHAIN_RAW!K1807)/MAX(1E-9, G1807),"")</f>
        <v/>
      </c>
      <c r="J1807" s="13">
        <f>IFERROR((CHAIN_RAW!S1807-CHAIN_RAW!R1807)/MAX(1E-9, H1807),"")</f>
        <v/>
      </c>
      <c r="K1807" s="13">
        <f>CHAIN_RAW!G1807</f>
        <v/>
      </c>
      <c r="L1807" s="13">
        <f>CHAIN_RAW!N1807</f>
        <v/>
      </c>
      <c r="M1807" s="13">
        <f>IFERROR(L1807-K1807,"")</f>
        <v/>
      </c>
      <c r="N1807" s="13">
        <f>CHAIN_RAW!H1807</f>
        <v/>
      </c>
      <c r="O1807" s="13">
        <f>CHAIN_RAW!O1807</f>
        <v/>
      </c>
      <c r="P1807" s="13">
        <f>IFERROR(O1807/N1807,"")</f>
        <v/>
      </c>
      <c r="Q1807" s="13">
        <f>CHAIN_RAW!I1807</f>
        <v/>
      </c>
      <c r="R1807" s="13">
        <f>CHAIN_RAW!P1807</f>
        <v/>
      </c>
      <c r="S1807" s="13">
        <f>IFERROR(R1807/Q1807,"")</f>
        <v/>
      </c>
      <c r="T1807" s="13">
        <f>IFERROR((ABS(N1807-O1807)/MAX(1,(N1807+O1807)))*EXP(-ABS(E1807-CONTROL!E5)/MAX(1,CONTROL!B8)),"")</f>
        <v/>
      </c>
      <c r="U1807" s="13">
        <f>IFERROR(IF(O1807&gt;N1807,"SUPPORT (PE OI)","RESIST (CE OI)"),"")</f>
        <v/>
      </c>
      <c r="V1807" s="13">
        <f>IFERROR(IF(Q1807&gt;0,IF(R1807&gt;0,"BOTH_ADD","CE_ADD_PE_REDUCE"),IF(R1807&gt;0,"CE_REDUCE_PE_ADD","BOTH_REDUCE")),"")</f>
        <v/>
      </c>
      <c r="W1807" s="13">
        <f>IFERROR( (P1807-1)*0.5 + (M1807)*0.1 - (I1807+J1807)*0.05 + T1807*0.4 ,"")</f>
        <v/>
      </c>
      <c r="X1807" s="13">
        <f>IFERROR(IF(ABS(F1807)&lt;0.01,"ATM/NEAR",""),"")</f>
        <v/>
      </c>
    </row>
    <row r="1808">
      <c r="A1808" s="13">
        <f>CHAIN_RAW!A1808</f>
        <v/>
      </c>
      <c r="B1808" s="14">
        <f>CHAIN_RAW!B1808</f>
        <v/>
      </c>
      <c r="C1808" s="13">
        <f>CHAIN_RAW!C1808</f>
        <v/>
      </c>
      <c r="D1808" s="13">
        <f>CHAIN_RAW!D1808</f>
        <v/>
      </c>
      <c r="E1808" s="13">
        <f>CHAIN_RAW!E1808</f>
        <v/>
      </c>
      <c r="F1808" s="13">
        <f>IFERROR((E1808-D1808)/D1808,"")</f>
        <v/>
      </c>
      <c r="G1808" s="13">
        <f>IFERROR((CHAIN_RAW!K1808+CHAIN_RAW!L1808)/2,"")</f>
        <v/>
      </c>
      <c r="H1808" s="13">
        <f>IFERROR((CHAIN_RAW!R1808+CHAIN_RAW!S1808)/2,"")</f>
        <v/>
      </c>
      <c r="I1808" s="13">
        <f>IFERROR((CHAIN_RAW!L1808-CHAIN_RAW!K1808)/MAX(1E-9, G1808),"")</f>
        <v/>
      </c>
      <c r="J1808" s="13">
        <f>IFERROR((CHAIN_RAW!S1808-CHAIN_RAW!R1808)/MAX(1E-9, H1808),"")</f>
        <v/>
      </c>
      <c r="K1808" s="13">
        <f>CHAIN_RAW!G1808</f>
        <v/>
      </c>
      <c r="L1808" s="13">
        <f>CHAIN_RAW!N1808</f>
        <v/>
      </c>
      <c r="M1808" s="13">
        <f>IFERROR(L1808-K1808,"")</f>
        <v/>
      </c>
      <c r="N1808" s="13">
        <f>CHAIN_RAW!H1808</f>
        <v/>
      </c>
      <c r="O1808" s="13">
        <f>CHAIN_RAW!O1808</f>
        <v/>
      </c>
      <c r="P1808" s="13">
        <f>IFERROR(O1808/N1808,"")</f>
        <v/>
      </c>
      <c r="Q1808" s="13">
        <f>CHAIN_RAW!I1808</f>
        <v/>
      </c>
      <c r="R1808" s="13">
        <f>CHAIN_RAW!P1808</f>
        <v/>
      </c>
      <c r="S1808" s="13">
        <f>IFERROR(R1808/Q1808,"")</f>
        <v/>
      </c>
      <c r="T1808" s="13">
        <f>IFERROR((ABS(N1808-O1808)/MAX(1,(N1808+O1808)))*EXP(-ABS(E1808-CONTROL!E5)/MAX(1,CONTROL!B8)),"")</f>
        <v/>
      </c>
      <c r="U1808" s="13">
        <f>IFERROR(IF(O1808&gt;N1808,"SUPPORT (PE OI)","RESIST (CE OI)"),"")</f>
        <v/>
      </c>
      <c r="V1808" s="13">
        <f>IFERROR(IF(Q1808&gt;0,IF(R1808&gt;0,"BOTH_ADD","CE_ADD_PE_REDUCE"),IF(R1808&gt;0,"CE_REDUCE_PE_ADD","BOTH_REDUCE")),"")</f>
        <v/>
      </c>
      <c r="W1808" s="13">
        <f>IFERROR( (P1808-1)*0.5 + (M1808)*0.1 - (I1808+J1808)*0.05 + T1808*0.4 ,"")</f>
        <v/>
      </c>
      <c r="X1808" s="13">
        <f>IFERROR(IF(ABS(F1808)&lt;0.01,"ATM/NEAR",""),"")</f>
        <v/>
      </c>
    </row>
    <row r="1809">
      <c r="A1809" s="13">
        <f>CHAIN_RAW!A1809</f>
        <v/>
      </c>
      <c r="B1809" s="14">
        <f>CHAIN_RAW!B1809</f>
        <v/>
      </c>
      <c r="C1809" s="13">
        <f>CHAIN_RAW!C1809</f>
        <v/>
      </c>
      <c r="D1809" s="13">
        <f>CHAIN_RAW!D1809</f>
        <v/>
      </c>
      <c r="E1809" s="13">
        <f>CHAIN_RAW!E1809</f>
        <v/>
      </c>
      <c r="F1809" s="13">
        <f>IFERROR((E1809-D1809)/D1809,"")</f>
        <v/>
      </c>
      <c r="G1809" s="13">
        <f>IFERROR((CHAIN_RAW!K1809+CHAIN_RAW!L1809)/2,"")</f>
        <v/>
      </c>
      <c r="H1809" s="13">
        <f>IFERROR((CHAIN_RAW!R1809+CHAIN_RAW!S1809)/2,"")</f>
        <v/>
      </c>
      <c r="I1809" s="13">
        <f>IFERROR((CHAIN_RAW!L1809-CHAIN_RAW!K1809)/MAX(1E-9, G1809),"")</f>
        <v/>
      </c>
      <c r="J1809" s="13">
        <f>IFERROR((CHAIN_RAW!S1809-CHAIN_RAW!R1809)/MAX(1E-9, H1809),"")</f>
        <v/>
      </c>
      <c r="K1809" s="13">
        <f>CHAIN_RAW!G1809</f>
        <v/>
      </c>
      <c r="L1809" s="13">
        <f>CHAIN_RAW!N1809</f>
        <v/>
      </c>
      <c r="M1809" s="13">
        <f>IFERROR(L1809-K1809,"")</f>
        <v/>
      </c>
      <c r="N1809" s="13">
        <f>CHAIN_RAW!H1809</f>
        <v/>
      </c>
      <c r="O1809" s="13">
        <f>CHAIN_RAW!O1809</f>
        <v/>
      </c>
      <c r="P1809" s="13">
        <f>IFERROR(O1809/N1809,"")</f>
        <v/>
      </c>
      <c r="Q1809" s="13">
        <f>CHAIN_RAW!I1809</f>
        <v/>
      </c>
      <c r="R1809" s="13">
        <f>CHAIN_RAW!P1809</f>
        <v/>
      </c>
      <c r="S1809" s="13">
        <f>IFERROR(R1809/Q1809,"")</f>
        <v/>
      </c>
      <c r="T1809" s="13">
        <f>IFERROR((ABS(N1809-O1809)/MAX(1,(N1809+O1809)))*EXP(-ABS(E1809-CONTROL!E5)/MAX(1,CONTROL!B8)),"")</f>
        <v/>
      </c>
      <c r="U1809" s="13">
        <f>IFERROR(IF(O1809&gt;N1809,"SUPPORT (PE OI)","RESIST (CE OI)"),"")</f>
        <v/>
      </c>
      <c r="V1809" s="13">
        <f>IFERROR(IF(Q1809&gt;0,IF(R1809&gt;0,"BOTH_ADD","CE_ADD_PE_REDUCE"),IF(R1809&gt;0,"CE_REDUCE_PE_ADD","BOTH_REDUCE")),"")</f>
        <v/>
      </c>
      <c r="W1809" s="13">
        <f>IFERROR( (P1809-1)*0.5 + (M1809)*0.1 - (I1809+J1809)*0.05 + T1809*0.4 ,"")</f>
        <v/>
      </c>
      <c r="X1809" s="13">
        <f>IFERROR(IF(ABS(F1809)&lt;0.01,"ATM/NEAR",""),"")</f>
        <v/>
      </c>
    </row>
    <row r="1810">
      <c r="A1810" s="13">
        <f>CHAIN_RAW!A1810</f>
        <v/>
      </c>
      <c r="B1810" s="14">
        <f>CHAIN_RAW!B1810</f>
        <v/>
      </c>
      <c r="C1810" s="13">
        <f>CHAIN_RAW!C1810</f>
        <v/>
      </c>
      <c r="D1810" s="13">
        <f>CHAIN_RAW!D1810</f>
        <v/>
      </c>
      <c r="E1810" s="13">
        <f>CHAIN_RAW!E1810</f>
        <v/>
      </c>
      <c r="F1810" s="13">
        <f>IFERROR((E1810-D1810)/D1810,"")</f>
        <v/>
      </c>
      <c r="G1810" s="13">
        <f>IFERROR((CHAIN_RAW!K1810+CHAIN_RAW!L1810)/2,"")</f>
        <v/>
      </c>
      <c r="H1810" s="13">
        <f>IFERROR((CHAIN_RAW!R1810+CHAIN_RAW!S1810)/2,"")</f>
        <v/>
      </c>
      <c r="I1810" s="13">
        <f>IFERROR((CHAIN_RAW!L1810-CHAIN_RAW!K1810)/MAX(1E-9, G1810),"")</f>
        <v/>
      </c>
      <c r="J1810" s="13">
        <f>IFERROR((CHAIN_RAW!S1810-CHAIN_RAW!R1810)/MAX(1E-9, H1810),"")</f>
        <v/>
      </c>
      <c r="K1810" s="13">
        <f>CHAIN_RAW!G1810</f>
        <v/>
      </c>
      <c r="L1810" s="13">
        <f>CHAIN_RAW!N1810</f>
        <v/>
      </c>
      <c r="M1810" s="13">
        <f>IFERROR(L1810-K1810,"")</f>
        <v/>
      </c>
      <c r="N1810" s="13">
        <f>CHAIN_RAW!H1810</f>
        <v/>
      </c>
      <c r="O1810" s="13">
        <f>CHAIN_RAW!O1810</f>
        <v/>
      </c>
      <c r="P1810" s="13">
        <f>IFERROR(O1810/N1810,"")</f>
        <v/>
      </c>
      <c r="Q1810" s="13">
        <f>CHAIN_RAW!I1810</f>
        <v/>
      </c>
      <c r="R1810" s="13">
        <f>CHAIN_RAW!P1810</f>
        <v/>
      </c>
      <c r="S1810" s="13">
        <f>IFERROR(R1810/Q1810,"")</f>
        <v/>
      </c>
      <c r="T1810" s="13">
        <f>IFERROR((ABS(N1810-O1810)/MAX(1,(N1810+O1810)))*EXP(-ABS(E1810-CONTROL!E5)/MAX(1,CONTROL!B8)),"")</f>
        <v/>
      </c>
      <c r="U1810" s="13">
        <f>IFERROR(IF(O1810&gt;N1810,"SUPPORT (PE OI)","RESIST (CE OI)"),"")</f>
        <v/>
      </c>
      <c r="V1810" s="13">
        <f>IFERROR(IF(Q1810&gt;0,IF(R1810&gt;0,"BOTH_ADD","CE_ADD_PE_REDUCE"),IF(R1810&gt;0,"CE_REDUCE_PE_ADD","BOTH_REDUCE")),"")</f>
        <v/>
      </c>
      <c r="W1810" s="13">
        <f>IFERROR( (P1810-1)*0.5 + (M1810)*0.1 - (I1810+J1810)*0.05 + T1810*0.4 ,"")</f>
        <v/>
      </c>
      <c r="X1810" s="13">
        <f>IFERROR(IF(ABS(F1810)&lt;0.01,"ATM/NEAR",""),"")</f>
        <v/>
      </c>
    </row>
    <row r="1811">
      <c r="A1811" s="13">
        <f>CHAIN_RAW!A1811</f>
        <v/>
      </c>
      <c r="B1811" s="14">
        <f>CHAIN_RAW!B1811</f>
        <v/>
      </c>
      <c r="C1811" s="13">
        <f>CHAIN_RAW!C1811</f>
        <v/>
      </c>
      <c r="D1811" s="13">
        <f>CHAIN_RAW!D1811</f>
        <v/>
      </c>
      <c r="E1811" s="13">
        <f>CHAIN_RAW!E1811</f>
        <v/>
      </c>
      <c r="F1811" s="13">
        <f>IFERROR((E1811-D1811)/D1811,"")</f>
        <v/>
      </c>
      <c r="G1811" s="13">
        <f>IFERROR((CHAIN_RAW!K1811+CHAIN_RAW!L1811)/2,"")</f>
        <v/>
      </c>
      <c r="H1811" s="13">
        <f>IFERROR((CHAIN_RAW!R1811+CHAIN_RAW!S1811)/2,"")</f>
        <v/>
      </c>
      <c r="I1811" s="13">
        <f>IFERROR((CHAIN_RAW!L1811-CHAIN_RAW!K1811)/MAX(1E-9, G1811),"")</f>
        <v/>
      </c>
      <c r="J1811" s="13">
        <f>IFERROR((CHAIN_RAW!S1811-CHAIN_RAW!R1811)/MAX(1E-9, H1811),"")</f>
        <v/>
      </c>
      <c r="K1811" s="13">
        <f>CHAIN_RAW!G1811</f>
        <v/>
      </c>
      <c r="L1811" s="13">
        <f>CHAIN_RAW!N1811</f>
        <v/>
      </c>
      <c r="M1811" s="13">
        <f>IFERROR(L1811-K1811,"")</f>
        <v/>
      </c>
      <c r="N1811" s="13">
        <f>CHAIN_RAW!H1811</f>
        <v/>
      </c>
      <c r="O1811" s="13">
        <f>CHAIN_RAW!O1811</f>
        <v/>
      </c>
      <c r="P1811" s="13">
        <f>IFERROR(O1811/N1811,"")</f>
        <v/>
      </c>
      <c r="Q1811" s="13">
        <f>CHAIN_RAW!I1811</f>
        <v/>
      </c>
      <c r="R1811" s="13">
        <f>CHAIN_RAW!P1811</f>
        <v/>
      </c>
      <c r="S1811" s="13">
        <f>IFERROR(R1811/Q1811,"")</f>
        <v/>
      </c>
      <c r="T1811" s="13">
        <f>IFERROR((ABS(N1811-O1811)/MAX(1,(N1811+O1811)))*EXP(-ABS(E1811-CONTROL!E5)/MAX(1,CONTROL!B8)),"")</f>
        <v/>
      </c>
      <c r="U1811" s="13">
        <f>IFERROR(IF(O1811&gt;N1811,"SUPPORT (PE OI)","RESIST (CE OI)"),"")</f>
        <v/>
      </c>
      <c r="V1811" s="13">
        <f>IFERROR(IF(Q1811&gt;0,IF(R1811&gt;0,"BOTH_ADD","CE_ADD_PE_REDUCE"),IF(R1811&gt;0,"CE_REDUCE_PE_ADD","BOTH_REDUCE")),"")</f>
        <v/>
      </c>
      <c r="W1811" s="13">
        <f>IFERROR( (P1811-1)*0.5 + (M1811)*0.1 - (I1811+J1811)*0.05 + T1811*0.4 ,"")</f>
        <v/>
      </c>
      <c r="X1811" s="13">
        <f>IFERROR(IF(ABS(F1811)&lt;0.01,"ATM/NEAR",""),"")</f>
        <v/>
      </c>
    </row>
    <row r="1812">
      <c r="A1812" s="13">
        <f>CHAIN_RAW!A1812</f>
        <v/>
      </c>
      <c r="B1812" s="14">
        <f>CHAIN_RAW!B1812</f>
        <v/>
      </c>
      <c r="C1812" s="13">
        <f>CHAIN_RAW!C1812</f>
        <v/>
      </c>
      <c r="D1812" s="13">
        <f>CHAIN_RAW!D1812</f>
        <v/>
      </c>
      <c r="E1812" s="13">
        <f>CHAIN_RAW!E1812</f>
        <v/>
      </c>
      <c r="F1812" s="13">
        <f>IFERROR((E1812-D1812)/D1812,"")</f>
        <v/>
      </c>
      <c r="G1812" s="13">
        <f>IFERROR((CHAIN_RAW!K1812+CHAIN_RAW!L1812)/2,"")</f>
        <v/>
      </c>
      <c r="H1812" s="13">
        <f>IFERROR((CHAIN_RAW!R1812+CHAIN_RAW!S1812)/2,"")</f>
        <v/>
      </c>
      <c r="I1812" s="13">
        <f>IFERROR((CHAIN_RAW!L1812-CHAIN_RAW!K1812)/MAX(1E-9, G1812),"")</f>
        <v/>
      </c>
      <c r="J1812" s="13">
        <f>IFERROR((CHAIN_RAW!S1812-CHAIN_RAW!R1812)/MAX(1E-9, H1812),"")</f>
        <v/>
      </c>
      <c r="K1812" s="13">
        <f>CHAIN_RAW!G1812</f>
        <v/>
      </c>
      <c r="L1812" s="13">
        <f>CHAIN_RAW!N1812</f>
        <v/>
      </c>
      <c r="M1812" s="13">
        <f>IFERROR(L1812-K1812,"")</f>
        <v/>
      </c>
      <c r="N1812" s="13">
        <f>CHAIN_RAW!H1812</f>
        <v/>
      </c>
      <c r="O1812" s="13">
        <f>CHAIN_RAW!O1812</f>
        <v/>
      </c>
      <c r="P1812" s="13">
        <f>IFERROR(O1812/N1812,"")</f>
        <v/>
      </c>
      <c r="Q1812" s="13">
        <f>CHAIN_RAW!I1812</f>
        <v/>
      </c>
      <c r="R1812" s="13">
        <f>CHAIN_RAW!P1812</f>
        <v/>
      </c>
      <c r="S1812" s="13">
        <f>IFERROR(R1812/Q1812,"")</f>
        <v/>
      </c>
      <c r="T1812" s="13">
        <f>IFERROR((ABS(N1812-O1812)/MAX(1,(N1812+O1812)))*EXP(-ABS(E1812-CONTROL!E5)/MAX(1,CONTROL!B8)),"")</f>
        <v/>
      </c>
      <c r="U1812" s="13">
        <f>IFERROR(IF(O1812&gt;N1812,"SUPPORT (PE OI)","RESIST (CE OI)"),"")</f>
        <v/>
      </c>
      <c r="V1812" s="13">
        <f>IFERROR(IF(Q1812&gt;0,IF(R1812&gt;0,"BOTH_ADD","CE_ADD_PE_REDUCE"),IF(R1812&gt;0,"CE_REDUCE_PE_ADD","BOTH_REDUCE")),"")</f>
        <v/>
      </c>
      <c r="W1812" s="13">
        <f>IFERROR( (P1812-1)*0.5 + (M1812)*0.1 - (I1812+J1812)*0.05 + T1812*0.4 ,"")</f>
        <v/>
      </c>
      <c r="X1812" s="13">
        <f>IFERROR(IF(ABS(F1812)&lt;0.01,"ATM/NEAR",""),"")</f>
        <v/>
      </c>
    </row>
    <row r="1813">
      <c r="A1813" s="13">
        <f>CHAIN_RAW!A1813</f>
        <v/>
      </c>
      <c r="B1813" s="14">
        <f>CHAIN_RAW!B1813</f>
        <v/>
      </c>
      <c r="C1813" s="13">
        <f>CHAIN_RAW!C1813</f>
        <v/>
      </c>
      <c r="D1813" s="13">
        <f>CHAIN_RAW!D1813</f>
        <v/>
      </c>
      <c r="E1813" s="13">
        <f>CHAIN_RAW!E1813</f>
        <v/>
      </c>
      <c r="F1813" s="13">
        <f>IFERROR((E1813-D1813)/D1813,"")</f>
        <v/>
      </c>
      <c r="G1813" s="13">
        <f>IFERROR((CHAIN_RAW!K1813+CHAIN_RAW!L1813)/2,"")</f>
        <v/>
      </c>
      <c r="H1813" s="13">
        <f>IFERROR((CHAIN_RAW!R1813+CHAIN_RAW!S1813)/2,"")</f>
        <v/>
      </c>
      <c r="I1813" s="13">
        <f>IFERROR((CHAIN_RAW!L1813-CHAIN_RAW!K1813)/MAX(1E-9, G1813),"")</f>
        <v/>
      </c>
      <c r="J1813" s="13">
        <f>IFERROR((CHAIN_RAW!S1813-CHAIN_RAW!R1813)/MAX(1E-9, H1813),"")</f>
        <v/>
      </c>
      <c r="K1813" s="13">
        <f>CHAIN_RAW!G1813</f>
        <v/>
      </c>
      <c r="L1813" s="13">
        <f>CHAIN_RAW!N1813</f>
        <v/>
      </c>
      <c r="M1813" s="13">
        <f>IFERROR(L1813-K1813,"")</f>
        <v/>
      </c>
      <c r="N1813" s="13">
        <f>CHAIN_RAW!H1813</f>
        <v/>
      </c>
      <c r="O1813" s="13">
        <f>CHAIN_RAW!O1813</f>
        <v/>
      </c>
      <c r="P1813" s="13">
        <f>IFERROR(O1813/N1813,"")</f>
        <v/>
      </c>
      <c r="Q1813" s="13">
        <f>CHAIN_RAW!I1813</f>
        <v/>
      </c>
      <c r="R1813" s="13">
        <f>CHAIN_RAW!P1813</f>
        <v/>
      </c>
      <c r="S1813" s="13">
        <f>IFERROR(R1813/Q1813,"")</f>
        <v/>
      </c>
      <c r="T1813" s="13">
        <f>IFERROR((ABS(N1813-O1813)/MAX(1,(N1813+O1813)))*EXP(-ABS(E1813-CONTROL!E5)/MAX(1,CONTROL!B8)),"")</f>
        <v/>
      </c>
      <c r="U1813" s="13">
        <f>IFERROR(IF(O1813&gt;N1813,"SUPPORT (PE OI)","RESIST (CE OI)"),"")</f>
        <v/>
      </c>
      <c r="V1813" s="13">
        <f>IFERROR(IF(Q1813&gt;0,IF(R1813&gt;0,"BOTH_ADD","CE_ADD_PE_REDUCE"),IF(R1813&gt;0,"CE_REDUCE_PE_ADD","BOTH_REDUCE")),"")</f>
        <v/>
      </c>
      <c r="W1813" s="13">
        <f>IFERROR( (P1813-1)*0.5 + (M1813)*0.1 - (I1813+J1813)*0.05 + T1813*0.4 ,"")</f>
        <v/>
      </c>
      <c r="X1813" s="13">
        <f>IFERROR(IF(ABS(F1813)&lt;0.01,"ATM/NEAR",""),"")</f>
        <v/>
      </c>
    </row>
    <row r="1814">
      <c r="A1814" s="13">
        <f>CHAIN_RAW!A1814</f>
        <v/>
      </c>
      <c r="B1814" s="14">
        <f>CHAIN_RAW!B1814</f>
        <v/>
      </c>
      <c r="C1814" s="13">
        <f>CHAIN_RAW!C1814</f>
        <v/>
      </c>
      <c r="D1814" s="13">
        <f>CHAIN_RAW!D1814</f>
        <v/>
      </c>
      <c r="E1814" s="13">
        <f>CHAIN_RAW!E1814</f>
        <v/>
      </c>
      <c r="F1814" s="13">
        <f>IFERROR((E1814-D1814)/D1814,"")</f>
        <v/>
      </c>
      <c r="G1814" s="13">
        <f>IFERROR((CHAIN_RAW!K1814+CHAIN_RAW!L1814)/2,"")</f>
        <v/>
      </c>
      <c r="H1814" s="13">
        <f>IFERROR((CHAIN_RAW!R1814+CHAIN_RAW!S1814)/2,"")</f>
        <v/>
      </c>
      <c r="I1814" s="13">
        <f>IFERROR((CHAIN_RAW!L1814-CHAIN_RAW!K1814)/MAX(1E-9, G1814),"")</f>
        <v/>
      </c>
      <c r="J1814" s="13">
        <f>IFERROR((CHAIN_RAW!S1814-CHAIN_RAW!R1814)/MAX(1E-9, H1814),"")</f>
        <v/>
      </c>
      <c r="K1814" s="13">
        <f>CHAIN_RAW!G1814</f>
        <v/>
      </c>
      <c r="L1814" s="13">
        <f>CHAIN_RAW!N1814</f>
        <v/>
      </c>
      <c r="M1814" s="13">
        <f>IFERROR(L1814-K1814,"")</f>
        <v/>
      </c>
      <c r="N1814" s="13">
        <f>CHAIN_RAW!H1814</f>
        <v/>
      </c>
      <c r="O1814" s="13">
        <f>CHAIN_RAW!O1814</f>
        <v/>
      </c>
      <c r="P1814" s="13">
        <f>IFERROR(O1814/N1814,"")</f>
        <v/>
      </c>
      <c r="Q1814" s="13">
        <f>CHAIN_RAW!I1814</f>
        <v/>
      </c>
      <c r="R1814" s="13">
        <f>CHAIN_RAW!P1814</f>
        <v/>
      </c>
      <c r="S1814" s="13">
        <f>IFERROR(R1814/Q1814,"")</f>
        <v/>
      </c>
      <c r="T1814" s="13">
        <f>IFERROR((ABS(N1814-O1814)/MAX(1,(N1814+O1814)))*EXP(-ABS(E1814-CONTROL!E5)/MAX(1,CONTROL!B8)),"")</f>
        <v/>
      </c>
      <c r="U1814" s="13">
        <f>IFERROR(IF(O1814&gt;N1814,"SUPPORT (PE OI)","RESIST (CE OI)"),"")</f>
        <v/>
      </c>
      <c r="V1814" s="13">
        <f>IFERROR(IF(Q1814&gt;0,IF(R1814&gt;0,"BOTH_ADD","CE_ADD_PE_REDUCE"),IF(R1814&gt;0,"CE_REDUCE_PE_ADD","BOTH_REDUCE")),"")</f>
        <v/>
      </c>
      <c r="W1814" s="13">
        <f>IFERROR( (P1814-1)*0.5 + (M1814)*0.1 - (I1814+J1814)*0.05 + T1814*0.4 ,"")</f>
        <v/>
      </c>
      <c r="X1814" s="13">
        <f>IFERROR(IF(ABS(F1814)&lt;0.01,"ATM/NEAR",""),"")</f>
        <v/>
      </c>
    </row>
    <row r="1815">
      <c r="A1815" s="13">
        <f>CHAIN_RAW!A1815</f>
        <v/>
      </c>
      <c r="B1815" s="14">
        <f>CHAIN_RAW!B1815</f>
        <v/>
      </c>
      <c r="C1815" s="13">
        <f>CHAIN_RAW!C1815</f>
        <v/>
      </c>
      <c r="D1815" s="13">
        <f>CHAIN_RAW!D1815</f>
        <v/>
      </c>
      <c r="E1815" s="13">
        <f>CHAIN_RAW!E1815</f>
        <v/>
      </c>
      <c r="F1815" s="13">
        <f>IFERROR((E1815-D1815)/D1815,"")</f>
        <v/>
      </c>
      <c r="G1815" s="13">
        <f>IFERROR((CHAIN_RAW!K1815+CHAIN_RAW!L1815)/2,"")</f>
        <v/>
      </c>
      <c r="H1815" s="13">
        <f>IFERROR((CHAIN_RAW!R1815+CHAIN_RAW!S1815)/2,"")</f>
        <v/>
      </c>
      <c r="I1815" s="13">
        <f>IFERROR((CHAIN_RAW!L1815-CHAIN_RAW!K1815)/MAX(1E-9, G1815),"")</f>
        <v/>
      </c>
      <c r="J1815" s="13">
        <f>IFERROR((CHAIN_RAW!S1815-CHAIN_RAW!R1815)/MAX(1E-9, H1815),"")</f>
        <v/>
      </c>
      <c r="K1815" s="13">
        <f>CHAIN_RAW!G1815</f>
        <v/>
      </c>
      <c r="L1815" s="13">
        <f>CHAIN_RAW!N1815</f>
        <v/>
      </c>
      <c r="M1815" s="13">
        <f>IFERROR(L1815-K1815,"")</f>
        <v/>
      </c>
      <c r="N1815" s="13">
        <f>CHAIN_RAW!H1815</f>
        <v/>
      </c>
      <c r="O1815" s="13">
        <f>CHAIN_RAW!O1815</f>
        <v/>
      </c>
      <c r="P1815" s="13">
        <f>IFERROR(O1815/N1815,"")</f>
        <v/>
      </c>
      <c r="Q1815" s="13">
        <f>CHAIN_RAW!I1815</f>
        <v/>
      </c>
      <c r="R1815" s="13">
        <f>CHAIN_RAW!P1815</f>
        <v/>
      </c>
      <c r="S1815" s="13">
        <f>IFERROR(R1815/Q1815,"")</f>
        <v/>
      </c>
      <c r="T1815" s="13">
        <f>IFERROR((ABS(N1815-O1815)/MAX(1,(N1815+O1815)))*EXP(-ABS(E1815-CONTROL!E5)/MAX(1,CONTROL!B8)),"")</f>
        <v/>
      </c>
      <c r="U1815" s="13">
        <f>IFERROR(IF(O1815&gt;N1815,"SUPPORT (PE OI)","RESIST (CE OI)"),"")</f>
        <v/>
      </c>
      <c r="V1815" s="13">
        <f>IFERROR(IF(Q1815&gt;0,IF(R1815&gt;0,"BOTH_ADD","CE_ADD_PE_REDUCE"),IF(R1815&gt;0,"CE_REDUCE_PE_ADD","BOTH_REDUCE")),"")</f>
        <v/>
      </c>
      <c r="W1815" s="13">
        <f>IFERROR( (P1815-1)*0.5 + (M1815)*0.1 - (I1815+J1815)*0.05 + T1815*0.4 ,"")</f>
        <v/>
      </c>
      <c r="X1815" s="13">
        <f>IFERROR(IF(ABS(F1815)&lt;0.01,"ATM/NEAR",""),"")</f>
        <v/>
      </c>
    </row>
    <row r="1816">
      <c r="A1816" s="13">
        <f>CHAIN_RAW!A1816</f>
        <v/>
      </c>
      <c r="B1816" s="14">
        <f>CHAIN_RAW!B1816</f>
        <v/>
      </c>
      <c r="C1816" s="13">
        <f>CHAIN_RAW!C1816</f>
        <v/>
      </c>
      <c r="D1816" s="13">
        <f>CHAIN_RAW!D1816</f>
        <v/>
      </c>
      <c r="E1816" s="13">
        <f>CHAIN_RAW!E1816</f>
        <v/>
      </c>
      <c r="F1816" s="13">
        <f>IFERROR((E1816-D1816)/D1816,"")</f>
        <v/>
      </c>
      <c r="G1816" s="13">
        <f>IFERROR((CHAIN_RAW!K1816+CHAIN_RAW!L1816)/2,"")</f>
        <v/>
      </c>
      <c r="H1816" s="13">
        <f>IFERROR((CHAIN_RAW!R1816+CHAIN_RAW!S1816)/2,"")</f>
        <v/>
      </c>
      <c r="I1816" s="13">
        <f>IFERROR((CHAIN_RAW!L1816-CHAIN_RAW!K1816)/MAX(1E-9, G1816),"")</f>
        <v/>
      </c>
      <c r="J1816" s="13">
        <f>IFERROR((CHAIN_RAW!S1816-CHAIN_RAW!R1816)/MAX(1E-9, H1816),"")</f>
        <v/>
      </c>
      <c r="K1816" s="13">
        <f>CHAIN_RAW!G1816</f>
        <v/>
      </c>
      <c r="L1816" s="13">
        <f>CHAIN_RAW!N1816</f>
        <v/>
      </c>
      <c r="M1816" s="13">
        <f>IFERROR(L1816-K1816,"")</f>
        <v/>
      </c>
      <c r="N1816" s="13">
        <f>CHAIN_RAW!H1816</f>
        <v/>
      </c>
      <c r="O1816" s="13">
        <f>CHAIN_RAW!O1816</f>
        <v/>
      </c>
      <c r="P1816" s="13">
        <f>IFERROR(O1816/N1816,"")</f>
        <v/>
      </c>
      <c r="Q1816" s="13">
        <f>CHAIN_RAW!I1816</f>
        <v/>
      </c>
      <c r="R1816" s="13">
        <f>CHAIN_RAW!P1816</f>
        <v/>
      </c>
      <c r="S1816" s="13">
        <f>IFERROR(R1816/Q1816,"")</f>
        <v/>
      </c>
      <c r="T1816" s="13">
        <f>IFERROR((ABS(N1816-O1816)/MAX(1,(N1816+O1816)))*EXP(-ABS(E1816-CONTROL!E5)/MAX(1,CONTROL!B8)),"")</f>
        <v/>
      </c>
      <c r="U1816" s="13">
        <f>IFERROR(IF(O1816&gt;N1816,"SUPPORT (PE OI)","RESIST (CE OI)"),"")</f>
        <v/>
      </c>
      <c r="V1816" s="13">
        <f>IFERROR(IF(Q1816&gt;0,IF(R1816&gt;0,"BOTH_ADD","CE_ADD_PE_REDUCE"),IF(R1816&gt;0,"CE_REDUCE_PE_ADD","BOTH_REDUCE")),"")</f>
        <v/>
      </c>
      <c r="W1816" s="13">
        <f>IFERROR( (P1816-1)*0.5 + (M1816)*0.1 - (I1816+J1816)*0.05 + T1816*0.4 ,"")</f>
        <v/>
      </c>
      <c r="X1816" s="13">
        <f>IFERROR(IF(ABS(F1816)&lt;0.01,"ATM/NEAR",""),"")</f>
        <v/>
      </c>
    </row>
    <row r="1817">
      <c r="A1817" s="13">
        <f>CHAIN_RAW!A1817</f>
        <v/>
      </c>
      <c r="B1817" s="14">
        <f>CHAIN_RAW!B1817</f>
        <v/>
      </c>
      <c r="C1817" s="13">
        <f>CHAIN_RAW!C1817</f>
        <v/>
      </c>
      <c r="D1817" s="13">
        <f>CHAIN_RAW!D1817</f>
        <v/>
      </c>
      <c r="E1817" s="13">
        <f>CHAIN_RAW!E1817</f>
        <v/>
      </c>
      <c r="F1817" s="13">
        <f>IFERROR((E1817-D1817)/D1817,"")</f>
        <v/>
      </c>
      <c r="G1817" s="13">
        <f>IFERROR((CHAIN_RAW!K1817+CHAIN_RAW!L1817)/2,"")</f>
        <v/>
      </c>
      <c r="H1817" s="13">
        <f>IFERROR((CHAIN_RAW!R1817+CHAIN_RAW!S1817)/2,"")</f>
        <v/>
      </c>
      <c r="I1817" s="13">
        <f>IFERROR((CHAIN_RAW!L1817-CHAIN_RAW!K1817)/MAX(1E-9, G1817),"")</f>
        <v/>
      </c>
      <c r="J1817" s="13">
        <f>IFERROR((CHAIN_RAW!S1817-CHAIN_RAW!R1817)/MAX(1E-9, H1817),"")</f>
        <v/>
      </c>
      <c r="K1817" s="13">
        <f>CHAIN_RAW!G1817</f>
        <v/>
      </c>
      <c r="L1817" s="13">
        <f>CHAIN_RAW!N1817</f>
        <v/>
      </c>
      <c r="M1817" s="13">
        <f>IFERROR(L1817-K1817,"")</f>
        <v/>
      </c>
      <c r="N1817" s="13">
        <f>CHAIN_RAW!H1817</f>
        <v/>
      </c>
      <c r="O1817" s="13">
        <f>CHAIN_RAW!O1817</f>
        <v/>
      </c>
      <c r="P1817" s="13">
        <f>IFERROR(O1817/N1817,"")</f>
        <v/>
      </c>
      <c r="Q1817" s="13">
        <f>CHAIN_RAW!I1817</f>
        <v/>
      </c>
      <c r="R1817" s="13">
        <f>CHAIN_RAW!P1817</f>
        <v/>
      </c>
      <c r="S1817" s="13">
        <f>IFERROR(R1817/Q1817,"")</f>
        <v/>
      </c>
      <c r="T1817" s="13">
        <f>IFERROR((ABS(N1817-O1817)/MAX(1,(N1817+O1817)))*EXP(-ABS(E1817-CONTROL!E5)/MAX(1,CONTROL!B8)),"")</f>
        <v/>
      </c>
      <c r="U1817" s="13">
        <f>IFERROR(IF(O1817&gt;N1817,"SUPPORT (PE OI)","RESIST (CE OI)"),"")</f>
        <v/>
      </c>
      <c r="V1817" s="13">
        <f>IFERROR(IF(Q1817&gt;0,IF(R1817&gt;0,"BOTH_ADD","CE_ADD_PE_REDUCE"),IF(R1817&gt;0,"CE_REDUCE_PE_ADD","BOTH_REDUCE")),"")</f>
        <v/>
      </c>
      <c r="W1817" s="13">
        <f>IFERROR( (P1817-1)*0.5 + (M1817)*0.1 - (I1817+J1817)*0.05 + T1817*0.4 ,"")</f>
        <v/>
      </c>
      <c r="X1817" s="13">
        <f>IFERROR(IF(ABS(F1817)&lt;0.01,"ATM/NEAR",""),"")</f>
        <v/>
      </c>
    </row>
    <row r="1818">
      <c r="A1818" s="13">
        <f>CHAIN_RAW!A1818</f>
        <v/>
      </c>
      <c r="B1818" s="14">
        <f>CHAIN_RAW!B1818</f>
        <v/>
      </c>
      <c r="C1818" s="13">
        <f>CHAIN_RAW!C1818</f>
        <v/>
      </c>
      <c r="D1818" s="13">
        <f>CHAIN_RAW!D1818</f>
        <v/>
      </c>
      <c r="E1818" s="13">
        <f>CHAIN_RAW!E1818</f>
        <v/>
      </c>
      <c r="F1818" s="13">
        <f>IFERROR((E1818-D1818)/D1818,"")</f>
        <v/>
      </c>
      <c r="G1818" s="13">
        <f>IFERROR((CHAIN_RAW!K1818+CHAIN_RAW!L1818)/2,"")</f>
        <v/>
      </c>
      <c r="H1818" s="13">
        <f>IFERROR((CHAIN_RAW!R1818+CHAIN_RAW!S1818)/2,"")</f>
        <v/>
      </c>
      <c r="I1818" s="13">
        <f>IFERROR((CHAIN_RAW!L1818-CHAIN_RAW!K1818)/MAX(1E-9, G1818),"")</f>
        <v/>
      </c>
      <c r="J1818" s="13">
        <f>IFERROR((CHAIN_RAW!S1818-CHAIN_RAW!R1818)/MAX(1E-9, H1818),"")</f>
        <v/>
      </c>
      <c r="K1818" s="13">
        <f>CHAIN_RAW!G1818</f>
        <v/>
      </c>
      <c r="L1818" s="13">
        <f>CHAIN_RAW!N1818</f>
        <v/>
      </c>
      <c r="M1818" s="13">
        <f>IFERROR(L1818-K1818,"")</f>
        <v/>
      </c>
      <c r="N1818" s="13">
        <f>CHAIN_RAW!H1818</f>
        <v/>
      </c>
      <c r="O1818" s="13">
        <f>CHAIN_RAW!O1818</f>
        <v/>
      </c>
      <c r="P1818" s="13">
        <f>IFERROR(O1818/N1818,"")</f>
        <v/>
      </c>
      <c r="Q1818" s="13">
        <f>CHAIN_RAW!I1818</f>
        <v/>
      </c>
      <c r="R1818" s="13">
        <f>CHAIN_RAW!P1818</f>
        <v/>
      </c>
      <c r="S1818" s="13">
        <f>IFERROR(R1818/Q1818,"")</f>
        <v/>
      </c>
      <c r="T1818" s="13">
        <f>IFERROR((ABS(N1818-O1818)/MAX(1,(N1818+O1818)))*EXP(-ABS(E1818-CONTROL!E5)/MAX(1,CONTROL!B8)),"")</f>
        <v/>
      </c>
      <c r="U1818" s="13">
        <f>IFERROR(IF(O1818&gt;N1818,"SUPPORT (PE OI)","RESIST (CE OI)"),"")</f>
        <v/>
      </c>
      <c r="V1818" s="13">
        <f>IFERROR(IF(Q1818&gt;0,IF(R1818&gt;0,"BOTH_ADD","CE_ADD_PE_REDUCE"),IF(R1818&gt;0,"CE_REDUCE_PE_ADD","BOTH_REDUCE")),"")</f>
        <v/>
      </c>
      <c r="W1818" s="13">
        <f>IFERROR( (P1818-1)*0.5 + (M1818)*0.1 - (I1818+J1818)*0.05 + T1818*0.4 ,"")</f>
        <v/>
      </c>
      <c r="X1818" s="13">
        <f>IFERROR(IF(ABS(F1818)&lt;0.01,"ATM/NEAR",""),"")</f>
        <v/>
      </c>
    </row>
    <row r="1819">
      <c r="A1819" s="13">
        <f>CHAIN_RAW!A1819</f>
        <v/>
      </c>
      <c r="B1819" s="14">
        <f>CHAIN_RAW!B1819</f>
        <v/>
      </c>
      <c r="C1819" s="13">
        <f>CHAIN_RAW!C1819</f>
        <v/>
      </c>
      <c r="D1819" s="13">
        <f>CHAIN_RAW!D1819</f>
        <v/>
      </c>
      <c r="E1819" s="13">
        <f>CHAIN_RAW!E1819</f>
        <v/>
      </c>
      <c r="F1819" s="13">
        <f>IFERROR((E1819-D1819)/D1819,"")</f>
        <v/>
      </c>
      <c r="G1819" s="13">
        <f>IFERROR((CHAIN_RAW!K1819+CHAIN_RAW!L1819)/2,"")</f>
        <v/>
      </c>
      <c r="H1819" s="13">
        <f>IFERROR((CHAIN_RAW!R1819+CHAIN_RAW!S1819)/2,"")</f>
        <v/>
      </c>
      <c r="I1819" s="13">
        <f>IFERROR((CHAIN_RAW!L1819-CHAIN_RAW!K1819)/MAX(1E-9, G1819),"")</f>
        <v/>
      </c>
      <c r="J1819" s="13">
        <f>IFERROR((CHAIN_RAW!S1819-CHAIN_RAW!R1819)/MAX(1E-9, H1819),"")</f>
        <v/>
      </c>
      <c r="K1819" s="13">
        <f>CHAIN_RAW!G1819</f>
        <v/>
      </c>
      <c r="L1819" s="13">
        <f>CHAIN_RAW!N1819</f>
        <v/>
      </c>
      <c r="M1819" s="13">
        <f>IFERROR(L1819-K1819,"")</f>
        <v/>
      </c>
      <c r="N1819" s="13">
        <f>CHAIN_RAW!H1819</f>
        <v/>
      </c>
      <c r="O1819" s="13">
        <f>CHAIN_RAW!O1819</f>
        <v/>
      </c>
      <c r="P1819" s="13">
        <f>IFERROR(O1819/N1819,"")</f>
        <v/>
      </c>
      <c r="Q1819" s="13">
        <f>CHAIN_RAW!I1819</f>
        <v/>
      </c>
      <c r="R1819" s="13">
        <f>CHAIN_RAW!P1819</f>
        <v/>
      </c>
      <c r="S1819" s="13">
        <f>IFERROR(R1819/Q1819,"")</f>
        <v/>
      </c>
      <c r="T1819" s="13">
        <f>IFERROR((ABS(N1819-O1819)/MAX(1,(N1819+O1819)))*EXP(-ABS(E1819-CONTROL!E5)/MAX(1,CONTROL!B8)),"")</f>
        <v/>
      </c>
      <c r="U1819" s="13">
        <f>IFERROR(IF(O1819&gt;N1819,"SUPPORT (PE OI)","RESIST (CE OI)"),"")</f>
        <v/>
      </c>
      <c r="V1819" s="13">
        <f>IFERROR(IF(Q1819&gt;0,IF(R1819&gt;0,"BOTH_ADD","CE_ADD_PE_REDUCE"),IF(R1819&gt;0,"CE_REDUCE_PE_ADD","BOTH_REDUCE")),"")</f>
        <v/>
      </c>
      <c r="W1819" s="13">
        <f>IFERROR( (P1819-1)*0.5 + (M1819)*0.1 - (I1819+J1819)*0.05 + T1819*0.4 ,"")</f>
        <v/>
      </c>
      <c r="X1819" s="13">
        <f>IFERROR(IF(ABS(F1819)&lt;0.01,"ATM/NEAR",""),"")</f>
        <v/>
      </c>
    </row>
    <row r="1820">
      <c r="A1820" s="13">
        <f>CHAIN_RAW!A1820</f>
        <v/>
      </c>
      <c r="B1820" s="14">
        <f>CHAIN_RAW!B1820</f>
        <v/>
      </c>
      <c r="C1820" s="13">
        <f>CHAIN_RAW!C1820</f>
        <v/>
      </c>
      <c r="D1820" s="13">
        <f>CHAIN_RAW!D1820</f>
        <v/>
      </c>
      <c r="E1820" s="13">
        <f>CHAIN_RAW!E1820</f>
        <v/>
      </c>
      <c r="F1820" s="13">
        <f>IFERROR((E1820-D1820)/D1820,"")</f>
        <v/>
      </c>
      <c r="G1820" s="13">
        <f>IFERROR((CHAIN_RAW!K1820+CHAIN_RAW!L1820)/2,"")</f>
        <v/>
      </c>
      <c r="H1820" s="13">
        <f>IFERROR((CHAIN_RAW!R1820+CHAIN_RAW!S1820)/2,"")</f>
        <v/>
      </c>
      <c r="I1820" s="13">
        <f>IFERROR((CHAIN_RAW!L1820-CHAIN_RAW!K1820)/MAX(1E-9, G1820),"")</f>
        <v/>
      </c>
      <c r="J1820" s="13">
        <f>IFERROR((CHAIN_RAW!S1820-CHAIN_RAW!R1820)/MAX(1E-9, H1820),"")</f>
        <v/>
      </c>
      <c r="K1820" s="13">
        <f>CHAIN_RAW!G1820</f>
        <v/>
      </c>
      <c r="L1820" s="13">
        <f>CHAIN_RAW!N1820</f>
        <v/>
      </c>
      <c r="M1820" s="13">
        <f>IFERROR(L1820-K1820,"")</f>
        <v/>
      </c>
      <c r="N1820" s="13">
        <f>CHAIN_RAW!H1820</f>
        <v/>
      </c>
      <c r="O1820" s="13">
        <f>CHAIN_RAW!O1820</f>
        <v/>
      </c>
      <c r="P1820" s="13">
        <f>IFERROR(O1820/N1820,"")</f>
        <v/>
      </c>
      <c r="Q1820" s="13">
        <f>CHAIN_RAW!I1820</f>
        <v/>
      </c>
      <c r="R1820" s="13">
        <f>CHAIN_RAW!P1820</f>
        <v/>
      </c>
      <c r="S1820" s="13">
        <f>IFERROR(R1820/Q1820,"")</f>
        <v/>
      </c>
      <c r="T1820" s="13">
        <f>IFERROR((ABS(N1820-O1820)/MAX(1,(N1820+O1820)))*EXP(-ABS(E1820-CONTROL!E5)/MAX(1,CONTROL!B8)),"")</f>
        <v/>
      </c>
      <c r="U1820" s="13">
        <f>IFERROR(IF(O1820&gt;N1820,"SUPPORT (PE OI)","RESIST (CE OI)"),"")</f>
        <v/>
      </c>
      <c r="V1820" s="13">
        <f>IFERROR(IF(Q1820&gt;0,IF(R1820&gt;0,"BOTH_ADD","CE_ADD_PE_REDUCE"),IF(R1820&gt;0,"CE_REDUCE_PE_ADD","BOTH_REDUCE")),"")</f>
        <v/>
      </c>
      <c r="W1820" s="13">
        <f>IFERROR( (P1820-1)*0.5 + (M1820)*0.1 - (I1820+J1820)*0.05 + T1820*0.4 ,"")</f>
        <v/>
      </c>
      <c r="X1820" s="13">
        <f>IFERROR(IF(ABS(F1820)&lt;0.01,"ATM/NEAR",""),"")</f>
        <v/>
      </c>
    </row>
    <row r="1821">
      <c r="A1821" s="13">
        <f>CHAIN_RAW!A1821</f>
        <v/>
      </c>
      <c r="B1821" s="14">
        <f>CHAIN_RAW!B1821</f>
        <v/>
      </c>
      <c r="C1821" s="13">
        <f>CHAIN_RAW!C1821</f>
        <v/>
      </c>
      <c r="D1821" s="13">
        <f>CHAIN_RAW!D1821</f>
        <v/>
      </c>
      <c r="E1821" s="13">
        <f>CHAIN_RAW!E1821</f>
        <v/>
      </c>
      <c r="F1821" s="13">
        <f>IFERROR((E1821-D1821)/D1821,"")</f>
        <v/>
      </c>
      <c r="G1821" s="13">
        <f>IFERROR((CHAIN_RAW!K1821+CHAIN_RAW!L1821)/2,"")</f>
        <v/>
      </c>
      <c r="H1821" s="13">
        <f>IFERROR((CHAIN_RAW!R1821+CHAIN_RAW!S1821)/2,"")</f>
        <v/>
      </c>
      <c r="I1821" s="13">
        <f>IFERROR((CHAIN_RAW!L1821-CHAIN_RAW!K1821)/MAX(1E-9, G1821),"")</f>
        <v/>
      </c>
      <c r="J1821" s="13">
        <f>IFERROR((CHAIN_RAW!S1821-CHAIN_RAW!R1821)/MAX(1E-9, H1821),"")</f>
        <v/>
      </c>
      <c r="K1821" s="13">
        <f>CHAIN_RAW!G1821</f>
        <v/>
      </c>
      <c r="L1821" s="13">
        <f>CHAIN_RAW!N1821</f>
        <v/>
      </c>
      <c r="M1821" s="13">
        <f>IFERROR(L1821-K1821,"")</f>
        <v/>
      </c>
      <c r="N1821" s="13">
        <f>CHAIN_RAW!H1821</f>
        <v/>
      </c>
      <c r="O1821" s="13">
        <f>CHAIN_RAW!O1821</f>
        <v/>
      </c>
      <c r="P1821" s="13">
        <f>IFERROR(O1821/N1821,"")</f>
        <v/>
      </c>
      <c r="Q1821" s="13">
        <f>CHAIN_RAW!I1821</f>
        <v/>
      </c>
      <c r="R1821" s="13">
        <f>CHAIN_RAW!P1821</f>
        <v/>
      </c>
      <c r="S1821" s="13">
        <f>IFERROR(R1821/Q1821,"")</f>
        <v/>
      </c>
      <c r="T1821" s="13">
        <f>IFERROR((ABS(N1821-O1821)/MAX(1,(N1821+O1821)))*EXP(-ABS(E1821-CONTROL!E5)/MAX(1,CONTROL!B8)),"")</f>
        <v/>
      </c>
      <c r="U1821" s="13">
        <f>IFERROR(IF(O1821&gt;N1821,"SUPPORT (PE OI)","RESIST (CE OI)"),"")</f>
        <v/>
      </c>
      <c r="V1821" s="13">
        <f>IFERROR(IF(Q1821&gt;0,IF(R1821&gt;0,"BOTH_ADD","CE_ADD_PE_REDUCE"),IF(R1821&gt;0,"CE_REDUCE_PE_ADD","BOTH_REDUCE")),"")</f>
        <v/>
      </c>
      <c r="W1821" s="13">
        <f>IFERROR( (P1821-1)*0.5 + (M1821)*0.1 - (I1821+J1821)*0.05 + T1821*0.4 ,"")</f>
        <v/>
      </c>
      <c r="X1821" s="13">
        <f>IFERROR(IF(ABS(F1821)&lt;0.01,"ATM/NEAR",""),"")</f>
        <v/>
      </c>
    </row>
    <row r="1822">
      <c r="A1822" s="13">
        <f>CHAIN_RAW!A1822</f>
        <v/>
      </c>
      <c r="B1822" s="14">
        <f>CHAIN_RAW!B1822</f>
        <v/>
      </c>
      <c r="C1822" s="13">
        <f>CHAIN_RAW!C1822</f>
        <v/>
      </c>
      <c r="D1822" s="13">
        <f>CHAIN_RAW!D1822</f>
        <v/>
      </c>
      <c r="E1822" s="13">
        <f>CHAIN_RAW!E1822</f>
        <v/>
      </c>
      <c r="F1822" s="13">
        <f>IFERROR((E1822-D1822)/D1822,"")</f>
        <v/>
      </c>
      <c r="G1822" s="13">
        <f>IFERROR((CHAIN_RAW!K1822+CHAIN_RAW!L1822)/2,"")</f>
        <v/>
      </c>
      <c r="H1822" s="13">
        <f>IFERROR((CHAIN_RAW!R1822+CHAIN_RAW!S1822)/2,"")</f>
        <v/>
      </c>
      <c r="I1822" s="13">
        <f>IFERROR((CHAIN_RAW!L1822-CHAIN_RAW!K1822)/MAX(1E-9, G1822),"")</f>
        <v/>
      </c>
      <c r="J1822" s="13">
        <f>IFERROR((CHAIN_RAW!S1822-CHAIN_RAW!R1822)/MAX(1E-9, H1822),"")</f>
        <v/>
      </c>
      <c r="K1822" s="13">
        <f>CHAIN_RAW!G1822</f>
        <v/>
      </c>
      <c r="L1822" s="13">
        <f>CHAIN_RAW!N1822</f>
        <v/>
      </c>
      <c r="M1822" s="13">
        <f>IFERROR(L1822-K1822,"")</f>
        <v/>
      </c>
      <c r="N1822" s="13">
        <f>CHAIN_RAW!H1822</f>
        <v/>
      </c>
      <c r="O1822" s="13">
        <f>CHAIN_RAW!O1822</f>
        <v/>
      </c>
      <c r="P1822" s="13">
        <f>IFERROR(O1822/N1822,"")</f>
        <v/>
      </c>
      <c r="Q1822" s="13">
        <f>CHAIN_RAW!I1822</f>
        <v/>
      </c>
      <c r="R1822" s="13">
        <f>CHAIN_RAW!P1822</f>
        <v/>
      </c>
      <c r="S1822" s="13">
        <f>IFERROR(R1822/Q1822,"")</f>
        <v/>
      </c>
      <c r="T1822" s="13">
        <f>IFERROR((ABS(N1822-O1822)/MAX(1,(N1822+O1822)))*EXP(-ABS(E1822-CONTROL!E5)/MAX(1,CONTROL!B8)),"")</f>
        <v/>
      </c>
      <c r="U1822" s="13">
        <f>IFERROR(IF(O1822&gt;N1822,"SUPPORT (PE OI)","RESIST (CE OI)"),"")</f>
        <v/>
      </c>
      <c r="V1822" s="13">
        <f>IFERROR(IF(Q1822&gt;0,IF(R1822&gt;0,"BOTH_ADD","CE_ADD_PE_REDUCE"),IF(R1822&gt;0,"CE_REDUCE_PE_ADD","BOTH_REDUCE")),"")</f>
        <v/>
      </c>
      <c r="W1822" s="13">
        <f>IFERROR( (P1822-1)*0.5 + (M1822)*0.1 - (I1822+J1822)*0.05 + T1822*0.4 ,"")</f>
        <v/>
      </c>
      <c r="X1822" s="13">
        <f>IFERROR(IF(ABS(F1822)&lt;0.01,"ATM/NEAR",""),"")</f>
        <v/>
      </c>
    </row>
    <row r="1823">
      <c r="A1823" s="13">
        <f>CHAIN_RAW!A1823</f>
        <v/>
      </c>
      <c r="B1823" s="14">
        <f>CHAIN_RAW!B1823</f>
        <v/>
      </c>
      <c r="C1823" s="13">
        <f>CHAIN_RAW!C1823</f>
        <v/>
      </c>
      <c r="D1823" s="13">
        <f>CHAIN_RAW!D1823</f>
        <v/>
      </c>
      <c r="E1823" s="13">
        <f>CHAIN_RAW!E1823</f>
        <v/>
      </c>
      <c r="F1823" s="13">
        <f>IFERROR((E1823-D1823)/D1823,"")</f>
        <v/>
      </c>
      <c r="G1823" s="13">
        <f>IFERROR((CHAIN_RAW!K1823+CHAIN_RAW!L1823)/2,"")</f>
        <v/>
      </c>
      <c r="H1823" s="13">
        <f>IFERROR((CHAIN_RAW!R1823+CHAIN_RAW!S1823)/2,"")</f>
        <v/>
      </c>
      <c r="I1823" s="13">
        <f>IFERROR((CHAIN_RAW!L1823-CHAIN_RAW!K1823)/MAX(1E-9, G1823),"")</f>
        <v/>
      </c>
      <c r="J1823" s="13">
        <f>IFERROR((CHAIN_RAW!S1823-CHAIN_RAW!R1823)/MAX(1E-9, H1823),"")</f>
        <v/>
      </c>
      <c r="K1823" s="13">
        <f>CHAIN_RAW!G1823</f>
        <v/>
      </c>
      <c r="L1823" s="13">
        <f>CHAIN_RAW!N1823</f>
        <v/>
      </c>
      <c r="M1823" s="13">
        <f>IFERROR(L1823-K1823,"")</f>
        <v/>
      </c>
      <c r="N1823" s="13">
        <f>CHAIN_RAW!H1823</f>
        <v/>
      </c>
      <c r="O1823" s="13">
        <f>CHAIN_RAW!O1823</f>
        <v/>
      </c>
      <c r="P1823" s="13">
        <f>IFERROR(O1823/N1823,"")</f>
        <v/>
      </c>
      <c r="Q1823" s="13">
        <f>CHAIN_RAW!I1823</f>
        <v/>
      </c>
      <c r="R1823" s="13">
        <f>CHAIN_RAW!P1823</f>
        <v/>
      </c>
      <c r="S1823" s="13">
        <f>IFERROR(R1823/Q1823,"")</f>
        <v/>
      </c>
      <c r="T1823" s="13">
        <f>IFERROR((ABS(N1823-O1823)/MAX(1,(N1823+O1823)))*EXP(-ABS(E1823-CONTROL!E5)/MAX(1,CONTROL!B8)),"")</f>
        <v/>
      </c>
      <c r="U1823" s="13">
        <f>IFERROR(IF(O1823&gt;N1823,"SUPPORT (PE OI)","RESIST (CE OI)"),"")</f>
        <v/>
      </c>
      <c r="V1823" s="13">
        <f>IFERROR(IF(Q1823&gt;0,IF(R1823&gt;0,"BOTH_ADD","CE_ADD_PE_REDUCE"),IF(R1823&gt;0,"CE_REDUCE_PE_ADD","BOTH_REDUCE")),"")</f>
        <v/>
      </c>
      <c r="W1823" s="13">
        <f>IFERROR( (P1823-1)*0.5 + (M1823)*0.1 - (I1823+J1823)*0.05 + T1823*0.4 ,"")</f>
        <v/>
      </c>
      <c r="X1823" s="13">
        <f>IFERROR(IF(ABS(F1823)&lt;0.01,"ATM/NEAR",""),"")</f>
        <v/>
      </c>
    </row>
    <row r="1824">
      <c r="A1824" s="13">
        <f>CHAIN_RAW!A1824</f>
        <v/>
      </c>
      <c r="B1824" s="14">
        <f>CHAIN_RAW!B1824</f>
        <v/>
      </c>
      <c r="C1824" s="13">
        <f>CHAIN_RAW!C1824</f>
        <v/>
      </c>
      <c r="D1824" s="13">
        <f>CHAIN_RAW!D1824</f>
        <v/>
      </c>
      <c r="E1824" s="13">
        <f>CHAIN_RAW!E1824</f>
        <v/>
      </c>
      <c r="F1824" s="13">
        <f>IFERROR((E1824-D1824)/D1824,"")</f>
        <v/>
      </c>
      <c r="G1824" s="13">
        <f>IFERROR((CHAIN_RAW!K1824+CHAIN_RAW!L1824)/2,"")</f>
        <v/>
      </c>
      <c r="H1824" s="13">
        <f>IFERROR((CHAIN_RAW!R1824+CHAIN_RAW!S1824)/2,"")</f>
        <v/>
      </c>
      <c r="I1824" s="13">
        <f>IFERROR((CHAIN_RAW!L1824-CHAIN_RAW!K1824)/MAX(1E-9, G1824),"")</f>
        <v/>
      </c>
      <c r="J1824" s="13">
        <f>IFERROR((CHAIN_RAW!S1824-CHAIN_RAW!R1824)/MAX(1E-9, H1824),"")</f>
        <v/>
      </c>
      <c r="K1824" s="13">
        <f>CHAIN_RAW!G1824</f>
        <v/>
      </c>
      <c r="L1824" s="13">
        <f>CHAIN_RAW!N1824</f>
        <v/>
      </c>
      <c r="M1824" s="13">
        <f>IFERROR(L1824-K1824,"")</f>
        <v/>
      </c>
      <c r="N1824" s="13">
        <f>CHAIN_RAW!H1824</f>
        <v/>
      </c>
      <c r="O1824" s="13">
        <f>CHAIN_RAW!O1824</f>
        <v/>
      </c>
      <c r="P1824" s="13">
        <f>IFERROR(O1824/N1824,"")</f>
        <v/>
      </c>
      <c r="Q1824" s="13">
        <f>CHAIN_RAW!I1824</f>
        <v/>
      </c>
      <c r="R1824" s="13">
        <f>CHAIN_RAW!P1824</f>
        <v/>
      </c>
      <c r="S1824" s="13">
        <f>IFERROR(R1824/Q1824,"")</f>
        <v/>
      </c>
      <c r="T1824" s="13">
        <f>IFERROR((ABS(N1824-O1824)/MAX(1,(N1824+O1824)))*EXP(-ABS(E1824-CONTROL!E5)/MAX(1,CONTROL!B8)),"")</f>
        <v/>
      </c>
      <c r="U1824" s="13">
        <f>IFERROR(IF(O1824&gt;N1824,"SUPPORT (PE OI)","RESIST (CE OI)"),"")</f>
        <v/>
      </c>
      <c r="V1824" s="13">
        <f>IFERROR(IF(Q1824&gt;0,IF(R1824&gt;0,"BOTH_ADD","CE_ADD_PE_REDUCE"),IF(R1824&gt;0,"CE_REDUCE_PE_ADD","BOTH_REDUCE")),"")</f>
        <v/>
      </c>
      <c r="W1824" s="13">
        <f>IFERROR( (P1824-1)*0.5 + (M1824)*0.1 - (I1824+J1824)*0.05 + T1824*0.4 ,"")</f>
        <v/>
      </c>
      <c r="X1824" s="13">
        <f>IFERROR(IF(ABS(F1824)&lt;0.01,"ATM/NEAR",""),"")</f>
        <v/>
      </c>
    </row>
    <row r="1825">
      <c r="A1825" s="13">
        <f>CHAIN_RAW!A1825</f>
        <v/>
      </c>
      <c r="B1825" s="14">
        <f>CHAIN_RAW!B1825</f>
        <v/>
      </c>
      <c r="C1825" s="13">
        <f>CHAIN_RAW!C1825</f>
        <v/>
      </c>
      <c r="D1825" s="13">
        <f>CHAIN_RAW!D1825</f>
        <v/>
      </c>
      <c r="E1825" s="13">
        <f>CHAIN_RAW!E1825</f>
        <v/>
      </c>
      <c r="F1825" s="13">
        <f>IFERROR((E1825-D1825)/D1825,"")</f>
        <v/>
      </c>
      <c r="G1825" s="13">
        <f>IFERROR((CHAIN_RAW!K1825+CHAIN_RAW!L1825)/2,"")</f>
        <v/>
      </c>
      <c r="H1825" s="13">
        <f>IFERROR((CHAIN_RAW!R1825+CHAIN_RAW!S1825)/2,"")</f>
        <v/>
      </c>
      <c r="I1825" s="13">
        <f>IFERROR((CHAIN_RAW!L1825-CHAIN_RAW!K1825)/MAX(1E-9, G1825),"")</f>
        <v/>
      </c>
      <c r="J1825" s="13">
        <f>IFERROR((CHAIN_RAW!S1825-CHAIN_RAW!R1825)/MAX(1E-9, H1825),"")</f>
        <v/>
      </c>
      <c r="K1825" s="13">
        <f>CHAIN_RAW!G1825</f>
        <v/>
      </c>
      <c r="L1825" s="13">
        <f>CHAIN_RAW!N1825</f>
        <v/>
      </c>
      <c r="M1825" s="13">
        <f>IFERROR(L1825-K1825,"")</f>
        <v/>
      </c>
      <c r="N1825" s="13">
        <f>CHAIN_RAW!H1825</f>
        <v/>
      </c>
      <c r="O1825" s="13">
        <f>CHAIN_RAW!O1825</f>
        <v/>
      </c>
      <c r="P1825" s="13">
        <f>IFERROR(O1825/N1825,"")</f>
        <v/>
      </c>
      <c r="Q1825" s="13">
        <f>CHAIN_RAW!I1825</f>
        <v/>
      </c>
      <c r="R1825" s="13">
        <f>CHAIN_RAW!P1825</f>
        <v/>
      </c>
      <c r="S1825" s="13">
        <f>IFERROR(R1825/Q1825,"")</f>
        <v/>
      </c>
      <c r="T1825" s="13">
        <f>IFERROR((ABS(N1825-O1825)/MAX(1,(N1825+O1825)))*EXP(-ABS(E1825-CONTROL!E5)/MAX(1,CONTROL!B8)),"")</f>
        <v/>
      </c>
      <c r="U1825" s="13">
        <f>IFERROR(IF(O1825&gt;N1825,"SUPPORT (PE OI)","RESIST (CE OI)"),"")</f>
        <v/>
      </c>
      <c r="V1825" s="13">
        <f>IFERROR(IF(Q1825&gt;0,IF(R1825&gt;0,"BOTH_ADD","CE_ADD_PE_REDUCE"),IF(R1825&gt;0,"CE_REDUCE_PE_ADD","BOTH_REDUCE")),"")</f>
        <v/>
      </c>
      <c r="W1825" s="13">
        <f>IFERROR( (P1825-1)*0.5 + (M1825)*0.1 - (I1825+J1825)*0.05 + T1825*0.4 ,"")</f>
        <v/>
      </c>
      <c r="X1825" s="13">
        <f>IFERROR(IF(ABS(F1825)&lt;0.01,"ATM/NEAR",""),"")</f>
        <v/>
      </c>
    </row>
    <row r="1826">
      <c r="A1826" s="13">
        <f>CHAIN_RAW!A1826</f>
        <v/>
      </c>
      <c r="B1826" s="14">
        <f>CHAIN_RAW!B1826</f>
        <v/>
      </c>
      <c r="C1826" s="13">
        <f>CHAIN_RAW!C1826</f>
        <v/>
      </c>
      <c r="D1826" s="13">
        <f>CHAIN_RAW!D1826</f>
        <v/>
      </c>
      <c r="E1826" s="13">
        <f>CHAIN_RAW!E1826</f>
        <v/>
      </c>
      <c r="F1826" s="13">
        <f>IFERROR((E1826-D1826)/D1826,"")</f>
        <v/>
      </c>
      <c r="G1826" s="13">
        <f>IFERROR((CHAIN_RAW!K1826+CHAIN_RAW!L1826)/2,"")</f>
        <v/>
      </c>
      <c r="H1826" s="13">
        <f>IFERROR((CHAIN_RAW!R1826+CHAIN_RAW!S1826)/2,"")</f>
        <v/>
      </c>
      <c r="I1826" s="13">
        <f>IFERROR((CHAIN_RAW!L1826-CHAIN_RAW!K1826)/MAX(1E-9, G1826),"")</f>
        <v/>
      </c>
      <c r="J1826" s="13">
        <f>IFERROR((CHAIN_RAW!S1826-CHAIN_RAW!R1826)/MAX(1E-9, H1826),"")</f>
        <v/>
      </c>
      <c r="K1826" s="13">
        <f>CHAIN_RAW!G1826</f>
        <v/>
      </c>
      <c r="L1826" s="13">
        <f>CHAIN_RAW!N1826</f>
        <v/>
      </c>
      <c r="M1826" s="13">
        <f>IFERROR(L1826-K1826,"")</f>
        <v/>
      </c>
      <c r="N1826" s="13">
        <f>CHAIN_RAW!H1826</f>
        <v/>
      </c>
      <c r="O1826" s="13">
        <f>CHAIN_RAW!O1826</f>
        <v/>
      </c>
      <c r="P1826" s="13">
        <f>IFERROR(O1826/N1826,"")</f>
        <v/>
      </c>
      <c r="Q1826" s="13">
        <f>CHAIN_RAW!I1826</f>
        <v/>
      </c>
      <c r="R1826" s="13">
        <f>CHAIN_RAW!P1826</f>
        <v/>
      </c>
      <c r="S1826" s="13">
        <f>IFERROR(R1826/Q1826,"")</f>
        <v/>
      </c>
      <c r="T1826" s="13">
        <f>IFERROR((ABS(N1826-O1826)/MAX(1,(N1826+O1826)))*EXP(-ABS(E1826-CONTROL!E5)/MAX(1,CONTROL!B8)),"")</f>
        <v/>
      </c>
      <c r="U1826" s="13">
        <f>IFERROR(IF(O1826&gt;N1826,"SUPPORT (PE OI)","RESIST (CE OI)"),"")</f>
        <v/>
      </c>
      <c r="V1826" s="13">
        <f>IFERROR(IF(Q1826&gt;0,IF(R1826&gt;0,"BOTH_ADD","CE_ADD_PE_REDUCE"),IF(R1826&gt;0,"CE_REDUCE_PE_ADD","BOTH_REDUCE")),"")</f>
        <v/>
      </c>
      <c r="W1826" s="13">
        <f>IFERROR( (P1826-1)*0.5 + (M1826)*0.1 - (I1826+J1826)*0.05 + T1826*0.4 ,"")</f>
        <v/>
      </c>
      <c r="X1826" s="13">
        <f>IFERROR(IF(ABS(F1826)&lt;0.01,"ATM/NEAR",""),"")</f>
        <v/>
      </c>
    </row>
    <row r="1827">
      <c r="A1827" s="13">
        <f>CHAIN_RAW!A1827</f>
        <v/>
      </c>
      <c r="B1827" s="14">
        <f>CHAIN_RAW!B1827</f>
        <v/>
      </c>
      <c r="C1827" s="13">
        <f>CHAIN_RAW!C1827</f>
        <v/>
      </c>
      <c r="D1827" s="13">
        <f>CHAIN_RAW!D1827</f>
        <v/>
      </c>
      <c r="E1827" s="13">
        <f>CHAIN_RAW!E1827</f>
        <v/>
      </c>
      <c r="F1827" s="13">
        <f>IFERROR((E1827-D1827)/D1827,"")</f>
        <v/>
      </c>
      <c r="G1827" s="13">
        <f>IFERROR((CHAIN_RAW!K1827+CHAIN_RAW!L1827)/2,"")</f>
        <v/>
      </c>
      <c r="H1827" s="13">
        <f>IFERROR((CHAIN_RAW!R1827+CHAIN_RAW!S1827)/2,"")</f>
        <v/>
      </c>
      <c r="I1827" s="13">
        <f>IFERROR((CHAIN_RAW!L1827-CHAIN_RAW!K1827)/MAX(1E-9, G1827),"")</f>
        <v/>
      </c>
      <c r="J1827" s="13">
        <f>IFERROR((CHAIN_RAW!S1827-CHAIN_RAW!R1827)/MAX(1E-9, H1827),"")</f>
        <v/>
      </c>
      <c r="K1827" s="13">
        <f>CHAIN_RAW!G1827</f>
        <v/>
      </c>
      <c r="L1827" s="13">
        <f>CHAIN_RAW!N1827</f>
        <v/>
      </c>
      <c r="M1827" s="13">
        <f>IFERROR(L1827-K1827,"")</f>
        <v/>
      </c>
      <c r="N1827" s="13">
        <f>CHAIN_RAW!H1827</f>
        <v/>
      </c>
      <c r="O1827" s="13">
        <f>CHAIN_RAW!O1827</f>
        <v/>
      </c>
      <c r="P1827" s="13">
        <f>IFERROR(O1827/N1827,"")</f>
        <v/>
      </c>
      <c r="Q1827" s="13">
        <f>CHAIN_RAW!I1827</f>
        <v/>
      </c>
      <c r="R1827" s="13">
        <f>CHAIN_RAW!P1827</f>
        <v/>
      </c>
      <c r="S1827" s="13">
        <f>IFERROR(R1827/Q1827,"")</f>
        <v/>
      </c>
      <c r="T1827" s="13">
        <f>IFERROR((ABS(N1827-O1827)/MAX(1,(N1827+O1827)))*EXP(-ABS(E1827-CONTROL!E5)/MAX(1,CONTROL!B8)),"")</f>
        <v/>
      </c>
      <c r="U1827" s="13">
        <f>IFERROR(IF(O1827&gt;N1827,"SUPPORT (PE OI)","RESIST (CE OI)"),"")</f>
        <v/>
      </c>
      <c r="V1827" s="13">
        <f>IFERROR(IF(Q1827&gt;0,IF(R1827&gt;0,"BOTH_ADD","CE_ADD_PE_REDUCE"),IF(R1827&gt;0,"CE_REDUCE_PE_ADD","BOTH_REDUCE")),"")</f>
        <v/>
      </c>
      <c r="W1827" s="13">
        <f>IFERROR( (P1827-1)*0.5 + (M1827)*0.1 - (I1827+J1827)*0.05 + T1827*0.4 ,"")</f>
        <v/>
      </c>
      <c r="X1827" s="13">
        <f>IFERROR(IF(ABS(F1827)&lt;0.01,"ATM/NEAR",""),"")</f>
        <v/>
      </c>
    </row>
    <row r="1828">
      <c r="A1828" s="13">
        <f>CHAIN_RAW!A1828</f>
        <v/>
      </c>
      <c r="B1828" s="14">
        <f>CHAIN_RAW!B1828</f>
        <v/>
      </c>
      <c r="C1828" s="13">
        <f>CHAIN_RAW!C1828</f>
        <v/>
      </c>
      <c r="D1828" s="13">
        <f>CHAIN_RAW!D1828</f>
        <v/>
      </c>
      <c r="E1828" s="13">
        <f>CHAIN_RAW!E1828</f>
        <v/>
      </c>
      <c r="F1828" s="13">
        <f>IFERROR((E1828-D1828)/D1828,"")</f>
        <v/>
      </c>
      <c r="G1828" s="13">
        <f>IFERROR((CHAIN_RAW!K1828+CHAIN_RAW!L1828)/2,"")</f>
        <v/>
      </c>
      <c r="H1828" s="13">
        <f>IFERROR((CHAIN_RAW!R1828+CHAIN_RAW!S1828)/2,"")</f>
        <v/>
      </c>
      <c r="I1828" s="13">
        <f>IFERROR((CHAIN_RAW!L1828-CHAIN_RAW!K1828)/MAX(1E-9, G1828),"")</f>
        <v/>
      </c>
      <c r="J1828" s="13">
        <f>IFERROR((CHAIN_RAW!S1828-CHAIN_RAW!R1828)/MAX(1E-9, H1828),"")</f>
        <v/>
      </c>
      <c r="K1828" s="13">
        <f>CHAIN_RAW!G1828</f>
        <v/>
      </c>
      <c r="L1828" s="13">
        <f>CHAIN_RAW!N1828</f>
        <v/>
      </c>
      <c r="M1828" s="13">
        <f>IFERROR(L1828-K1828,"")</f>
        <v/>
      </c>
      <c r="N1828" s="13">
        <f>CHAIN_RAW!H1828</f>
        <v/>
      </c>
      <c r="O1828" s="13">
        <f>CHAIN_RAW!O1828</f>
        <v/>
      </c>
      <c r="P1828" s="13">
        <f>IFERROR(O1828/N1828,"")</f>
        <v/>
      </c>
      <c r="Q1828" s="13">
        <f>CHAIN_RAW!I1828</f>
        <v/>
      </c>
      <c r="R1828" s="13">
        <f>CHAIN_RAW!P1828</f>
        <v/>
      </c>
      <c r="S1828" s="13">
        <f>IFERROR(R1828/Q1828,"")</f>
        <v/>
      </c>
      <c r="T1828" s="13">
        <f>IFERROR((ABS(N1828-O1828)/MAX(1,(N1828+O1828)))*EXP(-ABS(E1828-CONTROL!E5)/MAX(1,CONTROL!B8)),"")</f>
        <v/>
      </c>
      <c r="U1828" s="13">
        <f>IFERROR(IF(O1828&gt;N1828,"SUPPORT (PE OI)","RESIST (CE OI)"),"")</f>
        <v/>
      </c>
      <c r="V1828" s="13">
        <f>IFERROR(IF(Q1828&gt;0,IF(R1828&gt;0,"BOTH_ADD","CE_ADD_PE_REDUCE"),IF(R1828&gt;0,"CE_REDUCE_PE_ADD","BOTH_REDUCE")),"")</f>
        <v/>
      </c>
      <c r="W1828" s="13">
        <f>IFERROR( (P1828-1)*0.5 + (M1828)*0.1 - (I1828+J1828)*0.05 + T1828*0.4 ,"")</f>
        <v/>
      </c>
      <c r="X1828" s="13">
        <f>IFERROR(IF(ABS(F1828)&lt;0.01,"ATM/NEAR",""),"")</f>
        <v/>
      </c>
    </row>
    <row r="1829">
      <c r="A1829" s="13">
        <f>CHAIN_RAW!A1829</f>
        <v/>
      </c>
      <c r="B1829" s="14">
        <f>CHAIN_RAW!B1829</f>
        <v/>
      </c>
      <c r="C1829" s="13">
        <f>CHAIN_RAW!C1829</f>
        <v/>
      </c>
      <c r="D1829" s="13">
        <f>CHAIN_RAW!D1829</f>
        <v/>
      </c>
      <c r="E1829" s="13">
        <f>CHAIN_RAW!E1829</f>
        <v/>
      </c>
      <c r="F1829" s="13">
        <f>IFERROR((E1829-D1829)/D1829,"")</f>
        <v/>
      </c>
      <c r="G1829" s="13">
        <f>IFERROR((CHAIN_RAW!K1829+CHAIN_RAW!L1829)/2,"")</f>
        <v/>
      </c>
      <c r="H1829" s="13">
        <f>IFERROR((CHAIN_RAW!R1829+CHAIN_RAW!S1829)/2,"")</f>
        <v/>
      </c>
      <c r="I1829" s="13">
        <f>IFERROR((CHAIN_RAW!L1829-CHAIN_RAW!K1829)/MAX(1E-9, G1829),"")</f>
        <v/>
      </c>
      <c r="J1829" s="13">
        <f>IFERROR((CHAIN_RAW!S1829-CHAIN_RAW!R1829)/MAX(1E-9, H1829),"")</f>
        <v/>
      </c>
      <c r="K1829" s="13">
        <f>CHAIN_RAW!G1829</f>
        <v/>
      </c>
      <c r="L1829" s="13">
        <f>CHAIN_RAW!N1829</f>
        <v/>
      </c>
      <c r="M1829" s="13">
        <f>IFERROR(L1829-K1829,"")</f>
        <v/>
      </c>
      <c r="N1829" s="13">
        <f>CHAIN_RAW!H1829</f>
        <v/>
      </c>
      <c r="O1829" s="13">
        <f>CHAIN_RAW!O1829</f>
        <v/>
      </c>
      <c r="P1829" s="13">
        <f>IFERROR(O1829/N1829,"")</f>
        <v/>
      </c>
      <c r="Q1829" s="13">
        <f>CHAIN_RAW!I1829</f>
        <v/>
      </c>
      <c r="R1829" s="13">
        <f>CHAIN_RAW!P1829</f>
        <v/>
      </c>
      <c r="S1829" s="13">
        <f>IFERROR(R1829/Q1829,"")</f>
        <v/>
      </c>
      <c r="T1829" s="13">
        <f>IFERROR((ABS(N1829-O1829)/MAX(1,(N1829+O1829)))*EXP(-ABS(E1829-CONTROL!E5)/MAX(1,CONTROL!B8)),"")</f>
        <v/>
      </c>
      <c r="U1829" s="13">
        <f>IFERROR(IF(O1829&gt;N1829,"SUPPORT (PE OI)","RESIST (CE OI)"),"")</f>
        <v/>
      </c>
      <c r="V1829" s="13">
        <f>IFERROR(IF(Q1829&gt;0,IF(R1829&gt;0,"BOTH_ADD","CE_ADD_PE_REDUCE"),IF(R1829&gt;0,"CE_REDUCE_PE_ADD","BOTH_REDUCE")),"")</f>
        <v/>
      </c>
      <c r="W1829" s="13">
        <f>IFERROR( (P1829-1)*0.5 + (M1829)*0.1 - (I1829+J1829)*0.05 + T1829*0.4 ,"")</f>
        <v/>
      </c>
      <c r="X1829" s="13">
        <f>IFERROR(IF(ABS(F1829)&lt;0.01,"ATM/NEAR",""),"")</f>
        <v/>
      </c>
    </row>
    <row r="1830">
      <c r="A1830" s="13">
        <f>CHAIN_RAW!A1830</f>
        <v/>
      </c>
      <c r="B1830" s="14">
        <f>CHAIN_RAW!B1830</f>
        <v/>
      </c>
      <c r="C1830" s="13">
        <f>CHAIN_RAW!C1830</f>
        <v/>
      </c>
      <c r="D1830" s="13">
        <f>CHAIN_RAW!D1830</f>
        <v/>
      </c>
      <c r="E1830" s="13">
        <f>CHAIN_RAW!E1830</f>
        <v/>
      </c>
      <c r="F1830" s="13">
        <f>IFERROR((E1830-D1830)/D1830,"")</f>
        <v/>
      </c>
      <c r="G1830" s="13">
        <f>IFERROR((CHAIN_RAW!K1830+CHAIN_RAW!L1830)/2,"")</f>
        <v/>
      </c>
      <c r="H1830" s="13">
        <f>IFERROR((CHAIN_RAW!R1830+CHAIN_RAW!S1830)/2,"")</f>
        <v/>
      </c>
      <c r="I1830" s="13">
        <f>IFERROR((CHAIN_RAW!L1830-CHAIN_RAW!K1830)/MAX(1E-9, G1830),"")</f>
        <v/>
      </c>
      <c r="J1830" s="13">
        <f>IFERROR((CHAIN_RAW!S1830-CHAIN_RAW!R1830)/MAX(1E-9, H1830),"")</f>
        <v/>
      </c>
      <c r="K1830" s="13">
        <f>CHAIN_RAW!G1830</f>
        <v/>
      </c>
      <c r="L1830" s="13">
        <f>CHAIN_RAW!N1830</f>
        <v/>
      </c>
      <c r="M1830" s="13">
        <f>IFERROR(L1830-K1830,"")</f>
        <v/>
      </c>
      <c r="N1830" s="13">
        <f>CHAIN_RAW!H1830</f>
        <v/>
      </c>
      <c r="O1830" s="13">
        <f>CHAIN_RAW!O1830</f>
        <v/>
      </c>
      <c r="P1830" s="13">
        <f>IFERROR(O1830/N1830,"")</f>
        <v/>
      </c>
      <c r="Q1830" s="13">
        <f>CHAIN_RAW!I1830</f>
        <v/>
      </c>
      <c r="R1830" s="13">
        <f>CHAIN_RAW!P1830</f>
        <v/>
      </c>
      <c r="S1830" s="13">
        <f>IFERROR(R1830/Q1830,"")</f>
        <v/>
      </c>
      <c r="T1830" s="13">
        <f>IFERROR((ABS(N1830-O1830)/MAX(1,(N1830+O1830)))*EXP(-ABS(E1830-CONTROL!E5)/MAX(1,CONTROL!B8)),"")</f>
        <v/>
      </c>
      <c r="U1830" s="13">
        <f>IFERROR(IF(O1830&gt;N1830,"SUPPORT (PE OI)","RESIST (CE OI)"),"")</f>
        <v/>
      </c>
      <c r="V1830" s="13">
        <f>IFERROR(IF(Q1830&gt;0,IF(R1830&gt;0,"BOTH_ADD","CE_ADD_PE_REDUCE"),IF(R1830&gt;0,"CE_REDUCE_PE_ADD","BOTH_REDUCE")),"")</f>
        <v/>
      </c>
      <c r="W1830" s="13">
        <f>IFERROR( (P1830-1)*0.5 + (M1830)*0.1 - (I1830+J1830)*0.05 + T1830*0.4 ,"")</f>
        <v/>
      </c>
      <c r="X1830" s="13">
        <f>IFERROR(IF(ABS(F1830)&lt;0.01,"ATM/NEAR",""),"")</f>
        <v/>
      </c>
    </row>
    <row r="1831">
      <c r="A1831" s="13">
        <f>CHAIN_RAW!A1831</f>
        <v/>
      </c>
      <c r="B1831" s="14">
        <f>CHAIN_RAW!B1831</f>
        <v/>
      </c>
      <c r="C1831" s="13">
        <f>CHAIN_RAW!C1831</f>
        <v/>
      </c>
      <c r="D1831" s="13">
        <f>CHAIN_RAW!D1831</f>
        <v/>
      </c>
      <c r="E1831" s="13">
        <f>CHAIN_RAW!E1831</f>
        <v/>
      </c>
      <c r="F1831" s="13">
        <f>IFERROR((E1831-D1831)/D1831,"")</f>
        <v/>
      </c>
      <c r="G1831" s="13">
        <f>IFERROR((CHAIN_RAW!K1831+CHAIN_RAW!L1831)/2,"")</f>
        <v/>
      </c>
      <c r="H1831" s="13">
        <f>IFERROR((CHAIN_RAW!R1831+CHAIN_RAW!S1831)/2,"")</f>
        <v/>
      </c>
      <c r="I1831" s="13">
        <f>IFERROR((CHAIN_RAW!L1831-CHAIN_RAW!K1831)/MAX(1E-9, G1831),"")</f>
        <v/>
      </c>
      <c r="J1831" s="13">
        <f>IFERROR((CHAIN_RAW!S1831-CHAIN_RAW!R1831)/MAX(1E-9, H1831),"")</f>
        <v/>
      </c>
      <c r="K1831" s="13">
        <f>CHAIN_RAW!G1831</f>
        <v/>
      </c>
      <c r="L1831" s="13">
        <f>CHAIN_RAW!N1831</f>
        <v/>
      </c>
      <c r="M1831" s="13">
        <f>IFERROR(L1831-K1831,"")</f>
        <v/>
      </c>
      <c r="N1831" s="13">
        <f>CHAIN_RAW!H1831</f>
        <v/>
      </c>
      <c r="O1831" s="13">
        <f>CHAIN_RAW!O1831</f>
        <v/>
      </c>
      <c r="P1831" s="13">
        <f>IFERROR(O1831/N1831,"")</f>
        <v/>
      </c>
      <c r="Q1831" s="13">
        <f>CHAIN_RAW!I1831</f>
        <v/>
      </c>
      <c r="R1831" s="13">
        <f>CHAIN_RAW!P1831</f>
        <v/>
      </c>
      <c r="S1831" s="13">
        <f>IFERROR(R1831/Q1831,"")</f>
        <v/>
      </c>
      <c r="T1831" s="13">
        <f>IFERROR((ABS(N1831-O1831)/MAX(1,(N1831+O1831)))*EXP(-ABS(E1831-CONTROL!E5)/MAX(1,CONTROL!B8)),"")</f>
        <v/>
      </c>
      <c r="U1831" s="13">
        <f>IFERROR(IF(O1831&gt;N1831,"SUPPORT (PE OI)","RESIST (CE OI)"),"")</f>
        <v/>
      </c>
      <c r="V1831" s="13">
        <f>IFERROR(IF(Q1831&gt;0,IF(R1831&gt;0,"BOTH_ADD","CE_ADD_PE_REDUCE"),IF(R1831&gt;0,"CE_REDUCE_PE_ADD","BOTH_REDUCE")),"")</f>
        <v/>
      </c>
      <c r="W1831" s="13">
        <f>IFERROR( (P1831-1)*0.5 + (M1831)*0.1 - (I1831+J1831)*0.05 + T1831*0.4 ,"")</f>
        <v/>
      </c>
      <c r="X1831" s="13">
        <f>IFERROR(IF(ABS(F1831)&lt;0.01,"ATM/NEAR",""),"")</f>
        <v/>
      </c>
    </row>
    <row r="1832">
      <c r="A1832" s="13">
        <f>CHAIN_RAW!A1832</f>
        <v/>
      </c>
      <c r="B1832" s="14">
        <f>CHAIN_RAW!B1832</f>
        <v/>
      </c>
      <c r="C1832" s="13">
        <f>CHAIN_RAW!C1832</f>
        <v/>
      </c>
      <c r="D1832" s="13">
        <f>CHAIN_RAW!D1832</f>
        <v/>
      </c>
      <c r="E1832" s="13">
        <f>CHAIN_RAW!E1832</f>
        <v/>
      </c>
      <c r="F1832" s="13">
        <f>IFERROR((E1832-D1832)/D1832,"")</f>
        <v/>
      </c>
      <c r="G1832" s="13">
        <f>IFERROR((CHAIN_RAW!K1832+CHAIN_RAW!L1832)/2,"")</f>
        <v/>
      </c>
      <c r="H1832" s="13">
        <f>IFERROR((CHAIN_RAW!R1832+CHAIN_RAW!S1832)/2,"")</f>
        <v/>
      </c>
      <c r="I1832" s="13">
        <f>IFERROR((CHAIN_RAW!L1832-CHAIN_RAW!K1832)/MAX(1E-9, G1832),"")</f>
        <v/>
      </c>
      <c r="J1832" s="13">
        <f>IFERROR((CHAIN_RAW!S1832-CHAIN_RAW!R1832)/MAX(1E-9, H1832),"")</f>
        <v/>
      </c>
      <c r="K1832" s="13">
        <f>CHAIN_RAW!G1832</f>
        <v/>
      </c>
      <c r="L1832" s="13">
        <f>CHAIN_RAW!N1832</f>
        <v/>
      </c>
      <c r="M1832" s="13">
        <f>IFERROR(L1832-K1832,"")</f>
        <v/>
      </c>
      <c r="N1832" s="13">
        <f>CHAIN_RAW!H1832</f>
        <v/>
      </c>
      <c r="O1832" s="13">
        <f>CHAIN_RAW!O1832</f>
        <v/>
      </c>
      <c r="P1832" s="13">
        <f>IFERROR(O1832/N1832,"")</f>
        <v/>
      </c>
      <c r="Q1832" s="13">
        <f>CHAIN_RAW!I1832</f>
        <v/>
      </c>
      <c r="R1832" s="13">
        <f>CHAIN_RAW!P1832</f>
        <v/>
      </c>
      <c r="S1832" s="13">
        <f>IFERROR(R1832/Q1832,"")</f>
        <v/>
      </c>
      <c r="T1832" s="13">
        <f>IFERROR((ABS(N1832-O1832)/MAX(1,(N1832+O1832)))*EXP(-ABS(E1832-CONTROL!E5)/MAX(1,CONTROL!B8)),"")</f>
        <v/>
      </c>
      <c r="U1832" s="13">
        <f>IFERROR(IF(O1832&gt;N1832,"SUPPORT (PE OI)","RESIST (CE OI)"),"")</f>
        <v/>
      </c>
      <c r="V1832" s="13">
        <f>IFERROR(IF(Q1832&gt;0,IF(R1832&gt;0,"BOTH_ADD","CE_ADD_PE_REDUCE"),IF(R1832&gt;0,"CE_REDUCE_PE_ADD","BOTH_REDUCE")),"")</f>
        <v/>
      </c>
      <c r="W1832" s="13">
        <f>IFERROR( (P1832-1)*0.5 + (M1832)*0.1 - (I1832+J1832)*0.05 + T1832*0.4 ,"")</f>
        <v/>
      </c>
      <c r="X1832" s="13">
        <f>IFERROR(IF(ABS(F1832)&lt;0.01,"ATM/NEAR",""),"")</f>
        <v/>
      </c>
    </row>
    <row r="1833">
      <c r="A1833" s="13">
        <f>CHAIN_RAW!A1833</f>
        <v/>
      </c>
      <c r="B1833" s="14">
        <f>CHAIN_RAW!B1833</f>
        <v/>
      </c>
      <c r="C1833" s="13">
        <f>CHAIN_RAW!C1833</f>
        <v/>
      </c>
      <c r="D1833" s="13">
        <f>CHAIN_RAW!D1833</f>
        <v/>
      </c>
      <c r="E1833" s="13">
        <f>CHAIN_RAW!E1833</f>
        <v/>
      </c>
      <c r="F1833" s="13">
        <f>IFERROR((E1833-D1833)/D1833,"")</f>
        <v/>
      </c>
      <c r="G1833" s="13">
        <f>IFERROR((CHAIN_RAW!K1833+CHAIN_RAW!L1833)/2,"")</f>
        <v/>
      </c>
      <c r="H1833" s="13">
        <f>IFERROR((CHAIN_RAW!R1833+CHAIN_RAW!S1833)/2,"")</f>
        <v/>
      </c>
      <c r="I1833" s="13">
        <f>IFERROR((CHAIN_RAW!L1833-CHAIN_RAW!K1833)/MAX(1E-9, G1833),"")</f>
        <v/>
      </c>
      <c r="J1833" s="13">
        <f>IFERROR((CHAIN_RAW!S1833-CHAIN_RAW!R1833)/MAX(1E-9, H1833),"")</f>
        <v/>
      </c>
      <c r="K1833" s="13">
        <f>CHAIN_RAW!G1833</f>
        <v/>
      </c>
      <c r="L1833" s="13">
        <f>CHAIN_RAW!N1833</f>
        <v/>
      </c>
      <c r="M1833" s="13">
        <f>IFERROR(L1833-K1833,"")</f>
        <v/>
      </c>
      <c r="N1833" s="13">
        <f>CHAIN_RAW!H1833</f>
        <v/>
      </c>
      <c r="O1833" s="13">
        <f>CHAIN_RAW!O1833</f>
        <v/>
      </c>
      <c r="P1833" s="13">
        <f>IFERROR(O1833/N1833,"")</f>
        <v/>
      </c>
      <c r="Q1833" s="13">
        <f>CHAIN_RAW!I1833</f>
        <v/>
      </c>
      <c r="R1833" s="13">
        <f>CHAIN_RAW!P1833</f>
        <v/>
      </c>
      <c r="S1833" s="13">
        <f>IFERROR(R1833/Q1833,"")</f>
        <v/>
      </c>
      <c r="T1833" s="13">
        <f>IFERROR((ABS(N1833-O1833)/MAX(1,(N1833+O1833)))*EXP(-ABS(E1833-CONTROL!E5)/MAX(1,CONTROL!B8)),"")</f>
        <v/>
      </c>
      <c r="U1833" s="13">
        <f>IFERROR(IF(O1833&gt;N1833,"SUPPORT (PE OI)","RESIST (CE OI)"),"")</f>
        <v/>
      </c>
      <c r="V1833" s="13">
        <f>IFERROR(IF(Q1833&gt;0,IF(R1833&gt;0,"BOTH_ADD","CE_ADD_PE_REDUCE"),IF(R1833&gt;0,"CE_REDUCE_PE_ADD","BOTH_REDUCE")),"")</f>
        <v/>
      </c>
      <c r="W1833" s="13">
        <f>IFERROR( (P1833-1)*0.5 + (M1833)*0.1 - (I1833+J1833)*0.05 + T1833*0.4 ,"")</f>
        <v/>
      </c>
      <c r="X1833" s="13">
        <f>IFERROR(IF(ABS(F1833)&lt;0.01,"ATM/NEAR",""),"")</f>
        <v/>
      </c>
    </row>
    <row r="1834">
      <c r="A1834" s="13">
        <f>CHAIN_RAW!A1834</f>
        <v/>
      </c>
      <c r="B1834" s="14">
        <f>CHAIN_RAW!B1834</f>
        <v/>
      </c>
      <c r="C1834" s="13">
        <f>CHAIN_RAW!C1834</f>
        <v/>
      </c>
      <c r="D1834" s="13">
        <f>CHAIN_RAW!D1834</f>
        <v/>
      </c>
      <c r="E1834" s="13">
        <f>CHAIN_RAW!E1834</f>
        <v/>
      </c>
      <c r="F1834" s="13">
        <f>IFERROR((E1834-D1834)/D1834,"")</f>
        <v/>
      </c>
      <c r="G1834" s="13">
        <f>IFERROR((CHAIN_RAW!K1834+CHAIN_RAW!L1834)/2,"")</f>
        <v/>
      </c>
      <c r="H1834" s="13">
        <f>IFERROR((CHAIN_RAW!R1834+CHAIN_RAW!S1834)/2,"")</f>
        <v/>
      </c>
      <c r="I1834" s="13">
        <f>IFERROR((CHAIN_RAW!L1834-CHAIN_RAW!K1834)/MAX(1E-9, G1834),"")</f>
        <v/>
      </c>
      <c r="J1834" s="13">
        <f>IFERROR((CHAIN_RAW!S1834-CHAIN_RAW!R1834)/MAX(1E-9, H1834),"")</f>
        <v/>
      </c>
      <c r="K1834" s="13">
        <f>CHAIN_RAW!G1834</f>
        <v/>
      </c>
      <c r="L1834" s="13">
        <f>CHAIN_RAW!N1834</f>
        <v/>
      </c>
      <c r="M1834" s="13">
        <f>IFERROR(L1834-K1834,"")</f>
        <v/>
      </c>
      <c r="N1834" s="13">
        <f>CHAIN_RAW!H1834</f>
        <v/>
      </c>
      <c r="O1834" s="13">
        <f>CHAIN_RAW!O1834</f>
        <v/>
      </c>
      <c r="P1834" s="13">
        <f>IFERROR(O1834/N1834,"")</f>
        <v/>
      </c>
      <c r="Q1834" s="13">
        <f>CHAIN_RAW!I1834</f>
        <v/>
      </c>
      <c r="R1834" s="13">
        <f>CHAIN_RAW!P1834</f>
        <v/>
      </c>
      <c r="S1834" s="13">
        <f>IFERROR(R1834/Q1834,"")</f>
        <v/>
      </c>
      <c r="T1834" s="13">
        <f>IFERROR((ABS(N1834-O1834)/MAX(1,(N1834+O1834)))*EXP(-ABS(E1834-CONTROL!E5)/MAX(1,CONTROL!B8)),"")</f>
        <v/>
      </c>
      <c r="U1834" s="13">
        <f>IFERROR(IF(O1834&gt;N1834,"SUPPORT (PE OI)","RESIST (CE OI)"),"")</f>
        <v/>
      </c>
      <c r="V1834" s="13">
        <f>IFERROR(IF(Q1834&gt;0,IF(R1834&gt;0,"BOTH_ADD","CE_ADD_PE_REDUCE"),IF(R1834&gt;0,"CE_REDUCE_PE_ADD","BOTH_REDUCE")),"")</f>
        <v/>
      </c>
      <c r="W1834" s="13">
        <f>IFERROR( (P1834-1)*0.5 + (M1834)*0.1 - (I1834+J1834)*0.05 + T1834*0.4 ,"")</f>
        <v/>
      </c>
      <c r="X1834" s="13">
        <f>IFERROR(IF(ABS(F1834)&lt;0.01,"ATM/NEAR",""),"")</f>
        <v/>
      </c>
    </row>
    <row r="1835">
      <c r="A1835" s="13">
        <f>CHAIN_RAW!A1835</f>
        <v/>
      </c>
      <c r="B1835" s="14">
        <f>CHAIN_RAW!B1835</f>
        <v/>
      </c>
      <c r="C1835" s="13">
        <f>CHAIN_RAW!C1835</f>
        <v/>
      </c>
      <c r="D1835" s="13">
        <f>CHAIN_RAW!D1835</f>
        <v/>
      </c>
      <c r="E1835" s="13">
        <f>CHAIN_RAW!E1835</f>
        <v/>
      </c>
      <c r="F1835" s="13">
        <f>IFERROR((E1835-D1835)/D1835,"")</f>
        <v/>
      </c>
      <c r="G1835" s="13">
        <f>IFERROR((CHAIN_RAW!K1835+CHAIN_RAW!L1835)/2,"")</f>
        <v/>
      </c>
      <c r="H1835" s="13">
        <f>IFERROR((CHAIN_RAW!R1835+CHAIN_RAW!S1835)/2,"")</f>
        <v/>
      </c>
      <c r="I1835" s="13">
        <f>IFERROR((CHAIN_RAW!L1835-CHAIN_RAW!K1835)/MAX(1E-9, G1835),"")</f>
        <v/>
      </c>
      <c r="J1835" s="13">
        <f>IFERROR((CHAIN_RAW!S1835-CHAIN_RAW!R1835)/MAX(1E-9, H1835),"")</f>
        <v/>
      </c>
      <c r="K1835" s="13">
        <f>CHAIN_RAW!G1835</f>
        <v/>
      </c>
      <c r="L1835" s="13">
        <f>CHAIN_RAW!N1835</f>
        <v/>
      </c>
      <c r="M1835" s="13">
        <f>IFERROR(L1835-K1835,"")</f>
        <v/>
      </c>
      <c r="N1835" s="13">
        <f>CHAIN_RAW!H1835</f>
        <v/>
      </c>
      <c r="O1835" s="13">
        <f>CHAIN_RAW!O1835</f>
        <v/>
      </c>
      <c r="P1835" s="13">
        <f>IFERROR(O1835/N1835,"")</f>
        <v/>
      </c>
      <c r="Q1835" s="13">
        <f>CHAIN_RAW!I1835</f>
        <v/>
      </c>
      <c r="R1835" s="13">
        <f>CHAIN_RAW!P1835</f>
        <v/>
      </c>
      <c r="S1835" s="13">
        <f>IFERROR(R1835/Q1835,"")</f>
        <v/>
      </c>
      <c r="T1835" s="13">
        <f>IFERROR((ABS(N1835-O1835)/MAX(1,(N1835+O1835)))*EXP(-ABS(E1835-CONTROL!E5)/MAX(1,CONTROL!B8)),"")</f>
        <v/>
      </c>
      <c r="U1835" s="13">
        <f>IFERROR(IF(O1835&gt;N1835,"SUPPORT (PE OI)","RESIST (CE OI)"),"")</f>
        <v/>
      </c>
      <c r="V1835" s="13">
        <f>IFERROR(IF(Q1835&gt;0,IF(R1835&gt;0,"BOTH_ADD","CE_ADD_PE_REDUCE"),IF(R1835&gt;0,"CE_REDUCE_PE_ADD","BOTH_REDUCE")),"")</f>
        <v/>
      </c>
      <c r="W1835" s="13">
        <f>IFERROR( (P1835-1)*0.5 + (M1835)*0.1 - (I1835+J1835)*0.05 + T1835*0.4 ,"")</f>
        <v/>
      </c>
      <c r="X1835" s="13">
        <f>IFERROR(IF(ABS(F1835)&lt;0.01,"ATM/NEAR",""),"")</f>
        <v/>
      </c>
    </row>
    <row r="1836">
      <c r="A1836" s="13">
        <f>CHAIN_RAW!A1836</f>
        <v/>
      </c>
      <c r="B1836" s="14">
        <f>CHAIN_RAW!B1836</f>
        <v/>
      </c>
      <c r="C1836" s="13">
        <f>CHAIN_RAW!C1836</f>
        <v/>
      </c>
      <c r="D1836" s="13">
        <f>CHAIN_RAW!D1836</f>
        <v/>
      </c>
      <c r="E1836" s="13">
        <f>CHAIN_RAW!E1836</f>
        <v/>
      </c>
      <c r="F1836" s="13">
        <f>IFERROR((E1836-D1836)/D1836,"")</f>
        <v/>
      </c>
      <c r="G1836" s="13">
        <f>IFERROR((CHAIN_RAW!K1836+CHAIN_RAW!L1836)/2,"")</f>
        <v/>
      </c>
      <c r="H1836" s="13">
        <f>IFERROR((CHAIN_RAW!R1836+CHAIN_RAW!S1836)/2,"")</f>
        <v/>
      </c>
      <c r="I1836" s="13">
        <f>IFERROR((CHAIN_RAW!L1836-CHAIN_RAW!K1836)/MAX(1E-9, G1836),"")</f>
        <v/>
      </c>
      <c r="J1836" s="13">
        <f>IFERROR((CHAIN_RAW!S1836-CHAIN_RAW!R1836)/MAX(1E-9, H1836),"")</f>
        <v/>
      </c>
      <c r="K1836" s="13">
        <f>CHAIN_RAW!G1836</f>
        <v/>
      </c>
      <c r="L1836" s="13">
        <f>CHAIN_RAW!N1836</f>
        <v/>
      </c>
      <c r="M1836" s="13">
        <f>IFERROR(L1836-K1836,"")</f>
        <v/>
      </c>
      <c r="N1836" s="13">
        <f>CHAIN_RAW!H1836</f>
        <v/>
      </c>
      <c r="O1836" s="13">
        <f>CHAIN_RAW!O1836</f>
        <v/>
      </c>
      <c r="P1836" s="13">
        <f>IFERROR(O1836/N1836,"")</f>
        <v/>
      </c>
      <c r="Q1836" s="13">
        <f>CHAIN_RAW!I1836</f>
        <v/>
      </c>
      <c r="R1836" s="13">
        <f>CHAIN_RAW!P1836</f>
        <v/>
      </c>
      <c r="S1836" s="13">
        <f>IFERROR(R1836/Q1836,"")</f>
        <v/>
      </c>
      <c r="T1836" s="13">
        <f>IFERROR((ABS(N1836-O1836)/MAX(1,(N1836+O1836)))*EXP(-ABS(E1836-CONTROL!E5)/MAX(1,CONTROL!B8)),"")</f>
        <v/>
      </c>
      <c r="U1836" s="13">
        <f>IFERROR(IF(O1836&gt;N1836,"SUPPORT (PE OI)","RESIST (CE OI)"),"")</f>
        <v/>
      </c>
      <c r="V1836" s="13">
        <f>IFERROR(IF(Q1836&gt;0,IF(R1836&gt;0,"BOTH_ADD","CE_ADD_PE_REDUCE"),IF(R1836&gt;0,"CE_REDUCE_PE_ADD","BOTH_REDUCE")),"")</f>
        <v/>
      </c>
      <c r="W1836" s="13">
        <f>IFERROR( (P1836-1)*0.5 + (M1836)*0.1 - (I1836+J1836)*0.05 + T1836*0.4 ,"")</f>
        <v/>
      </c>
      <c r="X1836" s="13">
        <f>IFERROR(IF(ABS(F1836)&lt;0.01,"ATM/NEAR",""),"")</f>
        <v/>
      </c>
    </row>
    <row r="1837">
      <c r="A1837" s="13">
        <f>CHAIN_RAW!A1837</f>
        <v/>
      </c>
      <c r="B1837" s="14">
        <f>CHAIN_RAW!B1837</f>
        <v/>
      </c>
      <c r="C1837" s="13">
        <f>CHAIN_RAW!C1837</f>
        <v/>
      </c>
      <c r="D1837" s="13">
        <f>CHAIN_RAW!D1837</f>
        <v/>
      </c>
      <c r="E1837" s="13">
        <f>CHAIN_RAW!E1837</f>
        <v/>
      </c>
      <c r="F1837" s="13">
        <f>IFERROR((E1837-D1837)/D1837,"")</f>
        <v/>
      </c>
      <c r="G1837" s="13">
        <f>IFERROR((CHAIN_RAW!K1837+CHAIN_RAW!L1837)/2,"")</f>
        <v/>
      </c>
      <c r="H1837" s="13">
        <f>IFERROR((CHAIN_RAW!R1837+CHAIN_RAW!S1837)/2,"")</f>
        <v/>
      </c>
      <c r="I1837" s="13">
        <f>IFERROR((CHAIN_RAW!L1837-CHAIN_RAW!K1837)/MAX(1E-9, G1837),"")</f>
        <v/>
      </c>
      <c r="J1837" s="13">
        <f>IFERROR((CHAIN_RAW!S1837-CHAIN_RAW!R1837)/MAX(1E-9, H1837),"")</f>
        <v/>
      </c>
      <c r="K1837" s="13">
        <f>CHAIN_RAW!G1837</f>
        <v/>
      </c>
      <c r="L1837" s="13">
        <f>CHAIN_RAW!N1837</f>
        <v/>
      </c>
      <c r="M1837" s="13">
        <f>IFERROR(L1837-K1837,"")</f>
        <v/>
      </c>
      <c r="N1837" s="13">
        <f>CHAIN_RAW!H1837</f>
        <v/>
      </c>
      <c r="O1837" s="13">
        <f>CHAIN_RAW!O1837</f>
        <v/>
      </c>
      <c r="P1837" s="13">
        <f>IFERROR(O1837/N1837,"")</f>
        <v/>
      </c>
      <c r="Q1837" s="13">
        <f>CHAIN_RAW!I1837</f>
        <v/>
      </c>
      <c r="R1837" s="13">
        <f>CHAIN_RAW!P1837</f>
        <v/>
      </c>
      <c r="S1837" s="13">
        <f>IFERROR(R1837/Q1837,"")</f>
        <v/>
      </c>
      <c r="T1837" s="13">
        <f>IFERROR((ABS(N1837-O1837)/MAX(1,(N1837+O1837)))*EXP(-ABS(E1837-CONTROL!E5)/MAX(1,CONTROL!B8)),"")</f>
        <v/>
      </c>
      <c r="U1837" s="13">
        <f>IFERROR(IF(O1837&gt;N1837,"SUPPORT (PE OI)","RESIST (CE OI)"),"")</f>
        <v/>
      </c>
      <c r="V1837" s="13">
        <f>IFERROR(IF(Q1837&gt;0,IF(R1837&gt;0,"BOTH_ADD","CE_ADD_PE_REDUCE"),IF(R1837&gt;0,"CE_REDUCE_PE_ADD","BOTH_REDUCE")),"")</f>
        <v/>
      </c>
      <c r="W1837" s="13">
        <f>IFERROR( (P1837-1)*0.5 + (M1837)*0.1 - (I1837+J1837)*0.05 + T1837*0.4 ,"")</f>
        <v/>
      </c>
      <c r="X1837" s="13">
        <f>IFERROR(IF(ABS(F1837)&lt;0.01,"ATM/NEAR",""),"")</f>
        <v/>
      </c>
    </row>
    <row r="1838">
      <c r="A1838" s="13">
        <f>CHAIN_RAW!A1838</f>
        <v/>
      </c>
      <c r="B1838" s="14">
        <f>CHAIN_RAW!B1838</f>
        <v/>
      </c>
      <c r="C1838" s="13">
        <f>CHAIN_RAW!C1838</f>
        <v/>
      </c>
      <c r="D1838" s="13">
        <f>CHAIN_RAW!D1838</f>
        <v/>
      </c>
      <c r="E1838" s="13">
        <f>CHAIN_RAW!E1838</f>
        <v/>
      </c>
      <c r="F1838" s="13">
        <f>IFERROR((E1838-D1838)/D1838,"")</f>
        <v/>
      </c>
      <c r="G1838" s="13">
        <f>IFERROR((CHAIN_RAW!K1838+CHAIN_RAW!L1838)/2,"")</f>
        <v/>
      </c>
      <c r="H1838" s="13">
        <f>IFERROR((CHAIN_RAW!R1838+CHAIN_RAW!S1838)/2,"")</f>
        <v/>
      </c>
      <c r="I1838" s="13">
        <f>IFERROR((CHAIN_RAW!L1838-CHAIN_RAW!K1838)/MAX(1E-9, G1838),"")</f>
        <v/>
      </c>
      <c r="J1838" s="13">
        <f>IFERROR((CHAIN_RAW!S1838-CHAIN_RAW!R1838)/MAX(1E-9, H1838),"")</f>
        <v/>
      </c>
      <c r="K1838" s="13">
        <f>CHAIN_RAW!G1838</f>
        <v/>
      </c>
      <c r="L1838" s="13">
        <f>CHAIN_RAW!N1838</f>
        <v/>
      </c>
      <c r="M1838" s="13">
        <f>IFERROR(L1838-K1838,"")</f>
        <v/>
      </c>
      <c r="N1838" s="13">
        <f>CHAIN_RAW!H1838</f>
        <v/>
      </c>
      <c r="O1838" s="13">
        <f>CHAIN_RAW!O1838</f>
        <v/>
      </c>
      <c r="P1838" s="13">
        <f>IFERROR(O1838/N1838,"")</f>
        <v/>
      </c>
      <c r="Q1838" s="13">
        <f>CHAIN_RAW!I1838</f>
        <v/>
      </c>
      <c r="R1838" s="13">
        <f>CHAIN_RAW!P1838</f>
        <v/>
      </c>
      <c r="S1838" s="13">
        <f>IFERROR(R1838/Q1838,"")</f>
        <v/>
      </c>
      <c r="T1838" s="13">
        <f>IFERROR((ABS(N1838-O1838)/MAX(1,(N1838+O1838)))*EXP(-ABS(E1838-CONTROL!E5)/MAX(1,CONTROL!B8)),"")</f>
        <v/>
      </c>
      <c r="U1838" s="13">
        <f>IFERROR(IF(O1838&gt;N1838,"SUPPORT (PE OI)","RESIST (CE OI)"),"")</f>
        <v/>
      </c>
      <c r="V1838" s="13">
        <f>IFERROR(IF(Q1838&gt;0,IF(R1838&gt;0,"BOTH_ADD","CE_ADD_PE_REDUCE"),IF(R1838&gt;0,"CE_REDUCE_PE_ADD","BOTH_REDUCE")),"")</f>
        <v/>
      </c>
      <c r="W1838" s="13">
        <f>IFERROR( (P1838-1)*0.5 + (M1838)*0.1 - (I1838+J1838)*0.05 + T1838*0.4 ,"")</f>
        <v/>
      </c>
      <c r="X1838" s="13">
        <f>IFERROR(IF(ABS(F1838)&lt;0.01,"ATM/NEAR",""),"")</f>
        <v/>
      </c>
    </row>
    <row r="1839">
      <c r="A1839" s="13">
        <f>CHAIN_RAW!A1839</f>
        <v/>
      </c>
      <c r="B1839" s="14">
        <f>CHAIN_RAW!B1839</f>
        <v/>
      </c>
      <c r="C1839" s="13">
        <f>CHAIN_RAW!C1839</f>
        <v/>
      </c>
      <c r="D1839" s="13">
        <f>CHAIN_RAW!D1839</f>
        <v/>
      </c>
      <c r="E1839" s="13">
        <f>CHAIN_RAW!E1839</f>
        <v/>
      </c>
      <c r="F1839" s="13">
        <f>IFERROR((E1839-D1839)/D1839,"")</f>
        <v/>
      </c>
      <c r="G1839" s="13">
        <f>IFERROR((CHAIN_RAW!K1839+CHAIN_RAW!L1839)/2,"")</f>
        <v/>
      </c>
      <c r="H1839" s="13">
        <f>IFERROR((CHAIN_RAW!R1839+CHAIN_RAW!S1839)/2,"")</f>
        <v/>
      </c>
      <c r="I1839" s="13">
        <f>IFERROR((CHAIN_RAW!L1839-CHAIN_RAW!K1839)/MAX(1E-9, G1839),"")</f>
        <v/>
      </c>
      <c r="J1839" s="13">
        <f>IFERROR((CHAIN_RAW!S1839-CHAIN_RAW!R1839)/MAX(1E-9, H1839),"")</f>
        <v/>
      </c>
      <c r="K1839" s="13">
        <f>CHAIN_RAW!G1839</f>
        <v/>
      </c>
      <c r="L1839" s="13">
        <f>CHAIN_RAW!N1839</f>
        <v/>
      </c>
      <c r="M1839" s="13">
        <f>IFERROR(L1839-K1839,"")</f>
        <v/>
      </c>
      <c r="N1839" s="13">
        <f>CHAIN_RAW!H1839</f>
        <v/>
      </c>
      <c r="O1839" s="13">
        <f>CHAIN_RAW!O1839</f>
        <v/>
      </c>
      <c r="P1839" s="13">
        <f>IFERROR(O1839/N1839,"")</f>
        <v/>
      </c>
      <c r="Q1839" s="13">
        <f>CHAIN_RAW!I1839</f>
        <v/>
      </c>
      <c r="R1839" s="13">
        <f>CHAIN_RAW!P1839</f>
        <v/>
      </c>
      <c r="S1839" s="13">
        <f>IFERROR(R1839/Q1839,"")</f>
        <v/>
      </c>
      <c r="T1839" s="13">
        <f>IFERROR((ABS(N1839-O1839)/MAX(1,(N1839+O1839)))*EXP(-ABS(E1839-CONTROL!E5)/MAX(1,CONTROL!B8)),"")</f>
        <v/>
      </c>
      <c r="U1839" s="13">
        <f>IFERROR(IF(O1839&gt;N1839,"SUPPORT (PE OI)","RESIST (CE OI)"),"")</f>
        <v/>
      </c>
      <c r="V1839" s="13">
        <f>IFERROR(IF(Q1839&gt;0,IF(R1839&gt;0,"BOTH_ADD","CE_ADD_PE_REDUCE"),IF(R1839&gt;0,"CE_REDUCE_PE_ADD","BOTH_REDUCE")),"")</f>
        <v/>
      </c>
      <c r="W1839" s="13">
        <f>IFERROR( (P1839-1)*0.5 + (M1839)*0.1 - (I1839+J1839)*0.05 + T1839*0.4 ,"")</f>
        <v/>
      </c>
      <c r="X1839" s="13">
        <f>IFERROR(IF(ABS(F1839)&lt;0.01,"ATM/NEAR",""),"")</f>
        <v/>
      </c>
    </row>
    <row r="1840">
      <c r="A1840" s="13">
        <f>CHAIN_RAW!A1840</f>
        <v/>
      </c>
      <c r="B1840" s="14">
        <f>CHAIN_RAW!B1840</f>
        <v/>
      </c>
      <c r="C1840" s="13">
        <f>CHAIN_RAW!C1840</f>
        <v/>
      </c>
      <c r="D1840" s="13">
        <f>CHAIN_RAW!D1840</f>
        <v/>
      </c>
      <c r="E1840" s="13">
        <f>CHAIN_RAW!E1840</f>
        <v/>
      </c>
      <c r="F1840" s="13">
        <f>IFERROR((E1840-D1840)/D1840,"")</f>
        <v/>
      </c>
      <c r="G1840" s="13">
        <f>IFERROR((CHAIN_RAW!K1840+CHAIN_RAW!L1840)/2,"")</f>
        <v/>
      </c>
      <c r="H1840" s="13">
        <f>IFERROR((CHAIN_RAW!R1840+CHAIN_RAW!S1840)/2,"")</f>
        <v/>
      </c>
      <c r="I1840" s="13">
        <f>IFERROR((CHAIN_RAW!L1840-CHAIN_RAW!K1840)/MAX(1E-9, G1840),"")</f>
        <v/>
      </c>
      <c r="J1840" s="13">
        <f>IFERROR((CHAIN_RAW!S1840-CHAIN_RAW!R1840)/MAX(1E-9, H1840),"")</f>
        <v/>
      </c>
      <c r="K1840" s="13">
        <f>CHAIN_RAW!G1840</f>
        <v/>
      </c>
      <c r="L1840" s="13">
        <f>CHAIN_RAW!N1840</f>
        <v/>
      </c>
      <c r="M1840" s="13">
        <f>IFERROR(L1840-K1840,"")</f>
        <v/>
      </c>
      <c r="N1840" s="13">
        <f>CHAIN_RAW!H1840</f>
        <v/>
      </c>
      <c r="O1840" s="13">
        <f>CHAIN_RAW!O1840</f>
        <v/>
      </c>
      <c r="P1840" s="13">
        <f>IFERROR(O1840/N1840,"")</f>
        <v/>
      </c>
      <c r="Q1840" s="13">
        <f>CHAIN_RAW!I1840</f>
        <v/>
      </c>
      <c r="R1840" s="13">
        <f>CHAIN_RAW!P1840</f>
        <v/>
      </c>
      <c r="S1840" s="13">
        <f>IFERROR(R1840/Q1840,"")</f>
        <v/>
      </c>
      <c r="T1840" s="13">
        <f>IFERROR((ABS(N1840-O1840)/MAX(1,(N1840+O1840)))*EXP(-ABS(E1840-CONTROL!E5)/MAX(1,CONTROL!B8)),"")</f>
        <v/>
      </c>
      <c r="U1840" s="13">
        <f>IFERROR(IF(O1840&gt;N1840,"SUPPORT (PE OI)","RESIST (CE OI)"),"")</f>
        <v/>
      </c>
      <c r="V1840" s="13">
        <f>IFERROR(IF(Q1840&gt;0,IF(R1840&gt;0,"BOTH_ADD","CE_ADD_PE_REDUCE"),IF(R1840&gt;0,"CE_REDUCE_PE_ADD","BOTH_REDUCE")),"")</f>
        <v/>
      </c>
      <c r="W1840" s="13">
        <f>IFERROR( (P1840-1)*0.5 + (M1840)*0.1 - (I1840+J1840)*0.05 + T1840*0.4 ,"")</f>
        <v/>
      </c>
      <c r="X1840" s="13">
        <f>IFERROR(IF(ABS(F1840)&lt;0.01,"ATM/NEAR",""),"")</f>
        <v/>
      </c>
    </row>
    <row r="1841">
      <c r="A1841" s="13">
        <f>CHAIN_RAW!A1841</f>
        <v/>
      </c>
      <c r="B1841" s="14">
        <f>CHAIN_RAW!B1841</f>
        <v/>
      </c>
      <c r="C1841" s="13">
        <f>CHAIN_RAW!C1841</f>
        <v/>
      </c>
      <c r="D1841" s="13">
        <f>CHAIN_RAW!D1841</f>
        <v/>
      </c>
      <c r="E1841" s="13">
        <f>CHAIN_RAW!E1841</f>
        <v/>
      </c>
      <c r="F1841" s="13">
        <f>IFERROR((E1841-D1841)/D1841,"")</f>
        <v/>
      </c>
      <c r="G1841" s="13">
        <f>IFERROR((CHAIN_RAW!K1841+CHAIN_RAW!L1841)/2,"")</f>
        <v/>
      </c>
      <c r="H1841" s="13">
        <f>IFERROR((CHAIN_RAW!R1841+CHAIN_RAW!S1841)/2,"")</f>
        <v/>
      </c>
      <c r="I1841" s="13">
        <f>IFERROR((CHAIN_RAW!L1841-CHAIN_RAW!K1841)/MAX(1E-9, G1841),"")</f>
        <v/>
      </c>
      <c r="J1841" s="13">
        <f>IFERROR((CHAIN_RAW!S1841-CHAIN_RAW!R1841)/MAX(1E-9, H1841),"")</f>
        <v/>
      </c>
      <c r="K1841" s="13">
        <f>CHAIN_RAW!G1841</f>
        <v/>
      </c>
      <c r="L1841" s="13">
        <f>CHAIN_RAW!N1841</f>
        <v/>
      </c>
      <c r="M1841" s="13">
        <f>IFERROR(L1841-K1841,"")</f>
        <v/>
      </c>
      <c r="N1841" s="13">
        <f>CHAIN_RAW!H1841</f>
        <v/>
      </c>
      <c r="O1841" s="13">
        <f>CHAIN_RAW!O1841</f>
        <v/>
      </c>
      <c r="P1841" s="13">
        <f>IFERROR(O1841/N1841,"")</f>
        <v/>
      </c>
      <c r="Q1841" s="13">
        <f>CHAIN_RAW!I1841</f>
        <v/>
      </c>
      <c r="R1841" s="13">
        <f>CHAIN_RAW!P1841</f>
        <v/>
      </c>
      <c r="S1841" s="13">
        <f>IFERROR(R1841/Q1841,"")</f>
        <v/>
      </c>
      <c r="T1841" s="13">
        <f>IFERROR((ABS(N1841-O1841)/MAX(1,(N1841+O1841)))*EXP(-ABS(E1841-CONTROL!E5)/MAX(1,CONTROL!B8)),"")</f>
        <v/>
      </c>
      <c r="U1841" s="13">
        <f>IFERROR(IF(O1841&gt;N1841,"SUPPORT (PE OI)","RESIST (CE OI)"),"")</f>
        <v/>
      </c>
      <c r="V1841" s="13">
        <f>IFERROR(IF(Q1841&gt;0,IF(R1841&gt;0,"BOTH_ADD","CE_ADD_PE_REDUCE"),IF(R1841&gt;0,"CE_REDUCE_PE_ADD","BOTH_REDUCE")),"")</f>
        <v/>
      </c>
      <c r="W1841" s="13">
        <f>IFERROR( (P1841-1)*0.5 + (M1841)*0.1 - (I1841+J1841)*0.05 + T1841*0.4 ,"")</f>
        <v/>
      </c>
      <c r="X1841" s="13">
        <f>IFERROR(IF(ABS(F1841)&lt;0.01,"ATM/NEAR",""),"")</f>
        <v/>
      </c>
    </row>
    <row r="1842">
      <c r="A1842" s="13">
        <f>CHAIN_RAW!A1842</f>
        <v/>
      </c>
      <c r="B1842" s="14">
        <f>CHAIN_RAW!B1842</f>
        <v/>
      </c>
      <c r="C1842" s="13">
        <f>CHAIN_RAW!C1842</f>
        <v/>
      </c>
      <c r="D1842" s="13">
        <f>CHAIN_RAW!D1842</f>
        <v/>
      </c>
      <c r="E1842" s="13">
        <f>CHAIN_RAW!E1842</f>
        <v/>
      </c>
      <c r="F1842" s="13">
        <f>IFERROR((E1842-D1842)/D1842,"")</f>
        <v/>
      </c>
      <c r="G1842" s="13">
        <f>IFERROR((CHAIN_RAW!K1842+CHAIN_RAW!L1842)/2,"")</f>
        <v/>
      </c>
      <c r="H1842" s="13">
        <f>IFERROR((CHAIN_RAW!R1842+CHAIN_RAW!S1842)/2,"")</f>
        <v/>
      </c>
      <c r="I1842" s="13">
        <f>IFERROR((CHAIN_RAW!L1842-CHAIN_RAW!K1842)/MAX(1E-9, G1842),"")</f>
        <v/>
      </c>
      <c r="J1842" s="13">
        <f>IFERROR((CHAIN_RAW!S1842-CHAIN_RAW!R1842)/MAX(1E-9, H1842),"")</f>
        <v/>
      </c>
      <c r="K1842" s="13">
        <f>CHAIN_RAW!G1842</f>
        <v/>
      </c>
      <c r="L1842" s="13">
        <f>CHAIN_RAW!N1842</f>
        <v/>
      </c>
      <c r="M1842" s="13">
        <f>IFERROR(L1842-K1842,"")</f>
        <v/>
      </c>
      <c r="N1842" s="13">
        <f>CHAIN_RAW!H1842</f>
        <v/>
      </c>
      <c r="O1842" s="13">
        <f>CHAIN_RAW!O1842</f>
        <v/>
      </c>
      <c r="P1842" s="13">
        <f>IFERROR(O1842/N1842,"")</f>
        <v/>
      </c>
      <c r="Q1842" s="13">
        <f>CHAIN_RAW!I1842</f>
        <v/>
      </c>
      <c r="R1842" s="13">
        <f>CHAIN_RAW!P1842</f>
        <v/>
      </c>
      <c r="S1842" s="13">
        <f>IFERROR(R1842/Q1842,"")</f>
        <v/>
      </c>
      <c r="T1842" s="13">
        <f>IFERROR((ABS(N1842-O1842)/MAX(1,(N1842+O1842)))*EXP(-ABS(E1842-CONTROL!E5)/MAX(1,CONTROL!B8)),"")</f>
        <v/>
      </c>
      <c r="U1842" s="13">
        <f>IFERROR(IF(O1842&gt;N1842,"SUPPORT (PE OI)","RESIST (CE OI)"),"")</f>
        <v/>
      </c>
      <c r="V1842" s="13">
        <f>IFERROR(IF(Q1842&gt;0,IF(R1842&gt;0,"BOTH_ADD","CE_ADD_PE_REDUCE"),IF(R1842&gt;0,"CE_REDUCE_PE_ADD","BOTH_REDUCE")),"")</f>
        <v/>
      </c>
      <c r="W1842" s="13">
        <f>IFERROR( (P1842-1)*0.5 + (M1842)*0.1 - (I1842+J1842)*0.05 + T1842*0.4 ,"")</f>
        <v/>
      </c>
      <c r="X1842" s="13">
        <f>IFERROR(IF(ABS(F1842)&lt;0.01,"ATM/NEAR",""),"")</f>
        <v/>
      </c>
    </row>
    <row r="1843">
      <c r="A1843" s="13">
        <f>CHAIN_RAW!A1843</f>
        <v/>
      </c>
      <c r="B1843" s="14">
        <f>CHAIN_RAW!B1843</f>
        <v/>
      </c>
      <c r="C1843" s="13">
        <f>CHAIN_RAW!C1843</f>
        <v/>
      </c>
      <c r="D1843" s="13">
        <f>CHAIN_RAW!D1843</f>
        <v/>
      </c>
      <c r="E1843" s="13">
        <f>CHAIN_RAW!E1843</f>
        <v/>
      </c>
      <c r="F1843" s="13">
        <f>IFERROR((E1843-D1843)/D1843,"")</f>
        <v/>
      </c>
      <c r="G1843" s="13">
        <f>IFERROR((CHAIN_RAW!K1843+CHAIN_RAW!L1843)/2,"")</f>
        <v/>
      </c>
      <c r="H1843" s="13">
        <f>IFERROR((CHAIN_RAW!R1843+CHAIN_RAW!S1843)/2,"")</f>
        <v/>
      </c>
      <c r="I1843" s="13">
        <f>IFERROR((CHAIN_RAW!L1843-CHAIN_RAW!K1843)/MAX(1E-9, G1843),"")</f>
        <v/>
      </c>
      <c r="J1843" s="13">
        <f>IFERROR((CHAIN_RAW!S1843-CHAIN_RAW!R1843)/MAX(1E-9, H1843),"")</f>
        <v/>
      </c>
      <c r="K1843" s="13">
        <f>CHAIN_RAW!G1843</f>
        <v/>
      </c>
      <c r="L1843" s="13">
        <f>CHAIN_RAW!N1843</f>
        <v/>
      </c>
      <c r="M1843" s="13">
        <f>IFERROR(L1843-K1843,"")</f>
        <v/>
      </c>
      <c r="N1843" s="13">
        <f>CHAIN_RAW!H1843</f>
        <v/>
      </c>
      <c r="O1843" s="13">
        <f>CHAIN_RAW!O1843</f>
        <v/>
      </c>
      <c r="P1843" s="13">
        <f>IFERROR(O1843/N1843,"")</f>
        <v/>
      </c>
      <c r="Q1843" s="13">
        <f>CHAIN_RAW!I1843</f>
        <v/>
      </c>
      <c r="R1843" s="13">
        <f>CHAIN_RAW!P1843</f>
        <v/>
      </c>
      <c r="S1843" s="13">
        <f>IFERROR(R1843/Q1843,"")</f>
        <v/>
      </c>
      <c r="T1843" s="13">
        <f>IFERROR((ABS(N1843-O1843)/MAX(1,(N1843+O1843)))*EXP(-ABS(E1843-CONTROL!E5)/MAX(1,CONTROL!B8)),"")</f>
        <v/>
      </c>
      <c r="U1843" s="13">
        <f>IFERROR(IF(O1843&gt;N1843,"SUPPORT (PE OI)","RESIST (CE OI)"),"")</f>
        <v/>
      </c>
      <c r="V1843" s="13">
        <f>IFERROR(IF(Q1843&gt;0,IF(R1843&gt;0,"BOTH_ADD","CE_ADD_PE_REDUCE"),IF(R1843&gt;0,"CE_REDUCE_PE_ADD","BOTH_REDUCE")),"")</f>
        <v/>
      </c>
      <c r="W1843" s="13">
        <f>IFERROR( (P1843-1)*0.5 + (M1843)*0.1 - (I1843+J1843)*0.05 + T1843*0.4 ,"")</f>
        <v/>
      </c>
      <c r="X1843" s="13">
        <f>IFERROR(IF(ABS(F1843)&lt;0.01,"ATM/NEAR",""),"")</f>
        <v/>
      </c>
    </row>
    <row r="1844">
      <c r="A1844" s="13">
        <f>CHAIN_RAW!A1844</f>
        <v/>
      </c>
      <c r="B1844" s="14">
        <f>CHAIN_RAW!B1844</f>
        <v/>
      </c>
      <c r="C1844" s="13">
        <f>CHAIN_RAW!C1844</f>
        <v/>
      </c>
      <c r="D1844" s="13">
        <f>CHAIN_RAW!D1844</f>
        <v/>
      </c>
      <c r="E1844" s="13">
        <f>CHAIN_RAW!E1844</f>
        <v/>
      </c>
      <c r="F1844" s="13">
        <f>IFERROR((E1844-D1844)/D1844,"")</f>
        <v/>
      </c>
      <c r="G1844" s="13">
        <f>IFERROR((CHAIN_RAW!K1844+CHAIN_RAW!L1844)/2,"")</f>
        <v/>
      </c>
      <c r="H1844" s="13">
        <f>IFERROR((CHAIN_RAW!R1844+CHAIN_RAW!S1844)/2,"")</f>
        <v/>
      </c>
      <c r="I1844" s="13">
        <f>IFERROR((CHAIN_RAW!L1844-CHAIN_RAW!K1844)/MAX(1E-9, G1844),"")</f>
        <v/>
      </c>
      <c r="J1844" s="13">
        <f>IFERROR((CHAIN_RAW!S1844-CHAIN_RAW!R1844)/MAX(1E-9, H1844),"")</f>
        <v/>
      </c>
      <c r="K1844" s="13">
        <f>CHAIN_RAW!G1844</f>
        <v/>
      </c>
      <c r="L1844" s="13">
        <f>CHAIN_RAW!N1844</f>
        <v/>
      </c>
      <c r="M1844" s="13">
        <f>IFERROR(L1844-K1844,"")</f>
        <v/>
      </c>
      <c r="N1844" s="13">
        <f>CHAIN_RAW!H1844</f>
        <v/>
      </c>
      <c r="O1844" s="13">
        <f>CHAIN_RAW!O1844</f>
        <v/>
      </c>
      <c r="P1844" s="13">
        <f>IFERROR(O1844/N1844,"")</f>
        <v/>
      </c>
      <c r="Q1844" s="13">
        <f>CHAIN_RAW!I1844</f>
        <v/>
      </c>
      <c r="R1844" s="13">
        <f>CHAIN_RAW!P1844</f>
        <v/>
      </c>
      <c r="S1844" s="13">
        <f>IFERROR(R1844/Q1844,"")</f>
        <v/>
      </c>
      <c r="T1844" s="13">
        <f>IFERROR((ABS(N1844-O1844)/MAX(1,(N1844+O1844)))*EXP(-ABS(E1844-CONTROL!E5)/MAX(1,CONTROL!B8)),"")</f>
        <v/>
      </c>
      <c r="U1844" s="13">
        <f>IFERROR(IF(O1844&gt;N1844,"SUPPORT (PE OI)","RESIST (CE OI)"),"")</f>
        <v/>
      </c>
      <c r="V1844" s="13">
        <f>IFERROR(IF(Q1844&gt;0,IF(R1844&gt;0,"BOTH_ADD","CE_ADD_PE_REDUCE"),IF(R1844&gt;0,"CE_REDUCE_PE_ADD","BOTH_REDUCE")),"")</f>
        <v/>
      </c>
      <c r="W1844" s="13">
        <f>IFERROR( (P1844-1)*0.5 + (M1844)*0.1 - (I1844+J1844)*0.05 + T1844*0.4 ,"")</f>
        <v/>
      </c>
      <c r="X1844" s="13">
        <f>IFERROR(IF(ABS(F1844)&lt;0.01,"ATM/NEAR",""),"")</f>
        <v/>
      </c>
    </row>
    <row r="1845">
      <c r="A1845" s="13">
        <f>CHAIN_RAW!A1845</f>
        <v/>
      </c>
      <c r="B1845" s="14">
        <f>CHAIN_RAW!B1845</f>
        <v/>
      </c>
      <c r="C1845" s="13">
        <f>CHAIN_RAW!C1845</f>
        <v/>
      </c>
      <c r="D1845" s="13">
        <f>CHAIN_RAW!D1845</f>
        <v/>
      </c>
      <c r="E1845" s="13">
        <f>CHAIN_RAW!E1845</f>
        <v/>
      </c>
      <c r="F1845" s="13">
        <f>IFERROR((E1845-D1845)/D1845,"")</f>
        <v/>
      </c>
      <c r="G1845" s="13">
        <f>IFERROR((CHAIN_RAW!K1845+CHAIN_RAW!L1845)/2,"")</f>
        <v/>
      </c>
      <c r="H1845" s="13">
        <f>IFERROR((CHAIN_RAW!R1845+CHAIN_RAW!S1845)/2,"")</f>
        <v/>
      </c>
      <c r="I1845" s="13">
        <f>IFERROR((CHAIN_RAW!L1845-CHAIN_RAW!K1845)/MAX(1E-9, G1845),"")</f>
        <v/>
      </c>
      <c r="J1845" s="13">
        <f>IFERROR((CHAIN_RAW!S1845-CHAIN_RAW!R1845)/MAX(1E-9, H1845),"")</f>
        <v/>
      </c>
      <c r="K1845" s="13">
        <f>CHAIN_RAW!G1845</f>
        <v/>
      </c>
      <c r="L1845" s="13">
        <f>CHAIN_RAW!N1845</f>
        <v/>
      </c>
      <c r="M1845" s="13">
        <f>IFERROR(L1845-K1845,"")</f>
        <v/>
      </c>
      <c r="N1845" s="13">
        <f>CHAIN_RAW!H1845</f>
        <v/>
      </c>
      <c r="O1845" s="13">
        <f>CHAIN_RAW!O1845</f>
        <v/>
      </c>
      <c r="P1845" s="13">
        <f>IFERROR(O1845/N1845,"")</f>
        <v/>
      </c>
      <c r="Q1845" s="13">
        <f>CHAIN_RAW!I1845</f>
        <v/>
      </c>
      <c r="R1845" s="13">
        <f>CHAIN_RAW!P1845</f>
        <v/>
      </c>
      <c r="S1845" s="13">
        <f>IFERROR(R1845/Q1845,"")</f>
        <v/>
      </c>
      <c r="T1845" s="13">
        <f>IFERROR((ABS(N1845-O1845)/MAX(1,(N1845+O1845)))*EXP(-ABS(E1845-CONTROL!E5)/MAX(1,CONTROL!B8)),"")</f>
        <v/>
      </c>
      <c r="U1845" s="13">
        <f>IFERROR(IF(O1845&gt;N1845,"SUPPORT (PE OI)","RESIST (CE OI)"),"")</f>
        <v/>
      </c>
      <c r="V1845" s="13">
        <f>IFERROR(IF(Q1845&gt;0,IF(R1845&gt;0,"BOTH_ADD","CE_ADD_PE_REDUCE"),IF(R1845&gt;0,"CE_REDUCE_PE_ADD","BOTH_REDUCE")),"")</f>
        <v/>
      </c>
      <c r="W1845" s="13">
        <f>IFERROR( (P1845-1)*0.5 + (M1845)*0.1 - (I1845+J1845)*0.05 + T1845*0.4 ,"")</f>
        <v/>
      </c>
      <c r="X1845" s="13">
        <f>IFERROR(IF(ABS(F1845)&lt;0.01,"ATM/NEAR",""),"")</f>
        <v/>
      </c>
    </row>
    <row r="1846">
      <c r="A1846" s="13">
        <f>CHAIN_RAW!A1846</f>
        <v/>
      </c>
      <c r="B1846" s="14">
        <f>CHAIN_RAW!B1846</f>
        <v/>
      </c>
      <c r="C1846" s="13">
        <f>CHAIN_RAW!C1846</f>
        <v/>
      </c>
      <c r="D1846" s="13">
        <f>CHAIN_RAW!D1846</f>
        <v/>
      </c>
      <c r="E1846" s="13">
        <f>CHAIN_RAW!E1846</f>
        <v/>
      </c>
      <c r="F1846" s="13">
        <f>IFERROR((E1846-D1846)/D1846,"")</f>
        <v/>
      </c>
      <c r="G1846" s="13">
        <f>IFERROR((CHAIN_RAW!K1846+CHAIN_RAW!L1846)/2,"")</f>
        <v/>
      </c>
      <c r="H1846" s="13">
        <f>IFERROR((CHAIN_RAW!R1846+CHAIN_RAW!S1846)/2,"")</f>
        <v/>
      </c>
      <c r="I1846" s="13">
        <f>IFERROR((CHAIN_RAW!L1846-CHAIN_RAW!K1846)/MAX(1E-9, G1846),"")</f>
        <v/>
      </c>
      <c r="J1846" s="13">
        <f>IFERROR((CHAIN_RAW!S1846-CHAIN_RAW!R1846)/MAX(1E-9, H1846),"")</f>
        <v/>
      </c>
      <c r="K1846" s="13">
        <f>CHAIN_RAW!G1846</f>
        <v/>
      </c>
      <c r="L1846" s="13">
        <f>CHAIN_RAW!N1846</f>
        <v/>
      </c>
      <c r="M1846" s="13">
        <f>IFERROR(L1846-K1846,"")</f>
        <v/>
      </c>
      <c r="N1846" s="13">
        <f>CHAIN_RAW!H1846</f>
        <v/>
      </c>
      <c r="O1846" s="13">
        <f>CHAIN_RAW!O1846</f>
        <v/>
      </c>
      <c r="P1846" s="13">
        <f>IFERROR(O1846/N1846,"")</f>
        <v/>
      </c>
      <c r="Q1846" s="13">
        <f>CHAIN_RAW!I1846</f>
        <v/>
      </c>
      <c r="R1846" s="13">
        <f>CHAIN_RAW!P1846</f>
        <v/>
      </c>
      <c r="S1846" s="13">
        <f>IFERROR(R1846/Q1846,"")</f>
        <v/>
      </c>
      <c r="T1846" s="13">
        <f>IFERROR((ABS(N1846-O1846)/MAX(1,(N1846+O1846)))*EXP(-ABS(E1846-CONTROL!E5)/MAX(1,CONTROL!B8)),"")</f>
        <v/>
      </c>
      <c r="U1846" s="13">
        <f>IFERROR(IF(O1846&gt;N1846,"SUPPORT (PE OI)","RESIST (CE OI)"),"")</f>
        <v/>
      </c>
      <c r="V1846" s="13">
        <f>IFERROR(IF(Q1846&gt;0,IF(R1846&gt;0,"BOTH_ADD","CE_ADD_PE_REDUCE"),IF(R1846&gt;0,"CE_REDUCE_PE_ADD","BOTH_REDUCE")),"")</f>
        <v/>
      </c>
      <c r="W1846" s="13">
        <f>IFERROR( (P1846-1)*0.5 + (M1846)*0.1 - (I1846+J1846)*0.05 + T1846*0.4 ,"")</f>
        <v/>
      </c>
      <c r="X1846" s="13">
        <f>IFERROR(IF(ABS(F1846)&lt;0.01,"ATM/NEAR",""),"")</f>
        <v/>
      </c>
    </row>
    <row r="1847">
      <c r="A1847" s="13">
        <f>CHAIN_RAW!A1847</f>
        <v/>
      </c>
      <c r="B1847" s="14">
        <f>CHAIN_RAW!B1847</f>
        <v/>
      </c>
      <c r="C1847" s="13">
        <f>CHAIN_RAW!C1847</f>
        <v/>
      </c>
      <c r="D1847" s="13">
        <f>CHAIN_RAW!D1847</f>
        <v/>
      </c>
      <c r="E1847" s="13">
        <f>CHAIN_RAW!E1847</f>
        <v/>
      </c>
      <c r="F1847" s="13">
        <f>IFERROR((E1847-D1847)/D1847,"")</f>
        <v/>
      </c>
      <c r="G1847" s="13">
        <f>IFERROR((CHAIN_RAW!K1847+CHAIN_RAW!L1847)/2,"")</f>
        <v/>
      </c>
      <c r="H1847" s="13">
        <f>IFERROR((CHAIN_RAW!R1847+CHAIN_RAW!S1847)/2,"")</f>
        <v/>
      </c>
      <c r="I1847" s="13">
        <f>IFERROR((CHAIN_RAW!L1847-CHAIN_RAW!K1847)/MAX(1E-9, G1847),"")</f>
        <v/>
      </c>
      <c r="J1847" s="13">
        <f>IFERROR((CHAIN_RAW!S1847-CHAIN_RAW!R1847)/MAX(1E-9, H1847),"")</f>
        <v/>
      </c>
      <c r="K1847" s="13">
        <f>CHAIN_RAW!G1847</f>
        <v/>
      </c>
      <c r="L1847" s="13">
        <f>CHAIN_RAW!N1847</f>
        <v/>
      </c>
      <c r="M1847" s="13">
        <f>IFERROR(L1847-K1847,"")</f>
        <v/>
      </c>
      <c r="N1847" s="13">
        <f>CHAIN_RAW!H1847</f>
        <v/>
      </c>
      <c r="O1847" s="13">
        <f>CHAIN_RAW!O1847</f>
        <v/>
      </c>
      <c r="P1847" s="13">
        <f>IFERROR(O1847/N1847,"")</f>
        <v/>
      </c>
      <c r="Q1847" s="13">
        <f>CHAIN_RAW!I1847</f>
        <v/>
      </c>
      <c r="R1847" s="13">
        <f>CHAIN_RAW!P1847</f>
        <v/>
      </c>
      <c r="S1847" s="13">
        <f>IFERROR(R1847/Q1847,"")</f>
        <v/>
      </c>
      <c r="T1847" s="13">
        <f>IFERROR((ABS(N1847-O1847)/MAX(1,(N1847+O1847)))*EXP(-ABS(E1847-CONTROL!E5)/MAX(1,CONTROL!B8)),"")</f>
        <v/>
      </c>
      <c r="U1847" s="13">
        <f>IFERROR(IF(O1847&gt;N1847,"SUPPORT (PE OI)","RESIST (CE OI)"),"")</f>
        <v/>
      </c>
      <c r="V1847" s="13">
        <f>IFERROR(IF(Q1847&gt;0,IF(R1847&gt;0,"BOTH_ADD","CE_ADD_PE_REDUCE"),IF(R1847&gt;0,"CE_REDUCE_PE_ADD","BOTH_REDUCE")),"")</f>
        <v/>
      </c>
      <c r="W1847" s="13">
        <f>IFERROR( (P1847-1)*0.5 + (M1847)*0.1 - (I1847+J1847)*0.05 + T1847*0.4 ,"")</f>
        <v/>
      </c>
      <c r="X1847" s="13">
        <f>IFERROR(IF(ABS(F1847)&lt;0.01,"ATM/NEAR",""),"")</f>
        <v/>
      </c>
    </row>
    <row r="1848">
      <c r="A1848" s="13">
        <f>CHAIN_RAW!A1848</f>
        <v/>
      </c>
      <c r="B1848" s="14">
        <f>CHAIN_RAW!B1848</f>
        <v/>
      </c>
      <c r="C1848" s="13">
        <f>CHAIN_RAW!C1848</f>
        <v/>
      </c>
      <c r="D1848" s="13">
        <f>CHAIN_RAW!D1848</f>
        <v/>
      </c>
      <c r="E1848" s="13">
        <f>CHAIN_RAW!E1848</f>
        <v/>
      </c>
      <c r="F1848" s="13">
        <f>IFERROR((E1848-D1848)/D1848,"")</f>
        <v/>
      </c>
      <c r="G1848" s="13">
        <f>IFERROR((CHAIN_RAW!K1848+CHAIN_RAW!L1848)/2,"")</f>
        <v/>
      </c>
      <c r="H1848" s="13">
        <f>IFERROR((CHAIN_RAW!R1848+CHAIN_RAW!S1848)/2,"")</f>
        <v/>
      </c>
      <c r="I1848" s="13">
        <f>IFERROR((CHAIN_RAW!L1848-CHAIN_RAW!K1848)/MAX(1E-9, G1848),"")</f>
        <v/>
      </c>
      <c r="J1848" s="13">
        <f>IFERROR((CHAIN_RAW!S1848-CHAIN_RAW!R1848)/MAX(1E-9, H1848),"")</f>
        <v/>
      </c>
      <c r="K1848" s="13">
        <f>CHAIN_RAW!G1848</f>
        <v/>
      </c>
      <c r="L1848" s="13">
        <f>CHAIN_RAW!N1848</f>
        <v/>
      </c>
      <c r="M1848" s="13">
        <f>IFERROR(L1848-K1848,"")</f>
        <v/>
      </c>
      <c r="N1848" s="13">
        <f>CHAIN_RAW!H1848</f>
        <v/>
      </c>
      <c r="O1848" s="13">
        <f>CHAIN_RAW!O1848</f>
        <v/>
      </c>
      <c r="P1848" s="13">
        <f>IFERROR(O1848/N1848,"")</f>
        <v/>
      </c>
      <c r="Q1848" s="13">
        <f>CHAIN_RAW!I1848</f>
        <v/>
      </c>
      <c r="R1848" s="13">
        <f>CHAIN_RAW!P1848</f>
        <v/>
      </c>
      <c r="S1848" s="13">
        <f>IFERROR(R1848/Q1848,"")</f>
        <v/>
      </c>
      <c r="T1848" s="13">
        <f>IFERROR((ABS(N1848-O1848)/MAX(1,(N1848+O1848)))*EXP(-ABS(E1848-CONTROL!E5)/MAX(1,CONTROL!B8)),"")</f>
        <v/>
      </c>
      <c r="U1848" s="13">
        <f>IFERROR(IF(O1848&gt;N1848,"SUPPORT (PE OI)","RESIST (CE OI)"),"")</f>
        <v/>
      </c>
      <c r="V1848" s="13">
        <f>IFERROR(IF(Q1848&gt;0,IF(R1848&gt;0,"BOTH_ADD","CE_ADD_PE_REDUCE"),IF(R1848&gt;0,"CE_REDUCE_PE_ADD","BOTH_REDUCE")),"")</f>
        <v/>
      </c>
      <c r="W1848" s="13">
        <f>IFERROR( (P1848-1)*0.5 + (M1848)*0.1 - (I1848+J1848)*0.05 + T1848*0.4 ,"")</f>
        <v/>
      </c>
      <c r="X1848" s="13">
        <f>IFERROR(IF(ABS(F1848)&lt;0.01,"ATM/NEAR",""),"")</f>
        <v/>
      </c>
    </row>
    <row r="1849">
      <c r="A1849" s="13">
        <f>CHAIN_RAW!A1849</f>
        <v/>
      </c>
      <c r="B1849" s="14">
        <f>CHAIN_RAW!B1849</f>
        <v/>
      </c>
      <c r="C1849" s="13">
        <f>CHAIN_RAW!C1849</f>
        <v/>
      </c>
      <c r="D1849" s="13">
        <f>CHAIN_RAW!D1849</f>
        <v/>
      </c>
      <c r="E1849" s="13">
        <f>CHAIN_RAW!E1849</f>
        <v/>
      </c>
      <c r="F1849" s="13">
        <f>IFERROR((E1849-D1849)/D1849,"")</f>
        <v/>
      </c>
      <c r="G1849" s="13">
        <f>IFERROR((CHAIN_RAW!K1849+CHAIN_RAW!L1849)/2,"")</f>
        <v/>
      </c>
      <c r="H1849" s="13">
        <f>IFERROR((CHAIN_RAW!R1849+CHAIN_RAW!S1849)/2,"")</f>
        <v/>
      </c>
      <c r="I1849" s="13">
        <f>IFERROR((CHAIN_RAW!L1849-CHAIN_RAW!K1849)/MAX(1E-9, G1849),"")</f>
        <v/>
      </c>
      <c r="J1849" s="13">
        <f>IFERROR((CHAIN_RAW!S1849-CHAIN_RAW!R1849)/MAX(1E-9, H1849),"")</f>
        <v/>
      </c>
      <c r="K1849" s="13">
        <f>CHAIN_RAW!G1849</f>
        <v/>
      </c>
      <c r="L1849" s="13">
        <f>CHAIN_RAW!N1849</f>
        <v/>
      </c>
      <c r="M1849" s="13">
        <f>IFERROR(L1849-K1849,"")</f>
        <v/>
      </c>
      <c r="N1849" s="13">
        <f>CHAIN_RAW!H1849</f>
        <v/>
      </c>
      <c r="O1849" s="13">
        <f>CHAIN_RAW!O1849</f>
        <v/>
      </c>
      <c r="P1849" s="13">
        <f>IFERROR(O1849/N1849,"")</f>
        <v/>
      </c>
      <c r="Q1849" s="13">
        <f>CHAIN_RAW!I1849</f>
        <v/>
      </c>
      <c r="R1849" s="13">
        <f>CHAIN_RAW!P1849</f>
        <v/>
      </c>
      <c r="S1849" s="13">
        <f>IFERROR(R1849/Q1849,"")</f>
        <v/>
      </c>
      <c r="T1849" s="13">
        <f>IFERROR((ABS(N1849-O1849)/MAX(1,(N1849+O1849)))*EXP(-ABS(E1849-CONTROL!E5)/MAX(1,CONTROL!B8)),"")</f>
        <v/>
      </c>
      <c r="U1849" s="13">
        <f>IFERROR(IF(O1849&gt;N1849,"SUPPORT (PE OI)","RESIST (CE OI)"),"")</f>
        <v/>
      </c>
      <c r="V1849" s="13">
        <f>IFERROR(IF(Q1849&gt;0,IF(R1849&gt;0,"BOTH_ADD","CE_ADD_PE_REDUCE"),IF(R1849&gt;0,"CE_REDUCE_PE_ADD","BOTH_REDUCE")),"")</f>
        <v/>
      </c>
      <c r="W1849" s="13">
        <f>IFERROR( (P1849-1)*0.5 + (M1849)*0.1 - (I1849+J1849)*0.05 + T1849*0.4 ,"")</f>
        <v/>
      </c>
      <c r="X1849" s="13">
        <f>IFERROR(IF(ABS(F1849)&lt;0.01,"ATM/NEAR",""),"")</f>
        <v/>
      </c>
    </row>
    <row r="1850">
      <c r="A1850" s="13">
        <f>CHAIN_RAW!A1850</f>
        <v/>
      </c>
      <c r="B1850" s="14">
        <f>CHAIN_RAW!B1850</f>
        <v/>
      </c>
      <c r="C1850" s="13">
        <f>CHAIN_RAW!C1850</f>
        <v/>
      </c>
      <c r="D1850" s="13">
        <f>CHAIN_RAW!D1850</f>
        <v/>
      </c>
      <c r="E1850" s="13">
        <f>CHAIN_RAW!E1850</f>
        <v/>
      </c>
      <c r="F1850" s="13">
        <f>IFERROR((E1850-D1850)/D1850,"")</f>
        <v/>
      </c>
      <c r="G1850" s="13">
        <f>IFERROR((CHAIN_RAW!K1850+CHAIN_RAW!L1850)/2,"")</f>
        <v/>
      </c>
      <c r="H1850" s="13">
        <f>IFERROR((CHAIN_RAW!R1850+CHAIN_RAW!S1850)/2,"")</f>
        <v/>
      </c>
      <c r="I1850" s="13">
        <f>IFERROR((CHAIN_RAW!L1850-CHAIN_RAW!K1850)/MAX(1E-9, G1850),"")</f>
        <v/>
      </c>
      <c r="J1850" s="13">
        <f>IFERROR((CHAIN_RAW!S1850-CHAIN_RAW!R1850)/MAX(1E-9, H1850),"")</f>
        <v/>
      </c>
      <c r="K1850" s="13">
        <f>CHAIN_RAW!G1850</f>
        <v/>
      </c>
      <c r="L1850" s="13">
        <f>CHAIN_RAW!N1850</f>
        <v/>
      </c>
      <c r="M1850" s="13">
        <f>IFERROR(L1850-K1850,"")</f>
        <v/>
      </c>
      <c r="N1850" s="13">
        <f>CHAIN_RAW!H1850</f>
        <v/>
      </c>
      <c r="O1850" s="13">
        <f>CHAIN_RAW!O1850</f>
        <v/>
      </c>
      <c r="P1850" s="13">
        <f>IFERROR(O1850/N1850,"")</f>
        <v/>
      </c>
      <c r="Q1850" s="13">
        <f>CHAIN_RAW!I1850</f>
        <v/>
      </c>
      <c r="R1850" s="13">
        <f>CHAIN_RAW!P1850</f>
        <v/>
      </c>
      <c r="S1850" s="13">
        <f>IFERROR(R1850/Q1850,"")</f>
        <v/>
      </c>
      <c r="T1850" s="13">
        <f>IFERROR((ABS(N1850-O1850)/MAX(1,(N1850+O1850)))*EXP(-ABS(E1850-CONTROL!E5)/MAX(1,CONTROL!B8)),"")</f>
        <v/>
      </c>
      <c r="U1850" s="13">
        <f>IFERROR(IF(O1850&gt;N1850,"SUPPORT (PE OI)","RESIST (CE OI)"),"")</f>
        <v/>
      </c>
      <c r="V1850" s="13">
        <f>IFERROR(IF(Q1850&gt;0,IF(R1850&gt;0,"BOTH_ADD","CE_ADD_PE_REDUCE"),IF(R1850&gt;0,"CE_REDUCE_PE_ADD","BOTH_REDUCE")),"")</f>
        <v/>
      </c>
      <c r="W1850" s="13">
        <f>IFERROR( (P1850-1)*0.5 + (M1850)*0.1 - (I1850+J1850)*0.05 + T1850*0.4 ,"")</f>
        <v/>
      </c>
      <c r="X1850" s="13">
        <f>IFERROR(IF(ABS(F1850)&lt;0.01,"ATM/NEAR",""),"")</f>
        <v/>
      </c>
    </row>
    <row r="1851">
      <c r="A1851" s="13">
        <f>CHAIN_RAW!A1851</f>
        <v/>
      </c>
      <c r="B1851" s="14">
        <f>CHAIN_RAW!B1851</f>
        <v/>
      </c>
      <c r="C1851" s="13">
        <f>CHAIN_RAW!C1851</f>
        <v/>
      </c>
      <c r="D1851" s="13">
        <f>CHAIN_RAW!D1851</f>
        <v/>
      </c>
      <c r="E1851" s="13">
        <f>CHAIN_RAW!E1851</f>
        <v/>
      </c>
      <c r="F1851" s="13">
        <f>IFERROR((E1851-D1851)/D1851,"")</f>
        <v/>
      </c>
      <c r="G1851" s="13">
        <f>IFERROR((CHAIN_RAW!K1851+CHAIN_RAW!L1851)/2,"")</f>
        <v/>
      </c>
      <c r="H1851" s="13">
        <f>IFERROR((CHAIN_RAW!R1851+CHAIN_RAW!S1851)/2,"")</f>
        <v/>
      </c>
      <c r="I1851" s="13">
        <f>IFERROR((CHAIN_RAW!L1851-CHAIN_RAW!K1851)/MAX(1E-9, G1851),"")</f>
        <v/>
      </c>
      <c r="J1851" s="13">
        <f>IFERROR((CHAIN_RAW!S1851-CHAIN_RAW!R1851)/MAX(1E-9, H1851),"")</f>
        <v/>
      </c>
      <c r="K1851" s="13">
        <f>CHAIN_RAW!G1851</f>
        <v/>
      </c>
      <c r="L1851" s="13">
        <f>CHAIN_RAW!N1851</f>
        <v/>
      </c>
      <c r="M1851" s="13">
        <f>IFERROR(L1851-K1851,"")</f>
        <v/>
      </c>
      <c r="N1851" s="13">
        <f>CHAIN_RAW!H1851</f>
        <v/>
      </c>
      <c r="O1851" s="13">
        <f>CHAIN_RAW!O1851</f>
        <v/>
      </c>
      <c r="P1851" s="13">
        <f>IFERROR(O1851/N1851,"")</f>
        <v/>
      </c>
      <c r="Q1851" s="13">
        <f>CHAIN_RAW!I1851</f>
        <v/>
      </c>
      <c r="R1851" s="13">
        <f>CHAIN_RAW!P1851</f>
        <v/>
      </c>
      <c r="S1851" s="13">
        <f>IFERROR(R1851/Q1851,"")</f>
        <v/>
      </c>
      <c r="T1851" s="13">
        <f>IFERROR((ABS(N1851-O1851)/MAX(1,(N1851+O1851)))*EXP(-ABS(E1851-CONTROL!E5)/MAX(1,CONTROL!B8)),"")</f>
        <v/>
      </c>
      <c r="U1851" s="13">
        <f>IFERROR(IF(O1851&gt;N1851,"SUPPORT (PE OI)","RESIST (CE OI)"),"")</f>
        <v/>
      </c>
      <c r="V1851" s="13">
        <f>IFERROR(IF(Q1851&gt;0,IF(R1851&gt;0,"BOTH_ADD","CE_ADD_PE_REDUCE"),IF(R1851&gt;0,"CE_REDUCE_PE_ADD","BOTH_REDUCE")),"")</f>
        <v/>
      </c>
      <c r="W1851" s="13">
        <f>IFERROR( (P1851-1)*0.5 + (M1851)*0.1 - (I1851+J1851)*0.05 + T1851*0.4 ,"")</f>
        <v/>
      </c>
      <c r="X1851" s="13">
        <f>IFERROR(IF(ABS(F1851)&lt;0.01,"ATM/NEAR",""),"")</f>
        <v/>
      </c>
    </row>
    <row r="1852">
      <c r="A1852" s="13">
        <f>CHAIN_RAW!A1852</f>
        <v/>
      </c>
      <c r="B1852" s="14">
        <f>CHAIN_RAW!B1852</f>
        <v/>
      </c>
      <c r="C1852" s="13">
        <f>CHAIN_RAW!C1852</f>
        <v/>
      </c>
      <c r="D1852" s="13">
        <f>CHAIN_RAW!D1852</f>
        <v/>
      </c>
      <c r="E1852" s="13">
        <f>CHAIN_RAW!E1852</f>
        <v/>
      </c>
      <c r="F1852" s="13">
        <f>IFERROR((E1852-D1852)/D1852,"")</f>
        <v/>
      </c>
      <c r="G1852" s="13">
        <f>IFERROR((CHAIN_RAW!K1852+CHAIN_RAW!L1852)/2,"")</f>
        <v/>
      </c>
      <c r="H1852" s="13">
        <f>IFERROR((CHAIN_RAW!R1852+CHAIN_RAW!S1852)/2,"")</f>
        <v/>
      </c>
      <c r="I1852" s="13">
        <f>IFERROR((CHAIN_RAW!L1852-CHAIN_RAW!K1852)/MAX(1E-9, G1852),"")</f>
        <v/>
      </c>
      <c r="J1852" s="13">
        <f>IFERROR((CHAIN_RAW!S1852-CHAIN_RAW!R1852)/MAX(1E-9, H1852),"")</f>
        <v/>
      </c>
      <c r="K1852" s="13">
        <f>CHAIN_RAW!G1852</f>
        <v/>
      </c>
      <c r="L1852" s="13">
        <f>CHAIN_RAW!N1852</f>
        <v/>
      </c>
      <c r="M1852" s="13">
        <f>IFERROR(L1852-K1852,"")</f>
        <v/>
      </c>
      <c r="N1852" s="13">
        <f>CHAIN_RAW!H1852</f>
        <v/>
      </c>
      <c r="O1852" s="13">
        <f>CHAIN_RAW!O1852</f>
        <v/>
      </c>
      <c r="P1852" s="13">
        <f>IFERROR(O1852/N1852,"")</f>
        <v/>
      </c>
      <c r="Q1852" s="13">
        <f>CHAIN_RAW!I1852</f>
        <v/>
      </c>
      <c r="R1852" s="13">
        <f>CHAIN_RAW!P1852</f>
        <v/>
      </c>
      <c r="S1852" s="13">
        <f>IFERROR(R1852/Q1852,"")</f>
        <v/>
      </c>
      <c r="T1852" s="13">
        <f>IFERROR((ABS(N1852-O1852)/MAX(1,(N1852+O1852)))*EXP(-ABS(E1852-CONTROL!E5)/MAX(1,CONTROL!B8)),"")</f>
        <v/>
      </c>
      <c r="U1852" s="13">
        <f>IFERROR(IF(O1852&gt;N1852,"SUPPORT (PE OI)","RESIST (CE OI)"),"")</f>
        <v/>
      </c>
      <c r="V1852" s="13">
        <f>IFERROR(IF(Q1852&gt;0,IF(R1852&gt;0,"BOTH_ADD","CE_ADD_PE_REDUCE"),IF(R1852&gt;0,"CE_REDUCE_PE_ADD","BOTH_REDUCE")),"")</f>
        <v/>
      </c>
      <c r="W1852" s="13">
        <f>IFERROR( (P1852-1)*0.5 + (M1852)*0.1 - (I1852+J1852)*0.05 + T1852*0.4 ,"")</f>
        <v/>
      </c>
      <c r="X1852" s="13">
        <f>IFERROR(IF(ABS(F1852)&lt;0.01,"ATM/NEAR",""),"")</f>
        <v/>
      </c>
    </row>
    <row r="1853">
      <c r="A1853" s="13">
        <f>CHAIN_RAW!A1853</f>
        <v/>
      </c>
      <c r="B1853" s="14">
        <f>CHAIN_RAW!B1853</f>
        <v/>
      </c>
      <c r="C1853" s="13">
        <f>CHAIN_RAW!C1853</f>
        <v/>
      </c>
      <c r="D1853" s="13">
        <f>CHAIN_RAW!D1853</f>
        <v/>
      </c>
      <c r="E1853" s="13">
        <f>CHAIN_RAW!E1853</f>
        <v/>
      </c>
      <c r="F1853" s="13">
        <f>IFERROR((E1853-D1853)/D1853,"")</f>
        <v/>
      </c>
      <c r="G1853" s="13">
        <f>IFERROR((CHAIN_RAW!K1853+CHAIN_RAW!L1853)/2,"")</f>
        <v/>
      </c>
      <c r="H1853" s="13">
        <f>IFERROR((CHAIN_RAW!R1853+CHAIN_RAW!S1853)/2,"")</f>
        <v/>
      </c>
      <c r="I1853" s="13">
        <f>IFERROR((CHAIN_RAW!L1853-CHAIN_RAW!K1853)/MAX(1E-9, G1853),"")</f>
        <v/>
      </c>
      <c r="J1853" s="13">
        <f>IFERROR((CHAIN_RAW!S1853-CHAIN_RAW!R1853)/MAX(1E-9, H1853),"")</f>
        <v/>
      </c>
      <c r="K1853" s="13">
        <f>CHAIN_RAW!G1853</f>
        <v/>
      </c>
      <c r="L1853" s="13">
        <f>CHAIN_RAW!N1853</f>
        <v/>
      </c>
      <c r="M1853" s="13">
        <f>IFERROR(L1853-K1853,"")</f>
        <v/>
      </c>
      <c r="N1853" s="13">
        <f>CHAIN_RAW!H1853</f>
        <v/>
      </c>
      <c r="O1853" s="13">
        <f>CHAIN_RAW!O1853</f>
        <v/>
      </c>
      <c r="P1853" s="13">
        <f>IFERROR(O1853/N1853,"")</f>
        <v/>
      </c>
      <c r="Q1853" s="13">
        <f>CHAIN_RAW!I1853</f>
        <v/>
      </c>
      <c r="R1853" s="13">
        <f>CHAIN_RAW!P1853</f>
        <v/>
      </c>
      <c r="S1853" s="13">
        <f>IFERROR(R1853/Q1853,"")</f>
        <v/>
      </c>
      <c r="T1853" s="13">
        <f>IFERROR((ABS(N1853-O1853)/MAX(1,(N1853+O1853)))*EXP(-ABS(E1853-CONTROL!E5)/MAX(1,CONTROL!B8)),"")</f>
        <v/>
      </c>
      <c r="U1853" s="13">
        <f>IFERROR(IF(O1853&gt;N1853,"SUPPORT (PE OI)","RESIST (CE OI)"),"")</f>
        <v/>
      </c>
      <c r="V1853" s="13">
        <f>IFERROR(IF(Q1853&gt;0,IF(R1853&gt;0,"BOTH_ADD","CE_ADD_PE_REDUCE"),IF(R1853&gt;0,"CE_REDUCE_PE_ADD","BOTH_REDUCE")),"")</f>
        <v/>
      </c>
      <c r="W1853" s="13">
        <f>IFERROR( (P1853-1)*0.5 + (M1853)*0.1 - (I1853+J1853)*0.05 + T1853*0.4 ,"")</f>
        <v/>
      </c>
      <c r="X1853" s="13">
        <f>IFERROR(IF(ABS(F1853)&lt;0.01,"ATM/NEAR",""),"")</f>
        <v/>
      </c>
    </row>
    <row r="1854">
      <c r="A1854" s="13">
        <f>CHAIN_RAW!A1854</f>
        <v/>
      </c>
      <c r="B1854" s="14">
        <f>CHAIN_RAW!B1854</f>
        <v/>
      </c>
      <c r="C1854" s="13">
        <f>CHAIN_RAW!C1854</f>
        <v/>
      </c>
      <c r="D1854" s="13">
        <f>CHAIN_RAW!D1854</f>
        <v/>
      </c>
      <c r="E1854" s="13">
        <f>CHAIN_RAW!E1854</f>
        <v/>
      </c>
      <c r="F1854" s="13">
        <f>IFERROR((E1854-D1854)/D1854,"")</f>
        <v/>
      </c>
      <c r="G1854" s="13">
        <f>IFERROR((CHAIN_RAW!K1854+CHAIN_RAW!L1854)/2,"")</f>
        <v/>
      </c>
      <c r="H1854" s="13">
        <f>IFERROR((CHAIN_RAW!R1854+CHAIN_RAW!S1854)/2,"")</f>
        <v/>
      </c>
      <c r="I1854" s="13">
        <f>IFERROR((CHAIN_RAW!L1854-CHAIN_RAW!K1854)/MAX(1E-9, G1854),"")</f>
        <v/>
      </c>
      <c r="J1854" s="13">
        <f>IFERROR((CHAIN_RAW!S1854-CHAIN_RAW!R1854)/MAX(1E-9, H1854),"")</f>
        <v/>
      </c>
      <c r="K1854" s="13">
        <f>CHAIN_RAW!G1854</f>
        <v/>
      </c>
      <c r="L1854" s="13">
        <f>CHAIN_RAW!N1854</f>
        <v/>
      </c>
      <c r="M1854" s="13">
        <f>IFERROR(L1854-K1854,"")</f>
        <v/>
      </c>
      <c r="N1854" s="13">
        <f>CHAIN_RAW!H1854</f>
        <v/>
      </c>
      <c r="O1854" s="13">
        <f>CHAIN_RAW!O1854</f>
        <v/>
      </c>
      <c r="P1854" s="13">
        <f>IFERROR(O1854/N1854,"")</f>
        <v/>
      </c>
      <c r="Q1854" s="13">
        <f>CHAIN_RAW!I1854</f>
        <v/>
      </c>
      <c r="R1854" s="13">
        <f>CHAIN_RAW!P1854</f>
        <v/>
      </c>
      <c r="S1854" s="13">
        <f>IFERROR(R1854/Q1854,"")</f>
        <v/>
      </c>
      <c r="T1854" s="13">
        <f>IFERROR((ABS(N1854-O1854)/MAX(1,(N1854+O1854)))*EXP(-ABS(E1854-CONTROL!E5)/MAX(1,CONTROL!B8)),"")</f>
        <v/>
      </c>
      <c r="U1854" s="13">
        <f>IFERROR(IF(O1854&gt;N1854,"SUPPORT (PE OI)","RESIST (CE OI)"),"")</f>
        <v/>
      </c>
      <c r="V1854" s="13">
        <f>IFERROR(IF(Q1854&gt;0,IF(R1854&gt;0,"BOTH_ADD","CE_ADD_PE_REDUCE"),IF(R1854&gt;0,"CE_REDUCE_PE_ADD","BOTH_REDUCE")),"")</f>
        <v/>
      </c>
      <c r="W1854" s="13">
        <f>IFERROR( (P1854-1)*0.5 + (M1854)*0.1 - (I1854+J1854)*0.05 + T1854*0.4 ,"")</f>
        <v/>
      </c>
      <c r="X1854" s="13">
        <f>IFERROR(IF(ABS(F1854)&lt;0.01,"ATM/NEAR",""),"")</f>
        <v/>
      </c>
    </row>
    <row r="1855">
      <c r="A1855" s="13">
        <f>CHAIN_RAW!A1855</f>
        <v/>
      </c>
      <c r="B1855" s="14">
        <f>CHAIN_RAW!B1855</f>
        <v/>
      </c>
      <c r="C1855" s="13">
        <f>CHAIN_RAW!C1855</f>
        <v/>
      </c>
      <c r="D1855" s="13">
        <f>CHAIN_RAW!D1855</f>
        <v/>
      </c>
      <c r="E1855" s="13">
        <f>CHAIN_RAW!E1855</f>
        <v/>
      </c>
      <c r="F1855" s="13">
        <f>IFERROR((E1855-D1855)/D1855,"")</f>
        <v/>
      </c>
      <c r="G1855" s="13">
        <f>IFERROR((CHAIN_RAW!K1855+CHAIN_RAW!L1855)/2,"")</f>
        <v/>
      </c>
      <c r="H1855" s="13">
        <f>IFERROR((CHAIN_RAW!R1855+CHAIN_RAW!S1855)/2,"")</f>
        <v/>
      </c>
      <c r="I1855" s="13">
        <f>IFERROR((CHAIN_RAW!L1855-CHAIN_RAW!K1855)/MAX(1E-9, G1855),"")</f>
        <v/>
      </c>
      <c r="J1855" s="13">
        <f>IFERROR((CHAIN_RAW!S1855-CHAIN_RAW!R1855)/MAX(1E-9, H1855),"")</f>
        <v/>
      </c>
      <c r="K1855" s="13">
        <f>CHAIN_RAW!G1855</f>
        <v/>
      </c>
      <c r="L1855" s="13">
        <f>CHAIN_RAW!N1855</f>
        <v/>
      </c>
      <c r="M1855" s="13">
        <f>IFERROR(L1855-K1855,"")</f>
        <v/>
      </c>
      <c r="N1855" s="13">
        <f>CHAIN_RAW!H1855</f>
        <v/>
      </c>
      <c r="O1855" s="13">
        <f>CHAIN_RAW!O1855</f>
        <v/>
      </c>
      <c r="P1855" s="13">
        <f>IFERROR(O1855/N1855,"")</f>
        <v/>
      </c>
      <c r="Q1855" s="13">
        <f>CHAIN_RAW!I1855</f>
        <v/>
      </c>
      <c r="R1855" s="13">
        <f>CHAIN_RAW!P1855</f>
        <v/>
      </c>
      <c r="S1855" s="13">
        <f>IFERROR(R1855/Q1855,"")</f>
        <v/>
      </c>
      <c r="T1855" s="13">
        <f>IFERROR((ABS(N1855-O1855)/MAX(1,(N1855+O1855)))*EXP(-ABS(E1855-CONTROL!E5)/MAX(1,CONTROL!B8)),"")</f>
        <v/>
      </c>
      <c r="U1855" s="13">
        <f>IFERROR(IF(O1855&gt;N1855,"SUPPORT (PE OI)","RESIST (CE OI)"),"")</f>
        <v/>
      </c>
      <c r="V1855" s="13">
        <f>IFERROR(IF(Q1855&gt;0,IF(R1855&gt;0,"BOTH_ADD","CE_ADD_PE_REDUCE"),IF(R1855&gt;0,"CE_REDUCE_PE_ADD","BOTH_REDUCE")),"")</f>
        <v/>
      </c>
      <c r="W1855" s="13">
        <f>IFERROR( (P1855-1)*0.5 + (M1855)*0.1 - (I1855+J1855)*0.05 + T1855*0.4 ,"")</f>
        <v/>
      </c>
      <c r="X1855" s="13">
        <f>IFERROR(IF(ABS(F1855)&lt;0.01,"ATM/NEAR",""),"")</f>
        <v/>
      </c>
    </row>
    <row r="1856">
      <c r="A1856" s="13">
        <f>CHAIN_RAW!A1856</f>
        <v/>
      </c>
      <c r="B1856" s="14">
        <f>CHAIN_RAW!B1856</f>
        <v/>
      </c>
      <c r="C1856" s="13">
        <f>CHAIN_RAW!C1856</f>
        <v/>
      </c>
      <c r="D1856" s="13">
        <f>CHAIN_RAW!D1856</f>
        <v/>
      </c>
      <c r="E1856" s="13">
        <f>CHAIN_RAW!E1856</f>
        <v/>
      </c>
      <c r="F1856" s="13">
        <f>IFERROR((E1856-D1856)/D1856,"")</f>
        <v/>
      </c>
      <c r="G1856" s="13">
        <f>IFERROR((CHAIN_RAW!K1856+CHAIN_RAW!L1856)/2,"")</f>
        <v/>
      </c>
      <c r="H1856" s="13">
        <f>IFERROR((CHAIN_RAW!R1856+CHAIN_RAW!S1856)/2,"")</f>
        <v/>
      </c>
      <c r="I1856" s="13">
        <f>IFERROR((CHAIN_RAW!L1856-CHAIN_RAW!K1856)/MAX(1E-9, G1856),"")</f>
        <v/>
      </c>
      <c r="J1856" s="13">
        <f>IFERROR((CHAIN_RAW!S1856-CHAIN_RAW!R1856)/MAX(1E-9, H1856),"")</f>
        <v/>
      </c>
      <c r="K1856" s="13">
        <f>CHAIN_RAW!G1856</f>
        <v/>
      </c>
      <c r="L1856" s="13">
        <f>CHAIN_RAW!N1856</f>
        <v/>
      </c>
      <c r="M1856" s="13">
        <f>IFERROR(L1856-K1856,"")</f>
        <v/>
      </c>
      <c r="N1856" s="13">
        <f>CHAIN_RAW!H1856</f>
        <v/>
      </c>
      <c r="O1856" s="13">
        <f>CHAIN_RAW!O1856</f>
        <v/>
      </c>
      <c r="P1856" s="13">
        <f>IFERROR(O1856/N1856,"")</f>
        <v/>
      </c>
      <c r="Q1856" s="13">
        <f>CHAIN_RAW!I1856</f>
        <v/>
      </c>
      <c r="R1856" s="13">
        <f>CHAIN_RAW!P1856</f>
        <v/>
      </c>
      <c r="S1856" s="13">
        <f>IFERROR(R1856/Q1856,"")</f>
        <v/>
      </c>
      <c r="T1856" s="13">
        <f>IFERROR((ABS(N1856-O1856)/MAX(1,(N1856+O1856)))*EXP(-ABS(E1856-CONTROL!E5)/MAX(1,CONTROL!B8)),"")</f>
        <v/>
      </c>
      <c r="U1856" s="13">
        <f>IFERROR(IF(O1856&gt;N1856,"SUPPORT (PE OI)","RESIST (CE OI)"),"")</f>
        <v/>
      </c>
      <c r="V1856" s="13">
        <f>IFERROR(IF(Q1856&gt;0,IF(R1856&gt;0,"BOTH_ADD","CE_ADD_PE_REDUCE"),IF(R1856&gt;0,"CE_REDUCE_PE_ADD","BOTH_REDUCE")),"")</f>
        <v/>
      </c>
      <c r="W1856" s="13">
        <f>IFERROR( (P1856-1)*0.5 + (M1856)*0.1 - (I1856+J1856)*0.05 + T1856*0.4 ,"")</f>
        <v/>
      </c>
      <c r="X1856" s="13">
        <f>IFERROR(IF(ABS(F1856)&lt;0.01,"ATM/NEAR",""),"")</f>
        <v/>
      </c>
    </row>
    <row r="1857">
      <c r="A1857" s="13">
        <f>CHAIN_RAW!A1857</f>
        <v/>
      </c>
      <c r="B1857" s="14">
        <f>CHAIN_RAW!B1857</f>
        <v/>
      </c>
      <c r="C1857" s="13">
        <f>CHAIN_RAW!C1857</f>
        <v/>
      </c>
      <c r="D1857" s="13">
        <f>CHAIN_RAW!D1857</f>
        <v/>
      </c>
      <c r="E1857" s="13">
        <f>CHAIN_RAW!E1857</f>
        <v/>
      </c>
      <c r="F1857" s="13">
        <f>IFERROR((E1857-D1857)/D1857,"")</f>
        <v/>
      </c>
      <c r="G1857" s="13">
        <f>IFERROR((CHAIN_RAW!K1857+CHAIN_RAW!L1857)/2,"")</f>
        <v/>
      </c>
      <c r="H1857" s="13">
        <f>IFERROR((CHAIN_RAW!R1857+CHAIN_RAW!S1857)/2,"")</f>
        <v/>
      </c>
      <c r="I1857" s="13">
        <f>IFERROR((CHAIN_RAW!L1857-CHAIN_RAW!K1857)/MAX(1E-9, G1857),"")</f>
        <v/>
      </c>
      <c r="J1857" s="13">
        <f>IFERROR((CHAIN_RAW!S1857-CHAIN_RAW!R1857)/MAX(1E-9, H1857),"")</f>
        <v/>
      </c>
      <c r="K1857" s="13">
        <f>CHAIN_RAW!G1857</f>
        <v/>
      </c>
      <c r="L1857" s="13">
        <f>CHAIN_RAW!N1857</f>
        <v/>
      </c>
      <c r="M1857" s="13">
        <f>IFERROR(L1857-K1857,"")</f>
        <v/>
      </c>
      <c r="N1857" s="13">
        <f>CHAIN_RAW!H1857</f>
        <v/>
      </c>
      <c r="O1857" s="13">
        <f>CHAIN_RAW!O1857</f>
        <v/>
      </c>
      <c r="P1857" s="13">
        <f>IFERROR(O1857/N1857,"")</f>
        <v/>
      </c>
      <c r="Q1857" s="13">
        <f>CHAIN_RAW!I1857</f>
        <v/>
      </c>
      <c r="R1857" s="13">
        <f>CHAIN_RAW!P1857</f>
        <v/>
      </c>
      <c r="S1857" s="13">
        <f>IFERROR(R1857/Q1857,"")</f>
        <v/>
      </c>
      <c r="T1857" s="13">
        <f>IFERROR((ABS(N1857-O1857)/MAX(1,(N1857+O1857)))*EXP(-ABS(E1857-CONTROL!E5)/MAX(1,CONTROL!B8)),"")</f>
        <v/>
      </c>
      <c r="U1857" s="13">
        <f>IFERROR(IF(O1857&gt;N1857,"SUPPORT (PE OI)","RESIST (CE OI)"),"")</f>
        <v/>
      </c>
      <c r="V1857" s="13">
        <f>IFERROR(IF(Q1857&gt;0,IF(R1857&gt;0,"BOTH_ADD","CE_ADD_PE_REDUCE"),IF(R1857&gt;0,"CE_REDUCE_PE_ADD","BOTH_REDUCE")),"")</f>
        <v/>
      </c>
      <c r="W1857" s="13">
        <f>IFERROR( (P1857-1)*0.5 + (M1857)*0.1 - (I1857+J1857)*0.05 + T1857*0.4 ,"")</f>
        <v/>
      </c>
      <c r="X1857" s="13">
        <f>IFERROR(IF(ABS(F1857)&lt;0.01,"ATM/NEAR",""),"")</f>
        <v/>
      </c>
    </row>
    <row r="1858">
      <c r="A1858" s="13">
        <f>CHAIN_RAW!A1858</f>
        <v/>
      </c>
      <c r="B1858" s="14">
        <f>CHAIN_RAW!B1858</f>
        <v/>
      </c>
      <c r="C1858" s="13">
        <f>CHAIN_RAW!C1858</f>
        <v/>
      </c>
      <c r="D1858" s="13">
        <f>CHAIN_RAW!D1858</f>
        <v/>
      </c>
      <c r="E1858" s="13">
        <f>CHAIN_RAW!E1858</f>
        <v/>
      </c>
      <c r="F1858" s="13">
        <f>IFERROR((E1858-D1858)/D1858,"")</f>
        <v/>
      </c>
      <c r="G1858" s="13">
        <f>IFERROR((CHAIN_RAW!K1858+CHAIN_RAW!L1858)/2,"")</f>
        <v/>
      </c>
      <c r="H1858" s="13">
        <f>IFERROR((CHAIN_RAW!R1858+CHAIN_RAW!S1858)/2,"")</f>
        <v/>
      </c>
      <c r="I1858" s="13">
        <f>IFERROR((CHAIN_RAW!L1858-CHAIN_RAW!K1858)/MAX(1E-9, G1858),"")</f>
        <v/>
      </c>
      <c r="J1858" s="13">
        <f>IFERROR((CHAIN_RAW!S1858-CHAIN_RAW!R1858)/MAX(1E-9, H1858),"")</f>
        <v/>
      </c>
      <c r="K1858" s="13">
        <f>CHAIN_RAW!G1858</f>
        <v/>
      </c>
      <c r="L1858" s="13">
        <f>CHAIN_RAW!N1858</f>
        <v/>
      </c>
      <c r="M1858" s="13">
        <f>IFERROR(L1858-K1858,"")</f>
        <v/>
      </c>
      <c r="N1858" s="13">
        <f>CHAIN_RAW!H1858</f>
        <v/>
      </c>
      <c r="O1858" s="13">
        <f>CHAIN_RAW!O1858</f>
        <v/>
      </c>
      <c r="P1858" s="13">
        <f>IFERROR(O1858/N1858,"")</f>
        <v/>
      </c>
      <c r="Q1858" s="13">
        <f>CHAIN_RAW!I1858</f>
        <v/>
      </c>
      <c r="R1858" s="13">
        <f>CHAIN_RAW!P1858</f>
        <v/>
      </c>
      <c r="S1858" s="13">
        <f>IFERROR(R1858/Q1858,"")</f>
        <v/>
      </c>
      <c r="T1858" s="13">
        <f>IFERROR((ABS(N1858-O1858)/MAX(1,(N1858+O1858)))*EXP(-ABS(E1858-CONTROL!E5)/MAX(1,CONTROL!B8)),"")</f>
        <v/>
      </c>
      <c r="U1858" s="13">
        <f>IFERROR(IF(O1858&gt;N1858,"SUPPORT (PE OI)","RESIST (CE OI)"),"")</f>
        <v/>
      </c>
      <c r="V1858" s="13">
        <f>IFERROR(IF(Q1858&gt;0,IF(R1858&gt;0,"BOTH_ADD","CE_ADD_PE_REDUCE"),IF(R1858&gt;0,"CE_REDUCE_PE_ADD","BOTH_REDUCE")),"")</f>
        <v/>
      </c>
      <c r="W1858" s="13">
        <f>IFERROR( (P1858-1)*0.5 + (M1858)*0.1 - (I1858+J1858)*0.05 + T1858*0.4 ,"")</f>
        <v/>
      </c>
      <c r="X1858" s="13">
        <f>IFERROR(IF(ABS(F1858)&lt;0.01,"ATM/NEAR",""),"")</f>
        <v/>
      </c>
    </row>
    <row r="1859">
      <c r="A1859" s="13">
        <f>CHAIN_RAW!A1859</f>
        <v/>
      </c>
      <c r="B1859" s="14">
        <f>CHAIN_RAW!B1859</f>
        <v/>
      </c>
      <c r="C1859" s="13">
        <f>CHAIN_RAW!C1859</f>
        <v/>
      </c>
      <c r="D1859" s="13">
        <f>CHAIN_RAW!D1859</f>
        <v/>
      </c>
      <c r="E1859" s="13">
        <f>CHAIN_RAW!E1859</f>
        <v/>
      </c>
      <c r="F1859" s="13">
        <f>IFERROR((E1859-D1859)/D1859,"")</f>
        <v/>
      </c>
      <c r="G1859" s="13">
        <f>IFERROR((CHAIN_RAW!K1859+CHAIN_RAW!L1859)/2,"")</f>
        <v/>
      </c>
      <c r="H1859" s="13">
        <f>IFERROR((CHAIN_RAW!R1859+CHAIN_RAW!S1859)/2,"")</f>
        <v/>
      </c>
      <c r="I1859" s="13">
        <f>IFERROR((CHAIN_RAW!L1859-CHAIN_RAW!K1859)/MAX(1E-9, G1859),"")</f>
        <v/>
      </c>
      <c r="J1859" s="13">
        <f>IFERROR((CHAIN_RAW!S1859-CHAIN_RAW!R1859)/MAX(1E-9, H1859),"")</f>
        <v/>
      </c>
      <c r="K1859" s="13">
        <f>CHAIN_RAW!G1859</f>
        <v/>
      </c>
      <c r="L1859" s="13">
        <f>CHAIN_RAW!N1859</f>
        <v/>
      </c>
      <c r="M1859" s="13">
        <f>IFERROR(L1859-K1859,"")</f>
        <v/>
      </c>
      <c r="N1859" s="13">
        <f>CHAIN_RAW!H1859</f>
        <v/>
      </c>
      <c r="O1859" s="13">
        <f>CHAIN_RAW!O1859</f>
        <v/>
      </c>
      <c r="P1859" s="13">
        <f>IFERROR(O1859/N1859,"")</f>
        <v/>
      </c>
      <c r="Q1859" s="13">
        <f>CHAIN_RAW!I1859</f>
        <v/>
      </c>
      <c r="R1859" s="13">
        <f>CHAIN_RAW!P1859</f>
        <v/>
      </c>
      <c r="S1859" s="13">
        <f>IFERROR(R1859/Q1859,"")</f>
        <v/>
      </c>
      <c r="T1859" s="13">
        <f>IFERROR((ABS(N1859-O1859)/MAX(1,(N1859+O1859)))*EXP(-ABS(E1859-CONTROL!E5)/MAX(1,CONTROL!B8)),"")</f>
        <v/>
      </c>
      <c r="U1859" s="13">
        <f>IFERROR(IF(O1859&gt;N1859,"SUPPORT (PE OI)","RESIST (CE OI)"),"")</f>
        <v/>
      </c>
      <c r="V1859" s="13">
        <f>IFERROR(IF(Q1859&gt;0,IF(R1859&gt;0,"BOTH_ADD","CE_ADD_PE_REDUCE"),IF(R1859&gt;0,"CE_REDUCE_PE_ADD","BOTH_REDUCE")),"")</f>
        <v/>
      </c>
      <c r="W1859" s="13">
        <f>IFERROR( (P1859-1)*0.5 + (M1859)*0.1 - (I1859+J1859)*0.05 + T1859*0.4 ,"")</f>
        <v/>
      </c>
      <c r="X1859" s="13">
        <f>IFERROR(IF(ABS(F1859)&lt;0.01,"ATM/NEAR",""),"")</f>
        <v/>
      </c>
    </row>
    <row r="1860">
      <c r="A1860" s="13">
        <f>CHAIN_RAW!A1860</f>
        <v/>
      </c>
      <c r="B1860" s="14">
        <f>CHAIN_RAW!B1860</f>
        <v/>
      </c>
      <c r="C1860" s="13">
        <f>CHAIN_RAW!C1860</f>
        <v/>
      </c>
      <c r="D1860" s="13">
        <f>CHAIN_RAW!D1860</f>
        <v/>
      </c>
      <c r="E1860" s="13">
        <f>CHAIN_RAW!E1860</f>
        <v/>
      </c>
      <c r="F1860" s="13">
        <f>IFERROR((E1860-D1860)/D1860,"")</f>
        <v/>
      </c>
      <c r="G1860" s="13">
        <f>IFERROR((CHAIN_RAW!K1860+CHAIN_RAW!L1860)/2,"")</f>
        <v/>
      </c>
      <c r="H1860" s="13">
        <f>IFERROR((CHAIN_RAW!R1860+CHAIN_RAW!S1860)/2,"")</f>
        <v/>
      </c>
      <c r="I1860" s="13">
        <f>IFERROR((CHAIN_RAW!L1860-CHAIN_RAW!K1860)/MAX(1E-9, G1860),"")</f>
        <v/>
      </c>
      <c r="J1860" s="13">
        <f>IFERROR((CHAIN_RAW!S1860-CHAIN_RAW!R1860)/MAX(1E-9, H1860),"")</f>
        <v/>
      </c>
      <c r="K1860" s="13">
        <f>CHAIN_RAW!G1860</f>
        <v/>
      </c>
      <c r="L1860" s="13">
        <f>CHAIN_RAW!N1860</f>
        <v/>
      </c>
      <c r="M1860" s="13">
        <f>IFERROR(L1860-K1860,"")</f>
        <v/>
      </c>
      <c r="N1860" s="13">
        <f>CHAIN_RAW!H1860</f>
        <v/>
      </c>
      <c r="O1860" s="13">
        <f>CHAIN_RAW!O1860</f>
        <v/>
      </c>
      <c r="P1860" s="13">
        <f>IFERROR(O1860/N1860,"")</f>
        <v/>
      </c>
      <c r="Q1860" s="13">
        <f>CHAIN_RAW!I1860</f>
        <v/>
      </c>
      <c r="R1860" s="13">
        <f>CHAIN_RAW!P1860</f>
        <v/>
      </c>
      <c r="S1860" s="13">
        <f>IFERROR(R1860/Q1860,"")</f>
        <v/>
      </c>
      <c r="T1860" s="13">
        <f>IFERROR((ABS(N1860-O1860)/MAX(1,(N1860+O1860)))*EXP(-ABS(E1860-CONTROL!E5)/MAX(1,CONTROL!B8)),"")</f>
        <v/>
      </c>
      <c r="U1860" s="13">
        <f>IFERROR(IF(O1860&gt;N1860,"SUPPORT (PE OI)","RESIST (CE OI)"),"")</f>
        <v/>
      </c>
      <c r="V1860" s="13">
        <f>IFERROR(IF(Q1860&gt;0,IF(R1860&gt;0,"BOTH_ADD","CE_ADD_PE_REDUCE"),IF(R1860&gt;0,"CE_REDUCE_PE_ADD","BOTH_REDUCE")),"")</f>
        <v/>
      </c>
      <c r="W1860" s="13">
        <f>IFERROR( (P1860-1)*0.5 + (M1860)*0.1 - (I1860+J1860)*0.05 + T1860*0.4 ,"")</f>
        <v/>
      </c>
      <c r="X1860" s="13">
        <f>IFERROR(IF(ABS(F1860)&lt;0.01,"ATM/NEAR",""),"")</f>
        <v/>
      </c>
    </row>
    <row r="1861">
      <c r="A1861" s="13">
        <f>CHAIN_RAW!A1861</f>
        <v/>
      </c>
      <c r="B1861" s="14">
        <f>CHAIN_RAW!B1861</f>
        <v/>
      </c>
      <c r="C1861" s="13">
        <f>CHAIN_RAW!C1861</f>
        <v/>
      </c>
      <c r="D1861" s="13">
        <f>CHAIN_RAW!D1861</f>
        <v/>
      </c>
      <c r="E1861" s="13">
        <f>CHAIN_RAW!E1861</f>
        <v/>
      </c>
      <c r="F1861" s="13">
        <f>IFERROR((E1861-D1861)/D1861,"")</f>
        <v/>
      </c>
      <c r="G1861" s="13">
        <f>IFERROR((CHAIN_RAW!K1861+CHAIN_RAW!L1861)/2,"")</f>
        <v/>
      </c>
      <c r="H1861" s="13">
        <f>IFERROR((CHAIN_RAW!R1861+CHAIN_RAW!S1861)/2,"")</f>
        <v/>
      </c>
      <c r="I1861" s="13">
        <f>IFERROR((CHAIN_RAW!L1861-CHAIN_RAW!K1861)/MAX(1E-9, G1861),"")</f>
        <v/>
      </c>
      <c r="J1861" s="13">
        <f>IFERROR((CHAIN_RAW!S1861-CHAIN_RAW!R1861)/MAX(1E-9, H1861),"")</f>
        <v/>
      </c>
      <c r="K1861" s="13">
        <f>CHAIN_RAW!G1861</f>
        <v/>
      </c>
      <c r="L1861" s="13">
        <f>CHAIN_RAW!N1861</f>
        <v/>
      </c>
      <c r="M1861" s="13">
        <f>IFERROR(L1861-K1861,"")</f>
        <v/>
      </c>
      <c r="N1861" s="13">
        <f>CHAIN_RAW!H1861</f>
        <v/>
      </c>
      <c r="O1861" s="13">
        <f>CHAIN_RAW!O1861</f>
        <v/>
      </c>
      <c r="P1861" s="13">
        <f>IFERROR(O1861/N1861,"")</f>
        <v/>
      </c>
      <c r="Q1861" s="13">
        <f>CHAIN_RAW!I1861</f>
        <v/>
      </c>
      <c r="R1861" s="13">
        <f>CHAIN_RAW!P1861</f>
        <v/>
      </c>
      <c r="S1861" s="13">
        <f>IFERROR(R1861/Q1861,"")</f>
        <v/>
      </c>
      <c r="T1861" s="13">
        <f>IFERROR((ABS(N1861-O1861)/MAX(1,(N1861+O1861)))*EXP(-ABS(E1861-CONTROL!E5)/MAX(1,CONTROL!B8)),"")</f>
        <v/>
      </c>
      <c r="U1861" s="13">
        <f>IFERROR(IF(O1861&gt;N1861,"SUPPORT (PE OI)","RESIST (CE OI)"),"")</f>
        <v/>
      </c>
      <c r="V1861" s="13">
        <f>IFERROR(IF(Q1861&gt;0,IF(R1861&gt;0,"BOTH_ADD","CE_ADD_PE_REDUCE"),IF(R1861&gt;0,"CE_REDUCE_PE_ADD","BOTH_REDUCE")),"")</f>
        <v/>
      </c>
      <c r="W1861" s="13">
        <f>IFERROR( (P1861-1)*0.5 + (M1861)*0.1 - (I1861+J1861)*0.05 + T1861*0.4 ,"")</f>
        <v/>
      </c>
      <c r="X1861" s="13">
        <f>IFERROR(IF(ABS(F1861)&lt;0.01,"ATM/NEAR",""),"")</f>
        <v/>
      </c>
    </row>
    <row r="1862">
      <c r="A1862" s="13">
        <f>CHAIN_RAW!A1862</f>
        <v/>
      </c>
      <c r="B1862" s="14">
        <f>CHAIN_RAW!B1862</f>
        <v/>
      </c>
      <c r="C1862" s="13">
        <f>CHAIN_RAW!C1862</f>
        <v/>
      </c>
      <c r="D1862" s="13">
        <f>CHAIN_RAW!D1862</f>
        <v/>
      </c>
      <c r="E1862" s="13">
        <f>CHAIN_RAW!E1862</f>
        <v/>
      </c>
      <c r="F1862" s="13">
        <f>IFERROR((E1862-D1862)/D1862,"")</f>
        <v/>
      </c>
      <c r="G1862" s="13">
        <f>IFERROR((CHAIN_RAW!K1862+CHAIN_RAW!L1862)/2,"")</f>
        <v/>
      </c>
      <c r="H1862" s="13">
        <f>IFERROR((CHAIN_RAW!R1862+CHAIN_RAW!S1862)/2,"")</f>
        <v/>
      </c>
      <c r="I1862" s="13">
        <f>IFERROR((CHAIN_RAW!L1862-CHAIN_RAW!K1862)/MAX(1E-9, G1862),"")</f>
        <v/>
      </c>
      <c r="J1862" s="13">
        <f>IFERROR((CHAIN_RAW!S1862-CHAIN_RAW!R1862)/MAX(1E-9, H1862),"")</f>
        <v/>
      </c>
      <c r="K1862" s="13">
        <f>CHAIN_RAW!G1862</f>
        <v/>
      </c>
      <c r="L1862" s="13">
        <f>CHAIN_RAW!N1862</f>
        <v/>
      </c>
      <c r="M1862" s="13">
        <f>IFERROR(L1862-K1862,"")</f>
        <v/>
      </c>
      <c r="N1862" s="13">
        <f>CHAIN_RAW!H1862</f>
        <v/>
      </c>
      <c r="O1862" s="13">
        <f>CHAIN_RAW!O1862</f>
        <v/>
      </c>
      <c r="P1862" s="13">
        <f>IFERROR(O1862/N1862,"")</f>
        <v/>
      </c>
      <c r="Q1862" s="13">
        <f>CHAIN_RAW!I1862</f>
        <v/>
      </c>
      <c r="R1862" s="13">
        <f>CHAIN_RAW!P1862</f>
        <v/>
      </c>
      <c r="S1862" s="13">
        <f>IFERROR(R1862/Q1862,"")</f>
        <v/>
      </c>
      <c r="T1862" s="13">
        <f>IFERROR((ABS(N1862-O1862)/MAX(1,(N1862+O1862)))*EXP(-ABS(E1862-CONTROL!E5)/MAX(1,CONTROL!B8)),"")</f>
        <v/>
      </c>
      <c r="U1862" s="13">
        <f>IFERROR(IF(O1862&gt;N1862,"SUPPORT (PE OI)","RESIST (CE OI)"),"")</f>
        <v/>
      </c>
      <c r="V1862" s="13">
        <f>IFERROR(IF(Q1862&gt;0,IF(R1862&gt;0,"BOTH_ADD","CE_ADD_PE_REDUCE"),IF(R1862&gt;0,"CE_REDUCE_PE_ADD","BOTH_REDUCE")),"")</f>
        <v/>
      </c>
      <c r="W1862" s="13">
        <f>IFERROR( (P1862-1)*0.5 + (M1862)*0.1 - (I1862+J1862)*0.05 + T1862*0.4 ,"")</f>
        <v/>
      </c>
      <c r="X1862" s="13">
        <f>IFERROR(IF(ABS(F1862)&lt;0.01,"ATM/NEAR",""),"")</f>
        <v/>
      </c>
    </row>
    <row r="1863">
      <c r="A1863" s="13">
        <f>CHAIN_RAW!A1863</f>
        <v/>
      </c>
      <c r="B1863" s="14">
        <f>CHAIN_RAW!B1863</f>
        <v/>
      </c>
      <c r="C1863" s="13">
        <f>CHAIN_RAW!C1863</f>
        <v/>
      </c>
      <c r="D1863" s="13">
        <f>CHAIN_RAW!D1863</f>
        <v/>
      </c>
      <c r="E1863" s="13">
        <f>CHAIN_RAW!E1863</f>
        <v/>
      </c>
      <c r="F1863" s="13">
        <f>IFERROR((E1863-D1863)/D1863,"")</f>
        <v/>
      </c>
      <c r="G1863" s="13">
        <f>IFERROR((CHAIN_RAW!K1863+CHAIN_RAW!L1863)/2,"")</f>
        <v/>
      </c>
      <c r="H1863" s="13">
        <f>IFERROR((CHAIN_RAW!R1863+CHAIN_RAW!S1863)/2,"")</f>
        <v/>
      </c>
      <c r="I1863" s="13">
        <f>IFERROR((CHAIN_RAW!L1863-CHAIN_RAW!K1863)/MAX(1E-9, G1863),"")</f>
        <v/>
      </c>
      <c r="J1863" s="13">
        <f>IFERROR((CHAIN_RAW!S1863-CHAIN_RAW!R1863)/MAX(1E-9, H1863),"")</f>
        <v/>
      </c>
      <c r="K1863" s="13">
        <f>CHAIN_RAW!G1863</f>
        <v/>
      </c>
      <c r="L1863" s="13">
        <f>CHAIN_RAW!N1863</f>
        <v/>
      </c>
      <c r="M1863" s="13">
        <f>IFERROR(L1863-K1863,"")</f>
        <v/>
      </c>
      <c r="N1863" s="13">
        <f>CHAIN_RAW!H1863</f>
        <v/>
      </c>
      <c r="O1863" s="13">
        <f>CHAIN_RAW!O1863</f>
        <v/>
      </c>
      <c r="P1863" s="13">
        <f>IFERROR(O1863/N1863,"")</f>
        <v/>
      </c>
      <c r="Q1863" s="13">
        <f>CHAIN_RAW!I1863</f>
        <v/>
      </c>
      <c r="R1863" s="13">
        <f>CHAIN_RAW!P1863</f>
        <v/>
      </c>
      <c r="S1863" s="13">
        <f>IFERROR(R1863/Q1863,"")</f>
        <v/>
      </c>
      <c r="T1863" s="13">
        <f>IFERROR((ABS(N1863-O1863)/MAX(1,(N1863+O1863)))*EXP(-ABS(E1863-CONTROL!E5)/MAX(1,CONTROL!B8)),"")</f>
        <v/>
      </c>
      <c r="U1863" s="13">
        <f>IFERROR(IF(O1863&gt;N1863,"SUPPORT (PE OI)","RESIST (CE OI)"),"")</f>
        <v/>
      </c>
      <c r="V1863" s="13">
        <f>IFERROR(IF(Q1863&gt;0,IF(R1863&gt;0,"BOTH_ADD","CE_ADD_PE_REDUCE"),IF(R1863&gt;0,"CE_REDUCE_PE_ADD","BOTH_REDUCE")),"")</f>
        <v/>
      </c>
      <c r="W1863" s="13">
        <f>IFERROR( (P1863-1)*0.5 + (M1863)*0.1 - (I1863+J1863)*0.05 + T1863*0.4 ,"")</f>
        <v/>
      </c>
      <c r="X1863" s="13">
        <f>IFERROR(IF(ABS(F1863)&lt;0.01,"ATM/NEAR",""),"")</f>
        <v/>
      </c>
    </row>
    <row r="1864">
      <c r="A1864" s="13">
        <f>CHAIN_RAW!A1864</f>
        <v/>
      </c>
      <c r="B1864" s="14">
        <f>CHAIN_RAW!B1864</f>
        <v/>
      </c>
      <c r="C1864" s="13">
        <f>CHAIN_RAW!C1864</f>
        <v/>
      </c>
      <c r="D1864" s="13">
        <f>CHAIN_RAW!D1864</f>
        <v/>
      </c>
      <c r="E1864" s="13">
        <f>CHAIN_RAW!E1864</f>
        <v/>
      </c>
      <c r="F1864" s="13">
        <f>IFERROR((E1864-D1864)/D1864,"")</f>
        <v/>
      </c>
      <c r="G1864" s="13">
        <f>IFERROR((CHAIN_RAW!K1864+CHAIN_RAW!L1864)/2,"")</f>
        <v/>
      </c>
      <c r="H1864" s="13">
        <f>IFERROR((CHAIN_RAW!R1864+CHAIN_RAW!S1864)/2,"")</f>
        <v/>
      </c>
      <c r="I1864" s="13">
        <f>IFERROR((CHAIN_RAW!L1864-CHAIN_RAW!K1864)/MAX(1E-9, G1864),"")</f>
        <v/>
      </c>
      <c r="J1864" s="13">
        <f>IFERROR((CHAIN_RAW!S1864-CHAIN_RAW!R1864)/MAX(1E-9, H1864),"")</f>
        <v/>
      </c>
      <c r="K1864" s="13">
        <f>CHAIN_RAW!G1864</f>
        <v/>
      </c>
      <c r="L1864" s="13">
        <f>CHAIN_RAW!N1864</f>
        <v/>
      </c>
      <c r="M1864" s="13">
        <f>IFERROR(L1864-K1864,"")</f>
        <v/>
      </c>
      <c r="N1864" s="13">
        <f>CHAIN_RAW!H1864</f>
        <v/>
      </c>
      <c r="O1864" s="13">
        <f>CHAIN_RAW!O1864</f>
        <v/>
      </c>
      <c r="P1864" s="13">
        <f>IFERROR(O1864/N1864,"")</f>
        <v/>
      </c>
      <c r="Q1864" s="13">
        <f>CHAIN_RAW!I1864</f>
        <v/>
      </c>
      <c r="R1864" s="13">
        <f>CHAIN_RAW!P1864</f>
        <v/>
      </c>
      <c r="S1864" s="13">
        <f>IFERROR(R1864/Q1864,"")</f>
        <v/>
      </c>
      <c r="T1864" s="13">
        <f>IFERROR((ABS(N1864-O1864)/MAX(1,(N1864+O1864)))*EXP(-ABS(E1864-CONTROL!E5)/MAX(1,CONTROL!B8)),"")</f>
        <v/>
      </c>
      <c r="U1864" s="13">
        <f>IFERROR(IF(O1864&gt;N1864,"SUPPORT (PE OI)","RESIST (CE OI)"),"")</f>
        <v/>
      </c>
      <c r="V1864" s="13">
        <f>IFERROR(IF(Q1864&gt;0,IF(R1864&gt;0,"BOTH_ADD","CE_ADD_PE_REDUCE"),IF(R1864&gt;0,"CE_REDUCE_PE_ADD","BOTH_REDUCE")),"")</f>
        <v/>
      </c>
      <c r="W1864" s="13">
        <f>IFERROR( (P1864-1)*0.5 + (M1864)*0.1 - (I1864+J1864)*0.05 + T1864*0.4 ,"")</f>
        <v/>
      </c>
      <c r="X1864" s="13">
        <f>IFERROR(IF(ABS(F1864)&lt;0.01,"ATM/NEAR",""),"")</f>
        <v/>
      </c>
    </row>
    <row r="1865">
      <c r="A1865" s="13">
        <f>CHAIN_RAW!A1865</f>
        <v/>
      </c>
      <c r="B1865" s="14">
        <f>CHAIN_RAW!B1865</f>
        <v/>
      </c>
      <c r="C1865" s="13">
        <f>CHAIN_RAW!C1865</f>
        <v/>
      </c>
      <c r="D1865" s="13">
        <f>CHAIN_RAW!D1865</f>
        <v/>
      </c>
      <c r="E1865" s="13">
        <f>CHAIN_RAW!E1865</f>
        <v/>
      </c>
      <c r="F1865" s="13">
        <f>IFERROR((E1865-D1865)/D1865,"")</f>
        <v/>
      </c>
      <c r="G1865" s="13">
        <f>IFERROR((CHAIN_RAW!K1865+CHAIN_RAW!L1865)/2,"")</f>
        <v/>
      </c>
      <c r="H1865" s="13">
        <f>IFERROR((CHAIN_RAW!R1865+CHAIN_RAW!S1865)/2,"")</f>
        <v/>
      </c>
      <c r="I1865" s="13">
        <f>IFERROR((CHAIN_RAW!L1865-CHAIN_RAW!K1865)/MAX(1E-9, G1865),"")</f>
        <v/>
      </c>
      <c r="J1865" s="13">
        <f>IFERROR((CHAIN_RAW!S1865-CHAIN_RAW!R1865)/MAX(1E-9, H1865),"")</f>
        <v/>
      </c>
      <c r="K1865" s="13">
        <f>CHAIN_RAW!G1865</f>
        <v/>
      </c>
      <c r="L1865" s="13">
        <f>CHAIN_RAW!N1865</f>
        <v/>
      </c>
      <c r="M1865" s="13">
        <f>IFERROR(L1865-K1865,"")</f>
        <v/>
      </c>
      <c r="N1865" s="13">
        <f>CHAIN_RAW!H1865</f>
        <v/>
      </c>
      <c r="O1865" s="13">
        <f>CHAIN_RAW!O1865</f>
        <v/>
      </c>
      <c r="P1865" s="13">
        <f>IFERROR(O1865/N1865,"")</f>
        <v/>
      </c>
      <c r="Q1865" s="13">
        <f>CHAIN_RAW!I1865</f>
        <v/>
      </c>
      <c r="R1865" s="13">
        <f>CHAIN_RAW!P1865</f>
        <v/>
      </c>
      <c r="S1865" s="13">
        <f>IFERROR(R1865/Q1865,"")</f>
        <v/>
      </c>
      <c r="T1865" s="13">
        <f>IFERROR((ABS(N1865-O1865)/MAX(1,(N1865+O1865)))*EXP(-ABS(E1865-CONTROL!E5)/MAX(1,CONTROL!B8)),"")</f>
        <v/>
      </c>
      <c r="U1865" s="13">
        <f>IFERROR(IF(O1865&gt;N1865,"SUPPORT (PE OI)","RESIST (CE OI)"),"")</f>
        <v/>
      </c>
      <c r="V1865" s="13">
        <f>IFERROR(IF(Q1865&gt;0,IF(R1865&gt;0,"BOTH_ADD","CE_ADD_PE_REDUCE"),IF(R1865&gt;0,"CE_REDUCE_PE_ADD","BOTH_REDUCE")),"")</f>
        <v/>
      </c>
      <c r="W1865" s="13">
        <f>IFERROR( (P1865-1)*0.5 + (M1865)*0.1 - (I1865+J1865)*0.05 + T1865*0.4 ,"")</f>
        <v/>
      </c>
      <c r="X1865" s="13">
        <f>IFERROR(IF(ABS(F1865)&lt;0.01,"ATM/NEAR",""),"")</f>
        <v/>
      </c>
    </row>
    <row r="1866">
      <c r="A1866" s="13">
        <f>CHAIN_RAW!A1866</f>
        <v/>
      </c>
      <c r="B1866" s="14">
        <f>CHAIN_RAW!B1866</f>
        <v/>
      </c>
      <c r="C1866" s="13">
        <f>CHAIN_RAW!C1866</f>
        <v/>
      </c>
      <c r="D1866" s="13">
        <f>CHAIN_RAW!D1866</f>
        <v/>
      </c>
      <c r="E1866" s="13">
        <f>CHAIN_RAW!E1866</f>
        <v/>
      </c>
      <c r="F1866" s="13">
        <f>IFERROR((E1866-D1866)/D1866,"")</f>
        <v/>
      </c>
      <c r="G1866" s="13">
        <f>IFERROR((CHAIN_RAW!K1866+CHAIN_RAW!L1866)/2,"")</f>
        <v/>
      </c>
      <c r="H1866" s="13">
        <f>IFERROR((CHAIN_RAW!R1866+CHAIN_RAW!S1866)/2,"")</f>
        <v/>
      </c>
      <c r="I1866" s="13">
        <f>IFERROR((CHAIN_RAW!L1866-CHAIN_RAW!K1866)/MAX(1E-9, G1866),"")</f>
        <v/>
      </c>
      <c r="J1866" s="13">
        <f>IFERROR((CHAIN_RAW!S1866-CHAIN_RAW!R1866)/MAX(1E-9, H1866),"")</f>
        <v/>
      </c>
      <c r="K1866" s="13">
        <f>CHAIN_RAW!G1866</f>
        <v/>
      </c>
      <c r="L1866" s="13">
        <f>CHAIN_RAW!N1866</f>
        <v/>
      </c>
      <c r="M1866" s="13">
        <f>IFERROR(L1866-K1866,"")</f>
        <v/>
      </c>
      <c r="N1866" s="13">
        <f>CHAIN_RAW!H1866</f>
        <v/>
      </c>
      <c r="O1866" s="13">
        <f>CHAIN_RAW!O1866</f>
        <v/>
      </c>
      <c r="P1866" s="13">
        <f>IFERROR(O1866/N1866,"")</f>
        <v/>
      </c>
      <c r="Q1866" s="13">
        <f>CHAIN_RAW!I1866</f>
        <v/>
      </c>
      <c r="R1866" s="13">
        <f>CHAIN_RAW!P1866</f>
        <v/>
      </c>
      <c r="S1866" s="13">
        <f>IFERROR(R1866/Q1866,"")</f>
        <v/>
      </c>
      <c r="T1866" s="13">
        <f>IFERROR((ABS(N1866-O1866)/MAX(1,(N1866+O1866)))*EXP(-ABS(E1866-CONTROL!E5)/MAX(1,CONTROL!B8)),"")</f>
        <v/>
      </c>
      <c r="U1866" s="13">
        <f>IFERROR(IF(O1866&gt;N1866,"SUPPORT (PE OI)","RESIST (CE OI)"),"")</f>
        <v/>
      </c>
      <c r="V1866" s="13">
        <f>IFERROR(IF(Q1866&gt;0,IF(R1866&gt;0,"BOTH_ADD","CE_ADD_PE_REDUCE"),IF(R1866&gt;0,"CE_REDUCE_PE_ADD","BOTH_REDUCE")),"")</f>
        <v/>
      </c>
      <c r="W1866" s="13">
        <f>IFERROR( (P1866-1)*0.5 + (M1866)*0.1 - (I1866+J1866)*0.05 + T1866*0.4 ,"")</f>
        <v/>
      </c>
      <c r="X1866" s="13">
        <f>IFERROR(IF(ABS(F1866)&lt;0.01,"ATM/NEAR",""),"")</f>
        <v/>
      </c>
    </row>
    <row r="1867">
      <c r="A1867" s="13">
        <f>CHAIN_RAW!A1867</f>
        <v/>
      </c>
      <c r="B1867" s="14">
        <f>CHAIN_RAW!B1867</f>
        <v/>
      </c>
      <c r="C1867" s="13">
        <f>CHAIN_RAW!C1867</f>
        <v/>
      </c>
      <c r="D1867" s="13">
        <f>CHAIN_RAW!D1867</f>
        <v/>
      </c>
      <c r="E1867" s="13">
        <f>CHAIN_RAW!E1867</f>
        <v/>
      </c>
      <c r="F1867" s="13">
        <f>IFERROR((E1867-D1867)/D1867,"")</f>
        <v/>
      </c>
      <c r="G1867" s="13">
        <f>IFERROR((CHAIN_RAW!K1867+CHAIN_RAW!L1867)/2,"")</f>
        <v/>
      </c>
      <c r="H1867" s="13">
        <f>IFERROR((CHAIN_RAW!R1867+CHAIN_RAW!S1867)/2,"")</f>
        <v/>
      </c>
      <c r="I1867" s="13">
        <f>IFERROR((CHAIN_RAW!L1867-CHAIN_RAW!K1867)/MAX(1E-9, G1867),"")</f>
        <v/>
      </c>
      <c r="J1867" s="13">
        <f>IFERROR((CHAIN_RAW!S1867-CHAIN_RAW!R1867)/MAX(1E-9, H1867),"")</f>
        <v/>
      </c>
      <c r="K1867" s="13">
        <f>CHAIN_RAW!G1867</f>
        <v/>
      </c>
      <c r="L1867" s="13">
        <f>CHAIN_RAW!N1867</f>
        <v/>
      </c>
      <c r="M1867" s="13">
        <f>IFERROR(L1867-K1867,"")</f>
        <v/>
      </c>
      <c r="N1867" s="13">
        <f>CHAIN_RAW!H1867</f>
        <v/>
      </c>
      <c r="O1867" s="13">
        <f>CHAIN_RAW!O1867</f>
        <v/>
      </c>
      <c r="P1867" s="13">
        <f>IFERROR(O1867/N1867,"")</f>
        <v/>
      </c>
      <c r="Q1867" s="13">
        <f>CHAIN_RAW!I1867</f>
        <v/>
      </c>
      <c r="R1867" s="13">
        <f>CHAIN_RAW!P1867</f>
        <v/>
      </c>
      <c r="S1867" s="13">
        <f>IFERROR(R1867/Q1867,"")</f>
        <v/>
      </c>
      <c r="T1867" s="13">
        <f>IFERROR((ABS(N1867-O1867)/MAX(1,(N1867+O1867)))*EXP(-ABS(E1867-CONTROL!E5)/MAX(1,CONTROL!B8)),"")</f>
        <v/>
      </c>
      <c r="U1867" s="13">
        <f>IFERROR(IF(O1867&gt;N1867,"SUPPORT (PE OI)","RESIST (CE OI)"),"")</f>
        <v/>
      </c>
      <c r="V1867" s="13">
        <f>IFERROR(IF(Q1867&gt;0,IF(R1867&gt;0,"BOTH_ADD","CE_ADD_PE_REDUCE"),IF(R1867&gt;0,"CE_REDUCE_PE_ADD","BOTH_REDUCE")),"")</f>
        <v/>
      </c>
      <c r="W1867" s="13">
        <f>IFERROR( (P1867-1)*0.5 + (M1867)*0.1 - (I1867+J1867)*0.05 + T1867*0.4 ,"")</f>
        <v/>
      </c>
      <c r="X1867" s="13">
        <f>IFERROR(IF(ABS(F1867)&lt;0.01,"ATM/NEAR",""),"")</f>
        <v/>
      </c>
    </row>
    <row r="1868">
      <c r="A1868" s="13">
        <f>CHAIN_RAW!A1868</f>
        <v/>
      </c>
      <c r="B1868" s="14">
        <f>CHAIN_RAW!B1868</f>
        <v/>
      </c>
      <c r="C1868" s="13">
        <f>CHAIN_RAW!C1868</f>
        <v/>
      </c>
      <c r="D1868" s="13">
        <f>CHAIN_RAW!D1868</f>
        <v/>
      </c>
      <c r="E1868" s="13">
        <f>CHAIN_RAW!E1868</f>
        <v/>
      </c>
      <c r="F1868" s="13">
        <f>IFERROR((E1868-D1868)/D1868,"")</f>
        <v/>
      </c>
      <c r="G1868" s="13">
        <f>IFERROR((CHAIN_RAW!K1868+CHAIN_RAW!L1868)/2,"")</f>
        <v/>
      </c>
      <c r="H1868" s="13">
        <f>IFERROR((CHAIN_RAW!R1868+CHAIN_RAW!S1868)/2,"")</f>
        <v/>
      </c>
      <c r="I1868" s="13">
        <f>IFERROR((CHAIN_RAW!L1868-CHAIN_RAW!K1868)/MAX(1E-9, G1868),"")</f>
        <v/>
      </c>
      <c r="J1868" s="13">
        <f>IFERROR((CHAIN_RAW!S1868-CHAIN_RAW!R1868)/MAX(1E-9, H1868),"")</f>
        <v/>
      </c>
      <c r="K1868" s="13">
        <f>CHAIN_RAW!G1868</f>
        <v/>
      </c>
      <c r="L1868" s="13">
        <f>CHAIN_RAW!N1868</f>
        <v/>
      </c>
      <c r="M1868" s="13">
        <f>IFERROR(L1868-K1868,"")</f>
        <v/>
      </c>
      <c r="N1868" s="13">
        <f>CHAIN_RAW!H1868</f>
        <v/>
      </c>
      <c r="O1868" s="13">
        <f>CHAIN_RAW!O1868</f>
        <v/>
      </c>
      <c r="P1868" s="13">
        <f>IFERROR(O1868/N1868,"")</f>
        <v/>
      </c>
      <c r="Q1868" s="13">
        <f>CHAIN_RAW!I1868</f>
        <v/>
      </c>
      <c r="R1868" s="13">
        <f>CHAIN_RAW!P1868</f>
        <v/>
      </c>
      <c r="S1868" s="13">
        <f>IFERROR(R1868/Q1868,"")</f>
        <v/>
      </c>
      <c r="T1868" s="13">
        <f>IFERROR((ABS(N1868-O1868)/MAX(1,(N1868+O1868)))*EXP(-ABS(E1868-CONTROL!E5)/MAX(1,CONTROL!B8)),"")</f>
        <v/>
      </c>
      <c r="U1868" s="13">
        <f>IFERROR(IF(O1868&gt;N1868,"SUPPORT (PE OI)","RESIST (CE OI)"),"")</f>
        <v/>
      </c>
      <c r="V1868" s="13">
        <f>IFERROR(IF(Q1868&gt;0,IF(R1868&gt;0,"BOTH_ADD","CE_ADD_PE_REDUCE"),IF(R1868&gt;0,"CE_REDUCE_PE_ADD","BOTH_REDUCE")),"")</f>
        <v/>
      </c>
      <c r="W1868" s="13">
        <f>IFERROR( (P1868-1)*0.5 + (M1868)*0.1 - (I1868+J1868)*0.05 + T1868*0.4 ,"")</f>
        <v/>
      </c>
      <c r="X1868" s="13">
        <f>IFERROR(IF(ABS(F1868)&lt;0.01,"ATM/NEAR",""),"")</f>
        <v/>
      </c>
    </row>
    <row r="1869">
      <c r="A1869" s="13">
        <f>CHAIN_RAW!A1869</f>
        <v/>
      </c>
      <c r="B1869" s="14">
        <f>CHAIN_RAW!B1869</f>
        <v/>
      </c>
      <c r="C1869" s="13">
        <f>CHAIN_RAW!C1869</f>
        <v/>
      </c>
      <c r="D1869" s="13">
        <f>CHAIN_RAW!D1869</f>
        <v/>
      </c>
      <c r="E1869" s="13">
        <f>CHAIN_RAW!E1869</f>
        <v/>
      </c>
      <c r="F1869" s="13">
        <f>IFERROR((E1869-D1869)/D1869,"")</f>
        <v/>
      </c>
      <c r="G1869" s="13">
        <f>IFERROR((CHAIN_RAW!K1869+CHAIN_RAW!L1869)/2,"")</f>
        <v/>
      </c>
      <c r="H1869" s="13">
        <f>IFERROR((CHAIN_RAW!R1869+CHAIN_RAW!S1869)/2,"")</f>
        <v/>
      </c>
      <c r="I1869" s="13">
        <f>IFERROR((CHAIN_RAW!L1869-CHAIN_RAW!K1869)/MAX(1E-9, G1869),"")</f>
        <v/>
      </c>
      <c r="J1869" s="13">
        <f>IFERROR((CHAIN_RAW!S1869-CHAIN_RAW!R1869)/MAX(1E-9, H1869),"")</f>
        <v/>
      </c>
      <c r="K1869" s="13">
        <f>CHAIN_RAW!G1869</f>
        <v/>
      </c>
      <c r="L1869" s="13">
        <f>CHAIN_RAW!N1869</f>
        <v/>
      </c>
      <c r="M1869" s="13">
        <f>IFERROR(L1869-K1869,"")</f>
        <v/>
      </c>
      <c r="N1869" s="13">
        <f>CHAIN_RAW!H1869</f>
        <v/>
      </c>
      <c r="O1869" s="13">
        <f>CHAIN_RAW!O1869</f>
        <v/>
      </c>
      <c r="P1869" s="13">
        <f>IFERROR(O1869/N1869,"")</f>
        <v/>
      </c>
      <c r="Q1869" s="13">
        <f>CHAIN_RAW!I1869</f>
        <v/>
      </c>
      <c r="R1869" s="13">
        <f>CHAIN_RAW!P1869</f>
        <v/>
      </c>
      <c r="S1869" s="13">
        <f>IFERROR(R1869/Q1869,"")</f>
        <v/>
      </c>
      <c r="T1869" s="13">
        <f>IFERROR((ABS(N1869-O1869)/MAX(1,(N1869+O1869)))*EXP(-ABS(E1869-CONTROL!E5)/MAX(1,CONTROL!B8)),"")</f>
        <v/>
      </c>
      <c r="U1869" s="13">
        <f>IFERROR(IF(O1869&gt;N1869,"SUPPORT (PE OI)","RESIST (CE OI)"),"")</f>
        <v/>
      </c>
      <c r="V1869" s="13">
        <f>IFERROR(IF(Q1869&gt;0,IF(R1869&gt;0,"BOTH_ADD","CE_ADD_PE_REDUCE"),IF(R1869&gt;0,"CE_REDUCE_PE_ADD","BOTH_REDUCE")),"")</f>
        <v/>
      </c>
      <c r="W1869" s="13">
        <f>IFERROR( (P1869-1)*0.5 + (M1869)*0.1 - (I1869+J1869)*0.05 + T1869*0.4 ,"")</f>
        <v/>
      </c>
      <c r="X1869" s="13">
        <f>IFERROR(IF(ABS(F1869)&lt;0.01,"ATM/NEAR",""),"")</f>
        <v/>
      </c>
    </row>
    <row r="1870">
      <c r="A1870" s="13">
        <f>CHAIN_RAW!A1870</f>
        <v/>
      </c>
      <c r="B1870" s="14">
        <f>CHAIN_RAW!B1870</f>
        <v/>
      </c>
      <c r="C1870" s="13">
        <f>CHAIN_RAW!C1870</f>
        <v/>
      </c>
      <c r="D1870" s="13">
        <f>CHAIN_RAW!D1870</f>
        <v/>
      </c>
      <c r="E1870" s="13">
        <f>CHAIN_RAW!E1870</f>
        <v/>
      </c>
      <c r="F1870" s="13">
        <f>IFERROR((E1870-D1870)/D1870,"")</f>
        <v/>
      </c>
      <c r="G1870" s="13">
        <f>IFERROR((CHAIN_RAW!K1870+CHAIN_RAW!L1870)/2,"")</f>
        <v/>
      </c>
      <c r="H1870" s="13">
        <f>IFERROR((CHAIN_RAW!R1870+CHAIN_RAW!S1870)/2,"")</f>
        <v/>
      </c>
      <c r="I1870" s="13">
        <f>IFERROR((CHAIN_RAW!L1870-CHAIN_RAW!K1870)/MAX(1E-9, G1870),"")</f>
        <v/>
      </c>
      <c r="J1870" s="13">
        <f>IFERROR((CHAIN_RAW!S1870-CHAIN_RAW!R1870)/MAX(1E-9, H1870),"")</f>
        <v/>
      </c>
      <c r="K1870" s="13">
        <f>CHAIN_RAW!G1870</f>
        <v/>
      </c>
      <c r="L1870" s="13">
        <f>CHAIN_RAW!N1870</f>
        <v/>
      </c>
      <c r="M1870" s="13">
        <f>IFERROR(L1870-K1870,"")</f>
        <v/>
      </c>
      <c r="N1870" s="13">
        <f>CHAIN_RAW!H1870</f>
        <v/>
      </c>
      <c r="O1870" s="13">
        <f>CHAIN_RAW!O1870</f>
        <v/>
      </c>
      <c r="P1870" s="13">
        <f>IFERROR(O1870/N1870,"")</f>
        <v/>
      </c>
      <c r="Q1870" s="13">
        <f>CHAIN_RAW!I1870</f>
        <v/>
      </c>
      <c r="R1870" s="13">
        <f>CHAIN_RAW!P1870</f>
        <v/>
      </c>
      <c r="S1870" s="13">
        <f>IFERROR(R1870/Q1870,"")</f>
        <v/>
      </c>
      <c r="T1870" s="13">
        <f>IFERROR((ABS(N1870-O1870)/MAX(1,(N1870+O1870)))*EXP(-ABS(E1870-CONTROL!E5)/MAX(1,CONTROL!B8)),"")</f>
        <v/>
      </c>
      <c r="U1870" s="13">
        <f>IFERROR(IF(O1870&gt;N1870,"SUPPORT (PE OI)","RESIST (CE OI)"),"")</f>
        <v/>
      </c>
      <c r="V1870" s="13">
        <f>IFERROR(IF(Q1870&gt;0,IF(R1870&gt;0,"BOTH_ADD","CE_ADD_PE_REDUCE"),IF(R1870&gt;0,"CE_REDUCE_PE_ADD","BOTH_REDUCE")),"")</f>
        <v/>
      </c>
      <c r="W1870" s="13">
        <f>IFERROR( (P1870-1)*0.5 + (M1870)*0.1 - (I1870+J1870)*0.05 + T1870*0.4 ,"")</f>
        <v/>
      </c>
      <c r="X1870" s="13">
        <f>IFERROR(IF(ABS(F1870)&lt;0.01,"ATM/NEAR",""),"")</f>
        <v/>
      </c>
    </row>
    <row r="1871">
      <c r="A1871" s="13">
        <f>CHAIN_RAW!A1871</f>
        <v/>
      </c>
      <c r="B1871" s="14">
        <f>CHAIN_RAW!B1871</f>
        <v/>
      </c>
      <c r="C1871" s="13">
        <f>CHAIN_RAW!C1871</f>
        <v/>
      </c>
      <c r="D1871" s="13">
        <f>CHAIN_RAW!D1871</f>
        <v/>
      </c>
      <c r="E1871" s="13">
        <f>CHAIN_RAW!E1871</f>
        <v/>
      </c>
      <c r="F1871" s="13">
        <f>IFERROR((E1871-D1871)/D1871,"")</f>
        <v/>
      </c>
      <c r="G1871" s="13">
        <f>IFERROR((CHAIN_RAW!K1871+CHAIN_RAW!L1871)/2,"")</f>
        <v/>
      </c>
      <c r="H1871" s="13">
        <f>IFERROR((CHAIN_RAW!R1871+CHAIN_RAW!S1871)/2,"")</f>
        <v/>
      </c>
      <c r="I1871" s="13">
        <f>IFERROR((CHAIN_RAW!L1871-CHAIN_RAW!K1871)/MAX(1E-9, G1871),"")</f>
        <v/>
      </c>
      <c r="J1871" s="13">
        <f>IFERROR((CHAIN_RAW!S1871-CHAIN_RAW!R1871)/MAX(1E-9, H1871),"")</f>
        <v/>
      </c>
      <c r="K1871" s="13">
        <f>CHAIN_RAW!G1871</f>
        <v/>
      </c>
      <c r="L1871" s="13">
        <f>CHAIN_RAW!N1871</f>
        <v/>
      </c>
      <c r="M1871" s="13">
        <f>IFERROR(L1871-K1871,"")</f>
        <v/>
      </c>
      <c r="N1871" s="13">
        <f>CHAIN_RAW!H1871</f>
        <v/>
      </c>
      <c r="O1871" s="13">
        <f>CHAIN_RAW!O1871</f>
        <v/>
      </c>
      <c r="P1871" s="13">
        <f>IFERROR(O1871/N1871,"")</f>
        <v/>
      </c>
      <c r="Q1871" s="13">
        <f>CHAIN_RAW!I1871</f>
        <v/>
      </c>
      <c r="R1871" s="13">
        <f>CHAIN_RAW!P1871</f>
        <v/>
      </c>
      <c r="S1871" s="13">
        <f>IFERROR(R1871/Q1871,"")</f>
        <v/>
      </c>
      <c r="T1871" s="13">
        <f>IFERROR((ABS(N1871-O1871)/MAX(1,(N1871+O1871)))*EXP(-ABS(E1871-CONTROL!E5)/MAX(1,CONTROL!B8)),"")</f>
        <v/>
      </c>
      <c r="U1871" s="13">
        <f>IFERROR(IF(O1871&gt;N1871,"SUPPORT (PE OI)","RESIST (CE OI)"),"")</f>
        <v/>
      </c>
      <c r="V1871" s="13">
        <f>IFERROR(IF(Q1871&gt;0,IF(R1871&gt;0,"BOTH_ADD","CE_ADD_PE_REDUCE"),IF(R1871&gt;0,"CE_REDUCE_PE_ADD","BOTH_REDUCE")),"")</f>
        <v/>
      </c>
      <c r="W1871" s="13">
        <f>IFERROR( (P1871-1)*0.5 + (M1871)*0.1 - (I1871+J1871)*0.05 + T1871*0.4 ,"")</f>
        <v/>
      </c>
      <c r="X1871" s="13">
        <f>IFERROR(IF(ABS(F1871)&lt;0.01,"ATM/NEAR",""),"")</f>
        <v/>
      </c>
    </row>
    <row r="1872">
      <c r="A1872" s="13">
        <f>CHAIN_RAW!A1872</f>
        <v/>
      </c>
      <c r="B1872" s="14">
        <f>CHAIN_RAW!B1872</f>
        <v/>
      </c>
      <c r="C1872" s="13">
        <f>CHAIN_RAW!C1872</f>
        <v/>
      </c>
      <c r="D1872" s="13">
        <f>CHAIN_RAW!D1872</f>
        <v/>
      </c>
      <c r="E1872" s="13">
        <f>CHAIN_RAW!E1872</f>
        <v/>
      </c>
      <c r="F1872" s="13">
        <f>IFERROR((E1872-D1872)/D1872,"")</f>
        <v/>
      </c>
      <c r="G1872" s="13">
        <f>IFERROR((CHAIN_RAW!K1872+CHAIN_RAW!L1872)/2,"")</f>
        <v/>
      </c>
      <c r="H1872" s="13">
        <f>IFERROR((CHAIN_RAW!R1872+CHAIN_RAW!S1872)/2,"")</f>
        <v/>
      </c>
      <c r="I1872" s="13">
        <f>IFERROR((CHAIN_RAW!L1872-CHAIN_RAW!K1872)/MAX(1E-9, G1872),"")</f>
        <v/>
      </c>
      <c r="J1872" s="13">
        <f>IFERROR((CHAIN_RAW!S1872-CHAIN_RAW!R1872)/MAX(1E-9, H1872),"")</f>
        <v/>
      </c>
      <c r="K1872" s="13">
        <f>CHAIN_RAW!G1872</f>
        <v/>
      </c>
      <c r="L1872" s="13">
        <f>CHAIN_RAW!N1872</f>
        <v/>
      </c>
      <c r="M1872" s="13">
        <f>IFERROR(L1872-K1872,"")</f>
        <v/>
      </c>
      <c r="N1872" s="13">
        <f>CHAIN_RAW!H1872</f>
        <v/>
      </c>
      <c r="O1872" s="13">
        <f>CHAIN_RAW!O1872</f>
        <v/>
      </c>
      <c r="P1872" s="13">
        <f>IFERROR(O1872/N1872,"")</f>
        <v/>
      </c>
      <c r="Q1872" s="13">
        <f>CHAIN_RAW!I1872</f>
        <v/>
      </c>
      <c r="R1872" s="13">
        <f>CHAIN_RAW!P1872</f>
        <v/>
      </c>
      <c r="S1872" s="13">
        <f>IFERROR(R1872/Q1872,"")</f>
        <v/>
      </c>
      <c r="T1872" s="13">
        <f>IFERROR((ABS(N1872-O1872)/MAX(1,(N1872+O1872)))*EXP(-ABS(E1872-CONTROL!E5)/MAX(1,CONTROL!B8)),"")</f>
        <v/>
      </c>
      <c r="U1872" s="13">
        <f>IFERROR(IF(O1872&gt;N1872,"SUPPORT (PE OI)","RESIST (CE OI)"),"")</f>
        <v/>
      </c>
      <c r="V1872" s="13">
        <f>IFERROR(IF(Q1872&gt;0,IF(R1872&gt;0,"BOTH_ADD","CE_ADD_PE_REDUCE"),IF(R1872&gt;0,"CE_REDUCE_PE_ADD","BOTH_REDUCE")),"")</f>
        <v/>
      </c>
      <c r="W1872" s="13">
        <f>IFERROR( (P1872-1)*0.5 + (M1872)*0.1 - (I1872+J1872)*0.05 + T1872*0.4 ,"")</f>
        <v/>
      </c>
      <c r="X1872" s="13">
        <f>IFERROR(IF(ABS(F1872)&lt;0.01,"ATM/NEAR",""),"")</f>
        <v/>
      </c>
    </row>
    <row r="1873">
      <c r="A1873" s="13">
        <f>CHAIN_RAW!A1873</f>
        <v/>
      </c>
      <c r="B1873" s="14">
        <f>CHAIN_RAW!B1873</f>
        <v/>
      </c>
      <c r="C1873" s="13">
        <f>CHAIN_RAW!C1873</f>
        <v/>
      </c>
      <c r="D1873" s="13">
        <f>CHAIN_RAW!D1873</f>
        <v/>
      </c>
      <c r="E1873" s="13">
        <f>CHAIN_RAW!E1873</f>
        <v/>
      </c>
      <c r="F1873" s="13">
        <f>IFERROR((E1873-D1873)/D1873,"")</f>
        <v/>
      </c>
      <c r="G1873" s="13">
        <f>IFERROR((CHAIN_RAW!K1873+CHAIN_RAW!L1873)/2,"")</f>
        <v/>
      </c>
      <c r="H1873" s="13">
        <f>IFERROR((CHAIN_RAW!R1873+CHAIN_RAW!S1873)/2,"")</f>
        <v/>
      </c>
      <c r="I1873" s="13">
        <f>IFERROR((CHAIN_RAW!L1873-CHAIN_RAW!K1873)/MAX(1E-9, G1873),"")</f>
        <v/>
      </c>
      <c r="J1873" s="13">
        <f>IFERROR((CHAIN_RAW!S1873-CHAIN_RAW!R1873)/MAX(1E-9, H1873),"")</f>
        <v/>
      </c>
      <c r="K1873" s="13">
        <f>CHAIN_RAW!G1873</f>
        <v/>
      </c>
      <c r="L1873" s="13">
        <f>CHAIN_RAW!N1873</f>
        <v/>
      </c>
      <c r="M1873" s="13">
        <f>IFERROR(L1873-K1873,"")</f>
        <v/>
      </c>
      <c r="N1873" s="13">
        <f>CHAIN_RAW!H1873</f>
        <v/>
      </c>
      <c r="O1873" s="13">
        <f>CHAIN_RAW!O1873</f>
        <v/>
      </c>
      <c r="P1873" s="13">
        <f>IFERROR(O1873/N1873,"")</f>
        <v/>
      </c>
      <c r="Q1873" s="13">
        <f>CHAIN_RAW!I1873</f>
        <v/>
      </c>
      <c r="R1873" s="13">
        <f>CHAIN_RAW!P1873</f>
        <v/>
      </c>
      <c r="S1873" s="13">
        <f>IFERROR(R1873/Q1873,"")</f>
        <v/>
      </c>
      <c r="T1873" s="13">
        <f>IFERROR((ABS(N1873-O1873)/MAX(1,(N1873+O1873)))*EXP(-ABS(E1873-CONTROL!E5)/MAX(1,CONTROL!B8)),"")</f>
        <v/>
      </c>
      <c r="U1873" s="13">
        <f>IFERROR(IF(O1873&gt;N1873,"SUPPORT (PE OI)","RESIST (CE OI)"),"")</f>
        <v/>
      </c>
      <c r="V1873" s="13">
        <f>IFERROR(IF(Q1873&gt;0,IF(R1873&gt;0,"BOTH_ADD","CE_ADD_PE_REDUCE"),IF(R1873&gt;0,"CE_REDUCE_PE_ADD","BOTH_REDUCE")),"")</f>
        <v/>
      </c>
      <c r="W1873" s="13">
        <f>IFERROR( (P1873-1)*0.5 + (M1873)*0.1 - (I1873+J1873)*0.05 + T1873*0.4 ,"")</f>
        <v/>
      </c>
      <c r="X1873" s="13">
        <f>IFERROR(IF(ABS(F1873)&lt;0.01,"ATM/NEAR",""),"")</f>
        <v/>
      </c>
    </row>
    <row r="1874">
      <c r="A1874" s="13">
        <f>CHAIN_RAW!A1874</f>
        <v/>
      </c>
      <c r="B1874" s="14">
        <f>CHAIN_RAW!B1874</f>
        <v/>
      </c>
      <c r="C1874" s="13">
        <f>CHAIN_RAW!C1874</f>
        <v/>
      </c>
      <c r="D1874" s="13">
        <f>CHAIN_RAW!D1874</f>
        <v/>
      </c>
      <c r="E1874" s="13">
        <f>CHAIN_RAW!E1874</f>
        <v/>
      </c>
      <c r="F1874" s="13">
        <f>IFERROR((E1874-D1874)/D1874,"")</f>
        <v/>
      </c>
      <c r="G1874" s="13">
        <f>IFERROR((CHAIN_RAW!K1874+CHAIN_RAW!L1874)/2,"")</f>
        <v/>
      </c>
      <c r="H1874" s="13">
        <f>IFERROR((CHAIN_RAW!R1874+CHAIN_RAW!S1874)/2,"")</f>
        <v/>
      </c>
      <c r="I1874" s="13">
        <f>IFERROR((CHAIN_RAW!L1874-CHAIN_RAW!K1874)/MAX(1E-9, G1874),"")</f>
        <v/>
      </c>
      <c r="J1874" s="13">
        <f>IFERROR((CHAIN_RAW!S1874-CHAIN_RAW!R1874)/MAX(1E-9, H1874),"")</f>
        <v/>
      </c>
      <c r="K1874" s="13">
        <f>CHAIN_RAW!G1874</f>
        <v/>
      </c>
      <c r="L1874" s="13">
        <f>CHAIN_RAW!N1874</f>
        <v/>
      </c>
      <c r="M1874" s="13">
        <f>IFERROR(L1874-K1874,"")</f>
        <v/>
      </c>
      <c r="N1874" s="13">
        <f>CHAIN_RAW!H1874</f>
        <v/>
      </c>
      <c r="O1874" s="13">
        <f>CHAIN_RAW!O1874</f>
        <v/>
      </c>
      <c r="P1874" s="13">
        <f>IFERROR(O1874/N1874,"")</f>
        <v/>
      </c>
      <c r="Q1874" s="13">
        <f>CHAIN_RAW!I1874</f>
        <v/>
      </c>
      <c r="R1874" s="13">
        <f>CHAIN_RAW!P1874</f>
        <v/>
      </c>
      <c r="S1874" s="13">
        <f>IFERROR(R1874/Q1874,"")</f>
        <v/>
      </c>
      <c r="T1874" s="13">
        <f>IFERROR((ABS(N1874-O1874)/MAX(1,(N1874+O1874)))*EXP(-ABS(E1874-CONTROL!E5)/MAX(1,CONTROL!B8)),"")</f>
        <v/>
      </c>
      <c r="U1874" s="13">
        <f>IFERROR(IF(O1874&gt;N1874,"SUPPORT (PE OI)","RESIST (CE OI)"),"")</f>
        <v/>
      </c>
      <c r="V1874" s="13">
        <f>IFERROR(IF(Q1874&gt;0,IF(R1874&gt;0,"BOTH_ADD","CE_ADD_PE_REDUCE"),IF(R1874&gt;0,"CE_REDUCE_PE_ADD","BOTH_REDUCE")),"")</f>
        <v/>
      </c>
      <c r="W1874" s="13">
        <f>IFERROR( (P1874-1)*0.5 + (M1874)*0.1 - (I1874+J1874)*0.05 + T1874*0.4 ,"")</f>
        <v/>
      </c>
      <c r="X1874" s="13">
        <f>IFERROR(IF(ABS(F1874)&lt;0.01,"ATM/NEAR",""),"")</f>
        <v/>
      </c>
    </row>
    <row r="1875">
      <c r="A1875" s="13">
        <f>CHAIN_RAW!A1875</f>
        <v/>
      </c>
      <c r="B1875" s="14">
        <f>CHAIN_RAW!B1875</f>
        <v/>
      </c>
      <c r="C1875" s="13">
        <f>CHAIN_RAW!C1875</f>
        <v/>
      </c>
      <c r="D1875" s="13">
        <f>CHAIN_RAW!D1875</f>
        <v/>
      </c>
      <c r="E1875" s="13">
        <f>CHAIN_RAW!E1875</f>
        <v/>
      </c>
      <c r="F1875" s="13">
        <f>IFERROR((E1875-D1875)/D1875,"")</f>
        <v/>
      </c>
      <c r="G1875" s="13">
        <f>IFERROR((CHAIN_RAW!K1875+CHAIN_RAW!L1875)/2,"")</f>
        <v/>
      </c>
      <c r="H1875" s="13">
        <f>IFERROR((CHAIN_RAW!R1875+CHAIN_RAW!S1875)/2,"")</f>
        <v/>
      </c>
      <c r="I1875" s="13">
        <f>IFERROR((CHAIN_RAW!L1875-CHAIN_RAW!K1875)/MAX(1E-9, G1875),"")</f>
        <v/>
      </c>
      <c r="J1875" s="13">
        <f>IFERROR((CHAIN_RAW!S1875-CHAIN_RAW!R1875)/MAX(1E-9, H1875),"")</f>
        <v/>
      </c>
      <c r="K1875" s="13">
        <f>CHAIN_RAW!G1875</f>
        <v/>
      </c>
      <c r="L1875" s="13">
        <f>CHAIN_RAW!N1875</f>
        <v/>
      </c>
      <c r="M1875" s="13">
        <f>IFERROR(L1875-K1875,"")</f>
        <v/>
      </c>
      <c r="N1875" s="13">
        <f>CHAIN_RAW!H1875</f>
        <v/>
      </c>
      <c r="O1875" s="13">
        <f>CHAIN_RAW!O1875</f>
        <v/>
      </c>
      <c r="P1875" s="13">
        <f>IFERROR(O1875/N1875,"")</f>
        <v/>
      </c>
      <c r="Q1875" s="13">
        <f>CHAIN_RAW!I1875</f>
        <v/>
      </c>
      <c r="R1875" s="13">
        <f>CHAIN_RAW!P1875</f>
        <v/>
      </c>
      <c r="S1875" s="13">
        <f>IFERROR(R1875/Q1875,"")</f>
        <v/>
      </c>
      <c r="T1875" s="13">
        <f>IFERROR((ABS(N1875-O1875)/MAX(1,(N1875+O1875)))*EXP(-ABS(E1875-CONTROL!E5)/MAX(1,CONTROL!B8)),"")</f>
        <v/>
      </c>
      <c r="U1875" s="13">
        <f>IFERROR(IF(O1875&gt;N1875,"SUPPORT (PE OI)","RESIST (CE OI)"),"")</f>
        <v/>
      </c>
      <c r="V1875" s="13">
        <f>IFERROR(IF(Q1875&gt;0,IF(R1875&gt;0,"BOTH_ADD","CE_ADD_PE_REDUCE"),IF(R1875&gt;0,"CE_REDUCE_PE_ADD","BOTH_REDUCE")),"")</f>
        <v/>
      </c>
      <c r="W1875" s="13">
        <f>IFERROR( (P1875-1)*0.5 + (M1875)*0.1 - (I1875+J1875)*0.05 + T1875*0.4 ,"")</f>
        <v/>
      </c>
      <c r="X1875" s="13">
        <f>IFERROR(IF(ABS(F1875)&lt;0.01,"ATM/NEAR",""),"")</f>
        <v/>
      </c>
    </row>
    <row r="1876">
      <c r="A1876" s="13">
        <f>CHAIN_RAW!A1876</f>
        <v/>
      </c>
      <c r="B1876" s="14">
        <f>CHAIN_RAW!B1876</f>
        <v/>
      </c>
      <c r="C1876" s="13">
        <f>CHAIN_RAW!C1876</f>
        <v/>
      </c>
      <c r="D1876" s="13">
        <f>CHAIN_RAW!D1876</f>
        <v/>
      </c>
      <c r="E1876" s="13">
        <f>CHAIN_RAW!E1876</f>
        <v/>
      </c>
      <c r="F1876" s="13">
        <f>IFERROR((E1876-D1876)/D1876,"")</f>
        <v/>
      </c>
      <c r="G1876" s="13">
        <f>IFERROR((CHAIN_RAW!K1876+CHAIN_RAW!L1876)/2,"")</f>
        <v/>
      </c>
      <c r="H1876" s="13">
        <f>IFERROR((CHAIN_RAW!R1876+CHAIN_RAW!S1876)/2,"")</f>
        <v/>
      </c>
      <c r="I1876" s="13">
        <f>IFERROR((CHAIN_RAW!L1876-CHAIN_RAW!K1876)/MAX(1E-9, G1876),"")</f>
        <v/>
      </c>
      <c r="J1876" s="13">
        <f>IFERROR((CHAIN_RAW!S1876-CHAIN_RAW!R1876)/MAX(1E-9, H1876),"")</f>
        <v/>
      </c>
      <c r="K1876" s="13">
        <f>CHAIN_RAW!G1876</f>
        <v/>
      </c>
      <c r="L1876" s="13">
        <f>CHAIN_RAW!N1876</f>
        <v/>
      </c>
      <c r="M1876" s="13">
        <f>IFERROR(L1876-K1876,"")</f>
        <v/>
      </c>
      <c r="N1876" s="13">
        <f>CHAIN_RAW!H1876</f>
        <v/>
      </c>
      <c r="O1876" s="13">
        <f>CHAIN_RAW!O1876</f>
        <v/>
      </c>
      <c r="P1876" s="13">
        <f>IFERROR(O1876/N1876,"")</f>
        <v/>
      </c>
      <c r="Q1876" s="13">
        <f>CHAIN_RAW!I1876</f>
        <v/>
      </c>
      <c r="R1876" s="13">
        <f>CHAIN_RAW!P1876</f>
        <v/>
      </c>
      <c r="S1876" s="13">
        <f>IFERROR(R1876/Q1876,"")</f>
        <v/>
      </c>
      <c r="T1876" s="13">
        <f>IFERROR((ABS(N1876-O1876)/MAX(1,(N1876+O1876)))*EXP(-ABS(E1876-CONTROL!E5)/MAX(1,CONTROL!B8)),"")</f>
        <v/>
      </c>
      <c r="U1876" s="13">
        <f>IFERROR(IF(O1876&gt;N1876,"SUPPORT (PE OI)","RESIST (CE OI)"),"")</f>
        <v/>
      </c>
      <c r="V1876" s="13">
        <f>IFERROR(IF(Q1876&gt;0,IF(R1876&gt;0,"BOTH_ADD","CE_ADD_PE_REDUCE"),IF(R1876&gt;0,"CE_REDUCE_PE_ADD","BOTH_REDUCE")),"")</f>
        <v/>
      </c>
      <c r="W1876" s="13">
        <f>IFERROR( (P1876-1)*0.5 + (M1876)*0.1 - (I1876+J1876)*0.05 + T1876*0.4 ,"")</f>
        <v/>
      </c>
      <c r="X1876" s="13">
        <f>IFERROR(IF(ABS(F1876)&lt;0.01,"ATM/NEAR",""),"")</f>
        <v/>
      </c>
    </row>
    <row r="1877">
      <c r="A1877" s="13">
        <f>CHAIN_RAW!A1877</f>
        <v/>
      </c>
      <c r="B1877" s="14">
        <f>CHAIN_RAW!B1877</f>
        <v/>
      </c>
      <c r="C1877" s="13">
        <f>CHAIN_RAW!C1877</f>
        <v/>
      </c>
      <c r="D1877" s="13">
        <f>CHAIN_RAW!D1877</f>
        <v/>
      </c>
      <c r="E1877" s="13">
        <f>CHAIN_RAW!E1877</f>
        <v/>
      </c>
      <c r="F1877" s="13">
        <f>IFERROR((E1877-D1877)/D1877,"")</f>
        <v/>
      </c>
      <c r="G1877" s="13">
        <f>IFERROR((CHAIN_RAW!K1877+CHAIN_RAW!L1877)/2,"")</f>
        <v/>
      </c>
      <c r="H1877" s="13">
        <f>IFERROR((CHAIN_RAW!R1877+CHAIN_RAW!S1877)/2,"")</f>
        <v/>
      </c>
      <c r="I1877" s="13">
        <f>IFERROR((CHAIN_RAW!L1877-CHAIN_RAW!K1877)/MAX(1E-9, G1877),"")</f>
        <v/>
      </c>
      <c r="J1877" s="13">
        <f>IFERROR((CHAIN_RAW!S1877-CHAIN_RAW!R1877)/MAX(1E-9, H1877),"")</f>
        <v/>
      </c>
      <c r="K1877" s="13">
        <f>CHAIN_RAW!G1877</f>
        <v/>
      </c>
      <c r="L1877" s="13">
        <f>CHAIN_RAW!N1877</f>
        <v/>
      </c>
      <c r="M1877" s="13">
        <f>IFERROR(L1877-K1877,"")</f>
        <v/>
      </c>
      <c r="N1877" s="13">
        <f>CHAIN_RAW!H1877</f>
        <v/>
      </c>
      <c r="O1877" s="13">
        <f>CHAIN_RAW!O1877</f>
        <v/>
      </c>
      <c r="P1877" s="13">
        <f>IFERROR(O1877/N1877,"")</f>
        <v/>
      </c>
      <c r="Q1877" s="13">
        <f>CHAIN_RAW!I1877</f>
        <v/>
      </c>
      <c r="R1877" s="13">
        <f>CHAIN_RAW!P1877</f>
        <v/>
      </c>
      <c r="S1877" s="13">
        <f>IFERROR(R1877/Q1877,"")</f>
        <v/>
      </c>
      <c r="T1877" s="13">
        <f>IFERROR((ABS(N1877-O1877)/MAX(1,(N1877+O1877)))*EXP(-ABS(E1877-CONTROL!E5)/MAX(1,CONTROL!B8)),"")</f>
        <v/>
      </c>
      <c r="U1877" s="13">
        <f>IFERROR(IF(O1877&gt;N1877,"SUPPORT (PE OI)","RESIST (CE OI)"),"")</f>
        <v/>
      </c>
      <c r="V1877" s="13">
        <f>IFERROR(IF(Q1877&gt;0,IF(R1877&gt;0,"BOTH_ADD","CE_ADD_PE_REDUCE"),IF(R1877&gt;0,"CE_REDUCE_PE_ADD","BOTH_REDUCE")),"")</f>
        <v/>
      </c>
      <c r="W1877" s="13">
        <f>IFERROR( (P1877-1)*0.5 + (M1877)*0.1 - (I1877+J1877)*0.05 + T1877*0.4 ,"")</f>
        <v/>
      </c>
      <c r="X1877" s="13">
        <f>IFERROR(IF(ABS(F1877)&lt;0.01,"ATM/NEAR",""),"")</f>
        <v/>
      </c>
    </row>
    <row r="1878">
      <c r="A1878" s="13">
        <f>CHAIN_RAW!A1878</f>
        <v/>
      </c>
      <c r="B1878" s="14">
        <f>CHAIN_RAW!B1878</f>
        <v/>
      </c>
      <c r="C1878" s="13">
        <f>CHAIN_RAW!C1878</f>
        <v/>
      </c>
      <c r="D1878" s="13">
        <f>CHAIN_RAW!D1878</f>
        <v/>
      </c>
      <c r="E1878" s="13">
        <f>CHAIN_RAW!E1878</f>
        <v/>
      </c>
      <c r="F1878" s="13">
        <f>IFERROR((E1878-D1878)/D1878,"")</f>
        <v/>
      </c>
      <c r="G1878" s="13">
        <f>IFERROR((CHAIN_RAW!K1878+CHAIN_RAW!L1878)/2,"")</f>
        <v/>
      </c>
      <c r="H1878" s="13">
        <f>IFERROR((CHAIN_RAW!R1878+CHAIN_RAW!S1878)/2,"")</f>
        <v/>
      </c>
      <c r="I1878" s="13">
        <f>IFERROR((CHAIN_RAW!L1878-CHAIN_RAW!K1878)/MAX(1E-9, G1878),"")</f>
        <v/>
      </c>
      <c r="J1878" s="13">
        <f>IFERROR((CHAIN_RAW!S1878-CHAIN_RAW!R1878)/MAX(1E-9, H1878),"")</f>
        <v/>
      </c>
      <c r="K1878" s="13">
        <f>CHAIN_RAW!G1878</f>
        <v/>
      </c>
      <c r="L1878" s="13">
        <f>CHAIN_RAW!N1878</f>
        <v/>
      </c>
      <c r="M1878" s="13">
        <f>IFERROR(L1878-K1878,"")</f>
        <v/>
      </c>
      <c r="N1878" s="13">
        <f>CHAIN_RAW!H1878</f>
        <v/>
      </c>
      <c r="O1878" s="13">
        <f>CHAIN_RAW!O1878</f>
        <v/>
      </c>
      <c r="P1878" s="13">
        <f>IFERROR(O1878/N1878,"")</f>
        <v/>
      </c>
      <c r="Q1878" s="13">
        <f>CHAIN_RAW!I1878</f>
        <v/>
      </c>
      <c r="R1878" s="13">
        <f>CHAIN_RAW!P1878</f>
        <v/>
      </c>
      <c r="S1878" s="13">
        <f>IFERROR(R1878/Q1878,"")</f>
        <v/>
      </c>
      <c r="T1878" s="13">
        <f>IFERROR((ABS(N1878-O1878)/MAX(1,(N1878+O1878)))*EXP(-ABS(E1878-CONTROL!E5)/MAX(1,CONTROL!B8)),"")</f>
        <v/>
      </c>
      <c r="U1878" s="13">
        <f>IFERROR(IF(O1878&gt;N1878,"SUPPORT (PE OI)","RESIST (CE OI)"),"")</f>
        <v/>
      </c>
      <c r="V1878" s="13">
        <f>IFERROR(IF(Q1878&gt;0,IF(R1878&gt;0,"BOTH_ADD","CE_ADD_PE_REDUCE"),IF(R1878&gt;0,"CE_REDUCE_PE_ADD","BOTH_REDUCE")),"")</f>
        <v/>
      </c>
      <c r="W1878" s="13">
        <f>IFERROR( (P1878-1)*0.5 + (M1878)*0.1 - (I1878+J1878)*0.05 + T1878*0.4 ,"")</f>
        <v/>
      </c>
      <c r="X1878" s="13">
        <f>IFERROR(IF(ABS(F1878)&lt;0.01,"ATM/NEAR",""),"")</f>
        <v/>
      </c>
    </row>
    <row r="1879">
      <c r="A1879" s="13">
        <f>CHAIN_RAW!A1879</f>
        <v/>
      </c>
      <c r="B1879" s="14">
        <f>CHAIN_RAW!B1879</f>
        <v/>
      </c>
      <c r="C1879" s="13">
        <f>CHAIN_RAW!C1879</f>
        <v/>
      </c>
      <c r="D1879" s="13">
        <f>CHAIN_RAW!D1879</f>
        <v/>
      </c>
      <c r="E1879" s="13">
        <f>CHAIN_RAW!E1879</f>
        <v/>
      </c>
      <c r="F1879" s="13">
        <f>IFERROR((E1879-D1879)/D1879,"")</f>
        <v/>
      </c>
      <c r="G1879" s="13">
        <f>IFERROR((CHAIN_RAW!K1879+CHAIN_RAW!L1879)/2,"")</f>
        <v/>
      </c>
      <c r="H1879" s="13">
        <f>IFERROR((CHAIN_RAW!R1879+CHAIN_RAW!S1879)/2,"")</f>
        <v/>
      </c>
      <c r="I1879" s="13">
        <f>IFERROR((CHAIN_RAW!L1879-CHAIN_RAW!K1879)/MAX(1E-9, G1879),"")</f>
        <v/>
      </c>
      <c r="J1879" s="13">
        <f>IFERROR((CHAIN_RAW!S1879-CHAIN_RAW!R1879)/MAX(1E-9, H1879),"")</f>
        <v/>
      </c>
      <c r="K1879" s="13">
        <f>CHAIN_RAW!G1879</f>
        <v/>
      </c>
      <c r="L1879" s="13">
        <f>CHAIN_RAW!N1879</f>
        <v/>
      </c>
      <c r="M1879" s="13">
        <f>IFERROR(L1879-K1879,"")</f>
        <v/>
      </c>
      <c r="N1879" s="13">
        <f>CHAIN_RAW!H1879</f>
        <v/>
      </c>
      <c r="O1879" s="13">
        <f>CHAIN_RAW!O1879</f>
        <v/>
      </c>
      <c r="P1879" s="13">
        <f>IFERROR(O1879/N1879,"")</f>
        <v/>
      </c>
      <c r="Q1879" s="13">
        <f>CHAIN_RAW!I1879</f>
        <v/>
      </c>
      <c r="R1879" s="13">
        <f>CHAIN_RAW!P1879</f>
        <v/>
      </c>
      <c r="S1879" s="13">
        <f>IFERROR(R1879/Q1879,"")</f>
        <v/>
      </c>
      <c r="T1879" s="13">
        <f>IFERROR((ABS(N1879-O1879)/MAX(1,(N1879+O1879)))*EXP(-ABS(E1879-CONTROL!E5)/MAX(1,CONTROL!B8)),"")</f>
        <v/>
      </c>
      <c r="U1879" s="13">
        <f>IFERROR(IF(O1879&gt;N1879,"SUPPORT (PE OI)","RESIST (CE OI)"),"")</f>
        <v/>
      </c>
      <c r="V1879" s="13">
        <f>IFERROR(IF(Q1879&gt;0,IF(R1879&gt;0,"BOTH_ADD","CE_ADD_PE_REDUCE"),IF(R1879&gt;0,"CE_REDUCE_PE_ADD","BOTH_REDUCE")),"")</f>
        <v/>
      </c>
      <c r="W1879" s="13">
        <f>IFERROR( (P1879-1)*0.5 + (M1879)*0.1 - (I1879+J1879)*0.05 + T1879*0.4 ,"")</f>
        <v/>
      </c>
      <c r="X1879" s="13">
        <f>IFERROR(IF(ABS(F1879)&lt;0.01,"ATM/NEAR",""),"")</f>
        <v/>
      </c>
    </row>
    <row r="1880">
      <c r="A1880" s="13">
        <f>CHAIN_RAW!A1880</f>
        <v/>
      </c>
      <c r="B1880" s="14">
        <f>CHAIN_RAW!B1880</f>
        <v/>
      </c>
      <c r="C1880" s="13">
        <f>CHAIN_RAW!C1880</f>
        <v/>
      </c>
      <c r="D1880" s="13">
        <f>CHAIN_RAW!D1880</f>
        <v/>
      </c>
      <c r="E1880" s="13">
        <f>CHAIN_RAW!E1880</f>
        <v/>
      </c>
      <c r="F1880" s="13">
        <f>IFERROR((E1880-D1880)/D1880,"")</f>
        <v/>
      </c>
      <c r="G1880" s="13">
        <f>IFERROR((CHAIN_RAW!K1880+CHAIN_RAW!L1880)/2,"")</f>
        <v/>
      </c>
      <c r="H1880" s="13">
        <f>IFERROR((CHAIN_RAW!R1880+CHAIN_RAW!S1880)/2,"")</f>
        <v/>
      </c>
      <c r="I1880" s="13">
        <f>IFERROR((CHAIN_RAW!L1880-CHAIN_RAW!K1880)/MAX(1E-9, G1880),"")</f>
        <v/>
      </c>
      <c r="J1880" s="13">
        <f>IFERROR((CHAIN_RAW!S1880-CHAIN_RAW!R1880)/MAX(1E-9, H1880),"")</f>
        <v/>
      </c>
      <c r="K1880" s="13">
        <f>CHAIN_RAW!G1880</f>
        <v/>
      </c>
      <c r="L1880" s="13">
        <f>CHAIN_RAW!N1880</f>
        <v/>
      </c>
      <c r="M1880" s="13">
        <f>IFERROR(L1880-K1880,"")</f>
        <v/>
      </c>
      <c r="N1880" s="13">
        <f>CHAIN_RAW!H1880</f>
        <v/>
      </c>
      <c r="O1880" s="13">
        <f>CHAIN_RAW!O1880</f>
        <v/>
      </c>
      <c r="P1880" s="13">
        <f>IFERROR(O1880/N1880,"")</f>
        <v/>
      </c>
      <c r="Q1880" s="13">
        <f>CHAIN_RAW!I1880</f>
        <v/>
      </c>
      <c r="R1880" s="13">
        <f>CHAIN_RAW!P1880</f>
        <v/>
      </c>
      <c r="S1880" s="13">
        <f>IFERROR(R1880/Q1880,"")</f>
        <v/>
      </c>
      <c r="T1880" s="13">
        <f>IFERROR((ABS(N1880-O1880)/MAX(1,(N1880+O1880)))*EXP(-ABS(E1880-CONTROL!E5)/MAX(1,CONTROL!B8)),"")</f>
        <v/>
      </c>
      <c r="U1880" s="13">
        <f>IFERROR(IF(O1880&gt;N1880,"SUPPORT (PE OI)","RESIST (CE OI)"),"")</f>
        <v/>
      </c>
      <c r="V1880" s="13">
        <f>IFERROR(IF(Q1880&gt;0,IF(R1880&gt;0,"BOTH_ADD","CE_ADD_PE_REDUCE"),IF(R1880&gt;0,"CE_REDUCE_PE_ADD","BOTH_REDUCE")),"")</f>
        <v/>
      </c>
      <c r="W1880" s="13">
        <f>IFERROR( (P1880-1)*0.5 + (M1880)*0.1 - (I1880+J1880)*0.05 + T1880*0.4 ,"")</f>
        <v/>
      </c>
      <c r="X1880" s="13">
        <f>IFERROR(IF(ABS(F1880)&lt;0.01,"ATM/NEAR",""),"")</f>
        <v/>
      </c>
    </row>
    <row r="1881">
      <c r="A1881" s="13">
        <f>CHAIN_RAW!A1881</f>
        <v/>
      </c>
      <c r="B1881" s="14">
        <f>CHAIN_RAW!B1881</f>
        <v/>
      </c>
      <c r="C1881" s="13">
        <f>CHAIN_RAW!C1881</f>
        <v/>
      </c>
      <c r="D1881" s="13">
        <f>CHAIN_RAW!D1881</f>
        <v/>
      </c>
      <c r="E1881" s="13">
        <f>CHAIN_RAW!E1881</f>
        <v/>
      </c>
      <c r="F1881" s="13">
        <f>IFERROR((E1881-D1881)/D1881,"")</f>
        <v/>
      </c>
      <c r="G1881" s="13">
        <f>IFERROR((CHAIN_RAW!K1881+CHAIN_RAW!L1881)/2,"")</f>
        <v/>
      </c>
      <c r="H1881" s="13">
        <f>IFERROR((CHAIN_RAW!R1881+CHAIN_RAW!S1881)/2,"")</f>
        <v/>
      </c>
      <c r="I1881" s="13">
        <f>IFERROR((CHAIN_RAW!L1881-CHAIN_RAW!K1881)/MAX(1E-9, G1881),"")</f>
        <v/>
      </c>
      <c r="J1881" s="13">
        <f>IFERROR((CHAIN_RAW!S1881-CHAIN_RAW!R1881)/MAX(1E-9, H1881),"")</f>
        <v/>
      </c>
      <c r="K1881" s="13">
        <f>CHAIN_RAW!G1881</f>
        <v/>
      </c>
      <c r="L1881" s="13">
        <f>CHAIN_RAW!N1881</f>
        <v/>
      </c>
      <c r="M1881" s="13">
        <f>IFERROR(L1881-K1881,"")</f>
        <v/>
      </c>
      <c r="N1881" s="13">
        <f>CHAIN_RAW!H1881</f>
        <v/>
      </c>
      <c r="O1881" s="13">
        <f>CHAIN_RAW!O1881</f>
        <v/>
      </c>
      <c r="P1881" s="13">
        <f>IFERROR(O1881/N1881,"")</f>
        <v/>
      </c>
      <c r="Q1881" s="13">
        <f>CHAIN_RAW!I1881</f>
        <v/>
      </c>
      <c r="R1881" s="13">
        <f>CHAIN_RAW!P1881</f>
        <v/>
      </c>
      <c r="S1881" s="13">
        <f>IFERROR(R1881/Q1881,"")</f>
        <v/>
      </c>
      <c r="T1881" s="13">
        <f>IFERROR((ABS(N1881-O1881)/MAX(1,(N1881+O1881)))*EXP(-ABS(E1881-CONTROL!E5)/MAX(1,CONTROL!B8)),"")</f>
        <v/>
      </c>
      <c r="U1881" s="13">
        <f>IFERROR(IF(O1881&gt;N1881,"SUPPORT (PE OI)","RESIST (CE OI)"),"")</f>
        <v/>
      </c>
      <c r="V1881" s="13">
        <f>IFERROR(IF(Q1881&gt;0,IF(R1881&gt;0,"BOTH_ADD","CE_ADD_PE_REDUCE"),IF(R1881&gt;0,"CE_REDUCE_PE_ADD","BOTH_REDUCE")),"")</f>
        <v/>
      </c>
      <c r="W1881" s="13">
        <f>IFERROR( (P1881-1)*0.5 + (M1881)*0.1 - (I1881+J1881)*0.05 + T1881*0.4 ,"")</f>
        <v/>
      </c>
      <c r="X1881" s="13">
        <f>IFERROR(IF(ABS(F1881)&lt;0.01,"ATM/NEAR",""),"")</f>
        <v/>
      </c>
    </row>
    <row r="1882">
      <c r="A1882" s="13">
        <f>CHAIN_RAW!A1882</f>
        <v/>
      </c>
      <c r="B1882" s="14">
        <f>CHAIN_RAW!B1882</f>
        <v/>
      </c>
      <c r="C1882" s="13">
        <f>CHAIN_RAW!C1882</f>
        <v/>
      </c>
      <c r="D1882" s="13">
        <f>CHAIN_RAW!D1882</f>
        <v/>
      </c>
      <c r="E1882" s="13">
        <f>CHAIN_RAW!E1882</f>
        <v/>
      </c>
      <c r="F1882" s="13">
        <f>IFERROR((E1882-D1882)/D1882,"")</f>
        <v/>
      </c>
      <c r="G1882" s="13">
        <f>IFERROR((CHAIN_RAW!K1882+CHAIN_RAW!L1882)/2,"")</f>
        <v/>
      </c>
      <c r="H1882" s="13">
        <f>IFERROR((CHAIN_RAW!R1882+CHAIN_RAW!S1882)/2,"")</f>
        <v/>
      </c>
      <c r="I1882" s="13">
        <f>IFERROR((CHAIN_RAW!L1882-CHAIN_RAW!K1882)/MAX(1E-9, G1882),"")</f>
        <v/>
      </c>
      <c r="J1882" s="13">
        <f>IFERROR((CHAIN_RAW!S1882-CHAIN_RAW!R1882)/MAX(1E-9, H1882),"")</f>
        <v/>
      </c>
      <c r="K1882" s="13">
        <f>CHAIN_RAW!G1882</f>
        <v/>
      </c>
      <c r="L1882" s="13">
        <f>CHAIN_RAW!N1882</f>
        <v/>
      </c>
      <c r="M1882" s="13">
        <f>IFERROR(L1882-K1882,"")</f>
        <v/>
      </c>
      <c r="N1882" s="13">
        <f>CHAIN_RAW!H1882</f>
        <v/>
      </c>
      <c r="O1882" s="13">
        <f>CHAIN_RAW!O1882</f>
        <v/>
      </c>
      <c r="P1882" s="13">
        <f>IFERROR(O1882/N1882,"")</f>
        <v/>
      </c>
      <c r="Q1882" s="13">
        <f>CHAIN_RAW!I1882</f>
        <v/>
      </c>
      <c r="R1882" s="13">
        <f>CHAIN_RAW!P1882</f>
        <v/>
      </c>
      <c r="S1882" s="13">
        <f>IFERROR(R1882/Q1882,"")</f>
        <v/>
      </c>
      <c r="T1882" s="13">
        <f>IFERROR((ABS(N1882-O1882)/MAX(1,(N1882+O1882)))*EXP(-ABS(E1882-CONTROL!E5)/MAX(1,CONTROL!B8)),"")</f>
        <v/>
      </c>
      <c r="U1882" s="13">
        <f>IFERROR(IF(O1882&gt;N1882,"SUPPORT (PE OI)","RESIST (CE OI)"),"")</f>
        <v/>
      </c>
      <c r="V1882" s="13">
        <f>IFERROR(IF(Q1882&gt;0,IF(R1882&gt;0,"BOTH_ADD","CE_ADD_PE_REDUCE"),IF(R1882&gt;0,"CE_REDUCE_PE_ADD","BOTH_REDUCE")),"")</f>
        <v/>
      </c>
      <c r="W1882" s="13">
        <f>IFERROR( (P1882-1)*0.5 + (M1882)*0.1 - (I1882+J1882)*0.05 + T1882*0.4 ,"")</f>
        <v/>
      </c>
      <c r="X1882" s="13">
        <f>IFERROR(IF(ABS(F1882)&lt;0.01,"ATM/NEAR",""),"")</f>
        <v/>
      </c>
    </row>
    <row r="1883">
      <c r="A1883" s="13">
        <f>CHAIN_RAW!A1883</f>
        <v/>
      </c>
      <c r="B1883" s="14">
        <f>CHAIN_RAW!B1883</f>
        <v/>
      </c>
      <c r="C1883" s="13">
        <f>CHAIN_RAW!C1883</f>
        <v/>
      </c>
      <c r="D1883" s="13">
        <f>CHAIN_RAW!D1883</f>
        <v/>
      </c>
      <c r="E1883" s="13">
        <f>CHAIN_RAW!E1883</f>
        <v/>
      </c>
      <c r="F1883" s="13">
        <f>IFERROR((E1883-D1883)/D1883,"")</f>
        <v/>
      </c>
      <c r="G1883" s="13">
        <f>IFERROR((CHAIN_RAW!K1883+CHAIN_RAW!L1883)/2,"")</f>
        <v/>
      </c>
      <c r="H1883" s="13">
        <f>IFERROR((CHAIN_RAW!R1883+CHAIN_RAW!S1883)/2,"")</f>
        <v/>
      </c>
      <c r="I1883" s="13">
        <f>IFERROR((CHAIN_RAW!L1883-CHAIN_RAW!K1883)/MAX(1E-9, G1883),"")</f>
        <v/>
      </c>
      <c r="J1883" s="13">
        <f>IFERROR((CHAIN_RAW!S1883-CHAIN_RAW!R1883)/MAX(1E-9, H1883),"")</f>
        <v/>
      </c>
      <c r="K1883" s="13">
        <f>CHAIN_RAW!G1883</f>
        <v/>
      </c>
      <c r="L1883" s="13">
        <f>CHAIN_RAW!N1883</f>
        <v/>
      </c>
      <c r="M1883" s="13">
        <f>IFERROR(L1883-K1883,"")</f>
        <v/>
      </c>
      <c r="N1883" s="13">
        <f>CHAIN_RAW!H1883</f>
        <v/>
      </c>
      <c r="O1883" s="13">
        <f>CHAIN_RAW!O1883</f>
        <v/>
      </c>
      <c r="P1883" s="13">
        <f>IFERROR(O1883/N1883,"")</f>
        <v/>
      </c>
      <c r="Q1883" s="13">
        <f>CHAIN_RAW!I1883</f>
        <v/>
      </c>
      <c r="R1883" s="13">
        <f>CHAIN_RAW!P1883</f>
        <v/>
      </c>
      <c r="S1883" s="13">
        <f>IFERROR(R1883/Q1883,"")</f>
        <v/>
      </c>
      <c r="T1883" s="13">
        <f>IFERROR((ABS(N1883-O1883)/MAX(1,(N1883+O1883)))*EXP(-ABS(E1883-CONTROL!E5)/MAX(1,CONTROL!B8)),"")</f>
        <v/>
      </c>
      <c r="U1883" s="13">
        <f>IFERROR(IF(O1883&gt;N1883,"SUPPORT (PE OI)","RESIST (CE OI)"),"")</f>
        <v/>
      </c>
      <c r="V1883" s="13">
        <f>IFERROR(IF(Q1883&gt;0,IF(R1883&gt;0,"BOTH_ADD","CE_ADD_PE_REDUCE"),IF(R1883&gt;0,"CE_REDUCE_PE_ADD","BOTH_REDUCE")),"")</f>
        <v/>
      </c>
      <c r="W1883" s="13">
        <f>IFERROR( (P1883-1)*0.5 + (M1883)*0.1 - (I1883+J1883)*0.05 + T1883*0.4 ,"")</f>
        <v/>
      </c>
      <c r="X1883" s="13">
        <f>IFERROR(IF(ABS(F1883)&lt;0.01,"ATM/NEAR",""),"")</f>
        <v/>
      </c>
    </row>
    <row r="1884">
      <c r="A1884" s="13">
        <f>CHAIN_RAW!A1884</f>
        <v/>
      </c>
      <c r="B1884" s="14">
        <f>CHAIN_RAW!B1884</f>
        <v/>
      </c>
      <c r="C1884" s="13">
        <f>CHAIN_RAW!C1884</f>
        <v/>
      </c>
      <c r="D1884" s="13">
        <f>CHAIN_RAW!D1884</f>
        <v/>
      </c>
      <c r="E1884" s="13">
        <f>CHAIN_RAW!E1884</f>
        <v/>
      </c>
      <c r="F1884" s="13">
        <f>IFERROR((E1884-D1884)/D1884,"")</f>
        <v/>
      </c>
      <c r="G1884" s="13">
        <f>IFERROR((CHAIN_RAW!K1884+CHAIN_RAW!L1884)/2,"")</f>
        <v/>
      </c>
      <c r="H1884" s="13">
        <f>IFERROR((CHAIN_RAW!R1884+CHAIN_RAW!S1884)/2,"")</f>
        <v/>
      </c>
      <c r="I1884" s="13">
        <f>IFERROR((CHAIN_RAW!L1884-CHAIN_RAW!K1884)/MAX(1E-9, G1884),"")</f>
        <v/>
      </c>
      <c r="J1884" s="13">
        <f>IFERROR((CHAIN_RAW!S1884-CHAIN_RAW!R1884)/MAX(1E-9, H1884),"")</f>
        <v/>
      </c>
      <c r="K1884" s="13">
        <f>CHAIN_RAW!G1884</f>
        <v/>
      </c>
      <c r="L1884" s="13">
        <f>CHAIN_RAW!N1884</f>
        <v/>
      </c>
      <c r="M1884" s="13">
        <f>IFERROR(L1884-K1884,"")</f>
        <v/>
      </c>
      <c r="N1884" s="13">
        <f>CHAIN_RAW!H1884</f>
        <v/>
      </c>
      <c r="O1884" s="13">
        <f>CHAIN_RAW!O1884</f>
        <v/>
      </c>
      <c r="P1884" s="13">
        <f>IFERROR(O1884/N1884,"")</f>
        <v/>
      </c>
      <c r="Q1884" s="13">
        <f>CHAIN_RAW!I1884</f>
        <v/>
      </c>
      <c r="R1884" s="13">
        <f>CHAIN_RAW!P1884</f>
        <v/>
      </c>
      <c r="S1884" s="13">
        <f>IFERROR(R1884/Q1884,"")</f>
        <v/>
      </c>
      <c r="T1884" s="13">
        <f>IFERROR((ABS(N1884-O1884)/MAX(1,(N1884+O1884)))*EXP(-ABS(E1884-CONTROL!E5)/MAX(1,CONTROL!B8)),"")</f>
        <v/>
      </c>
      <c r="U1884" s="13">
        <f>IFERROR(IF(O1884&gt;N1884,"SUPPORT (PE OI)","RESIST (CE OI)"),"")</f>
        <v/>
      </c>
      <c r="V1884" s="13">
        <f>IFERROR(IF(Q1884&gt;0,IF(R1884&gt;0,"BOTH_ADD","CE_ADD_PE_REDUCE"),IF(R1884&gt;0,"CE_REDUCE_PE_ADD","BOTH_REDUCE")),"")</f>
        <v/>
      </c>
      <c r="W1884" s="13">
        <f>IFERROR( (P1884-1)*0.5 + (M1884)*0.1 - (I1884+J1884)*0.05 + T1884*0.4 ,"")</f>
        <v/>
      </c>
      <c r="X1884" s="13">
        <f>IFERROR(IF(ABS(F1884)&lt;0.01,"ATM/NEAR",""),"")</f>
        <v/>
      </c>
    </row>
    <row r="1885">
      <c r="A1885" s="13">
        <f>CHAIN_RAW!A1885</f>
        <v/>
      </c>
      <c r="B1885" s="14">
        <f>CHAIN_RAW!B1885</f>
        <v/>
      </c>
      <c r="C1885" s="13">
        <f>CHAIN_RAW!C1885</f>
        <v/>
      </c>
      <c r="D1885" s="13">
        <f>CHAIN_RAW!D1885</f>
        <v/>
      </c>
      <c r="E1885" s="13">
        <f>CHAIN_RAW!E1885</f>
        <v/>
      </c>
      <c r="F1885" s="13">
        <f>IFERROR((E1885-D1885)/D1885,"")</f>
        <v/>
      </c>
      <c r="G1885" s="13">
        <f>IFERROR((CHAIN_RAW!K1885+CHAIN_RAW!L1885)/2,"")</f>
        <v/>
      </c>
      <c r="H1885" s="13">
        <f>IFERROR((CHAIN_RAW!R1885+CHAIN_RAW!S1885)/2,"")</f>
        <v/>
      </c>
      <c r="I1885" s="13">
        <f>IFERROR((CHAIN_RAW!L1885-CHAIN_RAW!K1885)/MAX(1E-9, G1885),"")</f>
        <v/>
      </c>
      <c r="J1885" s="13">
        <f>IFERROR((CHAIN_RAW!S1885-CHAIN_RAW!R1885)/MAX(1E-9, H1885),"")</f>
        <v/>
      </c>
      <c r="K1885" s="13">
        <f>CHAIN_RAW!G1885</f>
        <v/>
      </c>
      <c r="L1885" s="13">
        <f>CHAIN_RAW!N1885</f>
        <v/>
      </c>
      <c r="M1885" s="13">
        <f>IFERROR(L1885-K1885,"")</f>
        <v/>
      </c>
      <c r="N1885" s="13">
        <f>CHAIN_RAW!H1885</f>
        <v/>
      </c>
      <c r="O1885" s="13">
        <f>CHAIN_RAW!O1885</f>
        <v/>
      </c>
      <c r="P1885" s="13">
        <f>IFERROR(O1885/N1885,"")</f>
        <v/>
      </c>
      <c r="Q1885" s="13">
        <f>CHAIN_RAW!I1885</f>
        <v/>
      </c>
      <c r="R1885" s="13">
        <f>CHAIN_RAW!P1885</f>
        <v/>
      </c>
      <c r="S1885" s="13">
        <f>IFERROR(R1885/Q1885,"")</f>
        <v/>
      </c>
      <c r="T1885" s="13">
        <f>IFERROR((ABS(N1885-O1885)/MAX(1,(N1885+O1885)))*EXP(-ABS(E1885-CONTROL!E5)/MAX(1,CONTROL!B8)),"")</f>
        <v/>
      </c>
      <c r="U1885" s="13">
        <f>IFERROR(IF(O1885&gt;N1885,"SUPPORT (PE OI)","RESIST (CE OI)"),"")</f>
        <v/>
      </c>
      <c r="V1885" s="13">
        <f>IFERROR(IF(Q1885&gt;0,IF(R1885&gt;0,"BOTH_ADD","CE_ADD_PE_REDUCE"),IF(R1885&gt;0,"CE_REDUCE_PE_ADD","BOTH_REDUCE")),"")</f>
        <v/>
      </c>
      <c r="W1885" s="13">
        <f>IFERROR( (P1885-1)*0.5 + (M1885)*0.1 - (I1885+J1885)*0.05 + T1885*0.4 ,"")</f>
        <v/>
      </c>
      <c r="X1885" s="13">
        <f>IFERROR(IF(ABS(F1885)&lt;0.01,"ATM/NEAR",""),"")</f>
        <v/>
      </c>
    </row>
    <row r="1886">
      <c r="A1886" s="13">
        <f>CHAIN_RAW!A1886</f>
        <v/>
      </c>
      <c r="B1886" s="14">
        <f>CHAIN_RAW!B1886</f>
        <v/>
      </c>
      <c r="C1886" s="13">
        <f>CHAIN_RAW!C1886</f>
        <v/>
      </c>
      <c r="D1886" s="13">
        <f>CHAIN_RAW!D1886</f>
        <v/>
      </c>
      <c r="E1886" s="13">
        <f>CHAIN_RAW!E1886</f>
        <v/>
      </c>
      <c r="F1886" s="13">
        <f>IFERROR((E1886-D1886)/D1886,"")</f>
        <v/>
      </c>
      <c r="G1886" s="13">
        <f>IFERROR((CHAIN_RAW!K1886+CHAIN_RAW!L1886)/2,"")</f>
        <v/>
      </c>
      <c r="H1886" s="13">
        <f>IFERROR((CHAIN_RAW!R1886+CHAIN_RAW!S1886)/2,"")</f>
        <v/>
      </c>
      <c r="I1886" s="13">
        <f>IFERROR((CHAIN_RAW!L1886-CHAIN_RAW!K1886)/MAX(1E-9, G1886),"")</f>
        <v/>
      </c>
      <c r="J1886" s="13">
        <f>IFERROR((CHAIN_RAW!S1886-CHAIN_RAW!R1886)/MAX(1E-9, H1886),"")</f>
        <v/>
      </c>
      <c r="K1886" s="13">
        <f>CHAIN_RAW!G1886</f>
        <v/>
      </c>
      <c r="L1886" s="13">
        <f>CHAIN_RAW!N1886</f>
        <v/>
      </c>
      <c r="M1886" s="13">
        <f>IFERROR(L1886-K1886,"")</f>
        <v/>
      </c>
      <c r="N1886" s="13">
        <f>CHAIN_RAW!H1886</f>
        <v/>
      </c>
      <c r="O1886" s="13">
        <f>CHAIN_RAW!O1886</f>
        <v/>
      </c>
      <c r="P1886" s="13">
        <f>IFERROR(O1886/N1886,"")</f>
        <v/>
      </c>
      <c r="Q1886" s="13">
        <f>CHAIN_RAW!I1886</f>
        <v/>
      </c>
      <c r="R1886" s="13">
        <f>CHAIN_RAW!P1886</f>
        <v/>
      </c>
      <c r="S1886" s="13">
        <f>IFERROR(R1886/Q1886,"")</f>
        <v/>
      </c>
      <c r="T1886" s="13">
        <f>IFERROR((ABS(N1886-O1886)/MAX(1,(N1886+O1886)))*EXP(-ABS(E1886-CONTROL!E5)/MAX(1,CONTROL!B8)),"")</f>
        <v/>
      </c>
      <c r="U1886" s="13">
        <f>IFERROR(IF(O1886&gt;N1886,"SUPPORT (PE OI)","RESIST (CE OI)"),"")</f>
        <v/>
      </c>
      <c r="V1886" s="13">
        <f>IFERROR(IF(Q1886&gt;0,IF(R1886&gt;0,"BOTH_ADD","CE_ADD_PE_REDUCE"),IF(R1886&gt;0,"CE_REDUCE_PE_ADD","BOTH_REDUCE")),"")</f>
        <v/>
      </c>
      <c r="W1886" s="13">
        <f>IFERROR( (P1886-1)*0.5 + (M1886)*0.1 - (I1886+J1886)*0.05 + T1886*0.4 ,"")</f>
        <v/>
      </c>
      <c r="X1886" s="13">
        <f>IFERROR(IF(ABS(F1886)&lt;0.01,"ATM/NEAR",""),"")</f>
        <v/>
      </c>
    </row>
    <row r="1887">
      <c r="A1887" s="13">
        <f>CHAIN_RAW!A1887</f>
        <v/>
      </c>
      <c r="B1887" s="14">
        <f>CHAIN_RAW!B1887</f>
        <v/>
      </c>
      <c r="C1887" s="13">
        <f>CHAIN_RAW!C1887</f>
        <v/>
      </c>
      <c r="D1887" s="13">
        <f>CHAIN_RAW!D1887</f>
        <v/>
      </c>
      <c r="E1887" s="13">
        <f>CHAIN_RAW!E1887</f>
        <v/>
      </c>
      <c r="F1887" s="13">
        <f>IFERROR((E1887-D1887)/D1887,"")</f>
        <v/>
      </c>
      <c r="G1887" s="13">
        <f>IFERROR((CHAIN_RAW!K1887+CHAIN_RAW!L1887)/2,"")</f>
        <v/>
      </c>
      <c r="H1887" s="13">
        <f>IFERROR((CHAIN_RAW!R1887+CHAIN_RAW!S1887)/2,"")</f>
        <v/>
      </c>
      <c r="I1887" s="13">
        <f>IFERROR((CHAIN_RAW!L1887-CHAIN_RAW!K1887)/MAX(1E-9, G1887),"")</f>
        <v/>
      </c>
      <c r="J1887" s="13">
        <f>IFERROR((CHAIN_RAW!S1887-CHAIN_RAW!R1887)/MAX(1E-9, H1887),"")</f>
        <v/>
      </c>
      <c r="K1887" s="13">
        <f>CHAIN_RAW!G1887</f>
        <v/>
      </c>
      <c r="L1887" s="13">
        <f>CHAIN_RAW!N1887</f>
        <v/>
      </c>
      <c r="M1887" s="13">
        <f>IFERROR(L1887-K1887,"")</f>
        <v/>
      </c>
      <c r="N1887" s="13">
        <f>CHAIN_RAW!H1887</f>
        <v/>
      </c>
      <c r="O1887" s="13">
        <f>CHAIN_RAW!O1887</f>
        <v/>
      </c>
      <c r="P1887" s="13">
        <f>IFERROR(O1887/N1887,"")</f>
        <v/>
      </c>
      <c r="Q1887" s="13">
        <f>CHAIN_RAW!I1887</f>
        <v/>
      </c>
      <c r="R1887" s="13">
        <f>CHAIN_RAW!P1887</f>
        <v/>
      </c>
      <c r="S1887" s="13">
        <f>IFERROR(R1887/Q1887,"")</f>
        <v/>
      </c>
      <c r="T1887" s="13">
        <f>IFERROR((ABS(N1887-O1887)/MAX(1,(N1887+O1887)))*EXP(-ABS(E1887-CONTROL!E5)/MAX(1,CONTROL!B8)),"")</f>
        <v/>
      </c>
      <c r="U1887" s="13">
        <f>IFERROR(IF(O1887&gt;N1887,"SUPPORT (PE OI)","RESIST (CE OI)"),"")</f>
        <v/>
      </c>
      <c r="V1887" s="13">
        <f>IFERROR(IF(Q1887&gt;0,IF(R1887&gt;0,"BOTH_ADD","CE_ADD_PE_REDUCE"),IF(R1887&gt;0,"CE_REDUCE_PE_ADD","BOTH_REDUCE")),"")</f>
        <v/>
      </c>
      <c r="W1887" s="13">
        <f>IFERROR( (P1887-1)*0.5 + (M1887)*0.1 - (I1887+J1887)*0.05 + T1887*0.4 ,"")</f>
        <v/>
      </c>
      <c r="X1887" s="13">
        <f>IFERROR(IF(ABS(F1887)&lt;0.01,"ATM/NEAR",""),"")</f>
        <v/>
      </c>
    </row>
    <row r="1888">
      <c r="A1888" s="13">
        <f>CHAIN_RAW!A1888</f>
        <v/>
      </c>
      <c r="B1888" s="14">
        <f>CHAIN_RAW!B1888</f>
        <v/>
      </c>
      <c r="C1888" s="13">
        <f>CHAIN_RAW!C1888</f>
        <v/>
      </c>
      <c r="D1888" s="13">
        <f>CHAIN_RAW!D1888</f>
        <v/>
      </c>
      <c r="E1888" s="13">
        <f>CHAIN_RAW!E1888</f>
        <v/>
      </c>
      <c r="F1888" s="13">
        <f>IFERROR((E1888-D1888)/D1888,"")</f>
        <v/>
      </c>
      <c r="G1888" s="13">
        <f>IFERROR((CHAIN_RAW!K1888+CHAIN_RAW!L1888)/2,"")</f>
        <v/>
      </c>
      <c r="H1888" s="13">
        <f>IFERROR((CHAIN_RAW!R1888+CHAIN_RAW!S1888)/2,"")</f>
        <v/>
      </c>
      <c r="I1888" s="13">
        <f>IFERROR((CHAIN_RAW!L1888-CHAIN_RAW!K1888)/MAX(1E-9, G1888),"")</f>
        <v/>
      </c>
      <c r="J1888" s="13">
        <f>IFERROR((CHAIN_RAW!S1888-CHAIN_RAW!R1888)/MAX(1E-9, H1888),"")</f>
        <v/>
      </c>
      <c r="K1888" s="13">
        <f>CHAIN_RAW!G1888</f>
        <v/>
      </c>
      <c r="L1888" s="13">
        <f>CHAIN_RAW!N1888</f>
        <v/>
      </c>
      <c r="M1888" s="13">
        <f>IFERROR(L1888-K1888,"")</f>
        <v/>
      </c>
      <c r="N1888" s="13">
        <f>CHAIN_RAW!H1888</f>
        <v/>
      </c>
      <c r="O1888" s="13">
        <f>CHAIN_RAW!O1888</f>
        <v/>
      </c>
      <c r="P1888" s="13">
        <f>IFERROR(O1888/N1888,"")</f>
        <v/>
      </c>
      <c r="Q1888" s="13">
        <f>CHAIN_RAW!I1888</f>
        <v/>
      </c>
      <c r="R1888" s="13">
        <f>CHAIN_RAW!P1888</f>
        <v/>
      </c>
      <c r="S1888" s="13">
        <f>IFERROR(R1888/Q1888,"")</f>
        <v/>
      </c>
      <c r="T1888" s="13">
        <f>IFERROR((ABS(N1888-O1888)/MAX(1,(N1888+O1888)))*EXP(-ABS(E1888-CONTROL!E5)/MAX(1,CONTROL!B8)),"")</f>
        <v/>
      </c>
      <c r="U1888" s="13">
        <f>IFERROR(IF(O1888&gt;N1888,"SUPPORT (PE OI)","RESIST (CE OI)"),"")</f>
        <v/>
      </c>
      <c r="V1888" s="13">
        <f>IFERROR(IF(Q1888&gt;0,IF(R1888&gt;0,"BOTH_ADD","CE_ADD_PE_REDUCE"),IF(R1888&gt;0,"CE_REDUCE_PE_ADD","BOTH_REDUCE")),"")</f>
        <v/>
      </c>
      <c r="W1888" s="13">
        <f>IFERROR( (P1888-1)*0.5 + (M1888)*0.1 - (I1888+J1888)*0.05 + T1888*0.4 ,"")</f>
        <v/>
      </c>
      <c r="X1888" s="13">
        <f>IFERROR(IF(ABS(F1888)&lt;0.01,"ATM/NEAR",""),"")</f>
        <v/>
      </c>
    </row>
    <row r="1889">
      <c r="A1889" s="13">
        <f>CHAIN_RAW!A1889</f>
        <v/>
      </c>
      <c r="B1889" s="14">
        <f>CHAIN_RAW!B1889</f>
        <v/>
      </c>
      <c r="C1889" s="13">
        <f>CHAIN_RAW!C1889</f>
        <v/>
      </c>
      <c r="D1889" s="13">
        <f>CHAIN_RAW!D1889</f>
        <v/>
      </c>
      <c r="E1889" s="13">
        <f>CHAIN_RAW!E1889</f>
        <v/>
      </c>
      <c r="F1889" s="13">
        <f>IFERROR((E1889-D1889)/D1889,"")</f>
        <v/>
      </c>
      <c r="G1889" s="13">
        <f>IFERROR((CHAIN_RAW!K1889+CHAIN_RAW!L1889)/2,"")</f>
        <v/>
      </c>
      <c r="H1889" s="13">
        <f>IFERROR((CHAIN_RAW!R1889+CHAIN_RAW!S1889)/2,"")</f>
        <v/>
      </c>
      <c r="I1889" s="13">
        <f>IFERROR((CHAIN_RAW!L1889-CHAIN_RAW!K1889)/MAX(1E-9, G1889),"")</f>
        <v/>
      </c>
      <c r="J1889" s="13">
        <f>IFERROR((CHAIN_RAW!S1889-CHAIN_RAW!R1889)/MAX(1E-9, H1889),"")</f>
        <v/>
      </c>
      <c r="K1889" s="13">
        <f>CHAIN_RAW!G1889</f>
        <v/>
      </c>
      <c r="L1889" s="13">
        <f>CHAIN_RAW!N1889</f>
        <v/>
      </c>
      <c r="M1889" s="13">
        <f>IFERROR(L1889-K1889,"")</f>
        <v/>
      </c>
      <c r="N1889" s="13">
        <f>CHAIN_RAW!H1889</f>
        <v/>
      </c>
      <c r="O1889" s="13">
        <f>CHAIN_RAW!O1889</f>
        <v/>
      </c>
      <c r="P1889" s="13">
        <f>IFERROR(O1889/N1889,"")</f>
        <v/>
      </c>
      <c r="Q1889" s="13">
        <f>CHAIN_RAW!I1889</f>
        <v/>
      </c>
      <c r="R1889" s="13">
        <f>CHAIN_RAW!P1889</f>
        <v/>
      </c>
      <c r="S1889" s="13">
        <f>IFERROR(R1889/Q1889,"")</f>
        <v/>
      </c>
      <c r="T1889" s="13">
        <f>IFERROR((ABS(N1889-O1889)/MAX(1,(N1889+O1889)))*EXP(-ABS(E1889-CONTROL!E5)/MAX(1,CONTROL!B8)),"")</f>
        <v/>
      </c>
      <c r="U1889" s="13">
        <f>IFERROR(IF(O1889&gt;N1889,"SUPPORT (PE OI)","RESIST (CE OI)"),"")</f>
        <v/>
      </c>
      <c r="V1889" s="13">
        <f>IFERROR(IF(Q1889&gt;0,IF(R1889&gt;0,"BOTH_ADD","CE_ADD_PE_REDUCE"),IF(R1889&gt;0,"CE_REDUCE_PE_ADD","BOTH_REDUCE")),"")</f>
        <v/>
      </c>
      <c r="W1889" s="13">
        <f>IFERROR( (P1889-1)*0.5 + (M1889)*0.1 - (I1889+J1889)*0.05 + T1889*0.4 ,"")</f>
        <v/>
      </c>
      <c r="X1889" s="13">
        <f>IFERROR(IF(ABS(F1889)&lt;0.01,"ATM/NEAR",""),"")</f>
        <v/>
      </c>
    </row>
    <row r="1890">
      <c r="A1890" s="13">
        <f>CHAIN_RAW!A1890</f>
        <v/>
      </c>
      <c r="B1890" s="14">
        <f>CHAIN_RAW!B1890</f>
        <v/>
      </c>
      <c r="C1890" s="13">
        <f>CHAIN_RAW!C1890</f>
        <v/>
      </c>
      <c r="D1890" s="13">
        <f>CHAIN_RAW!D1890</f>
        <v/>
      </c>
      <c r="E1890" s="13">
        <f>CHAIN_RAW!E1890</f>
        <v/>
      </c>
      <c r="F1890" s="13">
        <f>IFERROR((E1890-D1890)/D1890,"")</f>
        <v/>
      </c>
      <c r="G1890" s="13">
        <f>IFERROR((CHAIN_RAW!K1890+CHAIN_RAW!L1890)/2,"")</f>
        <v/>
      </c>
      <c r="H1890" s="13">
        <f>IFERROR((CHAIN_RAW!R1890+CHAIN_RAW!S1890)/2,"")</f>
        <v/>
      </c>
      <c r="I1890" s="13">
        <f>IFERROR((CHAIN_RAW!L1890-CHAIN_RAW!K1890)/MAX(1E-9, G1890),"")</f>
        <v/>
      </c>
      <c r="J1890" s="13">
        <f>IFERROR((CHAIN_RAW!S1890-CHAIN_RAW!R1890)/MAX(1E-9, H1890),"")</f>
        <v/>
      </c>
      <c r="K1890" s="13">
        <f>CHAIN_RAW!G1890</f>
        <v/>
      </c>
      <c r="L1890" s="13">
        <f>CHAIN_RAW!N1890</f>
        <v/>
      </c>
      <c r="M1890" s="13">
        <f>IFERROR(L1890-K1890,"")</f>
        <v/>
      </c>
      <c r="N1890" s="13">
        <f>CHAIN_RAW!H1890</f>
        <v/>
      </c>
      <c r="O1890" s="13">
        <f>CHAIN_RAW!O1890</f>
        <v/>
      </c>
      <c r="P1890" s="13">
        <f>IFERROR(O1890/N1890,"")</f>
        <v/>
      </c>
      <c r="Q1890" s="13">
        <f>CHAIN_RAW!I1890</f>
        <v/>
      </c>
      <c r="R1890" s="13">
        <f>CHAIN_RAW!P1890</f>
        <v/>
      </c>
      <c r="S1890" s="13">
        <f>IFERROR(R1890/Q1890,"")</f>
        <v/>
      </c>
      <c r="T1890" s="13">
        <f>IFERROR((ABS(N1890-O1890)/MAX(1,(N1890+O1890)))*EXP(-ABS(E1890-CONTROL!E5)/MAX(1,CONTROL!B8)),"")</f>
        <v/>
      </c>
      <c r="U1890" s="13">
        <f>IFERROR(IF(O1890&gt;N1890,"SUPPORT (PE OI)","RESIST (CE OI)"),"")</f>
        <v/>
      </c>
      <c r="V1890" s="13">
        <f>IFERROR(IF(Q1890&gt;0,IF(R1890&gt;0,"BOTH_ADD","CE_ADD_PE_REDUCE"),IF(R1890&gt;0,"CE_REDUCE_PE_ADD","BOTH_REDUCE")),"")</f>
        <v/>
      </c>
      <c r="W1890" s="13">
        <f>IFERROR( (P1890-1)*0.5 + (M1890)*0.1 - (I1890+J1890)*0.05 + T1890*0.4 ,"")</f>
        <v/>
      </c>
      <c r="X1890" s="13">
        <f>IFERROR(IF(ABS(F1890)&lt;0.01,"ATM/NEAR",""),"")</f>
        <v/>
      </c>
    </row>
    <row r="1891">
      <c r="A1891" s="13">
        <f>CHAIN_RAW!A1891</f>
        <v/>
      </c>
      <c r="B1891" s="14">
        <f>CHAIN_RAW!B1891</f>
        <v/>
      </c>
      <c r="C1891" s="13">
        <f>CHAIN_RAW!C1891</f>
        <v/>
      </c>
      <c r="D1891" s="13">
        <f>CHAIN_RAW!D1891</f>
        <v/>
      </c>
      <c r="E1891" s="13">
        <f>CHAIN_RAW!E1891</f>
        <v/>
      </c>
      <c r="F1891" s="13">
        <f>IFERROR((E1891-D1891)/D1891,"")</f>
        <v/>
      </c>
      <c r="G1891" s="13">
        <f>IFERROR((CHAIN_RAW!K1891+CHAIN_RAW!L1891)/2,"")</f>
        <v/>
      </c>
      <c r="H1891" s="13">
        <f>IFERROR((CHAIN_RAW!R1891+CHAIN_RAW!S1891)/2,"")</f>
        <v/>
      </c>
      <c r="I1891" s="13">
        <f>IFERROR((CHAIN_RAW!L1891-CHAIN_RAW!K1891)/MAX(1E-9, G1891),"")</f>
        <v/>
      </c>
      <c r="J1891" s="13">
        <f>IFERROR((CHAIN_RAW!S1891-CHAIN_RAW!R1891)/MAX(1E-9, H1891),"")</f>
        <v/>
      </c>
      <c r="K1891" s="13">
        <f>CHAIN_RAW!G1891</f>
        <v/>
      </c>
      <c r="L1891" s="13">
        <f>CHAIN_RAW!N1891</f>
        <v/>
      </c>
      <c r="M1891" s="13">
        <f>IFERROR(L1891-K1891,"")</f>
        <v/>
      </c>
      <c r="N1891" s="13">
        <f>CHAIN_RAW!H1891</f>
        <v/>
      </c>
      <c r="O1891" s="13">
        <f>CHAIN_RAW!O1891</f>
        <v/>
      </c>
      <c r="P1891" s="13">
        <f>IFERROR(O1891/N1891,"")</f>
        <v/>
      </c>
      <c r="Q1891" s="13">
        <f>CHAIN_RAW!I1891</f>
        <v/>
      </c>
      <c r="R1891" s="13">
        <f>CHAIN_RAW!P1891</f>
        <v/>
      </c>
      <c r="S1891" s="13">
        <f>IFERROR(R1891/Q1891,"")</f>
        <v/>
      </c>
      <c r="T1891" s="13">
        <f>IFERROR((ABS(N1891-O1891)/MAX(1,(N1891+O1891)))*EXP(-ABS(E1891-CONTROL!E5)/MAX(1,CONTROL!B8)),"")</f>
        <v/>
      </c>
      <c r="U1891" s="13">
        <f>IFERROR(IF(O1891&gt;N1891,"SUPPORT (PE OI)","RESIST (CE OI)"),"")</f>
        <v/>
      </c>
      <c r="V1891" s="13">
        <f>IFERROR(IF(Q1891&gt;0,IF(R1891&gt;0,"BOTH_ADD","CE_ADD_PE_REDUCE"),IF(R1891&gt;0,"CE_REDUCE_PE_ADD","BOTH_REDUCE")),"")</f>
        <v/>
      </c>
      <c r="W1891" s="13">
        <f>IFERROR( (P1891-1)*0.5 + (M1891)*0.1 - (I1891+J1891)*0.05 + T1891*0.4 ,"")</f>
        <v/>
      </c>
      <c r="X1891" s="13">
        <f>IFERROR(IF(ABS(F1891)&lt;0.01,"ATM/NEAR",""),"")</f>
        <v/>
      </c>
    </row>
    <row r="1892">
      <c r="A1892" s="13">
        <f>CHAIN_RAW!A1892</f>
        <v/>
      </c>
      <c r="B1892" s="14">
        <f>CHAIN_RAW!B1892</f>
        <v/>
      </c>
      <c r="C1892" s="13">
        <f>CHAIN_RAW!C1892</f>
        <v/>
      </c>
      <c r="D1892" s="13">
        <f>CHAIN_RAW!D1892</f>
        <v/>
      </c>
      <c r="E1892" s="13">
        <f>CHAIN_RAW!E1892</f>
        <v/>
      </c>
      <c r="F1892" s="13">
        <f>IFERROR((E1892-D1892)/D1892,"")</f>
        <v/>
      </c>
      <c r="G1892" s="13">
        <f>IFERROR((CHAIN_RAW!K1892+CHAIN_RAW!L1892)/2,"")</f>
        <v/>
      </c>
      <c r="H1892" s="13">
        <f>IFERROR((CHAIN_RAW!R1892+CHAIN_RAW!S1892)/2,"")</f>
        <v/>
      </c>
      <c r="I1892" s="13">
        <f>IFERROR((CHAIN_RAW!L1892-CHAIN_RAW!K1892)/MAX(1E-9, G1892),"")</f>
        <v/>
      </c>
      <c r="J1892" s="13">
        <f>IFERROR((CHAIN_RAW!S1892-CHAIN_RAW!R1892)/MAX(1E-9, H1892),"")</f>
        <v/>
      </c>
      <c r="K1892" s="13">
        <f>CHAIN_RAW!G1892</f>
        <v/>
      </c>
      <c r="L1892" s="13">
        <f>CHAIN_RAW!N1892</f>
        <v/>
      </c>
      <c r="M1892" s="13">
        <f>IFERROR(L1892-K1892,"")</f>
        <v/>
      </c>
      <c r="N1892" s="13">
        <f>CHAIN_RAW!H1892</f>
        <v/>
      </c>
      <c r="O1892" s="13">
        <f>CHAIN_RAW!O1892</f>
        <v/>
      </c>
      <c r="P1892" s="13">
        <f>IFERROR(O1892/N1892,"")</f>
        <v/>
      </c>
      <c r="Q1892" s="13">
        <f>CHAIN_RAW!I1892</f>
        <v/>
      </c>
      <c r="R1892" s="13">
        <f>CHAIN_RAW!P1892</f>
        <v/>
      </c>
      <c r="S1892" s="13">
        <f>IFERROR(R1892/Q1892,"")</f>
        <v/>
      </c>
      <c r="T1892" s="13">
        <f>IFERROR((ABS(N1892-O1892)/MAX(1,(N1892+O1892)))*EXP(-ABS(E1892-CONTROL!E5)/MAX(1,CONTROL!B8)),"")</f>
        <v/>
      </c>
      <c r="U1892" s="13">
        <f>IFERROR(IF(O1892&gt;N1892,"SUPPORT (PE OI)","RESIST (CE OI)"),"")</f>
        <v/>
      </c>
      <c r="V1892" s="13">
        <f>IFERROR(IF(Q1892&gt;0,IF(R1892&gt;0,"BOTH_ADD","CE_ADD_PE_REDUCE"),IF(R1892&gt;0,"CE_REDUCE_PE_ADD","BOTH_REDUCE")),"")</f>
        <v/>
      </c>
      <c r="W1892" s="13">
        <f>IFERROR( (P1892-1)*0.5 + (M1892)*0.1 - (I1892+J1892)*0.05 + T1892*0.4 ,"")</f>
        <v/>
      </c>
      <c r="X1892" s="13">
        <f>IFERROR(IF(ABS(F1892)&lt;0.01,"ATM/NEAR",""),"")</f>
        <v/>
      </c>
    </row>
    <row r="1893">
      <c r="A1893" s="13">
        <f>CHAIN_RAW!A1893</f>
        <v/>
      </c>
      <c r="B1893" s="14">
        <f>CHAIN_RAW!B1893</f>
        <v/>
      </c>
      <c r="C1893" s="13">
        <f>CHAIN_RAW!C1893</f>
        <v/>
      </c>
      <c r="D1893" s="13">
        <f>CHAIN_RAW!D1893</f>
        <v/>
      </c>
      <c r="E1893" s="13">
        <f>CHAIN_RAW!E1893</f>
        <v/>
      </c>
      <c r="F1893" s="13">
        <f>IFERROR((E1893-D1893)/D1893,"")</f>
        <v/>
      </c>
      <c r="G1893" s="13">
        <f>IFERROR((CHAIN_RAW!K1893+CHAIN_RAW!L1893)/2,"")</f>
        <v/>
      </c>
      <c r="H1893" s="13">
        <f>IFERROR((CHAIN_RAW!R1893+CHAIN_RAW!S1893)/2,"")</f>
        <v/>
      </c>
      <c r="I1893" s="13">
        <f>IFERROR((CHAIN_RAW!L1893-CHAIN_RAW!K1893)/MAX(1E-9, G1893),"")</f>
        <v/>
      </c>
      <c r="J1893" s="13">
        <f>IFERROR((CHAIN_RAW!S1893-CHAIN_RAW!R1893)/MAX(1E-9, H1893),"")</f>
        <v/>
      </c>
      <c r="K1893" s="13">
        <f>CHAIN_RAW!G1893</f>
        <v/>
      </c>
      <c r="L1893" s="13">
        <f>CHAIN_RAW!N1893</f>
        <v/>
      </c>
      <c r="M1893" s="13">
        <f>IFERROR(L1893-K1893,"")</f>
        <v/>
      </c>
      <c r="N1893" s="13">
        <f>CHAIN_RAW!H1893</f>
        <v/>
      </c>
      <c r="O1893" s="13">
        <f>CHAIN_RAW!O1893</f>
        <v/>
      </c>
      <c r="P1893" s="13">
        <f>IFERROR(O1893/N1893,"")</f>
        <v/>
      </c>
      <c r="Q1893" s="13">
        <f>CHAIN_RAW!I1893</f>
        <v/>
      </c>
      <c r="R1893" s="13">
        <f>CHAIN_RAW!P1893</f>
        <v/>
      </c>
      <c r="S1893" s="13">
        <f>IFERROR(R1893/Q1893,"")</f>
        <v/>
      </c>
      <c r="T1893" s="13">
        <f>IFERROR((ABS(N1893-O1893)/MAX(1,(N1893+O1893)))*EXP(-ABS(E1893-CONTROL!E5)/MAX(1,CONTROL!B8)),"")</f>
        <v/>
      </c>
      <c r="U1893" s="13">
        <f>IFERROR(IF(O1893&gt;N1893,"SUPPORT (PE OI)","RESIST (CE OI)"),"")</f>
        <v/>
      </c>
      <c r="V1893" s="13">
        <f>IFERROR(IF(Q1893&gt;0,IF(R1893&gt;0,"BOTH_ADD","CE_ADD_PE_REDUCE"),IF(R1893&gt;0,"CE_REDUCE_PE_ADD","BOTH_REDUCE")),"")</f>
        <v/>
      </c>
      <c r="W1893" s="13">
        <f>IFERROR( (P1893-1)*0.5 + (M1893)*0.1 - (I1893+J1893)*0.05 + T1893*0.4 ,"")</f>
        <v/>
      </c>
      <c r="X1893" s="13">
        <f>IFERROR(IF(ABS(F1893)&lt;0.01,"ATM/NEAR",""),"")</f>
        <v/>
      </c>
    </row>
    <row r="1894">
      <c r="A1894" s="13">
        <f>CHAIN_RAW!A1894</f>
        <v/>
      </c>
      <c r="B1894" s="14">
        <f>CHAIN_RAW!B1894</f>
        <v/>
      </c>
      <c r="C1894" s="13">
        <f>CHAIN_RAW!C1894</f>
        <v/>
      </c>
      <c r="D1894" s="13">
        <f>CHAIN_RAW!D1894</f>
        <v/>
      </c>
      <c r="E1894" s="13">
        <f>CHAIN_RAW!E1894</f>
        <v/>
      </c>
      <c r="F1894" s="13">
        <f>IFERROR((E1894-D1894)/D1894,"")</f>
        <v/>
      </c>
      <c r="G1894" s="13">
        <f>IFERROR((CHAIN_RAW!K1894+CHAIN_RAW!L1894)/2,"")</f>
        <v/>
      </c>
      <c r="H1894" s="13">
        <f>IFERROR((CHAIN_RAW!R1894+CHAIN_RAW!S1894)/2,"")</f>
        <v/>
      </c>
      <c r="I1894" s="13">
        <f>IFERROR((CHAIN_RAW!L1894-CHAIN_RAW!K1894)/MAX(1E-9, G1894),"")</f>
        <v/>
      </c>
      <c r="J1894" s="13">
        <f>IFERROR((CHAIN_RAW!S1894-CHAIN_RAW!R1894)/MAX(1E-9, H1894),"")</f>
        <v/>
      </c>
      <c r="K1894" s="13">
        <f>CHAIN_RAW!G1894</f>
        <v/>
      </c>
      <c r="L1894" s="13">
        <f>CHAIN_RAW!N1894</f>
        <v/>
      </c>
      <c r="M1894" s="13">
        <f>IFERROR(L1894-K1894,"")</f>
        <v/>
      </c>
      <c r="N1894" s="13">
        <f>CHAIN_RAW!H1894</f>
        <v/>
      </c>
      <c r="O1894" s="13">
        <f>CHAIN_RAW!O1894</f>
        <v/>
      </c>
      <c r="P1894" s="13">
        <f>IFERROR(O1894/N1894,"")</f>
        <v/>
      </c>
      <c r="Q1894" s="13">
        <f>CHAIN_RAW!I1894</f>
        <v/>
      </c>
      <c r="R1894" s="13">
        <f>CHAIN_RAW!P1894</f>
        <v/>
      </c>
      <c r="S1894" s="13">
        <f>IFERROR(R1894/Q1894,"")</f>
        <v/>
      </c>
      <c r="T1894" s="13">
        <f>IFERROR((ABS(N1894-O1894)/MAX(1,(N1894+O1894)))*EXP(-ABS(E1894-CONTROL!E5)/MAX(1,CONTROL!B8)),"")</f>
        <v/>
      </c>
      <c r="U1894" s="13">
        <f>IFERROR(IF(O1894&gt;N1894,"SUPPORT (PE OI)","RESIST (CE OI)"),"")</f>
        <v/>
      </c>
      <c r="V1894" s="13">
        <f>IFERROR(IF(Q1894&gt;0,IF(R1894&gt;0,"BOTH_ADD","CE_ADD_PE_REDUCE"),IF(R1894&gt;0,"CE_REDUCE_PE_ADD","BOTH_REDUCE")),"")</f>
        <v/>
      </c>
      <c r="W1894" s="13">
        <f>IFERROR( (P1894-1)*0.5 + (M1894)*0.1 - (I1894+J1894)*0.05 + T1894*0.4 ,"")</f>
        <v/>
      </c>
      <c r="X1894" s="13">
        <f>IFERROR(IF(ABS(F1894)&lt;0.01,"ATM/NEAR",""),"")</f>
        <v/>
      </c>
    </row>
    <row r="1895">
      <c r="A1895" s="13">
        <f>CHAIN_RAW!A1895</f>
        <v/>
      </c>
      <c r="B1895" s="14">
        <f>CHAIN_RAW!B1895</f>
        <v/>
      </c>
      <c r="C1895" s="13">
        <f>CHAIN_RAW!C1895</f>
        <v/>
      </c>
      <c r="D1895" s="13">
        <f>CHAIN_RAW!D1895</f>
        <v/>
      </c>
      <c r="E1895" s="13">
        <f>CHAIN_RAW!E1895</f>
        <v/>
      </c>
      <c r="F1895" s="13">
        <f>IFERROR((E1895-D1895)/D1895,"")</f>
        <v/>
      </c>
      <c r="G1895" s="13">
        <f>IFERROR((CHAIN_RAW!K1895+CHAIN_RAW!L1895)/2,"")</f>
        <v/>
      </c>
      <c r="H1895" s="13">
        <f>IFERROR((CHAIN_RAW!R1895+CHAIN_RAW!S1895)/2,"")</f>
        <v/>
      </c>
      <c r="I1895" s="13">
        <f>IFERROR((CHAIN_RAW!L1895-CHAIN_RAW!K1895)/MAX(1E-9, G1895),"")</f>
        <v/>
      </c>
      <c r="J1895" s="13">
        <f>IFERROR((CHAIN_RAW!S1895-CHAIN_RAW!R1895)/MAX(1E-9, H1895),"")</f>
        <v/>
      </c>
      <c r="K1895" s="13">
        <f>CHAIN_RAW!G1895</f>
        <v/>
      </c>
      <c r="L1895" s="13">
        <f>CHAIN_RAW!N1895</f>
        <v/>
      </c>
      <c r="M1895" s="13">
        <f>IFERROR(L1895-K1895,"")</f>
        <v/>
      </c>
      <c r="N1895" s="13">
        <f>CHAIN_RAW!H1895</f>
        <v/>
      </c>
      <c r="O1895" s="13">
        <f>CHAIN_RAW!O1895</f>
        <v/>
      </c>
      <c r="P1895" s="13">
        <f>IFERROR(O1895/N1895,"")</f>
        <v/>
      </c>
      <c r="Q1895" s="13">
        <f>CHAIN_RAW!I1895</f>
        <v/>
      </c>
      <c r="R1895" s="13">
        <f>CHAIN_RAW!P1895</f>
        <v/>
      </c>
      <c r="S1895" s="13">
        <f>IFERROR(R1895/Q1895,"")</f>
        <v/>
      </c>
      <c r="T1895" s="13">
        <f>IFERROR((ABS(N1895-O1895)/MAX(1,(N1895+O1895)))*EXP(-ABS(E1895-CONTROL!E5)/MAX(1,CONTROL!B8)),"")</f>
        <v/>
      </c>
      <c r="U1895" s="13">
        <f>IFERROR(IF(O1895&gt;N1895,"SUPPORT (PE OI)","RESIST (CE OI)"),"")</f>
        <v/>
      </c>
      <c r="V1895" s="13">
        <f>IFERROR(IF(Q1895&gt;0,IF(R1895&gt;0,"BOTH_ADD","CE_ADD_PE_REDUCE"),IF(R1895&gt;0,"CE_REDUCE_PE_ADD","BOTH_REDUCE")),"")</f>
        <v/>
      </c>
      <c r="W1895" s="13">
        <f>IFERROR( (P1895-1)*0.5 + (M1895)*0.1 - (I1895+J1895)*0.05 + T1895*0.4 ,"")</f>
        <v/>
      </c>
      <c r="X1895" s="13">
        <f>IFERROR(IF(ABS(F1895)&lt;0.01,"ATM/NEAR",""),"")</f>
        <v/>
      </c>
    </row>
    <row r="1896">
      <c r="A1896" s="13">
        <f>CHAIN_RAW!A1896</f>
        <v/>
      </c>
      <c r="B1896" s="14">
        <f>CHAIN_RAW!B1896</f>
        <v/>
      </c>
      <c r="C1896" s="13">
        <f>CHAIN_RAW!C1896</f>
        <v/>
      </c>
      <c r="D1896" s="13">
        <f>CHAIN_RAW!D1896</f>
        <v/>
      </c>
      <c r="E1896" s="13">
        <f>CHAIN_RAW!E1896</f>
        <v/>
      </c>
      <c r="F1896" s="13">
        <f>IFERROR((E1896-D1896)/D1896,"")</f>
        <v/>
      </c>
      <c r="G1896" s="13">
        <f>IFERROR((CHAIN_RAW!K1896+CHAIN_RAW!L1896)/2,"")</f>
        <v/>
      </c>
      <c r="H1896" s="13">
        <f>IFERROR((CHAIN_RAW!R1896+CHAIN_RAW!S1896)/2,"")</f>
        <v/>
      </c>
      <c r="I1896" s="13">
        <f>IFERROR((CHAIN_RAW!L1896-CHAIN_RAW!K1896)/MAX(1E-9, G1896),"")</f>
        <v/>
      </c>
      <c r="J1896" s="13">
        <f>IFERROR((CHAIN_RAW!S1896-CHAIN_RAW!R1896)/MAX(1E-9, H1896),"")</f>
        <v/>
      </c>
      <c r="K1896" s="13">
        <f>CHAIN_RAW!G1896</f>
        <v/>
      </c>
      <c r="L1896" s="13">
        <f>CHAIN_RAW!N1896</f>
        <v/>
      </c>
      <c r="M1896" s="13">
        <f>IFERROR(L1896-K1896,"")</f>
        <v/>
      </c>
      <c r="N1896" s="13">
        <f>CHAIN_RAW!H1896</f>
        <v/>
      </c>
      <c r="O1896" s="13">
        <f>CHAIN_RAW!O1896</f>
        <v/>
      </c>
      <c r="P1896" s="13">
        <f>IFERROR(O1896/N1896,"")</f>
        <v/>
      </c>
      <c r="Q1896" s="13">
        <f>CHAIN_RAW!I1896</f>
        <v/>
      </c>
      <c r="R1896" s="13">
        <f>CHAIN_RAW!P1896</f>
        <v/>
      </c>
      <c r="S1896" s="13">
        <f>IFERROR(R1896/Q1896,"")</f>
        <v/>
      </c>
      <c r="T1896" s="13">
        <f>IFERROR((ABS(N1896-O1896)/MAX(1,(N1896+O1896)))*EXP(-ABS(E1896-CONTROL!E5)/MAX(1,CONTROL!B8)),"")</f>
        <v/>
      </c>
      <c r="U1896" s="13">
        <f>IFERROR(IF(O1896&gt;N1896,"SUPPORT (PE OI)","RESIST (CE OI)"),"")</f>
        <v/>
      </c>
      <c r="V1896" s="13">
        <f>IFERROR(IF(Q1896&gt;0,IF(R1896&gt;0,"BOTH_ADD","CE_ADD_PE_REDUCE"),IF(R1896&gt;0,"CE_REDUCE_PE_ADD","BOTH_REDUCE")),"")</f>
        <v/>
      </c>
      <c r="W1896" s="13">
        <f>IFERROR( (P1896-1)*0.5 + (M1896)*0.1 - (I1896+J1896)*0.05 + T1896*0.4 ,"")</f>
        <v/>
      </c>
      <c r="X1896" s="13">
        <f>IFERROR(IF(ABS(F1896)&lt;0.01,"ATM/NEAR",""),"")</f>
        <v/>
      </c>
    </row>
    <row r="1897">
      <c r="A1897" s="13">
        <f>CHAIN_RAW!A1897</f>
        <v/>
      </c>
      <c r="B1897" s="14">
        <f>CHAIN_RAW!B1897</f>
        <v/>
      </c>
      <c r="C1897" s="13">
        <f>CHAIN_RAW!C1897</f>
        <v/>
      </c>
      <c r="D1897" s="13">
        <f>CHAIN_RAW!D1897</f>
        <v/>
      </c>
      <c r="E1897" s="13">
        <f>CHAIN_RAW!E1897</f>
        <v/>
      </c>
      <c r="F1897" s="13">
        <f>IFERROR((E1897-D1897)/D1897,"")</f>
        <v/>
      </c>
      <c r="G1897" s="13">
        <f>IFERROR((CHAIN_RAW!K1897+CHAIN_RAW!L1897)/2,"")</f>
        <v/>
      </c>
      <c r="H1897" s="13">
        <f>IFERROR((CHAIN_RAW!R1897+CHAIN_RAW!S1897)/2,"")</f>
        <v/>
      </c>
      <c r="I1897" s="13">
        <f>IFERROR((CHAIN_RAW!L1897-CHAIN_RAW!K1897)/MAX(1E-9, G1897),"")</f>
        <v/>
      </c>
      <c r="J1897" s="13">
        <f>IFERROR((CHAIN_RAW!S1897-CHAIN_RAW!R1897)/MAX(1E-9, H1897),"")</f>
        <v/>
      </c>
      <c r="K1897" s="13">
        <f>CHAIN_RAW!G1897</f>
        <v/>
      </c>
      <c r="L1897" s="13">
        <f>CHAIN_RAW!N1897</f>
        <v/>
      </c>
      <c r="M1897" s="13">
        <f>IFERROR(L1897-K1897,"")</f>
        <v/>
      </c>
      <c r="N1897" s="13">
        <f>CHAIN_RAW!H1897</f>
        <v/>
      </c>
      <c r="O1897" s="13">
        <f>CHAIN_RAW!O1897</f>
        <v/>
      </c>
      <c r="P1897" s="13">
        <f>IFERROR(O1897/N1897,"")</f>
        <v/>
      </c>
      <c r="Q1897" s="13">
        <f>CHAIN_RAW!I1897</f>
        <v/>
      </c>
      <c r="R1897" s="13">
        <f>CHAIN_RAW!P1897</f>
        <v/>
      </c>
      <c r="S1897" s="13">
        <f>IFERROR(R1897/Q1897,"")</f>
        <v/>
      </c>
      <c r="T1897" s="13">
        <f>IFERROR((ABS(N1897-O1897)/MAX(1,(N1897+O1897)))*EXP(-ABS(E1897-CONTROL!E5)/MAX(1,CONTROL!B8)),"")</f>
        <v/>
      </c>
      <c r="U1897" s="13">
        <f>IFERROR(IF(O1897&gt;N1897,"SUPPORT (PE OI)","RESIST (CE OI)"),"")</f>
        <v/>
      </c>
      <c r="V1897" s="13">
        <f>IFERROR(IF(Q1897&gt;0,IF(R1897&gt;0,"BOTH_ADD","CE_ADD_PE_REDUCE"),IF(R1897&gt;0,"CE_REDUCE_PE_ADD","BOTH_REDUCE")),"")</f>
        <v/>
      </c>
      <c r="W1897" s="13">
        <f>IFERROR( (P1897-1)*0.5 + (M1897)*0.1 - (I1897+J1897)*0.05 + T1897*0.4 ,"")</f>
        <v/>
      </c>
      <c r="X1897" s="13">
        <f>IFERROR(IF(ABS(F1897)&lt;0.01,"ATM/NEAR",""),"")</f>
        <v/>
      </c>
    </row>
    <row r="1898">
      <c r="A1898" s="13">
        <f>CHAIN_RAW!A1898</f>
        <v/>
      </c>
      <c r="B1898" s="14">
        <f>CHAIN_RAW!B1898</f>
        <v/>
      </c>
      <c r="C1898" s="13">
        <f>CHAIN_RAW!C1898</f>
        <v/>
      </c>
      <c r="D1898" s="13">
        <f>CHAIN_RAW!D1898</f>
        <v/>
      </c>
      <c r="E1898" s="13">
        <f>CHAIN_RAW!E1898</f>
        <v/>
      </c>
      <c r="F1898" s="13">
        <f>IFERROR((E1898-D1898)/D1898,"")</f>
        <v/>
      </c>
      <c r="G1898" s="13">
        <f>IFERROR((CHAIN_RAW!K1898+CHAIN_RAW!L1898)/2,"")</f>
        <v/>
      </c>
      <c r="H1898" s="13">
        <f>IFERROR((CHAIN_RAW!R1898+CHAIN_RAW!S1898)/2,"")</f>
        <v/>
      </c>
      <c r="I1898" s="13">
        <f>IFERROR((CHAIN_RAW!L1898-CHAIN_RAW!K1898)/MAX(1E-9, G1898),"")</f>
        <v/>
      </c>
      <c r="J1898" s="13">
        <f>IFERROR((CHAIN_RAW!S1898-CHAIN_RAW!R1898)/MAX(1E-9, H1898),"")</f>
        <v/>
      </c>
      <c r="K1898" s="13">
        <f>CHAIN_RAW!G1898</f>
        <v/>
      </c>
      <c r="L1898" s="13">
        <f>CHAIN_RAW!N1898</f>
        <v/>
      </c>
      <c r="M1898" s="13">
        <f>IFERROR(L1898-K1898,"")</f>
        <v/>
      </c>
      <c r="N1898" s="13">
        <f>CHAIN_RAW!H1898</f>
        <v/>
      </c>
      <c r="O1898" s="13">
        <f>CHAIN_RAW!O1898</f>
        <v/>
      </c>
      <c r="P1898" s="13">
        <f>IFERROR(O1898/N1898,"")</f>
        <v/>
      </c>
      <c r="Q1898" s="13">
        <f>CHAIN_RAW!I1898</f>
        <v/>
      </c>
      <c r="R1898" s="13">
        <f>CHAIN_RAW!P1898</f>
        <v/>
      </c>
      <c r="S1898" s="13">
        <f>IFERROR(R1898/Q1898,"")</f>
        <v/>
      </c>
      <c r="T1898" s="13">
        <f>IFERROR((ABS(N1898-O1898)/MAX(1,(N1898+O1898)))*EXP(-ABS(E1898-CONTROL!E5)/MAX(1,CONTROL!B8)),"")</f>
        <v/>
      </c>
      <c r="U1898" s="13">
        <f>IFERROR(IF(O1898&gt;N1898,"SUPPORT (PE OI)","RESIST (CE OI)"),"")</f>
        <v/>
      </c>
      <c r="V1898" s="13">
        <f>IFERROR(IF(Q1898&gt;0,IF(R1898&gt;0,"BOTH_ADD","CE_ADD_PE_REDUCE"),IF(R1898&gt;0,"CE_REDUCE_PE_ADD","BOTH_REDUCE")),"")</f>
        <v/>
      </c>
      <c r="W1898" s="13">
        <f>IFERROR( (P1898-1)*0.5 + (M1898)*0.1 - (I1898+J1898)*0.05 + T1898*0.4 ,"")</f>
        <v/>
      </c>
      <c r="X1898" s="13">
        <f>IFERROR(IF(ABS(F1898)&lt;0.01,"ATM/NEAR",""),"")</f>
        <v/>
      </c>
    </row>
    <row r="1899">
      <c r="A1899" s="13">
        <f>CHAIN_RAW!A1899</f>
        <v/>
      </c>
      <c r="B1899" s="14">
        <f>CHAIN_RAW!B1899</f>
        <v/>
      </c>
      <c r="C1899" s="13">
        <f>CHAIN_RAW!C1899</f>
        <v/>
      </c>
      <c r="D1899" s="13">
        <f>CHAIN_RAW!D1899</f>
        <v/>
      </c>
      <c r="E1899" s="13">
        <f>CHAIN_RAW!E1899</f>
        <v/>
      </c>
      <c r="F1899" s="13">
        <f>IFERROR((E1899-D1899)/D1899,"")</f>
        <v/>
      </c>
      <c r="G1899" s="13">
        <f>IFERROR((CHAIN_RAW!K1899+CHAIN_RAW!L1899)/2,"")</f>
        <v/>
      </c>
      <c r="H1899" s="13">
        <f>IFERROR((CHAIN_RAW!R1899+CHAIN_RAW!S1899)/2,"")</f>
        <v/>
      </c>
      <c r="I1899" s="13">
        <f>IFERROR((CHAIN_RAW!L1899-CHAIN_RAW!K1899)/MAX(1E-9, G1899),"")</f>
        <v/>
      </c>
      <c r="J1899" s="13">
        <f>IFERROR((CHAIN_RAW!S1899-CHAIN_RAW!R1899)/MAX(1E-9, H1899),"")</f>
        <v/>
      </c>
      <c r="K1899" s="13">
        <f>CHAIN_RAW!G1899</f>
        <v/>
      </c>
      <c r="L1899" s="13">
        <f>CHAIN_RAW!N1899</f>
        <v/>
      </c>
      <c r="M1899" s="13">
        <f>IFERROR(L1899-K1899,"")</f>
        <v/>
      </c>
      <c r="N1899" s="13">
        <f>CHAIN_RAW!H1899</f>
        <v/>
      </c>
      <c r="O1899" s="13">
        <f>CHAIN_RAW!O1899</f>
        <v/>
      </c>
      <c r="P1899" s="13">
        <f>IFERROR(O1899/N1899,"")</f>
        <v/>
      </c>
      <c r="Q1899" s="13">
        <f>CHAIN_RAW!I1899</f>
        <v/>
      </c>
      <c r="R1899" s="13">
        <f>CHAIN_RAW!P1899</f>
        <v/>
      </c>
      <c r="S1899" s="13">
        <f>IFERROR(R1899/Q1899,"")</f>
        <v/>
      </c>
      <c r="T1899" s="13">
        <f>IFERROR((ABS(N1899-O1899)/MAX(1,(N1899+O1899)))*EXP(-ABS(E1899-CONTROL!E5)/MAX(1,CONTROL!B8)),"")</f>
        <v/>
      </c>
      <c r="U1899" s="13">
        <f>IFERROR(IF(O1899&gt;N1899,"SUPPORT (PE OI)","RESIST (CE OI)"),"")</f>
        <v/>
      </c>
      <c r="V1899" s="13">
        <f>IFERROR(IF(Q1899&gt;0,IF(R1899&gt;0,"BOTH_ADD","CE_ADD_PE_REDUCE"),IF(R1899&gt;0,"CE_REDUCE_PE_ADD","BOTH_REDUCE")),"")</f>
        <v/>
      </c>
      <c r="W1899" s="13">
        <f>IFERROR( (P1899-1)*0.5 + (M1899)*0.1 - (I1899+J1899)*0.05 + T1899*0.4 ,"")</f>
        <v/>
      </c>
      <c r="X1899" s="13">
        <f>IFERROR(IF(ABS(F1899)&lt;0.01,"ATM/NEAR",""),"")</f>
        <v/>
      </c>
    </row>
    <row r="1900">
      <c r="A1900" s="13">
        <f>CHAIN_RAW!A1900</f>
        <v/>
      </c>
      <c r="B1900" s="14">
        <f>CHAIN_RAW!B1900</f>
        <v/>
      </c>
      <c r="C1900" s="13">
        <f>CHAIN_RAW!C1900</f>
        <v/>
      </c>
      <c r="D1900" s="13">
        <f>CHAIN_RAW!D1900</f>
        <v/>
      </c>
      <c r="E1900" s="13">
        <f>CHAIN_RAW!E1900</f>
        <v/>
      </c>
      <c r="F1900" s="13">
        <f>IFERROR((E1900-D1900)/D1900,"")</f>
        <v/>
      </c>
      <c r="G1900" s="13">
        <f>IFERROR((CHAIN_RAW!K1900+CHAIN_RAW!L1900)/2,"")</f>
        <v/>
      </c>
      <c r="H1900" s="13">
        <f>IFERROR((CHAIN_RAW!R1900+CHAIN_RAW!S1900)/2,"")</f>
        <v/>
      </c>
      <c r="I1900" s="13">
        <f>IFERROR((CHAIN_RAW!L1900-CHAIN_RAW!K1900)/MAX(1E-9, G1900),"")</f>
        <v/>
      </c>
      <c r="J1900" s="13">
        <f>IFERROR((CHAIN_RAW!S1900-CHAIN_RAW!R1900)/MAX(1E-9, H1900),"")</f>
        <v/>
      </c>
      <c r="K1900" s="13">
        <f>CHAIN_RAW!G1900</f>
        <v/>
      </c>
      <c r="L1900" s="13">
        <f>CHAIN_RAW!N1900</f>
        <v/>
      </c>
      <c r="M1900" s="13">
        <f>IFERROR(L1900-K1900,"")</f>
        <v/>
      </c>
      <c r="N1900" s="13">
        <f>CHAIN_RAW!H1900</f>
        <v/>
      </c>
      <c r="O1900" s="13">
        <f>CHAIN_RAW!O1900</f>
        <v/>
      </c>
      <c r="P1900" s="13">
        <f>IFERROR(O1900/N1900,"")</f>
        <v/>
      </c>
      <c r="Q1900" s="13">
        <f>CHAIN_RAW!I1900</f>
        <v/>
      </c>
      <c r="R1900" s="13">
        <f>CHAIN_RAW!P1900</f>
        <v/>
      </c>
      <c r="S1900" s="13">
        <f>IFERROR(R1900/Q1900,"")</f>
        <v/>
      </c>
      <c r="T1900" s="13">
        <f>IFERROR((ABS(N1900-O1900)/MAX(1,(N1900+O1900)))*EXP(-ABS(E1900-CONTROL!E5)/MAX(1,CONTROL!B8)),"")</f>
        <v/>
      </c>
      <c r="U1900" s="13">
        <f>IFERROR(IF(O1900&gt;N1900,"SUPPORT (PE OI)","RESIST (CE OI)"),"")</f>
        <v/>
      </c>
      <c r="V1900" s="13">
        <f>IFERROR(IF(Q1900&gt;0,IF(R1900&gt;0,"BOTH_ADD","CE_ADD_PE_REDUCE"),IF(R1900&gt;0,"CE_REDUCE_PE_ADD","BOTH_REDUCE")),"")</f>
        <v/>
      </c>
      <c r="W1900" s="13">
        <f>IFERROR( (P1900-1)*0.5 + (M1900)*0.1 - (I1900+J1900)*0.05 + T1900*0.4 ,"")</f>
        <v/>
      </c>
      <c r="X1900" s="13">
        <f>IFERROR(IF(ABS(F1900)&lt;0.01,"ATM/NEAR",""),"")</f>
        <v/>
      </c>
    </row>
    <row r="1901">
      <c r="A1901" s="13">
        <f>CHAIN_RAW!A1901</f>
        <v/>
      </c>
      <c r="B1901" s="14">
        <f>CHAIN_RAW!B1901</f>
        <v/>
      </c>
      <c r="C1901" s="13">
        <f>CHAIN_RAW!C1901</f>
        <v/>
      </c>
      <c r="D1901" s="13">
        <f>CHAIN_RAW!D1901</f>
        <v/>
      </c>
      <c r="E1901" s="13">
        <f>CHAIN_RAW!E1901</f>
        <v/>
      </c>
      <c r="F1901" s="13">
        <f>IFERROR((E1901-D1901)/D1901,"")</f>
        <v/>
      </c>
      <c r="G1901" s="13">
        <f>IFERROR((CHAIN_RAW!K1901+CHAIN_RAW!L1901)/2,"")</f>
        <v/>
      </c>
      <c r="H1901" s="13">
        <f>IFERROR((CHAIN_RAW!R1901+CHAIN_RAW!S1901)/2,"")</f>
        <v/>
      </c>
      <c r="I1901" s="13">
        <f>IFERROR((CHAIN_RAW!L1901-CHAIN_RAW!K1901)/MAX(1E-9, G1901),"")</f>
        <v/>
      </c>
      <c r="J1901" s="13">
        <f>IFERROR((CHAIN_RAW!S1901-CHAIN_RAW!R1901)/MAX(1E-9, H1901),"")</f>
        <v/>
      </c>
      <c r="K1901" s="13">
        <f>CHAIN_RAW!G1901</f>
        <v/>
      </c>
      <c r="L1901" s="13">
        <f>CHAIN_RAW!N1901</f>
        <v/>
      </c>
      <c r="M1901" s="13">
        <f>IFERROR(L1901-K1901,"")</f>
        <v/>
      </c>
      <c r="N1901" s="13">
        <f>CHAIN_RAW!H1901</f>
        <v/>
      </c>
      <c r="O1901" s="13">
        <f>CHAIN_RAW!O1901</f>
        <v/>
      </c>
      <c r="P1901" s="13">
        <f>IFERROR(O1901/N1901,"")</f>
        <v/>
      </c>
      <c r="Q1901" s="13">
        <f>CHAIN_RAW!I1901</f>
        <v/>
      </c>
      <c r="R1901" s="13">
        <f>CHAIN_RAW!P1901</f>
        <v/>
      </c>
      <c r="S1901" s="13">
        <f>IFERROR(R1901/Q1901,"")</f>
        <v/>
      </c>
      <c r="T1901" s="13">
        <f>IFERROR((ABS(N1901-O1901)/MAX(1,(N1901+O1901)))*EXP(-ABS(E1901-CONTROL!E5)/MAX(1,CONTROL!B8)),"")</f>
        <v/>
      </c>
      <c r="U1901" s="13">
        <f>IFERROR(IF(O1901&gt;N1901,"SUPPORT (PE OI)","RESIST (CE OI)"),"")</f>
        <v/>
      </c>
      <c r="V1901" s="13">
        <f>IFERROR(IF(Q1901&gt;0,IF(R1901&gt;0,"BOTH_ADD","CE_ADD_PE_REDUCE"),IF(R1901&gt;0,"CE_REDUCE_PE_ADD","BOTH_REDUCE")),"")</f>
        <v/>
      </c>
      <c r="W1901" s="13">
        <f>IFERROR( (P1901-1)*0.5 + (M1901)*0.1 - (I1901+J1901)*0.05 + T1901*0.4 ,"")</f>
        <v/>
      </c>
      <c r="X1901" s="13">
        <f>IFERROR(IF(ABS(F1901)&lt;0.01,"ATM/NEAR",""),"")</f>
        <v/>
      </c>
    </row>
    <row r="1902">
      <c r="A1902" s="13">
        <f>CHAIN_RAW!A1902</f>
        <v/>
      </c>
      <c r="B1902" s="14">
        <f>CHAIN_RAW!B1902</f>
        <v/>
      </c>
      <c r="C1902" s="13">
        <f>CHAIN_RAW!C1902</f>
        <v/>
      </c>
      <c r="D1902" s="13">
        <f>CHAIN_RAW!D1902</f>
        <v/>
      </c>
      <c r="E1902" s="13">
        <f>CHAIN_RAW!E1902</f>
        <v/>
      </c>
      <c r="F1902" s="13">
        <f>IFERROR((E1902-D1902)/D1902,"")</f>
        <v/>
      </c>
      <c r="G1902" s="13">
        <f>IFERROR((CHAIN_RAW!K1902+CHAIN_RAW!L1902)/2,"")</f>
        <v/>
      </c>
      <c r="H1902" s="13">
        <f>IFERROR((CHAIN_RAW!R1902+CHAIN_RAW!S1902)/2,"")</f>
        <v/>
      </c>
      <c r="I1902" s="13">
        <f>IFERROR((CHAIN_RAW!L1902-CHAIN_RAW!K1902)/MAX(1E-9, G1902),"")</f>
        <v/>
      </c>
      <c r="J1902" s="13">
        <f>IFERROR((CHAIN_RAW!S1902-CHAIN_RAW!R1902)/MAX(1E-9, H1902),"")</f>
        <v/>
      </c>
      <c r="K1902" s="13">
        <f>CHAIN_RAW!G1902</f>
        <v/>
      </c>
      <c r="L1902" s="13">
        <f>CHAIN_RAW!N1902</f>
        <v/>
      </c>
      <c r="M1902" s="13">
        <f>IFERROR(L1902-K1902,"")</f>
        <v/>
      </c>
      <c r="N1902" s="13">
        <f>CHAIN_RAW!H1902</f>
        <v/>
      </c>
      <c r="O1902" s="13">
        <f>CHAIN_RAW!O1902</f>
        <v/>
      </c>
      <c r="P1902" s="13">
        <f>IFERROR(O1902/N1902,"")</f>
        <v/>
      </c>
      <c r="Q1902" s="13">
        <f>CHAIN_RAW!I1902</f>
        <v/>
      </c>
      <c r="R1902" s="13">
        <f>CHAIN_RAW!P1902</f>
        <v/>
      </c>
      <c r="S1902" s="13">
        <f>IFERROR(R1902/Q1902,"")</f>
        <v/>
      </c>
      <c r="T1902" s="13">
        <f>IFERROR((ABS(N1902-O1902)/MAX(1,(N1902+O1902)))*EXP(-ABS(E1902-CONTROL!E5)/MAX(1,CONTROL!B8)),"")</f>
        <v/>
      </c>
      <c r="U1902" s="13">
        <f>IFERROR(IF(O1902&gt;N1902,"SUPPORT (PE OI)","RESIST (CE OI)"),"")</f>
        <v/>
      </c>
      <c r="V1902" s="13">
        <f>IFERROR(IF(Q1902&gt;0,IF(R1902&gt;0,"BOTH_ADD","CE_ADD_PE_REDUCE"),IF(R1902&gt;0,"CE_REDUCE_PE_ADD","BOTH_REDUCE")),"")</f>
        <v/>
      </c>
      <c r="W1902" s="13">
        <f>IFERROR( (P1902-1)*0.5 + (M1902)*0.1 - (I1902+J1902)*0.05 + T1902*0.4 ,"")</f>
        <v/>
      </c>
      <c r="X1902" s="13">
        <f>IFERROR(IF(ABS(F1902)&lt;0.01,"ATM/NEAR",""),"")</f>
        <v/>
      </c>
    </row>
    <row r="1903">
      <c r="A1903" s="13">
        <f>CHAIN_RAW!A1903</f>
        <v/>
      </c>
      <c r="B1903" s="14">
        <f>CHAIN_RAW!B1903</f>
        <v/>
      </c>
      <c r="C1903" s="13">
        <f>CHAIN_RAW!C1903</f>
        <v/>
      </c>
      <c r="D1903" s="13">
        <f>CHAIN_RAW!D1903</f>
        <v/>
      </c>
      <c r="E1903" s="13">
        <f>CHAIN_RAW!E1903</f>
        <v/>
      </c>
      <c r="F1903" s="13">
        <f>IFERROR((E1903-D1903)/D1903,"")</f>
        <v/>
      </c>
      <c r="G1903" s="13">
        <f>IFERROR((CHAIN_RAW!K1903+CHAIN_RAW!L1903)/2,"")</f>
        <v/>
      </c>
      <c r="H1903" s="13">
        <f>IFERROR((CHAIN_RAW!R1903+CHAIN_RAW!S1903)/2,"")</f>
        <v/>
      </c>
      <c r="I1903" s="13">
        <f>IFERROR((CHAIN_RAW!L1903-CHAIN_RAW!K1903)/MAX(1E-9, G1903),"")</f>
        <v/>
      </c>
      <c r="J1903" s="13">
        <f>IFERROR((CHAIN_RAW!S1903-CHAIN_RAW!R1903)/MAX(1E-9, H1903),"")</f>
        <v/>
      </c>
      <c r="K1903" s="13">
        <f>CHAIN_RAW!G1903</f>
        <v/>
      </c>
      <c r="L1903" s="13">
        <f>CHAIN_RAW!N1903</f>
        <v/>
      </c>
      <c r="M1903" s="13">
        <f>IFERROR(L1903-K1903,"")</f>
        <v/>
      </c>
      <c r="N1903" s="13">
        <f>CHAIN_RAW!H1903</f>
        <v/>
      </c>
      <c r="O1903" s="13">
        <f>CHAIN_RAW!O1903</f>
        <v/>
      </c>
      <c r="P1903" s="13">
        <f>IFERROR(O1903/N1903,"")</f>
        <v/>
      </c>
      <c r="Q1903" s="13">
        <f>CHAIN_RAW!I1903</f>
        <v/>
      </c>
      <c r="R1903" s="13">
        <f>CHAIN_RAW!P1903</f>
        <v/>
      </c>
      <c r="S1903" s="13">
        <f>IFERROR(R1903/Q1903,"")</f>
        <v/>
      </c>
      <c r="T1903" s="13">
        <f>IFERROR((ABS(N1903-O1903)/MAX(1,(N1903+O1903)))*EXP(-ABS(E1903-CONTROL!E5)/MAX(1,CONTROL!B8)),"")</f>
        <v/>
      </c>
      <c r="U1903" s="13">
        <f>IFERROR(IF(O1903&gt;N1903,"SUPPORT (PE OI)","RESIST (CE OI)"),"")</f>
        <v/>
      </c>
      <c r="V1903" s="13">
        <f>IFERROR(IF(Q1903&gt;0,IF(R1903&gt;0,"BOTH_ADD","CE_ADD_PE_REDUCE"),IF(R1903&gt;0,"CE_REDUCE_PE_ADD","BOTH_REDUCE")),"")</f>
        <v/>
      </c>
      <c r="W1903" s="13">
        <f>IFERROR( (P1903-1)*0.5 + (M1903)*0.1 - (I1903+J1903)*0.05 + T1903*0.4 ,"")</f>
        <v/>
      </c>
      <c r="X1903" s="13">
        <f>IFERROR(IF(ABS(F1903)&lt;0.01,"ATM/NEAR",""),"")</f>
        <v/>
      </c>
    </row>
    <row r="1904">
      <c r="A1904" s="13">
        <f>CHAIN_RAW!A1904</f>
        <v/>
      </c>
      <c r="B1904" s="14">
        <f>CHAIN_RAW!B1904</f>
        <v/>
      </c>
      <c r="C1904" s="13">
        <f>CHAIN_RAW!C1904</f>
        <v/>
      </c>
      <c r="D1904" s="13">
        <f>CHAIN_RAW!D1904</f>
        <v/>
      </c>
      <c r="E1904" s="13">
        <f>CHAIN_RAW!E1904</f>
        <v/>
      </c>
      <c r="F1904" s="13">
        <f>IFERROR((E1904-D1904)/D1904,"")</f>
        <v/>
      </c>
      <c r="G1904" s="13">
        <f>IFERROR((CHAIN_RAW!K1904+CHAIN_RAW!L1904)/2,"")</f>
        <v/>
      </c>
      <c r="H1904" s="13">
        <f>IFERROR((CHAIN_RAW!R1904+CHAIN_RAW!S1904)/2,"")</f>
        <v/>
      </c>
      <c r="I1904" s="13">
        <f>IFERROR((CHAIN_RAW!L1904-CHAIN_RAW!K1904)/MAX(1E-9, G1904),"")</f>
        <v/>
      </c>
      <c r="J1904" s="13">
        <f>IFERROR((CHAIN_RAW!S1904-CHAIN_RAW!R1904)/MAX(1E-9, H1904),"")</f>
        <v/>
      </c>
      <c r="K1904" s="13">
        <f>CHAIN_RAW!G1904</f>
        <v/>
      </c>
      <c r="L1904" s="13">
        <f>CHAIN_RAW!N1904</f>
        <v/>
      </c>
      <c r="M1904" s="13">
        <f>IFERROR(L1904-K1904,"")</f>
        <v/>
      </c>
      <c r="N1904" s="13">
        <f>CHAIN_RAW!H1904</f>
        <v/>
      </c>
      <c r="O1904" s="13">
        <f>CHAIN_RAW!O1904</f>
        <v/>
      </c>
      <c r="P1904" s="13">
        <f>IFERROR(O1904/N1904,"")</f>
        <v/>
      </c>
      <c r="Q1904" s="13">
        <f>CHAIN_RAW!I1904</f>
        <v/>
      </c>
      <c r="R1904" s="13">
        <f>CHAIN_RAW!P1904</f>
        <v/>
      </c>
      <c r="S1904" s="13">
        <f>IFERROR(R1904/Q1904,"")</f>
        <v/>
      </c>
      <c r="T1904" s="13">
        <f>IFERROR((ABS(N1904-O1904)/MAX(1,(N1904+O1904)))*EXP(-ABS(E1904-CONTROL!E5)/MAX(1,CONTROL!B8)),"")</f>
        <v/>
      </c>
      <c r="U1904" s="13">
        <f>IFERROR(IF(O1904&gt;N1904,"SUPPORT (PE OI)","RESIST (CE OI)"),"")</f>
        <v/>
      </c>
      <c r="V1904" s="13">
        <f>IFERROR(IF(Q1904&gt;0,IF(R1904&gt;0,"BOTH_ADD","CE_ADD_PE_REDUCE"),IF(R1904&gt;0,"CE_REDUCE_PE_ADD","BOTH_REDUCE")),"")</f>
        <v/>
      </c>
      <c r="W1904" s="13">
        <f>IFERROR( (P1904-1)*0.5 + (M1904)*0.1 - (I1904+J1904)*0.05 + T1904*0.4 ,"")</f>
        <v/>
      </c>
      <c r="X1904" s="13">
        <f>IFERROR(IF(ABS(F1904)&lt;0.01,"ATM/NEAR",""),"")</f>
        <v/>
      </c>
    </row>
    <row r="1905">
      <c r="A1905" s="13">
        <f>CHAIN_RAW!A1905</f>
        <v/>
      </c>
      <c r="B1905" s="14">
        <f>CHAIN_RAW!B1905</f>
        <v/>
      </c>
      <c r="C1905" s="13">
        <f>CHAIN_RAW!C1905</f>
        <v/>
      </c>
      <c r="D1905" s="13">
        <f>CHAIN_RAW!D1905</f>
        <v/>
      </c>
      <c r="E1905" s="13">
        <f>CHAIN_RAW!E1905</f>
        <v/>
      </c>
      <c r="F1905" s="13">
        <f>IFERROR((E1905-D1905)/D1905,"")</f>
        <v/>
      </c>
      <c r="G1905" s="13">
        <f>IFERROR((CHAIN_RAW!K1905+CHAIN_RAW!L1905)/2,"")</f>
        <v/>
      </c>
      <c r="H1905" s="13">
        <f>IFERROR((CHAIN_RAW!R1905+CHAIN_RAW!S1905)/2,"")</f>
        <v/>
      </c>
      <c r="I1905" s="13">
        <f>IFERROR((CHAIN_RAW!L1905-CHAIN_RAW!K1905)/MAX(1E-9, G1905),"")</f>
        <v/>
      </c>
      <c r="J1905" s="13">
        <f>IFERROR((CHAIN_RAW!S1905-CHAIN_RAW!R1905)/MAX(1E-9, H1905),"")</f>
        <v/>
      </c>
      <c r="K1905" s="13">
        <f>CHAIN_RAW!G1905</f>
        <v/>
      </c>
      <c r="L1905" s="13">
        <f>CHAIN_RAW!N1905</f>
        <v/>
      </c>
      <c r="M1905" s="13">
        <f>IFERROR(L1905-K1905,"")</f>
        <v/>
      </c>
      <c r="N1905" s="13">
        <f>CHAIN_RAW!H1905</f>
        <v/>
      </c>
      <c r="O1905" s="13">
        <f>CHAIN_RAW!O1905</f>
        <v/>
      </c>
      <c r="P1905" s="13">
        <f>IFERROR(O1905/N1905,"")</f>
        <v/>
      </c>
      <c r="Q1905" s="13">
        <f>CHAIN_RAW!I1905</f>
        <v/>
      </c>
      <c r="R1905" s="13">
        <f>CHAIN_RAW!P1905</f>
        <v/>
      </c>
      <c r="S1905" s="13">
        <f>IFERROR(R1905/Q1905,"")</f>
        <v/>
      </c>
      <c r="T1905" s="13">
        <f>IFERROR((ABS(N1905-O1905)/MAX(1,(N1905+O1905)))*EXP(-ABS(E1905-CONTROL!E5)/MAX(1,CONTROL!B8)),"")</f>
        <v/>
      </c>
      <c r="U1905" s="13">
        <f>IFERROR(IF(O1905&gt;N1905,"SUPPORT (PE OI)","RESIST (CE OI)"),"")</f>
        <v/>
      </c>
      <c r="V1905" s="13">
        <f>IFERROR(IF(Q1905&gt;0,IF(R1905&gt;0,"BOTH_ADD","CE_ADD_PE_REDUCE"),IF(R1905&gt;0,"CE_REDUCE_PE_ADD","BOTH_REDUCE")),"")</f>
        <v/>
      </c>
      <c r="W1905" s="13">
        <f>IFERROR( (P1905-1)*0.5 + (M1905)*0.1 - (I1905+J1905)*0.05 + T1905*0.4 ,"")</f>
        <v/>
      </c>
      <c r="X1905" s="13">
        <f>IFERROR(IF(ABS(F1905)&lt;0.01,"ATM/NEAR",""),"")</f>
        <v/>
      </c>
    </row>
    <row r="1906">
      <c r="A1906" s="13">
        <f>CHAIN_RAW!A1906</f>
        <v/>
      </c>
      <c r="B1906" s="14">
        <f>CHAIN_RAW!B1906</f>
        <v/>
      </c>
      <c r="C1906" s="13">
        <f>CHAIN_RAW!C1906</f>
        <v/>
      </c>
      <c r="D1906" s="13">
        <f>CHAIN_RAW!D1906</f>
        <v/>
      </c>
      <c r="E1906" s="13">
        <f>CHAIN_RAW!E1906</f>
        <v/>
      </c>
      <c r="F1906" s="13">
        <f>IFERROR((E1906-D1906)/D1906,"")</f>
        <v/>
      </c>
      <c r="G1906" s="13">
        <f>IFERROR((CHAIN_RAW!K1906+CHAIN_RAW!L1906)/2,"")</f>
        <v/>
      </c>
      <c r="H1906" s="13">
        <f>IFERROR((CHAIN_RAW!R1906+CHAIN_RAW!S1906)/2,"")</f>
        <v/>
      </c>
      <c r="I1906" s="13">
        <f>IFERROR((CHAIN_RAW!L1906-CHAIN_RAW!K1906)/MAX(1E-9, G1906),"")</f>
        <v/>
      </c>
      <c r="J1906" s="13">
        <f>IFERROR((CHAIN_RAW!S1906-CHAIN_RAW!R1906)/MAX(1E-9, H1906),"")</f>
        <v/>
      </c>
      <c r="K1906" s="13">
        <f>CHAIN_RAW!G1906</f>
        <v/>
      </c>
      <c r="L1906" s="13">
        <f>CHAIN_RAW!N1906</f>
        <v/>
      </c>
      <c r="M1906" s="13">
        <f>IFERROR(L1906-K1906,"")</f>
        <v/>
      </c>
      <c r="N1906" s="13">
        <f>CHAIN_RAW!H1906</f>
        <v/>
      </c>
      <c r="O1906" s="13">
        <f>CHAIN_RAW!O1906</f>
        <v/>
      </c>
      <c r="P1906" s="13">
        <f>IFERROR(O1906/N1906,"")</f>
        <v/>
      </c>
      <c r="Q1906" s="13">
        <f>CHAIN_RAW!I1906</f>
        <v/>
      </c>
      <c r="R1906" s="13">
        <f>CHAIN_RAW!P1906</f>
        <v/>
      </c>
      <c r="S1906" s="13">
        <f>IFERROR(R1906/Q1906,"")</f>
        <v/>
      </c>
      <c r="T1906" s="13">
        <f>IFERROR((ABS(N1906-O1906)/MAX(1,(N1906+O1906)))*EXP(-ABS(E1906-CONTROL!E5)/MAX(1,CONTROL!B8)),"")</f>
        <v/>
      </c>
      <c r="U1906" s="13">
        <f>IFERROR(IF(O1906&gt;N1906,"SUPPORT (PE OI)","RESIST (CE OI)"),"")</f>
        <v/>
      </c>
      <c r="V1906" s="13">
        <f>IFERROR(IF(Q1906&gt;0,IF(R1906&gt;0,"BOTH_ADD","CE_ADD_PE_REDUCE"),IF(R1906&gt;0,"CE_REDUCE_PE_ADD","BOTH_REDUCE")),"")</f>
        <v/>
      </c>
      <c r="W1906" s="13">
        <f>IFERROR( (P1906-1)*0.5 + (M1906)*0.1 - (I1906+J1906)*0.05 + T1906*0.4 ,"")</f>
        <v/>
      </c>
      <c r="X1906" s="13">
        <f>IFERROR(IF(ABS(F1906)&lt;0.01,"ATM/NEAR",""),"")</f>
        <v/>
      </c>
    </row>
    <row r="1907">
      <c r="A1907" s="13">
        <f>CHAIN_RAW!A1907</f>
        <v/>
      </c>
      <c r="B1907" s="14">
        <f>CHAIN_RAW!B1907</f>
        <v/>
      </c>
      <c r="C1907" s="13">
        <f>CHAIN_RAW!C1907</f>
        <v/>
      </c>
      <c r="D1907" s="13">
        <f>CHAIN_RAW!D1907</f>
        <v/>
      </c>
      <c r="E1907" s="13">
        <f>CHAIN_RAW!E1907</f>
        <v/>
      </c>
      <c r="F1907" s="13">
        <f>IFERROR((E1907-D1907)/D1907,"")</f>
        <v/>
      </c>
      <c r="G1907" s="13">
        <f>IFERROR((CHAIN_RAW!K1907+CHAIN_RAW!L1907)/2,"")</f>
        <v/>
      </c>
      <c r="H1907" s="13">
        <f>IFERROR((CHAIN_RAW!R1907+CHAIN_RAW!S1907)/2,"")</f>
        <v/>
      </c>
      <c r="I1907" s="13">
        <f>IFERROR((CHAIN_RAW!L1907-CHAIN_RAW!K1907)/MAX(1E-9, G1907),"")</f>
        <v/>
      </c>
      <c r="J1907" s="13">
        <f>IFERROR((CHAIN_RAW!S1907-CHAIN_RAW!R1907)/MAX(1E-9, H1907),"")</f>
        <v/>
      </c>
      <c r="K1907" s="13">
        <f>CHAIN_RAW!G1907</f>
        <v/>
      </c>
      <c r="L1907" s="13">
        <f>CHAIN_RAW!N1907</f>
        <v/>
      </c>
      <c r="M1907" s="13">
        <f>IFERROR(L1907-K1907,"")</f>
        <v/>
      </c>
      <c r="N1907" s="13">
        <f>CHAIN_RAW!H1907</f>
        <v/>
      </c>
      <c r="O1907" s="13">
        <f>CHAIN_RAW!O1907</f>
        <v/>
      </c>
      <c r="P1907" s="13">
        <f>IFERROR(O1907/N1907,"")</f>
        <v/>
      </c>
      <c r="Q1907" s="13">
        <f>CHAIN_RAW!I1907</f>
        <v/>
      </c>
      <c r="R1907" s="13">
        <f>CHAIN_RAW!P1907</f>
        <v/>
      </c>
      <c r="S1907" s="13">
        <f>IFERROR(R1907/Q1907,"")</f>
        <v/>
      </c>
      <c r="T1907" s="13">
        <f>IFERROR((ABS(N1907-O1907)/MAX(1,(N1907+O1907)))*EXP(-ABS(E1907-CONTROL!E5)/MAX(1,CONTROL!B8)),"")</f>
        <v/>
      </c>
      <c r="U1907" s="13">
        <f>IFERROR(IF(O1907&gt;N1907,"SUPPORT (PE OI)","RESIST (CE OI)"),"")</f>
        <v/>
      </c>
      <c r="V1907" s="13">
        <f>IFERROR(IF(Q1907&gt;0,IF(R1907&gt;0,"BOTH_ADD","CE_ADD_PE_REDUCE"),IF(R1907&gt;0,"CE_REDUCE_PE_ADD","BOTH_REDUCE")),"")</f>
        <v/>
      </c>
      <c r="W1907" s="13">
        <f>IFERROR( (P1907-1)*0.5 + (M1907)*0.1 - (I1907+J1907)*0.05 + T1907*0.4 ,"")</f>
        <v/>
      </c>
      <c r="X1907" s="13">
        <f>IFERROR(IF(ABS(F1907)&lt;0.01,"ATM/NEAR",""),"")</f>
        <v/>
      </c>
    </row>
    <row r="1908">
      <c r="A1908" s="13">
        <f>CHAIN_RAW!A1908</f>
        <v/>
      </c>
      <c r="B1908" s="14">
        <f>CHAIN_RAW!B1908</f>
        <v/>
      </c>
      <c r="C1908" s="13">
        <f>CHAIN_RAW!C1908</f>
        <v/>
      </c>
      <c r="D1908" s="13">
        <f>CHAIN_RAW!D1908</f>
        <v/>
      </c>
      <c r="E1908" s="13">
        <f>CHAIN_RAW!E1908</f>
        <v/>
      </c>
      <c r="F1908" s="13">
        <f>IFERROR((E1908-D1908)/D1908,"")</f>
        <v/>
      </c>
      <c r="G1908" s="13">
        <f>IFERROR((CHAIN_RAW!K1908+CHAIN_RAW!L1908)/2,"")</f>
        <v/>
      </c>
      <c r="H1908" s="13">
        <f>IFERROR((CHAIN_RAW!R1908+CHAIN_RAW!S1908)/2,"")</f>
        <v/>
      </c>
      <c r="I1908" s="13">
        <f>IFERROR((CHAIN_RAW!L1908-CHAIN_RAW!K1908)/MAX(1E-9, G1908),"")</f>
        <v/>
      </c>
      <c r="J1908" s="13">
        <f>IFERROR((CHAIN_RAW!S1908-CHAIN_RAW!R1908)/MAX(1E-9, H1908),"")</f>
        <v/>
      </c>
      <c r="K1908" s="13">
        <f>CHAIN_RAW!G1908</f>
        <v/>
      </c>
      <c r="L1908" s="13">
        <f>CHAIN_RAW!N1908</f>
        <v/>
      </c>
      <c r="M1908" s="13">
        <f>IFERROR(L1908-K1908,"")</f>
        <v/>
      </c>
      <c r="N1908" s="13">
        <f>CHAIN_RAW!H1908</f>
        <v/>
      </c>
      <c r="O1908" s="13">
        <f>CHAIN_RAW!O1908</f>
        <v/>
      </c>
      <c r="P1908" s="13">
        <f>IFERROR(O1908/N1908,"")</f>
        <v/>
      </c>
      <c r="Q1908" s="13">
        <f>CHAIN_RAW!I1908</f>
        <v/>
      </c>
      <c r="R1908" s="13">
        <f>CHAIN_RAW!P1908</f>
        <v/>
      </c>
      <c r="S1908" s="13">
        <f>IFERROR(R1908/Q1908,"")</f>
        <v/>
      </c>
      <c r="T1908" s="13">
        <f>IFERROR((ABS(N1908-O1908)/MAX(1,(N1908+O1908)))*EXP(-ABS(E1908-CONTROL!E5)/MAX(1,CONTROL!B8)),"")</f>
        <v/>
      </c>
      <c r="U1908" s="13">
        <f>IFERROR(IF(O1908&gt;N1908,"SUPPORT (PE OI)","RESIST (CE OI)"),"")</f>
        <v/>
      </c>
      <c r="V1908" s="13">
        <f>IFERROR(IF(Q1908&gt;0,IF(R1908&gt;0,"BOTH_ADD","CE_ADD_PE_REDUCE"),IF(R1908&gt;0,"CE_REDUCE_PE_ADD","BOTH_REDUCE")),"")</f>
        <v/>
      </c>
      <c r="W1908" s="13">
        <f>IFERROR( (P1908-1)*0.5 + (M1908)*0.1 - (I1908+J1908)*0.05 + T1908*0.4 ,"")</f>
        <v/>
      </c>
      <c r="X1908" s="13">
        <f>IFERROR(IF(ABS(F1908)&lt;0.01,"ATM/NEAR",""),"")</f>
        <v/>
      </c>
    </row>
    <row r="1909">
      <c r="A1909" s="13">
        <f>CHAIN_RAW!A1909</f>
        <v/>
      </c>
      <c r="B1909" s="14">
        <f>CHAIN_RAW!B1909</f>
        <v/>
      </c>
      <c r="C1909" s="13">
        <f>CHAIN_RAW!C1909</f>
        <v/>
      </c>
      <c r="D1909" s="13">
        <f>CHAIN_RAW!D1909</f>
        <v/>
      </c>
      <c r="E1909" s="13">
        <f>CHAIN_RAW!E1909</f>
        <v/>
      </c>
      <c r="F1909" s="13">
        <f>IFERROR((E1909-D1909)/D1909,"")</f>
        <v/>
      </c>
      <c r="G1909" s="13">
        <f>IFERROR((CHAIN_RAW!K1909+CHAIN_RAW!L1909)/2,"")</f>
        <v/>
      </c>
      <c r="H1909" s="13">
        <f>IFERROR((CHAIN_RAW!R1909+CHAIN_RAW!S1909)/2,"")</f>
        <v/>
      </c>
      <c r="I1909" s="13">
        <f>IFERROR((CHAIN_RAW!L1909-CHAIN_RAW!K1909)/MAX(1E-9, G1909),"")</f>
        <v/>
      </c>
      <c r="J1909" s="13">
        <f>IFERROR((CHAIN_RAW!S1909-CHAIN_RAW!R1909)/MAX(1E-9, H1909),"")</f>
        <v/>
      </c>
      <c r="K1909" s="13">
        <f>CHAIN_RAW!G1909</f>
        <v/>
      </c>
      <c r="L1909" s="13">
        <f>CHAIN_RAW!N1909</f>
        <v/>
      </c>
      <c r="M1909" s="13">
        <f>IFERROR(L1909-K1909,"")</f>
        <v/>
      </c>
      <c r="N1909" s="13">
        <f>CHAIN_RAW!H1909</f>
        <v/>
      </c>
      <c r="O1909" s="13">
        <f>CHAIN_RAW!O1909</f>
        <v/>
      </c>
      <c r="P1909" s="13">
        <f>IFERROR(O1909/N1909,"")</f>
        <v/>
      </c>
      <c r="Q1909" s="13">
        <f>CHAIN_RAW!I1909</f>
        <v/>
      </c>
      <c r="R1909" s="13">
        <f>CHAIN_RAW!P1909</f>
        <v/>
      </c>
      <c r="S1909" s="13">
        <f>IFERROR(R1909/Q1909,"")</f>
        <v/>
      </c>
      <c r="T1909" s="13">
        <f>IFERROR((ABS(N1909-O1909)/MAX(1,(N1909+O1909)))*EXP(-ABS(E1909-CONTROL!E5)/MAX(1,CONTROL!B8)),"")</f>
        <v/>
      </c>
      <c r="U1909" s="13">
        <f>IFERROR(IF(O1909&gt;N1909,"SUPPORT (PE OI)","RESIST (CE OI)"),"")</f>
        <v/>
      </c>
      <c r="V1909" s="13">
        <f>IFERROR(IF(Q1909&gt;0,IF(R1909&gt;0,"BOTH_ADD","CE_ADD_PE_REDUCE"),IF(R1909&gt;0,"CE_REDUCE_PE_ADD","BOTH_REDUCE")),"")</f>
        <v/>
      </c>
      <c r="W1909" s="13">
        <f>IFERROR( (P1909-1)*0.5 + (M1909)*0.1 - (I1909+J1909)*0.05 + T1909*0.4 ,"")</f>
        <v/>
      </c>
      <c r="X1909" s="13">
        <f>IFERROR(IF(ABS(F1909)&lt;0.01,"ATM/NEAR",""),"")</f>
        <v/>
      </c>
    </row>
    <row r="1910">
      <c r="A1910" s="13">
        <f>CHAIN_RAW!A1910</f>
        <v/>
      </c>
      <c r="B1910" s="14">
        <f>CHAIN_RAW!B1910</f>
        <v/>
      </c>
      <c r="C1910" s="13">
        <f>CHAIN_RAW!C1910</f>
        <v/>
      </c>
      <c r="D1910" s="13">
        <f>CHAIN_RAW!D1910</f>
        <v/>
      </c>
      <c r="E1910" s="13">
        <f>CHAIN_RAW!E1910</f>
        <v/>
      </c>
      <c r="F1910" s="13">
        <f>IFERROR((E1910-D1910)/D1910,"")</f>
        <v/>
      </c>
      <c r="G1910" s="13">
        <f>IFERROR((CHAIN_RAW!K1910+CHAIN_RAW!L1910)/2,"")</f>
        <v/>
      </c>
      <c r="H1910" s="13">
        <f>IFERROR((CHAIN_RAW!R1910+CHAIN_RAW!S1910)/2,"")</f>
        <v/>
      </c>
      <c r="I1910" s="13">
        <f>IFERROR((CHAIN_RAW!L1910-CHAIN_RAW!K1910)/MAX(1E-9, G1910),"")</f>
        <v/>
      </c>
      <c r="J1910" s="13">
        <f>IFERROR((CHAIN_RAW!S1910-CHAIN_RAW!R1910)/MAX(1E-9, H1910),"")</f>
        <v/>
      </c>
      <c r="K1910" s="13">
        <f>CHAIN_RAW!G1910</f>
        <v/>
      </c>
      <c r="L1910" s="13">
        <f>CHAIN_RAW!N1910</f>
        <v/>
      </c>
      <c r="M1910" s="13">
        <f>IFERROR(L1910-K1910,"")</f>
        <v/>
      </c>
      <c r="N1910" s="13">
        <f>CHAIN_RAW!H1910</f>
        <v/>
      </c>
      <c r="O1910" s="13">
        <f>CHAIN_RAW!O1910</f>
        <v/>
      </c>
      <c r="P1910" s="13">
        <f>IFERROR(O1910/N1910,"")</f>
        <v/>
      </c>
      <c r="Q1910" s="13">
        <f>CHAIN_RAW!I1910</f>
        <v/>
      </c>
      <c r="R1910" s="13">
        <f>CHAIN_RAW!P1910</f>
        <v/>
      </c>
      <c r="S1910" s="13">
        <f>IFERROR(R1910/Q1910,"")</f>
        <v/>
      </c>
      <c r="T1910" s="13">
        <f>IFERROR((ABS(N1910-O1910)/MAX(1,(N1910+O1910)))*EXP(-ABS(E1910-CONTROL!E5)/MAX(1,CONTROL!B8)),"")</f>
        <v/>
      </c>
      <c r="U1910" s="13">
        <f>IFERROR(IF(O1910&gt;N1910,"SUPPORT (PE OI)","RESIST (CE OI)"),"")</f>
        <v/>
      </c>
      <c r="V1910" s="13">
        <f>IFERROR(IF(Q1910&gt;0,IF(R1910&gt;0,"BOTH_ADD","CE_ADD_PE_REDUCE"),IF(R1910&gt;0,"CE_REDUCE_PE_ADD","BOTH_REDUCE")),"")</f>
        <v/>
      </c>
      <c r="W1910" s="13">
        <f>IFERROR( (P1910-1)*0.5 + (M1910)*0.1 - (I1910+J1910)*0.05 + T1910*0.4 ,"")</f>
        <v/>
      </c>
      <c r="X1910" s="13">
        <f>IFERROR(IF(ABS(F1910)&lt;0.01,"ATM/NEAR",""),"")</f>
        <v/>
      </c>
    </row>
    <row r="1911">
      <c r="A1911" s="13">
        <f>CHAIN_RAW!A1911</f>
        <v/>
      </c>
      <c r="B1911" s="14">
        <f>CHAIN_RAW!B1911</f>
        <v/>
      </c>
      <c r="C1911" s="13">
        <f>CHAIN_RAW!C1911</f>
        <v/>
      </c>
      <c r="D1911" s="13">
        <f>CHAIN_RAW!D1911</f>
        <v/>
      </c>
      <c r="E1911" s="13">
        <f>CHAIN_RAW!E1911</f>
        <v/>
      </c>
      <c r="F1911" s="13">
        <f>IFERROR((E1911-D1911)/D1911,"")</f>
        <v/>
      </c>
      <c r="G1911" s="13">
        <f>IFERROR((CHAIN_RAW!K1911+CHAIN_RAW!L1911)/2,"")</f>
        <v/>
      </c>
      <c r="H1911" s="13">
        <f>IFERROR((CHAIN_RAW!R1911+CHAIN_RAW!S1911)/2,"")</f>
        <v/>
      </c>
      <c r="I1911" s="13">
        <f>IFERROR((CHAIN_RAW!L1911-CHAIN_RAW!K1911)/MAX(1E-9, G1911),"")</f>
        <v/>
      </c>
      <c r="J1911" s="13">
        <f>IFERROR((CHAIN_RAW!S1911-CHAIN_RAW!R1911)/MAX(1E-9, H1911),"")</f>
        <v/>
      </c>
      <c r="K1911" s="13">
        <f>CHAIN_RAW!G1911</f>
        <v/>
      </c>
      <c r="L1911" s="13">
        <f>CHAIN_RAW!N1911</f>
        <v/>
      </c>
      <c r="M1911" s="13">
        <f>IFERROR(L1911-K1911,"")</f>
        <v/>
      </c>
      <c r="N1911" s="13">
        <f>CHAIN_RAW!H1911</f>
        <v/>
      </c>
      <c r="O1911" s="13">
        <f>CHAIN_RAW!O1911</f>
        <v/>
      </c>
      <c r="P1911" s="13">
        <f>IFERROR(O1911/N1911,"")</f>
        <v/>
      </c>
      <c r="Q1911" s="13">
        <f>CHAIN_RAW!I1911</f>
        <v/>
      </c>
      <c r="R1911" s="13">
        <f>CHAIN_RAW!P1911</f>
        <v/>
      </c>
      <c r="S1911" s="13">
        <f>IFERROR(R1911/Q1911,"")</f>
        <v/>
      </c>
      <c r="T1911" s="13">
        <f>IFERROR((ABS(N1911-O1911)/MAX(1,(N1911+O1911)))*EXP(-ABS(E1911-CONTROL!E5)/MAX(1,CONTROL!B8)),"")</f>
        <v/>
      </c>
      <c r="U1911" s="13">
        <f>IFERROR(IF(O1911&gt;N1911,"SUPPORT (PE OI)","RESIST (CE OI)"),"")</f>
        <v/>
      </c>
      <c r="V1911" s="13">
        <f>IFERROR(IF(Q1911&gt;0,IF(R1911&gt;0,"BOTH_ADD","CE_ADD_PE_REDUCE"),IF(R1911&gt;0,"CE_REDUCE_PE_ADD","BOTH_REDUCE")),"")</f>
        <v/>
      </c>
      <c r="W1911" s="13">
        <f>IFERROR( (P1911-1)*0.5 + (M1911)*0.1 - (I1911+J1911)*0.05 + T1911*0.4 ,"")</f>
        <v/>
      </c>
      <c r="X1911" s="13">
        <f>IFERROR(IF(ABS(F1911)&lt;0.01,"ATM/NEAR",""),"")</f>
        <v/>
      </c>
    </row>
    <row r="1912">
      <c r="A1912" s="13">
        <f>CHAIN_RAW!A1912</f>
        <v/>
      </c>
      <c r="B1912" s="14">
        <f>CHAIN_RAW!B1912</f>
        <v/>
      </c>
      <c r="C1912" s="13">
        <f>CHAIN_RAW!C1912</f>
        <v/>
      </c>
      <c r="D1912" s="13">
        <f>CHAIN_RAW!D1912</f>
        <v/>
      </c>
      <c r="E1912" s="13">
        <f>CHAIN_RAW!E1912</f>
        <v/>
      </c>
      <c r="F1912" s="13">
        <f>IFERROR((E1912-D1912)/D1912,"")</f>
        <v/>
      </c>
      <c r="G1912" s="13">
        <f>IFERROR((CHAIN_RAW!K1912+CHAIN_RAW!L1912)/2,"")</f>
        <v/>
      </c>
      <c r="H1912" s="13">
        <f>IFERROR((CHAIN_RAW!R1912+CHAIN_RAW!S1912)/2,"")</f>
        <v/>
      </c>
      <c r="I1912" s="13">
        <f>IFERROR((CHAIN_RAW!L1912-CHAIN_RAW!K1912)/MAX(1E-9, G1912),"")</f>
        <v/>
      </c>
      <c r="J1912" s="13">
        <f>IFERROR((CHAIN_RAW!S1912-CHAIN_RAW!R1912)/MAX(1E-9, H1912),"")</f>
        <v/>
      </c>
      <c r="K1912" s="13">
        <f>CHAIN_RAW!G1912</f>
        <v/>
      </c>
      <c r="L1912" s="13">
        <f>CHAIN_RAW!N1912</f>
        <v/>
      </c>
      <c r="M1912" s="13">
        <f>IFERROR(L1912-K1912,"")</f>
        <v/>
      </c>
      <c r="N1912" s="13">
        <f>CHAIN_RAW!H1912</f>
        <v/>
      </c>
      <c r="O1912" s="13">
        <f>CHAIN_RAW!O1912</f>
        <v/>
      </c>
      <c r="P1912" s="13">
        <f>IFERROR(O1912/N1912,"")</f>
        <v/>
      </c>
      <c r="Q1912" s="13">
        <f>CHAIN_RAW!I1912</f>
        <v/>
      </c>
      <c r="R1912" s="13">
        <f>CHAIN_RAW!P1912</f>
        <v/>
      </c>
      <c r="S1912" s="13">
        <f>IFERROR(R1912/Q1912,"")</f>
        <v/>
      </c>
      <c r="T1912" s="13">
        <f>IFERROR((ABS(N1912-O1912)/MAX(1,(N1912+O1912)))*EXP(-ABS(E1912-CONTROL!E5)/MAX(1,CONTROL!B8)),"")</f>
        <v/>
      </c>
      <c r="U1912" s="13">
        <f>IFERROR(IF(O1912&gt;N1912,"SUPPORT (PE OI)","RESIST (CE OI)"),"")</f>
        <v/>
      </c>
      <c r="V1912" s="13">
        <f>IFERROR(IF(Q1912&gt;0,IF(R1912&gt;0,"BOTH_ADD","CE_ADD_PE_REDUCE"),IF(R1912&gt;0,"CE_REDUCE_PE_ADD","BOTH_REDUCE")),"")</f>
        <v/>
      </c>
      <c r="W1912" s="13">
        <f>IFERROR( (P1912-1)*0.5 + (M1912)*0.1 - (I1912+J1912)*0.05 + T1912*0.4 ,"")</f>
        <v/>
      </c>
      <c r="X1912" s="13">
        <f>IFERROR(IF(ABS(F1912)&lt;0.01,"ATM/NEAR",""),"")</f>
        <v/>
      </c>
    </row>
    <row r="1913">
      <c r="A1913" s="13">
        <f>CHAIN_RAW!A1913</f>
        <v/>
      </c>
      <c r="B1913" s="14">
        <f>CHAIN_RAW!B1913</f>
        <v/>
      </c>
      <c r="C1913" s="13">
        <f>CHAIN_RAW!C1913</f>
        <v/>
      </c>
      <c r="D1913" s="13">
        <f>CHAIN_RAW!D1913</f>
        <v/>
      </c>
      <c r="E1913" s="13">
        <f>CHAIN_RAW!E1913</f>
        <v/>
      </c>
      <c r="F1913" s="13">
        <f>IFERROR((E1913-D1913)/D1913,"")</f>
        <v/>
      </c>
      <c r="G1913" s="13">
        <f>IFERROR((CHAIN_RAW!K1913+CHAIN_RAW!L1913)/2,"")</f>
        <v/>
      </c>
      <c r="H1913" s="13">
        <f>IFERROR((CHAIN_RAW!R1913+CHAIN_RAW!S1913)/2,"")</f>
        <v/>
      </c>
      <c r="I1913" s="13">
        <f>IFERROR((CHAIN_RAW!L1913-CHAIN_RAW!K1913)/MAX(1E-9, G1913),"")</f>
        <v/>
      </c>
      <c r="J1913" s="13">
        <f>IFERROR((CHAIN_RAW!S1913-CHAIN_RAW!R1913)/MAX(1E-9, H1913),"")</f>
        <v/>
      </c>
      <c r="K1913" s="13">
        <f>CHAIN_RAW!G1913</f>
        <v/>
      </c>
      <c r="L1913" s="13">
        <f>CHAIN_RAW!N1913</f>
        <v/>
      </c>
      <c r="M1913" s="13">
        <f>IFERROR(L1913-K1913,"")</f>
        <v/>
      </c>
      <c r="N1913" s="13">
        <f>CHAIN_RAW!H1913</f>
        <v/>
      </c>
      <c r="O1913" s="13">
        <f>CHAIN_RAW!O1913</f>
        <v/>
      </c>
      <c r="P1913" s="13">
        <f>IFERROR(O1913/N1913,"")</f>
        <v/>
      </c>
      <c r="Q1913" s="13">
        <f>CHAIN_RAW!I1913</f>
        <v/>
      </c>
      <c r="R1913" s="13">
        <f>CHAIN_RAW!P1913</f>
        <v/>
      </c>
      <c r="S1913" s="13">
        <f>IFERROR(R1913/Q1913,"")</f>
        <v/>
      </c>
      <c r="T1913" s="13">
        <f>IFERROR((ABS(N1913-O1913)/MAX(1,(N1913+O1913)))*EXP(-ABS(E1913-CONTROL!E5)/MAX(1,CONTROL!B8)),"")</f>
        <v/>
      </c>
      <c r="U1913" s="13">
        <f>IFERROR(IF(O1913&gt;N1913,"SUPPORT (PE OI)","RESIST (CE OI)"),"")</f>
        <v/>
      </c>
      <c r="V1913" s="13">
        <f>IFERROR(IF(Q1913&gt;0,IF(R1913&gt;0,"BOTH_ADD","CE_ADD_PE_REDUCE"),IF(R1913&gt;0,"CE_REDUCE_PE_ADD","BOTH_REDUCE")),"")</f>
        <v/>
      </c>
      <c r="W1913" s="13">
        <f>IFERROR( (P1913-1)*0.5 + (M1913)*0.1 - (I1913+J1913)*0.05 + T1913*0.4 ,"")</f>
        <v/>
      </c>
      <c r="X1913" s="13">
        <f>IFERROR(IF(ABS(F1913)&lt;0.01,"ATM/NEAR",""),"")</f>
        <v/>
      </c>
    </row>
    <row r="1914">
      <c r="A1914" s="13">
        <f>CHAIN_RAW!A1914</f>
        <v/>
      </c>
      <c r="B1914" s="14">
        <f>CHAIN_RAW!B1914</f>
        <v/>
      </c>
      <c r="C1914" s="13">
        <f>CHAIN_RAW!C1914</f>
        <v/>
      </c>
      <c r="D1914" s="13">
        <f>CHAIN_RAW!D1914</f>
        <v/>
      </c>
      <c r="E1914" s="13">
        <f>CHAIN_RAW!E1914</f>
        <v/>
      </c>
      <c r="F1914" s="13">
        <f>IFERROR((E1914-D1914)/D1914,"")</f>
        <v/>
      </c>
      <c r="G1914" s="13">
        <f>IFERROR((CHAIN_RAW!K1914+CHAIN_RAW!L1914)/2,"")</f>
        <v/>
      </c>
      <c r="H1914" s="13">
        <f>IFERROR((CHAIN_RAW!R1914+CHAIN_RAW!S1914)/2,"")</f>
        <v/>
      </c>
      <c r="I1914" s="13">
        <f>IFERROR((CHAIN_RAW!L1914-CHAIN_RAW!K1914)/MAX(1E-9, G1914),"")</f>
        <v/>
      </c>
      <c r="J1914" s="13">
        <f>IFERROR((CHAIN_RAW!S1914-CHAIN_RAW!R1914)/MAX(1E-9, H1914),"")</f>
        <v/>
      </c>
      <c r="K1914" s="13">
        <f>CHAIN_RAW!G1914</f>
        <v/>
      </c>
      <c r="L1914" s="13">
        <f>CHAIN_RAW!N1914</f>
        <v/>
      </c>
      <c r="M1914" s="13">
        <f>IFERROR(L1914-K1914,"")</f>
        <v/>
      </c>
      <c r="N1914" s="13">
        <f>CHAIN_RAW!H1914</f>
        <v/>
      </c>
      <c r="O1914" s="13">
        <f>CHAIN_RAW!O1914</f>
        <v/>
      </c>
      <c r="P1914" s="13">
        <f>IFERROR(O1914/N1914,"")</f>
        <v/>
      </c>
      <c r="Q1914" s="13">
        <f>CHAIN_RAW!I1914</f>
        <v/>
      </c>
      <c r="R1914" s="13">
        <f>CHAIN_RAW!P1914</f>
        <v/>
      </c>
      <c r="S1914" s="13">
        <f>IFERROR(R1914/Q1914,"")</f>
        <v/>
      </c>
      <c r="T1914" s="13">
        <f>IFERROR((ABS(N1914-O1914)/MAX(1,(N1914+O1914)))*EXP(-ABS(E1914-CONTROL!E5)/MAX(1,CONTROL!B8)),"")</f>
        <v/>
      </c>
      <c r="U1914" s="13">
        <f>IFERROR(IF(O1914&gt;N1914,"SUPPORT (PE OI)","RESIST (CE OI)"),"")</f>
        <v/>
      </c>
      <c r="V1914" s="13">
        <f>IFERROR(IF(Q1914&gt;0,IF(R1914&gt;0,"BOTH_ADD","CE_ADD_PE_REDUCE"),IF(R1914&gt;0,"CE_REDUCE_PE_ADD","BOTH_REDUCE")),"")</f>
        <v/>
      </c>
      <c r="W1914" s="13">
        <f>IFERROR( (P1914-1)*0.5 + (M1914)*0.1 - (I1914+J1914)*0.05 + T1914*0.4 ,"")</f>
        <v/>
      </c>
      <c r="X1914" s="13">
        <f>IFERROR(IF(ABS(F1914)&lt;0.01,"ATM/NEAR",""),"")</f>
        <v/>
      </c>
    </row>
    <row r="1915">
      <c r="A1915" s="13">
        <f>CHAIN_RAW!A1915</f>
        <v/>
      </c>
      <c r="B1915" s="14">
        <f>CHAIN_RAW!B1915</f>
        <v/>
      </c>
      <c r="C1915" s="13">
        <f>CHAIN_RAW!C1915</f>
        <v/>
      </c>
      <c r="D1915" s="13">
        <f>CHAIN_RAW!D1915</f>
        <v/>
      </c>
      <c r="E1915" s="13">
        <f>CHAIN_RAW!E1915</f>
        <v/>
      </c>
      <c r="F1915" s="13">
        <f>IFERROR((E1915-D1915)/D1915,"")</f>
        <v/>
      </c>
      <c r="G1915" s="13">
        <f>IFERROR((CHAIN_RAW!K1915+CHAIN_RAW!L1915)/2,"")</f>
        <v/>
      </c>
      <c r="H1915" s="13">
        <f>IFERROR((CHAIN_RAW!R1915+CHAIN_RAW!S1915)/2,"")</f>
        <v/>
      </c>
      <c r="I1915" s="13">
        <f>IFERROR((CHAIN_RAW!L1915-CHAIN_RAW!K1915)/MAX(1E-9, G1915),"")</f>
        <v/>
      </c>
      <c r="J1915" s="13">
        <f>IFERROR((CHAIN_RAW!S1915-CHAIN_RAW!R1915)/MAX(1E-9, H1915),"")</f>
        <v/>
      </c>
      <c r="K1915" s="13">
        <f>CHAIN_RAW!G1915</f>
        <v/>
      </c>
      <c r="L1915" s="13">
        <f>CHAIN_RAW!N1915</f>
        <v/>
      </c>
      <c r="M1915" s="13">
        <f>IFERROR(L1915-K1915,"")</f>
        <v/>
      </c>
      <c r="N1915" s="13">
        <f>CHAIN_RAW!H1915</f>
        <v/>
      </c>
      <c r="O1915" s="13">
        <f>CHAIN_RAW!O1915</f>
        <v/>
      </c>
      <c r="P1915" s="13">
        <f>IFERROR(O1915/N1915,"")</f>
        <v/>
      </c>
      <c r="Q1915" s="13">
        <f>CHAIN_RAW!I1915</f>
        <v/>
      </c>
      <c r="R1915" s="13">
        <f>CHAIN_RAW!P1915</f>
        <v/>
      </c>
      <c r="S1915" s="13">
        <f>IFERROR(R1915/Q1915,"")</f>
        <v/>
      </c>
      <c r="T1915" s="13">
        <f>IFERROR((ABS(N1915-O1915)/MAX(1,(N1915+O1915)))*EXP(-ABS(E1915-CONTROL!E5)/MAX(1,CONTROL!B8)),"")</f>
        <v/>
      </c>
      <c r="U1915" s="13">
        <f>IFERROR(IF(O1915&gt;N1915,"SUPPORT (PE OI)","RESIST (CE OI)"),"")</f>
        <v/>
      </c>
      <c r="V1915" s="13">
        <f>IFERROR(IF(Q1915&gt;0,IF(R1915&gt;0,"BOTH_ADD","CE_ADD_PE_REDUCE"),IF(R1915&gt;0,"CE_REDUCE_PE_ADD","BOTH_REDUCE")),"")</f>
        <v/>
      </c>
      <c r="W1915" s="13">
        <f>IFERROR( (P1915-1)*0.5 + (M1915)*0.1 - (I1915+J1915)*0.05 + T1915*0.4 ,"")</f>
        <v/>
      </c>
      <c r="X1915" s="13">
        <f>IFERROR(IF(ABS(F1915)&lt;0.01,"ATM/NEAR",""),"")</f>
        <v/>
      </c>
    </row>
    <row r="1916">
      <c r="A1916" s="13">
        <f>CHAIN_RAW!A1916</f>
        <v/>
      </c>
      <c r="B1916" s="14">
        <f>CHAIN_RAW!B1916</f>
        <v/>
      </c>
      <c r="C1916" s="13">
        <f>CHAIN_RAW!C1916</f>
        <v/>
      </c>
      <c r="D1916" s="13">
        <f>CHAIN_RAW!D1916</f>
        <v/>
      </c>
      <c r="E1916" s="13">
        <f>CHAIN_RAW!E1916</f>
        <v/>
      </c>
      <c r="F1916" s="13">
        <f>IFERROR((E1916-D1916)/D1916,"")</f>
        <v/>
      </c>
      <c r="G1916" s="13">
        <f>IFERROR((CHAIN_RAW!K1916+CHAIN_RAW!L1916)/2,"")</f>
        <v/>
      </c>
      <c r="H1916" s="13">
        <f>IFERROR((CHAIN_RAW!R1916+CHAIN_RAW!S1916)/2,"")</f>
        <v/>
      </c>
      <c r="I1916" s="13">
        <f>IFERROR((CHAIN_RAW!L1916-CHAIN_RAW!K1916)/MAX(1E-9, G1916),"")</f>
        <v/>
      </c>
      <c r="J1916" s="13">
        <f>IFERROR((CHAIN_RAW!S1916-CHAIN_RAW!R1916)/MAX(1E-9, H1916),"")</f>
        <v/>
      </c>
      <c r="K1916" s="13">
        <f>CHAIN_RAW!G1916</f>
        <v/>
      </c>
      <c r="L1916" s="13">
        <f>CHAIN_RAW!N1916</f>
        <v/>
      </c>
      <c r="M1916" s="13">
        <f>IFERROR(L1916-K1916,"")</f>
        <v/>
      </c>
      <c r="N1916" s="13">
        <f>CHAIN_RAW!H1916</f>
        <v/>
      </c>
      <c r="O1916" s="13">
        <f>CHAIN_RAW!O1916</f>
        <v/>
      </c>
      <c r="P1916" s="13">
        <f>IFERROR(O1916/N1916,"")</f>
        <v/>
      </c>
      <c r="Q1916" s="13">
        <f>CHAIN_RAW!I1916</f>
        <v/>
      </c>
      <c r="R1916" s="13">
        <f>CHAIN_RAW!P1916</f>
        <v/>
      </c>
      <c r="S1916" s="13">
        <f>IFERROR(R1916/Q1916,"")</f>
        <v/>
      </c>
      <c r="T1916" s="13">
        <f>IFERROR((ABS(N1916-O1916)/MAX(1,(N1916+O1916)))*EXP(-ABS(E1916-CONTROL!E5)/MAX(1,CONTROL!B8)),"")</f>
        <v/>
      </c>
      <c r="U1916" s="13">
        <f>IFERROR(IF(O1916&gt;N1916,"SUPPORT (PE OI)","RESIST (CE OI)"),"")</f>
        <v/>
      </c>
      <c r="V1916" s="13">
        <f>IFERROR(IF(Q1916&gt;0,IF(R1916&gt;0,"BOTH_ADD","CE_ADD_PE_REDUCE"),IF(R1916&gt;0,"CE_REDUCE_PE_ADD","BOTH_REDUCE")),"")</f>
        <v/>
      </c>
      <c r="W1916" s="13">
        <f>IFERROR( (P1916-1)*0.5 + (M1916)*0.1 - (I1916+J1916)*0.05 + T1916*0.4 ,"")</f>
        <v/>
      </c>
      <c r="X1916" s="13">
        <f>IFERROR(IF(ABS(F1916)&lt;0.01,"ATM/NEAR",""),"")</f>
        <v/>
      </c>
    </row>
    <row r="1917">
      <c r="A1917" s="13">
        <f>CHAIN_RAW!A1917</f>
        <v/>
      </c>
      <c r="B1917" s="14">
        <f>CHAIN_RAW!B1917</f>
        <v/>
      </c>
      <c r="C1917" s="13">
        <f>CHAIN_RAW!C1917</f>
        <v/>
      </c>
      <c r="D1917" s="13">
        <f>CHAIN_RAW!D1917</f>
        <v/>
      </c>
      <c r="E1917" s="13">
        <f>CHAIN_RAW!E1917</f>
        <v/>
      </c>
      <c r="F1917" s="13">
        <f>IFERROR((E1917-D1917)/D1917,"")</f>
        <v/>
      </c>
      <c r="G1917" s="13">
        <f>IFERROR((CHAIN_RAW!K1917+CHAIN_RAW!L1917)/2,"")</f>
        <v/>
      </c>
      <c r="H1917" s="13">
        <f>IFERROR((CHAIN_RAW!R1917+CHAIN_RAW!S1917)/2,"")</f>
        <v/>
      </c>
      <c r="I1917" s="13">
        <f>IFERROR((CHAIN_RAW!L1917-CHAIN_RAW!K1917)/MAX(1E-9, G1917),"")</f>
        <v/>
      </c>
      <c r="J1917" s="13">
        <f>IFERROR((CHAIN_RAW!S1917-CHAIN_RAW!R1917)/MAX(1E-9, H1917),"")</f>
        <v/>
      </c>
      <c r="K1917" s="13">
        <f>CHAIN_RAW!G1917</f>
        <v/>
      </c>
      <c r="L1917" s="13">
        <f>CHAIN_RAW!N1917</f>
        <v/>
      </c>
      <c r="M1917" s="13">
        <f>IFERROR(L1917-K1917,"")</f>
        <v/>
      </c>
      <c r="N1917" s="13">
        <f>CHAIN_RAW!H1917</f>
        <v/>
      </c>
      <c r="O1917" s="13">
        <f>CHAIN_RAW!O1917</f>
        <v/>
      </c>
      <c r="P1917" s="13">
        <f>IFERROR(O1917/N1917,"")</f>
        <v/>
      </c>
      <c r="Q1917" s="13">
        <f>CHAIN_RAW!I1917</f>
        <v/>
      </c>
      <c r="R1917" s="13">
        <f>CHAIN_RAW!P1917</f>
        <v/>
      </c>
      <c r="S1917" s="13">
        <f>IFERROR(R1917/Q1917,"")</f>
        <v/>
      </c>
      <c r="T1917" s="13">
        <f>IFERROR((ABS(N1917-O1917)/MAX(1,(N1917+O1917)))*EXP(-ABS(E1917-CONTROL!E5)/MAX(1,CONTROL!B8)),"")</f>
        <v/>
      </c>
      <c r="U1917" s="13">
        <f>IFERROR(IF(O1917&gt;N1917,"SUPPORT (PE OI)","RESIST (CE OI)"),"")</f>
        <v/>
      </c>
      <c r="V1917" s="13">
        <f>IFERROR(IF(Q1917&gt;0,IF(R1917&gt;0,"BOTH_ADD","CE_ADD_PE_REDUCE"),IF(R1917&gt;0,"CE_REDUCE_PE_ADD","BOTH_REDUCE")),"")</f>
        <v/>
      </c>
      <c r="W1917" s="13">
        <f>IFERROR( (P1917-1)*0.5 + (M1917)*0.1 - (I1917+J1917)*0.05 + T1917*0.4 ,"")</f>
        <v/>
      </c>
      <c r="X1917" s="13">
        <f>IFERROR(IF(ABS(F1917)&lt;0.01,"ATM/NEAR",""),"")</f>
        <v/>
      </c>
    </row>
    <row r="1918">
      <c r="A1918" s="13">
        <f>CHAIN_RAW!A1918</f>
        <v/>
      </c>
      <c r="B1918" s="14">
        <f>CHAIN_RAW!B1918</f>
        <v/>
      </c>
      <c r="C1918" s="13">
        <f>CHAIN_RAW!C1918</f>
        <v/>
      </c>
      <c r="D1918" s="13">
        <f>CHAIN_RAW!D1918</f>
        <v/>
      </c>
      <c r="E1918" s="13">
        <f>CHAIN_RAW!E1918</f>
        <v/>
      </c>
      <c r="F1918" s="13">
        <f>IFERROR((E1918-D1918)/D1918,"")</f>
        <v/>
      </c>
      <c r="G1918" s="13">
        <f>IFERROR((CHAIN_RAW!K1918+CHAIN_RAW!L1918)/2,"")</f>
        <v/>
      </c>
      <c r="H1918" s="13">
        <f>IFERROR((CHAIN_RAW!R1918+CHAIN_RAW!S1918)/2,"")</f>
        <v/>
      </c>
      <c r="I1918" s="13">
        <f>IFERROR((CHAIN_RAW!L1918-CHAIN_RAW!K1918)/MAX(1E-9, G1918),"")</f>
        <v/>
      </c>
      <c r="J1918" s="13">
        <f>IFERROR((CHAIN_RAW!S1918-CHAIN_RAW!R1918)/MAX(1E-9, H1918),"")</f>
        <v/>
      </c>
      <c r="K1918" s="13">
        <f>CHAIN_RAW!G1918</f>
        <v/>
      </c>
      <c r="L1918" s="13">
        <f>CHAIN_RAW!N1918</f>
        <v/>
      </c>
      <c r="M1918" s="13">
        <f>IFERROR(L1918-K1918,"")</f>
        <v/>
      </c>
      <c r="N1918" s="13">
        <f>CHAIN_RAW!H1918</f>
        <v/>
      </c>
      <c r="O1918" s="13">
        <f>CHAIN_RAW!O1918</f>
        <v/>
      </c>
      <c r="P1918" s="13">
        <f>IFERROR(O1918/N1918,"")</f>
        <v/>
      </c>
      <c r="Q1918" s="13">
        <f>CHAIN_RAW!I1918</f>
        <v/>
      </c>
      <c r="R1918" s="13">
        <f>CHAIN_RAW!P1918</f>
        <v/>
      </c>
      <c r="S1918" s="13">
        <f>IFERROR(R1918/Q1918,"")</f>
        <v/>
      </c>
      <c r="T1918" s="13">
        <f>IFERROR((ABS(N1918-O1918)/MAX(1,(N1918+O1918)))*EXP(-ABS(E1918-CONTROL!E5)/MAX(1,CONTROL!B8)),"")</f>
        <v/>
      </c>
      <c r="U1918" s="13">
        <f>IFERROR(IF(O1918&gt;N1918,"SUPPORT (PE OI)","RESIST (CE OI)"),"")</f>
        <v/>
      </c>
      <c r="V1918" s="13">
        <f>IFERROR(IF(Q1918&gt;0,IF(R1918&gt;0,"BOTH_ADD","CE_ADD_PE_REDUCE"),IF(R1918&gt;0,"CE_REDUCE_PE_ADD","BOTH_REDUCE")),"")</f>
        <v/>
      </c>
      <c r="W1918" s="13">
        <f>IFERROR( (P1918-1)*0.5 + (M1918)*0.1 - (I1918+J1918)*0.05 + T1918*0.4 ,"")</f>
        <v/>
      </c>
      <c r="X1918" s="13">
        <f>IFERROR(IF(ABS(F1918)&lt;0.01,"ATM/NEAR",""),"")</f>
        <v/>
      </c>
    </row>
    <row r="1919">
      <c r="A1919" s="13">
        <f>CHAIN_RAW!A1919</f>
        <v/>
      </c>
      <c r="B1919" s="14">
        <f>CHAIN_RAW!B1919</f>
        <v/>
      </c>
      <c r="C1919" s="13">
        <f>CHAIN_RAW!C1919</f>
        <v/>
      </c>
      <c r="D1919" s="13">
        <f>CHAIN_RAW!D1919</f>
        <v/>
      </c>
      <c r="E1919" s="13">
        <f>CHAIN_RAW!E1919</f>
        <v/>
      </c>
      <c r="F1919" s="13">
        <f>IFERROR((E1919-D1919)/D1919,"")</f>
        <v/>
      </c>
      <c r="G1919" s="13">
        <f>IFERROR((CHAIN_RAW!K1919+CHAIN_RAW!L1919)/2,"")</f>
        <v/>
      </c>
      <c r="H1919" s="13">
        <f>IFERROR((CHAIN_RAW!R1919+CHAIN_RAW!S1919)/2,"")</f>
        <v/>
      </c>
      <c r="I1919" s="13">
        <f>IFERROR((CHAIN_RAW!L1919-CHAIN_RAW!K1919)/MAX(1E-9, G1919),"")</f>
        <v/>
      </c>
      <c r="J1919" s="13">
        <f>IFERROR((CHAIN_RAW!S1919-CHAIN_RAW!R1919)/MAX(1E-9, H1919),"")</f>
        <v/>
      </c>
      <c r="K1919" s="13">
        <f>CHAIN_RAW!G1919</f>
        <v/>
      </c>
      <c r="L1919" s="13">
        <f>CHAIN_RAW!N1919</f>
        <v/>
      </c>
      <c r="M1919" s="13">
        <f>IFERROR(L1919-K1919,"")</f>
        <v/>
      </c>
      <c r="N1919" s="13">
        <f>CHAIN_RAW!H1919</f>
        <v/>
      </c>
      <c r="O1919" s="13">
        <f>CHAIN_RAW!O1919</f>
        <v/>
      </c>
      <c r="P1919" s="13">
        <f>IFERROR(O1919/N1919,"")</f>
        <v/>
      </c>
      <c r="Q1919" s="13">
        <f>CHAIN_RAW!I1919</f>
        <v/>
      </c>
      <c r="R1919" s="13">
        <f>CHAIN_RAW!P1919</f>
        <v/>
      </c>
      <c r="S1919" s="13">
        <f>IFERROR(R1919/Q1919,"")</f>
        <v/>
      </c>
      <c r="T1919" s="13">
        <f>IFERROR((ABS(N1919-O1919)/MAX(1,(N1919+O1919)))*EXP(-ABS(E1919-CONTROL!E5)/MAX(1,CONTROL!B8)),"")</f>
        <v/>
      </c>
      <c r="U1919" s="13">
        <f>IFERROR(IF(O1919&gt;N1919,"SUPPORT (PE OI)","RESIST (CE OI)"),"")</f>
        <v/>
      </c>
      <c r="V1919" s="13">
        <f>IFERROR(IF(Q1919&gt;0,IF(R1919&gt;0,"BOTH_ADD","CE_ADD_PE_REDUCE"),IF(R1919&gt;0,"CE_REDUCE_PE_ADD","BOTH_REDUCE")),"")</f>
        <v/>
      </c>
      <c r="W1919" s="13">
        <f>IFERROR( (P1919-1)*0.5 + (M1919)*0.1 - (I1919+J1919)*0.05 + T1919*0.4 ,"")</f>
        <v/>
      </c>
      <c r="X1919" s="13">
        <f>IFERROR(IF(ABS(F1919)&lt;0.01,"ATM/NEAR",""),"")</f>
        <v/>
      </c>
    </row>
    <row r="1920">
      <c r="A1920" s="13">
        <f>CHAIN_RAW!A1920</f>
        <v/>
      </c>
      <c r="B1920" s="14">
        <f>CHAIN_RAW!B1920</f>
        <v/>
      </c>
      <c r="C1920" s="13">
        <f>CHAIN_RAW!C1920</f>
        <v/>
      </c>
      <c r="D1920" s="13">
        <f>CHAIN_RAW!D1920</f>
        <v/>
      </c>
      <c r="E1920" s="13">
        <f>CHAIN_RAW!E1920</f>
        <v/>
      </c>
      <c r="F1920" s="13">
        <f>IFERROR((E1920-D1920)/D1920,"")</f>
        <v/>
      </c>
      <c r="G1920" s="13">
        <f>IFERROR((CHAIN_RAW!K1920+CHAIN_RAW!L1920)/2,"")</f>
        <v/>
      </c>
      <c r="H1920" s="13">
        <f>IFERROR((CHAIN_RAW!R1920+CHAIN_RAW!S1920)/2,"")</f>
        <v/>
      </c>
      <c r="I1920" s="13">
        <f>IFERROR((CHAIN_RAW!L1920-CHAIN_RAW!K1920)/MAX(1E-9, G1920),"")</f>
        <v/>
      </c>
      <c r="J1920" s="13">
        <f>IFERROR((CHAIN_RAW!S1920-CHAIN_RAW!R1920)/MAX(1E-9, H1920),"")</f>
        <v/>
      </c>
      <c r="K1920" s="13">
        <f>CHAIN_RAW!G1920</f>
        <v/>
      </c>
      <c r="L1920" s="13">
        <f>CHAIN_RAW!N1920</f>
        <v/>
      </c>
      <c r="M1920" s="13">
        <f>IFERROR(L1920-K1920,"")</f>
        <v/>
      </c>
      <c r="N1920" s="13">
        <f>CHAIN_RAW!H1920</f>
        <v/>
      </c>
      <c r="O1920" s="13">
        <f>CHAIN_RAW!O1920</f>
        <v/>
      </c>
      <c r="P1920" s="13">
        <f>IFERROR(O1920/N1920,"")</f>
        <v/>
      </c>
      <c r="Q1920" s="13">
        <f>CHAIN_RAW!I1920</f>
        <v/>
      </c>
      <c r="R1920" s="13">
        <f>CHAIN_RAW!P1920</f>
        <v/>
      </c>
      <c r="S1920" s="13">
        <f>IFERROR(R1920/Q1920,"")</f>
        <v/>
      </c>
      <c r="T1920" s="13">
        <f>IFERROR((ABS(N1920-O1920)/MAX(1,(N1920+O1920)))*EXP(-ABS(E1920-CONTROL!E5)/MAX(1,CONTROL!B8)),"")</f>
        <v/>
      </c>
      <c r="U1920" s="13">
        <f>IFERROR(IF(O1920&gt;N1920,"SUPPORT (PE OI)","RESIST (CE OI)"),"")</f>
        <v/>
      </c>
      <c r="V1920" s="13">
        <f>IFERROR(IF(Q1920&gt;0,IF(R1920&gt;0,"BOTH_ADD","CE_ADD_PE_REDUCE"),IF(R1920&gt;0,"CE_REDUCE_PE_ADD","BOTH_REDUCE")),"")</f>
        <v/>
      </c>
      <c r="W1920" s="13">
        <f>IFERROR( (P1920-1)*0.5 + (M1920)*0.1 - (I1920+J1920)*0.05 + T1920*0.4 ,"")</f>
        <v/>
      </c>
      <c r="X1920" s="13">
        <f>IFERROR(IF(ABS(F1920)&lt;0.01,"ATM/NEAR",""),"")</f>
        <v/>
      </c>
    </row>
    <row r="1921">
      <c r="A1921" s="13">
        <f>CHAIN_RAW!A1921</f>
        <v/>
      </c>
      <c r="B1921" s="14">
        <f>CHAIN_RAW!B1921</f>
        <v/>
      </c>
      <c r="C1921" s="13">
        <f>CHAIN_RAW!C1921</f>
        <v/>
      </c>
      <c r="D1921" s="13">
        <f>CHAIN_RAW!D1921</f>
        <v/>
      </c>
      <c r="E1921" s="13">
        <f>CHAIN_RAW!E1921</f>
        <v/>
      </c>
      <c r="F1921" s="13">
        <f>IFERROR((E1921-D1921)/D1921,"")</f>
        <v/>
      </c>
      <c r="G1921" s="13">
        <f>IFERROR((CHAIN_RAW!K1921+CHAIN_RAW!L1921)/2,"")</f>
        <v/>
      </c>
      <c r="H1921" s="13">
        <f>IFERROR((CHAIN_RAW!R1921+CHAIN_RAW!S1921)/2,"")</f>
        <v/>
      </c>
      <c r="I1921" s="13">
        <f>IFERROR((CHAIN_RAW!L1921-CHAIN_RAW!K1921)/MAX(1E-9, G1921),"")</f>
        <v/>
      </c>
      <c r="J1921" s="13">
        <f>IFERROR((CHAIN_RAW!S1921-CHAIN_RAW!R1921)/MAX(1E-9, H1921),"")</f>
        <v/>
      </c>
      <c r="K1921" s="13">
        <f>CHAIN_RAW!G1921</f>
        <v/>
      </c>
      <c r="L1921" s="13">
        <f>CHAIN_RAW!N1921</f>
        <v/>
      </c>
      <c r="M1921" s="13">
        <f>IFERROR(L1921-K1921,"")</f>
        <v/>
      </c>
      <c r="N1921" s="13">
        <f>CHAIN_RAW!H1921</f>
        <v/>
      </c>
      <c r="O1921" s="13">
        <f>CHAIN_RAW!O1921</f>
        <v/>
      </c>
      <c r="P1921" s="13">
        <f>IFERROR(O1921/N1921,"")</f>
        <v/>
      </c>
      <c r="Q1921" s="13">
        <f>CHAIN_RAW!I1921</f>
        <v/>
      </c>
      <c r="R1921" s="13">
        <f>CHAIN_RAW!P1921</f>
        <v/>
      </c>
      <c r="S1921" s="13">
        <f>IFERROR(R1921/Q1921,"")</f>
        <v/>
      </c>
      <c r="T1921" s="13">
        <f>IFERROR((ABS(N1921-O1921)/MAX(1,(N1921+O1921)))*EXP(-ABS(E1921-CONTROL!E5)/MAX(1,CONTROL!B8)),"")</f>
        <v/>
      </c>
      <c r="U1921" s="13">
        <f>IFERROR(IF(O1921&gt;N1921,"SUPPORT (PE OI)","RESIST (CE OI)"),"")</f>
        <v/>
      </c>
      <c r="V1921" s="13">
        <f>IFERROR(IF(Q1921&gt;0,IF(R1921&gt;0,"BOTH_ADD","CE_ADD_PE_REDUCE"),IF(R1921&gt;0,"CE_REDUCE_PE_ADD","BOTH_REDUCE")),"")</f>
        <v/>
      </c>
      <c r="W1921" s="13">
        <f>IFERROR( (P1921-1)*0.5 + (M1921)*0.1 - (I1921+J1921)*0.05 + T1921*0.4 ,"")</f>
        <v/>
      </c>
      <c r="X1921" s="13">
        <f>IFERROR(IF(ABS(F1921)&lt;0.01,"ATM/NEAR",""),"")</f>
        <v/>
      </c>
    </row>
    <row r="1922">
      <c r="A1922" s="13">
        <f>CHAIN_RAW!A1922</f>
        <v/>
      </c>
      <c r="B1922" s="14">
        <f>CHAIN_RAW!B1922</f>
        <v/>
      </c>
      <c r="C1922" s="13">
        <f>CHAIN_RAW!C1922</f>
        <v/>
      </c>
      <c r="D1922" s="13">
        <f>CHAIN_RAW!D1922</f>
        <v/>
      </c>
      <c r="E1922" s="13">
        <f>CHAIN_RAW!E1922</f>
        <v/>
      </c>
      <c r="F1922" s="13">
        <f>IFERROR((E1922-D1922)/D1922,"")</f>
        <v/>
      </c>
      <c r="G1922" s="13">
        <f>IFERROR((CHAIN_RAW!K1922+CHAIN_RAW!L1922)/2,"")</f>
        <v/>
      </c>
      <c r="H1922" s="13">
        <f>IFERROR((CHAIN_RAW!R1922+CHAIN_RAW!S1922)/2,"")</f>
        <v/>
      </c>
      <c r="I1922" s="13">
        <f>IFERROR((CHAIN_RAW!L1922-CHAIN_RAW!K1922)/MAX(1E-9, G1922),"")</f>
        <v/>
      </c>
      <c r="J1922" s="13">
        <f>IFERROR((CHAIN_RAW!S1922-CHAIN_RAW!R1922)/MAX(1E-9, H1922),"")</f>
        <v/>
      </c>
      <c r="K1922" s="13">
        <f>CHAIN_RAW!G1922</f>
        <v/>
      </c>
      <c r="L1922" s="13">
        <f>CHAIN_RAW!N1922</f>
        <v/>
      </c>
      <c r="M1922" s="13">
        <f>IFERROR(L1922-K1922,"")</f>
        <v/>
      </c>
      <c r="N1922" s="13">
        <f>CHAIN_RAW!H1922</f>
        <v/>
      </c>
      <c r="O1922" s="13">
        <f>CHAIN_RAW!O1922</f>
        <v/>
      </c>
      <c r="P1922" s="13">
        <f>IFERROR(O1922/N1922,"")</f>
        <v/>
      </c>
      <c r="Q1922" s="13">
        <f>CHAIN_RAW!I1922</f>
        <v/>
      </c>
      <c r="R1922" s="13">
        <f>CHAIN_RAW!P1922</f>
        <v/>
      </c>
      <c r="S1922" s="13">
        <f>IFERROR(R1922/Q1922,"")</f>
        <v/>
      </c>
      <c r="T1922" s="13">
        <f>IFERROR((ABS(N1922-O1922)/MAX(1,(N1922+O1922)))*EXP(-ABS(E1922-CONTROL!E5)/MAX(1,CONTROL!B8)),"")</f>
        <v/>
      </c>
      <c r="U1922" s="13">
        <f>IFERROR(IF(O1922&gt;N1922,"SUPPORT (PE OI)","RESIST (CE OI)"),"")</f>
        <v/>
      </c>
      <c r="V1922" s="13">
        <f>IFERROR(IF(Q1922&gt;0,IF(R1922&gt;0,"BOTH_ADD","CE_ADD_PE_REDUCE"),IF(R1922&gt;0,"CE_REDUCE_PE_ADD","BOTH_REDUCE")),"")</f>
        <v/>
      </c>
      <c r="W1922" s="13">
        <f>IFERROR( (P1922-1)*0.5 + (M1922)*0.1 - (I1922+J1922)*0.05 + T1922*0.4 ,"")</f>
        <v/>
      </c>
      <c r="X1922" s="13">
        <f>IFERROR(IF(ABS(F1922)&lt;0.01,"ATM/NEAR",""),"")</f>
        <v/>
      </c>
    </row>
    <row r="1923">
      <c r="A1923" s="13">
        <f>CHAIN_RAW!A1923</f>
        <v/>
      </c>
      <c r="B1923" s="14">
        <f>CHAIN_RAW!B1923</f>
        <v/>
      </c>
      <c r="C1923" s="13">
        <f>CHAIN_RAW!C1923</f>
        <v/>
      </c>
      <c r="D1923" s="13">
        <f>CHAIN_RAW!D1923</f>
        <v/>
      </c>
      <c r="E1923" s="13">
        <f>CHAIN_RAW!E1923</f>
        <v/>
      </c>
      <c r="F1923" s="13">
        <f>IFERROR((E1923-D1923)/D1923,"")</f>
        <v/>
      </c>
      <c r="G1923" s="13">
        <f>IFERROR((CHAIN_RAW!K1923+CHAIN_RAW!L1923)/2,"")</f>
        <v/>
      </c>
      <c r="H1923" s="13">
        <f>IFERROR((CHAIN_RAW!R1923+CHAIN_RAW!S1923)/2,"")</f>
        <v/>
      </c>
      <c r="I1923" s="13">
        <f>IFERROR((CHAIN_RAW!L1923-CHAIN_RAW!K1923)/MAX(1E-9, G1923),"")</f>
        <v/>
      </c>
      <c r="J1923" s="13">
        <f>IFERROR((CHAIN_RAW!S1923-CHAIN_RAW!R1923)/MAX(1E-9, H1923),"")</f>
        <v/>
      </c>
      <c r="K1923" s="13">
        <f>CHAIN_RAW!G1923</f>
        <v/>
      </c>
      <c r="L1923" s="13">
        <f>CHAIN_RAW!N1923</f>
        <v/>
      </c>
      <c r="M1923" s="13">
        <f>IFERROR(L1923-K1923,"")</f>
        <v/>
      </c>
      <c r="N1923" s="13">
        <f>CHAIN_RAW!H1923</f>
        <v/>
      </c>
      <c r="O1923" s="13">
        <f>CHAIN_RAW!O1923</f>
        <v/>
      </c>
      <c r="P1923" s="13">
        <f>IFERROR(O1923/N1923,"")</f>
        <v/>
      </c>
      <c r="Q1923" s="13">
        <f>CHAIN_RAW!I1923</f>
        <v/>
      </c>
      <c r="R1923" s="13">
        <f>CHAIN_RAW!P1923</f>
        <v/>
      </c>
      <c r="S1923" s="13">
        <f>IFERROR(R1923/Q1923,"")</f>
        <v/>
      </c>
      <c r="T1923" s="13">
        <f>IFERROR((ABS(N1923-O1923)/MAX(1,(N1923+O1923)))*EXP(-ABS(E1923-CONTROL!E5)/MAX(1,CONTROL!B8)),"")</f>
        <v/>
      </c>
      <c r="U1923" s="13">
        <f>IFERROR(IF(O1923&gt;N1923,"SUPPORT (PE OI)","RESIST (CE OI)"),"")</f>
        <v/>
      </c>
      <c r="V1923" s="13">
        <f>IFERROR(IF(Q1923&gt;0,IF(R1923&gt;0,"BOTH_ADD","CE_ADD_PE_REDUCE"),IF(R1923&gt;0,"CE_REDUCE_PE_ADD","BOTH_REDUCE")),"")</f>
        <v/>
      </c>
      <c r="W1923" s="13">
        <f>IFERROR( (P1923-1)*0.5 + (M1923)*0.1 - (I1923+J1923)*0.05 + T1923*0.4 ,"")</f>
        <v/>
      </c>
      <c r="X1923" s="13">
        <f>IFERROR(IF(ABS(F1923)&lt;0.01,"ATM/NEAR",""),"")</f>
        <v/>
      </c>
    </row>
    <row r="1924">
      <c r="A1924" s="13">
        <f>CHAIN_RAW!A1924</f>
        <v/>
      </c>
      <c r="B1924" s="14">
        <f>CHAIN_RAW!B1924</f>
        <v/>
      </c>
      <c r="C1924" s="13">
        <f>CHAIN_RAW!C1924</f>
        <v/>
      </c>
      <c r="D1924" s="13">
        <f>CHAIN_RAW!D1924</f>
        <v/>
      </c>
      <c r="E1924" s="13">
        <f>CHAIN_RAW!E1924</f>
        <v/>
      </c>
      <c r="F1924" s="13">
        <f>IFERROR((E1924-D1924)/D1924,"")</f>
        <v/>
      </c>
      <c r="G1924" s="13">
        <f>IFERROR((CHAIN_RAW!K1924+CHAIN_RAW!L1924)/2,"")</f>
        <v/>
      </c>
      <c r="H1924" s="13">
        <f>IFERROR((CHAIN_RAW!R1924+CHAIN_RAW!S1924)/2,"")</f>
        <v/>
      </c>
      <c r="I1924" s="13">
        <f>IFERROR((CHAIN_RAW!L1924-CHAIN_RAW!K1924)/MAX(1E-9, G1924),"")</f>
        <v/>
      </c>
      <c r="J1924" s="13">
        <f>IFERROR((CHAIN_RAW!S1924-CHAIN_RAW!R1924)/MAX(1E-9, H1924),"")</f>
        <v/>
      </c>
      <c r="K1924" s="13">
        <f>CHAIN_RAW!G1924</f>
        <v/>
      </c>
      <c r="L1924" s="13">
        <f>CHAIN_RAW!N1924</f>
        <v/>
      </c>
      <c r="M1924" s="13">
        <f>IFERROR(L1924-K1924,"")</f>
        <v/>
      </c>
      <c r="N1924" s="13">
        <f>CHAIN_RAW!H1924</f>
        <v/>
      </c>
      <c r="O1924" s="13">
        <f>CHAIN_RAW!O1924</f>
        <v/>
      </c>
      <c r="P1924" s="13">
        <f>IFERROR(O1924/N1924,"")</f>
        <v/>
      </c>
      <c r="Q1924" s="13">
        <f>CHAIN_RAW!I1924</f>
        <v/>
      </c>
      <c r="R1924" s="13">
        <f>CHAIN_RAW!P1924</f>
        <v/>
      </c>
      <c r="S1924" s="13">
        <f>IFERROR(R1924/Q1924,"")</f>
        <v/>
      </c>
      <c r="T1924" s="13">
        <f>IFERROR((ABS(N1924-O1924)/MAX(1,(N1924+O1924)))*EXP(-ABS(E1924-CONTROL!E5)/MAX(1,CONTROL!B8)),"")</f>
        <v/>
      </c>
      <c r="U1924" s="13">
        <f>IFERROR(IF(O1924&gt;N1924,"SUPPORT (PE OI)","RESIST (CE OI)"),"")</f>
        <v/>
      </c>
      <c r="V1924" s="13">
        <f>IFERROR(IF(Q1924&gt;0,IF(R1924&gt;0,"BOTH_ADD","CE_ADD_PE_REDUCE"),IF(R1924&gt;0,"CE_REDUCE_PE_ADD","BOTH_REDUCE")),"")</f>
        <v/>
      </c>
      <c r="W1924" s="13">
        <f>IFERROR( (P1924-1)*0.5 + (M1924)*0.1 - (I1924+J1924)*0.05 + T1924*0.4 ,"")</f>
        <v/>
      </c>
      <c r="X1924" s="13">
        <f>IFERROR(IF(ABS(F1924)&lt;0.01,"ATM/NEAR",""),"")</f>
        <v/>
      </c>
    </row>
    <row r="1925">
      <c r="A1925" s="13">
        <f>CHAIN_RAW!A1925</f>
        <v/>
      </c>
      <c r="B1925" s="14">
        <f>CHAIN_RAW!B1925</f>
        <v/>
      </c>
      <c r="C1925" s="13">
        <f>CHAIN_RAW!C1925</f>
        <v/>
      </c>
      <c r="D1925" s="13">
        <f>CHAIN_RAW!D1925</f>
        <v/>
      </c>
      <c r="E1925" s="13">
        <f>CHAIN_RAW!E1925</f>
        <v/>
      </c>
      <c r="F1925" s="13">
        <f>IFERROR((E1925-D1925)/D1925,"")</f>
        <v/>
      </c>
      <c r="G1925" s="13">
        <f>IFERROR((CHAIN_RAW!K1925+CHAIN_RAW!L1925)/2,"")</f>
        <v/>
      </c>
      <c r="H1925" s="13">
        <f>IFERROR((CHAIN_RAW!R1925+CHAIN_RAW!S1925)/2,"")</f>
        <v/>
      </c>
      <c r="I1925" s="13">
        <f>IFERROR((CHAIN_RAW!L1925-CHAIN_RAW!K1925)/MAX(1E-9, G1925),"")</f>
        <v/>
      </c>
      <c r="J1925" s="13">
        <f>IFERROR((CHAIN_RAW!S1925-CHAIN_RAW!R1925)/MAX(1E-9, H1925),"")</f>
        <v/>
      </c>
      <c r="K1925" s="13">
        <f>CHAIN_RAW!G1925</f>
        <v/>
      </c>
      <c r="L1925" s="13">
        <f>CHAIN_RAW!N1925</f>
        <v/>
      </c>
      <c r="M1925" s="13">
        <f>IFERROR(L1925-K1925,"")</f>
        <v/>
      </c>
      <c r="N1925" s="13">
        <f>CHAIN_RAW!H1925</f>
        <v/>
      </c>
      <c r="O1925" s="13">
        <f>CHAIN_RAW!O1925</f>
        <v/>
      </c>
      <c r="P1925" s="13">
        <f>IFERROR(O1925/N1925,"")</f>
        <v/>
      </c>
      <c r="Q1925" s="13">
        <f>CHAIN_RAW!I1925</f>
        <v/>
      </c>
      <c r="R1925" s="13">
        <f>CHAIN_RAW!P1925</f>
        <v/>
      </c>
      <c r="S1925" s="13">
        <f>IFERROR(R1925/Q1925,"")</f>
        <v/>
      </c>
      <c r="T1925" s="13">
        <f>IFERROR((ABS(N1925-O1925)/MAX(1,(N1925+O1925)))*EXP(-ABS(E1925-CONTROL!E5)/MAX(1,CONTROL!B8)),"")</f>
        <v/>
      </c>
      <c r="U1925" s="13">
        <f>IFERROR(IF(O1925&gt;N1925,"SUPPORT (PE OI)","RESIST (CE OI)"),"")</f>
        <v/>
      </c>
      <c r="V1925" s="13">
        <f>IFERROR(IF(Q1925&gt;0,IF(R1925&gt;0,"BOTH_ADD","CE_ADD_PE_REDUCE"),IF(R1925&gt;0,"CE_REDUCE_PE_ADD","BOTH_REDUCE")),"")</f>
        <v/>
      </c>
      <c r="W1925" s="13">
        <f>IFERROR( (P1925-1)*0.5 + (M1925)*0.1 - (I1925+J1925)*0.05 + T1925*0.4 ,"")</f>
        <v/>
      </c>
      <c r="X1925" s="13">
        <f>IFERROR(IF(ABS(F1925)&lt;0.01,"ATM/NEAR",""),"")</f>
        <v/>
      </c>
    </row>
    <row r="1926">
      <c r="A1926" s="13">
        <f>CHAIN_RAW!A1926</f>
        <v/>
      </c>
      <c r="B1926" s="14">
        <f>CHAIN_RAW!B1926</f>
        <v/>
      </c>
      <c r="C1926" s="13">
        <f>CHAIN_RAW!C1926</f>
        <v/>
      </c>
      <c r="D1926" s="13">
        <f>CHAIN_RAW!D1926</f>
        <v/>
      </c>
      <c r="E1926" s="13">
        <f>CHAIN_RAW!E1926</f>
        <v/>
      </c>
      <c r="F1926" s="13">
        <f>IFERROR((E1926-D1926)/D1926,"")</f>
        <v/>
      </c>
      <c r="G1926" s="13">
        <f>IFERROR((CHAIN_RAW!K1926+CHAIN_RAW!L1926)/2,"")</f>
        <v/>
      </c>
      <c r="H1926" s="13">
        <f>IFERROR((CHAIN_RAW!R1926+CHAIN_RAW!S1926)/2,"")</f>
        <v/>
      </c>
      <c r="I1926" s="13">
        <f>IFERROR((CHAIN_RAW!L1926-CHAIN_RAW!K1926)/MAX(1E-9, G1926),"")</f>
        <v/>
      </c>
      <c r="J1926" s="13">
        <f>IFERROR((CHAIN_RAW!S1926-CHAIN_RAW!R1926)/MAX(1E-9, H1926),"")</f>
        <v/>
      </c>
      <c r="K1926" s="13">
        <f>CHAIN_RAW!G1926</f>
        <v/>
      </c>
      <c r="L1926" s="13">
        <f>CHAIN_RAW!N1926</f>
        <v/>
      </c>
      <c r="M1926" s="13">
        <f>IFERROR(L1926-K1926,"")</f>
        <v/>
      </c>
      <c r="N1926" s="13">
        <f>CHAIN_RAW!H1926</f>
        <v/>
      </c>
      <c r="O1926" s="13">
        <f>CHAIN_RAW!O1926</f>
        <v/>
      </c>
      <c r="P1926" s="13">
        <f>IFERROR(O1926/N1926,"")</f>
        <v/>
      </c>
      <c r="Q1926" s="13">
        <f>CHAIN_RAW!I1926</f>
        <v/>
      </c>
      <c r="R1926" s="13">
        <f>CHAIN_RAW!P1926</f>
        <v/>
      </c>
      <c r="S1926" s="13">
        <f>IFERROR(R1926/Q1926,"")</f>
        <v/>
      </c>
      <c r="T1926" s="13">
        <f>IFERROR((ABS(N1926-O1926)/MAX(1,(N1926+O1926)))*EXP(-ABS(E1926-CONTROL!E5)/MAX(1,CONTROL!B8)),"")</f>
        <v/>
      </c>
      <c r="U1926" s="13">
        <f>IFERROR(IF(O1926&gt;N1926,"SUPPORT (PE OI)","RESIST (CE OI)"),"")</f>
        <v/>
      </c>
      <c r="V1926" s="13">
        <f>IFERROR(IF(Q1926&gt;0,IF(R1926&gt;0,"BOTH_ADD","CE_ADD_PE_REDUCE"),IF(R1926&gt;0,"CE_REDUCE_PE_ADD","BOTH_REDUCE")),"")</f>
        <v/>
      </c>
      <c r="W1926" s="13">
        <f>IFERROR( (P1926-1)*0.5 + (M1926)*0.1 - (I1926+J1926)*0.05 + T1926*0.4 ,"")</f>
        <v/>
      </c>
      <c r="X1926" s="13">
        <f>IFERROR(IF(ABS(F1926)&lt;0.01,"ATM/NEAR",""),"")</f>
        <v/>
      </c>
    </row>
    <row r="1927">
      <c r="A1927" s="13">
        <f>CHAIN_RAW!A1927</f>
        <v/>
      </c>
      <c r="B1927" s="14">
        <f>CHAIN_RAW!B1927</f>
        <v/>
      </c>
      <c r="C1927" s="13">
        <f>CHAIN_RAW!C1927</f>
        <v/>
      </c>
      <c r="D1927" s="13">
        <f>CHAIN_RAW!D1927</f>
        <v/>
      </c>
      <c r="E1927" s="13">
        <f>CHAIN_RAW!E1927</f>
        <v/>
      </c>
      <c r="F1927" s="13">
        <f>IFERROR((E1927-D1927)/D1927,"")</f>
        <v/>
      </c>
      <c r="G1927" s="13">
        <f>IFERROR((CHAIN_RAW!K1927+CHAIN_RAW!L1927)/2,"")</f>
        <v/>
      </c>
      <c r="H1927" s="13">
        <f>IFERROR((CHAIN_RAW!R1927+CHAIN_RAW!S1927)/2,"")</f>
        <v/>
      </c>
      <c r="I1927" s="13">
        <f>IFERROR((CHAIN_RAW!L1927-CHAIN_RAW!K1927)/MAX(1E-9, G1927),"")</f>
        <v/>
      </c>
      <c r="J1927" s="13">
        <f>IFERROR((CHAIN_RAW!S1927-CHAIN_RAW!R1927)/MAX(1E-9, H1927),"")</f>
        <v/>
      </c>
      <c r="K1927" s="13">
        <f>CHAIN_RAW!G1927</f>
        <v/>
      </c>
      <c r="L1927" s="13">
        <f>CHAIN_RAW!N1927</f>
        <v/>
      </c>
      <c r="M1927" s="13">
        <f>IFERROR(L1927-K1927,"")</f>
        <v/>
      </c>
      <c r="N1927" s="13">
        <f>CHAIN_RAW!H1927</f>
        <v/>
      </c>
      <c r="O1927" s="13">
        <f>CHAIN_RAW!O1927</f>
        <v/>
      </c>
      <c r="P1927" s="13">
        <f>IFERROR(O1927/N1927,"")</f>
        <v/>
      </c>
      <c r="Q1927" s="13">
        <f>CHAIN_RAW!I1927</f>
        <v/>
      </c>
      <c r="R1927" s="13">
        <f>CHAIN_RAW!P1927</f>
        <v/>
      </c>
      <c r="S1927" s="13">
        <f>IFERROR(R1927/Q1927,"")</f>
        <v/>
      </c>
      <c r="T1927" s="13">
        <f>IFERROR((ABS(N1927-O1927)/MAX(1,(N1927+O1927)))*EXP(-ABS(E1927-CONTROL!E5)/MAX(1,CONTROL!B8)),"")</f>
        <v/>
      </c>
      <c r="U1927" s="13">
        <f>IFERROR(IF(O1927&gt;N1927,"SUPPORT (PE OI)","RESIST (CE OI)"),"")</f>
        <v/>
      </c>
      <c r="V1927" s="13">
        <f>IFERROR(IF(Q1927&gt;0,IF(R1927&gt;0,"BOTH_ADD","CE_ADD_PE_REDUCE"),IF(R1927&gt;0,"CE_REDUCE_PE_ADD","BOTH_REDUCE")),"")</f>
        <v/>
      </c>
      <c r="W1927" s="13">
        <f>IFERROR( (P1927-1)*0.5 + (M1927)*0.1 - (I1927+J1927)*0.05 + T1927*0.4 ,"")</f>
        <v/>
      </c>
      <c r="X1927" s="13">
        <f>IFERROR(IF(ABS(F1927)&lt;0.01,"ATM/NEAR",""),"")</f>
        <v/>
      </c>
    </row>
    <row r="1928">
      <c r="A1928" s="13">
        <f>CHAIN_RAW!A1928</f>
        <v/>
      </c>
      <c r="B1928" s="14">
        <f>CHAIN_RAW!B1928</f>
        <v/>
      </c>
      <c r="C1928" s="13">
        <f>CHAIN_RAW!C1928</f>
        <v/>
      </c>
      <c r="D1928" s="13">
        <f>CHAIN_RAW!D1928</f>
        <v/>
      </c>
      <c r="E1928" s="13">
        <f>CHAIN_RAW!E1928</f>
        <v/>
      </c>
      <c r="F1928" s="13">
        <f>IFERROR((E1928-D1928)/D1928,"")</f>
        <v/>
      </c>
      <c r="G1928" s="13">
        <f>IFERROR((CHAIN_RAW!K1928+CHAIN_RAW!L1928)/2,"")</f>
        <v/>
      </c>
      <c r="H1928" s="13">
        <f>IFERROR((CHAIN_RAW!R1928+CHAIN_RAW!S1928)/2,"")</f>
        <v/>
      </c>
      <c r="I1928" s="13">
        <f>IFERROR((CHAIN_RAW!L1928-CHAIN_RAW!K1928)/MAX(1E-9, G1928),"")</f>
        <v/>
      </c>
      <c r="J1928" s="13">
        <f>IFERROR((CHAIN_RAW!S1928-CHAIN_RAW!R1928)/MAX(1E-9, H1928),"")</f>
        <v/>
      </c>
      <c r="K1928" s="13">
        <f>CHAIN_RAW!G1928</f>
        <v/>
      </c>
      <c r="L1928" s="13">
        <f>CHAIN_RAW!N1928</f>
        <v/>
      </c>
      <c r="M1928" s="13">
        <f>IFERROR(L1928-K1928,"")</f>
        <v/>
      </c>
      <c r="N1928" s="13">
        <f>CHAIN_RAW!H1928</f>
        <v/>
      </c>
      <c r="O1928" s="13">
        <f>CHAIN_RAW!O1928</f>
        <v/>
      </c>
      <c r="P1928" s="13">
        <f>IFERROR(O1928/N1928,"")</f>
        <v/>
      </c>
      <c r="Q1928" s="13">
        <f>CHAIN_RAW!I1928</f>
        <v/>
      </c>
      <c r="R1928" s="13">
        <f>CHAIN_RAW!P1928</f>
        <v/>
      </c>
      <c r="S1928" s="13">
        <f>IFERROR(R1928/Q1928,"")</f>
        <v/>
      </c>
      <c r="T1928" s="13">
        <f>IFERROR((ABS(N1928-O1928)/MAX(1,(N1928+O1928)))*EXP(-ABS(E1928-CONTROL!E5)/MAX(1,CONTROL!B8)),"")</f>
        <v/>
      </c>
      <c r="U1928" s="13">
        <f>IFERROR(IF(O1928&gt;N1928,"SUPPORT (PE OI)","RESIST (CE OI)"),"")</f>
        <v/>
      </c>
      <c r="V1928" s="13">
        <f>IFERROR(IF(Q1928&gt;0,IF(R1928&gt;0,"BOTH_ADD","CE_ADD_PE_REDUCE"),IF(R1928&gt;0,"CE_REDUCE_PE_ADD","BOTH_REDUCE")),"")</f>
        <v/>
      </c>
      <c r="W1928" s="13">
        <f>IFERROR( (P1928-1)*0.5 + (M1928)*0.1 - (I1928+J1928)*0.05 + T1928*0.4 ,"")</f>
        <v/>
      </c>
      <c r="X1928" s="13">
        <f>IFERROR(IF(ABS(F1928)&lt;0.01,"ATM/NEAR",""),"")</f>
        <v/>
      </c>
    </row>
    <row r="1929">
      <c r="A1929" s="13">
        <f>CHAIN_RAW!A1929</f>
        <v/>
      </c>
      <c r="B1929" s="14">
        <f>CHAIN_RAW!B1929</f>
        <v/>
      </c>
      <c r="C1929" s="13">
        <f>CHAIN_RAW!C1929</f>
        <v/>
      </c>
      <c r="D1929" s="13">
        <f>CHAIN_RAW!D1929</f>
        <v/>
      </c>
      <c r="E1929" s="13">
        <f>CHAIN_RAW!E1929</f>
        <v/>
      </c>
      <c r="F1929" s="13">
        <f>IFERROR((E1929-D1929)/D1929,"")</f>
        <v/>
      </c>
      <c r="G1929" s="13">
        <f>IFERROR((CHAIN_RAW!K1929+CHAIN_RAW!L1929)/2,"")</f>
        <v/>
      </c>
      <c r="H1929" s="13">
        <f>IFERROR((CHAIN_RAW!R1929+CHAIN_RAW!S1929)/2,"")</f>
        <v/>
      </c>
      <c r="I1929" s="13">
        <f>IFERROR((CHAIN_RAW!L1929-CHAIN_RAW!K1929)/MAX(1E-9, G1929),"")</f>
        <v/>
      </c>
      <c r="J1929" s="13">
        <f>IFERROR((CHAIN_RAW!S1929-CHAIN_RAW!R1929)/MAX(1E-9, H1929),"")</f>
        <v/>
      </c>
      <c r="K1929" s="13">
        <f>CHAIN_RAW!G1929</f>
        <v/>
      </c>
      <c r="L1929" s="13">
        <f>CHAIN_RAW!N1929</f>
        <v/>
      </c>
      <c r="M1929" s="13">
        <f>IFERROR(L1929-K1929,"")</f>
        <v/>
      </c>
      <c r="N1929" s="13">
        <f>CHAIN_RAW!H1929</f>
        <v/>
      </c>
      <c r="O1929" s="13">
        <f>CHAIN_RAW!O1929</f>
        <v/>
      </c>
      <c r="P1929" s="13">
        <f>IFERROR(O1929/N1929,"")</f>
        <v/>
      </c>
      <c r="Q1929" s="13">
        <f>CHAIN_RAW!I1929</f>
        <v/>
      </c>
      <c r="R1929" s="13">
        <f>CHAIN_RAW!P1929</f>
        <v/>
      </c>
      <c r="S1929" s="13">
        <f>IFERROR(R1929/Q1929,"")</f>
        <v/>
      </c>
      <c r="T1929" s="13">
        <f>IFERROR((ABS(N1929-O1929)/MAX(1,(N1929+O1929)))*EXP(-ABS(E1929-CONTROL!E5)/MAX(1,CONTROL!B8)),"")</f>
        <v/>
      </c>
      <c r="U1929" s="13">
        <f>IFERROR(IF(O1929&gt;N1929,"SUPPORT (PE OI)","RESIST (CE OI)"),"")</f>
        <v/>
      </c>
      <c r="V1929" s="13">
        <f>IFERROR(IF(Q1929&gt;0,IF(R1929&gt;0,"BOTH_ADD","CE_ADD_PE_REDUCE"),IF(R1929&gt;0,"CE_REDUCE_PE_ADD","BOTH_REDUCE")),"")</f>
        <v/>
      </c>
      <c r="W1929" s="13">
        <f>IFERROR( (P1929-1)*0.5 + (M1929)*0.1 - (I1929+J1929)*0.05 + T1929*0.4 ,"")</f>
        <v/>
      </c>
      <c r="X1929" s="13">
        <f>IFERROR(IF(ABS(F1929)&lt;0.01,"ATM/NEAR",""),"")</f>
        <v/>
      </c>
    </row>
    <row r="1930">
      <c r="A1930" s="13">
        <f>CHAIN_RAW!A1930</f>
        <v/>
      </c>
      <c r="B1930" s="14">
        <f>CHAIN_RAW!B1930</f>
        <v/>
      </c>
      <c r="C1930" s="13">
        <f>CHAIN_RAW!C1930</f>
        <v/>
      </c>
      <c r="D1930" s="13">
        <f>CHAIN_RAW!D1930</f>
        <v/>
      </c>
      <c r="E1930" s="13">
        <f>CHAIN_RAW!E1930</f>
        <v/>
      </c>
      <c r="F1930" s="13">
        <f>IFERROR((E1930-D1930)/D1930,"")</f>
        <v/>
      </c>
      <c r="G1930" s="13">
        <f>IFERROR((CHAIN_RAW!K1930+CHAIN_RAW!L1930)/2,"")</f>
        <v/>
      </c>
      <c r="H1930" s="13">
        <f>IFERROR((CHAIN_RAW!R1930+CHAIN_RAW!S1930)/2,"")</f>
        <v/>
      </c>
      <c r="I1930" s="13">
        <f>IFERROR((CHAIN_RAW!L1930-CHAIN_RAW!K1930)/MAX(1E-9, G1930),"")</f>
        <v/>
      </c>
      <c r="J1930" s="13">
        <f>IFERROR((CHAIN_RAW!S1930-CHAIN_RAW!R1930)/MAX(1E-9, H1930),"")</f>
        <v/>
      </c>
      <c r="K1930" s="13">
        <f>CHAIN_RAW!G1930</f>
        <v/>
      </c>
      <c r="L1930" s="13">
        <f>CHAIN_RAW!N1930</f>
        <v/>
      </c>
      <c r="M1930" s="13">
        <f>IFERROR(L1930-K1930,"")</f>
        <v/>
      </c>
      <c r="N1930" s="13">
        <f>CHAIN_RAW!H1930</f>
        <v/>
      </c>
      <c r="O1930" s="13">
        <f>CHAIN_RAW!O1930</f>
        <v/>
      </c>
      <c r="P1930" s="13">
        <f>IFERROR(O1930/N1930,"")</f>
        <v/>
      </c>
      <c r="Q1930" s="13">
        <f>CHAIN_RAW!I1930</f>
        <v/>
      </c>
      <c r="R1930" s="13">
        <f>CHAIN_RAW!P1930</f>
        <v/>
      </c>
      <c r="S1930" s="13">
        <f>IFERROR(R1930/Q1930,"")</f>
        <v/>
      </c>
      <c r="T1930" s="13">
        <f>IFERROR((ABS(N1930-O1930)/MAX(1,(N1930+O1930)))*EXP(-ABS(E1930-CONTROL!E5)/MAX(1,CONTROL!B8)),"")</f>
        <v/>
      </c>
      <c r="U1930" s="13">
        <f>IFERROR(IF(O1930&gt;N1930,"SUPPORT (PE OI)","RESIST (CE OI)"),"")</f>
        <v/>
      </c>
      <c r="V1930" s="13">
        <f>IFERROR(IF(Q1930&gt;0,IF(R1930&gt;0,"BOTH_ADD","CE_ADD_PE_REDUCE"),IF(R1930&gt;0,"CE_REDUCE_PE_ADD","BOTH_REDUCE")),"")</f>
        <v/>
      </c>
      <c r="W1930" s="13">
        <f>IFERROR( (P1930-1)*0.5 + (M1930)*0.1 - (I1930+J1930)*0.05 + T1930*0.4 ,"")</f>
        <v/>
      </c>
      <c r="X1930" s="13">
        <f>IFERROR(IF(ABS(F1930)&lt;0.01,"ATM/NEAR",""),"")</f>
        <v/>
      </c>
    </row>
    <row r="1931">
      <c r="A1931" s="13">
        <f>CHAIN_RAW!A1931</f>
        <v/>
      </c>
      <c r="B1931" s="14">
        <f>CHAIN_RAW!B1931</f>
        <v/>
      </c>
      <c r="C1931" s="13">
        <f>CHAIN_RAW!C1931</f>
        <v/>
      </c>
      <c r="D1931" s="13">
        <f>CHAIN_RAW!D1931</f>
        <v/>
      </c>
      <c r="E1931" s="13">
        <f>CHAIN_RAW!E1931</f>
        <v/>
      </c>
      <c r="F1931" s="13">
        <f>IFERROR((E1931-D1931)/D1931,"")</f>
        <v/>
      </c>
      <c r="G1931" s="13">
        <f>IFERROR((CHAIN_RAW!K1931+CHAIN_RAW!L1931)/2,"")</f>
        <v/>
      </c>
      <c r="H1931" s="13">
        <f>IFERROR((CHAIN_RAW!R1931+CHAIN_RAW!S1931)/2,"")</f>
        <v/>
      </c>
      <c r="I1931" s="13">
        <f>IFERROR((CHAIN_RAW!L1931-CHAIN_RAW!K1931)/MAX(1E-9, G1931),"")</f>
        <v/>
      </c>
      <c r="J1931" s="13">
        <f>IFERROR((CHAIN_RAW!S1931-CHAIN_RAW!R1931)/MAX(1E-9, H1931),"")</f>
        <v/>
      </c>
      <c r="K1931" s="13">
        <f>CHAIN_RAW!G1931</f>
        <v/>
      </c>
      <c r="L1931" s="13">
        <f>CHAIN_RAW!N1931</f>
        <v/>
      </c>
      <c r="M1931" s="13">
        <f>IFERROR(L1931-K1931,"")</f>
        <v/>
      </c>
      <c r="N1931" s="13">
        <f>CHAIN_RAW!H1931</f>
        <v/>
      </c>
      <c r="O1931" s="13">
        <f>CHAIN_RAW!O1931</f>
        <v/>
      </c>
      <c r="P1931" s="13">
        <f>IFERROR(O1931/N1931,"")</f>
        <v/>
      </c>
      <c r="Q1931" s="13">
        <f>CHAIN_RAW!I1931</f>
        <v/>
      </c>
      <c r="R1931" s="13">
        <f>CHAIN_RAW!P1931</f>
        <v/>
      </c>
      <c r="S1931" s="13">
        <f>IFERROR(R1931/Q1931,"")</f>
        <v/>
      </c>
      <c r="T1931" s="13">
        <f>IFERROR((ABS(N1931-O1931)/MAX(1,(N1931+O1931)))*EXP(-ABS(E1931-CONTROL!E5)/MAX(1,CONTROL!B8)),"")</f>
        <v/>
      </c>
      <c r="U1931" s="13">
        <f>IFERROR(IF(O1931&gt;N1931,"SUPPORT (PE OI)","RESIST (CE OI)"),"")</f>
        <v/>
      </c>
      <c r="V1931" s="13">
        <f>IFERROR(IF(Q1931&gt;0,IF(R1931&gt;0,"BOTH_ADD","CE_ADD_PE_REDUCE"),IF(R1931&gt;0,"CE_REDUCE_PE_ADD","BOTH_REDUCE")),"")</f>
        <v/>
      </c>
      <c r="W1931" s="13">
        <f>IFERROR( (P1931-1)*0.5 + (M1931)*0.1 - (I1931+J1931)*0.05 + T1931*0.4 ,"")</f>
        <v/>
      </c>
      <c r="X1931" s="13">
        <f>IFERROR(IF(ABS(F1931)&lt;0.01,"ATM/NEAR",""),"")</f>
        <v/>
      </c>
    </row>
    <row r="1932">
      <c r="A1932" s="13">
        <f>CHAIN_RAW!A1932</f>
        <v/>
      </c>
      <c r="B1932" s="14">
        <f>CHAIN_RAW!B1932</f>
        <v/>
      </c>
      <c r="C1932" s="13">
        <f>CHAIN_RAW!C1932</f>
        <v/>
      </c>
      <c r="D1932" s="13">
        <f>CHAIN_RAW!D1932</f>
        <v/>
      </c>
      <c r="E1932" s="13">
        <f>CHAIN_RAW!E1932</f>
        <v/>
      </c>
      <c r="F1932" s="13">
        <f>IFERROR((E1932-D1932)/D1932,"")</f>
        <v/>
      </c>
      <c r="G1932" s="13">
        <f>IFERROR((CHAIN_RAW!K1932+CHAIN_RAW!L1932)/2,"")</f>
        <v/>
      </c>
      <c r="H1932" s="13">
        <f>IFERROR((CHAIN_RAW!R1932+CHAIN_RAW!S1932)/2,"")</f>
        <v/>
      </c>
      <c r="I1932" s="13">
        <f>IFERROR((CHAIN_RAW!L1932-CHAIN_RAW!K1932)/MAX(1E-9, G1932),"")</f>
        <v/>
      </c>
      <c r="J1932" s="13">
        <f>IFERROR((CHAIN_RAW!S1932-CHAIN_RAW!R1932)/MAX(1E-9, H1932),"")</f>
        <v/>
      </c>
      <c r="K1932" s="13">
        <f>CHAIN_RAW!G1932</f>
        <v/>
      </c>
      <c r="L1932" s="13">
        <f>CHAIN_RAW!N1932</f>
        <v/>
      </c>
      <c r="M1932" s="13">
        <f>IFERROR(L1932-K1932,"")</f>
        <v/>
      </c>
      <c r="N1932" s="13">
        <f>CHAIN_RAW!H1932</f>
        <v/>
      </c>
      <c r="O1932" s="13">
        <f>CHAIN_RAW!O1932</f>
        <v/>
      </c>
      <c r="P1932" s="13">
        <f>IFERROR(O1932/N1932,"")</f>
        <v/>
      </c>
      <c r="Q1932" s="13">
        <f>CHAIN_RAW!I1932</f>
        <v/>
      </c>
      <c r="R1932" s="13">
        <f>CHAIN_RAW!P1932</f>
        <v/>
      </c>
      <c r="S1932" s="13">
        <f>IFERROR(R1932/Q1932,"")</f>
        <v/>
      </c>
      <c r="T1932" s="13">
        <f>IFERROR((ABS(N1932-O1932)/MAX(1,(N1932+O1932)))*EXP(-ABS(E1932-CONTROL!E5)/MAX(1,CONTROL!B8)),"")</f>
        <v/>
      </c>
      <c r="U1932" s="13">
        <f>IFERROR(IF(O1932&gt;N1932,"SUPPORT (PE OI)","RESIST (CE OI)"),"")</f>
        <v/>
      </c>
      <c r="V1932" s="13">
        <f>IFERROR(IF(Q1932&gt;0,IF(R1932&gt;0,"BOTH_ADD","CE_ADD_PE_REDUCE"),IF(R1932&gt;0,"CE_REDUCE_PE_ADD","BOTH_REDUCE")),"")</f>
        <v/>
      </c>
      <c r="W1932" s="13">
        <f>IFERROR( (P1932-1)*0.5 + (M1932)*0.1 - (I1932+J1932)*0.05 + T1932*0.4 ,"")</f>
        <v/>
      </c>
      <c r="X1932" s="13">
        <f>IFERROR(IF(ABS(F1932)&lt;0.01,"ATM/NEAR",""),"")</f>
        <v/>
      </c>
    </row>
    <row r="1933">
      <c r="A1933" s="13">
        <f>CHAIN_RAW!A1933</f>
        <v/>
      </c>
      <c r="B1933" s="14">
        <f>CHAIN_RAW!B1933</f>
        <v/>
      </c>
      <c r="C1933" s="13">
        <f>CHAIN_RAW!C1933</f>
        <v/>
      </c>
      <c r="D1933" s="13">
        <f>CHAIN_RAW!D1933</f>
        <v/>
      </c>
      <c r="E1933" s="13">
        <f>CHAIN_RAW!E1933</f>
        <v/>
      </c>
      <c r="F1933" s="13">
        <f>IFERROR((E1933-D1933)/D1933,"")</f>
        <v/>
      </c>
      <c r="G1933" s="13">
        <f>IFERROR((CHAIN_RAW!K1933+CHAIN_RAW!L1933)/2,"")</f>
        <v/>
      </c>
      <c r="H1933" s="13">
        <f>IFERROR((CHAIN_RAW!R1933+CHAIN_RAW!S1933)/2,"")</f>
        <v/>
      </c>
      <c r="I1933" s="13">
        <f>IFERROR((CHAIN_RAW!L1933-CHAIN_RAW!K1933)/MAX(1E-9, G1933),"")</f>
        <v/>
      </c>
      <c r="J1933" s="13">
        <f>IFERROR((CHAIN_RAW!S1933-CHAIN_RAW!R1933)/MAX(1E-9, H1933),"")</f>
        <v/>
      </c>
      <c r="K1933" s="13">
        <f>CHAIN_RAW!G1933</f>
        <v/>
      </c>
      <c r="L1933" s="13">
        <f>CHAIN_RAW!N1933</f>
        <v/>
      </c>
      <c r="M1933" s="13">
        <f>IFERROR(L1933-K1933,"")</f>
        <v/>
      </c>
      <c r="N1933" s="13">
        <f>CHAIN_RAW!H1933</f>
        <v/>
      </c>
      <c r="O1933" s="13">
        <f>CHAIN_RAW!O1933</f>
        <v/>
      </c>
      <c r="P1933" s="13">
        <f>IFERROR(O1933/N1933,"")</f>
        <v/>
      </c>
      <c r="Q1933" s="13">
        <f>CHAIN_RAW!I1933</f>
        <v/>
      </c>
      <c r="R1933" s="13">
        <f>CHAIN_RAW!P1933</f>
        <v/>
      </c>
      <c r="S1933" s="13">
        <f>IFERROR(R1933/Q1933,"")</f>
        <v/>
      </c>
      <c r="T1933" s="13">
        <f>IFERROR((ABS(N1933-O1933)/MAX(1,(N1933+O1933)))*EXP(-ABS(E1933-CONTROL!E5)/MAX(1,CONTROL!B8)),"")</f>
        <v/>
      </c>
      <c r="U1933" s="13">
        <f>IFERROR(IF(O1933&gt;N1933,"SUPPORT (PE OI)","RESIST (CE OI)"),"")</f>
        <v/>
      </c>
      <c r="V1933" s="13">
        <f>IFERROR(IF(Q1933&gt;0,IF(R1933&gt;0,"BOTH_ADD","CE_ADD_PE_REDUCE"),IF(R1933&gt;0,"CE_REDUCE_PE_ADD","BOTH_REDUCE")),"")</f>
        <v/>
      </c>
      <c r="W1933" s="13">
        <f>IFERROR( (P1933-1)*0.5 + (M1933)*0.1 - (I1933+J1933)*0.05 + T1933*0.4 ,"")</f>
        <v/>
      </c>
      <c r="X1933" s="13">
        <f>IFERROR(IF(ABS(F1933)&lt;0.01,"ATM/NEAR",""),"")</f>
        <v/>
      </c>
    </row>
    <row r="1934">
      <c r="A1934" s="13">
        <f>CHAIN_RAW!A1934</f>
        <v/>
      </c>
      <c r="B1934" s="14">
        <f>CHAIN_RAW!B1934</f>
        <v/>
      </c>
      <c r="C1934" s="13">
        <f>CHAIN_RAW!C1934</f>
        <v/>
      </c>
      <c r="D1934" s="13">
        <f>CHAIN_RAW!D1934</f>
        <v/>
      </c>
      <c r="E1934" s="13">
        <f>CHAIN_RAW!E1934</f>
        <v/>
      </c>
      <c r="F1934" s="13">
        <f>IFERROR((E1934-D1934)/D1934,"")</f>
        <v/>
      </c>
      <c r="G1934" s="13">
        <f>IFERROR((CHAIN_RAW!K1934+CHAIN_RAW!L1934)/2,"")</f>
        <v/>
      </c>
      <c r="H1934" s="13">
        <f>IFERROR((CHAIN_RAW!R1934+CHAIN_RAW!S1934)/2,"")</f>
        <v/>
      </c>
      <c r="I1934" s="13">
        <f>IFERROR((CHAIN_RAW!L1934-CHAIN_RAW!K1934)/MAX(1E-9, G1934),"")</f>
        <v/>
      </c>
      <c r="J1934" s="13">
        <f>IFERROR((CHAIN_RAW!S1934-CHAIN_RAW!R1934)/MAX(1E-9, H1934),"")</f>
        <v/>
      </c>
      <c r="K1934" s="13">
        <f>CHAIN_RAW!G1934</f>
        <v/>
      </c>
      <c r="L1934" s="13">
        <f>CHAIN_RAW!N1934</f>
        <v/>
      </c>
      <c r="M1934" s="13">
        <f>IFERROR(L1934-K1934,"")</f>
        <v/>
      </c>
      <c r="N1934" s="13">
        <f>CHAIN_RAW!H1934</f>
        <v/>
      </c>
      <c r="O1934" s="13">
        <f>CHAIN_RAW!O1934</f>
        <v/>
      </c>
      <c r="P1934" s="13">
        <f>IFERROR(O1934/N1934,"")</f>
        <v/>
      </c>
      <c r="Q1934" s="13">
        <f>CHAIN_RAW!I1934</f>
        <v/>
      </c>
      <c r="R1934" s="13">
        <f>CHAIN_RAW!P1934</f>
        <v/>
      </c>
      <c r="S1934" s="13">
        <f>IFERROR(R1934/Q1934,"")</f>
        <v/>
      </c>
      <c r="T1934" s="13">
        <f>IFERROR((ABS(N1934-O1934)/MAX(1,(N1934+O1934)))*EXP(-ABS(E1934-CONTROL!E5)/MAX(1,CONTROL!B8)),"")</f>
        <v/>
      </c>
      <c r="U1934" s="13">
        <f>IFERROR(IF(O1934&gt;N1934,"SUPPORT (PE OI)","RESIST (CE OI)"),"")</f>
        <v/>
      </c>
      <c r="V1934" s="13">
        <f>IFERROR(IF(Q1934&gt;0,IF(R1934&gt;0,"BOTH_ADD","CE_ADD_PE_REDUCE"),IF(R1934&gt;0,"CE_REDUCE_PE_ADD","BOTH_REDUCE")),"")</f>
        <v/>
      </c>
      <c r="W1934" s="13">
        <f>IFERROR( (P1934-1)*0.5 + (M1934)*0.1 - (I1934+J1934)*0.05 + T1934*0.4 ,"")</f>
        <v/>
      </c>
      <c r="X1934" s="13">
        <f>IFERROR(IF(ABS(F1934)&lt;0.01,"ATM/NEAR",""),"")</f>
        <v/>
      </c>
    </row>
    <row r="1935">
      <c r="A1935" s="13">
        <f>CHAIN_RAW!A1935</f>
        <v/>
      </c>
      <c r="B1935" s="14">
        <f>CHAIN_RAW!B1935</f>
        <v/>
      </c>
      <c r="C1935" s="13">
        <f>CHAIN_RAW!C1935</f>
        <v/>
      </c>
      <c r="D1935" s="13">
        <f>CHAIN_RAW!D1935</f>
        <v/>
      </c>
      <c r="E1935" s="13">
        <f>CHAIN_RAW!E1935</f>
        <v/>
      </c>
      <c r="F1935" s="13">
        <f>IFERROR((E1935-D1935)/D1935,"")</f>
        <v/>
      </c>
      <c r="G1935" s="13">
        <f>IFERROR((CHAIN_RAW!K1935+CHAIN_RAW!L1935)/2,"")</f>
        <v/>
      </c>
      <c r="H1935" s="13">
        <f>IFERROR((CHAIN_RAW!R1935+CHAIN_RAW!S1935)/2,"")</f>
        <v/>
      </c>
      <c r="I1935" s="13">
        <f>IFERROR((CHAIN_RAW!L1935-CHAIN_RAW!K1935)/MAX(1E-9, G1935),"")</f>
        <v/>
      </c>
      <c r="J1935" s="13">
        <f>IFERROR((CHAIN_RAW!S1935-CHAIN_RAW!R1935)/MAX(1E-9, H1935),"")</f>
        <v/>
      </c>
      <c r="K1935" s="13">
        <f>CHAIN_RAW!G1935</f>
        <v/>
      </c>
      <c r="L1935" s="13">
        <f>CHAIN_RAW!N1935</f>
        <v/>
      </c>
      <c r="M1935" s="13">
        <f>IFERROR(L1935-K1935,"")</f>
        <v/>
      </c>
      <c r="N1935" s="13">
        <f>CHAIN_RAW!H1935</f>
        <v/>
      </c>
      <c r="O1935" s="13">
        <f>CHAIN_RAW!O1935</f>
        <v/>
      </c>
      <c r="P1935" s="13">
        <f>IFERROR(O1935/N1935,"")</f>
        <v/>
      </c>
      <c r="Q1935" s="13">
        <f>CHAIN_RAW!I1935</f>
        <v/>
      </c>
      <c r="R1935" s="13">
        <f>CHAIN_RAW!P1935</f>
        <v/>
      </c>
      <c r="S1935" s="13">
        <f>IFERROR(R1935/Q1935,"")</f>
        <v/>
      </c>
      <c r="T1935" s="13">
        <f>IFERROR((ABS(N1935-O1935)/MAX(1,(N1935+O1935)))*EXP(-ABS(E1935-CONTROL!E5)/MAX(1,CONTROL!B8)),"")</f>
        <v/>
      </c>
      <c r="U1935" s="13">
        <f>IFERROR(IF(O1935&gt;N1935,"SUPPORT (PE OI)","RESIST (CE OI)"),"")</f>
        <v/>
      </c>
      <c r="V1935" s="13">
        <f>IFERROR(IF(Q1935&gt;0,IF(R1935&gt;0,"BOTH_ADD","CE_ADD_PE_REDUCE"),IF(R1935&gt;0,"CE_REDUCE_PE_ADD","BOTH_REDUCE")),"")</f>
        <v/>
      </c>
      <c r="W1935" s="13">
        <f>IFERROR( (P1935-1)*0.5 + (M1935)*0.1 - (I1935+J1935)*0.05 + T1935*0.4 ,"")</f>
        <v/>
      </c>
      <c r="X1935" s="13">
        <f>IFERROR(IF(ABS(F1935)&lt;0.01,"ATM/NEAR",""),"")</f>
        <v/>
      </c>
    </row>
    <row r="1936">
      <c r="A1936" s="13">
        <f>CHAIN_RAW!A1936</f>
        <v/>
      </c>
      <c r="B1936" s="14">
        <f>CHAIN_RAW!B1936</f>
        <v/>
      </c>
      <c r="C1936" s="13">
        <f>CHAIN_RAW!C1936</f>
        <v/>
      </c>
      <c r="D1936" s="13">
        <f>CHAIN_RAW!D1936</f>
        <v/>
      </c>
      <c r="E1936" s="13">
        <f>CHAIN_RAW!E1936</f>
        <v/>
      </c>
      <c r="F1936" s="13">
        <f>IFERROR((E1936-D1936)/D1936,"")</f>
        <v/>
      </c>
      <c r="G1936" s="13">
        <f>IFERROR((CHAIN_RAW!K1936+CHAIN_RAW!L1936)/2,"")</f>
        <v/>
      </c>
      <c r="H1936" s="13">
        <f>IFERROR((CHAIN_RAW!R1936+CHAIN_RAW!S1936)/2,"")</f>
        <v/>
      </c>
      <c r="I1936" s="13">
        <f>IFERROR((CHAIN_RAW!L1936-CHAIN_RAW!K1936)/MAX(1E-9, G1936),"")</f>
        <v/>
      </c>
      <c r="J1936" s="13">
        <f>IFERROR((CHAIN_RAW!S1936-CHAIN_RAW!R1936)/MAX(1E-9, H1936),"")</f>
        <v/>
      </c>
      <c r="K1936" s="13">
        <f>CHAIN_RAW!G1936</f>
        <v/>
      </c>
      <c r="L1936" s="13">
        <f>CHAIN_RAW!N1936</f>
        <v/>
      </c>
      <c r="M1936" s="13">
        <f>IFERROR(L1936-K1936,"")</f>
        <v/>
      </c>
      <c r="N1936" s="13">
        <f>CHAIN_RAW!H1936</f>
        <v/>
      </c>
      <c r="O1936" s="13">
        <f>CHAIN_RAW!O1936</f>
        <v/>
      </c>
      <c r="P1936" s="13">
        <f>IFERROR(O1936/N1936,"")</f>
        <v/>
      </c>
      <c r="Q1936" s="13">
        <f>CHAIN_RAW!I1936</f>
        <v/>
      </c>
      <c r="R1936" s="13">
        <f>CHAIN_RAW!P1936</f>
        <v/>
      </c>
      <c r="S1936" s="13">
        <f>IFERROR(R1936/Q1936,"")</f>
        <v/>
      </c>
      <c r="T1936" s="13">
        <f>IFERROR((ABS(N1936-O1936)/MAX(1,(N1936+O1936)))*EXP(-ABS(E1936-CONTROL!E5)/MAX(1,CONTROL!B8)),"")</f>
        <v/>
      </c>
      <c r="U1936" s="13">
        <f>IFERROR(IF(O1936&gt;N1936,"SUPPORT (PE OI)","RESIST (CE OI)"),"")</f>
        <v/>
      </c>
      <c r="V1936" s="13">
        <f>IFERROR(IF(Q1936&gt;0,IF(R1936&gt;0,"BOTH_ADD","CE_ADD_PE_REDUCE"),IF(R1936&gt;0,"CE_REDUCE_PE_ADD","BOTH_REDUCE")),"")</f>
        <v/>
      </c>
      <c r="W1936" s="13">
        <f>IFERROR( (P1936-1)*0.5 + (M1936)*0.1 - (I1936+J1936)*0.05 + T1936*0.4 ,"")</f>
        <v/>
      </c>
      <c r="X1936" s="13">
        <f>IFERROR(IF(ABS(F1936)&lt;0.01,"ATM/NEAR",""),"")</f>
        <v/>
      </c>
    </row>
    <row r="1937">
      <c r="A1937" s="13">
        <f>CHAIN_RAW!A1937</f>
        <v/>
      </c>
      <c r="B1937" s="14">
        <f>CHAIN_RAW!B1937</f>
        <v/>
      </c>
      <c r="C1937" s="13">
        <f>CHAIN_RAW!C1937</f>
        <v/>
      </c>
      <c r="D1937" s="13">
        <f>CHAIN_RAW!D1937</f>
        <v/>
      </c>
      <c r="E1937" s="13">
        <f>CHAIN_RAW!E1937</f>
        <v/>
      </c>
      <c r="F1937" s="13">
        <f>IFERROR((E1937-D1937)/D1937,"")</f>
        <v/>
      </c>
      <c r="G1937" s="13">
        <f>IFERROR((CHAIN_RAW!K1937+CHAIN_RAW!L1937)/2,"")</f>
        <v/>
      </c>
      <c r="H1937" s="13">
        <f>IFERROR((CHAIN_RAW!R1937+CHAIN_RAW!S1937)/2,"")</f>
        <v/>
      </c>
      <c r="I1937" s="13">
        <f>IFERROR((CHAIN_RAW!L1937-CHAIN_RAW!K1937)/MAX(1E-9, G1937),"")</f>
        <v/>
      </c>
      <c r="J1937" s="13">
        <f>IFERROR((CHAIN_RAW!S1937-CHAIN_RAW!R1937)/MAX(1E-9, H1937),"")</f>
        <v/>
      </c>
      <c r="K1937" s="13">
        <f>CHAIN_RAW!G1937</f>
        <v/>
      </c>
      <c r="L1937" s="13">
        <f>CHAIN_RAW!N1937</f>
        <v/>
      </c>
      <c r="M1937" s="13">
        <f>IFERROR(L1937-K1937,"")</f>
        <v/>
      </c>
      <c r="N1937" s="13">
        <f>CHAIN_RAW!H1937</f>
        <v/>
      </c>
      <c r="O1937" s="13">
        <f>CHAIN_RAW!O1937</f>
        <v/>
      </c>
      <c r="P1937" s="13">
        <f>IFERROR(O1937/N1937,"")</f>
        <v/>
      </c>
      <c r="Q1937" s="13">
        <f>CHAIN_RAW!I1937</f>
        <v/>
      </c>
      <c r="R1937" s="13">
        <f>CHAIN_RAW!P1937</f>
        <v/>
      </c>
      <c r="S1937" s="13">
        <f>IFERROR(R1937/Q1937,"")</f>
        <v/>
      </c>
      <c r="T1937" s="13">
        <f>IFERROR((ABS(N1937-O1937)/MAX(1,(N1937+O1937)))*EXP(-ABS(E1937-CONTROL!E5)/MAX(1,CONTROL!B8)),"")</f>
        <v/>
      </c>
      <c r="U1937" s="13">
        <f>IFERROR(IF(O1937&gt;N1937,"SUPPORT (PE OI)","RESIST (CE OI)"),"")</f>
        <v/>
      </c>
      <c r="V1937" s="13">
        <f>IFERROR(IF(Q1937&gt;0,IF(R1937&gt;0,"BOTH_ADD","CE_ADD_PE_REDUCE"),IF(R1937&gt;0,"CE_REDUCE_PE_ADD","BOTH_REDUCE")),"")</f>
        <v/>
      </c>
      <c r="W1937" s="13">
        <f>IFERROR( (P1937-1)*0.5 + (M1937)*0.1 - (I1937+J1937)*0.05 + T1937*0.4 ,"")</f>
        <v/>
      </c>
      <c r="X1937" s="13">
        <f>IFERROR(IF(ABS(F1937)&lt;0.01,"ATM/NEAR",""),"")</f>
        <v/>
      </c>
    </row>
    <row r="1938">
      <c r="A1938" s="13">
        <f>CHAIN_RAW!A1938</f>
        <v/>
      </c>
      <c r="B1938" s="14">
        <f>CHAIN_RAW!B1938</f>
        <v/>
      </c>
      <c r="C1938" s="13">
        <f>CHAIN_RAW!C1938</f>
        <v/>
      </c>
      <c r="D1938" s="13">
        <f>CHAIN_RAW!D1938</f>
        <v/>
      </c>
      <c r="E1938" s="13">
        <f>CHAIN_RAW!E1938</f>
        <v/>
      </c>
      <c r="F1938" s="13">
        <f>IFERROR((E1938-D1938)/D1938,"")</f>
        <v/>
      </c>
      <c r="G1938" s="13">
        <f>IFERROR((CHAIN_RAW!K1938+CHAIN_RAW!L1938)/2,"")</f>
        <v/>
      </c>
      <c r="H1938" s="13">
        <f>IFERROR((CHAIN_RAW!R1938+CHAIN_RAW!S1938)/2,"")</f>
        <v/>
      </c>
      <c r="I1938" s="13">
        <f>IFERROR((CHAIN_RAW!L1938-CHAIN_RAW!K1938)/MAX(1E-9, G1938),"")</f>
        <v/>
      </c>
      <c r="J1938" s="13">
        <f>IFERROR((CHAIN_RAW!S1938-CHAIN_RAW!R1938)/MAX(1E-9, H1938),"")</f>
        <v/>
      </c>
      <c r="K1938" s="13">
        <f>CHAIN_RAW!G1938</f>
        <v/>
      </c>
      <c r="L1938" s="13">
        <f>CHAIN_RAW!N1938</f>
        <v/>
      </c>
      <c r="M1938" s="13">
        <f>IFERROR(L1938-K1938,"")</f>
        <v/>
      </c>
      <c r="N1938" s="13">
        <f>CHAIN_RAW!H1938</f>
        <v/>
      </c>
      <c r="O1938" s="13">
        <f>CHAIN_RAW!O1938</f>
        <v/>
      </c>
      <c r="P1938" s="13">
        <f>IFERROR(O1938/N1938,"")</f>
        <v/>
      </c>
      <c r="Q1938" s="13">
        <f>CHAIN_RAW!I1938</f>
        <v/>
      </c>
      <c r="R1938" s="13">
        <f>CHAIN_RAW!P1938</f>
        <v/>
      </c>
      <c r="S1938" s="13">
        <f>IFERROR(R1938/Q1938,"")</f>
        <v/>
      </c>
      <c r="T1938" s="13">
        <f>IFERROR((ABS(N1938-O1938)/MAX(1,(N1938+O1938)))*EXP(-ABS(E1938-CONTROL!E5)/MAX(1,CONTROL!B8)),"")</f>
        <v/>
      </c>
      <c r="U1938" s="13">
        <f>IFERROR(IF(O1938&gt;N1938,"SUPPORT (PE OI)","RESIST (CE OI)"),"")</f>
        <v/>
      </c>
      <c r="V1938" s="13">
        <f>IFERROR(IF(Q1938&gt;0,IF(R1938&gt;0,"BOTH_ADD","CE_ADD_PE_REDUCE"),IF(R1938&gt;0,"CE_REDUCE_PE_ADD","BOTH_REDUCE")),"")</f>
        <v/>
      </c>
      <c r="W1938" s="13">
        <f>IFERROR( (P1938-1)*0.5 + (M1938)*0.1 - (I1938+J1938)*0.05 + T1938*0.4 ,"")</f>
        <v/>
      </c>
      <c r="X1938" s="13">
        <f>IFERROR(IF(ABS(F1938)&lt;0.01,"ATM/NEAR",""),"")</f>
        <v/>
      </c>
    </row>
    <row r="1939">
      <c r="A1939" s="13">
        <f>CHAIN_RAW!A1939</f>
        <v/>
      </c>
      <c r="B1939" s="14">
        <f>CHAIN_RAW!B1939</f>
        <v/>
      </c>
      <c r="C1939" s="13">
        <f>CHAIN_RAW!C1939</f>
        <v/>
      </c>
      <c r="D1939" s="13">
        <f>CHAIN_RAW!D1939</f>
        <v/>
      </c>
      <c r="E1939" s="13">
        <f>CHAIN_RAW!E1939</f>
        <v/>
      </c>
      <c r="F1939" s="13">
        <f>IFERROR((E1939-D1939)/D1939,"")</f>
        <v/>
      </c>
      <c r="G1939" s="13">
        <f>IFERROR((CHAIN_RAW!K1939+CHAIN_RAW!L1939)/2,"")</f>
        <v/>
      </c>
      <c r="H1939" s="13">
        <f>IFERROR((CHAIN_RAW!R1939+CHAIN_RAW!S1939)/2,"")</f>
        <v/>
      </c>
      <c r="I1939" s="13">
        <f>IFERROR((CHAIN_RAW!L1939-CHAIN_RAW!K1939)/MAX(1E-9, G1939),"")</f>
        <v/>
      </c>
      <c r="J1939" s="13">
        <f>IFERROR((CHAIN_RAW!S1939-CHAIN_RAW!R1939)/MAX(1E-9, H1939),"")</f>
        <v/>
      </c>
      <c r="K1939" s="13">
        <f>CHAIN_RAW!G1939</f>
        <v/>
      </c>
      <c r="L1939" s="13">
        <f>CHAIN_RAW!N1939</f>
        <v/>
      </c>
      <c r="M1939" s="13">
        <f>IFERROR(L1939-K1939,"")</f>
        <v/>
      </c>
      <c r="N1939" s="13">
        <f>CHAIN_RAW!H1939</f>
        <v/>
      </c>
      <c r="O1939" s="13">
        <f>CHAIN_RAW!O1939</f>
        <v/>
      </c>
      <c r="P1939" s="13">
        <f>IFERROR(O1939/N1939,"")</f>
        <v/>
      </c>
      <c r="Q1939" s="13">
        <f>CHAIN_RAW!I1939</f>
        <v/>
      </c>
      <c r="R1939" s="13">
        <f>CHAIN_RAW!P1939</f>
        <v/>
      </c>
      <c r="S1939" s="13">
        <f>IFERROR(R1939/Q1939,"")</f>
        <v/>
      </c>
      <c r="T1939" s="13">
        <f>IFERROR((ABS(N1939-O1939)/MAX(1,(N1939+O1939)))*EXP(-ABS(E1939-CONTROL!E5)/MAX(1,CONTROL!B8)),"")</f>
        <v/>
      </c>
      <c r="U1939" s="13">
        <f>IFERROR(IF(O1939&gt;N1939,"SUPPORT (PE OI)","RESIST (CE OI)"),"")</f>
        <v/>
      </c>
      <c r="V1939" s="13">
        <f>IFERROR(IF(Q1939&gt;0,IF(R1939&gt;0,"BOTH_ADD","CE_ADD_PE_REDUCE"),IF(R1939&gt;0,"CE_REDUCE_PE_ADD","BOTH_REDUCE")),"")</f>
        <v/>
      </c>
      <c r="W1939" s="13">
        <f>IFERROR( (P1939-1)*0.5 + (M1939)*0.1 - (I1939+J1939)*0.05 + T1939*0.4 ,"")</f>
        <v/>
      </c>
      <c r="X1939" s="13">
        <f>IFERROR(IF(ABS(F1939)&lt;0.01,"ATM/NEAR",""),"")</f>
        <v/>
      </c>
    </row>
    <row r="1940">
      <c r="A1940" s="13">
        <f>CHAIN_RAW!A1940</f>
        <v/>
      </c>
      <c r="B1940" s="14">
        <f>CHAIN_RAW!B1940</f>
        <v/>
      </c>
      <c r="C1940" s="13">
        <f>CHAIN_RAW!C1940</f>
        <v/>
      </c>
      <c r="D1940" s="13">
        <f>CHAIN_RAW!D1940</f>
        <v/>
      </c>
      <c r="E1940" s="13">
        <f>CHAIN_RAW!E1940</f>
        <v/>
      </c>
      <c r="F1940" s="13">
        <f>IFERROR((E1940-D1940)/D1940,"")</f>
        <v/>
      </c>
      <c r="G1940" s="13">
        <f>IFERROR((CHAIN_RAW!K1940+CHAIN_RAW!L1940)/2,"")</f>
        <v/>
      </c>
      <c r="H1940" s="13">
        <f>IFERROR((CHAIN_RAW!R1940+CHAIN_RAW!S1940)/2,"")</f>
        <v/>
      </c>
      <c r="I1940" s="13">
        <f>IFERROR((CHAIN_RAW!L1940-CHAIN_RAW!K1940)/MAX(1E-9, G1940),"")</f>
        <v/>
      </c>
      <c r="J1940" s="13">
        <f>IFERROR((CHAIN_RAW!S1940-CHAIN_RAW!R1940)/MAX(1E-9, H1940),"")</f>
        <v/>
      </c>
      <c r="K1940" s="13">
        <f>CHAIN_RAW!G1940</f>
        <v/>
      </c>
      <c r="L1940" s="13">
        <f>CHAIN_RAW!N1940</f>
        <v/>
      </c>
      <c r="M1940" s="13">
        <f>IFERROR(L1940-K1940,"")</f>
        <v/>
      </c>
      <c r="N1940" s="13">
        <f>CHAIN_RAW!H1940</f>
        <v/>
      </c>
      <c r="O1940" s="13">
        <f>CHAIN_RAW!O1940</f>
        <v/>
      </c>
      <c r="P1940" s="13">
        <f>IFERROR(O1940/N1940,"")</f>
        <v/>
      </c>
      <c r="Q1940" s="13">
        <f>CHAIN_RAW!I1940</f>
        <v/>
      </c>
      <c r="R1940" s="13">
        <f>CHAIN_RAW!P1940</f>
        <v/>
      </c>
      <c r="S1940" s="13">
        <f>IFERROR(R1940/Q1940,"")</f>
        <v/>
      </c>
      <c r="T1940" s="13">
        <f>IFERROR((ABS(N1940-O1940)/MAX(1,(N1940+O1940)))*EXP(-ABS(E1940-CONTROL!E5)/MAX(1,CONTROL!B8)),"")</f>
        <v/>
      </c>
      <c r="U1940" s="13">
        <f>IFERROR(IF(O1940&gt;N1940,"SUPPORT (PE OI)","RESIST (CE OI)"),"")</f>
        <v/>
      </c>
      <c r="V1940" s="13">
        <f>IFERROR(IF(Q1940&gt;0,IF(R1940&gt;0,"BOTH_ADD","CE_ADD_PE_REDUCE"),IF(R1940&gt;0,"CE_REDUCE_PE_ADD","BOTH_REDUCE")),"")</f>
        <v/>
      </c>
      <c r="W1940" s="13">
        <f>IFERROR( (P1940-1)*0.5 + (M1940)*0.1 - (I1940+J1940)*0.05 + T1940*0.4 ,"")</f>
        <v/>
      </c>
      <c r="X1940" s="13">
        <f>IFERROR(IF(ABS(F1940)&lt;0.01,"ATM/NEAR",""),"")</f>
        <v/>
      </c>
    </row>
    <row r="1941">
      <c r="A1941" s="13">
        <f>CHAIN_RAW!A1941</f>
        <v/>
      </c>
      <c r="B1941" s="14">
        <f>CHAIN_RAW!B1941</f>
        <v/>
      </c>
      <c r="C1941" s="13">
        <f>CHAIN_RAW!C1941</f>
        <v/>
      </c>
      <c r="D1941" s="13">
        <f>CHAIN_RAW!D1941</f>
        <v/>
      </c>
      <c r="E1941" s="13">
        <f>CHAIN_RAW!E1941</f>
        <v/>
      </c>
      <c r="F1941" s="13">
        <f>IFERROR((E1941-D1941)/D1941,"")</f>
        <v/>
      </c>
      <c r="G1941" s="13">
        <f>IFERROR((CHAIN_RAW!K1941+CHAIN_RAW!L1941)/2,"")</f>
        <v/>
      </c>
      <c r="H1941" s="13">
        <f>IFERROR((CHAIN_RAW!R1941+CHAIN_RAW!S1941)/2,"")</f>
        <v/>
      </c>
      <c r="I1941" s="13">
        <f>IFERROR((CHAIN_RAW!L1941-CHAIN_RAW!K1941)/MAX(1E-9, G1941),"")</f>
        <v/>
      </c>
      <c r="J1941" s="13">
        <f>IFERROR((CHAIN_RAW!S1941-CHAIN_RAW!R1941)/MAX(1E-9, H1941),"")</f>
        <v/>
      </c>
      <c r="K1941" s="13">
        <f>CHAIN_RAW!G1941</f>
        <v/>
      </c>
      <c r="L1941" s="13">
        <f>CHAIN_RAW!N1941</f>
        <v/>
      </c>
      <c r="M1941" s="13">
        <f>IFERROR(L1941-K1941,"")</f>
        <v/>
      </c>
      <c r="N1941" s="13">
        <f>CHAIN_RAW!H1941</f>
        <v/>
      </c>
      <c r="O1941" s="13">
        <f>CHAIN_RAW!O1941</f>
        <v/>
      </c>
      <c r="P1941" s="13">
        <f>IFERROR(O1941/N1941,"")</f>
        <v/>
      </c>
      <c r="Q1941" s="13">
        <f>CHAIN_RAW!I1941</f>
        <v/>
      </c>
      <c r="R1941" s="13">
        <f>CHAIN_RAW!P1941</f>
        <v/>
      </c>
      <c r="S1941" s="13">
        <f>IFERROR(R1941/Q1941,"")</f>
        <v/>
      </c>
      <c r="T1941" s="13">
        <f>IFERROR((ABS(N1941-O1941)/MAX(1,(N1941+O1941)))*EXP(-ABS(E1941-CONTROL!E5)/MAX(1,CONTROL!B8)),"")</f>
        <v/>
      </c>
      <c r="U1941" s="13">
        <f>IFERROR(IF(O1941&gt;N1941,"SUPPORT (PE OI)","RESIST (CE OI)"),"")</f>
        <v/>
      </c>
      <c r="V1941" s="13">
        <f>IFERROR(IF(Q1941&gt;0,IF(R1941&gt;0,"BOTH_ADD","CE_ADD_PE_REDUCE"),IF(R1941&gt;0,"CE_REDUCE_PE_ADD","BOTH_REDUCE")),"")</f>
        <v/>
      </c>
      <c r="W1941" s="13">
        <f>IFERROR( (P1941-1)*0.5 + (M1941)*0.1 - (I1941+J1941)*0.05 + T1941*0.4 ,"")</f>
        <v/>
      </c>
      <c r="X1941" s="13">
        <f>IFERROR(IF(ABS(F1941)&lt;0.01,"ATM/NEAR",""),"")</f>
        <v/>
      </c>
    </row>
    <row r="1942">
      <c r="A1942" s="13">
        <f>CHAIN_RAW!A1942</f>
        <v/>
      </c>
      <c r="B1942" s="14">
        <f>CHAIN_RAW!B1942</f>
        <v/>
      </c>
      <c r="C1942" s="13">
        <f>CHAIN_RAW!C1942</f>
        <v/>
      </c>
      <c r="D1942" s="13">
        <f>CHAIN_RAW!D1942</f>
        <v/>
      </c>
      <c r="E1942" s="13">
        <f>CHAIN_RAW!E1942</f>
        <v/>
      </c>
      <c r="F1942" s="13">
        <f>IFERROR((E1942-D1942)/D1942,"")</f>
        <v/>
      </c>
      <c r="G1942" s="13">
        <f>IFERROR((CHAIN_RAW!K1942+CHAIN_RAW!L1942)/2,"")</f>
        <v/>
      </c>
      <c r="H1942" s="13">
        <f>IFERROR((CHAIN_RAW!R1942+CHAIN_RAW!S1942)/2,"")</f>
        <v/>
      </c>
      <c r="I1942" s="13">
        <f>IFERROR((CHAIN_RAW!L1942-CHAIN_RAW!K1942)/MAX(1E-9, G1942),"")</f>
        <v/>
      </c>
      <c r="J1942" s="13">
        <f>IFERROR((CHAIN_RAW!S1942-CHAIN_RAW!R1942)/MAX(1E-9, H1942),"")</f>
        <v/>
      </c>
      <c r="K1942" s="13">
        <f>CHAIN_RAW!G1942</f>
        <v/>
      </c>
      <c r="L1942" s="13">
        <f>CHAIN_RAW!N1942</f>
        <v/>
      </c>
      <c r="M1942" s="13">
        <f>IFERROR(L1942-K1942,"")</f>
        <v/>
      </c>
      <c r="N1942" s="13">
        <f>CHAIN_RAW!H1942</f>
        <v/>
      </c>
      <c r="O1942" s="13">
        <f>CHAIN_RAW!O1942</f>
        <v/>
      </c>
      <c r="P1942" s="13">
        <f>IFERROR(O1942/N1942,"")</f>
        <v/>
      </c>
      <c r="Q1942" s="13">
        <f>CHAIN_RAW!I1942</f>
        <v/>
      </c>
      <c r="R1942" s="13">
        <f>CHAIN_RAW!P1942</f>
        <v/>
      </c>
      <c r="S1942" s="13">
        <f>IFERROR(R1942/Q1942,"")</f>
        <v/>
      </c>
      <c r="T1942" s="13">
        <f>IFERROR((ABS(N1942-O1942)/MAX(1,(N1942+O1942)))*EXP(-ABS(E1942-CONTROL!E5)/MAX(1,CONTROL!B8)),"")</f>
        <v/>
      </c>
      <c r="U1942" s="13">
        <f>IFERROR(IF(O1942&gt;N1942,"SUPPORT (PE OI)","RESIST (CE OI)"),"")</f>
        <v/>
      </c>
      <c r="V1942" s="13">
        <f>IFERROR(IF(Q1942&gt;0,IF(R1942&gt;0,"BOTH_ADD","CE_ADD_PE_REDUCE"),IF(R1942&gt;0,"CE_REDUCE_PE_ADD","BOTH_REDUCE")),"")</f>
        <v/>
      </c>
      <c r="W1942" s="13">
        <f>IFERROR( (P1942-1)*0.5 + (M1942)*0.1 - (I1942+J1942)*0.05 + T1942*0.4 ,"")</f>
        <v/>
      </c>
      <c r="X1942" s="13">
        <f>IFERROR(IF(ABS(F1942)&lt;0.01,"ATM/NEAR",""),"")</f>
        <v/>
      </c>
    </row>
    <row r="1943">
      <c r="A1943" s="13">
        <f>CHAIN_RAW!A1943</f>
        <v/>
      </c>
      <c r="B1943" s="14">
        <f>CHAIN_RAW!B1943</f>
        <v/>
      </c>
      <c r="C1943" s="13">
        <f>CHAIN_RAW!C1943</f>
        <v/>
      </c>
      <c r="D1943" s="13">
        <f>CHAIN_RAW!D1943</f>
        <v/>
      </c>
      <c r="E1943" s="13">
        <f>CHAIN_RAW!E1943</f>
        <v/>
      </c>
      <c r="F1943" s="13">
        <f>IFERROR((E1943-D1943)/D1943,"")</f>
        <v/>
      </c>
      <c r="G1943" s="13">
        <f>IFERROR((CHAIN_RAW!K1943+CHAIN_RAW!L1943)/2,"")</f>
        <v/>
      </c>
      <c r="H1943" s="13">
        <f>IFERROR((CHAIN_RAW!R1943+CHAIN_RAW!S1943)/2,"")</f>
        <v/>
      </c>
      <c r="I1943" s="13">
        <f>IFERROR((CHAIN_RAW!L1943-CHAIN_RAW!K1943)/MAX(1E-9, G1943),"")</f>
        <v/>
      </c>
      <c r="J1943" s="13">
        <f>IFERROR((CHAIN_RAW!S1943-CHAIN_RAW!R1943)/MAX(1E-9, H1943),"")</f>
        <v/>
      </c>
      <c r="K1943" s="13">
        <f>CHAIN_RAW!G1943</f>
        <v/>
      </c>
      <c r="L1943" s="13">
        <f>CHAIN_RAW!N1943</f>
        <v/>
      </c>
      <c r="M1943" s="13">
        <f>IFERROR(L1943-K1943,"")</f>
        <v/>
      </c>
      <c r="N1943" s="13">
        <f>CHAIN_RAW!H1943</f>
        <v/>
      </c>
      <c r="O1943" s="13">
        <f>CHAIN_RAW!O1943</f>
        <v/>
      </c>
      <c r="P1943" s="13">
        <f>IFERROR(O1943/N1943,"")</f>
        <v/>
      </c>
      <c r="Q1943" s="13">
        <f>CHAIN_RAW!I1943</f>
        <v/>
      </c>
      <c r="R1943" s="13">
        <f>CHAIN_RAW!P1943</f>
        <v/>
      </c>
      <c r="S1943" s="13">
        <f>IFERROR(R1943/Q1943,"")</f>
        <v/>
      </c>
      <c r="T1943" s="13">
        <f>IFERROR((ABS(N1943-O1943)/MAX(1,(N1943+O1943)))*EXP(-ABS(E1943-CONTROL!E5)/MAX(1,CONTROL!B8)),"")</f>
        <v/>
      </c>
      <c r="U1943" s="13">
        <f>IFERROR(IF(O1943&gt;N1943,"SUPPORT (PE OI)","RESIST (CE OI)"),"")</f>
        <v/>
      </c>
      <c r="V1943" s="13">
        <f>IFERROR(IF(Q1943&gt;0,IF(R1943&gt;0,"BOTH_ADD","CE_ADD_PE_REDUCE"),IF(R1943&gt;0,"CE_REDUCE_PE_ADD","BOTH_REDUCE")),"")</f>
        <v/>
      </c>
      <c r="W1943" s="13">
        <f>IFERROR( (P1943-1)*0.5 + (M1943)*0.1 - (I1943+J1943)*0.05 + T1943*0.4 ,"")</f>
        <v/>
      </c>
      <c r="X1943" s="13">
        <f>IFERROR(IF(ABS(F1943)&lt;0.01,"ATM/NEAR",""),"")</f>
        <v/>
      </c>
    </row>
    <row r="1944">
      <c r="A1944" s="13">
        <f>CHAIN_RAW!A1944</f>
        <v/>
      </c>
      <c r="B1944" s="14">
        <f>CHAIN_RAW!B1944</f>
        <v/>
      </c>
      <c r="C1944" s="13">
        <f>CHAIN_RAW!C1944</f>
        <v/>
      </c>
      <c r="D1944" s="13">
        <f>CHAIN_RAW!D1944</f>
        <v/>
      </c>
      <c r="E1944" s="13">
        <f>CHAIN_RAW!E1944</f>
        <v/>
      </c>
      <c r="F1944" s="13">
        <f>IFERROR((E1944-D1944)/D1944,"")</f>
        <v/>
      </c>
      <c r="G1944" s="13">
        <f>IFERROR((CHAIN_RAW!K1944+CHAIN_RAW!L1944)/2,"")</f>
        <v/>
      </c>
      <c r="H1944" s="13">
        <f>IFERROR((CHAIN_RAW!R1944+CHAIN_RAW!S1944)/2,"")</f>
        <v/>
      </c>
      <c r="I1944" s="13">
        <f>IFERROR((CHAIN_RAW!L1944-CHAIN_RAW!K1944)/MAX(1E-9, G1944),"")</f>
        <v/>
      </c>
      <c r="J1944" s="13">
        <f>IFERROR((CHAIN_RAW!S1944-CHAIN_RAW!R1944)/MAX(1E-9, H1944),"")</f>
        <v/>
      </c>
      <c r="K1944" s="13">
        <f>CHAIN_RAW!G1944</f>
        <v/>
      </c>
      <c r="L1944" s="13">
        <f>CHAIN_RAW!N1944</f>
        <v/>
      </c>
      <c r="M1944" s="13">
        <f>IFERROR(L1944-K1944,"")</f>
        <v/>
      </c>
      <c r="N1944" s="13">
        <f>CHAIN_RAW!H1944</f>
        <v/>
      </c>
      <c r="O1944" s="13">
        <f>CHAIN_RAW!O1944</f>
        <v/>
      </c>
      <c r="P1944" s="13">
        <f>IFERROR(O1944/N1944,"")</f>
        <v/>
      </c>
      <c r="Q1944" s="13">
        <f>CHAIN_RAW!I1944</f>
        <v/>
      </c>
      <c r="R1944" s="13">
        <f>CHAIN_RAW!P1944</f>
        <v/>
      </c>
      <c r="S1944" s="13">
        <f>IFERROR(R1944/Q1944,"")</f>
        <v/>
      </c>
      <c r="T1944" s="13">
        <f>IFERROR((ABS(N1944-O1944)/MAX(1,(N1944+O1944)))*EXP(-ABS(E1944-CONTROL!E5)/MAX(1,CONTROL!B8)),"")</f>
        <v/>
      </c>
      <c r="U1944" s="13">
        <f>IFERROR(IF(O1944&gt;N1944,"SUPPORT (PE OI)","RESIST (CE OI)"),"")</f>
        <v/>
      </c>
      <c r="V1944" s="13">
        <f>IFERROR(IF(Q1944&gt;0,IF(R1944&gt;0,"BOTH_ADD","CE_ADD_PE_REDUCE"),IF(R1944&gt;0,"CE_REDUCE_PE_ADD","BOTH_REDUCE")),"")</f>
        <v/>
      </c>
      <c r="W1944" s="13">
        <f>IFERROR( (P1944-1)*0.5 + (M1944)*0.1 - (I1944+J1944)*0.05 + T1944*0.4 ,"")</f>
        <v/>
      </c>
      <c r="X1944" s="13">
        <f>IFERROR(IF(ABS(F1944)&lt;0.01,"ATM/NEAR",""),"")</f>
        <v/>
      </c>
    </row>
    <row r="1945">
      <c r="A1945" s="13">
        <f>CHAIN_RAW!A1945</f>
        <v/>
      </c>
      <c r="B1945" s="14">
        <f>CHAIN_RAW!B1945</f>
        <v/>
      </c>
      <c r="C1945" s="13">
        <f>CHAIN_RAW!C1945</f>
        <v/>
      </c>
      <c r="D1945" s="13">
        <f>CHAIN_RAW!D1945</f>
        <v/>
      </c>
      <c r="E1945" s="13">
        <f>CHAIN_RAW!E1945</f>
        <v/>
      </c>
      <c r="F1945" s="13">
        <f>IFERROR((E1945-D1945)/D1945,"")</f>
        <v/>
      </c>
      <c r="G1945" s="13">
        <f>IFERROR((CHAIN_RAW!K1945+CHAIN_RAW!L1945)/2,"")</f>
        <v/>
      </c>
      <c r="H1945" s="13">
        <f>IFERROR((CHAIN_RAW!R1945+CHAIN_RAW!S1945)/2,"")</f>
        <v/>
      </c>
      <c r="I1945" s="13">
        <f>IFERROR((CHAIN_RAW!L1945-CHAIN_RAW!K1945)/MAX(1E-9, G1945),"")</f>
        <v/>
      </c>
      <c r="J1945" s="13">
        <f>IFERROR((CHAIN_RAW!S1945-CHAIN_RAW!R1945)/MAX(1E-9, H1945),"")</f>
        <v/>
      </c>
      <c r="K1945" s="13">
        <f>CHAIN_RAW!G1945</f>
        <v/>
      </c>
      <c r="L1945" s="13">
        <f>CHAIN_RAW!N1945</f>
        <v/>
      </c>
      <c r="M1945" s="13">
        <f>IFERROR(L1945-K1945,"")</f>
        <v/>
      </c>
      <c r="N1945" s="13">
        <f>CHAIN_RAW!H1945</f>
        <v/>
      </c>
      <c r="O1945" s="13">
        <f>CHAIN_RAW!O1945</f>
        <v/>
      </c>
      <c r="P1945" s="13">
        <f>IFERROR(O1945/N1945,"")</f>
        <v/>
      </c>
      <c r="Q1945" s="13">
        <f>CHAIN_RAW!I1945</f>
        <v/>
      </c>
      <c r="R1945" s="13">
        <f>CHAIN_RAW!P1945</f>
        <v/>
      </c>
      <c r="S1945" s="13">
        <f>IFERROR(R1945/Q1945,"")</f>
        <v/>
      </c>
      <c r="T1945" s="13">
        <f>IFERROR((ABS(N1945-O1945)/MAX(1,(N1945+O1945)))*EXP(-ABS(E1945-CONTROL!E5)/MAX(1,CONTROL!B8)),"")</f>
        <v/>
      </c>
      <c r="U1945" s="13">
        <f>IFERROR(IF(O1945&gt;N1945,"SUPPORT (PE OI)","RESIST (CE OI)"),"")</f>
        <v/>
      </c>
      <c r="V1945" s="13">
        <f>IFERROR(IF(Q1945&gt;0,IF(R1945&gt;0,"BOTH_ADD","CE_ADD_PE_REDUCE"),IF(R1945&gt;0,"CE_REDUCE_PE_ADD","BOTH_REDUCE")),"")</f>
        <v/>
      </c>
      <c r="W1945" s="13">
        <f>IFERROR( (P1945-1)*0.5 + (M1945)*0.1 - (I1945+J1945)*0.05 + T1945*0.4 ,"")</f>
        <v/>
      </c>
      <c r="X1945" s="13">
        <f>IFERROR(IF(ABS(F1945)&lt;0.01,"ATM/NEAR",""),"")</f>
        <v/>
      </c>
    </row>
    <row r="1946">
      <c r="A1946" s="13">
        <f>CHAIN_RAW!A1946</f>
        <v/>
      </c>
      <c r="B1946" s="14">
        <f>CHAIN_RAW!B1946</f>
        <v/>
      </c>
      <c r="C1946" s="13">
        <f>CHAIN_RAW!C1946</f>
        <v/>
      </c>
      <c r="D1946" s="13">
        <f>CHAIN_RAW!D1946</f>
        <v/>
      </c>
      <c r="E1946" s="13">
        <f>CHAIN_RAW!E1946</f>
        <v/>
      </c>
      <c r="F1946" s="13">
        <f>IFERROR((E1946-D1946)/D1946,"")</f>
        <v/>
      </c>
      <c r="G1946" s="13">
        <f>IFERROR((CHAIN_RAW!K1946+CHAIN_RAW!L1946)/2,"")</f>
        <v/>
      </c>
      <c r="H1946" s="13">
        <f>IFERROR((CHAIN_RAW!R1946+CHAIN_RAW!S1946)/2,"")</f>
        <v/>
      </c>
      <c r="I1946" s="13">
        <f>IFERROR((CHAIN_RAW!L1946-CHAIN_RAW!K1946)/MAX(1E-9, G1946),"")</f>
        <v/>
      </c>
      <c r="J1946" s="13">
        <f>IFERROR((CHAIN_RAW!S1946-CHAIN_RAW!R1946)/MAX(1E-9, H1946),"")</f>
        <v/>
      </c>
      <c r="K1946" s="13">
        <f>CHAIN_RAW!G1946</f>
        <v/>
      </c>
      <c r="L1946" s="13">
        <f>CHAIN_RAW!N1946</f>
        <v/>
      </c>
      <c r="M1946" s="13">
        <f>IFERROR(L1946-K1946,"")</f>
        <v/>
      </c>
      <c r="N1946" s="13">
        <f>CHAIN_RAW!H1946</f>
        <v/>
      </c>
      <c r="O1946" s="13">
        <f>CHAIN_RAW!O1946</f>
        <v/>
      </c>
      <c r="P1946" s="13">
        <f>IFERROR(O1946/N1946,"")</f>
        <v/>
      </c>
      <c r="Q1946" s="13">
        <f>CHAIN_RAW!I1946</f>
        <v/>
      </c>
      <c r="R1946" s="13">
        <f>CHAIN_RAW!P1946</f>
        <v/>
      </c>
      <c r="S1946" s="13">
        <f>IFERROR(R1946/Q1946,"")</f>
        <v/>
      </c>
      <c r="T1946" s="13">
        <f>IFERROR((ABS(N1946-O1946)/MAX(1,(N1946+O1946)))*EXP(-ABS(E1946-CONTROL!E5)/MAX(1,CONTROL!B8)),"")</f>
        <v/>
      </c>
      <c r="U1946" s="13">
        <f>IFERROR(IF(O1946&gt;N1946,"SUPPORT (PE OI)","RESIST (CE OI)"),"")</f>
        <v/>
      </c>
      <c r="V1946" s="13">
        <f>IFERROR(IF(Q1946&gt;0,IF(R1946&gt;0,"BOTH_ADD","CE_ADD_PE_REDUCE"),IF(R1946&gt;0,"CE_REDUCE_PE_ADD","BOTH_REDUCE")),"")</f>
        <v/>
      </c>
      <c r="W1946" s="13">
        <f>IFERROR( (P1946-1)*0.5 + (M1946)*0.1 - (I1946+J1946)*0.05 + T1946*0.4 ,"")</f>
        <v/>
      </c>
      <c r="X1946" s="13">
        <f>IFERROR(IF(ABS(F1946)&lt;0.01,"ATM/NEAR",""),"")</f>
        <v/>
      </c>
    </row>
    <row r="1947">
      <c r="A1947" s="13">
        <f>CHAIN_RAW!A1947</f>
        <v/>
      </c>
      <c r="B1947" s="14">
        <f>CHAIN_RAW!B1947</f>
        <v/>
      </c>
      <c r="C1947" s="13">
        <f>CHAIN_RAW!C1947</f>
        <v/>
      </c>
      <c r="D1947" s="13">
        <f>CHAIN_RAW!D1947</f>
        <v/>
      </c>
      <c r="E1947" s="13">
        <f>CHAIN_RAW!E1947</f>
        <v/>
      </c>
      <c r="F1947" s="13">
        <f>IFERROR((E1947-D1947)/D1947,"")</f>
        <v/>
      </c>
      <c r="G1947" s="13">
        <f>IFERROR((CHAIN_RAW!K1947+CHAIN_RAW!L1947)/2,"")</f>
        <v/>
      </c>
      <c r="H1947" s="13">
        <f>IFERROR((CHAIN_RAW!R1947+CHAIN_RAW!S1947)/2,"")</f>
        <v/>
      </c>
      <c r="I1947" s="13">
        <f>IFERROR((CHAIN_RAW!L1947-CHAIN_RAW!K1947)/MAX(1E-9, G1947),"")</f>
        <v/>
      </c>
      <c r="J1947" s="13">
        <f>IFERROR((CHAIN_RAW!S1947-CHAIN_RAW!R1947)/MAX(1E-9, H1947),"")</f>
        <v/>
      </c>
      <c r="K1947" s="13">
        <f>CHAIN_RAW!G1947</f>
        <v/>
      </c>
      <c r="L1947" s="13">
        <f>CHAIN_RAW!N1947</f>
        <v/>
      </c>
      <c r="M1947" s="13">
        <f>IFERROR(L1947-K1947,"")</f>
        <v/>
      </c>
      <c r="N1947" s="13">
        <f>CHAIN_RAW!H1947</f>
        <v/>
      </c>
      <c r="O1947" s="13">
        <f>CHAIN_RAW!O1947</f>
        <v/>
      </c>
      <c r="P1947" s="13">
        <f>IFERROR(O1947/N1947,"")</f>
        <v/>
      </c>
      <c r="Q1947" s="13">
        <f>CHAIN_RAW!I1947</f>
        <v/>
      </c>
      <c r="R1947" s="13">
        <f>CHAIN_RAW!P1947</f>
        <v/>
      </c>
      <c r="S1947" s="13">
        <f>IFERROR(R1947/Q1947,"")</f>
        <v/>
      </c>
      <c r="T1947" s="13">
        <f>IFERROR((ABS(N1947-O1947)/MAX(1,(N1947+O1947)))*EXP(-ABS(E1947-CONTROL!E5)/MAX(1,CONTROL!B8)),"")</f>
        <v/>
      </c>
      <c r="U1947" s="13">
        <f>IFERROR(IF(O1947&gt;N1947,"SUPPORT (PE OI)","RESIST (CE OI)"),"")</f>
        <v/>
      </c>
      <c r="V1947" s="13">
        <f>IFERROR(IF(Q1947&gt;0,IF(R1947&gt;0,"BOTH_ADD","CE_ADD_PE_REDUCE"),IF(R1947&gt;0,"CE_REDUCE_PE_ADD","BOTH_REDUCE")),"")</f>
        <v/>
      </c>
      <c r="W1947" s="13">
        <f>IFERROR( (P1947-1)*0.5 + (M1947)*0.1 - (I1947+J1947)*0.05 + T1947*0.4 ,"")</f>
        <v/>
      </c>
      <c r="X1947" s="13">
        <f>IFERROR(IF(ABS(F1947)&lt;0.01,"ATM/NEAR",""),"")</f>
        <v/>
      </c>
    </row>
    <row r="1948">
      <c r="A1948" s="13">
        <f>CHAIN_RAW!A1948</f>
        <v/>
      </c>
      <c r="B1948" s="14">
        <f>CHAIN_RAW!B1948</f>
        <v/>
      </c>
      <c r="C1948" s="13">
        <f>CHAIN_RAW!C1948</f>
        <v/>
      </c>
      <c r="D1948" s="13">
        <f>CHAIN_RAW!D1948</f>
        <v/>
      </c>
      <c r="E1948" s="13">
        <f>CHAIN_RAW!E1948</f>
        <v/>
      </c>
      <c r="F1948" s="13">
        <f>IFERROR((E1948-D1948)/D1948,"")</f>
        <v/>
      </c>
      <c r="G1948" s="13">
        <f>IFERROR((CHAIN_RAW!K1948+CHAIN_RAW!L1948)/2,"")</f>
        <v/>
      </c>
      <c r="H1948" s="13">
        <f>IFERROR((CHAIN_RAW!R1948+CHAIN_RAW!S1948)/2,"")</f>
        <v/>
      </c>
      <c r="I1948" s="13">
        <f>IFERROR((CHAIN_RAW!L1948-CHAIN_RAW!K1948)/MAX(1E-9, G1948),"")</f>
        <v/>
      </c>
      <c r="J1948" s="13">
        <f>IFERROR((CHAIN_RAW!S1948-CHAIN_RAW!R1948)/MAX(1E-9, H1948),"")</f>
        <v/>
      </c>
      <c r="K1948" s="13">
        <f>CHAIN_RAW!G1948</f>
        <v/>
      </c>
      <c r="L1948" s="13">
        <f>CHAIN_RAW!N1948</f>
        <v/>
      </c>
      <c r="M1948" s="13">
        <f>IFERROR(L1948-K1948,"")</f>
        <v/>
      </c>
      <c r="N1948" s="13">
        <f>CHAIN_RAW!H1948</f>
        <v/>
      </c>
      <c r="O1948" s="13">
        <f>CHAIN_RAW!O1948</f>
        <v/>
      </c>
      <c r="P1948" s="13">
        <f>IFERROR(O1948/N1948,"")</f>
        <v/>
      </c>
      <c r="Q1948" s="13">
        <f>CHAIN_RAW!I1948</f>
        <v/>
      </c>
      <c r="R1948" s="13">
        <f>CHAIN_RAW!P1948</f>
        <v/>
      </c>
      <c r="S1948" s="13">
        <f>IFERROR(R1948/Q1948,"")</f>
        <v/>
      </c>
      <c r="T1948" s="13">
        <f>IFERROR((ABS(N1948-O1948)/MAX(1,(N1948+O1948)))*EXP(-ABS(E1948-CONTROL!E5)/MAX(1,CONTROL!B8)),"")</f>
        <v/>
      </c>
      <c r="U1948" s="13">
        <f>IFERROR(IF(O1948&gt;N1948,"SUPPORT (PE OI)","RESIST (CE OI)"),"")</f>
        <v/>
      </c>
      <c r="V1948" s="13">
        <f>IFERROR(IF(Q1948&gt;0,IF(R1948&gt;0,"BOTH_ADD","CE_ADD_PE_REDUCE"),IF(R1948&gt;0,"CE_REDUCE_PE_ADD","BOTH_REDUCE")),"")</f>
        <v/>
      </c>
      <c r="W1948" s="13">
        <f>IFERROR( (P1948-1)*0.5 + (M1948)*0.1 - (I1948+J1948)*0.05 + T1948*0.4 ,"")</f>
        <v/>
      </c>
      <c r="X1948" s="13">
        <f>IFERROR(IF(ABS(F1948)&lt;0.01,"ATM/NEAR",""),"")</f>
        <v/>
      </c>
    </row>
    <row r="1949">
      <c r="A1949" s="13">
        <f>CHAIN_RAW!A1949</f>
        <v/>
      </c>
      <c r="B1949" s="14">
        <f>CHAIN_RAW!B1949</f>
        <v/>
      </c>
      <c r="C1949" s="13">
        <f>CHAIN_RAW!C1949</f>
        <v/>
      </c>
      <c r="D1949" s="13">
        <f>CHAIN_RAW!D1949</f>
        <v/>
      </c>
      <c r="E1949" s="13">
        <f>CHAIN_RAW!E1949</f>
        <v/>
      </c>
      <c r="F1949" s="13">
        <f>IFERROR((E1949-D1949)/D1949,"")</f>
        <v/>
      </c>
      <c r="G1949" s="13">
        <f>IFERROR((CHAIN_RAW!K1949+CHAIN_RAW!L1949)/2,"")</f>
        <v/>
      </c>
      <c r="H1949" s="13">
        <f>IFERROR((CHAIN_RAW!R1949+CHAIN_RAW!S1949)/2,"")</f>
        <v/>
      </c>
      <c r="I1949" s="13">
        <f>IFERROR((CHAIN_RAW!L1949-CHAIN_RAW!K1949)/MAX(1E-9, G1949),"")</f>
        <v/>
      </c>
      <c r="J1949" s="13">
        <f>IFERROR((CHAIN_RAW!S1949-CHAIN_RAW!R1949)/MAX(1E-9, H1949),"")</f>
        <v/>
      </c>
      <c r="K1949" s="13">
        <f>CHAIN_RAW!G1949</f>
        <v/>
      </c>
      <c r="L1949" s="13">
        <f>CHAIN_RAW!N1949</f>
        <v/>
      </c>
      <c r="M1949" s="13">
        <f>IFERROR(L1949-K1949,"")</f>
        <v/>
      </c>
      <c r="N1949" s="13">
        <f>CHAIN_RAW!H1949</f>
        <v/>
      </c>
      <c r="O1949" s="13">
        <f>CHAIN_RAW!O1949</f>
        <v/>
      </c>
      <c r="P1949" s="13">
        <f>IFERROR(O1949/N1949,"")</f>
        <v/>
      </c>
      <c r="Q1949" s="13">
        <f>CHAIN_RAW!I1949</f>
        <v/>
      </c>
      <c r="R1949" s="13">
        <f>CHAIN_RAW!P1949</f>
        <v/>
      </c>
      <c r="S1949" s="13">
        <f>IFERROR(R1949/Q1949,"")</f>
        <v/>
      </c>
      <c r="T1949" s="13">
        <f>IFERROR((ABS(N1949-O1949)/MAX(1,(N1949+O1949)))*EXP(-ABS(E1949-CONTROL!E5)/MAX(1,CONTROL!B8)),"")</f>
        <v/>
      </c>
      <c r="U1949" s="13">
        <f>IFERROR(IF(O1949&gt;N1949,"SUPPORT (PE OI)","RESIST (CE OI)"),"")</f>
        <v/>
      </c>
      <c r="V1949" s="13">
        <f>IFERROR(IF(Q1949&gt;0,IF(R1949&gt;0,"BOTH_ADD","CE_ADD_PE_REDUCE"),IF(R1949&gt;0,"CE_REDUCE_PE_ADD","BOTH_REDUCE")),"")</f>
        <v/>
      </c>
      <c r="W1949" s="13">
        <f>IFERROR( (P1949-1)*0.5 + (M1949)*0.1 - (I1949+J1949)*0.05 + T1949*0.4 ,"")</f>
        <v/>
      </c>
      <c r="X1949" s="13">
        <f>IFERROR(IF(ABS(F1949)&lt;0.01,"ATM/NEAR",""),"")</f>
        <v/>
      </c>
    </row>
    <row r="1950">
      <c r="A1950" s="13">
        <f>CHAIN_RAW!A1950</f>
        <v/>
      </c>
      <c r="B1950" s="14">
        <f>CHAIN_RAW!B1950</f>
        <v/>
      </c>
      <c r="C1950" s="13">
        <f>CHAIN_RAW!C1950</f>
        <v/>
      </c>
      <c r="D1950" s="13">
        <f>CHAIN_RAW!D1950</f>
        <v/>
      </c>
      <c r="E1950" s="13">
        <f>CHAIN_RAW!E1950</f>
        <v/>
      </c>
      <c r="F1950" s="13">
        <f>IFERROR((E1950-D1950)/D1950,"")</f>
        <v/>
      </c>
      <c r="G1950" s="13">
        <f>IFERROR((CHAIN_RAW!K1950+CHAIN_RAW!L1950)/2,"")</f>
        <v/>
      </c>
      <c r="H1950" s="13">
        <f>IFERROR((CHAIN_RAW!R1950+CHAIN_RAW!S1950)/2,"")</f>
        <v/>
      </c>
      <c r="I1950" s="13">
        <f>IFERROR((CHAIN_RAW!L1950-CHAIN_RAW!K1950)/MAX(1E-9, G1950),"")</f>
        <v/>
      </c>
      <c r="J1950" s="13">
        <f>IFERROR((CHAIN_RAW!S1950-CHAIN_RAW!R1950)/MAX(1E-9, H1950),"")</f>
        <v/>
      </c>
      <c r="K1950" s="13">
        <f>CHAIN_RAW!G1950</f>
        <v/>
      </c>
      <c r="L1950" s="13">
        <f>CHAIN_RAW!N1950</f>
        <v/>
      </c>
      <c r="M1950" s="13">
        <f>IFERROR(L1950-K1950,"")</f>
        <v/>
      </c>
      <c r="N1950" s="13">
        <f>CHAIN_RAW!H1950</f>
        <v/>
      </c>
      <c r="O1950" s="13">
        <f>CHAIN_RAW!O1950</f>
        <v/>
      </c>
      <c r="P1950" s="13">
        <f>IFERROR(O1950/N1950,"")</f>
        <v/>
      </c>
      <c r="Q1950" s="13">
        <f>CHAIN_RAW!I1950</f>
        <v/>
      </c>
      <c r="R1950" s="13">
        <f>CHAIN_RAW!P1950</f>
        <v/>
      </c>
      <c r="S1950" s="13">
        <f>IFERROR(R1950/Q1950,"")</f>
        <v/>
      </c>
      <c r="T1950" s="13">
        <f>IFERROR((ABS(N1950-O1950)/MAX(1,(N1950+O1950)))*EXP(-ABS(E1950-CONTROL!E5)/MAX(1,CONTROL!B8)),"")</f>
        <v/>
      </c>
      <c r="U1950" s="13">
        <f>IFERROR(IF(O1950&gt;N1950,"SUPPORT (PE OI)","RESIST (CE OI)"),"")</f>
        <v/>
      </c>
      <c r="V1950" s="13">
        <f>IFERROR(IF(Q1950&gt;0,IF(R1950&gt;0,"BOTH_ADD","CE_ADD_PE_REDUCE"),IF(R1950&gt;0,"CE_REDUCE_PE_ADD","BOTH_REDUCE")),"")</f>
        <v/>
      </c>
      <c r="W1950" s="13">
        <f>IFERROR( (P1950-1)*0.5 + (M1950)*0.1 - (I1950+J1950)*0.05 + T1950*0.4 ,"")</f>
        <v/>
      </c>
      <c r="X1950" s="13">
        <f>IFERROR(IF(ABS(F1950)&lt;0.01,"ATM/NEAR",""),"")</f>
        <v/>
      </c>
    </row>
    <row r="1951">
      <c r="A1951" s="13">
        <f>CHAIN_RAW!A1951</f>
        <v/>
      </c>
      <c r="B1951" s="14">
        <f>CHAIN_RAW!B1951</f>
        <v/>
      </c>
      <c r="C1951" s="13">
        <f>CHAIN_RAW!C1951</f>
        <v/>
      </c>
      <c r="D1951" s="13">
        <f>CHAIN_RAW!D1951</f>
        <v/>
      </c>
      <c r="E1951" s="13">
        <f>CHAIN_RAW!E1951</f>
        <v/>
      </c>
      <c r="F1951" s="13">
        <f>IFERROR((E1951-D1951)/D1951,"")</f>
        <v/>
      </c>
      <c r="G1951" s="13">
        <f>IFERROR((CHAIN_RAW!K1951+CHAIN_RAW!L1951)/2,"")</f>
        <v/>
      </c>
      <c r="H1951" s="13">
        <f>IFERROR((CHAIN_RAW!R1951+CHAIN_RAW!S1951)/2,"")</f>
        <v/>
      </c>
      <c r="I1951" s="13">
        <f>IFERROR((CHAIN_RAW!L1951-CHAIN_RAW!K1951)/MAX(1E-9, G1951),"")</f>
        <v/>
      </c>
      <c r="J1951" s="13">
        <f>IFERROR((CHAIN_RAW!S1951-CHAIN_RAW!R1951)/MAX(1E-9, H1951),"")</f>
        <v/>
      </c>
      <c r="K1951" s="13">
        <f>CHAIN_RAW!G1951</f>
        <v/>
      </c>
      <c r="L1951" s="13">
        <f>CHAIN_RAW!N1951</f>
        <v/>
      </c>
      <c r="M1951" s="13">
        <f>IFERROR(L1951-K1951,"")</f>
        <v/>
      </c>
      <c r="N1951" s="13">
        <f>CHAIN_RAW!H1951</f>
        <v/>
      </c>
      <c r="O1951" s="13">
        <f>CHAIN_RAW!O1951</f>
        <v/>
      </c>
      <c r="P1951" s="13">
        <f>IFERROR(O1951/N1951,"")</f>
        <v/>
      </c>
      <c r="Q1951" s="13">
        <f>CHAIN_RAW!I1951</f>
        <v/>
      </c>
      <c r="R1951" s="13">
        <f>CHAIN_RAW!P1951</f>
        <v/>
      </c>
      <c r="S1951" s="13">
        <f>IFERROR(R1951/Q1951,"")</f>
        <v/>
      </c>
      <c r="T1951" s="13">
        <f>IFERROR((ABS(N1951-O1951)/MAX(1,(N1951+O1951)))*EXP(-ABS(E1951-CONTROL!E5)/MAX(1,CONTROL!B8)),"")</f>
        <v/>
      </c>
      <c r="U1951" s="13">
        <f>IFERROR(IF(O1951&gt;N1951,"SUPPORT (PE OI)","RESIST (CE OI)"),"")</f>
        <v/>
      </c>
      <c r="V1951" s="13">
        <f>IFERROR(IF(Q1951&gt;0,IF(R1951&gt;0,"BOTH_ADD","CE_ADD_PE_REDUCE"),IF(R1951&gt;0,"CE_REDUCE_PE_ADD","BOTH_REDUCE")),"")</f>
        <v/>
      </c>
      <c r="W1951" s="13">
        <f>IFERROR( (P1951-1)*0.5 + (M1951)*0.1 - (I1951+J1951)*0.05 + T1951*0.4 ,"")</f>
        <v/>
      </c>
      <c r="X1951" s="13">
        <f>IFERROR(IF(ABS(F1951)&lt;0.01,"ATM/NEAR",""),"")</f>
        <v/>
      </c>
    </row>
    <row r="1952">
      <c r="A1952" s="13">
        <f>CHAIN_RAW!A1952</f>
        <v/>
      </c>
      <c r="B1952" s="14">
        <f>CHAIN_RAW!B1952</f>
        <v/>
      </c>
      <c r="C1952" s="13">
        <f>CHAIN_RAW!C1952</f>
        <v/>
      </c>
      <c r="D1952" s="13">
        <f>CHAIN_RAW!D1952</f>
        <v/>
      </c>
      <c r="E1952" s="13">
        <f>CHAIN_RAW!E1952</f>
        <v/>
      </c>
      <c r="F1952" s="13">
        <f>IFERROR((E1952-D1952)/D1952,"")</f>
        <v/>
      </c>
      <c r="G1952" s="13">
        <f>IFERROR((CHAIN_RAW!K1952+CHAIN_RAW!L1952)/2,"")</f>
        <v/>
      </c>
      <c r="H1952" s="13">
        <f>IFERROR((CHAIN_RAW!R1952+CHAIN_RAW!S1952)/2,"")</f>
        <v/>
      </c>
      <c r="I1952" s="13">
        <f>IFERROR((CHAIN_RAW!L1952-CHAIN_RAW!K1952)/MAX(1E-9, G1952),"")</f>
        <v/>
      </c>
      <c r="J1952" s="13">
        <f>IFERROR((CHAIN_RAW!S1952-CHAIN_RAW!R1952)/MAX(1E-9, H1952),"")</f>
        <v/>
      </c>
      <c r="K1952" s="13">
        <f>CHAIN_RAW!G1952</f>
        <v/>
      </c>
      <c r="L1952" s="13">
        <f>CHAIN_RAW!N1952</f>
        <v/>
      </c>
      <c r="M1952" s="13">
        <f>IFERROR(L1952-K1952,"")</f>
        <v/>
      </c>
      <c r="N1952" s="13">
        <f>CHAIN_RAW!H1952</f>
        <v/>
      </c>
      <c r="O1952" s="13">
        <f>CHAIN_RAW!O1952</f>
        <v/>
      </c>
      <c r="P1952" s="13">
        <f>IFERROR(O1952/N1952,"")</f>
        <v/>
      </c>
      <c r="Q1952" s="13">
        <f>CHAIN_RAW!I1952</f>
        <v/>
      </c>
      <c r="R1952" s="13">
        <f>CHAIN_RAW!P1952</f>
        <v/>
      </c>
      <c r="S1952" s="13">
        <f>IFERROR(R1952/Q1952,"")</f>
        <v/>
      </c>
      <c r="T1952" s="13">
        <f>IFERROR((ABS(N1952-O1952)/MAX(1,(N1952+O1952)))*EXP(-ABS(E1952-CONTROL!E5)/MAX(1,CONTROL!B8)),"")</f>
        <v/>
      </c>
      <c r="U1952" s="13">
        <f>IFERROR(IF(O1952&gt;N1952,"SUPPORT (PE OI)","RESIST (CE OI)"),"")</f>
        <v/>
      </c>
      <c r="V1952" s="13">
        <f>IFERROR(IF(Q1952&gt;0,IF(R1952&gt;0,"BOTH_ADD","CE_ADD_PE_REDUCE"),IF(R1952&gt;0,"CE_REDUCE_PE_ADD","BOTH_REDUCE")),"")</f>
        <v/>
      </c>
      <c r="W1952" s="13">
        <f>IFERROR( (P1952-1)*0.5 + (M1952)*0.1 - (I1952+J1952)*0.05 + T1952*0.4 ,"")</f>
        <v/>
      </c>
      <c r="X1952" s="13">
        <f>IFERROR(IF(ABS(F1952)&lt;0.01,"ATM/NEAR",""),"")</f>
        <v/>
      </c>
    </row>
    <row r="1953">
      <c r="A1953" s="13">
        <f>CHAIN_RAW!A1953</f>
        <v/>
      </c>
      <c r="B1953" s="14">
        <f>CHAIN_RAW!B1953</f>
        <v/>
      </c>
      <c r="C1953" s="13">
        <f>CHAIN_RAW!C1953</f>
        <v/>
      </c>
      <c r="D1953" s="13">
        <f>CHAIN_RAW!D1953</f>
        <v/>
      </c>
      <c r="E1953" s="13">
        <f>CHAIN_RAW!E1953</f>
        <v/>
      </c>
      <c r="F1953" s="13">
        <f>IFERROR((E1953-D1953)/D1953,"")</f>
        <v/>
      </c>
      <c r="G1953" s="13">
        <f>IFERROR((CHAIN_RAW!K1953+CHAIN_RAW!L1953)/2,"")</f>
        <v/>
      </c>
      <c r="H1953" s="13">
        <f>IFERROR((CHAIN_RAW!R1953+CHAIN_RAW!S1953)/2,"")</f>
        <v/>
      </c>
      <c r="I1953" s="13">
        <f>IFERROR((CHAIN_RAW!L1953-CHAIN_RAW!K1953)/MAX(1E-9, G1953),"")</f>
        <v/>
      </c>
      <c r="J1953" s="13">
        <f>IFERROR((CHAIN_RAW!S1953-CHAIN_RAW!R1953)/MAX(1E-9, H1953),"")</f>
        <v/>
      </c>
      <c r="K1953" s="13">
        <f>CHAIN_RAW!G1953</f>
        <v/>
      </c>
      <c r="L1953" s="13">
        <f>CHAIN_RAW!N1953</f>
        <v/>
      </c>
      <c r="M1953" s="13">
        <f>IFERROR(L1953-K1953,"")</f>
        <v/>
      </c>
      <c r="N1953" s="13">
        <f>CHAIN_RAW!H1953</f>
        <v/>
      </c>
      <c r="O1953" s="13">
        <f>CHAIN_RAW!O1953</f>
        <v/>
      </c>
      <c r="P1953" s="13">
        <f>IFERROR(O1953/N1953,"")</f>
        <v/>
      </c>
      <c r="Q1953" s="13">
        <f>CHAIN_RAW!I1953</f>
        <v/>
      </c>
      <c r="R1953" s="13">
        <f>CHAIN_RAW!P1953</f>
        <v/>
      </c>
      <c r="S1953" s="13">
        <f>IFERROR(R1953/Q1953,"")</f>
        <v/>
      </c>
      <c r="T1953" s="13">
        <f>IFERROR((ABS(N1953-O1953)/MAX(1,(N1953+O1953)))*EXP(-ABS(E1953-CONTROL!E5)/MAX(1,CONTROL!B8)),"")</f>
        <v/>
      </c>
      <c r="U1953" s="13">
        <f>IFERROR(IF(O1953&gt;N1953,"SUPPORT (PE OI)","RESIST (CE OI)"),"")</f>
        <v/>
      </c>
      <c r="V1953" s="13">
        <f>IFERROR(IF(Q1953&gt;0,IF(R1953&gt;0,"BOTH_ADD","CE_ADD_PE_REDUCE"),IF(R1953&gt;0,"CE_REDUCE_PE_ADD","BOTH_REDUCE")),"")</f>
        <v/>
      </c>
      <c r="W1953" s="13">
        <f>IFERROR( (P1953-1)*0.5 + (M1953)*0.1 - (I1953+J1953)*0.05 + T1953*0.4 ,"")</f>
        <v/>
      </c>
      <c r="X1953" s="13">
        <f>IFERROR(IF(ABS(F1953)&lt;0.01,"ATM/NEAR",""),"")</f>
        <v/>
      </c>
    </row>
    <row r="1954">
      <c r="A1954" s="13">
        <f>CHAIN_RAW!A1954</f>
        <v/>
      </c>
      <c r="B1954" s="14">
        <f>CHAIN_RAW!B1954</f>
        <v/>
      </c>
      <c r="C1954" s="13">
        <f>CHAIN_RAW!C1954</f>
        <v/>
      </c>
      <c r="D1954" s="13">
        <f>CHAIN_RAW!D1954</f>
        <v/>
      </c>
      <c r="E1954" s="13">
        <f>CHAIN_RAW!E1954</f>
        <v/>
      </c>
      <c r="F1954" s="13">
        <f>IFERROR((E1954-D1954)/D1954,"")</f>
        <v/>
      </c>
      <c r="G1954" s="13">
        <f>IFERROR((CHAIN_RAW!K1954+CHAIN_RAW!L1954)/2,"")</f>
        <v/>
      </c>
      <c r="H1954" s="13">
        <f>IFERROR((CHAIN_RAW!R1954+CHAIN_RAW!S1954)/2,"")</f>
        <v/>
      </c>
      <c r="I1954" s="13">
        <f>IFERROR((CHAIN_RAW!L1954-CHAIN_RAW!K1954)/MAX(1E-9, G1954),"")</f>
        <v/>
      </c>
      <c r="J1954" s="13">
        <f>IFERROR((CHAIN_RAW!S1954-CHAIN_RAW!R1954)/MAX(1E-9, H1954),"")</f>
        <v/>
      </c>
      <c r="K1954" s="13">
        <f>CHAIN_RAW!G1954</f>
        <v/>
      </c>
      <c r="L1954" s="13">
        <f>CHAIN_RAW!N1954</f>
        <v/>
      </c>
      <c r="M1954" s="13">
        <f>IFERROR(L1954-K1954,"")</f>
        <v/>
      </c>
      <c r="N1954" s="13">
        <f>CHAIN_RAW!H1954</f>
        <v/>
      </c>
      <c r="O1954" s="13">
        <f>CHAIN_RAW!O1954</f>
        <v/>
      </c>
      <c r="P1954" s="13">
        <f>IFERROR(O1954/N1954,"")</f>
        <v/>
      </c>
      <c r="Q1954" s="13">
        <f>CHAIN_RAW!I1954</f>
        <v/>
      </c>
      <c r="R1954" s="13">
        <f>CHAIN_RAW!P1954</f>
        <v/>
      </c>
      <c r="S1954" s="13">
        <f>IFERROR(R1954/Q1954,"")</f>
        <v/>
      </c>
      <c r="T1954" s="13">
        <f>IFERROR((ABS(N1954-O1954)/MAX(1,(N1954+O1954)))*EXP(-ABS(E1954-CONTROL!E5)/MAX(1,CONTROL!B8)),"")</f>
        <v/>
      </c>
      <c r="U1954" s="13">
        <f>IFERROR(IF(O1954&gt;N1954,"SUPPORT (PE OI)","RESIST (CE OI)"),"")</f>
        <v/>
      </c>
      <c r="V1954" s="13">
        <f>IFERROR(IF(Q1954&gt;0,IF(R1954&gt;0,"BOTH_ADD","CE_ADD_PE_REDUCE"),IF(R1954&gt;0,"CE_REDUCE_PE_ADD","BOTH_REDUCE")),"")</f>
        <v/>
      </c>
      <c r="W1954" s="13">
        <f>IFERROR( (P1954-1)*0.5 + (M1954)*0.1 - (I1954+J1954)*0.05 + T1954*0.4 ,"")</f>
        <v/>
      </c>
      <c r="X1954" s="13">
        <f>IFERROR(IF(ABS(F1954)&lt;0.01,"ATM/NEAR",""),"")</f>
        <v/>
      </c>
    </row>
    <row r="1955">
      <c r="A1955" s="13">
        <f>CHAIN_RAW!A1955</f>
        <v/>
      </c>
      <c r="B1955" s="14">
        <f>CHAIN_RAW!B1955</f>
        <v/>
      </c>
      <c r="C1955" s="13">
        <f>CHAIN_RAW!C1955</f>
        <v/>
      </c>
      <c r="D1955" s="13">
        <f>CHAIN_RAW!D1955</f>
        <v/>
      </c>
      <c r="E1955" s="13">
        <f>CHAIN_RAW!E1955</f>
        <v/>
      </c>
      <c r="F1955" s="13">
        <f>IFERROR((E1955-D1955)/D1955,"")</f>
        <v/>
      </c>
      <c r="G1955" s="13">
        <f>IFERROR((CHAIN_RAW!K1955+CHAIN_RAW!L1955)/2,"")</f>
        <v/>
      </c>
      <c r="H1955" s="13">
        <f>IFERROR((CHAIN_RAW!R1955+CHAIN_RAW!S1955)/2,"")</f>
        <v/>
      </c>
      <c r="I1955" s="13">
        <f>IFERROR((CHAIN_RAW!L1955-CHAIN_RAW!K1955)/MAX(1E-9, G1955),"")</f>
        <v/>
      </c>
      <c r="J1955" s="13">
        <f>IFERROR((CHAIN_RAW!S1955-CHAIN_RAW!R1955)/MAX(1E-9, H1955),"")</f>
        <v/>
      </c>
      <c r="K1955" s="13">
        <f>CHAIN_RAW!G1955</f>
        <v/>
      </c>
      <c r="L1955" s="13">
        <f>CHAIN_RAW!N1955</f>
        <v/>
      </c>
      <c r="M1955" s="13">
        <f>IFERROR(L1955-K1955,"")</f>
        <v/>
      </c>
      <c r="N1955" s="13">
        <f>CHAIN_RAW!H1955</f>
        <v/>
      </c>
      <c r="O1955" s="13">
        <f>CHAIN_RAW!O1955</f>
        <v/>
      </c>
      <c r="P1955" s="13">
        <f>IFERROR(O1955/N1955,"")</f>
        <v/>
      </c>
      <c r="Q1955" s="13">
        <f>CHAIN_RAW!I1955</f>
        <v/>
      </c>
      <c r="R1955" s="13">
        <f>CHAIN_RAW!P1955</f>
        <v/>
      </c>
      <c r="S1955" s="13">
        <f>IFERROR(R1955/Q1955,"")</f>
        <v/>
      </c>
      <c r="T1955" s="13">
        <f>IFERROR((ABS(N1955-O1955)/MAX(1,(N1955+O1955)))*EXP(-ABS(E1955-CONTROL!E5)/MAX(1,CONTROL!B8)),"")</f>
        <v/>
      </c>
      <c r="U1955" s="13">
        <f>IFERROR(IF(O1955&gt;N1955,"SUPPORT (PE OI)","RESIST (CE OI)"),"")</f>
        <v/>
      </c>
      <c r="V1955" s="13">
        <f>IFERROR(IF(Q1955&gt;0,IF(R1955&gt;0,"BOTH_ADD","CE_ADD_PE_REDUCE"),IF(R1955&gt;0,"CE_REDUCE_PE_ADD","BOTH_REDUCE")),"")</f>
        <v/>
      </c>
      <c r="W1955" s="13">
        <f>IFERROR( (P1955-1)*0.5 + (M1955)*0.1 - (I1955+J1955)*0.05 + T1955*0.4 ,"")</f>
        <v/>
      </c>
      <c r="X1955" s="13">
        <f>IFERROR(IF(ABS(F1955)&lt;0.01,"ATM/NEAR",""),"")</f>
        <v/>
      </c>
    </row>
    <row r="1956">
      <c r="A1956" s="13">
        <f>CHAIN_RAW!A1956</f>
        <v/>
      </c>
      <c r="B1956" s="14">
        <f>CHAIN_RAW!B1956</f>
        <v/>
      </c>
      <c r="C1956" s="13">
        <f>CHAIN_RAW!C1956</f>
        <v/>
      </c>
      <c r="D1956" s="13">
        <f>CHAIN_RAW!D1956</f>
        <v/>
      </c>
      <c r="E1956" s="13">
        <f>CHAIN_RAW!E1956</f>
        <v/>
      </c>
      <c r="F1956" s="13">
        <f>IFERROR((E1956-D1956)/D1956,"")</f>
        <v/>
      </c>
      <c r="G1956" s="13">
        <f>IFERROR((CHAIN_RAW!K1956+CHAIN_RAW!L1956)/2,"")</f>
        <v/>
      </c>
      <c r="H1956" s="13">
        <f>IFERROR((CHAIN_RAW!R1956+CHAIN_RAW!S1956)/2,"")</f>
        <v/>
      </c>
      <c r="I1956" s="13">
        <f>IFERROR((CHAIN_RAW!L1956-CHAIN_RAW!K1956)/MAX(1E-9, G1956),"")</f>
        <v/>
      </c>
      <c r="J1956" s="13">
        <f>IFERROR((CHAIN_RAW!S1956-CHAIN_RAW!R1956)/MAX(1E-9, H1956),"")</f>
        <v/>
      </c>
      <c r="K1956" s="13">
        <f>CHAIN_RAW!G1956</f>
        <v/>
      </c>
      <c r="L1956" s="13">
        <f>CHAIN_RAW!N1956</f>
        <v/>
      </c>
      <c r="M1956" s="13">
        <f>IFERROR(L1956-K1956,"")</f>
        <v/>
      </c>
      <c r="N1956" s="13">
        <f>CHAIN_RAW!H1956</f>
        <v/>
      </c>
      <c r="O1956" s="13">
        <f>CHAIN_RAW!O1956</f>
        <v/>
      </c>
      <c r="P1956" s="13">
        <f>IFERROR(O1956/N1956,"")</f>
        <v/>
      </c>
      <c r="Q1956" s="13">
        <f>CHAIN_RAW!I1956</f>
        <v/>
      </c>
      <c r="R1956" s="13">
        <f>CHAIN_RAW!P1956</f>
        <v/>
      </c>
      <c r="S1956" s="13">
        <f>IFERROR(R1956/Q1956,"")</f>
        <v/>
      </c>
      <c r="T1956" s="13">
        <f>IFERROR((ABS(N1956-O1956)/MAX(1,(N1956+O1956)))*EXP(-ABS(E1956-CONTROL!E5)/MAX(1,CONTROL!B8)),"")</f>
        <v/>
      </c>
      <c r="U1956" s="13">
        <f>IFERROR(IF(O1956&gt;N1956,"SUPPORT (PE OI)","RESIST (CE OI)"),"")</f>
        <v/>
      </c>
      <c r="V1956" s="13">
        <f>IFERROR(IF(Q1956&gt;0,IF(R1956&gt;0,"BOTH_ADD","CE_ADD_PE_REDUCE"),IF(R1956&gt;0,"CE_REDUCE_PE_ADD","BOTH_REDUCE")),"")</f>
        <v/>
      </c>
      <c r="W1956" s="13">
        <f>IFERROR( (P1956-1)*0.5 + (M1956)*0.1 - (I1956+J1956)*0.05 + T1956*0.4 ,"")</f>
        <v/>
      </c>
      <c r="X1956" s="13">
        <f>IFERROR(IF(ABS(F1956)&lt;0.01,"ATM/NEAR",""),"")</f>
        <v/>
      </c>
    </row>
    <row r="1957">
      <c r="A1957" s="13">
        <f>CHAIN_RAW!A1957</f>
        <v/>
      </c>
      <c r="B1957" s="14">
        <f>CHAIN_RAW!B1957</f>
        <v/>
      </c>
      <c r="C1957" s="13">
        <f>CHAIN_RAW!C1957</f>
        <v/>
      </c>
      <c r="D1957" s="13">
        <f>CHAIN_RAW!D1957</f>
        <v/>
      </c>
      <c r="E1957" s="13">
        <f>CHAIN_RAW!E1957</f>
        <v/>
      </c>
      <c r="F1957" s="13">
        <f>IFERROR((E1957-D1957)/D1957,"")</f>
        <v/>
      </c>
      <c r="G1957" s="13">
        <f>IFERROR((CHAIN_RAW!K1957+CHAIN_RAW!L1957)/2,"")</f>
        <v/>
      </c>
      <c r="H1957" s="13">
        <f>IFERROR((CHAIN_RAW!R1957+CHAIN_RAW!S1957)/2,"")</f>
        <v/>
      </c>
      <c r="I1957" s="13">
        <f>IFERROR((CHAIN_RAW!L1957-CHAIN_RAW!K1957)/MAX(1E-9, G1957),"")</f>
        <v/>
      </c>
      <c r="J1957" s="13">
        <f>IFERROR((CHAIN_RAW!S1957-CHAIN_RAW!R1957)/MAX(1E-9, H1957),"")</f>
        <v/>
      </c>
      <c r="K1957" s="13">
        <f>CHAIN_RAW!G1957</f>
        <v/>
      </c>
      <c r="L1957" s="13">
        <f>CHAIN_RAW!N1957</f>
        <v/>
      </c>
      <c r="M1957" s="13">
        <f>IFERROR(L1957-K1957,"")</f>
        <v/>
      </c>
      <c r="N1957" s="13">
        <f>CHAIN_RAW!H1957</f>
        <v/>
      </c>
      <c r="O1957" s="13">
        <f>CHAIN_RAW!O1957</f>
        <v/>
      </c>
      <c r="P1957" s="13">
        <f>IFERROR(O1957/N1957,"")</f>
        <v/>
      </c>
      <c r="Q1957" s="13">
        <f>CHAIN_RAW!I1957</f>
        <v/>
      </c>
      <c r="R1957" s="13">
        <f>CHAIN_RAW!P1957</f>
        <v/>
      </c>
      <c r="S1957" s="13">
        <f>IFERROR(R1957/Q1957,"")</f>
        <v/>
      </c>
      <c r="T1957" s="13">
        <f>IFERROR((ABS(N1957-O1957)/MAX(1,(N1957+O1957)))*EXP(-ABS(E1957-CONTROL!E5)/MAX(1,CONTROL!B8)),"")</f>
        <v/>
      </c>
      <c r="U1957" s="13">
        <f>IFERROR(IF(O1957&gt;N1957,"SUPPORT (PE OI)","RESIST (CE OI)"),"")</f>
        <v/>
      </c>
      <c r="V1957" s="13">
        <f>IFERROR(IF(Q1957&gt;0,IF(R1957&gt;0,"BOTH_ADD","CE_ADD_PE_REDUCE"),IF(R1957&gt;0,"CE_REDUCE_PE_ADD","BOTH_REDUCE")),"")</f>
        <v/>
      </c>
      <c r="W1957" s="13">
        <f>IFERROR( (P1957-1)*0.5 + (M1957)*0.1 - (I1957+J1957)*0.05 + T1957*0.4 ,"")</f>
        <v/>
      </c>
      <c r="X1957" s="13">
        <f>IFERROR(IF(ABS(F1957)&lt;0.01,"ATM/NEAR",""),"")</f>
        <v/>
      </c>
    </row>
    <row r="1958">
      <c r="A1958" s="13">
        <f>CHAIN_RAW!A1958</f>
        <v/>
      </c>
      <c r="B1958" s="14">
        <f>CHAIN_RAW!B1958</f>
        <v/>
      </c>
      <c r="C1958" s="13">
        <f>CHAIN_RAW!C1958</f>
        <v/>
      </c>
      <c r="D1958" s="13">
        <f>CHAIN_RAW!D1958</f>
        <v/>
      </c>
      <c r="E1958" s="13">
        <f>CHAIN_RAW!E1958</f>
        <v/>
      </c>
      <c r="F1958" s="13">
        <f>IFERROR((E1958-D1958)/D1958,"")</f>
        <v/>
      </c>
      <c r="G1958" s="13">
        <f>IFERROR((CHAIN_RAW!K1958+CHAIN_RAW!L1958)/2,"")</f>
        <v/>
      </c>
      <c r="H1958" s="13">
        <f>IFERROR((CHAIN_RAW!R1958+CHAIN_RAW!S1958)/2,"")</f>
        <v/>
      </c>
      <c r="I1958" s="13">
        <f>IFERROR((CHAIN_RAW!L1958-CHAIN_RAW!K1958)/MAX(1E-9, G1958),"")</f>
        <v/>
      </c>
      <c r="J1958" s="13">
        <f>IFERROR((CHAIN_RAW!S1958-CHAIN_RAW!R1958)/MAX(1E-9, H1958),"")</f>
        <v/>
      </c>
      <c r="K1958" s="13">
        <f>CHAIN_RAW!G1958</f>
        <v/>
      </c>
      <c r="L1958" s="13">
        <f>CHAIN_RAW!N1958</f>
        <v/>
      </c>
      <c r="M1958" s="13">
        <f>IFERROR(L1958-K1958,"")</f>
        <v/>
      </c>
      <c r="N1958" s="13">
        <f>CHAIN_RAW!H1958</f>
        <v/>
      </c>
      <c r="O1958" s="13">
        <f>CHAIN_RAW!O1958</f>
        <v/>
      </c>
      <c r="P1958" s="13">
        <f>IFERROR(O1958/N1958,"")</f>
        <v/>
      </c>
      <c r="Q1958" s="13">
        <f>CHAIN_RAW!I1958</f>
        <v/>
      </c>
      <c r="R1958" s="13">
        <f>CHAIN_RAW!P1958</f>
        <v/>
      </c>
      <c r="S1958" s="13">
        <f>IFERROR(R1958/Q1958,"")</f>
        <v/>
      </c>
      <c r="T1958" s="13">
        <f>IFERROR((ABS(N1958-O1958)/MAX(1,(N1958+O1958)))*EXP(-ABS(E1958-CONTROL!E5)/MAX(1,CONTROL!B8)),"")</f>
        <v/>
      </c>
      <c r="U1958" s="13">
        <f>IFERROR(IF(O1958&gt;N1958,"SUPPORT (PE OI)","RESIST (CE OI)"),"")</f>
        <v/>
      </c>
      <c r="V1958" s="13">
        <f>IFERROR(IF(Q1958&gt;0,IF(R1958&gt;0,"BOTH_ADD","CE_ADD_PE_REDUCE"),IF(R1958&gt;0,"CE_REDUCE_PE_ADD","BOTH_REDUCE")),"")</f>
        <v/>
      </c>
      <c r="W1958" s="13">
        <f>IFERROR( (P1958-1)*0.5 + (M1958)*0.1 - (I1958+J1958)*0.05 + T1958*0.4 ,"")</f>
        <v/>
      </c>
      <c r="X1958" s="13">
        <f>IFERROR(IF(ABS(F1958)&lt;0.01,"ATM/NEAR",""),"")</f>
        <v/>
      </c>
    </row>
    <row r="1959">
      <c r="A1959" s="13">
        <f>CHAIN_RAW!A1959</f>
        <v/>
      </c>
      <c r="B1959" s="14">
        <f>CHAIN_RAW!B1959</f>
        <v/>
      </c>
      <c r="C1959" s="13">
        <f>CHAIN_RAW!C1959</f>
        <v/>
      </c>
      <c r="D1959" s="13">
        <f>CHAIN_RAW!D1959</f>
        <v/>
      </c>
      <c r="E1959" s="13">
        <f>CHAIN_RAW!E1959</f>
        <v/>
      </c>
      <c r="F1959" s="13">
        <f>IFERROR((E1959-D1959)/D1959,"")</f>
        <v/>
      </c>
      <c r="G1959" s="13">
        <f>IFERROR((CHAIN_RAW!K1959+CHAIN_RAW!L1959)/2,"")</f>
        <v/>
      </c>
      <c r="H1959" s="13">
        <f>IFERROR((CHAIN_RAW!R1959+CHAIN_RAW!S1959)/2,"")</f>
        <v/>
      </c>
      <c r="I1959" s="13">
        <f>IFERROR((CHAIN_RAW!L1959-CHAIN_RAW!K1959)/MAX(1E-9, G1959),"")</f>
        <v/>
      </c>
      <c r="J1959" s="13">
        <f>IFERROR((CHAIN_RAW!S1959-CHAIN_RAW!R1959)/MAX(1E-9, H1959),"")</f>
        <v/>
      </c>
      <c r="K1959" s="13">
        <f>CHAIN_RAW!G1959</f>
        <v/>
      </c>
      <c r="L1959" s="13">
        <f>CHAIN_RAW!N1959</f>
        <v/>
      </c>
      <c r="M1959" s="13">
        <f>IFERROR(L1959-K1959,"")</f>
        <v/>
      </c>
      <c r="N1959" s="13">
        <f>CHAIN_RAW!H1959</f>
        <v/>
      </c>
      <c r="O1959" s="13">
        <f>CHAIN_RAW!O1959</f>
        <v/>
      </c>
      <c r="P1959" s="13">
        <f>IFERROR(O1959/N1959,"")</f>
        <v/>
      </c>
      <c r="Q1959" s="13">
        <f>CHAIN_RAW!I1959</f>
        <v/>
      </c>
      <c r="R1959" s="13">
        <f>CHAIN_RAW!P1959</f>
        <v/>
      </c>
      <c r="S1959" s="13">
        <f>IFERROR(R1959/Q1959,"")</f>
        <v/>
      </c>
      <c r="T1959" s="13">
        <f>IFERROR((ABS(N1959-O1959)/MAX(1,(N1959+O1959)))*EXP(-ABS(E1959-CONTROL!E5)/MAX(1,CONTROL!B8)),"")</f>
        <v/>
      </c>
      <c r="U1959" s="13">
        <f>IFERROR(IF(O1959&gt;N1959,"SUPPORT (PE OI)","RESIST (CE OI)"),"")</f>
        <v/>
      </c>
      <c r="V1959" s="13">
        <f>IFERROR(IF(Q1959&gt;0,IF(R1959&gt;0,"BOTH_ADD","CE_ADD_PE_REDUCE"),IF(R1959&gt;0,"CE_REDUCE_PE_ADD","BOTH_REDUCE")),"")</f>
        <v/>
      </c>
      <c r="W1959" s="13">
        <f>IFERROR( (P1959-1)*0.5 + (M1959)*0.1 - (I1959+J1959)*0.05 + T1959*0.4 ,"")</f>
        <v/>
      </c>
      <c r="X1959" s="13">
        <f>IFERROR(IF(ABS(F1959)&lt;0.01,"ATM/NEAR",""),"")</f>
        <v/>
      </c>
    </row>
    <row r="1960">
      <c r="A1960" s="13">
        <f>CHAIN_RAW!A1960</f>
        <v/>
      </c>
      <c r="B1960" s="14">
        <f>CHAIN_RAW!B1960</f>
        <v/>
      </c>
      <c r="C1960" s="13">
        <f>CHAIN_RAW!C1960</f>
        <v/>
      </c>
      <c r="D1960" s="13">
        <f>CHAIN_RAW!D1960</f>
        <v/>
      </c>
      <c r="E1960" s="13">
        <f>CHAIN_RAW!E1960</f>
        <v/>
      </c>
      <c r="F1960" s="13">
        <f>IFERROR((E1960-D1960)/D1960,"")</f>
        <v/>
      </c>
      <c r="G1960" s="13">
        <f>IFERROR((CHAIN_RAW!K1960+CHAIN_RAW!L1960)/2,"")</f>
        <v/>
      </c>
      <c r="H1960" s="13">
        <f>IFERROR((CHAIN_RAW!R1960+CHAIN_RAW!S1960)/2,"")</f>
        <v/>
      </c>
      <c r="I1960" s="13">
        <f>IFERROR((CHAIN_RAW!L1960-CHAIN_RAW!K1960)/MAX(1E-9, G1960),"")</f>
        <v/>
      </c>
      <c r="J1960" s="13">
        <f>IFERROR((CHAIN_RAW!S1960-CHAIN_RAW!R1960)/MAX(1E-9, H1960),"")</f>
        <v/>
      </c>
      <c r="K1960" s="13">
        <f>CHAIN_RAW!G1960</f>
        <v/>
      </c>
      <c r="L1960" s="13">
        <f>CHAIN_RAW!N1960</f>
        <v/>
      </c>
      <c r="M1960" s="13">
        <f>IFERROR(L1960-K1960,"")</f>
        <v/>
      </c>
      <c r="N1960" s="13">
        <f>CHAIN_RAW!H1960</f>
        <v/>
      </c>
      <c r="O1960" s="13">
        <f>CHAIN_RAW!O1960</f>
        <v/>
      </c>
      <c r="P1960" s="13">
        <f>IFERROR(O1960/N1960,"")</f>
        <v/>
      </c>
      <c r="Q1960" s="13">
        <f>CHAIN_RAW!I1960</f>
        <v/>
      </c>
      <c r="R1960" s="13">
        <f>CHAIN_RAW!P1960</f>
        <v/>
      </c>
      <c r="S1960" s="13">
        <f>IFERROR(R1960/Q1960,"")</f>
        <v/>
      </c>
      <c r="T1960" s="13">
        <f>IFERROR((ABS(N1960-O1960)/MAX(1,(N1960+O1960)))*EXP(-ABS(E1960-CONTROL!E5)/MAX(1,CONTROL!B8)),"")</f>
        <v/>
      </c>
      <c r="U1960" s="13">
        <f>IFERROR(IF(O1960&gt;N1960,"SUPPORT (PE OI)","RESIST (CE OI)"),"")</f>
        <v/>
      </c>
      <c r="V1960" s="13">
        <f>IFERROR(IF(Q1960&gt;0,IF(R1960&gt;0,"BOTH_ADD","CE_ADD_PE_REDUCE"),IF(R1960&gt;0,"CE_REDUCE_PE_ADD","BOTH_REDUCE")),"")</f>
        <v/>
      </c>
      <c r="W1960" s="13">
        <f>IFERROR( (P1960-1)*0.5 + (M1960)*0.1 - (I1960+J1960)*0.05 + T1960*0.4 ,"")</f>
        <v/>
      </c>
      <c r="X1960" s="13">
        <f>IFERROR(IF(ABS(F1960)&lt;0.01,"ATM/NEAR",""),"")</f>
        <v/>
      </c>
    </row>
    <row r="1961">
      <c r="A1961" s="13">
        <f>CHAIN_RAW!A1961</f>
        <v/>
      </c>
      <c r="B1961" s="14">
        <f>CHAIN_RAW!B1961</f>
        <v/>
      </c>
      <c r="C1961" s="13">
        <f>CHAIN_RAW!C1961</f>
        <v/>
      </c>
      <c r="D1961" s="13">
        <f>CHAIN_RAW!D1961</f>
        <v/>
      </c>
      <c r="E1961" s="13">
        <f>CHAIN_RAW!E1961</f>
        <v/>
      </c>
      <c r="F1961" s="13">
        <f>IFERROR((E1961-D1961)/D1961,"")</f>
        <v/>
      </c>
      <c r="G1961" s="13">
        <f>IFERROR((CHAIN_RAW!K1961+CHAIN_RAW!L1961)/2,"")</f>
        <v/>
      </c>
      <c r="H1961" s="13">
        <f>IFERROR((CHAIN_RAW!R1961+CHAIN_RAW!S1961)/2,"")</f>
        <v/>
      </c>
      <c r="I1961" s="13">
        <f>IFERROR((CHAIN_RAW!L1961-CHAIN_RAW!K1961)/MAX(1E-9, G1961),"")</f>
        <v/>
      </c>
      <c r="J1961" s="13">
        <f>IFERROR((CHAIN_RAW!S1961-CHAIN_RAW!R1961)/MAX(1E-9, H1961),"")</f>
        <v/>
      </c>
      <c r="K1961" s="13">
        <f>CHAIN_RAW!G1961</f>
        <v/>
      </c>
      <c r="L1961" s="13">
        <f>CHAIN_RAW!N1961</f>
        <v/>
      </c>
      <c r="M1961" s="13">
        <f>IFERROR(L1961-K1961,"")</f>
        <v/>
      </c>
      <c r="N1961" s="13">
        <f>CHAIN_RAW!H1961</f>
        <v/>
      </c>
      <c r="O1961" s="13">
        <f>CHAIN_RAW!O1961</f>
        <v/>
      </c>
      <c r="P1961" s="13">
        <f>IFERROR(O1961/N1961,"")</f>
        <v/>
      </c>
      <c r="Q1961" s="13">
        <f>CHAIN_RAW!I1961</f>
        <v/>
      </c>
      <c r="R1961" s="13">
        <f>CHAIN_RAW!P1961</f>
        <v/>
      </c>
      <c r="S1961" s="13">
        <f>IFERROR(R1961/Q1961,"")</f>
        <v/>
      </c>
      <c r="T1961" s="13">
        <f>IFERROR((ABS(N1961-O1961)/MAX(1,(N1961+O1961)))*EXP(-ABS(E1961-CONTROL!E5)/MAX(1,CONTROL!B8)),"")</f>
        <v/>
      </c>
      <c r="U1961" s="13">
        <f>IFERROR(IF(O1961&gt;N1961,"SUPPORT (PE OI)","RESIST (CE OI)"),"")</f>
        <v/>
      </c>
      <c r="V1961" s="13">
        <f>IFERROR(IF(Q1961&gt;0,IF(R1961&gt;0,"BOTH_ADD","CE_ADD_PE_REDUCE"),IF(R1961&gt;0,"CE_REDUCE_PE_ADD","BOTH_REDUCE")),"")</f>
        <v/>
      </c>
      <c r="W1961" s="13">
        <f>IFERROR( (P1961-1)*0.5 + (M1961)*0.1 - (I1961+J1961)*0.05 + T1961*0.4 ,"")</f>
        <v/>
      </c>
      <c r="X1961" s="13">
        <f>IFERROR(IF(ABS(F1961)&lt;0.01,"ATM/NEAR",""),"")</f>
        <v/>
      </c>
    </row>
    <row r="1962">
      <c r="A1962" s="13">
        <f>CHAIN_RAW!A1962</f>
        <v/>
      </c>
      <c r="B1962" s="14">
        <f>CHAIN_RAW!B1962</f>
        <v/>
      </c>
      <c r="C1962" s="13">
        <f>CHAIN_RAW!C1962</f>
        <v/>
      </c>
      <c r="D1962" s="13">
        <f>CHAIN_RAW!D1962</f>
        <v/>
      </c>
      <c r="E1962" s="13">
        <f>CHAIN_RAW!E1962</f>
        <v/>
      </c>
      <c r="F1962" s="13">
        <f>IFERROR((E1962-D1962)/D1962,"")</f>
        <v/>
      </c>
      <c r="G1962" s="13">
        <f>IFERROR((CHAIN_RAW!K1962+CHAIN_RAW!L1962)/2,"")</f>
        <v/>
      </c>
      <c r="H1962" s="13">
        <f>IFERROR((CHAIN_RAW!R1962+CHAIN_RAW!S1962)/2,"")</f>
        <v/>
      </c>
      <c r="I1962" s="13">
        <f>IFERROR((CHAIN_RAW!L1962-CHAIN_RAW!K1962)/MAX(1E-9, G1962),"")</f>
        <v/>
      </c>
      <c r="J1962" s="13">
        <f>IFERROR((CHAIN_RAW!S1962-CHAIN_RAW!R1962)/MAX(1E-9, H1962),"")</f>
        <v/>
      </c>
      <c r="K1962" s="13">
        <f>CHAIN_RAW!G1962</f>
        <v/>
      </c>
      <c r="L1962" s="13">
        <f>CHAIN_RAW!N1962</f>
        <v/>
      </c>
      <c r="M1962" s="13">
        <f>IFERROR(L1962-K1962,"")</f>
        <v/>
      </c>
      <c r="N1962" s="13">
        <f>CHAIN_RAW!H1962</f>
        <v/>
      </c>
      <c r="O1962" s="13">
        <f>CHAIN_RAW!O1962</f>
        <v/>
      </c>
      <c r="P1962" s="13">
        <f>IFERROR(O1962/N1962,"")</f>
        <v/>
      </c>
      <c r="Q1962" s="13">
        <f>CHAIN_RAW!I1962</f>
        <v/>
      </c>
      <c r="R1962" s="13">
        <f>CHAIN_RAW!P1962</f>
        <v/>
      </c>
      <c r="S1962" s="13">
        <f>IFERROR(R1962/Q1962,"")</f>
        <v/>
      </c>
      <c r="T1962" s="13">
        <f>IFERROR((ABS(N1962-O1962)/MAX(1,(N1962+O1962)))*EXP(-ABS(E1962-CONTROL!E5)/MAX(1,CONTROL!B8)),"")</f>
        <v/>
      </c>
      <c r="U1962" s="13">
        <f>IFERROR(IF(O1962&gt;N1962,"SUPPORT (PE OI)","RESIST (CE OI)"),"")</f>
        <v/>
      </c>
      <c r="V1962" s="13">
        <f>IFERROR(IF(Q1962&gt;0,IF(R1962&gt;0,"BOTH_ADD","CE_ADD_PE_REDUCE"),IF(R1962&gt;0,"CE_REDUCE_PE_ADD","BOTH_REDUCE")),"")</f>
        <v/>
      </c>
      <c r="W1962" s="13">
        <f>IFERROR( (P1962-1)*0.5 + (M1962)*0.1 - (I1962+J1962)*0.05 + T1962*0.4 ,"")</f>
        <v/>
      </c>
      <c r="X1962" s="13">
        <f>IFERROR(IF(ABS(F1962)&lt;0.01,"ATM/NEAR",""),"")</f>
        <v/>
      </c>
    </row>
    <row r="1963">
      <c r="A1963" s="13">
        <f>CHAIN_RAW!A1963</f>
        <v/>
      </c>
      <c r="B1963" s="14">
        <f>CHAIN_RAW!B1963</f>
        <v/>
      </c>
      <c r="C1963" s="13">
        <f>CHAIN_RAW!C1963</f>
        <v/>
      </c>
      <c r="D1963" s="13">
        <f>CHAIN_RAW!D1963</f>
        <v/>
      </c>
      <c r="E1963" s="13">
        <f>CHAIN_RAW!E1963</f>
        <v/>
      </c>
      <c r="F1963" s="13">
        <f>IFERROR((E1963-D1963)/D1963,"")</f>
        <v/>
      </c>
      <c r="G1963" s="13">
        <f>IFERROR((CHAIN_RAW!K1963+CHAIN_RAW!L1963)/2,"")</f>
        <v/>
      </c>
      <c r="H1963" s="13">
        <f>IFERROR((CHAIN_RAW!R1963+CHAIN_RAW!S1963)/2,"")</f>
        <v/>
      </c>
      <c r="I1963" s="13">
        <f>IFERROR((CHAIN_RAW!L1963-CHAIN_RAW!K1963)/MAX(1E-9, G1963),"")</f>
        <v/>
      </c>
      <c r="J1963" s="13">
        <f>IFERROR((CHAIN_RAW!S1963-CHAIN_RAW!R1963)/MAX(1E-9, H1963),"")</f>
        <v/>
      </c>
      <c r="K1963" s="13">
        <f>CHAIN_RAW!G1963</f>
        <v/>
      </c>
      <c r="L1963" s="13">
        <f>CHAIN_RAW!N1963</f>
        <v/>
      </c>
      <c r="M1963" s="13">
        <f>IFERROR(L1963-K1963,"")</f>
        <v/>
      </c>
      <c r="N1963" s="13">
        <f>CHAIN_RAW!H1963</f>
        <v/>
      </c>
      <c r="O1963" s="13">
        <f>CHAIN_RAW!O1963</f>
        <v/>
      </c>
      <c r="P1963" s="13">
        <f>IFERROR(O1963/N1963,"")</f>
        <v/>
      </c>
      <c r="Q1963" s="13">
        <f>CHAIN_RAW!I1963</f>
        <v/>
      </c>
      <c r="R1963" s="13">
        <f>CHAIN_RAW!P1963</f>
        <v/>
      </c>
      <c r="S1963" s="13">
        <f>IFERROR(R1963/Q1963,"")</f>
        <v/>
      </c>
      <c r="T1963" s="13">
        <f>IFERROR((ABS(N1963-O1963)/MAX(1,(N1963+O1963)))*EXP(-ABS(E1963-CONTROL!E5)/MAX(1,CONTROL!B8)),"")</f>
        <v/>
      </c>
      <c r="U1963" s="13">
        <f>IFERROR(IF(O1963&gt;N1963,"SUPPORT (PE OI)","RESIST (CE OI)"),"")</f>
        <v/>
      </c>
      <c r="V1963" s="13">
        <f>IFERROR(IF(Q1963&gt;0,IF(R1963&gt;0,"BOTH_ADD","CE_ADD_PE_REDUCE"),IF(R1963&gt;0,"CE_REDUCE_PE_ADD","BOTH_REDUCE")),"")</f>
        <v/>
      </c>
      <c r="W1963" s="13">
        <f>IFERROR( (P1963-1)*0.5 + (M1963)*0.1 - (I1963+J1963)*0.05 + T1963*0.4 ,"")</f>
        <v/>
      </c>
      <c r="X1963" s="13">
        <f>IFERROR(IF(ABS(F1963)&lt;0.01,"ATM/NEAR",""),"")</f>
        <v/>
      </c>
    </row>
    <row r="1964">
      <c r="A1964" s="13">
        <f>CHAIN_RAW!A1964</f>
        <v/>
      </c>
      <c r="B1964" s="14">
        <f>CHAIN_RAW!B1964</f>
        <v/>
      </c>
      <c r="C1964" s="13">
        <f>CHAIN_RAW!C1964</f>
        <v/>
      </c>
      <c r="D1964" s="13">
        <f>CHAIN_RAW!D1964</f>
        <v/>
      </c>
      <c r="E1964" s="13">
        <f>CHAIN_RAW!E1964</f>
        <v/>
      </c>
      <c r="F1964" s="13">
        <f>IFERROR((E1964-D1964)/D1964,"")</f>
        <v/>
      </c>
      <c r="G1964" s="13">
        <f>IFERROR((CHAIN_RAW!K1964+CHAIN_RAW!L1964)/2,"")</f>
        <v/>
      </c>
      <c r="H1964" s="13">
        <f>IFERROR((CHAIN_RAW!R1964+CHAIN_RAW!S1964)/2,"")</f>
        <v/>
      </c>
      <c r="I1964" s="13">
        <f>IFERROR((CHAIN_RAW!L1964-CHAIN_RAW!K1964)/MAX(1E-9, G1964),"")</f>
        <v/>
      </c>
      <c r="J1964" s="13">
        <f>IFERROR((CHAIN_RAW!S1964-CHAIN_RAW!R1964)/MAX(1E-9, H1964),"")</f>
        <v/>
      </c>
      <c r="K1964" s="13">
        <f>CHAIN_RAW!G1964</f>
        <v/>
      </c>
      <c r="L1964" s="13">
        <f>CHAIN_RAW!N1964</f>
        <v/>
      </c>
      <c r="M1964" s="13">
        <f>IFERROR(L1964-K1964,"")</f>
        <v/>
      </c>
      <c r="N1964" s="13">
        <f>CHAIN_RAW!H1964</f>
        <v/>
      </c>
      <c r="O1964" s="13">
        <f>CHAIN_RAW!O1964</f>
        <v/>
      </c>
      <c r="P1964" s="13">
        <f>IFERROR(O1964/N1964,"")</f>
        <v/>
      </c>
      <c r="Q1964" s="13">
        <f>CHAIN_RAW!I1964</f>
        <v/>
      </c>
      <c r="R1964" s="13">
        <f>CHAIN_RAW!P1964</f>
        <v/>
      </c>
      <c r="S1964" s="13">
        <f>IFERROR(R1964/Q1964,"")</f>
        <v/>
      </c>
      <c r="T1964" s="13">
        <f>IFERROR((ABS(N1964-O1964)/MAX(1,(N1964+O1964)))*EXP(-ABS(E1964-CONTROL!E5)/MAX(1,CONTROL!B8)),"")</f>
        <v/>
      </c>
      <c r="U1964" s="13">
        <f>IFERROR(IF(O1964&gt;N1964,"SUPPORT (PE OI)","RESIST (CE OI)"),"")</f>
        <v/>
      </c>
      <c r="V1964" s="13">
        <f>IFERROR(IF(Q1964&gt;0,IF(R1964&gt;0,"BOTH_ADD","CE_ADD_PE_REDUCE"),IF(R1964&gt;0,"CE_REDUCE_PE_ADD","BOTH_REDUCE")),"")</f>
        <v/>
      </c>
      <c r="W1964" s="13">
        <f>IFERROR( (P1964-1)*0.5 + (M1964)*0.1 - (I1964+J1964)*0.05 + T1964*0.4 ,"")</f>
        <v/>
      </c>
      <c r="X1964" s="13">
        <f>IFERROR(IF(ABS(F1964)&lt;0.01,"ATM/NEAR",""),"")</f>
        <v/>
      </c>
    </row>
    <row r="1965">
      <c r="A1965" s="13">
        <f>CHAIN_RAW!A1965</f>
        <v/>
      </c>
      <c r="B1965" s="14">
        <f>CHAIN_RAW!B1965</f>
        <v/>
      </c>
      <c r="C1965" s="13">
        <f>CHAIN_RAW!C1965</f>
        <v/>
      </c>
      <c r="D1965" s="13">
        <f>CHAIN_RAW!D1965</f>
        <v/>
      </c>
      <c r="E1965" s="13">
        <f>CHAIN_RAW!E1965</f>
        <v/>
      </c>
      <c r="F1965" s="13">
        <f>IFERROR((E1965-D1965)/D1965,"")</f>
        <v/>
      </c>
      <c r="G1965" s="13">
        <f>IFERROR((CHAIN_RAW!K1965+CHAIN_RAW!L1965)/2,"")</f>
        <v/>
      </c>
      <c r="H1965" s="13">
        <f>IFERROR((CHAIN_RAW!R1965+CHAIN_RAW!S1965)/2,"")</f>
        <v/>
      </c>
      <c r="I1965" s="13">
        <f>IFERROR((CHAIN_RAW!L1965-CHAIN_RAW!K1965)/MAX(1E-9, G1965),"")</f>
        <v/>
      </c>
      <c r="J1965" s="13">
        <f>IFERROR((CHAIN_RAW!S1965-CHAIN_RAW!R1965)/MAX(1E-9, H1965),"")</f>
        <v/>
      </c>
      <c r="K1965" s="13">
        <f>CHAIN_RAW!G1965</f>
        <v/>
      </c>
      <c r="L1965" s="13">
        <f>CHAIN_RAW!N1965</f>
        <v/>
      </c>
      <c r="M1965" s="13">
        <f>IFERROR(L1965-K1965,"")</f>
        <v/>
      </c>
      <c r="N1965" s="13">
        <f>CHAIN_RAW!H1965</f>
        <v/>
      </c>
      <c r="O1965" s="13">
        <f>CHAIN_RAW!O1965</f>
        <v/>
      </c>
      <c r="P1965" s="13">
        <f>IFERROR(O1965/N1965,"")</f>
        <v/>
      </c>
      <c r="Q1965" s="13">
        <f>CHAIN_RAW!I1965</f>
        <v/>
      </c>
      <c r="R1965" s="13">
        <f>CHAIN_RAW!P1965</f>
        <v/>
      </c>
      <c r="S1965" s="13">
        <f>IFERROR(R1965/Q1965,"")</f>
        <v/>
      </c>
      <c r="T1965" s="13">
        <f>IFERROR((ABS(N1965-O1965)/MAX(1,(N1965+O1965)))*EXP(-ABS(E1965-CONTROL!E5)/MAX(1,CONTROL!B8)),"")</f>
        <v/>
      </c>
      <c r="U1965" s="13">
        <f>IFERROR(IF(O1965&gt;N1965,"SUPPORT (PE OI)","RESIST (CE OI)"),"")</f>
        <v/>
      </c>
      <c r="V1965" s="13">
        <f>IFERROR(IF(Q1965&gt;0,IF(R1965&gt;0,"BOTH_ADD","CE_ADD_PE_REDUCE"),IF(R1965&gt;0,"CE_REDUCE_PE_ADD","BOTH_REDUCE")),"")</f>
        <v/>
      </c>
      <c r="W1965" s="13">
        <f>IFERROR( (P1965-1)*0.5 + (M1965)*0.1 - (I1965+J1965)*0.05 + T1965*0.4 ,"")</f>
        <v/>
      </c>
      <c r="X1965" s="13">
        <f>IFERROR(IF(ABS(F1965)&lt;0.01,"ATM/NEAR",""),"")</f>
        <v/>
      </c>
    </row>
    <row r="1966">
      <c r="A1966" s="13">
        <f>CHAIN_RAW!A1966</f>
        <v/>
      </c>
      <c r="B1966" s="14">
        <f>CHAIN_RAW!B1966</f>
        <v/>
      </c>
      <c r="C1966" s="13">
        <f>CHAIN_RAW!C1966</f>
        <v/>
      </c>
      <c r="D1966" s="13">
        <f>CHAIN_RAW!D1966</f>
        <v/>
      </c>
      <c r="E1966" s="13">
        <f>CHAIN_RAW!E1966</f>
        <v/>
      </c>
      <c r="F1966" s="13">
        <f>IFERROR((E1966-D1966)/D1966,"")</f>
        <v/>
      </c>
      <c r="G1966" s="13">
        <f>IFERROR((CHAIN_RAW!K1966+CHAIN_RAW!L1966)/2,"")</f>
        <v/>
      </c>
      <c r="H1966" s="13">
        <f>IFERROR((CHAIN_RAW!R1966+CHAIN_RAW!S1966)/2,"")</f>
        <v/>
      </c>
      <c r="I1966" s="13">
        <f>IFERROR((CHAIN_RAW!L1966-CHAIN_RAW!K1966)/MAX(1E-9, G1966),"")</f>
        <v/>
      </c>
      <c r="J1966" s="13">
        <f>IFERROR((CHAIN_RAW!S1966-CHAIN_RAW!R1966)/MAX(1E-9, H1966),"")</f>
        <v/>
      </c>
      <c r="K1966" s="13">
        <f>CHAIN_RAW!G1966</f>
        <v/>
      </c>
      <c r="L1966" s="13">
        <f>CHAIN_RAW!N1966</f>
        <v/>
      </c>
      <c r="M1966" s="13">
        <f>IFERROR(L1966-K1966,"")</f>
        <v/>
      </c>
      <c r="N1966" s="13">
        <f>CHAIN_RAW!H1966</f>
        <v/>
      </c>
      <c r="O1966" s="13">
        <f>CHAIN_RAW!O1966</f>
        <v/>
      </c>
      <c r="P1966" s="13">
        <f>IFERROR(O1966/N1966,"")</f>
        <v/>
      </c>
      <c r="Q1966" s="13">
        <f>CHAIN_RAW!I1966</f>
        <v/>
      </c>
      <c r="R1966" s="13">
        <f>CHAIN_RAW!P1966</f>
        <v/>
      </c>
      <c r="S1966" s="13">
        <f>IFERROR(R1966/Q1966,"")</f>
        <v/>
      </c>
      <c r="T1966" s="13">
        <f>IFERROR((ABS(N1966-O1966)/MAX(1,(N1966+O1966)))*EXP(-ABS(E1966-CONTROL!E5)/MAX(1,CONTROL!B8)),"")</f>
        <v/>
      </c>
      <c r="U1966" s="13">
        <f>IFERROR(IF(O1966&gt;N1966,"SUPPORT (PE OI)","RESIST (CE OI)"),"")</f>
        <v/>
      </c>
      <c r="V1966" s="13">
        <f>IFERROR(IF(Q1966&gt;0,IF(R1966&gt;0,"BOTH_ADD","CE_ADD_PE_REDUCE"),IF(R1966&gt;0,"CE_REDUCE_PE_ADD","BOTH_REDUCE")),"")</f>
        <v/>
      </c>
      <c r="W1966" s="13">
        <f>IFERROR( (P1966-1)*0.5 + (M1966)*0.1 - (I1966+J1966)*0.05 + T1966*0.4 ,"")</f>
        <v/>
      </c>
      <c r="X1966" s="13">
        <f>IFERROR(IF(ABS(F1966)&lt;0.01,"ATM/NEAR",""),"")</f>
        <v/>
      </c>
    </row>
    <row r="1967">
      <c r="A1967" s="13">
        <f>CHAIN_RAW!A1967</f>
        <v/>
      </c>
      <c r="B1967" s="14">
        <f>CHAIN_RAW!B1967</f>
        <v/>
      </c>
      <c r="C1967" s="13">
        <f>CHAIN_RAW!C1967</f>
        <v/>
      </c>
      <c r="D1967" s="13">
        <f>CHAIN_RAW!D1967</f>
        <v/>
      </c>
      <c r="E1967" s="13">
        <f>CHAIN_RAW!E1967</f>
        <v/>
      </c>
      <c r="F1967" s="13">
        <f>IFERROR((E1967-D1967)/D1967,"")</f>
        <v/>
      </c>
      <c r="G1967" s="13">
        <f>IFERROR((CHAIN_RAW!K1967+CHAIN_RAW!L1967)/2,"")</f>
        <v/>
      </c>
      <c r="H1967" s="13">
        <f>IFERROR((CHAIN_RAW!R1967+CHAIN_RAW!S1967)/2,"")</f>
        <v/>
      </c>
      <c r="I1967" s="13">
        <f>IFERROR((CHAIN_RAW!L1967-CHAIN_RAW!K1967)/MAX(1E-9, G1967),"")</f>
        <v/>
      </c>
      <c r="J1967" s="13">
        <f>IFERROR((CHAIN_RAW!S1967-CHAIN_RAW!R1967)/MAX(1E-9, H1967),"")</f>
        <v/>
      </c>
      <c r="K1967" s="13">
        <f>CHAIN_RAW!G1967</f>
        <v/>
      </c>
      <c r="L1967" s="13">
        <f>CHAIN_RAW!N1967</f>
        <v/>
      </c>
      <c r="M1967" s="13">
        <f>IFERROR(L1967-K1967,"")</f>
        <v/>
      </c>
      <c r="N1967" s="13">
        <f>CHAIN_RAW!H1967</f>
        <v/>
      </c>
      <c r="O1967" s="13">
        <f>CHAIN_RAW!O1967</f>
        <v/>
      </c>
      <c r="P1967" s="13">
        <f>IFERROR(O1967/N1967,"")</f>
        <v/>
      </c>
      <c r="Q1967" s="13">
        <f>CHAIN_RAW!I1967</f>
        <v/>
      </c>
      <c r="R1967" s="13">
        <f>CHAIN_RAW!P1967</f>
        <v/>
      </c>
      <c r="S1967" s="13">
        <f>IFERROR(R1967/Q1967,"")</f>
        <v/>
      </c>
      <c r="T1967" s="13">
        <f>IFERROR((ABS(N1967-O1967)/MAX(1,(N1967+O1967)))*EXP(-ABS(E1967-CONTROL!E5)/MAX(1,CONTROL!B8)),"")</f>
        <v/>
      </c>
      <c r="U1967" s="13">
        <f>IFERROR(IF(O1967&gt;N1967,"SUPPORT (PE OI)","RESIST (CE OI)"),"")</f>
        <v/>
      </c>
      <c r="V1967" s="13">
        <f>IFERROR(IF(Q1967&gt;0,IF(R1967&gt;0,"BOTH_ADD","CE_ADD_PE_REDUCE"),IF(R1967&gt;0,"CE_REDUCE_PE_ADD","BOTH_REDUCE")),"")</f>
        <v/>
      </c>
      <c r="W1967" s="13">
        <f>IFERROR( (P1967-1)*0.5 + (M1967)*0.1 - (I1967+J1967)*0.05 + T1967*0.4 ,"")</f>
        <v/>
      </c>
      <c r="X1967" s="13">
        <f>IFERROR(IF(ABS(F1967)&lt;0.01,"ATM/NEAR",""),"")</f>
        <v/>
      </c>
    </row>
    <row r="1968">
      <c r="A1968" s="13">
        <f>CHAIN_RAW!A1968</f>
        <v/>
      </c>
      <c r="B1968" s="14">
        <f>CHAIN_RAW!B1968</f>
        <v/>
      </c>
      <c r="C1968" s="13">
        <f>CHAIN_RAW!C1968</f>
        <v/>
      </c>
      <c r="D1968" s="13">
        <f>CHAIN_RAW!D1968</f>
        <v/>
      </c>
      <c r="E1968" s="13">
        <f>CHAIN_RAW!E1968</f>
        <v/>
      </c>
      <c r="F1968" s="13">
        <f>IFERROR((E1968-D1968)/D1968,"")</f>
        <v/>
      </c>
      <c r="G1968" s="13">
        <f>IFERROR((CHAIN_RAW!K1968+CHAIN_RAW!L1968)/2,"")</f>
        <v/>
      </c>
      <c r="H1968" s="13">
        <f>IFERROR((CHAIN_RAW!R1968+CHAIN_RAW!S1968)/2,"")</f>
        <v/>
      </c>
      <c r="I1968" s="13">
        <f>IFERROR((CHAIN_RAW!L1968-CHAIN_RAW!K1968)/MAX(1E-9, G1968),"")</f>
        <v/>
      </c>
      <c r="J1968" s="13">
        <f>IFERROR((CHAIN_RAW!S1968-CHAIN_RAW!R1968)/MAX(1E-9, H1968),"")</f>
        <v/>
      </c>
      <c r="K1968" s="13">
        <f>CHAIN_RAW!G1968</f>
        <v/>
      </c>
      <c r="L1968" s="13">
        <f>CHAIN_RAW!N1968</f>
        <v/>
      </c>
      <c r="M1968" s="13">
        <f>IFERROR(L1968-K1968,"")</f>
        <v/>
      </c>
      <c r="N1968" s="13">
        <f>CHAIN_RAW!H1968</f>
        <v/>
      </c>
      <c r="O1968" s="13">
        <f>CHAIN_RAW!O1968</f>
        <v/>
      </c>
      <c r="P1968" s="13">
        <f>IFERROR(O1968/N1968,"")</f>
        <v/>
      </c>
      <c r="Q1968" s="13">
        <f>CHAIN_RAW!I1968</f>
        <v/>
      </c>
      <c r="R1968" s="13">
        <f>CHAIN_RAW!P1968</f>
        <v/>
      </c>
      <c r="S1968" s="13">
        <f>IFERROR(R1968/Q1968,"")</f>
        <v/>
      </c>
      <c r="T1968" s="13">
        <f>IFERROR((ABS(N1968-O1968)/MAX(1,(N1968+O1968)))*EXP(-ABS(E1968-CONTROL!E5)/MAX(1,CONTROL!B8)),"")</f>
        <v/>
      </c>
      <c r="U1968" s="13">
        <f>IFERROR(IF(O1968&gt;N1968,"SUPPORT (PE OI)","RESIST (CE OI)"),"")</f>
        <v/>
      </c>
      <c r="V1968" s="13">
        <f>IFERROR(IF(Q1968&gt;0,IF(R1968&gt;0,"BOTH_ADD","CE_ADD_PE_REDUCE"),IF(R1968&gt;0,"CE_REDUCE_PE_ADD","BOTH_REDUCE")),"")</f>
        <v/>
      </c>
      <c r="W1968" s="13">
        <f>IFERROR( (P1968-1)*0.5 + (M1968)*0.1 - (I1968+J1968)*0.05 + T1968*0.4 ,"")</f>
        <v/>
      </c>
      <c r="X1968" s="13">
        <f>IFERROR(IF(ABS(F1968)&lt;0.01,"ATM/NEAR",""),"")</f>
        <v/>
      </c>
    </row>
    <row r="1969">
      <c r="A1969" s="13">
        <f>CHAIN_RAW!A1969</f>
        <v/>
      </c>
      <c r="B1969" s="14">
        <f>CHAIN_RAW!B1969</f>
        <v/>
      </c>
      <c r="C1969" s="13">
        <f>CHAIN_RAW!C1969</f>
        <v/>
      </c>
      <c r="D1969" s="13">
        <f>CHAIN_RAW!D1969</f>
        <v/>
      </c>
      <c r="E1969" s="13">
        <f>CHAIN_RAW!E1969</f>
        <v/>
      </c>
      <c r="F1969" s="13">
        <f>IFERROR((E1969-D1969)/D1969,"")</f>
        <v/>
      </c>
      <c r="G1969" s="13">
        <f>IFERROR((CHAIN_RAW!K1969+CHAIN_RAW!L1969)/2,"")</f>
        <v/>
      </c>
      <c r="H1969" s="13">
        <f>IFERROR((CHAIN_RAW!R1969+CHAIN_RAW!S1969)/2,"")</f>
        <v/>
      </c>
      <c r="I1969" s="13">
        <f>IFERROR((CHAIN_RAW!L1969-CHAIN_RAW!K1969)/MAX(1E-9, G1969),"")</f>
        <v/>
      </c>
      <c r="J1969" s="13">
        <f>IFERROR((CHAIN_RAW!S1969-CHAIN_RAW!R1969)/MAX(1E-9, H1969),"")</f>
        <v/>
      </c>
      <c r="K1969" s="13">
        <f>CHAIN_RAW!G1969</f>
        <v/>
      </c>
      <c r="L1969" s="13">
        <f>CHAIN_RAW!N1969</f>
        <v/>
      </c>
      <c r="M1969" s="13">
        <f>IFERROR(L1969-K1969,"")</f>
        <v/>
      </c>
      <c r="N1969" s="13">
        <f>CHAIN_RAW!H1969</f>
        <v/>
      </c>
      <c r="O1969" s="13">
        <f>CHAIN_RAW!O1969</f>
        <v/>
      </c>
      <c r="P1969" s="13">
        <f>IFERROR(O1969/N1969,"")</f>
        <v/>
      </c>
      <c r="Q1969" s="13">
        <f>CHAIN_RAW!I1969</f>
        <v/>
      </c>
      <c r="R1969" s="13">
        <f>CHAIN_RAW!P1969</f>
        <v/>
      </c>
      <c r="S1969" s="13">
        <f>IFERROR(R1969/Q1969,"")</f>
        <v/>
      </c>
      <c r="T1969" s="13">
        <f>IFERROR((ABS(N1969-O1969)/MAX(1,(N1969+O1969)))*EXP(-ABS(E1969-CONTROL!E5)/MAX(1,CONTROL!B8)),"")</f>
        <v/>
      </c>
      <c r="U1969" s="13">
        <f>IFERROR(IF(O1969&gt;N1969,"SUPPORT (PE OI)","RESIST (CE OI)"),"")</f>
        <v/>
      </c>
      <c r="V1969" s="13">
        <f>IFERROR(IF(Q1969&gt;0,IF(R1969&gt;0,"BOTH_ADD","CE_ADD_PE_REDUCE"),IF(R1969&gt;0,"CE_REDUCE_PE_ADD","BOTH_REDUCE")),"")</f>
        <v/>
      </c>
      <c r="W1969" s="13">
        <f>IFERROR( (P1969-1)*0.5 + (M1969)*0.1 - (I1969+J1969)*0.05 + T1969*0.4 ,"")</f>
        <v/>
      </c>
      <c r="X1969" s="13">
        <f>IFERROR(IF(ABS(F1969)&lt;0.01,"ATM/NEAR",""),"")</f>
        <v/>
      </c>
    </row>
    <row r="1970">
      <c r="A1970" s="13">
        <f>CHAIN_RAW!A1970</f>
        <v/>
      </c>
      <c r="B1970" s="14">
        <f>CHAIN_RAW!B1970</f>
        <v/>
      </c>
      <c r="C1970" s="13">
        <f>CHAIN_RAW!C1970</f>
        <v/>
      </c>
      <c r="D1970" s="13">
        <f>CHAIN_RAW!D1970</f>
        <v/>
      </c>
      <c r="E1970" s="13">
        <f>CHAIN_RAW!E1970</f>
        <v/>
      </c>
      <c r="F1970" s="13">
        <f>IFERROR((E1970-D1970)/D1970,"")</f>
        <v/>
      </c>
      <c r="G1970" s="13">
        <f>IFERROR((CHAIN_RAW!K1970+CHAIN_RAW!L1970)/2,"")</f>
        <v/>
      </c>
      <c r="H1970" s="13">
        <f>IFERROR((CHAIN_RAW!R1970+CHAIN_RAW!S1970)/2,"")</f>
        <v/>
      </c>
      <c r="I1970" s="13">
        <f>IFERROR((CHAIN_RAW!L1970-CHAIN_RAW!K1970)/MAX(1E-9, G1970),"")</f>
        <v/>
      </c>
      <c r="J1970" s="13">
        <f>IFERROR((CHAIN_RAW!S1970-CHAIN_RAW!R1970)/MAX(1E-9, H1970),"")</f>
        <v/>
      </c>
      <c r="K1970" s="13">
        <f>CHAIN_RAW!G1970</f>
        <v/>
      </c>
      <c r="L1970" s="13">
        <f>CHAIN_RAW!N1970</f>
        <v/>
      </c>
      <c r="M1970" s="13">
        <f>IFERROR(L1970-K1970,"")</f>
        <v/>
      </c>
      <c r="N1970" s="13">
        <f>CHAIN_RAW!H1970</f>
        <v/>
      </c>
      <c r="O1970" s="13">
        <f>CHAIN_RAW!O1970</f>
        <v/>
      </c>
      <c r="P1970" s="13">
        <f>IFERROR(O1970/N1970,"")</f>
        <v/>
      </c>
      <c r="Q1970" s="13">
        <f>CHAIN_RAW!I1970</f>
        <v/>
      </c>
      <c r="R1970" s="13">
        <f>CHAIN_RAW!P1970</f>
        <v/>
      </c>
      <c r="S1970" s="13">
        <f>IFERROR(R1970/Q1970,"")</f>
        <v/>
      </c>
      <c r="T1970" s="13">
        <f>IFERROR((ABS(N1970-O1970)/MAX(1,(N1970+O1970)))*EXP(-ABS(E1970-CONTROL!E5)/MAX(1,CONTROL!B8)),"")</f>
        <v/>
      </c>
      <c r="U1970" s="13">
        <f>IFERROR(IF(O1970&gt;N1970,"SUPPORT (PE OI)","RESIST (CE OI)"),"")</f>
        <v/>
      </c>
      <c r="V1970" s="13">
        <f>IFERROR(IF(Q1970&gt;0,IF(R1970&gt;0,"BOTH_ADD","CE_ADD_PE_REDUCE"),IF(R1970&gt;0,"CE_REDUCE_PE_ADD","BOTH_REDUCE")),"")</f>
        <v/>
      </c>
      <c r="W1970" s="13">
        <f>IFERROR( (P1970-1)*0.5 + (M1970)*0.1 - (I1970+J1970)*0.05 + T1970*0.4 ,"")</f>
        <v/>
      </c>
      <c r="X1970" s="13">
        <f>IFERROR(IF(ABS(F1970)&lt;0.01,"ATM/NEAR",""),"")</f>
        <v/>
      </c>
    </row>
    <row r="1971">
      <c r="A1971" s="13">
        <f>CHAIN_RAW!A1971</f>
        <v/>
      </c>
      <c r="B1971" s="14">
        <f>CHAIN_RAW!B1971</f>
        <v/>
      </c>
      <c r="C1971" s="13">
        <f>CHAIN_RAW!C1971</f>
        <v/>
      </c>
      <c r="D1971" s="13">
        <f>CHAIN_RAW!D1971</f>
        <v/>
      </c>
      <c r="E1971" s="13">
        <f>CHAIN_RAW!E1971</f>
        <v/>
      </c>
      <c r="F1971" s="13">
        <f>IFERROR((E1971-D1971)/D1971,"")</f>
        <v/>
      </c>
      <c r="G1971" s="13">
        <f>IFERROR((CHAIN_RAW!K1971+CHAIN_RAW!L1971)/2,"")</f>
        <v/>
      </c>
      <c r="H1971" s="13">
        <f>IFERROR((CHAIN_RAW!R1971+CHAIN_RAW!S1971)/2,"")</f>
        <v/>
      </c>
      <c r="I1971" s="13">
        <f>IFERROR((CHAIN_RAW!L1971-CHAIN_RAW!K1971)/MAX(1E-9, G1971),"")</f>
        <v/>
      </c>
      <c r="J1971" s="13">
        <f>IFERROR((CHAIN_RAW!S1971-CHAIN_RAW!R1971)/MAX(1E-9, H1971),"")</f>
        <v/>
      </c>
      <c r="K1971" s="13">
        <f>CHAIN_RAW!G1971</f>
        <v/>
      </c>
      <c r="L1971" s="13">
        <f>CHAIN_RAW!N1971</f>
        <v/>
      </c>
      <c r="M1971" s="13">
        <f>IFERROR(L1971-K1971,"")</f>
        <v/>
      </c>
      <c r="N1971" s="13">
        <f>CHAIN_RAW!H1971</f>
        <v/>
      </c>
      <c r="O1971" s="13">
        <f>CHAIN_RAW!O1971</f>
        <v/>
      </c>
      <c r="P1971" s="13">
        <f>IFERROR(O1971/N1971,"")</f>
        <v/>
      </c>
      <c r="Q1971" s="13">
        <f>CHAIN_RAW!I1971</f>
        <v/>
      </c>
      <c r="R1971" s="13">
        <f>CHAIN_RAW!P1971</f>
        <v/>
      </c>
      <c r="S1971" s="13">
        <f>IFERROR(R1971/Q1971,"")</f>
        <v/>
      </c>
      <c r="T1971" s="13">
        <f>IFERROR((ABS(N1971-O1971)/MAX(1,(N1971+O1971)))*EXP(-ABS(E1971-CONTROL!E5)/MAX(1,CONTROL!B8)),"")</f>
        <v/>
      </c>
      <c r="U1971" s="13">
        <f>IFERROR(IF(O1971&gt;N1971,"SUPPORT (PE OI)","RESIST (CE OI)"),"")</f>
        <v/>
      </c>
      <c r="V1971" s="13">
        <f>IFERROR(IF(Q1971&gt;0,IF(R1971&gt;0,"BOTH_ADD","CE_ADD_PE_REDUCE"),IF(R1971&gt;0,"CE_REDUCE_PE_ADD","BOTH_REDUCE")),"")</f>
        <v/>
      </c>
      <c r="W1971" s="13">
        <f>IFERROR( (P1971-1)*0.5 + (M1971)*0.1 - (I1971+J1971)*0.05 + T1971*0.4 ,"")</f>
        <v/>
      </c>
      <c r="X1971" s="13">
        <f>IFERROR(IF(ABS(F1971)&lt;0.01,"ATM/NEAR",""),"")</f>
        <v/>
      </c>
    </row>
    <row r="1972">
      <c r="A1972" s="13">
        <f>CHAIN_RAW!A1972</f>
        <v/>
      </c>
      <c r="B1972" s="14">
        <f>CHAIN_RAW!B1972</f>
        <v/>
      </c>
      <c r="C1972" s="13">
        <f>CHAIN_RAW!C1972</f>
        <v/>
      </c>
      <c r="D1972" s="13">
        <f>CHAIN_RAW!D1972</f>
        <v/>
      </c>
      <c r="E1972" s="13">
        <f>CHAIN_RAW!E1972</f>
        <v/>
      </c>
      <c r="F1972" s="13">
        <f>IFERROR((E1972-D1972)/D1972,"")</f>
        <v/>
      </c>
      <c r="G1972" s="13">
        <f>IFERROR((CHAIN_RAW!K1972+CHAIN_RAW!L1972)/2,"")</f>
        <v/>
      </c>
      <c r="H1972" s="13">
        <f>IFERROR((CHAIN_RAW!R1972+CHAIN_RAW!S1972)/2,"")</f>
        <v/>
      </c>
      <c r="I1972" s="13">
        <f>IFERROR((CHAIN_RAW!L1972-CHAIN_RAW!K1972)/MAX(1E-9, G1972),"")</f>
        <v/>
      </c>
      <c r="J1972" s="13">
        <f>IFERROR((CHAIN_RAW!S1972-CHAIN_RAW!R1972)/MAX(1E-9, H1972),"")</f>
        <v/>
      </c>
      <c r="K1972" s="13">
        <f>CHAIN_RAW!G1972</f>
        <v/>
      </c>
      <c r="L1972" s="13">
        <f>CHAIN_RAW!N1972</f>
        <v/>
      </c>
      <c r="M1972" s="13">
        <f>IFERROR(L1972-K1972,"")</f>
        <v/>
      </c>
      <c r="N1972" s="13">
        <f>CHAIN_RAW!H1972</f>
        <v/>
      </c>
      <c r="O1972" s="13">
        <f>CHAIN_RAW!O1972</f>
        <v/>
      </c>
      <c r="P1972" s="13">
        <f>IFERROR(O1972/N1972,"")</f>
        <v/>
      </c>
      <c r="Q1972" s="13">
        <f>CHAIN_RAW!I1972</f>
        <v/>
      </c>
      <c r="R1972" s="13">
        <f>CHAIN_RAW!P1972</f>
        <v/>
      </c>
      <c r="S1972" s="13">
        <f>IFERROR(R1972/Q1972,"")</f>
        <v/>
      </c>
      <c r="T1972" s="13">
        <f>IFERROR((ABS(N1972-O1972)/MAX(1,(N1972+O1972)))*EXP(-ABS(E1972-CONTROL!E5)/MAX(1,CONTROL!B8)),"")</f>
        <v/>
      </c>
      <c r="U1972" s="13">
        <f>IFERROR(IF(O1972&gt;N1972,"SUPPORT (PE OI)","RESIST (CE OI)"),"")</f>
        <v/>
      </c>
      <c r="V1972" s="13">
        <f>IFERROR(IF(Q1972&gt;0,IF(R1972&gt;0,"BOTH_ADD","CE_ADD_PE_REDUCE"),IF(R1972&gt;0,"CE_REDUCE_PE_ADD","BOTH_REDUCE")),"")</f>
        <v/>
      </c>
      <c r="W1972" s="13">
        <f>IFERROR( (P1972-1)*0.5 + (M1972)*0.1 - (I1972+J1972)*0.05 + T1972*0.4 ,"")</f>
        <v/>
      </c>
      <c r="X1972" s="13">
        <f>IFERROR(IF(ABS(F1972)&lt;0.01,"ATM/NEAR",""),"")</f>
        <v/>
      </c>
    </row>
    <row r="1973">
      <c r="A1973" s="13">
        <f>CHAIN_RAW!A1973</f>
        <v/>
      </c>
      <c r="B1973" s="14">
        <f>CHAIN_RAW!B1973</f>
        <v/>
      </c>
      <c r="C1973" s="13">
        <f>CHAIN_RAW!C1973</f>
        <v/>
      </c>
      <c r="D1973" s="13">
        <f>CHAIN_RAW!D1973</f>
        <v/>
      </c>
      <c r="E1973" s="13">
        <f>CHAIN_RAW!E1973</f>
        <v/>
      </c>
      <c r="F1973" s="13">
        <f>IFERROR((E1973-D1973)/D1973,"")</f>
        <v/>
      </c>
      <c r="G1973" s="13">
        <f>IFERROR((CHAIN_RAW!K1973+CHAIN_RAW!L1973)/2,"")</f>
        <v/>
      </c>
      <c r="H1973" s="13">
        <f>IFERROR((CHAIN_RAW!R1973+CHAIN_RAW!S1973)/2,"")</f>
        <v/>
      </c>
      <c r="I1973" s="13">
        <f>IFERROR((CHAIN_RAW!L1973-CHAIN_RAW!K1973)/MAX(1E-9, G1973),"")</f>
        <v/>
      </c>
      <c r="J1973" s="13">
        <f>IFERROR((CHAIN_RAW!S1973-CHAIN_RAW!R1973)/MAX(1E-9, H1973),"")</f>
        <v/>
      </c>
      <c r="K1973" s="13">
        <f>CHAIN_RAW!G1973</f>
        <v/>
      </c>
      <c r="L1973" s="13">
        <f>CHAIN_RAW!N1973</f>
        <v/>
      </c>
      <c r="M1973" s="13">
        <f>IFERROR(L1973-K1973,"")</f>
        <v/>
      </c>
      <c r="N1973" s="13">
        <f>CHAIN_RAW!H1973</f>
        <v/>
      </c>
      <c r="O1973" s="13">
        <f>CHAIN_RAW!O1973</f>
        <v/>
      </c>
      <c r="P1973" s="13">
        <f>IFERROR(O1973/N1973,"")</f>
        <v/>
      </c>
      <c r="Q1973" s="13">
        <f>CHAIN_RAW!I1973</f>
        <v/>
      </c>
      <c r="R1973" s="13">
        <f>CHAIN_RAW!P1973</f>
        <v/>
      </c>
      <c r="S1973" s="13">
        <f>IFERROR(R1973/Q1973,"")</f>
        <v/>
      </c>
      <c r="T1973" s="13">
        <f>IFERROR((ABS(N1973-O1973)/MAX(1,(N1973+O1973)))*EXP(-ABS(E1973-CONTROL!E5)/MAX(1,CONTROL!B8)),"")</f>
        <v/>
      </c>
      <c r="U1973" s="13">
        <f>IFERROR(IF(O1973&gt;N1973,"SUPPORT (PE OI)","RESIST (CE OI)"),"")</f>
        <v/>
      </c>
      <c r="V1973" s="13">
        <f>IFERROR(IF(Q1973&gt;0,IF(R1973&gt;0,"BOTH_ADD","CE_ADD_PE_REDUCE"),IF(R1973&gt;0,"CE_REDUCE_PE_ADD","BOTH_REDUCE")),"")</f>
        <v/>
      </c>
      <c r="W1973" s="13">
        <f>IFERROR( (P1973-1)*0.5 + (M1973)*0.1 - (I1973+J1973)*0.05 + T1973*0.4 ,"")</f>
        <v/>
      </c>
      <c r="X1973" s="13">
        <f>IFERROR(IF(ABS(F1973)&lt;0.01,"ATM/NEAR",""),"")</f>
        <v/>
      </c>
    </row>
    <row r="1974">
      <c r="A1974" s="13">
        <f>CHAIN_RAW!A1974</f>
        <v/>
      </c>
      <c r="B1974" s="14">
        <f>CHAIN_RAW!B1974</f>
        <v/>
      </c>
      <c r="C1974" s="13">
        <f>CHAIN_RAW!C1974</f>
        <v/>
      </c>
      <c r="D1974" s="13">
        <f>CHAIN_RAW!D1974</f>
        <v/>
      </c>
      <c r="E1974" s="13">
        <f>CHAIN_RAW!E1974</f>
        <v/>
      </c>
      <c r="F1974" s="13">
        <f>IFERROR((E1974-D1974)/D1974,"")</f>
        <v/>
      </c>
      <c r="G1974" s="13">
        <f>IFERROR((CHAIN_RAW!K1974+CHAIN_RAW!L1974)/2,"")</f>
        <v/>
      </c>
      <c r="H1974" s="13">
        <f>IFERROR((CHAIN_RAW!R1974+CHAIN_RAW!S1974)/2,"")</f>
        <v/>
      </c>
      <c r="I1974" s="13">
        <f>IFERROR((CHAIN_RAW!L1974-CHAIN_RAW!K1974)/MAX(1E-9, G1974),"")</f>
        <v/>
      </c>
      <c r="J1974" s="13">
        <f>IFERROR((CHAIN_RAW!S1974-CHAIN_RAW!R1974)/MAX(1E-9, H1974),"")</f>
        <v/>
      </c>
      <c r="K1974" s="13">
        <f>CHAIN_RAW!G1974</f>
        <v/>
      </c>
      <c r="L1974" s="13">
        <f>CHAIN_RAW!N1974</f>
        <v/>
      </c>
      <c r="M1974" s="13">
        <f>IFERROR(L1974-K1974,"")</f>
        <v/>
      </c>
      <c r="N1974" s="13">
        <f>CHAIN_RAW!H1974</f>
        <v/>
      </c>
      <c r="O1974" s="13">
        <f>CHAIN_RAW!O1974</f>
        <v/>
      </c>
      <c r="P1974" s="13">
        <f>IFERROR(O1974/N1974,"")</f>
        <v/>
      </c>
      <c r="Q1974" s="13">
        <f>CHAIN_RAW!I1974</f>
        <v/>
      </c>
      <c r="R1974" s="13">
        <f>CHAIN_RAW!P1974</f>
        <v/>
      </c>
      <c r="S1974" s="13">
        <f>IFERROR(R1974/Q1974,"")</f>
        <v/>
      </c>
      <c r="T1974" s="13">
        <f>IFERROR((ABS(N1974-O1974)/MAX(1,(N1974+O1974)))*EXP(-ABS(E1974-CONTROL!E5)/MAX(1,CONTROL!B8)),"")</f>
        <v/>
      </c>
      <c r="U1974" s="13">
        <f>IFERROR(IF(O1974&gt;N1974,"SUPPORT (PE OI)","RESIST (CE OI)"),"")</f>
        <v/>
      </c>
      <c r="V1974" s="13">
        <f>IFERROR(IF(Q1974&gt;0,IF(R1974&gt;0,"BOTH_ADD","CE_ADD_PE_REDUCE"),IF(R1974&gt;0,"CE_REDUCE_PE_ADD","BOTH_REDUCE")),"")</f>
        <v/>
      </c>
      <c r="W1974" s="13">
        <f>IFERROR( (P1974-1)*0.5 + (M1974)*0.1 - (I1974+J1974)*0.05 + T1974*0.4 ,"")</f>
        <v/>
      </c>
      <c r="X1974" s="13">
        <f>IFERROR(IF(ABS(F1974)&lt;0.01,"ATM/NEAR",""),"")</f>
        <v/>
      </c>
    </row>
    <row r="1975">
      <c r="A1975" s="13">
        <f>CHAIN_RAW!A1975</f>
        <v/>
      </c>
      <c r="B1975" s="14">
        <f>CHAIN_RAW!B1975</f>
        <v/>
      </c>
      <c r="C1975" s="13">
        <f>CHAIN_RAW!C1975</f>
        <v/>
      </c>
      <c r="D1975" s="13">
        <f>CHAIN_RAW!D1975</f>
        <v/>
      </c>
      <c r="E1975" s="13">
        <f>CHAIN_RAW!E1975</f>
        <v/>
      </c>
      <c r="F1975" s="13">
        <f>IFERROR((E1975-D1975)/D1975,"")</f>
        <v/>
      </c>
      <c r="G1975" s="13">
        <f>IFERROR((CHAIN_RAW!K1975+CHAIN_RAW!L1975)/2,"")</f>
        <v/>
      </c>
      <c r="H1975" s="13">
        <f>IFERROR((CHAIN_RAW!R1975+CHAIN_RAW!S1975)/2,"")</f>
        <v/>
      </c>
      <c r="I1975" s="13">
        <f>IFERROR((CHAIN_RAW!L1975-CHAIN_RAW!K1975)/MAX(1E-9, G1975),"")</f>
        <v/>
      </c>
      <c r="J1975" s="13">
        <f>IFERROR((CHAIN_RAW!S1975-CHAIN_RAW!R1975)/MAX(1E-9, H1975),"")</f>
        <v/>
      </c>
      <c r="K1975" s="13">
        <f>CHAIN_RAW!G1975</f>
        <v/>
      </c>
      <c r="L1975" s="13">
        <f>CHAIN_RAW!N1975</f>
        <v/>
      </c>
      <c r="M1975" s="13">
        <f>IFERROR(L1975-K1975,"")</f>
        <v/>
      </c>
      <c r="N1975" s="13">
        <f>CHAIN_RAW!H1975</f>
        <v/>
      </c>
      <c r="O1975" s="13">
        <f>CHAIN_RAW!O1975</f>
        <v/>
      </c>
      <c r="P1975" s="13">
        <f>IFERROR(O1975/N1975,"")</f>
        <v/>
      </c>
      <c r="Q1975" s="13">
        <f>CHAIN_RAW!I1975</f>
        <v/>
      </c>
      <c r="R1975" s="13">
        <f>CHAIN_RAW!P1975</f>
        <v/>
      </c>
      <c r="S1975" s="13">
        <f>IFERROR(R1975/Q1975,"")</f>
        <v/>
      </c>
      <c r="T1975" s="13">
        <f>IFERROR((ABS(N1975-O1975)/MAX(1,(N1975+O1975)))*EXP(-ABS(E1975-CONTROL!E5)/MAX(1,CONTROL!B8)),"")</f>
        <v/>
      </c>
      <c r="U1975" s="13">
        <f>IFERROR(IF(O1975&gt;N1975,"SUPPORT (PE OI)","RESIST (CE OI)"),"")</f>
        <v/>
      </c>
      <c r="V1975" s="13">
        <f>IFERROR(IF(Q1975&gt;0,IF(R1975&gt;0,"BOTH_ADD","CE_ADD_PE_REDUCE"),IF(R1975&gt;0,"CE_REDUCE_PE_ADD","BOTH_REDUCE")),"")</f>
        <v/>
      </c>
      <c r="W1975" s="13">
        <f>IFERROR( (P1975-1)*0.5 + (M1975)*0.1 - (I1975+J1975)*0.05 + T1975*0.4 ,"")</f>
        <v/>
      </c>
      <c r="X1975" s="13">
        <f>IFERROR(IF(ABS(F1975)&lt;0.01,"ATM/NEAR",""),"")</f>
        <v/>
      </c>
    </row>
    <row r="1976">
      <c r="A1976" s="13">
        <f>CHAIN_RAW!A1976</f>
        <v/>
      </c>
      <c r="B1976" s="14">
        <f>CHAIN_RAW!B1976</f>
        <v/>
      </c>
      <c r="C1976" s="13">
        <f>CHAIN_RAW!C1976</f>
        <v/>
      </c>
      <c r="D1976" s="13">
        <f>CHAIN_RAW!D1976</f>
        <v/>
      </c>
      <c r="E1976" s="13">
        <f>CHAIN_RAW!E1976</f>
        <v/>
      </c>
      <c r="F1976" s="13">
        <f>IFERROR((E1976-D1976)/D1976,"")</f>
        <v/>
      </c>
      <c r="G1976" s="13">
        <f>IFERROR((CHAIN_RAW!K1976+CHAIN_RAW!L1976)/2,"")</f>
        <v/>
      </c>
      <c r="H1976" s="13">
        <f>IFERROR((CHAIN_RAW!R1976+CHAIN_RAW!S1976)/2,"")</f>
        <v/>
      </c>
      <c r="I1976" s="13">
        <f>IFERROR((CHAIN_RAW!L1976-CHAIN_RAW!K1976)/MAX(1E-9, G1976),"")</f>
        <v/>
      </c>
      <c r="J1976" s="13">
        <f>IFERROR((CHAIN_RAW!S1976-CHAIN_RAW!R1976)/MAX(1E-9, H1976),"")</f>
        <v/>
      </c>
      <c r="K1976" s="13">
        <f>CHAIN_RAW!G1976</f>
        <v/>
      </c>
      <c r="L1976" s="13">
        <f>CHAIN_RAW!N1976</f>
        <v/>
      </c>
      <c r="M1976" s="13">
        <f>IFERROR(L1976-K1976,"")</f>
        <v/>
      </c>
      <c r="N1976" s="13">
        <f>CHAIN_RAW!H1976</f>
        <v/>
      </c>
      <c r="O1976" s="13">
        <f>CHAIN_RAW!O1976</f>
        <v/>
      </c>
      <c r="P1976" s="13">
        <f>IFERROR(O1976/N1976,"")</f>
        <v/>
      </c>
      <c r="Q1976" s="13">
        <f>CHAIN_RAW!I1976</f>
        <v/>
      </c>
      <c r="R1976" s="13">
        <f>CHAIN_RAW!P1976</f>
        <v/>
      </c>
      <c r="S1976" s="13">
        <f>IFERROR(R1976/Q1976,"")</f>
        <v/>
      </c>
      <c r="T1976" s="13">
        <f>IFERROR((ABS(N1976-O1976)/MAX(1,(N1976+O1976)))*EXP(-ABS(E1976-CONTROL!E5)/MAX(1,CONTROL!B8)),"")</f>
        <v/>
      </c>
      <c r="U1976" s="13">
        <f>IFERROR(IF(O1976&gt;N1976,"SUPPORT (PE OI)","RESIST (CE OI)"),"")</f>
        <v/>
      </c>
      <c r="V1976" s="13">
        <f>IFERROR(IF(Q1976&gt;0,IF(R1976&gt;0,"BOTH_ADD","CE_ADD_PE_REDUCE"),IF(R1976&gt;0,"CE_REDUCE_PE_ADD","BOTH_REDUCE")),"")</f>
        <v/>
      </c>
      <c r="W1976" s="13">
        <f>IFERROR( (P1976-1)*0.5 + (M1976)*0.1 - (I1976+J1976)*0.05 + T1976*0.4 ,"")</f>
        <v/>
      </c>
      <c r="X1976" s="13">
        <f>IFERROR(IF(ABS(F1976)&lt;0.01,"ATM/NEAR",""),"")</f>
        <v/>
      </c>
    </row>
    <row r="1977">
      <c r="A1977" s="13">
        <f>CHAIN_RAW!A1977</f>
        <v/>
      </c>
      <c r="B1977" s="14">
        <f>CHAIN_RAW!B1977</f>
        <v/>
      </c>
      <c r="C1977" s="13">
        <f>CHAIN_RAW!C1977</f>
        <v/>
      </c>
      <c r="D1977" s="13">
        <f>CHAIN_RAW!D1977</f>
        <v/>
      </c>
      <c r="E1977" s="13">
        <f>CHAIN_RAW!E1977</f>
        <v/>
      </c>
      <c r="F1977" s="13">
        <f>IFERROR((E1977-D1977)/D1977,"")</f>
        <v/>
      </c>
      <c r="G1977" s="13">
        <f>IFERROR((CHAIN_RAW!K1977+CHAIN_RAW!L1977)/2,"")</f>
        <v/>
      </c>
      <c r="H1977" s="13">
        <f>IFERROR((CHAIN_RAW!R1977+CHAIN_RAW!S1977)/2,"")</f>
        <v/>
      </c>
      <c r="I1977" s="13">
        <f>IFERROR((CHAIN_RAW!L1977-CHAIN_RAW!K1977)/MAX(1E-9, G1977),"")</f>
        <v/>
      </c>
      <c r="J1977" s="13">
        <f>IFERROR((CHAIN_RAW!S1977-CHAIN_RAW!R1977)/MAX(1E-9, H1977),"")</f>
        <v/>
      </c>
      <c r="K1977" s="13">
        <f>CHAIN_RAW!G1977</f>
        <v/>
      </c>
      <c r="L1977" s="13">
        <f>CHAIN_RAW!N1977</f>
        <v/>
      </c>
      <c r="M1977" s="13">
        <f>IFERROR(L1977-K1977,"")</f>
        <v/>
      </c>
      <c r="N1977" s="13">
        <f>CHAIN_RAW!H1977</f>
        <v/>
      </c>
      <c r="O1977" s="13">
        <f>CHAIN_RAW!O1977</f>
        <v/>
      </c>
      <c r="P1977" s="13">
        <f>IFERROR(O1977/N1977,"")</f>
        <v/>
      </c>
      <c r="Q1977" s="13">
        <f>CHAIN_RAW!I1977</f>
        <v/>
      </c>
      <c r="R1977" s="13">
        <f>CHAIN_RAW!P1977</f>
        <v/>
      </c>
      <c r="S1977" s="13">
        <f>IFERROR(R1977/Q1977,"")</f>
        <v/>
      </c>
      <c r="T1977" s="13">
        <f>IFERROR((ABS(N1977-O1977)/MAX(1,(N1977+O1977)))*EXP(-ABS(E1977-CONTROL!E5)/MAX(1,CONTROL!B8)),"")</f>
        <v/>
      </c>
      <c r="U1977" s="13">
        <f>IFERROR(IF(O1977&gt;N1977,"SUPPORT (PE OI)","RESIST (CE OI)"),"")</f>
        <v/>
      </c>
      <c r="V1977" s="13">
        <f>IFERROR(IF(Q1977&gt;0,IF(R1977&gt;0,"BOTH_ADD","CE_ADD_PE_REDUCE"),IF(R1977&gt;0,"CE_REDUCE_PE_ADD","BOTH_REDUCE")),"")</f>
        <v/>
      </c>
      <c r="W1977" s="13">
        <f>IFERROR( (P1977-1)*0.5 + (M1977)*0.1 - (I1977+J1977)*0.05 + T1977*0.4 ,"")</f>
        <v/>
      </c>
      <c r="X1977" s="13">
        <f>IFERROR(IF(ABS(F1977)&lt;0.01,"ATM/NEAR",""),"")</f>
        <v/>
      </c>
    </row>
    <row r="1978">
      <c r="A1978" s="13">
        <f>CHAIN_RAW!A1978</f>
        <v/>
      </c>
      <c r="B1978" s="14">
        <f>CHAIN_RAW!B1978</f>
        <v/>
      </c>
      <c r="C1978" s="13">
        <f>CHAIN_RAW!C1978</f>
        <v/>
      </c>
      <c r="D1978" s="13">
        <f>CHAIN_RAW!D1978</f>
        <v/>
      </c>
      <c r="E1978" s="13">
        <f>CHAIN_RAW!E1978</f>
        <v/>
      </c>
      <c r="F1978" s="13">
        <f>IFERROR((E1978-D1978)/D1978,"")</f>
        <v/>
      </c>
      <c r="G1978" s="13">
        <f>IFERROR((CHAIN_RAW!K1978+CHAIN_RAW!L1978)/2,"")</f>
        <v/>
      </c>
      <c r="H1978" s="13">
        <f>IFERROR((CHAIN_RAW!R1978+CHAIN_RAW!S1978)/2,"")</f>
        <v/>
      </c>
      <c r="I1978" s="13">
        <f>IFERROR((CHAIN_RAW!L1978-CHAIN_RAW!K1978)/MAX(1E-9, G1978),"")</f>
        <v/>
      </c>
      <c r="J1978" s="13">
        <f>IFERROR((CHAIN_RAW!S1978-CHAIN_RAW!R1978)/MAX(1E-9, H1978),"")</f>
        <v/>
      </c>
      <c r="K1978" s="13">
        <f>CHAIN_RAW!G1978</f>
        <v/>
      </c>
      <c r="L1978" s="13">
        <f>CHAIN_RAW!N1978</f>
        <v/>
      </c>
      <c r="M1978" s="13">
        <f>IFERROR(L1978-K1978,"")</f>
        <v/>
      </c>
      <c r="N1978" s="13">
        <f>CHAIN_RAW!H1978</f>
        <v/>
      </c>
      <c r="O1978" s="13">
        <f>CHAIN_RAW!O1978</f>
        <v/>
      </c>
      <c r="P1978" s="13">
        <f>IFERROR(O1978/N1978,"")</f>
        <v/>
      </c>
      <c r="Q1978" s="13">
        <f>CHAIN_RAW!I1978</f>
        <v/>
      </c>
      <c r="R1978" s="13">
        <f>CHAIN_RAW!P1978</f>
        <v/>
      </c>
      <c r="S1978" s="13">
        <f>IFERROR(R1978/Q1978,"")</f>
        <v/>
      </c>
      <c r="T1978" s="13">
        <f>IFERROR((ABS(N1978-O1978)/MAX(1,(N1978+O1978)))*EXP(-ABS(E1978-CONTROL!E5)/MAX(1,CONTROL!B8)),"")</f>
        <v/>
      </c>
      <c r="U1978" s="13">
        <f>IFERROR(IF(O1978&gt;N1978,"SUPPORT (PE OI)","RESIST (CE OI)"),"")</f>
        <v/>
      </c>
      <c r="V1978" s="13">
        <f>IFERROR(IF(Q1978&gt;0,IF(R1978&gt;0,"BOTH_ADD","CE_ADD_PE_REDUCE"),IF(R1978&gt;0,"CE_REDUCE_PE_ADD","BOTH_REDUCE")),"")</f>
        <v/>
      </c>
      <c r="W1978" s="13">
        <f>IFERROR( (P1978-1)*0.5 + (M1978)*0.1 - (I1978+J1978)*0.05 + T1978*0.4 ,"")</f>
        <v/>
      </c>
      <c r="X1978" s="13">
        <f>IFERROR(IF(ABS(F1978)&lt;0.01,"ATM/NEAR",""),"")</f>
        <v/>
      </c>
    </row>
    <row r="1979">
      <c r="A1979" s="13">
        <f>CHAIN_RAW!A1979</f>
        <v/>
      </c>
      <c r="B1979" s="14">
        <f>CHAIN_RAW!B1979</f>
        <v/>
      </c>
      <c r="C1979" s="13">
        <f>CHAIN_RAW!C1979</f>
        <v/>
      </c>
      <c r="D1979" s="13">
        <f>CHAIN_RAW!D1979</f>
        <v/>
      </c>
      <c r="E1979" s="13">
        <f>CHAIN_RAW!E1979</f>
        <v/>
      </c>
      <c r="F1979" s="13">
        <f>IFERROR((E1979-D1979)/D1979,"")</f>
        <v/>
      </c>
      <c r="G1979" s="13">
        <f>IFERROR((CHAIN_RAW!K1979+CHAIN_RAW!L1979)/2,"")</f>
        <v/>
      </c>
      <c r="H1979" s="13">
        <f>IFERROR((CHAIN_RAW!R1979+CHAIN_RAW!S1979)/2,"")</f>
        <v/>
      </c>
      <c r="I1979" s="13">
        <f>IFERROR((CHAIN_RAW!L1979-CHAIN_RAW!K1979)/MAX(1E-9, G1979),"")</f>
        <v/>
      </c>
      <c r="J1979" s="13">
        <f>IFERROR((CHAIN_RAW!S1979-CHAIN_RAW!R1979)/MAX(1E-9, H1979),"")</f>
        <v/>
      </c>
      <c r="K1979" s="13">
        <f>CHAIN_RAW!G1979</f>
        <v/>
      </c>
      <c r="L1979" s="13">
        <f>CHAIN_RAW!N1979</f>
        <v/>
      </c>
      <c r="M1979" s="13">
        <f>IFERROR(L1979-K1979,"")</f>
        <v/>
      </c>
      <c r="N1979" s="13">
        <f>CHAIN_RAW!H1979</f>
        <v/>
      </c>
      <c r="O1979" s="13">
        <f>CHAIN_RAW!O1979</f>
        <v/>
      </c>
      <c r="P1979" s="13">
        <f>IFERROR(O1979/N1979,"")</f>
        <v/>
      </c>
      <c r="Q1979" s="13">
        <f>CHAIN_RAW!I1979</f>
        <v/>
      </c>
      <c r="R1979" s="13">
        <f>CHAIN_RAW!P1979</f>
        <v/>
      </c>
      <c r="S1979" s="13">
        <f>IFERROR(R1979/Q1979,"")</f>
        <v/>
      </c>
      <c r="T1979" s="13">
        <f>IFERROR((ABS(N1979-O1979)/MAX(1,(N1979+O1979)))*EXP(-ABS(E1979-CONTROL!E5)/MAX(1,CONTROL!B8)),"")</f>
        <v/>
      </c>
      <c r="U1979" s="13">
        <f>IFERROR(IF(O1979&gt;N1979,"SUPPORT (PE OI)","RESIST (CE OI)"),"")</f>
        <v/>
      </c>
      <c r="V1979" s="13">
        <f>IFERROR(IF(Q1979&gt;0,IF(R1979&gt;0,"BOTH_ADD","CE_ADD_PE_REDUCE"),IF(R1979&gt;0,"CE_REDUCE_PE_ADD","BOTH_REDUCE")),"")</f>
        <v/>
      </c>
      <c r="W1979" s="13">
        <f>IFERROR( (P1979-1)*0.5 + (M1979)*0.1 - (I1979+J1979)*0.05 + T1979*0.4 ,"")</f>
        <v/>
      </c>
      <c r="X1979" s="13">
        <f>IFERROR(IF(ABS(F1979)&lt;0.01,"ATM/NEAR",""),"")</f>
        <v/>
      </c>
    </row>
    <row r="1980">
      <c r="A1980" s="13">
        <f>CHAIN_RAW!A1980</f>
        <v/>
      </c>
      <c r="B1980" s="14">
        <f>CHAIN_RAW!B1980</f>
        <v/>
      </c>
      <c r="C1980" s="13">
        <f>CHAIN_RAW!C1980</f>
        <v/>
      </c>
      <c r="D1980" s="13">
        <f>CHAIN_RAW!D1980</f>
        <v/>
      </c>
      <c r="E1980" s="13">
        <f>CHAIN_RAW!E1980</f>
        <v/>
      </c>
      <c r="F1980" s="13">
        <f>IFERROR((E1980-D1980)/D1980,"")</f>
        <v/>
      </c>
      <c r="G1980" s="13">
        <f>IFERROR((CHAIN_RAW!K1980+CHAIN_RAW!L1980)/2,"")</f>
        <v/>
      </c>
      <c r="H1980" s="13">
        <f>IFERROR((CHAIN_RAW!R1980+CHAIN_RAW!S1980)/2,"")</f>
        <v/>
      </c>
      <c r="I1980" s="13">
        <f>IFERROR((CHAIN_RAW!L1980-CHAIN_RAW!K1980)/MAX(1E-9, G1980),"")</f>
        <v/>
      </c>
      <c r="J1980" s="13">
        <f>IFERROR((CHAIN_RAW!S1980-CHAIN_RAW!R1980)/MAX(1E-9, H1980),"")</f>
        <v/>
      </c>
      <c r="K1980" s="13">
        <f>CHAIN_RAW!G1980</f>
        <v/>
      </c>
      <c r="L1980" s="13">
        <f>CHAIN_RAW!N1980</f>
        <v/>
      </c>
      <c r="M1980" s="13">
        <f>IFERROR(L1980-K1980,"")</f>
        <v/>
      </c>
      <c r="N1980" s="13">
        <f>CHAIN_RAW!H1980</f>
        <v/>
      </c>
      <c r="O1980" s="13">
        <f>CHAIN_RAW!O1980</f>
        <v/>
      </c>
      <c r="P1980" s="13">
        <f>IFERROR(O1980/N1980,"")</f>
        <v/>
      </c>
      <c r="Q1980" s="13">
        <f>CHAIN_RAW!I1980</f>
        <v/>
      </c>
      <c r="R1980" s="13">
        <f>CHAIN_RAW!P1980</f>
        <v/>
      </c>
      <c r="S1980" s="13">
        <f>IFERROR(R1980/Q1980,"")</f>
        <v/>
      </c>
      <c r="T1980" s="13">
        <f>IFERROR((ABS(N1980-O1980)/MAX(1,(N1980+O1980)))*EXP(-ABS(E1980-CONTROL!E5)/MAX(1,CONTROL!B8)),"")</f>
        <v/>
      </c>
      <c r="U1980" s="13">
        <f>IFERROR(IF(O1980&gt;N1980,"SUPPORT (PE OI)","RESIST (CE OI)"),"")</f>
        <v/>
      </c>
      <c r="V1980" s="13">
        <f>IFERROR(IF(Q1980&gt;0,IF(R1980&gt;0,"BOTH_ADD","CE_ADD_PE_REDUCE"),IF(R1980&gt;0,"CE_REDUCE_PE_ADD","BOTH_REDUCE")),"")</f>
        <v/>
      </c>
      <c r="W1980" s="13">
        <f>IFERROR( (P1980-1)*0.5 + (M1980)*0.1 - (I1980+J1980)*0.05 + T1980*0.4 ,"")</f>
        <v/>
      </c>
      <c r="X1980" s="13">
        <f>IFERROR(IF(ABS(F1980)&lt;0.01,"ATM/NEAR",""),"")</f>
        <v/>
      </c>
    </row>
    <row r="1981">
      <c r="A1981" s="13">
        <f>CHAIN_RAW!A1981</f>
        <v/>
      </c>
      <c r="B1981" s="14">
        <f>CHAIN_RAW!B1981</f>
        <v/>
      </c>
      <c r="C1981" s="13">
        <f>CHAIN_RAW!C1981</f>
        <v/>
      </c>
      <c r="D1981" s="13">
        <f>CHAIN_RAW!D1981</f>
        <v/>
      </c>
      <c r="E1981" s="13">
        <f>CHAIN_RAW!E1981</f>
        <v/>
      </c>
      <c r="F1981" s="13">
        <f>IFERROR((E1981-D1981)/D1981,"")</f>
        <v/>
      </c>
      <c r="G1981" s="13">
        <f>IFERROR((CHAIN_RAW!K1981+CHAIN_RAW!L1981)/2,"")</f>
        <v/>
      </c>
      <c r="H1981" s="13">
        <f>IFERROR((CHAIN_RAW!R1981+CHAIN_RAW!S1981)/2,"")</f>
        <v/>
      </c>
      <c r="I1981" s="13">
        <f>IFERROR((CHAIN_RAW!L1981-CHAIN_RAW!K1981)/MAX(1E-9, G1981),"")</f>
        <v/>
      </c>
      <c r="J1981" s="13">
        <f>IFERROR((CHAIN_RAW!S1981-CHAIN_RAW!R1981)/MAX(1E-9, H1981),"")</f>
        <v/>
      </c>
      <c r="K1981" s="13">
        <f>CHAIN_RAW!G1981</f>
        <v/>
      </c>
      <c r="L1981" s="13">
        <f>CHAIN_RAW!N1981</f>
        <v/>
      </c>
      <c r="M1981" s="13">
        <f>IFERROR(L1981-K1981,"")</f>
        <v/>
      </c>
      <c r="N1981" s="13">
        <f>CHAIN_RAW!H1981</f>
        <v/>
      </c>
      <c r="O1981" s="13">
        <f>CHAIN_RAW!O1981</f>
        <v/>
      </c>
      <c r="P1981" s="13">
        <f>IFERROR(O1981/N1981,"")</f>
        <v/>
      </c>
      <c r="Q1981" s="13">
        <f>CHAIN_RAW!I1981</f>
        <v/>
      </c>
      <c r="R1981" s="13">
        <f>CHAIN_RAW!P1981</f>
        <v/>
      </c>
      <c r="S1981" s="13">
        <f>IFERROR(R1981/Q1981,"")</f>
        <v/>
      </c>
      <c r="T1981" s="13">
        <f>IFERROR((ABS(N1981-O1981)/MAX(1,(N1981+O1981)))*EXP(-ABS(E1981-CONTROL!E5)/MAX(1,CONTROL!B8)),"")</f>
        <v/>
      </c>
      <c r="U1981" s="13">
        <f>IFERROR(IF(O1981&gt;N1981,"SUPPORT (PE OI)","RESIST (CE OI)"),"")</f>
        <v/>
      </c>
      <c r="V1981" s="13">
        <f>IFERROR(IF(Q1981&gt;0,IF(R1981&gt;0,"BOTH_ADD","CE_ADD_PE_REDUCE"),IF(R1981&gt;0,"CE_REDUCE_PE_ADD","BOTH_REDUCE")),"")</f>
        <v/>
      </c>
      <c r="W1981" s="13">
        <f>IFERROR( (P1981-1)*0.5 + (M1981)*0.1 - (I1981+J1981)*0.05 + T1981*0.4 ,"")</f>
        <v/>
      </c>
      <c r="X1981" s="13">
        <f>IFERROR(IF(ABS(F1981)&lt;0.01,"ATM/NEAR",""),"")</f>
        <v/>
      </c>
    </row>
    <row r="1982">
      <c r="A1982" s="13">
        <f>CHAIN_RAW!A1982</f>
        <v/>
      </c>
      <c r="B1982" s="14">
        <f>CHAIN_RAW!B1982</f>
        <v/>
      </c>
      <c r="C1982" s="13">
        <f>CHAIN_RAW!C1982</f>
        <v/>
      </c>
      <c r="D1982" s="13">
        <f>CHAIN_RAW!D1982</f>
        <v/>
      </c>
      <c r="E1982" s="13">
        <f>CHAIN_RAW!E1982</f>
        <v/>
      </c>
      <c r="F1982" s="13">
        <f>IFERROR((E1982-D1982)/D1982,"")</f>
        <v/>
      </c>
      <c r="G1982" s="13">
        <f>IFERROR((CHAIN_RAW!K1982+CHAIN_RAW!L1982)/2,"")</f>
        <v/>
      </c>
      <c r="H1982" s="13">
        <f>IFERROR((CHAIN_RAW!R1982+CHAIN_RAW!S1982)/2,"")</f>
        <v/>
      </c>
      <c r="I1982" s="13">
        <f>IFERROR((CHAIN_RAW!L1982-CHAIN_RAW!K1982)/MAX(1E-9, G1982),"")</f>
        <v/>
      </c>
      <c r="J1982" s="13">
        <f>IFERROR((CHAIN_RAW!S1982-CHAIN_RAW!R1982)/MAX(1E-9, H1982),"")</f>
        <v/>
      </c>
      <c r="K1982" s="13">
        <f>CHAIN_RAW!G1982</f>
        <v/>
      </c>
      <c r="L1982" s="13">
        <f>CHAIN_RAW!N1982</f>
        <v/>
      </c>
      <c r="M1982" s="13">
        <f>IFERROR(L1982-K1982,"")</f>
        <v/>
      </c>
      <c r="N1982" s="13">
        <f>CHAIN_RAW!H1982</f>
        <v/>
      </c>
      <c r="O1982" s="13">
        <f>CHAIN_RAW!O1982</f>
        <v/>
      </c>
      <c r="P1982" s="13">
        <f>IFERROR(O1982/N1982,"")</f>
        <v/>
      </c>
      <c r="Q1982" s="13">
        <f>CHAIN_RAW!I1982</f>
        <v/>
      </c>
      <c r="R1982" s="13">
        <f>CHAIN_RAW!P1982</f>
        <v/>
      </c>
      <c r="S1982" s="13">
        <f>IFERROR(R1982/Q1982,"")</f>
        <v/>
      </c>
      <c r="T1982" s="13">
        <f>IFERROR((ABS(N1982-O1982)/MAX(1,(N1982+O1982)))*EXP(-ABS(E1982-CONTROL!E5)/MAX(1,CONTROL!B8)),"")</f>
        <v/>
      </c>
      <c r="U1982" s="13">
        <f>IFERROR(IF(O1982&gt;N1982,"SUPPORT (PE OI)","RESIST (CE OI)"),"")</f>
        <v/>
      </c>
      <c r="V1982" s="13">
        <f>IFERROR(IF(Q1982&gt;0,IF(R1982&gt;0,"BOTH_ADD","CE_ADD_PE_REDUCE"),IF(R1982&gt;0,"CE_REDUCE_PE_ADD","BOTH_REDUCE")),"")</f>
        <v/>
      </c>
      <c r="W1982" s="13">
        <f>IFERROR( (P1982-1)*0.5 + (M1982)*0.1 - (I1982+J1982)*0.05 + T1982*0.4 ,"")</f>
        <v/>
      </c>
      <c r="X1982" s="13">
        <f>IFERROR(IF(ABS(F1982)&lt;0.01,"ATM/NEAR",""),"")</f>
        <v/>
      </c>
    </row>
    <row r="1983">
      <c r="A1983" s="13">
        <f>CHAIN_RAW!A1983</f>
        <v/>
      </c>
      <c r="B1983" s="14">
        <f>CHAIN_RAW!B1983</f>
        <v/>
      </c>
      <c r="C1983" s="13">
        <f>CHAIN_RAW!C1983</f>
        <v/>
      </c>
      <c r="D1983" s="13">
        <f>CHAIN_RAW!D1983</f>
        <v/>
      </c>
      <c r="E1983" s="13">
        <f>CHAIN_RAW!E1983</f>
        <v/>
      </c>
      <c r="F1983" s="13">
        <f>IFERROR((E1983-D1983)/D1983,"")</f>
        <v/>
      </c>
      <c r="G1983" s="13">
        <f>IFERROR((CHAIN_RAW!K1983+CHAIN_RAW!L1983)/2,"")</f>
        <v/>
      </c>
      <c r="H1983" s="13">
        <f>IFERROR((CHAIN_RAW!R1983+CHAIN_RAW!S1983)/2,"")</f>
        <v/>
      </c>
      <c r="I1983" s="13">
        <f>IFERROR((CHAIN_RAW!L1983-CHAIN_RAW!K1983)/MAX(1E-9, G1983),"")</f>
        <v/>
      </c>
      <c r="J1983" s="13">
        <f>IFERROR((CHAIN_RAW!S1983-CHAIN_RAW!R1983)/MAX(1E-9, H1983),"")</f>
        <v/>
      </c>
      <c r="K1983" s="13">
        <f>CHAIN_RAW!G1983</f>
        <v/>
      </c>
      <c r="L1983" s="13">
        <f>CHAIN_RAW!N1983</f>
        <v/>
      </c>
      <c r="M1983" s="13">
        <f>IFERROR(L1983-K1983,"")</f>
        <v/>
      </c>
      <c r="N1983" s="13">
        <f>CHAIN_RAW!H1983</f>
        <v/>
      </c>
      <c r="O1983" s="13">
        <f>CHAIN_RAW!O1983</f>
        <v/>
      </c>
      <c r="P1983" s="13">
        <f>IFERROR(O1983/N1983,"")</f>
        <v/>
      </c>
      <c r="Q1983" s="13">
        <f>CHAIN_RAW!I1983</f>
        <v/>
      </c>
      <c r="R1983" s="13">
        <f>CHAIN_RAW!P1983</f>
        <v/>
      </c>
      <c r="S1983" s="13">
        <f>IFERROR(R1983/Q1983,"")</f>
        <v/>
      </c>
      <c r="T1983" s="13">
        <f>IFERROR((ABS(N1983-O1983)/MAX(1,(N1983+O1983)))*EXP(-ABS(E1983-CONTROL!E5)/MAX(1,CONTROL!B8)),"")</f>
        <v/>
      </c>
      <c r="U1983" s="13">
        <f>IFERROR(IF(O1983&gt;N1983,"SUPPORT (PE OI)","RESIST (CE OI)"),"")</f>
        <v/>
      </c>
      <c r="V1983" s="13">
        <f>IFERROR(IF(Q1983&gt;0,IF(R1983&gt;0,"BOTH_ADD","CE_ADD_PE_REDUCE"),IF(R1983&gt;0,"CE_REDUCE_PE_ADD","BOTH_REDUCE")),"")</f>
        <v/>
      </c>
      <c r="W1983" s="13">
        <f>IFERROR( (P1983-1)*0.5 + (M1983)*0.1 - (I1983+J1983)*0.05 + T1983*0.4 ,"")</f>
        <v/>
      </c>
      <c r="X1983" s="13">
        <f>IFERROR(IF(ABS(F1983)&lt;0.01,"ATM/NEAR",""),"")</f>
        <v/>
      </c>
    </row>
    <row r="1984">
      <c r="A1984" s="13">
        <f>CHAIN_RAW!A1984</f>
        <v/>
      </c>
      <c r="B1984" s="14">
        <f>CHAIN_RAW!B1984</f>
        <v/>
      </c>
      <c r="C1984" s="13">
        <f>CHAIN_RAW!C1984</f>
        <v/>
      </c>
      <c r="D1984" s="13">
        <f>CHAIN_RAW!D1984</f>
        <v/>
      </c>
      <c r="E1984" s="13">
        <f>CHAIN_RAW!E1984</f>
        <v/>
      </c>
      <c r="F1984" s="13">
        <f>IFERROR((E1984-D1984)/D1984,"")</f>
        <v/>
      </c>
      <c r="G1984" s="13">
        <f>IFERROR((CHAIN_RAW!K1984+CHAIN_RAW!L1984)/2,"")</f>
        <v/>
      </c>
      <c r="H1984" s="13">
        <f>IFERROR((CHAIN_RAW!R1984+CHAIN_RAW!S1984)/2,"")</f>
        <v/>
      </c>
      <c r="I1984" s="13">
        <f>IFERROR((CHAIN_RAW!L1984-CHAIN_RAW!K1984)/MAX(1E-9, G1984),"")</f>
        <v/>
      </c>
      <c r="J1984" s="13">
        <f>IFERROR((CHAIN_RAW!S1984-CHAIN_RAW!R1984)/MAX(1E-9, H1984),"")</f>
        <v/>
      </c>
      <c r="K1984" s="13">
        <f>CHAIN_RAW!G1984</f>
        <v/>
      </c>
      <c r="L1984" s="13">
        <f>CHAIN_RAW!N1984</f>
        <v/>
      </c>
      <c r="M1984" s="13">
        <f>IFERROR(L1984-K1984,"")</f>
        <v/>
      </c>
      <c r="N1984" s="13">
        <f>CHAIN_RAW!H1984</f>
        <v/>
      </c>
      <c r="O1984" s="13">
        <f>CHAIN_RAW!O1984</f>
        <v/>
      </c>
      <c r="P1984" s="13">
        <f>IFERROR(O1984/N1984,"")</f>
        <v/>
      </c>
      <c r="Q1984" s="13">
        <f>CHAIN_RAW!I1984</f>
        <v/>
      </c>
      <c r="R1984" s="13">
        <f>CHAIN_RAW!P1984</f>
        <v/>
      </c>
      <c r="S1984" s="13">
        <f>IFERROR(R1984/Q1984,"")</f>
        <v/>
      </c>
      <c r="T1984" s="13">
        <f>IFERROR((ABS(N1984-O1984)/MAX(1,(N1984+O1984)))*EXP(-ABS(E1984-CONTROL!E5)/MAX(1,CONTROL!B8)),"")</f>
        <v/>
      </c>
      <c r="U1984" s="13">
        <f>IFERROR(IF(O1984&gt;N1984,"SUPPORT (PE OI)","RESIST (CE OI)"),"")</f>
        <v/>
      </c>
      <c r="V1984" s="13">
        <f>IFERROR(IF(Q1984&gt;0,IF(R1984&gt;0,"BOTH_ADD","CE_ADD_PE_REDUCE"),IF(R1984&gt;0,"CE_REDUCE_PE_ADD","BOTH_REDUCE")),"")</f>
        <v/>
      </c>
      <c r="W1984" s="13">
        <f>IFERROR( (P1984-1)*0.5 + (M1984)*0.1 - (I1984+J1984)*0.05 + T1984*0.4 ,"")</f>
        <v/>
      </c>
      <c r="X1984" s="13">
        <f>IFERROR(IF(ABS(F1984)&lt;0.01,"ATM/NEAR",""),"")</f>
        <v/>
      </c>
    </row>
    <row r="1985">
      <c r="A1985" s="13">
        <f>CHAIN_RAW!A1985</f>
        <v/>
      </c>
      <c r="B1985" s="14">
        <f>CHAIN_RAW!B1985</f>
        <v/>
      </c>
      <c r="C1985" s="13">
        <f>CHAIN_RAW!C1985</f>
        <v/>
      </c>
      <c r="D1985" s="13">
        <f>CHAIN_RAW!D1985</f>
        <v/>
      </c>
      <c r="E1985" s="13">
        <f>CHAIN_RAW!E1985</f>
        <v/>
      </c>
      <c r="F1985" s="13">
        <f>IFERROR((E1985-D1985)/D1985,"")</f>
        <v/>
      </c>
      <c r="G1985" s="13">
        <f>IFERROR((CHAIN_RAW!K1985+CHAIN_RAW!L1985)/2,"")</f>
        <v/>
      </c>
      <c r="H1985" s="13">
        <f>IFERROR((CHAIN_RAW!R1985+CHAIN_RAW!S1985)/2,"")</f>
        <v/>
      </c>
      <c r="I1985" s="13">
        <f>IFERROR((CHAIN_RAW!L1985-CHAIN_RAW!K1985)/MAX(1E-9, G1985),"")</f>
        <v/>
      </c>
      <c r="J1985" s="13">
        <f>IFERROR((CHAIN_RAW!S1985-CHAIN_RAW!R1985)/MAX(1E-9, H1985),"")</f>
        <v/>
      </c>
      <c r="K1985" s="13">
        <f>CHAIN_RAW!G1985</f>
        <v/>
      </c>
      <c r="L1985" s="13">
        <f>CHAIN_RAW!N1985</f>
        <v/>
      </c>
      <c r="M1985" s="13">
        <f>IFERROR(L1985-K1985,"")</f>
        <v/>
      </c>
      <c r="N1985" s="13">
        <f>CHAIN_RAW!H1985</f>
        <v/>
      </c>
      <c r="O1985" s="13">
        <f>CHAIN_RAW!O1985</f>
        <v/>
      </c>
      <c r="P1985" s="13">
        <f>IFERROR(O1985/N1985,"")</f>
        <v/>
      </c>
      <c r="Q1985" s="13">
        <f>CHAIN_RAW!I1985</f>
        <v/>
      </c>
      <c r="R1985" s="13">
        <f>CHAIN_RAW!P1985</f>
        <v/>
      </c>
      <c r="S1985" s="13">
        <f>IFERROR(R1985/Q1985,"")</f>
        <v/>
      </c>
      <c r="T1985" s="13">
        <f>IFERROR((ABS(N1985-O1985)/MAX(1,(N1985+O1985)))*EXP(-ABS(E1985-CONTROL!E5)/MAX(1,CONTROL!B8)),"")</f>
        <v/>
      </c>
      <c r="U1985" s="13">
        <f>IFERROR(IF(O1985&gt;N1985,"SUPPORT (PE OI)","RESIST (CE OI)"),"")</f>
        <v/>
      </c>
      <c r="V1985" s="13">
        <f>IFERROR(IF(Q1985&gt;0,IF(R1985&gt;0,"BOTH_ADD","CE_ADD_PE_REDUCE"),IF(R1985&gt;0,"CE_REDUCE_PE_ADD","BOTH_REDUCE")),"")</f>
        <v/>
      </c>
      <c r="W1985" s="13">
        <f>IFERROR( (P1985-1)*0.5 + (M1985)*0.1 - (I1985+J1985)*0.05 + T1985*0.4 ,"")</f>
        <v/>
      </c>
      <c r="X1985" s="13">
        <f>IFERROR(IF(ABS(F1985)&lt;0.01,"ATM/NEAR",""),"")</f>
        <v/>
      </c>
    </row>
    <row r="1986">
      <c r="A1986" s="13">
        <f>CHAIN_RAW!A1986</f>
        <v/>
      </c>
      <c r="B1986" s="14">
        <f>CHAIN_RAW!B1986</f>
        <v/>
      </c>
      <c r="C1986" s="13">
        <f>CHAIN_RAW!C1986</f>
        <v/>
      </c>
      <c r="D1986" s="13">
        <f>CHAIN_RAW!D1986</f>
        <v/>
      </c>
      <c r="E1986" s="13">
        <f>CHAIN_RAW!E1986</f>
        <v/>
      </c>
      <c r="F1986" s="13">
        <f>IFERROR((E1986-D1986)/D1986,"")</f>
        <v/>
      </c>
      <c r="G1986" s="13">
        <f>IFERROR((CHAIN_RAW!K1986+CHAIN_RAW!L1986)/2,"")</f>
        <v/>
      </c>
      <c r="H1986" s="13">
        <f>IFERROR((CHAIN_RAW!R1986+CHAIN_RAW!S1986)/2,"")</f>
        <v/>
      </c>
      <c r="I1986" s="13">
        <f>IFERROR((CHAIN_RAW!L1986-CHAIN_RAW!K1986)/MAX(1E-9, G1986),"")</f>
        <v/>
      </c>
      <c r="J1986" s="13">
        <f>IFERROR((CHAIN_RAW!S1986-CHAIN_RAW!R1986)/MAX(1E-9, H1986),"")</f>
        <v/>
      </c>
      <c r="K1986" s="13">
        <f>CHAIN_RAW!G1986</f>
        <v/>
      </c>
      <c r="L1986" s="13">
        <f>CHAIN_RAW!N1986</f>
        <v/>
      </c>
      <c r="M1986" s="13">
        <f>IFERROR(L1986-K1986,"")</f>
        <v/>
      </c>
      <c r="N1986" s="13">
        <f>CHAIN_RAW!H1986</f>
        <v/>
      </c>
      <c r="O1986" s="13">
        <f>CHAIN_RAW!O1986</f>
        <v/>
      </c>
      <c r="P1986" s="13">
        <f>IFERROR(O1986/N1986,"")</f>
        <v/>
      </c>
      <c r="Q1986" s="13">
        <f>CHAIN_RAW!I1986</f>
        <v/>
      </c>
      <c r="R1986" s="13">
        <f>CHAIN_RAW!P1986</f>
        <v/>
      </c>
      <c r="S1986" s="13">
        <f>IFERROR(R1986/Q1986,"")</f>
        <v/>
      </c>
      <c r="T1986" s="13">
        <f>IFERROR((ABS(N1986-O1986)/MAX(1,(N1986+O1986)))*EXP(-ABS(E1986-CONTROL!E5)/MAX(1,CONTROL!B8)),"")</f>
        <v/>
      </c>
      <c r="U1986" s="13">
        <f>IFERROR(IF(O1986&gt;N1986,"SUPPORT (PE OI)","RESIST (CE OI)"),"")</f>
        <v/>
      </c>
      <c r="V1986" s="13">
        <f>IFERROR(IF(Q1986&gt;0,IF(R1986&gt;0,"BOTH_ADD","CE_ADD_PE_REDUCE"),IF(R1986&gt;0,"CE_REDUCE_PE_ADD","BOTH_REDUCE")),"")</f>
        <v/>
      </c>
      <c r="W1986" s="13">
        <f>IFERROR( (P1986-1)*0.5 + (M1986)*0.1 - (I1986+J1986)*0.05 + T1986*0.4 ,"")</f>
        <v/>
      </c>
      <c r="X1986" s="13">
        <f>IFERROR(IF(ABS(F1986)&lt;0.01,"ATM/NEAR",""),"")</f>
        <v/>
      </c>
    </row>
    <row r="1987">
      <c r="A1987" s="13">
        <f>CHAIN_RAW!A1987</f>
        <v/>
      </c>
      <c r="B1987" s="14">
        <f>CHAIN_RAW!B1987</f>
        <v/>
      </c>
      <c r="C1987" s="13">
        <f>CHAIN_RAW!C1987</f>
        <v/>
      </c>
      <c r="D1987" s="13">
        <f>CHAIN_RAW!D1987</f>
        <v/>
      </c>
      <c r="E1987" s="13">
        <f>CHAIN_RAW!E1987</f>
        <v/>
      </c>
      <c r="F1987" s="13">
        <f>IFERROR((E1987-D1987)/D1987,"")</f>
        <v/>
      </c>
      <c r="G1987" s="13">
        <f>IFERROR((CHAIN_RAW!K1987+CHAIN_RAW!L1987)/2,"")</f>
        <v/>
      </c>
      <c r="H1987" s="13">
        <f>IFERROR((CHAIN_RAW!R1987+CHAIN_RAW!S1987)/2,"")</f>
        <v/>
      </c>
      <c r="I1987" s="13">
        <f>IFERROR((CHAIN_RAW!L1987-CHAIN_RAW!K1987)/MAX(1E-9, G1987),"")</f>
        <v/>
      </c>
      <c r="J1987" s="13">
        <f>IFERROR((CHAIN_RAW!S1987-CHAIN_RAW!R1987)/MAX(1E-9, H1987),"")</f>
        <v/>
      </c>
      <c r="K1987" s="13">
        <f>CHAIN_RAW!G1987</f>
        <v/>
      </c>
      <c r="L1987" s="13">
        <f>CHAIN_RAW!N1987</f>
        <v/>
      </c>
      <c r="M1987" s="13">
        <f>IFERROR(L1987-K1987,"")</f>
        <v/>
      </c>
      <c r="N1987" s="13">
        <f>CHAIN_RAW!H1987</f>
        <v/>
      </c>
      <c r="O1987" s="13">
        <f>CHAIN_RAW!O1987</f>
        <v/>
      </c>
      <c r="P1987" s="13">
        <f>IFERROR(O1987/N1987,"")</f>
        <v/>
      </c>
      <c r="Q1987" s="13">
        <f>CHAIN_RAW!I1987</f>
        <v/>
      </c>
      <c r="R1987" s="13">
        <f>CHAIN_RAW!P1987</f>
        <v/>
      </c>
      <c r="S1987" s="13">
        <f>IFERROR(R1987/Q1987,"")</f>
        <v/>
      </c>
      <c r="T1987" s="13">
        <f>IFERROR((ABS(N1987-O1987)/MAX(1,(N1987+O1987)))*EXP(-ABS(E1987-CONTROL!E5)/MAX(1,CONTROL!B8)),"")</f>
        <v/>
      </c>
      <c r="U1987" s="13">
        <f>IFERROR(IF(O1987&gt;N1987,"SUPPORT (PE OI)","RESIST (CE OI)"),"")</f>
        <v/>
      </c>
      <c r="V1987" s="13">
        <f>IFERROR(IF(Q1987&gt;0,IF(R1987&gt;0,"BOTH_ADD","CE_ADD_PE_REDUCE"),IF(R1987&gt;0,"CE_REDUCE_PE_ADD","BOTH_REDUCE")),"")</f>
        <v/>
      </c>
      <c r="W1987" s="13">
        <f>IFERROR( (P1987-1)*0.5 + (M1987)*0.1 - (I1987+J1987)*0.05 + T1987*0.4 ,"")</f>
        <v/>
      </c>
      <c r="X1987" s="13">
        <f>IFERROR(IF(ABS(F1987)&lt;0.01,"ATM/NEAR",""),"")</f>
        <v/>
      </c>
    </row>
    <row r="1988">
      <c r="A1988" s="13">
        <f>CHAIN_RAW!A1988</f>
        <v/>
      </c>
      <c r="B1988" s="14">
        <f>CHAIN_RAW!B1988</f>
        <v/>
      </c>
      <c r="C1988" s="13">
        <f>CHAIN_RAW!C1988</f>
        <v/>
      </c>
      <c r="D1988" s="13">
        <f>CHAIN_RAW!D1988</f>
        <v/>
      </c>
      <c r="E1988" s="13">
        <f>CHAIN_RAW!E1988</f>
        <v/>
      </c>
      <c r="F1988" s="13">
        <f>IFERROR((E1988-D1988)/D1988,"")</f>
        <v/>
      </c>
      <c r="G1988" s="13">
        <f>IFERROR((CHAIN_RAW!K1988+CHAIN_RAW!L1988)/2,"")</f>
        <v/>
      </c>
      <c r="H1988" s="13">
        <f>IFERROR((CHAIN_RAW!R1988+CHAIN_RAW!S1988)/2,"")</f>
        <v/>
      </c>
      <c r="I1988" s="13">
        <f>IFERROR((CHAIN_RAW!L1988-CHAIN_RAW!K1988)/MAX(1E-9, G1988),"")</f>
        <v/>
      </c>
      <c r="J1988" s="13">
        <f>IFERROR((CHAIN_RAW!S1988-CHAIN_RAW!R1988)/MAX(1E-9, H1988),"")</f>
        <v/>
      </c>
      <c r="K1988" s="13">
        <f>CHAIN_RAW!G1988</f>
        <v/>
      </c>
      <c r="L1988" s="13">
        <f>CHAIN_RAW!N1988</f>
        <v/>
      </c>
      <c r="M1988" s="13">
        <f>IFERROR(L1988-K1988,"")</f>
        <v/>
      </c>
      <c r="N1988" s="13">
        <f>CHAIN_RAW!H1988</f>
        <v/>
      </c>
      <c r="O1988" s="13">
        <f>CHAIN_RAW!O1988</f>
        <v/>
      </c>
      <c r="P1988" s="13">
        <f>IFERROR(O1988/N1988,"")</f>
        <v/>
      </c>
      <c r="Q1988" s="13">
        <f>CHAIN_RAW!I1988</f>
        <v/>
      </c>
      <c r="R1988" s="13">
        <f>CHAIN_RAW!P1988</f>
        <v/>
      </c>
      <c r="S1988" s="13">
        <f>IFERROR(R1988/Q1988,"")</f>
        <v/>
      </c>
      <c r="T1988" s="13">
        <f>IFERROR((ABS(N1988-O1988)/MAX(1,(N1988+O1988)))*EXP(-ABS(E1988-CONTROL!E5)/MAX(1,CONTROL!B8)),"")</f>
        <v/>
      </c>
      <c r="U1988" s="13">
        <f>IFERROR(IF(O1988&gt;N1988,"SUPPORT (PE OI)","RESIST (CE OI)"),"")</f>
        <v/>
      </c>
      <c r="V1988" s="13">
        <f>IFERROR(IF(Q1988&gt;0,IF(R1988&gt;0,"BOTH_ADD","CE_ADD_PE_REDUCE"),IF(R1988&gt;0,"CE_REDUCE_PE_ADD","BOTH_REDUCE")),"")</f>
        <v/>
      </c>
      <c r="W1988" s="13">
        <f>IFERROR( (P1988-1)*0.5 + (M1988)*0.1 - (I1988+J1988)*0.05 + T1988*0.4 ,"")</f>
        <v/>
      </c>
      <c r="X1988" s="13">
        <f>IFERROR(IF(ABS(F1988)&lt;0.01,"ATM/NEAR",""),"")</f>
        <v/>
      </c>
    </row>
    <row r="1989">
      <c r="A1989" s="13">
        <f>CHAIN_RAW!A1989</f>
        <v/>
      </c>
      <c r="B1989" s="14">
        <f>CHAIN_RAW!B1989</f>
        <v/>
      </c>
      <c r="C1989" s="13">
        <f>CHAIN_RAW!C1989</f>
        <v/>
      </c>
      <c r="D1989" s="13">
        <f>CHAIN_RAW!D1989</f>
        <v/>
      </c>
      <c r="E1989" s="13">
        <f>CHAIN_RAW!E1989</f>
        <v/>
      </c>
      <c r="F1989" s="13">
        <f>IFERROR((E1989-D1989)/D1989,"")</f>
        <v/>
      </c>
      <c r="G1989" s="13">
        <f>IFERROR((CHAIN_RAW!K1989+CHAIN_RAW!L1989)/2,"")</f>
        <v/>
      </c>
      <c r="H1989" s="13">
        <f>IFERROR((CHAIN_RAW!R1989+CHAIN_RAW!S1989)/2,"")</f>
        <v/>
      </c>
      <c r="I1989" s="13">
        <f>IFERROR((CHAIN_RAW!L1989-CHAIN_RAW!K1989)/MAX(1E-9, G1989),"")</f>
        <v/>
      </c>
      <c r="J1989" s="13">
        <f>IFERROR((CHAIN_RAW!S1989-CHAIN_RAW!R1989)/MAX(1E-9, H1989),"")</f>
        <v/>
      </c>
      <c r="K1989" s="13">
        <f>CHAIN_RAW!G1989</f>
        <v/>
      </c>
      <c r="L1989" s="13">
        <f>CHAIN_RAW!N1989</f>
        <v/>
      </c>
      <c r="M1989" s="13">
        <f>IFERROR(L1989-K1989,"")</f>
        <v/>
      </c>
      <c r="N1989" s="13">
        <f>CHAIN_RAW!H1989</f>
        <v/>
      </c>
      <c r="O1989" s="13">
        <f>CHAIN_RAW!O1989</f>
        <v/>
      </c>
      <c r="P1989" s="13">
        <f>IFERROR(O1989/N1989,"")</f>
        <v/>
      </c>
      <c r="Q1989" s="13">
        <f>CHAIN_RAW!I1989</f>
        <v/>
      </c>
      <c r="R1989" s="13">
        <f>CHAIN_RAW!P1989</f>
        <v/>
      </c>
      <c r="S1989" s="13">
        <f>IFERROR(R1989/Q1989,"")</f>
        <v/>
      </c>
      <c r="T1989" s="13">
        <f>IFERROR((ABS(N1989-O1989)/MAX(1,(N1989+O1989)))*EXP(-ABS(E1989-CONTROL!E5)/MAX(1,CONTROL!B8)),"")</f>
        <v/>
      </c>
      <c r="U1989" s="13">
        <f>IFERROR(IF(O1989&gt;N1989,"SUPPORT (PE OI)","RESIST (CE OI)"),"")</f>
        <v/>
      </c>
      <c r="V1989" s="13">
        <f>IFERROR(IF(Q1989&gt;0,IF(R1989&gt;0,"BOTH_ADD","CE_ADD_PE_REDUCE"),IF(R1989&gt;0,"CE_REDUCE_PE_ADD","BOTH_REDUCE")),"")</f>
        <v/>
      </c>
      <c r="W1989" s="13">
        <f>IFERROR( (P1989-1)*0.5 + (M1989)*0.1 - (I1989+J1989)*0.05 + T1989*0.4 ,"")</f>
        <v/>
      </c>
      <c r="X1989" s="13">
        <f>IFERROR(IF(ABS(F1989)&lt;0.01,"ATM/NEAR",""),"")</f>
        <v/>
      </c>
    </row>
    <row r="1990">
      <c r="A1990" s="13">
        <f>CHAIN_RAW!A1990</f>
        <v/>
      </c>
      <c r="B1990" s="14">
        <f>CHAIN_RAW!B1990</f>
        <v/>
      </c>
      <c r="C1990" s="13">
        <f>CHAIN_RAW!C1990</f>
        <v/>
      </c>
      <c r="D1990" s="13">
        <f>CHAIN_RAW!D1990</f>
        <v/>
      </c>
      <c r="E1990" s="13">
        <f>CHAIN_RAW!E1990</f>
        <v/>
      </c>
      <c r="F1990" s="13">
        <f>IFERROR((E1990-D1990)/D1990,"")</f>
        <v/>
      </c>
      <c r="G1990" s="13">
        <f>IFERROR((CHAIN_RAW!K1990+CHAIN_RAW!L1990)/2,"")</f>
        <v/>
      </c>
      <c r="H1990" s="13">
        <f>IFERROR((CHAIN_RAW!R1990+CHAIN_RAW!S1990)/2,"")</f>
        <v/>
      </c>
      <c r="I1990" s="13">
        <f>IFERROR((CHAIN_RAW!L1990-CHAIN_RAW!K1990)/MAX(1E-9, G1990),"")</f>
        <v/>
      </c>
      <c r="J1990" s="13">
        <f>IFERROR((CHAIN_RAW!S1990-CHAIN_RAW!R1990)/MAX(1E-9, H1990),"")</f>
        <v/>
      </c>
      <c r="K1990" s="13">
        <f>CHAIN_RAW!G1990</f>
        <v/>
      </c>
      <c r="L1990" s="13">
        <f>CHAIN_RAW!N1990</f>
        <v/>
      </c>
      <c r="M1990" s="13">
        <f>IFERROR(L1990-K1990,"")</f>
        <v/>
      </c>
      <c r="N1990" s="13">
        <f>CHAIN_RAW!H1990</f>
        <v/>
      </c>
      <c r="O1990" s="13">
        <f>CHAIN_RAW!O1990</f>
        <v/>
      </c>
      <c r="P1990" s="13">
        <f>IFERROR(O1990/N1990,"")</f>
        <v/>
      </c>
      <c r="Q1990" s="13">
        <f>CHAIN_RAW!I1990</f>
        <v/>
      </c>
      <c r="R1990" s="13">
        <f>CHAIN_RAW!P1990</f>
        <v/>
      </c>
      <c r="S1990" s="13">
        <f>IFERROR(R1990/Q1990,"")</f>
        <v/>
      </c>
      <c r="T1990" s="13">
        <f>IFERROR((ABS(N1990-O1990)/MAX(1,(N1990+O1990)))*EXP(-ABS(E1990-CONTROL!E5)/MAX(1,CONTROL!B8)),"")</f>
        <v/>
      </c>
      <c r="U1990" s="13">
        <f>IFERROR(IF(O1990&gt;N1990,"SUPPORT (PE OI)","RESIST (CE OI)"),"")</f>
        <v/>
      </c>
      <c r="V1990" s="13">
        <f>IFERROR(IF(Q1990&gt;0,IF(R1990&gt;0,"BOTH_ADD","CE_ADD_PE_REDUCE"),IF(R1990&gt;0,"CE_REDUCE_PE_ADD","BOTH_REDUCE")),"")</f>
        <v/>
      </c>
      <c r="W1990" s="13">
        <f>IFERROR( (P1990-1)*0.5 + (M1990)*0.1 - (I1990+J1990)*0.05 + T1990*0.4 ,"")</f>
        <v/>
      </c>
      <c r="X1990" s="13">
        <f>IFERROR(IF(ABS(F1990)&lt;0.01,"ATM/NEAR",""),"")</f>
        <v/>
      </c>
    </row>
    <row r="1991">
      <c r="A1991" s="13">
        <f>CHAIN_RAW!A1991</f>
        <v/>
      </c>
      <c r="B1991" s="14">
        <f>CHAIN_RAW!B1991</f>
        <v/>
      </c>
      <c r="C1991" s="13">
        <f>CHAIN_RAW!C1991</f>
        <v/>
      </c>
      <c r="D1991" s="13">
        <f>CHAIN_RAW!D1991</f>
        <v/>
      </c>
      <c r="E1991" s="13">
        <f>CHAIN_RAW!E1991</f>
        <v/>
      </c>
      <c r="F1991" s="13">
        <f>IFERROR((E1991-D1991)/D1991,"")</f>
        <v/>
      </c>
      <c r="G1991" s="13">
        <f>IFERROR((CHAIN_RAW!K1991+CHAIN_RAW!L1991)/2,"")</f>
        <v/>
      </c>
      <c r="H1991" s="13">
        <f>IFERROR((CHAIN_RAW!R1991+CHAIN_RAW!S1991)/2,"")</f>
        <v/>
      </c>
      <c r="I1991" s="13">
        <f>IFERROR((CHAIN_RAW!L1991-CHAIN_RAW!K1991)/MAX(1E-9, G1991),"")</f>
        <v/>
      </c>
      <c r="J1991" s="13">
        <f>IFERROR((CHAIN_RAW!S1991-CHAIN_RAW!R1991)/MAX(1E-9, H1991),"")</f>
        <v/>
      </c>
      <c r="K1991" s="13">
        <f>CHAIN_RAW!G1991</f>
        <v/>
      </c>
      <c r="L1991" s="13">
        <f>CHAIN_RAW!N1991</f>
        <v/>
      </c>
      <c r="M1991" s="13">
        <f>IFERROR(L1991-K1991,"")</f>
        <v/>
      </c>
      <c r="N1991" s="13">
        <f>CHAIN_RAW!H1991</f>
        <v/>
      </c>
      <c r="O1991" s="13">
        <f>CHAIN_RAW!O1991</f>
        <v/>
      </c>
      <c r="P1991" s="13">
        <f>IFERROR(O1991/N1991,"")</f>
        <v/>
      </c>
      <c r="Q1991" s="13">
        <f>CHAIN_RAW!I1991</f>
        <v/>
      </c>
      <c r="R1991" s="13">
        <f>CHAIN_RAW!P1991</f>
        <v/>
      </c>
      <c r="S1991" s="13">
        <f>IFERROR(R1991/Q1991,"")</f>
        <v/>
      </c>
      <c r="T1991" s="13">
        <f>IFERROR((ABS(N1991-O1991)/MAX(1,(N1991+O1991)))*EXP(-ABS(E1991-CONTROL!E5)/MAX(1,CONTROL!B8)),"")</f>
        <v/>
      </c>
      <c r="U1991" s="13">
        <f>IFERROR(IF(O1991&gt;N1991,"SUPPORT (PE OI)","RESIST (CE OI)"),"")</f>
        <v/>
      </c>
      <c r="V1991" s="13">
        <f>IFERROR(IF(Q1991&gt;0,IF(R1991&gt;0,"BOTH_ADD","CE_ADD_PE_REDUCE"),IF(R1991&gt;0,"CE_REDUCE_PE_ADD","BOTH_REDUCE")),"")</f>
        <v/>
      </c>
      <c r="W1991" s="13">
        <f>IFERROR( (P1991-1)*0.5 + (M1991)*0.1 - (I1991+J1991)*0.05 + T1991*0.4 ,"")</f>
        <v/>
      </c>
      <c r="X1991" s="13">
        <f>IFERROR(IF(ABS(F1991)&lt;0.01,"ATM/NEAR",""),"")</f>
        <v/>
      </c>
    </row>
    <row r="1992">
      <c r="A1992" s="13">
        <f>CHAIN_RAW!A1992</f>
        <v/>
      </c>
      <c r="B1992" s="14">
        <f>CHAIN_RAW!B1992</f>
        <v/>
      </c>
      <c r="C1992" s="13">
        <f>CHAIN_RAW!C1992</f>
        <v/>
      </c>
      <c r="D1992" s="13">
        <f>CHAIN_RAW!D1992</f>
        <v/>
      </c>
      <c r="E1992" s="13">
        <f>CHAIN_RAW!E1992</f>
        <v/>
      </c>
      <c r="F1992" s="13">
        <f>IFERROR((E1992-D1992)/D1992,"")</f>
        <v/>
      </c>
      <c r="G1992" s="13">
        <f>IFERROR((CHAIN_RAW!K1992+CHAIN_RAW!L1992)/2,"")</f>
        <v/>
      </c>
      <c r="H1992" s="13">
        <f>IFERROR((CHAIN_RAW!R1992+CHAIN_RAW!S1992)/2,"")</f>
        <v/>
      </c>
      <c r="I1992" s="13">
        <f>IFERROR((CHAIN_RAW!L1992-CHAIN_RAW!K1992)/MAX(1E-9, G1992),"")</f>
        <v/>
      </c>
      <c r="J1992" s="13">
        <f>IFERROR((CHAIN_RAW!S1992-CHAIN_RAW!R1992)/MAX(1E-9, H1992),"")</f>
        <v/>
      </c>
      <c r="K1992" s="13">
        <f>CHAIN_RAW!G1992</f>
        <v/>
      </c>
      <c r="L1992" s="13">
        <f>CHAIN_RAW!N1992</f>
        <v/>
      </c>
      <c r="M1992" s="13">
        <f>IFERROR(L1992-K1992,"")</f>
        <v/>
      </c>
      <c r="N1992" s="13">
        <f>CHAIN_RAW!H1992</f>
        <v/>
      </c>
      <c r="O1992" s="13">
        <f>CHAIN_RAW!O1992</f>
        <v/>
      </c>
      <c r="P1992" s="13">
        <f>IFERROR(O1992/N1992,"")</f>
        <v/>
      </c>
      <c r="Q1992" s="13">
        <f>CHAIN_RAW!I1992</f>
        <v/>
      </c>
      <c r="R1992" s="13">
        <f>CHAIN_RAW!P1992</f>
        <v/>
      </c>
      <c r="S1992" s="13">
        <f>IFERROR(R1992/Q1992,"")</f>
        <v/>
      </c>
      <c r="T1992" s="13">
        <f>IFERROR((ABS(N1992-O1992)/MAX(1,(N1992+O1992)))*EXP(-ABS(E1992-CONTROL!E5)/MAX(1,CONTROL!B8)),"")</f>
        <v/>
      </c>
      <c r="U1992" s="13">
        <f>IFERROR(IF(O1992&gt;N1992,"SUPPORT (PE OI)","RESIST (CE OI)"),"")</f>
        <v/>
      </c>
      <c r="V1992" s="13">
        <f>IFERROR(IF(Q1992&gt;0,IF(R1992&gt;0,"BOTH_ADD","CE_ADD_PE_REDUCE"),IF(R1992&gt;0,"CE_REDUCE_PE_ADD","BOTH_REDUCE")),"")</f>
        <v/>
      </c>
      <c r="W1992" s="13">
        <f>IFERROR( (P1992-1)*0.5 + (M1992)*0.1 - (I1992+J1992)*0.05 + T1992*0.4 ,"")</f>
        <v/>
      </c>
      <c r="X1992" s="13">
        <f>IFERROR(IF(ABS(F1992)&lt;0.01,"ATM/NEAR",""),"")</f>
        <v/>
      </c>
    </row>
    <row r="1993">
      <c r="A1993" s="13">
        <f>CHAIN_RAW!A1993</f>
        <v/>
      </c>
      <c r="B1993" s="14">
        <f>CHAIN_RAW!B1993</f>
        <v/>
      </c>
      <c r="C1993" s="13">
        <f>CHAIN_RAW!C1993</f>
        <v/>
      </c>
      <c r="D1993" s="13">
        <f>CHAIN_RAW!D1993</f>
        <v/>
      </c>
      <c r="E1993" s="13">
        <f>CHAIN_RAW!E1993</f>
        <v/>
      </c>
      <c r="F1993" s="13">
        <f>IFERROR((E1993-D1993)/D1993,"")</f>
        <v/>
      </c>
      <c r="G1993" s="13">
        <f>IFERROR((CHAIN_RAW!K1993+CHAIN_RAW!L1993)/2,"")</f>
        <v/>
      </c>
      <c r="H1993" s="13">
        <f>IFERROR((CHAIN_RAW!R1993+CHAIN_RAW!S1993)/2,"")</f>
        <v/>
      </c>
      <c r="I1993" s="13">
        <f>IFERROR((CHAIN_RAW!L1993-CHAIN_RAW!K1993)/MAX(1E-9, G1993),"")</f>
        <v/>
      </c>
      <c r="J1993" s="13">
        <f>IFERROR((CHAIN_RAW!S1993-CHAIN_RAW!R1993)/MAX(1E-9, H1993),"")</f>
        <v/>
      </c>
      <c r="K1993" s="13">
        <f>CHAIN_RAW!G1993</f>
        <v/>
      </c>
      <c r="L1993" s="13">
        <f>CHAIN_RAW!N1993</f>
        <v/>
      </c>
      <c r="M1993" s="13">
        <f>IFERROR(L1993-K1993,"")</f>
        <v/>
      </c>
      <c r="N1993" s="13">
        <f>CHAIN_RAW!H1993</f>
        <v/>
      </c>
      <c r="O1993" s="13">
        <f>CHAIN_RAW!O1993</f>
        <v/>
      </c>
      <c r="P1993" s="13">
        <f>IFERROR(O1993/N1993,"")</f>
        <v/>
      </c>
      <c r="Q1993" s="13">
        <f>CHAIN_RAW!I1993</f>
        <v/>
      </c>
      <c r="R1993" s="13">
        <f>CHAIN_RAW!P1993</f>
        <v/>
      </c>
      <c r="S1993" s="13">
        <f>IFERROR(R1993/Q1993,"")</f>
        <v/>
      </c>
      <c r="T1993" s="13">
        <f>IFERROR((ABS(N1993-O1993)/MAX(1,(N1993+O1993)))*EXP(-ABS(E1993-CONTROL!E5)/MAX(1,CONTROL!B8)),"")</f>
        <v/>
      </c>
      <c r="U1993" s="13">
        <f>IFERROR(IF(O1993&gt;N1993,"SUPPORT (PE OI)","RESIST (CE OI)"),"")</f>
        <v/>
      </c>
      <c r="V1993" s="13">
        <f>IFERROR(IF(Q1993&gt;0,IF(R1993&gt;0,"BOTH_ADD","CE_ADD_PE_REDUCE"),IF(R1993&gt;0,"CE_REDUCE_PE_ADD","BOTH_REDUCE")),"")</f>
        <v/>
      </c>
      <c r="W1993" s="13">
        <f>IFERROR( (P1993-1)*0.5 + (M1993)*0.1 - (I1993+J1993)*0.05 + T1993*0.4 ,"")</f>
        <v/>
      </c>
      <c r="X1993" s="13">
        <f>IFERROR(IF(ABS(F1993)&lt;0.01,"ATM/NEAR",""),"")</f>
        <v/>
      </c>
    </row>
    <row r="1994">
      <c r="A1994" s="13">
        <f>CHAIN_RAW!A1994</f>
        <v/>
      </c>
      <c r="B1994" s="14">
        <f>CHAIN_RAW!B1994</f>
        <v/>
      </c>
      <c r="C1994" s="13">
        <f>CHAIN_RAW!C1994</f>
        <v/>
      </c>
      <c r="D1994" s="13">
        <f>CHAIN_RAW!D1994</f>
        <v/>
      </c>
      <c r="E1994" s="13">
        <f>CHAIN_RAW!E1994</f>
        <v/>
      </c>
      <c r="F1994" s="13">
        <f>IFERROR((E1994-D1994)/D1994,"")</f>
        <v/>
      </c>
      <c r="G1994" s="13">
        <f>IFERROR((CHAIN_RAW!K1994+CHAIN_RAW!L1994)/2,"")</f>
        <v/>
      </c>
      <c r="H1994" s="13">
        <f>IFERROR((CHAIN_RAW!R1994+CHAIN_RAW!S1994)/2,"")</f>
        <v/>
      </c>
      <c r="I1994" s="13">
        <f>IFERROR((CHAIN_RAW!L1994-CHAIN_RAW!K1994)/MAX(1E-9, G1994),"")</f>
        <v/>
      </c>
      <c r="J1994" s="13">
        <f>IFERROR((CHAIN_RAW!S1994-CHAIN_RAW!R1994)/MAX(1E-9, H1994),"")</f>
        <v/>
      </c>
      <c r="K1994" s="13">
        <f>CHAIN_RAW!G1994</f>
        <v/>
      </c>
      <c r="L1994" s="13">
        <f>CHAIN_RAW!N1994</f>
        <v/>
      </c>
      <c r="M1994" s="13">
        <f>IFERROR(L1994-K1994,"")</f>
        <v/>
      </c>
      <c r="N1994" s="13">
        <f>CHAIN_RAW!H1994</f>
        <v/>
      </c>
      <c r="O1994" s="13">
        <f>CHAIN_RAW!O1994</f>
        <v/>
      </c>
      <c r="P1994" s="13">
        <f>IFERROR(O1994/N1994,"")</f>
        <v/>
      </c>
      <c r="Q1994" s="13">
        <f>CHAIN_RAW!I1994</f>
        <v/>
      </c>
      <c r="R1994" s="13">
        <f>CHAIN_RAW!P1994</f>
        <v/>
      </c>
      <c r="S1994" s="13">
        <f>IFERROR(R1994/Q1994,"")</f>
        <v/>
      </c>
      <c r="T1994" s="13">
        <f>IFERROR((ABS(N1994-O1994)/MAX(1,(N1994+O1994)))*EXP(-ABS(E1994-CONTROL!E5)/MAX(1,CONTROL!B8)),"")</f>
        <v/>
      </c>
      <c r="U1994" s="13">
        <f>IFERROR(IF(O1994&gt;N1994,"SUPPORT (PE OI)","RESIST (CE OI)"),"")</f>
        <v/>
      </c>
      <c r="V1994" s="13">
        <f>IFERROR(IF(Q1994&gt;0,IF(R1994&gt;0,"BOTH_ADD","CE_ADD_PE_REDUCE"),IF(R1994&gt;0,"CE_REDUCE_PE_ADD","BOTH_REDUCE")),"")</f>
        <v/>
      </c>
      <c r="W1994" s="13">
        <f>IFERROR( (P1994-1)*0.5 + (M1994)*0.1 - (I1994+J1994)*0.05 + T1994*0.4 ,"")</f>
        <v/>
      </c>
      <c r="X1994" s="13">
        <f>IFERROR(IF(ABS(F1994)&lt;0.01,"ATM/NEAR",""),"")</f>
        <v/>
      </c>
    </row>
    <row r="1995">
      <c r="A1995" s="13">
        <f>CHAIN_RAW!A1995</f>
        <v/>
      </c>
      <c r="B1995" s="14">
        <f>CHAIN_RAW!B1995</f>
        <v/>
      </c>
      <c r="C1995" s="13">
        <f>CHAIN_RAW!C1995</f>
        <v/>
      </c>
      <c r="D1995" s="13">
        <f>CHAIN_RAW!D1995</f>
        <v/>
      </c>
      <c r="E1995" s="13">
        <f>CHAIN_RAW!E1995</f>
        <v/>
      </c>
      <c r="F1995" s="13">
        <f>IFERROR((E1995-D1995)/D1995,"")</f>
        <v/>
      </c>
      <c r="G1995" s="13">
        <f>IFERROR((CHAIN_RAW!K1995+CHAIN_RAW!L1995)/2,"")</f>
        <v/>
      </c>
      <c r="H1995" s="13">
        <f>IFERROR((CHAIN_RAW!R1995+CHAIN_RAW!S1995)/2,"")</f>
        <v/>
      </c>
      <c r="I1995" s="13">
        <f>IFERROR((CHAIN_RAW!L1995-CHAIN_RAW!K1995)/MAX(1E-9, G1995),"")</f>
        <v/>
      </c>
      <c r="J1995" s="13">
        <f>IFERROR((CHAIN_RAW!S1995-CHAIN_RAW!R1995)/MAX(1E-9, H1995),"")</f>
        <v/>
      </c>
      <c r="K1995" s="13">
        <f>CHAIN_RAW!G1995</f>
        <v/>
      </c>
      <c r="L1995" s="13">
        <f>CHAIN_RAW!N1995</f>
        <v/>
      </c>
      <c r="M1995" s="13">
        <f>IFERROR(L1995-K1995,"")</f>
        <v/>
      </c>
      <c r="N1995" s="13">
        <f>CHAIN_RAW!H1995</f>
        <v/>
      </c>
      <c r="O1995" s="13">
        <f>CHAIN_RAW!O1995</f>
        <v/>
      </c>
      <c r="P1995" s="13">
        <f>IFERROR(O1995/N1995,"")</f>
        <v/>
      </c>
      <c r="Q1995" s="13">
        <f>CHAIN_RAW!I1995</f>
        <v/>
      </c>
      <c r="R1995" s="13">
        <f>CHAIN_RAW!P1995</f>
        <v/>
      </c>
      <c r="S1995" s="13">
        <f>IFERROR(R1995/Q1995,"")</f>
        <v/>
      </c>
      <c r="T1995" s="13">
        <f>IFERROR((ABS(N1995-O1995)/MAX(1,(N1995+O1995)))*EXP(-ABS(E1995-CONTROL!E5)/MAX(1,CONTROL!B8)),"")</f>
        <v/>
      </c>
      <c r="U1995" s="13">
        <f>IFERROR(IF(O1995&gt;N1995,"SUPPORT (PE OI)","RESIST (CE OI)"),"")</f>
        <v/>
      </c>
      <c r="V1995" s="13">
        <f>IFERROR(IF(Q1995&gt;0,IF(R1995&gt;0,"BOTH_ADD","CE_ADD_PE_REDUCE"),IF(R1995&gt;0,"CE_REDUCE_PE_ADD","BOTH_REDUCE")),"")</f>
        <v/>
      </c>
      <c r="W1995" s="13">
        <f>IFERROR( (P1995-1)*0.5 + (M1995)*0.1 - (I1995+J1995)*0.05 + T1995*0.4 ,"")</f>
        <v/>
      </c>
      <c r="X1995" s="13">
        <f>IFERROR(IF(ABS(F1995)&lt;0.01,"ATM/NEAR",""),"")</f>
        <v/>
      </c>
    </row>
    <row r="1996">
      <c r="A1996" s="13">
        <f>CHAIN_RAW!A1996</f>
        <v/>
      </c>
      <c r="B1996" s="14">
        <f>CHAIN_RAW!B1996</f>
        <v/>
      </c>
      <c r="C1996" s="13">
        <f>CHAIN_RAW!C1996</f>
        <v/>
      </c>
      <c r="D1996" s="13">
        <f>CHAIN_RAW!D1996</f>
        <v/>
      </c>
      <c r="E1996" s="13">
        <f>CHAIN_RAW!E1996</f>
        <v/>
      </c>
      <c r="F1996" s="13">
        <f>IFERROR((E1996-D1996)/D1996,"")</f>
        <v/>
      </c>
      <c r="G1996" s="13">
        <f>IFERROR((CHAIN_RAW!K1996+CHAIN_RAW!L1996)/2,"")</f>
        <v/>
      </c>
      <c r="H1996" s="13">
        <f>IFERROR((CHAIN_RAW!R1996+CHAIN_RAW!S1996)/2,"")</f>
        <v/>
      </c>
      <c r="I1996" s="13">
        <f>IFERROR((CHAIN_RAW!L1996-CHAIN_RAW!K1996)/MAX(1E-9, G1996),"")</f>
        <v/>
      </c>
      <c r="J1996" s="13">
        <f>IFERROR((CHAIN_RAW!S1996-CHAIN_RAW!R1996)/MAX(1E-9, H1996),"")</f>
        <v/>
      </c>
      <c r="K1996" s="13">
        <f>CHAIN_RAW!G1996</f>
        <v/>
      </c>
      <c r="L1996" s="13">
        <f>CHAIN_RAW!N1996</f>
        <v/>
      </c>
      <c r="M1996" s="13">
        <f>IFERROR(L1996-K1996,"")</f>
        <v/>
      </c>
      <c r="N1996" s="13">
        <f>CHAIN_RAW!H1996</f>
        <v/>
      </c>
      <c r="O1996" s="13">
        <f>CHAIN_RAW!O1996</f>
        <v/>
      </c>
      <c r="P1996" s="13">
        <f>IFERROR(O1996/N1996,"")</f>
        <v/>
      </c>
      <c r="Q1996" s="13">
        <f>CHAIN_RAW!I1996</f>
        <v/>
      </c>
      <c r="R1996" s="13">
        <f>CHAIN_RAW!P1996</f>
        <v/>
      </c>
      <c r="S1996" s="13">
        <f>IFERROR(R1996/Q1996,"")</f>
        <v/>
      </c>
      <c r="T1996" s="13">
        <f>IFERROR((ABS(N1996-O1996)/MAX(1,(N1996+O1996)))*EXP(-ABS(E1996-CONTROL!E5)/MAX(1,CONTROL!B8)),"")</f>
        <v/>
      </c>
      <c r="U1996" s="13">
        <f>IFERROR(IF(O1996&gt;N1996,"SUPPORT (PE OI)","RESIST (CE OI)"),"")</f>
        <v/>
      </c>
      <c r="V1996" s="13">
        <f>IFERROR(IF(Q1996&gt;0,IF(R1996&gt;0,"BOTH_ADD","CE_ADD_PE_REDUCE"),IF(R1996&gt;0,"CE_REDUCE_PE_ADD","BOTH_REDUCE")),"")</f>
        <v/>
      </c>
      <c r="W1996" s="13">
        <f>IFERROR( (P1996-1)*0.5 + (M1996)*0.1 - (I1996+J1996)*0.05 + T1996*0.4 ,"")</f>
        <v/>
      </c>
      <c r="X1996" s="13">
        <f>IFERROR(IF(ABS(F1996)&lt;0.01,"ATM/NEAR",""),"")</f>
        <v/>
      </c>
    </row>
    <row r="1997">
      <c r="A1997" s="13">
        <f>CHAIN_RAW!A1997</f>
        <v/>
      </c>
      <c r="B1997" s="14">
        <f>CHAIN_RAW!B1997</f>
        <v/>
      </c>
      <c r="C1997" s="13">
        <f>CHAIN_RAW!C1997</f>
        <v/>
      </c>
      <c r="D1997" s="13">
        <f>CHAIN_RAW!D1997</f>
        <v/>
      </c>
      <c r="E1997" s="13">
        <f>CHAIN_RAW!E1997</f>
        <v/>
      </c>
      <c r="F1997" s="13">
        <f>IFERROR((E1997-D1997)/D1997,"")</f>
        <v/>
      </c>
      <c r="G1997" s="13">
        <f>IFERROR((CHAIN_RAW!K1997+CHAIN_RAW!L1997)/2,"")</f>
        <v/>
      </c>
      <c r="H1997" s="13">
        <f>IFERROR((CHAIN_RAW!R1997+CHAIN_RAW!S1997)/2,"")</f>
        <v/>
      </c>
      <c r="I1997" s="13">
        <f>IFERROR((CHAIN_RAW!L1997-CHAIN_RAW!K1997)/MAX(1E-9, G1997),"")</f>
        <v/>
      </c>
      <c r="J1997" s="13">
        <f>IFERROR((CHAIN_RAW!S1997-CHAIN_RAW!R1997)/MAX(1E-9, H1997),"")</f>
        <v/>
      </c>
      <c r="K1997" s="13">
        <f>CHAIN_RAW!G1997</f>
        <v/>
      </c>
      <c r="L1997" s="13">
        <f>CHAIN_RAW!N1997</f>
        <v/>
      </c>
      <c r="M1997" s="13">
        <f>IFERROR(L1997-K1997,"")</f>
        <v/>
      </c>
      <c r="N1997" s="13">
        <f>CHAIN_RAW!H1997</f>
        <v/>
      </c>
      <c r="O1997" s="13">
        <f>CHAIN_RAW!O1997</f>
        <v/>
      </c>
      <c r="P1997" s="13">
        <f>IFERROR(O1997/N1997,"")</f>
        <v/>
      </c>
      <c r="Q1997" s="13">
        <f>CHAIN_RAW!I1997</f>
        <v/>
      </c>
      <c r="R1997" s="13">
        <f>CHAIN_RAW!P1997</f>
        <v/>
      </c>
      <c r="S1997" s="13">
        <f>IFERROR(R1997/Q1997,"")</f>
        <v/>
      </c>
      <c r="T1997" s="13">
        <f>IFERROR((ABS(N1997-O1997)/MAX(1,(N1997+O1997)))*EXP(-ABS(E1997-CONTROL!E5)/MAX(1,CONTROL!B8)),"")</f>
        <v/>
      </c>
      <c r="U1997" s="13">
        <f>IFERROR(IF(O1997&gt;N1997,"SUPPORT (PE OI)","RESIST (CE OI)"),"")</f>
        <v/>
      </c>
      <c r="V1997" s="13">
        <f>IFERROR(IF(Q1997&gt;0,IF(R1997&gt;0,"BOTH_ADD","CE_ADD_PE_REDUCE"),IF(R1997&gt;0,"CE_REDUCE_PE_ADD","BOTH_REDUCE")),"")</f>
        <v/>
      </c>
      <c r="W1997" s="13">
        <f>IFERROR( (P1997-1)*0.5 + (M1997)*0.1 - (I1997+J1997)*0.05 + T1997*0.4 ,"")</f>
        <v/>
      </c>
      <c r="X1997" s="13">
        <f>IFERROR(IF(ABS(F1997)&lt;0.01,"ATM/NEAR",""),"")</f>
        <v/>
      </c>
    </row>
    <row r="1998">
      <c r="A1998" s="13">
        <f>CHAIN_RAW!A1998</f>
        <v/>
      </c>
      <c r="B1998" s="14">
        <f>CHAIN_RAW!B1998</f>
        <v/>
      </c>
      <c r="C1998" s="13">
        <f>CHAIN_RAW!C1998</f>
        <v/>
      </c>
      <c r="D1998" s="13">
        <f>CHAIN_RAW!D1998</f>
        <v/>
      </c>
      <c r="E1998" s="13">
        <f>CHAIN_RAW!E1998</f>
        <v/>
      </c>
      <c r="F1998" s="13">
        <f>IFERROR((E1998-D1998)/D1998,"")</f>
        <v/>
      </c>
      <c r="G1998" s="13">
        <f>IFERROR((CHAIN_RAW!K1998+CHAIN_RAW!L1998)/2,"")</f>
        <v/>
      </c>
      <c r="H1998" s="13">
        <f>IFERROR((CHAIN_RAW!R1998+CHAIN_RAW!S1998)/2,"")</f>
        <v/>
      </c>
      <c r="I1998" s="13">
        <f>IFERROR((CHAIN_RAW!L1998-CHAIN_RAW!K1998)/MAX(1E-9, G1998),"")</f>
        <v/>
      </c>
      <c r="J1998" s="13">
        <f>IFERROR((CHAIN_RAW!S1998-CHAIN_RAW!R1998)/MAX(1E-9, H1998),"")</f>
        <v/>
      </c>
      <c r="K1998" s="13">
        <f>CHAIN_RAW!G1998</f>
        <v/>
      </c>
      <c r="L1998" s="13">
        <f>CHAIN_RAW!N1998</f>
        <v/>
      </c>
      <c r="M1998" s="13">
        <f>IFERROR(L1998-K1998,"")</f>
        <v/>
      </c>
      <c r="N1998" s="13">
        <f>CHAIN_RAW!H1998</f>
        <v/>
      </c>
      <c r="O1998" s="13">
        <f>CHAIN_RAW!O1998</f>
        <v/>
      </c>
      <c r="P1998" s="13">
        <f>IFERROR(O1998/N1998,"")</f>
        <v/>
      </c>
      <c r="Q1998" s="13">
        <f>CHAIN_RAW!I1998</f>
        <v/>
      </c>
      <c r="R1998" s="13">
        <f>CHAIN_RAW!P1998</f>
        <v/>
      </c>
      <c r="S1998" s="13">
        <f>IFERROR(R1998/Q1998,"")</f>
        <v/>
      </c>
      <c r="T1998" s="13">
        <f>IFERROR((ABS(N1998-O1998)/MAX(1,(N1998+O1998)))*EXP(-ABS(E1998-CONTROL!E5)/MAX(1,CONTROL!B8)),"")</f>
        <v/>
      </c>
      <c r="U1998" s="13">
        <f>IFERROR(IF(O1998&gt;N1998,"SUPPORT (PE OI)","RESIST (CE OI)"),"")</f>
        <v/>
      </c>
      <c r="V1998" s="13">
        <f>IFERROR(IF(Q1998&gt;0,IF(R1998&gt;0,"BOTH_ADD","CE_ADD_PE_REDUCE"),IF(R1998&gt;0,"CE_REDUCE_PE_ADD","BOTH_REDUCE")),"")</f>
        <v/>
      </c>
      <c r="W1998" s="13">
        <f>IFERROR( (P1998-1)*0.5 + (M1998)*0.1 - (I1998+J1998)*0.05 + T1998*0.4 ,"")</f>
        <v/>
      </c>
      <c r="X1998" s="13">
        <f>IFERROR(IF(ABS(F1998)&lt;0.01,"ATM/NEAR",""),"")</f>
        <v/>
      </c>
    </row>
    <row r="1999">
      <c r="A1999" s="13">
        <f>CHAIN_RAW!A1999</f>
        <v/>
      </c>
      <c r="B1999" s="14">
        <f>CHAIN_RAW!B1999</f>
        <v/>
      </c>
      <c r="C1999" s="13">
        <f>CHAIN_RAW!C1999</f>
        <v/>
      </c>
      <c r="D1999" s="13">
        <f>CHAIN_RAW!D1999</f>
        <v/>
      </c>
      <c r="E1999" s="13">
        <f>CHAIN_RAW!E1999</f>
        <v/>
      </c>
      <c r="F1999" s="13">
        <f>IFERROR((E1999-D1999)/D1999,"")</f>
        <v/>
      </c>
      <c r="G1999" s="13">
        <f>IFERROR((CHAIN_RAW!K1999+CHAIN_RAW!L1999)/2,"")</f>
        <v/>
      </c>
      <c r="H1999" s="13">
        <f>IFERROR((CHAIN_RAW!R1999+CHAIN_RAW!S1999)/2,"")</f>
        <v/>
      </c>
      <c r="I1999" s="13">
        <f>IFERROR((CHAIN_RAW!L1999-CHAIN_RAW!K1999)/MAX(1E-9, G1999),"")</f>
        <v/>
      </c>
      <c r="J1999" s="13">
        <f>IFERROR((CHAIN_RAW!S1999-CHAIN_RAW!R1999)/MAX(1E-9, H1999),"")</f>
        <v/>
      </c>
      <c r="K1999" s="13">
        <f>CHAIN_RAW!G1999</f>
        <v/>
      </c>
      <c r="L1999" s="13">
        <f>CHAIN_RAW!N1999</f>
        <v/>
      </c>
      <c r="M1999" s="13">
        <f>IFERROR(L1999-K1999,"")</f>
        <v/>
      </c>
      <c r="N1999" s="13">
        <f>CHAIN_RAW!H1999</f>
        <v/>
      </c>
      <c r="O1999" s="13">
        <f>CHAIN_RAW!O1999</f>
        <v/>
      </c>
      <c r="P1999" s="13">
        <f>IFERROR(O1999/N1999,"")</f>
        <v/>
      </c>
      <c r="Q1999" s="13">
        <f>CHAIN_RAW!I1999</f>
        <v/>
      </c>
      <c r="R1999" s="13">
        <f>CHAIN_RAW!P1999</f>
        <v/>
      </c>
      <c r="S1999" s="13">
        <f>IFERROR(R1999/Q1999,"")</f>
        <v/>
      </c>
      <c r="T1999" s="13">
        <f>IFERROR((ABS(N1999-O1999)/MAX(1,(N1999+O1999)))*EXP(-ABS(E1999-CONTROL!E5)/MAX(1,CONTROL!B8)),"")</f>
        <v/>
      </c>
      <c r="U1999" s="13">
        <f>IFERROR(IF(O1999&gt;N1999,"SUPPORT (PE OI)","RESIST (CE OI)"),"")</f>
        <v/>
      </c>
      <c r="V1999" s="13">
        <f>IFERROR(IF(Q1999&gt;0,IF(R1999&gt;0,"BOTH_ADD","CE_ADD_PE_REDUCE"),IF(R1999&gt;0,"CE_REDUCE_PE_ADD","BOTH_REDUCE")),"")</f>
        <v/>
      </c>
      <c r="W1999" s="13">
        <f>IFERROR( (P1999-1)*0.5 + (M1999)*0.1 - (I1999+J1999)*0.05 + T1999*0.4 ,"")</f>
        <v/>
      </c>
      <c r="X1999" s="13">
        <f>IFERROR(IF(ABS(F1999)&lt;0.01,"ATM/NEAR",""),"")</f>
        <v/>
      </c>
    </row>
    <row r="2000">
      <c r="A2000" s="13">
        <f>CHAIN_RAW!A2000</f>
        <v/>
      </c>
      <c r="B2000" s="14">
        <f>CHAIN_RAW!B2000</f>
        <v/>
      </c>
      <c r="C2000" s="13">
        <f>CHAIN_RAW!C2000</f>
        <v/>
      </c>
      <c r="D2000" s="13">
        <f>CHAIN_RAW!D2000</f>
        <v/>
      </c>
      <c r="E2000" s="13">
        <f>CHAIN_RAW!E2000</f>
        <v/>
      </c>
      <c r="F2000" s="13">
        <f>IFERROR((E2000-D2000)/D2000,"")</f>
        <v/>
      </c>
      <c r="G2000" s="13">
        <f>IFERROR((CHAIN_RAW!K2000+CHAIN_RAW!L2000)/2,"")</f>
        <v/>
      </c>
      <c r="H2000" s="13">
        <f>IFERROR((CHAIN_RAW!R2000+CHAIN_RAW!S2000)/2,"")</f>
        <v/>
      </c>
      <c r="I2000" s="13">
        <f>IFERROR((CHAIN_RAW!L2000-CHAIN_RAW!K2000)/MAX(1E-9, G2000),"")</f>
        <v/>
      </c>
      <c r="J2000" s="13">
        <f>IFERROR((CHAIN_RAW!S2000-CHAIN_RAW!R2000)/MAX(1E-9, H2000),"")</f>
        <v/>
      </c>
      <c r="K2000" s="13">
        <f>CHAIN_RAW!G2000</f>
        <v/>
      </c>
      <c r="L2000" s="13">
        <f>CHAIN_RAW!N2000</f>
        <v/>
      </c>
      <c r="M2000" s="13">
        <f>IFERROR(L2000-K2000,"")</f>
        <v/>
      </c>
      <c r="N2000" s="13">
        <f>CHAIN_RAW!H2000</f>
        <v/>
      </c>
      <c r="O2000" s="13">
        <f>CHAIN_RAW!O2000</f>
        <v/>
      </c>
      <c r="P2000" s="13">
        <f>IFERROR(O2000/N2000,"")</f>
        <v/>
      </c>
      <c r="Q2000" s="13">
        <f>CHAIN_RAW!I2000</f>
        <v/>
      </c>
      <c r="R2000" s="13">
        <f>CHAIN_RAW!P2000</f>
        <v/>
      </c>
      <c r="S2000" s="13">
        <f>IFERROR(R2000/Q2000,"")</f>
        <v/>
      </c>
      <c r="T2000" s="13">
        <f>IFERROR((ABS(N2000-O2000)/MAX(1,(N2000+O2000)))*EXP(-ABS(E2000-CONTROL!E5)/MAX(1,CONTROL!B8)),"")</f>
        <v/>
      </c>
      <c r="U2000" s="13">
        <f>IFERROR(IF(O2000&gt;N2000,"SUPPORT (PE OI)","RESIST (CE OI)"),"")</f>
        <v/>
      </c>
      <c r="V2000" s="13">
        <f>IFERROR(IF(Q2000&gt;0,IF(R2000&gt;0,"BOTH_ADD","CE_ADD_PE_REDUCE"),IF(R2000&gt;0,"CE_REDUCE_PE_ADD","BOTH_REDUCE")),"")</f>
        <v/>
      </c>
      <c r="W2000" s="13">
        <f>IFERROR( (P2000-1)*0.5 + (M2000)*0.1 - (I2000+J2000)*0.05 + T2000*0.4 ,"")</f>
        <v/>
      </c>
      <c r="X2000" s="13">
        <f>IFERROR(IF(ABS(F2000)&lt;0.01,"ATM/NEAR",""),"")</f>
        <v/>
      </c>
    </row>
    <row r="2001">
      <c r="A2001" s="13">
        <f>CHAIN_RAW!A2001</f>
        <v/>
      </c>
      <c r="B2001" s="14">
        <f>CHAIN_RAW!B2001</f>
        <v/>
      </c>
      <c r="C2001" s="13">
        <f>CHAIN_RAW!C2001</f>
        <v/>
      </c>
      <c r="D2001" s="13">
        <f>CHAIN_RAW!D2001</f>
        <v/>
      </c>
      <c r="E2001" s="13">
        <f>CHAIN_RAW!E2001</f>
        <v/>
      </c>
      <c r="F2001" s="13">
        <f>IFERROR((E2001-D2001)/D2001,"")</f>
        <v/>
      </c>
      <c r="G2001" s="13">
        <f>IFERROR((CHAIN_RAW!K2001+CHAIN_RAW!L2001)/2,"")</f>
        <v/>
      </c>
      <c r="H2001" s="13">
        <f>IFERROR((CHAIN_RAW!R2001+CHAIN_RAW!S2001)/2,"")</f>
        <v/>
      </c>
      <c r="I2001" s="13">
        <f>IFERROR((CHAIN_RAW!L2001-CHAIN_RAW!K2001)/MAX(1E-9, G2001),"")</f>
        <v/>
      </c>
      <c r="J2001" s="13">
        <f>IFERROR((CHAIN_RAW!S2001-CHAIN_RAW!R2001)/MAX(1E-9, H2001),"")</f>
        <v/>
      </c>
      <c r="K2001" s="13">
        <f>CHAIN_RAW!G2001</f>
        <v/>
      </c>
      <c r="L2001" s="13">
        <f>CHAIN_RAW!N2001</f>
        <v/>
      </c>
      <c r="M2001" s="13">
        <f>IFERROR(L2001-K2001,"")</f>
        <v/>
      </c>
      <c r="N2001" s="13">
        <f>CHAIN_RAW!H2001</f>
        <v/>
      </c>
      <c r="O2001" s="13">
        <f>CHAIN_RAW!O2001</f>
        <v/>
      </c>
      <c r="P2001" s="13">
        <f>IFERROR(O2001/N2001,"")</f>
        <v/>
      </c>
      <c r="Q2001" s="13">
        <f>CHAIN_RAW!I2001</f>
        <v/>
      </c>
      <c r="R2001" s="13">
        <f>CHAIN_RAW!P2001</f>
        <v/>
      </c>
      <c r="S2001" s="13">
        <f>IFERROR(R2001/Q2001,"")</f>
        <v/>
      </c>
      <c r="T2001" s="13">
        <f>IFERROR((ABS(N2001-O2001)/MAX(1,(N2001+O2001)))*EXP(-ABS(E2001-CONTROL!E5)/MAX(1,CONTROL!B8)),"")</f>
        <v/>
      </c>
      <c r="U2001" s="13">
        <f>IFERROR(IF(O2001&gt;N2001,"SUPPORT (PE OI)","RESIST (CE OI)"),"")</f>
        <v/>
      </c>
      <c r="V2001" s="13">
        <f>IFERROR(IF(Q2001&gt;0,IF(R2001&gt;0,"BOTH_ADD","CE_ADD_PE_REDUCE"),IF(R2001&gt;0,"CE_REDUCE_PE_ADD","BOTH_REDUCE")),"")</f>
        <v/>
      </c>
      <c r="W2001" s="13">
        <f>IFERROR( (P2001-1)*0.5 + (M2001)*0.1 - (I2001+J2001)*0.05 + T2001*0.4 ,"")</f>
        <v/>
      </c>
      <c r="X2001" s="13">
        <f>IFERROR(IF(ABS(F2001)&lt;0.01,"ATM/NEAR",""),"")</f>
        <v/>
      </c>
    </row>
  </sheetData>
  <mergeCells count="1">
    <mergeCell ref="A1:W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>
      <c r="A1" s="10" t="inlineStr">
        <is>
          <t>SUMMARY / SIGNALS (blocked if QC_FAIL)</t>
        </is>
      </c>
    </row>
    <row r="3">
      <c r="A3" s="2" t="inlineStr">
        <is>
          <t>KPI</t>
        </is>
      </c>
      <c r="B3" s="2" t="inlineStr">
        <is>
          <t>Value</t>
        </is>
      </c>
    </row>
    <row r="4">
      <c r="A4" s="21" t="inlineStr">
        <is>
          <t>QC Status</t>
        </is>
      </c>
      <c r="B4" s="22">
        <f>QC_CHECK!B14</f>
        <v/>
      </c>
    </row>
    <row r="5">
      <c r="A5" s="3" t="inlineStr">
        <is>
          <t>Symbol</t>
        </is>
      </c>
      <c r="B5" s="23">
        <f>CONTROL!B5</f>
        <v/>
      </c>
    </row>
    <row r="6">
      <c r="A6" s="3" t="inlineStr">
        <is>
          <t>Expiry</t>
        </is>
      </c>
      <c r="B6" s="23">
        <f>CONTROL!E7</f>
        <v/>
      </c>
    </row>
    <row r="7">
      <c r="A7" s="3" t="inlineStr">
        <is>
          <t>Spot</t>
        </is>
      </c>
      <c r="B7" s="23">
        <f>CONTROL!E6</f>
        <v/>
      </c>
    </row>
    <row r="8">
      <c r="A8" s="3" t="inlineStr">
        <is>
          <t>ATM Strike</t>
        </is>
      </c>
      <c r="B8" s="23">
        <f>CONTROL!E5</f>
        <v/>
      </c>
    </row>
    <row r="9">
      <c r="A9" s="3" t="inlineStr">
        <is>
          <t>PCR (Total OI)</t>
        </is>
      </c>
      <c r="B9" s="24">
        <f>IFERROR(SUM(CHAIN_RAW!O3:O2001)/SUM(CHAIN_RAW!H3:H2001),"")</f>
        <v/>
      </c>
    </row>
    <row r="10">
      <c r="A10" s="3" t="inlineStr">
        <is>
          <t>PCR (Total Volume)</t>
        </is>
      </c>
      <c r="B10" s="24">
        <f>IFERROR(SUM(CHAIN_RAW!Q3:Q2001)/SUM(CHAIN_RAW!J3:J2001),"")</f>
        <v/>
      </c>
    </row>
    <row r="11">
      <c r="A11" s="3" t="inlineStr">
        <is>
          <t>Max CE OI Strike</t>
        </is>
      </c>
      <c r="B11" s="24">
        <f>IFERROR(INDEX(CHAIN_RAW!E3:E2001, MATCH(MAX(CHAIN_RAW!H3:H2001), CHAIN_RAW!H3:H2001,0)),"")</f>
        <v/>
      </c>
    </row>
    <row r="12">
      <c r="A12" s="3" t="inlineStr">
        <is>
          <t>Max PE OI Strike</t>
        </is>
      </c>
      <c r="B12" s="24">
        <f>IFERROR(INDEX(CHAIN_RAW!E3:E2001, MATCH(MAX(CHAIN_RAW!O3:O2001), CHAIN_RAW!O3:O2001,0)),"")</f>
        <v/>
      </c>
      <c r="D12" s="30" t="inlineStr">
        <is>
          <t>Trade Gate</t>
        </is>
      </c>
      <c r="E12" s="31">
        <f>IF(OR(QC_CHECK!D21&lt;&gt;"PASS",PROBABILITY_ENGINE!B12&lt;&gt;"PASS"),"NO TRADE ZONE","TRADE OK")</f>
        <v/>
      </c>
    </row>
    <row r="13">
      <c r="A13" s="21" t="inlineStr">
        <is>
          <t>Directional Bias (rule)</t>
        </is>
      </c>
      <c r="B13" s="22">
        <f>IF(QC_CHECK!B14="FAIL","NO_SIGNAL",IF(AND(F6&lt;&gt;"",F6&gt;1.05),"BULLISH (PCR high)",IF(AND(F6&lt;&gt;"",F6&lt;0.95),"BEARISH (PCR low)","NEUTRAL")))</f>
        <v/>
      </c>
    </row>
    <row r="14">
      <c r="A14" s="21" t="inlineStr">
        <is>
          <t>Confidence (0-100)</t>
        </is>
      </c>
      <c r="B14" s="22">
        <f>IF(QC_CHECK!B14="FAIL","",IFERROR(MIN(100,MAX(0, (ABS(F6-1)*120) + (1-ABS(F7-1))*10 )),""))</f>
        <v/>
      </c>
    </row>
    <row r="15">
      <c r="A15" s="21" t="inlineStr">
        <is>
          <t>Trade Idea (rule)</t>
        </is>
      </c>
      <c r="B15" s="22">
        <f>IF(QC_CHECK!B14="FAIL","BLOCKED — FIX QC","If bullish: consider CALL spread near ATM; If bearish: consider PUT spread near ATM; If neutral: wait / iron fly (only if IV high)")</f>
        <v/>
      </c>
    </row>
    <row r="21">
      <c r="B21">
        <f>LEG_SELECTOR!B14</f>
        <v/>
      </c>
      <c r="C21">
        <f>LEG_SELECTOR!C14</f>
        <v/>
      </c>
      <c r="D21">
        <f>LEG_SELECTOR!D14</f>
        <v/>
      </c>
      <c r="E21">
        <f>LEG_SELECTOR!E14</f>
        <v/>
      </c>
      <c r="F21">
        <f>IF(E21="","",E21*0.5)</f>
        <v/>
      </c>
      <c r="G21">
        <f>IF(E21="","",E21*1.0)</f>
        <v/>
      </c>
    </row>
    <row r="22">
      <c r="B22">
        <f>LEG_SELECTOR!B15</f>
        <v/>
      </c>
      <c r="C22">
        <f>LEG_SELECTOR!C15</f>
        <v/>
      </c>
      <c r="D22">
        <f>LEG_SELECTOR!D15</f>
        <v/>
      </c>
      <c r="E22">
        <f>LEG_SELECTOR!E15</f>
        <v/>
      </c>
      <c r="F22">
        <f>IF(E22="","",E22*0.5)</f>
        <v/>
      </c>
      <c r="G22">
        <f>IF(E22="","",E22*1.0)</f>
        <v/>
      </c>
    </row>
    <row r="23">
      <c r="B23">
        <f>LEG_SELECTOR!B16</f>
        <v/>
      </c>
      <c r="C23">
        <f>LEG_SELECTOR!C16</f>
        <v/>
      </c>
      <c r="D23">
        <f>LEG_SELECTOR!D16</f>
        <v/>
      </c>
      <c r="E23">
        <f>LEG_SELECTOR!E16</f>
        <v/>
      </c>
      <c r="F23">
        <f>IF(E23="","",E23*0.5)</f>
        <v/>
      </c>
      <c r="G23">
        <f>IF(E23="","",E23*1.0)</f>
        <v/>
      </c>
    </row>
    <row r="24">
      <c r="B24">
        <f>LEG_SELECTOR!B17</f>
        <v/>
      </c>
      <c r="C24">
        <f>LEG_SELECTOR!C17</f>
        <v/>
      </c>
      <c r="D24">
        <f>LEG_SELECTOR!D17</f>
        <v/>
      </c>
      <c r="E24">
        <f>LEG_SELECTOR!E17</f>
        <v/>
      </c>
      <c r="F24">
        <f>IF(E24="","",E24*0.5)</f>
        <v/>
      </c>
      <c r="G24">
        <f>IF(E24="","",E24*1.0)</f>
        <v/>
      </c>
    </row>
  </sheetData>
  <mergeCells count="1">
    <mergeCell ref="A1:H1"/>
  </mergeCells>
  <conditionalFormatting sqref="E12">
    <cfRule type="cellIs" priority="1" operator="equal" dxfId="3">
      <formula>"NO TRADE ZONE"</formula>
    </cfRule>
    <cfRule type="cellIs" priority="2" operator="equal" dxfId="2">
      <formula>"TRADE OK"</formula>
    </cfRule>
  </conditionalFormatting>
  <dataValidations count="1">
    <dataValidation sqref="B21:B24" showDropDown="0" showInputMessage="0" showErrorMessage="0" allowBlank="1" type="list">
      <formula1>"CE,PE"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OI_BUILDUP — Long/Short/Unwind classification (v3)</t>
        </is>
      </c>
    </row>
    <row r="3">
      <c r="A3" s="25" t="inlineStr">
        <is>
          <t>Row#</t>
        </is>
      </c>
      <c r="B3" s="25" t="inlineStr">
        <is>
          <t>Identifier</t>
        </is>
      </c>
      <c r="C3" s="25" t="inlineStr">
        <is>
          <t>Strike</t>
        </is>
      </c>
      <c r="D3" s="25" t="inlineStr">
        <is>
          <t>Type</t>
        </is>
      </c>
      <c r="E3" s="25" t="inlineStr">
        <is>
          <t>LTP</t>
        </is>
      </c>
      <c r="F3" s="25" t="inlineStr">
        <is>
          <t>Price Change</t>
        </is>
      </c>
      <c r="G3" s="25" t="inlineStr">
        <is>
          <t>OI</t>
        </is>
      </c>
      <c r="H3" s="25" t="inlineStr">
        <is>
          <t>OI Change</t>
        </is>
      </c>
      <c r="I3" s="25" t="inlineStr">
        <is>
          <t>Buildup Type</t>
        </is>
      </c>
      <c r="J3" s="25" t="inlineStr">
        <is>
          <t>Strength (1-5)</t>
        </is>
      </c>
    </row>
    <row r="4">
      <c r="A4" s="31" t="n">
        <v>2</v>
      </c>
      <c r="B4" s="31">
        <f>CHAIN_RAW!D2</f>
        <v/>
      </c>
      <c r="C4" s="31">
        <f>CHAIN_RAW!A2</f>
        <v/>
      </c>
      <c r="D4" s="31">
        <f>CHAIN_RAW!C2</f>
        <v/>
      </c>
      <c r="E4" s="31">
        <f>CHAIN_RAW!E2</f>
        <v/>
      </c>
      <c r="F4" s="31">
        <f>CHAIN_RAW!F2</f>
        <v/>
      </c>
      <c r="G4" s="31">
        <f>CHAIN_RAW!I2</f>
        <v/>
      </c>
      <c r="H4" s="31">
        <f>CHAIN_RAW!Q2</f>
        <v/>
      </c>
      <c r="I4" s="31">
        <f>LET(pc,F4,oc,H4,IF(OR(pc="",oc=""),"",IF(AND(pc&gt;0,oc&gt;0),"Long Buildup",IF(AND(pc&lt;0,oc&gt;0),"Short Buildup",IF(AND(pc&gt;0,oc&lt;0),"Short Covering",IF(AND(pc&lt;0,oc&lt;0),"Long Unwinding","Flat"))))))</f>
        <v/>
      </c>
      <c r="J4" s="31">
        <f>LET(pc,ABS(F4),oc,ABS(H4),IF(OR(pc="",oc=""),"",MAX(1,MIN(5,ROUND((pc*0.5+oc*0.00001)*5,0))))))</f>
        <v/>
      </c>
    </row>
    <row r="5">
      <c r="A5" s="31" t="n">
        <v>3</v>
      </c>
      <c r="B5" s="31">
        <f>CHAIN_RAW!D3</f>
        <v/>
      </c>
      <c r="C5" s="31">
        <f>CHAIN_RAW!A3</f>
        <v/>
      </c>
      <c r="D5" s="31">
        <f>CHAIN_RAW!C3</f>
        <v/>
      </c>
      <c r="E5" s="31">
        <f>CHAIN_RAW!E3</f>
        <v/>
      </c>
      <c r="F5" s="31">
        <f>CHAIN_RAW!F3</f>
        <v/>
      </c>
      <c r="G5" s="31">
        <f>CHAIN_RAW!I3</f>
        <v/>
      </c>
      <c r="H5" s="31">
        <f>CHAIN_RAW!Q3</f>
        <v/>
      </c>
      <c r="I5" s="31">
        <f>LET(pc,F5,oc,H5,IF(OR(pc="",oc=""),"",IF(AND(pc&gt;0,oc&gt;0),"Long Buildup",IF(AND(pc&lt;0,oc&gt;0),"Short Buildup",IF(AND(pc&gt;0,oc&lt;0),"Short Covering",IF(AND(pc&lt;0,oc&lt;0),"Long Unwinding","Flat"))))))</f>
        <v/>
      </c>
      <c r="J5" s="31">
        <f>LET(pc,ABS(F5),oc,ABS(H5),IF(OR(pc="",oc=""),"",MAX(1,MIN(5,ROUND((pc*0.5+oc*0.00001)*5,0))))))</f>
        <v/>
      </c>
    </row>
    <row r="6">
      <c r="A6" s="31" t="n">
        <v>4</v>
      </c>
      <c r="B6" s="31">
        <f>CHAIN_RAW!D4</f>
        <v/>
      </c>
      <c r="C6" s="31">
        <f>CHAIN_RAW!A4</f>
        <v/>
      </c>
      <c r="D6" s="31">
        <f>CHAIN_RAW!C4</f>
        <v/>
      </c>
      <c r="E6" s="31">
        <f>CHAIN_RAW!E4</f>
        <v/>
      </c>
      <c r="F6" s="31">
        <f>CHAIN_RAW!F4</f>
        <v/>
      </c>
      <c r="G6" s="31">
        <f>CHAIN_RAW!I4</f>
        <v/>
      </c>
      <c r="H6" s="31">
        <f>CHAIN_RAW!Q4</f>
        <v/>
      </c>
      <c r="I6" s="31">
        <f>LET(pc,F6,oc,H6,IF(OR(pc="",oc=""),"",IF(AND(pc&gt;0,oc&gt;0),"Long Buildup",IF(AND(pc&lt;0,oc&gt;0),"Short Buildup",IF(AND(pc&gt;0,oc&lt;0),"Short Covering",IF(AND(pc&lt;0,oc&lt;0),"Long Unwinding","Flat"))))))</f>
        <v/>
      </c>
      <c r="J6" s="31">
        <f>LET(pc,ABS(F6),oc,ABS(H6),IF(OR(pc="",oc=""),"",MAX(1,MIN(5,ROUND((pc*0.5+oc*0.00001)*5,0))))))</f>
        <v/>
      </c>
    </row>
    <row r="7">
      <c r="A7" s="31" t="n">
        <v>5</v>
      </c>
      <c r="B7" s="31">
        <f>CHAIN_RAW!D5</f>
        <v/>
      </c>
      <c r="C7" s="31">
        <f>CHAIN_RAW!A5</f>
        <v/>
      </c>
      <c r="D7" s="31">
        <f>CHAIN_RAW!C5</f>
        <v/>
      </c>
      <c r="E7" s="31">
        <f>CHAIN_RAW!E5</f>
        <v/>
      </c>
      <c r="F7" s="31">
        <f>CHAIN_RAW!F5</f>
        <v/>
      </c>
      <c r="G7" s="31">
        <f>CHAIN_RAW!I5</f>
        <v/>
      </c>
      <c r="H7" s="31">
        <f>CHAIN_RAW!Q5</f>
        <v/>
      </c>
      <c r="I7" s="31">
        <f>LET(pc,F7,oc,H7,IF(OR(pc="",oc=""),"",IF(AND(pc&gt;0,oc&gt;0),"Long Buildup",IF(AND(pc&lt;0,oc&gt;0),"Short Buildup",IF(AND(pc&gt;0,oc&lt;0),"Short Covering",IF(AND(pc&lt;0,oc&lt;0),"Long Unwinding","Flat"))))))</f>
        <v/>
      </c>
      <c r="J7" s="31">
        <f>LET(pc,ABS(F7),oc,ABS(H7),IF(OR(pc="",oc=""),"",MAX(1,MIN(5,ROUND((pc*0.5+oc*0.00001)*5,0))))))</f>
        <v/>
      </c>
    </row>
    <row r="8">
      <c r="A8" s="31" t="n">
        <v>6</v>
      </c>
      <c r="B8" s="31">
        <f>CHAIN_RAW!D6</f>
        <v/>
      </c>
      <c r="C8" s="31">
        <f>CHAIN_RAW!A6</f>
        <v/>
      </c>
      <c r="D8" s="31">
        <f>CHAIN_RAW!C6</f>
        <v/>
      </c>
      <c r="E8" s="31">
        <f>CHAIN_RAW!E6</f>
        <v/>
      </c>
      <c r="F8" s="31">
        <f>CHAIN_RAW!F6</f>
        <v/>
      </c>
      <c r="G8" s="31">
        <f>CHAIN_RAW!I6</f>
        <v/>
      </c>
      <c r="H8" s="31">
        <f>CHAIN_RAW!Q6</f>
        <v/>
      </c>
      <c r="I8" s="31">
        <f>LET(pc,F8,oc,H8,IF(OR(pc="",oc=""),"",IF(AND(pc&gt;0,oc&gt;0),"Long Buildup",IF(AND(pc&lt;0,oc&gt;0),"Short Buildup",IF(AND(pc&gt;0,oc&lt;0),"Short Covering",IF(AND(pc&lt;0,oc&lt;0),"Long Unwinding","Flat"))))))</f>
        <v/>
      </c>
      <c r="J8" s="31">
        <f>LET(pc,ABS(F8),oc,ABS(H8),IF(OR(pc="",oc=""),"",MAX(1,MIN(5,ROUND((pc*0.5+oc*0.00001)*5,0))))))</f>
        <v/>
      </c>
    </row>
    <row r="9">
      <c r="A9" s="31" t="n">
        <v>7</v>
      </c>
      <c r="B9" s="31">
        <f>CHAIN_RAW!D7</f>
        <v/>
      </c>
      <c r="C9" s="31">
        <f>CHAIN_RAW!A7</f>
        <v/>
      </c>
      <c r="D9" s="31">
        <f>CHAIN_RAW!C7</f>
        <v/>
      </c>
      <c r="E9" s="31">
        <f>CHAIN_RAW!E7</f>
        <v/>
      </c>
      <c r="F9" s="31">
        <f>CHAIN_RAW!F7</f>
        <v/>
      </c>
      <c r="G9" s="31">
        <f>CHAIN_RAW!I7</f>
        <v/>
      </c>
      <c r="H9" s="31">
        <f>CHAIN_RAW!Q7</f>
        <v/>
      </c>
      <c r="I9" s="31">
        <f>LET(pc,F9,oc,H9,IF(OR(pc="",oc=""),"",IF(AND(pc&gt;0,oc&gt;0),"Long Buildup",IF(AND(pc&lt;0,oc&gt;0),"Short Buildup",IF(AND(pc&gt;0,oc&lt;0),"Short Covering",IF(AND(pc&lt;0,oc&lt;0),"Long Unwinding","Flat"))))))</f>
        <v/>
      </c>
      <c r="J9" s="31">
        <f>LET(pc,ABS(F9),oc,ABS(H9),IF(OR(pc="",oc=""),"",MAX(1,MIN(5,ROUND((pc*0.5+oc*0.00001)*5,0))))))</f>
        <v/>
      </c>
    </row>
    <row r="10">
      <c r="A10" s="31" t="n">
        <v>8</v>
      </c>
      <c r="B10" s="31">
        <f>CHAIN_RAW!D8</f>
        <v/>
      </c>
      <c r="C10" s="31">
        <f>CHAIN_RAW!A8</f>
        <v/>
      </c>
      <c r="D10" s="31">
        <f>CHAIN_RAW!C8</f>
        <v/>
      </c>
      <c r="E10" s="31">
        <f>CHAIN_RAW!E8</f>
        <v/>
      </c>
      <c r="F10" s="31">
        <f>CHAIN_RAW!F8</f>
        <v/>
      </c>
      <c r="G10" s="31">
        <f>CHAIN_RAW!I8</f>
        <v/>
      </c>
      <c r="H10" s="31">
        <f>CHAIN_RAW!Q8</f>
        <v/>
      </c>
      <c r="I10" s="31">
        <f>LET(pc,F10,oc,H10,IF(OR(pc="",oc=""),"",IF(AND(pc&gt;0,oc&gt;0),"Long Buildup",IF(AND(pc&lt;0,oc&gt;0),"Short Buildup",IF(AND(pc&gt;0,oc&lt;0),"Short Covering",IF(AND(pc&lt;0,oc&lt;0),"Long Unwinding","Flat"))))))</f>
        <v/>
      </c>
      <c r="J10" s="31">
        <f>LET(pc,ABS(F10),oc,ABS(H10),IF(OR(pc="",oc=""),"",MAX(1,MIN(5,ROUND((pc*0.5+oc*0.00001)*5,0))))))</f>
        <v/>
      </c>
    </row>
    <row r="11">
      <c r="A11" s="31" t="n">
        <v>9</v>
      </c>
      <c r="B11" s="31">
        <f>CHAIN_RAW!D9</f>
        <v/>
      </c>
      <c r="C11" s="31">
        <f>CHAIN_RAW!A9</f>
        <v/>
      </c>
      <c r="D11" s="31">
        <f>CHAIN_RAW!C9</f>
        <v/>
      </c>
      <c r="E11" s="31">
        <f>CHAIN_RAW!E9</f>
        <v/>
      </c>
      <c r="F11" s="31">
        <f>CHAIN_RAW!F9</f>
        <v/>
      </c>
      <c r="G11" s="31">
        <f>CHAIN_RAW!I9</f>
        <v/>
      </c>
      <c r="H11" s="31">
        <f>CHAIN_RAW!Q9</f>
        <v/>
      </c>
      <c r="I11" s="31">
        <f>LET(pc,F11,oc,H11,IF(OR(pc="",oc=""),"",IF(AND(pc&gt;0,oc&gt;0),"Long Buildup",IF(AND(pc&lt;0,oc&gt;0),"Short Buildup",IF(AND(pc&gt;0,oc&lt;0),"Short Covering",IF(AND(pc&lt;0,oc&lt;0),"Long Unwinding","Flat"))))))</f>
        <v/>
      </c>
      <c r="J11" s="31">
        <f>LET(pc,ABS(F11),oc,ABS(H11),IF(OR(pc="",oc=""),"",MAX(1,MIN(5,ROUND((pc*0.5+oc*0.00001)*5,0))))))</f>
        <v/>
      </c>
    </row>
    <row r="12">
      <c r="A12" s="31" t="n">
        <v>10</v>
      </c>
      <c r="B12" s="31">
        <f>CHAIN_RAW!D10</f>
        <v/>
      </c>
      <c r="C12" s="31">
        <f>CHAIN_RAW!A10</f>
        <v/>
      </c>
      <c r="D12" s="31">
        <f>CHAIN_RAW!C10</f>
        <v/>
      </c>
      <c r="E12" s="31">
        <f>CHAIN_RAW!E10</f>
        <v/>
      </c>
      <c r="F12" s="31">
        <f>CHAIN_RAW!F10</f>
        <v/>
      </c>
      <c r="G12" s="31">
        <f>CHAIN_RAW!I10</f>
        <v/>
      </c>
      <c r="H12" s="31">
        <f>CHAIN_RAW!Q10</f>
        <v/>
      </c>
      <c r="I12" s="31">
        <f>LET(pc,F12,oc,H12,IF(OR(pc="",oc=""),"",IF(AND(pc&gt;0,oc&gt;0),"Long Buildup",IF(AND(pc&lt;0,oc&gt;0),"Short Buildup",IF(AND(pc&gt;0,oc&lt;0),"Short Covering",IF(AND(pc&lt;0,oc&lt;0),"Long Unwinding","Flat"))))))</f>
        <v/>
      </c>
      <c r="J12" s="31">
        <f>LET(pc,ABS(F12),oc,ABS(H12),IF(OR(pc="",oc=""),"",MAX(1,MIN(5,ROUND((pc*0.5+oc*0.00001)*5,0))))))</f>
        <v/>
      </c>
    </row>
    <row r="13">
      <c r="A13" s="31" t="n">
        <v>11</v>
      </c>
      <c r="B13" s="31">
        <f>CHAIN_RAW!D11</f>
        <v/>
      </c>
      <c r="C13" s="31">
        <f>CHAIN_RAW!A11</f>
        <v/>
      </c>
      <c r="D13" s="31">
        <f>CHAIN_RAW!C11</f>
        <v/>
      </c>
      <c r="E13" s="31">
        <f>CHAIN_RAW!E11</f>
        <v/>
      </c>
      <c r="F13" s="31">
        <f>CHAIN_RAW!F11</f>
        <v/>
      </c>
      <c r="G13" s="31">
        <f>CHAIN_RAW!I11</f>
        <v/>
      </c>
      <c r="H13" s="31">
        <f>CHAIN_RAW!Q11</f>
        <v/>
      </c>
      <c r="I13" s="31">
        <f>LET(pc,F13,oc,H13,IF(OR(pc="",oc=""),"",IF(AND(pc&gt;0,oc&gt;0),"Long Buildup",IF(AND(pc&lt;0,oc&gt;0),"Short Buildup",IF(AND(pc&gt;0,oc&lt;0),"Short Covering",IF(AND(pc&lt;0,oc&lt;0),"Long Unwinding","Flat"))))))</f>
        <v/>
      </c>
      <c r="J13" s="31">
        <f>LET(pc,ABS(F13),oc,ABS(H13),IF(OR(pc="",oc=""),"",MAX(1,MIN(5,ROUND((pc*0.5+oc*0.00001)*5,0))))))</f>
        <v/>
      </c>
    </row>
    <row r="14">
      <c r="A14" s="31" t="n">
        <v>12</v>
      </c>
      <c r="B14" s="31">
        <f>CHAIN_RAW!D12</f>
        <v/>
      </c>
      <c r="C14" s="31">
        <f>CHAIN_RAW!A12</f>
        <v/>
      </c>
      <c r="D14" s="31">
        <f>CHAIN_RAW!C12</f>
        <v/>
      </c>
      <c r="E14" s="31">
        <f>CHAIN_RAW!E12</f>
        <v/>
      </c>
      <c r="F14" s="31">
        <f>CHAIN_RAW!F12</f>
        <v/>
      </c>
      <c r="G14" s="31">
        <f>CHAIN_RAW!I12</f>
        <v/>
      </c>
      <c r="H14" s="31">
        <f>CHAIN_RAW!Q12</f>
        <v/>
      </c>
      <c r="I14" s="31">
        <f>LET(pc,F14,oc,H14,IF(OR(pc="",oc=""),"",IF(AND(pc&gt;0,oc&gt;0),"Long Buildup",IF(AND(pc&lt;0,oc&gt;0),"Short Buildup",IF(AND(pc&gt;0,oc&lt;0),"Short Covering",IF(AND(pc&lt;0,oc&lt;0),"Long Unwinding","Flat"))))))</f>
        <v/>
      </c>
      <c r="J14" s="31">
        <f>LET(pc,ABS(F14),oc,ABS(H14),IF(OR(pc="",oc=""),"",MAX(1,MIN(5,ROUND((pc*0.5+oc*0.00001)*5,0))))))</f>
        <v/>
      </c>
    </row>
    <row r="15">
      <c r="A15" s="31" t="n">
        <v>13</v>
      </c>
      <c r="B15" s="31">
        <f>CHAIN_RAW!D13</f>
        <v/>
      </c>
      <c r="C15" s="31">
        <f>CHAIN_RAW!A13</f>
        <v/>
      </c>
      <c r="D15" s="31">
        <f>CHAIN_RAW!C13</f>
        <v/>
      </c>
      <c r="E15" s="31">
        <f>CHAIN_RAW!E13</f>
        <v/>
      </c>
      <c r="F15" s="31">
        <f>CHAIN_RAW!F13</f>
        <v/>
      </c>
      <c r="G15" s="31">
        <f>CHAIN_RAW!I13</f>
        <v/>
      </c>
      <c r="H15" s="31">
        <f>CHAIN_RAW!Q13</f>
        <v/>
      </c>
      <c r="I15" s="31">
        <f>LET(pc,F15,oc,H15,IF(OR(pc="",oc=""),"",IF(AND(pc&gt;0,oc&gt;0),"Long Buildup",IF(AND(pc&lt;0,oc&gt;0),"Short Buildup",IF(AND(pc&gt;0,oc&lt;0),"Short Covering",IF(AND(pc&lt;0,oc&lt;0),"Long Unwinding","Flat"))))))</f>
        <v/>
      </c>
      <c r="J15" s="31">
        <f>LET(pc,ABS(F15),oc,ABS(H15),IF(OR(pc="",oc=""),"",MAX(1,MIN(5,ROUND((pc*0.5+oc*0.00001)*5,0))))))</f>
        <v/>
      </c>
    </row>
    <row r="16">
      <c r="A16" s="31" t="n">
        <v>14</v>
      </c>
      <c r="B16" s="31">
        <f>CHAIN_RAW!D14</f>
        <v/>
      </c>
      <c r="C16" s="31">
        <f>CHAIN_RAW!A14</f>
        <v/>
      </c>
      <c r="D16" s="31">
        <f>CHAIN_RAW!C14</f>
        <v/>
      </c>
      <c r="E16" s="31">
        <f>CHAIN_RAW!E14</f>
        <v/>
      </c>
      <c r="F16" s="31">
        <f>CHAIN_RAW!F14</f>
        <v/>
      </c>
      <c r="G16" s="31">
        <f>CHAIN_RAW!I14</f>
        <v/>
      </c>
      <c r="H16" s="31">
        <f>CHAIN_RAW!Q14</f>
        <v/>
      </c>
      <c r="I16" s="31">
        <f>LET(pc,F16,oc,H16,IF(OR(pc="",oc=""),"",IF(AND(pc&gt;0,oc&gt;0),"Long Buildup",IF(AND(pc&lt;0,oc&gt;0),"Short Buildup",IF(AND(pc&gt;0,oc&lt;0),"Short Covering",IF(AND(pc&lt;0,oc&lt;0),"Long Unwinding","Flat"))))))</f>
        <v/>
      </c>
      <c r="J16" s="31">
        <f>LET(pc,ABS(F16),oc,ABS(H16),IF(OR(pc="",oc=""),"",MAX(1,MIN(5,ROUND((pc*0.5+oc*0.00001)*5,0))))))</f>
        <v/>
      </c>
    </row>
    <row r="17">
      <c r="A17" s="31" t="n">
        <v>15</v>
      </c>
      <c r="B17" s="31">
        <f>CHAIN_RAW!D15</f>
        <v/>
      </c>
      <c r="C17" s="31">
        <f>CHAIN_RAW!A15</f>
        <v/>
      </c>
      <c r="D17" s="31">
        <f>CHAIN_RAW!C15</f>
        <v/>
      </c>
      <c r="E17" s="31">
        <f>CHAIN_RAW!E15</f>
        <v/>
      </c>
      <c r="F17" s="31">
        <f>CHAIN_RAW!F15</f>
        <v/>
      </c>
      <c r="G17" s="31">
        <f>CHAIN_RAW!I15</f>
        <v/>
      </c>
      <c r="H17" s="31">
        <f>CHAIN_RAW!Q15</f>
        <v/>
      </c>
      <c r="I17" s="31">
        <f>LET(pc,F17,oc,H17,IF(OR(pc="",oc=""),"",IF(AND(pc&gt;0,oc&gt;0),"Long Buildup",IF(AND(pc&lt;0,oc&gt;0),"Short Buildup",IF(AND(pc&gt;0,oc&lt;0),"Short Covering",IF(AND(pc&lt;0,oc&lt;0),"Long Unwinding","Flat"))))))</f>
        <v/>
      </c>
      <c r="J17" s="31">
        <f>LET(pc,ABS(F17),oc,ABS(H17),IF(OR(pc="",oc=""),"",MAX(1,MIN(5,ROUND((pc*0.5+oc*0.00001)*5,0))))))</f>
        <v/>
      </c>
    </row>
    <row r="18">
      <c r="A18" s="31" t="n">
        <v>16</v>
      </c>
      <c r="B18" s="31">
        <f>CHAIN_RAW!D16</f>
        <v/>
      </c>
      <c r="C18" s="31">
        <f>CHAIN_RAW!A16</f>
        <v/>
      </c>
      <c r="D18" s="31">
        <f>CHAIN_RAW!C16</f>
        <v/>
      </c>
      <c r="E18" s="31">
        <f>CHAIN_RAW!E16</f>
        <v/>
      </c>
      <c r="F18" s="31">
        <f>CHAIN_RAW!F16</f>
        <v/>
      </c>
      <c r="G18" s="31">
        <f>CHAIN_RAW!I16</f>
        <v/>
      </c>
      <c r="H18" s="31">
        <f>CHAIN_RAW!Q16</f>
        <v/>
      </c>
      <c r="I18" s="31">
        <f>LET(pc,F18,oc,H18,IF(OR(pc="",oc=""),"",IF(AND(pc&gt;0,oc&gt;0),"Long Buildup",IF(AND(pc&lt;0,oc&gt;0),"Short Buildup",IF(AND(pc&gt;0,oc&lt;0),"Short Covering",IF(AND(pc&lt;0,oc&lt;0),"Long Unwinding","Flat"))))))</f>
        <v/>
      </c>
      <c r="J18" s="31">
        <f>LET(pc,ABS(F18),oc,ABS(H18),IF(OR(pc="",oc=""),"",MAX(1,MIN(5,ROUND((pc*0.5+oc*0.00001)*5,0))))))</f>
        <v/>
      </c>
    </row>
    <row r="19">
      <c r="A19" s="31" t="n">
        <v>17</v>
      </c>
      <c r="B19" s="31">
        <f>CHAIN_RAW!D17</f>
        <v/>
      </c>
      <c r="C19" s="31">
        <f>CHAIN_RAW!A17</f>
        <v/>
      </c>
      <c r="D19" s="31">
        <f>CHAIN_RAW!C17</f>
        <v/>
      </c>
      <c r="E19" s="31">
        <f>CHAIN_RAW!E17</f>
        <v/>
      </c>
      <c r="F19" s="31">
        <f>CHAIN_RAW!F17</f>
        <v/>
      </c>
      <c r="G19" s="31">
        <f>CHAIN_RAW!I17</f>
        <v/>
      </c>
      <c r="H19" s="31">
        <f>CHAIN_RAW!Q17</f>
        <v/>
      </c>
      <c r="I19" s="31">
        <f>LET(pc,F19,oc,H19,IF(OR(pc="",oc=""),"",IF(AND(pc&gt;0,oc&gt;0),"Long Buildup",IF(AND(pc&lt;0,oc&gt;0),"Short Buildup",IF(AND(pc&gt;0,oc&lt;0),"Short Covering",IF(AND(pc&lt;0,oc&lt;0),"Long Unwinding","Flat"))))))</f>
        <v/>
      </c>
      <c r="J19" s="31">
        <f>LET(pc,ABS(F19),oc,ABS(H19),IF(OR(pc="",oc=""),"",MAX(1,MIN(5,ROUND((pc*0.5+oc*0.00001)*5,0))))))</f>
        <v/>
      </c>
    </row>
    <row r="20">
      <c r="A20" s="31" t="n">
        <v>18</v>
      </c>
      <c r="B20" s="31">
        <f>CHAIN_RAW!D18</f>
        <v/>
      </c>
      <c r="C20" s="31">
        <f>CHAIN_RAW!A18</f>
        <v/>
      </c>
      <c r="D20" s="31">
        <f>CHAIN_RAW!C18</f>
        <v/>
      </c>
      <c r="E20" s="31">
        <f>CHAIN_RAW!E18</f>
        <v/>
      </c>
      <c r="F20" s="31">
        <f>CHAIN_RAW!F18</f>
        <v/>
      </c>
      <c r="G20" s="31">
        <f>CHAIN_RAW!I18</f>
        <v/>
      </c>
      <c r="H20" s="31">
        <f>CHAIN_RAW!Q18</f>
        <v/>
      </c>
      <c r="I20" s="31">
        <f>LET(pc,F20,oc,H20,IF(OR(pc="",oc=""),"",IF(AND(pc&gt;0,oc&gt;0),"Long Buildup",IF(AND(pc&lt;0,oc&gt;0),"Short Buildup",IF(AND(pc&gt;0,oc&lt;0),"Short Covering",IF(AND(pc&lt;0,oc&lt;0),"Long Unwinding","Flat"))))))</f>
        <v/>
      </c>
      <c r="J20" s="31">
        <f>LET(pc,ABS(F20),oc,ABS(H20),IF(OR(pc="",oc=""),"",MAX(1,MIN(5,ROUND((pc*0.5+oc*0.00001)*5,0))))))</f>
        <v/>
      </c>
    </row>
    <row r="21">
      <c r="A21" s="31" t="n">
        <v>19</v>
      </c>
      <c r="B21" s="31">
        <f>CHAIN_RAW!D19</f>
        <v/>
      </c>
      <c r="C21" s="31">
        <f>CHAIN_RAW!A19</f>
        <v/>
      </c>
      <c r="D21" s="31">
        <f>CHAIN_RAW!C19</f>
        <v/>
      </c>
      <c r="E21" s="31">
        <f>CHAIN_RAW!E19</f>
        <v/>
      </c>
      <c r="F21" s="31">
        <f>CHAIN_RAW!F19</f>
        <v/>
      </c>
      <c r="G21" s="31">
        <f>CHAIN_RAW!I19</f>
        <v/>
      </c>
      <c r="H21" s="31">
        <f>CHAIN_RAW!Q19</f>
        <v/>
      </c>
      <c r="I21" s="31">
        <f>LET(pc,F21,oc,H21,IF(OR(pc="",oc=""),"",IF(AND(pc&gt;0,oc&gt;0),"Long Buildup",IF(AND(pc&lt;0,oc&gt;0),"Short Buildup",IF(AND(pc&gt;0,oc&lt;0),"Short Covering",IF(AND(pc&lt;0,oc&lt;0),"Long Unwinding","Flat"))))))</f>
        <v/>
      </c>
      <c r="J21" s="31">
        <f>LET(pc,ABS(F21),oc,ABS(H21),IF(OR(pc="",oc=""),"",MAX(1,MIN(5,ROUND((pc*0.5+oc*0.00001)*5,0))))))</f>
        <v/>
      </c>
    </row>
    <row r="22">
      <c r="A22" s="31" t="n">
        <v>20</v>
      </c>
      <c r="B22" s="31">
        <f>CHAIN_RAW!D20</f>
        <v/>
      </c>
      <c r="C22" s="31">
        <f>CHAIN_RAW!A20</f>
        <v/>
      </c>
      <c r="D22" s="31">
        <f>CHAIN_RAW!C20</f>
        <v/>
      </c>
      <c r="E22" s="31">
        <f>CHAIN_RAW!E20</f>
        <v/>
      </c>
      <c r="F22" s="31">
        <f>CHAIN_RAW!F20</f>
        <v/>
      </c>
      <c r="G22" s="31">
        <f>CHAIN_RAW!I20</f>
        <v/>
      </c>
      <c r="H22" s="31">
        <f>CHAIN_RAW!Q20</f>
        <v/>
      </c>
      <c r="I22" s="31">
        <f>LET(pc,F22,oc,H22,IF(OR(pc="",oc=""),"",IF(AND(pc&gt;0,oc&gt;0),"Long Buildup",IF(AND(pc&lt;0,oc&gt;0),"Short Buildup",IF(AND(pc&gt;0,oc&lt;0),"Short Covering",IF(AND(pc&lt;0,oc&lt;0),"Long Unwinding","Flat"))))))</f>
        <v/>
      </c>
      <c r="J22" s="31">
        <f>LET(pc,ABS(F22),oc,ABS(H22),IF(OR(pc="",oc=""),"",MAX(1,MIN(5,ROUND((pc*0.5+oc*0.00001)*5,0))))))</f>
        <v/>
      </c>
    </row>
    <row r="23">
      <c r="A23" s="31" t="n">
        <v>21</v>
      </c>
      <c r="B23" s="31">
        <f>CHAIN_RAW!D21</f>
        <v/>
      </c>
      <c r="C23" s="31">
        <f>CHAIN_RAW!A21</f>
        <v/>
      </c>
      <c r="D23" s="31">
        <f>CHAIN_RAW!C21</f>
        <v/>
      </c>
      <c r="E23" s="31">
        <f>CHAIN_RAW!E21</f>
        <v/>
      </c>
      <c r="F23" s="31">
        <f>CHAIN_RAW!F21</f>
        <v/>
      </c>
      <c r="G23" s="31">
        <f>CHAIN_RAW!I21</f>
        <v/>
      </c>
      <c r="H23" s="31">
        <f>CHAIN_RAW!Q21</f>
        <v/>
      </c>
      <c r="I23" s="31">
        <f>LET(pc,F23,oc,H23,IF(OR(pc="",oc=""),"",IF(AND(pc&gt;0,oc&gt;0),"Long Buildup",IF(AND(pc&lt;0,oc&gt;0),"Short Buildup",IF(AND(pc&gt;0,oc&lt;0),"Short Covering",IF(AND(pc&lt;0,oc&lt;0),"Long Unwinding","Flat"))))))</f>
        <v/>
      </c>
      <c r="J23" s="31">
        <f>LET(pc,ABS(F23),oc,ABS(H23),IF(OR(pc="",oc=""),"",MAX(1,MIN(5,ROUND((pc*0.5+oc*0.00001)*5,0))))))</f>
        <v/>
      </c>
    </row>
    <row r="24">
      <c r="A24" s="31" t="n">
        <v>22</v>
      </c>
      <c r="B24" s="31">
        <f>CHAIN_RAW!D22</f>
        <v/>
      </c>
      <c r="C24" s="31">
        <f>CHAIN_RAW!A22</f>
        <v/>
      </c>
      <c r="D24" s="31">
        <f>CHAIN_RAW!C22</f>
        <v/>
      </c>
      <c r="E24" s="31">
        <f>CHAIN_RAW!E22</f>
        <v/>
      </c>
      <c r="F24" s="31">
        <f>CHAIN_RAW!F22</f>
        <v/>
      </c>
      <c r="G24" s="31">
        <f>CHAIN_RAW!I22</f>
        <v/>
      </c>
      <c r="H24" s="31">
        <f>CHAIN_RAW!Q22</f>
        <v/>
      </c>
      <c r="I24" s="31">
        <f>LET(pc,F24,oc,H24,IF(OR(pc="",oc=""),"",IF(AND(pc&gt;0,oc&gt;0),"Long Buildup",IF(AND(pc&lt;0,oc&gt;0),"Short Buildup",IF(AND(pc&gt;0,oc&lt;0),"Short Covering",IF(AND(pc&lt;0,oc&lt;0),"Long Unwinding","Flat"))))))</f>
        <v/>
      </c>
      <c r="J24" s="31">
        <f>LET(pc,ABS(F24),oc,ABS(H24),IF(OR(pc="",oc=""),"",MAX(1,MIN(5,ROUND((pc*0.5+oc*0.00001)*5,0))))))</f>
        <v/>
      </c>
    </row>
    <row r="25">
      <c r="A25" s="31" t="n">
        <v>23</v>
      </c>
      <c r="B25" s="31">
        <f>CHAIN_RAW!D23</f>
        <v/>
      </c>
      <c r="C25" s="31">
        <f>CHAIN_RAW!A23</f>
        <v/>
      </c>
      <c r="D25" s="31">
        <f>CHAIN_RAW!C23</f>
        <v/>
      </c>
      <c r="E25" s="31">
        <f>CHAIN_RAW!E23</f>
        <v/>
      </c>
      <c r="F25" s="31">
        <f>CHAIN_RAW!F23</f>
        <v/>
      </c>
      <c r="G25" s="31">
        <f>CHAIN_RAW!I23</f>
        <v/>
      </c>
      <c r="H25" s="31">
        <f>CHAIN_RAW!Q23</f>
        <v/>
      </c>
      <c r="I25" s="31">
        <f>LET(pc,F25,oc,H25,IF(OR(pc="",oc=""),"",IF(AND(pc&gt;0,oc&gt;0),"Long Buildup",IF(AND(pc&lt;0,oc&gt;0),"Short Buildup",IF(AND(pc&gt;0,oc&lt;0),"Short Covering",IF(AND(pc&lt;0,oc&lt;0),"Long Unwinding","Flat"))))))</f>
        <v/>
      </c>
      <c r="J25" s="31">
        <f>LET(pc,ABS(F25),oc,ABS(H25),IF(OR(pc="",oc=""),"",MAX(1,MIN(5,ROUND((pc*0.5+oc*0.00001)*5,0))))))</f>
        <v/>
      </c>
    </row>
    <row r="26">
      <c r="A26" s="31" t="n">
        <v>24</v>
      </c>
      <c r="B26" s="31">
        <f>CHAIN_RAW!D24</f>
        <v/>
      </c>
      <c r="C26" s="31">
        <f>CHAIN_RAW!A24</f>
        <v/>
      </c>
      <c r="D26" s="31">
        <f>CHAIN_RAW!C24</f>
        <v/>
      </c>
      <c r="E26" s="31">
        <f>CHAIN_RAW!E24</f>
        <v/>
      </c>
      <c r="F26" s="31">
        <f>CHAIN_RAW!F24</f>
        <v/>
      </c>
      <c r="G26" s="31">
        <f>CHAIN_RAW!I24</f>
        <v/>
      </c>
      <c r="H26" s="31">
        <f>CHAIN_RAW!Q24</f>
        <v/>
      </c>
      <c r="I26" s="31">
        <f>LET(pc,F26,oc,H26,IF(OR(pc="",oc=""),"",IF(AND(pc&gt;0,oc&gt;0),"Long Buildup",IF(AND(pc&lt;0,oc&gt;0),"Short Buildup",IF(AND(pc&gt;0,oc&lt;0),"Short Covering",IF(AND(pc&lt;0,oc&lt;0),"Long Unwinding","Flat"))))))</f>
        <v/>
      </c>
      <c r="J26" s="31">
        <f>LET(pc,ABS(F26),oc,ABS(H26),IF(OR(pc="",oc=""),"",MAX(1,MIN(5,ROUND((pc*0.5+oc*0.00001)*5,0))))))</f>
        <v/>
      </c>
    </row>
    <row r="27">
      <c r="A27" s="31" t="n">
        <v>25</v>
      </c>
      <c r="B27" s="31">
        <f>CHAIN_RAW!D25</f>
        <v/>
      </c>
      <c r="C27" s="31">
        <f>CHAIN_RAW!A25</f>
        <v/>
      </c>
      <c r="D27" s="31">
        <f>CHAIN_RAW!C25</f>
        <v/>
      </c>
      <c r="E27" s="31">
        <f>CHAIN_RAW!E25</f>
        <v/>
      </c>
      <c r="F27" s="31">
        <f>CHAIN_RAW!F25</f>
        <v/>
      </c>
      <c r="G27" s="31">
        <f>CHAIN_RAW!I25</f>
        <v/>
      </c>
      <c r="H27" s="31">
        <f>CHAIN_RAW!Q25</f>
        <v/>
      </c>
      <c r="I27" s="31">
        <f>LET(pc,F27,oc,H27,IF(OR(pc="",oc=""),"",IF(AND(pc&gt;0,oc&gt;0),"Long Buildup",IF(AND(pc&lt;0,oc&gt;0),"Short Buildup",IF(AND(pc&gt;0,oc&lt;0),"Short Covering",IF(AND(pc&lt;0,oc&lt;0),"Long Unwinding","Flat"))))))</f>
        <v/>
      </c>
      <c r="J27" s="31">
        <f>LET(pc,ABS(F27),oc,ABS(H27),IF(OR(pc="",oc=""),"",MAX(1,MIN(5,ROUND((pc*0.5+oc*0.00001)*5,0))))))</f>
        <v/>
      </c>
    </row>
    <row r="28">
      <c r="A28" s="31" t="n">
        <v>26</v>
      </c>
      <c r="B28" s="31">
        <f>CHAIN_RAW!D26</f>
        <v/>
      </c>
      <c r="C28" s="31">
        <f>CHAIN_RAW!A26</f>
        <v/>
      </c>
      <c r="D28" s="31">
        <f>CHAIN_RAW!C26</f>
        <v/>
      </c>
      <c r="E28" s="31">
        <f>CHAIN_RAW!E26</f>
        <v/>
      </c>
      <c r="F28" s="31">
        <f>CHAIN_RAW!F26</f>
        <v/>
      </c>
      <c r="G28" s="31">
        <f>CHAIN_RAW!I26</f>
        <v/>
      </c>
      <c r="H28" s="31">
        <f>CHAIN_RAW!Q26</f>
        <v/>
      </c>
      <c r="I28" s="31">
        <f>LET(pc,F28,oc,H28,IF(OR(pc="",oc=""),"",IF(AND(pc&gt;0,oc&gt;0),"Long Buildup",IF(AND(pc&lt;0,oc&gt;0),"Short Buildup",IF(AND(pc&gt;0,oc&lt;0),"Short Covering",IF(AND(pc&lt;0,oc&lt;0),"Long Unwinding","Flat"))))))</f>
        <v/>
      </c>
      <c r="J28" s="31">
        <f>LET(pc,ABS(F28),oc,ABS(H28),IF(OR(pc="",oc=""),"",MAX(1,MIN(5,ROUND((pc*0.5+oc*0.00001)*5,0))))))</f>
        <v/>
      </c>
    </row>
    <row r="29">
      <c r="A29" s="31" t="n">
        <v>27</v>
      </c>
      <c r="B29" s="31">
        <f>CHAIN_RAW!D27</f>
        <v/>
      </c>
      <c r="C29" s="31">
        <f>CHAIN_RAW!A27</f>
        <v/>
      </c>
      <c r="D29" s="31">
        <f>CHAIN_RAW!C27</f>
        <v/>
      </c>
      <c r="E29" s="31">
        <f>CHAIN_RAW!E27</f>
        <v/>
      </c>
      <c r="F29" s="31">
        <f>CHAIN_RAW!F27</f>
        <v/>
      </c>
      <c r="G29" s="31">
        <f>CHAIN_RAW!I27</f>
        <v/>
      </c>
      <c r="H29" s="31">
        <f>CHAIN_RAW!Q27</f>
        <v/>
      </c>
      <c r="I29" s="31">
        <f>LET(pc,F29,oc,H29,IF(OR(pc="",oc=""),"",IF(AND(pc&gt;0,oc&gt;0),"Long Buildup",IF(AND(pc&lt;0,oc&gt;0),"Short Buildup",IF(AND(pc&gt;0,oc&lt;0),"Short Covering",IF(AND(pc&lt;0,oc&lt;0),"Long Unwinding","Flat"))))))</f>
        <v/>
      </c>
      <c r="J29" s="31">
        <f>LET(pc,ABS(F29),oc,ABS(H29),IF(OR(pc="",oc=""),"",MAX(1,MIN(5,ROUND((pc*0.5+oc*0.00001)*5,0))))))</f>
        <v/>
      </c>
    </row>
    <row r="30">
      <c r="A30" s="31" t="n">
        <v>28</v>
      </c>
      <c r="B30" s="31">
        <f>CHAIN_RAW!D28</f>
        <v/>
      </c>
      <c r="C30" s="31">
        <f>CHAIN_RAW!A28</f>
        <v/>
      </c>
      <c r="D30" s="31">
        <f>CHAIN_RAW!C28</f>
        <v/>
      </c>
      <c r="E30" s="31">
        <f>CHAIN_RAW!E28</f>
        <v/>
      </c>
      <c r="F30" s="31">
        <f>CHAIN_RAW!F28</f>
        <v/>
      </c>
      <c r="G30" s="31">
        <f>CHAIN_RAW!I28</f>
        <v/>
      </c>
      <c r="H30" s="31">
        <f>CHAIN_RAW!Q28</f>
        <v/>
      </c>
      <c r="I30" s="31">
        <f>LET(pc,F30,oc,H30,IF(OR(pc="",oc=""),"",IF(AND(pc&gt;0,oc&gt;0),"Long Buildup",IF(AND(pc&lt;0,oc&gt;0),"Short Buildup",IF(AND(pc&gt;0,oc&lt;0),"Short Covering",IF(AND(pc&lt;0,oc&lt;0),"Long Unwinding","Flat"))))))</f>
        <v/>
      </c>
      <c r="J30" s="31">
        <f>LET(pc,ABS(F30),oc,ABS(H30),IF(OR(pc="",oc=""),"",MAX(1,MIN(5,ROUND((pc*0.5+oc*0.00001)*5,0))))))</f>
        <v/>
      </c>
    </row>
    <row r="31">
      <c r="A31" s="31" t="n">
        <v>29</v>
      </c>
      <c r="B31" s="31">
        <f>CHAIN_RAW!D29</f>
        <v/>
      </c>
      <c r="C31" s="31">
        <f>CHAIN_RAW!A29</f>
        <v/>
      </c>
      <c r="D31" s="31">
        <f>CHAIN_RAW!C29</f>
        <v/>
      </c>
      <c r="E31" s="31">
        <f>CHAIN_RAW!E29</f>
        <v/>
      </c>
      <c r="F31" s="31">
        <f>CHAIN_RAW!F29</f>
        <v/>
      </c>
      <c r="G31" s="31">
        <f>CHAIN_RAW!I29</f>
        <v/>
      </c>
      <c r="H31" s="31">
        <f>CHAIN_RAW!Q29</f>
        <v/>
      </c>
      <c r="I31" s="31">
        <f>LET(pc,F31,oc,H31,IF(OR(pc="",oc=""),"",IF(AND(pc&gt;0,oc&gt;0),"Long Buildup",IF(AND(pc&lt;0,oc&gt;0),"Short Buildup",IF(AND(pc&gt;0,oc&lt;0),"Short Covering",IF(AND(pc&lt;0,oc&lt;0),"Long Unwinding","Flat"))))))</f>
        <v/>
      </c>
      <c r="J31" s="31">
        <f>LET(pc,ABS(F31),oc,ABS(H31),IF(OR(pc="",oc=""),"",MAX(1,MIN(5,ROUND((pc*0.5+oc*0.00001)*5,0))))))</f>
        <v/>
      </c>
    </row>
    <row r="32">
      <c r="A32" s="31" t="n">
        <v>30</v>
      </c>
      <c r="B32" s="31">
        <f>CHAIN_RAW!D30</f>
        <v/>
      </c>
      <c r="C32" s="31">
        <f>CHAIN_RAW!A30</f>
        <v/>
      </c>
      <c r="D32" s="31">
        <f>CHAIN_RAW!C30</f>
        <v/>
      </c>
      <c r="E32" s="31">
        <f>CHAIN_RAW!E30</f>
        <v/>
      </c>
      <c r="F32" s="31">
        <f>CHAIN_RAW!F30</f>
        <v/>
      </c>
      <c r="G32" s="31">
        <f>CHAIN_RAW!I30</f>
        <v/>
      </c>
      <c r="H32" s="31">
        <f>CHAIN_RAW!Q30</f>
        <v/>
      </c>
      <c r="I32" s="31">
        <f>LET(pc,F32,oc,H32,IF(OR(pc="",oc=""),"",IF(AND(pc&gt;0,oc&gt;0),"Long Buildup",IF(AND(pc&lt;0,oc&gt;0),"Short Buildup",IF(AND(pc&gt;0,oc&lt;0),"Short Covering",IF(AND(pc&lt;0,oc&lt;0),"Long Unwinding","Flat"))))))</f>
        <v/>
      </c>
      <c r="J32" s="31">
        <f>LET(pc,ABS(F32),oc,ABS(H32),IF(OR(pc="",oc=""),"",MAX(1,MIN(5,ROUND((pc*0.5+oc*0.00001)*5,0))))))</f>
        <v/>
      </c>
    </row>
    <row r="33">
      <c r="A33" s="31" t="n">
        <v>31</v>
      </c>
      <c r="B33" s="31">
        <f>CHAIN_RAW!D31</f>
        <v/>
      </c>
      <c r="C33" s="31">
        <f>CHAIN_RAW!A31</f>
        <v/>
      </c>
      <c r="D33" s="31">
        <f>CHAIN_RAW!C31</f>
        <v/>
      </c>
      <c r="E33" s="31">
        <f>CHAIN_RAW!E31</f>
        <v/>
      </c>
      <c r="F33" s="31">
        <f>CHAIN_RAW!F31</f>
        <v/>
      </c>
      <c r="G33" s="31">
        <f>CHAIN_RAW!I31</f>
        <v/>
      </c>
      <c r="H33" s="31">
        <f>CHAIN_RAW!Q31</f>
        <v/>
      </c>
      <c r="I33" s="31">
        <f>LET(pc,F33,oc,H33,IF(OR(pc="",oc=""),"",IF(AND(pc&gt;0,oc&gt;0),"Long Buildup",IF(AND(pc&lt;0,oc&gt;0),"Short Buildup",IF(AND(pc&gt;0,oc&lt;0),"Short Covering",IF(AND(pc&lt;0,oc&lt;0),"Long Unwinding","Flat"))))))</f>
        <v/>
      </c>
      <c r="J33" s="31">
        <f>LET(pc,ABS(F33),oc,ABS(H33),IF(OR(pc="",oc=""),"",MAX(1,MIN(5,ROUND((pc*0.5+oc*0.00001)*5,0))))))</f>
        <v/>
      </c>
    </row>
    <row r="34">
      <c r="A34" s="31" t="n">
        <v>32</v>
      </c>
      <c r="B34" s="31">
        <f>CHAIN_RAW!D32</f>
        <v/>
      </c>
      <c r="C34" s="31">
        <f>CHAIN_RAW!A32</f>
        <v/>
      </c>
      <c r="D34" s="31">
        <f>CHAIN_RAW!C32</f>
        <v/>
      </c>
      <c r="E34" s="31">
        <f>CHAIN_RAW!E32</f>
        <v/>
      </c>
      <c r="F34" s="31">
        <f>CHAIN_RAW!F32</f>
        <v/>
      </c>
      <c r="G34" s="31">
        <f>CHAIN_RAW!I32</f>
        <v/>
      </c>
      <c r="H34" s="31">
        <f>CHAIN_RAW!Q32</f>
        <v/>
      </c>
      <c r="I34" s="31">
        <f>LET(pc,F34,oc,H34,IF(OR(pc="",oc=""),"",IF(AND(pc&gt;0,oc&gt;0),"Long Buildup",IF(AND(pc&lt;0,oc&gt;0),"Short Buildup",IF(AND(pc&gt;0,oc&lt;0),"Short Covering",IF(AND(pc&lt;0,oc&lt;0),"Long Unwinding","Flat"))))))</f>
        <v/>
      </c>
      <c r="J34" s="31">
        <f>LET(pc,ABS(F34),oc,ABS(H34),IF(OR(pc="",oc=""),"",MAX(1,MIN(5,ROUND((pc*0.5+oc*0.00001)*5,0))))))</f>
        <v/>
      </c>
    </row>
    <row r="35">
      <c r="A35" s="31" t="n">
        <v>33</v>
      </c>
      <c r="B35" s="31">
        <f>CHAIN_RAW!D33</f>
        <v/>
      </c>
      <c r="C35" s="31">
        <f>CHAIN_RAW!A33</f>
        <v/>
      </c>
      <c r="D35" s="31">
        <f>CHAIN_RAW!C33</f>
        <v/>
      </c>
      <c r="E35" s="31">
        <f>CHAIN_RAW!E33</f>
        <v/>
      </c>
      <c r="F35" s="31">
        <f>CHAIN_RAW!F33</f>
        <v/>
      </c>
      <c r="G35" s="31">
        <f>CHAIN_RAW!I33</f>
        <v/>
      </c>
      <c r="H35" s="31">
        <f>CHAIN_RAW!Q33</f>
        <v/>
      </c>
      <c r="I35" s="31">
        <f>LET(pc,F35,oc,H35,IF(OR(pc="",oc=""),"",IF(AND(pc&gt;0,oc&gt;0),"Long Buildup",IF(AND(pc&lt;0,oc&gt;0),"Short Buildup",IF(AND(pc&gt;0,oc&lt;0),"Short Covering",IF(AND(pc&lt;0,oc&lt;0),"Long Unwinding","Flat"))))))</f>
        <v/>
      </c>
      <c r="J35" s="31">
        <f>LET(pc,ABS(F35),oc,ABS(H35),IF(OR(pc="",oc=""),"",MAX(1,MIN(5,ROUND((pc*0.5+oc*0.00001)*5,0))))))</f>
        <v/>
      </c>
    </row>
    <row r="36">
      <c r="A36" s="31" t="n">
        <v>34</v>
      </c>
      <c r="B36" s="31">
        <f>CHAIN_RAW!D34</f>
        <v/>
      </c>
      <c r="C36" s="31">
        <f>CHAIN_RAW!A34</f>
        <v/>
      </c>
      <c r="D36" s="31">
        <f>CHAIN_RAW!C34</f>
        <v/>
      </c>
      <c r="E36" s="31">
        <f>CHAIN_RAW!E34</f>
        <v/>
      </c>
      <c r="F36" s="31">
        <f>CHAIN_RAW!F34</f>
        <v/>
      </c>
      <c r="G36" s="31">
        <f>CHAIN_RAW!I34</f>
        <v/>
      </c>
      <c r="H36" s="31">
        <f>CHAIN_RAW!Q34</f>
        <v/>
      </c>
      <c r="I36" s="31">
        <f>LET(pc,F36,oc,H36,IF(OR(pc="",oc=""),"",IF(AND(pc&gt;0,oc&gt;0),"Long Buildup",IF(AND(pc&lt;0,oc&gt;0),"Short Buildup",IF(AND(pc&gt;0,oc&lt;0),"Short Covering",IF(AND(pc&lt;0,oc&lt;0),"Long Unwinding","Flat"))))))</f>
        <v/>
      </c>
      <c r="J36" s="31">
        <f>LET(pc,ABS(F36),oc,ABS(H36),IF(OR(pc="",oc=""),"",MAX(1,MIN(5,ROUND((pc*0.5+oc*0.00001)*5,0))))))</f>
        <v/>
      </c>
    </row>
    <row r="37">
      <c r="A37" s="31" t="n">
        <v>35</v>
      </c>
      <c r="B37" s="31">
        <f>CHAIN_RAW!D35</f>
        <v/>
      </c>
      <c r="C37" s="31">
        <f>CHAIN_RAW!A35</f>
        <v/>
      </c>
      <c r="D37" s="31">
        <f>CHAIN_RAW!C35</f>
        <v/>
      </c>
      <c r="E37" s="31">
        <f>CHAIN_RAW!E35</f>
        <v/>
      </c>
      <c r="F37" s="31">
        <f>CHAIN_RAW!F35</f>
        <v/>
      </c>
      <c r="G37" s="31">
        <f>CHAIN_RAW!I35</f>
        <v/>
      </c>
      <c r="H37" s="31">
        <f>CHAIN_RAW!Q35</f>
        <v/>
      </c>
      <c r="I37" s="31">
        <f>LET(pc,F37,oc,H37,IF(OR(pc="",oc=""),"",IF(AND(pc&gt;0,oc&gt;0),"Long Buildup",IF(AND(pc&lt;0,oc&gt;0),"Short Buildup",IF(AND(pc&gt;0,oc&lt;0),"Short Covering",IF(AND(pc&lt;0,oc&lt;0),"Long Unwinding","Flat"))))))</f>
        <v/>
      </c>
      <c r="J37" s="31">
        <f>LET(pc,ABS(F37),oc,ABS(H37),IF(OR(pc="",oc=""),"",MAX(1,MIN(5,ROUND((pc*0.5+oc*0.00001)*5,0))))))</f>
        <v/>
      </c>
    </row>
    <row r="38">
      <c r="A38" s="31" t="n">
        <v>36</v>
      </c>
      <c r="B38" s="31">
        <f>CHAIN_RAW!D36</f>
        <v/>
      </c>
      <c r="C38" s="31">
        <f>CHAIN_RAW!A36</f>
        <v/>
      </c>
      <c r="D38" s="31">
        <f>CHAIN_RAW!C36</f>
        <v/>
      </c>
      <c r="E38" s="31">
        <f>CHAIN_RAW!E36</f>
        <v/>
      </c>
      <c r="F38" s="31">
        <f>CHAIN_RAW!F36</f>
        <v/>
      </c>
      <c r="G38" s="31">
        <f>CHAIN_RAW!I36</f>
        <v/>
      </c>
      <c r="H38" s="31">
        <f>CHAIN_RAW!Q36</f>
        <v/>
      </c>
      <c r="I38" s="31">
        <f>LET(pc,F38,oc,H38,IF(OR(pc="",oc=""),"",IF(AND(pc&gt;0,oc&gt;0),"Long Buildup",IF(AND(pc&lt;0,oc&gt;0),"Short Buildup",IF(AND(pc&gt;0,oc&lt;0),"Short Covering",IF(AND(pc&lt;0,oc&lt;0),"Long Unwinding","Flat"))))))</f>
        <v/>
      </c>
      <c r="J38" s="31">
        <f>LET(pc,ABS(F38),oc,ABS(H38),IF(OR(pc="",oc=""),"",MAX(1,MIN(5,ROUND((pc*0.5+oc*0.00001)*5,0))))))</f>
        <v/>
      </c>
    </row>
    <row r="39">
      <c r="A39" s="31" t="n">
        <v>37</v>
      </c>
      <c r="B39" s="31">
        <f>CHAIN_RAW!D37</f>
        <v/>
      </c>
      <c r="C39" s="31">
        <f>CHAIN_RAW!A37</f>
        <v/>
      </c>
      <c r="D39" s="31">
        <f>CHAIN_RAW!C37</f>
        <v/>
      </c>
      <c r="E39" s="31">
        <f>CHAIN_RAW!E37</f>
        <v/>
      </c>
      <c r="F39" s="31">
        <f>CHAIN_RAW!F37</f>
        <v/>
      </c>
      <c r="G39" s="31">
        <f>CHAIN_RAW!I37</f>
        <v/>
      </c>
      <c r="H39" s="31">
        <f>CHAIN_RAW!Q37</f>
        <v/>
      </c>
      <c r="I39" s="31">
        <f>LET(pc,F39,oc,H39,IF(OR(pc="",oc=""),"",IF(AND(pc&gt;0,oc&gt;0),"Long Buildup",IF(AND(pc&lt;0,oc&gt;0),"Short Buildup",IF(AND(pc&gt;0,oc&lt;0),"Short Covering",IF(AND(pc&lt;0,oc&lt;0),"Long Unwinding","Flat"))))))</f>
        <v/>
      </c>
      <c r="J39" s="31">
        <f>LET(pc,ABS(F39),oc,ABS(H39),IF(OR(pc="",oc=""),"",MAX(1,MIN(5,ROUND((pc*0.5+oc*0.00001)*5,0))))))</f>
        <v/>
      </c>
    </row>
    <row r="40">
      <c r="A40" s="31" t="n">
        <v>38</v>
      </c>
      <c r="B40" s="31">
        <f>CHAIN_RAW!D38</f>
        <v/>
      </c>
      <c r="C40" s="31">
        <f>CHAIN_RAW!A38</f>
        <v/>
      </c>
      <c r="D40" s="31">
        <f>CHAIN_RAW!C38</f>
        <v/>
      </c>
      <c r="E40" s="31">
        <f>CHAIN_RAW!E38</f>
        <v/>
      </c>
      <c r="F40" s="31">
        <f>CHAIN_RAW!F38</f>
        <v/>
      </c>
      <c r="G40" s="31">
        <f>CHAIN_RAW!I38</f>
        <v/>
      </c>
      <c r="H40" s="31">
        <f>CHAIN_RAW!Q38</f>
        <v/>
      </c>
      <c r="I40" s="31">
        <f>LET(pc,F40,oc,H40,IF(OR(pc="",oc=""),"",IF(AND(pc&gt;0,oc&gt;0),"Long Buildup",IF(AND(pc&lt;0,oc&gt;0),"Short Buildup",IF(AND(pc&gt;0,oc&lt;0),"Short Covering",IF(AND(pc&lt;0,oc&lt;0),"Long Unwinding","Flat"))))))</f>
        <v/>
      </c>
      <c r="J40" s="31">
        <f>LET(pc,ABS(F40),oc,ABS(H40),IF(OR(pc="",oc=""),"",MAX(1,MIN(5,ROUND((pc*0.5+oc*0.00001)*5,0))))))</f>
        <v/>
      </c>
    </row>
    <row r="41">
      <c r="A41" s="31" t="n">
        <v>39</v>
      </c>
      <c r="B41" s="31">
        <f>CHAIN_RAW!D39</f>
        <v/>
      </c>
      <c r="C41" s="31">
        <f>CHAIN_RAW!A39</f>
        <v/>
      </c>
      <c r="D41" s="31">
        <f>CHAIN_RAW!C39</f>
        <v/>
      </c>
      <c r="E41" s="31">
        <f>CHAIN_RAW!E39</f>
        <v/>
      </c>
      <c r="F41" s="31">
        <f>CHAIN_RAW!F39</f>
        <v/>
      </c>
      <c r="G41" s="31">
        <f>CHAIN_RAW!I39</f>
        <v/>
      </c>
      <c r="H41" s="31">
        <f>CHAIN_RAW!Q39</f>
        <v/>
      </c>
      <c r="I41" s="31">
        <f>LET(pc,F41,oc,H41,IF(OR(pc="",oc=""),"",IF(AND(pc&gt;0,oc&gt;0),"Long Buildup",IF(AND(pc&lt;0,oc&gt;0),"Short Buildup",IF(AND(pc&gt;0,oc&lt;0),"Short Covering",IF(AND(pc&lt;0,oc&lt;0),"Long Unwinding","Flat"))))))</f>
        <v/>
      </c>
      <c r="J41" s="31">
        <f>LET(pc,ABS(F41),oc,ABS(H41),IF(OR(pc="",oc=""),"",MAX(1,MIN(5,ROUND((pc*0.5+oc*0.00001)*5,0))))))</f>
        <v/>
      </c>
    </row>
    <row r="42">
      <c r="A42" s="31" t="n">
        <v>40</v>
      </c>
      <c r="B42" s="31">
        <f>CHAIN_RAW!D40</f>
        <v/>
      </c>
      <c r="C42" s="31">
        <f>CHAIN_RAW!A40</f>
        <v/>
      </c>
      <c r="D42" s="31">
        <f>CHAIN_RAW!C40</f>
        <v/>
      </c>
      <c r="E42" s="31">
        <f>CHAIN_RAW!E40</f>
        <v/>
      </c>
      <c r="F42" s="31">
        <f>CHAIN_RAW!F40</f>
        <v/>
      </c>
      <c r="G42" s="31">
        <f>CHAIN_RAW!I40</f>
        <v/>
      </c>
      <c r="H42" s="31">
        <f>CHAIN_RAW!Q40</f>
        <v/>
      </c>
      <c r="I42" s="31">
        <f>LET(pc,F42,oc,H42,IF(OR(pc="",oc=""),"",IF(AND(pc&gt;0,oc&gt;0),"Long Buildup",IF(AND(pc&lt;0,oc&gt;0),"Short Buildup",IF(AND(pc&gt;0,oc&lt;0),"Short Covering",IF(AND(pc&lt;0,oc&lt;0),"Long Unwinding","Flat"))))))</f>
        <v/>
      </c>
      <c r="J42" s="31">
        <f>LET(pc,ABS(F42),oc,ABS(H42),IF(OR(pc="",oc=""),"",MAX(1,MIN(5,ROUND((pc*0.5+oc*0.00001)*5,0))))))</f>
        <v/>
      </c>
    </row>
    <row r="43">
      <c r="A43" s="31" t="n">
        <v>41</v>
      </c>
      <c r="B43" s="31">
        <f>CHAIN_RAW!D41</f>
        <v/>
      </c>
      <c r="C43" s="31">
        <f>CHAIN_RAW!A41</f>
        <v/>
      </c>
      <c r="D43" s="31">
        <f>CHAIN_RAW!C41</f>
        <v/>
      </c>
      <c r="E43" s="31">
        <f>CHAIN_RAW!E41</f>
        <v/>
      </c>
      <c r="F43" s="31">
        <f>CHAIN_RAW!F41</f>
        <v/>
      </c>
      <c r="G43" s="31">
        <f>CHAIN_RAW!I41</f>
        <v/>
      </c>
      <c r="H43" s="31">
        <f>CHAIN_RAW!Q41</f>
        <v/>
      </c>
      <c r="I43" s="31">
        <f>LET(pc,F43,oc,H43,IF(OR(pc="",oc=""),"",IF(AND(pc&gt;0,oc&gt;0),"Long Buildup",IF(AND(pc&lt;0,oc&gt;0),"Short Buildup",IF(AND(pc&gt;0,oc&lt;0),"Short Covering",IF(AND(pc&lt;0,oc&lt;0),"Long Unwinding","Flat"))))))</f>
        <v/>
      </c>
      <c r="J43" s="31">
        <f>LET(pc,ABS(F43),oc,ABS(H43),IF(OR(pc="",oc=""),"",MAX(1,MIN(5,ROUND((pc*0.5+oc*0.00001)*5,0))))))</f>
        <v/>
      </c>
    </row>
    <row r="44">
      <c r="A44" s="31" t="n">
        <v>42</v>
      </c>
      <c r="B44" s="31">
        <f>CHAIN_RAW!D42</f>
        <v/>
      </c>
      <c r="C44" s="31">
        <f>CHAIN_RAW!A42</f>
        <v/>
      </c>
      <c r="D44" s="31">
        <f>CHAIN_RAW!C42</f>
        <v/>
      </c>
      <c r="E44" s="31">
        <f>CHAIN_RAW!E42</f>
        <v/>
      </c>
      <c r="F44" s="31">
        <f>CHAIN_RAW!F42</f>
        <v/>
      </c>
      <c r="G44" s="31">
        <f>CHAIN_RAW!I42</f>
        <v/>
      </c>
      <c r="H44" s="31">
        <f>CHAIN_RAW!Q42</f>
        <v/>
      </c>
      <c r="I44" s="31">
        <f>LET(pc,F44,oc,H44,IF(OR(pc="",oc=""),"",IF(AND(pc&gt;0,oc&gt;0),"Long Buildup",IF(AND(pc&lt;0,oc&gt;0),"Short Buildup",IF(AND(pc&gt;0,oc&lt;0),"Short Covering",IF(AND(pc&lt;0,oc&lt;0),"Long Unwinding","Flat"))))))</f>
        <v/>
      </c>
      <c r="J44" s="31">
        <f>LET(pc,ABS(F44),oc,ABS(H44),IF(OR(pc="",oc=""),"",MAX(1,MIN(5,ROUND((pc*0.5+oc*0.00001)*5,0))))))</f>
        <v/>
      </c>
    </row>
    <row r="45">
      <c r="A45" s="31" t="n">
        <v>43</v>
      </c>
      <c r="B45" s="31">
        <f>CHAIN_RAW!D43</f>
        <v/>
      </c>
      <c r="C45" s="31">
        <f>CHAIN_RAW!A43</f>
        <v/>
      </c>
      <c r="D45" s="31">
        <f>CHAIN_RAW!C43</f>
        <v/>
      </c>
      <c r="E45" s="31">
        <f>CHAIN_RAW!E43</f>
        <v/>
      </c>
      <c r="F45" s="31">
        <f>CHAIN_RAW!F43</f>
        <v/>
      </c>
      <c r="G45" s="31">
        <f>CHAIN_RAW!I43</f>
        <v/>
      </c>
      <c r="H45" s="31">
        <f>CHAIN_RAW!Q43</f>
        <v/>
      </c>
      <c r="I45" s="31">
        <f>LET(pc,F45,oc,H45,IF(OR(pc="",oc=""),"",IF(AND(pc&gt;0,oc&gt;0),"Long Buildup",IF(AND(pc&lt;0,oc&gt;0),"Short Buildup",IF(AND(pc&gt;0,oc&lt;0),"Short Covering",IF(AND(pc&lt;0,oc&lt;0),"Long Unwinding","Flat"))))))</f>
        <v/>
      </c>
      <c r="J45" s="31">
        <f>LET(pc,ABS(F45),oc,ABS(H45),IF(OR(pc="",oc=""),"",MAX(1,MIN(5,ROUND((pc*0.5+oc*0.00001)*5,0))))))</f>
        <v/>
      </c>
    </row>
    <row r="46">
      <c r="A46" s="31" t="n">
        <v>44</v>
      </c>
      <c r="B46" s="31">
        <f>CHAIN_RAW!D44</f>
        <v/>
      </c>
      <c r="C46" s="31">
        <f>CHAIN_RAW!A44</f>
        <v/>
      </c>
      <c r="D46" s="31">
        <f>CHAIN_RAW!C44</f>
        <v/>
      </c>
      <c r="E46" s="31">
        <f>CHAIN_RAW!E44</f>
        <v/>
      </c>
      <c r="F46" s="31">
        <f>CHAIN_RAW!F44</f>
        <v/>
      </c>
      <c r="G46" s="31">
        <f>CHAIN_RAW!I44</f>
        <v/>
      </c>
      <c r="H46" s="31">
        <f>CHAIN_RAW!Q44</f>
        <v/>
      </c>
      <c r="I46" s="31">
        <f>LET(pc,F46,oc,H46,IF(OR(pc="",oc=""),"",IF(AND(pc&gt;0,oc&gt;0),"Long Buildup",IF(AND(pc&lt;0,oc&gt;0),"Short Buildup",IF(AND(pc&gt;0,oc&lt;0),"Short Covering",IF(AND(pc&lt;0,oc&lt;0),"Long Unwinding","Flat"))))))</f>
        <v/>
      </c>
      <c r="J46" s="31">
        <f>LET(pc,ABS(F46),oc,ABS(H46),IF(OR(pc="",oc=""),"",MAX(1,MIN(5,ROUND((pc*0.5+oc*0.00001)*5,0))))))</f>
        <v/>
      </c>
    </row>
    <row r="47">
      <c r="A47" s="31" t="n">
        <v>45</v>
      </c>
      <c r="B47" s="31">
        <f>CHAIN_RAW!D45</f>
        <v/>
      </c>
      <c r="C47" s="31">
        <f>CHAIN_RAW!A45</f>
        <v/>
      </c>
      <c r="D47" s="31">
        <f>CHAIN_RAW!C45</f>
        <v/>
      </c>
      <c r="E47" s="31">
        <f>CHAIN_RAW!E45</f>
        <v/>
      </c>
      <c r="F47" s="31">
        <f>CHAIN_RAW!F45</f>
        <v/>
      </c>
      <c r="G47" s="31">
        <f>CHAIN_RAW!I45</f>
        <v/>
      </c>
      <c r="H47" s="31">
        <f>CHAIN_RAW!Q45</f>
        <v/>
      </c>
      <c r="I47" s="31">
        <f>LET(pc,F47,oc,H47,IF(OR(pc="",oc=""),"",IF(AND(pc&gt;0,oc&gt;0),"Long Buildup",IF(AND(pc&lt;0,oc&gt;0),"Short Buildup",IF(AND(pc&gt;0,oc&lt;0),"Short Covering",IF(AND(pc&lt;0,oc&lt;0),"Long Unwinding","Flat"))))))</f>
        <v/>
      </c>
      <c r="J47" s="31">
        <f>LET(pc,ABS(F47),oc,ABS(H47),IF(OR(pc="",oc=""),"",MAX(1,MIN(5,ROUND((pc*0.5+oc*0.00001)*5,0))))))</f>
        <v/>
      </c>
    </row>
    <row r="48">
      <c r="A48" s="31" t="n">
        <v>46</v>
      </c>
      <c r="B48" s="31">
        <f>CHAIN_RAW!D46</f>
        <v/>
      </c>
      <c r="C48" s="31">
        <f>CHAIN_RAW!A46</f>
        <v/>
      </c>
      <c r="D48" s="31">
        <f>CHAIN_RAW!C46</f>
        <v/>
      </c>
      <c r="E48" s="31">
        <f>CHAIN_RAW!E46</f>
        <v/>
      </c>
      <c r="F48" s="31">
        <f>CHAIN_RAW!F46</f>
        <v/>
      </c>
      <c r="G48" s="31">
        <f>CHAIN_RAW!I46</f>
        <v/>
      </c>
      <c r="H48" s="31">
        <f>CHAIN_RAW!Q46</f>
        <v/>
      </c>
      <c r="I48" s="31">
        <f>LET(pc,F48,oc,H48,IF(OR(pc="",oc=""),"",IF(AND(pc&gt;0,oc&gt;0),"Long Buildup",IF(AND(pc&lt;0,oc&gt;0),"Short Buildup",IF(AND(pc&gt;0,oc&lt;0),"Short Covering",IF(AND(pc&lt;0,oc&lt;0),"Long Unwinding","Flat"))))))</f>
        <v/>
      </c>
      <c r="J48" s="31">
        <f>LET(pc,ABS(F48),oc,ABS(H48),IF(OR(pc="",oc=""),"",MAX(1,MIN(5,ROUND((pc*0.5+oc*0.00001)*5,0))))))</f>
        <v/>
      </c>
    </row>
    <row r="49">
      <c r="A49" s="31" t="n">
        <v>47</v>
      </c>
      <c r="B49" s="31">
        <f>CHAIN_RAW!D47</f>
        <v/>
      </c>
      <c r="C49" s="31">
        <f>CHAIN_RAW!A47</f>
        <v/>
      </c>
      <c r="D49" s="31">
        <f>CHAIN_RAW!C47</f>
        <v/>
      </c>
      <c r="E49" s="31">
        <f>CHAIN_RAW!E47</f>
        <v/>
      </c>
      <c r="F49" s="31">
        <f>CHAIN_RAW!F47</f>
        <v/>
      </c>
      <c r="G49" s="31">
        <f>CHAIN_RAW!I47</f>
        <v/>
      </c>
      <c r="H49" s="31">
        <f>CHAIN_RAW!Q47</f>
        <v/>
      </c>
      <c r="I49" s="31">
        <f>LET(pc,F49,oc,H49,IF(OR(pc="",oc=""),"",IF(AND(pc&gt;0,oc&gt;0),"Long Buildup",IF(AND(pc&lt;0,oc&gt;0),"Short Buildup",IF(AND(pc&gt;0,oc&lt;0),"Short Covering",IF(AND(pc&lt;0,oc&lt;0),"Long Unwinding","Flat"))))))</f>
        <v/>
      </c>
      <c r="J49" s="31">
        <f>LET(pc,ABS(F49),oc,ABS(H49),IF(OR(pc="",oc=""),"",MAX(1,MIN(5,ROUND((pc*0.5+oc*0.00001)*5,0))))))</f>
        <v/>
      </c>
    </row>
    <row r="50">
      <c r="A50" s="31" t="n">
        <v>48</v>
      </c>
      <c r="B50" s="31">
        <f>CHAIN_RAW!D48</f>
        <v/>
      </c>
      <c r="C50" s="31">
        <f>CHAIN_RAW!A48</f>
        <v/>
      </c>
      <c r="D50" s="31">
        <f>CHAIN_RAW!C48</f>
        <v/>
      </c>
      <c r="E50" s="31">
        <f>CHAIN_RAW!E48</f>
        <v/>
      </c>
      <c r="F50" s="31">
        <f>CHAIN_RAW!F48</f>
        <v/>
      </c>
      <c r="G50" s="31">
        <f>CHAIN_RAW!I48</f>
        <v/>
      </c>
      <c r="H50" s="31">
        <f>CHAIN_RAW!Q48</f>
        <v/>
      </c>
      <c r="I50" s="31">
        <f>LET(pc,F50,oc,H50,IF(OR(pc="",oc=""),"",IF(AND(pc&gt;0,oc&gt;0),"Long Buildup",IF(AND(pc&lt;0,oc&gt;0),"Short Buildup",IF(AND(pc&gt;0,oc&lt;0),"Short Covering",IF(AND(pc&lt;0,oc&lt;0),"Long Unwinding","Flat"))))))</f>
        <v/>
      </c>
      <c r="J50" s="31">
        <f>LET(pc,ABS(F50),oc,ABS(H50),IF(OR(pc="",oc=""),"",MAX(1,MIN(5,ROUND((pc*0.5+oc*0.00001)*5,0))))))</f>
        <v/>
      </c>
    </row>
    <row r="51">
      <c r="A51" s="31" t="n">
        <v>49</v>
      </c>
      <c r="B51" s="31">
        <f>CHAIN_RAW!D49</f>
        <v/>
      </c>
      <c r="C51" s="31">
        <f>CHAIN_RAW!A49</f>
        <v/>
      </c>
      <c r="D51" s="31">
        <f>CHAIN_RAW!C49</f>
        <v/>
      </c>
      <c r="E51" s="31">
        <f>CHAIN_RAW!E49</f>
        <v/>
      </c>
      <c r="F51" s="31">
        <f>CHAIN_RAW!F49</f>
        <v/>
      </c>
      <c r="G51" s="31">
        <f>CHAIN_RAW!I49</f>
        <v/>
      </c>
      <c r="H51" s="31">
        <f>CHAIN_RAW!Q49</f>
        <v/>
      </c>
      <c r="I51" s="31">
        <f>LET(pc,F51,oc,H51,IF(OR(pc="",oc=""),"",IF(AND(pc&gt;0,oc&gt;0),"Long Buildup",IF(AND(pc&lt;0,oc&gt;0),"Short Buildup",IF(AND(pc&gt;0,oc&lt;0),"Short Covering",IF(AND(pc&lt;0,oc&lt;0),"Long Unwinding","Flat"))))))</f>
        <v/>
      </c>
      <c r="J51" s="31">
        <f>LET(pc,ABS(F51),oc,ABS(H51),IF(OR(pc="",oc=""),"",MAX(1,MIN(5,ROUND((pc*0.5+oc*0.00001)*5,0))))))</f>
        <v/>
      </c>
    </row>
    <row r="52">
      <c r="A52" s="31" t="n">
        <v>50</v>
      </c>
      <c r="B52" s="31">
        <f>CHAIN_RAW!D50</f>
        <v/>
      </c>
      <c r="C52" s="31">
        <f>CHAIN_RAW!A50</f>
        <v/>
      </c>
      <c r="D52" s="31">
        <f>CHAIN_RAW!C50</f>
        <v/>
      </c>
      <c r="E52" s="31">
        <f>CHAIN_RAW!E50</f>
        <v/>
      </c>
      <c r="F52" s="31">
        <f>CHAIN_RAW!F50</f>
        <v/>
      </c>
      <c r="G52" s="31">
        <f>CHAIN_RAW!I50</f>
        <v/>
      </c>
      <c r="H52" s="31">
        <f>CHAIN_RAW!Q50</f>
        <v/>
      </c>
      <c r="I52" s="31">
        <f>LET(pc,F52,oc,H52,IF(OR(pc="",oc=""),"",IF(AND(pc&gt;0,oc&gt;0),"Long Buildup",IF(AND(pc&lt;0,oc&gt;0),"Short Buildup",IF(AND(pc&gt;0,oc&lt;0),"Short Covering",IF(AND(pc&lt;0,oc&lt;0),"Long Unwinding","Flat"))))))</f>
        <v/>
      </c>
      <c r="J52" s="31">
        <f>LET(pc,ABS(F52),oc,ABS(H52),IF(OR(pc="",oc=""),"",MAX(1,MIN(5,ROUND((pc*0.5+oc*0.00001)*5,0))))))</f>
        <v/>
      </c>
    </row>
    <row r="53">
      <c r="A53" s="31" t="n">
        <v>51</v>
      </c>
      <c r="B53" s="31">
        <f>CHAIN_RAW!D51</f>
        <v/>
      </c>
      <c r="C53" s="31">
        <f>CHAIN_RAW!A51</f>
        <v/>
      </c>
      <c r="D53" s="31">
        <f>CHAIN_RAW!C51</f>
        <v/>
      </c>
      <c r="E53" s="31">
        <f>CHAIN_RAW!E51</f>
        <v/>
      </c>
      <c r="F53" s="31">
        <f>CHAIN_RAW!F51</f>
        <v/>
      </c>
      <c r="G53" s="31">
        <f>CHAIN_RAW!I51</f>
        <v/>
      </c>
      <c r="H53" s="31">
        <f>CHAIN_RAW!Q51</f>
        <v/>
      </c>
      <c r="I53" s="31">
        <f>LET(pc,F53,oc,H53,IF(OR(pc="",oc=""),"",IF(AND(pc&gt;0,oc&gt;0),"Long Buildup",IF(AND(pc&lt;0,oc&gt;0),"Short Buildup",IF(AND(pc&gt;0,oc&lt;0),"Short Covering",IF(AND(pc&lt;0,oc&lt;0),"Long Unwinding","Flat"))))))</f>
        <v/>
      </c>
      <c r="J53" s="31">
        <f>LET(pc,ABS(F53),oc,ABS(H53),IF(OR(pc="",oc=""),"",MAX(1,MIN(5,ROUND((pc*0.5+oc*0.00001)*5,0))))))</f>
        <v/>
      </c>
    </row>
    <row r="54">
      <c r="A54" s="31" t="n">
        <v>52</v>
      </c>
      <c r="B54" s="31">
        <f>CHAIN_RAW!D52</f>
        <v/>
      </c>
      <c r="C54" s="31">
        <f>CHAIN_RAW!A52</f>
        <v/>
      </c>
      <c r="D54" s="31">
        <f>CHAIN_RAW!C52</f>
        <v/>
      </c>
      <c r="E54" s="31">
        <f>CHAIN_RAW!E52</f>
        <v/>
      </c>
      <c r="F54" s="31">
        <f>CHAIN_RAW!F52</f>
        <v/>
      </c>
      <c r="G54" s="31">
        <f>CHAIN_RAW!I52</f>
        <v/>
      </c>
      <c r="H54" s="31">
        <f>CHAIN_RAW!Q52</f>
        <v/>
      </c>
      <c r="I54" s="31">
        <f>LET(pc,F54,oc,H54,IF(OR(pc="",oc=""),"",IF(AND(pc&gt;0,oc&gt;0),"Long Buildup",IF(AND(pc&lt;0,oc&gt;0),"Short Buildup",IF(AND(pc&gt;0,oc&lt;0),"Short Covering",IF(AND(pc&lt;0,oc&lt;0),"Long Unwinding","Flat"))))))</f>
        <v/>
      </c>
      <c r="J54" s="31">
        <f>LET(pc,ABS(F54),oc,ABS(H54),IF(OR(pc="",oc=""),"",MAX(1,MIN(5,ROUND((pc*0.5+oc*0.00001)*5,0))))))</f>
        <v/>
      </c>
    </row>
    <row r="55">
      <c r="A55" s="31" t="n">
        <v>53</v>
      </c>
      <c r="B55" s="31">
        <f>CHAIN_RAW!D53</f>
        <v/>
      </c>
      <c r="C55" s="31">
        <f>CHAIN_RAW!A53</f>
        <v/>
      </c>
      <c r="D55" s="31">
        <f>CHAIN_RAW!C53</f>
        <v/>
      </c>
      <c r="E55" s="31">
        <f>CHAIN_RAW!E53</f>
        <v/>
      </c>
      <c r="F55" s="31">
        <f>CHAIN_RAW!F53</f>
        <v/>
      </c>
      <c r="G55" s="31">
        <f>CHAIN_RAW!I53</f>
        <v/>
      </c>
      <c r="H55" s="31">
        <f>CHAIN_RAW!Q53</f>
        <v/>
      </c>
      <c r="I55" s="31">
        <f>LET(pc,F55,oc,H55,IF(OR(pc="",oc=""),"",IF(AND(pc&gt;0,oc&gt;0),"Long Buildup",IF(AND(pc&lt;0,oc&gt;0),"Short Buildup",IF(AND(pc&gt;0,oc&lt;0),"Short Covering",IF(AND(pc&lt;0,oc&lt;0),"Long Unwinding","Flat"))))))</f>
        <v/>
      </c>
      <c r="J55" s="31">
        <f>LET(pc,ABS(F55),oc,ABS(H55),IF(OR(pc="",oc=""),"",MAX(1,MIN(5,ROUND((pc*0.5+oc*0.00001)*5,0))))))</f>
        <v/>
      </c>
    </row>
    <row r="56">
      <c r="A56" s="31" t="n">
        <v>54</v>
      </c>
      <c r="B56" s="31">
        <f>CHAIN_RAW!D54</f>
        <v/>
      </c>
      <c r="C56" s="31">
        <f>CHAIN_RAW!A54</f>
        <v/>
      </c>
      <c r="D56" s="31">
        <f>CHAIN_RAW!C54</f>
        <v/>
      </c>
      <c r="E56" s="31">
        <f>CHAIN_RAW!E54</f>
        <v/>
      </c>
      <c r="F56" s="31">
        <f>CHAIN_RAW!F54</f>
        <v/>
      </c>
      <c r="G56" s="31">
        <f>CHAIN_RAW!I54</f>
        <v/>
      </c>
      <c r="H56" s="31">
        <f>CHAIN_RAW!Q54</f>
        <v/>
      </c>
      <c r="I56" s="31">
        <f>LET(pc,F56,oc,H56,IF(OR(pc="",oc=""),"",IF(AND(pc&gt;0,oc&gt;0),"Long Buildup",IF(AND(pc&lt;0,oc&gt;0),"Short Buildup",IF(AND(pc&gt;0,oc&lt;0),"Short Covering",IF(AND(pc&lt;0,oc&lt;0),"Long Unwinding","Flat"))))))</f>
        <v/>
      </c>
      <c r="J56" s="31">
        <f>LET(pc,ABS(F56),oc,ABS(H56),IF(OR(pc="",oc=""),"",MAX(1,MIN(5,ROUND((pc*0.5+oc*0.00001)*5,0))))))</f>
        <v/>
      </c>
    </row>
    <row r="57">
      <c r="A57" s="31" t="n">
        <v>55</v>
      </c>
      <c r="B57" s="31">
        <f>CHAIN_RAW!D55</f>
        <v/>
      </c>
      <c r="C57" s="31">
        <f>CHAIN_RAW!A55</f>
        <v/>
      </c>
      <c r="D57" s="31">
        <f>CHAIN_RAW!C55</f>
        <v/>
      </c>
      <c r="E57" s="31">
        <f>CHAIN_RAW!E55</f>
        <v/>
      </c>
      <c r="F57" s="31">
        <f>CHAIN_RAW!F55</f>
        <v/>
      </c>
      <c r="G57" s="31">
        <f>CHAIN_RAW!I55</f>
        <v/>
      </c>
      <c r="H57" s="31">
        <f>CHAIN_RAW!Q55</f>
        <v/>
      </c>
      <c r="I57" s="31">
        <f>LET(pc,F57,oc,H57,IF(OR(pc="",oc=""),"",IF(AND(pc&gt;0,oc&gt;0),"Long Buildup",IF(AND(pc&lt;0,oc&gt;0),"Short Buildup",IF(AND(pc&gt;0,oc&lt;0),"Short Covering",IF(AND(pc&lt;0,oc&lt;0),"Long Unwinding","Flat"))))))</f>
        <v/>
      </c>
      <c r="J57" s="31">
        <f>LET(pc,ABS(F57),oc,ABS(H57),IF(OR(pc="",oc=""),"",MAX(1,MIN(5,ROUND((pc*0.5+oc*0.00001)*5,0))))))</f>
        <v/>
      </c>
    </row>
    <row r="58">
      <c r="A58" s="31" t="n">
        <v>56</v>
      </c>
      <c r="B58" s="31">
        <f>CHAIN_RAW!D56</f>
        <v/>
      </c>
      <c r="C58" s="31">
        <f>CHAIN_RAW!A56</f>
        <v/>
      </c>
      <c r="D58" s="31">
        <f>CHAIN_RAW!C56</f>
        <v/>
      </c>
      <c r="E58" s="31">
        <f>CHAIN_RAW!E56</f>
        <v/>
      </c>
      <c r="F58" s="31">
        <f>CHAIN_RAW!F56</f>
        <v/>
      </c>
      <c r="G58" s="31">
        <f>CHAIN_RAW!I56</f>
        <v/>
      </c>
      <c r="H58" s="31">
        <f>CHAIN_RAW!Q56</f>
        <v/>
      </c>
      <c r="I58" s="31">
        <f>LET(pc,F58,oc,H58,IF(OR(pc="",oc=""),"",IF(AND(pc&gt;0,oc&gt;0),"Long Buildup",IF(AND(pc&lt;0,oc&gt;0),"Short Buildup",IF(AND(pc&gt;0,oc&lt;0),"Short Covering",IF(AND(pc&lt;0,oc&lt;0),"Long Unwinding","Flat"))))))</f>
        <v/>
      </c>
      <c r="J58" s="31">
        <f>LET(pc,ABS(F58),oc,ABS(H58),IF(OR(pc="",oc=""),"",MAX(1,MIN(5,ROUND((pc*0.5+oc*0.00001)*5,0))))))</f>
        <v/>
      </c>
    </row>
    <row r="59">
      <c r="A59" s="31" t="n">
        <v>57</v>
      </c>
      <c r="B59" s="31">
        <f>CHAIN_RAW!D57</f>
        <v/>
      </c>
      <c r="C59" s="31">
        <f>CHAIN_RAW!A57</f>
        <v/>
      </c>
      <c r="D59" s="31">
        <f>CHAIN_RAW!C57</f>
        <v/>
      </c>
      <c r="E59" s="31">
        <f>CHAIN_RAW!E57</f>
        <v/>
      </c>
      <c r="F59" s="31">
        <f>CHAIN_RAW!F57</f>
        <v/>
      </c>
      <c r="G59" s="31">
        <f>CHAIN_RAW!I57</f>
        <v/>
      </c>
      <c r="H59" s="31">
        <f>CHAIN_RAW!Q57</f>
        <v/>
      </c>
      <c r="I59" s="31">
        <f>LET(pc,F59,oc,H59,IF(OR(pc="",oc=""),"",IF(AND(pc&gt;0,oc&gt;0),"Long Buildup",IF(AND(pc&lt;0,oc&gt;0),"Short Buildup",IF(AND(pc&gt;0,oc&lt;0),"Short Covering",IF(AND(pc&lt;0,oc&lt;0),"Long Unwinding","Flat"))))))</f>
        <v/>
      </c>
      <c r="J59" s="31">
        <f>LET(pc,ABS(F59),oc,ABS(H59),IF(OR(pc="",oc=""),"",MAX(1,MIN(5,ROUND((pc*0.5+oc*0.00001)*5,0))))))</f>
        <v/>
      </c>
    </row>
    <row r="60">
      <c r="A60" s="31" t="n">
        <v>58</v>
      </c>
      <c r="B60" s="31">
        <f>CHAIN_RAW!D58</f>
        <v/>
      </c>
      <c r="C60" s="31">
        <f>CHAIN_RAW!A58</f>
        <v/>
      </c>
      <c r="D60" s="31">
        <f>CHAIN_RAW!C58</f>
        <v/>
      </c>
      <c r="E60" s="31">
        <f>CHAIN_RAW!E58</f>
        <v/>
      </c>
      <c r="F60" s="31">
        <f>CHAIN_RAW!F58</f>
        <v/>
      </c>
      <c r="G60" s="31">
        <f>CHAIN_RAW!I58</f>
        <v/>
      </c>
      <c r="H60" s="31">
        <f>CHAIN_RAW!Q58</f>
        <v/>
      </c>
      <c r="I60" s="31">
        <f>LET(pc,F60,oc,H60,IF(OR(pc="",oc=""),"",IF(AND(pc&gt;0,oc&gt;0),"Long Buildup",IF(AND(pc&lt;0,oc&gt;0),"Short Buildup",IF(AND(pc&gt;0,oc&lt;0),"Short Covering",IF(AND(pc&lt;0,oc&lt;0),"Long Unwinding","Flat"))))))</f>
        <v/>
      </c>
      <c r="J60" s="31">
        <f>LET(pc,ABS(F60),oc,ABS(H60),IF(OR(pc="",oc=""),"",MAX(1,MIN(5,ROUND((pc*0.5+oc*0.00001)*5,0))))))</f>
        <v/>
      </c>
    </row>
    <row r="61">
      <c r="A61" s="31" t="n">
        <v>59</v>
      </c>
      <c r="B61" s="31">
        <f>CHAIN_RAW!D59</f>
        <v/>
      </c>
      <c r="C61" s="31">
        <f>CHAIN_RAW!A59</f>
        <v/>
      </c>
      <c r="D61" s="31">
        <f>CHAIN_RAW!C59</f>
        <v/>
      </c>
      <c r="E61" s="31">
        <f>CHAIN_RAW!E59</f>
        <v/>
      </c>
      <c r="F61" s="31">
        <f>CHAIN_RAW!F59</f>
        <v/>
      </c>
      <c r="G61" s="31">
        <f>CHAIN_RAW!I59</f>
        <v/>
      </c>
      <c r="H61" s="31">
        <f>CHAIN_RAW!Q59</f>
        <v/>
      </c>
      <c r="I61" s="31">
        <f>LET(pc,F61,oc,H61,IF(OR(pc="",oc=""),"",IF(AND(pc&gt;0,oc&gt;0),"Long Buildup",IF(AND(pc&lt;0,oc&gt;0),"Short Buildup",IF(AND(pc&gt;0,oc&lt;0),"Short Covering",IF(AND(pc&lt;0,oc&lt;0),"Long Unwinding","Flat"))))))</f>
        <v/>
      </c>
      <c r="J61" s="31">
        <f>LET(pc,ABS(F61),oc,ABS(H61),IF(OR(pc="",oc=""),"",MAX(1,MIN(5,ROUND((pc*0.5+oc*0.00001)*5,0))))))</f>
        <v/>
      </c>
    </row>
    <row r="62">
      <c r="A62" s="31" t="n">
        <v>60</v>
      </c>
      <c r="B62" s="31">
        <f>CHAIN_RAW!D60</f>
        <v/>
      </c>
      <c r="C62" s="31">
        <f>CHAIN_RAW!A60</f>
        <v/>
      </c>
      <c r="D62" s="31">
        <f>CHAIN_RAW!C60</f>
        <v/>
      </c>
      <c r="E62" s="31">
        <f>CHAIN_RAW!E60</f>
        <v/>
      </c>
      <c r="F62" s="31">
        <f>CHAIN_RAW!F60</f>
        <v/>
      </c>
      <c r="G62" s="31">
        <f>CHAIN_RAW!I60</f>
        <v/>
      </c>
      <c r="H62" s="31">
        <f>CHAIN_RAW!Q60</f>
        <v/>
      </c>
      <c r="I62" s="31">
        <f>LET(pc,F62,oc,H62,IF(OR(pc="",oc=""),"",IF(AND(pc&gt;0,oc&gt;0),"Long Buildup",IF(AND(pc&lt;0,oc&gt;0),"Short Buildup",IF(AND(pc&gt;0,oc&lt;0),"Short Covering",IF(AND(pc&lt;0,oc&lt;0),"Long Unwinding","Flat"))))))</f>
        <v/>
      </c>
      <c r="J62" s="31">
        <f>LET(pc,ABS(F62),oc,ABS(H62),IF(OR(pc="",oc=""),"",MAX(1,MIN(5,ROUND((pc*0.5+oc*0.00001)*5,0))))))</f>
        <v/>
      </c>
    </row>
    <row r="63">
      <c r="A63" s="31" t="n">
        <v>61</v>
      </c>
      <c r="B63" s="31">
        <f>CHAIN_RAW!D61</f>
        <v/>
      </c>
      <c r="C63" s="31">
        <f>CHAIN_RAW!A61</f>
        <v/>
      </c>
      <c r="D63" s="31">
        <f>CHAIN_RAW!C61</f>
        <v/>
      </c>
      <c r="E63" s="31">
        <f>CHAIN_RAW!E61</f>
        <v/>
      </c>
      <c r="F63" s="31">
        <f>CHAIN_RAW!F61</f>
        <v/>
      </c>
      <c r="G63" s="31">
        <f>CHAIN_RAW!I61</f>
        <v/>
      </c>
      <c r="H63" s="31">
        <f>CHAIN_RAW!Q61</f>
        <v/>
      </c>
      <c r="I63" s="31">
        <f>LET(pc,F63,oc,H63,IF(OR(pc="",oc=""),"",IF(AND(pc&gt;0,oc&gt;0),"Long Buildup",IF(AND(pc&lt;0,oc&gt;0),"Short Buildup",IF(AND(pc&gt;0,oc&lt;0),"Short Covering",IF(AND(pc&lt;0,oc&lt;0),"Long Unwinding","Flat"))))))</f>
        <v/>
      </c>
      <c r="J63" s="31">
        <f>LET(pc,ABS(F63),oc,ABS(H63),IF(OR(pc="",oc=""),"",MAX(1,MIN(5,ROUND((pc*0.5+oc*0.00001)*5,0))))))</f>
        <v/>
      </c>
    </row>
    <row r="64">
      <c r="A64" s="31" t="n">
        <v>62</v>
      </c>
      <c r="B64" s="31">
        <f>CHAIN_RAW!D62</f>
        <v/>
      </c>
      <c r="C64" s="31">
        <f>CHAIN_RAW!A62</f>
        <v/>
      </c>
      <c r="D64" s="31">
        <f>CHAIN_RAW!C62</f>
        <v/>
      </c>
      <c r="E64" s="31">
        <f>CHAIN_RAW!E62</f>
        <v/>
      </c>
      <c r="F64" s="31">
        <f>CHAIN_RAW!F62</f>
        <v/>
      </c>
      <c r="G64" s="31">
        <f>CHAIN_RAW!I62</f>
        <v/>
      </c>
      <c r="H64" s="31">
        <f>CHAIN_RAW!Q62</f>
        <v/>
      </c>
      <c r="I64" s="31">
        <f>LET(pc,F64,oc,H64,IF(OR(pc="",oc=""),"",IF(AND(pc&gt;0,oc&gt;0),"Long Buildup",IF(AND(pc&lt;0,oc&gt;0),"Short Buildup",IF(AND(pc&gt;0,oc&lt;0),"Short Covering",IF(AND(pc&lt;0,oc&lt;0),"Long Unwinding","Flat"))))))</f>
        <v/>
      </c>
      <c r="J64" s="31">
        <f>LET(pc,ABS(F64),oc,ABS(H64),IF(OR(pc="",oc=""),"",MAX(1,MIN(5,ROUND((pc*0.5+oc*0.00001)*5,0))))))</f>
        <v/>
      </c>
    </row>
    <row r="65">
      <c r="A65" s="31" t="n">
        <v>63</v>
      </c>
      <c r="B65" s="31">
        <f>CHAIN_RAW!D63</f>
        <v/>
      </c>
      <c r="C65" s="31">
        <f>CHAIN_RAW!A63</f>
        <v/>
      </c>
      <c r="D65" s="31">
        <f>CHAIN_RAW!C63</f>
        <v/>
      </c>
      <c r="E65" s="31">
        <f>CHAIN_RAW!E63</f>
        <v/>
      </c>
      <c r="F65" s="31">
        <f>CHAIN_RAW!F63</f>
        <v/>
      </c>
      <c r="G65" s="31">
        <f>CHAIN_RAW!I63</f>
        <v/>
      </c>
      <c r="H65" s="31">
        <f>CHAIN_RAW!Q63</f>
        <v/>
      </c>
      <c r="I65" s="31">
        <f>LET(pc,F65,oc,H65,IF(OR(pc="",oc=""),"",IF(AND(pc&gt;0,oc&gt;0),"Long Buildup",IF(AND(pc&lt;0,oc&gt;0),"Short Buildup",IF(AND(pc&gt;0,oc&lt;0),"Short Covering",IF(AND(pc&lt;0,oc&lt;0),"Long Unwinding","Flat"))))))</f>
        <v/>
      </c>
      <c r="J65" s="31">
        <f>LET(pc,ABS(F65),oc,ABS(H65),IF(OR(pc="",oc=""),"",MAX(1,MIN(5,ROUND((pc*0.5+oc*0.00001)*5,0))))))</f>
        <v/>
      </c>
    </row>
    <row r="66">
      <c r="A66" s="31" t="n">
        <v>64</v>
      </c>
      <c r="B66" s="31">
        <f>CHAIN_RAW!D64</f>
        <v/>
      </c>
      <c r="C66" s="31">
        <f>CHAIN_RAW!A64</f>
        <v/>
      </c>
      <c r="D66" s="31">
        <f>CHAIN_RAW!C64</f>
        <v/>
      </c>
      <c r="E66" s="31">
        <f>CHAIN_RAW!E64</f>
        <v/>
      </c>
      <c r="F66" s="31">
        <f>CHAIN_RAW!F64</f>
        <v/>
      </c>
      <c r="G66" s="31">
        <f>CHAIN_RAW!I64</f>
        <v/>
      </c>
      <c r="H66" s="31">
        <f>CHAIN_RAW!Q64</f>
        <v/>
      </c>
      <c r="I66" s="31">
        <f>LET(pc,F66,oc,H66,IF(OR(pc="",oc=""),"",IF(AND(pc&gt;0,oc&gt;0),"Long Buildup",IF(AND(pc&lt;0,oc&gt;0),"Short Buildup",IF(AND(pc&gt;0,oc&lt;0),"Short Covering",IF(AND(pc&lt;0,oc&lt;0),"Long Unwinding","Flat"))))))</f>
        <v/>
      </c>
      <c r="J66" s="31">
        <f>LET(pc,ABS(F66),oc,ABS(H66),IF(OR(pc="",oc=""),"",MAX(1,MIN(5,ROUND((pc*0.5+oc*0.00001)*5,0))))))</f>
        <v/>
      </c>
    </row>
    <row r="67">
      <c r="A67" s="31" t="n">
        <v>65</v>
      </c>
      <c r="B67" s="31">
        <f>CHAIN_RAW!D65</f>
        <v/>
      </c>
      <c r="C67" s="31">
        <f>CHAIN_RAW!A65</f>
        <v/>
      </c>
      <c r="D67" s="31">
        <f>CHAIN_RAW!C65</f>
        <v/>
      </c>
      <c r="E67" s="31">
        <f>CHAIN_RAW!E65</f>
        <v/>
      </c>
      <c r="F67" s="31">
        <f>CHAIN_RAW!F65</f>
        <v/>
      </c>
      <c r="G67" s="31">
        <f>CHAIN_RAW!I65</f>
        <v/>
      </c>
      <c r="H67" s="31">
        <f>CHAIN_RAW!Q65</f>
        <v/>
      </c>
      <c r="I67" s="31">
        <f>LET(pc,F67,oc,H67,IF(OR(pc="",oc=""),"",IF(AND(pc&gt;0,oc&gt;0),"Long Buildup",IF(AND(pc&lt;0,oc&gt;0),"Short Buildup",IF(AND(pc&gt;0,oc&lt;0),"Short Covering",IF(AND(pc&lt;0,oc&lt;0),"Long Unwinding","Flat"))))))</f>
        <v/>
      </c>
      <c r="J67" s="31">
        <f>LET(pc,ABS(F67),oc,ABS(H67),IF(OR(pc="",oc=""),"",MAX(1,MIN(5,ROUND((pc*0.5+oc*0.00001)*5,0))))))</f>
        <v/>
      </c>
    </row>
    <row r="68">
      <c r="A68" s="31" t="n">
        <v>66</v>
      </c>
      <c r="B68" s="31">
        <f>CHAIN_RAW!D66</f>
        <v/>
      </c>
      <c r="C68" s="31">
        <f>CHAIN_RAW!A66</f>
        <v/>
      </c>
      <c r="D68" s="31">
        <f>CHAIN_RAW!C66</f>
        <v/>
      </c>
      <c r="E68" s="31">
        <f>CHAIN_RAW!E66</f>
        <v/>
      </c>
      <c r="F68" s="31">
        <f>CHAIN_RAW!F66</f>
        <v/>
      </c>
      <c r="G68" s="31">
        <f>CHAIN_RAW!I66</f>
        <v/>
      </c>
      <c r="H68" s="31">
        <f>CHAIN_RAW!Q66</f>
        <v/>
      </c>
      <c r="I68" s="31">
        <f>LET(pc,F68,oc,H68,IF(OR(pc="",oc=""),"",IF(AND(pc&gt;0,oc&gt;0),"Long Buildup",IF(AND(pc&lt;0,oc&gt;0),"Short Buildup",IF(AND(pc&gt;0,oc&lt;0),"Short Covering",IF(AND(pc&lt;0,oc&lt;0),"Long Unwinding","Flat"))))))</f>
        <v/>
      </c>
      <c r="J68" s="31">
        <f>LET(pc,ABS(F68),oc,ABS(H68),IF(OR(pc="",oc=""),"",MAX(1,MIN(5,ROUND((pc*0.5+oc*0.00001)*5,0))))))</f>
        <v/>
      </c>
    </row>
    <row r="69">
      <c r="A69" s="31" t="n">
        <v>67</v>
      </c>
      <c r="B69" s="31">
        <f>CHAIN_RAW!D67</f>
        <v/>
      </c>
      <c r="C69" s="31">
        <f>CHAIN_RAW!A67</f>
        <v/>
      </c>
      <c r="D69" s="31">
        <f>CHAIN_RAW!C67</f>
        <v/>
      </c>
      <c r="E69" s="31">
        <f>CHAIN_RAW!E67</f>
        <v/>
      </c>
      <c r="F69" s="31">
        <f>CHAIN_RAW!F67</f>
        <v/>
      </c>
      <c r="G69" s="31">
        <f>CHAIN_RAW!I67</f>
        <v/>
      </c>
      <c r="H69" s="31">
        <f>CHAIN_RAW!Q67</f>
        <v/>
      </c>
      <c r="I69" s="31">
        <f>LET(pc,F69,oc,H69,IF(OR(pc="",oc=""),"",IF(AND(pc&gt;0,oc&gt;0),"Long Buildup",IF(AND(pc&lt;0,oc&gt;0),"Short Buildup",IF(AND(pc&gt;0,oc&lt;0),"Short Covering",IF(AND(pc&lt;0,oc&lt;0),"Long Unwinding","Flat"))))))</f>
        <v/>
      </c>
      <c r="J69" s="31">
        <f>LET(pc,ABS(F69),oc,ABS(H69),IF(OR(pc="",oc=""),"",MAX(1,MIN(5,ROUND((pc*0.5+oc*0.00001)*5,0))))))</f>
        <v/>
      </c>
    </row>
    <row r="70">
      <c r="A70" s="31" t="n">
        <v>68</v>
      </c>
      <c r="B70" s="31">
        <f>CHAIN_RAW!D68</f>
        <v/>
      </c>
      <c r="C70" s="31">
        <f>CHAIN_RAW!A68</f>
        <v/>
      </c>
      <c r="D70" s="31">
        <f>CHAIN_RAW!C68</f>
        <v/>
      </c>
      <c r="E70" s="31">
        <f>CHAIN_RAW!E68</f>
        <v/>
      </c>
      <c r="F70" s="31">
        <f>CHAIN_RAW!F68</f>
        <v/>
      </c>
      <c r="G70" s="31">
        <f>CHAIN_RAW!I68</f>
        <v/>
      </c>
      <c r="H70" s="31">
        <f>CHAIN_RAW!Q68</f>
        <v/>
      </c>
      <c r="I70" s="31">
        <f>LET(pc,F70,oc,H70,IF(OR(pc="",oc=""),"",IF(AND(pc&gt;0,oc&gt;0),"Long Buildup",IF(AND(pc&lt;0,oc&gt;0),"Short Buildup",IF(AND(pc&gt;0,oc&lt;0),"Short Covering",IF(AND(pc&lt;0,oc&lt;0),"Long Unwinding","Flat"))))))</f>
        <v/>
      </c>
      <c r="J70" s="31">
        <f>LET(pc,ABS(F70),oc,ABS(H70),IF(OR(pc="",oc=""),"",MAX(1,MIN(5,ROUND((pc*0.5+oc*0.00001)*5,0))))))</f>
        <v/>
      </c>
    </row>
    <row r="71">
      <c r="A71" s="31" t="n">
        <v>69</v>
      </c>
      <c r="B71" s="31">
        <f>CHAIN_RAW!D69</f>
        <v/>
      </c>
      <c r="C71" s="31">
        <f>CHAIN_RAW!A69</f>
        <v/>
      </c>
      <c r="D71" s="31">
        <f>CHAIN_RAW!C69</f>
        <v/>
      </c>
      <c r="E71" s="31">
        <f>CHAIN_RAW!E69</f>
        <v/>
      </c>
      <c r="F71" s="31">
        <f>CHAIN_RAW!F69</f>
        <v/>
      </c>
      <c r="G71" s="31">
        <f>CHAIN_RAW!I69</f>
        <v/>
      </c>
      <c r="H71" s="31">
        <f>CHAIN_RAW!Q69</f>
        <v/>
      </c>
      <c r="I71" s="31">
        <f>LET(pc,F71,oc,H71,IF(OR(pc="",oc=""),"",IF(AND(pc&gt;0,oc&gt;0),"Long Buildup",IF(AND(pc&lt;0,oc&gt;0),"Short Buildup",IF(AND(pc&gt;0,oc&lt;0),"Short Covering",IF(AND(pc&lt;0,oc&lt;0),"Long Unwinding","Flat"))))))</f>
        <v/>
      </c>
      <c r="J71" s="31">
        <f>LET(pc,ABS(F71),oc,ABS(H71),IF(OR(pc="",oc=""),"",MAX(1,MIN(5,ROUND((pc*0.5+oc*0.00001)*5,0))))))</f>
        <v/>
      </c>
    </row>
    <row r="72">
      <c r="A72" s="31" t="n">
        <v>70</v>
      </c>
      <c r="B72" s="31">
        <f>CHAIN_RAW!D70</f>
        <v/>
      </c>
      <c r="C72" s="31">
        <f>CHAIN_RAW!A70</f>
        <v/>
      </c>
      <c r="D72" s="31">
        <f>CHAIN_RAW!C70</f>
        <v/>
      </c>
      <c r="E72" s="31">
        <f>CHAIN_RAW!E70</f>
        <v/>
      </c>
      <c r="F72" s="31">
        <f>CHAIN_RAW!F70</f>
        <v/>
      </c>
      <c r="G72" s="31">
        <f>CHAIN_RAW!I70</f>
        <v/>
      </c>
      <c r="H72" s="31">
        <f>CHAIN_RAW!Q70</f>
        <v/>
      </c>
      <c r="I72" s="31">
        <f>LET(pc,F72,oc,H72,IF(OR(pc="",oc=""),"",IF(AND(pc&gt;0,oc&gt;0),"Long Buildup",IF(AND(pc&lt;0,oc&gt;0),"Short Buildup",IF(AND(pc&gt;0,oc&lt;0),"Short Covering",IF(AND(pc&lt;0,oc&lt;0),"Long Unwinding","Flat"))))))</f>
        <v/>
      </c>
      <c r="J72" s="31">
        <f>LET(pc,ABS(F72),oc,ABS(H72),IF(OR(pc="",oc=""),"",MAX(1,MIN(5,ROUND((pc*0.5+oc*0.00001)*5,0))))))</f>
        <v/>
      </c>
    </row>
    <row r="73">
      <c r="A73" s="31" t="n">
        <v>71</v>
      </c>
      <c r="B73" s="31">
        <f>CHAIN_RAW!D71</f>
        <v/>
      </c>
      <c r="C73" s="31">
        <f>CHAIN_RAW!A71</f>
        <v/>
      </c>
      <c r="D73" s="31">
        <f>CHAIN_RAW!C71</f>
        <v/>
      </c>
      <c r="E73" s="31">
        <f>CHAIN_RAW!E71</f>
        <v/>
      </c>
      <c r="F73" s="31">
        <f>CHAIN_RAW!F71</f>
        <v/>
      </c>
      <c r="G73" s="31">
        <f>CHAIN_RAW!I71</f>
        <v/>
      </c>
      <c r="H73" s="31">
        <f>CHAIN_RAW!Q71</f>
        <v/>
      </c>
      <c r="I73" s="31">
        <f>LET(pc,F73,oc,H73,IF(OR(pc="",oc=""),"",IF(AND(pc&gt;0,oc&gt;0),"Long Buildup",IF(AND(pc&lt;0,oc&gt;0),"Short Buildup",IF(AND(pc&gt;0,oc&lt;0),"Short Covering",IF(AND(pc&lt;0,oc&lt;0),"Long Unwinding","Flat"))))))</f>
        <v/>
      </c>
      <c r="J73" s="31">
        <f>LET(pc,ABS(F73),oc,ABS(H73),IF(OR(pc="",oc=""),"",MAX(1,MIN(5,ROUND((pc*0.5+oc*0.00001)*5,0))))))</f>
        <v/>
      </c>
    </row>
    <row r="74">
      <c r="A74" s="31" t="n">
        <v>72</v>
      </c>
      <c r="B74" s="31">
        <f>CHAIN_RAW!D72</f>
        <v/>
      </c>
      <c r="C74" s="31">
        <f>CHAIN_RAW!A72</f>
        <v/>
      </c>
      <c r="D74" s="31">
        <f>CHAIN_RAW!C72</f>
        <v/>
      </c>
      <c r="E74" s="31">
        <f>CHAIN_RAW!E72</f>
        <v/>
      </c>
      <c r="F74" s="31">
        <f>CHAIN_RAW!F72</f>
        <v/>
      </c>
      <c r="G74" s="31">
        <f>CHAIN_RAW!I72</f>
        <v/>
      </c>
      <c r="H74" s="31">
        <f>CHAIN_RAW!Q72</f>
        <v/>
      </c>
      <c r="I74" s="31">
        <f>LET(pc,F74,oc,H74,IF(OR(pc="",oc=""),"",IF(AND(pc&gt;0,oc&gt;0),"Long Buildup",IF(AND(pc&lt;0,oc&gt;0),"Short Buildup",IF(AND(pc&gt;0,oc&lt;0),"Short Covering",IF(AND(pc&lt;0,oc&lt;0),"Long Unwinding","Flat"))))))</f>
        <v/>
      </c>
      <c r="J74" s="31">
        <f>LET(pc,ABS(F74),oc,ABS(H74),IF(OR(pc="",oc=""),"",MAX(1,MIN(5,ROUND((pc*0.5+oc*0.00001)*5,0))))))</f>
        <v/>
      </c>
    </row>
    <row r="75">
      <c r="A75" s="31" t="n">
        <v>73</v>
      </c>
      <c r="B75" s="31">
        <f>CHAIN_RAW!D73</f>
        <v/>
      </c>
      <c r="C75" s="31">
        <f>CHAIN_RAW!A73</f>
        <v/>
      </c>
      <c r="D75" s="31">
        <f>CHAIN_RAW!C73</f>
        <v/>
      </c>
      <c r="E75" s="31">
        <f>CHAIN_RAW!E73</f>
        <v/>
      </c>
      <c r="F75" s="31">
        <f>CHAIN_RAW!F73</f>
        <v/>
      </c>
      <c r="G75" s="31">
        <f>CHAIN_RAW!I73</f>
        <v/>
      </c>
      <c r="H75" s="31">
        <f>CHAIN_RAW!Q73</f>
        <v/>
      </c>
      <c r="I75" s="31">
        <f>LET(pc,F75,oc,H75,IF(OR(pc="",oc=""),"",IF(AND(pc&gt;0,oc&gt;0),"Long Buildup",IF(AND(pc&lt;0,oc&gt;0),"Short Buildup",IF(AND(pc&gt;0,oc&lt;0),"Short Covering",IF(AND(pc&lt;0,oc&lt;0),"Long Unwinding","Flat"))))))</f>
        <v/>
      </c>
      <c r="J75" s="31">
        <f>LET(pc,ABS(F75),oc,ABS(H75),IF(OR(pc="",oc=""),"",MAX(1,MIN(5,ROUND((pc*0.5+oc*0.00001)*5,0))))))</f>
        <v/>
      </c>
    </row>
    <row r="76">
      <c r="A76" s="31" t="n">
        <v>74</v>
      </c>
      <c r="B76" s="31">
        <f>CHAIN_RAW!D74</f>
        <v/>
      </c>
      <c r="C76" s="31">
        <f>CHAIN_RAW!A74</f>
        <v/>
      </c>
      <c r="D76" s="31">
        <f>CHAIN_RAW!C74</f>
        <v/>
      </c>
      <c r="E76" s="31">
        <f>CHAIN_RAW!E74</f>
        <v/>
      </c>
      <c r="F76" s="31">
        <f>CHAIN_RAW!F74</f>
        <v/>
      </c>
      <c r="G76" s="31">
        <f>CHAIN_RAW!I74</f>
        <v/>
      </c>
      <c r="H76" s="31">
        <f>CHAIN_RAW!Q74</f>
        <v/>
      </c>
      <c r="I76" s="31">
        <f>LET(pc,F76,oc,H76,IF(OR(pc="",oc=""),"",IF(AND(pc&gt;0,oc&gt;0),"Long Buildup",IF(AND(pc&lt;0,oc&gt;0),"Short Buildup",IF(AND(pc&gt;0,oc&lt;0),"Short Covering",IF(AND(pc&lt;0,oc&lt;0),"Long Unwinding","Flat"))))))</f>
        <v/>
      </c>
      <c r="J76" s="31">
        <f>LET(pc,ABS(F76),oc,ABS(H76),IF(OR(pc="",oc=""),"",MAX(1,MIN(5,ROUND((pc*0.5+oc*0.00001)*5,0))))))</f>
        <v/>
      </c>
    </row>
    <row r="77">
      <c r="A77" s="31" t="n">
        <v>75</v>
      </c>
      <c r="B77" s="31">
        <f>CHAIN_RAW!D75</f>
        <v/>
      </c>
      <c r="C77" s="31">
        <f>CHAIN_RAW!A75</f>
        <v/>
      </c>
      <c r="D77" s="31">
        <f>CHAIN_RAW!C75</f>
        <v/>
      </c>
      <c r="E77" s="31">
        <f>CHAIN_RAW!E75</f>
        <v/>
      </c>
      <c r="F77" s="31">
        <f>CHAIN_RAW!F75</f>
        <v/>
      </c>
      <c r="G77" s="31">
        <f>CHAIN_RAW!I75</f>
        <v/>
      </c>
      <c r="H77" s="31">
        <f>CHAIN_RAW!Q75</f>
        <v/>
      </c>
      <c r="I77" s="31">
        <f>LET(pc,F77,oc,H77,IF(OR(pc="",oc=""),"",IF(AND(pc&gt;0,oc&gt;0),"Long Buildup",IF(AND(pc&lt;0,oc&gt;0),"Short Buildup",IF(AND(pc&gt;0,oc&lt;0),"Short Covering",IF(AND(pc&lt;0,oc&lt;0),"Long Unwinding","Flat"))))))</f>
        <v/>
      </c>
      <c r="J77" s="31">
        <f>LET(pc,ABS(F77),oc,ABS(H77),IF(OR(pc="",oc=""),"",MAX(1,MIN(5,ROUND((pc*0.5+oc*0.00001)*5,0))))))</f>
        <v/>
      </c>
    </row>
    <row r="78">
      <c r="A78" s="31" t="n">
        <v>76</v>
      </c>
      <c r="B78" s="31">
        <f>CHAIN_RAW!D76</f>
        <v/>
      </c>
      <c r="C78" s="31">
        <f>CHAIN_RAW!A76</f>
        <v/>
      </c>
      <c r="D78" s="31">
        <f>CHAIN_RAW!C76</f>
        <v/>
      </c>
      <c r="E78" s="31">
        <f>CHAIN_RAW!E76</f>
        <v/>
      </c>
      <c r="F78" s="31">
        <f>CHAIN_RAW!F76</f>
        <v/>
      </c>
      <c r="G78" s="31">
        <f>CHAIN_RAW!I76</f>
        <v/>
      </c>
      <c r="H78" s="31">
        <f>CHAIN_RAW!Q76</f>
        <v/>
      </c>
      <c r="I78" s="31">
        <f>LET(pc,F78,oc,H78,IF(OR(pc="",oc=""),"",IF(AND(pc&gt;0,oc&gt;0),"Long Buildup",IF(AND(pc&lt;0,oc&gt;0),"Short Buildup",IF(AND(pc&gt;0,oc&lt;0),"Short Covering",IF(AND(pc&lt;0,oc&lt;0),"Long Unwinding","Flat"))))))</f>
        <v/>
      </c>
      <c r="J78" s="31">
        <f>LET(pc,ABS(F78),oc,ABS(H78),IF(OR(pc="",oc=""),"",MAX(1,MIN(5,ROUND((pc*0.5+oc*0.00001)*5,0))))))</f>
        <v/>
      </c>
    </row>
    <row r="79">
      <c r="A79" s="31" t="n">
        <v>77</v>
      </c>
      <c r="B79" s="31">
        <f>CHAIN_RAW!D77</f>
        <v/>
      </c>
      <c r="C79" s="31">
        <f>CHAIN_RAW!A77</f>
        <v/>
      </c>
      <c r="D79" s="31">
        <f>CHAIN_RAW!C77</f>
        <v/>
      </c>
      <c r="E79" s="31">
        <f>CHAIN_RAW!E77</f>
        <v/>
      </c>
      <c r="F79" s="31">
        <f>CHAIN_RAW!F77</f>
        <v/>
      </c>
      <c r="G79" s="31">
        <f>CHAIN_RAW!I77</f>
        <v/>
      </c>
      <c r="H79" s="31">
        <f>CHAIN_RAW!Q77</f>
        <v/>
      </c>
      <c r="I79" s="31">
        <f>LET(pc,F79,oc,H79,IF(OR(pc="",oc=""),"",IF(AND(pc&gt;0,oc&gt;0),"Long Buildup",IF(AND(pc&lt;0,oc&gt;0),"Short Buildup",IF(AND(pc&gt;0,oc&lt;0),"Short Covering",IF(AND(pc&lt;0,oc&lt;0),"Long Unwinding","Flat"))))))</f>
        <v/>
      </c>
      <c r="J79" s="31">
        <f>LET(pc,ABS(F79),oc,ABS(H79),IF(OR(pc="",oc=""),"",MAX(1,MIN(5,ROUND((pc*0.5+oc*0.00001)*5,0))))))</f>
        <v/>
      </c>
    </row>
    <row r="80">
      <c r="A80" s="31" t="n">
        <v>78</v>
      </c>
      <c r="B80" s="31">
        <f>CHAIN_RAW!D78</f>
        <v/>
      </c>
      <c r="C80" s="31">
        <f>CHAIN_RAW!A78</f>
        <v/>
      </c>
      <c r="D80" s="31">
        <f>CHAIN_RAW!C78</f>
        <v/>
      </c>
      <c r="E80" s="31">
        <f>CHAIN_RAW!E78</f>
        <v/>
      </c>
      <c r="F80" s="31">
        <f>CHAIN_RAW!F78</f>
        <v/>
      </c>
      <c r="G80" s="31">
        <f>CHAIN_RAW!I78</f>
        <v/>
      </c>
      <c r="H80" s="31">
        <f>CHAIN_RAW!Q78</f>
        <v/>
      </c>
      <c r="I80" s="31">
        <f>LET(pc,F80,oc,H80,IF(OR(pc="",oc=""),"",IF(AND(pc&gt;0,oc&gt;0),"Long Buildup",IF(AND(pc&lt;0,oc&gt;0),"Short Buildup",IF(AND(pc&gt;0,oc&lt;0),"Short Covering",IF(AND(pc&lt;0,oc&lt;0),"Long Unwinding","Flat"))))))</f>
        <v/>
      </c>
      <c r="J80" s="31">
        <f>LET(pc,ABS(F80),oc,ABS(H80),IF(OR(pc="",oc=""),"",MAX(1,MIN(5,ROUND((pc*0.5+oc*0.00001)*5,0))))))</f>
        <v/>
      </c>
    </row>
    <row r="81">
      <c r="A81" s="31" t="n">
        <v>79</v>
      </c>
      <c r="B81" s="31">
        <f>CHAIN_RAW!D79</f>
        <v/>
      </c>
      <c r="C81" s="31">
        <f>CHAIN_RAW!A79</f>
        <v/>
      </c>
      <c r="D81" s="31">
        <f>CHAIN_RAW!C79</f>
        <v/>
      </c>
      <c r="E81" s="31">
        <f>CHAIN_RAW!E79</f>
        <v/>
      </c>
      <c r="F81" s="31">
        <f>CHAIN_RAW!F79</f>
        <v/>
      </c>
      <c r="G81" s="31">
        <f>CHAIN_RAW!I79</f>
        <v/>
      </c>
      <c r="H81" s="31">
        <f>CHAIN_RAW!Q79</f>
        <v/>
      </c>
      <c r="I81" s="31">
        <f>LET(pc,F81,oc,H81,IF(OR(pc="",oc=""),"",IF(AND(pc&gt;0,oc&gt;0),"Long Buildup",IF(AND(pc&lt;0,oc&gt;0),"Short Buildup",IF(AND(pc&gt;0,oc&lt;0),"Short Covering",IF(AND(pc&lt;0,oc&lt;0),"Long Unwinding","Flat"))))))</f>
        <v/>
      </c>
      <c r="J81" s="31">
        <f>LET(pc,ABS(F81),oc,ABS(H81),IF(OR(pc="",oc=""),"",MAX(1,MIN(5,ROUND((pc*0.5+oc*0.00001)*5,0))))))</f>
        <v/>
      </c>
    </row>
    <row r="82">
      <c r="A82" s="31" t="n">
        <v>80</v>
      </c>
      <c r="B82" s="31">
        <f>CHAIN_RAW!D80</f>
        <v/>
      </c>
      <c r="C82" s="31">
        <f>CHAIN_RAW!A80</f>
        <v/>
      </c>
      <c r="D82" s="31">
        <f>CHAIN_RAW!C80</f>
        <v/>
      </c>
      <c r="E82" s="31">
        <f>CHAIN_RAW!E80</f>
        <v/>
      </c>
      <c r="F82" s="31">
        <f>CHAIN_RAW!F80</f>
        <v/>
      </c>
      <c r="G82" s="31">
        <f>CHAIN_RAW!I80</f>
        <v/>
      </c>
      <c r="H82" s="31">
        <f>CHAIN_RAW!Q80</f>
        <v/>
      </c>
      <c r="I82" s="31">
        <f>LET(pc,F82,oc,H82,IF(OR(pc="",oc=""),"",IF(AND(pc&gt;0,oc&gt;0),"Long Buildup",IF(AND(pc&lt;0,oc&gt;0),"Short Buildup",IF(AND(pc&gt;0,oc&lt;0),"Short Covering",IF(AND(pc&lt;0,oc&lt;0),"Long Unwinding","Flat"))))))</f>
        <v/>
      </c>
      <c r="J82" s="31">
        <f>LET(pc,ABS(F82),oc,ABS(H82),IF(OR(pc="",oc=""),"",MAX(1,MIN(5,ROUND((pc*0.5+oc*0.00001)*5,0))))))</f>
        <v/>
      </c>
    </row>
    <row r="83">
      <c r="A83" s="31" t="n">
        <v>81</v>
      </c>
      <c r="B83" s="31">
        <f>CHAIN_RAW!D81</f>
        <v/>
      </c>
      <c r="C83" s="31">
        <f>CHAIN_RAW!A81</f>
        <v/>
      </c>
      <c r="D83" s="31">
        <f>CHAIN_RAW!C81</f>
        <v/>
      </c>
      <c r="E83" s="31">
        <f>CHAIN_RAW!E81</f>
        <v/>
      </c>
      <c r="F83" s="31">
        <f>CHAIN_RAW!F81</f>
        <v/>
      </c>
      <c r="G83" s="31">
        <f>CHAIN_RAW!I81</f>
        <v/>
      </c>
      <c r="H83" s="31">
        <f>CHAIN_RAW!Q81</f>
        <v/>
      </c>
      <c r="I83" s="31">
        <f>LET(pc,F83,oc,H83,IF(OR(pc="",oc=""),"",IF(AND(pc&gt;0,oc&gt;0),"Long Buildup",IF(AND(pc&lt;0,oc&gt;0),"Short Buildup",IF(AND(pc&gt;0,oc&lt;0),"Short Covering",IF(AND(pc&lt;0,oc&lt;0),"Long Unwinding","Flat"))))))</f>
        <v/>
      </c>
      <c r="J83" s="31">
        <f>LET(pc,ABS(F83),oc,ABS(H83),IF(OR(pc="",oc=""),"",MAX(1,MIN(5,ROUND((pc*0.5+oc*0.00001)*5,0))))))</f>
        <v/>
      </c>
    </row>
    <row r="84">
      <c r="A84" s="31" t="n">
        <v>82</v>
      </c>
      <c r="B84" s="31">
        <f>CHAIN_RAW!D82</f>
        <v/>
      </c>
      <c r="C84" s="31">
        <f>CHAIN_RAW!A82</f>
        <v/>
      </c>
      <c r="D84" s="31">
        <f>CHAIN_RAW!C82</f>
        <v/>
      </c>
      <c r="E84" s="31">
        <f>CHAIN_RAW!E82</f>
        <v/>
      </c>
      <c r="F84" s="31">
        <f>CHAIN_RAW!F82</f>
        <v/>
      </c>
      <c r="G84" s="31">
        <f>CHAIN_RAW!I82</f>
        <v/>
      </c>
      <c r="H84" s="31">
        <f>CHAIN_RAW!Q82</f>
        <v/>
      </c>
      <c r="I84" s="31">
        <f>LET(pc,F84,oc,H84,IF(OR(pc="",oc=""),"",IF(AND(pc&gt;0,oc&gt;0),"Long Buildup",IF(AND(pc&lt;0,oc&gt;0),"Short Buildup",IF(AND(pc&gt;0,oc&lt;0),"Short Covering",IF(AND(pc&lt;0,oc&lt;0),"Long Unwinding","Flat"))))))</f>
        <v/>
      </c>
      <c r="J84" s="31">
        <f>LET(pc,ABS(F84),oc,ABS(H84),IF(OR(pc="",oc=""),"",MAX(1,MIN(5,ROUND((pc*0.5+oc*0.00001)*5,0))))))</f>
        <v/>
      </c>
    </row>
    <row r="85">
      <c r="A85" s="31" t="n">
        <v>83</v>
      </c>
      <c r="B85" s="31">
        <f>CHAIN_RAW!D83</f>
        <v/>
      </c>
      <c r="C85" s="31">
        <f>CHAIN_RAW!A83</f>
        <v/>
      </c>
      <c r="D85" s="31">
        <f>CHAIN_RAW!C83</f>
        <v/>
      </c>
      <c r="E85" s="31">
        <f>CHAIN_RAW!E83</f>
        <v/>
      </c>
      <c r="F85" s="31">
        <f>CHAIN_RAW!F83</f>
        <v/>
      </c>
      <c r="G85" s="31">
        <f>CHAIN_RAW!I83</f>
        <v/>
      </c>
      <c r="H85" s="31">
        <f>CHAIN_RAW!Q83</f>
        <v/>
      </c>
      <c r="I85" s="31">
        <f>LET(pc,F85,oc,H85,IF(OR(pc="",oc=""),"",IF(AND(pc&gt;0,oc&gt;0),"Long Buildup",IF(AND(pc&lt;0,oc&gt;0),"Short Buildup",IF(AND(pc&gt;0,oc&lt;0),"Short Covering",IF(AND(pc&lt;0,oc&lt;0),"Long Unwinding","Flat"))))))</f>
        <v/>
      </c>
      <c r="J85" s="31">
        <f>LET(pc,ABS(F85),oc,ABS(H85),IF(OR(pc="",oc=""),"",MAX(1,MIN(5,ROUND((pc*0.5+oc*0.00001)*5,0))))))</f>
        <v/>
      </c>
    </row>
    <row r="86">
      <c r="A86" s="31" t="n">
        <v>84</v>
      </c>
      <c r="B86" s="31">
        <f>CHAIN_RAW!D84</f>
        <v/>
      </c>
      <c r="C86" s="31">
        <f>CHAIN_RAW!A84</f>
        <v/>
      </c>
      <c r="D86" s="31">
        <f>CHAIN_RAW!C84</f>
        <v/>
      </c>
      <c r="E86" s="31">
        <f>CHAIN_RAW!E84</f>
        <v/>
      </c>
      <c r="F86" s="31">
        <f>CHAIN_RAW!F84</f>
        <v/>
      </c>
      <c r="G86" s="31">
        <f>CHAIN_RAW!I84</f>
        <v/>
      </c>
      <c r="H86" s="31">
        <f>CHAIN_RAW!Q84</f>
        <v/>
      </c>
      <c r="I86" s="31">
        <f>LET(pc,F86,oc,H86,IF(OR(pc="",oc=""),"",IF(AND(pc&gt;0,oc&gt;0),"Long Buildup",IF(AND(pc&lt;0,oc&gt;0),"Short Buildup",IF(AND(pc&gt;0,oc&lt;0),"Short Covering",IF(AND(pc&lt;0,oc&lt;0),"Long Unwinding","Flat"))))))</f>
        <v/>
      </c>
      <c r="J86" s="31">
        <f>LET(pc,ABS(F86),oc,ABS(H86),IF(OR(pc="",oc=""),"",MAX(1,MIN(5,ROUND((pc*0.5+oc*0.00001)*5,0))))))</f>
        <v/>
      </c>
    </row>
    <row r="87">
      <c r="A87" s="31" t="n">
        <v>85</v>
      </c>
      <c r="B87" s="31">
        <f>CHAIN_RAW!D85</f>
        <v/>
      </c>
      <c r="C87" s="31">
        <f>CHAIN_RAW!A85</f>
        <v/>
      </c>
      <c r="D87" s="31">
        <f>CHAIN_RAW!C85</f>
        <v/>
      </c>
      <c r="E87" s="31">
        <f>CHAIN_RAW!E85</f>
        <v/>
      </c>
      <c r="F87" s="31">
        <f>CHAIN_RAW!F85</f>
        <v/>
      </c>
      <c r="G87" s="31">
        <f>CHAIN_RAW!I85</f>
        <v/>
      </c>
      <c r="H87" s="31">
        <f>CHAIN_RAW!Q85</f>
        <v/>
      </c>
      <c r="I87" s="31">
        <f>LET(pc,F87,oc,H87,IF(OR(pc="",oc=""),"",IF(AND(pc&gt;0,oc&gt;0),"Long Buildup",IF(AND(pc&lt;0,oc&gt;0),"Short Buildup",IF(AND(pc&gt;0,oc&lt;0),"Short Covering",IF(AND(pc&lt;0,oc&lt;0),"Long Unwinding","Flat"))))))</f>
        <v/>
      </c>
      <c r="J87" s="31">
        <f>LET(pc,ABS(F87),oc,ABS(H87),IF(OR(pc="",oc=""),"",MAX(1,MIN(5,ROUND((pc*0.5+oc*0.00001)*5,0))))))</f>
        <v/>
      </c>
    </row>
    <row r="88">
      <c r="A88" s="31" t="n">
        <v>86</v>
      </c>
      <c r="B88" s="31">
        <f>CHAIN_RAW!D86</f>
        <v/>
      </c>
      <c r="C88" s="31">
        <f>CHAIN_RAW!A86</f>
        <v/>
      </c>
      <c r="D88" s="31">
        <f>CHAIN_RAW!C86</f>
        <v/>
      </c>
      <c r="E88" s="31">
        <f>CHAIN_RAW!E86</f>
        <v/>
      </c>
      <c r="F88" s="31">
        <f>CHAIN_RAW!F86</f>
        <v/>
      </c>
      <c r="G88" s="31">
        <f>CHAIN_RAW!I86</f>
        <v/>
      </c>
      <c r="H88" s="31">
        <f>CHAIN_RAW!Q86</f>
        <v/>
      </c>
      <c r="I88" s="31">
        <f>LET(pc,F88,oc,H88,IF(OR(pc="",oc=""),"",IF(AND(pc&gt;0,oc&gt;0),"Long Buildup",IF(AND(pc&lt;0,oc&gt;0),"Short Buildup",IF(AND(pc&gt;0,oc&lt;0),"Short Covering",IF(AND(pc&lt;0,oc&lt;0),"Long Unwinding","Flat"))))))</f>
        <v/>
      </c>
      <c r="J88" s="31">
        <f>LET(pc,ABS(F88),oc,ABS(H88),IF(OR(pc="",oc=""),"",MAX(1,MIN(5,ROUND((pc*0.5+oc*0.00001)*5,0))))))</f>
        <v/>
      </c>
    </row>
    <row r="89">
      <c r="A89" s="31" t="n">
        <v>87</v>
      </c>
      <c r="B89" s="31">
        <f>CHAIN_RAW!D87</f>
        <v/>
      </c>
      <c r="C89" s="31">
        <f>CHAIN_RAW!A87</f>
        <v/>
      </c>
      <c r="D89" s="31">
        <f>CHAIN_RAW!C87</f>
        <v/>
      </c>
      <c r="E89" s="31">
        <f>CHAIN_RAW!E87</f>
        <v/>
      </c>
      <c r="F89" s="31">
        <f>CHAIN_RAW!F87</f>
        <v/>
      </c>
      <c r="G89" s="31">
        <f>CHAIN_RAW!I87</f>
        <v/>
      </c>
      <c r="H89" s="31">
        <f>CHAIN_RAW!Q87</f>
        <v/>
      </c>
      <c r="I89" s="31">
        <f>LET(pc,F89,oc,H89,IF(OR(pc="",oc=""),"",IF(AND(pc&gt;0,oc&gt;0),"Long Buildup",IF(AND(pc&lt;0,oc&gt;0),"Short Buildup",IF(AND(pc&gt;0,oc&lt;0),"Short Covering",IF(AND(pc&lt;0,oc&lt;0),"Long Unwinding","Flat"))))))</f>
        <v/>
      </c>
      <c r="J89" s="31">
        <f>LET(pc,ABS(F89),oc,ABS(H89),IF(OR(pc="",oc=""),"",MAX(1,MIN(5,ROUND((pc*0.5+oc*0.00001)*5,0))))))</f>
        <v/>
      </c>
    </row>
    <row r="90">
      <c r="A90" s="31" t="n">
        <v>88</v>
      </c>
      <c r="B90" s="31">
        <f>CHAIN_RAW!D88</f>
        <v/>
      </c>
      <c r="C90" s="31">
        <f>CHAIN_RAW!A88</f>
        <v/>
      </c>
      <c r="D90" s="31">
        <f>CHAIN_RAW!C88</f>
        <v/>
      </c>
      <c r="E90" s="31">
        <f>CHAIN_RAW!E88</f>
        <v/>
      </c>
      <c r="F90" s="31">
        <f>CHAIN_RAW!F88</f>
        <v/>
      </c>
      <c r="G90" s="31">
        <f>CHAIN_RAW!I88</f>
        <v/>
      </c>
      <c r="H90" s="31">
        <f>CHAIN_RAW!Q88</f>
        <v/>
      </c>
      <c r="I90" s="31">
        <f>LET(pc,F90,oc,H90,IF(OR(pc="",oc=""),"",IF(AND(pc&gt;0,oc&gt;0),"Long Buildup",IF(AND(pc&lt;0,oc&gt;0),"Short Buildup",IF(AND(pc&gt;0,oc&lt;0),"Short Covering",IF(AND(pc&lt;0,oc&lt;0),"Long Unwinding","Flat"))))))</f>
        <v/>
      </c>
      <c r="J90" s="31">
        <f>LET(pc,ABS(F90),oc,ABS(H90),IF(OR(pc="",oc=""),"",MAX(1,MIN(5,ROUND((pc*0.5+oc*0.00001)*5,0))))))</f>
        <v/>
      </c>
    </row>
    <row r="91">
      <c r="A91" s="31" t="n">
        <v>89</v>
      </c>
      <c r="B91" s="31">
        <f>CHAIN_RAW!D89</f>
        <v/>
      </c>
      <c r="C91" s="31">
        <f>CHAIN_RAW!A89</f>
        <v/>
      </c>
      <c r="D91" s="31">
        <f>CHAIN_RAW!C89</f>
        <v/>
      </c>
      <c r="E91" s="31">
        <f>CHAIN_RAW!E89</f>
        <v/>
      </c>
      <c r="F91" s="31">
        <f>CHAIN_RAW!F89</f>
        <v/>
      </c>
      <c r="G91" s="31">
        <f>CHAIN_RAW!I89</f>
        <v/>
      </c>
      <c r="H91" s="31">
        <f>CHAIN_RAW!Q89</f>
        <v/>
      </c>
      <c r="I91" s="31">
        <f>LET(pc,F91,oc,H91,IF(OR(pc="",oc=""),"",IF(AND(pc&gt;0,oc&gt;0),"Long Buildup",IF(AND(pc&lt;0,oc&gt;0),"Short Buildup",IF(AND(pc&gt;0,oc&lt;0),"Short Covering",IF(AND(pc&lt;0,oc&lt;0),"Long Unwinding","Flat"))))))</f>
        <v/>
      </c>
      <c r="J91" s="31">
        <f>LET(pc,ABS(F91),oc,ABS(H91),IF(OR(pc="",oc=""),"",MAX(1,MIN(5,ROUND((pc*0.5+oc*0.00001)*5,0))))))</f>
        <v/>
      </c>
    </row>
    <row r="92">
      <c r="A92" s="31" t="n">
        <v>90</v>
      </c>
      <c r="B92" s="31">
        <f>CHAIN_RAW!D90</f>
        <v/>
      </c>
      <c r="C92" s="31">
        <f>CHAIN_RAW!A90</f>
        <v/>
      </c>
      <c r="D92" s="31">
        <f>CHAIN_RAW!C90</f>
        <v/>
      </c>
      <c r="E92" s="31">
        <f>CHAIN_RAW!E90</f>
        <v/>
      </c>
      <c r="F92" s="31">
        <f>CHAIN_RAW!F90</f>
        <v/>
      </c>
      <c r="G92" s="31">
        <f>CHAIN_RAW!I90</f>
        <v/>
      </c>
      <c r="H92" s="31">
        <f>CHAIN_RAW!Q90</f>
        <v/>
      </c>
      <c r="I92" s="31">
        <f>LET(pc,F92,oc,H92,IF(OR(pc="",oc=""),"",IF(AND(pc&gt;0,oc&gt;0),"Long Buildup",IF(AND(pc&lt;0,oc&gt;0),"Short Buildup",IF(AND(pc&gt;0,oc&lt;0),"Short Covering",IF(AND(pc&lt;0,oc&lt;0),"Long Unwinding","Flat"))))))</f>
        <v/>
      </c>
      <c r="J92" s="31">
        <f>LET(pc,ABS(F92),oc,ABS(H92),IF(OR(pc="",oc=""),"",MAX(1,MIN(5,ROUND((pc*0.5+oc*0.00001)*5,0))))))</f>
        <v/>
      </c>
    </row>
    <row r="93">
      <c r="A93" s="31" t="n">
        <v>91</v>
      </c>
      <c r="B93" s="31">
        <f>CHAIN_RAW!D91</f>
        <v/>
      </c>
      <c r="C93" s="31">
        <f>CHAIN_RAW!A91</f>
        <v/>
      </c>
      <c r="D93" s="31">
        <f>CHAIN_RAW!C91</f>
        <v/>
      </c>
      <c r="E93" s="31">
        <f>CHAIN_RAW!E91</f>
        <v/>
      </c>
      <c r="F93" s="31">
        <f>CHAIN_RAW!F91</f>
        <v/>
      </c>
      <c r="G93" s="31">
        <f>CHAIN_RAW!I91</f>
        <v/>
      </c>
      <c r="H93" s="31">
        <f>CHAIN_RAW!Q91</f>
        <v/>
      </c>
      <c r="I93" s="31">
        <f>LET(pc,F93,oc,H93,IF(OR(pc="",oc=""),"",IF(AND(pc&gt;0,oc&gt;0),"Long Buildup",IF(AND(pc&lt;0,oc&gt;0),"Short Buildup",IF(AND(pc&gt;0,oc&lt;0),"Short Covering",IF(AND(pc&lt;0,oc&lt;0),"Long Unwinding","Flat"))))))</f>
        <v/>
      </c>
      <c r="J93" s="31">
        <f>LET(pc,ABS(F93),oc,ABS(H93),IF(OR(pc="",oc=""),"",MAX(1,MIN(5,ROUND((pc*0.5+oc*0.00001)*5,0))))))</f>
        <v/>
      </c>
    </row>
    <row r="94">
      <c r="A94" s="31" t="n">
        <v>92</v>
      </c>
      <c r="B94" s="31">
        <f>CHAIN_RAW!D92</f>
        <v/>
      </c>
      <c r="C94" s="31">
        <f>CHAIN_RAW!A92</f>
        <v/>
      </c>
      <c r="D94" s="31">
        <f>CHAIN_RAW!C92</f>
        <v/>
      </c>
      <c r="E94" s="31">
        <f>CHAIN_RAW!E92</f>
        <v/>
      </c>
      <c r="F94" s="31">
        <f>CHAIN_RAW!F92</f>
        <v/>
      </c>
      <c r="G94" s="31">
        <f>CHAIN_RAW!I92</f>
        <v/>
      </c>
      <c r="H94" s="31">
        <f>CHAIN_RAW!Q92</f>
        <v/>
      </c>
      <c r="I94" s="31">
        <f>LET(pc,F94,oc,H94,IF(OR(pc="",oc=""),"",IF(AND(pc&gt;0,oc&gt;0),"Long Buildup",IF(AND(pc&lt;0,oc&gt;0),"Short Buildup",IF(AND(pc&gt;0,oc&lt;0),"Short Covering",IF(AND(pc&lt;0,oc&lt;0),"Long Unwinding","Flat"))))))</f>
        <v/>
      </c>
      <c r="J94" s="31">
        <f>LET(pc,ABS(F94),oc,ABS(H94),IF(OR(pc="",oc=""),"",MAX(1,MIN(5,ROUND((pc*0.5+oc*0.00001)*5,0))))))</f>
        <v/>
      </c>
    </row>
    <row r="95">
      <c r="A95" s="31" t="n">
        <v>93</v>
      </c>
      <c r="B95" s="31">
        <f>CHAIN_RAW!D93</f>
        <v/>
      </c>
      <c r="C95" s="31">
        <f>CHAIN_RAW!A93</f>
        <v/>
      </c>
      <c r="D95" s="31">
        <f>CHAIN_RAW!C93</f>
        <v/>
      </c>
      <c r="E95" s="31">
        <f>CHAIN_RAW!E93</f>
        <v/>
      </c>
      <c r="F95" s="31">
        <f>CHAIN_RAW!F93</f>
        <v/>
      </c>
      <c r="G95" s="31">
        <f>CHAIN_RAW!I93</f>
        <v/>
      </c>
      <c r="H95" s="31">
        <f>CHAIN_RAW!Q93</f>
        <v/>
      </c>
      <c r="I95" s="31">
        <f>LET(pc,F95,oc,H95,IF(OR(pc="",oc=""),"",IF(AND(pc&gt;0,oc&gt;0),"Long Buildup",IF(AND(pc&lt;0,oc&gt;0),"Short Buildup",IF(AND(pc&gt;0,oc&lt;0),"Short Covering",IF(AND(pc&lt;0,oc&lt;0),"Long Unwinding","Flat"))))))</f>
        <v/>
      </c>
      <c r="J95" s="31">
        <f>LET(pc,ABS(F95),oc,ABS(H95),IF(OR(pc="",oc=""),"",MAX(1,MIN(5,ROUND((pc*0.5+oc*0.00001)*5,0))))))</f>
        <v/>
      </c>
    </row>
    <row r="96">
      <c r="A96" s="31" t="n">
        <v>94</v>
      </c>
      <c r="B96" s="31">
        <f>CHAIN_RAW!D94</f>
        <v/>
      </c>
      <c r="C96" s="31">
        <f>CHAIN_RAW!A94</f>
        <v/>
      </c>
      <c r="D96" s="31">
        <f>CHAIN_RAW!C94</f>
        <v/>
      </c>
      <c r="E96" s="31">
        <f>CHAIN_RAW!E94</f>
        <v/>
      </c>
      <c r="F96" s="31">
        <f>CHAIN_RAW!F94</f>
        <v/>
      </c>
      <c r="G96" s="31">
        <f>CHAIN_RAW!I94</f>
        <v/>
      </c>
      <c r="H96" s="31">
        <f>CHAIN_RAW!Q94</f>
        <v/>
      </c>
      <c r="I96" s="31">
        <f>LET(pc,F96,oc,H96,IF(OR(pc="",oc=""),"",IF(AND(pc&gt;0,oc&gt;0),"Long Buildup",IF(AND(pc&lt;0,oc&gt;0),"Short Buildup",IF(AND(pc&gt;0,oc&lt;0),"Short Covering",IF(AND(pc&lt;0,oc&lt;0),"Long Unwinding","Flat"))))))</f>
        <v/>
      </c>
      <c r="J96" s="31">
        <f>LET(pc,ABS(F96),oc,ABS(H96),IF(OR(pc="",oc=""),"",MAX(1,MIN(5,ROUND((pc*0.5+oc*0.00001)*5,0))))))</f>
        <v/>
      </c>
    </row>
    <row r="97">
      <c r="A97" s="31" t="n">
        <v>95</v>
      </c>
      <c r="B97" s="31">
        <f>CHAIN_RAW!D95</f>
        <v/>
      </c>
      <c r="C97" s="31">
        <f>CHAIN_RAW!A95</f>
        <v/>
      </c>
      <c r="D97" s="31">
        <f>CHAIN_RAW!C95</f>
        <v/>
      </c>
      <c r="E97" s="31">
        <f>CHAIN_RAW!E95</f>
        <v/>
      </c>
      <c r="F97" s="31">
        <f>CHAIN_RAW!F95</f>
        <v/>
      </c>
      <c r="G97" s="31">
        <f>CHAIN_RAW!I95</f>
        <v/>
      </c>
      <c r="H97" s="31">
        <f>CHAIN_RAW!Q95</f>
        <v/>
      </c>
      <c r="I97" s="31">
        <f>LET(pc,F97,oc,H97,IF(OR(pc="",oc=""),"",IF(AND(pc&gt;0,oc&gt;0),"Long Buildup",IF(AND(pc&lt;0,oc&gt;0),"Short Buildup",IF(AND(pc&gt;0,oc&lt;0),"Short Covering",IF(AND(pc&lt;0,oc&lt;0),"Long Unwinding","Flat"))))))</f>
        <v/>
      </c>
      <c r="J97" s="31">
        <f>LET(pc,ABS(F97),oc,ABS(H97),IF(OR(pc="",oc=""),"",MAX(1,MIN(5,ROUND((pc*0.5+oc*0.00001)*5,0))))))</f>
        <v/>
      </c>
    </row>
    <row r="98">
      <c r="A98" s="31" t="n">
        <v>96</v>
      </c>
      <c r="B98" s="31">
        <f>CHAIN_RAW!D96</f>
        <v/>
      </c>
      <c r="C98" s="31">
        <f>CHAIN_RAW!A96</f>
        <v/>
      </c>
      <c r="D98" s="31">
        <f>CHAIN_RAW!C96</f>
        <v/>
      </c>
      <c r="E98" s="31">
        <f>CHAIN_RAW!E96</f>
        <v/>
      </c>
      <c r="F98" s="31">
        <f>CHAIN_RAW!F96</f>
        <v/>
      </c>
      <c r="G98" s="31">
        <f>CHAIN_RAW!I96</f>
        <v/>
      </c>
      <c r="H98" s="31">
        <f>CHAIN_RAW!Q96</f>
        <v/>
      </c>
      <c r="I98" s="31">
        <f>LET(pc,F98,oc,H98,IF(OR(pc="",oc=""),"",IF(AND(pc&gt;0,oc&gt;0),"Long Buildup",IF(AND(pc&lt;0,oc&gt;0),"Short Buildup",IF(AND(pc&gt;0,oc&lt;0),"Short Covering",IF(AND(pc&lt;0,oc&lt;0),"Long Unwinding","Flat"))))))</f>
        <v/>
      </c>
      <c r="J98" s="31">
        <f>LET(pc,ABS(F98),oc,ABS(H98),IF(OR(pc="",oc=""),"",MAX(1,MIN(5,ROUND((pc*0.5+oc*0.00001)*5,0))))))</f>
        <v/>
      </c>
    </row>
    <row r="99">
      <c r="A99" s="31" t="n">
        <v>97</v>
      </c>
      <c r="B99" s="31">
        <f>CHAIN_RAW!D97</f>
        <v/>
      </c>
      <c r="C99" s="31">
        <f>CHAIN_RAW!A97</f>
        <v/>
      </c>
      <c r="D99" s="31">
        <f>CHAIN_RAW!C97</f>
        <v/>
      </c>
      <c r="E99" s="31">
        <f>CHAIN_RAW!E97</f>
        <v/>
      </c>
      <c r="F99" s="31">
        <f>CHAIN_RAW!F97</f>
        <v/>
      </c>
      <c r="G99" s="31">
        <f>CHAIN_RAW!I97</f>
        <v/>
      </c>
      <c r="H99" s="31">
        <f>CHAIN_RAW!Q97</f>
        <v/>
      </c>
      <c r="I99" s="31">
        <f>LET(pc,F99,oc,H99,IF(OR(pc="",oc=""),"",IF(AND(pc&gt;0,oc&gt;0),"Long Buildup",IF(AND(pc&lt;0,oc&gt;0),"Short Buildup",IF(AND(pc&gt;0,oc&lt;0),"Short Covering",IF(AND(pc&lt;0,oc&lt;0),"Long Unwinding","Flat"))))))</f>
        <v/>
      </c>
      <c r="J99" s="31">
        <f>LET(pc,ABS(F99),oc,ABS(H99),IF(OR(pc="",oc=""),"",MAX(1,MIN(5,ROUND((pc*0.5+oc*0.00001)*5,0))))))</f>
        <v/>
      </c>
    </row>
    <row r="100">
      <c r="A100" s="31" t="n">
        <v>98</v>
      </c>
      <c r="B100" s="31">
        <f>CHAIN_RAW!D98</f>
        <v/>
      </c>
      <c r="C100" s="31">
        <f>CHAIN_RAW!A98</f>
        <v/>
      </c>
      <c r="D100" s="31">
        <f>CHAIN_RAW!C98</f>
        <v/>
      </c>
      <c r="E100" s="31">
        <f>CHAIN_RAW!E98</f>
        <v/>
      </c>
      <c r="F100" s="31">
        <f>CHAIN_RAW!F98</f>
        <v/>
      </c>
      <c r="G100" s="31">
        <f>CHAIN_RAW!I98</f>
        <v/>
      </c>
      <c r="H100" s="31">
        <f>CHAIN_RAW!Q98</f>
        <v/>
      </c>
      <c r="I100" s="31">
        <f>LET(pc,F100,oc,H100,IF(OR(pc="",oc=""),"",IF(AND(pc&gt;0,oc&gt;0),"Long Buildup",IF(AND(pc&lt;0,oc&gt;0),"Short Buildup",IF(AND(pc&gt;0,oc&lt;0),"Short Covering",IF(AND(pc&lt;0,oc&lt;0),"Long Unwinding","Flat"))))))</f>
        <v/>
      </c>
      <c r="J100" s="31">
        <f>LET(pc,ABS(F100),oc,ABS(H100),IF(OR(pc="",oc=""),"",MAX(1,MIN(5,ROUND((pc*0.5+oc*0.00001)*5,0))))))</f>
        <v/>
      </c>
    </row>
    <row r="101">
      <c r="A101" s="31" t="n">
        <v>99</v>
      </c>
      <c r="B101" s="31">
        <f>CHAIN_RAW!D99</f>
        <v/>
      </c>
      <c r="C101" s="31">
        <f>CHAIN_RAW!A99</f>
        <v/>
      </c>
      <c r="D101" s="31">
        <f>CHAIN_RAW!C99</f>
        <v/>
      </c>
      <c r="E101" s="31">
        <f>CHAIN_RAW!E99</f>
        <v/>
      </c>
      <c r="F101" s="31">
        <f>CHAIN_RAW!F99</f>
        <v/>
      </c>
      <c r="G101" s="31">
        <f>CHAIN_RAW!I99</f>
        <v/>
      </c>
      <c r="H101" s="31">
        <f>CHAIN_RAW!Q99</f>
        <v/>
      </c>
      <c r="I101" s="31">
        <f>LET(pc,F101,oc,H101,IF(OR(pc="",oc=""),"",IF(AND(pc&gt;0,oc&gt;0),"Long Buildup",IF(AND(pc&lt;0,oc&gt;0),"Short Buildup",IF(AND(pc&gt;0,oc&lt;0),"Short Covering",IF(AND(pc&lt;0,oc&lt;0),"Long Unwinding","Flat"))))))</f>
        <v/>
      </c>
      <c r="J101" s="31">
        <f>LET(pc,ABS(F101),oc,ABS(H101),IF(OR(pc="",oc=""),"",MAX(1,MIN(5,ROUND((pc*0.5+oc*0.00001)*5,0))))))</f>
        <v/>
      </c>
    </row>
    <row r="102">
      <c r="A102" s="31" t="n">
        <v>100</v>
      </c>
      <c r="B102" s="31">
        <f>CHAIN_RAW!D100</f>
        <v/>
      </c>
      <c r="C102" s="31">
        <f>CHAIN_RAW!A100</f>
        <v/>
      </c>
      <c r="D102" s="31">
        <f>CHAIN_RAW!C100</f>
        <v/>
      </c>
      <c r="E102" s="31">
        <f>CHAIN_RAW!E100</f>
        <v/>
      </c>
      <c r="F102" s="31">
        <f>CHAIN_RAW!F100</f>
        <v/>
      </c>
      <c r="G102" s="31">
        <f>CHAIN_RAW!I100</f>
        <v/>
      </c>
      <c r="H102" s="31">
        <f>CHAIN_RAW!Q100</f>
        <v/>
      </c>
      <c r="I102" s="31">
        <f>LET(pc,F102,oc,H102,IF(OR(pc="",oc=""),"",IF(AND(pc&gt;0,oc&gt;0),"Long Buildup",IF(AND(pc&lt;0,oc&gt;0),"Short Buildup",IF(AND(pc&gt;0,oc&lt;0),"Short Covering",IF(AND(pc&lt;0,oc&lt;0),"Long Unwinding","Flat"))))))</f>
        <v/>
      </c>
      <c r="J102" s="31">
        <f>LET(pc,ABS(F102),oc,ABS(H102),IF(OR(pc="",oc=""),"",MAX(1,MIN(5,ROUND((pc*0.5+oc*0.00001)*5,0))))))</f>
        <v/>
      </c>
    </row>
    <row r="103">
      <c r="A103" s="31" t="n">
        <v>101</v>
      </c>
      <c r="B103" s="31">
        <f>CHAIN_RAW!D101</f>
        <v/>
      </c>
      <c r="C103" s="31">
        <f>CHAIN_RAW!A101</f>
        <v/>
      </c>
      <c r="D103" s="31">
        <f>CHAIN_RAW!C101</f>
        <v/>
      </c>
      <c r="E103" s="31">
        <f>CHAIN_RAW!E101</f>
        <v/>
      </c>
      <c r="F103" s="31">
        <f>CHAIN_RAW!F101</f>
        <v/>
      </c>
      <c r="G103" s="31">
        <f>CHAIN_RAW!I101</f>
        <v/>
      </c>
      <c r="H103" s="31">
        <f>CHAIN_RAW!Q101</f>
        <v/>
      </c>
      <c r="I103" s="31">
        <f>LET(pc,F103,oc,H103,IF(OR(pc="",oc=""),"",IF(AND(pc&gt;0,oc&gt;0),"Long Buildup",IF(AND(pc&lt;0,oc&gt;0),"Short Buildup",IF(AND(pc&gt;0,oc&lt;0),"Short Covering",IF(AND(pc&lt;0,oc&lt;0),"Long Unwinding","Flat"))))))</f>
        <v/>
      </c>
      <c r="J103" s="31">
        <f>LET(pc,ABS(F103),oc,ABS(H103),IF(OR(pc="",oc=""),"",MAX(1,MIN(5,ROUND((pc*0.5+oc*0.00001)*5,0))))))</f>
        <v/>
      </c>
    </row>
    <row r="104">
      <c r="A104" s="31" t="n">
        <v>102</v>
      </c>
      <c r="B104" s="31">
        <f>CHAIN_RAW!D102</f>
        <v/>
      </c>
      <c r="C104" s="31">
        <f>CHAIN_RAW!A102</f>
        <v/>
      </c>
      <c r="D104" s="31">
        <f>CHAIN_RAW!C102</f>
        <v/>
      </c>
      <c r="E104" s="31">
        <f>CHAIN_RAW!E102</f>
        <v/>
      </c>
      <c r="F104" s="31">
        <f>CHAIN_RAW!F102</f>
        <v/>
      </c>
      <c r="G104" s="31">
        <f>CHAIN_RAW!I102</f>
        <v/>
      </c>
      <c r="H104" s="31">
        <f>CHAIN_RAW!Q102</f>
        <v/>
      </c>
      <c r="I104" s="31">
        <f>LET(pc,F104,oc,H104,IF(OR(pc="",oc=""),"",IF(AND(pc&gt;0,oc&gt;0),"Long Buildup",IF(AND(pc&lt;0,oc&gt;0),"Short Buildup",IF(AND(pc&gt;0,oc&lt;0),"Short Covering",IF(AND(pc&lt;0,oc&lt;0),"Long Unwinding","Flat"))))))</f>
        <v/>
      </c>
      <c r="J104" s="31">
        <f>LET(pc,ABS(F104),oc,ABS(H104),IF(OR(pc="",oc=""),"",MAX(1,MIN(5,ROUND((pc*0.5+oc*0.00001)*5,0))))))</f>
        <v/>
      </c>
    </row>
    <row r="105">
      <c r="A105" s="31" t="n">
        <v>103</v>
      </c>
      <c r="B105" s="31">
        <f>CHAIN_RAW!D103</f>
        <v/>
      </c>
      <c r="C105" s="31">
        <f>CHAIN_RAW!A103</f>
        <v/>
      </c>
      <c r="D105" s="31">
        <f>CHAIN_RAW!C103</f>
        <v/>
      </c>
      <c r="E105" s="31">
        <f>CHAIN_RAW!E103</f>
        <v/>
      </c>
      <c r="F105" s="31">
        <f>CHAIN_RAW!F103</f>
        <v/>
      </c>
      <c r="G105" s="31">
        <f>CHAIN_RAW!I103</f>
        <v/>
      </c>
      <c r="H105" s="31">
        <f>CHAIN_RAW!Q103</f>
        <v/>
      </c>
      <c r="I105" s="31">
        <f>LET(pc,F105,oc,H105,IF(OR(pc="",oc=""),"",IF(AND(pc&gt;0,oc&gt;0),"Long Buildup",IF(AND(pc&lt;0,oc&gt;0),"Short Buildup",IF(AND(pc&gt;0,oc&lt;0),"Short Covering",IF(AND(pc&lt;0,oc&lt;0),"Long Unwinding","Flat"))))))</f>
        <v/>
      </c>
      <c r="J105" s="31">
        <f>LET(pc,ABS(F105),oc,ABS(H105),IF(OR(pc="",oc=""),"",MAX(1,MIN(5,ROUND((pc*0.5+oc*0.00001)*5,0))))))</f>
        <v/>
      </c>
    </row>
    <row r="106">
      <c r="A106" s="31" t="n">
        <v>104</v>
      </c>
      <c r="B106" s="31">
        <f>CHAIN_RAW!D104</f>
        <v/>
      </c>
      <c r="C106" s="31">
        <f>CHAIN_RAW!A104</f>
        <v/>
      </c>
      <c r="D106" s="31">
        <f>CHAIN_RAW!C104</f>
        <v/>
      </c>
      <c r="E106" s="31">
        <f>CHAIN_RAW!E104</f>
        <v/>
      </c>
      <c r="F106" s="31">
        <f>CHAIN_RAW!F104</f>
        <v/>
      </c>
      <c r="G106" s="31">
        <f>CHAIN_RAW!I104</f>
        <v/>
      </c>
      <c r="H106" s="31">
        <f>CHAIN_RAW!Q104</f>
        <v/>
      </c>
      <c r="I106" s="31">
        <f>LET(pc,F106,oc,H106,IF(OR(pc="",oc=""),"",IF(AND(pc&gt;0,oc&gt;0),"Long Buildup",IF(AND(pc&lt;0,oc&gt;0),"Short Buildup",IF(AND(pc&gt;0,oc&lt;0),"Short Covering",IF(AND(pc&lt;0,oc&lt;0),"Long Unwinding","Flat"))))))</f>
        <v/>
      </c>
      <c r="J106" s="31">
        <f>LET(pc,ABS(F106),oc,ABS(H106),IF(OR(pc="",oc=""),"",MAX(1,MIN(5,ROUND((pc*0.5+oc*0.00001)*5,0))))))</f>
        <v/>
      </c>
    </row>
    <row r="107">
      <c r="A107" s="31" t="n">
        <v>105</v>
      </c>
      <c r="B107" s="31">
        <f>CHAIN_RAW!D105</f>
        <v/>
      </c>
      <c r="C107" s="31">
        <f>CHAIN_RAW!A105</f>
        <v/>
      </c>
      <c r="D107" s="31">
        <f>CHAIN_RAW!C105</f>
        <v/>
      </c>
      <c r="E107" s="31">
        <f>CHAIN_RAW!E105</f>
        <v/>
      </c>
      <c r="F107" s="31">
        <f>CHAIN_RAW!F105</f>
        <v/>
      </c>
      <c r="G107" s="31">
        <f>CHAIN_RAW!I105</f>
        <v/>
      </c>
      <c r="H107" s="31">
        <f>CHAIN_RAW!Q105</f>
        <v/>
      </c>
      <c r="I107" s="31">
        <f>LET(pc,F107,oc,H107,IF(OR(pc="",oc=""),"",IF(AND(pc&gt;0,oc&gt;0),"Long Buildup",IF(AND(pc&lt;0,oc&gt;0),"Short Buildup",IF(AND(pc&gt;0,oc&lt;0),"Short Covering",IF(AND(pc&lt;0,oc&lt;0),"Long Unwinding","Flat"))))))</f>
        <v/>
      </c>
      <c r="J107" s="31">
        <f>LET(pc,ABS(F107),oc,ABS(H107),IF(OR(pc="",oc=""),"",MAX(1,MIN(5,ROUND((pc*0.5+oc*0.00001)*5,0))))))</f>
        <v/>
      </c>
    </row>
    <row r="108">
      <c r="A108" s="31" t="n">
        <v>106</v>
      </c>
      <c r="B108" s="31">
        <f>CHAIN_RAW!D106</f>
        <v/>
      </c>
      <c r="C108" s="31">
        <f>CHAIN_RAW!A106</f>
        <v/>
      </c>
      <c r="D108" s="31">
        <f>CHAIN_RAW!C106</f>
        <v/>
      </c>
      <c r="E108" s="31">
        <f>CHAIN_RAW!E106</f>
        <v/>
      </c>
      <c r="F108" s="31">
        <f>CHAIN_RAW!F106</f>
        <v/>
      </c>
      <c r="G108" s="31">
        <f>CHAIN_RAW!I106</f>
        <v/>
      </c>
      <c r="H108" s="31">
        <f>CHAIN_RAW!Q106</f>
        <v/>
      </c>
      <c r="I108" s="31">
        <f>LET(pc,F108,oc,H108,IF(OR(pc="",oc=""),"",IF(AND(pc&gt;0,oc&gt;0),"Long Buildup",IF(AND(pc&lt;0,oc&gt;0),"Short Buildup",IF(AND(pc&gt;0,oc&lt;0),"Short Covering",IF(AND(pc&lt;0,oc&lt;0),"Long Unwinding","Flat"))))))</f>
        <v/>
      </c>
      <c r="J108" s="31">
        <f>LET(pc,ABS(F108),oc,ABS(H108),IF(OR(pc="",oc=""),"",MAX(1,MIN(5,ROUND((pc*0.5+oc*0.00001)*5,0))))))</f>
        <v/>
      </c>
    </row>
    <row r="109">
      <c r="A109" s="31" t="n">
        <v>107</v>
      </c>
      <c r="B109" s="31">
        <f>CHAIN_RAW!D107</f>
        <v/>
      </c>
      <c r="C109" s="31">
        <f>CHAIN_RAW!A107</f>
        <v/>
      </c>
      <c r="D109" s="31">
        <f>CHAIN_RAW!C107</f>
        <v/>
      </c>
      <c r="E109" s="31">
        <f>CHAIN_RAW!E107</f>
        <v/>
      </c>
      <c r="F109" s="31">
        <f>CHAIN_RAW!F107</f>
        <v/>
      </c>
      <c r="G109" s="31">
        <f>CHAIN_RAW!I107</f>
        <v/>
      </c>
      <c r="H109" s="31">
        <f>CHAIN_RAW!Q107</f>
        <v/>
      </c>
      <c r="I109" s="31">
        <f>LET(pc,F109,oc,H109,IF(OR(pc="",oc=""),"",IF(AND(pc&gt;0,oc&gt;0),"Long Buildup",IF(AND(pc&lt;0,oc&gt;0),"Short Buildup",IF(AND(pc&gt;0,oc&lt;0),"Short Covering",IF(AND(pc&lt;0,oc&lt;0),"Long Unwinding","Flat"))))))</f>
        <v/>
      </c>
      <c r="J109" s="31">
        <f>LET(pc,ABS(F109),oc,ABS(H109),IF(OR(pc="",oc=""),"",MAX(1,MIN(5,ROUND((pc*0.5+oc*0.00001)*5,0))))))</f>
        <v/>
      </c>
    </row>
    <row r="110">
      <c r="A110" s="31" t="n">
        <v>108</v>
      </c>
      <c r="B110" s="31">
        <f>CHAIN_RAW!D108</f>
        <v/>
      </c>
      <c r="C110" s="31">
        <f>CHAIN_RAW!A108</f>
        <v/>
      </c>
      <c r="D110" s="31">
        <f>CHAIN_RAW!C108</f>
        <v/>
      </c>
      <c r="E110" s="31">
        <f>CHAIN_RAW!E108</f>
        <v/>
      </c>
      <c r="F110" s="31">
        <f>CHAIN_RAW!F108</f>
        <v/>
      </c>
      <c r="G110" s="31">
        <f>CHAIN_RAW!I108</f>
        <v/>
      </c>
      <c r="H110" s="31">
        <f>CHAIN_RAW!Q108</f>
        <v/>
      </c>
      <c r="I110" s="31">
        <f>LET(pc,F110,oc,H110,IF(OR(pc="",oc=""),"",IF(AND(pc&gt;0,oc&gt;0),"Long Buildup",IF(AND(pc&lt;0,oc&gt;0),"Short Buildup",IF(AND(pc&gt;0,oc&lt;0),"Short Covering",IF(AND(pc&lt;0,oc&lt;0),"Long Unwinding","Flat"))))))</f>
        <v/>
      </c>
      <c r="J110" s="31">
        <f>LET(pc,ABS(F110),oc,ABS(H110),IF(OR(pc="",oc=""),"",MAX(1,MIN(5,ROUND((pc*0.5+oc*0.00001)*5,0))))))</f>
        <v/>
      </c>
    </row>
    <row r="111">
      <c r="A111" s="31" t="n">
        <v>109</v>
      </c>
      <c r="B111" s="31">
        <f>CHAIN_RAW!D109</f>
        <v/>
      </c>
      <c r="C111" s="31">
        <f>CHAIN_RAW!A109</f>
        <v/>
      </c>
      <c r="D111" s="31">
        <f>CHAIN_RAW!C109</f>
        <v/>
      </c>
      <c r="E111" s="31">
        <f>CHAIN_RAW!E109</f>
        <v/>
      </c>
      <c r="F111" s="31">
        <f>CHAIN_RAW!F109</f>
        <v/>
      </c>
      <c r="G111" s="31">
        <f>CHAIN_RAW!I109</f>
        <v/>
      </c>
      <c r="H111" s="31">
        <f>CHAIN_RAW!Q109</f>
        <v/>
      </c>
      <c r="I111" s="31">
        <f>LET(pc,F111,oc,H111,IF(OR(pc="",oc=""),"",IF(AND(pc&gt;0,oc&gt;0),"Long Buildup",IF(AND(pc&lt;0,oc&gt;0),"Short Buildup",IF(AND(pc&gt;0,oc&lt;0),"Short Covering",IF(AND(pc&lt;0,oc&lt;0),"Long Unwinding","Flat"))))))</f>
        <v/>
      </c>
      <c r="J111" s="31">
        <f>LET(pc,ABS(F111),oc,ABS(H111),IF(OR(pc="",oc=""),"",MAX(1,MIN(5,ROUND((pc*0.5+oc*0.00001)*5,0))))))</f>
        <v/>
      </c>
    </row>
    <row r="112">
      <c r="A112" s="31" t="n">
        <v>110</v>
      </c>
      <c r="B112" s="31">
        <f>CHAIN_RAW!D110</f>
        <v/>
      </c>
      <c r="C112" s="31">
        <f>CHAIN_RAW!A110</f>
        <v/>
      </c>
      <c r="D112" s="31">
        <f>CHAIN_RAW!C110</f>
        <v/>
      </c>
      <c r="E112" s="31">
        <f>CHAIN_RAW!E110</f>
        <v/>
      </c>
      <c r="F112" s="31">
        <f>CHAIN_RAW!F110</f>
        <v/>
      </c>
      <c r="G112" s="31">
        <f>CHAIN_RAW!I110</f>
        <v/>
      </c>
      <c r="H112" s="31">
        <f>CHAIN_RAW!Q110</f>
        <v/>
      </c>
      <c r="I112" s="31">
        <f>LET(pc,F112,oc,H112,IF(OR(pc="",oc=""),"",IF(AND(pc&gt;0,oc&gt;0),"Long Buildup",IF(AND(pc&lt;0,oc&gt;0),"Short Buildup",IF(AND(pc&gt;0,oc&lt;0),"Short Covering",IF(AND(pc&lt;0,oc&lt;0),"Long Unwinding","Flat"))))))</f>
        <v/>
      </c>
      <c r="J112" s="31">
        <f>LET(pc,ABS(F112),oc,ABS(H112),IF(OR(pc="",oc=""),"",MAX(1,MIN(5,ROUND((pc*0.5+oc*0.00001)*5,0))))))</f>
        <v/>
      </c>
    </row>
    <row r="113">
      <c r="A113" s="31" t="n">
        <v>111</v>
      </c>
      <c r="B113" s="31">
        <f>CHAIN_RAW!D111</f>
        <v/>
      </c>
      <c r="C113" s="31">
        <f>CHAIN_RAW!A111</f>
        <v/>
      </c>
      <c r="D113" s="31">
        <f>CHAIN_RAW!C111</f>
        <v/>
      </c>
      <c r="E113" s="31">
        <f>CHAIN_RAW!E111</f>
        <v/>
      </c>
      <c r="F113" s="31">
        <f>CHAIN_RAW!F111</f>
        <v/>
      </c>
      <c r="G113" s="31">
        <f>CHAIN_RAW!I111</f>
        <v/>
      </c>
      <c r="H113" s="31">
        <f>CHAIN_RAW!Q111</f>
        <v/>
      </c>
      <c r="I113" s="31">
        <f>LET(pc,F113,oc,H113,IF(OR(pc="",oc=""),"",IF(AND(pc&gt;0,oc&gt;0),"Long Buildup",IF(AND(pc&lt;0,oc&gt;0),"Short Buildup",IF(AND(pc&gt;0,oc&lt;0),"Short Covering",IF(AND(pc&lt;0,oc&lt;0),"Long Unwinding","Flat"))))))</f>
        <v/>
      </c>
      <c r="J113" s="31">
        <f>LET(pc,ABS(F113),oc,ABS(H113),IF(OR(pc="",oc=""),"",MAX(1,MIN(5,ROUND((pc*0.5+oc*0.00001)*5,0))))))</f>
        <v/>
      </c>
    </row>
    <row r="114">
      <c r="A114" s="31" t="n">
        <v>112</v>
      </c>
      <c r="B114" s="31">
        <f>CHAIN_RAW!D112</f>
        <v/>
      </c>
      <c r="C114" s="31">
        <f>CHAIN_RAW!A112</f>
        <v/>
      </c>
      <c r="D114" s="31">
        <f>CHAIN_RAW!C112</f>
        <v/>
      </c>
      <c r="E114" s="31">
        <f>CHAIN_RAW!E112</f>
        <v/>
      </c>
      <c r="F114" s="31">
        <f>CHAIN_RAW!F112</f>
        <v/>
      </c>
      <c r="G114" s="31">
        <f>CHAIN_RAW!I112</f>
        <v/>
      </c>
      <c r="H114" s="31">
        <f>CHAIN_RAW!Q112</f>
        <v/>
      </c>
      <c r="I114" s="31">
        <f>LET(pc,F114,oc,H114,IF(OR(pc="",oc=""),"",IF(AND(pc&gt;0,oc&gt;0),"Long Buildup",IF(AND(pc&lt;0,oc&gt;0),"Short Buildup",IF(AND(pc&gt;0,oc&lt;0),"Short Covering",IF(AND(pc&lt;0,oc&lt;0),"Long Unwinding","Flat"))))))</f>
        <v/>
      </c>
      <c r="J114" s="31">
        <f>LET(pc,ABS(F114),oc,ABS(H114),IF(OR(pc="",oc=""),"",MAX(1,MIN(5,ROUND((pc*0.5+oc*0.00001)*5,0))))))</f>
        <v/>
      </c>
    </row>
    <row r="115">
      <c r="A115" s="31" t="n">
        <v>113</v>
      </c>
      <c r="B115" s="31">
        <f>CHAIN_RAW!D113</f>
        <v/>
      </c>
      <c r="C115" s="31">
        <f>CHAIN_RAW!A113</f>
        <v/>
      </c>
      <c r="D115" s="31">
        <f>CHAIN_RAW!C113</f>
        <v/>
      </c>
      <c r="E115" s="31">
        <f>CHAIN_RAW!E113</f>
        <v/>
      </c>
      <c r="F115" s="31">
        <f>CHAIN_RAW!F113</f>
        <v/>
      </c>
      <c r="G115" s="31">
        <f>CHAIN_RAW!I113</f>
        <v/>
      </c>
      <c r="H115" s="31">
        <f>CHAIN_RAW!Q113</f>
        <v/>
      </c>
      <c r="I115" s="31">
        <f>LET(pc,F115,oc,H115,IF(OR(pc="",oc=""),"",IF(AND(pc&gt;0,oc&gt;0),"Long Buildup",IF(AND(pc&lt;0,oc&gt;0),"Short Buildup",IF(AND(pc&gt;0,oc&lt;0),"Short Covering",IF(AND(pc&lt;0,oc&lt;0),"Long Unwinding","Flat"))))))</f>
        <v/>
      </c>
      <c r="J115" s="31">
        <f>LET(pc,ABS(F115),oc,ABS(H115),IF(OR(pc="",oc=""),"",MAX(1,MIN(5,ROUND((pc*0.5+oc*0.00001)*5,0))))))</f>
        <v/>
      </c>
    </row>
    <row r="116">
      <c r="A116" s="31" t="n">
        <v>114</v>
      </c>
      <c r="B116" s="31">
        <f>CHAIN_RAW!D114</f>
        <v/>
      </c>
      <c r="C116" s="31">
        <f>CHAIN_RAW!A114</f>
        <v/>
      </c>
      <c r="D116" s="31">
        <f>CHAIN_RAW!C114</f>
        <v/>
      </c>
      <c r="E116" s="31">
        <f>CHAIN_RAW!E114</f>
        <v/>
      </c>
      <c r="F116" s="31">
        <f>CHAIN_RAW!F114</f>
        <v/>
      </c>
      <c r="G116" s="31">
        <f>CHAIN_RAW!I114</f>
        <v/>
      </c>
      <c r="H116" s="31">
        <f>CHAIN_RAW!Q114</f>
        <v/>
      </c>
      <c r="I116" s="31">
        <f>LET(pc,F116,oc,H116,IF(OR(pc="",oc=""),"",IF(AND(pc&gt;0,oc&gt;0),"Long Buildup",IF(AND(pc&lt;0,oc&gt;0),"Short Buildup",IF(AND(pc&gt;0,oc&lt;0),"Short Covering",IF(AND(pc&lt;0,oc&lt;0),"Long Unwinding","Flat"))))))</f>
        <v/>
      </c>
      <c r="J116" s="31">
        <f>LET(pc,ABS(F116),oc,ABS(H116),IF(OR(pc="",oc=""),"",MAX(1,MIN(5,ROUND((pc*0.5+oc*0.00001)*5,0))))))</f>
        <v/>
      </c>
    </row>
    <row r="117">
      <c r="A117" s="31" t="n">
        <v>115</v>
      </c>
      <c r="B117" s="31">
        <f>CHAIN_RAW!D115</f>
        <v/>
      </c>
      <c r="C117" s="31">
        <f>CHAIN_RAW!A115</f>
        <v/>
      </c>
      <c r="D117" s="31">
        <f>CHAIN_RAW!C115</f>
        <v/>
      </c>
      <c r="E117" s="31">
        <f>CHAIN_RAW!E115</f>
        <v/>
      </c>
      <c r="F117" s="31">
        <f>CHAIN_RAW!F115</f>
        <v/>
      </c>
      <c r="G117" s="31">
        <f>CHAIN_RAW!I115</f>
        <v/>
      </c>
      <c r="H117" s="31">
        <f>CHAIN_RAW!Q115</f>
        <v/>
      </c>
      <c r="I117" s="31">
        <f>LET(pc,F117,oc,H117,IF(OR(pc="",oc=""),"",IF(AND(pc&gt;0,oc&gt;0),"Long Buildup",IF(AND(pc&lt;0,oc&gt;0),"Short Buildup",IF(AND(pc&gt;0,oc&lt;0),"Short Covering",IF(AND(pc&lt;0,oc&lt;0),"Long Unwinding","Flat"))))))</f>
        <v/>
      </c>
      <c r="J117" s="31">
        <f>LET(pc,ABS(F117),oc,ABS(H117),IF(OR(pc="",oc=""),"",MAX(1,MIN(5,ROUND((pc*0.5+oc*0.00001)*5,0))))))</f>
        <v/>
      </c>
    </row>
    <row r="118">
      <c r="A118" s="31" t="n">
        <v>116</v>
      </c>
      <c r="B118" s="31">
        <f>CHAIN_RAW!D116</f>
        <v/>
      </c>
      <c r="C118" s="31">
        <f>CHAIN_RAW!A116</f>
        <v/>
      </c>
      <c r="D118" s="31">
        <f>CHAIN_RAW!C116</f>
        <v/>
      </c>
      <c r="E118" s="31">
        <f>CHAIN_RAW!E116</f>
        <v/>
      </c>
      <c r="F118" s="31">
        <f>CHAIN_RAW!F116</f>
        <v/>
      </c>
      <c r="G118" s="31">
        <f>CHAIN_RAW!I116</f>
        <v/>
      </c>
      <c r="H118" s="31">
        <f>CHAIN_RAW!Q116</f>
        <v/>
      </c>
      <c r="I118" s="31">
        <f>LET(pc,F118,oc,H118,IF(OR(pc="",oc=""),"",IF(AND(pc&gt;0,oc&gt;0),"Long Buildup",IF(AND(pc&lt;0,oc&gt;0),"Short Buildup",IF(AND(pc&gt;0,oc&lt;0),"Short Covering",IF(AND(pc&lt;0,oc&lt;0),"Long Unwinding","Flat"))))))</f>
        <v/>
      </c>
      <c r="J118" s="31">
        <f>LET(pc,ABS(F118),oc,ABS(H118),IF(OR(pc="",oc=""),"",MAX(1,MIN(5,ROUND((pc*0.5+oc*0.00001)*5,0))))))</f>
        <v/>
      </c>
    </row>
    <row r="119">
      <c r="A119" s="31" t="n">
        <v>117</v>
      </c>
      <c r="B119" s="31">
        <f>CHAIN_RAW!D117</f>
        <v/>
      </c>
      <c r="C119" s="31">
        <f>CHAIN_RAW!A117</f>
        <v/>
      </c>
      <c r="D119" s="31">
        <f>CHAIN_RAW!C117</f>
        <v/>
      </c>
      <c r="E119" s="31">
        <f>CHAIN_RAW!E117</f>
        <v/>
      </c>
      <c r="F119" s="31">
        <f>CHAIN_RAW!F117</f>
        <v/>
      </c>
      <c r="G119" s="31">
        <f>CHAIN_RAW!I117</f>
        <v/>
      </c>
      <c r="H119" s="31">
        <f>CHAIN_RAW!Q117</f>
        <v/>
      </c>
      <c r="I119" s="31">
        <f>LET(pc,F119,oc,H119,IF(OR(pc="",oc=""),"",IF(AND(pc&gt;0,oc&gt;0),"Long Buildup",IF(AND(pc&lt;0,oc&gt;0),"Short Buildup",IF(AND(pc&gt;0,oc&lt;0),"Short Covering",IF(AND(pc&lt;0,oc&lt;0),"Long Unwinding","Flat"))))))</f>
        <v/>
      </c>
      <c r="J119" s="31">
        <f>LET(pc,ABS(F119),oc,ABS(H119),IF(OR(pc="",oc=""),"",MAX(1,MIN(5,ROUND((pc*0.5+oc*0.00001)*5,0))))))</f>
        <v/>
      </c>
    </row>
    <row r="120">
      <c r="A120" s="31" t="n">
        <v>118</v>
      </c>
      <c r="B120" s="31">
        <f>CHAIN_RAW!D118</f>
        <v/>
      </c>
      <c r="C120" s="31">
        <f>CHAIN_RAW!A118</f>
        <v/>
      </c>
      <c r="D120" s="31">
        <f>CHAIN_RAW!C118</f>
        <v/>
      </c>
      <c r="E120" s="31">
        <f>CHAIN_RAW!E118</f>
        <v/>
      </c>
      <c r="F120" s="31">
        <f>CHAIN_RAW!F118</f>
        <v/>
      </c>
      <c r="G120" s="31">
        <f>CHAIN_RAW!I118</f>
        <v/>
      </c>
      <c r="H120" s="31">
        <f>CHAIN_RAW!Q118</f>
        <v/>
      </c>
      <c r="I120" s="31">
        <f>LET(pc,F120,oc,H120,IF(OR(pc="",oc=""),"",IF(AND(pc&gt;0,oc&gt;0),"Long Buildup",IF(AND(pc&lt;0,oc&gt;0),"Short Buildup",IF(AND(pc&gt;0,oc&lt;0),"Short Covering",IF(AND(pc&lt;0,oc&lt;0),"Long Unwinding","Flat"))))))</f>
        <v/>
      </c>
      <c r="J120" s="31">
        <f>LET(pc,ABS(F120),oc,ABS(H120),IF(OR(pc="",oc=""),"",MAX(1,MIN(5,ROUND((pc*0.5+oc*0.00001)*5,0))))))</f>
        <v/>
      </c>
    </row>
    <row r="121">
      <c r="A121" s="31" t="n">
        <v>119</v>
      </c>
      <c r="B121" s="31">
        <f>CHAIN_RAW!D119</f>
        <v/>
      </c>
      <c r="C121" s="31">
        <f>CHAIN_RAW!A119</f>
        <v/>
      </c>
      <c r="D121" s="31">
        <f>CHAIN_RAW!C119</f>
        <v/>
      </c>
      <c r="E121" s="31">
        <f>CHAIN_RAW!E119</f>
        <v/>
      </c>
      <c r="F121" s="31">
        <f>CHAIN_RAW!F119</f>
        <v/>
      </c>
      <c r="G121" s="31">
        <f>CHAIN_RAW!I119</f>
        <v/>
      </c>
      <c r="H121" s="31">
        <f>CHAIN_RAW!Q119</f>
        <v/>
      </c>
      <c r="I121" s="31">
        <f>LET(pc,F121,oc,H121,IF(OR(pc="",oc=""),"",IF(AND(pc&gt;0,oc&gt;0),"Long Buildup",IF(AND(pc&lt;0,oc&gt;0),"Short Buildup",IF(AND(pc&gt;0,oc&lt;0),"Short Covering",IF(AND(pc&lt;0,oc&lt;0),"Long Unwinding","Flat"))))))</f>
        <v/>
      </c>
      <c r="J121" s="31">
        <f>LET(pc,ABS(F121),oc,ABS(H121),IF(OR(pc="",oc=""),"",MAX(1,MIN(5,ROUND((pc*0.5+oc*0.00001)*5,0))))))</f>
        <v/>
      </c>
    </row>
    <row r="122">
      <c r="A122" s="31" t="n">
        <v>120</v>
      </c>
      <c r="B122" s="31">
        <f>CHAIN_RAW!D120</f>
        <v/>
      </c>
      <c r="C122" s="31">
        <f>CHAIN_RAW!A120</f>
        <v/>
      </c>
      <c r="D122" s="31">
        <f>CHAIN_RAW!C120</f>
        <v/>
      </c>
      <c r="E122" s="31">
        <f>CHAIN_RAW!E120</f>
        <v/>
      </c>
      <c r="F122" s="31">
        <f>CHAIN_RAW!F120</f>
        <v/>
      </c>
      <c r="G122" s="31">
        <f>CHAIN_RAW!I120</f>
        <v/>
      </c>
      <c r="H122" s="31">
        <f>CHAIN_RAW!Q120</f>
        <v/>
      </c>
      <c r="I122" s="31">
        <f>LET(pc,F122,oc,H122,IF(OR(pc="",oc=""),"",IF(AND(pc&gt;0,oc&gt;0),"Long Buildup",IF(AND(pc&lt;0,oc&gt;0),"Short Buildup",IF(AND(pc&gt;0,oc&lt;0),"Short Covering",IF(AND(pc&lt;0,oc&lt;0),"Long Unwinding","Flat"))))))</f>
        <v/>
      </c>
      <c r="J122" s="31">
        <f>LET(pc,ABS(F122),oc,ABS(H122),IF(OR(pc="",oc=""),"",MAX(1,MIN(5,ROUND((pc*0.5+oc*0.00001)*5,0))))))</f>
        <v/>
      </c>
    </row>
    <row r="123">
      <c r="A123" s="31" t="n">
        <v>121</v>
      </c>
      <c r="B123" s="31">
        <f>CHAIN_RAW!D121</f>
        <v/>
      </c>
      <c r="C123" s="31">
        <f>CHAIN_RAW!A121</f>
        <v/>
      </c>
      <c r="D123" s="31">
        <f>CHAIN_RAW!C121</f>
        <v/>
      </c>
      <c r="E123" s="31">
        <f>CHAIN_RAW!E121</f>
        <v/>
      </c>
      <c r="F123" s="31">
        <f>CHAIN_RAW!F121</f>
        <v/>
      </c>
      <c r="G123" s="31">
        <f>CHAIN_RAW!I121</f>
        <v/>
      </c>
      <c r="H123" s="31">
        <f>CHAIN_RAW!Q121</f>
        <v/>
      </c>
      <c r="I123" s="31">
        <f>LET(pc,F123,oc,H123,IF(OR(pc="",oc=""),"",IF(AND(pc&gt;0,oc&gt;0),"Long Buildup",IF(AND(pc&lt;0,oc&gt;0),"Short Buildup",IF(AND(pc&gt;0,oc&lt;0),"Short Covering",IF(AND(pc&lt;0,oc&lt;0),"Long Unwinding","Flat"))))))</f>
        <v/>
      </c>
      <c r="J123" s="31">
        <f>LET(pc,ABS(F123),oc,ABS(H123),IF(OR(pc="",oc=""),"",MAX(1,MIN(5,ROUND((pc*0.5+oc*0.00001)*5,0))))))</f>
        <v/>
      </c>
    </row>
    <row r="124">
      <c r="A124" s="31" t="n">
        <v>122</v>
      </c>
      <c r="B124" s="31">
        <f>CHAIN_RAW!D122</f>
        <v/>
      </c>
      <c r="C124" s="31">
        <f>CHAIN_RAW!A122</f>
        <v/>
      </c>
      <c r="D124" s="31">
        <f>CHAIN_RAW!C122</f>
        <v/>
      </c>
      <c r="E124" s="31">
        <f>CHAIN_RAW!E122</f>
        <v/>
      </c>
      <c r="F124" s="31">
        <f>CHAIN_RAW!F122</f>
        <v/>
      </c>
      <c r="G124" s="31">
        <f>CHAIN_RAW!I122</f>
        <v/>
      </c>
      <c r="H124" s="31">
        <f>CHAIN_RAW!Q122</f>
        <v/>
      </c>
      <c r="I124" s="31">
        <f>LET(pc,F124,oc,H124,IF(OR(pc="",oc=""),"",IF(AND(pc&gt;0,oc&gt;0),"Long Buildup",IF(AND(pc&lt;0,oc&gt;0),"Short Buildup",IF(AND(pc&gt;0,oc&lt;0),"Short Covering",IF(AND(pc&lt;0,oc&lt;0),"Long Unwinding","Flat"))))))</f>
        <v/>
      </c>
      <c r="J124" s="31">
        <f>LET(pc,ABS(F124),oc,ABS(H124),IF(OR(pc="",oc=""),"",MAX(1,MIN(5,ROUND((pc*0.5+oc*0.00001)*5,0))))))</f>
        <v/>
      </c>
    </row>
    <row r="125">
      <c r="A125" s="31" t="n">
        <v>123</v>
      </c>
      <c r="B125" s="31">
        <f>CHAIN_RAW!D123</f>
        <v/>
      </c>
      <c r="C125" s="31">
        <f>CHAIN_RAW!A123</f>
        <v/>
      </c>
      <c r="D125" s="31">
        <f>CHAIN_RAW!C123</f>
        <v/>
      </c>
      <c r="E125" s="31">
        <f>CHAIN_RAW!E123</f>
        <v/>
      </c>
      <c r="F125" s="31">
        <f>CHAIN_RAW!F123</f>
        <v/>
      </c>
      <c r="G125" s="31">
        <f>CHAIN_RAW!I123</f>
        <v/>
      </c>
      <c r="H125" s="31">
        <f>CHAIN_RAW!Q123</f>
        <v/>
      </c>
      <c r="I125" s="31">
        <f>LET(pc,F125,oc,H125,IF(OR(pc="",oc=""),"",IF(AND(pc&gt;0,oc&gt;0),"Long Buildup",IF(AND(pc&lt;0,oc&gt;0),"Short Buildup",IF(AND(pc&gt;0,oc&lt;0),"Short Covering",IF(AND(pc&lt;0,oc&lt;0),"Long Unwinding","Flat"))))))</f>
        <v/>
      </c>
      <c r="J125" s="31">
        <f>LET(pc,ABS(F125),oc,ABS(H125),IF(OR(pc="",oc=""),"",MAX(1,MIN(5,ROUND((pc*0.5+oc*0.00001)*5,0))))))</f>
        <v/>
      </c>
    </row>
    <row r="126">
      <c r="A126" s="31" t="n">
        <v>124</v>
      </c>
      <c r="B126" s="31">
        <f>CHAIN_RAW!D124</f>
        <v/>
      </c>
      <c r="C126" s="31">
        <f>CHAIN_RAW!A124</f>
        <v/>
      </c>
      <c r="D126" s="31">
        <f>CHAIN_RAW!C124</f>
        <v/>
      </c>
      <c r="E126" s="31">
        <f>CHAIN_RAW!E124</f>
        <v/>
      </c>
      <c r="F126" s="31">
        <f>CHAIN_RAW!F124</f>
        <v/>
      </c>
      <c r="G126" s="31">
        <f>CHAIN_RAW!I124</f>
        <v/>
      </c>
      <c r="H126" s="31">
        <f>CHAIN_RAW!Q124</f>
        <v/>
      </c>
      <c r="I126" s="31">
        <f>LET(pc,F126,oc,H126,IF(OR(pc="",oc=""),"",IF(AND(pc&gt;0,oc&gt;0),"Long Buildup",IF(AND(pc&lt;0,oc&gt;0),"Short Buildup",IF(AND(pc&gt;0,oc&lt;0),"Short Covering",IF(AND(pc&lt;0,oc&lt;0),"Long Unwinding","Flat"))))))</f>
        <v/>
      </c>
      <c r="J126" s="31">
        <f>LET(pc,ABS(F126),oc,ABS(H126),IF(OR(pc="",oc=""),"",MAX(1,MIN(5,ROUND((pc*0.5+oc*0.00001)*5,0))))))</f>
        <v/>
      </c>
    </row>
    <row r="127">
      <c r="A127" s="31" t="n">
        <v>125</v>
      </c>
      <c r="B127" s="31">
        <f>CHAIN_RAW!D125</f>
        <v/>
      </c>
      <c r="C127" s="31">
        <f>CHAIN_RAW!A125</f>
        <v/>
      </c>
      <c r="D127" s="31">
        <f>CHAIN_RAW!C125</f>
        <v/>
      </c>
      <c r="E127" s="31">
        <f>CHAIN_RAW!E125</f>
        <v/>
      </c>
      <c r="F127" s="31">
        <f>CHAIN_RAW!F125</f>
        <v/>
      </c>
      <c r="G127" s="31">
        <f>CHAIN_RAW!I125</f>
        <v/>
      </c>
      <c r="H127" s="31">
        <f>CHAIN_RAW!Q125</f>
        <v/>
      </c>
      <c r="I127" s="31">
        <f>LET(pc,F127,oc,H127,IF(OR(pc="",oc=""),"",IF(AND(pc&gt;0,oc&gt;0),"Long Buildup",IF(AND(pc&lt;0,oc&gt;0),"Short Buildup",IF(AND(pc&gt;0,oc&lt;0),"Short Covering",IF(AND(pc&lt;0,oc&lt;0),"Long Unwinding","Flat"))))))</f>
        <v/>
      </c>
      <c r="J127" s="31">
        <f>LET(pc,ABS(F127),oc,ABS(H127),IF(OR(pc="",oc=""),"",MAX(1,MIN(5,ROUND((pc*0.5+oc*0.00001)*5,0))))))</f>
        <v/>
      </c>
    </row>
    <row r="128">
      <c r="A128" s="31" t="n">
        <v>126</v>
      </c>
      <c r="B128" s="31">
        <f>CHAIN_RAW!D126</f>
        <v/>
      </c>
      <c r="C128" s="31">
        <f>CHAIN_RAW!A126</f>
        <v/>
      </c>
      <c r="D128" s="31">
        <f>CHAIN_RAW!C126</f>
        <v/>
      </c>
      <c r="E128" s="31">
        <f>CHAIN_RAW!E126</f>
        <v/>
      </c>
      <c r="F128" s="31">
        <f>CHAIN_RAW!F126</f>
        <v/>
      </c>
      <c r="G128" s="31">
        <f>CHAIN_RAW!I126</f>
        <v/>
      </c>
      <c r="H128" s="31">
        <f>CHAIN_RAW!Q126</f>
        <v/>
      </c>
      <c r="I128" s="31">
        <f>LET(pc,F128,oc,H128,IF(OR(pc="",oc=""),"",IF(AND(pc&gt;0,oc&gt;0),"Long Buildup",IF(AND(pc&lt;0,oc&gt;0),"Short Buildup",IF(AND(pc&gt;0,oc&lt;0),"Short Covering",IF(AND(pc&lt;0,oc&lt;0),"Long Unwinding","Flat"))))))</f>
        <v/>
      </c>
      <c r="J128" s="31">
        <f>LET(pc,ABS(F128),oc,ABS(H128),IF(OR(pc="",oc=""),"",MAX(1,MIN(5,ROUND((pc*0.5+oc*0.00001)*5,0))))))</f>
        <v/>
      </c>
    </row>
    <row r="129">
      <c r="A129" s="31" t="n">
        <v>127</v>
      </c>
      <c r="B129" s="31">
        <f>CHAIN_RAW!D127</f>
        <v/>
      </c>
      <c r="C129" s="31">
        <f>CHAIN_RAW!A127</f>
        <v/>
      </c>
      <c r="D129" s="31">
        <f>CHAIN_RAW!C127</f>
        <v/>
      </c>
      <c r="E129" s="31">
        <f>CHAIN_RAW!E127</f>
        <v/>
      </c>
      <c r="F129" s="31">
        <f>CHAIN_RAW!F127</f>
        <v/>
      </c>
      <c r="G129" s="31">
        <f>CHAIN_RAW!I127</f>
        <v/>
      </c>
      <c r="H129" s="31">
        <f>CHAIN_RAW!Q127</f>
        <v/>
      </c>
      <c r="I129" s="31">
        <f>LET(pc,F129,oc,H129,IF(OR(pc="",oc=""),"",IF(AND(pc&gt;0,oc&gt;0),"Long Buildup",IF(AND(pc&lt;0,oc&gt;0),"Short Buildup",IF(AND(pc&gt;0,oc&lt;0),"Short Covering",IF(AND(pc&lt;0,oc&lt;0),"Long Unwinding","Flat"))))))</f>
        <v/>
      </c>
      <c r="J129" s="31">
        <f>LET(pc,ABS(F129),oc,ABS(H129),IF(OR(pc="",oc=""),"",MAX(1,MIN(5,ROUND((pc*0.5+oc*0.00001)*5,0))))))</f>
        <v/>
      </c>
    </row>
    <row r="130">
      <c r="A130" s="31" t="n">
        <v>128</v>
      </c>
      <c r="B130" s="31">
        <f>CHAIN_RAW!D128</f>
        <v/>
      </c>
      <c r="C130" s="31">
        <f>CHAIN_RAW!A128</f>
        <v/>
      </c>
      <c r="D130" s="31">
        <f>CHAIN_RAW!C128</f>
        <v/>
      </c>
      <c r="E130" s="31">
        <f>CHAIN_RAW!E128</f>
        <v/>
      </c>
      <c r="F130" s="31">
        <f>CHAIN_RAW!F128</f>
        <v/>
      </c>
      <c r="G130" s="31">
        <f>CHAIN_RAW!I128</f>
        <v/>
      </c>
      <c r="H130" s="31">
        <f>CHAIN_RAW!Q128</f>
        <v/>
      </c>
      <c r="I130" s="31">
        <f>LET(pc,F130,oc,H130,IF(OR(pc="",oc=""),"",IF(AND(pc&gt;0,oc&gt;0),"Long Buildup",IF(AND(pc&lt;0,oc&gt;0),"Short Buildup",IF(AND(pc&gt;0,oc&lt;0),"Short Covering",IF(AND(pc&lt;0,oc&lt;0),"Long Unwinding","Flat"))))))</f>
        <v/>
      </c>
      <c r="J130" s="31">
        <f>LET(pc,ABS(F130),oc,ABS(H130),IF(OR(pc="",oc=""),"",MAX(1,MIN(5,ROUND((pc*0.5+oc*0.00001)*5,0))))))</f>
        <v/>
      </c>
    </row>
    <row r="131">
      <c r="A131" s="31" t="n">
        <v>129</v>
      </c>
      <c r="B131" s="31">
        <f>CHAIN_RAW!D129</f>
        <v/>
      </c>
      <c r="C131" s="31">
        <f>CHAIN_RAW!A129</f>
        <v/>
      </c>
      <c r="D131" s="31">
        <f>CHAIN_RAW!C129</f>
        <v/>
      </c>
      <c r="E131" s="31">
        <f>CHAIN_RAW!E129</f>
        <v/>
      </c>
      <c r="F131" s="31">
        <f>CHAIN_RAW!F129</f>
        <v/>
      </c>
      <c r="G131" s="31">
        <f>CHAIN_RAW!I129</f>
        <v/>
      </c>
      <c r="H131" s="31">
        <f>CHAIN_RAW!Q129</f>
        <v/>
      </c>
      <c r="I131" s="31">
        <f>LET(pc,F131,oc,H131,IF(OR(pc="",oc=""),"",IF(AND(pc&gt;0,oc&gt;0),"Long Buildup",IF(AND(pc&lt;0,oc&gt;0),"Short Buildup",IF(AND(pc&gt;0,oc&lt;0),"Short Covering",IF(AND(pc&lt;0,oc&lt;0),"Long Unwinding","Flat"))))))</f>
        <v/>
      </c>
      <c r="J131" s="31">
        <f>LET(pc,ABS(F131),oc,ABS(H131),IF(OR(pc="",oc=""),"",MAX(1,MIN(5,ROUND((pc*0.5+oc*0.00001)*5,0))))))</f>
        <v/>
      </c>
    </row>
    <row r="132">
      <c r="A132" s="31" t="n">
        <v>130</v>
      </c>
      <c r="B132" s="31">
        <f>CHAIN_RAW!D130</f>
        <v/>
      </c>
      <c r="C132" s="31">
        <f>CHAIN_RAW!A130</f>
        <v/>
      </c>
      <c r="D132" s="31">
        <f>CHAIN_RAW!C130</f>
        <v/>
      </c>
      <c r="E132" s="31">
        <f>CHAIN_RAW!E130</f>
        <v/>
      </c>
      <c r="F132" s="31">
        <f>CHAIN_RAW!F130</f>
        <v/>
      </c>
      <c r="G132" s="31">
        <f>CHAIN_RAW!I130</f>
        <v/>
      </c>
      <c r="H132" s="31">
        <f>CHAIN_RAW!Q130</f>
        <v/>
      </c>
      <c r="I132" s="31">
        <f>LET(pc,F132,oc,H132,IF(OR(pc="",oc=""),"",IF(AND(pc&gt;0,oc&gt;0),"Long Buildup",IF(AND(pc&lt;0,oc&gt;0),"Short Buildup",IF(AND(pc&gt;0,oc&lt;0),"Short Covering",IF(AND(pc&lt;0,oc&lt;0),"Long Unwinding","Flat"))))))</f>
        <v/>
      </c>
      <c r="J132" s="31">
        <f>LET(pc,ABS(F132),oc,ABS(H132),IF(OR(pc="",oc=""),"",MAX(1,MIN(5,ROUND((pc*0.5+oc*0.00001)*5,0))))))</f>
        <v/>
      </c>
    </row>
    <row r="133">
      <c r="A133" s="31" t="n">
        <v>131</v>
      </c>
      <c r="B133" s="31">
        <f>CHAIN_RAW!D131</f>
        <v/>
      </c>
      <c r="C133" s="31">
        <f>CHAIN_RAW!A131</f>
        <v/>
      </c>
      <c r="D133" s="31">
        <f>CHAIN_RAW!C131</f>
        <v/>
      </c>
      <c r="E133" s="31">
        <f>CHAIN_RAW!E131</f>
        <v/>
      </c>
      <c r="F133" s="31">
        <f>CHAIN_RAW!F131</f>
        <v/>
      </c>
      <c r="G133" s="31">
        <f>CHAIN_RAW!I131</f>
        <v/>
      </c>
      <c r="H133" s="31">
        <f>CHAIN_RAW!Q131</f>
        <v/>
      </c>
      <c r="I133" s="31">
        <f>LET(pc,F133,oc,H133,IF(OR(pc="",oc=""),"",IF(AND(pc&gt;0,oc&gt;0),"Long Buildup",IF(AND(pc&lt;0,oc&gt;0),"Short Buildup",IF(AND(pc&gt;0,oc&lt;0),"Short Covering",IF(AND(pc&lt;0,oc&lt;0),"Long Unwinding","Flat"))))))</f>
        <v/>
      </c>
      <c r="J133" s="31">
        <f>LET(pc,ABS(F133),oc,ABS(H133),IF(OR(pc="",oc=""),"",MAX(1,MIN(5,ROUND((pc*0.5+oc*0.00001)*5,0))))))</f>
        <v/>
      </c>
    </row>
    <row r="134">
      <c r="A134" s="31" t="n">
        <v>132</v>
      </c>
      <c r="B134" s="31">
        <f>CHAIN_RAW!D132</f>
        <v/>
      </c>
      <c r="C134" s="31">
        <f>CHAIN_RAW!A132</f>
        <v/>
      </c>
      <c r="D134" s="31">
        <f>CHAIN_RAW!C132</f>
        <v/>
      </c>
      <c r="E134" s="31">
        <f>CHAIN_RAW!E132</f>
        <v/>
      </c>
      <c r="F134" s="31">
        <f>CHAIN_RAW!F132</f>
        <v/>
      </c>
      <c r="G134" s="31">
        <f>CHAIN_RAW!I132</f>
        <v/>
      </c>
      <c r="H134" s="31">
        <f>CHAIN_RAW!Q132</f>
        <v/>
      </c>
      <c r="I134" s="31">
        <f>LET(pc,F134,oc,H134,IF(OR(pc="",oc=""),"",IF(AND(pc&gt;0,oc&gt;0),"Long Buildup",IF(AND(pc&lt;0,oc&gt;0),"Short Buildup",IF(AND(pc&gt;0,oc&lt;0),"Short Covering",IF(AND(pc&lt;0,oc&lt;0),"Long Unwinding","Flat"))))))</f>
        <v/>
      </c>
      <c r="J134" s="31">
        <f>LET(pc,ABS(F134),oc,ABS(H134),IF(OR(pc="",oc=""),"",MAX(1,MIN(5,ROUND((pc*0.5+oc*0.00001)*5,0))))))</f>
        <v/>
      </c>
    </row>
    <row r="135">
      <c r="A135" s="31" t="n">
        <v>133</v>
      </c>
      <c r="B135" s="31">
        <f>CHAIN_RAW!D133</f>
        <v/>
      </c>
      <c r="C135" s="31">
        <f>CHAIN_RAW!A133</f>
        <v/>
      </c>
      <c r="D135" s="31">
        <f>CHAIN_RAW!C133</f>
        <v/>
      </c>
      <c r="E135" s="31">
        <f>CHAIN_RAW!E133</f>
        <v/>
      </c>
      <c r="F135" s="31">
        <f>CHAIN_RAW!F133</f>
        <v/>
      </c>
      <c r="G135" s="31">
        <f>CHAIN_RAW!I133</f>
        <v/>
      </c>
      <c r="H135" s="31">
        <f>CHAIN_RAW!Q133</f>
        <v/>
      </c>
      <c r="I135" s="31">
        <f>LET(pc,F135,oc,H135,IF(OR(pc="",oc=""),"",IF(AND(pc&gt;0,oc&gt;0),"Long Buildup",IF(AND(pc&lt;0,oc&gt;0),"Short Buildup",IF(AND(pc&gt;0,oc&lt;0),"Short Covering",IF(AND(pc&lt;0,oc&lt;0),"Long Unwinding","Flat"))))))</f>
        <v/>
      </c>
      <c r="J135" s="31">
        <f>LET(pc,ABS(F135),oc,ABS(H135),IF(OR(pc="",oc=""),"",MAX(1,MIN(5,ROUND((pc*0.5+oc*0.00001)*5,0))))))</f>
        <v/>
      </c>
    </row>
    <row r="136">
      <c r="A136" s="31" t="n">
        <v>134</v>
      </c>
      <c r="B136" s="31">
        <f>CHAIN_RAW!D134</f>
        <v/>
      </c>
      <c r="C136" s="31">
        <f>CHAIN_RAW!A134</f>
        <v/>
      </c>
      <c r="D136" s="31">
        <f>CHAIN_RAW!C134</f>
        <v/>
      </c>
      <c r="E136" s="31">
        <f>CHAIN_RAW!E134</f>
        <v/>
      </c>
      <c r="F136" s="31">
        <f>CHAIN_RAW!F134</f>
        <v/>
      </c>
      <c r="G136" s="31">
        <f>CHAIN_RAW!I134</f>
        <v/>
      </c>
      <c r="H136" s="31">
        <f>CHAIN_RAW!Q134</f>
        <v/>
      </c>
      <c r="I136" s="31">
        <f>LET(pc,F136,oc,H136,IF(OR(pc="",oc=""),"",IF(AND(pc&gt;0,oc&gt;0),"Long Buildup",IF(AND(pc&lt;0,oc&gt;0),"Short Buildup",IF(AND(pc&gt;0,oc&lt;0),"Short Covering",IF(AND(pc&lt;0,oc&lt;0),"Long Unwinding","Flat"))))))</f>
        <v/>
      </c>
      <c r="J136" s="31">
        <f>LET(pc,ABS(F136),oc,ABS(H136),IF(OR(pc="",oc=""),"",MAX(1,MIN(5,ROUND((pc*0.5+oc*0.00001)*5,0))))))</f>
        <v/>
      </c>
    </row>
    <row r="137">
      <c r="A137" s="31" t="n">
        <v>135</v>
      </c>
      <c r="B137" s="31">
        <f>CHAIN_RAW!D135</f>
        <v/>
      </c>
      <c r="C137" s="31">
        <f>CHAIN_RAW!A135</f>
        <v/>
      </c>
      <c r="D137" s="31">
        <f>CHAIN_RAW!C135</f>
        <v/>
      </c>
      <c r="E137" s="31">
        <f>CHAIN_RAW!E135</f>
        <v/>
      </c>
      <c r="F137" s="31">
        <f>CHAIN_RAW!F135</f>
        <v/>
      </c>
      <c r="G137" s="31">
        <f>CHAIN_RAW!I135</f>
        <v/>
      </c>
      <c r="H137" s="31">
        <f>CHAIN_RAW!Q135</f>
        <v/>
      </c>
      <c r="I137" s="31">
        <f>LET(pc,F137,oc,H137,IF(OR(pc="",oc=""),"",IF(AND(pc&gt;0,oc&gt;0),"Long Buildup",IF(AND(pc&lt;0,oc&gt;0),"Short Buildup",IF(AND(pc&gt;0,oc&lt;0),"Short Covering",IF(AND(pc&lt;0,oc&lt;0),"Long Unwinding","Flat"))))))</f>
        <v/>
      </c>
      <c r="J137" s="31">
        <f>LET(pc,ABS(F137),oc,ABS(H137),IF(OR(pc="",oc=""),"",MAX(1,MIN(5,ROUND((pc*0.5+oc*0.00001)*5,0))))))</f>
        <v/>
      </c>
    </row>
    <row r="138">
      <c r="A138" s="31" t="n">
        <v>136</v>
      </c>
      <c r="B138" s="31">
        <f>CHAIN_RAW!D136</f>
        <v/>
      </c>
      <c r="C138" s="31">
        <f>CHAIN_RAW!A136</f>
        <v/>
      </c>
      <c r="D138" s="31">
        <f>CHAIN_RAW!C136</f>
        <v/>
      </c>
      <c r="E138" s="31">
        <f>CHAIN_RAW!E136</f>
        <v/>
      </c>
      <c r="F138" s="31">
        <f>CHAIN_RAW!F136</f>
        <v/>
      </c>
      <c r="G138" s="31">
        <f>CHAIN_RAW!I136</f>
        <v/>
      </c>
      <c r="H138" s="31">
        <f>CHAIN_RAW!Q136</f>
        <v/>
      </c>
      <c r="I138" s="31">
        <f>LET(pc,F138,oc,H138,IF(OR(pc="",oc=""),"",IF(AND(pc&gt;0,oc&gt;0),"Long Buildup",IF(AND(pc&lt;0,oc&gt;0),"Short Buildup",IF(AND(pc&gt;0,oc&lt;0),"Short Covering",IF(AND(pc&lt;0,oc&lt;0),"Long Unwinding","Flat"))))))</f>
        <v/>
      </c>
      <c r="J138" s="31">
        <f>LET(pc,ABS(F138),oc,ABS(H138),IF(OR(pc="",oc=""),"",MAX(1,MIN(5,ROUND((pc*0.5+oc*0.00001)*5,0))))))</f>
        <v/>
      </c>
    </row>
    <row r="139">
      <c r="A139" s="31" t="n">
        <v>137</v>
      </c>
      <c r="B139" s="31">
        <f>CHAIN_RAW!D137</f>
        <v/>
      </c>
      <c r="C139" s="31">
        <f>CHAIN_RAW!A137</f>
        <v/>
      </c>
      <c r="D139" s="31">
        <f>CHAIN_RAW!C137</f>
        <v/>
      </c>
      <c r="E139" s="31">
        <f>CHAIN_RAW!E137</f>
        <v/>
      </c>
      <c r="F139" s="31">
        <f>CHAIN_RAW!F137</f>
        <v/>
      </c>
      <c r="G139" s="31">
        <f>CHAIN_RAW!I137</f>
        <v/>
      </c>
      <c r="H139" s="31">
        <f>CHAIN_RAW!Q137</f>
        <v/>
      </c>
      <c r="I139" s="31">
        <f>LET(pc,F139,oc,H139,IF(OR(pc="",oc=""),"",IF(AND(pc&gt;0,oc&gt;0),"Long Buildup",IF(AND(pc&lt;0,oc&gt;0),"Short Buildup",IF(AND(pc&gt;0,oc&lt;0),"Short Covering",IF(AND(pc&lt;0,oc&lt;0),"Long Unwinding","Flat"))))))</f>
        <v/>
      </c>
      <c r="J139" s="31">
        <f>LET(pc,ABS(F139),oc,ABS(H139),IF(OR(pc="",oc=""),"",MAX(1,MIN(5,ROUND((pc*0.5+oc*0.00001)*5,0))))))</f>
        <v/>
      </c>
    </row>
    <row r="140">
      <c r="A140" s="31" t="n">
        <v>138</v>
      </c>
      <c r="B140" s="31">
        <f>CHAIN_RAW!D138</f>
        <v/>
      </c>
      <c r="C140" s="31">
        <f>CHAIN_RAW!A138</f>
        <v/>
      </c>
      <c r="D140" s="31">
        <f>CHAIN_RAW!C138</f>
        <v/>
      </c>
      <c r="E140" s="31">
        <f>CHAIN_RAW!E138</f>
        <v/>
      </c>
      <c r="F140" s="31">
        <f>CHAIN_RAW!F138</f>
        <v/>
      </c>
      <c r="G140" s="31">
        <f>CHAIN_RAW!I138</f>
        <v/>
      </c>
      <c r="H140" s="31">
        <f>CHAIN_RAW!Q138</f>
        <v/>
      </c>
      <c r="I140" s="31">
        <f>LET(pc,F140,oc,H140,IF(OR(pc="",oc=""),"",IF(AND(pc&gt;0,oc&gt;0),"Long Buildup",IF(AND(pc&lt;0,oc&gt;0),"Short Buildup",IF(AND(pc&gt;0,oc&lt;0),"Short Covering",IF(AND(pc&lt;0,oc&lt;0),"Long Unwinding","Flat"))))))</f>
        <v/>
      </c>
      <c r="J140" s="31">
        <f>LET(pc,ABS(F140),oc,ABS(H140),IF(OR(pc="",oc=""),"",MAX(1,MIN(5,ROUND((pc*0.5+oc*0.00001)*5,0))))))</f>
        <v/>
      </c>
    </row>
    <row r="141">
      <c r="A141" s="31" t="n">
        <v>139</v>
      </c>
      <c r="B141" s="31">
        <f>CHAIN_RAW!D139</f>
        <v/>
      </c>
      <c r="C141" s="31">
        <f>CHAIN_RAW!A139</f>
        <v/>
      </c>
      <c r="D141" s="31">
        <f>CHAIN_RAW!C139</f>
        <v/>
      </c>
      <c r="E141" s="31">
        <f>CHAIN_RAW!E139</f>
        <v/>
      </c>
      <c r="F141" s="31">
        <f>CHAIN_RAW!F139</f>
        <v/>
      </c>
      <c r="G141" s="31">
        <f>CHAIN_RAW!I139</f>
        <v/>
      </c>
      <c r="H141" s="31">
        <f>CHAIN_RAW!Q139</f>
        <v/>
      </c>
      <c r="I141" s="31">
        <f>LET(pc,F141,oc,H141,IF(OR(pc="",oc=""),"",IF(AND(pc&gt;0,oc&gt;0),"Long Buildup",IF(AND(pc&lt;0,oc&gt;0),"Short Buildup",IF(AND(pc&gt;0,oc&lt;0),"Short Covering",IF(AND(pc&lt;0,oc&lt;0),"Long Unwinding","Flat"))))))</f>
        <v/>
      </c>
      <c r="J141" s="31">
        <f>LET(pc,ABS(F141),oc,ABS(H141),IF(OR(pc="",oc=""),"",MAX(1,MIN(5,ROUND((pc*0.5+oc*0.00001)*5,0))))))</f>
        <v/>
      </c>
    </row>
    <row r="142">
      <c r="A142" s="31" t="n">
        <v>140</v>
      </c>
      <c r="B142" s="31">
        <f>CHAIN_RAW!D140</f>
        <v/>
      </c>
      <c r="C142" s="31">
        <f>CHAIN_RAW!A140</f>
        <v/>
      </c>
      <c r="D142" s="31">
        <f>CHAIN_RAW!C140</f>
        <v/>
      </c>
      <c r="E142" s="31">
        <f>CHAIN_RAW!E140</f>
        <v/>
      </c>
      <c r="F142" s="31">
        <f>CHAIN_RAW!F140</f>
        <v/>
      </c>
      <c r="G142" s="31">
        <f>CHAIN_RAW!I140</f>
        <v/>
      </c>
      <c r="H142" s="31">
        <f>CHAIN_RAW!Q140</f>
        <v/>
      </c>
      <c r="I142" s="31">
        <f>LET(pc,F142,oc,H142,IF(OR(pc="",oc=""),"",IF(AND(pc&gt;0,oc&gt;0),"Long Buildup",IF(AND(pc&lt;0,oc&gt;0),"Short Buildup",IF(AND(pc&gt;0,oc&lt;0),"Short Covering",IF(AND(pc&lt;0,oc&lt;0),"Long Unwinding","Flat"))))))</f>
        <v/>
      </c>
      <c r="J142" s="31">
        <f>LET(pc,ABS(F142),oc,ABS(H142),IF(OR(pc="",oc=""),"",MAX(1,MIN(5,ROUND((pc*0.5+oc*0.00001)*5,0))))))</f>
        <v/>
      </c>
    </row>
    <row r="143">
      <c r="A143" s="31" t="n">
        <v>141</v>
      </c>
      <c r="B143" s="31">
        <f>CHAIN_RAW!D141</f>
        <v/>
      </c>
      <c r="C143" s="31">
        <f>CHAIN_RAW!A141</f>
        <v/>
      </c>
      <c r="D143" s="31">
        <f>CHAIN_RAW!C141</f>
        <v/>
      </c>
      <c r="E143" s="31">
        <f>CHAIN_RAW!E141</f>
        <v/>
      </c>
      <c r="F143" s="31">
        <f>CHAIN_RAW!F141</f>
        <v/>
      </c>
      <c r="G143" s="31">
        <f>CHAIN_RAW!I141</f>
        <v/>
      </c>
      <c r="H143" s="31">
        <f>CHAIN_RAW!Q141</f>
        <v/>
      </c>
      <c r="I143" s="31">
        <f>LET(pc,F143,oc,H143,IF(OR(pc="",oc=""),"",IF(AND(pc&gt;0,oc&gt;0),"Long Buildup",IF(AND(pc&lt;0,oc&gt;0),"Short Buildup",IF(AND(pc&gt;0,oc&lt;0),"Short Covering",IF(AND(pc&lt;0,oc&lt;0),"Long Unwinding","Flat"))))))</f>
        <v/>
      </c>
      <c r="J143" s="31">
        <f>LET(pc,ABS(F143),oc,ABS(H143),IF(OR(pc="",oc=""),"",MAX(1,MIN(5,ROUND((pc*0.5+oc*0.00001)*5,0))))))</f>
        <v/>
      </c>
    </row>
    <row r="144">
      <c r="A144" s="31" t="n">
        <v>142</v>
      </c>
      <c r="B144" s="31">
        <f>CHAIN_RAW!D142</f>
        <v/>
      </c>
      <c r="C144" s="31">
        <f>CHAIN_RAW!A142</f>
        <v/>
      </c>
      <c r="D144" s="31">
        <f>CHAIN_RAW!C142</f>
        <v/>
      </c>
      <c r="E144" s="31">
        <f>CHAIN_RAW!E142</f>
        <v/>
      </c>
      <c r="F144" s="31">
        <f>CHAIN_RAW!F142</f>
        <v/>
      </c>
      <c r="G144" s="31">
        <f>CHAIN_RAW!I142</f>
        <v/>
      </c>
      <c r="H144" s="31">
        <f>CHAIN_RAW!Q142</f>
        <v/>
      </c>
      <c r="I144" s="31">
        <f>LET(pc,F144,oc,H144,IF(OR(pc="",oc=""),"",IF(AND(pc&gt;0,oc&gt;0),"Long Buildup",IF(AND(pc&lt;0,oc&gt;0),"Short Buildup",IF(AND(pc&gt;0,oc&lt;0),"Short Covering",IF(AND(pc&lt;0,oc&lt;0),"Long Unwinding","Flat"))))))</f>
        <v/>
      </c>
      <c r="J144" s="31">
        <f>LET(pc,ABS(F144),oc,ABS(H144),IF(OR(pc="",oc=""),"",MAX(1,MIN(5,ROUND((pc*0.5+oc*0.00001)*5,0))))))</f>
        <v/>
      </c>
    </row>
    <row r="145">
      <c r="A145" s="31" t="n">
        <v>143</v>
      </c>
      <c r="B145" s="31">
        <f>CHAIN_RAW!D143</f>
        <v/>
      </c>
      <c r="C145" s="31">
        <f>CHAIN_RAW!A143</f>
        <v/>
      </c>
      <c r="D145" s="31">
        <f>CHAIN_RAW!C143</f>
        <v/>
      </c>
      <c r="E145" s="31">
        <f>CHAIN_RAW!E143</f>
        <v/>
      </c>
      <c r="F145" s="31">
        <f>CHAIN_RAW!F143</f>
        <v/>
      </c>
      <c r="G145" s="31">
        <f>CHAIN_RAW!I143</f>
        <v/>
      </c>
      <c r="H145" s="31">
        <f>CHAIN_RAW!Q143</f>
        <v/>
      </c>
      <c r="I145" s="31">
        <f>LET(pc,F145,oc,H145,IF(OR(pc="",oc=""),"",IF(AND(pc&gt;0,oc&gt;0),"Long Buildup",IF(AND(pc&lt;0,oc&gt;0),"Short Buildup",IF(AND(pc&gt;0,oc&lt;0),"Short Covering",IF(AND(pc&lt;0,oc&lt;0),"Long Unwinding","Flat"))))))</f>
        <v/>
      </c>
      <c r="J145" s="31">
        <f>LET(pc,ABS(F145),oc,ABS(H145),IF(OR(pc="",oc=""),"",MAX(1,MIN(5,ROUND((pc*0.5+oc*0.00001)*5,0))))))</f>
        <v/>
      </c>
    </row>
    <row r="146">
      <c r="A146" s="31" t="n">
        <v>144</v>
      </c>
      <c r="B146" s="31">
        <f>CHAIN_RAW!D144</f>
        <v/>
      </c>
      <c r="C146" s="31">
        <f>CHAIN_RAW!A144</f>
        <v/>
      </c>
      <c r="D146" s="31">
        <f>CHAIN_RAW!C144</f>
        <v/>
      </c>
      <c r="E146" s="31">
        <f>CHAIN_RAW!E144</f>
        <v/>
      </c>
      <c r="F146" s="31">
        <f>CHAIN_RAW!F144</f>
        <v/>
      </c>
      <c r="G146" s="31">
        <f>CHAIN_RAW!I144</f>
        <v/>
      </c>
      <c r="H146" s="31">
        <f>CHAIN_RAW!Q144</f>
        <v/>
      </c>
      <c r="I146" s="31">
        <f>LET(pc,F146,oc,H146,IF(OR(pc="",oc=""),"",IF(AND(pc&gt;0,oc&gt;0),"Long Buildup",IF(AND(pc&lt;0,oc&gt;0),"Short Buildup",IF(AND(pc&gt;0,oc&lt;0),"Short Covering",IF(AND(pc&lt;0,oc&lt;0),"Long Unwinding","Flat"))))))</f>
        <v/>
      </c>
      <c r="J146" s="31">
        <f>LET(pc,ABS(F146),oc,ABS(H146),IF(OR(pc="",oc=""),"",MAX(1,MIN(5,ROUND((pc*0.5+oc*0.00001)*5,0))))))</f>
        <v/>
      </c>
    </row>
    <row r="147">
      <c r="A147" s="31" t="n">
        <v>145</v>
      </c>
      <c r="B147" s="31">
        <f>CHAIN_RAW!D145</f>
        <v/>
      </c>
      <c r="C147" s="31">
        <f>CHAIN_RAW!A145</f>
        <v/>
      </c>
      <c r="D147" s="31">
        <f>CHAIN_RAW!C145</f>
        <v/>
      </c>
      <c r="E147" s="31">
        <f>CHAIN_RAW!E145</f>
        <v/>
      </c>
      <c r="F147" s="31">
        <f>CHAIN_RAW!F145</f>
        <v/>
      </c>
      <c r="G147" s="31">
        <f>CHAIN_RAW!I145</f>
        <v/>
      </c>
      <c r="H147" s="31">
        <f>CHAIN_RAW!Q145</f>
        <v/>
      </c>
      <c r="I147" s="31">
        <f>LET(pc,F147,oc,H147,IF(OR(pc="",oc=""),"",IF(AND(pc&gt;0,oc&gt;0),"Long Buildup",IF(AND(pc&lt;0,oc&gt;0),"Short Buildup",IF(AND(pc&gt;0,oc&lt;0),"Short Covering",IF(AND(pc&lt;0,oc&lt;0),"Long Unwinding","Flat"))))))</f>
        <v/>
      </c>
      <c r="J147" s="31">
        <f>LET(pc,ABS(F147),oc,ABS(H147),IF(OR(pc="",oc=""),"",MAX(1,MIN(5,ROUND((pc*0.5+oc*0.00001)*5,0))))))</f>
        <v/>
      </c>
    </row>
    <row r="148">
      <c r="A148" s="31" t="n">
        <v>146</v>
      </c>
      <c r="B148" s="31">
        <f>CHAIN_RAW!D146</f>
        <v/>
      </c>
      <c r="C148" s="31">
        <f>CHAIN_RAW!A146</f>
        <v/>
      </c>
      <c r="D148" s="31">
        <f>CHAIN_RAW!C146</f>
        <v/>
      </c>
      <c r="E148" s="31">
        <f>CHAIN_RAW!E146</f>
        <v/>
      </c>
      <c r="F148" s="31">
        <f>CHAIN_RAW!F146</f>
        <v/>
      </c>
      <c r="G148" s="31">
        <f>CHAIN_RAW!I146</f>
        <v/>
      </c>
      <c r="H148" s="31">
        <f>CHAIN_RAW!Q146</f>
        <v/>
      </c>
      <c r="I148" s="31">
        <f>LET(pc,F148,oc,H148,IF(OR(pc="",oc=""),"",IF(AND(pc&gt;0,oc&gt;0),"Long Buildup",IF(AND(pc&lt;0,oc&gt;0),"Short Buildup",IF(AND(pc&gt;0,oc&lt;0),"Short Covering",IF(AND(pc&lt;0,oc&lt;0),"Long Unwinding","Flat"))))))</f>
        <v/>
      </c>
      <c r="J148" s="31">
        <f>LET(pc,ABS(F148),oc,ABS(H148),IF(OR(pc="",oc=""),"",MAX(1,MIN(5,ROUND((pc*0.5+oc*0.00001)*5,0))))))</f>
        <v/>
      </c>
    </row>
    <row r="149">
      <c r="A149" s="31" t="n">
        <v>147</v>
      </c>
      <c r="B149" s="31">
        <f>CHAIN_RAW!D147</f>
        <v/>
      </c>
      <c r="C149" s="31">
        <f>CHAIN_RAW!A147</f>
        <v/>
      </c>
      <c r="D149" s="31">
        <f>CHAIN_RAW!C147</f>
        <v/>
      </c>
      <c r="E149" s="31">
        <f>CHAIN_RAW!E147</f>
        <v/>
      </c>
      <c r="F149" s="31">
        <f>CHAIN_RAW!F147</f>
        <v/>
      </c>
      <c r="G149" s="31">
        <f>CHAIN_RAW!I147</f>
        <v/>
      </c>
      <c r="H149" s="31">
        <f>CHAIN_RAW!Q147</f>
        <v/>
      </c>
      <c r="I149" s="31">
        <f>LET(pc,F149,oc,H149,IF(OR(pc="",oc=""),"",IF(AND(pc&gt;0,oc&gt;0),"Long Buildup",IF(AND(pc&lt;0,oc&gt;0),"Short Buildup",IF(AND(pc&gt;0,oc&lt;0),"Short Covering",IF(AND(pc&lt;0,oc&lt;0),"Long Unwinding","Flat"))))))</f>
        <v/>
      </c>
      <c r="J149" s="31">
        <f>LET(pc,ABS(F149),oc,ABS(H149),IF(OR(pc="",oc=""),"",MAX(1,MIN(5,ROUND((pc*0.5+oc*0.00001)*5,0))))))</f>
        <v/>
      </c>
    </row>
    <row r="150">
      <c r="A150" s="31" t="n">
        <v>148</v>
      </c>
      <c r="B150" s="31">
        <f>CHAIN_RAW!D148</f>
        <v/>
      </c>
      <c r="C150" s="31">
        <f>CHAIN_RAW!A148</f>
        <v/>
      </c>
      <c r="D150" s="31">
        <f>CHAIN_RAW!C148</f>
        <v/>
      </c>
      <c r="E150" s="31">
        <f>CHAIN_RAW!E148</f>
        <v/>
      </c>
      <c r="F150" s="31">
        <f>CHAIN_RAW!F148</f>
        <v/>
      </c>
      <c r="G150" s="31">
        <f>CHAIN_RAW!I148</f>
        <v/>
      </c>
      <c r="H150" s="31">
        <f>CHAIN_RAW!Q148</f>
        <v/>
      </c>
      <c r="I150" s="31">
        <f>LET(pc,F150,oc,H150,IF(OR(pc="",oc=""),"",IF(AND(pc&gt;0,oc&gt;0),"Long Buildup",IF(AND(pc&lt;0,oc&gt;0),"Short Buildup",IF(AND(pc&gt;0,oc&lt;0),"Short Covering",IF(AND(pc&lt;0,oc&lt;0),"Long Unwinding","Flat"))))))</f>
        <v/>
      </c>
      <c r="J150" s="31">
        <f>LET(pc,ABS(F150),oc,ABS(H150),IF(OR(pc="",oc=""),"",MAX(1,MIN(5,ROUND((pc*0.5+oc*0.00001)*5,0))))))</f>
        <v/>
      </c>
    </row>
    <row r="151">
      <c r="A151" s="31" t="n">
        <v>149</v>
      </c>
      <c r="B151" s="31">
        <f>CHAIN_RAW!D149</f>
        <v/>
      </c>
      <c r="C151" s="31">
        <f>CHAIN_RAW!A149</f>
        <v/>
      </c>
      <c r="D151" s="31">
        <f>CHAIN_RAW!C149</f>
        <v/>
      </c>
      <c r="E151" s="31">
        <f>CHAIN_RAW!E149</f>
        <v/>
      </c>
      <c r="F151" s="31">
        <f>CHAIN_RAW!F149</f>
        <v/>
      </c>
      <c r="G151" s="31">
        <f>CHAIN_RAW!I149</f>
        <v/>
      </c>
      <c r="H151" s="31">
        <f>CHAIN_RAW!Q149</f>
        <v/>
      </c>
      <c r="I151" s="31">
        <f>LET(pc,F151,oc,H151,IF(OR(pc="",oc=""),"",IF(AND(pc&gt;0,oc&gt;0),"Long Buildup",IF(AND(pc&lt;0,oc&gt;0),"Short Buildup",IF(AND(pc&gt;0,oc&lt;0),"Short Covering",IF(AND(pc&lt;0,oc&lt;0),"Long Unwinding","Flat"))))))</f>
        <v/>
      </c>
      <c r="J151" s="31">
        <f>LET(pc,ABS(F151),oc,ABS(H151),IF(OR(pc="",oc=""),"",MAX(1,MIN(5,ROUND((pc*0.5+oc*0.00001)*5,0))))))</f>
        <v/>
      </c>
    </row>
    <row r="152">
      <c r="A152" s="31" t="n">
        <v>150</v>
      </c>
      <c r="B152" s="31">
        <f>CHAIN_RAW!D150</f>
        <v/>
      </c>
      <c r="C152" s="31">
        <f>CHAIN_RAW!A150</f>
        <v/>
      </c>
      <c r="D152" s="31">
        <f>CHAIN_RAW!C150</f>
        <v/>
      </c>
      <c r="E152" s="31">
        <f>CHAIN_RAW!E150</f>
        <v/>
      </c>
      <c r="F152" s="31">
        <f>CHAIN_RAW!F150</f>
        <v/>
      </c>
      <c r="G152" s="31">
        <f>CHAIN_RAW!I150</f>
        <v/>
      </c>
      <c r="H152" s="31">
        <f>CHAIN_RAW!Q150</f>
        <v/>
      </c>
      <c r="I152" s="31">
        <f>LET(pc,F152,oc,H152,IF(OR(pc="",oc=""),"",IF(AND(pc&gt;0,oc&gt;0),"Long Buildup",IF(AND(pc&lt;0,oc&gt;0),"Short Buildup",IF(AND(pc&gt;0,oc&lt;0),"Short Covering",IF(AND(pc&lt;0,oc&lt;0),"Long Unwinding","Flat"))))))</f>
        <v/>
      </c>
      <c r="J152" s="31">
        <f>LET(pc,ABS(F152),oc,ABS(H152),IF(OR(pc="",oc=""),"",MAX(1,MIN(5,ROUND((pc*0.5+oc*0.00001)*5,0))))))</f>
        <v/>
      </c>
    </row>
    <row r="153">
      <c r="A153" s="31" t="n">
        <v>151</v>
      </c>
      <c r="B153" s="31">
        <f>CHAIN_RAW!D151</f>
        <v/>
      </c>
      <c r="C153" s="31">
        <f>CHAIN_RAW!A151</f>
        <v/>
      </c>
      <c r="D153" s="31">
        <f>CHAIN_RAW!C151</f>
        <v/>
      </c>
      <c r="E153" s="31">
        <f>CHAIN_RAW!E151</f>
        <v/>
      </c>
      <c r="F153" s="31">
        <f>CHAIN_RAW!F151</f>
        <v/>
      </c>
      <c r="G153" s="31">
        <f>CHAIN_RAW!I151</f>
        <v/>
      </c>
      <c r="H153" s="31">
        <f>CHAIN_RAW!Q151</f>
        <v/>
      </c>
      <c r="I153" s="31">
        <f>LET(pc,F153,oc,H153,IF(OR(pc="",oc=""),"",IF(AND(pc&gt;0,oc&gt;0),"Long Buildup",IF(AND(pc&lt;0,oc&gt;0),"Short Buildup",IF(AND(pc&gt;0,oc&lt;0),"Short Covering",IF(AND(pc&lt;0,oc&lt;0),"Long Unwinding","Flat"))))))</f>
        <v/>
      </c>
      <c r="J153" s="31">
        <f>LET(pc,ABS(F153),oc,ABS(H153),IF(OR(pc="",oc=""),"",MAX(1,MIN(5,ROUND((pc*0.5+oc*0.00001)*5,0))))))</f>
        <v/>
      </c>
    </row>
    <row r="154">
      <c r="A154" s="31" t="n">
        <v>152</v>
      </c>
      <c r="B154" s="31">
        <f>CHAIN_RAW!D152</f>
        <v/>
      </c>
      <c r="C154" s="31">
        <f>CHAIN_RAW!A152</f>
        <v/>
      </c>
      <c r="D154" s="31">
        <f>CHAIN_RAW!C152</f>
        <v/>
      </c>
      <c r="E154" s="31">
        <f>CHAIN_RAW!E152</f>
        <v/>
      </c>
      <c r="F154" s="31">
        <f>CHAIN_RAW!F152</f>
        <v/>
      </c>
      <c r="G154" s="31">
        <f>CHAIN_RAW!I152</f>
        <v/>
      </c>
      <c r="H154" s="31">
        <f>CHAIN_RAW!Q152</f>
        <v/>
      </c>
      <c r="I154" s="31">
        <f>LET(pc,F154,oc,H154,IF(OR(pc="",oc=""),"",IF(AND(pc&gt;0,oc&gt;0),"Long Buildup",IF(AND(pc&lt;0,oc&gt;0),"Short Buildup",IF(AND(pc&gt;0,oc&lt;0),"Short Covering",IF(AND(pc&lt;0,oc&lt;0),"Long Unwinding","Flat"))))))</f>
        <v/>
      </c>
      <c r="J154" s="31">
        <f>LET(pc,ABS(F154),oc,ABS(H154),IF(OR(pc="",oc=""),"",MAX(1,MIN(5,ROUND((pc*0.5+oc*0.00001)*5,0))))))</f>
        <v/>
      </c>
    </row>
    <row r="155">
      <c r="A155" s="31" t="n">
        <v>153</v>
      </c>
      <c r="B155" s="31">
        <f>CHAIN_RAW!D153</f>
        <v/>
      </c>
      <c r="C155" s="31">
        <f>CHAIN_RAW!A153</f>
        <v/>
      </c>
      <c r="D155" s="31">
        <f>CHAIN_RAW!C153</f>
        <v/>
      </c>
      <c r="E155" s="31">
        <f>CHAIN_RAW!E153</f>
        <v/>
      </c>
      <c r="F155" s="31">
        <f>CHAIN_RAW!F153</f>
        <v/>
      </c>
      <c r="G155" s="31">
        <f>CHAIN_RAW!I153</f>
        <v/>
      </c>
      <c r="H155" s="31">
        <f>CHAIN_RAW!Q153</f>
        <v/>
      </c>
      <c r="I155" s="31">
        <f>LET(pc,F155,oc,H155,IF(OR(pc="",oc=""),"",IF(AND(pc&gt;0,oc&gt;0),"Long Buildup",IF(AND(pc&lt;0,oc&gt;0),"Short Buildup",IF(AND(pc&gt;0,oc&lt;0),"Short Covering",IF(AND(pc&lt;0,oc&lt;0),"Long Unwinding","Flat"))))))</f>
        <v/>
      </c>
      <c r="J155" s="31">
        <f>LET(pc,ABS(F155),oc,ABS(H155),IF(OR(pc="",oc=""),"",MAX(1,MIN(5,ROUND((pc*0.5+oc*0.00001)*5,0))))))</f>
        <v/>
      </c>
    </row>
    <row r="156">
      <c r="A156" s="31" t="n">
        <v>154</v>
      </c>
      <c r="B156" s="31">
        <f>CHAIN_RAW!D154</f>
        <v/>
      </c>
      <c r="C156" s="31">
        <f>CHAIN_RAW!A154</f>
        <v/>
      </c>
      <c r="D156" s="31">
        <f>CHAIN_RAW!C154</f>
        <v/>
      </c>
      <c r="E156" s="31">
        <f>CHAIN_RAW!E154</f>
        <v/>
      </c>
      <c r="F156" s="31">
        <f>CHAIN_RAW!F154</f>
        <v/>
      </c>
      <c r="G156" s="31">
        <f>CHAIN_RAW!I154</f>
        <v/>
      </c>
      <c r="H156" s="31">
        <f>CHAIN_RAW!Q154</f>
        <v/>
      </c>
      <c r="I156" s="31">
        <f>LET(pc,F156,oc,H156,IF(OR(pc="",oc=""),"",IF(AND(pc&gt;0,oc&gt;0),"Long Buildup",IF(AND(pc&lt;0,oc&gt;0),"Short Buildup",IF(AND(pc&gt;0,oc&lt;0),"Short Covering",IF(AND(pc&lt;0,oc&lt;0),"Long Unwinding","Flat"))))))</f>
        <v/>
      </c>
      <c r="J156" s="31">
        <f>LET(pc,ABS(F156),oc,ABS(H156),IF(OR(pc="",oc=""),"",MAX(1,MIN(5,ROUND((pc*0.5+oc*0.00001)*5,0))))))</f>
        <v/>
      </c>
    </row>
    <row r="157">
      <c r="A157" s="31" t="n">
        <v>155</v>
      </c>
      <c r="B157" s="31">
        <f>CHAIN_RAW!D155</f>
        <v/>
      </c>
      <c r="C157" s="31">
        <f>CHAIN_RAW!A155</f>
        <v/>
      </c>
      <c r="D157" s="31">
        <f>CHAIN_RAW!C155</f>
        <v/>
      </c>
      <c r="E157" s="31">
        <f>CHAIN_RAW!E155</f>
        <v/>
      </c>
      <c r="F157" s="31">
        <f>CHAIN_RAW!F155</f>
        <v/>
      </c>
      <c r="G157" s="31">
        <f>CHAIN_RAW!I155</f>
        <v/>
      </c>
      <c r="H157" s="31">
        <f>CHAIN_RAW!Q155</f>
        <v/>
      </c>
      <c r="I157" s="31">
        <f>LET(pc,F157,oc,H157,IF(OR(pc="",oc=""),"",IF(AND(pc&gt;0,oc&gt;0),"Long Buildup",IF(AND(pc&lt;0,oc&gt;0),"Short Buildup",IF(AND(pc&gt;0,oc&lt;0),"Short Covering",IF(AND(pc&lt;0,oc&lt;0),"Long Unwinding","Flat"))))))</f>
        <v/>
      </c>
      <c r="J157" s="31">
        <f>LET(pc,ABS(F157),oc,ABS(H157),IF(OR(pc="",oc=""),"",MAX(1,MIN(5,ROUND((pc*0.5+oc*0.00001)*5,0))))))</f>
        <v/>
      </c>
    </row>
    <row r="158">
      <c r="A158" s="31" t="n">
        <v>156</v>
      </c>
      <c r="B158" s="31">
        <f>CHAIN_RAW!D156</f>
        <v/>
      </c>
      <c r="C158" s="31">
        <f>CHAIN_RAW!A156</f>
        <v/>
      </c>
      <c r="D158" s="31">
        <f>CHAIN_RAW!C156</f>
        <v/>
      </c>
      <c r="E158" s="31">
        <f>CHAIN_RAW!E156</f>
        <v/>
      </c>
      <c r="F158" s="31">
        <f>CHAIN_RAW!F156</f>
        <v/>
      </c>
      <c r="G158" s="31">
        <f>CHAIN_RAW!I156</f>
        <v/>
      </c>
      <c r="H158" s="31">
        <f>CHAIN_RAW!Q156</f>
        <v/>
      </c>
      <c r="I158" s="31">
        <f>LET(pc,F158,oc,H158,IF(OR(pc="",oc=""),"",IF(AND(pc&gt;0,oc&gt;0),"Long Buildup",IF(AND(pc&lt;0,oc&gt;0),"Short Buildup",IF(AND(pc&gt;0,oc&lt;0),"Short Covering",IF(AND(pc&lt;0,oc&lt;0),"Long Unwinding","Flat"))))))</f>
        <v/>
      </c>
      <c r="J158" s="31">
        <f>LET(pc,ABS(F158),oc,ABS(H158),IF(OR(pc="",oc=""),"",MAX(1,MIN(5,ROUND((pc*0.5+oc*0.00001)*5,0))))))</f>
        <v/>
      </c>
    </row>
    <row r="159">
      <c r="A159" s="31" t="n">
        <v>157</v>
      </c>
      <c r="B159" s="31">
        <f>CHAIN_RAW!D157</f>
        <v/>
      </c>
      <c r="C159" s="31">
        <f>CHAIN_RAW!A157</f>
        <v/>
      </c>
      <c r="D159" s="31">
        <f>CHAIN_RAW!C157</f>
        <v/>
      </c>
      <c r="E159" s="31">
        <f>CHAIN_RAW!E157</f>
        <v/>
      </c>
      <c r="F159" s="31">
        <f>CHAIN_RAW!F157</f>
        <v/>
      </c>
      <c r="G159" s="31">
        <f>CHAIN_RAW!I157</f>
        <v/>
      </c>
      <c r="H159" s="31">
        <f>CHAIN_RAW!Q157</f>
        <v/>
      </c>
      <c r="I159" s="31">
        <f>LET(pc,F159,oc,H159,IF(OR(pc="",oc=""),"",IF(AND(pc&gt;0,oc&gt;0),"Long Buildup",IF(AND(pc&lt;0,oc&gt;0),"Short Buildup",IF(AND(pc&gt;0,oc&lt;0),"Short Covering",IF(AND(pc&lt;0,oc&lt;0),"Long Unwinding","Flat"))))))</f>
        <v/>
      </c>
      <c r="J159" s="31">
        <f>LET(pc,ABS(F159),oc,ABS(H159),IF(OR(pc="",oc=""),"",MAX(1,MIN(5,ROUND((pc*0.5+oc*0.00001)*5,0))))))</f>
        <v/>
      </c>
    </row>
    <row r="160">
      <c r="A160" s="31" t="n">
        <v>158</v>
      </c>
      <c r="B160" s="31">
        <f>CHAIN_RAW!D158</f>
        <v/>
      </c>
      <c r="C160" s="31">
        <f>CHAIN_RAW!A158</f>
        <v/>
      </c>
      <c r="D160" s="31">
        <f>CHAIN_RAW!C158</f>
        <v/>
      </c>
      <c r="E160" s="31">
        <f>CHAIN_RAW!E158</f>
        <v/>
      </c>
      <c r="F160" s="31">
        <f>CHAIN_RAW!F158</f>
        <v/>
      </c>
      <c r="G160" s="31">
        <f>CHAIN_RAW!I158</f>
        <v/>
      </c>
      <c r="H160" s="31">
        <f>CHAIN_RAW!Q158</f>
        <v/>
      </c>
      <c r="I160" s="31">
        <f>LET(pc,F160,oc,H160,IF(OR(pc="",oc=""),"",IF(AND(pc&gt;0,oc&gt;0),"Long Buildup",IF(AND(pc&lt;0,oc&gt;0),"Short Buildup",IF(AND(pc&gt;0,oc&lt;0),"Short Covering",IF(AND(pc&lt;0,oc&lt;0),"Long Unwinding","Flat"))))))</f>
        <v/>
      </c>
      <c r="J160" s="31">
        <f>LET(pc,ABS(F160),oc,ABS(H160),IF(OR(pc="",oc=""),"",MAX(1,MIN(5,ROUND((pc*0.5+oc*0.00001)*5,0))))))</f>
        <v/>
      </c>
    </row>
    <row r="161">
      <c r="A161" s="31" t="n">
        <v>159</v>
      </c>
      <c r="B161" s="31">
        <f>CHAIN_RAW!D159</f>
        <v/>
      </c>
      <c r="C161" s="31">
        <f>CHAIN_RAW!A159</f>
        <v/>
      </c>
      <c r="D161" s="31">
        <f>CHAIN_RAW!C159</f>
        <v/>
      </c>
      <c r="E161" s="31">
        <f>CHAIN_RAW!E159</f>
        <v/>
      </c>
      <c r="F161" s="31">
        <f>CHAIN_RAW!F159</f>
        <v/>
      </c>
      <c r="G161" s="31">
        <f>CHAIN_RAW!I159</f>
        <v/>
      </c>
      <c r="H161" s="31">
        <f>CHAIN_RAW!Q159</f>
        <v/>
      </c>
      <c r="I161" s="31">
        <f>LET(pc,F161,oc,H161,IF(OR(pc="",oc=""),"",IF(AND(pc&gt;0,oc&gt;0),"Long Buildup",IF(AND(pc&lt;0,oc&gt;0),"Short Buildup",IF(AND(pc&gt;0,oc&lt;0),"Short Covering",IF(AND(pc&lt;0,oc&lt;0),"Long Unwinding","Flat"))))))</f>
        <v/>
      </c>
      <c r="J161" s="31">
        <f>LET(pc,ABS(F161),oc,ABS(H161),IF(OR(pc="",oc=""),"",MAX(1,MIN(5,ROUND((pc*0.5+oc*0.00001)*5,0))))))</f>
        <v/>
      </c>
    </row>
    <row r="162">
      <c r="A162" s="31" t="n">
        <v>160</v>
      </c>
      <c r="B162" s="31">
        <f>CHAIN_RAW!D160</f>
        <v/>
      </c>
      <c r="C162" s="31">
        <f>CHAIN_RAW!A160</f>
        <v/>
      </c>
      <c r="D162" s="31">
        <f>CHAIN_RAW!C160</f>
        <v/>
      </c>
      <c r="E162" s="31">
        <f>CHAIN_RAW!E160</f>
        <v/>
      </c>
      <c r="F162" s="31">
        <f>CHAIN_RAW!F160</f>
        <v/>
      </c>
      <c r="G162" s="31">
        <f>CHAIN_RAW!I160</f>
        <v/>
      </c>
      <c r="H162" s="31">
        <f>CHAIN_RAW!Q160</f>
        <v/>
      </c>
      <c r="I162" s="31">
        <f>LET(pc,F162,oc,H162,IF(OR(pc="",oc=""),"",IF(AND(pc&gt;0,oc&gt;0),"Long Buildup",IF(AND(pc&lt;0,oc&gt;0),"Short Buildup",IF(AND(pc&gt;0,oc&lt;0),"Short Covering",IF(AND(pc&lt;0,oc&lt;0),"Long Unwinding","Flat"))))))</f>
        <v/>
      </c>
      <c r="J162" s="31">
        <f>LET(pc,ABS(F162),oc,ABS(H162),IF(OR(pc="",oc=""),"",MAX(1,MIN(5,ROUND((pc*0.5+oc*0.00001)*5,0))))))</f>
        <v/>
      </c>
    </row>
    <row r="163">
      <c r="A163" s="31" t="n">
        <v>161</v>
      </c>
      <c r="B163" s="31">
        <f>CHAIN_RAW!D161</f>
        <v/>
      </c>
      <c r="C163" s="31">
        <f>CHAIN_RAW!A161</f>
        <v/>
      </c>
      <c r="D163" s="31">
        <f>CHAIN_RAW!C161</f>
        <v/>
      </c>
      <c r="E163" s="31">
        <f>CHAIN_RAW!E161</f>
        <v/>
      </c>
      <c r="F163" s="31">
        <f>CHAIN_RAW!F161</f>
        <v/>
      </c>
      <c r="G163" s="31">
        <f>CHAIN_RAW!I161</f>
        <v/>
      </c>
      <c r="H163" s="31">
        <f>CHAIN_RAW!Q161</f>
        <v/>
      </c>
      <c r="I163" s="31">
        <f>LET(pc,F163,oc,H163,IF(OR(pc="",oc=""),"",IF(AND(pc&gt;0,oc&gt;0),"Long Buildup",IF(AND(pc&lt;0,oc&gt;0),"Short Buildup",IF(AND(pc&gt;0,oc&lt;0),"Short Covering",IF(AND(pc&lt;0,oc&lt;0),"Long Unwinding","Flat"))))))</f>
        <v/>
      </c>
      <c r="J163" s="31">
        <f>LET(pc,ABS(F163),oc,ABS(H163),IF(OR(pc="",oc=""),"",MAX(1,MIN(5,ROUND((pc*0.5+oc*0.00001)*5,0))))))</f>
        <v/>
      </c>
    </row>
    <row r="164">
      <c r="A164" s="31" t="n">
        <v>162</v>
      </c>
      <c r="B164" s="31">
        <f>CHAIN_RAW!D162</f>
        <v/>
      </c>
      <c r="C164" s="31">
        <f>CHAIN_RAW!A162</f>
        <v/>
      </c>
      <c r="D164" s="31">
        <f>CHAIN_RAW!C162</f>
        <v/>
      </c>
      <c r="E164" s="31">
        <f>CHAIN_RAW!E162</f>
        <v/>
      </c>
      <c r="F164" s="31">
        <f>CHAIN_RAW!F162</f>
        <v/>
      </c>
      <c r="G164" s="31">
        <f>CHAIN_RAW!I162</f>
        <v/>
      </c>
      <c r="H164" s="31">
        <f>CHAIN_RAW!Q162</f>
        <v/>
      </c>
      <c r="I164" s="31">
        <f>LET(pc,F164,oc,H164,IF(OR(pc="",oc=""),"",IF(AND(pc&gt;0,oc&gt;0),"Long Buildup",IF(AND(pc&lt;0,oc&gt;0),"Short Buildup",IF(AND(pc&gt;0,oc&lt;0),"Short Covering",IF(AND(pc&lt;0,oc&lt;0),"Long Unwinding","Flat"))))))</f>
        <v/>
      </c>
      <c r="J164" s="31">
        <f>LET(pc,ABS(F164),oc,ABS(H164),IF(OR(pc="",oc=""),"",MAX(1,MIN(5,ROUND((pc*0.5+oc*0.00001)*5,0))))))</f>
        <v/>
      </c>
    </row>
    <row r="165">
      <c r="A165" s="31" t="n">
        <v>163</v>
      </c>
      <c r="B165" s="31">
        <f>CHAIN_RAW!D163</f>
        <v/>
      </c>
      <c r="C165" s="31">
        <f>CHAIN_RAW!A163</f>
        <v/>
      </c>
      <c r="D165" s="31">
        <f>CHAIN_RAW!C163</f>
        <v/>
      </c>
      <c r="E165" s="31">
        <f>CHAIN_RAW!E163</f>
        <v/>
      </c>
      <c r="F165" s="31">
        <f>CHAIN_RAW!F163</f>
        <v/>
      </c>
      <c r="G165" s="31">
        <f>CHAIN_RAW!I163</f>
        <v/>
      </c>
      <c r="H165" s="31">
        <f>CHAIN_RAW!Q163</f>
        <v/>
      </c>
      <c r="I165" s="31">
        <f>LET(pc,F165,oc,H165,IF(OR(pc="",oc=""),"",IF(AND(pc&gt;0,oc&gt;0),"Long Buildup",IF(AND(pc&lt;0,oc&gt;0),"Short Buildup",IF(AND(pc&gt;0,oc&lt;0),"Short Covering",IF(AND(pc&lt;0,oc&lt;0),"Long Unwinding","Flat"))))))</f>
        <v/>
      </c>
      <c r="J165" s="31">
        <f>LET(pc,ABS(F165),oc,ABS(H165),IF(OR(pc="",oc=""),"",MAX(1,MIN(5,ROUND((pc*0.5+oc*0.00001)*5,0))))))</f>
        <v/>
      </c>
    </row>
    <row r="166">
      <c r="A166" s="31" t="n">
        <v>164</v>
      </c>
      <c r="B166" s="31">
        <f>CHAIN_RAW!D164</f>
        <v/>
      </c>
      <c r="C166" s="31">
        <f>CHAIN_RAW!A164</f>
        <v/>
      </c>
      <c r="D166" s="31">
        <f>CHAIN_RAW!C164</f>
        <v/>
      </c>
      <c r="E166" s="31">
        <f>CHAIN_RAW!E164</f>
        <v/>
      </c>
      <c r="F166" s="31">
        <f>CHAIN_RAW!F164</f>
        <v/>
      </c>
      <c r="G166" s="31">
        <f>CHAIN_RAW!I164</f>
        <v/>
      </c>
      <c r="H166" s="31">
        <f>CHAIN_RAW!Q164</f>
        <v/>
      </c>
      <c r="I166" s="31">
        <f>LET(pc,F166,oc,H166,IF(OR(pc="",oc=""),"",IF(AND(pc&gt;0,oc&gt;0),"Long Buildup",IF(AND(pc&lt;0,oc&gt;0),"Short Buildup",IF(AND(pc&gt;0,oc&lt;0),"Short Covering",IF(AND(pc&lt;0,oc&lt;0),"Long Unwinding","Flat"))))))</f>
        <v/>
      </c>
      <c r="J166" s="31">
        <f>LET(pc,ABS(F166),oc,ABS(H166),IF(OR(pc="",oc=""),"",MAX(1,MIN(5,ROUND((pc*0.5+oc*0.00001)*5,0))))))</f>
        <v/>
      </c>
    </row>
    <row r="167">
      <c r="A167" s="31" t="n">
        <v>165</v>
      </c>
      <c r="B167" s="31">
        <f>CHAIN_RAW!D165</f>
        <v/>
      </c>
      <c r="C167" s="31">
        <f>CHAIN_RAW!A165</f>
        <v/>
      </c>
      <c r="D167" s="31">
        <f>CHAIN_RAW!C165</f>
        <v/>
      </c>
      <c r="E167" s="31">
        <f>CHAIN_RAW!E165</f>
        <v/>
      </c>
      <c r="F167" s="31">
        <f>CHAIN_RAW!F165</f>
        <v/>
      </c>
      <c r="G167" s="31">
        <f>CHAIN_RAW!I165</f>
        <v/>
      </c>
      <c r="H167" s="31">
        <f>CHAIN_RAW!Q165</f>
        <v/>
      </c>
      <c r="I167" s="31">
        <f>LET(pc,F167,oc,H167,IF(OR(pc="",oc=""),"",IF(AND(pc&gt;0,oc&gt;0),"Long Buildup",IF(AND(pc&lt;0,oc&gt;0),"Short Buildup",IF(AND(pc&gt;0,oc&lt;0),"Short Covering",IF(AND(pc&lt;0,oc&lt;0),"Long Unwinding","Flat"))))))</f>
        <v/>
      </c>
      <c r="J167" s="31">
        <f>LET(pc,ABS(F167),oc,ABS(H167),IF(OR(pc="",oc=""),"",MAX(1,MIN(5,ROUND((pc*0.5+oc*0.00001)*5,0))))))</f>
        <v/>
      </c>
    </row>
    <row r="168">
      <c r="A168" s="31" t="n">
        <v>166</v>
      </c>
      <c r="B168" s="31">
        <f>CHAIN_RAW!D166</f>
        <v/>
      </c>
      <c r="C168" s="31">
        <f>CHAIN_RAW!A166</f>
        <v/>
      </c>
      <c r="D168" s="31">
        <f>CHAIN_RAW!C166</f>
        <v/>
      </c>
      <c r="E168" s="31">
        <f>CHAIN_RAW!E166</f>
        <v/>
      </c>
      <c r="F168" s="31">
        <f>CHAIN_RAW!F166</f>
        <v/>
      </c>
      <c r="G168" s="31">
        <f>CHAIN_RAW!I166</f>
        <v/>
      </c>
      <c r="H168" s="31">
        <f>CHAIN_RAW!Q166</f>
        <v/>
      </c>
      <c r="I168" s="31">
        <f>LET(pc,F168,oc,H168,IF(OR(pc="",oc=""),"",IF(AND(pc&gt;0,oc&gt;0),"Long Buildup",IF(AND(pc&lt;0,oc&gt;0),"Short Buildup",IF(AND(pc&gt;0,oc&lt;0),"Short Covering",IF(AND(pc&lt;0,oc&lt;0),"Long Unwinding","Flat"))))))</f>
        <v/>
      </c>
      <c r="J168" s="31">
        <f>LET(pc,ABS(F168),oc,ABS(H168),IF(OR(pc="",oc=""),"",MAX(1,MIN(5,ROUND((pc*0.5+oc*0.00001)*5,0))))))</f>
        <v/>
      </c>
    </row>
    <row r="169">
      <c r="A169" s="31" t="n">
        <v>167</v>
      </c>
      <c r="B169" s="31">
        <f>CHAIN_RAW!D167</f>
        <v/>
      </c>
      <c r="C169" s="31">
        <f>CHAIN_RAW!A167</f>
        <v/>
      </c>
      <c r="D169" s="31">
        <f>CHAIN_RAW!C167</f>
        <v/>
      </c>
      <c r="E169" s="31">
        <f>CHAIN_RAW!E167</f>
        <v/>
      </c>
      <c r="F169" s="31">
        <f>CHAIN_RAW!F167</f>
        <v/>
      </c>
      <c r="G169" s="31">
        <f>CHAIN_RAW!I167</f>
        <v/>
      </c>
      <c r="H169" s="31">
        <f>CHAIN_RAW!Q167</f>
        <v/>
      </c>
      <c r="I169" s="31">
        <f>LET(pc,F169,oc,H169,IF(OR(pc="",oc=""),"",IF(AND(pc&gt;0,oc&gt;0),"Long Buildup",IF(AND(pc&lt;0,oc&gt;0),"Short Buildup",IF(AND(pc&gt;0,oc&lt;0),"Short Covering",IF(AND(pc&lt;0,oc&lt;0),"Long Unwinding","Flat"))))))</f>
        <v/>
      </c>
      <c r="J169" s="31">
        <f>LET(pc,ABS(F169),oc,ABS(H169),IF(OR(pc="",oc=""),"",MAX(1,MIN(5,ROUND((pc*0.5+oc*0.00001)*5,0))))))</f>
        <v/>
      </c>
    </row>
    <row r="170">
      <c r="A170" s="31" t="n">
        <v>168</v>
      </c>
      <c r="B170" s="31">
        <f>CHAIN_RAW!D168</f>
        <v/>
      </c>
      <c r="C170" s="31">
        <f>CHAIN_RAW!A168</f>
        <v/>
      </c>
      <c r="D170" s="31">
        <f>CHAIN_RAW!C168</f>
        <v/>
      </c>
      <c r="E170" s="31">
        <f>CHAIN_RAW!E168</f>
        <v/>
      </c>
      <c r="F170" s="31">
        <f>CHAIN_RAW!F168</f>
        <v/>
      </c>
      <c r="G170" s="31">
        <f>CHAIN_RAW!I168</f>
        <v/>
      </c>
      <c r="H170" s="31">
        <f>CHAIN_RAW!Q168</f>
        <v/>
      </c>
      <c r="I170" s="31">
        <f>LET(pc,F170,oc,H170,IF(OR(pc="",oc=""),"",IF(AND(pc&gt;0,oc&gt;0),"Long Buildup",IF(AND(pc&lt;0,oc&gt;0),"Short Buildup",IF(AND(pc&gt;0,oc&lt;0),"Short Covering",IF(AND(pc&lt;0,oc&lt;0),"Long Unwinding","Flat"))))))</f>
        <v/>
      </c>
      <c r="J170" s="31">
        <f>LET(pc,ABS(F170),oc,ABS(H170),IF(OR(pc="",oc=""),"",MAX(1,MIN(5,ROUND((pc*0.5+oc*0.00001)*5,0))))))</f>
        <v/>
      </c>
    </row>
    <row r="171">
      <c r="A171" s="31" t="n">
        <v>169</v>
      </c>
      <c r="B171" s="31">
        <f>CHAIN_RAW!D169</f>
        <v/>
      </c>
      <c r="C171" s="31">
        <f>CHAIN_RAW!A169</f>
        <v/>
      </c>
      <c r="D171" s="31">
        <f>CHAIN_RAW!C169</f>
        <v/>
      </c>
      <c r="E171" s="31">
        <f>CHAIN_RAW!E169</f>
        <v/>
      </c>
      <c r="F171" s="31">
        <f>CHAIN_RAW!F169</f>
        <v/>
      </c>
      <c r="G171" s="31">
        <f>CHAIN_RAW!I169</f>
        <v/>
      </c>
      <c r="H171" s="31">
        <f>CHAIN_RAW!Q169</f>
        <v/>
      </c>
      <c r="I171" s="31">
        <f>LET(pc,F171,oc,H171,IF(OR(pc="",oc=""),"",IF(AND(pc&gt;0,oc&gt;0),"Long Buildup",IF(AND(pc&lt;0,oc&gt;0),"Short Buildup",IF(AND(pc&gt;0,oc&lt;0),"Short Covering",IF(AND(pc&lt;0,oc&lt;0),"Long Unwinding","Flat"))))))</f>
        <v/>
      </c>
      <c r="J171" s="31">
        <f>LET(pc,ABS(F171),oc,ABS(H171),IF(OR(pc="",oc=""),"",MAX(1,MIN(5,ROUND((pc*0.5+oc*0.00001)*5,0))))))</f>
        <v/>
      </c>
    </row>
    <row r="172">
      <c r="A172" s="31" t="n">
        <v>170</v>
      </c>
      <c r="B172" s="31">
        <f>CHAIN_RAW!D170</f>
        <v/>
      </c>
      <c r="C172" s="31">
        <f>CHAIN_RAW!A170</f>
        <v/>
      </c>
      <c r="D172" s="31">
        <f>CHAIN_RAW!C170</f>
        <v/>
      </c>
      <c r="E172" s="31">
        <f>CHAIN_RAW!E170</f>
        <v/>
      </c>
      <c r="F172" s="31">
        <f>CHAIN_RAW!F170</f>
        <v/>
      </c>
      <c r="G172" s="31">
        <f>CHAIN_RAW!I170</f>
        <v/>
      </c>
      <c r="H172" s="31">
        <f>CHAIN_RAW!Q170</f>
        <v/>
      </c>
      <c r="I172" s="31">
        <f>LET(pc,F172,oc,H172,IF(OR(pc="",oc=""),"",IF(AND(pc&gt;0,oc&gt;0),"Long Buildup",IF(AND(pc&lt;0,oc&gt;0),"Short Buildup",IF(AND(pc&gt;0,oc&lt;0),"Short Covering",IF(AND(pc&lt;0,oc&lt;0),"Long Unwinding","Flat"))))))</f>
        <v/>
      </c>
      <c r="J172" s="31">
        <f>LET(pc,ABS(F172),oc,ABS(H172),IF(OR(pc="",oc=""),"",MAX(1,MIN(5,ROUND((pc*0.5+oc*0.00001)*5,0))))))</f>
        <v/>
      </c>
    </row>
    <row r="173">
      <c r="A173" s="31" t="n">
        <v>171</v>
      </c>
      <c r="B173" s="31">
        <f>CHAIN_RAW!D171</f>
        <v/>
      </c>
      <c r="C173" s="31">
        <f>CHAIN_RAW!A171</f>
        <v/>
      </c>
      <c r="D173" s="31">
        <f>CHAIN_RAW!C171</f>
        <v/>
      </c>
      <c r="E173" s="31">
        <f>CHAIN_RAW!E171</f>
        <v/>
      </c>
      <c r="F173" s="31">
        <f>CHAIN_RAW!F171</f>
        <v/>
      </c>
      <c r="G173" s="31">
        <f>CHAIN_RAW!I171</f>
        <v/>
      </c>
      <c r="H173" s="31">
        <f>CHAIN_RAW!Q171</f>
        <v/>
      </c>
      <c r="I173" s="31">
        <f>LET(pc,F173,oc,H173,IF(OR(pc="",oc=""),"",IF(AND(pc&gt;0,oc&gt;0),"Long Buildup",IF(AND(pc&lt;0,oc&gt;0),"Short Buildup",IF(AND(pc&gt;0,oc&lt;0),"Short Covering",IF(AND(pc&lt;0,oc&lt;0),"Long Unwinding","Flat"))))))</f>
        <v/>
      </c>
      <c r="J173" s="31">
        <f>LET(pc,ABS(F173),oc,ABS(H173),IF(OR(pc="",oc=""),"",MAX(1,MIN(5,ROUND((pc*0.5+oc*0.00001)*5,0))))))</f>
        <v/>
      </c>
    </row>
    <row r="174">
      <c r="A174" s="31" t="n">
        <v>172</v>
      </c>
      <c r="B174" s="31">
        <f>CHAIN_RAW!D172</f>
        <v/>
      </c>
      <c r="C174" s="31">
        <f>CHAIN_RAW!A172</f>
        <v/>
      </c>
      <c r="D174" s="31">
        <f>CHAIN_RAW!C172</f>
        <v/>
      </c>
      <c r="E174" s="31">
        <f>CHAIN_RAW!E172</f>
        <v/>
      </c>
      <c r="F174" s="31">
        <f>CHAIN_RAW!F172</f>
        <v/>
      </c>
      <c r="G174" s="31">
        <f>CHAIN_RAW!I172</f>
        <v/>
      </c>
      <c r="H174" s="31">
        <f>CHAIN_RAW!Q172</f>
        <v/>
      </c>
      <c r="I174" s="31">
        <f>LET(pc,F174,oc,H174,IF(OR(pc="",oc=""),"",IF(AND(pc&gt;0,oc&gt;0),"Long Buildup",IF(AND(pc&lt;0,oc&gt;0),"Short Buildup",IF(AND(pc&gt;0,oc&lt;0),"Short Covering",IF(AND(pc&lt;0,oc&lt;0),"Long Unwinding","Flat"))))))</f>
        <v/>
      </c>
      <c r="J174" s="31">
        <f>LET(pc,ABS(F174),oc,ABS(H174),IF(OR(pc="",oc=""),"",MAX(1,MIN(5,ROUND((pc*0.5+oc*0.00001)*5,0))))))</f>
        <v/>
      </c>
    </row>
    <row r="175">
      <c r="A175" s="31" t="n">
        <v>173</v>
      </c>
      <c r="B175" s="31">
        <f>CHAIN_RAW!D173</f>
        <v/>
      </c>
      <c r="C175" s="31">
        <f>CHAIN_RAW!A173</f>
        <v/>
      </c>
      <c r="D175" s="31">
        <f>CHAIN_RAW!C173</f>
        <v/>
      </c>
      <c r="E175" s="31">
        <f>CHAIN_RAW!E173</f>
        <v/>
      </c>
      <c r="F175" s="31">
        <f>CHAIN_RAW!F173</f>
        <v/>
      </c>
      <c r="G175" s="31">
        <f>CHAIN_RAW!I173</f>
        <v/>
      </c>
      <c r="H175" s="31">
        <f>CHAIN_RAW!Q173</f>
        <v/>
      </c>
      <c r="I175" s="31">
        <f>LET(pc,F175,oc,H175,IF(OR(pc="",oc=""),"",IF(AND(pc&gt;0,oc&gt;0),"Long Buildup",IF(AND(pc&lt;0,oc&gt;0),"Short Buildup",IF(AND(pc&gt;0,oc&lt;0),"Short Covering",IF(AND(pc&lt;0,oc&lt;0),"Long Unwinding","Flat"))))))</f>
        <v/>
      </c>
      <c r="J175" s="31">
        <f>LET(pc,ABS(F175),oc,ABS(H175),IF(OR(pc="",oc=""),"",MAX(1,MIN(5,ROUND((pc*0.5+oc*0.00001)*5,0))))))</f>
        <v/>
      </c>
    </row>
    <row r="176">
      <c r="A176" s="31" t="n">
        <v>174</v>
      </c>
      <c r="B176" s="31">
        <f>CHAIN_RAW!D174</f>
        <v/>
      </c>
      <c r="C176" s="31">
        <f>CHAIN_RAW!A174</f>
        <v/>
      </c>
      <c r="D176" s="31">
        <f>CHAIN_RAW!C174</f>
        <v/>
      </c>
      <c r="E176" s="31">
        <f>CHAIN_RAW!E174</f>
        <v/>
      </c>
      <c r="F176" s="31">
        <f>CHAIN_RAW!F174</f>
        <v/>
      </c>
      <c r="G176" s="31">
        <f>CHAIN_RAW!I174</f>
        <v/>
      </c>
      <c r="H176" s="31">
        <f>CHAIN_RAW!Q174</f>
        <v/>
      </c>
      <c r="I176" s="31">
        <f>LET(pc,F176,oc,H176,IF(OR(pc="",oc=""),"",IF(AND(pc&gt;0,oc&gt;0),"Long Buildup",IF(AND(pc&lt;0,oc&gt;0),"Short Buildup",IF(AND(pc&gt;0,oc&lt;0),"Short Covering",IF(AND(pc&lt;0,oc&lt;0),"Long Unwinding","Flat"))))))</f>
        <v/>
      </c>
      <c r="J176" s="31">
        <f>LET(pc,ABS(F176),oc,ABS(H176),IF(OR(pc="",oc=""),"",MAX(1,MIN(5,ROUND((pc*0.5+oc*0.00001)*5,0))))))</f>
        <v/>
      </c>
    </row>
    <row r="177">
      <c r="A177" s="31" t="n">
        <v>175</v>
      </c>
      <c r="B177" s="31">
        <f>CHAIN_RAW!D175</f>
        <v/>
      </c>
      <c r="C177" s="31">
        <f>CHAIN_RAW!A175</f>
        <v/>
      </c>
      <c r="D177" s="31">
        <f>CHAIN_RAW!C175</f>
        <v/>
      </c>
      <c r="E177" s="31">
        <f>CHAIN_RAW!E175</f>
        <v/>
      </c>
      <c r="F177" s="31">
        <f>CHAIN_RAW!F175</f>
        <v/>
      </c>
      <c r="G177" s="31">
        <f>CHAIN_RAW!I175</f>
        <v/>
      </c>
      <c r="H177" s="31">
        <f>CHAIN_RAW!Q175</f>
        <v/>
      </c>
      <c r="I177" s="31">
        <f>LET(pc,F177,oc,H177,IF(OR(pc="",oc=""),"",IF(AND(pc&gt;0,oc&gt;0),"Long Buildup",IF(AND(pc&lt;0,oc&gt;0),"Short Buildup",IF(AND(pc&gt;0,oc&lt;0),"Short Covering",IF(AND(pc&lt;0,oc&lt;0),"Long Unwinding","Flat"))))))</f>
        <v/>
      </c>
      <c r="J177" s="31">
        <f>LET(pc,ABS(F177),oc,ABS(H177),IF(OR(pc="",oc=""),"",MAX(1,MIN(5,ROUND((pc*0.5+oc*0.00001)*5,0))))))</f>
        <v/>
      </c>
    </row>
    <row r="178">
      <c r="A178" s="31" t="n">
        <v>176</v>
      </c>
      <c r="B178" s="31">
        <f>CHAIN_RAW!D176</f>
        <v/>
      </c>
      <c r="C178" s="31">
        <f>CHAIN_RAW!A176</f>
        <v/>
      </c>
      <c r="D178" s="31">
        <f>CHAIN_RAW!C176</f>
        <v/>
      </c>
      <c r="E178" s="31">
        <f>CHAIN_RAW!E176</f>
        <v/>
      </c>
      <c r="F178" s="31">
        <f>CHAIN_RAW!F176</f>
        <v/>
      </c>
      <c r="G178" s="31">
        <f>CHAIN_RAW!I176</f>
        <v/>
      </c>
      <c r="H178" s="31">
        <f>CHAIN_RAW!Q176</f>
        <v/>
      </c>
      <c r="I178" s="31">
        <f>LET(pc,F178,oc,H178,IF(OR(pc="",oc=""),"",IF(AND(pc&gt;0,oc&gt;0),"Long Buildup",IF(AND(pc&lt;0,oc&gt;0),"Short Buildup",IF(AND(pc&gt;0,oc&lt;0),"Short Covering",IF(AND(pc&lt;0,oc&lt;0),"Long Unwinding","Flat"))))))</f>
        <v/>
      </c>
      <c r="J178" s="31">
        <f>LET(pc,ABS(F178),oc,ABS(H178),IF(OR(pc="",oc=""),"",MAX(1,MIN(5,ROUND((pc*0.5+oc*0.00001)*5,0))))))</f>
        <v/>
      </c>
    </row>
    <row r="179">
      <c r="A179" s="31" t="n">
        <v>177</v>
      </c>
      <c r="B179" s="31">
        <f>CHAIN_RAW!D177</f>
        <v/>
      </c>
      <c r="C179" s="31">
        <f>CHAIN_RAW!A177</f>
        <v/>
      </c>
      <c r="D179" s="31">
        <f>CHAIN_RAW!C177</f>
        <v/>
      </c>
      <c r="E179" s="31">
        <f>CHAIN_RAW!E177</f>
        <v/>
      </c>
      <c r="F179" s="31">
        <f>CHAIN_RAW!F177</f>
        <v/>
      </c>
      <c r="G179" s="31">
        <f>CHAIN_RAW!I177</f>
        <v/>
      </c>
      <c r="H179" s="31">
        <f>CHAIN_RAW!Q177</f>
        <v/>
      </c>
      <c r="I179" s="31">
        <f>LET(pc,F179,oc,H179,IF(OR(pc="",oc=""),"",IF(AND(pc&gt;0,oc&gt;0),"Long Buildup",IF(AND(pc&lt;0,oc&gt;0),"Short Buildup",IF(AND(pc&gt;0,oc&lt;0),"Short Covering",IF(AND(pc&lt;0,oc&lt;0),"Long Unwinding","Flat"))))))</f>
        <v/>
      </c>
      <c r="J179" s="31">
        <f>LET(pc,ABS(F179),oc,ABS(H179),IF(OR(pc="",oc=""),"",MAX(1,MIN(5,ROUND((pc*0.5+oc*0.00001)*5,0))))))</f>
        <v/>
      </c>
    </row>
    <row r="180">
      <c r="A180" s="31" t="n">
        <v>178</v>
      </c>
      <c r="B180" s="31">
        <f>CHAIN_RAW!D178</f>
        <v/>
      </c>
      <c r="C180" s="31">
        <f>CHAIN_RAW!A178</f>
        <v/>
      </c>
      <c r="D180" s="31">
        <f>CHAIN_RAW!C178</f>
        <v/>
      </c>
      <c r="E180" s="31">
        <f>CHAIN_RAW!E178</f>
        <v/>
      </c>
      <c r="F180" s="31">
        <f>CHAIN_RAW!F178</f>
        <v/>
      </c>
      <c r="G180" s="31">
        <f>CHAIN_RAW!I178</f>
        <v/>
      </c>
      <c r="H180" s="31">
        <f>CHAIN_RAW!Q178</f>
        <v/>
      </c>
      <c r="I180" s="31">
        <f>LET(pc,F180,oc,H180,IF(OR(pc="",oc=""),"",IF(AND(pc&gt;0,oc&gt;0),"Long Buildup",IF(AND(pc&lt;0,oc&gt;0),"Short Buildup",IF(AND(pc&gt;0,oc&lt;0),"Short Covering",IF(AND(pc&lt;0,oc&lt;0),"Long Unwinding","Flat"))))))</f>
        <v/>
      </c>
      <c r="J180" s="31">
        <f>LET(pc,ABS(F180),oc,ABS(H180),IF(OR(pc="",oc=""),"",MAX(1,MIN(5,ROUND((pc*0.5+oc*0.00001)*5,0))))))</f>
        <v/>
      </c>
    </row>
    <row r="181">
      <c r="A181" s="31" t="n">
        <v>179</v>
      </c>
      <c r="B181" s="31">
        <f>CHAIN_RAW!D179</f>
        <v/>
      </c>
      <c r="C181" s="31">
        <f>CHAIN_RAW!A179</f>
        <v/>
      </c>
      <c r="D181" s="31">
        <f>CHAIN_RAW!C179</f>
        <v/>
      </c>
      <c r="E181" s="31">
        <f>CHAIN_RAW!E179</f>
        <v/>
      </c>
      <c r="F181" s="31">
        <f>CHAIN_RAW!F179</f>
        <v/>
      </c>
      <c r="G181" s="31">
        <f>CHAIN_RAW!I179</f>
        <v/>
      </c>
      <c r="H181" s="31">
        <f>CHAIN_RAW!Q179</f>
        <v/>
      </c>
      <c r="I181" s="31">
        <f>LET(pc,F181,oc,H181,IF(OR(pc="",oc=""),"",IF(AND(pc&gt;0,oc&gt;0),"Long Buildup",IF(AND(pc&lt;0,oc&gt;0),"Short Buildup",IF(AND(pc&gt;0,oc&lt;0),"Short Covering",IF(AND(pc&lt;0,oc&lt;0),"Long Unwinding","Flat"))))))</f>
        <v/>
      </c>
      <c r="J181" s="31">
        <f>LET(pc,ABS(F181),oc,ABS(H181),IF(OR(pc="",oc=""),"",MAX(1,MIN(5,ROUND((pc*0.5+oc*0.00001)*5,0))))))</f>
        <v/>
      </c>
    </row>
    <row r="182">
      <c r="A182" s="31" t="n">
        <v>180</v>
      </c>
      <c r="B182" s="31">
        <f>CHAIN_RAW!D180</f>
        <v/>
      </c>
      <c r="C182" s="31">
        <f>CHAIN_RAW!A180</f>
        <v/>
      </c>
      <c r="D182" s="31">
        <f>CHAIN_RAW!C180</f>
        <v/>
      </c>
      <c r="E182" s="31">
        <f>CHAIN_RAW!E180</f>
        <v/>
      </c>
      <c r="F182" s="31">
        <f>CHAIN_RAW!F180</f>
        <v/>
      </c>
      <c r="G182" s="31">
        <f>CHAIN_RAW!I180</f>
        <v/>
      </c>
      <c r="H182" s="31">
        <f>CHAIN_RAW!Q180</f>
        <v/>
      </c>
      <c r="I182" s="31">
        <f>LET(pc,F182,oc,H182,IF(OR(pc="",oc=""),"",IF(AND(pc&gt;0,oc&gt;0),"Long Buildup",IF(AND(pc&lt;0,oc&gt;0),"Short Buildup",IF(AND(pc&gt;0,oc&lt;0),"Short Covering",IF(AND(pc&lt;0,oc&lt;0),"Long Unwinding","Flat"))))))</f>
        <v/>
      </c>
      <c r="J182" s="31">
        <f>LET(pc,ABS(F182),oc,ABS(H182),IF(OR(pc="",oc=""),"",MAX(1,MIN(5,ROUND((pc*0.5+oc*0.00001)*5,0))))))</f>
        <v/>
      </c>
    </row>
    <row r="183">
      <c r="A183" s="31" t="n">
        <v>181</v>
      </c>
      <c r="B183" s="31">
        <f>CHAIN_RAW!D181</f>
        <v/>
      </c>
      <c r="C183" s="31">
        <f>CHAIN_RAW!A181</f>
        <v/>
      </c>
      <c r="D183" s="31">
        <f>CHAIN_RAW!C181</f>
        <v/>
      </c>
      <c r="E183" s="31">
        <f>CHAIN_RAW!E181</f>
        <v/>
      </c>
      <c r="F183" s="31">
        <f>CHAIN_RAW!F181</f>
        <v/>
      </c>
      <c r="G183" s="31">
        <f>CHAIN_RAW!I181</f>
        <v/>
      </c>
      <c r="H183" s="31">
        <f>CHAIN_RAW!Q181</f>
        <v/>
      </c>
      <c r="I183" s="31">
        <f>LET(pc,F183,oc,H183,IF(OR(pc="",oc=""),"",IF(AND(pc&gt;0,oc&gt;0),"Long Buildup",IF(AND(pc&lt;0,oc&gt;0),"Short Buildup",IF(AND(pc&gt;0,oc&lt;0),"Short Covering",IF(AND(pc&lt;0,oc&lt;0),"Long Unwinding","Flat"))))))</f>
        <v/>
      </c>
      <c r="J183" s="31">
        <f>LET(pc,ABS(F183),oc,ABS(H183),IF(OR(pc="",oc=""),"",MAX(1,MIN(5,ROUND((pc*0.5+oc*0.00001)*5,0))))))</f>
        <v/>
      </c>
    </row>
    <row r="184">
      <c r="A184" s="31" t="n">
        <v>182</v>
      </c>
      <c r="B184" s="31">
        <f>CHAIN_RAW!D182</f>
        <v/>
      </c>
      <c r="C184" s="31">
        <f>CHAIN_RAW!A182</f>
        <v/>
      </c>
      <c r="D184" s="31">
        <f>CHAIN_RAW!C182</f>
        <v/>
      </c>
      <c r="E184" s="31">
        <f>CHAIN_RAW!E182</f>
        <v/>
      </c>
      <c r="F184" s="31">
        <f>CHAIN_RAW!F182</f>
        <v/>
      </c>
      <c r="G184" s="31">
        <f>CHAIN_RAW!I182</f>
        <v/>
      </c>
      <c r="H184" s="31">
        <f>CHAIN_RAW!Q182</f>
        <v/>
      </c>
      <c r="I184" s="31">
        <f>LET(pc,F184,oc,H184,IF(OR(pc="",oc=""),"",IF(AND(pc&gt;0,oc&gt;0),"Long Buildup",IF(AND(pc&lt;0,oc&gt;0),"Short Buildup",IF(AND(pc&gt;0,oc&lt;0),"Short Covering",IF(AND(pc&lt;0,oc&lt;0),"Long Unwinding","Flat"))))))</f>
        <v/>
      </c>
      <c r="J184" s="31">
        <f>LET(pc,ABS(F184),oc,ABS(H184),IF(OR(pc="",oc=""),"",MAX(1,MIN(5,ROUND((pc*0.5+oc*0.00001)*5,0))))))</f>
        <v/>
      </c>
    </row>
    <row r="185">
      <c r="A185" s="31" t="n">
        <v>183</v>
      </c>
      <c r="B185" s="31">
        <f>CHAIN_RAW!D183</f>
        <v/>
      </c>
      <c r="C185" s="31">
        <f>CHAIN_RAW!A183</f>
        <v/>
      </c>
      <c r="D185" s="31">
        <f>CHAIN_RAW!C183</f>
        <v/>
      </c>
      <c r="E185" s="31">
        <f>CHAIN_RAW!E183</f>
        <v/>
      </c>
      <c r="F185" s="31">
        <f>CHAIN_RAW!F183</f>
        <v/>
      </c>
      <c r="G185" s="31">
        <f>CHAIN_RAW!I183</f>
        <v/>
      </c>
      <c r="H185" s="31">
        <f>CHAIN_RAW!Q183</f>
        <v/>
      </c>
      <c r="I185" s="31">
        <f>LET(pc,F185,oc,H185,IF(OR(pc="",oc=""),"",IF(AND(pc&gt;0,oc&gt;0),"Long Buildup",IF(AND(pc&lt;0,oc&gt;0),"Short Buildup",IF(AND(pc&gt;0,oc&lt;0),"Short Covering",IF(AND(pc&lt;0,oc&lt;0),"Long Unwinding","Flat"))))))</f>
        <v/>
      </c>
      <c r="J185" s="31">
        <f>LET(pc,ABS(F185),oc,ABS(H185),IF(OR(pc="",oc=""),"",MAX(1,MIN(5,ROUND((pc*0.5+oc*0.00001)*5,0))))))</f>
        <v/>
      </c>
    </row>
    <row r="186">
      <c r="A186" s="31" t="n">
        <v>184</v>
      </c>
      <c r="B186" s="31">
        <f>CHAIN_RAW!D184</f>
        <v/>
      </c>
      <c r="C186" s="31">
        <f>CHAIN_RAW!A184</f>
        <v/>
      </c>
      <c r="D186" s="31">
        <f>CHAIN_RAW!C184</f>
        <v/>
      </c>
      <c r="E186" s="31">
        <f>CHAIN_RAW!E184</f>
        <v/>
      </c>
      <c r="F186" s="31">
        <f>CHAIN_RAW!F184</f>
        <v/>
      </c>
      <c r="G186" s="31">
        <f>CHAIN_RAW!I184</f>
        <v/>
      </c>
      <c r="H186" s="31">
        <f>CHAIN_RAW!Q184</f>
        <v/>
      </c>
      <c r="I186" s="31">
        <f>LET(pc,F186,oc,H186,IF(OR(pc="",oc=""),"",IF(AND(pc&gt;0,oc&gt;0),"Long Buildup",IF(AND(pc&lt;0,oc&gt;0),"Short Buildup",IF(AND(pc&gt;0,oc&lt;0),"Short Covering",IF(AND(pc&lt;0,oc&lt;0),"Long Unwinding","Flat"))))))</f>
        <v/>
      </c>
      <c r="J186" s="31">
        <f>LET(pc,ABS(F186),oc,ABS(H186),IF(OR(pc="",oc=""),"",MAX(1,MIN(5,ROUND((pc*0.5+oc*0.00001)*5,0))))))</f>
        <v/>
      </c>
    </row>
    <row r="187">
      <c r="A187" s="31" t="n">
        <v>185</v>
      </c>
      <c r="B187" s="31">
        <f>CHAIN_RAW!D185</f>
        <v/>
      </c>
      <c r="C187" s="31">
        <f>CHAIN_RAW!A185</f>
        <v/>
      </c>
      <c r="D187" s="31">
        <f>CHAIN_RAW!C185</f>
        <v/>
      </c>
      <c r="E187" s="31">
        <f>CHAIN_RAW!E185</f>
        <v/>
      </c>
      <c r="F187" s="31">
        <f>CHAIN_RAW!F185</f>
        <v/>
      </c>
      <c r="G187" s="31">
        <f>CHAIN_RAW!I185</f>
        <v/>
      </c>
      <c r="H187" s="31">
        <f>CHAIN_RAW!Q185</f>
        <v/>
      </c>
      <c r="I187" s="31">
        <f>LET(pc,F187,oc,H187,IF(OR(pc="",oc=""),"",IF(AND(pc&gt;0,oc&gt;0),"Long Buildup",IF(AND(pc&lt;0,oc&gt;0),"Short Buildup",IF(AND(pc&gt;0,oc&lt;0),"Short Covering",IF(AND(pc&lt;0,oc&lt;0),"Long Unwinding","Flat"))))))</f>
        <v/>
      </c>
      <c r="J187" s="31">
        <f>LET(pc,ABS(F187),oc,ABS(H187),IF(OR(pc="",oc=""),"",MAX(1,MIN(5,ROUND((pc*0.5+oc*0.00001)*5,0))))))</f>
        <v/>
      </c>
    </row>
    <row r="188">
      <c r="A188" s="31" t="n">
        <v>186</v>
      </c>
      <c r="B188" s="31">
        <f>CHAIN_RAW!D186</f>
        <v/>
      </c>
      <c r="C188" s="31">
        <f>CHAIN_RAW!A186</f>
        <v/>
      </c>
      <c r="D188" s="31">
        <f>CHAIN_RAW!C186</f>
        <v/>
      </c>
      <c r="E188" s="31">
        <f>CHAIN_RAW!E186</f>
        <v/>
      </c>
      <c r="F188" s="31">
        <f>CHAIN_RAW!F186</f>
        <v/>
      </c>
      <c r="G188" s="31">
        <f>CHAIN_RAW!I186</f>
        <v/>
      </c>
      <c r="H188" s="31">
        <f>CHAIN_RAW!Q186</f>
        <v/>
      </c>
      <c r="I188" s="31">
        <f>LET(pc,F188,oc,H188,IF(OR(pc="",oc=""),"",IF(AND(pc&gt;0,oc&gt;0),"Long Buildup",IF(AND(pc&lt;0,oc&gt;0),"Short Buildup",IF(AND(pc&gt;0,oc&lt;0),"Short Covering",IF(AND(pc&lt;0,oc&lt;0),"Long Unwinding","Flat"))))))</f>
        <v/>
      </c>
      <c r="J188" s="31">
        <f>LET(pc,ABS(F188),oc,ABS(H188),IF(OR(pc="",oc=""),"",MAX(1,MIN(5,ROUND((pc*0.5+oc*0.00001)*5,0))))))</f>
        <v/>
      </c>
    </row>
    <row r="189">
      <c r="A189" s="31" t="n">
        <v>187</v>
      </c>
      <c r="B189" s="31">
        <f>CHAIN_RAW!D187</f>
        <v/>
      </c>
      <c r="C189" s="31">
        <f>CHAIN_RAW!A187</f>
        <v/>
      </c>
      <c r="D189" s="31">
        <f>CHAIN_RAW!C187</f>
        <v/>
      </c>
      <c r="E189" s="31">
        <f>CHAIN_RAW!E187</f>
        <v/>
      </c>
      <c r="F189" s="31">
        <f>CHAIN_RAW!F187</f>
        <v/>
      </c>
      <c r="G189" s="31">
        <f>CHAIN_RAW!I187</f>
        <v/>
      </c>
      <c r="H189" s="31">
        <f>CHAIN_RAW!Q187</f>
        <v/>
      </c>
      <c r="I189" s="31">
        <f>LET(pc,F189,oc,H189,IF(OR(pc="",oc=""),"",IF(AND(pc&gt;0,oc&gt;0),"Long Buildup",IF(AND(pc&lt;0,oc&gt;0),"Short Buildup",IF(AND(pc&gt;0,oc&lt;0),"Short Covering",IF(AND(pc&lt;0,oc&lt;0),"Long Unwinding","Flat"))))))</f>
        <v/>
      </c>
      <c r="J189" s="31">
        <f>LET(pc,ABS(F189),oc,ABS(H189),IF(OR(pc="",oc=""),"",MAX(1,MIN(5,ROUND((pc*0.5+oc*0.00001)*5,0))))))</f>
        <v/>
      </c>
    </row>
    <row r="190">
      <c r="A190" s="31" t="n">
        <v>188</v>
      </c>
      <c r="B190" s="31">
        <f>CHAIN_RAW!D188</f>
        <v/>
      </c>
      <c r="C190" s="31">
        <f>CHAIN_RAW!A188</f>
        <v/>
      </c>
      <c r="D190" s="31">
        <f>CHAIN_RAW!C188</f>
        <v/>
      </c>
      <c r="E190" s="31">
        <f>CHAIN_RAW!E188</f>
        <v/>
      </c>
      <c r="F190" s="31">
        <f>CHAIN_RAW!F188</f>
        <v/>
      </c>
      <c r="G190" s="31">
        <f>CHAIN_RAW!I188</f>
        <v/>
      </c>
      <c r="H190" s="31">
        <f>CHAIN_RAW!Q188</f>
        <v/>
      </c>
      <c r="I190" s="31">
        <f>LET(pc,F190,oc,H190,IF(OR(pc="",oc=""),"",IF(AND(pc&gt;0,oc&gt;0),"Long Buildup",IF(AND(pc&lt;0,oc&gt;0),"Short Buildup",IF(AND(pc&gt;0,oc&lt;0),"Short Covering",IF(AND(pc&lt;0,oc&lt;0),"Long Unwinding","Flat"))))))</f>
        <v/>
      </c>
      <c r="J190" s="31">
        <f>LET(pc,ABS(F190),oc,ABS(H190),IF(OR(pc="",oc=""),"",MAX(1,MIN(5,ROUND((pc*0.5+oc*0.00001)*5,0))))))</f>
        <v/>
      </c>
    </row>
    <row r="191">
      <c r="A191" s="31" t="n">
        <v>189</v>
      </c>
      <c r="B191" s="31">
        <f>CHAIN_RAW!D189</f>
        <v/>
      </c>
      <c r="C191" s="31">
        <f>CHAIN_RAW!A189</f>
        <v/>
      </c>
      <c r="D191" s="31">
        <f>CHAIN_RAW!C189</f>
        <v/>
      </c>
      <c r="E191" s="31">
        <f>CHAIN_RAW!E189</f>
        <v/>
      </c>
      <c r="F191" s="31">
        <f>CHAIN_RAW!F189</f>
        <v/>
      </c>
      <c r="G191" s="31">
        <f>CHAIN_RAW!I189</f>
        <v/>
      </c>
      <c r="H191" s="31">
        <f>CHAIN_RAW!Q189</f>
        <v/>
      </c>
      <c r="I191" s="31">
        <f>LET(pc,F191,oc,H191,IF(OR(pc="",oc=""),"",IF(AND(pc&gt;0,oc&gt;0),"Long Buildup",IF(AND(pc&lt;0,oc&gt;0),"Short Buildup",IF(AND(pc&gt;0,oc&lt;0),"Short Covering",IF(AND(pc&lt;0,oc&lt;0),"Long Unwinding","Flat"))))))</f>
        <v/>
      </c>
      <c r="J191" s="31">
        <f>LET(pc,ABS(F191),oc,ABS(H191),IF(OR(pc="",oc=""),"",MAX(1,MIN(5,ROUND((pc*0.5+oc*0.00001)*5,0))))))</f>
        <v/>
      </c>
    </row>
    <row r="192">
      <c r="A192" s="31" t="n">
        <v>190</v>
      </c>
      <c r="B192" s="31">
        <f>CHAIN_RAW!D190</f>
        <v/>
      </c>
      <c r="C192" s="31">
        <f>CHAIN_RAW!A190</f>
        <v/>
      </c>
      <c r="D192" s="31">
        <f>CHAIN_RAW!C190</f>
        <v/>
      </c>
      <c r="E192" s="31">
        <f>CHAIN_RAW!E190</f>
        <v/>
      </c>
      <c r="F192" s="31">
        <f>CHAIN_RAW!F190</f>
        <v/>
      </c>
      <c r="G192" s="31">
        <f>CHAIN_RAW!I190</f>
        <v/>
      </c>
      <c r="H192" s="31">
        <f>CHAIN_RAW!Q190</f>
        <v/>
      </c>
      <c r="I192" s="31">
        <f>LET(pc,F192,oc,H192,IF(OR(pc="",oc=""),"",IF(AND(pc&gt;0,oc&gt;0),"Long Buildup",IF(AND(pc&lt;0,oc&gt;0),"Short Buildup",IF(AND(pc&gt;0,oc&lt;0),"Short Covering",IF(AND(pc&lt;0,oc&lt;0),"Long Unwinding","Flat"))))))</f>
        <v/>
      </c>
      <c r="J192" s="31">
        <f>LET(pc,ABS(F192),oc,ABS(H192),IF(OR(pc="",oc=""),"",MAX(1,MIN(5,ROUND((pc*0.5+oc*0.00001)*5,0))))))</f>
        <v/>
      </c>
    </row>
    <row r="193">
      <c r="A193" s="31" t="n">
        <v>191</v>
      </c>
      <c r="B193" s="31">
        <f>CHAIN_RAW!D191</f>
        <v/>
      </c>
      <c r="C193" s="31">
        <f>CHAIN_RAW!A191</f>
        <v/>
      </c>
      <c r="D193" s="31">
        <f>CHAIN_RAW!C191</f>
        <v/>
      </c>
      <c r="E193" s="31">
        <f>CHAIN_RAW!E191</f>
        <v/>
      </c>
      <c r="F193" s="31">
        <f>CHAIN_RAW!F191</f>
        <v/>
      </c>
      <c r="G193" s="31">
        <f>CHAIN_RAW!I191</f>
        <v/>
      </c>
      <c r="H193" s="31">
        <f>CHAIN_RAW!Q191</f>
        <v/>
      </c>
      <c r="I193" s="31">
        <f>LET(pc,F193,oc,H193,IF(OR(pc="",oc=""),"",IF(AND(pc&gt;0,oc&gt;0),"Long Buildup",IF(AND(pc&lt;0,oc&gt;0),"Short Buildup",IF(AND(pc&gt;0,oc&lt;0),"Short Covering",IF(AND(pc&lt;0,oc&lt;0),"Long Unwinding","Flat"))))))</f>
        <v/>
      </c>
      <c r="J193" s="31">
        <f>LET(pc,ABS(F193),oc,ABS(H193),IF(OR(pc="",oc=""),"",MAX(1,MIN(5,ROUND((pc*0.5+oc*0.00001)*5,0))))))</f>
        <v/>
      </c>
    </row>
    <row r="194">
      <c r="A194" s="31" t="n">
        <v>192</v>
      </c>
      <c r="B194" s="31">
        <f>CHAIN_RAW!D192</f>
        <v/>
      </c>
      <c r="C194" s="31">
        <f>CHAIN_RAW!A192</f>
        <v/>
      </c>
      <c r="D194" s="31">
        <f>CHAIN_RAW!C192</f>
        <v/>
      </c>
      <c r="E194" s="31">
        <f>CHAIN_RAW!E192</f>
        <v/>
      </c>
      <c r="F194" s="31">
        <f>CHAIN_RAW!F192</f>
        <v/>
      </c>
      <c r="G194" s="31">
        <f>CHAIN_RAW!I192</f>
        <v/>
      </c>
      <c r="H194" s="31">
        <f>CHAIN_RAW!Q192</f>
        <v/>
      </c>
      <c r="I194" s="31">
        <f>LET(pc,F194,oc,H194,IF(OR(pc="",oc=""),"",IF(AND(pc&gt;0,oc&gt;0),"Long Buildup",IF(AND(pc&lt;0,oc&gt;0),"Short Buildup",IF(AND(pc&gt;0,oc&lt;0),"Short Covering",IF(AND(pc&lt;0,oc&lt;0),"Long Unwinding","Flat"))))))</f>
        <v/>
      </c>
      <c r="J194" s="31">
        <f>LET(pc,ABS(F194),oc,ABS(H194),IF(OR(pc="",oc=""),"",MAX(1,MIN(5,ROUND((pc*0.5+oc*0.00001)*5,0))))))</f>
        <v/>
      </c>
    </row>
    <row r="195">
      <c r="A195" s="31" t="n">
        <v>193</v>
      </c>
      <c r="B195" s="31">
        <f>CHAIN_RAW!D193</f>
        <v/>
      </c>
      <c r="C195" s="31">
        <f>CHAIN_RAW!A193</f>
        <v/>
      </c>
      <c r="D195" s="31">
        <f>CHAIN_RAW!C193</f>
        <v/>
      </c>
      <c r="E195" s="31">
        <f>CHAIN_RAW!E193</f>
        <v/>
      </c>
      <c r="F195" s="31">
        <f>CHAIN_RAW!F193</f>
        <v/>
      </c>
      <c r="G195" s="31">
        <f>CHAIN_RAW!I193</f>
        <v/>
      </c>
      <c r="H195" s="31">
        <f>CHAIN_RAW!Q193</f>
        <v/>
      </c>
      <c r="I195" s="31">
        <f>LET(pc,F195,oc,H195,IF(OR(pc="",oc=""),"",IF(AND(pc&gt;0,oc&gt;0),"Long Buildup",IF(AND(pc&lt;0,oc&gt;0),"Short Buildup",IF(AND(pc&gt;0,oc&lt;0),"Short Covering",IF(AND(pc&lt;0,oc&lt;0),"Long Unwinding","Flat"))))))</f>
        <v/>
      </c>
      <c r="J195" s="31">
        <f>LET(pc,ABS(F195),oc,ABS(H195),IF(OR(pc="",oc=""),"",MAX(1,MIN(5,ROUND((pc*0.5+oc*0.00001)*5,0))))))</f>
        <v/>
      </c>
    </row>
    <row r="196">
      <c r="A196" s="31" t="n">
        <v>194</v>
      </c>
      <c r="B196" s="31">
        <f>CHAIN_RAW!D194</f>
        <v/>
      </c>
      <c r="C196" s="31">
        <f>CHAIN_RAW!A194</f>
        <v/>
      </c>
      <c r="D196" s="31">
        <f>CHAIN_RAW!C194</f>
        <v/>
      </c>
      <c r="E196" s="31">
        <f>CHAIN_RAW!E194</f>
        <v/>
      </c>
      <c r="F196" s="31">
        <f>CHAIN_RAW!F194</f>
        <v/>
      </c>
      <c r="G196" s="31">
        <f>CHAIN_RAW!I194</f>
        <v/>
      </c>
      <c r="H196" s="31">
        <f>CHAIN_RAW!Q194</f>
        <v/>
      </c>
      <c r="I196" s="31">
        <f>LET(pc,F196,oc,H196,IF(OR(pc="",oc=""),"",IF(AND(pc&gt;0,oc&gt;0),"Long Buildup",IF(AND(pc&lt;0,oc&gt;0),"Short Buildup",IF(AND(pc&gt;0,oc&lt;0),"Short Covering",IF(AND(pc&lt;0,oc&lt;0),"Long Unwinding","Flat"))))))</f>
        <v/>
      </c>
      <c r="J196" s="31">
        <f>LET(pc,ABS(F196),oc,ABS(H196),IF(OR(pc="",oc=""),"",MAX(1,MIN(5,ROUND((pc*0.5+oc*0.00001)*5,0))))))</f>
        <v/>
      </c>
    </row>
    <row r="197">
      <c r="A197" s="31" t="n">
        <v>195</v>
      </c>
      <c r="B197" s="31">
        <f>CHAIN_RAW!D195</f>
        <v/>
      </c>
      <c r="C197" s="31">
        <f>CHAIN_RAW!A195</f>
        <v/>
      </c>
      <c r="D197" s="31">
        <f>CHAIN_RAW!C195</f>
        <v/>
      </c>
      <c r="E197" s="31">
        <f>CHAIN_RAW!E195</f>
        <v/>
      </c>
      <c r="F197" s="31">
        <f>CHAIN_RAW!F195</f>
        <v/>
      </c>
      <c r="G197" s="31">
        <f>CHAIN_RAW!I195</f>
        <v/>
      </c>
      <c r="H197" s="31">
        <f>CHAIN_RAW!Q195</f>
        <v/>
      </c>
      <c r="I197" s="31">
        <f>LET(pc,F197,oc,H197,IF(OR(pc="",oc=""),"",IF(AND(pc&gt;0,oc&gt;0),"Long Buildup",IF(AND(pc&lt;0,oc&gt;0),"Short Buildup",IF(AND(pc&gt;0,oc&lt;0),"Short Covering",IF(AND(pc&lt;0,oc&lt;0),"Long Unwinding","Flat"))))))</f>
        <v/>
      </c>
      <c r="J197" s="31">
        <f>LET(pc,ABS(F197),oc,ABS(H197),IF(OR(pc="",oc=""),"",MAX(1,MIN(5,ROUND((pc*0.5+oc*0.00001)*5,0))))))</f>
        <v/>
      </c>
    </row>
    <row r="198">
      <c r="A198" s="31" t="n">
        <v>196</v>
      </c>
      <c r="B198" s="31">
        <f>CHAIN_RAW!D196</f>
        <v/>
      </c>
      <c r="C198" s="31">
        <f>CHAIN_RAW!A196</f>
        <v/>
      </c>
      <c r="D198" s="31">
        <f>CHAIN_RAW!C196</f>
        <v/>
      </c>
      <c r="E198" s="31">
        <f>CHAIN_RAW!E196</f>
        <v/>
      </c>
      <c r="F198" s="31">
        <f>CHAIN_RAW!F196</f>
        <v/>
      </c>
      <c r="G198" s="31">
        <f>CHAIN_RAW!I196</f>
        <v/>
      </c>
      <c r="H198" s="31">
        <f>CHAIN_RAW!Q196</f>
        <v/>
      </c>
      <c r="I198" s="31">
        <f>LET(pc,F198,oc,H198,IF(OR(pc="",oc=""),"",IF(AND(pc&gt;0,oc&gt;0),"Long Buildup",IF(AND(pc&lt;0,oc&gt;0),"Short Buildup",IF(AND(pc&gt;0,oc&lt;0),"Short Covering",IF(AND(pc&lt;0,oc&lt;0),"Long Unwinding","Flat"))))))</f>
        <v/>
      </c>
      <c r="J198" s="31">
        <f>LET(pc,ABS(F198),oc,ABS(H198),IF(OR(pc="",oc=""),"",MAX(1,MIN(5,ROUND((pc*0.5+oc*0.00001)*5,0))))))</f>
        <v/>
      </c>
    </row>
    <row r="199">
      <c r="A199" s="31" t="n">
        <v>197</v>
      </c>
      <c r="B199" s="31">
        <f>CHAIN_RAW!D197</f>
        <v/>
      </c>
      <c r="C199" s="31">
        <f>CHAIN_RAW!A197</f>
        <v/>
      </c>
      <c r="D199" s="31">
        <f>CHAIN_RAW!C197</f>
        <v/>
      </c>
      <c r="E199" s="31">
        <f>CHAIN_RAW!E197</f>
        <v/>
      </c>
      <c r="F199" s="31">
        <f>CHAIN_RAW!F197</f>
        <v/>
      </c>
      <c r="G199" s="31">
        <f>CHAIN_RAW!I197</f>
        <v/>
      </c>
      <c r="H199" s="31">
        <f>CHAIN_RAW!Q197</f>
        <v/>
      </c>
      <c r="I199" s="31">
        <f>LET(pc,F199,oc,H199,IF(OR(pc="",oc=""),"",IF(AND(pc&gt;0,oc&gt;0),"Long Buildup",IF(AND(pc&lt;0,oc&gt;0),"Short Buildup",IF(AND(pc&gt;0,oc&lt;0),"Short Covering",IF(AND(pc&lt;0,oc&lt;0),"Long Unwinding","Flat"))))))</f>
        <v/>
      </c>
      <c r="J199" s="31">
        <f>LET(pc,ABS(F199),oc,ABS(H199),IF(OR(pc="",oc=""),"",MAX(1,MIN(5,ROUND((pc*0.5+oc*0.00001)*5,0))))))</f>
        <v/>
      </c>
    </row>
    <row r="200">
      <c r="A200" s="31" t="n">
        <v>198</v>
      </c>
      <c r="B200" s="31">
        <f>CHAIN_RAW!D198</f>
        <v/>
      </c>
      <c r="C200" s="31">
        <f>CHAIN_RAW!A198</f>
        <v/>
      </c>
      <c r="D200" s="31">
        <f>CHAIN_RAW!C198</f>
        <v/>
      </c>
      <c r="E200" s="31">
        <f>CHAIN_RAW!E198</f>
        <v/>
      </c>
      <c r="F200" s="31">
        <f>CHAIN_RAW!F198</f>
        <v/>
      </c>
      <c r="G200" s="31">
        <f>CHAIN_RAW!I198</f>
        <v/>
      </c>
      <c r="H200" s="31">
        <f>CHAIN_RAW!Q198</f>
        <v/>
      </c>
      <c r="I200" s="31">
        <f>LET(pc,F200,oc,H200,IF(OR(pc="",oc=""),"",IF(AND(pc&gt;0,oc&gt;0),"Long Buildup",IF(AND(pc&lt;0,oc&gt;0),"Short Buildup",IF(AND(pc&gt;0,oc&lt;0),"Short Covering",IF(AND(pc&lt;0,oc&lt;0),"Long Unwinding","Flat"))))))</f>
        <v/>
      </c>
      <c r="J200" s="31">
        <f>LET(pc,ABS(F200),oc,ABS(H200),IF(OR(pc="",oc=""),"",MAX(1,MIN(5,ROUND((pc*0.5+oc*0.00001)*5,0))))))</f>
        <v/>
      </c>
    </row>
    <row r="201">
      <c r="A201" s="31" t="n">
        <v>199</v>
      </c>
      <c r="B201" s="31">
        <f>CHAIN_RAW!D199</f>
        <v/>
      </c>
      <c r="C201" s="31">
        <f>CHAIN_RAW!A199</f>
        <v/>
      </c>
      <c r="D201" s="31">
        <f>CHAIN_RAW!C199</f>
        <v/>
      </c>
      <c r="E201" s="31">
        <f>CHAIN_RAW!E199</f>
        <v/>
      </c>
      <c r="F201" s="31">
        <f>CHAIN_RAW!F199</f>
        <v/>
      </c>
      <c r="G201" s="31">
        <f>CHAIN_RAW!I199</f>
        <v/>
      </c>
      <c r="H201" s="31">
        <f>CHAIN_RAW!Q199</f>
        <v/>
      </c>
      <c r="I201" s="31">
        <f>LET(pc,F201,oc,H201,IF(OR(pc="",oc=""),"",IF(AND(pc&gt;0,oc&gt;0),"Long Buildup",IF(AND(pc&lt;0,oc&gt;0),"Short Buildup",IF(AND(pc&gt;0,oc&lt;0),"Short Covering",IF(AND(pc&lt;0,oc&lt;0),"Long Unwinding","Flat"))))))</f>
        <v/>
      </c>
      <c r="J201" s="31">
        <f>LET(pc,ABS(F201),oc,ABS(H201),IF(OR(pc="",oc=""),"",MAX(1,MIN(5,ROUND((pc*0.5+oc*0.00001)*5,0))))))</f>
        <v/>
      </c>
    </row>
    <row r="202">
      <c r="A202" s="31" t="n">
        <v>200</v>
      </c>
      <c r="B202" s="31">
        <f>CHAIN_RAW!D200</f>
        <v/>
      </c>
      <c r="C202" s="31">
        <f>CHAIN_RAW!A200</f>
        <v/>
      </c>
      <c r="D202" s="31">
        <f>CHAIN_RAW!C200</f>
        <v/>
      </c>
      <c r="E202" s="31">
        <f>CHAIN_RAW!E200</f>
        <v/>
      </c>
      <c r="F202" s="31">
        <f>CHAIN_RAW!F200</f>
        <v/>
      </c>
      <c r="G202" s="31">
        <f>CHAIN_RAW!I200</f>
        <v/>
      </c>
      <c r="H202" s="31">
        <f>CHAIN_RAW!Q200</f>
        <v/>
      </c>
      <c r="I202" s="31">
        <f>LET(pc,F202,oc,H202,IF(OR(pc="",oc=""),"",IF(AND(pc&gt;0,oc&gt;0),"Long Buildup",IF(AND(pc&lt;0,oc&gt;0),"Short Buildup",IF(AND(pc&gt;0,oc&lt;0),"Short Covering",IF(AND(pc&lt;0,oc&lt;0),"Long Unwinding","Flat"))))))</f>
        <v/>
      </c>
      <c r="J202" s="31">
        <f>LET(pc,ABS(F202),oc,ABS(H202),IF(OR(pc="",oc=""),"",MAX(1,MIN(5,ROUND((pc*0.5+oc*0.00001)*5,0))))))</f>
        <v/>
      </c>
    </row>
    <row r="203">
      <c r="A203" s="31" t="n">
        <v>201</v>
      </c>
      <c r="B203" s="31">
        <f>CHAIN_RAW!D201</f>
        <v/>
      </c>
      <c r="C203" s="31">
        <f>CHAIN_RAW!A201</f>
        <v/>
      </c>
      <c r="D203" s="31">
        <f>CHAIN_RAW!C201</f>
        <v/>
      </c>
      <c r="E203" s="31">
        <f>CHAIN_RAW!E201</f>
        <v/>
      </c>
      <c r="F203" s="31">
        <f>CHAIN_RAW!F201</f>
        <v/>
      </c>
      <c r="G203" s="31">
        <f>CHAIN_RAW!I201</f>
        <v/>
      </c>
      <c r="H203" s="31">
        <f>CHAIN_RAW!Q201</f>
        <v/>
      </c>
      <c r="I203" s="31">
        <f>LET(pc,F203,oc,H203,IF(OR(pc="",oc=""),"",IF(AND(pc&gt;0,oc&gt;0),"Long Buildup",IF(AND(pc&lt;0,oc&gt;0),"Short Buildup",IF(AND(pc&gt;0,oc&lt;0),"Short Covering",IF(AND(pc&lt;0,oc&lt;0),"Long Unwinding","Flat"))))))</f>
        <v/>
      </c>
      <c r="J203" s="31">
        <f>LET(pc,ABS(F203),oc,ABS(H203),IF(OR(pc="",oc=""),"",MAX(1,MIN(5,ROUND((pc*0.5+oc*0.00001)*5,0))))))</f>
        <v/>
      </c>
    </row>
    <row r="204">
      <c r="A204" s="31" t="n">
        <v>202</v>
      </c>
      <c r="B204" s="31">
        <f>CHAIN_RAW!D202</f>
        <v/>
      </c>
      <c r="C204" s="31">
        <f>CHAIN_RAW!A202</f>
        <v/>
      </c>
      <c r="D204" s="31">
        <f>CHAIN_RAW!C202</f>
        <v/>
      </c>
      <c r="E204" s="31">
        <f>CHAIN_RAW!E202</f>
        <v/>
      </c>
      <c r="F204" s="31">
        <f>CHAIN_RAW!F202</f>
        <v/>
      </c>
      <c r="G204" s="31">
        <f>CHAIN_RAW!I202</f>
        <v/>
      </c>
      <c r="H204" s="31">
        <f>CHAIN_RAW!Q202</f>
        <v/>
      </c>
      <c r="I204" s="31">
        <f>LET(pc,F204,oc,H204,IF(OR(pc="",oc=""),"",IF(AND(pc&gt;0,oc&gt;0),"Long Buildup",IF(AND(pc&lt;0,oc&gt;0),"Short Buildup",IF(AND(pc&gt;0,oc&lt;0),"Short Covering",IF(AND(pc&lt;0,oc&lt;0),"Long Unwinding","Flat"))))))</f>
        <v/>
      </c>
      <c r="J204" s="31">
        <f>LET(pc,ABS(F204),oc,ABS(H204),IF(OR(pc="",oc=""),"",MAX(1,MIN(5,ROUND((pc*0.5+oc*0.00001)*5,0))))))</f>
        <v/>
      </c>
    </row>
    <row r="205">
      <c r="A205" s="31" t="n">
        <v>203</v>
      </c>
      <c r="B205" s="31">
        <f>CHAIN_RAW!D203</f>
        <v/>
      </c>
      <c r="C205" s="31">
        <f>CHAIN_RAW!A203</f>
        <v/>
      </c>
      <c r="D205" s="31">
        <f>CHAIN_RAW!C203</f>
        <v/>
      </c>
      <c r="E205" s="31">
        <f>CHAIN_RAW!E203</f>
        <v/>
      </c>
      <c r="F205" s="31">
        <f>CHAIN_RAW!F203</f>
        <v/>
      </c>
      <c r="G205" s="31">
        <f>CHAIN_RAW!I203</f>
        <v/>
      </c>
      <c r="H205" s="31">
        <f>CHAIN_RAW!Q203</f>
        <v/>
      </c>
      <c r="I205" s="31">
        <f>LET(pc,F205,oc,H205,IF(OR(pc="",oc=""),"",IF(AND(pc&gt;0,oc&gt;0),"Long Buildup",IF(AND(pc&lt;0,oc&gt;0),"Short Buildup",IF(AND(pc&gt;0,oc&lt;0),"Short Covering",IF(AND(pc&lt;0,oc&lt;0),"Long Unwinding","Flat"))))))</f>
        <v/>
      </c>
      <c r="J205" s="31">
        <f>LET(pc,ABS(F205),oc,ABS(H205),IF(OR(pc="",oc=""),"",MAX(1,MIN(5,ROUND((pc*0.5+oc*0.00001)*5,0))))))</f>
        <v/>
      </c>
    </row>
    <row r="206">
      <c r="A206" s="31" t="n">
        <v>204</v>
      </c>
      <c r="B206" s="31">
        <f>CHAIN_RAW!D204</f>
        <v/>
      </c>
      <c r="C206" s="31">
        <f>CHAIN_RAW!A204</f>
        <v/>
      </c>
      <c r="D206" s="31">
        <f>CHAIN_RAW!C204</f>
        <v/>
      </c>
      <c r="E206" s="31">
        <f>CHAIN_RAW!E204</f>
        <v/>
      </c>
      <c r="F206" s="31">
        <f>CHAIN_RAW!F204</f>
        <v/>
      </c>
      <c r="G206" s="31">
        <f>CHAIN_RAW!I204</f>
        <v/>
      </c>
      <c r="H206" s="31">
        <f>CHAIN_RAW!Q204</f>
        <v/>
      </c>
      <c r="I206" s="31">
        <f>LET(pc,F206,oc,H206,IF(OR(pc="",oc=""),"",IF(AND(pc&gt;0,oc&gt;0),"Long Buildup",IF(AND(pc&lt;0,oc&gt;0),"Short Buildup",IF(AND(pc&gt;0,oc&lt;0),"Short Covering",IF(AND(pc&lt;0,oc&lt;0),"Long Unwinding","Flat"))))))</f>
        <v/>
      </c>
      <c r="J206" s="31">
        <f>LET(pc,ABS(F206),oc,ABS(H206),IF(OR(pc="",oc=""),"",MAX(1,MIN(5,ROUND((pc*0.5+oc*0.00001)*5,0))))))</f>
        <v/>
      </c>
    </row>
    <row r="207">
      <c r="A207" s="31" t="n">
        <v>205</v>
      </c>
      <c r="B207" s="31">
        <f>CHAIN_RAW!D205</f>
        <v/>
      </c>
      <c r="C207" s="31">
        <f>CHAIN_RAW!A205</f>
        <v/>
      </c>
      <c r="D207" s="31">
        <f>CHAIN_RAW!C205</f>
        <v/>
      </c>
      <c r="E207" s="31">
        <f>CHAIN_RAW!E205</f>
        <v/>
      </c>
      <c r="F207" s="31">
        <f>CHAIN_RAW!F205</f>
        <v/>
      </c>
      <c r="G207" s="31">
        <f>CHAIN_RAW!I205</f>
        <v/>
      </c>
      <c r="H207" s="31">
        <f>CHAIN_RAW!Q205</f>
        <v/>
      </c>
      <c r="I207" s="31">
        <f>LET(pc,F207,oc,H207,IF(OR(pc="",oc=""),"",IF(AND(pc&gt;0,oc&gt;0),"Long Buildup",IF(AND(pc&lt;0,oc&gt;0),"Short Buildup",IF(AND(pc&gt;0,oc&lt;0),"Short Covering",IF(AND(pc&lt;0,oc&lt;0),"Long Unwinding","Flat"))))))</f>
        <v/>
      </c>
      <c r="J207" s="31">
        <f>LET(pc,ABS(F207),oc,ABS(H207),IF(OR(pc="",oc=""),"",MAX(1,MIN(5,ROUND((pc*0.5+oc*0.00001)*5,0))))))</f>
        <v/>
      </c>
    </row>
    <row r="208">
      <c r="A208" s="31" t="n">
        <v>206</v>
      </c>
      <c r="B208" s="31">
        <f>CHAIN_RAW!D206</f>
        <v/>
      </c>
      <c r="C208" s="31">
        <f>CHAIN_RAW!A206</f>
        <v/>
      </c>
      <c r="D208" s="31">
        <f>CHAIN_RAW!C206</f>
        <v/>
      </c>
      <c r="E208" s="31">
        <f>CHAIN_RAW!E206</f>
        <v/>
      </c>
      <c r="F208" s="31">
        <f>CHAIN_RAW!F206</f>
        <v/>
      </c>
      <c r="G208" s="31">
        <f>CHAIN_RAW!I206</f>
        <v/>
      </c>
      <c r="H208" s="31">
        <f>CHAIN_RAW!Q206</f>
        <v/>
      </c>
      <c r="I208" s="31">
        <f>LET(pc,F208,oc,H208,IF(OR(pc="",oc=""),"",IF(AND(pc&gt;0,oc&gt;0),"Long Buildup",IF(AND(pc&lt;0,oc&gt;0),"Short Buildup",IF(AND(pc&gt;0,oc&lt;0),"Short Covering",IF(AND(pc&lt;0,oc&lt;0),"Long Unwinding","Flat"))))))</f>
        <v/>
      </c>
      <c r="J208" s="31">
        <f>LET(pc,ABS(F208),oc,ABS(H208),IF(OR(pc="",oc=""),"",MAX(1,MIN(5,ROUND((pc*0.5+oc*0.00001)*5,0))))))</f>
        <v/>
      </c>
    </row>
    <row r="209">
      <c r="A209" s="31" t="n">
        <v>207</v>
      </c>
      <c r="B209" s="31">
        <f>CHAIN_RAW!D207</f>
        <v/>
      </c>
      <c r="C209" s="31">
        <f>CHAIN_RAW!A207</f>
        <v/>
      </c>
      <c r="D209" s="31">
        <f>CHAIN_RAW!C207</f>
        <v/>
      </c>
      <c r="E209" s="31">
        <f>CHAIN_RAW!E207</f>
        <v/>
      </c>
      <c r="F209" s="31">
        <f>CHAIN_RAW!F207</f>
        <v/>
      </c>
      <c r="G209" s="31">
        <f>CHAIN_RAW!I207</f>
        <v/>
      </c>
      <c r="H209" s="31">
        <f>CHAIN_RAW!Q207</f>
        <v/>
      </c>
      <c r="I209" s="31">
        <f>LET(pc,F209,oc,H209,IF(OR(pc="",oc=""),"",IF(AND(pc&gt;0,oc&gt;0),"Long Buildup",IF(AND(pc&lt;0,oc&gt;0),"Short Buildup",IF(AND(pc&gt;0,oc&lt;0),"Short Covering",IF(AND(pc&lt;0,oc&lt;0),"Long Unwinding","Flat"))))))</f>
        <v/>
      </c>
      <c r="J209" s="31">
        <f>LET(pc,ABS(F209),oc,ABS(H209),IF(OR(pc="",oc=""),"",MAX(1,MIN(5,ROUND((pc*0.5+oc*0.00001)*5,0))))))</f>
        <v/>
      </c>
    </row>
    <row r="210">
      <c r="A210" s="31" t="n">
        <v>208</v>
      </c>
      <c r="B210" s="31">
        <f>CHAIN_RAW!D208</f>
        <v/>
      </c>
      <c r="C210" s="31">
        <f>CHAIN_RAW!A208</f>
        <v/>
      </c>
      <c r="D210" s="31">
        <f>CHAIN_RAW!C208</f>
        <v/>
      </c>
      <c r="E210" s="31">
        <f>CHAIN_RAW!E208</f>
        <v/>
      </c>
      <c r="F210" s="31">
        <f>CHAIN_RAW!F208</f>
        <v/>
      </c>
      <c r="G210" s="31">
        <f>CHAIN_RAW!I208</f>
        <v/>
      </c>
      <c r="H210" s="31">
        <f>CHAIN_RAW!Q208</f>
        <v/>
      </c>
      <c r="I210" s="31">
        <f>LET(pc,F210,oc,H210,IF(OR(pc="",oc=""),"",IF(AND(pc&gt;0,oc&gt;0),"Long Buildup",IF(AND(pc&lt;0,oc&gt;0),"Short Buildup",IF(AND(pc&gt;0,oc&lt;0),"Short Covering",IF(AND(pc&lt;0,oc&lt;0),"Long Unwinding","Flat"))))))</f>
        <v/>
      </c>
      <c r="J210" s="31">
        <f>LET(pc,ABS(F210),oc,ABS(H210),IF(OR(pc="",oc=""),"",MAX(1,MIN(5,ROUND((pc*0.5+oc*0.00001)*5,0))))))</f>
        <v/>
      </c>
    </row>
    <row r="211">
      <c r="A211" s="31" t="n">
        <v>209</v>
      </c>
      <c r="B211" s="31">
        <f>CHAIN_RAW!D209</f>
        <v/>
      </c>
      <c r="C211" s="31">
        <f>CHAIN_RAW!A209</f>
        <v/>
      </c>
      <c r="D211" s="31">
        <f>CHAIN_RAW!C209</f>
        <v/>
      </c>
      <c r="E211" s="31">
        <f>CHAIN_RAW!E209</f>
        <v/>
      </c>
      <c r="F211" s="31">
        <f>CHAIN_RAW!F209</f>
        <v/>
      </c>
      <c r="G211" s="31">
        <f>CHAIN_RAW!I209</f>
        <v/>
      </c>
      <c r="H211" s="31">
        <f>CHAIN_RAW!Q209</f>
        <v/>
      </c>
      <c r="I211" s="31">
        <f>LET(pc,F211,oc,H211,IF(OR(pc="",oc=""),"",IF(AND(pc&gt;0,oc&gt;0),"Long Buildup",IF(AND(pc&lt;0,oc&gt;0),"Short Buildup",IF(AND(pc&gt;0,oc&lt;0),"Short Covering",IF(AND(pc&lt;0,oc&lt;0),"Long Unwinding","Flat"))))))</f>
        <v/>
      </c>
      <c r="J211" s="31">
        <f>LET(pc,ABS(F211),oc,ABS(H211),IF(OR(pc="",oc=""),"",MAX(1,MIN(5,ROUND((pc*0.5+oc*0.00001)*5,0))))))</f>
        <v/>
      </c>
    </row>
    <row r="212">
      <c r="A212" s="31" t="n">
        <v>210</v>
      </c>
      <c r="B212" s="31">
        <f>CHAIN_RAW!D210</f>
        <v/>
      </c>
      <c r="C212" s="31">
        <f>CHAIN_RAW!A210</f>
        <v/>
      </c>
      <c r="D212" s="31">
        <f>CHAIN_RAW!C210</f>
        <v/>
      </c>
      <c r="E212" s="31">
        <f>CHAIN_RAW!E210</f>
        <v/>
      </c>
      <c r="F212" s="31">
        <f>CHAIN_RAW!F210</f>
        <v/>
      </c>
      <c r="G212" s="31">
        <f>CHAIN_RAW!I210</f>
        <v/>
      </c>
      <c r="H212" s="31">
        <f>CHAIN_RAW!Q210</f>
        <v/>
      </c>
      <c r="I212" s="31">
        <f>LET(pc,F212,oc,H212,IF(OR(pc="",oc=""),"",IF(AND(pc&gt;0,oc&gt;0),"Long Buildup",IF(AND(pc&lt;0,oc&gt;0),"Short Buildup",IF(AND(pc&gt;0,oc&lt;0),"Short Covering",IF(AND(pc&lt;0,oc&lt;0),"Long Unwinding","Flat"))))))</f>
        <v/>
      </c>
      <c r="J212" s="31">
        <f>LET(pc,ABS(F212),oc,ABS(H212),IF(OR(pc="",oc=""),"",MAX(1,MIN(5,ROUND((pc*0.5+oc*0.00001)*5,0))))))</f>
        <v/>
      </c>
    </row>
    <row r="213">
      <c r="A213" s="31" t="n">
        <v>211</v>
      </c>
      <c r="B213" s="31">
        <f>CHAIN_RAW!D211</f>
        <v/>
      </c>
      <c r="C213" s="31">
        <f>CHAIN_RAW!A211</f>
        <v/>
      </c>
      <c r="D213" s="31">
        <f>CHAIN_RAW!C211</f>
        <v/>
      </c>
      <c r="E213" s="31">
        <f>CHAIN_RAW!E211</f>
        <v/>
      </c>
      <c r="F213" s="31">
        <f>CHAIN_RAW!F211</f>
        <v/>
      </c>
      <c r="G213" s="31">
        <f>CHAIN_RAW!I211</f>
        <v/>
      </c>
      <c r="H213" s="31">
        <f>CHAIN_RAW!Q211</f>
        <v/>
      </c>
      <c r="I213" s="31">
        <f>LET(pc,F213,oc,H213,IF(OR(pc="",oc=""),"",IF(AND(pc&gt;0,oc&gt;0),"Long Buildup",IF(AND(pc&lt;0,oc&gt;0),"Short Buildup",IF(AND(pc&gt;0,oc&lt;0),"Short Covering",IF(AND(pc&lt;0,oc&lt;0),"Long Unwinding","Flat"))))))</f>
        <v/>
      </c>
      <c r="J213" s="31">
        <f>LET(pc,ABS(F213),oc,ABS(H213),IF(OR(pc="",oc=""),"",MAX(1,MIN(5,ROUND((pc*0.5+oc*0.00001)*5,0))))))</f>
        <v/>
      </c>
    </row>
    <row r="214">
      <c r="A214" s="31" t="n">
        <v>212</v>
      </c>
      <c r="B214" s="31">
        <f>CHAIN_RAW!D212</f>
        <v/>
      </c>
      <c r="C214" s="31">
        <f>CHAIN_RAW!A212</f>
        <v/>
      </c>
      <c r="D214" s="31">
        <f>CHAIN_RAW!C212</f>
        <v/>
      </c>
      <c r="E214" s="31">
        <f>CHAIN_RAW!E212</f>
        <v/>
      </c>
      <c r="F214" s="31">
        <f>CHAIN_RAW!F212</f>
        <v/>
      </c>
      <c r="G214" s="31">
        <f>CHAIN_RAW!I212</f>
        <v/>
      </c>
      <c r="H214" s="31">
        <f>CHAIN_RAW!Q212</f>
        <v/>
      </c>
      <c r="I214" s="31">
        <f>LET(pc,F214,oc,H214,IF(OR(pc="",oc=""),"",IF(AND(pc&gt;0,oc&gt;0),"Long Buildup",IF(AND(pc&lt;0,oc&gt;0),"Short Buildup",IF(AND(pc&gt;0,oc&lt;0),"Short Covering",IF(AND(pc&lt;0,oc&lt;0),"Long Unwinding","Flat"))))))</f>
        <v/>
      </c>
      <c r="J214" s="31">
        <f>LET(pc,ABS(F214),oc,ABS(H214),IF(OR(pc="",oc=""),"",MAX(1,MIN(5,ROUND((pc*0.5+oc*0.00001)*5,0))))))</f>
        <v/>
      </c>
    </row>
    <row r="215">
      <c r="A215" s="31" t="n">
        <v>213</v>
      </c>
      <c r="B215" s="31">
        <f>CHAIN_RAW!D213</f>
        <v/>
      </c>
      <c r="C215" s="31">
        <f>CHAIN_RAW!A213</f>
        <v/>
      </c>
      <c r="D215" s="31">
        <f>CHAIN_RAW!C213</f>
        <v/>
      </c>
      <c r="E215" s="31">
        <f>CHAIN_RAW!E213</f>
        <v/>
      </c>
      <c r="F215" s="31">
        <f>CHAIN_RAW!F213</f>
        <v/>
      </c>
      <c r="G215" s="31">
        <f>CHAIN_RAW!I213</f>
        <v/>
      </c>
      <c r="H215" s="31">
        <f>CHAIN_RAW!Q213</f>
        <v/>
      </c>
      <c r="I215" s="31">
        <f>LET(pc,F215,oc,H215,IF(OR(pc="",oc=""),"",IF(AND(pc&gt;0,oc&gt;0),"Long Buildup",IF(AND(pc&lt;0,oc&gt;0),"Short Buildup",IF(AND(pc&gt;0,oc&lt;0),"Short Covering",IF(AND(pc&lt;0,oc&lt;0),"Long Unwinding","Flat"))))))</f>
        <v/>
      </c>
      <c r="J215" s="31">
        <f>LET(pc,ABS(F215),oc,ABS(H215),IF(OR(pc="",oc=""),"",MAX(1,MIN(5,ROUND((pc*0.5+oc*0.00001)*5,0))))))</f>
        <v/>
      </c>
    </row>
    <row r="216">
      <c r="A216" s="31" t="n">
        <v>214</v>
      </c>
      <c r="B216" s="31">
        <f>CHAIN_RAW!D214</f>
        <v/>
      </c>
      <c r="C216" s="31">
        <f>CHAIN_RAW!A214</f>
        <v/>
      </c>
      <c r="D216" s="31">
        <f>CHAIN_RAW!C214</f>
        <v/>
      </c>
      <c r="E216" s="31">
        <f>CHAIN_RAW!E214</f>
        <v/>
      </c>
      <c r="F216" s="31">
        <f>CHAIN_RAW!F214</f>
        <v/>
      </c>
      <c r="G216" s="31">
        <f>CHAIN_RAW!I214</f>
        <v/>
      </c>
      <c r="H216" s="31">
        <f>CHAIN_RAW!Q214</f>
        <v/>
      </c>
      <c r="I216" s="31">
        <f>LET(pc,F216,oc,H216,IF(OR(pc="",oc=""),"",IF(AND(pc&gt;0,oc&gt;0),"Long Buildup",IF(AND(pc&lt;0,oc&gt;0),"Short Buildup",IF(AND(pc&gt;0,oc&lt;0),"Short Covering",IF(AND(pc&lt;0,oc&lt;0),"Long Unwinding","Flat"))))))</f>
        <v/>
      </c>
      <c r="J216" s="31">
        <f>LET(pc,ABS(F216),oc,ABS(H216),IF(OR(pc="",oc=""),"",MAX(1,MIN(5,ROUND((pc*0.5+oc*0.00001)*5,0))))))</f>
        <v/>
      </c>
    </row>
    <row r="217">
      <c r="A217" s="31" t="n">
        <v>215</v>
      </c>
      <c r="B217" s="31">
        <f>CHAIN_RAW!D215</f>
        <v/>
      </c>
      <c r="C217" s="31">
        <f>CHAIN_RAW!A215</f>
        <v/>
      </c>
      <c r="D217" s="31">
        <f>CHAIN_RAW!C215</f>
        <v/>
      </c>
      <c r="E217" s="31">
        <f>CHAIN_RAW!E215</f>
        <v/>
      </c>
      <c r="F217" s="31">
        <f>CHAIN_RAW!F215</f>
        <v/>
      </c>
      <c r="G217" s="31">
        <f>CHAIN_RAW!I215</f>
        <v/>
      </c>
      <c r="H217" s="31">
        <f>CHAIN_RAW!Q215</f>
        <v/>
      </c>
      <c r="I217" s="31">
        <f>LET(pc,F217,oc,H217,IF(OR(pc="",oc=""),"",IF(AND(pc&gt;0,oc&gt;0),"Long Buildup",IF(AND(pc&lt;0,oc&gt;0),"Short Buildup",IF(AND(pc&gt;0,oc&lt;0),"Short Covering",IF(AND(pc&lt;0,oc&lt;0),"Long Unwinding","Flat"))))))</f>
        <v/>
      </c>
      <c r="J217" s="31">
        <f>LET(pc,ABS(F217),oc,ABS(H217),IF(OR(pc="",oc=""),"",MAX(1,MIN(5,ROUND((pc*0.5+oc*0.00001)*5,0))))))</f>
        <v/>
      </c>
    </row>
    <row r="218">
      <c r="A218" s="31" t="n">
        <v>216</v>
      </c>
      <c r="B218" s="31">
        <f>CHAIN_RAW!D216</f>
        <v/>
      </c>
      <c r="C218" s="31">
        <f>CHAIN_RAW!A216</f>
        <v/>
      </c>
      <c r="D218" s="31">
        <f>CHAIN_RAW!C216</f>
        <v/>
      </c>
      <c r="E218" s="31">
        <f>CHAIN_RAW!E216</f>
        <v/>
      </c>
      <c r="F218" s="31">
        <f>CHAIN_RAW!F216</f>
        <v/>
      </c>
      <c r="G218" s="31">
        <f>CHAIN_RAW!I216</f>
        <v/>
      </c>
      <c r="H218" s="31">
        <f>CHAIN_RAW!Q216</f>
        <v/>
      </c>
      <c r="I218" s="31">
        <f>LET(pc,F218,oc,H218,IF(OR(pc="",oc=""),"",IF(AND(pc&gt;0,oc&gt;0),"Long Buildup",IF(AND(pc&lt;0,oc&gt;0),"Short Buildup",IF(AND(pc&gt;0,oc&lt;0),"Short Covering",IF(AND(pc&lt;0,oc&lt;0),"Long Unwinding","Flat"))))))</f>
        <v/>
      </c>
      <c r="J218" s="31">
        <f>LET(pc,ABS(F218),oc,ABS(H218),IF(OR(pc="",oc=""),"",MAX(1,MIN(5,ROUND((pc*0.5+oc*0.00001)*5,0))))))</f>
        <v/>
      </c>
    </row>
    <row r="219">
      <c r="A219" s="31" t="n">
        <v>217</v>
      </c>
      <c r="B219" s="31">
        <f>CHAIN_RAW!D217</f>
        <v/>
      </c>
      <c r="C219" s="31">
        <f>CHAIN_RAW!A217</f>
        <v/>
      </c>
      <c r="D219" s="31">
        <f>CHAIN_RAW!C217</f>
        <v/>
      </c>
      <c r="E219" s="31">
        <f>CHAIN_RAW!E217</f>
        <v/>
      </c>
      <c r="F219" s="31">
        <f>CHAIN_RAW!F217</f>
        <v/>
      </c>
      <c r="G219" s="31">
        <f>CHAIN_RAW!I217</f>
        <v/>
      </c>
      <c r="H219" s="31">
        <f>CHAIN_RAW!Q217</f>
        <v/>
      </c>
      <c r="I219" s="31">
        <f>LET(pc,F219,oc,H219,IF(OR(pc="",oc=""),"",IF(AND(pc&gt;0,oc&gt;0),"Long Buildup",IF(AND(pc&lt;0,oc&gt;0),"Short Buildup",IF(AND(pc&gt;0,oc&lt;0),"Short Covering",IF(AND(pc&lt;0,oc&lt;0),"Long Unwinding","Flat"))))))</f>
        <v/>
      </c>
      <c r="J219" s="31">
        <f>LET(pc,ABS(F219),oc,ABS(H219),IF(OR(pc="",oc=""),"",MAX(1,MIN(5,ROUND((pc*0.5+oc*0.00001)*5,0))))))</f>
        <v/>
      </c>
    </row>
    <row r="220">
      <c r="A220" s="31" t="n">
        <v>218</v>
      </c>
      <c r="B220" s="31">
        <f>CHAIN_RAW!D218</f>
        <v/>
      </c>
      <c r="C220" s="31">
        <f>CHAIN_RAW!A218</f>
        <v/>
      </c>
      <c r="D220" s="31">
        <f>CHAIN_RAW!C218</f>
        <v/>
      </c>
      <c r="E220" s="31">
        <f>CHAIN_RAW!E218</f>
        <v/>
      </c>
      <c r="F220" s="31">
        <f>CHAIN_RAW!F218</f>
        <v/>
      </c>
      <c r="G220" s="31">
        <f>CHAIN_RAW!I218</f>
        <v/>
      </c>
      <c r="H220" s="31">
        <f>CHAIN_RAW!Q218</f>
        <v/>
      </c>
      <c r="I220" s="31">
        <f>LET(pc,F220,oc,H220,IF(OR(pc="",oc=""),"",IF(AND(pc&gt;0,oc&gt;0),"Long Buildup",IF(AND(pc&lt;0,oc&gt;0),"Short Buildup",IF(AND(pc&gt;0,oc&lt;0),"Short Covering",IF(AND(pc&lt;0,oc&lt;0),"Long Unwinding","Flat"))))))</f>
        <v/>
      </c>
      <c r="J220" s="31">
        <f>LET(pc,ABS(F220),oc,ABS(H220),IF(OR(pc="",oc=""),"",MAX(1,MIN(5,ROUND((pc*0.5+oc*0.00001)*5,0))))))</f>
        <v/>
      </c>
    </row>
    <row r="221">
      <c r="A221" s="31" t="n">
        <v>219</v>
      </c>
      <c r="B221" s="31">
        <f>CHAIN_RAW!D219</f>
        <v/>
      </c>
      <c r="C221" s="31">
        <f>CHAIN_RAW!A219</f>
        <v/>
      </c>
      <c r="D221" s="31">
        <f>CHAIN_RAW!C219</f>
        <v/>
      </c>
      <c r="E221" s="31">
        <f>CHAIN_RAW!E219</f>
        <v/>
      </c>
      <c r="F221" s="31">
        <f>CHAIN_RAW!F219</f>
        <v/>
      </c>
      <c r="G221" s="31">
        <f>CHAIN_RAW!I219</f>
        <v/>
      </c>
      <c r="H221" s="31">
        <f>CHAIN_RAW!Q219</f>
        <v/>
      </c>
      <c r="I221" s="31">
        <f>LET(pc,F221,oc,H221,IF(OR(pc="",oc=""),"",IF(AND(pc&gt;0,oc&gt;0),"Long Buildup",IF(AND(pc&lt;0,oc&gt;0),"Short Buildup",IF(AND(pc&gt;0,oc&lt;0),"Short Covering",IF(AND(pc&lt;0,oc&lt;0),"Long Unwinding","Flat"))))))</f>
        <v/>
      </c>
      <c r="J221" s="31">
        <f>LET(pc,ABS(F221),oc,ABS(H221),IF(OR(pc="",oc=""),"",MAX(1,MIN(5,ROUND((pc*0.5+oc*0.00001)*5,0))))))</f>
        <v/>
      </c>
    </row>
    <row r="222">
      <c r="A222" s="31" t="n">
        <v>220</v>
      </c>
      <c r="B222" s="31">
        <f>CHAIN_RAW!D220</f>
        <v/>
      </c>
      <c r="C222" s="31">
        <f>CHAIN_RAW!A220</f>
        <v/>
      </c>
      <c r="D222" s="31">
        <f>CHAIN_RAW!C220</f>
        <v/>
      </c>
      <c r="E222" s="31">
        <f>CHAIN_RAW!E220</f>
        <v/>
      </c>
      <c r="F222" s="31">
        <f>CHAIN_RAW!F220</f>
        <v/>
      </c>
      <c r="G222" s="31">
        <f>CHAIN_RAW!I220</f>
        <v/>
      </c>
      <c r="H222" s="31">
        <f>CHAIN_RAW!Q220</f>
        <v/>
      </c>
      <c r="I222" s="31">
        <f>LET(pc,F222,oc,H222,IF(OR(pc="",oc=""),"",IF(AND(pc&gt;0,oc&gt;0),"Long Buildup",IF(AND(pc&lt;0,oc&gt;0),"Short Buildup",IF(AND(pc&gt;0,oc&lt;0),"Short Covering",IF(AND(pc&lt;0,oc&lt;0),"Long Unwinding","Flat"))))))</f>
        <v/>
      </c>
      <c r="J222" s="31">
        <f>LET(pc,ABS(F222),oc,ABS(H222),IF(OR(pc="",oc=""),"",MAX(1,MIN(5,ROUND((pc*0.5+oc*0.00001)*5,0))))))</f>
        <v/>
      </c>
    </row>
    <row r="223">
      <c r="A223" s="31" t="n">
        <v>221</v>
      </c>
      <c r="B223" s="31">
        <f>CHAIN_RAW!D221</f>
        <v/>
      </c>
      <c r="C223" s="31">
        <f>CHAIN_RAW!A221</f>
        <v/>
      </c>
      <c r="D223" s="31">
        <f>CHAIN_RAW!C221</f>
        <v/>
      </c>
      <c r="E223" s="31">
        <f>CHAIN_RAW!E221</f>
        <v/>
      </c>
      <c r="F223" s="31">
        <f>CHAIN_RAW!F221</f>
        <v/>
      </c>
      <c r="G223" s="31">
        <f>CHAIN_RAW!I221</f>
        <v/>
      </c>
      <c r="H223" s="31">
        <f>CHAIN_RAW!Q221</f>
        <v/>
      </c>
      <c r="I223" s="31">
        <f>LET(pc,F223,oc,H223,IF(OR(pc="",oc=""),"",IF(AND(pc&gt;0,oc&gt;0),"Long Buildup",IF(AND(pc&lt;0,oc&gt;0),"Short Buildup",IF(AND(pc&gt;0,oc&lt;0),"Short Covering",IF(AND(pc&lt;0,oc&lt;0),"Long Unwinding","Flat"))))))</f>
        <v/>
      </c>
      <c r="J223" s="31">
        <f>LET(pc,ABS(F223),oc,ABS(H223),IF(OR(pc="",oc=""),"",MAX(1,MIN(5,ROUND((pc*0.5+oc*0.00001)*5,0))))))</f>
        <v/>
      </c>
    </row>
    <row r="224">
      <c r="A224" s="31" t="n">
        <v>222</v>
      </c>
      <c r="B224" s="31">
        <f>CHAIN_RAW!D222</f>
        <v/>
      </c>
      <c r="C224" s="31">
        <f>CHAIN_RAW!A222</f>
        <v/>
      </c>
      <c r="D224" s="31">
        <f>CHAIN_RAW!C222</f>
        <v/>
      </c>
      <c r="E224" s="31">
        <f>CHAIN_RAW!E222</f>
        <v/>
      </c>
      <c r="F224" s="31">
        <f>CHAIN_RAW!F222</f>
        <v/>
      </c>
      <c r="G224" s="31">
        <f>CHAIN_RAW!I222</f>
        <v/>
      </c>
      <c r="H224" s="31">
        <f>CHAIN_RAW!Q222</f>
        <v/>
      </c>
      <c r="I224" s="31">
        <f>LET(pc,F224,oc,H224,IF(OR(pc="",oc=""),"",IF(AND(pc&gt;0,oc&gt;0),"Long Buildup",IF(AND(pc&lt;0,oc&gt;0),"Short Buildup",IF(AND(pc&gt;0,oc&lt;0),"Short Covering",IF(AND(pc&lt;0,oc&lt;0),"Long Unwinding","Flat"))))))</f>
        <v/>
      </c>
      <c r="J224" s="31">
        <f>LET(pc,ABS(F224),oc,ABS(H224),IF(OR(pc="",oc=""),"",MAX(1,MIN(5,ROUND((pc*0.5+oc*0.00001)*5,0))))))</f>
        <v/>
      </c>
    </row>
    <row r="225">
      <c r="A225" s="31" t="n">
        <v>223</v>
      </c>
      <c r="B225" s="31">
        <f>CHAIN_RAW!D223</f>
        <v/>
      </c>
      <c r="C225" s="31">
        <f>CHAIN_RAW!A223</f>
        <v/>
      </c>
      <c r="D225" s="31">
        <f>CHAIN_RAW!C223</f>
        <v/>
      </c>
      <c r="E225" s="31">
        <f>CHAIN_RAW!E223</f>
        <v/>
      </c>
      <c r="F225" s="31">
        <f>CHAIN_RAW!F223</f>
        <v/>
      </c>
      <c r="G225" s="31">
        <f>CHAIN_RAW!I223</f>
        <v/>
      </c>
      <c r="H225" s="31">
        <f>CHAIN_RAW!Q223</f>
        <v/>
      </c>
      <c r="I225" s="31">
        <f>LET(pc,F225,oc,H225,IF(OR(pc="",oc=""),"",IF(AND(pc&gt;0,oc&gt;0),"Long Buildup",IF(AND(pc&lt;0,oc&gt;0),"Short Buildup",IF(AND(pc&gt;0,oc&lt;0),"Short Covering",IF(AND(pc&lt;0,oc&lt;0),"Long Unwinding","Flat"))))))</f>
        <v/>
      </c>
      <c r="J225" s="31">
        <f>LET(pc,ABS(F225),oc,ABS(H225),IF(OR(pc="",oc=""),"",MAX(1,MIN(5,ROUND((pc*0.5+oc*0.00001)*5,0))))))</f>
        <v/>
      </c>
    </row>
    <row r="226">
      <c r="A226" s="31" t="n">
        <v>224</v>
      </c>
      <c r="B226" s="31">
        <f>CHAIN_RAW!D224</f>
        <v/>
      </c>
      <c r="C226" s="31">
        <f>CHAIN_RAW!A224</f>
        <v/>
      </c>
      <c r="D226" s="31">
        <f>CHAIN_RAW!C224</f>
        <v/>
      </c>
      <c r="E226" s="31">
        <f>CHAIN_RAW!E224</f>
        <v/>
      </c>
      <c r="F226" s="31">
        <f>CHAIN_RAW!F224</f>
        <v/>
      </c>
      <c r="G226" s="31">
        <f>CHAIN_RAW!I224</f>
        <v/>
      </c>
      <c r="H226" s="31">
        <f>CHAIN_RAW!Q224</f>
        <v/>
      </c>
      <c r="I226" s="31">
        <f>LET(pc,F226,oc,H226,IF(OR(pc="",oc=""),"",IF(AND(pc&gt;0,oc&gt;0),"Long Buildup",IF(AND(pc&lt;0,oc&gt;0),"Short Buildup",IF(AND(pc&gt;0,oc&lt;0),"Short Covering",IF(AND(pc&lt;0,oc&lt;0),"Long Unwinding","Flat"))))))</f>
        <v/>
      </c>
      <c r="J226" s="31">
        <f>LET(pc,ABS(F226),oc,ABS(H226),IF(OR(pc="",oc=""),"",MAX(1,MIN(5,ROUND((pc*0.5+oc*0.00001)*5,0))))))</f>
        <v/>
      </c>
    </row>
    <row r="227">
      <c r="A227" s="31" t="n">
        <v>225</v>
      </c>
      <c r="B227" s="31">
        <f>CHAIN_RAW!D225</f>
        <v/>
      </c>
      <c r="C227" s="31">
        <f>CHAIN_RAW!A225</f>
        <v/>
      </c>
      <c r="D227" s="31">
        <f>CHAIN_RAW!C225</f>
        <v/>
      </c>
      <c r="E227" s="31">
        <f>CHAIN_RAW!E225</f>
        <v/>
      </c>
      <c r="F227" s="31">
        <f>CHAIN_RAW!F225</f>
        <v/>
      </c>
      <c r="G227" s="31">
        <f>CHAIN_RAW!I225</f>
        <v/>
      </c>
      <c r="H227" s="31">
        <f>CHAIN_RAW!Q225</f>
        <v/>
      </c>
      <c r="I227" s="31">
        <f>LET(pc,F227,oc,H227,IF(OR(pc="",oc=""),"",IF(AND(pc&gt;0,oc&gt;0),"Long Buildup",IF(AND(pc&lt;0,oc&gt;0),"Short Buildup",IF(AND(pc&gt;0,oc&lt;0),"Short Covering",IF(AND(pc&lt;0,oc&lt;0),"Long Unwinding","Flat"))))))</f>
        <v/>
      </c>
      <c r="J227" s="31">
        <f>LET(pc,ABS(F227),oc,ABS(H227),IF(OR(pc="",oc=""),"",MAX(1,MIN(5,ROUND((pc*0.5+oc*0.00001)*5,0))))))</f>
        <v/>
      </c>
    </row>
    <row r="228">
      <c r="A228" s="31" t="n">
        <v>226</v>
      </c>
      <c r="B228" s="31">
        <f>CHAIN_RAW!D226</f>
        <v/>
      </c>
      <c r="C228" s="31">
        <f>CHAIN_RAW!A226</f>
        <v/>
      </c>
      <c r="D228" s="31">
        <f>CHAIN_RAW!C226</f>
        <v/>
      </c>
      <c r="E228" s="31">
        <f>CHAIN_RAW!E226</f>
        <v/>
      </c>
      <c r="F228" s="31">
        <f>CHAIN_RAW!F226</f>
        <v/>
      </c>
      <c r="G228" s="31">
        <f>CHAIN_RAW!I226</f>
        <v/>
      </c>
      <c r="H228" s="31">
        <f>CHAIN_RAW!Q226</f>
        <v/>
      </c>
      <c r="I228" s="31">
        <f>LET(pc,F228,oc,H228,IF(OR(pc="",oc=""),"",IF(AND(pc&gt;0,oc&gt;0),"Long Buildup",IF(AND(pc&lt;0,oc&gt;0),"Short Buildup",IF(AND(pc&gt;0,oc&lt;0),"Short Covering",IF(AND(pc&lt;0,oc&lt;0),"Long Unwinding","Flat"))))))</f>
        <v/>
      </c>
      <c r="J228" s="31">
        <f>LET(pc,ABS(F228),oc,ABS(H228),IF(OR(pc="",oc=""),"",MAX(1,MIN(5,ROUND((pc*0.5+oc*0.00001)*5,0))))))</f>
        <v/>
      </c>
    </row>
    <row r="229">
      <c r="A229" s="31" t="n">
        <v>227</v>
      </c>
      <c r="B229" s="31">
        <f>CHAIN_RAW!D227</f>
        <v/>
      </c>
      <c r="C229" s="31">
        <f>CHAIN_RAW!A227</f>
        <v/>
      </c>
      <c r="D229" s="31">
        <f>CHAIN_RAW!C227</f>
        <v/>
      </c>
      <c r="E229" s="31">
        <f>CHAIN_RAW!E227</f>
        <v/>
      </c>
      <c r="F229" s="31">
        <f>CHAIN_RAW!F227</f>
        <v/>
      </c>
      <c r="G229" s="31">
        <f>CHAIN_RAW!I227</f>
        <v/>
      </c>
      <c r="H229" s="31">
        <f>CHAIN_RAW!Q227</f>
        <v/>
      </c>
      <c r="I229" s="31">
        <f>LET(pc,F229,oc,H229,IF(OR(pc="",oc=""),"",IF(AND(pc&gt;0,oc&gt;0),"Long Buildup",IF(AND(pc&lt;0,oc&gt;0),"Short Buildup",IF(AND(pc&gt;0,oc&lt;0),"Short Covering",IF(AND(pc&lt;0,oc&lt;0),"Long Unwinding","Flat"))))))</f>
        <v/>
      </c>
      <c r="J229" s="31">
        <f>LET(pc,ABS(F229),oc,ABS(H229),IF(OR(pc="",oc=""),"",MAX(1,MIN(5,ROUND((pc*0.5+oc*0.00001)*5,0))))))</f>
        <v/>
      </c>
    </row>
    <row r="230">
      <c r="A230" s="31" t="n">
        <v>228</v>
      </c>
      <c r="B230" s="31">
        <f>CHAIN_RAW!D228</f>
        <v/>
      </c>
      <c r="C230" s="31">
        <f>CHAIN_RAW!A228</f>
        <v/>
      </c>
      <c r="D230" s="31">
        <f>CHAIN_RAW!C228</f>
        <v/>
      </c>
      <c r="E230" s="31">
        <f>CHAIN_RAW!E228</f>
        <v/>
      </c>
      <c r="F230" s="31">
        <f>CHAIN_RAW!F228</f>
        <v/>
      </c>
      <c r="G230" s="31">
        <f>CHAIN_RAW!I228</f>
        <v/>
      </c>
      <c r="H230" s="31">
        <f>CHAIN_RAW!Q228</f>
        <v/>
      </c>
      <c r="I230" s="31">
        <f>LET(pc,F230,oc,H230,IF(OR(pc="",oc=""),"",IF(AND(pc&gt;0,oc&gt;0),"Long Buildup",IF(AND(pc&lt;0,oc&gt;0),"Short Buildup",IF(AND(pc&gt;0,oc&lt;0),"Short Covering",IF(AND(pc&lt;0,oc&lt;0),"Long Unwinding","Flat"))))))</f>
        <v/>
      </c>
      <c r="J230" s="31">
        <f>LET(pc,ABS(F230),oc,ABS(H230),IF(OR(pc="",oc=""),"",MAX(1,MIN(5,ROUND((pc*0.5+oc*0.00001)*5,0))))))</f>
        <v/>
      </c>
    </row>
    <row r="231">
      <c r="A231" s="31" t="n">
        <v>229</v>
      </c>
      <c r="B231" s="31">
        <f>CHAIN_RAW!D229</f>
        <v/>
      </c>
      <c r="C231" s="31">
        <f>CHAIN_RAW!A229</f>
        <v/>
      </c>
      <c r="D231" s="31">
        <f>CHAIN_RAW!C229</f>
        <v/>
      </c>
      <c r="E231" s="31">
        <f>CHAIN_RAW!E229</f>
        <v/>
      </c>
      <c r="F231" s="31">
        <f>CHAIN_RAW!F229</f>
        <v/>
      </c>
      <c r="G231" s="31">
        <f>CHAIN_RAW!I229</f>
        <v/>
      </c>
      <c r="H231" s="31">
        <f>CHAIN_RAW!Q229</f>
        <v/>
      </c>
      <c r="I231" s="31">
        <f>LET(pc,F231,oc,H231,IF(OR(pc="",oc=""),"",IF(AND(pc&gt;0,oc&gt;0),"Long Buildup",IF(AND(pc&lt;0,oc&gt;0),"Short Buildup",IF(AND(pc&gt;0,oc&lt;0),"Short Covering",IF(AND(pc&lt;0,oc&lt;0),"Long Unwinding","Flat"))))))</f>
        <v/>
      </c>
      <c r="J231" s="31">
        <f>LET(pc,ABS(F231),oc,ABS(H231),IF(OR(pc="",oc=""),"",MAX(1,MIN(5,ROUND((pc*0.5+oc*0.00001)*5,0))))))</f>
        <v/>
      </c>
    </row>
    <row r="232">
      <c r="A232" s="31" t="n">
        <v>230</v>
      </c>
      <c r="B232" s="31">
        <f>CHAIN_RAW!D230</f>
        <v/>
      </c>
      <c r="C232" s="31">
        <f>CHAIN_RAW!A230</f>
        <v/>
      </c>
      <c r="D232" s="31">
        <f>CHAIN_RAW!C230</f>
        <v/>
      </c>
      <c r="E232" s="31">
        <f>CHAIN_RAW!E230</f>
        <v/>
      </c>
      <c r="F232" s="31">
        <f>CHAIN_RAW!F230</f>
        <v/>
      </c>
      <c r="G232" s="31">
        <f>CHAIN_RAW!I230</f>
        <v/>
      </c>
      <c r="H232" s="31">
        <f>CHAIN_RAW!Q230</f>
        <v/>
      </c>
      <c r="I232" s="31">
        <f>LET(pc,F232,oc,H232,IF(OR(pc="",oc=""),"",IF(AND(pc&gt;0,oc&gt;0),"Long Buildup",IF(AND(pc&lt;0,oc&gt;0),"Short Buildup",IF(AND(pc&gt;0,oc&lt;0),"Short Covering",IF(AND(pc&lt;0,oc&lt;0),"Long Unwinding","Flat"))))))</f>
        <v/>
      </c>
      <c r="J232" s="31">
        <f>LET(pc,ABS(F232),oc,ABS(H232),IF(OR(pc="",oc=""),"",MAX(1,MIN(5,ROUND((pc*0.5+oc*0.00001)*5,0))))))</f>
        <v/>
      </c>
    </row>
    <row r="233">
      <c r="A233" s="31" t="n">
        <v>231</v>
      </c>
      <c r="B233" s="31">
        <f>CHAIN_RAW!D231</f>
        <v/>
      </c>
      <c r="C233" s="31">
        <f>CHAIN_RAW!A231</f>
        <v/>
      </c>
      <c r="D233" s="31">
        <f>CHAIN_RAW!C231</f>
        <v/>
      </c>
      <c r="E233" s="31">
        <f>CHAIN_RAW!E231</f>
        <v/>
      </c>
      <c r="F233" s="31">
        <f>CHAIN_RAW!F231</f>
        <v/>
      </c>
      <c r="G233" s="31">
        <f>CHAIN_RAW!I231</f>
        <v/>
      </c>
      <c r="H233" s="31">
        <f>CHAIN_RAW!Q231</f>
        <v/>
      </c>
      <c r="I233" s="31">
        <f>LET(pc,F233,oc,H233,IF(OR(pc="",oc=""),"",IF(AND(pc&gt;0,oc&gt;0),"Long Buildup",IF(AND(pc&lt;0,oc&gt;0),"Short Buildup",IF(AND(pc&gt;0,oc&lt;0),"Short Covering",IF(AND(pc&lt;0,oc&lt;0),"Long Unwinding","Flat"))))))</f>
        <v/>
      </c>
      <c r="J233" s="31">
        <f>LET(pc,ABS(F233),oc,ABS(H233),IF(OR(pc="",oc=""),"",MAX(1,MIN(5,ROUND((pc*0.5+oc*0.00001)*5,0))))))</f>
        <v/>
      </c>
    </row>
    <row r="234">
      <c r="A234" s="31" t="n">
        <v>232</v>
      </c>
      <c r="B234" s="31">
        <f>CHAIN_RAW!D232</f>
        <v/>
      </c>
      <c r="C234" s="31">
        <f>CHAIN_RAW!A232</f>
        <v/>
      </c>
      <c r="D234" s="31">
        <f>CHAIN_RAW!C232</f>
        <v/>
      </c>
      <c r="E234" s="31">
        <f>CHAIN_RAW!E232</f>
        <v/>
      </c>
      <c r="F234" s="31">
        <f>CHAIN_RAW!F232</f>
        <v/>
      </c>
      <c r="G234" s="31">
        <f>CHAIN_RAW!I232</f>
        <v/>
      </c>
      <c r="H234" s="31">
        <f>CHAIN_RAW!Q232</f>
        <v/>
      </c>
      <c r="I234" s="31">
        <f>LET(pc,F234,oc,H234,IF(OR(pc="",oc=""),"",IF(AND(pc&gt;0,oc&gt;0),"Long Buildup",IF(AND(pc&lt;0,oc&gt;0),"Short Buildup",IF(AND(pc&gt;0,oc&lt;0),"Short Covering",IF(AND(pc&lt;0,oc&lt;0),"Long Unwinding","Flat"))))))</f>
        <v/>
      </c>
      <c r="J234" s="31">
        <f>LET(pc,ABS(F234),oc,ABS(H234),IF(OR(pc="",oc=""),"",MAX(1,MIN(5,ROUND((pc*0.5+oc*0.00001)*5,0))))))</f>
        <v/>
      </c>
    </row>
    <row r="235">
      <c r="A235" s="31" t="n">
        <v>233</v>
      </c>
      <c r="B235" s="31">
        <f>CHAIN_RAW!D233</f>
        <v/>
      </c>
      <c r="C235" s="31">
        <f>CHAIN_RAW!A233</f>
        <v/>
      </c>
      <c r="D235" s="31">
        <f>CHAIN_RAW!C233</f>
        <v/>
      </c>
      <c r="E235" s="31">
        <f>CHAIN_RAW!E233</f>
        <v/>
      </c>
      <c r="F235" s="31">
        <f>CHAIN_RAW!F233</f>
        <v/>
      </c>
      <c r="G235" s="31">
        <f>CHAIN_RAW!I233</f>
        <v/>
      </c>
      <c r="H235" s="31">
        <f>CHAIN_RAW!Q233</f>
        <v/>
      </c>
      <c r="I235" s="31">
        <f>LET(pc,F235,oc,H235,IF(OR(pc="",oc=""),"",IF(AND(pc&gt;0,oc&gt;0),"Long Buildup",IF(AND(pc&lt;0,oc&gt;0),"Short Buildup",IF(AND(pc&gt;0,oc&lt;0),"Short Covering",IF(AND(pc&lt;0,oc&lt;0),"Long Unwinding","Flat"))))))</f>
        <v/>
      </c>
      <c r="J235" s="31">
        <f>LET(pc,ABS(F235),oc,ABS(H235),IF(OR(pc="",oc=""),"",MAX(1,MIN(5,ROUND((pc*0.5+oc*0.00001)*5,0))))))</f>
        <v/>
      </c>
    </row>
    <row r="236">
      <c r="A236" s="31" t="n">
        <v>234</v>
      </c>
      <c r="B236" s="31">
        <f>CHAIN_RAW!D234</f>
        <v/>
      </c>
      <c r="C236" s="31">
        <f>CHAIN_RAW!A234</f>
        <v/>
      </c>
      <c r="D236" s="31">
        <f>CHAIN_RAW!C234</f>
        <v/>
      </c>
      <c r="E236" s="31">
        <f>CHAIN_RAW!E234</f>
        <v/>
      </c>
      <c r="F236" s="31">
        <f>CHAIN_RAW!F234</f>
        <v/>
      </c>
      <c r="G236" s="31">
        <f>CHAIN_RAW!I234</f>
        <v/>
      </c>
      <c r="H236" s="31">
        <f>CHAIN_RAW!Q234</f>
        <v/>
      </c>
      <c r="I236" s="31">
        <f>LET(pc,F236,oc,H236,IF(OR(pc="",oc=""),"",IF(AND(pc&gt;0,oc&gt;0),"Long Buildup",IF(AND(pc&lt;0,oc&gt;0),"Short Buildup",IF(AND(pc&gt;0,oc&lt;0),"Short Covering",IF(AND(pc&lt;0,oc&lt;0),"Long Unwinding","Flat"))))))</f>
        <v/>
      </c>
      <c r="J236" s="31">
        <f>LET(pc,ABS(F236),oc,ABS(H236),IF(OR(pc="",oc=""),"",MAX(1,MIN(5,ROUND((pc*0.5+oc*0.00001)*5,0))))))</f>
        <v/>
      </c>
    </row>
    <row r="237">
      <c r="A237" s="31" t="n">
        <v>235</v>
      </c>
      <c r="B237" s="31">
        <f>CHAIN_RAW!D235</f>
        <v/>
      </c>
      <c r="C237" s="31">
        <f>CHAIN_RAW!A235</f>
        <v/>
      </c>
      <c r="D237" s="31">
        <f>CHAIN_RAW!C235</f>
        <v/>
      </c>
      <c r="E237" s="31">
        <f>CHAIN_RAW!E235</f>
        <v/>
      </c>
      <c r="F237" s="31">
        <f>CHAIN_RAW!F235</f>
        <v/>
      </c>
      <c r="G237" s="31">
        <f>CHAIN_RAW!I235</f>
        <v/>
      </c>
      <c r="H237" s="31">
        <f>CHAIN_RAW!Q235</f>
        <v/>
      </c>
      <c r="I237" s="31">
        <f>LET(pc,F237,oc,H237,IF(OR(pc="",oc=""),"",IF(AND(pc&gt;0,oc&gt;0),"Long Buildup",IF(AND(pc&lt;0,oc&gt;0),"Short Buildup",IF(AND(pc&gt;0,oc&lt;0),"Short Covering",IF(AND(pc&lt;0,oc&lt;0),"Long Unwinding","Flat"))))))</f>
        <v/>
      </c>
      <c r="J237" s="31">
        <f>LET(pc,ABS(F237),oc,ABS(H237),IF(OR(pc="",oc=""),"",MAX(1,MIN(5,ROUND((pc*0.5+oc*0.00001)*5,0))))))</f>
        <v/>
      </c>
    </row>
    <row r="238">
      <c r="A238" s="31" t="n">
        <v>236</v>
      </c>
      <c r="B238" s="31">
        <f>CHAIN_RAW!D236</f>
        <v/>
      </c>
      <c r="C238" s="31">
        <f>CHAIN_RAW!A236</f>
        <v/>
      </c>
      <c r="D238" s="31">
        <f>CHAIN_RAW!C236</f>
        <v/>
      </c>
      <c r="E238" s="31">
        <f>CHAIN_RAW!E236</f>
        <v/>
      </c>
      <c r="F238" s="31">
        <f>CHAIN_RAW!F236</f>
        <v/>
      </c>
      <c r="G238" s="31">
        <f>CHAIN_RAW!I236</f>
        <v/>
      </c>
      <c r="H238" s="31">
        <f>CHAIN_RAW!Q236</f>
        <v/>
      </c>
      <c r="I238" s="31">
        <f>LET(pc,F238,oc,H238,IF(OR(pc="",oc=""),"",IF(AND(pc&gt;0,oc&gt;0),"Long Buildup",IF(AND(pc&lt;0,oc&gt;0),"Short Buildup",IF(AND(pc&gt;0,oc&lt;0),"Short Covering",IF(AND(pc&lt;0,oc&lt;0),"Long Unwinding","Flat"))))))</f>
        <v/>
      </c>
      <c r="J238" s="31">
        <f>LET(pc,ABS(F238),oc,ABS(H238),IF(OR(pc="",oc=""),"",MAX(1,MIN(5,ROUND((pc*0.5+oc*0.00001)*5,0))))))</f>
        <v/>
      </c>
    </row>
    <row r="239">
      <c r="A239" s="31" t="n">
        <v>237</v>
      </c>
      <c r="B239" s="31">
        <f>CHAIN_RAW!D237</f>
        <v/>
      </c>
      <c r="C239" s="31">
        <f>CHAIN_RAW!A237</f>
        <v/>
      </c>
      <c r="D239" s="31">
        <f>CHAIN_RAW!C237</f>
        <v/>
      </c>
      <c r="E239" s="31">
        <f>CHAIN_RAW!E237</f>
        <v/>
      </c>
      <c r="F239" s="31">
        <f>CHAIN_RAW!F237</f>
        <v/>
      </c>
      <c r="G239" s="31">
        <f>CHAIN_RAW!I237</f>
        <v/>
      </c>
      <c r="H239" s="31">
        <f>CHAIN_RAW!Q237</f>
        <v/>
      </c>
      <c r="I239" s="31">
        <f>LET(pc,F239,oc,H239,IF(OR(pc="",oc=""),"",IF(AND(pc&gt;0,oc&gt;0),"Long Buildup",IF(AND(pc&lt;0,oc&gt;0),"Short Buildup",IF(AND(pc&gt;0,oc&lt;0),"Short Covering",IF(AND(pc&lt;0,oc&lt;0),"Long Unwinding","Flat"))))))</f>
        <v/>
      </c>
      <c r="J239" s="31">
        <f>LET(pc,ABS(F239),oc,ABS(H239),IF(OR(pc="",oc=""),"",MAX(1,MIN(5,ROUND((pc*0.5+oc*0.00001)*5,0))))))</f>
        <v/>
      </c>
    </row>
    <row r="240">
      <c r="A240" s="31" t="n">
        <v>238</v>
      </c>
      <c r="B240" s="31">
        <f>CHAIN_RAW!D238</f>
        <v/>
      </c>
      <c r="C240" s="31">
        <f>CHAIN_RAW!A238</f>
        <v/>
      </c>
      <c r="D240" s="31">
        <f>CHAIN_RAW!C238</f>
        <v/>
      </c>
      <c r="E240" s="31">
        <f>CHAIN_RAW!E238</f>
        <v/>
      </c>
      <c r="F240" s="31">
        <f>CHAIN_RAW!F238</f>
        <v/>
      </c>
      <c r="G240" s="31">
        <f>CHAIN_RAW!I238</f>
        <v/>
      </c>
      <c r="H240" s="31">
        <f>CHAIN_RAW!Q238</f>
        <v/>
      </c>
      <c r="I240" s="31">
        <f>LET(pc,F240,oc,H240,IF(OR(pc="",oc=""),"",IF(AND(pc&gt;0,oc&gt;0),"Long Buildup",IF(AND(pc&lt;0,oc&gt;0),"Short Buildup",IF(AND(pc&gt;0,oc&lt;0),"Short Covering",IF(AND(pc&lt;0,oc&lt;0),"Long Unwinding","Flat"))))))</f>
        <v/>
      </c>
      <c r="J240" s="31">
        <f>LET(pc,ABS(F240),oc,ABS(H240),IF(OR(pc="",oc=""),"",MAX(1,MIN(5,ROUND((pc*0.5+oc*0.00001)*5,0))))))</f>
        <v/>
      </c>
    </row>
    <row r="241">
      <c r="A241" s="31" t="n">
        <v>239</v>
      </c>
      <c r="B241" s="31">
        <f>CHAIN_RAW!D239</f>
        <v/>
      </c>
      <c r="C241" s="31">
        <f>CHAIN_RAW!A239</f>
        <v/>
      </c>
      <c r="D241" s="31">
        <f>CHAIN_RAW!C239</f>
        <v/>
      </c>
      <c r="E241" s="31">
        <f>CHAIN_RAW!E239</f>
        <v/>
      </c>
      <c r="F241" s="31">
        <f>CHAIN_RAW!F239</f>
        <v/>
      </c>
      <c r="G241" s="31">
        <f>CHAIN_RAW!I239</f>
        <v/>
      </c>
      <c r="H241" s="31">
        <f>CHAIN_RAW!Q239</f>
        <v/>
      </c>
      <c r="I241" s="31">
        <f>LET(pc,F241,oc,H241,IF(OR(pc="",oc=""),"",IF(AND(pc&gt;0,oc&gt;0),"Long Buildup",IF(AND(pc&lt;0,oc&gt;0),"Short Buildup",IF(AND(pc&gt;0,oc&lt;0),"Short Covering",IF(AND(pc&lt;0,oc&lt;0),"Long Unwinding","Flat"))))))</f>
        <v/>
      </c>
      <c r="J241" s="31">
        <f>LET(pc,ABS(F241),oc,ABS(H241),IF(OR(pc="",oc=""),"",MAX(1,MIN(5,ROUND((pc*0.5+oc*0.00001)*5,0))))))</f>
        <v/>
      </c>
    </row>
    <row r="242">
      <c r="A242" s="31" t="n">
        <v>240</v>
      </c>
      <c r="B242" s="31">
        <f>CHAIN_RAW!D240</f>
        <v/>
      </c>
      <c r="C242" s="31">
        <f>CHAIN_RAW!A240</f>
        <v/>
      </c>
      <c r="D242" s="31">
        <f>CHAIN_RAW!C240</f>
        <v/>
      </c>
      <c r="E242" s="31">
        <f>CHAIN_RAW!E240</f>
        <v/>
      </c>
      <c r="F242" s="31">
        <f>CHAIN_RAW!F240</f>
        <v/>
      </c>
      <c r="G242" s="31">
        <f>CHAIN_RAW!I240</f>
        <v/>
      </c>
      <c r="H242" s="31">
        <f>CHAIN_RAW!Q240</f>
        <v/>
      </c>
      <c r="I242" s="31">
        <f>LET(pc,F242,oc,H242,IF(OR(pc="",oc=""),"",IF(AND(pc&gt;0,oc&gt;0),"Long Buildup",IF(AND(pc&lt;0,oc&gt;0),"Short Buildup",IF(AND(pc&gt;0,oc&lt;0),"Short Covering",IF(AND(pc&lt;0,oc&lt;0),"Long Unwinding","Flat"))))))</f>
        <v/>
      </c>
      <c r="J242" s="31">
        <f>LET(pc,ABS(F242),oc,ABS(H242),IF(OR(pc="",oc=""),"",MAX(1,MIN(5,ROUND((pc*0.5+oc*0.00001)*5,0))))))</f>
        <v/>
      </c>
    </row>
    <row r="243">
      <c r="A243" s="31" t="n">
        <v>241</v>
      </c>
      <c r="B243" s="31">
        <f>CHAIN_RAW!D241</f>
        <v/>
      </c>
      <c r="C243" s="31">
        <f>CHAIN_RAW!A241</f>
        <v/>
      </c>
      <c r="D243" s="31">
        <f>CHAIN_RAW!C241</f>
        <v/>
      </c>
      <c r="E243" s="31">
        <f>CHAIN_RAW!E241</f>
        <v/>
      </c>
      <c r="F243" s="31">
        <f>CHAIN_RAW!F241</f>
        <v/>
      </c>
      <c r="G243" s="31">
        <f>CHAIN_RAW!I241</f>
        <v/>
      </c>
      <c r="H243" s="31">
        <f>CHAIN_RAW!Q241</f>
        <v/>
      </c>
      <c r="I243" s="31">
        <f>LET(pc,F243,oc,H243,IF(OR(pc="",oc=""),"",IF(AND(pc&gt;0,oc&gt;0),"Long Buildup",IF(AND(pc&lt;0,oc&gt;0),"Short Buildup",IF(AND(pc&gt;0,oc&lt;0),"Short Covering",IF(AND(pc&lt;0,oc&lt;0),"Long Unwinding","Flat"))))))</f>
        <v/>
      </c>
      <c r="J243" s="31">
        <f>LET(pc,ABS(F243),oc,ABS(H243),IF(OR(pc="",oc=""),"",MAX(1,MIN(5,ROUND((pc*0.5+oc*0.00001)*5,0))))))</f>
        <v/>
      </c>
    </row>
    <row r="244">
      <c r="A244" s="31" t="n">
        <v>242</v>
      </c>
      <c r="B244" s="31">
        <f>CHAIN_RAW!D242</f>
        <v/>
      </c>
      <c r="C244" s="31">
        <f>CHAIN_RAW!A242</f>
        <v/>
      </c>
      <c r="D244" s="31">
        <f>CHAIN_RAW!C242</f>
        <v/>
      </c>
      <c r="E244" s="31">
        <f>CHAIN_RAW!E242</f>
        <v/>
      </c>
      <c r="F244" s="31">
        <f>CHAIN_RAW!F242</f>
        <v/>
      </c>
      <c r="G244" s="31">
        <f>CHAIN_RAW!I242</f>
        <v/>
      </c>
      <c r="H244" s="31">
        <f>CHAIN_RAW!Q242</f>
        <v/>
      </c>
      <c r="I244" s="31">
        <f>LET(pc,F244,oc,H244,IF(OR(pc="",oc=""),"",IF(AND(pc&gt;0,oc&gt;0),"Long Buildup",IF(AND(pc&lt;0,oc&gt;0),"Short Buildup",IF(AND(pc&gt;0,oc&lt;0),"Short Covering",IF(AND(pc&lt;0,oc&lt;0),"Long Unwinding","Flat"))))))</f>
        <v/>
      </c>
      <c r="J244" s="31">
        <f>LET(pc,ABS(F244),oc,ABS(H244),IF(OR(pc="",oc=""),"",MAX(1,MIN(5,ROUND((pc*0.5+oc*0.00001)*5,0))))))</f>
        <v/>
      </c>
    </row>
    <row r="245">
      <c r="A245" s="31" t="n">
        <v>243</v>
      </c>
      <c r="B245" s="31">
        <f>CHAIN_RAW!D243</f>
        <v/>
      </c>
      <c r="C245" s="31">
        <f>CHAIN_RAW!A243</f>
        <v/>
      </c>
      <c r="D245" s="31">
        <f>CHAIN_RAW!C243</f>
        <v/>
      </c>
      <c r="E245" s="31">
        <f>CHAIN_RAW!E243</f>
        <v/>
      </c>
      <c r="F245" s="31">
        <f>CHAIN_RAW!F243</f>
        <v/>
      </c>
      <c r="G245" s="31">
        <f>CHAIN_RAW!I243</f>
        <v/>
      </c>
      <c r="H245" s="31">
        <f>CHAIN_RAW!Q243</f>
        <v/>
      </c>
      <c r="I245" s="31">
        <f>LET(pc,F245,oc,H245,IF(OR(pc="",oc=""),"",IF(AND(pc&gt;0,oc&gt;0),"Long Buildup",IF(AND(pc&lt;0,oc&gt;0),"Short Buildup",IF(AND(pc&gt;0,oc&lt;0),"Short Covering",IF(AND(pc&lt;0,oc&lt;0),"Long Unwinding","Flat"))))))</f>
        <v/>
      </c>
      <c r="J245" s="31">
        <f>LET(pc,ABS(F245),oc,ABS(H245),IF(OR(pc="",oc=""),"",MAX(1,MIN(5,ROUND((pc*0.5+oc*0.00001)*5,0))))))</f>
        <v/>
      </c>
    </row>
    <row r="246">
      <c r="A246" s="31" t="n">
        <v>244</v>
      </c>
      <c r="B246" s="31">
        <f>CHAIN_RAW!D244</f>
        <v/>
      </c>
      <c r="C246" s="31">
        <f>CHAIN_RAW!A244</f>
        <v/>
      </c>
      <c r="D246" s="31">
        <f>CHAIN_RAW!C244</f>
        <v/>
      </c>
      <c r="E246" s="31">
        <f>CHAIN_RAW!E244</f>
        <v/>
      </c>
      <c r="F246" s="31">
        <f>CHAIN_RAW!F244</f>
        <v/>
      </c>
      <c r="G246" s="31">
        <f>CHAIN_RAW!I244</f>
        <v/>
      </c>
      <c r="H246" s="31">
        <f>CHAIN_RAW!Q244</f>
        <v/>
      </c>
      <c r="I246" s="31">
        <f>LET(pc,F246,oc,H246,IF(OR(pc="",oc=""),"",IF(AND(pc&gt;0,oc&gt;0),"Long Buildup",IF(AND(pc&lt;0,oc&gt;0),"Short Buildup",IF(AND(pc&gt;0,oc&lt;0),"Short Covering",IF(AND(pc&lt;0,oc&lt;0),"Long Unwinding","Flat"))))))</f>
        <v/>
      </c>
      <c r="J246" s="31">
        <f>LET(pc,ABS(F246),oc,ABS(H246),IF(OR(pc="",oc=""),"",MAX(1,MIN(5,ROUND((pc*0.5+oc*0.00001)*5,0))))))</f>
        <v/>
      </c>
    </row>
    <row r="247">
      <c r="A247" s="31" t="n">
        <v>245</v>
      </c>
      <c r="B247" s="31">
        <f>CHAIN_RAW!D245</f>
        <v/>
      </c>
      <c r="C247" s="31">
        <f>CHAIN_RAW!A245</f>
        <v/>
      </c>
      <c r="D247" s="31">
        <f>CHAIN_RAW!C245</f>
        <v/>
      </c>
      <c r="E247" s="31">
        <f>CHAIN_RAW!E245</f>
        <v/>
      </c>
      <c r="F247" s="31">
        <f>CHAIN_RAW!F245</f>
        <v/>
      </c>
      <c r="G247" s="31">
        <f>CHAIN_RAW!I245</f>
        <v/>
      </c>
      <c r="H247" s="31">
        <f>CHAIN_RAW!Q245</f>
        <v/>
      </c>
      <c r="I247" s="31">
        <f>LET(pc,F247,oc,H247,IF(OR(pc="",oc=""),"",IF(AND(pc&gt;0,oc&gt;0),"Long Buildup",IF(AND(pc&lt;0,oc&gt;0),"Short Buildup",IF(AND(pc&gt;0,oc&lt;0),"Short Covering",IF(AND(pc&lt;0,oc&lt;0),"Long Unwinding","Flat"))))))</f>
        <v/>
      </c>
      <c r="J247" s="31">
        <f>LET(pc,ABS(F247),oc,ABS(H247),IF(OR(pc="",oc=""),"",MAX(1,MIN(5,ROUND((pc*0.5+oc*0.00001)*5,0))))))</f>
        <v/>
      </c>
    </row>
    <row r="248">
      <c r="A248" s="31" t="n">
        <v>246</v>
      </c>
      <c r="B248" s="31">
        <f>CHAIN_RAW!D246</f>
        <v/>
      </c>
      <c r="C248" s="31">
        <f>CHAIN_RAW!A246</f>
        <v/>
      </c>
      <c r="D248" s="31">
        <f>CHAIN_RAW!C246</f>
        <v/>
      </c>
      <c r="E248" s="31">
        <f>CHAIN_RAW!E246</f>
        <v/>
      </c>
      <c r="F248" s="31">
        <f>CHAIN_RAW!F246</f>
        <v/>
      </c>
      <c r="G248" s="31">
        <f>CHAIN_RAW!I246</f>
        <v/>
      </c>
      <c r="H248" s="31">
        <f>CHAIN_RAW!Q246</f>
        <v/>
      </c>
      <c r="I248" s="31">
        <f>LET(pc,F248,oc,H248,IF(OR(pc="",oc=""),"",IF(AND(pc&gt;0,oc&gt;0),"Long Buildup",IF(AND(pc&lt;0,oc&gt;0),"Short Buildup",IF(AND(pc&gt;0,oc&lt;0),"Short Covering",IF(AND(pc&lt;0,oc&lt;0),"Long Unwinding","Flat"))))))</f>
        <v/>
      </c>
      <c r="J248" s="31">
        <f>LET(pc,ABS(F248),oc,ABS(H248),IF(OR(pc="",oc=""),"",MAX(1,MIN(5,ROUND((pc*0.5+oc*0.00001)*5,0))))))</f>
        <v/>
      </c>
    </row>
    <row r="249">
      <c r="A249" s="31" t="n">
        <v>247</v>
      </c>
      <c r="B249" s="31">
        <f>CHAIN_RAW!D247</f>
        <v/>
      </c>
      <c r="C249" s="31">
        <f>CHAIN_RAW!A247</f>
        <v/>
      </c>
      <c r="D249" s="31">
        <f>CHAIN_RAW!C247</f>
        <v/>
      </c>
      <c r="E249" s="31">
        <f>CHAIN_RAW!E247</f>
        <v/>
      </c>
      <c r="F249" s="31">
        <f>CHAIN_RAW!F247</f>
        <v/>
      </c>
      <c r="G249" s="31">
        <f>CHAIN_RAW!I247</f>
        <v/>
      </c>
      <c r="H249" s="31">
        <f>CHAIN_RAW!Q247</f>
        <v/>
      </c>
      <c r="I249" s="31">
        <f>LET(pc,F249,oc,H249,IF(OR(pc="",oc=""),"",IF(AND(pc&gt;0,oc&gt;0),"Long Buildup",IF(AND(pc&lt;0,oc&gt;0),"Short Buildup",IF(AND(pc&gt;0,oc&lt;0),"Short Covering",IF(AND(pc&lt;0,oc&lt;0),"Long Unwinding","Flat"))))))</f>
        <v/>
      </c>
      <c r="J249" s="31">
        <f>LET(pc,ABS(F249),oc,ABS(H249),IF(OR(pc="",oc=""),"",MAX(1,MIN(5,ROUND((pc*0.5+oc*0.00001)*5,0))))))</f>
        <v/>
      </c>
    </row>
    <row r="250">
      <c r="A250" s="31" t="n">
        <v>248</v>
      </c>
      <c r="B250" s="31">
        <f>CHAIN_RAW!D248</f>
        <v/>
      </c>
      <c r="C250" s="31">
        <f>CHAIN_RAW!A248</f>
        <v/>
      </c>
      <c r="D250" s="31">
        <f>CHAIN_RAW!C248</f>
        <v/>
      </c>
      <c r="E250" s="31">
        <f>CHAIN_RAW!E248</f>
        <v/>
      </c>
      <c r="F250" s="31">
        <f>CHAIN_RAW!F248</f>
        <v/>
      </c>
      <c r="G250" s="31">
        <f>CHAIN_RAW!I248</f>
        <v/>
      </c>
      <c r="H250" s="31">
        <f>CHAIN_RAW!Q248</f>
        <v/>
      </c>
      <c r="I250" s="31">
        <f>LET(pc,F250,oc,H250,IF(OR(pc="",oc=""),"",IF(AND(pc&gt;0,oc&gt;0),"Long Buildup",IF(AND(pc&lt;0,oc&gt;0),"Short Buildup",IF(AND(pc&gt;0,oc&lt;0),"Short Covering",IF(AND(pc&lt;0,oc&lt;0),"Long Unwinding","Flat"))))))</f>
        <v/>
      </c>
      <c r="J250" s="31">
        <f>LET(pc,ABS(F250),oc,ABS(H250),IF(OR(pc="",oc=""),"",MAX(1,MIN(5,ROUND((pc*0.5+oc*0.00001)*5,0))))))</f>
        <v/>
      </c>
    </row>
    <row r="251">
      <c r="A251" s="31" t="n">
        <v>249</v>
      </c>
      <c r="B251" s="31">
        <f>CHAIN_RAW!D249</f>
        <v/>
      </c>
      <c r="C251" s="31">
        <f>CHAIN_RAW!A249</f>
        <v/>
      </c>
      <c r="D251" s="31">
        <f>CHAIN_RAW!C249</f>
        <v/>
      </c>
      <c r="E251" s="31">
        <f>CHAIN_RAW!E249</f>
        <v/>
      </c>
      <c r="F251" s="31">
        <f>CHAIN_RAW!F249</f>
        <v/>
      </c>
      <c r="G251" s="31">
        <f>CHAIN_RAW!I249</f>
        <v/>
      </c>
      <c r="H251" s="31">
        <f>CHAIN_RAW!Q249</f>
        <v/>
      </c>
      <c r="I251" s="31">
        <f>LET(pc,F251,oc,H251,IF(OR(pc="",oc=""),"",IF(AND(pc&gt;0,oc&gt;0),"Long Buildup",IF(AND(pc&lt;0,oc&gt;0),"Short Buildup",IF(AND(pc&gt;0,oc&lt;0),"Short Covering",IF(AND(pc&lt;0,oc&lt;0),"Long Unwinding","Flat"))))))</f>
        <v/>
      </c>
      <c r="J251" s="31">
        <f>LET(pc,ABS(F251),oc,ABS(H251),IF(OR(pc="",oc=""),"",MAX(1,MIN(5,ROUND((pc*0.5+oc*0.00001)*5,0))))))</f>
        <v/>
      </c>
    </row>
    <row r="252">
      <c r="A252" s="31" t="n">
        <v>250</v>
      </c>
      <c r="B252" s="31">
        <f>CHAIN_RAW!D250</f>
        <v/>
      </c>
      <c r="C252" s="31">
        <f>CHAIN_RAW!A250</f>
        <v/>
      </c>
      <c r="D252" s="31">
        <f>CHAIN_RAW!C250</f>
        <v/>
      </c>
      <c r="E252" s="31">
        <f>CHAIN_RAW!E250</f>
        <v/>
      </c>
      <c r="F252" s="31">
        <f>CHAIN_RAW!F250</f>
        <v/>
      </c>
      <c r="G252" s="31">
        <f>CHAIN_RAW!I250</f>
        <v/>
      </c>
      <c r="H252" s="31">
        <f>CHAIN_RAW!Q250</f>
        <v/>
      </c>
      <c r="I252" s="31">
        <f>LET(pc,F252,oc,H252,IF(OR(pc="",oc=""),"",IF(AND(pc&gt;0,oc&gt;0),"Long Buildup",IF(AND(pc&lt;0,oc&gt;0),"Short Buildup",IF(AND(pc&gt;0,oc&lt;0),"Short Covering",IF(AND(pc&lt;0,oc&lt;0),"Long Unwinding","Flat"))))))</f>
        <v/>
      </c>
      <c r="J252" s="31">
        <f>LET(pc,ABS(F252),oc,ABS(H252),IF(OR(pc="",oc=""),"",MAX(1,MIN(5,ROUND((pc*0.5+oc*0.00001)*5,0))))))</f>
        <v/>
      </c>
    </row>
    <row r="253">
      <c r="A253" s="31" t="n">
        <v>251</v>
      </c>
      <c r="B253" s="31">
        <f>CHAIN_RAW!D251</f>
        <v/>
      </c>
      <c r="C253" s="31">
        <f>CHAIN_RAW!A251</f>
        <v/>
      </c>
      <c r="D253" s="31">
        <f>CHAIN_RAW!C251</f>
        <v/>
      </c>
      <c r="E253" s="31">
        <f>CHAIN_RAW!E251</f>
        <v/>
      </c>
      <c r="F253" s="31">
        <f>CHAIN_RAW!F251</f>
        <v/>
      </c>
      <c r="G253" s="31">
        <f>CHAIN_RAW!I251</f>
        <v/>
      </c>
      <c r="H253" s="31">
        <f>CHAIN_RAW!Q251</f>
        <v/>
      </c>
      <c r="I253" s="31">
        <f>LET(pc,F253,oc,H253,IF(OR(pc="",oc=""),"",IF(AND(pc&gt;0,oc&gt;0),"Long Buildup",IF(AND(pc&lt;0,oc&gt;0),"Short Buildup",IF(AND(pc&gt;0,oc&lt;0),"Short Covering",IF(AND(pc&lt;0,oc&lt;0),"Long Unwinding","Flat"))))))</f>
        <v/>
      </c>
      <c r="J253" s="31">
        <f>LET(pc,ABS(F253),oc,ABS(H253),IF(OR(pc="",oc=""),"",MAX(1,MIN(5,ROUND((pc*0.5+oc*0.00001)*5,0))))))</f>
        <v/>
      </c>
    </row>
    <row r="254">
      <c r="A254" s="31" t="n">
        <v>252</v>
      </c>
      <c r="B254" s="31">
        <f>CHAIN_RAW!D252</f>
        <v/>
      </c>
      <c r="C254" s="31">
        <f>CHAIN_RAW!A252</f>
        <v/>
      </c>
      <c r="D254" s="31">
        <f>CHAIN_RAW!C252</f>
        <v/>
      </c>
      <c r="E254" s="31">
        <f>CHAIN_RAW!E252</f>
        <v/>
      </c>
      <c r="F254" s="31">
        <f>CHAIN_RAW!F252</f>
        <v/>
      </c>
      <c r="G254" s="31">
        <f>CHAIN_RAW!I252</f>
        <v/>
      </c>
      <c r="H254" s="31">
        <f>CHAIN_RAW!Q252</f>
        <v/>
      </c>
      <c r="I254" s="31">
        <f>LET(pc,F254,oc,H254,IF(OR(pc="",oc=""),"",IF(AND(pc&gt;0,oc&gt;0),"Long Buildup",IF(AND(pc&lt;0,oc&gt;0),"Short Buildup",IF(AND(pc&gt;0,oc&lt;0),"Short Covering",IF(AND(pc&lt;0,oc&lt;0),"Long Unwinding","Flat"))))))</f>
        <v/>
      </c>
      <c r="J254" s="31">
        <f>LET(pc,ABS(F254),oc,ABS(H254),IF(OR(pc="",oc=""),"",MAX(1,MIN(5,ROUND((pc*0.5+oc*0.00001)*5,0))))))</f>
        <v/>
      </c>
    </row>
    <row r="255">
      <c r="A255" s="31" t="n">
        <v>253</v>
      </c>
      <c r="B255" s="31">
        <f>CHAIN_RAW!D253</f>
        <v/>
      </c>
      <c r="C255" s="31">
        <f>CHAIN_RAW!A253</f>
        <v/>
      </c>
      <c r="D255" s="31">
        <f>CHAIN_RAW!C253</f>
        <v/>
      </c>
      <c r="E255" s="31">
        <f>CHAIN_RAW!E253</f>
        <v/>
      </c>
      <c r="F255" s="31">
        <f>CHAIN_RAW!F253</f>
        <v/>
      </c>
      <c r="G255" s="31">
        <f>CHAIN_RAW!I253</f>
        <v/>
      </c>
      <c r="H255" s="31">
        <f>CHAIN_RAW!Q253</f>
        <v/>
      </c>
      <c r="I255" s="31">
        <f>LET(pc,F255,oc,H255,IF(OR(pc="",oc=""),"",IF(AND(pc&gt;0,oc&gt;0),"Long Buildup",IF(AND(pc&lt;0,oc&gt;0),"Short Buildup",IF(AND(pc&gt;0,oc&lt;0),"Short Covering",IF(AND(pc&lt;0,oc&lt;0),"Long Unwinding","Flat"))))))</f>
        <v/>
      </c>
      <c r="J255" s="31">
        <f>LET(pc,ABS(F255),oc,ABS(H255),IF(OR(pc="",oc=""),"",MAX(1,MIN(5,ROUND((pc*0.5+oc*0.00001)*5,0))))))</f>
        <v/>
      </c>
    </row>
    <row r="256">
      <c r="A256" s="31" t="n">
        <v>254</v>
      </c>
      <c r="B256" s="31">
        <f>CHAIN_RAW!D254</f>
        <v/>
      </c>
      <c r="C256" s="31">
        <f>CHAIN_RAW!A254</f>
        <v/>
      </c>
      <c r="D256" s="31">
        <f>CHAIN_RAW!C254</f>
        <v/>
      </c>
      <c r="E256" s="31">
        <f>CHAIN_RAW!E254</f>
        <v/>
      </c>
      <c r="F256" s="31">
        <f>CHAIN_RAW!F254</f>
        <v/>
      </c>
      <c r="G256" s="31">
        <f>CHAIN_RAW!I254</f>
        <v/>
      </c>
      <c r="H256" s="31">
        <f>CHAIN_RAW!Q254</f>
        <v/>
      </c>
      <c r="I256" s="31">
        <f>LET(pc,F256,oc,H256,IF(OR(pc="",oc=""),"",IF(AND(pc&gt;0,oc&gt;0),"Long Buildup",IF(AND(pc&lt;0,oc&gt;0),"Short Buildup",IF(AND(pc&gt;0,oc&lt;0),"Short Covering",IF(AND(pc&lt;0,oc&lt;0),"Long Unwinding","Flat"))))))</f>
        <v/>
      </c>
      <c r="J256" s="31">
        <f>LET(pc,ABS(F256),oc,ABS(H256),IF(OR(pc="",oc=""),"",MAX(1,MIN(5,ROUND((pc*0.5+oc*0.00001)*5,0))))))</f>
        <v/>
      </c>
    </row>
    <row r="257">
      <c r="A257" s="31" t="n">
        <v>255</v>
      </c>
      <c r="B257" s="31">
        <f>CHAIN_RAW!D255</f>
        <v/>
      </c>
      <c r="C257" s="31">
        <f>CHAIN_RAW!A255</f>
        <v/>
      </c>
      <c r="D257" s="31">
        <f>CHAIN_RAW!C255</f>
        <v/>
      </c>
      <c r="E257" s="31">
        <f>CHAIN_RAW!E255</f>
        <v/>
      </c>
      <c r="F257" s="31">
        <f>CHAIN_RAW!F255</f>
        <v/>
      </c>
      <c r="G257" s="31">
        <f>CHAIN_RAW!I255</f>
        <v/>
      </c>
      <c r="H257" s="31">
        <f>CHAIN_RAW!Q255</f>
        <v/>
      </c>
      <c r="I257" s="31">
        <f>LET(pc,F257,oc,H257,IF(OR(pc="",oc=""),"",IF(AND(pc&gt;0,oc&gt;0),"Long Buildup",IF(AND(pc&lt;0,oc&gt;0),"Short Buildup",IF(AND(pc&gt;0,oc&lt;0),"Short Covering",IF(AND(pc&lt;0,oc&lt;0),"Long Unwinding","Flat"))))))</f>
        <v/>
      </c>
      <c r="J257" s="31">
        <f>LET(pc,ABS(F257),oc,ABS(H257),IF(OR(pc="",oc=""),"",MAX(1,MIN(5,ROUND((pc*0.5+oc*0.00001)*5,0))))))</f>
        <v/>
      </c>
    </row>
    <row r="258">
      <c r="A258" s="31" t="n">
        <v>256</v>
      </c>
      <c r="B258" s="31">
        <f>CHAIN_RAW!D256</f>
        <v/>
      </c>
      <c r="C258" s="31">
        <f>CHAIN_RAW!A256</f>
        <v/>
      </c>
      <c r="D258" s="31">
        <f>CHAIN_RAW!C256</f>
        <v/>
      </c>
      <c r="E258" s="31">
        <f>CHAIN_RAW!E256</f>
        <v/>
      </c>
      <c r="F258" s="31">
        <f>CHAIN_RAW!F256</f>
        <v/>
      </c>
      <c r="G258" s="31">
        <f>CHAIN_RAW!I256</f>
        <v/>
      </c>
      <c r="H258" s="31">
        <f>CHAIN_RAW!Q256</f>
        <v/>
      </c>
      <c r="I258" s="31">
        <f>LET(pc,F258,oc,H258,IF(OR(pc="",oc=""),"",IF(AND(pc&gt;0,oc&gt;0),"Long Buildup",IF(AND(pc&lt;0,oc&gt;0),"Short Buildup",IF(AND(pc&gt;0,oc&lt;0),"Short Covering",IF(AND(pc&lt;0,oc&lt;0),"Long Unwinding","Flat"))))))</f>
        <v/>
      </c>
      <c r="J258" s="31">
        <f>LET(pc,ABS(F258),oc,ABS(H258),IF(OR(pc="",oc=""),"",MAX(1,MIN(5,ROUND((pc*0.5+oc*0.00001)*5,0))))))</f>
        <v/>
      </c>
    </row>
    <row r="259">
      <c r="A259" s="31" t="n">
        <v>257</v>
      </c>
      <c r="B259" s="31">
        <f>CHAIN_RAW!D257</f>
        <v/>
      </c>
      <c r="C259" s="31">
        <f>CHAIN_RAW!A257</f>
        <v/>
      </c>
      <c r="D259" s="31">
        <f>CHAIN_RAW!C257</f>
        <v/>
      </c>
      <c r="E259" s="31">
        <f>CHAIN_RAW!E257</f>
        <v/>
      </c>
      <c r="F259" s="31">
        <f>CHAIN_RAW!F257</f>
        <v/>
      </c>
      <c r="G259" s="31">
        <f>CHAIN_RAW!I257</f>
        <v/>
      </c>
      <c r="H259" s="31">
        <f>CHAIN_RAW!Q257</f>
        <v/>
      </c>
      <c r="I259" s="31">
        <f>LET(pc,F259,oc,H259,IF(OR(pc="",oc=""),"",IF(AND(pc&gt;0,oc&gt;0),"Long Buildup",IF(AND(pc&lt;0,oc&gt;0),"Short Buildup",IF(AND(pc&gt;0,oc&lt;0),"Short Covering",IF(AND(pc&lt;0,oc&lt;0),"Long Unwinding","Flat"))))))</f>
        <v/>
      </c>
      <c r="J259" s="31">
        <f>LET(pc,ABS(F259),oc,ABS(H259),IF(OR(pc="",oc=""),"",MAX(1,MIN(5,ROUND((pc*0.5+oc*0.00001)*5,0))))))</f>
        <v/>
      </c>
    </row>
    <row r="260">
      <c r="A260" s="31" t="n">
        <v>258</v>
      </c>
      <c r="B260" s="31">
        <f>CHAIN_RAW!D258</f>
        <v/>
      </c>
      <c r="C260" s="31">
        <f>CHAIN_RAW!A258</f>
        <v/>
      </c>
      <c r="D260" s="31">
        <f>CHAIN_RAW!C258</f>
        <v/>
      </c>
      <c r="E260" s="31">
        <f>CHAIN_RAW!E258</f>
        <v/>
      </c>
      <c r="F260" s="31">
        <f>CHAIN_RAW!F258</f>
        <v/>
      </c>
      <c r="G260" s="31">
        <f>CHAIN_RAW!I258</f>
        <v/>
      </c>
      <c r="H260" s="31">
        <f>CHAIN_RAW!Q258</f>
        <v/>
      </c>
      <c r="I260" s="31">
        <f>LET(pc,F260,oc,H260,IF(OR(pc="",oc=""),"",IF(AND(pc&gt;0,oc&gt;0),"Long Buildup",IF(AND(pc&lt;0,oc&gt;0),"Short Buildup",IF(AND(pc&gt;0,oc&lt;0),"Short Covering",IF(AND(pc&lt;0,oc&lt;0),"Long Unwinding","Flat"))))))</f>
        <v/>
      </c>
      <c r="J260" s="31">
        <f>LET(pc,ABS(F260),oc,ABS(H260),IF(OR(pc="",oc=""),"",MAX(1,MIN(5,ROUND((pc*0.5+oc*0.00001)*5,0))))))</f>
        <v/>
      </c>
    </row>
    <row r="261">
      <c r="A261" s="31" t="n">
        <v>259</v>
      </c>
      <c r="B261" s="31">
        <f>CHAIN_RAW!D259</f>
        <v/>
      </c>
      <c r="C261" s="31">
        <f>CHAIN_RAW!A259</f>
        <v/>
      </c>
      <c r="D261" s="31">
        <f>CHAIN_RAW!C259</f>
        <v/>
      </c>
      <c r="E261" s="31">
        <f>CHAIN_RAW!E259</f>
        <v/>
      </c>
      <c r="F261" s="31">
        <f>CHAIN_RAW!F259</f>
        <v/>
      </c>
      <c r="G261" s="31">
        <f>CHAIN_RAW!I259</f>
        <v/>
      </c>
      <c r="H261" s="31">
        <f>CHAIN_RAW!Q259</f>
        <v/>
      </c>
      <c r="I261" s="31">
        <f>LET(pc,F261,oc,H261,IF(OR(pc="",oc=""),"",IF(AND(pc&gt;0,oc&gt;0),"Long Buildup",IF(AND(pc&lt;0,oc&gt;0),"Short Buildup",IF(AND(pc&gt;0,oc&lt;0),"Short Covering",IF(AND(pc&lt;0,oc&lt;0),"Long Unwinding","Flat"))))))</f>
        <v/>
      </c>
      <c r="J261" s="31">
        <f>LET(pc,ABS(F261),oc,ABS(H261),IF(OR(pc="",oc=""),"",MAX(1,MIN(5,ROUND((pc*0.5+oc*0.00001)*5,0))))))</f>
        <v/>
      </c>
    </row>
    <row r="262">
      <c r="A262" s="31" t="n">
        <v>260</v>
      </c>
      <c r="B262" s="31">
        <f>CHAIN_RAW!D260</f>
        <v/>
      </c>
      <c r="C262" s="31">
        <f>CHAIN_RAW!A260</f>
        <v/>
      </c>
      <c r="D262" s="31">
        <f>CHAIN_RAW!C260</f>
        <v/>
      </c>
      <c r="E262" s="31">
        <f>CHAIN_RAW!E260</f>
        <v/>
      </c>
      <c r="F262" s="31">
        <f>CHAIN_RAW!F260</f>
        <v/>
      </c>
      <c r="G262" s="31">
        <f>CHAIN_RAW!I260</f>
        <v/>
      </c>
      <c r="H262" s="31">
        <f>CHAIN_RAW!Q260</f>
        <v/>
      </c>
      <c r="I262" s="31">
        <f>LET(pc,F262,oc,H262,IF(OR(pc="",oc=""),"",IF(AND(pc&gt;0,oc&gt;0),"Long Buildup",IF(AND(pc&lt;0,oc&gt;0),"Short Buildup",IF(AND(pc&gt;0,oc&lt;0),"Short Covering",IF(AND(pc&lt;0,oc&lt;0),"Long Unwinding","Flat"))))))</f>
        <v/>
      </c>
      <c r="J262" s="31">
        <f>LET(pc,ABS(F262),oc,ABS(H262),IF(OR(pc="",oc=""),"",MAX(1,MIN(5,ROUND((pc*0.5+oc*0.00001)*5,0))))))</f>
        <v/>
      </c>
    </row>
    <row r="263">
      <c r="A263" s="31" t="n">
        <v>261</v>
      </c>
      <c r="B263" s="31">
        <f>CHAIN_RAW!D261</f>
        <v/>
      </c>
      <c r="C263" s="31">
        <f>CHAIN_RAW!A261</f>
        <v/>
      </c>
      <c r="D263" s="31">
        <f>CHAIN_RAW!C261</f>
        <v/>
      </c>
      <c r="E263" s="31">
        <f>CHAIN_RAW!E261</f>
        <v/>
      </c>
      <c r="F263" s="31">
        <f>CHAIN_RAW!F261</f>
        <v/>
      </c>
      <c r="G263" s="31">
        <f>CHAIN_RAW!I261</f>
        <v/>
      </c>
      <c r="H263" s="31">
        <f>CHAIN_RAW!Q261</f>
        <v/>
      </c>
      <c r="I263" s="31">
        <f>LET(pc,F263,oc,H263,IF(OR(pc="",oc=""),"",IF(AND(pc&gt;0,oc&gt;0),"Long Buildup",IF(AND(pc&lt;0,oc&gt;0),"Short Buildup",IF(AND(pc&gt;0,oc&lt;0),"Short Covering",IF(AND(pc&lt;0,oc&lt;0),"Long Unwinding","Flat"))))))</f>
        <v/>
      </c>
      <c r="J263" s="31">
        <f>LET(pc,ABS(F263),oc,ABS(H263),IF(OR(pc="",oc=""),"",MAX(1,MIN(5,ROUND((pc*0.5+oc*0.00001)*5,0))))))</f>
        <v/>
      </c>
    </row>
    <row r="264">
      <c r="A264" s="31" t="n">
        <v>262</v>
      </c>
      <c r="B264" s="31">
        <f>CHAIN_RAW!D262</f>
        <v/>
      </c>
      <c r="C264" s="31">
        <f>CHAIN_RAW!A262</f>
        <v/>
      </c>
      <c r="D264" s="31">
        <f>CHAIN_RAW!C262</f>
        <v/>
      </c>
      <c r="E264" s="31">
        <f>CHAIN_RAW!E262</f>
        <v/>
      </c>
      <c r="F264" s="31">
        <f>CHAIN_RAW!F262</f>
        <v/>
      </c>
      <c r="G264" s="31">
        <f>CHAIN_RAW!I262</f>
        <v/>
      </c>
      <c r="H264" s="31">
        <f>CHAIN_RAW!Q262</f>
        <v/>
      </c>
      <c r="I264" s="31">
        <f>LET(pc,F264,oc,H264,IF(OR(pc="",oc=""),"",IF(AND(pc&gt;0,oc&gt;0),"Long Buildup",IF(AND(pc&lt;0,oc&gt;0),"Short Buildup",IF(AND(pc&gt;0,oc&lt;0),"Short Covering",IF(AND(pc&lt;0,oc&lt;0),"Long Unwinding","Flat"))))))</f>
        <v/>
      </c>
      <c r="J264" s="31">
        <f>LET(pc,ABS(F264),oc,ABS(H264),IF(OR(pc="",oc=""),"",MAX(1,MIN(5,ROUND((pc*0.5+oc*0.00001)*5,0))))))</f>
        <v/>
      </c>
    </row>
    <row r="265">
      <c r="A265" s="31" t="n">
        <v>263</v>
      </c>
      <c r="B265" s="31">
        <f>CHAIN_RAW!D263</f>
        <v/>
      </c>
      <c r="C265" s="31">
        <f>CHAIN_RAW!A263</f>
        <v/>
      </c>
      <c r="D265" s="31">
        <f>CHAIN_RAW!C263</f>
        <v/>
      </c>
      <c r="E265" s="31">
        <f>CHAIN_RAW!E263</f>
        <v/>
      </c>
      <c r="F265" s="31">
        <f>CHAIN_RAW!F263</f>
        <v/>
      </c>
      <c r="G265" s="31">
        <f>CHAIN_RAW!I263</f>
        <v/>
      </c>
      <c r="H265" s="31">
        <f>CHAIN_RAW!Q263</f>
        <v/>
      </c>
      <c r="I265" s="31">
        <f>LET(pc,F265,oc,H265,IF(OR(pc="",oc=""),"",IF(AND(pc&gt;0,oc&gt;0),"Long Buildup",IF(AND(pc&lt;0,oc&gt;0),"Short Buildup",IF(AND(pc&gt;0,oc&lt;0),"Short Covering",IF(AND(pc&lt;0,oc&lt;0),"Long Unwinding","Flat"))))))</f>
        <v/>
      </c>
      <c r="J265" s="31">
        <f>LET(pc,ABS(F265),oc,ABS(H265),IF(OR(pc="",oc=""),"",MAX(1,MIN(5,ROUND((pc*0.5+oc*0.00001)*5,0))))))</f>
        <v/>
      </c>
    </row>
    <row r="266">
      <c r="A266" s="31" t="n">
        <v>264</v>
      </c>
      <c r="B266" s="31">
        <f>CHAIN_RAW!D264</f>
        <v/>
      </c>
      <c r="C266" s="31">
        <f>CHAIN_RAW!A264</f>
        <v/>
      </c>
      <c r="D266" s="31">
        <f>CHAIN_RAW!C264</f>
        <v/>
      </c>
      <c r="E266" s="31">
        <f>CHAIN_RAW!E264</f>
        <v/>
      </c>
      <c r="F266" s="31">
        <f>CHAIN_RAW!F264</f>
        <v/>
      </c>
      <c r="G266" s="31">
        <f>CHAIN_RAW!I264</f>
        <v/>
      </c>
      <c r="H266" s="31">
        <f>CHAIN_RAW!Q264</f>
        <v/>
      </c>
      <c r="I266" s="31">
        <f>LET(pc,F266,oc,H266,IF(OR(pc="",oc=""),"",IF(AND(pc&gt;0,oc&gt;0),"Long Buildup",IF(AND(pc&lt;0,oc&gt;0),"Short Buildup",IF(AND(pc&gt;0,oc&lt;0),"Short Covering",IF(AND(pc&lt;0,oc&lt;0),"Long Unwinding","Flat"))))))</f>
        <v/>
      </c>
      <c r="J266" s="31">
        <f>LET(pc,ABS(F266),oc,ABS(H266),IF(OR(pc="",oc=""),"",MAX(1,MIN(5,ROUND((pc*0.5+oc*0.00001)*5,0))))))</f>
        <v/>
      </c>
    </row>
    <row r="267">
      <c r="A267" s="31" t="n">
        <v>265</v>
      </c>
      <c r="B267" s="31">
        <f>CHAIN_RAW!D265</f>
        <v/>
      </c>
      <c r="C267" s="31">
        <f>CHAIN_RAW!A265</f>
        <v/>
      </c>
      <c r="D267" s="31">
        <f>CHAIN_RAW!C265</f>
        <v/>
      </c>
      <c r="E267" s="31">
        <f>CHAIN_RAW!E265</f>
        <v/>
      </c>
      <c r="F267" s="31">
        <f>CHAIN_RAW!F265</f>
        <v/>
      </c>
      <c r="G267" s="31">
        <f>CHAIN_RAW!I265</f>
        <v/>
      </c>
      <c r="H267" s="31">
        <f>CHAIN_RAW!Q265</f>
        <v/>
      </c>
      <c r="I267" s="31">
        <f>LET(pc,F267,oc,H267,IF(OR(pc="",oc=""),"",IF(AND(pc&gt;0,oc&gt;0),"Long Buildup",IF(AND(pc&lt;0,oc&gt;0),"Short Buildup",IF(AND(pc&gt;0,oc&lt;0),"Short Covering",IF(AND(pc&lt;0,oc&lt;0),"Long Unwinding","Flat"))))))</f>
        <v/>
      </c>
      <c r="J267" s="31">
        <f>LET(pc,ABS(F267),oc,ABS(H267),IF(OR(pc="",oc=""),"",MAX(1,MIN(5,ROUND((pc*0.5+oc*0.00001)*5,0))))))</f>
        <v/>
      </c>
    </row>
    <row r="268">
      <c r="A268" s="31" t="n">
        <v>266</v>
      </c>
      <c r="B268" s="31">
        <f>CHAIN_RAW!D266</f>
        <v/>
      </c>
      <c r="C268" s="31">
        <f>CHAIN_RAW!A266</f>
        <v/>
      </c>
      <c r="D268" s="31">
        <f>CHAIN_RAW!C266</f>
        <v/>
      </c>
      <c r="E268" s="31">
        <f>CHAIN_RAW!E266</f>
        <v/>
      </c>
      <c r="F268" s="31">
        <f>CHAIN_RAW!F266</f>
        <v/>
      </c>
      <c r="G268" s="31">
        <f>CHAIN_RAW!I266</f>
        <v/>
      </c>
      <c r="H268" s="31">
        <f>CHAIN_RAW!Q266</f>
        <v/>
      </c>
      <c r="I268" s="31">
        <f>LET(pc,F268,oc,H268,IF(OR(pc="",oc=""),"",IF(AND(pc&gt;0,oc&gt;0),"Long Buildup",IF(AND(pc&lt;0,oc&gt;0),"Short Buildup",IF(AND(pc&gt;0,oc&lt;0),"Short Covering",IF(AND(pc&lt;0,oc&lt;0),"Long Unwinding","Flat"))))))</f>
        <v/>
      </c>
      <c r="J268" s="31">
        <f>LET(pc,ABS(F268),oc,ABS(H268),IF(OR(pc="",oc=""),"",MAX(1,MIN(5,ROUND((pc*0.5+oc*0.00001)*5,0))))))</f>
        <v/>
      </c>
    </row>
    <row r="269">
      <c r="A269" s="31" t="n">
        <v>267</v>
      </c>
      <c r="B269" s="31">
        <f>CHAIN_RAW!D267</f>
        <v/>
      </c>
      <c r="C269" s="31">
        <f>CHAIN_RAW!A267</f>
        <v/>
      </c>
      <c r="D269" s="31">
        <f>CHAIN_RAW!C267</f>
        <v/>
      </c>
      <c r="E269" s="31">
        <f>CHAIN_RAW!E267</f>
        <v/>
      </c>
      <c r="F269" s="31">
        <f>CHAIN_RAW!F267</f>
        <v/>
      </c>
      <c r="G269" s="31">
        <f>CHAIN_RAW!I267</f>
        <v/>
      </c>
      <c r="H269" s="31">
        <f>CHAIN_RAW!Q267</f>
        <v/>
      </c>
      <c r="I269" s="31">
        <f>LET(pc,F269,oc,H269,IF(OR(pc="",oc=""),"",IF(AND(pc&gt;0,oc&gt;0),"Long Buildup",IF(AND(pc&lt;0,oc&gt;0),"Short Buildup",IF(AND(pc&gt;0,oc&lt;0),"Short Covering",IF(AND(pc&lt;0,oc&lt;0),"Long Unwinding","Flat"))))))</f>
        <v/>
      </c>
      <c r="J269" s="31">
        <f>LET(pc,ABS(F269),oc,ABS(H269),IF(OR(pc="",oc=""),"",MAX(1,MIN(5,ROUND((pc*0.5+oc*0.00001)*5,0))))))</f>
        <v/>
      </c>
    </row>
    <row r="270">
      <c r="A270" s="31" t="n">
        <v>268</v>
      </c>
      <c r="B270" s="31">
        <f>CHAIN_RAW!D268</f>
        <v/>
      </c>
      <c r="C270" s="31">
        <f>CHAIN_RAW!A268</f>
        <v/>
      </c>
      <c r="D270" s="31">
        <f>CHAIN_RAW!C268</f>
        <v/>
      </c>
      <c r="E270" s="31">
        <f>CHAIN_RAW!E268</f>
        <v/>
      </c>
      <c r="F270" s="31">
        <f>CHAIN_RAW!F268</f>
        <v/>
      </c>
      <c r="G270" s="31">
        <f>CHAIN_RAW!I268</f>
        <v/>
      </c>
      <c r="H270" s="31">
        <f>CHAIN_RAW!Q268</f>
        <v/>
      </c>
      <c r="I270" s="31">
        <f>LET(pc,F270,oc,H270,IF(OR(pc="",oc=""),"",IF(AND(pc&gt;0,oc&gt;0),"Long Buildup",IF(AND(pc&lt;0,oc&gt;0),"Short Buildup",IF(AND(pc&gt;0,oc&lt;0),"Short Covering",IF(AND(pc&lt;0,oc&lt;0),"Long Unwinding","Flat"))))))</f>
        <v/>
      </c>
      <c r="J270" s="31">
        <f>LET(pc,ABS(F270),oc,ABS(H270),IF(OR(pc="",oc=""),"",MAX(1,MIN(5,ROUND((pc*0.5+oc*0.00001)*5,0))))))</f>
        <v/>
      </c>
    </row>
    <row r="271">
      <c r="A271" s="31" t="n">
        <v>269</v>
      </c>
      <c r="B271" s="31">
        <f>CHAIN_RAW!D269</f>
        <v/>
      </c>
      <c r="C271" s="31">
        <f>CHAIN_RAW!A269</f>
        <v/>
      </c>
      <c r="D271" s="31">
        <f>CHAIN_RAW!C269</f>
        <v/>
      </c>
      <c r="E271" s="31">
        <f>CHAIN_RAW!E269</f>
        <v/>
      </c>
      <c r="F271" s="31">
        <f>CHAIN_RAW!F269</f>
        <v/>
      </c>
      <c r="G271" s="31">
        <f>CHAIN_RAW!I269</f>
        <v/>
      </c>
      <c r="H271" s="31">
        <f>CHAIN_RAW!Q269</f>
        <v/>
      </c>
      <c r="I271" s="31">
        <f>LET(pc,F271,oc,H271,IF(OR(pc="",oc=""),"",IF(AND(pc&gt;0,oc&gt;0),"Long Buildup",IF(AND(pc&lt;0,oc&gt;0),"Short Buildup",IF(AND(pc&gt;0,oc&lt;0),"Short Covering",IF(AND(pc&lt;0,oc&lt;0),"Long Unwinding","Flat"))))))</f>
        <v/>
      </c>
      <c r="J271" s="31">
        <f>LET(pc,ABS(F271),oc,ABS(H271),IF(OR(pc="",oc=""),"",MAX(1,MIN(5,ROUND((pc*0.5+oc*0.00001)*5,0))))))</f>
        <v/>
      </c>
    </row>
    <row r="272">
      <c r="A272" s="31" t="n">
        <v>270</v>
      </c>
      <c r="B272" s="31">
        <f>CHAIN_RAW!D270</f>
        <v/>
      </c>
      <c r="C272" s="31">
        <f>CHAIN_RAW!A270</f>
        <v/>
      </c>
      <c r="D272" s="31">
        <f>CHAIN_RAW!C270</f>
        <v/>
      </c>
      <c r="E272" s="31">
        <f>CHAIN_RAW!E270</f>
        <v/>
      </c>
      <c r="F272" s="31">
        <f>CHAIN_RAW!F270</f>
        <v/>
      </c>
      <c r="G272" s="31">
        <f>CHAIN_RAW!I270</f>
        <v/>
      </c>
      <c r="H272" s="31">
        <f>CHAIN_RAW!Q270</f>
        <v/>
      </c>
      <c r="I272" s="31">
        <f>LET(pc,F272,oc,H272,IF(OR(pc="",oc=""),"",IF(AND(pc&gt;0,oc&gt;0),"Long Buildup",IF(AND(pc&lt;0,oc&gt;0),"Short Buildup",IF(AND(pc&gt;0,oc&lt;0),"Short Covering",IF(AND(pc&lt;0,oc&lt;0),"Long Unwinding","Flat"))))))</f>
        <v/>
      </c>
      <c r="J272" s="31">
        <f>LET(pc,ABS(F272),oc,ABS(H272),IF(OR(pc="",oc=""),"",MAX(1,MIN(5,ROUND((pc*0.5+oc*0.00001)*5,0))))))</f>
        <v/>
      </c>
    </row>
    <row r="273">
      <c r="A273" s="31" t="n">
        <v>271</v>
      </c>
      <c r="B273" s="31">
        <f>CHAIN_RAW!D271</f>
        <v/>
      </c>
      <c r="C273" s="31">
        <f>CHAIN_RAW!A271</f>
        <v/>
      </c>
      <c r="D273" s="31">
        <f>CHAIN_RAW!C271</f>
        <v/>
      </c>
      <c r="E273" s="31">
        <f>CHAIN_RAW!E271</f>
        <v/>
      </c>
      <c r="F273" s="31">
        <f>CHAIN_RAW!F271</f>
        <v/>
      </c>
      <c r="G273" s="31">
        <f>CHAIN_RAW!I271</f>
        <v/>
      </c>
      <c r="H273" s="31">
        <f>CHAIN_RAW!Q271</f>
        <v/>
      </c>
      <c r="I273" s="31">
        <f>LET(pc,F273,oc,H273,IF(OR(pc="",oc=""),"",IF(AND(pc&gt;0,oc&gt;0),"Long Buildup",IF(AND(pc&lt;0,oc&gt;0),"Short Buildup",IF(AND(pc&gt;0,oc&lt;0),"Short Covering",IF(AND(pc&lt;0,oc&lt;0),"Long Unwinding","Flat"))))))</f>
        <v/>
      </c>
      <c r="J273" s="31">
        <f>LET(pc,ABS(F273),oc,ABS(H273),IF(OR(pc="",oc=""),"",MAX(1,MIN(5,ROUND((pc*0.5+oc*0.00001)*5,0))))))</f>
        <v/>
      </c>
    </row>
    <row r="274">
      <c r="A274" s="31" t="n">
        <v>272</v>
      </c>
      <c r="B274" s="31">
        <f>CHAIN_RAW!D272</f>
        <v/>
      </c>
      <c r="C274" s="31">
        <f>CHAIN_RAW!A272</f>
        <v/>
      </c>
      <c r="D274" s="31">
        <f>CHAIN_RAW!C272</f>
        <v/>
      </c>
      <c r="E274" s="31">
        <f>CHAIN_RAW!E272</f>
        <v/>
      </c>
      <c r="F274" s="31">
        <f>CHAIN_RAW!F272</f>
        <v/>
      </c>
      <c r="G274" s="31">
        <f>CHAIN_RAW!I272</f>
        <v/>
      </c>
      <c r="H274" s="31">
        <f>CHAIN_RAW!Q272</f>
        <v/>
      </c>
      <c r="I274" s="31">
        <f>LET(pc,F274,oc,H274,IF(OR(pc="",oc=""),"",IF(AND(pc&gt;0,oc&gt;0),"Long Buildup",IF(AND(pc&lt;0,oc&gt;0),"Short Buildup",IF(AND(pc&gt;0,oc&lt;0),"Short Covering",IF(AND(pc&lt;0,oc&lt;0),"Long Unwinding","Flat"))))))</f>
        <v/>
      </c>
      <c r="J274" s="31">
        <f>LET(pc,ABS(F274),oc,ABS(H274),IF(OR(pc="",oc=""),"",MAX(1,MIN(5,ROUND((pc*0.5+oc*0.00001)*5,0))))))</f>
        <v/>
      </c>
    </row>
    <row r="275">
      <c r="A275" s="31" t="n">
        <v>273</v>
      </c>
      <c r="B275" s="31">
        <f>CHAIN_RAW!D273</f>
        <v/>
      </c>
      <c r="C275" s="31">
        <f>CHAIN_RAW!A273</f>
        <v/>
      </c>
      <c r="D275" s="31">
        <f>CHAIN_RAW!C273</f>
        <v/>
      </c>
      <c r="E275" s="31">
        <f>CHAIN_RAW!E273</f>
        <v/>
      </c>
      <c r="F275" s="31">
        <f>CHAIN_RAW!F273</f>
        <v/>
      </c>
      <c r="G275" s="31">
        <f>CHAIN_RAW!I273</f>
        <v/>
      </c>
      <c r="H275" s="31">
        <f>CHAIN_RAW!Q273</f>
        <v/>
      </c>
      <c r="I275" s="31">
        <f>LET(pc,F275,oc,H275,IF(OR(pc="",oc=""),"",IF(AND(pc&gt;0,oc&gt;0),"Long Buildup",IF(AND(pc&lt;0,oc&gt;0),"Short Buildup",IF(AND(pc&gt;0,oc&lt;0),"Short Covering",IF(AND(pc&lt;0,oc&lt;0),"Long Unwinding","Flat"))))))</f>
        <v/>
      </c>
      <c r="J275" s="31">
        <f>LET(pc,ABS(F275),oc,ABS(H275),IF(OR(pc="",oc=""),"",MAX(1,MIN(5,ROUND((pc*0.5+oc*0.00001)*5,0))))))</f>
        <v/>
      </c>
    </row>
    <row r="276">
      <c r="A276" s="31" t="n">
        <v>274</v>
      </c>
      <c r="B276" s="31">
        <f>CHAIN_RAW!D274</f>
        <v/>
      </c>
      <c r="C276" s="31">
        <f>CHAIN_RAW!A274</f>
        <v/>
      </c>
      <c r="D276" s="31">
        <f>CHAIN_RAW!C274</f>
        <v/>
      </c>
      <c r="E276" s="31">
        <f>CHAIN_RAW!E274</f>
        <v/>
      </c>
      <c r="F276" s="31">
        <f>CHAIN_RAW!F274</f>
        <v/>
      </c>
      <c r="G276" s="31">
        <f>CHAIN_RAW!I274</f>
        <v/>
      </c>
      <c r="H276" s="31">
        <f>CHAIN_RAW!Q274</f>
        <v/>
      </c>
      <c r="I276" s="31">
        <f>LET(pc,F276,oc,H276,IF(OR(pc="",oc=""),"",IF(AND(pc&gt;0,oc&gt;0),"Long Buildup",IF(AND(pc&lt;0,oc&gt;0),"Short Buildup",IF(AND(pc&gt;0,oc&lt;0),"Short Covering",IF(AND(pc&lt;0,oc&lt;0),"Long Unwinding","Flat"))))))</f>
        <v/>
      </c>
      <c r="J276" s="31">
        <f>LET(pc,ABS(F276),oc,ABS(H276),IF(OR(pc="",oc=""),"",MAX(1,MIN(5,ROUND((pc*0.5+oc*0.00001)*5,0))))))</f>
        <v/>
      </c>
    </row>
    <row r="277">
      <c r="A277" s="31" t="n">
        <v>275</v>
      </c>
      <c r="B277" s="31">
        <f>CHAIN_RAW!D275</f>
        <v/>
      </c>
      <c r="C277" s="31">
        <f>CHAIN_RAW!A275</f>
        <v/>
      </c>
      <c r="D277" s="31">
        <f>CHAIN_RAW!C275</f>
        <v/>
      </c>
      <c r="E277" s="31">
        <f>CHAIN_RAW!E275</f>
        <v/>
      </c>
      <c r="F277" s="31">
        <f>CHAIN_RAW!F275</f>
        <v/>
      </c>
      <c r="G277" s="31">
        <f>CHAIN_RAW!I275</f>
        <v/>
      </c>
      <c r="H277" s="31">
        <f>CHAIN_RAW!Q275</f>
        <v/>
      </c>
      <c r="I277" s="31">
        <f>LET(pc,F277,oc,H277,IF(OR(pc="",oc=""),"",IF(AND(pc&gt;0,oc&gt;0),"Long Buildup",IF(AND(pc&lt;0,oc&gt;0),"Short Buildup",IF(AND(pc&gt;0,oc&lt;0),"Short Covering",IF(AND(pc&lt;0,oc&lt;0),"Long Unwinding","Flat"))))))</f>
        <v/>
      </c>
      <c r="J277" s="31">
        <f>LET(pc,ABS(F277),oc,ABS(H277),IF(OR(pc="",oc=""),"",MAX(1,MIN(5,ROUND((pc*0.5+oc*0.00001)*5,0))))))</f>
        <v/>
      </c>
    </row>
    <row r="278">
      <c r="A278" s="31" t="n">
        <v>276</v>
      </c>
      <c r="B278" s="31">
        <f>CHAIN_RAW!D276</f>
        <v/>
      </c>
      <c r="C278" s="31">
        <f>CHAIN_RAW!A276</f>
        <v/>
      </c>
      <c r="D278" s="31">
        <f>CHAIN_RAW!C276</f>
        <v/>
      </c>
      <c r="E278" s="31">
        <f>CHAIN_RAW!E276</f>
        <v/>
      </c>
      <c r="F278" s="31">
        <f>CHAIN_RAW!F276</f>
        <v/>
      </c>
      <c r="G278" s="31">
        <f>CHAIN_RAW!I276</f>
        <v/>
      </c>
      <c r="H278" s="31">
        <f>CHAIN_RAW!Q276</f>
        <v/>
      </c>
      <c r="I278" s="31">
        <f>LET(pc,F278,oc,H278,IF(OR(pc="",oc=""),"",IF(AND(pc&gt;0,oc&gt;0),"Long Buildup",IF(AND(pc&lt;0,oc&gt;0),"Short Buildup",IF(AND(pc&gt;0,oc&lt;0),"Short Covering",IF(AND(pc&lt;0,oc&lt;0),"Long Unwinding","Flat"))))))</f>
        <v/>
      </c>
      <c r="J278" s="31">
        <f>LET(pc,ABS(F278),oc,ABS(H278),IF(OR(pc="",oc=""),"",MAX(1,MIN(5,ROUND((pc*0.5+oc*0.00001)*5,0))))))</f>
        <v/>
      </c>
    </row>
    <row r="279">
      <c r="A279" s="31" t="n">
        <v>277</v>
      </c>
      <c r="B279" s="31">
        <f>CHAIN_RAW!D277</f>
        <v/>
      </c>
      <c r="C279" s="31">
        <f>CHAIN_RAW!A277</f>
        <v/>
      </c>
      <c r="D279" s="31">
        <f>CHAIN_RAW!C277</f>
        <v/>
      </c>
      <c r="E279" s="31">
        <f>CHAIN_RAW!E277</f>
        <v/>
      </c>
      <c r="F279" s="31">
        <f>CHAIN_RAW!F277</f>
        <v/>
      </c>
      <c r="G279" s="31">
        <f>CHAIN_RAW!I277</f>
        <v/>
      </c>
      <c r="H279" s="31">
        <f>CHAIN_RAW!Q277</f>
        <v/>
      </c>
      <c r="I279" s="31">
        <f>LET(pc,F279,oc,H279,IF(OR(pc="",oc=""),"",IF(AND(pc&gt;0,oc&gt;0),"Long Buildup",IF(AND(pc&lt;0,oc&gt;0),"Short Buildup",IF(AND(pc&gt;0,oc&lt;0),"Short Covering",IF(AND(pc&lt;0,oc&lt;0),"Long Unwinding","Flat"))))))</f>
        <v/>
      </c>
      <c r="J279" s="31">
        <f>LET(pc,ABS(F279),oc,ABS(H279),IF(OR(pc="",oc=""),"",MAX(1,MIN(5,ROUND((pc*0.5+oc*0.00001)*5,0))))))</f>
        <v/>
      </c>
    </row>
    <row r="280">
      <c r="A280" s="31" t="n">
        <v>278</v>
      </c>
      <c r="B280" s="31">
        <f>CHAIN_RAW!D278</f>
        <v/>
      </c>
      <c r="C280" s="31">
        <f>CHAIN_RAW!A278</f>
        <v/>
      </c>
      <c r="D280" s="31">
        <f>CHAIN_RAW!C278</f>
        <v/>
      </c>
      <c r="E280" s="31">
        <f>CHAIN_RAW!E278</f>
        <v/>
      </c>
      <c r="F280" s="31">
        <f>CHAIN_RAW!F278</f>
        <v/>
      </c>
      <c r="G280" s="31">
        <f>CHAIN_RAW!I278</f>
        <v/>
      </c>
      <c r="H280" s="31">
        <f>CHAIN_RAW!Q278</f>
        <v/>
      </c>
      <c r="I280" s="31">
        <f>LET(pc,F280,oc,H280,IF(OR(pc="",oc=""),"",IF(AND(pc&gt;0,oc&gt;0),"Long Buildup",IF(AND(pc&lt;0,oc&gt;0),"Short Buildup",IF(AND(pc&gt;0,oc&lt;0),"Short Covering",IF(AND(pc&lt;0,oc&lt;0),"Long Unwinding","Flat"))))))</f>
        <v/>
      </c>
      <c r="J280" s="31">
        <f>LET(pc,ABS(F280),oc,ABS(H280),IF(OR(pc="",oc=""),"",MAX(1,MIN(5,ROUND((pc*0.5+oc*0.00001)*5,0))))))</f>
        <v/>
      </c>
    </row>
    <row r="281">
      <c r="A281" s="31" t="n">
        <v>279</v>
      </c>
      <c r="B281" s="31">
        <f>CHAIN_RAW!D279</f>
        <v/>
      </c>
      <c r="C281" s="31">
        <f>CHAIN_RAW!A279</f>
        <v/>
      </c>
      <c r="D281" s="31">
        <f>CHAIN_RAW!C279</f>
        <v/>
      </c>
      <c r="E281" s="31">
        <f>CHAIN_RAW!E279</f>
        <v/>
      </c>
      <c r="F281" s="31">
        <f>CHAIN_RAW!F279</f>
        <v/>
      </c>
      <c r="G281" s="31">
        <f>CHAIN_RAW!I279</f>
        <v/>
      </c>
      <c r="H281" s="31">
        <f>CHAIN_RAW!Q279</f>
        <v/>
      </c>
      <c r="I281" s="31">
        <f>LET(pc,F281,oc,H281,IF(OR(pc="",oc=""),"",IF(AND(pc&gt;0,oc&gt;0),"Long Buildup",IF(AND(pc&lt;0,oc&gt;0),"Short Buildup",IF(AND(pc&gt;0,oc&lt;0),"Short Covering",IF(AND(pc&lt;0,oc&lt;0),"Long Unwinding","Flat"))))))</f>
        <v/>
      </c>
      <c r="J281" s="31">
        <f>LET(pc,ABS(F281),oc,ABS(H281),IF(OR(pc="",oc=""),"",MAX(1,MIN(5,ROUND((pc*0.5+oc*0.00001)*5,0))))))</f>
        <v/>
      </c>
    </row>
    <row r="282">
      <c r="A282" s="31" t="n">
        <v>280</v>
      </c>
      <c r="B282" s="31">
        <f>CHAIN_RAW!D280</f>
        <v/>
      </c>
      <c r="C282" s="31">
        <f>CHAIN_RAW!A280</f>
        <v/>
      </c>
      <c r="D282" s="31">
        <f>CHAIN_RAW!C280</f>
        <v/>
      </c>
      <c r="E282" s="31">
        <f>CHAIN_RAW!E280</f>
        <v/>
      </c>
      <c r="F282" s="31">
        <f>CHAIN_RAW!F280</f>
        <v/>
      </c>
      <c r="G282" s="31">
        <f>CHAIN_RAW!I280</f>
        <v/>
      </c>
      <c r="H282" s="31">
        <f>CHAIN_RAW!Q280</f>
        <v/>
      </c>
      <c r="I282" s="31">
        <f>LET(pc,F282,oc,H282,IF(OR(pc="",oc=""),"",IF(AND(pc&gt;0,oc&gt;0),"Long Buildup",IF(AND(pc&lt;0,oc&gt;0),"Short Buildup",IF(AND(pc&gt;0,oc&lt;0),"Short Covering",IF(AND(pc&lt;0,oc&lt;0),"Long Unwinding","Flat"))))))</f>
        <v/>
      </c>
      <c r="J282" s="31">
        <f>LET(pc,ABS(F282),oc,ABS(H282),IF(OR(pc="",oc=""),"",MAX(1,MIN(5,ROUND((pc*0.5+oc*0.00001)*5,0))))))</f>
        <v/>
      </c>
    </row>
    <row r="283">
      <c r="A283" s="31" t="n">
        <v>281</v>
      </c>
      <c r="B283" s="31">
        <f>CHAIN_RAW!D281</f>
        <v/>
      </c>
      <c r="C283" s="31">
        <f>CHAIN_RAW!A281</f>
        <v/>
      </c>
      <c r="D283" s="31">
        <f>CHAIN_RAW!C281</f>
        <v/>
      </c>
      <c r="E283" s="31">
        <f>CHAIN_RAW!E281</f>
        <v/>
      </c>
      <c r="F283" s="31">
        <f>CHAIN_RAW!F281</f>
        <v/>
      </c>
      <c r="G283" s="31">
        <f>CHAIN_RAW!I281</f>
        <v/>
      </c>
      <c r="H283" s="31">
        <f>CHAIN_RAW!Q281</f>
        <v/>
      </c>
      <c r="I283" s="31">
        <f>LET(pc,F283,oc,H283,IF(OR(pc="",oc=""),"",IF(AND(pc&gt;0,oc&gt;0),"Long Buildup",IF(AND(pc&lt;0,oc&gt;0),"Short Buildup",IF(AND(pc&gt;0,oc&lt;0),"Short Covering",IF(AND(pc&lt;0,oc&lt;0),"Long Unwinding","Flat"))))))</f>
        <v/>
      </c>
      <c r="J283" s="31">
        <f>LET(pc,ABS(F283),oc,ABS(H283),IF(OR(pc="",oc=""),"",MAX(1,MIN(5,ROUND((pc*0.5+oc*0.00001)*5,0))))))</f>
        <v/>
      </c>
    </row>
    <row r="284">
      <c r="A284" s="31" t="n">
        <v>282</v>
      </c>
      <c r="B284" s="31">
        <f>CHAIN_RAW!D282</f>
        <v/>
      </c>
      <c r="C284" s="31">
        <f>CHAIN_RAW!A282</f>
        <v/>
      </c>
      <c r="D284" s="31">
        <f>CHAIN_RAW!C282</f>
        <v/>
      </c>
      <c r="E284" s="31">
        <f>CHAIN_RAW!E282</f>
        <v/>
      </c>
      <c r="F284" s="31">
        <f>CHAIN_RAW!F282</f>
        <v/>
      </c>
      <c r="G284" s="31">
        <f>CHAIN_RAW!I282</f>
        <v/>
      </c>
      <c r="H284" s="31">
        <f>CHAIN_RAW!Q282</f>
        <v/>
      </c>
      <c r="I284" s="31">
        <f>LET(pc,F284,oc,H284,IF(OR(pc="",oc=""),"",IF(AND(pc&gt;0,oc&gt;0),"Long Buildup",IF(AND(pc&lt;0,oc&gt;0),"Short Buildup",IF(AND(pc&gt;0,oc&lt;0),"Short Covering",IF(AND(pc&lt;0,oc&lt;0),"Long Unwinding","Flat"))))))</f>
        <v/>
      </c>
      <c r="J284" s="31">
        <f>LET(pc,ABS(F284),oc,ABS(H284),IF(OR(pc="",oc=""),"",MAX(1,MIN(5,ROUND((pc*0.5+oc*0.00001)*5,0))))))</f>
        <v/>
      </c>
    </row>
    <row r="285">
      <c r="A285" s="31" t="n">
        <v>283</v>
      </c>
      <c r="B285" s="31">
        <f>CHAIN_RAW!D283</f>
        <v/>
      </c>
      <c r="C285" s="31">
        <f>CHAIN_RAW!A283</f>
        <v/>
      </c>
      <c r="D285" s="31">
        <f>CHAIN_RAW!C283</f>
        <v/>
      </c>
      <c r="E285" s="31">
        <f>CHAIN_RAW!E283</f>
        <v/>
      </c>
      <c r="F285" s="31">
        <f>CHAIN_RAW!F283</f>
        <v/>
      </c>
      <c r="G285" s="31">
        <f>CHAIN_RAW!I283</f>
        <v/>
      </c>
      <c r="H285" s="31">
        <f>CHAIN_RAW!Q283</f>
        <v/>
      </c>
      <c r="I285" s="31">
        <f>LET(pc,F285,oc,H285,IF(OR(pc="",oc=""),"",IF(AND(pc&gt;0,oc&gt;0),"Long Buildup",IF(AND(pc&lt;0,oc&gt;0),"Short Buildup",IF(AND(pc&gt;0,oc&lt;0),"Short Covering",IF(AND(pc&lt;0,oc&lt;0),"Long Unwinding","Flat"))))))</f>
        <v/>
      </c>
      <c r="J285" s="31">
        <f>LET(pc,ABS(F285),oc,ABS(H285),IF(OR(pc="",oc=""),"",MAX(1,MIN(5,ROUND((pc*0.5+oc*0.00001)*5,0))))))</f>
        <v/>
      </c>
    </row>
    <row r="286">
      <c r="A286" s="31" t="n">
        <v>284</v>
      </c>
      <c r="B286" s="31">
        <f>CHAIN_RAW!D284</f>
        <v/>
      </c>
      <c r="C286" s="31">
        <f>CHAIN_RAW!A284</f>
        <v/>
      </c>
      <c r="D286" s="31">
        <f>CHAIN_RAW!C284</f>
        <v/>
      </c>
      <c r="E286" s="31">
        <f>CHAIN_RAW!E284</f>
        <v/>
      </c>
      <c r="F286" s="31">
        <f>CHAIN_RAW!F284</f>
        <v/>
      </c>
      <c r="G286" s="31">
        <f>CHAIN_RAW!I284</f>
        <v/>
      </c>
      <c r="H286" s="31">
        <f>CHAIN_RAW!Q284</f>
        <v/>
      </c>
      <c r="I286" s="31">
        <f>LET(pc,F286,oc,H286,IF(OR(pc="",oc=""),"",IF(AND(pc&gt;0,oc&gt;0),"Long Buildup",IF(AND(pc&lt;0,oc&gt;0),"Short Buildup",IF(AND(pc&gt;0,oc&lt;0),"Short Covering",IF(AND(pc&lt;0,oc&lt;0),"Long Unwinding","Flat"))))))</f>
        <v/>
      </c>
      <c r="J286" s="31">
        <f>LET(pc,ABS(F286),oc,ABS(H286),IF(OR(pc="",oc=""),"",MAX(1,MIN(5,ROUND((pc*0.5+oc*0.00001)*5,0))))))</f>
        <v/>
      </c>
    </row>
    <row r="287">
      <c r="A287" s="31" t="n">
        <v>285</v>
      </c>
      <c r="B287" s="31">
        <f>CHAIN_RAW!D285</f>
        <v/>
      </c>
      <c r="C287" s="31">
        <f>CHAIN_RAW!A285</f>
        <v/>
      </c>
      <c r="D287" s="31">
        <f>CHAIN_RAW!C285</f>
        <v/>
      </c>
      <c r="E287" s="31">
        <f>CHAIN_RAW!E285</f>
        <v/>
      </c>
      <c r="F287" s="31">
        <f>CHAIN_RAW!F285</f>
        <v/>
      </c>
      <c r="G287" s="31">
        <f>CHAIN_RAW!I285</f>
        <v/>
      </c>
      <c r="H287" s="31">
        <f>CHAIN_RAW!Q285</f>
        <v/>
      </c>
      <c r="I287" s="31">
        <f>LET(pc,F287,oc,H287,IF(OR(pc="",oc=""),"",IF(AND(pc&gt;0,oc&gt;0),"Long Buildup",IF(AND(pc&lt;0,oc&gt;0),"Short Buildup",IF(AND(pc&gt;0,oc&lt;0),"Short Covering",IF(AND(pc&lt;0,oc&lt;0),"Long Unwinding","Flat"))))))</f>
        <v/>
      </c>
      <c r="J287" s="31">
        <f>LET(pc,ABS(F287),oc,ABS(H287),IF(OR(pc="",oc=""),"",MAX(1,MIN(5,ROUND((pc*0.5+oc*0.00001)*5,0))))))</f>
        <v/>
      </c>
    </row>
    <row r="288">
      <c r="A288" s="31" t="n">
        <v>286</v>
      </c>
      <c r="B288" s="31">
        <f>CHAIN_RAW!D286</f>
        <v/>
      </c>
      <c r="C288" s="31">
        <f>CHAIN_RAW!A286</f>
        <v/>
      </c>
      <c r="D288" s="31">
        <f>CHAIN_RAW!C286</f>
        <v/>
      </c>
      <c r="E288" s="31">
        <f>CHAIN_RAW!E286</f>
        <v/>
      </c>
      <c r="F288" s="31">
        <f>CHAIN_RAW!F286</f>
        <v/>
      </c>
      <c r="G288" s="31">
        <f>CHAIN_RAW!I286</f>
        <v/>
      </c>
      <c r="H288" s="31">
        <f>CHAIN_RAW!Q286</f>
        <v/>
      </c>
      <c r="I288" s="31">
        <f>LET(pc,F288,oc,H288,IF(OR(pc="",oc=""),"",IF(AND(pc&gt;0,oc&gt;0),"Long Buildup",IF(AND(pc&lt;0,oc&gt;0),"Short Buildup",IF(AND(pc&gt;0,oc&lt;0),"Short Covering",IF(AND(pc&lt;0,oc&lt;0),"Long Unwinding","Flat"))))))</f>
        <v/>
      </c>
      <c r="J288" s="31">
        <f>LET(pc,ABS(F288),oc,ABS(H288),IF(OR(pc="",oc=""),"",MAX(1,MIN(5,ROUND((pc*0.5+oc*0.00001)*5,0))))))</f>
        <v/>
      </c>
    </row>
    <row r="289">
      <c r="A289" s="31" t="n">
        <v>287</v>
      </c>
      <c r="B289" s="31">
        <f>CHAIN_RAW!D287</f>
        <v/>
      </c>
      <c r="C289" s="31">
        <f>CHAIN_RAW!A287</f>
        <v/>
      </c>
      <c r="D289" s="31">
        <f>CHAIN_RAW!C287</f>
        <v/>
      </c>
      <c r="E289" s="31">
        <f>CHAIN_RAW!E287</f>
        <v/>
      </c>
      <c r="F289" s="31">
        <f>CHAIN_RAW!F287</f>
        <v/>
      </c>
      <c r="G289" s="31">
        <f>CHAIN_RAW!I287</f>
        <v/>
      </c>
      <c r="H289" s="31">
        <f>CHAIN_RAW!Q287</f>
        <v/>
      </c>
      <c r="I289" s="31">
        <f>LET(pc,F289,oc,H289,IF(OR(pc="",oc=""),"",IF(AND(pc&gt;0,oc&gt;0),"Long Buildup",IF(AND(pc&lt;0,oc&gt;0),"Short Buildup",IF(AND(pc&gt;0,oc&lt;0),"Short Covering",IF(AND(pc&lt;0,oc&lt;0),"Long Unwinding","Flat"))))))</f>
        <v/>
      </c>
      <c r="J289" s="31">
        <f>LET(pc,ABS(F289),oc,ABS(H289),IF(OR(pc="",oc=""),"",MAX(1,MIN(5,ROUND((pc*0.5+oc*0.00001)*5,0))))))</f>
        <v/>
      </c>
    </row>
    <row r="290">
      <c r="A290" s="31" t="n">
        <v>288</v>
      </c>
      <c r="B290" s="31">
        <f>CHAIN_RAW!D288</f>
        <v/>
      </c>
      <c r="C290" s="31">
        <f>CHAIN_RAW!A288</f>
        <v/>
      </c>
      <c r="D290" s="31">
        <f>CHAIN_RAW!C288</f>
        <v/>
      </c>
      <c r="E290" s="31">
        <f>CHAIN_RAW!E288</f>
        <v/>
      </c>
      <c r="F290" s="31">
        <f>CHAIN_RAW!F288</f>
        <v/>
      </c>
      <c r="G290" s="31">
        <f>CHAIN_RAW!I288</f>
        <v/>
      </c>
      <c r="H290" s="31">
        <f>CHAIN_RAW!Q288</f>
        <v/>
      </c>
      <c r="I290" s="31">
        <f>LET(pc,F290,oc,H290,IF(OR(pc="",oc=""),"",IF(AND(pc&gt;0,oc&gt;0),"Long Buildup",IF(AND(pc&lt;0,oc&gt;0),"Short Buildup",IF(AND(pc&gt;0,oc&lt;0),"Short Covering",IF(AND(pc&lt;0,oc&lt;0),"Long Unwinding","Flat"))))))</f>
        <v/>
      </c>
      <c r="J290" s="31">
        <f>LET(pc,ABS(F290),oc,ABS(H290),IF(OR(pc="",oc=""),"",MAX(1,MIN(5,ROUND((pc*0.5+oc*0.00001)*5,0))))))</f>
        <v/>
      </c>
    </row>
    <row r="291">
      <c r="A291" s="31" t="n">
        <v>289</v>
      </c>
      <c r="B291" s="31">
        <f>CHAIN_RAW!D289</f>
        <v/>
      </c>
      <c r="C291" s="31">
        <f>CHAIN_RAW!A289</f>
        <v/>
      </c>
      <c r="D291" s="31">
        <f>CHAIN_RAW!C289</f>
        <v/>
      </c>
      <c r="E291" s="31">
        <f>CHAIN_RAW!E289</f>
        <v/>
      </c>
      <c r="F291" s="31">
        <f>CHAIN_RAW!F289</f>
        <v/>
      </c>
      <c r="G291" s="31">
        <f>CHAIN_RAW!I289</f>
        <v/>
      </c>
      <c r="H291" s="31">
        <f>CHAIN_RAW!Q289</f>
        <v/>
      </c>
      <c r="I291" s="31">
        <f>LET(pc,F291,oc,H291,IF(OR(pc="",oc=""),"",IF(AND(pc&gt;0,oc&gt;0),"Long Buildup",IF(AND(pc&lt;0,oc&gt;0),"Short Buildup",IF(AND(pc&gt;0,oc&lt;0),"Short Covering",IF(AND(pc&lt;0,oc&lt;0),"Long Unwinding","Flat"))))))</f>
        <v/>
      </c>
      <c r="J291" s="31">
        <f>LET(pc,ABS(F291),oc,ABS(H291),IF(OR(pc="",oc=""),"",MAX(1,MIN(5,ROUND((pc*0.5+oc*0.00001)*5,0))))))</f>
        <v/>
      </c>
    </row>
    <row r="292">
      <c r="A292" s="31" t="n">
        <v>290</v>
      </c>
      <c r="B292" s="31">
        <f>CHAIN_RAW!D290</f>
        <v/>
      </c>
      <c r="C292" s="31">
        <f>CHAIN_RAW!A290</f>
        <v/>
      </c>
      <c r="D292" s="31">
        <f>CHAIN_RAW!C290</f>
        <v/>
      </c>
      <c r="E292" s="31">
        <f>CHAIN_RAW!E290</f>
        <v/>
      </c>
      <c r="F292" s="31">
        <f>CHAIN_RAW!F290</f>
        <v/>
      </c>
      <c r="G292" s="31">
        <f>CHAIN_RAW!I290</f>
        <v/>
      </c>
      <c r="H292" s="31">
        <f>CHAIN_RAW!Q290</f>
        <v/>
      </c>
      <c r="I292" s="31">
        <f>LET(pc,F292,oc,H292,IF(OR(pc="",oc=""),"",IF(AND(pc&gt;0,oc&gt;0),"Long Buildup",IF(AND(pc&lt;0,oc&gt;0),"Short Buildup",IF(AND(pc&gt;0,oc&lt;0),"Short Covering",IF(AND(pc&lt;0,oc&lt;0),"Long Unwinding","Flat"))))))</f>
        <v/>
      </c>
      <c r="J292" s="31">
        <f>LET(pc,ABS(F292),oc,ABS(H292),IF(OR(pc="",oc=""),"",MAX(1,MIN(5,ROUND((pc*0.5+oc*0.00001)*5,0))))))</f>
        <v/>
      </c>
    </row>
    <row r="293">
      <c r="A293" s="31" t="n">
        <v>291</v>
      </c>
      <c r="B293" s="31">
        <f>CHAIN_RAW!D291</f>
        <v/>
      </c>
      <c r="C293" s="31">
        <f>CHAIN_RAW!A291</f>
        <v/>
      </c>
      <c r="D293" s="31">
        <f>CHAIN_RAW!C291</f>
        <v/>
      </c>
      <c r="E293" s="31">
        <f>CHAIN_RAW!E291</f>
        <v/>
      </c>
      <c r="F293" s="31">
        <f>CHAIN_RAW!F291</f>
        <v/>
      </c>
      <c r="G293" s="31">
        <f>CHAIN_RAW!I291</f>
        <v/>
      </c>
      <c r="H293" s="31">
        <f>CHAIN_RAW!Q291</f>
        <v/>
      </c>
      <c r="I293" s="31">
        <f>LET(pc,F293,oc,H293,IF(OR(pc="",oc=""),"",IF(AND(pc&gt;0,oc&gt;0),"Long Buildup",IF(AND(pc&lt;0,oc&gt;0),"Short Buildup",IF(AND(pc&gt;0,oc&lt;0),"Short Covering",IF(AND(pc&lt;0,oc&lt;0),"Long Unwinding","Flat"))))))</f>
        <v/>
      </c>
      <c r="J293" s="31">
        <f>LET(pc,ABS(F293),oc,ABS(H293),IF(OR(pc="",oc=""),"",MAX(1,MIN(5,ROUND((pc*0.5+oc*0.00001)*5,0))))))</f>
        <v/>
      </c>
    </row>
    <row r="294">
      <c r="A294" s="31" t="n">
        <v>292</v>
      </c>
      <c r="B294" s="31">
        <f>CHAIN_RAW!D292</f>
        <v/>
      </c>
      <c r="C294" s="31">
        <f>CHAIN_RAW!A292</f>
        <v/>
      </c>
      <c r="D294" s="31">
        <f>CHAIN_RAW!C292</f>
        <v/>
      </c>
      <c r="E294" s="31">
        <f>CHAIN_RAW!E292</f>
        <v/>
      </c>
      <c r="F294" s="31">
        <f>CHAIN_RAW!F292</f>
        <v/>
      </c>
      <c r="G294" s="31">
        <f>CHAIN_RAW!I292</f>
        <v/>
      </c>
      <c r="H294" s="31">
        <f>CHAIN_RAW!Q292</f>
        <v/>
      </c>
      <c r="I294" s="31">
        <f>LET(pc,F294,oc,H294,IF(OR(pc="",oc=""),"",IF(AND(pc&gt;0,oc&gt;0),"Long Buildup",IF(AND(pc&lt;0,oc&gt;0),"Short Buildup",IF(AND(pc&gt;0,oc&lt;0),"Short Covering",IF(AND(pc&lt;0,oc&lt;0),"Long Unwinding","Flat"))))))</f>
        <v/>
      </c>
      <c r="J294" s="31">
        <f>LET(pc,ABS(F294),oc,ABS(H294),IF(OR(pc="",oc=""),"",MAX(1,MIN(5,ROUND((pc*0.5+oc*0.00001)*5,0))))))</f>
        <v/>
      </c>
    </row>
    <row r="295">
      <c r="A295" s="31" t="n">
        <v>293</v>
      </c>
      <c r="B295" s="31">
        <f>CHAIN_RAW!D293</f>
        <v/>
      </c>
      <c r="C295" s="31">
        <f>CHAIN_RAW!A293</f>
        <v/>
      </c>
      <c r="D295" s="31">
        <f>CHAIN_RAW!C293</f>
        <v/>
      </c>
      <c r="E295" s="31">
        <f>CHAIN_RAW!E293</f>
        <v/>
      </c>
      <c r="F295" s="31">
        <f>CHAIN_RAW!F293</f>
        <v/>
      </c>
      <c r="G295" s="31">
        <f>CHAIN_RAW!I293</f>
        <v/>
      </c>
      <c r="H295" s="31">
        <f>CHAIN_RAW!Q293</f>
        <v/>
      </c>
      <c r="I295" s="31">
        <f>LET(pc,F295,oc,H295,IF(OR(pc="",oc=""),"",IF(AND(pc&gt;0,oc&gt;0),"Long Buildup",IF(AND(pc&lt;0,oc&gt;0),"Short Buildup",IF(AND(pc&gt;0,oc&lt;0),"Short Covering",IF(AND(pc&lt;0,oc&lt;0),"Long Unwinding","Flat"))))))</f>
        <v/>
      </c>
      <c r="J295" s="31">
        <f>LET(pc,ABS(F295),oc,ABS(H295),IF(OR(pc="",oc=""),"",MAX(1,MIN(5,ROUND((pc*0.5+oc*0.00001)*5,0))))))</f>
        <v/>
      </c>
    </row>
    <row r="296">
      <c r="A296" s="31" t="n">
        <v>294</v>
      </c>
      <c r="B296" s="31">
        <f>CHAIN_RAW!D294</f>
        <v/>
      </c>
      <c r="C296" s="31">
        <f>CHAIN_RAW!A294</f>
        <v/>
      </c>
      <c r="D296" s="31">
        <f>CHAIN_RAW!C294</f>
        <v/>
      </c>
      <c r="E296" s="31">
        <f>CHAIN_RAW!E294</f>
        <v/>
      </c>
      <c r="F296" s="31">
        <f>CHAIN_RAW!F294</f>
        <v/>
      </c>
      <c r="G296" s="31">
        <f>CHAIN_RAW!I294</f>
        <v/>
      </c>
      <c r="H296" s="31">
        <f>CHAIN_RAW!Q294</f>
        <v/>
      </c>
      <c r="I296" s="31">
        <f>LET(pc,F296,oc,H296,IF(OR(pc="",oc=""),"",IF(AND(pc&gt;0,oc&gt;0),"Long Buildup",IF(AND(pc&lt;0,oc&gt;0),"Short Buildup",IF(AND(pc&gt;0,oc&lt;0),"Short Covering",IF(AND(pc&lt;0,oc&lt;0),"Long Unwinding","Flat"))))))</f>
        <v/>
      </c>
      <c r="J296" s="31">
        <f>LET(pc,ABS(F296),oc,ABS(H296),IF(OR(pc="",oc=""),"",MAX(1,MIN(5,ROUND((pc*0.5+oc*0.00001)*5,0))))))</f>
        <v/>
      </c>
    </row>
    <row r="297">
      <c r="A297" s="31" t="n">
        <v>295</v>
      </c>
      <c r="B297" s="31">
        <f>CHAIN_RAW!D295</f>
        <v/>
      </c>
      <c r="C297" s="31">
        <f>CHAIN_RAW!A295</f>
        <v/>
      </c>
      <c r="D297" s="31">
        <f>CHAIN_RAW!C295</f>
        <v/>
      </c>
      <c r="E297" s="31">
        <f>CHAIN_RAW!E295</f>
        <v/>
      </c>
      <c r="F297" s="31">
        <f>CHAIN_RAW!F295</f>
        <v/>
      </c>
      <c r="G297" s="31">
        <f>CHAIN_RAW!I295</f>
        <v/>
      </c>
      <c r="H297" s="31">
        <f>CHAIN_RAW!Q295</f>
        <v/>
      </c>
      <c r="I297" s="31">
        <f>LET(pc,F297,oc,H297,IF(OR(pc="",oc=""),"",IF(AND(pc&gt;0,oc&gt;0),"Long Buildup",IF(AND(pc&lt;0,oc&gt;0),"Short Buildup",IF(AND(pc&gt;0,oc&lt;0),"Short Covering",IF(AND(pc&lt;0,oc&lt;0),"Long Unwinding","Flat"))))))</f>
        <v/>
      </c>
      <c r="J297" s="31">
        <f>LET(pc,ABS(F297),oc,ABS(H297),IF(OR(pc="",oc=""),"",MAX(1,MIN(5,ROUND((pc*0.5+oc*0.00001)*5,0))))))</f>
        <v/>
      </c>
    </row>
    <row r="298">
      <c r="A298" s="31" t="n">
        <v>296</v>
      </c>
      <c r="B298" s="31">
        <f>CHAIN_RAW!D296</f>
        <v/>
      </c>
      <c r="C298" s="31">
        <f>CHAIN_RAW!A296</f>
        <v/>
      </c>
      <c r="D298" s="31">
        <f>CHAIN_RAW!C296</f>
        <v/>
      </c>
      <c r="E298" s="31">
        <f>CHAIN_RAW!E296</f>
        <v/>
      </c>
      <c r="F298" s="31">
        <f>CHAIN_RAW!F296</f>
        <v/>
      </c>
      <c r="G298" s="31">
        <f>CHAIN_RAW!I296</f>
        <v/>
      </c>
      <c r="H298" s="31">
        <f>CHAIN_RAW!Q296</f>
        <v/>
      </c>
      <c r="I298" s="31">
        <f>LET(pc,F298,oc,H298,IF(OR(pc="",oc=""),"",IF(AND(pc&gt;0,oc&gt;0),"Long Buildup",IF(AND(pc&lt;0,oc&gt;0),"Short Buildup",IF(AND(pc&gt;0,oc&lt;0),"Short Covering",IF(AND(pc&lt;0,oc&lt;0),"Long Unwinding","Flat"))))))</f>
        <v/>
      </c>
      <c r="J298" s="31">
        <f>LET(pc,ABS(F298),oc,ABS(H298),IF(OR(pc="",oc=""),"",MAX(1,MIN(5,ROUND((pc*0.5+oc*0.00001)*5,0))))))</f>
        <v/>
      </c>
    </row>
    <row r="299">
      <c r="A299" s="31" t="n">
        <v>297</v>
      </c>
      <c r="B299" s="31">
        <f>CHAIN_RAW!D297</f>
        <v/>
      </c>
      <c r="C299" s="31">
        <f>CHAIN_RAW!A297</f>
        <v/>
      </c>
      <c r="D299" s="31">
        <f>CHAIN_RAW!C297</f>
        <v/>
      </c>
      <c r="E299" s="31">
        <f>CHAIN_RAW!E297</f>
        <v/>
      </c>
      <c r="F299" s="31">
        <f>CHAIN_RAW!F297</f>
        <v/>
      </c>
      <c r="G299" s="31">
        <f>CHAIN_RAW!I297</f>
        <v/>
      </c>
      <c r="H299" s="31">
        <f>CHAIN_RAW!Q297</f>
        <v/>
      </c>
      <c r="I299" s="31">
        <f>LET(pc,F299,oc,H299,IF(OR(pc="",oc=""),"",IF(AND(pc&gt;0,oc&gt;0),"Long Buildup",IF(AND(pc&lt;0,oc&gt;0),"Short Buildup",IF(AND(pc&gt;0,oc&lt;0),"Short Covering",IF(AND(pc&lt;0,oc&lt;0),"Long Unwinding","Flat"))))))</f>
        <v/>
      </c>
      <c r="J299" s="31">
        <f>LET(pc,ABS(F299),oc,ABS(H299),IF(OR(pc="",oc=""),"",MAX(1,MIN(5,ROUND((pc*0.5+oc*0.00001)*5,0))))))</f>
        <v/>
      </c>
    </row>
    <row r="300">
      <c r="A300" s="31" t="n">
        <v>298</v>
      </c>
      <c r="B300" s="31">
        <f>CHAIN_RAW!D298</f>
        <v/>
      </c>
      <c r="C300" s="31">
        <f>CHAIN_RAW!A298</f>
        <v/>
      </c>
      <c r="D300" s="31">
        <f>CHAIN_RAW!C298</f>
        <v/>
      </c>
      <c r="E300" s="31">
        <f>CHAIN_RAW!E298</f>
        <v/>
      </c>
      <c r="F300" s="31">
        <f>CHAIN_RAW!F298</f>
        <v/>
      </c>
      <c r="G300" s="31">
        <f>CHAIN_RAW!I298</f>
        <v/>
      </c>
      <c r="H300" s="31">
        <f>CHAIN_RAW!Q298</f>
        <v/>
      </c>
      <c r="I300" s="31">
        <f>LET(pc,F300,oc,H300,IF(OR(pc="",oc=""),"",IF(AND(pc&gt;0,oc&gt;0),"Long Buildup",IF(AND(pc&lt;0,oc&gt;0),"Short Buildup",IF(AND(pc&gt;0,oc&lt;0),"Short Covering",IF(AND(pc&lt;0,oc&lt;0),"Long Unwinding","Flat"))))))</f>
        <v/>
      </c>
      <c r="J300" s="31">
        <f>LET(pc,ABS(F300),oc,ABS(H300),IF(OR(pc="",oc=""),"",MAX(1,MIN(5,ROUND((pc*0.5+oc*0.00001)*5,0))))))</f>
        <v/>
      </c>
    </row>
    <row r="301">
      <c r="A301" s="31" t="n">
        <v>299</v>
      </c>
      <c r="B301" s="31">
        <f>CHAIN_RAW!D299</f>
        <v/>
      </c>
      <c r="C301" s="31">
        <f>CHAIN_RAW!A299</f>
        <v/>
      </c>
      <c r="D301" s="31">
        <f>CHAIN_RAW!C299</f>
        <v/>
      </c>
      <c r="E301" s="31">
        <f>CHAIN_RAW!E299</f>
        <v/>
      </c>
      <c r="F301" s="31">
        <f>CHAIN_RAW!F299</f>
        <v/>
      </c>
      <c r="G301" s="31">
        <f>CHAIN_RAW!I299</f>
        <v/>
      </c>
      <c r="H301" s="31">
        <f>CHAIN_RAW!Q299</f>
        <v/>
      </c>
      <c r="I301" s="31">
        <f>LET(pc,F301,oc,H301,IF(OR(pc="",oc=""),"",IF(AND(pc&gt;0,oc&gt;0),"Long Buildup",IF(AND(pc&lt;0,oc&gt;0),"Short Buildup",IF(AND(pc&gt;0,oc&lt;0),"Short Covering",IF(AND(pc&lt;0,oc&lt;0),"Long Unwinding","Flat"))))))</f>
        <v/>
      </c>
      <c r="J301" s="31">
        <f>LET(pc,ABS(F301),oc,ABS(H301),IF(OR(pc="",oc=""),"",MAX(1,MIN(5,ROUND((pc*0.5+oc*0.00001)*5,0))))))</f>
        <v/>
      </c>
    </row>
    <row r="302">
      <c r="A302" s="31" t="n">
        <v>300</v>
      </c>
      <c r="B302" s="31">
        <f>CHAIN_RAW!D300</f>
        <v/>
      </c>
      <c r="C302" s="31">
        <f>CHAIN_RAW!A300</f>
        <v/>
      </c>
      <c r="D302" s="31">
        <f>CHAIN_RAW!C300</f>
        <v/>
      </c>
      <c r="E302" s="31">
        <f>CHAIN_RAW!E300</f>
        <v/>
      </c>
      <c r="F302" s="31">
        <f>CHAIN_RAW!F300</f>
        <v/>
      </c>
      <c r="G302" s="31">
        <f>CHAIN_RAW!I300</f>
        <v/>
      </c>
      <c r="H302" s="31">
        <f>CHAIN_RAW!Q300</f>
        <v/>
      </c>
      <c r="I302" s="31">
        <f>LET(pc,F302,oc,H302,IF(OR(pc="",oc=""),"",IF(AND(pc&gt;0,oc&gt;0),"Long Buildup",IF(AND(pc&lt;0,oc&gt;0),"Short Buildup",IF(AND(pc&gt;0,oc&lt;0),"Short Covering",IF(AND(pc&lt;0,oc&lt;0),"Long Unwinding","Flat"))))))</f>
        <v/>
      </c>
      <c r="J302" s="31">
        <f>LET(pc,ABS(F302),oc,ABS(H302),IF(OR(pc="",oc=""),"",MAX(1,MIN(5,ROUND((pc*0.5+oc*0.00001)*5,0))))))</f>
        <v/>
      </c>
    </row>
    <row r="303">
      <c r="A303" s="31" t="n">
        <v>301</v>
      </c>
      <c r="B303" s="31">
        <f>CHAIN_RAW!D301</f>
        <v/>
      </c>
      <c r="C303" s="31">
        <f>CHAIN_RAW!A301</f>
        <v/>
      </c>
      <c r="D303" s="31">
        <f>CHAIN_RAW!C301</f>
        <v/>
      </c>
      <c r="E303" s="31">
        <f>CHAIN_RAW!E301</f>
        <v/>
      </c>
      <c r="F303" s="31">
        <f>CHAIN_RAW!F301</f>
        <v/>
      </c>
      <c r="G303" s="31">
        <f>CHAIN_RAW!I301</f>
        <v/>
      </c>
      <c r="H303" s="31">
        <f>CHAIN_RAW!Q301</f>
        <v/>
      </c>
      <c r="I303" s="31">
        <f>LET(pc,F303,oc,H303,IF(OR(pc="",oc=""),"",IF(AND(pc&gt;0,oc&gt;0),"Long Buildup",IF(AND(pc&lt;0,oc&gt;0),"Short Buildup",IF(AND(pc&gt;0,oc&lt;0),"Short Covering",IF(AND(pc&lt;0,oc&lt;0),"Long Unwinding","Flat"))))))</f>
        <v/>
      </c>
      <c r="J303" s="31">
        <f>LET(pc,ABS(F303),oc,ABS(H303),IF(OR(pc="",oc=""),"",MAX(1,MIN(5,ROUND((pc*0.5+oc*0.00001)*5,0))))))</f>
        <v/>
      </c>
    </row>
    <row r="304">
      <c r="A304" s="31" t="n">
        <v>302</v>
      </c>
      <c r="B304" s="31">
        <f>CHAIN_RAW!D302</f>
        <v/>
      </c>
      <c r="C304" s="31">
        <f>CHAIN_RAW!A302</f>
        <v/>
      </c>
      <c r="D304" s="31">
        <f>CHAIN_RAW!C302</f>
        <v/>
      </c>
      <c r="E304" s="31">
        <f>CHAIN_RAW!E302</f>
        <v/>
      </c>
      <c r="F304" s="31">
        <f>CHAIN_RAW!F302</f>
        <v/>
      </c>
      <c r="G304" s="31">
        <f>CHAIN_RAW!I302</f>
        <v/>
      </c>
      <c r="H304" s="31">
        <f>CHAIN_RAW!Q302</f>
        <v/>
      </c>
      <c r="I304" s="31">
        <f>LET(pc,F304,oc,H304,IF(OR(pc="",oc=""),"",IF(AND(pc&gt;0,oc&gt;0),"Long Buildup",IF(AND(pc&lt;0,oc&gt;0),"Short Buildup",IF(AND(pc&gt;0,oc&lt;0),"Short Covering",IF(AND(pc&lt;0,oc&lt;0),"Long Unwinding","Flat"))))))</f>
        <v/>
      </c>
      <c r="J304" s="31">
        <f>LET(pc,ABS(F304),oc,ABS(H304),IF(OR(pc="",oc=""),"",MAX(1,MIN(5,ROUND((pc*0.5+oc*0.00001)*5,0))))))</f>
        <v/>
      </c>
    </row>
    <row r="305">
      <c r="A305" s="31" t="n">
        <v>303</v>
      </c>
      <c r="B305" s="31">
        <f>CHAIN_RAW!D303</f>
        <v/>
      </c>
      <c r="C305" s="31">
        <f>CHAIN_RAW!A303</f>
        <v/>
      </c>
      <c r="D305" s="31">
        <f>CHAIN_RAW!C303</f>
        <v/>
      </c>
      <c r="E305" s="31">
        <f>CHAIN_RAW!E303</f>
        <v/>
      </c>
      <c r="F305" s="31">
        <f>CHAIN_RAW!F303</f>
        <v/>
      </c>
      <c r="G305" s="31">
        <f>CHAIN_RAW!I303</f>
        <v/>
      </c>
      <c r="H305" s="31">
        <f>CHAIN_RAW!Q303</f>
        <v/>
      </c>
      <c r="I305" s="31">
        <f>LET(pc,F305,oc,H305,IF(OR(pc="",oc=""),"",IF(AND(pc&gt;0,oc&gt;0),"Long Buildup",IF(AND(pc&lt;0,oc&gt;0),"Short Buildup",IF(AND(pc&gt;0,oc&lt;0),"Short Covering",IF(AND(pc&lt;0,oc&lt;0),"Long Unwinding","Flat"))))))</f>
        <v/>
      </c>
      <c r="J305" s="31">
        <f>LET(pc,ABS(F305),oc,ABS(H305),IF(OR(pc="",oc=""),"",MAX(1,MIN(5,ROUND((pc*0.5+oc*0.00001)*5,0))))))</f>
        <v/>
      </c>
    </row>
    <row r="306">
      <c r="A306" s="31" t="n">
        <v>304</v>
      </c>
      <c r="B306" s="31">
        <f>CHAIN_RAW!D304</f>
        <v/>
      </c>
      <c r="C306" s="31">
        <f>CHAIN_RAW!A304</f>
        <v/>
      </c>
      <c r="D306" s="31">
        <f>CHAIN_RAW!C304</f>
        <v/>
      </c>
      <c r="E306" s="31">
        <f>CHAIN_RAW!E304</f>
        <v/>
      </c>
      <c r="F306" s="31">
        <f>CHAIN_RAW!F304</f>
        <v/>
      </c>
      <c r="G306" s="31">
        <f>CHAIN_RAW!I304</f>
        <v/>
      </c>
      <c r="H306" s="31">
        <f>CHAIN_RAW!Q304</f>
        <v/>
      </c>
      <c r="I306" s="31">
        <f>LET(pc,F306,oc,H306,IF(OR(pc="",oc=""),"",IF(AND(pc&gt;0,oc&gt;0),"Long Buildup",IF(AND(pc&lt;0,oc&gt;0),"Short Buildup",IF(AND(pc&gt;0,oc&lt;0),"Short Covering",IF(AND(pc&lt;0,oc&lt;0),"Long Unwinding","Flat"))))))</f>
        <v/>
      </c>
      <c r="J306" s="31">
        <f>LET(pc,ABS(F306),oc,ABS(H306),IF(OR(pc="",oc=""),"",MAX(1,MIN(5,ROUND((pc*0.5+oc*0.00001)*5,0))))))</f>
        <v/>
      </c>
    </row>
    <row r="307">
      <c r="A307" s="31" t="n">
        <v>305</v>
      </c>
      <c r="B307" s="31">
        <f>CHAIN_RAW!D305</f>
        <v/>
      </c>
      <c r="C307" s="31">
        <f>CHAIN_RAW!A305</f>
        <v/>
      </c>
      <c r="D307" s="31">
        <f>CHAIN_RAW!C305</f>
        <v/>
      </c>
      <c r="E307" s="31">
        <f>CHAIN_RAW!E305</f>
        <v/>
      </c>
      <c r="F307" s="31">
        <f>CHAIN_RAW!F305</f>
        <v/>
      </c>
      <c r="G307" s="31">
        <f>CHAIN_RAW!I305</f>
        <v/>
      </c>
      <c r="H307" s="31">
        <f>CHAIN_RAW!Q305</f>
        <v/>
      </c>
      <c r="I307" s="31">
        <f>LET(pc,F307,oc,H307,IF(OR(pc="",oc=""),"",IF(AND(pc&gt;0,oc&gt;0),"Long Buildup",IF(AND(pc&lt;0,oc&gt;0),"Short Buildup",IF(AND(pc&gt;0,oc&lt;0),"Short Covering",IF(AND(pc&lt;0,oc&lt;0),"Long Unwinding","Flat"))))))</f>
        <v/>
      </c>
      <c r="J307" s="31">
        <f>LET(pc,ABS(F307),oc,ABS(H307),IF(OR(pc="",oc=""),"",MAX(1,MIN(5,ROUND((pc*0.5+oc*0.00001)*5,0))))))</f>
        <v/>
      </c>
    </row>
    <row r="308">
      <c r="A308" s="31" t="n">
        <v>306</v>
      </c>
      <c r="B308" s="31">
        <f>CHAIN_RAW!D306</f>
        <v/>
      </c>
      <c r="C308" s="31">
        <f>CHAIN_RAW!A306</f>
        <v/>
      </c>
      <c r="D308" s="31">
        <f>CHAIN_RAW!C306</f>
        <v/>
      </c>
      <c r="E308" s="31">
        <f>CHAIN_RAW!E306</f>
        <v/>
      </c>
      <c r="F308" s="31">
        <f>CHAIN_RAW!F306</f>
        <v/>
      </c>
      <c r="G308" s="31">
        <f>CHAIN_RAW!I306</f>
        <v/>
      </c>
      <c r="H308" s="31">
        <f>CHAIN_RAW!Q306</f>
        <v/>
      </c>
      <c r="I308" s="31">
        <f>LET(pc,F308,oc,H308,IF(OR(pc="",oc=""),"",IF(AND(pc&gt;0,oc&gt;0),"Long Buildup",IF(AND(pc&lt;0,oc&gt;0),"Short Buildup",IF(AND(pc&gt;0,oc&lt;0),"Short Covering",IF(AND(pc&lt;0,oc&lt;0),"Long Unwinding","Flat"))))))</f>
        <v/>
      </c>
      <c r="J308" s="31">
        <f>LET(pc,ABS(F308),oc,ABS(H308),IF(OR(pc="",oc=""),"",MAX(1,MIN(5,ROUND((pc*0.5+oc*0.00001)*5,0))))))</f>
        <v/>
      </c>
    </row>
    <row r="309">
      <c r="A309" s="31" t="n">
        <v>307</v>
      </c>
      <c r="B309" s="31">
        <f>CHAIN_RAW!D307</f>
        <v/>
      </c>
      <c r="C309" s="31">
        <f>CHAIN_RAW!A307</f>
        <v/>
      </c>
      <c r="D309" s="31">
        <f>CHAIN_RAW!C307</f>
        <v/>
      </c>
      <c r="E309" s="31">
        <f>CHAIN_RAW!E307</f>
        <v/>
      </c>
      <c r="F309" s="31">
        <f>CHAIN_RAW!F307</f>
        <v/>
      </c>
      <c r="G309" s="31">
        <f>CHAIN_RAW!I307</f>
        <v/>
      </c>
      <c r="H309" s="31">
        <f>CHAIN_RAW!Q307</f>
        <v/>
      </c>
      <c r="I309" s="31">
        <f>LET(pc,F309,oc,H309,IF(OR(pc="",oc=""),"",IF(AND(pc&gt;0,oc&gt;0),"Long Buildup",IF(AND(pc&lt;0,oc&gt;0),"Short Buildup",IF(AND(pc&gt;0,oc&lt;0),"Short Covering",IF(AND(pc&lt;0,oc&lt;0),"Long Unwinding","Flat"))))))</f>
        <v/>
      </c>
      <c r="J309" s="31">
        <f>LET(pc,ABS(F309),oc,ABS(H309),IF(OR(pc="",oc=""),"",MAX(1,MIN(5,ROUND((pc*0.5+oc*0.00001)*5,0))))))</f>
        <v/>
      </c>
    </row>
    <row r="310">
      <c r="A310" s="31" t="n">
        <v>308</v>
      </c>
      <c r="B310" s="31">
        <f>CHAIN_RAW!D308</f>
        <v/>
      </c>
      <c r="C310" s="31">
        <f>CHAIN_RAW!A308</f>
        <v/>
      </c>
      <c r="D310" s="31">
        <f>CHAIN_RAW!C308</f>
        <v/>
      </c>
      <c r="E310" s="31">
        <f>CHAIN_RAW!E308</f>
        <v/>
      </c>
      <c r="F310" s="31">
        <f>CHAIN_RAW!F308</f>
        <v/>
      </c>
      <c r="G310" s="31">
        <f>CHAIN_RAW!I308</f>
        <v/>
      </c>
      <c r="H310" s="31">
        <f>CHAIN_RAW!Q308</f>
        <v/>
      </c>
      <c r="I310" s="31">
        <f>LET(pc,F310,oc,H310,IF(OR(pc="",oc=""),"",IF(AND(pc&gt;0,oc&gt;0),"Long Buildup",IF(AND(pc&lt;0,oc&gt;0),"Short Buildup",IF(AND(pc&gt;0,oc&lt;0),"Short Covering",IF(AND(pc&lt;0,oc&lt;0),"Long Unwinding","Flat"))))))</f>
        <v/>
      </c>
      <c r="J310" s="31">
        <f>LET(pc,ABS(F310),oc,ABS(H310),IF(OR(pc="",oc=""),"",MAX(1,MIN(5,ROUND((pc*0.5+oc*0.00001)*5,0))))))</f>
        <v/>
      </c>
    </row>
    <row r="311">
      <c r="A311" s="31" t="n">
        <v>309</v>
      </c>
      <c r="B311" s="31">
        <f>CHAIN_RAW!D309</f>
        <v/>
      </c>
      <c r="C311" s="31">
        <f>CHAIN_RAW!A309</f>
        <v/>
      </c>
      <c r="D311" s="31">
        <f>CHAIN_RAW!C309</f>
        <v/>
      </c>
      <c r="E311" s="31">
        <f>CHAIN_RAW!E309</f>
        <v/>
      </c>
      <c r="F311" s="31">
        <f>CHAIN_RAW!F309</f>
        <v/>
      </c>
      <c r="G311" s="31">
        <f>CHAIN_RAW!I309</f>
        <v/>
      </c>
      <c r="H311" s="31">
        <f>CHAIN_RAW!Q309</f>
        <v/>
      </c>
      <c r="I311" s="31">
        <f>LET(pc,F311,oc,H311,IF(OR(pc="",oc=""),"",IF(AND(pc&gt;0,oc&gt;0),"Long Buildup",IF(AND(pc&lt;0,oc&gt;0),"Short Buildup",IF(AND(pc&gt;0,oc&lt;0),"Short Covering",IF(AND(pc&lt;0,oc&lt;0),"Long Unwinding","Flat"))))))</f>
        <v/>
      </c>
      <c r="J311" s="31">
        <f>LET(pc,ABS(F311),oc,ABS(H311),IF(OR(pc="",oc=""),"",MAX(1,MIN(5,ROUND((pc*0.5+oc*0.00001)*5,0))))))</f>
        <v/>
      </c>
    </row>
    <row r="312">
      <c r="A312" s="31" t="n">
        <v>310</v>
      </c>
      <c r="B312" s="31">
        <f>CHAIN_RAW!D310</f>
        <v/>
      </c>
      <c r="C312" s="31">
        <f>CHAIN_RAW!A310</f>
        <v/>
      </c>
      <c r="D312" s="31">
        <f>CHAIN_RAW!C310</f>
        <v/>
      </c>
      <c r="E312" s="31">
        <f>CHAIN_RAW!E310</f>
        <v/>
      </c>
      <c r="F312" s="31">
        <f>CHAIN_RAW!F310</f>
        <v/>
      </c>
      <c r="G312" s="31">
        <f>CHAIN_RAW!I310</f>
        <v/>
      </c>
      <c r="H312" s="31">
        <f>CHAIN_RAW!Q310</f>
        <v/>
      </c>
      <c r="I312" s="31">
        <f>LET(pc,F312,oc,H312,IF(OR(pc="",oc=""),"",IF(AND(pc&gt;0,oc&gt;0),"Long Buildup",IF(AND(pc&lt;0,oc&gt;0),"Short Buildup",IF(AND(pc&gt;0,oc&lt;0),"Short Covering",IF(AND(pc&lt;0,oc&lt;0),"Long Unwinding","Flat"))))))</f>
        <v/>
      </c>
      <c r="J312" s="31">
        <f>LET(pc,ABS(F312),oc,ABS(H312),IF(OR(pc="",oc=""),"",MAX(1,MIN(5,ROUND((pc*0.5+oc*0.00001)*5,0))))))</f>
        <v/>
      </c>
    </row>
    <row r="313">
      <c r="A313" s="31" t="n">
        <v>311</v>
      </c>
      <c r="B313" s="31">
        <f>CHAIN_RAW!D311</f>
        <v/>
      </c>
      <c r="C313" s="31">
        <f>CHAIN_RAW!A311</f>
        <v/>
      </c>
      <c r="D313" s="31">
        <f>CHAIN_RAW!C311</f>
        <v/>
      </c>
      <c r="E313" s="31">
        <f>CHAIN_RAW!E311</f>
        <v/>
      </c>
      <c r="F313" s="31">
        <f>CHAIN_RAW!F311</f>
        <v/>
      </c>
      <c r="G313" s="31">
        <f>CHAIN_RAW!I311</f>
        <v/>
      </c>
      <c r="H313" s="31">
        <f>CHAIN_RAW!Q311</f>
        <v/>
      </c>
      <c r="I313" s="31">
        <f>LET(pc,F313,oc,H313,IF(OR(pc="",oc=""),"",IF(AND(pc&gt;0,oc&gt;0),"Long Buildup",IF(AND(pc&lt;0,oc&gt;0),"Short Buildup",IF(AND(pc&gt;0,oc&lt;0),"Short Covering",IF(AND(pc&lt;0,oc&lt;0),"Long Unwinding","Flat"))))))</f>
        <v/>
      </c>
      <c r="J313" s="31">
        <f>LET(pc,ABS(F313),oc,ABS(H313),IF(OR(pc="",oc=""),"",MAX(1,MIN(5,ROUND((pc*0.5+oc*0.00001)*5,0))))))</f>
        <v/>
      </c>
    </row>
    <row r="314">
      <c r="A314" s="31" t="n">
        <v>312</v>
      </c>
      <c r="B314" s="31">
        <f>CHAIN_RAW!D312</f>
        <v/>
      </c>
      <c r="C314" s="31">
        <f>CHAIN_RAW!A312</f>
        <v/>
      </c>
      <c r="D314" s="31">
        <f>CHAIN_RAW!C312</f>
        <v/>
      </c>
      <c r="E314" s="31">
        <f>CHAIN_RAW!E312</f>
        <v/>
      </c>
      <c r="F314" s="31">
        <f>CHAIN_RAW!F312</f>
        <v/>
      </c>
      <c r="G314" s="31">
        <f>CHAIN_RAW!I312</f>
        <v/>
      </c>
      <c r="H314" s="31">
        <f>CHAIN_RAW!Q312</f>
        <v/>
      </c>
      <c r="I314" s="31">
        <f>LET(pc,F314,oc,H314,IF(OR(pc="",oc=""),"",IF(AND(pc&gt;0,oc&gt;0),"Long Buildup",IF(AND(pc&lt;0,oc&gt;0),"Short Buildup",IF(AND(pc&gt;0,oc&lt;0),"Short Covering",IF(AND(pc&lt;0,oc&lt;0),"Long Unwinding","Flat"))))))</f>
        <v/>
      </c>
      <c r="J314" s="31">
        <f>LET(pc,ABS(F314),oc,ABS(H314),IF(OR(pc="",oc=""),"",MAX(1,MIN(5,ROUND((pc*0.5+oc*0.00001)*5,0))))))</f>
        <v/>
      </c>
    </row>
    <row r="315">
      <c r="A315" s="31" t="n">
        <v>313</v>
      </c>
      <c r="B315" s="31">
        <f>CHAIN_RAW!D313</f>
        <v/>
      </c>
      <c r="C315" s="31">
        <f>CHAIN_RAW!A313</f>
        <v/>
      </c>
      <c r="D315" s="31">
        <f>CHAIN_RAW!C313</f>
        <v/>
      </c>
      <c r="E315" s="31">
        <f>CHAIN_RAW!E313</f>
        <v/>
      </c>
      <c r="F315" s="31">
        <f>CHAIN_RAW!F313</f>
        <v/>
      </c>
      <c r="G315" s="31">
        <f>CHAIN_RAW!I313</f>
        <v/>
      </c>
      <c r="H315" s="31">
        <f>CHAIN_RAW!Q313</f>
        <v/>
      </c>
      <c r="I315" s="31">
        <f>LET(pc,F315,oc,H315,IF(OR(pc="",oc=""),"",IF(AND(pc&gt;0,oc&gt;0),"Long Buildup",IF(AND(pc&lt;0,oc&gt;0),"Short Buildup",IF(AND(pc&gt;0,oc&lt;0),"Short Covering",IF(AND(pc&lt;0,oc&lt;0),"Long Unwinding","Flat"))))))</f>
        <v/>
      </c>
      <c r="J315" s="31">
        <f>LET(pc,ABS(F315),oc,ABS(H315),IF(OR(pc="",oc=""),"",MAX(1,MIN(5,ROUND((pc*0.5+oc*0.00001)*5,0))))))</f>
        <v/>
      </c>
    </row>
    <row r="316">
      <c r="A316" s="31" t="n">
        <v>314</v>
      </c>
      <c r="B316" s="31">
        <f>CHAIN_RAW!D314</f>
        <v/>
      </c>
      <c r="C316" s="31">
        <f>CHAIN_RAW!A314</f>
        <v/>
      </c>
      <c r="D316" s="31">
        <f>CHAIN_RAW!C314</f>
        <v/>
      </c>
      <c r="E316" s="31">
        <f>CHAIN_RAW!E314</f>
        <v/>
      </c>
      <c r="F316" s="31">
        <f>CHAIN_RAW!F314</f>
        <v/>
      </c>
      <c r="G316" s="31">
        <f>CHAIN_RAW!I314</f>
        <v/>
      </c>
      <c r="H316" s="31">
        <f>CHAIN_RAW!Q314</f>
        <v/>
      </c>
      <c r="I316" s="31">
        <f>LET(pc,F316,oc,H316,IF(OR(pc="",oc=""),"",IF(AND(pc&gt;0,oc&gt;0),"Long Buildup",IF(AND(pc&lt;0,oc&gt;0),"Short Buildup",IF(AND(pc&gt;0,oc&lt;0),"Short Covering",IF(AND(pc&lt;0,oc&lt;0),"Long Unwinding","Flat"))))))</f>
        <v/>
      </c>
      <c r="J316" s="31">
        <f>LET(pc,ABS(F316),oc,ABS(H316),IF(OR(pc="",oc=""),"",MAX(1,MIN(5,ROUND((pc*0.5+oc*0.00001)*5,0))))))</f>
        <v/>
      </c>
    </row>
    <row r="317">
      <c r="A317" s="31" t="n">
        <v>315</v>
      </c>
      <c r="B317" s="31">
        <f>CHAIN_RAW!D315</f>
        <v/>
      </c>
      <c r="C317" s="31">
        <f>CHAIN_RAW!A315</f>
        <v/>
      </c>
      <c r="D317" s="31">
        <f>CHAIN_RAW!C315</f>
        <v/>
      </c>
      <c r="E317" s="31">
        <f>CHAIN_RAW!E315</f>
        <v/>
      </c>
      <c r="F317" s="31">
        <f>CHAIN_RAW!F315</f>
        <v/>
      </c>
      <c r="G317" s="31">
        <f>CHAIN_RAW!I315</f>
        <v/>
      </c>
      <c r="H317" s="31">
        <f>CHAIN_RAW!Q315</f>
        <v/>
      </c>
      <c r="I317" s="31">
        <f>LET(pc,F317,oc,H317,IF(OR(pc="",oc=""),"",IF(AND(pc&gt;0,oc&gt;0),"Long Buildup",IF(AND(pc&lt;0,oc&gt;0),"Short Buildup",IF(AND(pc&gt;0,oc&lt;0),"Short Covering",IF(AND(pc&lt;0,oc&lt;0),"Long Unwinding","Flat"))))))</f>
        <v/>
      </c>
      <c r="J317" s="31">
        <f>LET(pc,ABS(F317),oc,ABS(H317),IF(OR(pc="",oc=""),"",MAX(1,MIN(5,ROUND((pc*0.5+oc*0.00001)*5,0))))))</f>
        <v/>
      </c>
    </row>
    <row r="318">
      <c r="A318" s="31" t="n">
        <v>316</v>
      </c>
      <c r="B318" s="31">
        <f>CHAIN_RAW!D316</f>
        <v/>
      </c>
      <c r="C318" s="31">
        <f>CHAIN_RAW!A316</f>
        <v/>
      </c>
      <c r="D318" s="31">
        <f>CHAIN_RAW!C316</f>
        <v/>
      </c>
      <c r="E318" s="31">
        <f>CHAIN_RAW!E316</f>
        <v/>
      </c>
      <c r="F318" s="31">
        <f>CHAIN_RAW!F316</f>
        <v/>
      </c>
      <c r="G318" s="31">
        <f>CHAIN_RAW!I316</f>
        <v/>
      </c>
      <c r="H318" s="31">
        <f>CHAIN_RAW!Q316</f>
        <v/>
      </c>
      <c r="I318" s="31">
        <f>LET(pc,F318,oc,H318,IF(OR(pc="",oc=""),"",IF(AND(pc&gt;0,oc&gt;0),"Long Buildup",IF(AND(pc&lt;0,oc&gt;0),"Short Buildup",IF(AND(pc&gt;0,oc&lt;0),"Short Covering",IF(AND(pc&lt;0,oc&lt;0),"Long Unwinding","Flat"))))))</f>
        <v/>
      </c>
      <c r="J318" s="31">
        <f>LET(pc,ABS(F318),oc,ABS(H318),IF(OR(pc="",oc=""),"",MAX(1,MIN(5,ROUND((pc*0.5+oc*0.00001)*5,0))))))</f>
        <v/>
      </c>
    </row>
    <row r="319">
      <c r="A319" s="31" t="n">
        <v>317</v>
      </c>
      <c r="B319" s="31">
        <f>CHAIN_RAW!D317</f>
        <v/>
      </c>
      <c r="C319" s="31">
        <f>CHAIN_RAW!A317</f>
        <v/>
      </c>
      <c r="D319" s="31">
        <f>CHAIN_RAW!C317</f>
        <v/>
      </c>
      <c r="E319" s="31">
        <f>CHAIN_RAW!E317</f>
        <v/>
      </c>
      <c r="F319" s="31">
        <f>CHAIN_RAW!F317</f>
        <v/>
      </c>
      <c r="G319" s="31">
        <f>CHAIN_RAW!I317</f>
        <v/>
      </c>
      <c r="H319" s="31">
        <f>CHAIN_RAW!Q317</f>
        <v/>
      </c>
      <c r="I319" s="31">
        <f>LET(pc,F319,oc,H319,IF(OR(pc="",oc=""),"",IF(AND(pc&gt;0,oc&gt;0),"Long Buildup",IF(AND(pc&lt;0,oc&gt;0),"Short Buildup",IF(AND(pc&gt;0,oc&lt;0),"Short Covering",IF(AND(pc&lt;0,oc&lt;0),"Long Unwinding","Flat"))))))</f>
        <v/>
      </c>
      <c r="J319" s="31">
        <f>LET(pc,ABS(F319),oc,ABS(H319),IF(OR(pc="",oc=""),"",MAX(1,MIN(5,ROUND((pc*0.5+oc*0.00001)*5,0))))))</f>
        <v/>
      </c>
    </row>
    <row r="320">
      <c r="A320" s="31" t="n">
        <v>318</v>
      </c>
      <c r="B320" s="31">
        <f>CHAIN_RAW!D318</f>
        <v/>
      </c>
      <c r="C320" s="31">
        <f>CHAIN_RAW!A318</f>
        <v/>
      </c>
      <c r="D320" s="31">
        <f>CHAIN_RAW!C318</f>
        <v/>
      </c>
      <c r="E320" s="31">
        <f>CHAIN_RAW!E318</f>
        <v/>
      </c>
      <c r="F320" s="31">
        <f>CHAIN_RAW!F318</f>
        <v/>
      </c>
      <c r="G320" s="31">
        <f>CHAIN_RAW!I318</f>
        <v/>
      </c>
      <c r="H320" s="31">
        <f>CHAIN_RAW!Q318</f>
        <v/>
      </c>
      <c r="I320" s="31">
        <f>LET(pc,F320,oc,H320,IF(OR(pc="",oc=""),"",IF(AND(pc&gt;0,oc&gt;0),"Long Buildup",IF(AND(pc&lt;0,oc&gt;0),"Short Buildup",IF(AND(pc&gt;0,oc&lt;0),"Short Covering",IF(AND(pc&lt;0,oc&lt;0),"Long Unwinding","Flat"))))))</f>
        <v/>
      </c>
      <c r="J320" s="31">
        <f>LET(pc,ABS(F320),oc,ABS(H320),IF(OR(pc="",oc=""),"",MAX(1,MIN(5,ROUND((pc*0.5+oc*0.00001)*5,0))))))</f>
        <v/>
      </c>
    </row>
    <row r="321">
      <c r="A321" s="31" t="n">
        <v>319</v>
      </c>
      <c r="B321" s="31">
        <f>CHAIN_RAW!D319</f>
        <v/>
      </c>
      <c r="C321" s="31">
        <f>CHAIN_RAW!A319</f>
        <v/>
      </c>
      <c r="D321" s="31">
        <f>CHAIN_RAW!C319</f>
        <v/>
      </c>
      <c r="E321" s="31">
        <f>CHAIN_RAW!E319</f>
        <v/>
      </c>
      <c r="F321" s="31">
        <f>CHAIN_RAW!F319</f>
        <v/>
      </c>
      <c r="G321" s="31">
        <f>CHAIN_RAW!I319</f>
        <v/>
      </c>
      <c r="H321" s="31">
        <f>CHAIN_RAW!Q319</f>
        <v/>
      </c>
      <c r="I321" s="31">
        <f>LET(pc,F321,oc,H321,IF(OR(pc="",oc=""),"",IF(AND(pc&gt;0,oc&gt;0),"Long Buildup",IF(AND(pc&lt;0,oc&gt;0),"Short Buildup",IF(AND(pc&gt;0,oc&lt;0),"Short Covering",IF(AND(pc&lt;0,oc&lt;0),"Long Unwinding","Flat"))))))</f>
        <v/>
      </c>
      <c r="J321" s="31">
        <f>LET(pc,ABS(F321),oc,ABS(H321),IF(OR(pc="",oc=""),"",MAX(1,MIN(5,ROUND((pc*0.5+oc*0.00001)*5,0))))))</f>
        <v/>
      </c>
    </row>
    <row r="322">
      <c r="A322" s="31" t="n">
        <v>320</v>
      </c>
      <c r="B322" s="31">
        <f>CHAIN_RAW!D320</f>
        <v/>
      </c>
      <c r="C322" s="31">
        <f>CHAIN_RAW!A320</f>
        <v/>
      </c>
      <c r="D322" s="31">
        <f>CHAIN_RAW!C320</f>
        <v/>
      </c>
      <c r="E322" s="31">
        <f>CHAIN_RAW!E320</f>
        <v/>
      </c>
      <c r="F322" s="31">
        <f>CHAIN_RAW!F320</f>
        <v/>
      </c>
      <c r="G322" s="31">
        <f>CHAIN_RAW!I320</f>
        <v/>
      </c>
      <c r="H322" s="31">
        <f>CHAIN_RAW!Q320</f>
        <v/>
      </c>
      <c r="I322" s="31">
        <f>LET(pc,F322,oc,H322,IF(OR(pc="",oc=""),"",IF(AND(pc&gt;0,oc&gt;0),"Long Buildup",IF(AND(pc&lt;0,oc&gt;0),"Short Buildup",IF(AND(pc&gt;0,oc&lt;0),"Short Covering",IF(AND(pc&lt;0,oc&lt;0),"Long Unwinding","Flat"))))))</f>
        <v/>
      </c>
      <c r="J322" s="31">
        <f>LET(pc,ABS(F322),oc,ABS(H322),IF(OR(pc="",oc=""),"",MAX(1,MIN(5,ROUND((pc*0.5+oc*0.00001)*5,0))))))</f>
        <v/>
      </c>
    </row>
    <row r="323">
      <c r="A323" s="31" t="n">
        <v>321</v>
      </c>
      <c r="B323" s="31">
        <f>CHAIN_RAW!D321</f>
        <v/>
      </c>
      <c r="C323" s="31">
        <f>CHAIN_RAW!A321</f>
        <v/>
      </c>
      <c r="D323" s="31">
        <f>CHAIN_RAW!C321</f>
        <v/>
      </c>
      <c r="E323" s="31">
        <f>CHAIN_RAW!E321</f>
        <v/>
      </c>
      <c r="F323" s="31">
        <f>CHAIN_RAW!F321</f>
        <v/>
      </c>
      <c r="G323" s="31">
        <f>CHAIN_RAW!I321</f>
        <v/>
      </c>
      <c r="H323" s="31">
        <f>CHAIN_RAW!Q321</f>
        <v/>
      </c>
      <c r="I323" s="31">
        <f>LET(pc,F323,oc,H323,IF(OR(pc="",oc=""),"",IF(AND(pc&gt;0,oc&gt;0),"Long Buildup",IF(AND(pc&lt;0,oc&gt;0),"Short Buildup",IF(AND(pc&gt;0,oc&lt;0),"Short Covering",IF(AND(pc&lt;0,oc&lt;0),"Long Unwinding","Flat"))))))</f>
        <v/>
      </c>
      <c r="J323" s="31">
        <f>LET(pc,ABS(F323),oc,ABS(H323),IF(OR(pc="",oc=""),"",MAX(1,MIN(5,ROUND((pc*0.5+oc*0.00001)*5,0))))))</f>
        <v/>
      </c>
    </row>
    <row r="324">
      <c r="A324" s="31" t="n">
        <v>322</v>
      </c>
      <c r="B324" s="31">
        <f>CHAIN_RAW!D322</f>
        <v/>
      </c>
      <c r="C324" s="31">
        <f>CHAIN_RAW!A322</f>
        <v/>
      </c>
      <c r="D324" s="31">
        <f>CHAIN_RAW!C322</f>
        <v/>
      </c>
      <c r="E324" s="31">
        <f>CHAIN_RAW!E322</f>
        <v/>
      </c>
      <c r="F324" s="31">
        <f>CHAIN_RAW!F322</f>
        <v/>
      </c>
      <c r="G324" s="31">
        <f>CHAIN_RAW!I322</f>
        <v/>
      </c>
      <c r="H324" s="31">
        <f>CHAIN_RAW!Q322</f>
        <v/>
      </c>
      <c r="I324" s="31">
        <f>LET(pc,F324,oc,H324,IF(OR(pc="",oc=""),"",IF(AND(pc&gt;0,oc&gt;0),"Long Buildup",IF(AND(pc&lt;0,oc&gt;0),"Short Buildup",IF(AND(pc&gt;0,oc&lt;0),"Short Covering",IF(AND(pc&lt;0,oc&lt;0),"Long Unwinding","Flat"))))))</f>
        <v/>
      </c>
      <c r="J324" s="31">
        <f>LET(pc,ABS(F324),oc,ABS(H324),IF(OR(pc="",oc=""),"",MAX(1,MIN(5,ROUND((pc*0.5+oc*0.00001)*5,0))))))</f>
        <v/>
      </c>
    </row>
    <row r="325">
      <c r="A325" s="31" t="n">
        <v>323</v>
      </c>
      <c r="B325" s="31">
        <f>CHAIN_RAW!D323</f>
        <v/>
      </c>
      <c r="C325" s="31">
        <f>CHAIN_RAW!A323</f>
        <v/>
      </c>
      <c r="D325" s="31">
        <f>CHAIN_RAW!C323</f>
        <v/>
      </c>
      <c r="E325" s="31">
        <f>CHAIN_RAW!E323</f>
        <v/>
      </c>
      <c r="F325" s="31">
        <f>CHAIN_RAW!F323</f>
        <v/>
      </c>
      <c r="G325" s="31">
        <f>CHAIN_RAW!I323</f>
        <v/>
      </c>
      <c r="H325" s="31">
        <f>CHAIN_RAW!Q323</f>
        <v/>
      </c>
      <c r="I325" s="31">
        <f>LET(pc,F325,oc,H325,IF(OR(pc="",oc=""),"",IF(AND(pc&gt;0,oc&gt;0),"Long Buildup",IF(AND(pc&lt;0,oc&gt;0),"Short Buildup",IF(AND(pc&gt;0,oc&lt;0),"Short Covering",IF(AND(pc&lt;0,oc&lt;0),"Long Unwinding","Flat"))))))</f>
        <v/>
      </c>
      <c r="J325" s="31">
        <f>LET(pc,ABS(F325),oc,ABS(H325),IF(OR(pc="",oc=""),"",MAX(1,MIN(5,ROUND((pc*0.5+oc*0.00001)*5,0))))))</f>
        <v/>
      </c>
    </row>
    <row r="326">
      <c r="A326" s="31" t="n">
        <v>324</v>
      </c>
      <c r="B326" s="31">
        <f>CHAIN_RAW!D324</f>
        <v/>
      </c>
      <c r="C326" s="31">
        <f>CHAIN_RAW!A324</f>
        <v/>
      </c>
      <c r="D326" s="31">
        <f>CHAIN_RAW!C324</f>
        <v/>
      </c>
      <c r="E326" s="31">
        <f>CHAIN_RAW!E324</f>
        <v/>
      </c>
      <c r="F326" s="31">
        <f>CHAIN_RAW!F324</f>
        <v/>
      </c>
      <c r="G326" s="31">
        <f>CHAIN_RAW!I324</f>
        <v/>
      </c>
      <c r="H326" s="31">
        <f>CHAIN_RAW!Q324</f>
        <v/>
      </c>
      <c r="I326" s="31">
        <f>LET(pc,F326,oc,H326,IF(OR(pc="",oc=""),"",IF(AND(pc&gt;0,oc&gt;0),"Long Buildup",IF(AND(pc&lt;0,oc&gt;0),"Short Buildup",IF(AND(pc&gt;0,oc&lt;0),"Short Covering",IF(AND(pc&lt;0,oc&lt;0),"Long Unwinding","Flat"))))))</f>
        <v/>
      </c>
      <c r="J326" s="31">
        <f>LET(pc,ABS(F326),oc,ABS(H326),IF(OR(pc="",oc=""),"",MAX(1,MIN(5,ROUND((pc*0.5+oc*0.00001)*5,0))))))</f>
        <v/>
      </c>
    </row>
    <row r="327">
      <c r="A327" s="31" t="n">
        <v>325</v>
      </c>
      <c r="B327" s="31">
        <f>CHAIN_RAW!D325</f>
        <v/>
      </c>
      <c r="C327" s="31">
        <f>CHAIN_RAW!A325</f>
        <v/>
      </c>
      <c r="D327" s="31">
        <f>CHAIN_RAW!C325</f>
        <v/>
      </c>
      <c r="E327" s="31">
        <f>CHAIN_RAW!E325</f>
        <v/>
      </c>
      <c r="F327" s="31">
        <f>CHAIN_RAW!F325</f>
        <v/>
      </c>
      <c r="G327" s="31">
        <f>CHAIN_RAW!I325</f>
        <v/>
      </c>
      <c r="H327" s="31">
        <f>CHAIN_RAW!Q325</f>
        <v/>
      </c>
      <c r="I327" s="31">
        <f>LET(pc,F327,oc,H327,IF(OR(pc="",oc=""),"",IF(AND(pc&gt;0,oc&gt;0),"Long Buildup",IF(AND(pc&lt;0,oc&gt;0),"Short Buildup",IF(AND(pc&gt;0,oc&lt;0),"Short Covering",IF(AND(pc&lt;0,oc&lt;0),"Long Unwinding","Flat"))))))</f>
        <v/>
      </c>
      <c r="J327" s="31">
        <f>LET(pc,ABS(F327),oc,ABS(H327),IF(OR(pc="",oc=""),"",MAX(1,MIN(5,ROUND((pc*0.5+oc*0.00001)*5,0))))))</f>
        <v/>
      </c>
    </row>
    <row r="328">
      <c r="A328" s="31" t="n">
        <v>326</v>
      </c>
      <c r="B328" s="31">
        <f>CHAIN_RAW!D326</f>
        <v/>
      </c>
      <c r="C328" s="31">
        <f>CHAIN_RAW!A326</f>
        <v/>
      </c>
      <c r="D328" s="31">
        <f>CHAIN_RAW!C326</f>
        <v/>
      </c>
      <c r="E328" s="31">
        <f>CHAIN_RAW!E326</f>
        <v/>
      </c>
      <c r="F328" s="31">
        <f>CHAIN_RAW!F326</f>
        <v/>
      </c>
      <c r="G328" s="31">
        <f>CHAIN_RAW!I326</f>
        <v/>
      </c>
      <c r="H328" s="31">
        <f>CHAIN_RAW!Q326</f>
        <v/>
      </c>
      <c r="I328" s="31">
        <f>LET(pc,F328,oc,H328,IF(OR(pc="",oc=""),"",IF(AND(pc&gt;0,oc&gt;0),"Long Buildup",IF(AND(pc&lt;0,oc&gt;0),"Short Buildup",IF(AND(pc&gt;0,oc&lt;0),"Short Covering",IF(AND(pc&lt;0,oc&lt;0),"Long Unwinding","Flat"))))))</f>
        <v/>
      </c>
      <c r="J328" s="31">
        <f>LET(pc,ABS(F328),oc,ABS(H328),IF(OR(pc="",oc=""),"",MAX(1,MIN(5,ROUND((pc*0.5+oc*0.00001)*5,0))))))</f>
        <v/>
      </c>
    </row>
    <row r="329">
      <c r="A329" s="31" t="n">
        <v>327</v>
      </c>
      <c r="B329" s="31">
        <f>CHAIN_RAW!D327</f>
        <v/>
      </c>
      <c r="C329" s="31">
        <f>CHAIN_RAW!A327</f>
        <v/>
      </c>
      <c r="D329" s="31">
        <f>CHAIN_RAW!C327</f>
        <v/>
      </c>
      <c r="E329" s="31">
        <f>CHAIN_RAW!E327</f>
        <v/>
      </c>
      <c r="F329" s="31">
        <f>CHAIN_RAW!F327</f>
        <v/>
      </c>
      <c r="G329" s="31">
        <f>CHAIN_RAW!I327</f>
        <v/>
      </c>
      <c r="H329" s="31">
        <f>CHAIN_RAW!Q327</f>
        <v/>
      </c>
      <c r="I329" s="31">
        <f>LET(pc,F329,oc,H329,IF(OR(pc="",oc=""),"",IF(AND(pc&gt;0,oc&gt;0),"Long Buildup",IF(AND(pc&lt;0,oc&gt;0),"Short Buildup",IF(AND(pc&gt;0,oc&lt;0),"Short Covering",IF(AND(pc&lt;0,oc&lt;0),"Long Unwinding","Flat"))))))</f>
        <v/>
      </c>
      <c r="J329" s="31">
        <f>LET(pc,ABS(F329),oc,ABS(H329),IF(OR(pc="",oc=""),"",MAX(1,MIN(5,ROUND((pc*0.5+oc*0.00001)*5,0))))))</f>
        <v/>
      </c>
    </row>
    <row r="330">
      <c r="A330" s="31" t="n">
        <v>328</v>
      </c>
      <c r="B330" s="31">
        <f>CHAIN_RAW!D328</f>
        <v/>
      </c>
      <c r="C330" s="31">
        <f>CHAIN_RAW!A328</f>
        <v/>
      </c>
      <c r="D330" s="31">
        <f>CHAIN_RAW!C328</f>
        <v/>
      </c>
      <c r="E330" s="31">
        <f>CHAIN_RAW!E328</f>
        <v/>
      </c>
      <c r="F330" s="31">
        <f>CHAIN_RAW!F328</f>
        <v/>
      </c>
      <c r="G330" s="31">
        <f>CHAIN_RAW!I328</f>
        <v/>
      </c>
      <c r="H330" s="31">
        <f>CHAIN_RAW!Q328</f>
        <v/>
      </c>
      <c r="I330" s="31">
        <f>LET(pc,F330,oc,H330,IF(OR(pc="",oc=""),"",IF(AND(pc&gt;0,oc&gt;0),"Long Buildup",IF(AND(pc&lt;0,oc&gt;0),"Short Buildup",IF(AND(pc&gt;0,oc&lt;0),"Short Covering",IF(AND(pc&lt;0,oc&lt;0),"Long Unwinding","Flat"))))))</f>
        <v/>
      </c>
      <c r="J330" s="31">
        <f>LET(pc,ABS(F330),oc,ABS(H330),IF(OR(pc="",oc=""),"",MAX(1,MIN(5,ROUND((pc*0.5+oc*0.00001)*5,0))))))</f>
        <v/>
      </c>
    </row>
    <row r="331">
      <c r="A331" s="31" t="n">
        <v>329</v>
      </c>
      <c r="B331" s="31">
        <f>CHAIN_RAW!D329</f>
        <v/>
      </c>
      <c r="C331" s="31">
        <f>CHAIN_RAW!A329</f>
        <v/>
      </c>
      <c r="D331" s="31">
        <f>CHAIN_RAW!C329</f>
        <v/>
      </c>
      <c r="E331" s="31">
        <f>CHAIN_RAW!E329</f>
        <v/>
      </c>
      <c r="F331" s="31">
        <f>CHAIN_RAW!F329</f>
        <v/>
      </c>
      <c r="G331" s="31">
        <f>CHAIN_RAW!I329</f>
        <v/>
      </c>
      <c r="H331" s="31">
        <f>CHAIN_RAW!Q329</f>
        <v/>
      </c>
      <c r="I331" s="31">
        <f>LET(pc,F331,oc,H331,IF(OR(pc="",oc=""),"",IF(AND(pc&gt;0,oc&gt;0),"Long Buildup",IF(AND(pc&lt;0,oc&gt;0),"Short Buildup",IF(AND(pc&gt;0,oc&lt;0),"Short Covering",IF(AND(pc&lt;0,oc&lt;0),"Long Unwinding","Flat"))))))</f>
        <v/>
      </c>
      <c r="J331" s="31">
        <f>LET(pc,ABS(F331),oc,ABS(H331),IF(OR(pc="",oc=""),"",MAX(1,MIN(5,ROUND((pc*0.5+oc*0.00001)*5,0))))))</f>
        <v/>
      </c>
    </row>
    <row r="332">
      <c r="A332" s="31" t="n">
        <v>330</v>
      </c>
      <c r="B332" s="31">
        <f>CHAIN_RAW!D330</f>
        <v/>
      </c>
      <c r="C332" s="31">
        <f>CHAIN_RAW!A330</f>
        <v/>
      </c>
      <c r="D332" s="31">
        <f>CHAIN_RAW!C330</f>
        <v/>
      </c>
      <c r="E332" s="31">
        <f>CHAIN_RAW!E330</f>
        <v/>
      </c>
      <c r="F332" s="31">
        <f>CHAIN_RAW!F330</f>
        <v/>
      </c>
      <c r="G332" s="31">
        <f>CHAIN_RAW!I330</f>
        <v/>
      </c>
      <c r="H332" s="31">
        <f>CHAIN_RAW!Q330</f>
        <v/>
      </c>
      <c r="I332" s="31">
        <f>LET(pc,F332,oc,H332,IF(OR(pc="",oc=""),"",IF(AND(pc&gt;0,oc&gt;0),"Long Buildup",IF(AND(pc&lt;0,oc&gt;0),"Short Buildup",IF(AND(pc&gt;0,oc&lt;0),"Short Covering",IF(AND(pc&lt;0,oc&lt;0),"Long Unwinding","Flat"))))))</f>
        <v/>
      </c>
      <c r="J332" s="31">
        <f>LET(pc,ABS(F332),oc,ABS(H332),IF(OR(pc="",oc=""),"",MAX(1,MIN(5,ROUND((pc*0.5+oc*0.00001)*5,0))))))</f>
        <v/>
      </c>
    </row>
    <row r="333">
      <c r="A333" s="31" t="n">
        <v>331</v>
      </c>
      <c r="B333" s="31">
        <f>CHAIN_RAW!D331</f>
        <v/>
      </c>
      <c r="C333" s="31">
        <f>CHAIN_RAW!A331</f>
        <v/>
      </c>
      <c r="D333" s="31">
        <f>CHAIN_RAW!C331</f>
        <v/>
      </c>
      <c r="E333" s="31">
        <f>CHAIN_RAW!E331</f>
        <v/>
      </c>
      <c r="F333" s="31">
        <f>CHAIN_RAW!F331</f>
        <v/>
      </c>
      <c r="G333" s="31">
        <f>CHAIN_RAW!I331</f>
        <v/>
      </c>
      <c r="H333" s="31">
        <f>CHAIN_RAW!Q331</f>
        <v/>
      </c>
      <c r="I333" s="31">
        <f>LET(pc,F333,oc,H333,IF(OR(pc="",oc=""),"",IF(AND(pc&gt;0,oc&gt;0),"Long Buildup",IF(AND(pc&lt;0,oc&gt;0),"Short Buildup",IF(AND(pc&gt;0,oc&lt;0),"Short Covering",IF(AND(pc&lt;0,oc&lt;0),"Long Unwinding","Flat"))))))</f>
        <v/>
      </c>
      <c r="J333" s="31">
        <f>LET(pc,ABS(F333),oc,ABS(H333),IF(OR(pc="",oc=""),"",MAX(1,MIN(5,ROUND((pc*0.5+oc*0.00001)*5,0))))))</f>
        <v/>
      </c>
    </row>
    <row r="334">
      <c r="A334" s="31" t="n">
        <v>332</v>
      </c>
      <c r="B334" s="31">
        <f>CHAIN_RAW!D332</f>
        <v/>
      </c>
      <c r="C334" s="31">
        <f>CHAIN_RAW!A332</f>
        <v/>
      </c>
      <c r="D334" s="31">
        <f>CHAIN_RAW!C332</f>
        <v/>
      </c>
      <c r="E334" s="31">
        <f>CHAIN_RAW!E332</f>
        <v/>
      </c>
      <c r="F334" s="31">
        <f>CHAIN_RAW!F332</f>
        <v/>
      </c>
      <c r="G334" s="31">
        <f>CHAIN_RAW!I332</f>
        <v/>
      </c>
      <c r="H334" s="31">
        <f>CHAIN_RAW!Q332</f>
        <v/>
      </c>
      <c r="I334" s="31">
        <f>LET(pc,F334,oc,H334,IF(OR(pc="",oc=""),"",IF(AND(pc&gt;0,oc&gt;0),"Long Buildup",IF(AND(pc&lt;0,oc&gt;0),"Short Buildup",IF(AND(pc&gt;0,oc&lt;0),"Short Covering",IF(AND(pc&lt;0,oc&lt;0),"Long Unwinding","Flat"))))))</f>
        <v/>
      </c>
      <c r="J334" s="31">
        <f>LET(pc,ABS(F334),oc,ABS(H334),IF(OR(pc="",oc=""),"",MAX(1,MIN(5,ROUND((pc*0.5+oc*0.00001)*5,0))))))</f>
        <v/>
      </c>
    </row>
    <row r="335">
      <c r="A335" s="31" t="n">
        <v>333</v>
      </c>
      <c r="B335" s="31">
        <f>CHAIN_RAW!D333</f>
        <v/>
      </c>
      <c r="C335" s="31">
        <f>CHAIN_RAW!A333</f>
        <v/>
      </c>
      <c r="D335" s="31">
        <f>CHAIN_RAW!C333</f>
        <v/>
      </c>
      <c r="E335" s="31">
        <f>CHAIN_RAW!E333</f>
        <v/>
      </c>
      <c r="F335" s="31">
        <f>CHAIN_RAW!F333</f>
        <v/>
      </c>
      <c r="G335" s="31">
        <f>CHAIN_RAW!I333</f>
        <v/>
      </c>
      <c r="H335" s="31">
        <f>CHAIN_RAW!Q333</f>
        <v/>
      </c>
      <c r="I335" s="31">
        <f>LET(pc,F335,oc,H335,IF(OR(pc="",oc=""),"",IF(AND(pc&gt;0,oc&gt;0),"Long Buildup",IF(AND(pc&lt;0,oc&gt;0),"Short Buildup",IF(AND(pc&gt;0,oc&lt;0),"Short Covering",IF(AND(pc&lt;0,oc&lt;0),"Long Unwinding","Flat"))))))</f>
        <v/>
      </c>
      <c r="J335" s="31">
        <f>LET(pc,ABS(F335),oc,ABS(H335),IF(OR(pc="",oc=""),"",MAX(1,MIN(5,ROUND((pc*0.5+oc*0.00001)*5,0))))))</f>
        <v/>
      </c>
    </row>
    <row r="336">
      <c r="A336" s="31" t="n">
        <v>334</v>
      </c>
      <c r="B336" s="31">
        <f>CHAIN_RAW!D334</f>
        <v/>
      </c>
      <c r="C336" s="31">
        <f>CHAIN_RAW!A334</f>
        <v/>
      </c>
      <c r="D336" s="31">
        <f>CHAIN_RAW!C334</f>
        <v/>
      </c>
      <c r="E336" s="31">
        <f>CHAIN_RAW!E334</f>
        <v/>
      </c>
      <c r="F336" s="31">
        <f>CHAIN_RAW!F334</f>
        <v/>
      </c>
      <c r="G336" s="31">
        <f>CHAIN_RAW!I334</f>
        <v/>
      </c>
      <c r="H336" s="31">
        <f>CHAIN_RAW!Q334</f>
        <v/>
      </c>
      <c r="I336" s="31">
        <f>LET(pc,F336,oc,H336,IF(OR(pc="",oc=""),"",IF(AND(pc&gt;0,oc&gt;0),"Long Buildup",IF(AND(pc&lt;0,oc&gt;0),"Short Buildup",IF(AND(pc&gt;0,oc&lt;0),"Short Covering",IF(AND(pc&lt;0,oc&lt;0),"Long Unwinding","Flat"))))))</f>
        <v/>
      </c>
      <c r="J336" s="31">
        <f>LET(pc,ABS(F336),oc,ABS(H336),IF(OR(pc="",oc=""),"",MAX(1,MIN(5,ROUND((pc*0.5+oc*0.00001)*5,0))))))</f>
        <v/>
      </c>
    </row>
    <row r="337">
      <c r="A337" s="31" t="n">
        <v>335</v>
      </c>
      <c r="B337" s="31">
        <f>CHAIN_RAW!D335</f>
        <v/>
      </c>
      <c r="C337" s="31">
        <f>CHAIN_RAW!A335</f>
        <v/>
      </c>
      <c r="D337" s="31">
        <f>CHAIN_RAW!C335</f>
        <v/>
      </c>
      <c r="E337" s="31">
        <f>CHAIN_RAW!E335</f>
        <v/>
      </c>
      <c r="F337" s="31">
        <f>CHAIN_RAW!F335</f>
        <v/>
      </c>
      <c r="G337" s="31">
        <f>CHAIN_RAW!I335</f>
        <v/>
      </c>
      <c r="H337" s="31">
        <f>CHAIN_RAW!Q335</f>
        <v/>
      </c>
      <c r="I337" s="31">
        <f>LET(pc,F337,oc,H337,IF(OR(pc="",oc=""),"",IF(AND(pc&gt;0,oc&gt;0),"Long Buildup",IF(AND(pc&lt;0,oc&gt;0),"Short Buildup",IF(AND(pc&gt;0,oc&lt;0),"Short Covering",IF(AND(pc&lt;0,oc&lt;0),"Long Unwinding","Flat"))))))</f>
        <v/>
      </c>
      <c r="J337" s="31">
        <f>LET(pc,ABS(F337),oc,ABS(H337),IF(OR(pc="",oc=""),"",MAX(1,MIN(5,ROUND((pc*0.5+oc*0.00001)*5,0))))))</f>
        <v/>
      </c>
    </row>
    <row r="338">
      <c r="A338" s="31" t="n">
        <v>336</v>
      </c>
      <c r="B338" s="31">
        <f>CHAIN_RAW!D336</f>
        <v/>
      </c>
      <c r="C338" s="31">
        <f>CHAIN_RAW!A336</f>
        <v/>
      </c>
      <c r="D338" s="31">
        <f>CHAIN_RAW!C336</f>
        <v/>
      </c>
      <c r="E338" s="31">
        <f>CHAIN_RAW!E336</f>
        <v/>
      </c>
      <c r="F338" s="31">
        <f>CHAIN_RAW!F336</f>
        <v/>
      </c>
      <c r="G338" s="31">
        <f>CHAIN_RAW!I336</f>
        <v/>
      </c>
      <c r="H338" s="31">
        <f>CHAIN_RAW!Q336</f>
        <v/>
      </c>
      <c r="I338" s="31">
        <f>LET(pc,F338,oc,H338,IF(OR(pc="",oc=""),"",IF(AND(pc&gt;0,oc&gt;0),"Long Buildup",IF(AND(pc&lt;0,oc&gt;0),"Short Buildup",IF(AND(pc&gt;0,oc&lt;0),"Short Covering",IF(AND(pc&lt;0,oc&lt;0),"Long Unwinding","Flat"))))))</f>
        <v/>
      </c>
      <c r="J338" s="31">
        <f>LET(pc,ABS(F338),oc,ABS(H338),IF(OR(pc="",oc=""),"",MAX(1,MIN(5,ROUND((pc*0.5+oc*0.00001)*5,0))))))</f>
        <v/>
      </c>
    </row>
    <row r="339">
      <c r="A339" s="31" t="n">
        <v>337</v>
      </c>
      <c r="B339" s="31">
        <f>CHAIN_RAW!D337</f>
        <v/>
      </c>
      <c r="C339" s="31">
        <f>CHAIN_RAW!A337</f>
        <v/>
      </c>
      <c r="D339" s="31">
        <f>CHAIN_RAW!C337</f>
        <v/>
      </c>
      <c r="E339" s="31">
        <f>CHAIN_RAW!E337</f>
        <v/>
      </c>
      <c r="F339" s="31">
        <f>CHAIN_RAW!F337</f>
        <v/>
      </c>
      <c r="G339" s="31">
        <f>CHAIN_RAW!I337</f>
        <v/>
      </c>
      <c r="H339" s="31">
        <f>CHAIN_RAW!Q337</f>
        <v/>
      </c>
      <c r="I339" s="31">
        <f>LET(pc,F339,oc,H339,IF(OR(pc="",oc=""),"",IF(AND(pc&gt;0,oc&gt;0),"Long Buildup",IF(AND(pc&lt;0,oc&gt;0),"Short Buildup",IF(AND(pc&gt;0,oc&lt;0),"Short Covering",IF(AND(pc&lt;0,oc&lt;0),"Long Unwinding","Flat"))))))</f>
        <v/>
      </c>
      <c r="J339" s="31">
        <f>LET(pc,ABS(F339),oc,ABS(H339),IF(OR(pc="",oc=""),"",MAX(1,MIN(5,ROUND((pc*0.5+oc*0.00001)*5,0))))))</f>
        <v/>
      </c>
    </row>
    <row r="340">
      <c r="A340" s="31" t="n">
        <v>338</v>
      </c>
      <c r="B340" s="31">
        <f>CHAIN_RAW!D338</f>
        <v/>
      </c>
      <c r="C340" s="31">
        <f>CHAIN_RAW!A338</f>
        <v/>
      </c>
      <c r="D340" s="31">
        <f>CHAIN_RAW!C338</f>
        <v/>
      </c>
      <c r="E340" s="31">
        <f>CHAIN_RAW!E338</f>
        <v/>
      </c>
      <c r="F340" s="31">
        <f>CHAIN_RAW!F338</f>
        <v/>
      </c>
      <c r="G340" s="31">
        <f>CHAIN_RAW!I338</f>
        <v/>
      </c>
      <c r="H340" s="31">
        <f>CHAIN_RAW!Q338</f>
        <v/>
      </c>
      <c r="I340" s="31">
        <f>LET(pc,F340,oc,H340,IF(OR(pc="",oc=""),"",IF(AND(pc&gt;0,oc&gt;0),"Long Buildup",IF(AND(pc&lt;0,oc&gt;0),"Short Buildup",IF(AND(pc&gt;0,oc&lt;0),"Short Covering",IF(AND(pc&lt;0,oc&lt;0),"Long Unwinding","Flat"))))))</f>
        <v/>
      </c>
      <c r="J340" s="31">
        <f>LET(pc,ABS(F340),oc,ABS(H340),IF(OR(pc="",oc=""),"",MAX(1,MIN(5,ROUND((pc*0.5+oc*0.00001)*5,0))))))</f>
        <v/>
      </c>
    </row>
    <row r="341">
      <c r="A341" s="31" t="n">
        <v>339</v>
      </c>
      <c r="B341" s="31">
        <f>CHAIN_RAW!D339</f>
        <v/>
      </c>
      <c r="C341" s="31">
        <f>CHAIN_RAW!A339</f>
        <v/>
      </c>
      <c r="D341" s="31">
        <f>CHAIN_RAW!C339</f>
        <v/>
      </c>
      <c r="E341" s="31">
        <f>CHAIN_RAW!E339</f>
        <v/>
      </c>
      <c r="F341" s="31">
        <f>CHAIN_RAW!F339</f>
        <v/>
      </c>
      <c r="G341" s="31">
        <f>CHAIN_RAW!I339</f>
        <v/>
      </c>
      <c r="H341" s="31">
        <f>CHAIN_RAW!Q339</f>
        <v/>
      </c>
      <c r="I341" s="31">
        <f>LET(pc,F341,oc,H341,IF(OR(pc="",oc=""),"",IF(AND(pc&gt;0,oc&gt;0),"Long Buildup",IF(AND(pc&lt;0,oc&gt;0),"Short Buildup",IF(AND(pc&gt;0,oc&lt;0),"Short Covering",IF(AND(pc&lt;0,oc&lt;0),"Long Unwinding","Flat"))))))</f>
        <v/>
      </c>
      <c r="J341" s="31">
        <f>LET(pc,ABS(F341),oc,ABS(H341),IF(OR(pc="",oc=""),"",MAX(1,MIN(5,ROUND((pc*0.5+oc*0.00001)*5,0))))))</f>
        <v/>
      </c>
    </row>
    <row r="342">
      <c r="A342" s="31" t="n">
        <v>340</v>
      </c>
      <c r="B342" s="31">
        <f>CHAIN_RAW!D340</f>
        <v/>
      </c>
      <c r="C342" s="31">
        <f>CHAIN_RAW!A340</f>
        <v/>
      </c>
      <c r="D342" s="31">
        <f>CHAIN_RAW!C340</f>
        <v/>
      </c>
      <c r="E342" s="31">
        <f>CHAIN_RAW!E340</f>
        <v/>
      </c>
      <c r="F342" s="31">
        <f>CHAIN_RAW!F340</f>
        <v/>
      </c>
      <c r="G342" s="31">
        <f>CHAIN_RAW!I340</f>
        <v/>
      </c>
      <c r="H342" s="31">
        <f>CHAIN_RAW!Q340</f>
        <v/>
      </c>
      <c r="I342" s="31">
        <f>LET(pc,F342,oc,H342,IF(OR(pc="",oc=""),"",IF(AND(pc&gt;0,oc&gt;0),"Long Buildup",IF(AND(pc&lt;0,oc&gt;0),"Short Buildup",IF(AND(pc&gt;0,oc&lt;0),"Short Covering",IF(AND(pc&lt;0,oc&lt;0),"Long Unwinding","Flat"))))))</f>
        <v/>
      </c>
      <c r="J342" s="31">
        <f>LET(pc,ABS(F342),oc,ABS(H342),IF(OR(pc="",oc=""),"",MAX(1,MIN(5,ROUND((pc*0.5+oc*0.00001)*5,0))))))</f>
        <v/>
      </c>
    </row>
    <row r="343">
      <c r="A343" s="31" t="n">
        <v>341</v>
      </c>
      <c r="B343" s="31">
        <f>CHAIN_RAW!D341</f>
        <v/>
      </c>
      <c r="C343" s="31">
        <f>CHAIN_RAW!A341</f>
        <v/>
      </c>
      <c r="D343" s="31">
        <f>CHAIN_RAW!C341</f>
        <v/>
      </c>
      <c r="E343" s="31">
        <f>CHAIN_RAW!E341</f>
        <v/>
      </c>
      <c r="F343" s="31">
        <f>CHAIN_RAW!F341</f>
        <v/>
      </c>
      <c r="G343" s="31">
        <f>CHAIN_RAW!I341</f>
        <v/>
      </c>
      <c r="H343" s="31">
        <f>CHAIN_RAW!Q341</f>
        <v/>
      </c>
      <c r="I343" s="31">
        <f>LET(pc,F343,oc,H343,IF(OR(pc="",oc=""),"",IF(AND(pc&gt;0,oc&gt;0),"Long Buildup",IF(AND(pc&lt;0,oc&gt;0),"Short Buildup",IF(AND(pc&gt;0,oc&lt;0),"Short Covering",IF(AND(pc&lt;0,oc&lt;0),"Long Unwinding","Flat"))))))</f>
        <v/>
      </c>
      <c r="J343" s="31">
        <f>LET(pc,ABS(F343),oc,ABS(H343),IF(OR(pc="",oc=""),"",MAX(1,MIN(5,ROUND((pc*0.5+oc*0.00001)*5,0))))))</f>
        <v/>
      </c>
    </row>
    <row r="344">
      <c r="A344" s="31" t="n">
        <v>342</v>
      </c>
      <c r="B344" s="31">
        <f>CHAIN_RAW!D342</f>
        <v/>
      </c>
      <c r="C344" s="31">
        <f>CHAIN_RAW!A342</f>
        <v/>
      </c>
      <c r="D344" s="31">
        <f>CHAIN_RAW!C342</f>
        <v/>
      </c>
      <c r="E344" s="31">
        <f>CHAIN_RAW!E342</f>
        <v/>
      </c>
      <c r="F344" s="31">
        <f>CHAIN_RAW!F342</f>
        <v/>
      </c>
      <c r="G344" s="31">
        <f>CHAIN_RAW!I342</f>
        <v/>
      </c>
      <c r="H344" s="31">
        <f>CHAIN_RAW!Q342</f>
        <v/>
      </c>
      <c r="I344" s="31">
        <f>LET(pc,F344,oc,H344,IF(OR(pc="",oc=""),"",IF(AND(pc&gt;0,oc&gt;0),"Long Buildup",IF(AND(pc&lt;0,oc&gt;0),"Short Buildup",IF(AND(pc&gt;0,oc&lt;0),"Short Covering",IF(AND(pc&lt;0,oc&lt;0),"Long Unwinding","Flat"))))))</f>
        <v/>
      </c>
      <c r="J344" s="31">
        <f>LET(pc,ABS(F344),oc,ABS(H344),IF(OR(pc="",oc=""),"",MAX(1,MIN(5,ROUND((pc*0.5+oc*0.00001)*5,0))))))</f>
        <v/>
      </c>
    </row>
    <row r="345">
      <c r="A345" s="31" t="n">
        <v>343</v>
      </c>
      <c r="B345" s="31">
        <f>CHAIN_RAW!D343</f>
        <v/>
      </c>
      <c r="C345" s="31">
        <f>CHAIN_RAW!A343</f>
        <v/>
      </c>
      <c r="D345" s="31">
        <f>CHAIN_RAW!C343</f>
        <v/>
      </c>
      <c r="E345" s="31">
        <f>CHAIN_RAW!E343</f>
        <v/>
      </c>
      <c r="F345" s="31">
        <f>CHAIN_RAW!F343</f>
        <v/>
      </c>
      <c r="G345" s="31">
        <f>CHAIN_RAW!I343</f>
        <v/>
      </c>
      <c r="H345" s="31">
        <f>CHAIN_RAW!Q343</f>
        <v/>
      </c>
      <c r="I345" s="31">
        <f>LET(pc,F345,oc,H345,IF(OR(pc="",oc=""),"",IF(AND(pc&gt;0,oc&gt;0),"Long Buildup",IF(AND(pc&lt;0,oc&gt;0),"Short Buildup",IF(AND(pc&gt;0,oc&lt;0),"Short Covering",IF(AND(pc&lt;0,oc&lt;0),"Long Unwinding","Flat"))))))</f>
        <v/>
      </c>
      <c r="J345" s="31">
        <f>LET(pc,ABS(F345),oc,ABS(H345),IF(OR(pc="",oc=""),"",MAX(1,MIN(5,ROUND((pc*0.5+oc*0.00001)*5,0))))))</f>
        <v/>
      </c>
    </row>
    <row r="346">
      <c r="A346" s="31" t="n">
        <v>344</v>
      </c>
      <c r="B346" s="31">
        <f>CHAIN_RAW!D344</f>
        <v/>
      </c>
      <c r="C346" s="31">
        <f>CHAIN_RAW!A344</f>
        <v/>
      </c>
      <c r="D346" s="31">
        <f>CHAIN_RAW!C344</f>
        <v/>
      </c>
      <c r="E346" s="31">
        <f>CHAIN_RAW!E344</f>
        <v/>
      </c>
      <c r="F346" s="31">
        <f>CHAIN_RAW!F344</f>
        <v/>
      </c>
      <c r="G346" s="31">
        <f>CHAIN_RAW!I344</f>
        <v/>
      </c>
      <c r="H346" s="31">
        <f>CHAIN_RAW!Q344</f>
        <v/>
      </c>
      <c r="I346" s="31">
        <f>LET(pc,F346,oc,H346,IF(OR(pc="",oc=""),"",IF(AND(pc&gt;0,oc&gt;0),"Long Buildup",IF(AND(pc&lt;0,oc&gt;0),"Short Buildup",IF(AND(pc&gt;0,oc&lt;0),"Short Covering",IF(AND(pc&lt;0,oc&lt;0),"Long Unwinding","Flat"))))))</f>
        <v/>
      </c>
      <c r="J346" s="31">
        <f>LET(pc,ABS(F346),oc,ABS(H346),IF(OR(pc="",oc=""),"",MAX(1,MIN(5,ROUND((pc*0.5+oc*0.00001)*5,0))))))</f>
        <v/>
      </c>
    </row>
    <row r="347">
      <c r="A347" s="31" t="n">
        <v>345</v>
      </c>
      <c r="B347" s="31">
        <f>CHAIN_RAW!D345</f>
        <v/>
      </c>
      <c r="C347" s="31">
        <f>CHAIN_RAW!A345</f>
        <v/>
      </c>
      <c r="D347" s="31">
        <f>CHAIN_RAW!C345</f>
        <v/>
      </c>
      <c r="E347" s="31">
        <f>CHAIN_RAW!E345</f>
        <v/>
      </c>
      <c r="F347" s="31">
        <f>CHAIN_RAW!F345</f>
        <v/>
      </c>
      <c r="G347" s="31">
        <f>CHAIN_RAW!I345</f>
        <v/>
      </c>
      <c r="H347" s="31">
        <f>CHAIN_RAW!Q345</f>
        <v/>
      </c>
      <c r="I347" s="31">
        <f>LET(pc,F347,oc,H347,IF(OR(pc="",oc=""),"",IF(AND(pc&gt;0,oc&gt;0),"Long Buildup",IF(AND(pc&lt;0,oc&gt;0),"Short Buildup",IF(AND(pc&gt;0,oc&lt;0),"Short Covering",IF(AND(pc&lt;0,oc&lt;0),"Long Unwinding","Flat"))))))</f>
        <v/>
      </c>
      <c r="J347" s="31">
        <f>LET(pc,ABS(F347),oc,ABS(H347),IF(OR(pc="",oc=""),"",MAX(1,MIN(5,ROUND((pc*0.5+oc*0.00001)*5,0))))))</f>
        <v/>
      </c>
    </row>
    <row r="348">
      <c r="A348" s="31" t="n">
        <v>346</v>
      </c>
      <c r="B348" s="31">
        <f>CHAIN_RAW!D346</f>
        <v/>
      </c>
      <c r="C348" s="31">
        <f>CHAIN_RAW!A346</f>
        <v/>
      </c>
      <c r="D348" s="31">
        <f>CHAIN_RAW!C346</f>
        <v/>
      </c>
      <c r="E348" s="31">
        <f>CHAIN_RAW!E346</f>
        <v/>
      </c>
      <c r="F348" s="31">
        <f>CHAIN_RAW!F346</f>
        <v/>
      </c>
      <c r="G348" s="31">
        <f>CHAIN_RAW!I346</f>
        <v/>
      </c>
      <c r="H348" s="31">
        <f>CHAIN_RAW!Q346</f>
        <v/>
      </c>
      <c r="I348" s="31">
        <f>LET(pc,F348,oc,H348,IF(OR(pc="",oc=""),"",IF(AND(pc&gt;0,oc&gt;0),"Long Buildup",IF(AND(pc&lt;0,oc&gt;0),"Short Buildup",IF(AND(pc&gt;0,oc&lt;0),"Short Covering",IF(AND(pc&lt;0,oc&lt;0),"Long Unwinding","Flat"))))))</f>
        <v/>
      </c>
      <c r="J348" s="31">
        <f>LET(pc,ABS(F348),oc,ABS(H348),IF(OR(pc="",oc=""),"",MAX(1,MIN(5,ROUND((pc*0.5+oc*0.00001)*5,0))))))</f>
        <v/>
      </c>
    </row>
    <row r="349">
      <c r="A349" s="31" t="n">
        <v>347</v>
      </c>
      <c r="B349" s="31">
        <f>CHAIN_RAW!D347</f>
        <v/>
      </c>
      <c r="C349" s="31">
        <f>CHAIN_RAW!A347</f>
        <v/>
      </c>
      <c r="D349" s="31">
        <f>CHAIN_RAW!C347</f>
        <v/>
      </c>
      <c r="E349" s="31">
        <f>CHAIN_RAW!E347</f>
        <v/>
      </c>
      <c r="F349" s="31">
        <f>CHAIN_RAW!F347</f>
        <v/>
      </c>
      <c r="G349" s="31">
        <f>CHAIN_RAW!I347</f>
        <v/>
      </c>
      <c r="H349" s="31">
        <f>CHAIN_RAW!Q347</f>
        <v/>
      </c>
      <c r="I349" s="31">
        <f>LET(pc,F349,oc,H349,IF(OR(pc="",oc=""),"",IF(AND(pc&gt;0,oc&gt;0),"Long Buildup",IF(AND(pc&lt;0,oc&gt;0),"Short Buildup",IF(AND(pc&gt;0,oc&lt;0),"Short Covering",IF(AND(pc&lt;0,oc&lt;0),"Long Unwinding","Flat"))))))</f>
        <v/>
      </c>
      <c r="J349" s="31">
        <f>LET(pc,ABS(F349),oc,ABS(H349),IF(OR(pc="",oc=""),"",MAX(1,MIN(5,ROUND((pc*0.5+oc*0.00001)*5,0))))))</f>
        <v/>
      </c>
    </row>
    <row r="350">
      <c r="A350" s="31" t="n">
        <v>348</v>
      </c>
      <c r="B350" s="31">
        <f>CHAIN_RAW!D348</f>
        <v/>
      </c>
      <c r="C350" s="31">
        <f>CHAIN_RAW!A348</f>
        <v/>
      </c>
      <c r="D350" s="31">
        <f>CHAIN_RAW!C348</f>
        <v/>
      </c>
      <c r="E350" s="31">
        <f>CHAIN_RAW!E348</f>
        <v/>
      </c>
      <c r="F350" s="31">
        <f>CHAIN_RAW!F348</f>
        <v/>
      </c>
      <c r="G350" s="31">
        <f>CHAIN_RAW!I348</f>
        <v/>
      </c>
      <c r="H350" s="31">
        <f>CHAIN_RAW!Q348</f>
        <v/>
      </c>
      <c r="I350" s="31">
        <f>LET(pc,F350,oc,H350,IF(OR(pc="",oc=""),"",IF(AND(pc&gt;0,oc&gt;0),"Long Buildup",IF(AND(pc&lt;0,oc&gt;0),"Short Buildup",IF(AND(pc&gt;0,oc&lt;0),"Short Covering",IF(AND(pc&lt;0,oc&lt;0),"Long Unwinding","Flat"))))))</f>
        <v/>
      </c>
      <c r="J350" s="31">
        <f>LET(pc,ABS(F350),oc,ABS(H350),IF(OR(pc="",oc=""),"",MAX(1,MIN(5,ROUND((pc*0.5+oc*0.00001)*5,0))))))</f>
        <v/>
      </c>
    </row>
    <row r="351">
      <c r="A351" s="31" t="n">
        <v>349</v>
      </c>
      <c r="B351" s="31">
        <f>CHAIN_RAW!D349</f>
        <v/>
      </c>
      <c r="C351" s="31">
        <f>CHAIN_RAW!A349</f>
        <v/>
      </c>
      <c r="D351" s="31">
        <f>CHAIN_RAW!C349</f>
        <v/>
      </c>
      <c r="E351" s="31">
        <f>CHAIN_RAW!E349</f>
        <v/>
      </c>
      <c r="F351" s="31">
        <f>CHAIN_RAW!F349</f>
        <v/>
      </c>
      <c r="G351" s="31">
        <f>CHAIN_RAW!I349</f>
        <v/>
      </c>
      <c r="H351" s="31">
        <f>CHAIN_RAW!Q349</f>
        <v/>
      </c>
      <c r="I351" s="31">
        <f>LET(pc,F351,oc,H351,IF(OR(pc="",oc=""),"",IF(AND(pc&gt;0,oc&gt;0),"Long Buildup",IF(AND(pc&lt;0,oc&gt;0),"Short Buildup",IF(AND(pc&gt;0,oc&lt;0),"Short Covering",IF(AND(pc&lt;0,oc&lt;0),"Long Unwinding","Flat"))))))</f>
        <v/>
      </c>
      <c r="J351" s="31">
        <f>LET(pc,ABS(F351),oc,ABS(H351),IF(OR(pc="",oc=""),"",MAX(1,MIN(5,ROUND((pc*0.5+oc*0.00001)*5,0))))))</f>
        <v/>
      </c>
    </row>
    <row r="352">
      <c r="A352" s="31" t="n">
        <v>350</v>
      </c>
      <c r="B352" s="31">
        <f>CHAIN_RAW!D350</f>
        <v/>
      </c>
      <c r="C352" s="31">
        <f>CHAIN_RAW!A350</f>
        <v/>
      </c>
      <c r="D352" s="31">
        <f>CHAIN_RAW!C350</f>
        <v/>
      </c>
      <c r="E352" s="31">
        <f>CHAIN_RAW!E350</f>
        <v/>
      </c>
      <c r="F352" s="31">
        <f>CHAIN_RAW!F350</f>
        <v/>
      </c>
      <c r="G352" s="31">
        <f>CHAIN_RAW!I350</f>
        <v/>
      </c>
      <c r="H352" s="31">
        <f>CHAIN_RAW!Q350</f>
        <v/>
      </c>
      <c r="I352" s="31">
        <f>LET(pc,F352,oc,H352,IF(OR(pc="",oc=""),"",IF(AND(pc&gt;0,oc&gt;0),"Long Buildup",IF(AND(pc&lt;0,oc&gt;0),"Short Buildup",IF(AND(pc&gt;0,oc&lt;0),"Short Covering",IF(AND(pc&lt;0,oc&lt;0),"Long Unwinding","Flat"))))))</f>
        <v/>
      </c>
      <c r="J352" s="31">
        <f>LET(pc,ABS(F352),oc,ABS(H352),IF(OR(pc="",oc=""),"",MAX(1,MIN(5,ROUND((pc*0.5+oc*0.00001)*5,0))))))</f>
        <v/>
      </c>
    </row>
    <row r="353">
      <c r="A353" s="31" t="n">
        <v>351</v>
      </c>
      <c r="B353" s="31">
        <f>CHAIN_RAW!D351</f>
        <v/>
      </c>
      <c r="C353" s="31">
        <f>CHAIN_RAW!A351</f>
        <v/>
      </c>
      <c r="D353" s="31">
        <f>CHAIN_RAW!C351</f>
        <v/>
      </c>
      <c r="E353" s="31">
        <f>CHAIN_RAW!E351</f>
        <v/>
      </c>
      <c r="F353" s="31">
        <f>CHAIN_RAW!F351</f>
        <v/>
      </c>
      <c r="G353" s="31">
        <f>CHAIN_RAW!I351</f>
        <v/>
      </c>
      <c r="H353" s="31">
        <f>CHAIN_RAW!Q351</f>
        <v/>
      </c>
      <c r="I353" s="31">
        <f>LET(pc,F353,oc,H353,IF(OR(pc="",oc=""),"",IF(AND(pc&gt;0,oc&gt;0),"Long Buildup",IF(AND(pc&lt;0,oc&gt;0),"Short Buildup",IF(AND(pc&gt;0,oc&lt;0),"Short Covering",IF(AND(pc&lt;0,oc&lt;0),"Long Unwinding","Flat"))))))</f>
        <v/>
      </c>
      <c r="J353" s="31">
        <f>LET(pc,ABS(F353),oc,ABS(H353),IF(OR(pc="",oc=""),"",MAX(1,MIN(5,ROUND((pc*0.5+oc*0.00001)*5,0))))))</f>
        <v/>
      </c>
    </row>
    <row r="354">
      <c r="A354" s="31" t="n">
        <v>352</v>
      </c>
      <c r="B354" s="31">
        <f>CHAIN_RAW!D352</f>
        <v/>
      </c>
      <c r="C354" s="31">
        <f>CHAIN_RAW!A352</f>
        <v/>
      </c>
      <c r="D354" s="31">
        <f>CHAIN_RAW!C352</f>
        <v/>
      </c>
      <c r="E354" s="31">
        <f>CHAIN_RAW!E352</f>
        <v/>
      </c>
      <c r="F354" s="31">
        <f>CHAIN_RAW!F352</f>
        <v/>
      </c>
      <c r="G354" s="31">
        <f>CHAIN_RAW!I352</f>
        <v/>
      </c>
      <c r="H354" s="31">
        <f>CHAIN_RAW!Q352</f>
        <v/>
      </c>
      <c r="I354" s="31">
        <f>LET(pc,F354,oc,H354,IF(OR(pc="",oc=""),"",IF(AND(pc&gt;0,oc&gt;0),"Long Buildup",IF(AND(pc&lt;0,oc&gt;0),"Short Buildup",IF(AND(pc&gt;0,oc&lt;0),"Short Covering",IF(AND(pc&lt;0,oc&lt;0),"Long Unwinding","Flat"))))))</f>
        <v/>
      </c>
      <c r="J354" s="31">
        <f>LET(pc,ABS(F354),oc,ABS(H354),IF(OR(pc="",oc=""),"",MAX(1,MIN(5,ROUND((pc*0.5+oc*0.00001)*5,0))))))</f>
        <v/>
      </c>
    </row>
    <row r="355">
      <c r="A355" s="31" t="n">
        <v>353</v>
      </c>
      <c r="B355" s="31">
        <f>CHAIN_RAW!D353</f>
        <v/>
      </c>
      <c r="C355" s="31">
        <f>CHAIN_RAW!A353</f>
        <v/>
      </c>
      <c r="D355" s="31">
        <f>CHAIN_RAW!C353</f>
        <v/>
      </c>
      <c r="E355" s="31">
        <f>CHAIN_RAW!E353</f>
        <v/>
      </c>
      <c r="F355" s="31">
        <f>CHAIN_RAW!F353</f>
        <v/>
      </c>
      <c r="G355" s="31">
        <f>CHAIN_RAW!I353</f>
        <v/>
      </c>
      <c r="H355" s="31">
        <f>CHAIN_RAW!Q353</f>
        <v/>
      </c>
      <c r="I355" s="31">
        <f>LET(pc,F355,oc,H355,IF(OR(pc="",oc=""),"",IF(AND(pc&gt;0,oc&gt;0),"Long Buildup",IF(AND(pc&lt;0,oc&gt;0),"Short Buildup",IF(AND(pc&gt;0,oc&lt;0),"Short Covering",IF(AND(pc&lt;0,oc&lt;0),"Long Unwinding","Flat"))))))</f>
        <v/>
      </c>
      <c r="J355" s="31">
        <f>LET(pc,ABS(F355),oc,ABS(H355),IF(OR(pc="",oc=""),"",MAX(1,MIN(5,ROUND((pc*0.5+oc*0.00001)*5,0))))))</f>
        <v/>
      </c>
    </row>
    <row r="356">
      <c r="A356" s="31" t="n">
        <v>354</v>
      </c>
      <c r="B356" s="31">
        <f>CHAIN_RAW!D354</f>
        <v/>
      </c>
      <c r="C356" s="31">
        <f>CHAIN_RAW!A354</f>
        <v/>
      </c>
      <c r="D356" s="31">
        <f>CHAIN_RAW!C354</f>
        <v/>
      </c>
      <c r="E356" s="31">
        <f>CHAIN_RAW!E354</f>
        <v/>
      </c>
      <c r="F356" s="31">
        <f>CHAIN_RAW!F354</f>
        <v/>
      </c>
      <c r="G356" s="31">
        <f>CHAIN_RAW!I354</f>
        <v/>
      </c>
      <c r="H356" s="31">
        <f>CHAIN_RAW!Q354</f>
        <v/>
      </c>
      <c r="I356" s="31">
        <f>LET(pc,F356,oc,H356,IF(OR(pc="",oc=""),"",IF(AND(pc&gt;0,oc&gt;0),"Long Buildup",IF(AND(pc&lt;0,oc&gt;0),"Short Buildup",IF(AND(pc&gt;0,oc&lt;0),"Short Covering",IF(AND(pc&lt;0,oc&lt;0),"Long Unwinding","Flat"))))))</f>
        <v/>
      </c>
      <c r="J356" s="31">
        <f>LET(pc,ABS(F356),oc,ABS(H356),IF(OR(pc="",oc=""),"",MAX(1,MIN(5,ROUND((pc*0.5+oc*0.00001)*5,0))))))</f>
        <v/>
      </c>
    </row>
    <row r="357">
      <c r="A357" s="31" t="n">
        <v>355</v>
      </c>
      <c r="B357" s="31">
        <f>CHAIN_RAW!D355</f>
        <v/>
      </c>
      <c r="C357" s="31">
        <f>CHAIN_RAW!A355</f>
        <v/>
      </c>
      <c r="D357" s="31">
        <f>CHAIN_RAW!C355</f>
        <v/>
      </c>
      <c r="E357" s="31">
        <f>CHAIN_RAW!E355</f>
        <v/>
      </c>
      <c r="F357" s="31">
        <f>CHAIN_RAW!F355</f>
        <v/>
      </c>
      <c r="G357" s="31">
        <f>CHAIN_RAW!I355</f>
        <v/>
      </c>
      <c r="H357" s="31">
        <f>CHAIN_RAW!Q355</f>
        <v/>
      </c>
      <c r="I357" s="31">
        <f>LET(pc,F357,oc,H357,IF(OR(pc="",oc=""),"",IF(AND(pc&gt;0,oc&gt;0),"Long Buildup",IF(AND(pc&lt;0,oc&gt;0),"Short Buildup",IF(AND(pc&gt;0,oc&lt;0),"Short Covering",IF(AND(pc&lt;0,oc&lt;0),"Long Unwinding","Flat"))))))</f>
        <v/>
      </c>
      <c r="J357" s="31">
        <f>LET(pc,ABS(F357),oc,ABS(H357),IF(OR(pc="",oc=""),"",MAX(1,MIN(5,ROUND((pc*0.5+oc*0.00001)*5,0))))))</f>
        <v/>
      </c>
    </row>
    <row r="358">
      <c r="A358" s="31" t="n">
        <v>356</v>
      </c>
      <c r="B358" s="31">
        <f>CHAIN_RAW!D356</f>
        <v/>
      </c>
      <c r="C358" s="31">
        <f>CHAIN_RAW!A356</f>
        <v/>
      </c>
      <c r="D358" s="31">
        <f>CHAIN_RAW!C356</f>
        <v/>
      </c>
      <c r="E358" s="31">
        <f>CHAIN_RAW!E356</f>
        <v/>
      </c>
      <c r="F358" s="31">
        <f>CHAIN_RAW!F356</f>
        <v/>
      </c>
      <c r="G358" s="31">
        <f>CHAIN_RAW!I356</f>
        <v/>
      </c>
      <c r="H358" s="31">
        <f>CHAIN_RAW!Q356</f>
        <v/>
      </c>
      <c r="I358" s="31">
        <f>LET(pc,F358,oc,H358,IF(OR(pc="",oc=""),"",IF(AND(pc&gt;0,oc&gt;0),"Long Buildup",IF(AND(pc&lt;0,oc&gt;0),"Short Buildup",IF(AND(pc&gt;0,oc&lt;0),"Short Covering",IF(AND(pc&lt;0,oc&lt;0),"Long Unwinding","Flat"))))))</f>
        <v/>
      </c>
      <c r="J358" s="31">
        <f>LET(pc,ABS(F358),oc,ABS(H358),IF(OR(pc="",oc=""),"",MAX(1,MIN(5,ROUND((pc*0.5+oc*0.00001)*5,0))))))</f>
        <v/>
      </c>
    </row>
    <row r="359">
      <c r="A359" s="31" t="n">
        <v>357</v>
      </c>
      <c r="B359" s="31">
        <f>CHAIN_RAW!D357</f>
        <v/>
      </c>
      <c r="C359" s="31">
        <f>CHAIN_RAW!A357</f>
        <v/>
      </c>
      <c r="D359" s="31">
        <f>CHAIN_RAW!C357</f>
        <v/>
      </c>
      <c r="E359" s="31">
        <f>CHAIN_RAW!E357</f>
        <v/>
      </c>
      <c r="F359" s="31">
        <f>CHAIN_RAW!F357</f>
        <v/>
      </c>
      <c r="G359" s="31">
        <f>CHAIN_RAW!I357</f>
        <v/>
      </c>
      <c r="H359" s="31">
        <f>CHAIN_RAW!Q357</f>
        <v/>
      </c>
      <c r="I359" s="31">
        <f>LET(pc,F359,oc,H359,IF(OR(pc="",oc=""),"",IF(AND(pc&gt;0,oc&gt;0),"Long Buildup",IF(AND(pc&lt;0,oc&gt;0),"Short Buildup",IF(AND(pc&gt;0,oc&lt;0),"Short Covering",IF(AND(pc&lt;0,oc&lt;0),"Long Unwinding","Flat"))))))</f>
        <v/>
      </c>
      <c r="J359" s="31">
        <f>LET(pc,ABS(F359),oc,ABS(H359),IF(OR(pc="",oc=""),"",MAX(1,MIN(5,ROUND((pc*0.5+oc*0.00001)*5,0))))))</f>
        <v/>
      </c>
    </row>
    <row r="360">
      <c r="A360" s="31" t="n">
        <v>358</v>
      </c>
      <c r="B360" s="31">
        <f>CHAIN_RAW!D358</f>
        <v/>
      </c>
      <c r="C360" s="31">
        <f>CHAIN_RAW!A358</f>
        <v/>
      </c>
      <c r="D360" s="31">
        <f>CHAIN_RAW!C358</f>
        <v/>
      </c>
      <c r="E360" s="31">
        <f>CHAIN_RAW!E358</f>
        <v/>
      </c>
      <c r="F360" s="31">
        <f>CHAIN_RAW!F358</f>
        <v/>
      </c>
      <c r="G360" s="31">
        <f>CHAIN_RAW!I358</f>
        <v/>
      </c>
      <c r="H360" s="31">
        <f>CHAIN_RAW!Q358</f>
        <v/>
      </c>
      <c r="I360" s="31">
        <f>LET(pc,F360,oc,H360,IF(OR(pc="",oc=""),"",IF(AND(pc&gt;0,oc&gt;0),"Long Buildup",IF(AND(pc&lt;0,oc&gt;0),"Short Buildup",IF(AND(pc&gt;0,oc&lt;0),"Short Covering",IF(AND(pc&lt;0,oc&lt;0),"Long Unwinding","Flat"))))))</f>
        <v/>
      </c>
      <c r="J360" s="31">
        <f>LET(pc,ABS(F360),oc,ABS(H360),IF(OR(pc="",oc=""),"",MAX(1,MIN(5,ROUND((pc*0.5+oc*0.00001)*5,0))))))</f>
        <v/>
      </c>
    </row>
    <row r="361">
      <c r="A361" s="31" t="n">
        <v>359</v>
      </c>
      <c r="B361" s="31">
        <f>CHAIN_RAW!D359</f>
        <v/>
      </c>
      <c r="C361" s="31">
        <f>CHAIN_RAW!A359</f>
        <v/>
      </c>
      <c r="D361" s="31">
        <f>CHAIN_RAW!C359</f>
        <v/>
      </c>
      <c r="E361" s="31">
        <f>CHAIN_RAW!E359</f>
        <v/>
      </c>
      <c r="F361" s="31">
        <f>CHAIN_RAW!F359</f>
        <v/>
      </c>
      <c r="G361" s="31">
        <f>CHAIN_RAW!I359</f>
        <v/>
      </c>
      <c r="H361" s="31">
        <f>CHAIN_RAW!Q359</f>
        <v/>
      </c>
      <c r="I361" s="31">
        <f>LET(pc,F361,oc,H361,IF(OR(pc="",oc=""),"",IF(AND(pc&gt;0,oc&gt;0),"Long Buildup",IF(AND(pc&lt;0,oc&gt;0),"Short Buildup",IF(AND(pc&gt;0,oc&lt;0),"Short Covering",IF(AND(pc&lt;0,oc&lt;0),"Long Unwinding","Flat"))))))</f>
        <v/>
      </c>
      <c r="J361" s="31">
        <f>LET(pc,ABS(F361),oc,ABS(H361),IF(OR(pc="",oc=""),"",MAX(1,MIN(5,ROUND((pc*0.5+oc*0.00001)*5,0))))))</f>
        <v/>
      </c>
    </row>
    <row r="362">
      <c r="A362" s="31" t="n">
        <v>360</v>
      </c>
      <c r="B362" s="31">
        <f>CHAIN_RAW!D360</f>
        <v/>
      </c>
      <c r="C362" s="31">
        <f>CHAIN_RAW!A360</f>
        <v/>
      </c>
      <c r="D362" s="31">
        <f>CHAIN_RAW!C360</f>
        <v/>
      </c>
      <c r="E362" s="31">
        <f>CHAIN_RAW!E360</f>
        <v/>
      </c>
      <c r="F362" s="31">
        <f>CHAIN_RAW!F360</f>
        <v/>
      </c>
      <c r="G362" s="31">
        <f>CHAIN_RAW!I360</f>
        <v/>
      </c>
      <c r="H362" s="31">
        <f>CHAIN_RAW!Q360</f>
        <v/>
      </c>
      <c r="I362" s="31">
        <f>LET(pc,F362,oc,H362,IF(OR(pc="",oc=""),"",IF(AND(pc&gt;0,oc&gt;0),"Long Buildup",IF(AND(pc&lt;0,oc&gt;0),"Short Buildup",IF(AND(pc&gt;0,oc&lt;0),"Short Covering",IF(AND(pc&lt;0,oc&lt;0),"Long Unwinding","Flat"))))))</f>
        <v/>
      </c>
      <c r="J362" s="31">
        <f>LET(pc,ABS(F362),oc,ABS(H362),IF(OR(pc="",oc=""),"",MAX(1,MIN(5,ROUND((pc*0.5+oc*0.00001)*5,0))))))</f>
        <v/>
      </c>
    </row>
    <row r="363">
      <c r="A363" s="31" t="n">
        <v>361</v>
      </c>
      <c r="B363" s="31">
        <f>CHAIN_RAW!D361</f>
        <v/>
      </c>
      <c r="C363" s="31">
        <f>CHAIN_RAW!A361</f>
        <v/>
      </c>
      <c r="D363" s="31">
        <f>CHAIN_RAW!C361</f>
        <v/>
      </c>
      <c r="E363" s="31">
        <f>CHAIN_RAW!E361</f>
        <v/>
      </c>
      <c r="F363" s="31">
        <f>CHAIN_RAW!F361</f>
        <v/>
      </c>
      <c r="G363" s="31">
        <f>CHAIN_RAW!I361</f>
        <v/>
      </c>
      <c r="H363" s="31">
        <f>CHAIN_RAW!Q361</f>
        <v/>
      </c>
      <c r="I363" s="31">
        <f>LET(pc,F363,oc,H363,IF(OR(pc="",oc=""),"",IF(AND(pc&gt;0,oc&gt;0),"Long Buildup",IF(AND(pc&lt;0,oc&gt;0),"Short Buildup",IF(AND(pc&gt;0,oc&lt;0),"Short Covering",IF(AND(pc&lt;0,oc&lt;0),"Long Unwinding","Flat"))))))</f>
        <v/>
      </c>
      <c r="J363" s="31">
        <f>LET(pc,ABS(F363),oc,ABS(H363),IF(OR(pc="",oc=""),"",MAX(1,MIN(5,ROUND((pc*0.5+oc*0.00001)*5,0))))))</f>
        <v/>
      </c>
    </row>
    <row r="364">
      <c r="A364" s="31" t="n">
        <v>362</v>
      </c>
      <c r="B364" s="31">
        <f>CHAIN_RAW!D362</f>
        <v/>
      </c>
      <c r="C364" s="31">
        <f>CHAIN_RAW!A362</f>
        <v/>
      </c>
      <c r="D364" s="31">
        <f>CHAIN_RAW!C362</f>
        <v/>
      </c>
      <c r="E364" s="31">
        <f>CHAIN_RAW!E362</f>
        <v/>
      </c>
      <c r="F364" s="31">
        <f>CHAIN_RAW!F362</f>
        <v/>
      </c>
      <c r="G364" s="31">
        <f>CHAIN_RAW!I362</f>
        <v/>
      </c>
      <c r="H364" s="31">
        <f>CHAIN_RAW!Q362</f>
        <v/>
      </c>
      <c r="I364" s="31">
        <f>LET(pc,F364,oc,H364,IF(OR(pc="",oc=""),"",IF(AND(pc&gt;0,oc&gt;0),"Long Buildup",IF(AND(pc&lt;0,oc&gt;0),"Short Buildup",IF(AND(pc&gt;0,oc&lt;0),"Short Covering",IF(AND(pc&lt;0,oc&lt;0),"Long Unwinding","Flat"))))))</f>
        <v/>
      </c>
      <c r="J364" s="31">
        <f>LET(pc,ABS(F364),oc,ABS(H364),IF(OR(pc="",oc=""),"",MAX(1,MIN(5,ROUND((pc*0.5+oc*0.00001)*5,0))))))</f>
        <v/>
      </c>
    </row>
    <row r="365">
      <c r="A365" s="31" t="n">
        <v>363</v>
      </c>
      <c r="B365" s="31">
        <f>CHAIN_RAW!D363</f>
        <v/>
      </c>
      <c r="C365" s="31">
        <f>CHAIN_RAW!A363</f>
        <v/>
      </c>
      <c r="D365" s="31">
        <f>CHAIN_RAW!C363</f>
        <v/>
      </c>
      <c r="E365" s="31">
        <f>CHAIN_RAW!E363</f>
        <v/>
      </c>
      <c r="F365" s="31">
        <f>CHAIN_RAW!F363</f>
        <v/>
      </c>
      <c r="G365" s="31">
        <f>CHAIN_RAW!I363</f>
        <v/>
      </c>
      <c r="H365" s="31">
        <f>CHAIN_RAW!Q363</f>
        <v/>
      </c>
      <c r="I365" s="31">
        <f>LET(pc,F365,oc,H365,IF(OR(pc="",oc=""),"",IF(AND(pc&gt;0,oc&gt;0),"Long Buildup",IF(AND(pc&lt;0,oc&gt;0),"Short Buildup",IF(AND(pc&gt;0,oc&lt;0),"Short Covering",IF(AND(pc&lt;0,oc&lt;0),"Long Unwinding","Flat"))))))</f>
        <v/>
      </c>
      <c r="J365" s="31">
        <f>LET(pc,ABS(F365),oc,ABS(H365),IF(OR(pc="",oc=""),"",MAX(1,MIN(5,ROUND((pc*0.5+oc*0.00001)*5,0))))))</f>
        <v/>
      </c>
    </row>
    <row r="366">
      <c r="A366" s="31" t="n">
        <v>364</v>
      </c>
      <c r="B366" s="31">
        <f>CHAIN_RAW!D364</f>
        <v/>
      </c>
      <c r="C366" s="31">
        <f>CHAIN_RAW!A364</f>
        <v/>
      </c>
      <c r="D366" s="31">
        <f>CHAIN_RAW!C364</f>
        <v/>
      </c>
      <c r="E366" s="31">
        <f>CHAIN_RAW!E364</f>
        <v/>
      </c>
      <c r="F366" s="31">
        <f>CHAIN_RAW!F364</f>
        <v/>
      </c>
      <c r="G366" s="31">
        <f>CHAIN_RAW!I364</f>
        <v/>
      </c>
      <c r="H366" s="31">
        <f>CHAIN_RAW!Q364</f>
        <v/>
      </c>
      <c r="I366" s="31">
        <f>LET(pc,F366,oc,H366,IF(OR(pc="",oc=""),"",IF(AND(pc&gt;0,oc&gt;0),"Long Buildup",IF(AND(pc&lt;0,oc&gt;0),"Short Buildup",IF(AND(pc&gt;0,oc&lt;0),"Short Covering",IF(AND(pc&lt;0,oc&lt;0),"Long Unwinding","Flat"))))))</f>
        <v/>
      </c>
      <c r="J366" s="31">
        <f>LET(pc,ABS(F366),oc,ABS(H366),IF(OR(pc="",oc=""),"",MAX(1,MIN(5,ROUND((pc*0.5+oc*0.00001)*5,0))))))</f>
        <v/>
      </c>
    </row>
    <row r="367">
      <c r="A367" s="31" t="n">
        <v>365</v>
      </c>
      <c r="B367" s="31">
        <f>CHAIN_RAW!D365</f>
        <v/>
      </c>
      <c r="C367" s="31">
        <f>CHAIN_RAW!A365</f>
        <v/>
      </c>
      <c r="D367" s="31">
        <f>CHAIN_RAW!C365</f>
        <v/>
      </c>
      <c r="E367" s="31">
        <f>CHAIN_RAW!E365</f>
        <v/>
      </c>
      <c r="F367" s="31">
        <f>CHAIN_RAW!F365</f>
        <v/>
      </c>
      <c r="G367" s="31">
        <f>CHAIN_RAW!I365</f>
        <v/>
      </c>
      <c r="H367" s="31">
        <f>CHAIN_RAW!Q365</f>
        <v/>
      </c>
      <c r="I367" s="31">
        <f>LET(pc,F367,oc,H367,IF(OR(pc="",oc=""),"",IF(AND(pc&gt;0,oc&gt;0),"Long Buildup",IF(AND(pc&lt;0,oc&gt;0),"Short Buildup",IF(AND(pc&gt;0,oc&lt;0),"Short Covering",IF(AND(pc&lt;0,oc&lt;0),"Long Unwinding","Flat"))))))</f>
        <v/>
      </c>
      <c r="J367" s="31">
        <f>LET(pc,ABS(F367),oc,ABS(H367),IF(OR(pc="",oc=""),"",MAX(1,MIN(5,ROUND((pc*0.5+oc*0.00001)*5,0))))))</f>
        <v/>
      </c>
    </row>
    <row r="368">
      <c r="A368" s="31" t="n">
        <v>366</v>
      </c>
      <c r="B368" s="31">
        <f>CHAIN_RAW!D366</f>
        <v/>
      </c>
      <c r="C368" s="31">
        <f>CHAIN_RAW!A366</f>
        <v/>
      </c>
      <c r="D368" s="31">
        <f>CHAIN_RAW!C366</f>
        <v/>
      </c>
      <c r="E368" s="31">
        <f>CHAIN_RAW!E366</f>
        <v/>
      </c>
      <c r="F368" s="31">
        <f>CHAIN_RAW!F366</f>
        <v/>
      </c>
      <c r="G368" s="31">
        <f>CHAIN_RAW!I366</f>
        <v/>
      </c>
      <c r="H368" s="31">
        <f>CHAIN_RAW!Q366</f>
        <v/>
      </c>
      <c r="I368" s="31">
        <f>LET(pc,F368,oc,H368,IF(OR(pc="",oc=""),"",IF(AND(pc&gt;0,oc&gt;0),"Long Buildup",IF(AND(pc&lt;0,oc&gt;0),"Short Buildup",IF(AND(pc&gt;0,oc&lt;0),"Short Covering",IF(AND(pc&lt;0,oc&lt;0),"Long Unwinding","Flat"))))))</f>
        <v/>
      </c>
      <c r="J368" s="31">
        <f>LET(pc,ABS(F368),oc,ABS(H368),IF(OR(pc="",oc=""),"",MAX(1,MIN(5,ROUND((pc*0.5+oc*0.00001)*5,0))))))</f>
        <v/>
      </c>
    </row>
    <row r="369">
      <c r="A369" s="31" t="n">
        <v>367</v>
      </c>
      <c r="B369" s="31">
        <f>CHAIN_RAW!D367</f>
        <v/>
      </c>
      <c r="C369" s="31">
        <f>CHAIN_RAW!A367</f>
        <v/>
      </c>
      <c r="D369" s="31">
        <f>CHAIN_RAW!C367</f>
        <v/>
      </c>
      <c r="E369" s="31">
        <f>CHAIN_RAW!E367</f>
        <v/>
      </c>
      <c r="F369" s="31">
        <f>CHAIN_RAW!F367</f>
        <v/>
      </c>
      <c r="G369" s="31">
        <f>CHAIN_RAW!I367</f>
        <v/>
      </c>
      <c r="H369" s="31">
        <f>CHAIN_RAW!Q367</f>
        <v/>
      </c>
      <c r="I369" s="31">
        <f>LET(pc,F369,oc,H369,IF(OR(pc="",oc=""),"",IF(AND(pc&gt;0,oc&gt;0),"Long Buildup",IF(AND(pc&lt;0,oc&gt;0),"Short Buildup",IF(AND(pc&gt;0,oc&lt;0),"Short Covering",IF(AND(pc&lt;0,oc&lt;0),"Long Unwinding","Flat"))))))</f>
        <v/>
      </c>
      <c r="J369" s="31">
        <f>LET(pc,ABS(F369),oc,ABS(H369),IF(OR(pc="",oc=""),"",MAX(1,MIN(5,ROUND((pc*0.5+oc*0.00001)*5,0))))))</f>
        <v/>
      </c>
    </row>
    <row r="370">
      <c r="A370" s="31" t="n">
        <v>368</v>
      </c>
      <c r="B370" s="31">
        <f>CHAIN_RAW!D368</f>
        <v/>
      </c>
      <c r="C370" s="31">
        <f>CHAIN_RAW!A368</f>
        <v/>
      </c>
      <c r="D370" s="31">
        <f>CHAIN_RAW!C368</f>
        <v/>
      </c>
      <c r="E370" s="31">
        <f>CHAIN_RAW!E368</f>
        <v/>
      </c>
      <c r="F370" s="31">
        <f>CHAIN_RAW!F368</f>
        <v/>
      </c>
      <c r="G370" s="31">
        <f>CHAIN_RAW!I368</f>
        <v/>
      </c>
      <c r="H370" s="31">
        <f>CHAIN_RAW!Q368</f>
        <v/>
      </c>
      <c r="I370" s="31">
        <f>LET(pc,F370,oc,H370,IF(OR(pc="",oc=""),"",IF(AND(pc&gt;0,oc&gt;0),"Long Buildup",IF(AND(pc&lt;0,oc&gt;0),"Short Buildup",IF(AND(pc&gt;0,oc&lt;0),"Short Covering",IF(AND(pc&lt;0,oc&lt;0),"Long Unwinding","Flat"))))))</f>
        <v/>
      </c>
      <c r="J370" s="31">
        <f>LET(pc,ABS(F370),oc,ABS(H370),IF(OR(pc="",oc=""),"",MAX(1,MIN(5,ROUND((pc*0.5+oc*0.00001)*5,0))))))</f>
        <v/>
      </c>
    </row>
    <row r="371">
      <c r="A371" s="31" t="n">
        <v>369</v>
      </c>
      <c r="B371" s="31">
        <f>CHAIN_RAW!D369</f>
        <v/>
      </c>
      <c r="C371" s="31">
        <f>CHAIN_RAW!A369</f>
        <v/>
      </c>
      <c r="D371" s="31">
        <f>CHAIN_RAW!C369</f>
        <v/>
      </c>
      <c r="E371" s="31">
        <f>CHAIN_RAW!E369</f>
        <v/>
      </c>
      <c r="F371" s="31">
        <f>CHAIN_RAW!F369</f>
        <v/>
      </c>
      <c r="G371" s="31">
        <f>CHAIN_RAW!I369</f>
        <v/>
      </c>
      <c r="H371" s="31">
        <f>CHAIN_RAW!Q369</f>
        <v/>
      </c>
      <c r="I371" s="31">
        <f>LET(pc,F371,oc,H371,IF(OR(pc="",oc=""),"",IF(AND(pc&gt;0,oc&gt;0),"Long Buildup",IF(AND(pc&lt;0,oc&gt;0),"Short Buildup",IF(AND(pc&gt;0,oc&lt;0),"Short Covering",IF(AND(pc&lt;0,oc&lt;0),"Long Unwinding","Flat"))))))</f>
        <v/>
      </c>
      <c r="J371" s="31">
        <f>LET(pc,ABS(F371),oc,ABS(H371),IF(OR(pc="",oc=""),"",MAX(1,MIN(5,ROUND((pc*0.5+oc*0.00001)*5,0))))))</f>
        <v/>
      </c>
    </row>
    <row r="372">
      <c r="A372" s="31" t="n">
        <v>370</v>
      </c>
      <c r="B372" s="31">
        <f>CHAIN_RAW!D370</f>
        <v/>
      </c>
      <c r="C372" s="31">
        <f>CHAIN_RAW!A370</f>
        <v/>
      </c>
      <c r="D372" s="31">
        <f>CHAIN_RAW!C370</f>
        <v/>
      </c>
      <c r="E372" s="31">
        <f>CHAIN_RAW!E370</f>
        <v/>
      </c>
      <c r="F372" s="31">
        <f>CHAIN_RAW!F370</f>
        <v/>
      </c>
      <c r="G372" s="31">
        <f>CHAIN_RAW!I370</f>
        <v/>
      </c>
      <c r="H372" s="31">
        <f>CHAIN_RAW!Q370</f>
        <v/>
      </c>
      <c r="I372" s="31">
        <f>LET(pc,F372,oc,H372,IF(OR(pc="",oc=""),"",IF(AND(pc&gt;0,oc&gt;0),"Long Buildup",IF(AND(pc&lt;0,oc&gt;0),"Short Buildup",IF(AND(pc&gt;0,oc&lt;0),"Short Covering",IF(AND(pc&lt;0,oc&lt;0),"Long Unwinding","Flat"))))))</f>
        <v/>
      </c>
      <c r="J372" s="31">
        <f>LET(pc,ABS(F372),oc,ABS(H372),IF(OR(pc="",oc=""),"",MAX(1,MIN(5,ROUND((pc*0.5+oc*0.00001)*5,0))))))</f>
        <v/>
      </c>
    </row>
    <row r="373">
      <c r="A373" s="31" t="n">
        <v>371</v>
      </c>
      <c r="B373" s="31">
        <f>CHAIN_RAW!D371</f>
        <v/>
      </c>
      <c r="C373" s="31">
        <f>CHAIN_RAW!A371</f>
        <v/>
      </c>
      <c r="D373" s="31">
        <f>CHAIN_RAW!C371</f>
        <v/>
      </c>
      <c r="E373" s="31">
        <f>CHAIN_RAW!E371</f>
        <v/>
      </c>
      <c r="F373" s="31">
        <f>CHAIN_RAW!F371</f>
        <v/>
      </c>
      <c r="G373" s="31">
        <f>CHAIN_RAW!I371</f>
        <v/>
      </c>
      <c r="H373" s="31">
        <f>CHAIN_RAW!Q371</f>
        <v/>
      </c>
      <c r="I373" s="31">
        <f>LET(pc,F373,oc,H373,IF(OR(pc="",oc=""),"",IF(AND(pc&gt;0,oc&gt;0),"Long Buildup",IF(AND(pc&lt;0,oc&gt;0),"Short Buildup",IF(AND(pc&gt;0,oc&lt;0),"Short Covering",IF(AND(pc&lt;0,oc&lt;0),"Long Unwinding","Flat"))))))</f>
        <v/>
      </c>
      <c r="J373" s="31">
        <f>LET(pc,ABS(F373),oc,ABS(H373),IF(OR(pc="",oc=""),"",MAX(1,MIN(5,ROUND((pc*0.5+oc*0.00001)*5,0))))))</f>
        <v/>
      </c>
    </row>
    <row r="374">
      <c r="A374" s="31" t="n">
        <v>372</v>
      </c>
      <c r="B374" s="31">
        <f>CHAIN_RAW!D372</f>
        <v/>
      </c>
      <c r="C374" s="31">
        <f>CHAIN_RAW!A372</f>
        <v/>
      </c>
      <c r="D374" s="31">
        <f>CHAIN_RAW!C372</f>
        <v/>
      </c>
      <c r="E374" s="31">
        <f>CHAIN_RAW!E372</f>
        <v/>
      </c>
      <c r="F374" s="31">
        <f>CHAIN_RAW!F372</f>
        <v/>
      </c>
      <c r="G374" s="31">
        <f>CHAIN_RAW!I372</f>
        <v/>
      </c>
      <c r="H374" s="31">
        <f>CHAIN_RAW!Q372</f>
        <v/>
      </c>
      <c r="I374" s="31">
        <f>LET(pc,F374,oc,H374,IF(OR(pc="",oc=""),"",IF(AND(pc&gt;0,oc&gt;0),"Long Buildup",IF(AND(pc&lt;0,oc&gt;0),"Short Buildup",IF(AND(pc&gt;0,oc&lt;0),"Short Covering",IF(AND(pc&lt;0,oc&lt;0),"Long Unwinding","Flat"))))))</f>
        <v/>
      </c>
      <c r="J374" s="31">
        <f>LET(pc,ABS(F374),oc,ABS(H374),IF(OR(pc="",oc=""),"",MAX(1,MIN(5,ROUND((pc*0.5+oc*0.00001)*5,0))))))</f>
        <v/>
      </c>
    </row>
    <row r="375">
      <c r="A375" s="31" t="n">
        <v>373</v>
      </c>
      <c r="B375" s="31">
        <f>CHAIN_RAW!D373</f>
        <v/>
      </c>
      <c r="C375" s="31">
        <f>CHAIN_RAW!A373</f>
        <v/>
      </c>
      <c r="D375" s="31">
        <f>CHAIN_RAW!C373</f>
        <v/>
      </c>
      <c r="E375" s="31">
        <f>CHAIN_RAW!E373</f>
        <v/>
      </c>
      <c r="F375" s="31">
        <f>CHAIN_RAW!F373</f>
        <v/>
      </c>
      <c r="G375" s="31">
        <f>CHAIN_RAW!I373</f>
        <v/>
      </c>
      <c r="H375" s="31">
        <f>CHAIN_RAW!Q373</f>
        <v/>
      </c>
      <c r="I375" s="31">
        <f>LET(pc,F375,oc,H375,IF(OR(pc="",oc=""),"",IF(AND(pc&gt;0,oc&gt;0),"Long Buildup",IF(AND(pc&lt;0,oc&gt;0),"Short Buildup",IF(AND(pc&gt;0,oc&lt;0),"Short Covering",IF(AND(pc&lt;0,oc&lt;0),"Long Unwinding","Flat"))))))</f>
        <v/>
      </c>
      <c r="J375" s="31">
        <f>LET(pc,ABS(F375),oc,ABS(H375),IF(OR(pc="",oc=""),"",MAX(1,MIN(5,ROUND((pc*0.5+oc*0.00001)*5,0))))))</f>
        <v/>
      </c>
    </row>
    <row r="376">
      <c r="A376" s="31" t="n">
        <v>374</v>
      </c>
      <c r="B376" s="31">
        <f>CHAIN_RAW!D374</f>
        <v/>
      </c>
      <c r="C376" s="31">
        <f>CHAIN_RAW!A374</f>
        <v/>
      </c>
      <c r="D376" s="31">
        <f>CHAIN_RAW!C374</f>
        <v/>
      </c>
      <c r="E376" s="31">
        <f>CHAIN_RAW!E374</f>
        <v/>
      </c>
      <c r="F376" s="31">
        <f>CHAIN_RAW!F374</f>
        <v/>
      </c>
      <c r="G376" s="31">
        <f>CHAIN_RAW!I374</f>
        <v/>
      </c>
      <c r="H376" s="31">
        <f>CHAIN_RAW!Q374</f>
        <v/>
      </c>
      <c r="I376" s="31">
        <f>LET(pc,F376,oc,H376,IF(OR(pc="",oc=""),"",IF(AND(pc&gt;0,oc&gt;0),"Long Buildup",IF(AND(pc&lt;0,oc&gt;0),"Short Buildup",IF(AND(pc&gt;0,oc&lt;0),"Short Covering",IF(AND(pc&lt;0,oc&lt;0),"Long Unwinding","Flat"))))))</f>
        <v/>
      </c>
      <c r="J376" s="31">
        <f>LET(pc,ABS(F376),oc,ABS(H376),IF(OR(pc="",oc=""),"",MAX(1,MIN(5,ROUND((pc*0.5+oc*0.00001)*5,0))))))</f>
        <v/>
      </c>
    </row>
    <row r="377">
      <c r="A377" s="31" t="n">
        <v>375</v>
      </c>
      <c r="B377" s="31">
        <f>CHAIN_RAW!D375</f>
        <v/>
      </c>
      <c r="C377" s="31">
        <f>CHAIN_RAW!A375</f>
        <v/>
      </c>
      <c r="D377" s="31">
        <f>CHAIN_RAW!C375</f>
        <v/>
      </c>
      <c r="E377" s="31">
        <f>CHAIN_RAW!E375</f>
        <v/>
      </c>
      <c r="F377" s="31">
        <f>CHAIN_RAW!F375</f>
        <v/>
      </c>
      <c r="G377" s="31">
        <f>CHAIN_RAW!I375</f>
        <v/>
      </c>
      <c r="H377" s="31">
        <f>CHAIN_RAW!Q375</f>
        <v/>
      </c>
      <c r="I377" s="31">
        <f>LET(pc,F377,oc,H377,IF(OR(pc="",oc=""),"",IF(AND(pc&gt;0,oc&gt;0),"Long Buildup",IF(AND(pc&lt;0,oc&gt;0),"Short Buildup",IF(AND(pc&gt;0,oc&lt;0),"Short Covering",IF(AND(pc&lt;0,oc&lt;0),"Long Unwinding","Flat"))))))</f>
        <v/>
      </c>
      <c r="J377" s="31">
        <f>LET(pc,ABS(F377),oc,ABS(H377),IF(OR(pc="",oc=""),"",MAX(1,MIN(5,ROUND((pc*0.5+oc*0.00001)*5,0))))))</f>
        <v/>
      </c>
    </row>
    <row r="378">
      <c r="A378" s="31" t="n">
        <v>376</v>
      </c>
      <c r="B378" s="31">
        <f>CHAIN_RAW!D376</f>
        <v/>
      </c>
      <c r="C378" s="31">
        <f>CHAIN_RAW!A376</f>
        <v/>
      </c>
      <c r="D378" s="31">
        <f>CHAIN_RAW!C376</f>
        <v/>
      </c>
      <c r="E378" s="31">
        <f>CHAIN_RAW!E376</f>
        <v/>
      </c>
      <c r="F378" s="31">
        <f>CHAIN_RAW!F376</f>
        <v/>
      </c>
      <c r="G378" s="31">
        <f>CHAIN_RAW!I376</f>
        <v/>
      </c>
      <c r="H378" s="31">
        <f>CHAIN_RAW!Q376</f>
        <v/>
      </c>
      <c r="I378" s="31">
        <f>LET(pc,F378,oc,H378,IF(OR(pc="",oc=""),"",IF(AND(pc&gt;0,oc&gt;0),"Long Buildup",IF(AND(pc&lt;0,oc&gt;0),"Short Buildup",IF(AND(pc&gt;0,oc&lt;0),"Short Covering",IF(AND(pc&lt;0,oc&lt;0),"Long Unwinding","Flat"))))))</f>
        <v/>
      </c>
      <c r="J378" s="31">
        <f>LET(pc,ABS(F378),oc,ABS(H378),IF(OR(pc="",oc=""),"",MAX(1,MIN(5,ROUND((pc*0.5+oc*0.00001)*5,0))))))</f>
        <v/>
      </c>
    </row>
    <row r="379">
      <c r="A379" s="31" t="n">
        <v>377</v>
      </c>
      <c r="B379" s="31">
        <f>CHAIN_RAW!D377</f>
        <v/>
      </c>
      <c r="C379" s="31">
        <f>CHAIN_RAW!A377</f>
        <v/>
      </c>
      <c r="D379" s="31">
        <f>CHAIN_RAW!C377</f>
        <v/>
      </c>
      <c r="E379" s="31">
        <f>CHAIN_RAW!E377</f>
        <v/>
      </c>
      <c r="F379" s="31">
        <f>CHAIN_RAW!F377</f>
        <v/>
      </c>
      <c r="G379" s="31">
        <f>CHAIN_RAW!I377</f>
        <v/>
      </c>
      <c r="H379" s="31">
        <f>CHAIN_RAW!Q377</f>
        <v/>
      </c>
      <c r="I379" s="31">
        <f>LET(pc,F379,oc,H379,IF(OR(pc="",oc=""),"",IF(AND(pc&gt;0,oc&gt;0),"Long Buildup",IF(AND(pc&lt;0,oc&gt;0),"Short Buildup",IF(AND(pc&gt;0,oc&lt;0),"Short Covering",IF(AND(pc&lt;0,oc&lt;0),"Long Unwinding","Flat"))))))</f>
        <v/>
      </c>
      <c r="J379" s="31">
        <f>LET(pc,ABS(F379),oc,ABS(H379),IF(OR(pc="",oc=""),"",MAX(1,MIN(5,ROUND((pc*0.5+oc*0.00001)*5,0))))))</f>
        <v/>
      </c>
    </row>
    <row r="380">
      <c r="A380" s="31" t="n">
        <v>378</v>
      </c>
      <c r="B380" s="31">
        <f>CHAIN_RAW!D378</f>
        <v/>
      </c>
      <c r="C380" s="31">
        <f>CHAIN_RAW!A378</f>
        <v/>
      </c>
      <c r="D380" s="31">
        <f>CHAIN_RAW!C378</f>
        <v/>
      </c>
      <c r="E380" s="31">
        <f>CHAIN_RAW!E378</f>
        <v/>
      </c>
      <c r="F380" s="31">
        <f>CHAIN_RAW!F378</f>
        <v/>
      </c>
      <c r="G380" s="31">
        <f>CHAIN_RAW!I378</f>
        <v/>
      </c>
      <c r="H380" s="31">
        <f>CHAIN_RAW!Q378</f>
        <v/>
      </c>
      <c r="I380" s="31">
        <f>LET(pc,F380,oc,H380,IF(OR(pc="",oc=""),"",IF(AND(pc&gt;0,oc&gt;0),"Long Buildup",IF(AND(pc&lt;0,oc&gt;0),"Short Buildup",IF(AND(pc&gt;0,oc&lt;0),"Short Covering",IF(AND(pc&lt;0,oc&lt;0),"Long Unwinding","Flat"))))))</f>
        <v/>
      </c>
      <c r="J380" s="31">
        <f>LET(pc,ABS(F380),oc,ABS(H380),IF(OR(pc="",oc=""),"",MAX(1,MIN(5,ROUND((pc*0.5+oc*0.00001)*5,0))))))</f>
        <v/>
      </c>
    </row>
    <row r="381">
      <c r="A381" s="31" t="n">
        <v>379</v>
      </c>
      <c r="B381" s="31">
        <f>CHAIN_RAW!D379</f>
        <v/>
      </c>
      <c r="C381" s="31">
        <f>CHAIN_RAW!A379</f>
        <v/>
      </c>
      <c r="D381" s="31">
        <f>CHAIN_RAW!C379</f>
        <v/>
      </c>
      <c r="E381" s="31">
        <f>CHAIN_RAW!E379</f>
        <v/>
      </c>
      <c r="F381" s="31">
        <f>CHAIN_RAW!F379</f>
        <v/>
      </c>
      <c r="G381" s="31">
        <f>CHAIN_RAW!I379</f>
        <v/>
      </c>
      <c r="H381" s="31">
        <f>CHAIN_RAW!Q379</f>
        <v/>
      </c>
      <c r="I381" s="31">
        <f>LET(pc,F381,oc,H381,IF(OR(pc="",oc=""),"",IF(AND(pc&gt;0,oc&gt;0),"Long Buildup",IF(AND(pc&lt;0,oc&gt;0),"Short Buildup",IF(AND(pc&gt;0,oc&lt;0),"Short Covering",IF(AND(pc&lt;0,oc&lt;0),"Long Unwinding","Flat"))))))</f>
        <v/>
      </c>
      <c r="J381" s="31">
        <f>LET(pc,ABS(F381),oc,ABS(H381),IF(OR(pc="",oc=""),"",MAX(1,MIN(5,ROUND((pc*0.5+oc*0.00001)*5,0))))))</f>
        <v/>
      </c>
    </row>
    <row r="382">
      <c r="A382" s="31" t="n">
        <v>380</v>
      </c>
      <c r="B382" s="31">
        <f>CHAIN_RAW!D380</f>
        <v/>
      </c>
      <c r="C382" s="31">
        <f>CHAIN_RAW!A380</f>
        <v/>
      </c>
      <c r="D382" s="31">
        <f>CHAIN_RAW!C380</f>
        <v/>
      </c>
      <c r="E382" s="31">
        <f>CHAIN_RAW!E380</f>
        <v/>
      </c>
      <c r="F382" s="31">
        <f>CHAIN_RAW!F380</f>
        <v/>
      </c>
      <c r="G382" s="31">
        <f>CHAIN_RAW!I380</f>
        <v/>
      </c>
      <c r="H382" s="31">
        <f>CHAIN_RAW!Q380</f>
        <v/>
      </c>
      <c r="I382" s="31">
        <f>LET(pc,F382,oc,H382,IF(OR(pc="",oc=""),"",IF(AND(pc&gt;0,oc&gt;0),"Long Buildup",IF(AND(pc&lt;0,oc&gt;0),"Short Buildup",IF(AND(pc&gt;0,oc&lt;0),"Short Covering",IF(AND(pc&lt;0,oc&lt;0),"Long Unwinding","Flat"))))))</f>
        <v/>
      </c>
      <c r="J382" s="31">
        <f>LET(pc,ABS(F382),oc,ABS(H382),IF(OR(pc="",oc=""),"",MAX(1,MIN(5,ROUND((pc*0.5+oc*0.00001)*5,0))))))</f>
        <v/>
      </c>
    </row>
    <row r="383">
      <c r="A383" s="31" t="n">
        <v>381</v>
      </c>
      <c r="B383" s="31">
        <f>CHAIN_RAW!D381</f>
        <v/>
      </c>
      <c r="C383" s="31">
        <f>CHAIN_RAW!A381</f>
        <v/>
      </c>
      <c r="D383" s="31">
        <f>CHAIN_RAW!C381</f>
        <v/>
      </c>
      <c r="E383" s="31">
        <f>CHAIN_RAW!E381</f>
        <v/>
      </c>
      <c r="F383" s="31">
        <f>CHAIN_RAW!F381</f>
        <v/>
      </c>
      <c r="G383" s="31">
        <f>CHAIN_RAW!I381</f>
        <v/>
      </c>
      <c r="H383" s="31">
        <f>CHAIN_RAW!Q381</f>
        <v/>
      </c>
      <c r="I383" s="31">
        <f>LET(pc,F383,oc,H383,IF(OR(pc="",oc=""),"",IF(AND(pc&gt;0,oc&gt;0),"Long Buildup",IF(AND(pc&lt;0,oc&gt;0),"Short Buildup",IF(AND(pc&gt;0,oc&lt;0),"Short Covering",IF(AND(pc&lt;0,oc&lt;0),"Long Unwinding","Flat"))))))</f>
        <v/>
      </c>
      <c r="J383" s="31">
        <f>LET(pc,ABS(F383),oc,ABS(H383),IF(OR(pc="",oc=""),"",MAX(1,MIN(5,ROUND((pc*0.5+oc*0.00001)*5,0))))))</f>
        <v/>
      </c>
    </row>
    <row r="384">
      <c r="A384" s="31" t="n">
        <v>382</v>
      </c>
      <c r="B384" s="31">
        <f>CHAIN_RAW!D382</f>
        <v/>
      </c>
      <c r="C384" s="31">
        <f>CHAIN_RAW!A382</f>
        <v/>
      </c>
      <c r="D384" s="31">
        <f>CHAIN_RAW!C382</f>
        <v/>
      </c>
      <c r="E384" s="31">
        <f>CHAIN_RAW!E382</f>
        <v/>
      </c>
      <c r="F384" s="31">
        <f>CHAIN_RAW!F382</f>
        <v/>
      </c>
      <c r="G384" s="31">
        <f>CHAIN_RAW!I382</f>
        <v/>
      </c>
      <c r="H384" s="31">
        <f>CHAIN_RAW!Q382</f>
        <v/>
      </c>
      <c r="I384" s="31">
        <f>LET(pc,F384,oc,H384,IF(OR(pc="",oc=""),"",IF(AND(pc&gt;0,oc&gt;0),"Long Buildup",IF(AND(pc&lt;0,oc&gt;0),"Short Buildup",IF(AND(pc&gt;0,oc&lt;0),"Short Covering",IF(AND(pc&lt;0,oc&lt;0),"Long Unwinding","Flat"))))))</f>
        <v/>
      </c>
      <c r="J384" s="31">
        <f>LET(pc,ABS(F384),oc,ABS(H384),IF(OR(pc="",oc=""),"",MAX(1,MIN(5,ROUND((pc*0.5+oc*0.00001)*5,0))))))</f>
        <v/>
      </c>
    </row>
    <row r="385">
      <c r="A385" s="31" t="n">
        <v>383</v>
      </c>
      <c r="B385" s="31">
        <f>CHAIN_RAW!D383</f>
        <v/>
      </c>
      <c r="C385" s="31">
        <f>CHAIN_RAW!A383</f>
        <v/>
      </c>
      <c r="D385" s="31">
        <f>CHAIN_RAW!C383</f>
        <v/>
      </c>
      <c r="E385" s="31">
        <f>CHAIN_RAW!E383</f>
        <v/>
      </c>
      <c r="F385" s="31">
        <f>CHAIN_RAW!F383</f>
        <v/>
      </c>
      <c r="G385" s="31">
        <f>CHAIN_RAW!I383</f>
        <v/>
      </c>
      <c r="H385" s="31">
        <f>CHAIN_RAW!Q383</f>
        <v/>
      </c>
      <c r="I385" s="31">
        <f>LET(pc,F385,oc,H385,IF(OR(pc="",oc=""),"",IF(AND(pc&gt;0,oc&gt;0),"Long Buildup",IF(AND(pc&lt;0,oc&gt;0),"Short Buildup",IF(AND(pc&gt;0,oc&lt;0),"Short Covering",IF(AND(pc&lt;0,oc&lt;0),"Long Unwinding","Flat"))))))</f>
        <v/>
      </c>
      <c r="J385" s="31">
        <f>LET(pc,ABS(F385),oc,ABS(H385),IF(OR(pc="",oc=""),"",MAX(1,MIN(5,ROUND((pc*0.5+oc*0.00001)*5,0))))))</f>
        <v/>
      </c>
    </row>
    <row r="386">
      <c r="A386" s="31" t="n">
        <v>384</v>
      </c>
      <c r="B386" s="31">
        <f>CHAIN_RAW!D384</f>
        <v/>
      </c>
      <c r="C386" s="31">
        <f>CHAIN_RAW!A384</f>
        <v/>
      </c>
      <c r="D386" s="31">
        <f>CHAIN_RAW!C384</f>
        <v/>
      </c>
      <c r="E386" s="31">
        <f>CHAIN_RAW!E384</f>
        <v/>
      </c>
      <c r="F386" s="31">
        <f>CHAIN_RAW!F384</f>
        <v/>
      </c>
      <c r="G386" s="31">
        <f>CHAIN_RAW!I384</f>
        <v/>
      </c>
      <c r="H386" s="31">
        <f>CHAIN_RAW!Q384</f>
        <v/>
      </c>
      <c r="I386" s="31">
        <f>LET(pc,F386,oc,H386,IF(OR(pc="",oc=""),"",IF(AND(pc&gt;0,oc&gt;0),"Long Buildup",IF(AND(pc&lt;0,oc&gt;0),"Short Buildup",IF(AND(pc&gt;0,oc&lt;0),"Short Covering",IF(AND(pc&lt;0,oc&lt;0),"Long Unwinding","Flat"))))))</f>
        <v/>
      </c>
      <c r="J386" s="31">
        <f>LET(pc,ABS(F386),oc,ABS(H386),IF(OR(pc="",oc=""),"",MAX(1,MIN(5,ROUND((pc*0.5+oc*0.00001)*5,0))))))</f>
        <v/>
      </c>
    </row>
    <row r="387">
      <c r="A387" s="31" t="n">
        <v>385</v>
      </c>
      <c r="B387" s="31">
        <f>CHAIN_RAW!D385</f>
        <v/>
      </c>
      <c r="C387" s="31">
        <f>CHAIN_RAW!A385</f>
        <v/>
      </c>
      <c r="D387" s="31">
        <f>CHAIN_RAW!C385</f>
        <v/>
      </c>
      <c r="E387" s="31">
        <f>CHAIN_RAW!E385</f>
        <v/>
      </c>
      <c r="F387" s="31">
        <f>CHAIN_RAW!F385</f>
        <v/>
      </c>
      <c r="G387" s="31">
        <f>CHAIN_RAW!I385</f>
        <v/>
      </c>
      <c r="H387" s="31">
        <f>CHAIN_RAW!Q385</f>
        <v/>
      </c>
      <c r="I387" s="31">
        <f>LET(pc,F387,oc,H387,IF(OR(pc="",oc=""),"",IF(AND(pc&gt;0,oc&gt;0),"Long Buildup",IF(AND(pc&lt;0,oc&gt;0),"Short Buildup",IF(AND(pc&gt;0,oc&lt;0),"Short Covering",IF(AND(pc&lt;0,oc&lt;0),"Long Unwinding","Flat"))))))</f>
        <v/>
      </c>
      <c r="J387" s="31">
        <f>LET(pc,ABS(F387),oc,ABS(H387),IF(OR(pc="",oc=""),"",MAX(1,MIN(5,ROUND((pc*0.5+oc*0.00001)*5,0))))))</f>
        <v/>
      </c>
    </row>
    <row r="388">
      <c r="A388" s="31" t="n">
        <v>386</v>
      </c>
      <c r="B388" s="31">
        <f>CHAIN_RAW!D386</f>
        <v/>
      </c>
      <c r="C388" s="31">
        <f>CHAIN_RAW!A386</f>
        <v/>
      </c>
      <c r="D388" s="31">
        <f>CHAIN_RAW!C386</f>
        <v/>
      </c>
      <c r="E388" s="31">
        <f>CHAIN_RAW!E386</f>
        <v/>
      </c>
      <c r="F388" s="31">
        <f>CHAIN_RAW!F386</f>
        <v/>
      </c>
      <c r="G388" s="31">
        <f>CHAIN_RAW!I386</f>
        <v/>
      </c>
      <c r="H388" s="31">
        <f>CHAIN_RAW!Q386</f>
        <v/>
      </c>
      <c r="I388" s="31">
        <f>LET(pc,F388,oc,H388,IF(OR(pc="",oc=""),"",IF(AND(pc&gt;0,oc&gt;0),"Long Buildup",IF(AND(pc&lt;0,oc&gt;0),"Short Buildup",IF(AND(pc&gt;0,oc&lt;0),"Short Covering",IF(AND(pc&lt;0,oc&lt;0),"Long Unwinding","Flat"))))))</f>
        <v/>
      </c>
      <c r="J388" s="31">
        <f>LET(pc,ABS(F388),oc,ABS(H388),IF(OR(pc="",oc=""),"",MAX(1,MIN(5,ROUND((pc*0.5+oc*0.00001)*5,0))))))</f>
        <v/>
      </c>
    </row>
    <row r="389">
      <c r="A389" s="31" t="n">
        <v>387</v>
      </c>
      <c r="B389" s="31">
        <f>CHAIN_RAW!D387</f>
        <v/>
      </c>
      <c r="C389" s="31">
        <f>CHAIN_RAW!A387</f>
        <v/>
      </c>
      <c r="D389" s="31">
        <f>CHAIN_RAW!C387</f>
        <v/>
      </c>
      <c r="E389" s="31">
        <f>CHAIN_RAW!E387</f>
        <v/>
      </c>
      <c r="F389" s="31">
        <f>CHAIN_RAW!F387</f>
        <v/>
      </c>
      <c r="G389" s="31">
        <f>CHAIN_RAW!I387</f>
        <v/>
      </c>
      <c r="H389" s="31">
        <f>CHAIN_RAW!Q387</f>
        <v/>
      </c>
      <c r="I389" s="31">
        <f>LET(pc,F389,oc,H389,IF(OR(pc="",oc=""),"",IF(AND(pc&gt;0,oc&gt;0),"Long Buildup",IF(AND(pc&lt;0,oc&gt;0),"Short Buildup",IF(AND(pc&gt;0,oc&lt;0),"Short Covering",IF(AND(pc&lt;0,oc&lt;0),"Long Unwinding","Flat"))))))</f>
        <v/>
      </c>
      <c r="J389" s="31">
        <f>LET(pc,ABS(F389),oc,ABS(H389),IF(OR(pc="",oc=""),"",MAX(1,MIN(5,ROUND((pc*0.5+oc*0.00001)*5,0))))))</f>
        <v/>
      </c>
    </row>
    <row r="390">
      <c r="A390" s="31" t="n">
        <v>388</v>
      </c>
      <c r="B390" s="31">
        <f>CHAIN_RAW!D388</f>
        <v/>
      </c>
      <c r="C390" s="31">
        <f>CHAIN_RAW!A388</f>
        <v/>
      </c>
      <c r="D390" s="31">
        <f>CHAIN_RAW!C388</f>
        <v/>
      </c>
      <c r="E390" s="31">
        <f>CHAIN_RAW!E388</f>
        <v/>
      </c>
      <c r="F390" s="31">
        <f>CHAIN_RAW!F388</f>
        <v/>
      </c>
      <c r="G390" s="31">
        <f>CHAIN_RAW!I388</f>
        <v/>
      </c>
      <c r="H390" s="31">
        <f>CHAIN_RAW!Q388</f>
        <v/>
      </c>
      <c r="I390" s="31">
        <f>LET(pc,F390,oc,H390,IF(OR(pc="",oc=""),"",IF(AND(pc&gt;0,oc&gt;0),"Long Buildup",IF(AND(pc&lt;0,oc&gt;0),"Short Buildup",IF(AND(pc&gt;0,oc&lt;0),"Short Covering",IF(AND(pc&lt;0,oc&lt;0),"Long Unwinding","Flat"))))))</f>
        <v/>
      </c>
      <c r="J390" s="31">
        <f>LET(pc,ABS(F390),oc,ABS(H390),IF(OR(pc="",oc=""),"",MAX(1,MIN(5,ROUND((pc*0.5+oc*0.00001)*5,0))))))</f>
        <v/>
      </c>
    </row>
    <row r="391">
      <c r="A391" s="31" t="n">
        <v>389</v>
      </c>
      <c r="B391" s="31">
        <f>CHAIN_RAW!D389</f>
        <v/>
      </c>
      <c r="C391" s="31">
        <f>CHAIN_RAW!A389</f>
        <v/>
      </c>
      <c r="D391" s="31">
        <f>CHAIN_RAW!C389</f>
        <v/>
      </c>
      <c r="E391" s="31">
        <f>CHAIN_RAW!E389</f>
        <v/>
      </c>
      <c r="F391" s="31">
        <f>CHAIN_RAW!F389</f>
        <v/>
      </c>
      <c r="G391" s="31">
        <f>CHAIN_RAW!I389</f>
        <v/>
      </c>
      <c r="H391" s="31">
        <f>CHAIN_RAW!Q389</f>
        <v/>
      </c>
      <c r="I391" s="31">
        <f>LET(pc,F391,oc,H391,IF(OR(pc="",oc=""),"",IF(AND(pc&gt;0,oc&gt;0),"Long Buildup",IF(AND(pc&lt;0,oc&gt;0),"Short Buildup",IF(AND(pc&gt;0,oc&lt;0),"Short Covering",IF(AND(pc&lt;0,oc&lt;0),"Long Unwinding","Flat"))))))</f>
        <v/>
      </c>
      <c r="J391" s="31">
        <f>LET(pc,ABS(F391),oc,ABS(H391),IF(OR(pc="",oc=""),"",MAX(1,MIN(5,ROUND((pc*0.5+oc*0.00001)*5,0))))))</f>
        <v/>
      </c>
    </row>
    <row r="392">
      <c r="A392" s="31" t="n">
        <v>390</v>
      </c>
      <c r="B392" s="31">
        <f>CHAIN_RAW!D390</f>
        <v/>
      </c>
      <c r="C392" s="31">
        <f>CHAIN_RAW!A390</f>
        <v/>
      </c>
      <c r="D392" s="31">
        <f>CHAIN_RAW!C390</f>
        <v/>
      </c>
      <c r="E392" s="31">
        <f>CHAIN_RAW!E390</f>
        <v/>
      </c>
      <c r="F392" s="31">
        <f>CHAIN_RAW!F390</f>
        <v/>
      </c>
      <c r="G392" s="31">
        <f>CHAIN_RAW!I390</f>
        <v/>
      </c>
      <c r="H392" s="31">
        <f>CHAIN_RAW!Q390</f>
        <v/>
      </c>
      <c r="I392" s="31">
        <f>LET(pc,F392,oc,H392,IF(OR(pc="",oc=""),"",IF(AND(pc&gt;0,oc&gt;0),"Long Buildup",IF(AND(pc&lt;0,oc&gt;0),"Short Buildup",IF(AND(pc&gt;0,oc&lt;0),"Short Covering",IF(AND(pc&lt;0,oc&lt;0),"Long Unwinding","Flat"))))))</f>
        <v/>
      </c>
      <c r="J392" s="31">
        <f>LET(pc,ABS(F392),oc,ABS(H392),IF(OR(pc="",oc=""),"",MAX(1,MIN(5,ROUND((pc*0.5+oc*0.00001)*5,0))))))</f>
        <v/>
      </c>
    </row>
    <row r="393">
      <c r="A393" s="31" t="n">
        <v>391</v>
      </c>
      <c r="B393" s="31">
        <f>CHAIN_RAW!D391</f>
        <v/>
      </c>
      <c r="C393" s="31">
        <f>CHAIN_RAW!A391</f>
        <v/>
      </c>
      <c r="D393" s="31">
        <f>CHAIN_RAW!C391</f>
        <v/>
      </c>
      <c r="E393" s="31">
        <f>CHAIN_RAW!E391</f>
        <v/>
      </c>
      <c r="F393" s="31">
        <f>CHAIN_RAW!F391</f>
        <v/>
      </c>
      <c r="G393" s="31">
        <f>CHAIN_RAW!I391</f>
        <v/>
      </c>
      <c r="H393" s="31">
        <f>CHAIN_RAW!Q391</f>
        <v/>
      </c>
      <c r="I393" s="31">
        <f>LET(pc,F393,oc,H393,IF(OR(pc="",oc=""),"",IF(AND(pc&gt;0,oc&gt;0),"Long Buildup",IF(AND(pc&lt;0,oc&gt;0),"Short Buildup",IF(AND(pc&gt;0,oc&lt;0),"Short Covering",IF(AND(pc&lt;0,oc&lt;0),"Long Unwinding","Flat"))))))</f>
        <v/>
      </c>
      <c r="J393" s="31">
        <f>LET(pc,ABS(F393),oc,ABS(H393),IF(OR(pc="",oc=""),"",MAX(1,MIN(5,ROUND((pc*0.5+oc*0.00001)*5,0))))))</f>
        <v/>
      </c>
    </row>
    <row r="394">
      <c r="A394" s="31" t="n">
        <v>392</v>
      </c>
      <c r="B394" s="31">
        <f>CHAIN_RAW!D392</f>
        <v/>
      </c>
      <c r="C394" s="31">
        <f>CHAIN_RAW!A392</f>
        <v/>
      </c>
      <c r="D394" s="31">
        <f>CHAIN_RAW!C392</f>
        <v/>
      </c>
      <c r="E394" s="31">
        <f>CHAIN_RAW!E392</f>
        <v/>
      </c>
      <c r="F394" s="31">
        <f>CHAIN_RAW!F392</f>
        <v/>
      </c>
      <c r="G394" s="31">
        <f>CHAIN_RAW!I392</f>
        <v/>
      </c>
      <c r="H394" s="31">
        <f>CHAIN_RAW!Q392</f>
        <v/>
      </c>
      <c r="I394" s="31">
        <f>LET(pc,F394,oc,H394,IF(OR(pc="",oc=""),"",IF(AND(pc&gt;0,oc&gt;0),"Long Buildup",IF(AND(pc&lt;0,oc&gt;0),"Short Buildup",IF(AND(pc&gt;0,oc&lt;0),"Short Covering",IF(AND(pc&lt;0,oc&lt;0),"Long Unwinding","Flat"))))))</f>
        <v/>
      </c>
      <c r="J394" s="31">
        <f>LET(pc,ABS(F394),oc,ABS(H394),IF(OR(pc="",oc=""),"",MAX(1,MIN(5,ROUND((pc*0.5+oc*0.00001)*5,0))))))</f>
        <v/>
      </c>
    </row>
    <row r="395">
      <c r="A395" s="31" t="n">
        <v>393</v>
      </c>
      <c r="B395" s="31">
        <f>CHAIN_RAW!D393</f>
        <v/>
      </c>
      <c r="C395" s="31">
        <f>CHAIN_RAW!A393</f>
        <v/>
      </c>
      <c r="D395" s="31">
        <f>CHAIN_RAW!C393</f>
        <v/>
      </c>
      <c r="E395" s="31">
        <f>CHAIN_RAW!E393</f>
        <v/>
      </c>
      <c r="F395" s="31">
        <f>CHAIN_RAW!F393</f>
        <v/>
      </c>
      <c r="G395" s="31">
        <f>CHAIN_RAW!I393</f>
        <v/>
      </c>
      <c r="H395" s="31">
        <f>CHAIN_RAW!Q393</f>
        <v/>
      </c>
      <c r="I395" s="31">
        <f>LET(pc,F395,oc,H395,IF(OR(pc="",oc=""),"",IF(AND(pc&gt;0,oc&gt;0),"Long Buildup",IF(AND(pc&lt;0,oc&gt;0),"Short Buildup",IF(AND(pc&gt;0,oc&lt;0),"Short Covering",IF(AND(pc&lt;0,oc&lt;0),"Long Unwinding","Flat"))))))</f>
        <v/>
      </c>
      <c r="J395" s="31">
        <f>LET(pc,ABS(F395),oc,ABS(H395),IF(OR(pc="",oc=""),"",MAX(1,MIN(5,ROUND((pc*0.5+oc*0.00001)*5,0))))))</f>
        <v/>
      </c>
    </row>
    <row r="396">
      <c r="A396" s="31" t="n">
        <v>394</v>
      </c>
      <c r="B396" s="31">
        <f>CHAIN_RAW!D394</f>
        <v/>
      </c>
      <c r="C396" s="31">
        <f>CHAIN_RAW!A394</f>
        <v/>
      </c>
      <c r="D396" s="31">
        <f>CHAIN_RAW!C394</f>
        <v/>
      </c>
      <c r="E396" s="31">
        <f>CHAIN_RAW!E394</f>
        <v/>
      </c>
      <c r="F396" s="31">
        <f>CHAIN_RAW!F394</f>
        <v/>
      </c>
      <c r="G396" s="31">
        <f>CHAIN_RAW!I394</f>
        <v/>
      </c>
      <c r="H396" s="31">
        <f>CHAIN_RAW!Q394</f>
        <v/>
      </c>
      <c r="I396" s="31">
        <f>LET(pc,F396,oc,H396,IF(OR(pc="",oc=""),"",IF(AND(pc&gt;0,oc&gt;0),"Long Buildup",IF(AND(pc&lt;0,oc&gt;0),"Short Buildup",IF(AND(pc&gt;0,oc&lt;0),"Short Covering",IF(AND(pc&lt;0,oc&lt;0),"Long Unwinding","Flat"))))))</f>
        <v/>
      </c>
      <c r="J396" s="31">
        <f>LET(pc,ABS(F396),oc,ABS(H396),IF(OR(pc="",oc=""),"",MAX(1,MIN(5,ROUND((pc*0.5+oc*0.00001)*5,0))))))</f>
        <v/>
      </c>
    </row>
    <row r="397">
      <c r="A397" s="31" t="n">
        <v>395</v>
      </c>
      <c r="B397" s="31">
        <f>CHAIN_RAW!D395</f>
        <v/>
      </c>
      <c r="C397" s="31">
        <f>CHAIN_RAW!A395</f>
        <v/>
      </c>
      <c r="D397" s="31">
        <f>CHAIN_RAW!C395</f>
        <v/>
      </c>
      <c r="E397" s="31">
        <f>CHAIN_RAW!E395</f>
        <v/>
      </c>
      <c r="F397" s="31">
        <f>CHAIN_RAW!F395</f>
        <v/>
      </c>
      <c r="G397" s="31">
        <f>CHAIN_RAW!I395</f>
        <v/>
      </c>
      <c r="H397" s="31">
        <f>CHAIN_RAW!Q395</f>
        <v/>
      </c>
      <c r="I397" s="31">
        <f>LET(pc,F397,oc,H397,IF(OR(pc="",oc=""),"",IF(AND(pc&gt;0,oc&gt;0),"Long Buildup",IF(AND(pc&lt;0,oc&gt;0),"Short Buildup",IF(AND(pc&gt;0,oc&lt;0),"Short Covering",IF(AND(pc&lt;0,oc&lt;0),"Long Unwinding","Flat"))))))</f>
        <v/>
      </c>
      <c r="J397" s="31">
        <f>LET(pc,ABS(F397),oc,ABS(H397),IF(OR(pc="",oc=""),"",MAX(1,MIN(5,ROUND((pc*0.5+oc*0.00001)*5,0))))))</f>
        <v/>
      </c>
    </row>
    <row r="398">
      <c r="A398" s="31" t="n">
        <v>396</v>
      </c>
      <c r="B398" s="31">
        <f>CHAIN_RAW!D396</f>
        <v/>
      </c>
      <c r="C398" s="31">
        <f>CHAIN_RAW!A396</f>
        <v/>
      </c>
      <c r="D398" s="31">
        <f>CHAIN_RAW!C396</f>
        <v/>
      </c>
      <c r="E398" s="31">
        <f>CHAIN_RAW!E396</f>
        <v/>
      </c>
      <c r="F398" s="31">
        <f>CHAIN_RAW!F396</f>
        <v/>
      </c>
      <c r="G398" s="31">
        <f>CHAIN_RAW!I396</f>
        <v/>
      </c>
      <c r="H398" s="31">
        <f>CHAIN_RAW!Q396</f>
        <v/>
      </c>
      <c r="I398" s="31">
        <f>LET(pc,F398,oc,H398,IF(OR(pc="",oc=""),"",IF(AND(pc&gt;0,oc&gt;0),"Long Buildup",IF(AND(pc&lt;0,oc&gt;0),"Short Buildup",IF(AND(pc&gt;0,oc&lt;0),"Short Covering",IF(AND(pc&lt;0,oc&lt;0),"Long Unwinding","Flat"))))))</f>
        <v/>
      </c>
      <c r="J398" s="31">
        <f>LET(pc,ABS(F398),oc,ABS(H398),IF(OR(pc="",oc=""),"",MAX(1,MIN(5,ROUND((pc*0.5+oc*0.00001)*5,0))))))</f>
        <v/>
      </c>
    </row>
    <row r="399">
      <c r="A399" s="31" t="n">
        <v>397</v>
      </c>
      <c r="B399" s="31">
        <f>CHAIN_RAW!D397</f>
        <v/>
      </c>
      <c r="C399" s="31">
        <f>CHAIN_RAW!A397</f>
        <v/>
      </c>
      <c r="D399" s="31">
        <f>CHAIN_RAW!C397</f>
        <v/>
      </c>
      <c r="E399" s="31">
        <f>CHAIN_RAW!E397</f>
        <v/>
      </c>
      <c r="F399" s="31">
        <f>CHAIN_RAW!F397</f>
        <v/>
      </c>
      <c r="G399" s="31">
        <f>CHAIN_RAW!I397</f>
        <v/>
      </c>
      <c r="H399" s="31">
        <f>CHAIN_RAW!Q397</f>
        <v/>
      </c>
      <c r="I399" s="31">
        <f>LET(pc,F399,oc,H399,IF(OR(pc="",oc=""),"",IF(AND(pc&gt;0,oc&gt;0),"Long Buildup",IF(AND(pc&lt;0,oc&gt;0),"Short Buildup",IF(AND(pc&gt;0,oc&lt;0),"Short Covering",IF(AND(pc&lt;0,oc&lt;0),"Long Unwinding","Flat"))))))</f>
        <v/>
      </c>
      <c r="J399" s="31">
        <f>LET(pc,ABS(F399),oc,ABS(H399),IF(OR(pc="",oc=""),"",MAX(1,MIN(5,ROUND((pc*0.5+oc*0.00001)*5,0))))))</f>
        <v/>
      </c>
    </row>
    <row r="400">
      <c r="A400" s="31" t="n">
        <v>398</v>
      </c>
      <c r="B400" s="31">
        <f>CHAIN_RAW!D398</f>
        <v/>
      </c>
      <c r="C400" s="31">
        <f>CHAIN_RAW!A398</f>
        <v/>
      </c>
      <c r="D400" s="31">
        <f>CHAIN_RAW!C398</f>
        <v/>
      </c>
      <c r="E400" s="31">
        <f>CHAIN_RAW!E398</f>
        <v/>
      </c>
      <c r="F400" s="31">
        <f>CHAIN_RAW!F398</f>
        <v/>
      </c>
      <c r="G400" s="31">
        <f>CHAIN_RAW!I398</f>
        <v/>
      </c>
      <c r="H400" s="31">
        <f>CHAIN_RAW!Q398</f>
        <v/>
      </c>
      <c r="I400" s="31">
        <f>LET(pc,F400,oc,H400,IF(OR(pc="",oc=""),"",IF(AND(pc&gt;0,oc&gt;0),"Long Buildup",IF(AND(pc&lt;0,oc&gt;0),"Short Buildup",IF(AND(pc&gt;0,oc&lt;0),"Short Covering",IF(AND(pc&lt;0,oc&lt;0),"Long Unwinding","Flat"))))))</f>
        <v/>
      </c>
      <c r="J400" s="31">
        <f>LET(pc,ABS(F400),oc,ABS(H400),IF(OR(pc="",oc=""),"",MAX(1,MIN(5,ROUND((pc*0.5+oc*0.00001)*5,0))))))</f>
        <v/>
      </c>
    </row>
    <row r="401">
      <c r="A401" s="31" t="n">
        <v>399</v>
      </c>
      <c r="B401" s="31">
        <f>CHAIN_RAW!D399</f>
        <v/>
      </c>
      <c r="C401" s="31">
        <f>CHAIN_RAW!A399</f>
        <v/>
      </c>
      <c r="D401" s="31">
        <f>CHAIN_RAW!C399</f>
        <v/>
      </c>
      <c r="E401" s="31">
        <f>CHAIN_RAW!E399</f>
        <v/>
      </c>
      <c r="F401" s="31">
        <f>CHAIN_RAW!F399</f>
        <v/>
      </c>
      <c r="G401" s="31">
        <f>CHAIN_RAW!I399</f>
        <v/>
      </c>
      <c r="H401" s="31">
        <f>CHAIN_RAW!Q399</f>
        <v/>
      </c>
      <c r="I401" s="31">
        <f>LET(pc,F401,oc,H401,IF(OR(pc="",oc=""),"",IF(AND(pc&gt;0,oc&gt;0),"Long Buildup",IF(AND(pc&lt;0,oc&gt;0),"Short Buildup",IF(AND(pc&gt;0,oc&lt;0),"Short Covering",IF(AND(pc&lt;0,oc&lt;0),"Long Unwinding","Flat"))))))</f>
        <v/>
      </c>
      <c r="J401" s="31">
        <f>LET(pc,ABS(F401),oc,ABS(H401),IF(OR(pc="",oc=""),"",MAX(1,MIN(5,ROUND((pc*0.5+oc*0.00001)*5,0))))))</f>
        <v/>
      </c>
    </row>
    <row r="402">
      <c r="A402" s="31" t="n">
        <v>400</v>
      </c>
      <c r="B402" s="31">
        <f>CHAIN_RAW!D400</f>
        <v/>
      </c>
      <c r="C402" s="31">
        <f>CHAIN_RAW!A400</f>
        <v/>
      </c>
      <c r="D402" s="31">
        <f>CHAIN_RAW!C400</f>
        <v/>
      </c>
      <c r="E402" s="31">
        <f>CHAIN_RAW!E400</f>
        <v/>
      </c>
      <c r="F402" s="31">
        <f>CHAIN_RAW!F400</f>
        <v/>
      </c>
      <c r="G402" s="31">
        <f>CHAIN_RAW!I400</f>
        <v/>
      </c>
      <c r="H402" s="31">
        <f>CHAIN_RAW!Q400</f>
        <v/>
      </c>
      <c r="I402" s="31">
        <f>LET(pc,F402,oc,H402,IF(OR(pc="",oc=""),"",IF(AND(pc&gt;0,oc&gt;0),"Long Buildup",IF(AND(pc&lt;0,oc&gt;0),"Short Buildup",IF(AND(pc&gt;0,oc&lt;0),"Short Covering",IF(AND(pc&lt;0,oc&lt;0),"Long Unwinding","Flat"))))))</f>
        <v/>
      </c>
      <c r="J402" s="31">
        <f>LET(pc,ABS(F402),oc,ABS(H402),IF(OR(pc="",oc=""),"",MAX(1,MIN(5,ROUND((pc*0.5+oc*0.00001)*5,0))))))</f>
        <v/>
      </c>
    </row>
    <row r="403">
      <c r="A403" s="31" t="n">
        <v>401</v>
      </c>
      <c r="B403" s="31">
        <f>CHAIN_RAW!D401</f>
        <v/>
      </c>
      <c r="C403" s="31">
        <f>CHAIN_RAW!A401</f>
        <v/>
      </c>
      <c r="D403" s="31">
        <f>CHAIN_RAW!C401</f>
        <v/>
      </c>
      <c r="E403" s="31">
        <f>CHAIN_RAW!E401</f>
        <v/>
      </c>
      <c r="F403" s="31">
        <f>CHAIN_RAW!F401</f>
        <v/>
      </c>
      <c r="G403" s="31">
        <f>CHAIN_RAW!I401</f>
        <v/>
      </c>
      <c r="H403" s="31">
        <f>CHAIN_RAW!Q401</f>
        <v/>
      </c>
      <c r="I403" s="31">
        <f>LET(pc,F403,oc,H403,IF(OR(pc="",oc=""),"",IF(AND(pc&gt;0,oc&gt;0),"Long Buildup",IF(AND(pc&lt;0,oc&gt;0),"Short Buildup",IF(AND(pc&gt;0,oc&lt;0),"Short Covering",IF(AND(pc&lt;0,oc&lt;0),"Long Unwinding","Flat"))))))</f>
        <v/>
      </c>
      <c r="J403" s="31">
        <f>LET(pc,ABS(F403),oc,ABS(H403),IF(OR(pc="",oc=""),"",MAX(1,MIN(5,ROUND((pc*0.5+oc*0.00001)*5,0))))))</f>
        <v/>
      </c>
    </row>
    <row r="404">
      <c r="A404" s="31" t="n">
        <v>402</v>
      </c>
      <c r="B404" s="31">
        <f>CHAIN_RAW!D402</f>
        <v/>
      </c>
      <c r="C404" s="31">
        <f>CHAIN_RAW!A402</f>
        <v/>
      </c>
      <c r="D404" s="31">
        <f>CHAIN_RAW!C402</f>
        <v/>
      </c>
      <c r="E404" s="31">
        <f>CHAIN_RAW!E402</f>
        <v/>
      </c>
      <c r="F404" s="31">
        <f>CHAIN_RAW!F402</f>
        <v/>
      </c>
      <c r="G404" s="31">
        <f>CHAIN_RAW!I402</f>
        <v/>
      </c>
      <c r="H404" s="31">
        <f>CHAIN_RAW!Q402</f>
        <v/>
      </c>
      <c r="I404" s="31">
        <f>LET(pc,F404,oc,H404,IF(OR(pc="",oc=""),"",IF(AND(pc&gt;0,oc&gt;0),"Long Buildup",IF(AND(pc&lt;0,oc&gt;0),"Short Buildup",IF(AND(pc&gt;0,oc&lt;0),"Short Covering",IF(AND(pc&lt;0,oc&lt;0),"Long Unwinding","Flat"))))))</f>
        <v/>
      </c>
      <c r="J404" s="31">
        <f>LET(pc,ABS(F404),oc,ABS(H404),IF(OR(pc="",oc=""),"",MAX(1,MIN(5,ROUND((pc*0.5+oc*0.00001)*5,0))))))</f>
        <v/>
      </c>
    </row>
    <row r="405">
      <c r="A405" s="31" t="n">
        <v>403</v>
      </c>
      <c r="B405" s="31">
        <f>CHAIN_RAW!D403</f>
        <v/>
      </c>
      <c r="C405" s="31">
        <f>CHAIN_RAW!A403</f>
        <v/>
      </c>
      <c r="D405" s="31">
        <f>CHAIN_RAW!C403</f>
        <v/>
      </c>
      <c r="E405" s="31">
        <f>CHAIN_RAW!E403</f>
        <v/>
      </c>
      <c r="F405" s="31">
        <f>CHAIN_RAW!F403</f>
        <v/>
      </c>
      <c r="G405" s="31">
        <f>CHAIN_RAW!I403</f>
        <v/>
      </c>
      <c r="H405" s="31">
        <f>CHAIN_RAW!Q403</f>
        <v/>
      </c>
      <c r="I405" s="31">
        <f>LET(pc,F405,oc,H405,IF(OR(pc="",oc=""),"",IF(AND(pc&gt;0,oc&gt;0),"Long Buildup",IF(AND(pc&lt;0,oc&gt;0),"Short Buildup",IF(AND(pc&gt;0,oc&lt;0),"Short Covering",IF(AND(pc&lt;0,oc&lt;0),"Long Unwinding","Flat"))))))</f>
        <v/>
      </c>
      <c r="J405" s="31">
        <f>LET(pc,ABS(F405),oc,ABS(H405),IF(OR(pc="",oc=""),"",MAX(1,MIN(5,ROUND((pc*0.5+oc*0.00001)*5,0))))))</f>
        <v/>
      </c>
    </row>
    <row r="406">
      <c r="A406" s="31" t="n">
        <v>404</v>
      </c>
      <c r="B406" s="31">
        <f>CHAIN_RAW!D404</f>
        <v/>
      </c>
      <c r="C406" s="31">
        <f>CHAIN_RAW!A404</f>
        <v/>
      </c>
      <c r="D406" s="31">
        <f>CHAIN_RAW!C404</f>
        <v/>
      </c>
      <c r="E406" s="31">
        <f>CHAIN_RAW!E404</f>
        <v/>
      </c>
      <c r="F406" s="31">
        <f>CHAIN_RAW!F404</f>
        <v/>
      </c>
      <c r="G406" s="31">
        <f>CHAIN_RAW!I404</f>
        <v/>
      </c>
      <c r="H406" s="31">
        <f>CHAIN_RAW!Q404</f>
        <v/>
      </c>
      <c r="I406" s="31">
        <f>LET(pc,F406,oc,H406,IF(OR(pc="",oc=""),"",IF(AND(pc&gt;0,oc&gt;0),"Long Buildup",IF(AND(pc&lt;0,oc&gt;0),"Short Buildup",IF(AND(pc&gt;0,oc&lt;0),"Short Covering",IF(AND(pc&lt;0,oc&lt;0),"Long Unwinding","Flat"))))))</f>
        <v/>
      </c>
      <c r="J406" s="31">
        <f>LET(pc,ABS(F406),oc,ABS(H406),IF(OR(pc="",oc=""),"",MAX(1,MIN(5,ROUND((pc*0.5+oc*0.00001)*5,0))))))</f>
        <v/>
      </c>
    </row>
    <row r="407">
      <c r="A407" s="31" t="n">
        <v>405</v>
      </c>
      <c r="B407" s="31">
        <f>CHAIN_RAW!D405</f>
        <v/>
      </c>
      <c r="C407" s="31">
        <f>CHAIN_RAW!A405</f>
        <v/>
      </c>
      <c r="D407" s="31">
        <f>CHAIN_RAW!C405</f>
        <v/>
      </c>
      <c r="E407" s="31">
        <f>CHAIN_RAW!E405</f>
        <v/>
      </c>
      <c r="F407" s="31">
        <f>CHAIN_RAW!F405</f>
        <v/>
      </c>
      <c r="G407" s="31">
        <f>CHAIN_RAW!I405</f>
        <v/>
      </c>
      <c r="H407" s="31">
        <f>CHAIN_RAW!Q405</f>
        <v/>
      </c>
      <c r="I407" s="31">
        <f>LET(pc,F407,oc,H407,IF(OR(pc="",oc=""),"",IF(AND(pc&gt;0,oc&gt;0),"Long Buildup",IF(AND(pc&lt;0,oc&gt;0),"Short Buildup",IF(AND(pc&gt;0,oc&lt;0),"Short Covering",IF(AND(pc&lt;0,oc&lt;0),"Long Unwinding","Flat"))))))</f>
        <v/>
      </c>
      <c r="J407" s="31">
        <f>LET(pc,ABS(F407),oc,ABS(H407),IF(OR(pc="",oc=""),"",MAX(1,MIN(5,ROUND((pc*0.5+oc*0.00001)*5,0))))))</f>
        <v/>
      </c>
    </row>
    <row r="408">
      <c r="A408" s="31" t="n">
        <v>406</v>
      </c>
      <c r="B408" s="31">
        <f>CHAIN_RAW!D406</f>
        <v/>
      </c>
      <c r="C408" s="31">
        <f>CHAIN_RAW!A406</f>
        <v/>
      </c>
      <c r="D408" s="31">
        <f>CHAIN_RAW!C406</f>
        <v/>
      </c>
      <c r="E408" s="31">
        <f>CHAIN_RAW!E406</f>
        <v/>
      </c>
      <c r="F408" s="31">
        <f>CHAIN_RAW!F406</f>
        <v/>
      </c>
      <c r="G408" s="31">
        <f>CHAIN_RAW!I406</f>
        <v/>
      </c>
      <c r="H408" s="31">
        <f>CHAIN_RAW!Q406</f>
        <v/>
      </c>
      <c r="I408" s="31">
        <f>LET(pc,F408,oc,H408,IF(OR(pc="",oc=""),"",IF(AND(pc&gt;0,oc&gt;0),"Long Buildup",IF(AND(pc&lt;0,oc&gt;0),"Short Buildup",IF(AND(pc&gt;0,oc&lt;0),"Short Covering",IF(AND(pc&lt;0,oc&lt;0),"Long Unwinding","Flat"))))))</f>
        <v/>
      </c>
      <c r="J408" s="31">
        <f>LET(pc,ABS(F408),oc,ABS(H408),IF(OR(pc="",oc=""),"",MAX(1,MIN(5,ROUND((pc*0.5+oc*0.00001)*5,0))))))</f>
        <v/>
      </c>
    </row>
    <row r="409">
      <c r="A409" s="31" t="n">
        <v>407</v>
      </c>
      <c r="B409" s="31">
        <f>CHAIN_RAW!D407</f>
        <v/>
      </c>
      <c r="C409" s="31">
        <f>CHAIN_RAW!A407</f>
        <v/>
      </c>
      <c r="D409" s="31">
        <f>CHAIN_RAW!C407</f>
        <v/>
      </c>
      <c r="E409" s="31">
        <f>CHAIN_RAW!E407</f>
        <v/>
      </c>
      <c r="F409" s="31">
        <f>CHAIN_RAW!F407</f>
        <v/>
      </c>
      <c r="G409" s="31">
        <f>CHAIN_RAW!I407</f>
        <v/>
      </c>
      <c r="H409" s="31">
        <f>CHAIN_RAW!Q407</f>
        <v/>
      </c>
      <c r="I409" s="31">
        <f>LET(pc,F409,oc,H409,IF(OR(pc="",oc=""),"",IF(AND(pc&gt;0,oc&gt;0),"Long Buildup",IF(AND(pc&lt;0,oc&gt;0),"Short Buildup",IF(AND(pc&gt;0,oc&lt;0),"Short Covering",IF(AND(pc&lt;0,oc&lt;0),"Long Unwinding","Flat"))))))</f>
        <v/>
      </c>
      <c r="J409" s="31">
        <f>LET(pc,ABS(F409),oc,ABS(H409),IF(OR(pc="",oc=""),"",MAX(1,MIN(5,ROUND((pc*0.5+oc*0.00001)*5,0))))))</f>
        <v/>
      </c>
    </row>
    <row r="410">
      <c r="A410" s="31" t="n">
        <v>408</v>
      </c>
      <c r="B410" s="31">
        <f>CHAIN_RAW!D408</f>
        <v/>
      </c>
      <c r="C410" s="31">
        <f>CHAIN_RAW!A408</f>
        <v/>
      </c>
      <c r="D410" s="31">
        <f>CHAIN_RAW!C408</f>
        <v/>
      </c>
      <c r="E410" s="31">
        <f>CHAIN_RAW!E408</f>
        <v/>
      </c>
      <c r="F410" s="31">
        <f>CHAIN_RAW!F408</f>
        <v/>
      </c>
      <c r="G410" s="31">
        <f>CHAIN_RAW!I408</f>
        <v/>
      </c>
      <c r="H410" s="31">
        <f>CHAIN_RAW!Q408</f>
        <v/>
      </c>
      <c r="I410" s="31">
        <f>LET(pc,F410,oc,H410,IF(OR(pc="",oc=""),"",IF(AND(pc&gt;0,oc&gt;0),"Long Buildup",IF(AND(pc&lt;0,oc&gt;0),"Short Buildup",IF(AND(pc&gt;0,oc&lt;0),"Short Covering",IF(AND(pc&lt;0,oc&lt;0),"Long Unwinding","Flat"))))))</f>
        <v/>
      </c>
      <c r="J410" s="31">
        <f>LET(pc,ABS(F410),oc,ABS(H410),IF(OR(pc="",oc=""),"",MAX(1,MIN(5,ROUND((pc*0.5+oc*0.00001)*5,0))))))</f>
        <v/>
      </c>
    </row>
    <row r="411">
      <c r="A411" s="31" t="n">
        <v>409</v>
      </c>
      <c r="B411" s="31">
        <f>CHAIN_RAW!D409</f>
        <v/>
      </c>
      <c r="C411" s="31">
        <f>CHAIN_RAW!A409</f>
        <v/>
      </c>
      <c r="D411" s="31">
        <f>CHAIN_RAW!C409</f>
        <v/>
      </c>
      <c r="E411" s="31">
        <f>CHAIN_RAW!E409</f>
        <v/>
      </c>
      <c r="F411" s="31">
        <f>CHAIN_RAW!F409</f>
        <v/>
      </c>
      <c r="G411" s="31">
        <f>CHAIN_RAW!I409</f>
        <v/>
      </c>
      <c r="H411" s="31">
        <f>CHAIN_RAW!Q409</f>
        <v/>
      </c>
      <c r="I411" s="31">
        <f>LET(pc,F411,oc,H411,IF(OR(pc="",oc=""),"",IF(AND(pc&gt;0,oc&gt;0),"Long Buildup",IF(AND(pc&lt;0,oc&gt;0),"Short Buildup",IF(AND(pc&gt;0,oc&lt;0),"Short Covering",IF(AND(pc&lt;0,oc&lt;0),"Long Unwinding","Flat"))))))</f>
        <v/>
      </c>
      <c r="J411" s="31">
        <f>LET(pc,ABS(F411),oc,ABS(H411),IF(OR(pc="",oc=""),"",MAX(1,MIN(5,ROUND((pc*0.5+oc*0.00001)*5,0))))))</f>
        <v/>
      </c>
    </row>
    <row r="412">
      <c r="A412" s="31" t="n">
        <v>410</v>
      </c>
      <c r="B412" s="31">
        <f>CHAIN_RAW!D410</f>
        <v/>
      </c>
      <c r="C412" s="31">
        <f>CHAIN_RAW!A410</f>
        <v/>
      </c>
      <c r="D412" s="31">
        <f>CHAIN_RAW!C410</f>
        <v/>
      </c>
      <c r="E412" s="31">
        <f>CHAIN_RAW!E410</f>
        <v/>
      </c>
      <c r="F412" s="31">
        <f>CHAIN_RAW!F410</f>
        <v/>
      </c>
      <c r="G412" s="31">
        <f>CHAIN_RAW!I410</f>
        <v/>
      </c>
      <c r="H412" s="31">
        <f>CHAIN_RAW!Q410</f>
        <v/>
      </c>
      <c r="I412" s="31">
        <f>LET(pc,F412,oc,H412,IF(OR(pc="",oc=""),"",IF(AND(pc&gt;0,oc&gt;0),"Long Buildup",IF(AND(pc&lt;0,oc&gt;0),"Short Buildup",IF(AND(pc&gt;0,oc&lt;0),"Short Covering",IF(AND(pc&lt;0,oc&lt;0),"Long Unwinding","Flat"))))))</f>
        <v/>
      </c>
      <c r="J412" s="31">
        <f>LET(pc,ABS(F412),oc,ABS(H412),IF(OR(pc="",oc=""),"",MAX(1,MIN(5,ROUND((pc*0.5+oc*0.00001)*5,0))))))</f>
        <v/>
      </c>
    </row>
    <row r="413">
      <c r="A413" s="31" t="n">
        <v>411</v>
      </c>
      <c r="B413" s="31">
        <f>CHAIN_RAW!D411</f>
        <v/>
      </c>
      <c r="C413" s="31">
        <f>CHAIN_RAW!A411</f>
        <v/>
      </c>
      <c r="D413" s="31">
        <f>CHAIN_RAW!C411</f>
        <v/>
      </c>
      <c r="E413" s="31">
        <f>CHAIN_RAW!E411</f>
        <v/>
      </c>
      <c r="F413" s="31">
        <f>CHAIN_RAW!F411</f>
        <v/>
      </c>
      <c r="G413" s="31">
        <f>CHAIN_RAW!I411</f>
        <v/>
      </c>
      <c r="H413" s="31">
        <f>CHAIN_RAW!Q411</f>
        <v/>
      </c>
      <c r="I413" s="31">
        <f>LET(pc,F413,oc,H413,IF(OR(pc="",oc=""),"",IF(AND(pc&gt;0,oc&gt;0),"Long Buildup",IF(AND(pc&lt;0,oc&gt;0),"Short Buildup",IF(AND(pc&gt;0,oc&lt;0),"Short Covering",IF(AND(pc&lt;0,oc&lt;0),"Long Unwinding","Flat"))))))</f>
        <v/>
      </c>
      <c r="J413" s="31">
        <f>LET(pc,ABS(F413),oc,ABS(H413),IF(OR(pc="",oc=""),"",MAX(1,MIN(5,ROUND((pc*0.5+oc*0.00001)*5,0))))))</f>
        <v/>
      </c>
    </row>
    <row r="414">
      <c r="A414" s="31" t="n">
        <v>412</v>
      </c>
      <c r="B414" s="31">
        <f>CHAIN_RAW!D412</f>
        <v/>
      </c>
      <c r="C414" s="31">
        <f>CHAIN_RAW!A412</f>
        <v/>
      </c>
      <c r="D414" s="31">
        <f>CHAIN_RAW!C412</f>
        <v/>
      </c>
      <c r="E414" s="31">
        <f>CHAIN_RAW!E412</f>
        <v/>
      </c>
      <c r="F414" s="31">
        <f>CHAIN_RAW!F412</f>
        <v/>
      </c>
      <c r="G414" s="31">
        <f>CHAIN_RAW!I412</f>
        <v/>
      </c>
      <c r="H414" s="31">
        <f>CHAIN_RAW!Q412</f>
        <v/>
      </c>
      <c r="I414" s="31">
        <f>LET(pc,F414,oc,H414,IF(OR(pc="",oc=""),"",IF(AND(pc&gt;0,oc&gt;0),"Long Buildup",IF(AND(pc&lt;0,oc&gt;0),"Short Buildup",IF(AND(pc&gt;0,oc&lt;0),"Short Covering",IF(AND(pc&lt;0,oc&lt;0),"Long Unwinding","Flat"))))))</f>
        <v/>
      </c>
      <c r="J414" s="31">
        <f>LET(pc,ABS(F414),oc,ABS(H414),IF(OR(pc="",oc=""),"",MAX(1,MIN(5,ROUND((pc*0.5+oc*0.00001)*5,0))))))</f>
        <v/>
      </c>
    </row>
    <row r="415">
      <c r="A415" s="31" t="n">
        <v>413</v>
      </c>
      <c r="B415" s="31">
        <f>CHAIN_RAW!D413</f>
        <v/>
      </c>
      <c r="C415" s="31">
        <f>CHAIN_RAW!A413</f>
        <v/>
      </c>
      <c r="D415" s="31">
        <f>CHAIN_RAW!C413</f>
        <v/>
      </c>
      <c r="E415" s="31">
        <f>CHAIN_RAW!E413</f>
        <v/>
      </c>
      <c r="F415" s="31">
        <f>CHAIN_RAW!F413</f>
        <v/>
      </c>
      <c r="G415" s="31">
        <f>CHAIN_RAW!I413</f>
        <v/>
      </c>
      <c r="H415" s="31">
        <f>CHAIN_RAW!Q413</f>
        <v/>
      </c>
      <c r="I415" s="31">
        <f>LET(pc,F415,oc,H415,IF(OR(pc="",oc=""),"",IF(AND(pc&gt;0,oc&gt;0),"Long Buildup",IF(AND(pc&lt;0,oc&gt;0),"Short Buildup",IF(AND(pc&gt;0,oc&lt;0),"Short Covering",IF(AND(pc&lt;0,oc&lt;0),"Long Unwinding","Flat"))))))</f>
        <v/>
      </c>
      <c r="J415" s="31">
        <f>LET(pc,ABS(F415),oc,ABS(H415),IF(OR(pc="",oc=""),"",MAX(1,MIN(5,ROUND((pc*0.5+oc*0.00001)*5,0))))))</f>
        <v/>
      </c>
    </row>
    <row r="416">
      <c r="A416" s="31" t="n">
        <v>414</v>
      </c>
      <c r="B416" s="31">
        <f>CHAIN_RAW!D414</f>
        <v/>
      </c>
      <c r="C416" s="31">
        <f>CHAIN_RAW!A414</f>
        <v/>
      </c>
      <c r="D416" s="31">
        <f>CHAIN_RAW!C414</f>
        <v/>
      </c>
      <c r="E416" s="31">
        <f>CHAIN_RAW!E414</f>
        <v/>
      </c>
      <c r="F416" s="31">
        <f>CHAIN_RAW!F414</f>
        <v/>
      </c>
      <c r="G416" s="31">
        <f>CHAIN_RAW!I414</f>
        <v/>
      </c>
      <c r="H416" s="31">
        <f>CHAIN_RAW!Q414</f>
        <v/>
      </c>
      <c r="I416" s="31">
        <f>LET(pc,F416,oc,H416,IF(OR(pc="",oc=""),"",IF(AND(pc&gt;0,oc&gt;0),"Long Buildup",IF(AND(pc&lt;0,oc&gt;0),"Short Buildup",IF(AND(pc&gt;0,oc&lt;0),"Short Covering",IF(AND(pc&lt;0,oc&lt;0),"Long Unwinding","Flat"))))))</f>
        <v/>
      </c>
      <c r="J416" s="31">
        <f>LET(pc,ABS(F416),oc,ABS(H416),IF(OR(pc="",oc=""),"",MAX(1,MIN(5,ROUND((pc*0.5+oc*0.00001)*5,0))))))</f>
        <v/>
      </c>
    </row>
    <row r="417">
      <c r="A417" s="31" t="n">
        <v>415</v>
      </c>
      <c r="B417" s="31">
        <f>CHAIN_RAW!D415</f>
        <v/>
      </c>
      <c r="C417" s="31">
        <f>CHAIN_RAW!A415</f>
        <v/>
      </c>
      <c r="D417" s="31">
        <f>CHAIN_RAW!C415</f>
        <v/>
      </c>
      <c r="E417" s="31">
        <f>CHAIN_RAW!E415</f>
        <v/>
      </c>
      <c r="F417" s="31">
        <f>CHAIN_RAW!F415</f>
        <v/>
      </c>
      <c r="G417" s="31">
        <f>CHAIN_RAW!I415</f>
        <v/>
      </c>
      <c r="H417" s="31">
        <f>CHAIN_RAW!Q415</f>
        <v/>
      </c>
      <c r="I417" s="31">
        <f>LET(pc,F417,oc,H417,IF(OR(pc="",oc=""),"",IF(AND(pc&gt;0,oc&gt;0),"Long Buildup",IF(AND(pc&lt;0,oc&gt;0),"Short Buildup",IF(AND(pc&gt;0,oc&lt;0),"Short Covering",IF(AND(pc&lt;0,oc&lt;0),"Long Unwinding","Flat"))))))</f>
        <v/>
      </c>
      <c r="J417" s="31">
        <f>LET(pc,ABS(F417),oc,ABS(H417),IF(OR(pc="",oc=""),"",MAX(1,MIN(5,ROUND((pc*0.5+oc*0.00001)*5,0))))))</f>
        <v/>
      </c>
    </row>
    <row r="418">
      <c r="A418" s="31" t="n">
        <v>416</v>
      </c>
      <c r="B418" s="31">
        <f>CHAIN_RAW!D416</f>
        <v/>
      </c>
      <c r="C418" s="31">
        <f>CHAIN_RAW!A416</f>
        <v/>
      </c>
      <c r="D418" s="31">
        <f>CHAIN_RAW!C416</f>
        <v/>
      </c>
      <c r="E418" s="31">
        <f>CHAIN_RAW!E416</f>
        <v/>
      </c>
      <c r="F418" s="31">
        <f>CHAIN_RAW!F416</f>
        <v/>
      </c>
      <c r="G418" s="31">
        <f>CHAIN_RAW!I416</f>
        <v/>
      </c>
      <c r="H418" s="31">
        <f>CHAIN_RAW!Q416</f>
        <v/>
      </c>
      <c r="I418" s="31">
        <f>LET(pc,F418,oc,H418,IF(OR(pc="",oc=""),"",IF(AND(pc&gt;0,oc&gt;0),"Long Buildup",IF(AND(pc&lt;0,oc&gt;0),"Short Buildup",IF(AND(pc&gt;0,oc&lt;0),"Short Covering",IF(AND(pc&lt;0,oc&lt;0),"Long Unwinding","Flat"))))))</f>
        <v/>
      </c>
      <c r="J418" s="31">
        <f>LET(pc,ABS(F418),oc,ABS(H418),IF(OR(pc="",oc=""),"",MAX(1,MIN(5,ROUND((pc*0.5+oc*0.00001)*5,0))))))</f>
        <v/>
      </c>
    </row>
    <row r="419">
      <c r="A419" s="31" t="n">
        <v>417</v>
      </c>
      <c r="B419" s="31">
        <f>CHAIN_RAW!D417</f>
        <v/>
      </c>
      <c r="C419" s="31">
        <f>CHAIN_RAW!A417</f>
        <v/>
      </c>
      <c r="D419" s="31">
        <f>CHAIN_RAW!C417</f>
        <v/>
      </c>
      <c r="E419" s="31">
        <f>CHAIN_RAW!E417</f>
        <v/>
      </c>
      <c r="F419" s="31">
        <f>CHAIN_RAW!F417</f>
        <v/>
      </c>
      <c r="G419" s="31">
        <f>CHAIN_RAW!I417</f>
        <v/>
      </c>
      <c r="H419" s="31">
        <f>CHAIN_RAW!Q417</f>
        <v/>
      </c>
      <c r="I419" s="31">
        <f>LET(pc,F419,oc,H419,IF(OR(pc="",oc=""),"",IF(AND(pc&gt;0,oc&gt;0),"Long Buildup",IF(AND(pc&lt;0,oc&gt;0),"Short Buildup",IF(AND(pc&gt;0,oc&lt;0),"Short Covering",IF(AND(pc&lt;0,oc&lt;0),"Long Unwinding","Flat"))))))</f>
        <v/>
      </c>
      <c r="J419" s="31">
        <f>LET(pc,ABS(F419),oc,ABS(H419),IF(OR(pc="",oc=""),"",MAX(1,MIN(5,ROUND((pc*0.5+oc*0.00001)*5,0))))))</f>
        <v/>
      </c>
    </row>
    <row r="420">
      <c r="A420" s="31" t="n">
        <v>418</v>
      </c>
      <c r="B420" s="31">
        <f>CHAIN_RAW!D418</f>
        <v/>
      </c>
      <c r="C420" s="31">
        <f>CHAIN_RAW!A418</f>
        <v/>
      </c>
      <c r="D420" s="31">
        <f>CHAIN_RAW!C418</f>
        <v/>
      </c>
      <c r="E420" s="31">
        <f>CHAIN_RAW!E418</f>
        <v/>
      </c>
      <c r="F420" s="31">
        <f>CHAIN_RAW!F418</f>
        <v/>
      </c>
      <c r="G420" s="31">
        <f>CHAIN_RAW!I418</f>
        <v/>
      </c>
      <c r="H420" s="31">
        <f>CHAIN_RAW!Q418</f>
        <v/>
      </c>
      <c r="I420" s="31">
        <f>LET(pc,F420,oc,H420,IF(OR(pc="",oc=""),"",IF(AND(pc&gt;0,oc&gt;0),"Long Buildup",IF(AND(pc&lt;0,oc&gt;0),"Short Buildup",IF(AND(pc&gt;0,oc&lt;0),"Short Covering",IF(AND(pc&lt;0,oc&lt;0),"Long Unwinding","Flat"))))))</f>
        <v/>
      </c>
      <c r="J420" s="31">
        <f>LET(pc,ABS(F420),oc,ABS(H420),IF(OR(pc="",oc=""),"",MAX(1,MIN(5,ROUND((pc*0.5+oc*0.00001)*5,0))))))</f>
        <v/>
      </c>
    </row>
    <row r="421">
      <c r="A421" s="31" t="n">
        <v>419</v>
      </c>
      <c r="B421" s="31">
        <f>CHAIN_RAW!D419</f>
        <v/>
      </c>
      <c r="C421" s="31">
        <f>CHAIN_RAW!A419</f>
        <v/>
      </c>
      <c r="D421" s="31">
        <f>CHAIN_RAW!C419</f>
        <v/>
      </c>
      <c r="E421" s="31">
        <f>CHAIN_RAW!E419</f>
        <v/>
      </c>
      <c r="F421" s="31">
        <f>CHAIN_RAW!F419</f>
        <v/>
      </c>
      <c r="G421" s="31">
        <f>CHAIN_RAW!I419</f>
        <v/>
      </c>
      <c r="H421" s="31">
        <f>CHAIN_RAW!Q419</f>
        <v/>
      </c>
      <c r="I421" s="31">
        <f>LET(pc,F421,oc,H421,IF(OR(pc="",oc=""),"",IF(AND(pc&gt;0,oc&gt;0),"Long Buildup",IF(AND(pc&lt;0,oc&gt;0),"Short Buildup",IF(AND(pc&gt;0,oc&lt;0),"Short Covering",IF(AND(pc&lt;0,oc&lt;0),"Long Unwinding","Flat"))))))</f>
        <v/>
      </c>
      <c r="J421" s="31">
        <f>LET(pc,ABS(F421),oc,ABS(H421),IF(OR(pc="",oc=""),"",MAX(1,MIN(5,ROUND((pc*0.5+oc*0.00001)*5,0))))))</f>
        <v/>
      </c>
    </row>
    <row r="422">
      <c r="A422" s="31" t="n">
        <v>420</v>
      </c>
      <c r="B422" s="31">
        <f>CHAIN_RAW!D420</f>
        <v/>
      </c>
      <c r="C422" s="31">
        <f>CHAIN_RAW!A420</f>
        <v/>
      </c>
      <c r="D422" s="31">
        <f>CHAIN_RAW!C420</f>
        <v/>
      </c>
      <c r="E422" s="31">
        <f>CHAIN_RAW!E420</f>
        <v/>
      </c>
      <c r="F422" s="31">
        <f>CHAIN_RAW!F420</f>
        <v/>
      </c>
      <c r="G422" s="31">
        <f>CHAIN_RAW!I420</f>
        <v/>
      </c>
      <c r="H422" s="31">
        <f>CHAIN_RAW!Q420</f>
        <v/>
      </c>
      <c r="I422" s="31">
        <f>LET(pc,F422,oc,H422,IF(OR(pc="",oc=""),"",IF(AND(pc&gt;0,oc&gt;0),"Long Buildup",IF(AND(pc&lt;0,oc&gt;0),"Short Buildup",IF(AND(pc&gt;0,oc&lt;0),"Short Covering",IF(AND(pc&lt;0,oc&lt;0),"Long Unwinding","Flat"))))))</f>
        <v/>
      </c>
      <c r="J422" s="31">
        <f>LET(pc,ABS(F422),oc,ABS(H422),IF(OR(pc="",oc=""),"",MAX(1,MIN(5,ROUND((pc*0.5+oc*0.00001)*5,0))))))</f>
        <v/>
      </c>
    </row>
    <row r="423">
      <c r="A423" s="31" t="n">
        <v>421</v>
      </c>
      <c r="B423" s="31">
        <f>CHAIN_RAW!D421</f>
        <v/>
      </c>
      <c r="C423" s="31">
        <f>CHAIN_RAW!A421</f>
        <v/>
      </c>
      <c r="D423" s="31">
        <f>CHAIN_RAW!C421</f>
        <v/>
      </c>
      <c r="E423" s="31">
        <f>CHAIN_RAW!E421</f>
        <v/>
      </c>
      <c r="F423" s="31">
        <f>CHAIN_RAW!F421</f>
        <v/>
      </c>
      <c r="G423" s="31">
        <f>CHAIN_RAW!I421</f>
        <v/>
      </c>
      <c r="H423" s="31">
        <f>CHAIN_RAW!Q421</f>
        <v/>
      </c>
      <c r="I423" s="31">
        <f>LET(pc,F423,oc,H423,IF(OR(pc="",oc=""),"",IF(AND(pc&gt;0,oc&gt;0),"Long Buildup",IF(AND(pc&lt;0,oc&gt;0),"Short Buildup",IF(AND(pc&gt;0,oc&lt;0),"Short Covering",IF(AND(pc&lt;0,oc&lt;0),"Long Unwinding","Flat"))))))</f>
        <v/>
      </c>
      <c r="J423" s="31">
        <f>LET(pc,ABS(F423),oc,ABS(H423),IF(OR(pc="",oc=""),"",MAX(1,MIN(5,ROUND((pc*0.5+oc*0.00001)*5,0))))))</f>
        <v/>
      </c>
    </row>
    <row r="424">
      <c r="A424" s="31" t="n">
        <v>422</v>
      </c>
      <c r="B424" s="31">
        <f>CHAIN_RAW!D422</f>
        <v/>
      </c>
      <c r="C424" s="31">
        <f>CHAIN_RAW!A422</f>
        <v/>
      </c>
      <c r="D424" s="31">
        <f>CHAIN_RAW!C422</f>
        <v/>
      </c>
      <c r="E424" s="31">
        <f>CHAIN_RAW!E422</f>
        <v/>
      </c>
      <c r="F424" s="31">
        <f>CHAIN_RAW!F422</f>
        <v/>
      </c>
      <c r="G424" s="31">
        <f>CHAIN_RAW!I422</f>
        <v/>
      </c>
      <c r="H424" s="31">
        <f>CHAIN_RAW!Q422</f>
        <v/>
      </c>
      <c r="I424" s="31">
        <f>LET(pc,F424,oc,H424,IF(OR(pc="",oc=""),"",IF(AND(pc&gt;0,oc&gt;0),"Long Buildup",IF(AND(pc&lt;0,oc&gt;0),"Short Buildup",IF(AND(pc&gt;0,oc&lt;0),"Short Covering",IF(AND(pc&lt;0,oc&lt;0),"Long Unwinding","Flat"))))))</f>
        <v/>
      </c>
      <c r="J424" s="31">
        <f>LET(pc,ABS(F424),oc,ABS(H424),IF(OR(pc="",oc=""),"",MAX(1,MIN(5,ROUND((pc*0.5+oc*0.00001)*5,0))))))</f>
        <v/>
      </c>
    </row>
    <row r="425">
      <c r="A425" s="31" t="n">
        <v>423</v>
      </c>
      <c r="B425" s="31">
        <f>CHAIN_RAW!D423</f>
        <v/>
      </c>
      <c r="C425" s="31">
        <f>CHAIN_RAW!A423</f>
        <v/>
      </c>
      <c r="D425" s="31">
        <f>CHAIN_RAW!C423</f>
        <v/>
      </c>
      <c r="E425" s="31">
        <f>CHAIN_RAW!E423</f>
        <v/>
      </c>
      <c r="F425" s="31">
        <f>CHAIN_RAW!F423</f>
        <v/>
      </c>
      <c r="G425" s="31">
        <f>CHAIN_RAW!I423</f>
        <v/>
      </c>
      <c r="H425" s="31">
        <f>CHAIN_RAW!Q423</f>
        <v/>
      </c>
      <c r="I425" s="31">
        <f>LET(pc,F425,oc,H425,IF(OR(pc="",oc=""),"",IF(AND(pc&gt;0,oc&gt;0),"Long Buildup",IF(AND(pc&lt;0,oc&gt;0),"Short Buildup",IF(AND(pc&gt;0,oc&lt;0),"Short Covering",IF(AND(pc&lt;0,oc&lt;0),"Long Unwinding","Flat"))))))</f>
        <v/>
      </c>
      <c r="J425" s="31">
        <f>LET(pc,ABS(F425),oc,ABS(H425),IF(OR(pc="",oc=""),"",MAX(1,MIN(5,ROUND((pc*0.5+oc*0.00001)*5,0))))))</f>
        <v/>
      </c>
    </row>
    <row r="426">
      <c r="A426" s="31" t="n">
        <v>424</v>
      </c>
      <c r="B426" s="31">
        <f>CHAIN_RAW!D424</f>
        <v/>
      </c>
      <c r="C426" s="31">
        <f>CHAIN_RAW!A424</f>
        <v/>
      </c>
      <c r="D426" s="31">
        <f>CHAIN_RAW!C424</f>
        <v/>
      </c>
      <c r="E426" s="31">
        <f>CHAIN_RAW!E424</f>
        <v/>
      </c>
      <c r="F426" s="31">
        <f>CHAIN_RAW!F424</f>
        <v/>
      </c>
      <c r="G426" s="31">
        <f>CHAIN_RAW!I424</f>
        <v/>
      </c>
      <c r="H426" s="31">
        <f>CHAIN_RAW!Q424</f>
        <v/>
      </c>
      <c r="I426" s="31">
        <f>LET(pc,F426,oc,H426,IF(OR(pc="",oc=""),"",IF(AND(pc&gt;0,oc&gt;0),"Long Buildup",IF(AND(pc&lt;0,oc&gt;0),"Short Buildup",IF(AND(pc&gt;0,oc&lt;0),"Short Covering",IF(AND(pc&lt;0,oc&lt;0),"Long Unwinding","Flat"))))))</f>
        <v/>
      </c>
      <c r="J426" s="31">
        <f>LET(pc,ABS(F426),oc,ABS(H426),IF(OR(pc="",oc=""),"",MAX(1,MIN(5,ROUND((pc*0.5+oc*0.00001)*5,0))))))</f>
        <v/>
      </c>
    </row>
    <row r="427">
      <c r="A427" s="31" t="n">
        <v>425</v>
      </c>
      <c r="B427" s="31">
        <f>CHAIN_RAW!D425</f>
        <v/>
      </c>
      <c r="C427" s="31">
        <f>CHAIN_RAW!A425</f>
        <v/>
      </c>
      <c r="D427" s="31">
        <f>CHAIN_RAW!C425</f>
        <v/>
      </c>
      <c r="E427" s="31">
        <f>CHAIN_RAW!E425</f>
        <v/>
      </c>
      <c r="F427" s="31">
        <f>CHAIN_RAW!F425</f>
        <v/>
      </c>
      <c r="G427" s="31">
        <f>CHAIN_RAW!I425</f>
        <v/>
      </c>
      <c r="H427" s="31">
        <f>CHAIN_RAW!Q425</f>
        <v/>
      </c>
      <c r="I427" s="31">
        <f>LET(pc,F427,oc,H427,IF(OR(pc="",oc=""),"",IF(AND(pc&gt;0,oc&gt;0),"Long Buildup",IF(AND(pc&lt;0,oc&gt;0),"Short Buildup",IF(AND(pc&gt;0,oc&lt;0),"Short Covering",IF(AND(pc&lt;0,oc&lt;0),"Long Unwinding","Flat"))))))</f>
        <v/>
      </c>
      <c r="J427" s="31">
        <f>LET(pc,ABS(F427),oc,ABS(H427),IF(OR(pc="",oc=""),"",MAX(1,MIN(5,ROUND((pc*0.5+oc*0.00001)*5,0))))))</f>
        <v/>
      </c>
    </row>
    <row r="428">
      <c r="A428" s="31" t="n">
        <v>426</v>
      </c>
      <c r="B428" s="31">
        <f>CHAIN_RAW!D426</f>
        <v/>
      </c>
      <c r="C428" s="31">
        <f>CHAIN_RAW!A426</f>
        <v/>
      </c>
      <c r="D428" s="31">
        <f>CHAIN_RAW!C426</f>
        <v/>
      </c>
      <c r="E428" s="31">
        <f>CHAIN_RAW!E426</f>
        <v/>
      </c>
      <c r="F428" s="31">
        <f>CHAIN_RAW!F426</f>
        <v/>
      </c>
      <c r="G428" s="31">
        <f>CHAIN_RAW!I426</f>
        <v/>
      </c>
      <c r="H428" s="31">
        <f>CHAIN_RAW!Q426</f>
        <v/>
      </c>
      <c r="I428" s="31">
        <f>LET(pc,F428,oc,H428,IF(OR(pc="",oc=""),"",IF(AND(pc&gt;0,oc&gt;0),"Long Buildup",IF(AND(pc&lt;0,oc&gt;0),"Short Buildup",IF(AND(pc&gt;0,oc&lt;0),"Short Covering",IF(AND(pc&lt;0,oc&lt;0),"Long Unwinding","Flat"))))))</f>
        <v/>
      </c>
      <c r="J428" s="31">
        <f>LET(pc,ABS(F428),oc,ABS(H428),IF(OR(pc="",oc=""),"",MAX(1,MIN(5,ROUND((pc*0.5+oc*0.00001)*5,0))))))</f>
        <v/>
      </c>
    </row>
    <row r="429">
      <c r="A429" s="31" t="n">
        <v>427</v>
      </c>
      <c r="B429" s="31">
        <f>CHAIN_RAW!D427</f>
        <v/>
      </c>
      <c r="C429" s="31">
        <f>CHAIN_RAW!A427</f>
        <v/>
      </c>
      <c r="D429" s="31">
        <f>CHAIN_RAW!C427</f>
        <v/>
      </c>
      <c r="E429" s="31">
        <f>CHAIN_RAW!E427</f>
        <v/>
      </c>
      <c r="F429" s="31">
        <f>CHAIN_RAW!F427</f>
        <v/>
      </c>
      <c r="G429" s="31">
        <f>CHAIN_RAW!I427</f>
        <v/>
      </c>
      <c r="H429" s="31">
        <f>CHAIN_RAW!Q427</f>
        <v/>
      </c>
      <c r="I429" s="31">
        <f>LET(pc,F429,oc,H429,IF(OR(pc="",oc=""),"",IF(AND(pc&gt;0,oc&gt;0),"Long Buildup",IF(AND(pc&lt;0,oc&gt;0),"Short Buildup",IF(AND(pc&gt;0,oc&lt;0),"Short Covering",IF(AND(pc&lt;0,oc&lt;0),"Long Unwinding","Flat"))))))</f>
        <v/>
      </c>
      <c r="J429" s="31">
        <f>LET(pc,ABS(F429),oc,ABS(H429),IF(OR(pc="",oc=""),"",MAX(1,MIN(5,ROUND((pc*0.5+oc*0.00001)*5,0))))))</f>
        <v/>
      </c>
    </row>
    <row r="430">
      <c r="A430" s="31" t="n">
        <v>428</v>
      </c>
      <c r="B430" s="31">
        <f>CHAIN_RAW!D428</f>
        <v/>
      </c>
      <c r="C430" s="31">
        <f>CHAIN_RAW!A428</f>
        <v/>
      </c>
      <c r="D430" s="31">
        <f>CHAIN_RAW!C428</f>
        <v/>
      </c>
      <c r="E430" s="31">
        <f>CHAIN_RAW!E428</f>
        <v/>
      </c>
      <c r="F430" s="31">
        <f>CHAIN_RAW!F428</f>
        <v/>
      </c>
      <c r="G430" s="31">
        <f>CHAIN_RAW!I428</f>
        <v/>
      </c>
      <c r="H430" s="31">
        <f>CHAIN_RAW!Q428</f>
        <v/>
      </c>
      <c r="I430" s="31">
        <f>LET(pc,F430,oc,H430,IF(OR(pc="",oc=""),"",IF(AND(pc&gt;0,oc&gt;0),"Long Buildup",IF(AND(pc&lt;0,oc&gt;0),"Short Buildup",IF(AND(pc&gt;0,oc&lt;0),"Short Covering",IF(AND(pc&lt;0,oc&lt;0),"Long Unwinding","Flat"))))))</f>
        <v/>
      </c>
      <c r="J430" s="31">
        <f>LET(pc,ABS(F430),oc,ABS(H430),IF(OR(pc="",oc=""),"",MAX(1,MIN(5,ROUND((pc*0.5+oc*0.00001)*5,0))))))</f>
        <v/>
      </c>
    </row>
    <row r="431">
      <c r="A431" s="31" t="n">
        <v>429</v>
      </c>
      <c r="B431" s="31">
        <f>CHAIN_RAW!D429</f>
        <v/>
      </c>
      <c r="C431" s="31">
        <f>CHAIN_RAW!A429</f>
        <v/>
      </c>
      <c r="D431" s="31">
        <f>CHAIN_RAW!C429</f>
        <v/>
      </c>
      <c r="E431" s="31">
        <f>CHAIN_RAW!E429</f>
        <v/>
      </c>
      <c r="F431" s="31">
        <f>CHAIN_RAW!F429</f>
        <v/>
      </c>
      <c r="G431" s="31">
        <f>CHAIN_RAW!I429</f>
        <v/>
      </c>
      <c r="H431" s="31">
        <f>CHAIN_RAW!Q429</f>
        <v/>
      </c>
      <c r="I431" s="31">
        <f>LET(pc,F431,oc,H431,IF(OR(pc="",oc=""),"",IF(AND(pc&gt;0,oc&gt;0),"Long Buildup",IF(AND(pc&lt;0,oc&gt;0),"Short Buildup",IF(AND(pc&gt;0,oc&lt;0),"Short Covering",IF(AND(pc&lt;0,oc&lt;0),"Long Unwinding","Flat"))))))</f>
        <v/>
      </c>
      <c r="J431" s="31">
        <f>LET(pc,ABS(F431),oc,ABS(H431),IF(OR(pc="",oc=""),"",MAX(1,MIN(5,ROUND((pc*0.5+oc*0.00001)*5,0))))))</f>
        <v/>
      </c>
    </row>
    <row r="432">
      <c r="A432" s="31" t="n">
        <v>430</v>
      </c>
      <c r="B432" s="31">
        <f>CHAIN_RAW!D430</f>
        <v/>
      </c>
      <c r="C432" s="31">
        <f>CHAIN_RAW!A430</f>
        <v/>
      </c>
      <c r="D432" s="31">
        <f>CHAIN_RAW!C430</f>
        <v/>
      </c>
      <c r="E432" s="31">
        <f>CHAIN_RAW!E430</f>
        <v/>
      </c>
      <c r="F432" s="31">
        <f>CHAIN_RAW!F430</f>
        <v/>
      </c>
      <c r="G432" s="31">
        <f>CHAIN_RAW!I430</f>
        <v/>
      </c>
      <c r="H432" s="31">
        <f>CHAIN_RAW!Q430</f>
        <v/>
      </c>
      <c r="I432" s="31">
        <f>LET(pc,F432,oc,H432,IF(OR(pc="",oc=""),"",IF(AND(pc&gt;0,oc&gt;0),"Long Buildup",IF(AND(pc&lt;0,oc&gt;0),"Short Buildup",IF(AND(pc&gt;0,oc&lt;0),"Short Covering",IF(AND(pc&lt;0,oc&lt;0),"Long Unwinding","Flat"))))))</f>
        <v/>
      </c>
      <c r="J432" s="31">
        <f>LET(pc,ABS(F432),oc,ABS(H432),IF(OR(pc="",oc=""),"",MAX(1,MIN(5,ROUND((pc*0.5+oc*0.00001)*5,0))))))</f>
        <v/>
      </c>
    </row>
    <row r="433">
      <c r="A433" s="31" t="n">
        <v>431</v>
      </c>
      <c r="B433" s="31">
        <f>CHAIN_RAW!D431</f>
        <v/>
      </c>
      <c r="C433" s="31">
        <f>CHAIN_RAW!A431</f>
        <v/>
      </c>
      <c r="D433" s="31">
        <f>CHAIN_RAW!C431</f>
        <v/>
      </c>
      <c r="E433" s="31">
        <f>CHAIN_RAW!E431</f>
        <v/>
      </c>
      <c r="F433" s="31">
        <f>CHAIN_RAW!F431</f>
        <v/>
      </c>
      <c r="G433" s="31">
        <f>CHAIN_RAW!I431</f>
        <v/>
      </c>
      <c r="H433" s="31">
        <f>CHAIN_RAW!Q431</f>
        <v/>
      </c>
      <c r="I433" s="31">
        <f>LET(pc,F433,oc,H433,IF(OR(pc="",oc=""),"",IF(AND(pc&gt;0,oc&gt;0),"Long Buildup",IF(AND(pc&lt;0,oc&gt;0),"Short Buildup",IF(AND(pc&gt;0,oc&lt;0),"Short Covering",IF(AND(pc&lt;0,oc&lt;0),"Long Unwinding","Flat"))))))</f>
        <v/>
      </c>
      <c r="J433" s="31">
        <f>LET(pc,ABS(F433),oc,ABS(H433),IF(OR(pc="",oc=""),"",MAX(1,MIN(5,ROUND((pc*0.5+oc*0.00001)*5,0))))))</f>
        <v/>
      </c>
    </row>
    <row r="434">
      <c r="A434" s="31" t="n">
        <v>432</v>
      </c>
      <c r="B434" s="31">
        <f>CHAIN_RAW!D432</f>
        <v/>
      </c>
      <c r="C434" s="31">
        <f>CHAIN_RAW!A432</f>
        <v/>
      </c>
      <c r="D434" s="31">
        <f>CHAIN_RAW!C432</f>
        <v/>
      </c>
      <c r="E434" s="31">
        <f>CHAIN_RAW!E432</f>
        <v/>
      </c>
      <c r="F434" s="31">
        <f>CHAIN_RAW!F432</f>
        <v/>
      </c>
      <c r="G434" s="31">
        <f>CHAIN_RAW!I432</f>
        <v/>
      </c>
      <c r="H434" s="31">
        <f>CHAIN_RAW!Q432</f>
        <v/>
      </c>
      <c r="I434" s="31">
        <f>LET(pc,F434,oc,H434,IF(OR(pc="",oc=""),"",IF(AND(pc&gt;0,oc&gt;0),"Long Buildup",IF(AND(pc&lt;0,oc&gt;0),"Short Buildup",IF(AND(pc&gt;0,oc&lt;0),"Short Covering",IF(AND(pc&lt;0,oc&lt;0),"Long Unwinding","Flat"))))))</f>
        <v/>
      </c>
      <c r="J434" s="31">
        <f>LET(pc,ABS(F434),oc,ABS(H434),IF(OR(pc="",oc=""),"",MAX(1,MIN(5,ROUND((pc*0.5+oc*0.00001)*5,0))))))</f>
        <v/>
      </c>
    </row>
    <row r="435">
      <c r="A435" s="31" t="n">
        <v>433</v>
      </c>
      <c r="B435" s="31">
        <f>CHAIN_RAW!D433</f>
        <v/>
      </c>
      <c r="C435" s="31">
        <f>CHAIN_RAW!A433</f>
        <v/>
      </c>
      <c r="D435" s="31">
        <f>CHAIN_RAW!C433</f>
        <v/>
      </c>
      <c r="E435" s="31">
        <f>CHAIN_RAW!E433</f>
        <v/>
      </c>
      <c r="F435" s="31">
        <f>CHAIN_RAW!F433</f>
        <v/>
      </c>
      <c r="G435" s="31">
        <f>CHAIN_RAW!I433</f>
        <v/>
      </c>
      <c r="H435" s="31">
        <f>CHAIN_RAW!Q433</f>
        <v/>
      </c>
      <c r="I435" s="31">
        <f>LET(pc,F435,oc,H435,IF(OR(pc="",oc=""),"",IF(AND(pc&gt;0,oc&gt;0),"Long Buildup",IF(AND(pc&lt;0,oc&gt;0),"Short Buildup",IF(AND(pc&gt;0,oc&lt;0),"Short Covering",IF(AND(pc&lt;0,oc&lt;0),"Long Unwinding","Flat"))))))</f>
        <v/>
      </c>
      <c r="J435" s="31">
        <f>LET(pc,ABS(F435),oc,ABS(H435),IF(OR(pc="",oc=""),"",MAX(1,MIN(5,ROUND((pc*0.5+oc*0.00001)*5,0))))))</f>
        <v/>
      </c>
    </row>
    <row r="436">
      <c r="A436" s="31" t="n">
        <v>434</v>
      </c>
      <c r="B436" s="31">
        <f>CHAIN_RAW!D434</f>
        <v/>
      </c>
      <c r="C436" s="31">
        <f>CHAIN_RAW!A434</f>
        <v/>
      </c>
      <c r="D436" s="31">
        <f>CHAIN_RAW!C434</f>
        <v/>
      </c>
      <c r="E436" s="31">
        <f>CHAIN_RAW!E434</f>
        <v/>
      </c>
      <c r="F436" s="31">
        <f>CHAIN_RAW!F434</f>
        <v/>
      </c>
      <c r="G436" s="31">
        <f>CHAIN_RAW!I434</f>
        <v/>
      </c>
      <c r="H436" s="31">
        <f>CHAIN_RAW!Q434</f>
        <v/>
      </c>
      <c r="I436" s="31">
        <f>LET(pc,F436,oc,H436,IF(OR(pc="",oc=""),"",IF(AND(pc&gt;0,oc&gt;0),"Long Buildup",IF(AND(pc&lt;0,oc&gt;0),"Short Buildup",IF(AND(pc&gt;0,oc&lt;0),"Short Covering",IF(AND(pc&lt;0,oc&lt;0),"Long Unwinding","Flat"))))))</f>
        <v/>
      </c>
      <c r="J436" s="31">
        <f>LET(pc,ABS(F436),oc,ABS(H436),IF(OR(pc="",oc=""),"",MAX(1,MIN(5,ROUND((pc*0.5+oc*0.00001)*5,0))))))</f>
        <v/>
      </c>
    </row>
    <row r="437">
      <c r="A437" s="31" t="n">
        <v>435</v>
      </c>
      <c r="B437" s="31">
        <f>CHAIN_RAW!D435</f>
        <v/>
      </c>
      <c r="C437" s="31">
        <f>CHAIN_RAW!A435</f>
        <v/>
      </c>
      <c r="D437" s="31">
        <f>CHAIN_RAW!C435</f>
        <v/>
      </c>
      <c r="E437" s="31">
        <f>CHAIN_RAW!E435</f>
        <v/>
      </c>
      <c r="F437" s="31">
        <f>CHAIN_RAW!F435</f>
        <v/>
      </c>
      <c r="G437" s="31">
        <f>CHAIN_RAW!I435</f>
        <v/>
      </c>
      <c r="H437" s="31">
        <f>CHAIN_RAW!Q435</f>
        <v/>
      </c>
      <c r="I437" s="31">
        <f>LET(pc,F437,oc,H437,IF(OR(pc="",oc=""),"",IF(AND(pc&gt;0,oc&gt;0),"Long Buildup",IF(AND(pc&lt;0,oc&gt;0),"Short Buildup",IF(AND(pc&gt;0,oc&lt;0),"Short Covering",IF(AND(pc&lt;0,oc&lt;0),"Long Unwinding","Flat"))))))</f>
        <v/>
      </c>
      <c r="J437" s="31">
        <f>LET(pc,ABS(F437),oc,ABS(H437),IF(OR(pc="",oc=""),"",MAX(1,MIN(5,ROUND((pc*0.5+oc*0.00001)*5,0))))))</f>
        <v/>
      </c>
    </row>
    <row r="438">
      <c r="A438" s="31" t="n">
        <v>436</v>
      </c>
      <c r="B438" s="31">
        <f>CHAIN_RAW!D436</f>
        <v/>
      </c>
      <c r="C438" s="31">
        <f>CHAIN_RAW!A436</f>
        <v/>
      </c>
      <c r="D438" s="31">
        <f>CHAIN_RAW!C436</f>
        <v/>
      </c>
      <c r="E438" s="31">
        <f>CHAIN_RAW!E436</f>
        <v/>
      </c>
      <c r="F438" s="31">
        <f>CHAIN_RAW!F436</f>
        <v/>
      </c>
      <c r="G438" s="31">
        <f>CHAIN_RAW!I436</f>
        <v/>
      </c>
      <c r="H438" s="31">
        <f>CHAIN_RAW!Q436</f>
        <v/>
      </c>
      <c r="I438" s="31">
        <f>LET(pc,F438,oc,H438,IF(OR(pc="",oc=""),"",IF(AND(pc&gt;0,oc&gt;0),"Long Buildup",IF(AND(pc&lt;0,oc&gt;0),"Short Buildup",IF(AND(pc&gt;0,oc&lt;0),"Short Covering",IF(AND(pc&lt;0,oc&lt;0),"Long Unwinding","Flat"))))))</f>
        <v/>
      </c>
      <c r="J438" s="31">
        <f>LET(pc,ABS(F438),oc,ABS(H438),IF(OR(pc="",oc=""),"",MAX(1,MIN(5,ROUND((pc*0.5+oc*0.00001)*5,0))))))</f>
        <v/>
      </c>
    </row>
    <row r="439">
      <c r="A439" s="31" t="n">
        <v>437</v>
      </c>
      <c r="B439" s="31">
        <f>CHAIN_RAW!D437</f>
        <v/>
      </c>
      <c r="C439" s="31">
        <f>CHAIN_RAW!A437</f>
        <v/>
      </c>
      <c r="D439" s="31">
        <f>CHAIN_RAW!C437</f>
        <v/>
      </c>
      <c r="E439" s="31">
        <f>CHAIN_RAW!E437</f>
        <v/>
      </c>
      <c r="F439" s="31">
        <f>CHAIN_RAW!F437</f>
        <v/>
      </c>
      <c r="G439" s="31">
        <f>CHAIN_RAW!I437</f>
        <v/>
      </c>
      <c r="H439" s="31">
        <f>CHAIN_RAW!Q437</f>
        <v/>
      </c>
      <c r="I439" s="31">
        <f>LET(pc,F439,oc,H439,IF(OR(pc="",oc=""),"",IF(AND(pc&gt;0,oc&gt;0),"Long Buildup",IF(AND(pc&lt;0,oc&gt;0),"Short Buildup",IF(AND(pc&gt;0,oc&lt;0),"Short Covering",IF(AND(pc&lt;0,oc&lt;0),"Long Unwinding","Flat"))))))</f>
        <v/>
      </c>
      <c r="J439" s="31">
        <f>LET(pc,ABS(F439),oc,ABS(H439),IF(OR(pc="",oc=""),"",MAX(1,MIN(5,ROUND((pc*0.5+oc*0.00001)*5,0))))))</f>
        <v/>
      </c>
    </row>
    <row r="440">
      <c r="A440" s="31" t="n">
        <v>438</v>
      </c>
      <c r="B440" s="31">
        <f>CHAIN_RAW!D438</f>
        <v/>
      </c>
      <c r="C440" s="31">
        <f>CHAIN_RAW!A438</f>
        <v/>
      </c>
      <c r="D440" s="31">
        <f>CHAIN_RAW!C438</f>
        <v/>
      </c>
      <c r="E440" s="31">
        <f>CHAIN_RAW!E438</f>
        <v/>
      </c>
      <c r="F440" s="31">
        <f>CHAIN_RAW!F438</f>
        <v/>
      </c>
      <c r="G440" s="31">
        <f>CHAIN_RAW!I438</f>
        <v/>
      </c>
      <c r="H440" s="31">
        <f>CHAIN_RAW!Q438</f>
        <v/>
      </c>
      <c r="I440" s="31">
        <f>LET(pc,F440,oc,H440,IF(OR(pc="",oc=""),"",IF(AND(pc&gt;0,oc&gt;0),"Long Buildup",IF(AND(pc&lt;0,oc&gt;0),"Short Buildup",IF(AND(pc&gt;0,oc&lt;0),"Short Covering",IF(AND(pc&lt;0,oc&lt;0),"Long Unwinding","Flat"))))))</f>
        <v/>
      </c>
      <c r="J440" s="31">
        <f>LET(pc,ABS(F440),oc,ABS(H440),IF(OR(pc="",oc=""),"",MAX(1,MIN(5,ROUND((pc*0.5+oc*0.00001)*5,0))))))</f>
        <v/>
      </c>
    </row>
    <row r="441">
      <c r="A441" s="31" t="n">
        <v>439</v>
      </c>
      <c r="B441" s="31">
        <f>CHAIN_RAW!D439</f>
        <v/>
      </c>
      <c r="C441" s="31">
        <f>CHAIN_RAW!A439</f>
        <v/>
      </c>
      <c r="D441" s="31">
        <f>CHAIN_RAW!C439</f>
        <v/>
      </c>
      <c r="E441" s="31">
        <f>CHAIN_RAW!E439</f>
        <v/>
      </c>
      <c r="F441" s="31">
        <f>CHAIN_RAW!F439</f>
        <v/>
      </c>
      <c r="G441" s="31">
        <f>CHAIN_RAW!I439</f>
        <v/>
      </c>
      <c r="H441" s="31">
        <f>CHAIN_RAW!Q439</f>
        <v/>
      </c>
      <c r="I441" s="31">
        <f>LET(pc,F441,oc,H441,IF(OR(pc="",oc=""),"",IF(AND(pc&gt;0,oc&gt;0),"Long Buildup",IF(AND(pc&lt;0,oc&gt;0),"Short Buildup",IF(AND(pc&gt;0,oc&lt;0),"Short Covering",IF(AND(pc&lt;0,oc&lt;0),"Long Unwinding","Flat"))))))</f>
        <v/>
      </c>
      <c r="J441" s="31">
        <f>LET(pc,ABS(F441),oc,ABS(H441),IF(OR(pc="",oc=""),"",MAX(1,MIN(5,ROUND((pc*0.5+oc*0.00001)*5,0))))))</f>
        <v/>
      </c>
    </row>
    <row r="442">
      <c r="A442" s="31" t="n">
        <v>440</v>
      </c>
      <c r="B442" s="31">
        <f>CHAIN_RAW!D440</f>
        <v/>
      </c>
      <c r="C442" s="31">
        <f>CHAIN_RAW!A440</f>
        <v/>
      </c>
      <c r="D442" s="31">
        <f>CHAIN_RAW!C440</f>
        <v/>
      </c>
      <c r="E442" s="31">
        <f>CHAIN_RAW!E440</f>
        <v/>
      </c>
      <c r="F442" s="31">
        <f>CHAIN_RAW!F440</f>
        <v/>
      </c>
      <c r="G442" s="31">
        <f>CHAIN_RAW!I440</f>
        <v/>
      </c>
      <c r="H442" s="31">
        <f>CHAIN_RAW!Q440</f>
        <v/>
      </c>
      <c r="I442" s="31">
        <f>LET(pc,F442,oc,H442,IF(OR(pc="",oc=""),"",IF(AND(pc&gt;0,oc&gt;0),"Long Buildup",IF(AND(pc&lt;0,oc&gt;0),"Short Buildup",IF(AND(pc&gt;0,oc&lt;0),"Short Covering",IF(AND(pc&lt;0,oc&lt;0),"Long Unwinding","Flat"))))))</f>
        <v/>
      </c>
      <c r="J442" s="31">
        <f>LET(pc,ABS(F442),oc,ABS(H442),IF(OR(pc="",oc=""),"",MAX(1,MIN(5,ROUND((pc*0.5+oc*0.00001)*5,0))))))</f>
        <v/>
      </c>
    </row>
    <row r="443">
      <c r="A443" s="31" t="n">
        <v>441</v>
      </c>
      <c r="B443" s="31">
        <f>CHAIN_RAW!D441</f>
        <v/>
      </c>
      <c r="C443" s="31">
        <f>CHAIN_RAW!A441</f>
        <v/>
      </c>
      <c r="D443" s="31">
        <f>CHAIN_RAW!C441</f>
        <v/>
      </c>
      <c r="E443" s="31">
        <f>CHAIN_RAW!E441</f>
        <v/>
      </c>
      <c r="F443" s="31">
        <f>CHAIN_RAW!F441</f>
        <v/>
      </c>
      <c r="G443" s="31">
        <f>CHAIN_RAW!I441</f>
        <v/>
      </c>
      <c r="H443" s="31">
        <f>CHAIN_RAW!Q441</f>
        <v/>
      </c>
      <c r="I443" s="31">
        <f>LET(pc,F443,oc,H443,IF(OR(pc="",oc=""),"",IF(AND(pc&gt;0,oc&gt;0),"Long Buildup",IF(AND(pc&lt;0,oc&gt;0),"Short Buildup",IF(AND(pc&gt;0,oc&lt;0),"Short Covering",IF(AND(pc&lt;0,oc&lt;0),"Long Unwinding","Flat"))))))</f>
        <v/>
      </c>
      <c r="J443" s="31">
        <f>LET(pc,ABS(F443),oc,ABS(H443),IF(OR(pc="",oc=""),"",MAX(1,MIN(5,ROUND((pc*0.5+oc*0.00001)*5,0))))))</f>
        <v/>
      </c>
    </row>
    <row r="444">
      <c r="A444" s="31" t="n">
        <v>442</v>
      </c>
      <c r="B444" s="31">
        <f>CHAIN_RAW!D442</f>
        <v/>
      </c>
      <c r="C444" s="31">
        <f>CHAIN_RAW!A442</f>
        <v/>
      </c>
      <c r="D444" s="31">
        <f>CHAIN_RAW!C442</f>
        <v/>
      </c>
      <c r="E444" s="31">
        <f>CHAIN_RAW!E442</f>
        <v/>
      </c>
      <c r="F444" s="31">
        <f>CHAIN_RAW!F442</f>
        <v/>
      </c>
      <c r="G444" s="31">
        <f>CHAIN_RAW!I442</f>
        <v/>
      </c>
      <c r="H444" s="31">
        <f>CHAIN_RAW!Q442</f>
        <v/>
      </c>
      <c r="I444" s="31">
        <f>LET(pc,F444,oc,H444,IF(OR(pc="",oc=""),"",IF(AND(pc&gt;0,oc&gt;0),"Long Buildup",IF(AND(pc&lt;0,oc&gt;0),"Short Buildup",IF(AND(pc&gt;0,oc&lt;0),"Short Covering",IF(AND(pc&lt;0,oc&lt;0),"Long Unwinding","Flat"))))))</f>
        <v/>
      </c>
      <c r="J444" s="31">
        <f>LET(pc,ABS(F444),oc,ABS(H444),IF(OR(pc="",oc=""),"",MAX(1,MIN(5,ROUND((pc*0.5+oc*0.00001)*5,0))))))</f>
        <v/>
      </c>
    </row>
    <row r="445">
      <c r="A445" s="31" t="n">
        <v>443</v>
      </c>
      <c r="B445" s="31">
        <f>CHAIN_RAW!D443</f>
        <v/>
      </c>
      <c r="C445" s="31">
        <f>CHAIN_RAW!A443</f>
        <v/>
      </c>
      <c r="D445" s="31">
        <f>CHAIN_RAW!C443</f>
        <v/>
      </c>
      <c r="E445" s="31">
        <f>CHAIN_RAW!E443</f>
        <v/>
      </c>
      <c r="F445" s="31">
        <f>CHAIN_RAW!F443</f>
        <v/>
      </c>
      <c r="G445" s="31">
        <f>CHAIN_RAW!I443</f>
        <v/>
      </c>
      <c r="H445" s="31">
        <f>CHAIN_RAW!Q443</f>
        <v/>
      </c>
      <c r="I445" s="31">
        <f>LET(pc,F445,oc,H445,IF(OR(pc="",oc=""),"",IF(AND(pc&gt;0,oc&gt;0),"Long Buildup",IF(AND(pc&lt;0,oc&gt;0),"Short Buildup",IF(AND(pc&gt;0,oc&lt;0),"Short Covering",IF(AND(pc&lt;0,oc&lt;0),"Long Unwinding","Flat"))))))</f>
        <v/>
      </c>
      <c r="J445" s="31">
        <f>LET(pc,ABS(F445),oc,ABS(H445),IF(OR(pc="",oc=""),"",MAX(1,MIN(5,ROUND((pc*0.5+oc*0.00001)*5,0))))))</f>
        <v/>
      </c>
    </row>
    <row r="446">
      <c r="A446" s="31" t="n">
        <v>444</v>
      </c>
      <c r="B446" s="31">
        <f>CHAIN_RAW!D444</f>
        <v/>
      </c>
      <c r="C446" s="31">
        <f>CHAIN_RAW!A444</f>
        <v/>
      </c>
      <c r="D446" s="31">
        <f>CHAIN_RAW!C444</f>
        <v/>
      </c>
      <c r="E446" s="31">
        <f>CHAIN_RAW!E444</f>
        <v/>
      </c>
      <c r="F446" s="31">
        <f>CHAIN_RAW!F444</f>
        <v/>
      </c>
      <c r="G446" s="31">
        <f>CHAIN_RAW!I444</f>
        <v/>
      </c>
      <c r="H446" s="31">
        <f>CHAIN_RAW!Q444</f>
        <v/>
      </c>
      <c r="I446" s="31">
        <f>LET(pc,F446,oc,H446,IF(OR(pc="",oc=""),"",IF(AND(pc&gt;0,oc&gt;0),"Long Buildup",IF(AND(pc&lt;0,oc&gt;0),"Short Buildup",IF(AND(pc&gt;0,oc&lt;0),"Short Covering",IF(AND(pc&lt;0,oc&lt;0),"Long Unwinding","Flat"))))))</f>
        <v/>
      </c>
      <c r="J446" s="31">
        <f>LET(pc,ABS(F446),oc,ABS(H446),IF(OR(pc="",oc=""),"",MAX(1,MIN(5,ROUND((pc*0.5+oc*0.00001)*5,0))))))</f>
        <v/>
      </c>
    </row>
    <row r="447">
      <c r="A447" s="31" t="n">
        <v>445</v>
      </c>
      <c r="B447" s="31">
        <f>CHAIN_RAW!D445</f>
        <v/>
      </c>
      <c r="C447" s="31">
        <f>CHAIN_RAW!A445</f>
        <v/>
      </c>
      <c r="D447" s="31">
        <f>CHAIN_RAW!C445</f>
        <v/>
      </c>
      <c r="E447" s="31">
        <f>CHAIN_RAW!E445</f>
        <v/>
      </c>
      <c r="F447" s="31">
        <f>CHAIN_RAW!F445</f>
        <v/>
      </c>
      <c r="G447" s="31">
        <f>CHAIN_RAW!I445</f>
        <v/>
      </c>
      <c r="H447" s="31">
        <f>CHAIN_RAW!Q445</f>
        <v/>
      </c>
      <c r="I447" s="31">
        <f>LET(pc,F447,oc,H447,IF(OR(pc="",oc=""),"",IF(AND(pc&gt;0,oc&gt;0),"Long Buildup",IF(AND(pc&lt;0,oc&gt;0),"Short Buildup",IF(AND(pc&gt;0,oc&lt;0),"Short Covering",IF(AND(pc&lt;0,oc&lt;0),"Long Unwinding","Flat"))))))</f>
        <v/>
      </c>
      <c r="J447" s="31">
        <f>LET(pc,ABS(F447),oc,ABS(H447),IF(OR(pc="",oc=""),"",MAX(1,MIN(5,ROUND((pc*0.5+oc*0.00001)*5,0))))))</f>
        <v/>
      </c>
    </row>
    <row r="448">
      <c r="A448" s="31" t="n">
        <v>446</v>
      </c>
      <c r="B448" s="31">
        <f>CHAIN_RAW!D446</f>
        <v/>
      </c>
      <c r="C448" s="31">
        <f>CHAIN_RAW!A446</f>
        <v/>
      </c>
      <c r="D448" s="31">
        <f>CHAIN_RAW!C446</f>
        <v/>
      </c>
      <c r="E448" s="31">
        <f>CHAIN_RAW!E446</f>
        <v/>
      </c>
      <c r="F448" s="31">
        <f>CHAIN_RAW!F446</f>
        <v/>
      </c>
      <c r="G448" s="31">
        <f>CHAIN_RAW!I446</f>
        <v/>
      </c>
      <c r="H448" s="31">
        <f>CHAIN_RAW!Q446</f>
        <v/>
      </c>
      <c r="I448" s="31">
        <f>LET(pc,F448,oc,H448,IF(OR(pc="",oc=""),"",IF(AND(pc&gt;0,oc&gt;0),"Long Buildup",IF(AND(pc&lt;0,oc&gt;0),"Short Buildup",IF(AND(pc&gt;0,oc&lt;0),"Short Covering",IF(AND(pc&lt;0,oc&lt;0),"Long Unwinding","Flat"))))))</f>
        <v/>
      </c>
      <c r="J448" s="31">
        <f>LET(pc,ABS(F448),oc,ABS(H448),IF(OR(pc="",oc=""),"",MAX(1,MIN(5,ROUND((pc*0.5+oc*0.00001)*5,0))))))</f>
        <v/>
      </c>
    </row>
    <row r="449">
      <c r="A449" s="31" t="n">
        <v>447</v>
      </c>
      <c r="B449" s="31">
        <f>CHAIN_RAW!D447</f>
        <v/>
      </c>
      <c r="C449" s="31">
        <f>CHAIN_RAW!A447</f>
        <v/>
      </c>
      <c r="D449" s="31">
        <f>CHAIN_RAW!C447</f>
        <v/>
      </c>
      <c r="E449" s="31">
        <f>CHAIN_RAW!E447</f>
        <v/>
      </c>
      <c r="F449" s="31">
        <f>CHAIN_RAW!F447</f>
        <v/>
      </c>
      <c r="G449" s="31">
        <f>CHAIN_RAW!I447</f>
        <v/>
      </c>
      <c r="H449" s="31">
        <f>CHAIN_RAW!Q447</f>
        <v/>
      </c>
      <c r="I449" s="31">
        <f>LET(pc,F449,oc,H449,IF(OR(pc="",oc=""),"",IF(AND(pc&gt;0,oc&gt;0),"Long Buildup",IF(AND(pc&lt;0,oc&gt;0),"Short Buildup",IF(AND(pc&gt;0,oc&lt;0),"Short Covering",IF(AND(pc&lt;0,oc&lt;0),"Long Unwinding","Flat"))))))</f>
        <v/>
      </c>
      <c r="J449" s="31">
        <f>LET(pc,ABS(F449),oc,ABS(H449),IF(OR(pc="",oc=""),"",MAX(1,MIN(5,ROUND((pc*0.5+oc*0.00001)*5,0))))))</f>
        <v/>
      </c>
    </row>
    <row r="450">
      <c r="A450" s="31" t="n">
        <v>448</v>
      </c>
      <c r="B450" s="31">
        <f>CHAIN_RAW!D448</f>
        <v/>
      </c>
      <c r="C450" s="31">
        <f>CHAIN_RAW!A448</f>
        <v/>
      </c>
      <c r="D450" s="31">
        <f>CHAIN_RAW!C448</f>
        <v/>
      </c>
      <c r="E450" s="31">
        <f>CHAIN_RAW!E448</f>
        <v/>
      </c>
      <c r="F450" s="31">
        <f>CHAIN_RAW!F448</f>
        <v/>
      </c>
      <c r="G450" s="31">
        <f>CHAIN_RAW!I448</f>
        <v/>
      </c>
      <c r="H450" s="31">
        <f>CHAIN_RAW!Q448</f>
        <v/>
      </c>
      <c r="I450" s="31">
        <f>LET(pc,F450,oc,H450,IF(OR(pc="",oc=""),"",IF(AND(pc&gt;0,oc&gt;0),"Long Buildup",IF(AND(pc&lt;0,oc&gt;0),"Short Buildup",IF(AND(pc&gt;0,oc&lt;0),"Short Covering",IF(AND(pc&lt;0,oc&lt;0),"Long Unwinding","Flat"))))))</f>
        <v/>
      </c>
      <c r="J450" s="31">
        <f>LET(pc,ABS(F450),oc,ABS(H450),IF(OR(pc="",oc=""),"",MAX(1,MIN(5,ROUND((pc*0.5+oc*0.00001)*5,0))))))</f>
        <v/>
      </c>
    </row>
    <row r="451">
      <c r="A451" s="31" t="n">
        <v>449</v>
      </c>
      <c r="B451" s="31">
        <f>CHAIN_RAW!D449</f>
        <v/>
      </c>
      <c r="C451" s="31">
        <f>CHAIN_RAW!A449</f>
        <v/>
      </c>
      <c r="D451" s="31">
        <f>CHAIN_RAW!C449</f>
        <v/>
      </c>
      <c r="E451" s="31">
        <f>CHAIN_RAW!E449</f>
        <v/>
      </c>
      <c r="F451" s="31">
        <f>CHAIN_RAW!F449</f>
        <v/>
      </c>
      <c r="G451" s="31">
        <f>CHAIN_RAW!I449</f>
        <v/>
      </c>
      <c r="H451" s="31">
        <f>CHAIN_RAW!Q449</f>
        <v/>
      </c>
      <c r="I451" s="31">
        <f>LET(pc,F451,oc,H451,IF(OR(pc="",oc=""),"",IF(AND(pc&gt;0,oc&gt;0),"Long Buildup",IF(AND(pc&lt;0,oc&gt;0),"Short Buildup",IF(AND(pc&gt;0,oc&lt;0),"Short Covering",IF(AND(pc&lt;0,oc&lt;0),"Long Unwinding","Flat"))))))</f>
        <v/>
      </c>
      <c r="J451" s="31">
        <f>LET(pc,ABS(F451),oc,ABS(H451),IF(OR(pc="",oc=""),"",MAX(1,MIN(5,ROUND((pc*0.5+oc*0.00001)*5,0))))))</f>
        <v/>
      </c>
    </row>
    <row r="452">
      <c r="A452" s="31" t="n">
        <v>450</v>
      </c>
      <c r="B452" s="31">
        <f>CHAIN_RAW!D450</f>
        <v/>
      </c>
      <c r="C452" s="31">
        <f>CHAIN_RAW!A450</f>
        <v/>
      </c>
      <c r="D452" s="31">
        <f>CHAIN_RAW!C450</f>
        <v/>
      </c>
      <c r="E452" s="31">
        <f>CHAIN_RAW!E450</f>
        <v/>
      </c>
      <c r="F452" s="31">
        <f>CHAIN_RAW!F450</f>
        <v/>
      </c>
      <c r="G452" s="31">
        <f>CHAIN_RAW!I450</f>
        <v/>
      </c>
      <c r="H452" s="31">
        <f>CHAIN_RAW!Q450</f>
        <v/>
      </c>
      <c r="I452" s="31">
        <f>LET(pc,F452,oc,H452,IF(OR(pc="",oc=""),"",IF(AND(pc&gt;0,oc&gt;0),"Long Buildup",IF(AND(pc&lt;0,oc&gt;0),"Short Buildup",IF(AND(pc&gt;0,oc&lt;0),"Short Covering",IF(AND(pc&lt;0,oc&lt;0),"Long Unwinding","Flat"))))))</f>
        <v/>
      </c>
      <c r="J452" s="31">
        <f>LET(pc,ABS(F452),oc,ABS(H452),IF(OR(pc="",oc=""),"",MAX(1,MIN(5,ROUND((pc*0.5+oc*0.00001)*5,0))))))</f>
        <v/>
      </c>
    </row>
    <row r="453">
      <c r="A453" s="31" t="n">
        <v>451</v>
      </c>
      <c r="B453" s="31">
        <f>CHAIN_RAW!D451</f>
        <v/>
      </c>
      <c r="C453" s="31">
        <f>CHAIN_RAW!A451</f>
        <v/>
      </c>
      <c r="D453" s="31">
        <f>CHAIN_RAW!C451</f>
        <v/>
      </c>
      <c r="E453" s="31">
        <f>CHAIN_RAW!E451</f>
        <v/>
      </c>
      <c r="F453" s="31">
        <f>CHAIN_RAW!F451</f>
        <v/>
      </c>
      <c r="G453" s="31">
        <f>CHAIN_RAW!I451</f>
        <v/>
      </c>
      <c r="H453" s="31">
        <f>CHAIN_RAW!Q451</f>
        <v/>
      </c>
      <c r="I453" s="31">
        <f>LET(pc,F453,oc,H453,IF(OR(pc="",oc=""),"",IF(AND(pc&gt;0,oc&gt;0),"Long Buildup",IF(AND(pc&lt;0,oc&gt;0),"Short Buildup",IF(AND(pc&gt;0,oc&lt;0),"Short Covering",IF(AND(pc&lt;0,oc&lt;0),"Long Unwinding","Flat"))))))</f>
        <v/>
      </c>
      <c r="J453" s="31">
        <f>LET(pc,ABS(F453),oc,ABS(H453),IF(OR(pc="",oc=""),"",MAX(1,MIN(5,ROUND((pc*0.5+oc*0.00001)*5,0))))))</f>
        <v/>
      </c>
    </row>
    <row r="454">
      <c r="A454" s="31" t="n">
        <v>452</v>
      </c>
      <c r="B454" s="31">
        <f>CHAIN_RAW!D452</f>
        <v/>
      </c>
      <c r="C454" s="31">
        <f>CHAIN_RAW!A452</f>
        <v/>
      </c>
      <c r="D454" s="31">
        <f>CHAIN_RAW!C452</f>
        <v/>
      </c>
      <c r="E454" s="31">
        <f>CHAIN_RAW!E452</f>
        <v/>
      </c>
      <c r="F454" s="31">
        <f>CHAIN_RAW!F452</f>
        <v/>
      </c>
      <c r="G454" s="31">
        <f>CHAIN_RAW!I452</f>
        <v/>
      </c>
      <c r="H454" s="31">
        <f>CHAIN_RAW!Q452</f>
        <v/>
      </c>
      <c r="I454" s="31">
        <f>LET(pc,F454,oc,H454,IF(OR(pc="",oc=""),"",IF(AND(pc&gt;0,oc&gt;0),"Long Buildup",IF(AND(pc&lt;0,oc&gt;0),"Short Buildup",IF(AND(pc&gt;0,oc&lt;0),"Short Covering",IF(AND(pc&lt;0,oc&lt;0),"Long Unwinding","Flat"))))))</f>
        <v/>
      </c>
      <c r="J454" s="31">
        <f>LET(pc,ABS(F454),oc,ABS(H454),IF(OR(pc="",oc=""),"",MAX(1,MIN(5,ROUND((pc*0.5+oc*0.00001)*5,0))))))</f>
        <v/>
      </c>
    </row>
    <row r="455">
      <c r="A455" s="31" t="n">
        <v>453</v>
      </c>
      <c r="B455" s="31">
        <f>CHAIN_RAW!D453</f>
        <v/>
      </c>
      <c r="C455" s="31">
        <f>CHAIN_RAW!A453</f>
        <v/>
      </c>
      <c r="D455" s="31">
        <f>CHAIN_RAW!C453</f>
        <v/>
      </c>
      <c r="E455" s="31">
        <f>CHAIN_RAW!E453</f>
        <v/>
      </c>
      <c r="F455" s="31">
        <f>CHAIN_RAW!F453</f>
        <v/>
      </c>
      <c r="G455" s="31">
        <f>CHAIN_RAW!I453</f>
        <v/>
      </c>
      <c r="H455" s="31">
        <f>CHAIN_RAW!Q453</f>
        <v/>
      </c>
      <c r="I455" s="31">
        <f>LET(pc,F455,oc,H455,IF(OR(pc="",oc=""),"",IF(AND(pc&gt;0,oc&gt;0),"Long Buildup",IF(AND(pc&lt;0,oc&gt;0),"Short Buildup",IF(AND(pc&gt;0,oc&lt;0),"Short Covering",IF(AND(pc&lt;0,oc&lt;0),"Long Unwinding","Flat"))))))</f>
        <v/>
      </c>
      <c r="J455" s="31">
        <f>LET(pc,ABS(F455),oc,ABS(H455),IF(OR(pc="",oc=""),"",MAX(1,MIN(5,ROUND((pc*0.5+oc*0.00001)*5,0))))))</f>
        <v/>
      </c>
    </row>
    <row r="456">
      <c r="A456" s="31" t="n">
        <v>454</v>
      </c>
      <c r="B456" s="31">
        <f>CHAIN_RAW!D454</f>
        <v/>
      </c>
      <c r="C456" s="31">
        <f>CHAIN_RAW!A454</f>
        <v/>
      </c>
      <c r="D456" s="31">
        <f>CHAIN_RAW!C454</f>
        <v/>
      </c>
      <c r="E456" s="31">
        <f>CHAIN_RAW!E454</f>
        <v/>
      </c>
      <c r="F456" s="31">
        <f>CHAIN_RAW!F454</f>
        <v/>
      </c>
      <c r="G456" s="31">
        <f>CHAIN_RAW!I454</f>
        <v/>
      </c>
      <c r="H456" s="31">
        <f>CHAIN_RAW!Q454</f>
        <v/>
      </c>
      <c r="I456" s="31">
        <f>LET(pc,F456,oc,H456,IF(OR(pc="",oc=""),"",IF(AND(pc&gt;0,oc&gt;0),"Long Buildup",IF(AND(pc&lt;0,oc&gt;0),"Short Buildup",IF(AND(pc&gt;0,oc&lt;0),"Short Covering",IF(AND(pc&lt;0,oc&lt;0),"Long Unwinding","Flat"))))))</f>
        <v/>
      </c>
      <c r="J456" s="31">
        <f>LET(pc,ABS(F456),oc,ABS(H456),IF(OR(pc="",oc=""),"",MAX(1,MIN(5,ROUND((pc*0.5+oc*0.00001)*5,0))))))</f>
        <v/>
      </c>
    </row>
    <row r="457">
      <c r="A457" s="31" t="n">
        <v>455</v>
      </c>
      <c r="B457" s="31">
        <f>CHAIN_RAW!D455</f>
        <v/>
      </c>
      <c r="C457" s="31">
        <f>CHAIN_RAW!A455</f>
        <v/>
      </c>
      <c r="D457" s="31">
        <f>CHAIN_RAW!C455</f>
        <v/>
      </c>
      <c r="E457" s="31">
        <f>CHAIN_RAW!E455</f>
        <v/>
      </c>
      <c r="F457" s="31">
        <f>CHAIN_RAW!F455</f>
        <v/>
      </c>
      <c r="G457" s="31">
        <f>CHAIN_RAW!I455</f>
        <v/>
      </c>
      <c r="H457" s="31">
        <f>CHAIN_RAW!Q455</f>
        <v/>
      </c>
      <c r="I457" s="31">
        <f>LET(pc,F457,oc,H457,IF(OR(pc="",oc=""),"",IF(AND(pc&gt;0,oc&gt;0),"Long Buildup",IF(AND(pc&lt;0,oc&gt;0),"Short Buildup",IF(AND(pc&gt;0,oc&lt;0),"Short Covering",IF(AND(pc&lt;0,oc&lt;0),"Long Unwinding","Flat"))))))</f>
        <v/>
      </c>
      <c r="J457" s="31">
        <f>LET(pc,ABS(F457),oc,ABS(H457),IF(OR(pc="",oc=""),"",MAX(1,MIN(5,ROUND((pc*0.5+oc*0.00001)*5,0))))))</f>
        <v/>
      </c>
    </row>
    <row r="458">
      <c r="A458" s="31" t="n">
        <v>456</v>
      </c>
      <c r="B458" s="31">
        <f>CHAIN_RAW!D456</f>
        <v/>
      </c>
      <c r="C458" s="31">
        <f>CHAIN_RAW!A456</f>
        <v/>
      </c>
      <c r="D458" s="31">
        <f>CHAIN_RAW!C456</f>
        <v/>
      </c>
      <c r="E458" s="31">
        <f>CHAIN_RAW!E456</f>
        <v/>
      </c>
      <c r="F458" s="31">
        <f>CHAIN_RAW!F456</f>
        <v/>
      </c>
      <c r="G458" s="31">
        <f>CHAIN_RAW!I456</f>
        <v/>
      </c>
      <c r="H458" s="31">
        <f>CHAIN_RAW!Q456</f>
        <v/>
      </c>
      <c r="I458" s="31">
        <f>LET(pc,F458,oc,H458,IF(OR(pc="",oc=""),"",IF(AND(pc&gt;0,oc&gt;0),"Long Buildup",IF(AND(pc&lt;0,oc&gt;0),"Short Buildup",IF(AND(pc&gt;0,oc&lt;0),"Short Covering",IF(AND(pc&lt;0,oc&lt;0),"Long Unwinding","Flat"))))))</f>
        <v/>
      </c>
      <c r="J458" s="31">
        <f>LET(pc,ABS(F458),oc,ABS(H458),IF(OR(pc="",oc=""),"",MAX(1,MIN(5,ROUND((pc*0.5+oc*0.00001)*5,0))))))</f>
        <v/>
      </c>
    </row>
    <row r="459">
      <c r="A459" s="31" t="n">
        <v>457</v>
      </c>
      <c r="B459" s="31">
        <f>CHAIN_RAW!D457</f>
        <v/>
      </c>
      <c r="C459" s="31">
        <f>CHAIN_RAW!A457</f>
        <v/>
      </c>
      <c r="D459" s="31">
        <f>CHAIN_RAW!C457</f>
        <v/>
      </c>
      <c r="E459" s="31">
        <f>CHAIN_RAW!E457</f>
        <v/>
      </c>
      <c r="F459" s="31">
        <f>CHAIN_RAW!F457</f>
        <v/>
      </c>
      <c r="G459" s="31">
        <f>CHAIN_RAW!I457</f>
        <v/>
      </c>
      <c r="H459" s="31">
        <f>CHAIN_RAW!Q457</f>
        <v/>
      </c>
      <c r="I459" s="31">
        <f>LET(pc,F459,oc,H459,IF(OR(pc="",oc=""),"",IF(AND(pc&gt;0,oc&gt;0),"Long Buildup",IF(AND(pc&lt;0,oc&gt;0),"Short Buildup",IF(AND(pc&gt;0,oc&lt;0),"Short Covering",IF(AND(pc&lt;0,oc&lt;0),"Long Unwinding","Flat"))))))</f>
        <v/>
      </c>
      <c r="J459" s="31">
        <f>LET(pc,ABS(F459),oc,ABS(H459),IF(OR(pc="",oc=""),"",MAX(1,MIN(5,ROUND((pc*0.5+oc*0.00001)*5,0))))))</f>
        <v/>
      </c>
    </row>
    <row r="460">
      <c r="A460" s="31" t="n">
        <v>458</v>
      </c>
      <c r="B460" s="31">
        <f>CHAIN_RAW!D458</f>
        <v/>
      </c>
      <c r="C460" s="31">
        <f>CHAIN_RAW!A458</f>
        <v/>
      </c>
      <c r="D460" s="31">
        <f>CHAIN_RAW!C458</f>
        <v/>
      </c>
      <c r="E460" s="31">
        <f>CHAIN_RAW!E458</f>
        <v/>
      </c>
      <c r="F460" s="31">
        <f>CHAIN_RAW!F458</f>
        <v/>
      </c>
      <c r="G460" s="31">
        <f>CHAIN_RAW!I458</f>
        <v/>
      </c>
      <c r="H460" s="31">
        <f>CHAIN_RAW!Q458</f>
        <v/>
      </c>
      <c r="I460" s="31">
        <f>LET(pc,F460,oc,H460,IF(OR(pc="",oc=""),"",IF(AND(pc&gt;0,oc&gt;0),"Long Buildup",IF(AND(pc&lt;0,oc&gt;0),"Short Buildup",IF(AND(pc&gt;0,oc&lt;0),"Short Covering",IF(AND(pc&lt;0,oc&lt;0),"Long Unwinding","Flat"))))))</f>
        <v/>
      </c>
      <c r="J460" s="31">
        <f>LET(pc,ABS(F460),oc,ABS(H460),IF(OR(pc="",oc=""),"",MAX(1,MIN(5,ROUND((pc*0.5+oc*0.00001)*5,0))))))</f>
        <v/>
      </c>
    </row>
    <row r="461">
      <c r="A461" s="31" t="n">
        <v>459</v>
      </c>
      <c r="B461" s="31">
        <f>CHAIN_RAW!D459</f>
        <v/>
      </c>
      <c r="C461" s="31">
        <f>CHAIN_RAW!A459</f>
        <v/>
      </c>
      <c r="D461" s="31">
        <f>CHAIN_RAW!C459</f>
        <v/>
      </c>
      <c r="E461" s="31">
        <f>CHAIN_RAW!E459</f>
        <v/>
      </c>
      <c r="F461" s="31">
        <f>CHAIN_RAW!F459</f>
        <v/>
      </c>
      <c r="G461" s="31">
        <f>CHAIN_RAW!I459</f>
        <v/>
      </c>
      <c r="H461" s="31">
        <f>CHAIN_RAW!Q459</f>
        <v/>
      </c>
      <c r="I461" s="31">
        <f>LET(pc,F461,oc,H461,IF(OR(pc="",oc=""),"",IF(AND(pc&gt;0,oc&gt;0),"Long Buildup",IF(AND(pc&lt;0,oc&gt;0),"Short Buildup",IF(AND(pc&gt;0,oc&lt;0),"Short Covering",IF(AND(pc&lt;0,oc&lt;0),"Long Unwinding","Flat"))))))</f>
        <v/>
      </c>
      <c r="J461" s="31">
        <f>LET(pc,ABS(F461),oc,ABS(H461),IF(OR(pc="",oc=""),"",MAX(1,MIN(5,ROUND((pc*0.5+oc*0.00001)*5,0))))))</f>
        <v/>
      </c>
    </row>
    <row r="462">
      <c r="A462" s="31" t="n">
        <v>460</v>
      </c>
      <c r="B462" s="31">
        <f>CHAIN_RAW!D460</f>
        <v/>
      </c>
      <c r="C462" s="31">
        <f>CHAIN_RAW!A460</f>
        <v/>
      </c>
      <c r="D462" s="31">
        <f>CHAIN_RAW!C460</f>
        <v/>
      </c>
      <c r="E462" s="31">
        <f>CHAIN_RAW!E460</f>
        <v/>
      </c>
      <c r="F462" s="31">
        <f>CHAIN_RAW!F460</f>
        <v/>
      </c>
      <c r="G462" s="31">
        <f>CHAIN_RAW!I460</f>
        <v/>
      </c>
      <c r="H462" s="31">
        <f>CHAIN_RAW!Q460</f>
        <v/>
      </c>
      <c r="I462" s="31">
        <f>LET(pc,F462,oc,H462,IF(OR(pc="",oc=""),"",IF(AND(pc&gt;0,oc&gt;0),"Long Buildup",IF(AND(pc&lt;0,oc&gt;0),"Short Buildup",IF(AND(pc&gt;0,oc&lt;0),"Short Covering",IF(AND(pc&lt;0,oc&lt;0),"Long Unwinding","Flat"))))))</f>
        <v/>
      </c>
      <c r="J462" s="31">
        <f>LET(pc,ABS(F462),oc,ABS(H462),IF(OR(pc="",oc=""),"",MAX(1,MIN(5,ROUND((pc*0.5+oc*0.00001)*5,0))))))</f>
        <v/>
      </c>
    </row>
    <row r="463">
      <c r="A463" s="31" t="n">
        <v>461</v>
      </c>
      <c r="B463" s="31">
        <f>CHAIN_RAW!D461</f>
        <v/>
      </c>
      <c r="C463" s="31">
        <f>CHAIN_RAW!A461</f>
        <v/>
      </c>
      <c r="D463" s="31">
        <f>CHAIN_RAW!C461</f>
        <v/>
      </c>
      <c r="E463" s="31">
        <f>CHAIN_RAW!E461</f>
        <v/>
      </c>
      <c r="F463" s="31">
        <f>CHAIN_RAW!F461</f>
        <v/>
      </c>
      <c r="G463" s="31">
        <f>CHAIN_RAW!I461</f>
        <v/>
      </c>
      <c r="H463" s="31">
        <f>CHAIN_RAW!Q461</f>
        <v/>
      </c>
      <c r="I463" s="31">
        <f>LET(pc,F463,oc,H463,IF(OR(pc="",oc=""),"",IF(AND(pc&gt;0,oc&gt;0),"Long Buildup",IF(AND(pc&lt;0,oc&gt;0),"Short Buildup",IF(AND(pc&gt;0,oc&lt;0),"Short Covering",IF(AND(pc&lt;0,oc&lt;0),"Long Unwinding","Flat"))))))</f>
        <v/>
      </c>
      <c r="J463" s="31">
        <f>LET(pc,ABS(F463),oc,ABS(H463),IF(OR(pc="",oc=""),"",MAX(1,MIN(5,ROUND((pc*0.5+oc*0.00001)*5,0))))))</f>
        <v/>
      </c>
    </row>
    <row r="464">
      <c r="A464" s="31" t="n">
        <v>462</v>
      </c>
      <c r="B464" s="31">
        <f>CHAIN_RAW!D462</f>
        <v/>
      </c>
      <c r="C464" s="31">
        <f>CHAIN_RAW!A462</f>
        <v/>
      </c>
      <c r="D464" s="31">
        <f>CHAIN_RAW!C462</f>
        <v/>
      </c>
      <c r="E464" s="31">
        <f>CHAIN_RAW!E462</f>
        <v/>
      </c>
      <c r="F464" s="31">
        <f>CHAIN_RAW!F462</f>
        <v/>
      </c>
      <c r="G464" s="31">
        <f>CHAIN_RAW!I462</f>
        <v/>
      </c>
      <c r="H464" s="31">
        <f>CHAIN_RAW!Q462</f>
        <v/>
      </c>
      <c r="I464" s="31">
        <f>LET(pc,F464,oc,H464,IF(OR(pc="",oc=""),"",IF(AND(pc&gt;0,oc&gt;0),"Long Buildup",IF(AND(pc&lt;0,oc&gt;0),"Short Buildup",IF(AND(pc&gt;0,oc&lt;0),"Short Covering",IF(AND(pc&lt;0,oc&lt;0),"Long Unwinding","Flat"))))))</f>
        <v/>
      </c>
      <c r="J464" s="31">
        <f>LET(pc,ABS(F464),oc,ABS(H464),IF(OR(pc="",oc=""),"",MAX(1,MIN(5,ROUND((pc*0.5+oc*0.00001)*5,0))))))</f>
        <v/>
      </c>
    </row>
    <row r="465">
      <c r="A465" s="31" t="n">
        <v>463</v>
      </c>
      <c r="B465" s="31">
        <f>CHAIN_RAW!D463</f>
        <v/>
      </c>
      <c r="C465" s="31">
        <f>CHAIN_RAW!A463</f>
        <v/>
      </c>
      <c r="D465" s="31">
        <f>CHAIN_RAW!C463</f>
        <v/>
      </c>
      <c r="E465" s="31">
        <f>CHAIN_RAW!E463</f>
        <v/>
      </c>
      <c r="F465" s="31">
        <f>CHAIN_RAW!F463</f>
        <v/>
      </c>
      <c r="G465" s="31">
        <f>CHAIN_RAW!I463</f>
        <v/>
      </c>
      <c r="H465" s="31">
        <f>CHAIN_RAW!Q463</f>
        <v/>
      </c>
      <c r="I465" s="31">
        <f>LET(pc,F465,oc,H465,IF(OR(pc="",oc=""),"",IF(AND(pc&gt;0,oc&gt;0),"Long Buildup",IF(AND(pc&lt;0,oc&gt;0),"Short Buildup",IF(AND(pc&gt;0,oc&lt;0),"Short Covering",IF(AND(pc&lt;0,oc&lt;0),"Long Unwinding","Flat"))))))</f>
        <v/>
      </c>
      <c r="J465" s="31">
        <f>LET(pc,ABS(F465),oc,ABS(H465),IF(OR(pc="",oc=""),"",MAX(1,MIN(5,ROUND((pc*0.5+oc*0.00001)*5,0))))))</f>
        <v/>
      </c>
    </row>
    <row r="466">
      <c r="A466" s="31" t="n">
        <v>464</v>
      </c>
      <c r="B466" s="31">
        <f>CHAIN_RAW!D464</f>
        <v/>
      </c>
      <c r="C466" s="31">
        <f>CHAIN_RAW!A464</f>
        <v/>
      </c>
      <c r="D466" s="31">
        <f>CHAIN_RAW!C464</f>
        <v/>
      </c>
      <c r="E466" s="31">
        <f>CHAIN_RAW!E464</f>
        <v/>
      </c>
      <c r="F466" s="31">
        <f>CHAIN_RAW!F464</f>
        <v/>
      </c>
      <c r="G466" s="31">
        <f>CHAIN_RAW!I464</f>
        <v/>
      </c>
      <c r="H466" s="31">
        <f>CHAIN_RAW!Q464</f>
        <v/>
      </c>
      <c r="I466" s="31">
        <f>LET(pc,F466,oc,H466,IF(OR(pc="",oc=""),"",IF(AND(pc&gt;0,oc&gt;0),"Long Buildup",IF(AND(pc&lt;0,oc&gt;0),"Short Buildup",IF(AND(pc&gt;0,oc&lt;0),"Short Covering",IF(AND(pc&lt;0,oc&lt;0),"Long Unwinding","Flat"))))))</f>
        <v/>
      </c>
      <c r="J466" s="31">
        <f>LET(pc,ABS(F466),oc,ABS(H466),IF(OR(pc="",oc=""),"",MAX(1,MIN(5,ROUND((pc*0.5+oc*0.00001)*5,0))))))</f>
        <v/>
      </c>
    </row>
    <row r="467">
      <c r="A467" s="31" t="n">
        <v>465</v>
      </c>
      <c r="B467" s="31">
        <f>CHAIN_RAW!D465</f>
        <v/>
      </c>
      <c r="C467" s="31">
        <f>CHAIN_RAW!A465</f>
        <v/>
      </c>
      <c r="D467" s="31">
        <f>CHAIN_RAW!C465</f>
        <v/>
      </c>
      <c r="E467" s="31">
        <f>CHAIN_RAW!E465</f>
        <v/>
      </c>
      <c r="F467" s="31">
        <f>CHAIN_RAW!F465</f>
        <v/>
      </c>
      <c r="G467" s="31">
        <f>CHAIN_RAW!I465</f>
        <v/>
      </c>
      <c r="H467" s="31">
        <f>CHAIN_RAW!Q465</f>
        <v/>
      </c>
      <c r="I467" s="31">
        <f>LET(pc,F467,oc,H467,IF(OR(pc="",oc=""),"",IF(AND(pc&gt;0,oc&gt;0),"Long Buildup",IF(AND(pc&lt;0,oc&gt;0),"Short Buildup",IF(AND(pc&gt;0,oc&lt;0),"Short Covering",IF(AND(pc&lt;0,oc&lt;0),"Long Unwinding","Flat"))))))</f>
        <v/>
      </c>
      <c r="J467" s="31">
        <f>LET(pc,ABS(F467),oc,ABS(H467),IF(OR(pc="",oc=""),"",MAX(1,MIN(5,ROUND((pc*0.5+oc*0.00001)*5,0))))))</f>
        <v/>
      </c>
    </row>
    <row r="468">
      <c r="A468" s="31" t="n">
        <v>466</v>
      </c>
      <c r="B468" s="31">
        <f>CHAIN_RAW!D466</f>
        <v/>
      </c>
      <c r="C468" s="31">
        <f>CHAIN_RAW!A466</f>
        <v/>
      </c>
      <c r="D468" s="31">
        <f>CHAIN_RAW!C466</f>
        <v/>
      </c>
      <c r="E468" s="31">
        <f>CHAIN_RAW!E466</f>
        <v/>
      </c>
      <c r="F468" s="31">
        <f>CHAIN_RAW!F466</f>
        <v/>
      </c>
      <c r="G468" s="31">
        <f>CHAIN_RAW!I466</f>
        <v/>
      </c>
      <c r="H468" s="31">
        <f>CHAIN_RAW!Q466</f>
        <v/>
      </c>
      <c r="I468" s="31">
        <f>LET(pc,F468,oc,H468,IF(OR(pc="",oc=""),"",IF(AND(pc&gt;0,oc&gt;0),"Long Buildup",IF(AND(pc&lt;0,oc&gt;0),"Short Buildup",IF(AND(pc&gt;0,oc&lt;0),"Short Covering",IF(AND(pc&lt;0,oc&lt;0),"Long Unwinding","Flat"))))))</f>
        <v/>
      </c>
      <c r="J468" s="31">
        <f>LET(pc,ABS(F468),oc,ABS(H468),IF(OR(pc="",oc=""),"",MAX(1,MIN(5,ROUND((pc*0.5+oc*0.00001)*5,0))))))</f>
        <v/>
      </c>
    </row>
    <row r="469">
      <c r="A469" s="31" t="n">
        <v>467</v>
      </c>
      <c r="B469" s="31">
        <f>CHAIN_RAW!D467</f>
        <v/>
      </c>
      <c r="C469" s="31">
        <f>CHAIN_RAW!A467</f>
        <v/>
      </c>
      <c r="D469" s="31">
        <f>CHAIN_RAW!C467</f>
        <v/>
      </c>
      <c r="E469" s="31">
        <f>CHAIN_RAW!E467</f>
        <v/>
      </c>
      <c r="F469" s="31">
        <f>CHAIN_RAW!F467</f>
        <v/>
      </c>
      <c r="G469" s="31">
        <f>CHAIN_RAW!I467</f>
        <v/>
      </c>
      <c r="H469" s="31">
        <f>CHAIN_RAW!Q467</f>
        <v/>
      </c>
      <c r="I469" s="31">
        <f>LET(pc,F469,oc,H469,IF(OR(pc="",oc=""),"",IF(AND(pc&gt;0,oc&gt;0),"Long Buildup",IF(AND(pc&lt;0,oc&gt;0),"Short Buildup",IF(AND(pc&gt;0,oc&lt;0),"Short Covering",IF(AND(pc&lt;0,oc&lt;0),"Long Unwinding","Flat"))))))</f>
        <v/>
      </c>
      <c r="J469" s="31">
        <f>LET(pc,ABS(F469),oc,ABS(H469),IF(OR(pc="",oc=""),"",MAX(1,MIN(5,ROUND((pc*0.5+oc*0.00001)*5,0))))))</f>
        <v/>
      </c>
    </row>
    <row r="470">
      <c r="A470" s="31" t="n">
        <v>468</v>
      </c>
      <c r="B470" s="31">
        <f>CHAIN_RAW!D468</f>
        <v/>
      </c>
      <c r="C470" s="31">
        <f>CHAIN_RAW!A468</f>
        <v/>
      </c>
      <c r="D470" s="31">
        <f>CHAIN_RAW!C468</f>
        <v/>
      </c>
      <c r="E470" s="31">
        <f>CHAIN_RAW!E468</f>
        <v/>
      </c>
      <c r="F470" s="31">
        <f>CHAIN_RAW!F468</f>
        <v/>
      </c>
      <c r="G470" s="31">
        <f>CHAIN_RAW!I468</f>
        <v/>
      </c>
      <c r="H470" s="31">
        <f>CHAIN_RAW!Q468</f>
        <v/>
      </c>
      <c r="I470" s="31">
        <f>LET(pc,F470,oc,H470,IF(OR(pc="",oc=""),"",IF(AND(pc&gt;0,oc&gt;0),"Long Buildup",IF(AND(pc&lt;0,oc&gt;0),"Short Buildup",IF(AND(pc&gt;0,oc&lt;0),"Short Covering",IF(AND(pc&lt;0,oc&lt;0),"Long Unwinding","Flat"))))))</f>
        <v/>
      </c>
      <c r="J470" s="31">
        <f>LET(pc,ABS(F470),oc,ABS(H470),IF(OR(pc="",oc=""),"",MAX(1,MIN(5,ROUND((pc*0.5+oc*0.00001)*5,0))))))</f>
        <v/>
      </c>
    </row>
    <row r="471">
      <c r="A471" s="31" t="n">
        <v>469</v>
      </c>
      <c r="B471" s="31">
        <f>CHAIN_RAW!D469</f>
        <v/>
      </c>
      <c r="C471" s="31">
        <f>CHAIN_RAW!A469</f>
        <v/>
      </c>
      <c r="D471" s="31">
        <f>CHAIN_RAW!C469</f>
        <v/>
      </c>
      <c r="E471" s="31">
        <f>CHAIN_RAW!E469</f>
        <v/>
      </c>
      <c r="F471" s="31">
        <f>CHAIN_RAW!F469</f>
        <v/>
      </c>
      <c r="G471" s="31">
        <f>CHAIN_RAW!I469</f>
        <v/>
      </c>
      <c r="H471" s="31">
        <f>CHAIN_RAW!Q469</f>
        <v/>
      </c>
      <c r="I471" s="31">
        <f>LET(pc,F471,oc,H471,IF(OR(pc="",oc=""),"",IF(AND(pc&gt;0,oc&gt;0),"Long Buildup",IF(AND(pc&lt;0,oc&gt;0),"Short Buildup",IF(AND(pc&gt;0,oc&lt;0),"Short Covering",IF(AND(pc&lt;0,oc&lt;0),"Long Unwinding","Flat"))))))</f>
        <v/>
      </c>
      <c r="J471" s="31">
        <f>LET(pc,ABS(F471),oc,ABS(H471),IF(OR(pc="",oc=""),"",MAX(1,MIN(5,ROUND((pc*0.5+oc*0.00001)*5,0))))))</f>
        <v/>
      </c>
    </row>
    <row r="472">
      <c r="A472" s="31" t="n">
        <v>470</v>
      </c>
      <c r="B472" s="31">
        <f>CHAIN_RAW!D470</f>
        <v/>
      </c>
      <c r="C472" s="31">
        <f>CHAIN_RAW!A470</f>
        <v/>
      </c>
      <c r="D472" s="31">
        <f>CHAIN_RAW!C470</f>
        <v/>
      </c>
      <c r="E472" s="31">
        <f>CHAIN_RAW!E470</f>
        <v/>
      </c>
      <c r="F472" s="31">
        <f>CHAIN_RAW!F470</f>
        <v/>
      </c>
      <c r="G472" s="31">
        <f>CHAIN_RAW!I470</f>
        <v/>
      </c>
      <c r="H472" s="31">
        <f>CHAIN_RAW!Q470</f>
        <v/>
      </c>
      <c r="I472" s="31">
        <f>LET(pc,F472,oc,H472,IF(OR(pc="",oc=""),"",IF(AND(pc&gt;0,oc&gt;0),"Long Buildup",IF(AND(pc&lt;0,oc&gt;0),"Short Buildup",IF(AND(pc&gt;0,oc&lt;0),"Short Covering",IF(AND(pc&lt;0,oc&lt;0),"Long Unwinding","Flat"))))))</f>
        <v/>
      </c>
      <c r="J472" s="31">
        <f>LET(pc,ABS(F472),oc,ABS(H472),IF(OR(pc="",oc=""),"",MAX(1,MIN(5,ROUND((pc*0.5+oc*0.00001)*5,0))))))</f>
        <v/>
      </c>
    </row>
    <row r="473">
      <c r="A473" s="31" t="n">
        <v>471</v>
      </c>
      <c r="B473" s="31">
        <f>CHAIN_RAW!D471</f>
        <v/>
      </c>
      <c r="C473" s="31">
        <f>CHAIN_RAW!A471</f>
        <v/>
      </c>
      <c r="D473" s="31">
        <f>CHAIN_RAW!C471</f>
        <v/>
      </c>
      <c r="E473" s="31">
        <f>CHAIN_RAW!E471</f>
        <v/>
      </c>
      <c r="F473" s="31">
        <f>CHAIN_RAW!F471</f>
        <v/>
      </c>
      <c r="G473" s="31">
        <f>CHAIN_RAW!I471</f>
        <v/>
      </c>
      <c r="H473" s="31">
        <f>CHAIN_RAW!Q471</f>
        <v/>
      </c>
      <c r="I473" s="31">
        <f>LET(pc,F473,oc,H473,IF(OR(pc="",oc=""),"",IF(AND(pc&gt;0,oc&gt;0),"Long Buildup",IF(AND(pc&lt;0,oc&gt;0),"Short Buildup",IF(AND(pc&gt;0,oc&lt;0),"Short Covering",IF(AND(pc&lt;0,oc&lt;0),"Long Unwinding","Flat"))))))</f>
        <v/>
      </c>
      <c r="J473" s="31">
        <f>LET(pc,ABS(F473),oc,ABS(H473),IF(OR(pc="",oc=""),"",MAX(1,MIN(5,ROUND((pc*0.5+oc*0.00001)*5,0))))))</f>
        <v/>
      </c>
    </row>
    <row r="474">
      <c r="A474" s="31" t="n">
        <v>472</v>
      </c>
      <c r="B474" s="31">
        <f>CHAIN_RAW!D472</f>
        <v/>
      </c>
      <c r="C474" s="31">
        <f>CHAIN_RAW!A472</f>
        <v/>
      </c>
      <c r="D474" s="31">
        <f>CHAIN_RAW!C472</f>
        <v/>
      </c>
      <c r="E474" s="31">
        <f>CHAIN_RAW!E472</f>
        <v/>
      </c>
      <c r="F474" s="31">
        <f>CHAIN_RAW!F472</f>
        <v/>
      </c>
      <c r="G474" s="31">
        <f>CHAIN_RAW!I472</f>
        <v/>
      </c>
      <c r="H474" s="31">
        <f>CHAIN_RAW!Q472</f>
        <v/>
      </c>
      <c r="I474" s="31">
        <f>LET(pc,F474,oc,H474,IF(OR(pc="",oc=""),"",IF(AND(pc&gt;0,oc&gt;0),"Long Buildup",IF(AND(pc&lt;0,oc&gt;0),"Short Buildup",IF(AND(pc&gt;0,oc&lt;0),"Short Covering",IF(AND(pc&lt;0,oc&lt;0),"Long Unwinding","Flat"))))))</f>
        <v/>
      </c>
      <c r="J474" s="31">
        <f>LET(pc,ABS(F474),oc,ABS(H474),IF(OR(pc="",oc=""),"",MAX(1,MIN(5,ROUND((pc*0.5+oc*0.00001)*5,0))))))</f>
        <v/>
      </c>
    </row>
    <row r="475">
      <c r="A475" s="31" t="n">
        <v>473</v>
      </c>
      <c r="B475" s="31">
        <f>CHAIN_RAW!D473</f>
        <v/>
      </c>
      <c r="C475" s="31">
        <f>CHAIN_RAW!A473</f>
        <v/>
      </c>
      <c r="D475" s="31">
        <f>CHAIN_RAW!C473</f>
        <v/>
      </c>
      <c r="E475" s="31">
        <f>CHAIN_RAW!E473</f>
        <v/>
      </c>
      <c r="F475" s="31">
        <f>CHAIN_RAW!F473</f>
        <v/>
      </c>
      <c r="G475" s="31">
        <f>CHAIN_RAW!I473</f>
        <v/>
      </c>
      <c r="H475" s="31">
        <f>CHAIN_RAW!Q473</f>
        <v/>
      </c>
      <c r="I475" s="31">
        <f>LET(pc,F475,oc,H475,IF(OR(pc="",oc=""),"",IF(AND(pc&gt;0,oc&gt;0),"Long Buildup",IF(AND(pc&lt;0,oc&gt;0),"Short Buildup",IF(AND(pc&gt;0,oc&lt;0),"Short Covering",IF(AND(pc&lt;0,oc&lt;0),"Long Unwinding","Flat"))))))</f>
        <v/>
      </c>
      <c r="J475" s="31">
        <f>LET(pc,ABS(F475),oc,ABS(H475),IF(OR(pc="",oc=""),"",MAX(1,MIN(5,ROUND((pc*0.5+oc*0.00001)*5,0))))))</f>
        <v/>
      </c>
    </row>
    <row r="476">
      <c r="A476" s="31" t="n">
        <v>474</v>
      </c>
      <c r="B476" s="31">
        <f>CHAIN_RAW!D474</f>
        <v/>
      </c>
      <c r="C476" s="31">
        <f>CHAIN_RAW!A474</f>
        <v/>
      </c>
      <c r="D476" s="31">
        <f>CHAIN_RAW!C474</f>
        <v/>
      </c>
      <c r="E476" s="31">
        <f>CHAIN_RAW!E474</f>
        <v/>
      </c>
      <c r="F476" s="31">
        <f>CHAIN_RAW!F474</f>
        <v/>
      </c>
      <c r="G476" s="31">
        <f>CHAIN_RAW!I474</f>
        <v/>
      </c>
      <c r="H476" s="31">
        <f>CHAIN_RAW!Q474</f>
        <v/>
      </c>
      <c r="I476" s="31">
        <f>LET(pc,F476,oc,H476,IF(OR(pc="",oc=""),"",IF(AND(pc&gt;0,oc&gt;0),"Long Buildup",IF(AND(pc&lt;0,oc&gt;0),"Short Buildup",IF(AND(pc&gt;0,oc&lt;0),"Short Covering",IF(AND(pc&lt;0,oc&lt;0),"Long Unwinding","Flat"))))))</f>
        <v/>
      </c>
      <c r="J476" s="31">
        <f>LET(pc,ABS(F476),oc,ABS(H476),IF(OR(pc="",oc=""),"",MAX(1,MIN(5,ROUND((pc*0.5+oc*0.00001)*5,0))))))</f>
        <v/>
      </c>
    </row>
    <row r="477">
      <c r="A477" s="31" t="n">
        <v>475</v>
      </c>
      <c r="B477" s="31">
        <f>CHAIN_RAW!D475</f>
        <v/>
      </c>
      <c r="C477" s="31">
        <f>CHAIN_RAW!A475</f>
        <v/>
      </c>
      <c r="D477" s="31">
        <f>CHAIN_RAW!C475</f>
        <v/>
      </c>
      <c r="E477" s="31">
        <f>CHAIN_RAW!E475</f>
        <v/>
      </c>
      <c r="F477" s="31">
        <f>CHAIN_RAW!F475</f>
        <v/>
      </c>
      <c r="G477" s="31">
        <f>CHAIN_RAW!I475</f>
        <v/>
      </c>
      <c r="H477" s="31">
        <f>CHAIN_RAW!Q475</f>
        <v/>
      </c>
      <c r="I477" s="31">
        <f>LET(pc,F477,oc,H477,IF(OR(pc="",oc=""),"",IF(AND(pc&gt;0,oc&gt;0),"Long Buildup",IF(AND(pc&lt;0,oc&gt;0),"Short Buildup",IF(AND(pc&gt;0,oc&lt;0),"Short Covering",IF(AND(pc&lt;0,oc&lt;0),"Long Unwinding","Flat"))))))</f>
        <v/>
      </c>
      <c r="J477" s="31">
        <f>LET(pc,ABS(F477),oc,ABS(H477),IF(OR(pc="",oc=""),"",MAX(1,MIN(5,ROUND((pc*0.5+oc*0.00001)*5,0))))))</f>
        <v/>
      </c>
    </row>
    <row r="478">
      <c r="A478" s="31" t="n">
        <v>476</v>
      </c>
      <c r="B478" s="31">
        <f>CHAIN_RAW!D476</f>
        <v/>
      </c>
      <c r="C478" s="31">
        <f>CHAIN_RAW!A476</f>
        <v/>
      </c>
      <c r="D478" s="31">
        <f>CHAIN_RAW!C476</f>
        <v/>
      </c>
      <c r="E478" s="31">
        <f>CHAIN_RAW!E476</f>
        <v/>
      </c>
      <c r="F478" s="31">
        <f>CHAIN_RAW!F476</f>
        <v/>
      </c>
      <c r="G478" s="31">
        <f>CHAIN_RAW!I476</f>
        <v/>
      </c>
      <c r="H478" s="31">
        <f>CHAIN_RAW!Q476</f>
        <v/>
      </c>
      <c r="I478" s="31">
        <f>LET(pc,F478,oc,H478,IF(OR(pc="",oc=""),"",IF(AND(pc&gt;0,oc&gt;0),"Long Buildup",IF(AND(pc&lt;0,oc&gt;0),"Short Buildup",IF(AND(pc&gt;0,oc&lt;0),"Short Covering",IF(AND(pc&lt;0,oc&lt;0),"Long Unwinding","Flat"))))))</f>
        <v/>
      </c>
      <c r="J478" s="31">
        <f>LET(pc,ABS(F478),oc,ABS(H478),IF(OR(pc="",oc=""),"",MAX(1,MIN(5,ROUND((pc*0.5+oc*0.00001)*5,0))))))</f>
        <v/>
      </c>
    </row>
    <row r="479">
      <c r="A479" s="31" t="n">
        <v>477</v>
      </c>
      <c r="B479" s="31">
        <f>CHAIN_RAW!D477</f>
        <v/>
      </c>
      <c r="C479" s="31">
        <f>CHAIN_RAW!A477</f>
        <v/>
      </c>
      <c r="D479" s="31">
        <f>CHAIN_RAW!C477</f>
        <v/>
      </c>
      <c r="E479" s="31">
        <f>CHAIN_RAW!E477</f>
        <v/>
      </c>
      <c r="F479" s="31">
        <f>CHAIN_RAW!F477</f>
        <v/>
      </c>
      <c r="G479" s="31">
        <f>CHAIN_RAW!I477</f>
        <v/>
      </c>
      <c r="H479" s="31">
        <f>CHAIN_RAW!Q477</f>
        <v/>
      </c>
      <c r="I479" s="31">
        <f>LET(pc,F479,oc,H479,IF(OR(pc="",oc=""),"",IF(AND(pc&gt;0,oc&gt;0),"Long Buildup",IF(AND(pc&lt;0,oc&gt;0),"Short Buildup",IF(AND(pc&gt;0,oc&lt;0),"Short Covering",IF(AND(pc&lt;0,oc&lt;0),"Long Unwinding","Flat"))))))</f>
        <v/>
      </c>
      <c r="J479" s="31">
        <f>LET(pc,ABS(F479),oc,ABS(H479),IF(OR(pc="",oc=""),"",MAX(1,MIN(5,ROUND((pc*0.5+oc*0.00001)*5,0))))))</f>
        <v/>
      </c>
    </row>
    <row r="480">
      <c r="A480" s="31" t="n">
        <v>478</v>
      </c>
      <c r="B480" s="31">
        <f>CHAIN_RAW!D478</f>
        <v/>
      </c>
      <c r="C480" s="31">
        <f>CHAIN_RAW!A478</f>
        <v/>
      </c>
      <c r="D480" s="31">
        <f>CHAIN_RAW!C478</f>
        <v/>
      </c>
      <c r="E480" s="31">
        <f>CHAIN_RAW!E478</f>
        <v/>
      </c>
      <c r="F480" s="31">
        <f>CHAIN_RAW!F478</f>
        <v/>
      </c>
      <c r="G480" s="31">
        <f>CHAIN_RAW!I478</f>
        <v/>
      </c>
      <c r="H480" s="31">
        <f>CHAIN_RAW!Q478</f>
        <v/>
      </c>
      <c r="I480" s="31">
        <f>LET(pc,F480,oc,H480,IF(OR(pc="",oc=""),"",IF(AND(pc&gt;0,oc&gt;0),"Long Buildup",IF(AND(pc&lt;0,oc&gt;0),"Short Buildup",IF(AND(pc&gt;0,oc&lt;0),"Short Covering",IF(AND(pc&lt;0,oc&lt;0),"Long Unwinding","Flat"))))))</f>
        <v/>
      </c>
      <c r="J480" s="31">
        <f>LET(pc,ABS(F480),oc,ABS(H480),IF(OR(pc="",oc=""),"",MAX(1,MIN(5,ROUND((pc*0.5+oc*0.00001)*5,0))))))</f>
        <v/>
      </c>
    </row>
    <row r="481">
      <c r="A481" s="31" t="n">
        <v>479</v>
      </c>
      <c r="B481" s="31">
        <f>CHAIN_RAW!D479</f>
        <v/>
      </c>
      <c r="C481" s="31">
        <f>CHAIN_RAW!A479</f>
        <v/>
      </c>
      <c r="D481" s="31">
        <f>CHAIN_RAW!C479</f>
        <v/>
      </c>
      <c r="E481" s="31">
        <f>CHAIN_RAW!E479</f>
        <v/>
      </c>
      <c r="F481" s="31">
        <f>CHAIN_RAW!F479</f>
        <v/>
      </c>
      <c r="G481" s="31">
        <f>CHAIN_RAW!I479</f>
        <v/>
      </c>
      <c r="H481" s="31">
        <f>CHAIN_RAW!Q479</f>
        <v/>
      </c>
      <c r="I481" s="31">
        <f>LET(pc,F481,oc,H481,IF(OR(pc="",oc=""),"",IF(AND(pc&gt;0,oc&gt;0),"Long Buildup",IF(AND(pc&lt;0,oc&gt;0),"Short Buildup",IF(AND(pc&gt;0,oc&lt;0),"Short Covering",IF(AND(pc&lt;0,oc&lt;0),"Long Unwinding","Flat"))))))</f>
        <v/>
      </c>
      <c r="J481" s="31">
        <f>LET(pc,ABS(F481),oc,ABS(H481),IF(OR(pc="",oc=""),"",MAX(1,MIN(5,ROUND((pc*0.5+oc*0.00001)*5,0))))))</f>
        <v/>
      </c>
    </row>
    <row r="482">
      <c r="A482" s="31" t="n">
        <v>480</v>
      </c>
      <c r="B482" s="31">
        <f>CHAIN_RAW!D480</f>
        <v/>
      </c>
      <c r="C482" s="31">
        <f>CHAIN_RAW!A480</f>
        <v/>
      </c>
      <c r="D482" s="31">
        <f>CHAIN_RAW!C480</f>
        <v/>
      </c>
      <c r="E482" s="31">
        <f>CHAIN_RAW!E480</f>
        <v/>
      </c>
      <c r="F482" s="31">
        <f>CHAIN_RAW!F480</f>
        <v/>
      </c>
      <c r="G482" s="31">
        <f>CHAIN_RAW!I480</f>
        <v/>
      </c>
      <c r="H482" s="31">
        <f>CHAIN_RAW!Q480</f>
        <v/>
      </c>
      <c r="I482" s="31">
        <f>LET(pc,F482,oc,H482,IF(OR(pc="",oc=""),"",IF(AND(pc&gt;0,oc&gt;0),"Long Buildup",IF(AND(pc&lt;0,oc&gt;0),"Short Buildup",IF(AND(pc&gt;0,oc&lt;0),"Short Covering",IF(AND(pc&lt;0,oc&lt;0),"Long Unwinding","Flat"))))))</f>
        <v/>
      </c>
      <c r="J482" s="31">
        <f>LET(pc,ABS(F482),oc,ABS(H482),IF(OR(pc="",oc=""),"",MAX(1,MIN(5,ROUND((pc*0.5+oc*0.00001)*5,0))))))</f>
        <v/>
      </c>
    </row>
    <row r="483">
      <c r="A483" s="31" t="n">
        <v>481</v>
      </c>
      <c r="B483" s="31">
        <f>CHAIN_RAW!D481</f>
        <v/>
      </c>
      <c r="C483" s="31">
        <f>CHAIN_RAW!A481</f>
        <v/>
      </c>
      <c r="D483" s="31">
        <f>CHAIN_RAW!C481</f>
        <v/>
      </c>
      <c r="E483" s="31">
        <f>CHAIN_RAW!E481</f>
        <v/>
      </c>
      <c r="F483" s="31">
        <f>CHAIN_RAW!F481</f>
        <v/>
      </c>
      <c r="G483" s="31">
        <f>CHAIN_RAW!I481</f>
        <v/>
      </c>
      <c r="H483" s="31">
        <f>CHAIN_RAW!Q481</f>
        <v/>
      </c>
      <c r="I483" s="31">
        <f>LET(pc,F483,oc,H483,IF(OR(pc="",oc=""),"",IF(AND(pc&gt;0,oc&gt;0),"Long Buildup",IF(AND(pc&lt;0,oc&gt;0),"Short Buildup",IF(AND(pc&gt;0,oc&lt;0),"Short Covering",IF(AND(pc&lt;0,oc&lt;0),"Long Unwinding","Flat"))))))</f>
        <v/>
      </c>
      <c r="J483" s="31">
        <f>LET(pc,ABS(F483),oc,ABS(H483),IF(OR(pc="",oc=""),"",MAX(1,MIN(5,ROUND((pc*0.5+oc*0.00001)*5,0))))))</f>
        <v/>
      </c>
    </row>
    <row r="484">
      <c r="A484" s="31" t="n">
        <v>482</v>
      </c>
      <c r="B484" s="31">
        <f>CHAIN_RAW!D482</f>
        <v/>
      </c>
      <c r="C484" s="31">
        <f>CHAIN_RAW!A482</f>
        <v/>
      </c>
      <c r="D484" s="31">
        <f>CHAIN_RAW!C482</f>
        <v/>
      </c>
      <c r="E484" s="31">
        <f>CHAIN_RAW!E482</f>
        <v/>
      </c>
      <c r="F484" s="31">
        <f>CHAIN_RAW!F482</f>
        <v/>
      </c>
      <c r="G484" s="31">
        <f>CHAIN_RAW!I482</f>
        <v/>
      </c>
      <c r="H484" s="31">
        <f>CHAIN_RAW!Q482</f>
        <v/>
      </c>
      <c r="I484" s="31">
        <f>LET(pc,F484,oc,H484,IF(OR(pc="",oc=""),"",IF(AND(pc&gt;0,oc&gt;0),"Long Buildup",IF(AND(pc&lt;0,oc&gt;0),"Short Buildup",IF(AND(pc&gt;0,oc&lt;0),"Short Covering",IF(AND(pc&lt;0,oc&lt;0),"Long Unwinding","Flat"))))))</f>
        <v/>
      </c>
      <c r="J484" s="31">
        <f>LET(pc,ABS(F484),oc,ABS(H484),IF(OR(pc="",oc=""),"",MAX(1,MIN(5,ROUND((pc*0.5+oc*0.00001)*5,0))))))</f>
        <v/>
      </c>
    </row>
    <row r="485">
      <c r="A485" s="31" t="n">
        <v>483</v>
      </c>
      <c r="B485" s="31">
        <f>CHAIN_RAW!D483</f>
        <v/>
      </c>
      <c r="C485" s="31">
        <f>CHAIN_RAW!A483</f>
        <v/>
      </c>
      <c r="D485" s="31">
        <f>CHAIN_RAW!C483</f>
        <v/>
      </c>
      <c r="E485" s="31">
        <f>CHAIN_RAW!E483</f>
        <v/>
      </c>
      <c r="F485" s="31">
        <f>CHAIN_RAW!F483</f>
        <v/>
      </c>
      <c r="G485" s="31">
        <f>CHAIN_RAW!I483</f>
        <v/>
      </c>
      <c r="H485" s="31">
        <f>CHAIN_RAW!Q483</f>
        <v/>
      </c>
      <c r="I485" s="31">
        <f>LET(pc,F485,oc,H485,IF(OR(pc="",oc=""),"",IF(AND(pc&gt;0,oc&gt;0),"Long Buildup",IF(AND(pc&lt;0,oc&gt;0),"Short Buildup",IF(AND(pc&gt;0,oc&lt;0),"Short Covering",IF(AND(pc&lt;0,oc&lt;0),"Long Unwinding","Flat"))))))</f>
        <v/>
      </c>
      <c r="J485" s="31">
        <f>LET(pc,ABS(F485),oc,ABS(H485),IF(OR(pc="",oc=""),"",MAX(1,MIN(5,ROUND((pc*0.5+oc*0.00001)*5,0))))))</f>
        <v/>
      </c>
    </row>
    <row r="486">
      <c r="A486" s="31" t="n">
        <v>484</v>
      </c>
      <c r="B486" s="31">
        <f>CHAIN_RAW!D484</f>
        <v/>
      </c>
      <c r="C486" s="31">
        <f>CHAIN_RAW!A484</f>
        <v/>
      </c>
      <c r="D486" s="31">
        <f>CHAIN_RAW!C484</f>
        <v/>
      </c>
      <c r="E486" s="31">
        <f>CHAIN_RAW!E484</f>
        <v/>
      </c>
      <c r="F486" s="31">
        <f>CHAIN_RAW!F484</f>
        <v/>
      </c>
      <c r="G486" s="31">
        <f>CHAIN_RAW!I484</f>
        <v/>
      </c>
      <c r="H486" s="31">
        <f>CHAIN_RAW!Q484</f>
        <v/>
      </c>
      <c r="I486" s="31">
        <f>LET(pc,F486,oc,H486,IF(OR(pc="",oc=""),"",IF(AND(pc&gt;0,oc&gt;0),"Long Buildup",IF(AND(pc&lt;0,oc&gt;0),"Short Buildup",IF(AND(pc&gt;0,oc&lt;0),"Short Covering",IF(AND(pc&lt;0,oc&lt;0),"Long Unwinding","Flat"))))))</f>
        <v/>
      </c>
      <c r="J486" s="31">
        <f>LET(pc,ABS(F486),oc,ABS(H486),IF(OR(pc="",oc=""),"",MAX(1,MIN(5,ROUND((pc*0.5+oc*0.00001)*5,0))))))</f>
        <v/>
      </c>
    </row>
    <row r="487">
      <c r="A487" s="31" t="n">
        <v>485</v>
      </c>
      <c r="B487" s="31">
        <f>CHAIN_RAW!D485</f>
        <v/>
      </c>
      <c r="C487" s="31">
        <f>CHAIN_RAW!A485</f>
        <v/>
      </c>
      <c r="D487" s="31">
        <f>CHAIN_RAW!C485</f>
        <v/>
      </c>
      <c r="E487" s="31">
        <f>CHAIN_RAW!E485</f>
        <v/>
      </c>
      <c r="F487" s="31">
        <f>CHAIN_RAW!F485</f>
        <v/>
      </c>
      <c r="G487" s="31">
        <f>CHAIN_RAW!I485</f>
        <v/>
      </c>
      <c r="H487" s="31">
        <f>CHAIN_RAW!Q485</f>
        <v/>
      </c>
      <c r="I487" s="31">
        <f>LET(pc,F487,oc,H487,IF(OR(pc="",oc=""),"",IF(AND(pc&gt;0,oc&gt;0),"Long Buildup",IF(AND(pc&lt;0,oc&gt;0),"Short Buildup",IF(AND(pc&gt;0,oc&lt;0),"Short Covering",IF(AND(pc&lt;0,oc&lt;0),"Long Unwinding","Flat"))))))</f>
        <v/>
      </c>
      <c r="J487" s="31">
        <f>LET(pc,ABS(F487),oc,ABS(H487),IF(OR(pc="",oc=""),"",MAX(1,MIN(5,ROUND((pc*0.5+oc*0.00001)*5,0))))))</f>
        <v/>
      </c>
    </row>
    <row r="488">
      <c r="A488" s="31" t="n">
        <v>486</v>
      </c>
      <c r="B488" s="31">
        <f>CHAIN_RAW!D486</f>
        <v/>
      </c>
      <c r="C488" s="31">
        <f>CHAIN_RAW!A486</f>
        <v/>
      </c>
      <c r="D488" s="31">
        <f>CHAIN_RAW!C486</f>
        <v/>
      </c>
      <c r="E488" s="31">
        <f>CHAIN_RAW!E486</f>
        <v/>
      </c>
      <c r="F488" s="31">
        <f>CHAIN_RAW!F486</f>
        <v/>
      </c>
      <c r="G488" s="31">
        <f>CHAIN_RAW!I486</f>
        <v/>
      </c>
      <c r="H488" s="31">
        <f>CHAIN_RAW!Q486</f>
        <v/>
      </c>
      <c r="I488" s="31">
        <f>LET(pc,F488,oc,H488,IF(OR(pc="",oc=""),"",IF(AND(pc&gt;0,oc&gt;0),"Long Buildup",IF(AND(pc&lt;0,oc&gt;0),"Short Buildup",IF(AND(pc&gt;0,oc&lt;0),"Short Covering",IF(AND(pc&lt;0,oc&lt;0),"Long Unwinding","Flat"))))))</f>
        <v/>
      </c>
      <c r="J488" s="31">
        <f>LET(pc,ABS(F488),oc,ABS(H488),IF(OR(pc="",oc=""),"",MAX(1,MIN(5,ROUND((pc*0.5+oc*0.00001)*5,0))))))</f>
        <v/>
      </c>
    </row>
    <row r="489">
      <c r="A489" s="31" t="n">
        <v>487</v>
      </c>
      <c r="B489" s="31">
        <f>CHAIN_RAW!D487</f>
        <v/>
      </c>
      <c r="C489" s="31">
        <f>CHAIN_RAW!A487</f>
        <v/>
      </c>
      <c r="D489" s="31">
        <f>CHAIN_RAW!C487</f>
        <v/>
      </c>
      <c r="E489" s="31">
        <f>CHAIN_RAW!E487</f>
        <v/>
      </c>
      <c r="F489" s="31">
        <f>CHAIN_RAW!F487</f>
        <v/>
      </c>
      <c r="G489" s="31">
        <f>CHAIN_RAW!I487</f>
        <v/>
      </c>
      <c r="H489" s="31">
        <f>CHAIN_RAW!Q487</f>
        <v/>
      </c>
      <c r="I489" s="31">
        <f>LET(pc,F489,oc,H489,IF(OR(pc="",oc=""),"",IF(AND(pc&gt;0,oc&gt;0),"Long Buildup",IF(AND(pc&lt;0,oc&gt;0),"Short Buildup",IF(AND(pc&gt;0,oc&lt;0),"Short Covering",IF(AND(pc&lt;0,oc&lt;0),"Long Unwinding","Flat"))))))</f>
        <v/>
      </c>
      <c r="J489" s="31">
        <f>LET(pc,ABS(F489),oc,ABS(H489),IF(OR(pc="",oc=""),"",MAX(1,MIN(5,ROUND((pc*0.5+oc*0.00001)*5,0))))))</f>
        <v/>
      </c>
    </row>
    <row r="490">
      <c r="A490" s="31" t="n">
        <v>488</v>
      </c>
      <c r="B490" s="31">
        <f>CHAIN_RAW!D488</f>
        <v/>
      </c>
      <c r="C490" s="31">
        <f>CHAIN_RAW!A488</f>
        <v/>
      </c>
      <c r="D490" s="31">
        <f>CHAIN_RAW!C488</f>
        <v/>
      </c>
      <c r="E490" s="31">
        <f>CHAIN_RAW!E488</f>
        <v/>
      </c>
      <c r="F490" s="31">
        <f>CHAIN_RAW!F488</f>
        <v/>
      </c>
      <c r="G490" s="31">
        <f>CHAIN_RAW!I488</f>
        <v/>
      </c>
      <c r="H490" s="31">
        <f>CHAIN_RAW!Q488</f>
        <v/>
      </c>
      <c r="I490" s="31">
        <f>LET(pc,F490,oc,H490,IF(OR(pc="",oc=""),"",IF(AND(pc&gt;0,oc&gt;0),"Long Buildup",IF(AND(pc&lt;0,oc&gt;0),"Short Buildup",IF(AND(pc&gt;0,oc&lt;0),"Short Covering",IF(AND(pc&lt;0,oc&lt;0),"Long Unwinding","Flat"))))))</f>
        <v/>
      </c>
      <c r="J490" s="31">
        <f>LET(pc,ABS(F490),oc,ABS(H490),IF(OR(pc="",oc=""),"",MAX(1,MIN(5,ROUND((pc*0.5+oc*0.00001)*5,0))))))</f>
        <v/>
      </c>
    </row>
    <row r="491">
      <c r="A491" s="31" t="n">
        <v>489</v>
      </c>
      <c r="B491" s="31">
        <f>CHAIN_RAW!D489</f>
        <v/>
      </c>
      <c r="C491" s="31">
        <f>CHAIN_RAW!A489</f>
        <v/>
      </c>
      <c r="D491" s="31">
        <f>CHAIN_RAW!C489</f>
        <v/>
      </c>
      <c r="E491" s="31">
        <f>CHAIN_RAW!E489</f>
        <v/>
      </c>
      <c r="F491" s="31">
        <f>CHAIN_RAW!F489</f>
        <v/>
      </c>
      <c r="G491" s="31">
        <f>CHAIN_RAW!I489</f>
        <v/>
      </c>
      <c r="H491" s="31">
        <f>CHAIN_RAW!Q489</f>
        <v/>
      </c>
      <c r="I491" s="31">
        <f>LET(pc,F491,oc,H491,IF(OR(pc="",oc=""),"",IF(AND(pc&gt;0,oc&gt;0),"Long Buildup",IF(AND(pc&lt;0,oc&gt;0),"Short Buildup",IF(AND(pc&gt;0,oc&lt;0),"Short Covering",IF(AND(pc&lt;0,oc&lt;0),"Long Unwinding","Flat"))))))</f>
        <v/>
      </c>
      <c r="J491" s="31">
        <f>LET(pc,ABS(F491),oc,ABS(H491),IF(OR(pc="",oc=""),"",MAX(1,MIN(5,ROUND((pc*0.5+oc*0.00001)*5,0))))))</f>
        <v/>
      </c>
    </row>
    <row r="492">
      <c r="A492" s="31" t="n">
        <v>490</v>
      </c>
      <c r="B492" s="31">
        <f>CHAIN_RAW!D490</f>
        <v/>
      </c>
      <c r="C492" s="31">
        <f>CHAIN_RAW!A490</f>
        <v/>
      </c>
      <c r="D492" s="31">
        <f>CHAIN_RAW!C490</f>
        <v/>
      </c>
      <c r="E492" s="31">
        <f>CHAIN_RAW!E490</f>
        <v/>
      </c>
      <c r="F492" s="31">
        <f>CHAIN_RAW!F490</f>
        <v/>
      </c>
      <c r="G492" s="31">
        <f>CHAIN_RAW!I490</f>
        <v/>
      </c>
      <c r="H492" s="31">
        <f>CHAIN_RAW!Q490</f>
        <v/>
      </c>
      <c r="I492" s="31">
        <f>LET(pc,F492,oc,H492,IF(OR(pc="",oc=""),"",IF(AND(pc&gt;0,oc&gt;0),"Long Buildup",IF(AND(pc&lt;0,oc&gt;0),"Short Buildup",IF(AND(pc&gt;0,oc&lt;0),"Short Covering",IF(AND(pc&lt;0,oc&lt;0),"Long Unwinding","Flat"))))))</f>
        <v/>
      </c>
      <c r="J492" s="31">
        <f>LET(pc,ABS(F492),oc,ABS(H492),IF(OR(pc="",oc=""),"",MAX(1,MIN(5,ROUND((pc*0.5+oc*0.00001)*5,0))))))</f>
        <v/>
      </c>
    </row>
    <row r="493">
      <c r="A493" s="31" t="n">
        <v>491</v>
      </c>
      <c r="B493" s="31">
        <f>CHAIN_RAW!D491</f>
        <v/>
      </c>
      <c r="C493" s="31">
        <f>CHAIN_RAW!A491</f>
        <v/>
      </c>
      <c r="D493" s="31">
        <f>CHAIN_RAW!C491</f>
        <v/>
      </c>
      <c r="E493" s="31">
        <f>CHAIN_RAW!E491</f>
        <v/>
      </c>
      <c r="F493" s="31">
        <f>CHAIN_RAW!F491</f>
        <v/>
      </c>
      <c r="G493" s="31">
        <f>CHAIN_RAW!I491</f>
        <v/>
      </c>
      <c r="H493" s="31">
        <f>CHAIN_RAW!Q491</f>
        <v/>
      </c>
      <c r="I493" s="31">
        <f>LET(pc,F493,oc,H493,IF(OR(pc="",oc=""),"",IF(AND(pc&gt;0,oc&gt;0),"Long Buildup",IF(AND(pc&lt;0,oc&gt;0),"Short Buildup",IF(AND(pc&gt;0,oc&lt;0),"Short Covering",IF(AND(pc&lt;0,oc&lt;0),"Long Unwinding","Flat"))))))</f>
        <v/>
      </c>
      <c r="J493" s="31">
        <f>LET(pc,ABS(F493),oc,ABS(H493),IF(OR(pc="",oc=""),"",MAX(1,MIN(5,ROUND((pc*0.5+oc*0.00001)*5,0))))))</f>
        <v/>
      </c>
    </row>
    <row r="494">
      <c r="A494" s="31" t="n">
        <v>492</v>
      </c>
      <c r="B494" s="31">
        <f>CHAIN_RAW!D492</f>
        <v/>
      </c>
      <c r="C494" s="31">
        <f>CHAIN_RAW!A492</f>
        <v/>
      </c>
      <c r="D494" s="31">
        <f>CHAIN_RAW!C492</f>
        <v/>
      </c>
      <c r="E494" s="31">
        <f>CHAIN_RAW!E492</f>
        <v/>
      </c>
      <c r="F494" s="31">
        <f>CHAIN_RAW!F492</f>
        <v/>
      </c>
      <c r="G494" s="31">
        <f>CHAIN_RAW!I492</f>
        <v/>
      </c>
      <c r="H494" s="31">
        <f>CHAIN_RAW!Q492</f>
        <v/>
      </c>
      <c r="I494" s="31">
        <f>LET(pc,F494,oc,H494,IF(OR(pc="",oc=""),"",IF(AND(pc&gt;0,oc&gt;0),"Long Buildup",IF(AND(pc&lt;0,oc&gt;0),"Short Buildup",IF(AND(pc&gt;0,oc&lt;0),"Short Covering",IF(AND(pc&lt;0,oc&lt;0),"Long Unwinding","Flat"))))))</f>
        <v/>
      </c>
      <c r="J494" s="31">
        <f>LET(pc,ABS(F494),oc,ABS(H494),IF(OR(pc="",oc=""),"",MAX(1,MIN(5,ROUND((pc*0.5+oc*0.00001)*5,0))))))</f>
        <v/>
      </c>
    </row>
    <row r="495">
      <c r="A495" s="31" t="n">
        <v>493</v>
      </c>
      <c r="B495" s="31">
        <f>CHAIN_RAW!D493</f>
        <v/>
      </c>
      <c r="C495" s="31">
        <f>CHAIN_RAW!A493</f>
        <v/>
      </c>
      <c r="D495" s="31">
        <f>CHAIN_RAW!C493</f>
        <v/>
      </c>
      <c r="E495" s="31">
        <f>CHAIN_RAW!E493</f>
        <v/>
      </c>
      <c r="F495" s="31">
        <f>CHAIN_RAW!F493</f>
        <v/>
      </c>
      <c r="G495" s="31">
        <f>CHAIN_RAW!I493</f>
        <v/>
      </c>
      <c r="H495" s="31">
        <f>CHAIN_RAW!Q493</f>
        <v/>
      </c>
      <c r="I495" s="31">
        <f>LET(pc,F495,oc,H495,IF(OR(pc="",oc=""),"",IF(AND(pc&gt;0,oc&gt;0),"Long Buildup",IF(AND(pc&lt;0,oc&gt;0),"Short Buildup",IF(AND(pc&gt;0,oc&lt;0),"Short Covering",IF(AND(pc&lt;0,oc&lt;0),"Long Unwinding","Flat"))))))</f>
        <v/>
      </c>
      <c r="J495" s="31">
        <f>LET(pc,ABS(F495),oc,ABS(H495),IF(OR(pc="",oc=""),"",MAX(1,MIN(5,ROUND((pc*0.5+oc*0.00001)*5,0))))))</f>
        <v/>
      </c>
    </row>
    <row r="496">
      <c r="A496" s="31" t="n">
        <v>494</v>
      </c>
      <c r="B496" s="31">
        <f>CHAIN_RAW!D494</f>
        <v/>
      </c>
      <c r="C496" s="31">
        <f>CHAIN_RAW!A494</f>
        <v/>
      </c>
      <c r="D496" s="31">
        <f>CHAIN_RAW!C494</f>
        <v/>
      </c>
      <c r="E496" s="31">
        <f>CHAIN_RAW!E494</f>
        <v/>
      </c>
      <c r="F496" s="31">
        <f>CHAIN_RAW!F494</f>
        <v/>
      </c>
      <c r="G496" s="31">
        <f>CHAIN_RAW!I494</f>
        <v/>
      </c>
      <c r="H496" s="31">
        <f>CHAIN_RAW!Q494</f>
        <v/>
      </c>
      <c r="I496" s="31">
        <f>LET(pc,F496,oc,H496,IF(OR(pc="",oc=""),"",IF(AND(pc&gt;0,oc&gt;0),"Long Buildup",IF(AND(pc&lt;0,oc&gt;0),"Short Buildup",IF(AND(pc&gt;0,oc&lt;0),"Short Covering",IF(AND(pc&lt;0,oc&lt;0),"Long Unwinding","Flat"))))))</f>
        <v/>
      </c>
      <c r="J496" s="31">
        <f>LET(pc,ABS(F496),oc,ABS(H496),IF(OR(pc="",oc=""),"",MAX(1,MIN(5,ROUND((pc*0.5+oc*0.00001)*5,0))))))</f>
        <v/>
      </c>
    </row>
    <row r="497">
      <c r="A497" s="31" t="n">
        <v>495</v>
      </c>
      <c r="B497" s="31">
        <f>CHAIN_RAW!D495</f>
        <v/>
      </c>
      <c r="C497" s="31">
        <f>CHAIN_RAW!A495</f>
        <v/>
      </c>
      <c r="D497" s="31">
        <f>CHAIN_RAW!C495</f>
        <v/>
      </c>
      <c r="E497" s="31">
        <f>CHAIN_RAW!E495</f>
        <v/>
      </c>
      <c r="F497" s="31">
        <f>CHAIN_RAW!F495</f>
        <v/>
      </c>
      <c r="G497" s="31">
        <f>CHAIN_RAW!I495</f>
        <v/>
      </c>
      <c r="H497" s="31">
        <f>CHAIN_RAW!Q495</f>
        <v/>
      </c>
      <c r="I497" s="31">
        <f>LET(pc,F497,oc,H497,IF(OR(pc="",oc=""),"",IF(AND(pc&gt;0,oc&gt;0),"Long Buildup",IF(AND(pc&lt;0,oc&gt;0),"Short Buildup",IF(AND(pc&gt;0,oc&lt;0),"Short Covering",IF(AND(pc&lt;0,oc&lt;0),"Long Unwinding","Flat"))))))</f>
        <v/>
      </c>
      <c r="J497" s="31">
        <f>LET(pc,ABS(F497),oc,ABS(H497),IF(OR(pc="",oc=""),"",MAX(1,MIN(5,ROUND((pc*0.5+oc*0.00001)*5,0))))))</f>
        <v/>
      </c>
    </row>
    <row r="498">
      <c r="A498" s="31" t="n">
        <v>496</v>
      </c>
      <c r="B498" s="31">
        <f>CHAIN_RAW!D496</f>
        <v/>
      </c>
      <c r="C498" s="31">
        <f>CHAIN_RAW!A496</f>
        <v/>
      </c>
      <c r="D498" s="31">
        <f>CHAIN_RAW!C496</f>
        <v/>
      </c>
      <c r="E498" s="31">
        <f>CHAIN_RAW!E496</f>
        <v/>
      </c>
      <c r="F498" s="31">
        <f>CHAIN_RAW!F496</f>
        <v/>
      </c>
      <c r="G498" s="31">
        <f>CHAIN_RAW!I496</f>
        <v/>
      </c>
      <c r="H498" s="31">
        <f>CHAIN_RAW!Q496</f>
        <v/>
      </c>
      <c r="I498" s="31">
        <f>LET(pc,F498,oc,H498,IF(OR(pc="",oc=""),"",IF(AND(pc&gt;0,oc&gt;0),"Long Buildup",IF(AND(pc&lt;0,oc&gt;0),"Short Buildup",IF(AND(pc&gt;0,oc&lt;0),"Short Covering",IF(AND(pc&lt;0,oc&lt;0),"Long Unwinding","Flat"))))))</f>
        <v/>
      </c>
      <c r="J498" s="31">
        <f>LET(pc,ABS(F498),oc,ABS(H498),IF(OR(pc="",oc=""),"",MAX(1,MIN(5,ROUND((pc*0.5+oc*0.00001)*5,0))))))</f>
        <v/>
      </c>
    </row>
    <row r="499">
      <c r="A499" s="31" t="n">
        <v>497</v>
      </c>
      <c r="B499" s="31">
        <f>CHAIN_RAW!D497</f>
        <v/>
      </c>
      <c r="C499" s="31">
        <f>CHAIN_RAW!A497</f>
        <v/>
      </c>
      <c r="D499" s="31">
        <f>CHAIN_RAW!C497</f>
        <v/>
      </c>
      <c r="E499" s="31">
        <f>CHAIN_RAW!E497</f>
        <v/>
      </c>
      <c r="F499" s="31">
        <f>CHAIN_RAW!F497</f>
        <v/>
      </c>
      <c r="G499" s="31">
        <f>CHAIN_RAW!I497</f>
        <v/>
      </c>
      <c r="H499" s="31">
        <f>CHAIN_RAW!Q497</f>
        <v/>
      </c>
      <c r="I499" s="31">
        <f>LET(pc,F499,oc,H499,IF(OR(pc="",oc=""),"",IF(AND(pc&gt;0,oc&gt;0),"Long Buildup",IF(AND(pc&lt;0,oc&gt;0),"Short Buildup",IF(AND(pc&gt;0,oc&lt;0),"Short Covering",IF(AND(pc&lt;0,oc&lt;0),"Long Unwinding","Flat"))))))</f>
        <v/>
      </c>
      <c r="J499" s="31">
        <f>LET(pc,ABS(F499),oc,ABS(H499),IF(OR(pc="",oc=""),"",MAX(1,MIN(5,ROUND((pc*0.5+oc*0.00001)*5,0))))))</f>
        <v/>
      </c>
    </row>
    <row r="500">
      <c r="A500" s="31" t="n">
        <v>498</v>
      </c>
      <c r="B500" s="31">
        <f>CHAIN_RAW!D498</f>
        <v/>
      </c>
      <c r="C500" s="31">
        <f>CHAIN_RAW!A498</f>
        <v/>
      </c>
      <c r="D500" s="31">
        <f>CHAIN_RAW!C498</f>
        <v/>
      </c>
      <c r="E500" s="31">
        <f>CHAIN_RAW!E498</f>
        <v/>
      </c>
      <c r="F500" s="31">
        <f>CHAIN_RAW!F498</f>
        <v/>
      </c>
      <c r="G500" s="31">
        <f>CHAIN_RAW!I498</f>
        <v/>
      </c>
      <c r="H500" s="31">
        <f>CHAIN_RAW!Q498</f>
        <v/>
      </c>
      <c r="I500" s="31">
        <f>LET(pc,F500,oc,H500,IF(OR(pc="",oc=""),"",IF(AND(pc&gt;0,oc&gt;0),"Long Buildup",IF(AND(pc&lt;0,oc&gt;0),"Short Buildup",IF(AND(pc&gt;0,oc&lt;0),"Short Covering",IF(AND(pc&lt;0,oc&lt;0),"Long Unwinding","Flat"))))))</f>
        <v/>
      </c>
      <c r="J500" s="31">
        <f>LET(pc,ABS(F500),oc,ABS(H500),IF(OR(pc="",oc=""),"",MAX(1,MIN(5,ROUND((pc*0.5+oc*0.00001)*5,0))))))</f>
        <v/>
      </c>
    </row>
    <row r="501">
      <c r="A501" s="31" t="n">
        <v>499</v>
      </c>
      <c r="B501" s="31">
        <f>CHAIN_RAW!D499</f>
        <v/>
      </c>
      <c r="C501" s="31">
        <f>CHAIN_RAW!A499</f>
        <v/>
      </c>
      <c r="D501" s="31">
        <f>CHAIN_RAW!C499</f>
        <v/>
      </c>
      <c r="E501" s="31">
        <f>CHAIN_RAW!E499</f>
        <v/>
      </c>
      <c r="F501" s="31">
        <f>CHAIN_RAW!F499</f>
        <v/>
      </c>
      <c r="G501" s="31">
        <f>CHAIN_RAW!I499</f>
        <v/>
      </c>
      <c r="H501" s="31">
        <f>CHAIN_RAW!Q499</f>
        <v/>
      </c>
      <c r="I501" s="31">
        <f>LET(pc,F501,oc,H501,IF(OR(pc="",oc=""),"",IF(AND(pc&gt;0,oc&gt;0),"Long Buildup",IF(AND(pc&lt;0,oc&gt;0),"Short Buildup",IF(AND(pc&gt;0,oc&lt;0),"Short Covering",IF(AND(pc&lt;0,oc&lt;0),"Long Unwinding","Flat"))))))</f>
        <v/>
      </c>
      <c r="J501" s="31">
        <f>LET(pc,ABS(F501),oc,ABS(H501),IF(OR(pc="",oc=""),"",MAX(1,MIN(5,ROUND((pc*0.5+oc*0.00001)*5,0))))))</f>
        <v/>
      </c>
    </row>
    <row r="502">
      <c r="A502" s="31" t="n">
        <v>500</v>
      </c>
      <c r="B502" s="31">
        <f>CHAIN_RAW!D500</f>
        <v/>
      </c>
      <c r="C502" s="31">
        <f>CHAIN_RAW!A500</f>
        <v/>
      </c>
      <c r="D502" s="31">
        <f>CHAIN_RAW!C500</f>
        <v/>
      </c>
      <c r="E502" s="31">
        <f>CHAIN_RAW!E500</f>
        <v/>
      </c>
      <c r="F502" s="31">
        <f>CHAIN_RAW!F500</f>
        <v/>
      </c>
      <c r="G502" s="31">
        <f>CHAIN_RAW!I500</f>
        <v/>
      </c>
      <c r="H502" s="31">
        <f>CHAIN_RAW!Q500</f>
        <v/>
      </c>
      <c r="I502" s="31">
        <f>LET(pc,F502,oc,H502,IF(OR(pc="",oc=""),"",IF(AND(pc&gt;0,oc&gt;0),"Long Buildup",IF(AND(pc&lt;0,oc&gt;0),"Short Buildup",IF(AND(pc&gt;0,oc&lt;0),"Short Covering",IF(AND(pc&lt;0,oc&lt;0),"Long Unwinding","Flat"))))))</f>
        <v/>
      </c>
      <c r="J502" s="31">
        <f>LET(pc,ABS(F502),oc,ABS(H502),IF(OR(pc="",oc=""),"",MAX(1,MIN(5,ROUND((pc*0.5+oc*0.00001)*5,0))))))</f>
        <v/>
      </c>
    </row>
    <row r="503">
      <c r="A503" s="31" t="n">
        <v>501</v>
      </c>
      <c r="B503" s="31">
        <f>CHAIN_RAW!D501</f>
        <v/>
      </c>
      <c r="C503" s="31">
        <f>CHAIN_RAW!A501</f>
        <v/>
      </c>
      <c r="D503" s="31">
        <f>CHAIN_RAW!C501</f>
        <v/>
      </c>
      <c r="E503" s="31">
        <f>CHAIN_RAW!E501</f>
        <v/>
      </c>
      <c r="F503" s="31">
        <f>CHAIN_RAW!F501</f>
        <v/>
      </c>
      <c r="G503" s="31">
        <f>CHAIN_RAW!I501</f>
        <v/>
      </c>
      <c r="H503" s="31">
        <f>CHAIN_RAW!Q501</f>
        <v/>
      </c>
      <c r="I503" s="31">
        <f>LET(pc,F503,oc,H503,IF(OR(pc="",oc=""),"",IF(AND(pc&gt;0,oc&gt;0),"Long Buildup",IF(AND(pc&lt;0,oc&gt;0),"Short Buildup",IF(AND(pc&gt;0,oc&lt;0),"Short Covering",IF(AND(pc&lt;0,oc&lt;0),"Long Unwinding","Flat"))))))</f>
        <v/>
      </c>
      <c r="J503" s="31">
        <f>LET(pc,ABS(F503),oc,ABS(H503),IF(OR(pc="",oc=""),"",MAX(1,MIN(5,ROUND((pc*0.5+oc*0.00001)*5,0))))))</f>
        <v/>
      </c>
    </row>
    <row r="504">
      <c r="A504" s="31" t="n">
        <v>502</v>
      </c>
      <c r="B504" s="31">
        <f>CHAIN_RAW!D502</f>
        <v/>
      </c>
      <c r="C504" s="31">
        <f>CHAIN_RAW!A502</f>
        <v/>
      </c>
      <c r="D504" s="31">
        <f>CHAIN_RAW!C502</f>
        <v/>
      </c>
      <c r="E504" s="31">
        <f>CHAIN_RAW!E502</f>
        <v/>
      </c>
      <c r="F504" s="31">
        <f>CHAIN_RAW!F502</f>
        <v/>
      </c>
      <c r="G504" s="31">
        <f>CHAIN_RAW!I502</f>
        <v/>
      </c>
      <c r="H504" s="31">
        <f>CHAIN_RAW!Q502</f>
        <v/>
      </c>
      <c r="I504" s="31">
        <f>LET(pc,F504,oc,H504,IF(OR(pc="",oc=""),"",IF(AND(pc&gt;0,oc&gt;0),"Long Buildup",IF(AND(pc&lt;0,oc&gt;0),"Short Buildup",IF(AND(pc&gt;0,oc&lt;0),"Short Covering",IF(AND(pc&lt;0,oc&lt;0),"Long Unwinding","Flat"))))))</f>
        <v/>
      </c>
      <c r="J504" s="31">
        <f>LET(pc,ABS(F504),oc,ABS(H504),IF(OR(pc="",oc=""),"",MAX(1,MIN(5,ROUND((pc*0.5+oc*0.00001)*5,0))))))</f>
        <v/>
      </c>
    </row>
    <row r="505">
      <c r="A505" s="31" t="n">
        <v>503</v>
      </c>
      <c r="B505" s="31">
        <f>CHAIN_RAW!D503</f>
        <v/>
      </c>
      <c r="C505" s="31">
        <f>CHAIN_RAW!A503</f>
        <v/>
      </c>
      <c r="D505" s="31">
        <f>CHAIN_RAW!C503</f>
        <v/>
      </c>
      <c r="E505" s="31">
        <f>CHAIN_RAW!E503</f>
        <v/>
      </c>
      <c r="F505" s="31">
        <f>CHAIN_RAW!F503</f>
        <v/>
      </c>
      <c r="G505" s="31">
        <f>CHAIN_RAW!I503</f>
        <v/>
      </c>
      <c r="H505" s="31">
        <f>CHAIN_RAW!Q503</f>
        <v/>
      </c>
      <c r="I505" s="31">
        <f>LET(pc,F505,oc,H505,IF(OR(pc="",oc=""),"",IF(AND(pc&gt;0,oc&gt;0),"Long Buildup",IF(AND(pc&lt;0,oc&gt;0),"Short Buildup",IF(AND(pc&gt;0,oc&lt;0),"Short Covering",IF(AND(pc&lt;0,oc&lt;0),"Long Unwinding","Flat"))))))</f>
        <v/>
      </c>
      <c r="J505" s="31">
        <f>LET(pc,ABS(F505),oc,ABS(H505),IF(OR(pc="",oc=""),"",MAX(1,MIN(5,ROUND((pc*0.5+oc*0.00001)*5,0))))))</f>
        <v/>
      </c>
    </row>
    <row r="506">
      <c r="A506" s="31" t="n">
        <v>504</v>
      </c>
      <c r="B506" s="31">
        <f>CHAIN_RAW!D504</f>
        <v/>
      </c>
      <c r="C506" s="31">
        <f>CHAIN_RAW!A504</f>
        <v/>
      </c>
      <c r="D506" s="31">
        <f>CHAIN_RAW!C504</f>
        <v/>
      </c>
      <c r="E506" s="31">
        <f>CHAIN_RAW!E504</f>
        <v/>
      </c>
      <c r="F506" s="31">
        <f>CHAIN_RAW!F504</f>
        <v/>
      </c>
      <c r="G506" s="31">
        <f>CHAIN_RAW!I504</f>
        <v/>
      </c>
      <c r="H506" s="31">
        <f>CHAIN_RAW!Q504</f>
        <v/>
      </c>
      <c r="I506" s="31">
        <f>LET(pc,F506,oc,H506,IF(OR(pc="",oc=""),"",IF(AND(pc&gt;0,oc&gt;0),"Long Buildup",IF(AND(pc&lt;0,oc&gt;0),"Short Buildup",IF(AND(pc&gt;0,oc&lt;0),"Short Covering",IF(AND(pc&lt;0,oc&lt;0),"Long Unwinding","Flat"))))))</f>
        <v/>
      </c>
      <c r="J506" s="31">
        <f>LET(pc,ABS(F506),oc,ABS(H506),IF(OR(pc="",oc=""),"",MAX(1,MIN(5,ROUND((pc*0.5+oc*0.00001)*5,0))))))</f>
        <v/>
      </c>
    </row>
    <row r="507">
      <c r="A507" s="31" t="n">
        <v>505</v>
      </c>
      <c r="B507" s="31">
        <f>CHAIN_RAW!D505</f>
        <v/>
      </c>
      <c r="C507" s="31">
        <f>CHAIN_RAW!A505</f>
        <v/>
      </c>
      <c r="D507" s="31">
        <f>CHAIN_RAW!C505</f>
        <v/>
      </c>
      <c r="E507" s="31">
        <f>CHAIN_RAW!E505</f>
        <v/>
      </c>
      <c r="F507" s="31">
        <f>CHAIN_RAW!F505</f>
        <v/>
      </c>
      <c r="G507" s="31">
        <f>CHAIN_RAW!I505</f>
        <v/>
      </c>
      <c r="H507" s="31">
        <f>CHAIN_RAW!Q505</f>
        <v/>
      </c>
      <c r="I507" s="31">
        <f>LET(pc,F507,oc,H507,IF(OR(pc="",oc=""),"",IF(AND(pc&gt;0,oc&gt;0),"Long Buildup",IF(AND(pc&lt;0,oc&gt;0),"Short Buildup",IF(AND(pc&gt;0,oc&lt;0),"Short Covering",IF(AND(pc&lt;0,oc&lt;0),"Long Unwinding","Flat"))))))</f>
        <v/>
      </c>
      <c r="J507" s="31">
        <f>LET(pc,ABS(F507),oc,ABS(H507),IF(OR(pc="",oc=""),"",MAX(1,MIN(5,ROUND((pc*0.5+oc*0.00001)*5,0))))))</f>
        <v/>
      </c>
    </row>
    <row r="508">
      <c r="A508" s="31" t="n">
        <v>506</v>
      </c>
      <c r="B508" s="31">
        <f>CHAIN_RAW!D506</f>
        <v/>
      </c>
      <c r="C508" s="31">
        <f>CHAIN_RAW!A506</f>
        <v/>
      </c>
      <c r="D508" s="31">
        <f>CHAIN_RAW!C506</f>
        <v/>
      </c>
      <c r="E508" s="31">
        <f>CHAIN_RAW!E506</f>
        <v/>
      </c>
      <c r="F508" s="31">
        <f>CHAIN_RAW!F506</f>
        <v/>
      </c>
      <c r="G508" s="31">
        <f>CHAIN_RAW!I506</f>
        <v/>
      </c>
      <c r="H508" s="31">
        <f>CHAIN_RAW!Q506</f>
        <v/>
      </c>
      <c r="I508" s="31">
        <f>LET(pc,F508,oc,H508,IF(OR(pc="",oc=""),"",IF(AND(pc&gt;0,oc&gt;0),"Long Buildup",IF(AND(pc&lt;0,oc&gt;0),"Short Buildup",IF(AND(pc&gt;0,oc&lt;0),"Short Covering",IF(AND(pc&lt;0,oc&lt;0),"Long Unwinding","Flat"))))))</f>
        <v/>
      </c>
      <c r="J508" s="31">
        <f>LET(pc,ABS(F508),oc,ABS(H508),IF(OR(pc="",oc=""),"",MAX(1,MIN(5,ROUND((pc*0.5+oc*0.00001)*5,0))))))</f>
        <v/>
      </c>
    </row>
    <row r="509">
      <c r="A509" s="31" t="n">
        <v>507</v>
      </c>
      <c r="B509" s="31">
        <f>CHAIN_RAW!D507</f>
        <v/>
      </c>
      <c r="C509" s="31">
        <f>CHAIN_RAW!A507</f>
        <v/>
      </c>
      <c r="D509" s="31">
        <f>CHAIN_RAW!C507</f>
        <v/>
      </c>
      <c r="E509" s="31">
        <f>CHAIN_RAW!E507</f>
        <v/>
      </c>
      <c r="F509" s="31">
        <f>CHAIN_RAW!F507</f>
        <v/>
      </c>
      <c r="G509" s="31">
        <f>CHAIN_RAW!I507</f>
        <v/>
      </c>
      <c r="H509" s="31">
        <f>CHAIN_RAW!Q507</f>
        <v/>
      </c>
      <c r="I509" s="31">
        <f>LET(pc,F509,oc,H509,IF(OR(pc="",oc=""),"",IF(AND(pc&gt;0,oc&gt;0),"Long Buildup",IF(AND(pc&lt;0,oc&gt;0),"Short Buildup",IF(AND(pc&gt;0,oc&lt;0),"Short Covering",IF(AND(pc&lt;0,oc&lt;0),"Long Unwinding","Flat"))))))</f>
        <v/>
      </c>
      <c r="J509" s="31">
        <f>LET(pc,ABS(F509),oc,ABS(H509),IF(OR(pc="",oc=""),"",MAX(1,MIN(5,ROUND((pc*0.5+oc*0.00001)*5,0))))))</f>
        <v/>
      </c>
    </row>
    <row r="510">
      <c r="A510" s="31" t="n">
        <v>508</v>
      </c>
      <c r="B510" s="31">
        <f>CHAIN_RAW!D508</f>
        <v/>
      </c>
      <c r="C510" s="31">
        <f>CHAIN_RAW!A508</f>
        <v/>
      </c>
      <c r="D510" s="31">
        <f>CHAIN_RAW!C508</f>
        <v/>
      </c>
      <c r="E510" s="31">
        <f>CHAIN_RAW!E508</f>
        <v/>
      </c>
      <c r="F510" s="31">
        <f>CHAIN_RAW!F508</f>
        <v/>
      </c>
      <c r="G510" s="31">
        <f>CHAIN_RAW!I508</f>
        <v/>
      </c>
      <c r="H510" s="31">
        <f>CHAIN_RAW!Q508</f>
        <v/>
      </c>
      <c r="I510" s="31">
        <f>LET(pc,F510,oc,H510,IF(OR(pc="",oc=""),"",IF(AND(pc&gt;0,oc&gt;0),"Long Buildup",IF(AND(pc&lt;0,oc&gt;0),"Short Buildup",IF(AND(pc&gt;0,oc&lt;0),"Short Covering",IF(AND(pc&lt;0,oc&lt;0),"Long Unwinding","Flat"))))))</f>
        <v/>
      </c>
      <c r="J510" s="31">
        <f>LET(pc,ABS(F510),oc,ABS(H510),IF(OR(pc="",oc=""),"",MAX(1,MIN(5,ROUND((pc*0.5+oc*0.00001)*5,0))))))</f>
        <v/>
      </c>
    </row>
    <row r="511">
      <c r="A511" s="31" t="n">
        <v>509</v>
      </c>
      <c r="B511" s="31">
        <f>CHAIN_RAW!D509</f>
        <v/>
      </c>
      <c r="C511" s="31">
        <f>CHAIN_RAW!A509</f>
        <v/>
      </c>
      <c r="D511" s="31">
        <f>CHAIN_RAW!C509</f>
        <v/>
      </c>
      <c r="E511" s="31">
        <f>CHAIN_RAW!E509</f>
        <v/>
      </c>
      <c r="F511" s="31">
        <f>CHAIN_RAW!F509</f>
        <v/>
      </c>
      <c r="G511" s="31">
        <f>CHAIN_RAW!I509</f>
        <v/>
      </c>
      <c r="H511" s="31">
        <f>CHAIN_RAW!Q509</f>
        <v/>
      </c>
      <c r="I511" s="31">
        <f>LET(pc,F511,oc,H511,IF(OR(pc="",oc=""),"",IF(AND(pc&gt;0,oc&gt;0),"Long Buildup",IF(AND(pc&lt;0,oc&gt;0),"Short Buildup",IF(AND(pc&gt;0,oc&lt;0),"Short Covering",IF(AND(pc&lt;0,oc&lt;0),"Long Unwinding","Flat"))))))</f>
        <v/>
      </c>
      <c r="J511" s="31">
        <f>LET(pc,ABS(F511),oc,ABS(H511),IF(OR(pc="",oc=""),"",MAX(1,MIN(5,ROUND((pc*0.5+oc*0.00001)*5,0))))))</f>
        <v/>
      </c>
    </row>
    <row r="512">
      <c r="A512" s="31" t="n">
        <v>510</v>
      </c>
      <c r="B512" s="31">
        <f>CHAIN_RAW!D510</f>
        <v/>
      </c>
      <c r="C512" s="31">
        <f>CHAIN_RAW!A510</f>
        <v/>
      </c>
      <c r="D512" s="31">
        <f>CHAIN_RAW!C510</f>
        <v/>
      </c>
      <c r="E512" s="31">
        <f>CHAIN_RAW!E510</f>
        <v/>
      </c>
      <c r="F512" s="31">
        <f>CHAIN_RAW!F510</f>
        <v/>
      </c>
      <c r="G512" s="31">
        <f>CHAIN_RAW!I510</f>
        <v/>
      </c>
      <c r="H512" s="31">
        <f>CHAIN_RAW!Q510</f>
        <v/>
      </c>
      <c r="I512" s="31">
        <f>LET(pc,F512,oc,H512,IF(OR(pc="",oc=""),"",IF(AND(pc&gt;0,oc&gt;0),"Long Buildup",IF(AND(pc&lt;0,oc&gt;0),"Short Buildup",IF(AND(pc&gt;0,oc&lt;0),"Short Covering",IF(AND(pc&lt;0,oc&lt;0),"Long Unwinding","Flat"))))))</f>
        <v/>
      </c>
      <c r="J512" s="31">
        <f>LET(pc,ABS(F512),oc,ABS(H512),IF(OR(pc="",oc=""),"",MAX(1,MIN(5,ROUND((pc*0.5+oc*0.00001)*5,0))))))</f>
        <v/>
      </c>
    </row>
    <row r="513">
      <c r="A513" s="31" t="n">
        <v>511</v>
      </c>
      <c r="B513" s="31">
        <f>CHAIN_RAW!D511</f>
        <v/>
      </c>
      <c r="C513" s="31">
        <f>CHAIN_RAW!A511</f>
        <v/>
      </c>
      <c r="D513" s="31">
        <f>CHAIN_RAW!C511</f>
        <v/>
      </c>
      <c r="E513" s="31">
        <f>CHAIN_RAW!E511</f>
        <v/>
      </c>
      <c r="F513" s="31">
        <f>CHAIN_RAW!F511</f>
        <v/>
      </c>
      <c r="G513" s="31">
        <f>CHAIN_RAW!I511</f>
        <v/>
      </c>
      <c r="H513" s="31">
        <f>CHAIN_RAW!Q511</f>
        <v/>
      </c>
      <c r="I513" s="31">
        <f>LET(pc,F513,oc,H513,IF(OR(pc="",oc=""),"",IF(AND(pc&gt;0,oc&gt;0),"Long Buildup",IF(AND(pc&lt;0,oc&gt;0),"Short Buildup",IF(AND(pc&gt;0,oc&lt;0),"Short Covering",IF(AND(pc&lt;0,oc&lt;0),"Long Unwinding","Flat"))))))</f>
        <v/>
      </c>
      <c r="J513" s="31">
        <f>LET(pc,ABS(F513),oc,ABS(H513),IF(OR(pc="",oc=""),"",MAX(1,MIN(5,ROUND((pc*0.5+oc*0.00001)*5,0))))))</f>
        <v/>
      </c>
    </row>
    <row r="514">
      <c r="A514" s="31" t="n">
        <v>512</v>
      </c>
      <c r="B514" s="31">
        <f>CHAIN_RAW!D512</f>
        <v/>
      </c>
      <c r="C514" s="31">
        <f>CHAIN_RAW!A512</f>
        <v/>
      </c>
      <c r="D514" s="31">
        <f>CHAIN_RAW!C512</f>
        <v/>
      </c>
      <c r="E514" s="31">
        <f>CHAIN_RAW!E512</f>
        <v/>
      </c>
      <c r="F514" s="31">
        <f>CHAIN_RAW!F512</f>
        <v/>
      </c>
      <c r="G514" s="31">
        <f>CHAIN_RAW!I512</f>
        <v/>
      </c>
      <c r="H514" s="31">
        <f>CHAIN_RAW!Q512</f>
        <v/>
      </c>
      <c r="I514" s="31">
        <f>LET(pc,F514,oc,H514,IF(OR(pc="",oc=""),"",IF(AND(pc&gt;0,oc&gt;0),"Long Buildup",IF(AND(pc&lt;0,oc&gt;0),"Short Buildup",IF(AND(pc&gt;0,oc&lt;0),"Short Covering",IF(AND(pc&lt;0,oc&lt;0),"Long Unwinding","Flat"))))))</f>
        <v/>
      </c>
      <c r="J514" s="31">
        <f>LET(pc,ABS(F514),oc,ABS(H514),IF(OR(pc="",oc=""),"",MAX(1,MIN(5,ROUND((pc*0.5+oc*0.00001)*5,0))))))</f>
        <v/>
      </c>
    </row>
    <row r="515">
      <c r="A515" s="31" t="n">
        <v>513</v>
      </c>
      <c r="B515" s="31">
        <f>CHAIN_RAW!D513</f>
        <v/>
      </c>
      <c r="C515" s="31">
        <f>CHAIN_RAW!A513</f>
        <v/>
      </c>
      <c r="D515" s="31">
        <f>CHAIN_RAW!C513</f>
        <v/>
      </c>
      <c r="E515" s="31">
        <f>CHAIN_RAW!E513</f>
        <v/>
      </c>
      <c r="F515" s="31">
        <f>CHAIN_RAW!F513</f>
        <v/>
      </c>
      <c r="G515" s="31">
        <f>CHAIN_RAW!I513</f>
        <v/>
      </c>
      <c r="H515" s="31">
        <f>CHAIN_RAW!Q513</f>
        <v/>
      </c>
      <c r="I515" s="31">
        <f>LET(pc,F515,oc,H515,IF(OR(pc="",oc=""),"",IF(AND(pc&gt;0,oc&gt;0),"Long Buildup",IF(AND(pc&lt;0,oc&gt;0),"Short Buildup",IF(AND(pc&gt;0,oc&lt;0),"Short Covering",IF(AND(pc&lt;0,oc&lt;0),"Long Unwinding","Flat"))))))</f>
        <v/>
      </c>
      <c r="J515" s="31">
        <f>LET(pc,ABS(F515),oc,ABS(H515),IF(OR(pc="",oc=""),"",MAX(1,MIN(5,ROUND((pc*0.5+oc*0.00001)*5,0))))))</f>
        <v/>
      </c>
    </row>
    <row r="516">
      <c r="A516" s="31" t="n">
        <v>514</v>
      </c>
      <c r="B516" s="31">
        <f>CHAIN_RAW!D514</f>
        <v/>
      </c>
      <c r="C516" s="31">
        <f>CHAIN_RAW!A514</f>
        <v/>
      </c>
      <c r="D516" s="31">
        <f>CHAIN_RAW!C514</f>
        <v/>
      </c>
      <c r="E516" s="31">
        <f>CHAIN_RAW!E514</f>
        <v/>
      </c>
      <c r="F516" s="31">
        <f>CHAIN_RAW!F514</f>
        <v/>
      </c>
      <c r="G516" s="31">
        <f>CHAIN_RAW!I514</f>
        <v/>
      </c>
      <c r="H516" s="31">
        <f>CHAIN_RAW!Q514</f>
        <v/>
      </c>
      <c r="I516" s="31">
        <f>LET(pc,F516,oc,H516,IF(OR(pc="",oc=""),"",IF(AND(pc&gt;0,oc&gt;0),"Long Buildup",IF(AND(pc&lt;0,oc&gt;0),"Short Buildup",IF(AND(pc&gt;0,oc&lt;0),"Short Covering",IF(AND(pc&lt;0,oc&lt;0),"Long Unwinding","Flat"))))))</f>
        <v/>
      </c>
      <c r="J516" s="31">
        <f>LET(pc,ABS(F516),oc,ABS(H516),IF(OR(pc="",oc=""),"",MAX(1,MIN(5,ROUND((pc*0.5+oc*0.00001)*5,0))))))</f>
        <v/>
      </c>
    </row>
    <row r="517">
      <c r="A517" s="31" t="n">
        <v>515</v>
      </c>
      <c r="B517" s="31">
        <f>CHAIN_RAW!D515</f>
        <v/>
      </c>
      <c r="C517" s="31">
        <f>CHAIN_RAW!A515</f>
        <v/>
      </c>
      <c r="D517" s="31">
        <f>CHAIN_RAW!C515</f>
        <v/>
      </c>
      <c r="E517" s="31">
        <f>CHAIN_RAW!E515</f>
        <v/>
      </c>
      <c r="F517" s="31">
        <f>CHAIN_RAW!F515</f>
        <v/>
      </c>
      <c r="G517" s="31">
        <f>CHAIN_RAW!I515</f>
        <v/>
      </c>
      <c r="H517" s="31">
        <f>CHAIN_RAW!Q515</f>
        <v/>
      </c>
      <c r="I517" s="31">
        <f>LET(pc,F517,oc,H517,IF(OR(pc="",oc=""),"",IF(AND(pc&gt;0,oc&gt;0),"Long Buildup",IF(AND(pc&lt;0,oc&gt;0),"Short Buildup",IF(AND(pc&gt;0,oc&lt;0),"Short Covering",IF(AND(pc&lt;0,oc&lt;0),"Long Unwinding","Flat"))))))</f>
        <v/>
      </c>
      <c r="J517" s="31">
        <f>LET(pc,ABS(F517),oc,ABS(H517),IF(OR(pc="",oc=""),"",MAX(1,MIN(5,ROUND((pc*0.5+oc*0.00001)*5,0))))))</f>
        <v/>
      </c>
    </row>
    <row r="518">
      <c r="A518" s="31" t="n">
        <v>516</v>
      </c>
      <c r="B518" s="31">
        <f>CHAIN_RAW!D516</f>
        <v/>
      </c>
      <c r="C518" s="31">
        <f>CHAIN_RAW!A516</f>
        <v/>
      </c>
      <c r="D518" s="31">
        <f>CHAIN_RAW!C516</f>
        <v/>
      </c>
      <c r="E518" s="31">
        <f>CHAIN_RAW!E516</f>
        <v/>
      </c>
      <c r="F518" s="31">
        <f>CHAIN_RAW!F516</f>
        <v/>
      </c>
      <c r="G518" s="31">
        <f>CHAIN_RAW!I516</f>
        <v/>
      </c>
      <c r="H518" s="31">
        <f>CHAIN_RAW!Q516</f>
        <v/>
      </c>
      <c r="I518" s="31">
        <f>LET(pc,F518,oc,H518,IF(OR(pc="",oc=""),"",IF(AND(pc&gt;0,oc&gt;0),"Long Buildup",IF(AND(pc&lt;0,oc&gt;0),"Short Buildup",IF(AND(pc&gt;0,oc&lt;0),"Short Covering",IF(AND(pc&lt;0,oc&lt;0),"Long Unwinding","Flat"))))))</f>
        <v/>
      </c>
      <c r="J518" s="31">
        <f>LET(pc,ABS(F518),oc,ABS(H518),IF(OR(pc="",oc=""),"",MAX(1,MIN(5,ROUND((pc*0.5+oc*0.00001)*5,0))))))</f>
        <v/>
      </c>
    </row>
    <row r="519">
      <c r="A519" s="31" t="n">
        <v>517</v>
      </c>
      <c r="B519" s="31">
        <f>CHAIN_RAW!D517</f>
        <v/>
      </c>
      <c r="C519" s="31">
        <f>CHAIN_RAW!A517</f>
        <v/>
      </c>
      <c r="D519" s="31">
        <f>CHAIN_RAW!C517</f>
        <v/>
      </c>
      <c r="E519" s="31">
        <f>CHAIN_RAW!E517</f>
        <v/>
      </c>
      <c r="F519" s="31">
        <f>CHAIN_RAW!F517</f>
        <v/>
      </c>
      <c r="G519" s="31">
        <f>CHAIN_RAW!I517</f>
        <v/>
      </c>
      <c r="H519" s="31">
        <f>CHAIN_RAW!Q517</f>
        <v/>
      </c>
      <c r="I519" s="31">
        <f>LET(pc,F519,oc,H519,IF(OR(pc="",oc=""),"",IF(AND(pc&gt;0,oc&gt;0),"Long Buildup",IF(AND(pc&lt;0,oc&gt;0),"Short Buildup",IF(AND(pc&gt;0,oc&lt;0),"Short Covering",IF(AND(pc&lt;0,oc&lt;0),"Long Unwinding","Flat"))))))</f>
        <v/>
      </c>
      <c r="J519" s="31">
        <f>LET(pc,ABS(F519),oc,ABS(H519),IF(OR(pc="",oc=""),"",MAX(1,MIN(5,ROUND((pc*0.5+oc*0.00001)*5,0))))))</f>
        <v/>
      </c>
    </row>
    <row r="520">
      <c r="A520" s="31" t="n">
        <v>518</v>
      </c>
      <c r="B520" s="31">
        <f>CHAIN_RAW!D518</f>
        <v/>
      </c>
      <c r="C520" s="31">
        <f>CHAIN_RAW!A518</f>
        <v/>
      </c>
      <c r="D520" s="31">
        <f>CHAIN_RAW!C518</f>
        <v/>
      </c>
      <c r="E520" s="31">
        <f>CHAIN_RAW!E518</f>
        <v/>
      </c>
      <c r="F520" s="31">
        <f>CHAIN_RAW!F518</f>
        <v/>
      </c>
      <c r="G520" s="31">
        <f>CHAIN_RAW!I518</f>
        <v/>
      </c>
      <c r="H520" s="31">
        <f>CHAIN_RAW!Q518</f>
        <v/>
      </c>
      <c r="I520" s="31">
        <f>LET(pc,F520,oc,H520,IF(OR(pc="",oc=""),"",IF(AND(pc&gt;0,oc&gt;0),"Long Buildup",IF(AND(pc&lt;0,oc&gt;0),"Short Buildup",IF(AND(pc&gt;0,oc&lt;0),"Short Covering",IF(AND(pc&lt;0,oc&lt;0),"Long Unwinding","Flat"))))))</f>
        <v/>
      </c>
      <c r="J520" s="31">
        <f>LET(pc,ABS(F520),oc,ABS(H520),IF(OR(pc="",oc=""),"",MAX(1,MIN(5,ROUND((pc*0.5+oc*0.00001)*5,0))))))</f>
        <v/>
      </c>
    </row>
    <row r="521">
      <c r="A521" s="31" t="n">
        <v>519</v>
      </c>
      <c r="B521" s="31">
        <f>CHAIN_RAW!D519</f>
        <v/>
      </c>
      <c r="C521" s="31">
        <f>CHAIN_RAW!A519</f>
        <v/>
      </c>
      <c r="D521" s="31">
        <f>CHAIN_RAW!C519</f>
        <v/>
      </c>
      <c r="E521" s="31">
        <f>CHAIN_RAW!E519</f>
        <v/>
      </c>
      <c r="F521" s="31">
        <f>CHAIN_RAW!F519</f>
        <v/>
      </c>
      <c r="G521" s="31">
        <f>CHAIN_RAW!I519</f>
        <v/>
      </c>
      <c r="H521" s="31">
        <f>CHAIN_RAW!Q519</f>
        <v/>
      </c>
      <c r="I521" s="31">
        <f>LET(pc,F521,oc,H521,IF(OR(pc="",oc=""),"",IF(AND(pc&gt;0,oc&gt;0),"Long Buildup",IF(AND(pc&lt;0,oc&gt;0),"Short Buildup",IF(AND(pc&gt;0,oc&lt;0),"Short Covering",IF(AND(pc&lt;0,oc&lt;0),"Long Unwinding","Flat"))))))</f>
        <v/>
      </c>
      <c r="J521" s="31">
        <f>LET(pc,ABS(F521),oc,ABS(H521),IF(OR(pc="",oc=""),"",MAX(1,MIN(5,ROUND((pc*0.5+oc*0.00001)*5,0))))))</f>
        <v/>
      </c>
    </row>
    <row r="522">
      <c r="A522" s="31" t="n">
        <v>520</v>
      </c>
      <c r="B522" s="31">
        <f>CHAIN_RAW!D520</f>
        <v/>
      </c>
      <c r="C522" s="31">
        <f>CHAIN_RAW!A520</f>
        <v/>
      </c>
      <c r="D522" s="31">
        <f>CHAIN_RAW!C520</f>
        <v/>
      </c>
      <c r="E522" s="31">
        <f>CHAIN_RAW!E520</f>
        <v/>
      </c>
      <c r="F522" s="31">
        <f>CHAIN_RAW!F520</f>
        <v/>
      </c>
      <c r="G522" s="31">
        <f>CHAIN_RAW!I520</f>
        <v/>
      </c>
      <c r="H522" s="31">
        <f>CHAIN_RAW!Q520</f>
        <v/>
      </c>
      <c r="I522" s="31">
        <f>LET(pc,F522,oc,H522,IF(OR(pc="",oc=""),"",IF(AND(pc&gt;0,oc&gt;0),"Long Buildup",IF(AND(pc&lt;0,oc&gt;0),"Short Buildup",IF(AND(pc&gt;0,oc&lt;0),"Short Covering",IF(AND(pc&lt;0,oc&lt;0),"Long Unwinding","Flat"))))))</f>
        <v/>
      </c>
      <c r="J522" s="31">
        <f>LET(pc,ABS(F522),oc,ABS(H522),IF(OR(pc="",oc=""),"",MAX(1,MIN(5,ROUND((pc*0.5+oc*0.00001)*5,0))))))</f>
        <v/>
      </c>
    </row>
    <row r="523">
      <c r="A523" s="31" t="n">
        <v>521</v>
      </c>
      <c r="B523" s="31">
        <f>CHAIN_RAW!D521</f>
        <v/>
      </c>
      <c r="C523" s="31">
        <f>CHAIN_RAW!A521</f>
        <v/>
      </c>
      <c r="D523" s="31">
        <f>CHAIN_RAW!C521</f>
        <v/>
      </c>
      <c r="E523" s="31">
        <f>CHAIN_RAW!E521</f>
        <v/>
      </c>
      <c r="F523" s="31">
        <f>CHAIN_RAW!F521</f>
        <v/>
      </c>
      <c r="G523" s="31">
        <f>CHAIN_RAW!I521</f>
        <v/>
      </c>
      <c r="H523" s="31">
        <f>CHAIN_RAW!Q521</f>
        <v/>
      </c>
      <c r="I523" s="31">
        <f>LET(pc,F523,oc,H523,IF(OR(pc="",oc=""),"",IF(AND(pc&gt;0,oc&gt;0),"Long Buildup",IF(AND(pc&lt;0,oc&gt;0),"Short Buildup",IF(AND(pc&gt;0,oc&lt;0),"Short Covering",IF(AND(pc&lt;0,oc&lt;0),"Long Unwinding","Flat"))))))</f>
        <v/>
      </c>
      <c r="J523" s="31">
        <f>LET(pc,ABS(F523),oc,ABS(H523),IF(OR(pc="",oc=""),"",MAX(1,MIN(5,ROUND((pc*0.5+oc*0.00001)*5,0))))))</f>
        <v/>
      </c>
    </row>
    <row r="524">
      <c r="A524" s="31" t="n">
        <v>522</v>
      </c>
      <c r="B524" s="31">
        <f>CHAIN_RAW!D522</f>
        <v/>
      </c>
      <c r="C524" s="31">
        <f>CHAIN_RAW!A522</f>
        <v/>
      </c>
      <c r="D524" s="31">
        <f>CHAIN_RAW!C522</f>
        <v/>
      </c>
      <c r="E524" s="31">
        <f>CHAIN_RAW!E522</f>
        <v/>
      </c>
      <c r="F524" s="31">
        <f>CHAIN_RAW!F522</f>
        <v/>
      </c>
      <c r="G524" s="31">
        <f>CHAIN_RAW!I522</f>
        <v/>
      </c>
      <c r="H524" s="31">
        <f>CHAIN_RAW!Q522</f>
        <v/>
      </c>
      <c r="I524" s="31">
        <f>LET(pc,F524,oc,H524,IF(OR(pc="",oc=""),"",IF(AND(pc&gt;0,oc&gt;0),"Long Buildup",IF(AND(pc&lt;0,oc&gt;0),"Short Buildup",IF(AND(pc&gt;0,oc&lt;0),"Short Covering",IF(AND(pc&lt;0,oc&lt;0),"Long Unwinding","Flat"))))))</f>
        <v/>
      </c>
      <c r="J524" s="31">
        <f>LET(pc,ABS(F524),oc,ABS(H524),IF(OR(pc="",oc=""),"",MAX(1,MIN(5,ROUND((pc*0.5+oc*0.00001)*5,0))))))</f>
        <v/>
      </c>
    </row>
    <row r="525">
      <c r="A525" s="31" t="n">
        <v>523</v>
      </c>
      <c r="B525" s="31">
        <f>CHAIN_RAW!D523</f>
        <v/>
      </c>
      <c r="C525" s="31">
        <f>CHAIN_RAW!A523</f>
        <v/>
      </c>
      <c r="D525" s="31">
        <f>CHAIN_RAW!C523</f>
        <v/>
      </c>
      <c r="E525" s="31">
        <f>CHAIN_RAW!E523</f>
        <v/>
      </c>
      <c r="F525" s="31">
        <f>CHAIN_RAW!F523</f>
        <v/>
      </c>
      <c r="G525" s="31">
        <f>CHAIN_RAW!I523</f>
        <v/>
      </c>
      <c r="H525" s="31">
        <f>CHAIN_RAW!Q523</f>
        <v/>
      </c>
      <c r="I525" s="31">
        <f>LET(pc,F525,oc,H525,IF(OR(pc="",oc=""),"",IF(AND(pc&gt;0,oc&gt;0),"Long Buildup",IF(AND(pc&lt;0,oc&gt;0),"Short Buildup",IF(AND(pc&gt;0,oc&lt;0),"Short Covering",IF(AND(pc&lt;0,oc&lt;0),"Long Unwinding","Flat"))))))</f>
        <v/>
      </c>
      <c r="J525" s="31">
        <f>LET(pc,ABS(F525),oc,ABS(H525),IF(OR(pc="",oc=""),"",MAX(1,MIN(5,ROUND((pc*0.5+oc*0.00001)*5,0))))))</f>
        <v/>
      </c>
    </row>
    <row r="526">
      <c r="A526" s="31" t="n">
        <v>524</v>
      </c>
      <c r="B526" s="31">
        <f>CHAIN_RAW!D524</f>
        <v/>
      </c>
      <c r="C526" s="31">
        <f>CHAIN_RAW!A524</f>
        <v/>
      </c>
      <c r="D526" s="31">
        <f>CHAIN_RAW!C524</f>
        <v/>
      </c>
      <c r="E526" s="31">
        <f>CHAIN_RAW!E524</f>
        <v/>
      </c>
      <c r="F526" s="31">
        <f>CHAIN_RAW!F524</f>
        <v/>
      </c>
      <c r="G526" s="31">
        <f>CHAIN_RAW!I524</f>
        <v/>
      </c>
      <c r="H526" s="31">
        <f>CHAIN_RAW!Q524</f>
        <v/>
      </c>
      <c r="I526" s="31">
        <f>LET(pc,F526,oc,H526,IF(OR(pc="",oc=""),"",IF(AND(pc&gt;0,oc&gt;0),"Long Buildup",IF(AND(pc&lt;0,oc&gt;0),"Short Buildup",IF(AND(pc&gt;0,oc&lt;0),"Short Covering",IF(AND(pc&lt;0,oc&lt;0),"Long Unwinding","Flat"))))))</f>
        <v/>
      </c>
      <c r="J526" s="31">
        <f>LET(pc,ABS(F526),oc,ABS(H526),IF(OR(pc="",oc=""),"",MAX(1,MIN(5,ROUND((pc*0.5+oc*0.00001)*5,0))))))</f>
        <v/>
      </c>
    </row>
    <row r="527">
      <c r="A527" s="31" t="n">
        <v>525</v>
      </c>
      <c r="B527" s="31">
        <f>CHAIN_RAW!D525</f>
        <v/>
      </c>
      <c r="C527" s="31">
        <f>CHAIN_RAW!A525</f>
        <v/>
      </c>
      <c r="D527" s="31">
        <f>CHAIN_RAW!C525</f>
        <v/>
      </c>
      <c r="E527" s="31">
        <f>CHAIN_RAW!E525</f>
        <v/>
      </c>
      <c r="F527" s="31">
        <f>CHAIN_RAW!F525</f>
        <v/>
      </c>
      <c r="G527" s="31">
        <f>CHAIN_RAW!I525</f>
        <v/>
      </c>
      <c r="H527" s="31">
        <f>CHAIN_RAW!Q525</f>
        <v/>
      </c>
      <c r="I527" s="31">
        <f>LET(pc,F527,oc,H527,IF(OR(pc="",oc=""),"",IF(AND(pc&gt;0,oc&gt;0),"Long Buildup",IF(AND(pc&lt;0,oc&gt;0),"Short Buildup",IF(AND(pc&gt;0,oc&lt;0),"Short Covering",IF(AND(pc&lt;0,oc&lt;0),"Long Unwinding","Flat"))))))</f>
        <v/>
      </c>
      <c r="J527" s="31">
        <f>LET(pc,ABS(F527),oc,ABS(H527),IF(OR(pc="",oc=""),"",MAX(1,MIN(5,ROUND((pc*0.5+oc*0.00001)*5,0))))))</f>
        <v/>
      </c>
    </row>
    <row r="528">
      <c r="A528" s="31" t="n">
        <v>526</v>
      </c>
      <c r="B528" s="31">
        <f>CHAIN_RAW!D526</f>
        <v/>
      </c>
      <c r="C528" s="31">
        <f>CHAIN_RAW!A526</f>
        <v/>
      </c>
      <c r="D528" s="31">
        <f>CHAIN_RAW!C526</f>
        <v/>
      </c>
      <c r="E528" s="31">
        <f>CHAIN_RAW!E526</f>
        <v/>
      </c>
      <c r="F528" s="31">
        <f>CHAIN_RAW!F526</f>
        <v/>
      </c>
      <c r="G528" s="31">
        <f>CHAIN_RAW!I526</f>
        <v/>
      </c>
      <c r="H528" s="31">
        <f>CHAIN_RAW!Q526</f>
        <v/>
      </c>
      <c r="I528" s="31">
        <f>LET(pc,F528,oc,H528,IF(OR(pc="",oc=""),"",IF(AND(pc&gt;0,oc&gt;0),"Long Buildup",IF(AND(pc&lt;0,oc&gt;0),"Short Buildup",IF(AND(pc&gt;0,oc&lt;0),"Short Covering",IF(AND(pc&lt;0,oc&lt;0),"Long Unwinding","Flat"))))))</f>
        <v/>
      </c>
      <c r="J528" s="31">
        <f>LET(pc,ABS(F528),oc,ABS(H528),IF(OR(pc="",oc=""),"",MAX(1,MIN(5,ROUND((pc*0.5+oc*0.00001)*5,0))))))</f>
        <v/>
      </c>
    </row>
    <row r="529">
      <c r="A529" s="31" t="n">
        <v>527</v>
      </c>
      <c r="B529" s="31">
        <f>CHAIN_RAW!D527</f>
        <v/>
      </c>
      <c r="C529" s="31">
        <f>CHAIN_RAW!A527</f>
        <v/>
      </c>
      <c r="D529" s="31">
        <f>CHAIN_RAW!C527</f>
        <v/>
      </c>
      <c r="E529" s="31">
        <f>CHAIN_RAW!E527</f>
        <v/>
      </c>
      <c r="F529" s="31">
        <f>CHAIN_RAW!F527</f>
        <v/>
      </c>
      <c r="G529" s="31">
        <f>CHAIN_RAW!I527</f>
        <v/>
      </c>
      <c r="H529" s="31">
        <f>CHAIN_RAW!Q527</f>
        <v/>
      </c>
      <c r="I529" s="31">
        <f>LET(pc,F529,oc,H529,IF(OR(pc="",oc=""),"",IF(AND(pc&gt;0,oc&gt;0),"Long Buildup",IF(AND(pc&lt;0,oc&gt;0),"Short Buildup",IF(AND(pc&gt;0,oc&lt;0),"Short Covering",IF(AND(pc&lt;0,oc&lt;0),"Long Unwinding","Flat"))))))</f>
        <v/>
      </c>
      <c r="J529" s="31">
        <f>LET(pc,ABS(F529),oc,ABS(H529),IF(OR(pc="",oc=""),"",MAX(1,MIN(5,ROUND((pc*0.5+oc*0.00001)*5,0))))))</f>
        <v/>
      </c>
    </row>
    <row r="530">
      <c r="A530" s="31" t="n">
        <v>528</v>
      </c>
      <c r="B530" s="31">
        <f>CHAIN_RAW!D528</f>
        <v/>
      </c>
      <c r="C530" s="31">
        <f>CHAIN_RAW!A528</f>
        <v/>
      </c>
      <c r="D530" s="31">
        <f>CHAIN_RAW!C528</f>
        <v/>
      </c>
      <c r="E530" s="31">
        <f>CHAIN_RAW!E528</f>
        <v/>
      </c>
      <c r="F530" s="31">
        <f>CHAIN_RAW!F528</f>
        <v/>
      </c>
      <c r="G530" s="31">
        <f>CHAIN_RAW!I528</f>
        <v/>
      </c>
      <c r="H530" s="31">
        <f>CHAIN_RAW!Q528</f>
        <v/>
      </c>
      <c r="I530" s="31">
        <f>LET(pc,F530,oc,H530,IF(OR(pc="",oc=""),"",IF(AND(pc&gt;0,oc&gt;0),"Long Buildup",IF(AND(pc&lt;0,oc&gt;0),"Short Buildup",IF(AND(pc&gt;0,oc&lt;0),"Short Covering",IF(AND(pc&lt;0,oc&lt;0),"Long Unwinding","Flat"))))))</f>
        <v/>
      </c>
      <c r="J530" s="31">
        <f>LET(pc,ABS(F530),oc,ABS(H530),IF(OR(pc="",oc=""),"",MAX(1,MIN(5,ROUND((pc*0.5+oc*0.00001)*5,0))))))</f>
        <v/>
      </c>
    </row>
    <row r="531">
      <c r="A531" s="31" t="n">
        <v>529</v>
      </c>
      <c r="B531" s="31">
        <f>CHAIN_RAW!D529</f>
        <v/>
      </c>
      <c r="C531" s="31">
        <f>CHAIN_RAW!A529</f>
        <v/>
      </c>
      <c r="D531" s="31">
        <f>CHAIN_RAW!C529</f>
        <v/>
      </c>
      <c r="E531" s="31">
        <f>CHAIN_RAW!E529</f>
        <v/>
      </c>
      <c r="F531" s="31">
        <f>CHAIN_RAW!F529</f>
        <v/>
      </c>
      <c r="G531" s="31">
        <f>CHAIN_RAW!I529</f>
        <v/>
      </c>
      <c r="H531" s="31">
        <f>CHAIN_RAW!Q529</f>
        <v/>
      </c>
      <c r="I531" s="31">
        <f>LET(pc,F531,oc,H531,IF(OR(pc="",oc=""),"",IF(AND(pc&gt;0,oc&gt;0),"Long Buildup",IF(AND(pc&lt;0,oc&gt;0),"Short Buildup",IF(AND(pc&gt;0,oc&lt;0),"Short Covering",IF(AND(pc&lt;0,oc&lt;0),"Long Unwinding","Flat"))))))</f>
        <v/>
      </c>
      <c r="J531" s="31">
        <f>LET(pc,ABS(F531),oc,ABS(H531),IF(OR(pc="",oc=""),"",MAX(1,MIN(5,ROUND((pc*0.5+oc*0.00001)*5,0))))))</f>
        <v/>
      </c>
    </row>
    <row r="532">
      <c r="A532" s="31" t="n">
        <v>530</v>
      </c>
      <c r="B532" s="31">
        <f>CHAIN_RAW!D530</f>
        <v/>
      </c>
      <c r="C532" s="31">
        <f>CHAIN_RAW!A530</f>
        <v/>
      </c>
      <c r="D532" s="31">
        <f>CHAIN_RAW!C530</f>
        <v/>
      </c>
      <c r="E532" s="31">
        <f>CHAIN_RAW!E530</f>
        <v/>
      </c>
      <c r="F532" s="31">
        <f>CHAIN_RAW!F530</f>
        <v/>
      </c>
      <c r="G532" s="31">
        <f>CHAIN_RAW!I530</f>
        <v/>
      </c>
      <c r="H532" s="31">
        <f>CHAIN_RAW!Q530</f>
        <v/>
      </c>
      <c r="I532" s="31">
        <f>LET(pc,F532,oc,H532,IF(OR(pc="",oc=""),"",IF(AND(pc&gt;0,oc&gt;0),"Long Buildup",IF(AND(pc&lt;0,oc&gt;0),"Short Buildup",IF(AND(pc&gt;0,oc&lt;0),"Short Covering",IF(AND(pc&lt;0,oc&lt;0),"Long Unwinding","Flat"))))))</f>
        <v/>
      </c>
      <c r="J532" s="31">
        <f>LET(pc,ABS(F532),oc,ABS(H532),IF(OR(pc="",oc=""),"",MAX(1,MIN(5,ROUND((pc*0.5+oc*0.00001)*5,0))))))</f>
        <v/>
      </c>
    </row>
    <row r="533">
      <c r="A533" s="31" t="n">
        <v>531</v>
      </c>
      <c r="B533" s="31">
        <f>CHAIN_RAW!D531</f>
        <v/>
      </c>
      <c r="C533" s="31">
        <f>CHAIN_RAW!A531</f>
        <v/>
      </c>
      <c r="D533" s="31">
        <f>CHAIN_RAW!C531</f>
        <v/>
      </c>
      <c r="E533" s="31">
        <f>CHAIN_RAW!E531</f>
        <v/>
      </c>
      <c r="F533" s="31">
        <f>CHAIN_RAW!F531</f>
        <v/>
      </c>
      <c r="G533" s="31">
        <f>CHAIN_RAW!I531</f>
        <v/>
      </c>
      <c r="H533" s="31">
        <f>CHAIN_RAW!Q531</f>
        <v/>
      </c>
      <c r="I533" s="31">
        <f>LET(pc,F533,oc,H533,IF(OR(pc="",oc=""),"",IF(AND(pc&gt;0,oc&gt;0),"Long Buildup",IF(AND(pc&lt;0,oc&gt;0),"Short Buildup",IF(AND(pc&gt;0,oc&lt;0),"Short Covering",IF(AND(pc&lt;0,oc&lt;0),"Long Unwinding","Flat"))))))</f>
        <v/>
      </c>
      <c r="J533" s="31">
        <f>LET(pc,ABS(F533),oc,ABS(H533),IF(OR(pc="",oc=""),"",MAX(1,MIN(5,ROUND((pc*0.5+oc*0.00001)*5,0))))))</f>
        <v/>
      </c>
    </row>
    <row r="534">
      <c r="A534" s="31" t="n">
        <v>532</v>
      </c>
      <c r="B534" s="31">
        <f>CHAIN_RAW!D532</f>
        <v/>
      </c>
      <c r="C534" s="31">
        <f>CHAIN_RAW!A532</f>
        <v/>
      </c>
      <c r="D534" s="31">
        <f>CHAIN_RAW!C532</f>
        <v/>
      </c>
      <c r="E534" s="31">
        <f>CHAIN_RAW!E532</f>
        <v/>
      </c>
      <c r="F534" s="31">
        <f>CHAIN_RAW!F532</f>
        <v/>
      </c>
      <c r="G534" s="31">
        <f>CHAIN_RAW!I532</f>
        <v/>
      </c>
      <c r="H534" s="31">
        <f>CHAIN_RAW!Q532</f>
        <v/>
      </c>
      <c r="I534" s="31">
        <f>LET(pc,F534,oc,H534,IF(OR(pc="",oc=""),"",IF(AND(pc&gt;0,oc&gt;0),"Long Buildup",IF(AND(pc&lt;0,oc&gt;0),"Short Buildup",IF(AND(pc&gt;0,oc&lt;0),"Short Covering",IF(AND(pc&lt;0,oc&lt;0),"Long Unwinding","Flat"))))))</f>
        <v/>
      </c>
      <c r="J534" s="31">
        <f>LET(pc,ABS(F534),oc,ABS(H534),IF(OR(pc="",oc=""),"",MAX(1,MIN(5,ROUND((pc*0.5+oc*0.00001)*5,0))))))</f>
        <v/>
      </c>
    </row>
    <row r="535">
      <c r="A535" s="31" t="n">
        <v>533</v>
      </c>
      <c r="B535" s="31">
        <f>CHAIN_RAW!D533</f>
        <v/>
      </c>
      <c r="C535" s="31">
        <f>CHAIN_RAW!A533</f>
        <v/>
      </c>
      <c r="D535" s="31">
        <f>CHAIN_RAW!C533</f>
        <v/>
      </c>
      <c r="E535" s="31">
        <f>CHAIN_RAW!E533</f>
        <v/>
      </c>
      <c r="F535" s="31">
        <f>CHAIN_RAW!F533</f>
        <v/>
      </c>
      <c r="G535" s="31">
        <f>CHAIN_RAW!I533</f>
        <v/>
      </c>
      <c r="H535" s="31">
        <f>CHAIN_RAW!Q533</f>
        <v/>
      </c>
      <c r="I535" s="31">
        <f>LET(pc,F535,oc,H535,IF(OR(pc="",oc=""),"",IF(AND(pc&gt;0,oc&gt;0),"Long Buildup",IF(AND(pc&lt;0,oc&gt;0),"Short Buildup",IF(AND(pc&gt;0,oc&lt;0),"Short Covering",IF(AND(pc&lt;0,oc&lt;0),"Long Unwinding","Flat"))))))</f>
        <v/>
      </c>
      <c r="J535" s="31">
        <f>LET(pc,ABS(F535),oc,ABS(H535),IF(OR(pc="",oc=""),"",MAX(1,MIN(5,ROUND((pc*0.5+oc*0.00001)*5,0))))))</f>
        <v/>
      </c>
    </row>
    <row r="536">
      <c r="A536" s="31" t="n">
        <v>534</v>
      </c>
      <c r="B536" s="31">
        <f>CHAIN_RAW!D534</f>
        <v/>
      </c>
      <c r="C536" s="31">
        <f>CHAIN_RAW!A534</f>
        <v/>
      </c>
      <c r="D536" s="31">
        <f>CHAIN_RAW!C534</f>
        <v/>
      </c>
      <c r="E536" s="31">
        <f>CHAIN_RAW!E534</f>
        <v/>
      </c>
      <c r="F536" s="31">
        <f>CHAIN_RAW!F534</f>
        <v/>
      </c>
      <c r="G536" s="31">
        <f>CHAIN_RAW!I534</f>
        <v/>
      </c>
      <c r="H536" s="31">
        <f>CHAIN_RAW!Q534</f>
        <v/>
      </c>
      <c r="I536" s="31">
        <f>LET(pc,F536,oc,H536,IF(OR(pc="",oc=""),"",IF(AND(pc&gt;0,oc&gt;0),"Long Buildup",IF(AND(pc&lt;0,oc&gt;0),"Short Buildup",IF(AND(pc&gt;0,oc&lt;0),"Short Covering",IF(AND(pc&lt;0,oc&lt;0),"Long Unwinding","Flat"))))))</f>
        <v/>
      </c>
      <c r="J536" s="31">
        <f>LET(pc,ABS(F536),oc,ABS(H536),IF(OR(pc="",oc=""),"",MAX(1,MIN(5,ROUND((pc*0.5+oc*0.00001)*5,0))))))</f>
        <v/>
      </c>
    </row>
    <row r="537">
      <c r="A537" s="31" t="n">
        <v>535</v>
      </c>
      <c r="B537" s="31">
        <f>CHAIN_RAW!D535</f>
        <v/>
      </c>
      <c r="C537" s="31">
        <f>CHAIN_RAW!A535</f>
        <v/>
      </c>
      <c r="D537" s="31">
        <f>CHAIN_RAW!C535</f>
        <v/>
      </c>
      <c r="E537" s="31">
        <f>CHAIN_RAW!E535</f>
        <v/>
      </c>
      <c r="F537" s="31">
        <f>CHAIN_RAW!F535</f>
        <v/>
      </c>
      <c r="G537" s="31">
        <f>CHAIN_RAW!I535</f>
        <v/>
      </c>
      <c r="H537" s="31">
        <f>CHAIN_RAW!Q535</f>
        <v/>
      </c>
      <c r="I537" s="31">
        <f>LET(pc,F537,oc,H537,IF(OR(pc="",oc=""),"",IF(AND(pc&gt;0,oc&gt;0),"Long Buildup",IF(AND(pc&lt;0,oc&gt;0),"Short Buildup",IF(AND(pc&gt;0,oc&lt;0),"Short Covering",IF(AND(pc&lt;0,oc&lt;0),"Long Unwinding","Flat"))))))</f>
        <v/>
      </c>
      <c r="J537" s="31">
        <f>LET(pc,ABS(F537),oc,ABS(H537),IF(OR(pc="",oc=""),"",MAX(1,MIN(5,ROUND((pc*0.5+oc*0.00001)*5,0))))))</f>
        <v/>
      </c>
    </row>
    <row r="538">
      <c r="A538" s="31" t="n">
        <v>536</v>
      </c>
      <c r="B538" s="31">
        <f>CHAIN_RAW!D536</f>
        <v/>
      </c>
      <c r="C538" s="31">
        <f>CHAIN_RAW!A536</f>
        <v/>
      </c>
      <c r="D538" s="31">
        <f>CHAIN_RAW!C536</f>
        <v/>
      </c>
      <c r="E538" s="31">
        <f>CHAIN_RAW!E536</f>
        <v/>
      </c>
      <c r="F538" s="31">
        <f>CHAIN_RAW!F536</f>
        <v/>
      </c>
      <c r="G538" s="31">
        <f>CHAIN_RAW!I536</f>
        <v/>
      </c>
      <c r="H538" s="31">
        <f>CHAIN_RAW!Q536</f>
        <v/>
      </c>
      <c r="I538" s="31">
        <f>LET(pc,F538,oc,H538,IF(OR(pc="",oc=""),"",IF(AND(pc&gt;0,oc&gt;0),"Long Buildup",IF(AND(pc&lt;0,oc&gt;0),"Short Buildup",IF(AND(pc&gt;0,oc&lt;0),"Short Covering",IF(AND(pc&lt;0,oc&lt;0),"Long Unwinding","Flat"))))))</f>
        <v/>
      </c>
      <c r="J538" s="31">
        <f>LET(pc,ABS(F538),oc,ABS(H538),IF(OR(pc="",oc=""),"",MAX(1,MIN(5,ROUND((pc*0.5+oc*0.00001)*5,0))))))</f>
        <v/>
      </c>
    </row>
    <row r="539">
      <c r="A539" s="31" t="n">
        <v>537</v>
      </c>
      <c r="B539" s="31">
        <f>CHAIN_RAW!D537</f>
        <v/>
      </c>
      <c r="C539" s="31">
        <f>CHAIN_RAW!A537</f>
        <v/>
      </c>
      <c r="D539" s="31">
        <f>CHAIN_RAW!C537</f>
        <v/>
      </c>
      <c r="E539" s="31">
        <f>CHAIN_RAW!E537</f>
        <v/>
      </c>
      <c r="F539" s="31">
        <f>CHAIN_RAW!F537</f>
        <v/>
      </c>
      <c r="G539" s="31">
        <f>CHAIN_RAW!I537</f>
        <v/>
      </c>
      <c r="H539" s="31">
        <f>CHAIN_RAW!Q537</f>
        <v/>
      </c>
      <c r="I539" s="31">
        <f>LET(pc,F539,oc,H539,IF(OR(pc="",oc=""),"",IF(AND(pc&gt;0,oc&gt;0),"Long Buildup",IF(AND(pc&lt;0,oc&gt;0),"Short Buildup",IF(AND(pc&gt;0,oc&lt;0),"Short Covering",IF(AND(pc&lt;0,oc&lt;0),"Long Unwinding","Flat"))))))</f>
        <v/>
      </c>
      <c r="J539" s="31">
        <f>LET(pc,ABS(F539),oc,ABS(H539),IF(OR(pc="",oc=""),"",MAX(1,MIN(5,ROUND((pc*0.5+oc*0.00001)*5,0))))))</f>
        <v/>
      </c>
    </row>
    <row r="540">
      <c r="A540" s="31" t="n">
        <v>538</v>
      </c>
      <c r="B540" s="31">
        <f>CHAIN_RAW!D538</f>
        <v/>
      </c>
      <c r="C540" s="31">
        <f>CHAIN_RAW!A538</f>
        <v/>
      </c>
      <c r="D540" s="31">
        <f>CHAIN_RAW!C538</f>
        <v/>
      </c>
      <c r="E540" s="31">
        <f>CHAIN_RAW!E538</f>
        <v/>
      </c>
      <c r="F540" s="31">
        <f>CHAIN_RAW!F538</f>
        <v/>
      </c>
      <c r="G540" s="31">
        <f>CHAIN_RAW!I538</f>
        <v/>
      </c>
      <c r="H540" s="31">
        <f>CHAIN_RAW!Q538</f>
        <v/>
      </c>
      <c r="I540" s="31">
        <f>LET(pc,F540,oc,H540,IF(OR(pc="",oc=""),"",IF(AND(pc&gt;0,oc&gt;0),"Long Buildup",IF(AND(pc&lt;0,oc&gt;0),"Short Buildup",IF(AND(pc&gt;0,oc&lt;0),"Short Covering",IF(AND(pc&lt;0,oc&lt;0),"Long Unwinding","Flat"))))))</f>
        <v/>
      </c>
      <c r="J540" s="31">
        <f>LET(pc,ABS(F540),oc,ABS(H540),IF(OR(pc="",oc=""),"",MAX(1,MIN(5,ROUND((pc*0.5+oc*0.00001)*5,0))))))</f>
        <v/>
      </c>
    </row>
    <row r="541">
      <c r="A541" s="31" t="n">
        <v>539</v>
      </c>
      <c r="B541" s="31">
        <f>CHAIN_RAW!D539</f>
        <v/>
      </c>
      <c r="C541" s="31">
        <f>CHAIN_RAW!A539</f>
        <v/>
      </c>
      <c r="D541" s="31">
        <f>CHAIN_RAW!C539</f>
        <v/>
      </c>
      <c r="E541" s="31">
        <f>CHAIN_RAW!E539</f>
        <v/>
      </c>
      <c r="F541" s="31">
        <f>CHAIN_RAW!F539</f>
        <v/>
      </c>
      <c r="G541" s="31">
        <f>CHAIN_RAW!I539</f>
        <v/>
      </c>
      <c r="H541" s="31">
        <f>CHAIN_RAW!Q539</f>
        <v/>
      </c>
      <c r="I541" s="31">
        <f>LET(pc,F541,oc,H541,IF(OR(pc="",oc=""),"",IF(AND(pc&gt;0,oc&gt;0),"Long Buildup",IF(AND(pc&lt;0,oc&gt;0),"Short Buildup",IF(AND(pc&gt;0,oc&lt;0),"Short Covering",IF(AND(pc&lt;0,oc&lt;0),"Long Unwinding","Flat"))))))</f>
        <v/>
      </c>
      <c r="J541" s="31">
        <f>LET(pc,ABS(F541),oc,ABS(H541),IF(OR(pc="",oc=""),"",MAX(1,MIN(5,ROUND((pc*0.5+oc*0.00001)*5,0))))))</f>
        <v/>
      </c>
    </row>
    <row r="542">
      <c r="A542" s="31" t="n">
        <v>540</v>
      </c>
      <c r="B542" s="31">
        <f>CHAIN_RAW!D540</f>
        <v/>
      </c>
      <c r="C542" s="31">
        <f>CHAIN_RAW!A540</f>
        <v/>
      </c>
      <c r="D542" s="31">
        <f>CHAIN_RAW!C540</f>
        <v/>
      </c>
      <c r="E542" s="31">
        <f>CHAIN_RAW!E540</f>
        <v/>
      </c>
      <c r="F542" s="31">
        <f>CHAIN_RAW!F540</f>
        <v/>
      </c>
      <c r="G542" s="31">
        <f>CHAIN_RAW!I540</f>
        <v/>
      </c>
      <c r="H542" s="31">
        <f>CHAIN_RAW!Q540</f>
        <v/>
      </c>
      <c r="I542" s="31">
        <f>LET(pc,F542,oc,H542,IF(OR(pc="",oc=""),"",IF(AND(pc&gt;0,oc&gt;0),"Long Buildup",IF(AND(pc&lt;0,oc&gt;0),"Short Buildup",IF(AND(pc&gt;0,oc&lt;0),"Short Covering",IF(AND(pc&lt;0,oc&lt;0),"Long Unwinding","Flat"))))))</f>
        <v/>
      </c>
      <c r="J542" s="31">
        <f>LET(pc,ABS(F542),oc,ABS(H542),IF(OR(pc="",oc=""),"",MAX(1,MIN(5,ROUND((pc*0.5+oc*0.00001)*5,0))))))</f>
        <v/>
      </c>
    </row>
    <row r="543">
      <c r="A543" s="31" t="n">
        <v>541</v>
      </c>
      <c r="B543" s="31">
        <f>CHAIN_RAW!D541</f>
        <v/>
      </c>
      <c r="C543" s="31">
        <f>CHAIN_RAW!A541</f>
        <v/>
      </c>
      <c r="D543" s="31">
        <f>CHAIN_RAW!C541</f>
        <v/>
      </c>
      <c r="E543" s="31">
        <f>CHAIN_RAW!E541</f>
        <v/>
      </c>
      <c r="F543" s="31">
        <f>CHAIN_RAW!F541</f>
        <v/>
      </c>
      <c r="G543" s="31">
        <f>CHAIN_RAW!I541</f>
        <v/>
      </c>
      <c r="H543" s="31">
        <f>CHAIN_RAW!Q541</f>
        <v/>
      </c>
      <c r="I543" s="31">
        <f>LET(pc,F543,oc,H543,IF(OR(pc="",oc=""),"",IF(AND(pc&gt;0,oc&gt;0),"Long Buildup",IF(AND(pc&lt;0,oc&gt;0),"Short Buildup",IF(AND(pc&gt;0,oc&lt;0),"Short Covering",IF(AND(pc&lt;0,oc&lt;0),"Long Unwinding","Flat"))))))</f>
        <v/>
      </c>
      <c r="J543" s="31">
        <f>LET(pc,ABS(F543),oc,ABS(H543),IF(OR(pc="",oc=""),"",MAX(1,MIN(5,ROUND((pc*0.5+oc*0.00001)*5,0))))))</f>
        <v/>
      </c>
    </row>
    <row r="544">
      <c r="A544" s="31" t="n">
        <v>542</v>
      </c>
      <c r="B544" s="31">
        <f>CHAIN_RAW!D542</f>
        <v/>
      </c>
      <c r="C544" s="31">
        <f>CHAIN_RAW!A542</f>
        <v/>
      </c>
      <c r="D544" s="31">
        <f>CHAIN_RAW!C542</f>
        <v/>
      </c>
      <c r="E544" s="31">
        <f>CHAIN_RAW!E542</f>
        <v/>
      </c>
      <c r="F544" s="31">
        <f>CHAIN_RAW!F542</f>
        <v/>
      </c>
      <c r="G544" s="31">
        <f>CHAIN_RAW!I542</f>
        <v/>
      </c>
      <c r="H544" s="31">
        <f>CHAIN_RAW!Q542</f>
        <v/>
      </c>
      <c r="I544" s="31">
        <f>LET(pc,F544,oc,H544,IF(OR(pc="",oc=""),"",IF(AND(pc&gt;0,oc&gt;0),"Long Buildup",IF(AND(pc&lt;0,oc&gt;0),"Short Buildup",IF(AND(pc&gt;0,oc&lt;0),"Short Covering",IF(AND(pc&lt;0,oc&lt;0),"Long Unwinding","Flat"))))))</f>
        <v/>
      </c>
      <c r="J544" s="31">
        <f>LET(pc,ABS(F544),oc,ABS(H544),IF(OR(pc="",oc=""),"",MAX(1,MIN(5,ROUND((pc*0.5+oc*0.00001)*5,0))))))</f>
        <v/>
      </c>
    </row>
    <row r="545">
      <c r="A545" s="31" t="n">
        <v>543</v>
      </c>
      <c r="B545" s="31">
        <f>CHAIN_RAW!D543</f>
        <v/>
      </c>
      <c r="C545" s="31">
        <f>CHAIN_RAW!A543</f>
        <v/>
      </c>
      <c r="D545" s="31">
        <f>CHAIN_RAW!C543</f>
        <v/>
      </c>
      <c r="E545" s="31">
        <f>CHAIN_RAW!E543</f>
        <v/>
      </c>
      <c r="F545" s="31">
        <f>CHAIN_RAW!F543</f>
        <v/>
      </c>
      <c r="G545" s="31">
        <f>CHAIN_RAW!I543</f>
        <v/>
      </c>
      <c r="H545" s="31">
        <f>CHAIN_RAW!Q543</f>
        <v/>
      </c>
      <c r="I545" s="31">
        <f>LET(pc,F545,oc,H545,IF(OR(pc="",oc=""),"",IF(AND(pc&gt;0,oc&gt;0),"Long Buildup",IF(AND(pc&lt;0,oc&gt;0),"Short Buildup",IF(AND(pc&gt;0,oc&lt;0),"Short Covering",IF(AND(pc&lt;0,oc&lt;0),"Long Unwinding","Flat"))))))</f>
        <v/>
      </c>
      <c r="J545" s="31">
        <f>LET(pc,ABS(F545),oc,ABS(H545),IF(OR(pc="",oc=""),"",MAX(1,MIN(5,ROUND((pc*0.5+oc*0.00001)*5,0))))))</f>
        <v/>
      </c>
    </row>
    <row r="546">
      <c r="A546" s="31" t="n">
        <v>544</v>
      </c>
      <c r="B546" s="31">
        <f>CHAIN_RAW!D544</f>
        <v/>
      </c>
      <c r="C546" s="31">
        <f>CHAIN_RAW!A544</f>
        <v/>
      </c>
      <c r="D546" s="31">
        <f>CHAIN_RAW!C544</f>
        <v/>
      </c>
      <c r="E546" s="31">
        <f>CHAIN_RAW!E544</f>
        <v/>
      </c>
      <c r="F546" s="31">
        <f>CHAIN_RAW!F544</f>
        <v/>
      </c>
      <c r="G546" s="31">
        <f>CHAIN_RAW!I544</f>
        <v/>
      </c>
      <c r="H546" s="31">
        <f>CHAIN_RAW!Q544</f>
        <v/>
      </c>
      <c r="I546" s="31">
        <f>LET(pc,F546,oc,H546,IF(OR(pc="",oc=""),"",IF(AND(pc&gt;0,oc&gt;0),"Long Buildup",IF(AND(pc&lt;0,oc&gt;0),"Short Buildup",IF(AND(pc&gt;0,oc&lt;0),"Short Covering",IF(AND(pc&lt;0,oc&lt;0),"Long Unwinding","Flat"))))))</f>
        <v/>
      </c>
      <c r="J546" s="31">
        <f>LET(pc,ABS(F546),oc,ABS(H546),IF(OR(pc="",oc=""),"",MAX(1,MIN(5,ROUND((pc*0.5+oc*0.00001)*5,0))))))</f>
        <v/>
      </c>
    </row>
    <row r="547">
      <c r="A547" s="31" t="n">
        <v>545</v>
      </c>
      <c r="B547" s="31">
        <f>CHAIN_RAW!D545</f>
        <v/>
      </c>
      <c r="C547" s="31">
        <f>CHAIN_RAW!A545</f>
        <v/>
      </c>
      <c r="D547" s="31">
        <f>CHAIN_RAW!C545</f>
        <v/>
      </c>
      <c r="E547" s="31">
        <f>CHAIN_RAW!E545</f>
        <v/>
      </c>
      <c r="F547" s="31">
        <f>CHAIN_RAW!F545</f>
        <v/>
      </c>
      <c r="G547" s="31">
        <f>CHAIN_RAW!I545</f>
        <v/>
      </c>
      <c r="H547" s="31">
        <f>CHAIN_RAW!Q545</f>
        <v/>
      </c>
      <c r="I547" s="31">
        <f>LET(pc,F547,oc,H547,IF(OR(pc="",oc=""),"",IF(AND(pc&gt;0,oc&gt;0),"Long Buildup",IF(AND(pc&lt;0,oc&gt;0),"Short Buildup",IF(AND(pc&gt;0,oc&lt;0),"Short Covering",IF(AND(pc&lt;0,oc&lt;0),"Long Unwinding","Flat"))))))</f>
        <v/>
      </c>
      <c r="J547" s="31">
        <f>LET(pc,ABS(F547),oc,ABS(H547),IF(OR(pc="",oc=""),"",MAX(1,MIN(5,ROUND((pc*0.5+oc*0.00001)*5,0))))))</f>
        <v/>
      </c>
    </row>
    <row r="548">
      <c r="A548" s="31" t="n">
        <v>546</v>
      </c>
      <c r="B548" s="31">
        <f>CHAIN_RAW!D546</f>
        <v/>
      </c>
      <c r="C548" s="31">
        <f>CHAIN_RAW!A546</f>
        <v/>
      </c>
      <c r="D548" s="31">
        <f>CHAIN_RAW!C546</f>
        <v/>
      </c>
      <c r="E548" s="31">
        <f>CHAIN_RAW!E546</f>
        <v/>
      </c>
      <c r="F548" s="31">
        <f>CHAIN_RAW!F546</f>
        <v/>
      </c>
      <c r="G548" s="31">
        <f>CHAIN_RAW!I546</f>
        <v/>
      </c>
      <c r="H548" s="31">
        <f>CHAIN_RAW!Q546</f>
        <v/>
      </c>
      <c r="I548" s="31">
        <f>LET(pc,F548,oc,H548,IF(OR(pc="",oc=""),"",IF(AND(pc&gt;0,oc&gt;0),"Long Buildup",IF(AND(pc&lt;0,oc&gt;0),"Short Buildup",IF(AND(pc&gt;0,oc&lt;0),"Short Covering",IF(AND(pc&lt;0,oc&lt;0),"Long Unwinding","Flat"))))))</f>
        <v/>
      </c>
      <c r="J548" s="31">
        <f>LET(pc,ABS(F548),oc,ABS(H548),IF(OR(pc="",oc=""),"",MAX(1,MIN(5,ROUND((pc*0.5+oc*0.00001)*5,0))))))</f>
        <v/>
      </c>
    </row>
    <row r="549">
      <c r="A549" s="31" t="n">
        <v>547</v>
      </c>
      <c r="B549" s="31">
        <f>CHAIN_RAW!D547</f>
        <v/>
      </c>
      <c r="C549" s="31">
        <f>CHAIN_RAW!A547</f>
        <v/>
      </c>
      <c r="D549" s="31">
        <f>CHAIN_RAW!C547</f>
        <v/>
      </c>
      <c r="E549" s="31">
        <f>CHAIN_RAW!E547</f>
        <v/>
      </c>
      <c r="F549" s="31">
        <f>CHAIN_RAW!F547</f>
        <v/>
      </c>
      <c r="G549" s="31">
        <f>CHAIN_RAW!I547</f>
        <v/>
      </c>
      <c r="H549" s="31">
        <f>CHAIN_RAW!Q547</f>
        <v/>
      </c>
      <c r="I549" s="31">
        <f>LET(pc,F549,oc,H549,IF(OR(pc="",oc=""),"",IF(AND(pc&gt;0,oc&gt;0),"Long Buildup",IF(AND(pc&lt;0,oc&gt;0),"Short Buildup",IF(AND(pc&gt;0,oc&lt;0),"Short Covering",IF(AND(pc&lt;0,oc&lt;0),"Long Unwinding","Flat"))))))</f>
        <v/>
      </c>
      <c r="J549" s="31">
        <f>LET(pc,ABS(F549),oc,ABS(H549),IF(OR(pc="",oc=""),"",MAX(1,MIN(5,ROUND((pc*0.5+oc*0.00001)*5,0))))))</f>
        <v/>
      </c>
    </row>
    <row r="550">
      <c r="A550" s="31" t="n">
        <v>548</v>
      </c>
      <c r="B550" s="31">
        <f>CHAIN_RAW!D548</f>
        <v/>
      </c>
      <c r="C550" s="31">
        <f>CHAIN_RAW!A548</f>
        <v/>
      </c>
      <c r="D550" s="31">
        <f>CHAIN_RAW!C548</f>
        <v/>
      </c>
      <c r="E550" s="31">
        <f>CHAIN_RAW!E548</f>
        <v/>
      </c>
      <c r="F550" s="31">
        <f>CHAIN_RAW!F548</f>
        <v/>
      </c>
      <c r="G550" s="31">
        <f>CHAIN_RAW!I548</f>
        <v/>
      </c>
      <c r="H550" s="31">
        <f>CHAIN_RAW!Q548</f>
        <v/>
      </c>
      <c r="I550" s="31">
        <f>LET(pc,F550,oc,H550,IF(OR(pc="",oc=""),"",IF(AND(pc&gt;0,oc&gt;0),"Long Buildup",IF(AND(pc&lt;0,oc&gt;0),"Short Buildup",IF(AND(pc&gt;0,oc&lt;0),"Short Covering",IF(AND(pc&lt;0,oc&lt;0),"Long Unwinding","Flat"))))))</f>
        <v/>
      </c>
      <c r="J550" s="31">
        <f>LET(pc,ABS(F550),oc,ABS(H550),IF(OR(pc="",oc=""),"",MAX(1,MIN(5,ROUND((pc*0.5+oc*0.00001)*5,0))))))</f>
        <v/>
      </c>
    </row>
    <row r="551">
      <c r="A551" s="31" t="n">
        <v>549</v>
      </c>
      <c r="B551" s="31">
        <f>CHAIN_RAW!D549</f>
        <v/>
      </c>
      <c r="C551" s="31">
        <f>CHAIN_RAW!A549</f>
        <v/>
      </c>
      <c r="D551" s="31">
        <f>CHAIN_RAW!C549</f>
        <v/>
      </c>
      <c r="E551" s="31">
        <f>CHAIN_RAW!E549</f>
        <v/>
      </c>
      <c r="F551" s="31">
        <f>CHAIN_RAW!F549</f>
        <v/>
      </c>
      <c r="G551" s="31">
        <f>CHAIN_RAW!I549</f>
        <v/>
      </c>
      <c r="H551" s="31">
        <f>CHAIN_RAW!Q549</f>
        <v/>
      </c>
      <c r="I551" s="31">
        <f>LET(pc,F551,oc,H551,IF(OR(pc="",oc=""),"",IF(AND(pc&gt;0,oc&gt;0),"Long Buildup",IF(AND(pc&lt;0,oc&gt;0),"Short Buildup",IF(AND(pc&gt;0,oc&lt;0),"Short Covering",IF(AND(pc&lt;0,oc&lt;0),"Long Unwinding","Flat"))))))</f>
        <v/>
      </c>
      <c r="J551" s="31">
        <f>LET(pc,ABS(F551),oc,ABS(H551),IF(OR(pc="",oc=""),"",MAX(1,MIN(5,ROUND((pc*0.5+oc*0.00001)*5,0))))))</f>
        <v/>
      </c>
    </row>
    <row r="552">
      <c r="A552" s="31" t="n">
        <v>550</v>
      </c>
      <c r="B552" s="31">
        <f>CHAIN_RAW!D550</f>
        <v/>
      </c>
      <c r="C552" s="31">
        <f>CHAIN_RAW!A550</f>
        <v/>
      </c>
      <c r="D552" s="31">
        <f>CHAIN_RAW!C550</f>
        <v/>
      </c>
      <c r="E552" s="31">
        <f>CHAIN_RAW!E550</f>
        <v/>
      </c>
      <c r="F552" s="31">
        <f>CHAIN_RAW!F550</f>
        <v/>
      </c>
      <c r="G552" s="31">
        <f>CHAIN_RAW!I550</f>
        <v/>
      </c>
      <c r="H552" s="31">
        <f>CHAIN_RAW!Q550</f>
        <v/>
      </c>
      <c r="I552" s="31">
        <f>LET(pc,F552,oc,H552,IF(OR(pc="",oc=""),"",IF(AND(pc&gt;0,oc&gt;0),"Long Buildup",IF(AND(pc&lt;0,oc&gt;0),"Short Buildup",IF(AND(pc&gt;0,oc&lt;0),"Short Covering",IF(AND(pc&lt;0,oc&lt;0),"Long Unwinding","Flat"))))))</f>
        <v/>
      </c>
      <c r="J552" s="31">
        <f>LET(pc,ABS(F552),oc,ABS(H552),IF(OR(pc="",oc=""),"",MAX(1,MIN(5,ROUND((pc*0.5+oc*0.00001)*5,0))))))</f>
        <v/>
      </c>
    </row>
    <row r="553">
      <c r="A553" s="31" t="n">
        <v>551</v>
      </c>
      <c r="B553" s="31">
        <f>CHAIN_RAW!D551</f>
        <v/>
      </c>
      <c r="C553" s="31">
        <f>CHAIN_RAW!A551</f>
        <v/>
      </c>
      <c r="D553" s="31">
        <f>CHAIN_RAW!C551</f>
        <v/>
      </c>
      <c r="E553" s="31">
        <f>CHAIN_RAW!E551</f>
        <v/>
      </c>
      <c r="F553" s="31">
        <f>CHAIN_RAW!F551</f>
        <v/>
      </c>
      <c r="G553" s="31">
        <f>CHAIN_RAW!I551</f>
        <v/>
      </c>
      <c r="H553" s="31">
        <f>CHAIN_RAW!Q551</f>
        <v/>
      </c>
      <c r="I553" s="31">
        <f>LET(pc,F553,oc,H553,IF(OR(pc="",oc=""),"",IF(AND(pc&gt;0,oc&gt;0),"Long Buildup",IF(AND(pc&lt;0,oc&gt;0),"Short Buildup",IF(AND(pc&gt;0,oc&lt;0),"Short Covering",IF(AND(pc&lt;0,oc&lt;0),"Long Unwinding","Flat"))))))</f>
        <v/>
      </c>
      <c r="J553" s="31">
        <f>LET(pc,ABS(F553),oc,ABS(H553),IF(OR(pc="",oc=""),"",MAX(1,MIN(5,ROUND((pc*0.5+oc*0.00001)*5,0))))))</f>
        <v/>
      </c>
    </row>
    <row r="554">
      <c r="A554" s="31" t="n">
        <v>552</v>
      </c>
      <c r="B554" s="31">
        <f>CHAIN_RAW!D552</f>
        <v/>
      </c>
      <c r="C554" s="31">
        <f>CHAIN_RAW!A552</f>
        <v/>
      </c>
      <c r="D554" s="31">
        <f>CHAIN_RAW!C552</f>
        <v/>
      </c>
      <c r="E554" s="31">
        <f>CHAIN_RAW!E552</f>
        <v/>
      </c>
      <c r="F554" s="31">
        <f>CHAIN_RAW!F552</f>
        <v/>
      </c>
      <c r="G554" s="31">
        <f>CHAIN_RAW!I552</f>
        <v/>
      </c>
      <c r="H554" s="31">
        <f>CHAIN_RAW!Q552</f>
        <v/>
      </c>
      <c r="I554" s="31">
        <f>LET(pc,F554,oc,H554,IF(OR(pc="",oc=""),"",IF(AND(pc&gt;0,oc&gt;0),"Long Buildup",IF(AND(pc&lt;0,oc&gt;0),"Short Buildup",IF(AND(pc&gt;0,oc&lt;0),"Short Covering",IF(AND(pc&lt;0,oc&lt;0),"Long Unwinding","Flat"))))))</f>
        <v/>
      </c>
      <c r="J554" s="31">
        <f>LET(pc,ABS(F554),oc,ABS(H554),IF(OR(pc="",oc=""),"",MAX(1,MIN(5,ROUND((pc*0.5+oc*0.00001)*5,0))))))</f>
        <v/>
      </c>
    </row>
    <row r="555">
      <c r="A555" s="31" t="n">
        <v>553</v>
      </c>
      <c r="B555" s="31">
        <f>CHAIN_RAW!D553</f>
        <v/>
      </c>
      <c r="C555" s="31">
        <f>CHAIN_RAW!A553</f>
        <v/>
      </c>
      <c r="D555" s="31">
        <f>CHAIN_RAW!C553</f>
        <v/>
      </c>
      <c r="E555" s="31">
        <f>CHAIN_RAW!E553</f>
        <v/>
      </c>
      <c r="F555" s="31">
        <f>CHAIN_RAW!F553</f>
        <v/>
      </c>
      <c r="G555" s="31">
        <f>CHAIN_RAW!I553</f>
        <v/>
      </c>
      <c r="H555" s="31">
        <f>CHAIN_RAW!Q553</f>
        <v/>
      </c>
      <c r="I555" s="31">
        <f>LET(pc,F555,oc,H555,IF(OR(pc="",oc=""),"",IF(AND(pc&gt;0,oc&gt;0),"Long Buildup",IF(AND(pc&lt;0,oc&gt;0),"Short Buildup",IF(AND(pc&gt;0,oc&lt;0),"Short Covering",IF(AND(pc&lt;0,oc&lt;0),"Long Unwinding","Flat"))))))</f>
        <v/>
      </c>
      <c r="J555" s="31">
        <f>LET(pc,ABS(F555),oc,ABS(H555),IF(OR(pc="",oc=""),"",MAX(1,MIN(5,ROUND((pc*0.5+oc*0.00001)*5,0))))))</f>
        <v/>
      </c>
    </row>
    <row r="556">
      <c r="A556" s="31" t="n">
        <v>554</v>
      </c>
      <c r="B556" s="31">
        <f>CHAIN_RAW!D554</f>
        <v/>
      </c>
      <c r="C556" s="31">
        <f>CHAIN_RAW!A554</f>
        <v/>
      </c>
      <c r="D556" s="31">
        <f>CHAIN_RAW!C554</f>
        <v/>
      </c>
      <c r="E556" s="31">
        <f>CHAIN_RAW!E554</f>
        <v/>
      </c>
      <c r="F556" s="31">
        <f>CHAIN_RAW!F554</f>
        <v/>
      </c>
      <c r="G556" s="31">
        <f>CHAIN_RAW!I554</f>
        <v/>
      </c>
      <c r="H556" s="31">
        <f>CHAIN_RAW!Q554</f>
        <v/>
      </c>
      <c r="I556" s="31">
        <f>LET(pc,F556,oc,H556,IF(OR(pc="",oc=""),"",IF(AND(pc&gt;0,oc&gt;0),"Long Buildup",IF(AND(pc&lt;0,oc&gt;0),"Short Buildup",IF(AND(pc&gt;0,oc&lt;0),"Short Covering",IF(AND(pc&lt;0,oc&lt;0),"Long Unwinding","Flat"))))))</f>
        <v/>
      </c>
      <c r="J556" s="31">
        <f>LET(pc,ABS(F556),oc,ABS(H556),IF(OR(pc="",oc=""),"",MAX(1,MIN(5,ROUND((pc*0.5+oc*0.00001)*5,0))))))</f>
        <v/>
      </c>
    </row>
    <row r="557">
      <c r="A557" s="31" t="n">
        <v>555</v>
      </c>
      <c r="B557" s="31">
        <f>CHAIN_RAW!D555</f>
        <v/>
      </c>
      <c r="C557" s="31">
        <f>CHAIN_RAW!A555</f>
        <v/>
      </c>
      <c r="D557" s="31">
        <f>CHAIN_RAW!C555</f>
        <v/>
      </c>
      <c r="E557" s="31">
        <f>CHAIN_RAW!E555</f>
        <v/>
      </c>
      <c r="F557" s="31">
        <f>CHAIN_RAW!F555</f>
        <v/>
      </c>
      <c r="G557" s="31">
        <f>CHAIN_RAW!I555</f>
        <v/>
      </c>
      <c r="H557" s="31">
        <f>CHAIN_RAW!Q555</f>
        <v/>
      </c>
      <c r="I557" s="31">
        <f>LET(pc,F557,oc,H557,IF(OR(pc="",oc=""),"",IF(AND(pc&gt;0,oc&gt;0),"Long Buildup",IF(AND(pc&lt;0,oc&gt;0),"Short Buildup",IF(AND(pc&gt;0,oc&lt;0),"Short Covering",IF(AND(pc&lt;0,oc&lt;0),"Long Unwinding","Flat"))))))</f>
        <v/>
      </c>
      <c r="J557" s="31">
        <f>LET(pc,ABS(F557),oc,ABS(H557),IF(OR(pc="",oc=""),"",MAX(1,MIN(5,ROUND((pc*0.5+oc*0.00001)*5,0))))))</f>
        <v/>
      </c>
    </row>
    <row r="558">
      <c r="A558" s="31" t="n">
        <v>556</v>
      </c>
      <c r="B558" s="31">
        <f>CHAIN_RAW!D556</f>
        <v/>
      </c>
      <c r="C558" s="31">
        <f>CHAIN_RAW!A556</f>
        <v/>
      </c>
      <c r="D558" s="31">
        <f>CHAIN_RAW!C556</f>
        <v/>
      </c>
      <c r="E558" s="31">
        <f>CHAIN_RAW!E556</f>
        <v/>
      </c>
      <c r="F558" s="31">
        <f>CHAIN_RAW!F556</f>
        <v/>
      </c>
      <c r="G558" s="31">
        <f>CHAIN_RAW!I556</f>
        <v/>
      </c>
      <c r="H558" s="31">
        <f>CHAIN_RAW!Q556</f>
        <v/>
      </c>
      <c r="I558" s="31">
        <f>LET(pc,F558,oc,H558,IF(OR(pc="",oc=""),"",IF(AND(pc&gt;0,oc&gt;0),"Long Buildup",IF(AND(pc&lt;0,oc&gt;0),"Short Buildup",IF(AND(pc&gt;0,oc&lt;0),"Short Covering",IF(AND(pc&lt;0,oc&lt;0),"Long Unwinding","Flat"))))))</f>
        <v/>
      </c>
      <c r="J558" s="31">
        <f>LET(pc,ABS(F558),oc,ABS(H558),IF(OR(pc="",oc=""),"",MAX(1,MIN(5,ROUND((pc*0.5+oc*0.00001)*5,0))))))</f>
        <v/>
      </c>
    </row>
    <row r="559">
      <c r="A559" s="31" t="n">
        <v>557</v>
      </c>
      <c r="B559" s="31">
        <f>CHAIN_RAW!D557</f>
        <v/>
      </c>
      <c r="C559" s="31">
        <f>CHAIN_RAW!A557</f>
        <v/>
      </c>
      <c r="D559" s="31">
        <f>CHAIN_RAW!C557</f>
        <v/>
      </c>
      <c r="E559" s="31">
        <f>CHAIN_RAW!E557</f>
        <v/>
      </c>
      <c r="F559" s="31">
        <f>CHAIN_RAW!F557</f>
        <v/>
      </c>
      <c r="G559" s="31">
        <f>CHAIN_RAW!I557</f>
        <v/>
      </c>
      <c r="H559" s="31">
        <f>CHAIN_RAW!Q557</f>
        <v/>
      </c>
      <c r="I559" s="31">
        <f>LET(pc,F559,oc,H559,IF(OR(pc="",oc=""),"",IF(AND(pc&gt;0,oc&gt;0),"Long Buildup",IF(AND(pc&lt;0,oc&gt;0),"Short Buildup",IF(AND(pc&gt;0,oc&lt;0),"Short Covering",IF(AND(pc&lt;0,oc&lt;0),"Long Unwinding","Flat"))))))</f>
        <v/>
      </c>
      <c r="J559" s="31">
        <f>LET(pc,ABS(F559),oc,ABS(H559),IF(OR(pc="",oc=""),"",MAX(1,MIN(5,ROUND((pc*0.5+oc*0.00001)*5,0))))))</f>
        <v/>
      </c>
    </row>
    <row r="560">
      <c r="A560" s="31" t="n">
        <v>558</v>
      </c>
      <c r="B560" s="31">
        <f>CHAIN_RAW!D558</f>
        <v/>
      </c>
      <c r="C560" s="31">
        <f>CHAIN_RAW!A558</f>
        <v/>
      </c>
      <c r="D560" s="31">
        <f>CHAIN_RAW!C558</f>
        <v/>
      </c>
      <c r="E560" s="31">
        <f>CHAIN_RAW!E558</f>
        <v/>
      </c>
      <c r="F560" s="31">
        <f>CHAIN_RAW!F558</f>
        <v/>
      </c>
      <c r="G560" s="31">
        <f>CHAIN_RAW!I558</f>
        <v/>
      </c>
      <c r="H560" s="31">
        <f>CHAIN_RAW!Q558</f>
        <v/>
      </c>
      <c r="I560" s="31">
        <f>LET(pc,F560,oc,H560,IF(OR(pc="",oc=""),"",IF(AND(pc&gt;0,oc&gt;0),"Long Buildup",IF(AND(pc&lt;0,oc&gt;0),"Short Buildup",IF(AND(pc&gt;0,oc&lt;0),"Short Covering",IF(AND(pc&lt;0,oc&lt;0),"Long Unwinding","Flat"))))))</f>
        <v/>
      </c>
      <c r="J560" s="31">
        <f>LET(pc,ABS(F560),oc,ABS(H560),IF(OR(pc="",oc=""),"",MAX(1,MIN(5,ROUND((pc*0.5+oc*0.00001)*5,0))))))</f>
        <v/>
      </c>
    </row>
    <row r="561">
      <c r="A561" s="31" t="n">
        <v>559</v>
      </c>
      <c r="B561" s="31">
        <f>CHAIN_RAW!D559</f>
        <v/>
      </c>
      <c r="C561" s="31">
        <f>CHAIN_RAW!A559</f>
        <v/>
      </c>
      <c r="D561" s="31">
        <f>CHAIN_RAW!C559</f>
        <v/>
      </c>
      <c r="E561" s="31">
        <f>CHAIN_RAW!E559</f>
        <v/>
      </c>
      <c r="F561" s="31">
        <f>CHAIN_RAW!F559</f>
        <v/>
      </c>
      <c r="G561" s="31">
        <f>CHAIN_RAW!I559</f>
        <v/>
      </c>
      <c r="H561" s="31">
        <f>CHAIN_RAW!Q559</f>
        <v/>
      </c>
      <c r="I561" s="31">
        <f>LET(pc,F561,oc,H561,IF(OR(pc="",oc=""),"",IF(AND(pc&gt;0,oc&gt;0),"Long Buildup",IF(AND(pc&lt;0,oc&gt;0),"Short Buildup",IF(AND(pc&gt;0,oc&lt;0),"Short Covering",IF(AND(pc&lt;0,oc&lt;0),"Long Unwinding","Flat"))))))</f>
        <v/>
      </c>
      <c r="J561" s="31">
        <f>LET(pc,ABS(F561),oc,ABS(H561),IF(OR(pc="",oc=""),"",MAX(1,MIN(5,ROUND((pc*0.5+oc*0.00001)*5,0))))))</f>
        <v/>
      </c>
    </row>
    <row r="562">
      <c r="A562" s="31" t="n">
        <v>560</v>
      </c>
      <c r="B562" s="31">
        <f>CHAIN_RAW!D560</f>
        <v/>
      </c>
      <c r="C562" s="31">
        <f>CHAIN_RAW!A560</f>
        <v/>
      </c>
      <c r="D562" s="31">
        <f>CHAIN_RAW!C560</f>
        <v/>
      </c>
      <c r="E562" s="31">
        <f>CHAIN_RAW!E560</f>
        <v/>
      </c>
      <c r="F562" s="31">
        <f>CHAIN_RAW!F560</f>
        <v/>
      </c>
      <c r="G562" s="31">
        <f>CHAIN_RAW!I560</f>
        <v/>
      </c>
      <c r="H562" s="31">
        <f>CHAIN_RAW!Q560</f>
        <v/>
      </c>
      <c r="I562" s="31">
        <f>LET(pc,F562,oc,H562,IF(OR(pc="",oc=""),"",IF(AND(pc&gt;0,oc&gt;0),"Long Buildup",IF(AND(pc&lt;0,oc&gt;0),"Short Buildup",IF(AND(pc&gt;0,oc&lt;0),"Short Covering",IF(AND(pc&lt;0,oc&lt;0),"Long Unwinding","Flat"))))))</f>
        <v/>
      </c>
      <c r="J562" s="31">
        <f>LET(pc,ABS(F562),oc,ABS(H562),IF(OR(pc="",oc=""),"",MAX(1,MIN(5,ROUND((pc*0.5+oc*0.00001)*5,0))))))</f>
        <v/>
      </c>
    </row>
    <row r="563">
      <c r="A563" s="31" t="n">
        <v>561</v>
      </c>
      <c r="B563" s="31">
        <f>CHAIN_RAW!D561</f>
        <v/>
      </c>
      <c r="C563" s="31">
        <f>CHAIN_RAW!A561</f>
        <v/>
      </c>
      <c r="D563" s="31">
        <f>CHAIN_RAW!C561</f>
        <v/>
      </c>
      <c r="E563" s="31">
        <f>CHAIN_RAW!E561</f>
        <v/>
      </c>
      <c r="F563" s="31">
        <f>CHAIN_RAW!F561</f>
        <v/>
      </c>
      <c r="G563" s="31">
        <f>CHAIN_RAW!I561</f>
        <v/>
      </c>
      <c r="H563" s="31">
        <f>CHAIN_RAW!Q561</f>
        <v/>
      </c>
      <c r="I563" s="31">
        <f>LET(pc,F563,oc,H563,IF(OR(pc="",oc=""),"",IF(AND(pc&gt;0,oc&gt;0),"Long Buildup",IF(AND(pc&lt;0,oc&gt;0),"Short Buildup",IF(AND(pc&gt;0,oc&lt;0),"Short Covering",IF(AND(pc&lt;0,oc&lt;0),"Long Unwinding","Flat"))))))</f>
        <v/>
      </c>
      <c r="J563" s="31">
        <f>LET(pc,ABS(F563),oc,ABS(H563),IF(OR(pc="",oc=""),"",MAX(1,MIN(5,ROUND((pc*0.5+oc*0.00001)*5,0))))))</f>
        <v/>
      </c>
    </row>
    <row r="564">
      <c r="A564" s="31" t="n">
        <v>562</v>
      </c>
      <c r="B564" s="31">
        <f>CHAIN_RAW!D562</f>
        <v/>
      </c>
      <c r="C564" s="31">
        <f>CHAIN_RAW!A562</f>
        <v/>
      </c>
      <c r="D564" s="31">
        <f>CHAIN_RAW!C562</f>
        <v/>
      </c>
      <c r="E564" s="31">
        <f>CHAIN_RAW!E562</f>
        <v/>
      </c>
      <c r="F564" s="31">
        <f>CHAIN_RAW!F562</f>
        <v/>
      </c>
      <c r="G564" s="31">
        <f>CHAIN_RAW!I562</f>
        <v/>
      </c>
      <c r="H564" s="31">
        <f>CHAIN_RAW!Q562</f>
        <v/>
      </c>
      <c r="I564" s="31">
        <f>LET(pc,F564,oc,H564,IF(OR(pc="",oc=""),"",IF(AND(pc&gt;0,oc&gt;0),"Long Buildup",IF(AND(pc&lt;0,oc&gt;0),"Short Buildup",IF(AND(pc&gt;0,oc&lt;0),"Short Covering",IF(AND(pc&lt;0,oc&lt;0),"Long Unwinding","Flat"))))))</f>
        <v/>
      </c>
      <c r="J564" s="31">
        <f>LET(pc,ABS(F564),oc,ABS(H564),IF(OR(pc="",oc=""),"",MAX(1,MIN(5,ROUND((pc*0.5+oc*0.00001)*5,0))))))</f>
        <v/>
      </c>
    </row>
    <row r="565">
      <c r="A565" s="31" t="n">
        <v>563</v>
      </c>
      <c r="B565" s="31">
        <f>CHAIN_RAW!D563</f>
        <v/>
      </c>
      <c r="C565" s="31">
        <f>CHAIN_RAW!A563</f>
        <v/>
      </c>
      <c r="D565" s="31">
        <f>CHAIN_RAW!C563</f>
        <v/>
      </c>
      <c r="E565" s="31">
        <f>CHAIN_RAW!E563</f>
        <v/>
      </c>
      <c r="F565" s="31">
        <f>CHAIN_RAW!F563</f>
        <v/>
      </c>
      <c r="G565" s="31">
        <f>CHAIN_RAW!I563</f>
        <v/>
      </c>
      <c r="H565" s="31">
        <f>CHAIN_RAW!Q563</f>
        <v/>
      </c>
      <c r="I565" s="31">
        <f>LET(pc,F565,oc,H565,IF(OR(pc="",oc=""),"",IF(AND(pc&gt;0,oc&gt;0),"Long Buildup",IF(AND(pc&lt;0,oc&gt;0),"Short Buildup",IF(AND(pc&gt;0,oc&lt;0),"Short Covering",IF(AND(pc&lt;0,oc&lt;0),"Long Unwinding","Flat"))))))</f>
        <v/>
      </c>
      <c r="J565" s="31">
        <f>LET(pc,ABS(F565),oc,ABS(H565),IF(OR(pc="",oc=""),"",MAX(1,MIN(5,ROUND((pc*0.5+oc*0.00001)*5,0))))))</f>
        <v/>
      </c>
    </row>
    <row r="566">
      <c r="A566" s="31" t="n">
        <v>564</v>
      </c>
      <c r="B566" s="31">
        <f>CHAIN_RAW!D564</f>
        <v/>
      </c>
      <c r="C566" s="31">
        <f>CHAIN_RAW!A564</f>
        <v/>
      </c>
      <c r="D566" s="31">
        <f>CHAIN_RAW!C564</f>
        <v/>
      </c>
      <c r="E566" s="31">
        <f>CHAIN_RAW!E564</f>
        <v/>
      </c>
      <c r="F566" s="31">
        <f>CHAIN_RAW!F564</f>
        <v/>
      </c>
      <c r="G566" s="31">
        <f>CHAIN_RAW!I564</f>
        <v/>
      </c>
      <c r="H566" s="31">
        <f>CHAIN_RAW!Q564</f>
        <v/>
      </c>
      <c r="I566" s="31">
        <f>LET(pc,F566,oc,H566,IF(OR(pc="",oc=""),"",IF(AND(pc&gt;0,oc&gt;0),"Long Buildup",IF(AND(pc&lt;0,oc&gt;0),"Short Buildup",IF(AND(pc&gt;0,oc&lt;0),"Short Covering",IF(AND(pc&lt;0,oc&lt;0),"Long Unwinding","Flat"))))))</f>
        <v/>
      </c>
      <c r="J566" s="31">
        <f>LET(pc,ABS(F566),oc,ABS(H566),IF(OR(pc="",oc=""),"",MAX(1,MIN(5,ROUND((pc*0.5+oc*0.00001)*5,0))))))</f>
        <v/>
      </c>
    </row>
    <row r="567">
      <c r="A567" s="31" t="n">
        <v>565</v>
      </c>
      <c r="B567" s="31">
        <f>CHAIN_RAW!D565</f>
        <v/>
      </c>
      <c r="C567" s="31">
        <f>CHAIN_RAW!A565</f>
        <v/>
      </c>
      <c r="D567" s="31">
        <f>CHAIN_RAW!C565</f>
        <v/>
      </c>
      <c r="E567" s="31">
        <f>CHAIN_RAW!E565</f>
        <v/>
      </c>
      <c r="F567" s="31">
        <f>CHAIN_RAW!F565</f>
        <v/>
      </c>
      <c r="G567" s="31">
        <f>CHAIN_RAW!I565</f>
        <v/>
      </c>
      <c r="H567" s="31">
        <f>CHAIN_RAW!Q565</f>
        <v/>
      </c>
      <c r="I567" s="31">
        <f>LET(pc,F567,oc,H567,IF(OR(pc="",oc=""),"",IF(AND(pc&gt;0,oc&gt;0),"Long Buildup",IF(AND(pc&lt;0,oc&gt;0),"Short Buildup",IF(AND(pc&gt;0,oc&lt;0),"Short Covering",IF(AND(pc&lt;0,oc&lt;0),"Long Unwinding","Flat"))))))</f>
        <v/>
      </c>
      <c r="J567" s="31">
        <f>LET(pc,ABS(F567),oc,ABS(H567),IF(OR(pc="",oc=""),"",MAX(1,MIN(5,ROUND((pc*0.5+oc*0.00001)*5,0))))))</f>
        <v/>
      </c>
    </row>
    <row r="568">
      <c r="A568" s="31" t="n">
        <v>566</v>
      </c>
      <c r="B568" s="31">
        <f>CHAIN_RAW!D566</f>
        <v/>
      </c>
      <c r="C568" s="31">
        <f>CHAIN_RAW!A566</f>
        <v/>
      </c>
      <c r="D568" s="31">
        <f>CHAIN_RAW!C566</f>
        <v/>
      </c>
      <c r="E568" s="31">
        <f>CHAIN_RAW!E566</f>
        <v/>
      </c>
      <c r="F568" s="31">
        <f>CHAIN_RAW!F566</f>
        <v/>
      </c>
      <c r="G568" s="31">
        <f>CHAIN_RAW!I566</f>
        <v/>
      </c>
      <c r="H568" s="31">
        <f>CHAIN_RAW!Q566</f>
        <v/>
      </c>
      <c r="I568" s="31">
        <f>LET(pc,F568,oc,H568,IF(OR(pc="",oc=""),"",IF(AND(pc&gt;0,oc&gt;0),"Long Buildup",IF(AND(pc&lt;0,oc&gt;0),"Short Buildup",IF(AND(pc&gt;0,oc&lt;0),"Short Covering",IF(AND(pc&lt;0,oc&lt;0),"Long Unwinding","Flat"))))))</f>
        <v/>
      </c>
      <c r="J568" s="31">
        <f>LET(pc,ABS(F568),oc,ABS(H568),IF(OR(pc="",oc=""),"",MAX(1,MIN(5,ROUND((pc*0.5+oc*0.00001)*5,0))))))</f>
        <v/>
      </c>
    </row>
    <row r="569">
      <c r="A569" s="31" t="n">
        <v>567</v>
      </c>
      <c r="B569" s="31">
        <f>CHAIN_RAW!D567</f>
        <v/>
      </c>
      <c r="C569" s="31">
        <f>CHAIN_RAW!A567</f>
        <v/>
      </c>
      <c r="D569" s="31">
        <f>CHAIN_RAW!C567</f>
        <v/>
      </c>
      <c r="E569" s="31">
        <f>CHAIN_RAW!E567</f>
        <v/>
      </c>
      <c r="F569" s="31">
        <f>CHAIN_RAW!F567</f>
        <v/>
      </c>
      <c r="G569" s="31">
        <f>CHAIN_RAW!I567</f>
        <v/>
      </c>
      <c r="H569" s="31">
        <f>CHAIN_RAW!Q567</f>
        <v/>
      </c>
      <c r="I569" s="31">
        <f>LET(pc,F569,oc,H569,IF(OR(pc="",oc=""),"",IF(AND(pc&gt;0,oc&gt;0),"Long Buildup",IF(AND(pc&lt;0,oc&gt;0),"Short Buildup",IF(AND(pc&gt;0,oc&lt;0),"Short Covering",IF(AND(pc&lt;0,oc&lt;0),"Long Unwinding","Flat"))))))</f>
        <v/>
      </c>
      <c r="J569" s="31">
        <f>LET(pc,ABS(F569),oc,ABS(H569),IF(OR(pc="",oc=""),"",MAX(1,MIN(5,ROUND((pc*0.5+oc*0.00001)*5,0))))))</f>
        <v/>
      </c>
    </row>
    <row r="570">
      <c r="A570" s="31" t="n">
        <v>568</v>
      </c>
      <c r="B570" s="31">
        <f>CHAIN_RAW!D568</f>
        <v/>
      </c>
      <c r="C570" s="31">
        <f>CHAIN_RAW!A568</f>
        <v/>
      </c>
      <c r="D570" s="31">
        <f>CHAIN_RAW!C568</f>
        <v/>
      </c>
      <c r="E570" s="31">
        <f>CHAIN_RAW!E568</f>
        <v/>
      </c>
      <c r="F570" s="31">
        <f>CHAIN_RAW!F568</f>
        <v/>
      </c>
      <c r="G570" s="31">
        <f>CHAIN_RAW!I568</f>
        <v/>
      </c>
      <c r="H570" s="31">
        <f>CHAIN_RAW!Q568</f>
        <v/>
      </c>
      <c r="I570" s="31">
        <f>LET(pc,F570,oc,H570,IF(OR(pc="",oc=""),"",IF(AND(pc&gt;0,oc&gt;0),"Long Buildup",IF(AND(pc&lt;0,oc&gt;0),"Short Buildup",IF(AND(pc&gt;0,oc&lt;0),"Short Covering",IF(AND(pc&lt;0,oc&lt;0),"Long Unwinding","Flat"))))))</f>
        <v/>
      </c>
      <c r="J570" s="31">
        <f>LET(pc,ABS(F570),oc,ABS(H570),IF(OR(pc="",oc=""),"",MAX(1,MIN(5,ROUND((pc*0.5+oc*0.00001)*5,0))))))</f>
        <v/>
      </c>
    </row>
    <row r="571">
      <c r="A571" s="31" t="n">
        <v>569</v>
      </c>
      <c r="B571" s="31">
        <f>CHAIN_RAW!D569</f>
        <v/>
      </c>
      <c r="C571" s="31">
        <f>CHAIN_RAW!A569</f>
        <v/>
      </c>
      <c r="D571" s="31">
        <f>CHAIN_RAW!C569</f>
        <v/>
      </c>
      <c r="E571" s="31">
        <f>CHAIN_RAW!E569</f>
        <v/>
      </c>
      <c r="F571" s="31">
        <f>CHAIN_RAW!F569</f>
        <v/>
      </c>
      <c r="G571" s="31">
        <f>CHAIN_RAW!I569</f>
        <v/>
      </c>
      <c r="H571" s="31">
        <f>CHAIN_RAW!Q569</f>
        <v/>
      </c>
      <c r="I571" s="31">
        <f>LET(pc,F571,oc,H571,IF(OR(pc="",oc=""),"",IF(AND(pc&gt;0,oc&gt;0),"Long Buildup",IF(AND(pc&lt;0,oc&gt;0),"Short Buildup",IF(AND(pc&gt;0,oc&lt;0),"Short Covering",IF(AND(pc&lt;0,oc&lt;0),"Long Unwinding","Flat"))))))</f>
        <v/>
      </c>
      <c r="J571" s="31">
        <f>LET(pc,ABS(F571),oc,ABS(H571),IF(OR(pc="",oc=""),"",MAX(1,MIN(5,ROUND((pc*0.5+oc*0.00001)*5,0))))))</f>
        <v/>
      </c>
    </row>
    <row r="572">
      <c r="A572" s="31" t="n">
        <v>570</v>
      </c>
      <c r="B572" s="31">
        <f>CHAIN_RAW!D570</f>
        <v/>
      </c>
      <c r="C572" s="31">
        <f>CHAIN_RAW!A570</f>
        <v/>
      </c>
      <c r="D572" s="31">
        <f>CHAIN_RAW!C570</f>
        <v/>
      </c>
      <c r="E572" s="31">
        <f>CHAIN_RAW!E570</f>
        <v/>
      </c>
      <c r="F572" s="31">
        <f>CHAIN_RAW!F570</f>
        <v/>
      </c>
      <c r="G572" s="31">
        <f>CHAIN_RAW!I570</f>
        <v/>
      </c>
      <c r="H572" s="31">
        <f>CHAIN_RAW!Q570</f>
        <v/>
      </c>
      <c r="I572" s="31">
        <f>LET(pc,F572,oc,H572,IF(OR(pc="",oc=""),"",IF(AND(pc&gt;0,oc&gt;0),"Long Buildup",IF(AND(pc&lt;0,oc&gt;0),"Short Buildup",IF(AND(pc&gt;0,oc&lt;0),"Short Covering",IF(AND(pc&lt;0,oc&lt;0),"Long Unwinding","Flat"))))))</f>
        <v/>
      </c>
      <c r="J572" s="31">
        <f>LET(pc,ABS(F572),oc,ABS(H572),IF(OR(pc="",oc=""),"",MAX(1,MIN(5,ROUND((pc*0.5+oc*0.00001)*5,0))))))</f>
        <v/>
      </c>
    </row>
    <row r="573">
      <c r="A573" s="31" t="n">
        <v>571</v>
      </c>
      <c r="B573" s="31">
        <f>CHAIN_RAW!D571</f>
        <v/>
      </c>
      <c r="C573" s="31">
        <f>CHAIN_RAW!A571</f>
        <v/>
      </c>
      <c r="D573" s="31">
        <f>CHAIN_RAW!C571</f>
        <v/>
      </c>
      <c r="E573" s="31">
        <f>CHAIN_RAW!E571</f>
        <v/>
      </c>
      <c r="F573" s="31">
        <f>CHAIN_RAW!F571</f>
        <v/>
      </c>
      <c r="G573" s="31">
        <f>CHAIN_RAW!I571</f>
        <v/>
      </c>
      <c r="H573" s="31">
        <f>CHAIN_RAW!Q571</f>
        <v/>
      </c>
      <c r="I573" s="31">
        <f>LET(pc,F573,oc,H573,IF(OR(pc="",oc=""),"",IF(AND(pc&gt;0,oc&gt;0),"Long Buildup",IF(AND(pc&lt;0,oc&gt;0),"Short Buildup",IF(AND(pc&gt;0,oc&lt;0),"Short Covering",IF(AND(pc&lt;0,oc&lt;0),"Long Unwinding","Flat"))))))</f>
        <v/>
      </c>
      <c r="J573" s="31">
        <f>LET(pc,ABS(F573),oc,ABS(H573),IF(OR(pc="",oc=""),"",MAX(1,MIN(5,ROUND((pc*0.5+oc*0.00001)*5,0))))))</f>
        <v/>
      </c>
    </row>
    <row r="574">
      <c r="A574" s="31" t="n">
        <v>572</v>
      </c>
      <c r="B574" s="31">
        <f>CHAIN_RAW!D572</f>
        <v/>
      </c>
      <c r="C574" s="31">
        <f>CHAIN_RAW!A572</f>
        <v/>
      </c>
      <c r="D574" s="31">
        <f>CHAIN_RAW!C572</f>
        <v/>
      </c>
      <c r="E574" s="31">
        <f>CHAIN_RAW!E572</f>
        <v/>
      </c>
      <c r="F574" s="31">
        <f>CHAIN_RAW!F572</f>
        <v/>
      </c>
      <c r="G574" s="31">
        <f>CHAIN_RAW!I572</f>
        <v/>
      </c>
      <c r="H574" s="31">
        <f>CHAIN_RAW!Q572</f>
        <v/>
      </c>
      <c r="I574" s="31">
        <f>LET(pc,F574,oc,H574,IF(OR(pc="",oc=""),"",IF(AND(pc&gt;0,oc&gt;0),"Long Buildup",IF(AND(pc&lt;0,oc&gt;0),"Short Buildup",IF(AND(pc&gt;0,oc&lt;0),"Short Covering",IF(AND(pc&lt;0,oc&lt;0),"Long Unwinding","Flat"))))))</f>
        <v/>
      </c>
      <c r="J574" s="31">
        <f>LET(pc,ABS(F574),oc,ABS(H574),IF(OR(pc="",oc=""),"",MAX(1,MIN(5,ROUND((pc*0.5+oc*0.00001)*5,0))))))</f>
        <v/>
      </c>
    </row>
    <row r="575">
      <c r="A575" s="31" t="n">
        <v>573</v>
      </c>
      <c r="B575" s="31">
        <f>CHAIN_RAW!D573</f>
        <v/>
      </c>
      <c r="C575" s="31">
        <f>CHAIN_RAW!A573</f>
        <v/>
      </c>
      <c r="D575" s="31">
        <f>CHAIN_RAW!C573</f>
        <v/>
      </c>
      <c r="E575" s="31">
        <f>CHAIN_RAW!E573</f>
        <v/>
      </c>
      <c r="F575" s="31">
        <f>CHAIN_RAW!F573</f>
        <v/>
      </c>
      <c r="G575" s="31">
        <f>CHAIN_RAW!I573</f>
        <v/>
      </c>
      <c r="H575" s="31">
        <f>CHAIN_RAW!Q573</f>
        <v/>
      </c>
      <c r="I575" s="31">
        <f>LET(pc,F575,oc,H575,IF(OR(pc="",oc=""),"",IF(AND(pc&gt;0,oc&gt;0),"Long Buildup",IF(AND(pc&lt;0,oc&gt;0),"Short Buildup",IF(AND(pc&gt;0,oc&lt;0),"Short Covering",IF(AND(pc&lt;0,oc&lt;0),"Long Unwinding","Flat"))))))</f>
        <v/>
      </c>
      <c r="J575" s="31">
        <f>LET(pc,ABS(F575),oc,ABS(H575),IF(OR(pc="",oc=""),"",MAX(1,MIN(5,ROUND((pc*0.5+oc*0.00001)*5,0))))))</f>
        <v/>
      </c>
    </row>
    <row r="576">
      <c r="A576" s="31" t="n">
        <v>574</v>
      </c>
      <c r="B576" s="31">
        <f>CHAIN_RAW!D574</f>
        <v/>
      </c>
      <c r="C576" s="31">
        <f>CHAIN_RAW!A574</f>
        <v/>
      </c>
      <c r="D576" s="31">
        <f>CHAIN_RAW!C574</f>
        <v/>
      </c>
      <c r="E576" s="31">
        <f>CHAIN_RAW!E574</f>
        <v/>
      </c>
      <c r="F576" s="31">
        <f>CHAIN_RAW!F574</f>
        <v/>
      </c>
      <c r="G576" s="31">
        <f>CHAIN_RAW!I574</f>
        <v/>
      </c>
      <c r="H576" s="31">
        <f>CHAIN_RAW!Q574</f>
        <v/>
      </c>
      <c r="I576" s="31">
        <f>LET(pc,F576,oc,H576,IF(OR(pc="",oc=""),"",IF(AND(pc&gt;0,oc&gt;0),"Long Buildup",IF(AND(pc&lt;0,oc&gt;0),"Short Buildup",IF(AND(pc&gt;0,oc&lt;0),"Short Covering",IF(AND(pc&lt;0,oc&lt;0),"Long Unwinding","Flat"))))))</f>
        <v/>
      </c>
      <c r="J576" s="31">
        <f>LET(pc,ABS(F576),oc,ABS(H576),IF(OR(pc="",oc=""),"",MAX(1,MIN(5,ROUND((pc*0.5+oc*0.00001)*5,0))))))</f>
        <v/>
      </c>
    </row>
    <row r="577">
      <c r="A577" s="31" t="n">
        <v>575</v>
      </c>
      <c r="B577" s="31">
        <f>CHAIN_RAW!D575</f>
        <v/>
      </c>
      <c r="C577" s="31">
        <f>CHAIN_RAW!A575</f>
        <v/>
      </c>
      <c r="D577" s="31">
        <f>CHAIN_RAW!C575</f>
        <v/>
      </c>
      <c r="E577" s="31">
        <f>CHAIN_RAW!E575</f>
        <v/>
      </c>
      <c r="F577" s="31">
        <f>CHAIN_RAW!F575</f>
        <v/>
      </c>
      <c r="G577" s="31">
        <f>CHAIN_RAW!I575</f>
        <v/>
      </c>
      <c r="H577" s="31">
        <f>CHAIN_RAW!Q575</f>
        <v/>
      </c>
      <c r="I577" s="31">
        <f>LET(pc,F577,oc,H577,IF(OR(pc="",oc=""),"",IF(AND(pc&gt;0,oc&gt;0),"Long Buildup",IF(AND(pc&lt;0,oc&gt;0),"Short Buildup",IF(AND(pc&gt;0,oc&lt;0),"Short Covering",IF(AND(pc&lt;0,oc&lt;0),"Long Unwinding","Flat"))))))</f>
        <v/>
      </c>
      <c r="J577" s="31">
        <f>LET(pc,ABS(F577),oc,ABS(H577),IF(OR(pc="",oc=""),"",MAX(1,MIN(5,ROUND((pc*0.5+oc*0.00001)*5,0))))))</f>
        <v/>
      </c>
    </row>
    <row r="578">
      <c r="A578" s="31" t="n">
        <v>576</v>
      </c>
      <c r="B578" s="31">
        <f>CHAIN_RAW!D576</f>
        <v/>
      </c>
      <c r="C578" s="31">
        <f>CHAIN_RAW!A576</f>
        <v/>
      </c>
      <c r="D578" s="31">
        <f>CHAIN_RAW!C576</f>
        <v/>
      </c>
      <c r="E578" s="31">
        <f>CHAIN_RAW!E576</f>
        <v/>
      </c>
      <c r="F578" s="31">
        <f>CHAIN_RAW!F576</f>
        <v/>
      </c>
      <c r="G578" s="31">
        <f>CHAIN_RAW!I576</f>
        <v/>
      </c>
      <c r="H578" s="31">
        <f>CHAIN_RAW!Q576</f>
        <v/>
      </c>
      <c r="I578" s="31">
        <f>LET(pc,F578,oc,H578,IF(OR(pc="",oc=""),"",IF(AND(pc&gt;0,oc&gt;0),"Long Buildup",IF(AND(pc&lt;0,oc&gt;0),"Short Buildup",IF(AND(pc&gt;0,oc&lt;0),"Short Covering",IF(AND(pc&lt;0,oc&lt;0),"Long Unwinding","Flat"))))))</f>
        <v/>
      </c>
      <c r="J578" s="31">
        <f>LET(pc,ABS(F578),oc,ABS(H578),IF(OR(pc="",oc=""),"",MAX(1,MIN(5,ROUND((pc*0.5+oc*0.00001)*5,0))))))</f>
        <v/>
      </c>
    </row>
    <row r="579">
      <c r="A579" s="31" t="n">
        <v>577</v>
      </c>
      <c r="B579" s="31">
        <f>CHAIN_RAW!D577</f>
        <v/>
      </c>
      <c r="C579" s="31">
        <f>CHAIN_RAW!A577</f>
        <v/>
      </c>
      <c r="D579" s="31">
        <f>CHAIN_RAW!C577</f>
        <v/>
      </c>
      <c r="E579" s="31">
        <f>CHAIN_RAW!E577</f>
        <v/>
      </c>
      <c r="F579" s="31">
        <f>CHAIN_RAW!F577</f>
        <v/>
      </c>
      <c r="G579" s="31">
        <f>CHAIN_RAW!I577</f>
        <v/>
      </c>
      <c r="H579" s="31">
        <f>CHAIN_RAW!Q577</f>
        <v/>
      </c>
      <c r="I579" s="31">
        <f>LET(pc,F579,oc,H579,IF(OR(pc="",oc=""),"",IF(AND(pc&gt;0,oc&gt;0),"Long Buildup",IF(AND(pc&lt;0,oc&gt;0),"Short Buildup",IF(AND(pc&gt;0,oc&lt;0),"Short Covering",IF(AND(pc&lt;0,oc&lt;0),"Long Unwinding","Flat"))))))</f>
        <v/>
      </c>
      <c r="J579" s="31">
        <f>LET(pc,ABS(F579),oc,ABS(H579),IF(OR(pc="",oc=""),"",MAX(1,MIN(5,ROUND((pc*0.5+oc*0.00001)*5,0))))))</f>
        <v/>
      </c>
    </row>
    <row r="580">
      <c r="A580" s="31" t="n">
        <v>578</v>
      </c>
      <c r="B580" s="31">
        <f>CHAIN_RAW!D578</f>
        <v/>
      </c>
      <c r="C580" s="31">
        <f>CHAIN_RAW!A578</f>
        <v/>
      </c>
      <c r="D580" s="31">
        <f>CHAIN_RAW!C578</f>
        <v/>
      </c>
      <c r="E580" s="31">
        <f>CHAIN_RAW!E578</f>
        <v/>
      </c>
      <c r="F580" s="31">
        <f>CHAIN_RAW!F578</f>
        <v/>
      </c>
      <c r="G580" s="31">
        <f>CHAIN_RAW!I578</f>
        <v/>
      </c>
      <c r="H580" s="31">
        <f>CHAIN_RAW!Q578</f>
        <v/>
      </c>
      <c r="I580" s="31">
        <f>LET(pc,F580,oc,H580,IF(OR(pc="",oc=""),"",IF(AND(pc&gt;0,oc&gt;0),"Long Buildup",IF(AND(pc&lt;0,oc&gt;0),"Short Buildup",IF(AND(pc&gt;0,oc&lt;0),"Short Covering",IF(AND(pc&lt;0,oc&lt;0),"Long Unwinding","Flat"))))))</f>
        <v/>
      </c>
      <c r="J580" s="31">
        <f>LET(pc,ABS(F580),oc,ABS(H580),IF(OR(pc="",oc=""),"",MAX(1,MIN(5,ROUND((pc*0.5+oc*0.00001)*5,0))))))</f>
        <v/>
      </c>
    </row>
    <row r="581">
      <c r="A581" s="31" t="n">
        <v>579</v>
      </c>
      <c r="B581" s="31">
        <f>CHAIN_RAW!D579</f>
        <v/>
      </c>
      <c r="C581" s="31">
        <f>CHAIN_RAW!A579</f>
        <v/>
      </c>
      <c r="D581" s="31">
        <f>CHAIN_RAW!C579</f>
        <v/>
      </c>
      <c r="E581" s="31">
        <f>CHAIN_RAW!E579</f>
        <v/>
      </c>
      <c r="F581" s="31">
        <f>CHAIN_RAW!F579</f>
        <v/>
      </c>
      <c r="G581" s="31">
        <f>CHAIN_RAW!I579</f>
        <v/>
      </c>
      <c r="H581" s="31">
        <f>CHAIN_RAW!Q579</f>
        <v/>
      </c>
      <c r="I581" s="31">
        <f>LET(pc,F581,oc,H581,IF(OR(pc="",oc=""),"",IF(AND(pc&gt;0,oc&gt;0),"Long Buildup",IF(AND(pc&lt;0,oc&gt;0),"Short Buildup",IF(AND(pc&gt;0,oc&lt;0),"Short Covering",IF(AND(pc&lt;0,oc&lt;0),"Long Unwinding","Flat"))))))</f>
        <v/>
      </c>
      <c r="J581" s="31">
        <f>LET(pc,ABS(F581),oc,ABS(H581),IF(OR(pc="",oc=""),"",MAX(1,MIN(5,ROUND((pc*0.5+oc*0.00001)*5,0))))))</f>
        <v/>
      </c>
    </row>
    <row r="582">
      <c r="A582" s="31" t="n">
        <v>580</v>
      </c>
      <c r="B582" s="31">
        <f>CHAIN_RAW!D580</f>
        <v/>
      </c>
      <c r="C582" s="31">
        <f>CHAIN_RAW!A580</f>
        <v/>
      </c>
      <c r="D582" s="31">
        <f>CHAIN_RAW!C580</f>
        <v/>
      </c>
      <c r="E582" s="31">
        <f>CHAIN_RAW!E580</f>
        <v/>
      </c>
      <c r="F582" s="31">
        <f>CHAIN_RAW!F580</f>
        <v/>
      </c>
      <c r="G582" s="31">
        <f>CHAIN_RAW!I580</f>
        <v/>
      </c>
      <c r="H582" s="31">
        <f>CHAIN_RAW!Q580</f>
        <v/>
      </c>
      <c r="I582" s="31">
        <f>LET(pc,F582,oc,H582,IF(OR(pc="",oc=""),"",IF(AND(pc&gt;0,oc&gt;0),"Long Buildup",IF(AND(pc&lt;0,oc&gt;0),"Short Buildup",IF(AND(pc&gt;0,oc&lt;0),"Short Covering",IF(AND(pc&lt;0,oc&lt;0),"Long Unwinding","Flat"))))))</f>
        <v/>
      </c>
      <c r="J582" s="31">
        <f>LET(pc,ABS(F582),oc,ABS(H582),IF(OR(pc="",oc=""),"",MAX(1,MIN(5,ROUND((pc*0.5+oc*0.00001)*5,0))))))</f>
        <v/>
      </c>
    </row>
    <row r="583">
      <c r="A583" s="31" t="n">
        <v>581</v>
      </c>
      <c r="B583" s="31">
        <f>CHAIN_RAW!D581</f>
        <v/>
      </c>
      <c r="C583" s="31">
        <f>CHAIN_RAW!A581</f>
        <v/>
      </c>
      <c r="D583" s="31">
        <f>CHAIN_RAW!C581</f>
        <v/>
      </c>
      <c r="E583" s="31">
        <f>CHAIN_RAW!E581</f>
        <v/>
      </c>
      <c r="F583" s="31">
        <f>CHAIN_RAW!F581</f>
        <v/>
      </c>
      <c r="G583" s="31">
        <f>CHAIN_RAW!I581</f>
        <v/>
      </c>
      <c r="H583" s="31">
        <f>CHAIN_RAW!Q581</f>
        <v/>
      </c>
      <c r="I583" s="31">
        <f>LET(pc,F583,oc,H583,IF(OR(pc="",oc=""),"",IF(AND(pc&gt;0,oc&gt;0),"Long Buildup",IF(AND(pc&lt;0,oc&gt;0),"Short Buildup",IF(AND(pc&gt;0,oc&lt;0),"Short Covering",IF(AND(pc&lt;0,oc&lt;0),"Long Unwinding","Flat"))))))</f>
        <v/>
      </c>
      <c r="J583" s="31">
        <f>LET(pc,ABS(F583),oc,ABS(H583),IF(OR(pc="",oc=""),"",MAX(1,MIN(5,ROUND((pc*0.5+oc*0.00001)*5,0))))))</f>
        <v/>
      </c>
    </row>
    <row r="584">
      <c r="A584" s="31" t="n">
        <v>582</v>
      </c>
      <c r="B584" s="31">
        <f>CHAIN_RAW!D582</f>
        <v/>
      </c>
      <c r="C584" s="31">
        <f>CHAIN_RAW!A582</f>
        <v/>
      </c>
      <c r="D584" s="31">
        <f>CHAIN_RAW!C582</f>
        <v/>
      </c>
      <c r="E584" s="31">
        <f>CHAIN_RAW!E582</f>
        <v/>
      </c>
      <c r="F584" s="31">
        <f>CHAIN_RAW!F582</f>
        <v/>
      </c>
      <c r="G584" s="31">
        <f>CHAIN_RAW!I582</f>
        <v/>
      </c>
      <c r="H584" s="31">
        <f>CHAIN_RAW!Q582</f>
        <v/>
      </c>
      <c r="I584" s="31">
        <f>LET(pc,F584,oc,H584,IF(OR(pc="",oc=""),"",IF(AND(pc&gt;0,oc&gt;0),"Long Buildup",IF(AND(pc&lt;0,oc&gt;0),"Short Buildup",IF(AND(pc&gt;0,oc&lt;0),"Short Covering",IF(AND(pc&lt;0,oc&lt;0),"Long Unwinding","Flat"))))))</f>
        <v/>
      </c>
      <c r="J584" s="31">
        <f>LET(pc,ABS(F584),oc,ABS(H584),IF(OR(pc="",oc=""),"",MAX(1,MIN(5,ROUND((pc*0.5+oc*0.00001)*5,0))))))</f>
        <v/>
      </c>
    </row>
    <row r="585">
      <c r="A585" s="31" t="n">
        <v>583</v>
      </c>
      <c r="B585" s="31">
        <f>CHAIN_RAW!D583</f>
        <v/>
      </c>
      <c r="C585" s="31">
        <f>CHAIN_RAW!A583</f>
        <v/>
      </c>
      <c r="D585" s="31">
        <f>CHAIN_RAW!C583</f>
        <v/>
      </c>
      <c r="E585" s="31">
        <f>CHAIN_RAW!E583</f>
        <v/>
      </c>
      <c r="F585" s="31">
        <f>CHAIN_RAW!F583</f>
        <v/>
      </c>
      <c r="G585" s="31">
        <f>CHAIN_RAW!I583</f>
        <v/>
      </c>
      <c r="H585" s="31">
        <f>CHAIN_RAW!Q583</f>
        <v/>
      </c>
      <c r="I585" s="31">
        <f>LET(pc,F585,oc,H585,IF(OR(pc="",oc=""),"",IF(AND(pc&gt;0,oc&gt;0),"Long Buildup",IF(AND(pc&lt;0,oc&gt;0),"Short Buildup",IF(AND(pc&gt;0,oc&lt;0),"Short Covering",IF(AND(pc&lt;0,oc&lt;0),"Long Unwinding","Flat"))))))</f>
        <v/>
      </c>
      <c r="J585" s="31">
        <f>LET(pc,ABS(F585),oc,ABS(H585),IF(OR(pc="",oc=""),"",MAX(1,MIN(5,ROUND((pc*0.5+oc*0.00001)*5,0))))))</f>
        <v/>
      </c>
    </row>
    <row r="586">
      <c r="A586" s="31" t="n">
        <v>584</v>
      </c>
      <c r="B586" s="31">
        <f>CHAIN_RAW!D584</f>
        <v/>
      </c>
      <c r="C586" s="31">
        <f>CHAIN_RAW!A584</f>
        <v/>
      </c>
      <c r="D586" s="31">
        <f>CHAIN_RAW!C584</f>
        <v/>
      </c>
      <c r="E586" s="31">
        <f>CHAIN_RAW!E584</f>
        <v/>
      </c>
      <c r="F586" s="31">
        <f>CHAIN_RAW!F584</f>
        <v/>
      </c>
      <c r="G586" s="31">
        <f>CHAIN_RAW!I584</f>
        <v/>
      </c>
      <c r="H586" s="31">
        <f>CHAIN_RAW!Q584</f>
        <v/>
      </c>
      <c r="I586" s="31">
        <f>LET(pc,F586,oc,H586,IF(OR(pc="",oc=""),"",IF(AND(pc&gt;0,oc&gt;0),"Long Buildup",IF(AND(pc&lt;0,oc&gt;0),"Short Buildup",IF(AND(pc&gt;0,oc&lt;0),"Short Covering",IF(AND(pc&lt;0,oc&lt;0),"Long Unwinding","Flat"))))))</f>
        <v/>
      </c>
      <c r="J586" s="31">
        <f>LET(pc,ABS(F586),oc,ABS(H586),IF(OR(pc="",oc=""),"",MAX(1,MIN(5,ROUND((pc*0.5+oc*0.00001)*5,0))))))</f>
        <v/>
      </c>
    </row>
    <row r="587">
      <c r="A587" s="31" t="n">
        <v>585</v>
      </c>
      <c r="B587" s="31">
        <f>CHAIN_RAW!D585</f>
        <v/>
      </c>
      <c r="C587" s="31">
        <f>CHAIN_RAW!A585</f>
        <v/>
      </c>
      <c r="D587" s="31">
        <f>CHAIN_RAW!C585</f>
        <v/>
      </c>
      <c r="E587" s="31">
        <f>CHAIN_RAW!E585</f>
        <v/>
      </c>
      <c r="F587" s="31">
        <f>CHAIN_RAW!F585</f>
        <v/>
      </c>
      <c r="G587" s="31">
        <f>CHAIN_RAW!I585</f>
        <v/>
      </c>
      <c r="H587" s="31">
        <f>CHAIN_RAW!Q585</f>
        <v/>
      </c>
      <c r="I587" s="31">
        <f>LET(pc,F587,oc,H587,IF(OR(pc="",oc=""),"",IF(AND(pc&gt;0,oc&gt;0),"Long Buildup",IF(AND(pc&lt;0,oc&gt;0),"Short Buildup",IF(AND(pc&gt;0,oc&lt;0),"Short Covering",IF(AND(pc&lt;0,oc&lt;0),"Long Unwinding","Flat"))))))</f>
        <v/>
      </c>
      <c r="J587" s="31">
        <f>LET(pc,ABS(F587),oc,ABS(H587),IF(OR(pc="",oc=""),"",MAX(1,MIN(5,ROUND((pc*0.5+oc*0.00001)*5,0))))))</f>
        <v/>
      </c>
    </row>
    <row r="588">
      <c r="A588" s="31" t="n">
        <v>586</v>
      </c>
      <c r="B588" s="31">
        <f>CHAIN_RAW!D586</f>
        <v/>
      </c>
      <c r="C588" s="31">
        <f>CHAIN_RAW!A586</f>
        <v/>
      </c>
      <c r="D588" s="31">
        <f>CHAIN_RAW!C586</f>
        <v/>
      </c>
      <c r="E588" s="31">
        <f>CHAIN_RAW!E586</f>
        <v/>
      </c>
      <c r="F588" s="31">
        <f>CHAIN_RAW!F586</f>
        <v/>
      </c>
      <c r="G588" s="31">
        <f>CHAIN_RAW!I586</f>
        <v/>
      </c>
      <c r="H588" s="31">
        <f>CHAIN_RAW!Q586</f>
        <v/>
      </c>
      <c r="I588" s="31">
        <f>LET(pc,F588,oc,H588,IF(OR(pc="",oc=""),"",IF(AND(pc&gt;0,oc&gt;0),"Long Buildup",IF(AND(pc&lt;0,oc&gt;0),"Short Buildup",IF(AND(pc&gt;0,oc&lt;0),"Short Covering",IF(AND(pc&lt;0,oc&lt;0),"Long Unwinding","Flat"))))))</f>
        <v/>
      </c>
      <c r="J588" s="31">
        <f>LET(pc,ABS(F588),oc,ABS(H588),IF(OR(pc="",oc=""),"",MAX(1,MIN(5,ROUND((pc*0.5+oc*0.00001)*5,0))))))</f>
        <v/>
      </c>
    </row>
    <row r="589">
      <c r="A589" s="31" t="n">
        <v>587</v>
      </c>
      <c r="B589" s="31">
        <f>CHAIN_RAW!D587</f>
        <v/>
      </c>
      <c r="C589" s="31">
        <f>CHAIN_RAW!A587</f>
        <v/>
      </c>
      <c r="D589" s="31">
        <f>CHAIN_RAW!C587</f>
        <v/>
      </c>
      <c r="E589" s="31">
        <f>CHAIN_RAW!E587</f>
        <v/>
      </c>
      <c r="F589" s="31">
        <f>CHAIN_RAW!F587</f>
        <v/>
      </c>
      <c r="G589" s="31">
        <f>CHAIN_RAW!I587</f>
        <v/>
      </c>
      <c r="H589" s="31">
        <f>CHAIN_RAW!Q587</f>
        <v/>
      </c>
      <c r="I589" s="31">
        <f>LET(pc,F589,oc,H589,IF(OR(pc="",oc=""),"",IF(AND(pc&gt;0,oc&gt;0),"Long Buildup",IF(AND(pc&lt;0,oc&gt;0),"Short Buildup",IF(AND(pc&gt;0,oc&lt;0),"Short Covering",IF(AND(pc&lt;0,oc&lt;0),"Long Unwinding","Flat"))))))</f>
        <v/>
      </c>
      <c r="J589" s="31">
        <f>LET(pc,ABS(F589),oc,ABS(H589),IF(OR(pc="",oc=""),"",MAX(1,MIN(5,ROUND((pc*0.5+oc*0.00001)*5,0))))))</f>
        <v/>
      </c>
    </row>
    <row r="590">
      <c r="A590" s="31" t="n">
        <v>588</v>
      </c>
      <c r="B590" s="31">
        <f>CHAIN_RAW!D588</f>
        <v/>
      </c>
      <c r="C590" s="31">
        <f>CHAIN_RAW!A588</f>
        <v/>
      </c>
      <c r="D590" s="31">
        <f>CHAIN_RAW!C588</f>
        <v/>
      </c>
      <c r="E590" s="31">
        <f>CHAIN_RAW!E588</f>
        <v/>
      </c>
      <c r="F590" s="31">
        <f>CHAIN_RAW!F588</f>
        <v/>
      </c>
      <c r="G590" s="31">
        <f>CHAIN_RAW!I588</f>
        <v/>
      </c>
      <c r="H590" s="31">
        <f>CHAIN_RAW!Q588</f>
        <v/>
      </c>
      <c r="I590" s="31">
        <f>LET(pc,F590,oc,H590,IF(OR(pc="",oc=""),"",IF(AND(pc&gt;0,oc&gt;0),"Long Buildup",IF(AND(pc&lt;0,oc&gt;0),"Short Buildup",IF(AND(pc&gt;0,oc&lt;0),"Short Covering",IF(AND(pc&lt;0,oc&lt;0),"Long Unwinding","Flat"))))))</f>
        <v/>
      </c>
      <c r="J590" s="31">
        <f>LET(pc,ABS(F590),oc,ABS(H590),IF(OR(pc="",oc=""),"",MAX(1,MIN(5,ROUND((pc*0.5+oc*0.00001)*5,0))))))</f>
        <v/>
      </c>
    </row>
    <row r="591">
      <c r="A591" s="31" t="n">
        <v>589</v>
      </c>
      <c r="B591" s="31">
        <f>CHAIN_RAW!D589</f>
        <v/>
      </c>
      <c r="C591" s="31">
        <f>CHAIN_RAW!A589</f>
        <v/>
      </c>
      <c r="D591" s="31">
        <f>CHAIN_RAW!C589</f>
        <v/>
      </c>
      <c r="E591" s="31">
        <f>CHAIN_RAW!E589</f>
        <v/>
      </c>
      <c r="F591" s="31">
        <f>CHAIN_RAW!F589</f>
        <v/>
      </c>
      <c r="G591" s="31">
        <f>CHAIN_RAW!I589</f>
        <v/>
      </c>
      <c r="H591" s="31">
        <f>CHAIN_RAW!Q589</f>
        <v/>
      </c>
      <c r="I591" s="31">
        <f>LET(pc,F591,oc,H591,IF(OR(pc="",oc=""),"",IF(AND(pc&gt;0,oc&gt;0),"Long Buildup",IF(AND(pc&lt;0,oc&gt;0),"Short Buildup",IF(AND(pc&gt;0,oc&lt;0),"Short Covering",IF(AND(pc&lt;0,oc&lt;0),"Long Unwinding","Flat"))))))</f>
        <v/>
      </c>
      <c r="J591" s="31">
        <f>LET(pc,ABS(F591),oc,ABS(H591),IF(OR(pc="",oc=""),"",MAX(1,MIN(5,ROUND((pc*0.5+oc*0.00001)*5,0))))))</f>
        <v/>
      </c>
    </row>
    <row r="592">
      <c r="A592" s="31" t="n">
        <v>590</v>
      </c>
      <c r="B592" s="31">
        <f>CHAIN_RAW!D590</f>
        <v/>
      </c>
      <c r="C592" s="31">
        <f>CHAIN_RAW!A590</f>
        <v/>
      </c>
      <c r="D592" s="31">
        <f>CHAIN_RAW!C590</f>
        <v/>
      </c>
      <c r="E592" s="31">
        <f>CHAIN_RAW!E590</f>
        <v/>
      </c>
      <c r="F592" s="31">
        <f>CHAIN_RAW!F590</f>
        <v/>
      </c>
      <c r="G592" s="31">
        <f>CHAIN_RAW!I590</f>
        <v/>
      </c>
      <c r="H592" s="31">
        <f>CHAIN_RAW!Q590</f>
        <v/>
      </c>
      <c r="I592" s="31">
        <f>LET(pc,F592,oc,H592,IF(OR(pc="",oc=""),"",IF(AND(pc&gt;0,oc&gt;0),"Long Buildup",IF(AND(pc&lt;0,oc&gt;0),"Short Buildup",IF(AND(pc&gt;0,oc&lt;0),"Short Covering",IF(AND(pc&lt;0,oc&lt;0),"Long Unwinding","Flat"))))))</f>
        <v/>
      </c>
      <c r="J592" s="31">
        <f>LET(pc,ABS(F592),oc,ABS(H592),IF(OR(pc="",oc=""),"",MAX(1,MIN(5,ROUND((pc*0.5+oc*0.00001)*5,0))))))</f>
        <v/>
      </c>
    </row>
    <row r="593">
      <c r="A593" s="31" t="n">
        <v>591</v>
      </c>
      <c r="B593" s="31">
        <f>CHAIN_RAW!D591</f>
        <v/>
      </c>
      <c r="C593" s="31">
        <f>CHAIN_RAW!A591</f>
        <v/>
      </c>
      <c r="D593" s="31">
        <f>CHAIN_RAW!C591</f>
        <v/>
      </c>
      <c r="E593" s="31">
        <f>CHAIN_RAW!E591</f>
        <v/>
      </c>
      <c r="F593" s="31">
        <f>CHAIN_RAW!F591</f>
        <v/>
      </c>
      <c r="G593" s="31">
        <f>CHAIN_RAW!I591</f>
        <v/>
      </c>
      <c r="H593" s="31">
        <f>CHAIN_RAW!Q591</f>
        <v/>
      </c>
      <c r="I593" s="31">
        <f>LET(pc,F593,oc,H593,IF(OR(pc="",oc=""),"",IF(AND(pc&gt;0,oc&gt;0),"Long Buildup",IF(AND(pc&lt;0,oc&gt;0),"Short Buildup",IF(AND(pc&gt;0,oc&lt;0),"Short Covering",IF(AND(pc&lt;0,oc&lt;0),"Long Unwinding","Flat"))))))</f>
        <v/>
      </c>
      <c r="J593" s="31">
        <f>LET(pc,ABS(F593),oc,ABS(H593),IF(OR(pc="",oc=""),"",MAX(1,MIN(5,ROUND((pc*0.5+oc*0.00001)*5,0))))))</f>
        <v/>
      </c>
    </row>
    <row r="594">
      <c r="A594" s="31" t="n">
        <v>592</v>
      </c>
      <c r="B594" s="31">
        <f>CHAIN_RAW!D592</f>
        <v/>
      </c>
      <c r="C594" s="31">
        <f>CHAIN_RAW!A592</f>
        <v/>
      </c>
      <c r="D594" s="31">
        <f>CHAIN_RAW!C592</f>
        <v/>
      </c>
      <c r="E594" s="31">
        <f>CHAIN_RAW!E592</f>
        <v/>
      </c>
      <c r="F594" s="31">
        <f>CHAIN_RAW!F592</f>
        <v/>
      </c>
      <c r="G594" s="31">
        <f>CHAIN_RAW!I592</f>
        <v/>
      </c>
      <c r="H594" s="31">
        <f>CHAIN_RAW!Q592</f>
        <v/>
      </c>
      <c r="I594" s="31">
        <f>LET(pc,F594,oc,H594,IF(OR(pc="",oc=""),"",IF(AND(pc&gt;0,oc&gt;0),"Long Buildup",IF(AND(pc&lt;0,oc&gt;0),"Short Buildup",IF(AND(pc&gt;0,oc&lt;0),"Short Covering",IF(AND(pc&lt;0,oc&lt;0),"Long Unwinding","Flat"))))))</f>
        <v/>
      </c>
      <c r="J594" s="31">
        <f>LET(pc,ABS(F594),oc,ABS(H594),IF(OR(pc="",oc=""),"",MAX(1,MIN(5,ROUND((pc*0.5+oc*0.00001)*5,0))))))</f>
        <v/>
      </c>
    </row>
    <row r="595">
      <c r="A595" s="31" t="n">
        <v>593</v>
      </c>
      <c r="B595" s="31">
        <f>CHAIN_RAW!D593</f>
        <v/>
      </c>
      <c r="C595" s="31">
        <f>CHAIN_RAW!A593</f>
        <v/>
      </c>
      <c r="D595" s="31">
        <f>CHAIN_RAW!C593</f>
        <v/>
      </c>
      <c r="E595" s="31">
        <f>CHAIN_RAW!E593</f>
        <v/>
      </c>
      <c r="F595" s="31">
        <f>CHAIN_RAW!F593</f>
        <v/>
      </c>
      <c r="G595" s="31">
        <f>CHAIN_RAW!I593</f>
        <v/>
      </c>
      <c r="H595" s="31">
        <f>CHAIN_RAW!Q593</f>
        <v/>
      </c>
      <c r="I595" s="31">
        <f>LET(pc,F595,oc,H595,IF(OR(pc="",oc=""),"",IF(AND(pc&gt;0,oc&gt;0),"Long Buildup",IF(AND(pc&lt;0,oc&gt;0),"Short Buildup",IF(AND(pc&gt;0,oc&lt;0),"Short Covering",IF(AND(pc&lt;0,oc&lt;0),"Long Unwinding","Flat"))))))</f>
        <v/>
      </c>
      <c r="J595" s="31">
        <f>LET(pc,ABS(F595),oc,ABS(H595),IF(OR(pc="",oc=""),"",MAX(1,MIN(5,ROUND((pc*0.5+oc*0.00001)*5,0))))))</f>
        <v/>
      </c>
    </row>
    <row r="596">
      <c r="A596" s="31" t="n">
        <v>594</v>
      </c>
      <c r="B596" s="31">
        <f>CHAIN_RAW!D594</f>
        <v/>
      </c>
      <c r="C596" s="31">
        <f>CHAIN_RAW!A594</f>
        <v/>
      </c>
      <c r="D596" s="31">
        <f>CHAIN_RAW!C594</f>
        <v/>
      </c>
      <c r="E596" s="31">
        <f>CHAIN_RAW!E594</f>
        <v/>
      </c>
      <c r="F596" s="31">
        <f>CHAIN_RAW!F594</f>
        <v/>
      </c>
      <c r="G596" s="31">
        <f>CHAIN_RAW!I594</f>
        <v/>
      </c>
      <c r="H596" s="31">
        <f>CHAIN_RAW!Q594</f>
        <v/>
      </c>
      <c r="I596" s="31">
        <f>LET(pc,F596,oc,H596,IF(OR(pc="",oc=""),"",IF(AND(pc&gt;0,oc&gt;0),"Long Buildup",IF(AND(pc&lt;0,oc&gt;0),"Short Buildup",IF(AND(pc&gt;0,oc&lt;0),"Short Covering",IF(AND(pc&lt;0,oc&lt;0),"Long Unwinding","Flat"))))))</f>
        <v/>
      </c>
      <c r="J596" s="31">
        <f>LET(pc,ABS(F596),oc,ABS(H596),IF(OR(pc="",oc=""),"",MAX(1,MIN(5,ROUND((pc*0.5+oc*0.00001)*5,0))))))</f>
        <v/>
      </c>
    </row>
    <row r="597">
      <c r="A597" s="31" t="n">
        <v>595</v>
      </c>
      <c r="B597" s="31">
        <f>CHAIN_RAW!D595</f>
        <v/>
      </c>
      <c r="C597" s="31">
        <f>CHAIN_RAW!A595</f>
        <v/>
      </c>
      <c r="D597" s="31">
        <f>CHAIN_RAW!C595</f>
        <v/>
      </c>
      <c r="E597" s="31">
        <f>CHAIN_RAW!E595</f>
        <v/>
      </c>
      <c r="F597" s="31">
        <f>CHAIN_RAW!F595</f>
        <v/>
      </c>
      <c r="G597" s="31">
        <f>CHAIN_RAW!I595</f>
        <v/>
      </c>
      <c r="H597" s="31">
        <f>CHAIN_RAW!Q595</f>
        <v/>
      </c>
      <c r="I597" s="31">
        <f>LET(pc,F597,oc,H597,IF(OR(pc="",oc=""),"",IF(AND(pc&gt;0,oc&gt;0),"Long Buildup",IF(AND(pc&lt;0,oc&gt;0),"Short Buildup",IF(AND(pc&gt;0,oc&lt;0),"Short Covering",IF(AND(pc&lt;0,oc&lt;0),"Long Unwinding","Flat"))))))</f>
        <v/>
      </c>
      <c r="J597" s="31">
        <f>LET(pc,ABS(F597),oc,ABS(H597),IF(OR(pc="",oc=""),"",MAX(1,MIN(5,ROUND((pc*0.5+oc*0.00001)*5,0))))))</f>
        <v/>
      </c>
    </row>
    <row r="598">
      <c r="A598" s="31" t="n">
        <v>596</v>
      </c>
      <c r="B598" s="31">
        <f>CHAIN_RAW!D596</f>
        <v/>
      </c>
      <c r="C598" s="31">
        <f>CHAIN_RAW!A596</f>
        <v/>
      </c>
      <c r="D598" s="31">
        <f>CHAIN_RAW!C596</f>
        <v/>
      </c>
      <c r="E598" s="31">
        <f>CHAIN_RAW!E596</f>
        <v/>
      </c>
      <c r="F598" s="31">
        <f>CHAIN_RAW!F596</f>
        <v/>
      </c>
      <c r="G598" s="31">
        <f>CHAIN_RAW!I596</f>
        <v/>
      </c>
      <c r="H598" s="31">
        <f>CHAIN_RAW!Q596</f>
        <v/>
      </c>
      <c r="I598" s="31">
        <f>LET(pc,F598,oc,H598,IF(OR(pc="",oc=""),"",IF(AND(pc&gt;0,oc&gt;0),"Long Buildup",IF(AND(pc&lt;0,oc&gt;0),"Short Buildup",IF(AND(pc&gt;0,oc&lt;0),"Short Covering",IF(AND(pc&lt;0,oc&lt;0),"Long Unwinding","Flat"))))))</f>
        <v/>
      </c>
      <c r="J598" s="31">
        <f>LET(pc,ABS(F598),oc,ABS(H598),IF(OR(pc="",oc=""),"",MAX(1,MIN(5,ROUND((pc*0.5+oc*0.00001)*5,0))))))</f>
        <v/>
      </c>
    </row>
    <row r="599">
      <c r="A599" s="31" t="n">
        <v>597</v>
      </c>
      <c r="B599" s="31">
        <f>CHAIN_RAW!D597</f>
        <v/>
      </c>
      <c r="C599" s="31">
        <f>CHAIN_RAW!A597</f>
        <v/>
      </c>
      <c r="D599" s="31">
        <f>CHAIN_RAW!C597</f>
        <v/>
      </c>
      <c r="E599" s="31">
        <f>CHAIN_RAW!E597</f>
        <v/>
      </c>
      <c r="F599" s="31">
        <f>CHAIN_RAW!F597</f>
        <v/>
      </c>
      <c r="G599" s="31">
        <f>CHAIN_RAW!I597</f>
        <v/>
      </c>
      <c r="H599" s="31">
        <f>CHAIN_RAW!Q597</f>
        <v/>
      </c>
      <c r="I599" s="31">
        <f>LET(pc,F599,oc,H599,IF(OR(pc="",oc=""),"",IF(AND(pc&gt;0,oc&gt;0),"Long Buildup",IF(AND(pc&lt;0,oc&gt;0),"Short Buildup",IF(AND(pc&gt;0,oc&lt;0),"Short Covering",IF(AND(pc&lt;0,oc&lt;0),"Long Unwinding","Flat"))))))</f>
        <v/>
      </c>
      <c r="J599" s="31">
        <f>LET(pc,ABS(F599),oc,ABS(H599),IF(OR(pc="",oc=""),"",MAX(1,MIN(5,ROUND((pc*0.5+oc*0.00001)*5,0))))))</f>
        <v/>
      </c>
    </row>
    <row r="600">
      <c r="A600" s="31" t="n">
        <v>598</v>
      </c>
      <c r="B600" s="31">
        <f>CHAIN_RAW!D598</f>
        <v/>
      </c>
      <c r="C600" s="31">
        <f>CHAIN_RAW!A598</f>
        <v/>
      </c>
      <c r="D600" s="31">
        <f>CHAIN_RAW!C598</f>
        <v/>
      </c>
      <c r="E600" s="31">
        <f>CHAIN_RAW!E598</f>
        <v/>
      </c>
      <c r="F600" s="31">
        <f>CHAIN_RAW!F598</f>
        <v/>
      </c>
      <c r="G600" s="31">
        <f>CHAIN_RAW!I598</f>
        <v/>
      </c>
      <c r="H600" s="31">
        <f>CHAIN_RAW!Q598</f>
        <v/>
      </c>
      <c r="I600" s="31">
        <f>LET(pc,F600,oc,H600,IF(OR(pc="",oc=""),"",IF(AND(pc&gt;0,oc&gt;0),"Long Buildup",IF(AND(pc&lt;0,oc&gt;0),"Short Buildup",IF(AND(pc&gt;0,oc&lt;0),"Short Covering",IF(AND(pc&lt;0,oc&lt;0),"Long Unwinding","Flat"))))))</f>
        <v/>
      </c>
      <c r="J600" s="31">
        <f>LET(pc,ABS(F600),oc,ABS(H600),IF(OR(pc="",oc=""),"",MAX(1,MIN(5,ROUND((pc*0.5+oc*0.00001)*5,0))))))</f>
        <v/>
      </c>
    </row>
    <row r="601">
      <c r="A601" s="31" t="n">
        <v>599</v>
      </c>
      <c r="B601" s="31">
        <f>CHAIN_RAW!D599</f>
        <v/>
      </c>
      <c r="C601" s="31">
        <f>CHAIN_RAW!A599</f>
        <v/>
      </c>
      <c r="D601" s="31">
        <f>CHAIN_RAW!C599</f>
        <v/>
      </c>
      <c r="E601" s="31">
        <f>CHAIN_RAW!E599</f>
        <v/>
      </c>
      <c r="F601" s="31">
        <f>CHAIN_RAW!F599</f>
        <v/>
      </c>
      <c r="G601" s="31">
        <f>CHAIN_RAW!I599</f>
        <v/>
      </c>
      <c r="H601" s="31">
        <f>CHAIN_RAW!Q599</f>
        <v/>
      </c>
      <c r="I601" s="31">
        <f>LET(pc,F601,oc,H601,IF(OR(pc="",oc=""),"",IF(AND(pc&gt;0,oc&gt;0),"Long Buildup",IF(AND(pc&lt;0,oc&gt;0),"Short Buildup",IF(AND(pc&gt;0,oc&lt;0),"Short Covering",IF(AND(pc&lt;0,oc&lt;0),"Long Unwinding","Flat"))))))</f>
        <v/>
      </c>
      <c r="J601" s="31">
        <f>LET(pc,ABS(F601),oc,ABS(H601),IF(OR(pc="",oc=""),"",MAX(1,MIN(5,ROUND((pc*0.5+oc*0.00001)*5,0))))))</f>
        <v/>
      </c>
    </row>
    <row r="602">
      <c r="A602" s="31" t="n">
        <v>600</v>
      </c>
      <c r="B602" s="31">
        <f>CHAIN_RAW!D600</f>
        <v/>
      </c>
      <c r="C602" s="31">
        <f>CHAIN_RAW!A600</f>
        <v/>
      </c>
      <c r="D602" s="31">
        <f>CHAIN_RAW!C600</f>
        <v/>
      </c>
      <c r="E602" s="31">
        <f>CHAIN_RAW!E600</f>
        <v/>
      </c>
      <c r="F602" s="31">
        <f>CHAIN_RAW!F600</f>
        <v/>
      </c>
      <c r="G602" s="31">
        <f>CHAIN_RAW!I600</f>
        <v/>
      </c>
      <c r="H602" s="31">
        <f>CHAIN_RAW!Q600</f>
        <v/>
      </c>
      <c r="I602" s="31">
        <f>LET(pc,F602,oc,H602,IF(OR(pc="",oc=""),"",IF(AND(pc&gt;0,oc&gt;0),"Long Buildup",IF(AND(pc&lt;0,oc&gt;0),"Short Buildup",IF(AND(pc&gt;0,oc&lt;0),"Short Covering",IF(AND(pc&lt;0,oc&lt;0),"Long Unwinding","Flat"))))))</f>
        <v/>
      </c>
      <c r="J602" s="31">
        <f>LET(pc,ABS(F602),oc,ABS(H602),IF(OR(pc="",oc=""),"",MAX(1,MIN(5,ROUND((pc*0.5+oc*0.00001)*5,0))))))</f>
        <v/>
      </c>
    </row>
    <row r="603">
      <c r="A603" s="31" t="n">
        <v>601</v>
      </c>
      <c r="B603" s="31">
        <f>CHAIN_RAW!D601</f>
        <v/>
      </c>
      <c r="C603" s="31">
        <f>CHAIN_RAW!A601</f>
        <v/>
      </c>
      <c r="D603" s="31">
        <f>CHAIN_RAW!C601</f>
        <v/>
      </c>
      <c r="E603" s="31">
        <f>CHAIN_RAW!E601</f>
        <v/>
      </c>
      <c r="F603" s="31">
        <f>CHAIN_RAW!F601</f>
        <v/>
      </c>
      <c r="G603" s="31">
        <f>CHAIN_RAW!I601</f>
        <v/>
      </c>
      <c r="H603" s="31">
        <f>CHAIN_RAW!Q601</f>
        <v/>
      </c>
      <c r="I603" s="31">
        <f>LET(pc,F603,oc,H603,IF(OR(pc="",oc=""),"",IF(AND(pc&gt;0,oc&gt;0),"Long Buildup",IF(AND(pc&lt;0,oc&gt;0),"Short Buildup",IF(AND(pc&gt;0,oc&lt;0),"Short Covering",IF(AND(pc&lt;0,oc&lt;0),"Long Unwinding","Flat"))))))</f>
        <v/>
      </c>
      <c r="J603" s="31">
        <f>LET(pc,ABS(F603),oc,ABS(H603),IF(OR(pc="",oc=""),"",MAX(1,MIN(5,ROUND((pc*0.5+oc*0.00001)*5,0))))))</f>
        <v/>
      </c>
    </row>
    <row r="604">
      <c r="A604" s="31" t="n">
        <v>602</v>
      </c>
      <c r="B604" s="31">
        <f>CHAIN_RAW!D602</f>
        <v/>
      </c>
      <c r="C604" s="31">
        <f>CHAIN_RAW!A602</f>
        <v/>
      </c>
      <c r="D604" s="31">
        <f>CHAIN_RAW!C602</f>
        <v/>
      </c>
      <c r="E604" s="31">
        <f>CHAIN_RAW!E602</f>
        <v/>
      </c>
      <c r="F604" s="31">
        <f>CHAIN_RAW!F602</f>
        <v/>
      </c>
      <c r="G604" s="31">
        <f>CHAIN_RAW!I602</f>
        <v/>
      </c>
      <c r="H604" s="31">
        <f>CHAIN_RAW!Q602</f>
        <v/>
      </c>
      <c r="I604" s="31">
        <f>LET(pc,F604,oc,H604,IF(OR(pc="",oc=""),"",IF(AND(pc&gt;0,oc&gt;0),"Long Buildup",IF(AND(pc&lt;0,oc&gt;0),"Short Buildup",IF(AND(pc&gt;0,oc&lt;0),"Short Covering",IF(AND(pc&lt;0,oc&lt;0),"Long Unwinding","Flat"))))))</f>
        <v/>
      </c>
      <c r="J604" s="31">
        <f>LET(pc,ABS(F604),oc,ABS(H604),IF(OR(pc="",oc=""),"",MAX(1,MIN(5,ROUND((pc*0.5+oc*0.00001)*5,0))))))</f>
        <v/>
      </c>
    </row>
    <row r="605">
      <c r="A605" s="31" t="n">
        <v>603</v>
      </c>
      <c r="B605" s="31">
        <f>CHAIN_RAW!D603</f>
        <v/>
      </c>
      <c r="C605" s="31">
        <f>CHAIN_RAW!A603</f>
        <v/>
      </c>
      <c r="D605" s="31">
        <f>CHAIN_RAW!C603</f>
        <v/>
      </c>
      <c r="E605" s="31">
        <f>CHAIN_RAW!E603</f>
        <v/>
      </c>
      <c r="F605" s="31">
        <f>CHAIN_RAW!F603</f>
        <v/>
      </c>
      <c r="G605" s="31">
        <f>CHAIN_RAW!I603</f>
        <v/>
      </c>
      <c r="H605" s="31">
        <f>CHAIN_RAW!Q603</f>
        <v/>
      </c>
      <c r="I605" s="31">
        <f>LET(pc,F605,oc,H605,IF(OR(pc="",oc=""),"",IF(AND(pc&gt;0,oc&gt;0),"Long Buildup",IF(AND(pc&lt;0,oc&gt;0),"Short Buildup",IF(AND(pc&gt;0,oc&lt;0),"Short Covering",IF(AND(pc&lt;0,oc&lt;0),"Long Unwinding","Flat"))))))</f>
        <v/>
      </c>
      <c r="J605" s="31">
        <f>LET(pc,ABS(F605),oc,ABS(H605),IF(OR(pc="",oc=""),"",MAX(1,MIN(5,ROUND((pc*0.5+oc*0.00001)*5,0))))))</f>
        <v/>
      </c>
    </row>
    <row r="606">
      <c r="A606" s="31" t="n">
        <v>604</v>
      </c>
      <c r="B606" s="31">
        <f>CHAIN_RAW!D604</f>
        <v/>
      </c>
      <c r="C606" s="31">
        <f>CHAIN_RAW!A604</f>
        <v/>
      </c>
      <c r="D606" s="31">
        <f>CHAIN_RAW!C604</f>
        <v/>
      </c>
      <c r="E606" s="31">
        <f>CHAIN_RAW!E604</f>
        <v/>
      </c>
      <c r="F606" s="31">
        <f>CHAIN_RAW!F604</f>
        <v/>
      </c>
      <c r="G606" s="31">
        <f>CHAIN_RAW!I604</f>
        <v/>
      </c>
      <c r="H606" s="31">
        <f>CHAIN_RAW!Q604</f>
        <v/>
      </c>
      <c r="I606" s="31">
        <f>LET(pc,F606,oc,H606,IF(OR(pc="",oc=""),"",IF(AND(pc&gt;0,oc&gt;0),"Long Buildup",IF(AND(pc&lt;0,oc&gt;0),"Short Buildup",IF(AND(pc&gt;0,oc&lt;0),"Short Covering",IF(AND(pc&lt;0,oc&lt;0),"Long Unwinding","Flat"))))))</f>
        <v/>
      </c>
      <c r="J606" s="31">
        <f>LET(pc,ABS(F606),oc,ABS(H606),IF(OR(pc="",oc=""),"",MAX(1,MIN(5,ROUND((pc*0.5+oc*0.00001)*5,0))))))</f>
        <v/>
      </c>
    </row>
    <row r="607">
      <c r="A607" s="31" t="n">
        <v>605</v>
      </c>
      <c r="B607" s="31">
        <f>CHAIN_RAW!D605</f>
        <v/>
      </c>
      <c r="C607" s="31">
        <f>CHAIN_RAW!A605</f>
        <v/>
      </c>
      <c r="D607" s="31">
        <f>CHAIN_RAW!C605</f>
        <v/>
      </c>
      <c r="E607" s="31">
        <f>CHAIN_RAW!E605</f>
        <v/>
      </c>
      <c r="F607" s="31">
        <f>CHAIN_RAW!F605</f>
        <v/>
      </c>
      <c r="G607" s="31">
        <f>CHAIN_RAW!I605</f>
        <v/>
      </c>
      <c r="H607" s="31">
        <f>CHAIN_RAW!Q605</f>
        <v/>
      </c>
      <c r="I607" s="31">
        <f>LET(pc,F607,oc,H607,IF(OR(pc="",oc=""),"",IF(AND(pc&gt;0,oc&gt;0),"Long Buildup",IF(AND(pc&lt;0,oc&gt;0),"Short Buildup",IF(AND(pc&gt;0,oc&lt;0),"Short Covering",IF(AND(pc&lt;0,oc&lt;0),"Long Unwinding","Flat"))))))</f>
        <v/>
      </c>
      <c r="J607" s="31">
        <f>LET(pc,ABS(F607),oc,ABS(H607),IF(OR(pc="",oc=""),"",MAX(1,MIN(5,ROUND((pc*0.5+oc*0.00001)*5,0))))))</f>
        <v/>
      </c>
    </row>
    <row r="608">
      <c r="A608" s="31" t="n">
        <v>606</v>
      </c>
      <c r="B608" s="31">
        <f>CHAIN_RAW!D606</f>
        <v/>
      </c>
      <c r="C608" s="31">
        <f>CHAIN_RAW!A606</f>
        <v/>
      </c>
      <c r="D608" s="31">
        <f>CHAIN_RAW!C606</f>
        <v/>
      </c>
      <c r="E608" s="31">
        <f>CHAIN_RAW!E606</f>
        <v/>
      </c>
      <c r="F608" s="31">
        <f>CHAIN_RAW!F606</f>
        <v/>
      </c>
      <c r="G608" s="31">
        <f>CHAIN_RAW!I606</f>
        <v/>
      </c>
      <c r="H608" s="31">
        <f>CHAIN_RAW!Q606</f>
        <v/>
      </c>
      <c r="I608" s="31">
        <f>LET(pc,F608,oc,H608,IF(OR(pc="",oc=""),"",IF(AND(pc&gt;0,oc&gt;0),"Long Buildup",IF(AND(pc&lt;0,oc&gt;0),"Short Buildup",IF(AND(pc&gt;0,oc&lt;0),"Short Covering",IF(AND(pc&lt;0,oc&lt;0),"Long Unwinding","Flat"))))))</f>
        <v/>
      </c>
      <c r="J608" s="31">
        <f>LET(pc,ABS(F608),oc,ABS(H608),IF(OR(pc="",oc=""),"",MAX(1,MIN(5,ROUND((pc*0.5+oc*0.00001)*5,0))))))</f>
        <v/>
      </c>
    </row>
    <row r="609">
      <c r="A609" s="31" t="n">
        <v>607</v>
      </c>
      <c r="B609" s="31">
        <f>CHAIN_RAW!D607</f>
        <v/>
      </c>
      <c r="C609" s="31">
        <f>CHAIN_RAW!A607</f>
        <v/>
      </c>
      <c r="D609" s="31">
        <f>CHAIN_RAW!C607</f>
        <v/>
      </c>
      <c r="E609" s="31">
        <f>CHAIN_RAW!E607</f>
        <v/>
      </c>
      <c r="F609" s="31">
        <f>CHAIN_RAW!F607</f>
        <v/>
      </c>
      <c r="G609" s="31">
        <f>CHAIN_RAW!I607</f>
        <v/>
      </c>
      <c r="H609" s="31">
        <f>CHAIN_RAW!Q607</f>
        <v/>
      </c>
      <c r="I609" s="31">
        <f>LET(pc,F609,oc,H609,IF(OR(pc="",oc=""),"",IF(AND(pc&gt;0,oc&gt;0),"Long Buildup",IF(AND(pc&lt;0,oc&gt;0),"Short Buildup",IF(AND(pc&gt;0,oc&lt;0),"Short Covering",IF(AND(pc&lt;0,oc&lt;0),"Long Unwinding","Flat"))))))</f>
        <v/>
      </c>
      <c r="J609" s="31">
        <f>LET(pc,ABS(F609),oc,ABS(H609),IF(OR(pc="",oc=""),"",MAX(1,MIN(5,ROUND((pc*0.5+oc*0.00001)*5,0))))))</f>
        <v/>
      </c>
    </row>
    <row r="610">
      <c r="A610" s="31" t="n">
        <v>608</v>
      </c>
      <c r="B610" s="31">
        <f>CHAIN_RAW!D608</f>
        <v/>
      </c>
      <c r="C610" s="31">
        <f>CHAIN_RAW!A608</f>
        <v/>
      </c>
      <c r="D610" s="31">
        <f>CHAIN_RAW!C608</f>
        <v/>
      </c>
      <c r="E610" s="31">
        <f>CHAIN_RAW!E608</f>
        <v/>
      </c>
      <c r="F610" s="31">
        <f>CHAIN_RAW!F608</f>
        <v/>
      </c>
      <c r="G610" s="31">
        <f>CHAIN_RAW!I608</f>
        <v/>
      </c>
      <c r="H610" s="31">
        <f>CHAIN_RAW!Q608</f>
        <v/>
      </c>
      <c r="I610" s="31">
        <f>LET(pc,F610,oc,H610,IF(OR(pc="",oc=""),"",IF(AND(pc&gt;0,oc&gt;0),"Long Buildup",IF(AND(pc&lt;0,oc&gt;0),"Short Buildup",IF(AND(pc&gt;0,oc&lt;0),"Short Covering",IF(AND(pc&lt;0,oc&lt;0),"Long Unwinding","Flat"))))))</f>
        <v/>
      </c>
      <c r="J610" s="31">
        <f>LET(pc,ABS(F610),oc,ABS(H610),IF(OR(pc="",oc=""),"",MAX(1,MIN(5,ROUND((pc*0.5+oc*0.00001)*5,0))))))</f>
        <v/>
      </c>
    </row>
    <row r="611">
      <c r="A611" s="31" t="n">
        <v>609</v>
      </c>
      <c r="B611" s="31">
        <f>CHAIN_RAW!D609</f>
        <v/>
      </c>
      <c r="C611" s="31">
        <f>CHAIN_RAW!A609</f>
        <v/>
      </c>
      <c r="D611" s="31">
        <f>CHAIN_RAW!C609</f>
        <v/>
      </c>
      <c r="E611" s="31">
        <f>CHAIN_RAW!E609</f>
        <v/>
      </c>
      <c r="F611" s="31">
        <f>CHAIN_RAW!F609</f>
        <v/>
      </c>
      <c r="G611" s="31">
        <f>CHAIN_RAW!I609</f>
        <v/>
      </c>
      <c r="H611" s="31">
        <f>CHAIN_RAW!Q609</f>
        <v/>
      </c>
      <c r="I611" s="31">
        <f>LET(pc,F611,oc,H611,IF(OR(pc="",oc=""),"",IF(AND(pc&gt;0,oc&gt;0),"Long Buildup",IF(AND(pc&lt;0,oc&gt;0),"Short Buildup",IF(AND(pc&gt;0,oc&lt;0),"Short Covering",IF(AND(pc&lt;0,oc&lt;0),"Long Unwinding","Flat"))))))</f>
        <v/>
      </c>
      <c r="J611" s="31">
        <f>LET(pc,ABS(F611),oc,ABS(H611),IF(OR(pc="",oc=""),"",MAX(1,MIN(5,ROUND((pc*0.5+oc*0.00001)*5,0))))))</f>
        <v/>
      </c>
    </row>
    <row r="612">
      <c r="A612" s="31" t="n">
        <v>610</v>
      </c>
      <c r="B612" s="31">
        <f>CHAIN_RAW!D610</f>
        <v/>
      </c>
      <c r="C612" s="31">
        <f>CHAIN_RAW!A610</f>
        <v/>
      </c>
      <c r="D612" s="31">
        <f>CHAIN_RAW!C610</f>
        <v/>
      </c>
      <c r="E612" s="31">
        <f>CHAIN_RAW!E610</f>
        <v/>
      </c>
      <c r="F612" s="31">
        <f>CHAIN_RAW!F610</f>
        <v/>
      </c>
      <c r="G612" s="31">
        <f>CHAIN_RAW!I610</f>
        <v/>
      </c>
      <c r="H612" s="31">
        <f>CHAIN_RAW!Q610</f>
        <v/>
      </c>
      <c r="I612" s="31">
        <f>LET(pc,F612,oc,H612,IF(OR(pc="",oc=""),"",IF(AND(pc&gt;0,oc&gt;0),"Long Buildup",IF(AND(pc&lt;0,oc&gt;0),"Short Buildup",IF(AND(pc&gt;0,oc&lt;0),"Short Covering",IF(AND(pc&lt;0,oc&lt;0),"Long Unwinding","Flat"))))))</f>
        <v/>
      </c>
      <c r="J612" s="31">
        <f>LET(pc,ABS(F612),oc,ABS(H612),IF(OR(pc="",oc=""),"",MAX(1,MIN(5,ROUND((pc*0.5+oc*0.00001)*5,0))))))</f>
        <v/>
      </c>
    </row>
    <row r="613">
      <c r="A613" s="31" t="n">
        <v>611</v>
      </c>
      <c r="B613" s="31">
        <f>CHAIN_RAW!D611</f>
        <v/>
      </c>
      <c r="C613" s="31">
        <f>CHAIN_RAW!A611</f>
        <v/>
      </c>
      <c r="D613" s="31">
        <f>CHAIN_RAW!C611</f>
        <v/>
      </c>
      <c r="E613" s="31">
        <f>CHAIN_RAW!E611</f>
        <v/>
      </c>
      <c r="F613" s="31">
        <f>CHAIN_RAW!F611</f>
        <v/>
      </c>
      <c r="G613" s="31">
        <f>CHAIN_RAW!I611</f>
        <v/>
      </c>
      <c r="H613" s="31">
        <f>CHAIN_RAW!Q611</f>
        <v/>
      </c>
      <c r="I613" s="31">
        <f>LET(pc,F613,oc,H613,IF(OR(pc="",oc=""),"",IF(AND(pc&gt;0,oc&gt;0),"Long Buildup",IF(AND(pc&lt;0,oc&gt;0),"Short Buildup",IF(AND(pc&gt;0,oc&lt;0),"Short Covering",IF(AND(pc&lt;0,oc&lt;0),"Long Unwinding","Flat"))))))</f>
        <v/>
      </c>
      <c r="J613" s="31">
        <f>LET(pc,ABS(F613),oc,ABS(H613),IF(OR(pc="",oc=""),"",MAX(1,MIN(5,ROUND((pc*0.5+oc*0.00001)*5,0))))))</f>
        <v/>
      </c>
    </row>
    <row r="614">
      <c r="A614" s="31" t="n">
        <v>612</v>
      </c>
      <c r="B614" s="31">
        <f>CHAIN_RAW!D612</f>
        <v/>
      </c>
      <c r="C614" s="31">
        <f>CHAIN_RAW!A612</f>
        <v/>
      </c>
      <c r="D614" s="31">
        <f>CHAIN_RAW!C612</f>
        <v/>
      </c>
      <c r="E614" s="31">
        <f>CHAIN_RAW!E612</f>
        <v/>
      </c>
      <c r="F614" s="31">
        <f>CHAIN_RAW!F612</f>
        <v/>
      </c>
      <c r="G614" s="31">
        <f>CHAIN_RAW!I612</f>
        <v/>
      </c>
      <c r="H614" s="31">
        <f>CHAIN_RAW!Q612</f>
        <v/>
      </c>
      <c r="I614" s="31">
        <f>LET(pc,F614,oc,H614,IF(OR(pc="",oc=""),"",IF(AND(pc&gt;0,oc&gt;0),"Long Buildup",IF(AND(pc&lt;0,oc&gt;0),"Short Buildup",IF(AND(pc&gt;0,oc&lt;0),"Short Covering",IF(AND(pc&lt;0,oc&lt;0),"Long Unwinding","Flat"))))))</f>
        <v/>
      </c>
      <c r="J614" s="31">
        <f>LET(pc,ABS(F614),oc,ABS(H614),IF(OR(pc="",oc=""),"",MAX(1,MIN(5,ROUND((pc*0.5+oc*0.00001)*5,0))))))</f>
        <v/>
      </c>
    </row>
    <row r="615">
      <c r="A615" s="31" t="n">
        <v>613</v>
      </c>
      <c r="B615" s="31">
        <f>CHAIN_RAW!D613</f>
        <v/>
      </c>
      <c r="C615" s="31">
        <f>CHAIN_RAW!A613</f>
        <v/>
      </c>
      <c r="D615" s="31">
        <f>CHAIN_RAW!C613</f>
        <v/>
      </c>
      <c r="E615" s="31">
        <f>CHAIN_RAW!E613</f>
        <v/>
      </c>
      <c r="F615" s="31">
        <f>CHAIN_RAW!F613</f>
        <v/>
      </c>
      <c r="G615" s="31">
        <f>CHAIN_RAW!I613</f>
        <v/>
      </c>
      <c r="H615" s="31">
        <f>CHAIN_RAW!Q613</f>
        <v/>
      </c>
      <c r="I615" s="31">
        <f>LET(pc,F615,oc,H615,IF(OR(pc="",oc=""),"",IF(AND(pc&gt;0,oc&gt;0),"Long Buildup",IF(AND(pc&lt;0,oc&gt;0),"Short Buildup",IF(AND(pc&gt;0,oc&lt;0),"Short Covering",IF(AND(pc&lt;0,oc&lt;0),"Long Unwinding","Flat"))))))</f>
        <v/>
      </c>
      <c r="J615" s="31">
        <f>LET(pc,ABS(F615),oc,ABS(H615),IF(OR(pc="",oc=""),"",MAX(1,MIN(5,ROUND((pc*0.5+oc*0.00001)*5,0))))))</f>
        <v/>
      </c>
    </row>
    <row r="616">
      <c r="A616" s="31" t="n">
        <v>614</v>
      </c>
      <c r="B616" s="31">
        <f>CHAIN_RAW!D614</f>
        <v/>
      </c>
      <c r="C616" s="31">
        <f>CHAIN_RAW!A614</f>
        <v/>
      </c>
      <c r="D616" s="31">
        <f>CHAIN_RAW!C614</f>
        <v/>
      </c>
      <c r="E616" s="31">
        <f>CHAIN_RAW!E614</f>
        <v/>
      </c>
      <c r="F616" s="31">
        <f>CHAIN_RAW!F614</f>
        <v/>
      </c>
      <c r="G616" s="31">
        <f>CHAIN_RAW!I614</f>
        <v/>
      </c>
      <c r="H616" s="31">
        <f>CHAIN_RAW!Q614</f>
        <v/>
      </c>
      <c r="I616" s="31">
        <f>LET(pc,F616,oc,H616,IF(OR(pc="",oc=""),"",IF(AND(pc&gt;0,oc&gt;0),"Long Buildup",IF(AND(pc&lt;0,oc&gt;0),"Short Buildup",IF(AND(pc&gt;0,oc&lt;0),"Short Covering",IF(AND(pc&lt;0,oc&lt;0),"Long Unwinding","Flat"))))))</f>
        <v/>
      </c>
      <c r="J616" s="31">
        <f>LET(pc,ABS(F616),oc,ABS(H616),IF(OR(pc="",oc=""),"",MAX(1,MIN(5,ROUND((pc*0.5+oc*0.00001)*5,0))))))</f>
        <v/>
      </c>
    </row>
    <row r="617">
      <c r="A617" s="31" t="n">
        <v>615</v>
      </c>
      <c r="B617" s="31">
        <f>CHAIN_RAW!D615</f>
        <v/>
      </c>
      <c r="C617" s="31">
        <f>CHAIN_RAW!A615</f>
        <v/>
      </c>
      <c r="D617" s="31">
        <f>CHAIN_RAW!C615</f>
        <v/>
      </c>
      <c r="E617" s="31">
        <f>CHAIN_RAW!E615</f>
        <v/>
      </c>
      <c r="F617" s="31">
        <f>CHAIN_RAW!F615</f>
        <v/>
      </c>
      <c r="G617" s="31">
        <f>CHAIN_RAW!I615</f>
        <v/>
      </c>
      <c r="H617" s="31">
        <f>CHAIN_RAW!Q615</f>
        <v/>
      </c>
      <c r="I617" s="31">
        <f>LET(pc,F617,oc,H617,IF(OR(pc="",oc=""),"",IF(AND(pc&gt;0,oc&gt;0),"Long Buildup",IF(AND(pc&lt;0,oc&gt;0),"Short Buildup",IF(AND(pc&gt;0,oc&lt;0),"Short Covering",IF(AND(pc&lt;0,oc&lt;0),"Long Unwinding","Flat"))))))</f>
        <v/>
      </c>
      <c r="J617" s="31">
        <f>LET(pc,ABS(F617),oc,ABS(H617),IF(OR(pc="",oc=""),"",MAX(1,MIN(5,ROUND((pc*0.5+oc*0.00001)*5,0))))))</f>
        <v/>
      </c>
    </row>
    <row r="618">
      <c r="A618" s="31" t="n">
        <v>616</v>
      </c>
      <c r="B618" s="31">
        <f>CHAIN_RAW!D616</f>
        <v/>
      </c>
      <c r="C618" s="31">
        <f>CHAIN_RAW!A616</f>
        <v/>
      </c>
      <c r="D618" s="31">
        <f>CHAIN_RAW!C616</f>
        <v/>
      </c>
      <c r="E618" s="31">
        <f>CHAIN_RAW!E616</f>
        <v/>
      </c>
      <c r="F618" s="31">
        <f>CHAIN_RAW!F616</f>
        <v/>
      </c>
      <c r="G618" s="31">
        <f>CHAIN_RAW!I616</f>
        <v/>
      </c>
      <c r="H618" s="31">
        <f>CHAIN_RAW!Q616</f>
        <v/>
      </c>
      <c r="I618" s="31">
        <f>LET(pc,F618,oc,H618,IF(OR(pc="",oc=""),"",IF(AND(pc&gt;0,oc&gt;0),"Long Buildup",IF(AND(pc&lt;0,oc&gt;0),"Short Buildup",IF(AND(pc&gt;0,oc&lt;0),"Short Covering",IF(AND(pc&lt;0,oc&lt;0),"Long Unwinding","Flat"))))))</f>
        <v/>
      </c>
      <c r="J618" s="31">
        <f>LET(pc,ABS(F618),oc,ABS(H618),IF(OR(pc="",oc=""),"",MAX(1,MIN(5,ROUND((pc*0.5+oc*0.00001)*5,0))))))</f>
        <v/>
      </c>
    </row>
    <row r="619">
      <c r="A619" s="31" t="n">
        <v>617</v>
      </c>
      <c r="B619" s="31">
        <f>CHAIN_RAW!D617</f>
        <v/>
      </c>
      <c r="C619" s="31">
        <f>CHAIN_RAW!A617</f>
        <v/>
      </c>
      <c r="D619" s="31">
        <f>CHAIN_RAW!C617</f>
        <v/>
      </c>
      <c r="E619" s="31">
        <f>CHAIN_RAW!E617</f>
        <v/>
      </c>
      <c r="F619" s="31">
        <f>CHAIN_RAW!F617</f>
        <v/>
      </c>
      <c r="G619" s="31">
        <f>CHAIN_RAW!I617</f>
        <v/>
      </c>
      <c r="H619" s="31">
        <f>CHAIN_RAW!Q617</f>
        <v/>
      </c>
      <c r="I619" s="31">
        <f>LET(pc,F619,oc,H619,IF(OR(pc="",oc=""),"",IF(AND(pc&gt;0,oc&gt;0),"Long Buildup",IF(AND(pc&lt;0,oc&gt;0),"Short Buildup",IF(AND(pc&gt;0,oc&lt;0),"Short Covering",IF(AND(pc&lt;0,oc&lt;0),"Long Unwinding","Flat"))))))</f>
        <v/>
      </c>
      <c r="J619" s="31">
        <f>LET(pc,ABS(F619),oc,ABS(H619),IF(OR(pc="",oc=""),"",MAX(1,MIN(5,ROUND((pc*0.5+oc*0.00001)*5,0))))))</f>
        <v/>
      </c>
    </row>
    <row r="620">
      <c r="A620" s="31" t="n">
        <v>618</v>
      </c>
      <c r="B620" s="31">
        <f>CHAIN_RAW!D618</f>
        <v/>
      </c>
      <c r="C620" s="31">
        <f>CHAIN_RAW!A618</f>
        <v/>
      </c>
      <c r="D620" s="31">
        <f>CHAIN_RAW!C618</f>
        <v/>
      </c>
      <c r="E620" s="31">
        <f>CHAIN_RAW!E618</f>
        <v/>
      </c>
      <c r="F620" s="31">
        <f>CHAIN_RAW!F618</f>
        <v/>
      </c>
      <c r="G620" s="31">
        <f>CHAIN_RAW!I618</f>
        <v/>
      </c>
      <c r="H620" s="31">
        <f>CHAIN_RAW!Q618</f>
        <v/>
      </c>
      <c r="I620" s="31">
        <f>LET(pc,F620,oc,H620,IF(OR(pc="",oc=""),"",IF(AND(pc&gt;0,oc&gt;0),"Long Buildup",IF(AND(pc&lt;0,oc&gt;0),"Short Buildup",IF(AND(pc&gt;0,oc&lt;0),"Short Covering",IF(AND(pc&lt;0,oc&lt;0),"Long Unwinding","Flat"))))))</f>
        <v/>
      </c>
      <c r="J620" s="31">
        <f>LET(pc,ABS(F620),oc,ABS(H620),IF(OR(pc="",oc=""),"",MAX(1,MIN(5,ROUND((pc*0.5+oc*0.00001)*5,0))))))</f>
        <v/>
      </c>
    </row>
    <row r="621">
      <c r="A621" s="31" t="n">
        <v>619</v>
      </c>
      <c r="B621" s="31">
        <f>CHAIN_RAW!D619</f>
        <v/>
      </c>
      <c r="C621" s="31">
        <f>CHAIN_RAW!A619</f>
        <v/>
      </c>
      <c r="D621" s="31">
        <f>CHAIN_RAW!C619</f>
        <v/>
      </c>
      <c r="E621" s="31">
        <f>CHAIN_RAW!E619</f>
        <v/>
      </c>
      <c r="F621" s="31">
        <f>CHAIN_RAW!F619</f>
        <v/>
      </c>
      <c r="G621" s="31">
        <f>CHAIN_RAW!I619</f>
        <v/>
      </c>
      <c r="H621" s="31">
        <f>CHAIN_RAW!Q619</f>
        <v/>
      </c>
      <c r="I621" s="31">
        <f>LET(pc,F621,oc,H621,IF(OR(pc="",oc=""),"",IF(AND(pc&gt;0,oc&gt;0),"Long Buildup",IF(AND(pc&lt;0,oc&gt;0),"Short Buildup",IF(AND(pc&gt;0,oc&lt;0),"Short Covering",IF(AND(pc&lt;0,oc&lt;0),"Long Unwinding","Flat"))))))</f>
        <v/>
      </c>
      <c r="J621" s="31">
        <f>LET(pc,ABS(F621),oc,ABS(H621),IF(OR(pc="",oc=""),"",MAX(1,MIN(5,ROUND((pc*0.5+oc*0.00001)*5,0))))))</f>
        <v/>
      </c>
    </row>
    <row r="622">
      <c r="A622" s="31" t="n">
        <v>620</v>
      </c>
      <c r="B622" s="31">
        <f>CHAIN_RAW!D620</f>
        <v/>
      </c>
      <c r="C622" s="31">
        <f>CHAIN_RAW!A620</f>
        <v/>
      </c>
      <c r="D622" s="31">
        <f>CHAIN_RAW!C620</f>
        <v/>
      </c>
      <c r="E622" s="31">
        <f>CHAIN_RAW!E620</f>
        <v/>
      </c>
      <c r="F622" s="31">
        <f>CHAIN_RAW!F620</f>
        <v/>
      </c>
      <c r="G622" s="31">
        <f>CHAIN_RAW!I620</f>
        <v/>
      </c>
      <c r="H622" s="31">
        <f>CHAIN_RAW!Q620</f>
        <v/>
      </c>
      <c r="I622" s="31">
        <f>LET(pc,F622,oc,H622,IF(OR(pc="",oc=""),"",IF(AND(pc&gt;0,oc&gt;0),"Long Buildup",IF(AND(pc&lt;0,oc&gt;0),"Short Buildup",IF(AND(pc&gt;0,oc&lt;0),"Short Covering",IF(AND(pc&lt;0,oc&lt;0),"Long Unwinding","Flat"))))))</f>
        <v/>
      </c>
      <c r="J622" s="31">
        <f>LET(pc,ABS(F622),oc,ABS(H622),IF(OR(pc="",oc=""),"",MAX(1,MIN(5,ROUND((pc*0.5+oc*0.00001)*5,0))))))</f>
        <v/>
      </c>
    </row>
    <row r="623">
      <c r="A623" s="31" t="n">
        <v>621</v>
      </c>
      <c r="B623" s="31">
        <f>CHAIN_RAW!D621</f>
        <v/>
      </c>
      <c r="C623" s="31">
        <f>CHAIN_RAW!A621</f>
        <v/>
      </c>
      <c r="D623" s="31">
        <f>CHAIN_RAW!C621</f>
        <v/>
      </c>
      <c r="E623" s="31">
        <f>CHAIN_RAW!E621</f>
        <v/>
      </c>
      <c r="F623" s="31">
        <f>CHAIN_RAW!F621</f>
        <v/>
      </c>
      <c r="G623" s="31">
        <f>CHAIN_RAW!I621</f>
        <v/>
      </c>
      <c r="H623" s="31">
        <f>CHAIN_RAW!Q621</f>
        <v/>
      </c>
      <c r="I623" s="31">
        <f>LET(pc,F623,oc,H623,IF(OR(pc="",oc=""),"",IF(AND(pc&gt;0,oc&gt;0),"Long Buildup",IF(AND(pc&lt;0,oc&gt;0),"Short Buildup",IF(AND(pc&gt;0,oc&lt;0),"Short Covering",IF(AND(pc&lt;0,oc&lt;0),"Long Unwinding","Flat"))))))</f>
        <v/>
      </c>
      <c r="J623" s="31">
        <f>LET(pc,ABS(F623),oc,ABS(H623),IF(OR(pc="",oc=""),"",MAX(1,MIN(5,ROUND((pc*0.5+oc*0.00001)*5,0))))))</f>
        <v/>
      </c>
    </row>
    <row r="624">
      <c r="A624" s="31" t="n">
        <v>622</v>
      </c>
      <c r="B624" s="31">
        <f>CHAIN_RAW!D622</f>
        <v/>
      </c>
      <c r="C624" s="31">
        <f>CHAIN_RAW!A622</f>
        <v/>
      </c>
      <c r="D624" s="31">
        <f>CHAIN_RAW!C622</f>
        <v/>
      </c>
      <c r="E624" s="31">
        <f>CHAIN_RAW!E622</f>
        <v/>
      </c>
      <c r="F624" s="31">
        <f>CHAIN_RAW!F622</f>
        <v/>
      </c>
      <c r="G624" s="31">
        <f>CHAIN_RAW!I622</f>
        <v/>
      </c>
      <c r="H624" s="31">
        <f>CHAIN_RAW!Q622</f>
        <v/>
      </c>
      <c r="I624" s="31">
        <f>LET(pc,F624,oc,H624,IF(OR(pc="",oc=""),"",IF(AND(pc&gt;0,oc&gt;0),"Long Buildup",IF(AND(pc&lt;0,oc&gt;0),"Short Buildup",IF(AND(pc&gt;0,oc&lt;0),"Short Covering",IF(AND(pc&lt;0,oc&lt;0),"Long Unwinding","Flat"))))))</f>
        <v/>
      </c>
      <c r="J624" s="31">
        <f>LET(pc,ABS(F624),oc,ABS(H624),IF(OR(pc="",oc=""),"",MAX(1,MIN(5,ROUND((pc*0.5+oc*0.00001)*5,0))))))</f>
        <v/>
      </c>
    </row>
    <row r="625">
      <c r="A625" s="31" t="n">
        <v>623</v>
      </c>
      <c r="B625" s="31">
        <f>CHAIN_RAW!D623</f>
        <v/>
      </c>
      <c r="C625" s="31">
        <f>CHAIN_RAW!A623</f>
        <v/>
      </c>
      <c r="D625" s="31">
        <f>CHAIN_RAW!C623</f>
        <v/>
      </c>
      <c r="E625" s="31">
        <f>CHAIN_RAW!E623</f>
        <v/>
      </c>
      <c r="F625" s="31">
        <f>CHAIN_RAW!F623</f>
        <v/>
      </c>
      <c r="G625" s="31">
        <f>CHAIN_RAW!I623</f>
        <v/>
      </c>
      <c r="H625" s="31">
        <f>CHAIN_RAW!Q623</f>
        <v/>
      </c>
      <c r="I625" s="31">
        <f>LET(pc,F625,oc,H625,IF(OR(pc="",oc=""),"",IF(AND(pc&gt;0,oc&gt;0),"Long Buildup",IF(AND(pc&lt;0,oc&gt;0),"Short Buildup",IF(AND(pc&gt;0,oc&lt;0),"Short Covering",IF(AND(pc&lt;0,oc&lt;0),"Long Unwinding","Flat"))))))</f>
        <v/>
      </c>
      <c r="J625" s="31">
        <f>LET(pc,ABS(F625),oc,ABS(H625),IF(OR(pc="",oc=""),"",MAX(1,MIN(5,ROUND((pc*0.5+oc*0.00001)*5,0))))))</f>
        <v/>
      </c>
    </row>
    <row r="626">
      <c r="A626" s="31" t="n">
        <v>624</v>
      </c>
      <c r="B626" s="31">
        <f>CHAIN_RAW!D624</f>
        <v/>
      </c>
      <c r="C626" s="31">
        <f>CHAIN_RAW!A624</f>
        <v/>
      </c>
      <c r="D626" s="31">
        <f>CHAIN_RAW!C624</f>
        <v/>
      </c>
      <c r="E626" s="31">
        <f>CHAIN_RAW!E624</f>
        <v/>
      </c>
      <c r="F626" s="31">
        <f>CHAIN_RAW!F624</f>
        <v/>
      </c>
      <c r="G626" s="31">
        <f>CHAIN_RAW!I624</f>
        <v/>
      </c>
      <c r="H626" s="31">
        <f>CHAIN_RAW!Q624</f>
        <v/>
      </c>
      <c r="I626" s="31">
        <f>LET(pc,F626,oc,H626,IF(OR(pc="",oc=""),"",IF(AND(pc&gt;0,oc&gt;0),"Long Buildup",IF(AND(pc&lt;0,oc&gt;0),"Short Buildup",IF(AND(pc&gt;0,oc&lt;0),"Short Covering",IF(AND(pc&lt;0,oc&lt;0),"Long Unwinding","Flat"))))))</f>
        <v/>
      </c>
      <c r="J626" s="31">
        <f>LET(pc,ABS(F626),oc,ABS(H626),IF(OR(pc="",oc=""),"",MAX(1,MIN(5,ROUND((pc*0.5+oc*0.00001)*5,0))))))</f>
        <v/>
      </c>
    </row>
    <row r="627">
      <c r="A627" s="31" t="n">
        <v>625</v>
      </c>
      <c r="B627" s="31">
        <f>CHAIN_RAW!D625</f>
        <v/>
      </c>
      <c r="C627" s="31">
        <f>CHAIN_RAW!A625</f>
        <v/>
      </c>
      <c r="D627" s="31">
        <f>CHAIN_RAW!C625</f>
        <v/>
      </c>
      <c r="E627" s="31">
        <f>CHAIN_RAW!E625</f>
        <v/>
      </c>
      <c r="F627" s="31">
        <f>CHAIN_RAW!F625</f>
        <v/>
      </c>
      <c r="G627" s="31">
        <f>CHAIN_RAW!I625</f>
        <v/>
      </c>
      <c r="H627" s="31">
        <f>CHAIN_RAW!Q625</f>
        <v/>
      </c>
      <c r="I627" s="31">
        <f>LET(pc,F627,oc,H627,IF(OR(pc="",oc=""),"",IF(AND(pc&gt;0,oc&gt;0),"Long Buildup",IF(AND(pc&lt;0,oc&gt;0),"Short Buildup",IF(AND(pc&gt;0,oc&lt;0),"Short Covering",IF(AND(pc&lt;0,oc&lt;0),"Long Unwinding","Flat"))))))</f>
        <v/>
      </c>
      <c r="J627" s="31">
        <f>LET(pc,ABS(F627),oc,ABS(H627),IF(OR(pc="",oc=""),"",MAX(1,MIN(5,ROUND((pc*0.5+oc*0.00001)*5,0))))))</f>
        <v/>
      </c>
    </row>
    <row r="628">
      <c r="A628" s="31" t="n">
        <v>626</v>
      </c>
      <c r="B628" s="31">
        <f>CHAIN_RAW!D626</f>
        <v/>
      </c>
      <c r="C628" s="31">
        <f>CHAIN_RAW!A626</f>
        <v/>
      </c>
      <c r="D628" s="31">
        <f>CHAIN_RAW!C626</f>
        <v/>
      </c>
      <c r="E628" s="31">
        <f>CHAIN_RAW!E626</f>
        <v/>
      </c>
      <c r="F628" s="31">
        <f>CHAIN_RAW!F626</f>
        <v/>
      </c>
      <c r="G628" s="31">
        <f>CHAIN_RAW!I626</f>
        <v/>
      </c>
      <c r="H628" s="31">
        <f>CHAIN_RAW!Q626</f>
        <v/>
      </c>
      <c r="I628" s="31">
        <f>LET(pc,F628,oc,H628,IF(OR(pc="",oc=""),"",IF(AND(pc&gt;0,oc&gt;0),"Long Buildup",IF(AND(pc&lt;0,oc&gt;0),"Short Buildup",IF(AND(pc&gt;0,oc&lt;0),"Short Covering",IF(AND(pc&lt;0,oc&lt;0),"Long Unwinding","Flat"))))))</f>
        <v/>
      </c>
      <c r="J628" s="31">
        <f>LET(pc,ABS(F628),oc,ABS(H628),IF(OR(pc="",oc=""),"",MAX(1,MIN(5,ROUND((pc*0.5+oc*0.00001)*5,0))))))</f>
        <v/>
      </c>
    </row>
    <row r="629">
      <c r="A629" s="31" t="n">
        <v>627</v>
      </c>
      <c r="B629" s="31">
        <f>CHAIN_RAW!D627</f>
        <v/>
      </c>
      <c r="C629" s="31">
        <f>CHAIN_RAW!A627</f>
        <v/>
      </c>
      <c r="D629" s="31">
        <f>CHAIN_RAW!C627</f>
        <v/>
      </c>
      <c r="E629" s="31">
        <f>CHAIN_RAW!E627</f>
        <v/>
      </c>
      <c r="F629" s="31">
        <f>CHAIN_RAW!F627</f>
        <v/>
      </c>
      <c r="G629" s="31">
        <f>CHAIN_RAW!I627</f>
        <v/>
      </c>
      <c r="H629" s="31">
        <f>CHAIN_RAW!Q627</f>
        <v/>
      </c>
      <c r="I629" s="31">
        <f>LET(pc,F629,oc,H629,IF(OR(pc="",oc=""),"",IF(AND(pc&gt;0,oc&gt;0),"Long Buildup",IF(AND(pc&lt;0,oc&gt;0),"Short Buildup",IF(AND(pc&gt;0,oc&lt;0),"Short Covering",IF(AND(pc&lt;0,oc&lt;0),"Long Unwinding","Flat"))))))</f>
        <v/>
      </c>
      <c r="J629" s="31">
        <f>LET(pc,ABS(F629),oc,ABS(H629),IF(OR(pc="",oc=""),"",MAX(1,MIN(5,ROUND((pc*0.5+oc*0.00001)*5,0))))))</f>
        <v/>
      </c>
    </row>
    <row r="630">
      <c r="A630" s="31" t="n">
        <v>628</v>
      </c>
      <c r="B630" s="31">
        <f>CHAIN_RAW!D628</f>
        <v/>
      </c>
      <c r="C630" s="31">
        <f>CHAIN_RAW!A628</f>
        <v/>
      </c>
      <c r="D630" s="31">
        <f>CHAIN_RAW!C628</f>
        <v/>
      </c>
      <c r="E630" s="31">
        <f>CHAIN_RAW!E628</f>
        <v/>
      </c>
      <c r="F630" s="31">
        <f>CHAIN_RAW!F628</f>
        <v/>
      </c>
      <c r="G630" s="31">
        <f>CHAIN_RAW!I628</f>
        <v/>
      </c>
      <c r="H630" s="31">
        <f>CHAIN_RAW!Q628</f>
        <v/>
      </c>
      <c r="I630" s="31">
        <f>LET(pc,F630,oc,H630,IF(OR(pc="",oc=""),"",IF(AND(pc&gt;0,oc&gt;0),"Long Buildup",IF(AND(pc&lt;0,oc&gt;0),"Short Buildup",IF(AND(pc&gt;0,oc&lt;0),"Short Covering",IF(AND(pc&lt;0,oc&lt;0),"Long Unwinding","Flat"))))))</f>
        <v/>
      </c>
      <c r="J630" s="31">
        <f>LET(pc,ABS(F630),oc,ABS(H630),IF(OR(pc="",oc=""),"",MAX(1,MIN(5,ROUND((pc*0.5+oc*0.00001)*5,0))))))</f>
        <v/>
      </c>
    </row>
    <row r="631">
      <c r="A631" s="31" t="n">
        <v>629</v>
      </c>
      <c r="B631" s="31">
        <f>CHAIN_RAW!D629</f>
        <v/>
      </c>
      <c r="C631" s="31">
        <f>CHAIN_RAW!A629</f>
        <v/>
      </c>
      <c r="D631" s="31">
        <f>CHAIN_RAW!C629</f>
        <v/>
      </c>
      <c r="E631" s="31">
        <f>CHAIN_RAW!E629</f>
        <v/>
      </c>
      <c r="F631" s="31">
        <f>CHAIN_RAW!F629</f>
        <v/>
      </c>
      <c r="G631" s="31">
        <f>CHAIN_RAW!I629</f>
        <v/>
      </c>
      <c r="H631" s="31">
        <f>CHAIN_RAW!Q629</f>
        <v/>
      </c>
      <c r="I631" s="31">
        <f>LET(pc,F631,oc,H631,IF(OR(pc="",oc=""),"",IF(AND(pc&gt;0,oc&gt;0),"Long Buildup",IF(AND(pc&lt;0,oc&gt;0),"Short Buildup",IF(AND(pc&gt;0,oc&lt;0),"Short Covering",IF(AND(pc&lt;0,oc&lt;0),"Long Unwinding","Flat"))))))</f>
        <v/>
      </c>
      <c r="J631" s="31">
        <f>LET(pc,ABS(F631),oc,ABS(H631),IF(OR(pc="",oc=""),"",MAX(1,MIN(5,ROUND((pc*0.5+oc*0.00001)*5,0))))))</f>
        <v/>
      </c>
    </row>
    <row r="632">
      <c r="A632" s="31" t="n">
        <v>630</v>
      </c>
      <c r="B632" s="31">
        <f>CHAIN_RAW!D630</f>
        <v/>
      </c>
      <c r="C632" s="31">
        <f>CHAIN_RAW!A630</f>
        <v/>
      </c>
      <c r="D632" s="31">
        <f>CHAIN_RAW!C630</f>
        <v/>
      </c>
      <c r="E632" s="31">
        <f>CHAIN_RAW!E630</f>
        <v/>
      </c>
      <c r="F632" s="31">
        <f>CHAIN_RAW!F630</f>
        <v/>
      </c>
      <c r="G632" s="31">
        <f>CHAIN_RAW!I630</f>
        <v/>
      </c>
      <c r="H632" s="31">
        <f>CHAIN_RAW!Q630</f>
        <v/>
      </c>
      <c r="I632" s="31">
        <f>LET(pc,F632,oc,H632,IF(OR(pc="",oc=""),"",IF(AND(pc&gt;0,oc&gt;0),"Long Buildup",IF(AND(pc&lt;0,oc&gt;0),"Short Buildup",IF(AND(pc&gt;0,oc&lt;0),"Short Covering",IF(AND(pc&lt;0,oc&lt;0),"Long Unwinding","Flat"))))))</f>
        <v/>
      </c>
      <c r="J632" s="31">
        <f>LET(pc,ABS(F632),oc,ABS(H632),IF(OR(pc="",oc=""),"",MAX(1,MIN(5,ROUND((pc*0.5+oc*0.00001)*5,0))))))</f>
        <v/>
      </c>
    </row>
    <row r="633">
      <c r="A633" s="31" t="n">
        <v>631</v>
      </c>
      <c r="B633" s="31">
        <f>CHAIN_RAW!D631</f>
        <v/>
      </c>
      <c r="C633" s="31">
        <f>CHAIN_RAW!A631</f>
        <v/>
      </c>
      <c r="D633" s="31">
        <f>CHAIN_RAW!C631</f>
        <v/>
      </c>
      <c r="E633" s="31">
        <f>CHAIN_RAW!E631</f>
        <v/>
      </c>
      <c r="F633" s="31">
        <f>CHAIN_RAW!F631</f>
        <v/>
      </c>
      <c r="G633" s="31">
        <f>CHAIN_RAW!I631</f>
        <v/>
      </c>
      <c r="H633" s="31">
        <f>CHAIN_RAW!Q631</f>
        <v/>
      </c>
      <c r="I633" s="31">
        <f>LET(pc,F633,oc,H633,IF(OR(pc="",oc=""),"",IF(AND(pc&gt;0,oc&gt;0),"Long Buildup",IF(AND(pc&lt;0,oc&gt;0),"Short Buildup",IF(AND(pc&gt;0,oc&lt;0),"Short Covering",IF(AND(pc&lt;0,oc&lt;0),"Long Unwinding","Flat"))))))</f>
        <v/>
      </c>
      <c r="J633" s="31">
        <f>LET(pc,ABS(F633),oc,ABS(H633),IF(OR(pc="",oc=""),"",MAX(1,MIN(5,ROUND((pc*0.5+oc*0.00001)*5,0))))))</f>
        <v/>
      </c>
    </row>
    <row r="634">
      <c r="A634" s="31" t="n">
        <v>632</v>
      </c>
      <c r="B634" s="31">
        <f>CHAIN_RAW!D632</f>
        <v/>
      </c>
      <c r="C634" s="31">
        <f>CHAIN_RAW!A632</f>
        <v/>
      </c>
      <c r="D634" s="31">
        <f>CHAIN_RAW!C632</f>
        <v/>
      </c>
      <c r="E634" s="31">
        <f>CHAIN_RAW!E632</f>
        <v/>
      </c>
      <c r="F634" s="31">
        <f>CHAIN_RAW!F632</f>
        <v/>
      </c>
      <c r="G634" s="31">
        <f>CHAIN_RAW!I632</f>
        <v/>
      </c>
      <c r="H634" s="31">
        <f>CHAIN_RAW!Q632</f>
        <v/>
      </c>
      <c r="I634" s="31">
        <f>LET(pc,F634,oc,H634,IF(OR(pc="",oc=""),"",IF(AND(pc&gt;0,oc&gt;0),"Long Buildup",IF(AND(pc&lt;0,oc&gt;0),"Short Buildup",IF(AND(pc&gt;0,oc&lt;0),"Short Covering",IF(AND(pc&lt;0,oc&lt;0),"Long Unwinding","Flat"))))))</f>
        <v/>
      </c>
      <c r="J634" s="31">
        <f>LET(pc,ABS(F634),oc,ABS(H634),IF(OR(pc="",oc=""),"",MAX(1,MIN(5,ROUND((pc*0.5+oc*0.00001)*5,0))))))</f>
        <v/>
      </c>
    </row>
    <row r="635">
      <c r="A635" s="31" t="n">
        <v>633</v>
      </c>
      <c r="B635" s="31">
        <f>CHAIN_RAW!D633</f>
        <v/>
      </c>
      <c r="C635" s="31">
        <f>CHAIN_RAW!A633</f>
        <v/>
      </c>
      <c r="D635" s="31">
        <f>CHAIN_RAW!C633</f>
        <v/>
      </c>
      <c r="E635" s="31">
        <f>CHAIN_RAW!E633</f>
        <v/>
      </c>
      <c r="F635" s="31">
        <f>CHAIN_RAW!F633</f>
        <v/>
      </c>
      <c r="G635" s="31">
        <f>CHAIN_RAW!I633</f>
        <v/>
      </c>
      <c r="H635" s="31">
        <f>CHAIN_RAW!Q633</f>
        <v/>
      </c>
      <c r="I635" s="31">
        <f>LET(pc,F635,oc,H635,IF(OR(pc="",oc=""),"",IF(AND(pc&gt;0,oc&gt;0),"Long Buildup",IF(AND(pc&lt;0,oc&gt;0),"Short Buildup",IF(AND(pc&gt;0,oc&lt;0),"Short Covering",IF(AND(pc&lt;0,oc&lt;0),"Long Unwinding","Flat"))))))</f>
        <v/>
      </c>
      <c r="J635" s="31">
        <f>LET(pc,ABS(F635),oc,ABS(H635),IF(OR(pc="",oc=""),"",MAX(1,MIN(5,ROUND((pc*0.5+oc*0.00001)*5,0))))))</f>
        <v/>
      </c>
    </row>
    <row r="636">
      <c r="A636" s="31" t="n">
        <v>634</v>
      </c>
      <c r="B636" s="31">
        <f>CHAIN_RAW!D634</f>
        <v/>
      </c>
      <c r="C636" s="31">
        <f>CHAIN_RAW!A634</f>
        <v/>
      </c>
      <c r="D636" s="31">
        <f>CHAIN_RAW!C634</f>
        <v/>
      </c>
      <c r="E636" s="31">
        <f>CHAIN_RAW!E634</f>
        <v/>
      </c>
      <c r="F636" s="31">
        <f>CHAIN_RAW!F634</f>
        <v/>
      </c>
      <c r="G636" s="31">
        <f>CHAIN_RAW!I634</f>
        <v/>
      </c>
      <c r="H636" s="31">
        <f>CHAIN_RAW!Q634</f>
        <v/>
      </c>
      <c r="I636" s="31">
        <f>LET(pc,F636,oc,H636,IF(OR(pc="",oc=""),"",IF(AND(pc&gt;0,oc&gt;0),"Long Buildup",IF(AND(pc&lt;0,oc&gt;0),"Short Buildup",IF(AND(pc&gt;0,oc&lt;0),"Short Covering",IF(AND(pc&lt;0,oc&lt;0),"Long Unwinding","Flat"))))))</f>
        <v/>
      </c>
      <c r="J636" s="31">
        <f>LET(pc,ABS(F636),oc,ABS(H636),IF(OR(pc="",oc=""),"",MAX(1,MIN(5,ROUND((pc*0.5+oc*0.00001)*5,0))))))</f>
        <v/>
      </c>
    </row>
    <row r="637">
      <c r="A637" s="31" t="n">
        <v>635</v>
      </c>
      <c r="B637" s="31">
        <f>CHAIN_RAW!D635</f>
        <v/>
      </c>
      <c r="C637" s="31">
        <f>CHAIN_RAW!A635</f>
        <v/>
      </c>
      <c r="D637" s="31">
        <f>CHAIN_RAW!C635</f>
        <v/>
      </c>
      <c r="E637" s="31">
        <f>CHAIN_RAW!E635</f>
        <v/>
      </c>
      <c r="F637" s="31">
        <f>CHAIN_RAW!F635</f>
        <v/>
      </c>
      <c r="G637" s="31">
        <f>CHAIN_RAW!I635</f>
        <v/>
      </c>
      <c r="H637" s="31">
        <f>CHAIN_RAW!Q635</f>
        <v/>
      </c>
      <c r="I637" s="31">
        <f>LET(pc,F637,oc,H637,IF(OR(pc="",oc=""),"",IF(AND(pc&gt;0,oc&gt;0),"Long Buildup",IF(AND(pc&lt;0,oc&gt;0),"Short Buildup",IF(AND(pc&gt;0,oc&lt;0),"Short Covering",IF(AND(pc&lt;0,oc&lt;0),"Long Unwinding","Flat"))))))</f>
        <v/>
      </c>
      <c r="J637" s="31">
        <f>LET(pc,ABS(F637),oc,ABS(H637),IF(OR(pc="",oc=""),"",MAX(1,MIN(5,ROUND((pc*0.5+oc*0.00001)*5,0))))))</f>
        <v/>
      </c>
    </row>
    <row r="638">
      <c r="A638" s="31" t="n">
        <v>636</v>
      </c>
      <c r="B638" s="31">
        <f>CHAIN_RAW!D636</f>
        <v/>
      </c>
      <c r="C638" s="31">
        <f>CHAIN_RAW!A636</f>
        <v/>
      </c>
      <c r="D638" s="31">
        <f>CHAIN_RAW!C636</f>
        <v/>
      </c>
      <c r="E638" s="31">
        <f>CHAIN_RAW!E636</f>
        <v/>
      </c>
      <c r="F638" s="31">
        <f>CHAIN_RAW!F636</f>
        <v/>
      </c>
      <c r="G638" s="31">
        <f>CHAIN_RAW!I636</f>
        <v/>
      </c>
      <c r="H638" s="31">
        <f>CHAIN_RAW!Q636</f>
        <v/>
      </c>
      <c r="I638" s="31">
        <f>LET(pc,F638,oc,H638,IF(OR(pc="",oc=""),"",IF(AND(pc&gt;0,oc&gt;0),"Long Buildup",IF(AND(pc&lt;0,oc&gt;0),"Short Buildup",IF(AND(pc&gt;0,oc&lt;0),"Short Covering",IF(AND(pc&lt;0,oc&lt;0),"Long Unwinding","Flat"))))))</f>
        <v/>
      </c>
      <c r="J638" s="31">
        <f>LET(pc,ABS(F638),oc,ABS(H638),IF(OR(pc="",oc=""),"",MAX(1,MIN(5,ROUND((pc*0.5+oc*0.00001)*5,0))))))</f>
        <v/>
      </c>
    </row>
    <row r="639">
      <c r="A639" s="31" t="n">
        <v>637</v>
      </c>
      <c r="B639" s="31">
        <f>CHAIN_RAW!D637</f>
        <v/>
      </c>
      <c r="C639" s="31">
        <f>CHAIN_RAW!A637</f>
        <v/>
      </c>
      <c r="D639" s="31">
        <f>CHAIN_RAW!C637</f>
        <v/>
      </c>
      <c r="E639" s="31">
        <f>CHAIN_RAW!E637</f>
        <v/>
      </c>
      <c r="F639" s="31">
        <f>CHAIN_RAW!F637</f>
        <v/>
      </c>
      <c r="G639" s="31">
        <f>CHAIN_RAW!I637</f>
        <v/>
      </c>
      <c r="H639" s="31">
        <f>CHAIN_RAW!Q637</f>
        <v/>
      </c>
      <c r="I639" s="31">
        <f>LET(pc,F639,oc,H639,IF(OR(pc="",oc=""),"",IF(AND(pc&gt;0,oc&gt;0),"Long Buildup",IF(AND(pc&lt;0,oc&gt;0),"Short Buildup",IF(AND(pc&gt;0,oc&lt;0),"Short Covering",IF(AND(pc&lt;0,oc&lt;0),"Long Unwinding","Flat"))))))</f>
        <v/>
      </c>
      <c r="J639" s="31">
        <f>LET(pc,ABS(F639),oc,ABS(H639),IF(OR(pc="",oc=""),"",MAX(1,MIN(5,ROUND((pc*0.5+oc*0.00001)*5,0))))))</f>
        <v/>
      </c>
    </row>
    <row r="640">
      <c r="A640" s="31" t="n">
        <v>638</v>
      </c>
      <c r="B640" s="31">
        <f>CHAIN_RAW!D638</f>
        <v/>
      </c>
      <c r="C640" s="31">
        <f>CHAIN_RAW!A638</f>
        <v/>
      </c>
      <c r="D640" s="31">
        <f>CHAIN_RAW!C638</f>
        <v/>
      </c>
      <c r="E640" s="31">
        <f>CHAIN_RAW!E638</f>
        <v/>
      </c>
      <c r="F640" s="31">
        <f>CHAIN_RAW!F638</f>
        <v/>
      </c>
      <c r="G640" s="31">
        <f>CHAIN_RAW!I638</f>
        <v/>
      </c>
      <c r="H640" s="31">
        <f>CHAIN_RAW!Q638</f>
        <v/>
      </c>
      <c r="I640" s="31">
        <f>LET(pc,F640,oc,H640,IF(OR(pc="",oc=""),"",IF(AND(pc&gt;0,oc&gt;0),"Long Buildup",IF(AND(pc&lt;0,oc&gt;0),"Short Buildup",IF(AND(pc&gt;0,oc&lt;0),"Short Covering",IF(AND(pc&lt;0,oc&lt;0),"Long Unwinding","Flat"))))))</f>
        <v/>
      </c>
      <c r="J640" s="31">
        <f>LET(pc,ABS(F640),oc,ABS(H640),IF(OR(pc="",oc=""),"",MAX(1,MIN(5,ROUND((pc*0.5+oc*0.00001)*5,0))))))</f>
        <v/>
      </c>
    </row>
    <row r="641">
      <c r="A641" s="31" t="n">
        <v>639</v>
      </c>
      <c r="B641" s="31">
        <f>CHAIN_RAW!D639</f>
        <v/>
      </c>
      <c r="C641" s="31">
        <f>CHAIN_RAW!A639</f>
        <v/>
      </c>
      <c r="D641" s="31">
        <f>CHAIN_RAW!C639</f>
        <v/>
      </c>
      <c r="E641" s="31">
        <f>CHAIN_RAW!E639</f>
        <v/>
      </c>
      <c r="F641" s="31">
        <f>CHAIN_RAW!F639</f>
        <v/>
      </c>
      <c r="G641" s="31">
        <f>CHAIN_RAW!I639</f>
        <v/>
      </c>
      <c r="H641" s="31">
        <f>CHAIN_RAW!Q639</f>
        <v/>
      </c>
      <c r="I641" s="31">
        <f>LET(pc,F641,oc,H641,IF(OR(pc="",oc=""),"",IF(AND(pc&gt;0,oc&gt;0),"Long Buildup",IF(AND(pc&lt;0,oc&gt;0),"Short Buildup",IF(AND(pc&gt;0,oc&lt;0),"Short Covering",IF(AND(pc&lt;0,oc&lt;0),"Long Unwinding","Flat"))))))</f>
        <v/>
      </c>
      <c r="J641" s="31">
        <f>LET(pc,ABS(F641),oc,ABS(H641),IF(OR(pc="",oc=""),"",MAX(1,MIN(5,ROUND((pc*0.5+oc*0.00001)*5,0))))))</f>
        <v/>
      </c>
    </row>
    <row r="642">
      <c r="A642" s="31" t="n">
        <v>640</v>
      </c>
      <c r="B642" s="31">
        <f>CHAIN_RAW!D640</f>
        <v/>
      </c>
      <c r="C642" s="31">
        <f>CHAIN_RAW!A640</f>
        <v/>
      </c>
      <c r="D642" s="31">
        <f>CHAIN_RAW!C640</f>
        <v/>
      </c>
      <c r="E642" s="31">
        <f>CHAIN_RAW!E640</f>
        <v/>
      </c>
      <c r="F642" s="31">
        <f>CHAIN_RAW!F640</f>
        <v/>
      </c>
      <c r="G642" s="31">
        <f>CHAIN_RAW!I640</f>
        <v/>
      </c>
      <c r="H642" s="31">
        <f>CHAIN_RAW!Q640</f>
        <v/>
      </c>
      <c r="I642" s="31">
        <f>LET(pc,F642,oc,H642,IF(OR(pc="",oc=""),"",IF(AND(pc&gt;0,oc&gt;0),"Long Buildup",IF(AND(pc&lt;0,oc&gt;0),"Short Buildup",IF(AND(pc&gt;0,oc&lt;0),"Short Covering",IF(AND(pc&lt;0,oc&lt;0),"Long Unwinding","Flat"))))))</f>
        <v/>
      </c>
      <c r="J642" s="31">
        <f>LET(pc,ABS(F642),oc,ABS(H642),IF(OR(pc="",oc=""),"",MAX(1,MIN(5,ROUND((pc*0.5+oc*0.00001)*5,0))))))</f>
        <v/>
      </c>
    </row>
    <row r="643">
      <c r="A643" s="31" t="n">
        <v>641</v>
      </c>
      <c r="B643" s="31">
        <f>CHAIN_RAW!D641</f>
        <v/>
      </c>
      <c r="C643" s="31">
        <f>CHAIN_RAW!A641</f>
        <v/>
      </c>
      <c r="D643" s="31">
        <f>CHAIN_RAW!C641</f>
        <v/>
      </c>
      <c r="E643" s="31">
        <f>CHAIN_RAW!E641</f>
        <v/>
      </c>
      <c r="F643" s="31">
        <f>CHAIN_RAW!F641</f>
        <v/>
      </c>
      <c r="G643" s="31">
        <f>CHAIN_RAW!I641</f>
        <v/>
      </c>
      <c r="H643" s="31">
        <f>CHAIN_RAW!Q641</f>
        <v/>
      </c>
      <c r="I643" s="31">
        <f>LET(pc,F643,oc,H643,IF(OR(pc="",oc=""),"",IF(AND(pc&gt;0,oc&gt;0),"Long Buildup",IF(AND(pc&lt;0,oc&gt;0),"Short Buildup",IF(AND(pc&gt;0,oc&lt;0),"Short Covering",IF(AND(pc&lt;0,oc&lt;0),"Long Unwinding","Flat"))))))</f>
        <v/>
      </c>
      <c r="J643" s="31">
        <f>LET(pc,ABS(F643),oc,ABS(H643),IF(OR(pc="",oc=""),"",MAX(1,MIN(5,ROUND((pc*0.5+oc*0.00001)*5,0))))))</f>
        <v/>
      </c>
    </row>
    <row r="644">
      <c r="A644" s="31" t="n">
        <v>642</v>
      </c>
      <c r="B644" s="31">
        <f>CHAIN_RAW!D642</f>
        <v/>
      </c>
      <c r="C644" s="31">
        <f>CHAIN_RAW!A642</f>
        <v/>
      </c>
      <c r="D644" s="31">
        <f>CHAIN_RAW!C642</f>
        <v/>
      </c>
      <c r="E644" s="31">
        <f>CHAIN_RAW!E642</f>
        <v/>
      </c>
      <c r="F644" s="31">
        <f>CHAIN_RAW!F642</f>
        <v/>
      </c>
      <c r="G644" s="31">
        <f>CHAIN_RAW!I642</f>
        <v/>
      </c>
      <c r="H644" s="31">
        <f>CHAIN_RAW!Q642</f>
        <v/>
      </c>
      <c r="I644" s="31">
        <f>LET(pc,F644,oc,H644,IF(OR(pc="",oc=""),"",IF(AND(pc&gt;0,oc&gt;0),"Long Buildup",IF(AND(pc&lt;0,oc&gt;0),"Short Buildup",IF(AND(pc&gt;0,oc&lt;0),"Short Covering",IF(AND(pc&lt;0,oc&lt;0),"Long Unwinding","Flat"))))))</f>
        <v/>
      </c>
      <c r="J644" s="31">
        <f>LET(pc,ABS(F644),oc,ABS(H644),IF(OR(pc="",oc=""),"",MAX(1,MIN(5,ROUND((pc*0.5+oc*0.00001)*5,0))))))</f>
        <v/>
      </c>
    </row>
    <row r="645">
      <c r="A645" s="31" t="n">
        <v>643</v>
      </c>
      <c r="B645" s="31">
        <f>CHAIN_RAW!D643</f>
        <v/>
      </c>
      <c r="C645" s="31">
        <f>CHAIN_RAW!A643</f>
        <v/>
      </c>
      <c r="D645" s="31">
        <f>CHAIN_RAW!C643</f>
        <v/>
      </c>
      <c r="E645" s="31">
        <f>CHAIN_RAW!E643</f>
        <v/>
      </c>
      <c r="F645" s="31">
        <f>CHAIN_RAW!F643</f>
        <v/>
      </c>
      <c r="G645" s="31">
        <f>CHAIN_RAW!I643</f>
        <v/>
      </c>
      <c r="H645" s="31">
        <f>CHAIN_RAW!Q643</f>
        <v/>
      </c>
      <c r="I645" s="31">
        <f>LET(pc,F645,oc,H645,IF(OR(pc="",oc=""),"",IF(AND(pc&gt;0,oc&gt;0),"Long Buildup",IF(AND(pc&lt;0,oc&gt;0),"Short Buildup",IF(AND(pc&gt;0,oc&lt;0),"Short Covering",IF(AND(pc&lt;0,oc&lt;0),"Long Unwinding","Flat"))))))</f>
        <v/>
      </c>
      <c r="J645" s="31">
        <f>LET(pc,ABS(F645),oc,ABS(H645),IF(OR(pc="",oc=""),"",MAX(1,MIN(5,ROUND((pc*0.5+oc*0.00001)*5,0))))))</f>
        <v/>
      </c>
    </row>
    <row r="646">
      <c r="A646" s="31" t="n">
        <v>644</v>
      </c>
      <c r="B646" s="31">
        <f>CHAIN_RAW!D644</f>
        <v/>
      </c>
      <c r="C646" s="31">
        <f>CHAIN_RAW!A644</f>
        <v/>
      </c>
      <c r="D646" s="31">
        <f>CHAIN_RAW!C644</f>
        <v/>
      </c>
      <c r="E646" s="31">
        <f>CHAIN_RAW!E644</f>
        <v/>
      </c>
      <c r="F646" s="31">
        <f>CHAIN_RAW!F644</f>
        <v/>
      </c>
      <c r="G646" s="31">
        <f>CHAIN_RAW!I644</f>
        <v/>
      </c>
      <c r="H646" s="31">
        <f>CHAIN_RAW!Q644</f>
        <v/>
      </c>
      <c r="I646" s="31">
        <f>LET(pc,F646,oc,H646,IF(OR(pc="",oc=""),"",IF(AND(pc&gt;0,oc&gt;0),"Long Buildup",IF(AND(pc&lt;0,oc&gt;0),"Short Buildup",IF(AND(pc&gt;0,oc&lt;0),"Short Covering",IF(AND(pc&lt;0,oc&lt;0),"Long Unwinding","Flat"))))))</f>
        <v/>
      </c>
      <c r="J646" s="31">
        <f>LET(pc,ABS(F646),oc,ABS(H646),IF(OR(pc="",oc=""),"",MAX(1,MIN(5,ROUND((pc*0.5+oc*0.00001)*5,0))))))</f>
        <v/>
      </c>
    </row>
    <row r="647">
      <c r="A647" s="31" t="n">
        <v>645</v>
      </c>
      <c r="B647" s="31">
        <f>CHAIN_RAW!D645</f>
        <v/>
      </c>
      <c r="C647" s="31">
        <f>CHAIN_RAW!A645</f>
        <v/>
      </c>
      <c r="D647" s="31">
        <f>CHAIN_RAW!C645</f>
        <v/>
      </c>
      <c r="E647" s="31">
        <f>CHAIN_RAW!E645</f>
        <v/>
      </c>
      <c r="F647" s="31">
        <f>CHAIN_RAW!F645</f>
        <v/>
      </c>
      <c r="G647" s="31">
        <f>CHAIN_RAW!I645</f>
        <v/>
      </c>
      <c r="H647" s="31">
        <f>CHAIN_RAW!Q645</f>
        <v/>
      </c>
      <c r="I647" s="31">
        <f>LET(pc,F647,oc,H647,IF(OR(pc="",oc=""),"",IF(AND(pc&gt;0,oc&gt;0),"Long Buildup",IF(AND(pc&lt;0,oc&gt;0),"Short Buildup",IF(AND(pc&gt;0,oc&lt;0),"Short Covering",IF(AND(pc&lt;0,oc&lt;0),"Long Unwinding","Flat"))))))</f>
        <v/>
      </c>
      <c r="J647" s="31">
        <f>LET(pc,ABS(F647),oc,ABS(H647),IF(OR(pc="",oc=""),"",MAX(1,MIN(5,ROUND((pc*0.5+oc*0.00001)*5,0))))))</f>
        <v/>
      </c>
    </row>
    <row r="648">
      <c r="A648" s="31" t="n">
        <v>646</v>
      </c>
      <c r="B648" s="31">
        <f>CHAIN_RAW!D646</f>
        <v/>
      </c>
      <c r="C648" s="31">
        <f>CHAIN_RAW!A646</f>
        <v/>
      </c>
      <c r="D648" s="31">
        <f>CHAIN_RAW!C646</f>
        <v/>
      </c>
      <c r="E648" s="31">
        <f>CHAIN_RAW!E646</f>
        <v/>
      </c>
      <c r="F648" s="31">
        <f>CHAIN_RAW!F646</f>
        <v/>
      </c>
      <c r="G648" s="31">
        <f>CHAIN_RAW!I646</f>
        <v/>
      </c>
      <c r="H648" s="31">
        <f>CHAIN_RAW!Q646</f>
        <v/>
      </c>
      <c r="I648" s="31">
        <f>LET(pc,F648,oc,H648,IF(OR(pc="",oc=""),"",IF(AND(pc&gt;0,oc&gt;0),"Long Buildup",IF(AND(pc&lt;0,oc&gt;0),"Short Buildup",IF(AND(pc&gt;0,oc&lt;0),"Short Covering",IF(AND(pc&lt;0,oc&lt;0),"Long Unwinding","Flat"))))))</f>
        <v/>
      </c>
      <c r="J648" s="31">
        <f>LET(pc,ABS(F648),oc,ABS(H648),IF(OR(pc="",oc=""),"",MAX(1,MIN(5,ROUND((pc*0.5+oc*0.00001)*5,0))))))</f>
        <v/>
      </c>
    </row>
    <row r="649">
      <c r="A649" s="31" t="n">
        <v>647</v>
      </c>
      <c r="B649" s="31">
        <f>CHAIN_RAW!D647</f>
        <v/>
      </c>
      <c r="C649" s="31">
        <f>CHAIN_RAW!A647</f>
        <v/>
      </c>
      <c r="D649" s="31">
        <f>CHAIN_RAW!C647</f>
        <v/>
      </c>
      <c r="E649" s="31">
        <f>CHAIN_RAW!E647</f>
        <v/>
      </c>
      <c r="F649" s="31">
        <f>CHAIN_RAW!F647</f>
        <v/>
      </c>
      <c r="G649" s="31">
        <f>CHAIN_RAW!I647</f>
        <v/>
      </c>
      <c r="H649" s="31">
        <f>CHAIN_RAW!Q647</f>
        <v/>
      </c>
      <c r="I649" s="31">
        <f>LET(pc,F649,oc,H649,IF(OR(pc="",oc=""),"",IF(AND(pc&gt;0,oc&gt;0),"Long Buildup",IF(AND(pc&lt;0,oc&gt;0),"Short Buildup",IF(AND(pc&gt;0,oc&lt;0),"Short Covering",IF(AND(pc&lt;0,oc&lt;0),"Long Unwinding","Flat"))))))</f>
        <v/>
      </c>
      <c r="J649" s="31">
        <f>LET(pc,ABS(F649),oc,ABS(H649),IF(OR(pc="",oc=""),"",MAX(1,MIN(5,ROUND((pc*0.5+oc*0.00001)*5,0))))))</f>
        <v/>
      </c>
    </row>
    <row r="650">
      <c r="A650" s="31" t="n">
        <v>648</v>
      </c>
      <c r="B650" s="31">
        <f>CHAIN_RAW!D648</f>
        <v/>
      </c>
      <c r="C650" s="31">
        <f>CHAIN_RAW!A648</f>
        <v/>
      </c>
      <c r="D650" s="31">
        <f>CHAIN_RAW!C648</f>
        <v/>
      </c>
      <c r="E650" s="31">
        <f>CHAIN_RAW!E648</f>
        <v/>
      </c>
      <c r="F650" s="31">
        <f>CHAIN_RAW!F648</f>
        <v/>
      </c>
      <c r="G650" s="31">
        <f>CHAIN_RAW!I648</f>
        <v/>
      </c>
      <c r="H650" s="31">
        <f>CHAIN_RAW!Q648</f>
        <v/>
      </c>
      <c r="I650" s="31">
        <f>LET(pc,F650,oc,H650,IF(OR(pc="",oc=""),"",IF(AND(pc&gt;0,oc&gt;0),"Long Buildup",IF(AND(pc&lt;0,oc&gt;0),"Short Buildup",IF(AND(pc&gt;0,oc&lt;0),"Short Covering",IF(AND(pc&lt;0,oc&lt;0),"Long Unwinding","Flat"))))))</f>
        <v/>
      </c>
      <c r="J650" s="31">
        <f>LET(pc,ABS(F650),oc,ABS(H650),IF(OR(pc="",oc=""),"",MAX(1,MIN(5,ROUND((pc*0.5+oc*0.00001)*5,0))))))</f>
        <v/>
      </c>
    </row>
    <row r="651">
      <c r="A651" s="31" t="n">
        <v>649</v>
      </c>
      <c r="B651" s="31">
        <f>CHAIN_RAW!D649</f>
        <v/>
      </c>
      <c r="C651" s="31">
        <f>CHAIN_RAW!A649</f>
        <v/>
      </c>
      <c r="D651" s="31">
        <f>CHAIN_RAW!C649</f>
        <v/>
      </c>
      <c r="E651" s="31">
        <f>CHAIN_RAW!E649</f>
        <v/>
      </c>
      <c r="F651" s="31">
        <f>CHAIN_RAW!F649</f>
        <v/>
      </c>
      <c r="G651" s="31">
        <f>CHAIN_RAW!I649</f>
        <v/>
      </c>
      <c r="H651" s="31">
        <f>CHAIN_RAW!Q649</f>
        <v/>
      </c>
      <c r="I651" s="31">
        <f>LET(pc,F651,oc,H651,IF(OR(pc="",oc=""),"",IF(AND(pc&gt;0,oc&gt;0),"Long Buildup",IF(AND(pc&lt;0,oc&gt;0),"Short Buildup",IF(AND(pc&gt;0,oc&lt;0),"Short Covering",IF(AND(pc&lt;0,oc&lt;0),"Long Unwinding","Flat"))))))</f>
        <v/>
      </c>
      <c r="J651" s="31">
        <f>LET(pc,ABS(F651),oc,ABS(H651),IF(OR(pc="",oc=""),"",MAX(1,MIN(5,ROUND((pc*0.5+oc*0.00001)*5,0))))))</f>
        <v/>
      </c>
    </row>
    <row r="652">
      <c r="A652" s="31" t="n">
        <v>650</v>
      </c>
      <c r="B652" s="31">
        <f>CHAIN_RAW!D650</f>
        <v/>
      </c>
      <c r="C652" s="31">
        <f>CHAIN_RAW!A650</f>
        <v/>
      </c>
      <c r="D652" s="31">
        <f>CHAIN_RAW!C650</f>
        <v/>
      </c>
      <c r="E652" s="31">
        <f>CHAIN_RAW!E650</f>
        <v/>
      </c>
      <c r="F652" s="31">
        <f>CHAIN_RAW!F650</f>
        <v/>
      </c>
      <c r="G652" s="31">
        <f>CHAIN_RAW!I650</f>
        <v/>
      </c>
      <c r="H652" s="31">
        <f>CHAIN_RAW!Q650</f>
        <v/>
      </c>
      <c r="I652" s="31">
        <f>LET(pc,F652,oc,H652,IF(OR(pc="",oc=""),"",IF(AND(pc&gt;0,oc&gt;0),"Long Buildup",IF(AND(pc&lt;0,oc&gt;0),"Short Buildup",IF(AND(pc&gt;0,oc&lt;0),"Short Covering",IF(AND(pc&lt;0,oc&lt;0),"Long Unwinding","Flat"))))))</f>
        <v/>
      </c>
      <c r="J652" s="31">
        <f>LET(pc,ABS(F652),oc,ABS(H652),IF(OR(pc="",oc=""),"",MAX(1,MIN(5,ROUND((pc*0.5+oc*0.00001)*5,0))))))</f>
        <v/>
      </c>
    </row>
    <row r="653">
      <c r="A653" s="31" t="n">
        <v>651</v>
      </c>
      <c r="B653" s="31">
        <f>CHAIN_RAW!D651</f>
        <v/>
      </c>
      <c r="C653" s="31">
        <f>CHAIN_RAW!A651</f>
        <v/>
      </c>
      <c r="D653" s="31">
        <f>CHAIN_RAW!C651</f>
        <v/>
      </c>
      <c r="E653" s="31">
        <f>CHAIN_RAW!E651</f>
        <v/>
      </c>
      <c r="F653" s="31">
        <f>CHAIN_RAW!F651</f>
        <v/>
      </c>
      <c r="G653" s="31">
        <f>CHAIN_RAW!I651</f>
        <v/>
      </c>
      <c r="H653" s="31">
        <f>CHAIN_RAW!Q651</f>
        <v/>
      </c>
      <c r="I653" s="31">
        <f>LET(pc,F653,oc,H653,IF(OR(pc="",oc=""),"",IF(AND(pc&gt;0,oc&gt;0),"Long Buildup",IF(AND(pc&lt;0,oc&gt;0),"Short Buildup",IF(AND(pc&gt;0,oc&lt;0),"Short Covering",IF(AND(pc&lt;0,oc&lt;0),"Long Unwinding","Flat"))))))</f>
        <v/>
      </c>
      <c r="J653" s="31">
        <f>LET(pc,ABS(F653),oc,ABS(H653),IF(OR(pc="",oc=""),"",MAX(1,MIN(5,ROUND((pc*0.5+oc*0.00001)*5,0))))))</f>
        <v/>
      </c>
    </row>
    <row r="654">
      <c r="A654" s="31" t="n">
        <v>652</v>
      </c>
      <c r="B654" s="31">
        <f>CHAIN_RAW!D652</f>
        <v/>
      </c>
      <c r="C654" s="31">
        <f>CHAIN_RAW!A652</f>
        <v/>
      </c>
      <c r="D654" s="31">
        <f>CHAIN_RAW!C652</f>
        <v/>
      </c>
      <c r="E654" s="31">
        <f>CHAIN_RAW!E652</f>
        <v/>
      </c>
      <c r="F654" s="31">
        <f>CHAIN_RAW!F652</f>
        <v/>
      </c>
      <c r="G654" s="31">
        <f>CHAIN_RAW!I652</f>
        <v/>
      </c>
      <c r="H654" s="31">
        <f>CHAIN_RAW!Q652</f>
        <v/>
      </c>
      <c r="I654" s="31">
        <f>LET(pc,F654,oc,H654,IF(OR(pc="",oc=""),"",IF(AND(pc&gt;0,oc&gt;0),"Long Buildup",IF(AND(pc&lt;0,oc&gt;0),"Short Buildup",IF(AND(pc&gt;0,oc&lt;0),"Short Covering",IF(AND(pc&lt;0,oc&lt;0),"Long Unwinding","Flat"))))))</f>
        <v/>
      </c>
      <c r="J654" s="31">
        <f>LET(pc,ABS(F654),oc,ABS(H654),IF(OR(pc="",oc=""),"",MAX(1,MIN(5,ROUND((pc*0.5+oc*0.00001)*5,0))))))</f>
        <v/>
      </c>
    </row>
    <row r="655">
      <c r="A655" s="31" t="n">
        <v>653</v>
      </c>
      <c r="B655" s="31">
        <f>CHAIN_RAW!D653</f>
        <v/>
      </c>
      <c r="C655" s="31">
        <f>CHAIN_RAW!A653</f>
        <v/>
      </c>
      <c r="D655" s="31">
        <f>CHAIN_RAW!C653</f>
        <v/>
      </c>
      <c r="E655" s="31">
        <f>CHAIN_RAW!E653</f>
        <v/>
      </c>
      <c r="F655" s="31">
        <f>CHAIN_RAW!F653</f>
        <v/>
      </c>
      <c r="G655" s="31">
        <f>CHAIN_RAW!I653</f>
        <v/>
      </c>
      <c r="H655" s="31">
        <f>CHAIN_RAW!Q653</f>
        <v/>
      </c>
      <c r="I655" s="31">
        <f>LET(pc,F655,oc,H655,IF(OR(pc="",oc=""),"",IF(AND(pc&gt;0,oc&gt;0),"Long Buildup",IF(AND(pc&lt;0,oc&gt;0),"Short Buildup",IF(AND(pc&gt;0,oc&lt;0),"Short Covering",IF(AND(pc&lt;0,oc&lt;0),"Long Unwinding","Flat"))))))</f>
        <v/>
      </c>
      <c r="J655" s="31">
        <f>LET(pc,ABS(F655),oc,ABS(H655),IF(OR(pc="",oc=""),"",MAX(1,MIN(5,ROUND((pc*0.5+oc*0.00001)*5,0))))))</f>
        <v/>
      </c>
    </row>
    <row r="656">
      <c r="A656" s="31" t="n">
        <v>654</v>
      </c>
      <c r="B656" s="31">
        <f>CHAIN_RAW!D654</f>
        <v/>
      </c>
      <c r="C656" s="31">
        <f>CHAIN_RAW!A654</f>
        <v/>
      </c>
      <c r="D656" s="31">
        <f>CHAIN_RAW!C654</f>
        <v/>
      </c>
      <c r="E656" s="31">
        <f>CHAIN_RAW!E654</f>
        <v/>
      </c>
      <c r="F656" s="31">
        <f>CHAIN_RAW!F654</f>
        <v/>
      </c>
      <c r="G656" s="31">
        <f>CHAIN_RAW!I654</f>
        <v/>
      </c>
      <c r="H656" s="31">
        <f>CHAIN_RAW!Q654</f>
        <v/>
      </c>
      <c r="I656" s="31">
        <f>LET(pc,F656,oc,H656,IF(OR(pc="",oc=""),"",IF(AND(pc&gt;0,oc&gt;0),"Long Buildup",IF(AND(pc&lt;0,oc&gt;0),"Short Buildup",IF(AND(pc&gt;0,oc&lt;0),"Short Covering",IF(AND(pc&lt;0,oc&lt;0),"Long Unwinding","Flat"))))))</f>
        <v/>
      </c>
      <c r="J656" s="31">
        <f>LET(pc,ABS(F656),oc,ABS(H656),IF(OR(pc="",oc=""),"",MAX(1,MIN(5,ROUND((pc*0.5+oc*0.00001)*5,0))))))</f>
        <v/>
      </c>
    </row>
    <row r="657">
      <c r="A657" s="31" t="n">
        <v>655</v>
      </c>
      <c r="B657" s="31">
        <f>CHAIN_RAW!D655</f>
        <v/>
      </c>
      <c r="C657" s="31">
        <f>CHAIN_RAW!A655</f>
        <v/>
      </c>
      <c r="D657" s="31">
        <f>CHAIN_RAW!C655</f>
        <v/>
      </c>
      <c r="E657" s="31">
        <f>CHAIN_RAW!E655</f>
        <v/>
      </c>
      <c r="F657" s="31">
        <f>CHAIN_RAW!F655</f>
        <v/>
      </c>
      <c r="G657" s="31">
        <f>CHAIN_RAW!I655</f>
        <v/>
      </c>
      <c r="H657" s="31">
        <f>CHAIN_RAW!Q655</f>
        <v/>
      </c>
      <c r="I657" s="31">
        <f>LET(pc,F657,oc,H657,IF(OR(pc="",oc=""),"",IF(AND(pc&gt;0,oc&gt;0),"Long Buildup",IF(AND(pc&lt;0,oc&gt;0),"Short Buildup",IF(AND(pc&gt;0,oc&lt;0),"Short Covering",IF(AND(pc&lt;0,oc&lt;0),"Long Unwinding","Flat"))))))</f>
        <v/>
      </c>
      <c r="J657" s="31">
        <f>LET(pc,ABS(F657),oc,ABS(H657),IF(OR(pc="",oc=""),"",MAX(1,MIN(5,ROUND((pc*0.5+oc*0.00001)*5,0))))))</f>
        <v/>
      </c>
    </row>
    <row r="658">
      <c r="A658" s="31" t="n">
        <v>656</v>
      </c>
      <c r="B658" s="31">
        <f>CHAIN_RAW!D656</f>
        <v/>
      </c>
      <c r="C658" s="31">
        <f>CHAIN_RAW!A656</f>
        <v/>
      </c>
      <c r="D658" s="31">
        <f>CHAIN_RAW!C656</f>
        <v/>
      </c>
      <c r="E658" s="31">
        <f>CHAIN_RAW!E656</f>
        <v/>
      </c>
      <c r="F658" s="31">
        <f>CHAIN_RAW!F656</f>
        <v/>
      </c>
      <c r="G658" s="31">
        <f>CHAIN_RAW!I656</f>
        <v/>
      </c>
      <c r="H658" s="31">
        <f>CHAIN_RAW!Q656</f>
        <v/>
      </c>
      <c r="I658" s="31">
        <f>LET(pc,F658,oc,H658,IF(OR(pc="",oc=""),"",IF(AND(pc&gt;0,oc&gt;0),"Long Buildup",IF(AND(pc&lt;0,oc&gt;0),"Short Buildup",IF(AND(pc&gt;0,oc&lt;0),"Short Covering",IF(AND(pc&lt;0,oc&lt;0),"Long Unwinding","Flat"))))))</f>
        <v/>
      </c>
      <c r="J658" s="31">
        <f>LET(pc,ABS(F658),oc,ABS(H658),IF(OR(pc="",oc=""),"",MAX(1,MIN(5,ROUND((pc*0.5+oc*0.00001)*5,0))))))</f>
        <v/>
      </c>
    </row>
    <row r="659">
      <c r="A659" s="31" t="n">
        <v>657</v>
      </c>
      <c r="B659" s="31">
        <f>CHAIN_RAW!D657</f>
        <v/>
      </c>
      <c r="C659" s="31">
        <f>CHAIN_RAW!A657</f>
        <v/>
      </c>
      <c r="D659" s="31">
        <f>CHAIN_RAW!C657</f>
        <v/>
      </c>
      <c r="E659" s="31">
        <f>CHAIN_RAW!E657</f>
        <v/>
      </c>
      <c r="F659" s="31">
        <f>CHAIN_RAW!F657</f>
        <v/>
      </c>
      <c r="G659" s="31">
        <f>CHAIN_RAW!I657</f>
        <v/>
      </c>
      <c r="H659" s="31">
        <f>CHAIN_RAW!Q657</f>
        <v/>
      </c>
      <c r="I659" s="31">
        <f>LET(pc,F659,oc,H659,IF(OR(pc="",oc=""),"",IF(AND(pc&gt;0,oc&gt;0),"Long Buildup",IF(AND(pc&lt;0,oc&gt;0),"Short Buildup",IF(AND(pc&gt;0,oc&lt;0),"Short Covering",IF(AND(pc&lt;0,oc&lt;0),"Long Unwinding","Flat"))))))</f>
        <v/>
      </c>
      <c r="J659" s="31">
        <f>LET(pc,ABS(F659),oc,ABS(H659),IF(OR(pc="",oc=""),"",MAX(1,MIN(5,ROUND((pc*0.5+oc*0.00001)*5,0))))))</f>
        <v/>
      </c>
    </row>
    <row r="660">
      <c r="A660" s="31" t="n">
        <v>658</v>
      </c>
      <c r="B660" s="31">
        <f>CHAIN_RAW!D658</f>
        <v/>
      </c>
      <c r="C660" s="31">
        <f>CHAIN_RAW!A658</f>
        <v/>
      </c>
      <c r="D660" s="31">
        <f>CHAIN_RAW!C658</f>
        <v/>
      </c>
      <c r="E660" s="31">
        <f>CHAIN_RAW!E658</f>
        <v/>
      </c>
      <c r="F660" s="31">
        <f>CHAIN_RAW!F658</f>
        <v/>
      </c>
      <c r="G660" s="31">
        <f>CHAIN_RAW!I658</f>
        <v/>
      </c>
      <c r="H660" s="31">
        <f>CHAIN_RAW!Q658</f>
        <v/>
      </c>
      <c r="I660" s="31">
        <f>LET(pc,F660,oc,H660,IF(OR(pc="",oc=""),"",IF(AND(pc&gt;0,oc&gt;0),"Long Buildup",IF(AND(pc&lt;0,oc&gt;0),"Short Buildup",IF(AND(pc&gt;0,oc&lt;0),"Short Covering",IF(AND(pc&lt;0,oc&lt;0),"Long Unwinding","Flat"))))))</f>
        <v/>
      </c>
      <c r="J660" s="31">
        <f>LET(pc,ABS(F660),oc,ABS(H660),IF(OR(pc="",oc=""),"",MAX(1,MIN(5,ROUND((pc*0.5+oc*0.00001)*5,0))))))</f>
        <v/>
      </c>
    </row>
    <row r="661">
      <c r="A661" s="31" t="n">
        <v>659</v>
      </c>
      <c r="B661" s="31">
        <f>CHAIN_RAW!D659</f>
        <v/>
      </c>
      <c r="C661" s="31">
        <f>CHAIN_RAW!A659</f>
        <v/>
      </c>
      <c r="D661" s="31">
        <f>CHAIN_RAW!C659</f>
        <v/>
      </c>
      <c r="E661" s="31">
        <f>CHAIN_RAW!E659</f>
        <v/>
      </c>
      <c r="F661" s="31">
        <f>CHAIN_RAW!F659</f>
        <v/>
      </c>
      <c r="G661" s="31">
        <f>CHAIN_RAW!I659</f>
        <v/>
      </c>
      <c r="H661" s="31">
        <f>CHAIN_RAW!Q659</f>
        <v/>
      </c>
      <c r="I661" s="31">
        <f>LET(pc,F661,oc,H661,IF(OR(pc="",oc=""),"",IF(AND(pc&gt;0,oc&gt;0),"Long Buildup",IF(AND(pc&lt;0,oc&gt;0),"Short Buildup",IF(AND(pc&gt;0,oc&lt;0),"Short Covering",IF(AND(pc&lt;0,oc&lt;0),"Long Unwinding","Flat"))))))</f>
        <v/>
      </c>
      <c r="J661" s="31">
        <f>LET(pc,ABS(F661),oc,ABS(H661),IF(OR(pc="",oc=""),"",MAX(1,MIN(5,ROUND((pc*0.5+oc*0.00001)*5,0))))))</f>
        <v/>
      </c>
    </row>
    <row r="662">
      <c r="A662" s="31" t="n">
        <v>660</v>
      </c>
      <c r="B662" s="31">
        <f>CHAIN_RAW!D660</f>
        <v/>
      </c>
      <c r="C662" s="31">
        <f>CHAIN_RAW!A660</f>
        <v/>
      </c>
      <c r="D662" s="31">
        <f>CHAIN_RAW!C660</f>
        <v/>
      </c>
      <c r="E662" s="31">
        <f>CHAIN_RAW!E660</f>
        <v/>
      </c>
      <c r="F662" s="31">
        <f>CHAIN_RAW!F660</f>
        <v/>
      </c>
      <c r="G662" s="31">
        <f>CHAIN_RAW!I660</f>
        <v/>
      </c>
      <c r="H662" s="31">
        <f>CHAIN_RAW!Q660</f>
        <v/>
      </c>
      <c r="I662" s="31">
        <f>LET(pc,F662,oc,H662,IF(OR(pc="",oc=""),"",IF(AND(pc&gt;0,oc&gt;0),"Long Buildup",IF(AND(pc&lt;0,oc&gt;0),"Short Buildup",IF(AND(pc&gt;0,oc&lt;0),"Short Covering",IF(AND(pc&lt;0,oc&lt;0),"Long Unwinding","Flat"))))))</f>
        <v/>
      </c>
      <c r="J662" s="31">
        <f>LET(pc,ABS(F662),oc,ABS(H662),IF(OR(pc="",oc=""),"",MAX(1,MIN(5,ROUND((pc*0.5+oc*0.00001)*5,0))))))</f>
        <v/>
      </c>
    </row>
    <row r="663">
      <c r="A663" s="31" t="n">
        <v>661</v>
      </c>
      <c r="B663" s="31">
        <f>CHAIN_RAW!D661</f>
        <v/>
      </c>
      <c r="C663" s="31">
        <f>CHAIN_RAW!A661</f>
        <v/>
      </c>
      <c r="D663" s="31">
        <f>CHAIN_RAW!C661</f>
        <v/>
      </c>
      <c r="E663" s="31">
        <f>CHAIN_RAW!E661</f>
        <v/>
      </c>
      <c r="F663" s="31">
        <f>CHAIN_RAW!F661</f>
        <v/>
      </c>
      <c r="G663" s="31">
        <f>CHAIN_RAW!I661</f>
        <v/>
      </c>
      <c r="H663" s="31">
        <f>CHAIN_RAW!Q661</f>
        <v/>
      </c>
      <c r="I663" s="31">
        <f>LET(pc,F663,oc,H663,IF(OR(pc="",oc=""),"",IF(AND(pc&gt;0,oc&gt;0),"Long Buildup",IF(AND(pc&lt;0,oc&gt;0),"Short Buildup",IF(AND(pc&gt;0,oc&lt;0),"Short Covering",IF(AND(pc&lt;0,oc&lt;0),"Long Unwinding","Flat"))))))</f>
        <v/>
      </c>
      <c r="J663" s="31">
        <f>LET(pc,ABS(F663),oc,ABS(H663),IF(OR(pc="",oc=""),"",MAX(1,MIN(5,ROUND((pc*0.5+oc*0.00001)*5,0))))))</f>
        <v/>
      </c>
    </row>
    <row r="664">
      <c r="A664" s="31" t="n">
        <v>662</v>
      </c>
      <c r="B664" s="31">
        <f>CHAIN_RAW!D662</f>
        <v/>
      </c>
      <c r="C664" s="31">
        <f>CHAIN_RAW!A662</f>
        <v/>
      </c>
      <c r="D664" s="31">
        <f>CHAIN_RAW!C662</f>
        <v/>
      </c>
      <c r="E664" s="31">
        <f>CHAIN_RAW!E662</f>
        <v/>
      </c>
      <c r="F664" s="31">
        <f>CHAIN_RAW!F662</f>
        <v/>
      </c>
      <c r="G664" s="31">
        <f>CHAIN_RAW!I662</f>
        <v/>
      </c>
      <c r="H664" s="31">
        <f>CHAIN_RAW!Q662</f>
        <v/>
      </c>
      <c r="I664" s="31">
        <f>LET(pc,F664,oc,H664,IF(OR(pc="",oc=""),"",IF(AND(pc&gt;0,oc&gt;0),"Long Buildup",IF(AND(pc&lt;0,oc&gt;0),"Short Buildup",IF(AND(pc&gt;0,oc&lt;0),"Short Covering",IF(AND(pc&lt;0,oc&lt;0),"Long Unwinding","Flat"))))))</f>
        <v/>
      </c>
      <c r="J664" s="31">
        <f>LET(pc,ABS(F664),oc,ABS(H664),IF(OR(pc="",oc=""),"",MAX(1,MIN(5,ROUND((pc*0.5+oc*0.00001)*5,0))))))</f>
        <v/>
      </c>
    </row>
    <row r="665">
      <c r="A665" s="31" t="n">
        <v>663</v>
      </c>
      <c r="B665" s="31">
        <f>CHAIN_RAW!D663</f>
        <v/>
      </c>
      <c r="C665" s="31">
        <f>CHAIN_RAW!A663</f>
        <v/>
      </c>
      <c r="D665" s="31">
        <f>CHAIN_RAW!C663</f>
        <v/>
      </c>
      <c r="E665" s="31">
        <f>CHAIN_RAW!E663</f>
        <v/>
      </c>
      <c r="F665" s="31">
        <f>CHAIN_RAW!F663</f>
        <v/>
      </c>
      <c r="G665" s="31">
        <f>CHAIN_RAW!I663</f>
        <v/>
      </c>
      <c r="H665" s="31">
        <f>CHAIN_RAW!Q663</f>
        <v/>
      </c>
      <c r="I665" s="31">
        <f>LET(pc,F665,oc,H665,IF(OR(pc="",oc=""),"",IF(AND(pc&gt;0,oc&gt;0),"Long Buildup",IF(AND(pc&lt;0,oc&gt;0),"Short Buildup",IF(AND(pc&gt;0,oc&lt;0),"Short Covering",IF(AND(pc&lt;0,oc&lt;0),"Long Unwinding","Flat"))))))</f>
        <v/>
      </c>
      <c r="J665" s="31">
        <f>LET(pc,ABS(F665),oc,ABS(H665),IF(OR(pc="",oc=""),"",MAX(1,MIN(5,ROUND((pc*0.5+oc*0.00001)*5,0))))))</f>
        <v/>
      </c>
    </row>
    <row r="666">
      <c r="A666" s="31" t="n">
        <v>664</v>
      </c>
      <c r="B666" s="31">
        <f>CHAIN_RAW!D664</f>
        <v/>
      </c>
      <c r="C666" s="31">
        <f>CHAIN_RAW!A664</f>
        <v/>
      </c>
      <c r="D666" s="31">
        <f>CHAIN_RAW!C664</f>
        <v/>
      </c>
      <c r="E666" s="31">
        <f>CHAIN_RAW!E664</f>
        <v/>
      </c>
      <c r="F666" s="31">
        <f>CHAIN_RAW!F664</f>
        <v/>
      </c>
      <c r="G666" s="31">
        <f>CHAIN_RAW!I664</f>
        <v/>
      </c>
      <c r="H666" s="31">
        <f>CHAIN_RAW!Q664</f>
        <v/>
      </c>
      <c r="I666" s="31">
        <f>LET(pc,F666,oc,H666,IF(OR(pc="",oc=""),"",IF(AND(pc&gt;0,oc&gt;0),"Long Buildup",IF(AND(pc&lt;0,oc&gt;0),"Short Buildup",IF(AND(pc&gt;0,oc&lt;0),"Short Covering",IF(AND(pc&lt;0,oc&lt;0),"Long Unwinding","Flat"))))))</f>
        <v/>
      </c>
      <c r="J666" s="31">
        <f>LET(pc,ABS(F666),oc,ABS(H666),IF(OR(pc="",oc=""),"",MAX(1,MIN(5,ROUND((pc*0.5+oc*0.00001)*5,0))))))</f>
        <v/>
      </c>
    </row>
    <row r="667">
      <c r="A667" s="31" t="n">
        <v>665</v>
      </c>
      <c r="B667" s="31">
        <f>CHAIN_RAW!D665</f>
        <v/>
      </c>
      <c r="C667" s="31">
        <f>CHAIN_RAW!A665</f>
        <v/>
      </c>
      <c r="D667" s="31">
        <f>CHAIN_RAW!C665</f>
        <v/>
      </c>
      <c r="E667" s="31">
        <f>CHAIN_RAW!E665</f>
        <v/>
      </c>
      <c r="F667" s="31">
        <f>CHAIN_RAW!F665</f>
        <v/>
      </c>
      <c r="G667" s="31">
        <f>CHAIN_RAW!I665</f>
        <v/>
      </c>
      <c r="H667" s="31">
        <f>CHAIN_RAW!Q665</f>
        <v/>
      </c>
      <c r="I667" s="31">
        <f>LET(pc,F667,oc,H667,IF(OR(pc="",oc=""),"",IF(AND(pc&gt;0,oc&gt;0),"Long Buildup",IF(AND(pc&lt;0,oc&gt;0),"Short Buildup",IF(AND(pc&gt;0,oc&lt;0),"Short Covering",IF(AND(pc&lt;0,oc&lt;0),"Long Unwinding","Flat"))))))</f>
        <v/>
      </c>
      <c r="J667" s="31">
        <f>LET(pc,ABS(F667),oc,ABS(H667),IF(OR(pc="",oc=""),"",MAX(1,MIN(5,ROUND((pc*0.5+oc*0.00001)*5,0))))))</f>
        <v/>
      </c>
    </row>
    <row r="668">
      <c r="A668" s="31" t="n">
        <v>666</v>
      </c>
      <c r="B668" s="31">
        <f>CHAIN_RAW!D666</f>
        <v/>
      </c>
      <c r="C668" s="31">
        <f>CHAIN_RAW!A666</f>
        <v/>
      </c>
      <c r="D668" s="31">
        <f>CHAIN_RAW!C666</f>
        <v/>
      </c>
      <c r="E668" s="31">
        <f>CHAIN_RAW!E666</f>
        <v/>
      </c>
      <c r="F668" s="31">
        <f>CHAIN_RAW!F666</f>
        <v/>
      </c>
      <c r="G668" s="31">
        <f>CHAIN_RAW!I666</f>
        <v/>
      </c>
      <c r="H668" s="31">
        <f>CHAIN_RAW!Q666</f>
        <v/>
      </c>
      <c r="I668" s="31">
        <f>LET(pc,F668,oc,H668,IF(OR(pc="",oc=""),"",IF(AND(pc&gt;0,oc&gt;0),"Long Buildup",IF(AND(pc&lt;0,oc&gt;0),"Short Buildup",IF(AND(pc&gt;0,oc&lt;0),"Short Covering",IF(AND(pc&lt;0,oc&lt;0),"Long Unwinding","Flat"))))))</f>
        <v/>
      </c>
      <c r="J668" s="31">
        <f>LET(pc,ABS(F668),oc,ABS(H668),IF(OR(pc="",oc=""),"",MAX(1,MIN(5,ROUND((pc*0.5+oc*0.00001)*5,0))))))</f>
        <v/>
      </c>
    </row>
    <row r="669">
      <c r="A669" s="31" t="n">
        <v>667</v>
      </c>
      <c r="B669" s="31">
        <f>CHAIN_RAW!D667</f>
        <v/>
      </c>
      <c r="C669" s="31">
        <f>CHAIN_RAW!A667</f>
        <v/>
      </c>
      <c r="D669" s="31">
        <f>CHAIN_RAW!C667</f>
        <v/>
      </c>
      <c r="E669" s="31">
        <f>CHAIN_RAW!E667</f>
        <v/>
      </c>
      <c r="F669" s="31">
        <f>CHAIN_RAW!F667</f>
        <v/>
      </c>
      <c r="G669" s="31">
        <f>CHAIN_RAW!I667</f>
        <v/>
      </c>
      <c r="H669" s="31">
        <f>CHAIN_RAW!Q667</f>
        <v/>
      </c>
      <c r="I669" s="31">
        <f>LET(pc,F669,oc,H669,IF(OR(pc="",oc=""),"",IF(AND(pc&gt;0,oc&gt;0),"Long Buildup",IF(AND(pc&lt;0,oc&gt;0),"Short Buildup",IF(AND(pc&gt;0,oc&lt;0),"Short Covering",IF(AND(pc&lt;0,oc&lt;0),"Long Unwinding","Flat"))))))</f>
        <v/>
      </c>
      <c r="J669" s="31">
        <f>LET(pc,ABS(F669),oc,ABS(H669),IF(OR(pc="",oc=""),"",MAX(1,MIN(5,ROUND((pc*0.5+oc*0.00001)*5,0))))))</f>
        <v/>
      </c>
    </row>
    <row r="670">
      <c r="A670" s="31" t="n">
        <v>668</v>
      </c>
      <c r="B670" s="31">
        <f>CHAIN_RAW!D668</f>
        <v/>
      </c>
      <c r="C670" s="31">
        <f>CHAIN_RAW!A668</f>
        <v/>
      </c>
      <c r="D670" s="31">
        <f>CHAIN_RAW!C668</f>
        <v/>
      </c>
      <c r="E670" s="31">
        <f>CHAIN_RAW!E668</f>
        <v/>
      </c>
      <c r="F670" s="31">
        <f>CHAIN_RAW!F668</f>
        <v/>
      </c>
      <c r="G670" s="31">
        <f>CHAIN_RAW!I668</f>
        <v/>
      </c>
      <c r="H670" s="31">
        <f>CHAIN_RAW!Q668</f>
        <v/>
      </c>
      <c r="I670" s="31">
        <f>LET(pc,F670,oc,H670,IF(OR(pc="",oc=""),"",IF(AND(pc&gt;0,oc&gt;0),"Long Buildup",IF(AND(pc&lt;0,oc&gt;0),"Short Buildup",IF(AND(pc&gt;0,oc&lt;0),"Short Covering",IF(AND(pc&lt;0,oc&lt;0),"Long Unwinding","Flat"))))))</f>
        <v/>
      </c>
      <c r="J670" s="31">
        <f>LET(pc,ABS(F670),oc,ABS(H670),IF(OR(pc="",oc=""),"",MAX(1,MIN(5,ROUND((pc*0.5+oc*0.00001)*5,0))))))</f>
        <v/>
      </c>
    </row>
    <row r="671">
      <c r="A671" s="31" t="n">
        <v>669</v>
      </c>
      <c r="B671" s="31">
        <f>CHAIN_RAW!D669</f>
        <v/>
      </c>
      <c r="C671" s="31">
        <f>CHAIN_RAW!A669</f>
        <v/>
      </c>
      <c r="D671" s="31">
        <f>CHAIN_RAW!C669</f>
        <v/>
      </c>
      <c r="E671" s="31">
        <f>CHAIN_RAW!E669</f>
        <v/>
      </c>
      <c r="F671" s="31">
        <f>CHAIN_RAW!F669</f>
        <v/>
      </c>
      <c r="G671" s="31">
        <f>CHAIN_RAW!I669</f>
        <v/>
      </c>
      <c r="H671" s="31">
        <f>CHAIN_RAW!Q669</f>
        <v/>
      </c>
      <c r="I671" s="31">
        <f>LET(pc,F671,oc,H671,IF(OR(pc="",oc=""),"",IF(AND(pc&gt;0,oc&gt;0),"Long Buildup",IF(AND(pc&lt;0,oc&gt;0),"Short Buildup",IF(AND(pc&gt;0,oc&lt;0),"Short Covering",IF(AND(pc&lt;0,oc&lt;0),"Long Unwinding","Flat"))))))</f>
        <v/>
      </c>
      <c r="J671" s="31">
        <f>LET(pc,ABS(F671),oc,ABS(H671),IF(OR(pc="",oc=""),"",MAX(1,MIN(5,ROUND((pc*0.5+oc*0.00001)*5,0))))))</f>
        <v/>
      </c>
    </row>
    <row r="672">
      <c r="A672" s="31" t="n">
        <v>670</v>
      </c>
      <c r="B672" s="31">
        <f>CHAIN_RAW!D670</f>
        <v/>
      </c>
      <c r="C672" s="31">
        <f>CHAIN_RAW!A670</f>
        <v/>
      </c>
      <c r="D672" s="31">
        <f>CHAIN_RAW!C670</f>
        <v/>
      </c>
      <c r="E672" s="31">
        <f>CHAIN_RAW!E670</f>
        <v/>
      </c>
      <c r="F672" s="31">
        <f>CHAIN_RAW!F670</f>
        <v/>
      </c>
      <c r="G672" s="31">
        <f>CHAIN_RAW!I670</f>
        <v/>
      </c>
      <c r="H672" s="31">
        <f>CHAIN_RAW!Q670</f>
        <v/>
      </c>
      <c r="I672" s="31">
        <f>LET(pc,F672,oc,H672,IF(OR(pc="",oc=""),"",IF(AND(pc&gt;0,oc&gt;0),"Long Buildup",IF(AND(pc&lt;0,oc&gt;0),"Short Buildup",IF(AND(pc&gt;0,oc&lt;0),"Short Covering",IF(AND(pc&lt;0,oc&lt;0),"Long Unwinding","Flat"))))))</f>
        <v/>
      </c>
      <c r="J672" s="31">
        <f>LET(pc,ABS(F672),oc,ABS(H672),IF(OR(pc="",oc=""),"",MAX(1,MIN(5,ROUND((pc*0.5+oc*0.00001)*5,0))))))</f>
        <v/>
      </c>
    </row>
    <row r="673">
      <c r="A673" s="31" t="n">
        <v>671</v>
      </c>
      <c r="B673" s="31">
        <f>CHAIN_RAW!D671</f>
        <v/>
      </c>
      <c r="C673" s="31">
        <f>CHAIN_RAW!A671</f>
        <v/>
      </c>
      <c r="D673" s="31">
        <f>CHAIN_RAW!C671</f>
        <v/>
      </c>
      <c r="E673" s="31">
        <f>CHAIN_RAW!E671</f>
        <v/>
      </c>
      <c r="F673" s="31">
        <f>CHAIN_RAW!F671</f>
        <v/>
      </c>
      <c r="G673" s="31">
        <f>CHAIN_RAW!I671</f>
        <v/>
      </c>
      <c r="H673" s="31">
        <f>CHAIN_RAW!Q671</f>
        <v/>
      </c>
      <c r="I673" s="31">
        <f>LET(pc,F673,oc,H673,IF(OR(pc="",oc=""),"",IF(AND(pc&gt;0,oc&gt;0),"Long Buildup",IF(AND(pc&lt;0,oc&gt;0),"Short Buildup",IF(AND(pc&gt;0,oc&lt;0),"Short Covering",IF(AND(pc&lt;0,oc&lt;0),"Long Unwinding","Flat"))))))</f>
        <v/>
      </c>
      <c r="J673" s="31">
        <f>LET(pc,ABS(F673),oc,ABS(H673),IF(OR(pc="",oc=""),"",MAX(1,MIN(5,ROUND((pc*0.5+oc*0.00001)*5,0))))))</f>
        <v/>
      </c>
    </row>
    <row r="674">
      <c r="A674" s="31" t="n">
        <v>672</v>
      </c>
      <c r="B674" s="31">
        <f>CHAIN_RAW!D672</f>
        <v/>
      </c>
      <c r="C674" s="31">
        <f>CHAIN_RAW!A672</f>
        <v/>
      </c>
      <c r="D674" s="31">
        <f>CHAIN_RAW!C672</f>
        <v/>
      </c>
      <c r="E674" s="31">
        <f>CHAIN_RAW!E672</f>
        <v/>
      </c>
      <c r="F674" s="31">
        <f>CHAIN_RAW!F672</f>
        <v/>
      </c>
      <c r="G674" s="31">
        <f>CHAIN_RAW!I672</f>
        <v/>
      </c>
      <c r="H674" s="31">
        <f>CHAIN_RAW!Q672</f>
        <v/>
      </c>
      <c r="I674" s="31">
        <f>LET(pc,F674,oc,H674,IF(OR(pc="",oc=""),"",IF(AND(pc&gt;0,oc&gt;0),"Long Buildup",IF(AND(pc&lt;0,oc&gt;0),"Short Buildup",IF(AND(pc&gt;0,oc&lt;0),"Short Covering",IF(AND(pc&lt;0,oc&lt;0),"Long Unwinding","Flat"))))))</f>
        <v/>
      </c>
      <c r="J674" s="31">
        <f>LET(pc,ABS(F674),oc,ABS(H674),IF(OR(pc="",oc=""),"",MAX(1,MIN(5,ROUND((pc*0.5+oc*0.00001)*5,0))))))</f>
        <v/>
      </c>
    </row>
    <row r="675">
      <c r="A675" s="31" t="n">
        <v>673</v>
      </c>
      <c r="B675" s="31">
        <f>CHAIN_RAW!D673</f>
        <v/>
      </c>
      <c r="C675" s="31">
        <f>CHAIN_RAW!A673</f>
        <v/>
      </c>
      <c r="D675" s="31">
        <f>CHAIN_RAW!C673</f>
        <v/>
      </c>
      <c r="E675" s="31">
        <f>CHAIN_RAW!E673</f>
        <v/>
      </c>
      <c r="F675" s="31">
        <f>CHAIN_RAW!F673</f>
        <v/>
      </c>
      <c r="G675" s="31">
        <f>CHAIN_RAW!I673</f>
        <v/>
      </c>
      <c r="H675" s="31">
        <f>CHAIN_RAW!Q673</f>
        <v/>
      </c>
      <c r="I675" s="31">
        <f>LET(pc,F675,oc,H675,IF(OR(pc="",oc=""),"",IF(AND(pc&gt;0,oc&gt;0),"Long Buildup",IF(AND(pc&lt;0,oc&gt;0),"Short Buildup",IF(AND(pc&gt;0,oc&lt;0),"Short Covering",IF(AND(pc&lt;0,oc&lt;0),"Long Unwinding","Flat"))))))</f>
        <v/>
      </c>
      <c r="J675" s="31">
        <f>LET(pc,ABS(F675),oc,ABS(H675),IF(OR(pc="",oc=""),"",MAX(1,MIN(5,ROUND((pc*0.5+oc*0.00001)*5,0))))))</f>
        <v/>
      </c>
    </row>
    <row r="676">
      <c r="A676" s="31" t="n">
        <v>674</v>
      </c>
      <c r="B676" s="31">
        <f>CHAIN_RAW!D674</f>
        <v/>
      </c>
      <c r="C676" s="31">
        <f>CHAIN_RAW!A674</f>
        <v/>
      </c>
      <c r="D676" s="31">
        <f>CHAIN_RAW!C674</f>
        <v/>
      </c>
      <c r="E676" s="31">
        <f>CHAIN_RAW!E674</f>
        <v/>
      </c>
      <c r="F676" s="31">
        <f>CHAIN_RAW!F674</f>
        <v/>
      </c>
      <c r="G676" s="31">
        <f>CHAIN_RAW!I674</f>
        <v/>
      </c>
      <c r="H676" s="31">
        <f>CHAIN_RAW!Q674</f>
        <v/>
      </c>
      <c r="I676" s="31">
        <f>LET(pc,F676,oc,H676,IF(OR(pc="",oc=""),"",IF(AND(pc&gt;0,oc&gt;0),"Long Buildup",IF(AND(pc&lt;0,oc&gt;0),"Short Buildup",IF(AND(pc&gt;0,oc&lt;0),"Short Covering",IF(AND(pc&lt;0,oc&lt;0),"Long Unwinding","Flat"))))))</f>
        <v/>
      </c>
      <c r="J676" s="31">
        <f>LET(pc,ABS(F676),oc,ABS(H676),IF(OR(pc="",oc=""),"",MAX(1,MIN(5,ROUND((pc*0.5+oc*0.00001)*5,0))))))</f>
        <v/>
      </c>
    </row>
    <row r="677">
      <c r="A677" s="31" t="n">
        <v>675</v>
      </c>
      <c r="B677" s="31">
        <f>CHAIN_RAW!D675</f>
        <v/>
      </c>
      <c r="C677" s="31">
        <f>CHAIN_RAW!A675</f>
        <v/>
      </c>
      <c r="D677" s="31">
        <f>CHAIN_RAW!C675</f>
        <v/>
      </c>
      <c r="E677" s="31">
        <f>CHAIN_RAW!E675</f>
        <v/>
      </c>
      <c r="F677" s="31">
        <f>CHAIN_RAW!F675</f>
        <v/>
      </c>
      <c r="G677" s="31">
        <f>CHAIN_RAW!I675</f>
        <v/>
      </c>
      <c r="H677" s="31">
        <f>CHAIN_RAW!Q675</f>
        <v/>
      </c>
      <c r="I677" s="31">
        <f>LET(pc,F677,oc,H677,IF(OR(pc="",oc=""),"",IF(AND(pc&gt;0,oc&gt;0),"Long Buildup",IF(AND(pc&lt;0,oc&gt;0),"Short Buildup",IF(AND(pc&gt;0,oc&lt;0),"Short Covering",IF(AND(pc&lt;0,oc&lt;0),"Long Unwinding","Flat"))))))</f>
        <v/>
      </c>
      <c r="J677" s="31">
        <f>LET(pc,ABS(F677),oc,ABS(H677),IF(OR(pc="",oc=""),"",MAX(1,MIN(5,ROUND((pc*0.5+oc*0.00001)*5,0))))))</f>
        <v/>
      </c>
    </row>
    <row r="678">
      <c r="A678" s="31" t="n">
        <v>676</v>
      </c>
      <c r="B678" s="31">
        <f>CHAIN_RAW!D676</f>
        <v/>
      </c>
      <c r="C678" s="31">
        <f>CHAIN_RAW!A676</f>
        <v/>
      </c>
      <c r="D678" s="31">
        <f>CHAIN_RAW!C676</f>
        <v/>
      </c>
      <c r="E678" s="31">
        <f>CHAIN_RAW!E676</f>
        <v/>
      </c>
      <c r="F678" s="31">
        <f>CHAIN_RAW!F676</f>
        <v/>
      </c>
      <c r="G678" s="31">
        <f>CHAIN_RAW!I676</f>
        <v/>
      </c>
      <c r="H678" s="31">
        <f>CHAIN_RAW!Q676</f>
        <v/>
      </c>
      <c r="I678" s="31">
        <f>LET(pc,F678,oc,H678,IF(OR(pc="",oc=""),"",IF(AND(pc&gt;0,oc&gt;0),"Long Buildup",IF(AND(pc&lt;0,oc&gt;0),"Short Buildup",IF(AND(pc&gt;0,oc&lt;0),"Short Covering",IF(AND(pc&lt;0,oc&lt;0),"Long Unwinding","Flat"))))))</f>
        <v/>
      </c>
      <c r="J678" s="31">
        <f>LET(pc,ABS(F678),oc,ABS(H678),IF(OR(pc="",oc=""),"",MAX(1,MIN(5,ROUND((pc*0.5+oc*0.00001)*5,0))))))</f>
        <v/>
      </c>
    </row>
    <row r="679">
      <c r="A679" s="31" t="n">
        <v>677</v>
      </c>
      <c r="B679" s="31">
        <f>CHAIN_RAW!D677</f>
        <v/>
      </c>
      <c r="C679" s="31">
        <f>CHAIN_RAW!A677</f>
        <v/>
      </c>
      <c r="D679" s="31">
        <f>CHAIN_RAW!C677</f>
        <v/>
      </c>
      <c r="E679" s="31">
        <f>CHAIN_RAW!E677</f>
        <v/>
      </c>
      <c r="F679" s="31">
        <f>CHAIN_RAW!F677</f>
        <v/>
      </c>
      <c r="G679" s="31">
        <f>CHAIN_RAW!I677</f>
        <v/>
      </c>
      <c r="H679" s="31">
        <f>CHAIN_RAW!Q677</f>
        <v/>
      </c>
      <c r="I679" s="31">
        <f>LET(pc,F679,oc,H679,IF(OR(pc="",oc=""),"",IF(AND(pc&gt;0,oc&gt;0),"Long Buildup",IF(AND(pc&lt;0,oc&gt;0),"Short Buildup",IF(AND(pc&gt;0,oc&lt;0),"Short Covering",IF(AND(pc&lt;0,oc&lt;0),"Long Unwinding","Flat"))))))</f>
        <v/>
      </c>
      <c r="J679" s="31">
        <f>LET(pc,ABS(F679),oc,ABS(H679),IF(OR(pc="",oc=""),"",MAX(1,MIN(5,ROUND((pc*0.5+oc*0.00001)*5,0))))))</f>
        <v/>
      </c>
    </row>
    <row r="680">
      <c r="A680" s="31" t="n">
        <v>678</v>
      </c>
      <c r="B680" s="31">
        <f>CHAIN_RAW!D678</f>
        <v/>
      </c>
      <c r="C680" s="31">
        <f>CHAIN_RAW!A678</f>
        <v/>
      </c>
      <c r="D680" s="31">
        <f>CHAIN_RAW!C678</f>
        <v/>
      </c>
      <c r="E680" s="31">
        <f>CHAIN_RAW!E678</f>
        <v/>
      </c>
      <c r="F680" s="31">
        <f>CHAIN_RAW!F678</f>
        <v/>
      </c>
      <c r="G680" s="31">
        <f>CHAIN_RAW!I678</f>
        <v/>
      </c>
      <c r="H680" s="31">
        <f>CHAIN_RAW!Q678</f>
        <v/>
      </c>
      <c r="I680" s="31">
        <f>LET(pc,F680,oc,H680,IF(OR(pc="",oc=""),"",IF(AND(pc&gt;0,oc&gt;0),"Long Buildup",IF(AND(pc&lt;0,oc&gt;0),"Short Buildup",IF(AND(pc&gt;0,oc&lt;0),"Short Covering",IF(AND(pc&lt;0,oc&lt;0),"Long Unwinding","Flat"))))))</f>
        <v/>
      </c>
      <c r="J680" s="31">
        <f>LET(pc,ABS(F680),oc,ABS(H680),IF(OR(pc="",oc=""),"",MAX(1,MIN(5,ROUND((pc*0.5+oc*0.00001)*5,0))))))</f>
        <v/>
      </c>
    </row>
    <row r="681">
      <c r="A681" s="31" t="n">
        <v>679</v>
      </c>
      <c r="B681" s="31">
        <f>CHAIN_RAW!D679</f>
        <v/>
      </c>
      <c r="C681" s="31">
        <f>CHAIN_RAW!A679</f>
        <v/>
      </c>
      <c r="D681" s="31">
        <f>CHAIN_RAW!C679</f>
        <v/>
      </c>
      <c r="E681" s="31">
        <f>CHAIN_RAW!E679</f>
        <v/>
      </c>
      <c r="F681" s="31">
        <f>CHAIN_RAW!F679</f>
        <v/>
      </c>
      <c r="G681" s="31">
        <f>CHAIN_RAW!I679</f>
        <v/>
      </c>
      <c r="H681" s="31">
        <f>CHAIN_RAW!Q679</f>
        <v/>
      </c>
      <c r="I681" s="31">
        <f>LET(pc,F681,oc,H681,IF(OR(pc="",oc=""),"",IF(AND(pc&gt;0,oc&gt;0),"Long Buildup",IF(AND(pc&lt;0,oc&gt;0),"Short Buildup",IF(AND(pc&gt;0,oc&lt;0),"Short Covering",IF(AND(pc&lt;0,oc&lt;0),"Long Unwinding","Flat"))))))</f>
        <v/>
      </c>
      <c r="J681" s="31">
        <f>LET(pc,ABS(F681),oc,ABS(H681),IF(OR(pc="",oc=""),"",MAX(1,MIN(5,ROUND((pc*0.5+oc*0.00001)*5,0))))))</f>
        <v/>
      </c>
    </row>
    <row r="682">
      <c r="A682" s="31" t="n">
        <v>680</v>
      </c>
      <c r="B682" s="31">
        <f>CHAIN_RAW!D680</f>
        <v/>
      </c>
      <c r="C682" s="31">
        <f>CHAIN_RAW!A680</f>
        <v/>
      </c>
      <c r="D682" s="31">
        <f>CHAIN_RAW!C680</f>
        <v/>
      </c>
      <c r="E682" s="31">
        <f>CHAIN_RAW!E680</f>
        <v/>
      </c>
      <c r="F682" s="31">
        <f>CHAIN_RAW!F680</f>
        <v/>
      </c>
      <c r="G682" s="31">
        <f>CHAIN_RAW!I680</f>
        <v/>
      </c>
      <c r="H682" s="31">
        <f>CHAIN_RAW!Q680</f>
        <v/>
      </c>
      <c r="I682" s="31">
        <f>LET(pc,F682,oc,H682,IF(OR(pc="",oc=""),"",IF(AND(pc&gt;0,oc&gt;0),"Long Buildup",IF(AND(pc&lt;0,oc&gt;0),"Short Buildup",IF(AND(pc&gt;0,oc&lt;0),"Short Covering",IF(AND(pc&lt;0,oc&lt;0),"Long Unwinding","Flat"))))))</f>
        <v/>
      </c>
      <c r="J682" s="31">
        <f>LET(pc,ABS(F682),oc,ABS(H682),IF(OR(pc="",oc=""),"",MAX(1,MIN(5,ROUND((pc*0.5+oc*0.00001)*5,0))))))</f>
        <v/>
      </c>
    </row>
    <row r="683">
      <c r="A683" s="31" t="n">
        <v>681</v>
      </c>
      <c r="B683" s="31">
        <f>CHAIN_RAW!D681</f>
        <v/>
      </c>
      <c r="C683" s="31">
        <f>CHAIN_RAW!A681</f>
        <v/>
      </c>
      <c r="D683" s="31">
        <f>CHAIN_RAW!C681</f>
        <v/>
      </c>
      <c r="E683" s="31">
        <f>CHAIN_RAW!E681</f>
        <v/>
      </c>
      <c r="F683" s="31">
        <f>CHAIN_RAW!F681</f>
        <v/>
      </c>
      <c r="G683" s="31">
        <f>CHAIN_RAW!I681</f>
        <v/>
      </c>
      <c r="H683" s="31">
        <f>CHAIN_RAW!Q681</f>
        <v/>
      </c>
      <c r="I683" s="31">
        <f>LET(pc,F683,oc,H683,IF(OR(pc="",oc=""),"",IF(AND(pc&gt;0,oc&gt;0),"Long Buildup",IF(AND(pc&lt;0,oc&gt;0),"Short Buildup",IF(AND(pc&gt;0,oc&lt;0),"Short Covering",IF(AND(pc&lt;0,oc&lt;0),"Long Unwinding","Flat"))))))</f>
        <v/>
      </c>
      <c r="J683" s="31">
        <f>LET(pc,ABS(F683),oc,ABS(H683),IF(OR(pc="",oc=""),"",MAX(1,MIN(5,ROUND((pc*0.5+oc*0.00001)*5,0))))))</f>
        <v/>
      </c>
    </row>
    <row r="684">
      <c r="A684" s="31" t="n">
        <v>682</v>
      </c>
      <c r="B684" s="31">
        <f>CHAIN_RAW!D682</f>
        <v/>
      </c>
      <c r="C684" s="31">
        <f>CHAIN_RAW!A682</f>
        <v/>
      </c>
      <c r="D684" s="31">
        <f>CHAIN_RAW!C682</f>
        <v/>
      </c>
      <c r="E684" s="31">
        <f>CHAIN_RAW!E682</f>
        <v/>
      </c>
      <c r="F684" s="31">
        <f>CHAIN_RAW!F682</f>
        <v/>
      </c>
      <c r="G684" s="31">
        <f>CHAIN_RAW!I682</f>
        <v/>
      </c>
      <c r="H684" s="31">
        <f>CHAIN_RAW!Q682</f>
        <v/>
      </c>
      <c r="I684" s="31">
        <f>LET(pc,F684,oc,H684,IF(OR(pc="",oc=""),"",IF(AND(pc&gt;0,oc&gt;0),"Long Buildup",IF(AND(pc&lt;0,oc&gt;0),"Short Buildup",IF(AND(pc&gt;0,oc&lt;0),"Short Covering",IF(AND(pc&lt;0,oc&lt;0),"Long Unwinding","Flat"))))))</f>
        <v/>
      </c>
      <c r="J684" s="31">
        <f>LET(pc,ABS(F684),oc,ABS(H684),IF(OR(pc="",oc=""),"",MAX(1,MIN(5,ROUND((pc*0.5+oc*0.00001)*5,0))))))</f>
        <v/>
      </c>
    </row>
    <row r="685">
      <c r="A685" s="31" t="n">
        <v>683</v>
      </c>
      <c r="B685" s="31">
        <f>CHAIN_RAW!D683</f>
        <v/>
      </c>
      <c r="C685" s="31">
        <f>CHAIN_RAW!A683</f>
        <v/>
      </c>
      <c r="D685" s="31">
        <f>CHAIN_RAW!C683</f>
        <v/>
      </c>
      <c r="E685" s="31">
        <f>CHAIN_RAW!E683</f>
        <v/>
      </c>
      <c r="F685" s="31">
        <f>CHAIN_RAW!F683</f>
        <v/>
      </c>
      <c r="G685" s="31">
        <f>CHAIN_RAW!I683</f>
        <v/>
      </c>
      <c r="H685" s="31">
        <f>CHAIN_RAW!Q683</f>
        <v/>
      </c>
      <c r="I685" s="31">
        <f>LET(pc,F685,oc,H685,IF(OR(pc="",oc=""),"",IF(AND(pc&gt;0,oc&gt;0),"Long Buildup",IF(AND(pc&lt;0,oc&gt;0),"Short Buildup",IF(AND(pc&gt;0,oc&lt;0),"Short Covering",IF(AND(pc&lt;0,oc&lt;0),"Long Unwinding","Flat"))))))</f>
        <v/>
      </c>
      <c r="J685" s="31">
        <f>LET(pc,ABS(F685),oc,ABS(H685),IF(OR(pc="",oc=""),"",MAX(1,MIN(5,ROUND((pc*0.5+oc*0.00001)*5,0))))))</f>
        <v/>
      </c>
    </row>
    <row r="686">
      <c r="A686" s="31" t="n">
        <v>684</v>
      </c>
      <c r="B686" s="31">
        <f>CHAIN_RAW!D684</f>
        <v/>
      </c>
      <c r="C686" s="31">
        <f>CHAIN_RAW!A684</f>
        <v/>
      </c>
      <c r="D686" s="31">
        <f>CHAIN_RAW!C684</f>
        <v/>
      </c>
      <c r="E686" s="31">
        <f>CHAIN_RAW!E684</f>
        <v/>
      </c>
      <c r="F686" s="31">
        <f>CHAIN_RAW!F684</f>
        <v/>
      </c>
      <c r="G686" s="31">
        <f>CHAIN_RAW!I684</f>
        <v/>
      </c>
      <c r="H686" s="31">
        <f>CHAIN_RAW!Q684</f>
        <v/>
      </c>
      <c r="I686" s="31">
        <f>LET(pc,F686,oc,H686,IF(OR(pc="",oc=""),"",IF(AND(pc&gt;0,oc&gt;0),"Long Buildup",IF(AND(pc&lt;0,oc&gt;0),"Short Buildup",IF(AND(pc&gt;0,oc&lt;0),"Short Covering",IF(AND(pc&lt;0,oc&lt;0),"Long Unwinding","Flat"))))))</f>
        <v/>
      </c>
      <c r="J686" s="31">
        <f>LET(pc,ABS(F686),oc,ABS(H686),IF(OR(pc="",oc=""),"",MAX(1,MIN(5,ROUND((pc*0.5+oc*0.00001)*5,0))))))</f>
        <v/>
      </c>
    </row>
    <row r="687">
      <c r="A687" s="31" t="n">
        <v>685</v>
      </c>
      <c r="B687" s="31">
        <f>CHAIN_RAW!D685</f>
        <v/>
      </c>
      <c r="C687" s="31">
        <f>CHAIN_RAW!A685</f>
        <v/>
      </c>
      <c r="D687" s="31">
        <f>CHAIN_RAW!C685</f>
        <v/>
      </c>
      <c r="E687" s="31">
        <f>CHAIN_RAW!E685</f>
        <v/>
      </c>
      <c r="F687" s="31">
        <f>CHAIN_RAW!F685</f>
        <v/>
      </c>
      <c r="G687" s="31">
        <f>CHAIN_RAW!I685</f>
        <v/>
      </c>
      <c r="H687" s="31">
        <f>CHAIN_RAW!Q685</f>
        <v/>
      </c>
      <c r="I687" s="31">
        <f>LET(pc,F687,oc,H687,IF(OR(pc="",oc=""),"",IF(AND(pc&gt;0,oc&gt;0),"Long Buildup",IF(AND(pc&lt;0,oc&gt;0),"Short Buildup",IF(AND(pc&gt;0,oc&lt;0),"Short Covering",IF(AND(pc&lt;0,oc&lt;0),"Long Unwinding","Flat"))))))</f>
        <v/>
      </c>
      <c r="J687" s="31">
        <f>LET(pc,ABS(F687),oc,ABS(H687),IF(OR(pc="",oc=""),"",MAX(1,MIN(5,ROUND((pc*0.5+oc*0.00001)*5,0))))))</f>
        <v/>
      </c>
    </row>
    <row r="688">
      <c r="A688" s="31" t="n">
        <v>686</v>
      </c>
      <c r="B688" s="31">
        <f>CHAIN_RAW!D686</f>
        <v/>
      </c>
      <c r="C688" s="31">
        <f>CHAIN_RAW!A686</f>
        <v/>
      </c>
      <c r="D688" s="31">
        <f>CHAIN_RAW!C686</f>
        <v/>
      </c>
      <c r="E688" s="31">
        <f>CHAIN_RAW!E686</f>
        <v/>
      </c>
      <c r="F688" s="31">
        <f>CHAIN_RAW!F686</f>
        <v/>
      </c>
      <c r="G688" s="31">
        <f>CHAIN_RAW!I686</f>
        <v/>
      </c>
      <c r="H688" s="31">
        <f>CHAIN_RAW!Q686</f>
        <v/>
      </c>
      <c r="I688" s="31">
        <f>LET(pc,F688,oc,H688,IF(OR(pc="",oc=""),"",IF(AND(pc&gt;0,oc&gt;0),"Long Buildup",IF(AND(pc&lt;0,oc&gt;0),"Short Buildup",IF(AND(pc&gt;0,oc&lt;0),"Short Covering",IF(AND(pc&lt;0,oc&lt;0),"Long Unwinding","Flat"))))))</f>
        <v/>
      </c>
      <c r="J688" s="31">
        <f>LET(pc,ABS(F688),oc,ABS(H688),IF(OR(pc="",oc=""),"",MAX(1,MIN(5,ROUND((pc*0.5+oc*0.00001)*5,0))))))</f>
        <v/>
      </c>
    </row>
    <row r="689">
      <c r="A689" s="31" t="n">
        <v>687</v>
      </c>
      <c r="B689" s="31">
        <f>CHAIN_RAW!D687</f>
        <v/>
      </c>
      <c r="C689" s="31">
        <f>CHAIN_RAW!A687</f>
        <v/>
      </c>
      <c r="D689" s="31">
        <f>CHAIN_RAW!C687</f>
        <v/>
      </c>
      <c r="E689" s="31">
        <f>CHAIN_RAW!E687</f>
        <v/>
      </c>
      <c r="F689" s="31">
        <f>CHAIN_RAW!F687</f>
        <v/>
      </c>
      <c r="G689" s="31">
        <f>CHAIN_RAW!I687</f>
        <v/>
      </c>
      <c r="H689" s="31">
        <f>CHAIN_RAW!Q687</f>
        <v/>
      </c>
      <c r="I689" s="31">
        <f>LET(pc,F689,oc,H689,IF(OR(pc="",oc=""),"",IF(AND(pc&gt;0,oc&gt;0),"Long Buildup",IF(AND(pc&lt;0,oc&gt;0),"Short Buildup",IF(AND(pc&gt;0,oc&lt;0),"Short Covering",IF(AND(pc&lt;0,oc&lt;0),"Long Unwinding","Flat"))))))</f>
        <v/>
      </c>
      <c r="J689" s="31">
        <f>LET(pc,ABS(F689),oc,ABS(H689),IF(OR(pc="",oc=""),"",MAX(1,MIN(5,ROUND((pc*0.5+oc*0.00001)*5,0))))))</f>
        <v/>
      </c>
    </row>
    <row r="690">
      <c r="A690" s="31" t="n">
        <v>688</v>
      </c>
      <c r="B690" s="31">
        <f>CHAIN_RAW!D688</f>
        <v/>
      </c>
      <c r="C690" s="31">
        <f>CHAIN_RAW!A688</f>
        <v/>
      </c>
      <c r="D690" s="31">
        <f>CHAIN_RAW!C688</f>
        <v/>
      </c>
      <c r="E690" s="31">
        <f>CHAIN_RAW!E688</f>
        <v/>
      </c>
      <c r="F690" s="31">
        <f>CHAIN_RAW!F688</f>
        <v/>
      </c>
      <c r="G690" s="31">
        <f>CHAIN_RAW!I688</f>
        <v/>
      </c>
      <c r="H690" s="31">
        <f>CHAIN_RAW!Q688</f>
        <v/>
      </c>
      <c r="I690" s="31">
        <f>LET(pc,F690,oc,H690,IF(OR(pc="",oc=""),"",IF(AND(pc&gt;0,oc&gt;0),"Long Buildup",IF(AND(pc&lt;0,oc&gt;0),"Short Buildup",IF(AND(pc&gt;0,oc&lt;0),"Short Covering",IF(AND(pc&lt;0,oc&lt;0),"Long Unwinding","Flat"))))))</f>
        <v/>
      </c>
      <c r="J690" s="31">
        <f>LET(pc,ABS(F690),oc,ABS(H690),IF(OR(pc="",oc=""),"",MAX(1,MIN(5,ROUND((pc*0.5+oc*0.00001)*5,0))))))</f>
        <v/>
      </c>
    </row>
    <row r="691">
      <c r="A691" s="31" t="n">
        <v>689</v>
      </c>
      <c r="B691" s="31">
        <f>CHAIN_RAW!D689</f>
        <v/>
      </c>
      <c r="C691" s="31">
        <f>CHAIN_RAW!A689</f>
        <v/>
      </c>
      <c r="D691" s="31">
        <f>CHAIN_RAW!C689</f>
        <v/>
      </c>
      <c r="E691" s="31">
        <f>CHAIN_RAW!E689</f>
        <v/>
      </c>
      <c r="F691" s="31">
        <f>CHAIN_RAW!F689</f>
        <v/>
      </c>
      <c r="G691" s="31">
        <f>CHAIN_RAW!I689</f>
        <v/>
      </c>
      <c r="H691" s="31">
        <f>CHAIN_RAW!Q689</f>
        <v/>
      </c>
      <c r="I691" s="31">
        <f>LET(pc,F691,oc,H691,IF(OR(pc="",oc=""),"",IF(AND(pc&gt;0,oc&gt;0),"Long Buildup",IF(AND(pc&lt;0,oc&gt;0),"Short Buildup",IF(AND(pc&gt;0,oc&lt;0),"Short Covering",IF(AND(pc&lt;0,oc&lt;0),"Long Unwinding","Flat"))))))</f>
        <v/>
      </c>
      <c r="J691" s="31">
        <f>LET(pc,ABS(F691),oc,ABS(H691),IF(OR(pc="",oc=""),"",MAX(1,MIN(5,ROUND((pc*0.5+oc*0.00001)*5,0))))))</f>
        <v/>
      </c>
    </row>
    <row r="692">
      <c r="A692" s="31" t="n">
        <v>690</v>
      </c>
      <c r="B692" s="31">
        <f>CHAIN_RAW!D690</f>
        <v/>
      </c>
      <c r="C692" s="31">
        <f>CHAIN_RAW!A690</f>
        <v/>
      </c>
      <c r="D692" s="31">
        <f>CHAIN_RAW!C690</f>
        <v/>
      </c>
      <c r="E692" s="31">
        <f>CHAIN_RAW!E690</f>
        <v/>
      </c>
      <c r="F692" s="31">
        <f>CHAIN_RAW!F690</f>
        <v/>
      </c>
      <c r="G692" s="31">
        <f>CHAIN_RAW!I690</f>
        <v/>
      </c>
      <c r="H692" s="31">
        <f>CHAIN_RAW!Q690</f>
        <v/>
      </c>
      <c r="I692" s="31">
        <f>LET(pc,F692,oc,H692,IF(OR(pc="",oc=""),"",IF(AND(pc&gt;0,oc&gt;0),"Long Buildup",IF(AND(pc&lt;0,oc&gt;0),"Short Buildup",IF(AND(pc&gt;0,oc&lt;0),"Short Covering",IF(AND(pc&lt;0,oc&lt;0),"Long Unwinding","Flat"))))))</f>
        <v/>
      </c>
      <c r="J692" s="31">
        <f>LET(pc,ABS(F692),oc,ABS(H692),IF(OR(pc="",oc=""),"",MAX(1,MIN(5,ROUND((pc*0.5+oc*0.00001)*5,0))))))</f>
        <v/>
      </c>
    </row>
    <row r="693">
      <c r="A693" s="31" t="n">
        <v>691</v>
      </c>
      <c r="B693" s="31">
        <f>CHAIN_RAW!D691</f>
        <v/>
      </c>
      <c r="C693" s="31">
        <f>CHAIN_RAW!A691</f>
        <v/>
      </c>
      <c r="D693" s="31">
        <f>CHAIN_RAW!C691</f>
        <v/>
      </c>
      <c r="E693" s="31">
        <f>CHAIN_RAW!E691</f>
        <v/>
      </c>
      <c r="F693" s="31">
        <f>CHAIN_RAW!F691</f>
        <v/>
      </c>
      <c r="G693" s="31">
        <f>CHAIN_RAW!I691</f>
        <v/>
      </c>
      <c r="H693" s="31">
        <f>CHAIN_RAW!Q691</f>
        <v/>
      </c>
      <c r="I693" s="31">
        <f>LET(pc,F693,oc,H693,IF(OR(pc="",oc=""),"",IF(AND(pc&gt;0,oc&gt;0),"Long Buildup",IF(AND(pc&lt;0,oc&gt;0),"Short Buildup",IF(AND(pc&gt;0,oc&lt;0),"Short Covering",IF(AND(pc&lt;0,oc&lt;0),"Long Unwinding","Flat"))))))</f>
        <v/>
      </c>
      <c r="J693" s="31">
        <f>LET(pc,ABS(F693),oc,ABS(H693),IF(OR(pc="",oc=""),"",MAX(1,MIN(5,ROUND((pc*0.5+oc*0.00001)*5,0))))))</f>
        <v/>
      </c>
    </row>
    <row r="694">
      <c r="A694" s="31" t="n">
        <v>692</v>
      </c>
      <c r="B694" s="31">
        <f>CHAIN_RAW!D692</f>
        <v/>
      </c>
      <c r="C694" s="31">
        <f>CHAIN_RAW!A692</f>
        <v/>
      </c>
      <c r="D694" s="31">
        <f>CHAIN_RAW!C692</f>
        <v/>
      </c>
      <c r="E694" s="31">
        <f>CHAIN_RAW!E692</f>
        <v/>
      </c>
      <c r="F694" s="31">
        <f>CHAIN_RAW!F692</f>
        <v/>
      </c>
      <c r="G694" s="31">
        <f>CHAIN_RAW!I692</f>
        <v/>
      </c>
      <c r="H694" s="31">
        <f>CHAIN_RAW!Q692</f>
        <v/>
      </c>
      <c r="I694" s="31">
        <f>LET(pc,F694,oc,H694,IF(OR(pc="",oc=""),"",IF(AND(pc&gt;0,oc&gt;0),"Long Buildup",IF(AND(pc&lt;0,oc&gt;0),"Short Buildup",IF(AND(pc&gt;0,oc&lt;0),"Short Covering",IF(AND(pc&lt;0,oc&lt;0),"Long Unwinding","Flat"))))))</f>
        <v/>
      </c>
      <c r="J694" s="31">
        <f>LET(pc,ABS(F694),oc,ABS(H694),IF(OR(pc="",oc=""),"",MAX(1,MIN(5,ROUND((pc*0.5+oc*0.00001)*5,0))))))</f>
        <v/>
      </c>
    </row>
    <row r="695">
      <c r="A695" s="31" t="n">
        <v>693</v>
      </c>
      <c r="B695" s="31">
        <f>CHAIN_RAW!D693</f>
        <v/>
      </c>
      <c r="C695" s="31">
        <f>CHAIN_RAW!A693</f>
        <v/>
      </c>
      <c r="D695" s="31">
        <f>CHAIN_RAW!C693</f>
        <v/>
      </c>
      <c r="E695" s="31">
        <f>CHAIN_RAW!E693</f>
        <v/>
      </c>
      <c r="F695" s="31">
        <f>CHAIN_RAW!F693</f>
        <v/>
      </c>
      <c r="G695" s="31">
        <f>CHAIN_RAW!I693</f>
        <v/>
      </c>
      <c r="H695" s="31">
        <f>CHAIN_RAW!Q693</f>
        <v/>
      </c>
      <c r="I695" s="31">
        <f>LET(pc,F695,oc,H695,IF(OR(pc="",oc=""),"",IF(AND(pc&gt;0,oc&gt;0),"Long Buildup",IF(AND(pc&lt;0,oc&gt;0),"Short Buildup",IF(AND(pc&gt;0,oc&lt;0),"Short Covering",IF(AND(pc&lt;0,oc&lt;0),"Long Unwinding","Flat"))))))</f>
        <v/>
      </c>
      <c r="J695" s="31">
        <f>LET(pc,ABS(F695),oc,ABS(H695),IF(OR(pc="",oc=""),"",MAX(1,MIN(5,ROUND((pc*0.5+oc*0.00001)*5,0))))))</f>
        <v/>
      </c>
    </row>
    <row r="696">
      <c r="A696" s="31" t="n">
        <v>694</v>
      </c>
      <c r="B696" s="31">
        <f>CHAIN_RAW!D694</f>
        <v/>
      </c>
      <c r="C696" s="31">
        <f>CHAIN_RAW!A694</f>
        <v/>
      </c>
      <c r="D696" s="31">
        <f>CHAIN_RAW!C694</f>
        <v/>
      </c>
      <c r="E696" s="31">
        <f>CHAIN_RAW!E694</f>
        <v/>
      </c>
      <c r="F696" s="31">
        <f>CHAIN_RAW!F694</f>
        <v/>
      </c>
      <c r="G696" s="31">
        <f>CHAIN_RAW!I694</f>
        <v/>
      </c>
      <c r="H696" s="31">
        <f>CHAIN_RAW!Q694</f>
        <v/>
      </c>
      <c r="I696" s="31">
        <f>LET(pc,F696,oc,H696,IF(OR(pc="",oc=""),"",IF(AND(pc&gt;0,oc&gt;0),"Long Buildup",IF(AND(pc&lt;0,oc&gt;0),"Short Buildup",IF(AND(pc&gt;0,oc&lt;0),"Short Covering",IF(AND(pc&lt;0,oc&lt;0),"Long Unwinding","Flat"))))))</f>
        <v/>
      </c>
      <c r="J696" s="31">
        <f>LET(pc,ABS(F696),oc,ABS(H696),IF(OR(pc="",oc=""),"",MAX(1,MIN(5,ROUND((pc*0.5+oc*0.00001)*5,0))))))</f>
        <v/>
      </c>
    </row>
    <row r="697">
      <c r="A697" s="31" t="n">
        <v>695</v>
      </c>
      <c r="B697" s="31">
        <f>CHAIN_RAW!D695</f>
        <v/>
      </c>
      <c r="C697" s="31">
        <f>CHAIN_RAW!A695</f>
        <v/>
      </c>
      <c r="D697" s="31">
        <f>CHAIN_RAW!C695</f>
        <v/>
      </c>
      <c r="E697" s="31">
        <f>CHAIN_RAW!E695</f>
        <v/>
      </c>
      <c r="F697" s="31">
        <f>CHAIN_RAW!F695</f>
        <v/>
      </c>
      <c r="G697" s="31">
        <f>CHAIN_RAW!I695</f>
        <v/>
      </c>
      <c r="H697" s="31">
        <f>CHAIN_RAW!Q695</f>
        <v/>
      </c>
      <c r="I697" s="31">
        <f>LET(pc,F697,oc,H697,IF(OR(pc="",oc=""),"",IF(AND(pc&gt;0,oc&gt;0),"Long Buildup",IF(AND(pc&lt;0,oc&gt;0),"Short Buildup",IF(AND(pc&gt;0,oc&lt;0),"Short Covering",IF(AND(pc&lt;0,oc&lt;0),"Long Unwinding","Flat"))))))</f>
        <v/>
      </c>
      <c r="J697" s="31">
        <f>LET(pc,ABS(F697),oc,ABS(H697),IF(OR(pc="",oc=""),"",MAX(1,MIN(5,ROUND((pc*0.5+oc*0.00001)*5,0))))))</f>
        <v/>
      </c>
    </row>
    <row r="698">
      <c r="A698" s="31" t="n">
        <v>696</v>
      </c>
      <c r="B698" s="31">
        <f>CHAIN_RAW!D696</f>
        <v/>
      </c>
      <c r="C698" s="31">
        <f>CHAIN_RAW!A696</f>
        <v/>
      </c>
      <c r="D698" s="31">
        <f>CHAIN_RAW!C696</f>
        <v/>
      </c>
      <c r="E698" s="31">
        <f>CHAIN_RAW!E696</f>
        <v/>
      </c>
      <c r="F698" s="31">
        <f>CHAIN_RAW!F696</f>
        <v/>
      </c>
      <c r="G698" s="31">
        <f>CHAIN_RAW!I696</f>
        <v/>
      </c>
      <c r="H698" s="31">
        <f>CHAIN_RAW!Q696</f>
        <v/>
      </c>
      <c r="I698" s="31">
        <f>LET(pc,F698,oc,H698,IF(OR(pc="",oc=""),"",IF(AND(pc&gt;0,oc&gt;0),"Long Buildup",IF(AND(pc&lt;0,oc&gt;0),"Short Buildup",IF(AND(pc&gt;0,oc&lt;0),"Short Covering",IF(AND(pc&lt;0,oc&lt;0),"Long Unwinding","Flat"))))))</f>
        <v/>
      </c>
      <c r="J698" s="31">
        <f>LET(pc,ABS(F698),oc,ABS(H698),IF(OR(pc="",oc=""),"",MAX(1,MIN(5,ROUND((pc*0.5+oc*0.00001)*5,0))))))</f>
        <v/>
      </c>
    </row>
    <row r="699">
      <c r="A699" s="31" t="n">
        <v>697</v>
      </c>
      <c r="B699" s="31">
        <f>CHAIN_RAW!D697</f>
        <v/>
      </c>
      <c r="C699" s="31">
        <f>CHAIN_RAW!A697</f>
        <v/>
      </c>
      <c r="D699" s="31">
        <f>CHAIN_RAW!C697</f>
        <v/>
      </c>
      <c r="E699" s="31">
        <f>CHAIN_RAW!E697</f>
        <v/>
      </c>
      <c r="F699" s="31">
        <f>CHAIN_RAW!F697</f>
        <v/>
      </c>
      <c r="G699" s="31">
        <f>CHAIN_RAW!I697</f>
        <v/>
      </c>
      <c r="H699" s="31">
        <f>CHAIN_RAW!Q697</f>
        <v/>
      </c>
      <c r="I699" s="31">
        <f>LET(pc,F699,oc,H699,IF(OR(pc="",oc=""),"",IF(AND(pc&gt;0,oc&gt;0),"Long Buildup",IF(AND(pc&lt;0,oc&gt;0),"Short Buildup",IF(AND(pc&gt;0,oc&lt;0),"Short Covering",IF(AND(pc&lt;0,oc&lt;0),"Long Unwinding","Flat"))))))</f>
        <v/>
      </c>
      <c r="J699" s="31">
        <f>LET(pc,ABS(F699),oc,ABS(H699),IF(OR(pc="",oc=""),"",MAX(1,MIN(5,ROUND((pc*0.5+oc*0.00001)*5,0))))))</f>
        <v/>
      </c>
    </row>
    <row r="700">
      <c r="A700" s="31" t="n">
        <v>698</v>
      </c>
      <c r="B700" s="31">
        <f>CHAIN_RAW!D698</f>
        <v/>
      </c>
      <c r="C700" s="31">
        <f>CHAIN_RAW!A698</f>
        <v/>
      </c>
      <c r="D700" s="31">
        <f>CHAIN_RAW!C698</f>
        <v/>
      </c>
      <c r="E700" s="31">
        <f>CHAIN_RAW!E698</f>
        <v/>
      </c>
      <c r="F700" s="31">
        <f>CHAIN_RAW!F698</f>
        <v/>
      </c>
      <c r="G700" s="31">
        <f>CHAIN_RAW!I698</f>
        <v/>
      </c>
      <c r="H700" s="31">
        <f>CHAIN_RAW!Q698</f>
        <v/>
      </c>
      <c r="I700" s="31">
        <f>LET(pc,F700,oc,H700,IF(OR(pc="",oc=""),"",IF(AND(pc&gt;0,oc&gt;0),"Long Buildup",IF(AND(pc&lt;0,oc&gt;0),"Short Buildup",IF(AND(pc&gt;0,oc&lt;0),"Short Covering",IF(AND(pc&lt;0,oc&lt;0),"Long Unwinding","Flat"))))))</f>
        <v/>
      </c>
      <c r="J700" s="31">
        <f>LET(pc,ABS(F700),oc,ABS(H700),IF(OR(pc="",oc=""),"",MAX(1,MIN(5,ROUND((pc*0.5+oc*0.00001)*5,0))))))</f>
        <v/>
      </c>
    </row>
    <row r="701">
      <c r="A701" s="31" t="n">
        <v>699</v>
      </c>
      <c r="B701" s="31">
        <f>CHAIN_RAW!D699</f>
        <v/>
      </c>
      <c r="C701" s="31">
        <f>CHAIN_RAW!A699</f>
        <v/>
      </c>
      <c r="D701" s="31">
        <f>CHAIN_RAW!C699</f>
        <v/>
      </c>
      <c r="E701" s="31">
        <f>CHAIN_RAW!E699</f>
        <v/>
      </c>
      <c r="F701" s="31">
        <f>CHAIN_RAW!F699</f>
        <v/>
      </c>
      <c r="G701" s="31">
        <f>CHAIN_RAW!I699</f>
        <v/>
      </c>
      <c r="H701" s="31">
        <f>CHAIN_RAW!Q699</f>
        <v/>
      </c>
      <c r="I701" s="31">
        <f>LET(pc,F701,oc,H701,IF(OR(pc="",oc=""),"",IF(AND(pc&gt;0,oc&gt;0),"Long Buildup",IF(AND(pc&lt;0,oc&gt;0),"Short Buildup",IF(AND(pc&gt;0,oc&lt;0),"Short Covering",IF(AND(pc&lt;0,oc&lt;0),"Long Unwinding","Flat"))))))</f>
        <v/>
      </c>
      <c r="J701" s="31">
        <f>LET(pc,ABS(F701),oc,ABS(H701),IF(OR(pc="",oc=""),"",MAX(1,MIN(5,ROUND((pc*0.5+oc*0.00001)*5,0))))))</f>
        <v/>
      </c>
    </row>
    <row r="702">
      <c r="A702" s="31" t="n">
        <v>700</v>
      </c>
      <c r="B702" s="31">
        <f>CHAIN_RAW!D700</f>
        <v/>
      </c>
      <c r="C702" s="31">
        <f>CHAIN_RAW!A700</f>
        <v/>
      </c>
      <c r="D702" s="31">
        <f>CHAIN_RAW!C700</f>
        <v/>
      </c>
      <c r="E702" s="31">
        <f>CHAIN_RAW!E700</f>
        <v/>
      </c>
      <c r="F702" s="31">
        <f>CHAIN_RAW!F700</f>
        <v/>
      </c>
      <c r="G702" s="31">
        <f>CHAIN_RAW!I700</f>
        <v/>
      </c>
      <c r="H702" s="31">
        <f>CHAIN_RAW!Q700</f>
        <v/>
      </c>
      <c r="I702" s="31">
        <f>LET(pc,F702,oc,H702,IF(OR(pc="",oc=""),"",IF(AND(pc&gt;0,oc&gt;0),"Long Buildup",IF(AND(pc&lt;0,oc&gt;0),"Short Buildup",IF(AND(pc&gt;0,oc&lt;0),"Short Covering",IF(AND(pc&lt;0,oc&lt;0),"Long Unwinding","Flat"))))))</f>
        <v/>
      </c>
      <c r="J702" s="31">
        <f>LET(pc,ABS(F702),oc,ABS(H702),IF(OR(pc="",oc=""),"",MAX(1,MIN(5,ROUND((pc*0.5+oc*0.00001)*5,0))))))</f>
        <v/>
      </c>
    </row>
    <row r="703">
      <c r="A703" s="31" t="n">
        <v>701</v>
      </c>
      <c r="B703" s="31">
        <f>CHAIN_RAW!D701</f>
        <v/>
      </c>
      <c r="C703" s="31">
        <f>CHAIN_RAW!A701</f>
        <v/>
      </c>
      <c r="D703" s="31">
        <f>CHAIN_RAW!C701</f>
        <v/>
      </c>
      <c r="E703" s="31">
        <f>CHAIN_RAW!E701</f>
        <v/>
      </c>
      <c r="F703" s="31">
        <f>CHAIN_RAW!F701</f>
        <v/>
      </c>
      <c r="G703" s="31">
        <f>CHAIN_RAW!I701</f>
        <v/>
      </c>
      <c r="H703" s="31">
        <f>CHAIN_RAW!Q701</f>
        <v/>
      </c>
      <c r="I703" s="31">
        <f>LET(pc,F703,oc,H703,IF(OR(pc="",oc=""),"",IF(AND(pc&gt;0,oc&gt;0),"Long Buildup",IF(AND(pc&lt;0,oc&gt;0),"Short Buildup",IF(AND(pc&gt;0,oc&lt;0),"Short Covering",IF(AND(pc&lt;0,oc&lt;0),"Long Unwinding","Flat"))))))</f>
        <v/>
      </c>
      <c r="J703" s="31">
        <f>LET(pc,ABS(F703),oc,ABS(H703),IF(OR(pc="",oc=""),"",MAX(1,MIN(5,ROUND((pc*0.5+oc*0.00001)*5,0))))))</f>
        <v/>
      </c>
    </row>
    <row r="704">
      <c r="A704" s="31" t="n">
        <v>702</v>
      </c>
      <c r="B704" s="31">
        <f>CHAIN_RAW!D702</f>
        <v/>
      </c>
      <c r="C704" s="31">
        <f>CHAIN_RAW!A702</f>
        <v/>
      </c>
      <c r="D704" s="31">
        <f>CHAIN_RAW!C702</f>
        <v/>
      </c>
      <c r="E704" s="31">
        <f>CHAIN_RAW!E702</f>
        <v/>
      </c>
      <c r="F704" s="31">
        <f>CHAIN_RAW!F702</f>
        <v/>
      </c>
      <c r="G704" s="31">
        <f>CHAIN_RAW!I702</f>
        <v/>
      </c>
      <c r="H704" s="31">
        <f>CHAIN_RAW!Q702</f>
        <v/>
      </c>
      <c r="I704" s="31">
        <f>LET(pc,F704,oc,H704,IF(OR(pc="",oc=""),"",IF(AND(pc&gt;0,oc&gt;0),"Long Buildup",IF(AND(pc&lt;0,oc&gt;0),"Short Buildup",IF(AND(pc&gt;0,oc&lt;0),"Short Covering",IF(AND(pc&lt;0,oc&lt;0),"Long Unwinding","Flat"))))))</f>
        <v/>
      </c>
      <c r="J704" s="31">
        <f>LET(pc,ABS(F704),oc,ABS(H704),IF(OR(pc="",oc=""),"",MAX(1,MIN(5,ROUND((pc*0.5+oc*0.00001)*5,0))))))</f>
        <v/>
      </c>
    </row>
    <row r="705">
      <c r="A705" s="31" t="n">
        <v>703</v>
      </c>
      <c r="B705" s="31">
        <f>CHAIN_RAW!D703</f>
        <v/>
      </c>
      <c r="C705" s="31">
        <f>CHAIN_RAW!A703</f>
        <v/>
      </c>
      <c r="D705" s="31">
        <f>CHAIN_RAW!C703</f>
        <v/>
      </c>
      <c r="E705" s="31">
        <f>CHAIN_RAW!E703</f>
        <v/>
      </c>
      <c r="F705" s="31">
        <f>CHAIN_RAW!F703</f>
        <v/>
      </c>
      <c r="G705" s="31">
        <f>CHAIN_RAW!I703</f>
        <v/>
      </c>
      <c r="H705" s="31">
        <f>CHAIN_RAW!Q703</f>
        <v/>
      </c>
      <c r="I705" s="31">
        <f>LET(pc,F705,oc,H705,IF(OR(pc="",oc=""),"",IF(AND(pc&gt;0,oc&gt;0),"Long Buildup",IF(AND(pc&lt;0,oc&gt;0),"Short Buildup",IF(AND(pc&gt;0,oc&lt;0),"Short Covering",IF(AND(pc&lt;0,oc&lt;0),"Long Unwinding","Flat"))))))</f>
        <v/>
      </c>
      <c r="J705" s="31">
        <f>LET(pc,ABS(F705),oc,ABS(H705),IF(OR(pc="",oc=""),"",MAX(1,MIN(5,ROUND((pc*0.5+oc*0.00001)*5,0))))))</f>
        <v/>
      </c>
    </row>
    <row r="706">
      <c r="A706" s="31" t="n">
        <v>704</v>
      </c>
      <c r="B706" s="31">
        <f>CHAIN_RAW!D704</f>
        <v/>
      </c>
      <c r="C706" s="31">
        <f>CHAIN_RAW!A704</f>
        <v/>
      </c>
      <c r="D706" s="31">
        <f>CHAIN_RAW!C704</f>
        <v/>
      </c>
      <c r="E706" s="31">
        <f>CHAIN_RAW!E704</f>
        <v/>
      </c>
      <c r="F706" s="31">
        <f>CHAIN_RAW!F704</f>
        <v/>
      </c>
      <c r="G706" s="31">
        <f>CHAIN_RAW!I704</f>
        <v/>
      </c>
      <c r="H706" s="31">
        <f>CHAIN_RAW!Q704</f>
        <v/>
      </c>
      <c r="I706" s="31">
        <f>LET(pc,F706,oc,H706,IF(OR(pc="",oc=""),"",IF(AND(pc&gt;0,oc&gt;0),"Long Buildup",IF(AND(pc&lt;0,oc&gt;0),"Short Buildup",IF(AND(pc&gt;0,oc&lt;0),"Short Covering",IF(AND(pc&lt;0,oc&lt;0),"Long Unwinding","Flat"))))))</f>
        <v/>
      </c>
      <c r="J706" s="31">
        <f>LET(pc,ABS(F706),oc,ABS(H706),IF(OR(pc="",oc=""),"",MAX(1,MIN(5,ROUND((pc*0.5+oc*0.00001)*5,0))))))</f>
        <v/>
      </c>
    </row>
    <row r="707">
      <c r="A707" s="31" t="n">
        <v>705</v>
      </c>
      <c r="B707" s="31">
        <f>CHAIN_RAW!D705</f>
        <v/>
      </c>
      <c r="C707" s="31">
        <f>CHAIN_RAW!A705</f>
        <v/>
      </c>
      <c r="D707" s="31">
        <f>CHAIN_RAW!C705</f>
        <v/>
      </c>
      <c r="E707" s="31">
        <f>CHAIN_RAW!E705</f>
        <v/>
      </c>
      <c r="F707" s="31">
        <f>CHAIN_RAW!F705</f>
        <v/>
      </c>
      <c r="G707" s="31">
        <f>CHAIN_RAW!I705</f>
        <v/>
      </c>
      <c r="H707" s="31">
        <f>CHAIN_RAW!Q705</f>
        <v/>
      </c>
      <c r="I707" s="31">
        <f>LET(pc,F707,oc,H707,IF(OR(pc="",oc=""),"",IF(AND(pc&gt;0,oc&gt;0),"Long Buildup",IF(AND(pc&lt;0,oc&gt;0),"Short Buildup",IF(AND(pc&gt;0,oc&lt;0),"Short Covering",IF(AND(pc&lt;0,oc&lt;0),"Long Unwinding","Flat"))))))</f>
        <v/>
      </c>
      <c r="J707" s="31">
        <f>LET(pc,ABS(F707),oc,ABS(H707),IF(OR(pc="",oc=""),"",MAX(1,MIN(5,ROUND((pc*0.5+oc*0.00001)*5,0))))))</f>
        <v/>
      </c>
    </row>
    <row r="708">
      <c r="A708" s="31" t="n">
        <v>706</v>
      </c>
      <c r="B708" s="31">
        <f>CHAIN_RAW!D706</f>
        <v/>
      </c>
      <c r="C708" s="31">
        <f>CHAIN_RAW!A706</f>
        <v/>
      </c>
      <c r="D708" s="31">
        <f>CHAIN_RAW!C706</f>
        <v/>
      </c>
      <c r="E708" s="31">
        <f>CHAIN_RAW!E706</f>
        <v/>
      </c>
      <c r="F708" s="31">
        <f>CHAIN_RAW!F706</f>
        <v/>
      </c>
      <c r="G708" s="31">
        <f>CHAIN_RAW!I706</f>
        <v/>
      </c>
      <c r="H708" s="31">
        <f>CHAIN_RAW!Q706</f>
        <v/>
      </c>
      <c r="I708" s="31">
        <f>LET(pc,F708,oc,H708,IF(OR(pc="",oc=""),"",IF(AND(pc&gt;0,oc&gt;0),"Long Buildup",IF(AND(pc&lt;0,oc&gt;0),"Short Buildup",IF(AND(pc&gt;0,oc&lt;0),"Short Covering",IF(AND(pc&lt;0,oc&lt;0),"Long Unwinding","Flat"))))))</f>
        <v/>
      </c>
      <c r="J708" s="31">
        <f>LET(pc,ABS(F708),oc,ABS(H708),IF(OR(pc="",oc=""),"",MAX(1,MIN(5,ROUND((pc*0.5+oc*0.00001)*5,0))))))</f>
        <v/>
      </c>
    </row>
    <row r="709">
      <c r="A709" s="31" t="n">
        <v>707</v>
      </c>
      <c r="B709" s="31">
        <f>CHAIN_RAW!D707</f>
        <v/>
      </c>
      <c r="C709" s="31">
        <f>CHAIN_RAW!A707</f>
        <v/>
      </c>
      <c r="D709" s="31">
        <f>CHAIN_RAW!C707</f>
        <v/>
      </c>
      <c r="E709" s="31">
        <f>CHAIN_RAW!E707</f>
        <v/>
      </c>
      <c r="F709" s="31">
        <f>CHAIN_RAW!F707</f>
        <v/>
      </c>
      <c r="G709" s="31">
        <f>CHAIN_RAW!I707</f>
        <v/>
      </c>
      <c r="H709" s="31">
        <f>CHAIN_RAW!Q707</f>
        <v/>
      </c>
      <c r="I709" s="31">
        <f>LET(pc,F709,oc,H709,IF(OR(pc="",oc=""),"",IF(AND(pc&gt;0,oc&gt;0),"Long Buildup",IF(AND(pc&lt;0,oc&gt;0),"Short Buildup",IF(AND(pc&gt;0,oc&lt;0),"Short Covering",IF(AND(pc&lt;0,oc&lt;0),"Long Unwinding","Flat"))))))</f>
        <v/>
      </c>
      <c r="J709" s="31">
        <f>LET(pc,ABS(F709),oc,ABS(H709),IF(OR(pc="",oc=""),"",MAX(1,MIN(5,ROUND((pc*0.5+oc*0.00001)*5,0))))))</f>
        <v/>
      </c>
    </row>
    <row r="710">
      <c r="A710" s="31" t="n">
        <v>708</v>
      </c>
      <c r="B710" s="31">
        <f>CHAIN_RAW!D708</f>
        <v/>
      </c>
      <c r="C710" s="31">
        <f>CHAIN_RAW!A708</f>
        <v/>
      </c>
      <c r="D710" s="31">
        <f>CHAIN_RAW!C708</f>
        <v/>
      </c>
      <c r="E710" s="31">
        <f>CHAIN_RAW!E708</f>
        <v/>
      </c>
      <c r="F710" s="31">
        <f>CHAIN_RAW!F708</f>
        <v/>
      </c>
      <c r="G710" s="31">
        <f>CHAIN_RAW!I708</f>
        <v/>
      </c>
      <c r="H710" s="31">
        <f>CHAIN_RAW!Q708</f>
        <v/>
      </c>
      <c r="I710" s="31">
        <f>LET(pc,F710,oc,H710,IF(OR(pc="",oc=""),"",IF(AND(pc&gt;0,oc&gt;0),"Long Buildup",IF(AND(pc&lt;0,oc&gt;0),"Short Buildup",IF(AND(pc&gt;0,oc&lt;0),"Short Covering",IF(AND(pc&lt;0,oc&lt;0),"Long Unwinding","Flat"))))))</f>
        <v/>
      </c>
      <c r="J710" s="31">
        <f>LET(pc,ABS(F710),oc,ABS(H710),IF(OR(pc="",oc=""),"",MAX(1,MIN(5,ROUND((pc*0.5+oc*0.00001)*5,0))))))</f>
        <v/>
      </c>
    </row>
    <row r="711">
      <c r="A711" s="31" t="n">
        <v>709</v>
      </c>
      <c r="B711" s="31">
        <f>CHAIN_RAW!D709</f>
        <v/>
      </c>
      <c r="C711" s="31">
        <f>CHAIN_RAW!A709</f>
        <v/>
      </c>
      <c r="D711" s="31">
        <f>CHAIN_RAW!C709</f>
        <v/>
      </c>
      <c r="E711" s="31">
        <f>CHAIN_RAW!E709</f>
        <v/>
      </c>
      <c r="F711" s="31">
        <f>CHAIN_RAW!F709</f>
        <v/>
      </c>
      <c r="G711" s="31">
        <f>CHAIN_RAW!I709</f>
        <v/>
      </c>
      <c r="H711" s="31">
        <f>CHAIN_RAW!Q709</f>
        <v/>
      </c>
      <c r="I711" s="31">
        <f>LET(pc,F711,oc,H711,IF(OR(pc="",oc=""),"",IF(AND(pc&gt;0,oc&gt;0),"Long Buildup",IF(AND(pc&lt;0,oc&gt;0),"Short Buildup",IF(AND(pc&gt;0,oc&lt;0),"Short Covering",IF(AND(pc&lt;0,oc&lt;0),"Long Unwinding","Flat"))))))</f>
        <v/>
      </c>
      <c r="J711" s="31">
        <f>LET(pc,ABS(F711),oc,ABS(H711),IF(OR(pc="",oc=""),"",MAX(1,MIN(5,ROUND((pc*0.5+oc*0.00001)*5,0))))))</f>
        <v/>
      </c>
    </row>
    <row r="712">
      <c r="A712" s="31" t="n">
        <v>710</v>
      </c>
      <c r="B712" s="31">
        <f>CHAIN_RAW!D710</f>
        <v/>
      </c>
      <c r="C712" s="31">
        <f>CHAIN_RAW!A710</f>
        <v/>
      </c>
      <c r="D712" s="31">
        <f>CHAIN_RAW!C710</f>
        <v/>
      </c>
      <c r="E712" s="31">
        <f>CHAIN_RAW!E710</f>
        <v/>
      </c>
      <c r="F712" s="31">
        <f>CHAIN_RAW!F710</f>
        <v/>
      </c>
      <c r="G712" s="31">
        <f>CHAIN_RAW!I710</f>
        <v/>
      </c>
      <c r="H712" s="31">
        <f>CHAIN_RAW!Q710</f>
        <v/>
      </c>
      <c r="I712" s="31">
        <f>LET(pc,F712,oc,H712,IF(OR(pc="",oc=""),"",IF(AND(pc&gt;0,oc&gt;0),"Long Buildup",IF(AND(pc&lt;0,oc&gt;0),"Short Buildup",IF(AND(pc&gt;0,oc&lt;0),"Short Covering",IF(AND(pc&lt;0,oc&lt;0),"Long Unwinding","Flat"))))))</f>
        <v/>
      </c>
      <c r="J712" s="31">
        <f>LET(pc,ABS(F712),oc,ABS(H712),IF(OR(pc="",oc=""),"",MAX(1,MIN(5,ROUND((pc*0.5+oc*0.00001)*5,0))))))</f>
        <v/>
      </c>
    </row>
    <row r="713">
      <c r="A713" s="31" t="n">
        <v>711</v>
      </c>
      <c r="B713" s="31">
        <f>CHAIN_RAW!D711</f>
        <v/>
      </c>
      <c r="C713" s="31">
        <f>CHAIN_RAW!A711</f>
        <v/>
      </c>
      <c r="D713" s="31">
        <f>CHAIN_RAW!C711</f>
        <v/>
      </c>
      <c r="E713" s="31">
        <f>CHAIN_RAW!E711</f>
        <v/>
      </c>
      <c r="F713" s="31">
        <f>CHAIN_RAW!F711</f>
        <v/>
      </c>
      <c r="G713" s="31">
        <f>CHAIN_RAW!I711</f>
        <v/>
      </c>
      <c r="H713" s="31">
        <f>CHAIN_RAW!Q711</f>
        <v/>
      </c>
      <c r="I713" s="31">
        <f>LET(pc,F713,oc,H713,IF(OR(pc="",oc=""),"",IF(AND(pc&gt;0,oc&gt;0),"Long Buildup",IF(AND(pc&lt;0,oc&gt;0),"Short Buildup",IF(AND(pc&gt;0,oc&lt;0),"Short Covering",IF(AND(pc&lt;0,oc&lt;0),"Long Unwinding","Flat"))))))</f>
        <v/>
      </c>
      <c r="J713" s="31">
        <f>LET(pc,ABS(F713),oc,ABS(H713),IF(OR(pc="",oc=""),"",MAX(1,MIN(5,ROUND((pc*0.5+oc*0.00001)*5,0))))))</f>
        <v/>
      </c>
    </row>
    <row r="714">
      <c r="A714" s="31" t="n">
        <v>712</v>
      </c>
      <c r="B714" s="31">
        <f>CHAIN_RAW!D712</f>
        <v/>
      </c>
      <c r="C714" s="31">
        <f>CHAIN_RAW!A712</f>
        <v/>
      </c>
      <c r="D714" s="31">
        <f>CHAIN_RAW!C712</f>
        <v/>
      </c>
      <c r="E714" s="31">
        <f>CHAIN_RAW!E712</f>
        <v/>
      </c>
      <c r="F714" s="31">
        <f>CHAIN_RAW!F712</f>
        <v/>
      </c>
      <c r="G714" s="31">
        <f>CHAIN_RAW!I712</f>
        <v/>
      </c>
      <c r="H714" s="31">
        <f>CHAIN_RAW!Q712</f>
        <v/>
      </c>
      <c r="I714" s="31">
        <f>LET(pc,F714,oc,H714,IF(OR(pc="",oc=""),"",IF(AND(pc&gt;0,oc&gt;0),"Long Buildup",IF(AND(pc&lt;0,oc&gt;0),"Short Buildup",IF(AND(pc&gt;0,oc&lt;0),"Short Covering",IF(AND(pc&lt;0,oc&lt;0),"Long Unwinding","Flat"))))))</f>
        <v/>
      </c>
      <c r="J714" s="31">
        <f>LET(pc,ABS(F714),oc,ABS(H714),IF(OR(pc="",oc=""),"",MAX(1,MIN(5,ROUND((pc*0.5+oc*0.00001)*5,0))))))</f>
        <v/>
      </c>
    </row>
    <row r="715">
      <c r="A715" s="31" t="n">
        <v>713</v>
      </c>
      <c r="B715" s="31">
        <f>CHAIN_RAW!D713</f>
        <v/>
      </c>
      <c r="C715" s="31">
        <f>CHAIN_RAW!A713</f>
        <v/>
      </c>
      <c r="D715" s="31">
        <f>CHAIN_RAW!C713</f>
        <v/>
      </c>
      <c r="E715" s="31">
        <f>CHAIN_RAW!E713</f>
        <v/>
      </c>
      <c r="F715" s="31">
        <f>CHAIN_RAW!F713</f>
        <v/>
      </c>
      <c r="G715" s="31">
        <f>CHAIN_RAW!I713</f>
        <v/>
      </c>
      <c r="H715" s="31">
        <f>CHAIN_RAW!Q713</f>
        <v/>
      </c>
      <c r="I715" s="31">
        <f>LET(pc,F715,oc,H715,IF(OR(pc="",oc=""),"",IF(AND(pc&gt;0,oc&gt;0),"Long Buildup",IF(AND(pc&lt;0,oc&gt;0),"Short Buildup",IF(AND(pc&gt;0,oc&lt;0),"Short Covering",IF(AND(pc&lt;0,oc&lt;0),"Long Unwinding","Flat"))))))</f>
        <v/>
      </c>
      <c r="J715" s="31">
        <f>LET(pc,ABS(F715),oc,ABS(H715),IF(OR(pc="",oc=""),"",MAX(1,MIN(5,ROUND((pc*0.5+oc*0.00001)*5,0))))))</f>
        <v/>
      </c>
    </row>
    <row r="716">
      <c r="A716" s="31" t="n">
        <v>714</v>
      </c>
      <c r="B716" s="31">
        <f>CHAIN_RAW!D714</f>
        <v/>
      </c>
      <c r="C716" s="31">
        <f>CHAIN_RAW!A714</f>
        <v/>
      </c>
      <c r="D716" s="31">
        <f>CHAIN_RAW!C714</f>
        <v/>
      </c>
      <c r="E716" s="31">
        <f>CHAIN_RAW!E714</f>
        <v/>
      </c>
      <c r="F716" s="31">
        <f>CHAIN_RAW!F714</f>
        <v/>
      </c>
      <c r="G716" s="31">
        <f>CHAIN_RAW!I714</f>
        <v/>
      </c>
      <c r="H716" s="31">
        <f>CHAIN_RAW!Q714</f>
        <v/>
      </c>
      <c r="I716" s="31">
        <f>LET(pc,F716,oc,H716,IF(OR(pc="",oc=""),"",IF(AND(pc&gt;0,oc&gt;0),"Long Buildup",IF(AND(pc&lt;0,oc&gt;0),"Short Buildup",IF(AND(pc&gt;0,oc&lt;0),"Short Covering",IF(AND(pc&lt;0,oc&lt;0),"Long Unwinding","Flat"))))))</f>
        <v/>
      </c>
      <c r="J716" s="31">
        <f>LET(pc,ABS(F716),oc,ABS(H716),IF(OR(pc="",oc=""),"",MAX(1,MIN(5,ROUND((pc*0.5+oc*0.00001)*5,0))))))</f>
        <v/>
      </c>
    </row>
    <row r="717">
      <c r="A717" s="31" t="n">
        <v>715</v>
      </c>
      <c r="B717" s="31">
        <f>CHAIN_RAW!D715</f>
        <v/>
      </c>
      <c r="C717" s="31">
        <f>CHAIN_RAW!A715</f>
        <v/>
      </c>
      <c r="D717" s="31">
        <f>CHAIN_RAW!C715</f>
        <v/>
      </c>
      <c r="E717" s="31">
        <f>CHAIN_RAW!E715</f>
        <v/>
      </c>
      <c r="F717" s="31">
        <f>CHAIN_RAW!F715</f>
        <v/>
      </c>
      <c r="G717" s="31">
        <f>CHAIN_RAW!I715</f>
        <v/>
      </c>
      <c r="H717" s="31">
        <f>CHAIN_RAW!Q715</f>
        <v/>
      </c>
      <c r="I717" s="31">
        <f>LET(pc,F717,oc,H717,IF(OR(pc="",oc=""),"",IF(AND(pc&gt;0,oc&gt;0),"Long Buildup",IF(AND(pc&lt;0,oc&gt;0),"Short Buildup",IF(AND(pc&gt;0,oc&lt;0),"Short Covering",IF(AND(pc&lt;0,oc&lt;0),"Long Unwinding","Flat"))))))</f>
        <v/>
      </c>
      <c r="J717" s="31">
        <f>LET(pc,ABS(F717),oc,ABS(H717),IF(OR(pc="",oc=""),"",MAX(1,MIN(5,ROUND((pc*0.5+oc*0.00001)*5,0))))))</f>
        <v/>
      </c>
    </row>
    <row r="718">
      <c r="A718" s="31" t="n">
        <v>716</v>
      </c>
      <c r="B718" s="31">
        <f>CHAIN_RAW!D716</f>
        <v/>
      </c>
      <c r="C718" s="31">
        <f>CHAIN_RAW!A716</f>
        <v/>
      </c>
      <c r="D718" s="31">
        <f>CHAIN_RAW!C716</f>
        <v/>
      </c>
      <c r="E718" s="31">
        <f>CHAIN_RAW!E716</f>
        <v/>
      </c>
      <c r="F718" s="31">
        <f>CHAIN_RAW!F716</f>
        <v/>
      </c>
      <c r="G718" s="31">
        <f>CHAIN_RAW!I716</f>
        <v/>
      </c>
      <c r="H718" s="31">
        <f>CHAIN_RAW!Q716</f>
        <v/>
      </c>
      <c r="I718" s="31">
        <f>LET(pc,F718,oc,H718,IF(OR(pc="",oc=""),"",IF(AND(pc&gt;0,oc&gt;0),"Long Buildup",IF(AND(pc&lt;0,oc&gt;0),"Short Buildup",IF(AND(pc&gt;0,oc&lt;0),"Short Covering",IF(AND(pc&lt;0,oc&lt;0),"Long Unwinding","Flat"))))))</f>
        <v/>
      </c>
      <c r="J718" s="31">
        <f>LET(pc,ABS(F718),oc,ABS(H718),IF(OR(pc="",oc=""),"",MAX(1,MIN(5,ROUND((pc*0.5+oc*0.00001)*5,0))))))</f>
        <v/>
      </c>
    </row>
    <row r="719">
      <c r="A719" s="31" t="n">
        <v>717</v>
      </c>
      <c r="B719" s="31">
        <f>CHAIN_RAW!D717</f>
        <v/>
      </c>
      <c r="C719" s="31">
        <f>CHAIN_RAW!A717</f>
        <v/>
      </c>
      <c r="D719" s="31">
        <f>CHAIN_RAW!C717</f>
        <v/>
      </c>
      <c r="E719" s="31">
        <f>CHAIN_RAW!E717</f>
        <v/>
      </c>
      <c r="F719" s="31">
        <f>CHAIN_RAW!F717</f>
        <v/>
      </c>
      <c r="G719" s="31">
        <f>CHAIN_RAW!I717</f>
        <v/>
      </c>
      <c r="H719" s="31">
        <f>CHAIN_RAW!Q717</f>
        <v/>
      </c>
      <c r="I719" s="31">
        <f>LET(pc,F719,oc,H719,IF(OR(pc="",oc=""),"",IF(AND(pc&gt;0,oc&gt;0),"Long Buildup",IF(AND(pc&lt;0,oc&gt;0),"Short Buildup",IF(AND(pc&gt;0,oc&lt;0),"Short Covering",IF(AND(pc&lt;0,oc&lt;0),"Long Unwinding","Flat"))))))</f>
        <v/>
      </c>
      <c r="J719" s="31">
        <f>LET(pc,ABS(F719),oc,ABS(H719),IF(OR(pc="",oc=""),"",MAX(1,MIN(5,ROUND((pc*0.5+oc*0.00001)*5,0))))))</f>
        <v/>
      </c>
    </row>
    <row r="720">
      <c r="A720" s="31" t="n">
        <v>718</v>
      </c>
      <c r="B720" s="31">
        <f>CHAIN_RAW!D718</f>
        <v/>
      </c>
      <c r="C720" s="31">
        <f>CHAIN_RAW!A718</f>
        <v/>
      </c>
      <c r="D720" s="31">
        <f>CHAIN_RAW!C718</f>
        <v/>
      </c>
      <c r="E720" s="31">
        <f>CHAIN_RAW!E718</f>
        <v/>
      </c>
      <c r="F720" s="31">
        <f>CHAIN_RAW!F718</f>
        <v/>
      </c>
      <c r="G720" s="31">
        <f>CHAIN_RAW!I718</f>
        <v/>
      </c>
      <c r="H720" s="31">
        <f>CHAIN_RAW!Q718</f>
        <v/>
      </c>
      <c r="I720" s="31">
        <f>LET(pc,F720,oc,H720,IF(OR(pc="",oc=""),"",IF(AND(pc&gt;0,oc&gt;0),"Long Buildup",IF(AND(pc&lt;0,oc&gt;0),"Short Buildup",IF(AND(pc&gt;0,oc&lt;0),"Short Covering",IF(AND(pc&lt;0,oc&lt;0),"Long Unwinding","Flat"))))))</f>
        <v/>
      </c>
      <c r="J720" s="31">
        <f>LET(pc,ABS(F720),oc,ABS(H720),IF(OR(pc="",oc=""),"",MAX(1,MIN(5,ROUND((pc*0.5+oc*0.00001)*5,0))))))</f>
        <v/>
      </c>
    </row>
    <row r="721">
      <c r="A721" s="31" t="n">
        <v>719</v>
      </c>
      <c r="B721" s="31">
        <f>CHAIN_RAW!D719</f>
        <v/>
      </c>
      <c r="C721" s="31">
        <f>CHAIN_RAW!A719</f>
        <v/>
      </c>
      <c r="D721" s="31">
        <f>CHAIN_RAW!C719</f>
        <v/>
      </c>
      <c r="E721" s="31">
        <f>CHAIN_RAW!E719</f>
        <v/>
      </c>
      <c r="F721" s="31">
        <f>CHAIN_RAW!F719</f>
        <v/>
      </c>
      <c r="G721" s="31">
        <f>CHAIN_RAW!I719</f>
        <v/>
      </c>
      <c r="H721" s="31">
        <f>CHAIN_RAW!Q719</f>
        <v/>
      </c>
      <c r="I721" s="31">
        <f>LET(pc,F721,oc,H721,IF(OR(pc="",oc=""),"",IF(AND(pc&gt;0,oc&gt;0),"Long Buildup",IF(AND(pc&lt;0,oc&gt;0),"Short Buildup",IF(AND(pc&gt;0,oc&lt;0),"Short Covering",IF(AND(pc&lt;0,oc&lt;0),"Long Unwinding","Flat"))))))</f>
        <v/>
      </c>
      <c r="J721" s="31">
        <f>LET(pc,ABS(F721),oc,ABS(H721),IF(OR(pc="",oc=""),"",MAX(1,MIN(5,ROUND((pc*0.5+oc*0.00001)*5,0))))))</f>
        <v/>
      </c>
    </row>
    <row r="722">
      <c r="A722" s="31" t="n">
        <v>720</v>
      </c>
      <c r="B722" s="31">
        <f>CHAIN_RAW!D720</f>
        <v/>
      </c>
      <c r="C722" s="31">
        <f>CHAIN_RAW!A720</f>
        <v/>
      </c>
      <c r="D722" s="31">
        <f>CHAIN_RAW!C720</f>
        <v/>
      </c>
      <c r="E722" s="31">
        <f>CHAIN_RAW!E720</f>
        <v/>
      </c>
      <c r="F722" s="31">
        <f>CHAIN_RAW!F720</f>
        <v/>
      </c>
      <c r="G722" s="31">
        <f>CHAIN_RAW!I720</f>
        <v/>
      </c>
      <c r="H722" s="31">
        <f>CHAIN_RAW!Q720</f>
        <v/>
      </c>
      <c r="I722" s="31">
        <f>LET(pc,F722,oc,H722,IF(OR(pc="",oc=""),"",IF(AND(pc&gt;0,oc&gt;0),"Long Buildup",IF(AND(pc&lt;0,oc&gt;0),"Short Buildup",IF(AND(pc&gt;0,oc&lt;0),"Short Covering",IF(AND(pc&lt;0,oc&lt;0),"Long Unwinding","Flat"))))))</f>
        <v/>
      </c>
      <c r="J722" s="31">
        <f>LET(pc,ABS(F722),oc,ABS(H722),IF(OR(pc="",oc=""),"",MAX(1,MIN(5,ROUND((pc*0.5+oc*0.00001)*5,0))))))</f>
        <v/>
      </c>
    </row>
    <row r="723">
      <c r="A723" s="31" t="n">
        <v>721</v>
      </c>
      <c r="B723" s="31">
        <f>CHAIN_RAW!D721</f>
        <v/>
      </c>
      <c r="C723" s="31">
        <f>CHAIN_RAW!A721</f>
        <v/>
      </c>
      <c r="D723" s="31">
        <f>CHAIN_RAW!C721</f>
        <v/>
      </c>
      <c r="E723" s="31">
        <f>CHAIN_RAW!E721</f>
        <v/>
      </c>
      <c r="F723" s="31">
        <f>CHAIN_RAW!F721</f>
        <v/>
      </c>
      <c r="G723" s="31">
        <f>CHAIN_RAW!I721</f>
        <v/>
      </c>
      <c r="H723" s="31">
        <f>CHAIN_RAW!Q721</f>
        <v/>
      </c>
      <c r="I723" s="31">
        <f>LET(pc,F723,oc,H723,IF(OR(pc="",oc=""),"",IF(AND(pc&gt;0,oc&gt;0),"Long Buildup",IF(AND(pc&lt;0,oc&gt;0),"Short Buildup",IF(AND(pc&gt;0,oc&lt;0),"Short Covering",IF(AND(pc&lt;0,oc&lt;0),"Long Unwinding","Flat"))))))</f>
        <v/>
      </c>
      <c r="J723" s="31">
        <f>LET(pc,ABS(F723),oc,ABS(H723),IF(OR(pc="",oc=""),"",MAX(1,MIN(5,ROUND((pc*0.5+oc*0.00001)*5,0))))))</f>
        <v/>
      </c>
    </row>
    <row r="724">
      <c r="A724" s="31" t="n">
        <v>722</v>
      </c>
      <c r="B724" s="31">
        <f>CHAIN_RAW!D722</f>
        <v/>
      </c>
      <c r="C724" s="31">
        <f>CHAIN_RAW!A722</f>
        <v/>
      </c>
      <c r="D724" s="31">
        <f>CHAIN_RAW!C722</f>
        <v/>
      </c>
      <c r="E724" s="31">
        <f>CHAIN_RAW!E722</f>
        <v/>
      </c>
      <c r="F724" s="31">
        <f>CHAIN_RAW!F722</f>
        <v/>
      </c>
      <c r="G724" s="31">
        <f>CHAIN_RAW!I722</f>
        <v/>
      </c>
      <c r="H724" s="31">
        <f>CHAIN_RAW!Q722</f>
        <v/>
      </c>
      <c r="I724" s="31">
        <f>LET(pc,F724,oc,H724,IF(OR(pc="",oc=""),"",IF(AND(pc&gt;0,oc&gt;0),"Long Buildup",IF(AND(pc&lt;0,oc&gt;0),"Short Buildup",IF(AND(pc&gt;0,oc&lt;0),"Short Covering",IF(AND(pc&lt;0,oc&lt;0),"Long Unwinding","Flat"))))))</f>
        <v/>
      </c>
      <c r="J724" s="31">
        <f>LET(pc,ABS(F724),oc,ABS(H724),IF(OR(pc="",oc=""),"",MAX(1,MIN(5,ROUND((pc*0.5+oc*0.00001)*5,0))))))</f>
        <v/>
      </c>
    </row>
    <row r="725">
      <c r="A725" s="31" t="n">
        <v>723</v>
      </c>
      <c r="B725" s="31">
        <f>CHAIN_RAW!D723</f>
        <v/>
      </c>
      <c r="C725" s="31">
        <f>CHAIN_RAW!A723</f>
        <v/>
      </c>
      <c r="D725" s="31">
        <f>CHAIN_RAW!C723</f>
        <v/>
      </c>
      <c r="E725" s="31">
        <f>CHAIN_RAW!E723</f>
        <v/>
      </c>
      <c r="F725" s="31">
        <f>CHAIN_RAW!F723</f>
        <v/>
      </c>
      <c r="G725" s="31">
        <f>CHAIN_RAW!I723</f>
        <v/>
      </c>
      <c r="H725" s="31">
        <f>CHAIN_RAW!Q723</f>
        <v/>
      </c>
      <c r="I725" s="31">
        <f>LET(pc,F725,oc,H725,IF(OR(pc="",oc=""),"",IF(AND(pc&gt;0,oc&gt;0),"Long Buildup",IF(AND(pc&lt;0,oc&gt;0),"Short Buildup",IF(AND(pc&gt;0,oc&lt;0),"Short Covering",IF(AND(pc&lt;0,oc&lt;0),"Long Unwinding","Flat"))))))</f>
        <v/>
      </c>
      <c r="J725" s="31">
        <f>LET(pc,ABS(F725),oc,ABS(H725),IF(OR(pc="",oc=""),"",MAX(1,MIN(5,ROUND((pc*0.5+oc*0.00001)*5,0))))))</f>
        <v/>
      </c>
    </row>
    <row r="726">
      <c r="A726" s="31" t="n">
        <v>724</v>
      </c>
      <c r="B726" s="31">
        <f>CHAIN_RAW!D724</f>
        <v/>
      </c>
      <c r="C726" s="31">
        <f>CHAIN_RAW!A724</f>
        <v/>
      </c>
      <c r="D726" s="31">
        <f>CHAIN_RAW!C724</f>
        <v/>
      </c>
      <c r="E726" s="31">
        <f>CHAIN_RAW!E724</f>
        <v/>
      </c>
      <c r="F726" s="31">
        <f>CHAIN_RAW!F724</f>
        <v/>
      </c>
      <c r="G726" s="31">
        <f>CHAIN_RAW!I724</f>
        <v/>
      </c>
      <c r="H726" s="31">
        <f>CHAIN_RAW!Q724</f>
        <v/>
      </c>
      <c r="I726" s="31">
        <f>LET(pc,F726,oc,H726,IF(OR(pc="",oc=""),"",IF(AND(pc&gt;0,oc&gt;0),"Long Buildup",IF(AND(pc&lt;0,oc&gt;0),"Short Buildup",IF(AND(pc&gt;0,oc&lt;0),"Short Covering",IF(AND(pc&lt;0,oc&lt;0),"Long Unwinding","Flat"))))))</f>
        <v/>
      </c>
      <c r="J726" s="31">
        <f>LET(pc,ABS(F726),oc,ABS(H726),IF(OR(pc="",oc=""),"",MAX(1,MIN(5,ROUND((pc*0.5+oc*0.00001)*5,0))))))</f>
        <v/>
      </c>
    </row>
    <row r="727">
      <c r="A727" s="31" t="n">
        <v>725</v>
      </c>
      <c r="B727" s="31">
        <f>CHAIN_RAW!D725</f>
        <v/>
      </c>
      <c r="C727" s="31">
        <f>CHAIN_RAW!A725</f>
        <v/>
      </c>
      <c r="D727" s="31">
        <f>CHAIN_RAW!C725</f>
        <v/>
      </c>
      <c r="E727" s="31">
        <f>CHAIN_RAW!E725</f>
        <v/>
      </c>
      <c r="F727" s="31">
        <f>CHAIN_RAW!F725</f>
        <v/>
      </c>
      <c r="G727" s="31">
        <f>CHAIN_RAW!I725</f>
        <v/>
      </c>
      <c r="H727" s="31">
        <f>CHAIN_RAW!Q725</f>
        <v/>
      </c>
      <c r="I727" s="31">
        <f>LET(pc,F727,oc,H727,IF(OR(pc="",oc=""),"",IF(AND(pc&gt;0,oc&gt;0),"Long Buildup",IF(AND(pc&lt;0,oc&gt;0),"Short Buildup",IF(AND(pc&gt;0,oc&lt;0),"Short Covering",IF(AND(pc&lt;0,oc&lt;0),"Long Unwinding","Flat"))))))</f>
        <v/>
      </c>
      <c r="J727" s="31">
        <f>LET(pc,ABS(F727),oc,ABS(H727),IF(OR(pc="",oc=""),"",MAX(1,MIN(5,ROUND((pc*0.5+oc*0.00001)*5,0))))))</f>
        <v/>
      </c>
    </row>
    <row r="728">
      <c r="A728" s="31" t="n">
        <v>726</v>
      </c>
      <c r="B728" s="31">
        <f>CHAIN_RAW!D726</f>
        <v/>
      </c>
      <c r="C728" s="31">
        <f>CHAIN_RAW!A726</f>
        <v/>
      </c>
      <c r="D728" s="31">
        <f>CHAIN_RAW!C726</f>
        <v/>
      </c>
      <c r="E728" s="31">
        <f>CHAIN_RAW!E726</f>
        <v/>
      </c>
      <c r="F728" s="31">
        <f>CHAIN_RAW!F726</f>
        <v/>
      </c>
      <c r="G728" s="31">
        <f>CHAIN_RAW!I726</f>
        <v/>
      </c>
      <c r="H728" s="31">
        <f>CHAIN_RAW!Q726</f>
        <v/>
      </c>
      <c r="I728" s="31">
        <f>LET(pc,F728,oc,H728,IF(OR(pc="",oc=""),"",IF(AND(pc&gt;0,oc&gt;0),"Long Buildup",IF(AND(pc&lt;0,oc&gt;0),"Short Buildup",IF(AND(pc&gt;0,oc&lt;0),"Short Covering",IF(AND(pc&lt;0,oc&lt;0),"Long Unwinding","Flat"))))))</f>
        <v/>
      </c>
      <c r="J728" s="31">
        <f>LET(pc,ABS(F728),oc,ABS(H728),IF(OR(pc="",oc=""),"",MAX(1,MIN(5,ROUND((pc*0.5+oc*0.00001)*5,0))))))</f>
        <v/>
      </c>
    </row>
    <row r="729">
      <c r="A729" s="31" t="n">
        <v>727</v>
      </c>
      <c r="B729" s="31">
        <f>CHAIN_RAW!D727</f>
        <v/>
      </c>
      <c r="C729" s="31">
        <f>CHAIN_RAW!A727</f>
        <v/>
      </c>
      <c r="D729" s="31">
        <f>CHAIN_RAW!C727</f>
        <v/>
      </c>
      <c r="E729" s="31">
        <f>CHAIN_RAW!E727</f>
        <v/>
      </c>
      <c r="F729" s="31">
        <f>CHAIN_RAW!F727</f>
        <v/>
      </c>
      <c r="G729" s="31">
        <f>CHAIN_RAW!I727</f>
        <v/>
      </c>
      <c r="H729" s="31">
        <f>CHAIN_RAW!Q727</f>
        <v/>
      </c>
      <c r="I729" s="31">
        <f>LET(pc,F729,oc,H729,IF(OR(pc="",oc=""),"",IF(AND(pc&gt;0,oc&gt;0),"Long Buildup",IF(AND(pc&lt;0,oc&gt;0),"Short Buildup",IF(AND(pc&gt;0,oc&lt;0),"Short Covering",IF(AND(pc&lt;0,oc&lt;0),"Long Unwinding","Flat"))))))</f>
        <v/>
      </c>
      <c r="J729" s="31">
        <f>LET(pc,ABS(F729),oc,ABS(H729),IF(OR(pc="",oc=""),"",MAX(1,MIN(5,ROUND((pc*0.5+oc*0.00001)*5,0))))))</f>
        <v/>
      </c>
    </row>
    <row r="730">
      <c r="A730" s="31" t="n">
        <v>728</v>
      </c>
      <c r="B730" s="31">
        <f>CHAIN_RAW!D728</f>
        <v/>
      </c>
      <c r="C730" s="31">
        <f>CHAIN_RAW!A728</f>
        <v/>
      </c>
      <c r="D730" s="31">
        <f>CHAIN_RAW!C728</f>
        <v/>
      </c>
      <c r="E730" s="31">
        <f>CHAIN_RAW!E728</f>
        <v/>
      </c>
      <c r="F730" s="31">
        <f>CHAIN_RAW!F728</f>
        <v/>
      </c>
      <c r="G730" s="31">
        <f>CHAIN_RAW!I728</f>
        <v/>
      </c>
      <c r="H730" s="31">
        <f>CHAIN_RAW!Q728</f>
        <v/>
      </c>
      <c r="I730" s="31">
        <f>LET(pc,F730,oc,H730,IF(OR(pc="",oc=""),"",IF(AND(pc&gt;0,oc&gt;0),"Long Buildup",IF(AND(pc&lt;0,oc&gt;0),"Short Buildup",IF(AND(pc&gt;0,oc&lt;0),"Short Covering",IF(AND(pc&lt;0,oc&lt;0),"Long Unwinding","Flat"))))))</f>
        <v/>
      </c>
      <c r="J730" s="31">
        <f>LET(pc,ABS(F730),oc,ABS(H730),IF(OR(pc="",oc=""),"",MAX(1,MIN(5,ROUND((pc*0.5+oc*0.00001)*5,0))))))</f>
        <v/>
      </c>
    </row>
    <row r="731">
      <c r="A731" s="31" t="n">
        <v>729</v>
      </c>
      <c r="B731" s="31">
        <f>CHAIN_RAW!D729</f>
        <v/>
      </c>
      <c r="C731" s="31">
        <f>CHAIN_RAW!A729</f>
        <v/>
      </c>
      <c r="D731" s="31">
        <f>CHAIN_RAW!C729</f>
        <v/>
      </c>
      <c r="E731" s="31">
        <f>CHAIN_RAW!E729</f>
        <v/>
      </c>
      <c r="F731" s="31">
        <f>CHAIN_RAW!F729</f>
        <v/>
      </c>
      <c r="G731" s="31">
        <f>CHAIN_RAW!I729</f>
        <v/>
      </c>
      <c r="H731" s="31">
        <f>CHAIN_RAW!Q729</f>
        <v/>
      </c>
      <c r="I731" s="31">
        <f>LET(pc,F731,oc,H731,IF(OR(pc="",oc=""),"",IF(AND(pc&gt;0,oc&gt;0),"Long Buildup",IF(AND(pc&lt;0,oc&gt;0),"Short Buildup",IF(AND(pc&gt;0,oc&lt;0),"Short Covering",IF(AND(pc&lt;0,oc&lt;0),"Long Unwinding","Flat"))))))</f>
        <v/>
      </c>
      <c r="J731" s="31">
        <f>LET(pc,ABS(F731),oc,ABS(H731),IF(OR(pc="",oc=""),"",MAX(1,MIN(5,ROUND((pc*0.5+oc*0.00001)*5,0))))))</f>
        <v/>
      </c>
    </row>
    <row r="732">
      <c r="A732" s="31" t="n">
        <v>730</v>
      </c>
      <c r="B732" s="31">
        <f>CHAIN_RAW!D730</f>
        <v/>
      </c>
      <c r="C732" s="31">
        <f>CHAIN_RAW!A730</f>
        <v/>
      </c>
      <c r="D732" s="31">
        <f>CHAIN_RAW!C730</f>
        <v/>
      </c>
      <c r="E732" s="31">
        <f>CHAIN_RAW!E730</f>
        <v/>
      </c>
      <c r="F732" s="31">
        <f>CHAIN_RAW!F730</f>
        <v/>
      </c>
      <c r="G732" s="31">
        <f>CHAIN_RAW!I730</f>
        <v/>
      </c>
      <c r="H732" s="31">
        <f>CHAIN_RAW!Q730</f>
        <v/>
      </c>
      <c r="I732" s="31">
        <f>LET(pc,F732,oc,H732,IF(OR(pc="",oc=""),"",IF(AND(pc&gt;0,oc&gt;0),"Long Buildup",IF(AND(pc&lt;0,oc&gt;0),"Short Buildup",IF(AND(pc&gt;0,oc&lt;0),"Short Covering",IF(AND(pc&lt;0,oc&lt;0),"Long Unwinding","Flat"))))))</f>
        <v/>
      </c>
      <c r="J732" s="31">
        <f>LET(pc,ABS(F732),oc,ABS(H732),IF(OR(pc="",oc=""),"",MAX(1,MIN(5,ROUND((pc*0.5+oc*0.00001)*5,0))))))</f>
        <v/>
      </c>
    </row>
    <row r="733">
      <c r="A733" s="31" t="n">
        <v>731</v>
      </c>
      <c r="B733" s="31">
        <f>CHAIN_RAW!D731</f>
        <v/>
      </c>
      <c r="C733" s="31">
        <f>CHAIN_RAW!A731</f>
        <v/>
      </c>
      <c r="D733" s="31">
        <f>CHAIN_RAW!C731</f>
        <v/>
      </c>
      <c r="E733" s="31">
        <f>CHAIN_RAW!E731</f>
        <v/>
      </c>
      <c r="F733" s="31">
        <f>CHAIN_RAW!F731</f>
        <v/>
      </c>
      <c r="G733" s="31">
        <f>CHAIN_RAW!I731</f>
        <v/>
      </c>
      <c r="H733" s="31">
        <f>CHAIN_RAW!Q731</f>
        <v/>
      </c>
      <c r="I733" s="31">
        <f>LET(pc,F733,oc,H733,IF(OR(pc="",oc=""),"",IF(AND(pc&gt;0,oc&gt;0),"Long Buildup",IF(AND(pc&lt;0,oc&gt;0),"Short Buildup",IF(AND(pc&gt;0,oc&lt;0),"Short Covering",IF(AND(pc&lt;0,oc&lt;0),"Long Unwinding","Flat"))))))</f>
        <v/>
      </c>
      <c r="J733" s="31">
        <f>LET(pc,ABS(F733),oc,ABS(H733),IF(OR(pc="",oc=""),"",MAX(1,MIN(5,ROUND((pc*0.5+oc*0.00001)*5,0))))))</f>
        <v/>
      </c>
    </row>
    <row r="734">
      <c r="A734" s="31" t="n">
        <v>732</v>
      </c>
      <c r="B734" s="31">
        <f>CHAIN_RAW!D732</f>
        <v/>
      </c>
      <c r="C734" s="31">
        <f>CHAIN_RAW!A732</f>
        <v/>
      </c>
      <c r="D734" s="31">
        <f>CHAIN_RAW!C732</f>
        <v/>
      </c>
      <c r="E734" s="31">
        <f>CHAIN_RAW!E732</f>
        <v/>
      </c>
      <c r="F734" s="31">
        <f>CHAIN_RAW!F732</f>
        <v/>
      </c>
      <c r="G734" s="31">
        <f>CHAIN_RAW!I732</f>
        <v/>
      </c>
      <c r="H734" s="31">
        <f>CHAIN_RAW!Q732</f>
        <v/>
      </c>
      <c r="I734" s="31">
        <f>LET(pc,F734,oc,H734,IF(OR(pc="",oc=""),"",IF(AND(pc&gt;0,oc&gt;0),"Long Buildup",IF(AND(pc&lt;0,oc&gt;0),"Short Buildup",IF(AND(pc&gt;0,oc&lt;0),"Short Covering",IF(AND(pc&lt;0,oc&lt;0),"Long Unwinding","Flat"))))))</f>
        <v/>
      </c>
      <c r="J734" s="31">
        <f>LET(pc,ABS(F734),oc,ABS(H734),IF(OR(pc="",oc=""),"",MAX(1,MIN(5,ROUND((pc*0.5+oc*0.00001)*5,0))))))</f>
        <v/>
      </c>
    </row>
    <row r="735">
      <c r="A735" s="31" t="n">
        <v>733</v>
      </c>
      <c r="B735" s="31">
        <f>CHAIN_RAW!D733</f>
        <v/>
      </c>
      <c r="C735" s="31">
        <f>CHAIN_RAW!A733</f>
        <v/>
      </c>
      <c r="D735" s="31">
        <f>CHAIN_RAW!C733</f>
        <v/>
      </c>
      <c r="E735" s="31">
        <f>CHAIN_RAW!E733</f>
        <v/>
      </c>
      <c r="F735" s="31">
        <f>CHAIN_RAW!F733</f>
        <v/>
      </c>
      <c r="G735" s="31">
        <f>CHAIN_RAW!I733</f>
        <v/>
      </c>
      <c r="H735" s="31">
        <f>CHAIN_RAW!Q733</f>
        <v/>
      </c>
      <c r="I735" s="31">
        <f>LET(pc,F735,oc,H735,IF(OR(pc="",oc=""),"",IF(AND(pc&gt;0,oc&gt;0),"Long Buildup",IF(AND(pc&lt;0,oc&gt;0),"Short Buildup",IF(AND(pc&gt;0,oc&lt;0),"Short Covering",IF(AND(pc&lt;0,oc&lt;0),"Long Unwinding","Flat"))))))</f>
        <v/>
      </c>
      <c r="J735" s="31">
        <f>LET(pc,ABS(F735),oc,ABS(H735),IF(OR(pc="",oc=""),"",MAX(1,MIN(5,ROUND((pc*0.5+oc*0.00001)*5,0))))))</f>
        <v/>
      </c>
    </row>
    <row r="736">
      <c r="A736" s="31" t="n">
        <v>734</v>
      </c>
      <c r="B736" s="31">
        <f>CHAIN_RAW!D734</f>
        <v/>
      </c>
      <c r="C736" s="31">
        <f>CHAIN_RAW!A734</f>
        <v/>
      </c>
      <c r="D736" s="31">
        <f>CHAIN_RAW!C734</f>
        <v/>
      </c>
      <c r="E736" s="31">
        <f>CHAIN_RAW!E734</f>
        <v/>
      </c>
      <c r="F736" s="31">
        <f>CHAIN_RAW!F734</f>
        <v/>
      </c>
      <c r="G736" s="31">
        <f>CHAIN_RAW!I734</f>
        <v/>
      </c>
      <c r="H736" s="31">
        <f>CHAIN_RAW!Q734</f>
        <v/>
      </c>
      <c r="I736" s="31">
        <f>LET(pc,F736,oc,H736,IF(OR(pc="",oc=""),"",IF(AND(pc&gt;0,oc&gt;0),"Long Buildup",IF(AND(pc&lt;0,oc&gt;0),"Short Buildup",IF(AND(pc&gt;0,oc&lt;0),"Short Covering",IF(AND(pc&lt;0,oc&lt;0),"Long Unwinding","Flat"))))))</f>
        <v/>
      </c>
      <c r="J736" s="31">
        <f>LET(pc,ABS(F736),oc,ABS(H736),IF(OR(pc="",oc=""),"",MAX(1,MIN(5,ROUND((pc*0.5+oc*0.00001)*5,0))))))</f>
        <v/>
      </c>
    </row>
    <row r="737">
      <c r="A737" s="31" t="n">
        <v>735</v>
      </c>
      <c r="B737" s="31">
        <f>CHAIN_RAW!D735</f>
        <v/>
      </c>
      <c r="C737" s="31">
        <f>CHAIN_RAW!A735</f>
        <v/>
      </c>
      <c r="D737" s="31">
        <f>CHAIN_RAW!C735</f>
        <v/>
      </c>
      <c r="E737" s="31">
        <f>CHAIN_RAW!E735</f>
        <v/>
      </c>
      <c r="F737" s="31">
        <f>CHAIN_RAW!F735</f>
        <v/>
      </c>
      <c r="G737" s="31">
        <f>CHAIN_RAW!I735</f>
        <v/>
      </c>
      <c r="H737" s="31">
        <f>CHAIN_RAW!Q735</f>
        <v/>
      </c>
      <c r="I737" s="31">
        <f>LET(pc,F737,oc,H737,IF(OR(pc="",oc=""),"",IF(AND(pc&gt;0,oc&gt;0),"Long Buildup",IF(AND(pc&lt;0,oc&gt;0),"Short Buildup",IF(AND(pc&gt;0,oc&lt;0),"Short Covering",IF(AND(pc&lt;0,oc&lt;0),"Long Unwinding","Flat"))))))</f>
        <v/>
      </c>
      <c r="J737" s="31">
        <f>LET(pc,ABS(F737),oc,ABS(H737),IF(OR(pc="",oc=""),"",MAX(1,MIN(5,ROUND((pc*0.5+oc*0.00001)*5,0))))))</f>
        <v/>
      </c>
    </row>
    <row r="738">
      <c r="A738" s="31" t="n">
        <v>736</v>
      </c>
      <c r="B738" s="31">
        <f>CHAIN_RAW!D736</f>
        <v/>
      </c>
      <c r="C738" s="31">
        <f>CHAIN_RAW!A736</f>
        <v/>
      </c>
      <c r="D738" s="31">
        <f>CHAIN_RAW!C736</f>
        <v/>
      </c>
      <c r="E738" s="31">
        <f>CHAIN_RAW!E736</f>
        <v/>
      </c>
      <c r="F738" s="31">
        <f>CHAIN_RAW!F736</f>
        <v/>
      </c>
      <c r="G738" s="31">
        <f>CHAIN_RAW!I736</f>
        <v/>
      </c>
      <c r="H738" s="31">
        <f>CHAIN_RAW!Q736</f>
        <v/>
      </c>
      <c r="I738" s="31">
        <f>LET(pc,F738,oc,H738,IF(OR(pc="",oc=""),"",IF(AND(pc&gt;0,oc&gt;0),"Long Buildup",IF(AND(pc&lt;0,oc&gt;0),"Short Buildup",IF(AND(pc&gt;0,oc&lt;0),"Short Covering",IF(AND(pc&lt;0,oc&lt;0),"Long Unwinding","Flat"))))))</f>
        <v/>
      </c>
      <c r="J738" s="31">
        <f>LET(pc,ABS(F738),oc,ABS(H738),IF(OR(pc="",oc=""),"",MAX(1,MIN(5,ROUND((pc*0.5+oc*0.00001)*5,0))))))</f>
        <v/>
      </c>
    </row>
    <row r="739">
      <c r="A739" s="31" t="n">
        <v>737</v>
      </c>
      <c r="B739" s="31">
        <f>CHAIN_RAW!D737</f>
        <v/>
      </c>
      <c r="C739" s="31">
        <f>CHAIN_RAW!A737</f>
        <v/>
      </c>
      <c r="D739" s="31">
        <f>CHAIN_RAW!C737</f>
        <v/>
      </c>
      <c r="E739" s="31">
        <f>CHAIN_RAW!E737</f>
        <v/>
      </c>
      <c r="F739" s="31">
        <f>CHAIN_RAW!F737</f>
        <v/>
      </c>
      <c r="G739" s="31">
        <f>CHAIN_RAW!I737</f>
        <v/>
      </c>
      <c r="H739" s="31">
        <f>CHAIN_RAW!Q737</f>
        <v/>
      </c>
      <c r="I739" s="31">
        <f>LET(pc,F739,oc,H739,IF(OR(pc="",oc=""),"",IF(AND(pc&gt;0,oc&gt;0),"Long Buildup",IF(AND(pc&lt;0,oc&gt;0),"Short Buildup",IF(AND(pc&gt;0,oc&lt;0),"Short Covering",IF(AND(pc&lt;0,oc&lt;0),"Long Unwinding","Flat"))))))</f>
        <v/>
      </c>
      <c r="J739" s="31">
        <f>LET(pc,ABS(F739),oc,ABS(H739),IF(OR(pc="",oc=""),"",MAX(1,MIN(5,ROUND((pc*0.5+oc*0.00001)*5,0))))))</f>
        <v/>
      </c>
    </row>
    <row r="740">
      <c r="A740" s="31" t="n">
        <v>738</v>
      </c>
      <c r="B740" s="31">
        <f>CHAIN_RAW!D738</f>
        <v/>
      </c>
      <c r="C740" s="31">
        <f>CHAIN_RAW!A738</f>
        <v/>
      </c>
      <c r="D740" s="31">
        <f>CHAIN_RAW!C738</f>
        <v/>
      </c>
      <c r="E740" s="31">
        <f>CHAIN_RAW!E738</f>
        <v/>
      </c>
      <c r="F740" s="31">
        <f>CHAIN_RAW!F738</f>
        <v/>
      </c>
      <c r="G740" s="31">
        <f>CHAIN_RAW!I738</f>
        <v/>
      </c>
      <c r="H740" s="31">
        <f>CHAIN_RAW!Q738</f>
        <v/>
      </c>
      <c r="I740" s="31">
        <f>LET(pc,F740,oc,H740,IF(OR(pc="",oc=""),"",IF(AND(pc&gt;0,oc&gt;0),"Long Buildup",IF(AND(pc&lt;0,oc&gt;0),"Short Buildup",IF(AND(pc&gt;0,oc&lt;0),"Short Covering",IF(AND(pc&lt;0,oc&lt;0),"Long Unwinding","Flat"))))))</f>
        <v/>
      </c>
      <c r="J740" s="31">
        <f>LET(pc,ABS(F740),oc,ABS(H740),IF(OR(pc="",oc=""),"",MAX(1,MIN(5,ROUND((pc*0.5+oc*0.00001)*5,0))))))</f>
        <v/>
      </c>
    </row>
    <row r="741">
      <c r="A741" s="31" t="n">
        <v>739</v>
      </c>
      <c r="B741" s="31">
        <f>CHAIN_RAW!D739</f>
        <v/>
      </c>
      <c r="C741" s="31">
        <f>CHAIN_RAW!A739</f>
        <v/>
      </c>
      <c r="D741" s="31">
        <f>CHAIN_RAW!C739</f>
        <v/>
      </c>
      <c r="E741" s="31">
        <f>CHAIN_RAW!E739</f>
        <v/>
      </c>
      <c r="F741" s="31">
        <f>CHAIN_RAW!F739</f>
        <v/>
      </c>
      <c r="G741" s="31">
        <f>CHAIN_RAW!I739</f>
        <v/>
      </c>
      <c r="H741" s="31">
        <f>CHAIN_RAW!Q739</f>
        <v/>
      </c>
      <c r="I741" s="31">
        <f>LET(pc,F741,oc,H741,IF(OR(pc="",oc=""),"",IF(AND(pc&gt;0,oc&gt;0),"Long Buildup",IF(AND(pc&lt;0,oc&gt;0),"Short Buildup",IF(AND(pc&gt;0,oc&lt;0),"Short Covering",IF(AND(pc&lt;0,oc&lt;0),"Long Unwinding","Flat"))))))</f>
        <v/>
      </c>
      <c r="J741" s="31">
        <f>LET(pc,ABS(F741),oc,ABS(H741),IF(OR(pc="",oc=""),"",MAX(1,MIN(5,ROUND((pc*0.5+oc*0.00001)*5,0))))))</f>
        <v/>
      </c>
    </row>
    <row r="742">
      <c r="A742" s="31" t="n">
        <v>740</v>
      </c>
      <c r="B742" s="31">
        <f>CHAIN_RAW!D740</f>
        <v/>
      </c>
      <c r="C742" s="31">
        <f>CHAIN_RAW!A740</f>
        <v/>
      </c>
      <c r="D742" s="31">
        <f>CHAIN_RAW!C740</f>
        <v/>
      </c>
      <c r="E742" s="31">
        <f>CHAIN_RAW!E740</f>
        <v/>
      </c>
      <c r="F742" s="31">
        <f>CHAIN_RAW!F740</f>
        <v/>
      </c>
      <c r="G742" s="31">
        <f>CHAIN_RAW!I740</f>
        <v/>
      </c>
      <c r="H742" s="31">
        <f>CHAIN_RAW!Q740</f>
        <v/>
      </c>
      <c r="I742" s="31">
        <f>LET(pc,F742,oc,H742,IF(OR(pc="",oc=""),"",IF(AND(pc&gt;0,oc&gt;0),"Long Buildup",IF(AND(pc&lt;0,oc&gt;0),"Short Buildup",IF(AND(pc&gt;0,oc&lt;0),"Short Covering",IF(AND(pc&lt;0,oc&lt;0),"Long Unwinding","Flat"))))))</f>
        <v/>
      </c>
      <c r="J742" s="31">
        <f>LET(pc,ABS(F742),oc,ABS(H742),IF(OR(pc="",oc=""),"",MAX(1,MIN(5,ROUND((pc*0.5+oc*0.00001)*5,0))))))</f>
        <v/>
      </c>
    </row>
    <row r="743">
      <c r="A743" s="31" t="n">
        <v>741</v>
      </c>
      <c r="B743" s="31">
        <f>CHAIN_RAW!D741</f>
        <v/>
      </c>
      <c r="C743" s="31">
        <f>CHAIN_RAW!A741</f>
        <v/>
      </c>
      <c r="D743" s="31">
        <f>CHAIN_RAW!C741</f>
        <v/>
      </c>
      <c r="E743" s="31">
        <f>CHAIN_RAW!E741</f>
        <v/>
      </c>
      <c r="F743" s="31">
        <f>CHAIN_RAW!F741</f>
        <v/>
      </c>
      <c r="G743" s="31">
        <f>CHAIN_RAW!I741</f>
        <v/>
      </c>
      <c r="H743" s="31">
        <f>CHAIN_RAW!Q741</f>
        <v/>
      </c>
      <c r="I743" s="31">
        <f>LET(pc,F743,oc,H743,IF(OR(pc="",oc=""),"",IF(AND(pc&gt;0,oc&gt;0),"Long Buildup",IF(AND(pc&lt;0,oc&gt;0),"Short Buildup",IF(AND(pc&gt;0,oc&lt;0),"Short Covering",IF(AND(pc&lt;0,oc&lt;0),"Long Unwinding","Flat"))))))</f>
        <v/>
      </c>
      <c r="J743" s="31">
        <f>LET(pc,ABS(F743),oc,ABS(H743),IF(OR(pc="",oc=""),"",MAX(1,MIN(5,ROUND((pc*0.5+oc*0.00001)*5,0))))))</f>
        <v/>
      </c>
    </row>
    <row r="744">
      <c r="A744" s="31" t="n">
        <v>742</v>
      </c>
      <c r="B744" s="31">
        <f>CHAIN_RAW!D742</f>
        <v/>
      </c>
      <c r="C744" s="31">
        <f>CHAIN_RAW!A742</f>
        <v/>
      </c>
      <c r="D744" s="31">
        <f>CHAIN_RAW!C742</f>
        <v/>
      </c>
      <c r="E744" s="31">
        <f>CHAIN_RAW!E742</f>
        <v/>
      </c>
      <c r="F744" s="31">
        <f>CHAIN_RAW!F742</f>
        <v/>
      </c>
      <c r="G744" s="31">
        <f>CHAIN_RAW!I742</f>
        <v/>
      </c>
      <c r="H744" s="31">
        <f>CHAIN_RAW!Q742</f>
        <v/>
      </c>
      <c r="I744" s="31">
        <f>LET(pc,F744,oc,H744,IF(OR(pc="",oc=""),"",IF(AND(pc&gt;0,oc&gt;0),"Long Buildup",IF(AND(pc&lt;0,oc&gt;0),"Short Buildup",IF(AND(pc&gt;0,oc&lt;0),"Short Covering",IF(AND(pc&lt;0,oc&lt;0),"Long Unwinding","Flat"))))))</f>
        <v/>
      </c>
      <c r="J744" s="31">
        <f>LET(pc,ABS(F744),oc,ABS(H744),IF(OR(pc="",oc=""),"",MAX(1,MIN(5,ROUND((pc*0.5+oc*0.00001)*5,0))))))</f>
        <v/>
      </c>
    </row>
    <row r="745">
      <c r="A745" s="31" t="n">
        <v>743</v>
      </c>
      <c r="B745" s="31">
        <f>CHAIN_RAW!D743</f>
        <v/>
      </c>
      <c r="C745" s="31">
        <f>CHAIN_RAW!A743</f>
        <v/>
      </c>
      <c r="D745" s="31">
        <f>CHAIN_RAW!C743</f>
        <v/>
      </c>
      <c r="E745" s="31">
        <f>CHAIN_RAW!E743</f>
        <v/>
      </c>
      <c r="F745" s="31">
        <f>CHAIN_RAW!F743</f>
        <v/>
      </c>
      <c r="G745" s="31">
        <f>CHAIN_RAW!I743</f>
        <v/>
      </c>
      <c r="H745" s="31">
        <f>CHAIN_RAW!Q743</f>
        <v/>
      </c>
      <c r="I745" s="31">
        <f>LET(pc,F745,oc,H745,IF(OR(pc="",oc=""),"",IF(AND(pc&gt;0,oc&gt;0),"Long Buildup",IF(AND(pc&lt;0,oc&gt;0),"Short Buildup",IF(AND(pc&gt;0,oc&lt;0),"Short Covering",IF(AND(pc&lt;0,oc&lt;0),"Long Unwinding","Flat"))))))</f>
        <v/>
      </c>
      <c r="J745" s="31">
        <f>LET(pc,ABS(F745),oc,ABS(H745),IF(OR(pc="",oc=""),"",MAX(1,MIN(5,ROUND((pc*0.5+oc*0.00001)*5,0))))))</f>
        <v/>
      </c>
    </row>
    <row r="746">
      <c r="A746" s="31" t="n">
        <v>744</v>
      </c>
      <c r="B746" s="31">
        <f>CHAIN_RAW!D744</f>
        <v/>
      </c>
      <c r="C746" s="31">
        <f>CHAIN_RAW!A744</f>
        <v/>
      </c>
      <c r="D746" s="31">
        <f>CHAIN_RAW!C744</f>
        <v/>
      </c>
      <c r="E746" s="31">
        <f>CHAIN_RAW!E744</f>
        <v/>
      </c>
      <c r="F746" s="31">
        <f>CHAIN_RAW!F744</f>
        <v/>
      </c>
      <c r="G746" s="31">
        <f>CHAIN_RAW!I744</f>
        <v/>
      </c>
      <c r="H746" s="31">
        <f>CHAIN_RAW!Q744</f>
        <v/>
      </c>
      <c r="I746" s="31">
        <f>LET(pc,F746,oc,H746,IF(OR(pc="",oc=""),"",IF(AND(pc&gt;0,oc&gt;0),"Long Buildup",IF(AND(pc&lt;0,oc&gt;0),"Short Buildup",IF(AND(pc&gt;0,oc&lt;0),"Short Covering",IF(AND(pc&lt;0,oc&lt;0),"Long Unwinding","Flat"))))))</f>
        <v/>
      </c>
      <c r="J746" s="31">
        <f>LET(pc,ABS(F746),oc,ABS(H746),IF(OR(pc="",oc=""),"",MAX(1,MIN(5,ROUND((pc*0.5+oc*0.00001)*5,0))))))</f>
        <v/>
      </c>
    </row>
    <row r="747">
      <c r="A747" s="31" t="n">
        <v>745</v>
      </c>
      <c r="B747" s="31">
        <f>CHAIN_RAW!D745</f>
        <v/>
      </c>
      <c r="C747" s="31">
        <f>CHAIN_RAW!A745</f>
        <v/>
      </c>
      <c r="D747" s="31">
        <f>CHAIN_RAW!C745</f>
        <v/>
      </c>
      <c r="E747" s="31">
        <f>CHAIN_RAW!E745</f>
        <v/>
      </c>
      <c r="F747" s="31">
        <f>CHAIN_RAW!F745</f>
        <v/>
      </c>
      <c r="G747" s="31">
        <f>CHAIN_RAW!I745</f>
        <v/>
      </c>
      <c r="H747" s="31">
        <f>CHAIN_RAW!Q745</f>
        <v/>
      </c>
      <c r="I747" s="31">
        <f>LET(pc,F747,oc,H747,IF(OR(pc="",oc=""),"",IF(AND(pc&gt;0,oc&gt;0),"Long Buildup",IF(AND(pc&lt;0,oc&gt;0),"Short Buildup",IF(AND(pc&gt;0,oc&lt;0),"Short Covering",IF(AND(pc&lt;0,oc&lt;0),"Long Unwinding","Flat"))))))</f>
        <v/>
      </c>
      <c r="J747" s="31">
        <f>LET(pc,ABS(F747),oc,ABS(H747),IF(OR(pc="",oc=""),"",MAX(1,MIN(5,ROUND((pc*0.5+oc*0.00001)*5,0))))))</f>
        <v/>
      </c>
    </row>
    <row r="748">
      <c r="A748" s="31" t="n">
        <v>746</v>
      </c>
      <c r="B748" s="31">
        <f>CHAIN_RAW!D746</f>
        <v/>
      </c>
      <c r="C748" s="31">
        <f>CHAIN_RAW!A746</f>
        <v/>
      </c>
      <c r="D748" s="31">
        <f>CHAIN_RAW!C746</f>
        <v/>
      </c>
      <c r="E748" s="31">
        <f>CHAIN_RAW!E746</f>
        <v/>
      </c>
      <c r="F748" s="31">
        <f>CHAIN_RAW!F746</f>
        <v/>
      </c>
      <c r="G748" s="31">
        <f>CHAIN_RAW!I746</f>
        <v/>
      </c>
      <c r="H748" s="31">
        <f>CHAIN_RAW!Q746</f>
        <v/>
      </c>
      <c r="I748" s="31">
        <f>LET(pc,F748,oc,H748,IF(OR(pc="",oc=""),"",IF(AND(pc&gt;0,oc&gt;0),"Long Buildup",IF(AND(pc&lt;0,oc&gt;0),"Short Buildup",IF(AND(pc&gt;0,oc&lt;0),"Short Covering",IF(AND(pc&lt;0,oc&lt;0),"Long Unwinding","Flat"))))))</f>
        <v/>
      </c>
      <c r="J748" s="31">
        <f>LET(pc,ABS(F748),oc,ABS(H748),IF(OR(pc="",oc=""),"",MAX(1,MIN(5,ROUND((pc*0.5+oc*0.00001)*5,0))))))</f>
        <v/>
      </c>
    </row>
    <row r="749">
      <c r="A749" s="31" t="n">
        <v>747</v>
      </c>
      <c r="B749" s="31">
        <f>CHAIN_RAW!D747</f>
        <v/>
      </c>
      <c r="C749" s="31">
        <f>CHAIN_RAW!A747</f>
        <v/>
      </c>
      <c r="D749" s="31">
        <f>CHAIN_RAW!C747</f>
        <v/>
      </c>
      <c r="E749" s="31">
        <f>CHAIN_RAW!E747</f>
        <v/>
      </c>
      <c r="F749" s="31">
        <f>CHAIN_RAW!F747</f>
        <v/>
      </c>
      <c r="G749" s="31">
        <f>CHAIN_RAW!I747</f>
        <v/>
      </c>
      <c r="H749" s="31">
        <f>CHAIN_RAW!Q747</f>
        <v/>
      </c>
      <c r="I749" s="31">
        <f>LET(pc,F749,oc,H749,IF(OR(pc="",oc=""),"",IF(AND(pc&gt;0,oc&gt;0),"Long Buildup",IF(AND(pc&lt;0,oc&gt;0),"Short Buildup",IF(AND(pc&gt;0,oc&lt;0),"Short Covering",IF(AND(pc&lt;0,oc&lt;0),"Long Unwinding","Flat"))))))</f>
        <v/>
      </c>
      <c r="J749" s="31">
        <f>LET(pc,ABS(F749),oc,ABS(H749),IF(OR(pc="",oc=""),"",MAX(1,MIN(5,ROUND((pc*0.5+oc*0.00001)*5,0))))))</f>
        <v/>
      </c>
    </row>
    <row r="750">
      <c r="A750" s="31" t="n">
        <v>748</v>
      </c>
      <c r="B750" s="31">
        <f>CHAIN_RAW!D748</f>
        <v/>
      </c>
      <c r="C750" s="31">
        <f>CHAIN_RAW!A748</f>
        <v/>
      </c>
      <c r="D750" s="31">
        <f>CHAIN_RAW!C748</f>
        <v/>
      </c>
      <c r="E750" s="31">
        <f>CHAIN_RAW!E748</f>
        <v/>
      </c>
      <c r="F750" s="31">
        <f>CHAIN_RAW!F748</f>
        <v/>
      </c>
      <c r="G750" s="31">
        <f>CHAIN_RAW!I748</f>
        <v/>
      </c>
      <c r="H750" s="31">
        <f>CHAIN_RAW!Q748</f>
        <v/>
      </c>
      <c r="I750" s="31">
        <f>LET(pc,F750,oc,H750,IF(OR(pc="",oc=""),"",IF(AND(pc&gt;0,oc&gt;0),"Long Buildup",IF(AND(pc&lt;0,oc&gt;0),"Short Buildup",IF(AND(pc&gt;0,oc&lt;0),"Short Covering",IF(AND(pc&lt;0,oc&lt;0),"Long Unwinding","Flat"))))))</f>
        <v/>
      </c>
      <c r="J750" s="31">
        <f>LET(pc,ABS(F750),oc,ABS(H750),IF(OR(pc="",oc=""),"",MAX(1,MIN(5,ROUND((pc*0.5+oc*0.00001)*5,0))))))</f>
        <v/>
      </c>
    </row>
    <row r="751">
      <c r="A751" s="31" t="n">
        <v>749</v>
      </c>
      <c r="B751" s="31">
        <f>CHAIN_RAW!D749</f>
        <v/>
      </c>
      <c r="C751" s="31">
        <f>CHAIN_RAW!A749</f>
        <v/>
      </c>
      <c r="D751" s="31">
        <f>CHAIN_RAW!C749</f>
        <v/>
      </c>
      <c r="E751" s="31">
        <f>CHAIN_RAW!E749</f>
        <v/>
      </c>
      <c r="F751" s="31">
        <f>CHAIN_RAW!F749</f>
        <v/>
      </c>
      <c r="G751" s="31">
        <f>CHAIN_RAW!I749</f>
        <v/>
      </c>
      <c r="H751" s="31">
        <f>CHAIN_RAW!Q749</f>
        <v/>
      </c>
      <c r="I751" s="31">
        <f>LET(pc,F751,oc,H751,IF(OR(pc="",oc=""),"",IF(AND(pc&gt;0,oc&gt;0),"Long Buildup",IF(AND(pc&lt;0,oc&gt;0),"Short Buildup",IF(AND(pc&gt;0,oc&lt;0),"Short Covering",IF(AND(pc&lt;0,oc&lt;0),"Long Unwinding","Flat"))))))</f>
        <v/>
      </c>
      <c r="J751" s="31">
        <f>LET(pc,ABS(F751),oc,ABS(H751),IF(OR(pc="",oc=""),"",MAX(1,MIN(5,ROUND((pc*0.5+oc*0.00001)*5,0))))))</f>
        <v/>
      </c>
    </row>
    <row r="752">
      <c r="A752" s="31" t="n">
        <v>750</v>
      </c>
      <c r="B752" s="31">
        <f>CHAIN_RAW!D750</f>
        <v/>
      </c>
      <c r="C752" s="31">
        <f>CHAIN_RAW!A750</f>
        <v/>
      </c>
      <c r="D752" s="31">
        <f>CHAIN_RAW!C750</f>
        <v/>
      </c>
      <c r="E752" s="31">
        <f>CHAIN_RAW!E750</f>
        <v/>
      </c>
      <c r="F752" s="31">
        <f>CHAIN_RAW!F750</f>
        <v/>
      </c>
      <c r="G752" s="31">
        <f>CHAIN_RAW!I750</f>
        <v/>
      </c>
      <c r="H752" s="31">
        <f>CHAIN_RAW!Q750</f>
        <v/>
      </c>
      <c r="I752" s="31">
        <f>LET(pc,F752,oc,H752,IF(OR(pc="",oc=""),"",IF(AND(pc&gt;0,oc&gt;0),"Long Buildup",IF(AND(pc&lt;0,oc&gt;0),"Short Buildup",IF(AND(pc&gt;0,oc&lt;0),"Short Covering",IF(AND(pc&lt;0,oc&lt;0),"Long Unwinding","Flat"))))))</f>
        <v/>
      </c>
      <c r="J752" s="31">
        <f>LET(pc,ABS(F752),oc,ABS(H752),IF(OR(pc="",oc=""),"",MAX(1,MIN(5,ROUND((pc*0.5+oc*0.00001)*5,0))))))</f>
        <v/>
      </c>
    </row>
    <row r="753">
      <c r="A753" s="31" t="n">
        <v>751</v>
      </c>
      <c r="B753" s="31">
        <f>CHAIN_RAW!D751</f>
        <v/>
      </c>
      <c r="C753" s="31">
        <f>CHAIN_RAW!A751</f>
        <v/>
      </c>
      <c r="D753" s="31">
        <f>CHAIN_RAW!C751</f>
        <v/>
      </c>
      <c r="E753" s="31">
        <f>CHAIN_RAW!E751</f>
        <v/>
      </c>
      <c r="F753" s="31">
        <f>CHAIN_RAW!F751</f>
        <v/>
      </c>
      <c r="G753" s="31">
        <f>CHAIN_RAW!I751</f>
        <v/>
      </c>
      <c r="H753" s="31">
        <f>CHAIN_RAW!Q751</f>
        <v/>
      </c>
      <c r="I753" s="31">
        <f>LET(pc,F753,oc,H753,IF(OR(pc="",oc=""),"",IF(AND(pc&gt;0,oc&gt;0),"Long Buildup",IF(AND(pc&lt;0,oc&gt;0),"Short Buildup",IF(AND(pc&gt;0,oc&lt;0),"Short Covering",IF(AND(pc&lt;0,oc&lt;0),"Long Unwinding","Flat"))))))</f>
        <v/>
      </c>
      <c r="J753" s="31">
        <f>LET(pc,ABS(F753),oc,ABS(H753),IF(OR(pc="",oc=""),"",MAX(1,MIN(5,ROUND((pc*0.5+oc*0.00001)*5,0))))))</f>
        <v/>
      </c>
    </row>
    <row r="754">
      <c r="A754" s="31" t="n">
        <v>752</v>
      </c>
      <c r="B754" s="31">
        <f>CHAIN_RAW!D752</f>
        <v/>
      </c>
      <c r="C754" s="31">
        <f>CHAIN_RAW!A752</f>
        <v/>
      </c>
      <c r="D754" s="31">
        <f>CHAIN_RAW!C752</f>
        <v/>
      </c>
      <c r="E754" s="31">
        <f>CHAIN_RAW!E752</f>
        <v/>
      </c>
      <c r="F754" s="31">
        <f>CHAIN_RAW!F752</f>
        <v/>
      </c>
      <c r="G754" s="31">
        <f>CHAIN_RAW!I752</f>
        <v/>
      </c>
      <c r="H754" s="31">
        <f>CHAIN_RAW!Q752</f>
        <v/>
      </c>
      <c r="I754" s="31">
        <f>LET(pc,F754,oc,H754,IF(OR(pc="",oc=""),"",IF(AND(pc&gt;0,oc&gt;0),"Long Buildup",IF(AND(pc&lt;0,oc&gt;0),"Short Buildup",IF(AND(pc&gt;0,oc&lt;0),"Short Covering",IF(AND(pc&lt;0,oc&lt;0),"Long Unwinding","Flat"))))))</f>
        <v/>
      </c>
      <c r="J754" s="31">
        <f>LET(pc,ABS(F754),oc,ABS(H754),IF(OR(pc="",oc=""),"",MAX(1,MIN(5,ROUND((pc*0.5+oc*0.00001)*5,0))))))</f>
        <v/>
      </c>
    </row>
    <row r="755">
      <c r="A755" s="31" t="n">
        <v>753</v>
      </c>
      <c r="B755" s="31">
        <f>CHAIN_RAW!D753</f>
        <v/>
      </c>
      <c r="C755" s="31">
        <f>CHAIN_RAW!A753</f>
        <v/>
      </c>
      <c r="D755" s="31">
        <f>CHAIN_RAW!C753</f>
        <v/>
      </c>
      <c r="E755" s="31">
        <f>CHAIN_RAW!E753</f>
        <v/>
      </c>
      <c r="F755" s="31">
        <f>CHAIN_RAW!F753</f>
        <v/>
      </c>
      <c r="G755" s="31">
        <f>CHAIN_RAW!I753</f>
        <v/>
      </c>
      <c r="H755" s="31">
        <f>CHAIN_RAW!Q753</f>
        <v/>
      </c>
      <c r="I755" s="31">
        <f>LET(pc,F755,oc,H755,IF(OR(pc="",oc=""),"",IF(AND(pc&gt;0,oc&gt;0),"Long Buildup",IF(AND(pc&lt;0,oc&gt;0),"Short Buildup",IF(AND(pc&gt;0,oc&lt;0),"Short Covering",IF(AND(pc&lt;0,oc&lt;0),"Long Unwinding","Flat"))))))</f>
        <v/>
      </c>
      <c r="J755" s="31">
        <f>LET(pc,ABS(F755),oc,ABS(H755),IF(OR(pc="",oc=""),"",MAX(1,MIN(5,ROUND((pc*0.5+oc*0.00001)*5,0))))))</f>
        <v/>
      </c>
    </row>
    <row r="756">
      <c r="A756" s="31" t="n">
        <v>754</v>
      </c>
      <c r="B756" s="31">
        <f>CHAIN_RAW!D754</f>
        <v/>
      </c>
      <c r="C756" s="31">
        <f>CHAIN_RAW!A754</f>
        <v/>
      </c>
      <c r="D756" s="31">
        <f>CHAIN_RAW!C754</f>
        <v/>
      </c>
      <c r="E756" s="31">
        <f>CHAIN_RAW!E754</f>
        <v/>
      </c>
      <c r="F756" s="31">
        <f>CHAIN_RAW!F754</f>
        <v/>
      </c>
      <c r="G756" s="31">
        <f>CHAIN_RAW!I754</f>
        <v/>
      </c>
      <c r="H756" s="31">
        <f>CHAIN_RAW!Q754</f>
        <v/>
      </c>
      <c r="I756" s="31">
        <f>LET(pc,F756,oc,H756,IF(OR(pc="",oc=""),"",IF(AND(pc&gt;0,oc&gt;0),"Long Buildup",IF(AND(pc&lt;0,oc&gt;0),"Short Buildup",IF(AND(pc&gt;0,oc&lt;0),"Short Covering",IF(AND(pc&lt;0,oc&lt;0),"Long Unwinding","Flat"))))))</f>
        <v/>
      </c>
      <c r="J756" s="31">
        <f>LET(pc,ABS(F756),oc,ABS(H756),IF(OR(pc="",oc=""),"",MAX(1,MIN(5,ROUND((pc*0.5+oc*0.00001)*5,0))))))</f>
        <v/>
      </c>
    </row>
    <row r="757">
      <c r="A757" s="31" t="n">
        <v>755</v>
      </c>
      <c r="B757" s="31">
        <f>CHAIN_RAW!D755</f>
        <v/>
      </c>
      <c r="C757" s="31">
        <f>CHAIN_RAW!A755</f>
        <v/>
      </c>
      <c r="D757" s="31">
        <f>CHAIN_RAW!C755</f>
        <v/>
      </c>
      <c r="E757" s="31">
        <f>CHAIN_RAW!E755</f>
        <v/>
      </c>
      <c r="F757" s="31">
        <f>CHAIN_RAW!F755</f>
        <v/>
      </c>
      <c r="G757" s="31">
        <f>CHAIN_RAW!I755</f>
        <v/>
      </c>
      <c r="H757" s="31">
        <f>CHAIN_RAW!Q755</f>
        <v/>
      </c>
      <c r="I757" s="31">
        <f>LET(pc,F757,oc,H757,IF(OR(pc="",oc=""),"",IF(AND(pc&gt;0,oc&gt;0),"Long Buildup",IF(AND(pc&lt;0,oc&gt;0),"Short Buildup",IF(AND(pc&gt;0,oc&lt;0),"Short Covering",IF(AND(pc&lt;0,oc&lt;0),"Long Unwinding","Flat"))))))</f>
        <v/>
      </c>
      <c r="J757" s="31">
        <f>LET(pc,ABS(F757),oc,ABS(H757),IF(OR(pc="",oc=""),"",MAX(1,MIN(5,ROUND((pc*0.5+oc*0.00001)*5,0))))))</f>
        <v/>
      </c>
    </row>
    <row r="758">
      <c r="A758" s="31" t="n">
        <v>756</v>
      </c>
      <c r="B758" s="31">
        <f>CHAIN_RAW!D756</f>
        <v/>
      </c>
      <c r="C758" s="31">
        <f>CHAIN_RAW!A756</f>
        <v/>
      </c>
      <c r="D758" s="31">
        <f>CHAIN_RAW!C756</f>
        <v/>
      </c>
      <c r="E758" s="31">
        <f>CHAIN_RAW!E756</f>
        <v/>
      </c>
      <c r="F758" s="31">
        <f>CHAIN_RAW!F756</f>
        <v/>
      </c>
      <c r="G758" s="31">
        <f>CHAIN_RAW!I756</f>
        <v/>
      </c>
      <c r="H758" s="31">
        <f>CHAIN_RAW!Q756</f>
        <v/>
      </c>
      <c r="I758" s="31">
        <f>LET(pc,F758,oc,H758,IF(OR(pc="",oc=""),"",IF(AND(pc&gt;0,oc&gt;0),"Long Buildup",IF(AND(pc&lt;0,oc&gt;0),"Short Buildup",IF(AND(pc&gt;0,oc&lt;0),"Short Covering",IF(AND(pc&lt;0,oc&lt;0),"Long Unwinding","Flat"))))))</f>
        <v/>
      </c>
      <c r="J758" s="31">
        <f>LET(pc,ABS(F758),oc,ABS(H758),IF(OR(pc="",oc=""),"",MAX(1,MIN(5,ROUND((pc*0.5+oc*0.00001)*5,0))))))</f>
        <v/>
      </c>
    </row>
    <row r="759">
      <c r="A759" s="31" t="n">
        <v>757</v>
      </c>
      <c r="B759" s="31">
        <f>CHAIN_RAW!D757</f>
        <v/>
      </c>
      <c r="C759" s="31">
        <f>CHAIN_RAW!A757</f>
        <v/>
      </c>
      <c r="D759" s="31">
        <f>CHAIN_RAW!C757</f>
        <v/>
      </c>
      <c r="E759" s="31">
        <f>CHAIN_RAW!E757</f>
        <v/>
      </c>
      <c r="F759" s="31">
        <f>CHAIN_RAW!F757</f>
        <v/>
      </c>
      <c r="G759" s="31">
        <f>CHAIN_RAW!I757</f>
        <v/>
      </c>
      <c r="H759" s="31">
        <f>CHAIN_RAW!Q757</f>
        <v/>
      </c>
      <c r="I759" s="31">
        <f>LET(pc,F759,oc,H759,IF(OR(pc="",oc=""),"",IF(AND(pc&gt;0,oc&gt;0),"Long Buildup",IF(AND(pc&lt;0,oc&gt;0),"Short Buildup",IF(AND(pc&gt;0,oc&lt;0),"Short Covering",IF(AND(pc&lt;0,oc&lt;0),"Long Unwinding","Flat"))))))</f>
        <v/>
      </c>
      <c r="J759" s="31">
        <f>LET(pc,ABS(F759),oc,ABS(H759),IF(OR(pc="",oc=""),"",MAX(1,MIN(5,ROUND((pc*0.5+oc*0.00001)*5,0))))))</f>
        <v/>
      </c>
    </row>
    <row r="760">
      <c r="A760" s="31" t="n">
        <v>758</v>
      </c>
      <c r="B760" s="31">
        <f>CHAIN_RAW!D758</f>
        <v/>
      </c>
      <c r="C760" s="31">
        <f>CHAIN_RAW!A758</f>
        <v/>
      </c>
      <c r="D760" s="31">
        <f>CHAIN_RAW!C758</f>
        <v/>
      </c>
      <c r="E760" s="31">
        <f>CHAIN_RAW!E758</f>
        <v/>
      </c>
      <c r="F760" s="31">
        <f>CHAIN_RAW!F758</f>
        <v/>
      </c>
      <c r="G760" s="31">
        <f>CHAIN_RAW!I758</f>
        <v/>
      </c>
      <c r="H760" s="31">
        <f>CHAIN_RAW!Q758</f>
        <v/>
      </c>
      <c r="I760" s="31">
        <f>LET(pc,F760,oc,H760,IF(OR(pc="",oc=""),"",IF(AND(pc&gt;0,oc&gt;0),"Long Buildup",IF(AND(pc&lt;0,oc&gt;0),"Short Buildup",IF(AND(pc&gt;0,oc&lt;0),"Short Covering",IF(AND(pc&lt;0,oc&lt;0),"Long Unwinding","Flat"))))))</f>
        <v/>
      </c>
      <c r="J760" s="31">
        <f>LET(pc,ABS(F760),oc,ABS(H760),IF(OR(pc="",oc=""),"",MAX(1,MIN(5,ROUND((pc*0.5+oc*0.00001)*5,0))))))</f>
        <v/>
      </c>
    </row>
    <row r="761">
      <c r="A761" s="31" t="n">
        <v>759</v>
      </c>
      <c r="B761" s="31">
        <f>CHAIN_RAW!D759</f>
        <v/>
      </c>
      <c r="C761" s="31">
        <f>CHAIN_RAW!A759</f>
        <v/>
      </c>
      <c r="D761" s="31">
        <f>CHAIN_RAW!C759</f>
        <v/>
      </c>
      <c r="E761" s="31">
        <f>CHAIN_RAW!E759</f>
        <v/>
      </c>
      <c r="F761" s="31">
        <f>CHAIN_RAW!F759</f>
        <v/>
      </c>
      <c r="G761" s="31">
        <f>CHAIN_RAW!I759</f>
        <v/>
      </c>
      <c r="H761" s="31">
        <f>CHAIN_RAW!Q759</f>
        <v/>
      </c>
      <c r="I761" s="31">
        <f>LET(pc,F761,oc,H761,IF(OR(pc="",oc=""),"",IF(AND(pc&gt;0,oc&gt;0),"Long Buildup",IF(AND(pc&lt;0,oc&gt;0),"Short Buildup",IF(AND(pc&gt;0,oc&lt;0),"Short Covering",IF(AND(pc&lt;0,oc&lt;0),"Long Unwinding","Flat"))))))</f>
        <v/>
      </c>
      <c r="J761" s="31">
        <f>LET(pc,ABS(F761),oc,ABS(H761),IF(OR(pc="",oc=""),"",MAX(1,MIN(5,ROUND((pc*0.5+oc*0.00001)*5,0))))))</f>
        <v/>
      </c>
    </row>
    <row r="762">
      <c r="A762" s="31" t="n">
        <v>760</v>
      </c>
      <c r="B762" s="31">
        <f>CHAIN_RAW!D760</f>
        <v/>
      </c>
      <c r="C762" s="31">
        <f>CHAIN_RAW!A760</f>
        <v/>
      </c>
      <c r="D762" s="31">
        <f>CHAIN_RAW!C760</f>
        <v/>
      </c>
      <c r="E762" s="31">
        <f>CHAIN_RAW!E760</f>
        <v/>
      </c>
      <c r="F762" s="31">
        <f>CHAIN_RAW!F760</f>
        <v/>
      </c>
      <c r="G762" s="31">
        <f>CHAIN_RAW!I760</f>
        <v/>
      </c>
      <c r="H762" s="31">
        <f>CHAIN_RAW!Q760</f>
        <v/>
      </c>
      <c r="I762" s="31">
        <f>LET(pc,F762,oc,H762,IF(OR(pc="",oc=""),"",IF(AND(pc&gt;0,oc&gt;0),"Long Buildup",IF(AND(pc&lt;0,oc&gt;0),"Short Buildup",IF(AND(pc&gt;0,oc&lt;0),"Short Covering",IF(AND(pc&lt;0,oc&lt;0),"Long Unwinding","Flat"))))))</f>
        <v/>
      </c>
      <c r="J762" s="31">
        <f>LET(pc,ABS(F762),oc,ABS(H762),IF(OR(pc="",oc=""),"",MAX(1,MIN(5,ROUND((pc*0.5+oc*0.00001)*5,0))))))</f>
        <v/>
      </c>
    </row>
    <row r="763">
      <c r="A763" s="31" t="n">
        <v>761</v>
      </c>
      <c r="B763" s="31">
        <f>CHAIN_RAW!D761</f>
        <v/>
      </c>
      <c r="C763" s="31">
        <f>CHAIN_RAW!A761</f>
        <v/>
      </c>
      <c r="D763" s="31">
        <f>CHAIN_RAW!C761</f>
        <v/>
      </c>
      <c r="E763" s="31">
        <f>CHAIN_RAW!E761</f>
        <v/>
      </c>
      <c r="F763" s="31">
        <f>CHAIN_RAW!F761</f>
        <v/>
      </c>
      <c r="G763" s="31">
        <f>CHAIN_RAW!I761</f>
        <v/>
      </c>
      <c r="H763" s="31">
        <f>CHAIN_RAW!Q761</f>
        <v/>
      </c>
      <c r="I763" s="31">
        <f>LET(pc,F763,oc,H763,IF(OR(pc="",oc=""),"",IF(AND(pc&gt;0,oc&gt;0),"Long Buildup",IF(AND(pc&lt;0,oc&gt;0),"Short Buildup",IF(AND(pc&gt;0,oc&lt;0),"Short Covering",IF(AND(pc&lt;0,oc&lt;0),"Long Unwinding","Flat"))))))</f>
        <v/>
      </c>
      <c r="J763" s="31">
        <f>LET(pc,ABS(F763),oc,ABS(H763),IF(OR(pc="",oc=""),"",MAX(1,MIN(5,ROUND((pc*0.5+oc*0.00001)*5,0))))))</f>
        <v/>
      </c>
    </row>
    <row r="764">
      <c r="A764" s="31" t="n">
        <v>762</v>
      </c>
      <c r="B764" s="31">
        <f>CHAIN_RAW!D762</f>
        <v/>
      </c>
      <c r="C764" s="31">
        <f>CHAIN_RAW!A762</f>
        <v/>
      </c>
      <c r="D764" s="31">
        <f>CHAIN_RAW!C762</f>
        <v/>
      </c>
      <c r="E764" s="31">
        <f>CHAIN_RAW!E762</f>
        <v/>
      </c>
      <c r="F764" s="31">
        <f>CHAIN_RAW!F762</f>
        <v/>
      </c>
      <c r="G764" s="31">
        <f>CHAIN_RAW!I762</f>
        <v/>
      </c>
      <c r="H764" s="31">
        <f>CHAIN_RAW!Q762</f>
        <v/>
      </c>
      <c r="I764" s="31">
        <f>LET(pc,F764,oc,H764,IF(OR(pc="",oc=""),"",IF(AND(pc&gt;0,oc&gt;0),"Long Buildup",IF(AND(pc&lt;0,oc&gt;0),"Short Buildup",IF(AND(pc&gt;0,oc&lt;0),"Short Covering",IF(AND(pc&lt;0,oc&lt;0),"Long Unwinding","Flat"))))))</f>
        <v/>
      </c>
      <c r="J764" s="31">
        <f>LET(pc,ABS(F764),oc,ABS(H764),IF(OR(pc="",oc=""),"",MAX(1,MIN(5,ROUND((pc*0.5+oc*0.00001)*5,0))))))</f>
        <v/>
      </c>
    </row>
    <row r="765">
      <c r="A765" s="31" t="n">
        <v>763</v>
      </c>
      <c r="B765" s="31">
        <f>CHAIN_RAW!D763</f>
        <v/>
      </c>
      <c r="C765" s="31">
        <f>CHAIN_RAW!A763</f>
        <v/>
      </c>
      <c r="D765" s="31">
        <f>CHAIN_RAW!C763</f>
        <v/>
      </c>
      <c r="E765" s="31">
        <f>CHAIN_RAW!E763</f>
        <v/>
      </c>
      <c r="F765" s="31">
        <f>CHAIN_RAW!F763</f>
        <v/>
      </c>
      <c r="G765" s="31">
        <f>CHAIN_RAW!I763</f>
        <v/>
      </c>
      <c r="H765" s="31">
        <f>CHAIN_RAW!Q763</f>
        <v/>
      </c>
      <c r="I765" s="31">
        <f>LET(pc,F765,oc,H765,IF(OR(pc="",oc=""),"",IF(AND(pc&gt;0,oc&gt;0),"Long Buildup",IF(AND(pc&lt;0,oc&gt;0),"Short Buildup",IF(AND(pc&gt;0,oc&lt;0),"Short Covering",IF(AND(pc&lt;0,oc&lt;0),"Long Unwinding","Flat"))))))</f>
        <v/>
      </c>
      <c r="J765" s="31">
        <f>LET(pc,ABS(F765),oc,ABS(H765),IF(OR(pc="",oc=""),"",MAX(1,MIN(5,ROUND((pc*0.5+oc*0.00001)*5,0))))))</f>
        <v/>
      </c>
    </row>
    <row r="766">
      <c r="A766" s="31" t="n">
        <v>764</v>
      </c>
      <c r="B766" s="31">
        <f>CHAIN_RAW!D764</f>
        <v/>
      </c>
      <c r="C766" s="31">
        <f>CHAIN_RAW!A764</f>
        <v/>
      </c>
      <c r="D766" s="31">
        <f>CHAIN_RAW!C764</f>
        <v/>
      </c>
      <c r="E766" s="31">
        <f>CHAIN_RAW!E764</f>
        <v/>
      </c>
      <c r="F766" s="31">
        <f>CHAIN_RAW!F764</f>
        <v/>
      </c>
      <c r="G766" s="31">
        <f>CHAIN_RAW!I764</f>
        <v/>
      </c>
      <c r="H766" s="31">
        <f>CHAIN_RAW!Q764</f>
        <v/>
      </c>
      <c r="I766" s="31">
        <f>LET(pc,F766,oc,H766,IF(OR(pc="",oc=""),"",IF(AND(pc&gt;0,oc&gt;0),"Long Buildup",IF(AND(pc&lt;0,oc&gt;0),"Short Buildup",IF(AND(pc&gt;0,oc&lt;0),"Short Covering",IF(AND(pc&lt;0,oc&lt;0),"Long Unwinding","Flat"))))))</f>
        <v/>
      </c>
      <c r="J766" s="31">
        <f>LET(pc,ABS(F766),oc,ABS(H766),IF(OR(pc="",oc=""),"",MAX(1,MIN(5,ROUND((pc*0.5+oc*0.00001)*5,0))))))</f>
        <v/>
      </c>
    </row>
    <row r="767">
      <c r="A767" s="31" t="n">
        <v>765</v>
      </c>
      <c r="B767" s="31">
        <f>CHAIN_RAW!D765</f>
        <v/>
      </c>
      <c r="C767" s="31">
        <f>CHAIN_RAW!A765</f>
        <v/>
      </c>
      <c r="D767" s="31">
        <f>CHAIN_RAW!C765</f>
        <v/>
      </c>
      <c r="E767" s="31">
        <f>CHAIN_RAW!E765</f>
        <v/>
      </c>
      <c r="F767" s="31">
        <f>CHAIN_RAW!F765</f>
        <v/>
      </c>
      <c r="G767" s="31">
        <f>CHAIN_RAW!I765</f>
        <v/>
      </c>
      <c r="H767" s="31">
        <f>CHAIN_RAW!Q765</f>
        <v/>
      </c>
      <c r="I767" s="31">
        <f>LET(pc,F767,oc,H767,IF(OR(pc="",oc=""),"",IF(AND(pc&gt;0,oc&gt;0),"Long Buildup",IF(AND(pc&lt;0,oc&gt;0),"Short Buildup",IF(AND(pc&gt;0,oc&lt;0),"Short Covering",IF(AND(pc&lt;0,oc&lt;0),"Long Unwinding","Flat"))))))</f>
        <v/>
      </c>
      <c r="J767" s="31">
        <f>LET(pc,ABS(F767),oc,ABS(H767),IF(OR(pc="",oc=""),"",MAX(1,MIN(5,ROUND((pc*0.5+oc*0.00001)*5,0))))))</f>
        <v/>
      </c>
    </row>
    <row r="768">
      <c r="A768" s="31" t="n">
        <v>766</v>
      </c>
      <c r="B768" s="31">
        <f>CHAIN_RAW!D766</f>
        <v/>
      </c>
      <c r="C768" s="31">
        <f>CHAIN_RAW!A766</f>
        <v/>
      </c>
      <c r="D768" s="31">
        <f>CHAIN_RAW!C766</f>
        <v/>
      </c>
      <c r="E768" s="31">
        <f>CHAIN_RAW!E766</f>
        <v/>
      </c>
      <c r="F768" s="31">
        <f>CHAIN_RAW!F766</f>
        <v/>
      </c>
      <c r="G768" s="31">
        <f>CHAIN_RAW!I766</f>
        <v/>
      </c>
      <c r="H768" s="31">
        <f>CHAIN_RAW!Q766</f>
        <v/>
      </c>
      <c r="I768" s="31">
        <f>LET(pc,F768,oc,H768,IF(OR(pc="",oc=""),"",IF(AND(pc&gt;0,oc&gt;0),"Long Buildup",IF(AND(pc&lt;0,oc&gt;0),"Short Buildup",IF(AND(pc&gt;0,oc&lt;0),"Short Covering",IF(AND(pc&lt;0,oc&lt;0),"Long Unwinding","Flat"))))))</f>
        <v/>
      </c>
      <c r="J768" s="31">
        <f>LET(pc,ABS(F768),oc,ABS(H768),IF(OR(pc="",oc=""),"",MAX(1,MIN(5,ROUND((pc*0.5+oc*0.00001)*5,0))))))</f>
        <v/>
      </c>
    </row>
    <row r="769">
      <c r="A769" s="31" t="n">
        <v>767</v>
      </c>
      <c r="B769" s="31">
        <f>CHAIN_RAW!D767</f>
        <v/>
      </c>
      <c r="C769" s="31">
        <f>CHAIN_RAW!A767</f>
        <v/>
      </c>
      <c r="D769" s="31">
        <f>CHAIN_RAW!C767</f>
        <v/>
      </c>
      <c r="E769" s="31">
        <f>CHAIN_RAW!E767</f>
        <v/>
      </c>
      <c r="F769" s="31">
        <f>CHAIN_RAW!F767</f>
        <v/>
      </c>
      <c r="G769" s="31">
        <f>CHAIN_RAW!I767</f>
        <v/>
      </c>
      <c r="H769" s="31">
        <f>CHAIN_RAW!Q767</f>
        <v/>
      </c>
      <c r="I769" s="31">
        <f>LET(pc,F769,oc,H769,IF(OR(pc="",oc=""),"",IF(AND(pc&gt;0,oc&gt;0),"Long Buildup",IF(AND(pc&lt;0,oc&gt;0),"Short Buildup",IF(AND(pc&gt;0,oc&lt;0),"Short Covering",IF(AND(pc&lt;0,oc&lt;0),"Long Unwinding","Flat"))))))</f>
        <v/>
      </c>
      <c r="J769" s="31">
        <f>LET(pc,ABS(F769),oc,ABS(H769),IF(OR(pc="",oc=""),"",MAX(1,MIN(5,ROUND((pc*0.5+oc*0.00001)*5,0))))))</f>
        <v/>
      </c>
    </row>
    <row r="770">
      <c r="A770" s="31" t="n">
        <v>768</v>
      </c>
      <c r="B770" s="31">
        <f>CHAIN_RAW!D768</f>
        <v/>
      </c>
      <c r="C770" s="31">
        <f>CHAIN_RAW!A768</f>
        <v/>
      </c>
      <c r="D770" s="31">
        <f>CHAIN_RAW!C768</f>
        <v/>
      </c>
      <c r="E770" s="31">
        <f>CHAIN_RAW!E768</f>
        <v/>
      </c>
      <c r="F770" s="31">
        <f>CHAIN_RAW!F768</f>
        <v/>
      </c>
      <c r="G770" s="31">
        <f>CHAIN_RAW!I768</f>
        <v/>
      </c>
      <c r="H770" s="31">
        <f>CHAIN_RAW!Q768</f>
        <v/>
      </c>
      <c r="I770" s="31">
        <f>LET(pc,F770,oc,H770,IF(OR(pc="",oc=""),"",IF(AND(pc&gt;0,oc&gt;0),"Long Buildup",IF(AND(pc&lt;0,oc&gt;0),"Short Buildup",IF(AND(pc&gt;0,oc&lt;0),"Short Covering",IF(AND(pc&lt;0,oc&lt;0),"Long Unwinding","Flat"))))))</f>
        <v/>
      </c>
      <c r="J770" s="31">
        <f>LET(pc,ABS(F770),oc,ABS(H770),IF(OR(pc="",oc=""),"",MAX(1,MIN(5,ROUND((pc*0.5+oc*0.00001)*5,0))))))</f>
        <v/>
      </c>
    </row>
    <row r="771">
      <c r="A771" s="31" t="n">
        <v>769</v>
      </c>
      <c r="B771" s="31">
        <f>CHAIN_RAW!D769</f>
        <v/>
      </c>
      <c r="C771" s="31">
        <f>CHAIN_RAW!A769</f>
        <v/>
      </c>
      <c r="D771" s="31">
        <f>CHAIN_RAW!C769</f>
        <v/>
      </c>
      <c r="E771" s="31">
        <f>CHAIN_RAW!E769</f>
        <v/>
      </c>
      <c r="F771" s="31">
        <f>CHAIN_RAW!F769</f>
        <v/>
      </c>
      <c r="G771" s="31">
        <f>CHAIN_RAW!I769</f>
        <v/>
      </c>
      <c r="H771" s="31">
        <f>CHAIN_RAW!Q769</f>
        <v/>
      </c>
      <c r="I771" s="31">
        <f>LET(pc,F771,oc,H771,IF(OR(pc="",oc=""),"",IF(AND(pc&gt;0,oc&gt;0),"Long Buildup",IF(AND(pc&lt;0,oc&gt;0),"Short Buildup",IF(AND(pc&gt;0,oc&lt;0),"Short Covering",IF(AND(pc&lt;0,oc&lt;0),"Long Unwinding","Flat"))))))</f>
        <v/>
      </c>
      <c r="J771" s="31">
        <f>LET(pc,ABS(F771),oc,ABS(H771),IF(OR(pc="",oc=""),"",MAX(1,MIN(5,ROUND((pc*0.5+oc*0.00001)*5,0))))))</f>
        <v/>
      </c>
    </row>
    <row r="772">
      <c r="A772" s="31" t="n">
        <v>770</v>
      </c>
      <c r="B772" s="31">
        <f>CHAIN_RAW!D770</f>
        <v/>
      </c>
      <c r="C772" s="31">
        <f>CHAIN_RAW!A770</f>
        <v/>
      </c>
      <c r="D772" s="31">
        <f>CHAIN_RAW!C770</f>
        <v/>
      </c>
      <c r="E772" s="31">
        <f>CHAIN_RAW!E770</f>
        <v/>
      </c>
      <c r="F772" s="31">
        <f>CHAIN_RAW!F770</f>
        <v/>
      </c>
      <c r="G772" s="31">
        <f>CHAIN_RAW!I770</f>
        <v/>
      </c>
      <c r="H772" s="31">
        <f>CHAIN_RAW!Q770</f>
        <v/>
      </c>
      <c r="I772" s="31">
        <f>LET(pc,F772,oc,H772,IF(OR(pc="",oc=""),"",IF(AND(pc&gt;0,oc&gt;0),"Long Buildup",IF(AND(pc&lt;0,oc&gt;0),"Short Buildup",IF(AND(pc&gt;0,oc&lt;0),"Short Covering",IF(AND(pc&lt;0,oc&lt;0),"Long Unwinding","Flat"))))))</f>
        <v/>
      </c>
      <c r="J772" s="31">
        <f>LET(pc,ABS(F772),oc,ABS(H772),IF(OR(pc="",oc=""),"",MAX(1,MIN(5,ROUND((pc*0.5+oc*0.00001)*5,0))))))</f>
        <v/>
      </c>
    </row>
    <row r="773">
      <c r="A773" s="31" t="n">
        <v>771</v>
      </c>
      <c r="B773" s="31">
        <f>CHAIN_RAW!D771</f>
        <v/>
      </c>
      <c r="C773" s="31">
        <f>CHAIN_RAW!A771</f>
        <v/>
      </c>
      <c r="D773" s="31">
        <f>CHAIN_RAW!C771</f>
        <v/>
      </c>
      <c r="E773" s="31">
        <f>CHAIN_RAW!E771</f>
        <v/>
      </c>
      <c r="F773" s="31">
        <f>CHAIN_RAW!F771</f>
        <v/>
      </c>
      <c r="G773" s="31">
        <f>CHAIN_RAW!I771</f>
        <v/>
      </c>
      <c r="H773" s="31">
        <f>CHAIN_RAW!Q771</f>
        <v/>
      </c>
      <c r="I773" s="31">
        <f>LET(pc,F773,oc,H773,IF(OR(pc="",oc=""),"",IF(AND(pc&gt;0,oc&gt;0),"Long Buildup",IF(AND(pc&lt;0,oc&gt;0),"Short Buildup",IF(AND(pc&gt;0,oc&lt;0),"Short Covering",IF(AND(pc&lt;0,oc&lt;0),"Long Unwinding","Flat"))))))</f>
        <v/>
      </c>
      <c r="J773" s="31">
        <f>LET(pc,ABS(F773),oc,ABS(H773),IF(OR(pc="",oc=""),"",MAX(1,MIN(5,ROUND((pc*0.5+oc*0.00001)*5,0))))))</f>
        <v/>
      </c>
    </row>
    <row r="774">
      <c r="A774" s="31" t="n">
        <v>772</v>
      </c>
      <c r="B774" s="31">
        <f>CHAIN_RAW!D772</f>
        <v/>
      </c>
      <c r="C774" s="31">
        <f>CHAIN_RAW!A772</f>
        <v/>
      </c>
      <c r="D774" s="31">
        <f>CHAIN_RAW!C772</f>
        <v/>
      </c>
      <c r="E774" s="31">
        <f>CHAIN_RAW!E772</f>
        <v/>
      </c>
      <c r="F774" s="31">
        <f>CHAIN_RAW!F772</f>
        <v/>
      </c>
      <c r="G774" s="31">
        <f>CHAIN_RAW!I772</f>
        <v/>
      </c>
      <c r="H774" s="31">
        <f>CHAIN_RAW!Q772</f>
        <v/>
      </c>
      <c r="I774" s="31">
        <f>LET(pc,F774,oc,H774,IF(OR(pc="",oc=""),"",IF(AND(pc&gt;0,oc&gt;0),"Long Buildup",IF(AND(pc&lt;0,oc&gt;0),"Short Buildup",IF(AND(pc&gt;0,oc&lt;0),"Short Covering",IF(AND(pc&lt;0,oc&lt;0),"Long Unwinding","Flat"))))))</f>
        <v/>
      </c>
      <c r="J774" s="31">
        <f>LET(pc,ABS(F774),oc,ABS(H774),IF(OR(pc="",oc=""),"",MAX(1,MIN(5,ROUND((pc*0.5+oc*0.00001)*5,0))))))</f>
        <v/>
      </c>
    </row>
    <row r="775">
      <c r="A775" s="31" t="n">
        <v>773</v>
      </c>
      <c r="B775" s="31">
        <f>CHAIN_RAW!D773</f>
        <v/>
      </c>
      <c r="C775" s="31">
        <f>CHAIN_RAW!A773</f>
        <v/>
      </c>
      <c r="D775" s="31">
        <f>CHAIN_RAW!C773</f>
        <v/>
      </c>
      <c r="E775" s="31">
        <f>CHAIN_RAW!E773</f>
        <v/>
      </c>
      <c r="F775" s="31">
        <f>CHAIN_RAW!F773</f>
        <v/>
      </c>
      <c r="G775" s="31">
        <f>CHAIN_RAW!I773</f>
        <v/>
      </c>
      <c r="H775" s="31">
        <f>CHAIN_RAW!Q773</f>
        <v/>
      </c>
      <c r="I775" s="31">
        <f>LET(pc,F775,oc,H775,IF(OR(pc="",oc=""),"",IF(AND(pc&gt;0,oc&gt;0),"Long Buildup",IF(AND(pc&lt;0,oc&gt;0),"Short Buildup",IF(AND(pc&gt;0,oc&lt;0),"Short Covering",IF(AND(pc&lt;0,oc&lt;0),"Long Unwinding","Flat"))))))</f>
        <v/>
      </c>
      <c r="J775" s="31">
        <f>LET(pc,ABS(F775),oc,ABS(H775),IF(OR(pc="",oc=""),"",MAX(1,MIN(5,ROUND((pc*0.5+oc*0.00001)*5,0))))))</f>
        <v/>
      </c>
    </row>
    <row r="776">
      <c r="A776" s="31" t="n">
        <v>774</v>
      </c>
      <c r="B776" s="31">
        <f>CHAIN_RAW!D774</f>
        <v/>
      </c>
      <c r="C776" s="31">
        <f>CHAIN_RAW!A774</f>
        <v/>
      </c>
      <c r="D776" s="31">
        <f>CHAIN_RAW!C774</f>
        <v/>
      </c>
      <c r="E776" s="31">
        <f>CHAIN_RAW!E774</f>
        <v/>
      </c>
      <c r="F776" s="31">
        <f>CHAIN_RAW!F774</f>
        <v/>
      </c>
      <c r="G776" s="31">
        <f>CHAIN_RAW!I774</f>
        <v/>
      </c>
      <c r="H776" s="31">
        <f>CHAIN_RAW!Q774</f>
        <v/>
      </c>
      <c r="I776" s="31">
        <f>LET(pc,F776,oc,H776,IF(OR(pc="",oc=""),"",IF(AND(pc&gt;0,oc&gt;0),"Long Buildup",IF(AND(pc&lt;0,oc&gt;0),"Short Buildup",IF(AND(pc&gt;0,oc&lt;0),"Short Covering",IF(AND(pc&lt;0,oc&lt;0),"Long Unwinding","Flat"))))))</f>
        <v/>
      </c>
      <c r="J776" s="31">
        <f>LET(pc,ABS(F776),oc,ABS(H776),IF(OR(pc="",oc=""),"",MAX(1,MIN(5,ROUND((pc*0.5+oc*0.00001)*5,0))))))</f>
        <v/>
      </c>
    </row>
    <row r="777">
      <c r="A777" s="31" t="n">
        <v>775</v>
      </c>
      <c r="B777" s="31">
        <f>CHAIN_RAW!D775</f>
        <v/>
      </c>
      <c r="C777" s="31">
        <f>CHAIN_RAW!A775</f>
        <v/>
      </c>
      <c r="D777" s="31">
        <f>CHAIN_RAW!C775</f>
        <v/>
      </c>
      <c r="E777" s="31">
        <f>CHAIN_RAW!E775</f>
        <v/>
      </c>
      <c r="F777" s="31">
        <f>CHAIN_RAW!F775</f>
        <v/>
      </c>
      <c r="G777" s="31">
        <f>CHAIN_RAW!I775</f>
        <v/>
      </c>
      <c r="H777" s="31">
        <f>CHAIN_RAW!Q775</f>
        <v/>
      </c>
      <c r="I777" s="31">
        <f>LET(pc,F777,oc,H777,IF(OR(pc="",oc=""),"",IF(AND(pc&gt;0,oc&gt;0),"Long Buildup",IF(AND(pc&lt;0,oc&gt;0),"Short Buildup",IF(AND(pc&gt;0,oc&lt;0),"Short Covering",IF(AND(pc&lt;0,oc&lt;0),"Long Unwinding","Flat"))))))</f>
        <v/>
      </c>
      <c r="J777" s="31">
        <f>LET(pc,ABS(F777),oc,ABS(H777),IF(OR(pc="",oc=""),"",MAX(1,MIN(5,ROUND((pc*0.5+oc*0.00001)*5,0))))))</f>
        <v/>
      </c>
    </row>
    <row r="778">
      <c r="A778" s="31" t="n">
        <v>776</v>
      </c>
      <c r="B778" s="31">
        <f>CHAIN_RAW!D776</f>
        <v/>
      </c>
      <c r="C778" s="31">
        <f>CHAIN_RAW!A776</f>
        <v/>
      </c>
      <c r="D778" s="31">
        <f>CHAIN_RAW!C776</f>
        <v/>
      </c>
      <c r="E778" s="31">
        <f>CHAIN_RAW!E776</f>
        <v/>
      </c>
      <c r="F778" s="31">
        <f>CHAIN_RAW!F776</f>
        <v/>
      </c>
      <c r="G778" s="31">
        <f>CHAIN_RAW!I776</f>
        <v/>
      </c>
      <c r="H778" s="31">
        <f>CHAIN_RAW!Q776</f>
        <v/>
      </c>
      <c r="I778" s="31">
        <f>LET(pc,F778,oc,H778,IF(OR(pc="",oc=""),"",IF(AND(pc&gt;0,oc&gt;0),"Long Buildup",IF(AND(pc&lt;0,oc&gt;0),"Short Buildup",IF(AND(pc&gt;0,oc&lt;0),"Short Covering",IF(AND(pc&lt;0,oc&lt;0),"Long Unwinding","Flat"))))))</f>
        <v/>
      </c>
      <c r="J778" s="31">
        <f>LET(pc,ABS(F778),oc,ABS(H778),IF(OR(pc="",oc=""),"",MAX(1,MIN(5,ROUND((pc*0.5+oc*0.00001)*5,0))))))</f>
        <v/>
      </c>
    </row>
    <row r="779">
      <c r="A779" s="31" t="n">
        <v>777</v>
      </c>
      <c r="B779" s="31">
        <f>CHAIN_RAW!D777</f>
        <v/>
      </c>
      <c r="C779" s="31">
        <f>CHAIN_RAW!A777</f>
        <v/>
      </c>
      <c r="D779" s="31">
        <f>CHAIN_RAW!C777</f>
        <v/>
      </c>
      <c r="E779" s="31">
        <f>CHAIN_RAW!E777</f>
        <v/>
      </c>
      <c r="F779" s="31">
        <f>CHAIN_RAW!F777</f>
        <v/>
      </c>
      <c r="G779" s="31">
        <f>CHAIN_RAW!I777</f>
        <v/>
      </c>
      <c r="H779" s="31">
        <f>CHAIN_RAW!Q777</f>
        <v/>
      </c>
      <c r="I779" s="31">
        <f>LET(pc,F779,oc,H779,IF(OR(pc="",oc=""),"",IF(AND(pc&gt;0,oc&gt;0),"Long Buildup",IF(AND(pc&lt;0,oc&gt;0),"Short Buildup",IF(AND(pc&gt;0,oc&lt;0),"Short Covering",IF(AND(pc&lt;0,oc&lt;0),"Long Unwinding","Flat"))))))</f>
        <v/>
      </c>
      <c r="J779" s="31">
        <f>LET(pc,ABS(F779),oc,ABS(H779),IF(OR(pc="",oc=""),"",MAX(1,MIN(5,ROUND((pc*0.5+oc*0.00001)*5,0))))))</f>
        <v/>
      </c>
    </row>
    <row r="780">
      <c r="A780" s="31" t="n">
        <v>778</v>
      </c>
      <c r="B780" s="31">
        <f>CHAIN_RAW!D778</f>
        <v/>
      </c>
      <c r="C780" s="31">
        <f>CHAIN_RAW!A778</f>
        <v/>
      </c>
      <c r="D780" s="31">
        <f>CHAIN_RAW!C778</f>
        <v/>
      </c>
      <c r="E780" s="31">
        <f>CHAIN_RAW!E778</f>
        <v/>
      </c>
      <c r="F780" s="31">
        <f>CHAIN_RAW!F778</f>
        <v/>
      </c>
      <c r="G780" s="31">
        <f>CHAIN_RAW!I778</f>
        <v/>
      </c>
      <c r="H780" s="31">
        <f>CHAIN_RAW!Q778</f>
        <v/>
      </c>
      <c r="I780" s="31">
        <f>LET(pc,F780,oc,H780,IF(OR(pc="",oc=""),"",IF(AND(pc&gt;0,oc&gt;0),"Long Buildup",IF(AND(pc&lt;0,oc&gt;0),"Short Buildup",IF(AND(pc&gt;0,oc&lt;0),"Short Covering",IF(AND(pc&lt;0,oc&lt;0),"Long Unwinding","Flat"))))))</f>
        <v/>
      </c>
      <c r="J780" s="31">
        <f>LET(pc,ABS(F780),oc,ABS(H780),IF(OR(pc="",oc=""),"",MAX(1,MIN(5,ROUND((pc*0.5+oc*0.00001)*5,0))))))</f>
        <v/>
      </c>
    </row>
    <row r="781">
      <c r="A781" s="31" t="n">
        <v>779</v>
      </c>
      <c r="B781" s="31">
        <f>CHAIN_RAW!D779</f>
        <v/>
      </c>
      <c r="C781" s="31">
        <f>CHAIN_RAW!A779</f>
        <v/>
      </c>
      <c r="D781" s="31">
        <f>CHAIN_RAW!C779</f>
        <v/>
      </c>
      <c r="E781" s="31">
        <f>CHAIN_RAW!E779</f>
        <v/>
      </c>
      <c r="F781" s="31">
        <f>CHAIN_RAW!F779</f>
        <v/>
      </c>
      <c r="G781" s="31">
        <f>CHAIN_RAW!I779</f>
        <v/>
      </c>
      <c r="H781" s="31">
        <f>CHAIN_RAW!Q779</f>
        <v/>
      </c>
      <c r="I781" s="31">
        <f>LET(pc,F781,oc,H781,IF(OR(pc="",oc=""),"",IF(AND(pc&gt;0,oc&gt;0),"Long Buildup",IF(AND(pc&lt;0,oc&gt;0),"Short Buildup",IF(AND(pc&gt;0,oc&lt;0),"Short Covering",IF(AND(pc&lt;0,oc&lt;0),"Long Unwinding","Flat"))))))</f>
        <v/>
      </c>
      <c r="J781" s="31">
        <f>LET(pc,ABS(F781),oc,ABS(H781),IF(OR(pc="",oc=""),"",MAX(1,MIN(5,ROUND((pc*0.5+oc*0.00001)*5,0))))))</f>
        <v/>
      </c>
    </row>
    <row r="782">
      <c r="A782" s="31" t="n">
        <v>780</v>
      </c>
      <c r="B782" s="31">
        <f>CHAIN_RAW!D780</f>
        <v/>
      </c>
      <c r="C782" s="31">
        <f>CHAIN_RAW!A780</f>
        <v/>
      </c>
      <c r="D782" s="31">
        <f>CHAIN_RAW!C780</f>
        <v/>
      </c>
      <c r="E782" s="31">
        <f>CHAIN_RAW!E780</f>
        <v/>
      </c>
      <c r="F782" s="31">
        <f>CHAIN_RAW!F780</f>
        <v/>
      </c>
      <c r="G782" s="31">
        <f>CHAIN_RAW!I780</f>
        <v/>
      </c>
      <c r="H782" s="31">
        <f>CHAIN_RAW!Q780</f>
        <v/>
      </c>
      <c r="I782" s="31">
        <f>LET(pc,F782,oc,H782,IF(OR(pc="",oc=""),"",IF(AND(pc&gt;0,oc&gt;0),"Long Buildup",IF(AND(pc&lt;0,oc&gt;0),"Short Buildup",IF(AND(pc&gt;0,oc&lt;0),"Short Covering",IF(AND(pc&lt;0,oc&lt;0),"Long Unwinding","Flat"))))))</f>
        <v/>
      </c>
      <c r="J782" s="31">
        <f>LET(pc,ABS(F782),oc,ABS(H782),IF(OR(pc="",oc=""),"",MAX(1,MIN(5,ROUND((pc*0.5+oc*0.00001)*5,0))))))</f>
        <v/>
      </c>
    </row>
    <row r="783">
      <c r="A783" s="31" t="n">
        <v>781</v>
      </c>
      <c r="B783" s="31">
        <f>CHAIN_RAW!D781</f>
        <v/>
      </c>
      <c r="C783" s="31">
        <f>CHAIN_RAW!A781</f>
        <v/>
      </c>
      <c r="D783" s="31">
        <f>CHAIN_RAW!C781</f>
        <v/>
      </c>
      <c r="E783" s="31">
        <f>CHAIN_RAW!E781</f>
        <v/>
      </c>
      <c r="F783" s="31">
        <f>CHAIN_RAW!F781</f>
        <v/>
      </c>
      <c r="G783" s="31">
        <f>CHAIN_RAW!I781</f>
        <v/>
      </c>
      <c r="H783" s="31">
        <f>CHAIN_RAW!Q781</f>
        <v/>
      </c>
      <c r="I783" s="31">
        <f>LET(pc,F783,oc,H783,IF(OR(pc="",oc=""),"",IF(AND(pc&gt;0,oc&gt;0),"Long Buildup",IF(AND(pc&lt;0,oc&gt;0),"Short Buildup",IF(AND(pc&gt;0,oc&lt;0),"Short Covering",IF(AND(pc&lt;0,oc&lt;0),"Long Unwinding","Flat"))))))</f>
        <v/>
      </c>
      <c r="J783" s="31">
        <f>LET(pc,ABS(F783),oc,ABS(H783),IF(OR(pc="",oc=""),"",MAX(1,MIN(5,ROUND((pc*0.5+oc*0.00001)*5,0))))))</f>
        <v/>
      </c>
    </row>
    <row r="784">
      <c r="A784" s="31" t="n">
        <v>782</v>
      </c>
      <c r="B784" s="31">
        <f>CHAIN_RAW!D782</f>
        <v/>
      </c>
      <c r="C784" s="31">
        <f>CHAIN_RAW!A782</f>
        <v/>
      </c>
      <c r="D784" s="31">
        <f>CHAIN_RAW!C782</f>
        <v/>
      </c>
      <c r="E784" s="31">
        <f>CHAIN_RAW!E782</f>
        <v/>
      </c>
      <c r="F784" s="31">
        <f>CHAIN_RAW!F782</f>
        <v/>
      </c>
      <c r="G784" s="31">
        <f>CHAIN_RAW!I782</f>
        <v/>
      </c>
      <c r="H784" s="31">
        <f>CHAIN_RAW!Q782</f>
        <v/>
      </c>
      <c r="I784" s="31">
        <f>LET(pc,F784,oc,H784,IF(OR(pc="",oc=""),"",IF(AND(pc&gt;0,oc&gt;0),"Long Buildup",IF(AND(pc&lt;0,oc&gt;0),"Short Buildup",IF(AND(pc&gt;0,oc&lt;0),"Short Covering",IF(AND(pc&lt;0,oc&lt;0),"Long Unwinding","Flat"))))))</f>
        <v/>
      </c>
      <c r="J784" s="31">
        <f>LET(pc,ABS(F784),oc,ABS(H784),IF(OR(pc="",oc=""),"",MAX(1,MIN(5,ROUND((pc*0.5+oc*0.00001)*5,0))))))</f>
        <v/>
      </c>
    </row>
    <row r="785">
      <c r="A785" s="31" t="n">
        <v>783</v>
      </c>
      <c r="B785" s="31">
        <f>CHAIN_RAW!D783</f>
        <v/>
      </c>
      <c r="C785" s="31">
        <f>CHAIN_RAW!A783</f>
        <v/>
      </c>
      <c r="D785" s="31">
        <f>CHAIN_RAW!C783</f>
        <v/>
      </c>
      <c r="E785" s="31">
        <f>CHAIN_RAW!E783</f>
        <v/>
      </c>
      <c r="F785" s="31">
        <f>CHAIN_RAW!F783</f>
        <v/>
      </c>
      <c r="G785" s="31">
        <f>CHAIN_RAW!I783</f>
        <v/>
      </c>
      <c r="H785" s="31">
        <f>CHAIN_RAW!Q783</f>
        <v/>
      </c>
      <c r="I785" s="31">
        <f>LET(pc,F785,oc,H785,IF(OR(pc="",oc=""),"",IF(AND(pc&gt;0,oc&gt;0),"Long Buildup",IF(AND(pc&lt;0,oc&gt;0),"Short Buildup",IF(AND(pc&gt;0,oc&lt;0),"Short Covering",IF(AND(pc&lt;0,oc&lt;0),"Long Unwinding","Flat"))))))</f>
        <v/>
      </c>
      <c r="J785" s="31">
        <f>LET(pc,ABS(F785),oc,ABS(H785),IF(OR(pc="",oc=""),"",MAX(1,MIN(5,ROUND((pc*0.5+oc*0.00001)*5,0))))))</f>
        <v/>
      </c>
    </row>
    <row r="786">
      <c r="A786" s="31" t="n">
        <v>784</v>
      </c>
      <c r="B786" s="31">
        <f>CHAIN_RAW!D784</f>
        <v/>
      </c>
      <c r="C786" s="31">
        <f>CHAIN_RAW!A784</f>
        <v/>
      </c>
      <c r="D786" s="31">
        <f>CHAIN_RAW!C784</f>
        <v/>
      </c>
      <c r="E786" s="31">
        <f>CHAIN_RAW!E784</f>
        <v/>
      </c>
      <c r="F786" s="31">
        <f>CHAIN_RAW!F784</f>
        <v/>
      </c>
      <c r="G786" s="31">
        <f>CHAIN_RAW!I784</f>
        <v/>
      </c>
      <c r="H786" s="31">
        <f>CHAIN_RAW!Q784</f>
        <v/>
      </c>
      <c r="I786" s="31">
        <f>LET(pc,F786,oc,H786,IF(OR(pc="",oc=""),"",IF(AND(pc&gt;0,oc&gt;0),"Long Buildup",IF(AND(pc&lt;0,oc&gt;0),"Short Buildup",IF(AND(pc&gt;0,oc&lt;0),"Short Covering",IF(AND(pc&lt;0,oc&lt;0),"Long Unwinding","Flat"))))))</f>
        <v/>
      </c>
      <c r="J786" s="31">
        <f>LET(pc,ABS(F786),oc,ABS(H786),IF(OR(pc="",oc=""),"",MAX(1,MIN(5,ROUND((pc*0.5+oc*0.00001)*5,0))))))</f>
        <v/>
      </c>
    </row>
    <row r="787">
      <c r="A787" s="31" t="n">
        <v>785</v>
      </c>
      <c r="B787" s="31">
        <f>CHAIN_RAW!D785</f>
        <v/>
      </c>
      <c r="C787" s="31">
        <f>CHAIN_RAW!A785</f>
        <v/>
      </c>
      <c r="D787" s="31">
        <f>CHAIN_RAW!C785</f>
        <v/>
      </c>
      <c r="E787" s="31">
        <f>CHAIN_RAW!E785</f>
        <v/>
      </c>
      <c r="F787" s="31">
        <f>CHAIN_RAW!F785</f>
        <v/>
      </c>
      <c r="G787" s="31">
        <f>CHAIN_RAW!I785</f>
        <v/>
      </c>
      <c r="H787" s="31">
        <f>CHAIN_RAW!Q785</f>
        <v/>
      </c>
      <c r="I787" s="31">
        <f>LET(pc,F787,oc,H787,IF(OR(pc="",oc=""),"",IF(AND(pc&gt;0,oc&gt;0),"Long Buildup",IF(AND(pc&lt;0,oc&gt;0),"Short Buildup",IF(AND(pc&gt;0,oc&lt;0),"Short Covering",IF(AND(pc&lt;0,oc&lt;0),"Long Unwinding","Flat"))))))</f>
        <v/>
      </c>
      <c r="J787" s="31">
        <f>LET(pc,ABS(F787),oc,ABS(H787),IF(OR(pc="",oc=""),"",MAX(1,MIN(5,ROUND((pc*0.5+oc*0.00001)*5,0))))))</f>
        <v/>
      </c>
    </row>
    <row r="788">
      <c r="A788" s="31" t="n">
        <v>786</v>
      </c>
      <c r="B788" s="31">
        <f>CHAIN_RAW!D786</f>
        <v/>
      </c>
      <c r="C788" s="31">
        <f>CHAIN_RAW!A786</f>
        <v/>
      </c>
      <c r="D788" s="31">
        <f>CHAIN_RAW!C786</f>
        <v/>
      </c>
      <c r="E788" s="31">
        <f>CHAIN_RAW!E786</f>
        <v/>
      </c>
      <c r="F788" s="31">
        <f>CHAIN_RAW!F786</f>
        <v/>
      </c>
      <c r="G788" s="31">
        <f>CHAIN_RAW!I786</f>
        <v/>
      </c>
      <c r="H788" s="31">
        <f>CHAIN_RAW!Q786</f>
        <v/>
      </c>
      <c r="I788" s="31">
        <f>LET(pc,F788,oc,H788,IF(OR(pc="",oc=""),"",IF(AND(pc&gt;0,oc&gt;0),"Long Buildup",IF(AND(pc&lt;0,oc&gt;0),"Short Buildup",IF(AND(pc&gt;0,oc&lt;0),"Short Covering",IF(AND(pc&lt;0,oc&lt;0),"Long Unwinding","Flat"))))))</f>
        <v/>
      </c>
      <c r="J788" s="31">
        <f>LET(pc,ABS(F788),oc,ABS(H788),IF(OR(pc="",oc=""),"",MAX(1,MIN(5,ROUND((pc*0.5+oc*0.00001)*5,0))))))</f>
        <v/>
      </c>
    </row>
    <row r="789">
      <c r="A789" s="31" t="n">
        <v>787</v>
      </c>
      <c r="B789" s="31">
        <f>CHAIN_RAW!D787</f>
        <v/>
      </c>
      <c r="C789" s="31">
        <f>CHAIN_RAW!A787</f>
        <v/>
      </c>
      <c r="D789" s="31">
        <f>CHAIN_RAW!C787</f>
        <v/>
      </c>
      <c r="E789" s="31">
        <f>CHAIN_RAW!E787</f>
        <v/>
      </c>
      <c r="F789" s="31">
        <f>CHAIN_RAW!F787</f>
        <v/>
      </c>
      <c r="G789" s="31">
        <f>CHAIN_RAW!I787</f>
        <v/>
      </c>
      <c r="H789" s="31">
        <f>CHAIN_RAW!Q787</f>
        <v/>
      </c>
      <c r="I789" s="31">
        <f>LET(pc,F789,oc,H789,IF(OR(pc="",oc=""),"",IF(AND(pc&gt;0,oc&gt;0),"Long Buildup",IF(AND(pc&lt;0,oc&gt;0),"Short Buildup",IF(AND(pc&gt;0,oc&lt;0),"Short Covering",IF(AND(pc&lt;0,oc&lt;0),"Long Unwinding","Flat"))))))</f>
        <v/>
      </c>
      <c r="J789" s="31">
        <f>LET(pc,ABS(F789),oc,ABS(H789),IF(OR(pc="",oc=""),"",MAX(1,MIN(5,ROUND((pc*0.5+oc*0.00001)*5,0))))))</f>
        <v/>
      </c>
    </row>
    <row r="790">
      <c r="A790" s="31" t="n">
        <v>788</v>
      </c>
      <c r="B790" s="31">
        <f>CHAIN_RAW!D788</f>
        <v/>
      </c>
      <c r="C790" s="31">
        <f>CHAIN_RAW!A788</f>
        <v/>
      </c>
      <c r="D790" s="31">
        <f>CHAIN_RAW!C788</f>
        <v/>
      </c>
      <c r="E790" s="31">
        <f>CHAIN_RAW!E788</f>
        <v/>
      </c>
      <c r="F790" s="31">
        <f>CHAIN_RAW!F788</f>
        <v/>
      </c>
      <c r="G790" s="31">
        <f>CHAIN_RAW!I788</f>
        <v/>
      </c>
      <c r="H790" s="31">
        <f>CHAIN_RAW!Q788</f>
        <v/>
      </c>
      <c r="I790" s="31">
        <f>LET(pc,F790,oc,H790,IF(OR(pc="",oc=""),"",IF(AND(pc&gt;0,oc&gt;0),"Long Buildup",IF(AND(pc&lt;0,oc&gt;0),"Short Buildup",IF(AND(pc&gt;0,oc&lt;0),"Short Covering",IF(AND(pc&lt;0,oc&lt;0),"Long Unwinding","Flat"))))))</f>
        <v/>
      </c>
      <c r="J790" s="31">
        <f>LET(pc,ABS(F790),oc,ABS(H790),IF(OR(pc="",oc=""),"",MAX(1,MIN(5,ROUND((pc*0.5+oc*0.00001)*5,0))))))</f>
        <v/>
      </c>
    </row>
    <row r="791">
      <c r="A791" s="31" t="n">
        <v>789</v>
      </c>
      <c r="B791" s="31">
        <f>CHAIN_RAW!D789</f>
        <v/>
      </c>
      <c r="C791" s="31">
        <f>CHAIN_RAW!A789</f>
        <v/>
      </c>
      <c r="D791" s="31">
        <f>CHAIN_RAW!C789</f>
        <v/>
      </c>
      <c r="E791" s="31">
        <f>CHAIN_RAW!E789</f>
        <v/>
      </c>
      <c r="F791" s="31">
        <f>CHAIN_RAW!F789</f>
        <v/>
      </c>
      <c r="G791" s="31">
        <f>CHAIN_RAW!I789</f>
        <v/>
      </c>
      <c r="H791" s="31">
        <f>CHAIN_RAW!Q789</f>
        <v/>
      </c>
      <c r="I791" s="31">
        <f>LET(pc,F791,oc,H791,IF(OR(pc="",oc=""),"",IF(AND(pc&gt;0,oc&gt;0),"Long Buildup",IF(AND(pc&lt;0,oc&gt;0),"Short Buildup",IF(AND(pc&gt;0,oc&lt;0),"Short Covering",IF(AND(pc&lt;0,oc&lt;0),"Long Unwinding","Flat"))))))</f>
        <v/>
      </c>
      <c r="J791" s="31">
        <f>LET(pc,ABS(F791),oc,ABS(H791),IF(OR(pc="",oc=""),"",MAX(1,MIN(5,ROUND((pc*0.5+oc*0.00001)*5,0))))))</f>
        <v/>
      </c>
    </row>
    <row r="792">
      <c r="A792" s="31" t="n">
        <v>790</v>
      </c>
      <c r="B792" s="31">
        <f>CHAIN_RAW!D790</f>
        <v/>
      </c>
      <c r="C792" s="31">
        <f>CHAIN_RAW!A790</f>
        <v/>
      </c>
      <c r="D792" s="31">
        <f>CHAIN_RAW!C790</f>
        <v/>
      </c>
      <c r="E792" s="31">
        <f>CHAIN_RAW!E790</f>
        <v/>
      </c>
      <c r="F792" s="31">
        <f>CHAIN_RAW!F790</f>
        <v/>
      </c>
      <c r="G792" s="31">
        <f>CHAIN_RAW!I790</f>
        <v/>
      </c>
      <c r="H792" s="31">
        <f>CHAIN_RAW!Q790</f>
        <v/>
      </c>
      <c r="I792" s="31">
        <f>LET(pc,F792,oc,H792,IF(OR(pc="",oc=""),"",IF(AND(pc&gt;0,oc&gt;0),"Long Buildup",IF(AND(pc&lt;0,oc&gt;0),"Short Buildup",IF(AND(pc&gt;0,oc&lt;0),"Short Covering",IF(AND(pc&lt;0,oc&lt;0),"Long Unwinding","Flat"))))))</f>
        <v/>
      </c>
      <c r="J792" s="31">
        <f>LET(pc,ABS(F792),oc,ABS(H792),IF(OR(pc="",oc=""),"",MAX(1,MIN(5,ROUND((pc*0.5+oc*0.00001)*5,0))))))</f>
        <v/>
      </c>
    </row>
    <row r="793">
      <c r="A793" s="31" t="n">
        <v>791</v>
      </c>
      <c r="B793" s="31">
        <f>CHAIN_RAW!D791</f>
        <v/>
      </c>
      <c r="C793" s="31">
        <f>CHAIN_RAW!A791</f>
        <v/>
      </c>
      <c r="D793" s="31">
        <f>CHAIN_RAW!C791</f>
        <v/>
      </c>
      <c r="E793" s="31">
        <f>CHAIN_RAW!E791</f>
        <v/>
      </c>
      <c r="F793" s="31">
        <f>CHAIN_RAW!F791</f>
        <v/>
      </c>
      <c r="G793" s="31">
        <f>CHAIN_RAW!I791</f>
        <v/>
      </c>
      <c r="H793" s="31">
        <f>CHAIN_RAW!Q791</f>
        <v/>
      </c>
      <c r="I793" s="31">
        <f>LET(pc,F793,oc,H793,IF(OR(pc="",oc=""),"",IF(AND(pc&gt;0,oc&gt;0),"Long Buildup",IF(AND(pc&lt;0,oc&gt;0),"Short Buildup",IF(AND(pc&gt;0,oc&lt;0),"Short Covering",IF(AND(pc&lt;0,oc&lt;0),"Long Unwinding","Flat"))))))</f>
        <v/>
      </c>
      <c r="J793" s="31">
        <f>LET(pc,ABS(F793),oc,ABS(H793),IF(OR(pc="",oc=""),"",MAX(1,MIN(5,ROUND((pc*0.5+oc*0.00001)*5,0))))))</f>
        <v/>
      </c>
    </row>
    <row r="794">
      <c r="A794" s="31" t="n">
        <v>792</v>
      </c>
      <c r="B794" s="31">
        <f>CHAIN_RAW!D792</f>
        <v/>
      </c>
      <c r="C794" s="31">
        <f>CHAIN_RAW!A792</f>
        <v/>
      </c>
      <c r="D794" s="31">
        <f>CHAIN_RAW!C792</f>
        <v/>
      </c>
      <c r="E794" s="31">
        <f>CHAIN_RAW!E792</f>
        <v/>
      </c>
      <c r="F794" s="31">
        <f>CHAIN_RAW!F792</f>
        <v/>
      </c>
      <c r="G794" s="31">
        <f>CHAIN_RAW!I792</f>
        <v/>
      </c>
      <c r="H794" s="31">
        <f>CHAIN_RAW!Q792</f>
        <v/>
      </c>
      <c r="I794" s="31">
        <f>LET(pc,F794,oc,H794,IF(OR(pc="",oc=""),"",IF(AND(pc&gt;0,oc&gt;0),"Long Buildup",IF(AND(pc&lt;0,oc&gt;0),"Short Buildup",IF(AND(pc&gt;0,oc&lt;0),"Short Covering",IF(AND(pc&lt;0,oc&lt;0),"Long Unwinding","Flat"))))))</f>
        <v/>
      </c>
      <c r="J794" s="31">
        <f>LET(pc,ABS(F794),oc,ABS(H794),IF(OR(pc="",oc=""),"",MAX(1,MIN(5,ROUND((pc*0.5+oc*0.00001)*5,0))))))</f>
        <v/>
      </c>
    </row>
    <row r="795">
      <c r="A795" s="31" t="n">
        <v>793</v>
      </c>
      <c r="B795" s="31">
        <f>CHAIN_RAW!D793</f>
        <v/>
      </c>
      <c r="C795" s="31">
        <f>CHAIN_RAW!A793</f>
        <v/>
      </c>
      <c r="D795" s="31">
        <f>CHAIN_RAW!C793</f>
        <v/>
      </c>
      <c r="E795" s="31">
        <f>CHAIN_RAW!E793</f>
        <v/>
      </c>
      <c r="F795" s="31">
        <f>CHAIN_RAW!F793</f>
        <v/>
      </c>
      <c r="G795" s="31">
        <f>CHAIN_RAW!I793</f>
        <v/>
      </c>
      <c r="H795" s="31">
        <f>CHAIN_RAW!Q793</f>
        <v/>
      </c>
      <c r="I795" s="31">
        <f>LET(pc,F795,oc,H795,IF(OR(pc="",oc=""),"",IF(AND(pc&gt;0,oc&gt;0),"Long Buildup",IF(AND(pc&lt;0,oc&gt;0),"Short Buildup",IF(AND(pc&gt;0,oc&lt;0),"Short Covering",IF(AND(pc&lt;0,oc&lt;0),"Long Unwinding","Flat"))))))</f>
        <v/>
      </c>
      <c r="J795" s="31">
        <f>LET(pc,ABS(F795),oc,ABS(H795),IF(OR(pc="",oc=""),"",MAX(1,MIN(5,ROUND((pc*0.5+oc*0.00001)*5,0))))))</f>
        <v/>
      </c>
    </row>
    <row r="796">
      <c r="A796" s="31" t="n">
        <v>794</v>
      </c>
      <c r="B796" s="31">
        <f>CHAIN_RAW!D794</f>
        <v/>
      </c>
      <c r="C796" s="31">
        <f>CHAIN_RAW!A794</f>
        <v/>
      </c>
      <c r="D796" s="31">
        <f>CHAIN_RAW!C794</f>
        <v/>
      </c>
      <c r="E796" s="31">
        <f>CHAIN_RAW!E794</f>
        <v/>
      </c>
      <c r="F796" s="31">
        <f>CHAIN_RAW!F794</f>
        <v/>
      </c>
      <c r="G796" s="31">
        <f>CHAIN_RAW!I794</f>
        <v/>
      </c>
      <c r="H796" s="31">
        <f>CHAIN_RAW!Q794</f>
        <v/>
      </c>
      <c r="I796" s="31">
        <f>LET(pc,F796,oc,H796,IF(OR(pc="",oc=""),"",IF(AND(pc&gt;0,oc&gt;0),"Long Buildup",IF(AND(pc&lt;0,oc&gt;0),"Short Buildup",IF(AND(pc&gt;0,oc&lt;0),"Short Covering",IF(AND(pc&lt;0,oc&lt;0),"Long Unwinding","Flat"))))))</f>
        <v/>
      </c>
      <c r="J796" s="31">
        <f>LET(pc,ABS(F796),oc,ABS(H796),IF(OR(pc="",oc=""),"",MAX(1,MIN(5,ROUND((pc*0.5+oc*0.00001)*5,0))))))</f>
        <v/>
      </c>
    </row>
    <row r="797">
      <c r="A797" s="31" t="n">
        <v>795</v>
      </c>
      <c r="B797" s="31">
        <f>CHAIN_RAW!D795</f>
        <v/>
      </c>
      <c r="C797" s="31">
        <f>CHAIN_RAW!A795</f>
        <v/>
      </c>
      <c r="D797" s="31">
        <f>CHAIN_RAW!C795</f>
        <v/>
      </c>
      <c r="E797" s="31">
        <f>CHAIN_RAW!E795</f>
        <v/>
      </c>
      <c r="F797" s="31">
        <f>CHAIN_RAW!F795</f>
        <v/>
      </c>
      <c r="G797" s="31">
        <f>CHAIN_RAW!I795</f>
        <v/>
      </c>
      <c r="H797" s="31">
        <f>CHAIN_RAW!Q795</f>
        <v/>
      </c>
      <c r="I797" s="31">
        <f>LET(pc,F797,oc,H797,IF(OR(pc="",oc=""),"",IF(AND(pc&gt;0,oc&gt;0),"Long Buildup",IF(AND(pc&lt;0,oc&gt;0),"Short Buildup",IF(AND(pc&gt;0,oc&lt;0),"Short Covering",IF(AND(pc&lt;0,oc&lt;0),"Long Unwinding","Flat"))))))</f>
        <v/>
      </c>
      <c r="J797" s="31">
        <f>LET(pc,ABS(F797),oc,ABS(H797),IF(OR(pc="",oc=""),"",MAX(1,MIN(5,ROUND((pc*0.5+oc*0.00001)*5,0))))))</f>
        <v/>
      </c>
    </row>
    <row r="798">
      <c r="A798" s="31" t="n">
        <v>796</v>
      </c>
      <c r="B798" s="31">
        <f>CHAIN_RAW!D796</f>
        <v/>
      </c>
      <c r="C798" s="31">
        <f>CHAIN_RAW!A796</f>
        <v/>
      </c>
      <c r="D798" s="31">
        <f>CHAIN_RAW!C796</f>
        <v/>
      </c>
      <c r="E798" s="31">
        <f>CHAIN_RAW!E796</f>
        <v/>
      </c>
      <c r="F798" s="31">
        <f>CHAIN_RAW!F796</f>
        <v/>
      </c>
      <c r="G798" s="31">
        <f>CHAIN_RAW!I796</f>
        <v/>
      </c>
      <c r="H798" s="31">
        <f>CHAIN_RAW!Q796</f>
        <v/>
      </c>
      <c r="I798" s="31">
        <f>LET(pc,F798,oc,H798,IF(OR(pc="",oc=""),"",IF(AND(pc&gt;0,oc&gt;0),"Long Buildup",IF(AND(pc&lt;0,oc&gt;0),"Short Buildup",IF(AND(pc&gt;0,oc&lt;0),"Short Covering",IF(AND(pc&lt;0,oc&lt;0),"Long Unwinding","Flat"))))))</f>
        <v/>
      </c>
      <c r="J798" s="31">
        <f>LET(pc,ABS(F798),oc,ABS(H798),IF(OR(pc="",oc=""),"",MAX(1,MIN(5,ROUND((pc*0.5+oc*0.00001)*5,0))))))</f>
        <v/>
      </c>
    </row>
    <row r="799">
      <c r="A799" s="31" t="n">
        <v>797</v>
      </c>
      <c r="B799" s="31">
        <f>CHAIN_RAW!D797</f>
        <v/>
      </c>
      <c r="C799" s="31">
        <f>CHAIN_RAW!A797</f>
        <v/>
      </c>
      <c r="D799" s="31">
        <f>CHAIN_RAW!C797</f>
        <v/>
      </c>
      <c r="E799" s="31">
        <f>CHAIN_RAW!E797</f>
        <v/>
      </c>
      <c r="F799" s="31">
        <f>CHAIN_RAW!F797</f>
        <v/>
      </c>
      <c r="G799" s="31">
        <f>CHAIN_RAW!I797</f>
        <v/>
      </c>
      <c r="H799" s="31">
        <f>CHAIN_RAW!Q797</f>
        <v/>
      </c>
      <c r="I799" s="31">
        <f>LET(pc,F799,oc,H799,IF(OR(pc="",oc=""),"",IF(AND(pc&gt;0,oc&gt;0),"Long Buildup",IF(AND(pc&lt;0,oc&gt;0),"Short Buildup",IF(AND(pc&gt;0,oc&lt;0),"Short Covering",IF(AND(pc&lt;0,oc&lt;0),"Long Unwinding","Flat"))))))</f>
        <v/>
      </c>
      <c r="J799" s="31">
        <f>LET(pc,ABS(F799),oc,ABS(H799),IF(OR(pc="",oc=""),"",MAX(1,MIN(5,ROUND((pc*0.5+oc*0.00001)*5,0))))))</f>
        <v/>
      </c>
    </row>
    <row r="800">
      <c r="A800" s="31" t="n">
        <v>798</v>
      </c>
      <c r="B800" s="31">
        <f>CHAIN_RAW!D798</f>
        <v/>
      </c>
      <c r="C800" s="31">
        <f>CHAIN_RAW!A798</f>
        <v/>
      </c>
      <c r="D800" s="31">
        <f>CHAIN_RAW!C798</f>
        <v/>
      </c>
      <c r="E800" s="31">
        <f>CHAIN_RAW!E798</f>
        <v/>
      </c>
      <c r="F800" s="31">
        <f>CHAIN_RAW!F798</f>
        <v/>
      </c>
      <c r="G800" s="31">
        <f>CHAIN_RAW!I798</f>
        <v/>
      </c>
      <c r="H800" s="31">
        <f>CHAIN_RAW!Q798</f>
        <v/>
      </c>
      <c r="I800" s="31">
        <f>LET(pc,F800,oc,H800,IF(OR(pc="",oc=""),"",IF(AND(pc&gt;0,oc&gt;0),"Long Buildup",IF(AND(pc&lt;0,oc&gt;0),"Short Buildup",IF(AND(pc&gt;0,oc&lt;0),"Short Covering",IF(AND(pc&lt;0,oc&lt;0),"Long Unwinding","Flat"))))))</f>
        <v/>
      </c>
      <c r="J800" s="31">
        <f>LET(pc,ABS(F800),oc,ABS(H800),IF(OR(pc="",oc=""),"",MAX(1,MIN(5,ROUND((pc*0.5+oc*0.00001)*5,0))))))</f>
        <v/>
      </c>
    </row>
    <row r="801">
      <c r="A801" s="31" t="n">
        <v>799</v>
      </c>
      <c r="B801" s="31">
        <f>CHAIN_RAW!D799</f>
        <v/>
      </c>
      <c r="C801" s="31">
        <f>CHAIN_RAW!A799</f>
        <v/>
      </c>
      <c r="D801" s="31">
        <f>CHAIN_RAW!C799</f>
        <v/>
      </c>
      <c r="E801" s="31">
        <f>CHAIN_RAW!E799</f>
        <v/>
      </c>
      <c r="F801" s="31">
        <f>CHAIN_RAW!F799</f>
        <v/>
      </c>
      <c r="G801" s="31">
        <f>CHAIN_RAW!I799</f>
        <v/>
      </c>
      <c r="H801" s="31">
        <f>CHAIN_RAW!Q799</f>
        <v/>
      </c>
      <c r="I801" s="31">
        <f>LET(pc,F801,oc,H801,IF(OR(pc="",oc=""),"",IF(AND(pc&gt;0,oc&gt;0),"Long Buildup",IF(AND(pc&lt;0,oc&gt;0),"Short Buildup",IF(AND(pc&gt;0,oc&lt;0),"Short Covering",IF(AND(pc&lt;0,oc&lt;0),"Long Unwinding","Flat"))))))</f>
        <v/>
      </c>
      <c r="J801" s="31">
        <f>LET(pc,ABS(F801),oc,ABS(H801),IF(OR(pc="",oc=""),"",MAX(1,MIN(5,ROUND((pc*0.5+oc*0.00001)*5,0))))))</f>
        <v/>
      </c>
    </row>
    <row r="802">
      <c r="A802" s="31" t="n">
        <v>800</v>
      </c>
      <c r="B802" s="31">
        <f>CHAIN_RAW!D800</f>
        <v/>
      </c>
      <c r="C802" s="31">
        <f>CHAIN_RAW!A800</f>
        <v/>
      </c>
      <c r="D802" s="31">
        <f>CHAIN_RAW!C800</f>
        <v/>
      </c>
      <c r="E802" s="31">
        <f>CHAIN_RAW!E800</f>
        <v/>
      </c>
      <c r="F802" s="31">
        <f>CHAIN_RAW!F800</f>
        <v/>
      </c>
      <c r="G802" s="31">
        <f>CHAIN_RAW!I800</f>
        <v/>
      </c>
      <c r="H802" s="31">
        <f>CHAIN_RAW!Q800</f>
        <v/>
      </c>
      <c r="I802" s="31">
        <f>LET(pc,F802,oc,H802,IF(OR(pc="",oc=""),"",IF(AND(pc&gt;0,oc&gt;0),"Long Buildup",IF(AND(pc&lt;0,oc&gt;0),"Short Buildup",IF(AND(pc&gt;0,oc&lt;0),"Short Covering",IF(AND(pc&lt;0,oc&lt;0),"Long Unwinding","Flat"))))))</f>
        <v/>
      </c>
      <c r="J802" s="31">
        <f>LET(pc,ABS(F802),oc,ABS(H802),IF(OR(pc="",oc=""),"",MAX(1,MIN(5,ROUND((pc*0.5+oc*0.00001)*5,0))))))</f>
        <v/>
      </c>
    </row>
    <row r="803">
      <c r="A803" s="31" t="n">
        <v>801</v>
      </c>
      <c r="B803" s="31">
        <f>CHAIN_RAW!D801</f>
        <v/>
      </c>
      <c r="C803" s="31">
        <f>CHAIN_RAW!A801</f>
        <v/>
      </c>
      <c r="D803" s="31">
        <f>CHAIN_RAW!C801</f>
        <v/>
      </c>
      <c r="E803" s="31">
        <f>CHAIN_RAW!E801</f>
        <v/>
      </c>
      <c r="F803" s="31">
        <f>CHAIN_RAW!F801</f>
        <v/>
      </c>
      <c r="G803" s="31">
        <f>CHAIN_RAW!I801</f>
        <v/>
      </c>
      <c r="H803" s="31">
        <f>CHAIN_RAW!Q801</f>
        <v/>
      </c>
      <c r="I803" s="31">
        <f>LET(pc,F803,oc,H803,IF(OR(pc="",oc=""),"",IF(AND(pc&gt;0,oc&gt;0),"Long Buildup",IF(AND(pc&lt;0,oc&gt;0),"Short Buildup",IF(AND(pc&gt;0,oc&lt;0),"Short Covering",IF(AND(pc&lt;0,oc&lt;0),"Long Unwinding","Flat"))))))</f>
        <v/>
      </c>
      <c r="J803" s="31">
        <f>LET(pc,ABS(F803),oc,ABS(H803),IF(OR(pc="",oc=""),"",MAX(1,MIN(5,ROUND((pc*0.5+oc*0.00001)*5,0))))))</f>
        <v/>
      </c>
    </row>
    <row r="804">
      <c r="A804" s="31" t="n">
        <v>802</v>
      </c>
      <c r="B804" s="31">
        <f>CHAIN_RAW!D802</f>
        <v/>
      </c>
      <c r="C804" s="31">
        <f>CHAIN_RAW!A802</f>
        <v/>
      </c>
      <c r="D804" s="31">
        <f>CHAIN_RAW!C802</f>
        <v/>
      </c>
      <c r="E804" s="31">
        <f>CHAIN_RAW!E802</f>
        <v/>
      </c>
      <c r="F804" s="31">
        <f>CHAIN_RAW!F802</f>
        <v/>
      </c>
      <c r="G804" s="31">
        <f>CHAIN_RAW!I802</f>
        <v/>
      </c>
      <c r="H804" s="31">
        <f>CHAIN_RAW!Q802</f>
        <v/>
      </c>
      <c r="I804" s="31">
        <f>LET(pc,F804,oc,H804,IF(OR(pc="",oc=""),"",IF(AND(pc&gt;0,oc&gt;0),"Long Buildup",IF(AND(pc&lt;0,oc&gt;0),"Short Buildup",IF(AND(pc&gt;0,oc&lt;0),"Short Covering",IF(AND(pc&lt;0,oc&lt;0),"Long Unwinding","Flat"))))))</f>
        <v/>
      </c>
      <c r="J804" s="31">
        <f>LET(pc,ABS(F804),oc,ABS(H804),IF(OR(pc="",oc=""),"",MAX(1,MIN(5,ROUND((pc*0.5+oc*0.00001)*5,0))))))</f>
        <v/>
      </c>
    </row>
    <row r="805">
      <c r="A805" s="31" t="n">
        <v>803</v>
      </c>
      <c r="B805" s="31">
        <f>CHAIN_RAW!D803</f>
        <v/>
      </c>
      <c r="C805" s="31">
        <f>CHAIN_RAW!A803</f>
        <v/>
      </c>
      <c r="D805" s="31">
        <f>CHAIN_RAW!C803</f>
        <v/>
      </c>
      <c r="E805" s="31">
        <f>CHAIN_RAW!E803</f>
        <v/>
      </c>
      <c r="F805" s="31">
        <f>CHAIN_RAW!F803</f>
        <v/>
      </c>
      <c r="G805" s="31">
        <f>CHAIN_RAW!I803</f>
        <v/>
      </c>
      <c r="H805" s="31">
        <f>CHAIN_RAW!Q803</f>
        <v/>
      </c>
      <c r="I805" s="31">
        <f>LET(pc,F805,oc,H805,IF(OR(pc="",oc=""),"",IF(AND(pc&gt;0,oc&gt;0),"Long Buildup",IF(AND(pc&lt;0,oc&gt;0),"Short Buildup",IF(AND(pc&gt;0,oc&lt;0),"Short Covering",IF(AND(pc&lt;0,oc&lt;0),"Long Unwinding","Flat"))))))</f>
        <v/>
      </c>
      <c r="J805" s="31">
        <f>LET(pc,ABS(F805),oc,ABS(H805),IF(OR(pc="",oc=""),"",MAX(1,MIN(5,ROUND((pc*0.5+oc*0.00001)*5,0))))))</f>
        <v/>
      </c>
    </row>
    <row r="806">
      <c r="A806" s="31" t="n">
        <v>804</v>
      </c>
      <c r="B806" s="31">
        <f>CHAIN_RAW!D804</f>
        <v/>
      </c>
      <c r="C806" s="31">
        <f>CHAIN_RAW!A804</f>
        <v/>
      </c>
      <c r="D806" s="31">
        <f>CHAIN_RAW!C804</f>
        <v/>
      </c>
      <c r="E806" s="31">
        <f>CHAIN_RAW!E804</f>
        <v/>
      </c>
      <c r="F806" s="31">
        <f>CHAIN_RAW!F804</f>
        <v/>
      </c>
      <c r="G806" s="31">
        <f>CHAIN_RAW!I804</f>
        <v/>
      </c>
      <c r="H806" s="31">
        <f>CHAIN_RAW!Q804</f>
        <v/>
      </c>
      <c r="I806" s="31">
        <f>LET(pc,F806,oc,H806,IF(OR(pc="",oc=""),"",IF(AND(pc&gt;0,oc&gt;0),"Long Buildup",IF(AND(pc&lt;0,oc&gt;0),"Short Buildup",IF(AND(pc&gt;0,oc&lt;0),"Short Covering",IF(AND(pc&lt;0,oc&lt;0),"Long Unwinding","Flat"))))))</f>
        <v/>
      </c>
      <c r="J806" s="31">
        <f>LET(pc,ABS(F806),oc,ABS(H806),IF(OR(pc="",oc=""),"",MAX(1,MIN(5,ROUND((pc*0.5+oc*0.00001)*5,0))))))</f>
        <v/>
      </c>
    </row>
    <row r="807">
      <c r="A807" s="31" t="n">
        <v>805</v>
      </c>
      <c r="B807" s="31">
        <f>CHAIN_RAW!D805</f>
        <v/>
      </c>
      <c r="C807" s="31">
        <f>CHAIN_RAW!A805</f>
        <v/>
      </c>
      <c r="D807" s="31">
        <f>CHAIN_RAW!C805</f>
        <v/>
      </c>
      <c r="E807" s="31">
        <f>CHAIN_RAW!E805</f>
        <v/>
      </c>
      <c r="F807" s="31">
        <f>CHAIN_RAW!F805</f>
        <v/>
      </c>
      <c r="G807" s="31">
        <f>CHAIN_RAW!I805</f>
        <v/>
      </c>
      <c r="H807" s="31">
        <f>CHAIN_RAW!Q805</f>
        <v/>
      </c>
      <c r="I807" s="31">
        <f>LET(pc,F807,oc,H807,IF(OR(pc="",oc=""),"",IF(AND(pc&gt;0,oc&gt;0),"Long Buildup",IF(AND(pc&lt;0,oc&gt;0),"Short Buildup",IF(AND(pc&gt;0,oc&lt;0),"Short Covering",IF(AND(pc&lt;0,oc&lt;0),"Long Unwinding","Flat"))))))</f>
        <v/>
      </c>
      <c r="J807" s="31">
        <f>LET(pc,ABS(F807),oc,ABS(H807),IF(OR(pc="",oc=""),"",MAX(1,MIN(5,ROUND((pc*0.5+oc*0.00001)*5,0))))))</f>
        <v/>
      </c>
    </row>
    <row r="808">
      <c r="A808" s="31" t="n">
        <v>806</v>
      </c>
      <c r="B808" s="31">
        <f>CHAIN_RAW!D806</f>
        <v/>
      </c>
      <c r="C808" s="31">
        <f>CHAIN_RAW!A806</f>
        <v/>
      </c>
      <c r="D808" s="31">
        <f>CHAIN_RAW!C806</f>
        <v/>
      </c>
      <c r="E808" s="31">
        <f>CHAIN_RAW!E806</f>
        <v/>
      </c>
      <c r="F808" s="31">
        <f>CHAIN_RAW!F806</f>
        <v/>
      </c>
      <c r="G808" s="31">
        <f>CHAIN_RAW!I806</f>
        <v/>
      </c>
      <c r="H808" s="31">
        <f>CHAIN_RAW!Q806</f>
        <v/>
      </c>
      <c r="I808" s="31">
        <f>LET(pc,F808,oc,H808,IF(OR(pc="",oc=""),"",IF(AND(pc&gt;0,oc&gt;0),"Long Buildup",IF(AND(pc&lt;0,oc&gt;0),"Short Buildup",IF(AND(pc&gt;0,oc&lt;0),"Short Covering",IF(AND(pc&lt;0,oc&lt;0),"Long Unwinding","Flat"))))))</f>
        <v/>
      </c>
      <c r="J808" s="31">
        <f>LET(pc,ABS(F808),oc,ABS(H808),IF(OR(pc="",oc=""),"",MAX(1,MIN(5,ROUND((pc*0.5+oc*0.00001)*5,0))))))</f>
        <v/>
      </c>
    </row>
    <row r="809">
      <c r="A809" s="31" t="n">
        <v>807</v>
      </c>
      <c r="B809" s="31">
        <f>CHAIN_RAW!D807</f>
        <v/>
      </c>
      <c r="C809" s="31">
        <f>CHAIN_RAW!A807</f>
        <v/>
      </c>
      <c r="D809" s="31">
        <f>CHAIN_RAW!C807</f>
        <v/>
      </c>
      <c r="E809" s="31">
        <f>CHAIN_RAW!E807</f>
        <v/>
      </c>
      <c r="F809" s="31">
        <f>CHAIN_RAW!F807</f>
        <v/>
      </c>
      <c r="G809" s="31">
        <f>CHAIN_RAW!I807</f>
        <v/>
      </c>
      <c r="H809" s="31">
        <f>CHAIN_RAW!Q807</f>
        <v/>
      </c>
      <c r="I809" s="31">
        <f>LET(pc,F809,oc,H809,IF(OR(pc="",oc=""),"",IF(AND(pc&gt;0,oc&gt;0),"Long Buildup",IF(AND(pc&lt;0,oc&gt;0),"Short Buildup",IF(AND(pc&gt;0,oc&lt;0),"Short Covering",IF(AND(pc&lt;0,oc&lt;0),"Long Unwinding","Flat"))))))</f>
        <v/>
      </c>
      <c r="J809" s="31">
        <f>LET(pc,ABS(F809),oc,ABS(H809),IF(OR(pc="",oc=""),"",MAX(1,MIN(5,ROUND((pc*0.5+oc*0.00001)*5,0))))))</f>
        <v/>
      </c>
    </row>
    <row r="810">
      <c r="A810" s="31" t="n">
        <v>808</v>
      </c>
      <c r="B810" s="31">
        <f>CHAIN_RAW!D808</f>
        <v/>
      </c>
      <c r="C810" s="31">
        <f>CHAIN_RAW!A808</f>
        <v/>
      </c>
      <c r="D810" s="31">
        <f>CHAIN_RAW!C808</f>
        <v/>
      </c>
      <c r="E810" s="31">
        <f>CHAIN_RAW!E808</f>
        <v/>
      </c>
      <c r="F810" s="31">
        <f>CHAIN_RAW!F808</f>
        <v/>
      </c>
      <c r="G810" s="31">
        <f>CHAIN_RAW!I808</f>
        <v/>
      </c>
      <c r="H810" s="31">
        <f>CHAIN_RAW!Q808</f>
        <v/>
      </c>
      <c r="I810" s="31">
        <f>LET(pc,F810,oc,H810,IF(OR(pc="",oc=""),"",IF(AND(pc&gt;0,oc&gt;0),"Long Buildup",IF(AND(pc&lt;0,oc&gt;0),"Short Buildup",IF(AND(pc&gt;0,oc&lt;0),"Short Covering",IF(AND(pc&lt;0,oc&lt;0),"Long Unwinding","Flat"))))))</f>
        <v/>
      </c>
      <c r="J810" s="31">
        <f>LET(pc,ABS(F810),oc,ABS(H810),IF(OR(pc="",oc=""),"",MAX(1,MIN(5,ROUND((pc*0.5+oc*0.00001)*5,0))))))</f>
        <v/>
      </c>
    </row>
    <row r="811">
      <c r="A811" s="31" t="n">
        <v>809</v>
      </c>
      <c r="B811" s="31">
        <f>CHAIN_RAW!D809</f>
        <v/>
      </c>
      <c r="C811" s="31">
        <f>CHAIN_RAW!A809</f>
        <v/>
      </c>
      <c r="D811" s="31">
        <f>CHAIN_RAW!C809</f>
        <v/>
      </c>
      <c r="E811" s="31">
        <f>CHAIN_RAW!E809</f>
        <v/>
      </c>
      <c r="F811" s="31">
        <f>CHAIN_RAW!F809</f>
        <v/>
      </c>
      <c r="G811" s="31">
        <f>CHAIN_RAW!I809</f>
        <v/>
      </c>
      <c r="H811" s="31">
        <f>CHAIN_RAW!Q809</f>
        <v/>
      </c>
      <c r="I811" s="31">
        <f>LET(pc,F811,oc,H811,IF(OR(pc="",oc=""),"",IF(AND(pc&gt;0,oc&gt;0),"Long Buildup",IF(AND(pc&lt;0,oc&gt;0),"Short Buildup",IF(AND(pc&gt;0,oc&lt;0),"Short Covering",IF(AND(pc&lt;0,oc&lt;0),"Long Unwinding","Flat"))))))</f>
        <v/>
      </c>
      <c r="J811" s="31">
        <f>LET(pc,ABS(F811),oc,ABS(H811),IF(OR(pc="",oc=""),"",MAX(1,MIN(5,ROUND((pc*0.5+oc*0.00001)*5,0))))))</f>
        <v/>
      </c>
    </row>
    <row r="812">
      <c r="A812" s="31" t="n">
        <v>810</v>
      </c>
      <c r="B812" s="31">
        <f>CHAIN_RAW!D810</f>
        <v/>
      </c>
      <c r="C812" s="31">
        <f>CHAIN_RAW!A810</f>
        <v/>
      </c>
      <c r="D812" s="31">
        <f>CHAIN_RAW!C810</f>
        <v/>
      </c>
      <c r="E812" s="31">
        <f>CHAIN_RAW!E810</f>
        <v/>
      </c>
      <c r="F812" s="31">
        <f>CHAIN_RAW!F810</f>
        <v/>
      </c>
      <c r="G812" s="31">
        <f>CHAIN_RAW!I810</f>
        <v/>
      </c>
      <c r="H812" s="31">
        <f>CHAIN_RAW!Q810</f>
        <v/>
      </c>
      <c r="I812" s="31">
        <f>LET(pc,F812,oc,H812,IF(OR(pc="",oc=""),"",IF(AND(pc&gt;0,oc&gt;0),"Long Buildup",IF(AND(pc&lt;0,oc&gt;0),"Short Buildup",IF(AND(pc&gt;0,oc&lt;0),"Short Covering",IF(AND(pc&lt;0,oc&lt;0),"Long Unwinding","Flat"))))))</f>
        <v/>
      </c>
      <c r="J812" s="31">
        <f>LET(pc,ABS(F812),oc,ABS(H812),IF(OR(pc="",oc=""),"",MAX(1,MIN(5,ROUND((pc*0.5+oc*0.00001)*5,0))))))</f>
        <v/>
      </c>
    </row>
    <row r="813">
      <c r="A813" s="31" t="n">
        <v>811</v>
      </c>
      <c r="B813" s="31">
        <f>CHAIN_RAW!D811</f>
        <v/>
      </c>
      <c r="C813" s="31">
        <f>CHAIN_RAW!A811</f>
        <v/>
      </c>
      <c r="D813" s="31">
        <f>CHAIN_RAW!C811</f>
        <v/>
      </c>
      <c r="E813" s="31">
        <f>CHAIN_RAW!E811</f>
        <v/>
      </c>
      <c r="F813" s="31">
        <f>CHAIN_RAW!F811</f>
        <v/>
      </c>
      <c r="G813" s="31">
        <f>CHAIN_RAW!I811</f>
        <v/>
      </c>
      <c r="H813" s="31">
        <f>CHAIN_RAW!Q811</f>
        <v/>
      </c>
      <c r="I813" s="31">
        <f>LET(pc,F813,oc,H813,IF(OR(pc="",oc=""),"",IF(AND(pc&gt;0,oc&gt;0),"Long Buildup",IF(AND(pc&lt;0,oc&gt;0),"Short Buildup",IF(AND(pc&gt;0,oc&lt;0),"Short Covering",IF(AND(pc&lt;0,oc&lt;0),"Long Unwinding","Flat"))))))</f>
        <v/>
      </c>
      <c r="J813" s="31">
        <f>LET(pc,ABS(F813),oc,ABS(H813),IF(OR(pc="",oc=""),"",MAX(1,MIN(5,ROUND((pc*0.5+oc*0.00001)*5,0))))))</f>
        <v/>
      </c>
    </row>
    <row r="814">
      <c r="A814" s="31" t="n">
        <v>812</v>
      </c>
      <c r="B814" s="31">
        <f>CHAIN_RAW!D812</f>
        <v/>
      </c>
      <c r="C814" s="31">
        <f>CHAIN_RAW!A812</f>
        <v/>
      </c>
      <c r="D814" s="31">
        <f>CHAIN_RAW!C812</f>
        <v/>
      </c>
      <c r="E814" s="31">
        <f>CHAIN_RAW!E812</f>
        <v/>
      </c>
      <c r="F814" s="31">
        <f>CHAIN_RAW!F812</f>
        <v/>
      </c>
      <c r="G814" s="31">
        <f>CHAIN_RAW!I812</f>
        <v/>
      </c>
      <c r="H814" s="31">
        <f>CHAIN_RAW!Q812</f>
        <v/>
      </c>
      <c r="I814" s="31">
        <f>LET(pc,F814,oc,H814,IF(OR(pc="",oc=""),"",IF(AND(pc&gt;0,oc&gt;0),"Long Buildup",IF(AND(pc&lt;0,oc&gt;0),"Short Buildup",IF(AND(pc&gt;0,oc&lt;0),"Short Covering",IF(AND(pc&lt;0,oc&lt;0),"Long Unwinding","Flat"))))))</f>
        <v/>
      </c>
      <c r="J814" s="31">
        <f>LET(pc,ABS(F814),oc,ABS(H814),IF(OR(pc="",oc=""),"",MAX(1,MIN(5,ROUND((pc*0.5+oc*0.00001)*5,0))))))</f>
        <v/>
      </c>
    </row>
    <row r="815">
      <c r="A815" s="31" t="n">
        <v>813</v>
      </c>
      <c r="B815" s="31">
        <f>CHAIN_RAW!D813</f>
        <v/>
      </c>
      <c r="C815" s="31">
        <f>CHAIN_RAW!A813</f>
        <v/>
      </c>
      <c r="D815" s="31">
        <f>CHAIN_RAW!C813</f>
        <v/>
      </c>
      <c r="E815" s="31">
        <f>CHAIN_RAW!E813</f>
        <v/>
      </c>
      <c r="F815" s="31">
        <f>CHAIN_RAW!F813</f>
        <v/>
      </c>
      <c r="G815" s="31">
        <f>CHAIN_RAW!I813</f>
        <v/>
      </c>
      <c r="H815" s="31">
        <f>CHAIN_RAW!Q813</f>
        <v/>
      </c>
      <c r="I815" s="31">
        <f>LET(pc,F815,oc,H815,IF(OR(pc="",oc=""),"",IF(AND(pc&gt;0,oc&gt;0),"Long Buildup",IF(AND(pc&lt;0,oc&gt;0),"Short Buildup",IF(AND(pc&gt;0,oc&lt;0),"Short Covering",IF(AND(pc&lt;0,oc&lt;0),"Long Unwinding","Flat"))))))</f>
        <v/>
      </c>
      <c r="J815" s="31">
        <f>LET(pc,ABS(F815),oc,ABS(H815),IF(OR(pc="",oc=""),"",MAX(1,MIN(5,ROUND((pc*0.5+oc*0.00001)*5,0))))))</f>
        <v/>
      </c>
    </row>
    <row r="816">
      <c r="A816" s="31" t="n">
        <v>814</v>
      </c>
      <c r="B816" s="31">
        <f>CHAIN_RAW!D814</f>
        <v/>
      </c>
      <c r="C816" s="31">
        <f>CHAIN_RAW!A814</f>
        <v/>
      </c>
      <c r="D816" s="31">
        <f>CHAIN_RAW!C814</f>
        <v/>
      </c>
      <c r="E816" s="31">
        <f>CHAIN_RAW!E814</f>
        <v/>
      </c>
      <c r="F816" s="31">
        <f>CHAIN_RAW!F814</f>
        <v/>
      </c>
      <c r="G816" s="31">
        <f>CHAIN_RAW!I814</f>
        <v/>
      </c>
      <c r="H816" s="31">
        <f>CHAIN_RAW!Q814</f>
        <v/>
      </c>
      <c r="I816" s="31">
        <f>LET(pc,F816,oc,H816,IF(OR(pc="",oc=""),"",IF(AND(pc&gt;0,oc&gt;0),"Long Buildup",IF(AND(pc&lt;0,oc&gt;0),"Short Buildup",IF(AND(pc&gt;0,oc&lt;0),"Short Covering",IF(AND(pc&lt;0,oc&lt;0),"Long Unwinding","Flat"))))))</f>
        <v/>
      </c>
      <c r="J816" s="31">
        <f>LET(pc,ABS(F816),oc,ABS(H816),IF(OR(pc="",oc=""),"",MAX(1,MIN(5,ROUND((pc*0.5+oc*0.00001)*5,0))))))</f>
        <v/>
      </c>
    </row>
    <row r="817">
      <c r="A817" s="31" t="n">
        <v>815</v>
      </c>
      <c r="B817" s="31">
        <f>CHAIN_RAW!D815</f>
        <v/>
      </c>
      <c r="C817" s="31">
        <f>CHAIN_RAW!A815</f>
        <v/>
      </c>
      <c r="D817" s="31">
        <f>CHAIN_RAW!C815</f>
        <v/>
      </c>
      <c r="E817" s="31">
        <f>CHAIN_RAW!E815</f>
        <v/>
      </c>
      <c r="F817" s="31">
        <f>CHAIN_RAW!F815</f>
        <v/>
      </c>
      <c r="G817" s="31">
        <f>CHAIN_RAW!I815</f>
        <v/>
      </c>
      <c r="H817" s="31">
        <f>CHAIN_RAW!Q815</f>
        <v/>
      </c>
      <c r="I817" s="31">
        <f>LET(pc,F817,oc,H817,IF(OR(pc="",oc=""),"",IF(AND(pc&gt;0,oc&gt;0),"Long Buildup",IF(AND(pc&lt;0,oc&gt;0),"Short Buildup",IF(AND(pc&gt;0,oc&lt;0),"Short Covering",IF(AND(pc&lt;0,oc&lt;0),"Long Unwinding","Flat"))))))</f>
        <v/>
      </c>
      <c r="J817" s="31">
        <f>LET(pc,ABS(F817),oc,ABS(H817),IF(OR(pc="",oc=""),"",MAX(1,MIN(5,ROUND((pc*0.5+oc*0.00001)*5,0))))))</f>
        <v/>
      </c>
    </row>
    <row r="818">
      <c r="A818" s="31" t="n">
        <v>816</v>
      </c>
      <c r="B818" s="31">
        <f>CHAIN_RAW!D816</f>
        <v/>
      </c>
      <c r="C818" s="31">
        <f>CHAIN_RAW!A816</f>
        <v/>
      </c>
      <c r="D818" s="31">
        <f>CHAIN_RAW!C816</f>
        <v/>
      </c>
      <c r="E818" s="31">
        <f>CHAIN_RAW!E816</f>
        <v/>
      </c>
      <c r="F818" s="31">
        <f>CHAIN_RAW!F816</f>
        <v/>
      </c>
      <c r="G818" s="31">
        <f>CHAIN_RAW!I816</f>
        <v/>
      </c>
      <c r="H818" s="31">
        <f>CHAIN_RAW!Q816</f>
        <v/>
      </c>
      <c r="I818" s="31">
        <f>LET(pc,F818,oc,H818,IF(OR(pc="",oc=""),"",IF(AND(pc&gt;0,oc&gt;0),"Long Buildup",IF(AND(pc&lt;0,oc&gt;0),"Short Buildup",IF(AND(pc&gt;0,oc&lt;0),"Short Covering",IF(AND(pc&lt;0,oc&lt;0),"Long Unwinding","Flat"))))))</f>
        <v/>
      </c>
      <c r="J818" s="31">
        <f>LET(pc,ABS(F818),oc,ABS(H818),IF(OR(pc="",oc=""),"",MAX(1,MIN(5,ROUND((pc*0.5+oc*0.00001)*5,0))))))</f>
        <v/>
      </c>
    </row>
    <row r="819">
      <c r="A819" s="31" t="n">
        <v>817</v>
      </c>
      <c r="B819" s="31">
        <f>CHAIN_RAW!D817</f>
        <v/>
      </c>
      <c r="C819" s="31">
        <f>CHAIN_RAW!A817</f>
        <v/>
      </c>
      <c r="D819" s="31">
        <f>CHAIN_RAW!C817</f>
        <v/>
      </c>
      <c r="E819" s="31">
        <f>CHAIN_RAW!E817</f>
        <v/>
      </c>
      <c r="F819" s="31">
        <f>CHAIN_RAW!F817</f>
        <v/>
      </c>
      <c r="G819" s="31">
        <f>CHAIN_RAW!I817</f>
        <v/>
      </c>
      <c r="H819" s="31">
        <f>CHAIN_RAW!Q817</f>
        <v/>
      </c>
      <c r="I819" s="31">
        <f>LET(pc,F819,oc,H819,IF(OR(pc="",oc=""),"",IF(AND(pc&gt;0,oc&gt;0),"Long Buildup",IF(AND(pc&lt;0,oc&gt;0),"Short Buildup",IF(AND(pc&gt;0,oc&lt;0),"Short Covering",IF(AND(pc&lt;0,oc&lt;0),"Long Unwinding","Flat"))))))</f>
        <v/>
      </c>
      <c r="J819" s="31">
        <f>LET(pc,ABS(F819),oc,ABS(H819),IF(OR(pc="",oc=""),"",MAX(1,MIN(5,ROUND((pc*0.5+oc*0.00001)*5,0))))))</f>
        <v/>
      </c>
    </row>
    <row r="820">
      <c r="A820" s="31" t="n">
        <v>818</v>
      </c>
      <c r="B820" s="31">
        <f>CHAIN_RAW!D818</f>
        <v/>
      </c>
      <c r="C820" s="31">
        <f>CHAIN_RAW!A818</f>
        <v/>
      </c>
      <c r="D820" s="31">
        <f>CHAIN_RAW!C818</f>
        <v/>
      </c>
      <c r="E820" s="31">
        <f>CHAIN_RAW!E818</f>
        <v/>
      </c>
      <c r="F820" s="31">
        <f>CHAIN_RAW!F818</f>
        <v/>
      </c>
      <c r="G820" s="31">
        <f>CHAIN_RAW!I818</f>
        <v/>
      </c>
      <c r="H820" s="31">
        <f>CHAIN_RAW!Q818</f>
        <v/>
      </c>
      <c r="I820" s="31">
        <f>LET(pc,F820,oc,H820,IF(OR(pc="",oc=""),"",IF(AND(pc&gt;0,oc&gt;0),"Long Buildup",IF(AND(pc&lt;0,oc&gt;0),"Short Buildup",IF(AND(pc&gt;0,oc&lt;0),"Short Covering",IF(AND(pc&lt;0,oc&lt;0),"Long Unwinding","Flat"))))))</f>
        <v/>
      </c>
      <c r="J820" s="31">
        <f>LET(pc,ABS(F820),oc,ABS(H820),IF(OR(pc="",oc=""),"",MAX(1,MIN(5,ROUND((pc*0.5+oc*0.00001)*5,0))))))</f>
        <v/>
      </c>
    </row>
    <row r="821">
      <c r="A821" s="31" t="n">
        <v>819</v>
      </c>
      <c r="B821" s="31">
        <f>CHAIN_RAW!D819</f>
        <v/>
      </c>
      <c r="C821" s="31">
        <f>CHAIN_RAW!A819</f>
        <v/>
      </c>
      <c r="D821" s="31">
        <f>CHAIN_RAW!C819</f>
        <v/>
      </c>
      <c r="E821" s="31">
        <f>CHAIN_RAW!E819</f>
        <v/>
      </c>
      <c r="F821" s="31">
        <f>CHAIN_RAW!F819</f>
        <v/>
      </c>
      <c r="G821" s="31">
        <f>CHAIN_RAW!I819</f>
        <v/>
      </c>
      <c r="H821" s="31">
        <f>CHAIN_RAW!Q819</f>
        <v/>
      </c>
      <c r="I821" s="31">
        <f>LET(pc,F821,oc,H821,IF(OR(pc="",oc=""),"",IF(AND(pc&gt;0,oc&gt;0),"Long Buildup",IF(AND(pc&lt;0,oc&gt;0),"Short Buildup",IF(AND(pc&gt;0,oc&lt;0),"Short Covering",IF(AND(pc&lt;0,oc&lt;0),"Long Unwinding","Flat"))))))</f>
        <v/>
      </c>
      <c r="J821" s="31">
        <f>LET(pc,ABS(F821),oc,ABS(H821),IF(OR(pc="",oc=""),"",MAX(1,MIN(5,ROUND((pc*0.5+oc*0.00001)*5,0))))))</f>
        <v/>
      </c>
    </row>
    <row r="822">
      <c r="A822" s="31" t="n">
        <v>820</v>
      </c>
      <c r="B822" s="31">
        <f>CHAIN_RAW!D820</f>
        <v/>
      </c>
      <c r="C822" s="31">
        <f>CHAIN_RAW!A820</f>
        <v/>
      </c>
      <c r="D822" s="31">
        <f>CHAIN_RAW!C820</f>
        <v/>
      </c>
      <c r="E822" s="31">
        <f>CHAIN_RAW!E820</f>
        <v/>
      </c>
      <c r="F822" s="31">
        <f>CHAIN_RAW!F820</f>
        <v/>
      </c>
      <c r="G822" s="31">
        <f>CHAIN_RAW!I820</f>
        <v/>
      </c>
      <c r="H822" s="31">
        <f>CHAIN_RAW!Q820</f>
        <v/>
      </c>
      <c r="I822" s="31">
        <f>LET(pc,F822,oc,H822,IF(OR(pc="",oc=""),"",IF(AND(pc&gt;0,oc&gt;0),"Long Buildup",IF(AND(pc&lt;0,oc&gt;0),"Short Buildup",IF(AND(pc&gt;0,oc&lt;0),"Short Covering",IF(AND(pc&lt;0,oc&lt;0),"Long Unwinding","Flat"))))))</f>
        <v/>
      </c>
      <c r="J822" s="31">
        <f>LET(pc,ABS(F822),oc,ABS(H822),IF(OR(pc="",oc=""),"",MAX(1,MIN(5,ROUND((pc*0.5+oc*0.00001)*5,0))))))</f>
        <v/>
      </c>
    </row>
    <row r="823">
      <c r="A823" s="31" t="n">
        <v>821</v>
      </c>
      <c r="B823" s="31">
        <f>CHAIN_RAW!D821</f>
        <v/>
      </c>
      <c r="C823" s="31">
        <f>CHAIN_RAW!A821</f>
        <v/>
      </c>
      <c r="D823" s="31">
        <f>CHAIN_RAW!C821</f>
        <v/>
      </c>
      <c r="E823" s="31">
        <f>CHAIN_RAW!E821</f>
        <v/>
      </c>
      <c r="F823" s="31">
        <f>CHAIN_RAW!F821</f>
        <v/>
      </c>
      <c r="G823" s="31">
        <f>CHAIN_RAW!I821</f>
        <v/>
      </c>
      <c r="H823" s="31">
        <f>CHAIN_RAW!Q821</f>
        <v/>
      </c>
      <c r="I823" s="31">
        <f>LET(pc,F823,oc,H823,IF(OR(pc="",oc=""),"",IF(AND(pc&gt;0,oc&gt;0),"Long Buildup",IF(AND(pc&lt;0,oc&gt;0),"Short Buildup",IF(AND(pc&gt;0,oc&lt;0),"Short Covering",IF(AND(pc&lt;0,oc&lt;0),"Long Unwinding","Flat"))))))</f>
        <v/>
      </c>
      <c r="J823" s="31">
        <f>LET(pc,ABS(F823),oc,ABS(H823),IF(OR(pc="",oc=""),"",MAX(1,MIN(5,ROUND((pc*0.5+oc*0.00001)*5,0))))))</f>
        <v/>
      </c>
    </row>
    <row r="824">
      <c r="A824" s="31" t="n">
        <v>822</v>
      </c>
      <c r="B824" s="31">
        <f>CHAIN_RAW!D822</f>
        <v/>
      </c>
      <c r="C824" s="31">
        <f>CHAIN_RAW!A822</f>
        <v/>
      </c>
      <c r="D824" s="31">
        <f>CHAIN_RAW!C822</f>
        <v/>
      </c>
      <c r="E824" s="31">
        <f>CHAIN_RAW!E822</f>
        <v/>
      </c>
      <c r="F824" s="31">
        <f>CHAIN_RAW!F822</f>
        <v/>
      </c>
      <c r="G824" s="31">
        <f>CHAIN_RAW!I822</f>
        <v/>
      </c>
      <c r="H824" s="31">
        <f>CHAIN_RAW!Q822</f>
        <v/>
      </c>
      <c r="I824" s="31">
        <f>LET(pc,F824,oc,H824,IF(OR(pc="",oc=""),"",IF(AND(pc&gt;0,oc&gt;0),"Long Buildup",IF(AND(pc&lt;0,oc&gt;0),"Short Buildup",IF(AND(pc&gt;0,oc&lt;0),"Short Covering",IF(AND(pc&lt;0,oc&lt;0),"Long Unwinding","Flat"))))))</f>
        <v/>
      </c>
      <c r="J824" s="31">
        <f>LET(pc,ABS(F824),oc,ABS(H824),IF(OR(pc="",oc=""),"",MAX(1,MIN(5,ROUND((pc*0.5+oc*0.00001)*5,0))))))</f>
        <v/>
      </c>
    </row>
    <row r="825">
      <c r="A825" s="31" t="n">
        <v>823</v>
      </c>
      <c r="B825" s="31">
        <f>CHAIN_RAW!D823</f>
        <v/>
      </c>
      <c r="C825" s="31">
        <f>CHAIN_RAW!A823</f>
        <v/>
      </c>
      <c r="D825" s="31">
        <f>CHAIN_RAW!C823</f>
        <v/>
      </c>
      <c r="E825" s="31">
        <f>CHAIN_RAW!E823</f>
        <v/>
      </c>
      <c r="F825" s="31">
        <f>CHAIN_RAW!F823</f>
        <v/>
      </c>
      <c r="G825" s="31">
        <f>CHAIN_RAW!I823</f>
        <v/>
      </c>
      <c r="H825" s="31">
        <f>CHAIN_RAW!Q823</f>
        <v/>
      </c>
      <c r="I825" s="31">
        <f>LET(pc,F825,oc,H825,IF(OR(pc="",oc=""),"",IF(AND(pc&gt;0,oc&gt;0),"Long Buildup",IF(AND(pc&lt;0,oc&gt;0),"Short Buildup",IF(AND(pc&gt;0,oc&lt;0),"Short Covering",IF(AND(pc&lt;0,oc&lt;0),"Long Unwinding","Flat"))))))</f>
        <v/>
      </c>
      <c r="J825" s="31">
        <f>LET(pc,ABS(F825),oc,ABS(H825),IF(OR(pc="",oc=""),"",MAX(1,MIN(5,ROUND((pc*0.5+oc*0.00001)*5,0))))))</f>
        <v/>
      </c>
    </row>
    <row r="826">
      <c r="A826" s="31" t="n">
        <v>824</v>
      </c>
      <c r="B826" s="31">
        <f>CHAIN_RAW!D824</f>
        <v/>
      </c>
      <c r="C826" s="31">
        <f>CHAIN_RAW!A824</f>
        <v/>
      </c>
      <c r="D826" s="31">
        <f>CHAIN_RAW!C824</f>
        <v/>
      </c>
      <c r="E826" s="31">
        <f>CHAIN_RAW!E824</f>
        <v/>
      </c>
      <c r="F826" s="31">
        <f>CHAIN_RAW!F824</f>
        <v/>
      </c>
      <c r="G826" s="31">
        <f>CHAIN_RAW!I824</f>
        <v/>
      </c>
      <c r="H826" s="31">
        <f>CHAIN_RAW!Q824</f>
        <v/>
      </c>
      <c r="I826" s="31">
        <f>LET(pc,F826,oc,H826,IF(OR(pc="",oc=""),"",IF(AND(pc&gt;0,oc&gt;0),"Long Buildup",IF(AND(pc&lt;0,oc&gt;0),"Short Buildup",IF(AND(pc&gt;0,oc&lt;0),"Short Covering",IF(AND(pc&lt;0,oc&lt;0),"Long Unwinding","Flat"))))))</f>
        <v/>
      </c>
      <c r="J826" s="31">
        <f>LET(pc,ABS(F826),oc,ABS(H826),IF(OR(pc="",oc=""),"",MAX(1,MIN(5,ROUND((pc*0.5+oc*0.00001)*5,0))))))</f>
        <v/>
      </c>
    </row>
    <row r="827">
      <c r="A827" s="31" t="n">
        <v>825</v>
      </c>
      <c r="B827" s="31">
        <f>CHAIN_RAW!D825</f>
        <v/>
      </c>
      <c r="C827" s="31">
        <f>CHAIN_RAW!A825</f>
        <v/>
      </c>
      <c r="D827" s="31">
        <f>CHAIN_RAW!C825</f>
        <v/>
      </c>
      <c r="E827" s="31">
        <f>CHAIN_RAW!E825</f>
        <v/>
      </c>
      <c r="F827" s="31">
        <f>CHAIN_RAW!F825</f>
        <v/>
      </c>
      <c r="G827" s="31">
        <f>CHAIN_RAW!I825</f>
        <v/>
      </c>
      <c r="H827" s="31">
        <f>CHAIN_RAW!Q825</f>
        <v/>
      </c>
      <c r="I827" s="31">
        <f>LET(pc,F827,oc,H827,IF(OR(pc="",oc=""),"",IF(AND(pc&gt;0,oc&gt;0),"Long Buildup",IF(AND(pc&lt;0,oc&gt;0),"Short Buildup",IF(AND(pc&gt;0,oc&lt;0),"Short Covering",IF(AND(pc&lt;0,oc&lt;0),"Long Unwinding","Flat"))))))</f>
        <v/>
      </c>
      <c r="J827" s="31">
        <f>LET(pc,ABS(F827),oc,ABS(H827),IF(OR(pc="",oc=""),"",MAX(1,MIN(5,ROUND((pc*0.5+oc*0.00001)*5,0))))))</f>
        <v/>
      </c>
    </row>
    <row r="828">
      <c r="A828" s="31" t="n">
        <v>826</v>
      </c>
      <c r="B828" s="31">
        <f>CHAIN_RAW!D826</f>
        <v/>
      </c>
      <c r="C828" s="31">
        <f>CHAIN_RAW!A826</f>
        <v/>
      </c>
      <c r="D828" s="31">
        <f>CHAIN_RAW!C826</f>
        <v/>
      </c>
      <c r="E828" s="31">
        <f>CHAIN_RAW!E826</f>
        <v/>
      </c>
      <c r="F828" s="31">
        <f>CHAIN_RAW!F826</f>
        <v/>
      </c>
      <c r="G828" s="31">
        <f>CHAIN_RAW!I826</f>
        <v/>
      </c>
      <c r="H828" s="31">
        <f>CHAIN_RAW!Q826</f>
        <v/>
      </c>
      <c r="I828" s="31">
        <f>LET(pc,F828,oc,H828,IF(OR(pc="",oc=""),"",IF(AND(pc&gt;0,oc&gt;0),"Long Buildup",IF(AND(pc&lt;0,oc&gt;0),"Short Buildup",IF(AND(pc&gt;0,oc&lt;0),"Short Covering",IF(AND(pc&lt;0,oc&lt;0),"Long Unwinding","Flat"))))))</f>
        <v/>
      </c>
      <c r="J828" s="31">
        <f>LET(pc,ABS(F828),oc,ABS(H828),IF(OR(pc="",oc=""),"",MAX(1,MIN(5,ROUND((pc*0.5+oc*0.00001)*5,0))))))</f>
        <v/>
      </c>
    </row>
    <row r="829">
      <c r="A829" s="31" t="n">
        <v>827</v>
      </c>
      <c r="B829" s="31">
        <f>CHAIN_RAW!D827</f>
        <v/>
      </c>
      <c r="C829" s="31">
        <f>CHAIN_RAW!A827</f>
        <v/>
      </c>
      <c r="D829" s="31">
        <f>CHAIN_RAW!C827</f>
        <v/>
      </c>
      <c r="E829" s="31">
        <f>CHAIN_RAW!E827</f>
        <v/>
      </c>
      <c r="F829" s="31">
        <f>CHAIN_RAW!F827</f>
        <v/>
      </c>
      <c r="G829" s="31">
        <f>CHAIN_RAW!I827</f>
        <v/>
      </c>
      <c r="H829" s="31">
        <f>CHAIN_RAW!Q827</f>
        <v/>
      </c>
      <c r="I829" s="31">
        <f>LET(pc,F829,oc,H829,IF(OR(pc="",oc=""),"",IF(AND(pc&gt;0,oc&gt;0),"Long Buildup",IF(AND(pc&lt;0,oc&gt;0),"Short Buildup",IF(AND(pc&gt;0,oc&lt;0),"Short Covering",IF(AND(pc&lt;0,oc&lt;0),"Long Unwinding","Flat"))))))</f>
        <v/>
      </c>
      <c r="J829" s="31">
        <f>LET(pc,ABS(F829),oc,ABS(H829),IF(OR(pc="",oc=""),"",MAX(1,MIN(5,ROUND((pc*0.5+oc*0.00001)*5,0))))))</f>
        <v/>
      </c>
    </row>
    <row r="830">
      <c r="A830" s="31" t="n">
        <v>828</v>
      </c>
      <c r="B830" s="31">
        <f>CHAIN_RAW!D828</f>
        <v/>
      </c>
      <c r="C830" s="31">
        <f>CHAIN_RAW!A828</f>
        <v/>
      </c>
      <c r="D830" s="31">
        <f>CHAIN_RAW!C828</f>
        <v/>
      </c>
      <c r="E830" s="31">
        <f>CHAIN_RAW!E828</f>
        <v/>
      </c>
      <c r="F830" s="31">
        <f>CHAIN_RAW!F828</f>
        <v/>
      </c>
      <c r="G830" s="31">
        <f>CHAIN_RAW!I828</f>
        <v/>
      </c>
      <c r="H830" s="31">
        <f>CHAIN_RAW!Q828</f>
        <v/>
      </c>
      <c r="I830" s="31">
        <f>LET(pc,F830,oc,H830,IF(OR(pc="",oc=""),"",IF(AND(pc&gt;0,oc&gt;0),"Long Buildup",IF(AND(pc&lt;0,oc&gt;0),"Short Buildup",IF(AND(pc&gt;0,oc&lt;0),"Short Covering",IF(AND(pc&lt;0,oc&lt;0),"Long Unwinding","Flat"))))))</f>
        <v/>
      </c>
      <c r="J830" s="31">
        <f>LET(pc,ABS(F830),oc,ABS(H830),IF(OR(pc="",oc=""),"",MAX(1,MIN(5,ROUND((pc*0.5+oc*0.00001)*5,0))))))</f>
        <v/>
      </c>
    </row>
    <row r="831">
      <c r="A831" s="31" t="n">
        <v>829</v>
      </c>
      <c r="B831" s="31">
        <f>CHAIN_RAW!D829</f>
        <v/>
      </c>
      <c r="C831" s="31">
        <f>CHAIN_RAW!A829</f>
        <v/>
      </c>
      <c r="D831" s="31">
        <f>CHAIN_RAW!C829</f>
        <v/>
      </c>
      <c r="E831" s="31">
        <f>CHAIN_RAW!E829</f>
        <v/>
      </c>
      <c r="F831" s="31">
        <f>CHAIN_RAW!F829</f>
        <v/>
      </c>
      <c r="G831" s="31">
        <f>CHAIN_RAW!I829</f>
        <v/>
      </c>
      <c r="H831" s="31">
        <f>CHAIN_RAW!Q829</f>
        <v/>
      </c>
      <c r="I831" s="31">
        <f>LET(pc,F831,oc,H831,IF(OR(pc="",oc=""),"",IF(AND(pc&gt;0,oc&gt;0),"Long Buildup",IF(AND(pc&lt;0,oc&gt;0),"Short Buildup",IF(AND(pc&gt;0,oc&lt;0),"Short Covering",IF(AND(pc&lt;0,oc&lt;0),"Long Unwinding","Flat"))))))</f>
        <v/>
      </c>
      <c r="J831" s="31">
        <f>LET(pc,ABS(F831),oc,ABS(H831),IF(OR(pc="",oc=""),"",MAX(1,MIN(5,ROUND((pc*0.5+oc*0.00001)*5,0))))))</f>
        <v/>
      </c>
    </row>
    <row r="832">
      <c r="A832" s="31" t="n">
        <v>830</v>
      </c>
      <c r="B832" s="31">
        <f>CHAIN_RAW!D830</f>
        <v/>
      </c>
      <c r="C832" s="31">
        <f>CHAIN_RAW!A830</f>
        <v/>
      </c>
      <c r="D832" s="31">
        <f>CHAIN_RAW!C830</f>
        <v/>
      </c>
      <c r="E832" s="31">
        <f>CHAIN_RAW!E830</f>
        <v/>
      </c>
      <c r="F832" s="31">
        <f>CHAIN_RAW!F830</f>
        <v/>
      </c>
      <c r="G832" s="31">
        <f>CHAIN_RAW!I830</f>
        <v/>
      </c>
      <c r="H832" s="31">
        <f>CHAIN_RAW!Q830</f>
        <v/>
      </c>
      <c r="I832" s="31">
        <f>LET(pc,F832,oc,H832,IF(OR(pc="",oc=""),"",IF(AND(pc&gt;0,oc&gt;0),"Long Buildup",IF(AND(pc&lt;0,oc&gt;0),"Short Buildup",IF(AND(pc&gt;0,oc&lt;0),"Short Covering",IF(AND(pc&lt;0,oc&lt;0),"Long Unwinding","Flat"))))))</f>
        <v/>
      </c>
      <c r="J832" s="31">
        <f>LET(pc,ABS(F832),oc,ABS(H832),IF(OR(pc="",oc=""),"",MAX(1,MIN(5,ROUND((pc*0.5+oc*0.00001)*5,0))))))</f>
        <v/>
      </c>
    </row>
    <row r="833">
      <c r="A833" s="31" t="n">
        <v>831</v>
      </c>
      <c r="B833" s="31">
        <f>CHAIN_RAW!D831</f>
        <v/>
      </c>
      <c r="C833" s="31">
        <f>CHAIN_RAW!A831</f>
        <v/>
      </c>
      <c r="D833" s="31">
        <f>CHAIN_RAW!C831</f>
        <v/>
      </c>
      <c r="E833" s="31">
        <f>CHAIN_RAW!E831</f>
        <v/>
      </c>
      <c r="F833" s="31">
        <f>CHAIN_RAW!F831</f>
        <v/>
      </c>
      <c r="G833" s="31">
        <f>CHAIN_RAW!I831</f>
        <v/>
      </c>
      <c r="H833" s="31">
        <f>CHAIN_RAW!Q831</f>
        <v/>
      </c>
      <c r="I833" s="31">
        <f>LET(pc,F833,oc,H833,IF(OR(pc="",oc=""),"",IF(AND(pc&gt;0,oc&gt;0),"Long Buildup",IF(AND(pc&lt;0,oc&gt;0),"Short Buildup",IF(AND(pc&gt;0,oc&lt;0),"Short Covering",IF(AND(pc&lt;0,oc&lt;0),"Long Unwinding","Flat"))))))</f>
        <v/>
      </c>
      <c r="J833" s="31">
        <f>LET(pc,ABS(F833),oc,ABS(H833),IF(OR(pc="",oc=""),"",MAX(1,MIN(5,ROUND((pc*0.5+oc*0.00001)*5,0))))))</f>
        <v/>
      </c>
    </row>
    <row r="834">
      <c r="A834" s="31" t="n">
        <v>832</v>
      </c>
      <c r="B834" s="31">
        <f>CHAIN_RAW!D832</f>
        <v/>
      </c>
      <c r="C834" s="31">
        <f>CHAIN_RAW!A832</f>
        <v/>
      </c>
      <c r="D834" s="31">
        <f>CHAIN_RAW!C832</f>
        <v/>
      </c>
      <c r="E834" s="31">
        <f>CHAIN_RAW!E832</f>
        <v/>
      </c>
      <c r="F834" s="31">
        <f>CHAIN_RAW!F832</f>
        <v/>
      </c>
      <c r="G834" s="31">
        <f>CHAIN_RAW!I832</f>
        <v/>
      </c>
      <c r="H834" s="31">
        <f>CHAIN_RAW!Q832</f>
        <v/>
      </c>
      <c r="I834" s="31">
        <f>LET(pc,F834,oc,H834,IF(OR(pc="",oc=""),"",IF(AND(pc&gt;0,oc&gt;0),"Long Buildup",IF(AND(pc&lt;0,oc&gt;0),"Short Buildup",IF(AND(pc&gt;0,oc&lt;0),"Short Covering",IF(AND(pc&lt;0,oc&lt;0),"Long Unwinding","Flat"))))))</f>
        <v/>
      </c>
      <c r="J834" s="31">
        <f>LET(pc,ABS(F834),oc,ABS(H834),IF(OR(pc="",oc=""),"",MAX(1,MIN(5,ROUND((pc*0.5+oc*0.00001)*5,0))))))</f>
        <v/>
      </c>
    </row>
    <row r="835">
      <c r="A835" s="31" t="n">
        <v>833</v>
      </c>
      <c r="B835" s="31">
        <f>CHAIN_RAW!D833</f>
        <v/>
      </c>
      <c r="C835" s="31">
        <f>CHAIN_RAW!A833</f>
        <v/>
      </c>
      <c r="D835" s="31">
        <f>CHAIN_RAW!C833</f>
        <v/>
      </c>
      <c r="E835" s="31">
        <f>CHAIN_RAW!E833</f>
        <v/>
      </c>
      <c r="F835" s="31">
        <f>CHAIN_RAW!F833</f>
        <v/>
      </c>
      <c r="G835" s="31">
        <f>CHAIN_RAW!I833</f>
        <v/>
      </c>
      <c r="H835" s="31">
        <f>CHAIN_RAW!Q833</f>
        <v/>
      </c>
      <c r="I835" s="31">
        <f>LET(pc,F835,oc,H835,IF(OR(pc="",oc=""),"",IF(AND(pc&gt;0,oc&gt;0),"Long Buildup",IF(AND(pc&lt;0,oc&gt;0),"Short Buildup",IF(AND(pc&gt;0,oc&lt;0),"Short Covering",IF(AND(pc&lt;0,oc&lt;0),"Long Unwinding","Flat"))))))</f>
        <v/>
      </c>
      <c r="J835" s="31">
        <f>LET(pc,ABS(F835),oc,ABS(H835),IF(OR(pc="",oc=""),"",MAX(1,MIN(5,ROUND((pc*0.5+oc*0.00001)*5,0))))))</f>
        <v/>
      </c>
    </row>
    <row r="836">
      <c r="A836" s="31" t="n">
        <v>834</v>
      </c>
      <c r="B836" s="31">
        <f>CHAIN_RAW!D834</f>
        <v/>
      </c>
      <c r="C836" s="31">
        <f>CHAIN_RAW!A834</f>
        <v/>
      </c>
      <c r="D836" s="31">
        <f>CHAIN_RAW!C834</f>
        <v/>
      </c>
      <c r="E836" s="31">
        <f>CHAIN_RAW!E834</f>
        <v/>
      </c>
      <c r="F836" s="31">
        <f>CHAIN_RAW!F834</f>
        <v/>
      </c>
      <c r="G836" s="31">
        <f>CHAIN_RAW!I834</f>
        <v/>
      </c>
      <c r="H836" s="31">
        <f>CHAIN_RAW!Q834</f>
        <v/>
      </c>
      <c r="I836" s="31">
        <f>LET(pc,F836,oc,H836,IF(OR(pc="",oc=""),"",IF(AND(pc&gt;0,oc&gt;0),"Long Buildup",IF(AND(pc&lt;0,oc&gt;0),"Short Buildup",IF(AND(pc&gt;0,oc&lt;0),"Short Covering",IF(AND(pc&lt;0,oc&lt;0),"Long Unwinding","Flat"))))))</f>
        <v/>
      </c>
      <c r="J836" s="31">
        <f>LET(pc,ABS(F836),oc,ABS(H836),IF(OR(pc="",oc=""),"",MAX(1,MIN(5,ROUND((pc*0.5+oc*0.00001)*5,0))))))</f>
        <v/>
      </c>
    </row>
    <row r="837">
      <c r="A837" s="31" t="n">
        <v>835</v>
      </c>
      <c r="B837" s="31">
        <f>CHAIN_RAW!D835</f>
        <v/>
      </c>
      <c r="C837" s="31">
        <f>CHAIN_RAW!A835</f>
        <v/>
      </c>
      <c r="D837" s="31">
        <f>CHAIN_RAW!C835</f>
        <v/>
      </c>
      <c r="E837" s="31">
        <f>CHAIN_RAW!E835</f>
        <v/>
      </c>
      <c r="F837" s="31">
        <f>CHAIN_RAW!F835</f>
        <v/>
      </c>
      <c r="G837" s="31">
        <f>CHAIN_RAW!I835</f>
        <v/>
      </c>
      <c r="H837" s="31">
        <f>CHAIN_RAW!Q835</f>
        <v/>
      </c>
      <c r="I837" s="31">
        <f>LET(pc,F837,oc,H837,IF(OR(pc="",oc=""),"",IF(AND(pc&gt;0,oc&gt;0),"Long Buildup",IF(AND(pc&lt;0,oc&gt;0),"Short Buildup",IF(AND(pc&gt;0,oc&lt;0),"Short Covering",IF(AND(pc&lt;0,oc&lt;0),"Long Unwinding","Flat"))))))</f>
        <v/>
      </c>
      <c r="J837" s="31">
        <f>LET(pc,ABS(F837),oc,ABS(H837),IF(OR(pc="",oc=""),"",MAX(1,MIN(5,ROUND((pc*0.5+oc*0.00001)*5,0))))))</f>
        <v/>
      </c>
    </row>
    <row r="838">
      <c r="A838" s="31" t="n">
        <v>836</v>
      </c>
      <c r="B838" s="31">
        <f>CHAIN_RAW!D836</f>
        <v/>
      </c>
      <c r="C838" s="31">
        <f>CHAIN_RAW!A836</f>
        <v/>
      </c>
      <c r="D838" s="31">
        <f>CHAIN_RAW!C836</f>
        <v/>
      </c>
      <c r="E838" s="31">
        <f>CHAIN_RAW!E836</f>
        <v/>
      </c>
      <c r="F838" s="31">
        <f>CHAIN_RAW!F836</f>
        <v/>
      </c>
      <c r="G838" s="31">
        <f>CHAIN_RAW!I836</f>
        <v/>
      </c>
      <c r="H838" s="31">
        <f>CHAIN_RAW!Q836</f>
        <v/>
      </c>
      <c r="I838" s="31">
        <f>LET(pc,F838,oc,H838,IF(OR(pc="",oc=""),"",IF(AND(pc&gt;0,oc&gt;0),"Long Buildup",IF(AND(pc&lt;0,oc&gt;0),"Short Buildup",IF(AND(pc&gt;0,oc&lt;0),"Short Covering",IF(AND(pc&lt;0,oc&lt;0),"Long Unwinding","Flat"))))))</f>
        <v/>
      </c>
      <c r="J838" s="31">
        <f>LET(pc,ABS(F838),oc,ABS(H838),IF(OR(pc="",oc=""),"",MAX(1,MIN(5,ROUND((pc*0.5+oc*0.00001)*5,0))))))</f>
        <v/>
      </c>
    </row>
    <row r="839">
      <c r="A839" s="31" t="n">
        <v>837</v>
      </c>
      <c r="B839" s="31">
        <f>CHAIN_RAW!D837</f>
        <v/>
      </c>
      <c r="C839" s="31">
        <f>CHAIN_RAW!A837</f>
        <v/>
      </c>
      <c r="D839" s="31">
        <f>CHAIN_RAW!C837</f>
        <v/>
      </c>
      <c r="E839" s="31">
        <f>CHAIN_RAW!E837</f>
        <v/>
      </c>
      <c r="F839" s="31">
        <f>CHAIN_RAW!F837</f>
        <v/>
      </c>
      <c r="G839" s="31">
        <f>CHAIN_RAW!I837</f>
        <v/>
      </c>
      <c r="H839" s="31">
        <f>CHAIN_RAW!Q837</f>
        <v/>
      </c>
      <c r="I839" s="31">
        <f>LET(pc,F839,oc,H839,IF(OR(pc="",oc=""),"",IF(AND(pc&gt;0,oc&gt;0),"Long Buildup",IF(AND(pc&lt;0,oc&gt;0),"Short Buildup",IF(AND(pc&gt;0,oc&lt;0),"Short Covering",IF(AND(pc&lt;0,oc&lt;0),"Long Unwinding","Flat"))))))</f>
        <v/>
      </c>
      <c r="J839" s="31">
        <f>LET(pc,ABS(F839),oc,ABS(H839),IF(OR(pc="",oc=""),"",MAX(1,MIN(5,ROUND((pc*0.5+oc*0.00001)*5,0))))))</f>
        <v/>
      </c>
    </row>
    <row r="840">
      <c r="A840" s="31" t="n">
        <v>838</v>
      </c>
      <c r="B840" s="31">
        <f>CHAIN_RAW!D838</f>
        <v/>
      </c>
      <c r="C840" s="31">
        <f>CHAIN_RAW!A838</f>
        <v/>
      </c>
      <c r="D840" s="31">
        <f>CHAIN_RAW!C838</f>
        <v/>
      </c>
      <c r="E840" s="31">
        <f>CHAIN_RAW!E838</f>
        <v/>
      </c>
      <c r="F840" s="31">
        <f>CHAIN_RAW!F838</f>
        <v/>
      </c>
      <c r="G840" s="31">
        <f>CHAIN_RAW!I838</f>
        <v/>
      </c>
      <c r="H840" s="31">
        <f>CHAIN_RAW!Q838</f>
        <v/>
      </c>
      <c r="I840" s="31">
        <f>LET(pc,F840,oc,H840,IF(OR(pc="",oc=""),"",IF(AND(pc&gt;0,oc&gt;0),"Long Buildup",IF(AND(pc&lt;0,oc&gt;0),"Short Buildup",IF(AND(pc&gt;0,oc&lt;0),"Short Covering",IF(AND(pc&lt;0,oc&lt;0),"Long Unwinding","Flat"))))))</f>
        <v/>
      </c>
      <c r="J840" s="31">
        <f>LET(pc,ABS(F840),oc,ABS(H840),IF(OR(pc="",oc=""),"",MAX(1,MIN(5,ROUND((pc*0.5+oc*0.00001)*5,0))))))</f>
        <v/>
      </c>
    </row>
    <row r="841">
      <c r="A841" s="31" t="n">
        <v>839</v>
      </c>
      <c r="B841" s="31">
        <f>CHAIN_RAW!D839</f>
        <v/>
      </c>
      <c r="C841" s="31">
        <f>CHAIN_RAW!A839</f>
        <v/>
      </c>
      <c r="D841" s="31">
        <f>CHAIN_RAW!C839</f>
        <v/>
      </c>
      <c r="E841" s="31">
        <f>CHAIN_RAW!E839</f>
        <v/>
      </c>
      <c r="F841" s="31">
        <f>CHAIN_RAW!F839</f>
        <v/>
      </c>
      <c r="G841" s="31">
        <f>CHAIN_RAW!I839</f>
        <v/>
      </c>
      <c r="H841" s="31">
        <f>CHAIN_RAW!Q839</f>
        <v/>
      </c>
      <c r="I841" s="31">
        <f>LET(pc,F841,oc,H841,IF(OR(pc="",oc=""),"",IF(AND(pc&gt;0,oc&gt;0),"Long Buildup",IF(AND(pc&lt;0,oc&gt;0),"Short Buildup",IF(AND(pc&gt;0,oc&lt;0),"Short Covering",IF(AND(pc&lt;0,oc&lt;0),"Long Unwinding","Flat"))))))</f>
        <v/>
      </c>
      <c r="J841" s="31">
        <f>LET(pc,ABS(F841),oc,ABS(H841),IF(OR(pc="",oc=""),"",MAX(1,MIN(5,ROUND((pc*0.5+oc*0.00001)*5,0))))))</f>
        <v/>
      </c>
    </row>
    <row r="842">
      <c r="A842" s="31" t="n">
        <v>840</v>
      </c>
      <c r="B842" s="31">
        <f>CHAIN_RAW!D840</f>
        <v/>
      </c>
      <c r="C842" s="31">
        <f>CHAIN_RAW!A840</f>
        <v/>
      </c>
      <c r="D842" s="31">
        <f>CHAIN_RAW!C840</f>
        <v/>
      </c>
      <c r="E842" s="31">
        <f>CHAIN_RAW!E840</f>
        <v/>
      </c>
      <c r="F842" s="31">
        <f>CHAIN_RAW!F840</f>
        <v/>
      </c>
      <c r="G842" s="31">
        <f>CHAIN_RAW!I840</f>
        <v/>
      </c>
      <c r="H842" s="31">
        <f>CHAIN_RAW!Q840</f>
        <v/>
      </c>
      <c r="I842" s="31">
        <f>LET(pc,F842,oc,H842,IF(OR(pc="",oc=""),"",IF(AND(pc&gt;0,oc&gt;0),"Long Buildup",IF(AND(pc&lt;0,oc&gt;0),"Short Buildup",IF(AND(pc&gt;0,oc&lt;0),"Short Covering",IF(AND(pc&lt;0,oc&lt;0),"Long Unwinding","Flat"))))))</f>
        <v/>
      </c>
      <c r="J842" s="31">
        <f>LET(pc,ABS(F842),oc,ABS(H842),IF(OR(pc="",oc=""),"",MAX(1,MIN(5,ROUND((pc*0.5+oc*0.00001)*5,0))))))</f>
        <v/>
      </c>
    </row>
    <row r="843">
      <c r="A843" s="31" t="n">
        <v>841</v>
      </c>
      <c r="B843" s="31">
        <f>CHAIN_RAW!D841</f>
        <v/>
      </c>
      <c r="C843" s="31">
        <f>CHAIN_RAW!A841</f>
        <v/>
      </c>
      <c r="D843" s="31">
        <f>CHAIN_RAW!C841</f>
        <v/>
      </c>
      <c r="E843" s="31">
        <f>CHAIN_RAW!E841</f>
        <v/>
      </c>
      <c r="F843" s="31">
        <f>CHAIN_RAW!F841</f>
        <v/>
      </c>
      <c r="G843" s="31">
        <f>CHAIN_RAW!I841</f>
        <v/>
      </c>
      <c r="H843" s="31">
        <f>CHAIN_RAW!Q841</f>
        <v/>
      </c>
      <c r="I843" s="31">
        <f>LET(pc,F843,oc,H843,IF(OR(pc="",oc=""),"",IF(AND(pc&gt;0,oc&gt;0),"Long Buildup",IF(AND(pc&lt;0,oc&gt;0),"Short Buildup",IF(AND(pc&gt;0,oc&lt;0),"Short Covering",IF(AND(pc&lt;0,oc&lt;0),"Long Unwinding","Flat"))))))</f>
        <v/>
      </c>
      <c r="J843" s="31">
        <f>LET(pc,ABS(F843),oc,ABS(H843),IF(OR(pc="",oc=""),"",MAX(1,MIN(5,ROUND((pc*0.5+oc*0.00001)*5,0))))))</f>
        <v/>
      </c>
    </row>
    <row r="844">
      <c r="A844" s="31" t="n">
        <v>842</v>
      </c>
      <c r="B844" s="31">
        <f>CHAIN_RAW!D842</f>
        <v/>
      </c>
      <c r="C844" s="31">
        <f>CHAIN_RAW!A842</f>
        <v/>
      </c>
      <c r="D844" s="31">
        <f>CHAIN_RAW!C842</f>
        <v/>
      </c>
      <c r="E844" s="31">
        <f>CHAIN_RAW!E842</f>
        <v/>
      </c>
      <c r="F844" s="31">
        <f>CHAIN_RAW!F842</f>
        <v/>
      </c>
      <c r="G844" s="31">
        <f>CHAIN_RAW!I842</f>
        <v/>
      </c>
      <c r="H844" s="31">
        <f>CHAIN_RAW!Q842</f>
        <v/>
      </c>
      <c r="I844" s="31">
        <f>LET(pc,F844,oc,H844,IF(OR(pc="",oc=""),"",IF(AND(pc&gt;0,oc&gt;0),"Long Buildup",IF(AND(pc&lt;0,oc&gt;0),"Short Buildup",IF(AND(pc&gt;0,oc&lt;0),"Short Covering",IF(AND(pc&lt;0,oc&lt;0),"Long Unwinding","Flat"))))))</f>
        <v/>
      </c>
      <c r="J844" s="31">
        <f>LET(pc,ABS(F844),oc,ABS(H844),IF(OR(pc="",oc=""),"",MAX(1,MIN(5,ROUND((pc*0.5+oc*0.00001)*5,0))))))</f>
        <v/>
      </c>
    </row>
    <row r="845">
      <c r="A845" s="31" t="n">
        <v>843</v>
      </c>
      <c r="B845" s="31">
        <f>CHAIN_RAW!D843</f>
        <v/>
      </c>
      <c r="C845" s="31">
        <f>CHAIN_RAW!A843</f>
        <v/>
      </c>
      <c r="D845" s="31">
        <f>CHAIN_RAW!C843</f>
        <v/>
      </c>
      <c r="E845" s="31">
        <f>CHAIN_RAW!E843</f>
        <v/>
      </c>
      <c r="F845" s="31">
        <f>CHAIN_RAW!F843</f>
        <v/>
      </c>
      <c r="G845" s="31">
        <f>CHAIN_RAW!I843</f>
        <v/>
      </c>
      <c r="H845" s="31">
        <f>CHAIN_RAW!Q843</f>
        <v/>
      </c>
      <c r="I845" s="31">
        <f>LET(pc,F845,oc,H845,IF(OR(pc="",oc=""),"",IF(AND(pc&gt;0,oc&gt;0),"Long Buildup",IF(AND(pc&lt;0,oc&gt;0),"Short Buildup",IF(AND(pc&gt;0,oc&lt;0),"Short Covering",IF(AND(pc&lt;0,oc&lt;0),"Long Unwinding","Flat"))))))</f>
        <v/>
      </c>
      <c r="J845" s="31">
        <f>LET(pc,ABS(F845),oc,ABS(H845),IF(OR(pc="",oc=""),"",MAX(1,MIN(5,ROUND((pc*0.5+oc*0.00001)*5,0))))))</f>
        <v/>
      </c>
    </row>
    <row r="846">
      <c r="A846" s="31" t="n">
        <v>844</v>
      </c>
      <c r="B846" s="31">
        <f>CHAIN_RAW!D844</f>
        <v/>
      </c>
      <c r="C846" s="31">
        <f>CHAIN_RAW!A844</f>
        <v/>
      </c>
      <c r="D846" s="31">
        <f>CHAIN_RAW!C844</f>
        <v/>
      </c>
      <c r="E846" s="31">
        <f>CHAIN_RAW!E844</f>
        <v/>
      </c>
      <c r="F846" s="31">
        <f>CHAIN_RAW!F844</f>
        <v/>
      </c>
      <c r="G846" s="31">
        <f>CHAIN_RAW!I844</f>
        <v/>
      </c>
      <c r="H846" s="31">
        <f>CHAIN_RAW!Q844</f>
        <v/>
      </c>
      <c r="I846" s="31">
        <f>LET(pc,F846,oc,H846,IF(OR(pc="",oc=""),"",IF(AND(pc&gt;0,oc&gt;0),"Long Buildup",IF(AND(pc&lt;0,oc&gt;0),"Short Buildup",IF(AND(pc&gt;0,oc&lt;0),"Short Covering",IF(AND(pc&lt;0,oc&lt;0),"Long Unwinding","Flat"))))))</f>
        <v/>
      </c>
      <c r="J846" s="31">
        <f>LET(pc,ABS(F846),oc,ABS(H846),IF(OR(pc="",oc=""),"",MAX(1,MIN(5,ROUND((pc*0.5+oc*0.00001)*5,0))))))</f>
        <v/>
      </c>
    </row>
    <row r="847">
      <c r="A847" s="31" t="n">
        <v>845</v>
      </c>
      <c r="B847" s="31">
        <f>CHAIN_RAW!D845</f>
        <v/>
      </c>
      <c r="C847" s="31">
        <f>CHAIN_RAW!A845</f>
        <v/>
      </c>
      <c r="D847" s="31">
        <f>CHAIN_RAW!C845</f>
        <v/>
      </c>
      <c r="E847" s="31">
        <f>CHAIN_RAW!E845</f>
        <v/>
      </c>
      <c r="F847" s="31">
        <f>CHAIN_RAW!F845</f>
        <v/>
      </c>
      <c r="G847" s="31">
        <f>CHAIN_RAW!I845</f>
        <v/>
      </c>
      <c r="H847" s="31">
        <f>CHAIN_RAW!Q845</f>
        <v/>
      </c>
      <c r="I847" s="31">
        <f>LET(pc,F847,oc,H847,IF(OR(pc="",oc=""),"",IF(AND(pc&gt;0,oc&gt;0),"Long Buildup",IF(AND(pc&lt;0,oc&gt;0),"Short Buildup",IF(AND(pc&gt;0,oc&lt;0),"Short Covering",IF(AND(pc&lt;0,oc&lt;0),"Long Unwinding","Flat"))))))</f>
        <v/>
      </c>
      <c r="J847" s="31">
        <f>LET(pc,ABS(F847),oc,ABS(H847),IF(OR(pc="",oc=""),"",MAX(1,MIN(5,ROUND((pc*0.5+oc*0.00001)*5,0))))))</f>
        <v/>
      </c>
    </row>
    <row r="848">
      <c r="A848" s="31" t="n">
        <v>846</v>
      </c>
      <c r="B848" s="31">
        <f>CHAIN_RAW!D846</f>
        <v/>
      </c>
      <c r="C848" s="31">
        <f>CHAIN_RAW!A846</f>
        <v/>
      </c>
      <c r="D848" s="31">
        <f>CHAIN_RAW!C846</f>
        <v/>
      </c>
      <c r="E848" s="31">
        <f>CHAIN_RAW!E846</f>
        <v/>
      </c>
      <c r="F848" s="31">
        <f>CHAIN_RAW!F846</f>
        <v/>
      </c>
      <c r="G848" s="31">
        <f>CHAIN_RAW!I846</f>
        <v/>
      </c>
      <c r="H848" s="31">
        <f>CHAIN_RAW!Q846</f>
        <v/>
      </c>
      <c r="I848" s="31">
        <f>LET(pc,F848,oc,H848,IF(OR(pc="",oc=""),"",IF(AND(pc&gt;0,oc&gt;0),"Long Buildup",IF(AND(pc&lt;0,oc&gt;0),"Short Buildup",IF(AND(pc&gt;0,oc&lt;0),"Short Covering",IF(AND(pc&lt;0,oc&lt;0),"Long Unwinding","Flat"))))))</f>
        <v/>
      </c>
      <c r="J848" s="31">
        <f>LET(pc,ABS(F848),oc,ABS(H848),IF(OR(pc="",oc=""),"",MAX(1,MIN(5,ROUND((pc*0.5+oc*0.00001)*5,0))))))</f>
        <v/>
      </c>
    </row>
    <row r="849">
      <c r="A849" s="31" t="n">
        <v>847</v>
      </c>
      <c r="B849" s="31">
        <f>CHAIN_RAW!D847</f>
        <v/>
      </c>
      <c r="C849" s="31">
        <f>CHAIN_RAW!A847</f>
        <v/>
      </c>
      <c r="D849" s="31">
        <f>CHAIN_RAW!C847</f>
        <v/>
      </c>
      <c r="E849" s="31">
        <f>CHAIN_RAW!E847</f>
        <v/>
      </c>
      <c r="F849" s="31">
        <f>CHAIN_RAW!F847</f>
        <v/>
      </c>
      <c r="G849" s="31">
        <f>CHAIN_RAW!I847</f>
        <v/>
      </c>
      <c r="H849" s="31">
        <f>CHAIN_RAW!Q847</f>
        <v/>
      </c>
      <c r="I849" s="31">
        <f>LET(pc,F849,oc,H849,IF(OR(pc="",oc=""),"",IF(AND(pc&gt;0,oc&gt;0),"Long Buildup",IF(AND(pc&lt;0,oc&gt;0),"Short Buildup",IF(AND(pc&gt;0,oc&lt;0),"Short Covering",IF(AND(pc&lt;0,oc&lt;0),"Long Unwinding","Flat"))))))</f>
        <v/>
      </c>
      <c r="J849" s="31">
        <f>LET(pc,ABS(F849),oc,ABS(H849),IF(OR(pc="",oc=""),"",MAX(1,MIN(5,ROUND((pc*0.5+oc*0.00001)*5,0))))))</f>
        <v/>
      </c>
    </row>
    <row r="850">
      <c r="A850" s="31" t="n">
        <v>848</v>
      </c>
      <c r="B850" s="31">
        <f>CHAIN_RAW!D848</f>
        <v/>
      </c>
      <c r="C850" s="31">
        <f>CHAIN_RAW!A848</f>
        <v/>
      </c>
      <c r="D850" s="31">
        <f>CHAIN_RAW!C848</f>
        <v/>
      </c>
      <c r="E850" s="31">
        <f>CHAIN_RAW!E848</f>
        <v/>
      </c>
      <c r="F850" s="31">
        <f>CHAIN_RAW!F848</f>
        <v/>
      </c>
      <c r="G850" s="31">
        <f>CHAIN_RAW!I848</f>
        <v/>
      </c>
      <c r="H850" s="31">
        <f>CHAIN_RAW!Q848</f>
        <v/>
      </c>
      <c r="I850" s="31">
        <f>LET(pc,F850,oc,H850,IF(OR(pc="",oc=""),"",IF(AND(pc&gt;0,oc&gt;0),"Long Buildup",IF(AND(pc&lt;0,oc&gt;0),"Short Buildup",IF(AND(pc&gt;0,oc&lt;0),"Short Covering",IF(AND(pc&lt;0,oc&lt;0),"Long Unwinding","Flat"))))))</f>
        <v/>
      </c>
      <c r="J850" s="31">
        <f>LET(pc,ABS(F850),oc,ABS(H850),IF(OR(pc="",oc=""),"",MAX(1,MIN(5,ROUND((pc*0.5+oc*0.00001)*5,0))))))</f>
        <v/>
      </c>
    </row>
    <row r="851">
      <c r="A851" s="31" t="n">
        <v>849</v>
      </c>
      <c r="B851" s="31">
        <f>CHAIN_RAW!D849</f>
        <v/>
      </c>
      <c r="C851" s="31">
        <f>CHAIN_RAW!A849</f>
        <v/>
      </c>
      <c r="D851" s="31">
        <f>CHAIN_RAW!C849</f>
        <v/>
      </c>
      <c r="E851" s="31">
        <f>CHAIN_RAW!E849</f>
        <v/>
      </c>
      <c r="F851" s="31">
        <f>CHAIN_RAW!F849</f>
        <v/>
      </c>
      <c r="G851" s="31">
        <f>CHAIN_RAW!I849</f>
        <v/>
      </c>
      <c r="H851" s="31">
        <f>CHAIN_RAW!Q849</f>
        <v/>
      </c>
      <c r="I851" s="31">
        <f>LET(pc,F851,oc,H851,IF(OR(pc="",oc=""),"",IF(AND(pc&gt;0,oc&gt;0),"Long Buildup",IF(AND(pc&lt;0,oc&gt;0),"Short Buildup",IF(AND(pc&gt;0,oc&lt;0),"Short Covering",IF(AND(pc&lt;0,oc&lt;0),"Long Unwinding","Flat"))))))</f>
        <v/>
      </c>
      <c r="J851" s="31">
        <f>LET(pc,ABS(F851),oc,ABS(H851),IF(OR(pc="",oc=""),"",MAX(1,MIN(5,ROUND((pc*0.5+oc*0.00001)*5,0))))))</f>
        <v/>
      </c>
    </row>
    <row r="852">
      <c r="A852" s="31" t="n">
        <v>850</v>
      </c>
      <c r="B852" s="31">
        <f>CHAIN_RAW!D850</f>
        <v/>
      </c>
      <c r="C852" s="31">
        <f>CHAIN_RAW!A850</f>
        <v/>
      </c>
      <c r="D852" s="31">
        <f>CHAIN_RAW!C850</f>
        <v/>
      </c>
      <c r="E852" s="31">
        <f>CHAIN_RAW!E850</f>
        <v/>
      </c>
      <c r="F852" s="31">
        <f>CHAIN_RAW!F850</f>
        <v/>
      </c>
      <c r="G852" s="31">
        <f>CHAIN_RAW!I850</f>
        <v/>
      </c>
      <c r="H852" s="31">
        <f>CHAIN_RAW!Q850</f>
        <v/>
      </c>
      <c r="I852" s="31">
        <f>LET(pc,F852,oc,H852,IF(OR(pc="",oc=""),"",IF(AND(pc&gt;0,oc&gt;0),"Long Buildup",IF(AND(pc&lt;0,oc&gt;0),"Short Buildup",IF(AND(pc&gt;0,oc&lt;0),"Short Covering",IF(AND(pc&lt;0,oc&lt;0),"Long Unwinding","Flat"))))))</f>
        <v/>
      </c>
      <c r="J852" s="31">
        <f>LET(pc,ABS(F852),oc,ABS(H852),IF(OR(pc="",oc=""),"",MAX(1,MIN(5,ROUND((pc*0.5+oc*0.00001)*5,0))))))</f>
        <v/>
      </c>
    </row>
    <row r="853">
      <c r="A853" s="31" t="n">
        <v>851</v>
      </c>
      <c r="B853" s="31">
        <f>CHAIN_RAW!D851</f>
        <v/>
      </c>
      <c r="C853" s="31">
        <f>CHAIN_RAW!A851</f>
        <v/>
      </c>
      <c r="D853" s="31">
        <f>CHAIN_RAW!C851</f>
        <v/>
      </c>
      <c r="E853" s="31">
        <f>CHAIN_RAW!E851</f>
        <v/>
      </c>
      <c r="F853" s="31">
        <f>CHAIN_RAW!F851</f>
        <v/>
      </c>
      <c r="G853" s="31">
        <f>CHAIN_RAW!I851</f>
        <v/>
      </c>
      <c r="H853" s="31">
        <f>CHAIN_RAW!Q851</f>
        <v/>
      </c>
      <c r="I853" s="31">
        <f>LET(pc,F853,oc,H853,IF(OR(pc="",oc=""),"",IF(AND(pc&gt;0,oc&gt;0),"Long Buildup",IF(AND(pc&lt;0,oc&gt;0),"Short Buildup",IF(AND(pc&gt;0,oc&lt;0),"Short Covering",IF(AND(pc&lt;0,oc&lt;0),"Long Unwinding","Flat"))))))</f>
        <v/>
      </c>
      <c r="J853" s="31">
        <f>LET(pc,ABS(F853),oc,ABS(H853),IF(OR(pc="",oc=""),"",MAX(1,MIN(5,ROUND((pc*0.5+oc*0.00001)*5,0))))))</f>
        <v/>
      </c>
    </row>
    <row r="854">
      <c r="A854" s="31" t="n">
        <v>852</v>
      </c>
      <c r="B854" s="31">
        <f>CHAIN_RAW!D852</f>
        <v/>
      </c>
      <c r="C854" s="31">
        <f>CHAIN_RAW!A852</f>
        <v/>
      </c>
      <c r="D854" s="31">
        <f>CHAIN_RAW!C852</f>
        <v/>
      </c>
      <c r="E854" s="31">
        <f>CHAIN_RAW!E852</f>
        <v/>
      </c>
      <c r="F854" s="31">
        <f>CHAIN_RAW!F852</f>
        <v/>
      </c>
      <c r="G854" s="31">
        <f>CHAIN_RAW!I852</f>
        <v/>
      </c>
      <c r="H854" s="31">
        <f>CHAIN_RAW!Q852</f>
        <v/>
      </c>
      <c r="I854" s="31">
        <f>LET(pc,F854,oc,H854,IF(OR(pc="",oc=""),"",IF(AND(pc&gt;0,oc&gt;0),"Long Buildup",IF(AND(pc&lt;0,oc&gt;0),"Short Buildup",IF(AND(pc&gt;0,oc&lt;0),"Short Covering",IF(AND(pc&lt;0,oc&lt;0),"Long Unwinding","Flat"))))))</f>
        <v/>
      </c>
      <c r="J854" s="31">
        <f>LET(pc,ABS(F854),oc,ABS(H854),IF(OR(pc="",oc=""),"",MAX(1,MIN(5,ROUND((pc*0.5+oc*0.00001)*5,0))))))</f>
        <v/>
      </c>
    </row>
    <row r="855">
      <c r="A855" s="31" t="n">
        <v>853</v>
      </c>
      <c r="B855" s="31">
        <f>CHAIN_RAW!D853</f>
        <v/>
      </c>
      <c r="C855" s="31">
        <f>CHAIN_RAW!A853</f>
        <v/>
      </c>
      <c r="D855" s="31">
        <f>CHAIN_RAW!C853</f>
        <v/>
      </c>
      <c r="E855" s="31">
        <f>CHAIN_RAW!E853</f>
        <v/>
      </c>
      <c r="F855" s="31">
        <f>CHAIN_RAW!F853</f>
        <v/>
      </c>
      <c r="G855" s="31">
        <f>CHAIN_RAW!I853</f>
        <v/>
      </c>
      <c r="H855" s="31">
        <f>CHAIN_RAW!Q853</f>
        <v/>
      </c>
      <c r="I855" s="31">
        <f>LET(pc,F855,oc,H855,IF(OR(pc="",oc=""),"",IF(AND(pc&gt;0,oc&gt;0),"Long Buildup",IF(AND(pc&lt;0,oc&gt;0),"Short Buildup",IF(AND(pc&gt;0,oc&lt;0),"Short Covering",IF(AND(pc&lt;0,oc&lt;0),"Long Unwinding","Flat"))))))</f>
        <v/>
      </c>
      <c r="J855" s="31">
        <f>LET(pc,ABS(F855),oc,ABS(H855),IF(OR(pc="",oc=""),"",MAX(1,MIN(5,ROUND((pc*0.5+oc*0.00001)*5,0))))))</f>
        <v/>
      </c>
    </row>
    <row r="856">
      <c r="A856" s="31" t="n">
        <v>854</v>
      </c>
      <c r="B856" s="31">
        <f>CHAIN_RAW!D854</f>
        <v/>
      </c>
      <c r="C856" s="31">
        <f>CHAIN_RAW!A854</f>
        <v/>
      </c>
      <c r="D856" s="31">
        <f>CHAIN_RAW!C854</f>
        <v/>
      </c>
      <c r="E856" s="31">
        <f>CHAIN_RAW!E854</f>
        <v/>
      </c>
      <c r="F856" s="31">
        <f>CHAIN_RAW!F854</f>
        <v/>
      </c>
      <c r="G856" s="31">
        <f>CHAIN_RAW!I854</f>
        <v/>
      </c>
      <c r="H856" s="31">
        <f>CHAIN_RAW!Q854</f>
        <v/>
      </c>
      <c r="I856" s="31">
        <f>LET(pc,F856,oc,H856,IF(OR(pc="",oc=""),"",IF(AND(pc&gt;0,oc&gt;0),"Long Buildup",IF(AND(pc&lt;0,oc&gt;0),"Short Buildup",IF(AND(pc&gt;0,oc&lt;0),"Short Covering",IF(AND(pc&lt;0,oc&lt;0),"Long Unwinding","Flat"))))))</f>
        <v/>
      </c>
      <c r="J856" s="31">
        <f>LET(pc,ABS(F856),oc,ABS(H856),IF(OR(pc="",oc=""),"",MAX(1,MIN(5,ROUND((pc*0.5+oc*0.00001)*5,0))))))</f>
        <v/>
      </c>
    </row>
    <row r="857">
      <c r="A857" s="31" t="n">
        <v>855</v>
      </c>
      <c r="B857" s="31">
        <f>CHAIN_RAW!D855</f>
        <v/>
      </c>
      <c r="C857" s="31">
        <f>CHAIN_RAW!A855</f>
        <v/>
      </c>
      <c r="D857" s="31">
        <f>CHAIN_RAW!C855</f>
        <v/>
      </c>
      <c r="E857" s="31">
        <f>CHAIN_RAW!E855</f>
        <v/>
      </c>
      <c r="F857" s="31">
        <f>CHAIN_RAW!F855</f>
        <v/>
      </c>
      <c r="G857" s="31">
        <f>CHAIN_RAW!I855</f>
        <v/>
      </c>
      <c r="H857" s="31">
        <f>CHAIN_RAW!Q855</f>
        <v/>
      </c>
      <c r="I857" s="31">
        <f>LET(pc,F857,oc,H857,IF(OR(pc="",oc=""),"",IF(AND(pc&gt;0,oc&gt;0),"Long Buildup",IF(AND(pc&lt;0,oc&gt;0),"Short Buildup",IF(AND(pc&gt;0,oc&lt;0),"Short Covering",IF(AND(pc&lt;0,oc&lt;0),"Long Unwinding","Flat"))))))</f>
        <v/>
      </c>
      <c r="J857" s="31">
        <f>LET(pc,ABS(F857),oc,ABS(H857),IF(OR(pc="",oc=""),"",MAX(1,MIN(5,ROUND((pc*0.5+oc*0.00001)*5,0))))))</f>
        <v/>
      </c>
    </row>
    <row r="858">
      <c r="A858" s="31" t="n">
        <v>856</v>
      </c>
      <c r="B858" s="31">
        <f>CHAIN_RAW!D856</f>
        <v/>
      </c>
      <c r="C858" s="31">
        <f>CHAIN_RAW!A856</f>
        <v/>
      </c>
      <c r="D858" s="31">
        <f>CHAIN_RAW!C856</f>
        <v/>
      </c>
      <c r="E858" s="31">
        <f>CHAIN_RAW!E856</f>
        <v/>
      </c>
      <c r="F858" s="31">
        <f>CHAIN_RAW!F856</f>
        <v/>
      </c>
      <c r="G858" s="31">
        <f>CHAIN_RAW!I856</f>
        <v/>
      </c>
      <c r="H858" s="31">
        <f>CHAIN_RAW!Q856</f>
        <v/>
      </c>
      <c r="I858" s="31">
        <f>LET(pc,F858,oc,H858,IF(OR(pc="",oc=""),"",IF(AND(pc&gt;0,oc&gt;0),"Long Buildup",IF(AND(pc&lt;0,oc&gt;0),"Short Buildup",IF(AND(pc&gt;0,oc&lt;0),"Short Covering",IF(AND(pc&lt;0,oc&lt;0),"Long Unwinding","Flat"))))))</f>
        <v/>
      </c>
      <c r="J858" s="31">
        <f>LET(pc,ABS(F858),oc,ABS(H858),IF(OR(pc="",oc=""),"",MAX(1,MIN(5,ROUND((pc*0.5+oc*0.00001)*5,0))))))</f>
        <v/>
      </c>
    </row>
    <row r="859">
      <c r="A859" s="31" t="n">
        <v>857</v>
      </c>
      <c r="B859" s="31">
        <f>CHAIN_RAW!D857</f>
        <v/>
      </c>
      <c r="C859" s="31">
        <f>CHAIN_RAW!A857</f>
        <v/>
      </c>
      <c r="D859" s="31">
        <f>CHAIN_RAW!C857</f>
        <v/>
      </c>
      <c r="E859" s="31">
        <f>CHAIN_RAW!E857</f>
        <v/>
      </c>
      <c r="F859" s="31">
        <f>CHAIN_RAW!F857</f>
        <v/>
      </c>
      <c r="G859" s="31">
        <f>CHAIN_RAW!I857</f>
        <v/>
      </c>
      <c r="H859" s="31">
        <f>CHAIN_RAW!Q857</f>
        <v/>
      </c>
      <c r="I859" s="31">
        <f>LET(pc,F859,oc,H859,IF(OR(pc="",oc=""),"",IF(AND(pc&gt;0,oc&gt;0),"Long Buildup",IF(AND(pc&lt;0,oc&gt;0),"Short Buildup",IF(AND(pc&gt;0,oc&lt;0),"Short Covering",IF(AND(pc&lt;0,oc&lt;0),"Long Unwinding","Flat"))))))</f>
        <v/>
      </c>
      <c r="J859" s="31">
        <f>LET(pc,ABS(F859),oc,ABS(H859),IF(OR(pc="",oc=""),"",MAX(1,MIN(5,ROUND((pc*0.5+oc*0.00001)*5,0))))))</f>
        <v/>
      </c>
    </row>
    <row r="860">
      <c r="A860" s="31" t="n">
        <v>858</v>
      </c>
      <c r="B860" s="31">
        <f>CHAIN_RAW!D858</f>
        <v/>
      </c>
      <c r="C860" s="31">
        <f>CHAIN_RAW!A858</f>
        <v/>
      </c>
      <c r="D860" s="31">
        <f>CHAIN_RAW!C858</f>
        <v/>
      </c>
      <c r="E860" s="31">
        <f>CHAIN_RAW!E858</f>
        <v/>
      </c>
      <c r="F860" s="31">
        <f>CHAIN_RAW!F858</f>
        <v/>
      </c>
      <c r="G860" s="31">
        <f>CHAIN_RAW!I858</f>
        <v/>
      </c>
      <c r="H860" s="31">
        <f>CHAIN_RAW!Q858</f>
        <v/>
      </c>
      <c r="I860" s="31">
        <f>LET(pc,F860,oc,H860,IF(OR(pc="",oc=""),"",IF(AND(pc&gt;0,oc&gt;0),"Long Buildup",IF(AND(pc&lt;0,oc&gt;0),"Short Buildup",IF(AND(pc&gt;0,oc&lt;0),"Short Covering",IF(AND(pc&lt;0,oc&lt;0),"Long Unwinding","Flat"))))))</f>
        <v/>
      </c>
      <c r="J860" s="31">
        <f>LET(pc,ABS(F860),oc,ABS(H860),IF(OR(pc="",oc=""),"",MAX(1,MIN(5,ROUND((pc*0.5+oc*0.00001)*5,0))))))</f>
        <v/>
      </c>
    </row>
    <row r="861">
      <c r="A861" s="31" t="n">
        <v>859</v>
      </c>
      <c r="B861" s="31">
        <f>CHAIN_RAW!D859</f>
        <v/>
      </c>
      <c r="C861" s="31">
        <f>CHAIN_RAW!A859</f>
        <v/>
      </c>
      <c r="D861" s="31">
        <f>CHAIN_RAW!C859</f>
        <v/>
      </c>
      <c r="E861" s="31">
        <f>CHAIN_RAW!E859</f>
        <v/>
      </c>
      <c r="F861" s="31">
        <f>CHAIN_RAW!F859</f>
        <v/>
      </c>
      <c r="G861" s="31">
        <f>CHAIN_RAW!I859</f>
        <v/>
      </c>
      <c r="H861" s="31">
        <f>CHAIN_RAW!Q859</f>
        <v/>
      </c>
      <c r="I861" s="31">
        <f>LET(pc,F861,oc,H861,IF(OR(pc="",oc=""),"",IF(AND(pc&gt;0,oc&gt;0),"Long Buildup",IF(AND(pc&lt;0,oc&gt;0),"Short Buildup",IF(AND(pc&gt;0,oc&lt;0),"Short Covering",IF(AND(pc&lt;0,oc&lt;0),"Long Unwinding","Flat"))))))</f>
        <v/>
      </c>
      <c r="J861" s="31">
        <f>LET(pc,ABS(F861),oc,ABS(H861),IF(OR(pc="",oc=""),"",MAX(1,MIN(5,ROUND((pc*0.5+oc*0.00001)*5,0))))))</f>
        <v/>
      </c>
    </row>
    <row r="862">
      <c r="A862" s="31" t="n">
        <v>860</v>
      </c>
      <c r="B862" s="31">
        <f>CHAIN_RAW!D860</f>
        <v/>
      </c>
      <c r="C862" s="31">
        <f>CHAIN_RAW!A860</f>
        <v/>
      </c>
      <c r="D862" s="31">
        <f>CHAIN_RAW!C860</f>
        <v/>
      </c>
      <c r="E862" s="31">
        <f>CHAIN_RAW!E860</f>
        <v/>
      </c>
      <c r="F862" s="31">
        <f>CHAIN_RAW!F860</f>
        <v/>
      </c>
      <c r="G862" s="31">
        <f>CHAIN_RAW!I860</f>
        <v/>
      </c>
      <c r="H862" s="31">
        <f>CHAIN_RAW!Q860</f>
        <v/>
      </c>
      <c r="I862" s="31">
        <f>LET(pc,F862,oc,H862,IF(OR(pc="",oc=""),"",IF(AND(pc&gt;0,oc&gt;0),"Long Buildup",IF(AND(pc&lt;0,oc&gt;0),"Short Buildup",IF(AND(pc&gt;0,oc&lt;0),"Short Covering",IF(AND(pc&lt;0,oc&lt;0),"Long Unwinding","Flat"))))))</f>
        <v/>
      </c>
      <c r="J862" s="31">
        <f>LET(pc,ABS(F862),oc,ABS(H862),IF(OR(pc="",oc=""),"",MAX(1,MIN(5,ROUND((pc*0.5+oc*0.00001)*5,0))))))</f>
        <v/>
      </c>
    </row>
    <row r="863">
      <c r="A863" s="31" t="n">
        <v>861</v>
      </c>
      <c r="B863" s="31">
        <f>CHAIN_RAW!D861</f>
        <v/>
      </c>
      <c r="C863" s="31">
        <f>CHAIN_RAW!A861</f>
        <v/>
      </c>
      <c r="D863" s="31">
        <f>CHAIN_RAW!C861</f>
        <v/>
      </c>
      <c r="E863" s="31">
        <f>CHAIN_RAW!E861</f>
        <v/>
      </c>
      <c r="F863" s="31">
        <f>CHAIN_RAW!F861</f>
        <v/>
      </c>
      <c r="G863" s="31">
        <f>CHAIN_RAW!I861</f>
        <v/>
      </c>
      <c r="H863" s="31">
        <f>CHAIN_RAW!Q861</f>
        <v/>
      </c>
      <c r="I863" s="31">
        <f>LET(pc,F863,oc,H863,IF(OR(pc="",oc=""),"",IF(AND(pc&gt;0,oc&gt;0),"Long Buildup",IF(AND(pc&lt;0,oc&gt;0),"Short Buildup",IF(AND(pc&gt;0,oc&lt;0),"Short Covering",IF(AND(pc&lt;0,oc&lt;0),"Long Unwinding","Flat"))))))</f>
        <v/>
      </c>
      <c r="J863" s="31">
        <f>LET(pc,ABS(F863),oc,ABS(H863),IF(OR(pc="",oc=""),"",MAX(1,MIN(5,ROUND((pc*0.5+oc*0.00001)*5,0))))))</f>
        <v/>
      </c>
    </row>
    <row r="864">
      <c r="A864" s="31" t="n">
        <v>862</v>
      </c>
      <c r="B864" s="31">
        <f>CHAIN_RAW!D862</f>
        <v/>
      </c>
      <c r="C864" s="31">
        <f>CHAIN_RAW!A862</f>
        <v/>
      </c>
      <c r="D864" s="31">
        <f>CHAIN_RAW!C862</f>
        <v/>
      </c>
      <c r="E864" s="31">
        <f>CHAIN_RAW!E862</f>
        <v/>
      </c>
      <c r="F864" s="31">
        <f>CHAIN_RAW!F862</f>
        <v/>
      </c>
      <c r="G864" s="31">
        <f>CHAIN_RAW!I862</f>
        <v/>
      </c>
      <c r="H864" s="31">
        <f>CHAIN_RAW!Q862</f>
        <v/>
      </c>
      <c r="I864" s="31">
        <f>LET(pc,F864,oc,H864,IF(OR(pc="",oc=""),"",IF(AND(pc&gt;0,oc&gt;0),"Long Buildup",IF(AND(pc&lt;0,oc&gt;0),"Short Buildup",IF(AND(pc&gt;0,oc&lt;0),"Short Covering",IF(AND(pc&lt;0,oc&lt;0),"Long Unwinding","Flat"))))))</f>
        <v/>
      </c>
      <c r="J864" s="31">
        <f>LET(pc,ABS(F864),oc,ABS(H864),IF(OR(pc="",oc=""),"",MAX(1,MIN(5,ROUND((pc*0.5+oc*0.00001)*5,0))))))</f>
        <v/>
      </c>
    </row>
    <row r="865">
      <c r="A865" s="31" t="n">
        <v>863</v>
      </c>
      <c r="B865" s="31">
        <f>CHAIN_RAW!D863</f>
        <v/>
      </c>
      <c r="C865" s="31">
        <f>CHAIN_RAW!A863</f>
        <v/>
      </c>
      <c r="D865" s="31">
        <f>CHAIN_RAW!C863</f>
        <v/>
      </c>
      <c r="E865" s="31">
        <f>CHAIN_RAW!E863</f>
        <v/>
      </c>
      <c r="F865" s="31">
        <f>CHAIN_RAW!F863</f>
        <v/>
      </c>
      <c r="G865" s="31">
        <f>CHAIN_RAW!I863</f>
        <v/>
      </c>
      <c r="H865" s="31">
        <f>CHAIN_RAW!Q863</f>
        <v/>
      </c>
      <c r="I865" s="31">
        <f>LET(pc,F865,oc,H865,IF(OR(pc="",oc=""),"",IF(AND(pc&gt;0,oc&gt;0),"Long Buildup",IF(AND(pc&lt;0,oc&gt;0),"Short Buildup",IF(AND(pc&gt;0,oc&lt;0),"Short Covering",IF(AND(pc&lt;0,oc&lt;0),"Long Unwinding","Flat"))))))</f>
        <v/>
      </c>
      <c r="J865" s="31">
        <f>LET(pc,ABS(F865),oc,ABS(H865),IF(OR(pc="",oc=""),"",MAX(1,MIN(5,ROUND((pc*0.5+oc*0.00001)*5,0))))))</f>
        <v/>
      </c>
    </row>
    <row r="866">
      <c r="A866" s="31" t="n">
        <v>864</v>
      </c>
      <c r="B866" s="31">
        <f>CHAIN_RAW!D864</f>
        <v/>
      </c>
      <c r="C866" s="31">
        <f>CHAIN_RAW!A864</f>
        <v/>
      </c>
      <c r="D866" s="31">
        <f>CHAIN_RAW!C864</f>
        <v/>
      </c>
      <c r="E866" s="31">
        <f>CHAIN_RAW!E864</f>
        <v/>
      </c>
      <c r="F866" s="31">
        <f>CHAIN_RAW!F864</f>
        <v/>
      </c>
      <c r="G866" s="31">
        <f>CHAIN_RAW!I864</f>
        <v/>
      </c>
      <c r="H866" s="31">
        <f>CHAIN_RAW!Q864</f>
        <v/>
      </c>
      <c r="I866" s="31">
        <f>LET(pc,F866,oc,H866,IF(OR(pc="",oc=""),"",IF(AND(pc&gt;0,oc&gt;0),"Long Buildup",IF(AND(pc&lt;0,oc&gt;0),"Short Buildup",IF(AND(pc&gt;0,oc&lt;0),"Short Covering",IF(AND(pc&lt;0,oc&lt;0),"Long Unwinding","Flat"))))))</f>
        <v/>
      </c>
      <c r="J866" s="31">
        <f>LET(pc,ABS(F866),oc,ABS(H866),IF(OR(pc="",oc=""),"",MAX(1,MIN(5,ROUND((pc*0.5+oc*0.00001)*5,0))))))</f>
        <v/>
      </c>
    </row>
    <row r="867">
      <c r="A867" s="31" t="n">
        <v>865</v>
      </c>
      <c r="B867" s="31">
        <f>CHAIN_RAW!D865</f>
        <v/>
      </c>
      <c r="C867" s="31">
        <f>CHAIN_RAW!A865</f>
        <v/>
      </c>
      <c r="D867" s="31">
        <f>CHAIN_RAW!C865</f>
        <v/>
      </c>
      <c r="E867" s="31">
        <f>CHAIN_RAW!E865</f>
        <v/>
      </c>
      <c r="F867" s="31">
        <f>CHAIN_RAW!F865</f>
        <v/>
      </c>
      <c r="G867" s="31">
        <f>CHAIN_RAW!I865</f>
        <v/>
      </c>
      <c r="H867" s="31">
        <f>CHAIN_RAW!Q865</f>
        <v/>
      </c>
      <c r="I867" s="31">
        <f>LET(pc,F867,oc,H867,IF(OR(pc="",oc=""),"",IF(AND(pc&gt;0,oc&gt;0),"Long Buildup",IF(AND(pc&lt;0,oc&gt;0),"Short Buildup",IF(AND(pc&gt;0,oc&lt;0),"Short Covering",IF(AND(pc&lt;0,oc&lt;0),"Long Unwinding","Flat"))))))</f>
        <v/>
      </c>
      <c r="J867" s="31">
        <f>LET(pc,ABS(F867),oc,ABS(H867),IF(OR(pc="",oc=""),"",MAX(1,MIN(5,ROUND((pc*0.5+oc*0.00001)*5,0))))))</f>
        <v/>
      </c>
    </row>
    <row r="868">
      <c r="A868" s="31" t="n">
        <v>866</v>
      </c>
      <c r="B868" s="31">
        <f>CHAIN_RAW!D866</f>
        <v/>
      </c>
      <c r="C868" s="31">
        <f>CHAIN_RAW!A866</f>
        <v/>
      </c>
      <c r="D868" s="31">
        <f>CHAIN_RAW!C866</f>
        <v/>
      </c>
      <c r="E868" s="31">
        <f>CHAIN_RAW!E866</f>
        <v/>
      </c>
      <c r="F868" s="31">
        <f>CHAIN_RAW!F866</f>
        <v/>
      </c>
      <c r="G868" s="31">
        <f>CHAIN_RAW!I866</f>
        <v/>
      </c>
      <c r="H868" s="31">
        <f>CHAIN_RAW!Q866</f>
        <v/>
      </c>
      <c r="I868" s="31">
        <f>LET(pc,F868,oc,H868,IF(OR(pc="",oc=""),"",IF(AND(pc&gt;0,oc&gt;0),"Long Buildup",IF(AND(pc&lt;0,oc&gt;0),"Short Buildup",IF(AND(pc&gt;0,oc&lt;0),"Short Covering",IF(AND(pc&lt;0,oc&lt;0),"Long Unwinding","Flat"))))))</f>
        <v/>
      </c>
      <c r="J868" s="31">
        <f>LET(pc,ABS(F868),oc,ABS(H868),IF(OR(pc="",oc=""),"",MAX(1,MIN(5,ROUND((pc*0.5+oc*0.00001)*5,0))))))</f>
        <v/>
      </c>
    </row>
    <row r="869">
      <c r="A869" s="31" t="n">
        <v>867</v>
      </c>
      <c r="B869" s="31">
        <f>CHAIN_RAW!D867</f>
        <v/>
      </c>
      <c r="C869" s="31">
        <f>CHAIN_RAW!A867</f>
        <v/>
      </c>
      <c r="D869" s="31">
        <f>CHAIN_RAW!C867</f>
        <v/>
      </c>
      <c r="E869" s="31">
        <f>CHAIN_RAW!E867</f>
        <v/>
      </c>
      <c r="F869" s="31">
        <f>CHAIN_RAW!F867</f>
        <v/>
      </c>
      <c r="G869" s="31">
        <f>CHAIN_RAW!I867</f>
        <v/>
      </c>
      <c r="H869" s="31">
        <f>CHAIN_RAW!Q867</f>
        <v/>
      </c>
      <c r="I869" s="31">
        <f>LET(pc,F869,oc,H869,IF(OR(pc="",oc=""),"",IF(AND(pc&gt;0,oc&gt;0),"Long Buildup",IF(AND(pc&lt;0,oc&gt;0),"Short Buildup",IF(AND(pc&gt;0,oc&lt;0),"Short Covering",IF(AND(pc&lt;0,oc&lt;0),"Long Unwinding","Flat"))))))</f>
        <v/>
      </c>
      <c r="J869" s="31">
        <f>LET(pc,ABS(F869),oc,ABS(H869),IF(OR(pc="",oc=""),"",MAX(1,MIN(5,ROUND((pc*0.5+oc*0.00001)*5,0))))))</f>
        <v/>
      </c>
    </row>
    <row r="870">
      <c r="A870" s="31" t="n">
        <v>868</v>
      </c>
      <c r="B870" s="31">
        <f>CHAIN_RAW!D868</f>
        <v/>
      </c>
      <c r="C870" s="31">
        <f>CHAIN_RAW!A868</f>
        <v/>
      </c>
      <c r="D870" s="31">
        <f>CHAIN_RAW!C868</f>
        <v/>
      </c>
      <c r="E870" s="31">
        <f>CHAIN_RAW!E868</f>
        <v/>
      </c>
      <c r="F870" s="31">
        <f>CHAIN_RAW!F868</f>
        <v/>
      </c>
      <c r="G870" s="31">
        <f>CHAIN_RAW!I868</f>
        <v/>
      </c>
      <c r="H870" s="31">
        <f>CHAIN_RAW!Q868</f>
        <v/>
      </c>
      <c r="I870" s="31">
        <f>LET(pc,F870,oc,H870,IF(OR(pc="",oc=""),"",IF(AND(pc&gt;0,oc&gt;0),"Long Buildup",IF(AND(pc&lt;0,oc&gt;0),"Short Buildup",IF(AND(pc&gt;0,oc&lt;0),"Short Covering",IF(AND(pc&lt;0,oc&lt;0),"Long Unwinding","Flat"))))))</f>
        <v/>
      </c>
      <c r="J870" s="31">
        <f>LET(pc,ABS(F870),oc,ABS(H870),IF(OR(pc="",oc=""),"",MAX(1,MIN(5,ROUND((pc*0.5+oc*0.00001)*5,0))))))</f>
        <v/>
      </c>
    </row>
    <row r="871">
      <c r="A871" s="31" t="n">
        <v>869</v>
      </c>
      <c r="B871" s="31">
        <f>CHAIN_RAW!D869</f>
        <v/>
      </c>
      <c r="C871" s="31">
        <f>CHAIN_RAW!A869</f>
        <v/>
      </c>
      <c r="D871" s="31">
        <f>CHAIN_RAW!C869</f>
        <v/>
      </c>
      <c r="E871" s="31">
        <f>CHAIN_RAW!E869</f>
        <v/>
      </c>
      <c r="F871" s="31">
        <f>CHAIN_RAW!F869</f>
        <v/>
      </c>
      <c r="G871" s="31">
        <f>CHAIN_RAW!I869</f>
        <v/>
      </c>
      <c r="H871" s="31">
        <f>CHAIN_RAW!Q869</f>
        <v/>
      </c>
      <c r="I871" s="31">
        <f>LET(pc,F871,oc,H871,IF(OR(pc="",oc=""),"",IF(AND(pc&gt;0,oc&gt;0),"Long Buildup",IF(AND(pc&lt;0,oc&gt;0),"Short Buildup",IF(AND(pc&gt;0,oc&lt;0),"Short Covering",IF(AND(pc&lt;0,oc&lt;0),"Long Unwinding","Flat"))))))</f>
        <v/>
      </c>
      <c r="J871" s="31">
        <f>LET(pc,ABS(F871),oc,ABS(H871),IF(OR(pc="",oc=""),"",MAX(1,MIN(5,ROUND((pc*0.5+oc*0.00001)*5,0))))))</f>
        <v/>
      </c>
    </row>
    <row r="872">
      <c r="A872" s="31" t="n">
        <v>870</v>
      </c>
      <c r="B872" s="31">
        <f>CHAIN_RAW!D870</f>
        <v/>
      </c>
      <c r="C872" s="31">
        <f>CHAIN_RAW!A870</f>
        <v/>
      </c>
      <c r="D872" s="31">
        <f>CHAIN_RAW!C870</f>
        <v/>
      </c>
      <c r="E872" s="31">
        <f>CHAIN_RAW!E870</f>
        <v/>
      </c>
      <c r="F872" s="31">
        <f>CHAIN_RAW!F870</f>
        <v/>
      </c>
      <c r="G872" s="31">
        <f>CHAIN_RAW!I870</f>
        <v/>
      </c>
      <c r="H872" s="31">
        <f>CHAIN_RAW!Q870</f>
        <v/>
      </c>
      <c r="I872" s="31">
        <f>LET(pc,F872,oc,H872,IF(OR(pc="",oc=""),"",IF(AND(pc&gt;0,oc&gt;0),"Long Buildup",IF(AND(pc&lt;0,oc&gt;0),"Short Buildup",IF(AND(pc&gt;0,oc&lt;0),"Short Covering",IF(AND(pc&lt;0,oc&lt;0),"Long Unwinding","Flat"))))))</f>
        <v/>
      </c>
      <c r="J872" s="31">
        <f>LET(pc,ABS(F872),oc,ABS(H872),IF(OR(pc="",oc=""),"",MAX(1,MIN(5,ROUND((pc*0.5+oc*0.00001)*5,0))))))</f>
        <v/>
      </c>
    </row>
    <row r="873">
      <c r="A873" s="31" t="n">
        <v>871</v>
      </c>
      <c r="B873" s="31">
        <f>CHAIN_RAW!D871</f>
        <v/>
      </c>
      <c r="C873" s="31">
        <f>CHAIN_RAW!A871</f>
        <v/>
      </c>
      <c r="D873" s="31">
        <f>CHAIN_RAW!C871</f>
        <v/>
      </c>
      <c r="E873" s="31">
        <f>CHAIN_RAW!E871</f>
        <v/>
      </c>
      <c r="F873" s="31">
        <f>CHAIN_RAW!F871</f>
        <v/>
      </c>
      <c r="G873" s="31">
        <f>CHAIN_RAW!I871</f>
        <v/>
      </c>
      <c r="H873" s="31">
        <f>CHAIN_RAW!Q871</f>
        <v/>
      </c>
      <c r="I873" s="31">
        <f>LET(pc,F873,oc,H873,IF(OR(pc="",oc=""),"",IF(AND(pc&gt;0,oc&gt;0),"Long Buildup",IF(AND(pc&lt;0,oc&gt;0),"Short Buildup",IF(AND(pc&gt;0,oc&lt;0),"Short Covering",IF(AND(pc&lt;0,oc&lt;0),"Long Unwinding","Flat"))))))</f>
        <v/>
      </c>
      <c r="J873" s="31">
        <f>LET(pc,ABS(F873),oc,ABS(H873),IF(OR(pc="",oc=""),"",MAX(1,MIN(5,ROUND((pc*0.5+oc*0.00001)*5,0))))))</f>
        <v/>
      </c>
    </row>
    <row r="874">
      <c r="A874" s="31" t="n">
        <v>872</v>
      </c>
      <c r="B874" s="31">
        <f>CHAIN_RAW!D872</f>
        <v/>
      </c>
      <c r="C874" s="31">
        <f>CHAIN_RAW!A872</f>
        <v/>
      </c>
      <c r="D874" s="31">
        <f>CHAIN_RAW!C872</f>
        <v/>
      </c>
      <c r="E874" s="31">
        <f>CHAIN_RAW!E872</f>
        <v/>
      </c>
      <c r="F874" s="31">
        <f>CHAIN_RAW!F872</f>
        <v/>
      </c>
      <c r="G874" s="31">
        <f>CHAIN_RAW!I872</f>
        <v/>
      </c>
      <c r="H874" s="31">
        <f>CHAIN_RAW!Q872</f>
        <v/>
      </c>
      <c r="I874" s="31">
        <f>LET(pc,F874,oc,H874,IF(OR(pc="",oc=""),"",IF(AND(pc&gt;0,oc&gt;0),"Long Buildup",IF(AND(pc&lt;0,oc&gt;0),"Short Buildup",IF(AND(pc&gt;0,oc&lt;0),"Short Covering",IF(AND(pc&lt;0,oc&lt;0),"Long Unwinding","Flat"))))))</f>
        <v/>
      </c>
      <c r="J874" s="31">
        <f>LET(pc,ABS(F874),oc,ABS(H874),IF(OR(pc="",oc=""),"",MAX(1,MIN(5,ROUND((pc*0.5+oc*0.00001)*5,0))))))</f>
        <v/>
      </c>
    </row>
    <row r="875">
      <c r="A875" s="31" t="n">
        <v>873</v>
      </c>
      <c r="B875" s="31">
        <f>CHAIN_RAW!D873</f>
        <v/>
      </c>
      <c r="C875" s="31">
        <f>CHAIN_RAW!A873</f>
        <v/>
      </c>
      <c r="D875" s="31">
        <f>CHAIN_RAW!C873</f>
        <v/>
      </c>
      <c r="E875" s="31">
        <f>CHAIN_RAW!E873</f>
        <v/>
      </c>
      <c r="F875" s="31">
        <f>CHAIN_RAW!F873</f>
        <v/>
      </c>
      <c r="G875" s="31">
        <f>CHAIN_RAW!I873</f>
        <v/>
      </c>
      <c r="H875" s="31">
        <f>CHAIN_RAW!Q873</f>
        <v/>
      </c>
      <c r="I875" s="31">
        <f>LET(pc,F875,oc,H875,IF(OR(pc="",oc=""),"",IF(AND(pc&gt;0,oc&gt;0),"Long Buildup",IF(AND(pc&lt;0,oc&gt;0),"Short Buildup",IF(AND(pc&gt;0,oc&lt;0),"Short Covering",IF(AND(pc&lt;0,oc&lt;0),"Long Unwinding","Flat"))))))</f>
        <v/>
      </c>
      <c r="J875" s="31">
        <f>LET(pc,ABS(F875),oc,ABS(H875),IF(OR(pc="",oc=""),"",MAX(1,MIN(5,ROUND((pc*0.5+oc*0.00001)*5,0))))))</f>
        <v/>
      </c>
    </row>
    <row r="876">
      <c r="A876" s="31" t="n">
        <v>874</v>
      </c>
      <c r="B876" s="31">
        <f>CHAIN_RAW!D874</f>
        <v/>
      </c>
      <c r="C876" s="31">
        <f>CHAIN_RAW!A874</f>
        <v/>
      </c>
      <c r="D876" s="31">
        <f>CHAIN_RAW!C874</f>
        <v/>
      </c>
      <c r="E876" s="31">
        <f>CHAIN_RAW!E874</f>
        <v/>
      </c>
      <c r="F876" s="31">
        <f>CHAIN_RAW!F874</f>
        <v/>
      </c>
      <c r="G876" s="31">
        <f>CHAIN_RAW!I874</f>
        <v/>
      </c>
      <c r="H876" s="31">
        <f>CHAIN_RAW!Q874</f>
        <v/>
      </c>
      <c r="I876" s="31">
        <f>LET(pc,F876,oc,H876,IF(OR(pc="",oc=""),"",IF(AND(pc&gt;0,oc&gt;0),"Long Buildup",IF(AND(pc&lt;0,oc&gt;0),"Short Buildup",IF(AND(pc&gt;0,oc&lt;0),"Short Covering",IF(AND(pc&lt;0,oc&lt;0),"Long Unwinding","Flat"))))))</f>
        <v/>
      </c>
      <c r="J876" s="31">
        <f>LET(pc,ABS(F876),oc,ABS(H876),IF(OR(pc="",oc=""),"",MAX(1,MIN(5,ROUND((pc*0.5+oc*0.00001)*5,0))))))</f>
        <v/>
      </c>
    </row>
    <row r="877">
      <c r="A877" s="31" t="n">
        <v>875</v>
      </c>
      <c r="B877" s="31">
        <f>CHAIN_RAW!D875</f>
        <v/>
      </c>
      <c r="C877" s="31">
        <f>CHAIN_RAW!A875</f>
        <v/>
      </c>
      <c r="D877" s="31">
        <f>CHAIN_RAW!C875</f>
        <v/>
      </c>
      <c r="E877" s="31">
        <f>CHAIN_RAW!E875</f>
        <v/>
      </c>
      <c r="F877" s="31">
        <f>CHAIN_RAW!F875</f>
        <v/>
      </c>
      <c r="G877" s="31">
        <f>CHAIN_RAW!I875</f>
        <v/>
      </c>
      <c r="H877" s="31">
        <f>CHAIN_RAW!Q875</f>
        <v/>
      </c>
      <c r="I877" s="31">
        <f>LET(pc,F877,oc,H877,IF(OR(pc="",oc=""),"",IF(AND(pc&gt;0,oc&gt;0),"Long Buildup",IF(AND(pc&lt;0,oc&gt;0),"Short Buildup",IF(AND(pc&gt;0,oc&lt;0),"Short Covering",IF(AND(pc&lt;0,oc&lt;0),"Long Unwinding","Flat"))))))</f>
        <v/>
      </c>
      <c r="J877" s="31">
        <f>LET(pc,ABS(F877),oc,ABS(H877),IF(OR(pc="",oc=""),"",MAX(1,MIN(5,ROUND((pc*0.5+oc*0.00001)*5,0))))))</f>
        <v/>
      </c>
    </row>
    <row r="878">
      <c r="A878" s="31" t="n">
        <v>876</v>
      </c>
      <c r="B878" s="31">
        <f>CHAIN_RAW!D876</f>
        <v/>
      </c>
      <c r="C878" s="31">
        <f>CHAIN_RAW!A876</f>
        <v/>
      </c>
      <c r="D878" s="31">
        <f>CHAIN_RAW!C876</f>
        <v/>
      </c>
      <c r="E878" s="31">
        <f>CHAIN_RAW!E876</f>
        <v/>
      </c>
      <c r="F878" s="31">
        <f>CHAIN_RAW!F876</f>
        <v/>
      </c>
      <c r="G878" s="31">
        <f>CHAIN_RAW!I876</f>
        <v/>
      </c>
      <c r="H878" s="31">
        <f>CHAIN_RAW!Q876</f>
        <v/>
      </c>
      <c r="I878" s="31">
        <f>LET(pc,F878,oc,H878,IF(OR(pc="",oc=""),"",IF(AND(pc&gt;0,oc&gt;0),"Long Buildup",IF(AND(pc&lt;0,oc&gt;0),"Short Buildup",IF(AND(pc&gt;0,oc&lt;0),"Short Covering",IF(AND(pc&lt;0,oc&lt;0),"Long Unwinding","Flat"))))))</f>
        <v/>
      </c>
      <c r="J878" s="31">
        <f>LET(pc,ABS(F878),oc,ABS(H878),IF(OR(pc="",oc=""),"",MAX(1,MIN(5,ROUND((pc*0.5+oc*0.00001)*5,0))))))</f>
        <v/>
      </c>
    </row>
    <row r="879">
      <c r="A879" s="31" t="n">
        <v>877</v>
      </c>
      <c r="B879" s="31">
        <f>CHAIN_RAW!D877</f>
        <v/>
      </c>
      <c r="C879" s="31">
        <f>CHAIN_RAW!A877</f>
        <v/>
      </c>
      <c r="D879" s="31">
        <f>CHAIN_RAW!C877</f>
        <v/>
      </c>
      <c r="E879" s="31">
        <f>CHAIN_RAW!E877</f>
        <v/>
      </c>
      <c r="F879" s="31">
        <f>CHAIN_RAW!F877</f>
        <v/>
      </c>
      <c r="G879" s="31">
        <f>CHAIN_RAW!I877</f>
        <v/>
      </c>
      <c r="H879" s="31">
        <f>CHAIN_RAW!Q877</f>
        <v/>
      </c>
      <c r="I879" s="31">
        <f>LET(pc,F879,oc,H879,IF(OR(pc="",oc=""),"",IF(AND(pc&gt;0,oc&gt;0),"Long Buildup",IF(AND(pc&lt;0,oc&gt;0),"Short Buildup",IF(AND(pc&gt;0,oc&lt;0),"Short Covering",IF(AND(pc&lt;0,oc&lt;0),"Long Unwinding","Flat"))))))</f>
        <v/>
      </c>
      <c r="J879" s="31">
        <f>LET(pc,ABS(F879),oc,ABS(H879),IF(OR(pc="",oc=""),"",MAX(1,MIN(5,ROUND((pc*0.5+oc*0.00001)*5,0))))))</f>
        <v/>
      </c>
    </row>
    <row r="880">
      <c r="A880" s="31" t="n">
        <v>878</v>
      </c>
      <c r="B880" s="31">
        <f>CHAIN_RAW!D878</f>
        <v/>
      </c>
      <c r="C880" s="31">
        <f>CHAIN_RAW!A878</f>
        <v/>
      </c>
      <c r="D880" s="31">
        <f>CHAIN_RAW!C878</f>
        <v/>
      </c>
      <c r="E880" s="31">
        <f>CHAIN_RAW!E878</f>
        <v/>
      </c>
      <c r="F880" s="31">
        <f>CHAIN_RAW!F878</f>
        <v/>
      </c>
      <c r="G880" s="31">
        <f>CHAIN_RAW!I878</f>
        <v/>
      </c>
      <c r="H880" s="31">
        <f>CHAIN_RAW!Q878</f>
        <v/>
      </c>
      <c r="I880" s="31">
        <f>LET(pc,F880,oc,H880,IF(OR(pc="",oc=""),"",IF(AND(pc&gt;0,oc&gt;0),"Long Buildup",IF(AND(pc&lt;0,oc&gt;0),"Short Buildup",IF(AND(pc&gt;0,oc&lt;0),"Short Covering",IF(AND(pc&lt;0,oc&lt;0),"Long Unwinding","Flat"))))))</f>
        <v/>
      </c>
      <c r="J880" s="31">
        <f>LET(pc,ABS(F880),oc,ABS(H880),IF(OR(pc="",oc=""),"",MAX(1,MIN(5,ROUND((pc*0.5+oc*0.00001)*5,0))))))</f>
        <v/>
      </c>
    </row>
    <row r="881">
      <c r="A881" s="31" t="n">
        <v>879</v>
      </c>
      <c r="B881" s="31">
        <f>CHAIN_RAW!D879</f>
        <v/>
      </c>
      <c r="C881" s="31">
        <f>CHAIN_RAW!A879</f>
        <v/>
      </c>
      <c r="D881" s="31">
        <f>CHAIN_RAW!C879</f>
        <v/>
      </c>
      <c r="E881" s="31">
        <f>CHAIN_RAW!E879</f>
        <v/>
      </c>
      <c r="F881" s="31">
        <f>CHAIN_RAW!F879</f>
        <v/>
      </c>
      <c r="G881" s="31">
        <f>CHAIN_RAW!I879</f>
        <v/>
      </c>
      <c r="H881" s="31">
        <f>CHAIN_RAW!Q879</f>
        <v/>
      </c>
      <c r="I881" s="31">
        <f>LET(pc,F881,oc,H881,IF(OR(pc="",oc=""),"",IF(AND(pc&gt;0,oc&gt;0),"Long Buildup",IF(AND(pc&lt;0,oc&gt;0),"Short Buildup",IF(AND(pc&gt;0,oc&lt;0),"Short Covering",IF(AND(pc&lt;0,oc&lt;0),"Long Unwinding","Flat"))))))</f>
        <v/>
      </c>
      <c r="J881" s="31">
        <f>LET(pc,ABS(F881),oc,ABS(H881),IF(OR(pc="",oc=""),"",MAX(1,MIN(5,ROUND((pc*0.5+oc*0.00001)*5,0))))))</f>
        <v/>
      </c>
    </row>
    <row r="882">
      <c r="A882" s="31" t="n">
        <v>880</v>
      </c>
      <c r="B882" s="31">
        <f>CHAIN_RAW!D880</f>
        <v/>
      </c>
      <c r="C882" s="31">
        <f>CHAIN_RAW!A880</f>
        <v/>
      </c>
      <c r="D882" s="31">
        <f>CHAIN_RAW!C880</f>
        <v/>
      </c>
      <c r="E882" s="31">
        <f>CHAIN_RAW!E880</f>
        <v/>
      </c>
      <c r="F882" s="31">
        <f>CHAIN_RAW!F880</f>
        <v/>
      </c>
      <c r="G882" s="31">
        <f>CHAIN_RAW!I880</f>
        <v/>
      </c>
      <c r="H882" s="31">
        <f>CHAIN_RAW!Q880</f>
        <v/>
      </c>
      <c r="I882" s="31">
        <f>LET(pc,F882,oc,H882,IF(OR(pc="",oc=""),"",IF(AND(pc&gt;0,oc&gt;0),"Long Buildup",IF(AND(pc&lt;0,oc&gt;0),"Short Buildup",IF(AND(pc&gt;0,oc&lt;0),"Short Covering",IF(AND(pc&lt;0,oc&lt;0),"Long Unwinding","Flat"))))))</f>
        <v/>
      </c>
      <c r="J882" s="31">
        <f>LET(pc,ABS(F882),oc,ABS(H882),IF(OR(pc="",oc=""),"",MAX(1,MIN(5,ROUND((pc*0.5+oc*0.00001)*5,0))))))</f>
        <v/>
      </c>
    </row>
    <row r="883">
      <c r="A883" s="31" t="n">
        <v>881</v>
      </c>
      <c r="B883" s="31">
        <f>CHAIN_RAW!D881</f>
        <v/>
      </c>
      <c r="C883" s="31">
        <f>CHAIN_RAW!A881</f>
        <v/>
      </c>
      <c r="D883" s="31">
        <f>CHAIN_RAW!C881</f>
        <v/>
      </c>
      <c r="E883" s="31">
        <f>CHAIN_RAW!E881</f>
        <v/>
      </c>
      <c r="F883" s="31">
        <f>CHAIN_RAW!F881</f>
        <v/>
      </c>
      <c r="G883" s="31">
        <f>CHAIN_RAW!I881</f>
        <v/>
      </c>
      <c r="H883" s="31">
        <f>CHAIN_RAW!Q881</f>
        <v/>
      </c>
      <c r="I883" s="31">
        <f>LET(pc,F883,oc,H883,IF(OR(pc="",oc=""),"",IF(AND(pc&gt;0,oc&gt;0),"Long Buildup",IF(AND(pc&lt;0,oc&gt;0),"Short Buildup",IF(AND(pc&gt;0,oc&lt;0),"Short Covering",IF(AND(pc&lt;0,oc&lt;0),"Long Unwinding","Flat"))))))</f>
        <v/>
      </c>
      <c r="J883" s="31">
        <f>LET(pc,ABS(F883),oc,ABS(H883),IF(OR(pc="",oc=""),"",MAX(1,MIN(5,ROUND((pc*0.5+oc*0.00001)*5,0))))))</f>
        <v/>
      </c>
    </row>
    <row r="884">
      <c r="A884" s="31" t="n">
        <v>882</v>
      </c>
      <c r="B884" s="31">
        <f>CHAIN_RAW!D882</f>
        <v/>
      </c>
      <c r="C884" s="31">
        <f>CHAIN_RAW!A882</f>
        <v/>
      </c>
      <c r="D884" s="31">
        <f>CHAIN_RAW!C882</f>
        <v/>
      </c>
      <c r="E884" s="31">
        <f>CHAIN_RAW!E882</f>
        <v/>
      </c>
      <c r="F884" s="31">
        <f>CHAIN_RAW!F882</f>
        <v/>
      </c>
      <c r="G884" s="31">
        <f>CHAIN_RAW!I882</f>
        <v/>
      </c>
      <c r="H884" s="31">
        <f>CHAIN_RAW!Q882</f>
        <v/>
      </c>
      <c r="I884" s="31">
        <f>LET(pc,F884,oc,H884,IF(OR(pc="",oc=""),"",IF(AND(pc&gt;0,oc&gt;0),"Long Buildup",IF(AND(pc&lt;0,oc&gt;0),"Short Buildup",IF(AND(pc&gt;0,oc&lt;0),"Short Covering",IF(AND(pc&lt;0,oc&lt;0),"Long Unwinding","Flat"))))))</f>
        <v/>
      </c>
      <c r="J884" s="31">
        <f>LET(pc,ABS(F884),oc,ABS(H884),IF(OR(pc="",oc=""),"",MAX(1,MIN(5,ROUND((pc*0.5+oc*0.00001)*5,0))))))</f>
        <v/>
      </c>
    </row>
    <row r="885">
      <c r="A885" s="31" t="n">
        <v>883</v>
      </c>
      <c r="B885" s="31">
        <f>CHAIN_RAW!D883</f>
        <v/>
      </c>
      <c r="C885" s="31">
        <f>CHAIN_RAW!A883</f>
        <v/>
      </c>
      <c r="D885" s="31">
        <f>CHAIN_RAW!C883</f>
        <v/>
      </c>
      <c r="E885" s="31">
        <f>CHAIN_RAW!E883</f>
        <v/>
      </c>
      <c r="F885" s="31">
        <f>CHAIN_RAW!F883</f>
        <v/>
      </c>
      <c r="G885" s="31">
        <f>CHAIN_RAW!I883</f>
        <v/>
      </c>
      <c r="H885" s="31">
        <f>CHAIN_RAW!Q883</f>
        <v/>
      </c>
      <c r="I885" s="31">
        <f>LET(pc,F885,oc,H885,IF(OR(pc="",oc=""),"",IF(AND(pc&gt;0,oc&gt;0),"Long Buildup",IF(AND(pc&lt;0,oc&gt;0),"Short Buildup",IF(AND(pc&gt;0,oc&lt;0),"Short Covering",IF(AND(pc&lt;0,oc&lt;0),"Long Unwinding","Flat"))))))</f>
        <v/>
      </c>
      <c r="J885" s="31">
        <f>LET(pc,ABS(F885),oc,ABS(H885),IF(OR(pc="",oc=""),"",MAX(1,MIN(5,ROUND((pc*0.5+oc*0.00001)*5,0))))))</f>
        <v/>
      </c>
    </row>
    <row r="886">
      <c r="A886" s="31" t="n">
        <v>884</v>
      </c>
      <c r="B886" s="31">
        <f>CHAIN_RAW!D884</f>
        <v/>
      </c>
      <c r="C886" s="31">
        <f>CHAIN_RAW!A884</f>
        <v/>
      </c>
      <c r="D886" s="31">
        <f>CHAIN_RAW!C884</f>
        <v/>
      </c>
      <c r="E886" s="31">
        <f>CHAIN_RAW!E884</f>
        <v/>
      </c>
      <c r="F886" s="31">
        <f>CHAIN_RAW!F884</f>
        <v/>
      </c>
      <c r="G886" s="31">
        <f>CHAIN_RAW!I884</f>
        <v/>
      </c>
      <c r="H886" s="31">
        <f>CHAIN_RAW!Q884</f>
        <v/>
      </c>
      <c r="I886" s="31">
        <f>LET(pc,F886,oc,H886,IF(OR(pc="",oc=""),"",IF(AND(pc&gt;0,oc&gt;0),"Long Buildup",IF(AND(pc&lt;0,oc&gt;0),"Short Buildup",IF(AND(pc&gt;0,oc&lt;0),"Short Covering",IF(AND(pc&lt;0,oc&lt;0),"Long Unwinding","Flat"))))))</f>
        <v/>
      </c>
      <c r="J886" s="31">
        <f>LET(pc,ABS(F886),oc,ABS(H886),IF(OR(pc="",oc=""),"",MAX(1,MIN(5,ROUND((pc*0.5+oc*0.00001)*5,0))))))</f>
        <v/>
      </c>
    </row>
    <row r="887">
      <c r="A887" s="31" t="n">
        <v>885</v>
      </c>
      <c r="B887" s="31">
        <f>CHAIN_RAW!D885</f>
        <v/>
      </c>
      <c r="C887" s="31">
        <f>CHAIN_RAW!A885</f>
        <v/>
      </c>
      <c r="D887" s="31">
        <f>CHAIN_RAW!C885</f>
        <v/>
      </c>
      <c r="E887" s="31">
        <f>CHAIN_RAW!E885</f>
        <v/>
      </c>
      <c r="F887" s="31">
        <f>CHAIN_RAW!F885</f>
        <v/>
      </c>
      <c r="G887" s="31">
        <f>CHAIN_RAW!I885</f>
        <v/>
      </c>
      <c r="H887" s="31">
        <f>CHAIN_RAW!Q885</f>
        <v/>
      </c>
      <c r="I887" s="31">
        <f>LET(pc,F887,oc,H887,IF(OR(pc="",oc=""),"",IF(AND(pc&gt;0,oc&gt;0),"Long Buildup",IF(AND(pc&lt;0,oc&gt;0),"Short Buildup",IF(AND(pc&gt;0,oc&lt;0),"Short Covering",IF(AND(pc&lt;0,oc&lt;0),"Long Unwinding","Flat"))))))</f>
        <v/>
      </c>
      <c r="J887" s="31">
        <f>LET(pc,ABS(F887),oc,ABS(H887),IF(OR(pc="",oc=""),"",MAX(1,MIN(5,ROUND((pc*0.5+oc*0.00001)*5,0))))))</f>
        <v/>
      </c>
    </row>
    <row r="888">
      <c r="A888" s="31" t="n">
        <v>886</v>
      </c>
      <c r="B888" s="31">
        <f>CHAIN_RAW!D886</f>
        <v/>
      </c>
      <c r="C888" s="31">
        <f>CHAIN_RAW!A886</f>
        <v/>
      </c>
      <c r="D888" s="31">
        <f>CHAIN_RAW!C886</f>
        <v/>
      </c>
      <c r="E888" s="31">
        <f>CHAIN_RAW!E886</f>
        <v/>
      </c>
      <c r="F888" s="31">
        <f>CHAIN_RAW!F886</f>
        <v/>
      </c>
      <c r="G888" s="31">
        <f>CHAIN_RAW!I886</f>
        <v/>
      </c>
      <c r="H888" s="31">
        <f>CHAIN_RAW!Q886</f>
        <v/>
      </c>
      <c r="I888" s="31">
        <f>LET(pc,F888,oc,H888,IF(OR(pc="",oc=""),"",IF(AND(pc&gt;0,oc&gt;0),"Long Buildup",IF(AND(pc&lt;0,oc&gt;0),"Short Buildup",IF(AND(pc&gt;0,oc&lt;0),"Short Covering",IF(AND(pc&lt;0,oc&lt;0),"Long Unwinding","Flat"))))))</f>
        <v/>
      </c>
      <c r="J888" s="31">
        <f>LET(pc,ABS(F888),oc,ABS(H888),IF(OR(pc="",oc=""),"",MAX(1,MIN(5,ROUND((pc*0.5+oc*0.00001)*5,0))))))</f>
        <v/>
      </c>
    </row>
    <row r="889">
      <c r="A889" s="31" t="n">
        <v>887</v>
      </c>
      <c r="B889" s="31">
        <f>CHAIN_RAW!D887</f>
        <v/>
      </c>
      <c r="C889" s="31">
        <f>CHAIN_RAW!A887</f>
        <v/>
      </c>
      <c r="D889" s="31">
        <f>CHAIN_RAW!C887</f>
        <v/>
      </c>
      <c r="E889" s="31">
        <f>CHAIN_RAW!E887</f>
        <v/>
      </c>
      <c r="F889" s="31">
        <f>CHAIN_RAW!F887</f>
        <v/>
      </c>
      <c r="G889" s="31">
        <f>CHAIN_RAW!I887</f>
        <v/>
      </c>
      <c r="H889" s="31">
        <f>CHAIN_RAW!Q887</f>
        <v/>
      </c>
      <c r="I889" s="31">
        <f>LET(pc,F889,oc,H889,IF(OR(pc="",oc=""),"",IF(AND(pc&gt;0,oc&gt;0),"Long Buildup",IF(AND(pc&lt;0,oc&gt;0),"Short Buildup",IF(AND(pc&gt;0,oc&lt;0),"Short Covering",IF(AND(pc&lt;0,oc&lt;0),"Long Unwinding","Flat"))))))</f>
        <v/>
      </c>
      <c r="J889" s="31">
        <f>LET(pc,ABS(F889),oc,ABS(H889),IF(OR(pc="",oc=""),"",MAX(1,MIN(5,ROUND((pc*0.5+oc*0.00001)*5,0))))))</f>
        <v/>
      </c>
    </row>
    <row r="890">
      <c r="A890" s="31" t="n">
        <v>888</v>
      </c>
      <c r="B890" s="31">
        <f>CHAIN_RAW!D888</f>
        <v/>
      </c>
      <c r="C890" s="31">
        <f>CHAIN_RAW!A888</f>
        <v/>
      </c>
      <c r="D890" s="31">
        <f>CHAIN_RAW!C888</f>
        <v/>
      </c>
      <c r="E890" s="31">
        <f>CHAIN_RAW!E888</f>
        <v/>
      </c>
      <c r="F890" s="31">
        <f>CHAIN_RAW!F888</f>
        <v/>
      </c>
      <c r="G890" s="31">
        <f>CHAIN_RAW!I888</f>
        <v/>
      </c>
      <c r="H890" s="31">
        <f>CHAIN_RAW!Q888</f>
        <v/>
      </c>
      <c r="I890" s="31">
        <f>LET(pc,F890,oc,H890,IF(OR(pc="",oc=""),"",IF(AND(pc&gt;0,oc&gt;0),"Long Buildup",IF(AND(pc&lt;0,oc&gt;0),"Short Buildup",IF(AND(pc&gt;0,oc&lt;0),"Short Covering",IF(AND(pc&lt;0,oc&lt;0),"Long Unwinding","Flat"))))))</f>
        <v/>
      </c>
      <c r="J890" s="31">
        <f>LET(pc,ABS(F890),oc,ABS(H890),IF(OR(pc="",oc=""),"",MAX(1,MIN(5,ROUND((pc*0.5+oc*0.00001)*5,0))))))</f>
        <v/>
      </c>
    </row>
    <row r="891">
      <c r="A891" s="31" t="n">
        <v>889</v>
      </c>
      <c r="B891" s="31">
        <f>CHAIN_RAW!D889</f>
        <v/>
      </c>
      <c r="C891" s="31">
        <f>CHAIN_RAW!A889</f>
        <v/>
      </c>
      <c r="D891" s="31">
        <f>CHAIN_RAW!C889</f>
        <v/>
      </c>
      <c r="E891" s="31">
        <f>CHAIN_RAW!E889</f>
        <v/>
      </c>
      <c r="F891" s="31">
        <f>CHAIN_RAW!F889</f>
        <v/>
      </c>
      <c r="G891" s="31">
        <f>CHAIN_RAW!I889</f>
        <v/>
      </c>
      <c r="H891" s="31">
        <f>CHAIN_RAW!Q889</f>
        <v/>
      </c>
      <c r="I891" s="31">
        <f>LET(pc,F891,oc,H891,IF(OR(pc="",oc=""),"",IF(AND(pc&gt;0,oc&gt;0),"Long Buildup",IF(AND(pc&lt;0,oc&gt;0),"Short Buildup",IF(AND(pc&gt;0,oc&lt;0),"Short Covering",IF(AND(pc&lt;0,oc&lt;0),"Long Unwinding","Flat"))))))</f>
        <v/>
      </c>
      <c r="J891" s="31">
        <f>LET(pc,ABS(F891),oc,ABS(H891),IF(OR(pc="",oc=""),"",MAX(1,MIN(5,ROUND((pc*0.5+oc*0.00001)*5,0))))))</f>
        <v/>
      </c>
    </row>
    <row r="892">
      <c r="A892" s="31" t="n">
        <v>890</v>
      </c>
      <c r="B892" s="31">
        <f>CHAIN_RAW!D890</f>
        <v/>
      </c>
      <c r="C892" s="31">
        <f>CHAIN_RAW!A890</f>
        <v/>
      </c>
      <c r="D892" s="31">
        <f>CHAIN_RAW!C890</f>
        <v/>
      </c>
      <c r="E892" s="31">
        <f>CHAIN_RAW!E890</f>
        <v/>
      </c>
      <c r="F892" s="31">
        <f>CHAIN_RAW!F890</f>
        <v/>
      </c>
      <c r="G892" s="31">
        <f>CHAIN_RAW!I890</f>
        <v/>
      </c>
      <c r="H892" s="31">
        <f>CHAIN_RAW!Q890</f>
        <v/>
      </c>
      <c r="I892" s="31">
        <f>LET(pc,F892,oc,H892,IF(OR(pc="",oc=""),"",IF(AND(pc&gt;0,oc&gt;0),"Long Buildup",IF(AND(pc&lt;0,oc&gt;0),"Short Buildup",IF(AND(pc&gt;0,oc&lt;0),"Short Covering",IF(AND(pc&lt;0,oc&lt;0),"Long Unwinding","Flat"))))))</f>
        <v/>
      </c>
      <c r="J892" s="31">
        <f>LET(pc,ABS(F892),oc,ABS(H892),IF(OR(pc="",oc=""),"",MAX(1,MIN(5,ROUND((pc*0.5+oc*0.00001)*5,0))))))</f>
        <v/>
      </c>
    </row>
    <row r="893">
      <c r="A893" s="31" t="n">
        <v>891</v>
      </c>
      <c r="B893" s="31">
        <f>CHAIN_RAW!D891</f>
        <v/>
      </c>
      <c r="C893" s="31">
        <f>CHAIN_RAW!A891</f>
        <v/>
      </c>
      <c r="D893" s="31">
        <f>CHAIN_RAW!C891</f>
        <v/>
      </c>
      <c r="E893" s="31">
        <f>CHAIN_RAW!E891</f>
        <v/>
      </c>
      <c r="F893" s="31">
        <f>CHAIN_RAW!F891</f>
        <v/>
      </c>
      <c r="G893" s="31">
        <f>CHAIN_RAW!I891</f>
        <v/>
      </c>
      <c r="H893" s="31">
        <f>CHAIN_RAW!Q891</f>
        <v/>
      </c>
      <c r="I893" s="31">
        <f>LET(pc,F893,oc,H893,IF(OR(pc="",oc=""),"",IF(AND(pc&gt;0,oc&gt;0),"Long Buildup",IF(AND(pc&lt;0,oc&gt;0),"Short Buildup",IF(AND(pc&gt;0,oc&lt;0),"Short Covering",IF(AND(pc&lt;0,oc&lt;0),"Long Unwinding","Flat"))))))</f>
        <v/>
      </c>
      <c r="J893" s="31">
        <f>LET(pc,ABS(F893),oc,ABS(H893),IF(OR(pc="",oc=""),"",MAX(1,MIN(5,ROUND((pc*0.5+oc*0.00001)*5,0))))))</f>
        <v/>
      </c>
    </row>
    <row r="894">
      <c r="A894" s="31" t="n">
        <v>892</v>
      </c>
      <c r="B894" s="31">
        <f>CHAIN_RAW!D892</f>
        <v/>
      </c>
      <c r="C894" s="31">
        <f>CHAIN_RAW!A892</f>
        <v/>
      </c>
      <c r="D894" s="31">
        <f>CHAIN_RAW!C892</f>
        <v/>
      </c>
      <c r="E894" s="31">
        <f>CHAIN_RAW!E892</f>
        <v/>
      </c>
      <c r="F894" s="31">
        <f>CHAIN_RAW!F892</f>
        <v/>
      </c>
      <c r="G894" s="31">
        <f>CHAIN_RAW!I892</f>
        <v/>
      </c>
      <c r="H894" s="31">
        <f>CHAIN_RAW!Q892</f>
        <v/>
      </c>
      <c r="I894" s="31">
        <f>LET(pc,F894,oc,H894,IF(OR(pc="",oc=""),"",IF(AND(pc&gt;0,oc&gt;0),"Long Buildup",IF(AND(pc&lt;0,oc&gt;0),"Short Buildup",IF(AND(pc&gt;0,oc&lt;0),"Short Covering",IF(AND(pc&lt;0,oc&lt;0),"Long Unwinding","Flat"))))))</f>
        <v/>
      </c>
      <c r="J894" s="31">
        <f>LET(pc,ABS(F894),oc,ABS(H894),IF(OR(pc="",oc=""),"",MAX(1,MIN(5,ROUND((pc*0.5+oc*0.00001)*5,0))))))</f>
        <v/>
      </c>
    </row>
    <row r="895">
      <c r="A895" s="31" t="n">
        <v>893</v>
      </c>
      <c r="B895" s="31">
        <f>CHAIN_RAW!D893</f>
        <v/>
      </c>
      <c r="C895" s="31">
        <f>CHAIN_RAW!A893</f>
        <v/>
      </c>
      <c r="D895" s="31">
        <f>CHAIN_RAW!C893</f>
        <v/>
      </c>
      <c r="E895" s="31">
        <f>CHAIN_RAW!E893</f>
        <v/>
      </c>
      <c r="F895" s="31">
        <f>CHAIN_RAW!F893</f>
        <v/>
      </c>
      <c r="G895" s="31">
        <f>CHAIN_RAW!I893</f>
        <v/>
      </c>
      <c r="H895" s="31">
        <f>CHAIN_RAW!Q893</f>
        <v/>
      </c>
      <c r="I895" s="31">
        <f>LET(pc,F895,oc,H895,IF(OR(pc="",oc=""),"",IF(AND(pc&gt;0,oc&gt;0),"Long Buildup",IF(AND(pc&lt;0,oc&gt;0),"Short Buildup",IF(AND(pc&gt;0,oc&lt;0),"Short Covering",IF(AND(pc&lt;0,oc&lt;0),"Long Unwinding","Flat"))))))</f>
        <v/>
      </c>
      <c r="J895" s="31">
        <f>LET(pc,ABS(F895),oc,ABS(H895),IF(OR(pc="",oc=""),"",MAX(1,MIN(5,ROUND((pc*0.5+oc*0.00001)*5,0))))))</f>
        <v/>
      </c>
    </row>
    <row r="896">
      <c r="A896" s="31" t="n">
        <v>894</v>
      </c>
      <c r="B896" s="31">
        <f>CHAIN_RAW!D894</f>
        <v/>
      </c>
      <c r="C896" s="31">
        <f>CHAIN_RAW!A894</f>
        <v/>
      </c>
      <c r="D896" s="31">
        <f>CHAIN_RAW!C894</f>
        <v/>
      </c>
      <c r="E896" s="31">
        <f>CHAIN_RAW!E894</f>
        <v/>
      </c>
      <c r="F896" s="31">
        <f>CHAIN_RAW!F894</f>
        <v/>
      </c>
      <c r="G896" s="31">
        <f>CHAIN_RAW!I894</f>
        <v/>
      </c>
      <c r="H896" s="31">
        <f>CHAIN_RAW!Q894</f>
        <v/>
      </c>
      <c r="I896" s="31">
        <f>LET(pc,F896,oc,H896,IF(OR(pc="",oc=""),"",IF(AND(pc&gt;0,oc&gt;0),"Long Buildup",IF(AND(pc&lt;0,oc&gt;0),"Short Buildup",IF(AND(pc&gt;0,oc&lt;0),"Short Covering",IF(AND(pc&lt;0,oc&lt;0),"Long Unwinding","Flat"))))))</f>
        <v/>
      </c>
      <c r="J896" s="31">
        <f>LET(pc,ABS(F896),oc,ABS(H896),IF(OR(pc="",oc=""),"",MAX(1,MIN(5,ROUND((pc*0.5+oc*0.00001)*5,0))))))</f>
        <v/>
      </c>
    </row>
    <row r="897">
      <c r="A897" s="31" t="n">
        <v>895</v>
      </c>
      <c r="B897" s="31">
        <f>CHAIN_RAW!D895</f>
        <v/>
      </c>
      <c r="C897" s="31">
        <f>CHAIN_RAW!A895</f>
        <v/>
      </c>
      <c r="D897" s="31">
        <f>CHAIN_RAW!C895</f>
        <v/>
      </c>
      <c r="E897" s="31">
        <f>CHAIN_RAW!E895</f>
        <v/>
      </c>
      <c r="F897" s="31">
        <f>CHAIN_RAW!F895</f>
        <v/>
      </c>
      <c r="G897" s="31">
        <f>CHAIN_RAW!I895</f>
        <v/>
      </c>
      <c r="H897" s="31">
        <f>CHAIN_RAW!Q895</f>
        <v/>
      </c>
      <c r="I897" s="31">
        <f>LET(pc,F897,oc,H897,IF(OR(pc="",oc=""),"",IF(AND(pc&gt;0,oc&gt;0),"Long Buildup",IF(AND(pc&lt;0,oc&gt;0),"Short Buildup",IF(AND(pc&gt;0,oc&lt;0),"Short Covering",IF(AND(pc&lt;0,oc&lt;0),"Long Unwinding","Flat"))))))</f>
        <v/>
      </c>
      <c r="J897" s="31">
        <f>LET(pc,ABS(F897),oc,ABS(H897),IF(OR(pc="",oc=""),"",MAX(1,MIN(5,ROUND((pc*0.5+oc*0.00001)*5,0))))))</f>
        <v/>
      </c>
    </row>
    <row r="898">
      <c r="A898" s="31" t="n">
        <v>896</v>
      </c>
      <c r="B898" s="31">
        <f>CHAIN_RAW!D896</f>
        <v/>
      </c>
      <c r="C898" s="31">
        <f>CHAIN_RAW!A896</f>
        <v/>
      </c>
      <c r="D898" s="31">
        <f>CHAIN_RAW!C896</f>
        <v/>
      </c>
      <c r="E898" s="31">
        <f>CHAIN_RAW!E896</f>
        <v/>
      </c>
      <c r="F898" s="31">
        <f>CHAIN_RAW!F896</f>
        <v/>
      </c>
      <c r="G898" s="31">
        <f>CHAIN_RAW!I896</f>
        <v/>
      </c>
      <c r="H898" s="31">
        <f>CHAIN_RAW!Q896</f>
        <v/>
      </c>
      <c r="I898" s="31">
        <f>LET(pc,F898,oc,H898,IF(OR(pc="",oc=""),"",IF(AND(pc&gt;0,oc&gt;0),"Long Buildup",IF(AND(pc&lt;0,oc&gt;0),"Short Buildup",IF(AND(pc&gt;0,oc&lt;0),"Short Covering",IF(AND(pc&lt;0,oc&lt;0),"Long Unwinding","Flat"))))))</f>
        <v/>
      </c>
      <c r="J898" s="31">
        <f>LET(pc,ABS(F898),oc,ABS(H898),IF(OR(pc="",oc=""),"",MAX(1,MIN(5,ROUND((pc*0.5+oc*0.00001)*5,0))))))</f>
        <v/>
      </c>
    </row>
    <row r="899">
      <c r="A899" s="31" t="n">
        <v>897</v>
      </c>
      <c r="B899" s="31">
        <f>CHAIN_RAW!D897</f>
        <v/>
      </c>
      <c r="C899" s="31">
        <f>CHAIN_RAW!A897</f>
        <v/>
      </c>
      <c r="D899" s="31">
        <f>CHAIN_RAW!C897</f>
        <v/>
      </c>
      <c r="E899" s="31">
        <f>CHAIN_RAW!E897</f>
        <v/>
      </c>
      <c r="F899" s="31">
        <f>CHAIN_RAW!F897</f>
        <v/>
      </c>
      <c r="G899" s="31">
        <f>CHAIN_RAW!I897</f>
        <v/>
      </c>
      <c r="H899" s="31">
        <f>CHAIN_RAW!Q897</f>
        <v/>
      </c>
      <c r="I899" s="31">
        <f>LET(pc,F899,oc,H899,IF(OR(pc="",oc=""),"",IF(AND(pc&gt;0,oc&gt;0),"Long Buildup",IF(AND(pc&lt;0,oc&gt;0),"Short Buildup",IF(AND(pc&gt;0,oc&lt;0),"Short Covering",IF(AND(pc&lt;0,oc&lt;0),"Long Unwinding","Flat"))))))</f>
        <v/>
      </c>
      <c r="J899" s="31">
        <f>LET(pc,ABS(F899),oc,ABS(H899),IF(OR(pc="",oc=""),"",MAX(1,MIN(5,ROUND((pc*0.5+oc*0.00001)*5,0))))))</f>
        <v/>
      </c>
    </row>
    <row r="900">
      <c r="A900" s="31" t="n">
        <v>898</v>
      </c>
      <c r="B900" s="31">
        <f>CHAIN_RAW!D898</f>
        <v/>
      </c>
      <c r="C900" s="31">
        <f>CHAIN_RAW!A898</f>
        <v/>
      </c>
      <c r="D900" s="31">
        <f>CHAIN_RAW!C898</f>
        <v/>
      </c>
      <c r="E900" s="31">
        <f>CHAIN_RAW!E898</f>
        <v/>
      </c>
      <c r="F900" s="31">
        <f>CHAIN_RAW!F898</f>
        <v/>
      </c>
      <c r="G900" s="31">
        <f>CHAIN_RAW!I898</f>
        <v/>
      </c>
      <c r="H900" s="31">
        <f>CHAIN_RAW!Q898</f>
        <v/>
      </c>
      <c r="I900" s="31">
        <f>LET(pc,F900,oc,H900,IF(OR(pc="",oc=""),"",IF(AND(pc&gt;0,oc&gt;0),"Long Buildup",IF(AND(pc&lt;0,oc&gt;0),"Short Buildup",IF(AND(pc&gt;0,oc&lt;0),"Short Covering",IF(AND(pc&lt;0,oc&lt;0),"Long Unwinding","Flat"))))))</f>
        <v/>
      </c>
      <c r="J900" s="31">
        <f>LET(pc,ABS(F900),oc,ABS(H900),IF(OR(pc="",oc=""),"",MAX(1,MIN(5,ROUND((pc*0.5+oc*0.00001)*5,0))))))</f>
        <v/>
      </c>
    </row>
    <row r="901">
      <c r="A901" s="31" t="n">
        <v>899</v>
      </c>
      <c r="B901" s="31">
        <f>CHAIN_RAW!D899</f>
        <v/>
      </c>
      <c r="C901" s="31">
        <f>CHAIN_RAW!A899</f>
        <v/>
      </c>
      <c r="D901" s="31">
        <f>CHAIN_RAW!C899</f>
        <v/>
      </c>
      <c r="E901" s="31">
        <f>CHAIN_RAW!E899</f>
        <v/>
      </c>
      <c r="F901" s="31">
        <f>CHAIN_RAW!F899</f>
        <v/>
      </c>
      <c r="G901" s="31">
        <f>CHAIN_RAW!I899</f>
        <v/>
      </c>
      <c r="H901" s="31">
        <f>CHAIN_RAW!Q899</f>
        <v/>
      </c>
      <c r="I901" s="31">
        <f>LET(pc,F901,oc,H901,IF(OR(pc="",oc=""),"",IF(AND(pc&gt;0,oc&gt;0),"Long Buildup",IF(AND(pc&lt;0,oc&gt;0),"Short Buildup",IF(AND(pc&gt;0,oc&lt;0),"Short Covering",IF(AND(pc&lt;0,oc&lt;0),"Long Unwinding","Flat"))))))</f>
        <v/>
      </c>
      <c r="J901" s="31">
        <f>LET(pc,ABS(F901),oc,ABS(H901),IF(OR(pc="",oc=""),"",MAX(1,MIN(5,ROUND((pc*0.5+oc*0.00001)*5,0))))))</f>
        <v/>
      </c>
    </row>
    <row r="902">
      <c r="A902" s="31" t="n">
        <v>900</v>
      </c>
      <c r="B902" s="31">
        <f>CHAIN_RAW!D900</f>
        <v/>
      </c>
      <c r="C902" s="31">
        <f>CHAIN_RAW!A900</f>
        <v/>
      </c>
      <c r="D902" s="31">
        <f>CHAIN_RAW!C900</f>
        <v/>
      </c>
      <c r="E902" s="31">
        <f>CHAIN_RAW!E900</f>
        <v/>
      </c>
      <c r="F902" s="31">
        <f>CHAIN_RAW!F900</f>
        <v/>
      </c>
      <c r="G902" s="31">
        <f>CHAIN_RAW!I900</f>
        <v/>
      </c>
      <c r="H902" s="31">
        <f>CHAIN_RAW!Q900</f>
        <v/>
      </c>
      <c r="I902" s="31">
        <f>LET(pc,F902,oc,H902,IF(OR(pc="",oc=""),"",IF(AND(pc&gt;0,oc&gt;0),"Long Buildup",IF(AND(pc&lt;0,oc&gt;0),"Short Buildup",IF(AND(pc&gt;0,oc&lt;0),"Short Covering",IF(AND(pc&lt;0,oc&lt;0),"Long Unwinding","Flat"))))))</f>
        <v/>
      </c>
      <c r="J902" s="31">
        <f>LET(pc,ABS(F902),oc,ABS(H902),IF(OR(pc="",oc=""),"",MAX(1,MIN(5,ROUND((pc*0.5+oc*0.00001)*5,0))))))</f>
        <v/>
      </c>
    </row>
    <row r="903">
      <c r="A903" s="31" t="n">
        <v>901</v>
      </c>
      <c r="B903" s="31">
        <f>CHAIN_RAW!D901</f>
        <v/>
      </c>
      <c r="C903" s="31">
        <f>CHAIN_RAW!A901</f>
        <v/>
      </c>
      <c r="D903" s="31">
        <f>CHAIN_RAW!C901</f>
        <v/>
      </c>
      <c r="E903" s="31">
        <f>CHAIN_RAW!E901</f>
        <v/>
      </c>
      <c r="F903" s="31">
        <f>CHAIN_RAW!F901</f>
        <v/>
      </c>
      <c r="G903" s="31">
        <f>CHAIN_RAW!I901</f>
        <v/>
      </c>
      <c r="H903" s="31">
        <f>CHAIN_RAW!Q901</f>
        <v/>
      </c>
      <c r="I903" s="31">
        <f>LET(pc,F903,oc,H903,IF(OR(pc="",oc=""),"",IF(AND(pc&gt;0,oc&gt;0),"Long Buildup",IF(AND(pc&lt;0,oc&gt;0),"Short Buildup",IF(AND(pc&gt;0,oc&lt;0),"Short Covering",IF(AND(pc&lt;0,oc&lt;0),"Long Unwinding","Flat"))))))</f>
        <v/>
      </c>
      <c r="J903" s="31">
        <f>LET(pc,ABS(F903),oc,ABS(H903),IF(OR(pc="",oc=""),"",MAX(1,MIN(5,ROUND((pc*0.5+oc*0.00001)*5,0))))))</f>
        <v/>
      </c>
    </row>
    <row r="904">
      <c r="A904" s="31" t="n">
        <v>902</v>
      </c>
      <c r="B904" s="31">
        <f>CHAIN_RAW!D902</f>
        <v/>
      </c>
      <c r="C904" s="31">
        <f>CHAIN_RAW!A902</f>
        <v/>
      </c>
      <c r="D904" s="31">
        <f>CHAIN_RAW!C902</f>
        <v/>
      </c>
      <c r="E904" s="31">
        <f>CHAIN_RAW!E902</f>
        <v/>
      </c>
      <c r="F904" s="31">
        <f>CHAIN_RAW!F902</f>
        <v/>
      </c>
      <c r="G904" s="31">
        <f>CHAIN_RAW!I902</f>
        <v/>
      </c>
      <c r="H904" s="31">
        <f>CHAIN_RAW!Q902</f>
        <v/>
      </c>
      <c r="I904" s="31">
        <f>LET(pc,F904,oc,H904,IF(OR(pc="",oc=""),"",IF(AND(pc&gt;0,oc&gt;0),"Long Buildup",IF(AND(pc&lt;0,oc&gt;0),"Short Buildup",IF(AND(pc&gt;0,oc&lt;0),"Short Covering",IF(AND(pc&lt;0,oc&lt;0),"Long Unwinding","Flat"))))))</f>
        <v/>
      </c>
      <c r="J904" s="31">
        <f>LET(pc,ABS(F904),oc,ABS(H904),IF(OR(pc="",oc=""),"",MAX(1,MIN(5,ROUND((pc*0.5+oc*0.00001)*5,0))))))</f>
        <v/>
      </c>
    </row>
    <row r="905">
      <c r="A905" s="31" t="n">
        <v>903</v>
      </c>
      <c r="B905" s="31">
        <f>CHAIN_RAW!D903</f>
        <v/>
      </c>
      <c r="C905" s="31">
        <f>CHAIN_RAW!A903</f>
        <v/>
      </c>
      <c r="D905" s="31">
        <f>CHAIN_RAW!C903</f>
        <v/>
      </c>
      <c r="E905" s="31">
        <f>CHAIN_RAW!E903</f>
        <v/>
      </c>
      <c r="F905" s="31">
        <f>CHAIN_RAW!F903</f>
        <v/>
      </c>
      <c r="G905" s="31">
        <f>CHAIN_RAW!I903</f>
        <v/>
      </c>
      <c r="H905" s="31">
        <f>CHAIN_RAW!Q903</f>
        <v/>
      </c>
      <c r="I905" s="31">
        <f>LET(pc,F905,oc,H905,IF(OR(pc="",oc=""),"",IF(AND(pc&gt;0,oc&gt;0),"Long Buildup",IF(AND(pc&lt;0,oc&gt;0),"Short Buildup",IF(AND(pc&gt;0,oc&lt;0),"Short Covering",IF(AND(pc&lt;0,oc&lt;0),"Long Unwinding","Flat"))))))</f>
        <v/>
      </c>
      <c r="J905" s="31">
        <f>LET(pc,ABS(F905),oc,ABS(H905),IF(OR(pc="",oc=""),"",MAX(1,MIN(5,ROUND((pc*0.5+oc*0.00001)*5,0))))))</f>
        <v/>
      </c>
    </row>
    <row r="906">
      <c r="A906" s="31" t="n">
        <v>904</v>
      </c>
      <c r="B906" s="31">
        <f>CHAIN_RAW!D904</f>
        <v/>
      </c>
      <c r="C906" s="31">
        <f>CHAIN_RAW!A904</f>
        <v/>
      </c>
      <c r="D906" s="31">
        <f>CHAIN_RAW!C904</f>
        <v/>
      </c>
      <c r="E906" s="31">
        <f>CHAIN_RAW!E904</f>
        <v/>
      </c>
      <c r="F906" s="31">
        <f>CHAIN_RAW!F904</f>
        <v/>
      </c>
      <c r="G906" s="31">
        <f>CHAIN_RAW!I904</f>
        <v/>
      </c>
      <c r="H906" s="31">
        <f>CHAIN_RAW!Q904</f>
        <v/>
      </c>
      <c r="I906" s="31">
        <f>LET(pc,F906,oc,H906,IF(OR(pc="",oc=""),"",IF(AND(pc&gt;0,oc&gt;0),"Long Buildup",IF(AND(pc&lt;0,oc&gt;0),"Short Buildup",IF(AND(pc&gt;0,oc&lt;0),"Short Covering",IF(AND(pc&lt;0,oc&lt;0),"Long Unwinding","Flat"))))))</f>
        <v/>
      </c>
      <c r="J906" s="31">
        <f>LET(pc,ABS(F906),oc,ABS(H906),IF(OR(pc="",oc=""),"",MAX(1,MIN(5,ROUND((pc*0.5+oc*0.00001)*5,0))))))</f>
        <v/>
      </c>
    </row>
    <row r="907">
      <c r="A907" s="31" t="n">
        <v>905</v>
      </c>
      <c r="B907" s="31">
        <f>CHAIN_RAW!D905</f>
        <v/>
      </c>
      <c r="C907" s="31">
        <f>CHAIN_RAW!A905</f>
        <v/>
      </c>
      <c r="D907" s="31">
        <f>CHAIN_RAW!C905</f>
        <v/>
      </c>
      <c r="E907" s="31">
        <f>CHAIN_RAW!E905</f>
        <v/>
      </c>
      <c r="F907" s="31">
        <f>CHAIN_RAW!F905</f>
        <v/>
      </c>
      <c r="G907" s="31">
        <f>CHAIN_RAW!I905</f>
        <v/>
      </c>
      <c r="H907" s="31">
        <f>CHAIN_RAW!Q905</f>
        <v/>
      </c>
      <c r="I907" s="31">
        <f>LET(pc,F907,oc,H907,IF(OR(pc="",oc=""),"",IF(AND(pc&gt;0,oc&gt;0),"Long Buildup",IF(AND(pc&lt;0,oc&gt;0),"Short Buildup",IF(AND(pc&gt;0,oc&lt;0),"Short Covering",IF(AND(pc&lt;0,oc&lt;0),"Long Unwinding","Flat"))))))</f>
        <v/>
      </c>
      <c r="J907" s="31">
        <f>LET(pc,ABS(F907),oc,ABS(H907),IF(OR(pc="",oc=""),"",MAX(1,MIN(5,ROUND((pc*0.5+oc*0.00001)*5,0))))))</f>
        <v/>
      </c>
    </row>
    <row r="908">
      <c r="A908" s="31" t="n">
        <v>906</v>
      </c>
      <c r="B908" s="31">
        <f>CHAIN_RAW!D906</f>
        <v/>
      </c>
      <c r="C908" s="31">
        <f>CHAIN_RAW!A906</f>
        <v/>
      </c>
      <c r="D908" s="31">
        <f>CHAIN_RAW!C906</f>
        <v/>
      </c>
      <c r="E908" s="31">
        <f>CHAIN_RAW!E906</f>
        <v/>
      </c>
      <c r="F908" s="31">
        <f>CHAIN_RAW!F906</f>
        <v/>
      </c>
      <c r="G908" s="31">
        <f>CHAIN_RAW!I906</f>
        <v/>
      </c>
      <c r="H908" s="31">
        <f>CHAIN_RAW!Q906</f>
        <v/>
      </c>
      <c r="I908" s="31">
        <f>LET(pc,F908,oc,H908,IF(OR(pc="",oc=""),"",IF(AND(pc&gt;0,oc&gt;0),"Long Buildup",IF(AND(pc&lt;0,oc&gt;0),"Short Buildup",IF(AND(pc&gt;0,oc&lt;0),"Short Covering",IF(AND(pc&lt;0,oc&lt;0),"Long Unwinding","Flat"))))))</f>
        <v/>
      </c>
      <c r="J908" s="31">
        <f>LET(pc,ABS(F908),oc,ABS(H908),IF(OR(pc="",oc=""),"",MAX(1,MIN(5,ROUND((pc*0.5+oc*0.00001)*5,0))))))</f>
        <v/>
      </c>
    </row>
    <row r="909">
      <c r="A909" s="31" t="n">
        <v>907</v>
      </c>
      <c r="B909" s="31">
        <f>CHAIN_RAW!D907</f>
        <v/>
      </c>
      <c r="C909" s="31">
        <f>CHAIN_RAW!A907</f>
        <v/>
      </c>
      <c r="D909" s="31">
        <f>CHAIN_RAW!C907</f>
        <v/>
      </c>
      <c r="E909" s="31">
        <f>CHAIN_RAW!E907</f>
        <v/>
      </c>
      <c r="F909" s="31">
        <f>CHAIN_RAW!F907</f>
        <v/>
      </c>
      <c r="G909" s="31">
        <f>CHAIN_RAW!I907</f>
        <v/>
      </c>
      <c r="H909" s="31">
        <f>CHAIN_RAW!Q907</f>
        <v/>
      </c>
      <c r="I909" s="31">
        <f>LET(pc,F909,oc,H909,IF(OR(pc="",oc=""),"",IF(AND(pc&gt;0,oc&gt;0),"Long Buildup",IF(AND(pc&lt;0,oc&gt;0),"Short Buildup",IF(AND(pc&gt;0,oc&lt;0),"Short Covering",IF(AND(pc&lt;0,oc&lt;0),"Long Unwinding","Flat"))))))</f>
        <v/>
      </c>
      <c r="J909" s="31">
        <f>LET(pc,ABS(F909),oc,ABS(H909),IF(OR(pc="",oc=""),"",MAX(1,MIN(5,ROUND((pc*0.5+oc*0.00001)*5,0))))))</f>
        <v/>
      </c>
    </row>
    <row r="910">
      <c r="A910" s="31" t="n">
        <v>908</v>
      </c>
      <c r="B910" s="31">
        <f>CHAIN_RAW!D908</f>
        <v/>
      </c>
      <c r="C910" s="31">
        <f>CHAIN_RAW!A908</f>
        <v/>
      </c>
      <c r="D910" s="31">
        <f>CHAIN_RAW!C908</f>
        <v/>
      </c>
      <c r="E910" s="31">
        <f>CHAIN_RAW!E908</f>
        <v/>
      </c>
      <c r="F910" s="31">
        <f>CHAIN_RAW!F908</f>
        <v/>
      </c>
      <c r="G910" s="31">
        <f>CHAIN_RAW!I908</f>
        <v/>
      </c>
      <c r="H910" s="31">
        <f>CHAIN_RAW!Q908</f>
        <v/>
      </c>
      <c r="I910" s="31">
        <f>LET(pc,F910,oc,H910,IF(OR(pc="",oc=""),"",IF(AND(pc&gt;0,oc&gt;0),"Long Buildup",IF(AND(pc&lt;0,oc&gt;0),"Short Buildup",IF(AND(pc&gt;0,oc&lt;0),"Short Covering",IF(AND(pc&lt;0,oc&lt;0),"Long Unwinding","Flat"))))))</f>
        <v/>
      </c>
      <c r="J910" s="31">
        <f>LET(pc,ABS(F910),oc,ABS(H910),IF(OR(pc="",oc=""),"",MAX(1,MIN(5,ROUND((pc*0.5+oc*0.00001)*5,0))))))</f>
        <v/>
      </c>
    </row>
    <row r="911">
      <c r="A911" s="31" t="n">
        <v>909</v>
      </c>
      <c r="B911" s="31">
        <f>CHAIN_RAW!D909</f>
        <v/>
      </c>
      <c r="C911" s="31">
        <f>CHAIN_RAW!A909</f>
        <v/>
      </c>
      <c r="D911" s="31">
        <f>CHAIN_RAW!C909</f>
        <v/>
      </c>
      <c r="E911" s="31">
        <f>CHAIN_RAW!E909</f>
        <v/>
      </c>
      <c r="F911" s="31">
        <f>CHAIN_RAW!F909</f>
        <v/>
      </c>
      <c r="G911" s="31">
        <f>CHAIN_RAW!I909</f>
        <v/>
      </c>
      <c r="H911" s="31">
        <f>CHAIN_RAW!Q909</f>
        <v/>
      </c>
      <c r="I911" s="31">
        <f>LET(pc,F911,oc,H911,IF(OR(pc="",oc=""),"",IF(AND(pc&gt;0,oc&gt;0),"Long Buildup",IF(AND(pc&lt;0,oc&gt;0),"Short Buildup",IF(AND(pc&gt;0,oc&lt;0),"Short Covering",IF(AND(pc&lt;0,oc&lt;0),"Long Unwinding","Flat"))))))</f>
        <v/>
      </c>
      <c r="J911" s="31">
        <f>LET(pc,ABS(F911),oc,ABS(H911),IF(OR(pc="",oc=""),"",MAX(1,MIN(5,ROUND((pc*0.5+oc*0.00001)*5,0))))))</f>
        <v/>
      </c>
    </row>
    <row r="912">
      <c r="A912" s="31" t="n">
        <v>910</v>
      </c>
      <c r="B912" s="31">
        <f>CHAIN_RAW!D910</f>
        <v/>
      </c>
      <c r="C912" s="31">
        <f>CHAIN_RAW!A910</f>
        <v/>
      </c>
      <c r="D912" s="31">
        <f>CHAIN_RAW!C910</f>
        <v/>
      </c>
      <c r="E912" s="31">
        <f>CHAIN_RAW!E910</f>
        <v/>
      </c>
      <c r="F912" s="31">
        <f>CHAIN_RAW!F910</f>
        <v/>
      </c>
      <c r="G912" s="31">
        <f>CHAIN_RAW!I910</f>
        <v/>
      </c>
      <c r="H912" s="31">
        <f>CHAIN_RAW!Q910</f>
        <v/>
      </c>
      <c r="I912" s="31">
        <f>LET(pc,F912,oc,H912,IF(OR(pc="",oc=""),"",IF(AND(pc&gt;0,oc&gt;0),"Long Buildup",IF(AND(pc&lt;0,oc&gt;0),"Short Buildup",IF(AND(pc&gt;0,oc&lt;0),"Short Covering",IF(AND(pc&lt;0,oc&lt;0),"Long Unwinding","Flat"))))))</f>
        <v/>
      </c>
      <c r="J912" s="31">
        <f>LET(pc,ABS(F912),oc,ABS(H912),IF(OR(pc="",oc=""),"",MAX(1,MIN(5,ROUND((pc*0.5+oc*0.00001)*5,0))))))</f>
        <v/>
      </c>
    </row>
    <row r="913">
      <c r="A913" s="31" t="n">
        <v>911</v>
      </c>
      <c r="B913" s="31">
        <f>CHAIN_RAW!D911</f>
        <v/>
      </c>
      <c r="C913" s="31">
        <f>CHAIN_RAW!A911</f>
        <v/>
      </c>
      <c r="D913" s="31">
        <f>CHAIN_RAW!C911</f>
        <v/>
      </c>
      <c r="E913" s="31">
        <f>CHAIN_RAW!E911</f>
        <v/>
      </c>
      <c r="F913" s="31">
        <f>CHAIN_RAW!F911</f>
        <v/>
      </c>
      <c r="G913" s="31">
        <f>CHAIN_RAW!I911</f>
        <v/>
      </c>
      <c r="H913" s="31">
        <f>CHAIN_RAW!Q911</f>
        <v/>
      </c>
      <c r="I913" s="31">
        <f>LET(pc,F913,oc,H913,IF(OR(pc="",oc=""),"",IF(AND(pc&gt;0,oc&gt;0),"Long Buildup",IF(AND(pc&lt;0,oc&gt;0),"Short Buildup",IF(AND(pc&gt;0,oc&lt;0),"Short Covering",IF(AND(pc&lt;0,oc&lt;0),"Long Unwinding","Flat"))))))</f>
        <v/>
      </c>
      <c r="J913" s="31">
        <f>LET(pc,ABS(F913),oc,ABS(H913),IF(OR(pc="",oc=""),"",MAX(1,MIN(5,ROUND((pc*0.5+oc*0.00001)*5,0))))))</f>
        <v/>
      </c>
    </row>
    <row r="914">
      <c r="A914" s="31" t="n">
        <v>912</v>
      </c>
      <c r="B914" s="31">
        <f>CHAIN_RAW!D912</f>
        <v/>
      </c>
      <c r="C914" s="31">
        <f>CHAIN_RAW!A912</f>
        <v/>
      </c>
      <c r="D914" s="31">
        <f>CHAIN_RAW!C912</f>
        <v/>
      </c>
      <c r="E914" s="31">
        <f>CHAIN_RAW!E912</f>
        <v/>
      </c>
      <c r="F914" s="31">
        <f>CHAIN_RAW!F912</f>
        <v/>
      </c>
      <c r="G914" s="31">
        <f>CHAIN_RAW!I912</f>
        <v/>
      </c>
      <c r="H914" s="31">
        <f>CHAIN_RAW!Q912</f>
        <v/>
      </c>
      <c r="I914" s="31">
        <f>LET(pc,F914,oc,H914,IF(OR(pc="",oc=""),"",IF(AND(pc&gt;0,oc&gt;0),"Long Buildup",IF(AND(pc&lt;0,oc&gt;0),"Short Buildup",IF(AND(pc&gt;0,oc&lt;0),"Short Covering",IF(AND(pc&lt;0,oc&lt;0),"Long Unwinding","Flat"))))))</f>
        <v/>
      </c>
      <c r="J914" s="31">
        <f>LET(pc,ABS(F914),oc,ABS(H914),IF(OR(pc="",oc=""),"",MAX(1,MIN(5,ROUND((pc*0.5+oc*0.00001)*5,0))))))</f>
        <v/>
      </c>
    </row>
    <row r="915">
      <c r="A915" s="31" t="n">
        <v>913</v>
      </c>
      <c r="B915" s="31">
        <f>CHAIN_RAW!D913</f>
        <v/>
      </c>
      <c r="C915" s="31">
        <f>CHAIN_RAW!A913</f>
        <v/>
      </c>
      <c r="D915" s="31">
        <f>CHAIN_RAW!C913</f>
        <v/>
      </c>
      <c r="E915" s="31">
        <f>CHAIN_RAW!E913</f>
        <v/>
      </c>
      <c r="F915" s="31">
        <f>CHAIN_RAW!F913</f>
        <v/>
      </c>
      <c r="G915" s="31">
        <f>CHAIN_RAW!I913</f>
        <v/>
      </c>
      <c r="H915" s="31">
        <f>CHAIN_RAW!Q913</f>
        <v/>
      </c>
      <c r="I915" s="31">
        <f>LET(pc,F915,oc,H915,IF(OR(pc="",oc=""),"",IF(AND(pc&gt;0,oc&gt;0),"Long Buildup",IF(AND(pc&lt;0,oc&gt;0),"Short Buildup",IF(AND(pc&gt;0,oc&lt;0),"Short Covering",IF(AND(pc&lt;0,oc&lt;0),"Long Unwinding","Flat"))))))</f>
        <v/>
      </c>
      <c r="J915" s="31">
        <f>LET(pc,ABS(F915),oc,ABS(H915),IF(OR(pc="",oc=""),"",MAX(1,MIN(5,ROUND((pc*0.5+oc*0.00001)*5,0))))))</f>
        <v/>
      </c>
    </row>
    <row r="916">
      <c r="A916" s="31" t="n">
        <v>914</v>
      </c>
      <c r="B916" s="31">
        <f>CHAIN_RAW!D914</f>
        <v/>
      </c>
      <c r="C916" s="31">
        <f>CHAIN_RAW!A914</f>
        <v/>
      </c>
      <c r="D916" s="31">
        <f>CHAIN_RAW!C914</f>
        <v/>
      </c>
      <c r="E916" s="31">
        <f>CHAIN_RAW!E914</f>
        <v/>
      </c>
      <c r="F916" s="31">
        <f>CHAIN_RAW!F914</f>
        <v/>
      </c>
      <c r="G916" s="31">
        <f>CHAIN_RAW!I914</f>
        <v/>
      </c>
      <c r="H916" s="31">
        <f>CHAIN_RAW!Q914</f>
        <v/>
      </c>
      <c r="I916" s="31">
        <f>LET(pc,F916,oc,H916,IF(OR(pc="",oc=""),"",IF(AND(pc&gt;0,oc&gt;0),"Long Buildup",IF(AND(pc&lt;0,oc&gt;0),"Short Buildup",IF(AND(pc&gt;0,oc&lt;0),"Short Covering",IF(AND(pc&lt;0,oc&lt;0),"Long Unwinding","Flat"))))))</f>
        <v/>
      </c>
      <c r="J916" s="31">
        <f>LET(pc,ABS(F916),oc,ABS(H916),IF(OR(pc="",oc=""),"",MAX(1,MIN(5,ROUND((pc*0.5+oc*0.00001)*5,0))))))</f>
        <v/>
      </c>
    </row>
    <row r="917">
      <c r="A917" s="31" t="n">
        <v>915</v>
      </c>
      <c r="B917" s="31">
        <f>CHAIN_RAW!D915</f>
        <v/>
      </c>
      <c r="C917" s="31">
        <f>CHAIN_RAW!A915</f>
        <v/>
      </c>
      <c r="D917" s="31">
        <f>CHAIN_RAW!C915</f>
        <v/>
      </c>
      <c r="E917" s="31">
        <f>CHAIN_RAW!E915</f>
        <v/>
      </c>
      <c r="F917" s="31">
        <f>CHAIN_RAW!F915</f>
        <v/>
      </c>
      <c r="G917" s="31">
        <f>CHAIN_RAW!I915</f>
        <v/>
      </c>
      <c r="H917" s="31">
        <f>CHAIN_RAW!Q915</f>
        <v/>
      </c>
      <c r="I917" s="31">
        <f>LET(pc,F917,oc,H917,IF(OR(pc="",oc=""),"",IF(AND(pc&gt;0,oc&gt;0),"Long Buildup",IF(AND(pc&lt;0,oc&gt;0),"Short Buildup",IF(AND(pc&gt;0,oc&lt;0),"Short Covering",IF(AND(pc&lt;0,oc&lt;0),"Long Unwinding","Flat"))))))</f>
        <v/>
      </c>
      <c r="J917" s="31">
        <f>LET(pc,ABS(F917),oc,ABS(H917),IF(OR(pc="",oc=""),"",MAX(1,MIN(5,ROUND((pc*0.5+oc*0.00001)*5,0))))))</f>
        <v/>
      </c>
    </row>
    <row r="918">
      <c r="A918" s="31" t="n">
        <v>916</v>
      </c>
      <c r="B918" s="31">
        <f>CHAIN_RAW!D916</f>
        <v/>
      </c>
      <c r="C918" s="31">
        <f>CHAIN_RAW!A916</f>
        <v/>
      </c>
      <c r="D918" s="31">
        <f>CHAIN_RAW!C916</f>
        <v/>
      </c>
      <c r="E918" s="31">
        <f>CHAIN_RAW!E916</f>
        <v/>
      </c>
      <c r="F918" s="31">
        <f>CHAIN_RAW!F916</f>
        <v/>
      </c>
      <c r="G918" s="31">
        <f>CHAIN_RAW!I916</f>
        <v/>
      </c>
      <c r="H918" s="31">
        <f>CHAIN_RAW!Q916</f>
        <v/>
      </c>
      <c r="I918" s="31">
        <f>LET(pc,F918,oc,H918,IF(OR(pc="",oc=""),"",IF(AND(pc&gt;0,oc&gt;0),"Long Buildup",IF(AND(pc&lt;0,oc&gt;0),"Short Buildup",IF(AND(pc&gt;0,oc&lt;0),"Short Covering",IF(AND(pc&lt;0,oc&lt;0),"Long Unwinding","Flat"))))))</f>
        <v/>
      </c>
      <c r="J918" s="31">
        <f>LET(pc,ABS(F918),oc,ABS(H918),IF(OR(pc="",oc=""),"",MAX(1,MIN(5,ROUND((pc*0.5+oc*0.00001)*5,0))))))</f>
        <v/>
      </c>
    </row>
    <row r="919">
      <c r="A919" s="31" t="n">
        <v>917</v>
      </c>
      <c r="B919" s="31">
        <f>CHAIN_RAW!D917</f>
        <v/>
      </c>
      <c r="C919" s="31">
        <f>CHAIN_RAW!A917</f>
        <v/>
      </c>
      <c r="D919" s="31">
        <f>CHAIN_RAW!C917</f>
        <v/>
      </c>
      <c r="E919" s="31">
        <f>CHAIN_RAW!E917</f>
        <v/>
      </c>
      <c r="F919" s="31">
        <f>CHAIN_RAW!F917</f>
        <v/>
      </c>
      <c r="G919" s="31">
        <f>CHAIN_RAW!I917</f>
        <v/>
      </c>
      <c r="H919" s="31">
        <f>CHAIN_RAW!Q917</f>
        <v/>
      </c>
      <c r="I919" s="31">
        <f>LET(pc,F919,oc,H919,IF(OR(pc="",oc=""),"",IF(AND(pc&gt;0,oc&gt;0),"Long Buildup",IF(AND(pc&lt;0,oc&gt;0),"Short Buildup",IF(AND(pc&gt;0,oc&lt;0),"Short Covering",IF(AND(pc&lt;0,oc&lt;0),"Long Unwinding","Flat"))))))</f>
        <v/>
      </c>
      <c r="J919" s="31">
        <f>LET(pc,ABS(F919),oc,ABS(H919),IF(OR(pc="",oc=""),"",MAX(1,MIN(5,ROUND((pc*0.5+oc*0.00001)*5,0))))))</f>
        <v/>
      </c>
    </row>
    <row r="920">
      <c r="A920" s="31" t="n">
        <v>918</v>
      </c>
      <c r="B920" s="31">
        <f>CHAIN_RAW!D918</f>
        <v/>
      </c>
      <c r="C920" s="31">
        <f>CHAIN_RAW!A918</f>
        <v/>
      </c>
      <c r="D920" s="31">
        <f>CHAIN_RAW!C918</f>
        <v/>
      </c>
      <c r="E920" s="31">
        <f>CHAIN_RAW!E918</f>
        <v/>
      </c>
      <c r="F920" s="31">
        <f>CHAIN_RAW!F918</f>
        <v/>
      </c>
      <c r="G920" s="31">
        <f>CHAIN_RAW!I918</f>
        <v/>
      </c>
      <c r="H920" s="31">
        <f>CHAIN_RAW!Q918</f>
        <v/>
      </c>
      <c r="I920" s="31">
        <f>LET(pc,F920,oc,H920,IF(OR(pc="",oc=""),"",IF(AND(pc&gt;0,oc&gt;0),"Long Buildup",IF(AND(pc&lt;0,oc&gt;0),"Short Buildup",IF(AND(pc&gt;0,oc&lt;0),"Short Covering",IF(AND(pc&lt;0,oc&lt;0),"Long Unwinding","Flat"))))))</f>
        <v/>
      </c>
      <c r="J920" s="31">
        <f>LET(pc,ABS(F920),oc,ABS(H920),IF(OR(pc="",oc=""),"",MAX(1,MIN(5,ROUND((pc*0.5+oc*0.00001)*5,0))))))</f>
        <v/>
      </c>
    </row>
    <row r="921">
      <c r="A921" s="31" t="n">
        <v>919</v>
      </c>
      <c r="B921" s="31">
        <f>CHAIN_RAW!D919</f>
        <v/>
      </c>
      <c r="C921" s="31">
        <f>CHAIN_RAW!A919</f>
        <v/>
      </c>
      <c r="D921" s="31">
        <f>CHAIN_RAW!C919</f>
        <v/>
      </c>
      <c r="E921" s="31">
        <f>CHAIN_RAW!E919</f>
        <v/>
      </c>
      <c r="F921" s="31">
        <f>CHAIN_RAW!F919</f>
        <v/>
      </c>
      <c r="G921" s="31">
        <f>CHAIN_RAW!I919</f>
        <v/>
      </c>
      <c r="H921" s="31">
        <f>CHAIN_RAW!Q919</f>
        <v/>
      </c>
      <c r="I921" s="31">
        <f>LET(pc,F921,oc,H921,IF(OR(pc="",oc=""),"",IF(AND(pc&gt;0,oc&gt;0),"Long Buildup",IF(AND(pc&lt;0,oc&gt;0),"Short Buildup",IF(AND(pc&gt;0,oc&lt;0),"Short Covering",IF(AND(pc&lt;0,oc&lt;0),"Long Unwinding","Flat"))))))</f>
        <v/>
      </c>
      <c r="J921" s="31">
        <f>LET(pc,ABS(F921),oc,ABS(H921),IF(OR(pc="",oc=""),"",MAX(1,MIN(5,ROUND((pc*0.5+oc*0.00001)*5,0))))))</f>
        <v/>
      </c>
    </row>
    <row r="922">
      <c r="A922" s="31" t="n">
        <v>920</v>
      </c>
      <c r="B922" s="31">
        <f>CHAIN_RAW!D920</f>
        <v/>
      </c>
      <c r="C922" s="31">
        <f>CHAIN_RAW!A920</f>
        <v/>
      </c>
      <c r="D922" s="31">
        <f>CHAIN_RAW!C920</f>
        <v/>
      </c>
      <c r="E922" s="31">
        <f>CHAIN_RAW!E920</f>
        <v/>
      </c>
      <c r="F922" s="31">
        <f>CHAIN_RAW!F920</f>
        <v/>
      </c>
      <c r="G922" s="31">
        <f>CHAIN_RAW!I920</f>
        <v/>
      </c>
      <c r="H922" s="31">
        <f>CHAIN_RAW!Q920</f>
        <v/>
      </c>
      <c r="I922" s="31">
        <f>LET(pc,F922,oc,H922,IF(OR(pc="",oc=""),"",IF(AND(pc&gt;0,oc&gt;0),"Long Buildup",IF(AND(pc&lt;0,oc&gt;0),"Short Buildup",IF(AND(pc&gt;0,oc&lt;0),"Short Covering",IF(AND(pc&lt;0,oc&lt;0),"Long Unwinding","Flat"))))))</f>
        <v/>
      </c>
      <c r="J922" s="31">
        <f>LET(pc,ABS(F922),oc,ABS(H922),IF(OR(pc="",oc=""),"",MAX(1,MIN(5,ROUND((pc*0.5+oc*0.00001)*5,0))))))</f>
        <v/>
      </c>
    </row>
    <row r="923">
      <c r="A923" s="31" t="n">
        <v>921</v>
      </c>
      <c r="B923" s="31">
        <f>CHAIN_RAW!D921</f>
        <v/>
      </c>
      <c r="C923" s="31">
        <f>CHAIN_RAW!A921</f>
        <v/>
      </c>
      <c r="D923" s="31">
        <f>CHAIN_RAW!C921</f>
        <v/>
      </c>
      <c r="E923" s="31">
        <f>CHAIN_RAW!E921</f>
        <v/>
      </c>
      <c r="F923" s="31">
        <f>CHAIN_RAW!F921</f>
        <v/>
      </c>
      <c r="G923" s="31">
        <f>CHAIN_RAW!I921</f>
        <v/>
      </c>
      <c r="H923" s="31">
        <f>CHAIN_RAW!Q921</f>
        <v/>
      </c>
      <c r="I923" s="31">
        <f>LET(pc,F923,oc,H923,IF(OR(pc="",oc=""),"",IF(AND(pc&gt;0,oc&gt;0),"Long Buildup",IF(AND(pc&lt;0,oc&gt;0),"Short Buildup",IF(AND(pc&gt;0,oc&lt;0),"Short Covering",IF(AND(pc&lt;0,oc&lt;0),"Long Unwinding","Flat"))))))</f>
        <v/>
      </c>
      <c r="J923" s="31">
        <f>LET(pc,ABS(F923),oc,ABS(H923),IF(OR(pc="",oc=""),"",MAX(1,MIN(5,ROUND((pc*0.5+oc*0.00001)*5,0))))))</f>
        <v/>
      </c>
    </row>
    <row r="924">
      <c r="A924" s="31" t="n">
        <v>922</v>
      </c>
      <c r="B924" s="31">
        <f>CHAIN_RAW!D922</f>
        <v/>
      </c>
      <c r="C924" s="31">
        <f>CHAIN_RAW!A922</f>
        <v/>
      </c>
      <c r="D924" s="31">
        <f>CHAIN_RAW!C922</f>
        <v/>
      </c>
      <c r="E924" s="31">
        <f>CHAIN_RAW!E922</f>
        <v/>
      </c>
      <c r="F924" s="31">
        <f>CHAIN_RAW!F922</f>
        <v/>
      </c>
      <c r="G924" s="31">
        <f>CHAIN_RAW!I922</f>
        <v/>
      </c>
      <c r="H924" s="31">
        <f>CHAIN_RAW!Q922</f>
        <v/>
      </c>
      <c r="I924" s="31">
        <f>LET(pc,F924,oc,H924,IF(OR(pc="",oc=""),"",IF(AND(pc&gt;0,oc&gt;0),"Long Buildup",IF(AND(pc&lt;0,oc&gt;0),"Short Buildup",IF(AND(pc&gt;0,oc&lt;0),"Short Covering",IF(AND(pc&lt;0,oc&lt;0),"Long Unwinding","Flat"))))))</f>
        <v/>
      </c>
      <c r="J924" s="31">
        <f>LET(pc,ABS(F924),oc,ABS(H924),IF(OR(pc="",oc=""),"",MAX(1,MIN(5,ROUND((pc*0.5+oc*0.00001)*5,0))))))</f>
        <v/>
      </c>
    </row>
    <row r="925">
      <c r="A925" s="31" t="n">
        <v>923</v>
      </c>
      <c r="B925" s="31">
        <f>CHAIN_RAW!D923</f>
        <v/>
      </c>
      <c r="C925" s="31">
        <f>CHAIN_RAW!A923</f>
        <v/>
      </c>
      <c r="D925" s="31">
        <f>CHAIN_RAW!C923</f>
        <v/>
      </c>
      <c r="E925" s="31">
        <f>CHAIN_RAW!E923</f>
        <v/>
      </c>
      <c r="F925" s="31">
        <f>CHAIN_RAW!F923</f>
        <v/>
      </c>
      <c r="G925" s="31">
        <f>CHAIN_RAW!I923</f>
        <v/>
      </c>
      <c r="H925" s="31">
        <f>CHAIN_RAW!Q923</f>
        <v/>
      </c>
      <c r="I925" s="31">
        <f>LET(pc,F925,oc,H925,IF(OR(pc="",oc=""),"",IF(AND(pc&gt;0,oc&gt;0),"Long Buildup",IF(AND(pc&lt;0,oc&gt;0),"Short Buildup",IF(AND(pc&gt;0,oc&lt;0),"Short Covering",IF(AND(pc&lt;0,oc&lt;0),"Long Unwinding","Flat"))))))</f>
        <v/>
      </c>
      <c r="J925" s="31">
        <f>LET(pc,ABS(F925),oc,ABS(H925),IF(OR(pc="",oc=""),"",MAX(1,MIN(5,ROUND((pc*0.5+oc*0.00001)*5,0))))))</f>
        <v/>
      </c>
    </row>
    <row r="926">
      <c r="A926" s="31" t="n">
        <v>924</v>
      </c>
      <c r="B926" s="31">
        <f>CHAIN_RAW!D924</f>
        <v/>
      </c>
      <c r="C926" s="31">
        <f>CHAIN_RAW!A924</f>
        <v/>
      </c>
      <c r="D926" s="31">
        <f>CHAIN_RAW!C924</f>
        <v/>
      </c>
      <c r="E926" s="31">
        <f>CHAIN_RAW!E924</f>
        <v/>
      </c>
      <c r="F926" s="31">
        <f>CHAIN_RAW!F924</f>
        <v/>
      </c>
      <c r="G926" s="31">
        <f>CHAIN_RAW!I924</f>
        <v/>
      </c>
      <c r="H926" s="31">
        <f>CHAIN_RAW!Q924</f>
        <v/>
      </c>
      <c r="I926" s="31">
        <f>LET(pc,F926,oc,H926,IF(OR(pc="",oc=""),"",IF(AND(pc&gt;0,oc&gt;0),"Long Buildup",IF(AND(pc&lt;0,oc&gt;0),"Short Buildup",IF(AND(pc&gt;0,oc&lt;0),"Short Covering",IF(AND(pc&lt;0,oc&lt;0),"Long Unwinding","Flat"))))))</f>
        <v/>
      </c>
      <c r="J926" s="31">
        <f>LET(pc,ABS(F926),oc,ABS(H926),IF(OR(pc="",oc=""),"",MAX(1,MIN(5,ROUND((pc*0.5+oc*0.00001)*5,0))))))</f>
        <v/>
      </c>
    </row>
    <row r="927">
      <c r="A927" s="31" t="n">
        <v>925</v>
      </c>
      <c r="B927" s="31">
        <f>CHAIN_RAW!D925</f>
        <v/>
      </c>
      <c r="C927" s="31">
        <f>CHAIN_RAW!A925</f>
        <v/>
      </c>
      <c r="D927" s="31">
        <f>CHAIN_RAW!C925</f>
        <v/>
      </c>
      <c r="E927" s="31">
        <f>CHAIN_RAW!E925</f>
        <v/>
      </c>
      <c r="F927" s="31">
        <f>CHAIN_RAW!F925</f>
        <v/>
      </c>
      <c r="G927" s="31">
        <f>CHAIN_RAW!I925</f>
        <v/>
      </c>
      <c r="H927" s="31">
        <f>CHAIN_RAW!Q925</f>
        <v/>
      </c>
      <c r="I927" s="31">
        <f>LET(pc,F927,oc,H927,IF(OR(pc="",oc=""),"",IF(AND(pc&gt;0,oc&gt;0),"Long Buildup",IF(AND(pc&lt;0,oc&gt;0),"Short Buildup",IF(AND(pc&gt;0,oc&lt;0),"Short Covering",IF(AND(pc&lt;0,oc&lt;0),"Long Unwinding","Flat"))))))</f>
        <v/>
      </c>
      <c r="J927" s="31">
        <f>LET(pc,ABS(F927),oc,ABS(H927),IF(OR(pc="",oc=""),"",MAX(1,MIN(5,ROUND((pc*0.5+oc*0.00001)*5,0))))))</f>
        <v/>
      </c>
    </row>
    <row r="928">
      <c r="A928" s="31" t="n">
        <v>926</v>
      </c>
      <c r="B928" s="31">
        <f>CHAIN_RAW!D926</f>
        <v/>
      </c>
      <c r="C928" s="31">
        <f>CHAIN_RAW!A926</f>
        <v/>
      </c>
      <c r="D928" s="31">
        <f>CHAIN_RAW!C926</f>
        <v/>
      </c>
      <c r="E928" s="31">
        <f>CHAIN_RAW!E926</f>
        <v/>
      </c>
      <c r="F928" s="31">
        <f>CHAIN_RAW!F926</f>
        <v/>
      </c>
      <c r="G928" s="31">
        <f>CHAIN_RAW!I926</f>
        <v/>
      </c>
      <c r="H928" s="31">
        <f>CHAIN_RAW!Q926</f>
        <v/>
      </c>
      <c r="I928" s="31">
        <f>LET(pc,F928,oc,H928,IF(OR(pc="",oc=""),"",IF(AND(pc&gt;0,oc&gt;0),"Long Buildup",IF(AND(pc&lt;0,oc&gt;0),"Short Buildup",IF(AND(pc&gt;0,oc&lt;0),"Short Covering",IF(AND(pc&lt;0,oc&lt;0),"Long Unwinding","Flat"))))))</f>
        <v/>
      </c>
      <c r="J928" s="31">
        <f>LET(pc,ABS(F928),oc,ABS(H928),IF(OR(pc="",oc=""),"",MAX(1,MIN(5,ROUND((pc*0.5+oc*0.00001)*5,0))))))</f>
        <v/>
      </c>
    </row>
    <row r="929">
      <c r="A929" s="31" t="n">
        <v>927</v>
      </c>
      <c r="B929" s="31">
        <f>CHAIN_RAW!D927</f>
        <v/>
      </c>
      <c r="C929" s="31">
        <f>CHAIN_RAW!A927</f>
        <v/>
      </c>
      <c r="D929" s="31">
        <f>CHAIN_RAW!C927</f>
        <v/>
      </c>
      <c r="E929" s="31">
        <f>CHAIN_RAW!E927</f>
        <v/>
      </c>
      <c r="F929" s="31">
        <f>CHAIN_RAW!F927</f>
        <v/>
      </c>
      <c r="G929" s="31">
        <f>CHAIN_RAW!I927</f>
        <v/>
      </c>
      <c r="H929" s="31">
        <f>CHAIN_RAW!Q927</f>
        <v/>
      </c>
      <c r="I929" s="31">
        <f>LET(pc,F929,oc,H929,IF(OR(pc="",oc=""),"",IF(AND(pc&gt;0,oc&gt;0),"Long Buildup",IF(AND(pc&lt;0,oc&gt;0),"Short Buildup",IF(AND(pc&gt;0,oc&lt;0),"Short Covering",IF(AND(pc&lt;0,oc&lt;0),"Long Unwinding","Flat"))))))</f>
        <v/>
      </c>
      <c r="J929" s="31">
        <f>LET(pc,ABS(F929),oc,ABS(H929),IF(OR(pc="",oc=""),"",MAX(1,MIN(5,ROUND((pc*0.5+oc*0.00001)*5,0))))))</f>
        <v/>
      </c>
    </row>
    <row r="930">
      <c r="A930" s="31" t="n">
        <v>928</v>
      </c>
      <c r="B930" s="31">
        <f>CHAIN_RAW!D928</f>
        <v/>
      </c>
      <c r="C930" s="31">
        <f>CHAIN_RAW!A928</f>
        <v/>
      </c>
      <c r="D930" s="31">
        <f>CHAIN_RAW!C928</f>
        <v/>
      </c>
      <c r="E930" s="31">
        <f>CHAIN_RAW!E928</f>
        <v/>
      </c>
      <c r="F930" s="31">
        <f>CHAIN_RAW!F928</f>
        <v/>
      </c>
      <c r="G930" s="31">
        <f>CHAIN_RAW!I928</f>
        <v/>
      </c>
      <c r="H930" s="31">
        <f>CHAIN_RAW!Q928</f>
        <v/>
      </c>
      <c r="I930" s="31">
        <f>LET(pc,F930,oc,H930,IF(OR(pc="",oc=""),"",IF(AND(pc&gt;0,oc&gt;0),"Long Buildup",IF(AND(pc&lt;0,oc&gt;0),"Short Buildup",IF(AND(pc&gt;0,oc&lt;0),"Short Covering",IF(AND(pc&lt;0,oc&lt;0),"Long Unwinding","Flat"))))))</f>
        <v/>
      </c>
      <c r="J930" s="31">
        <f>LET(pc,ABS(F930),oc,ABS(H930),IF(OR(pc="",oc=""),"",MAX(1,MIN(5,ROUND((pc*0.5+oc*0.00001)*5,0))))))</f>
        <v/>
      </c>
    </row>
    <row r="931">
      <c r="A931" s="31" t="n">
        <v>929</v>
      </c>
      <c r="B931" s="31">
        <f>CHAIN_RAW!D929</f>
        <v/>
      </c>
      <c r="C931" s="31">
        <f>CHAIN_RAW!A929</f>
        <v/>
      </c>
      <c r="D931" s="31">
        <f>CHAIN_RAW!C929</f>
        <v/>
      </c>
      <c r="E931" s="31">
        <f>CHAIN_RAW!E929</f>
        <v/>
      </c>
      <c r="F931" s="31">
        <f>CHAIN_RAW!F929</f>
        <v/>
      </c>
      <c r="G931" s="31">
        <f>CHAIN_RAW!I929</f>
        <v/>
      </c>
      <c r="H931" s="31">
        <f>CHAIN_RAW!Q929</f>
        <v/>
      </c>
      <c r="I931" s="31">
        <f>LET(pc,F931,oc,H931,IF(OR(pc="",oc=""),"",IF(AND(pc&gt;0,oc&gt;0),"Long Buildup",IF(AND(pc&lt;0,oc&gt;0),"Short Buildup",IF(AND(pc&gt;0,oc&lt;0),"Short Covering",IF(AND(pc&lt;0,oc&lt;0),"Long Unwinding","Flat"))))))</f>
        <v/>
      </c>
      <c r="J931" s="31">
        <f>LET(pc,ABS(F931),oc,ABS(H931),IF(OR(pc="",oc=""),"",MAX(1,MIN(5,ROUND((pc*0.5+oc*0.00001)*5,0))))))</f>
        <v/>
      </c>
    </row>
    <row r="932">
      <c r="A932" s="31" t="n">
        <v>930</v>
      </c>
      <c r="B932" s="31">
        <f>CHAIN_RAW!D930</f>
        <v/>
      </c>
      <c r="C932" s="31">
        <f>CHAIN_RAW!A930</f>
        <v/>
      </c>
      <c r="D932" s="31">
        <f>CHAIN_RAW!C930</f>
        <v/>
      </c>
      <c r="E932" s="31">
        <f>CHAIN_RAW!E930</f>
        <v/>
      </c>
      <c r="F932" s="31">
        <f>CHAIN_RAW!F930</f>
        <v/>
      </c>
      <c r="G932" s="31">
        <f>CHAIN_RAW!I930</f>
        <v/>
      </c>
      <c r="H932" s="31">
        <f>CHAIN_RAW!Q930</f>
        <v/>
      </c>
      <c r="I932" s="31">
        <f>LET(pc,F932,oc,H932,IF(OR(pc="",oc=""),"",IF(AND(pc&gt;0,oc&gt;0),"Long Buildup",IF(AND(pc&lt;0,oc&gt;0),"Short Buildup",IF(AND(pc&gt;0,oc&lt;0),"Short Covering",IF(AND(pc&lt;0,oc&lt;0),"Long Unwinding","Flat"))))))</f>
        <v/>
      </c>
      <c r="J932" s="31">
        <f>LET(pc,ABS(F932),oc,ABS(H932),IF(OR(pc="",oc=""),"",MAX(1,MIN(5,ROUND((pc*0.5+oc*0.00001)*5,0))))))</f>
        <v/>
      </c>
    </row>
    <row r="933">
      <c r="A933" s="31" t="n">
        <v>931</v>
      </c>
      <c r="B933" s="31">
        <f>CHAIN_RAW!D931</f>
        <v/>
      </c>
      <c r="C933" s="31">
        <f>CHAIN_RAW!A931</f>
        <v/>
      </c>
      <c r="D933" s="31">
        <f>CHAIN_RAW!C931</f>
        <v/>
      </c>
      <c r="E933" s="31">
        <f>CHAIN_RAW!E931</f>
        <v/>
      </c>
      <c r="F933" s="31">
        <f>CHAIN_RAW!F931</f>
        <v/>
      </c>
      <c r="G933" s="31">
        <f>CHAIN_RAW!I931</f>
        <v/>
      </c>
      <c r="H933" s="31">
        <f>CHAIN_RAW!Q931</f>
        <v/>
      </c>
      <c r="I933" s="31">
        <f>LET(pc,F933,oc,H933,IF(OR(pc="",oc=""),"",IF(AND(pc&gt;0,oc&gt;0),"Long Buildup",IF(AND(pc&lt;0,oc&gt;0),"Short Buildup",IF(AND(pc&gt;0,oc&lt;0),"Short Covering",IF(AND(pc&lt;0,oc&lt;0),"Long Unwinding","Flat"))))))</f>
        <v/>
      </c>
      <c r="J933" s="31">
        <f>LET(pc,ABS(F933),oc,ABS(H933),IF(OR(pc="",oc=""),"",MAX(1,MIN(5,ROUND((pc*0.5+oc*0.00001)*5,0))))))</f>
        <v/>
      </c>
    </row>
    <row r="934">
      <c r="A934" s="31" t="n">
        <v>932</v>
      </c>
      <c r="B934" s="31">
        <f>CHAIN_RAW!D932</f>
        <v/>
      </c>
      <c r="C934" s="31">
        <f>CHAIN_RAW!A932</f>
        <v/>
      </c>
      <c r="D934" s="31">
        <f>CHAIN_RAW!C932</f>
        <v/>
      </c>
      <c r="E934" s="31">
        <f>CHAIN_RAW!E932</f>
        <v/>
      </c>
      <c r="F934" s="31">
        <f>CHAIN_RAW!F932</f>
        <v/>
      </c>
      <c r="G934" s="31">
        <f>CHAIN_RAW!I932</f>
        <v/>
      </c>
      <c r="H934" s="31">
        <f>CHAIN_RAW!Q932</f>
        <v/>
      </c>
      <c r="I934" s="31">
        <f>LET(pc,F934,oc,H934,IF(OR(pc="",oc=""),"",IF(AND(pc&gt;0,oc&gt;0),"Long Buildup",IF(AND(pc&lt;0,oc&gt;0),"Short Buildup",IF(AND(pc&gt;0,oc&lt;0),"Short Covering",IF(AND(pc&lt;0,oc&lt;0),"Long Unwinding","Flat"))))))</f>
        <v/>
      </c>
      <c r="J934" s="31">
        <f>LET(pc,ABS(F934),oc,ABS(H934),IF(OR(pc="",oc=""),"",MAX(1,MIN(5,ROUND((pc*0.5+oc*0.00001)*5,0))))))</f>
        <v/>
      </c>
    </row>
    <row r="935">
      <c r="A935" s="31" t="n">
        <v>933</v>
      </c>
      <c r="B935" s="31">
        <f>CHAIN_RAW!D933</f>
        <v/>
      </c>
      <c r="C935" s="31">
        <f>CHAIN_RAW!A933</f>
        <v/>
      </c>
      <c r="D935" s="31">
        <f>CHAIN_RAW!C933</f>
        <v/>
      </c>
      <c r="E935" s="31">
        <f>CHAIN_RAW!E933</f>
        <v/>
      </c>
      <c r="F935" s="31">
        <f>CHAIN_RAW!F933</f>
        <v/>
      </c>
      <c r="G935" s="31">
        <f>CHAIN_RAW!I933</f>
        <v/>
      </c>
      <c r="H935" s="31">
        <f>CHAIN_RAW!Q933</f>
        <v/>
      </c>
      <c r="I935" s="31">
        <f>LET(pc,F935,oc,H935,IF(OR(pc="",oc=""),"",IF(AND(pc&gt;0,oc&gt;0),"Long Buildup",IF(AND(pc&lt;0,oc&gt;0),"Short Buildup",IF(AND(pc&gt;0,oc&lt;0),"Short Covering",IF(AND(pc&lt;0,oc&lt;0),"Long Unwinding","Flat"))))))</f>
        <v/>
      </c>
      <c r="J935" s="31">
        <f>LET(pc,ABS(F935),oc,ABS(H935),IF(OR(pc="",oc=""),"",MAX(1,MIN(5,ROUND((pc*0.5+oc*0.00001)*5,0))))))</f>
        <v/>
      </c>
    </row>
    <row r="936">
      <c r="A936" s="31" t="n">
        <v>934</v>
      </c>
      <c r="B936" s="31">
        <f>CHAIN_RAW!D934</f>
        <v/>
      </c>
      <c r="C936" s="31">
        <f>CHAIN_RAW!A934</f>
        <v/>
      </c>
      <c r="D936" s="31">
        <f>CHAIN_RAW!C934</f>
        <v/>
      </c>
      <c r="E936" s="31">
        <f>CHAIN_RAW!E934</f>
        <v/>
      </c>
      <c r="F936" s="31">
        <f>CHAIN_RAW!F934</f>
        <v/>
      </c>
      <c r="G936" s="31">
        <f>CHAIN_RAW!I934</f>
        <v/>
      </c>
      <c r="H936" s="31">
        <f>CHAIN_RAW!Q934</f>
        <v/>
      </c>
      <c r="I936" s="31">
        <f>LET(pc,F936,oc,H936,IF(OR(pc="",oc=""),"",IF(AND(pc&gt;0,oc&gt;0),"Long Buildup",IF(AND(pc&lt;0,oc&gt;0),"Short Buildup",IF(AND(pc&gt;0,oc&lt;0),"Short Covering",IF(AND(pc&lt;0,oc&lt;0),"Long Unwinding","Flat"))))))</f>
        <v/>
      </c>
      <c r="J936" s="31">
        <f>LET(pc,ABS(F936),oc,ABS(H936),IF(OR(pc="",oc=""),"",MAX(1,MIN(5,ROUND((pc*0.5+oc*0.00001)*5,0))))))</f>
        <v/>
      </c>
    </row>
    <row r="937">
      <c r="A937" s="31" t="n">
        <v>935</v>
      </c>
      <c r="B937" s="31">
        <f>CHAIN_RAW!D935</f>
        <v/>
      </c>
      <c r="C937" s="31">
        <f>CHAIN_RAW!A935</f>
        <v/>
      </c>
      <c r="D937" s="31">
        <f>CHAIN_RAW!C935</f>
        <v/>
      </c>
      <c r="E937" s="31">
        <f>CHAIN_RAW!E935</f>
        <v/>
      </c>
      <c r="F937" s="31">
        <f>CHAIN_RAW!F935</f>
        <v/>
      </c>
      <c r="G937" s="31">
        <f>CHAIN_RAW!I935</f>
        <v/>
      </c>
      <c r="H937" s="31">
        <f>CHAIN_RAW!Q935</f>
        <v/>
      </c>
      <c r="I937" s="31">
        <f>LET(pc,F937,oc,H937,IF(OR(pc="",oc=""),"",IF(AND(pc&gt;0,oc&gt;0),"Long Buildup",IF(AND(pc&lt;0,oc&gt;0),"Short Buildup",IF(AND(pc&gt;0,oc&lt;0),"Short Covering",IF(AND(pc&lt;0,oc&lt;0),"Long Unwinding","Flat"))))))</f>
        <v/>
      </c>
      <c r="J937" s="31">
        <f>LET(pc,ABS(F937),oc,ABS(H937),IF(OR(pc="",oc=""),"",MAX(1,MIN(5,ROUND((pc*0.5+oc*0.00001)*5,0))))))</f>
        <v/>
      </c>
    </row>
    <row r="938">
      <c r="A938" s="31" t="n">
        <v>936</v>
      </c>
      <c r="B938" s="31">
        <f>CHAIN_RAW!D936</f>
        <v/>
      </c>
      <c r="C938" s="31">
        <f>CHAIN_RAW!A936</f>
        <v/>
      </c>
      <c r="D938" s="31">
        <f>CHAIN_RAW!C936</f>
        <v/>
      </c>
      <c r="E938" s="31">
        <f>CHAIN_RAW!E936</f>
        <v/>
      </c>
      <c r="F938" s="31">
        <f>CHAIN_RAW!F936</f>
        <v/>
      </c>
      <c r="G938" s="31">
        <f>CHAIN_RAW!I936</f>
        <v/>
      </c>
      <c r="H938" s="31">
        <f>CHAIN_RAW!Q936</f>
        <v/>
      </c>
      <c r="I938" s="31">
        <f>LET(pc,F938,oc,H938,IF(OR(pc="",oc=""),"",IF(AND(pc&gt;0,oc&gt;0),"Long Buildup",IF(AND(pc&lt;0,oc&gt;0),"Short Buildup",IF(AND(pc&gt;0,oc&lt;0),"Short Covering",IF(AND(pc&lt;0,oc&lt;0),"Long Unwinding","Flat"))))))</f>
        <v/>
      </c>
      <c r="J938" s="31">
        <f>LET(pc,ABS(F938),oc,ABS(H938),IF(OR(pc="",oc=""),"",MAX(1,MIN(5,ROUND((pc*0.5+oc*0.00001)*5,0))))))</f>
        <v/>
      </c>
    </row>
    <row r="939">
      <c r="A939" s="31" t="n">
        <v>937</v>
      </c>
      <c r="B939" s="31">
        <f>CHAIN_RAW!D937</f>
        <v/>
      </c>
      <c r="C939" s="31">
        <f>CHAIN_RAW!A937</f>
        <v/>
      </c>
      <c r="D939" s="31">
        <f>CHAIN_RAW!C937</f>
        <v/>
      </c>
      <c r="E939" s="31">
        <f>CHAIN_RAW!E937</f>
        <v/>
      </c>
      <c r="F939" s="31">
        <f>CHAIN_RAW!F937</f>
        <v/>
      </c>
      <c r="G939" s="31">
        <f>CHAIN_RAW!I937</f>
        <v/>
      </c>
      <c r="H939" s="31">
        <f>CHAIN_RAW!Q937</f>
        <v/>
      </c>
      <c r="I939" s="31">
        <f>LET(pc,F939,oc,H939,IF(OR(pc="",oc=""),"",IF(AND(pc&gt;0,oc&gt;0),"Long Buildup",IF(AND(pc&lt;0,oc&gt;0),"Short Buildup",IF(AND(pc&gt;0,oc&lt;0),"Short Covering",IF(AND(pc&lt;0,oc&lt;0),"Long Unwinding","Flat"))))))</f>
        <v/>
      </c>
      <c r="J939" s="31">
        <f>LET(pc,ABS(F939),oc,ABS(H939),IF(OR(pc="",oc=""),"",MAX(1,MIN(5,ROUND((pc*0.5+oc*0.00001)*5,0))))))</f>
        <v/>
      </c>
    </row>
    <row r="940">
      <c r="A940" s="31" t="n">
        <v>938</v>
      </c>
      <c r="B940" s="31">
        <f>CHAIN_RAW!D938</f>
        <v/>
      </c>
      <c r="C940" s="31">
        <f>CHAIN_RAW!A938</f>
        <v/>
      </c>
      <c r="D940" s="31">
        <f>CHAIN_RAW!C938</f>
        <v/>
      </c>
      <c r="E940" s="31">
        <f>CHAIN_RAW!E938</f>
        <v/>
      </c>
      <c r="F940" s="31">
        <f>CHAIN_RAW!F938</f>
        <v/>
      </c>
      <c r="G940" s="31">
        <f>CHAIN_RAW!I938</f>
        <v/>
      </c>
      <c r="H940" s="31">
        <f>CHAIN_RAW!Q938</f>
        <v/>
      </c>
      <c r="I940" s="31">
        <f>LET(pc,F940,oc,H940,IF(OR(pc="",oc=""),"",IF(AND(pc&gt;0,oc&gt;0),"Long Buildup",IF(AND(pc&lt;0,oc&gt;0),"Short Buildup",IF(AND(pc&gt;0,oc&lt;0),"Short Covering",IF(AND(pc&lt;0,oc&lt;0),"Long Unwinding","Flat"))))))</f>
        <v/>
      </c>
      <c r="J940" s="31">
        <f>LET(pc,ABS(F940),oc,ABS(H940),IF(OR(pc="",oc=""),"",MAX(1,MIN(5,ROUND((pc*0.5+oc*0.00001)*5,0))))))</f>
        <v/>
      </c>
    </row>
    <row r="941">
      <c r="A941" s="31" t="n">
        <v>939</v>
      </c>
      <c r="B941" s="31">
        <f>CHAIN_RAW!D939</f>
        <v/>
      </c>
      <c r="C941" s="31">
        <f>CHAIN_RAW!A939</f>
        <v/>
      </c>
      <c r="D941" s="31">
        <f>CHAIN_RAW!C939</f>
        <v/>
      </c>
      <c r="E941" s="31">
        <f>CHAIN_RAW!E939</f>
        <v/>
      </c>
      <c r="F941" s="31">
        <f>CHAIN_RAW!F939</f>
        <v/>
      </c>
      <c r="G941" s="31">
        <f>CHAIN_RAW!I939</f>
        <v/>
      </c>
      <c r="H941" s="31">
        <f>CHAIN_RAW!Q939</f>
        <v/>
      </c>
      <c r="I941" s="31">
        <f>LET(pc,F941,oc,H941,IF(OR(pc="",oc=""),"",IF(AND(pc&gt;0,oc&gt;0),"Long Buildup",IF(AND(pc&lt;0,oc&gt;0),"Short Buildup",IF(AND(pc&gt;0,oc&lt;0),"Short Covering",IF(AND(pc&lt;0,oc&lt;0),"Long Unwinding","Flat"))))))</f>
        <v/>
      </c>
      <c r="J941" s="31">
        <f>LET(pc,ABS(F941),oc,ABS(H941),IF(OR(pc="",oc=""),"",MAX(1,MIN(5,ROUND((pc*0.5+oc*0.00001)*5,0))))))</f>
        <v/>
      </c>
    </row>
    <row r="942">
      <c r="A942" s="31" t="n">
        <v>940</v>
      </c>
      <c r="B942" s="31">
        <f>CHAIN_RAW!D940</f>
        <v/>
      </c>
      <c r="C942" s="31">
        <f>CHAIN_RAW!A940</f>
        <v/>
      </c>
      <c r="D942" s="31">
        <f>CHAIN_RAW!C940</f>
        <v/>
      </c>
      <c r="E942" s="31">
        <f>CHAIN_RAW!E940</f>
        <v/>
      </c>
      <c r="F942" s="31">
        <f>CHAIN_RAW!F940</f>
        <v/>
      </c>
      <c r="G942" s="31">
        <f>CHAIN_RAW!I940</f>
        <v/>
      </c>
      <c r="H942" s="31">
        <f>CHAIN_RAW!Q940</f>
        <v/>
      </c>
      <c r="I942" s="31">
        <f>LET(pc,F942,oc,H942,IF(OR(pc="",oc=""),"",IF(AND(pc&gt;0,oc&gt;0),"Long Buildup",IF(AND(pc&lt;0,oc&gt;0),"Short Buildup",IF(AND(pc&gt;0,oc&lt;0),"Short Covering",IF(AND(pc&lt;0,oc&lt;0),"Long Unwinding","Flat"))))))</f>
        <v/>
      </c>
      <c r="J942" s="31">
        <f>LET(pc,ABS(F942),oc,ABS(H942),IF(OR(pc="",oc=""),"",MAX(1,MIN(5,ROUND((pc*0.5+oc*0.00001)*5,0))))))</f>
        <v/>
      </c>
    </row>
    <row r="943">
      <c r="A943" s="31" t="n">
        <v>941</v>
      </c>
      <c r="B943" s="31">
        <f>CHAIN_RAW!D941</f>
        <v/>
      </c>
      <c r="C943" s="31">
        <f>CHAIN_RAW!A941</f>
        <v/>
      </c>
      <c r="D943" s="31">
        <f>CHAIN_RAW!C941</f>
        <v/>
      </c>
      <c r="E943" s="31">
        <f>CHAIN_RAW!E941</f>
        <v/>
      </c>
      <c r="F943" s="31">
        <f>CHAIN_RAW!F941</f>
        <v/>
      </c>
      <c r="G943" s="31">
        <f>CHAIN_RAW!I941</f>
        <v/>
      </c>
      <c r="H943" s="31">
        <f>CHAIN_RAW!Q941</f>
        <v/>
      </c>
      <c r="I943" s="31">
        <f>LET(pc,F943,oc,H943,IF(OR(pc="",oc=""),"",IF(AND(pc&gt;0,oc&gt;0),"Long Buildup",IF(AND(pc&lt;0,oc&gt;0),"Short Buildup",IF(AND(pc&gt;0,oc&lt;0),"Short Covering",IF(AND(pc&lt;0,oc&lt;0),"Long Unwinding","Flat"))))))</f>
        <v/>
      </c>
      <c r="J943" s="31">
        <f>LET(pc,ABS(F943),oc,ABS(H943),IF(OR(pc="",oc=""),"",MAX(1,MIN(5,ROUND((pc*0.5+oc*0.00001)*5,0))))))</f>
        <v/>
      </c>
    </row>
    <row r="944">
      <c r="A944" s="31" t="n">
        <v>942</v>
      </c>
      <c r="B944" s="31">
        <f>CHAIN_RAW!D942</f>
        <v/>
      </c>
      <c r="C944" s="31">
        <f>CHAIN_RAW!A942</f>
        <v/>
      </c>
      <c r="D944" s="31">
        <f>CHAIN_RAW!C942</f>
        <v/>
      </c>
      <c r="E944" s="31">
        <f>CHAIN_RAW!E942</f>
        <v/>
      </c>
      <c r="F944" s="31">
        <f>CHAIN_RAW!F942</f>
        <v/>
      </c>
      <c r="G944" s="31">
        <f>CHAIN_RAW!I942</f>
        <v/>
      </c>
      <c r="H944" s="31">
        <f>CHAIN_RAW!Q942</f>
        <v/>
      </c>
      <c r="I944" s="31">
        <f>LET(pc,F944,oc,H944,IF(OR(pc="",oc=""),"",IF(AND(pc&gt;0,oc&gt;0),"Long Buildup",IF(AND(pc&lt;0,oc&gt;0),"Short Buildup",IF(AND(pc&gt;0,oc&lt;0),"Short Covering",IF(AND(pc&lt;0,oc&lt;0),"Long Unwinding","Flat"))))))</f>
        <v/>
      </c>
      <c r="J944" s="31">
        <f>LET(pc,ABS(F944),oc,ABS(H944),IF(OR(pc="",oc=""),"",MAX(1,MIN(5,ROUND((pc*0.5+oc*0.00001)*5,0))))))</f>
        <v/>
      </c>
    </row>
    <row r="945">
      <c r="A945" s="31" t="n">
        <v>943</v>
      </c>
      <c r="B945" s="31">
        <f>CHAIN_RAW!D943</f>
        <v/>
      </c>
      <c r="C945" s="31">
        <f>CHAIN_RAW!A943</f>
        <v/>
      </c>
      <c r="D945" s="31">
        <f>CHAIN_RAW!C943</f>
        <v/>
      </c>
      <c r="E945" s="31">
        <f>CHAIN_RAW!E943</f>
        <v/>
      </c>
      <c r="F945" s="31">
        <f>CHAIN_RAW!F943</f>
        <v/>
      </c>
      <c r="G945" s="31">
        <f>CHAIN_RAW!I943</f>
        <v/>
      </c>
      <c r="H945" s="31">
        <f>CHAIN_RAW!Q943</f>
        <v/>
      </c>
      <c r="I945" s="31">
        <f>LET(pc,F945,oc,H945,IF(OR(pc="",oc=""),"",IF(AND(pc&gt;0,oc&gt;0),"Long Buildup",IF(AND(pc&lt;0,oc&gt;0),"Short Buildup",IF(AND(pc&gt;0,oc&lt;0),"Short Covering",IF(AND(pc&lt;0,oc&lt;0),"Long Unwinding","Flat"))))))</f>
        <v/>
      </c>
      <c r="J945" s="31">
        <f>LET(pc,ABS(F945),oc,ABS(H945),IF(OR(pc="",oc=""),"",MAX(1,MIN(5,ROUND((pc*0.5+oc*0.00001)*5,0))))))</f>
        <v/>
      </c>
    </row>
    <row r="946">
      <c r="A946" s="31" t="n">
        <v>944</v>
      </c>
      <c r="B946" s="31">
        <f>CHAIN_RAW!D944</f>
        <v/>
      </c>
      <c r="C946" s="31">
        <f>CHAIN_RAW!A944</f>
        <v/>
      </c>
      <c r="D946" s="31">
        <f>CHAIN_RAW!C944</f>
        <v/>
      </c>
      <c r="E946" s="31">
        <f>CHAIN_RAW!E944</f>
        <v/>
      </c>
      <c r="F946" s="31">
        <f>CHAIN_RAW!F944</f>
        <v/>
      </c>
      <c r="G946" s="31">
        <f>CHAIN_RAW!I944</f>
        <v/>
      </c>
      <c r="H946" s="31">
        <f>CHAIN_RAW!Q944</f>
        <v/>
      </c>
      <c r="I946" s="31">
        <f>LET(pc,F946,oc,H946,IF(OR(pc="",oc=""),"",IF(AND(pc&gt;0,oc&gt;0),"Long Buildup",IF(AND(pc&lt;0,oc&gt;0),"Short Buildup",IF(AND(pc&gt;0,oc&lt;0),"Short Covering",IF(AND(pc&lt;0,oc&lt;0),"Long Unwinding","Flat"))))))</f>
        <v/>
      </c>
      <c r="J946" s="31">
        <f>LET(pc,ABS(F946),oc,ABS(H946),IF(OR(pc="",oc=""),"",MAX(1,MIN(5,ROUND((pc*0.5+oc*0.00001)*5,0))))))</f>
        <v/>
      </c>
    </row>
    <row r="947">
      <c r="A947" s="31" t="n">
        <v>945</v>
      </c>
      <c r="B947" s="31">
        <f>CHAIN_RAW!D945</f>
        <v/>
      </c>
      <c r="C947" s="31">
        <f>CHAIN_RAW!A945</f>
        <v/>
      </c>
      <c r="D947" s="31">
        <f>CHAIN_RAW!C945</f>
        <v/>
      </c>
      <c r="E947" s="31">
        <f>CHAIN_RAW!E945</f>
        <v/>
      </c>
      <c r="F947" s="31">
        <f>CHAIN_RAW!F945</f>
        <v/>
      </c>
      <c r="G947" s="31">
        <f>CHAIN_RAW!I945</f>
        <v/>
      </c>
      <c r="H947" s="31">
        <f>CHAIN_RAW!Q945</f>
        <v/>
      </c>
      <c r="I947" s="31">
        <f>LET(pc,F947,oc,H947,IF(OR(pc="",oc=""),"",IF(AND(pc&gt;0,oc&gt;0),"Long Buildup",IF(AND(pc&lt;0,oc&gt;0),"Short Buildup",IF(AND(pc&gt;0,oc&lt;0),"Short Covering",IF(AND(pc&lt;0,oc&lt;0),"Long Unwinding","Flat"))))))</f>
        <v/>
      </c>
      <c r="J947" s="31">
        <f>LET(pc,ABS(F947),oc,ABS(H947),IF(OR(pc="",oc=""),"",MAX(1,MIN(5,ROUND((pc*0.5+oc*0.00001)*5,0))))))</f>
        <v/>
      </c>
    </row>
    <row r="948">
      <c r="A948" s="31" t="n">
        <v>946</v>
      </c>
      <c r="B948" s="31">
        <f>CHAIN_RAW!D946</f>
        <v/>
      </c>
      <c r="C948" s="31">
        <f>CHAIN_RAW!A946</f>
        <v/>
      </c>
      <c r="D948" s="31">
        <f>CHAIN_RAW!C946</f>
        <v/>
      </c>
      <c r="E948" s="31">
        <f>CHAIN_RAW!E946</f>
        <v/>
      </c>
      <c r="F948" s="31">
        <f>CHAIN_RAW!F946</f>
        <v/>
      </c>
      <c r="G948" s="31">
        <f>CHAIN_RAW!I946</f>
        <v/>
      </c>
      <c r="H948" s="31">
        <f>CHAIN_RAW!Q946</f>
        <v/>
      </c>
      <c r="I948" s="31">
        <f>LET(pc,F948,oc,H948,IF(OR(pc="",oc=""),"",IF(AND(pc&gt;0,oc&gt;0),"Long Buildup",IF(AND(pc&lt;0,oc&gt;0),"Short Buildup",IF(AND(pc&gt;0,oc&lt;0),"Short Covering",IF(AND(pc&lt;0,oc&lt;0),"Long Unwinding","Flat"))))))</f>
        <v/>
      </c>
      <c r="J948" s="31">
        <f>LET(pc,ABS(F948),oc,ABS(H948),IF(OR(pc="",oc=""),"",MAX(1,MIN(5,ROUND((pc*0.5+oc*0.00001)*5,0))))))</f>
        <v/>
      </c>
    </row>
    <row r="949">
      <c r="A949" s="31" t="n">
        <v>947</v>
      </c>
      <c r="B949" s="31">
        <f>CHAIN_RAW!D947</f>
        <v/>
      </c>
      <c r="C949" s="31">
        <f>CHAIN_RAW!A947</f>
        <v/>
      </c>
      <c r="D949" s="31">
        <f>CHAIN_RAW!C947</f>
        <v/>
      </c>
      <c r="E949" s="31">
        <f>CHAIN_RAW!E947</f>
        <v/>
      </c>
      <c r="F949" s="31">
        <f>CHAIN_RAW!F947</f>
        <v/>
      </c>
      <c r="G949" s="31">
        <f>CHAIN_RAW!I947</f>
        <v/>
      </c>
      <c r="H949" s="31">
        <f>CHAIN_RAW!Q947</f>
        <v/>
      </c>
      <c r="I949" s="31">
        <f>LET(pc,F949,oc,H949,IF(OR(pc="",oc=""),"",IF(AND(pc&gt;0,oc&gt;0),"Long Buildup",IF(AND(pc&lt;0,oc&gt;0),"Short Buildup",IF(AND(pc&gt;0,oc&lt;0),"Short Covering",IF(AND(pc&lt;0,oc&lt;0),"Long Unwinding","Flat"))))))</f>
        <v/>
      </c>
      <c r="J949" s="31">
        <f>LET(pc,ABS(F949),oc,ABS(H949),IF(OR(pc="",oc=""),"",MAX(1,MIN(5,ROUND((pc*0.5+oc*0.00001)*5,0))))))</f>
        <v/>
      </c>
    </row>
    <row r="950">
      <c r="A950" s="31" t="n">
        <v>948</v>
      </c>
      <c r="B950" s="31">
        <f>CHAIN_RAW!D948</f>
        <v/>
      </c>
      <c r="C950" s="31">
        <f>CHAIN_RAW!A948</f>
        <v/>
      </c>
      <c r="D950" s="31">
        <f>CHAIN_RAW!C948</f>
        <v/>
      </c>
      <c r="E950" s="31">
        <f>CHAIN_RAW!E948</f>
        <v/>
      </c>
      <c r="F950" s="31">
        <f>CHAIN_RAW!F948</f>
        <v/>
      </c>
      <c r="G950" s="31">
        <f>CHAIN_RAW!I948</f>
        <v/>
      </c>
      <c r="H950" s="31">
        <f>CHAIN_RAW!Q948</f>
        <v/>
      </c>
      <c r="I950" s="31">
        <f>LET(pc,F950,oc,H950,IF(OR(pc="",oc=""),"",IF(AND(pc&gt;0,oc&gt;0),"Long Buildup",IF(AND(pc&lt;0,oc&gt;0),"Short Buildup",IF(AND(pc&gt;0,oc&lt;0),"Short Covering",IF(AND(pc&lt;0,oc&lt;0),"Long Unwinding","Flat"))))))</f>
        <v/>
      </c>
      <c r="J950" s="31">
        <f>LET(pc,ABS(F950),oc,ABS(H950),IF(OR(pc="",oc=""),"",MAX(1,MIN(5,ROUND((pc*0.5+oc*0.00001)*5,0))))))</f>
        <v/>
      </c>
    </row>
    <row r="951">
      <c r="A951" s="31" t="n">
        <v>949</v>
      </c>
      <c r="B951" s="31">
        <f>CHAIN_RAW!D949</f>
        <v/>
      </c>
      <c r="C951" s="31">
        <f>CHAIN_RAW!A949</f>
        <v/>
      </c>
      <c r="D951" s="31">
        <f>CHAIN_RAW!C949</f>
        <v/>
      </c>
      <c r="E951" s="31">
        <f>CHAIN_RAW!E949</f>
        <v/>
      </c>
      <c r="F951" s="31">
        <f>CHAIN_RAW!F949</f>
        <v/>
      </c>
      <c r="G951" s="31">
        <f>CHAIN_RAW!I949</f>
        <v/>
      </c>
      <c r="H951" s="31">
        <f>CHAIN_RAW!Q949</f>
        <v/>
      </c>
      <c r="I951" s="31">
        <f>LET(pc,F951,oc,H951,IF(OR(pc="",oc=""),"",IF(AND(pc&gt;0,oc&gt;0),"Long Buildup",IF(AND(pc&lt;0,oc&gt;0),"Short Buildup",IF(AND(pc&gt;0,oc&lt;0),"Short Covering",IF(AND(pc&lt;0,oc&lt;0),"Long Unwinding","Flat"))))))</f>
        <v/>
      </c>
      <c r="J951" s="31">
        <f>LET(pc,ABS(F951),oc,ABS(H951),IF(OR(pc="",oc=""),"",MAX(1,MIN(5,ROUND((pc*0.5+oc*0.00001)*5,0))))))</f>
        <v/>
      </c>
    </row>
    <row r="952">
      <c r="A952" s="31" t="n">
        <v>950</v>
      </c>
      <c r="B952" s="31">
        <f>CHAIN_RAW!D950</f>
        <v/>
      </c>
      <c r="C952" s="31">
        <f>CHAIN_RAW!A950</f>
        <v/>
      </c>
      <c r="D952" s="31">
        <f>CHAIN_RAW!C950</f>
        <v/>
      </c>
      <c r="E952" s="31">
        <f>CHAIN_RAW!E950</f>
        <v/>
      </c>
      <c r="F952" s="31">
        <f>CHAIN_RAW!F950</f>
        <v/>
      </c>
      <c r="G952" s="31">
        <f>CHAIN_RAW!I950</f>
        <v/>
      </c>
      <c r="H952" s="31">
        <f>CHAIN_RAW!Q950</f>
        <v/>
      </c>
      <c r="I952" s="31">
        <f>LET(pc,F952,oc,H952,IF(OR(pc="",oc=""),"",IF(AND(pc&gt;0,oc&gt;0),"Long Buildup",IF(AND(pc&lt;0,oc&gt;0),"Short Buildup",IF(AND(pc&gt;0,oc&lt;0),"Short Covering",IF(AND(pc&lt;0,oc&lt;0),"Long Unwinding","Flat"))))))</f>
        <v/>
      </c>
      <c r="J952" s="31">
        <f>LET(pc,ABS(F952),oc,ABS(H952),IF(OR(pc="",oc=""),"",MAX(1,MIN(5,ROUND((pc*0.5+oc*0.00001)*5,0))))))</f>
        <v/>
      </c>
    </row>
    <row r="953">
      <c r="A953" s="31" t="n">
        <v>951</v>
      </c>
      <c r="B953" s="31">
        <f>CHAIN_RAW!D951</f>
        <v/>
      </c>
      <c r="C953" s="31">
        <f>CHAIN_RAW!A951</f>
        <v/>
      </c>
      <c r="D953" s="31">
        <f>CHAIN_RAW!C951</f>
        <v/>
      </c>
      <c r="E953" s="31">
        <f>CHAIN_RAW!E951</f>
        <v/>
      </c>
      <c r="F953" s="31">
        <f>CHAIN_RAW!F951</f>
        <v/>
      </c>
      <c r="G953" s="31">
        <f>CHAIN_RAW!I951</f>
        <v/>
      </c>
      <c r="H953" s="31">
        <f>CHAIN_RAW!Q951</f>
        <v/>
      </c>
      <c r="I953" s="31">
        <f>LET(pc,F953,oc,H953,IF(OR(pc="",oc=""),"",IF(AND(pc&gt;0,oc&gt;0),"Long Buildup",IF(AND(pc&lt;0,oc&gt;0),"Short Buildup",IF(AND(pc&gt;0,oc&lt;0),"Short Covering",IF(AND(pc&lt;0,oc&lt;0),"Long Unwinding","Flat"))))))</f>
        <v/>
      </c>
      <c r="J953" s="31">
        <f>LET(pc,ABS(F953),oc,ABS(H953),IF(OR(pc="",oc=""),"",MAX(1,MIN(5,ROUND((pc*0.5+oc*0.00001)*5,0))))))</f>
        <v/>
      </c>
    </row>
    <row r="954">
      <c r="A954" s="31" t="n">
        <v>952</v>
      </c>
      <c r="B954" s="31">
        <f>CHAIN_RAW!D952</f>
        <v/>
      </c>
      <c r="C954" s="31">
        <f>CHAIN_RAW!A952</f>
        <v/>
      </c>
      <c r="D954" s="31">
        <f>CHAIN_RAW!C952</f>
        <v/>
      </c>
      <c r="E954" s="31">
        <f>CHAIN_RAW!E952</f>
        <v/>
      </c>
      <c r="F954" s="31">
        <f>CHAIN_RAW!F952</f>
        <v/>
      </c>
      <c r="G954" s="31">
        <f>CHAIN_RAW!I952</f>
        <v/>
      </c>
      <c r="H954" s="31">
        <f>CHAIN_RAW!Q952</f>
        <v/>
      </c>
      <c r="I954" s="31">
        <f>LET(pc,F954,oc,H954,IF(OR(pc="",oc=""),"",IF(AND(pc&gt;0,oc&gt;0),"Long Buildup",IF(AND(pc&lt;0,oc&gt;0),"Short Buildup",IF(AND(pc&gt;0,oc&lt;0),"Short Covering",IF(AND(pc&lt;0,oc&lt;0),"Long Unwinding","Flat"))))))</f>
        <v/>
      </c>
      <c r="J954" s="31">
        <f>LET(pc,ABS(F954),oc,ABS(H954),IF(OR(pc="",oc=""),"",MAX(1,MIN(5,ROUND((pc*0.5+oc*0.00001)*5,0))))))</f>
        <v/>
      </c>
    </row>
    <row r="955">
      <c r="A955" s="31" t="n">
        <v>953</v>
      </c>
      <c r="B955" s="31">
        <f>CHAIN_RAW!D953</f>
        <v/>
      </c>
      <c r="C955" s="31">
        <f>CHAIN_RAW!A953</f>
        <v/>
      </c>
      <c r="D955" s="31">
        <f>CHAIN_RAW!C953</f>
        <v/>
      </c>
      <c r="E955" s="31">
        <f>CHAIN_RAW!E953</f>
        <v/>
      </c>
      <c r="F955" s="31">
        <f>CHAIN_RAW!F953</f>
        <v/>
      </c>
      <c r="G955" s="31">
        <f>CHAIN_RAW!I953</f>
        <v/>
      </c>
      <c r="H955" s="31">
        <f>CHAIN_RAW!Q953</f>
        <v/>
      </c>
      <c r="I955" s="31">
        <f>LET(pc,F955,oc,H955,IF(OR(pc="",oc=""),"",IF(AND(pc&gt;0,oc&gt;0),"Long Buildup",IF(AND(pc&lt;0,oc&gt;0),"Short Buildup",IF(AND(pc&gt;0,oc&lt;0),"Short Covering",IF(AND(pc&lt;0,oc&lt;0),"Long Unwinding","Flat"))))))</f>
        <v/>
      </c>
      <c r="J955" s="31">
        <f>LET(pc,ABS(F955),oc,ABS(H955),IF(OR(pc="",oc=""),"",MAX(1,MIN(5,ROUND((pc*0.5+oc*0.00001)*5,0))))))</f>
        <v/>
      </c>
    </row>
    <row r="956">
      <c r="A956" s="31" t="n">
        <v>954</v>
      </c>
      <c r="B956" s="31">
        <f>CHAIN_RAW!D954</f>
        <v/>
      </c>
      <c r="C956" s="31">
        <f>CHAIN_RAW!A954</f>
        <v/>
      </c>
      <c r="D956" s="31">
        <f>CHAIN_RAW!C954</f>
        <v/>
      </c>
      <c r="E956" s="31">
        <f>CHAIN_RAW!E954</f>
        <v/>
      </c>
      <c r="F956" s="31">
        <f>CHAIN_RAW!F954</f>
        <v/>
      </c>
      <c r="G956" s="31">
        <f>CHAIN_RAW!I954</f>
        <v/>
      </c>
      <c r="H956" s="31">
        <f>CHAIN_RAW!Q954</f>
        <v/>
      </c>
      <c r="I956" s="31">
        <f>LET(pc,F956,oc,H956,IF(OR(pc="",oc=""),"",IF(AND(pc&gt;0,oc&gt;0),"Long Buildup",IF(AND(pc&lt;0,oc&gt;0),"Short Buildup",IF(AND(pc&gt;0,oc&lt;0),"Short Covering",IF(AND(pc&lt;0,oc&lt;0),"Long Unwinding","Flat"))))))</f>
        <v/>
      </c>
      <c r="J956" s="31">
        <f>LET(pc,ABS(F956),oc,ABS(H956),IF(OR(pc="",oc=""),"",MAX(1,MIN(5,ROUND((pc*0.5+oc*0.00001)*5,0))))))</f>
        <v/>
      </c>
    </row>
    <row r="957">
      <c r="A957" s="31" t="n">
        <v>955</v>
      </c>
      <c r="B957" s="31">
        <f>CHAIN_RAW!D955</f>
        <v/>
      </c>
      <c r="C957" s="31">
        <f>CHAIN_RAW!A955</f>
        <v/>
      </c>
      <c r="D957" s="31">
        <f>CHAIN_RAW!C955</f>
        <v/>
      </c>
      <c r="E957" s="31">
        <f>CHAIN_RAW!E955</f>
        <v/>
      </c>
      <c r="F957" s="31">
        <f>CHAIN_RAW!F955</f>
        <v/>
      </c>
      <c r="G957" s="31">
        <f>CHAIN_RAW!I955</f>
        <v/>
      </c>
      <c r="H957" s="31">
        <f>CHAIN_RAW!Q955</f>
        <v/>
      </c>
      <c r="I957" s="31">
        <f>LET(pc,F957,oc,H957,IF(OR(pc="",oc=""),"",IF(AND(pc&gt;0,oc&gt;0),"Long Buildup",IF(AND(pc&lt;0,oc&gt;0),"Short Buildup",IF(AND(pc&gt;0,oc&lt;0),"Short Covering",IF(AND(pc&lt;0,oc&lt;0),"Long Unwinding","Flat"))))))</f>
        <v/>
      </c>
      <c r="J957" s="31">
        <f>LET(pc,ABS(F957),oc,ABS(H957),IF(OR(pc="",oc=""),"",MAX(1,MIN(5,ROUND((pc*0.5+oc*0.00001)*5,0))))))</f>
        <v/>
      </c>
    </row>
    <row r="958">
      <c r="A958" s="31" t="n">
        <v>956</v>
      </c>
      <c r="B958" s="31">
        <f>CHAIN_RAW!D956</f>
        <v/>
      </c>
      <c r="C958" s="31">
        <f>CHAIN_RAW!A956</f>
        <v/>
      </c>
      <c r="D958" s="31">
        <f>CHAIN_RAW!C956</f>
        <v/>
      </c>
      <c r="E958" s="31">
        <f>CHAIN_RAW!E956</f>
        <v/>
      </c>
      <c r="F958" s="31">
        <f>CHAIN_RAW!F956</f>
        <v/>
      </c>
      <c r="G958" s="31">
        <f>CHAIN_RAW!I956</f>
        <v/>
      </c>
      <c r="H958" s="31">
        <f>CHAIN_RAW!Q956</f>
        <v/>
      </c>
      <c r="I958" s="31">
        <f>LET(pc,F958,oc,H958,IF(OR(pc="",oc=""),"",IF(AND(pc&gt;0,oc&gt;0),"Long Buildup",IF(AND(pc&lt;0,oc&gt;0),"Short Buildup",IF(AND(pc&gt;0,oc&lt;0),"Short Covering",IF(AND(pc&lt;0,oc&lt;0),"Long Unwinding","Flat"))))))</f>
        <v/>
      </c>
      <c r="J958" s="31">
        <f>LET(pc,ABS(F958),oc,ABS(H958),IF(OR(pc="",oc=""),"",MAX(1,MIN(5,ROUND((pc*0.5+oc*0.00001)*5,0))))))</f>
        <v/>
      </c>
    </row>
    <row r="959">
      <c r="A959" s="31" t="n">
        <v>957</v>
      </c>
      <c r="B959" s="31">
        <f>CHAIN_RAW!D957</f>
        <v/>
      </c>
      <c r="C959" s="31">
        <f>CHAIN_RAW!A957</f>
        <v/>
      </c>
      <c r="D959" s="31">
        <f>CHAIN_RAW!C957</f>
        <v/>
      </c>
      <c r="E959" s="31">
        <f>CHAIN_RAW!E957</f>
        <v/>
      </c>
      <c r="F959" s="31">
        <f>CHAIN_RAW!F957</f>
        <v/>
      </c>
      <c r="G959" s="31">
        <f>CHAIN_RAW!I957</f>
        <v/>
      </c>
      <c r="H959" s="31">
        <f>CHAIN_RAW!Q957</f>
        <v/>
      </c>
      <c r="I959" s="31">
        <f>LET(pc,F959,oc,H959,IF(OR(pc="",oc=""),"",IF(AND(pc&gt;0,oc&gt;0),"Long Buildup",IF(AND(pc&lt;0,oc&gt;0),"Short Buildup",IF(AND(pc&gt;0,oc&lt;0),"Short Covering",IF(AND(pc&lt;0,oc&lt;0),"Long Unwinding","Flat"))))))</f>
        <v/>
      </c>
      <c r="J959" s="31">
        <f>LET(pc,ABS(F959),oc,ABS(H959),IF(OR(pc="",oc=""),"",MAX(1,MIN(5,ROUND((pc*0.5+oc*0.00001)*5,0))))))</f>
        <v/>
      </c>
    </row>
    <row r="960">
      <c r="A960" s="31" t="n">
        <v>958</v>
      </c>
      <c r="B960" s="31">
        <f>CHAIN_RAW!D958</f>
        <v/>
      </c>
      <c r="C960" s="31">
        <f>CHAIN_RAW!A958</f>
        <v/>
      </c>
      <c r="D960" s="31">
        <f>CHAIN_RAW!C958</f>
        <v/>
      </c>
      <c r="E960" s="31">
        <f>CHAIN_RAW!E958</f>
        <v/>
      </c>
      <c r="F960" s="31">
        <f>CHAIN_RAW!F958</f>
        <v/>
      </c>
      <c r="G960" s="31">
        <f>CHAIN_RAW!I958</f>
        <v/>
      </c>
      <c r="H960" s="31">
        <f>CHAIN_RAW!Q958</f>
        <v/>
      </c>
      <c r="I960" s="31">
        <f>LET(pc,F960,oc,H960,IF(OR(pc="",oc=""),"",IF(AND(pc&gt;0,oc&gt;0),"Long Buildup",IF(AND(pc&lt;0,oc&gt;0),"Short Buildup",IF(AND(pc&gt;0,oc&lt;0),"Short Covering",IF(AND(pc&lt;0,oc&lt;0),"Long Unwinding","Flat"))))))</f>
        <v/>
      </c>
      <c r="J960" s="31">
        <f>LET(pc,ABS(F960),oc,ABS(H960),IF(OR(pc="",oc=""),"",MAX(1,MIN(5,ROUND((pc*0.5+oc*0.00001)*5,0))))))</f>
        <v/>
      </c>
    </row>
    <row r="961">
      <c r="A961" s="31" t="n">
        <v>959</v>
      </c>
      <c r="B961" s="31">
        <f>CHAIN_RAW!D959</f>
        <v/>
      </c>
      <c r="C961" s="31">
        <f>CHAIN_RAW!A959</f>
        <v/>
      </c>
      <c r="D961" s="31">
        <f>CHAIN_RAW!C959</f>
        <v/>
      </c>
      <c r="E961" s="31">
        <f>CHAIN_RAW!E959</f>
        <v/>
      </c>
      <c r="F961" s="31">
        <f>CHAIN_RAW!F959</f>
        <v/>
      </c>
      <c r="G961" s="31">
        <f>CHAIN_RAW!I959</f>
        <v/>
      </c>
      <c r="H961" s="31">
        <f>CHAIN_RAW!Q959</f>
        <v/>
      </c>
      <c r="I961" s="31">
        <f>LET(pc,F961,oc,H961,IF(OR(pc="",oc=""),"",IF(AND(pc&gt;0,oc&gt;0),"Long Buildup",IF(AND(pc&lt;0,oc&gt;0),"Short Buildup",IF(AND(pc&gt;0,oc&lt;0),"Short Covering",IF(AND(pc&lt;0,oc&lt;0),"Long Unwinding","Flat"))))))</f>
        <v/>
      </c>
      <c r="J961" s="31">
        <f>LET(pc,ABS(F961),oc,ABS(H961),IF(OR(pc="",oc=""),"",MAX(1,MIN(5,ROUND((pc*0.5+oc*0.00001)*5,0))))))</f>
        <v/>
      </c>
    </row>
    <row r="962">
      <c r="A962" s="31" t="n">
        <v>960</v>
      </c>
      <c r="B962" s="31">
        <f>CHAIN_RAW!D960</f>
        <v/>
      </c>
      <c r="C962" s="31">
        <f>CHAIN_RAW!A960</f>
        <v/>
      </c>
      <c r="D962" s="31">
        <f>CHAIN_RAW!C960</f>
        <v/>
      </c>
      <c r="E962" s="31">
        <f>CHAIN_RAW!E960</f>
        <v/>
      </c>
      <c r="F962" s="31">
        <f>CHAIN_RAW!F960</f>
        <v/>
      </c>
      <c r="G962" s="31">
        <f>CHAIN_RAW!I960</f>
        <v/>
      </c>
      <c r="H962" s="31">
        <f>CHAIN_RAW!Q960</f>
        <v/>
      </c>
      <c r="I962" s="31">
        <f>LET(pc,F962,oc,H962,IF(OR(pc="",oc=""),"",IF(AND(pc&gt;0,oc&gt;0),"Long Buildup",IF(AND(pc&lt;0,oc&gt;0),"Short Buildup",IF(AND(pc&gt;0,oc&lt;0),"Short Covering",IF(AND(pc&lt;0,oc&lt;0),"Long Unwinding","Flat"))))))</f>
        <v/>
      </c>
      <c r="J962" s="31">
        <f>LET(pc,ABS(F962),oc,ABS(H962),IF(OR(pc="",oc=""),"",MAX(1,MIN(5,ROUND((pc*0.5+oc*0.00001)*5,0))))))</f>
        <v/>
      </c>
    </row>
    <row r="963">
      <c r="A963" s="31" t="n">
        <v>961</v>
      </c>
      <c r="B963" s="31">
        <f>CHAIN_RAW!D961</f>
        <v/>
      </c>
      <c r="C963" s="31">
        <f>CHAIN_RAW!A961</f>
        <v/>
      </c>
      <c r="D963" s="31">
        <f>CHAIN_RAW!C961</f>
        <v/>
      </c>
      <c r="E963" s="31">
        <f>CHAIN_RAW!E961</f>
        <v/>
      </c>
      <c r="F963" s="31">
        <f>CHAIN_RAW!F961</f>
        <v/>
      </c>
      <c r="G963" s="31">
        <f>CHAIN_RAW!I961</f>
        <v/>
      </c>
      <c r="H963" s="31">
        <f>CHAIN_RAW!Q961</f>
        <v/>
      </c>
      <c r="I963" s="31">
        <f>LET(pc,F963,oc,H963,IF(OR(pc="",oc=""),"",IF(AND(pc&gt;0,oc&gt;0),"Long Buildup",IF(AND(pc&lt;0,oc&gt;0),"Short Buildup",IF(AND(pc&gt;0,oc&lt;0),"Short Covering",IF(AND(pc&lt;0,oc&lt;0),"Long Unwinding","Flat"))))))</f>
        <v/>
      </c>
      <c r="J963" s="31">
        <f>LET(pc,ABS(F963),oc,ABS(H963),IF(OR(pc="",oc=""),"",MAX(1,MIN(5,ROUND((pc*0.5+oc*0.00001)*5,0))))))</f>
        <v/>
      </c>
    </row>
    <row r="964">
      <c r="A964" s="31" t="n">
        <v>962</v>
      </c>
      <c r="B964" s="31">
        <f>CHAIN_RAW!D962</f>
        <v/>
      </c>
      <c r="C964" s="31">
        <f>CHAIN_RAW!A962</f>
        <v/>
      </c>
      <c r="D964" s="31">
        <f>CHAIN_RAW!C962</f>
        <v/>
      </c>
      <c r="E964" s="31">
        <f>CHAIN_RAW!E962</f>
        <v/>
      </c>
      <c r="F964" s="31">
        <f>CHAIN_RAW!F962</f>
        <v/>
      </c>
      <c r="G964" s="31">
        <f>CHAIN_RAW!I962</f>
        <v/>
      </c>
      <c r="H964" s="31">
        <f>CHAIN_RAW!Q962</f>
        <v/>
      </c>
      <c r="I964" s="31">
        <f>LET(pc,F964,oc,H964,IF(OR(pc="",oc=""),"",IF(AND(pc&gt;0,oc&gt;0),"Long Buildup",IF(AND(pc&lt;0,oc&gt;0),"Short Buildup",IF(AND(pc&gt;0,oc&lt;0),"Short Covering",IF(AND(pc&lt;0,oc&lt;0),"Long Unwinding","Flat"))))))</f>
        <v/>
      </c>
      <c r="J964" s="31">
        <f>LET(pc,ABS(F964),oc,ABS(H964),IF(OR(pc="",oc=""),"",MAX(1,MIN(5,ROUND((pc*0.5+oc*0.00001)*5,0))))))</f>
        <v/>
      </c>
    </row>
    <row r="965">
      <c r="A965" s="31" t="n">
        <v>963</v>
      </c>
      <c r="B965" s="31">
        <f>CHAIN_RAW!D963</f>
        <v/>
      </c>
      <c r="C965" s="31">
        <f>CHAIN_RAW!A963</f>
        <v/>
      </c>
      <c r="D965" s="31">
        <f>CHAIN_RAW!C963</f>
        <v/>
      </c>
      <c r="E965" s="31">
        <f>CHAIN_RAW!E963</f>
        <v/>
      </c>
      <c r="F965" s="31">
        <f>CHAIN_RAW!F963</f>
        <v/>
      </c>
      <c r="G965" s="31">
        <f>CHAIN_RAW!I963</f>
        <v/>
      </c>
      <c r="H965" s="31">
        <f>CHAIN_RAW!Q963</f>
        <v/>
      </c>
      <c r="I965" s="31">
        <f>LET(pc,F965,oc,H965,IF(OR(pc="",oc=""),"",IF(AND(pc&gt;0,oc&gt;0),"Long Buildup",IF(AND(pc&lt;0,oc&gt;0),"Short Buildup",IF(AND(pc&gt;0,oc&lt;0),"Short Covering",IF(AND(pc&lt;0,oc&lt;0),"Long Unwinding","Flat"))))))</f>
        <v/>
      </c>
      <c r="J965" s="31">
        <f>LET(pc,ABS(F965),oc,ABS(H965),IF(OR(pc="",oc=""),"",MAX(1,MIN(5,ROUND((pc*0.5+oc*0.00001)*5,0))))))</f>
        <v/>
      </c>
    </row>
    <row r="966">
      <c r="A966" s="31" t="n">
        <v>964</v>
      </c>
      <c r="B966" s="31">
        <f>CHAIN_RAW!D964</f>
        <v/>
      </c>
      <c r="C966" s="31">
        <f>CHAIN_RAW!A964</f>
        <v/>
      </c>
      <c r="D966" s="31">
        <f>CHAIN_RAW!C964</f>
        <v/>
      </c>
      <c r="E966" s="31">
        <f>CHAIN_RAW!E964</f>
        <v/>
      </c>
      <c r="F966" s="31">
        <f>CHAIN_RAW!F964</f>
        <v/>
      </c>
      <c r="G966" s="31">
        <f>CHAIN_RAW!I964</f>
        <v/>
      </c>
      <c r="H966" s="31">
        <f>CHAIN_RAW!Q964</f>
        <v/>
      </c>
      <c r="I966" s="31">
        <f>LET(pc,F966,oc,H966,IF(OR(pc="",oc=""),"",IF(AND(pc&gt;0,oc&gt;0),"Long Buildup",IF(AND(pc&lt;0,oc&gt;0),"Short Buildup",IF(AND(pc&gt;0,oc&lt;0),"Short Covering",IF(AND(pc&lt;0,oc&lt;0),"Long Unwinding","Flat"))))))</f>
        <v/>
      </c>
      <c r="J966" s="31">
        <f>LET(pc,ABS(F966),oc,ABS(H966),IF(OR(pc="",oc=""),"",MAX(1,MIN(5,ROUND((pc*0.5+oc*0.00001)*5,0))))))</f>
        <v/>
      </c>
    </row>
    <row r="967">
      <c r="A967" s="31" t="n">
        <v>965</v>
      </c>
      <c r="B967" s="31">
        <f>CHAIN_RAW!D965</f>
        <v/>
      </c>
      <c r="C967" s="31">
        <f>CHAIN_RAW!A965</f>
        <v/>
      </c>
      <c r="D967" s="31">
        <f>CHAIN_RAW!C965</f>
        <v/>
      </c>
      <c r="E967" s="31">
        <f>CHAIN_RAW!E965</f>
        <v/>
      </c>
      <c r="F967" s="31">
        <f>CHAIN_RAW!F965</f>
        <v/>
      </c>
      <c r="G967" s="31">
        <f>CHAIN_RAW!I965</f>
        <v/>
      </c>
      <c r="H967" s="31">
        <f>CHAIN_RAW!Q965</f>
        <v/>
      </c>
      <c r="I967" s="31">
        <f>LET(pc,F967,oc,H967,IF(OR(pc="",oc=""),"",IF(AND(pc&gt;0,oc&gt;0),"Long Buildup",IF(AND(pc&lt;0,oc&gt;0),"Short Buildup",IF(AND(pc&gt;0,oc&lt;0),"Short Covering",IF(AND(pc&lt;0,oc&lt;0),"Long Unwinding","Flat"))))))</f>
        <v/>
      </c>
      <c r="J967" s="31">
        <f>LET(pc,ABS(F967),oc,ABS(H967),IF(OR(pc="",oc=""),"",MAX(1,MIN(5,ROUND((pc*0.5+oc*0.00001)*5,0))))))</f>
        <v/>
      </c>
    </row>
    <row r="968">
      <c r="A968" s="31" t="n">
        <v>966</v>
      </c>
      <c r="B968" s="31">
        <f>CHAIN_RAW!D966</f>
        <v/>
      </c>
      <c r="C968" s="31">
        <f>CHAIN_RAW!A966</f>
        <v/>
      </c>
      <c r="D968" s="31">
        <f>CHAIN_RAW!C966</f>
        <v/>
      </c>
      <c r="E968" s="31">
        <f>CHAIN_RAW!E966</f>
        <v/>
      </c>
      <c r="F968" s="31">
        <f>CHAIN_RAW!F966</f>
        <v/>
      </c>
      <c r="G968" s="31">
        <f>CHAIN_RAW!I966</f>
        <v/>
      </c>
      <c r="H968" s="31">
        <f>CHAIN_RAW!Q966</f>
        <v/>
      </c>
      <c r="I968" s="31">
        <f>LET(pc,F968,oc,H968,IF(OR(pc="",oc=""),"",IF(AND(pc&gt;0,oc&gt;0),"Long Buildup",IF(AND(pc&lt;0,oc&gt;0),"Short Buildup",IF(AND(pc&gt;0,oc&lt;0),"Short Covering",IF(AND(pc&lt;0,oc&lt;0),"Long Unwinding","Flat"))))))</f>
        <v/>
      </c>
      <c r="J968" s="31">
        <f>LET(pc,ABS(F968),oc,ABS(H968),IF(OR(pc="",oc=""),"",MAX(1,MIN(5,ROUND((pc*0.5+oc*0.00001)*5,0))))))</f>
        <v/>
      </c>
    </row>
    <row r="969">
      <c r="A969" s="31" t="n">
        <v>967</v>
      </c>
      <c r="B969" s="31">
        <f>CHAIN_RAW!D967</f>
        <v/>
      </c>
      <c r="C969" s="31">
        <f>CHAIN_RAW!A967</f>
        <v/>
      </c>
      <c r="D969" s="31">
        <f>CHAIN_RAW!C967</f>
        <v/>
      </c>
      <c r="E969" s="31">
        <f>CHAIN_RAW!E967</f>
        <v/>
      </c>
      <c r="F969" s="31">
        <f>CHAIN_RAW!F967</f>
        <v/>
      </c>
      <c r="G969" s="31">
        <f>CHAIN_RAW!I967</f>
        <v/>
      </c>
      <c r="H969" s="31">
        <f>CHAIN_RAW!Q967</f>
        <v/>
      </c>
      <c r="I969" s="31">
        <f>LET(pc,F969,oc,H969,IF(OR(pc="",oc=""),"",IF(AND(pc&gt;0,oc&gt;0),"Long Buildup",IF(AND(pc&lt;0,oc&gt;0),"Short Buildup",IF(AND(pc&gt;0,oc&lt;0),"Short Covering",IF(AND(pc&lt;0,oc&lt;0),"Long Unwinding","Flat"))))))</f>
        <v/>
      </c>
      <c r="J969" s="31">
        <f>LET(pc,ABS(F969),oc,ABS(H969),IF(OR(pc="",oc=""),"",MAX(1,MIN(5,ROUND((pc*0.5+oc*0.00001)*5,0))))))</f>
        <v/>
      </c>
    </row>
    <row r="970">
      <c r="A970" s="31" t="n">
        <v>968</v>
      </c>
      <c r="B970" s="31">
        <f>CHAIN_RAW!D968</f>
        <v/>
      </c>
      <c r="C970" s="31">
        <f>CHAIN_RAW!A968</f>
        <v/>
      </c>
      <c r="D970" s="31">
        <f>CHAIN_RAW!C968</f>
        <v/>
      </c>
      <c r="E970" s="31">
        <f>CHAIN_RAW!E968</f>
        <v/>
      </c>
      <c r="F970" s="31">
        <f>CHAIN_RAW!F968</f>
        <v/>
      </c>
      <c r="G970" s="31">
        <f>CHAIN_RAW!I968</f>
        <v/>
      </c>
      <c r="H970" s="31">
        <f>CHAIN_RAW!Q968</f>
        <v/>
      </c>
      <c r="I970" s="31">
        <f>LET(pc,F970,oc,H970,IF(OR(pc="",oc=""),"",IF(AND(pc&gt;0,oc&gt;0),"Long Buildup",IF(AND(pc&lt;0,oc&gt;0),"Short Buildup",IF(AND(pc&gt;0,oc&lt;0),"Short Covering",IF(AND(pc&lt;0,oc&lt;0),"Long Unwinding","Flat"))))))</f>
        <v/>
      </c>
      <c r="J970" s="31">
        <f>LET(pc,ABS(F970),oc,ABS(H970),IF(OR(pc="",oc=""),"",MAX(1,MIN(5,ROUND((pc*0.5+oc*0.00001)*5,0))))))</f>
        <v/>
      </c>
    </row>
    <row r="971">
      <c r="A971" s="31" t="n">
        <v>969</v>
      </c>
      <c r="B971" s="31">
        <f>CHAIN_RAW!D969</f>
        <v/>
      </c>
      <c r="C971" s="31">
        <f>CHAIN_RAW!A969</f>
        <v/>
      </c>
      <c r="D971" s="31">
        <f>CHAIN_RAW!C969</f>
        <v/>
      </c>
      <c r="E971" s="31">
        <f>CHAIN_RAW!E969</f>
        <v/>
      </c>
      <c r="F971" s="31">
        <f>CHAIN_RAW!F969</f>
        <v/>
      </c>
      <c r="G971" s="31">
        <f>CHAIN_RAW!I969</f>
        <v/>
      </c>
      <c r="H971" s="31">
        <f>CHAIN_RAW!Q969</f>
        <v/>
      </c>
      <c r="I971" s="31">
        <f>LET(pc,F971,oc,H971,IF(OR(pc="",oc=""),"",IF(AND(pc&gt;0,oc&gt;0),"Long Buildup",IF(AND(pc&lt;0,oc&gt;0),"Short Buildup",IF(AND(pc&gt;0,oc&lt;0),"Short Covering",IF(AND(pc&lt;0,oc&lt;0),"Long Unwinding","Flat"))))))</f>
        <v/>
      </c>
      <c r="J971" s="31">
        <f>LET(pc,ABS(F971),oc,ABS(H971),IF(OR(pc="",oc=""),"",MAX(1,MIN(5,ROUND((pc*0.5+oc*0.00001)*5,0))))))</f>
        <v/>
      </c>
    </row>
    <row r="972">
      <c r="A972" s="31" t="n">
        <v>970</v>
      </c>
      <c r="B972" s="31">
        <f>CHAIN_RAW!D970</f>
        <v/>
      </c>
      <c r="C972" s="31">
        <f>CHAIN_RAW!A970</f>
        <v/>
      </c>
      <c r="D972" s="31">
        <f>CHAIN_RAW!C970</f>
        <v/>
      </c>
      <c r="E972" s="31">
        <f>CHAIN_RAW!E970</f>
        <v/>
      </c>
      <c r="F972" s="31">
        <f>CHAIN_RAW!F970</f>
        <v/>
      </c>
      <c r="G972" s="31">
        <f>CHAIN_RAW!I970</f>
        <v/>
      </c>
      <c r="H972" s="31">
        <f>CHAIN_RAW!Q970</f>
        <v/>
      </c>
      <c r="I972" s="31">
        <f>LET(pc,F972,oc,H972,IF(OR(pc="",oc=""),"",IF(AND(pc&gt;0,oc&gt;0),"Long Buildup",IF(AND(pc&lt;0,oc&gt;0),"Short Buildup",IF(AND(pc&gt;0,oc&lt;0),"Short Covering",IF(AND(pc&lt;0,oc&lt;0),"Long Unwinding","Flat"))))))</f>
        <v/>
      </c>
      <c r="J972" s="31">
        <f>LET(pc,ABS(F972),oc,ABS(H972),IF(OR(pc="",oc=""),"",MAX(1,MIN(5,ROUND((pc*0.5+oc*0.00001)*5,0))))))</f>
        <v/>
      </c>
    </row>
    <row r="973">
      <c r="A973" s="31" t="n">
        <v>971</v>
      </c>
      <c r="B973" s="31">
        <f>CHAIN_RAW!D971</f>
        <v/>
      </c>
      <c r="C973" s="31">
        <f>CHAIN_RAW!A971</f>
        <v/>
      </c>
      <c r="D973" s="31">
        <f>CHAIN_RAW!C971</f>
        <v/>
      </c>
      <c r="E973" s="31">
        <f>CHAIN_RAW!E971</f>
        <v/>
      </c>
      <c r="F973" s="31">
        <f>CHAIN_RAW!F971</f>
        <v/>
      </c>
      <c r="G973" s="31">
        <f>CHAIN_RAW!I971</f>
        <v/>
      </c>
      <c r="H973" s="31">
        <f>CHAIN_RAW!Q971</f>
        <v/>
      </c>
      <c r="I973" s="31">
        <f>LET(pc,F973,oc,H973,IF(OR(pc="",oc=""),"",IF(AND(pc&gt;0,oc&gt;0),"Long Buildup",IF(AND(pc&lt;0,oc&gt;0),"Short Buildup",IF(AND(pc&gt;0,oc&lt;0),"Short Covering",IF(AND(pc&lt;0,oc&lt;0),"Long Unwinding","Flat"))))))</f>
        <v/>
      </c>
      <c r="J973" s="31">
        <f>LET(pc,ABS(F973),oc,ABS(H973),IF(OR(pc="",oc=""),"",MAX(1,MIN(5,ROUND((pc*0.5+oc*0.00001)*5,0))))))</f>
        <v/>
      </c>
    </row>
    <row r="974">
      <c r="A974" s="31" t="n">
        <v>972</v>
      </c>
      <c r="B974" s="31">
        <f>CHAIN_RAW!D972</f>
        <v/>
      </c>
      <c r="C974" s="31">
        <f>CHAIN_RAW!A972</f>
        <v/>
      </c>
      <c r="D974" s="31">
        <f>CHAIN_RAW!C972</f>
        <v/>
      </c>
      <c r="E974" s="31">
        <f>CHAIN_RAW!E972</f>
        <v/>
      </c>
      <c r="F974" s="31">
        <f>CHAIN_RAW!F972</f>
        <v/>
      </c>
      <c r="G974" s="31">
        <f>CHAIN_RAW!I972</f>
        <v/>
      </c>
      <c r="H974" s="31">
        <f>CHAIN_RAW!Q972</f>
        <v/>
      </c>
      <c r="I974" s="31">
        <f>LET(pc,F974,oc,H974,IF(OR(pc="",oc=""),"",IF(AND(pc&gt;0,oc&gt;0),"Long Buildup",IF(AND(pc&lt;0,oc&gt;0),"Short Buildup",IF(AND(pc&gt;0,oc&lt;0),"Short Covering",IF(AND(pc&lt;0,oc&lt;0),"Long Unwinding","Flat"))))))</f>
        <v/>
      </c>
      <c r="J974" s="31">
        <f>LET(pc,ABS(F974),oc,ABS(H974),IF(OR(pc="",oc=""),"",MAX(1,MIN(5,ROUND((pc*0.5+oc*0.00001)*5,0))))))</f>
        <v/>
      </c>
    </row>
    <row r="975">
      <c r="A975" s="31" t="n">
        <v>973</v>
      </c>
      <c r="B975" s="31">
        <f>CHAIN_RAW!D973</f>
        <v/>
      </c>
      <c r="C975" s="31">
        <f>CHAIN_RAW!A973</f>
        <v/>
      </c>
      <c r="D975" s="31">
        <f>CHAIN_RAW!C973</f>
        <v/>
      </c>
      <c r="E975" s="31">
        <f>CHAIN_RAW!E973</f>
        <v/>
      </c>
      <c r="F975" s="31">
        <f>CHAIN_RAW!F973</f>
        <v/>
      </c>
      <c r="G975" s="31">
        <f>CHAIN_RAW!I973</f>
        <v/>
      </c>
      <c r="H975" s="31">
        <f>CHAIN_RAW!Q973</f>
        <v/>
      </c>
      <c r="I975" s="31">
        <f>LET(pc,F975,oc,H975,IF(OR(pc="",oc=""),"",IF(AND(pc&gt;0,oc&gt;0),"Long Buildup",IF(AND(pc&lt;0,oc&gt;0),"Short Buildup",IF(AND(pc&gt;0,oc&lt;0),"Short Covering",IF(AND(pc&lt;0,oc&lt;0),"Long Unwinding","Flat"))))))</f>
        <v/>
      </c>
      <c r="J975" s="31">
        <f>LET(pc,ABS(F975),oc,ABS(H975),IF(OR(pc="",oc=""),"",MAX(1,MIN(5,ROUND((pc*0.5+oc*0.00001)*5,0))))))</f>
        <v/>
      </c>
    </row>
    <row r="976">
      <c r="A976" s="31" t="n">
        <v>974</v>
      </c>
      <c r="B976" s="31">
        <f>CHAIN_RAW!D974</f>
        <v/>
      </c>
      <c r="C976" s="31">
        <f>CHAIN_RAW!A974</f>
        <v/>
      </c>
      <c r="D976" s="31">
        <f>CHAIN_RAW!C974</f>
        <v/>
      </c>
      <c r="E976" s="31">
        <f>CHAIN_RAW!E974</f>
        <v/>
      </c>
      <c r="F976" s="31">
        <f>CHAIN_RAW!F974</f>
        <v/>
      </c>
      <c r="G976" s="31">
        <f>CHAIN_RAW!I974</f>
        <v/>
      </c>
      <c r="H976" s="31">
        <f>CHAIN_RAW!Q974</f>
        <v/>
      </c>
      <c r="I976" s="31">
        <f>LET(pc,F976,oc,H976,IF(OR(pc="",oc=""),"",IF(AND(pc&gt;0,oc&gt;0),"Long Buildup",IF(AND(pc&lt;0,oc&gt;0),"Short Buildup",IF(AND(pc&gt;0,oc&lt;0),"Short Covering",IF(AND(pc&lt;0,oc&lt;0),"Long Unwinding","Flat"))))))</f>
        <v/>
      </c>
      <c r="J976" s="31">
        <f>LET(pc,ABS(F976),oc,ABS(H976),IF(OR(pc="",oc=""),"",MAX(1,MIN(5,ROUND((pc*0.5+oc*0.00001)*5,0))))))</f>
        <v/>
      </c>
    </row>
    <row r="977">
      <c r="A977" s="31" t="n">
        <v>975</v>
      </c>
      <c r="B977" s="31">
        <f>CHAIN_RAW!D975</f>
        <v/>
      </c>
      <c r="C977" s="31">
        <f>CHAIN_RAW!A975</f>
        <v/>
      </c>
      <c r="D977" s="31">
        <f>CHAIN_RAW!C975</f>
        <v/>
      </c>
      <c r="E977" s="31">
        <f>CHAIN_RAW!E975</f>
        <v/>
      </c>
      <c r="F977" s="31">
        <f>CHAIN_RAW!F975</f>
        <v/>
      </c>
      <c r="G977" s="31">
        <f>CHAIN_RAW!I975</f>
        <v/>
      </c>
      <c r="H977" s="31">
        <f>CHAIN_RAW!Q975</f>
        <v/>
      </c>
      <c r="I977" s="31">
        <f>LET(pc,F977,oc,H977,IF(OR(pc="",oc=""),"",IF(AND(pc&gt;0,oc&gt;0),"Long Buildup",IF(AND(pc&lt;0,oc&gt;0),"Short Buildup",IF(AND(pc&gt;0,oc&lt;0),"Short Covering",IF(AND(pc&lt;0,oc&lt;0),"Long Unwinding","Flat"))))))</f>
        <v/>
      </c>
      <c r="J977" s="31">
        <f>LET(pc,ABS(F977),oc,ABS(H977),IF(OR(pc="",oc=""),"",MAX(1,MIN(5,ROUND((pc*0.5+oc*0.00001)*5,0))))))</f>
        <v/>
      </c>
    </row>
    <row r="978">
      <c r="A978" s="31" t="n">
        <v>976</v>
      </c>
      <c r="B978" s="31">
        <f>CHAIN_RAW!D976</f>
        <v/>
      </c>
      <c r="C978" s="31">
        <f>CHAIN_RAW!A976</f>
        <v/>
      </c>
      <c r="D978" s="31">
        <f>CHAIN_RAW!C976</f>
        <v/>
      </c>
      <c r="E978" s="31">
        <f>CHAIN_RAW!E976</f>
        <v/>
      </c>
      <c r="F978" s="31">
        <f>CHAIN_RAW!F976</f>
        <v/>
      </c>
      <c r="G978" s="31">
        <f>CHAIN_RAW!I976</f>
        <v/>
      </c>
      <c r="H978" s="31">
        <f>CHAIN_RAW!Q976</f>
        <v/>
      </c>
      <c r="I978" s="31">
        <f>LET(pc,F978,oc,H978,IF(OR(pc="",oc=""),"",IF(AND(pc&gt;0,oc&gt;0),"Long Buildup",IF(AND(pc&lt;0,oc&gt;0),"Short Buildup",IF(AND(pc&gt;0,oc&lt;0),"Short Covering",IF(AND(pc&lt;0,oc&lt;0),"Long Unwinding","Flat"))))))</f>
        <v/>
      </c>
      <c r="J978" s="31">
        <f>LET(pc,ABS(F978),oc,ABS(H978),IF(OR(pc="",oc=""),"",MAX(1,MIN(5,ROUND((pc*0.5+oc*0.00001)*5,0))))))</f>
        <v/>
      </c>
    </row>
    <row r="979">
      <c r="A979" s="31" t="n">
        <v>977</v>
      </c>
      <c r="B979" s="31">
        <f>CHAIN_RAW!D977</f>
        <v/>
      </c>
      <c r="C979" s="31">
        <f>CHAIN_RAW!A977</f>
        <v/>
      </c>
      <c r="D979" s="31">
        <f>CHAIN_RAW!C977</f>
        <v/>
      </c>
      <c r="E979" s="31">
        <f>CHAIN_RAW!E977</f>
        <v/>
      </c>
      <c r="F979" s="31">
        <f>CHAIN_RAW!F977</f>
        <v/>
      </c>
      <c r="G979" s="31">
        <f>CHAIN_RAW!I977</f>
        <v/>
      </c>
      <c r="H979" s="31">
        <f>CHAIN_RAW!Q977</f>
        <v/>
      </c>
      <c r="I979" s="31">
        <f>LET(pc,F979,oc,H979,IF(OR(pc="",oc=""),"",IF(AND(pc&gt;0,oc&gt;0),"Long Buildup",IF(AND(pc&lt;0,oc&gt;0),"Short Buildup",IF(AND(pc&gt;0,oc&lt;0),"Short Covering",IF(AND(pc&lt;0,oc&lt;0),"Long Unwinding","Flat"))))))</f>
        <v/>
      </c>
      <c r="J979" s="31">
        <f>LET(pc,ABS(F979),oc,ABS(H979),IF(OR(pc="",oc=""),"",MAX(1,MIN(5,ROUND((pc*0.5+oc*0.00001)*5,0))))))</f>
        <v/>
      </c>
    </row>
    <row r="980">
      <c r="A980" s="31" t="n">
        <v>978</v>
      </c>
      <c r="B980" s="31">
        <f>CHAIN_RAW!D978</f>
        <v/>
      </c>
      <c r="C980" s="31">
        <f>CHAIN_RAW!A978</f>
        <v/>
      </c>
      <c r="D980" s="31">
        <f>CHAIN_RAW!C978</f>
        <v/>
      </c>
      <c r="E980" s="31">
        <f>CHAIN_RAW!E978</f>
        <v/>
      </c>
      <c r="F980" s="31">
        <f>CHAIN_RAW!F978</f>
        <v/>
      </c>
      <c r="G980" s="31">
        <f>CHAIN_RAW!I978</f>
        <v/>
      </c>
      <c r="H980" s="31">
        <f>CHAIN_RAW!Q978</f>
        <v/>
      </c>
      <c r="I980" s="31">
        <f>LET(pc,F980,oc,H980,IF(OR(pc="",oc=""),"",IF(AND(pc&gt;0,oc&gt;0),"Long Buildup",IF(AND(pc&lt;0,oc&gt;0),"Short Buildup",IF(AND(pc&gt;0,oc&lt;0),"Short Covering",IF(AND(pc&lt;0,oc&lt;0),"Long Unwinding","Flat"))))))</f>
        <v/>
      </c>
      <c r="J980" s="31">
        <f>LET(pc,ABS(F980),oc,ABS(H980),IF(OR(pc="",oc=""),"",MAX(1,MIN(5,ROUND((pc*0.5+oc*0.00001)*5,0))))))</f>
        <v/>
      </c>
    </row>
    <row r="981">
      <c r="A981" s="31" t="n">
        <v>979</v>
      </c>
      <c r="B981" s="31">
        <f>CHAIN_RAW!D979</f>
        <v/>
      </c>
      <c r="C981" s="31">
        <f>CHAIN_RAW!A979</f>
        <v/>
      </c>
      <c r="D981" s="31">
        <f>CHAIN_RAW!C979</f>
        <v/>
      </c>
      <c r="E981" s="31">
        <f>CHAIN_RAW!E979</f>
        <v/>
      </c>
      <c r="F981" s="31">
        <f>CHAIN_RAW!F979</f>
        <v/>
      </c>
      <c r="G981" s="31">
        <f>CHAIN_RAW!I979</f>
        <v/>
      </c>
      <c r="H981" s="31">
        <f>CHAIN_RAW!Q979</f>
        <v/>
      </c>
      <c r="I981" s="31">
        <f>LET(pc,F981,oc,H981,IF(OR(pc="",oc=""),"",IF(AND(pc&gt;0,oc&gt;0),"Long Buildup",IF(AND(pc&lt;0,oc&gt;0),"Short Buildup",IF(AND(pc&gt;0,oc&lt;0),"Short Covering",IF(AND(pc&lt;0,oc&lt;0),"Long Unwinding","Flat"))))))</f>
        <v/>
      </c>
      <c r="J981" s="31">
        <f>LET(pc,ABS(F981),oc,ABS(H981),IF(OR(pc="",oc=""),"",MAX(1,MIN(5,ROUND((pc*0.5+oc*0.00001)*5,0))))))</f>
        <v/>
      </c>
    </row>
    <row r="982">
      <c r="A982" s="31" t="n">
        <v>980</v>
      </c>
      <c r="B982" s="31">
        <f>CHAIN_RAW!D980</f>
        <v/>
      </c>
      <c r="C982" s="31">
        <f>CHAIN_RAW!A980</f>
        <v/>
      </c>
      <c r="D982" s="31">
        <f>CHAIN_RAW!C980</f>
        <v/>
      </c>
      <c r="E982" s="31">
        <f>CHAIN_RAW!E980</f>
        <v/>
      </c>
      <c r="F982" s="31">
        <f>CHAIN_RAW!F980</f>
        <v/>
      </c>
      <c r="G982" s="31">
        <f>CHAIN_RAW!I980</f>
        <v/>
      </c>
      <c r="H982" s="31">
        <f>CHAIN_RAW!Q980</f>
        <v/>
      </c>
      <c r="I982" s="31">
        <f>LET(pc,F982,oc,H982,IF(OR(pc="",oc=""),"",IF(AND(pc&gt;0,oc&gt;0),"Long Buildup",IF(AND(pc&lt;0,oc&gt;0),"Short Buildup",IF(AND(pc&gt;0,oc&lt;0),"Short Covering",IF(AND(pc&lt;0,oc&lt;0),"Long Unwinding","Flat"))))))</f>
        <v/>
      </c>
      <c r="J982" s="31">
        <f>LET(pc,ABS(F982),oc,ABS(H982),IF(OR(pc="",oc=""),"",MAX(1,MIN(5,ROUND((pc*0.5+oc*0.00001)*5,0))))))</f>
        <v/>
      </c>
    </row>
    <row r="983">
      <c r="A983" s="31" t="n">
        <v>981</v>
      </c>
      <c r="B983" s="31">
        <f>CHAIN_RAW!D981</f>
        <v/>
      </c>
      <c r="C983" s="31">
        <f>CHAIN_RAW!A981</f>
        <v/>
      </c>
      <c r="D983" s="31">
        <f>CHAIN_RAW!C981</f>
        <v/>
      </c>
      <c r="E983" s="31">
        <f>CHAIN_RAW!E981</f>
        <v/>
      </c>
      <c r="F983" s="31">
        <f>CHAIN_RAW!F981</f>
        <v/>
      </c>
      <c r="G983" s="31">
        <f>CHAIN_RAW!I981</f>
        <v/>
      </c>
      <c r="H983" s="31">
        <f>CHAIN_RAW!Q981</f>
        <v/>
      </c>
      <c r="I983" s="31">
        <f>LET(pc,F983,oc,H983,IF(OR(pc="",oc=""),"",IF(AND(pc&gt;0,oc&gt;0),"Long Buildup",IF(AND(pc&lt;0,oc&gt;0),"Short Buildup",IF(AND(pc&gt;0,oc&lt;0),"Short Covering",IF(AND(pc&lt;0,oc&lt;0),"Long Unwinding","Flat"))))))</f>
        <v/>
      </c>
      <c r="J983" s="31">
        <f>LET(pc,ABS(F983),oc,ABS(H983),IF(OR(pc="",oc=""),"",MAX(1,MIN(5,ROUND((pc*0.5+oc*0.00001)*5,0))))))</f>
        <v/>
      </c>
    </row>
    <row r="984">
      <c r="A984" s="31" t="n">
        <v>982</v>
      </c>
      <c r="B984" s="31">
        <f>CHAIN_RAW!D982</f>
        <v/>
      </c>
      <c r="C984" s="31">
        <f>CHAIN_RAW!A982</f>
        <v/>
      </c>
      <c r="D984" s="31">
        <f>CHAIN_RAW!C982</f>
        <v/>
      </c>
      <c r="E984" s="31">
        <f>CHAIN_RAW!E982</f>
        <v/>
      </c>
      <c r="F984" s="31">
        <f>CHAIN_RAW!F982</f>
        <v/>
      </c>
      <c r="G984" s="31">
        <f>CHAIN_RAW!I982</f>
        <v/>
      </c>
      <c r="H984" s="31">
        <f>CHAIN_RAW!Q982</f>
        <v/>
      </c>
      <c r="I984" s="31">
        <f>LET(pc,F984,oc,H984,IF(OR(pc="",oc=""),"",IF(AND(pc&gt;0,oc&gt;0),"Long Buildup",IF(AND(pc&lt;0,oc&gt;0),"Short Buildup",IF(AND(pc&gt;0,oc&lt;0),"Short Covering",IF(AND(pc&lt;0,oc&lt;0),"Long Unwinding","Flat"))))))</f>
        <v/>
      </c>
      <c r="J984" s="31">
        <f>LET(pc,ABS(F984),oc,ABS(H984),IF(OR(pc="",oc=""),"",MAX(1,MIN(5,ROUND((pc*0.5+oc*0.00001)*5,0))))))</f>
        <v/>
      </c>
    </row>
    <row r="985">
      <c r="A985" s="31" t="n">
        <v>983</v>
      </c>
      <c r="B985" s="31">
        <f>CHAIN_RAW!D983</f>
        <v/>
      </c>
      <c r="C985" s="31">
        <f>CHAIN_RAW!A983</f>
        <v/>
      </c>
      <c r="D985" s="31">
        <f>CHAIN_RAW!C983</f>
        <v/>
      </c>
      <c r="E985" s="31">
        <f>CHAIN_RAW!E983</f>
        <v/>
      </c>
      <c r="F985" s="31">
        <f>CHAIN_RAW!F983</f>
        <v/>
      </c>
      <c r="G985" s="31">
        <f>CHAIN_RAW!I983</f>
        <v/>
      </c>
      <c r="H985" s="31">
        <f>CHAIN_RAW!Q983</f>
        <v/>
      </c>
      <c r="I985" s="31">
        <f>LET(pc,F985,oc,H985,IF(OR(pc="",oc=""),"",IF(AND(pc&gt;0,oc&gt;0),"Long Buildup",IF(AND(pc&lt;0,oc&gt;0),"Short Buildup",IF(AND(pc&gt;0,oc&lt;0),"Short Covering",IF(AND(pc&lt;0,oc&lt;0),"Long Unwinding","Flat"))))))</f>
        <v/>
      </c>
      <c r="J985" s="31">
        <f>LET(pc,ABS(F985),oc,ABS(H985),IF(OR(pc="",oc=""),"",MAX(1,MIN(5,ROUND((pc*0.5+oc*0.00001)*5,0))))))</f>
        <v/>
      </c>
    </row>
    <row r="986">
      <c r="A986" s="31" t="n">
        <v>984</v>
      </c>
      <c r="B986" s="31">
        <f>CHAIN_RAW!D984</f>
        <v/>
      </c>
      <c r="C986" s="31">
        <f>CHAIN_RAW!A984</f>
        <v/>
      </c>
      <c r="D986" s="31">
        <f>CHAIN_RAW!C984</f>
        <v/>
      </c>
      <c r="E986" s="31">
        <f>CHAIN_RAW!E984</f>
        <v/>
      </c>
      <c r="F986" s="31">
        <f>CHAIN_RAW!F984</f>
        <v/>
      </c>
      <c r="G986" s="31">
        <f>CHAIN_RAW!I984</f>
        <v/>
      </c>
      <c r="H986" s="31">
        <f>CHAIN_RAW!Q984</f>
        <v/>
      </c>
      <c r="I986" s="31">
        <f>LET(pc,F986,oc,H986,IF(OR(pc="",oc=""),"",IF(AND(pc&gt;0,oc&gt;0),"Long Buildup",IF(AND(pc&lt;0,oc&gt;0),"Short Buildup",IF(AND(pc&gt;0,oc&lt;0),"Short Covering",IF(AND(pc&lt;0,oc&lt;0),"Long Unwinding","Flat"))))))</f>
        <v/>
      </c>
      <c r="J986" s="31">
        <f>LET(pc,ABS(F986),oc,ABS(H986),IF(OR(pc="",oc=""),"",MAX(1,MIN(5,ROUND((pc*0.5+oc*0.00001)*5,0))))))</f>
        <v/>
      </c>
    </row>
    <row r="987">
      <c r="A987" s="31" t="n">
        <v>985</v>
      </c>
      <c r="B987" s="31">
        <f>CHAIN_RAW!D985</f>
        <v/>
      </c>
      <c r="C987" s="31">
        <f>CHAIN_RAW!A985</f>
        <v/>
      </c>
      <c r="D987" s="31">
        <f>CHAIN_RAW!C985</f>
        <v/>
      </c>
      <c r="E987" s="31">
        <f>CHAIN_RAW!E985</f>
        <v/>
      </c>
      <c r="F987" s="31">
        <f>CHAIN_RAW!F985</f>
        <v/>
      </c>
      <c r="G987" s="31">
        <f>CHAIN_RAW!I985</f>
        <v/>
      </c>
      <c r="H987" s="31">
        <f>CHAIN_RAW!Q985</f>
        <v/>
      </c>
      <c r="I987" s="31">
        <f>LET(pc,F987,oc,H987,IF(OR(pc="",oc=""),"",IF(AND(pc&gt;0,oc&gt;0),"Long Buildup",IF(AND(pc&lt;0,oc&gt;0),"Short Buildup",IF(AND(pc&gt;0,oc&lt;0),"Short Covering",IF(AND(pc&lt;0,oc&lt;0),"Long Unwinding","Flat"))))))</f>
        <v/>
      </c>
      <c r="J987" s="31">
        <f>LET(pc,ABS(F987),oc,ABS(H987),IF(OR(pc="",oc=""),"",MAX(1,MIN(5,ROUND((pc*0.5+oc*0.00001)*5,0))))))</f>
        <v/>
      </c>
    </row>
    <row r="988">
      <c r="A988" s="31" t="n">
        <v>986</v>
      </c>
      <c r="B988" s="31">
        <f>CHAIN_RAW!D986</f>
        <v/>
      </c>
      <c r="C988" s="31">
        <f>CHAIN_RAW!A986</f>
        <v/>
      </c>
      <c r="D988" s="31">
        <f>CHAIN_RAW!C986</f>
        <v/>
      </c>
      <c r="E988" s="31">
        <f>CHAIN_RAW!E986</f>
        <v/>
      </c>
      <c r="F988" s="31">
        <f>CHAIN_RAW!F986</f>
        <v/>
      </c>
      <c r="G988" s="31">
        <f>CHAIN_RAW!I986</f>
        <v/>
      </c>
      <c r="H988" s="31">
        <f>CHAIN_RAW!Q986</f>
        <v/>
      </c>
      <c r="I988" s="31">
        <f>LET(pc,F988,oc,H988,IF(OR(pc="",oc=""),"",IF(AND(pc&gt;0,oc&gt;0),"Long Buildup",IF(AND(pc&lt;0,oc&gt;0),"Short Buildup",IF(AND(pc&gt;0,oc&lt;0),"Short Covering",IF(AND(pc&lt;0,oc&lt;0),"Long Unwinding","Flat"))))))</f>
        <v/>
      </c>
      <c r="J988" s="31">
        <f>LET(pc,ABS(F988),oc,ABS(H988),IF(OR(pc="",oc=""),"",MAX(1,MIN(5,ROUND((pc*0.5+oc*0.00001)*5,0))))))</f>
        <v/>
      </c>
    </row>
    <row r="989">
      <c r="A989" s="31" t="n">
        <v>987</v>
      </c>
      <c r="B989" s="31">
        <f>CHAIN_RAW!D987</f>
        <v/>
      </c>
      <c r="C989" s="31">
        <f>CHAIN_RAW!A987</f>
        <v/>
      </c>
      <c r="D989" s="31">
        <f>CHAIN_RAW!C987</f>
        <v/>
      </c>
      <c r="E989" s="31">
        <f>CHAIN_RAW!E987</f>
        <v/>
      </c>
      <c r="F989" s="31">
        <f>CHAIN_RAW!F987</f>
        <v/>
      </c>
      <c r="G989" s="31">
        <f>CHAIN_RAW!I987</f>
        <v/>
      </c>
      <c r="H989" s="31">
        <f>CHAIN_RAW!Q987</f>
        <v/>
      </c>
      <c r="I989" s="31">
        <f>LET(pc,F989,oc,H989,IF(OR(pc="",oc=""),"",IF(AND(pc&gt;0,oc&gt;0),"Long Buildup",IF(AND(pc&lt;0,oc&gt;0),"Short Buildup",IF(AND(pc&gt;0,oc&lt;0),"Short Covering",IF(AND(pc&lt;0,oc&lt;0),"Long Unwinding","Flat"))))))</f>
        <v/>
      </c>
      <c r="J989" s="31">
        <f>LET(pc,ABS(F989),oc,ABS(H989),IF(OR(pc="",oc=""),"",MAX(1,MIN(5,ROUND((pc*0.5+oc*0.00001)*5,0))))))</f>
        <v/>
      </c>
    </row>
    <row r="990">
      <c r="A990" s="31" t="n">
        <v>988</v>
      </c>
      <c r="B990" s="31">
        <f>CHAIN_RAW!D988</f>
        <v/>
      </c>
      <c r="C990" s="31">
        <f>CHAIN_RAW!A988</f>
        <v/>
      </c>
      <c r="D990" s="31">
        <f>CHAIN_RAW!C988</f>
        <v/>
      </c>
      <c r="E990" s="31">
        <f>CHAIN_RAW!E988</f>
        <v/>
      </c>
      <c r="F990" s="31">
        <f>CHAIN_RAW!F988</f>
        <v/>
      </c>
      <c r="G990" s="31">
        <f>CHAIN_RAW!I988</f>
        <v/>
      </c>
      <c r="H990" s="31">
        <f>CHAIN_RAW!Q988</f>
        <v/>
      </c>
      <c r="I990" s="31">
        <f>LET(pc,F990,oc,H990,IF(OR(pc="",oc=""),"",IF(AND(pc&gt;0,oc&gt;0),"Long Buildup",IF(AND(pc&lt;0,oc&gt;0),"Short Buildup",IF(AND(pc&gt;0,oc&lt;0),"Short Covering",IF(AND(pc&lt;0,oc&lt;0),"Long Unwinding","Flat"))))))</f>
        <v/>
      </c>
      <c r="J990" s="31">
        <f>LET(pc,ABS(F990),oc,ABS(H990),IF(OR(pc="",oc=""),"",MAX(1,MIN(5,ROUND((pc*0.5+oc*0.00001)*5,0))))))</f>
        <v/>
      </c>
    </row>
    <row r="991">
      <c r="A991" s="31" t="n">
        <v>989</v>
      </c>
      <c r="B991" s="31">
        <f>CHAIN_RAW!D989</f>
        <v/>
      </c>
      <c r="C991" s="31">
        <f>CHAIN_RAW!A989</f>
        <v/>
      </c>
      <c r="D991" s="31">
        <f>CHAIN_RAW!C989</f>
        <v/>
      </c>
      <c r="E991" s="31">
        <f>CHAIN_RAW!E989</f>
        <v/>
      </c>
      <c r="F991" s="31">
        <f>CHAIN_RAW!F989</f>
        <v/>
      </c>
      <c r="G991" s="31">
        <f>CHAIN_RAW!I989</f>
        <v/>
      </c>
      <c r="H991" s="31">
        <f>CHAIN_RAW!Q989</f>
        <v/>
      </c>
      <c r="I991" s="31">
        <f>LET(pc,F991,oc,H991,IF(OR(pc="",oc=""),"",IF(AND(pc&gt;0,oc&gt;0),"Long Buildup",IF(AND(pc&lt;0,oc&gt;0),"Short Buildup",IF(AND(pc&gt;0,oc&lt;0),"Short Covering",IF(AND(pc&lt;0,oc&lt;0),"Long Unwinding","Flat"))))))</f>
        <v/>
      </c>
      <c r="J991" s="31">
        <f>LET(pc,ABS(F991),oc,ABS(H991),IF(OR(pc="",oc=""),"",MAX(1,MIN(5,ROUND((pc*0.5+oc*0.00001)*5,0))))))</f>
        <v/>
      </c>
    </row>
    <row r="992">
      <c r="A992" s="31" t="n">
        <v>990</v>
      </c>
      <c r="B992" s="31">
        <f>CHAIN_RAW!D990</f>
        <v/>
      </c>
      <c r="C992" s="31">
        <f>CHAIN_RAW!A990</f>
        <v/>
      </c>
      <c r="D992" s="31">
        <f>CHAIN_RAW!C990</f>
        <v/>
      </c>
      <c r="E992" s="31">
        <f>CHAIN_RAW!E990</f>
        <v/>
      </c>
      <c r="F992" s="31">
        <f>CHAIN_RAW!F990</f>
        <v/>
      </c>
      <c r="G992" s="31">
        <f>CHAIN_RAW!I990</f>
        <v/>
      </c>
      <c r="H992" s="31">
        <f>CHAIN_RAW!Q990</f>
        <v/>
      </c>
      <c r="I992" s="31">
        <f>LET(pc,F992,oc,H992,IF(OR(pc="",oc=""),"",IF(AND(pc&gt;0,oc&gt;0),"Long Buildup",IF(AND(pc&lt;0,oc&gt;0),"Short Buildup",IF(AND(pc&gt;0,oc&lt;0),"Short Covering",IF(AND(pc&lt;0,oc&lt;0),"Long Unwinding","Flat"))))))</f>
        <v/>
      </c>
      <c r="J992" s="31">
        <f>LET(pc,ABS(F992),oc,ABS(H992),IF(OR(pc="",oc=""),"",MAX(1,MIN(5,ROUND((pc*0.5+oc*0.00001)*5,0))))))</f>
        <v/>
      </c>
    </row>
    <row r="993">
      <c r="A993" s="31" t="n">
        <v>991</v>
      </c>
      <c r="B993" s="31">
        <f>CHAIN_RAW!D991</f>
        <v/>
      </c>
      <c r="C993" s="31">
        <f>CHAIN_RAW!A991</f>
        <v/>
      </c>
      <c r="D993" s="31">
        <f>CHAIN_RAW!C991</f>
        <v/>
      </c>
      <c r="E993" s="31">
        <f>CHAIN_RAW!E991</f>
        <v/>
      </c>
      <c r="F993" s="31">
        <f>CHAIN_RAW!F991</f>
        <v/>
      </c>
      <c r="G993" s="31">
        <f>CHAIN_RAW!I991</f>
        <v/>
      </c>
      <c r="H993" s="31">
        <f>CHAIN_RAW!Q991</f>
        <v/>
      </c>
      <c r="I993" s="31">
        <f>LET(pc,F993,oc,H993,IF(OR(pc="",oc=""),"",IF(AND(pc&gt;0,oc&gt;0),"Long Buildup",IF(AND(pc&lt;0,oc&gt;0),"Short Buildup",IF(AND(pc&gt;0,oc&lt;0),"Short Covering",IF(AND(pc&lt;0,oc&lt;0),"Long Unwinding","Flat"))))))</f>
        <v/>
      </c>
      <c r="J993" s="31">
        <f>LET(pc,ABS(F993),oc,ABS(H993),IF(OR(pc="",oc=""),"",MAX(1,MIN(5,ROUND((pc*0.5+oc*0.00001)*5,0))))))</f>
        <v/>
      </c>
    </row>
    <row r="994">
      <c r="A994" s="31" t="n">
        <v>992</v>
      </c>
      <c r="B994" s="31">
        <f>CHAIN_RAW!D992</f>
        <v/>
      </c>
      <c r="C994" s="31">
        <f>CHAIN_RAW!A992</f>
        <v/>
      </c>
      <c r="D994" s="31">
        <f>CHAIN_RAW!C992</f>
        <v/>
      </c>
      <c r="E994" s="31">
        <f>CHAIN_RAW!E992</f>
        <v/>
      </c>
      <c r="F994" s="31">
        <f>CHAIN_RAW!F992</f>
        <v/>
      </c>
      <c r="G994" s="31">
        <f>CHAIN_RAW!I992</f>
        <v/>
      </c>
      <c r="H994" s="31">
        <f>CHAIN_RAW!Q992</f>
        <v/>
      </c>
      <c r="I994" s="31">
        <f>LET(pc,F994,oc,H994,IF(OR(pc="",oc=""),"",IF(AND(pc&gt;0,oc&gt;0),"Long Buildup",IF(AND(pc&lt;0,oc&gt;0),"Short Buildup",IF(AND(pc&gt;0,oc&lt;0),"Short Covering",IF(AND(pc&lt;0,oc&lt;0),"Long Unwinding","Flat"))))))</f>
        <v/>
      </c>
      <c r="J994" s="31">
        <f>LET(pc,ABS(F994),oc,ABS(H994),IF(OR(pc="",oc=""),"",MAX(1,MIN(5,ROUND((pc*0.5+oc*0.00001)*5,0))))))</f>
        <v/>
      </c>
    </row>
    <row r="995">
      <c r="A995" s="31" t="n">
        <v>993</v>
      </c>
      <c r="B995" s="31">
        <f>CHAIN_RAW!D993</f>
        <v/>
      </c>
      <c r="C995" s="31">
        <f>CHAIN_RAW!A993</f>
        <v/>
      </c>
      <c r="D995" s="31">
        <f>CHAIN_RAW!C993</f>
        <v/>
      </c>
      <c r="E995" s="31">
        <f>CHAIN_RAW!E993</f>
        <v/>
      </c>
      <c r="F995" s="31">
        <f>CHAIN_RAW!F993</f>
        <v/>
      </c>
      <c r="G995" s="31">
        <f>CHAIN_RAW!I993</f>
        <v/>
      </c>
      <c r="H995" s="31">
        <f>CHAIN_RAW!Q993</f>
        <v/>
      </c>
      <c r="I995" s="31">
        <f>LET(pc,F995,oc,H995,IF(OR(pc="",oc=""),"",IF(AND(pc&gt;0,oc&gt;0),"Long Buildup",IF(AND(pc&lt;0,oc&gt;0),"Short Buildup",IF(AND(pc&gt;0,oc&lt;0),"Short Covering",IF(AND(pc&lt;0,oc&lt;0),"Long Unwinding","Flat"))))))</f>
        <v/>
      </c>
      <c r="J995" s="31">
        <f>LET(pc,ABS(F995),oc,ABS(H995),IF(OR(pc="",oc=""),"",MAX(1,MIN(5,ROUND((pc*0.5+oc*0.00001)*5,0))))))</f>
        <v/>
      </c>
    </row>
    <row r="996">
      <c r="A996" s="31" t="n">
        <v>994</v>
      </c>
      <c r="B996" s="31">
        <f>CHAIN_RAW!D994</f>
        <v/>
      </c>
      <c r="C996" s="31">
        <f>CHAIN_RAW!A994</f>
        <v/>
      </c>
      <c r="D996" s="31">
        <f>CHAIN_RAW!C994</f>
        <v/>
      </c>
      <c r="E996" s="31">
        <f>CHAIN_RAW!E994</f>
        <v/>
      </c>
      <c r="F996" s="31">
        <f>CHAIN_RAW!F994</f>
        <v/>
      </c>
      <c r="G996" s="31">
        <f>CHAIN_RAW!I994</f>
        <v/>
      </c>
      <c r="H996" s="31">
        <f>CHAIN_RAW!Q994</f>
        <v/>
      </c>
      <c r="I996" s="31">
        <f>LET(pc,F996,oc,H996,IF(OR(pc="",oc=""),"",IF(AND(pc&gt;0,oc&gt;0),"Long Buildup",IF(AND(pc&lt;0,oc&gt;0),"Short Buildup",IF(AND(pc&gt;0,oc&lt;0),"Short Covering",IF(AND(pc&lt;0,oc&lt;0),"Long Unwinding","Flat"))))))</f>
        <v/>
      </c>
      <c r="J996" s="31">
        <f>LET(pc,ABS(F996),oc,ABS(H996),IF(OR(pc="",oc=""),"",MAX(1,MIN(5,ROUND((pc*0.5+oc*0.00001)*5,0))))))</f>
        <v/>
      </c>
    </row>
    <row r="997">
      <c r="A997" s="31" t="n">
        <v>995</v>
      </c>
      <c r="B997" s="31">
        <f>CHAIN_RAW!D995</f>
        <v/>
      </c>
      <c r="C997" s="31">
        <f>CHAIN_RAW!A995</f>
        <v/>
      </c>
      <c r="D997" s="31">
        <f>CHAIN_RAW!C995</f>
        <v/>
      </c>
      <c r="E997" s="31">
        <f>CHAIN_RAW!E995</f>
        <v/>
      </c>
      <c r="F997" s="31">
        <f>CHAIN_RAW!F995</f>
        <v/>
      </c>
      <c r="G997" s="31">
        <f>CHAIN_RAW!I995</f>
        <v/>
      </c>
      <c r="H997" s="31">
        <f>CHAIN_RAW!Q995</f>
        <v/>
      </c>
      <c r="I997" s="31">
        <f>LET(pc,F997,oc,H997,IF(OR(pc="",oc=""),"",IF(AND(pc&gt;0,oc&gt;0),"Long Buildup",IF(AND(pc&lt;0,oc&gt;0),"Short Buildup",IF(AND(pc&gt;0,oc&lt;0),"Short Covering",IF(AND(pc&lt;0,oc&lt;0),"Long Unwinding","Flat"))))))</f>
        <v/>
      </c>
      <c r="J997" s="31">
        <f>LET(pc,ABS(F997),oc,ABS(H997),IF(OR(pc="",oc=""),"",MAX(1,MIN(5,ROUND((pc*0.5+oc*0.00001)*5,0))))))</f>
        <v/>
      </c>
    </row>
    <row r="998">
      <c r="A998" s="31" t="n">
        <v>996</v>
      </c>
      <c r="B998" s="31">
        <f>CHAIN_RAW!D996</f>
        <v/>
      </c>
      <c r="C998" s="31">
        <f>CHAIN_RAW!A996</f>
        <v/>
      </c>
      <c r="D998" s="31">
        <f>CHAIN_RAW!C996</f>
        <v/>
      </c>
      <c r="E998" s="31">
        <f>CHAIN_RAW!E996</f>
        <v/>
      </c>
      <c r="F998" s="31">
        <f>CHAIN_RAW!F996</f>
        <v/>
      </c>
      <c r="G998" s="31">
        <f>CHAIN_RAW!I996</f>
        <v/>
      </c>
      <c r="H998" s="31">
        <f>CHAIN_RAW!Q996</f>
        <v/>
      </c>
      <c r="I998" s="31">
        <f>LET(pc,F998,oc,H998,IF(OR(pc="",oc=""),"",IF(AND(pc&gt;0,oc&gt;0),"Long Buildup",IF(AND(pc&lt;0,oc&gt;0),"Short Buildup",IF(AND(pc&gt;0,oc&lt;0),"Short Covering",IF(AND(pc&lt;0,oc&lt;0),"Long Unwinding","Flat"))))))</f>
        <v/>
      </c>
      <c r="J998" s="31">
        <f>LET(pc,ABS(F998),oc,ABS(H998),IF(OR(pc="",oc=""),"",MAX(1,MIN(5,ROUND((pc*0.5+oc*0.00001)*5,0))))))</f>
        <v/>
      </c>
    </row>
    <row r="999">
      <c r="A999" s="31" t="n">
        <v>997</v>
      </c>
      <c r="B999" s="31">
        <f>CHAIN_RAW!D997</f>
        <v/>
      </c>
      <c r="C999" s="31">
        <f>CHAIN_RAW!A997</f>
        <v/>
      </c>
      <c r="D999" s="31">
        <f>CHAIN_RAW!C997</f>
        <v/>
      </c>
      <c r="E999" s="31">
        <f>CHAIN_RAW!E997</f>
        <v/>
      </c>
      <c r="F999" s="31">
        <f>CHAIN_RAW!F997</f>
        <v/>
      </c>
      <c r="G999" s="31">
        <f>CHAIN_RAW!I997</f>
        <v/>
      </c>
      <c r="H999" s="31">
        <f>CHAIN_RAW!Q997</f>
        <v/>
      </c>
      <c r="I999" s="31">
        <f>LET(pc,F999,oc,H999,IF(OR(pc="",oc=""),"",IF(AND(pc&gt;0,oc&gt;0),"Long Buildup",IF(AND(pc&lt;0,oc&gt;0),"Short Buildup",IF(AND(pc&gt;0,oc&lt;0),"Short Covering",IF(AND(pc&lt;0,oc&lt;0),"Long Unwinding","Flat"))))))</f>
        <v/>
      </c>
      <c r="J999" s="31">
        <f>LET(pc,ABS(F999),oc,ABS(H999),IF(OR(pc="",oc=""),"",MAX(1,MIN(5,ROUND((pc*0.5+oc*0.00001)*5,0))))))</f>
        <v/>
      </c>
    </row>
    <row r="1000">
      <c r="A1000" s="31" t="n">
        <v>998</v>
      </c>
      <c r="B1000" s="31">
        <f>CHAIN_RAW!D998</f>
        <v/>
      </c>
      <c r="C1000" s="31">
        <f>CHAIN_RAW!A998</f>
        <v/>
      </c>
      <c r="D1000" s="31">
        <f>CHAIN_RAW!C998</f>
        <v/>
      </c>
      <c r="E1000" s="31">
        <f>CHAIN_RAW!E998</f>
        <v/>
      </c>
      <c r="F1000" s="31">
        <f>CHAIN_RAW!F998</f>
        <v/>
      </c>
      <c r="G1000" s="31">
        <f>CHAIN_RAW!I998</f>
        <v/>
      </c>
      <c r="H1000" s="31">
        <f>CHAIN_RAW!Q998</f>
        <v/>
      </c>
      <c r="I1000" s="31">
        <f>LET(pc,F1000,oc,H1000,IF(OR(pc="",oc=""),"",IF(AND(pc&gt;0,oc&gt;0),"Long Buildup",IF(AND(pc&lt;0,oc&gt;0),"Short Buildup",IF(AND(pc&gt;0,oc&lt;0),"Short Covering",IF(AND(pc&lt;0,oc&lt;0),"Long Unwinding","Flat"))))))</f>
        <v/>
      </c>
      <c r="J1000" s="31">
        <f>LET(pc,ABS(F1000),oc,ABS(H1000),IF(OR(pc="",oc=""),"",MAX(1,MIN(5,ROUND((pc*0.5+oc*0.00001)*5,0))))))</f>
        <v/>
      </c>
    </row>
    <row r="1001">
      <c r="A1001" s="31" t="n">
        <v>999</v>
      </c>
      <c r="B1001" s="31">
        <f>CHAIN_RAW!D999</f>
        <v/>
      </c>
      <c r="C1001" s="31">
        <f>CHAIN_RAW!A999</f>
        <v/>
      </c>
      <c r="D1001" s="31">
        <f>CHAIN_RAW!C999</f>
        <v/>
      </c>
      <c r="E1001" s="31">
        <f>CHAIN_RAW!E999</f>
        <v/>
      </c>
      <c r="F1001" s="31">
        <f>CHAIN_RAW!F999</f>
        <v/>
      </c>
      <c r="G1001" s="31">
        <f>CHAIN_RAW!I999</f>
        <v/>
      </c>
      <c r="H1001" s="31">
        <f>CHAIN_RAW!Q999</f>
        <v/>
      </c>
      <c r="I1001" s="31">
        <f>LET(pc,F1001,oc,H1001,IF(OR(pc="",oc=""),"",IF(AND(pc&gt;0,oc&gt;0),"Long Buildup",IF(AND(pc&lt;0,oc&gt;0),"Short Buildup",IF(AND(pc&gt;0,oc&lt;0),"Short Covering",IF(AND(pc&lt;0,oc&lt;0),"Long Unwinding","Flat"))))))</f>
        <v/>
      </c>
      <c r="J1001" s="31">
        <f>LET(pc,ABS(F1001),oc,ABS(H1001),IF(OR(pc="",oc=""),"",MAX(1,MIN(5,ROUND((pc*0.5+oc*0.00001)*5,0))))))</f>
        <v/>
      </c>
    </row>
    <row r="1002">
      <c r="A1002" s="31" t="n">
        <v>1000</v>
      </c>
      <c r="B1002" s="31">
        <f>CHAIN_RAW!D1000</f>
        <v/>
      </c>
      <c r="C1002" s="31">
        <f>CHAIN_RAW!A1000</f>
        <v/>
      </c>
      <c r="D1002" s="31">
        <f>CHAIN_RAW!C1000</f>
        <v/>
      </c>
      <c r="E1002" s="31">
        <f>CHAIN_RAW!E1000</f>
        <v/>
      </c>
      <c r="F1002" s="31">
        <f>CHAIN_RAW!F1000</f>
        <v/>
      </c>
      <c r="G1002" s="31">
        <f>CHAIN_RAW!I1000</f>
        <v/>
      </c>
      <c r="H1002" s="31">
        <f>CHAIN_RAW!Q1000</f>
        <v/>
      </c>
      <c r="I1002" s="31">
        <f>LET(pc,F1002,oc,H1002,IF(OR(pc="",oc=""),"",IF(AND(pc&gt;0,oc&gt;0),"Long Buildup",IF(AND(pc&lt;0,oc&gt;0),"Short Buildup",IF(AND(pc&gt;0,oc&lt;0),"Short Covering",IF(AND(pc&lt;0,oc&lt;0),"Long Unwinding","Flat"))))))</f>
        <v/>
      </c>
      <c r="J1002" s="31">
        <f>LET(pc,ABS(F1002),oc,ABS(H1002),IF(OR(pc="",oc=""),"",MAX(1,MIN(5,ROUND((pc*0.5+oc*0.00001)*5,0))))))</f>
        <v/>
      </c>
    </row>
    <row r="1003">
      <c r="A1003" s="31" t="n">
        <v>1001</v>
      </c>
      <c r="B1003" s="31">
        <f>CHAIN_RAW!D1001</f>
        <v/>
      </c>
      <c r="C1003" s="31">
        <f>CHAIN_RAW!A1001</f>
        <v/>
      </c>
      <c r="D1003" s="31">
        <f>CHAIN_RAW!C1001</f>
        <v/>
      </c>
      <c r="E1003" s="31">
        <f>CHAIN_RAW!E1001</f>
        <v/>
      </c>
      <c r="F1003" s="31">
        <f>CHAIN_RAW!F1001</f>
        <v/>
      </c>
      <c r="G1003" s="31">
        <f>CHAIN_RAW!I1001</f>
        <v/>
      </c>
      <c r="H1003" s="31">
        <f>CHAIN_RAW!Q1001</f>
        <v/>
      </c>
      <c r="I1003" s="31">
        <f>LET(pc,F1003,oc,H1003,IF(OR(pc="",oc=""),"",IF(AND(pc&gt;0,oc&gt;0),"Long Buildup",IF(AND(pc&lt;0,oc&gt;0),"Short Buildup",IF(AND(pc&gt;0,oc&lt;0),"Short Covering",IF(AND(pc&lt;0,oc&lt;0),"Long Unwinding","Flat"))))))</f>
        <v/>
      </c>
      <c r="J1003" s="31">
        <f>LET(pc,ABS(F1003),oc,ABS(H1003),IF(OR(pc="",oc=""),"",MAX(1,MIN(5,ROUND((pc*0.5+oc*0.00001)*5,0))))))</f>
        <v/>
      </c>
    </row>
    <row r="1004">
      <c r="A1004" s="31" t="n">
        <v>1002</v>
      </c>
      <c r="B1004" s="31">
        <f>CHAIN_RAW!D1002</f>
        <v/>
      </c>
      <c r="C1004" s="31">
        <f>CHAIN_RAW!A1002</f>
        <v/>
      </c>
      <c r="D1004" s="31">
        <f>CHAIN_RAW!C1002</f>
        <v/>
      </c>
      <c r="E1004" s="31">
        <f>CHAIN_RAW!E1002</f>
        <v/>
      </c>
      <c r="F1004" s="31">
        <f>CHAIN_RAW!F1002</f>
        <v/>
      </c>
      <c r="G1004" s="31">
        <f>CHAIN_RAW!I1002</f>
        <v/>
      </c>
      <c r="H1004" s="31">
        <f>CHAIN_RAW!Q1002</f>
        <v/>
      </c>
      <c r="I1004" s="31">
        <f>LET(pc,F1004,oc,H1004,IF(OR(pc="",oc=""),"",IF(AND(pc&gt;0,oc&gt;0),"Long Buildup",IF(AND(pc&lt;0,oc&gt;0),"Short Buildup",IF(AND(pc&gt;0,oc&lt;0),"Short Covering",IF(AND(pc&lt;0,oc&lt;0),"Long Unwinding","Flat"))))))</f>
        <v/>
      </c>
      <c r="J1004" s="31">
        <f>LET(pc,ABS(F1004),oc,ABS(H1004),IF(OR(pc="",oc=""),"",MAX(1,MIN(5,ROUND((pc*0.5+oc*0.00001)*5,0))))))</f>
        <v/>
      </c>
    </row>
    <row r="1005">
      <c r="A1005" s="31" t="n">
        <v>1003</v>
      </c>
      <c r="B1005" s="31">
        <f>CHAIN_RAW!D1003</f>
        <v/>
      </c>
      <c r="C1005" s="31">
        <f>CHAIN_RAW!A1003</f>
        <v/>
      </c>
      <c r="D1005" s="31">
        <f>CHAIN_RAW!C1003</f>
        <v/>
      </c>
      <c r="E1005" s="31">
        <f>CHAIN_RAW!E1003</f>
        <v/>
      </c>
      <c r="F1005" s="31">
        <f>CHAIN_RAW!F1003</f>
        <v/>
      </c>
      <c r="G1005" s="31">
        <f>CHAIN_RAW!I1003</f>
        <v/>
      </c>
      <c r="H1005" s="31">
        <f>CHAIN_RAW!Q1003</f>
        <v/>
      </c>
      <c r="I1005" s="31">
        <f>LET(pc,F1005,oc,H1005,IF(OR(pc="",oc=""),"",IF(AND(pc&gt;0,oc&gt;0),"Long Buildup",IF(AND(pc&lt;0,oc&gt;0),"Short Buildup",IF(AND(pc&gt;0,oc&lt;0),"Short Covering",IF(AND(pc&lt;0,oc&lt;0),"Long Unwinding","Flat"))))))</f>
        <v/>
      </c>
      <c r="J1005" s="31">
        <f>LET(pc,ABS(F1005),oc,ABS(H1005),IF(OR(pc="",oc=""),"",MAX(1,MIN(5,ROUND((pc*0.5+oc*0.00001)*5,0))))))</f>
        <v/>
      </c>
    </row>
    <row r="1006">
      <c r="A1006" s="31" t="n">
        <v>1004</v>
      </c>
      <c r="B1006" s="31">
        <f>CHAIN_RAW!D1004</f>
        <v/>
      </c>
      <c r="C1006" s="31">
        <f>CHAIN_RAW!A1004</f>
        <v/>
      </c>
      <c r="D1006" s="31">
        <f>CHAIN_RAW!C1004</f>
        <v/>
      </c>
      <c r="E1006" s="31">
        <f>CHAIN_RAW!E1004</f>
        <v/>
      </c>
      <c r="F1006" s="31">
        <f>CHAIN_RAW!F1004</f>
        <v/>
      </c>
      <c r="G1006" s="31">
        <f>CHAIN_RAW!I1004</f>
        <v/>
      </c>
      <c r="H1006" s="31">
        <f>CHAIN_RAW!Q1004</f>
        <v/>
      </c>
      <c r="I1006" s="31">
        <f>LET(pc,F1006,oc,H1006,IF(OR(pc="",oc=""),"",IF(AND(pc&gt;0,oc&gt;0),"Long Buildup",IF(AND(pc&lt;0,oc&gt;0),"Short Buildup",IF(AND(pc&gt;0,oc&lt;0),"Short Covering",IF(AND(pc&lt;0,oc&lt;0),"Long Unwinding","Flat"))))))</f>
        <v/>
      </c>
      <c r="J1006" s="31">
        <f>LET(pc,ABS(F1006),oc,ABS(H1006),IF(OR(pc="",oc=""),"",MAX(1,MIN(5,ROUND((pc*0.5+oc*0.00001)*5,0))))))</f>
        <v/>
      </c>
    </row>
    <row r="1007">
      <c r="A1007" s="31" t="n">
        <v>1005</v>
      </c>
      <c r="B1007" s="31">
        <f>CHAIN_RAW!D1005</f>
        <v/>
      </c>
      <c r="C1007" s="31">
        <f>CHAIN_RAW!A1005</f>
        <v/>
      </c>
      <c r="D1007" s="31">
        <f>CHAIN_RAW!C1005</f>
        <v/>
      </c>
      <c r="E1007" s="31">
        <f>CHAIN_RAW!E1005</f>
        <v/>
      </c>
      <c r="F1007" s="31">
        <f>CHAIN_RAW!F1005</f>
        <v/>
      </c>
      <c r="G1007" s="31">
        <f>CHAIN_RAW!I1005</f>
        <v/>
      </c>
      <c r="H1007" s="31">
        <f>CHAIN_RAW!Q1005</f>
        <v/>
      </c>
      <c r="I1007" s="31">
        <f>LET(pc,F1007,oc,H1007,IF(OR(pc="",oc=""),"",IF(AND(pc&gt;0,oc&gt;0),"Long Buildup",IF(AND(pc&lt;0,oc&gt;0),"Short Buildup",IF(AND(pc&gt;0,oc&lt;0),"Short Covering",IF(AND(pc&lt;0,oc&lt;0),"Long Unwinding","Flat"))))))</f>
        <v/>
      </c>
      <c r="J1007" s="31">
        <f>LET(pc,ABS(F1007),oc,ABS(H1007),IF(OR(pc="",oc=""),"",MAX(1,MIN(5,ROUND((pc*0.5+oc*0.00001)*5,0))))))</f>
        <v/>
      </c>
    </row>
    <row r="1008">
      <c r="A1008" s="31" t="n">
        <v>1006</v>
      </c>
      <c r="B1008" s="31">
        <f>CHAIN_RAW!D1006</f>
        <v/>
      </c>
      <c r="C1008" s="31">
        <f>CHAIN_RAW!A1006</f>
        <v/>
      </c>
      <c r="D1008" s="31">
        <f>CHAIN_RAW!C1006</f>
        <v/>
      </c>
      <c r="E1008" s="31">
        <f>CHAIN_RAW!E1006</f>
        <v/>
      </c>
      <c r="F1008" s="31">
        <f>CHAIN_RAW!F1006</f>
        <v/>
      </c>
      <c r="G1008" s="31">
        <f>CHAIN_RAW!I1006</f>
        <v/>
      </c>
      <c r="H1008" s="31">
        <f>CHAIN_RAW!Q1006</f>
        <v/>
      </c>
      <c r="I1008" s="31">
        <f>LET(pc,F1008,oc,H1008,IF(OR(pc="",oc=""),"",IF(AND(pc&gt;0,oc&gt;0),"Long Buildup",IF(AND(pc&lt;0,oc&gt;0),"Short Buildup",IF(AND(pc&gt;0,oc&lt;0),"Short Covering",IF(AND(pc&lt;0,oc&lt;0),"Long Unwinding","Flat"))))))</f>
        <v/>
      </c>
      <c r="J1008" s="31">
        <f>LET(pc,ABS(F1008),oc,ABS(H1008),IF(OR(pc="",oc=""),"",MAX(1,MIN(5,ROUND((pc*0.5+oc*0.00001)*5,0))))))</f>
        <v/>
      </c>
    </row>
    <row r="1009">
      <c r="A1009" s="31" t="n">
        <v>1007</v>
      </c>
      <c r="B1009" s="31">
        <f>CHAIN_RAW!D1007</f>
        <v/>
      </c>
      <c r="C1009" s="31">
        <f>CHAIN_RAW!A1007</f>
        <v/>
      </c>
      <c r="D1009" s="31">
        <f>CHAIN_RAW!C1007</f>
        <v/>
      </c>
      <c r="E1009" s="31">
        <f>CHAIN_RAW!E1007</f>
        <v/>
      </c>
      <c r="F1009" s="31">
        <f>CHAIN_RAW!F1007</f>
        <v/>
      </c>
      <c r="G1009" s="31">
        <f>CHAIN_RAW!I1007</f>
        <v/>
      </c>
      <c r="H1009" s="31">
        <f>CHAIN_RAW!Q1007</f>
        <v/>
      </c>
      <c r="I1009" s="31">
        <f>LET(pc,F1009,oc,H1009,IF(OR(pc="",oc=""),"",IF(AND(pc&gt;0,oc&gt;0),"Long Buildup",IF(AND(pc&lt;0,oc&gt;0),"Short Buildup",IF(AND(pc&gt;0,oc&lt;0),"Short Covering",IF(AND(pc&lt;0,oc&lt;0),"Long Unwinding","Flat"))))))</f>
        <v/>
      </c>
      <c r="J1009" s="31">
        <f>LET(pc,ABS(F1009),oc,ABS(H1009),IF(OR(pc="",oc=""),"",MAX(1,MIN(5,ROUND((pc*0.5+oc*0.00001)*5,0))))))</f>
        <v/>
      </c>
    </row>
    <row r="1010">
      <c r="A1010" s="31" t="n">
        <v>1008</v>
      </c>
      <c r="B1010" s="31">
        <f>CHAIN_RAW!D1008</f>
        <v/>
      </c>
      <c r="C1010" s="31">
        <f>CHAIN_RAW!A1008</f>
        <v/>
      </c>
      <c r="D1010" s="31">
        <f>CHAIN_RAW!C1008</f>
        <v/>
      </c>
      <c r="E1010" s="31">
        <f>CHAIN_RAW!E1008</f>
        <v/>
      </c>
      <c r="F1010" s="31">
        <f>CHAIN_RAW!F1008</f>
        <v/>
      </c>
      <c r="G1010" s="31">
        <f>CHAIN_RAW!I1008</f>
        <v/>
      </c>
      <c r="H1010" s="31">
        <f>CHAIN_RAW!Q1008</f>
        <v/>
      </c>
      <c r="I1010" s="31">
        <f>LET(pc,F1010,oc,H1010,IF(OR(pc="",oc=""),"",IF(AND(pc&gt;0,oc&gt;0),"Long Buildup",IF(AND(pc&lt;0,oc&gt;0),"Short Buildup",IF(AND(pc&gt;0,oc&lt;0),"Short Covering",IF(AND(pc&lt;0,oc&lt;0),"Long Unwinding","Flat"))))))</f>
        <v/>
      </c>
      <c r="J1010" s="31">
        <f>LET(pc,ABS(F1010),oc,ABS(H1010),IF(OR(pc="",oc=""),"",MAX(1,MIN(5,ROUND((pc*0.5+oc*0.00001)*5,0))))))</f>
        <v/>
      </c>
    </row>
    <row r="1011">
      <c r="A1011" s="31" t="n">
        <v>1009</v>
      </c>
      <c r="B1011" s="31">
        <f>CHAIN_RAW!D1009</f>
        <v/>
      </c>
      <c r="C1011" s="31">
        <f>CHAIN_RAW!A1009</f>
        <v/>
      </c>
      <c r="D1011" s="31">
        <f>CHAIN_RAW!C1009</f>
        <v/>
      </c>
      <c r="E1011" s="31">
        <f>CHAIN_RAW!E1009</f>
        <v/>
      </c>
      <c r="F1011" s="31">
        <f>CHAIN_RAW!F1009</f>
        <v/>
      </c>
      <c r="G1011" s="31">
        <f>CHAIN_RAW!I1009</f>
        <v/>
      </c>
      <c r="H1011" s="31">
        <f>CHAIN_RAW!Q1009</f>
        <v/>
      </c>
      <c r="I1011" s="31">
        <f>LET(pc,F1011,oc,H1011,IF(OR(pc="",oc=""),"",IF(AND(pc&gt;0,oc&gt;0),"Long Buildup",IF(AND(pc&lt;0,oc&gt;0),"Short Buildup",IF(AND(pc&gt;0,oc&lt;0),"Short Covering",IF(AND(pc&lt;0,oc&lt;0),"Long Unwinding","Flat"))))))</f>
        <v/>
      </c>
      <c r="J1011" s="31">
        <f>LET(pc,ABS(F1011),oc,ABS(H1011),IF(OR(pc="",oc=""),"",MAX(1,MIN(5,ROUND((pc*0.5+oc*0.00001)*5,0))))))</f>
        <v/>
      </c>
    </row>
    <row r="1012">
      <c r="A1012" s="31" t="n">
        <v>1010</v>
      </c>
      <c r="B1012" s="31">
        <f>CHAIN_RAW!D1010</f>
        <v/>
      </c>
      <c r="C1012" s="31">
        <f>CHAIN_RAW!A1010</f>
        <v/>
      </c>
      <c r="D1012" s="31">
        <f>CHAIN_RAW!C1010</f>
        <v/>
      </c>
      <c r="E1012" s="31">
        <f>CHAIN_RAW!E1010</f>
        <v/>
      </c>
      <c r="F1012" s="31">
        <f>CHAIN_RAW!F1010</f>
        <v/>
      </c>
      <c r="G1012" s="31">
        <f>CHAIN_RAW!I1010</f>
        <v/>
      </c>
      <c r="H1012" s="31">
        <f>CHAIN_RAW!Q1010</f>
        <v/>
      </c>
      <c r="I1012" s="31">
        <f>LET(pc,F1012,oc,H1012,IF(OR(pc="",oc=""),"",IF(AND(pc&gt;0,oc&gt;0),"Long Buildup",IF(AND(pc&lt;0,oc&gt;0),"Short Buildup",IF(AND(pc&gt;0,oc&lt;0),"Short Covering",IF(AND(pc&lt;0,oc&lt;0),"Long Unwinding","Flat"))))))</f>
        <v/>
      </c>
      <c r="J1012" s="31">
        <f>LET(pc,ABS(F1012),oc,ABS(H1012),IF(OR(pc="",oc=""),"",MAX(1,MIN(5,ROUND((pc*0.5+oc*0.00001)*5,0))))))</f>
        <v/>
      </c>
    </row>
    <row r="1013">
      <c r="A1013" s="31" t="n">
        <v>1011</v>
      </c>
      <c r="B1013" s="31">
        <f>CHAIN_RAW!D1011</f>
        <v/>
      </c>
      <c r="C1013" s="31">
        <f>CHAIN_RAW!A1011</f>
        <v/>
      </c>
      <c r="D1013" s="31">
        <f>CHAIN_RAW!C1011</f>
        <v/>
      </c>
      <c r="E1013" s="31">
        <f>CHAIN_RAW!E1011</f>
        <v/>
      </c>
      <c r="F1013" s="31">
        <f>CHAIN_RAW!F1011</f>
        <v/>
      </c>
      <c r="G1013" s="31">
        <f>CHAIN_RAW!I1011</f>
        <v/>
      </c>
      <c r="H1013" s="31">
        <f>CHAIN_RAW!Q1011</f>
        <v/>
      </c>
      <c r="I1013" s="31">
        <f>LET(pc,F1013,oc,H1013,IF(OR(pc="",oc=""),"",IF(AND(pc&gt;0,oc&gt;0),"Long Buildup",IF(AND(pc&lt;0,oc&gt;0),"Short Buildup",IF(AND(pc&gt;0,oc&lt;0),"Short Covering",IF(AND(pc&lt;0,oc&lt;0),"Long Unwinding","Flat"))))))</f>
        <v/>
      </c>
      <c r="J1013" s="31">
        <f>LET(pc,ABS(F1013),oc,ABS(H1013),IF(OR(pc="",oc=""),"",MAX(1,MIN(5,ROUND((pc*0.5+oc*0.00001)*5,0))))))</f>
        <v/>
      </c>
    </row>
    <row r="1014">
      <c r="A1014" s="31" t="n">
        <v>1012</v>
      </c>
      <c r="B1014" s="31">
        <f>CHAIN_RAW!D1012</f>
        <v/>
      </c>
      <c r="C1014" s="31">
        <f>CHAIN_RAW!A1012</f>
        <v/>
      </c>
      <c r="D1014" s="31">
        <f>CHAIN_RAW!C1012</f>
        <v/>
      </c>
      <c r="E1014" s="31">
        <f>CHAIN_RAW!E1012</f>
        <v/>
      </c>
      <c r="F1014" s="31">
        <f>CHAIN_RAW!F1012</f>
        <v/>
      </c>
      <c r="G1014" s="31">
        <f>CHAIN_RAW!I1012</f>
        <v/>
      </c>
      <c r="H1014" s="31">
        <f>CHAIN_RAW!Q1012</f>
        <v/>
      </c>
      <c r="I1014" s="31">
        <f>LET(pc,F1014,oc,H1014,IF(OR(pc="",oc=""),"",IF(AND(pc&gt;0,oc&gt;0),"Long Buildup",IF(AND(pc&lt;0,oc&gt;0),"Short Buildup",IF(AND(pc&gt;0,oc&lt;0),"Short Covering",IF(AND(pc&lt;0,oc&lt;0),"Long Unwinding","Flat"))))))</f>
        <v/>
      </c>
      <c r="J1014" s="31">
        <f>LET(pc,ABS(F1014),oc,ABS(H1014),IF(OR(pc="",oc=""),"",MAX(1,MIN(5,ROUND((pc*0.5+oc*0.00001)*5,0))))))</f>
        <v/>
      </c>
    </row>
    <row r="1015">
      <c r="A1015" s="31" t="n">
        <v>1013</v>
      </c>
      <c r="B1015" s="31">
        <f>CHAIN_RAW!D1013</f>
        <v/>
      </c>
      <c r="C1015" s="31">
        <f>CHAIN_RAW!A1013</f>
        <v/>
      </c>
      <c r="D1015" s="31">
        <f>CHAIN_RAW!C1013</f>
        <v/>
      </c>
      <c r="E1015" s="31">
        <f>CHAIN_RAW!E1013</f>
        <v/>
      </c>
      <c r="F1015" s="31">
        <f>CHAIN_RAW!F1013</f>
        <v/>
      </c>
      <c r="G1015" s="31">
        <f>CHAIN_RAW!I1013</f>
        <v/>
      </c>
      <c r="H1015" s="31">
        <f>CHAIN_RAW!Q1013</f>
        <v/>
      </c>
      <c r="I1015" s="31">
        <f>LET(pc,F1015,oc,H1015,IF(OR(pc="",oc=""),"",IF(AND(pc&gt;0,oc&gt;0),"Long Buildup",IF(AND(pc&lt;0,oc&gt;0),"Short Buildup",IF(AND(pc&gt;0,oc&lt;0),"Short Covering",IF(AND(pc&lt;0,oc&lt;0),"Long Unwinding","Flat"))))))</f>
        <v/>
      </c>
      <c r="J1015" s="31">
        <f>LET(pc,ABS(F1015),oc,ABS(H1015),IF(OR(pc="",oc=""),"",MAX(1,MIN(5,ROUND((pc*0.5+oc*0.00001)*5,0))))))</f>
        <v/>
      </c>
    </row>
    <row r="1016">
      <c r="A1016" s="31" t="n">
        <v>1014</v>
      </c>
      <c r="B1016" s="31">
        <f>CHAIN_RAW!D1014</f>
        <v/>
      </c>
      <c r="C1016" s="31">
        <f>CHAIN_RAW!A1014</f>
        <v/>
      </c>
      <c r="D1016" s="31">
        <f>CHAIN_RAW!C1014</f>
        <v/>
      </c>
      <c r="E1016" s="31">
        <f>CHAIN_RAW!E1014</f>
        <v/>
      </c>
      <c r="F1016" s="31">
        <f>CHAIN_RAW!F1014</f>
        <v/>
      </c>
      <c r="G1016" s="31">
        <f>CHAIN_RAW!I1014</f>
        <v/>
      </c>
      <c r="H1016" s="31">
        <f>CHAIN_RAW!Q1014</f>
        <v/>
      </c>
      <c r="I1016" s="31">
        <f>LET(pc,F1016,oc,H1016,IF(OR(pc="",oc=""),"",IF(AND(pc&gt;0,oc&gt;0),"Long Buildup",IF(AND(pc&lt;0,oc&gt;0),"Short Buildup",IF(AND(pc&gt;0,oc&lt;0),"Short Covering",IF(AND(pc&lt;0,oc&lt;0),"Long Unwinding","Flat"))))))</f>
        <v/>
      </c>
      <c r="J1016" s="31">
        <f>LET(pc,ABS(F1016),oc,ABS(H1016),IF(OR(pc="",oc=""),"",MAX(1,MIN(5,ROUND((pc*0.5+oc*0.00001)*5,0))))))</f>
        <v/>
      </c>
    </row>
    <row r="1017">
      <c r="A1017" s="31" t="n">
        <v>1015</v>
      </c>
      <c r="B1017" s="31">
        <f>CHAIN_RAW!D1015</f>
        <v/>
      </c>
      <c r="C1017" s="31">
        <f>CHAIN_RAW!A1015</f>
        <v/>
      </c>
      <c r="D1017" s="31">
        <f>CHAIN_RAW!C1015</f>
        <v/>
      </c>
      <c r="E1017" s="31">
        <f>CHAIN_RAW!E1015</f>
        <v/>
      </c>
      <c r="F1017" s="31">
        <f>CHAIN_RAW!F1015</f>
        <v/>
      </c>
      <c r="G1017" s="31">
        <f>CHAIN_RAW!I1015</f>
        <v/>
      </c>
      <c r="H1017" s="31">
        <f>CHAIN_RAW!Q1015</f>
        <v/>
      </c>
      <c r="I1017" s="31">
        <f>LET(pc,F1017,oc,H1017,IF(OR(pc="",oc=""),"",IF(AND(pc&gt;0,oc&gt;0),"Long Buildup",IF(AND(pc&lt;0,oc&gt;0),"Short Buildup",IF(AND(pc&gt;0,oc&lt;0),"Short Covering",IF(AND(pc&lt;0,oc&lt;0),"Long Unwinding","Flat"))))))</f>
        <v/>
      </c>
      <c r="J1017" s="31">
        <f>LET(pc,ABS(F1017),oc,ABS(H1017),IF(OR(pc="",oc=""),"",MAX(1,MIN(5,ROUND((pc*0.5+oc*0.00001)*5,0))))))</f>
        <v/>
      </c>
    </row>
    <row r="1018">
      <c r="A1018" s="31" t="n">
        <v>1016</v>
      </c>
      <c r="B1018" s="31">
        <f>CHAIN_RAW!D1016</f>
        <v/>
      </c>
      <c r="C1018" s="31">
        <f>CHAIN_RAW!A1016</f>
        <v/>
      </c>
      <c r="D1018" s="31">
        <f>CHAIN_RAW!C1016</f>
        <v/>
      </c>
      <c r="E1018" s="31">
        <f>CHAIN_RAW!E1016</f>
        <v/>
      </c>
      <c r="F1018" s="31">
        <f>CHAIN_RAW!F1016</f>
        <v/>
      </c>
      <c r="G1018" s="31">
        <f>CHAIN_RAW!I1016</f>
        <v/>
      </c>
      <c r="H1018" s="31">
        <f>CHAIN_RAW!Q1016</f>
        <v/>
      </c>
      <c r="I1018" s="31">
        <f>LET(pc,F1018,oc,H1018,IF(OR(pc="",oc=""),"",IF(AND(pc&gt;0,oc&gt;0),"Long Buildup",IF(AND(pc&lt;0,oc&gt;0),"Short Buildup",IF(AND(pc&gt;0,oc&lt;0),"Short Covering",IF(AND(pc&lt;0,oc&lt;0),"Long Unwinding","Flat"))))))</f>
        <v/>
      </c>
      <c r="J1018" s="31">
        <f>LET(pc,ABS(F1018),oc,ABS(H1018),IF(OR(pc="",oc=""),"",MAX(1,MIN(5,ROUND((pc*0.5+oc*0.00001)*5,0))))))</f>
        <v/>
      </c>
    </row>
    <row r="1019">
      <c r="A1019" s="31" t="n">
        <v>1017</v>
      </c>
      <c r="B1019" s="31">
        <f>CHAIN_RAW!D1017</f>
        <v/>
      </c>
      <c r="C1019" s="31">
        <f>CHAIN_RAW!A1017</f>
        <v/>
      </c>
      <c r="D1019" s="31">
        <f>CHAIN_RAW!C1017</f>
        <v/>
      </c>
      <c r="E1019" s="31">
        <f>CHAIN_RAW!E1017</f>
        <v/>
      </c>
      <c r="F1019" s="31">
        <f>CHAIN_RAW!F1017</f>
        <v/>
      </c>
      <c r="G1019" s="31">
        <f>CHAIN_RAW!I1017</f>
        <v/>
      </c>
      <c r="H1019" s="31">
        <f>CHAIN_RAW!Q1017</f>
        <v/>
      </c>
      <c r="I1019" s="31">
        <f>LET(pc,F1019,oc,H1019,IF(OR(pc="",oc=""),"",IF(AND(pc&gt;0,oc&gt;0),"Long Buildup",IF(AND(pc&lt;0,oc&gt;0),"Short Buildup",IF(AND(pc&gt;0,oc&lt;0),"Short Covering",IF(AND(pc&lt;0,oc&lt;0),"Long Unwinding","Flat"))))))</f>
        <v/>
      </c>
      <c r="J1019" s="31">
        <f>LET(pc,ABS(F1019),oc,ABS(H1019),IF(OR(pc="",oc=""),"",MAX(1,MIN(5,ROUND((pc*0.5+oc*0.00001)*5,0))))))</f>
        <v/>
      </c>
    </row>
    <row r="1020">
      <c r="A1020" s="31" t="n">
        <v>1018</v>
      </c>
      <c r="B1020" s="31">
        <f>CHAIN_RAW!D1018</f>
        <v/>
      </c>
      <c r="C1020" s="31">
        <f>CHAIN_RAW!A1018</f>
        <v/>
      </c>
      <c r="D1020" s="31">
        <f>CHAIN_RAW!C1018</f>
        <v/>
      </c>
      <c r="E1020" s="31">
        <f>CHAIN_RAW!E1018</f>
        <v/>
      </c>
      <c r="F1020" s="31">
        <f>CHAIN_RAW!F1018</f>
        <v/>
      </c>
      <c r="G1020" s="31">
        <f>CHAIN_RAW!I1018</f>
        <v/>
      </c>
      <c r="H1020" s="31">
        <f>CHAIN_RAW!Q1018</f>
        <v/>
      </c>
      <c r="I1020" s="31">
        <f>LET(pc,F1020,oc,H1020,IF(OR(pc="",oc=""),"",IF(AND(pc&gt;0,oc&gt;0),"Long Buildup",IF(AND(pc&lt;0,oc&gt;0),"Short Buildup",IF(AND(pc&gt;0,oc&lt;0),"Short Covering",IF(AND(pc&lt;0,oc&lt;0),"Long Unwinding","Flat"))))))</f>
        <v/>
      </c>
      <c r="J1020" s="31">
        <f>LET(pc,ABS(F1020),oc,ABS(H1020),IF(OR(pc="",oc=""),"",MAX(1,MIN(5,ROUND((pc*0.5+oc*0.00001)*5,0))))))</f>
        <v/>
      </c>
    </row>
    <row r="1021">
      <c r="A1021" s="31" t="n">
        <v>1019</v>
      </c>
      <c r="B1021" s="31">
        <f>CHAIN_RAW!D1019</f>
        <v/>
      </c>
      <c r="C1021" s="31">
        <f>CHAIN_RAW!A1019</f>
        <v/>
      </c>
      <c r="D1021" s="31">
        <f>CHAIN_RAW!C1019</f>
        <v/>
      </c>
      <c r="E1021" s="31">
        <f>CHAIN_RAW!E1019</f>
        <v/>
      </c>
      <c r="F1021" s="31">
        <f>CHAIN_RAW!F1019</f>
        <v/>
      </c>
      <c r="G1021" s="31">
        <f>CHAIN_RAW!I1019</f>
        <v/>
      </c>
      <c r="H1021" s="31">
        <f>CHAIN_RAW!Q1019</f>
        <v/>
      </c>
      <c r="I1021" s="31">
        <f>LET(pc,F1021,oc,H1021,IF(OR(pc="",oc=""),"",IF(AND(pc&gt;0,oc&gt;0),"Long Buildup",IF(AND(pc&lt;0,oc&gt;0),"Short Buildup",IF(AND(pc&gt;0,oc&lt;0),"Short Covering",IF(AND(pc&lt;0,oc&lt;0),"Long Unwinding","Flat"))))))</f>
        <v/>
      </c>
      <c r="J1021" s="31">
        <f>LET(pc,ABS(F1021),oc,ABS(H1021),IF(OR(pc="",oc=""),"",MAX(1,MIN(5,ROUND((pc*0.5+oc*0.00001)*5,0))))))</f>
        <v/>
      </c>
    </row>
    <row r="1022">
      <c r="A1022" s="31" t="n">
        <v>1020</v>
      </c>
      <c r="B1022" s="31">
        <f>CHAIN_RAW!D1020</f>
        <v/>
      </c>
      <c r="C1022" s="31">
        <f>CHAIN_RAW!A1020</f>
        <v/>
      </c>
      <c r="D1022" s="31">
        <f>CHAIN_RAW!C1020</f>
        <v/>
      </c>
      <c r="E1022" s="31">
        <f>CHAIN_RAW!E1020</f>
        <v/>
      </c>
      <c r="F1022" s="31">
        <f>CHAIN_RAW!F1020</f>
        <v/>
      </c>
      <c r="G1022" s="31">
        <f>CHAIN_RAW!I1020</f>
        <v/>
      </c>
      <c r="H1022" s="31">
        <f>CHAIN_RAW!Q1020</f>
        <v/>
      </c>
      <c r="I1022" s="31">
        <f>LET(pc,F1022,oc,H1022,IF(OR(pc="",oc=""),"",IF(AND(pc&gt;0,oc&gt;0),"Long Buildup",IF(AND(pc&lt;0,oc&gt;0),"Short Buildup",IF(AND(pc&gt;0,oc&lt;0),"Short Covering",IF(AND(pc&lt;0,oc&lt;0),"Long Unwinding","Flat"))))))</f>
        <v/>
      </c>
      <c r="J1022" s="31">
        <f>LET(pc,ABS(F1022),oc,ABS(H1022),IF(OR(pc="",oc=""),"",MAX(1,MIN(5,ROUND((pc*0.5+oc*0.00001)*5,0))))))</f>
        <v/>
      </c>
    </row>
    <row r="1023">
      <c r="A1023" s="31" t="n">
        <v>1021</v>
      </c>
      <c r="B1023" s="31">
        <f>CHAIN_RAW!D1021</f>
        <v/>
      </c>
      <c r="C1023" s="31">
        <f>CHAIN_RAW!A1021</f>
        <v/>
      </c>
      <c r="D1023" s="31">
        <f>CHAIN_RAW!C1021</f>
        <v/>
      </c>
      <c r="E1023" s="31">
        <f>CHAIN_RAW!E1021</f>
        <v/>
      </c>
      <c r="F1023" s="31">
        <f>CHAIN_RAW!F1021</f>
        <v/>
      </c>
      <c r="G1023" s="31">
        <f>CHAIN_RAW!I1021</f>
        <v/>
      </c>
      <c r="H1023" s="31">
        <f>CHAIN_RAW!Q1021</f>
        <v/>
      </c>
      <c r="I1023" s="31">
        <f>LET(pc,F1023,oc,H1023,IF(OR(pc="",oc=""),"",IF(AND(pc&gt;0,oc&gt;0),"Long Buildup",IF(AND(pc&lt;0,oc&gt;0),"Short Buildup",IF(AND(pc&gt;0,oc&lt;0),"Short Covering",IF(AND(pc&lt;0,oc&lt;0),"Long Unwinding","Flat"))))))</f>
        <v/>
      </c>
      <c r="J1023" s="31">
        <f>LET(pc,ABS(F1023),oc,ABS(H1023),IF(OR(pc="",oc=""),"",MAX(1,MIN(5,ROUND((pc*0.5+oc*0.00001)*5,0))))))</f>
        <v/>
      </c>
    </row>
    <row r="1024">
      <c r="A1024" s="31" t="n">
        <v>1022</v>
      </c>
      <c r="B1024" s="31">
        <f>CHAIN_RAW!D1022</f>
        <v/>
      </c>
      <c r="C1024" s="31">
        <f>CHAIN_RAW!A1022</f>
        <v/>
      </c>
      <c r="D1024" s="31">
        <f>CHAIN_RAW!C1022</f>
        <v/>
      </c>
      <c r="E1024" s="31">
        <f>CHAIN_RAW!E1022</f>
        <v/>
      </c>
      <c r="F1024" s="31">
        <f>CHAIN_RAW!F1022</f>
        <v/>
      </c>
      <c r="G1024" s="31">
        <f>CHAIN_RAW!I1022</f>
        <v/>
      </c>
      <c r="H1024" s="31">
        <f>CHAIN_RAW!Q1022</f>
        <v/>
      </c>
      <c r="I1024" s="31">
        <f>LET(pc,F1024,oc,H1024,IF(OR(pc="",oc=""),"",IF(AND(pc&gt;0,oc&gt;0),"Long Buildup",IF(AND(pc&lt;0,oc&gt;0),"Short Buildup",IF(AND(pc&gt;0,oc&lt;0),"Short Covering",IF(AND(pc&lt;0,oc&lt;0),"Long Unwinding","Flat"))))))</f>
        <v/>
      </c>
      <c r="J1024" s="31">
        <f>LET(pc,ABS(F1024),oc,ABS(H1024),IF(OR(pc="",oc=""),"",MAX(1,MIN(5,ROUND((pc*0.5+oc*0.00001)*5,0))))))</f>
        <v/>
      </c>
    </row>
    <row r="1025">
      <c r="A1025" s="31" t="n">
        <v>1023</v>
      </c>
      <c r="B1025" s="31">
        <f>CHAIN_RAW!D1023</f>
        <v/>
      </c>
      <c r="C1025" s="31">
        <f>CHAIN_RAW!A1023</f>
        <v/>
      </c>
      <c r="D1025" s="31">
        <f>CHAIN_RAW!C1023</f>
        <v/>
      </c>
      <c r="E1025" s="31">
        <f>CHAIN_RAW!E1023</f>
        <v/>
      </c>
      <c r="F1025" s="31">
        <f>CHAIN_RAW!F1023</f>
        <v/>
      </c>
      <c r="G1025" s="31">
        <f>CHAIN_RAW!I1023</f>
        <v/>
      </c>
      <c r="H1025" s="31">
        <f>CHAIN_RAW!Q1023</f>
        <v/>
      </c>
      <c r="I1025" s="31">
        <f>LET(pc,F1025,oc,H1025,IF(OR(pc="",oc=""),"",IF(AND(pc&gt;0,oc&gt;0),"Long Buildup",IF(AND(pc&lt;0,oc&gt;0),"Short Buildup",IF(AND(pc&gt;0,oc&lt;0),"Short Covering",IF(AND(pc&lt;0,oc&lt;0),"Long Unwinding","Flat"))))))</f>
        <v/>
      </c>
      <c r="J1025" s="31">
        <f>LET(pc,ABS(F1025),oc,ABS(H1025),IF(OR(pc="",oc=""),"",MAX(1,MIN(5,ROUND((pc*0.5+oc*0.00001)*5,0))))))</f>
        <v/>
      </c>
    </row>
    <row r="1026">
      <c r="A1026" s="31" t="n">
        <v>1024</v>
      </c>
      <c r="B1026" s="31">
        <f>CHAIN_RAW!D1024</f>
        <v/>
      </c>
      <c r="C1026" s="31">
        <f>CHAIN_RAW!A1024</f>
        <v/>
      </c>
      <c r="D1026" s="31">
        <f>CHAIN_RAW!C1024</f>
        <v/>
      </c>
      <c r="E1026" s="31">
        <f>CHAIN_RAW!E1024</f>
        <v/>
      </c>
      <c r="F1026" s="31">
        <f>CHAIN_RAW!F1024</f>
        <v/>
      </c>
      <c r="G1026" s="31">
        <f>CHAIN_RAW!I1024</f>
        <v/>
      </c>
      <c r="H1026" s="31">
        <f>CHAIN_RAW!Q1024</f>
        <v/>
      </c>
      <c r="I1026" s="31">
        <f>LET(pc,F1026,oc,H1026,IF(OR(pc="",oc=""),"",IF(AND(pc&gt;0,oc&gt;0),"Long Buildup",IF(AND(pc&lt;0,oc&gt;0),"Short Buildup",IF(AND(pc&gt;0,oc&lt;0),"Short Covering",IF(AND(pc&lt;0,oc&lt;0),"Long Unwinding","Flat"))))))</f>
        <v/>
      </c>
      <c r="J1026" s="31">
        <f>LET(pc,ABS(F1026),oc,ABS(H1026),IF(OR(pc="",oc=""),"",MAX(1,MIN(5,ROUND((pc*0.5+oc*0.00001)*5,0))))))</f>
        <v/>
      </c>
    </row>
    <row r="1027">
      <c r="A1027" s="31" t="n">
        <v>1025</v>
      </c>
      <c r="B1027" s="31">
        <f>CHAIN_RAW!D1025</f>
        <v/>
      </c>
      <c r="C1027" s="31">
        <f>CHAIN_RAW!A1025</f>
        <v/>
      </c>
      <c r="D1027" s="31">
        <f>CHAIN_RAW!C1025</f>
        <v/>
      </c>
      <c r="E1027" s="31">
        <f>CHAIN_RAW!E1025</f>
        <v/>
      </c>
      <c r="F1027" s="31">
        <f>CHAIN_RAW!F1025</f>
        <v/>
      </c>
      <c r="G1027" s="31">
        <f>CHAIN_RAW!I1025</f>
        <v/>
      </c>
      <c r="H1027" s="31">
        <f>CHAIN_RAW!Q1025</f>
        <v/>
      </c>
      <c r="I1027" s="31">
        <f>LET(pc,F1027,oc,H1027,IF(OR(pc="",oc=""),"",IF(AND(pc&gt;0,oc&gt;0),"Long Buildup",IF(AND(pc&lt;0,oc&gt;0),"Short Buildup",IF(AND(pc&gt;0,oc&lt;0),"Short Covering",IF(AND(pc&lt;0,oc&lt;0),"Long Unwinding","Flat"))))))</f>
        <v/>
      </c>
      <c r="J1027" s="31">
        <f>LET(pc,ABS(F1027),oc,ABS(H1027),IF(OR(pc="",oc=""),"",MAX(1,MIN(5,ROUND((pc*0.5+oc*0.00001)*5,0))))))</f>
        <v/>
      </c>
    </row>
    <row r="1028">
      <c r="A1028" s="31" t="n">
        <v>1026</v>
      </c>
      <c r="B1028" s="31">
        <f>CHAIN_RAW!D1026</f>
        <v/>
      </c>
      <c r="C1028" s="31">
        <f>CHAIN_RAW!A1026</f>
        <v/>
      </c>
      <c r="D1028" s="31">
        <f>CHAIN_RAW!C1026</f>
        <v/>
      </c>
      <c r="E1028" s="31">
        <f>CHAIN_RAW!E1026</f>
        <v/>
      </c>
      <c r="F1028" s="31">
        <f>CHAIN_RAW!F1026</f>
        <v/>
      </c>
      <c r="G1028" s="31">
        <f>CHAIN_RAW!I1026</f>
        <v/>
      </c>
      <c r="H1028" s="31">
        <f>CHAIN_RAW!Q1026</f>
        <v/>
      </c>
      <c r="I1028" s="31">
        <f>LET(pc,F1028,oc,H1028,IF(OR(pc="",oc=""),"",IF(AND(pc&gt;0,oc&gt;0),"Long Buildup",IF(AND(pc&lt;0,oc&gt;0),"Short Buildup",IF(AND(pc&gt;0,oc&lt;0),"Short Covering",IF(AND(pc&lt;0,oc&lt;0),"Long Unwinding","Flat"))))))</f>
        <v/>
      </c>
      <c r="J1028" s="31">
        <f>LET(pc,ABS(F1028),oc,ABS(H1028),IF(OR(pc="",oc=""),"",MAX(1,MIN(5,ROUND((pc*0.5+oc*0.00001)*5,0))))))</f>
        <v/>
      </c>
    </row>
    <row r="1029">
      <c r="A1029" s="31" t="n">
        <v>1027</v>
      </c>
      <c r="B1029" s="31">
        <f>CHAIN_RAW!D1027</f>
        <v/>
      </c>
      <c r="C1029" s="31">
        <f>CHAIN_RAW!A1027</f>
        <v/>
      </c>
      <c r="D1029" s="31">
        <f>CHAIN_RAW!C1027</f>
        <v/>
      </c>
      <c r="E1029" s="31">
        <f>CHAIN_RAW!E1027</f>
        <v/>
      </c>
      <c r="F1029" s="31">
        <f>CHAIN_RAW!F1027</f>
        <v/>
      </c>
      <c r="G1029" s="31">
        <f>CHAIN_RAW!I1027</f>
        <v/>
      </c>
      <c r="H1029" s="31">
        <f>CHAIN_RAW!Q1027</f>
        <v/>
      </c>
      <c r="I1029" s="31">
        <f>LET(pc,F1029,oc,H1029,IF(OR(pc="",oc=""),"",IF(AND(pc&gt;0,oc&gt;0),"Long Buildup",IF(AND(pc&lt;0,oc&gt;0),"Short Buildup",IF(AND(pc&gt;0,oc&lt;0),"Short Covering",IF(AND(pc&lt;0,oc&lt;0),"Long Unwinding","Flat"))))))</f>
        <v/>
      </c>
      <c r="J1029" s="31">
        <f>LET(pc,ABS(F1029),oc,ABS(H1029),IF(OR(pc="",oc=""),"",MAX(1,MIN(5,ROUND((pc*0.5+oc*0.00001)*5,0))))))</f>
        <v/>
      </c>
    </row>
    <row r="1030">
      <c r="A1030" s="31" t="n">
        <v>1028</v>
      </c>
      <c r="B1030" s="31">
        <f>CHAIN_RAW!D1028</f>
        <v/>
      </c>
      <c r="C1030" s="31">
        <f>CHAIN_RAW!A1028</f>
        <v/>
      </c>
      <c r="D1030" s="31">
        <f>CHAIN_RAW!C1028</f>
        <v/>
      </c>
      <c r="E1030" s="31">
        <f>CHAIN_RAW!E1028</f>
        <v/>
      </c>
      <c r="F1030" s="31">
        <f>CHAIN_RAW!F1028</f>
        <v/>
      </c>
      <c r="G1030" s="31">
        <f>CHAIN_RAW!I1028</f>
        <v/>
      </c>
      <c r="H1030" s="31">
        <f>CHAIN_RAW!Q1028</f>
        <v/>
      </c>
      <c r="I1030" s="31">
        <f>LET(pc,F1030,oc,H1030,IF(OR(pc="",oc=""),"",IF(AND(pc&gt;0,oc&gt;0),"Long Buildup",IF(AND(pc&lt;0,oc&gt;0),"Short Buildup",IF(AND(pc&gt;0,oc&lt;0),"Short Covering",IF(AND(pc&lt;0,oc&lt;0),"Long Unwinding","Flat"))))))</f>
        <v/>
      </c>
      <c r="J1030" s="31">
        <f>LET(pc,ABS(F1030),oc,ABS(H1030),IF(OR(pc="",oc=""),"",MAX(1,MIN(5,ROUND((pc*0.5+oc*0.00001)*5,0))))))</f>
        <v/>
      </c>
    </row>
    <row r="1031">
      <c r="A1031" s="31" t="n">
        <v>1029</v>
      </c>
      <c r="B1031" s="31">
        <f>CHAIN_RAW!D1029</f>
        <v/>
      </c>
      <c r="C1031" s="31">
        <f>CHAIN_RAW!A1029</f>
        <v/>
      </c>
      <c r="D1031" s="31">
        <f>CHAIN_RAW!C1029</f>
        <v/>
      </c>
      <c r="E1031" s="31">
        <f>CHAIN_RAW!E1029</f>
        <v/>
      </c>
      <c r="F1031" s="31">
        <f>CHAIN_RAW!F1029</f>
        <v/>
      </c>
      <c r="G1031" s="31">
        <f>CHAIN_RAW!I1029</f>
        <v/>
      </c>
      <c r="H1031" s="31">
        <f>CHAIN_RAW!Q1029</f>
        <v/>
      </c>
      <c r="I1031" s="31">
        <f>LET(pc,F1031,oc,H1031,IF(OR(pc="",oc=""),"",IF(AND(pc&gt;0,oc&gt;0),"Long Buildup",IF(AND(pc&lt;0,oc&gt;0),"Short Buildup",IF(AND(pc&gt;0,oc&lt;0),"Short Covering",IF(AND(pc&lt;0,oc&lt;0),"Long Unwinding","Flat"))))))</f>
        <v/>
      </c>
      <c r="J1031" s="31">
        <f>LET(pc,ABS(F1031),oc,ABS(H1031),IF(OR(pc="",oc=""),"",MAX(1,MIN(5,ROUND((pc*0.5+oc*0.00001)*5,0))))))</f>
        <v/>
      </c>
    </row>
    <row r="1032">
      <c r="A1032" s="31" t="n">
        <v>1030</v>
      </c>
      <c r="B1032" s="31">
        <f>CHAIN_RAW!D1030</f>
        <v/>
      </c>
      <c r="C1032" s="31">
        <f>CHAIN_RAW!A1030</f>
        <v/>
      </c>
      <c r="D1032" s="31">
        <f>CHAIN_RAW!C1030</f>
        <v/>
      </c>
      <c r="E1032" s="31">
        <f>CHAIN_RAW!E1030</f>
        <v/>
      </c>
      <c r="F1032" s="31">
        <f>CHAIN_RAW!F1030</f>
        <v/>
      </c>
      <c r="G1032" s="31">
        <f>CHAIN_RAW!I1030</f>
        <v/>
      </c>
      <c r="H1032" s="31">
        <f>CHAIN_RAW!Q1030</f>
        <v/>
      </c>
      <c r="I1032" s="31">
        <f>LET(pc,F1032,oc,H1032,IF(OR(pc="",oc=""),"",IF(AND(pc&gt;0,oc&gt;0),"Long Buildup",IF(AND(pc&lt;0,oc&gt;0),"Short Buildup",IF(AND(pc&gt;0,oc&lt;0),"Short Covering",IF(AND(pc&lt;0,oc&lt;0),"Long Unwinding","Flat"))))))</f>
        <v/>
      </c>
      <c r="J1032" s="31">
        <f>LET(pc,ABS(F1032),oc,ABS(H1032),IF(OR(pc="",oc=""),"",MAX(1,MIN(5,ROUND((pc*0.5+oc*0.00001)*5,0))))))</f>
        <v/>
      </c>
    </row>
    <row r="1033">
      <c r="A1033" s="31" t="n">
        <v>1031</v>
      </c>
      <c r="B1033" s="31">
        <f>CHAIN_RAW!D1031</f>
        <v/>
      </c>
      <c r="C1033" s="31">
        <f>CHAIN_RAW!A1031</f>
        <v/>
      </c>
      <c r="D1033" s="31">
        <f>CHAIN_RAW!C1031</f>
        <v/>
      </c>
      <c r="E1033" s="31">
        <f>CHAIN_RAW!E1031</f>
        <v/>
      </c>
      <c r="F1033" s="31">
        <f>CHAIN_RAW!F1031</f>
        <v/>
      </c>
      <c r="G1033" s="31">
        <f>CHAIN_RAW!I1031</f>
        <v/>
      </c>
      <c r="H1033" s="31">
        <f>CHAIN_RAW!Q1031</f>
        <v/>
      </c>
      <c r="I1033" s="31">
        <f>LET(pc,F1033,oc,H1033,IF(OR(pc="",oc=""),"",IF(AND(pc&gt;0,oc&gt;0),"Long Buildup",IF(AND(pc&lt;0,oc&gt;0),"Short Buildup",IF(AND(pc&gt;0,oc&lt;0),"Short Covering",IF(AND(pc&lt;0,oc&lt;0),"Long Unwinding","Flat"))))))</f>
        <v/>
      </c>
      <c r="J1033" s="31">
        <f>LET(pc,ABS(F1033),oc,ABS(H1033),IF(OR(pc="",oc=""),"",MAX(1,MIN(5,ROUND((pc*0.5+oc*0.00001)*5,0))))))</f>
        <v/>
      </c>
    </row>
    <row r="1034">
      <c r="A1034" s="31" t="n">
        <v>1032</v>
      </c>
      <c r="B1034" s="31">
        <f>CHAIN_RAW!D1032</f>
        <v/>
      </c>
      <c r="C1034" s="31">
        <f>CHAIN_RAW!A1032</f>
        <v/>
      </c>
      <c r="D1034" s="31">
        <f>CHAIN_RAW!C1032</f>
        <v/>
      </c>
      <c r="E1034" s="31">
        <f>CHAIN_RAW!E1032</f>
        <v/>
      </c>
      <c r="F1034" s="31">
        <f>CHAIN_RAW!F1032</f>
        <v/>
      </c>
      <c r="G1034" s="31">
        <f>CHAIN_RAW!I1032</f>
        <v/>
      </c>
      <c r="H1034" s="31">
        <f>CHAIN_RAW!Q1032</f>
        <v/>
      </c>
      <c r="I1034" s="31">
        <f>LET(pc,F1034,oc,H1034,IF(OR(pc="",oc=""),"",IF(AND(pc&gt;0,oc&gt;0),"Long Buildup",IF(AND(pc&lt;0,oc&gt;0),"Short Buildup",IF(AND(pc&gt;0,oc&lt;0),"Short Covering",IF(AND(pc&lt;0,oc&lt;0),"Long Unwinding","Flat"))))))</f>
        <v/>
      </c>
      <c r="J1034" s="31">
        <f>LET(pc,ABS(F1034),oc,ABS(H1034),IF(OR(pc="",oc=""),"",MAX(1,MIN(5,ROUND((pc*0.5+oc*0.00001)*5,0))))))</f>
        <v/>
      </c>
    </row>
    <row r="1035">
      <c r="A1035" s="31" t="n">
        <v>1033</v>
      </c>
      <c r="B1035" s="31">
        <f>CHAIN_RAW!D1033</f>
        <v/>
      </c>
      <c r="C1035" s="31">
        <f>CHAIN_RAW!A1033</f>
        <v/>
      </c>
      <c r="D1035" s="31">
        <f>CHAIN_RAW!C1033</f>
        <v/>
      </c>
      <c r="E1035" s="31">
        <f>CHAIN_RAW!E1033</f>
        <v/>
      </c>
      <c r="F1035" s="31">
        <f>CHAIN_RAW!F1033</f>
        <v/>
      </c>
      <c r="G1035" s="31">
        <f>CHAIN_RAW!I1033</f>
        <v/>
      </c>
      <c r="H1035" s="31">
        <f>CHAIN_RAW!Q1033</f>
        <v/>
      </c>
      <c r="I1035" s="31">
        <f>LET(pc,F1035,oc,H1035,IF(OR(pc="",oc=""),"",IF(AND(pc&gt;0,oc&gt;0),"Long Buildup",IF(AND(pc&lt;0,oc&gt;0),"Short Buildup",IF(AND(pc&gt;0,oc&lt;0),"Short Covering",IF(AND(pc&lt;0,oc&lt;0),"Long Unwinding","Flat"))))))</f>
        <v/>
      </c>
      <c r="J1035" s="31">
        <f>LET(pc,ABS(F1035),oc,ABS(H1035),IF(OR(pc="",oc=""),"",MAX(1,MIN(5,ROUND((pc*0.5+oc*0.00001)*5,0))))))</f>
        <v/>
      </c>
    </row>
    <row r="1036">
      <c r="A1036" s="31" t="n">
        <v>1034</v>
      </c>
      <c r="B1036" s="31">
        <f>CHAIN_RAW!D1034</f>
        <v/>
      </c>
      <c r="C1036" s="31">
        <f>CHAIN_RAW!A1034</f>
        <v/>
      </c>
      <c r="D1036" s="31">
        <f>CHAIN_RAW!C1034</f>
        <v/>
      </c>
      <c r="E1036" s="31">
        <f>CHAIN_RAW!E1034</f>
        <v/>
      </c>
      <c r="F1036" s="31">
        <f>CHAIN_RAW!F1034</f>
        <v/>
      </c>
      <c r="G1036" s="31">
        <f>CHAIN_RAW!I1034</f>
        <v/>
      </c>
      <c r="H1036" s="31">
        <f>CHAIN_RAW!Q1034</f>
        <v/>
      </c>
      <c r="I1036" s="31">
        <f>LET(pc,F1036,oc,H1036,IF(OR(pc="",oc=""),"",IF(AND(pc&gt;0,oc&gt;0),"Long Buildup",IF(AND(pc&lt;0,oc&gt;0),"Short Buildup",IF(AND(pc&gt;0,oc&lt;0),"Short Covering",IF(AND(pc&lt;0,oc&lt;0),"Long Unwinding","Flat"))))))</f>
        <v/>
      </c>
      <c r="J1036" s="31">
        <f>LET(pc,ABS(F1036),oc,ABS(H1036),IF(OR(pc="",oc=""),"",MAX(1,MIN(5,ROUND((pc*0.5+oc*0.00001)*5,0))))))</f>
        <v/>
      </c>
    </row>
    <row r="1037">
      <c r="A1037" s="31" t="n">
        <v>1035</v>
      </c>
      <c r="B1037" s="31">
        <f>CHAIN_RAW!D1035</f>
        <v/>
      </c>
      <c r="C1037" s="31">
        <f>CHAIN_RAW!A1035</f>
        <v/>
      </c>
      <c r="D1037" s="31">
        <f>CHAIN_RAW!C1035</f>
        <v/>
      </c>
      <c r="E1037" s="31">
        <f>CHAIN_RAW!E1035</f>
        <v/>
      </c>
      <c r="F1037" s="31">
        <f>CHAIN_RAW!F1035</f>
        <v/>
      </c>
      <c r="G1037" s="31">
        <f>CHAIN_RAW!I1035</f>
        <v/>
      </c>
      <c r="H1037" s="31">
        <f>CHAIN_RAW!Q1035</f>
        <v/>
      </c>
      <c r="I1037" s="31">
        <f>LET(pc,F1037,oc,H1037,IF(OR(pc="",oc=""),"",IF(AND(pc&gt;0,oc&gt;0),"Long Buildup",IF(AND(pc&lt;0,oc&gt;0),"Short Buildup",IF(AND(pc&gt;0,oc&lt;0),"Short Covering",IF(AND(pc&lt;0,oc&lt;0),"Long Unwinding","Flat"))))))</f>
        <v/>
      </c>
      <c r="J1037" s="31">
        <f>LET(pc,ABS(F1037),oc,ABS(H1037),IF(OR(pc="",oc=""),"",MAX(1,MIN(5,ROUND((pc*0.5+oc*0.00001)*5,0))))))</f>
        <v/>
      </c>
    </row>
    <row r="1038">
      <c r="A1038" s="31" t="n">
        <v>1036</v>
      </c>
      <c r="B1038" s="31">
        <f>CHAIN_RAW!D1036</f>
        <v/>
      </c>
      <c r="C1038" s="31">
        <f>CHAIN_RAW!A1036</f>
        <v/>
      </c>
      <c r="D1038" s="31">
        <f>CHAIN_RAW!C1036</f>
        <v/>
      </c>
      <c r="E1038" s="31">
        <f>CHAIN_RAW!E1036</f>
        <v/>
      </c>
      <c r="F1038" s="31">
        <f>CHAIN_RAW!F1036</f>
        <v/>
      </c>
      <c r="G1038" s="31">
        <f>CHAIN_RAW!I1036</f>
        <v/>
      </c>
      <c r="H1038" s="31">
        <f>CHAIN_RAW!Q1036</f>
        <v/>
      </c>
      <c r="I1038" s="31">
        <f>LET(pc,F1038,oc,H1038,IF(OR(pc="",oc=""),"",IF(AND(pc&gt;0,oc&gt;0),"Long Buildup",IF(AND(pc&lt;0,oc&gt;0),"Short Buildup",IF(AND(pc&gt;0,oc&lt;0),"Short Covering",IF(AND(pc&lt;0,oc&lt;0),"Long Unwinding","Flat"))))))</f>
        <v/>
      </c>
      <c r="J1038" s="31">
        <f>LET(pc,ABS(F1038),oc,ABS(H1038),IF(OR(pc="",oc=""),"",MAX(1,MIN(5,ROUND((pc*0.5+oc*0.00001)*5,0))))))</f>
        <v/>
      </c>
    </row>
    <row r="1039">
      <c r="A1039" s="31" t="n">
        <v>1037</v>
      </c>
      <c r="B1039" s="31">
        <f>CHAIN_RAW!D1037</f>
        <v/>
      </c>
      <c r="C1039" s="31">
        <f>CHAIN_RAW!A1037</f>
        <v/>
      </c>
      <c r="D1039" s="31">
        <f>CHAIN_RAW!C1037</f>
        <v/>
      </c>
      <c r="E1039" s="31">
        <f>CHAIN_RAW!E1037</f>
        <v/>
      </c>
      <c r="F1039" s="31">
        <f>CHAIN_RAW!F1037</f>
        <v/>
      </c>
      <c r="G1039" s="31">
        <f>CHAIN_RAW!I1037</f>
        <v/>
      </c>
      <c r="H1039" s="31">
        <f>CHAIN_RAW!Q1037</f>
        <v/>
      </c>
      <c r="I1039" s="31">
        <f>LET(pc,F1039,oc,H1039,IF(OR(pc="",oc=""),"",IF(AND(pc&gt;0,oc&gt;0),"Long Buildup",IF(AND(pc&lt;0,oc&gt;0),"Short Buildup",IF(AND(pc&gt;0,oc&lt;0),"Short Covering",IF(AND(pc&lt;0,oc&lt;0),"Long Unwinding","Flat"))))))</f>
        <v/>
      </c>
      <c r="J1039" s="31">
        <f>LET(pc,ABS(F1039),oc,ABS(H1039),IF(OR(pc="",oc=""),"",MAX(1,MIN(5,ROUND((pc*0.5+oc*0.00001)*5,0))))))</f>
        <v/>
      </c>
    </row>
    <row r="1040">
      <c r="A1040" s="31" t="n">
        <v>1038</v>
      </c>
      <c r="B1040" s="31">
        <f>CHAIN_RAW!D1038</f>
        <v/>
      </c>
      <c r="C1040" s="31">
        <f>CHAIN_RAW!A1038</f>
        <v/>
      </c>
      <c r="D1040" s="31">
        <f>CHAIN_RAW!C1038</f>
        <v/>
      </c>
      <c r="E1040" s="31">
        <f>CHAIN_RAW!E1038</f>
        <v/>
      </c>
      <c r="F1040" s="31">
        <f>CHAIN_RAW!F1038</f>
        <v/>
      </c>
      <c r="G1040" s="31">
        <f>CHAIN_RAW!I1038</f>
        <v/>
      </c>
      <c r="H1040" s="31">
        <f>CHAIN_RAW!Q1038</f>
        <v/>
      </c>
      <c r="I1040" s="31">
        <f>LET(pc,F1040,oc,H1040,IF(OR(pc="",oc=""),"",IF(AND(pc&gt;0,oc&gt;0),"Long Buildup",IF(AND(pc&lt;0,oc&gt;0),"Short Buildup",IF(AND(pc&gt;0,oc&lt;0),"Short Covering",IF(AND(pc&lt;0,oc&lt;0),"Long Unwinding","Flat"))))))</f>
        <v/>
      </c>
      <c r="J1040" s="31">
        <f>LET(pc,ABS(F1040),oc,ABS(H1040),IF(OR(pc="",oc=""),"",MAX(1,MIN(5,ROUND((pc*0.5+oc*0.00001)*5,0))))))</f>
        <v/>
      </c>
    </row>
    <row r="1041">
      <c r="A1041" s="31" t="n">
        <v>1039</v>
      </c>
      <c r="B1041" s="31">
        <f>CHAIN_RAW!D1039</f>
        <v/>
      </c>
      <c r="C1041" s="31">
        <f>CHAIN_RAW!A1039</f>
        <v/>
      </c>
      <c r="D1041" s="31">
        <f>CHAIN_RAW!C1039</f>
        <v/>
      </c>
      <c r="E1041" s="31">
        <f>CHAIN_RAW!E1039</f>
        <v/>
      </c>
      <c r="F1041" s="31">
        <f>CHAIN_RAW!F1039</f>
        <v/>
      </c>
      <c r="G1041" s="31">
        <f>CHAIN_RAW!I1039</f>
        <v/>
      </c>
      <c r="H1041" s="31">
        <f>CHAIN_RAW!Q1039</f>
        <v/>
      </c>
      <c r="I1041" s="31">
        <f>LET(pc,F1041,oc,H1041,IF(OR(pc="",oc=""),"",IF(AND(pc&gt;0,oc&gt;0),"Long Buildup",IF(AND(pc&lt;0,oc&gt;0),"Short Buildup",IF(AND(pc&gt;0,oc&lt;0),"Short Covering",IF(AND(pc&lt;0,oc&lt;0),"Long Unwinding","Flat"))))))</f>
        <v/>
      </c>
      <c r="J1041" s="31">
        <f>LET(pc,ABS(F1041),oc,ABS(H1041),IF(OR(pc="",oc=""),"",MAX(1,MIN(5,ROUND((pc*0.5+oc*0.00001)*5,0))))))</f>
        <v/>
      </c>
    </row>
    <row r="1042">
      <c r="A1042" s="31" t="n">
        <v>1040</v>
      </c>
      <c r="B1042" s="31">
        <f>CHAIN_RAW!D1040</f>
        <v/>
      </c>
      <c r="C1042" s="31">
        <f>CHAIN_RAW!A1040</f>
        <v/>
      </c>
      <c r="D1042" s="31">
        <f>CHAIN_RAW!C1040</f>
        <v/>
      </c>
      <c r="E1042" s="31">
        <f>CHAIN_RAW!E1040</f>
        <v/>
      </c>
      <c r="F1042" s="31">
        <f>CHAIN_RAW!F1040</f>
        <v/>
      </c>
      <c r="G1042" s="31">
        <f>CHAIN_RAW!I1040</f>
        <v/>
      </c>
      <c r="H1042" s="31">
        <f>CHAIN_RAW!Q1040</f>
        <v/>
      </c>
      <c r="I1042" s="31">
        <f>LET(pc,F1042,oc,H1042,IF(OR(pc="",oc=""),"",IF(AND(pc&gt;0,oc&gt;0),"Long Buildup",IF(AND(pc&lt;0,oc&gt;0),"Short Buildup",IF(AND(pc&gt;0,oc&lt;0),"Short Covering",IF(AND(pc&lt;0,oc&lt;0),"Long Unwinding","Flat"))))))</f>
        <v/>
      </c>
      <c r="J1042" s="31">
        <f>LET(pc,ABS(F1042),oc,ABS(H1042),IF(OR(pc="",oc=""),"",MAX(1,MIN(5,ROUND((pc*0.5+oc*0.00001)*5,0))))))</f>
        <v/>
      </c>
    </row>
    <row r="1043">
      <c r="A1043" s="31" t="n">
        <v>1041</v>
      </c>
      <c r="B1043" s="31">
        <f>CHAIN_RAW!D1041</f>
        <v/>
      </c>
      <c r="C1043" s="31">
        <f>CHAIN_RAW!A1041</f>
        <v/>
      </c>
      <c r="D1043" s="31">
        <f>CHAIN_RAW!C1041</f>
        <v/>
      </c>
      <c r="E1043" s="31">
        <f>CHAIN_RAW!E1041</f>
        <v/>
      </c>
      <c r="F1043" s="31">
        <f>CHAIN_RAW!F1041</f>
        <v/>
      </c>
      <c r="G1043" s="31">
        <f>CHAIN_RAW!I1041</f>
        <v/>
      </c>
      <c r="H1043" s="31">
        <f>CHAIN_RAW!Q1041</f>
        <v/>
      </c>
      <c r="I1043" s="31">
        <f>LET(pc,F1043,oc,H1043,IF(OR(pc="",oc=""),"",IF(AND(pc&gt;0,oc&gt;0),"Long Buildup",IF(AND(pc&lt;0,oc&gt;0),"Short Buildup",IF(AND(pc&gt;0,oc&lt;0),"Short Covering",IF(AND(pc&lt;0,oc&lt;0),"Long Unwinding","Flat"))))))</f>
        <v/>
      </c>
      <c r="J1043" s="31">
        <f>LET(pc,ABS(F1043),oc,ABS(H1043),IF(OR(pc="",oc=""),"",MAX(1,MIN(5,ROUND((pc*0.5+oc*0.00001)*5,0))))))</f>
        <v/>
      </c>
    </row>
    <row r="1044">
      <c r="A1044" s="31" t="n">
        <v>1042</v>
      </c>
      <c r="B1044" s="31">
        <f>CHAIN_RAW!D1042</f>
        <v/>
      </c>
      <c r="C1044" s="31">
        <f>CHAIN_RAW!A1042</f>
        <v/>
      </c>
      <c r="D1044" s="31">
        <f>CHAIN_RAW!C1042</f>
        <v/>
      </c>
      <c r="E1044" s="31">
        <f>CHAIN_RAW!E1042</f>
        <v/>
      </c>
      <c r="F1044" s="31">
        <f>CHAIN_RAW!F1042</f>
        <v/>
      </c>
      <c r="G1044" s="31">
        <f>CHAIN_RAW!I1042</f>
        <v/>
      </c>
      <c r="H1044" s="31">
        <f>CHAIN_RAW!Q1042</f>
        <v/>
      </c>
      <c r="I1044" s="31">
        <f>LET(pc,F1044,oc,H1044,IF(OR(pc="",oc=""),"",IF(AND(pc&gt;0,oc&gt;0),"Long Buildup",IF(AND(pc&lt;0,oc&gt;0),"Short Buildup",IF(AND(pc&gt;0,oc&lt;0),"Short Covering",IF(AND(pc&lt;0,oc&lt;0),"Long Unwinding","Flat"))))))</f>
        <v/>
      </c>
      <c r="J1044" s="31">
        <f>LET(pc,ABS(F1044),oc,ABS(H1044),IF(OR(pc="",oc=""),"",MAX(1,MIN(5,ROUND((pc*0.5+oc*0.00001)*5,0))))))</f>
        <v/>
      </c>
    </row>
    <row r="1045">
      <c r="A1045" s="31" t="n">
        <v>1043</v>
      </c>
      <c r="B1045" s="31">
        <f>CHAIN_RAW!D1043</f>
        <v/>
      </c>
      <c r="C1045" s="31">
        <f>CHAIN_RAW!A1043</f>
        <v/>
      </c>
      <c r="D1045" s="31">
        <f>CHAIN_RAW!C1043</f>
        <v/>
      </c>
      <c r="E1045" s="31">
        <f>CHAIN_RAW!E1043</f>
        <v/>
      </c>
      <c r="F1045" s="31">
        <f>CHAIN_RAW!F1043</f>
        <v/>
      </c>
      <c r="G1045" s="31">
        <f>CHAIN_RAW!I1043</f>
        <v/>
      </c>
      <c r="H1045" s="31">
        <f>CHAIN_RAW!Q1043</f>
        <v/>
      </c>
      <c r="I1045" s="31">
        <f>LET(pc,F1045,oc,H1045,IF(OR(pc="",oc=""),"",IF(AND(pc&gt;0,oc&gt;0),"Long Buildup",IF(AND(pc&lt;0,oc&gt;0),"Short Buildup",IF(AND(pc&gt;0,oc&lt;0),"Short Covering",IF(AND(pc&lt;0,oc&lt;0),"Long Unwinding","Flat"))))))</f>
        <v/>
      </c>
      <c r="J1045" s="31">
        <f>LET(pc,ABS(F1045),oc,ABS(H1045),IF(OR(pc="",oc=""),"",MAX(1,MIN(5,ROUND((pc*0.5+oc*0.00001)*5,0))))))</f>
        <v/>
      </c>
    </row>
    <row r="1046">
      <c r="A1046" s="31" t="n">
        <v>1044</v>
      </c>
      <c r="B1046" s="31">
        <f>CHAIN_RAW!D1044</f>
        <v/>
      </c>
      <c r="C1046" s="31">
        <f>CHAIN_RAW!A1044</f>
        <v/>
      </c>
      <c r="D1046" s="31">
        <f>CHAIN_RAW!C1044</f>
        <v/>
      </c>
      <c r="E1046" s="31">
        <f>CHAIN_RAW!E1044</f>
        <v/>
      </c>
      <c r="F1046" s="31">
        <f>CHAIN_RAW!F1044</f>
        <v/>
      </c>
      <c r="G1046" s="31">
        <f>CHAIN_RAW!I1044</f>
        <v/>
      </c>
      <c r="H1046" s="31">
        <f>CHAIN_RAW!Q1044</f>
        <v/>
      </c>
      <c r="I1046" s="31">
        <f>LET(pc,F1046,oc,H1046,IF(OR(pc="",oc=""),"",IF(AND(pc&gt;0,oc&gt;0),"Long Buildup",IF(AND(pc&lt;0,oc&gt;0),"Short Buildup",IF(AND(pc&gt;0,oc&lt;0),"Short Covering",IF(AND(pc&lt;0,oc&lt;0),"Long Unwinding","Flat"))))))</f>
        <v/>
      </c>
      <c r="J1046" s="31">
        <f>LET(pc,ABS(F1046),oc,ABS(H1046),IF(OR(pc="",oc=""),"",MAX(1,MIN(5,ROUND((pc*0.5+oc*0.00001)*5,0))))))</f>
        <v/>
      </c>
    </row>
    <row r="1047">
      <c r="A1047" s="31" t="n">
        <v>1045</v>
      </c>
      <c r="B1047" s="31">
        <f>CHAIN_RAW!D1045</f>
        <v/>
      </c>
      <c r="C1047" s="31">
        <f>CHAIN_RAW!A1045</f>
        <v/>
      </c>
      <c r="D1047" s="31">
        <f>CHAIN_RAW!C1045</f>
        <v/>
      </c>
      <c r="E1047" s="31">
        <f>CHAIN_RAW!E1045</f>
        <v/>
      </c>
      <c r="F1047" s="31">
        <f>CHAIN_RAW!F1045</f>
        <v/>
      </c>
      <c r="G1047" s="31">
        <f>CHAIN_RAW!I1045</f>
        <v/>
      </c>
      <c r="H1047" s="31">
        <f>CHAIN_RAW!Q1045</f>
        <v/>
      </c>
      <c r="I1047" s="31">
        <f>LET(pc,F1047,oc,H1047,IF(OR(pc="",oc=""),"",IF(AND(pc&gt;0,oc&gt;0),"Long Buildup",IF(AND(pc&lt;0,oc&gt;0),"Short Buildup",IF(AND(pc&gt;0,oc&lt;0),"Short Covering",IF(AND(pc&lt;0,oc&lt;0),"Long Unwinding","Flat"))))))</f>
        <v/>
      </c>
      <c r="J1047" s="31">
        <f>LET(pc,ABS(F1047),oc,ABS(H1047),IF(OR(pc="",oc=""),"",MAX(1,MIN(5,ROUND((pc*0.5+oc*0.00001)*5,0))))))</f>
        <v/>
      </c>
    </row>
    <row r="1048">
      <c r="A1048" s="31" t="n">
        <v>1046</v>
      </c>
      <c r="B1048" s="31">
        <f>CHAIN_RAW!D1046</f>
        <v/>
      </c>
      <c r="C1048" s="31">
        <f>CHAIN_RAW!A1046</f>
        <v/>
      </c>
      <c r="D1048" s="31">
        <f>CHAIN_RAW!C1046</f>
        <v/>
      </c>
      <c r="E1048" s="31">
        <f>CHAIN_RAW!E1046</f>
        <v/>
      </c>
      <c r="F1048" s="31">
        <f>CHAIN_RAW!F1046</f>
        <v/>
      </c>
      <c r="G1048" s="31">
        <f>CHAIN_RAW!I1046</f>
        <v/>
      </c>
      <c r="H1048" s="31">
        <f>CHAIN_RAW!Q1046</f>
        <v/>
      </c>
      <c r="I1048" s="31">
        <f>LET(pc,F1048,oc,H1048,IF(OR(pc="",oc=""),"",IF(AND(pc&gt;0,oc&gt;0),"Long Buildup",IF(AND(pc&lt;0,oc&gt;0),"Short Buildup",IF(AND(pc&gt;0,oc&lt;0),"Short Covering",IF(AND(pc&lt;0,oc&lt;0),"Long Unwinding","Flat"))))))</f>
        <v/>
      </c>
      <c r="J1048" s="31">
        <f>LET(pc,ABS(F1048),oc,ABS(H1048),IF(OR(pc="",oc=""),"",MAX(1,MIN(5,ROUND((pc*0.5+oc*0.00001)*5,0))))))</f>
        <v/>
      </c>
    </row>
    <row r="1049">
      <c r="A1049" s="31" t="n">
        <v>1047</v>
      </c>
      <c r="B1049" s="31">
        <f>CHAIN_RAW!D1047</f>
        <v/>
      </c>
      <c r="C1049" s="31">
        <f>CHAIN_RAW!A1047</f>
        <v/>
      </c>
      <c r="D1049" s="31">
        <f>CHAIN_RAW!C1047</f>
        <v/>
      </c>
      <c r="E1049" s="31">
        <f>CHAIN_RAW!E1047</f>
        <v/>
      </c>
      <c r="F1049" s="31">
        <f>CHAIN_RAW!F1047</f>
        <v/>
      </c>
      <c r="G1049" s="31">
        <f>CHAIN_RAW!I1047</f>
        <v/>
      </c>
      <c r="H1049" s="31">
        <f>CHAIN_RAW!Q1047</f>
        <v/>
      </c>
      <c r="I1049" s="31">
        <f>LET(pc,F1049,oc,H1049,IF(OR(pc="",oc=""),"",IF(AND(pc&gt;0,oc&gt;0),"Long Buildup",IF(AND(pc&lt;0,oc&gt;0),"Short Buildup",IF(AND(pc&gt;0,oc&lt;0),"Short Covering",IF(AND(pc&lt;0,oc&lt;0),"Long Unwinding","Flat"))))))</f>
        <v/>
      </c>
      <c r="J1049" s="31">
        <f>LET(pc,ABS(F1049),oc,ABS(H1049),IF(OR(pc="",oc=""),"",MAX(1,MIN(5,ROUND((pc*0.5+oc*0.00001)*5,0))))))</f>
        <v/>
      </c>
    </row>
    <row r="1050">
      <c r="A1050" s="31" t="n">
        <v>1048</v>
      </c>
      <c r="B1050" s="31">
        <f>CHAIN_RAW!D1048</f>
        <v/>
      </c>
      <c r="C1050" s="31">
        <f>CHAIN_RAW!A1048</f>
        <v/>
      </c>
      <c r="D1050" s="31">
        <f>CHAIN_RAW!C1048</f>
        <v/>
      </c>
      <c r="E1050" s="31">
        <f>CHAIN_RAW!E1048</f>
        <v/>
      </c>
      <c r="F1050" s="31">
        <f>CHAIN_RAW!F1048</f>
        <v/>
      </c>
      <c r="G1050" s="31">
        <f>CHAIN_RAW!I1048</f>
        <v/>
      </c>
      <c r="H1050" s="31">
        <f>CHAIN_RAW!Q1048</f>
        <v/>
      </c>
      <c r="I1050" s="31">
        <f>LET(pc,F1050,oc,H1050,IF(OR(pc="",oc=""),"",IF(AND(pc&gt;0,oc&gt;0),"Long Buildup",IF(AND(pc&lt;0,oc&gt;0),"Short Buildup",IF(AND(pc&gt;0,oc&lt;0),"Short Covering",IF(AND(pc&lt;0,oc&lt;0),"Long Unwinding","Flat"))))))</f>
        <v/>
      </c>
      <c r="J1050" s="31">
        <f>LET(pc,ABS(F1050),oc,ABS(H1050),IF(OR(pc="",oc=""),"",MAX(1,MIN(5,ROUND((pc*0.5+oc*0.00001)*5,0))))))</f>
        <v/>
      </c>
    </row>
    <row r="1051">
      <c r="A1051" s="31" t="n">
        <v>1049</v>
      </c>
      <c r="B1051" s="31">
        <f>CHAIN_RAW!D1049</f>
        <v/>
      </c>
      <c r="C1051" s="31">
        <f>CHAIN_RAW!A1049</f>
        <v/>
      </c>
      <c r="D1051" s="31">
        <f>CHAIN_RAW!C1049</f>
        <v/>
      </c>
      <c r="E1051" s="31">
        <f>CHAIN_RAW!E1049</f>
        <v/>
      </c>
      <c r="F1051" s="31">
        <f>CHAIN_RAW!F1049</f>
        <v/>
      </c>
      <c r="G1051" s="31">
        <f>CHAIN_RAW!I1049</f>
        <v/>
      </c>
      <c r="H1051" s="31">
        <f>CHAIN_RAW!Q1049</f>
        <v/>
      </c>
      <c r="I1051" s="31">
        <f>LET(pc,F1051,oc,H1051,IF(OR(pc="",oc=""),"",IF(AND(pc&gt;0,oc&gt;0),"Long Buildup",IF(AND(pc&lt;0,oc&gt;0),"Short Buildup",IF(AND(pc&gt;0,oc&lt;0),"Short Covering",IF(AND(pc&lt;0,oc&lt;0),"Long Unwinding","Flat"))))))</f>
        <v/>
      </c>
      <c r="J1051" s="31">
        <f>LET(pc,ABS(F1051),oc,ABS(H1051),IF(OR(pc="",oc=""),"",MAX(1,MIN(5,ROUND((pc*0.5+oc*0.00001)*5,0))))))</f>
        <v/>
      </c>
    </row>
    <row r="1052">
      <c r="A1052" s="31" t="n">
        <v>1050</v>
      </c>
      <c r="B1052" s="31">
        <f>CHAIN_RAW!D1050</f>
        <v/>
      </c>
      <c r="C1052" s="31">
        <f>CHAIN_RAW!A1050</f>
        <v/>
      </c>
      <c r="D1052" s="31">
        <f>CHAIN_RAW!C1050</f>
        <v/>
      </c>
      <c r="E1052" s="31">
        <f>CHAIN_RAW!E1050</f>
        <v/>
      </c>
      <c r="F1052" s="31">
        <f>CHAIN_RAW!F1050</f>
        <v/>
      </c>
      <c r="G1052" s="31">
        <f>CHAIN_RAW!I1050</f>
        <v/>
      </c>
      <c r="H1052" s="31">
        <f>CHAIN_RAW!Q1050</f>
        <v/>
      </c>
      <c r="I1052" s="31">
        <f>LET(pc,F1052,oc,H1052,IF(OR(pc="",oc=""),"",IF(AND(pc&gt;0,oc&gt;0),"Long Buildup",IF(AND(pc&lt;0,oc&gt;0),"Short Buildup",IF(AND(pc&gt;0,oc&lt;0),"Short Covering",IF(AND(pc&lt;0,oc&lt;0),"Long Unwinding","Flat"))))))</f>
        <v/>
      </c>
      <c r="J1052" s="31">
        <f>LET(pc,ABS(F1052),oc,ABS(H1052),IF(OR(pc="",oc=""),"",MAX(1,MIN(5,ROUND((pc*0.5+oc*0.00001)*5,0))))))</f>
        <v/>
      </c>
    </row>
    <row r="1053">
      <c r="A1053" s="31" t="n">
        <v>1051</v>
      </c>
      <c r="B1053" s="31">
        <f>CHAIN_RAW!D1051</f>
        <v/>
      </c>
      <c r="C1053" s="31">
        <f>CHAIN_RAW!A1051</f>
        <v/>
      </c>
      <c r="D1053" s="31">
        <f>CHAIN_RAW!C1051</f>
        <v/>
      </c>
      <c r="E1053" s="31">
        <f>CHAIN_RAW!E1051</f>
        <v/>
      </c>
      <c r="F1053" s="31">
        <f>CHAIN_RAW!F1051</f>
        <v/>
      </c>
      <c r="G1053" s="31">
        <f>CHAIN_RAW!I1051</f>
        <v/>
      </c>
      <c r="H1053" s="31">
        <f>CHAIN_RAW!Q1051</f>
        <v/>
      </c>
      <c r="I1053" s="31">
        <f>LET(pc,F1053,oc,H1053,IF(OR(pc="",oc=""),"",IF(AND(pc&gt;0,oc&gt;0),"Long Buildup",IF(AND(pc&lt;0,oc&gt;0),"Short Buildup",IF(AND(pc&gt;0,oc&lt;0),"Short Covering",IF(AND(pc&lt;0,oc&lt;0),"Long Unwinding","Flat"))))))</f>
        <v/>
      </c>
      <c r="J1053" s="31">
        <f>LET(pc,ABS(F1053),oc,ABS(H1053),IF(OR(pc="",oc=""),"",MAX(1,MIN(5,ROUND((pc*0.5+oc*0.00001)*5,0))))))</f>
        <v/>
      </c>
    </row>
    <row r="1054">
      <c r="A1054" s="31" t="n">
        <v>1052</v>
      </c>
      <c r="B1054" s="31">
        <f>CHAIN_RAW!D1052</f>
        <v/>
      </c>
      <c r="C1054" s="31">
        <f>CHAIN_RAW!A1052</f>
        <v/>
      </c>
      <c r="D1054" s="31">
        <f>CHAIN_RAW!C1052</f>
        <v/>
      </c>
      <c r="E1054" s="31">
        <f>CHAIN_RAW!E1052</f>
        <v/>
      </c>
      <c r="F1054" s="31">
        <f>CHAIN_RAW!F1052</f>
        <v/>
      </c>
      <c r="G1054" s="31">
        <f>CHAIN_RAW!I1052</f>
        <v/>
      </c>
      <c r="H1054" s="31">
        <f>CHAIN_RAW!Q1052</f>
        <v/>
      </c>
      <c r="I1054" s="31">
        <f>LET(pc,F1054,oc,H1054,IF(OR(pc="",oc=""),"",IF(AND(pc&gt;0,oc&gt;0),"Long Buildup",IF(AND(pc&lt;0,oc&gt;0),"Short Buildup",IF(AND(pc&gt;0,oc&lt;0),"Short Covering",IF(AND(pc&lt;0,oc&lt;0),"Long Unwinding","Flat"))))))</f>
        <v/>
      </c>
      <c r="J1054" s="31">
        <f>LET(pc,ABS(F1054),oc,ABS(H1054),IF(OR(pc="",oc=""),"",MAX(1,MIN(5,ROUND((pc*0.5+oc*0.00001)*5,0))))))</f>
        <v/>
      </c>
    </row>
    <row r="1055">
      <c r="A1055" s="31" t="n">
        <v>1053</v>
      </c>
      <c r="B1055" s="31">
        <f>CHAIN_RAW!D1053</f>
        <v/>
      </c>
      <c r="C1055" s="31">
        <f>CHAIN_RAW!A1053</f>
        <v/>
      </c>
      <c r="D1055" s="31">
        <f>CHAIN_RAW!C1053</f>
        <v/>
      </c>
      <c r="E1055" s="31">
        <f>CHAIN_RAW!E1053</f>
        <v/>
      </c>
      <c r="F1055" s="31">
        <f>CHAIN_RAW!F1053</f>
        <v/>
      </c>
      <c r="G1055" s="31">
        <f>CHAIN_RAW!I1053</f>
        <v/>
      </c>
      <c r="H1055" s="31">
        <f>CHAIN_RAW!Q1053</f>
        <v/>
      </c>
      <c r="I1055" s="31">
        <f>LET(pc,F1055,oc,H1055,IF(OR(pc="",oc=""),"",IF(AND(pc&gt;0,oc&gt;0),"Long Buildup",IF(AND(pc&lt;0,oc&gt;0),"Short Buildup",IF(AND(pc&gt;0,oc&lt;0),"Short Covering",IF(AND(pc&lt;0,oc&lt;0),"Long Unwinding","Flat"))))))</f>
        <v/>
      </c>
      <c r="J1055" s="31">
        <f>LET(pc,ABS(F1055),oc,ABS(H1055),IF(OR(pc="",oc=""),"",MAX(1,MIN(5,ROUND((pc*0.5+oc*0.00001)*5,0))))))</f>
        <v/>
      </c>
    </row>
    <row r="1056">
      <c r="A1056" s="31" t="n">
        <v>1054</v>
      </c>
      <c r="B1056" s="31">
        <f>CHAIN_RAW!D1054</f>
        <v/>
      </c>
      <c r="C1056" s="31">
        <f>CHAIN_RAW!A1054</f>
        <v/>
      </c>
      <c r="D1056" s="31">
        <f>CHAIN_RAW!C1054</f>
        <v/>
      </c>
      <c r="E1056" s="31">
        <f>CHAIN_RAW!E1054</f>
        <v/>
      </c>
      <c r="F1056" s="31">
        <f>CHAIN_RAW!F1054</f>
        <v/>
      </c>
      <c r="G1056" s="31">
        <f>CHAIN_RAW!I1054</f>
        <v/>
      </c>
      <c r="H1056" s="31">
        <f>CHAIN_RAW!Q1054</f>
        <v/>
      </c>
      <c r="I1056" s="31">
        <f>LET(pc,F1056,oc,H1056,IF(OR(pc="",oc=""),"",IF(AND(pc&gt;0,oc&gt;0),"Long Buildup",IF(AND(pc&lt;0,oc&gt;0),"Short Buildup",IF(AND(pc&gt;0,oc&lt;0),"Short Covering",IF(AND(pc&lt;0,oc&lt;0),"Long Unwinding","Flat"))))))</f>
        <v/>
      </c>
      <c r="J1056" s="31">
        <f>LET(pc,ABS(F1056),oc,ABS(H1056),IF(OR(pc="",oc=""),"",MAX(1,MIN(5,ROUND((pc*0.5+oc*0.00001)*5,0))))))</f>
        <v/>
      </c>
    </row>
    <row r="1057">
      <c r="A1057" s="31" t="n">
        <v>1055</v>
      </c>
      <c r="B1057" s="31">
        <f>CHAIN_RAW!D1055</f>
        <v/>
      </c>
      <c r="C1057" s="31">
        <f>CHAIN_RAW!A1055</f>
        <v/>
      </c>
      <c r="D1057" s="31">
        <f>CHAIN_RAW!C1055</f>
        <v/>
      </c>
      <c r="E1057" s="31">
        <f>CHAIN_RAW!E1055</f>
        <v/>
      </c>
      <c r="F1057" s="31">
        <f>CHAIN_RAW!F1055</f>
        <v/>
      </c>
      <c r="G1057" s="31">
        <f>CHAIN_RAW!I1055</f>
        <v/>
      </c>
      <c r="H1057" s="31">
        <f>CHAIN_RAW!Q1055</f>
        <v/>
      </c>
      <c r="I1057" s="31">
        <f>LET(pc,F1057,oc,H1057,IF(OR(pc="",oc=""),"",IF(AND(pc&gt;0,oc&gt;0),"Long Buildup",IF(AND(pc&lt;0,oc&gt;0),"Short Buildup",IF(AND(pc&gt;0,oc&lt;0),"Short Covering",IF(AND(pc&lt;0,oc&lt;0),"Long Unwinding","Flat"))))))</f>
        <v/>
      </c>
      <c r="J1057" s="31">
        <f>LET(pc,ABS(F1057),oc,ABS(H1057),IF(OR(pc="",oc=""),"",MAX(1,MIN(5,ROUND((pc*0.5+oc*0.00001)*5,0))))))</f>
        <v/>
      </c>
    </row>
    <row r="1058">
      <c r="A1058" s="31" t="n">
        <v>1056</v>
      </c>
      <c r="B1058" s="31">
        <f>CHAIN_RAW!D1056</f>
        <v/>
      </c>
      <c r="C1058" s="31">
        <f>CHAIN_RAW!A1056</f>
        <v/>
      </c>
      <c r="D1058" s="31">
        <f>CHAIN_RAW!C1056</f>
        <v/>
      </c>
      <c r="E1058" s="31">
        <f>CHAIN_RAW!E1056</f>
        <v/>
      </c>
      <c r="F1058" s="31">
        <f>CHAIN_RAW!F1056</f>
        <v/>
      </c>
      <c r="G1058" s="31">
        <f>CHAIN_RAW!I1056</f>
        <v/>
      </c>
      <c r="H1058" s="31">
        <f>CHAIN_RAW!Q1056</f>
        <v/>
      </c>
      <c r="I1058" s="31">
        <f>LET(pc,F1058,oc,H1058,IF(OR(pc="",oc=""),"",IF(AND(pc&gt;0,oc&gt;0),"Long Buildup",IF(AND(pc&lt;0,oc&gt;0),"Short Buildup",IF(AND(pc&gt;0,oc&lt;0),"Short Covering",IF(AND(pc&lt;0,oc&lt;0),"Long Unwinding","Flat"))))))</f>
        <v/>
      </c>
      <c r="J1058" s="31">
        <f>LET(pc,ABS(F1058),oc,ABS(H1058),IF(OR(pc="",oc=""),"",MAX(1,MIN(5,ROUND((pc*0.5+oc*0.00001)*5,0))))))</f>
        <v/>
      </c>
    </row>
    <row r="1059">
      <c r="A1059" s="31" t="n">
        <v>1057</v>
      </c>
      <c r="B1059" s="31">
        <f>CHAIN_RAW!D1057</f>
        <v/>
      </c>
      <c r="C1059" s="31">
        <f>CHAIN_RAW!A1057</f>
        <v/>
      </c>
      <c r="D1059" s="31">
        <f>CHAIN_RAW!C1057</f>
        <v/>
      </c>
      <c r="E1059" s="31">
        <f>CHAIN_RAW!E1057</f>
        <v/>
      </c>
      <c r="F1059" s="31">
        <f>CHAIN_RAW!F1057</f>
        <v/>
      </c>
      <c r="G1059" s="31">
        <f>CHAIN_RAW!I1057</f>
        <v/>
      </c>
      <c r="H1059" s="31">
        <f>CHAIN_RAW!Q1057</f>
        <v/>
      </c>
      <c r="I1059" s="31">
        <f>LET(pc,F1059,oc,H1059,IF(OR(pc="",oc=""),"",IF(AND(pc&gt;0,oc&gt;0),"Long Buildup",IF(AND(pc&lt;0,oc&gt;0),"Short Buildup",IF(AND(pc&gt;0,oc&lt;0),"Short Covering",IF(AND(pc&lt;0,oc&lt;0),"Long Unwinding","Flat"))))))</f>
        <v/>
      </c>
      <c r="J1059" s="31">
        <f>LET(pc,ABS(F1059),oc,ABS(H1059),IF(OR(pc="",oc=""),"",MAX(1,MIN(5,ROUND((pc*0.5+oc*0.00001)*5,0))))))</f>
        <v/>
      </c>
    </row>
    <row r="1060">
      <c r="A1060" s="31" t="n">
        <v>1058</v>
      </c>
      <c r="B1060" s="31">
        <f>CHAIN_RAW!D1058</f>
        <v/>
      </c>
      <c r="C1060" s="31">
        <f>CHAIN_RAW!A1058</f>
        <v/>
      </c>
      <c r="D1060" s="31">
        <f>CHAIN_RAW!C1058</f>
        <v/>
      </c>
      <c r="E1060" s="31">
        <f>CHAIN_RAW!E1058</f>
        <v/>
      </c>
      <c r="F1060" s="31">
        <f>CHAIN_RAW!F1058</f>
        <v/>
      </c>
      <c r="G1060" s="31">
        <f>CHAIN_RAW!I1058</f>
        <v/>
      </c>
      <c r="H1060" s="31">
        <f>CHAIN_RAW!Q1058</f>
        <v/>
      </c>
      <c r="I1060" s="31">
        <f>LET(pc,F1060,oc,H1060,IF(OR(pc="",oc=""),"",IF(AND(pc&gt;0,oc&gt;0),"Long Buildup",IF(AND(pc&lt;0,oc&gt;0),"Short Buildup",IF(AND(pc&gt;0,oc&lt;0),"Short Covering",IF(AND(pc&lt;0,oc&lt;0),"Long Unwinding","Flat"))))))</f>
        <v/>
      </c>
      <c r="J1060" s="31">
        <f>LET(pc,ABS(F1060),oc,ABS(H1060),IF(OR(pc="",oc=""),"",MAX(1,MIN(5,ROUND((pc*0.5+oc*0.00001)*5,0))))))</f>
        <v/>
      </c>
    </row>
    <row r="1061">
      <c r="A1061" s="31" t="n">
        <v>1059</v>
      </c>
      <c r="B1061" s="31">
        <f>CHAIN_RAW!D1059</f>
        <v/>
      </c>
      <c r="C1061" s="31">
        <f>CHAIN_RAW!A1059</f>
        <v/>
      </c>
      <c r="D1061" s="31">
        <f>CHAIN_RAW!C1059</f>
        <v/>
      </c>
      <c r="E1061" s="31">
        <f>CHAIN_RAW!E1059</f>
        <v/>
      </c>
      <c r="F1061" s="31">
        <f>CHAIN_RAW!F1059</f>
        <v/>
      </c>
      <c r="G1061" s="31">
        <f>CHAIN_RAW!I1059</f>
        <v/>
      </c>
      <c r="H1061" s="31">
        <f>CHAIN_RAW!Q1059</f>
        <v/>
      </c>
      <c r="I1061" s="31">
        <f>LET(pc,F1061,oc,H1061,IF(OR(pc="",oc=""),"",IF(AND(pc&gt;0,oc&gt;0),"Long Buildup",IF(AND(pc&lt;0,oc&gt;0),"Short Buildup",IF(AND(pc&gt;0,oc&lt;0),"Short Covering",IF(AND(pc&lt;0,oc&lt;0),"Long Unwinding","Flat"))))))</f>
        <v/>
      </c>
      <c r="J1061" s="31">
        <f>LET(pc,ABS(F1061),oc,ABS(H1061),IF(OR(pc="",oc=""),"",MAX(1,MIN(5,ROUND((pc*0.5+oc*0.00001)*5,0))))))</f>
        <v/>
      </c>
    </row>
    <row r="1062">
      <c r="A1062" s="31" t="n">
        <v>1060</v>
      </c>
      <c r="B1062" s="31">
        <f>CHAIN_RAW!D1060</f>
        <v/>
      </c>
      <c r="C1062" s="31">
        <f>CHAIN_RAW!A1060</f>
        <v/>
      </c>
      <c r="D1062" s="31">
        <f>CHAIN_RAW!C1060</f>
        <v/>
      </c>
      <c r="E1062" s="31">
        <f>CHAIN_RAW!E1060</f>
        <v/>
      </c>
      <c r="F1062" s="31">
        <f>CHAIN_RAW!F1060</f>
        <v/>
      </c>
      <c r="G1062" s="31">
        <f>CHAIN_RAW!I1060</f>
        <v/>
      </c>
      <c r="H1062" s="31">
        <f>CHAIN_RAW!Q1060</f>
        <v/>
      </c>
      <c r="I1062" s="31">
        <f>LET(pc,F1062,oc,H1062,IF(OR(pc="",oc=""),"",IF(AND(pc&gt;0,oc&gt;0),"Long Buildup",IF(AND(pc&lt;0,oc&gt;0),"Short Buildup",IF(AND(pc&gt;0,oc&lt;0),"Short Covering",IF(AND(pc&lt;0,oc&lt;0),"Long Unwinding","Flat"))))))</f>
        <v/>
      </c>
      <c r="J1062" s="31">
        <f>LET(pc,ABS(F1062),oc,ABS(H1062),IF(OR(pc="",oc=""),"",MAX(1,MIN(5,ROUND((pc*0.5+oc*0.00001)*5,0))))))</f>
        <v/>
      </c>
    </row>
    <row r="1063">
      <c r="A1063" s="31" t="n">
        <v>1061</v>
      </c>
      <c r="B1063" s="31">
        <f>CHAIN_RAW!D1061</f>
        <v/>
      </c>
      <c r="C1063" s="31">
        <f>CHAIN_RAW!A1061</f>
        <v/>
      </c>
      <c r="D1063" s="31">
        <f>CHAIN_RAW!C1061</f>
        <v/>
      </c>
      <c r="E1063" s="31">
        <f>CHAIN_RAW!E1061</f>
        <v/>
      </c>
      <c r="F1063" s="31">
        <f>CHAIN_RAW!F1061</f>
        <v/>
      </c>
      <c r="G1063" s="31">
        <f>CHAIN_RAW!I1061</f>
        <v/>
      </c>
      <c r="H1063" s="31">
        <f>CHAIN_RAW!Q1061</f>
        <v/>
      </c>
      <c r="I1063" s="31">
        <f>LET(pc,F1063,oc,H1063,IF(OR(pc="",oc=""),"",IF(AND(pc&gt;0,oc&gt;0),"Long Buildup",IF(AND(pc&lt;0,oc&gt;0),"Short Buildup",IF(AND(pc&gt;0,oc&lt;0),"Short Covering",IF(AND(pc&lt;0,oc&lt;0),"Long Unwinding","Flat"))))))</f>
        <v/>
      </c>
      <c r="J1063" s="31">
        <f>LET(pc,ABS(F1063),oc,ABS(H1063),IF(OR(pc="",oc=""),"",MAX(1,MIN(5,ROUND((pc*0.5+oc*0.00001)*5,0))))))</f>
        <v/>
      </c>
    </row>
    <row r="1064">
      <c r="A1064" s="31" t="n">
        <v>1062</v>
      </c>
      <c r="B1064" s="31">
        <f>CHAIN_RAW!D1062</f>
        <v/>
      </c>
      <c r="C1064" s="31">
        <f>CHAIN_RAW!A1062</f>
        <v/>
      </c>
      <c r="D1064" s="31">
        <f>CHAIN_RAW!C1062</f>
        <v/>
      </c>
      <c r="E1064" s="31">
        <f>CHAIN_RAW!E1062</f>
        <v/>
      </c>
      <c r="F1064" s="31">
        <f>CHAIN_RAW!F1062</f>
        <v/>
      </c>
      <c r="G1064" s="31">
        <f>CHAIN_RAW!I1062</f>
        <v/>
      </c>
      <c r="H1064" s="31">
        <f>CHAIN_RAW!Q1062</f>
        <v/>
      </c>
      <c r="I1064" s="31">
        <f>LET(pc,F1064,oc,H1064,IF(OR(pc="",oc=""),"",IF(AND(pc&gt;0,oc&gt;0),"Long Buildup",IF(AND(pc&lt;0,oc&gt;0),"Short Buildup",IF(AND(pc&gt;0,oc&lt;0),"Short Covering",IF(AND(pc&lt;0,oc&lt;0),"Long Unwinding","Flat"))))))</f>
        <v/>
      </c>
      <c r="J1064" s="31">
        <f>LET(pc,ABS(F1064),oc,ABS(H1064),IF(OR(pc="",oc=""),"",MAX(1,MIN(5,ROUND((pc*0.5+oc*0.00001)*5,0))))))</f>
        <v/>
      </c>
    </row>
    <row r="1065">
      <c r="A1065" s="31" t="n">
        <v>1063</v>
      </c>
      <c r="B1065" s="31">
        <f>CHAIN_RAW!D1063</f>
        <v/>
      </c>
      <c r="C1065" s="31">
        <f>CHAIN_RAW!A1063</f>
        <v/>
      </c>
      <c r="D1065" s="31">
        <f>CHAIN_RAW!C1063</f>
        <v/>
      </c>
      <c r="E1065" s="31">
        <f>CHAIN_RAW!E1063</f>
        <v/>
      </c>
      <c r="F1065" s="31">
        <f>CHAIN_RAW!F1063</f>
        <v/>
      </c>
      <c r="G1065" s="31">
        <f>CHAIN_RAW!I1063</f>
        <v/>
      </c>
      <c r="H1065" s="31">
        <f>CHAIN_RAW!Q1063</f>
        <v/>
      </c>
      <c r="I1065" s="31">
        <f>LET(pc,F1065,oc,H1065,IF(OR(pc="",oc=""),"",IF(AND(pc&gt;0,oc&gt;0),"Long Buildup",IF(AND(pc&lt;0,oc&gt;0),"Short Buildup",IF(AND(pc&gt;0,oc&lt;0),"Short Covering",IF(AND(pc&lt;0,oc&lt;0),"Long Unwinding","Flat"))))))</f>
        <v/>
      </c>
      <c r="J1065" s="31">
        <f>LET(pc,ABS(F1065),oc,ABS(H1065),IF(OR(pc="",oc=""),"",MAX(1,MIN(5,ROUND((pc*0.5+oc*0.00001)*5,0))))))</f>
        <v/>
      </c>
    </row>
    <row r="1066">
      <c r="A1066" s="31" t="n">
        <v>1064</v>
      </c>
      <c r="B1066" s="31">
        <f>CHAIN_RAW!D1064</f>
        <v/>
      </c>
      <c r="C1066" s="31">
        <f>CHAIN_RAW!A1064</f>
        <v/>
      </c>
      <c r="D1066" s="31">
        <f>CHAIN_RAW!C1064</f>
        <v/>
      </c>
      <c r="E1066" s="31">
        <f>CHAIN_RAW!E1064</f>
        <v/>
      </c>
      <c r="F1066" s="31">
        <f>CHAIN_RAW!F1064</f>
        <v/>
      </c>
      <c r="G1066" s="31">
        <f>CHAIN_RAW!I1064</f>
        <v/>
      </c>
      <c r="H1066" s="31">
        <f>CHAIN_RAW!Q1064</f>
        <v/>
      </c>
      <c r="I1066" s="31">
        <f>LET(pc,F1066,oc,H1066,IF(OR(pc="",oc=""),"",IF(AND(pc&gt;0,oc&gt;0),"Long Buildup",IF(AND(pc&lt;0,oc&gt;0),"Short Buildup",IF(AND(pc&gt;0,oc&lt;0),"Short Covering",IF(AND(pc&lt;0,oc&lt;0),"Long Unwinding","Flat"))))))</f>
        <v/>
      </c>
      <c r="J1066" s="31">
        <f>LET(pc,ABS(F1066),oc,ABS(H1066),IF(OR(pc="",oc=""),"",MAX(1,MIN(5,ROUND((pc*0.5+oc*0.00001)*5,0))))))</f>
        <v/>
      </c>
    </row>
    <row r="1067">
      <c r="A1067" s="31" t="n">
        <v>1065</v>
      </c>
      <c r="B1067" s="31">
        <f>CHAIN_RAW!D1065</f>
        <v/>
      </c>
      <c r="C1067" s="31">
        <f>CHAIN_RAW!A1065</f>
        <v/>
      </c>
      <c r="D1067" s="31">
        <f>CHAIN_RAW!C1065</f>
        <v/>
      </c>
      <c r="E1067" s="31">
        <f>CHAIN_RAW!E1065</f>
        <v/>
      </c>
      <c r="F1067" s="31">
        <f>CHAIN_RAW!F1065</f>
        <v/>
      </c>
      <c r="G1067" s="31">
        <f>CHAIN_RAW!I1065</f>
        <v/>
      </c>
      <c r="H1067" s="31">
        <f>CHAIN_RAW!Q1065</f>
        <v/>
      </c>
      <c r="I1067" s="31">
        <f>LET(pc,F1067,oc,H1067,IF(OR(pc="",oc=""),"",IF(AND(pc&gt;0,oc&gt;0),"Long Buildup",IF(AND(pc&lt;0,oc&gt;0),"Short Buildup",IF(AND(pc&gt;0,oc&lt;0),"Short Covering",IF(AND(pc&lt;0,oc&lt;0),"Long Unwinding","Flat"))))))</f>
        <v/>
      </c>
      <c r="J1067" s="31">
        <f>LET(pc,ABS(F1067),oc,ABS(H1067),IF(OR(pc="",oc=""),"",MAX(1,MIN(5,ROUND((pc*0.5+oc*0.00001)*5,0))))))</f>
        <v/>
      </c>
    </row>
    <row r="1068">
      <c r="A1068" s="31" t="n">
        <v>1066</v>
      </c>
      <c r="B1068" s="31">
        <f>CHAIN_RAW!D1066</f>
        <v/>
      </c>
      <c r="C1068" s="31">
        <f>CHAIN_RAW!A1066</f>
        <v/>
      </c>
      <c r="D1068" s="31">
        <f>CHAIN_RAW!C1066</f>
        <v/>
      </c>
      <c r="E1068" s="31">
        <f>CHAIN_RAW!E1066</f>
        <v/>
      </c>
      <c r="F1068" s="31">
        <f>CHAIN_RAW!F1066</f>
        <v/>
      </c>
      <c r="G1068" s="31">
        <f>CHAIN_RAW!I1066</f>
        <v/>
      </c>
      <c r="H1068" s="31">
        <f>CHAIN_RAW!Q1066</f>
        <v/>
      </c>
      <c r="I1068" s="31">
        <f>LET(pc,F1068,oc,H1068,IF(OR(pc="",oc=""),"",IF(AND(pc&gt;0,oc&gt;0),"Long Buildup",IF(AND(pc&lt;0,oc&gt;0),"Short Buildup",IF(AND(pc&gt;0,oc&lt;0),"Short Covering",IF(AND(pc&lt;0,oc&lt;0),"Long Unwinding","Flat"))))))</f>
        <v/>
      </c>
      <c r="J1068" s="31">
        <f>LET(pc,ABS(F1068),oc,ABS(H1068),IF(OR(pc="",oc=""),"",MAX(1,MIN(5,ROUND((pc*0.5+oc*0.00001)*5,0))))))</f>
        <v/>
      </c>
    </row>
    <row r="1069">
      <c r="A1069" s="31" t="n">
        <v>1067</v>
      </c>
      <c r="B1069" s="31">
        <f>CHAIN_RAW!D1067</f>
        <v/>
      </c>
      <c r="C1069" s="31">
        <f>CHAIN_RAW!A1067</f>
        <v/>
      </c>
      <c r="D1069" s="31">
        <f>CHAIN_RAW!C1067</f>
        <v/>
      </c>
      <c r="E1069" s="31">
        <f>CHAIN_RAW!E1067</f>
        <v/>
      </c>
      <c r="F1069" s="31">
        <f>CHAIN_RAW!F1067</f>
        <v/>
      </c>
      <c r="G1069" s="31">
        <f>CHAIN_RAW!I1067</f>
        <v/>
      </c>
      <c r="H1069" s="31">
        <f>CHAIN_RAW!Q1067</f>
        <v/>
      </c>
      <c r="I1069" s="31">
        <f>LET(pc,F1069,oc,H1069,IF(OR(pc="",oc=""),"",IF(AND(pc&gt;0,oc&gt;0),"Long Buildup",IF(AND(pc&lt;0,oc&gt;0),"Short Buildup",IF(AND(pc&gt;0,oc&lt;0),"Short Covering",IF(AND(pc&lt;0,oc&lt;0),"Long Unwinding","Flat"))))))</f>
        <v/>
      </c>
      <c r="J1069" s="31">
        <f>LET(pc,ABS(F1069),oc,ABS(H1069),IF(OR(pc="",oc=""),"",MAX(1,MIN(5,ROUND((pc*0.5+oc*0.00001)*5,0))))))</f>
        <v/>
      </c>
    </row>
    <row r="1070">
      <c r="A1070" s="31" t="n">
        <v>1068</v>
      </c>
      <c r="B1070" s="31">
        <f>CHAIN_RAW!D1068</f>
        <v/>
      </c>
      <c r="C1070" s="31">
        <f>CHAIN_RAW!A1068</f>
        <v/>
      </c>
      <c r="D1070" s="31">
        <f>CHAIN_RAW!C1068</f>
        <v/>
      </c>
      <c r="E1070" s="31">
        <f>CHAIN_RAW!E1068</f>
        <v/>
      </c>
      <c r="F1070" s="31">
        <f>CHAIN_RAW!F1068</f>
        <v/>
      </c>
      <c r="G1070" s="31">
        <f>CHAIN_RAW!I1068</f>
        <v/>
      </c>
      <c r="H1070" s="31">
        <f>CHAIN_RAW!Q1068</f>
        <v/>
      </c>
      <c r="I1070" s="31">
        <f>LET(pc,F1070,oc,H1070,IF(OR(pc="",oc=""),"",IF(AND(pc&gt;0,oc&gt;0),"Long Buildup",IF(AND(pc&lt;0,oc&gt;0),"Short Buildup",IF(AND(pc&gt;0,oc&lt;0),"Short Covering",IF(AND(pc&lt;0,oc&lt;0),"Long Unwinding","Flat"))))))</f>
        <v/>
      </c>
      <c r="J1070" s="31">
        <f>LET(pc,ABS(F1070),oc,ABS(H1070),IF(OR(pc="",oc=""),"",MAX(1,MIN(5,ROUND((pc*0.5+oc*0.00001)*5,0))))))</f>
        <v/>
      </c>
    </row>
    <row r="1071">
      <c r="A1071" s="31" t="n">
        <v>1069</v>
      </c>
      <c r="B1071" s="31">
        <f>CHAIN_RAW!D1069</f>
        <v/>
      </c>
      <c r="C1071" s="31">
        <f>CHAIN_RAW!A1069</f>
        <v/>
      </c>
      <c r="D1071" s="31">
        <f>CHAIN_RAW!C1069</f>
        <v/>
      </c>
      <c r="E1071" s="31">
        <f>CHAIN_RAW!E1069</f>
        <v/>
      </c>
      <c r="F1071" s="31">
        <f>CHAIN_RAW!F1069</f>
        <v/>
      </c>
      <c r="G1071" s="31">
        <f>CHAIN_RAW!I1069</f>
        <v/>
      </c>
      <c r="H1071" s="31">
        <f>CHAIN_RAW!Q1069</f>
        <v/>
      </c>
      <c r="I1071" s="31">
        <f>LET(pc,F1071,oc,H1071,IF(OR(pc="",oc=""),"",IF(AND(pc&gt;0,oc&gt;0),"Long Buildup",IF(AND(pc&lt;0,oc&gt;0),"Short Buildup",IF(AND(pc&gt;0,oc&lt;0),"Short Covering",IF(AND(pc&lt;0,oc&lt;0),"Long Unwinding","Flat"))))))</f>
        <v/>
      </c>
      <c r="J1071" s="31">
        <f>LET(pc,ABS(F1071),oc,ABS(H1071),IF(OR(pc="",oc=""),"",MAX(1,MIN(5,ROUND((pc*0.5+oc*0.00001)*5,0))))))</f>
        <v/>
      </c>
    </row>
    <row r="1072">
      <c r="A1072" s="31" t="n">
        <v>1070</v>
      </c>
      <c r="B1072" s="31">
        <f>CHAIN_RAW!D1070</f>
        <v/>
      </c>
      <c r="C1072" s="31">
        <f>CHAIN_RAW!A1070</f>
        <v/>
      </c>
      <c r="D1072" s="31">
        <f>CHAIN_RAW!C1070</f>
        <v/>
      </c>
      <c r="E1072" s="31">
        <f>CHAIN_RAW!E1070</f>
        <v/>
      </c>
      <c r="F1072" s="31">
        <f>CHAIN_RAW!F1070</f>
        <v/>
      </c>
      <c r="G1072" s="31">
        <f>CHAIN_RAW!I1070</f>
        <v/>
      </c>
      <c r="H1072" s="31">
        <f>CHAIN_RAW!Q1070</f>
        <v/>
      </c>
      <c r="I1072" s="31">
        <f>LET(pc,F1072,oc,H1072,IF(OR(pc="",oc=""),"",IF(AND(pc&gt;0,oc&gt;0),"Long Buildup",IF(AND(pc&lt;0,oc&gt;0),"Short Buildup",IF(AND(pc&gt;0,oc&lt;0),"Short Covering",IF(AND(pc&lt;0,oc&lt;0),"Long Unwinding","Flat"))))))</f>
        <v/>
      </c>
      <c r="J1072" s="31">
        <f>LET(pc,ABS(F1072),oc,ABS(H1072),IF(OR(pc="",oc=""),"",MAX(1,MIN(5,ROUND((pc*0.5+oc*0.00001)*5,0))))))</f>
        <v/>
      </c>
    </row>
    <row r="1073">
      <c r="A1073" s="31" t="n">
        <v>1071</v>
      </c>
      <c r="B1073" s="31">
        <f>CHAIN_RAW!D1071</f>
        <v/>
      </c>
      <c r="C1073" s="31">
        <f>CHAIN_RAW!A1071</f>
        <v/>
      </c>
      <c r="D1073" s="31">
        <f>CHAIN_RAW!C1071</f>
        <v/>
      </c>
      <c r="E1073" s="31">
        <f>CHAIN_RAW!E1071</f>
        <v/>
      </c>
      <c r="F1073" s="31">
        <f>CHAIN_RAW!F1071</f>
        <v/>
      </c>
      <c r="G1073" s="31">
        <f>CHAIN_RAW!I1071</f>
        <v/>
      </c>
      <c r="H1073" s="31">
        <f>CHAIN_RAW!Q1071</f>
        <v/>
      </c>
      <c r="I1073" s="31">
        <f>LET(pc,F1073,oc,H1073,IF(OR(pc="",oc=""),"",IF(AND(pc&gt;0,oc&gt;0),"Long Buildup",IF(AND(pc&lt;0,oc&gt;0),"Short Buildup",IF(AND(pc&gt;0,oc&lt;0),"Short Covering",IF(AND(pc&lt;0,oc&lt;0),"Long Unwinding","Flat"))))))</f>
        <v/>
      </c>
      <c r="J1073" s="31">
        <f>LET(pc,ABS(F1073),oc,ABS(H1073),IF(OR(pc="",oc=""),"",MAX(1,MIN(5,ROUND((pc*0.5+oc*0.00001)*5,0))))))</f>
        <v/>
      </c>
    </row>
    <row r="1074">
      <c r="A1074" s="31" t="n">
        <v>1072</v>
      </c>
      <c r="B1074" s="31">
        <f>CHAIN_RAW!D1072</f>
        <v/>
      </c>
      <c r="C1074" s="31">
        <f>CHAIN_RAW!A1072</f>
        <v/>
      </c>
      <c r="D1074" s="31">
        <f>CHAIN_RAW!C1072</f>
        <v/>
      </c>
      <c r="E1074" s="31">
        <f>CHAIN_RAW!E1072</f>
        <v/>
      </c>
      <c r="F1074" s="31">
        <f>CHAIN_RAW!F1072</f>
        <v/>
      </c>
      <c r="G1074" s="31">
        <f>CHAIN_RAW!I1072</f>
        <v/>
      </c>
      <c r="H1074" s="31">
        <f>CHAIN_RAW!Q1072</f>
        <v/>
      </c>
      <c r="I1074" s="31">
        <f>LET(pc,F1074,oc,H1074,IF(OR(pc="",oc=""),"",IF(AND(pc&gt;0,oc&gt;0),"Long Buildup",IF(AND(pc&lt;0,oc&gt;0),"Short Buildup",IF(AND(pc&gt;0,oc&lt;0),"Short Covering",IF(AND(pc&lt;0,oc&lt;0),"Long Unwinding","Flat"))))))</f>
        <v/>
      </c>
      <c r="J1074" s="31">
        <f>LET(pc,ABS(F1074),oc,ABS(H1074),IF(OR(pc="",oc=""),"",MAX(1,MIN(5,ROUND((pc*0.5+oc*0.00001)*5,0))))))</f>
        <v/>
      </c>
    </row>
    <row r="1075">
      <c r="A1075" s="31" t="n">
        <v>1073</v>
      </c>
      <c r="B1075" s="31">
        <f>CHAIN_RAW!D1073</f>
        <v/>
      </c>
      <c r="C1075" s="31">
        <f>CHAIN_RAW!A1073</f>
        <v/>
      </c>
      <c r="D1075" s="31">
        <f>CHAIN_RAW!C1073</f>
        <v/>
      </c>
      <c r="E1075" s="31">
        <f>CHAIN_RAW!E1073</f>
        <v/>
      </c>
      <c r="F1075" s="31">
        <f>CHAIN_RAW!F1073</f>
        <v/>
      </c>
      <c r="G1075" s="31">
        <f>CHAIN_RAW!I1073</f>
        <v/>
      </c>
      <c r="H1075" s="31">
        <f>CHAIN_RAW!Q1073</f>
        <v/>
      </c>
      <c r="I1075" s="31">
        <f>LET(pc,F1075,oc,H1075,IF(OR(pc="",oc=""),"",IF(AND(pc&gt;0,oc&gt;0),"Long Buildup",IF(AND(pc&lt;0,oc&gt;0),"Short Buildup",IF(AND(pc&gt;0,oc&lt;0),"Short Covering",IF(AND(pc&lt;0,oc&lt;0),"Long Unwinding","Flat"))))))</f>
        <v/>
      </c>
      <c r="J1075" s="31">
        <f>LET(pc,ABS(F1075),oc,ABS(H1075),IF(OR(pc="",oc=""),"",MAX(1,MIN(5,ROUND((pc*0.5+oc*0.00001)*5,0))))))</f>
        <v/>
      </c>
    </row>
    <row r="1076">
      <c r="A1076" s="31" t="n">
        <v>1074</v>
      </c>
      <c r="B1076" s="31">
        <f>CHAIN_RAW!D1074</f>
        <v/>
      </c>
      <c r="C1076" s="31">
        <f>CHAIN_RAW!A1074</f>
        <v/>
      </c>
      <c r="D1076" s="31">
        <f>CHAIN_RAW!C1074</f>
        <v/>
      </c>
      <c r="E1076" s="31">
        <f>CHAIN_RAW!E1074</f>
        <v/>
      </c>
      <c r="F1076" s="31">
        <f>CHAIN_RAW!F1074</f>
        <v/>
      </c>
      <c r="G1076" s="31">
        <f>CHAIN_RAW!I1074</f>
        <v/>
      </c>
      <c r="H1076" s="31">
        <f>CHAIN_RAW!Q1074</f>
        <v/>
      </c>
      <c r="I1076" s="31">
        <f>LET(pc,F1076,oc,H1076,IF(OR(pc="",oc=""),"",IF(AND(pc&gt;0,oc&gt;0),"Long Buildup",IF(AND(pc&lt;0,oc&gt;0),"Short Buildup",IF(AND(pc&gt;0,oc&lt;0),"Short Covering",IF(AND(pc&lt;0,oc&lt;0),"Long Unwinding","Flat"))))))</f>
        <v/>
      </c>
      <c r="J1076" s="31">
        <f>LET(pc,ABS(F1076),oc,ABS(H1076),IF(OR(pc="",oc=""),"",MAX(1,MIN(5,ROUND((pc*0.5+oc*0.00001)*5,0))))))</f>
        <v/>
      </c>
    </row>
    <row r="1077">
      <c r="A1077" s="31" t="n">
        <v>1075</v>
      </c>
      <c r="B1077" s="31">
        <f>CHAIN_RAW!D1075</f>
        <v/>
      </c>
      <c r="C1077" s="31">
        <f>CHAIN_RAW!A1075</f>
        <v/>
      </c>
      <c r="D1077" s="31">
        <f>CHAIN_RAW!C1075</f>
        <v/>
      </c>
      <c r="E1077" s="31">
        <f>CHAIN_RAW!E1075</f>
        <v/>
      </c>
      <c r="F1077" s="31">
        <f>CHAIN_RAW!F1075</f>
        <v/>
      </c>
      <c r="G1077" s="31">
        <f>CHAIN_RAW!I1075</f>
        <v/>
      </c>
      <c r="H1077" s="31">
        <f>CHAIN_RAW!Q1075</f>
        <v/>
      </c>
      <c r="I1077" s="31">
        <f>LET(pc,F1077,oc,H1077,IF(OR(pc="",oc=""),"",IF(AND(pc&gt;0,oc&gt;0),"Long Buildup",IF(AND(pc&lt;0,oc&gt;0),"Short Buildup",IF(AND(pc&gt;0,oc&lt;0),"Short Covering",IF(AND(pc&lt;0,oc&lt;0),"Long Unwinding","Flat"))))))</f>
        <v/>
      </c>
      <c r="J1077" s="31">
        <f>LET(pc,ABS(F1077),oc,ABS(H1077),IF(OR(pc="",oc=""),"",MAX(1,MIN(5,ROUND((pc*0.5+oc*0.00001)*5,0))))))</f>
        <v/>
      </c>
    </row>
    <row r="1078">
      <c r="A1078" s="31" t="n">
        <v>1076</v>
      </c>
      <c r="B1078" s="31">
        <f>CHAIN_RAW!D1076</f>
        <v/>
      </c>
      <c r="C1078" s="31">
        <f>CHAIN_RAW!A1076</f>
        <v/>
      </c>
      <c r="D1078" s="31">
        <f>CHAIN_RAW!C1076</f>
        <v/>
      </c>
      <c r="E1078" s="31">
        <f>CHAIN_RAW!E1076</f>
        <v/>
      </c>
      <c r="F1078" s="31">
        <f>CHAIN_RAW!F1076</f>
        <v/>
      </c>
      <c r="G1078" s="31">
        <f>CHAIN_RAW!I1076</f>
        <v/>
      </c>
      <c r="H1078" s="31">
        <f>CHAIN_RAW!Q1076</f>
        <v/>
      </c>
      <c r="I1078" s="31">
        <f>LET(pc,F1078,oc,H1078,IF(OR(pc="",oc=""),"",IF(AND(pc&gt;0,oc&gt;0),"Long Buildup",IF(AND(pc&lt;0,oc&gt;0),"Short Buildup",IF(AND(pc&gt;0,oc&lt;0),"Short Covering",IF(AND(pc&lt;0,oc&lt;0),"Long Unwinding","Flat"))))))</f>
        <v/>
      </c>
      <c r="J1078" s="31">
        <f>LET(pc,ABS(F1078),oc,ABS(H1078),IF(OR(pc="",oc=""),"",MAX(1,MIN(5,ROUND((pc*0.5+oc*0.00001)*5,0))))))</f>
        <v/>
      </c>
    </row>
    <row r="1079">
      <c r="A1079" s="31" t="n">
        <v>1077</v>
      </c>
      <c r="B1079" s="31">
        <f>CHAIN_RAW!D1077</f>
        <v/>
      </c>
      <c r="C1079" s="31">
        <f>CHAIN_RAW!A1077</f>
        <v/>
      </c>
      <c r="D1079" s="31">
        <f>CHAIN_RAW!C1077</f>
        <v/>
      </c>
      <c r="E1079" s="31">
        <f>CHAIN_RAW!E1077</f>
        <v/>
      </c>
      <c r="F1079" s="31">
        <f>CHAIN_RAW!F1077</f>
        <v/>
      </c>
      <c r="G1079" s="31">
        <f>CHAIN_RAW!I1077</f>
        <v/>
      </c>
      <c r="H1079" s="31">
        <f>CHAIN_RAW!Q1077</f>
        <v/>
      </c>
      <c r="I1079" s="31">
        <f>LET(pc,F1079,oc,H1079,IF(OR(pc="",oc=""),"",IF(AND(pc&gt;0,oc&gt;0),"Long Buildup",IF(AND(pc&lt;0,oc&gt;0),"Short Buildup",IF(AND(pc&gt;0,oc&lt;0),"Short Covering",IF(AND(pc&lt;0,oc&lt;0),"Long Unwinding","Flat"))))))</f>
        <v/>
      </c>
      <c r="J1079" s="31">
        <f>LET(pc,ABS(F1079),oc,ABS(H1079),IF(OR(pc="",oc=""),"",MAX(1,MIN(5,ROUND((pc*0.5+oc*0.00001)*5,0))))))</f>
        <v/>
      </c>
    </row>
    <row r="1080">
      <c r="A1080" s="31" t="n">
        <v>1078</v>
      </c>
      <c r="B1080" s="31">
        <f>CHAIN_RAW!D1078</f>
        <v/>
      </c>
      <c r="C1080" s="31">
        <f>CHAIN_RAW!A1078</f>
        <v/>
      </c>
      <c r="D1080" s="31">
        <f>CHAIN_RAW!C1078</f>
        <v/>
      </c>
      <c r="E1080" s="31">
        <f>CHAIN_RAW!E1078</f>
        <v/>
      </c>
      <c r="F1080" s="31">
        <f>CHAIN_RAW!F1078</f>
        <v/>
      </c>
      <c r="G1080" s="31">
        <f>CHAIN_RAW!I1078</f>
        <v/>
      </c>
      <c r="H1080" s="31">
        <f>CHAIN_RAW!Q1078</f>
        <v/>
      </c>
      <c r="I1080" s="31">
        <f>LET(pc,F1080,oc,H1080,IF(OR(pc="",oc=""),"",IF(AND(pc&gt;0,oc&gt;0),"Long Buildup",IF(AND(pc&lt;0,oc&gt;0),"Short Buildup",IF(AND(pc&gt;0,oc&lt;0),"Short Covering",IF(AND(pc&lt;0,oc&lt;0),"Long Unwinding","Flat"))))))</f>
        <v/>
      </c>
      <c r="J1080" s="31">
        <f>LET(pc,ABS(F1080),oc,ABS(H1080),IF(OR(pc="",oc=""),"",MAX(1,MIN(5,ROUND((pc*0.5+oc*0.00001)*5,0))))))</f>
        <v/>
      </c>
    </row>
    <row r="1081">
      <c r="A1081" s="31" t="n">
        <v>1079</v>
      </c>
      <c r="B1081" s="31">
        <f>CHAIN_RAW!D1079</f>
        <v/>
      </c>
      <c r="C1081" s="31">
        <f>CHAIN_RAW!A1079</f>
        <v/>
      </c>
      <c r="D1081" s="31">
        <f>CHAIN_RAW!C1079</f>
        <v/>
      </c>
      <c r="E1081" s="31">
        <f>CHAIN_RAW!E1079</f>
        <v/>
      </c>
      <c r="F1081" s="31">
        <f>CHAIN_RAW!F1079</f>
        <v/>
      </c>
      <c r="G1081" s="31">
        <f>CHAIN_RAW!I1079</f>
        <v/>
      </c>
      <c r="H1081" s="31">
        <f>CHAIN_RAW!Q1079</f>
        <v/>
      </c>
      <c r="I1081" s="31">
        <f>LET(pc,F1081,oc,H1081,IF(OR(pc="",oc=""),"",IF(AND(pc&gt;0,oc&gt;0),"Long Buildup",IF(AND(pc&lt;0,oc&gt;0),"Short Buildup",IF(AND(pc&gt;0,oc&lt;0),"Short Covering",IF(AND(pc&lt;0,oc&lt;0),"Long Unwinding","Flat"))))))</f>
        <v/>
      </c>
      <c r="J1081" s="31">
        <f>LET(pc,ABS(F1081),oc,ABS(H1081),IF(OR(pc="",oc=""),"",MAX(1,MIN(5,ROUND((pc*0.5+oc*0.00001)*5,0))))))</f>
        <v/>
      </c>
    </row>
    <row r="1082">
      <c r="A1082" s="31" t="n">
        <v>1080</v>
      </c>
      <c r="B1082" s="31">
        <f>CHAIN_RAW!D1080</f>
        <v/>
      </c>
      <c r="C1082" s="31">
        <f>CHAIN_RAW!A1080</f>
        <v/>
      </c>
      <c r="D1082" s="31">
        <f>CHAIN_RAW!C1080</f>
        <v/>
      </c>
      <c r="E1082" s="31">
        <f>CHAIN_RAW!E1080</f>
        <v/>
      </c>
      <c r="F1082" s="31">
        <f>CHAIN_RAW!F1080</f>
        <v/>
      </c>
      <c r="G1082" s="31">
        <f>CHAIN_RAW!I1080</f>
        <v/>
      </c>
      <c r="H1082" s="31">
        <f>CHAIN_RAW!Q1080</f>
        <v/>
      </c>
      <c r="I1082" s="31">
        <f>LET(pc,F1082,oc,H1082,IF(OR(pc="",oc=""),"",IF(AND(pc&gt;0,oc&gt;0),"Long Buildup",IF(AND(pc&lt;0,oc&gt;0),"Short Buildup",IF(AND(pc&gt;0,oc&lt;0),"Short Covering",IF(AND(pc&lt;0,oc&lt;0),"Long Unwinding","Flat"))))))</f>
        <v/>
      </c>
      <c r="J1082" s="31">
        <f>LET(pc,ABS(F1082),oc,ABS(H1082),IF(OR(pc="",oc=""),"",MAX(1,MIN(5,ROUND((pc*0.5+oc*0.00001)*5,0))))))</f>
        <v/>
      </c>
    </row>
    <row r="1083">
      <c r="A1083" s="31" t="n">
        <v>1081</v>
      </c>
      <c r="B1083" s="31">
        <f>CHAIN_RAW!D1081</f>
        <v/>
      </c>
      <c r="C1083" s="31">
        <f>CHAIN_RAW!A1081</f>
        <v/>
      </c>
      <c r="D1083" s="31">
        <f>CHAIN_RAW!C1081</f>
        <v/>
      </c>
      <c r="E1083" s="31">
        <f>CHAIN_RAW!E1081</f>
        <v/>
      </c>
      <c r="F1083" s="31">
        <f>CHAIN_RAW!F1081</f>
        <v/>
      </c>
      <c r="G1083" s="31">
        <f>CHAIN_RAW!I1081</f>
        <v/>
      </c>
      <c r="H1083" s="31">
        <f>CHAIN_RAW!Q1081</f>
        <v/>
      </c>
      <c r="I1083" s="31">
        <f>LET(pc,F1083,oc,H1083,IF(OR(pc="",oc=""),"",IF(AND(pc&gt;0,oc&gt;0),"Long Buildup",IF(AND(pc&lt;0,oc&gt;0),"Short Buildup",IF(AND(pc&gt;0,oc&lt;0),"Short Covering",IF(AND(pc&lt;0,oc&lt;0),"Long Unwinding","Flat"))))))</f>
        <v/>
      </c>
      <c r="J1083" s="31">
        <f>LET(pc,ABS(F1083),oc,ABS(H1083),IF(OR(pc="",oc=""),"",MAX(1,MIN(5,ROUND((pc*0.5+oc*0.00001)*5,0))))))</f>
        <v/>
      </c>
    </row>
    <row r="1084">
      <c r="A1084" s="31" t="n">
        <v>1082</v>
      </c>
      <c r="B1084" s="31">
        <f>CHAIN_RAW!D1082</f>
        <v/>
      </c>
      <c r="C1084" s="31">
        <f>CHAIN_RAW!A1082</f>
        <v/>
      </c>
      <c r="D1084" s="31">
        <f>CHAIN_RAW!C1082</f>
        <v/>
      </c>
      <c r="E1084" s="31">
        <f>CHAIN_RAW!E1082</f>
        <v/>
      </c>
      <c r="F1084" s="31">
        <f>CHAIN_RAW!F1082</f>
        <v/>
      </c>
      <c r="G1084" s="31">
        <f>CHAIN_RAW!I1082</f>
        <v/>
      </c>
      <c r="H1084" s="31">
        <f>CHAIN_RAW!Q1082</f>
        <v/>
      </c>
      <c r="I1084" s="31">
        <f>LET(pc,F1084,oc,H1084,IF(OR(pc="",oc=""),"",IF(AND(pc&gt;0,oc&gt;0),"Long Buildup",IF(AND(pc&lt;0,oc&gt;0),"Short Buildup",IF(AND(pc&gt;0,oc&lt;0),"Short Covering",IF(AND(pc&lt;0,oc&lt;0),"Long Unwinding","Flat"))))))</f>
        <v/>
      </c>
      <c r="J1084" s="31">
        <f>LET(pc,ABS(F1084),oc,ABS(H1084),IF(OR(pc="",oc=""),"",MAX(1,MIN(5,ROUND((pc*0.5+oc*0.00001)*5,0))))))</f>
        <v/>
      </c>
    </row>
    <row r="1085">
      <c r="A1085" s="31" t="n">
        <v>1083</v>
      </c>
      <c r="B1085" s="31">
        <f>CHAIN_RAW!D1083</f>
        <v/>
      </c>
      <c r="C1085" s="31">
        <f>CHAIN_RAW!A1083</f>
        <v/>
      </c>
      <c r="D1085" s="31">
        <f>CHAIN_RAW!C1083</f>
        <v/>
      </c>
      <c r="E1085" s="31">
        <f>CHAIN_RAW!E1083</f>
        <v/>
      </c>
      <c r="F1085" s="31">
        <f>CHAIN_RAW!F1083</f>
        <v/>
      </c>
      <c r="G1085" s="31">
        <f>CHAIN_RAW!I1083</f>
        <v/>
      </c>
      <c r="H1085" s="31">
        <f>CHAIN_RAW!Q1083</f>
        <v/>
      </c>
      <c r="I1085" s="31">
        <f>LET(pc,F1085,oc,H1085,IF(OR(pc="",oc=""),"",IF(AND(pc&gt;0,oc&gt;0),"Long Buildup",IF(AND(pc&lt;0,oc&gt;0),"Short Buildup",IF(AND(pc&gt;0,oc&lt;0),"Short Covering",IF(AND(pc&lt;0,oc&lt;0),"Long Unwinding","Flat"))))))</f>
        <v/>
      </c>
      <c r="J1085" s="31">
        <f>LET(pc,ABS(F1085),oc,ABS(H1085),IF(OR(pc="",oc=""),"",MAX(1,MIN(5,ROUND((pc*0.5+oc*0.00001)*5,0))))))</f>
        <v/>
      </c>
    </row>
    <row r="1086">
      <c r="A1086" s="31" t="n">
        <v>1084</v>
      </c>
      <c r="B1086" s="31">
        <f>CHAIN_RAW!D1084</f>
        <v/>
      </c>
      <c r="C1086" s="31">
        <f>CHAIN_RAW!A1084</f>
        <v/>
      </c>
      <c r="D1086" s="31">
        <f>CHAIN_RAW!C1084</f>
        <v/>
      </c>
      <c r="E1086" s="31">
        <f>CHAIN_RAW!E1084</f>
        <v/>
      </c>
      <c r="F1086" s="31">
        <f>CHAIN_RAW!F1084</f>
        <v/>
      </c>
      <c r="G1086" s="31">
        <f>CHAIN_RAW!I1084</f>
        <v/>
      </c>
      <c r="H1086" s="31">
        <f>CHAIN_RAW!Q1084</f>
        <v/>
      </c>
      <c r="I1086" s="31">
        <f>LET(pc,F1086,oc,H1086,IF(OR(pc="",oc=""),"",IF(AND(pc&gt;0,oc&gt;0),"Long Buildup",IF(AND(pc&lt;0,oc&gt;0),"Short Buildup",IF(AND(pc&gt;0,oc&lt;0),"Short Covering",IF(AND(pc&lt;0,oc&lt;0),"Long Unwinding","Flat"))))))</f>
        <v/>
      </c>
      <c r="J1086" s="31">
        <f>LET(pc,ABS(F1086),oc,ABS(H1086),IF(OR(pc="",oc=""),"",MAX(1,MIN(5,ROUND((pc*0.5+oc*0.00001)*5,0))))))</f>
        <v/>
      </c>
    </row>
    <row r="1087">
      <c r="A1087" s="31" t="n">
        <v>1085</v>
      </c>
      <c r="B1087" s="31">
        <f>CHAIN_RAW!D1085</f>
        <v/>
      </c>
      <c r="C1087" s="31">
        <f>CHAIN_RAW!A1085</f>
        <v/>
      </c>
      <c r="D1087" s="31">
        <f>CHAIN_RAW!C1085</f>
        <v/>
      </c>
      <c r="E1087" s="31">
        <f>CHAIN_RAW!E1085</f>
        <v/>
      </c>
      <c r="F1087" s="31">
        <f>CHAIN_RAW!F1085</f>
        <v/>
      </c>
      <c r="G1087" s="31">
        <f>CHAIN_RAW!I1085</f>
        <v/>
      </c>
      <c r="H1087" s="31">
        <f>CHAIN_RAW!Q1085</f>
        <v/>
      </c>
      <c r="I1087" s="31">
        <f>LET(pc,F1087,oc,H1087,IF(OR(pc="",oc=""),"",IF(AND(pc&gt;0,oc&gt;0),"Long Buildup",IF(AND(pc&lt;0,oc&gt;0),"Short Buildup",IF(AND(pc&gt;0,oc&lt;0),"Short Covering",IF(AND(pc&lt;0,oc&lt;0),"Long Unwinding","Flat"))))))</f>
        <v/>
      </c>
      <c r="J1087" s="31">
        <f>LET(pc,ABS(F1087),oc,ABS(H1087),IF(OR(pc="",oc=""),"",MAX(1,MIN(5,ROUND((pc*0.5+oc*0.00001)*5,0))))))</f>
        <v/>
      </c>
    </row>
    <row r="1088">
      <c r="A1088" s="31" t="n">
        <v>1086</v>
      </c>
      <c r="B1088" s="31">
        <f>CHAIN_RAW!D1086</f>
        <v/>
      </c>
      <c r="C1088" s="31">
        <f>CHAIN_RAW!A1086</f>
        <v/>
      </c>
      <c r="D1088" s="31">
        <f>CHAIN_RAW!C1086</f>
        <v/>
      </c>
      <c r="E1088" s="31">
        <f>CHAIN_RAW!E1086</f>
        <v/>
      </c>
      <c r="F1088" s="31">
        <f>CHAIN_RAW!F1086</f>
        <v/>
      </c>
      <c r="G1088" s="31">
        <f>CHAIN_RAW!I1086</f>
        <v/>
      </c>
      <c r="H1088" s="31">
        <f>CHAIN_RAW!Q1086</f>
        <v/>
      </c>
      <c r="I1088" s="31">
        <f>LET(pc,F1088,oc,H1088,IF(OR(pc="",oc=""),"",IF(AND(pc&gt;0,oc&gt;0),"Long Buildup",IF(AND(pc&lt;0,oc&gt;0),"Short Buildup",IF(AND(pc&gt;0,oc&lt;0),"Short Covering",IF(AND(pc&lt;0,oc&lt;0),"Long Unwinding","Flat"))))))</f>
        <v/>
      </c>
      <c r="J1088" s="31">
        <f>LET(pc,ABS(F1088),oc,ABS(H1088),IF(OR(pc="",oc=""),"",MAX(1,MIN(5,ROUND((pc*0.5+oc*0.00001)*5,0))))))</f>
        <v/>
      </c>
    </row>
    <row r="1089">
      <c r="A1089" s="31" t="n">
        <v>1087</v>
      </c>
      <c r="B1089" s="31">
        <f>CHAIN_RAW!D1087</f>
        <v/>
      </c>
      <c r="C1089" s="31">
        <f>CHAIN_RAW!A1087</f>
        <v/>
      </c>
      <c r="D1089" s="31">
        <f>CHAIN_RAW!C1087</f>
        <v/>
      </c>
      <c r="E1089" s="31">
        <f>CHAIN_RAW!E1087</f>
        <v/>
      </c>
      <c r="F1089" s="31">
        <f>CHAIN_RAW!F1087</f>
        <v/>
      </c>
      <c r="G1089" s="31">
        <f>CHAIN_RAW!I1087</f>
        <v/>
      </c>
      <c r="H1089" s="31">
        <f>CHAIN_RAW!Q1087</f>
        <v/>
      </c>
      <c r="I1089" s="31">
        <f>LET(pc,F1089,oc,H1089,IF(OR(pc="",oc=""),"",IF(AND(pc&gt;0,oc&gt;0),"Long Buildup",IF(AND(pc&lt;0,oc&gt;0),"Short Buildup",IF(AND(pc&gt;0,oc&lt;0),"Short Covering",IF(AND(pc&lt;0,oc&lt;0),"Long Unwinding","Flat"))))))</f>
        <v/>
      </c>
      <c r="J1089" s="31">
        <f>LET(pc,ABS(F1089),oc,ABS(H1089),IF(OR(pc="",oc=""),"",MAX(1,MIN(5,ROUND((pc*0.5+oc*0.00001)*5,0))))))</f>
        <v/>
      </c>
    </row>
    <row r="1090">
      <c r="A1090" s="31" t="n">
        <v>1088</v>
      </c>
      <c r="B1090" s="31">
        <f>CHAIN_RAW!D1088</f>
        <v/>
      </c>
      <c r="C1090" s="31">
        <f>CHAIN_RAW!A1088</f>
        <v/>
      </c>
      <c r="D1090" s="31">
        <f>CHAIN_RAW!C1088</f>
        <v/>
      </c>
      <c r="E1090" s="31">
        <f>CHAIN_RAW!E1088</f>
        <v/>
      </c>
      <c r="F1090" s="31">
        <f>CHAIN_RAW!F1088</f>
        <v/>
      </c>
      <c r="G1090" s="31">
        <f>CHAIN_RAW!I1088</f>
        <v/>
      </c>
      <c r="H1090" s="31">
        <f>CHAIN_RAW!Q1088</f>
        <v/>
      </c>
      <c r="I1090" s="31">
        <f>LET(pc,F1090,oc,H1090,IF(OR(pc="",oc=""),"",IF(AND(pc&gt;0,oc&gt;0),"Long Buildup",IF(AND(pc&lt;0,oc&gt;0),"Short Buildup",IF(AND(pc&gt;0,oc&lt;0),"Short Covering",IF(AND(pc&lt;0,oc&lt;0),"Long Unwinding","Flat"))))))</f>
        <v/>
      </c>
      <c r="J1090" s="31">
        <f>LET(pc,ABS(F1090),oc,ABS(H1090),IF(OR(pc="",oc=""),"",MAX(1,MIN(5,ROUND((pc*0.5+oc*0.00001)*5,0))))))</f>
        <v/>
      </c>
    </row>
    <row r="1091">
      <c r="A1091" s="31" t="n">
        <v>1089</v>
      </c>
      <c r="B1091" s="31">
        <f>CHAIN_RAW!D1089</f>
        <v/>
      </c>
      <c r="C1091" s="31">
        <f>CHAIN_RAW!A1089</f>
        <v/>
      </c>
      <c r="D1091" s="31">
        <f>CHAIN_RAW!C1089</f>
        <v/>
      </c>
      <c r="E1091" s="31">
        <f>CHAIN_RAW!E1089</f>
        <v/>
      </c>
      <c r="F1091" s="31">
        <f>CHAIN_RAW!F1089</f>
        <v/>
      </c>
      <c r="G1091" s="31">
        <f>CHAIN_RAW!I1089</f>
        <v/>
      </c>
      <c r="H1091" s="31">
        <f>CHAIN_RAW!Q1089</f>
        <v/>
      </c>
      <c r="I1091" s="31">
        <f>LET(pc,F1091,oc,H1091,IF(OR(pc="",oc=""),"",IF(AND(pc&gt;0,oc&gt;0),"Long Buildup",IF(AND(pc&lt;0,oc&gt;0),"Short Buildup",IF(AND(pc&gt;0,oc&lt;0),"Short Covering",IF(AND(pc&lt;0,oc&lt;0),"Long Unwinding","Flat"))))))</f>
        <v/>
      </c>
      <c r="J1091" s="31">
        <f>LET(pc,ABS(F1091),oc,ABS(H1091),IF(OR(pc="",oc=""),"",MAX(1,MIN(5,ROUND((pc*0.5+oc*0.00001)*5,0))))))</f>
        <v/>
      </c>
    </row>
    <row r="1092">
      <c r="A1092" s="31" t="n">
        <v>1090</v>
      </c>
      <c r="B1092" s="31">
        <f>CHAIN_RAW!D1090</f>
        <v/>
      </c>
      <c r="C1092" s="31">
        <f>CHAIN_RAW!A1090</f>
        <v/>
      </c>
      <c r="D1092" s="31">
        <f>CHAIN_RAW!C1090</f>
        <v/>
      </c>
      <c r="E1092" s="31">
        <f>CHAIN_RAW!E1090</f>
        <v/>
      </c>
      <c r="F1092" s="31">
        <f>CHAIN_RAW!F1090</f>
        <v/>
      </c>
      <c r="G1092" s="31">
        <f>CHAIN_RAW!I1090</f>
        <v/>
      </c>
      <c r="H1092" s="31">
        <f>CHAIN_RAW!Q1090</f>
        <v/>
      </c>
      <c r="I1092" s="31">
        <f>LET(pc,F1092,oc,H1092,IF(OR(pc="",oc=""),"",IF(AND(pc&gt;0,oc&gt;0),"Long Buildup",IF(AND(pc&lt;0,oc&gt;0),"Short Buildup",IF(AND(pc&gt;0,oc&lt;0),"Short Covering",IF(AND(pc&lt;0,oc&lt;0),"Long Unwinding","Flat"))))))</f>
        <v/>
      </c>
      <c r="J1092" s="31">
        <f>LET(pc,ABS(F1092),oc,ABS(H1092),IF(OR(pc="",oc=""),"",MAX(1,MIN(5,ROUND((pc*0.5+oc*0.00001)*5,0))))))</f>
        <v/>
      </c>
    </row>
    <row r="1093">
      <c r="A1093" s="31" t="n">
        <v>1091</v>
      </c>
      <c r="B1093" s="31">
        <f>CHAIN_RAW!D1091</f>
        <v/>
      </c>
      <c r="C1093" s="31">
        <f>CHAIN_RAW!A1091</f>
        <v/>
      </c>
      <c r="D1093" s="31">
        <f>CHAIN_RAW!C1091</f>
        <v/>
      </c>
      <c r="E1093" s="31">
        <f>CHAIN_RAW!E1091</f>
        <v/>
      </c>
      <c r="F1093" s="31">
        <f>CHAIN_RAW!F1091</f>
        <v/>
      </c>
      <c r="G1093" s="31">
        <f>CHAIN_RAW!I1091</f>
        <v/>
      </c>
      <c r="H1093" s="31">
        <f>CHAIN_RAW!Q1091</f>
        <v/>
      </c>
      <c r="I1093" s="31">
        <f>LET(pc,F1093,oc,H1093,IF(OR(pc="",oc=""),"",IF(AND(pc&gt;0,oc&gt;0),"Long Buildup",IF(AND(pc&lt;0,oc&gt;0),"Short Buildup",IF(AND(pc&gt;0,oc&lt;0),"Short Covering",IF(AND(pc&lt;0,oc&lt;0),"Long Unwinding","Flat"))))))</f>
        <v/>
      </c>
      <c r="J1093" s="31">
        <f>LET(pc,ABS(F1093),oc,ABS(H1093),IF(OR(pc="",oc=""),"",MAX(1,MIN(5,ROUND((pc*0.5+oc*0.00001)*5,0))))))</f>
        <v/>
      </c>
    </row>
    <row r="1094">
      <c r="A1094" s="31" t="n">
        <v>1092</v>
      </c>
      <c r="B1094" s="31">
        <f>CHAIN_RAW!D1092</f>
        <v/>
      </c>
      <c r="C1094" s="31">
        <f>CHAIN_RAW!A1092</f>
        <v/>
      </c>
      <c r="D1094" s="31">
        <f>CHAIN_RAW!C1092</f>
        <v/>
      </c>
      <c r="E1094" s="31">
        <f>CHAIN_RAW!E1092</f>
        <v/>
      </c>
      <c r="F1094" s="31">
        <f>CHAIN_RAW!F1092</f>
        <v/>
      </c>
      <c r="G1094" s="31">
        <f>CHAIN_RAW!I1092</f>
        <v/>
      </c>
      <c r="H1094" s="31">
        <f>CHAIN_RAW!Q1092</f>
        <v/>
      </c>
      <c r="I1094" s="31">
        <f>LET(pc,F1094,oc,H1094,IF(OR(pc="",oc=""),"",IF(AND(pc&gt;0,oc&gt;0),"Long Buildup",IF(AND(pc&lt;0,oc&gt;0),"Short Buildup",IF(AND(pc&gt;0,oc&lt;0),"Short Covering",IF(AND(pc&lt;0,oc&lt;0),"Long Unwinding","Flat"))))))</f>
        <v/>
      </c>
      <c r="J1094" s="31">
        <f>LET(pc,ABS(F1094),oc,ABS(H1094),IF(OR(pc="",oc=""),"",MAX(1,MIN(5,ROUND((pc*0.5+oc*0.00001)*5,0))))))</f>
        <v/>
      </c>
    </row>
    <row r="1095">
      <c r="A1095" s="31" t="n">
        <v>1093</v>
      </c>
      <c r="B1095" s="31">
        <f>CHAIN_RAW!D1093</f>
        <v/>
      </c>
      <c r="C1095" s="31">
        <f>CHAIN_RAW!A1093</f>
        <v/>
      </c>
      <c r="D1095" s="31">
        <f>CHAIN_RAW!C1093</f>
        <v/>
      </c>
      <c r="E1095" s="31">
        <f>CHAIN_RAW!E1093</f>
        <v/>
      </c>
      <c r="F1095" s="31">
        <f>CHAIN_RAW!F1093</f>
        <v/>
      </c>
      <c r="G1095" s="31">
        <f>CHAIN_RAW!I1093</f>
        <v/>
      </c>
      <c r="H1095" s="31">
        <f>CHAIN_RAW!Q1093</f>
        <v/>
      </c>
      <c r="I1095" s="31">
        <f>LET(pc,F1095,oc,H1095,IF(OR(pc="",oc=""),"",IF(AND(pc&gt;0,oc&gt;0),"Long Buildup",IF(AND(pc&lt;0,oc&gt;0),"Short Buildup",IF(AND(pc&gt;0,oc&lt;0),"Short Covering",IF(AND(pc&lt;0,oc&lt;0),"Long Unwinding","Flat"))))))</f>
        <v/>
      </c>
      <c r="J1095" s="31">
        <f>LET(pc,ABS(F1095),oc,ABS(H1095),IF(OR(pc="",oc=""),"",MAX(1,MIN(5,ROUND((pc*0.5+oc*0.00001)*5,0))))))</f>
        <v/>
      </c>
    </row>
    <row r="1096">
      <c r="A1096" s="31" t="n">
        <v>1094</v>
      </c>
      <c r="B1096" s="31">
        <f>CHAIN_RAW!D1094</f>
        <v/>
      </c>
      <c r="C1096" s="31">
        <f>CHAIN_RAW!A1094</f>
        <v/>
      </c>
      <c r="D1096" s="31">
        <f>CHAIN_RAW!C1094</f>
        <v/>
      </c>
      <c r="E1096" s="31">
        <f>CHAIN_RAW!E1094</f>
        <v/>
      </c>
      <c r="F1096" s="31">
        <f>CHAIN_RAW!F1094</f>
        <v/>
      </c>
      <c r="G1096" s="31">
        <f>CHAIN_RAW!I1094</f>
        <v/>
      </c>
      <c r="H1096" s="31">
        <f>CHAIN_RAW!Q1094</f>
        <v/>
      </c>
      <c r="I1096" s="31">
        <f>LET(pc,F1096,oc,H1096,IF(OR(pc="",oc=""),"",IF(AND(pc&gt;0,oc&gt;0),"Long Buildup",IF(AND(pc&lt;0,oc&gt;0),"Short Buildup",IF(AND(pc&gt;0,oc&lt;0),"Short Covering",IF(AND(pc&lt;0,oc&lt;0),"Long Unwinding","Flat"))))))</f>
        <v/>
      </c>
      <c r="J1096" s="31">
        <f>LET(pc,ABS(F1096),oc,ABS(H1096),IF(OR(pc="",oc=""),"",MAX(1,MIN(5,ROUND((pc*0.5+oc*0.00001)*5,0))))))</f>
        <v/>
      </c>
    </row>
    <row r="1097">
      <c r="A1097" s="31" t="n">
        <v>1095</v>
      </c>
      <c r="B1097" s="31">
        <f>CHAIN_RAW!D1095</f>
        <v/>
      </c>
      <c r="C1097" s="31">
        <f>CHAIN_RAW!A1095</f>
        <v/>
      </c>
      <c r="D1097" s="31">
        <f>CHAIN_RAW!C1095</f>
        <v/>
      </c>
      <c r="E1097" s="31">
        <f>CHAIN_RAW!E1095</f>
        <v/>
      </c>
      <c r="F1097" s="31">
        <f>CHAIN_RAW!F1095</f>
        <v/>
      </c>
      <c r="G1097" s="31">
        <f>CHAIN_RAW!I1095</f>
        <v/>
      </c>
      <c r="H1097" s="31">
        <f>CHAIN_RAW!Q1095</f>
        <v/>
      </c>
      <c r="I1097" s="31">
        <f>LET(pc,F1097,oc,H1097,IF(OR(pc="",oc=""),"",IF(AND(pc&gt;0,oc&gt;0),"Long Buildup",IF(AND(pc&lt;0,oc&gt;0),"Short Buildup",IF(AND(pc&gt;0,oc&lt;0),"Short Covering",IF(AND(pc&lt;0,oc&lt;0),"Long Unwinding","Flat"))))))</f>
        <v/>
      </c>
      <c r="J1097" s="31">
        <f>LET(pc,ABS(F1097),oc,ABS(H1097),IF(OR(pc="",oc=""),"",MAX(1,MIN(5,ROUND((pc*0.5+oc*0.00001)*5,0))))))</f>
        <v/>
      </c>
    </row>
    <row r="1098">
      <c r="A1098" s="31" t="n">
        <v>1096</v>
      </c>
      <c r="B1098" s="31">
        <f>CHAIN_RAW!D1096</f>
        <v/>
      </c>
      <c r="C1098" s="31">
        <f>CHAIN_RAW!A1096</f>
        <v/>
      </c>
      <c r="D1098" s="31">
        <f>CHAIN_RAW!C1096</f>
        <v/>
      </c>
      <c r="E1098" s="31">
        <f>CHAIN_RAW!E1096</f>
        <v/>
      </c>
      <c r="F1098" s="31">
        <f>CHAIN_RAW!F1096</f>
        <v/>
      </c>
      <c r="G1098" s="31">
        <f>CHAIN_RAW!I1096</f>
        <v/>
      </c>
      <c r="H1098" s="31">
        <f>CHAIN_RAW!Q1096</f>
        <v/>
      </c>
      <c r="I1098" s="31">
        <f>LET(pc,F1098,oc,H1098,IF(OR(pc="",oc=""),"",IF(AND(pc&gt;0,oc&gt;0),"Long Buildup",IF(AND(pc&lt;0,oc&gt;0),"Short Buildup",IF(AND(pc&gt;0,oc&lt;0),"Short Covering",IF(AND(pc&lt;0,oc&lt;0),"Long Unwinding","Flat"))))))</f>
        <v/>
      </c>
      <c r="J1098" s="31">
        <f>LET(pc,ABS(F1098),oc,ABS(H1098),IF(OR(pc="",oc=""),"",MAX(1,MIN(5,ROUND((pc*0.5+oc*0.00001)*5,0))))))</f>
        <v/>
      </c>
    </row>
    <row r="1099">
      <c r="A1099" s="31" t="n">
        <v>1097</v>
      </c>
      <c r="B1099" s="31">
        <f>CHAIN_RAW!D1097</f>
        <v/>
      </c>
      <c r="C1099" s="31">
        <f>CHAIN_RAW!A1097</f>
        <v/>
      </c>
      <c r="D1099" s="31">
        <f>CHAIN_RAW!C1097</f>
        <v/>
      </c>
      <c r="E1099" s="31">
        <f>CHAIN_RAW!E1097</f>
        <v/>
      </c>
      <c r="F1099" s="31">
        <f>CHAIN_RAW!F1097</f>
        <v/>
      </c>
      <c r="G1099" s="31">
        <f>CHAIN_RAW!I1097</f>
        <v/>
      </c>
      <c r="H1099" s="31">
        <f>CHAIN_RAW!Q1097</f>
        <v/>
      </c>
      <c r="I1099" s="31">
        <f>LET(pc,F1099,oc,H1099,IF(OR(pc="",oc=""),"",IF(AND(pc&gt;0,oc&gt;0),"Long Buildup",IF(AND(pc&lt;0,oc&gt;0),"Short Buildup",IF(AND(pc&gt;0,oc&lt;0),"Short Covering",IF(AND(pc&lt;0,oc&lt;0),"Long Unwinding","Flat"))))))</f>
        <v/>
      </c>
      <c r="J1099" s="31">
        <f>LET(pc,ABS(F1099),oc,ABS(H1099),IF(OR(pc="",oc=""),"",MAX(1,MIN(5,ROUND((pc*0.5+oc*0.00001)*5,0))))))</f>
        <v/>
      </c>
    </row>
    <row r="1100">
      <c r="A1100" s="31" t="n">
        <v>1098</v>
      </c>
      <c r="B1100" s="31">
        <f>CHAIN_RAW!D1098</f>
        <v/>
      </c>
      <c r="C1100" s="31">
        <f>CHAIN_RAW!A1098</f>
        <v/>
      </c>
      <c r="D1100" s="31">
        <f>CHAIN_RAW!C1098</f>
        <v/>
      </c>
      <c r="E1100" s="31">
        <f>CHAIN_RAW!E1098</f>
        <v/>
      </c>
      <c r="F1100" s="31">
        <f>CHAIN_RAW!F1098</f>
        <v/>
      </c>
      <c r="G1100" s="31">
        <f>CHAIN_RAW!I1098</f>
        <v/>
      </c>
      <c r="H1100" s="31">
        <f>CHAIN_RAW!Q1098</f>
        <v/>
      </c>
      <c r="I1100" s="31">
        <f>LET(pc,F1100,oc,H1100,IF(OR(pc="",oc=""),"",IF(AND(pc&gt;0,oc&gt;0),"Long Buildup",IF(AND(pc&lt;0,oc&gt;0),"Short Buildup",IF(AND(pc&gt;0,oc&lt;0),"Short Covering",IF(AND(pc&lt;0,oc&lt;0),"Long Unwinding","Flat"))))))</f>
        <v/>
      </c>
      <c r="J1100" s="31">
        <f>LET(pc,ABS(F1100),oc,ABS(H1100),IF(OR(pc="",oc=""),"",MAX(1,MIN(5,ROUND((pc*0.5+oc*0.00001)*5,0))))))</f>
        <v/>
      </c>
    </row>
    <row r="1101">
      <c r="A1101" s="31" t="n">
        <v>1099</v>
      </c>
      <c r="B1101" s="31">
        <f>CHAIN_RAW!D1099</f>
        <v/>
      </c>
      <c r="C1101" s="31">
        <f>CHAIN_RAW!A1099</f>
        <v/>
      </c>
      <c r="D1101" s="31">
        <f>CHAIN_RAW!C1099</f>
        <v/>
      </c>
      <c r="E1101" s="31">
        <f>CHAIN_RAW!E1099</f>
        <v/>
      </c>
      <c r="F1101" s="31">
        <f>CHAIN_RAW!F1099</f>
        <v/>
      </c>
      <c r="G1101" s="31">
        <f>CHAIN_RAW!I1099</f>
        <v/>
      </c>
      <c r="H1101" s="31">
        <f>CHAIN_RAW!Q1099</f>
        <v/>
      </c>
      <c r="I1101" s="31">
        <f>LET(pc,F1101,oc,H1101,IF(OR(pc="",oc=""),"",IF(AND(pc&gt;0,oc&gt;0),"Long Buildup",IF(AND(pc&lt;0,oc&gt;0),"Short Buildup",IF(AND(pc&gt;0,oc&lt;0),"Short Covering",IF(AND(pc&lt;0,oc&lt;0),"Long Unwinding","Flat"))))))</f>
        <v/>
      </c>
      <c r="J1101" s="31">
        <f>LET(pc,ABS(F1101),oc,ABS(H1101),IF(OR(pc="",oc=""),"",MAX(1,MIN(5,ROUND((pc*0.5+oc*0.00001)*5,0))))))</f>
        <v/>
      </c>
    </row>
    <row r="1102">
      <c r="A1102" s="31" t="n">
        <v>1100</v>
      </c>
      <c r="B1102" s="31">
        <f>CHAIN_RAW!D1100</f>
        <v/>
      </c>
      <c r="C1102" s="31">
        <f>CHAIN_RAW!A1100</f>
        <v/>
      </c>
      <c r="D1102" s="31">
        <f>CHAIN_RAW!C1100</f>
        <v/>
      </c>
      <c r="E1102" s="31">
        <f>CHAIN_RAW!E1100</f>
        <v/>
      </c>
      <c r="F1102" s="31">
        <f>CHAIN_RAW!F1100</f>
        <v/>
      </c>
      <c r="G1102" s="31">
        <f>CHAIN_RAW!I1100</f>
        <v/>
      </c>
      <c r="H1102" s="31">
        <f>CHAIN_RAW!Q1100</f>
        <v/>
      </c>
      <c r="I1102" s="31">
        <f>LET(pc,F1102,oc,H1102,IF(OR(pc="",oc=""),"",IF(AND(pc&gt;0,oc&gt;0),"Long Buildup",IF(AND(pc&lt;0,oc&gt;0),"Short Buildup",IF(AND(pc&gt;0,oc&lt;0),"Short Covering",IF(AND(pc&lt;0,oc&lt;0),"Long Unwinding","Flat"))))))</f>
        <v/>
      </c>
      <c r="J1102" s="31">
        <f>LET(pc,ABS(F1102),oc,ABS(H1102),IF(OR(pc="",oc=""),"",MAX(1,MIN(5,ROUND((pc*0.5+oc*0.00001)*5,0))))))</f>
        <v/>
      </c>
    </row>
    <row r="1103">
      <c r="A1103" s="31" t="n">
        <v>1101</v>
      </c>
      <c r="B1103" s="31">
        <f>CHAIN_RAW!D1101</f>
        <v/>
      </c>
      <c r="C1103" s="31">
        <f>CHAIN_RAW!A1101</f>
        <v/>
      </c>
      <c r="D1103" s="31">
        <f>CHAIN_RAW!C1101</f>
        <v/>
      </c>
      <c r="E1103" s="31">
        <f>CHAIN_RAW!E1101</f>
        <v/>
      </c>
      <c r="F1103" s="31">
        <f>CHAIN_RAW!F1101</f>
        <v/>
      </c>
      <c r="G1103" s="31">
        <f>CHAIN_RAW!I1101</f>
        <v/>
      </c>
      <c r="H1103" s="31">
        <f>CHAIN_RAW!Q1101</f>
        <v/>
      </c>
      <c r="I1103" s="31">
        <f>LET(pc,F1103,oc,H1103,IF(OR(pc="",oc=""),"",IF(AND(pc&gt;0,oc&gt;0),"Long Buildup",IF(AND(pc&lt;0,oc&gt;0),"Short Buildup",IF(AND(pc&gt;0,oc&lt;0),"Short Covering",IF(AND(pc&lt;0,oc&lt;0),"Long Unwinding","Flat"))))))</f>
        <v/>
      </c>
      <c r="J1103" s="31">
        <f>LET(pc,ABS(F1103),oc,ABS(H1103),IF(OR(pc="",oc=""),"",MAX(1,MIN(5,ROUND((pc*0.5+oc*0.00001)*5,0))))))</f>
        <v/>
      </c>
    </row>
    <row r="1104">
      <c r="A1104" s="31" t="n">
        <v>1102</v>
      </c>
      <c r="B1104" s="31">
        <f>CHAIN_RAW!D1102</f>
        <v/>
      </c>
      <c r="C1104" s="31">
        <f>CHAIN_RAW!A1102</f>
        <v/>
      </c>
      <c r="D1104" s="31">
        <f>CHAIN_RAW!C1102</f>
        <v/>
      </c>
      <c r="E1104" s="31">
        <f>CHAIN_RAW!E1102</f>
        <v/>
      </c>
      <c r="F1104" s="31">
        <f>CHAIN_RAW!F1102</f>
        <v/>
      </c>
      <c r="G1104" s="31">
        <f>CHAIN_RAW!I1102</f>
        <v/>
      </c>
      <c r="H1104" s="31">
        <f>CHAIN_RAW!Q1102</f>
        <v/>
      </c>
      <c r="I1104" s="31">
        <f>LET(pc,F1104,oc,H1104,IF(OR(pc="",oc=""),"",IF(AND(pc&gt;0,oc&gt;0),"Long Buildup",IF(AND(pc&lt;0,oc&gt;0),"Short Buildup",IF(AND(pc&gt;0,oc&lt;0),"Short Covering",IF(AND(pc&lt;0,oc&lt;0),"Long Unwinding","Flat"))))))</f>
        <v/>
      </c>
      <c r="J1104" s="31">
        <f>LET(pc,ABS(F1104),oc,ABS(H1104),IF(OR(pc="",oc=""),"",MAX(1,MIN(5,ROUND((pc*0.5+oc*0.00001)*5,0))))))</f>
        <v/>
      </c>
    </row>
    <row r="1105">
      <c r="A1105" s="31" t="n">
        <v>1103</v>
      </c>
      <c r="B1105" s="31">
        <f>CHAIN_RAW!D1103</f>
        <v/>
      </c>
      <c r="C1105" s="31">
        <f>CHAIN_RAW!A1103</f>
        <v/>
      </c>
      <c r="D1105" s="31">
        <f>CHAIN_RAW!C1103</f>
        <v/>
      </c>
      <c r="E1105" s="31">
        <f>CHAIN_RAW!E1103</f>
        <v/>
      </c>
      <c r="F1105" s="31">
        <f>CHAIN_RAW!F1103</f>
        <v/>
      </c>
      <c r="G1105" s="31">
        <f>CHAIN_RAW!I1103</f>
        <v/>
      </c>
      <c r="H1105" s="31">
        <f>CHAIN_RAW!Q1103</f>
        <v/>
      </c>
      <c r="I1105" s="31">
        <f>LET(pc,F1105,oc,H1105,IF(OR(pc="",oc=""),"",IF(AND(pc&gt;0,oc&gt;0),"Long Buildup",IF(AND(pc&lt;0,oc&gt;0),"Short Buildup",IF(AND(pc&gt;0,oc&lt;0),"Short Covering",IF(AND(pc&lt;0,oc&lt;0),"Long Unwinding","Flat"))))))</f>
        <v/>
      </c>
      <c r="J1105" s="31">
        <f>LET(pc,ABS(F1105),oc,ABS(H1105),IF(OR(pc="",oc=""),"",MAX(1,MIN(5,ROUND((pc*0.5+oc*0.00001)*5,0))))))</f>
        <v/>
      </c>
    </row>
    <row r="1106">
      <c r="A1106" s="31" t="n">
        <v>1104</v>
      </c>
      <c r="B1106" s="31">
        <f>CHAIN_RAW!D1104</f>
        <v/>
      </c>
      <c r="C1106" s="31">
        <f>CHAIN_RAW!A1104</f>
        <v/>
      </c>
      <c r="D1106" s="31">
        <f>CHAIN_RAW!C1104</f>
        <v/>
      </c>
      <c r="E1106" s="31">
        <f>CHAIN_RAW!E1104</f>
        <v/>
      </c>
      <c r="F1106" s="31">
        <f>CHAIN_RAW!F1104</f>
        <v/>
      </c>
      <c r="G1106" s="31">
        <f>CHAIN_RAW!I1104</f>
        <v/>
      </c>
      <c r="H1106" s="31">
        <f>CHAIN_RAW!Q1104</f>
        <v/>
      </c>
      <c r="I1106" s="31">
        <f>LET(pc,F1106,oc,H1106,IF(OR(pc="",oc=""),"",IF(AND(pc&gt;0,oc&gt;0),"Long Buildup",IF(AND(pc&lt;0,oc&gt;0),"Short Buildup",IF(AND(pc&gt;0,oc&lt;0),"Short Covering",IF(AND(pc&lt;0,oc&lt;0),"Long Unwinding","Flat"))))))</f>
        <v/>
      </c>
      <c r="J1106" s="31">
        <f>LET(pc,ABS(F1106),oc,ABS(H1106),IF(OR(pc="",oc=""),"",MAX(1,MIN(5,ROUND((pc*0.5+oc*0.00001)*5,0))))))</f>
        <v/>
      </c>
    </row>
    <row r="1107">
      <c r="A1107" s="31" t="n">
        <v>1105</v>
      </c>
      <c r="B1107" s="31">
        <f>CHAIN_RAW!D1105</f>
        <v/>
      </c>
      <c r="C1107" s="31">
        <f>CHAIN_RAW!A1105</f>
        <v/>
      </c>
      <c r="D1107" s="31">
        <f>CHAIN_RAW!C1105</f>
        <v/>
      </c>
      <c r="E1107" s="31">
        <f>CHAIN_RAW!E1105</f>
        <v/>
      </c>
      <c r="F1107" s="31">
        <f>CHAIN_RAW!F1105</f>
        <v/>
      </c>
      <c r="G1107" s="31">
        <f>CHAIN_RAW!I1105</f>
        <v/>
      </c>
      <c r="H1107" s="31">
        <f>CHAIN_RAW!Q1105</f>
        <v/>
      </c>
      <c r="I1107" s="31">
        <f>LET(pc,F1107,oc,H1107,IF(OR(pc="",oc=""),"",IF(AND(pc&gt;0,oc&gt;0),"Long Buildup",IF(AND(pc&lt;0,oc&gt;0),"Short Buildup",IF(AND(pc&gt;0,oc&lt;0),"Short Covering",IF(AND(pc&lt;0,oc&lt;0),"Long Unwinding","Flat"))))))</f>
        <v/>
      </c>
      <c r="J1107" s="31">
        <f>LET(pc,ABS(F1107),oc,ABS(H1107),IF(OR(pc="",oc=""),"",MAX(1,MIN(5,ROUND((pc*0.5+oc*0.00001)*5,0))))))</f>
        <v/>
      </c>
    </row>
    <row r="1108">
      <c r="A1108" s="31" t="n">
        <v>1106</v>
      </c>
      <c r="B1108" s="31">
        <f>CHAIN_RAW!D1106</f>
        <v/>
      </c>
      <c r="C1108" s="31">
        <f>CHAIN_RAW!A1106</f>
        <v/>
      </c>
      <c r="D1108" s="31">
        <f>CHAIN_RAW!C1106</f>
        <v/>
      </c>
      <c r="E1108" s="31">
        <f>CHAIN_RAW!E1106</f>
        <v/>
      </c>
      <c r="F1108" s="31">
        <f>CHAIN_RAW!F1106</f>
        <v/>
      </c>
      <c r="G1108" s="31">
        <f>CHAIN_RAW!I1106</f>
        <v/>
      </c>
      <c r="H1108" s="31">
        <f>CHAIN_RAW!Q1106</f>
        <v/>
      </c>
      <c r="I1108" s="31">
        <f>LET(pc,F1108,oc,H1108,IF(OR(pc="",oc=""),"",IF(AND(pc&gt;0,oc&gt;0),"Long Buildup",IF(AND(pc&lt;0,oc&gt;0),"Short Buildup",IF(AND(pc&gt;0,oc&lt;0),"Short Covering",IF(AND(pc&lt;0,oc&lt;0),"Long Unwinding","Flat"))))))</f>
        <v/>
      </c>
      <c r="J1108" s="31">
        <f>LET(pc,ABS(F1108),oc,ABS(H1108),IF(OR(pc="",oc=""),"",MAX(1,MIN(5,ROUND((pc*0.5+oc*0.00001)*5,0))))))</f>
        <v/>
      </c>
    </row>
    <row r="1109">
      <c r="A1109" s="31" t="n">
        <v>1107</v>
      </c>
      <c r="B1109" s="31">
        <f>CHAIN_RAW!D1107</f>
        <v/>
      </c>
      <c r="C1109" s="31">
        <f>CHAIN_RAW!A1107</f>
        <v/>
      </c>
      <c r="D1109" s="31">
        <f>CHAIN_RAW!C1107</f>
        <v/>
      </c>
      <c r="E1109" s="31">
        <f>CHAIN_RAW!E1107</f>
        <v/>
      </c>
      <c r="F1109" s="31">
        <f>CHAIN_RAW!F1107</f>
        <v/>
      </c>
      <c r="G1109" s="31">
        <f>CHAIN_RAW!I1107</f>
        <v/>
      </c>
      <c r="H1109" s="31">
        <f>CHAIN_RAW!Q1107</f>
        <v/>
      </c>
      <c r="I1109" s="31">
        <f>LET(pc,F1109,oc,H1109,IF(OR(pc="",oc=""),"",IF(AND(pc&gt;0,oc&gt;0),"Long Buildup",IF(AND(pc&lt;0,oc&gt;0),"Short Buildup",IF(AND(pc&gt;0,oc&lt;0),"Short Covering",IF(AND(pc&lt;0,oc&lt;0),"Long Unwinding","Flat"))))))</f>
        <v/>
      </c>
      <c r="J1109" s="31">
        <f>LET(pc,ABS(F1109),oc,ABS(H1109),IF(OR(pc="",oc=""),"",MAX(1,MIN(5,ROUND((pc*0.5+oc*0.00001)*5,0))))))</f>
        <v/>
      </c>
    </row>
    <row r="1110">
      <c r="A1110" s="31" t="n">
        <v>1108</v>
      </c>
      <c r="B1110" s="31">
        <f>CHAIN_RAW!D1108</f>
        <v/>
      </c>
      <c r="C1110" s="31">
        <f>CHAIN_RAW!A1108</f>
        <v/>
      </c>
      <c r="D1110" s="31">
        <f>CHAIN_RAW!C1108</f>
        <v/>
      </c>
      <c r="E1110" s="31">
        <f>CHAIN_RAW!E1108</f>
        <v/>
      </c>
      <c r="F1110" s="31">
        <f>CHAIN_RAW!F1108</f>
        <v/>
      </c>
      <c r="G1110" s="31">
        <f>CHAIN_RAW!I1108</f>
        <v/>
      </c>
      <c r="H1110" s="31">
        <f>CHAIN_RAW!Q1108</f>
        <v/>
      </c>
      <c r="I1110" s="31">
        <f>LET(pc,F1110,oc,H1110,IF(OR(pc="",oc=""),"",IF(AND(pc&gt;0,oc&gt;0),"Long Buildup",IF(AND(pc&lt;0,oc&gt;0),"Short Buildup",IF(AND(pc&gt;0,oc&lt;0),"Short Covering",IF(AND(pc&lt;0,oc&lt;0),"Long Unwinding","Flat"))))))</f>
        <v/>
      </c>
      <c r="J1110" s="31">
        <f>LET(pc,ABS(F1110),oc,ABS(H1110),IF(OR(pc="",oc=""),"",MAX(1,MIN(5,ROUND((pc*0.5+oc*0.00001)*5,0))))))</f>
        <v/>
      </c>
    </row>
    <row r="1111">
      <c r="A1111" s="31" t="n">
        <v>1109</v>
      </c>
      <c r="B1111" s="31">
        <f>CHAIN_RAW!D1109</f>
        <v/>
      </c>
      <c r="C1111" s="31">
        <f>CHAIN_RAW!A1109</f>
        <v/>
      </c>
      <c r="D1111" s="31">
        <f>CHAIN_RAW!C1109</f>
        <v/>
      </c>
      <c r="E1111" s="31">
        <f>CHAIN_RAW!E1109</f>
        <v/>
      </c>
      <c r="F1111" s="31">
        <f>CHAIN_RAW!F1109</f>
        <v/>
      </c>
      <c r="G1111" s="31">
        <f>CHAIN_RAW!I1109</f>
        <v/>
      </c>
      <c r="H1111" s="31">
        <f>CHAIN_RAW!Q1109</f>
        <v/>
      </c>
      <c r="I1111" s="31">
        <f>LET(pc,F1111,oc,H1111,IF(OR(pc="",oc=""),"",IF(AND(pc&gt;0,oc&gt;0),"Long Buildup",IF(AND(pc&lt;0,oc&gt;0),"Short Buildup",IF(AND(pc&gt;0,oc&lt;0),"Short Covering",IF(AND(pc&lt;0,oc&lt;0),"Long Unwinding","Flat"))))))</f>
        <v/>
      </c>
      <c r="J1111" s="31">
        <f>LET(pc,ABS(F1111),oc,ABS(H1111),IF(OR(pc="",oc=""),"",MAX(1,MIN(5,ROUND((pc*0.5+oc*0.00001)*5,0))))))</f>
        <v/>
      </c>
    </row>
    <row r="1112">
      <c r="A1112" s="31" t="n">
        <v>1110</v>
      </c>
      <c r="B1112" s="31">
        <f>CHAIN_RAW!D1110</f>
        <v/>
      </c>
      <c r="C1112" s="31">
        <f>CHAIN_RAW!A1110</f>
        <v/>
      </c>
      <c r="D1112" s="31">
        <f>CHAIN_RAW!C1110</f>
        <v/>
      </c>
      <c r="E1112" s="31">
        <f>CHAIN_RAW!E1110</f>
        <v/>
      </c>
      <c r="F1112" s="31">
        <f>CHAIN_RAW!F1110</f>
        <v/>
      </c>
      <c r="G1112" s="31">
        <f>CHAIN_RAW!I1110</f>
        <v/>
      </c>
      <c r="H1112" s="31">
        <f>CHAIN_RAW!Q1110</f>
        <v/>
      </c>
      <c r="I1112" s="31">
        <f>LET(pc,F1112,oc,H1112,IF(OR(pc="",oc=""),"",IF(AND(pc&gt;0,oc&gt;0),"Long Buildup",IF(AND(pc&lt;0,oc&gt;0),"Short Buildup",IF(AND(pc&gt;0,oc&lt;0),"Short Covering",IF(AND(pc&lt;0,oc&lt;0),"Long Unwinding","Flat"))))))</f>
        <v/>
      </c>
      <c r="J1112" s="31">
        <f>LET(pc,ABS(F1112),oc,ABS(H1112),IF(OR(pc="",oc=""),"",MAX(1,MIN(5,ROUND((pc*0.5+oc*0.00001)*5,0))))))</f>
        <v/>
      </c>
    </row>
    <row r="1113">
      <c r="A1113" s="31" t="n">
        <v>1111</v>
      </c>
      <c r="B1113" s="31">
        <f>CHAIN_RAW!D1111</f>
        <v/>
      </c>
      <c r="C1113" s="31">
        <f>CHAIN_RAW!A1111</f>
        <v/>
      </c>
      <c r="D1113" s="31">
        <f>CHAIN_RAW!C1111</f>
        <v/>
      </c>
      <c r="E1113" s="31">
        <f>CHAIN_RAW!E1111</f>
        <v/>
      </c>
      <c r="F1113" s="31">
        <f>CHAIN_RAW!F1111</f>
        <v/>
      </c>
      <c r="G1113" s="31">
        <f>CHAIN_RAW!I1111</f>
        <v/>
      </c>
      <c r="H1113" s="31">
        <f>CHAIN_RAW!Q1111</f>
        <v/>
      </c>
      <c r="I1113" s="31">
        <f>LET(pc,F1113,oc,H1113,IF(OR(pc="",oc=""),"",IF(AND(pc&gt;0,oc&gt;0),"Long Buildup",IF(AND(pc&lt;0,oc&gt;0),"Short Buildup",IF(AND(pc&gt;0,oc&lt;0),"Short Covering",IF(AND(pc&lt;0,oc&lt;0),"Long Unwinding","Flat"))))))</f>
        <v/>
      </c>
      <c r="J1113" s="31">
        <f>LET(pc,ABS(F1113),oc,ABS(H1113),IF(OR(pc="",oc=""),"",MAX(1,MIN(5,ROUND((pc*0.5+oc*0.00001)*5,0))))))</f>
        <v/>
      </c>
    </row>
    <row r="1114">
      <c r="A1114" s="31" t="n">
        <v>1112</v>
      </c>
      <c r="B1114" s="31">
        <f>CHAIN_RAW!D1112</f>
        <v/>
      </c>
      <c r="C1114" s="31">
        <f>CHAIN_RAW!A1112</f>
        <v/>
      </c>
      <c r="D1114" s="31">
        <f>CHAIN_RAW!C1112</f>
        <v/>
      </c>
      <c r="E1114" s="31">
        <f>CHAIN_RAW!E1112</f>
        <v/>
      </c>
      <c r="F1114" s="31">
        <f>CHAIN_RAW!F1112</f>
        <v/>
      </c>
      <c r="G1114" s="31">
        <f>CHAIN_RAW!I1112</f>
        <v/>
      </c>
      <c r="H1114" s="31">
        <f>CHAIN_RAW!Q1112</f>
        <v/>
      </c>
      <c r="I1114" s="31">
        <f>LET(pc,F1114,oc,H1114,IF(OR(pc="",oc=""),"",IF(AND(pc&gt;0,oc&gt;0),"Long Buildup",IF(AND(pc&lt;0,oc&gt;0),"Short Buildup",IF(AND(pc&gt;0,oc&lt;0),"Short Covering",IF(AND(pc&lt;0,oc&lt;0),"Long Unwinding","Flat"))))))</f>
        <v/>
      </c>
      <c r="J1114" s="31">
        <f>LET(pc,ABS(F1114),oc,ABS(H1114),IF(OR(pc="",oc=""),"",MAX(1,MIN(5,ROUND((pc*0.5+oc*0.00001)*5,0))))))</f>
        <v/>
      </c>
    </row>
    <row r="1115">
      <c r="A1115" s="31" t="n">
        <v>1113</v>
      </c>
      <c r="B1115" s="31">
        <f>CHAIN_RAW!D1113</f>
        <v/>
      </c>
      <c r="C1115" s="31">
        <f>CHAIN_RAW!A1113</f>
        <v/>
      </c>
      <c r="D1115" s="31">
        <f>CHAIN_RAW!C1113</f>
        <v/>
      </c>
      <c r="E1115" s="31">
        <f>CHAIN_RAW!E1113</f>
        <v/>
      </c>
      <c r="F1115" s="31">
        <f>CHAIN_RAW!F1113</f>
        <v/>
      </c>
      <c r="G1115" s="31">
        <f>CHAIN_RAW!I1113</f>
        <v/>
      </c>
      <c r="H1115" s="31">
        <f>CHAIN_RAW!Q1113</f>
        <v/>
      </c>
      <c r="I1115" s="31">
        <f>LET(pc,F1115,oc,H1115,IF(OR(pc="",oc=""),"",IF(AND(pc&gt;0,oc&gt;0),"Long Buildup",IF(AND(pc&lt;0,oc&gt;0),"Short Buildup",IF(AND(pc&gt;0,oc&lt;0),"Short Covering",IF(AND(pc&lt;0,oc&lt;0),"Long Unwinding","Flat"))))))</f>
        <v/>
      </c>
      <c r="J1115" s="31">
        <f>LET(pc,ABS(F1115),oc,ABS(H1115),IF(OR(pc="",oc=""),"",MAX(1,MIN(5,ROUND((pc*0.5+oc*0.00001)*5,0))))))</f>
        <v/>
      </c>
    </row>
    <row r="1116">
      <c r="A1116" s="31" t="n">
        <v>1114</v>
      </c>
      <c r="B1116" s="31">
        <f>CHAIN_RAW!D1114</f>
        <v/>
      </c>
      <c r="C1116" s="31">
        <f>CHAIN_RAW!A1114</f>
        <v/>
      </c>
      <c r="D1116" s="31">
        <f>CHAIN_RAW!C1114</f>
        <v/>
      </c>
      <c r="E1116" s="31">
        <f>CHAIN_RAW!E1114</f>
        <v/>
      </c>
      <c r="F1116" s="31">
        <f>CHAIN_RAW!F1114</f>
        <v/>
      </c>
      <c r="G1116" s="31">
        <f>CHAIN_RAW!I1114</f>
        <v/>
      </c>
      <c r="H1116" s="31">
        <f>CHAIN_RAW!Q1114</f>
        <v/>
      </c>
      <c r="I1116" s="31">
        <f>LET(pc,F1116,oc,H1116,IF(OR(pc="",oc=""),"",IF(AND(pc&gt;0,oc&gt;0),"Long Buildup",IF(AND(pc&lt;0,oc&gt;0),"Short Buildup",IF(AND(pc&gt;0,oc&lt;0),"Short Covering",IF(AND(pc&lt;0,oc&lt;0),"Long Unwinding","Flat"))))))</f>
        <v/>
      </c>
      <c r="J1116" s="31">
        <f>LET(pc,ABS(F1116),oc,ABS(H1116),IF(OR(pc="",oc=""),"",MAX(1,MIN(5,ROUND((pc*0.5+oc*0.00001)*5,0))))))</f>
        <v/>
      </c>
    </row>
    <row r="1117">
      <c r="A1117" s="31" t="n">
        <v>1115</v>
      </c>
      <c r="B1117" s="31">
        <f>CHAIN_RAW!D1115</f>
        <v/>
      </c>
      <c r="C1117" s="31">
        <f>CHAIN_RAW!A1115</f>
        <v/>
      </c>
      <c r="D1117" s="31">
        <f>CHAIN_RAW!C1115</f>
        <v/>
      </c>
      <c r="E1117" s="31">
        <f>CHAIN_RAW!E1115</f>
        <v/>
      </c>
      <c r="F1117" s="31">
        <f>CHAIN_RAW!F1115</f>
        <v/>
      </c>
      <c r="G1117" s="31">
        <f>CHAIN_RAW!I1115</f>
        <v/>
      </c>
      <c r="H1117" s="31">
        <f>CHAIN_RAW!Q1115</f>
        <v/>
      </c>
      <c r="I1117" s="31">
        <f>LET(pc,F1117,oc,H1117,IF(OR(pc="",oc=""),"",IF(AND(pc&gt;0,oc&gt;0),"Long Buildup",IF(AND(pc&lt;0,oc&gt;0),"Short Buildup",IF(AND(pc&gt;0,oc&lt;0),"Short Covering",IF(AND(pc&lt;0,oc&lt;0),"Long Unwinding","Flat"))))))</f>
        <v/>
      </c>
      <c r="J1117" s="31">
        <f>LET(pc,ABS(F1117),oc,ABS(H1117),IF(OR(pc="",oc=""),"",MAX(1,MIN(5,ROUND((pc*0.5+oc*0.00001)*5,0))))))</f>
        <v/>
      </c>
    </row>
    <row r="1118">
      <c r="A1118" s="31" t="n">
        <v>1116</v>
      </c>
      <c r="B1118" s="31">
        <f>CHAIN_RAW!D1116</f>
        <v/>
      </c>
      <c r="C1118" s="31">
        <f>CHAIN_RAW!A1116</f>
        <v/>
      </c>
      <c r="D1118" s="31">
        <f>CHAIN_RAW!C1116</f>
        <v/>
      </c>
      <c r="E1118" s="31">
        <f>CHAIN_RAW!E1116</f>
        <v/>
      </c>
      <c r="F1118" s="31">
        <f>CHAIN_RAW!F1116</f>
        <v/>
      </c>
      <c r="G1118" s="31">
        <f>CHAIN_RAW!I1116</f>
        <v/>
      </c>
      <c r="H1118" s="31">
        <f>CHAIN_RAW!Q1116</f>
        <v/>
      </c>
      <c r="I1118" s="31">
        <f>LET(pc,F1118,oc,H1118,IF(OR(pc="",oc=""),"",IF(AND(pc&gt;0,oc&gt;0),"Long Buildup",IF(AND(pc&lt;0,oc&gt;0),"Short Buildup",IF(AND(pc&gt;0,oc&lt;0),"Short Covering",IF(AND(pc&lt;0,oc&lt;0),"Long Unwinding","Flat"))))))</f>
        <v/>
      </c>
      <c r="J1118" s="31">
        <f>LET(pc,ABS(F1118),oc,ABS(H1118),IF(OR(pc="",oc=""),"",MAX(1,MIN(5,ROUND((pc*0.5+oc*0.00001)*5,0))))))</f>
        <v/>
      </c>
    </row>
    <row r="1119">
      <c r="A1119" s="31" t="n">
        <v>1117</v>
      </c>
      <c r="B1119" s="31">
        <f>CHAIN_RAW!D1117</f>
        <v/>
      </c>
      <c r="C1119" s="31">
        <f>CHAIN_RAW!A1117</f>
        <v/>
      </c>
      <c r="D1119" s="31">
        <f>CHAIN_RAW!C1117</f>
        <v/>
      </c>
      <c r="E1119" s="31">
        <f>CHAIN_RAW!E1117</f>
        <v/>
      </c>
      <c r="F1119" s="31">
        <f>CHAIN_RAW!F1117</f>
        <v/>
      </c>
      <c r="G1119" s="31">
        <f>CHAIN_RAW!I1117</f>
        <v/>
      </c>
      <c r="H1119" s="31">
        <f>CHAIN_RAW!Q1117</f>
        <v/>
      </c>
      <c r="I1119" s="31">
        <f>LET(pc,F1119,oc,H1119,IF(OR(pc="",oc=""),"",IF(AND(pc&gt;0,oc&gt;0),"Long Buildup",IF(AND(pc&lt;0,oc&gt;0),"Short Buildup",IF(AND(pc&gt;0,oc&lt;0),"Short Covering",IF(AND(pc&lt;0,oc&lt;0),"Long Unwinding","Flat"))))))</f>
        <v/>
      </c>
      <c r="J1119" s="31">
        <f>LET(pc,ABS(F1119),oc,ABS(H1119),IF(OR(pc="",oc=""),"",MAX(1,MIN(5,ROUND((pc*0.5+oc*0.00001)*5,0))))))</f>
        <v/>
      </c>
    </row>
    <row r="1120">
      <c r="A1120" s="31" t="n">
        <v>1118</v>
      </c>
      <c r="B1120" s="31">
        <f>CHAIN_RAW!D1118</f>
        <v/>
      </c>
      <c r="C1120" s="31">
        <f>CHAIN_RAW!A1118</f>
        <v/>
      </c>
      <c r="D1120" s="31">
        <f>CHAIN_RAW!C1118</f>
        <v/>
      </c>
      <c r="E1120" s="31">
        <f>CHAIN_RAW!E1118</f>
        <v/>
      </c>
      <c r="F1120" s="31">
        <f>CHAIN_RAW!F1118</f>
        <v/>
      </c>
      <c r="G1120" s="31">
        <f>CHAIN_RAW!I1118</f>
        <v/>
      </c>
      <c r="H1120" s="31">
        <f>CHAIN_RAW!Q1118</f>
        <v/>
      </c>
      <c r="I1120" s="31">
        <f>LET(pc,F1120,oc,H1120,IF(OR(pc="",oc=""),"",IF(AND(pc&gt;0,oc&gt;0),"Long Buildup",IF(AND(pc&lt;0,oc&gt;0),"Short Buildup",IF(AND(pc&gt;0,oc&lt;0),"Short Covering",IF(AND(pc&lt;0,oc&lt;0),"Long Unwinding","Flat"))))))</f>
        <v/>
      </c>
      <c r="J1120" s="31">
        <f>LET(pc,ABS(F1120),oc,ABS(H1120),IF(OR(pc="",oc=""),"",MAX(1,MIN(5,ROUND((pc*0.5+oc*0.00001)*5,0))))))</f>
        <v/>
      </c>
    </row>
    <row r="1121">
      <c r="A1121" s="31" t="n">
        <v>1119</v>
      </c>
      <c r="B1121" s="31">
        <f>CHAIN_RAW!D1119</f>
        <v/>
      </c>
      <c r="C1121" s="31">
        <f>CHAIN_RAW!A1119</f>
        <v/>
      </c>
      <c r="D1121" s="31">
        <f>CHAIN_RAW!C1119</f>
        <v/>
      </c>
      <c r="E1121" s="31">
        <f>CHAIN_RAW!E1119</f>
        <v/>
      </c>
      <c r="F1121" s="31">
        <f>CHAIN_RAW!F1119</f>
        <v/>
      </c>
      <c r="G1121" s="31">
        <f>CHAIN_RAW!I1119</f>
        <v/>
      </c>
      <c r="H1121" s="31">
        <f>CHAIN_RAW!Q1119</f>
        <v/>
      </c>
      <c r="I1121" s="31">
        <f>LET(pc,F1121,oc,H1121,IF(OR(pc="",oc=""),"",IF(AND(pc&gt;0,oc&gt;0),"Long Buildup",IF(AND(pc&lt;0,oc&gt;0),"Short Buildup",IF(AND(pc&gt;0,oc&lt;0),"Short Covering",IF(AND(pc&lt;0,oc&lt;0),"Long Unwinding","Flat"))))))</f>
        <v/>
      </c>
      <c r="J1121" s="31">
        <f>LET(pc,ABS(F1121),oc,ABS(H1121),IF(OR(pc="",oc=""),"",MAX(1,MIN(5,ROUND((pc*0.5+oc*0.00001)*5,0))))))</f>
        <v/>
      </c>
    </row>
    <row r="1122">
      <c r="A1122" s="31" t="n">
        <v>1120</v>
      </c>
      <c r="B1122" s="31">
        <f>CHAIN_RAW!D1120</f>
        <v/>
      </c>
      <c r="C1122" s="31">
        <f>CHAIN_RAW!A1120</f>
        <v/>
      </c>
      <c r="D1122" s="31">
        <f>CHAIN_RAW!C1120</f>
        <v/>
      </c>
      <c r="E1122" s="31">
        <f>CHAIN_RAW!E1120</f>
        <v/>
      </c>
      <c r="F1122" s="31">
        <f>CHAIN_RAW!F1120</f>
        <v/>
      </c>
      <c r="G1122" s="31">
        <f>CHAIN_RAW!I1120</f>
        <v/>
      </c>
      <c r="H1122" s="31">
        <f>CHAIN_RAW!Q1120</f>
        <v/>
      </c>
      <c r="I1122" s="31">
        <f>LET(pc,F1122,oc,H1122,IF(OR(pc="",oc=""),"",IF(AND(pc&gt;0,oc&gt;0),"Long Buildup",IF(AND(pc&lt;0,oc&gt;0),"Short Buildup",IF(AND(pc&gt;0,oc&lt;0),"Short Covering",IF(AND(pc&lt;0,oc&lt;0),"Long Unwinding","Flat"))))))</f>
        <v/>
      </c>
      <c r="J1122" s="31">
        <f>LET(pc,ABS(F1122),oc,ABS(H1122),IF(OR(pc="",oc=""),"",MAX(1,MIN(5,ROUND((pc*0.5+oc*0.00001)*5,0))))))</f>
        <v/>
      </c>
    </row>
    <row r="1123">
      <c r="A1123" s="31" t="n">
        <v>1121</v>
      </c>
      <c r="B1123" s="31">
        <f>CHAIN_RAW!D1121</f>
        <v/>
      </c>
      <c r="C1123" s="31">
        <f>CHAIN_RAW!A1121</f>
        <v/>
      </c>
      <c r="D1123" s="31">
        <f>CHAIN_RAW!C1121</f>
        <v/>
      </c>
      <c r="E1123" s="31">
        <f>CHAIN_RAW!E1121</f>
        <v/>
      </c>
      <c r="F1123" s="31">
        <f>CHAIN_RAW!F1121</f>
        <v/>
      </c>
      <c r="G1123" s="31">
        <f>CHAIN_RAW!I1121</f>
        <v/>
      </c>
      <c r="H1123" s="31">
        <f>CHAIN_RAW!Q1121</f>
        <v/>
      </c>
      <c r="I1123" s="31">
        <f>LET(pc,F1123,oc,H1123,IF(OR(pc="",oc=""),"",IF(AND(pc&gt;0,oc&gt;0),"Long Buildup",IF(AND(pc&lt;0,oc&gt;0),"Short Buildup",IF(AND(pc&gt;0,oc&lt;0),"Short Covering",IF(AND(pc&lt;0,oc&lt;0),"Long Unwinding","Flat"))))))</f>
        <v/>
      </c>
      <c r="J1123" s="31">
        <f>LET(pc,ABS(F1123),oc,ABS(H1123),IF(OR(pc="",oc=""),"",MAX(1,MIN(5,ROUND((pc*0.5+oc*0.00001)*5,0))))))</f>
        <v/>
      </c>
    </row>
    <row r="1124">
      <c r="A1124" s="31" t="n">
        <v>1122</v>
      </c>
      <c r="B1124" s="31">
        <f>CHAIN_RAW!D1122</f>
        <v/>
      </c>
      <c r="C1124" s="31">
        <f>CHAIN_RAW!A1122</f>
        <v/>
      </c>
      <c r="D1124" s="31">
        <f>CHAIN_RAW!C1122</f>
        <v/>
      </c>
      <c r="E1124" s="31">
        <f>CHAIN_RAW!E1122</f>
        <v/>
      </c>
      <c r="F1124" s="31">
        <f>CHAIN_RAW!F1122</f>
        <v/>
      </c>
      <c r="G1124" s="31">
        <f>CHAIN_RAW!I1122</f>
        <v/>
      </c>
      <c r="H1124" s="31">
        <f>CHAIN_RAW!Q1122</f>
        <v/>
      </c>
      <c r="I1124" s="31">
        <f>LET(pc,F1124,oc,H1124,IF(OR(pc="",oc=""),"",IF(AND(pc&gt;0,oc&gt;0),"Long Buildup",IF(AND(pc&lt;0,oc&gt;0),"Short Buildup",IF(AND(pc&gt;0,oc&lt;0),"Short Covering",IF(AND(pc&lt;0,oc&lt;0),"Long Unwinding","Flat"))))))</f>
        <v/>
      </c>
      <c r="J1124" s="31">
        <f>LET(pc,ABS(F1124),oc,ABS(H1124),IF(OR(pc="",oc=""),"",MAX(1,MIN(5,ROUND((pc*0.5+oc*0.00001)*5,0))))))</f>
        <v/>
      </c>
    </row>
    <row r="1125">
      <c r="A1125" s="31" t="n">
        <v>1123</v>
      </c>
      <c r="B1125" s="31">
        <f>CHAIN_RAW!D1123</f>
        <v/>
      </c>
      <c r="C1125" s="31">
        <f>CHAIN_RAW!A1123</f>
        <v/>
      </c>
      <c r="D1125" s="31">
        <f>CHAIN_RAW!C1123</f>
        <v/>
      </c>
      <c r="E1125" s="31">
        <f>CHAIN_RAW!E1123</f>
        <v/>
      </c>
      <c r="F1125" s="31">
        <f>CHAIN_RAW!F1123</f>
        <v/>
      </c>
      <c r="G1125" s="31">
        <f>CHAIN_RAW!I1123</f>
        <v/>
      </c>
      <c r="H1125" s="31">
        <f>CHAIN_RAW!Q1123</f>
        <v/>
      </c>
      <c r="I1125" s="31">
        <f>LET(pc,F1125,oc,H1125,IF(OR(pc="",oc=""),"",IF(AND(pc&gt;0,oc&gt;0),"Long Buildup",IF(AND(pc&lt;0,oc&gt;0),"Short Buildup",IF(AND(pc&gt;0,oc&lt;0),"Short Covering",IF(AND(pc&lt;0,oc&lt;0),"Long Unwinding","Flat"))))))</f>
        <v/>
      </c>
      <c r="J1125" s="31">
        <f>LET(pc,ABS(F1125),oc,ABS(H1125),IF(OR(pc="",oc=""),"",MAX(1,MIN(5,ROUND((pc*0.5+oc*0.00001)*5,0))))))</f>
        <v/>
      </c>
    </row>
    <row r="1126">
      <c r="A1126" s="31" t="n">
        <v>1124</v>
      </c>
      <c r="B1126" s="31">
        <f>CHAIN_RAW!D1124</f>
        <v/>
      </c>
      <c r="C1126" s="31">
        <f>CHAIN_RAW!A1124</f>
        <v/>
      </c>
      <c r="D1126" s="31">
        <f>CHAIN_RAW!C1124</f>
        <v/>
      </c>
      <c r="E1126" s="31">
        <f>CHAIN_RAW!E1124</f>
        <v/>
      </c>
      <c r="F1126" s="31">
        <f>CHAIN_RAW!F1124</f>
        <v/>
      </c>
      <c r="G1126" s="31">
        <f>CHAIN_RAW!I1124</f>
        <v/>
      </c>
      <c r="H1126" s="31">
        <f>CHAIN_RAW!Q1124</f>
        <v/>
      </c>
      <c r="I1126" s="31">
        <f>LET(pc,F1126,oc,H1126,IF(OR(pc="",oc=""),"",IF(AND(pc&gt;0,oc&gt;0),"Long Buildup",IF(AND(pc&lt;0,oc&gt;0),"Short Buildup",IF(AND(pc&gt;0,oc&lt;0),"Short Covering",IF(AND(pc&lt;0,oc&lt;0),"Long Unwinding","Flat"))))))</f>
        <v/>
      </c>
      <c r="J1126" s="31">
        <f>LET(pc,ABS(F1126),oc,ABS(H1126),IF(OR(pc="",oc=""),"",MAX(1,MIN(5,ROUND((pc*0.5+oc*0.00001)*5,0))))))</f>
        <v/>
      </c>
    </row>
    <row r="1127">
      <c r="A1127" s="31" t="n">
        <v>1125</v>
      </c>
      <c r="B1127" s="31">
        <f>CHAIN_RAW!D1125</f>
        <v/>
      </c>
      <c r="C1127" s="31">
        <f>CHAIN_RAW!A1125</f>
        <v/>
      </c>
      <c r="D1127" s="31">
        <f>CHAIN_RAW!C1125</f>
        <v/>
      </c>
      <c r="E1127" s="31">
        <f>CHAIN_RAW!E1125</f>
        <v/>
      </c>
      <c r="F1127" s="31">
        <f>CHAIN_RAW!F1125</f>
        <v/>
      </c>
      <c r="G1127" s="31">
        <f>CHAIN_RAW!I1125</f>
        <v/>
      </c>
      <c r="H1127" s="31">
        <f>CHAIN_RAW!Q1125</f>
        <v/>
      </c>
      <c r="I1127" s="31">
        <f>LET(pc,F1127,oc,H1127,IF(OR(pc="",oc=""),"",IF(AND(pc&gt;0,oc&gt;0),"Long Buildup",IF(AND(pc&lt;0,oc&gt;0),"Short Buildup",IF(AND(pc&gt;0,oc&lt;0),"Short Covering",IF(AND(pc&lt;0,oc&lt;0),"Long Unwinding","Flat"))))))</f>
        <v/>
      </c>
      <c r="J1127" s="31">
        <f>LET(pc,ABS(F1127),oc,ABS(H1127),IF(OR(pc="",oc=""),"",MAX(1,MIN(5,ROUND((pc*0.5+oc*0.00001)*5,0))))))</f>
        <v/>
      </c>
    </row>
    <row r="1128">
      <c r="A1128" s="31" t="n">
        <v>1126</v>
      </c>
      <c r="B1128" s="31">
        <f>CHAIN_RAW!D1126</f>
        <v/>
      </c>
      <c r="C1128" s="31">
        <f>CHAIN_RAW!A1126</f>
        <v/>
      </c>
      <c r="D1128" s="31">
        <f>CHAIN_RAW!C1126</f>
        <v/>
      </c>
      <c r="E1128" s="31">
        <f>CHAIN_RAW!E1126</f>
        <v/>
      </c>
      <c r="F1128" s="31">
        <f>CHAIN_RAW!F1126</f>
        <v/>
      </c>
      <c r="G1128" s="31">
        <f>CHAIN_RAW!I1126</f>
        <v/>
      </c>
      <c r="H1128" s="31">
        <f>CHAIN_RAW!Q1126</f>
        <v/>
      </c>
      <c r="I1128" s="31">
        <f>LET(pc,F1128,oc,H1128,IF(OR(pc="",oc=""),"",IF(AND(pc&gt;0,oc&gt;0),"Long Buildup",IF(AND(pc&lt;0,oc&gt;0),"Short Buildup",IF(AND(pc&gt;0,oc&lt;0),"Short Covering",IF(AND(pc&lt;0,oc&lt;0),"Long Unwinding","Flat"))))))</f>
        <v/>
      </c>
      <c r="J1128" s="31">
        <f>LET(pc,ABS(F1128),oc,ABS(H1128),IF(OR(pc="",oc=""),"",MAX(1,MIN(5,ROUND((pc*0.5+oc*0.00001)*5,0))))))</f>
        <v/>
      </c>
    </row>
    <row r="1129">
      <c r="A1129" s="31" t="n">
        <v>1127</v>
      </c>
      <c r="B1129" s="31">
        <f>CHAIN_RAW!D1127</f>
        <v/>
      </c>
      <c r="C1129" s="31">
        <f>CHAIN_RAW!A1127</f>
        <v/>
      </c>
      <c r="D1129" s="31">
        <f>CHAIN_RAW!C1127</f>
        <v/>
      </c>
      <c r="E1129" s="31">
        <f>CHAIN_RAW!E1127</f>
        <v/>
      </c>
      <c r="F1129" s="31">
        <f>CHAIN_RAW!F1127</f>
        <v/>
      </c>
      <c r="G1129" s="31">
        <f>CHAIN_RAW!I1127</f>
        <v/>
      </c>
      <c r="H1129" s="31">
        <f>CHAIN_RAW!Q1127</f>
        <v/>
      </c>
      <c r="I1129" s="31">
        <f>LET(pc,F1129,oc,H1129,IF(OR(pc="",oc=""),"",IF(AND(pc&gt;0,oc&gt;0),"Long Buildup",IF(AND(pc&lt;0,oc&gt;0),"Short Buildup",IF(AND(pc&gt;0,oc&lt;0),"Short Covering",IF(AND(pc&lt;0,oc&lt;0),"Long Unwinding","Flat"))))))</f>
        <v/>
      </c>
      <c r="J1129" s="31">
        <f>LET(pc,ABS(F1129),oc,ABS(H1129),IF(OR(pc="",oc=""),"",MAX(1,MIN(5,ROUND((pc*0.5+oc*0.00001)*5,0))))))</f>
        <v/>
      </c>
    </row>
    <row r="1130">
      <c r="A1130" s="31" t="n">
        <v>1128</v>
      </c>
      <c r="B1130" s="31">
        <f>CHAIN_RAW!D1128</f>
        <v/>
      </c>
      <c r="C1130" s="31">
        <f>CHAIN_RAW!A1128</f>
        <v/>
      </c>
      <c r="D1130" s="31">
        <f>CHAIN_RAW!C1128</f>
        <v/>
      </c>
      <c r="E1130" s="31">
        <f>CHAIN_RAW!E1128</f>
        <v/>
      </c>
      <c r="F1130" s="31">
        <f>CHAIN_RAW!F1128</f>
        <v/>
      </c>
      <c r="G1130" s="31">
        <f>CHAIN_RAW!I1128</f>
        <v/>
      </c>
      <c r="H1130" s="31">
        <f>CHAIN_RAW!Q1128</f>
        <v/>
      </c>
      <c r="I1130" s="31">
        <f>LET(pc,F1130,oc,H1130,IF(OR(pc="",oc=""),"",IF(AND(pc&gt;0,oc&gt;0),"Long Buildup",IF(AND(pc&lt;0,oc&gt;0),"Short Buildup",IF(AND(pc&gt;0,oc&lt;0),"Short Covering",IF(AND(pc&lt;0,oc&lt;0),"Long Unwinding","Flat"))))))</f>
        <v/>
      </c>
      <c r="J1130" s="31">
        <f>LET(pc,ABS(F1130),oc,ABS(H1130),IF(OR(pc="",oc=""),"",MAX(1,MIN(5,ROUND((pc*0.5+oc*0.00001)*5,0))))))</f>
        <v/>
      </c>
    </row>
    <row r="1131">
      <c r="A1131" s="31" t="n">
        <v>1129</v>
      </c>
      <c r="B1131" s="31">
        <f>CHAIN_RAW!D1129</f>
        <v/>
      </c>
      <c r="C1131" s="31">
        <f>CHAIN_RAW!A1129</f>
        <v/>
      </c>
      <c r="D1131" s="31">
        <f>CHAIN_RAW!C1129</f>
        <v/>
      </c>
      <c r="E1131" s="31">
        <f>CHAIN_RAW!E1129</f>
        <v/>
      </c>
      <c r="F1131" s="31">
        <f>CHAIN_RAW!F1129</f>
        <v/>
      </c>
      <c r="G1131" s="31">
        <f>CHAIN_RAW!I1129</f>
        <v/>
      </c>
      <c r="H1131" s="31">
        <f>CHAIN_RAW!Q1129</f>
        <v/>
      </c>
      <c r="I1131" s="31">
        <f>LET(pc,F1131,oc,H1131,IF(OR(pc="",oc=""),"",IF(AND(pc&gt;0,oc&gt;0),"Long Buildup",IF(AND(pc&lt;0,oc&gt;0),"Short Buildup",IF(AND(pc&gt;0,oc&lt;0),"Short Covering",IF(AND(pc&lt;0,oc&lt;0),"Long Unwinding","Flat"))))))</f>
        <v/>
      </c>
      <c r="J1131" s="31">
        <f>LET(pc,ABS(F1131),oc,ABS(H1131),IF(OR(pc="",oc=""),"",MAX(1,MIN(5,ROUND((pc*0.5+oc*0.00001)*5,0))))))</f>
        <v/>
      </c>
    </row>
    <row r="1132">
      <c r="A1132" s="31" t="n">
        <v>1130</v>
      </c>
      <c r="B1132" s="31">
        <f>CHAIN_RAW!D1130</f>
        <v/>
      </c>
      <c r="C1132" s="31">
        <f>CHAIN_RAW!A1130</f>
        <v/>
      </c>
      <c r="D1132" s="31">
        <f>CHAIN_RAW!C1130</f>
        <v/>
      </c>
      <c r="E1132" s="31">
        <f>CHAIN_RAW!E1130</f>
        <v/>
      </c>
      <c r="F1132" s="31">
        <f>CHAIN_RAW!F1130</f>
        <v/>
      </c>
      <c r="G1132" s="31">
        <f>CHAIN_RAW!I1130</f>
        <v/>
      </c>
      <c r="H1132" s="31">
        <f>CHAIN_RAW!Q1130</f>
        <v/>
      </c>
      <c r="I1132" s="31">
        <f>LET(pc,F1132,oc,H1132,IF(OR(pc="",oc=""),"",IF(AND(pc&gt;0,oc&gt;0),"Long Buildup",IF(AND(pc&lt;0,oc&gt;0),"Short Buildup",IF(AND(pc&gt;0,oc&lt;0),"Short Covering",IF(AND(pc&lt;0,oc&lt;0),"Long Unwinding","Flat"))))))</f>
        <v/>
      </c>
      <c r="J1132" s="31">
        <f>LET(pc,ABS(F1132),oc,ABS(H1132),IF(OR(pc="",oc=""),"",MAX(1,MIN(5,ROUND((pc*0.5+oc*0.00001)*5,0))))))</f>
        <v/>
      </c>
    </row>
    <row r="1133">
      <c r="A1133" s="31" t="n">
        <v>1131</v>
      </c>
      <c r="B1133" s="31">
        <f>CHAIN_RAW!D1131</f>
        <v/>
      </c>
      <c r="C1133" s="31">
        <f>CHAIN_RAW!A1131</f>
        <v/>
      </c>
      <c r="D1133" s="31">
        <f>CHAIN_RAW!C1131</f>
        <v/>
      </c>
      <c r="E1133" s="31">
        <f>CHAIN_RAW!E1131</f>
        <v/>
      </c>
      <c r="F1133" s="31">
        <f>CHAIN_RAW!F1131</f>
        <v/>
      </c>
      <c r="G1133" s="31">
        <f>CHAIN_RAW!I1131</f>
        <v/>
      </c>
      <c r="H1133" s="31">
        <f>CHAIN_RAW!Q1131</f>
        <v/>
      </c>
      <c r="I1133" s="31">
        <f>LET(pc,F1133,oc,H1133,IF(OR(pc="",oc=""),"",IF(AND(pc&gt;0,oc&gt;0),"Long Buildup",IF(AND(pc&lt;0,oc&gt;0),"Short Buildup",IF(AND(pc&gt;0,oc&lt;0),"Short Covering",IF(AND(pc&lt;0,oc&lt;0),"Long Unwinding","Flat"))))))</f>
        <v/>
      </c>
      <c r="J1133" s="31">
        <f>LET(pc,ABS(F1133),oc,ABS(H1133),IF(OR(pc="",oc=""),"",MAX(1,MIN(5,ROUND((pc*0.5+oc*0.00001)*5,0))))))</f>
        <v/>
      </c>
    </row>
    <row r="1134">
      <c r="A1134" s="31" t="n">
        <v>1132</v>
      </c>
      <c r="B1134" s="31">
        <f>CHAIN_RAW!D1132</f>
        <v/>
      </c>
      <c r="C1134" s="31">
        <f>CHAIN_RAW!A1132</f>
        <v/>
      </c>
      <c r="D1134" s="31">
        <f>CHAIN_RAW!C1132</f>
        <v/>
      </c>
      <c r="E1134" s="31">
        <f>CHAIN_RAW!E1132</f>
        <v/>
      </c>
      <c r="F1134" s="31">
        <f>CHAIN_RAW!F1132</f>
        <v/>
      </c>
      <c r="G1134" s="31">
        <f>CHAIN_RAW!I1132</f>
        <v/>
      </c>
      <c r="H1134" s="31">
        <f>CHAIN_RAW!Q1132</f>
        <v/>
      </c>
      <c r="I1134" s="31">
        <f>LET(pc,F1134,oc,H1134,IF(OR(pc="",oc=""),"",IF(AND(pc&gt;0,oc&gt;0),"Long Buildup",IF(AND(pc&lt;0,oc&gt;0),"Short Buildup",IF(AND(pc&gt;0,oc&lt;0),"Short Covering",IF(AND(pc&lt;0,oc&lt;0),"Long Unwinding","Flat"))))))</f>
        <v/>
      </c>
      <c r="J1134" s="31">
        <f>LET(pc,ABS(F1134),oc,ABS(H1134),IF(OR(pc="",oc=""),"",MAX(1,MIN(5,ROUND((pc*0.5+oc*0.00001)*5,0))))))</f>
        <v/>
      </c>
    </row>
    <row r="1135">
      <c r="A1135" s="31" t="n">
        <v>1133</v>
      </c>
      <c r="B1135" s="31">
        <f>CHAIN_RAW!D1133</f>
        <v/>
      </c>
      <c r="C1135" s="31">
        <f>CHAIN_RAW!A1133</f>
        <v/>
      </c>
      <c r="D1135" s="31">
        <f>CHAIN_RAW!C1133</f>
        <v/>
      </c>
      <c r="E1135" s="31">
        <f>CHAIN_RAW!E1133</f>
        <v/>
      </c>
      <c r="F1135" s="31">
        <f>CHAIN_RAW!F1133</f>
        <v/>
      </c>
      <c r="G1135" s="31">
        <f>CHAIN_RAW!I1133</f>
        <v/>
      </c>
      <c r="H1135" s="31">
        <f>CHAIN_RAW!Q1133</f>
        <v/>
      </c>
      <c r="I1135" s="31">
        <f>LET(pc,F1135,oc,H1135,IF(OR(pc="",oc=""),"",IF(AND(pc&gt;0,oc&gt;0),"Long Buildup",IF(AND(pc&lt;0,oc&gt;0),"Short Buildup",IF(AND(pc&gt;0,oc&lt;0),"Short Covering",IF(AND(pc&lt;0,oc&lt;0),"Long Unwinding","Flat"))))))</f>
        <v/>
      </c>
      <c r="J1135" s="31">
        <f>LET(pc,ABS(F1135),oc,ABS(H1135),IF(OR(pc="",oc=""),"",MAX(1,MIN(5,ROUND((pc*0.5+oc*0.00001)*5,0))))))</f>
        <v/>
      </c>
    </row>
    <row r="1136">
      <c r="A1136" s="31" t="n">
        <v>1134</v>
      </c>
      <c r="B1136" s="31">
        <f>CHAIN_RAW!D1134</f>
        <v/>
      </c>
      <c r="C1136" s="31">
        <f>CHAIN_RAW!A1134</f>
        <v/>
      </c>
      <c r="D1136" s="31">
        <f>CHAIN_RAW!C1134</f>
        <v/>
      </c>
      <c r="E1136" s="31">
        <f>CHAIN_RAW!E1134</f>
        <v/>
      </c>
      <c r="F1136" s="31">
        <f>CHAIN_RAW!F1134</f>
        <v/>
      </c>
      <c r="G1136" s="31">
        <f>CHAIN_RAW!I1134</f>
        <v/>
      </c>
      <c r="H1136" s="31">
        <f>CHAIN_RAW!Q1134</f>
        <v/>
      </c>
      <c r="I1136" s="31">
        <f>LET(pc,F1136,oc,H1136,IF(OR(pc="",oc=""),"",IF(AND(pc&gt;0,oc&gt;0),"Long Buildup",IF(AND(pc&lt;0,oc&gt;0),"Short Buildup",IF(AND(pc&gt;0,oc&lt;0),"Short Covering",IF(AND(pc&lt;0,oc&lt;0),"Long Unwinding","Flat"))))))</f>
        <v/>
      </c>
      <c r="J1136" s="31">
        <f>LET(pc,ABS(F1136),oc,ABS(H1136),IF(OR(pc="",oc=""),"",MAX(1,MIN(5,ROUND((pc*0.5+oc*0.00001)*5,0))))))</f>
        <v/>
      </c>
    </row>
    <row r="1137">
      <c r="A1137" s="31" t="n">
        <v>1135</v>
      </c>
      <c r="B1137" s="31">
        <f>CHAIN_RAW!D1135</f>
        <v/>
      </c>
      <c r="C1137" s="31">
        <f>CHAIN_RAW!A1135</f>
        <v/>
      </c>
      <c r="D1137" s="31">
        <f>CHAIN_RAW!C1135</f>
        <v/>
      </c>
      <c r="E1137" s="31">
        <f>CHAIN_RAW!E1135</f>
        <v/>
      </c>
      <c r="F1137" s="31">
        <f>CHAIN_RAW!F1135</f>
        <v/>
      </c>
      <c r="G1137" s="31">
        <f>CHAIN_RAW!I1135</f>
        <v/>
      </c>
      <c r="H1137" s="31">
        <f>CHAIN_RAW!Q1135</f>
        <v/>
      </c>
      <c r="I1137" s="31">
        <f>LET(pc,F1137,oc,H1137,IF(OR(pc="",oc=""),"",IF(AND(pc&gt;0,oc&gt;0),"Long Buildup",IF(AND(pc&lt;0,oc&gt;0),"Short Buildup",IF(AND(pc&gt;0,oc&lt;0),"Short Covering",IF(AND(pc&lt;0,oc&lt;0),"Long Unwinding","Flat"))))))</f>
        <v/>
      </c>
      <c r="J1137" s="31">
        <f>LET(pc,ABS(F1137),oc,ABS(H1137),IF(OR(pc="",oc=""),"",MAX(1,MIN(5,ROUND((pc*0.5+oc*0.00001)*5,0))))))</f>
        <v/>
      </c>
    </row>
    <row r="1138">
      <c r="A1138" s="31" t="n">
        <v>1136</v>
      </c>
      <c r="B1138" s="31">
        <f>CHAIN_RAW!D1136</f>
        <v/>
      </c>
      <c r="C1138" s="31">
        <f>CHAIN_RAW!A1136</f>
        <v/>
      </c>
      <c r="D1138" s="31">
        <f>CHAIN_RAW!C1136</f>
        <v/>
      </c>
      <c r="E1138" s="31">
        <f>CHAIN_RAW!E1136</f>
        <v/>
      </c>
      <c r="F1138" s="31">
        <f>CHAIN_RAW!F1136</f>
        <v/>
      </c>
      <c r="G1138" s="31">
        <f>CHAIN_RAW!I1136</f>
        <v/>
      </c>
      <c r="H1138" s="31">
        <f>CHAIN_RAW!Q1136</f>
        <v/>
      </c>
      <c r="I1138" s="31">
        <f>LET(pc,F1138,oc,H1138,IF(OR(pc="",oc=""),"",IF(AND(pc&gt;0,oc&gt;0),"Long Buildup",IF(AND(pc&lt;0,oc&gt;0),"Short Buildup",IF(AND(pc&gt;0,oc&lt;0),"Short Covering",IF(AND(pc&lt;0,oc&lt;0),"Long Unwinding","Flat"))))))</f>
        <v/>
      </c>
      <c r="J1138" s="31">
        <f>LET(pc,ABS(F1138),oc,ABS(H1138),IF(OR(pc="",oc=""),"",MAX(1,MIN(5,ROUND((pc*0.5+oc*0.00001)*5,0))))))</f>
        <v/>
      </c>
    </row>
    <row r="1139">
      <c r="A1139" s="31" t="n">
        <v>1137</v>
      </c>
      <c r="B1139" s="31">
        <f>CHAIN_RAW!D1137</f>
        <v/>
      </c>
      <c r="C1139" s="31">
        <f>CHAIN_RAW!A1137</f>
        <v/>
      </c>
      <c r="D1139" s="31">
        <f>CHAIN_RAW!C1137</f>
        <v/>
      </c>
      <c r="E1139" s="31">
        <f>CHAIN_RAW!E1137</f>
        <v/>
      </c>
      <c r="F1139" s="31">
        <f>CHAIN_RAW!F1137</f>
        <v/>
      </c>
      <c r="G1139" s="31">
        <f>CHAIN_RAW!I1137</f>
        <v/>
      </c>
      <c r="H1139" s="31">
        <f>CHAIN_RAW!Q1137</f>
        <v/>
      </c>
      <c r="I1139" s="31">
        <f>LET(pc,F1139,oc,H1139,IF(OR(pc="",oc=""),"",IF(AND(pc&gt;0,oc&gt;0),"Long Buildup",IF(AND(pc&lt;0,oc&gt;0),"Short Buildup",IF(AND(pc&gt;0,oc&lt;0),"Short Covering",IF(AND(pc&lt;0,oc&lt;0),"Long Unwinding","Flat"))))))</f>
        <v/>
      </c>
      <c r="J1139" s="31">
        <f>LET(pc,ABS(F1139),oc,ABS(H1139),IF(OR(pc="",oc=""),"",MAX(1,MIN(5,ROUND((pc*0.5+oc*0.00001)*5,0))))))</f>
        <v/>
      </c>
    </row>
    <row r="1140">
      <c r="A1140" s="31" t="n">
        <v>1138</v>
      </c>
      <c r="B1140" s="31">
        <f>CHAIN_RAW!D1138</f>
        <v/>
      </c>
      <c r="C1140" s="31">
        <f>CHAIN_RAW!A1138</f>
        <v/>
      </c>
      <c r="D1140" s="31">
        <f>CHAIN_RAW!C1138</f>
        <v/>
      </c>
      <c r="E1140" s="31">
        <f>CHAIN_RAW!E1138</f>
        <v/>
      </c>
      <c r="F1140" s="31">
        <f>CHAIN_RAW!F1138</f>
        <v/>
      </c>
      <c r="G1140" s="31">
        <f>CHAIN_RAW!I1138</f>
        <v/>
      </c>
      <c r="H1140" s="31">
        <f>CHAIN_RAW!Q1138</f>
        <v/>
      </c>
      <c r="I1140" s="31">
        <f>LET(pc,F1140,oc,H1140,IF(OR(pc="",oc=""),"",IF(AND(pc&gt;0,oc&gt;0),"Long Buildup",IF(AND(pc&lt;0,oc&gt;0),"Short Buildup",IF(AND(pc&gt;0,oc&lt;0),"Short Covering",IF(AND(pc&lt;0,oc&lt;0),"Long Unwinding","Flat"))))))</f>
        <v/>
      </c>
      <c r="J1140" s="31">
        <f>LET(pc,ABS(F1140),oc,ABS(H1140),IF(OR(pc="",oc=""),"",MAX(1,MIN(5,ROUND((pc*0.5+oc*0.00001)*5,0))))))</f>
        <v/>
      </c>
    </row>
    <row r="1141">
      <c r="A1141" s="31" t="n">
        <v>1139</v>
      </c>
      <c r="B1141" s="31">
        <f>CHAIN_RAW!D1139</f>
        <v/>
      </c>
      <c r="C1141" s="31">
        <f>CHAIN_RAW!A1139</f>
        <v/>
      </c>
      <c r="D1141" s="31">
        <f>CHAIN_RAW!C1139</f>
        <v/>
      </c>
      <c r="E1141" s="31">
        <f>CHAIN_RAW!E1139</f>
        <v/>
      </c>
      <c r="F1141" s="31">
        <f>CHAIN_RAW!F1139</f>
        <v/>
      </c>
      <c r="G1141" s="31">
        <f>CHAIN_RAW!I1139</f>
        <v/>
      </c>
      <c r="H1141" s="31">
        <f>CHAIN_RAW!Q1139</f>
        <v/>
      </c>
      <c r="I1141" s="31">
        <f>LET(pc,F1141,oc,H1141,IF(OR(pc="",oc=""),"",IF(AND(pc&gt;0,oc&gt;0),"Long Buildup",IF(AND(pc&lt;0,oc&gt;0),"Short Buildup",IF(AND(pc&gt;0,oc&lt;0),"Short Covering",IF(AND(pc&lt;0,oc&lt;0),"Long Unwinding","Flat"))))))</f>
        <v/>
      </c>
      <c r="J1141" s="31">
        <f>LET(pc,ABS(F1141),oc,ABS(H1141),IF(OR(pc="",oc=""),"",MAX(1,MIN(5,ROUND((pc*0.5+oc*0.00001)*5,0))))))</f>
        <v/>
      </c>
    </row>
    <row r="1142">
      <c r="A1142" s="31" t="n">
        <v>1140</v>
      </c>
      <c r="B1142" s="31">
        <f>CHAIN_RAW!D1140</f>
        <v/>
      </c>
      <c r="C1142" s="31">
        <f>CHAIN_RAW!A1140</f>
        <v/>
      </c>
      <c r="D1142" s="31">
        <f>CHAIN_RAW!C1140</f>
        <v/>
      </c>
      <c r="E1142" s="31">
        <f>CHAIN_RAW!E1140</f>
        <v/>
      </c>
      <c r="F1142" s="31">
        <f>CHAIN_RAW!F1140</f>
        <v/>
      </c>
      <c r="G1142" s="31">
        <f>CHAIN_RAW!I1140</f>
        <v/>
      </c>
      <c r="H1142" s="31">
        <f>CHAIN_RAW!Q1140</f>
        <v/>
      </c>
      <c r="I1142" s="31">
        <f>LET(pc,F1142,oc,H1142,IF(OR(pc="",oc=""),"",IF(AND(pc&gt;0,oc&gt;0),"Long Buildup",IF(AND(pc&lt;0,oc&gt;0),"Short Buildup",IF(AND(pc&gt;0,oc&lt;0),"Short Covering",IF(AND(pc&lt;0,oc&lt;0),"Long Unwinding","Flat"))))))</f>
        <v/>
      </c>
      <c r="J1142" s="31">
        <f>LET(pc,ABS(F1142),oc,ABS(H1142),IF(OR(pc="",oc=""),"",MAX(1,MIN(5,ROUND((pc*0.5+oc*0.00001)*5,0))))))</f>
        <v/>
      </c>
    </row>
    <row r="1143">
      <c r="A1143" s="31" t="n">
        <v>1141</v>
      </c>
      <c r="B1143" s="31">
        <f>CHAIN_RAW!D1141</f>
        <v/>
      </c>
      <c r="C1143" s="31">
        <f>CHAIN_RAW!A1141</f>
        <v/>
      </c>
      <c r="D1143" s="31">
        <f>CHAIN_RAW!C1141</f>
        <v/>
      </c>
      <c r="E1143" s="31">
        <f>CHAIN_RAW!E1141</f>
        <v/>
      </c>
      <c r="F1143" s="31">
        <f>CHAIN_RAW!F1141</f>
        <v/>
      </c>
      <c r="G1143" s="31">
        <f>CHAIN_RAW!I1141</f>
        <v/>
      </c>
      <c r="H1143" s="31">
        <f>CHAIN_RAW!Q1141</f>
        <v/>
      </c>
      <c r="I1143" s="31">
        <f>LET(pc,F1143,oc,H1143,IF(OR(pc="",oc=""),"",IF(AND(pc&gt;0,oc&gt;0),"Long Buildup",IF(AND(pc&lt;0,oc&gt;0),"Short Buildup",IF(AND(pc&gt;0,oc&lt;0),"Short Covering",IF(AND(pc&lt;0,oc&lt;0),"Long Unwinding","Flat"))))))</f>
        <v/>
      </c>
      <c r="J1143" s="31">
        <f>LET(pc,ABS(F1143),oc,ABS(H1143),IF(OR(pc="",oc=""),"",MAX(1,MIN(5,ROUND((pc*0.5+oc*0.00001)*5,0))))))</f>
        <v/>
      </c>
    </row>
    <row r="1144">
      <c r="A1144" s="31" t="n">
        <v>1142</v>
      </c>
      <c r="B1144" s="31">
        <f>CHAIN_RAW!D1142</f>
        <v/>
      </c>
      <c r="C1144" s="31">
        <f>CHAIN_RAW!A1142</f>
        <v/>
      </c>
      <c r="D1144" s="31">
        <f>CHAIN_RAW!C1142</f>
        <v/>
      </c>
      <c r="E1144" s="31">
        <f>CHAIN_RAW!E1142</f>
        <v/>
      </c>
      <c r="F1144" s="31">
        <f>CHAIN_RAW!F1142</f>
        <v/>
      </c>
      <c r="G1144" s="31">
        <f>CHAIN_RAW!I1142</f>
        <v/>
      </c>
      <c r="H1144" s="31">
        <f>CHAIN_RAW!Q1142</f>
        <v/>
      </c>
      <c r="I1144" s="31">
        <f>LET(pc,F1144,oc,H1144,IF(OR(pc="",oc=""),"",IF(AND(pc&gt;0,oc&gt;0),"Long Buildup",IF(AND(pc&lt;0,oc&gt;0),"Short Buildup",IF(AND(pc&gt;0,oc&lt;0),"Short Covering",IF(AND(pc&lt;0,oc&lt;0),"Long Unwinding","Flat"))))))</f>
        <v/>
      </c>
      <c r="J1144" s="31">
        <f>LET(pc,ABS(F1144),oc,ABS(H1144),IF(OR(pc="",oc=""),"",MAX(1,MIN(5,ROUND((pc*0.5+oc*0.00001)*5,0))))))</f>
        <v/>
      </c>
    </row>
    <row r="1145">
      <c r="A1145" s="31" t="n">
        <v>1143</v>
      </c>
      <c r="B1145" s="31">
        <f>CHAIN_RAW!D1143</f>
        <v/>
      </c>
      <c r="C1145" s="31">
        <f>CHAIN_RAW!A1143</f>
        <v/>
      </c>
      <c r="D1145" s="31">
        <f>CHAIN_RAW!C1143</f>
        <v/>
      </c>
      <c r="E1145" s="31">
        <f>CHAIN_RAW!E1143</f>
        <v/>
      </c>
      <c r="F1145" s="31">
        <f>CHAIN_RAW!F1143</f>
        <v/>
      </c>
      <c r="G1145" s="31">
        <f>CHAIN_RAW!I1143</f>
        <v/>
      </c>
      <c r="H1145" s="31">
        <f>CHAIN_RAW!Q1143</f>
        <v/>
      </c>
      <c r="I1145" s="31">
        <f>LET(pc,F1145,oc,H1145,IF(OR(pc="",oc=""),"",IF(AND(pc&gt;0,oc&gt;0),"Long Buildup",IF(AND(pc&lt;0,oc&gt;0),"Short Buildup",IF(AND(pc&gt;0,oc&lt;0),"Short Covering",IF(AND(pc&lt;0,oc&lt;0),"Long Unwinding","Flat"))))))</f>
        <v/>
      </c>
      <c r="J1145" s="31">
        <f>LET(pc,ABS(F1145),oc,ABS(H1145),IF(OR(pc="",oc=""),"",MAX(1,MIN(5,ROUND((pc*0.5+oc*0.00001)*5,0))))))</f>
        <v/>
      </c>
    </row>
    <row r="1146">
      <c r="A1146" s="31" t="n">
        <v>1144</v>
      </c>
      <c r="B1146" s="31">
        <f>CHAIN_RAW!D1144</f>
        <v/>
      </c>
      <c r="C1146" s="31">
        <f>CHAIN_RAW!A1144</f>
        <v/>
      </c>
      <c r="D1146" s="31">
        <f>CHAIN_RAW!C1144</f>
        <v/>
      </c>
      <c r="E1146" s="31">
        <f>CHAIN_RAW!E1144</f>
        <v/>
      </c>
      <c r="F1146" s="31">
        <f>CHAIN_RAW!F1144</f>
        <v/>
      </c>
      <c r="G1146" s="31">
        <f>CHAIN_RAW!I1144</f>
        <v/>
      </c>
      <c r="H1146" s="31">
        <f>CHAIN_RAW!Q1144</f>
        <v/>
      </c>
      <c r="I1146" s="31">
        <f>LET(pc,F1146,oc,H1146,IF(OR(pc="",oc=""),"",IF(AND(pc&gt;0,oc&gt;0),"Long Buildup",IF(AND(pc&lt;0,oc&gt;0),"Short Buildup",IF(AND(pc&gt;0,oc&lt;0),"Short Covering",IF(AND(pc&lt;0,oc&lt;0),"Long Unwinding","Flat"))))))</f>
        <v/>
      </c>
      <c r="J1146" s="31">
        <f>LET(pc,ABS(F1146),oc,ABS(H1146),IF(OR(pc="",oc=""),"",MAX(1,MIN(5,ROUND((pc*0.5+oc*0.00001)*5,0))))))</f>
        <v/>
      </c>
    </row>
    <row r="1147">
      <c r="A1147" s="31" t="n">
        <v>1145</v>
      </c>
      <c r="B1147" s="31">
        <f>CHAIN_RAW!D1145</f>
        <v/>
      </c>
      <c r="C1147" s="31">
        <f>CHAIN_RAW!A1145</f>
        <v/>
      </c>
      <c r="D1147" s="31">
        <f>CHAIN_RAW!C1145</f>
        <v/>
      </c>
      <c r="E1147" s="31">
        <f>CHAIN_RAW!E1145</f>
        <v/>
      </c>
      <c r="F1147" s="31">
        <f>CHAIN_RAW!F1145</f>
        <v/>
      </c>
      <c r="G1147" s="31">
        <f>CHAIN_RAW!I1145</f>
        <v/>
      </c>
      <c r="H1147" s="31">
        <f>CHAIN_RAW!Q1145</f>
        <v/>
      </c>
      <c r="I1147" s="31">
        <f>LET(pc,F1147,oc,H1147,IF(OR(pc="",oc=""),"",IF(AND(pc&gt;0,oc&gt;0),"Long Buildup",IF(AND(pc&lt;0,oc&gt;0),"Short Buildup",IF(AND(pc&gt;0,oc&lt;0),"Short Covering",IF(AND(pc&lt;0,oc&lt;0),"Long Unwinding","Flat"))))))</f>
        <v/>
      </c>
      <c r="J1147" s="31">
        <f>LET(pc,ABS(F1147),oc,ABS(H1147),IF(OR(pc="",oc=""),"",MAX(1,MIN(5,ROUND((pc*0.5+oc*0.00001)*5,0))))))</f>
        <v/>
      </c>
    </row>
    <row r="1148">
      <c r="A1148" s="31" t="n">
        <v>1146</v>
      </c>
      <c r="B1148" s="31">
        <f>CHAIN_RAW!D1146</f>
        <v/>
      </c>
      <c r="C1148" s="31">
        <f>CHAIN_RAW!A1146</f>
        <v/>
      </c>
      <c r="D1148" s="31">
        <f>CHAIN_RAW!C1146</f>
        <v/>
      </c>
      <c r="E1148" s="31">
        <f>CHAIN_RAW!E1146</f>
        <v/>
      </c>
      <c r="F1148" s="31">
        <f>CHAIN_RAW!F1146</f>
        <v/>
      </c>
      <c r="G1148" s="31">
        <f>CHAIN_RAW!I1146</f>
        <v/>
      </c>
      <c r="H1148" s="31">
        <f>CHAIN_RAW!Q1146</f>
        <v/>
      </c>
      <c r="I1148" s="31">
        <f>LET(pc,F1148,oc,H1148,IF(OR(pc="",oc=""),"",IF(AND(pc&gt;0,oc&gt;0),"Long Buildup",IF(AND(pc&lt;0,oc&gt;0),"Short Buildup",IF(AND(pc&gt;0,oc&lt;0),"Short Covering",IF(AND(pc&lt;0,oc&lt;0),"Long Unwinding","Flat"))))))</f>
        <v/>
      </c>
      <c r="J1148" s="31">
        <f>LET(pc,ABS(F1148),oc,ABS(H1148),IF(OR(pc="",oc=""),"",MAX(1,MIN(5,ROUND((pc*0.5+oc*0.00001)*5,0))))))</f>
        <v/>
      </c>
    </row>
    <row r="1149">
      <c r="A1149" s="31" t="n">
        <v>1147</v>
      </c>
      <c r="B1149" s="31">
        <f>CHAIN_RAW!D1147</f>
        <v/>
      </c>
      <c r="C1149" s="31">
        <f>CHAIN_RAW!A1147</f>
        <v/>
      </c>
      <c r="D1149" s="31">
        <f>CHAIN_RAW!C1147</f>
        <v/>
      </c>
      <c r="E1149" s="31">
        <f>CHAIN_RAW!E1147</f>
        <v/>
      </c>
      <c r="F1149" s="31">
        <f>CHAIN_RAW!F1147</f>
        <v/>
      </c>
      <c r="G1149" s="31">
        <f>CHAIN_RAW!I1147</f>
        <v/>
      </c>
      <c r="H1149" s="31">
        <f>CHAIN_RAW!Q1147</f>
        <v/>
      </c>
      <c r="I1149" s="31">
        <f>LET(pc,F1149,oc,H1149,IF(OR(pc="",oc=""),"",IF(AND(pc&gt;0,oc&gt;0),"Long Buildup",IF(AND(pc&lt;0,oc&gt;0),"Short Buildup",IF(AND(pc&gt;0,oc&lt;0),"Short Covering",IF(AND(pc&lt;0,oc&lt;0),"Long Unwinding","Flat"))))))</f>
        <v/>
      </c>
      <c r="J1149" s="31">
        <f>LET(pc,ABS(F1149),oc,ABS(H1149),IF(OR(pc="",oc=""),"",MAX(1,MIN(5,ROUND((pc*0.5+oc*0.00001)*5,0))))))</f>
        <v/>
      </c>
    </row>
    <row r="1150">
      <c r="A1150" s="31" t="n">
        <v>1148</v>
      </c>
      <c r="B1150" s="31">
        <f>CHAIN_RAW!D1148</f>
        <v/>
      </c>
      <c r="C1150" s="31">
        <f>CHAIN_RAW!A1148</f>
        <v/>
      </c>
      <c r="D1150" s="31">
        <f>CHAIN_RAW!C1148</f>
        <v/>
      </c>
      <c r="E1150" s="31">
        <f>CHAIN_RAW!E1148</f>
        <v/>
      </c>
      <c r="F1150" s="31">
        <f>CHAIN_RAW!F1148</f>
        <v/>
      </c>
      <c r="G1150" s="31">
        <f>CHAIN_RAW!I1148</f>
        <v/>
      </c>
      <c r="H1150" s="31">
        <f>CHAIN_RAW!Q1148</f>
        <v/>
      </c>
      <c r="I1150" s="31">
        <f>LET(pc,F1150,oc,H1150,IF(OR(pc="",oc=""),"",IF(AND(pc&gt;0,oc&gt;0),"Long Buildup",IF(AND(pc&lt;0,oc&gt;0),"Short Buildup",IF(AND(pc&gt;0,oc&lt;0),"Short Covering",IF(AND(pc&lt;0,oc&lt;0),"Long Unwinding","Flat"))))))</f>
        <v/>
      </c>
      <c r="J1150" s="31">
        <f>LET(pc,ABS(F1150),oc,ABS(H1150),IF(OR(pc="",oc=""),"",MAX(1,MIN(5,ROUND((pc*0.5+oc*0.00001)*5,0))))))</f>
        <v/>
      </c>
    </row>
    <row r="1151">
      <c r="A1151" s="31" t="n">
        <v>1149</v>
      </c>
      <c r="B1151" s="31">
        <f>CHAIN_RAW!D1149</f>
        <v/>
      </c>
      <c r="C1151" s="31">
        <f>CHAIN_RAW!A1149</f>
        <v/>
      </c>
      <c r="D1151" s="31">
        <f>CHAIN_RAW!C1149</f>
        <v/>
      </c>
      <c r="E1151" s="31">
        <f>CHAIN_RAW!E1149</f>
        <v/>
      </c>
      <c r="F1151" s="31">
        <f>CHAIN_RAW!F1149</f>
        <v/>
      </c>
      <c r="G1151" s="31">
        <f>CHAIN_RAW!I1149</f>
        <v/>
      </c>
      <c r="H1151" s="31">
        <f>CHAIN_RAW!Q1149</f>
        <v/>
      </c>
      <c r="I1151" s="31">
        <f>LET(pc,F1151,oc,H1151,IF(OR(pc="",oc=""),"",IF(AND(pc&gt;0,oc&gt;0),"Long Buildup",IF(AND(pc&lt;0,oc&gt;0),"Short Buildup",IF(AND(pc&gt;0,oc&lt;0),"Short Covering",IF(AND(pc&lt;0,oc&lt;0),"Long Unwinding","Flat"))))))</f>
        <v/>
      </c>
      <c r="J1151" s="31">
        <f>LET(pc,ABS(F1151),oc,ABS(H1151),IF(OR(pc="",oc=""),"",MAX(1,MIN(5,ROUND((pc*0.5+oc*0.00001)*5,0))))))</f>
        <v/>
      </c>
    </row>
    <row r="1152">
      <c r="A1152" s="31" t="n">
        <v>1150</v>
      </c>
      <c r="B1152" s="31">
        <f>CHAIN_RAW!D1150</f>
        <v/>
      </c>
      <c r="C1152" s="31">
        <f>CHAIN_RAW!A1150</f>
        <v/>
      </c>
      <c r="D1152" s="31">
        <f>CHAIN_RAW!C1150</f>
        <v/>
      </c>
      <c r="E1152" s="31">
        <f>CHAIN_RAW!E1150</f>
        <v/>
      </c>
      <c r="F1152" s="31">
        <f>CHAIN_RAW!F1150</f>
        <v/>
      </c>
      <c r="G1152" s="31">
        <f>CHAIN_RAW!I1150</f>
        <v/>
      </c>
      <c r="H1152" s="31">
        <f>CHAIN_RAW!Q1150</f>
        <v/>
      </c>
      <c r="I1152" s="31">
        <f>LET(pc,F1152,oc,H1152,IF(OR(pc="",oc=""),"",IF(AND(pc&gt;0,oc&gt;0),"Long Buildup",IF(AND(pc&lt;0,oc&gt;0),"Short Buildup",IF(AND(pc&gt;0,oc&lt;0),"Short Covering",IF(AND(pc&lt;0,oc&lt;0),"Long Unwinding","Flat"))))))</f>
        <v/>
      </c>
      <c r="J1152" s="31">
        <f>LET(pc,ABS(F1152),oc,ABS(H1152),IF(OR(pc="",oc=""),"",MAX(1,MIN(5,ROUND((pc*0.5+oc*0.00001)*5,0))))))</f>
        <v/>
      </c>
    </row>
    <row r="1153">
      <c r="A1153" s="31" t="n">
        <v>1151</v>
      </c>
      <c r="B1153" s="31">
        <f>CHAIN_RAW!D1151</f>
        <v/>
      </c>
      <c r="C1153" s="31">
        <f>CHAIN_RAW!A1151</f>
        <v/>
      </c>
      <c r="D1153" s="31">
        <f>CHAIN_RAW!C1151</f>
        <v/>
      </c>
      <c r="E1153" s="31">
        <f>CHAIN_RAW!E1151</f>
        <v/>
      </c>
      <c r="F1153" s="31">
        <f>CHAIN_RAW!F1151</f>
        <v/>
      </c>
      <c r="G1153" s="31">
        <f>CHAIN_RAW!I1151</f>
        <v/>
      </c>
      <c r="H1153" s="31">
        <f>CHAIN_RAW!Q1151</f>
        <v/>
      </c>
      <c r="I1153" s="31">
        <f>LET(pc,F1153,oc,H1153,IF(OR(pc="",oc=""),"",IF(AND(pc&gt;0,oc&gt;0),"Long Buildup",IF(AND(pc&lt;0,oc&gt;0),"Short Buildup",IF(AND(pc&gt;0,oc&lt;0),"Short Covering",IF(AND(pc&lt;0,oc&lt;0),"Long Unwinding","Flat"))))))</f>
        <v/>
      </c>
      <c r="J1153" s="31">
        <f>LET(pc,ABS(F1153),oc,ABS(H1153),IF(OR(pc="",oc=""),"",MAX(1,MIN(5,ROUND((pc*0.5+oc*0.00001)*5,0))))))</f>
        <v/>
      </c>
    </row>
    <row r="1154">
      <c r="A1154" s="31" t="n">
        <v>1152</v>
      </c>
      <c r="B1154" s="31">
        <f>CHAIN_RAW!D1152</f>
        <v/>
      </c>
      <c r="C1154" s="31">
        <f>CHAIN_RAW!A1152</f>
        <v/>
      </c>
      <c r="D1154" s="31">
        <f>CHAIN_RAW!C1152</f>
        <v/>
      </c>
      <c r="E1154" s="31">
        <f>CHAIN_RAW!E1152</f>
        <v/>
      </c>
      <c r="F1154" s="31">
        <f>CHAIN_RAW!F1152</f>
        <v/>
      </c>
      <c r="G1154" s="31">
        <f>CHAIN_RAW!I1152</f>
        <v/>
      </c>
      <c r="H1154" s="31">
        <f>CHAIN_RAW!Q1152</f>
        <v/>
      </c>
      <c r="I1154" s="31">
        <f>LET(pc,F1154,oc,H1154,IF(OR(pc="",oc=""),"",IF(AND(pc&gt;0,oc&gt;0),"Long Buildup",IF(AND(pc&lt;0,oc&gt;0),"Short Buildup",IF(AND(pc&gt;0,oc&lt;0),"Short Covering",IF(AND(pc&lt;0,oc&lt;0),"Long Unwinding","Flat"))))))</f>
        <v/>
      </c>
      <c r="J1154" s="31">
        <f>LET(pc,ABS(F1154),oc,ABS(H1154),IF(OR(pc="",oc=""),"",MAX(1,MIN(5,ROUND((pc*0.5+oc*0.00001)*5,0))))))</f>
        <v/>
      </c>
    </row>
    <row r="1155">
      <c r="A1155" s="31" t="n">
        <v>1153</v>
      </c>
      <c r="B1155" s="31">
        <f>CHAIN_RAW!D1153</f>
        <v/>
      </c>
      <c r="C1155" s="31">
        <f>CHAIN_RAW!A1153</f>
        <v/>
      </c>
      <c r="D1155" s="31">
        <f>CHAIN_RAW!C1153</f>
        <v/>
      </c>
      <c r="E1155" s="31">
        <f>CHAIN_RAW!E1153</f>
        <v/>
      </c>
      <c r="F1155" s="31">
        <f>CHAIN_RAW!F1153</f>
        <v/>
      </c>
      <c r="G1155" s="31">
        <f>CHAIN_RAW!I1153</f>
        <v/>
      </c>
      <c r="H1155" s="31">
        <f>CHAIN_RAW!Q1153</f>
        <v/>
      </c>
      <c r="I1155" s="31">
        <f>LET(pc,F1155,oc,H1155,IF(OR(pc="",oc=""),"",IF(AND(pc&gt;0,oc&gt;0),"Long Buildup",IF(AND(pc&lt;0,oc&gt;0),"Short Buildup",IF(AND(pc&gt;0,oc&lt;0),"Short Covering",IF(AND(pc&lt;0,oc&lt;0),"Long Unwinding","Flat"))))))</f>
        <v/>
      </c>
      <c r="J1155" s="31">
        <f>LET(pc,ABS(F1155),oc,ABS(H1155),IF(OR(pc="",oc=""),"",MAX(1,MIN(5,ROUND((pc*0.5+oc*0.00001)*5,0))))))</f>
        <v/>
      </c>
    </row>
    <row r="1156">
      <c r="A1156" s="31" t="n">
        <v>1154</v>
      </c>
      <c r="B1156" s="31">
        <f>CHAIN_RAW!D1154</f>
        <v/>
      </c>
      <c r="C1156" s="31">
        <f>CHAIN_RAW!A1154</f>
        <v/>
      </c>
      <c r="D1156" s="31">
        <f>CHAIN_RAW!C1154</f>
        <v/>
      </c>
      <c r="E1156" s="31">
        <f>CHAIN_RAW!E1154</f>
        <v/>
      </c>
      <c r="F1156" s="31">
        <f>CHAIN_RAW!F1154</f>
        <v/>
      </c>
      <c r="G1156" s="31">
        <f>CHAIN_RAW!I1154</f>
        <v/>
      </c>
      <c r="H1156" s="31">
        <f>CHAIN_RAW!Q1154</f>
        <v/>
      </c>
      <c r="I1156" s="31">
        <f>LET(pc,F1156,oc,H1156,IF(OR(pc="",oc=""),"",IF(AND(pc&gt;0,oc&gt;0),"Long Buildup",IF(AND(pc&lt;0,oc&gt;0),"Short Buildup",IF(AND(pc&gt;0,oc&lt;0),"Short Covering",IF(AND(pc&lt;0,oc&lt;0),"Long Unwinding","Flat"))))))</f>
        <v/>
      </c>
      <c r="J1156" s="31">
        <f>LET(pc,ABS(F1156),oc,ABS(H1156),IF(OR(pc="",oc=""),"",MAX(1,MIN(5,ROUND((pc*0.5+oc*0.00001)*5,0))))))</f>
        <v/>
      </c>
    </row>
    <row r="1157">
      <c r="A1157" s="31" t="n">
        <v>1155</v>
      </c>
      <c r="B1157" s="31">
        <f>CHAIN_RAW!D1155</f>
        <v/>
      </c>
      <c r="C1157" s="31">
        <f>CHAIN_RAW!A1155</f>
        <v/>
      </c>
      <c r="D1157" s="31">
        <f>CHAIN_RAW!C1155</f>
        <v/>
      </c>
      <c r="E1157" s="31">
        <f>CHAIN_RAW!E1155</f>
        <v/>
      </c>
      <c r="F1157" s="31">
        <f>CHAIN_RAW!F1155</f>
        <v/>
      </c>
      <c r="G1157" s="31">
        <f>CHAIN_RAW!I1155</f>
        <v/>
      </c>
      <c r="H1157" s="31">
        <f>CHAIN_RAW!Q1155</f>
        <v/>
      </c>
      <c r="I1157" s="31">
        <f>LET(pc,F1157,oc,H1157,IF(OR(pc="",oc=""),"",IF(AND(pc&gt;0,oc&gt;0),"Long Buildup",IF(AND(pc&lt;0,oc&gt;0),"Short Buildup",IF(AND(pc&gt;0,oc&lt;0),"Short Covering",IF(AND(pc&lt;0,oc&lt;0),"Long Unwinding","Flat"))))))</f>
        <v/>
      </c>
      <c r="J1157" s="31">
        <f>LET(pc,ABS(F1157),oc,ABS(H1157),IF(OR(pc="",oc=""),"",MAX(1,MIN(5,ROUND((pc*0.5+oc*0.00001)*5,0))))))</f>
        <v/>
      </c>
    </row>
    <row r="1158">
      <c r="A1158" s="31" t="n">
        <v>1156</v>
      </c>
      <c r="B1158" s="31">
        <f>CHAIN_RAW!D1156</f>
        <v/>
      </c>
      <c r="C1158" s="31">
        <f>CHAIN_RAW!A1156</f>
        <v/>
      </c>
      <c r="D1158" s="31">
        <f>CHAIN_RAW!C1156</f>
        <v/>
      </c>
      <c r="E1158" s="31">
        <f>CHAIN_RAW!E1156</f>
        <v/>
      </c>
      <c r="F1158" s="31">
        <f>CHAIN_RAW!F1156</f>
        <v/>
      </c>
      <c r="G1158" s="31">
        <f>CHAIN_RAW!I1156</f>
        <v/>
      </c>
      <c r="H1158" s="31">
        <f>CHAIN_RAW!Q1156</f>
        <v/>
      </c>
      <c r="I1158" s="31">
        <f>LET(pc,F1158,oc,H1158,IF(OR(pc="",oc=""),"",IF(AND(pc&gt;0,oc&gt;0),"Long Buildup",IF(AND(pc&lt;0,oc&gt;0),"Short Buildup",IF(AND(pc&gt;0,oc&lt;0),"Short Covering",IF(AND(pc&lt;0,oc&lt;0),"Long Unwinding","Flat"))))))</f>
        <v/>
      </c>
      <c r="J1158" s="31">
        <f>LET(pc,ABS(F1158),oc,ABS(H1158),IF(OR(pc="",oc=""),"",MAX(1,MIN(5,ROUND((pc*0.5+oc*0.00001)*5,0))))))</f>
        <v/>
      </c>
    </row>
    <row r="1159">
      <c r="A1159" s="31" t="n">
        <v>1157</v>
      </c>
      <c r="B1159" s="31">
        <f>CHAIN_RAW!D1157</f>
        <v/>
      </c>
      <c r="C1159" s="31">
        <f>CHAIN_RAW!A1157</f>
        <v/>
      </c>
      <c r="D1159" s="31">
        <f>CHAIN_RAW!C1157</f>
        <v/>
      </c>
      <c r="E1159" s="31">
        <f>CHAIN_RAW!E1157</f>
        <v/>
      </c>
      <c r="F1159" s="31">
        <f>CHAIN_RAW!F1157</f>
        <v/>
      </c>
      <c r="G1159" s="31">
        <f>CHAIN_RAW!I1157</f>
        <v/>
      </c>
      <c r="H1159" s="31">
        <f>CHAIN_RAW!Q1157</f>
        <v/>
      </c>
      <c r="I1159" s="31">
        <f>LET(pc,F1159,oc,H1159,IF(OR(pc="",oc=""),"",IF(AND(pc&gt;0,oc&gt;0),"Long Buildup",IF(AND(pc&lt;0,oc&gt;0),"Short Buildup",IF(AND(pc&gt;0,oc&lt;0),"Short Covering",IF(AND(pc&lt;0,oc&lt;0),"Long Unwinding","Flat"))))))</f>
        <v/>
      </c>
      <c r="J1159" s="31">
        <f>LET(pc,ABS(F1159),oc,ABS(H1159),IF(OR(pc="",oc=""),"",MAX(1,MIN(5,ROUND((pc*0.5+oc*0.00001)*5,0))))))</f>
        <v/>
      </c>
    </row>
    <row r="1160">
      <c r="A1160" s="31" t="n">
        <v>1158</v>
      </c>
      <c r="B1160" s="31">
        <f>CHAIN_RAW!D1158</f>
        <v/>
      </c>
      <c r="C1160" s="31">
        <f>CHAIN_RAW!A1158</f>
        <v/>
      </c>
      <c r="D1160" s="31">
        <f>CHAIN_RAW!C1158</f>
        <v/>
      </c>
      <c r="E1160" s="31">
        <f>CHAIN_RAW!E1158</f>
        <v/>
      </c>
      <c r="F1160" s="31">
        <f>CHAIN_RAW!F1158</f>
        <v/>
      </c>
      <c r="G1160" s="31">
        <f>CHAIN_RAW!I1158</f>
        <v/>
      </c>
      <c r="H1160" s="31">
        <f>CHAIN_RAW!Q1158</f>
        <v/>
      </c>
      <c r="I1160" s="31">
        <f>LET(pc,F1160,oc,H1160,IF(OR(pc="",oc=""),"",IF(AND(pc&gt;0,oc&gt;0),"Long Buildup",IF(AND(pc&lt;0,oc&gt;0),"Short Buildup",IF(AND(pc&gt;0,oc&lt;0),"Short Covering",IF(AND(pc&lt;0,oc&lt;0),"Long Unwinding","Flat"))))))</f>
        <v/>
      </c>
      <c r="J1160" s="31">
        <f>LET(pc,ABS(F1160),oc,ABS(H1160),IF(OR(pc="",oc=""),"",MAX(1,MIN(5,ROUND((pc*0.5+oc*0.00001)*5,0))))))</f>
        <v/>
      </c>
    </row>
    <row r="1161">
      <c r="A1161" s="31" t="n">
        <v>1159</v>
      </c>
      <c r="B1161" s="31">
        <f>CHAIN_RAW!D1159</f>
        <v/>
      </c>
      <c r="C1161" s="31">
        <f>CHAIN_RAW!A1159</f>
        <v/>
      </c>
      <c r="D1161" s="31">
        <f>CHAIN_RAW!C1159</f>
        <v/>
      </c>
      <c r="E1161" s="31">
        <f>CHAIN_RAW!E1159</f>
        <v/>
      </c>
      <c r="F1161" s="31">
        <f>CHAIN_RAW!F1159</f>
        <v/>
      </c>
      <c r="G1161" s="31">
        <f>CHAIN_RAW!I1159</f>
        <v/>
      </c>
      <c r="H1161" s="31">
        <f>CHAIN_RAW!Q1159</f>
        <v/>
      </c>
      <c r="I1161" s="31">
        <f>LET(pc,F1161,oc,H1161,IF(OR(pc="",oc=""),"",IF(AND(pc&gt;0,oc&gt;0),"Long Buildup",IF(AND(pc&lt;0,oc&gt;0),"Short Buildup",IF(AND(pc&gt;0,oc&lt;0),"Short Covering",IF(AND(pc&lt;0,oc&lt;0),"Long Unwinding","Flat"))))))</f>
        <v/>
      </c>
      <c r="J1161" s="31">
        <f>LET(pc,ABS(F1161),oc,ABS(H1161),IF(OR(pc="",oc=""),"",MAX(1,MIN(5,ROUND((pc*0.5+oc*0.00001)*5,0))))))</f>
        <v/>
      </c>
    </row>
    <row r="1162">
      <c r="A1162" s="31" t="n">
        <v>1160</v>
      </c>
      <c r="B1162" s="31">
        <f>CHAIN_RAW!D1160</f>
        <v/>
      </c>
      <c r="C1162" s="31">
        <f>CHAIN_RAW!A1160</f>
        <v/>
      </c>
      <c r="D1162" s="31">
        <f>CHAIN_RAW!C1160</f>
        <v/>
      </c>
      <c r="E1162" s="31">
        <f>CHAIN_RAW!E1160</f>
        <v/>
      </c>
      <c r="F1162" s="31">
        <f>CHAIN_RAW!F1160</f>
        <v/>
      </c>
      <c r="G1162" s="31">
        <f>CHAIN_RAW!I1160</f>
        <v/>
      </c>
      <c r="H1162" s="31">
        <f>CHAIN_RAW!Q1160</f>
        <v/>
      </c>
      <c r="I1162" s="31">
        <f>LET(pc,F1162,oc,H1162,IF(OR(pc="",oc=""),"",IF(AND(pc&gt;0,oc&gt;0),"Long Buildup",IF(AND(pc&lt;0,oc&gt;0),"Short Buildup",IF(AND(pc&gt;0,oc&lt;0),"Short Covering",IF(AND(pc&lt;0,oc&lt;0),"Long Unwinding","Flat"))))))</f>
        <v/>
      </c>
      <c r="J1162" s="31">
        <f>LET(pc,ABS(F1162),oc,ABS(H1162),IF(OR(pc="",oc=""),"",MAX(1,MIN(5,ROUND((pc*0.5+oc*0.00001)*5,0))))))</f>
        <v/>
      </c>
    </row>
    <row r="1163">
      <c r="A1163" s="31" t="n">
        <v>1161</v>
      </c>
      <c r="B1163" s="31">
        <f>CHAIN_RAW!D1161</f>
        <v/>
      </c>
      <c r="C1163" s="31">
        <f>CHAIN_RAW!A1161</f>
        <v/>
      </c>
      <c r="D1163" s="31">
        <f>CHAIN_RAW!C1161</f>
        <v/>
      </c>
      <c r="E1163" s="31">
        <f>CHAIN_RAW!E1161</f>
        <v/>
      </c>
      <c r="F1163" s="31">
        <f>CHAIN_RAW!F1161</f>
        <v/>
      </c>
      <c r="G1163" s="31">
        <f>CHAIN_RAW!I1161</f>
        <v/>
      </c>
      <c r="H1163" s="31">
        <f>CHAIN_RAW!Q1161</f>
        <v/>
      </c>
      <c r="I1163" s="31">
        <f>LET(pc,F1163,oc,H1163,IF(OR(pc="",oc=""),"",IF(AND(pc&gt;0,oc&gt;0),"Long Buildup",IF(AND(pc&lt;0,oc&gt;0),"Short Buildup",IF(AND(pc&gt;0,oc&lt;0),"Short Covering",IF(AND(pc&lt;0,oc&lt;0),"Long Unwinding","Flat"))))))</f>
        <v/>
      </c>
      <c r="J1163" s="31">
        <f>LET(pc,ABS(F1163),oc,ABS(H1163),IF(OR(pc="",oc=""),"",MAX(1,MIN(5,ROUND((pc*0.5+oc*0.00001)*5,0))))))</f>
        <v/>
      </c>
    </row>
    <row r="1164">
      <c r="A1164" s="31" t="n">
        <v>1162</v>
      </c>
      <c r="B1164" s="31">
        <f>CHAIN_RAW!D1162</f>
        <v/>
      </c>
      <c r="C1164" s="31">
        <f>CHAIN_RAW!A1162</f>
        <v/>
      </c>
      <c r="D1164" s="31">
        <f>CHAIN_RAW!C1162</f>
        <v/>
      </c>
      <c r="E1164" s="31">
        <f>CHAIN_RAW!E1162</f>
        <v/>
      </c>
      <c r="F1164" s="31">
        <f>CHAIN_RAW!F1162</f>
        <v/>
      </c>
      <c r="G1164" s="31">
        <f>CHAIN_RAW!I1162</f>
        <v/>
      </c>
      <c r="H1164" s="31">
        <f>CHAIN_RAW!Q1162</f>
        <v/>
      </c>
      <c r="I1164" s="31">
        <f>LET(pc,F1164,oc,H1164,IF(OR(pc="",oc=""),"",IF(AND(pc&gt;0,oc&gt;0),"Long Buildup",IF(AND(pc&lt;0,oc&gt;0),"Short Buildup",IF(AND(pc&gt;0,oc&lt;0),"Short Covering",IF(AND(pc&lt;0,oc&lt;0),"Long Unwinding","Flat"))))))</f>
        <v/>
      </c>
      <c r="J1164" s="31">
        <f>LET(pc,ABS(F1164),oc,ABS(H1164),IF(OR(pc="",oc=""),"",MAX(1,MIN(5,ROUND((pc*0.5+oc*0.00001)*5,0))))))</f>
        <v/>
      </c>
    </row>
    <row r="1165">
      <c r="A1165" s="31" t="n">
        <v>1163</v>
      </c>
      <c r="B1165" s="31">
        <f>CHAIN_RAW!D1163</f>
        <v/>
      </c>
      <c r="C1165" s="31">
        <f>CHAIN_RAW!A1163</f>
        <v/>
      </c>
      <c r="D1165" s="31">
        <f>CHAIN_RAW!C1163</f>
        <v/>
      </c>
      <c r="E1165" s="31">
        <f>CHAIN_RAW!E1163</f>
        <v/>
      </c>
      <c r="F1165" s="31">
        <f>CHAIN_RAW!F1163</f>
        <v/>
      </c>
      <c r="G1165" s="31">
        <f>CHAIN_RAW!I1163</f>
        <v/>
      </c>
      <c r="H1165" s="31">
        <f>CHAIN_RAW!Q1163</f>
        <v/>
      </c>
      <c r="I1165" s="31">
        <f>LET(pc,F1165,oc,H1165,IF(OR(pc="",oc=""),"",IF(AND(pc&gt;0,oc&gt;0),"Long Buildup",IF(AND(pc&lt;0,oc&gt;0),"Short Buildup",IF(AND(pc&gt;0,oc&lt;0),"Short Covering",IF(AND(pc&lt;0,oc&lt;0),"Long Unwinding","Flat"))))))</f>
        <v/>
      </c>
      <c r="J1165" s="31">
        <f>LET(pc,ABS(F1165),oc,ABS(H1165),IF(OR(pc="",oc=""),"",MAX(1,MIN(5,ROUND((pc*0.5+oc*0.00001)*5,0))))))</f>
        <v/>
      </c>
    </row>
    <row r="1166">
      <c r="A1166" s="31" t="n">
        <v>1164</v>
      </c>
      <c r="B1166" s="31">
        <f>CHAIN_RAW!D1164</f>
        <v/>
      </c>
      <c r="C1166" s="31">
        <f>CHAIN_RAW!A1164</f>
        <v/>
      </c>
      <c r="D1166" s="31">
        <f>CHAIN_RAW!C1164</f>
        <v/>
      </c>
      <c r="E1166" s="31">
        <f>CHAIN_RAW!E1164</f>
        <v/>
      </c>
      <c r="F1166" s="31">
        <f>CHAIN_RAW!F1164</f>
        <v/>
      </c>
      <c r="G1166" s="31">
        <f>CHAIN_RAW!I1164</f>
        <v/>
      </c>
      <c r="H1166" s="31">
        <f>CHAIN_RAW!Q1164</f>
        <v/>
      </c>
      <c r="I1166" s="31">
        <f>LET(pc,F1166,oc,H1166,IF(OR(pc="",oc=""),"",IF(AND(pc&gt;0,oc&gt;0),"Long Buildup",IF(AND(pc&lt;0,oc&gt;0),"Short Buildup",IF(AND(pc&gt;0,oc&lt;0),"Short Covering",IF(AND(pc&lt;0,oc&lt;0),"Long Unwinding","Flat"))))))</f>
        <v/>
      </c>
      <c r="J1166" s="31">
        <f>LET(pc,ABS(F1166),oc,ABS(H1166),IF(OR(pc="",oc=""),"",MAX(1,MIN(5,ROUND((pc*0.5+oc*0.00001)*5,0))))))</f>
        <v/>
      </c>
    </row>
    <row r="1167">
      <c r="A1167" s="31" t="n">
        <v>1165</v>
      </c>
      <c r="B1167" s="31">
        <f>CHAIN_RAW!D1165</f>
        <v/>
      </c>
      <c r="C1167" s="31">
        <f>CHAIN_RAW!A1165</f>
        <v/>
      </c>
      <c r="D1167" s="31">
        <f>CHAIN_RAW!C1165</f>
        <v/>
      </c>
      <c r="E1167" s="31">
        <f>CHAIN_RAW!E1165</f>
        <v/>
      </c>
      <c r="F1167" s="31">
        <f>CHAIN_RAW!F1165</f>
        <v/>
      </c>
      <c r="G1167" s="31">
        <f>CHAIN_RAW!I1165</f>
        <v/>
      </c>
      <c r="H1167" s="31">
        <f>CHAIN_RAW!Q1165</f>
        <v/>
      </c>
      <c r="I1167" s="31">
        <f>LET(pc,F1167,oc,H1167,IF(OR(pc="",oc=""),"",IF(AND(pc&gt;0,oc&gt;0),"Long Buildup",IF(AND(pc&lt;0,oc&gt;0),"Short Buildup",IF(AND(pc&gt;0,oc&lt;0),"Short Covering",IF(AND(pc&lt;0,oc&lt;0),"Long Unwinding","Flat"))))))</f>
        <v/>
      </c>
      <c r="J1167" s="31">
        <f>LET(pc,ABS(F1167),oc,ABS(H1167),IF(OR(pc="",oc=""),"",MAX(1,MIN(5,ROUND((pc*0.5+oc*0.00001)*5,0))))))</f>
        <v/>
      </c>
    </row>
    <row r="1168">
      <c r="A1168" s="31" t="n">
        <v>1166</v>
      </c>
      <c r="B1168" s="31">
        <f>CHAIN_RAW!D1166</f>
        <v/>
      </c>
      <c r="C1168" s="31">
        <f>CHAIN_RAW!A1166</f>
        <v/>
      </c>
      <c r="D1168" s="31">
        <f>CHAIN_RAW!C1166</f>
        <v/>
      </c>
      <c r="E1168" s="31">
        <f>CHAIN_RAW!E1166</f>
        <v/>
      </c>
      <c r="F1168" s="31">
        <f>CHAIN_RAW!F1166</f>
        <v/>
      </c>
      <c r="G1168" s="31">
        <f>CHAIN_RAW!I1166</f>
        <v/>
      </c>
      <c r="H1168" s="31">
        <f>CHAIN_RAW!Q1166</f>
        <v/>
      </c>
      <c r="I1168" s="31">
        <f>LET(pc,F1168,oc,H1168,IF(OR(pc="",oc=""),"",IF(AND(pc&gt;0,oc&gt;0),"Long Buildup",IF(AND(pc&lt;0,oc&gt;0),"Short Buildup",IF(AND(pc&gt;0,oc&lt;0),"Short Covering",IF(AND(pc&lt;0,oc&lt;0),"Long Unwinding","Flat"))))))</f>
        <v/>
      </c>
      <c r="J1168" s="31">
        <f>LET(pc,ABS(F1168),oc,ABS(H1168),IF(OR(pc="",oc=""),"",MAX(1,MIN(5,ROUND((pc*0.5+oc*0.00001)*5,0))))))</f>
        <v/>
      </c>
    </row>
    <row r="1169">
      <c r="A1169" s="31" t="n">
        <v>1167</v>
      </c>
      <c r="B1169" s="31">
        <f>CHAIN_RAW!D1167</f>
        <v/>
      </c>
      <c r="C1169" s="31">
        <f>CHAIN_RAW!A1167</f>
        <v/>
      </c>
      <c r="D1169" s="31">
        <f>CHAIN_RAW!C1167</f>
        <v/>
      </c>
      <c r="E1169" s="31">
        <f>CHAIN_RAW!E1167</f>
        <v/>
      </c>
      <c r="F1169" s="31">
        <f>CHAIN_RAW!F1167</f>
        <v/>
      </c>
      <c r="G1169" s="31">
        <f>CHAIN_RAW!I1167</f>
        <v/>
      </c>
      <c r="H1169" s="31">
        <f>CHAIN_RAW!Q1167</f>
        <v/>
      </c>
      <c r="I1169" s="31">
        <f>LET(pc,F1169,oc,H1169,IF(OR(pc="",oc=""),"",IF(AND(pc&gt;0,oc&gt;0),"Long Buildup",IF(AND(pc&lt;0,oc&gt;0),"Short Buildup",IF(AND(pc&gt;0,oc&lt;0),"Short Covering",IF(AND(pc&lt;0,oc&lt;0),"Long Unwinding","Flat"))))))</f>
        <v/>
      </c>
      <c r="J1169" s="31">
        <f>LET(pc,ABS(F1169),oc,ABS(H1169),IF(OR(pc="",oc=""),"",MAX(1,MIN(5,ROUND((pc*0.5+oc*0.00001)*5,0))))))</f>
        <v/>
      </c>
    </row>
    <row r="1170">
      <c r="A1170" s="31" t="n">
        <v>1168</v>
      </c>
      <c r="B1170" s="31">
        <f>CHAIN_RAW!D1168</f>
        <v/>
      </c>
      <c r="C1170" s="31">
        <f>CHAIN_RAW!A1168</f>
        <v/>
      </c>
      <c r="D1170" s="31">
        <f>CHAIN_RAW!C1168</f>
        <v/>
      </c>
      <c r="E1170" s="31">
        <f>CHAIN_RAW!E1168</f>
        <v/>
      </c>
      <c r="F1170" s="31">
        <f>CHAIN_RAW!F1168</f>
        <v/>
      </c>
      <c r="G1170" s="31">
        <f>CHAIN_RAW!I1168</f>
        <v/>
      </c>
      <c r="H1170" s="31">
        <f>CHAIN_RAW!Q1168</f>
        <v/>
      </c>
      <c r="I1170" s="31">
        <f>LET(pc,F1170,oc,H1170,IF(OR(pc="",oc=""),"",IF(AND(pc&gt;0,oc&gt;0),"Long Buildup",IF(AND(pc&lt;0,oc&gt;0),"Short Buildup",IF(AND(pc&gt;0,oc&lt;0),"Short Covering",IF(AND(pc&lt;0,oc&lt;0),"Long Unwinding","Flat"))))))</f>
        <v/>
      </c>
      <c r="J1170" s="31">
        <f>LET(pc,ABS(F1170),oc,ABS(H1170),IF(OR(pc="",oc=""),"",MAX(1,MIN(5,ROUND((pc*0.5+oc*0.00001)*5,0))))))</f>
        <v/>
      </c>
    </row>
    <row r="1171">
      <c r="A1171" s="31" t="n">
        <v>1169</v>
      </c>
      <c r="B1171" s="31">
        <f>CHAIN_RAW!D1169</f>
        <v/>
      </c>
      <c r="C1171" s="31">
        <f>CHAIN_RAW!A1169</f>
        <v/>
      </c>
      <c r="D1171" s="31">
        <f>CHAIN_RAW!C1169</f>
        <v/>
      </c>
      <c r="E1171" s="31">
        <f>CHAIN_RAW!E1169</f>
        <v/>
      </c>
      <c r="F1171" s="31">
        <f>CHAIN_RAW!F1169</f>
        <v/>
      </c>
      <c r="G1171" s="31">
        <f>CHAIN_RAW!I1169</f>
        <v/>
      </c>
      <c r="H1171" s="31">
        <f>CHAIN_RAW!Q1169</f>
        <v/>
      </c>
      <c r="I1171" s="31">
        <f>LET(pc,F1171,oc,H1171,IF(OR(pc="",oc=""),"",IF(AND(pc&gt;0,oc&gt;0),"Long Buildup",IF(AND(pc&lt;0,oc&gt;0),"Short Buildup",IF(AND(pc&gt;0,oc&lt;0),"Short Covering",IF(AND(pc&lt;0,oc&lt;0),"Long Unwinding","Flat"))))))</f>
        <v/>
      </c>
      <c r="J1171" s="31">
        <f>LET(pc,ABS(F1171),oc,ABS(H1171),IF(OR(pc="",oc=""),"",MAX(1,MIN(5,ROUND((pc*0.5+oc*0.00001)*5,0))))))</f>
        <v/>
      </c>
    </row>
    <row r="1172">
      <c r="A1172" s="31" t="n">
        <v>1170</v>
      </c>
      <c r="B1172" s="31">
        <f>CHAIN_RAW!D1170</f>
        <v/>
      </c>
      <c r="C1172" s="31">
        <f>CHAIN_RAW!A1170</f>
        <v/>
      </c>
      <c r="D1172" s="31">
        <f>CHAIN_RAW!C1170</f>
        <v/>
      </c>
      <c r="E1172" s="31">
        <f>CHAIN_RAW!E1170</f>
        <v/>
      </c>
      <c r="F1172" s="31">
        <f>CHAIN_RAW!F1170</f>
        <v/>
      </c>
      <c r="G1172" s="31">
        <f>CHAIN_RAW!I1170</f>
        <v/>
      </c>
      <c r="H1172" s="31">
        <f>CHAIN_RAW!Q1170</f>
        <v/>
      </c>
      <c r="I1172" s="31">
        <f>LET(pc,F1172,oc,H1172,IF(OR(pc="",oc=""),"",IF(AND(pc&gt;0,oc&gt;0),"Long Buildup",IF(AND(pc&lt;0,oc&gt;0),"Short Buildup",IF(AND(pc&gt;0,oc&lt;0),"Short Covering",IF(AND(pc&lt;0,oc&lt;0),"Long Unwinding","Flat"))))))</f>
        <v/>
      </c>
      <c r="J1172" s="31">
        <f>LET(pc,ABS(F1172),oc,ABS(H1172),IF(OR(pc="",oc=""),"",MAX(1,MIN(5,ROUND((pc*0.5+oc*0.00001)*5,0))))))</f>
        <v/>
      </c>
    </row>
    <row r="1173">
      <c r="A1173" s="31" t="n">
        <v>1171</v>
      </c>
      <c r="B1173" s="31">
        <f>CHAIN_RAW!D1171</f>
        <v/>
      </c>
      <c r="C1173" s="31">
        <f>CHAIN_RAW!A1171</f>
        <v/>
      </c>
      <c r="D1173" s="31">
        <f>CHAIN_RAW!C1171</f>
        <v/>
      </c>
      <c r="E1173" s="31">
        <f>CHAIN_RAW!E1171</f>
        <v/>
      </c>
      <c r="F1173" s="31">
        <f>CHAIN_RAW!F1171</f>
        <v/>
      </c>
      <c r="G1173" s="31">
        <f>CHAIN_RAW!I1171</f>
        <v/>
      </c>
      <c r="H1173" s="31">
        <f>CHAIN_RAW!Q1171</f>
        <v/>
      </c>
      <c r="I1173" s="31">
        <f>LET(pc,F1173,oc,H1173,IF(OR(pc="",oc=""),"",IF(AND(pc&gt;0,oc&gt;0),"Long Buildup",IF(AND(pc&lt;0,oc&gt;0),"Short Buildup",IF(AND(pc&gt;0,oc&lt;0),"Short Covering",IF(AND(pc&lt;0,oc&lt;0),"Long Unwinding","Flat"))))))</f>
        <v/>
      </c>
      <c r="J1173" s="31">
        <f>LET(pc,ABS(F1173),oc,ABS(H1173),IF(OR(pc="",oc=""),"",MAX(1,MIN(5,ROUND((pc*0.5+oc*0.00001)*5,0))))))</f>
        <v/>
      </c>
    </row>
    <row r="1174">
      <c r="A1174" s="31" t="n">
        <v>1172</v>
      </c>
      <c r="B1174" s="31">
        <f>CHAIN_RAW!D1172</f>
        <v/>
      </c>
      <c r="C1174" s="31">
        <f>CHAIN_RAW!A1172</f>
        <v/>
      </c>
      <c r="D1174" s="31">
        <f>CHAIN_RAW!C1172</f>
        <v/>
      </c>
      <c r="E1174" s="31">
        <f>CHAIN_RAW!E1172</f>
        <v/>
      </c>
      <c r="F1174" s="31">
        <f>CHAIN_RAW!F1172</f>
        <v/>
      </c>
      <c r="G1174" s="31">
        <f>CHAIN_RAW!I1172</f>
        <v/>
      </c>
      <c r="H1174" s="31">
        <f>CHAIN_RAW!Q1172</f>
        <v/>
      </c>
      <c r="I1174" s="31">
        <f>LET(pc,F1174,oc,H1174,IF(OR(pc="",oc=""),"",IF(AND(pc&gt;0,oc&gt;0),"Long Buildup",IF(AND(pc&lt;0,oc&gt;0),"Short Buildup",IF(AND(pc&gt;0,oc&lt;0),"Short Covering",IF(AND(pc&lt;0,oc&lt;0),"Long Unwinding","Flat"))))))</f>
        <v/>
      </c>
      <c r="J1174" s="31">
        <f>LET(pc,ABS(F1174),oc,ABS(H1174),IF(OR(pc="",oc=""),"",MAX(1,MIN(5,ROUND((pc*0.5+oc*0.00001)*5,0))))))</f>
        <v/>
      </c>
    </row>
    <row r="1175">
      <c r="A1175" s="31" t="n">
        <v>1173</v>
      </c>
      <c r="B1175" s="31">
        <f>CHAIN_RAW!D1173</f>
        <v/>
      </c>
      <c r="C1175" s="31">
        <f>CHAIN_RAW!A1173</f>
        <v/>
      </c>
      <c r="D1175" s="31">
        <f>CHAIN_RAW!C1173</f>
        <v/>
      </c>
      <c r="E1175" s="31">
        <f>CHAIN_RAW!E1173</f>
        <v/>
      </c>
      <c r="F1175" s="31">
        <f>CHAIN_RAW!F1173</f>
        <v/>
      </c>
      <c r="G1175" s="31">
        <f>CHAIN_RAW!I1173</f>
        <v/>
      </c>
      <c r="H1175" s="31">
        <f>CHAIN_RAW!Q1173</f>
        <v/>
      </c>
      <c r="I1175" s="31">
        <f>LET(pc,F1175,oc,H1175,IF(OR(pc="",oc=""),"",IF(AND(pc&gt;0,oc&gt;0),"Long Buildup",IF(AND(pc&lt;0,oc&gt;0),"Short Buildup",IF(AND(pc&gt;0,oc&lt;0),"Short Covering",IF(AND(pc&lt;0,oc&lt;0),"Long Unwinding","Flat"))))))</f>
        <v/>
      </c>
      <c r="J1175" s="31">
        <f>LET(pc,ABS(F1175),oc,ABS(H1175),IF(OR(pc="",oc=""),"",MAX(1,MIN(5,ROUND((pc*0.5+oc*0.00001)*5,0))))))</f>
        <v/>
      </c>
    </row>
    <row r="1176">
      <c r="A1176" s="31" t="n">
        <v>1174</v>
      </c>
      <c r="B1176" s="31">
        <f>CHAIN_RAW!D1174</f>
        <v/>
      </c>
      <c r="C1176" s="31">
        <f>CHAIN_RAW!A1174</f>
        <v/>
      </c>
      <c r="D1176" s="31">
        <f>CHAIN_RAW!C1174</f>
        <v/>
      </c>
      <c r="E1176" s="31">
        <f>CHAIN_RAW!E1174</f>
        <v/>
      </c>
      <c r="F1176" s="31">
        <f>CHAIN_RAW!F1174</f>
        <v/>
      </c>
      <c r="G1176" s="31">
        <f>CHAIN_RAW!I1174</f>
        <v/>
      </c>
      <c r="H1176" s="31">
        <f>CHAIN_RAW!Q1174</f>
        <v/>
      </c>
      <c r="I1176" s="31">
        <f>LET(pc,F1176,oc,H1176,IF(OR(pc="",oc=""),"",IF(AND(pc&gt;0,oc&gt;0),"Long Buildup",IF(AND(pc&lt;0,oc&gt;0),"Short Buildup",IF(AND(pc&gt;0,oc&lt;0),"Short Covering",IF(AND(pc&lt;0,oc&lt;0),"Long Unwinding","Flat"))))))</f>
        <v/>
      </c>
      <c r="J1176" s="31">
        <f>LET(pc,ABS(F1176),oc,ABS(H1176),IF(OR(pc="",oc=""),"",MAX(1,MIN(5,ROUND((pc*0.5+oc*0.00001)*5,0))))))</f>
        <v/>
      </c>
    </row>
    <row r="1177">
      <c r="A1177" s="31" t="n">
        <v>1175</v>
      </c>
      <c r="B1177" s="31">
        <f>CHAIN_RAW!D1175</f>
        <v/>
      </c>
      <c r="C1177" s="31">
        <f>CHAIN_RAW!A1175</f>
        <v/>
      </c>
      <c r="D1177" s="31">
        <f>CHAIN_RAW!C1175</f>
        <v/>
      </c>
      <c r="E1177" s="31">
        <f>CHAIN_RAW!E1175</f>
        <v/>
      </c>
      <c r="F1177" s="31">
        <f>CHAIN_RAW!F1175</f>
        <v/>
      </c>
      <c r="G1177" s="31">
        <f>CHAIN_RAW!I1175</f>
        <v/>
      </c>
      <c r="H1177" s="31">
        <f>CHAIN_RAW!Q1175</f>
        <v/>
      </c>
      <c r="I1177" s="31">
        <f>LET(pc,F1177,oc,H1177,IF(OR(pc="",oc=""),"",IF(AND(pc&gt;0,oc&gt;0),"Long Buildup",IF(AND(pc&lt;0,oc&gt;0),"Short Buildup",IF(AND(pc&gt;0,oc&lt;0),"Short Covering",IF(AND(pc&lt;0,oc&lt;0),"Long Unwinding","Flat"))))))</f>
        <v/>
      </c>
      <c r="J1177" s="31">
        <f>LET(pc,ABS(F1177),oc,ABS(H1177),IF(OR(pc="",oc=""),"",MAX(1,MIN(5,ROUND((pc*0.5+oc*0.00001)*5,0))))))</f>
        <v/>
      </c>
    </row>
    <row r="1178">
      <c r="A1178" s="31" t="n">
        <v>1176</v>
      </c>
      <c r="B1178" s="31">
        <f>CHAIN_RAW!D1176</f>
        <v/>
      </c>
      <c r="C1178" s="31">
        <f>CHAIN_RAW!A1176</f>
        <v/>
      </c>
      <c r="D1178" s="31">
        <f>CHAIN_RAW!C1176</f>
        <v/>
      </c>
      <c r="E1178" s="31">
        <f>CHAIN_RAW!E1176</f>
        <v/>
      </c>
      <c r="F1178" s="31">
        <f>CHAIN_RAW!F1176</f>
        <v/>
      </c>
      <c r="G1178" s="31">
        <f>CHAIN_RAW!I1176</f>
        <v/>
      </c>
      <c r="H1178" s="31">
        <f>CHAIN_RAW!Q1176</f>
        <v/>
      </c>
      <c r="I1178" s="31">
        <f>LET(pc,F1178,oc,H1178,IF(OR(pc="",oc=""),"",IF(AND(pc&gt;0,oc&gt;0),"Long Buildup",IF(AND(pc&lt;0,oc&gt;0),"Short Buildup",IF(AND(pc&gt;0,oc&lt;0),"Short Covering",IF(AND(pc&lt;0,oc&lt;0),"Long Unwinding","Flat"))))))</f>
        <v/>
      </c>
      <c r="J1178" s="31">
        <f>LET(pc,ABS(F1178),oc,ABS(H1178),IF(OR(pc="",oc=""),"",MAX(1,MIN(5,ROUND((pc*0.5+oc*0.00001)*5,0))))))</f>
        <v/>
      </c>
    </row>
    <row r="1179">
      <c r="A1179" s="31" t="n">
        <v>1177</v>
      </c>
      <c r="B1179" s="31">
        <f>CHAIN_RAW!D1177</f>
        <v/>
      </c>
      <c r="C1179" s="31">
        <f>CHAIN_RAW!A1177</f>
        <v/>
      </c>
      <c r="D1179" s="31">
        <f>CHAIN_RAW!C1177</f>
        <v/>
      </c>
      <c r="E1179" s="31">
        <f>CHAIN_RAW!E1177</f>
        <v/>
      </c>
      <c r="F1179" s="31">
        <f>CHAIN_RAW!F1177</f>
        <v/>
      </c>
      <c r="G1179" s="31">
        <f>CHAIN_RAW!I1177</f>
        <v/>
      </c>
      <c r="H1179" s="31">
        <f>CHAIN_RAW!Q1177</f>
        <v/>
      </c>
      <c r="I1179" s="31">
        <f>LET(pc,F1179,oc,H1179,IF(OR(pc="",oc=""),"",IF(AND(pc&gt;0,oc&gt;0),"Long Buildup",IF(AND(pc&lt;0,oc&gt;0),"Short Buildup",IF(AND(pc&gt;0,oc&lt;0),"Short Covering",IF(AND(pc&lt;0,oc&lt;0),"Long Unwinding","Flat"))))))</f>
        <v/>
      </c>
      <c r="J1179" s="31">
        <f>LET(pc,ABS(F1179),oc,ABS(H1179),IF(OR(pc="",oc=""),"",MAX(1,MIN(5,ROUND((pc*0.5+oc*0.00001)*5,0))))))</f>
        <v/>
      </c>
    </row>
    <row r="1180">
      <c r="A1180" s="31" t="n">
        <v>1178</v>
      </c>
      <c r="B1180" s="31">
        <f>CHAIN_RAW!D1178</f>
        <v/>
      </c>
      <c r="C1180" s="31">
        <f>CHAIN_RAW!A1178</f>
        <v/>
      </c>
      <c r="D1180" s="31">
        <f>CHAIN_RAW!C1178</f>
        <v/>
      </c>
      <c r="E1180" s="31">
        <f>CHAIN_RAW!E1178</f>
        <v/>
      </c>
      <c r="F1180" s="31">
        <f>CHAIN_RAW!F1178</f>
        <v/>
      </c>
      <c r="G1180" s="31">
        <f>CHAIN_RAW!I1178</f>
        <v/>
      </c>
      <c r="H1180" s="31">
        <f>CHAIN_RAW!Q1178</f>
        <v/>
      </c>
      <c r="I1180" s="31">
        <f>LET(pc,F1180,oc,H1180,IF(OR(pc="",oc=""),"",IF(AND(pc&gt;0,oc&gt;0),"Long Buildup",IF(AND(pc&lt;0,oc&gt;0),"Short Buildup",IF(AND(pc&gt;0,oc&lt;0),"Short Covering",IF(AND(pc&lt;0,oc&lt;0),"Long Unwinding","Flat"))))))</f>
        <v/>
      </c>
      <c r="J1180" s="31">
        <f>LET(pc,ABS(F1180),oc,ABS(H1180),IF(OR(pc="",oc=""),"",MAX(1,MIN(5,ROUND((pc*0.5+oc*0.00001)*5,0))))))</f>
        <v/>
      </c>
    </row>
    <row r="1181">
      <c r="A1181" s="31" t="n">
        <v>1179</v>
      </c>
      <c r="B1181" s="31">
        <f>CHAIN_RAW!D1179</f>
        <v/>
      </c>
      <c r="C1181" s="31">
        <f>CHAIN_RAW!A1179</f>
        <v/>
      </c>
      <c r="D1181" s="31">
        <f>CHAIN_RAW!C1179</f>
        <v/>
      </c>
      <c r="E1181" s="31">
        <f>CHAIN_RAW!E1179</f>
        <v/>
      </c>
      <c r="F1181" s="31">
        <f>CHAIN_RAW!F1179</f>
        <v/>
      </c>
      <c r="G1181" s="31">
        <f>CHAIN_RAW!I1179</f>
        <v/>
      </c>
      <c r="H1181" s="31">
        <f>CHAIN_RAW!Q1179</f>
        <v/>
      </c>
      <c r="I1181" s="31">
        <f>LET(pc,F1181,oc,H1181,IF(OR(pc="",oc=""),"",IF(AND(pc&gt;0,oc&gt;0),"Long Buildup",IF(AND(pc&lt;0,oc&gt;0),"Short Buildup",IF(AND(pc&gt;0,oc&lt;0),"Short Covering",IF(AND(pc&lt;0,oc&lt;0),"Long Unwinding","Flat"))))))</f>
        <v/>
      </c>
      <c r="J1181" s="31">
        <f>LET(pc,ABS(F1181),oc,ABS(H1181),IF(OR(pc="",oc=""),"",MAX(1,MIN(5,ROUND((pc*0.5+oc*0.00001)*5,0))))))</f>
        <v/>
      </c>
    </row>
    <row r="1182">
      <c r="A1182" s="31" t="n">
        <v>1180</v>
      </c>
      <c r="B1182" s="31">
        <f>CHAIN_RAW!D1180</f>
        <v/>
      </c>
      <c r="C1182" s="31">
        <f>CHAIN_RAW!A1180</f>
        <v/>
      </c>
      <c r="D1182" s="31">
        <f>CHAIN_RAW!C1180</f>
        <v/>
      </c>
      <c r="E1182" s="31">
        <f>CHAIN_RAW!E1180</f>
        <v/>
      </c>
      <c r="F1182" s="31">
        <f>CHAIN_RAW!F1180</f>
        <v/>
      </c>
      <c r="G1182" s="31">
        <f>CHAIN_RAW!I1180</f>
        <v/>
      </c>
      <c r="H1182" s="31">
        <f>CHAIN_RAW!Q1180</f>
        <v/>
      </c>
      <c r="I1182" s="31">
        <f>LET(pc,F1182,oc,H1182,IF(OR(pc="",oc=""),"",IF(AND(pc&gt;0,oc&gt;0),"Long Buildup",IF(AND(pc&lt;0,oc&gt;0),"Short Buildup",IF(AND(pc&gt;0,oc&lt;0),"Short Covering",IF(AND(pc&lt;0,oc&lt;0),"Long Unwinding","Flat"))))))</f>
        <v/>
      </c>
      <c r="J1182" s="31">
        <f>LET(pc,ABS(F1182),oc,ABS(H1182),IF(OR(pc="",oc=""),"",MAX(1,MIN(5,ROUND((pc*0.5+oc*0.00001)*5,0))))))</f>
        <v/>
      </c>
    </row>
    <row r="1183">
      <c r="A1183" s="31" t="n">
        <v>1181</v>
      </c>
      <c r="B1183" s="31">
        <f>CHAIN_RAW!D1181</f>
        <v/>
      </c>
      <c r="C1183" s="31">
        <f>CHAIN_RAW!A1181</f>
        <v/>
      </c>
      <c r="D1183" s="31">
        <f>CHAIN_RAW!C1181</f>
        <v/>
      </c>
      <c r="E1183" s="31">
        <f>CHAIN_RAW!E1181</f>
        <v/>
      </c>
      <c r="F1183" s="31">
        <f>CHAIN_RAW!F1181</f>
        <v/>
      </c>
      <c r="G1183" s="31">
        <f>CHAIN_RAW!I1181</f>
        <v/>
      </c>
      <c r="H1183" s="31">
        <f>CHAIN_RAW!Q1181</f>
        <v/>
      </c>
      <c r="I1183" s="31">
        <f>LET(pc,F1183,oc,H1183,IF(OR(pc="",oc=""),"",IF(AND(pc&gt;0,oc&gt;0),"Long Buildup",IF(AND(pc&lt;0,oc&gt;0),"Short Buildup",IF(AND(pc&gt;0,oc&lt;0),"Short Covering",IF(AND(pc&lt;0,oc&lt;0),"Long Unwinding","Flat"))))))</f>
        <v/>
      </c>
      <c r="J1183" s="31">
        <f>LET(pc,ABS(F1183),oc,ABS(H1183),IF(OR(pc="",oc=""),"",MAX(1,MIN(5,ROUND((pc*0.5+oc*0.00001)*5,0))))))</f>
        <v/>
      </c>
    </row>
    <row r="1184">
      <c r="A1184" s="31" t="n">
        <v>1182</v>
      </c>
      <c r="B1184" s="31">
        <f>CHAIN_RAW!D1182</f>
        <v/>
      </c>
      <c r="C1184" s="31">
        <f>CHAIN_RAW!A1182</f>
        <v/>
      </c>
      <c r="D1184" s="31">
        <f>CHAIN_RAW!C1182</f>
        <v/>
      </c>
      <c r="E1184" s="31">
        <f>CHAIN_RAW!E1182</f>
        <v/>
      </c>
      <c r="F1184" s="31">
        <f>CHAIN_RAW!F1182</f>
        <v/>
      </c>
      <c r="G1184" s="31">
        <f>CHAIN_RAW!I1182</f>
        <v/>
      </c>
      <c r="H1184" s="31">
        <f>CHAIN_RAW!Q1182</f>
        <v/>
      </c>
      <c r="I1184" s="31">
        <f>LET(pc,F1184,oc,H1184,IF(OR(pc="",oc=""),"",IF(AND(pc&gt;0,oc&gt;0),"Long Buildup",IF(AND(pc&lt;0,oc&gt;0),"Short Buildup",IF(AND(pc&gt;0,oc&lt;0),"Short Covering",IF(AND(pc&lt;0,oc&lt;0),"Long Unwinding","Flat"))))))</f>
        <v/>
      </c>
      <c r="J1184" s="31">
        <f>LET(pc,ABS(F1184),oc,ABS(H1184),IF(OR(pc="",oc=""),"",MAX(1,MIN(5,ROUND((pc*0.5+oc*0.00001)*5,0))))))</f>
        <v/>
      </c>
    </row>
    <row r="1185">
      <c r="A1185" s="31" t="n">
        <v>1183</v>
      </c>
      <c r="B1185" s="31">
        <f>CHAIN_RAW!D1183</f>
        <v/>
      </c>
      <c r="C1185" s="31">
        <f>CHAIN_RAW!A1183</f>
        <v/>
      </c>
      <c r="D1185" s="31">
        <f>CHAIN_RAW!C1183</f>
        <v/>
      </c>
      <c r="E1185" s="31">
        <f>CHAIN_RAW!E1183</f>
        <v/>
      </c>
      <c r="F1185" s="31">
        <f>CHAIN_RAW!F1183</f>
        <v/>
      </c>
      <c r="G1185" s="31">
        <f>CHAIN_RAW!I1183</f>
        <v/>
      </c>
      <c r="H1185" s="31">
        <f>CHAIN_RAW!Q1183</f>
        <v/>
      </c>
      <c r="I1185" s="31">
        <f>LET(pc,F1185,oc,H1185,IF(OR(pc="",oc=""),"",IF(AND(pc&gt;0,oc&gt;0),"Long Buildup",IF(AND(pc&lt;0,oc&gt;0),"Short Buildup",IF(AND(pc&gt;0,oc&lt;0),"Short Covering",IF(AND(pc&lt;0,oc&lt;0),"Long Unwinding","Flat"))))))</f>
        <v/>
      </c>
      <c r="J1185" s="31">
        <f>LET(pc,ABS(F1185),oc,ABS(H1185),IF(OR(pc="",oc=""),"",MAX(1,MIN(5,ROUND((pc*0.5+oc*0.00001)*5,0))))))</f>
        <v/>
      </c>
    </row>
    <row r="1186">
      <c r="A1186" s="31" t="n">
        <v>1184</v>
      </c>
      <c r="B1186" s="31">
        <f>CHAIN_RAW!D1184</f>
        <v/>
      </c>
      <c r="C1186" s="31">
        <f>CHAIN_RAW!A1184</f>
        <v/>
      </c>
      <c r="D1186" s="31">
        <f>CHAIN_RAW!C1184</f>
        <v/>
      </c>
      <c r="E1186" s="31">
        <f>CHAIN_RAW!E1184</f>
        <v/>
      </c>
      <c r="F1186" s="31">
        <f>CHAIN_RAW!F1184</f>
        <v/>
      </c>
      <c r="G1186" s="31">
        <f>CHAIN_RAW!I1184</f>
        <v/>
      </c>
      <c r="H1186" s="31">
        <f>CHAIN_RAW!Q1184</f>
        <v/>
      </c>
      <c r="I1186" s="31">
        <f>LET(pc,F1186,oc,H1186,IF(OR(pc="",oc=""),"",IF(AND(pc&gt;0,oc&gt;0),"Long Buildup",IF(AND(pc&lt;0,oc&gt;0),"Short Buildup",IF(AND(pc&gt;0,oc&lt;0),"Short Covering",IF(AND(pc&lt;0,oc&lt;0),"Long Unwinding","Flat"))))))</f>
        <v/>
      </c>
      <c r="J1186" s="31">
        <f>LET(pc,ABS(F1186),oc,ABS(H1186),IF(OR(pc="",oc=""),"",MAX(1,MIN(5,ROUND((pc*0.5+oc*0.00001)*5,0))))))</f>
        <v/>
      </c>
    </row>
    <row r="1187">
      <c r="A1187" s="31" t="n">
        <v>1185</v>
      </c>
      <c r="B1187" s="31">
        <f>CHAIN_RAW!D1185</f>
        <v/>
      </c>
      <c r="C1187" s="31">
        <f>CHAIN_RAW!A1185</f>
        <v/>
      </c>
      <c r="D1187" s="31">
        <f>CHAIN_RAW!C1185</f>
        <v/>
      </c>
      <c r="E1187" s="31">
        <f>CHAIN_RAW!E1185</f>
        <v/>
      </c>
      <c r="F1187" s="31">
        <f>CHAIN_RAW!F1185</f>
        <v/>
      </c>
      <c r="G1187" s="31">
        <f>CHAIN_RAW!I1185</f>
        <v/>
      </c>
      <c r="H1187" s="31">
        <f>CHAIN_RAW!Q1185</f>
        <v/>
      </c>
      <c r="I1187" s="31">
        <f>LET(pc,F1187,oc,H1187,IF(OR(pc="",oc=""),"",IF(AND(pc&gt;0,oc&gt;0),"Long Buildup",IF(AND(pc&lt;0,oc&gt;0),"Short Buildup",IF(AND(pc&gt;0,oc&lt;0),"Short Covering",IF(AND(pc&lt;0,oc&lt;0),"Long Unwinding","Flat"))))))</f>
        <v/>
      </c>
      <c r="J1187" s="31">
        <f>LET(pc,ABS(F1187),oc,ABS(H1187),IF(OR(pc="",oc=""),"",MAX(1,MIN(5,ROUND((pc*0.5+oc*0.00001)*5,0))))))</f>
        <v/>
      </c>
    </row>
    <row r="1188">
      <c r="A1188" s="31" t="n">
        <v>1186</v>
      </c>
      <c r="B1188" s="31">
        <f>CHAIN_RAW!D1186</f>
        <v/>
      </c>
      <c r="C1188" s="31">
        <f>CHAIN_RAW!A1186</f>
        <v/>
      </c>
      <c r="D1188" s="31">
        <f>CHAIN_RAW!C1186</f>
        <v/>
      </c>
      <c r="E1188" s="31">
        <f>CHAIN_RAW!E1186</f>
        <v/>
      </c>
      <c r="F1188" s="31">
        <f>CHAIN_RAW!F1186</f>
        <v/>
      </c>
      <c r="G1188" s="31">
        <f>CHAIN_RAW!I1186</f>
        <v/>
      </c>
      <c r="H1188" s="31">
        <f>CHAIN_RAW!Q1186</f>
        <v/>
      </c>
      <c r="I1188" s="31">
        <f>LET(pc,F1188,oc,H1188,IF(OR(pc="",oc=""),"",IF(AND(pc&gt;0,oc&gt;0),"Long Buildup",IF(AND(pc&lt;0,oc&gt;0),"Short Buildup",IF(AND(pc&gt;0,oc&lt;0),"Short Covering",IF(AND(pc&lt;0,oc&lt;0),"Long Unwinding","Flat"))))))</f>
        <v/>
      </c>
      <c r="J1188" s="31">
        <f>LET(pc,ABS(F1188),oc,ABS(H1188),IF(OR(pc="",oc=""),"",MAX(1,MIN(5,ROUND((pc*0.5+oc*0.00001)*5,0))))))</f>
        <v/>
      </c>
    </row>
    <row r="1189">
      <c r="A1189" s="31" t="n">
        <v>1187</v>
      </c>
      <c r="B1189" s="31">
        <f>CHAIN_RAW!D1187</f>
        <v/>
      </c>
      <c r="C1189" s="31">
        <f>CHAIN_RAW!A1187</f>
        <v/>
      </c>
      <c r="D1189" s="31">
        <f>CHAIN_RAW!C1187</f>
        <v/>
      </c>
      <c r="E1189" s="31">
        <f>CHAIN_RAW!E1187</f>
        <v/>
      </c>
      <c r="F1189" s="31">
        <f>CHAIN_RAW!F1187</f>
        <v/>
      </c>
      <c r="G1189" s="31">
        <f>CHAIN_RAW!I1187</f>
        <v/>
      </c>
      <c r="H1189" s="31">
        <f>CHAIN_RAW!Q1187</f>
        <v/>
      </c>
      <c r="I1189" s="31">
        <f>LET(pc,F1189,oc,H1189,IF(OR(pc="",oc=""),"",IF(AND(pc&gt;0,oc&gt;0),"Long Buildup",IF(AND(pc&lt;0,oc&gt;0),"Short Buildup",IF(AND(pc&gt;0,oc&lt;0),"Short Covering",IF(AND(pc&lt;0,oc&lt;0),"Long Unwinding","Flat"))))))</f>
        <v/>
      </c>
      <c r="J1189" s="31">
        <f>LET(pc,ABS(F1189),oc,ABS(H1189),IF(OR(pc="",oc=""),"",MAX(1,MIN(5,ROUND((pc*0.5+oc*0.00001)*5,0))))))</f>
        <v/>
      </c>
    </row>
    <row r="1190">
      <c r="A1190" s="31" t="n">
        <v>1188</v>
      </c>
      <c r="B1190" s="31">
        <f>CHAIN_RAW!D1188</f>
        <v/>
      </c>
      <c r="C1190" s="31">
        <f>CHAIN_RAW!A1188</f>
        <v/>
      </c>
      <c r="D1190" s="31">
        <f>CHAIN_RAW!C1188</f>
        <v/>
      </c>
      <c r="E1190" s="31">
        <f>CHAIN_RAW!E1188</f>
        <v/>
      </c>
      <c r="F1190" s="31">
        <f>CHAIN_RAW!F1188</f>
        <v/>
      </c>
      <c r="G1190" s="31">
        <f>CHAIN_RAW!I1188</f>
        <v/>
      </c>
      <c r="H1190" s="31">
        <f>CHAIN_RAW!Q1188</f>
        <v/>
      </c>
      <c r="I1190" s="31">
        <f>LET(pc,F1190,oc,H1190,IF(OR(pc="",oc=""),"",IF(AND(pc&gt;0,oc&gt;0),"Long Buildup",IF(AND(pc&lt;0,oc&gt;0),"Short Buildup",IF(AND(pc&gt;0,oc&lt;0),"Short Covering",IF(AND(pc&lt;0,oc&lt;0),"Long Unwinding","Flat"))))))</f>
        <v/>
      </c>
      <c r="J1190" s="31">
        <f>LET(pc,ABS(F1190),oc,ABS(H1190),IF(OR(pc="",oc=""),"",MAX(1,MIN(5,ROUND((pc*0.5+oc*0.00001)*5,0))))))</f>
        <v/>
      </c>
    </row>
    <row r="1191">
      <c r="A1191" s="31" t="n">
        <v>1189</v>
      </c>
      <c r="B1191" s="31">
        <f>CHAIN_RAW!D1189</f>
        <v/>
      </c>
      <c r="C1191" s="31">
        <f>CHAIN_RAW!A1189</f>
        <v/>
      </c>
      <c r="D1191" s="31">
        <f>CHAIN_RAW!C1189</f>
        <v/>
      </c>
      <c r="E1191" s="31">
        <f>CHAIN_RAW!E1189</f>
        <v/>
      </c>
      <c r="F1191" s="31">
        <f>CHAIN_RAW!F1189</f>
        <v/>
      </c>
      <c r="G1191" s="31">
        <f>CHAIN_RAW!I1189</f>
        <v/>
      </c>
      <c r="H1191" s="31">
        <f>CHAIN_RAW!Q1189</f>
        <v/>
      </c>
      <c r="I1191" s="31">
        <f>LET(pc,F1191,oc,H1191,IF(OR(pc="",oc=""),"",IF(AND(pc&gt;0,oc&gt;0),"Long Buildup",IF(AND(pc&lt;0,oc&gt;0),"Short Buildup",IF(AND(pc&gt;0,oc&lt;0),"Short Covering",IF(AND(pc&lt;0,oc&lt;0),"Long Unwinding","Flat"))))))</f>
        <v/>
      </c>
      <c r="J1191" s="31">
        <f>LET(pc,ABS(F1191),oc,ABS(H1191),IF(OR(pc="",oc=""),"",MAX(1,MIN(5,ROUND((pc*0.5+oc*0.00001)*5,0))))))</f>
        <v/>
      </c>
    </row>
    <row r="1192">
      <c r="A1192" s="31" t="n">
        <v>1190</v>
      </c>
      <c r="B1192" s="31">
        <f>CHAIN_RAW!D1190</f>
        <v/>
      </c>
      <c r="C1192" s="31">
        <f>CHAIN_RAW!A1190</f>
        <v/>
      </c>
      <c r="D1192" s="31">
        <f>CHAIN_RAW!C1190</f>
        <v/>
      </c>
      <c r="E1192" s="31">
        <f>CHAIN_RAW!E1190</f>
        <v/>
      </c>
      <c r="F1192" s="31">
        <f>CHAIN_RAW!F1190</f>
        <v/>
      </c>
      <c r="G1192" s="31">
        <f>CHAIN_RAW!I1190</f>
        <v/>
      </c>
      <c r="H1192" s="31">
        <f>CHAIN_RAW!Q1190</f>
        <v/>
      </c>
      <c r="I1192" s="31">
        <f>LET(pc,F1192,oc,H1192,IF(OR(pc="",oc=""),"",IF(AND(pc&gt;0,oc&gt;0),"Long Buildup",IF(AND(pc&lt;0,oc&gt;0),"Short Buildup",IF(AND(pc&gt;0,oc&lt;0),"Short Covering",IF(AND(pc&lt;0,oc&lt;0),"Long Unwinding","Flat"))))))</f>
        <v/>
      </c>
      <c r="J1192" s="31">
        <f>LET(pc,ABS(F1192),oc,ABS(H1192),IF(OR(pc="",oc=""),"",MAX(1,MIN(5,ROUND((pc*0.5+oc*0.00001)*5,0))))))</f>
        <v/>
      </c>
    </row>
    <row r="1193">
      <c r="A1193" s="31" t="n">
        <v>1191</v>
      </c>
      <c r="B1193" s="31">
        <f>CHAIN_RAW!D1191</f>
        <v/>
      </c>
      <c r="C1193" s="31">
        <f>CHAIN_RAW!A1191</f>
        <v/>
      </c>
      <c r="D1193" s="31">
        <f>CHAIN_RAW!C1191</f>
        <v/>
      </c>
      <c r="E1193" s="31">
        <f>CHAIN_RAW!E1191</f>
        <v/>
      </c>
      <c r="F1193" s="31">
        <f>CHAIN_RAW!F1191</f>
        <v/>
      </c>
      <c r="G1193" s="31">
        <f>CHAIN_RAW!I1191</f>
        <v/>
      </c>
      <c r="H1193" s="31">
        <f>CHAIN_RAW!Q1191</f>
        <v/>
      </c>
      <c r="I1193" s="31">
        <f>LET(pc,F1193,oc,H1193,IF(OR(pc="",oc=""),"",IF(AND(pc&gt;0,oc&gt;0),"Long Buildup",IF(AND(pc&lt;0,oc&gt;0),"Short Buildup",IF(AND(pc&gt;0,oc&lt;0),"Short Covering",IF(AND(pc&lt;0,oc&lt;0),"Long Unwinding","Flat"))))))</f>
        <v/>
      </c>
      <c r="J1193" s="31">
        <f>LET(pc,ABS(F1193),oc,ABS(H1193),IF(OR(pc="",oc=""),"",MAX(1,MIN(5,ROUND((pc*0.5+oc*0.00001)*5,0))))))</f>
        <v/>
      </c>
    </row>
    <row r="1194">
      <c r="A1194" s="31" t="n">
        <v>1192</v>
      </c>
      <c r="B1194" s="31">
        <f>CHAIN_RAW!D1192</f>
        <v/>
      </c>
      <c r="C1194" s="31">
        <f>CHAIN_RAW!A1192</f>
        <v/>
      </c>
      <c r="D1194" s="31">
        <f>CHAIN_RAW!C1192</f>
        <v/>
      </c>
      <c r="E1194" s="31">
        <f>CHAIN_RAW!E1192</f>
        <v/>
      </c>
      <c r="F1194" s="31">
        <f>CHAIN_RAW!F1192</f>
        <v/>
      </c>
      <c r="G1194" s="31">
        <f>CHAIN_RAW!I1192</f>
        <v/>
      </c>
      <c r="H1194" s="31">
        <f>CHAIN_RAW!Q1192</f>
        <v/>
      </c>
      <c r="I1194" s="31">
        <f>LET(pc,F1194,oc,H1194,IF(OR(pc="",oc=""),"",IF(AND(pc&gt;0,oc&gt;0),"Long Buildup",IF(AND(pc&lt;0,oc&gt;0),"Short Buildup",IF(AND(pc&gt;0,oc&lt;0),"Short Covering",IF(AND(pc&lt;0,oc&lt;0),"Long Unwinding","Flat"))))))</f>
        <v/>
      </c>
      <c r="J1194" s="31">
        <f>LET(pc,ABS(F1194),oc,ABS(H1194),IF(OR(pc="",oc=""),"",MAX(1,MIN(5,ROUND((pc*0.5+oc*0.00001)*5,0))))))</f>
        <v/>
      </c>
    </row>
    <row r="1195">
      <c r="A1195" s="31" t="n">
        <v>1193</v>
      </c>
      <c r="B1195" s="31">
        <f>CHAIN_RAW!D1193</f>
        <v/>
      </c>
      <c r="C1195" s="31">
        <f>CHAIN_RAW!A1193</f>
        <v/>
      </c>
      <c r="D1195" s="31">
        <f>CHAIN_RAW!C1193</f>
        <v/>
      </c>
      <c r="E1195" s="31">
        <f>CHAIN_RAW!E1193</f>
        <v/>
      </c>
      <c r="F1195" s="31">
        <f>CHAIN_RAW!F1193</f>
        <v/>
      </c>
      <c r="G1195" s="31">
        <f>CHAIN_RAW!I1193</f>
        <v/>
      </c>
      <c r="H1195" s="31">
        <f>CHAIN_RAW!Q1193</f>
        <v/>
      </c>
      <c r="I1195" s="31">
        <f>LET(pc,F1195,oc,H1195,IF(OR(pc="",oc=""),"",IF(AND(pc&gt;0,oc&gt;0),"Long Buildup",IF(AND(pc&lt;0,oc&gt;0),"Short Buildup",IF(AND(pc&gt;0,oc&lt;0),"Short Covering",IF(AND(pc&lt;0,oc&lt;0),"Long Unwinding","Flat"))))))</f>
        <v/>
      </c>
      <c r="J1195" s="31">
        <f>LET(pc,ABS(F1195),oc,ABS(H1195),IF(OR(pc="",oc=""),"",MAX(1,MIN(5,ROUND((pc*0.5+oc*0.00001)*5,0))))))</f>
        <v/>
      </c>
    </row>
    <row r="1196">
      <c r="A1196" s="31" t="n">
        <v>1194</v>
      </c>
      <c r="B1196" s="31">
        <f>CHAIN_RAW!D1194</f>
        <v/>
      </c>
      <c r="C1196" s="31">
        <f>CHAIN_RAW!A1194</f>
        <v/>
      </c>
      <c r="D1196" s="31">
        <f>CHAIN_RAW!C1194</f>
        <v/>
      </c>
      <c r="E1196" s="31">
        <f>CHAIN_RAW!E1194</f>
        <v/>
      </c>
      <c r="F1196" s="31">
        <f>CHAIN_RAW!F1194</f>
        <v/>
      </c>
      <c r="G1196" s="31">
        <f>CHAIN_RAW!I1194</f>
        <v/>
      </c>
      <c r="H1196" s="31">
        <f>CHAIN_RAW!Q1194</f>
        <v/>
      </c>
      <c r="I1196" s="31">
        <f>LET(pc,F1196,oc,H1196,IF(OR(pc="",oc=""),"",IF(AND(pc&gt;0,oc&gt;0),"Long Buildup",IF(AND(pc&lt;0,oc&gt;0),"Short Buildup",IF(AND(pc&gt;0,oc&lt;0),"Short Covering",IF(AND(pc&lt;0,oc&lt;0),"Long Unwinding","Flat"))))))</f>
        <v/>
      </c>
      <c r="J1196" s="31">
        <f>LET(pc,ABS(F1196),oc,ABS(H1196),IF(OR(pc="",oc=""),"",MAX(1,MIN(5,ROUND((pc*0.5+oc*0.00001)*5,0))))))</f>
        <v/>
      </c>
    </row>
    <row r="1197">
      <c r="A1197" s="31" t="n">
        <v>1195</v>
      </c>
      <c r="B1197" s="31">
        <f>CHAIN_RAW!D1195</f>
        <v/>
      </c>
      <c r="C1197" s="31">
        <f>CHAIN_RAW!A1195</f>
        <v/>
      </c>
      <c r="D1197" s="31">
        <f>CHAIN_RAW!C1195</f>
        <v/>
      </c>
      <c r="E1197" s="31">
        <f>CHAIN_RAW!E1195</f>
        <v/>
      </c>
      <c r="F1197" s="31">
        <f>CHAIN_RAW!F1195</f>
        <v/>
      </c>
      <c r="G1197" s="31">
        <f>CHAIN_RAW!I1195</f>
        <v/>
      </c>
      <c r="H1197" s="31">
        <f>CHAIN_RAW!Q1195</f>
        <v/>
      </c>
      <c r="I1197" s="31">
        <f>LET(pc,F1197,oc,H1197,IF(OR(pc="",oc=""),"",IF(AND(pc&gt;0,oc&gt;0),"Long Buildup",IF(AND(pc&lt;0,oc&gt;0),"Short Buildup",IF(AND(pc&gt;0,oc&lt;0),"Short Covering",IF(AND(pc&lt;0,oc&lt;0),"Long Unwinding","Flat"))))))</f>
        <v/>
      </c>
      <c r="J1197" s="31">
        <f>LET(pc,ABS(F1197),oc,ABS(H1197),IF(OR(pc="",oc=""),"",MAX(1,MIN(5,ROUND((pc*0.5+oc*0.00001)*5,0))))))</f>
        <v/>
      </c>
    </row>
    <row r="1198">
      <c r="A1198" s="31" t="n">
        <v>1196</v>
      </c>
      <c r="B1198" s="31">
        <f>CHAIN_RAW!D1196</f>
        <v/>
      </c>
      <c r="C1198" s="31">
        <f>CHAIN_RAW!A1196</f>
        <v/>
      </c>
      <c r="D1198" s="31">
        <f>CHAIN_RAW!C1196</f>
        <v/>
      </c>
      <c r="E1198" s="31">
        <f>CHAIN_RAW!E1196</f>
        <v/>
      </c>
      <c r="F1198" s="31">
        <f>CHAIN_RAW!F1196</f>
        <v/>
      </c>
      <c r="G1198" s="31">
        <f>CHAIN_RAW!I1196</f>
        <v/>
      </c>
      <c r="H1198" s="31">
        <f>CHAIN_RAW!Q1196</f>
        <v/>
      </c>
      <c r="I1198" s="31">
        <f>LET(pc,F1198,oc,H1198,IF(OR(pc="",oc=""),"",IF(AND(pc&gt;0,oc&gt;0),"Long Buildup",IF(AND(pc&lt;0,oc&gt;0),"Short Buildup",IF(AND(pc&gt;0,oc&lt;0),"Short Covering",IF(AND(pc&lt;0,oc&lt;0),"Long Unwinding","Flat"))))))</f>
        <v/>
      </c>
      <c r="J1198" s="31">
        <f>LET(pc,ABS(F1198),oc,ABS(H1198),IF(OR(pc="",oc=""),"",MAX(1,MIN(5,ROUND((pc*0.5+oc*0.00001)*5,0))))))</f>
        <v/>
      </c>
    </row>
    <row r="1199">
      <c r="A1199" s="31" t="n">
        <v>1197</v>
      </c>
      <c r="B1199" s="31">
        <f>CHAIN_RAW!D1197</f>
        <v/>
      </c>
      <c r="C1199" s="31">
        <f>CHAIN_RAW!A1197</f>
        <v/>
      </c>
      <c r="D1199" s="31">
        <f>CHAIN_RAW!C1197</f>
        <v/>
      </c>
      <c r="E1199" s="31">
        <f>CHAIN_RAW!E1197</f>
        <v/>
      </c>
      <c r="F1199" s="31">
        <f>CHAIN_RAW!F1197</f>
        <v/>
      </c>
      <c r="G1199" s="31">
        <f>CHAIN_RAW!I1197</f>
        <v/>
      </c>
      <c r="H1199" s="31">
        <f>CHAIN_RAW!Q1197</f>
        <v/>
      </c>
      <c r="I1199" s="31">
        <f>LET(pc,F1199,oc,H1199,IF(OR(pc="",oc=""),"",IF(AND(pc&gt;0,oc&gt;0),"Long Buildup",IF(AND(pc&lt;0,oc&gt;0),"Short Buildup",IF(AND(pc&gt;0,oc&lt;0),"Short Covering",IF(AND(pc&lt;0,oc&lt;0),"Long Unwinding","Flat"))))))</f>
        <v/>
      </c>
      <c r="J1199" s="31">
        <f>LET(pc,ABS(F1199),oc,ABS(H1199),IF(OR(pc="",oc=""),"",MAX(1,MIN(5,ROUND((pc*0.5+oc*0.00001)*5,0))))))</f>
        <v/>
      </c>
    </row>
    <row r="1200">
      <c r="A1200" s="31" t="n">
        <v>1198</v>
      </c>
      <c r="B1200" s="31">
        <f>CHAIN_RAW!D1198</f>
        <v/>
      </c>
      <c r="C1200" s="31">
        <f>CHAIN_RAW!A1198</f>
        <v/>
      </c>
      <c r="D1200" s="31">
        <f>CHAIN_RAW!C1198</f>
        <v/>
      </c>
      <c r="E1200" s="31">
        <f>CHAIN_RAW!E1198</f>
        <v/>
      </c>
      <c r="F1200" s="31">
        <f>CHAIN_RAW!F1198</f>
        <v/>
      </c>
      <c r="G1200" s="31">
        <f>CHAIN_RAW!I1198</f>
        <v/>
      </c>
      <c r="H1200" s="31">
        <f>CHAIN_RAW!Q1198</f>
        <v/>
      </c>
      <c r="I1200" s="31">
        <f>LET(pc,F1200,oc,H1200,IF(OR(pc="",oc=""),"",IF(AND(pc&gt;0,oc&gt;0),"Long Buildup",IF(AND(pc&lt;0,oc&gt;0),"Short Buildup",IF(AND(pc&gt;0,oc&lt;0),"Short Covering",IF(AND(pc&lt;0,oc&lt;0),"Long Unwinding","Flat"))))))</f>
        <v/>
      </c>
      <c r="J1200" s="31">
        <f>LET(pc,ABS(F1200),oc,ABS(H1200),IF(OR(pc="",oc=""),"",MAX(1,MIN(5,ROUND((pc*0.5+oc*0.00001)*5,0))))))</f>
        <v/>
      </c>
    </row>
    <row r="1201">
      <c r="A1201" s="31" t="n">
        <v>1199</v>
      </c>
      <c r="B1201" s="31">
        <f>CHAIN_RAW!D1199</f>
        <v/>
      </c>
      <c r="C1201" s="31">
        <f>CHAIN_RAW!A1199</f>
        <v/>
      </c>
      <c r="D1201" s="31">
        <f>CHAIN_RAW!C1199</f>
        <v/>
      </c>
      <c r="E1201" s="31">
        <f>CHAIN_RAW!E1199</f>
        <v/>
      </c>
      <c r="F1201" s="31">
        <f>CHAIN_RAW!F1199</f>
        <v/>
      </c>
      <c r="G1201" s="31">
        <f>CHAIN_RAW!I1199</f>
        <v/>
      </c>
      <c r="H1201" s="31">
        <f>CHAIN_RAW!Q1199</f>
        <v/>
      </c>
      <c r="I1201" s="31">
        <f>LET(pc,F1201,oc,H1201,IF(OR(pc="",oc=""),"",IF(AND(pc&gt;0,oc&gt;0),"Long Buildup",IF(AND(pc&lt;0,oc&gt;0),"Short Buildup",IF(AND(pc&gt;0,oc&lt;0),"Short Covering",IF(AND(pc&lt;0,oc&lt;0),"Long Unwinding","Flat"))))))</f>
        <v/>
      </c>
      <c r="J1201" s="31">
        <f>LET(pc,ABS(F1201),oc,ABS(H1201),IF(OR(pc="",oc=""),"",MAX(1,MIN(5,ROUND((pc*0.5+oc*0.00001)*5,0))))))</f>
        <v/>
      </c>
    </row>
    <row r="1202">
      <c r="A1202" s="31" t="n">
        <v>1200</v>
      </c>
      <c r="B1202" s="31">
        <f>CHAIN_RAW!D1200</f>
        <v/>
      </c>
      <c r="C1202" s="31">
        <f>CHAIN_RAW!A1200</f>
        <v/>
      </c>
      <c r="D1202" s="31">
        <f>CHAIN_RAW!C1200</f>
        <v/>
      </c>
      <c r="E1202" s="31">
        <f>CHAIN_RAW!E1200</f>
        <v/>
      </c>
      <c r="F1202" s="31">
        <f>CHAIN_RAW!F1200</f>
        <v/>
      </c>
      <c r="G1202" s="31">
        <f>CHAIN_RAW!I1200</f>
        <v/>
      </c>
      <c r="H1202" s="31">
        <f>CHAIN_RAW!Q1200</f>
        <v/>
      </c>
      <c r="I1202" s="31">
        <f>LET(pc,F1202,oc,H1202,IF(OR(pc="",oc=""),"",IF(AND(pc&gt;0,oc&gt;0),"Long Buildup",IF(AND(pc&lt;0,oc&gt;0),"Short Buildup",IF(AND(pc&gt;0,oc&lt;0),"Short Covering",IF(AND(pc&lt;0,oc&lt;0),"Long Unwinding","Flat"))))))</f>
        <v/>
      </c>
      <c r="J1202" s="31">
        <f>LET(pc,ABS(F1202),oc,ABS(H1202),IF(OR(pc="",oc=""),"",MAX(1,MIN(5,ROUND((pc*0.5+oc*0.00001)*5,0))))))</f>
        <v/>
      </c>
    </row>
    <row r="1203">
      <c r="A1203" s="31" t="n">
        <v>1201</v>
      </c>
      <c r="B1203" s="31">
        <f>CHAIN_RAW!D1201</f>
        <v/>
      </c>
      <c r="C1203" s="31">
        <f>CHAIN_RAW!A1201</f>
        <v/>
      </c>
      <c r="D1203" s="31">
        <f>CHAIN_RAW!C1201</f>
        <v/>
      </c>
      <c r="E1203" s="31">
        <f>CHAIN_RAW!E1201</f>
        <v/>
      </c>
      <c r="F1203" s="31">
        <f>CHAIN_RAW!F1201</f>
        <v/>
      </c>
      <c r="G1203" s="31">
        <f>CHAIN_RAW!I1201</f>
        <v/>
      </c>
      <c r="H1203" s="31">
        <f>CHAIN_RAW!Q1201</f>
        <v/>
      </c>
      <c r="I1203" s="31">
        <f>LET(pc,F1203,oc,H1203,IF(OR(pc="",oc=""),"",IF(AND(pc&gt;0,oc&gt;0),"Long Buildup",IF(AND(pc&lt;0,oc&gt;0),"Short Buildup",IF(AND(pc&gt;0,oc&lt;0),"Short Covering",IF(AND(pc&lt;0,oc&lt;0),"Long Unwinding","Flat"))))))</f>
        <v/>
      </c>
      <c r="J1203" s="31">
        <f>LET(pc,ABS(F1203),oc,ABS(H1203),IF(OR(pc="",oc=""),"",MAX(1,MIN(5,ROUND((pc*0.5+oc*0.00001)*5,0))))))</f>
        <v/>
      </c>
    </row>
    <row r="1204">
      <c r="A1204" s="31" t="n">
        <v>1202</v>
      </c>
      <c r="B1204" s="31">
        <f>CHAIN_RAW!D1202</f>
        <v/>
      </c>
      <c r="C1204" s="31">
        <f>CHAIN_RAW!A1202</f>
        <v/>
      </c>
      <c r="D1204" s="31">
        <f>CHAIN_RAW!C1202</f>
        <v/>
      </c>
      <c r="E1204" s="31">
        <f>CHAIN_RAW!E1202</f>
        <v/>
      </c>
      <c r="F1204" s="31">
        <f>CHAIN_RAW!F1202</f>
        <v/>
      </c>
      <c r="G1204" s="31">
        <f>CHAIN_RAW!I1202</f>
        <v/>
      </c>
      <c r="H1204" s="31">
        <f>CHAIN_RAW!Q1202</f>
        <v/>
      </c>
      <c r="I1204" s="31">
        <f>LET(pc,F1204,oc,H1204,IF(OR(pc="",oc=""),"",IF(AND(pc&gt;0,oc&gt;0),"Long Buildup",IF(AND(pc&lt;0,oc&gt;0),"Short Buildup",IF(AND(pc&gt;0,oc&lt;0),"Short Covering",IF(AND(pc&lt;0,oc&lt;0),"Long Unwinding","Flat"))))))</f>
        <v/>
      </c>
      <c r="J1204" s="31">
        <f>LET(pc,ABS(F1204),oc,ABS(H1204),IF(OR(pc="",oc=""),"",MAX(1,MIN(5,ROUND((pc*0.5+oc*0.00001)*5,0))))))</f>
        <v/>
      </c>
    </row>
    <row r="1205">
      <c r="A1205" s="31" t="n">
        <v>1203</v>
      </c>
      <c r="B1205" s="31">
        <f>CHAIN_RAW!D1203</f>
        <v/>
      </c>
      <c r="C1205" s="31">
        <f>CHAIN_RAW!A1203</f>
        <v/>
      </c>
      <c r="D1205" s="31">
        <f>CHAIN_RAW!C1203</f>
        <v/>
      </c>
      <c r="E1205" s="31">
        <f>CHAIN_RAW!E1203</f>
        <v/>
      </c>
      <c r="F1205" s="31">
        <f>CHAIN_RAW!F1203</f>
        <v/>
      </c>
      <c r="G1205" s="31">
        <f>CHAIN_RAW!I1203</f>
        <v/>
      </c>
      <c r="H1205" s="31">
        <f>CHAIN_RAW!Q1203</f>
        <v/>
      </c>
      <c r="I1205" s="31">
        <f>LET(pc,F1205,oc,H1205,IF(OR(pc="",oc=""),"",IF(AND(pc&gt;0,oc&gt;0),"Long Buildup",IF(AND(pc&lt;0,oc&gt;0),"Short Buildup",IF(AND(pc&gt;0,oc&lt;0),"Short Covering",IF(AND(pc&lt;0,oc&lt;0),"Long Unwinding","Flat"))))))</f>
        <v/>
      </c>
      <c r="J1205" s="31">
        <f>LET(pc,ABS(F1205),oc,ABS(H1205),IF(OR(pc="",oc=""),"",MAX(1,MIN(5,ROUND((pc*0.5+oc*0.00001)*5,0))))))</f>
        <v/>
      </c>
    </row>
    <row r="1206">
      <c r="A1206" s="31" t="n">
        <v>1204</v>
      </c>
      <c r="B1206" s="31">
        <f>CHAIN_RAW!D1204</f>
        <v/>
      </c>
      <c r="C1206" s="31">
        <f>CHAIN_RAW!A1204</f>
        <v/>
      </c>
      <c r="D1206" s="31">
        <f>CHAIN_RAW!C1204</f>
        <v/>
      </c>
      <c r="E1206" s="31">
        <f>CHAIN_RAW!E1204</f>
        <v/>
      </c>
      <c r="F1206" s="31">
        <f>CHAIN_RAW!F1204</f>
        <v/>
      </c>
      <c r="G1206" s="31">
        <f>CHAIN_RAW!I1204</f>
        <v/>
      </c>
      <c r="H1206" s="31">
        <f>CHAIN_RAW!Q1204</f>
        <v/>
      </c>
      <c r="I1206" s="31">
        <f>LET(pc,F1206,oc,H1206,IF(OR(pc="",oc=""),"",IF(AND(pc&gt;0,oc&gt;0),"Long Buildup",IF(AND(pc&lt;0,oc&gt;0),"Short Buildup",IF(AND(pc&gt;0,oc&lt;0),"Short Covering",IF(AND(pc&lt;0,oc&lt;0),"Long Unwinding","Flat"))))))</f>
        <v/>
      </c>
      <c r="J1206" s="31">
        <f>LET(pc,ABS(F1206),oc,ABS(H1206),IF(OR(pc="",oc=""),"",MAX(1,MIN(5,ROUND((pc*0.5+oc*0.00001)*5,0))))))</f>
        <v/>
      </c>
    </row>
    <row r="1207">
      <c r="A1207" s="31" t="n">
        <v>1205</v>
      </c>
      <c r="B1207" s="31">
        <f>CHAIN_RAW!D1205</f>
        <v/>
      </c>
      <c r="C1207" s="31">
        <f>CHAIN_RAW!A1205</f>
        <v/>
      </c>
      <c r="D1207" s="31">
        <f>CHAIN_RAW!C1205</f>
        <v/>
      </c>
      <c r="E1207" s="31">
        <f>CHAIN_RAW!E1205</f>
        <v/>
      </c>
      <c r="F1207" s="31">
        <f>CHAIN_RAW!F1205</f>
        <v/>
      </c>
      <c r="G1207" s="31">
        <f>CHAIN_RAW!I1205</f>
        <v/>
      </c>
      <c r="H1207" s="31">
        <f>CHAIN_RAW!Q1205</f>
        <v/>
      </c>
      <c r="I1207" s="31">
        <f>LET(pc,F1207,oc,H1207,IF(OR(pc="",oc=""),"",IF(AND(pc&gt;0,oc&gt;0),"Long Buildup",IF(AND(pc&lt;0,oc&gt;0),"Short Buildup",IF(AND(pc&gt;0,oc&lt;0),"Short Covering",IF(AND(pc&lt;0,oc&lt;0),"Long Unwinding","Flat"))))))</f>
        <v/>
      </c>
      <c r="J1207" s="31">
        <f>LET(pc,ABS(F1207),oc,ABS(H1207),IF(OR(pc="",oc=""),"",MAX(1,MIN(5,ROUND((pc*0.5+oc*0.00001)*5,0))))))</f>
        <v/>
      </c>
    </row>
    <row r="1208">
      <c r="A1208" s="31" t="n">
        <v>1206</v>
      </c>
      <c r="B1208" s="31">
        <f>CHAIN_RAW!D1206</f>
        <v/>
      </c>
      <c r="C1208" s="31">
        <f>CHAIN_RAW!A1206</f>
        <v/>
      </c>
      <c r="D1208" s="31">
        <f>CHAIN_RAW!C1206</f>
        <v/>
      </c>
      <c r="E1208" s="31">
        <f>CHAIN_RAW!E1206</f>
        <v/>
      </c>
      <c r="F1208" s="31">
        <f>CHAIN_RAW!F1206</f>
        <v/>
      </c>
      <c r="G1208" s="31">
        <f>CHAIN_RAW!I1206</f>
        <v/>
      </c>
      <c r="H1208" s="31">
        <f>CHAIN_RAW!Q1206</f>
        <v/>
      </c>
      <c r="I1208" s="31">
        <f>LET(pc,F1208,oc,H1208,IF(OR(pc="",oc=""),"",IF(AND(pc&gt;0,oc&gt;0),"Long Buildup",IF(AND(pc&lt;0,oc&gt;0),"Short Buildup",IF(AND(pc&gt;0,oc&lt;0),"Short Covering",IF(AND(pc&lt;0,oc&lt;0),"Long Unwinding","Flat"))))))</f>
        <v/>
      </c>
      <c r="J1208" s="31">
        <f>LET(pc,ABS(F1208),oc,ABS(H1208),IF(OR(pc="",oc=""),"",MAX(1,MIN(5,ROUND((pc*0.5+oc*0.00001)*5,0))))))</f>
        <v/>
      </c>
    </row>
    <row r="1209">
      <c r="A1209" s="31" t="n">
        <v>1207</v>
      </c>
      <c r="B1209" s="31">
        <f>CHAIN_RAW!D1207</f>
        <v/>
      </c>
      <c r="C1209" s="31">
        <f>CHAIN_RAW!A1207</f>
        <v/>
      </c>
      <c r="D1209" s="31">
        <f>CHAIN_RAW!C1207</f>
        <v/>
      </c>
      <c r="E1209" s="31">
        <f>CHAIN_RAW!E1207</f>
        <v/>
      </c>
      <c r="F1209" s="31">
        <f>CHAIN_RAW!F1207</f>
        <v/>
      </c>
      <c r="G1209" s="31">
        <f>CHAIN_RAW!I1207</f>
        <v/>
      </c>
      <c r="H1209" s="31">
        <f>CHAIN_RAW!Q1207</f>
        <v/>
      </c>
      <c r="I1209" s="31">
        <f>LET(pc,F1209,oc,H1209,IF(OR(pc="",oc=""),"",IF(AND(pc&gt;0,oc&gt;0),"Long Buildup",IF(AND(pc&lt;0,oc&gt;0),"Short Buildup",IF(AND(pc&gt;0,oc&lt;0),"Short Covering",IF(AND(pc&lt;0,oc&lt;0),"Long Unwinding","Flat"))))))</f>
        <v/>
      </c>
      <c r="J1209" s="31">
        <f>LET(pc,ABS(F1209),oc,ABS(H1209),IF(OR(pc="",oc=""),"",MAX(1,MIN(5,ROUND((pc*0.5+oc*0.00001)*5,0))))))</f>
        <v/>
      </c>
    </row>
    <row r="1210">
      <c r="A1210" s="31" t="n">
        <v>1208</v>
      </c>
      <c r="B1210" s="31">
        <f>CHAIN_RAW!D1208</f>
        <v/>
      </c>
      <c r="C1210" s="31">
        <f>CHAIN_RAW!A1208</f>
        <v/>
      </c>
      <c r="D1210" s="31">
        <f>CHAIN_RAW!C1208</f>
        <v/>
      </c>
      <c r="E1210" s="31">
        <f>CHAIN_RAW!E1208</f>
        <v/>
      </c>
      <c r="F1210" s="31">
        <f>CHAIN_RAW!F1208</f>
        <v/>
      </c>
      <c r="G1210" s="31">
        <f>CHAIN_RAW!I1208</f>
        <v/>
      </c>
      <c r="H1210" s="31">
        <f>CHAIN_RAW!Q1208</f>
        <v/>
      </c>
      <c r="I1210" s="31">
        <f>LET(pc,F1210,oc,H1210,IF(OR(pc="",oc=""),"",IF(AND(pc&gt;0,oc&gt;0),"Long Buildup",IF(AND(pc&lt;0,oc&gt;0),"Short Buildup",IF(AND(pc&gt;0,oc&lt;0),"Short Covering",IF(AND(pc&lt;0,oc&lt;0),"Long Unwinding","Flat"))))))</f>
        <v/>
      </c>
      <c r="J1210" s="31">
        <f>LET(pc,ABS(F1210),oc,ABS(H1210),IF(OR(pc="",oc=""),"",MAX(1,MIN(5,ROUND((pc*0.5+oc*0.00001)*5,0))))))</f>
        <v/>
      </c>
    </row>
    <row r="1211">
      <c r="A1211" s="31" t="n">
        <v>1209</v>
      </c>
      <c r="B1211" s="31">
        <f>CHAIN_RAW!D1209</f>
        <v/>
      </c>
      <c r="C1211" s="31">
        <f>CHAIN_RAW!A1209</f>
        <v/>
      </c>
      <c r="D1211" s="31">
        <f>CHAIN_RAW!C1209</f>
        <v/>
      </c>
      <c r="E1211" s="31">
        <f>CHAIN_RAW!E1209</f>
        <v/>
      </c>
      <c r="F1211" s="31">
        <f>CHAIN_RAW!F1209</f>
        <v/>
      </c>
      <c r="G1211" s="31">
        <f>CHAIN_RAW!I1209</f>
        <v/>
      </c>
      <c r="H1211" s="31">
        <f>CHAIN_RAW!Q1209</f>
        <v/>
      </c>
      <c r="I1211" s="31">
        <f>LET(pc,F1211,oc,H1211,IF(OR(pc="",oc=""),"",IF(AND(pc&gt;0,oc&gt;0),"Long Buildup",IF(AND(pc&lt;0,oc&gt;0),"Short Buildup",IF(AND(pc&gt;0,oc&lt;0),"Short Covering",IF(AND(pc&lt;0,oc&lt;0),"Long Unwinding","Flat"))))))</f>
        <v/>
      </c>
      <c r="J1211" s="31">
        <f>LET(pc,ABS(F1211),oc,ABS(H1211),IF(OR(pc="",oc=""),"",MAX(1,MIN(5,ROUND((pc*0.5+oc*0.00001)*5,0))))))</f>
        <v/>
      </c>
    </row>
    <row r="1212">
      <c r="A1212" s="31" t="n">
        <v>1210</v>
      </c>
      <c r="B1212" s="31">
        <f>CHAIN_RAW!D1210</f>
        <v/>
      </c>
      <c r="C1212" s="31">
        <f>CHAIN_RAW!A1210</f>
        <v/>
      </c>
      <c r="D1212" s="31">
        <f>CHAIN_RAW!C1210</f>
        <v/>
      </c>
      <c r="E1212" s="31">
        <f>CHAIN_RAW!E1210</f>
        <v/>
      </c>
      <c r="F1212" s="31">
        <f>CHAIN_RAW!F1210</f>
        <v/>
      </c>
      <c r="G1212" s="31">
        <f>CHAIN_RAW!I1210</f>
        <v/>
      </c>
      <c r="H1212" s="31">
        <f>CHAIN_RAW!Q1210</f>
        <v/>
      </c>
      <c r="I1212" s="31">
        <f>LET(pc,F1212,oc,H1212,IF(OR(pc="",oc=""),"",IF(AND(pc&gt;0,oc&gt;0),"Long Buildup",IF(AND(pc&lt;0,oc&gt;0),"Short Buildup",IF(AND(pc&gt;0,oc&lt;0),"Short Covering",IF(AND(pc&lt;0,oc&lt;0),"Long Unwinding","Flat"))))))</f>
        <v/>
      </c>
      <c r="J1212" s="31">
        <f>LET(pc,ABS(F1212),oc,ABS(H1212),IF(OR(pc="",oc=""),"",MAX(1,MIN(5,ROUND((pc*0.5+oc*0.00001)*5,0))))))</f>
        <v/>
      </c>
    </row>
    <row r="1213">
      <c r="A1213" s="31" t="n">
        <v>1211</v>
      </c>
      <c r="B1213" s="31">
        <f>CHAIN_RAW!D1211</f>
        <v/>
      </c>
      <c r="C1213" s="31">
        <f>CHAIN_RAW!A1211</f>
        <v/>
      </c>
      <c r="D1213" s="31">
        <f>CHAIN_RAW!C1211</f>
        <v/>
      </c>
      <c r="E1213" s="31">
        <f>CHAIN_RAW!E1211</f>
        <v/>
      </c>
      <c r="F1213" s="31">
        <f>CHAIN_RAW!F1211</f>
        <v/>
      </c>
      <c r="G1213" s="31">
        <f>CHAIN_RAW!I1211</f>
        <v/>
      </c>
      <c r="H1213" s="31">
        <f>CHAIN_RAW!Q1211</f>
        <v/>
      </c>
      <c r="I1213" s="31">
        <f>LET(pc,F1213,oc,H1213,IF(OR(pc="",oc=""),"",IF(AND(pc&gt;0,oc&gt;0),"Long Buildup",IF(AND(pc&lt;0,oc&gt;0),"Short Buildup",IF(AND(pc&gt;0,oc&lt;0),"Short Covering",IF(AND(pc&lt;0,oc&lt;0),"Long Unwinding","Flat"))))))</f>
        <v/>
      </c>
      <c r="J1213" s="31">
        <f>LET(pc,ABS(F1213),oc,ABS(H1213),IF(OR(pc="",oc=""),"",MAX(1,MIN(5,ROUND((pc*0.5+oc*0.00001)*5,0))))))</f>
        <v/>
      </c>
    </row>
    <row r="1214">
      <c r="A1214" s="31" t="n">
        <v>1212</v>
      </c>
      <c r="B1214" s="31">
        <f>CHAIN_RAW!D1212</f>
        <v/>
      </c>
      <c r="C1214" s="31">
        <f>CHAIN_RAW!A1212</f>
        <v/>
      </c>
      <c r="D1214" s="31">
        <f>CHAIN_RAW!C1212</f>
        <v/>
      </c>
      <c r="E1214" s="31">
        <f>CHAIN_RAW!E1212</f>
        <v/>
      </c>
      <c r="F1214" s="31">
        <f>CHAIN_RAW!F1212</f>
        <v/>
      </c>
      <c r="G1214" s="31">
        <f>CHAIN_RAW!I1212</f>
        <v/>
      </c>
      <c r="H1214" s="31">
        <f>CHAIN_RAW!Q1212</f>
        <v/>
      </c>
      <c r="I1214" s="31">
        <f>LET(pc,F1214,oc,H1214,IF(OR(pc="",oc=""),"",IF(AND(pc&gt;0,oc&gt;0),"Long Buildup",IF(AND(pc&lt;0,oc&gt;0),"Short Buildup",IF(AND(pc&gt;0,oc&lt;0),"Short Covering",IF(AND(pc&lt;0,oc&lt;0),"Long Unwinding","Flat"))))))</f>
        <v/>
      </c>
      <c r="J1214" s="31">
        <f>LET(pc,ABS(F1214),oc,ABS(H1214),IF(OR(pc="",oc=""),"",MAX(1,MIN(5,ROUND((pc*0.5+oc*0.00001)*5,0))))))</f>
        <v/>
      </c>
    </row>
    <row r="1215">
      <c r="A1215" s="31" t="n">
        <v>1213</v>
      </c>
      <c r="B1215" s="31">
        <f>CHAIN_RAW!D1213</f>
        <v/>
      </c>
      <c r="C1215" s="31">
        <f>CHAIN_RAW!A1213</f>
        <v/>
      </c>
      <c r="D1215" s="31">
        <f>CHAIN_RAW!C1213</f>
        <v/>
      </c>
      <c r="E1215" s="31">
        <f>CHAIN_RAW!E1213</f>
        <v/>
      </c>
      <c r="F1215" s="31">
        <f>CHAIN_RAW!F1213</f>
        <v/>
      </c>
      <c r="G1215" s="31">
        <f>CHAIN_RAW!I1213</f>
        <v/>
      </c>
      <c r="H1215" s="31">
        <f>CHAIN_RAW!Q1213</f>
        <v/>
      </c>
      <c r="I1215" s="31">
        <f>LET(pc,F1215,oc,H1215,IF(OR(pc="",oc=""),"",IF(AND(pc&gt;0,oc&gt;0),"Long Buildup",IF(AND(pc&lt;0,oc&gt;0),"Short Buildup",IF(AND(pc&gt;0,oc&lt;0),"Short Covering",IF(AND(pc&lt;0,oc&lt;0),"Long Unwinding","Flat"))))))</f>
        <v/>
      </c>
      <c r="J1215" s="31">
        <f>LET(pc,ABS(F1215),oc,ABS(H1215),IF(OR(pc="",oc=""),"",MAX(1,MIN(5,ROUND((pc*0.5+oc*0.00001)*5,0))))))</f>
        <v/>
      </c>
    </row>
    <row r="1216">
      <c r="A1216" s="31" t="n">
        <v>1214</v>
      </c>
      <c r="B1216" s="31">
        <f>CHAIN_RAW!D1214</f>
        <v/>
      </c>
      <c r="C1216" s="31">
        <f>CHAIN_RAW!A1214</f>
        <v/>
      </c>
      <c r="D1216" s="31">
        <f>CHAIN_RAW!C1214</f>
        <v/>
      </c>
      <c r="E1216" s="31">
        <f>CHAIN_RAW!E1214</f>
        <v/>
      </c>
      <c r="F1216" s="31">
        <f>CHAIN_RAW!F1214</f>
        <v/>
      </c>
      <c r="G1216" s="31">
        <f>CHAIN_RAW!I1214</f>
        <v/>
      </c>
      <c r="H1216" s="31">
        <f>CHAIN_RAW!Q1214</f>
        <v/>
      </c>
      <c r="I1216" s="31">
        <f>LET(pc,F1216,oc,H1216,IF(OR(pc="",oc=""),"",IF(AND(pc&gt;0,oc&gt;0),"Long Buildup",IF(AND(pc&lt;0,oc&gt;0),"Short Buildup",IF(AND(pc&gt;0,oc&lt;0),"Short Covering",IF(AND(pc&lt;0,oc&lt;0),"Long Unwinding","Flat"))))))</f>
        <v/>
      </c>
      <c r="J1216" s="31">
        <f>LET(pc,ABS(F1216),oc,ABS(H1216),IF(OR(pc="",oc=""),"",MAX(1,MIN(5,ROUND((pc*0.5+oc*0.00001)*5,0))))))</f>
        <v/>
      </c>
    </row>
    <row r="1217">
      <c r="A1217" s="31" t="n">
        <v>1215</v>
      </c>
      <c r="B1217" s="31">
        <f>CHAIN_RAW!D1215</f>
        <v/>
      </c>
      <c r="C1217" s="31">
        <f>CHAIN_RAW!A1215</f>
        <v/>
      </c>
      <c r="D1217" s="31">
        <f>CHAIN_RAW!C1215</f>
        <v/>
      </c>
      <c r="E1217" s="31">
        <f>CHAIN_RAW!E1215</f>
        <v/>
      </c>
      <c r="F1217" s="31">
        <f>CHAIN_RAW!F1215</f>
        <v/>
      </c>
      <c r="G1217" s="31">
        <f>CHAIN_RAW!I1215</f>
        <v/>
      </c>
      <c r="H1217" s="31">
        <f>CHAIN_RAW!Q1215</f>
        <v/>
      </c>
      <c r="I1217" s="31">
        <f>LET(pc,F1217,oc,H1217,IF(OR(pc="",oc=""),"",IF(AND(pc&gt;0,oc&gt;0),"Long Buildup",IF(AND(pc&lt;0,oc&gt;0),"Short Buildup",IF(AND(pc&gt;0,oc&lt;0),"Short Covering",IF(AND(pc&lt;0,oc&lt;0),"Long Unwinding","Flat"))))))</f>
        <v/>
      </c>
      <c r="J1217" s="31">
        <f>LET(pc,ABS(F1217),oc,ABS(H1217),IF(OR(pc="",oc=""),"",MAX(1,MIN(5,ROUND((pc*0.5+oc*0.00001)*5,0))))))</f>
        <v/>
      </c>
    </row>
    <row r="1218">
      <c r="A1218" s="31" t="n">
        <v>1216</v>
      </c>
      <c r="B1218" s="31">
        <f>CHAIN_RAW!D1216</f>
        <v/>
      </c>
      <c r="C1218" s="31">
        <f>CHAIN_RAW!A1216</f>
        <v/>
      </c>
      <c r="D1218" s="31">
        <f>CHAIN_RAW!C1216</f>
        <v/>
      </c>
      <c r="E1218" s="31">
        <f>CHAIN_RAW!E1216</f>
        <v/>
      </c>
      <c r="F1218" s="31">
        <f>CHAIN_RAW!F1216</f>
        <v/>
      </c>
      <c r="G1218" s="31">
        <f>CHAIN_RAW!I1216</f>
        <v/>
      </c>
      <c r="H1218" s="31">
        <f>CHAIN_RAW!Q1216</f>
        <v/>
      </c>
      <c r="I1218" s="31">
        <f>LET(pc,F1218,oc,H1218,IF(OR(pc="",oc=""),"",IF(AND(pc&gt;0,oc&gt;0),"Long Buildup",IF(AND(pc&lt;0,oc&gt;0),"Short Buildup",IF(AND(pc&gt;0,oc&lt;0),"Short Covering",IF(AND(pc&lt;0,oc&lt;0),"Long Unwinding","Flat"))))))</f>
        <v/>
      </c>
      <c r="J1218" s="31">
        <f>LET(pc,ABS(F1218),oc,ABS(H1218),IF(OR(pc="",oc=""),"",MAX(1,MIN(5,ROUND((pc*0.5+oc*0.00001)*5,0))))))</f>
        <v/>
      </c>
    </row>
    <row r="1219">
      <c r="A1219" s="31" t="n">
        <v>1217</v>
      </c>
      <c r="B1219" s="31">
        <f>CHAIN_RAW!D1217</f>
        <v/>
      </c>
      <c r="C1219" s="31">
        <f>CHAIN_RAW!A1217</f>
        <v/>
      </c>
      <c r="D1219" s="31">
        <f>CHAIN_RAW!C1217</f>
        <v/>
      </c>
      <c r="E1219" s="31">
        <f>CHAIN_RAW!E1217</f>
        <v/>
      </c>
      <c r="F1219" s="31">
        <f>CHAIN_RAW!F1217</f>
        <v/>
      </c>
      <c r="G1219" s="31">
        <f>CHAIN_RAW!I1217</f>
        <v/>
      </c>
      <c r="H1219" s="31">
        <f>CHAIN_RAW!Q1217</f>
        <v/>
      </c>
      <c r="I1219" s="31">
        <f>LET(pc,F1219,oc,H1219,IF(OR(pc="",oc=""),"",IF(AND(pc&gt;0,oc&gt;0),"Long Buildup",IF(AND(pc&lt;0,oc&gt;0),"Short Buildup",IF(AND(pc&gt;0,oc&lt;0),"Short Covering",IF(AND(pc&lt;0,oc&lt;0),"Long Unwinding","Flat"))))))</f>
        <v/>
      </c>
      <c r="J1219" s="31">
        <f>LET(pc,ABS(F1219),oc,ABS(H1219),IF(OR(pc="",oc=""),"",MAX(1,MIN(5,ROUND((pc*0.5+oc*0.00001)*5,0))))))</f>
        <v/>
      </c>
    </row>
    <row r="1220">
      <c r="A1220" s="31" t="n">
        <v>1218</v>
      </c>
      <c r="B1220" s="31">
        <f>CHAIN_RAW!D1218</f>
        <v/>
      </c>
      <c r="C1220" s="31">
        <f>CHAIN_RAW!A1218</f>
        <v/>
      </c>
      <c r="D1220" s="31">
        <f>CHAIN_RAW!C1218</f>
        <v/>
      </c>
      <c r="E1220" s="31">
        <f>CHAIN_RAW!E1218</f>
        <v/>
      </c>
      <c r="F1220" s="31">
        <f>CHAIN_RAW!F1218</f>
        <v/>
      </c>
      <c r="G1220" s="31">
        <f>CHAIN_RAW!I1218</f>
        <v/>
      </c>
      <c r="H1220" s="31">
        <f>CHAIN_RAW!Q1218</f>
        <v/>
      </c>
      <c r="I1220" s="31">
        <f>LET(pc,F1220,oc,H1220,IF(OR(pc="",oc=""),"",IF(AND(pc&gt;0,oc&gt;0),"Long Buildup",IF(AND(pc&lt;0,oc&gt;0),"Short Buildup",IF(AND(pc&gt;0,oc&lt;0),"Short Covering",IF(AND(pc&lt;0,oc&lt;0),"Long Unwinding","Flat"))))))</f>
        <v/>
      </c>
      <c r="J1220" s="31">
        <f>LET(pc,ABS(F1220),oc,ABS(H1220),IF(OR(pc="",oc=""),"",MAX(1,MIN(5,ROUND((pc*0.5+oc*0.00001)*5,0))))))</f>
        <v/>
      </c>
    </row>
    <row r="1221">
      <c r="A1221" s="31" t="n">
        <v>1219</v>
      </c>
      <c r="B1221" s="31">
        <f>CHAIN_RAW!D1219</f>
        <v/>
      </c>
      <c r="C1221" s="31">
        <f>CHAIN_RAW!A1219</f>
        <v/>
      </c>
      <c r="D1221" s="31">
        <f>CHAIN_RAW!C1219</f>
        <v/>
      </c>
      <c r="E1221" s="31">
        <f>CHAIN_RAW!E1219</f>
        <v/>
      </c>
      <c r="F1221" s="31">
        <f>CHAIN_RAW!F1219</f>
        <v/>
      </c>
      <c r="G1221" s="31">
        <f>CHAIN_RAW!I1219</f>
        <v/>
      </c>
      <c r="H1221" s="31">
        <f>CHAIN_RAW!Q1219</f>
        <v/>
      </c>
      <c r="I1221" s="31">
        <f>LET(pc,F1221,oc,H1221,IF(OR(pc="",oc=""),"",IF(AND(pc&gt;0,oc&gt;0),"Long Buildup",IF(AND(pc&lt;0,oc&gt;0),"Short Buildup",IF(AND(pc&gt;0,oc&lt;0),"Short Covering",IF(AND(pc&lt;0,oc&lt;0),"Long Unwinding","Flat"))))))</f>
        <v/>
      </c>
      <c r="J1221" s="31">
        <f>LET(pc,ABS(F1221),oc,ABS(H1221),IF(OR(pc="",oc=""),"",MAX(1,MIN(5,ROUND((pc*0.5+oc*0.00001)*5,0))))))</f>
        <v/>
      </c>
    </row>
    <row r="1222">
      <c r="A1222" s="31" t="n">
        <v>1220</v>
      </c>
      <c r="B1222" s="31">
        <f>CHAIN_RAW!D1220</f>
        <v/>
      </c>
      <c r="C1222" s="31">
        <f>CHAIN_RAW!A1220</f>
        <v/>
      </c>
      <c r="D1222" s="31">
        <f>CHAIN_RAW!C1220</f>
        <v/>
      </c>
      <c r="E1222" s="31">
        <f>CHAIN_RAW!E1220</f>
        <v/>
      </c>
      <c r="F1222" s="31">
        <f>CHAIN_RAW!F1220</f>
        <v/>
      </c>
      <c r="G1222" s="31">
        <f>CHAIN_RAW!I1220</f>
        <v/>
      </c>
      <c r="H1222" s="31">
        <f>CHAIN_RAW!Q1220</f>
        <v/>
      </c>
      <c r="I1222" s="31">
        <f>LET(pc,F1222,oc,H1222,IF(OR(pc="",oc=""),"",IF(AND(pc&gt;0,oc&gt;0),"Long Buildup",IF(AND(pc&lt;0,oc&gt;0),"Short Buildup",IF(AND(pc&gt;0,oc&lt;0),"Short Covering",IF(AND(pc&lt;0,oc&lt;0),"Long Unwinding","Flat"))))))</f>
        <v/>
      </c>
      <c r="J1222" s="31">
        <f>LET(pc,ABS(F1222),oc,ABS(H1222),IF(OR(pc="",oc=""),"",MAX(1,MIN(5,ROUND((pc*0.5+oc*0.00001)*5,0))))))</f>
        <v/>
      </c>
    </row>
    <row r="1223">
      <c r="A1223" s="31" t="n">
        <v>1221</v>
      </c>
      <c r="B1223" s="31">
        <f>CHAIN_RAW!D1221</f>
        <v/>
      </c>
      <c r="C1223" s="31">
        <f>CHAIN_RAW!A1221</f>
        <v/>
      </c>
      <c r="D1223" s="31">
        <f>CHAIN_RAW!C1221</f>
        <v/>
      </c>
      <c r="E1223" s="31">
        <f>CHAIN_RAW!E1221</f>
        <v/>
      </c>
      <c r="F1223" s="31">
        <f>CHAIN_RAW!F1221</f>
        <v/>
      </c>
      <c r="G1223" s="31">
        <f>CHAIN_RAW!I1221</f>
        <v/>
      </c>
      <c r="H1223" s="31">
        <f>CHAIN_RAW!Q1221</f>
        <v/>
      </c>
      <c r="I1223" s="31">
        <f>LET(pc,F1223,oc,H1223,IF(OR(pc="",oc=""),"",IF(AND(pc&gt;0,oc&gt;0),"Long Buildup",IF(AND(pc&lt;0,oc&gt;0),"Short Buildup",IF(AND(pc&gt;0,oc&lt;0),"Short Covering",IF(AND(pc&lt;0,oc&lt;0),"Long Unwinding","Flat"))))))</f>
        <v/>
      </c>
      <c r="J1223" s="31">
        <f>LET(pc,ABS(F1223),oc,ABS(H1223),IF(OR(pc="",oc=""),"",MAX(1,MIN(5,ROUND((pc*0.5+oc*0.00001)*5,0))))))</f>
        <v/>
      </c>
    </row>
    <row r="1224">
      <c r="A1224" s="31" t="n">
        <v>1222</v>
      </c>
      <c r="B1224" s="31">
        <f>CHAIN_RAW!D1222</f>
        <v/>
      </c>
      <c r="C1224" s="31">
        <f>CHAIN_RAW!A1222</f>
        <v/>
      </c>
      <c r="D1224" s="31">
        <f>CHAIN_RAW!C1222</f>
        <v/>
      </c>
      <c r="E1224" s="31">
        <f>CHAIN_RAW!E1222</f>
        <v/>
      </c>
      <c r="F1224" s="31">
        <f>CHAIN_RAW!F1222</f>
        <v/>
      </c>
      <c r="G1224" s="31">
        <f>CHAIN_RAW!I1222</f>
        <v/>
      </c>
      <c r="H1224" s="31">
        <f>CHAIN_RAW!Q1222</f>
        <v/>
      </c>
      <c r="I1224" s="31">
        <f>LET(pc,F1224,oc,H1224,IF(OR(pc="",oc=""),"",IF(AND(pc&gt;0,oc&gt;0),"Long Buildup",IF(AND(pc&lt;0,oc&gt;0),"Short Buildup",IF(AND(pc&gt;0,oc&lt;0),"Short Covering",IF(AND(pc&lt;0,oc&lt;0),"Long Unwinding","Flat"))))))</f>
        <v/>
      </c>
      <c r="J1224" s="31">
        <f>LET(pc,ABS(F1224),oc,ABS(H1224),IF(OR(pc="",oc=""),"",MAX(1,MIN(5,ROUND((pc*0.5+oc*0.00001)*5,0))))))</f>
        <v/>
      </c>
    </row>
    <row r="1225">
      <c r="A1225" s="31" t="n">
        <v>1223</v>
      </c>
      <c r="B1225" s="31">
        <f>CHAIN_RAW!D1223</f>
        <v/>
      </c>
      <c r="C1225" s="31">
        <f>CHAIN_RAW!A1223</f>
        <v/>
      </c>
      <c r="D1225" s="31">
        <f>CHAIN_RAW!C1223</f>
        <v/>
      </c>
      <c r="E1225" s="31">
        <f>CHAIN_RAW!E1223</f>
        <v/>
      </c>
      <c r="F1225" s="31">
        <f>CHAIN_RAW!F1223</f>
        <v/>
      </c>
      <c r="G1225" s="31">
        <f>CHAIN_RAW!I1223</f>
        <v/>
      </c>
      <c r="H1225" s="31">
        <f>CHAIN_RAW!Q1223</f>
        <v/>
      </c>
      <c r="I1225" s="31">
        <f>LET(pc,F1225,oc,H1225,IF(OR(pc="",oc=""),"",IF(AND(pc&gt;0,oc&gt;0),"Long Buildup",IF(AND(pc&lt;0,oc&gt;0),"Short Buildup",IF(AND(pc&gt;0,oc&lt;0),"Short Covering",IF(AND(pc&lt;0,oc&lt;0),"Long Unwinding","Flat"))))))</f>
        <v/>
      </c>
      <c r="J1225" s="31">
        <f>LET(pc,ABS(F1225),oc,ABS(H1225),IF(OR(pc="",oc=""),"",MAX(1,MIN(5,ROUND((pc*0.5+oc*0.00001)*5,0))))))</f>
        <v/>
      </c>
    </row>
    <row r="1226">
      <c r="A1226" s="31" t="n">
        <v>1224</v>
      </c>
      <c r="B1226" s="31">
        <f>CHAIN_RAW!D1224</f>
        <v/>
      </c>
      <c r="C1226" s="31">
        <f>CHAIN_RAW!A1224</f>
        <v/>
      </c>
      <c r="D1226" s="31">
        <f>CHAIN_RAW!C1224</f>
        <v/>
      </c>
      <c r="E1226" s="31">
        <f>CHAIN_RAW!E1224</f>
        <v/>
      </c>
      <c r="F1226" s="31">
        <f>CHAIN_RAW!F1224</f>
        <v/>
      </c>
      <c r="G1226" s="31">
        <f>CHAIN_RAW!I1224</f>
        <v/>
      </c>
      <c r="H1226" s="31">
        <f>CHAIN_RAW!Q1224</f>
        <v/>
      </c>
      <c r="I1226" s="31">
        <f>LET(pc,F1226,oc,H1226,IF(OR(pc="",oc=""),"",IF(AND(pc&gt;0,oc&gt;0),"Long Buildup",IF(AND(pc&lt;0,oc&gt;0),"Short Buildup",IF(AND(pc&gt;0,oc&lt;0),"Short Covering",IF(AND(pc&lt;0,oc&lt;0),"Long Unwinding","Flat"))))))</f>
        <v/>
      </c>
      <c r="J1226" s="31">
        <f>LET(pc,ABS(F1226),oc,ABS(H1226),IF(OR(pc="",oc=""),"",MAX(1,MIN(5,ROUND((pc*0.5+oc*0.00001)*5,0))))))</f>
        <v/>
      </c>
    </row>
    <row r="1227">
      <c r="A1227" s="31" t="n">
        <v>1225</v>
      </c>
      <c r="B1227" s="31">
        <f>CHAIN_RAW!D1225</f>
        <v/>
      </c>
      <c r="C1227" s="31">
        <f>CHAIN_RAW!A1225</f>
        <v/>
      </c>
      <c r="D1227" s="31">
        <f>CHAIN_RAW!C1225</f>
        <v/>
      </c>
      <c r="E1227" s="31">
        <f>CHAIN_RAW!E1225</f>
        <v/>
      </c>
      <c r="F1227" s="31">
        <f>CHAIN_RAW!F1225</f>
        <v/>
      </c>
      <c r="G1227" s="31">
        <f>CHAIN_RAW!I1225</f>
        <v/>
      </c>
      <c r="H1227" s="31">
        <f>CHAIN_RAW!Q1225</f>
        <v/>
      </c>
      <c r="I1227" s="31">
        <f>LET(pc,F1227,oc,H1227,IF(OR(pc="",oc=""),"",IF(AND(pc&gt;0,oc&gt;0),"Long Buildup",IF(AND(pc&lt;0,oc&gt;0),"Short Buildup",IF(AND(pc&gt;0,oc&lt;0),"Short Covering",IF(AND(pc&lt;0,oc&lt;0),"Long Unwinding","Flat"))))))</f>
        <v/>
      </c>
      <c r="J1227" s="31">
        <f>LET(pc,ABS(F1227),oc,ABS(H1227),IF(OR(pc="",oc=""),"",MAX(1,MIN(5,ROUND((pc*0.5+oc*0.00001)*5,0))))))</f>
        <v/>
      </c>
    </row>
    <row r="1228">
      <c r="A1228" s="31" t="n">
        <v>1226</v>
      </c>
      <c r="B1228" s="31">
        <f>CHAIN_RAW!D1226</f>
        <v/>
      </c>
      <c r="C1228" s="31">
        <f>CHAIN_RAW!A1226</f>
        <v/>
      </c>
      <c r="D1228" s="31">
        <f>CHAIN_RAW!C1226</f>
        <v/>
      </c>
      <c r="E1228" s="31">
        <f>CHAIN_RAW!E1226</f>
        <v/>
      </c>
      <c r="F1228" s="31">
        <f>CHAIN_RAW!F1226</f>
        <v/>
      </c>
      <c r="G1228" s="31">
        <f>CHAIN_RAW!I1226</f>
        <v/>
      </c>
      <c r="H1228" s="31">
        <f>CHAIN_RAW!Q1226</f>
        <v/>
      </c>
      <c r="I1228" s="31">
        <f>LET(pc,F1228,oc,H1228,IF(OR(pc="",oc=""),"",IF(AND(pc&gt;0,oc&gt;0),"Long Buildup",IF(AND(pc&lt;0,oc&gt;0),"Short Buildup",IF(AND(pc&gt;0,oc&lt;0),"Short Covering",IF(AND(pc&lt;0,oc&lt;0),"Long Unwinding","Flat"))))))</f>
        <v/>
      </c>
      <c r="J1228" s="31">
        <f>LET(pc,ABS(F1228),oc,ABS(H1228),IF(OR(pc="",oc=""),"",MAX(1,MIN(5,ROUND((pc*0.5+oc*0.00001)*5,0))))))</f>
        <v/>
      </c>
    </row>
    <row r="1229">
      <c r="A1229" s="31" t="n">
        <v>1227</v>
      </c>
      <c r="B1229" s="31">
        <f>CHAIN_RAW!D1227</f>
        <v/>
      </c>
      <c r="C1229" s="31">
        <f>CHAIN_RAW!A1227</f>
        <v/>
      </c>
      <c r="D1229" s="31">
        <f>CHAIN_RAW!C1227</f>
        <v/>
      </c>
      <c r="E1229" s="31">
        <f>CHAIN_RAW!E1227</f>
        <v/>
      </c>
      <c r="F1229" s="31">
        <f>CHAIN_RAW!F1227</f>
        <v/>
      </c>
      <c r="G1229" s="31">
        <f>CHAIN_RAW!I1227</f>
        <v/>
      </c>
      <c r="H1229" s="31">
        <f>CHAIN_RAW!Q1227</f>
        <v/>
      </c>
      <c r="I1229" s="31">
        <f>LET(pc,F1229,oc,H1229,IF(OR(pc="",oc=""),"",IF(AND(pc&gt;0,oc&gt;0),"Long Buildup",IF(AND(pc&lt;0,oc&gt;0),"Short Buildup",IF(AND(pc&gt;0,oc&lt;0),"Short Covering",IF(AND(pc&lt;0,oc&lt;0),"Long Unwinding","Flat"))))))</f>
        <v/>
      </c>
      <c r="J1229" s="31">
        <f>LET(pc,ABS(F1229),oc,ABS(H1229),IF(OR(pc="",oc=""),"",MAX(1,MIN(5,ROUND((pc*0.5+oc*0.00001)*5,0))))))</f>
        <v/>
      </c>
    </row>
    <row r="1230">
      <c r="A1230" s="31" t="n">
        <v>1228</v>
      </c>
      <c r="B1230" s="31">
        <f>CHAIN_RAW!D1228</f>
        <v/>
      </c>
      <c r="C1230" s="31">
        <f>CHAIN_RAW!A1228</f>
        <v/>
      </c>
      <c r="D1230" s="31">
        <f>CHAIN_RAW!C1228</f>
        <v/>
      </c>
      <c r="E1230" s="31">
        <f>CHAIN_RAW!E1228</f>
        <v/>
      </c>
      <c r="F1230" s="31">
        <f>CHAIN_RAW!F1228</f>
        <v/>
      </c>
      <c r="G1230" s="31">
        <f>CHAIN_RAW!I1228</f>
        <v/>
      </c>
      <c r="H1230" s="31">
        <f>CHAIN_RAW!Q1228</f>
        <v/>
      </c>
      <c r="I1230" s="31">
        <f>LET(pc,F1230,oc,H1230,IF(OR(pc="",oc=""),"",IF(AND(pc&gt;0,oc&gt;0),"Long Buildup",IF(AND(pc&lt;0,oc&gt;0),"Short Buildup",IF(AND(pc&gt;0,oc&lt;0),"Short Covering",IF(AND(pc&lt;0,oc&lt;0),"Long Unwinding","Flat"))))))</f>
        <v/>
      </c>
      <c r="J1230" s="31">
        <f>LET(pc,ABS(F1230),oc,ABS(H1230),IF(OR(pc="",oc=""),"",MAX(1,MIN(5,ROUND((pc*0.5+oc*0.00001)*5,0))))))</f>
        <v/>
      </c>
    </row>
    <row r="1231">
      <c r="A1231" s="31" t="n">
        <v>1229</v>
      </c>
      <c r="B1231" s="31">
        <f>CHAIN_RAW!D1229</f>
        <v/>
      </c>
      <c r="C1231" s="31">
        <f>CHAIN_RAW!A1229</f>
        <v/>
      </c>
      <c r="D1231" s="31">
        <f>CHAIN_RAW!C1229</f>
        <v/>
      </c>
      <c r="E1231" s="31">
        <f>CHAIN_RAW!E1229</f>
        <v/>
      </c>
      <c r="F1231" s="31">
        <f>CHAIN_RAW!F1229</f>
        <v/>
      </c>
      <c r="G1231" s="31">
        <f>CHAIN_RAW!I1229</f>
        <v/>
      </c>
      <c r="H1231" s="31">
        <f>CHAIN_RAW!Q1229</f>
        <v/>
      </c>
      <c r="I1231" s="31">
        <f>LET(pc,F1231,oc,H1231,IF(OR(pc="",oc=""),"",IF(AND(pc&gt;0,oc&gt;0),"Long Buildup",IF(AND(pc&lt;0,oc&gt;0),"Short Buildup",IF(AND(pc&gt;0,oc&lt;0),"Short Covering",IF(AND(pc&lt;0,oc&lt;0),"Long Unwinding","Flat"))))))</f>
        <v/>
      </c>
      <c r="J1231" s="31">
        <f>LET(pc,ABS(F1231),oc,ABS(H1231),IF(OR(pc="",oc=""),"",MAX(1,MIN(5,ROUND((pc*0.5+oc*0.00001)*5,0))))))</f>
        <v/>
      </c>
    </row>
    <row r="1232">
      <c r="A1232" s="31" t="n">
        <v>1230</v>
      </c>
      <c r="B1232" s="31">
        <f>CHAIN_RAW!D1230</f>
        <v/>
      </c>
      <c r="C1232" s="31">
        <f>CHAIN_RAW!A1230</f>
        <v/>
      </c>
      <c r="D1232" s="31">
        <f>CHAIN_RAW!C1230</f>
        <v/>
      </c>
      <c r="E1232" s="31">
        <f>CHAIN_RAW!E1230</f>
        <v/>
      </c>
      <c r="F1232" s="31">
        <f>CHAIN_RAW!F1230</f>
        <v/>
      </c>
      <c r="G1232" s="31">
        <f>CHAIN_RAW!I1230</f>
        <v/>
      </c>
      <c r="H1232" s="31">
        <f>CHAIN_RAW!Q1230</f>
        <v/>
      </c>
      <c r="I1232" s="31">
        <f>LET(pc,F1232,oc,H1232,IF(OR(pc="",oc=""),"",IF(AND(pc&gt;0,oc&gt;0),"Long Buildup",IF(AND(pc&lt;0,oc&gt;0),"Short Buildup",IF(AND(pc&gt;0,oc&lt;0),"Short Covering",IF(AND(pc&lt;0,oc&lt;0),"Long Unwinding","Flat"))))))</f>
        <v/>
      </c>
      <c r="J1232" s="31">
        <f>LET(pc,ABS(F1232),oc,ABS(H1232),IF(OR(pc="",oc=""),"",MAX(1,MIN(5,ROUND((pc*0.5+oc*0.00001)*5,0))))))</f>
        <v/>
      </c>
    </row>
    <row r="1233">
      <c r="A1233" s="31" t="n">
        <v>1231</v>
      </c>
      <c r="B1233" s="31">
        <f>CHAIN_RAW!D1231</f>
        <v/>
      </c>
      <c r="C1233" s="31">
        <f>CHAIN_RAW!A1231</f>
        <v/>
      </c>
      <c r="D1233" s="31">
        <f>CHAIN_RAW!C1231</f>
        <v/>
      </c>
      <c r="E1233" s="31">
        <f>CHAIN_RAW!E1231</f>
        <v/>
      </c>
      <c r="F1233" s="31">
        <f>CHAIN_RAW!F1231</f>
        <v/>
      </c>
      <c r="G1233" s="31">
        <f>CHAIN_RAW!I1231</f>
        <v/>
      </c>
      <c r="H1233" s="31">
        <f>CHAIN_RAW!Q1231</f>
        <v/>
      </c>
      <c r="I1233" s="31">
        <f>LET(pc,F1233,oc,H1233,IF(OR(pc="",oc=""),"",IF(AND(pc&gt;0,oc&gt;0),"Long Buildup",IF(AND(pc&lt;0,oc&gt;0),"Short Buildup",IF(AND(pc&gt;0,oc&lt;0),"Short Covering",IF(AND(pc&lt;0,oc&lt;0),"Long Unwinding","Flat"))))))</f>
        <v/>
      </c>
      <c r="J1233" s="31">
        <f>LET(pc,ABS(F1233),oc,ABS(H1233),IF(OR(pc="",oc=""),"",MAX(1,MIN(5,ROUND((pc*0.5+oc*0.00001)*5,0))))))</f>
        <v/>
      </c>
    </row>
    <row r="1234">
      <c r="A1234" s="31" t="n">
        <v>1232</v>
      </c>
      <c r="B1234" s="31">
        <f>CHAIN_RAW!D1232</f>
        <v/>
      </c>
      <c r="C1234" s="31">
        <f>CHAIN_RAW!A1232</f>
        <v/>
      </c>
      <c r="D1234" s="31">
        <f>CHAIN_RAW!C1232</f>
        <v/>
      </c>
      <c r="E1234" s="31">
        <f>CHAIN_RAW!E1232</f>
        <v/>
      </c>
      <c r="F1234" s="31">
        <f>CHAIN_RAW!F1232</f>
        <v/>
      </c>
      <c r="G1234" s="31">
        <f>CHAIN_RAW!I1232</f>
        <v/>
      </c>
      <c r="H1234" s="31">
        <f>CHAIN_RAW!Q1232</f>
        <v/>
      </c>
      <c r="I1234" s="31">
        <f>LET(pc,F1234,oc,H1234,IF(OR(pc="",oc=""),"",IF(AND(pc&gt;0,oc&gt;0),"Long Buildup",IF(AND(pc&lt;0,oc&gt;0),"Short Buildup",IF(AND(pc&gt;0,oc&lt;0),"Short Covering",IF(AND(pc&lt;0,oc&lt;0),"Long Unwinding","Flat"))))))</f>
        <v/>
      </c>
      <c r="J1234" s="31">
        <f>LET(pc,ABS(F1234),oc,ABS(H1234),IF(OR(pc="",oc=""),"",MAX(1,MIN(5,ROUND((pc*0.5+oc*0.00001)*5,0))))))</f>
        <v/>
      </c>
    </row>
    <row r="1235">
      <c r="A1235" s="31" t="n">
        <v>1233</v>
      </c>
      <c r="B1235" s="31">
        <f>CHAIN_RAW!D1233</f>
        <v/>
      </c>
      <c r="C1235" s="31">
        <f>CHAIN_RAW!A1233</f>
        <v/>
      </c>
      <c r="D1235" s="31">
        <f>CHAIN_RAW!C1233</f>
        <v/>
      </c>
      <c r="E1235" s="31">
        <f>CHAIN_RAW!E1233</f>
        <v/>
      </c>
      <c r="F1235" s="31">
        <f>CHAIN_RAW!F1233</f>
        <v/>
      </c>
      <c r="G1235" s="31">
        <f>CHAIN_RAW!I1233</f>
        <v/>
      </c>
      <c r="H1235" s="31">
        <f>CHAIN_RAW!Q1233</f>
        <v/>
      </c>
      <c r="I1235" s="31">
        <f>LET(pc,F1235,oc,H1235,IF(OR(pc="",oc=""),"",IF(AND(pc&gt;0,oc&gt;0),"Long Buildup",IF(AND(pc&lt;0,oc&gt;0),"Short Buildup",IF(AND(pc&gt;0,oc&lt;0),"Short Covering",IF(AND(pc&lt;0,oc&lt;0),"Long Unwinding","Flat"))))))</f>
        <v/>
      </c>
      <c r="J1235" s="31">
        <f>LET(pc,ABS(F1235),oc,ABS(H1235),IF(OR(pc="",oc=""),"",MAX(1,MIN(5,ROUND((pc*0.5+oc*0.00001)*5,0))))))</f>
        <v/>
      </c>
    </row>
    <row r="1236">
      <c r="A1236" s="31" t="n">
        <v>1234</v>
      </c>
      <c r="B1236" s="31">
        <f>CHAIN_RAW!D1234</f>
        <v/>
      </c>
      <c r="C1236" s="31">
        <f>CHAIN_RAW!A1234</f>
        <v/>
      </c>
      <c r="D1236" s="31">
        <f>CHAIN_RAW!C1234</f>
        <v/>
      </c>
      <c r="E1236" s="31">
        <f>CHAIN_RAW!E1234</f>
        <v/>
      </c>
      <c r="F1236" s="31">
        <f>CHAIN_RAW!F1234</f>
        <v/>
      </c>
      <c r="G1236" s="31">
        <f>CHAIN_RAW!I1234</f>
        <v/>
      </c>
      <c r="H1236" s="31">
        <f>CHAIN_RAW!Q1234</f>
        <v/>
      </c>
      <c r="I1236" s="31">
        <f>LET(pc,F1236,oc,H1236,IF(OR(pc="",oc=""),"",IF(AND(pc&gt;0,oc&gt;0),"Long Buildup",IF(AND(pc&lt;0,oc&gt;0),"Short Buildup",IF(AND(pc&gt;0,oc&lt;0),"Short Covering",IF(AND(pc&lt;0,oc&lt;0),"Long Unwinding","Flat"))))))</f>
        <v/>
      </c>
      <c r="J1236" s="31">
        <f>LET(pc,ABS(F1236),oc,ABS(H1236),IF(OR(pc="",oc=""),"",MAX(1,MIN(5,ROUND((pc*0.5+oc*0.00001)*5,0))))))</f>
        <v/>
      </c>
    </row>
    <row r="1237">
      <c r="A1237" s="31" t="n">
        <v>1235</v>
      </c>
      <c r="B1237" s="31">
        <f>CHAIN_RAW!D1235</f>
        <v/>
      </c>
      <c r="C1237" s="31">
        <f>CHAIN_RAW!A1235</f>
        <v/>
      </c>
      <c r="D1237" s="31">
        <f>CHAIN_RAW!C1235</f>
        <v/>
      </c>
      <c r="E1237" s="31">
        <f>CHAIN_RAW!E1235</f>
        <v/>
      </c>
      <c r="F1237" s="31">
        <f>CHAIN_RAW!F1235</f>
        <v/>
      </c>
      <c r="G1237" s="31">
        <f>CHAIN_RAW!I1235</f>
        <v/>
      </c>
      <c r="H1237" s="31">
        <f>CHAIN_RAW!Q1235</f>
        <v/>
      </c>
      <c r="I1237" s="31">
        <f>LET(pc,F1237,oc,H1237,IF(OR(pc="",oc=""),"",IF(AND(pc&gt;0,oc&gt;0),"Long Buildup",IF(AND(pc&lt;0,oc&gt;0),"Short Buildup",IF(AND(pc&gt;0,oc&lt;0),"Short Covering",IF(AND(pc&lt;0,oc&lt;0),"Long Unwinding","Flat"))))))</f>
        <v/>
      </c>
      <c r="J1237" s="31">
        <f>LET(pc,ABS(F1237),oc,ABS(H1237),IF(OR(pc="",oc=""),"",MAX(1,MIN(5,ROUND((pc*0.5+oc*0.00001)*5,0))))))</f>
        <v/>
      </c>
    </row>
    <row r="1238">
      <c r="A1238" s="31" t="n">
        <v>1236</v>
      </c>
      <c r="B1238" s="31">
        <f>CHAIN_RAW!D1236</f>
        <v/>
      </c>
      <c r="C1238" s="31">
        <f>CHAIN_RAW!A1236</f>
        <v/>
      </c>
      <c r="D1238" s="31">
        <f>CHAIN_RAW!C1236</f>
        <v/>
      </c>
      <c r="E1238" s="31">
        <f>CHAIN_RAW!E1236</f>
        <v/>
      </c>
      <c r="F1238" s="31">
        <f>CHAIN_RAW!F1236</f>
        <v/>
      </c>
      <c r="G1238" s="31">
        <f>CHAIN_RAW!I1236</f>
        <v/>
      </c>
      <c r="H1238" s="31">
        <f>CHAIN_RAW!Q1236</f>
        <v/>
      </c>
      <c r="I1238" s="31">
        <f>LET(pc,F1238,oc,H1238,IF(OR(pc="",oc=""),"",IF(AND(pc&gt;0,oc&gt;0),"Long Buildup",IF(AND(pc&lt;0,oc&gt;0),"Short Buildup",IF(AND(pc&gt;0,oc&lt;0),"Short Covering",IF(AND(pc&lt;0,oc&lt;0),"Long Unwinding","Flat"))))))</f>
        <v/>
      </c>
      <c r="J1238" s="31">
        <f>LET(pc,ABS(F1238),oc,ABS(H1238),IF(OR(pc="",oc=""),"",MAX(1,MIN(5,ROUND((pc*0.5+oc*0.00001)*5,0))))))</f>
        <v/>
      </c>
    </row>
    <row r="1239">
      <c r="A1239" s="31" t="n">
        <v>1237</v>
      </c>
      <c r="B1239" s="31">
        <f>CHAIN_RAW!D1237</f>
        <v/>
      </c>
      <c r="C1239" s="31">
        <f>CHAIN_RAW!A1237</f>
        <v/>
      </c>
      <c r="D1239" s="31">
        <f>CHAIN_RAW!C1237</f>
        <v/>
      </c>
      <c r="E1239" s="31">
        <f>CHAIN_RAW!E1237</f>
        <v/>
      </c>
      <c r="F1239" s="31">
        <f>CHAIN_RAW!F1237</f>
        <v/>
      </c>
      <c r="G1239" s="31">
        <f>CHAIN_RAW!I1237</f>
        <v/>
      </c>
      <c r="H1239" s="31">
        <f>CHAIN_RAW!Q1237</f>
        <v/>
      </c>
      <c r="I1239" s="31">
        <f>LET(pc,F1239,oc,H1239,IF(OR(pc="",oc=""),"",IF(AND(pc&gt;0,oc&gt;0),"Long Buildup",IF(AND(pc&lt;0,oc&gt;0),"Short Buildup",IF(AND(pc&gt;0,oc&lt;0),"Short Covering",IF(AND(pc&lt;0,oc&lt;0),"Long Unwinding","Flat"))))))</f>
        <v/>
      </c>
      <c r="J1239" s="31">
        <f>LET(pc,ABS(F1239),oc,ABS(H1239),IF(OR(pc="",oc=""),"",MAX(1,MIN(5,ROUND((pc*0.5+oc*0.00001)*5,0))))))</f>
        <v/>
      </c>
    </row>
    <row r="1240">
      <c r="A1240" s="31" t="n">
        <v>1238</v>
      </c>
      <c r="B1240" s="31">
        <f>CHAIN_RAW!D1238</f>
        <v/>
      </c>
      <c r="C1240" s="31">
        <f>CHAIN_RAW!A1238</f>
        <v/>
      </c>
      <c r="D1240" s="31">
        <f>CHAIN_RAW!C1238</f>
        <v/>
      </c>
      <c r="E1240" s="31">
        <f>CHAIN_RAW!E1238</f>
        <v/>
      </c>
      <c r="F1240" s="31">
        <f>CHAIN_RAW!F1238</f>
        <v/>
      </c>
      <c r="G1240" s="31">
        <f>CHAIN_RAW!I1238</f>
        <v/>
      </c>
      <c r="H1240" s="31">
        <f>CHAIN_RAW!Q1238</f>
        <v/>
      </c>
      <c r="I1240" s="31">
        <f>LET(pc,F1240,oc,H1240,IF(OR(pc="",oc=""),"",IF(AND(pc&gt;0,oc&gt;0),"Long Buildup",IF(AND(pc&lt;0,oc&gt;0),"Short Buildup",IF(AND(pc&gt;0,oc&lt;0),"Short Covering",IF(AND(pc&lt;0,oc&lt;0),"Long Unwinding","Flat"))))))</f>
        <v/>
      </c>
      <c r="J1240" s="31">
        <f>LET(pc,ABS(F1240),oc,ABS(H1240),IF(OR(pc="",oc=""),"",MAX(1,MIN(5,ROUND((pc*0.5+oc*0.00001)*5,0))))))</f>
        <v/>
      </c>
    </row>
    <row r="1241">
      <c r="A1241" s="31" t="n">
        <v>1239</v>
      </c>
      <c r="B1241" s="31">
        <f>CHAIN_RAW!D1239</f>
        <v/>
      </c>
      <c r="C1241" s="31">
        <f>CHAIN_RAW!A1239</f>
        <v/>
      </c>
      <c r="D1241" s="31">
        <f>CHAIN_RAW!C1239</f>
        <v/>
      </c>
      <c r="E1241" s="31">
        <f>CHAIN_RAW!E1239</f>
        <v/>
      </c>
      <c r="F1241" s="31">
        <f>CHAIN_RAW!F1239</f>
        <v/>
      </c>
      <c r="G1241" s="31">
        <f>CHAIN_RAW!I1239</f>
        <v/>
      </c>
      <c r="H1241" s="31">
        <f>CHAIN_RAW!Q1239</f>
        <v/>
      </c>
      <c r="I1241" s="31">
        <f>LET(pc,F1241,oc,H1241,IF(OR(pc="",oc=""),"",IF(AND(pc&gt;0,oc&gt;0),"Long Buildup",IF(AND(pc&lt;0,oc&gt;0),"Short Buildup",IF(AND(pc&gt;0,oc&lt;0),"Short Covering",IF(AND(pc&lt;0,oc&lt;0),"Long Unwinding","Flat"))))))</f>
        <v/>
      </c>
      <c r="J1241" s="31">
        <f>LET(pc,ABS(F1241),oc,ABS(H1241),IF(OR(pc="",oc=""),"",MAX(1,MIN(5,ROUND((pc*0.5+oc*0.00001)*5,0))))))</f>
        <v/>
      </c>
    </row>
    <row r="1242">
      <c r="A1242" s="31" t="n">
        <v>1240</v>
      </c>
      <c r="B1242" s="31">
        <f>CHAIN_RAW!D1240</f>
        <v/>
      </c>
      <c r="C1242" s="31">
        <f>CHAIN_RAW!A1240</f>
        <v/>
      </c>
      <c r="D1242" s="31">
        <f>CHAIN_RAW!C1240</f>
        <v/>
      </c>
      <c r="E1242" s="31">
        <f>CHAIN_RAW!E1240</f>
        <v/>
      </c>
      <c r="F1242" s="31">
        <f>CHAIN_RAW!F1240</f>
        <v/>
      </c>
      <c r="G1242" s="31">
        <f>CHAIN_RAW!I1240</f>
        <v/>
      </c>
      <c r="H1242" s="31">
        <f>CHAIN_RAW!Q1240</f>
        <v/>
      </c>
      <c r="I1242" s="31">
        <f>LET(pc,F1242,oc,H1242,IF(OR(pc="",oc=""),"",IF(AND(pc&gt;0,oc&gt;0),"Long Buildup",IF(AND(pc&lt;0,oc&gt;0),"Short Buildup",IF(AND(pc&gt;0,oc&lt;0),"Short Covering",IF(AND(pc&lt;0,oc&lt;0),"Long Unwinding","Flat"))))))</f>
        <v/>
      </c>
      <c r="J1242" s="31">
        <f>LET(pc,ABS(F1242),oc,ABS(H1242),IF(OR(pc="",oc=""),"",MAX(1,MIN(5,ROUND((pc*0.5+oc*0.00001)*5,0))))))</f>
        <v/>
      </c>
    </row>
    <row r="1243">
      <c r="A1243" s="31" t="n">
        <v>1241</v>
      </c>
      <c r="B1243" s="31">
        <f>CHAIN_RAW!D1241</f>
        <v/>
      </c>
      <c r="C1243" s="31">
        <f>CHAIN_RAW!A1241</f>
        <v/>
      </c>
      <c r="D1243" s="31">
        <f>CHAIN_RAW!C1241</f>
        <v/>
      </c>
      <c r="E1243" s="31">
        <f>CHAIN_RAW!E1241</f>
        <v/>
      </c>
      <c r="F1243" s="31">
        <f>CHAIN_RAW!F1241</f>
        <v/>
      </c>
      <c r="G1243" s="31">
        <f>CHAIN_RAW!I1241</f>
        <v/>
      </c>
      <c r="H1243" s="31">
        <f>CHAIN_RAW!Q1241</f>
        <v/>
      </c>
      <c r="I1243" s="31">
        <f>LET(pc,F1243,oc,H1243,IF(OR(pc="",oc=""),"",IF(AND(pc&gt;0,oc&gt;0),"Long Buildup",IF(AND(pc&lt;0,oc&gt;0),"Short Buildup",IF(AND(pc&gt;0,oc&lt;0),"Short Covering",IF(AND(pc&lt;0,oc&lt;0),"Long Unwinding","Flat"))))))</f>
        <v/>
      </c>
      <c r="J1243" s="31">
        <f>LET(pc,ABS(F1243),oc,ABS(H1243),IF(OR(pc="",oc=""),"",MAX(1,MIN(5,ROUND((pc*0.5+oc*0.00001)*5,0))))))</f>
        <v/>
      </c>
    </row>
    <row r="1244">
      <c r="A1244" s="31" t="n">
        <v>1242</v>
      </c>
      <c r="B1244" s="31">
        <f>CHAIN_RAW!D1242</f>
        <v/>
      </c>
      <c r="C1244" s="31">
        <f>CHAIN_RAW!A1242</f>
        <v/>
      </c>
      <c r="D1244" s="31">
        <f>CHAIN_RAW!C1242</f>
        <v/>
      </c>
      <c r="E1244" s="31">
        <f>CHAIN_RAW!E1242</f>
        <v/>
      </c>
      <c r="F1244" s="31">
        <f>CHAIN_RAW!F1242</f>
        <v/>
      </c>
      <c r="G1244" s="31">
        <f>CHAIN_RAW!I1242</f>
        <v/>
      </c>
      <c r="H1244" s="31">
        <f>CHAIN_RAW!Q1242</f>
        <v/>
      </c>
      <c r="I1244" s="31">
        <f>LET(pc,F1244,oc,H1244,IF(OR(pc="",oc=""),"",IF(AND(pc&gt;0,oc&gt;0),"Long Buildup",IF(AND(pc&lt;0,oc&gt;0),"Short Buildup",IF(AND(pc&gt;0,oc&lt;0),"Short Covering",IF(AND(pc&lt;0,oc&lt;0),"Long Unwinding","Flat"))))))</f>
        <v/>
      </c>
      <c r="J1244" s="31">
        <f>LET(pc,ABS(F1244),oc,ABS(H1244),IF(OR(pc="",oc=""),"",MAX(1,MIN(5,ROUND((pc*0.5+oc*0.00001)*5,0))))))</f>
        <v/>
      </c>
    </row>
    <row r="1245">
      <c r="A1245" s="31" t="n">
        <v>1243</v>
      </c>
      <c r="B1245" s="31">
        <f>CHAIN_RAW!D1243</f>
        <v/>
      </c>
      <c r="C1245" s="31">
        <f>CHAIN_RAW!A1243</f>
        <v/>
      </c>
      <c r="D1245" s="31">
        <f>CHAIN_RAW!C1243</f>
        <v/>
      </c>
      <c r="E1245" s="31">
        <f>CHAIN_RAW!E1243</f>
        <v/>
      </c>
      <c r="F1245" s="31">
        <f>CHAIN_RAW!F1243</f>
        <v/>
      </c>
      <c r="G1245" s="31">
        <f>CHAIN_RAW!I1243</f>
        <v/>
      </c>
      <c r="H1245" s="31">
        <f>CHAIN_RAW!Q1243</f>
        <v/>
      </c>
      <c r="I1245" s="31">
        <f>LET(pc,F1245,oc,H1245,IF(OR(pc="",oc=""),"",IF(AND(pc&gt;0,oc&gt;0),"Long Buildup",IF(AND(pc&lt;0,oc&gt;0),"Short Buildup",IF(AND(pc&gt;0,oc&lt;0),"Short Covering",IF(AND(pc&lt;0,oc&lt;0),"Long Unwinding","Flat"))))))</f>
        <v/>
      </c>
      <c r="J1245" s="31">
        <f>LET(pc,ABS(F1245),oc,ABS(H1245),IF(OR(pc="",oc=""),"",MAX(1,MIN(5,ROUND((pc*0.5+oc*0.00001)*5,0))))))</f>
        <v/>
      </c>
    </row>
    <row r="1246">
      <c r="A1246" s="31" t="n">
        <v>1244</v>
      </c>
      <c r="B1246" s="31">
        <f>CHAIN_RAW!D1244</f>
        <v/>
      </c>
      <c r="C1246" s="31">
        <f>CHAIN_RAW!A1244</f>
        <v/>
      </c>
      <c r="D1246" s="31">
        <f>CHAIN_RAW!C1244</f>
        <v/>
      </c>
      <c r="E1246" s="31">
        <f>CHAIN_RAW!E1244</f>
        <v/>
      </c>
      <c r="F1246" s="31">
        <f>CHAIN_RAW!F1244</f>
        <v/>
      </c>
      <c r="G1246" s="31">
        <f>CHAIN_RAW!I1244</f>
        <v/>
      </c>
      <c r="H1246" s="31">
        <f>CHAIN_RAW!Q1244</f>
        <v/>
      </c>
      <c r="I1246" s="31">
        <f>LET(pc,F1246,oc,H1246,IF(OR(pc="",oc=""),"",IF(AND(pc&gt;0,oc&gt;0),"Long Buildup",IF(AND(pc&lt;0,oc&gt;0),"Short Buildup",IF(AND(pc&gt;0,oc&lt;0),"Short Covering",IF(AND(pc&lt;0,oc&lt;0),"Long Unwinding","Flat"))))))</f>
        <v/>
      </c>
      <c r="J1246" s="31">
        <f>LET(pc,ABS(F1246),oc,ABS(H1246),IF(OR(pc="",oc=""),"",MAX(1,MIN(5,ROUND((pc*0.5+oc*0.00001)*5,0))))))</f>
        <v/>
      </c>
    </row>
    <row r="1247">
      <c r="A1247" s="31" t="n">
        <v>1245</v>
      </c>
      <c r="B1247" s="31">
        <f>CHAIN_RAW!D1245</f>
        <v/>
      </c>
      <c r="C1247" s="31">
        <f>CHAIN_RAW!A1245</f>
        <v/>
      </c>
      <c r="D1247" s="31">
        <f>CHAIN_RAW!C1245</f>
        <v/>
      </c>
      <c r="E1247" s="31">
        <f>CHAIN_RAW!E1245</f>
        <v/>
      </c>
      <c r="F1247" s="31">
        <f>CHAIN_RAW!F1245</f>
        <v/>
      </c>
      <c r="G1247" s="31">
        <f>CHAIN_RAW!I1245</f>
        <v/>
      </c>
      <c r="H1247" s="31">
        <f>CHAIN_RAW!Q1245</f>
        <v/>
      </c>
      <c r="I1247" s="31">
        <f>LET(pc,F1247,oc,H1247,IF(OR(pc="",oc=""),"",IF(AND(pc&gt;0,oc&gt;0),"Long Buildup",IF(AND(pc&lt;0,oc&gt;0),"Short Buildup",IF(AND(pc&gt;0,oc&lt;0),"Short Covering",IF(AND(pc&lt;0,oc&lt;0),"Long Unwinding","Flat"))))))</f>
        <v/>
      </c>
      <c r="J1247" s="31">
        <f>LET(pc,ABS(F1247),oc,ABS(H1247),IF(OR(pc="",oc=""),"",MAX(1,MIN(5,ROUND((pc*0.5+oc*0.00001)*5,0))))))</f>
        <v/>
      </c>
    </row>
    <row r="1248">
      <c r="A1248" s="31" t="n">
        <v>1246</v>
      </c>
      <c r="B1248" s="31">
        <f>CHAIN_RAW!D1246</f>
        <v/>
      </c>
      <c r="C1248" s="31">
        <f>CHAIN_RAW!A1246</f>
        <v/>
      </c>
      <c r="D1248" s="31">
        <f>CHAIN_RAW!C1246</f>
        <v/>
      </c>
      <c r="E1248" s="31">
        <f>CHAIN_RAW!E1246</f>
        <v/>
      </c>
      <c r="F1248" s="31">
        <f>CHAIN_RAW!F1246</f>
        <v/>
      </c>
      <c r="G1248" s="31">
        <f>CHAIN_RAW!I1246</f>
        <v/>
      </c>
      <c r="H1248" s="31">
        <f>CHAIN_RAW!Q1246</f>
        <v/>
      </c>
      <c r="I1248" s="31">
        <f>LET(pc,F1248,oc,H1248,IF(OR(pc="",oc=""),"",IF(AND(pc&gt;0,oc&gt;0),"Long Buildup",IF(AND(pc&lt;0,oc&gt;0),"Short Buildup",IF(AND(pc&gt;0,oc&lt;0),"Short Covering",IF(AND(pc&lt;0,oc&lt;0),"Long Unwinding","Flat"))))))</f>
        <v/>
      </c>
      <c r="J1248" s="31">
        <f>LET(pc,ABS(F1248),oc,ABS(H1248),IF(OR(pc="",oc=""),"",MAX(1,MIN(5,ROUND((pc*0.5+oc*0.00001)*5,0))))))</f>
        <v/>
      </c>
    </row>
    <row r="1249">
      <c r="A1249" s="31" t="n">
        <v>1247</v>
      </c>
      <c r="B1249" s="31">
        <f>CHAIN_RAW!D1247</f>
        <v/>
      </c>
      <c r="C1249" s="31">
        <f>CHAIN_RAW!A1247</f>
        <v/>
      </c>
      <c r="D1249" s="31">
        <f>CHAIN_RAW!C1247</f>
        <v/>
      </c>
      <c r="E1249" s="31">
        <f>CHAIN_RAW!E1247</f>
        <v/>
      </c>
      <c r="F1249" s="31">
        <f>CHAIN_RAW!F1247</f>
        <v/>
      </c>
      <c r="G1249" s="31">
        <f>CHAIN_RAW!I1247</f>
        <v/>
      </c>
      <c r="H1249" s="31">
        <f>CHAIN_RAW!Q1247</f>
        <v/>
      </c>
      <c r="I1249" s="31">
        <f>LET(pc,F1249,oc,H1249,IF(OR(pc="",oc=""),"",IF(AND(pc&gt;0,oc&gt;0),"Long Buildup",IF(AND(pc&lt;0,oc&gt;0),"Short Buildup",IF(AND(pc&gt;0,oc&lt;0),"Short Covering",IF(AND(pc&lt;0,oc&lt;0),"Long Unwinding","Flat"))))))</f>
        <v/>
      </c>
      <c r="J1249" s="31">
        <f>LET(pc,ABS(F1249),oc,ABS(H1249),IF(OR(pc="",oc=""),"",MAX(1,MIN(5,ROUND((pc*0.5+oc*0.00001)*5,0))))))</f>
        <v/>
      </c>
    </row>
    <row r="1250">
      <c r="A1250" s="31" t="n">
        <v>1248</v>
      </c>
      <c r="B1250" s="31">
        <f>CHAIN_RAW!D1248</f>
        <v/>
      </c>
      <c r="C1250" s="31">
        <f>CHAIN_RAW!A1248</f>
        <v/>
      </c>
      <c r="D1250" s="31">
        <f>CHAIN_RAW!C1248</f>
        <v/>
      </c>
      <c r="E1250" s="31">
        <f>CHAIN_RAW!E1248</f>
        <v/>
      </c>
      <c r="F1250" s="31">
        <f>CHAIN_RAW!F1248</f>
        <v/>
      </c>
      <c r="G1250" s="31">
        <f>CHAIN_RAW!I1248</f>
        <v/>
      </c>
      <c r="H1250" s="31">
        <f>CHAIN_RAW!Q1248</f>
        <v/>
      </c>
      <c r="I1250" s="31">
        <f>LET(pc,F1250,oc,H1250,IF(OR(pc="",oc=""),"",IF(AND(pc&gt;0,oc&gt;0),"Long Buildup",IF(AND(pc&lt;0,oc&gt;0),"Short Buildup",IF(AND(pc&gt;0,oc&lt;0),"Short Covering",IF(AND(pc&lt;0,oc&lt;0),"Long Unwinding","Flat"))))))</f>
        <v/>
      </c>
      <c r="J1250" s="31">
        <f>LET(pc,ABS(F1250),oc,ABS(H1250),IF(OR(pc="",oc=""),"",MAX(1,MIN(5,ROUND((pc*0.5+oc*0.00001)*5,0))))))</f>
        <v/>
      </c>
    </row>
    <row r="1251">
      <c r="A1251" s="31" t="n">
        <v>1249</v>
      </c>
      <c r="B1251" s="31">
        <f>CHAIN_RAW!D1249</f>
        <v/>
      </c>
      <c r="C1251" s="31">
        <f>CHAIN_RAW!A1249</f>
        <v/>
      </c>
      <c r="D1251" s="31">
        <f>CHAIN_RAW!C1249</f>
        <v/>
      </c>
      <c r="E1251" s="31">
        <f>CHAIN_RAW!E1249</f>
        <v/>
      </c>
      <c r="F1251" s="31">
        <f>CHAIN_RAW!F1249</f>
        <v/>
      </c>
      <c r="G1251" s="31">
        <f>CHAIN_RAW!I1249</f>
        <v/>
      </c>
      <c r="H1251" s="31">
        <f>CHAIN_RAW!Q1249</f>
        <v/>
      </c>
      <c r="I1251" s="31">
        <f>LET(pc,F1251,oc,H1251,IF(OR(pc="",oc=""),"",IF(AND(pc&gt;0,oc&gt;0),"Long Buildup",IF(AND(pc&lt;0,oc&gt;0),"Short Buildup",IF(AND(pc&gt;0,oc&lt;0),"Short Covering",IF(AND(pc&lt;0,oc&lt;0),"Long Unwinding","Flat"))))))</f>
        <v/>
      </c>
      <c r="J1251" s="31">
        <f>LET(pc,ABS(F1251),oc,ABS(H1251),IF(OR(pc="",oc=""),"",MAX(1,MIN(5,ROUND((pc*0.5+oc*0.00001)*5,0))))))</f>
        <v/>
      </c>
    </row>
    <row r="1252">
      <c r="A1252" s="31" t="n">
        <v>1250</v>
      </c>
      <c r="B1252" s="31">
        <f>CHAIN_RAW!D1250</f>
        <v/>
      </c>
      <c r="C1252" s="31">
        <f>CHAIN_RAW!A1250</f>
        <v/>
      </c>
      <c r="D1252" s="31">
        <f>CHAIN_RAW!C1250</f>
        <v/>
      </c>
      <c r="E1252" s="31">
        <f>CHAIN_RAW!E1250</f>
        <v/>
      </c>
      <c r="F1252" s="31">
        <f>CHAIN_RAW!F1250</f>
        <v/>
      </c>
      <c r="G1252" s="31">
        <f>CHAIN_RAW!I1250</f>
        <v/>
      </c>
      <c r="H1252" s="31">
        <f>CHAIN_RAW!Q1250</f>
        <v/>
      </c>
      <c r="I1252" s="31">
        <f>LET(pc,F1252,oc,H1252,IF(OR(pc="",oc=""),"",IF(AND(pc&gt;0,oc&gt;0),"Long Buildup",IF(AND(pc&lt;0,oc&gt;0),"Short Buildup",IF(AND(pc&gt;0,oc&lt;0),"Short Covering",IF(AND(pc&lt;0,oc&lt;0),"Long Unwinding","Flat"))))))</f>
        <v/>
      </c>
      <c r="J1252" s="31">
        <f>LET(pc,ABS(F1252),oc,ABS(H1252),IF(OR(pc="",oc=""),"",MAX(1,MIN(5,ROUND((pc*0.5+oc*0.00001)*5,0))))))</f>
        <v/>
      </c>
    </row>
    <row r="1253">
      <c r="A1253" s="31" t="n">
        <v>1251</v>
      </c>
      <c r="B1253" s="31">
        <f>CHAIN_RAW!D1251</f>
        <v/>
      </c>
      <c r="C1253" s="31">
        <f>CHAIN_RAW!A1251</f>
        <v/>
      </c>
      <c r="D1253" s="31">
        <f>CHAIN_RAW!C1251</f>
        <v/>
      </c>
      <c r="E1253" s="31">
        <f>CHAIN_RAW!E1251</f>
        <v/>
      </c>
      <c r="F1253" s="31">
        <f>CHAIN_RAW!F1251</f>
        <v/>
      </c>
      <c r="G1253" s="31">
        <f>CHAIN_RAW!I1251</f>
        <v/>
      </c>
      <c r="H1253" s="31">
        <f>CHAIN_RAW!Q1251</f>
        <v/>
      </c>
      <c r="I1253" s="31">
        <f>LET(pc,F1253,oc,H1253,IF(OR(pc="",oc=""),"",IF(AND(pc&gt;0,oc&gt;0),"Long Buildup",IF(AND(pc&lt;0,oc&gt;0),"Short Buildup",IF(AND(pc&gt;0,oc&lt;0),"Short Covering",IF(AND(pc&lt;0,oc&lt;0),"Long Unwinding","Flat"))))))</f>
        <v/>
      </c>
      <c r="J1253" s="31">
        <f>LET(pc,ABS(F1253),oc,ABS(H1253),IF(OR(pc="",oc=""),"",MAX(1,MIN(5,ROUND((pc*0.5+oc*0.00001)*5,0))))))</f>
        <v/>
      </c>
    </row>
    <row r="1254">
      <c r="A1254" s="31" t="n">
        <v>1252</v>
      </c>
      <c r="B1254" s="31">
        <f>CHAIN_RAW!D1252</f>
        <v/>
      </c>
      <c r="C1254" s="31">
        <f>CHAIN_RAW!A1252</f>
        <v/>
      </c>
      <c r="D1254" s="31">
        <f>CHAIN_RAW!C1252</f>
        <v/>
      </c>
      <c r="E1254" s="31">
        <f>CHAIN_RAW!E1252</f>
        <v/>
      </c>
      <c r="F1254" s="31">
        <f>CHAIN_RAW!F1252</f>
        <v/>
      </c>
      <c r="G1254" s="31">
        <f>CHAIN_RAW!I1252</f>
        <v/>
      </c>
      <c r="H1254" s="31">
        <f>CHAIN_RAW!Q1252</f>
        <v/>
      </c>
      <c r="I1254" s="31">
        <f>LET(pc,F1254,oc,H1254,IF(OR(pc="",oc=""),"",IF(AND(pc&gt;0,oc&gt;0),"Long Buildup",IF(AND(pc&lt;0,oc&gt;0),"Short Buildup",IF(AND(pc&gt;0,oc&lt;0),"Short Covering",IF(AND(pc&lt;0,oc&lt;0),"Long Unwinding","Flat"))))))</f>
        <v/>
      </c>
      <c r="J1254" s="31">
        <f>LET(pc,ABS(F1254),oc,ABS(H1254),IF(OR(pc="",oc=""),"",MAX(1,MIN(5,ROUND((pc*0.5+oc*0.00001)*5,0))))))</f>
        <v/>
      </c>
    </row>
    <row r="1255">
      <c r="A1255" s="31" t="n">
        <v>1253</v>
      </c>
      <c r="B1255" s="31">
        <f>CHAIN_RAW!D1253</f>
        <v/>
      </c>
      <c r="C1255" s="31">
        <f>CHAIN_RAW!A1253</f>
        <v/>
      </c>
      <c r="D1255" s="31">
        <f>CHAIN_RAW!C1253</f>
        <v/>
      </c>
      <c r="E1255" s="31">
        <f>CHAIN_RAW!E1253</f>
        <v/>
      </c>
      <c r="F1255" s="31">
        <f>CHAIN_RAW!F1253</f>
        <v/>
      </c>
      <c r="G1255" s="31">
        <f>CHAIN_RAW!I1253</f>
        <v/>
      </c>
      <c r="H1255" s="31">
        <f>CHAIN_RAW!Q1253</f>
        <v/>
      </c>
      <c r="I1255" s="31">
        <f>LET(pc,F1255,oc,H1255,IF(OR(pc="",oc=""),"",IF(AND(pc&gt;0,oc&gt;0),"Long Buildup",IF(AND(pc&lt;0,oc&gt;0),"Short Buildup",IF(AND(pc&gt;0,oc&lt;0),"Short Covering",IF(AND(pc&lt;0,oc&lt;0),"Long Unwinding","Flat"))))))</f>
        <v/>
      </c>
      <c r="J1255" s="31">
        <f>LET(pc,ABS(F1255),oc,ABS(H1255),IF(OR(pc="",oc=""),"",MAX(1,MIN(5,ROUND((pc*0.5+oc*0.00001)*5,0))))))</f>
        <v/>
      </c>
    </row>
    <row r="1256">
      <c r="A1256" s="31" t="n">
        <v>1254</v>
      </c>
      <c r="B1256" s="31">
        <f>CHAIN_RAW!D1254</f>
        <v/>
      </c>
      <c r="C1256" s="31">
        <f>CHAIN_RAW!A1254</f>
        <v/>
      </c>
      <c r="D1256" s="31">
        <f>CHAIN_RAW!C1254</f>
        <v/>
      </c>
      <c r="E1256" s="31">
        <f>CHAIN_RAW!E1254</f>
        <v/>
      </c>
      <c r="F1256" s="31">
        <f>CHAIN_RAW!F1254</f>
        <v/>
      </c>
      <c r="G1256" s="31">
        <f>CHAIN_RAW!I1254</f>
        <v/>
      </c>
      <c r="H1256" s="31">
        <f>CHAIN_RAW!Q1254</f>
        <v/>
      </c>
      <c r="I1256" s="31">
        <f>LET(pc,F1256,oc,H1256,IF(OR(pc="",oc=""),"",IF(AND(pc&gt;0,oc&gt;0),"Long Buildup",IF(AND(pc&lt;0,oc&gt;0),"Short Buildup",IF(AND(pc&gt;0,oc&lt;0),"Short Covering",IF(AND(pc&lt;0,oc&lt;0),"Long Unwinding","Flat"))))))</f>
        <v/>
      </c>
      <c r="J1256" s="31">
        <f>LET(pc,ABS(F1256),oc,ABS(H1256),IF(OR(pc="",oc=""),"",MAX(1,MIN(5,ROUND((pc*0.5+oc*0.00001)*5,0))))))</f>
        <v/>
      </c>
    </row>
    <row r="1257">
      <c r="A1257" s="31" t="n">
        <v>1255</v>
      </c>
      <c r="B1257" s="31">
        <f>CHAIN_RAW!D1255</f>
        <v/>
      </c>
      <c r="C1257" s="31">
        <f>CHAIN_RAW!A1255</f>
        <v/>
      </c>
      <c r="D1257" s="31">
        <f>CHAIN_RAW!C1255</f>
        <v/>
      </c>
      <c r="E1257" s="31">
        <f>CHAIN_RAW!E1255</f>
        <v/>
      </c>
      <c r="F1257" s="31">
        <f>CHAIN_RAW!F1255</f>
        <v/>
      </c>
      <c r="G1257" s="31">
        <f>CHAIN_RAW!I1255</f>
        <v/>
      </c>
      <c r="H1257" s="31">
        <f>CHAIN_RAW!Q1255</f>
        <v/>
      </c>
      <c r="I1257" s="31">
        <f>LET(pc,F1257,oc,H1257,IF(OR(pc="",oc=""),"",IF(AND(pc&gt;0,oc&gt;0),"Long Buildup",IF(AND(pc&lt;0,oc&gt;0),"Short Buildup",IF(AND(pc&gt;0,oc&lt;0),"Short Covering",IF(AND(pc&lt;0,oc&lt;0),"Long Unwinding","Flat"))))))</f>
        <v/>
      </c>
      <c r="J1257" s="31">
        <f>LET(pc,ABS(F1257),oc,ABS(H1257),IF(OR(pc="",oc=""),"",MAX(1,MIN(5,ROUND((pc*0.5+oc*0.00001)*5,0))))))</f>
        <v/>
      </c>
    </row>
    <row r="1258">
      <c r="A1258" s="31" t="n">
        <v>1256</v>
      </c>
      <c r="B1258" s="31">
        <f>CHAIN_RAW!D1256</f>
        <v/>
      </c>
      <c r="C1258" s="31">
        <f>CHAIN_RAW!A1256</f>
        <v/>
      </c>
      <c r="D1258" s="31">
        <f>CHAIN_RAW!C1256</f>
        <v/>
      </c>
      <c r="E1258" s="31">
        <f>CHAIN_RAW!E1256</f>
        <v/>
      </c>
      <c r="F1258" s="31">
        <f>CHAIN_RAW!F1256</f>
        <v/>
      </c>
      <c r="G1258" s="31">
        <f>CHAIN_RAW!I1256</f>
        <v/>
      </c>
      <c r="H1258" s="31">
        <f>CHAIN_RAW!Q1256</f>
        <v/>
      </c>
      <c r="I1258" s="31">
        <f>LET(pc,F1258,oc,H1258,IF(OR(pc="",oc=""),"",IF(AND(pc&gt;0,oc&gt;0),"Long Buildup",IF(AND(pc&lt;0,oc&gt;0),"Short Buildup",IF(AND(pc&gt;0,oc&lt;0),"Short Covering",IF(AND(pc&lt;0,oc&lt;0),"Long Unwinding","Flat"))))))</f>
        <v/>
      </c>
      <c r="J1258" s="31">
        <f>LET(pc,ABS(F1258),oc,ABS(H1258),IF(OR(pc="",oc=""),"",MAX(1,MIN(5,ROUND((pc*0.5+oc*0.00001)*5,0))))))</f>
        <v/>
      </c>
    </row>
    <row r="1259">
      <c r="A1259" s="31" t="n">
        <v>1257</v>
      </c>
      <c r="B1259" s="31">
        <f>CHAIN_RAW!D1257</f>
        <v/>
      </c>
      <c r="C1259" s="31">
        <f>CHAIN_RAW!A1257</f>
        <v/>
      </c>
      <c r="D1259" s="31">
        <f>CHAIN_RAW!C1257</f>
        <v/>
      </c>
      <c r="E1259" s="31">
        <f>CHAIN_RAW!E1257</f>
        <v/>
      </c>
      <c r="F1259" s="31">
        <f>CHAIN_RAW!F1257</f>
        <v/>
      </c>
      <c r="G1259" s="31">
        <f>CHAIN_RAW!I1257</f>
        <v/>
      </c>
      <c r="H1259" s="31">
        <f>CHAIN_RAW!Q1257</f>
        <v/>
      </c>
      <c r="I1259" s="31">
        <f>LET(pc,F1259,oc,H1259,IF(OR(pc="",oc=""),"",IF(AND(pc&gt;0,oc&gt;0),"Long Buildup",IF(AND(pc&lt;0,oc&gt;0),"Short Buildup",IF(AND(pc&gt;0,oc&lt;0),"Short Covering",IF(AND(pc&lt;0,oc&lt;0),"Long Unwinding","Flat"))))))</f>
        <v/>
      </c>
      <c r="J1259" s="31">
        <f>LET(pc,ABS(F1259),oc,ABS(H1259),IF(OR(pc="",oc=""),"",MAX(1,MIN(5,ROUND((pc*0.5+oc*0.00001)*5,0))))))</f>
        <v/>
      </c>
    </row>
    <row r="1260">
      <c r="A1260" s="31" t="n">
        <v>1258</v>
      </c>
      <c r="B1260" s="31">
        <f>CHAIN_RAW!D1258</f>
        <v/>
      </c>
      <c r="C1260" s="31">
        <f>CHAIN_RAW!A1258</f>
        <v/>
      </c>
      <c r="D1260" s="31">
        <f>CHAIN_RAW!C1258</f>
        <v/>
      </c>
      <c r="E1260" s="31">
        <f>CHAIN_RAW!E1258</f>
        <v/>
      </c>
      <c r="F1260" s="31">
        <f>CHAIN_RAW!F1258</f>
        <v/>
      </c>
      <c r="G1260" s="31">
        <f>CHAIN_RAW!I1258</f>
        <v/>
      </c>
      <c r="H1260" s="31">
        <f>CHAIN_RAW!Q1258</f>
        <v/>
      </c>
      <c r="I1260" s="31">
        <f>LET(pc,F1260,oc,H1260,IF(OR(pc="",oc=""),"",IF(AND(pc&gt;0,oc&gt;0),"Long Buildup",IF(AND(pc&lt;0,oc&gt;0),"Short Buildup",IF(AND(pc&gt;0,oc&lt;0),"Short Covering",IF(AND(pc&lt;0,oc&lt;0),"Long Unwinding","Flat"))))))</f>
        <v/>
      </c>
      <c r="J1260" s="31">
        <f>LET(pc,ABS(F1260),oc,ABS(H1260),IF(OR(pc="",oc=""),"",MAX(1,MIN(5,ROUND((pc*0.5+oc*0.00001)*5,0))))))</f>
        <v/>
      </c>
    </row>
    <row r="1261">
      <c r="A1261" s="31" t="n">
        <v>1259</v>
      </c>
      <c r="B1261" s="31">
        <f>CHAIN_RAW!D1259</f>
        <v/>
      </c>
      <c r="C1261" s="31">
        <f>CHAIN_RAW!A1259</f>
        <v/>
      </c>
      <c r="D1261" s="31">
        <f>CHAIN_RAW!C1259</f>
        <v/>
      </c>
      <c r="E1261" s="31">
        <f>CHAIN_RAW!E1259</f>
        <v/>
      </c>
      <c r="F1261" s="31">
        <f>CHAIN_RAW!F1259</f>
        <v/>
      </c>
      <c r="G1261" s="31">
        <f>CHAIN_RAW!I1259</f>
        <v/>
      </c>
      <c r="H1261" s="31">
        <f>CHAIN_RAW!Q1259</f>
        <v/>
      </c>
      <c r="I1261" s="31">
        <f>LET(pc,F1261,oc,H1261,IF(OR(pc="",oc=""),"",IF(AND(pc&gt;0,oc&gt;0),"Long Buildup",IF(AND(pc&lt;0,oc&gt;0),"Short Buildup",IF(AND(pc&gt;0,oc&lt;0),"Short Covering",IF(AND(pc&lt;0,oc&lt;0),"Long Unwinding","Flat"))))))</f>
        <v/>
      </c>
      <c r="J1261" s="31">
        <f>LET(pc,ABS(F1261),oc,ABS(H1261),IF(OR(pc="",oc=""),"",MAX(1,MIN(5,ROUND((pc*0.5+oc*0.00001)*5,0))))))</f>
        <v/>
      </c>
    </row>
    <row r="1262">
      <c r="A1262" s="31" t="n">
        <v>1260</v>
      </c>
      <c r="B1262" s="31">
        <f>CHAIN_RAW!D1260</f>
        <v/>
      </c>
      <c r="C1262" s="31">
        <f>CHAIN_RAW!A1260</f>
        <v/>
      </c>
      <c r="D1262" s="31">
        <f>CHAIN_RAW!C1260</f>
        <v/>
      </c>
      <c r="E1262" s="31">
        <f>CHAIN_RAW!E1260</f>
        <v/>
      </c>
      <c r="F1262" s="31">
        <f>CHAIN_RAW!F1260</f>
        <v/>
      </c>
      <c r="G1262" s="31">
        <f>CHAIN_RAW!I1260</f>
        <v/>
      </c>
      <c r="H1262" s="31">
        <f>CHAIN_RAW!Q1260</f>
        <v/>
      </c>
      <c r="I1262" s="31">
        <f>LET(pc,F1262,oc,H1262,IF(OR(pc="",oc=""),"",IF(AND(pc&gt;0,oc&gt;0),"Long Buildup",IF(AND(pc&lt;0,oc&gt;0),"Short Buildup",IF(AND(pc&gt;0,oc&lt;0),"Short Covering",IF(AND(pc&lt;0,oc&lt;0),"Long Unwinding","Flat"))))))</f>
        <v/>
      </c>
      <c r="J1262" s="31">
        <f>LET(pc,ABS(F1262),oc,ABS(H1262),IF(OR(pc="",oc=""),"",MAX(1,MIN(5,ROUND((pc*0.5+oc*0.00001)*5,0))))))</f>
        <v/>
      </c>
    </row>
    <row r="1263">
      <c r="A1263" s="31" t="n">
        <v>1261</v>
      </c>
      <c r="B1263" s="31">
        <f>CHAIN_RAW!D1261</f>
        <v/>
      </c>
      <c r="C1263" s="31">
        <f>CHAIN_RAW!A1261</f>
        <v/>
      </c>
      <c r="D1263" s="31">
        <f>CHAIN_RAW!C1261</f>
        <v/>
      </c>
      <c r="E1263" s="31">
        <f>CHAIN_RAW!E1261</f>
        <v/>
      </c>
      <c r="F1263" s="31">
        <f>CHAIN_RAW!F1261</f>
        <v/>
      </c>
      <c r="G1263" s="31">
        <f>CHAIN_RAW!I1261</f>
        <v/>
      </c>
      <c r="H1263" s="31">
        <f>CHAIN_RAW!Q1261</f>
        <v/>
      </c>
      <c r="I1263" s="31">
        <f>LET(pc,F1263,oc,H1263,IF(OR(pc="",oc=""),"",IF(AND(pc&gt;0,oc&gt;0),"Long Buildup",IF(AND(pc&lt;0,oc&gt;0),"Short Buildup",IF(AND(pc&gt;0,oc&lt;0),"Short Covering",IF(AND(pc&lt;0,oc&lt;0),"Long Unwinding","Flat"))))))</f>
        <v/>
      </c>
      <c r="J1263" s="31">
        <f>LET(pc,ABS(F1263),oc,ABS(H1263),IF(OR(pc="",oc=""),"",MAX(1,MIN(5,ROUND((pc*0.5+oc*0.00001)*5,0))))))</f>
        <v/>
      </c>
    </row>
    <row r="1264">
      <c r="A1264" s="31" t="n">
        <v>1262</v>
      </c>
      <c r="B1264" s="31">
        <f>CHAIN_RAW!D1262</f>
        <v/>
      </c>
      <c r="C1264" s="31">
        <f>CHAIN_RAW!A1262</f>
        <v/>
      </c>
      <c r="D1264" s="31">
        <f>CHAIN_RAW!C1262</f>
        <v/>
      </c>
      <c r="E1264" s="31">
        <f>CHAIN_RAW!E1262</f>
        <v/>
      </c>
      <c r="F1264" s="31">
        <f>CHAIN_RAW!F1262</f>
        <v/>
      </c>
      <c r="G1264" s="31">
        <f>CHAIN_RAW!I1262</f>
        <v/>
      </c>
      <c r="H1264" s="31">
        <f>CHAIN_RAW!Q1262</f>
        <v/>
      </c>
      <c r="I1264" s="31">
        <f>LET(pc,F1264,oc,H1264,IF(OR(pc="",oc=""),"",IF(AND(pc&gt;0,oc&gt;0),"Long Buildup",IF(AND(pc&lt;0,oc&gt;0),"Short Buildup",IF(AND(pc&gt;0,oc&lt;0),"Short Covering",IF(AND(pc&lt;0,oc&lt;0),"Long Unwinding","Flat"))))))</f>
        <v/>
      </c>
      <c r="J1264" s="31">
        <f>LET(pc,ABS(F1264),oc,ABS(H1264),IF(OR(pc="",oc=""),"",MAX(1,MIN(5,ROUND((pc*0.5+oc*0.00001)*5,0))))))</f>
        <v/>
      </c>
    </row>
    <row r="1265">
      <c r="A1265" s="31" t="n">
        <v>1263</v>
      </c>
      <c r="B1265" s="31">
        <f>CHAIN_RAW!D1263</f>
        <v/>
      </c>
      <c r="C1265" s="31">
        <f>CHAIN_RAW!A1263</f>
        <v/>
      </c>
      <c r="D1265" s="31">
        <f>CHAIN_RAW!C1263</f>
        <v/>
      </c>
      <c r="E1265" s="31">
        <f>CHAIN_RAW!E1263</f>
        <v/>
      </c>
      <c r="F1265" s="31">
        <f>CHAIN_RAW!F1263</f>
        <v/>
      </c>
      <c r="G1265" s="31">
        <f>CHAIN_RAW!I1263</f>
        <v/>
      </c>
      <c r="H1265" s="31">
        <f>CHAIN_RAW!Q1263</f>
        <v/>
      </c>
      <c r="I1265" s="31">
        <f>LET(pc,F1265,oc,H1265,IF(OR(pc="",oc=""),"",IF(AND(pc&gt;0,oc&gt;0),"Long Buildup",IF(AND(pc&lt;0,oc&gt;0),"Short Buildup",IF(AND(pc&gt;0,oc&lt;0),"Short Covering",IF(AND(pc&lt;0,oc&lt;0),"Long Unwinding","Flat"))))))</f>
        <v/>
      </c>
      <c r="J1265" s="31">
        <f>LET(pc,ABS(F1265),oc,ABS(H1265),IF(OR(pc="",oc=""),"",MAX(1,MIN(5,ROUND((pc*0.5+oc*0.00001)*5,0))))))</f>
        <v/>
      </c>
    </row>
    <row r="1266">
      <c r="A1266" s="31" t="n">
        <v>1264</v>
      </c>
      <c r="B1266" s="31">
        <f>CHAIN_RAW!D1264</f>
        <v/>
      </c>
      <c r="C1266" s="31">
        <f>CHAIN_RAW!A1264</f>
        <v/>
      </c>
      <c r="D1266" s="31">
        <f>CHAIN_RAW!C1264</f>
        <v/>
      </c>
      <c r="E1266" s="31">
        <f>CHAIN_RAW!E1264</f>
        <v/>
      </c>
      <c r="F1266" s="31">
        <f>CHAIN_RAW!F1264</f>
        <v/>
      </c>
      <c r="G1266" s="31">
        <f>CHAIN_RAW!I1264</f>
        <v/>
      </c>
      <c r="H1266" s="31">
        <f>CHAIN_RAW!Q1264</f>
        <v/>
      </c>
      <c r="I1266" s="31">
        <f>LET(pc,F1266,oc,H1266,IF(OR(pc="",oc=""),"",IF(AND(pc&gt;0,oc&gt;0),"Long Buildup",IF(AND(pc&lt;0,oc&gt;0),"Short Buildup",IF(AND(pc&gt;0,oc&lt;0),"Short Covering",IF(AND(pc&lt;0,oc&lt;0),"Long Unwinding","Flat"))))))</f>
        <v/>
      </c>
      <c r="J1266" s="31">
        <f>LET(pc,ABS(F1266),oc,ABS(H1266),IF(OR(pc="",oc=""),"",MAX(1,MIN(5,ROUND((pc*0.5+oc*0.00001)*5,0))))))</f>
        <v/>
      </c>
    </row>
    <row r="1267">
      <c r="A1267" s="31" t="n">
        <v>1265</v>
      </c>
      <c r="B1267" s="31">
        <f>CHAIN_RAW!D1265</f>
        <v/>
      </c>
      <c r="C1267" s="31">
        <f>CHAIN_RAW!A1265</f>
        <v/>
      </c>
      <c r="D1267" s="31">
        <f>CHAIN_RAW!C1265</f>
        <v/>
      </c>
      <c r="E1267" s="31">
        <f>CHAIN_RAW!E1265</f>
        <v/>
      </c>
      <c r="F1267" s="31">
        <f>CHAIN_RAW!F1265</f>
        <v/>
      </c>
      <c r="G1267" s="31">
        <f>CHAIN_RAW!I1265</f>
        <v/>
      </c>
      <c r="H1267" s="31">
        <f>CHAIN_RAW!Q1265</f>
        <v/>
      </c>
      <c r="I1267" s="31">
        <f>LET(pc,F1267,oc,H1267,IF(OR(pc="",oc=""),"",IF(AND(pc&gt;0,oc&gt;0),"Long Buildup",IF(AND(pc&lt;0,oc&gt;0),"Short Buildup",IF(AND(pc&gt;0,oc&lt;0),"Short Covering",IF(AND(pc&lt;0,oc&lt;0),"Long Unwinding","Flat"))))))</f>
        <v/>
      </c>
      <c r="J1267" s="31">
        <f>LET(pc,ABS(F1267),oc,ABS(H1267),IF(OR(pc="",oc=""),"",MAX(1,MIN(5,ROUND((pc*0.5+oc*0.00001)*5,0))))))</f>
        <v/>
      </c>
    </row>
    <row r="1268">
      <c r="A1268" s="31" t="n">
        <v>1266</v>
      </c>
      <c r="B1268" s="31">
        <f>CHAIN_RAW!D1266</f>
        <v/>
      </c>
      <c r="C1268" s="31">
        <f>CHAIN_RAW!A1266</f>
        <v/>
      </c>
      <c r="D1268" s="31">
        <f>CHAIN_RAW!C1266</f>
        <v/>
      </c>
      <c r="E1268" s="31">
        <f>CHAIN_RAW!E1266</f>
        <v/>
      </c>
      <c r="F1268" s="31">
        <f>CHAIN_RAW!F1266</f>
        <v/>
      </c>
      <c r="G1268" s="31">
        <f>CHAIN_RAW!I1266</f>
        <v/>
      </c>
      <c r="H1268" s="31">
        <f>CHAIN_RAW!Q1266</f>
        <v/>
      </c>
      <c r="I1268" s="31">
        <f>LET(pc,F1268,oc,H1268,IF(OR(pc="",oc=""),"",IF(AND(pc&gt;0,oc&gt;0),"Long Buildup",IF(AND(pc&lt;0,oc&gt;0),"Short Buildup",IF(AND(pc&gt;0,oc&lt;0),"Short Covering",IF(AND(pc&lt;0,oc&lt;0),"Long Unwinding","Flat"))))))</f>
        <v/>
      </c>
      <c r="J1268" s="31">
        <f>LET(pc,ABS(F1268),oc,ABS(H1268),IF(OR(pc="",oc=""),"",MAX(1,MIN(5,ROUND((pc*0.5+oc*0.00001)*5,0))))))</f>
        <v/>
      </c>
    </row>
    <row r="1269">
      <c r="A1269" s="31" t="n">
        <v>1267</v>
      </c>
      <c r="B1269" s="31">
        <f>CHAIN_RAW!D1267</f>
        <v/>
      </c>
      <c r="C1269" s="31">
        <f>CHAIN_RAW!A1267</f>
        <v/>
      </c>
      <c r="D1269" s="31">
        <f>CHAIN_RAW!C1267</f>
        <v/>
      </c>
      <c r="E1269" s="31">
        <f>CHAIN_RAW!E1267</f>
        <v/>
      </c>
      <c r="F1269" s="31">
        <f>CHAIN_RAW!F1267</f>
        <v/>
      </c>
      <c r="G1269" s="31">
        <f>CHAIN_RAW!I1267</f>
        <v/>
      </c>
      <c r="H1269" s="31">
        <f>CHAIN_RAW!Q1267</f>
        <v/>
      </c>
      <c r="I1269" s="31">
        <f>LET(pc,F1269,oc,H1269,IF(OR(pc="",oc=""),"",IF(AND(pc&gt;0,oc&gt;0),"Long Buildup",IF(AND(pc&lt;0,oc&gt;0),"Short Buildup",IF(AND(pc&gt;0,oc&lt;0),"Short Covering",IF(AND(pc&lt;0,oc&lt;0),"Long Unwinding","Flat"))))))</f>
        <v/>
      </c>
      <c r="J1269" s="31">
        <f>LET(pc,ABS(F1269),oc,ABS(H1269),IF(OR(pc="",oc=""),"",MAX(1,MIN(5,ROUND((pc*0.5+oc*0.00001)*5,0))))))</f>
        <v/>
      </c>
    </row>
    <row r="1270">
      <c r="A1270" s="31" t="n">
        <v>1268</v>
      </c>
      <c r="B1270" s="31">
        <f>CHAIN_RAW!D1268</f>
        <v/>
      </c>
      <c r="C1270" s="31">
        <f>CHAIN_RAW!A1268</f>
        <v/>
      </c>
      <c r="D1270" s="31">
        <f>CHAIN_RAW!C1268</f>
        <v/>
      </c>
      <c r="E1270" s="31">
        <f>CHAIN_RAW!E1268</f>
        <v/>
      </c>
      <c r="F1270" s="31">
        <f>CHAIN_RAW!F1268</f>
        <v/>
      </c>
      <c r="G1270" s="31">
        <f>CHAIN_RAW!I1268</f>
        <v/>
      </c>
      <c r="H1270" s="31">
        <f>CHAIN_RAW!Q1268</f>
        <v/>
      </c>
      <c r="I1270" s="31">
        <f>LET(pc,F1270,oc,H1270,IF(OR(pc="",oc=""),"",IF(AND(pc&gt;0,oc&gt;0),"Long Buildup",IF(AND(pc&lt;0,oc&gt;0),"Short Buildup",IF(AND(pc&gt;0,oc&lt;0),"Short Covering",IF(AND(pc&lt;0,oc&lt;0),"Long Unwinding","Flat"))))))</f>
        <v/>
      </c>
      <c r="J1270" s="31">
        <f>LET(pc,ABS(F1270),oc,ABS(H1270),IF(OR(pc="",oc=""),"",MAX(1,MIN(5,ROUND((pc*0.5+oc*0.00001)*5,0))))))</f>
        <v/>
      </c>
    </row>
    <row r="1271">
      <c r="A1271" s="31" t="n">
        <v>1269</v>
      </c>
      <c r="B1271" s="31">
        <f>CHAIN_RAW!D1269</f>
        <v/>
      </c>
      <c r="C1271" s="31">
        <f>CHAIN_RAW!A1269</f>
        <v/>
      </c>
      <c r="D1271" s="31">
        <f>CHAIN_RAW!C1269</f>
        <v/>
      </c>
      <c r="E1271" s="31">
        <f>CHAIN_RAW!E1269</f>
        <v/>
      </c>
      <c r="F1271" s="31">
        <f>CHAIN_RAW!F1269</f>
        <v/>
      </c>
      <c r="G1271" s="31">
        <f>CHAIN_RAW!I1269</f>
        <v/>
      </c>
      <c r="H1271" s="31">
        <f>CHAIN_RAW!Q1269</f>
        <v/>
      </c>
      <c r="I1271" s="31">
        <f>LET(pc,F1271,oc,H1271,IF(OR(pc="",oc=""),"",IF(AND(pc&gt;0,oc&gt;0),"Long Buildup",IF(AND(pc&lt;0,oc&gt;0),"Short Buildup",IF(AND(pc&gt;0,oc&lt;0),"Short Covering",IF(AND(pc&lt;0,oc&lt;0),"Long Unwinding","Flat"))))))</f>
        <v/>
      </c>
      <c r="J1271" s="31">
        <f>LET(pc,ABS(F1271),oc,ABS(H1271),IF(OR(pc="",oc=""),"",MAX(1,MIN(5,ROUND((pc*0.5+oc*0.00001)*5,0))))))</f>
        <v/>
      </c>
    </row>
    <row r="1272">
      <c r="A1272" s="31" t="n">
        <v>1270</v>
      </c>
      <c r="B1272" s="31">
        <f>CHAIN_RAW!D1270</f>
        <v/>
      </c>
      <c r="C1272" s="31">
        <f>CHAIN_RAW!A1270</f>
        <v/>
      </c>
      <c r="D1272" s="31">
        <f>CHAIN_RAW!C1270</f>
        <v/>
      </c>
      <c r="E1272" s="31">
        <f>CHAIN_RAW!E1270</f>
        <v/>
      </c>
      <c r="F1272" s="31">
        <f>CHAIN_RAW!F1270</f>
        <v/>
      </c>
      <c r="G1272" s="31">
        <f>CHAIN_RAW!I1270</f>
        <v/>
      </c>
      <c r="H1272" s="31">
        <f>CHAIN_RAW!Q1270</f>
        <v/>
      </c>
      <c r="I1272" s="31">
        <f>LET(pc,F1272,oc,H1272,IF(OR(pc="",oc=""),"",IF(AND(pc&gt;0,oc&gt;0),"Long Buildup",IF(AND(pc&lt;0,oc&gt;0),"Short Buildup",IF(AND(pc&gt;0,oc&lt;0),"Short Covering",IF(AND(pc&lt;0,oc&lt;0),"Long Unwinding","Flat"))))))</f>
        <v/>
      </c>
      <c r="J1272" s="31">
        <f>LET(pc,ABS(F1272),oc,ABS(H1272),IF(OR(pc="",oc=""),"",MAX(1,MIN(5,ROUND((pc*0.5+oc*0.00001)*5,0))))))</f>
        <v/>
      </c>
    </row>
    <row r="1273">
      <c r="A1273" s="31" t="n">
        <v>1271</v>
      </c>
      <c r="B1273" s="31">
        <f>CHAIN_RAW!D1271</f>
        <v/>
      </c>
      <c r="C1273" s="31">
        <f>CHAIN_RAW!A1271</f>
        <v/>
      </c>
      <c r="D1273" s="31">
        <f>CHAIN_RAW!C1271</f>
        <v/>
      </c>
      <c r="E1273" s="31">
        <f>CHAIN_RAW!E1271</f>
        <v/>
      </c>
      <c r="F1273" s="31">
        <f>CHAIN_RAW!F1271</f>
        <v/>
      </c>
      <c r="G1273" s="31">
        <f>CHAIN_RAW!I1271</f>
        <v/>
      </c>
      <c r="H1273" s="31">
        <f>CHAIN_RAW!Q1271</f>
        <v/>
      </c>
      <c r="I1273" s="31">
        <f>LET(pc,F1273,oc,H1273,IF(OR(pc="",oc=""),"",IF(AND(pc&gt;0,oc&gt;0),"Long Buildup",IF(AND(pc&lt;0,oc&gt;0),"Short Buildup",IF(AND(pc&gt;0,oc&lt;0),"Short Covering",IF(AND(pc&lt;0,oc&lt;0),"Long Unwinding","Flat"))))))</f>
        <v/>
      </c>
      <c r="J1273" s="31">
        <f>LET(pc,ABS(F1273),oc,ABS(H1273),IF(OR(pc="",oc=""),"",MAX(1,MIN(5,ROUND((pc*0.5+oc*0.00001)*5,0))))))</f>
        <v/>
      </c>
    </row>
    <row r="1274">
      <c r="A1274" s="31" t="n">
        <v>1272</v>
      </c>
      <c r="B1274" s="31">
        <f>CHAIN_RAW!D1272</f>
        <v/>
      </c>
      <c r="C1274" s="31">
        <f>CHAIN_RAW!A1272</f>
        <v/>
      </c>
      <c r="D1274" s="31">
        <f>CHAIN_RAW!C1272</f>
        <v/>
      </c>
      <c r="E1274" s="31">
        <f>CHAIN_RAW!E1272</f>
        <v/>
      </c>
      <c r="F1274" s="31">
        <f>CHAIN_RAW!F1272</f>
        <v/>
      </c>
      <c r="G1274" s="31">
        <f>CHAIN_RAW!I1272</f>
        <v/>
      </c>
      <c r="H1274" s="31">
        <f>CHAIN_RAW!Q1272</f>
        <v/>
      </c>
      <c r="I1274" s="31">
        <f>LET(pc,F1274,oc,H1274,IF(OR(pc="",oc=""),"",IF(AND(pc&gt;0,oc&gt;0),"Long Buildup",IF(AND(pc&lt;0,oc&gt;0),"Short Buildup",IF(AND(pc&gt;0,oc&lt;0),"Short Covering",IF(AND(pc&lt;0,oc&lt;0),"Long Unwinding","Flat"))))))</f>
        <v/>
      </c>
      <c r="J1274" s="31">
        <f>LET(pc,ABS(F1274),oc,ABS(H1274),IF(OR(pc="",oc=""),"",MAX(1,MIN(5,ROUND((pc*0.5+oc*0.00001)*5,0))))))</f>
        <v/>
      </c>
    </row>
    <row r="1275">
      <c r="A1275" s="31" t="n">
        <v>1273</v>
      </c>
      <c r="B1275" s="31">
        <f>CHAIN_RAW!D1273</f>
        <v/>
      </c>
      <c r="C1275" s="31">
        <f>CHAIN_RAW!A1273</f>
        <v/>
      </c>
      <c r="D1275" s="31">
        <f>CHAIN_RAW!C1273</f>
        <v/>
      </c>
      <c r="E1275" s="31">
        <f>CHAIN_RAW!E1273</f>
        <v/>
      </c>
      <c r="F1275" s="31">
        <f>CHAIN_RAW!F1273</f>
        <v/>
      </c>
      <c r="G1275" s="31">
        <f>CHAIN_RAW!I1273</f>
        <v/>
      </c>
      <c r="H1275" s="31">
        <f>CHAIN_RAW!Q1273</f>
        <v/>
      </c>
      <c r="I1275" s="31">
        <f>LET(pc,F1275,oc,H1275,IF(OR(pc="",oc=""),"",IF(AND(pc&gt;0,oc&gt;0),"Long Buildup",IF(AND(pc&lt;0,oc&gt;0),"Short Buildup",IF(AND(pc&gt;0,oc&lt;0),"Short Covering",IF(AND(pc&lt;0,oc&lt;0),"Long Unwinding","Flat"))))))</f>
        <v/>
      </c>
      <c r="J1275" s="31">
        <f>LET(pc,ABS(F1275),oc,ABS(H1275),IF(OR(pc="",oc=""),"",MAX(1,MIN(5,ROUND((pc*0.5+oc*0.00001)*5,0))))))</f>
        <v/>
      </c>
    </row>
    <row r="1276">
      <c r="A1276" s="31" t="n">
        <v>1274</v>
      </c>
      <c r="B1276" s="31">
        <f>CHAIN_RAW!D1274</f>
        <v/>
      </c>
      <c r="C1276" s="31">
        <f>CHAIN_RAW!A1274</f>
        <v/>
      </c>
      <c r="D1276" s="31">
        <f>CHAIN_RAW!C1274</f>
        <v/>
      </c>
      <c r="E1276" s="31">
        <f>CHAIN_RAW!E1274</f>
        <v/>
      </c>
      <c r="F1276" s="31">
        <f>CHAIN_RAW!F1274</f>
        <v/>
      </c>
      <c r="G1276" s="31">
        <f>CHAIN_RAW!I1274</f>
        <v/>
      </c>
      <c r="H1276" s="31">
        <f>CHAIN_RAW!Q1274</f>
        <v/>
      </c>
      <c r="I1276" s="31">
        <f>LET(pc,F1276,oc,H1276,IF(OR(pc="",oc=""),"",IF(AND(pc&gt;0,oc&gt;0),"Long Buildup",IF(AND(pc&lt;0,oc&gt;0),"Short Buildup",IF(AND(pc&gt;0,oc&lt;0),"Short Covering",IF(AND(pc&lt;0,oc&lt;0),"Long Unwinding","Flat"))))))</f>
        <v/>
      </c>
      <c r="J1276" s="31">
        <f>LET(pc,ABS(F1276),oc,ABS(H1276),IF(OR(pc="",oc=""),"",MAX(1,MIN(5,ROUND((pc*0.5+oc*0.00001)*5,0))))))</f>
        <v/>
      </c>
    </row>
    <row r="1277">
      <c r="A1277" s="31" t="n">
        <v>1275</v>
      </c>
      <c r="B1277" s="31">
        <f>CHAIN_RAW!D1275</f>
        <v/>
      </c>
      <c r="C1277" s="31">
        <f>CHAIN_RAW!A1275</f>
        <v/>
      </c>
      <c r="D1277" s="31">
        <f>CHAIN_RAW!C1275</f>
        <v/>
      </c>
      <c r="E1277" s="31">
        <f>CHAIN_RAW!E1275</f>
        <v/>
      </c>
      <c r="F1277" s="31">
        <f>CHAIN_RAW!F1275</f>
        <v/>
      </c>
      <c r="G1277" s="31">
        <f>CHAIN_RAW!I1275</f>
        <v/>
      </c>
      <c r="H1277" s="31">
        <f>CHAIN_RAW!Q1275</f>
        <v/>
      </c>
      <c r="I1277" s="31">
        <f>LET(pc,F1277,oc,H1277,IF(OR(pc="",oc=""),"",IF(AND(pc&gt;0,oc&gt;0),"Long Buildup",IF(AND(pc&lt;0,oc&gt;0),"Short Buildup",IF(AND(pc&gt;0,oc&lt;0),"Short Covering",IF(AND(pc&lt;0,oc&lt;0),"Long Unwinding","Flat"))))))</f>
        <v/>
      </c>
      <c r="J1277" s="31">
        <f>LET(pc,ABS(F1277),oc,ABS(H1277),IF(OR(pc="",oc=""),"",MAX(1,MIN(5,ROUND((pc*0.5+oc*0.00001)*5,0))))))</f>
        <v/>
      </c>
    </row>
    <row r="1278">
      <c r="A1278" s="31" t="n">
        <v>1276</v>
      </c>
      <c r="B1278" s="31">
        <f>CHAIN_RAW!D1276</f>
        <v/>
      </c>
      <c r="C1278" s="31">
        <f>CHAIN_RAW!A1276</f>
        <v/>
      </c>
      <c r="D1278" s="31">
        <f>CHAIN_RAW!C1276</f>
        <v/>
      </c>
      <c r="E1278" s="31">
        <f>CHAIN_RAW!E1276</f>
        <v/>
      </c>
      <c r="F1278" s="31">
        <f>CHAIN_RAW!F1276</f>
        <v/>
      </c>
      <c r="G1278" s="31">
        <f>CHAIN_RAW!I1276</f>
        <v/>
      </c>
      <c r="H1278" s="31">
        <f>CHAIN_RAW!Q1276</f>
        <v/>
      </c>
      <c r="I1278" s="31">
        <f>LET(pc,F1278,oc,H1278,IF(OR(pc="",oc=""),"",IF(AND(pc&gt;0,oc&gt;0),"Long Buildup",IF(AND(pc&lt;0,oc&gt;0),"Short Buildup",IF(AND(pc&gt;0,oc&lt;0),"Short Covering",IF(AND(pc&lt;0,oc&lt;0),"Long Unwinding","Flat"))))))</f>
        <v/>
      </c>
      <c r="J1278" s="31">
        <f>LET(pc,ABS(F1278),oc,ABS(H1278),IF(OR(pc="",oc=""),"",MAX(1,MIN(5,ROUND((pc*0.5+oc*0.00001)*5,0))))))</f>
        <v/>
      </c>
    </row>
    <row r="1279">
      <c r="A1279" s="31" t="n">
        <v>1277</v>
      </c>
      <c r="B1279" s="31">
        <f>CHAIN_RAW!D1277</f>
        <v/>
      </c>
      <c r="C1279" s="31">
        <f>CHAIN_RAW!A1277</f>
        <v/>
      </c>
      <c r="D1279" s="31">
        <f>CHAIN_RAW!C1277</f>
        <v/>
      </c>
      <c r="E1279" s="31">
        <f>CHAIN_RAW!E1277</f>
        <v/>
      </c>
      <c r="F1279" s="31">
        <f>CHAIN_RAW!F1277</f>
        <v/>
      </c>
      <c r="G1279" s="31">
        <f>CHAIN_RAW!I1277</f>
        <v/>
      </c>
      <c r="H1279" s="31">
        <f>CHAIN_RAW!Q1277</f>
        <v/>
      </c>
      <c r="I1279" s="31">
        <f>LET(pc,F1279,oc,H1279,IF(OR(pc="",oc=""),"",IF(AND(pc&gt;0,oc&gt;0),"Long Buildup",IF(AND(pc&lt;0,oc&gt;0),"Short Buildup",IF(AND(pc&gt;0,oc&lt;0),"Short Covering",IF(AND(pc&lt;0,oc&lt;0),"Long Unwinding","Flat"))))))</f>
        <v/>
      </c>
      <c r="J1279" s="31">
        <f>LET(pc,ABS(F1279),oc,ABS(H1279),IF(OR(pc="",oc=""),"",MAX(1,MIN(5,ROUND((pc*0.5+oc*0.00001)*5,0))))))</f>
        <v/>
      </c>
    </row>
    <row r="1280">
      <c r="A1280" s="31" t="n">
        <v>1278</v>
      </c>
      <c r="B1280" s="31">
        <f>CHAIN_RAW!D1278</f>
        <v/>
      </c>
      <c r="C1280" s="31">
        <f>CHAIN_RAW!A1278</f>
        <v/>
      </c>
      <c r="D1280" s="31">
        <f>CHAIN_RAW!C1278</f>
        <v/>
      </c>
      <c r="E1280" s="31">
        <f>CHAIN_RAW!E1278</f>
        <v/>
      </c>
      <c r="F1280" s="31">
        <f>CHAIN_RAW!F1278</f>
        <v/>
      </c>
      <c r="G1280" s="31">
        <f>CHAIN_RAW!I1278</f>
        <v/>
      </c>
      <c r="H1280" s="31">
        <f>CHAIN_RAW!Q1278</f>
        <v/>
      </c>
      <c r="I1280" s="31">
        <f>LET(pc,F1280,oc,H1280,IF(OR(pc="",oc=""),"",IF(AND(pc&gt;0,oc&gt;0),"Long Buildup",IF(AND(pc&lt;0,oc&gt;0),"Short Buildup",IF(AND(pc&gt;0,oc&lt;0),"Short Covering",IF(AND(pc&lt;0,oc&lt;0),"Long Unwinding","Flat"))))))</f>
        <v/>
      </c>
      <c r="J1280" s="31">
        <f>LET(pc,ABS(F1280),oc,ABS(H1280),IF(OR(pc="",oc=""),"",MAX(1,MIN(5,ROUND((pc*0.5+oc*0.00001)*5,0))))))</f>
        <v/>
      </c>
    </row>
    <row r="1281">
      <c r="A1281" s="31" t="n">
        <v>1279</v>
      </c>
      <c r="B1281" s="31">
        <f>CHAIN_RAW!D1279</f>
        <v/>
      </c>
      <c r="C1281" s="31">
        <f>CHAIN_RAW!A1279</f>
        <v/>
      </c>
      <c r="D1281" s="31">
        <f>CHAIN_RAW!C1279</f>
        <v/>
      </c>
      <c r="E1281" s="31">
        <f>CHAIN_RAW!E1279</f>
        <v/>
      </c>
      <c r="F1281" s="31">
        <f>CHAIN_RAW!F1279</f>
        <v/>
      </c>
      <c r="G1281" s="31">
        <f>CHAIN_RAW!I1279</f>
        <v/>
      </c>
      <c r="H1281" s="31">
        <f>CHAIN_RAW!Q1279</f>
        <v/>
      </c>
      <c r="I1281" s="31">
        <f>LET(pc,F1281,oc,H1281,IF(OR(pc="",oc=""),"",IF(AND(pc&gt;0,oc&gt;0),"Long Buildup",IF(AND(pc&lt;0,oc&gt;0),"Short Buildup",IF(AND(pc&gt;0,oc&lt;0),"Short Covering",IF(AND(pc&lt;0,oc&lt;0),"Long Unwinding","Flat"))))))</f>
        <v/>
      </c>
      <c r="J1281" s="31">
        <f>LET(pc,ABS(F1281),oc,ABS(H1281),IF(OR(pc="",oc=""),"",MAX(1,MIN(5,ROUND((pc*0.5+oc*0.00001)*5,0))))))</f>
        <v/>
      </c>
    </row>
    <row r="1282">
      <c r="A1282" s="31" t="n">
        <v>1280</v>
      </c>
      <c r="B1282" s="31">
        <f>CHAIN_RAW!D1280</f>
        <v/>
      </c>
      <c r="C1282" s="31">
        <f>CHAIN_RAW!A1280</f>
        <v/>
      </c>
      <c r="D1282" s="31">
        <f>CHAIN_RAW!C1280</f>
        <v/>
      </c>
      <c r="E1282" s="31">
        <f>CHAIN_RAW!E1280</f>
        <v/>
      </c>
      <c r="F1282" s="31">
        <f>CHAIN_RAW!F1280</f>
        <v/>
      </c>
      <c r="G1282" s="31">
        <f>CHAIN_RAW!I1280</f>
        <v/>
      </c>
      <c r="H1282" s="31">
        <f>CHAIN_RAW!Q1280</f>
        <v/>
      </c>
      <c r="I1282" s="31">
        <f>LET(pc,F1282,oc,H1282,IF(OR(pc="",oc=""),"",IF(AND(pc&gt;0,oc&gt;0),"Long Buildup",IF(AND(pc&lt;0,oc&gt;0),"Short Buildup",IF(AND(pc&gt;0,oc&lt;0),"Short Covering",IF(AND(pc&lt;0,oc&lt;0),"Long Unwinding","Flat"))))))</f>
        <v/>
      </c>
      <c r="J1282" s="31">
        <f>LET(pc,ABS(F1282),oc,ABS(H1282),IF(OR(pc="",oc=""),"",MAX(1,MIN(5,ROUND((pc*0.5+oc*0.00001)*5,0))))))</f>
        <v/>
      </c>
    </row>
    <row r="1283">
      <c r="A1283" s="31" t="n">
        <v>1281</v>
      </c>
      <c r="B1283" s="31">
        <f>CHAIN_RAW!D1281</f>
        <v/>
      </c>
      <c r="C1283" s="31">
        <f>CHAIN_RAW!A1281</f>
        <v/>
      </c>
      <c r="D1283" s="31">
        <f>CHAIN_RAW!C1281</f>
        <v/>
      </c>
      <c r="E1283" s="31">
        <f>CHAIN_RAW!E1281</f>
        <v/>
      </c>
      <c r="F1283" s="31">
        <f>CHAIN_RAW!F1281</f>
        <v/>
      </c>
      <c r="G1283" s="31">
        <f>CHAIN_RAW!I1281</f>
        <v/>
      </c>
      <c r="H1283" s="31">
        <f>CHAIN_RAW!Q1281</f>
        <v/>
      </c>
      <c r="I1283" s="31">
        <f>LET(pc,F1283,oc,H1283,IF(OR(pc="",oc=""),"",IF(AND(pc&gt;0,oc&gt;0),"Long Buildup",IF(AND(pc&lt;0,oc&gt;0),"Short Buildup",IF(AND(pc&gt;0,oc&lt;0),"Short Covering",IF(AND(pc&lt;0,oc&lt;0),"Long Unwinding","Flat"))))))</f>
        <v/>
      </c>
      <c r="J1283" s="31">
        <f>LET(pc,ABS(F1283),oc,ABS(H1283),IF(OR(pc="",oc=""),"",MAX(1,MIN(5,ROUND((pc*0.5+oc*0.00001)*5,0))))))</f>
        <v/>
      </c>
    </row>
    <row r="1284">
      <c r="A1284" s="31" t="n">
        <v>1282</v>
      </c>
      <c r="B1284" s="31">
        <f>CHAIN_RAW!D1282</f>
        <v/>
      </c>
      <c r="C1284" s="31">
        <f>CHAIN_RAW!A1282</f>
        <v/>
      </c>
      <c r="D1284" s="31">
        <f>CHAIN_RAW!C1282</f>
        <v/>
      </c>
      <c r="E1284" s="31">
        <f>CHAIN_RAW!E1282</f>
        <v/>
      </c>
      <c r="F1284" s="31">
        <f>CHAIN_RAW!F1282</f>
        <v/>
      </c>
      <c r="G1284" s="31">
        <f>CHAIN_RAW!I1282</f>
        <v/>
      </c>
      <c r="H1284" s="31">
        <f>CHAIN_RAW!Q1282</f>
        <v/>
      </c>
      <c r="I1284" s="31">
        <f>LET(pc,F1284,oc,H1284,IF(OR(pc="",oc=""),"",IF(AND(pc&gt;0,oc&gt;0),"Long Buildup",IF(AND(pc&lt;0,oc&gt;0),"Short Buildup",IF(AND(pc&gt;0,oc&lt;0),"Short Covering",IF(AND(pc&lt;0,oc&lt;0),"Long Unwinding","Flat"))))))</f>
        <v/>
      </c>
      <c r="J1284" s="31">
        <f>LET(pc,ABS(F1284),oc,ABS(H1284),IF(OR(pc="",oc=""),"",MAX(1,MIN(5,ROUND((pc*0.5+oc*0.00001)*5,0))))))</f>
        <v/>
      </c>
    </row>
    <row r="1285">
      <c r="A1285" s="31" t="n">
        <v>1283</v>
      </c>
      <c r="B1285" s="31">
        <f>CHAIN_RAW!D1283</f>
        <v/>
      </c>
      <c r="C1285" s="31">
        <f>CHAIN_RAW!A1283</f>
        <v/>
      </c>
      <c r="D1285" s="31">
        <f>CHAIN_RAW!C1283</f>
        <v/>
      </c>
      <c r="E1285" s="31">
        <f>CHAIN_RAW!E1283</f>
        <v/>
      </c>
      <c r="F1285" s="31">
        <f>CHAIN_RAW!F1283</f>
        <v/>
      </c>
      <c r="G1285" s="31">
        <f>CHAIN_RAW!I1283</f>
        <v/>
      </c>
      <c r="H1285" s="31">
        <f>CHAIN_RAW!Q1283</f>
        <v/>
      </c>
      <c r="I1285" s="31">
        <f>LET(pc,F1285,oc,H1285,IF(OR(pc="",oc=""),"",IF(AND(pc&gt;0,oc&gt;0),"Long Buildup",IF(AND(pc&lt;0,oc&gt;0),"Short Buildup",IF(AND(pc&gt;0,oc&lt;0),"Short Covering",IF(AND(pc&lt;0,oc&lt;0),"Long Unwinding","Flat"))))))</f>
        <v/>
      </c>
      <c r="J1285" s="31">
        <f>LET(pc,ABS(F1285),oc,ABS(H1285),IF(OR(pc="",oc=""),"",MAX(1,MIN(5,ROUND((pc*0.5+oc*0.00001)*5,0))))))</f>
        <v/>
      </c>
    </row>
    <row r="1286">
      <c r="A1286" s="31" t="n">
        <v>1284</v>
      </c>
      <c r="B1286" s="31">
        <f>CHAIN_RAW!D1284</f>
        <v/>
      </c>
      <c r="C1286" s="31">
        <f>CHAIN_RAW!A1284</f>
        <v/>
      </c>
      <c r="D1286" s="31">
        <f>CHAIN_RAW!C1284</f>
        <v/>
      </c>
      <c r="E1286" s="31">
        <f>CHAIN_RAW!E1284</f>
        <v/>
      </c>
      <c r="F1286" s="31">
        <f>CHAIN_RAW!F1284</f>
        <v/>
      </c>
      <c r="G1286" s="31">
        <f>CHAIN_RAW!I1284</f>
        <v/>
      </c>
      <c r="H1286" s="31">
        <f>CHAIN_RAW!Q1284</f>
        <v/>
      </c>
      <c r="I1286" s="31">
        <f>LET(pc,F1286,oc,H1286,IF(OR(pc="",oc=""),"",IF(AND(pc&gt;0,oc&gt;0),"Long Buildup",IF(AND(pc&lt;0,oc&gt;0),"Short Buildup",IF(AND(pc&gt;0,oc&lt;0),"Short Covering",IF(AND(pc&lt;0,oc&lt;0),"Long Unwinding","Flat"))))))</f>
        <v/>
      </c>
      <c r="J1286" s="31">
        <f>LET(pc,ABS(F1286),oc,ABS(H1286),IF(OR(pc="",oc=""),"",MAX(1,MIN(5,ROUND((pc*0.5+oc*0.00001)*5,0))))))</f>
        <v/>
      </c>
    </row>
    <row r="1287">
      <c r="A1287" s="31" t="n">
        <v>1285</v>
      </c>
      <c r="B1287" s="31">
        <f>CHAIN_RAW!D1285</f>
        <v/>
      </c>
      <c r="C1287" s="31">
        <f>CHAIN_RAW!A1285</f>
        <v/>
      </c>
      <c r="D1287" s="31">
        <f>CHAIN_RAW!C1285</f>
        <v/>
      </c>
      <c r="E1287" s="31">
        <f>CHAIN_RAW!E1285</f>
        <v/>
      </c>
      <c r="F1287" s="31">
        <f>CHAIN_RAW!F1285</f>
        <v/>
      </c>
      <c r="G1287" s="31">
        <f>CHAIN_RAW!I1285</f>
        <v/>
      </c>
      <c r="H1287" s="31">
        <f>CHAIN_RAW!Q1285</f>
        <v/>
      </c>
      <c r="I1287" s="31">
        <f>LET(pc,F1287,oc,H1287,IF(OR(pc="",oc=""),"",IF(AND(pc&gt;0,oc&gt;0),"Long Buildup",IF(AND(pc&lt;0,oc&gt;0),"Short Buildup",IF(AND(pc&gt;0,oc&lt;0),"Short Covering",IF(AND(pc&lt;0,oc&lt;0),"Long Unwinding","Flat"))))))</f>
        <v/>
      </c>
      <c r="J1287" s="31">
        <f>LET(pc,ABS(F1287),oc,ABS(H1287),IF(OR(pc="",oc=""),"",MAX(1,MIN(5,ROUND((pc*0.5+oc*0.00001)*5,0))))))</f>
        <v/>
      </c>
    </row>
    <row r="1288">
      <c r="A1288" s="31" t="n">
        <v>1286</v>
      </c>
      <c r="B1288" s="31">
        <f>CHAIN_RAW!D1286</f>
        <v/>
      </c>
      <c r="C1288" s="31">
        <f>CHAIN_RAW!A1286</f>
        <v/>
      </c>
      <c r="D1288" s="31">
        <f>CHAIN_RAW!C1286</f>
        <v/>
      </c>
      <c r="E1288" s="31">
        <f>CHAIN_RAW!E1286</f>
        <v/>
      </c>
      <c r="F1288" s="31">
        <f>CHAIN_RAW!F1286</f>
        <v/>
      </c>
      <c r="G1288" s="31">
        <f>CHAIN_RAW!I1286</f>
        <v/>
      </c>
      <c r="H1288" s="31">
        <f>CHAIN_RAW!Q1286</f>
        <v/>
      </c>
      <c r="I1288" s="31">
        <f>LET(pc,F1288,oc,H1288,IF(OR(pc="",oc=""),"",IF(AND(pc&gt;0,oc&gt;0),"Long Buildup",IF(AND(pc&lt;0,oc&gt;0),"Short Buildup",IF(AND(pc&gt;0,oc&lt;0),"Short Covering",IF(AND(pc&lt;0,oc&lt;0),"Long Unwinding","Flat"))))))</f>
        <v/>
      </c>
      <c r="J1288" s="31">
        <f>LET(pc,ABS(F1288),oc,ABS(H1288),IF(OR(pc="",oc=""),"",MAX(1,MIN(5,ROUND((pc*0.5+oc*0.00001)*5,0))))))</f>
        <v/>
      </c>
    </row>
    <row r="1289">
      <c r="A1289" s="31" t="n">
        <v>1287</v>
      </c>
      <c r="B1289" s="31">
        <f>CHAIN_RAW!D1287</f>
        <v/>
      </c>
      <c r="C1289" s="31">
        <f>CHAIN_RAW!A1287</f>
        <v/>
      </c>
      <c r="D1289" s="31">
        <f>CHAIN_RAW!C1287</f>
        <v/>
      </c>
      <c r="E1289" s="31">
        <f>CHAIN_RAW!E1287</f>
        <v/>
      </c>
      <c r="F1289" s="31">
        <f>CHAIN_RAW!F1287</f>
        <v/>
      </c>
      <c r="G1289" s="31">
        <f>CHAIN_RAW!I1287</f>
        <v/>
      </c>
      <c r="H1289" s="31">
        <f>CHAIN_RAW!Q1287</f>
        <v/>
      </c>
      <c r="I1289" s="31">
        <f>LET(pc,F1289,oc,H1289,IF(OR(pc="",oc=""),"",IF(AND(pc&gt;0,oc&gt;0),"Long Buildup",IF(AND(pc&lt;0,oc&gt;0),"Short Buildup",IF(AND(pc&gt;0,oc&lt;0),"Short Covering",IF(AND(pc&lt;0,oc&lt;0),"Long Unwinding","Flat"))))))</f>
        <v/>
      </c>
      <c r="J1289" s="31">
        <f>LET(pc,ABS(F1289),oc,ABS(H1289),IF(OR(pc="",oc=""),"",MAX(1,MIN(5,ROUND((pc*0.5+oc*0.00001)*5,0))))))</f>
        <v/>
      </c>
    </row>
    <row r="1290">
      <c r="A1290" s="31" t="n">
        <v>1288</v>
      </c>
      <c r="B1290" s="31">
        <f>CHAIN_RAW!D1288</f>
        <v/>
      </c>
      <c r="C1290" s="31">
        <f>CHAIN_RAW!A1288</f>
        <v/>
      </c>
      <c r="D1290" s="31">
        <f>CHAIN_RAW!C1288</f>
        <v/>
      </c>
      <c r="E1290" s="31">
        <f>CHAIN_RAW!E1288</f>
        <v/>
      </c>
      <c r="F1290" s="31">
        <f>CHAIN_RAW!F1288</f>
        <v/>
      </c>
      <c r="G1290" s="31">
        <f>CHAIN_RAW!I1288</f>
        <v/>
      </c>
      <c r="H1290" s="31">
        <f>CHAIN_RAW!Q1288</f>
        <v/>
      </c>
      <c r="I1290" s="31">
        <f>LET(pc,F1290,oc,H1290,IF(OR(pc="",oc=""),"",IF(AND(pc&gt;0,oc&gt;0),"Long Buildup",IF(AND(pc&lt;0,oc&gt;0),"Short Buildup",IF(AND(pc&gt;0,oc&lt;0),"Short Covering",IF(AND(pc&lt;0,oc&lt;0),"Long Unwinding","Flat"))))))</f>
        <v/>
      </c>
      <c r="J1290" s="31">
        <f>LET(pc,ABS(F1290),oc,ABS(H1290),IF(OR(pc="",oc=""),"",MAX(1,MIN(5,ROUND((pc*0.5+oc*0.00001)*5,0))))))</f>
        <v/>
      </c>
    </row>
    <row r="1291">
      <c r="A1291" s="31" t="n">
        <v>1289</v>
      </c>
      <c r="B1291" s="31">
        <f>CHAIN_RAW!D1289</f>
        <v/>
      </c>
      <c r="C1291" s="31">
        <f>CHAIN_RAW!A1289</f>
        <v/>
      </c>
      <c r="D1291" s="31">
        <f>CHAIN_RAW!C1289</f>
        <v/>
      </c>
      <c r="E1291" s="31">
        <f>CHAIN_RAW!E1289</f>
        <v/>
      </c>
      <c r="F1291" s="31">
        <f>CHAIN_RAW!F1289</f>
        <v/>
      </c>
      <c r="G1291" s="31">
        <f>CHAIN_RAW!I1289</f>
        <v/>
      </c>
      <c r="H1291" s="31">
        <f>CHAIN_RAW!Q1289</f>
        <v/>
      </c>
      <c r="I1291" s="31">
        <f>LET(pc,F1291,oc,H1291,IF(OR(pc="",oc=""),"",IF(AND(pc&gt;0,oc&gt;0),"Long Buildup",IF(AND(pc&lt;0,oc&gt;0),"Short Buildup",IF(AND(pc&gt;0,oc&lt;0),"Short Covering",IF(AND(pc&lt;0,oc&lt;0),"Long Unwinding","Flat"))))))</f>
        <v/>
      </c>
      <c r="J1291" s="31">
        <f>LET(pc,ABS(F1291),oc,ABS(H1291),IF(OR(pc="",oc=""),"",MAX(1,MIN(5,ROUND((pc*0.5+oc*0.00001)*5,0))))))</f>
        <v/>
      </c>
    </row>
    <row r="1292">
      <c r="A1292" s="31" t="n">
        <v>1290</v>
      </c>
      <c r="B1292" s="31">
        <f>CHAIN_RAW!D1290</f>
        <v/>
      </c>
      <c r="C1292" s="31">
        <f>CHAIN_RAW!A1290</f>
        <v/>
      </c>
      <c r="D1292" s="31">
        <f>CHAIN_RAW!C1290</f>
        <v/>
      </c>
      <c r="E1292" s="31">
        <f>CHAIN_RAW!E1290</f>
        <v/>
      </c>
      <c r="F1292" s="31">
        <f>CHAIN_RAW!F1290</f>
        <v/>
      </c>
      <c r="G1292" s="31">
        <f>CHAIN_RAW!I1290</f>
        <v/>
      </c>
      <c r="H1292" s="31">
        <f>CHAIN_RAW!Q1290</f>
        <v/>
      </c>
      <c r="I1292" s="31">
        <f>LET(pc,F1292,oc,H1292,IF(OR(pc="",oc=""),"",IF(AND(pc&gt;0,oc&gt;0),"Long Buildup",IF(AND(pc&lt;0,oc&gt;0),"Short Buildup",IF(AND(pc&gt;0,oc&lt;0),"Short Covering",IF(AND(pc&lt;0,oc&lt;0),"Long Unwinding","Flat"))))))</f>
        <v/>
      </c>
      <c r="J1292" s="31">
        <f>LET(pc,ABS(F1292),oc,ABS(H1292),IF(OR(pc="",oc=""),"",MAX(1,MIN(5,ROUND((pc*0.5+oc*0.00001)*5,0))))))</f>
        <v/>
      </c>
    </row>
    <row r="1293">
      <c r="A1293" s="31" t="n">
        <v>1291</v>
      </c>
      <c r="B1293" s="31">
        <f>CHAIN_RAW!D1291</f>
        <v/>
      </c>
      <c r="C1293" s="31">
        <f>CHAIN_RAW!A1291</f>
        <v/>
      </c>
      <c r="D1293" s="31">
        <f>CHAIN_RAW!C1291</f>
        <v/>
      </c>
      <c r="E1293" s="31">
        <f>CHAIN_RAW!E1291</f>
        <v/>
      </c>
      <c r="F1293" s="31">
        <f>CHAIN_RAW!F1291</f>
        <v/>
      </c>
      <c r="G1293" s="31">
        <f>CHAIN_RAW!I1291</f>
        <v/>
      </c>
      <c r="H1293" s="31">
        <f>CHAIN_RAW!Q1291</f>
        <v/>
      </c>
      <c r="I1293" s="31">
        <f>LET(pc,F1293,oc,H1293,IF(OR(pc="",oc=""),"",IF(AND(pc&gt;0,oc&gt;0),"Long Buildup",IF(AND(pc&lt;0,oc&gt;0),"Short Buildup",IF(AND(pc&gt;0,oc&lt;0),"Short Covering",IF(AND(pc&lt;0,oc&lt;0),"Long Unwinding","Flat"))))))</f>
        <v/>
      </c>
      <c r="J1293" s="31">
        <f>LET(pc,ABS(F1293),oc,ABS(H1293),IF(OR(pc="",oc=""),"",MAX(1,MIN(5,ROUND((pc*0.5+oc*0.00001)*5,0))))))</f>
        <v/>
      </c>
    </row>
    <row r="1294">
      <c r="A1294" s="31" t="n">
        <v>1292</v>
      </c>
      <c r="B1294" s="31">
        <f>CHAIN_RAW!D1292</f>
        <v/>
      </c>
      <c r="C1294" s="31">
        <f>CHAIN_RAW!A1292</f>
        <v/>
      </c>
      <c r="D1294" s="31">
        <f>CHAIN_RAW!C1292</f>
        <v/>
      </c>
      <c r="E1294" s="31">
        <f>CHAIN_RAW!E1292</f>
        <v/>
      </c>
      <c r="F1294" s="31">
        <f>CHAIN_RAW!F1292</f>
        <v/>
      </c>
      <c r="G1294" s="31">
        <f>CHAIN_RAW!I1292</f>
        <v/>
      </c>
      <c r="H1294" s="31">
        <f>CHAIN_RAW!Q1292</f>
        <v/>
      </c>
      <c r="I1294" s="31">
        <f>LET(pc,F1294,oc,H1294,IF(OR(pc="",oc=""),"",IF(AND(pc&gt;0,oc&gt;0),"Long Buildup",IF(AND(pc&lt;0,oc&gt;0),"Short Buildup",IF(AND(pc&gt;0,oc&lt;0),"Short Covering",IF(AND(pc&lt;0,oc&lt;0),"Long Unwinding","Flat"))))))</f>
        <v/>
      </c>
      <c r="J1294" s="31">
        <f>LET(pc,ABS(F1294),oc,ABS(H1294),IF(OR(pc="",oc=""),"",MAX(1,MIN(5,ROUND((pc*0.5+oc*0.00001)*5,0))))))</f>
        <v/>
      </c>
    </row>
    <row r="1295">
      <c r="A1295" s="31" t="n">
        <v>1293</v>
      </c>
      <c r="B1295" s="31">
        <f>CHAIN_RAW!D1293</f>
        <v/>
      </c>
      <c r="C1295" s="31">
        <f>CHAIN_RAW!A1293</f>
        <v/>
      </c>
      <c r="D1295" s="31">
        <f>CHAIN_RAW!C1293</f>
        <v/>
      </c>
      <c r="E1295" s="31">
        <f>CHAIN_RAW!E1293</f>
        <v/>
      </c>
      <c r="F1295" s="31">
        <f>CHAIN_RAW!F1293</f>
        <v/>
      </c>
      <c r="G1295" s="31">
        <f>CHAIN_RAW!I1293</f>
        <v/>
      </c>
      <c r="H1295" s="31">
        <f>CHAIN_RAW!Q1293</f>
        <v/>
      </c>
      <c r="I1295" s="31">
        <f>LET(pc,F1295,oc,H1295,IF(OR(pc="",oc=""),"",IF(AND(pc&gt;0,oc&gt;0),"Long Buildup",IF(AND(pc&lt;0,oc&gt;0),"Short Buildup",IF(AND(pc&gt;0,oc&lt;0),"Short Covering",IF(AND(pc&lt;0,oc&lt;0),"Long Unwinding","Flat"))))))</f>
        <v/>
      </c>
      <c r="J1295" s="31">
        <f>LET(pc,ABS(F1295),oc,ABS(H1295),IF(OR(pc="",oc=""),"",MAX(1,MIN(5,ROUND((pc*0.5+oc*0.00001)*5,0))))))</f>
        <v/>
      </c>
    </row>
    <row r="1296">
      <c r="A1296" s="31" t="n">
        <v>1294</v>
      </c>
      <c r="B1296" s="31">
        <f>CHAIN_RAW!D1294</f>
        <v/>
      </c>
      <c r="C1296" s="31">
        <f>CHAIN_RAW!A1294</f>
        <v/>
      </c>
      <c r="D1296" s="31">
        <f>CHAIN_RAW!C1294</f>
        <v/>
      </c>
      <c r="E1296" s="31">
        <f>CHAIN_RAW!E1294</f>
        <v/>
      </c>
      <c r="F1296" s="31">
        <f>CHAIN_RAW!F1294</f>
        <v/>
      </c>
      <c r="G1296" s="31">
        <f>CHAIN_RAW!I1294</f>
        <v/>
      </c>
      <c r="H1296" s="31">
        <f>CHAIN_RAW!Q1294</f>
        <v/>
      </c>
      <c r="I1296" s="31">
        <f>LET(pc,F1296,oc,H1296,IF(OR(pc="",oc=""),"",IF(AND(pc&gt;0,oc&gt;0),"Long Buildup",IF(AND(pc&lt;0,oc&gt;0),"Short Buildup",IF(AND(pc&gt;0,oc&lt;0),"Short Covering",IF(AND(pc&lt;0,oc&lt;0),"Long Unwinding","Flat"))))))</f>
        <v/>
      </c>
      <c r="J1296" s="31">
        <f>LET(pc,ABS(F1296),oc,ABS(H1296),IF(OR(pc="",oc=""),"",MAX(1,MIN(5,ROUND((pc*0.5+oc*0.00001)*5,0))))))</f>
        <v/>
      </c>
    </row>
    <row r="1297">
      <c r="A1297" s="31" t="n">
        <v>1295</v>
      </c>
      <c r="B1297" s="31">
        <f>CHAIN_RAW!D1295</f>
        <v/>
      </c>
      <c r="C1297" s="31">
        <f>CHAIN_RAW!A1295</f>
        <v/>
      </c>
      <c r="D1297" s="31">
        <f>CHAIN_RAW!C1295</f>
        <v/>
      </c>
      <c r="E1297" s="31">
        <f>CHAIN_RAW!E1295</f>
        <v/>
      </c>
      <c r="F1297" s="31">
        <f>CHAIN_RAW!F1295</f>
        <v/>
      </c>
      <c r="G1297" s="31">
        <f>CHAIN_RAW!I1295</f>
        <v/>
      </c>
      <c r="H1297" s="31">
        <f>CHAIN_RAW!Q1295</f>
        <v/>
      </c>
      <c r="I1297" s="31">
        <f>LET(pc,F1297,oc,H1297,IF(OR(pc="",oc=""),"",IF(AND(pc&gt;0,oc&gt;0),"Long Buildup",IF(AND(pc&lt;0,oc&gt;0),"Short Buildup",IF(AND(pc&gt;0,oc&lt;0),"Short Covering",IF(AND(pc&lt;0,oc&lt;0),"Long Unwinding","Flat"))))))</f>
        <v/>
      </c>
      <c r="J1297" s="31">
        <f>LET(pc,ABS(F1297),oc,ABS(H1297),IF(OR(pc="",oc=""),"",MAX(1,MIN(5,ROUND((pc*0.5+oc*0.00001)*5,0))))))</f>
        <v/>
      </c>
    </row>
    <row r="1298">
      <c r="A1298" s="31" t="n">
        <v>1296</v>
      </c>
      <c r="B1298" s="31">
        <f>CHAIN_RAW!D1296</f>
        <v/>
      </c>
      <c r="C1298" s="31">
        <f>CHAIN_RAW!A1296</f>
        <v/>
      </c>
      <c r="D1298" s="31">
        <f>CHAIN_RAW!C1296</f>
        <v/>
      </c>
      <c r="E1298" s="31">
        <f>CHAIN_RAW!E1296</f>
        <v/>
      </c>
      <c r="F1298" s="31">
        <f>CHAIN_RAW!F1296</f>
        <v/>
      </c>
      <c r="G1298" s="31">
        <f>CHAIN_RAW!I1296</f>
        <v/>
      </c>
      <c r="H1298" s="31">
        <f>CHAIN_RAW!Q1296</f>
        <v/>
      </c>
      <c r="I1298" s="31">
        <f>LET(pc,F1298,oc,H1298,IF(OR(pc="",oc=""),"",IF(AND(pc&gt;0,oc&gt;0),"Long Buildup",IF(AND(pc&lt;0,oc&gt;0),"Short Buildup",IF(AND(pc&gt;0,oc&lt;0),"Short Covering",IF(AND(pc&lt;0,oc&lt;0),"Long Unwinding","Flat"))))))</f>
        <v/>
      </c>
      <c r="J1298" s="31">
        <f>LET(pc,ABS(F1298),oc,ABS(H1298),IF(OR(pc="",oc=""),"",MAX(1,MIN(5,ROUND((pc*0.5+oc*0.00001)*5,0))))))</f>
        <v/>
      </c>
    </row>
    <row r="1299">
      <c r="A1299" s="31" t="n">
        <v>1297</v>
      </c>
      <c r="B1299" s="31">
        <f>CHAIN_RAW!D1297</f>
        <v/>
      </c>
      <c r="C1299" s="31">
        <f>CHAIN_RAW!A1297</f>
        <v/>
      </c>
      <c r="D1299" s="31">
        <f>CHAIN_RAW!C1297</f>
        <v/>
      </c>
      <c r="E1299" s="31">
        <f>CHAIN_RAW!E1297</f>
        <v/>
      </c>
      <c r="F1299" s="31">
        <f>CHAIN_RAW!F1297</f>
        <v/>
      </c>
      <c r="G1299" s="31">
        <f>CHAIN_RAW!I1297</f>
        <v/>
      </c>
      <c r="H1299" s="31">
        <f>CHAIN_RAW!Q1297</f>
        <v/>
      </c>
      <c r="I1299" s="31">
        <f>LET(pc,F1299,oc,H1299,IF(OR(pc="",oc=""),"",IF(AND(pc&gt;0,oc&gt;0),"Long Buildup",IF(AND(pc&lt;0,oc&gt;0),"Short Buildup",IF(AND(pc&gt;0,oc&lt;0),"Short Covering",IF(AND(pc&lt;0,oc&lt;0),"Long Unwinding","Flat"))))))</f>
        <v/>
      </c>
      <c r="J1299" s="31">
        <f>LET(pc,ABS(F1299),oc,ABS(H1299),IF(OR(pc="",oc=""),"",MAX(1,MIN(5,ROUND((pc*0.5+oc*0.00001)*5,0))))))</f>
        <v/>
      </c>
    </row>
    <row r="1300">
      <c r="A1300" s="31" t="n">
        <v>1298</v>
      </c>
      <c r="B1300" s="31">
        <f>CHAIN_RAW!D1298</f>
        <v/>
      </c>
      <c r="C1300" s="31">
        <f>CHAIN_RAW!A1298</f>
        <v/>
      </c>
      <c r="D1300" s="31">
        <f>CHAIN_RAW!C1298</f>
        <v/>
      </c>
      <c r="E1300" s="31">
        <f>CHAIN_RAW!E1298</f>
        <v/>
      </c>
      <c r="F1300" s="31">
        <f>CHAIN_RAW!F1298</f>
        <v/>
      </c>
      <c r="G1300" s="31">
        <f>CHAIN_RAW!I1298</f>
        <v/>
      </c>
      <c r="H1300" s="31">
        <f>CHAIN_RAW!Q1298</f>
        <v/>
      </c>
      <c r="I1300" s="31">
        <f>LET(pc,F1300,oc,H1300,IF(OR(pc="",oc=""),"",IF(AND(pc&gt;0,oc&gt;0),"Long Buildup",IF(AND(pc&lt;0,oc&gt;0),"Short Buildup",IF(AND(pc&gt;0,oc&lt;0),"Short Covering",IF(AND(pc&lt;0,oc&lt;0),"Long Unwinding","Flat"))))))</f>
        <v/>
      </c>
      <c r="J1300" s="31">
        <f>LET(pc,ABS(F1300),oc,ABS(H1300),IF(OR(pc="",oc=""),"",MAX(1,MIN(5,ROUND((pc*0.5+oc*0.00001)*5,0))))))</f>
        <v/>
      </c>
    </row>
    <row r="1301">
      <c r="A1301" s="31" t="n">
        <v>1299</v>
      </c>
      <c r="B1301" s="31">
        <f>CHAIN_RAW!D1299</f>
        <v/>
      </c>
      <c r="C1301" s="31">
        <f>CHAIN_RAW!A1299</f>
        <v/>
      </c>
      <c r="D1301" s="31">
        <f>CHAIN_RAW!C1299</f>
        <v/>
      </c>
      <c r="E1301" s="31">
        <f>CHAIN_RAW!E1299</f>
        <v/>
      </c>
      <c r="F1301" s="31">
        <f>CHAIN_RAW!F1299</f>
        <v/>
      </c>
      <c r="G1301" s="31">
        <f>CHAIN_RAW!I1299</f>
        <v/>
      </c>
      <c r="H1301" s="31">
        <f>CHAIN_RAW!Q1299</f>
        <v/>
      </c>
      <c r="I1301" s="31">
        <f>LET(pc,F1301,oc,H1301,IF(OR(pc="",oc=""),"",IF(AND(pc&gt;0,oc&gt;0),"Long Buildup",IF(AND(pc&lt;0,oc&gt;0),"Short Buildup",IF(AND(pc&gt;0,oc&lt;0),"Short Covering",IF(AND(pc&lt;0,oc&lt;0),"Long Unwinding","Flat"))))))</f>
        <v/>
      </c>
      <c r="J1301" s="31">
        <f>LET(pc,ABS(F1301),oc,ABS(H1301),IF(OR(pc="",oc=""),"",MAX(1,MIN(5,ROUND((pc*0.5+oc*0.00001)*5,0))))))</f>
        <v/>
      </c>
    </row>
    <row r="1302">
      <c r="A1302" s="31" t="n">
        <v>1300</v>
      </c>
      <c r="B1302" s="31">
        <f>CHAIN_RAW!D1300</f>
        <v/>
      </c>
      <c r="C1302" s="31">
        <f>CHAIN_RAW!A1300</f>
        <v/>
      </c>
      <c r="D1302" s="31">
        <f>CHAIN_RAW!C1300</f>
        <v/>
      </c>
      <c r="E1302" s="31">
        <f>CHAIN_RAW!E1300</f>
        <v/>
      </c>
      <c r="F1302" s="31">
        <f>CHAIN_RAW!F1300</f>
        <v/>
      </c>
      <c r="G1302" s="31">
        <f>CHAIN_RAW!I1300</f>
        <v/>
      </c>
      <c r="H1302" s="31">
        <f>CHAIN_RAW!Q1300</f>
        <v/>
      </c>
      <c r="I1302" s="31">
        <f>LET(pc,F1302,oc,H1302,IF(OR(pc="",oc=""),"",IF(AND(pc&gt;0,oc&gt;0),"Long Buildup",IF(AND(pc&lt;0,oc&gt;0),"Short Buildup",IF(AND(pc&gt;0,oc&lt;0),"Short Covering",IF(AND(pc&lt;0,oc&lt;0),"Long Unwinding","Flat"))))))</f>
        <v/>
      </c>
      <c r="J1302" s="31">
        <f>LET(pc,ABS(F1302),oc,ABS(H1302),IF(OR(pc="",oc=""),"",MAX(1,MIN(5,ROUND((pc*0.5+oc*0.00001)*5,0))))))</f>
        <v/>
      </c>
    </row>
    <row r="1303">
      <c r="A1303" s="31" t="n">
        <v>1301</v>
      </c>
      <c r="B1303" s="31">
        <f>CHAIN_RAW!D1301</f>
        <v/>
      </c>
      <c r="C1303" s="31">
        <f>CHAIN_RAW!A1301</f>
        <v/>
      </c>
      <c r="D1303" s="31">
        <f>CHAIN_RAW!C1301</f>
        <v/>
      </c>
      <c r="E1303" s="31">
        <f>CHAIN_RAW!E1301</f>
        <v/>
      </c>
      <c r="F1303" s="31">
        <f>CHAIN_RAW!F1301</f>
        <v/>
      </c>
      <c r="G1303" s="31">
        <f>CHAIN_RAW!I1301</f>
        <v/>
      </c>
      <c r="H1303" s="31">
        <f>CHAIN_RAW!Q1301</f>
        <v/>
      </c>
      <c r="I1303" s="31">
        <f>LET(pc,F1303,oc,H1303,IF(OR(pc="",oc=""),"",IF(AND(pc&gt;0,oc&gt;0),"Long Buildup",IF(AND(pc&lt;0,oc&gt;0),"Short Buildup",IF(AND(pc&gt;0,oc&lt;0),"Short Covering",IF(AND(pc&lt;0,oc&lt;0),"Long Unwinding","Flat"))))))</f>
        <v/>
      </c>
      <c r="J1303" s="31">
        <f>LET(pc,ABS(F1303),oc,ABS(H1303),IF(OR(pc="",oc=""),"",MAX(1,MIN(5,ROUND((pc*0.5+oc*0.00001)*5,0))))))</f>
        <v/>
      </c>
    </row>
    <row r="1304">
      <c r="A1304" s="31" t="n">
        <v>1302</v>
      </c>
      <c r="B1304" s="31">
        <f>CHAIN_RAW!D1302</f>
        <v/>
      </c>
      <c r="C1304" s="31">
        <f>CHAIN_RAW!A1302</f>
        <v/>
      </c>
      <c r="D1304" s="31">
        <f>CHAIN_RAW!C1302</f>
        <v/>
      </c>
      <c r="E1304" s="31">
        <f>CHAIN_RAW!E1302</f>
        <v/>
      </c>
      <c r="F1304" s="31">
        <f>CHAIN_RAW!F1302</f>
        <v/>
      </c>
      <c r="G1304" s="31">
        <f>CHAIN_RAW!I1302</f>
        <v/>
      </c>
      <c r="H1304" s="31">
        <f>CHAIN_RAW!Q1302</f>
        <v/>
      </c>
      <c r="I1304" s="31">
        <f>LET(pc,F1304,oc,H1304,IF(OR(pc="",oc=""),"",IF(AND(pc&gt;0,oc&gt;0),"Long Buildup",IF(AND(pc&lt;0,oc&gt;0),"Short Buildup",IF(AND(pc&gt;0,oc&lt;0),"Short Covering",IF(AND(pc&lt;0,oc&lt;0),"Long Unwinding","Flat"))))))</f>
        <v/>
      </c>
      <c r="J1304" s="31">
        <f>LET(pc,ABS(F1304),oc,ABS(H1304),IF(OR(pc="",oc=""),"",MAX(1,MIN(5,ROUND((pc*0.5+oc*0.00001)*5,0))))))</f>
        <v/>
      </c>
    </row>
    <row r="1305">
      <c r="A1305" s="31" t="n">
        <v>1303</v>
      </c>
      <c r="B1305" s="31">
        <f>CHAIN_RAW!D1303</f>
        <v/>
      </c>
      <c r="C1305" s="31">
        <f>CHAIN_RAW!A1303</f>
        <v/>
      </c>
      <c r="D1305" s="31">
        <f>CHAIN_RAW!C1303</f>
        <v/>
      </c>
      <c r="E1305" s="31">
        <f>CHAIN_RAW!E1303</f>
        <v/>
      </c>
      <c r="F1305" s="31">
        <f>CHAIN_RAW!F1303</f>
        <v/>
      </c>
      <c r="G1305" s="31">
        <f>CHAIN_RAW!I1303</f>
        <v/>
      </c>
      <c r="H1305" s="31">
        <f>CHAIN_RAW!Q1303</f>
        <v/>
      </c>
      <c r="I1305" s="31">
        <f>LET(pc,F1305,oc,H1305,IF(OR(pc="",oc=""),"",IF(AND(pc&gt;0,oc&gt;0),"Long Buildup",IF(AND(pc&lt;0,oc&gt;0),"Short Buildup",IF(AND(pc&gt;0,oc&lt;0),"Short Covering",IF(AND(pc&lt;0,oc&lt;0),"Long Unwinding","Flat"))))))</f>
        <v/>
      </c>
      <c r="J1305" s="31">
        <f>LET(pc,ABS(F1305),oc,ABS(H1305),IF(OR(pc="",oc=""),"",MAX(1,MIN(5,ROUND((pc*0.5+oc*0.00001)*5,0))))))</f>
        <v/>
      </c>
    </row>
    <row r="1306">
      <c r="A1306" s="31" t="n">
        <v>1304</v>
      </c>
      <c r="B1306" s="31">
        <f>CHAIN_RAW!D1304</f>
        <v/>
      </c>
      <c r="C1306" s="31">
        <f>CHAIN_RAW!A1304</f>
        <v/>
      </c>
      <c r="D1306" s="31">
        <f>CHAIN_RAW!C1304</f>
        <v/>
      </c>
      <c r="E1306" s="31">
        <f>CHAIN_RAW!E1304</f>
        <v/>
      </c>
      <c r="F1306" s="31">
        <f>CHAIN_RAW!F1304</f>
        <v/>
      </c>
      <c r="G1306" s="31">
        <f>CHAIN_RAW!I1304</f>
        <v/>
      </c>
      <c r="H1306" s="31">
        <f>CHAIN_RAW!Q1304</f>
        <v/>
      </c>
      <c r="I1306" s="31">
        <f>LET(pc,F1306,oc,H1306,IF(OR(pc="",oc=""),"",IF(AND(pc&gt;0,oc&gt;0),"Long Buildup",IF(AND(pc&lt;0,oc&gt;0),"Short Buildup",IF(AND(pc&gt;0,oc&lt;0),"Short Covering",IF(AND(pc&lt;0,oc&lt;0),"Long Unwinding","Flat"))))))</f>
        <v/>
      </c>
      <c r="J1306" s="31">
        <f>LET(pc,ABS(F1306),oc,ABS(H1306),IF(OR(pc="",oc=""),"",MAX(1,MIN(5,ROUND((pc*0.5+oc*0.00001)*5,0))))))</f>
        <v/>
      </c>
    </row>
    <row r="1307">
      <c r="A1307" s="31" t="n">
        <v>1305</v>
      </c>
      <c r="B1307" s="31">
        <f>CHAIN_RAW!D1305</f>
        <v/>
      </c>
      <c r="C1307" s="31">
        <f>CHAIN_RAW!A1305</f>
        <v/>
      </c>
      <c r="D1307" s="31">
        <f>CHAIN_RAW!C1305</f>
        <v/>
      </c>
      <c r="E1307" s="31">
        <f>CHAIN_RAW!E1305</f>
        <v/>
      </c>
      <c r="F1307" s="31">
        <f>CHAIN_RAW!F1305</f>
        <v/>
      </c>
      <c r="G1307" s="31">
        <f>CHAIN_RAW!I1305</f>
        <v/>
      </c>
      <c r="H1307" s="31">
        <f>CHAIN_RAW!Q1305</f>
        <v/>
      </c>
      <c r="I1307" s="31">
        <f>LET(pc,F1307,oc,H1307,IF(OR(pc="",oc=""),"",IF(AND(pc&gt;0,oc&gt;0),"Long Buildup",IF(AND(pc&lt;0,oc&gt;0),"Short Buildup",IF(AND(pc&gt;0,oc&lt;0),"Short Covering",IF(AND(pc&lt;0,oc&lt;0),"Long Unwinding","Flat"))))))</f>
        <v/>
      </c>
      <c r="J1307" s="31">
        <f>LET(pc,ABS(F1307),oc,ABS(H1307),IF(OR(pc="",oc=""),"",MAX(1,MIN(5,ROUND((pc*0.5+oc*0.00001)*5,0))))))</f>
        <v/>
      </c>
    </row>
    <row r="1308">
      <c r="A1308" s="31" t="n">
        <v>1306</v>
      </c>
      <c r="B1308" s="31">
        <f>CHAIN_RAW!D1306</f>
        <v/>
      </c>
      <c r="C1308" s="31">
        <f>CHAIN_RAW!A1306</f>
        <v/>
      </c>
      <c r="D1308" s="31">
        <f>CHAIN_RAW!C1306</f>
        <v/>
      </c>
      <c r="E1308" s="31">
        <f>CHAIN_RAW!E1306</f>
        <v/>
      </c>
      <c r="F1308" s="31">
        <f>CHAIN_RAW!F1306</f>
        <v/>
      </c>
      <c r="G1308" s="31">
        <f>CHAIN_RAW!I1306</f>
        <v/>
      </c>
      <c r="H1308" s="31">
        <f>CHAIN_RAW!Q1306</f>
        <v/>
      </c>
      <c r="I1308" s="31">
        <f>LET(pc,F1308,oc,H1308,IF(OR(pc="",oc=""),"",IF(AND(pc&gt;0,oc&gt;0),"Long Buildup",IF(AND(pc&lt;0,oc&gt;0),"Short Buildup",IF(AND(pc&gt;0,oc&lt;0),"Short Covering",IF(AND(pc&lt;0,oc&lt;0),"Long Unwinding","Flat"))))))</f>
        <v/>
      </c>
      <c r="J1308" s="31">
        <f>LET(pc,ABS(F1308),oc,ABS(H1308),IF(OR(pc="",oc=""),"",MAX(1,MIN(5,ROUND((pc*0.5+oc*0.00001)*5,0))))))</f>
        <v/>
      </c>
    </row>
    <row r="1309">
      <c r="A1309" s="31" t="n">
        <v>1307</v>
      </c>
      <c r="B1309" s="31">
        <f>CHAIN_RAW!D1307</f>
        <v/>
      </c>
      <c r="C1309" s="31">
        <f>CHAIN_RAW!A1307</f>
        <v/>
      </c>
      <c r="D1309" s="31">
        <f>CHAIN_RAW!C1307</f>
        <v/>
      </c>
      <c r="E1309" s="31">
        <f>CHAIN_RAW!E1307</f>
        <v/>
      </c>
      <c r="F1309" s="31">
        <f>CHAIN_RAW!F1307</f>
        <v/>
      </c>
      <c r="G1309" s="31">
        <f>CHAIN_RAW!I1307</f>
        <v/>
      </c>
      <c r="H1309" s="31">
        <f>CHAIN_RAW!Q1307</f>
        <v/>
      </c>
      <c r="I1309" s="31">
        <f>LET(pc,F1309,oc,H1309,IF(OR(pc="",oc=""),"",IF(AND(pc&gt;0,oc&gt;0),"Long Buildup",IF(AND(pc&lt;0,oc&gt;0),"Short Buildup",IF(AND(pc&gt;0,oc&lt;0),"Short Covering",IF(AND(pc&lt;0,oc&lt;0),"Long Unwinding","Flat"))))))</f>
        <v/>
      </c>
      <c r="J1309" s="31">
        <f>LET(pc,ABS(F1309),oc,ABS(H1309),IF(OR(pc="",oc=""),"",MAX(1,MIN(5,ROUND((pc*0.5+oc*0.00001)*5,0))))))</f>
        <v/>
      </c>
    </row>
    <row r="1310">
      <c r="A1310" s="31" t="n">
        <v>1308</v>
      </c>
      <c r="B1310" s="31">
        <f>CHAIN_RAW!D1308</f>
        <v/>
      </c>
      <c r="C1310" s="31">
        <f>CHAIN_RAW!A1308</f>
        <v/>
      </c>
      <c r="D1310" s="31">
        <f>CHAIN_RAW!C1308</f>
        <v/>
      </c>
      <c r="E1310" s="31">
        <f>CHAIN_RAW!E1308</f>
        <v/>
      </c>
      <c r="F1310" s="31">
        <f>CHAIN_RAW!F1308</f>
        <v/>
      </c>
      <c r="G1310" s="31">
        <f>CHAIN_RAW!I1308</f>
        <v/>
      </c>
      <c r="H1310" s="31">
        <f>CHAIN_RAW!Q1308</f>
        <v/>
      </c>
      <c r="I1310" s="31">
        <f>LET(pc,F1310,oc,H1310,IF(OR(pc="",oc=""),"",IF(AND(pc&gt;0,oc&gt;0),"Long Buildup",IF(AND(pc&lt;0,oc&gt;0),"Short Buildup",IF(AND(pc&gt;0,oc&lt;0),"Short Covering",IF(AND(pc&lt;0,oc&lt;0),"Long Unwinding","Flat"))))))</f>
        <v/>
      </c>
      <c r="J1310" s="31">
        <f>LET(pc,ABS(F1310),oc,ABS(H1310),IF(OR(pc="",oc=""),"",MAX(1,MIN(5,ROUND((pc*0.5+oc*0.00001)*5,0))))))</f>
        <v/>
      </c>
    </row>
    <row r="1311">
      <c r="A1311" s="31" t="n">
        <v>1309</v>
      </c>
      <c r="B1311" s="31">
        <f>CHAIN_RAW!D1309</f>
        <v/>
      </c>
      <c r="C1311" s="31">
        <f>CHAIN_RAW!A1309</f>
        <v/>
      </c>
      <c r="D1311" s="31">
        <f>CHAIN_RAW!C1309</f>
        <v/>
      </c>
      <c r="E1311" s="31">
        <f>CHAIN_RAW!E1309</f>
        <v/>
      </c>
      <c r="F1311" s="31">
        <f>CHAIN_RAW!F1309</f>
        <v/>
      </c>
      <c r="G1311" s="31">
        <f>CHAIN_RAW!I1309</f>
        <v/>
      </c>
      <c r="H1311" s="31">
        <f>CHAIN_RAW!Q1309</f>
        <v/>
      </c>
      <c r="I1311" s="31">
        <f>LET(pc,F1311,oc,H1311,IF(OR(pc="",oc=""),"",IF(AND(pc&gt;0,oc&gt;0),"Long Buildup",IF(AND(pc&lt;0,oc&gt;0),"Short Buildup",IF(AND(pc&gt;0,oc&lt;0),"Short Covering",IF(AND(pc&lt;0,oc&lt;0),"Long Unwinding","Flat"))))))</f>
        <v/>
      </c>
      <c r="J1311" s="31">
        <f>LET(pc,ABS(F1311),oc,ABS(H1311),IF(OR(pc="",oc=""),"",MAX(1,MIN(5,ROUND((pc*0.5+oc*0.00001)*5,0))))))</f>
        <v/>
      </c>
    </row>
    <row r="1312">
      <c r="A1312" s="31" t="n">
        <v>1310</v>
      </c>
      <c r="B1312" s="31">
        <f>CHAIN_RAW!D1310</f>
        <v/>
      </c>
      <c r="C1312" s="31">
        <f>CHAIN_RAW!A1310</f>
        <v/>
      </c>
      <c r="D1312" s="31">
        <f>CHAIN_RAW!C1310</f>
        <v/>
      </c>
      <c r="E1312" s="31">
        <f>CHAIN_RAW!E1310</f>
        <v/>
      </c>
      <c r="F1312" s="31">
        <f>CHAIN_RAW!F1310</f>
        <v/>
      </c>
      <c r="G1312" s="31">
        <f>CHAIN_RAW!I1310</f>
        <v/>
      </c>
      <c r="H1312" s="31">
        <f>CHAIN_RAW!Q1310</f>
        <v/>
      </c>
      <c r="I1312" s="31">
        <f>LET(pc,F1312,oc,H1312,IF(OR(pc="",oc=""),"",IF(AND(pc&gt;0,oc&gt;0),"Long Buildup",IF(AND(pc&lt;0,oc&gt;0),"Short Buildup",IF(AND(pc&gt;0,oc&lt;0),"Short Covering",IF(AND(pc&lt;0,oc&lt;0),"Long Unwinding","Flat"))))))</f>
        <v/>
      </c>
      <c r="J1312" s="31">
        <f>LET(pc,ABS(F1312),oc,ABS(H1312),IF(OR(pc="",oc=""),"",MAX(1,MIN(5,ROUND((pc*0.5+oc*0.00001)*5,0))))))</f>
        <v/>
      </c>
    </row>
    <row r="1313">
      <c r="A1313" s="31" t="n">
        <v>1311</v>
      </c>
      <c r="B1313" s="31">
        <f>CHAIN_RAW!D1311</f>
        <v/>
      </c>
      <c r="C1313" s="31">
        <f>CHAIN_RAW!A1311</f>
        <v/>
      </c>
      <c r="D1313" s="31">
        <f>CHAIN_RAW!C1311</f>
        <v/>
      </c>
      <c r="E1313" s="31">
        <f>CHAIN_RAW!E1311</f>
        <v/>
      </c>
      <c r="F1313" s="31">
        <f>CHAIN_RAW!F1311</f>
        <v/>
      </c>
      <c r="G1313" s="31">
        <f>CHAIN_RAW!I1311</f>
        <v/>
      </c>
      <c r="H1313" s="31">
        <f>CHAIN_RAW!Q1311</f>
        <v/>
      </c>
      <c r="I1313" s="31">
        <f>LET(pc,F1313,oc,H1313,IF(OR(pc="",oc=""),"",IF(AND(pc&gt;0,oc&gt;0),"Long Buildup",IF(AND(pc&lt;0,oc&gt;0),"Short Buildup",IF(AND(pc&gt;0,oc&lt;0),"Short Covering",IF(AND(pc&lt;0,oc&lt;0),"Long Unwinding","Flat"))))))</f>
        <v/>
      </c>
      <c r="J1313" s="31">
        <f>LET(pc,ABS(F1313),oc,ABS(H1313),IF(OR(pc="",oc=""),"",MAX(1,MIN(5,ROUND((pc*0.5+oc*0.00001)*5,0))))))</f>
        <v/>
      </c>
    </row>
    <row r="1314">
      <c r="A1314" s="31" t="n">
        <v>1312</v>
      </c>
      <c r="B1314" s="31">
        <f>CHAIN_RAW!D1312</f>
        <v/>
      </c>
      <c r="C1314" s="31">
        <f>CHAIN_RAW!A1312</f>
        <v/>
      </c>
      <c r="D1314" s="31">
        <f>CHAIN_RAW!C1312</f>
        <v/>
      </c>
      <c r="E1314" s="31">
        <f>CHAIN_RAW!E1312</f>
        <v/>
      </c>
      <c r="F1314" s="31">
        <f>CHAIN_RAW!F1312</f>
        <v/>
      </c>
      <c r="G1314" s="31">
        <f>CHAIN_RAW!I1312</f>
        <v/>
      </c>
      <c r="H1314" s="31">
        <f>CHAIN_RAW!Q1312</f>
        <v/>
      </c>
      <c r="I1314" s="31">
        <f>LET(pc,F1314,oc,H1314,IF(OR(pc="",oc=""),"",IF(AND(pc&gt;0,oc&gt;0),"Long Buildup",IF(AND(pc&lt;0,oc&gt;0),"Short Buildup",IF(AND(pc&gt;0,oc&lt;0),"Short Covering",IF(AND(pc&lt;0,oc&lt;0),"Long Unwinding","Flat"))))))</f>
        <v/>
      </c>
      <c r="J1314" s="31">
        <f>LET(pc,ABS(F1314),oc,ABS(H1314),IF(OR(pc="",oc=""),"",MAX(1,MIN(5,ROUND((pc*0.5+oc*0.00001)*5,0))))))</f>
        <v/>
      </c>
    </row>
    <row r="1315">
      <c r="A1315" s="31" t="n">
        <v>1313</v>
      </c>
      <c r="B1315" s="31">
        <f>CHAIN_RAW!D1313</f>
        <v/>
      </c>
      <c r="C1315" s="31">
        <f>CHAIN_RAW!A1313</f>
        <v/>
      </c>
      <c r="D1315" s="31">
        <f>CHAIN_RAW!C1313</f>
        <v/>
      </c>
      <c r="E1315" s="31">
        <f>CHAIN_RAW!E1313</f>
        <v/>
      </c>
      <c r="F1315" s="31">
        <f>CHAIN_RAW!F1313</f>
        <v/>
      </c>
      <c r="G1315" s="31">
        <f>CHAIN_RAW!I1313</f>
        <v/>
      </c>
      <c r="H1315" s="31">
        <f>CHAIN_RAW!Q1313</f>
        <v/>
      </c>
      <c r="I1315" s="31">
        <f>LET(pc,F1315,oc,H1315,IF(OR(pc="",oc=""),"",IF(AND(pc&gt;0,oc&gt;0),"Long Buildup",IF(AND(pc&lt;0,oc&gt;0),"Short Buildup",IF(AND(pc&gt;0,oc&lt;0),"Short Covering",IF(AND(pc&lt;0,oc&lt;0),"Long Unwinding","Flat"))))))</f>
        <v/>
      </c>
      <c r="J1315" s="31">
        <f>LET(pc,ABS(F1315),oc,ABS(H1315),IF(OR(pc="",oc=""),"",MAX(1,MIN(5,ROUND((pc*0.5+oc*0.00001)*5,0))))))</f>
        <v/>
      </c>
    </row>
    <row r="1316">
      <c r="A1316" s="31" t="n">
        <v>1314</v>
      </c>
      <c r="B1316" s="31">
        <f>CHAIN_RAW!D1314</f>
        <v/>
      </c>
      <c r="C1316" s="31">
        <f>CHAIN_RAW!A1314</f>
        <v/>
      </c>
      <c r="D1316" s="31">
        <f>CHAIN_RAW!C1314</f>
        <v/>
      </c>
      <c r="E1316" s="31">
        <f>CHAIN_RAW!E1314</f>
        <v/>
      </c>
      <c r="F1316" s="31">
        <f>CHAIN_RAW!F1314</f>
        <v/>
      </c>
      <c r="G1316" s="31">
        <f>CHAIN_RAW!I1314</f>
        <v/>
      </c>
      <c r="H1316" s="31">
        <f>CHAIN_RAW!Q1314</f>
        <v/>
      </c>
      <c r="I1316" s="31">
        <f>LET(pc,F1316,oc,H1316,IF(OR(pc="",oc=""),"",IF(AND(pc&gt;0,oc&gt;0),"Long Buildup",IF(AND(pc&lt;0,oc&gt;0),"Short Buildup",IF(AND(pc&gt;0,oc&lt;0),"Short Covering",IF(AND(pc&lt;0,oc&lt;0),"Long Unwinding","Flat"))))))</f>
        <v/>
      </c>
      <c r="J1316" s="31">
        <f>LET(pc,ABS(F1316),oc,ABS(H1316),IF(OR(pc="",oc=""),"",MAX(1,MIN(5,ROUND((pc*0.5+oc*0.00001)*5,0))))))</f>
        <v/>
      </c>
    </row>
    <row r="1317">
      <c r="A1317" s="31" t="n">
        <v>1315</v>
      </c>
      <c r="B1317" s="31">
        <f>CHAIN_RAW!D1315</f>
        <v/>
      </c>
      <c r="C1317" s="31">
        <f>CHAIN_RAW!A1315</f>
        <v/>
      </c>
      <c r="D1317" s="31">
        <f>CHAIN_RAW!C1315</f>
        <v/>
      </c>
      <c r="E1317" s="31">
        <f>CHAIN_RAW!E1315</f>
        <v/>
      </c>
      <c r="F1317" s="31">
        <f>CHAIN_RAW!F1315</f>
        <v/>
      </c>
      <c r="G1317" s="31">
        <f>CHAIN_RAW!I1315</f>
        <v/>
      </c>
      <c r="H1317" s="31">
        <f>CHAIN_RAW!Q1315</f>
        <v/>
      </c>
      <c r="I1317" s="31">
        <f>LET(pc,F1317,oc,H1317,IF(OR(pc="",oc=""),"",IF(AND(pc&gt;0,oc&gt;0),"Long Buildup",IF(AND(pc&lt;0,oc&gt;0),"Short Buildup",IF(AND(pc&gt;0,oc&lt;0),"Short Covering",IF(AND(pc&lt;0,oc&lt;0),"Long Unwinding","Flat"))))))</f>
        <v/>
      </c>
      <c r="J1317" s="31">
        <f>LET(pc,ABS(F1317),oc,ABS(H1317),IF(OR(pc="",oc=""),"",MAX(1,MIN(5,ROUND((pc*0.5+oc*0.00001)*5,0))))))</f>
        <v/>
      </c>
    </row>
    <row r="1318">
      <c r="A1318" s="31" t="n">
        <v>1316</v>
      </c>
      <c r="B1318" s="31">
        <f>CHAIN_RAW!D1316</f>
        <v/>
      </c>
      <c r="C1318" s="31">
        <f>CHAIN_RAW!A1316</f>
        <v/>
      </c>
      <c r="D1318" s="31">
        <f>CHAIN_RAW!C1316</f>
        <v/>
      </c>
      <c r="E1318" s="31">
        <f>CHAIN_RAW!E1316</f>
        <v/>
      </c>
      <c r="F1318" s="31">
        <f>CHAIN_RAW!F1316</f>
        <v/>
      </c>
      <c r="G1318" s="31">
        <f>CHAIN_RAW!I1316</f>
        <v/>
      </c>
      <c r="H1318" s="31">
        <f>CHAIN_RAW!Q1316</f>
        <v/>
      </c>
      <c r="I1318" s="31">
        <f>LET(pc,F1318,oc,H1318,IF(OR(pc="",oc=""),"",IF(AND(pc&gt;0,oc&gt;0),"Long Buildup",IF(AND(pc&lt;0,oc&gt;0),"Short Buildup",IF(AND(pc&gt;0,oc&lt;0),"Short Covering",IF(AND(pc&lt;0,oc&lt;0),"Long Unwinding","Flat"))))))</f>
        <v/>
      </c>
      <c r="J1318" s="31">
        <f>LET(pc,ABS(F1318),oc,ABS(H1318),IF(OR(pc="",oc=""),"",MAX(1,MIN(5,ROUND((pc*0.5+oc*0.00001)*5,0))))))</f>
        <v/>
      </c>
    </row>
    <row r="1319">
      <c r="A1319" s="31" t="n">
        <v>1317</v>
      </c>
      <c r="B1319" s="31">
        <f>CHAIN_RAW!D1317</f>
        <v/>
      </c>
      <c r="C1319" s="31">
        <f>CHAIN_RAW!A1317</f>
        <v/>
      </c>
      <c r="D1319" s="31">
        <f>CHAIN_RAW!C1317</f>
        <v/>
      </c>
      <c r="E1319" s="31">
        <f>CHAIN_RAW!E1317</f>
        <v/>
      </c>
      <c r="F1319" s="31">
        <f>CHAIN_RAW!F1317</f>
        <v/>
      </c>
      <c r="G1319" s="31">
        <f>CHAIN_RAW!I1317</f>
        <v/>
      </c>
      <c r="H1319" s="31">
        <f>CHAIN_RAW!Q1317</f>
        <v/>
      </c>
      <c r="I1319" s="31">
        <f>LET(pc,F1319,oc,H1319,IF(OR(pc="",oc=""),"",IF(AND(pc&gt;0,oc&gt;0),"Long Buildup",IF(AND(pc&lt;0,oc&gt;0),"Short Buildup",IF(AND(pc&gt;0,oc&lt;0),"Short Covering",IF(AND(pc&lt;0,oc&lt;0),"Long Unwinding","Flat"))))))</f>
        <v/>
      </c>
      <c r="J1319" s="31">
        <f>LET(pc,ABS(F1319),oc,ABS(H1319),IF(OR(pc="",oc=""),"",MAX(1,MIN(5,ROUND((pc*0.5+oc*0.00001)*5,0))))))</f>
        <v/>
      </c>
    </row>
    <row r="1320">
      <c r="A1320" s="31" t="n">
        <v>1318</v>
      </c>
      <c r="B1320" s="31">
        <f>CHAIN_RAW!D1318</f>
        <v/>
      </c>
      <c r="C1320" s="31">
        <f>CHAIN_RAW!A1318</f>
        <v/>
      </c>
      <c r="D1320" s="31">
        <f>CHAIN_RAW!C1318</f>
        <v/>
      </c>
      <c r="E1320" s="31">
        <f>CHAIN_RAW!E1318</f>
        <v/>
      </c>
      <c r="F1320" s="31">
        <f>CHAIN_RAW!F1318</f>
        <v/>
      </c>
      <c r="G1320" s="31">
        <f>CHAIN_RAW!I1318</f>
        <v/>
      </c>
      <c r="H1320" s="31">
        <f>CHAIN_RAW!Q1318</f>
        <v/>
      </c>
      <c r="I1320" s="31">
        <f>LET(pc,F1320,oc,H1320,IF(OR(pc="",oc=""),"",IF(AND(pc&gt;0,oc&gt;0),"Long Buildup",IF(AND(pc&lt;0,oc&gt;0),"Short Buildup",IF(AND(pc&gt;0,oc&lt;0),"Short Covering",IF(AND(pc&lt;0,oc&lt;0),"Long Unwinding","Flat"))))))</f>
        <v/>
      </c>
      <c r="J1320" s="31">
        <f>LET(pc,ABS(F1320),oc,ABS(H1320),IF(OR(pc="",oc=""),"",MAX(1,MIN(5,ROUND((pc*0.5+oc*0.00001)*5,0))))))</f>
        <v/>
      </c>
    </row>
    <row r="1321">
      <c r="A1321" s="31" t="n">
        <v>1319</v>
      </c>
      <c r="B1321" s="31">
        <f>CHAIN_RAW!D1319</f>
        <v/>
      </c>
      <c r="C1321" s="31">
        <f>CHAIN_RAW!A1319</f>
        <v/>
      </c>
      <c r="D1321" s="31">
        <f>CHAIN_RAW!C1319</f>
        <v/>
      </c>
      <c r="E1321" s="31">
        <f>CHAIN_RAW!E1319</f>
        <v/>
      </c>
      <c r="F1321" s="31">
        <f>CHAIN_RAW!F1319</f>
        <v/>
      </c>
      <c r="G1321" s="31">
        <f>CHAIN_RAW!I1319</f>
        <v/>
      </c>
      <c r="H1321" s="31">
        <f>CHAIN_RAW!Q1319</f>
        <v/>
      </c>
      <c r="I1321" s="31">
        <f>LET(pc,F1321,oc,H1321,IF(OR(pc="",oc=""),"",IF(AND(pc&gt;0,oc&gt;0),"Long Buildup",IF(AND(pc&lt;0,oc&gt;0),"Short Buildup",IF(AND(pc&gt;0,oc&lt;0),"Short Covering",IF(AND(pc&lt;0,oc&lt;0),"Long Unwinding","Flat"))))))</f>
        <v/>
      </c>
      <c r="J1321" s="31">
        <f>LET(pc,ABS(F1321),oc,ABS(H1321),IF(OR(pc="",oc=""),"",MAX(1,MIN(5,ROUND((pc*0.5+oc*0.00001)*5,0))))))</f>
        <v/>
      </c>
    </row>
    <row r="1322">
      <c r="A1322" s="31" t="n">
        <v>1320</v>
      </c>
      <c r="B1322" s="31">
        <f>CHAIN_RAW!D1320</f>
        <v/>
      </c>
      <c r="C1322" s="31">
        <f>CHAIN_RAW!A1320</f>
        <v/>
      </c>
      <c r="D1322" s="31">
        <f>CHAIN_RAW!C1320</f>
        <v/>
      </c>
      <c r="E1322" s="31">
        <f>CHAIN_RAW!E1320</f>
        <v/>
      </c>
      <c r="F1322" s="31">
        <f>CHAIN_RAW!F1320</f>
        <v/>
      </c>
      <c r="G1322" s="31">
        <f>CHAIN_RAW!I1320</f>
        <v/>
      </c>
      <c r="H1322" s="31">
        <f>CHAIN_RAW!Q1320</f>
        <v/>
      </c>
      <c r="I1322" s="31">
        <f>LET(pc,F1322,oc,H1322,IF(OR(pc="",oc=""),"",IF(AND(pc&gt;0,oc&gt;0),"Long Buildup",IF(AND(pc&lt;0,oc&gt;0),"Short Buildup",IF(AND(pc&gt;0,oc&lt;0),"Short Covering",IF(AND(pc&lt;0,oc&lt;0),"Long Unwinding","Flat"))))))</f>
        <v/>
      </c>
      <c r="J1322" s="31">
        <f>LET(pc,ABS(F1322),oc,ABS(H1322),IF(OR(pc="",oc=""),"",MAX(1,MIN(5,ROUND((pc*0.5+oc*0.00001)*5,0))))))</f>
        <v/>
      </c>
    </row>
    <row r="1323">
      <c r="A1323" s="31" t="n">
        <v>1321</v>
      </c>
      <c r="B1323" s="31">
        <f>CHAIN_RAW!D1321</f>
        <v/>
      </c>
      <c r="C1323" s="31">
        <f>CHAIN_RAW!A1321</f>
        <v/>
      </c>
      <c r="D1323" s="31">
        <f>CHAIN_RAW!C1321</f>
        <v/>
      </c>
      <c r="E1323" s="31">
        <f>CHAIN_RAW!E1321</f>
        <v/>
      </c>
      <c r="F1323" s="31">
        <f>CHAIN_RAW!F1321</f>
        <v/>
      </c>
      <c r="G1323" s="31">
        <f>CHAIN_RAW!I1321</f>
        <v/>
      </c>
      <c r="H1323" s="31">
        <f>CHAIN_RAW!Q1321</f>
        <v/>
      </c>
      <c r="I1323" s="31">
        <f>LET(pc,F1323,oc,H1323,IF(OR(pc="",oc=""),"",IF(AND(pc&gt;0,oc&gt;0),"Long Buildup",IF(AND(pc&lt;0,oc&gt;0),"Short Buildup",IF(AND(pc&gt;0,oc&lt;0),"Short Covering",IF(AND(pc&lt;0,oc&lt;0),"Long Unwinding","Flat"))))))</f>
        <v/>
      </c>
      <c r="J1323" s="31">
        <f>LET(pc,ABS(F1323),oc,ABS(H1323),IF(OR(pc="",oc=""),"",MAX(1,MIN(5,ROUND((pc*0.5+oc*0.00001)*5,0))))))</f>
        <v/>
      </c>
    </row>
    <row r="1324">
      <c r="A1324" s="31" t="n">
        <v>1322</v>
      </c>
      <c r="B1324" s="31">
        <f>CHAIN_RAW!D1322</f>
        <v/>
      </c>
      <c r="C1324" s="31">
        <f>CHAIN_RAW!A1322</f>
        <v/>
      </c>
      <c r="D1324" s="31">
        <f>CHAIN_RAW!C1322</f>
        <v/>
      </c>
      <c r="E1324" s="31">
        <f>CHAIN_RAW!E1322</f>
        <v/>
      </c>
      <c r="F1324" s="31">
        <f>CHAIN_RAW!F1322</f>
        <v/>
      </c>
      <c r="G1324" s="31">
        <f>CHAIN_RAW!I1322</f>
        <v/>
      </c>
      <c r="H1324" s="31">
        <f>CHAIN_RAW!Q1322</f>
        <v/>
      </c>
      <c r="I1324" s="31">
        <f>LET(pc,F1324,oc,H1324,IF(OR(pc="",oc=""),"",IF(AND(pc&gt;0,oc&gt;0),"Long Buildup",IF(AND(pc&lt;0,oc&gt;0),"Short Buildup",IF(AND(pc&gt;0,oc&lt;0),"Short Covering",IF(AND(pc&lt;0,oc&lt;0),"Long Unwinding","Flat"))))))</f>
        <v/>
      </c>
      <c r="J1324" s="31">
        <f>LET(pc,ABS(F1324),oc,ABS(H1324),IF(OR(pc="",oc=""),"",MAX(1,MIN(5,ROUND((pc*0.5+oc*0.00001)*5,0))))))</f>
        <v/>
      </c>
    </row>
    <row r="1325">
      <c r="A1325" s="31" t="n">
        <v>1323</v>
      </c>
      <c r="B1325" s="31">
        <f>CHAIN_RAW!D1323</f>
        <v/>
      </c>
      <c r="C1325" s="31">
        <f>CHAIN_RAW!A1323</f>
        <v/>
      </c>
      <c r="D1325" s="31">
        <f>CHAIN_RAW!C1323</f>
        <v/>
      </c>
      <c r="E1325" s="31">
        <f>CHAIN_RAW!E1323</f>
        <v/>
      </c>
      <c r="F1325" s="31">
        <f>CHAIN_RAW!F1323</f>
        <v/>
      </c>
      <c r="G1325" s="31">
        <f>CHAIN_RAW!I1323</f>
        <v/>
      </c>
      <c r="H1325" s="31">
        <f>CHAIN_RAW!Q1323</f>
        <v/>
      </c>
      <c r="I1325" s="31">
        <f>LET(pc,F1325,oc,H1325,IF(OR(pc="",oc=""),"",IF(AND(pc&gt;0,oc&gt;0),"Long Buildup",IF(AND(pc&lt;0,oc&gt;0),"Short Buildup",IF(AND(pc&gt;0,oc&lt;0),"Short Covering",IF(AND(pc&lt;0,oc&lt;0),"Long Unwinding","Flat"))))))</f>
        <v/>
      </c>
      <c r="J1325" s="31">
        <f>LET(pc,ABS(F1325),oc,ABS(H1325),IF(OR(pc="",oc=""),"",MAX(1,MIN(5,ROUND((pc*0.5+oc*0.00001)*5,0))))))</f>
        <v/>
      </c>
    </row>
    <row r="1326">
      <c r="A1326" s="31" t="n">
        <v>1324</v>
      </c>
      <c r="B1326" s="31">
        <f>CHAIN_RAW!D1324</f>
        <v/>
      </c>
      <c r="C1326" s="31">
        <f>CHAIN_RAW!A1324</f>
        <v/>
      </c>
      <c r="D1326" s="31">
        <f>CHAIN_RAW!C1324</f>
        <v/>
      </c>
      <c r="E1326" s="31">
        <f>CHAIN_RAW!E1324</f>
        <v/>
      </c>
      <c r="F1326" s="31">
        <f>CHAIN_RAW!F1324</f>
        <v/>
      </c>
      <c r="G1326" s="31">
        <f>CHAIN_RAW!I1324</f>
        <v/>
      </c>
      <c r="H1326" s="31">
        <f>CHAIN_RAW!Q1324</f>
        <v/>
      </c>
      <c r="I1326" s="31">
        <f>LET(pc,F1326,oc,H1326,IF(OR(pc="",oc=""),"",IF(AND(pc&gt;0,oc&gt;0),"Long Buildup",IF(AND(pc&lt;0,oc&gt;0),"Short Buildup",IF(AND(pc&gt;0,oc&lt;0),"Short Covering",IF(AND(pc&lt;0,oc&lt;0),"Long Unwinding","Flat"))))))</f>
        <v/>
      </c>
      <c r="J1326" s="31">
        <f>LET(pc,ABS(F1326),oc,ABS(H1326),IF(OR(pc="",oc=""),"",MAX(1,MIN(5,ROUND((pc*0.5+oc*0.00001)*5,0))))))</f>
        <v/>
      </c>
    </row>
    <row r="1327">
      <c r="A1327" s="31" t="n">
        <v>1325</v>
      </c>
      <c r="B1327" s="31">
        <f>CHAIN_RAW!D1325</f>
        <v/>
      </c>
      <c r="C1327" s="31">
        <f>CHAIN_RAW!A1325</f>
        <v/>
      </c>
      <c r="D1327" s="31">
        <f>CHAIN_RAW!C1325</f>
        <v/>
      </c>
      <c r="E1327" s="31">
        <f>CHAIN_RAW!E1325</f>
        <v/>
      </c>
      <c r="F1327" s="31">
        <f>CHAIN_RAW!F1325</f>
        <v/>
      </c>
      <c r="G1327" s="31">
        <f>CHAIN_RAW!I1325</f>
        <v/>
      </c>
      <c r="H1327" s="31">
        <f>CHAIN_RAW!Q1325</f>
        <v/>
      </c>
      <c r="I1327" s="31">
        <f>LET(pc,F1327,oc,H1327,IF(OR(pc="",oc=""),"",IF(AND(pc&gt;0,oc&gt;0),"Long Buildup",IF(AND(pc&lt;0,oc&gt;0),"Short Buildup",IF(AND(pc&gt;0,oc&lt;0),"Short Covering",IF(AND(pc&lt;0,oc&lt;0),"Long Unwinding","Flat"))))))</f>
        <v/>
      </c>
      <c r="J1327" s="31">
        <f>LET(pc,ABS(F1327),oc,ABS(H1327),IF(OR(pc="",oc=""),"",MAX(1,MIN(5,ROUND((pc*0.5+oc*0.00001)*5,0))))))</f>
        <v/>
      </c>
    </row>
    <row r="1328">
      <c r="A1328" s="31" t="n">
        <v>1326</v>
      </c>
      <c r="B1328" s="31">
        <f>CHAIN_RAW!D1326</f>
        <v/>
      </c>
      <c r="C1328" s="31">
        <f>CHAIN_RAW!A1326</f>
        <v/>
      </c>
      <c r="D1328" s="31">
        <f>CHAIN_RAW!C1326</f>
        <v/>
      </c>
      <c r="E1328" s="31">
        <f>CHAIN_RAW!E1326</f>
        <v/>
      </c>
      <c r="F1328" s="31">
        <f>CHAIN_RAW!F1326</f>
        <v/>
      </c>
      <c r="G1328" s="31">
        <f>CHAIN_RAW!I1326</f>
        <v/>
      </c>
      <c r="H1328" s="31">
        <f>CHAIN_RAW!Q1326</f>
        <v/>
      </c>
      <c r="I1328" s="31">
        <f>LET(pc,F1328,oc,H1328,IF(OR(pc="",oc=""),"",IF(AND(pc&gt;0,oc&gt;0),"Long Buildup",IF(AND(pc&lt;0,oc&gt;0),"Short Buildup",IF(AND(pc&gt;0,oc&lt;0),"Short Covering",IF(AND(pc&lt;0,oc&lt;0),"Long Unwinding","Flat"))))))</f>
        <v/>
      </c>
      <c r="J1328" s="31">
        <f>LET(pc,ABS(F1328),oc,ABS(H1328),IF(OR(pc="",oc=""),"",MAX(1,MIN(5,ROUND((pc*0.5+oc*0.00001)*5,0))))))</f>
        <v/>
      </c>
    </row>
    <row r="1329">
      <c r="A1329" s="31" t="n">
        <v>1327</v>
      </c>
      <c r="B1329" s="31">
        <f>CHAIN_RAW!D1327</f>
        <v/>
      </c>
      <c r="C1329" s="31">
        <f>CHAIN_RAW!A1327</f>
        <v/>
      </c>
      <c r="D1329" s="31">
        <f>CHAIN_RAW!C1327</f>
        <v/>
      </c>
      <c r="E1329" s="31">
        <f>CHAIN_RAW!E1327</f>
        <v/>
      </c>
      <c r="F1329" s="31">
        <f>CHAIN_RAW!F1327</f>
        <v/>
      </c>
      <c r="G1329" s="31">
        <f>CHAIN_RAW!I1327</f>
        <v/>
      </c>
      <c r="H1329" s="31">
        <f>CHAIN_RAW!Q1327</f>
        <v/>
      </c>
      <c r="I1329" s="31">
        <f>LET(pc,F1329,oc,H1329,IF(OR(pc="",oc=""),"",IF(AND(pc&gt;0,oc&gt;0),"Long Buildup",IF(AND(pc&lt;0,oc&gt;0),"Short Buildup",IF(AND(pc&gt;0,oc&lt;0),"Short Covering",IF(AND(pc&lt;0,oc&lt;0),"Long Unwinding","Flat"))))))</f>
        <v/>
      </c>
      <c r="J1329" s="31">
        <f>LET(pc,ABS(F1329),oc,ABS(H1329),IF(OR(pc="",oc=""),"",MAX(1,MIN(5,ROUND((pc*0.5+oc*0.00001)*5,0))))))</f>
        <v/>
      </c>
    </row>
    <row r="1330">
      <c r="A1330" s="31" t="n">
        <v>1328</v>
      </c>
      <c r="B1330" s="31">
        <f>CHAIN_RAW!D1328</f>
        <v/>
      </c>
      <c r="C1330" s="31">
        <f>CHAIN_RAW!A1328</f>
        <v/>
      </c>
      <c r="D1330" s="31">
        <f>CHAIN_RAW!C1328</f>
        <v/>
      </c>
      <c r="E1330" s="31">
        <f>CHAIN_RAW!E1328</f>
        <v/>
      </c>
      <c r="F1330" s="31">
        <f>CHAIN_RAW!F1328</f>
        <v/>
      </c>
      <c r="G1330" s="31">
        <f>CHAIN_RAW!I1328</f>
        <v/>
      </c>
      <c r="H1330" s="31">
        <f>CHAIN_RAW!Q1328</f>
        <v/>
      </c>
      <c r="I1330" s="31">
        <f>LET(pc,F1330,oc,H1330,IF(OR(pc="",oc=""),"",IF(AND(pc&gt;0,oc&gt;0),"Long Buildup",IF(AND(pc&lt;0,oc&gt;0),"Short Buildup",IF(AND(pc&gt;0,oc&lt;0),"Short Covering",IF(AND(pc&lt;0,oc&lt;0),"Long Unwinding","Flat"))))))</f>
        <v/>
      </c>
      <c r="J1330" s="31">
        <f>LET(pc,ABS(F1330),oc,ABS(H1330),IF(OR(pc="",oc=""),"",MAX(1,MIN(5,ROUND((pc*0.5+oc*0.00001)*5,0))))))</f>
        <v/>
      </c>
    </row>
    <row r="1331">
      <c r="A1331" s="31" t="n">
        <v>1329</v>
      </c>
      <c r="B1331" s="31">
        <f>CHAIN_RAW!D1329</f>
        <v/>
      </c>
      <c r="C1331" s="31">
        <f>CHAIN_RAW!A1329</f>
        <v/>
      </c>
      <c r="D1331" s="31">
        <f>CHAIN_RAW!C1329</f>
        <v/>
      </c>
      <c r="E1331" s="31">
        <f>CHAIN_RAW!E1329</f>
        <v/>
      </c>
      <c r="F1331" s="31">
        <f>CHAIN_RAW!F1329</f>
        <v/>
      </c>
      <c r="G1331" s="31">
        <f>CHAIN_RAW!I1329</f>
        <v/>
      </c>
      <c r="H1331" s="31">
        <f>CHAIN_RAW!Q1329</f>
        <v/>
      </c>
      <c r="I1331" s="31">
        <f>LET(pc,F1331,oc,H1331,IF(OR(pc="",oc=""),"",IF(AND(pc&gt;0,oc&gt;0),"Long Buildup",IF(AND(pc&lt;0,oc&gt;0),"Short Buildup",IF(AND(pc&gt;0,oc&lt;0),"Short Covering",IF(AND(pc&lt;0,oc&lt;0),"Long Unwinding","Flat"))))))</f>
        <v/>
      </c>
      <c r="J1331" s="31">
        <f>LET(pc,ABS(F1331),oc,ABS(H1331),IF(OR(pc="",oc=""),"",MAX(1,MIN(5,ROUND((pc*0.5+oc*0.00001)*5,0))))))</f>
        <v/>
      </c>
    </row>
    <row r="1332">
      <c r="A1332" s="31" t="n">
        <v>1330</v>
      </c>
      <c r="B1332" s="31">
        <f>CHAIN_RAW!D1330</f>
        <v/>
      </c>
      <c r="C1332" s="31">
        <f>CHAIN_RAW!A1330</f>
        <v/>
      </c>
      <c r="D1332" s="31">
        <f>CHAIN_RAW!C1330</f>
        <v/>
      </c>
      <c r="E1332" s="31">
        <f>CHAIN_RAW!E1330</f>
        <v/>
      </c>
      <c r="F1332" s="31">
        <f>CHAIN_RAW!F1330</f>
        <v/>
      </c>
      <c r="G1332" s="31">
        <f>CHAIN_RAW!I1330</f>
        <v/>
      </c>
      <c r="H1332" s="31">
        <f>CHAIN_RAW!Q1330</f>
        <v/>
      </c>
      <c r="I1332" s="31">
        <f>LET(pc,F1332,oc,H1332,IF(OR(pc="",oc=""),"",IF(AND(pc&gt;0,oc&gt;0),"Long Buildup",IF(AND(pc&lt;0,oc&gt;0),"Short Buildup",IF(AND(pc&gt;0,oc&lt;0),"Short Covering",IF(AND(pc&lt;0,oc&lt;0),"Long Unwinding","Flat"))))))</f>
        <v/>
      </c>
      <c r="J1332" s="31">
        <f>LET(pc,ABS(F1332),oc,ABS(H1332),IF(OR(pc="",oc=""),"",MAX(1,MIN(5,ROUND((pc*0.5+oc*0.00001)*5,0))))))</f>
        <v/>
      </c>
    </row>
    <row r="1333">
      <c r="A1333" s="31" t="n">
        <v>1331</v>
      </c>
      <c r="B1333" s="31">
        <f>CHAIN_RAW!D1331</f>
        <v/>
      </c>
      <c r="C1333" s="31">
        <f>CHAIN_RAW!A1331</f>
        <v/>
      </c>
      <c r="D1333" s="31">
        <f>CHAIN_RAW!C1331</f>
        <v/>
      </c>
      <c r="E1333" s="31">
        <f>CHAIN_RAW!E1331</f>
        <v/>
      </c>
      <c r="F1333" s="31">
        <f>CHAIN_RAW!F1331</f>
        <v/>
      </c>
      <c r="G1333" s="31">
        <f>CHAIN_RAW!I1331</f>
        <v/>
      </c>
      <c r="H1333" s="31">
        <f>CHAIN_RAW!Q1331</f>
        <v/>
      </c>
      <c r="I1333" s="31">
        <f>LET(pc,F1333,oc,H1333,IF(OR(pc="",oc=""),"",IF(AND(pc&gt;0,oc&gt;0),"Long Buildup",IF(AND(pc&lt;0,oc&gt;0),"Short Buildup",IF(AND(pc&gt;0,oc&lt;0),"Short Covering",IF(AND(pc&lt;0,oc&lt;0),"Long Unwinding","Flat"))))))</f>
        <v/>
      </c>
      <c r="J1333" s="31">
        <f>LET(pc,ABS(F1333),oc,ABS(H1333),IF(OR(pc="",oc=""),"",MAX(1,MIN(5,ROUND((pc*0.5+oc*0.00001)*5,0))))))</f>
        <v/>
      </c>
    </row>
    <row r="1334">
      <c r="A1334" s="31" t="n">
        <v>1332</v>
      </c>
      <c r="B1334" s="31">
        <f>CHAIN_RAW!D1332</f>
        <v/>
      </c>
      <c r="C1334" s="31">
        <f>CHAIN_RAW!A1332</f>
        <v/>
      </c>
      <c r="D1334" s="31">
        <f>CHAIN_RAW!C1332</f>
        <v/>
      </c>
      <c r="E1334" s="31">
        <f>CHAIN_RAW!E1332</f>
        <v/>
      </c>
      <c r="F1334" s="31">
        <f>CHAIN_RAW!F1332</f>
        <v/>
      </c>
      <c r="G1334" s="31">
        <f>CHAIN_RAW!I1332</f>
        <v/>
      </c>
      <c r="H1334" s="31">
        <f>CHAIN_RAW!Q1332</f>
        <v/>
      </c>
      <c r="I1334" s="31">
        <f>LET(pc,F1334,oc,H1334,IF(OR(pc="",oc=""),"",IF(AND(pc&gt;0,oc&gt;0),"Long Buildup",IF(AND(pc&lt;0,oc&gt;0),"Short Buildup",IF(AND(pc&gt;0,oc&lt;0),"Short Covering",IF(AND(pc&lt;0,oc&lt;0),"Long Unwinding","Flat"))))))</f>
        <v/>
      </c>
      <c r="J1334" s="31">
        <f>LET(pc,ABS(F1334),oc,ABS(H1334),IF(OR(pc="",oc=""),"",MAX(1,MIN(5,ROUND((pc*0.5+oc*0.00001)*5,0))))))</f>
        <v/>
      </c>
    </row>
    <row r="1335">
      <c r="A1335" s="31" t="n">
        <v>1333</v>
      </c>
      <c r="B1335" s="31">
        <f>CHAIN_RAW!D1333</f>
        <v/>
      </c>
      <c r="C1335" s="31">
        <f>CHAIN_RAW!A1333</f>
        <v/>
      </c>
      <c r="D1335" s="31">
        <f>CHAIN_RAW!C1333</f>
        <v/>
      </c>
      <c r="E1335" s="31">
        <f>CHAIN_RAW!E1333</f>
        <v/>
      </c>
      <c r="F1335" s="31">
        <f>CHAIN_RAW!F1333</f>
        <v/>
      </c>
      <c r="G1335" s="31">
        <f>CHAIN_RAW!I1333</f>
        <v/>
      </c>
      <c r="H1335" s="31">
        <f>CHAIN_RAW!Q1333</f>
        <v/>
      </c>
      <c r="I1335" s="31">
        <f>LET(pc,F1335,oc,H1335,IF(OR(pc="",oc=""),"",IF(AND(pc&gt;0,oc&gt;0),"Long Buildup",IF(AND(pc&lt;0,oc&gt;0),"Short Buildup",IF(AND(pc&gt;0,oc&lt;0),"Short Covering",IF(AND(pc&lt;0,oc&lt;0),"Long Unwinding","Flat"))))))</f>
        <v/>
      </c>
      <c r="J1335" s="31">
        <f>LET(pc,ABS(F1335),oc,ABS(H1335),IF(OR(pc="",oc=""),"",MAX(1,MIN(5,ROUND((pc*0.5+oc*0.00001)*5,0))))))</f>
        <v/>
      </c>
    </row>
    <row r="1336">
      <c r="A1336" s="31" t="n">
        <v>1334</v>
      </c>
      <c r="B1336" s="31">
        <f>CHAIN_RAW!D1334</f>
        <v/>
      </c>
      <c r="C1336" s="31">
        <f>CHAIN_RAW!A1334</f>
        <v/>
      </c>
      <c r="D1336" s="31">
        <f>CHAIN_RAW!C1334</f>
        <v/>
      </c>
      <c r="E1336" s="31">
        <f>CHAIN_RAW!E1334</f>
        <v/>
      </c>
      <c r="F1336" s="31">
        <f>CHAIN_RAW!F1334</f>
        <v/>
      </c>
      <c r="G1336" s="31">
        <f>CHAIN_RAW!I1334</f>
        <v/>
      </c>
      <c r="H1336" s="31">
        <f>CHAIN_RAW!Q1334</f>
        <v/>
      </c>
      <c r="I1336" s="31">
        <f>LET(pc,F1336,oc,H1336,IF(OR(pc="",oc=""),"",IF(AND(pc&gt;0,oc&gt;0),"Long Buildup",IF(AND(pc&lt;0,oc&gt;0),"Short Buildup",IF(AND(pc&gt;0,oc&lt;0),"Short Covering",IF(AND(pc&lt;0,oc&lt;0),"Long Unwinding","Flat"))))))</f>
        <v/>
      </c>
      <c r="J1336" s="31">
        <f>LET(pc,ABS(F1336),oc,ABS(H1336),IF(OR(pc="",oc=""),"",MAX(1,MIN(5,ROUND((pc*0.5+oc*0.00001)*5,0))))))</f>
        <v/>
      </c>
    </row>
    <row r="1337">
      <c r="A1337" s="31" t="n">
        <v>1335</v>
      </c>
      <c r="B1337" s="31">
        <f>CHAIN_RAW!D1335</f>
        <v/>
      </c>
      <c r="C1337" s="31">
        <f>CHAIN_RAW!A1335</f>
        <v/>
      </c>
      <c r="D1337" s="31">
        <f>CHAIN_RAW!C1335</f>
        <v/>
      </c>
      <c r="E1337" s="31">
        <f>CHAIN_RAW!E1335</f>
        <v/>
      </c>
      <c r="F1337" s="31">
        <f>CHAIN_RAW!F1335</f>
        <v/>
      </c>
      <c r="G1337" s="31">
        <f>CHAIN_RAW!I1335</f>
        <v/>
      </c>
      <c r="H1337" s="31">
        <f>CHAIN_RAW!Q1335</f>
        <v/>
      </c>
      <c r="I1337" s="31">
        <f>LET(pc,F1337,oc,H1337,IF(OR(pc="",oc=""),"",IF(AND(pc&gt;0,oc&gt;0),"Long Buildup",IF(AND(pc&lt;0,oc&gt;0),"Short Buildup",IF(AND(pc&gt;0,oc&lt;0),"Short Covering",IF(AND(pc&lt;0,oc&lt;0),"Long Unwinding","Flat"))))))</f>
        <v/>
      </c>
      <c r="J1337" s="31">
        <f>LET(pc,ABS(F1337),oc,ABS(H1337),IF(OR(pc="",oc=""),"",MAX(1,MIN(5,ROUND((pc*0.5+oc*0.00001)*5,0))))))</f>
        <v/>
      </c>
    </row>
    <row r="1338">
      <c r="A1338" s="31" t="n">
        <v>1336</v>
      </c>
      <c r="B1338" s="31">
        <f>CHAIN_RAW!D1336</f>
        <v/>
      </c>
      <c r="C1338" s="31">
        <f>CHAIN_RAW!A1336</f>
        <v/>
      </c>
      <c r="D1338" s="31">
        <f>CHAIN_RAW!C1336</f>
        <v/>
      </c>
      <c r="E1338" s="31">
        <f>CHAIN_RAW!E1336</f>
        <v/>
      </c>
      <c r="F1338" s="31">
        <f>CHAIN_RAW!F1336</f>
        <v/>
      </c>
      <c r="G1338" s="31">
        <f>CHAIN_RAW!I1336</f>
        <v/>
      </c>
      <c r="H1338" s="31">
        <f>CHAIN_RAW!Q1336</f>
        <v/>
      </c>
      <c r="I1338" s="31">
        <f>LET(pc,F1338,oc,H1338,IF(OR(pc="",oc=""),"",IF(AND(pc&gt;0,oc&gt;0),"Long Buildup",IF(AND(pc&lt;0,oc&gt;0),"Short Buildup",IF(AND(pc&gt;0,oc&lt;0),"Short Covering",IF(AND(pc&lt;0,oc&lt;0),"Long Unwinding","Flat"))))))</f>
        <v/>
      </c>
      <c r="J1338" s="31">
        <f>LET(pc,ABS(F1338),oc,ABS(H1338),IF(OR(pc="",oc=""),"",MAX(1,MIN(5,ROUND((pc*0.5+oc*0.00001)*5,0))))))</f>
        <v/>
      </c>
    </row>
    <row r="1339">
      <c r="A1339" s="31" t="n">
        <v>1337</v>
      </c>
      <c r="B1339" s="31">
        <f>CHAIN_RAW!D1337</f>
        <v/>
      </c>
      <c r="C1339" s="31">
        <f>CHAIN_RAW!A1337</f>
        <v/>
      </c>
      <c r="D1339" s="31">
        <f>CHAIN_RAW!C1337</f>
        <v/>
      </c>
      <c r="E1339" s="31">
        <f>CHAIN_RAW!E1337</f>
        <v/>
      </c>
      <c r="F1339" s="31">
        <f>CHAIN_RAW!F1337</f>
        <v/>
      </c>
      <c r="G1339" s="31">
        <f>CHAIN_RAW!I1337</f>
        <v/>
      </c>
      <c r="H1339" s="31">
        <f>CHAIN_RAW!Q1337</f>
        <v/>
      </c>
      <c r="I1339" s="31">
        <f>LET(pc,F1339,oc,H1339,IF(OR(pc="",oc=""),"",IF(AND(pc&gt;0,oc&gt;0),"Long Buildup",IF(AND(pc&lt;0,oc&gt;0),"Short Buildup",IF(AND(pc&gt;0,oc&lt;0),"Short Covering",IF(AND(pc&lt;0,oc&lt;0),"Long Unwinding","Flat"))))))</f>
        <v/>
      </c>
      <c r="J1339" s="31">
        <f>LET(pc,ABS(F1339),oc,ABS(H1339),IF(OR(pc="",oc=""),"",MAX(1,MIN(5,ROUND((pc*0.5+oc*0.00001)*5,0))))))</f>
        <v/>
      </c>
    </row>
    <row r="1340">
      <c r="A1340" s="31" t="n">
        <v>1338</v>
      </c>
      <c r="B1340" s="31">
        <f>CHAIN_RAW!D1338</f>
        <v/>
      </c>
      <c r="C1340" s="31">
        <f>CHAIN_RAW!A1338</f>
        <v/>
      </c>
      <c r="D1340" s="31">
        <f>CHAIN_RAW!C1338</f>
        <v/>
      </c>
      <c r="E1340" s="31">
        <f>CHAIN_RAW!E1338</f>
        <v/>
      </c>
      <c r="F1340" s="31">
        <f>CHAIN_RAW!F1338</f>
        <v/>
      </c>
      <c r="G1340" s="31">
        <f>CHAIN_RAW!I1338</f>
        <v/>
      </c>
      <c r="H1340" s="31">
        <f>CHAIN_RAW!Q1338</f>
        <v/>
      </c>
      <c r="I1340" s="31">
        <f>LET(pc,F1340,oc,H1340,IF(OR(pc="",oc=""),"",IF(AND(pc&gt;0,oc&gt;0),"Long Buildup",IF(AND(pc&lt;0,oc&gt;0),"Short Buildup",IF(AND(pc&gt;0,oc&lt;0),"Short Covering",IF(AND(pc&lt;0,oc&lt;0),"Long Unwinding","Flat"))))))</f>
        <v/>
      </c>
      <c r="J1340" s="31">
        <f>LET(pc,ABS(F1340),oc,ABS(H1340),IF(OR(pc="",oc=""),"",MAX(1,MIN(5,ROUND((pc*0.5+oc*0.00001)*5,0))))))</f>
        <v/>
      </c>
    </row>
    <row r="1341">
      <c r="A1341" s="31" t="n">
        <v>1339</v>
      </c>
      <c r="B1341" s="31">
        <f>CHAIN_RAW!D1339</f>
        <v/>
      </c>
      <c r="C1341" s="31">
        <f>CHAIN_RAW!A1339</f>
        <v/>
      </c>
      <c r="D1341" s="31">
        <f>CHAIN_RAW!C1339</f>
        <v/>
      </c>
      <c r="E1341" s="31">
        <f>CHAIN_RAW!E1339</f>
        <v/>
      </c>
      <c r="F1341" s="31">
        <f>CHAIN_RAW!F1339</f>
        <v/>
      </c>
      <c r="G1341" s="31">
        <f>CHAIN_RAW!I1339</f>
        <v/>
      </c>
      <c r="H1341" s="31">
        <f>CHAIN_RAW!Q1339</f>
        <v/>
      </c>
      <c r="I1341" s="31">
        <f>LET(pc,F1341,oc,H1341,IF(OR(pc="",oc=""),"",IF(AND(pc&gt;0,oc&gt;0),"Long Buildup",IF(AND(pc&lt;0,oc&gt;0),"Short Buildup",IF(AND(pc&gt;0,oc&lt;0),"Short Covering",IF(AND(pc&lt;0,oc&lt;0),"Long Unwinding","Flat"))))))</f>
        <v/>
      </c>
      <c r="J1341" s="31">
        <f>LET(pc,ABS(F1341),oc,ABS(H1341),IF(OR(pc="",oc=""),"",MAX(1,MIN(5,ROUND((pc*0.5+oc*0.00001)*5,0))))))</f>
        <v/>
      </c>
    </row>
    <row r="1342">
      <c r="A1342" s="31" t="n">
        <v>1340</v>
      </c>
      <c r="B1342" s="31">
        <f>CHAIN_RAW!D1340</f>
        <v/>
      </c>
      <c r="C1342" s="31">
        <f>CHAIN_RAW!A1340</f>
        <v/>
      </c>
      <c r="D1342" s="31">
        <f>CHAIN_RAW!C1340</f>
        <v/>
      </c>
      <c r="E1342" s="31">
        <f>CHAIN_RAW!E1340</f>
        <v/>
      </c>
      <c r="F1342" s="31">
        <f>CHAIN_RAW!F1340</f>
        <v/>
      </c>
      <c r="G1342" s="31">
        <f>CHAIN_RAW!I1340</f>
        <v/>
      </c>
      <c r="H1342" s="31">
        <f>CHAIN_RAW!Q1340</f>
        <v/>
      </c>
      <c r="I1342" s="31">
        <f>LET(pc,F1342,oc,H1342,IF(OR(pc="",oc=""),"",IF(AND(pc&gt;0,oc&gt;0),"Long Buildup",IF(AND(pc&lt;0,oc&gt;0),"Short Buildup",IF(AND(pc&gt;0,oc&lt;0),"Short Covering",IF(AND(pc&lt;0,oc&lt;0),"Long Unwinding","Flat"))))))</f>
        <v/>
      </c>
      <c r="J1342" s="31">
        <f>LET(pc,ABS(F1342),oc,ABS(H1342),IF(OR(pc="",oc=""),"",MAX(1,MIN(5,ROUND((pc*0.5+oc*0.00001)*5,0))))))</f>
        <v/>
      </c>
    </row>
    <row r="1343">
      <c r="A1343" s="31" t="n">
        <v>1341</v>
      </c>
      <c r="B1343" s="31">
        <f>CHAIN_RAW!D1341</f>
        <v/>
      </c>
      <c r="C1343" s="31">
        <f>CHAIN_RAW!A1341</f>
        <v/>
      </c>
      <c r="D1343" s="31">
        <f>CHAIN_RAW!C1341</f>
        <v/>
      </c>
      <c r="E1343" s="31">
        <f>CHAIN_RAW!E1341</f>
        <v/>
      </c>
      <c r="F1343" s="31">
        <f>CHAIN_RAW!F1341</f>
        <v/>
      </c>
      <c r="G1343" s="31">
        <f>CHAIN_RAW!I1341</f>
        <v/>
      </c>
      <c r="H1343" s="31">
        <f>CHAIN_RAW!Q1341</f>
        <v/>
      </c>
      <c r="I1343" s="31">
        <f>LET(pc,F1343,oc,H1343,IF(OR(pc="",oc=""),"",IF(AND(pc&gt;0,oc&gt;0),"Long Buildup",IF(AND(pc&lt;0,oc&gt;0),"Short Buildup",IF(AND(pc&gt;0,oc&lt;0),"Short Covering",IF(AND(pc&lt;0,oc&lt;0),"Long Unwinding","Flat"))))))</f>
        <v/>
      </c>
      <c r="J1343" s="31">
        <f>LET(pc,ABS(F1343),oc,ABS(H1343),IF(OR(pc="",oc=""),"",MAX(1,MIN(5,ROUND((pc*0.5+oc*0.00001)*5,0))))))</f>
        <v/>
      </c>
    </row>
    <row r="1344">
      <c r="A1344" s="31" t="n">
        <v>1342</v>
      </c>
      <c r="B1344" s="31">
        <f>CHAIN_RAW!D1342</f>
        <v/>
      </c>
      <c r="C1344" s="31">
        <f>CHAIN_RAW!A1342</f>
        <v/>
      </c>
      <c r="D1344" s="31">
        <f>CHAIN_RAW!C1342</f>
        <v/>
      </c>
      <c r="E1344" s="31">
        <f>CHAIN_RAW!E1342</f>
        <v/>
      </c>
      <c r="F1344" s="31">
        <f>CHAIN_RAW!F1342</f>
        <v/>
      </c>
      <c r="G1344" s="31">
        <f>CHAIN_RAW!I1342</f>
        <v/>
      </c>
      <c r="H1344" s="31">
        <f>CHAIN_RAW!Q1342</f>
        <v/>
      </c>
      <c r="I1344" s="31">
        <f>LET(pc,F1344,oc,H1344,IF(OR(pc="",oc=""),"",IF(AND(pc&gt;0,oc&gt;0),"Long Buildup",IF(AND(pc&lt;0,oc&gt;0),"Short Buildup",IF(AND(pc&gt;0,oc&lt;0),"Short Covering",IF(AND(pc&lt;0,oc&lt;0),"Long Unwinding","Flat"))))))</f>
        <v/>
      </c>
      <c r="J1344" s="31">
        <f>LET(pc,ABS(F1344),oc,ABS(H1344),IF(OR(pc="",oc=""),"",MAX(1,MIN(5,ROUND((pc*0.5+oc*0.00001)*5,0))))))</f>
        <v/>
      </c>
    </row>
    <row r="1345">
      <c r="A1345" s="31" t="n">
        <v>1343</v>
      </c>
      <c r="B1345" s="31">
        <f>CHAIN_RAW!D1343</f>
        <v/>
      </c>
      <c r="C1345" s="31">
        <f>CHAIN_RAW!A1343</f>
        <v/>
      </c>
      <c r="D1345" s="31">
        <f>CHAIN_RAW!C1343</f>
        <v/>
      </c>
      <c r="E1345" s="31">
        <f>CHAIN_RAW!E1343</f>
        <v/>
      </c>
      <c r="F1345" s="31">
        <f>CHAIN_RAW!F1343</f>
        <v/>
      </c>
      <c r="G1345" s="31">
        <f>CHAIN_RAW!I1343</f>
        <v/>
      </c>
      <c r="H1345" s="31">
        <f>CHAIN_RAW!Q1343</f>
        <v/>
      </c>
      <c r="I1345" s="31">
        <f>LET(pc,F1345,oc,H1345,IF(OR(pc="",oc=""),"",IF(AND(pc&gt;0,oc&gt;0),"Long Buildup",IF(AND(pc&lt;0,oc&gt;0),"Short Buildup",IF(AND(pc&gt;0,oc&lt;0),"Short Covering",IF(AND(pc&lt;0,oc&lt;0),"Long Unwinding","Flat"))))))</f>
        <v/>
      </c>
      <c r="J1345" s="31">
        <f>LET(pc,ABS(F1345),oc,ABS(H1345),IF(OR(pc="",oc=""),"",MAX(1,MIN(5,ROUND((pc*0.5+oc*0.00001)*5,0))))))</f>
        <v/>
      </c>
    </row>
    <row r="1346">
      <c r="A1346" s="31" t="n">
        <v>1344</v>
      </c>
      <c r="B1346" s="31">
        <f>CHAIN_RAW!D1344</f>
        <v/>
      </c>
      <c r="C1346" s="31">
        <f>CHAIN_RAW!A1344</f>
        <v/>
      </c>
      <c r="D1346" s="31">
        <f>CHAIN_RAW!C1344</f>
        <v/>
      </c>
      <c r="E1346" s="31">
        <f>CHAIN_RAW!E1344</f>
        <v/>
      </c>
      <c r="F1346" s="31">
        <f>CHAIN_RAW!F1344</f>
        <v/>
      </c>
      <c r="G1346" s="31">
        <f>CHAIN_RAW!I1344</f>
        <v/>
      </c>
      <c r="H1346" s="31">
        <f>CHAIN_RAW!Q1344</f>
        <v/>
      </c>
      <c r="I1346" s="31">
        <f>LET(pc,F1346,oc,H1346,IF(OR(pc="",oc=""),"",IF(AND(pc&gt;0,oc&gt;0),"Long Buildup",IF(AND(pc&lt;0,oc&gt;0),"Short Buildup",IF(AND(pc&gt;0,oc&lt;0),"Short Covering",IF(AND(pc&lt;0,oc&lt;0),"Long Unwinding","Flat"))))))</f>
        <v/>
      </c>
      <c r="J1346" s="31">
        <f>LET(pc,ABS(F1346),oc,ABS(H1346),IF(OR(pc="",oc=""),"",MAX(1,MIN(5,ROUND((pc*0.5+oc*0.00001)*5,0))))))</f>
        <v/>
      </c>
    </row>
    <row r="1347">
      <c r="A1347" s="31" t="n">
        <v>1345</v>
      </c>
      <c r="B1347" s="31">
        <f>CHAIN_RAW!D1345</f>
        <v/>
      </c>
      <c r="C1347" s="31">
        <f>CHAIN_RAW!A1345</f>
        <v/>
      </c>
      <c r="D1347" s="31">
        <f>CHAIN_RAW!C1345</f>
        <v/>
      </c>
      <c r="E1347" s="31">
        <f>CHAIN_RAW!E1345</f>
        <v/>
      </c>
      <c r="F1347" s="31">
        <f>CHAIN_RAW!F1345</f>
        <v/>
      </c>
      <c r="G1347" s="31">
        <f>CHAIN_RAW!I1345</f>
        <v/>
      </c>
      <c r="H1347" s="31">
        <f>CHAIN_RAW!Q1345</f>
        <v/>
      </c>
      <c r="I1347" s="31">
        <f>LET(pc,F1347,oc,H1347,IF(OR(pc="",oc=""),"",IF(AND(pc&gt;0,oc&gt;0),"Long Buildup",IF(AND(pc&lt;0,oc&gt;0),"Short Buildup",IF(AND(pc&gt;0,oc&lt;0),"Short Covering",IF(AND(pc&lt;0,oc&lt;0),"Long Unwinding","Flat"))))))</f>
        <v/>
      </c>
      <c r="J1347" s="31">
        <f>LET(pc,ABS(F1347),oc,ABS(H1347),IF(OR(pc="",oc=""),"",MAX(1,MIN(5,ROUND((pc*0.5+oc*0.00001)*5,0))))))</f>
        <v/>
      </c>
    </row>
    <row r="1348">
      <c r="A1348" s="31" t="n">
        <v>1346</v>
      </c>
      <c r="B1348" s="31">
        <f>CHAIN_RAW!D1346</f>
        <v/>
      </c>
      <c r="C1348" s="31">
        <f>CHAIN_RAW!A1346</f>
        <v/>
      </c>
      <c r="D1348" s="31">
        <f>CHAIN_RAW!C1346</f>
        <v/>
      </c>
      <c r="E1348" s="31">
        <f>CHAIN_RAW!E1346</f>
        <v/>
      </c>
      <c r="F1348" s="31">
        <f>CHAIN_RAW!F1346</f>
        <v/>
      </c>
      <c r="G1348" s="31">
        <f>CHAIN_RAW!I1346</f>
        <v/>
      </c>
      <c r="H1348" s="31">
        <f>CHAIN_RAW!Q1346</f>
        <v/>
      </c>
      <c r="I1348" s="31">
        <f>LET(pc,F1348,oc,H1348,IF(OR(pc="",oc=""),"",IF(AND(pc&gt;0,oc&gt;0),"Long Buildup",IF(AND(pc&lt;0,oc&gt;0),"Short Buildup",IF(AND(pc&gt;0,oc&lt;0),"Short Covering",IF(AND(pc&lt;0,oc&lt;0),"Long Unwinding","Flat"))))))</f>
        <v/>
      </c>
      <c r="J1348" s="31">
        <f>LET(pc,ABS(F1348),oc,ABS(H1348),IF(OR(pc="",oc=""),"",MAX(1,MIN(5,ROUND((pc*0.5+oc*0.00001)*5,0))))))</f>
        <v/>
      </c>
    </row>
    <row r="1349">
      <c r="A1349" s="31" t="n">
        <v>1347</v>
      </c>
      <c r="B1349" s="31">
        <f>CHAIN_RAW!D1347</f>
        <v/>
      </c>
      <c r="C1349" s="31">
        <f>CHAIN_RAW!A1347</f>
        <v/>
      </c>
      <c r="D1349" s="31">
        <f>CHAIN_RAW!C1347</f>
        <v/>
      </c>
      <c r="E1349" s="31">
        <f>CHAIN_RAW!E1347</f>
        <v/>
      </c>
      <c r="F1349" s="31">
        <f>CHAIN_RAW!F1347</f>
        <v/>
      </c>
      <c r="G1349" s="31">
        <f>CHAIN_RAW!I1347</f>
        <v/>
      </c>
      <c r="H1349" s="31">
        <f>CHAIN_RAW!Q1347</f>
        <v/>
      </c>
      <c r="I1349" s="31">
        <f>LET(pc,F1349,oc,H1349,IF(OR(pc="",oc=""),"",IF(AND(pc&gt;0,oc&gt;0),"Long Buildup",IF(AND(pc&lt;0,oc&gt;0),"Short Buildup",IF(AND(pc&gt;0,oc&lt;0),"Short Covering",IF(AND(pc&lt;0,oc&lt;0),"Long Unwinding","Flat"))))))</f>
        <v/>
      </c>
      <c r="J1349" s="31">
        <f>LET(pc,ABS(F1349),oc,ABS(H1349),IF(OR(pc="",oc=""),"",MAX(1,MIN(5,ROUND((pc*0.5+oc*0.00001)*5,0))))))</f>
        <v/>
      </c>
    </row>
    <row r="1350">
      <c r="A1350" s="31" t="n">
        <v>1348</v>
      </c>
      <c r="B1350" s="31">
        <f>CHAIN_RAW!D1348</f>
        <v/>
      </c>
      <c r="C1350" s="31">
        <f>CHAIN_RAW!A1348</f>
        <v/>
      </c>
      <c r="D1350" s="31">
        <f>CHAIN_RAW!C1348</f>
        <v/>
      </c>
      <c r="E1350" s="31">
        <f>CHAIN_RAW!E1348</f>
        <v/>
      </c>
      <c r="F1350" s="31">
        <f>CHAIN_RAW!F1348</f>
        <v/>
      </c>
      <c r="G1350" s="31">
        <f>CHAIN_RAW!I1348</f>
        <v/>
      </c>
      <c r="H1350" s="31">
        <f>CHAIN_RAW!Q1348</f>
        <v/>
      </c>
      <c r="I1350" s="31">
        <f>LET(pc,F1350,oc,H1350,IF(OR(pc="",oc=""),"",IF(AND(pc&gt;0,oc&gt;0),"Long Buildup",IF(AND(pc&lt;0,oc&gt;0),"Short Buildup",IF(AND(pc&gt;0,oc&lt;0),"Short Covering",IF(AND(pc&lt;0,oc&lt;0),"Long Unwinding","Flat"))))))</f>
        <v/>
      </c>
      <c r="J1350" s="31">
        <f>LET(pc,ABS(F1350),oc,ABS(H1350),IF(OR(pc="",oc=""),"",MAX(1,MIN(5,ROUND((pc*0.5+oc*0.00001)*5,0))))))</f>
        <v/>
      </c>
    </row>
    <row r="1351">
      <c r="A1351" s="31" t="n">
        <v>1349</v>
      </c>
      <c r="B1351" s="31">
        <f>CHAIN_RAW!D1349</f>
        <v/>
      </c>
      <c r="C1351" s="31">
        <f>CHAIN_RAW!A1349</f>
        <v/>
      </c>
      <c r="D1351" s="31">
        <f>CHAIN_RAW!C1349</f>
        <v/>
      </c>
      <c r="E1351" s="31">
        <f>CHAIN_RAW!E1349</f>
        <v/>
      </c>
      <c r="F1351" s="31">
        <f>CHAIN_RAW!F1349</f>
        <v/>
      </c>
      <c r="G1351" s="31">
        <f>CHAIN_RAW!I1349</f>
        <v/>
      </c>
      <c r="H1351" s="31">
        <f>CHAIN_RAW!Q1349</f>
        <v/>
      </c>
      <c r="I1351" s="31">
        <f>LET(pc,F1351,oc,H1351,IF(OR(pc="",oc=""),"",IF(AND(pc&gt;0,oc&gt;0),"Long Buildup",IF(AND(pc&lt;0,oc&gt;0),"Short Buildup",IF(AND(pc&gt;0,oc&lt;0),"Short Covering",IF(AND(pc&lt;0,oc&lt;0),"Long Unwinding","Flat"))))))</f>
        <v/>
      </c>
      <c r="J1351" s="31">
        <f>LET(pc,ABS(F1351),oc,ABS(H1351),IF(OR(pc="",oc=""),"",MAX(1,MIN(5,ROUND((pc*0.5+oc*0.00001)*5,0))))))</f>
        <v/>
      </c>
    </row>
    <row r="1352">
      <c r="A1352" s="31" t="n">
        <v>1350</v>
      </c>
      <c r="B1352" s="31">
        <f>CHAIN_RAW!D1350</f>
        <v/>
      </c>
      <c r="C1352" s="31">
        <f>CHAIN_RAW!A1350</f>
        <v/>
      </c>
      <c r="D1352" s="31">
        <f>CHAIN_RAW!C1350</f>
        <v/>
      </c>
      <c r="E1352" s="31">
        <f>CHAIN_RAW!E1350</f>
        <v/>
      </c>
      <c r="F1352" s="31">
        <f>CHAIN_RAW!F1350</f>
        <v/>
      </c>
      <c r="G1352" s="31">
        <f>CHAIN_RAW!I1350</f>
        <v/>
      </c>
      <c r="H1352" s="31">
        <f>CHAIN_RAW!Q1350</f>
        <v/>
      </c>
      <c r="I1352" s="31">
        <f>LET(pc,F1352,oc,H1352,IF(OR(pc="",oc=""),"",IF(AND(pc&gt;0,oc&gt;0),"Long Buildup",IF(AND(pc&lt;0,oc&gt;0),"Short Buildup",IF(AND(pc&gt;0,oc&lt;0),"Short Covering",IF(AND(pc&lt;0,oc&lt;0),"Long Unwinding","Flat"))))))</f>
        <v/>
      </c>
      <c r="J1352" s="31">
        <f>LET(pc,ABS(F1352),oc,ABS(H1352),IF(OR(pc="",oc=""),"",MAX(1,MIN(5,ROUND((pc*0.5+oc*0.00001)*5,0))))))</f>
        <v/>
      </c>
    </row>
    <row r="1353">
      <c r="A1353" s="31" t="n">
        <v>1351</v>
      </c>
      <c r="B1353" s="31">
        <f>CHAIN_RAW!D1351</f>
        <v/>
      </c>
      <c r="C1353" s="31">
        <f>CHAIN_RAW!A1351</f>
        <v/>
      </c>
      <c r="D1353" s="31">
        <f>CHAIN_RAW!C1351</f>
        <v/>
      </c>
      <c r="E1353" s="31">
        <f>CHAIN_RAW!E1351</f>
        <v/>
      </c>
      <c r="F1353" s="31">
        <f>CHAIN_RAW!F1351</f>
        <v/>
      </c>
      <c r="G1353" s="31">
        <f>CHAIN_RAW!I1351</f>
        <v/>
      </c>
      <c r="H1353" s="31">
        <f>CHAIN_RAW!Q1351</f>
        <v/>
      </c>
      <c r="I1353" s="31">
        <f>LET(pc,F1353,oc,H1353,IF(OR(pc="",oc=""),"",IF(AND(pc&gt;0,oc&gt;0),"Long Buildup",IF(AND(pc&lt;0,oc&gt;0),"Short Buildup",IF(AND(pc&gt;0,oc&lt;0),"Short Covering",IF(AND(pc&lt;0,oc&lt;0),"Long Unwinding","Flat"))))))</f>
        <v/>
      </c>
      <c r="J1353" s="31">
        <f>LET(pc,ABS(F1353),oc,ABS(H1353),IF(OR(pc="",oc=""),"",MAX(1,MIN(5,ROUND((pc*0.5+oc*0.00001)*5,0))))))</f>
        <v/>
      </c>
    </row>
    <row r="1354">
      <c r="A1354" s="31" t="n">
        <v>1352</v>
      </c>
      <c r="B1354" s="31">
        <f>CHAIN_RAW!D1352</f>
        <v/>
      </c>
      <c r="C1354" s="31">
        <f>CHAIN_RAW!A1352</f>
        <v/>
      </c>
      <c r="D1354" s="31">
        <f>CHAIN_RAW!C1352</f>
        <v/>
      </c>
      <c r="E1354" s="31">
        <f>CHAIN_RAW!E1352</f>
        <v/>
      </c>
      <c r="F1354" s="31">
        <f>CHAIN_RAW!F1352</f>
        <v/>
      </c>
      <c r="G1354" s="31">
        <f>CHAIN_RAW!I1352</f>
        <v/>
      </c>
      <c r="H1354" s="31">
        <f>CHAIN_RAW!Q1352</f>
        <v/>
      </c>
      <c r="I1354" s="31">
        <f>LET(pc,F1354,oc,H1354,IF(OR(pc="",oc=""),"",IF(AND(pc&gt;0,oc&gt;0),"Long Buildup",IF(AND(pc&lt;0,oc&gt;0),"Short Buildup",IF(AND(pc&gt;0,oc&lt;0),"Short Covering",IF(AND(pc&lt;0,oc&lt;0),"Long Unwinding","Flat"))))))</f>
        <v/>
      </c>
      <c r="J1354" s="31">
        <f>LET(pc,ABS(F1354),oc,ABS(H1354),IF(OR(pc="",oc=""),"",MAX(1,MIN(5,ROUND((pc*0.5+oc*0.00001)*5,0))))))</f>
        <v/>
      </c>
    </row>
    <row r="1355">
      <c r="A1355" s="31" t="n">
        <v>1353</v>
      </c>
      <c r="B1355" s="31">
        <f>CHAIN_RAW!D1353</f>
        <v/>
      </c>
      <c r="C1355" s="31">
        <f>CHAIN_RAW!A1353</f>
        <v/>
      </c>
      <c r="D1355" s="31">
        <f>CHAIN_RAW!C1353</f>
        <v/>
      </c>
      <c r="E1355" s="31">
        <f>CHAIN_RAW!E1353</f>
        <v/>
      </c>
      <c r="F1355" s="31">
        <f>CHAIN_RAW!F1353</f>
        <v/>
      </c>
      <c r="G1355" s="31">
        <f>CHAIN_RAW!I1353</f>
        <v/>
      </c>
      <c r="H1355" s="31">
        <f>CHAIN_RAW!Q1353</f>
        <v/>
      </c>
      <c r="I1355" s="31">
        <f>LET(pc,F1355,oc,H1355,IF(OR(pc="",oc=""),"",IF(AND(pc&gt;0,oc&gt;0),"Long Buildup",IF(AND(pc&lt;0,oc&gt;0),"Short Buildup",IF(AND(pc&gt;0,oc&lt;0),"Short Covering",IF(AND(pc&lt;0,oc&lt;0),"Long Unwinding","Flat"))))))</f>
        <v/>
      </c>
      <c r="J1355" s="31">
        <f>LET(pc,ABS(F1355),oc,ABS(H1355),IF(OR(pc="",oc=""),"",MAX(1,MIN(5,ROUND((pc*0.5+oc*0.00001)*5,0))))))</f>
        <v/>
      </c>
    </row>
    <row r="1356">
      <c r="A1356" s="31" t="n">
        <v>1354</v>
      </c>
      <c r="B1356" s="31">
        <f>CHAIN_RAW!D1354</f>
        <v/>
      </c>
      <c r="C1356" s="31">
        <f>CHAIN_RAW!A1354</f>
        <v/>
      </c>
      <c r="D1356" s="31">
        <f>CHAIN_RAW!C1354</f>
        <v/>
      </c>
      <c r="E1356" s="31">
        <f>CHAIN_RAW!E1354</f>
        <v/>
      </c>
      <c r="F1356" s="31">
        <f>CHAIN_RAW!F1354</f>
        <v/>
      </c>
      <c r="G1356" s="31">
        <f>CHAIN_RAW!I1354</f>
        <v/>
      </c>
      <c r="H1356" s="31">
        <f>CHAIN_RAW!Q1354</f>
        <v/>
      </c>
      <c r="I1356" s="31">
        <f>LET(pc,F1356,oc,H1356,IF(OR(pc="",oc=""),"",IF(AND(pc&gt;0,oc&gt;0),"Long Buildup",IF(AND(pc&lt;0,oc&gt;0),"Short Buildup",IF(AND(pc&gt;0,oc&lt;0),"Short Covering",IF(AND(pc&lt;0,oc&lt;0),"Long Unwinding","Flat"))))))</f>
        <v/>
      </c>
      <c r="J1356" s="31">
        <f>LET(pc,ABS(F1356),oc,ABS(H1356),IF(OR(pc="",oc=""),"",MAX(1,MIN(5,ROUND((pc*0.5+oc*0.00001)*5,0))))))</f>
        <v/>
      </c>
    </row>
    <row r="1357">
      <c r="A1357" s="31" t="n">
        <v>1355</v>
      </c>
      <c r="B1357" s="31">
        <f>CHAIN_RAW!D1355</f>
        <v/>
      </c>
      <c r="C1357" s="31">
        <f>CHAIN_RAW!A1355</f>
        <v/>
      </c>
      <c r="D1357" s="31">
        <f>CHAIN_RAW!C1355</f>
        <v/>
      </c>
      <c r="E1357" s="31">
        <f>CHAIN_RAW!E1355</f>
        <v/>
      </c>
      <c r="F1357" s="31">
        <f>CHAIN_RAW!F1355</f>
        <v/>
      </c>
      <c r="G1357" s="31">
        <f>CHAIN_RAW!I1355</f>
        <v/>
      </c>
      <c r="H1357" s="31">
        <f>CHAIN_RAW!Q1355</f>
        <v/>
      </c>
      <c r="I1357" s="31">
        <f>LET(pc,F1357,oc,H1357,IF(OR(pc="",oc=""),"",IF(AND(pc&gt;0,oc&gt;0),"Long Buildup",IF(AND(pc&lt;0,oc&gt;0),"Short Buildup",IF(AND(pc&gt;0,oc&lt;0),"Short Covering",IF(AND(pc&lt;0,oc&lt;0),"Long Unwinding","Flat"))))))</f>
        <v/>
      </c>
      <c r="J1357" s="31">
        <f>LET(pc,ABS(F1357),oc,ABS(H1357),IF(OR(pc="",oc=""),"",MAX(1,MIN(5,ROUND((pc*0.5+oc*0.00001)*5,0))))))</f>
        <v/>
      </c>
    </row>
    <row r="1358">
      <c r="A1358" s="31" t="n">
        <v>1356</v>
      </c>
      <c r="B1358" s="31">
        <f>CHAIN_RAW!D1356</f>
        <v/>
      </c>
      <c r="C1358" s="31">
        <f>CHAIN_RAW!A1356</f>
        <v/>
      </c>
      <c r="D1358" s="31">
        <f>CHAIN_RAW!C1356</f>
        <v/>
      </c>
      <c r="E1358" s="31">
        <f>CHAIN_RAW!E1356</f>
        <v/>
      </c>
      <c r="F1358" s="31">
        <f>CHAIN_RAW!F1356</f>
        <v/>
      </c>
      <c r="G1358" s="31">
        <f>CHAIN_RAW!I1356</f>
        <v/>
      </c>
      <c r="H1358" s="31">
        <f>CHAIN_RAW!Q1356</f>
        <v/>
      </c>
      <c r="I1358" s="31">
        <f>LET(pc,F1358,oc,H1358,IF(OR(pc="",oc=""),"",IF(AND(pc&gt;0,oc&gt;0),"Long Buildup",IF(AND(pc&lt;0,oc&gt;0),"Short Buildup",IF(AND(pc&gt;0,oc&lt;0),"Short Covering",IF(AND(pc&lt;0,oc&lt;0),"Long Unwinding","Flat"))))))</f>
        <v/>
      </c>
      <c r="J1358" s="31">
        <f>LET(pc,ABS(F1358),oc,ABS(H1358),IF(OR(pc="",oc=""),"",MAX(1,MIN(5,ROUND((pc*0.5+oc*0.00001)*5,0))))))</f>
        <v/>
      </c>
    </row>
    <row r="1359">
      <c r="A1359" s="31" t="n">
        <v>1357</v>
      </c>
      <c r="B1359" s="31">
        <f>CHAIN_RAW!D1357</f>
        <v/>
      </c>
      <c r="C1359" s="31">
        <f>CHAIN_RAW!A1357</f>
        <v/>
      </c>
      <c r="D1359" s="31">
        <f>CHAIN_RAW!C1357</f>
        <v/>
      </c>
      <c r="E1359" s="31">
        <f>CHAIN_RAW!E1357</f>
        <v/>
      </c>
      <c r="F1359" s="31">
        <f>CHAIN_RAW!F1357</f>
        <v/>
      </c>
      <c r="G1359" s="31">
        <f>CHAIN_RAW!I1357</f>
        <v/>
      </c>
      <c r="H1359" s="31">
        <f>CHAIN_RAW!Q1357</f>
        <v/>
      </c>
      <c r="I1359" s="31">
        <f>LET(pc,F1359,oc,H1359,IF(OR(pc="",oc=""),"",IF(AND(pc&gt;0,oc&gt;0),"Long Buildup",IF(AND(pc&lt;0,oc&gt;0),"Short Buildup",IF(AND(pc&gt;0,oc&lt;0),"Short Covering",IF(AND(pc&lt;0,oc&lt;0),"Long Unwinding","Flat"))))))</f>
        <v/>
      </c>
      <c r="J1359" s="31">
        <f>LET(pc,ABS(F1359),oc,ABS(H1359),IF(OR(pc="",oc=""),"",MAX(1,MIN(5,ROUND((pc*0.5+oc*0.00001)*5,0))))))</f>
        <v/>
      </c>
    </row>
    <row r="1360">
      <c r="A1360" s="31" t="n">
        <v>1358</v>
      </c>
      <c r="B1360" s="31">
        <f>CHAIN_RAW!D1358</f>
        <v/>
      </c>
      <c r="C1360" s="31">
        <f>CHAIN_RAW!A1358</f>
        <v/>
      </c>
      <c r="D1360" s="31">
        <f>CHAIN_RAW!C1358</f>
        <v/>
      </c>
      <c r="E1360" s="31">
        <f>CHAIN_RAW!E1358</f>
        <v/>
      </c>
      <c r="F1360" s="31">
        <f>CHAIN_RAW!F1358</f>
        <v/>
      </c>
      <c r="G1360" s="31">
        <f>CHAIN_RAW!I1358</f>
        <v/>
      </c>
      <c r="H1360" s="31">
        <f>CHAIN_RAW!Q1358</f>
        <v/>
      </c>
      <c r="I1360" s="31">
        <f>LET(pc,F1360,oc,H1360,IF(OR(pc="",oc=""),"",IF(AND(pc&gt;0,oc&gt;0),"Long Buildup",IF(AND(pc&lt;0,oc&gt;0),"Short Buildup",IF(AND(pc&gt;0,oc&lt;0),"Short Covering",IF(AND(pc&lt;0,oc&lt;0),"Long Unwinding","Flat"))))))</f>
        <v/>
      </c>
      <c r="J1360" s="31">
        <f>LET(pc,ABS(F1360),oc,ABS(H1360),IF(OR(pc="",oc=""),"",MAX(1,MIN(5,ROUND((pc*0.5+oc*0.00001)*5,0))))))</f>
        <v/>
      </c>
    </row>
    <row r="1361">
      <c r="A1361" s="31" t="n">
        <v>1359</v>
      </c>
      <c r="B1361" s="31">
        <f>CHAIN_RAW!D1359</f>
        <v/>
      </c>
      <c r="C1361" s="31">
        <f>CHAIN_RAW!A1359</f>
        <v/>
      </c>
      <c r="D1361" s="31">
        <f>CHAIN_RAW!C1359</f>
        <v/>
      </c>
      <c r="E1361" s="31">
        <f>CHAIN_RAW!E1359</f>
        <v/>
      </c>
      <c r="F1361" s="31">
        <f>CHAIN_RAW!F1359</f>
        <v/>
      </c>
      <c r="G1361" s="31">
        <f>CHAIN_RAW!I1359</f>
        <v/>
      </c>
      <c r="H1361" s="31">
        <f>CHAIN_RAW!Q1359</f>
        <v/>
      </c>
      <c r="I1361" s="31">
        <f>LET(pc,F1361,oc,H1361,IF(OR(pc="",oc=""),"",IF(AND(pc&gt;0,oc&gt;0),"Long Buildup",IF(AND(pc&lt;0,oc&gt;0),"Short Buildup",IF(AND(pc&gt;0,oc&lt;0),"Short Covering",IF(AND(pc&lt;0,oc&lt;0),"Long Unwinding","Flat"))))))</f>
        <v/>
      </c>
      <c r="J1361" s="31">
        <f>LET(pc,ABS(F1361),oc,ABS(H1361),IF(OR(pc="",oc=""),"",MAX(1,MIN(5,ROUND((pc*0.5+oc*0.00001)*5,0))))))</f>
        <v/>
      </c>
    </row>
    <row r="1362">
      <c r="A1362" s="31" t="n">
        <v>1360</v>
      </c>
      <c r="B1362" s="31">
        <f>CHAIN_RAW!D1360</f>
        <v/>
      </c>
      <c r="C1362" s="31">
        <f>CHAIN_RAW!A1360</f>
        <v/>
      </c>
      <c r="D1362" s="31">
        <f>CHAIN_RAW!C1360</f>
        <v/>
      </c>
      <c r="E1362" s="31">
        <f>CHAIN_RAW!E1360</f>
        <v/>
      </c>
      <c r="F1362" s="31">
        <f>CHAIN_RAW!F1360</f>
        <v/>
      </c>
      <c r="G1362" s="31">
        <f>CHAIN_RAW!I1360</f>
        <v/>
      </c>
      <c r="H1362" s="31">
        <f>CHAIN_RAW!Q1360</f>
        <v/>
      </c>
      <c r="I1362" s="31">
        <f>LET(pc,F1362,oc,H1362,IF(OR(pc="",oc=""),"",IF(AND(pc&gt;0,oc&gt;0),"Long Buildup",IF(AND(pc&lt;0,oc&gt;0),"Short Buildup",IF(AND(pc&gt;0,oc&lt;0),"Short Covering",IF(AND(pc&lt;0,oc&lt;0),"Long Unwinding","Flat"))))))</f>
        <v/>
      </c>
      <c r="J1362" s="31">
        <f>LET(pc,ABS(F1362),oc,ABS(H1362),IF(OR(pc="",oc=""),"",MAX(1,MIN(5,ROUND((pc*0.5+oc*0.00001)*5,0))))))</f>
        <v/>
      </c>
    </row>
    <row r="1363">
      <c r="A1363" s="31" t="n">
        <v>1361</v>
      </c>
      <c r="B1363" s="31">
        <f>CHAIN_RAW!D1361</f>
        <v/>
      </c>
      <c r="C1363" s="31">
        <f>CHAIN_RAW!A1361</f>
        <v/>
      </c>
      <c r="D1363" s="31">
        <f>CHAIN_RAW!C1361</f>
        <v/>
      </c>
      <c r="E1363" s="31">
        <f>CHAIN_RAW!E1361</f>
        <v/>
      </c>
      <c r="F1363" s="31">
        <f>CHAIN_RAW!F1361</f>
        <v/>
      </c>
      <c r="G1363" s="31">
        <f>CHAIN_RAW!I1361</f>
        <v/>
      </c>
      <c r="H1363" s="31">
        <f>CHAIN_RAW!Q1361</f>
        <v/>
      </c>
      <c r="I1363" s="31">
        <f>LET(pc,F1363,oc,H1363,IF(OR(pc="",oc=""),"",IF(AND(pc&gt;0,oc&gt;0),"Long Buildup",IF(AND(pc&lt;0,oc&gt;0),"Short Buildup",IF(AND(pc&gt;0,oc&lt;0),"Short Covering",IF(AND(pc&lt;0,oc&lt;0),"Long Unwinding","Flat"))))))</f>
        <v/>
      </c>
      <c r="J1363" s="31">
        <f>LET(pc,ABS(F1363),oc,ABS(H1363),IF(OR(pc="",oc=""),"",MAX(1,MIN(5,ROUND((pc*0.5+oc*0.00001)*5,0))))))</f>
        <v/>
      </c>
    </row>
    <row r="1364">
      <c r="A1364" s="31" t="n">
        <v>1362</v>
      </c>
      <c r="B1364" s="31">
        <f>CHAIN_RAW!D1362</f>
        <v/>
      </c>
      <c r="C1364" s="31">
        <f>CHAIN_RAW!A1362</f>
        <v/>
      </c>
      <c r="D1364" s="31">
        <f>CHAIN_RAW!C1362</f>
        <v/>
      </c>
      <c r="E1364" s="31">
        <f>CHAIN_RAW!E1362</f>
        <v/>
      </c>
      <c r="F1364" s="31">
        <f>CHAIN_RAW!F1362</f>
        <v/>
      </c>
      <c r="G1364" s="31">
        <f>CHAIN_RAW!I1362</f>
        <v/>
      </c>
      <c r="H1364" s="31">
        <f>CHAIN_RAW!Q1362</f>
        <v/>
      </c>
      <c r="I1364" s="31">
        <f>LET(pc,F1364,oc,H1364,IF(OR(pc="",oc=""),"",IF(AND(pc&gt;0,oc&gt;0),"Long Buildup",IF(AND(pc&lt;0,oc&gt;0),"Short Buildup",IF(AND(pc&gt;0,oc&lt;0),"Short Covering",IF(AND(pc&lt;0,oc&lt;0),"Long Unwinding","Flat"))))))</f>
        <v/>
      </c>
      <c r="J1364" s="31">
        <f>LET(pc,ABS(F1364),oc,ABS(H1364),IF(OR(pc="",oc=""),"",MAX(1,MIN(5,ROUND((pc*0.5+oc*0.00001)*5,0))))))</f>
        <v/>
      </c>
    </row>
    <row r="1365">
      <c r="A1365" s="31" t="n">
        <v>1363</v>
      </c>
      <c r="B1365" s="31">
        <f>CHAIN_RAW!D1363</f>
        <v/>
      </c>
      <c r="C1365" s="31">
        <f>CHAIN_RAW!A1363</f>
        <v/>
      </c>
      <c r="D1365" s="31">
        <f>CHAIN_RAW!C1363</f>
        <v/>
      </c>
      <c r="E1365" s="31">
        <f>CHAIN_RAW!E1363</f>
        <v/>
      </c>
      <c r="F1365" s="31">
        <f>CHAIN_RAW!F1363</f>
        <v/>
      </c>
      <c r="G1365" s="31">
        <f>CHAIN_RAW!I1363</f>
        <v/>
      </c>
      <c r="H1365" s="31">
        <f>CHAIN_RAW!Q1363</f>
        <v/>
      </c>
      <c r="I1365" s="31">
        <f>LET(pc,F1365,oc,H1365,IF(OR(pc="",oc=""),"",IF(AND(pc&gt;0,oc&gt;0),"Long Buildup",IF(AND(pc&lt;0,oc&gt;0),"Short Buildup",IF(AND(pc&gt;0,oc&lt;0),"Short Covering",IF(AND(pc&lt;0,oc&lt;0),"Long Unwinding","Flat"))))))</f>
        <v/>
      </c>
      <c r="J1365" s="31">
        <f>LET(pc,ABS(F1365),oc,ABS(H1365),IF(OR(pc="",oc=""),"",MAX(1,MIN(5,ROUND((pc*0.5+oc*0.00001)*5,0))))))</f>
        <v/>
      </c>
    </row>
    <row r="1366">
      <c r="A1366" s="31" t="n">
        <v>1364</v>
      </c>
      <c r="B1366" s="31">
        <f>CHAIN_RAW!D1364</f>
        <v/>
      </c>
      <c r="C1366" s="31">
        <f>CHAIN_RAW!A1364</f>
        <v/>
      </c>
      <c r="D1366" s="31">
        <f>CHAIN_RAW!C1364</f>
        <v/>
      </c>
      <c r="E1366" s="31">
        <f>CHAIN_RAW!E1364</f>
        <v/>
      </c>
      <c r="F1366" s="31">
        <f>CHAIN_RAW!F1364</f>
        <v/>
      </c>
      <c r="G1366" s="31">
        <f>CHAIN_RAW!I1364</f>
        <v/>
      </c>
      <c r="H1366" s="31">
        <f>CHAIN_RAW!Q1364</f>
        <v/>
      </c>
      <c r="I1366" s="31">
        <f>LET(pc,F1366,oc,H1366,IF(OR(pc="",oc=""),"",IF(AND(pc&gt;0,oc&gt;0),"Long Buildup",IF(AND(pc&lt;0,oc&gt;0),"Short Buildup",IF(AND(pc&gt;0,oc&lt;0),"Short Covering",IF(AND(pc&lt;0,oc&lt;0),"Long Unwinding","Flat"))))))</f>
        <v/>
      </c>
      <c r="J1366" s="31">
        <f>LET(pc,ABS(F1366),oc,ABS(H1366),IF(OR(pc="",oc=""),"",MAX(1,MIN(5,ROUND((pc*0.5+oc*0.00001)*5,0))))))</f>
        <v/>
      </c>
    </row>
    <row r="1367">
      <c r="A1367" s="31" t="n">
        <v>1365</v>
      </c>
      <c r="B1367" s="31">
        <f>CHAIN_RAW!D1365</f>
        <v/>
      </c>
      <c r="C1367" s="31">
        <f>CHAIN_RAW!A1365</f>
        <v/>
      </c>
      <c r="D1367" s="31">
        <f>CHAIN_RAW!C1365</f>
        <v/>
      </c>
      <c r="E1367" s="31">
        <f>CHAIN_RAW!E1365</f>
        <v/>
      </c>
      <c r="F1367" s="31">
        <f>CHAIN_RAW!F1365</f>
        <v/>
      </c>
      <c r="G1367" s="31">
        <f>CHAIN_RAW!I1365</f>
        <v/>
      </c>
      <c r="H1367" s="31">
        <f>CHAIN_RAW!Q1365</f>
        <v/>
      </c>
      <c r="I1367" s="31">
        <f>LET(pc,F1367,oc,H1367,IF(OR(pc="",oc=""),"",IF(AND(pc&gt;0,oc&gt;0),"Long Buildup",IF(AND(pc&lt;0,oc&gt;0),"Short Buildup",IF(AND(pc&gt;0,oc&lt;0),"Short Covering",IF(AND(pc&lt;0,oc&lt;0),"Long Unwinding","Flat"))))))</f>
        <v/>
      </c>
      <c r="J1367" s="31">
        <f>LET(pc,ABS(F1367),oc,ABS(H1367),IF(OR(pc="",oc=""),"",MAX(1,MIN(5,ROUND((pc*0.5+oc*0.00001)*5,0))))))</f>
        <v/>
      </c>
    </row>
    <row r="1368">
      <c r="A1368" s="31" t="n">
        <v>1366</v>
      </c>
      <c r="B1368" s="31">
        <f>CHAIN_RAW!D1366</f>
        <v/>
      </c>
      <c r="C1368" s="31">
        <f>CHAIN_RAW!A1366</f>
        <v/>
      </c>
      <c r="D1368" s="31">
        <f>CHAIN_RAW!C1366</f>
        <v/>
      </c>
      <c r="E1368" s="31">
        <f>CHAIN_RAW!E1366</f>
        <v/>
      </c>
      <c r="F1368" s="31">
        <f>CHAIN_RAW!F1366</f>
        <v/>
      </c>
      <c r="G1368" s="31">
        <f>CHAIN_RAW!I1366</f>
        <v/>
      </c>
      <c r="H1368" s="31">
        <f>CHAIN_RAW!Q1366</f>
        <v/>
      </c>
      <c r="I1368" s="31">
        <f>LET(pc,F1368,oc,H1368,IF(OR(pc="",oc=""),"",IF(AND(pc&gt;0,oc&gt;0),"Long Buildup",IF(AND(pc&lt;0,oc&gt;0),"Short Buildup",IF(AND(pc&gt;0,oc&lt;0),"Short Covering",IF(AND(pc&lt;0,oc&lt;0),"Long Unwinding","Flat"))))))</f>
        <v/>
      </c>
      <c r="J1368" s="31">
        <f>LET(pc,ABS(F1368),oc,ABS(H1368),IF(OR(pc="",oc=""),"",MAX(1,MIN(5,ROUND((pc*0.5+oc*0.00001)*5,0))))))</f>
        <v/>
      </c>
    </row>
    <row r="1369">
      <c r="A1369" s="31" t="n">
        <v>1367</v>
      </c>
      <c r="B1369" s="31">
        <f>CHAIN_RAW!D1367</f>
        <v/>
      </c>
      <c r="C1369" s="31">
        <f>CHAIN_RAW!A1367</f>
        <v/>
      </c>
      <c r="D1369" s="31">
        <f>CHAIN_RAW!C1367</f>
        <v/>
      </c>
      <c r="E1369" s="31">
        <f>CHAIN_RAW!E1367</f>
        <v/>
      </c>
      <c r="F1369" s="31">
        <f>CHAIN_RAW!F1367</f>
        <v/>
      </c>
      <c r="G1369" s="31">
        <f>CHAIN_RAW!I1367</f>
        <v/>
      </c>
      <c r="H1369" s="31">
        <f>CHAIN_RAW!Q1367</f>
        <v/>
      </c>
      <c r="I1369" s="31">
        <f>LET(pc,F1369,oc,H1369,IF(OR(pc="",oc=""),"",IF(AND(pc&gt;0,oc&gt;0),"Long Buildup",IF(AND(pc&lt;0,oc&gt;0),"Short Buildup",IF(AND(pc&gt;0,oc&lt;0),"Short Covering",IF(AND(pc&lt;0,oc&lt;0),"Long Unwinding","Flat"))))))</f>
        <v/>
      </c>
      <c r="J1369" s="31">
        <f>LET(pc,ABS(F1369),oc,ABS(H1369),IF(OR(pc="",oc=""),"",MAX(1,MIN(5,ROUND((pc*0.5+oc*0.00001)*5,0))))))</f>
        <v/>
      </c>
    </row>
    <row r="1370">
      <c r="A1370" s="31" t="n">
        <v>1368</v>
      </c>
      <c r="B1370" s="31">
        <f>CHAIN_RAW!D1368</f>
        <v/>
      </c>
      <c r="C1370" s="31">
        <f>CHAIN_RAW!A1368</f>
        <v/>
      </c>
      <c r="D1370" s="31">
        <f>CHAIN_RAW!C1368</f>
        <v/>
      </c>
      <c r="E1370" s="31">
        <f>CHAIN_RAW!E1368</f>
        <v/>
      </c>
      <c r="F1370" s="31">
        <f>CHAIN_RAW!F1368</f>
        <v/>
      </c>
      <c r="G1370" s="31">
        <f>CHAIN_RAW!I1368</f>
        <v/>
      </c>
      <c r="H1370" s="31">
        <f>CHAIN_RAW!Q1368</f>
        <v/>
      </c>
      <c r="I1370" s="31">
        <f>LET(pc,F1370,oc,H1370,IF(OR(pc="",oc=""),"",IF(AND(pc&gt;0,oc&gt;0),"Long Buildup",IF(AND(pc&lt;0,oc&gt;0),"Short Buildup",IF(AND(pc&gt;0,oc&lt;0),"Short Covering",IF(AND(pc&lt;0,oc&lt;0),"Long Unwinding","Flat"))))))</f>
        <v/>
      </c>
      <c r="J1370" s="31">
        <f>LET(pc,ABS(F1370),oc,ABS(H1370),IF(OR(pc="",oc=""),"",MAX(1,MIN(5,ROUND((pc*0.5+oc*0.00001)*5,0))))))</f>
        <v/>
      </c>
    </row>
    <row r="1371">
      <c r="A1371" s="31" t="n">
        <v>1369</v>
      </c>
      <c r="B1371" s="31">
        <f>CHAIN_RAW!D1369</f>
        <v/>
      </c>
      <c r="C1371" s="31">
        <f>CHAIN_RAW!A1369</f>
        <v/>
      </c>
      <c r="D1371" s="31">
        <f>CHAIN_RAW!C1369</f>
        <v/>
      </c>
      <c r="E1371" s="31">
        <f>CHAIN_RAW!E1369</f>
        <v/>
      </c>
      <c r="F1371" s="31">
        <f>CHAIN_RAW!F1369</f>
        <v/>
      </c>
      <c r="G1371" s="31">
        <f>CHAIN_RAW!I1369</f>
        <v/>
      </c>
      <c r="H1371" s="31">
        <f>CHAIN_RAW!Q1369</f>
        <v/>
      </c>
      <c r="I1371" s="31">
        <f>LET(pc,F1371,oc,H1371,IF(OR(pc="",oc=""),"",IF(AND(pc&gt;0,oc&gt;0),"Long Buildup",IF(AND(pc&lt;0,oc&gt;0),"Short Buildup",IF(AND(pc&gt;0,oc&lt;0),"Short Covering",IF(AND(pc&lt;0,oc&lt;0),"Long Unwinding","Flat"))))))</f>
        <v/>
      </c>
      <c r="J1371" s="31">
        <f>LET(pc,ABS(F1371),oc,ABS(H1371),IF(OR(pc="",oc=""),"",MAX(1,MIN(5,ROUND((pc*0.5+oc*0.00001)*5,0))))))</f>
        <v/>
      </c>
    </row>
    <row r="1372">
      <c r="A1372" s="31" t="n">
        <v>1370</v>
      </c>
      <c r="B1372" s="31">
        <f>CHAIN_RAW!D1370</f>
        <v/>
      </c>
      <c r="C1372" s="31">
        <f>CHAIN_RAW!A1370</f>
        <v/>
      </c>
      <c r="D1372" s="31">
        <f>CHAIN_RAW!C1370</f>
        <v/>
      </c>
      <c r="E1372" s="31">
        <f>CHAIN_RAW!E1370</f>
        <v/>
      </c>
      <c r="F1372" s="31">
        <f>CHAIN_RAW!F1370</f>
        <v/>
      </c>
      <c r="G1372" s="31">
        <f>CHAIN_RAW!I1370</f>
        <v/>
      </c>
      <c r="H1372" s="31">
        <f>CHAIN_RAW!Q1370</f>
        <v/>
      </c>
      <c r="I1372" s="31">
        <f>LET(pc,F1372,oc,H1372,IF(OR(pc="",oc=""),"",IF(AND(pc&gt;0,oc&gt;0),"Long Buildup",IF(AND(pc&lt;0,oc&gt;0),"Short Buildup",IF(AND(pc&gt;0,oc&lt;0),"Short Covering",IF(AND(pc&lt;0,oc&lt;0),"Long Unwinding","Flat"))))))</f>
        <v/>
      </c>
      <c r="J1372" s="31">
        <f>LET(pc,ABS(F1372),oc,ABS(H1372),IF(OR(pc="",oc=""),"",MAX(1,MIN(5,ROUND((pc*0.5+oc*0.00001)*5,0))))))</f>
        <v/>
      </c>
    </row>
    <row r="1373">
      <c r="A1373" s="31" t="n">
        <v>1371</v>
      </c>
      <c r="B1373" s="31">
        <f>CHAIN_RAW!D1371</f>
        <v/>
      </c>
      <c r="C1373" s="31">
        <f>CHAIN_RAW!A1371</f>
        <v/>
      </c>
      <c r="D1373" s="31">
        <f>CHAIN_RAW!C1371</f>
        <v/>
      </c>
      <c r="E1373" s="31">
        <f>CHAIN_RAW!E1371</f>
        <v/>
      </c>
      <c r="F1373" s="31">
        <f>CHAIN_RAW!F1371</f>
        <v/>
      </c>
      <c r="G1373" s="31">
        <f>CHAIN_RAW!I1371</f>
        <v/>
      </c>
      <c r="H1373" s="31">
        <f>CHAIN_RAW!Q1371</f>
        <v/>
      </c>
      <c r="I1373" s="31">
        <f>LET(pc,F1373,oc,H1373,IF(OR(pc="",oc=""),"",IF(AND(pc&gt;0,oc&gt;0),"Long Buildup",IF(AND(pc&lt;0,oc&gt;0),"Short Buildup",IF(AND(pc&gt;0,oc&lt;0),"Short Covering",IF(AND(pc&lt;0,oc&lt;0),"Long Unwinding","Flat"))))))</f>
        <v/>
      </c>
      <c r="J1373" s="31">
        <f>LET(pc,ABS(F1373),oc,ABS(H1373),IF(OR(pc="",oc=""),"",MAX(1,MIN(5,ROUND((pc*0.5+oc*0.00001)*5,0))))))</f>
        <v/>
      </c>
    </row>
    <row r="1374">
      <c r="A1374" s="31" t="n">
        <v>1372</v>
      </c>
      <c r="B1374" s="31">
        <f>CHAIN_RAW!D1372</f>
        <v/>
      </c>
      <c r="C1374" s="31">
        <f>CHAIN_RAW!A1372</f>
        <v/>
      </c>
      <c r="D1374" s="31">
        <f>CHAIN_RAW!C1372</f>
        <v/>
      </c>
      <c r="E1374" s="31">
        <f>CHAIN_RAW!E1372</f>
        <v/>
      </c>
      <c r="F1374" s="31">
        <f>CHAIN_RAW!F1372</f>
        <v/>
      </c>
      <c r="G1374" s="31">
        <f>CHAIN_RAW!I1372</f>
        <v/>
      </c>
      <c r="H1374" s="31">
        <f>CHAIN_RAW!Q1372</f>
        <v/>
      </c>
      <c r="I1374" s="31">
        <f>LET(pc,F1374,oc,H1374,IF(OR(pc="",oc=""),"",IF(AND(pc&gt;0,oc&gt;0),"Long Buildup",IF(AND(pc&lt;0,oc&gt;0),"Short Buildup",IF(AND(pc&gt;0,oc&lt;0),"Short Covering",IF(AND(pc&lt;0,oc&lt;0),"Long Unwinding","Flat"))))))</f>
        <v/>
      </c>
      <c r="J1374" s="31">
        <f>LET(pc,ABS(F1374),oc,ABS(H1374),IF(OR(pc="",oc=""),"",MAX(1,MIN(5,ROUND((pc*0.5+oc*0.00001)*5,0))))))</f>
        <v/>
      </c>
    </row>
    <row r="1375">
      <c r="A1375" s="31" t="n">
        <v>1373</v>
      </c>
      <c r="B1375" s="31">
        <f>CHAIN_RAW!D1373</f>
        <v/>
      </c>
      <c r="C1375" s="31">
        <f>CHAIN_RAW!A1373</f>
        <v/>
      </c>
      <c r="D1375" s="31">
        <f>CHAIN_RAW!C1373</f>
        <v/>
      </c>
      <c r="E1375" s="31">
        <f>CHAIN_RAW!E1373</f>
        <v/>
      </c>
      <c r="F1375" s="31">
        <f>CHAIN_RAW!F1373</f>
        <v/>
      </c>
      <c r="G1375" s="31">
        <f>CHAIN_RAW!I1373</f>
        <v/>
      </c>
      <c r="H1375" s="31">
        <f>CHAIN_RAW!Q1373</f>
        <v/>
      </c>
      <c r="I1375" s="31">
        <f>LET(pc,F1375,oc,H1375,IF(OR(pc="",oc=""),"",IF(AND(pc&gt;0,oc&gt;0),"Long Buildup",IF(AND(pc&lt;0,oc&gt;0),"Short Buildup",IF(AND(pc&gt;0,oc&lt;0),"Short Covering",IF(AND(pc&lt;0,oc&lt;0),"Long Unwinding","Flat"))))))</f>
        <v/>
      </c>
      <c r="J1375" s="31">
        <f>LET(pc,ABS(F1375),oc,ABS(H1375),IF(OR(pc="",oc=""),"",MAX(1,MIN(5,ROUND((pc*0.5+oc*0.00001)*5,0))))))</f>
        <v/>
      </c>
    </row>
    <row r="1376">
      <c r="A1376" s="31" t="n">
        <v>1374</v>
      </c>
      <c r="B1376" s="31">
        <f>CHAIN_RAW!D1374</f>
        <v/>
      </c>
      <c r="C1376" s="31">
        <f>CHAIN_RAW!A1374</f>
        <v/>
      </c>
      <c r="D1376" s="31">
        <f>CHAIN_RAW!C1374</f>
        <v/>
      </c>
      <c r="E1376" s="31">
        <f>CHAIN_RAW!E1374</f>
        <v/>
      </c>
      <c r="F1376" s="31">
        <f>CHAIN_RAW!F1374</f>
        <v/>
      </c>
      <c r="G1376" s="31">
        <f>CHAIN_RAW!I1374</f>
        <v/>
      </c>
      <c r="H1376" s="31">
        <f>CHAIN_RAW!Q1374</f>
        <v/>
      </c>
      <c r="I1376" s="31">
        <f>LET(pc,F1376,oc,H1376,IF(OR(pc="",oc=""),"",IF(AND(pc&gt;0,oc&gt;0),"Long Buildup",IF(AND(pc&lt;0,oc&gt;0),"Short Buildup",IF(AND(pc&gt;0,oc&lt;0),"Short Covering",IF(AND(pc&lt;0,oc&lt;0),"Long Unwinding","Flat"))))))</f>
        <v/>
      </c>
      <c r="J1376" s="31">
        <f>LET(pc,ABS(F1376),oc,ABS(H1376),IF(OR(pc="",oc=""),"",MAX(1,MIN(5,ROUND((pc*0.5+oc*0.00001)*5,0))))))</f>
        <v/>
      </c>
    </row>
    <row r="1377">
      <c r="A1377" s="31" t="n">
        <v>1375</v>
      </c>
      <c r="B1377" s="31">
        <f>CHAIN_RAW!D1375</f>
        <v/>
      </c>
      <c r="C1377" s="31">
        <f>CHAIN_RAW!A1375</f>
        <v/>
      </c>
      <c r="D1377" s="31">
        <f>CHAIN_RAW!C1375</f>
        <v/>
      </c>
      <c r="E1377" s="31">
        <f>CHAIN_RAW!E1375</f>
        <v/>
      </c>
      <c r="F1377" s="31">
        <f>CHAIN_RAW!F1375</f>
        <v/>
      </c>
      <c r="G1377" s="31">
        <f>CHAIN_RAW!I1375</f>
        <v/>
      </c>
      <c r="H1377" s="31">
        <f>CHAIN_RAW!Q1375</f>
        <v/>
      </c>
      <c r="I1377" s="31">
        <f>LET(pc,F1377,oc,H1377,IF(OR(pc="",oc=""),"",IF(AND(pc&gt;0,oc&gt;0),"Long Buildup",IF(AND(pc&lt;0,oc&gt;0),"Short Buildup",IF(AND(pc&gt;0,oc&lt;0),"Short Covering",IF(AND(pc&lt;0,oc&lt;0),"Long Unwinding","Flat"))))))</f>
        <v/>
      </c>
      <c r="J1377" s="31">
        <f>LET(pc,ABS(F1377),oc,ABS(H1377),IF(OR(pc="",oc=""),"",MAX(1,MIN(5,ROUND((pc*0.5+oc*0.00001)*5,0))))))</f>
        <v/>
      </c>
    </row>
    <row r="1378">
      <c r="A1378" s="31" t="n">
        <v>1376</v>
      </c>
      <c r="B1378" s="31">
        <f>CHAIN_RAW!D1376</f>
        <v/>
      </c>
      <c r="C1378" s="31">
        <f>CHAIN_RAW!A1376</f>
        <v/>
      </c>
      <c r="D1378" s="31">
        <f>CHAIN_RAW!C1376</f>
        <v/>
      </c>
      <c r="E1378" s="31">
        <f>CHAIN_RAW!E1376</f>
        <v/>
      </c>
      <c r="F1378" s="31">
        <f>CHAIN_RAW!F1376</f>
        <v/>
      </c>
      <c r="G1378" s="31">
        <f>CHAIN_RAW!I1376</f>
        <v/>
      </c>
      <c r="H1378" s="31">
        <f>CHAIN_RAW!Q1376</f>
        <v/>
      </c>
      <c r="I1378" s="31">
        <f>LET(pc,F1378,oc,H1378,IF(OR(pc="",oc=""),"",IF(AND(pc&gt;0,oc&gt;0),"Long Buildup",IF(AND(pc&lt;0,oc&gt;0),"Short Buildup",IF(AND(pc&gt;0,oc&lt;0),"Short Covering",IF(AND(pc&lt;0,oc&lt;0),"Long Unwinding","Flat"))))))</f>
        <v/>
      </c>
      <c r="J1378" s="31">
        <f>LET(pc,ABS(F1378),oc,ABS(H1378),IF(OR(pc="",oc=""),"",MAX(1,MIN(5,ROUND((pc*0.5+oc*0.00001)*5,0))))))</f>
        <v/>
      </c>
    </row>
    <row r="1379">
      <c r="A1379" s="31" t="n">
        <v>1377</v>
      </c>
      <c r="B1379" s="31">
        <f>CHAIN_RAW!D1377</f>
        <v/>
      </c>
      <c r="C1379" s="31">
        <f>CHAIN_RAW!A1377</f>
        <v/>
      </c>
      <c r="D1379" s="31">
        <f>CHAIN_RAW!C1377</f>
        <v/>
      </c>
      <c r="E1379" s="31">
        <f>CHAIN_RAW!E1377</f>
        <v/>
      </c>
      <c r="F1379" s="31">
        <f>CHAIN_RAW!F1377</f>
        <v/>
      </c>
      <c r="G1379" s="31">
        <f>CHAIN_RAW!I1377</f>
        <v/>
      </c>
      <c r="H1379" s="31">
        <f>CHAIN_RAW!Q1377</f>
        <v/>
      </c>
      <c r="I1379" s="31">
        <f>LET(pc,F1379,oc,H1379,IF(OR(pc="",oc=""),"",IF(AND(pc&gt;0,oc&gt;0),"Long Buildup",IF(AND(pc&lt;0,oc&gt;0),"Short Buildup",IF(AND(pc&gt;0,oc&lt;0),"Short Covering",IF(AND(pc&lt;0,oc&lt;0),"Long Unwinding","Flat"))))))</f>
        <v/>
      </c>
      <c r="J1379" s="31">
        <f>LET(pc,ABS(F1379),oc,ABS(H1379),IF(OR(pc="",oc=""),"",MAX(1,MIN(5,ROUND((pc*0.5+oc*0.00001)*5,0))))))</f>
        <v/>
      </c>
    </row>
    <row r="1380">
      <c r="A1380" s="31" t="n">
        <v>1378</v>
      </c>
      <c r="B1380" s="31">
        <f>CHAIN_RAW!D1378</f>
        <v/>
      </c>
      <c r="C1380" s="31">
        <f>CHAIN_RAW!A1378</f>
        <v/>
      </c>
      <c r="D1380" s="31">
        <f>CHAIN_RAW!C1378</f>
        <v/>
      </c>
      <c r="E1380" s="31">
        <f>CHAIN_RAW!E1378</f>
        <v/>
      </c>
      <c r="F1380" s="31">
        <f>CHAIN_RAW!F1378</f>
        <v/>
      </c>
      <c r="G1380" s="31">
        <f>CHAIN_RAW!I1378</f>
        <v/>
      </c>
      <c r="H1380" s="31">
        <f>CHAIN_RAW!Q1378</f>
        <v/>
      </c>
      <c r="I1380" s="31">
        <f>LET(pc,F1380,oc,H1380,IF(OR(pc="",oc=""),"",IF(AND(pc&gt;0,oc&gt;0),"Long Buildup",IF(AND(pc&lt;0,oc&gt;0),"Short Buildup",IF(AND(pc&gt;0,oc&lt;0),"Short Covering",IF(AND(pc&lt;0,oc&lt;0),"Long Unwinding","Flat"))))))</f>
        <v/>
      </c>
      <c r="J1380" s="31">
        <f>LET(pc,ABS(F1380),oc,ABS(H1380),IF(OR(pc="",oc=""),"",MAX(1,MIN(5,ROUND((pc*0.5+oc*0.00001)*5,0))))))</f>
        <v/>
      </c>
    </row>
    <row r="1381">
      <c r="A1381" s="31" t="n">
        <v>1379</v>
      </c>
      <c r="B1381" s="31">
        <f>CHAIN_RAW!D1379</f>
        <v/>
      </c>
      <c r="C1381" s="31">
        <f>CHAIN_RAW!A1379</f>
        <v/>
      </c>
      <c r="D1381" s="31">
        <f>CHAIN_RAW!C1379</f>
        <v/>
      </c>
      <c r="E1381" s="31">
        <f>CHAIN_RAW!E1379</f>
        <v/>
      </c>
      <c r="F1381" s="31">
        <f>CHAIN_RAW!F1379</f>
        <v/>
      </c>
      <c r="G1381" s="31">
        <f>CHAIN_RAW!I1379</f>
        <v/>
      </c>
      <c r="H1381" s="31">
        <f>CHAIN_RAW!Q1379</f>
        <v/>
      </c>
      <c r="I1381" s="31">
        <f>LET(pc,F1381,oc,H1381,IF(OR(pc="",oc=""),"",IF(AND(pc&gt;0,oc&gt;0),"Long Buildup",IF(AND(pc&lt;0,oc&gt;0),"Short Buildup",IF(AND(pc&gt;0,oc&lt;0),"Short Covering",IF(AND(pc&lt;0,oc&lt;0),"Long Unwinding","Flat"))))))</f>
        <v/>
      </c>
      <c r="J1381" s="31">
        <f>LET(pc,ABS(F1381),oc,ABS(H1381),IF(OR(pc="",oc=""),"",MAX(1,MIN(5,ROUND((pc*0.5+oc*0.00001)*5,0))))))</f>
        <v/>
      </c>
    </row>
    <row r="1382">
      <c r="A1382" s="31" t="n">
        <v>1380</v>
      </c>
      <c r="B1382" s="31">
        <f>CHAIN_RAW!D1380</f>
        <v/>
      </c>
      <c r="C1382" s="31">
        <f>CHAIN_RAW!A1380</f>
        <v/>
      </c>
      <c r="D1382" s="31">
        <f>CHAIN_RAW!C1380</f>
        <v/>
      </c>
      <c r="E1382" s="31">
        <f>CHAIN_RAW!E1380</f>
        <v/>
      </c>
      <c r="F1382" s="31">
        <f>CHAIN_RAW!F1380</f>
        <v/>
      </c>
      <c r="G1382" s="31">
        <f>CHAIN_RAW!I1380</f>
        <v/>
      </c>
      <c r="H1382" s="31">
        <f>CHAIN_RAW!Q1380</f>
        <v/>
      </c>
      <c r="I1382" s="31">
        <f>LET(pc,F1382,oc,H1382,IF(OR(pc="",oc=""),"",IF(AND(pc&gt;0,oc&gt;0),"Long Buildup",IF(AND(pc&lt;0,oc&gt;0),"Short Buildup",IF(AND(pc&gt;0,oc&lt;0),"Short Covering",IF(AND(pc&lt;0,oc&lt;0),"Long Unwinding","Flat"))))))</f>
        <v/>
      </c>
      <c r="J1382" s="31">
        <f>LET(pc,ABS(F1382),oc,ABS(H1382),IF(OR(pc="",oc=""),"",MAX(1,MIN(5,ROUND((pc*0.5+oc*0.00001)*5,0))))))</f>
        <v/>
      </c>
    </row>
    <row r="1383">
      <c r="A1383" s="31" t="n">
        <v>1381</v>
      </c>
      <c r="B1383" s="31">
        <f>CHAIN_RAW!D1381</f>
        <v/>
      </c>
      <c r="C1383" s="31">
        <f>CHAIN_RAW!A1381</f>
        <v/>
      </c>
      <c r="D1383" s="31">
        <f>CHAIN_RAW!C1381</f>
        <v/>
      </c>
      <c r="E1383" s="31">
        <f>CHAIN_RAW!E1381</f>
        <v/>
      </c>
      <c r="F1383" s="31">
        <f>CHAIN_RAW!F1381</f>
        <v/>
      </c>
      <c r="G1383" s="31">
        <f>CHAIN_RAW!I1381</f>
        <v/>
      </c>
      <c r="H1383" s="31">
        <f>CHAIN_RAW!Q1381</f>
        <v/>
      </c>
      <c r="I1383" s="31">
        <f>LET(pc,F1383,oc,H1383,IF(OR(pc="",oc=""),"",IF(AND(pc&gt;0,oc&gt;0),"Long Buildup",IF(AND(pc&lt;0,oc&gt;0),"Short Buildup",IF(AND(pc&gt;0,oc&lt;0),"Short Covering",IF(AND(pc&lt;0,oc&lt;0),"Long Unwinding","Flat"))))))</f>
        <v/>
      </c>
      <c r="J1383" s="31">
        <f>LET(pc,ABS(F1383),oc,ABS(H1383),IF(OR(pc="",oc=""),"",MAX(1,MIN(5,ROUND((pc*0.5+oc*0.00001)*5,0))))))</f>
        <v/>
      </c>
    </row>
    <row r="1384">
      <c r="A1384" s="31" t="n">
        <v>1382</v>
      </c>
      <c r="B1384" s="31">
        <f>CHAIN_RAW!D1382</f>
        <v/>
      </c>
      <c r="C1384" s="31">
        <f>CHAIN_RAW!A1382</f>
        <v/>
      </c>
      <c r="D1384" s="31">
        <f>CHAIN_RAW!C1382</f>
        <v/>
      </c>
      <c r="E1384" s="31">
        <f>CHAIN_RAW!E1382</f>
        <v/>
      </c>
      <c r="F1384" s="31">
        <f>CHAIN_RAW!F1382</f>
        <v/>
      </c>
      <c r="G1384" s="31">
        <f>CHAIN_RAW!I1382</f>
        <v/>
      </c>
      <c r="H1384" s="31">
        <f>CHAIN_RAW!Q1382</f>
        <v/>
      </c>
      <c r="I1384" s="31">
        <f>LET(pc,F1384,oc,H1384,IF(OR(pc="",oc=""),"",IF(AND(pc&gt;0,oc&gt;0),"Long Buildup",IF(AND(pc&lt;0,oc&gt;0),"Short Buildup",IF(AND(pc&gt;0,oc&lt;0),"Short Covering",IF(AND(pc&lt;0,oc&lt;0),"Long Unwinding","Flat"))))))</f>
        <v/>
      </c>
      <c r="J1384" s="31">
        <f>LET(pc,ABS(F1384),oc,ABS(H1384),IF(OR(pc="",oc=""),"",MAX(1,MIN(5,ROUND((pc*0.5+oc*0.00001)*5,0))))))</f>
        <v/>
      </c>
    </row>
    <row r="1385">
      <c r="A1385" s="31" t="n">
        <v>1383</v>
      </c>
      <c r="B1385" s="31">
        <f>CHAIN_RAW!D1383</f>
        <v/>
      </c>
      <c r="C1385" s="31">
        <f>CHAIN_RAW!A1383</f>
        <v/>
      </c>
      <c r="D1385" s="31">
        <f>CHAIN_RAW!C1383</f>
        <v/>
      </c>
      <c r="E1385" s="31">
        <f>CHAIN_RAW!E1383</f>
        <v/>
      </c>
      <c r="F1385" s="31">
        <f>CHAIN_RAW!F1383</f>
        <v/>
      </c>
      <c r="G1385" s="31">
        <f>CHAIN_RAW!I1383</f>
        <v/>
      </c>
      <c r="H1385" s="31">
        <f>CHAIN_RAW!Q1383</f>
        <v/>
      </c>
      <c r="I1385" s="31">
        <f>LET(pc,F1385,oc,H1385,IF(OR(pc="",oc=""),"",IF(AND(pc&gt;0,oc&gt;0),"Long Buildup",IF(AND(pc&lt;0,oc&gt;0),"Short Buildup",IF(AND(pc&gt;0,oc&lt;0),"Short Covering",IF(AND(pc&lt;0,oc&lt;0),"Long Unwinding","Flat"))))))</f>
        <v/>
      </c>
      <c r="J1385" s="31">
        <f>LET(pc,ABS(F1385),oc,ABS(H1385),IF(OR(pc="",oc=""),"",MAX(1,MIN(5,ROUND((pc*0.5+oc*0.00001)*5,0))))))</f>
        <v/>
      </c>
    </row>
    <row r="1386">
      <c r="A1386" s="31" t="n">
        <v>1384</v>
      </c>
      <c r="B1386" s="31">
        <f>CHAIN_RAW!D1384</f>
        <v/>
      </c>
      <c r="C1386" s="31">
        <f>CHAIN_RAW!A1384</f>
        <v/>
      </c>
      <c r="D1386" s="31">
        <f>CHAIN_RAW!C1384</f>
        <v/>
      </c>
      <c r="E1386" s="31">
        <f>CHAIN_RAW!E1384</f>
        <v/>
      </c>
      <c r="F1386" s="31">
        <f>CHAIN_RAW!F1384</f>
        <v/>
      </c>
      <c r="G1386" s="31">
        <f>CHAIN_RAW!I1384</f>
        <v/>
      </c>
      <c r="H1386" s="31">
        <f>CHAIN_RAW!Q1384</f>
        <v/>
      </c>
      <c r="I1386" s="31">
        <f>LET(pc,F1386,oc,H1386,IF(OR(pc="",oc=""),"",IF(AND(pc&gt;0,oc&gt;0),"Long Buildup",IF(AND(pc&lt;0,oc&gt;0),"Short Buildup",IF(AND(pc&gt;0,oc&lt;0),"Short Covering",IF(AND(pc&lt;0,oc&lt;0),"Long Unwinding","Flat"))))))</f>
        <v/>
      </c>
      <c r="J1386" s="31">
        <f>LET(pc,ABS(F1386),oc,ABS(H1386),IF(OR(pc="",oc=""),"",MAX(1,MIN(5,ROUND((pc*0.5+oc*0.00001)*5,0))))))</f>
        <v/>
      </c>
    </row>
    <row r="1387">
      <c r="A1387" s="31" t="n">
        <v>1385</v>
      </c>
      <c r="B1387" s="31">
        <f>CHAIN_RAW!D1385</f>
        <v/>
      </c>
      <c r="C1387" s="31">
        <f>CHAIN_RAW!A1385</f>
        <v/>
      </c>
      <c r="D1387" s="31">
        <f>CHAIN_RAW!C1385</f>
        <v/>
      </c>
      <c r="E1387" s="31">
        <f>CHAIN_RAW!E1385</f>
        <v/>
      </c>
      <c r="F1387" s="31">
        <f>CHAIN_RAW!F1385</f>
        <v/>
      </c>
      <c r="G1387" s="31">
        <f>CHAIN_RAW!I1385</f>
        <v/>
      </c>
      <c r="H1387" s="31">
        <f>CHAIN_RAW!Q1385</f>
        <v/>
      </c>
      <c r="I1387" s="31">
        <f>LET(pc,F1387,oc,H1387,IF(OR(pc="",oc=""),"",IF(AND(pc&gt;0,oc&gt;0),"Long Buildup",IF(AND(pc&lt;0,oc&gt;0),"Short Buildup",IF(AND(pc&gt;0,oc&lt;0),"Short Covering",IF(AND(pc&lt;0,oc&lt;0),"Long Unwinding","Flat"))))))</f>
        <v/>
      </c>
      <c r="J1387" s="31">
        <f>LET(pc,ABS(F1387),oc,ABS(H1387),IF(OR(pc="",oc=""),"",MAX(1,MIN(5,ROUND((pc*0.5+oc*0.00001)*5,0))))))</f>
        <v/>
      </c>
    </row>
    <row r="1388">
      <c r="A1388" s="31" t="n">
        <v>1386</v>
      </c>
      <c r="B1388" s="31">
        <f>CHAIN_RAW!D1386</f>
        <v/>
      </c>
      <c r="C1388" s="31">
        <f>CHAIN_RAW!A1386</f>
        <v/>
      </c>
      <c r="D1388" s="31">
        <f>CHAIN_RAW!C1386</f>
        <v/>
      </c>
      <c r="E1388" s="31">
        <f>CHAIN_RAW!E1386</f>
        <v/>
      </c>
      <c r="F1388" s="31">
        <f>CHAIN_RAW!F1386</f>
        <v/>
      </c>
      <c r="G1388" s="31">
        <f>CHAIN_RAW!I1386</f>
        <v/>
      </c>
      <c r="H1388" s="31">
        <f>CHAIN_RAW!Q1386</f>
        <v/>
      </c>
      <c r="I1388" s="31">
        <f>LET(pc,F1388,oc,H1388,IF(OR(pc="",oc=""),"",IF(AND(pc&gt;0,oc&gt;0),"Long Buildup",IF(AND(pc&lt;0,oc&gt;0),"Short Buildup",IF(AND(pc&gt;0,oc&lt;0),"Short Covering",IF(AND(pc&lt;0,oc&lt;0),"Long Unwinding","Flat"))))))</f>
        <v/>
      </c>
      <c r="J1388" s="31">
        <f>LET(pc,ABS(F1388),oc,ABS(H1388),IF(OR(pc="",oc=""),"",MAX(1,MIN(5,ROUND((pc*0.5+oc*0.00001)*5,0))))))</f>
        <v/>
      </c>
    </row>
    <row r="1389">
      <c r="A1389" s="31" t="n">
        <v>1387</v>
      </c>
      <c r="B1389" s="31">
        <f>CHAIN_RAW!D1387</f>
        <v/>
      </c>
      <c r="C1389" s="31">
        <f>CHAIN_RAW!A1387</f>
        <v/>
      </c>
      <c r="D1389" s="31">
        <f>CHAIN_RAW!C1387</f>
        <v/>
      </c>
      <c r="E1389" s="31">
        <f>CHAIN_RAW!E1387</f>
        <v/>
      </c>
      <c r="F1389" s="31">
        <f>CHAIN_RAW!F1387</f>
        <v/>
      </c>
      <c r="G1389" s="31">
        <f>CHAIN_RAW!I1387</f>
        <v/>
      </c>
      <c r="H1389" s="31">
        <f>CHAIN_RAW!Q1387</f>
        <v/>
      </c>
      <c r="I1389" s="31">
        <f>LET(pc,F1389,oc,H1389,IF(OR(pc="",oc=""),"",IF(AND(pc&gt;0,oc&gt;0),"Long Buildup",IF(AND(pc&lt;0,oc&gt;0),"Short Buildup",IF(AND(pc&gt;0,oc&lt;0),"Short Covering",IF(AND(pc&lt;0,oc&lt;0),"Long Unwinding","Flat"))))))</f>
        <v/>
      </c>
      <c r="J1389" s="31">
        <f>LET(pc,ABS(F1389),oc,ABS(H1389),IF(OR(pc="",oc=""),"",MAX(1,MIN(5,ROUND((pc*0.5+oc*0.00001)*5,0))))))</f>
        <v/>
      </c>
    </row>
    <row r="1390">
      <c r="A1390" s="31" t="n">
        <v>1388</v>
      </c>
      <c r="B1390" s="31">
        <f>CHAIN_RAW!D1388</f>
        <v/>
      </c>
      <c r="C1390" s="31">
        <f>CHAIN_RAW!A1388</f>
        <v/>
      </c>
      <c r="D1390" s="31">
        <f>CHAIN_RAW!C1388</f>
        <v/>
      </c>
      <c r="E1390" s="31">
        <f>CHAIN_RAW!E1388</f>
        <v/>
      </c>
      <c r="F1390" s="31">
        <f>CHAIN_RAW!F1388</f>
        <v/>
      </c>
      <c r="G1390" s="31">
        <f>CHAIN_RAW!I1388</f>
        <v/>
      </c>
      <c r="H1390" s="31">
        <f>CHAIN_RAW!Q1388</f>
        <v/>
      </c>
      <c r="I1390" s="31">
        <f>LET(pc,F1390,oc,H1390,IF(OR(pc="",oc=""),"",IF(AND(pc&gt;0,oc&gt;0),"Long Buildup",IF(AND(pc&lt;0,oc&gt;0),"Short Buildup",IF(AND(pc&gt;0,oc&lt;0),"Short Covering",IF(AND(pc&lt;0,oc&lt;0),"Long Unwinding","Flat"))))))</f>
        <v/>
      </c>
      <c r="J1390" s="31">
        <f>LET(pc,ABS(F1390),oc,ABS(H1390),IF(OR(pc="",oc=""),"",MAX(1,MIN(5,ROUND((pc*0.5+oc*0.00001)*5,0))))))</f>
        <v/>
      </c>
    </row>
    <row r="1391">
      <c r="A1391" s="31" t="n">
        <v>1389</v>
      </c>
      <c r="B1391" s="31">
        <f>CHAIN_RAW!D1389</f>
        <v/>
      </c>
      <c r="C1391" s="31">
        <f>CHAIN_RAW!A1389</f>
        <v/>
      </c>
      <c r="D1391" s="31">
        <f>CHAIN_RAW!C1389</f>
        <v/>
      </c>
      <c r="E1391" s="31">
        <f>CHAIN_RAW!E1389</f>
        <v/>
      </c>
      <c r="F1391" s="31">
        <f>CHAIN_RAW!F1389</f>
        <v/>
      </c>
      <c r="G1391" s="31">
        <f>CHAIN_RAW!I1389</f>
        <v/>
      </c>
      <c r="H1391" s="31">
        <f>CHAIN_RAW!Q1389</f>
        <v/>
      </c>
      <c r="I1391" s="31">
        <f>LET(pc,F1391,oc,H1391,IF(OR(pc="",oc=""),"",IF(AND(pc&gt;0,oc&gt;0),"Long Buildup",IF(AND(pc&lt;0,oc&gt;0),"Short Buildup",IF(AND(pc&gt;0,oc&lt;0),"Short Covering",IF(AND(pc&lt;0,oc&lt;0),"Long Unwinding","Flat"))))))</f>
        <v/>
      </c>
      <c r="J1391" s="31">
        <f>LET(pc,ABS(F1391),oc,ABS(H1391),IF(OR(pc="",oc=""),"",MAX(1,MIN(5,ROUND((pc*0.5+oc*0.00001)*5,0))))))</f>
        <v/>
      </c>
    </row>
    <row r="1392">
      <c r="A1392" s="31" t="n">
        <v>1390</v>
      </c>
      <c r="B1392" s="31">
        <f>CHAIN_RAW!D1390</f>
        <v/>
      </c>
      <c r="C1392" s="31">
        <f>CHAIN_RAW!A1390</f>
        <v/>
      </c>
      <c r="D1392" s="31">
        <f>CHAIN_RAW!C1390</f>
        <v/>
      </c>
      <c r="E1392" s="31">
        <f>CHAIN_RAW!E1390</f>
        <v/>
      </c>
      <c r="F1392" s="31">
        <f>CHAIN_RAW!F1390</f>
        <v/>
      </c>
      <c r="G1392" s="31">
        <f>CHAIN_RAW!I1390</f>
        <v/>
      </c>
      <c r="H1392" s="31">
        <f>CHAIN_RAW!Q1390</f>
        <v/>
      </c>
      <c r="I1392" s="31">
        <f>LET(pc,F1392,oc,H1392,IF(OR(pc="",oc=""),"",IF(AND(pc&gt;0,oc&gt;0),"Long Buildup",IF(AND(pc&lt;0,oc&gt;0),"Short Buildup",IF(AND(pc&gt;0,oc&lt;0),"Short Covering",IF(AND(pc&lt;0,oc&lt;0),"Long Unwinding","Flat"))))))</f>
        <v/>
      </c>
      <c r="J1392" s="31">
        <f>LET(pc,ABS(F1392),oc,ABS(H1392),IF(OR(pc="",oc=""),"",MAX(1,MIN(5,ROUND((pc*0.5+oc*0.00001)*5,0))))))</f>
        <v/>
      </c>
    </row>
    <row r="1393">
      <c r="A1393" s="31" t="n">
        <v>1391</v>
      </c>
      <c r="B1393" s="31">
        <f>CHAIN_RAW!D1391</f>
        <v/>
      </c>
      <c r="C1393" s="31">
        <f>CHAIN_RAW!A1391</f>
        <v/>
      </c>
      <c r="D1393" s="31">
        <f>CHAIN_RAW!C1391</f>
        <v/>
      </c>
      <c r="E1393" s="31">
        <f>CHAIN_RAW!E1391</f>
        <v/>
      </c>
      <c r="F1393" s="31">
        <f>CHAIN_RAW!F1391</f>
        <v/>
      </c>
      <c r="G1393" s="31">
        <f>CHAIN_RAW!I1391</f>
        <v/>
      </c>
      <c r="H1393" s="31">
        <f>CHAIN_RAW!Q1391</f>
        <v/>
      </c>
      <c r="I1393" s="31">
        <f>LET(pc,F1393,oc,H1393,IF(OR(pc="",oc=""),"",IF(AND(pc&gt;0,oc&gt;0),"Long Buildup",IF(AND(pc&lt;0,oc&gt;0),"Short Buildup",IF(AND(pc&gt;0,oc&lt;0),"Short Covering",IF(AND(pc&lt;0,oc&lt;0),"Long Unwinding","Flat"))))))</f>
        <v/>
      </c>
      <c r="J1393" s="31">
        <f>LET(pc,ABS(F1393),oc,ABS(H1393),IF(OR(pc="",oc=""),"",MAX(1,MIN(5,ROUND((pc*0.5+oc*0.00001)*5,0))))))</f>
        <v/>
      </c>
    </row>
    <row r="1394">
      <c r="A1394" s="31" t="n">
        <v>1392</v>
      </c>
      <c r="B1394" s="31">
        <f>CHAIN_RAW!D1392</f>
        <v/>
      </c>
      <c r="C1394" s="31">
        <f>CHAIN_RAW!A1392</f>
        <v/>
      </c>
      <c r="D1394" s="31">
        <f>CHAIN_RAW!C1392</f>
        <v/>
      </c>
      <c r="E1394" s="31">
        <f>CHAIN_RAW!E1392</f>
        <v/>
      </c>
      <c r="F1394" s="31">
        <f>CHAIN_RAW!F1392</f>
        <v/>
      </c>
      <c r="G1394" s="31">
        <f>CHAIN_RAW!I1392</f>
        <v/>
      </c>
      <c r="H1394" s="31">
        <f>CHAIN_RAW!Q1392</f>
        <v/>
      </c>
      <c r="I1394" s="31">
        <f>LET(pc,F1394,oc,H1394,IF(OR(pc="",oc=""),"",IF(AND(pc&gt;0,oc&gt;0),"Long Buildup",IF(AND(pc&lt;0,oc&gt;0),"Short Buildup",IF(AND(pc&gt;0,oc&lt;0),"Short Covering",IF(AND(pc&lt;0,oc&lt;0),"Long Unwinding","Flat"))))))</f>
        <v/>
      </c>
      <c r="J1394" s="31">
        <f>LET(pc,ABS(F1394),oc,ABS(H1394),IF(OR(pc="",oc=""),"",MAX(1,MIN(5,ROUND((pc*0.5+oc*0.00001)*5,0))))))</f>
        <v/>
      </c>
    </row>
    <row r="1395">
      <c r="A1395" s="31" t="n">
        <v>1393</v>
      </c>
      <c r="B1395" s="31">
        <f>CHAIN_RAW!D1393</f>
        <v/>
      </c>
      <c r="C1395" s="31">
        <f>CHAIN_RAW!A1393</f>
        <v/>
      </c>
      <c r="D1395" s="31">
        <f>CHAIN_RAW!C1393</f>
        <v/>
      </c>
      <c r="E1395" s="31">
        <f>CHAIN_RAW!E1393</f>
        <v/>
      </c>
      <c r="F1395" s="31">
        <f>CHAIN_RAW!F1393</f>
        <v/>
      </c>
      <c r="G1395" s="31">
        <f>CHAIN_RAW!I1393</f>
        <v/>
      </c>
      <c r="H1395" s="31">
        <f>CHAIN_RAW!Q1393</f>
        <v/>
      </c>
      <c r="I1395" s="31">
        <f>LET(pc,F1395,oc,H1395,IF(OR(pc="",oc=""),"",IF(AND(pc&gt;0,oc&gt;0),"Long Buildup",IF(AND(pc&lt;0,oc&gt;0),"Short Buildup",IF(AND(pc&gt;0,oc&lt;0),"Short Covering",IF(AND(pc&lt;0,oc&lt;0),"Long Unwinding","Flat"))))))</f>
        <v/>
      </c>
      <c r="J1395" s="31">
        <f>LET(pc,ABS(F1395),oc,ABS(H1395),IF(OR(pc="",oc=""),"",MAX(1,MIN(5,ROUND((pc*0.5+oc*0.00001)*5,0))))))</f>
        <v/>
      </c>
    </row>
    <row r="1396">
      <c r="A1396" s="31" t="n">
        <v>1394</v>
      </c>
      <c r="B1396" s="31">
        <f>CHAIN_RAW!D1394</f>
        <v/>
      </c>
      <c r="C1396" s="31">
        <f>CHAIN_RAW!A1394</f>
        <v/>
      </c>
      <c r="D1396" s="31">
        <f>CHAIN_RAW!C1394</f>
        <v/>
      </c>
      <c r="E1396" s="31">
        <f>CHAIN_RAW!E1394</f>
        <v/>
      </c>
      <c r="F1396" s="31">
        <f>CHAIN_RAW!F1394</f>
        <v/>
      </c>
      <c r="G1396" s="31">
        <f>CHAIN_RAW!I1394</f>
        <v/>
      </c>
      <c r="H1396" s="31">
        <f>CHAIN_RAW!Q1394</f>
        <v/>
      </c>
      <c r="I1396" s="31">
        <f>LET(pc,F1396,oc,H1396,IF(OR(pc="",oc=""),"",IF(AND(pc&gt;0,oc&gt;0),"Long Buildup",IF(AND(pc&lt;0,oc&gt;0),"Short Buildup",IF(AND(pc&gt;0,oc&lt;0),"Short Covering",IF(AND(pc&lt;0,oc&lt;0),"Long Unwinding","Flat"))))))</f>
        <v/>
      </c>
      <c r="J1396" s="31">
        <f>LET(pc,ABS(F1396),oc,ABS(H1396),IF(OR(pc="",oc=""),"",MAX(1,MIN(5,ROUND((pc*0.5+oc*0.00001)*5,0))))))</f>
        <v/>
      </c>
    </row>
    <row r="1397">
      <c r="A1397" s="31" t="n">
        <v>1395</v>
      </c>
      <c r="B1397" s="31">
        <f>CHAIN_RAW!D1395</f>
        <v/>
      </c>
      <c r="C1397" s="31">
        <f>CHAIN_RAW!A1395</f>
        <v/>
      </c>
      <c r="D1397" s="31">
        <f>CHAIN_RAW!C1395</f>
        <v/>
      </c>
      <c r="E1397" s="31">
        <f>CHAIN_RAW!E1395</f>
        <v/>
      </c>
      <c r="F1397" s="31">
        <f>CHAIN_RAW!F1395</f>
        <v/>
      </c>
      <c r="G1397" s="31">
        <f>CHAIN_RAW!I1395</f>
        <v/>
      </c>
      <c r="H1397" s="31">
        <f>CHAIN_RAW!Q1395</f>
        <v/>
      </c>
      <c r="I1397" s="31">
        <f>LET(pc,F1397,oc,H1397,IF(OR(pc="",oc=""),"",IF(AND(pc&gt;0,oc&gt;0),"Long Buildup",IF(AND(pc&lt;0,oc&gt;0),"Short Buildup",IF(AND(pc&gt;0,oc&lt;0),"Short Covering",IF(AND(pc&lt;0,oc&lt;0),"Long Unwinding","Flat"))))))</f>
        <v/>
      </c>
      <c r="J1397" s="31">
        <f>LET(pc,ABS(F1397),oc,ABS(H1397),IF(OR(pc="",oc=""),"",MAX(1,MIN(5,ROUND((pc*0.5+oc*0.00001)*5,0))))))</f>
        <v/>
      </c>
    </row>
    <row r="1398">
      <c r="A1398" s="31" t="n">
        <v>1396</v>
      </c>
      <c r="B1398" s="31">
        <f>CHAIN_RAW!D1396</f>
        <v/>
      </c>
      <c r="C1398" s="31">
        <f>CHAIN_RAW!A1396</f>
        <v/>
      </c>
      <c r="D1398" s="31">
        <f>CHAIN_RAW!C1396</f>
        <v/>
      </c>
      <c r="E1398" s="31">
        <f>CHAIN_RAW!E1396</f>
        <v/>
      </c>
      <c r="F1398" s="31">
        <f>CHAIN_RAW!F1396</f>
        <v/>
      </c>
      <c r="G1398" s="31">
        <f>CHAIN_RAW!I1396</f>
        <v/>
      </c>
      <c r="H1398" s="31">
        <f>CHAIN_RAW!Q1396</f>
        <v/>
      </c>
      <c r="I1398" s="31">
        <f>LET(pc,F1398,oc,H1398,IF(OR(pc="",oc=""),"",IF(AND(pc&gt;0,oc&gt;0),"Long Buildup",IF(AND(pc&lt;0,oc&gt;0),"Short Buildup",IF(AND(pc&gt;0,oc&lt;0),"Short Covering",IF(AND(pc&lt;0,oc&lt;0),"Long Unwinding","Flat"))))))</f>
        <v/>
      </c>
      <c r="J1398" s="31">
        <f>LET(pc,ABS(F1398),oc,ABS(H1398),IF(OR(pc="",oc=""),"",MAX(1,MIN(5,ROUND((pc*0.5+oc*0.00001)*5,0))))))</f>
        <v/>
      </c>
    </row>
    <row r="1399">
      <c r="A1399" s="31" t="n">
        <v>1397</v>
      </c>
      <c r="B1399" s="31">
        <f>CHAIN_RAW!D1397</f>
        <v/>
      </c>
      <c r="C1399" s="31">
        <f>CHAIN_RAW!A1397</f>
        <v/>
      </c>
      <c r="D1399" s="31">
        <f>CHAIN_RAW!C1397</f>
        <v/>
      </c>
      <c r="E1399" s="31">
        <f>CHAIN_RAW!E1397</f>
        <v/>
      </c>
      <c r="F1399" s="31">
        <f>CHAIN_RAW!F1397</f>
        <v/>
      </c>
      <c r="G1399" s="31">
        <f>CHAIN_RAW!I1397</f>
        <v/>
      </c>
      <c r="H1399" s="31">
        <f>CHAIN_RAW!Q1397</f>
        <v/>
      </c>
      <c r="I1399" s="31">
        <f>LET(pc,F1399,oc,H1399,IF(OR(pc="",oc=""),"",IF(AND(pc&gt;0,oc&gt;0),"Long Buildup",IF(AND(pc&lt;0,oc&gt;0),"Short Buildup",IF(AND(pc&gt;0,oc&lt;0),"Short Covering",IF(AND(pc&lt;0,oc&lt;0),"Long Unwinding","Flat"))))))</f>
        <v/>
      </c>
      <c r="J1399" s="31">
        <f>LET(pc,ABS(F1399),oc,ABS(H1399),IF(OR(pc="",oc=""),"",MAX(1,MIN(5,ROUND((pc*0.5+oc*0.00001)*5,0))))))</f>
        <v/>
      </c>
    </row>
    <row r="1400">
      <c r="A1400" s="31" t="n">
        <v>1398</v>
      </c>
      <c r="B1400" s="31">
        <f>CHAIN_RAW!D1398</f>
        <v/>
      </c>
      <c r="C1400" s="31">
        <f>CHAIN_RAW!A1398</f>
        <v/>
      </c>
      <c r="D1400" s="31">
        <f>CHAIN_RAW!C1398</f>
        <v/>
      </c>
      <c r="E1400" s="31">
        <f>CHAIN_RAW!E1398</f>
        <v/>
      </c>
      <c r="F1400" s="31">
        <f>CHAIN_RAW!F1398</f>
        <v/>
      </c>
      <c r="G1400" s="31">
        <f>CHAIN_RAW!I1398</f>
        <v/>
      </c>
      <c r="H1400" s="31">
        <f>CHAIN_RAW!Q1398</f>
        <v/>
      </c>
      <c r="I1400" s="31">
        <f>LET(pc,F1400,oc,H1400,IF(OR(pc="",oc=""),"",IF(AND(pc&gt;0,oc&gt;0),"Long Buildup",IF(AND(pc&lt;0,oc&gt;0),"Short Buildup",IF(AND(pc&gt;0,oc&lt;0),"Short Covering",IF(AND(pc&lt;0,oc&lt;0),"Long Unwinding","Flat"))))))</f>
        <v/>
      </c>
      <c r="J1400" s="31">
        <f>LET(pc,ABS(F1400),oc,ABS(H1400),IF(OR(pc="",oc=""),"",MAX(1,MIN(5,ROUND((pc*0.5+oc*0.00001)*5,0))))))</f>
        <v/>
      </c>
    </row>
    <row r="1401">
      <c r="A1401" s="31" t="n">
        <v>1399</v>
      </c>
      <c r="B1401" s="31">
        <f>CHAIN_RAW!D1399</f>
        <v/>
      </c>
      <c r="C1401" s="31">
        <f>CHAIN_RAW!A1399</f>
        <v/>
      </c>
      <c r="D1401" s="31">
        <f>CHAIN_RAW!C1399</f>
        <v/>
      </c>
      <c r="E1401" s="31">
        <f>CHAIN_RAW!E1399</f>
        <v/>
      </c>
      <c r="F1401" s="31">
        <f>CHAIN_RAW!F1399</f>
        <v/>
      </c>
      <c r="G1401" s="31">
        <f>CHAIN_RAW!I1399</f>
        <v/>
      </c>
      <c r="H1401" s="31">
        <f>CHAIN_RAW!Q1399</f>
        <v/>
      </c>
      <c r="I1401" s="31">
        <f>LET(pc,F1401,oc,H1401,IF(OR(pc="",oc=""),"",IF(AND(pc&gt;0,oc&gt;0),"Long Buildup",IF(AND(pc&lt;0,oc&gt;0),"Short Buildup",IF(AND(pc&gt;0,oc&lt;0),"Short Covering",IF(AND(pc&lt;0,oc&lt;0),"Long Unwinding","Flat"))))))</f>
        <v/>
      </c>
      <c r="J1401" s="31">
        <f>LET(pc,ABS(F1401),oc,ABS(H1401),IF(OR(pc="",oc=""),"",MAX(1,MIN(5,ROUND((pc*0.5+oc*0.00001)*5,0))))))</f>
        <v/>
      </c>
    </row>
    <row r="1402">
      <c r="A1402" s="31" t="n">
        <v>1400</v>
      </c>
      <c r="B1402" s="31">
        <f>CHAIN_RAW!D1400</f>
        <v/>
      </c>
      <c r="C1402" s="31">
        <f>CHAIN_RAW!A1400</f>
        <v/>
      </c>
      <c r="D1402" s="31">
        <f>CHAIN_RAW!C1400</f>
        <v/>
      </c>
      <c r="E1402" s="31">
        <f>CHAIN_RAW!E1400</f>
        <v/>
      </c>
      <c r="F1402" s="31">
        <f>CHAIN_RAW!F1400</f>
        <v/>
      </c>
      <c r="G1402" s="31">
        <f>CHAIN_RAW!I1400</f>
        <v/>
      </c>
      <c r="H1402" s="31">
        <f>CHAIN_RAW!Q1400</f>
        <v/>
      </c>
      <c r="I1402" s="31">
        <f>LET(pc,F1402,oc,H1402,IF(OR(pc="",oc=""),"",IF(AND(pc&gt;0,oc&gt;0),"Long Buildup",IF(AND(pc&lt;0,oc&gt;0),"Short Buildup",IF(AND(pc&gt;0,oc&lt;0),"Short Covering",IF(AND(pc&lt;0,oc&lt;0),"Long Unwinding","Flat"))))))</f>
        <v/>
      </c>
      <c r="J1402" s="31">
        <f>LET(pc,ABS(F1402),oc,ABS(H1402),IF(OR(pc="",oc=""),"",MAX(1,MIN(5,ROUND((pc*0.5+oc*0.00001)*5,0))))))</f>
        <v/>
      </c>
    </row>
    <row r="1403">
      <c r="A1403" s="31" t="n">
        <v>1401</v>
      </c>
      <c r="B1403" s="31">
        <f>CHAIN_RAW!D1401</f>
        <v/>
      </c>
      <c r="C1403" s="31">
        <f>CHAIN_RAW!A1401</f>
        <v/>
      </c>
      <c r="D1403" s="31">
        <f>CHAIN_RAW!C1401</f>
        <v/>
      </c>
      <c r="E1403" s="31">
        <f>CHAIN_RAW!E1401</f>
        <v/>
      </c>
      <c r="F1403" s="31">
        <f>CHAIN_RAW!F1401</f>
        <v/>
      </c>
      <c r="G1403" s="31">
        <f>CHAIN_RAW!I1401</f>
        <v/>
      </c>
      <c r="H1403" s="31">
        <f>CHAIN_RAW!Q1401</f>
        <v/>
      </c>
      <c r="I1403" s="31">
        <f>LET(pc,F1403,oc,H1403,IF(OR(pc="",oc=""),"",IF(AND(pc&gt;0,oc&gt;0),"Long Buildup",IF(AND(pc&lt;0,oc&gt;0),"Short Buildup",IF(AND(pc&gt;0,oc&lt;0),"Short Covering",IF(AND(pc&lt;0,oc&lt;0),"Long Unwinding","Flat"))))))</f>
        <v/>
      </c>
      <c r="J1403" s="31">
        <f>LET(pc,ABS(F1403),oc,ABS(H1403),IF(OR(pc="",oc=""),"",MAX(1,MIN(5,ROUND((pc*0.5+oc*0.00001)*5,0))))))</f>
        <v/>
      </c>
    </row>
    <row r="1404">
      <c r="A1404" s="31" t="n">
        <v>1402</v>
      </c>
      <c r="B1404" s="31">
        <f>CHAIN_RAW!D1402</f>
        <v/>
      </c>
      <c r="C1404" s="31">
        <f>CHAIN_RAW!A1402</f>
        <v/>
      </c>
      <c r="D1404" s="31">
        <f>CHAIN_RAW!C1402</f>
        <v/>
      </c>
      <c r="E1404" s="31">
        <f>CHAIN_RAW!E1402</f>
        <v/>
      </c>
      <c r="F1404" s="31">
        <f>CHAIN_RAW!F1402</f>
        <v/>
      </c>
      <c r="G1404" s="31">
        <f>CHAIN_RAW!I1402</f>
        <v/>
      </c>
      <c r="H1404" s="31">
        <f>CHAIN_RAW!Q1402</f>
        <v/>
      </c>
      <c r="I1404" s="31">
        <f>LET(pc,F1404,oc,H1404,IF(OR(pc="",oc=""),"",IF(AND(pc&gt;0,oc&gt;0),"Long Buildup",IF(AND(pc&lt;0,oc&gt;0),"Short Buildup",IF(AND(pc&gt;0,oc&lt;0),"Short Covering",IF(AND(pc&lt;0,oc&lt;0),"Long Unwinding","Flat"))))))</f>
        <v/>
      </c>
      <c r="J1404" s="31">
        <f>LET(pc,ABS(F1404),oc,ABS(H1404),IF(OR(pc="",oc=""),"",MAX(1,MIN(5,ROUND((pc*0.5+oc*0.00001)*5,0))))))</f>
        <v/>
      </c>
    </row>
    <row r="1405">
      <c r="A1405" s="31" t="n">
        <v>1403</v>
      </c>
      <c r="B1405" s="31">
        <f>CHAIN_RAW!D1403</f>
        <v/>
      </c>
      <c r="C1405" s="31">
        <f>CHAIN_RAW!A1403</f>
        <v/>
      </c>
      <c r="D1405" s="31">
        <f>CHAIN_RAW!C1403</f>
        <v/>
      </c>
      <c r="E1405" s="31">
        <f>CHAIN_RAW!E1403</f>
        <v/>
      </c>
      <c r="F1405" s="31">
        <f>CHAIN_RAW!F1403</f>
        <v/>
      </c>
      <c r="G1405" s="31">
        <f>CHAIN_RAW!I1403</f>
        <v/>
      </c>
      <c r="H1405" s="31">
        <f>CHAIN_RAW!Q1403</f>
        <v/>
      </c>
      <c r="I1405" s="31">
        <f>LET(pc,F1405,oc,H1405,IF(OR(pc="",oc=""),"",IF(AND(pc&gt;0,oc&gt;0),"Long Buildup",IF(AND(pc&lt;0,oc&gt;0),"Short Buildup",IF(AND(pc&gt;0,oc&lt;0),"Short Covering",IF(AND(pc&lt;0,oc&lt;0),"Long Unwinding","Flat"))))))</f>
        <v/>
      </c>
      <c r="J1405" s="31">
        <f>LET(pc,ABS(F1405),oc,ABS(H1405),IF(OR(pc="",oc=""),"",MAX(1,MIN(5,ROUND((pc*0.5+oc*0.00001)*5,0))))))</f>
        <v/>
      </c>
    </row>
    <row r="1406">
      <c r="A1406" s="31" t="n">
        <v>1404</v>
      </c>
      <c r="B1406" s="31">
        <f>CHAIN_RAW!D1404</f>
        <v/>
      </c>
      <c r="C1406" s="31">
        <f>CHAIN_RAW!A1404</f>
        <v/>
      </c>
      <c r="D1406" s="31">
        <f>CHAIN_RAW!C1404</f>
        <v/>
      </c>
      <c r="E1406" s="31">
        <f>CHAIN_RAW!E1404</f>
        <v/>
      </c>
      <c r="F1406" s="31">
        <f>CHAIN_RAW!F1404</f>
        <v/>
      </c>
      <c r="G1406" s="31">
        <f>CHAIN_RAW!I1404</f>
        <v/>
      </c>
      <c r="H1406" s="31">
        <f>CHAIN_RAW!Q1404</f>
        <v/>
      </c>
      <c r="I1406" s="31">
        <f>LET(pc,F1406,oc,H1406,IF(OR(pc="",oc=""),"",IF(AND(pc&gt;0,oc&gt;0),"Long Buildup",IF(AND(pc&lt;0,oc&gt;0),"Short Buildup",IF(AND(pc&gt;0,oc&lt;0),"Short Covering",IF(AND(pc&lt;0,oc&lt;0),"Long Unwinding","Flat"))))))</f>
        <v/>
      </c>
      <c r="J1406" s="31">
        <f>LET(pc,ABS(F1406),oc,ABS(H1406),IF(OR(pc="",oc=""),"",MAX(1,MIN(5,ROUND((pc*0.5+oc*0.00001)*5,0))))))</f>
        <v/>
      </c>
    </row>
    <row r="1407">
      <c r="A1407" s="31" t="n">
        <v>1405</v>
      </c>
      <c r="B1407" s="31">
        <f>CHAIN_RAW!D1405</f>
        <v/>
      </c>
      <c r="C1407" s="31">
        <f>CHAIN_RAW!A1405</f>
        <v/>
      </c>
      <c r="D1407" s="31">
        <f>CHAIN_RAW!C1405</f>
        <v/>
      </c>
      <c r="E1407" s="31">
        <f>CHAIN_RAW!E1405</f>
        <v/>
      </c>
      <c r="F1407" s="31">
        <f>CHAIN_RAW!F1405</f>
        <v/>
      </c>
      <c r="G1407" s="31">
        <f>CHAIN_RAW!I1405</f>
        <v/>
      </c>
      <c r="H1407" s="31">
        <f>CHAIN_RAW!Q1405</f>
        <v/>
      </c>
      <c r="I1407" s="31">
        <f>LET(pc,F1407,oc,H1407,IF(OR(pc="",oc=""),"",IF(AND(pc&gt;0,oc&gt;0),"Long Buildup",IF(AND(pc&lt;0,oc&gt;0),"Short Buildup",IF(AND(pc&gt;0,oc&lt;0),"Short Covering",IF(AND(pc&lt;0,oc&lt;0),"Long Unwinding","Flat"))))))</f>
        <v/>
      </c>
      <c r="J1407" s="31">
        <f>LET(pc,ABS(F1407),oc,ABS(H1407),IF(OR(pc="",oc=""),"",MAX(1,MIN(5,ROUND((pc*0.5+oc*0.00001)*5,0))))))</f>
        <v/>
      </c>
    </row>
    <row r="1408">
      <c r="A1408" s="31" t="n">
        <v>1406</v>
      </c>
      <c r="B1408" s="31">
        <f>CHAIN_RAW!D1406</f>
        <v/>
      </c>
      <c r="C1408" s="31">
        <f>CHAIN_RAW!A1406</f>
        <v/>
      </c>
      <c r="D1408" s="31">
        <f>CHAIN_RAW!C1406</f>
        <v/>
      </c>
      <c r="E1408" s="31">
        <f>CHAIN_RAW!E1406</f>
        <v/>
      </c>
      <c r="F1408" s="31">
        <f>CHAIN_RAW!F1406</f>
        <v/>
      </c>
      <c r="G1408" s="31">
        <f>CHAIN_RAW!I1406</f>
        <v/>
      </c>
      <c r="H1408" s="31">
        <f>CHAIN_RAW!Q1406</f>
        <v/>
      </c>
      <c r="I1408" s="31">
        <f>LET(pc,F1408,oc,H1408,IF(OR(pc="",oc=""),"",IF(AND(pc&gt;0,oc&gt;0),"Long Buildup",IF(AND(pc&lt;0,oc&gt;0),"Short Buildup",IF(AND(pc&gt;0,oc&lt;0),"Short Covering",IF(AND(pc&lt;0,oc&lt;0),"Long Unwinding","Flat"))))))</f>
        <v/>
      </c>
      <c r="J1408" s="31">
        <f>LET(pc,ABS(F1408),oc,ABS(H1408),IF(OR(pc="",oc=""),"",MAX(1,MIN(5,ROUND((pc*0.5+oc*0.00001)*5,0))))))</f>
        <v/>
      </c>
    </row>
    <row r="1409">
      <c r="A1409" s="31" t="n">
        <v>1407</v>
      </c>
      <c r="B1409" s="31">
        <f>CHAIN_RAW!D1407</f>
        <v/>
      </c>
      <c r="C1409" s="31">
        <f>CHAIN_RAW!A1407</f>
        <v/>
      </c>
      <c r="D1409" s="31">
        <f>CHAIN_RAW!C1407</f>
        <v/>
      </c>
      <c r="E1409" s="31">
        <f>CHAIN_RAW!E1407</f>
        <v/>
      </c>
      <c r="F1409" s="31">
        <f>CHAIN_RAW!F1407</f>
        <v/>
      </c>
      <c r="G1409" s="31">
        <f>CHAIN_RAW!I1407</f>
        <v/>
      </c>
      <c r="H1409" s="31">
        <f>CHAIN_RAW!Q1407</f>
        <v/>
      </c>
      <c r="I1409" s="31">
        <f>LET(pc,F1409,oc,H1409,IF(OR(pc="",oc=""),"",IF(AND(pc&gt;0,oc&gt;0),"Long Buildup",IF(AND(pc&lt;0,oc&gt;0),"Short Buildup",IF(AND(pc&gt;0,oc&lt;0),"Short Covering",IF(AND(pc&lt;0,oc&lt;0),"Long Unwinding","Flat"))))))</f>
        <v/>
      </c>
      <c r="J1409" s="31">
        <f>LET(pc,ABS(F1409),oc,ABS(H1409),IF(OR(pc="",oc=""),"",MAX(1,MIN(5,ROUND((pc*0.5+oc*0.00001)*5,0))))))</f>
        <v/>
      </c>
    </row>
    <row r="1410">
      <c r="A1410" s="31" t="n">
        <v>1408</v>
      </c>
      <c r="B1410" s="31">
        <f>CHAIN_RAW!D1408</f>
        <v/>
      </c>
      <c r="C1410" s="31">
        <f>CHAIN_RAW!A1408</f>
        <v/>
      </c>
      <c r="D1410" s="31">
        <f>CHAIN_RAW!C1408</f>
        <v/>
      </c>
      <c r="E1410" s="31">
        <f>CHAIN_RAW!E1408</f>
        <v/>
      </c>
      <c r="F1410" s="31">
        <f>CHAIN_RAW!F1408</f>
        <v/>
      </c>
      <c r="G1410" s="31">
        <f>CHAIN_RAW!I1408</f>
        <v/>
      </c>
      <c r="H1410" s="31">
        <f>CHAIN_RAW!Q1408</f>
        <v/>
      </c>
      <c r="I1410" s="31">
        <f>LET(pc,F1410,oc,H1410,IF(OR(pc="",oc=""),"",IF(AND(pc&gt;0,oc&gt;0),"Long Buildup",IF(AND(pc&lt;0,oc&gt;0),"Short Buildup",IF(AND(pc&gt;0,oc&lt;0),"Short Covering",IF(AND(pc&lt;0,oc&lt;0),"Long Unwinding","Flat"))))))</f>
        <v/>
      </c>
      <c r="J1410" s="31">
        <f>LET(pc,ABS(F1410),oc,ABS(H1410),IF(OR(pc="",oc=""),"",MAX(1,MIN(5,ROUND((pc*0.5+oc*0.00001)*5,0))))))</f>
        <v/>
      </c>
    </row>
    <row r="1411">
      <c r="A1411" s="31" t="n">
        <v>1409</v>
      </c>
      <c r="B1411" s="31">
        <f>CHAIN_RAW!D1409</f>
        <v/>
      </c>
      <c r="C1411" s="31">
        <f>CHAIN_RAW!A1409</f>
        <v/>
      </c>
      <c r="D1411" s="31">
        <f>CHAIN_RAW!C1409</f>
        <v/>
      </c>
      <c r="E1411" s="31">
        <f>CHAIN_RAW!E1409</f>
        <v/>
      </c>
      <c r="F1411" s="31">
        <f>CHAIN_RAW!F1409</f>
        <v/>
      </c>
      <c r="G1411" s="31">
        <f>CHAIN_RAW!I1409</f>
        <v/>
      </c>
      <c r="H1411" s="31">
        <f>CHAIN_RAW!Q1409</f>
        <v/>
      </c>
      <c r="I1411" s="31">
        <f>LET(pc,F1411,oc,H1411,IF(OR(pc="",oc=""),"",IF(AND(pc&gt;0,oc&gt;0),"Long Buildup",IF(AND(pc&lt;0,oc&gt;0),"Short Buildup",IF(AND(pc&gt;0,oc&lt;0),"Short Covering",IF(AND(pc&lt;0,oc&lt;0),"Long Unwinding","Flat"))))))</f>
        <v/>
      </c>
      <c r="J1411" s="31">
        <f>LET(pc,ABS(F1411),oc,ABS(H1411),IF(OR(pc="",oc=""),"",MAX(1,MIN(5,ROUND((pc*0.5+oc*0.00001)*5,0))))))</f>
        <v/>
      </c>
    </row>
    <row r="1412">
      <c r="A1412" s="31" t="n">
        <v>1410</v>
      </c>
      <c r="B1412" s="31">
        <f>CHAIN_RAW!D1410</f>
        <v/>
      </c>
      <c r="C1412" s="31">
        <f>CHAIN_RAW!A1410</f>
        <v/>
      </c>
      <c r="D1412" s="31">
        <f>CHAIN_RAW!C1410</f>
        <v/>
      </c>
      <c r="E1412" s="31">
        <f>CHAIN_RAW!E1410</f>
        <v/>
      </c>
      <c r="F1412" s="31">
        <f>CHAIN_RAW!F1410</f>
        <v/>
      </c>
      <c r="G1412" s="31">
        <f>CHAIN_RAW!I1410</f>
        <v/>
      </c>
      <c r="H1412" s="31">
        <f>CHAIN_RAW!Q1410</f>
        <v/>
      </c>
      <c r="I1412" s="31">
        <f>LET(pc,F1412,oc,H1412,IF(OR(pc="",oc=""),"",IF(AND(pc&gt;0,oc&gt;0),"Long Buildup",IF(AND(pc&lt;0,oc&gt;0),"Short Buildup",IF(AND(pc&gt;0,oc&lt;0),"Short Covering",IF(AND(pc&lt;0,oc&lt;0),"Long Unwinding","Flat"))))))</f>
        <v/>
      </c>
      <c r="J1412" s="31">
        <f>LET(pc,ABS(F1412),oc,ABS(H1412),IF(OR(pc="",oc=""),"",MAX(1,MIN(5,ROUND((pc*0.5+oc*0.00001)*5,0))))))</f>
        <v/>
      </c>
    </row>
    <row r="1413">
      <c r="A1413" s="31" t="n">
        <v>1411</v>
      </c>
      <c r="B1413" s="31">
        <f>CHAIN_RAW!D1411</f>
        <v/>
      </c>
      <c r="C1413" s="31">
        <f>CHAIN_RAW!A1411</f>
        <v/>
      </c>
      <c r="D1413" s="31">
        <f>CHAIN_RAW!C1411</f>
        <v/>
      </c>
      <c r="E1413" s="31">
        <f>CHAIN_RAW!E1411</f>
        <v/>
      </c>
      <c r="F1413" s="31">
        <f>CHAIN_RAW!F1411</f>
        <v/>
      </c>
      <c r="G1413" s="31">
        <f>CHAIN_RAW!I1411</f>
        <v/>
      </c>
      <c r="H1413" s="31">
        <f>CHAIN_RAW!Q1411</f>
        <v/>
      </c>
      <c r="I1413" s="31">
        <f>LET(pc,F1413,oc,H1413,IF(OR(pc="",oc=""),"",IF(AND(pc&gt;0,oc&gt;0),"Long Buildup",IF(AND(pc&lt;0,oc&gt;0),"Short Buildup",IF(AND(pc&gt;0,oc&lt;0),"Short Covering",IF(AND(pc&lt;0,oc&lt;0),"Long Unwinding","Flat"))))))</f>
        <v/>
      </c>
      <c r="J1413" s="31">
        <f>LET(pc,ABS(F1413),oc,ABS(H1413),IF(OR(pc="",oc=""),"",MAX(1,MIN(5,ROUND((pc*0.5+oc*0.00001)*5,0))))))</f>
        <v/>
      </c>
    </row>
    <row r="1414">
      <c r="A1414" s="31" t="n">
        <v>1412</v>
      </c>
      <c r="B1414" s="31">
        <f>CHAIN_RAW!D1412</f>
        <v/>
      </c>
      <c r="C1414" s="31">
        <f>CHAIN_RAW!A1412</f>
        <v/>
      </c>
      <c r="D1414" s="31">
        <f>CHAIN_RAW!C1412</f>
        <v/>
      </c>
      <c r="E1414" s="31">
        <f>CHAIN_RAW!E1412</f>
        <v/>
      </c>
      <c r="F1414" s="31">
        <f>CHAIN_RAW!F1412</f>
        <v/>
      </c>
      <c r="G1414" s="31">
        <f>CHAIN_RAW!I1412</f>
        <v/>
      </c>
      <c r="H1414" s="31">
        <f>CHAIN_RAW!Q1412</f>
        <v/>
      </c>
      <c r="I1414" s="31">
        <f>LET(pc,F1414,oc,H1414,IF(OR(pc="",oc=""),"",IF(AND(pc&gt;0,oc&gt;0),"Long Buildup",IF(AND(pc&lt;0,oc&gt;0),"Short Buildup",IF(AND(pc&gt;0,oc&lt;0),"Short Covering",IF(AND(pc&lt;0,oc&lt;0),"Long Unwinding","Flat"))))))</f>
        <v/>
      </c>
      <c r="J1414" s="31">
        <f>LET(pc,ABS(F1414),oc,ABS(H1414),IF(OR(pc="",oc=""),"",MAX(1,MIN(5,ROUND((pc*0.5+oc*0.00001)*5,0))))))</f>
        <v/>
      </c>
    </row>
    <row r="1415">
      <c r="A1415" s="31" t="n">
        <v>1413</v>
      </c>
      <c r="B1415" s="31">
        <f>CHAIN_RAW!D1413</f>
        <v/>
      </c>
      <c r="C1415" s="31">
        <f>CHAIN_RAW!A1413</f>
        <v/>
      </c>
      <c r="D1415" s="31">
        <f>CHAIN_RAW!C1413</f>
        <v/>
      </c>
      <c r="E1415" s="31">
        <f>CHAIN_RAW!E1413</f>
        <v/>
      </c>
      <c r="F1415" s="31">
        <f>CHAIN_RAW!F1413</f>
        <v/>
      </c>
      <c r="G1415" s="31">
        <f>CHAIN_RAW!I1413</f>
        <v/>
      </c>
      <c r="H1415" s="31">
        <f>CHAIN_RAW!Q1413</f>
        <v/>
      </c>
      <c r="I1415" s="31">
        <f>LET(pc,F1415,oc,H1415,IF(OR(pc="",oc=""),"",IF(AND(pc&gt;0,oc&gt;0),"Long Buildup",IF(AND(pc&lt;0,oc&gt;0),"Short Buildup",IF(AND(pc&gt;0,oc&lt;0),"Short Covering",IF(AND(pc&lt;0,oc&lt;0),"Long Unwinding","Flat"))))))</f>
        <v/>
      </c>
      <c r="J1415" s="31">
        <f>LET(pc,ABS(F1415),oc,ABS(H1415),IF(OR(pc="",oc=""),"",MAX(1,MIN(5,ROUND((pc*0.5+oc*0.00001)*5,0))))))</f>
        <v/>
      </c>
    </row>
    <row r="1416">
      <c r="A1416" s="31" t="n">
        <v>1414</v>
      </c>
      <c r="B1416" s="31">
        <f>CHAIN_RAW!D1414</f>
        <v/>
      </c>
      <c r="C1416" s="31">
        <f>CHAIN_RAW!A1414</f>
        <v/>
      </c>
      <c r="D1416" s="31">
        <f>CHAIN_RAW!C1414</f>
        <v/>
      </c>
      <c r="E1416" s="31">
        <f>CHAIN_RAW!E1414</f>
        <v/>
      </c>
      <c r="F1416" s="31">
        <f>CHAIN_RAW!F1414</f>
        <v/>
      </c>
      <c r="G1416" s="31">
        <f>CHAIN_RAW!I1414</f>
        <v/>
      </c>
      <c r="H1416" s="31">
        <f>CHAIN_RAW!Q1414</f>
        <v/>
      </c>
      <c r="I1416" s="31">
        <f>LET(pc,F1416,oc,H1416,IF(OR(pc="",oc=""),"",IF(AND(pc&gt;0,oc&gt;0),"Long Buildup",IF(AND(pc&lt;0,oc&gt;0),"Short Buildup",IF(AND(pc&gt;0,oc&lt;0),"Short Covering",IF(AND(pc&lt;0,oc&lt;0),"Long Unwinding","Flat"))))))</f>
        <v/>
      </c>
      <c r="J1416" s="31">
        <f>LET(pc,ABS(F1416),oc,ABS(H1416),IF(OR(pc="",oc=""),"",MAX(1,MIN(5,ROUND((pc*0.5+oc*0.00001)*5,0))))))</f>
        <v/>
      </c>
    </row>
    <row r="1417">
      <c r="A1417" s="31" t="n">
        <v>1415</v>
      </c>
      <c r="B1417" s="31">
        <f>CHAIN_RAW!D1415</f>
        <v/>
      </c>
      <c r="C1417" s="31">
        <f>CHAIN_RAW!A1415</f>
        <v/>
      </c>
      <c r="D1417" s="31">
        <f>CHAIN_RAW!C1415</f>
        <v/>
      </c>
      <c r="E1417" s="31">
        <f>CHAIN_RAW!E1415</f>
        <v/>
      </c>
      <c r="F1417" s="31">
        <f>CHAIN_RAW!F1415</f>
        <v/>
      </c>
      <c r="G1417" s="31">
        <f>CHAIN_RAW!I1415</f>
        <v/>
      </c>
      <c r="H1417" s="31">
        <f>CHAIN_RAW!Q1415</f>
        <v/>
      </c>
      <c r="I1417" s="31">
        <f>LET(pc,F1417,oc,H1417,IF(OR(pc="",oc=""),"",IF(AND(pc&gt;0,oc&gt;0),"Long Buildup",IF(AND(pc&lt;0,oc&gt;0),"Short Buildup",IF(AND(pc&gt;0,oc&lt;0),"Short Covering",IF(AND(pc&lt;0,oc&lt;0),"Long Unwinding","Flat"))))))</f>
        <v/>
      </c>
      <c r="J1417" s="31">
        <f>LET(pc,ABS(F1417),oc,ABS(H1417),IF(OR(pc="",oc=""),"",MAX(1,MIN(5,ROUND((pc*0.5+oc*0.00001)*5,0))))))</f>
        <v/>
      </c>
    </row>
    <row r="1418">
      <c r="A1418" s="31" t="n">
        <v>1416</v>
      </c>
      <c r="B1418" s="31">
        <f>CHAIN_RAW!D1416</f>
        <v/>
      </c>
      <c r="C1418" s="31">
        <f>CHAIN_RAW!A1416</f>
        <v/>
      </c>
      <c r="D1418" s="31">
        <f>CHAIN_RAW!C1416</f>
        <v/>
      </c>
      <c r="E1418" s="31">
        <f>CHAIN_RAW!E1416</f>
        <v/>
      </c>
      <c r="F1418" s="31">
        <f>CHAIN_RAW!F1416</f>
        <v/>
      </c>
      <c r="G1418" s="31">
        <f>CHAIN_RAW!I1416</f>
        <v/>
      </c>
      <c r="H1418" s="31">
        <f>CHAIN_RAW!Q1416</f>
        <v/>
      </c>
      <c r="I1418" s="31">
        <f>LET(pc,F1418,oc,H1418,IF(OR(pc="",oc=""),"",IF(AND(pc&gt;0,oc&gt;0),"Long Buildup",IF(AND(pc&lt;0,oc&gt;0),"Short Buildup",IF(AND(pc&gt;0,oc&lt;0),"Short Covering",IF(AND(pc&lt;0,oc&lt;0),"Long Unwinding","Flat"))))))</f>
        <v/>
      </c>
      <c r="J1418" s="31">
        <f>LET(pc,ABS(F1418),oc,ABS(H1418),IF(OR(pc="",oc=""),"",MAX(1,MIN(5,ROUND((pc*0.5+oc*0.00001)*5,0))))))</f>
        <v/>
      </c>
    </row>
    <row r="1419">
      <c r="A1419" s="31" t="n">
        <v>1417</v>
      </c>
      <c r="B1419" s="31">
        <f>CHAIN_RAW!D1417</f>
        <v/>
      </c>
      <c r="C1419" s="31">
        <f>CHAIN_RAW!A1417</f>
        <v/>
      </c>
      <c r="D1419" s="31">
        <f>CHAIN_RAW!C1417</f>
        <v/>
      </c>
      <c r="E1419" s="31">
        <f>CHAIN_RAW!E1417</f>
        <v/>
      </c>
      <c r="F1419" s="31">
        <f>CHAIN_RAW!F1417</f>
        <v/>
      </c>
      <c r="G1419" s="31">
        <f>CHAIN_RAW!I1417</f>
        <v/>
      </c>
      <c r="H1419" s="31">
        <f>CHAIN_RAW!Q1417</f>
        <v/>
      </c>
      <c r="I1419" s="31">
        <f>LET(pc,F1419,oc,H1419,IF(OR(pc="",oc=""),"",IF(AND(pc&gt;0,oc&gt;0),"Long Buildup",IF(AND(pc&lt;0,oc&gt;0),"Short Buildup",IF(AND(pc&gt;0,oc&lt;0),"Short Covering",IF(AND(pc&lt;0,oc&lt;0),"Long Unwinding","Flat"))))))</f>
        <v/>
      </c>
      <c r="J1419" s="31">
        <f>LET(pc,ABS(F1419),oc,ABS(H1419),IF(OR(pc="",oc=""),"",MAX(1,MIN(5,ROUND((pc*0.5+oc*0.00001)*5,0))))))</f>
        <v/>
      </c>
    </row>
    <row r="1420">
      <c r="A1420" s="31" t="n">
        <v>1418</v>
      </c>
      <c r="B1420" s="31">
        <f>CHAIN_RAW!D1418</f>
        <v/>
      </c>
      <c r="C1420" s="31">
        <f>CHAIN_RAW!A1418</f>
        <v/>
      </c>
      <c r="D1420" s="31">
        <f>CHAIN_RAW!C1418</f>
        <v/>
      </c>
      <c r="E1420" s="31">
        <f>CHAIN_RAW!E1418</f>
        <v/>
      </c>
      <c r="F1420" s="31">
        <f>CHAIN_RAW!F1418</f>
        <v/>
      </c>
      <c r="G1420" s="31">
        <f>CHAIN_RAW!I1418</f>
        <v/>
      </c>
      <c r="H1420" s="31">
        <f>CHAIN_RAW!Q1418</f>
        <v/>
      </c>
      <c r="I1420" s="31">
        <f>LET(pc,F1420,oc,H1420,IF(OR(pc="",oc=""),"",IF(AND(pc&gt;0,oc&gt;0),"Long Buildup",IF(AND(pc&lt;0,oc&gt;0),"Short Buildup",IF(AND(pc&gt;0,oc&lt;0),"Short Covering",IF(AND(pc&lt;0,oc&lt;0),"Long Unwinding","Flat"))))))</f>
        <v/>
      </c>
      <c r="J1420" s="31">
        <f>LET(pc,ABS(F1420),oc,ABS(H1420),IF(OR(pc="",oc=""),"",MAX(1,MIN(5,ROUND((pc*0.5+oc*0.00001)*5,0))))))</f>
        <v/>
      </c>
    </row>
    <row r="1421">
      <c r="A1421" s="31" t="n">
        <v>1419</v>
      </c>
      <c r="B1421" s="31">
        <f>CHAIN_RAW!D1419</f>
        <v/>
      </c>
      <c r="C1421" s="31">
        <f>CHAIN_RAW!A1419</f>
        <v/>
      </c>
      <c r="D1421" s="31">
        <f>CHAIN_RAW!C1419</f>
        <v/>
      </c>
      <c r="E1421" s="31">
        <f>CHAIN_RAW!E1419</f>
        <v/>
      </c>
      <c r="F1421" s="31">
        <f>CHAIN_RAW!F1419</f>
        <v/>
      </c>
      <c r="G1421" s="31">
        <f>CHAIN_RAW!I1419</f>
        <v/>
      </c>
      <c r="H1421" s="31">
        <f>CHAIN_RAW!Q1419</f>
        <v/>
      </c>
      <c r="I1421" s="31">
        <f>LET(pc,F1421,oc,H1421,IF(OR(pc="",oc=""),"",IF(AND(pc&gt;0,oc&gt;0),"Long Buildup",IF(AND(pc&lt;0,oc&gt;0),"Short Buildup",IF(AND(pc&gt;0,oc&lt;0),"Short Covering",IF(AND(pc&lt;0,oc&lt;0),"Long Unwinding","Flat"))))))</f>
        <v/>
      </c>
      <c r="J1421" s="31">
        <f>LET(pc,ABS(F1421),oc,ABS(H1421),IF(OR(pc="",oc=""),"",MAX(1,MIN(5,ROUND((pc*0.5+oc*0.00001)*5,0))))))</f>
        <v/>
      </c>
    </row>
    <row r="1422">
      <c r="A1422" s="31" t="n">
        <v>1420</v>
      </c>
      <c r="B1422" s="31">
        <f>CHAIN_RAW!D1420</f>
        <v/>
      </c>
      <c r="C1422" s="31">
        <f>CHAIN_RAW!A1420</f>
        <v/>
      </c>
      <c r="D1422" s="31">
        <f>CHAIN_RAW!C1420</f>
        <v/>
      </c>
      <c r="E1422" s="31">
        <f>CHAIN_RAW!E1420</f>
        <v/>
      </c>
      <c r="F1422" s="31">
        <f>CHAIN_RAW!F1420</f>
        <v/>
      </c>
      <c r="G1422" s="31">
        <f>CHAIN_RAW!I1420</f>
        <v/>
      </c>
      <c r="H1422" s="31">
        <f>CHAIN_RAW!Q1420</f>
        <v/>
      </c>
      <c r="I1422" s="31">
        <f>LET(pc,F1422,oc,H1422,IF(OR(pc="",oc=""),"",IF(AND(pc&gt;0,oc&gt;0),"Long Buildup",IF(AND(pc&lt;0,oc&gt;0),"Short Buildup",IF(AND(pc&gt;0,oc&lt;0),"Short Covering",IF(AND(pc&lt;0,oc&lt;0),"Long Unwinding","Flat"))))))</f>
        <v/>
      </c>
      <c r="J1422" s="31">
        <f>LET(pc,ABS(F1422),oc,ABS(H1422),IF(OR(pc="",oc=""),"",MAX(1,MIN(5,ROUND((pc*0.5+oc*0.00001)*5,0))))))</f>
        <v/>
      </c>
    </row>
    <row r="1423">
      <c r="A1423" s="31" t="n">
        <v>1421</v>
      </c>
      <c r="B1423" s="31">
        <f>CHAIN_RAW!D1421</f>
        <v/>
      </c>
      <c r="C1423" s="31">
        <f>CHAIN_RAW!A1421</f>
        <v/>
      </c>
      <c r="D1423" s="31">
        <f>CHAIN_RAW!C1421</f>
        <v/>
      </c>
      <c r="E1423" s="31">
        <f>CHAIN_RAW!E1421</f>
        <v/>
      </c>
      <c r="F1423" s="31">
        <f>CHAIN_RAW!F1421</f>
        <v/>
      </c>
      <c r="G1423" s="31">
        <f>CHAIN_RAW!I1421</f>
        <v/>
      </c>
      <c r="H1423" s="31">
        <f>CHAIN_RAW!Q1421</f>
        <v/>
      </c>
      <c r="I1423" s="31">
        <f>LET(pc,F1423,oc,H1423,IF(OR(pc="",oc=""),"",IF(AND(pc&gt;0,oc&gt;0),"Long Buildup",IF(AND(pc&lt;0,oc&gt;0),"Short Buildup",IF(AND(pc&gt;0,oc&lt;0),"Short Covering",IF(AND(pc&lt;0,oc&lt;0),"Long Unwinding","Flat"))))))</f>
        <v/>
      </c>
      <c r="J1423" s="31">
        <f>LET(pc,ABS(F1423),oc,ABS(H1423),IF(OR(pc="",oc=""),"",MAX(1,MIN(5,ROUND((pc*0.5+oc*0.00001)*5,0))))))</f>
        <v/>
      </c>
    </row>
    <row r="1424">
      <c r="A1424" s="31" t="n">
        <v>1422</v>
      </c>
      <c r="B1424" s="31">
        <f>CHAIN_RAW!D1422</f>
        <v/>
      </c>
      <c r="C1424" s="31">
        <f>CHAIN_RAW!A1422</f>
        <v/>
      </c>
      <c r="D1424" s="31">
        <f>CHAIN_RAW!C1422</f>
        <v/>
      </c>
      <c r="E1424" s="31">
        <f>CHAIN_RAW!E1422</f>
        <v/>
      </c>
      <c r="F1424" s="31">
        <f>CHAIN_RAW!F1422</f>
        <v/>
      </c>
      <c r="G1424" s="31">
        <f>CHAIN_RAW!I1422</f>
        <v/>
      </c>
      <c r="H1424" s="31">
        <f>CHAIN_RAW!Q1422</f>
        <v/>
      </c>
      <c r="I1424" s="31">
        <f>LET(pc,F1424,oc,H1424,IF(OR(pc="",oc=""),"",IF(AND(pc&gt;0,oc&gt;0),"Long Buildup",IF(AND(pc&lt;0,oc&gt;0),"Short Buildup",IF(AND(pc&gt;0,oc&lt;0),"Short Covering",IF(AND(pc&lt;0,oc&lt;0),"Long Unwinding","Flat"))))))</f>
        <v/>
      </c>
      <c r="J1424" s="31">
        <f>LET(pc,ABS(F1424),oc,ABS(H1424),IF(OR(pc="",oc=""),"",MAX(1,MIN(5,ROUND((pc*0.5+oc*0.00001)*5,0))))))</f>
        <v/>
      </c>
    </row>
    <row r="1425">
      <c r="A1425" s="31" t="n">
        <v>1423</v>
      </c>
      <c r="B1425" s="31">
        <f>CHAIN_RAW!D1423</f>
        <v/>
      </c>
      <c r="C1425" s="31">
        <f>CHAIN_RAW!A1423</f>
        <v/>
      </c>
      <c r="D1425" s="31">
        <f>CHAIN_RAW!C1423</f>
        <v/>
      </c>
      <c r="E1425" s="31">
        <f>CHAIN_RAW!E1423</f>
        <v/>
      </c>
      <c r="F1425" s="31">
        <f>CHAIN_RAW!F1423</f>
        <v/>
      </c>
      <c r="G1425" s="31">
        <f>CHAIN_RAW!I1423</f>
        <v/>
      </c>
      <c r="H1425" s="31">
        <f>CHAIN_RAW!Q1423</f>
        <v/>
      </c>
      <c r="I1425" s="31">
        <f>LET(pc,F1425,oc,H1425,IF(OR(pc="",oc=""),"",IF(AND(pc&gt;0,oc&gt;0),"Long Buildup",IF(AND(pc&lt;0,oc&gt;0),"Short Buildup",IF(AND(pc&gt;0,oc&lt;0),"Short Covering",IF(AND(pc&lt;0,oc&lt;0),"Long Unwinding","Flat"))))))</f>
        <v/>
      </c>
      <c r="J1425" s="31">
        <f>LET(pc,ABS(F1425),oc,ABS(H1425),IF(OR(pc="",oc=""),"",MAX(1,MIN(5,ROUND((pc*0.5+oc*0.00001)*5,0))))))</f>
        <v/>
      </c>
    </row>
    <row r="1426">
      <c r="A1426" s="31" t="n">
        <v>1424</v>
      </c>
      <c r="B1426" s="31">
        <f>CHAIN_RAW!D1424</f>
        <v/>
      </c>
      <c r="C1426" s="31">
        <f>CHAIN_RAW!A1424</f>
        <v/>
      </c>
      <c r="D1426" s="31">
        <f>CHAIN_RAW!C1424</f>
        <v/>
      </c>
      <c r="E1426" s="31">
        <f>CHAIN_RAW!E1424</f>
        <v/>
      </c>
      <c r="F1426" s="31">
        <f>CHAIN_RAW!F1424</f>
        <v/>
      </c>
      <c r="G1426" s="31">
        <f>CHAIN_RAW!I1424</f>
        <v/>
      </c>
      <c r="H1426" s="31">
        <f>CHAIN_RAW!Q1424</f>
        <v/>
      </c>
      <c r="I1426" s="31">
        <f>LET(pc,F1426,oc,H1426,IF(OR(pc="",oc=""),"",IF(AND(pc&gt;0,oc&gt;0),"Long Buildup",IF(AND(pc&lt;0,oc&gt;0),"Short Buildup",IF(AND(pc&gt;0,oc&lt;0),"Short Covering",IF(AND(pc&lt;0,oc&lt;0),"Long Unwinding","Flat"))))))</f>
        <v/>
      </c>
      <c r="J1426" s="31">
        <f>LET(pc,ABS(F1426),oc,ABS(H1426),IF(OR(pc="",oc=""),"",MAX(1,MIN(5,ROUND((pc*0.5+oc*0.00001)*5,0))))))</f>
        <v/>
      </c>
    </row>
    <row r="1427">
      <c r="A1427" s="31" t="n">
        <v>1425</v>
      </c>
      <c r="B1427" s="31">
        <f>CHAIN_RAW!D1425</f>
        <v/>
      </c>
      <c r="C1427" s="31">
        <f>CHAIN_RAW!A1425</f>
        <v/>
      </c>
      <c r="D1427" s="31">
        <f>CHAIN_RAW!C1425</f>
        <v/>
      </c>
      <c r="E1427" s="31">
        <f>CHAIN_RAW!E1425</f>
        <v/>
      </c>
      <c r="F1427" s="31">
        <f>CHAIN_RAW!F1425</f>
        <v/>
      </c>
      <c r="G1427" s="31">
        <f>CHAIN_RAW!I1425</f>
        <v/>
      </c>
      <c r="H1427" s="31">
        <f>CHAIN_RAW!Q1425</f>
        <v/>
      </c>
      <c r="I1427" s="31">
        <f>LET(pc,F1427,oc,H1427,IF(OR(pc="",oc=""),"",IF(AND(pc&gt;0,oc&gt;0),"Long Buildup",IF(AND(pc&lt;0,oc&gt;0),"Short Buildup",IF(AND(pc&gt;0,oc&lt;0),"Short Covering",IF(AND(pc&lt;0,oc&lt;0),"Long Unwinding","Flat"))))))</f>
        <v/>
      </c>
      <c r="J1427" s="31">
        <f>LET(pc,ABS(F1427),oc,ABS(H1427),IF(OR(pc="",oc=""),"",MAX(1,MIN(5,ROUND((pc*0.5+oc*0.00001)*5,0))))))</f>
        <v/>
      </c>
    </row>
    <row r="1428">
      <c r="A1428" s="31" t="n">
        <v>1426</v>
      </c>
      <c r="B1428" s="31">
        <f>CHAIN_RAW!D1426</f>
        <v/>
      </c>
      <c r="C1428" s="31">
        <f>CHAIN_RAW!A1426</f>
        <v/>
      </c>
      <c r="D1428" s="31">
        <f>CHAIN_RAW!C1426</f>
        <v/>
      </c>
      <c r="E1428" s="31">
        <f>CHAIN_RAW!E1426</f>
        <v/>
      </c>
      <c r="F1428" s="31">
        <f>CHAIN_RAW!F1426</f>
        <v/>
      </c>
      <c r="G1428" s="31">
        <f>CHAIN_RAW!I1426</f>
        <v/>
      </c>
      <c r="H1428" s="31">
        <f>CHAIN_RAW!Q1426</f>
        <v/>
      </c>
      <c r="I1428" s="31">
        <f>LET(pc,F1428,oc,H1428,IF(OR(pc="",oc=""),"",IF(AND(pc&gt;0,oc&gt;0),"Long Buildup",IF(AND(pc&lt;0,oc&gt;0),"Short Buildup",IF(AND(pc&gt;0,oc&lt;0),"Short Covering",IF(AND(pc&lt;0,oc&lt;0),"Long Unwinding","Flat"))))))</f>
        <v/>
      </c>
      <c r="J1428" s="31">
        <f>LET(pc,ABS(F1428),oc,ABS(H1428),IF(OR(pc="",oc=""),"",MAX(1,MIN(5,ROUND((pc*0.5+oc*0.00001)*5,0))))))</f>
        <v/>
      </c>
    </row>
    <row r="1429">
      <c r="A1429" s="31" t="n">
        <v>1427</v>
      </c>
      <c r="B1429" s="31">
        <f>CHAIN_RAW!D1427</f>
        <v/>
      </c>
      <c r="C1429" s="31">
        <f>CHAIN_RAW!A1427</f>
        <v/>
      </c>
      <c r="D1429" s="31">
        <f>CHAIN_RAW!C1427</f>
        <v/>
      </c>
      <c r="E1429" s="31">
        <f>CHAIN_RAW!E1427</f>
        <v/>
      </c>
      <c r="F1429" s="31">
        <f>CHAIN_RAW!F1427</f>
        <v/>
      </c>
      <c r="G1429" s="31">
        <f>CHAIN_RAW!I1427</f>
        <v/>
      </c>
      <c r="H1429" s="31">
        <f>CHAIN_RAW!Q1427</f>
        <v/>
      </c>
      <c r="I1429" s="31">
        <f>LET(pc,F1429,oc,H1429,IF(OR(pc="",oc=""),"",IF(AND(pc&gt;0,oc&gt;0),"Long Buildup",IF(AND(pc&lt;0,oc&gt;0),"Short Buildup",IF(AND(pc&gt;0,oc&lt;0),"Short Covering",IF(AND(pc&lt;0,oc&lt;0),"Long Unwinding","Flat"))))))</f>
        <v/>
      </c>
      <c r="J1429" s="31">
        <f>LET(pc,ABS(F1429),oc,ABS(H1429),IF(OR(pc="",oc=""),"",MAX(1,MIN(5,ROUND((pc*0.5+oc*0.00001)*5,0))))))</f>
        <v/>
      </c>
    </row>
    <row r="1430">
      <c r="A1430" s="31" t="n">
        <v>1428</v>
      </c>
      <c r="B1430" s="31">
        <f>CHAIN_RAW!D1428</f>
        <v/>
      </c>
      <c r="C1430" s="31">
        <f>CHAIN_RAW!A1428</f>
        <v/>
      </c>
      <c r="D1430" s="31">
        <f>CHAIN_RAW!C1428</f>
        <v/>
      </c>
      <c r="E1430" s="31">
        <f>CHAIN_RAW!E1428</f>
        <v/>
      </c>
      <c r="F1430" s="31">
        <f>CHAIN_RAW!F1428</f>
        <v/>
      </c>
      <c r="G1430" s="31">
        <f>CHAIN_RAW!I1428</f>
        <v/>
      </c>
      <c r="H1430" s="31">
        <f>CHAIN_RAW!Q1428</f>
        <v/>
      </c>
      <c r="I1430" s="31">
        <f>LET(pc,F1430,oc,H1430,IF(OR(pc="",oc=""),"",IF(AND(pc&gt;0,oc&gt;0),"Long Buildup",IF(AND(pc&lt;0,oc&gt;0),"Short Buildup",IF(AND(pc&gt;0,oc&lt;0),"Short Covering",IF(AND(pc&lt;0,oc&lt;0),"Long Unwinding","Flat"))))))</f>
        <v/>
      </c>
      <c r="J1430" s="31">
        <f>LET(pc,ABS(F1430),oc,ABS(H1430),IF(OR(pc="",oc=""),"",MAX(1,MIN(5,ROUND((pc*0.5+oc*0.00001)*5,0))))))</f>
        <v/>
      </c>
    </row>
    <row r="1431">
      <c r="A1431" s="31" t="n">
        <v>1429</v>
      </c>
      <c r="B1431" s="31">
        <f>CHAIN_RAW!D1429</f>
        <v/>
      </c>
      <c r="C1431" s="31">
        <f>CHAIN_RAW!A1429</f>
        <v/>
      </c>
      <c r="D1431" s="31">
        <f>CHAIN_RAW!C1429</f>
        <v/>
      </c>
      <c r="E1431" s="31">
        <f>CHAIN_RAW!E1429</f>
        <v/>
      </c>
      <c r="F1431" s="31">
        <f>CHAIN_RAW!F1429</f>
        <v/>
      </c>
      <c r="G1431" s="31">
        <f>CHAIN_RAW!I1429</f>
        <v/>
      </c>
      <c r="H1431" s="31">
        <f>CHAIN_RAW!Q1429</f>
        <v/>
      </c>
      <c r="I1431" s="31">
        <f>LET(pc,F1431,oc,H1431,IF(OR(pc="",oc=""),"",IF(AND(pc&gt;0,oc&gt;0),"Long Buildup",IF(AND(pc&lt;0,oc&gt;0),"Short Buildup",IF(AND(pc&gt;0,oc&lt;0),"Short Covering",IF(AND(pc&lt;0,oc&lt;0),"Long Unwinding","Flat"))))))</f>
        <v/>
      </c>
      <c r="J1431" s="31">
        <f>LET(pc,ABS(F1431),oc,ABS(H1431),IF(OR(pc="",oc=""),"",MAX(1,MIN(5,ROUND((pc*0.5+oc*0.00001)*5,0))))))</f>
        <v/>
      </c>
    </row>
    <row r="1432">
      <c r="A1432" s="31" t="n">
        <v>1430</v>
      </c>
      <c r="B1432" s="31">
        <f>CHAIN_RAW!D1430</f>
        <v/>
      </c>
      <c r="C1432" s="31">
        <f>CHAIN_RAW!A1430</f>
        <v/>
      </c>
      <c r="D1432" s="31">
        <f>CHAIN_RAW!C1430</f>
        <v/>
      </c>
      <c r="E1432" s="31">
        <f>CHAIN_RAW!E1430</f>
        <v/>
      </c>
      <c r="F1432" s="31">
        <f>CHAIN_RAW!F1430</f>
        <v/>
      </c>
      <c r="G1432" s="31">
        <f>CHAIN_RAW!I1430</f>
        <v/>
      </c>
      <c r="H1432" s="31">
        <f>CHAIN_RAW!Q1430</f>
        <v/>
      </c>
      <c r="I1432" s="31">
        <f>LET(pc,F1432,oc,H1432,IF(OR(pc="",oc=""),"",IF(AND(pc&gt;0,oc&gt;0),"Long Buildup",IF(AND(pc&lt;0,oc&gt;0),"Short Buildup",IF(AND(pc&gt;0,oc&lt;0),"Short Covering",IF(AND(pc&lt;0,oc&lt;0),"Long Unwinding","Flat"))))))</f>
        <v/>
      </c>
      <c r="J1432" s="31">
        <f>LET(pc,ABS(F1432),oc,ABS(H1432),IF(OR(pc="",oc=""),"",MAX(1,MIN(5,ROUND((pc*0.5+oc*0.00001)*5,0))))))</f>
        <v/>
      </c>
    </row>
    <row r="1433">
      <c r="A1433" s="31" t="n">
        <v>1431</v>
      </c>
      <c r="B1433" s="31">
        <f>CHAIN_RAW!D1431</f>
        <v/>
      </c>
      <c r="C1433" s="31">
        <f>CHAIN_RAW!A1431</f>
        <v/>
      </c>
      <c r="D1433" s="31">
        <f>CHAIN_RAW!C1431</f>
        <v/>
      </c>
      <c r="E1433" s="31">
        <f>CHAIN_RAW!E1431</f>
        <v/>
      </c>
      <c r="F1433" s="31">
        <f>CHAIN_RAW!F1431</f>
        <v/>
      </c>
      <c r="G1433" s="31">
        <f>CHAIN_RAW!I1431</f>
        <v/>
      </c>
      <c r="H1433" s="31">
        <f>CHAIN_RAW!Q1431</f>
        <v/>
      </c>
      <c r="I1433" s="31">
        <f>LET(pc,F1433,oc,H1433,IF(OR(pc="",oc=""),"",IF(AND(pc&gt;0,oc&gt;0),"Long Buildup",IF(AND(pc&lt;0,oc&gt;0),"Short Buildup",IF(AND(pc&gt;0,oc&lt;0),"Short Covering",IF(AND(pc&lt;0,oc&lt;0),"Long Unwinding","Flat"))))))</f>
        <v/>
      </c>
      <c r="J1433" s="31">
        <f>LET(pc,ABS(F1433),oc,ABS(H1433),IF(OR(pc="",oc=""),"",MAX(1,MIN(5,ROUND((pc*0.5+oc*0.00001)*5,0))))))</f>
        <v/>
      </c>
    </row>
    <row r="1434">
      <c r="A1434" s="31" t="n">
        <v>1432</v>
      </c>
      <c r="B1434" s="31">
        <f>CHAIN_RAW!D1432</f>
        <v/>
      </c>
      <c r="C1434" s="31">
        <f>CHAIN_RAW!A1432</f>
        <v/>
      </c>
      <c r="D1434" s="31">
        <f>CHAIN_RAW!C1432</f>
        <v/>
      </c>
      <c r="E1434" s="31">
        <f>CHAIN_RAW!E1432</f>
        <v/>
      </c>
      <c r="F1434" s="31">
        <f>CHAIN_RAW!F1432</f>
        <v/>
      </c>
      <c r="G1434" s="31">
        <f>CHAIN_RAW!I1432</f>
        <v/>
      </c>
      <c r="H1434" s="31">
        <f>CHAIN_RAW!Q1432</f>
        <v/>
      </c>
      <c r="I1434" s="31">
        <f>LET(pc,F1434,oc,H1434,IF(OR(pc="",oc=""),"",IF(AND(pc&gt;0,oc&gt;0),"Long Buildup",IF(AND(pc&lt;0,oc&gt;0),"Short Buildup",IF(AND(pc&gt;0,oc&lt;0),"Short Covering",IF(AND(pc&lt;0,oc&lt;0),"Long Unwinding","Flat"))))))</f>
        <v/>
      </c>
      <c r="J1434" s="31">
        <f>LET(pc,ABS(F1434),oc,ABS(H1434),IF(OR(pc="",oc=""),"",MAX(1,MIN(5,ROUND((pc*0.5+oc*0.00001)*5,0))))))</f>
        <v/>
      </c>
    </row>
    <row r="1435">
      <c r="A1435" s="31" t="n">
        <v>1433</v>
      </c>
      <c r="B1435" s="31">
        <f>CHAIN_RAW!D1433</f>
        <v/>
      </c>
      <c r="C1435" s="31">
        <f>CHAIN_RAW!A1433</f>
        <v/>
      </c>
      <c r="D1435" s="31">
        <f>CHAIN_RAW!C1433</f>
        <v/>
      </c>
      <c r="E1435" s="31">
        <f>CHAIN_RAW!E1433</f>
        <v/>
      </c>
      <c r="F1435" s="31">
        <f>CHAIN_RAW!F1433</f>
        <v/>
      </c>
      <c r="G1435" s="31">
        <f>CHAIN_RAW!I1433</f>
        <v/>
      </c>
      <c r="H1435" s="31">
        <f>CHAIN_RAW!Q1433</f>
        <v/>
      </c>
      <c r="I1435" s="31">
        <f>LET(pc,F1435,oc,H1435,IF(OR(pc="",oc=""),"",IF(AND(pc&gt;0,oc&gt;0),"Long Buildup",IF(AND(pc&lt;0,oc&gt;0),"Short Buildup",IF(AND(pc&gt;0,oc&lt;0),"Short Covering",IF(AND(pc&lt;0,oc&lt;0),"Long Unwinding","Flat"))))))</f>
        <v/>
      </c>
      <c r="J1435" s="31">
        <f>LET(pc,ABS(F1435),oc,ABS(H1435),IF(OR(pc="",oc=""),"",MAX(1,MIN(5,ROUND((pc*0.5+oc*0.00001)*5,0))))))</f>
        <v/>
      </c>
    </row>
    <row r="1436">
      <c r="A1436" s="31" t="n">
        <v>1434</v>
      </c>
      <c r="B1436" s="31">
        <f>CHAIN_RAW!D1434</f>
        <v/>
      </c>
      <c r="C1436" s="31">
        <f>CHAIN_RAW!A1434</f>
        <v/>
      </c>
      <c r="D1436" s="31">
        <f>CHAIN_RAW!C1434</f>
        <v/>
      </c>
      <c r="E1436" s="31">
        <f>CHAIN_RAW!E1434</f>
        <v/>
      </c>
      <c r="F1436" s="31">
        <f>CHAIN_RAW!F1434</f>
        <v/>
      </c>
      <c r="G1436" s="31">
        <f>CHAIN_RAW!I1434</f>
        <v/>
      </c>
      <c r="H1436" s="31">
        <f>CHAIN_RAW!Q1434</f>
        <v/>
      </c>
      <c r="I1436" s="31">
        <f>LET(pc,F1436,oc,H1436,IF(OR(pc="",oc=""),"",IF(AND(pc&gt;0,oc&gt;0),"Long Buildup",IF(AND(pc&lt;0,oc&gt;0),"Short Buildup",IF(AND(pc&gt;0,oc&lt;0),"Short Covering",IF(AND(pc&lt;0,oc&lt;0),"Long Unwinding","Flat"))))))</f>
        <v/>
      </c>
      <c r="J1436" s="31">
        <f>LET(pc,ABS(F1436),oc,ABS(H1436),IF(OR(pc="",oc=""),"",MAX(1,MIN(5,ROUND((pc*0.5+oc*0.00001)*5,0))))))</f>
        <v/>
      </c>
    </row>
    <row r="1437">
      <c r="A1437" s="31" t="n">
        <v>1435</v>
      </c>
      <c r="B1437" s="31">
        <f>CHAIN_RAW!D1435</f>
        <v/>
      </c>
      <c r="C1437" s="31">
        <f>CHAIN_RAW!A1435</f>
        <v/>
      </c>
      <c r="D1437" s="31">
        <f>CHAIN_RAW!C1435</f>
        <v/>
      </c>
      <c r="E1437" s="31">
        <f>CHAIN_RAW!E1435</f>
        <v/>
      </c>
      <c r="F1437" s="31">
        <f>CHAIN_RAW!F1435</f>
        <v/>
      </c>
      <c r="G1437" s="31">
        <f>CHAIN_RAW!I1435</f>
        <v/>
      </c>
      <c r="H1437" s="31">
        <f>CHAIN_RAW!Q1435</f>
        <v/>
      </c>
      <c r="I1437" s="31">
        <f>LET(pc,F1437,oc,H1437,IF(OR(pc="",oc=""),"",IF(AND(pc&gt;0,oc&gt;0),"Long Buildup",IF(AND(pc&lt;0,oc&gt;0),"Short Buildup",IF(AND(pc&gt;0,oc&lt;0),"Short Covering",IF(AND(pc&lt;0,oc&lt;0),"Long Unwinding","Flat"))))))</f>
        <v/>
      </c>
      <c r="J1437" s="31">
        <f>LET(pc,ABS(F1437),oc,ABS(H1437),IF(OR(pc="",oc=""),"",MAX(1,MIN(5,ROUND((pc*0.5+oc*0.00001)*5,0))))))</f>
        <v/>
      </c>
    </row>
    <row r="1438">
      <c r="A1438" s="31" t="n">
        <v>1436</v>
      </c>
      <c r="B1438" s="31">
        <f>CHAIN_RAW!D1436</f>
        <v/>
      </c>
      <c r="C1438" s="31">
        <f>CHAIN_RAW!A1436</f>
        <v/>
      </c>
      <c r="D1438" s="31">
        <f>CHAIN_RAW!C1436</f>
        <v/>
      </c>
      <c r="E1438" s="31">
        <f>CHAIN_RAW!E1436</f>
        <v/>
      </c>
      <c r="F1438" s="31">
        <f>CHAIN_RAW!F1436</f>
        <v/>
      </c>
      <c r="G1438" s="31">
        <f>CHAIN_RAW!I1436</f>
        <v/>
      </c>
      <c r="H1438" s="31">
        <f>CHAIN_RAW!Q1436</f>
        <v/>
      </c>
      <c r="I1438" s="31">
        <f>LET(pc,F1438,oc,H1438,IF(OR(pc="",oc=""),"",IF(AND(pc&gt;0,oc&gt;0),"Long Buildup",IF(AND(pc&lt;0,oc&gt;0),"Short Buildup",IF(AND(pc&gt;0,oc&lt;0),"Short Covering",IF(AND(pc&lt;0,oc&lt;0),"Long Unwinding","Flat"))))))</f>
        <v/>
      </c>
      <c r="J1438" s="31">
        <f>LET(pc,ABS(F1438),oc,ABS(H1438),IF(OR(pc="",oc=""),"",MAX(1,MIN(5,ROUND((pc*0.5+oc*0.00001)*5,0))))))</f>
        <v/>
      </c>
    </row>
    <row r="1439">
      <c r="A1439" s="31" t="n">
        <v>1437</v>
      </c>
      <c r="B1439" s="31">
        <f>CHAIN_RAW!D1437</f>
        <v/>
      </c>
      <c r="C1439" s="31">
        <f>CHAIN_RAW!A1437</f>
        <v/>
      </c>
      <c r="D1439" s="31">
        <f>CHAIN_RAW!C1437</f>
        <v/>
      </c>
      <c r="E1439" s="31">
        <f>CHAIN_RAW!E1437</f>
        <v/>
      </c>
      <c r="F1439" s="31">
        <f>CHAIN_RAW!F1437</f>
        <v/>
      </c>
      <c r="G1439" s="31">
        <f>CHAIN_RAW!I1437</f>
        <v/>
      </c>
      <c r="H1439" s="31">
        <f>CHAIN_RAW!Q1437</f>
        <v/>
      </c>
      <c r="I1439" s="31">
        <f>LET(pc,F1439,oc,H1439,IF(OR(pc="",oc=""),"",IF(AND(pc&gt;0,oc&gt;0),"Long Buildup",IF(AND(pc&lt;0,oc&gt;0),"Short Buildup",IF(AND(pc&gt;0,oc&lt;0),"Short Covering",IF(AND(pc&lt;0,oc&lt;0),"Long Unwinding","Flat"))))))</f>
        <v/>
      </c>
      <c r="J1439" s="31">
        <f>LET(pc,ABS(F1439),oc,ABS(H1439),IF(OR(pc="",oc=""),"",MAX(1,MIN(5,ROUND((pc*0.5+oc*0.00001)*5,0))))))</f>
        <v/>
      </c>
    </row>
    <row r="1440">
      <c r="A1440" s="31" t="n">
        <v>1438</v>
      </c>
      <c r="B1440" s="31">
        <f>CHAIN_RAW!D1438</f>
        <v/>
      </c>
      <c r="C1440" s="31">
        <f>CHAIN_RAW!A1438</f>
        <v/>
      </c>
      <c r="D1440" s="31">
        <f>CHAIN_RAW!C1438</f>
        <v/>
      </c>
      <c r="E1440" s="31">
        <f>CHAIN_RAW!E1438</f>
        <v/>
      </c>
      <c r="F1440" s="31">
        <f>CHAIN_RAW!F1438</f>
        <v/>
      </c>
      <c r="G1440" s="31">
        <f>CHAIN_RAW!I1438</f>
        <v/>
      </c>
      <c r="H1440" s="31">
        <f>CHAIN_RAW!Q1438</f>
        <v/>
      </c>
      <c r="I1440" s="31">
        <f>LET(pc,F1440,oc,H1440,IF(OR(pc="",oc=""),"",IF(AND(pc&gt;0,oc&gt;0),"Long Buildup",IF(AND(pc&lt;0,oc&gt;0),"Short Buildup",IF(AND(pc&gt;0,oc&lt;0),"Short Covering",IF(AND(pc&lt;0,oc&lt;0),"Long Unwinding","Flat"))))))</f>
        <v/>
      </c>
      <c r="J1440" s="31">
        <f>LET(pc,ABS(F1440),oc,ABS(H1440),IF(OR(pc="",oc=""),"",MAX(1,MIN(5,ROUND((pc*0.5+oc*0.00001)*5,0))))))</f>
        <v/>
      </c>
    </row>
    <row r="1441">
      <c r="A1441" s="31" t="n">
        <v>1439</v>
      </c>
      <c r="B1441" s="31">
        <f>CHAIN_RAW!D1439</f>
        <v/>
      </c>
      <c r="C1441" s="31">
        <f>CHAIN_RAW!A1439</f>
        <v/>
      </c>
      <c r="D1441" s="31">
        <f>CHAIN_RAW!C1439</f>
        <v/>
      </c>
      <c r="E1441" s="31">
        <f>CHAIN_RAW!E1439</f>
        <v/>
      </c>
      <c r="F1441" s="31">
        <f>CHAIN_RAW!F1439</f>
        <v/>
      </c>
      <c r="G1441" s="31">
        <f>CHAIN_RAW!I1439</f>
        <v/>
      </c>
      <c r="H1441" s="31">
        <f>CHAIN_RAW!Q1439</f>
        <v/>
      </c>
      <c r="I1441" s="31">
        <f>LET(pc,F1441,oc,H1441,IF(OR(pc="",oc=""),"",IF(AND(pc&gt;0,oc&gt;0),"Long Buildup",IF(AND(pc&lt;0,oc&gt;0),"Short Buildup",IF(AND(pc&gt;0,oc&lt;0),"Short Covering",IF(AND(pc&lt;0,oc&lt;0),"Long Unwinding","Flat"))))))</f>
        <v/>
      </c>
      <c r="J1441" s="31">
        <f>LET(pc,ABS(F1441),oc,ABS(H1441),IF(OR(pc="",oc=""),"",MAX(1,MIN(5,ROUND((pc*0.5+oc*0.00001)*5,0))))))</f>
        <v/>
      </c>
    </row>
    <row r="1442">
      <c r="A1442" s="31" t="n">
        <v>1440</v>
      </c>
      <c r="B1442" s="31">
        <f>CHAIN_RAW!D1440</f>
        <v/>
      </c>
      <c r="C1442" s="31">
        <f>CHAIN_RAW!A1440</f>
        <v/>
      </c>
      <c r="D1442" s="31">
        <f>CHAIN_RAW!C1440</f>
        <v/>
      </c>
      <c r="E1442" s="31">
        <f>CHAIN_RAW!E1440</f>
        <v/>
      </c>
      <c r="F1442" s="31">
        <f>CHAIN_RAW!F1440</f>
        <v/>
      </c>
      <c r="G1442" s="31">
        <f>CHAIN_RAW!I1440</f>
        <v/>
      </c>
      <c r="H1442" s="31">
        <f>CHAIN_RAW!Q1440</f>
        <v/>
      </c>
      <c r="I1442" s="31">
        <f>LET(pc,F1442,oc,H1442,IF(OR(pc="",oc=""),"",IF(AND(pc&gt;0,oc&gt;0),"Long Buildup",IF(AND(pc&lt;0,oc&gt;0),"Short Buildup",IF(AND(pc&gt;0,oc&lt;0),"Short Covering",IF(AND(pc&lt;0,oc&lt;0),"Long Unwinding","Flat"))))))</f>
        <v/>
      </c>
      <c r="J1442" s="31">
        <f>LET(pc,ABS(F1442),oc,ABS(H1442),IF(OR(pc="",oc=""),"",MAX(1,MIN(5,ROUND((pc*0.5+oc*0.00001)*5,0))))))</f>
        <v/>
      </c>
    </row>
    <row r="1443">
      <c r="A1443" s="31" t="n">
        <v>1441</v>
      </c>
      <c r="B1443" s="31">
        <f>CHAIN_RAW!D1441</f>
        <v/>
      </c>
      <c r="C1443" s="31">
        <f>CHAIN_RAW!A1441</f>
        <v/>
      </c>
      <c r="D1443" s="31">
        <f>CHAIN_RAW!C1441</f>
        <v/>
      </c>
      <c r="E1443" s="31">
        <f>CHAIN_RAW!E1441</f>
        <v/>
      </c>
      <c r="F1443" s="31">
        <f>CHAIN_RAW!F1441</f>
        <v/>
      </c>
      <c r="G1443" s="31">
        <f>CHAIN_RAW!I1441</f>
        <v/>
      </c>
      <c r="H1443" s="31">
        <f>CHAIN_RAW!Q1441</f>
        <v/>
      </c>
      <c r="I1443" s="31">
        <f>LET(pc,F1443,oc,H1443,IF(OR(pc="",oc=""),"",IF(AND(pc&gt;0,oc&gt;0),"Long Buildup",IF(AND(pc&lt;0,oc&gt;0),"Short Buildup",IF(AND(pc&gt;0,oc&lt;0),"Short Covering",IF(AND(pc&lt;0,oc&lt;0),"Long Unwinding","Flat"))))))</f>
        <v/>
      </c>
      <c r="J1443" s="31">
        <f>LET(pc,ABS(F1443),oc,ABS(H1443),IF(OR(pc="",oc=""),"",MAX(1,MIN(5,ROUND((pc*0.5+oc*0.00001)*5,0))))))</f>
        <v/>
      </c>
    </row>
    <row r="1444">
      <c r="A1444" s="31" t="n">
        <v>1442</v>
      </c>
      <c r="B1444" s="31">
        <f>CHAIN_RAW!D1442</f>
        <v/>
      </c>
      <c r="C1444" s="31">
        <f>CHAIN_RAW!A1442</f>
        <v/>
      </c>
      <c r="D1444" s="31">
        <f>CHAIN_RAW!C1442</f>
        <v/>
      </c>
      <c r="E1444" s="31">
        <f>CHAIN_RAW!E1442</f>
        <v/>
      </c>
      <c r="F1444" s="31">
        <f>CHAIN_RAW!F1442</f>
        <v/>
      </c>
      <c r="G1444" s="31">
        <f>CHAIN_RAW!I1442</f>
        <v/>
      </c>
      <c r="H1444" s="31">
        <f>CHAIN_RAW!Q1442</f>
        <v/>
      </c>
      <c r="I1444" s="31">
        <f>LET(pc,F1444,oc,H1444,IF(OR(pc="",oc=""),"",IF(AND(pc&gt;0,oc&gt;0),"Long Buildup",IF(AND(pc&lt;0,oc&gt;0),"Short Buildup",IF(AND(pc&gt;0,oc&lt;0),"Short Covering",IF(AND(pc&lt;0,oc&lt;0),"Long Unwinding","Flat"))))))</f>
        <v/>
      </c>
      <c r="J1444" s="31">
        <f>LET(pc,ABS(F1444),oc,ABS(H1444),IF(OR(pc="",oc=""),"",MAX(1,MIN(5,ROUND((pc*0.5+oc*0.00001)*5,0))))))</f>
        <v/>
      </c>
    </row>
    <row r="1445">
      <c r="A1445" s="31" t="n">
        <v>1443</v>
      </c>
      <c r="B1445" s="31">
        <f>CHAIN_RAW!D1443</f>
        <v/>
      </c>
      <c r="C1445" s="31">
        <f>CHAIN_RAW!A1443</f>
        <v/>
      </c>
      <c r="D1445" s="31">
        <f>CHAIN_RAW!C1443</f>
        <v/>
      </c>
      <c r="E1445" s="31">
        <f>CHAIN_RAW!E1443</f>
        <v/>
      </c>
      <c r="F1445" s="31">
        <f>CHAIN_RAW!F1443</f>
        <v/>
      </c>
      <c r="G1445" s="31">
        <f>CHAIN_RAW!I1443</f>
        <v/>
      </c>
      <c r="H1445" s="31">
        <f>CHAIN_RAW!Q1443</f>
        <v/>
      </c>
      <c r="I1445" s="31">
        <f>LET(pc,F1445,oc,H1445,IF(OR(pc="",oc=""),"",IF(AND(pc&gt;0,oc&gt;0),"Long Buildup",IF(AND(pc&lt;0,oc&gt;0),"Short Buildup",IF(AND(pc&gt;0,oc&lt;0),"Short Covering",IF(AND(pc&lt;0,oc&lt;0),"Long Unwinding","Flat"))))))</f>
        <v/>
      </c>
      <c r="J1445" s="31">
        <f>LET(pc,ABS(F1445),oc,ABS(H1445),IF(OR(pc="",oc=""),"",MAX(1,MIN(5,ROUND((pc*0.5+oc*0.00001)*5,0))))))</f>
        <v/>
      </c>
    </row>
    <row r="1446">
      <c r="A1446" s="31" t="n">
        <v>1444</v>
      </c>
      <c r="B1446" s="31">
        <f>CHAIN_RAW!D1444</f>
        <v/>
      </c>
      <c r="C1446" s="31">
        <f>CHAIN_RAW!A1444</f>
        <v/>
      </c>
      <c r="D1446" s="31">
        <f>CHAIN_RAW!C1444</f>
        <v/>
      </c>
      <c r="E1446" s="31">
        <f>CHAIN_RAW!E1444</f>
        <v/>
      </c>
      <c r="F1446" s="31">
        <f>CHAIN_RAW!F1444</f>
        <v/>
      </c>
      <c r="G1446" s="31">
        <f>CHAIN_RAW!I1444</f>
        <v/>
      </c>
      <c r="H1446" s="31">
        <f>CHAIN_RAW!Q1444</f>
        <v/>
      </c>
      <c r="I1446" s="31">
        <f>LET(pc,F1446,oc,H1446,IF(OR(pc="",oc=""),"",IF(AND(pc&gt;0,oc&gt;0),"Long Buildup",IF(AND(pc&lt;0,oc&gt;0),"Short Buildup",IF(AND(pc&gt;0,oc&lt;0),"Short Covering",IF(AND(pc&lt;0,oc&lt;0),"Long Unwinding","Flat"))))))</f>
        <v/>
      </c>
      <c r="J1446" s="31">
        <f>LET(pc,ABS(F1446),oc,ABS(H1446),IF(OR(pc="",oc=""),"",MAX(1,MIN(5,ROUND((pc*0.5+oc*0.00001)*5,0))))))</f>
        <v/>
      </c>
    </row>
    <row r="1447">
      <c r="A1447" s="31" t="n">
        <v>1445</v>
      </c>
      <c r="B1447" s="31">
        <f>CHAIN_RAW!D1445</f>
        <v/>
      </c>
      <c r="C1447" s="31">
        <f>CHAIN_RAW!A1445</f>
        <v/>
      </c>
      <c r="D1447" s="31">
        <f>CHAIN_RAW!C1445</f>
        <v/>
      </c>
      <c r="E1447" s="31">
        <f>CHAIN_RAW!E1445</f>
        <v/>
      </c>
      <c r="F1447" s="31">
        <f>CHAIN_RAW!F1445</f>
        <v/>
      </c>
      <c r="G1447" s="31">
        <f>CHAIN_RAW!I1445</f>
        <v/>
      </c>
      <c r="H1447" s="31">
        <f>CHAIN_RAW!Q1445</f>
        <v/>
      </c>
      <c r="I1447" s="31">
        <f>LET(pc,F1447,oc,H1447,IF(OR(pc="",oc=""),"",IF(AND(pc&gt;0,oc&gt;0),"Long Buildup",IF(AND(pc&lt;0,oc&gt;0),"Short Buildup",IF(AND(pc&gt;0,oc&lt;0),"Short Covering",IF(AND(pc&lt;0,oc&lt;0),"Long Unwinding","Flat"))))))</f>
        <v/>
      </c>
      <c r="J1447" s="31">
        <f>LET(pc,ABS(F1447),oc,ABS(H1447),IF(OR(pc="",oc=""),"",MAX(1,MIN(5,ROUND((pc*0.5+oc*0.00001)*5,0))))))</f>
        <v/>
      </c>
    </row>
    <row r="1448">
      <c r="A1448" s="31" t="n">
        <v>1446</v>
      </c>
      <c r="B1448" s="31">
        <f>CHAIN_RAW!D1446</f>
        <v/>
      </c>
      <c r="C1448" s="31">
        <f>CHAIN_RAW!A1446</f>
        <v/>
      </c>
      <c r="D1448" s="31">
        <f>CHAIN_RAW!C1446</f>
        <v/>
      </c>
      <c r="E1448" s="31">
        <f>CHAIN_RAW!E1446</f>
        <v/>
      </c>
      <c r="F1448" s="31">
        <f>CHAIN_RAW!F1446</f>
        <v/>
      </c>
      <c r="G1448" s="31">
        <f>CHAIN_RAW!I1446</f>
        <v/>
      </c>
      <c r="H1448" s="31">
        <f>CHAIN_RAW!Q1446</f>
        <v/>
      </c>
      <c r="I1448" s="31">
        <f>LET(pc,F1448,oc,H1448,IF(OR(pc="",oc=""),"",IF(AND(pc&gt;0,oc&gt;0),"Long Buildup",IF(AND(pc&lt;0,oc&gt;0),"Short Buildup",IF(AND(pc&gt;0,oc&lt;0),"Short Covering",IF(AND(pc&lt;0,oc&lt;0),"Long Unwinding","Flat"))))))</f>
        <v/>
      </c>
      <c r="J1448" s="31">
        <f>LET(pc,ABS(F1448),oc,ABS(H1448),IF(OR(pc="",oc=""),"",MAX(1,MIN(5,ROUND((pc*0.5+oc*0.00001)*5,0))))))</f>
        <v/>
      </c>
    </row>
    <row r="1449">
      <c r="A1449" s="31" t="n">
        <v>1447</v>
      </c>
      <c r="B1449" s="31">
        <f>CHAIN_RAW!D1447</f>
        <v/>
      </c>
      <c r="C1449" s="31">
        <f>CHAIN_RAW!A1447</f>
        <v/>
      </c>
      <c r="D1449" s="31">
        <f>CHAIN_RAW!C1447</f>
        <v/>
      </c>
      <c r="E1449" s="31">
        <f>CHAIN_RAW!E1447</f>
        <v/>
      </c>
      <c r="F1449" s="31">
        <f>CHAIN_RAW!F1447</f>
        <v/>
      </c>
      <c r="G1449" s="31">
        <f>CHAIN_RAW!I1447</f>
        <v/>
      </c>
      <c r="H1449" s="31">
        <f>CHAIN_RAW!Q1447</f>
        <v/>
      </c>
      <c r="I1449" s="31">
        <f>LET(pc,F1449,oc,H1449,IF(OR(pc="",oc=""),"",IF(AND(pc&gt;0,oc&gt;0),"Long Buildup",IF(AND(pc&lt;0,oc&gt;0),"Short Buildup",IF(AND(pc&gt;0,oc&lt;0),"Short Covering",IF(AND(pc&lt;0,oc&lt;0),"Long Unwinding","Flat"))))))</f>
        <v/>
      </c>
      <c r="J1449" s="31">
        <f>LET(pc,ABS(F1449),oc,ABS(H1449),IF(OR(pc="",oc=""),"",MAX(1,MIN(5,ROUND((pc*0.5+oc*0.00001)*5,0))))))</f>
        <v/>
      </c>
    </row>
    <row r="1450">
      <c r="A1450" s="31" t="n">
        <v>1448</v>
      </c>
      <c r="B1450" s="31">
        <f>CHAIN_RAW!D1448</f>
        <v/>
      </c>
      <c r="C1450" s="31">
        <f>CHAIN_RAW!A1448</f>
        <v/>
      </c>
      <c r="D1450" s="31">
        <f>CHAIN_RAW!C1448</f>
        <v/>
      </c>
      <c r="E1450" s="31">
        <f>CHAIN_RAW!E1448</f>
        <v/>
      </c>
      <c r="F1450" s="31">
        <f>CHAIN_RAW!F1448</f>
        <v/>
      </c>
      <c r="G1450" s="31">
        <f>CHAIN_RAW!I1448</f>
        <v/>
      </c>
      <c r="H1450" s="31">
        <f>CHAIN_RAW!Q1448</f>
        <v/>
      </c>
      <c r="I1450" s="31">
        <f>LET(pc,F1450,oc,H1450,IF(OR(pc="",oc=""),"",IF(AND(pc&gt;0,oc&gt;0),"Long Buildup",IF(AND(pc&lt;0,oc&gt;0),"Short Buildup",IF(AND(pc&gt;0,oc&lt;0),"Short Covering",IF(AND(pc&lt;0,oc&lt;0),"Long Unwinding","Flat"))))))</f>
        <v/>
      </c>
      <c r="J1450" s="31">
        <f>LET(pc,ABS(F1450),oc,ABS(H1450),IF(OR(pc="",oc=""),"",MAX(1,MIN(5,ROUND((pc*0.5+oc*0.00001)*5,0))))))</f>
        <v/>
      </c>
    </row>
    <row r="1451">
      <c r="A1451" s="31" t="n">
        <v>1449</v>
      </c>
      <c r="B1451" s="31">
        <f>CHAIN_RAW!D1449</f>
        <v/>
      </c>
      <c r="C1451" s="31">
        <f>CHAIN_RAW!A1449</f>
        <v/>
      </c>
      <c r="D1451" s="31">
        <f>CHAIN_RAW!C1449</f>
        <v/>
      </c>
      <c r="E1451" s="31">
        <f>CHAIN_RAW!E1449</f>
        <v/>
      </c>
      <c r="F1451" s="31">
        <f>CHAIN_RAW!F1449</f>
        <v/>
      </c>
      <c r="G1451" s="31">
        <f>CHAIN_RAW!I1449</f>
        <v/>
      </c>
      <c r="H1451" s="31">
        <f>CHAIN_RAW!Q1449</f>
        <v/>
      </c>
      <c r="I1451" s="31">
        <f>LET(pc,F1451,oc,H1451,IF(OR(pc="",oc=""),"",IF(AND(pc&gt;0,oc&gt;0),"Long Buildup",IF(AND(pc&lt;0,oc&gt;0),"Short Buildup",IF(AND(pc&gt;0,oc&lt;0),"Short Covering",IF(AND(pc&lt;0,oc&lt;0),"Long Unwinding","Flat"))))))</f>
        <v/>
      </c>
      <c r="J1451" s="31">
        <f>LET(pc,ABS(F1451),oc,ABS(H1451),IF(OR(pc="",oc=""),"",MAX(1,MIN(5,ROUND((pc*0.5+oc*0.00001)*5,0))))))</f>
        <v/>
      </c>
    </row>
    <row r="1452">
      <c r="A1452" s="31" t="n">
        <v>1450</v>
      </c>
      <c r="B1452" s="31">
        <f>CHAIN_RAW!D1450</f>
        <v/>
      </c>
      <c r="C1452" s="31">
        <f>CHAIN_RAW!A1450</f>
        <v/>
      </c>
      <c r="D1452" s="31">
        <f>CHAIN_RAW!C1450</f>
        <v/>
      </c>
      <c r="E1452" s="31">
        <f>CHAIN_RAW!E1450</f>
        <v/>
      </c>
      <c r="F1452" s="31">
        <f>CHAIN_RAW!F1450</f>
        <v/>
      </c>
      <c r="G1452" s="31">
        <f>CHAIN_RAW!I1450</f>
        <v/>
      </c>
      <c r="H1452" s="31">
        <f>CHAIN_RAW!Q1450</f>
        <v/>
      </c>
      <c r="I1452" s="31">
        <f>LET(pc,F1452,oc,H1452,IF(OR(pc="",oc=""),"",IF(AND(pc&gt;0,oc&gt;0),"Long Buildup",IF(AND(pc&lt;0,oc&gt;0),"Short Buildup",IF(AND(pc&gt;0,oc&lt;0),"Short Covering",IF(AND(pc&lt;0,oc&lt;0),"Long Unwinding","Flat"))))))</f>
        <v/>
      </c>
      <c r="J1452" s="31">
        <f>LET(pc,ABS(F1452),oc,ABS(H1452),IF(OR(pc="",oc=""),"",MAX(1,MIN(5,ROUND((pc*0.5+oc*0.00001)*5,0))))))</f>
        <v/>
      </c>
    </row>
    <row r="1453">
      <c r="A1453" s="31" t="n">
        <v>1451</v>
      </c>
      <c r="B1453" s="31">
        <f>CHAIN_RAW!D1451</f>
        <v/>
      </c>
      <c r="C1453" s="31">
        <f>CHAIN_RAW!A1451</f>
        <v/>
      </c>
      <c r="D1453" s="31">
        <f>CHAIN_RAW!C1451</f>
        <v/>
      </c>
      <c r="E1453" s="31">
        <f>CHAIN_RAW!E1451</f>
        <v/>
      </c>
      <c r="F1453" s="31">
        <f>CHAIN_RAW!F1451</f>
        <v/>
      </c>
      <c r="G1453" s="31">
        <f>CHAIN_RAW!I1451</f>
        <v/>
      </c>
      <c r="H1453" s="31">
        <f>CHAIN_RAW!Q1451</f>
        <v/>
      </c>
      <c r="I1453" s="31">
        <f>LET(pc,F1453,oc,H1453,IF(OR(pc="",oc=""),"",IF(AND(pc&gt;0,oc&gt;0),"Long Buildup",IF(AND(pc&lt;0,oc&gt;0),"Short Buildup",IF(AND(pc&gt;0,oc&lt;0),"Short Covering",IF(AND(pc&lt;0,oc&lt;0),"Long Unwinding","Flat"))))))</f>
        <v/>
      </c>
      <c r="J1453" s="31">
        <f>LET(pc,ABS(F1453),oc,ABS(H1453),IF(OR(pc="",oc=""),"",MAX(1,MIN(5,ROUND((pc*0.5+oc*0.00001)*5,0))))))</f>
        <v/>
      </c>
    </row>
    <row r="1454">
      <c r="A1454" s="31" t="n">
        <v>1452</v>
      </c>
      <c r="B1454" s="31">
        <f>CHAIN_RAW!D1452</f>
        <v/>
      </c>
      <c r="C1454" s="31">
        <f>CHAIN_RAW!A1452</f>
        <v/>
      </c>
      <c r="D1454" s="31">
        <f>CHAIN_RAW!C1452</f>
        <v/>
      </c>
      <c r="E1454" s="31">
        <f>CHAIN_RAW!E1452</f>
        <v/>
      </c>
      <c r="F1454" s="31">
        <f>CHAIN_RAW!F1452</f>
        <v/>
      </c>
      <c r="G1454" s="31">
        <f>CHAIN_RAW!I1452</f>
        <v/>
      </c>
      <c r="H1454" s="31">
        <f>CHAIN_RAW!Q1452</f>
        <v/>
      </c>
      <c r="I1454" s="31">
        <f>LET(pc,F1454,oc,H1454,IF(OR(pc="",oc=""),"",IF(AND(pc&gt;0,oc&gt;0),"Long Buildup",IF(AND(pc&lt;0,oc&gt;0),"Short Buildup",IF(AND(pc&gt;0,oc&lt;0),"Short Covering",IF(AND(pc&lt;0,oc&lt;0),"Long Unwinding","Flat"))))))</f>
        <v/>
      </c>
      <c r="J1454" s="31">
        <f>LET(pc,ABS(F1454),oc,ABS(H1454),IF(OR(pc="",oc=""),"",MAX(1,MIN(5,ROUND((pc*0.5+oc*0.00001)*5,0))))))</f>
        <v/>
      </c>
    </row>
    <row r="1455">
      <c r="A1455" s="31" t="n">
        <v>1453</v>
      </c>
      <c r="B1455" s="31">
        <f>CHAIN_RAW!D1453</f>
        <v/>
      </c>
      <c r="C1455" s="31">
        <f>CHAIN_RAW!A1453</f>
        <v/>
      </c>
      <c r="D1455" s="31">
        <f>CHAIN_RAW!C1453</f>
        <v/>
      </c>
      <c r="E1455" s="31">
        <f>CHAIN_RAW!E1453</f>
        <v/>
      </c>
      <c r="F1455" s="31">
        <f>CHAIN_RAW!F1453</f>
        <v/>
      </c>
      <c r="G1455" s="31">
        <f>CHAIN_RAW!I1453</f>
        <v/>
      </c>
      <c r="H1455" s="31">
        <f>CHAIN_RAW!Q1453</f>
        <v/>
      </c>
      <c r="I1455" s="31">
        <f>LET(pc,F1455,oc,H1455,IF(OR(pc="",oc=""),"",IF(AND(pc&gt;0,oc&gt;0),"Long Buildup",IF(AND(pc&lt;0,oc&gt;0),"Short Buildup",IF(AND(pc&gt;0,oc&lt;0),"Short Covering",IF(AND(pc&lt;0,oc&lt;0),"Long Unwinding","Flat"))))))</f>
        <v/>
      </c>
      <c r="J1455" s="31">
        <f>LET(pc,ABS(F1455),oc,ABS(H1455),IF(OR(pc="",oc=""),"",MAX(1,MIN(5,ROUND((pc*0.5+oc*0.00001)*5,0))))))</f>
        <v/>
      </c>
    </row>
    <row r="1456">
      <c r="A1456" s="31" t="n">
        <v>1454</v>
      </c>
      <c r="B1456" s="31">
        <f>CHAIN_RAW!D1454</f>
        <v/>
      </c>
      <c r="C1456" s="31">
        <f>CHAIN_RAW!A1454</f>
        <v/>
      </c>
      <c r="D1456" s="31">
        <f>CHAIN_RAW!C1454</f>
        <v/>
      </c>
      <c r="E1456" s="31">
        <f>CHAIN_RAW!E1454</f>
        <v/>
      </c>
      <c r="F1456" s="31">
        <f>CHAIN_RAW!F1454</f>
        <v/>
      </c>
      <c r="G1456" s="31">
        <f>CHAIN_RAW!I1454</f>
        <v/>
      </c>
      <c r="H1456" s="31">
        <f>CHAIN_RAW!Q1454</f>
        <v/>
      </c>
      <c r="I1456" s="31">
        <f>LET(pc,F1456,oc,H1456,IF(OR(pc="",oc=""),"",IF(AND(pc&gt;0,oc&gt;0),"Long Buildup",IF(AND(pc&lt;0,oc&gt;0),"Short Buildup",IF(AND(pc&gt;0,oc&lt;0),"Short Covering",IF(AND(pc&lt;0,oc&lt;0),"Long Unwinding","Flat"))))))</f>
        <v/>
      </c>
      <c r="J1456" s="31">
        <f>LET(pc,ABS(F1456),oc,ABS(H1456),IF(OR(pc="",oc=""),"",MAX(1,MIN(5,ROUND((pc*0.5+oc*0.00001)*5,0))))))</f>
        <v/>
      </c>
    </row>
    <row r="1457">
      <c r="A1457" s="31" t="n">
        <v>1455</v>
      </c>
      <c r="B1457" s="31">
        <f>CHAIN_RAW!D1455</f>
        <v/>
      </c>
      <c r="C1457" s="31">
        <f>CHAIN_RAW!A1455</f>
        <v/>
      </c>
      <c r="D1457" s="31">
        <f>CHAIN_RAW!C1455</f>
        <v/>
      </c>
      <c r="E1457" s="31">
        <f>CHAIN_RAW!E1455</f>
        <v/>
      </c>
      <c r="F1457" s="31">
        <f>CHAIN_RAW!F1455</f>
        <v/>
      </c>
      <c r="G1457" s="31">
        <f>CHAIN_RAW!I1455</f>
        <v/>
      </c>
      <c r="H1457" s="31">
        <f>CHAIN_RAW!Q1455</f>
        <v/>
      </c>
      <c r="I1457" s="31">
        <f>LET(pc,F1457,oc,H1457,IF(OR(pc="",oc=""),"",IF(AND(pc&gt;0,oc&gt;0),"Long Buildup",IF(AND(pc&lt;0,oc&gt;0),"Short Buildup",IF(AND(pc&gt;0,oc&lt;0),"Short Covering",IF(AND(pc&lt;0,oc&lt;0),"Long Unwinding","Flat"))))))</f>
        <v/>
      </c>
      <c r="J1457" s="31">
        <f>LET(pc,ABS(F1457),oc,ABS(H1457),IF(OR(pc="",oc=""),"",MAX(1,MIN(5,ROUND((pc*0.5+oc*0.00001)*5,0))))))</f>
        <v/>
      </c>
    </row>
    <row r="1458">
      <c r="A1458" s="31" t="n">
        <v>1456</v>
      </c>
      <c r="B1458" s="31">
        <f>CHAIN_RAW!D1456</f>
        <v/>
      </c>
      <c r="C1458" s="31">
        <f>CHAIN_RAW!A1456</f>
        <v/>
      </c>
      <c r="D1458" s="31">
        <f>CHAIN_RAW!C1456</f>
        <v/>
      </c>
      <c r="E1458" s="31">
        <f>CHAIN_RAW!E1456</f>
        <v/>
      </c>
      <c r="F1458" s="31">
        <f>CHAIN_RAW!F1456</f>
        <v/>
      </c>
      <c r="G1458" s="31">
        <f>CHAIN_RAW!I1456</f>
        <v/>
      </c>
      <c r="H1458" s="31">
        <f>CHAIN_RAW!Q1456</f>
        <v/>
      </c>
      <c r="I1458" s="31">
        <f>LET(pc,F1458,oc,H1458,IF(OR(pc="",oc=""),"",IF(AND(pc&gt;0,oc&gt;0),"Long Buildup",IF(AND(pc&lt;0,oc&gt;0),"Short Buildup",IF(AND(pc&gt;0,oc&lt;0),"Short Covering",IF(AND(pc&lt;0,oc&lt;0),"Long Unwinding","Flat"))))))</f>
        <v/>
      </c>
      <c r="J1458" s="31">
        <f>LET(pc,ABS(F1458),oc,ABS(H1458),IF(OR(pc="",oc=""),"",MAX(1,MIN(5,ROUND((pc*0.5+oc*0.00001)*5,0))))))</f>
        <v/>
      </c>
    </row>
    <row r="1459">
      <c r="A1459" s="31" t="n">
        <v>1457</v>
      </c>
      <c r="B1459" s="31">
        <f>CHAIN_RAW!D1457</f>
        <v/>
      </c>
      <c r="C1459" s="31">
        <f>CHAIN_RAW!A1457</f>
        <v/>
      </c>
      <c r="D1459" s="31">
        <f>CHAIN_RAW!C1457</f>
        <v/>
      </c>
      <c r="E1459" s="31">
        <f>CHAIN_RAW!E1457</f>
        <v/>
      </c>
      <c r="F1459" s="31">
        <f>CHAIN_RAW!F1457</f>
        <v/>
      </c>
      <c r="G1459" s="31">
        <f>CHAIN_RAW!I1457</f>
        <v/>
      </c>
      <c r="H1459" s="31">
        <f>CHAIN_RAW!Q1457</f>
        <v/>
      </c>
      <c r="I1459" s="31">
        <f>LET(pc,F1459,oc,H1459,IF(OR(pc="",oc=""),"",IF(AND(pc&gt;0,oc&gt;0),"Long Buildup",IF(AND(pc&lt;0,oc&gt;0),"Short Buildup",IF(AND(pc&gt;0,oc&lt;0),"Short Covering",IF(AND(pc&lt;0,oc&lt;0),"Long Unwinding","Flat"))))))</f>
        <v/>
      </c>
      <c r="J1459" s="31">
        <f>LET(pc,ABS(F1459),oc,ABS(H1459),IF(OR(pc="",oc=""),"",MAX(1,MIN(5,ROUND((pc*0.5+oc*0.00001)*5,0))))))</f>
        <v/>
      </c>
    </row>
    <row r="1460">
      <c r="A1460" s="31" t="n">
        <v>1458</v>
      </c>
      <c r="B1460" s="31">
        <f>CHAIN_RAW!D1458</f>
        <v/>
      </c>
      <c r="C1460" s="31">
        <f>CHAIN_RAW!A1458</f>
        <v/>
      </c>
      <c r="D1460" s="31">
        <f>CHAIN_RAW!C1458</f>
        <v/>
      </c>
      <c r="E1460" s="31">
        <f>CHAIN_RAW!E1458</f>
        <v/>
      </c>
      <c r="F1460" s="31">
        <f>CHAIN_RAW!F1458</f>
        <v/>
      </c>
      <c r="G1460" s="31">
        <f>CHAIN_RAW!I1458</f>
        <v/>
      </c>
      <c r="H1460" s="31">
        <f>CHAIN_RAW!Q1458</f>
        <v/>
      </c>
      <c r="I1460" s="31">
        <f>LET(pc,F1460,oc,H1460,IF(OR(pc="",oc=""),"",IF(AND(pc&gt;0,oc&gt;0),"Long Buildup",IF(AND(pc&lt;0,oc&gt;0),"Short Buildup",IF(AND(pc&gt;0,oc&lt;0),"Short Covering",IF(AND(pc&lt;0,oc&lt;0),"Long Unwinding","Flat"))))))</f>
        <v/>
      </c>
      <c r="J1460" s="31">
        <f>LET(pc,ABS(F1460),oc,ABS(H1460),IF(OR(pc="",oc=""),"",MAX(1,MIN(5,ROUND((pc*0.5+oc*0.00001)*5,0))))))</f>
        <v/>
      </c>
    </row>
    <row r="1461">
      <c r="A1461" s="31" t="n">
        <v>1459</v>
      </c>
      <c r="B1461" s="31">
        <f>CHAIN_RAW!D1459</f>
        <v/>
      </c>
      <c r="C1461" s="31">
        <f>CHAIN_RAW!A1459</f>
        <v/>
      </c>
      <c r="D1461" s="31">
        <f>CHAIN_RAW!C1459</f>
        <v/>
      </c>
      <c r="E1461" s="31">
        <f>CHAIN_RAW!E1459</f>
        <v/>
      </c>
      <c r="F1461" s="31">
        <f>CHAIN_RAW!F1459</f>
        <v/>
      </c>
      <c r="G1461" s="31">
        <f>CHAIN_RAW!I1459</f>
        <v/>
      </c>
      <c r="H1461" s="31">
        <f>CHAIN_RAW!Q1459</f>
        <v/>
      </c>
      <c r="I1461" s="31">
        <f>LET(pc,F1461,oc,H1461,IF(OR(pc="",oc=""),"",IF(AND(pc&gt;0,oc&gt;0),"Long Buildup",IF(AND(pc&lt;0,oc&gt;0),"Short Buildup",IF(AND(pc&gt;0,oc&lt;0),"Short Covering",IF(AND(pc&lt;0,oc&lt;0),"Long Unwinding","Flat"))))))</f>
        <v/>
      </c>
      <c r="J1461" s="31">
        <f>LET(pc,ABS(F1461),oc,ABS(H1461),IF(OR(pc="",oc=""),"",MAX(1,MIN(5,ROUND((pc*0.5+oc*0.00001)*5,0))))))</f>
        <v/>
      </c>
    </row>
    <row r="1462">
      <c r="A1462" s="31" t="n">
        <v>1460</v>
      </c>
      <c r="B1462" s="31">
        <f>CHAIN_RAW!D1460</f>
        <v/>
      </c>
      <c r="C1462" s="31">
        <f>CHAIN_RAW!A1460</f>
        <v/>
      </c>
      <c r="D1462" s="31">
        <f>CHAIN_RAW!C1460</f>
        <v/>
      </c>
      <c r="E1462" s="31">
        <f>CHAIN_RAW!E1460</f>
        <v/>
      </c>
      <c r="F1462" s="31">
        <f>CHAIN_RAW!F1460</f>
        <v/>
      </c>
      <c r="G1462" s="31">
        <f>CHAIN_RAW!I1460</f>
        <v/>
      </c>
      <c r="H1462" s="31">
        <f>CHAIN_RAW!Q1460</f>
        <v/>
      </c>
      <c r="I1462" s="31">
        <f>LET(pc,F1462,oc,H1462,IF(OR(pc="",oc=""),"",IF(AND(pc&gt;0,oc&gt;0),"Long Buildup",IF(AND(pc&lt;0,oc&gt;0),"Short Buildup",IF(AND(pc&gt;0,oc&lt;0),"Short Covering",IF(AND(pc&lt;0,oc&lt;0),"Long Unwinding","Flat"))))))</f>
        <v/>
      </c>
      <c r="J1462" s="31">
        <f>LET(pc,ABS(F1462),oc,ABS(H1462),IF(OR(pc="",oc=""),"",MAX(1,MIN(5,ROUND((pc*0.5+oc*0.00001)*5,0))))))</f>
        <v/>
      </c>
    </row>
    <row r="1463">
      <c r="A1463" s="31" t="n">
        <v>1461</v>
      </c>
      <c r="B1463" s="31">
        <f>CHAIN_RAW!D1461</f>
        <v/>
      </c>
      <c r="C1463" s="31">
        <f>CHAIN_RAW!A1461</f>
        <v/>
      </c>
      <c r="D1463" s="31">
        <f>CHAIN_RAW!C1461</f>
        <v/>
      </c>
      <c r="E1463" s="31">
        <f>CHAIN_RAW!E1461</f>
        <v/>
      </c>
      <c r="F1463" s="31">
        <f>CHAIN_RAW!F1461</f>
        <v/>
      </c>
      <c r="G1463" s="31">
        <f>CHAIN_RAW!I1461</f>
        <v/>
      </c>
      <c r="H1463" s="31">
        <f>CHAIN_RAW!Q1461</f>
        <v/>
      </c>
      <c r="I1463" s="31">
        <f>LET(pc,F1463,oc,H1463,IF(OR(pc="",oc=""),"",IF(AND(pc&gt;0,oc&gt;0),"Long Buildup",IF(AND(pc&lt;0,oc&gt;0),"Short Buildup",IF(AND(pc&gt;0,oc&lt;0),"Short Covering",IF(AND(pc&lt;0,oc&lt;0),"Long Unwinding","Flat"))))))</f>
        <v/>
      </c>
      <c r="J1463" s="31">
        <f>LET(pc,ABS(F1463),oc,ABS(H1463),IF(OR(pc="",oc=""),"",MAX(1,MIN(5,ROUND((pc*0.5+oc*0.00001)*5,0))))))</f>
        <v/>
      </c>
    </row>
    <row r="1464">
      <c r="A1464" s="31" t="n">
        <v>1462</v>
      </c>
      <c r="B1464" s="31">
        <f>CHAIN_RAW!D1462</f>
        <v/>
      </c>
      <c r="C1464" s="31">
        <f>CHAIN_RAW!A1462</f>
        <v/>
      </c>
      <c r="D1464" s="31">
        <f>CHAIN_RAW!C1462</f>
        <v/>
      </c>
      <c r="E1464" s="31">
        <f>CHAIN_RAW!E1462</f>
        <v/>
      </c>
      <c r="F1464" s="31">
        <f>CHAIN_RAW!F1462</f>
        <v/>
      </c>
      <c r="G1464" s="31">
        <f>CHAIN_RAW!I1462</f>
        <v/>
      </c>
      <c r="H1464" s="31">
        <f>CHAIN_RAW!Q1462</f>
        <v/>
      </c>
      <c r="I1464" s="31">
        <f>LET(pc,F1464,oc,H1464,IF(OR(pc="",oc=""),"",IF(AND(pc&gt;0,oc&gt;0),"Long Buildup",IF(AND(pc&lt;0,oc&gt;0),"Short Buildup",IF(AND(pc&gt;0,oc&lt;0),"Short Covering",IF(AND(pc&lt;0,oc&lt;0),"Long Unwinding","Flat"))))))</f>
        <v/>
      </c>
      <c r="J1464" s="31">
        <f>LET(pc,ABS(F1464),oc,ABS(H1464),IF(OR(pc="",oc=""),"",MAX(1,MIN(5,ROUND((pc*0.5+oc*0.00001)*5,0))))))</f>
        <v/>
      </c>
    </row>
    <row r="1465">
      <c r="A1465" s="31" t="n">
        <v>1463</v>
      </c>
      <c r="B1465" s="31">
        <f>CHAIN_RAW!D1463</f>
        <v/>
      </c>
      <c r="C1465" s="31">
        <f>CHAIN_RAW!A1463</f>
        <v/>
      </c>
      <c r="D1465" s="31">
        <f>CHAIN_RAW!C1463</f>
        <v/>
      </c>
      <c r="E1465" s="31">
        <f>CHAIN_RAW!E1463</f>
        <v/>
      </c>
      <c r="F1465" s="31">
        <f>CHAIN_RAW!F1463</f>
        <v/>
      </c>
      <c r="G1465" s="31">
        <f>CHAIN_RAW!I1463</f>
        <v/>
      </c>
      <c r="H1465" s="31">
        <f>CHAIN_RAW!Q1463</f>
        <v/>
      </c>
      <c r="I1465" s="31">
        <f>LET(pc,F1465,oc,H1465,IF(OR(pc="",oc=""),"",IF(AND(pc&gt;0,oc&gt;0),"Long Buildup",IF(AND(pc&lt;0,oc&gt;0),"Short Buildup",IF(AND(pc&gt;0,oc&lt;0),"Short Covering",IF(AND(pc&lt;0,oc&lt;0),"Long Unwinding","Flat"))))))</f>
        <v/>
      </c>
      <c r="J1465" s="31">
        <f>LET(pc,ABS(F1465),oc,ABS(H1465),IF(OR(pc="",oc=""),"",MAX(1,MIN(5,ROUND((pc*0.5+oc*0.00001)*5,0))))))</f>
        <v/>
      </c>
    </row>
    <row r="1466">
      <c r="A1466" s="31" t="n">
        <v>1464</v>
      </c>
      <c r="B1466" s="31">
        <f>CHAIN_RAW!D1464</f>
        <v/>
      </c>
      <c r="C1466" s="31">
        <f>CHAIN_RAW!A1464</f>
        <v/>
      </c>
      <c r="D1466" s="31">
        <f>CHAIN_RAW!C1464</f>
        <v/>
      </c>
      <c r="E1466" s="31">
        <f>CHAIN_RAW!E1464</f>
        <v/>
      </c>
      <c r="F1466" s="31">
        <f>CHAIN_RAW!F1464</f>
        <v/>
      </c>
      <c r="G1466" s="31">
        <f>CHAIN_RAW!I1464</f>
        <v/>
      </c>
      <c r="H1466" s="31">
        <f>CHAIN_RAW!Q1464</f>
        <v/>
      </c>
      <c r="I1466" s="31">
        <f>LET(pc,F1466,oc,H1466,IF(OR(pc="",oc=""),"",IF(AND(pc&gt;0,oc&gt;0),"Long Buildup",IF(AND(pc&lt;0,oc&gt;0),"Short Buildup",IF(AND(pc&gt;0,oc&lt;0),"Short Covering",IF(AND(pc&lt;0,oc&lt;0),"Long Unwinding","Flat"))))))</f>
        <v/>
      </c>
      <c r="J1466" s="31">
        <f>LET(pc,ABS(F1466),oc,ABS(H1466),IF(OR(pc="",oc=""),"",MAX(1,MIN(5,ROUND((pc*0.5+oc*0.00001)*5,0))))))</f>
        <v/>
      </c>
    </row>
    <row r="1467">
      <c r="A1467" s="31" t="n">
        <v>1465</v>
      </c>
      <c r="B1467" s="31">
        <f>CHAIN_RAW!D1465</f>
        <v/>
      </c>
      <c r="C1467" s="31">
        <f>CHAIN_RAW!A1465</f>
        <v/>
      </c>
      <c r="D1467" s="31">
        <f>CHAIN_RAW!C1465</f>
        <v/>
      </c>
      <c r="E1467" s="31">
        <f>CHAIN_RAW!E1465</f>
        <v/>
      </c>
      <c r="F1467" s="31">
        <f>CHAIN_RAW!F1465</f>
        <v/>
      </c>
      <c r="G1467" s="31">
        <f>CHAIN_RAW!I1465</f>
        <v/>
      </c>
      <c r="H1467" s="31">
        <f>CHAIN_RAW!Q1465</f>
        <v/>
      </c>
      <c r="I1467" s="31">
        <f>LET(pc,F1467,oc,H1467,IF(OR(pc="",oc=""),"",IF(AND(pc&gt;0,oc&gt;0),"Long Buildup",IF(AND(pc&lt;0,oc&gt;0),"Short Buildup",IF(AND(pc&gt;0,oc&lt;0),"Short Covering",IF(AND(pc&lt;0,oc&lt;0),"Long Unwinding","Flat"))))))</f>
        <v/>
      </c>
      <c r="J1467" s="31">
        <f>LET(pc,ABS(F1467),oc,ABS(H1467),IF(OR(pc="",oc=""),"",MAX(1,MIN(5,ROUND((pc*0.5+oc*0.00001)*5,0))))))</f>
        <v/>
      </c>
    </row>
    <row r="1468">
      <c r="A1468" s="31" t="n">
        <v>1466</v>
      </c>
      <c r="B1468" s="31">
        <f>CHAIN_RAW!D1466</f>
        <v/>
      </c>
      <c r="C1468" s="31">
        <f>CHAIN_RAW!A1466</f>
        <v/>
      </c>
      <c r="D1468" s="31">
        <f>CHAIN_RAW!C1466</f>
        <v/>
      </c>
      <c r="E1468" s="31">
        <f>CHAIN_RAW!E1466</f>
        <v/>
      </c>
      <c r="F1468" s="31">
        <f>CHAIN_RAW!F1466</f>
        <v/>
      </c>
      <c r="G1468" s="31">
        <f>CHAIN_RAW!I1466</f>
        <v/>
      </c>
      <c r="H1468" s="31">
        <f>CHAIN_RAW!Q1466</f>
        <v/>
      </c>
      <c r="I1468" s="31">
        <f>LET(pc,F1468,oc,H1468,IF(OR(pc="",oc=""),"",IF(AND(pc&gt;0,oc&gt;0),"Long Buildup",IF(AND(pc&lt;0,oc&gt;0),"Short Buildup",IF(AND(pc&gt;0,oc&lt;0),"Short Covering",IF(AND(pc&lt;0,oc&lt;0),"Long Unwinding","Flat"))))))</f>
        <v/>
      </c>
      <c r="J1468" s="31">
        <f>LET(pc,ABS(F1468),oc,ABS(H1468),IF(OR(pc="",oc=""),"",MAX(1,MIN(5,ROUND((pc*0.5+oc*0.00001)*5,0))))))</f>
        <v/>
      </c>
    </row>
    <row r="1469">
      <c r="A1469" s="31" t="n">
        <v>1467</v>
      </c>
      <c r="B1469" s="31">
        <f>CHAIN_RAW!D1467</f>
        <v/>
      </c>
      <c r="C1469" s="31">
        <f>CHAIN_RAW!A1467</f>
        <v/>
      </c>
      <c r="D1469" s="31">
        <f>CHAIN_RAW!C1467</f>
        <v/>
      </c>
      <c r="E1469" s="31">
        <f>CHAIN_RAW!E1467</f>
        <v/>
      </c>
      <c r="F1469" s="31">
        <f>CHAIN_RAW!F1467</f>
        <v/>
      </c>
      <c r="G1469" s="31">
        <f>CHAIN_RAW!I1467</f>
        <v/>
      </c>
      <c r="H1469" s="31">
        <f>CHAIN_RAW!Q1467</f>
        <v/>
      </c>
      <c r="I1469" s="31">
        <f>LET(pc,F1469,oc,H1469,IF(OR(pc="",oc=""),"",IF(AND(pc&gt;0,oc&gt;0),"Long Buildup",IF(AND(pc&lt;0,oc&gt;0),"Short Buildup",IF(AND(pc&gt;0,oc&lt;0),"Short Covering",IF(AND(pc&lt;0,oc&lt;0),"Long Unwinding","Flat"))))))</f>
        <v/>
      </c>
      <c r="J1469" s="31">
        <f>LET(pc,ABS(F1469),oc,ABS(H1469),IF(OR(pc="",oc=""),"",MAX(1,MIN(5,ROUND((pc*0.5+oc*0.00001)*5,0))))))</f>
        <v/>
      </c>
    </row>
    <row r="1470">
      <c r="A1470" s="31" t="n">
        <v>1468</v>
      </c>
      <c r="B1470" s="31">
        <f>CHAIN_RAW!D1468</f>
        <v/>
      </c>
      <c r="C1470" s="31">
        <f>CHAIN_RAW!A1468</f>
        <v/>
      </c>
      <c r="D1470" s="31">
        <f>CHAIN_RAW!C1468</f>
        <v/>
      </c>
      <c r="E1470" s="31">
        <f>CHAIN_RAW!E1468</f>
        <v/>
      </c>
      <c r="F1470" s="31">
        <f>CHAIN_RAW!F1468</f>
        <v/>
      </c>
      <c r="G1470" s="31">
        <f>CHAIN_RAW!I1468</f>
        <v/>
      </c>
      <c r="H1470" s="31">
        <f>CHAIN_RAW!Q1468</f>
        <v/>
      </c>
      <c r="I1470" s="31">
        <f>LET(pc,F1470,oc,H1470,IF(OR(pc="",oc=""),"",IF(AND(pc&gt;0,oc&gt;0),"Long Buildup",IF(AND(pc&lt;0,oc&gt;0),"Short Buildup",IF(AND(pc&gt;0,oc&lt;0),"Short Covering",IF(AND(pc&lt;0,oc&lt;0),"Long Unwinding","Flat"))))))</f>
        <v/>
      </c>
      <c r="J1470" s="31">
        <f>LET(pc,ABS(F1470),oc,ABS(H1470),IF(OR(pc="",oc=""),"",MAX(1,MIN(5,ROUND((pc*0.5+oc*0.00001)*5,0))))))</f>
        <v/>
      </c>
    </row>
    <row r="1471">
      <c r="A1471" s="31" t="n">
        <v>1469</v>
      </c>
      <c r="B1471" s="31">
        <f>CHAIN_RAW!D1469</f>
        <v/>
      </c>
      <c r="C1471" s="31">
        <f>CHAIN_RAW!A1469</f>
        <v/>
      </c>
      <c r="D1471" s="31">
        <f>CHAIN_RAW!C1469</f>
        <v/>
      </c>
      <c r="E1471" s="31">
        <f>CHAIN_RAW!E1469</f>
        <v/>
      </c>
      <c r="F1471" s="31">
        <f>CHAIN_RAW!F1469</f>
        <v/>
      </c>
      <c r="G1471" s="31">
        <f>CHAIN_RAW!I1469</f>
        <v/>
      </c>
      <c r="H1471" s="31">
        <f>CHAIN_RAW!Q1469</f>
        <v/>
      </c>
      <c r="I1471" s="31">
        <f>LET(pc,F1471,oc,H1471,IF(OR(pc="",oc=""),"",IF(AND(pc&gt;0,oc&gt;0),"Long Buildup",IF(AND(pc&lt;0,oc&gt;0),"Short Buildup",IF(AND(pc&gt;0,oc&lt;0),"Short Covering",IF(AND(pc&lt;0,oc&lt;0),"Long Unwinding","Flat"))))))</f>
        <v/>
      </c>
      <c r="J1471" s="31">
        <f>LET(pc,ABS(F1471),oc,ABS(H1471),IF(OR(pc="",oc=""),"",MAX(1,MIN(5,ROUND((pc*0.5+oc*0.00001)*5,0))))))</f>
        <v/>
      </c>
    </row>
    <row r="1472">
      <c r="A1472" s="31" t="n">
        <v>1470</v>
      </c>
      <c r="B1472" s="31">
        <f>CHAIN_RAW!D1470</f>
        <v/>
      </c>
      <c r="C1472" s="31">
        <f>CHAIN_RAW!A1470</f>
        <v/>
      </c>
      <c r="D1472" s="31">
        <f>CHAIN_RAW!C1470</f>
        <v/>
      </c>
      <c r="E1472" s="31">
        <f>CHAIN_RAW!E1470</f>
        <v/>
      </c>
      <c r="F1472" s="31">
        <f>CHAIN_RAW!F1470</f>
        <v/>
      </c>
      <c r="G1472" s="31">
        <f>CHAIN_RAW!I1470</f>
        <v/>
      </c>
      <c r="H1472" s="31">
        <f>CHAIN_RAW!Q1470</f>
        <v/>
      </c>
      <c r="I1472" s="31">
        <f>LET(pc,F1472,oc,H1472,IF(OR(pc="",oc=""),"",IF(AND(pc&gt;0,oc&gt;0),"Long Buildup",IF(AND(pc&lt;0,oc&gt;0),"Short Buildup",IF(AND(pc&gt;0,oc&lt;0),"Short Covering",IF(AND(pc&lt;0,oc&lt;0),"Long Unwinding","Flat"))))))</f>
        <v/>
      </c>
      <c r="J1472" s="31">
        <f>LET(pc,ABS(F1472),oc,ABS(H1472),IF(OR(pc="",oc=""),"",MAX(1,MIN(5,ROUND((pc*0.5+oc*0.00001)*5,0))))))</f>
        <v/>
      </c>
    </row>
    <row r="1473">
      <c r="A1473" s="31" t="n">
        <v>1471</v>
      </c>
      <c r="B1473" s="31">
        <f>CHAIN_RAW!D1471</f>
        <v/>
      </c>
      <c r="C1473" s="31">
        <f>CHAIN_RAW!A1471</f>
        <v/>
      </c>
      <c r="D1473" s="31">
        <f>CHAIN_RAW!C1471</f>
        <v/>
      </c>
      <c r="E1473" s="31">
        <f>CHAIN_RAW!E1471</f>
        <v/>
      </c>
      <c r="F1473" s="31">
        <f>CHAIN_RAW!F1471</f>
        <v/>
      </c>
      <c r="G1473" s="31">
        <f>CHAIN_RAW!I1471</f>
        <v/>
      </c>
      <c r="H1473" s="31">
        <f>CHAIN_RAW!Q1471</f>
        <v/>
      </c>
      <c r="I1473" s="31">
        <f>LET(pc,F1473,oc,H1473,IF(OR(pc="",oc=""),"",IF(AND(pc&gt;0,oc&gt;0),"Long Buildup",IF(AND(pc&lt;0,oc&gt;0),"Short Buildup",IF(AND(pc&gt;0,oc&lt;0),"Short Covering",IF(AND(pc&lt;0,oc&lt;0),"Long Unwinding","Flat"))))))</f>
        <v/>
      </c>
      <c r="J1473" s="31">
        <f>LET(pc,ABS(F1473),oc,ABS(H1473),IF(OR(pc="",oc=""),"",MAX(1,MIN(5,ROUND((pc*0.5+oc*0.00001)*5,0))))))</f>
        <v/>
      </c>
    </row>
    <row r="1474">
      <c r="A1474" s="31" t="n">
        <v>1472</v>
      </c>
      <c r="B1474" s="31">
        <f>CHAIN_RAW!D1472</f>
        <v/>
      </c>
      <c r="C1474" s="31">
        <f>CHAIN_RAW!A1472</f>
        <v/>
      </c>
      <c r="D1474" s="31">
        <f>CHAIN_RAW!C1472</f>
        <v/>
      </c>
      <c r="E1474" s="31">
        <f>CHAIN_RAW!E1472</f>
        <v/>
      </c>
      <c r="F1474" s="31">
        <f>CHAIN_RAW!F1472</f>
        <v/>
      </c>
      <c r="G1474" s="31">
        <f>CHAIN_RAW!I1472</f>
        <v/>
      </c>
      <c r="H1474" s="31">
        <f>CHAIN_RAW!Q1472</f>
        <v/>
      </c>
      <c r="I1474" s="31">
        <f>LET(pc,F1474,oc,H1474,IF(OR(pc="",oc=""),"",IF(AND(pc&gt;0,oc&gt;0),"Long Buildup",IF(AND(pc&lt;0,oc&gt;0),"Short Buildup",IF(AND(pc&gt;0,oc&lt;0),"Short Covering",IF(AND(pc&lt;0,oc&lt;0),"Long Unwinding","Flat"))))))</f>
        <v/>
      </c>
      <c r="J1474" s="31">
        <f>LET(pc,ABS(F1474),oc,ABS(H1474),IF(OR(pc="",oc=""),"",MAX(1,MIN(5,ROUND((pc*0.5+oc*0.00001)*5,0))))))</f>
        <v/>
      </c>
    </row>
    <row r="1475">
      <c r="A1475" s="31" t="n">
        <v>1473</v>
      </c>
      <c r="B1475" s="31">
        <f>CHAIN_RAW!D1473</f>
        <v/>
      </c>
      <c r="C1475" s="31">
        <f>CHAIN_RAW!A1473</f>
        <v/>
      </c>
      <c r="D1475" s="31">
        <f>CHAIN_RAW!C1473</f>
        <v/>
      </c>
      <c r="E1475" s="31">
        <f>CHAIN_RAW!E1473</f>
        <v/>
      </c>
      <c r="F1475" s="31">
        <f>CHAIN_RAW!F1473</f>
        <v/>
      </c>
      <c r="G1475" s="31">
        <f>CHAIN_RAW!I1473</f>
        <v/>
      </c>
      <c r="H1475" s="31">
        <f>CHAIN_RAW!Q1473</f>
        <v/>
      </c>
      <c r="I1475" s="31">
        <f>LET(pc,F1475,oc,H1475,IF(OR(pc="",oc=""),"",IF(AND(pc&gt;0,oc&gt;0),"Long Buildup",IF(AND(pc&lt;0,oc&gt;0),"Short Buildup",IF(AND(pc&gt;0,oc&lt;0),"Short Covering",IF(AND(pc&lt;0,oc&lt;0),"Long Unwinding","Flat"))))))</f>
        <v/>
      </c>
      <c r="J1475" s="31">
        <f>LET(pc,ABS(F1475),oc,ABS(H1475),IF(OR(pc="",oc=""),"",MAX(1,MIN(5,ROUND((pc*0.5+oc*0.00001)*5,0))))))</f>
        <v/>
      </c>
    </row>
    <row r="1476">
      <c r="A1476" s="31" t="n">
        <v>1474</v>
      </c>
      <c r="B1476" s="31">
        <f>CHAIN_RAW!D1474</f>
        <v/>
      </c>
      <c r="C1476" s="31">
        <f>CHAIN_RAW!A1474</f>
        <v/>
      </c>
      <c r="D1476" s="31">
        <f>CHAIN_RAW!C1474</f>
        <v/>
      </c>
      <c r="E1476" s="31">
        <f>CHAIN_RAW!E1474</f>
        <v/>
      </c>
      <c r="F1476" s="31">
        <f>CHAIN_RAW!F1474</f>
        <v/>
      </c>
      <c r="G1476" s="31">
        <f>CHAIN_RAW!I1474</f>
        <v/>
      </c>
      <c r="H1476" s="31">
        <f>CHAIN_RAW!Q1474</f>
        <v/>
      </c>
      <c r="I1476" s="31">
        <f>LET(pc,F1476,oc,H1476,IF(OR(pc="",oc=""),"",IF(AND(pc&gt;0,oc&gt;0),"Long Buildup",IF(AND(pc&lt;0,oc&gt;0),"Short Buildup",IF(AND(pc&gt;0,oc&lt;0),"Short Covering",IF(AND(pc&lt;0,oc&lt;0),"Long Unwinding","Flat"))))))</f>
        <v/>
      </c>
      <c r="J1476" s="31">
        <f>LET(pc,ABS(F1476),oc,ABS(H1476),IF(OR(pc="",oc=""),"",MAX(1,MIN(5,ROUND((pc*0.5+oc*0.00001)*5,0))))))</f>
        <v/>
      </c>
    </row>
    <row r="1477">
      <c r="A1477" s="31" t="n">
        <v>1475</v>
      </c>
      <c r="B1477" s="31">
        <f>CHAIN_RAW!D1475</f>
        <v/>
      </c>
      <c r="C1477" s="31">
        <f>CHAIN_RAW!A1475</f>
        <v/>
      </c>
      <c r="D1477" s="31">
        <f>CHAIN_RAW!C1475</f>
        <v/>
      </c>
      <c r="E1477" s="31">
        <f>CHAIN_RAW!E1475</f>
        <v/>
      </c>
      <c r="F1477" s="31">
        <f>CHAIN_RAW!F1475</f>
        <v/>
      </c>
      <c r="G1477" s="31">
        <f>CHAIN_RAW!I1475</f>
        <v/>
      </c>
      <c r="H1477" s="31">
        <f>CHAIN_RAW!Q1475</f>
        <v/>
      </c>
      <c r="I1477" s="31">
        <f>LET(pc,F1477,oc,H1477,IF(OR(pc="",oc=""),"",IF(AND(pc&gt;0,oc&gt;0),"Long Buildup",IF(AND(pc&lt;0,oc&gt;0),"Short Buildup",IF(AND(pc&gt;0,oc&lt;0),"Short Covering",IF(AND(pc&lt;0,oc&lt;0),"Long Unwinding","Flat"))))))</f>
        <v/>
      </c>
      <c r="J1477" s="31">
        <f>LET(pc,ABS(F1477),oc,ABS(H1477),IF(OR(pc="",oc=""),"",MAX(1,MIN(5,ROUND((pc*0.5+oc*0.00001)*5,0))))))</f>
        <v/>
      </c>
    </row>
    <row r="1478">
      <c r="A1478" s="31" t="n">
        <v>1476</v>
      </c>
      <c r="B1478" s="31">
        <f>CHAIN_RAW!D1476</f>
        <v/>
      </c>
      <c r="C1478" s="31">
        <f>CHAIN_RAW!A1476</f>
        <v/>
      </c>
      <c r="D1478" s="31">
        <f>CHAIN_RAW!C1476</f>
        <v/>
      </c>
      <c r="E1478" s="31">
        <f>CHAIN_RAW!E1476</f>
        <v/>
      </c>
      <c r="F1478" s="31">
        <f>CHAIN_RAW!F1476</f>
        <v/>
      </c>
      <c r="G1478" s="31">
        <f>CHAIN_RAW!I1476</f>
        <v/>
      </c>
      <c r="H1478" s="31">
        <f>CHAIN_RAW!Q1476</f>
        <v/>
      </c>
      <c r="I1478" s="31">
        <f>LET(pc,F1478,oc,H1478,IF(OR(pc="",oc=""),"",IF(AND(pc&gt;0,oc&gt;0),"Long Buildup",IF(AND(pc&lt;0,oc&gt;0),"Short Buildup",IF(AND(pc&gt;0,oc&lt;0),"Short Covering",IF(AND(pc&lt;0,oc&lt;0),"Long Unwinding","Flat"))))))</f>
        <v/>
      </c>
      <c r="J1478" s="31">
        <f>LET(pc,ABS(F1478),oc,ABS(H1478),IF(OR(pc="",oc=""),"",MAX(1,MIN(5,ROUND((pc*0.5+oc*0.00001)*5,0))))))</f>
        <v/>
      </c>
    </row>
    <row r="1479">
      <c r="A1479" s="31" t="n">
        <v>1477</v>
      </c>
      <c r="B1479" s="31">
        <f>CHAIN_RAW!D1477</f>
        <v/>
      </c>
      <c r="C1479" s="31">
        <f>CHAIN_RAW!A1477</f>
        <v/>
      </c>
      <c r="D1479" s="31">
        <f>CHAIN_RAW!C1477</f>
        <v/>
      </c>
      <c r="E1479" s="31">
        <f>CHAIN_RAW!E1477</f>
        <v/>
      </c>
      <c r="F1479" s="31">
        <f>CHAIN_RAW!F1477</f>
        <v/>
      </c>
      <c r="G1479" s="31">
        <f>CHAIN_RAW!I1477</f>
        <v/>
      </c>
      <c r="H1479" s="31">
        <f>CHAIN_RAW!Q1477</f>
        <v/>
      </c>
      <c r="I1479" s="31">
        <f>LET(pc,F1479,oc,H1479,IF(OR(pc="",oc=""),"",IF(AND(pc&gt;0,oc&gt;0),"Long Buildup",IF(AND(pc&lt;0,oc&gt;0),"Short Buildup",IF(AND(pc&gt;0,oc&lt;0),"Short Covering",IF(AND(pc&lt;0,oc&lt;0),"Long Unwinding","Flat"))))))</f>
        <v/>
      </c>
      <c r="J1479" s="31">
        <f>LET(pc,ABS(F1479),oc,ABS(H1479),IF(OR(pc="",oc=""),"",MAX(1,MIN(5,ROUND((pc*0.5+oc*0.00001)*5,0))))))</f>
        <v/>
      </c>
    </row>
    <row r="1480">
      <c r="A1480" s="31" t="n">
        <v>1478</v>
      </c>
      <c r="B1480" s="31">
        <f>CHAIN_RAW!D1478</f>
        <v/>
      </c>
      <c r="C1480" s="31">
        <f>CHAIN_RAW!A1478</f>
        <v/>
      </c>
      <c r="D1480" s="31">
        <f>CHAIN_RAW!C1478</f>
        <v/>
      </c>
      <c r="E1480" s="31">
        <f>CHAIN_RAW!E1478</f>
        <v/>
      </c>
      <c r="F1480" s="31">
        <f>CHAIN_RAW!F1478</f>
        <v/>
      </c>
      <c r="G1480" s="31">
        <f>CHAIN_RAW!I1478</f>
        <v/>
      </c>
      <c r="H1480" s="31">
        <f>CHAIN_RAW!Q1478</f>
        <v/>
      </c>
      <c r="I1480" s="31">
        <f>LET(pc,F1480,oc,H1480,IF(OR(pc="",oc=""),"",IF(AND(pc&gt;0,oc&gt;0),"Long Buildup",IF(AND(pc&lt;0,oc&gt;0),"Short Buildup",IF(AND(pc&gt;0,oc&lt;0),"Short Covering",IF(AND(pc&lt;0,oc&lt;0),"Long Unwinding","Flat"))))))</f>
        <v/>
      </c>
      <c r="J1480" s="31">
        <f>LET(pc,ABS(F1480),oc,ABS(H1480),IF(OR(pc="",oc=""),"",MAX(1,MIN(5,ROUND((pc*0.5+oc*0.00001)*5,0))))))</f>
        <v/>
      </c>
    </row>
    <row r="1481">
      <c r="A1481" s="31" t="n">
        <v>1479</v>
      </c>
      <c r="B1481" s="31">
        <f>CHAIN_RAW!D1479</f>
        <v/>
      </c>
      <c r="C1481" s="31">
        <f>CHAIN_RAW!A1479</f>
        <v/>
      </c>
      <c r="D1481" s="31">
        <f>CHAIN_RAW!C1479</f>
        <v/>
      </c>
      <c r="E1481" s="31">
        <f>CHAIN_RAW!E1479</f>
        <v/>
      </c>
      <c r="F1481" s="31">
        <f>CHAIN_RAW!F1479</f>
        <v/>
      </c>
      <c r="G1481" s="31">
        <f>CHAIN_RAW!I1479</f>
        <v/>
      </c>
      <c r="H1481" s="31">
        <f>CHAIN_RAW!Q1479</f>
        <v/>
      </c>
      <c r="I1481" s="31">
        <f>LET(pc,F1481,oc,H1481,IF(OR(pc="",oc=""),"",IF(AND(pc&gt;0,oc&gt;0),"Long Buildup",IF(AND(pc&lt;0,oc&gt;0),"Short Buildup",IF(AND(pc&gt;0,oc&lt;0),"Short Covering",IF(AND(pc&lt;0,oc&lt;0),"Long Unwinding","Flat"))))))</f>
        <v/>
      </c>
      <c r="J1481" s="31">
        <f>LET(pc,ABS(F1481),oc,ABS(H1481),IF(OR(pc="",oc=""),"",MAX(1,MIN(5,ROUND((pc*0.5+oc*0.00001)*5,0))))))</f>
        <v/>
      </c>
    </row>
    <row r="1482">
      <c r="A1482" s="31" t="n">
        <v>1480</v>
      </c>
      <c r="B1482" s="31">
        <f>CHAIN_RAW!D1480</f>
        <v/>
      </c>
      <c r="C1482" s="31">
        <f>CHAIN_RAW!A1480</f>
        <v/>
      </c>
      <c r="D1482" s="31">
        <f>CHAIN_RAW!C1480</f>
        <v/>
      </c>
      <c r="E1482" s="31">
        <f>CHAIN_RAW!E1480</f>
        <v/>
      </c>
      <c r="F1482" s="31">
        <f>CHAIN_RAW!F1480</f>
        <v/>
      </c>
      <c r="G1482" s="31">
        <f>CHAIN_RAW!I1480</f>
        <v/>
      </c>
      <c r="H1482" s="31">
        <f>CHAIN_RAW!Q1480</f>
        <v/>
      </c>
      <c r="I1482" s="31">
        <f>LET(pc,F1482,oc,H1482,IF(OR(pc="",oc=""),"",IF(AND(pc&gt;0,oc&gt;0),"Long Buildup",IF(AND(pc&lt;0,oc&gt;0),"Short Buildup",IF(AND(pc&gt;0,oc&lt;0),"Short Covering",IF(AND(pc&lt;0,oc&lt;0),"Long Unwinding","Flat"))))))</f>
        <v/>
      </c>
      <c r="J1482" s="31">
        <f>LET(pc,ABS(F1482),oc,ABS(H1482),IF(OR(pc="",oc=""),"",MAX(1,MIN(5,ROUND((pc*0.5+oc*0.00001)*5,0))))))</f>
        <v/>
      </c>
    </row>
    <row r="1483">
      <c r="A1483" s="31" t="n">
        <v>1481</v>
      </c>
      <c r="B1483" s="31">
        <f>CHAIN_RAW!D1481</f>
        <v/>
      </c>
      <c r="C1483" s="31">
        <f>CHAIN_RAW!A1481</f>
        <v/>
      </c>
      <c r="D1483" s="31">
        <f>CHAIN_RAW!C1481</f>
        <v/>
      </c>
      <c r="E1483" s="31">
        <f>CHAIN_RAW!E1481</f>
        <v/>
      </c>
      <c r="F1483" s="31">
        <f>CHAIN_RAW!F1481</f>
        <v/>
      </c>
      <c r="G1483" s="31">
        <f>CHAIN_RAW!I1481</f>
        <v/>
      </c>
      <c r="H1483" s="31">
        <f>CHAIN_RAW!Q1481</f>
        <v/>
      </c>
      <c r="I1483" s="31">
        <f>LET(pc,F1483,oc,H1483,IF(OR(pc="",oc=""),"",IF(AND(pc&gt;0,oc&gt;0),"Long Buildup",IF(AND(pc&lt;0,oc&gt;0),"Short Buildup",IF(AND(pc&gt;0,oc&lt;0),"Short Covering",IF(AND(pc&lt;0,oc&lt;0),"Long Unwinding","Flat"))))))</f>
        <v/>
      </c>
      <c r="J1483" s="31">
        <f>LET(pc,ABS(F1483),oc,ABS(H1483),IF(OR(pc="",oc=""),"",MAX(1,MIN(5,ROUND((pc*0.5+oc*0.00001)*5,0))))))</f>
        <v/>
      </c>
    </row>
    <row r="1484">
      <c r="A1484" s="31" t="n">
        <v>1482</v>
      </c>
      <c r="B1484" s="31">
        <f>CHAIN_RAW!D1482</f>
        <v/>
      </c>
      <c r="C1484" s="31">
        <f>CHAIN_RAW!A1482</f>
        <v/>
      </c>
      <c r="D1484" s="31">
        <f>CHAIN_RAW!C1482</f>
        <v/>
      </c>
      <c r="E1484" s="31">
        <f>CHAIN_RAW!E1482</f>
        <v/>
      </c>
      <c r="F1484" s="31">
        <f>CHAIN_RAW!F1482</f>
        <v/>
      </c>
      <c r="G1484" s="31">
        <f>CHAIN_RAW!I1482</f>
        <v/>
      </c>
      <c r="H1484" s="31">
        <f>CHAIN_RAW!Q1482</f>
        <v/>
      </c>
      <c r="I1484" s="31">
        <f>LET(pc,F1484,oc,H1484,IF(OR(pc="",oc=""),"",IF(AND(pc&gt;0,oc&gt;0),"Long Buildup",IF(AND(pc&lt;0,oc&gt;0),"Short Buildup",IF(AND(pc&gt;0,oc&lt;0),"Short Covering",IF(AND(pc&lt;0,oc&lt;0),"Long Unwinding","Flat"))))))</f>
        <v/>
      </c>
      <c r="J1484" s="31">
        <f>LET(pc,ABS(F1484),oc,ABS(H1484),IF(OR(pc="",oc=""),"",MAX(1,MIN(5,ROUND((pc*0.5+oc*0.00001)*5,0))))))</f>
        <v/>
      </c>
    </row>
    <row r="1485">
      <c r="A1485" s="31" t="n">
        <v>1483</v>
      </c>
      <c r="B1485" s="31">
        <f>CHAIN_RAW!D1483</f>
        <v/>
      </c>
      <c r="C1485" s="31">
        <f>CHAIN_RAW!A1483</f>
        <v/>
      </c>
      <c r="D1485" s="31">
        <f>CHAIN_RAW!C1483</f>
        <v/>
      </c>
      <c r="E1485" s="31">
        <f>CHAIN_RAW!E1483</f>
        <v/>
      </c>
      <c r="F1485" s="31">
        <f>CHAIN_RAW!F1483</f>
        <v/>
      </c>
      <c r="G1485" s="31">
        <f>CHAIN_RAW!I1483</f>
        <v/>
      </c>
      <c r="H1485" s="31">
        <f>CHAIN_RAW!Q1483</f>
        <v/>
      </c>
      <c r="I1485" s="31">
        <f>LET(pc,F1485,oc,H1485,IF(OR(pc="",oc=""),"",IF(AND(pc&gt;0,oc&gt;0),"Long Buildup",IF(AND(pc&lt;0,oc&gt;0),"Short Buildup",IF(AND(pc&gt;0,oc&lt;0),"Short Covering",IF(AND(pc&lt;0,oc&lt;0),"Long Unwinding","Flat"))))))</f>
        <v/>
      </c>
      <c r="J1485" s="31">
        <f>LET(pc,ABS(F1485),oc,ABS(H1485),IF(OR(pc="",oc=""),"",MAX(1,MIN(5,ROUND((pc*0.5+oc*0.00001)*5,0))))))</f>
        <v/>
      </c>
    </row>
    <row r="1486">
      <c r="A1486" s="31" t="n">
        <v>1484</v>
      </c>
      <c r="B1486" s="31">
        <f>CHAIN_RAW!D1484</f>
        <v/>
      </c>
      <c r="C1486" s="31">
        <f>CHAIN_RAW!A1484</f>
        <v/>
      </c>
      <c r="D1486" s="31">
        <f>CHAIN_RAW!C1484</f>
        <v/>
      </c>
      <c r="E1486" s="31">
        <f>CHAIN_RAW!E1484</f>
        <v/>
      </c>
      <c r="F1486" s="31">
        <f>CHAIN_RAW!F1484</f>
        <v/>
      </c>
      <c r="G1486" s="31">
        <f>CHAIN_RAW!I1484</f>
        <v/>
      </c>
      <c r="H1486" s="31">
        <f>CHAIN_RAW!Q1484</f>
        <v/>
      </c>
      <c r="I1486" s="31">
        <f>LET(pc,F1486,oc,H1486,IF(OR(pc="",oc=""),"",IF(AND(pc&gt;0,oc&gt;0),"Long Buildup",IF(AND(pc&lt;0,oc&gt;0),"Short Buildup",IF(AND(pc&gt;0,oc&lt;0),"Short Covering",IF(AND(pc&lt;0,oc&lt;0),"Long Unwinding","Flat"))))))</f>
        <v/>
      </c>
      <c r="J1486" s="31">
        <f>LET(pc,ABS(F1486),oc,ABS(H1486),IF(OR(pc="",oc=""),"",MAX(1,MIN(5,ROUND((pc*0.5+oc*0.00001)*5,0))))))</f>
        <v/>
      </c>
    </row>
    <row r="1487">
      <c r="A1487" s="31" t="n">
        <v>1485</v>
      </c>
      <c r="B1487" s="31">
        <f>CHAIN_RAW!D1485</f>
        <v/>
      </c>
      <c r="C1487" s="31">
        <f>CHAIN_RAW!A1485</f>
        <v/>
      </c>
      <c r="D1487" s="31">
        <f>CHAIN_RAW!C1485</f>
        <v/>
      </c>
      <c r="E1487" s="31">
        <f>CHAIN_RAW!E1485</f>
        <v/>
      </c>
      <c r="F1487" s="31">
        <f>CHAIN_RAW!F1485</f>
        <v/>
      </c>
      <c r="G1487" s="31">
        <f>CHAIN_RAW!I1485</f>
        <v/>
      </c>
      <c r="H1487" s="31">
        <f>CHAIN_RAW!Q1485</f>
        <v/>
      </c>
      <c r="I1487" s="31">
        <f>LET(pc,F1487,oc,H1487,IF(OR(pc="",oc=""),"",IF(AND(pc&gt;0,oc&gt;0),"Long Buildup",IF(AND(pc&lt;0,oc&gt;0),"Short Buildup",IF(AND(pc&gt;0,oc&lt;0),"Short Covering",IF(AND(pc&lt;0,oc&lt;0),"Long Unwinding","Flat"))))))</f>
        <v/>
      </c>
      <c r="J1487" s="31">
        <f>LET(pc,ABS(F1487),oc,ABS(H1487),IF(OR(pc="",oc=""),"",MAX(1,MIN(5,ROUND((pc*0.5+oc*0.00001)*5,0))))))</f>
        <v/>
      </c>
    </row>
    <row r="1488">
      <c r="A1488" s="31" t="n">
        <v>1486</v>
      </c>
      <c r="B1488" s="31">
        <f>CHAIN_RAW!D1486</f>
        <v/>
      </c>
      <c r="C1488" s="31">
        <f>CHAIN_RAW!A1486</f>
        <v/>
      </c>
      <c r="D1488" s="31">
        <f>CHAIN_RAW!C1486</f>
        <v/>
      </c>
      <c r="E1488" s="31">
        <f>CHAIN_RAW!E1486</f>
        <v/>
      </c>
      <c r="F1488" s="31">
        <f>CHAIN_RAW!F1486</f>
        <v/>
      </c>
      <c r="G1488" s="31">
        <f>CHAIN_RAW!I1486</f>
        <v/>
      </c>
      <c r="H1488" s="31">
        <f>CHAIN_RAW!Q1486</f>
        <v/>
      </c>
      <c r="I1488" s="31">
        <f>LET(pc,F1488,oc,H1488,IF(OR(pc="",oc=""),"",IF(AND(pc&gt;0,oc&gt;0),"Long Buildup",IF(AND(pc&lt;0,oc&gt;0),"Short Buildup",IF(AND(pc&gt;0,oc&lt;0),"Short Covering",IF(AND(pc&lt;0,oc&lt;0),"Long Unwinding","Flat"))))))</f>
        <v/>
      </c>
      <c r="J1488" s="31">
        <f>LET(pc,ABS(F1488),oc,ABS(H1488),IF(OR(pc="",oc=""),"",MAX(1,MIN(5,ROUND((pc*0.5+oc*0.00001)*5,0))))))</f>
        <v/>
      </c>
    </row>
    <row r="1489">
      <c r="A1489" s="31" t="n">
        <v>1487</v>
      </c>
      <c r="B1489" s="31">
        <f>CHAIN_RAW!D1487</f>
        <v/>
      </c>
      <c r="C1489" s="31">
        <f>CHAIN_RAW!A1487</f>
        <v/>
      </c>
      <c r="D1489" s="31">
        <f>CHAIN_RAW!C1487</f>
        <v/>
      </c>
      <c r="E1489" s="31">
        <f>CHAIN_RAW!E1487</f>
        <v/>
      </c>
      <c r="F1489" s="31">
        <f>CHAIN_RAW!F1487</f>
        <v/>
      </c>
      <c r="G1489" s="31">
        <f>CHAIN_RAW!I1487</f>
        <v/>
      </c>
      <c r="H1489" s="31">
        <f>CHAIN_RAW!Q1487</f>
        <v/>
      </c>
      <c r="I1489" s="31">
        <f>LET(pc,F1489,oc,H1489,IF(OR(pc="",oc=""),"",IF(AND(pc&gt;0,oc&gt;0),"Long Buildup",IF(AND(pc&lt;0,oc&gt;0),"Short Buildup",IF(AND(pc&gt;0,oc&lt;0),"Short Covering",IF(AND(pc&lt;0,oc&lt;0),"Long Unwinding","Flat"))))))</f>
        <v/>
      </c>
      <c r="J1489" s="31">
        <f>LET(pc,ABS(F1489),oc,ABS(H1489),IF(OR(pc="",oc=""),"",MAX(1,MIN(5,ROUND((pc*0.5+oc*0.00001)*5,0))))))</f>
        <v/>
      </c>
    </row>
    <row r="1490">
      <c r="A1490" s="31" t="n">
        <v>1488</v>
      </c>
      <c r="B1490" s="31">
        <f>CHAIN_RAW!D1488</f>
        <v/>
      </c>
      <c r="C1490" s="31">
        <f>CHAIN_RAW!A1488</f>
        <v/>
      </c>
      <c r="D1490" s="31">
        <f>CHAIN_RAW!C1488</f>
        <v/>
      </c>
      <c r="E1490" s="31">
        <f>CHAIN_RAW!E1488</f>
        <v/>
      </c>
      <c r="F1490" s="31">
        <f>CHAIN_RAW!F1488</f>
        <v/>
      </c>
      <c r="G1490" s="31">
        <f>CHAIN_RAW!I1488</f>
        <v/>
      </c>
      <c r="H1490" s="31">
        <f>CHAIN_RAW!Q1488</f>
        <v/>
      </c>
      <c r="I1490" s="31">
        <f>LET(pc,F1490,oc,H1490,IF(OR(pc="",oc=""),"",IF(AND(pc&gt;0,oc&gt;0),"Long Buildup",IF(AND(pc&lt;0,oc&gt;0),"Short Buildup",IF(AND(pc&gt;0,oc&lt;0),"Short Covering",IF(AND(pc&lt;0,oc&lt;0),"Long Unwinding","Flat"))))))</f>
        <v/>
      </c>
      <c r="J1490" s="31">
        <f>LET(pc,ABS(F1490),oc,ABS(H1490),IF(OR(pc="",oc=""),"",MAX(1,MIN(5,ROUND((pc*0.5+oc*0.00001)*5,0))))))</f>
        <v/>
      </c>
    </row>
    <row r="1491">
      <c r="A1491" s="31" t="n">
        <v>1489</v>
      </c>
      <c r="B1491" s="31">
        <f>CHAIN_RAW!D1489</f>
        <v/>
      </c>
      <c r="C1491" s="31">
        <f>CHAIN_RAW!A1489</f>
        <v/>
      </c>
      <c r="D1491" s="31">
        <f>CHAIN_RAW!C1489</f>
        <v/>
      </c>
      <c r="E1491" s="31">
        <f>CHAIN_RAW!E1489</f>
        <v/>
      </c>
      <c r="F1491" s="31">
        <f>CHAIN_RAW!F1489</f>
        <v/>
      </c>
      <c r="G1491" s="31">
        <f>CHAIN_RAW!I1489</f>
        <v/>
      </c>
      <c r="H1491" s="31">
        <f>CHAIN_RAW!Q1489</f>
        <v/>
      </c>
      <c r="I1491" s="31">
        <f>LET(pc,F1491,oc,H1491,IF(OR(pc="",oc=""),"",IF(AND(pc&gt;0,oc&gt;0),"Long Buildup",IF(AND(pc&lt;0,oc&gt;0),"Short Buildup",IF(AND(pc&gt;0,oc&lt;0),"Short Covering",IF(AND(pc&lt;0,oc&lt;0),"Long Unwinding","Flat"))))))</f>
        <v/>
      </c>
      <c r="J1491" s="31">
        <f>LET(pc,ABS(F1491),oc,ABS(H1491),IF(OR(pc="",oc=""),"",MAX(1,MIN(5,ROUND((pc*0.5+oc*0.00001)*5,0))))))</f>
        <v/>
      </c>
    </row>
    <row r="1492">
      <c r="A1492" s="31" t="n">
        <v>1490</v>
      </c>
      <c r="B1492" s="31">
        <f>CHAIN_RAW!D1490</f>
        <v/>
      </c>
      <c r="C1492" s="31">
        <f>CHAIN_RAW!A1490</f>
        <v/>
      </c>
      <c r="D1492" s="31">
        <f>CHAIN_RAW!C1490</f>
        <v/>
      </c>
      <c r="E1492" s="31">
        <f>CHAIN_RAW!E1490</f>
        <v/>
      </c>
      <c r="F1492" s="31">
        <f>CHAIN_RAW!F1490</f>
        <v/>
      </c>
      <c r="G1492" s="31">
        <f>CHAIN_RAW!I1490</f>
        <v/>
      </c>
      <c r="H1492" s="31">
        <f>CHAIN_RAW!Q1490</f>
        <v/>
      </c>
      <c r="I1492" s="31">
        <f>LET(pc,F1492,oc,H1492,IF(OR(pc="",oc=""),"",IF(AND(pc&gt;0,oc&gt;0),"Long Buildup",IF(AND(pc&lt;0,oc&gt;0),"Short Buildup",IF(AND(pc&gt;0,oc&lt;0),"Short Covering",IF(AND(pc&lt;0,oc&lt;0),"Long Unwinding","Flat"))))))</f>
        <v/>
      </c>
      <c r="J1492" s="31">
        <f>LET(pc,ABS(F1492),oc,ABS(H1492),IF(OR(pc="",oc=""),"",MAX(1,MIN(5,ROUND((pc*0.5+oc*0.00001)*5,0))))))</f>
        <v/>
      </c>
    </row>
    <row r="1493">
      <c r="A1493" s="31" t="n">
        <v>1491</v>
      </c>
      <c r="B1493" s="31">
        <f>CHAIN_RAW!D1491</f>
        <v/>
      </c>
      <c r="C1493" s="31">
        <f>CHAIN_RAW!A1491</f>
        <v/>
      </c>
      <c r="D1493" s="31">
        <f>CHAIN_RAW!C1491</f>
        <v/>
      </c>
      <c r="E1493" s="31">
        <f>CHAIN_RAW!E1491</f>
        <v/>
      </c>
      <c r="F1493" s="31">
        <f>CHAIN_RAW!F1491</f>
        <v/>
      </c>
      <c r="G1493" s="31">
        <f>CHAIN_RAW!I1491</f>
        <v/>
      </c>
      <c r="H1493" s="31">
        <f>CHAIN_RAW!Q1491</f>
        <v/>
      </c>
      <c r="I1493" s="31">
        <f>LET(pc,F1493,oc,H1493,IF(OR(pc="",oc=""),"",IF(AND(pc&gt;0,oc&gt;0),"Long Buildup",IF(AND(pc&lt;0,oc&gt;0),"Short Buildup",IF(AND(pc&gt;0,oc&lt;0),"Short Covering",IF(AND(pc&lt;0,oc&lt;0),"Long Unwinding","Flat"))))))</f>
        <v/>
      </c>
      <c r="J1493" s="31">
        <f>LET(pc,ABS(F1493),oc,ABS(H1493),IF(OR(pc="",oc=""),"",MAX(1,MIN(5,ROUND((pc*0.5+oc*0.00001)*5,0))))))</f>
        <v/>
      </c>
    </row>
    <row r="1494">
      <c r="A1494" s="31" t="n">
        <v>1492</v>
      </c>
      <c r="B1494" s="31">
        <f>CHAIN_RAW!D1492</f>
        <v/>
      </c>
      <c r="C1494" s="31">
        <f>CHAIN_RAW!A1492</f>
        <v/>
      </c>
      <c r="D1494" s="31">
        <f>CHAIN_RAW!C1492</f>
        <v/>
      </c>
      <c r="E1494" s="31">
        <f>CHAIN_RAW!E1492</f>
        <v/>
      </c>
      <c r="F1494" s="31">
        <f>CHAIN_RAW!F1492</f>
        <v/>
      </c>
      <c r="G1494" s="31">
        <f>CHAIN_RAW!I1492</f>
        <v/>
      </c>
      <c r="H1494" s="31">
        <f>CHAIN_RAW!Q1492</f>
        <v/>
      </c>
      <c r="I1494" s="31">
        <f>LET(pc,F1494,oc,H1494,IF(OR(pc="",oc=""),"",IF(AND(pc&gt;0,oc&gt;0),"Long Buildup",IF(AND(pc&lt;0,oc&gt;0),"Short Buildup",IF(AND(pc&gt;0,oc&lt;0),"Short Covering",IF(AND(pc&lt;0,oc&lt;0),"Long Unwinding","Flat"))))))</f>
        <v/>
      </c>
      <c r="J1494" s="31">
        <f>LET(pc,ABS(F1494),oc,ABS(H1494),IF(OR(pc="",oc=""),"",MAX(1,MIN(5,ROUND((pc*0.5+oc*0.00001)*5,0))))))</f>
        <v/>
      </c>
    </row>
    <row r="1495">
      <c r="A1495" s="31" t="n">
        <v>1493</v>
      </c>
      <c r="B1495" s="31">
        <f>CHAIN_RAW!D1493</f>
        <v/>
      </c>
      <c r="C1495" s="31">
        <f>CHAIN_RAW!A1493</f>
        <v/>
      </c>
      <c r="D1495" s="31">
        <f>CHAIN_RAW!C1493</f>
        <v/>
      </c>
      <c r="E1495" s="31">
        <f>CHAIN_RAW!E1493</f>
        <v/>
      </c>
      <c r="F1495" s="31">
        <f>CHAIN_RAW!F1493</f>
        <v/>
      </c>
      <c r="G1495" s="31">
        <f>CHAIN_RAW!I1493</f>
        <v/>
      </c>
      <c r="H1495" s="31">
        <f>CHAIN_RAW!Q1493</f>
        <v/>
      </c>
      <c r="I1495" s="31">
        <f>LET(pc,F1495,oc,H1495,IF(OR(pc="",oc=""),"",IF(AND(pc&gt;0,oc&gt;0),"Long Buildup",IF(AND(pc&lt;0,oc&gt;0),"Short Buildup",IF(AND(pc&gt;0,oc&lt;0),"Short Covering",IF(AND(pc&lt;0,oc&lt;0),"Long Unwinding","Flat"))))))</f>
        <v/>
      </c>
      <c r="J1495" s="31">
        <f>LET(pc,ABS(F1495),oc,ABS(H1495),IF(OR(pc="",oc=""),"",MAX(1,MIN(5,ROUND((pc*0.5+oc*0.00001)*5,0))))))</f>
        <v/>
      </c>
    </row>
    <row r="1496">
      <c r="A1496" s="31" t="n">
        <v>1494</v>
      </c>
      <c r="B1496" s="31">
        <f>CHAIN_RAW!D1494</f>
        <v/>
      </c>
      <c r="C1496" s="31">
        <f>CHAIN_RAW!A1494</f>
        <v/>
      </c>
      <c r="D1496" s="31">
        <f>CHAIN_RAW!C1494</f>
        <v/>
      </c>
      <c r="E1496" s="31">
        <f>CHAIN_RAW!E1494</f>
        <v/>
      </c>
      <c r="F1496" s="31">
        <f>CHAIN_RAW!F1494</f>
        <v/>
      </c>
      <c r="G1496" s="31">
        <f>CHAIN_RAW!I1494</f>
        <v/>
      </c>
      <c r="H1496" s="31">
        <f>CHAIN_RAW!Q1494</f>
        <v/>
      </c>
      <c r="I1496" s="31">
        <f>LET(pc,F1496,oc,H1496,IF(OR(pc="",oc=""),"",IF(AND(pc&gt;0,oc&gt;0),"Long Buildup",IF(AND(pc&lt;0,oc&gt;0),"Short Buildup",IF(AND(pc&gt;0,oc&lt;0),"Short Covering",IF(AND(pc&lt;0,oc&lt;0),"Long Unwinding","Flat"))))))</f>
        <v/>
      </c>
      <c r="J1496" s="31">
        <f>LET(pc,ABS(F1496),oc,ABS(H1496),IF(OR(pc="",oc=""),"",MAX(1,MIN(5,ROUND((pc*0.5+oc*0.00001)*5,0))))))</f>
        <v/>
      </c>
    </row>
    <row r="1497">
      <c r="A1497" s="31" t="n">
        <v>1495</v>
      </c>
      <c r="B1497" s="31">
        <f>CHAIN_RAW!D1495</f>
        <v/>
      </c>
      <c r="C1497" s="31">
        <f>CHAIN_RAW!A1495</f>
        <v/>
      </c>
      <c r="D1497" s="31">
        <f>CHAIN_RAW!C1495</f>
        <v/>
      </c>
      <c r="E1497" s="31">
        <f>CHAIN_RAW!E1495</f>
        <v/>
      </c>
      <c r="F1497" s="31">
        <f>CHAIN_RAW!F1495</f>
        <v/>
      </c>
      <c r="G1497" s="31">
        <f>CHAIN_RAW!I1495</f>
        <v/>
      </c>
      <c r="H1497" s="31">
        <f>CHAIN_RAW!Q1495</f>
        <v/>
      </c>
      <c r="I1497" s="31">
        <f>LET(pc,F1497,oc,H1497,IF(OR(pc="",oc=""),"",IF(AND(pc&gt;0,oc&gt;0),"Long Buildup",IF(AND(pc&lt;0,oc&gt;0),"Short Buildup",IF(AND(pc&gt;0,oc&lt;0),"Short Covering",IF(AND(pc&lt;0,oc&lt;0),"Long Unwinding","Flat"))))))</f>
        <v/>
      </c>
      <c r="J1497" s="31">
        <f>LET(pc,ABS(F1497),oc,ABS(H1497),IF(OR(pc="",oc=""),"",MAX(1,MIN(5,ROUND((pc*0.5+oc*0.00001)*5,0))))))</f>
        <v/>
      </c>
    </row>
    <row r="1498">
      <c r="A1498" s="31" t="n">
        <v>1496</v>
      </c>
      <c r="B1498" s="31">
        <f>CHAIN_RAW!D1496</f>
        <v/>
      </c>
      <c r="C1498" s="31">
        <f>CHAIN_RAW!A1496</f>
        <v/>
      </c>
      <c r="D1498" s="31">
        <f>CHAIN_RAW!C1496</f>
        <v/>
      </c>
      <c r="E1498" s="31">
        <f>CHAIN_RAW!E1496</f>
        <v/>
      </c>
      <c r="F1498" s="31">
        <f>CHAIN_RAW!F1496</f>
        <v/>
      </c>
      <c r="G1498" s="31">
        <f>CHAIN_RAW!I1496</f>
        <v/>
      </c>
      <c r="H1498" s="31">
        <f>CHAIN_RAW!Q1496</f>
        <v/>
      </c>
      <c r="I1498" s="31">
        <f>LET(pc,F1498,oc,H1498,IF(OR(pc="",oc=""),"",IF(AND(pc&gt;0,oc&gt;0),"Long Buildup",IF(AND(pc&lt;0,oc&gt;0),"Short Buildup",IF(AND(pc&gt;0,oc&lt;0),"Short Covering",IF(AND(pc&lt;0,oc&lt;0),"Long Unwinding","Flat"))))))</f>
        <v/>
      </c>
      <c r="J1498" s="31">
        <f>LET(pc,ABS(F1498),oc,ABS(H1498),IF(OR(pc="",oc=""),"",MAX(1,MIN(5,ROUND((pc*0.5+oc*0.00001)*5,0))))))</f>
        <v/>
      </c>
    </row>
    <row r="1499">
      <c r="A1499" s="31" t="n">
        <v>1497</v>
      </c>
      <c r="B1499" s="31">
        <f>CHAIN_RAW!D1497</f>
        <v/>
      </c>
      <c r="C1499" s="31">
        <f>CHAIN_RAW!A1497</f>
        <v/>
      </c>
      <c r="D1499" s="31">
        <f>CHAIN_RAW!C1497</f>
        <v/>
      </c>
      <c r="E1499" s="31">
        <f>CHAIN_RAW!E1497</f>
        <v/>
      </c>
      <c r="F1499" s="31">
        <f>CHAIN_RAW!F1497</f>
        <v/>
      </c>
      <c r="G1499" s="31">
        <f>CHAIN_RAW!I1497</f>
        <v/>
      </c>
      <c r="H1499" s="31">
        <f>CHAIN_RAW!Q1497</f>
        <v/>
      </c>
      <c r="I1499" s="31">
        <f>LET(pc,F1499,oc,H1499,IF(OR(pc="",oc=""),"",IF(AND(pc&gt;0,oc&gt;0),"Long Buildup",IF(AND(pc&lt;0,oc&gt;0),"Short Buildup",IF(AND(pc&gt;0,oc&lt;0),"Short Covering",IF(AND(pc&lt;0,oc&lt;0),"Long Unwinding","Flat"))))))</f>
        <v/>
      </c>
      <c r="J1499" s="31">
        <f>LET(pc,ABS(F1499),oc,ABS(H1499),IF(OR(pc="",oc=""),"",MAX(1,MIN(5,ROUND((pc*0.5+oc*0.00001)*5,0))))))</f>
        <v/>
      </c>
    </row>
    <row r="1500">
      <c r="A1500" s="31" t="n">
        <v>1498</v>
      </c>
      <c r="B1500" s="31">
        <f>CHAIN_RAW!D1498</f>
        <v/>
      </c>
      <c r="C1500" s="31">
        <f>CHAIN_RAW!A1498</f>
        <v/>
      </c>
      <c r="D1500" s="31">
        <f>CHAIN_RAW!C1498</f>
        <v/>
      </c>
      <c r="E1500" s="31">
        <f>CHAIN_RAW!E1498</f>
        <v/>
      </c>
      <c r="F1500" s="31">
        <f>CHAIN_RAW!F1498</f>
        <v/>
      </c>
      <c r="G1500" s="31">
        <f>CHAIN_RAW!I1498</f>
        <v/>
      </c>
      <c r="H1500" s="31">
        <f>CHAIN_RAW!Q1498</f>
        <v/>
      </c>
      <c r="I1500" s="31">
        <f>LET(pc,F1500,oc,H1500,IF(OR(pc="",oc=""),"",IF(AND(pc&gt;0,oc&gt;0),"Long Buildup",IF(AND(pc&lt;0,oc&gt;0),"Short Buildup",IF(AND(pc&gt;0,oc&lt;0),"Short Covering",IF(AND(pc&lt;0,oc&lt;0),"Long Unwinding","Flat"))))))</f>
        <v/>
      </c>
      <c r="J1500" s="31">
        <f>LET(pc,ABS(F1500),oc,ABS(H1500),IF(OR(pc="",oc=""),"",MAX(1,MIN(5,ROUND((pc*0.5+oc*0.00001)*5,0))))))</f>
        <v/>
      </c>
    </row>
    <row r="1501">
      <c r="A1501" s="31" t="n">
        <v>1499</v>
      </c>
      <c r="B1501" s="31">
        <f>CHAIN_RAW!D1499</f>
        <v/>
      </c>
      <c r="C1501" s="31">
        <f>CHAIN_RAW!A1499</f>
        <v/>
      </c>
      <c r="D1501" s="31">
        <f>CHAIN_RAW!C1499</f>
        <v/>
      </c>
      <c r="E1501" s="31">
        <f>CHAIN_RAW!E1499</f>
        <v/>
      </c>
      <c r="F1501" s="31">
        <f>CHAIN_RAW!F1499</f>
        <v/>
      </c>
      <c r="G1501" s="31">
        <f>CHAIN_RAW!I1499</f>
        <v/>
      </c>
      <c r="H1501" s="31">
        <f>CHAIN_RAW!Q1499</f>
        <v/>
      </c>
      <c r="I1501" s="31">
        <f>LET(pc,F1501,oc,H1501,IF(OR(pc="",oc=""),"",IF(AND(pc&gt;0,oc&gt;0),"Long Buildup",IF(AND(pc&lt;0,oc&gt;0),"Short Buildup",IF(AND(pc&gt;0,oc&lt;0),"Short Covering",IF(AND(pc&lt;0,oc&lt;0),"Long Unwinding","Flat"))))))</f>
        <v/>
      </c>
      <c r="J1501" s="31">
        <f>LET(pc,ABS(F1501),oc,ABS(H1501),IF(OR(pc="",oc=""),"",MAX(1,MIN(5,ROUND((pc*0.5+oc*0.00001)*5,0))))))</f>
        <v/>
      </c>
    </row>
    <row r="1502">
      <c r="A1502" s="31" t="n">
        <v>1500</v>
      </c>
      <c r="B1502" s="31">
        <f>CHAIN_RAW!D1500</f>
        <v/>
      </c>
      <c r="C1502" s="31">
        <f>CHAIN_RAW!A1500</f>
        <v/>
      </c>
      <c r="D1502" s="31">
        <f>CHAIN_RAW!C1500</f>
        <v/>
      </c>
      <c r="E1502" s="31">
        <f>CHAIN_RAW!E1500</f>
        <v/>
      </c>
      <c r="F1502" s="31">
        <f>CHAIN_RAW!F1500</f>
        <v/>
      </c>
      <c r="G1502" s="31">
        <f>CHAIN_RAW!I1500</f>
        <v/>
      </c>
      <c r="H1502" s="31">
        <f>CHAIN_RAW!Q1500</f>
        <v/>
      </c>
      <c r="I1502" s="31">
        <f>LET(pc,F1502,oc,H1502,IF(OR(pc="",oc=""),"",IF(AND(pc&gt;0,oc&gt;0),"Long Buildup",IF(AND(pc&lt;0,oc&gt;0),"Short Buildup",IF(AND(pc&gt;0,oc&lt;0),"Short Covering",IF(AND(pc&lt;0,oc&lt;0),"Long Unwinding","Flat"))))))</f>
        <v/>
      </c>
      <c r="J1502" s="31">
        <f>LET(pc,ABS(F1502),oc,ABS(H1502),IF(OR(pc="",oc=""),"",MAX(1,MIN(5,ROUND((pc*0.5+oc*0.00001)*5,0))))))</f>
        <v/>
      </c>
    </row>
    <row r="1503">
      <c r="A1503" s="31" t="n">
        <v>1501</v>
      </c>
      <c r="B1503" s="31">
        <f>CHAIN_RAW!D1501</f>
        <v/>
      </c>
      <c r="C1503" s="31">
        <f>CHAIN_RAW!A1501</f>
        <v/>
      </c>
      <c r="D1503" s="31">
        <f>CHAIN_RAW!C1501</f>
        <v/>
      </c>
      <c r="E1503" s="31">
        <f>CHAIN_RAW!E1501</f>
        <v/>
      </c>
      <c r="F1503" s="31">
        <f>CHAIN_RAW!F1501</f>
        <v/>
      </c>
      <c r="G1503" s="31">
        <f>CHAIN_RAW!I1501</f>
        <v/>
      </c>
      <c r="H1503" s="31">
        <f>CHAIN_RAW!Q1501</f>
        <v/>
      </c>
      <c r="I1503" s="31">
        <f>LET(pc,F1503,oc,H1503,IF(OR(pc="",oc=""),"",IF(AND(pc&gt;0,oc&gt;0),"Long Buildup",IF(AND(pc&lt;0,oc&gt;0),"Short Buildup",IF(AND(pc&gt;0,oc&lt;0),"Short Covering",IF(AND(pc&lt;0,oc&lt;0),"Long Unwinding","Flat"))))))</f>
        <v/>
      </c>
      <c r="J1503" s="31">
        <f>LET(pc,ABS(F1503),oc,ABS(H1503),IF(OR(pc="",oc=""),"",MAX(1,MIN(5,ROUND((pc*0.5+oc*0.00001)*5,0))))))</f>
        <v/>
      </c>
    </row>
    <row r="1504">
      <c r="A1504" s="31" t="n">
        <v>1502</v>
      </c>
      <c r="B1504" s="31">
        <f>CHAIN_RAW!D1502</f>
        <v/>
      </c>
      <c r="C1504" s="31">
        <f>CHAIN_RAW!A1502</f>
        <v/>
      </c>
      <c r="D1504" s="31">
        <f>CHAIN_RAW!C1502</f>
        <v/>
      </c>
      <c r="E1504" s="31">
        <f>CHAIN_RAW!E1502</f>
        <v/>
      </c>
      <c r="F1504" s="31">
        <f>CHAIN_RAW!F1502</f>
        <v/>
      </c>
      <c r="G1504" s="31">
        <f>CHAIN_RAW!I1502</f>
        <v/>
      </c>
      <c r="H1504" s="31">
        <f>CHAIN_RAW!Q1502</f>
        <v/>
      </c>
      <c r="I1504" s="31">
        <f>LET(pc,F1504,oc,H1504,IF(OR(pc="",oc=""),"",IF(AND(pc&gt;0,oc&gt;0),"Long Buildup",IF(AND(pc&lt;0,oc&gt;0),"Short Buildup",IF(AND(pc&gt;0,oc&lt;0),"Short Covering",IF(AND(pc&lt;0,oc&lt;0),"Long Unwinding","Flat"))))))</f>
        <v/>
      </c>
      <c r="J1504" s="31">
        <f>LET(pc,ABS(F1504),oc,ABS(H1504),IF(OR(pc="",oc=""),"",MAX(1,MIN(5,ROUND((pc*0.5+oc*0.00001)*5,0))))))</f>
        <v/>
      </c>
    </row>
    <row r="1505">
      <c r="A1505" s="31" t="n">
        <v>1503</v>
      </c>
      <c r="B1505" s="31">
        <f>CHAIN_RAW!D1503</f>
        <v/>
      </c>
      <c r="C1505" s="31">
        <f>CHAIN_RAW!A1503</f>
        <v/>
      </c>
      <c r="D1505" s="31">
        <f>CHAIN_RAW!C1503</f>
        <v/>
      </c>
      <c r="E1505" s="31">
        <f>CHAIN_RAW!E1503</f>
        <v/>
      </c>
      <c r="F1505" s="31">
        <f>CHAIN_RAW!F1503</f>
        <v/>
      </c>
      <c r="G1505" s="31">
        <f>CHAIN_RAW!I1503</f>
        <v/>
      </c>
      <c r="H1505" s="31">
        <f>CHAIN_RAW!Q1503</f>
        <v/>
      </c>
      <c r="I1505" s="31">
        <f>LET(pc,F1505,oc,H1505,IF(OR(pc="",oc=""),"",IF(AND(pc&gt;0,oc&gt;0),"Long Buildup",IF(AND(pc&lt;0,oc&gt;0),"Short Buildup",IF(AND(pc&gt;0,oc&lt;0),"Short Covering",IF(AND(pc&lt;0,oc&lt;0),"Long Unwinding","Flat"))))))</f>
        <v/>
      </c>
      <c r="J1505" s="31">
        <f>LET(pc,ABS(F1505),oc,ABS(H1505),IF(OR(pc="",oc=""),"",MAX(1,MIN(5,ROUND((pc*0.5+oc*0.00001)*5,0))))))</f>
        <v/>
      </c>
    </row>
    <row r="1506">
      <c r="A1506" s="31" t="n">
        <v>1504</v>
      </c>
      <c r="B1506" s="31">
        <f>CHAIN_RAW!D1504</f>
        <v/>
      </c>
      <c r="C1506" s="31">
        <f>CHAIN_RAW!A1504</f>
        <v/>
      </c>
      <c r="D1506" s="31">
        <f>CHAIN_RAW!C1504</f>
        <v/>
      </c>
      <c r="E1506" s="31">
        <f>CHAIN_RAW!E1504</f>
        <v/>
      </c>
      <c r="F1506" s="31">
        <f>CHAIN_RAW!F1504</f>
        <v/>
      </c>
      <c r="G1506" s="31">
        <f>CHAIN_RAW!I1504</f>
        <v/>
      </c>
      <c r="H1506" s="31">
        <f>CHAIN_RAW!Q1504</f>
        <v/>
      </c>
      <c r="I1506" s="31">
        <f>LET(pc,F1506,oc,H1506,IF(OR(pc="",oc=""),"",IF(AND(pc&gt;0,oc&gt;0),"Long Buildup",IF(AND(pc&lt;0,oc&gt;0),"Short Buildup",IF(AND(pc&gt;0,oc&lt;0),"Short Covering",IF(AND(pc&lt;0,oc&lt;0),"Long Unwinding","Flat"))))))</f>
        <v/>
      </c>
      <c r="J1506" s="31">
        <f>LET(pc,ABS(F1506),oc,ABS(H1506),IF(OR(pc="",oc=""),"",MAX(1,MIN(5,ROUND((pc*0.5+oc*0.00001)*5,0))))))</f>
        <v/>
      </c>
    </row>
    <row r="1507">
      <c r="A1507" s="31" t="n">
        <v>1505</v>
      </c>
      <c r="B1507" s="31">
        <f>CHAIN_RAW!D1505</f>
        <v/>
      </c>
      <c r="C1507" s="31">
        <f>CHAIN_RAW!A1505</f>
        <v/>
      </c>
      <c r="D1507" s="31">
        <f>CHAIN_RAW!C1505</f>
        <v/>
      </c>
      <c r="E1507" s="31">
        <f>CHAIN_RAW!E1505</f>
        <v/>
      </c>
      <c r="F1507" s="31">
        <f>CHAIN_RAW!F1505</f>
        <v/>
      </c>
      <c r="G1507" s="31">
        <f>CHAIN_RAW!I1505</f>
        <v/>
      </c>
      <c r="H1507" s="31">
        <f>CHAIN_RAW!Q1505</f>
        <v/>
      </c>
      <c r="I1507" s="31">
        <f>LET(pc,F1507,oc,H1507,IF(OR(pc="",oc=""),"",IF(AND(pc&gt;0,oc&gt;0),"Long Buildup",IF(AND(pc&lt;0,oc&gt;0),"Short Buildup",IF(AND(pc&gt;0,oc&lt;0),"Short Covering",IF(AND(pc&lt;0,oc&lt;0),"Long Unwinding","Flat"))))))</f>
        <v/>
      </c>
      <c r="J1507" s="31">
        <f>LET(pc,ABS(F1507),oc,ABS(H1507),IF(OR(pc="",oc=""),"",MAX(1,MIN(5,ROUND((pc*0.5+oc*0.00001)*5,0))))))</f>
        <v/>
      </c>
    </row>
    <row r="1508">
      <c r="A1508" s="31" t="n">
        <v>1506</v>
      </c>
      <c r="B1508" s="31">
        <f>CHAIN_RAW!D1506</f>
        <v/>
      </c>
      <c r="C1508" s="31">
        <f>CHAIN_RAW!A1506</f>
        <v/>
      </c>
      <c r="D1508" s="31">
        <f>CHAIN_RAW!C1506</f>
        <v/>
      </c>
      <c r="E1508" s="31">
        <f>CHAIN_RAW!E1506</f>
        <v/>
      </c>
      <c r="F1508" s="31">
        <f>CHAIN_RAW!F1506</f>
        <v/>
      </c>
      <c r="G1508" s="31">
        <f>CHAIN_RAW!I1506</f>
        <v/>
      </c>
      <c r="H1508" s="31">
        <f>CHAIN_RAW!Q1506</f>
        <v/>
      </c>
      <c r="I1508" s="31">
        <f>LET(pc,F1508,oc,H1508,IF(OR(pc="",oc=""),"",IF(AND(pc&gt;0,oc&gt;0),"Long Buildup",IF(AND(pc&lt;0,oc&gt;0),"Short Buildup",IF(AND(pc&gt;0,oc&lt;0),"Short Covering",IF(AND(pc&lt;0,oc&lt;0),"Long Unwinding","Flat"))))))</f>
        <v/>
      </c>
      <c r="J1508" s="31">
        <f>LET(pc,ABS(F1508),oc,ABS(H1508),IF(OR(pc="",oc=""),"",MAX(1,MIN(5,ROUND((pc*0.5+oc*0.00001)*5,0))))))</f>
        <v/>
      </c>
    </row>
    <row r="1509">
      <c r="A1509" s="31" t="n">
        <v>1507</v>
      </c>
      <c r="B1509" s="31">
        <f>CHAIN_RAW!D1507</f>
        <v/>
      </c>
      <c r="C1509" s="31">
        <f>CHAIN_RAW!A1507</f>
        <v/>
      </c>
      <c r="D1509" s="31">
        <f>CHAIN_RAW!C1507</f>
        <v/>
      </c>
      <c r="E1509" s="31">
        <f>CHAIN_RAW!E1507</f>
        <v/>
      </c>
      <c r="F1509" s="31">
        <f>CHAIN_RAW!F1507</f>
        <v/>
      </c>
      <c r="G1509" s="31">
        <f>CHAIN_RAW!I1507</f>
        <v/>
      </c>
      <c r="H1509" s="31">
        <f>CHAIN_RAW!Q1507</f>
        <v/>
      </c>
      <c r="I1509" s="31">
        <f>LET(pc,F1509,oc,H1509,IF(OR(pc="",oc=""),"",IF(AND(pc&gt;0,oc&gt;0),"Long Buildup",IF(AND(pc&lt;0,oc&gt;0),"Short Buildup",IF(AND(pc&gt;0,oc&lt;0),"Short Covering",IF(AND(pc&lt;0,oc&lt;0),"Long Unwinding","Flat"))))))</f>
        <v/>
      </c>
      <c r="J1509" s="31">
        <f>LET(pc,ABS(F1509),oc,ABS(H1509),IF(OR(pc="",oc=""),"",MAX(1,MIN(5,ROUND((pc*0.5+oc*0.00001)*5,0))))))</f>
        <v/>
      </c>
    </row>
    <row r="1510">
      <c r="A1510" s="31" t="n">
        <v>1508</v>
      </c>
      <c r="B1510" s="31">
        <f>CHAIN_RAW!D1508</f>
        <v/>
      </c>
      <c r="C1510" s="31">
        <f>CHAIN_RAW!A1508</f>
        <v/>
      </c>
      <c r="D1510" s="31">
        <f>CHAIN_RAW!C1508</f>
        <v/>
      </c>
      <c r="E1510" s="31">
        <f>CHAIN_RAW!E1508</f>
        <v/>
      </c>
      <c r="F1510" s="31">
        <f>CHAIN_RAW!F1508</f>
        <v/>
      </c>
      <c r="G1510" s="31">
        <f>CHAIN_RAW!I1508</f>
        <v/>
      </c>
      <c r="H1510" s="31">
        <f>CHAIN_RAW!Q1508</f>
        <v/>
      </c>
      <c r="I1510" s="31">
        <f>LET(pc,F1510,oc,H1510,IF(OR(pc="",oc=""),"",IF(AND(pc&gt;0,oc&gt;0),"Long Buildup",IF(AND(pc&lt;0,oc&gt;0),"Short Buildup",IF(AND(pc&gt;0,oc&lt;0),"Short Covering",IF(AND(pc&lt;0,oc&lt;0),"Long Unwinding","Flat"))))))</f>
        <v/>
      </c>
      <c r="J1510" s="31">
        <f>LET(pc,ABS(F1510),oc,ABS(H1510),IF(OR(pc="",oc=""),"",MAX(1,MIN(5,ROUND((pc*0.5+oc*0.00001)*5,0))))))</f>
        <v/>
      </c>
    </row>
    <row r="1511">
      <c r="A1511" s="31" t="n">
        <v>1509</v>
      </c>
      <c r="B1511" s="31">
        <f>CHAIN_RAW!D1509</f>
        <v/>
      </c>
      <c r="C1511" s="31">
        <f>CHAIN_RAW!A1509</f>
        <v/>
      </c>
      <c r="D1511" s="31">
        <f>CHAIN_RAW!C1509</f>
        <v/>
      </c>
      <c r="E1511" s="31">
        <f>CHAIN_RAW!E1509</f>
        <v/>
      </c>
      <c r="F1511" s="31">
        <f>CHAIN_RAW!F1509</f>
        <v/>
      </c>
      <c r="G1511" s="31">
        <f>CHAIN_RAW!I1509</f>
        <v/>
      </c>
      <c r="H1511" s="31">
        <f>CHAIN_RAW!Q1509</f>
        <v/>
      </c>
      <c r="I1511" s="31">
        <f>LET(pc,F1511,oc,H1511,IF(OR(pc="",oc=""),"",IF(AND(pc&gt;0,oc&gt;0),"Long Buildup",IF(AND(pc&lt;0,oc&gt;0),"Short Buildup",IF(AND(pc&gt;0,oc&lt;0),"Short Covering",IF(AND(pc&lt;0,oc&lt;0),"Long Unwinding","Flat"))))))</f>
        <v/>
      </c>
      <c r="J1511" s="31">
        <f>LET(pc,ABS(F1511),oc,ABS(H1511),IF(OR(pc="",oc=""),"",MAX(1,MIN(5,ROUND((pc*0.5+oc*0.00001)*5,0))))))</f>
        <v/>
      </c>
    </row>
    <row r="1512">
      <c r="A1512" s="31" t="n">
        <v>1510</v>
      </c>
      <c r="B1512" s="31">
        <f>CHAIN_RAW!D1510</f>
        <v/>
      </c>
      <c r="C1512" s="31">
        <f>CHAIN_RAW!A1510</f>
        <v/>
      </c>
      <c r="D1512" s="31">
        <f>CHAIN_RAW!C1510</f>
        <v/>
      </c>
      <c r="E1512" s="31">
        <f>CHAIN_RAW!E1510</f>
        <v/>
      </c>
      <c r="F1512" s="31">
        <f>CHAIN_RAW!F1510</f>
        <v/>
      </c>
      <c r="G1512" s="31">
        <f>CHAIN_RAW!I1510</f>
        <v/>
      </c>
      <c r="H1512" s="31">
        <f>CHAIN_RAW!Q1510</f>
        <v/>
      </c>
      <c r="I1512" s="31">
        <f>LET(pc,F1512,oc,H1512,IF(OR(pc="",oc=""),"",IF(AND(pc&gt;0,oc&gt;0),"Long Buildup",IF(AND(pc&lt;0,oc&gt;0),"Short Buildup",IF(AND(pc&gt;0,oc&lt;0),"Short Covering",IF(AND(pc&lt;0,oc&lt;0),"Long Unwinding","Flat"))))))</f>
        <v/>
      </c>
      <c r="J1512" s="31">
        <f>LET(pc,ABS(F1512),oc,ABS(H1512),IF(OR(pc="",oc=""),"",MAX(1,MIN(5,ROUND((pc*0.5+oc*0.00001)*5,0))))))</f>
        <v/>
      </c>
    </row>
    <row r="1513">
      <c r="A1513" s="31" t="n">
        <v>1511</v>
      </c>
      <c r="B1513" s="31">
        <f>CHAIN_RAW!D1511</f>
        <v/>
      </c>
      <c r="C1513" s="31">
        <f>CHAIN_RAW!A1511</f>
        <v/>
      </c>
      <c r="D1513" s="31">
        <f>CHAIN_RAW!C1511</f>
        <v/>
      </c>
      <c r="E1513" s="31">
        <f>CHAIN_RAW!E1511</f>
        <v/>
      </c>
      <c r="F1513" s="31">
        <f>CHAIN_RAW!F1511</f>
        <v/>
      </c>
      <c r="G1513" s="31">
        <f>CHAIN_RAW!I1511</f>
        <v/>
      </c>
      <c r="H1513" s="31">
        <f>CHAIN_RAW!Q1511</f>
        <v/>
      </c>
      <c r="I1513" s="31">
        <f>LET(pc,F1513,oc,H1513,IF(OR(pc="",oc=""),"",IF(AND(pc&gt;0,oc&gt;0),"Long Buildup",IF(AND(pc&lt;0,oc&gt;0),"Short Buildup",IF(AND(pc&gt;0,oc&lt;0),"Short Covering",IF(AND(pc&lt;0,oc&lt;0),"Long Unwinding","Flat"))))))</f>
        <v/>
      </c>
      <c r="J1513" s="31">
        <f>LET(pc,ABS(F1513),oc,ABS(H1513),IF(OR(pc="",oc=""),"",MAX(1,MIN(5,ROUND((pc*0.5+oc*0.00001)*5,0))))))</f>
        <v/>
      </c>
    </row>
    <row r="1514">
      <c r="A1514" s="31" t="n">
        <v>1512</v>
      </c>
      <c r="B1514" s="31">
        <f>CHAIN_RAW!D1512</f>
        <v/>
      </c>
      <c r="C1514" s="31">
        <f>CHAIN_RAW!A1512</f>
        <v/>
      </c>
      <c r="D1514" s="31">
        <f>CHAIN_RAW!C1512</f>
        <v/>
      </c>
      <c r="E1514" s="31">
        <f>CHAIN_RAW!E1512</f>
        <v/>
      </c>
      <c r="F1514" s="31">
        <f>CHAIN_RAW!F1512</f>
        <v/>
      </c>
      <c r="G1514" s="31">
        <f>CHAIN_RAW!I1512</f>
        <v/>
      </c>
      <c r="H1514" s="31">
        <f>CHAIN_RAW!Q1512</f>
        <v/>
      </c>
      <c r="I1514" s="31">
        <f>LET(pc,F1514,oc,H1514,IF(OR(pc="",oc=""),"",IF(AND(pc&gt;0,oc&gt;0),"Long Buildup",IF(AND(pc&lt;0,oc&gt;0),"Short Buildup",IF(AND(pc&gt;0,oc&lt;0),"Short Covering",IF(AND(pc&lt;0,oc&lt;0),"Long Unwinding","Flat"))))))</f>
        <v/>
      </c>
      <c r="J1514" s="31">
        <f>LET(pc,ABS(F1514),oc,ABS(H1514),IF(OR(pc="",oc=""),"",MAX(1,MIN(5,ROUND((pc*0.5+oc*0.00001)*5,0))))))</f>
        <v/>
      </c>
    </row>
    <row r="1515">
      <c r="A1515" s="31" t="n">
        <v>1513</v>
      </c>
      <c r="B1515" s="31">
        <f>CHAIN_RAW!D1513</f>
        <v/>
      </c>
      <c r="C1515" s="31">
        <f>CHAIN_RAW!A1513</f>
        <v/>
      </c>
      <c r="D1515" s="31">
        <f>CHAIN_RAW!C1513</f>
        <v/>
      </c>
      <c r="E1515" s="31">
        <f>CHAIN_RAW!E1513</f>
        <v/>
      </c>
      <c r="F1515" s="31">
        <f>CHAIN_RAW!F1513</f>
        <v/>
      </c>
      <c r="G1515" s="31">
        <f>CHAIN_RAW!I1513</f>
        <v/>
      </c>
      <c r="H1515" s="31">
        <f>CHAIN_RAW!Q1513</f>
        <v/>
      </c>
      <c r="I1515" s="31">
        <f>LET(pc,F1515,oc,H1515,IF(OR(pc="",oc=""),"",IF(AND(pc&gt;0,oc&gt;0),"Long Buildup",IF(AND(pc&lt;0,oc&gt;0),"Short Buildup",IF(AND(pc&gt;0,oc&lt;0),"Short Covering",IF(AND(pc&lt;0,oc&lt;0),"Long Unwinding","Flat"))))))</f>
        <v/>
      </c>
      <c r="J1515" s="31">
        <f>LET(pc,ABS(F1515),oc,ABS(H1515),IF(OR(pc="",oc=""),"",MAX(1,MIN(5,ROUND((pc*0.5+oc*0.00001)*5,0))))))</f>
        <v/>
      </c>
    </row>
    <row r="1516">
      <c r="A1516" s="31" t="n">
        <v>1514</v>
      </c>
      <c r="B1516" s="31">
        <f>CHAIN_RAW!D1514</f>
        <v/>
      </c>
      <c r="C1516" s="31">
        <f>CHAIN_RAW!A1514</f>
        <v/>
      </c>
      <c r="D1516" s="31">
        <f>CHAIN_RAW!C1514</f>
        <v/>
      </c>
      <c r="E1516" s="31">
        <f>CHAIN_RAW!E1514</f>
        <v/>
      </c>
      <c r="F1516" s="31">
        <f>CHAIN_RAW!F1514</f>
        <v/>
      </c>
      <c r="G1516" s="31">
        <f>CHAIN_RAW!I1514</f>
        <v/>
      </c>
      <c r="H1516" s="31">
        <f>CHAIN_RAW!Q1514</f>
        <v/>
      </c>
      <c r="I1516" s="31">
        <f>LET(pc,F1516,oc,H1516,IF(OR(pc="",oc=""),"",IF(AND(pc&gt;0,oc&gt;0),"Long Buildup",IF(AND(pc&lt;0,oc&gt;0),"Short Buildup",IF(AND(pc&gt;0,oc&lt;0),"Short Covering",IF(AND(pc&lt;0,oc&lt;0),"Long Unwinding","Flat"))))))</f>
        <v/>
      </c>
      <c r="J1516" s="31">
        <f>LET(pc,ABS(F1516),oc,ABS(H1516),IF(OR(pc="",oc=""),"",MAX(1,MIN(5,ROUND((pc*0.5+oc*0.00001)*5,0))))))</f>
        <v/>
      </c>
    </row>
    <row r="1517">
      <c r="A1517" s="31" t="n">
        <v>1515</v>
      </c>
      <c r="B1517" s="31">
        <f>CHAIN_RAW!D1515</f>
        <v/>
      </c>
      <c r="C1517" s="31">
        <f>CHAIN_RAW!A1515</f>
        <v/>
      </c>
      <c r="D1517" s="31">
        <f>CHAIN_RAW!C1515</f>
        <v/>
      </c>
      <c r="E1517" s="31">
        <f>CHAIN_RAW!E1515</f>
        <v/>
      </c>
      <c r="F1517" s="31">
        <f>CHAIN_RAW!F1515</f>
        <v/>
      </c>
      <c r="G1517" s="31">
        <f>CHAIN_RAW!I1515</f>
        <v/>
      </c>
      <c r="H1517" s="31">
        <f>CHAIN_RAW!Q1515</f>
        <v/>
      </c>
      <c r="I1517" s="31">
        <f>LET(pc,F1517,oc,H1517,IF(OR(pc="",oc=""),"",IF(AND(pc&gt;0,oc&gt;0),"Long Buildup",IF(AND(pc&lt;0,oc&gt;0),"Short Buildup",IF(AND(pc&gt;0,oc&lt;0),"Short Covering",IF(AND(pc&lt;0,oc&lt;0),"Long Unwinding","Flat"))))))</f>
        <v/>
      </c>
      <c r="J1517" s="31">
        <f>LET(pc,ABS(F1517),oc,ABS(H1517),IF(OR(pc="",oc=""),"",MAX(1,MIN(5,ROUND((pc*0.5+oc*0.00001)*5,0))))))</f>
        <v/>
      </c>
    </row>
    <row r="1518">
      <c r="A1518" s="31" t="n">
        <v>1516</v>
      </c>
      <c r="B1518" s="31">
        <f>CHAIN_RAW!D1516</f>
        <v/>
      </c>
      <c r="C1518" s="31">
        <f>CHAIN_RAW!A1516</f>
        <v/>
      </c>
      <c r="D1518" s="31">
        <f>CHAIN_RAW!C1516</f>
        <v/>
      </c>
      <c r="E1518" s="31">
        <f>CHAIN_RAW!E1516</f>
        <v/>
      </c>
      <c r="F1518" s="31">
        <f>CHAIN_RAW!F1516</f>
        <v/>
      </c>
      <c r="G1518" s="31">
        <f>CHAIN_RAW!I1516</f>
        <v/>
      </c>
      <c r="H1518" s="31">
        <f>CHAIN_RAW!Q1516</f>
        <v/>
      </c>
      <c r="I1518" s="31">
        <f>LET(pc,F1518,oc,H1518,IF(OR(pc="",oc=""),"",IF(AND(pc&gt;0,oc&gt;0),"Long Buildup",IF(AND(pc&lt;0,oc&gt;0),"Short Buildup",IF(AND(pc&gt;0,oc&lt;0),"Short Covering",IF(AND(pc&lt;0,oc&lt;0),"Long Unwinding","Flat"))))))</f>
        <v/>
      </c>
      <c r="J1518" s="31">
        <f>LET(pc,ABS(F1518),oc,ABS(H1518),IF(OR(pc="",oc=""),"",MAX(1,MIN(5,ROUND((pc*0.5+oc*0.00001)*5,0))))))</f>
        <v/>
      </c>
    </row>
    <row r="1519">
      <c r="A1519" s="31" t="n">
        <v>1517</v>
      </c>
      <c r="B1519" s="31">
        <f>CHAIN_RAW!D1517</f>
        <v/>
      </c>
      <c r="C1519" s="31">
        <f>CHAIN_RAW!A1517</f>
        <v/>
      </c>
      <c r="D1519" s="31">
        <f>CHAIN_RAW!C1517</f>
        <v/>
      </c>
      <c r="E1519" s="31">
        <f>CHAIN_RAW!E1517</f>
        <v/>
      </c>
      <c r="F1519" s="31">
        <f>CHAIN_RAW!F1517</f>
        <v/>
      </c>
      <c r="G1519" s="31">
        <f>CHAIN_RAW!I1517</f>
        <v/>
      </c>
      <c r="H1519" s="31">
        <f>CHAIN_RAW!Q1517</f>
        <v/>
      </c>
      <c r="I1519" s="31">
        <f>LET(pc,F1519,oc,H1519,IF(OR(pc="",oc=""),"",IF(AND(pc&gt;0,oc&gt;0),"Long Buildup",IF(AND(pc&lt;0,oc&gt;0),"Short Buildup",IF(AND(pc&gt;0,oc&lt;0),"Short Covering",IF(AND(pc&lt;0,oc&lt;0),"Long Unwinding","Flat"))))))</f>
        <v/>
      </c>
      <c r="J1519" s="31">
        <f>LET(pc,ABS(F1519),oc,ABS(H1519),IF(OR(pc="",oc=""),"",MAX(1,MIN(5,ROUND((pc*0.5+oc*0.00001)*5,0))))))</f>
        <v/>
      </c>
    </row>
    <row r="1520">
      <c r="A1520" s="31" t="n">
        <v>1518</v>
      </c>
      <c r="B1520" s="31">
        <f>CHAIN_RAW!D1518</f>
        <v/>
      </c>
      <c r="C1520" s="31">
        <f>CHAIN_RAW!A1518</f>
        <v/>
      </c>
      <c r="D1520" s="31">
        <f>CHAIN_RAW!C1518</f>
        <v/>
      </c>
      <c r="E1520" s="31">
        <f>CHAIN_RAW!E1518</f>
        <v/>
      </c>
      <c r="F1520" s="31">
        <f>CHAIN_RAW!F1518</f>
        <v/>
      </c>
      <c r="G1520" s="31">
        <f>CHAIN_RAW!I1518</f>
        <v/>
      </c>
      <c r="H1520" s="31">
        <f>CHAIN_RAW!Q1518</f>
        <v/>
      </c>
      <c r="I1520" s="31">
        <f>LET(pc,F1520,oc,H1520,IF(OR(pc="",oc=""),"",IF(AND(pc&gt;0,oc&gt;0),"Long Buildup",IF(AND(pc&lt;0,oc&gt;0),"Short Buildup",IF(AND(pc&gt;0,oc&lt;0),"Short Covering",IF(AND(pc&lt;0,oc&lt;0),"Long Unwinding","Flat"))))))</f>
        <v/>
      </c>
      <c r="J1520" s="31">
        <f>LET(pc,ABS(F1520),oc,ABS(H1520),IF(OR(pc="",oc=""),"",MAX(1,MIN(5,ROUND((pc*0.5+oc*0.00001)*5,0))))))</f>
        <v/>
      </c>
    </row>
    <row r="1521">
      <c r="A1521" s="31" t="n">
        <v>1519</v>
      </c>
      <c r="B1521" s="31">
        <f>CHAIN_RAW!D1519</f>
        <v/>
      </c>
      <c r="C1521" s="31">
        <f>CHAIN_RAW!A1519</f>
        <v/>
      </c>
      <c r="D1521" s="31">
        <f>CHAIN_RAW!C1519</f>
        <v/>
      </c>
      <c r="E1521" s="31">
        <f>CHAIN_RAW!E1519</f>
        <v/>
      </c>
      <c r="F1521" s="31">
        <f>CHAIN_RAW!F1519</f>
        <v/>
      </c>
      <c r="G1521" s="31">
        <f>CHAIN_RAW!I1519</f>
        <v/>
      </c>
      <c r="H1521" s="31">
        <f>CHAIN_RAW!Q1519</f>
        <v/>
      </c>
      <c r="I1521" s="31">
        <f>LET(pc,F1521,oc,H1521,IF(OR(pc="",oc=""),"",IF(AND(pc&gt;0,oc&gt;0),"Long Buildup",IF(AND(pc&lt;0,oc&gt;0),"Short Buildup",IF(AND(pc&gt;0,oc&lt;0),"Short Covering",IF(AND(pc&lt;0,oc&lt;0),"Long Unwinding","Flat"))))))</f>
        <v/>
      </c>
      <c r="J1521" s="31">
        <f>LET(pc,ABS(F1521),oc,ABS(H1521),IF(OR(pc="",oc=""),"",MAX(1,MIN(5,ROUND((pc*0.5+oc*0.00001)*5,0))))))</f>
        <v/>
      </c>
    </row>
    <row r="1522">
      <c r="A1522" s="31" t="n">
        <v>1520</v>
      </c>
      <c r="B1522" s="31">
        <f>CHAIN_RAW!D1520</f>
        <v/>
      </c>
      <c r="C1522" s="31">
        <f>CHAIN_RAW!A1520</f>
        <v/>
      </c>
      <c r="D1522" s="31">
        <f>CHAIN_RAW!C1520</f>
        <v/>
      </c>
      <c r="E1522" s="31">
        <f>CHAIN_RAW!E1520</f>
        <v/>
      </c>
      <c r="F1522" s="31">
        <f>CHAIN_RAW!F1520</f>
        <v/>
      </c>
      <c r="G1522" s="31">
        <f>CHAIN_RAW!I1520</f>
        <v/>
      </c>
      <c r="H1522" s="31">
        <f>CHAIN_RAW!Q1520</f>
        <v/>
      </c>
      <c r="I1522" s="31">
        <f>LET(pc,F1522,oc,H1522,IF(OR(pc="",oc=""),"",IF(AND(pc&gt;0,oc&gt;0),"Long Buildup",IF(AND(pc&lt;0,oc&gt;0),"Short Buildup",IF(AND(pc&gt;0,oc&lt;0),"Short Covering",IF(AND(pc&lt;0,oc&lt;0),"Long Unwinding","Flat"))))))</f>
        <v/>
      </c>
      <c r="J1522" s="31">
        <f>LET(pc,ABS(F1522),oc,ABS(H1522),IF(OR(pc="",oc=""),"",MAX(1,MIN(5,ROUND((pc*0.5+oc*0.00001)*5,0))))))</f>
        <v/>
      </c>
    </row>
    <row r="1523">
      <c r="A1523" s="31" t="n">
        <v>1521</v>
      </c>
      <c r="B1523" s="31">
        <f>CHAIN_RAW!D1521</f>
        <v/>
      </c>
      <c r="C1523" s="31">
        <f>CHAIN_RAW!A1521</f>
        <v/>
      </c>
      <c r="D1523" s="31">
        <f>CHAIN_RAW!C1521</f>
        <v/>
      </c>
      <c r="E1523" s="31">
        <f>CHAIN_RAW!E1521</f>
        <v/>
      </c>
      <c r="F1523" s="31">
        <f>CHAIN_RAW!F1521</f>
        <v/>
      </c>
      <c r="G1523" s="31">
        <f>CHAIN_RAW!I1521</f>
        <v/>
      </c>
      <c r="H1523" s="31">
        <f>CHAIN_RAW!Q1521</f>
        <v/>
      </c>
      <c r="I1523" s="31">
        <f>LET(pc,F1523,oc,H1523,IF(OR(pc="",oc=""),"",IF(AND(pc&gt;0,oc&gt;0),"Long Buildup",IF(AND(pc&lt;0,oc&gt;0),"Short Buildup",IF(AND(pc&gt;0,oc&lt;0),"Short Covering",IF(AND(pc&lt;0,oc&lt;0),"Long Unwinding","Flat"))))))</f>
        <v/>
      </c>
      <c r="J1523" s="31">
        <f>LET(pc,ABS(F1523),oc,ABS(H1523),IF(OR(pc="",oc=""),"",MAX(1,MIN(5,ROUND((pc*0.5+oc*0.00001)*5,0))))))</f>
        <v/>
      </c>
    </row>
    <row r="1524">
      <c r="A1524" s="31" t="n">
        <v>1522</v>
      </c>
      <c r="B1524" s="31">
        <f>CHAIN_RAW!D1522</f>
        <v/>
      </c>
      <c r="C1524" s="31">
        <f>CHAIN_RAW!A1522</f>
        <v/>
      </c>
      <c r="D1524" s="31">
        <f>CHAIN_RAW!C1522</f>
        <v/>
      </c>
      <c r="E1524" s="31">
        <f>CHAIN_RAW!E1522</f>
        <v/>
      </c>
      <c r="F1524" s="31">
        <f>CHAIN_RAW!F1522</f>
        <v/>
      </c>
      <c r="G1524" s="31">
        <f>CHAIN_RAW!I1522</f>
        <v/>
      </c>
      <c r="H1524" s="31">
        <f>CHAIN_RAW!Q1522</f>
        <v/>
      </c>
      <c r="I1524" s="31">
        <f>LET(pc,F1524,oc,H1524,IF(OR(pc="",oc=""),"",IF(AND(pc&gt;0,oc&gt;0),"Long Buildup",IF(AND(pc&lt;0,oc&gt;0),"Short Buildup",IF(AND(pc&gt;0,oc&lt;0),"Short Covering",IF(AND(pc&lt;0,oc&lt;0),"Long Unwinding","Flat"))))))</f>
        <v/>
      </c>
      <c r="J1524" s="31">
        <f>LET(pc,ABS(F1524),oc,ABS(H1524),IF(OR(pc="",oc=""),"",MAX(1,MIN(5,ROUND((pc*0.5+oc*0.00001)*5,0))))))</f>
        <v/>
      </c>
    </row>
    <row r="1525">
      <c r="A1525" s="31" t="n">
        <v>1523</v>
      </c>
      <c r="B1525" s="31">
        <f>CHAIN_RAW!D1523</f>
        <v/>
      </c>
      <c r="C1525" s="31">
        <f>CHAIN_RAW!A1523</f>
        <v/>
      </c>
      <c r="D1525" s="31">
        <f>CHAIN_RAW!C1523</f>
        <v/>
      </c>
      <c r="E1525" s="31">
        <f>CHAIN_RAW!E1523</f>
        <v/>
      </c>
      <c r="F1525" s="31">
        <f>CHAIN_RAW!F1523</f>
        <v/>
      </c>
      <c r="G1525" s="31">
        <f>CHAIN_RAW!I1523</f>
        <v/>
      </c>
      <c r="H1525" s="31">
        <f>CHAIN_RAW!Q1523</f>
        <v/>
      </c>
      <c r="I1525" s="31">
        <f>LET(pc,F1525,oc,H1525,IF(OR(pc="",oc=""),"",IF(AND(pc&gt;0,oc&gt;0),"Long Buildup",IF(AND(pc&lt;0,oc&gt;0),"Short Buildup",IF(AND(pc&gt;0,oc&lt;0),"Short Covering",IF(AND(pc&lt;0,oc&lt;0),"Long Unwinding","Flat"))))))</f>
        <v/>
      </c>
      <c r="J1525" s="31">
        <f>LET(pc,ABS(F1525),oc,ABS(H1525),IF(OR(pc="",oc=""),"",MAX(1,MIN(5,ROUND((pc*0.5+oc*0.00001)*5,0))))))</f>
        <v/>
      </c>
    </row>
    <row r="1526">
      <c r="A1526" s="31" t="n">
        <v>1524</v>
      </c>
      <c r="B1526" s="31">
        <f>CHAIN_RAW!D1524</f>
        <v/>
      </c>
      <c r="C1526" s="31">
        <f>CHAIN_RAW!A1524</f>
        <v/>
      </c>
      <c r="D1526" s="31">
        <f>CHAIN_RAW!C1524</f>
        <v/>
      </c>
      <c r="E1526" s="31">
        <f>CHAIN_RAW!E1524</f>
        <v/>
      </c>
      <c r="F1526" s="31">
        <f>CHAIN_RAW!F1524</f>
        <v/>
      </c>
      <c r="G1526" s="31">
        <f>CHAIN_RAW!I1524</f>
        <v/>
      </c>
      <c r="H1526" s="31">
        <f>CHAIN_RAW!Q1524</f>
        <v/>
      </c>
      <c r="I1526" s="31">
        <f>LET(pc,F1526,oc,H1526,IF(OR(pc="",oc=""),"",IF(AND(pc&gt;0,oc&gt;0),"Long Buildup",IF(AND(pc&lt;0,oc&gt;0),"Short Buildup",IF(AND(pc&gt;0,oc&lt;0),"Short Covering",IF(AND(pc&lt;0,oc&lt;0),"Long Unwinding","Flat"))))))</f>
        <v/>
      </c>
      <c r="J1526" s="31">
        <f>LET(pc,ABS(F1526),oc,ABS(H1526),IF(OR(pc="",oc=""),"",MAX(1,MIN(5,ROUND((pc*0.5+oc*0.00001)*5,0))))))</f>
        <v/>
      </c>
    </row>
    <row r="1527">
      <c r="A1527" s="31" t="n">
        <v>1525</v>
      </c>
      <c r="B1527" s="31">
        <f>CHAIN_RAW!D1525</f>
        <v/>
      </c>
      <c r="C1527" s="31">
        <f>CHAIN_RAW!A1525</f>
        <v/>
      </c>
      <c r="D1527" s="31">
        <f>CHAIN_RAW!C1525</f>
        <v/>
      </c>
      <c r="E1527" s="31">
        <f>CHAIN_RAW!E1525</f>
        <v/>
      </c>
      <c r="F1527" s="31">
        <f>CHAIN_RAW!F1525</f>
        <v/>
      </c>
      <c r="G1527" s="31">
        <f>CHAIN_RAW!I1525</f>
        <v/>
      </c>
      <c r="H1527" s="31">
        <f>CHAIN_RAW!Q1525</f>
        <v/>
      </c>
      <c r="I1527" s="31">
        <f>LET(pc,F1527,oc,H1527,IF(OR(pc="",oc=""),"",IF(AND(pc&gt;0,oc&gt;0),"Long Buildup",IF(AND(pc&lt;0,oc&gt;0),"Short Buildup",IF(AND(pc&gt;0,oc&lt;0),"Short Covering",IF(AND(pc&lt;0,oc&lt;0),"Long Unwinding","Flat"))))))</f>
        <v/>
      </c>
      <c r="J1527" s="31">
        <f>LET(pc,ABS(F1527),oc,ABS(H1527),IF(OR(pc="",oc=""),"",MAX(1,MIN(5,ROUND((pc*0.5+oc*0.00001)*5,0))))))</f>
        <v/>
      </c>
    </row>
    <row r="1528">
      <c r="A1528" s="31" t="n">
        <v>1526</v>
      </c>
      <c r="B1528" s="31">
        <f>CHAIN_RAW!D1526</f>
        <v/>
      </c>
      <c r="C1528" s="31">
        <f>CHAIN_RAW!A1526</f>
        <v/>
      </c>
      <c r="D1528" s="31">
        <f>CHAIN_RAW!C1526</f>
        <v/>
      </c>
      <c r="E1528" s="31">
        <f>CHAIN_RAW!E1526</f>
        <v/>
      </c>
      <c r="F1528" s="31">
        <f>CHAIN_RAW!F1526</f>
        <v/>
      </c>
      <c r="G1528" s="31">
        <f>CHAIN_RAW!I1526</f>
        <v/>
      </c>
      <c r="H1528" s="31">
        <f>CHAIN_RAW!Q1526</f>
        <v/>
      </c>
      <c r="I1528" s="31">
        <f>LET(pc,F1528,oc,H1528,IF(OR(pc="",oc=""),"",IF(AND(pc&gt;0,oc&gt;0),"Long Buildup",IF(AND(pc&lt;0,oc&gt;0),"Short Buildup",IF(AND(pc&gt;0,oc&lt;0),"Short Covering",IF(AND(pc&lt;0,oc&lt;0),"Long Unwinding","Flat"))))))</f>
        <v/>
      </c>
      <c r="J1528" s="31">
        <f>LET(pc,ABS(F1528),oc,ABS(H1528),IF(OR(pc="",oc=""),"",MAX(1,MIN(5,ROUND((pc*0.5+oc*0.00001)*5,0))))))</f>
        <v/>
      </c>
    </row>
    <row r="1529">
      <c r="A1529" s="31" t="n">
        <v>1527</v>
      </c>
      <c r="B1529" s="31">
        <f>CHAIN_RAW!D1527</f>
        <v/>
      </c>
      <c r="C1529" s="31">
        <f>CHAIN_RAW!A1527</f>
        <v/>
      </c>
      <c r="D1529" s="31">
        <f>CHAIN_RAW!C1527</f>
        <v/>
      </c>
      <c r="E1529" s="31">
        <f>CHAIN_RAW!E1527</f>
        <v/>
      </c>
      <c r="F1529" s="31">
        <f>CHAIN_RAW!F1527</f>
        <v/>
      </c>
      <c r="G1529" s="31">
        <f>CHAIN_RAW!I1527</f>
        <v/>
      </c>
      <c r="H1529" s="31">
        <f>CHAIN_RAW!Q1527</f>
        <v/>
      </c>
      <c r="I1529" s="31">
        <f>LET(pc,F1529,oc,H1529,IF(OR(pc="",oc=""),"",IF(AND(pc&gt;0,oc&gt;0),"Long Buildup",IF(AND(pc&lt;0,oc&gt;0),"Short Buildup",IF(AND(pc&gt;0,oc&lt;0),"Short Covering",IF(AND(pc&lt;0,oc&lt;0),"Long Unwinding","Flat"))))))</f>
        <v/>
      </c>
      <c r="J1529" s="31">
        <f>LET(pc,ABS(F1529),oc,ABS(H1529),IF(OR(pc="",oc=""),"",MAX(1,MIN(5,ROUND((pc*0.5+oc*0.00001)*5,0))))))</f>
        <v/>
      </c>
    </row>
    <row r="1530">
      <c r="A1530" s="31" t="n">
        <v>1528</v>
      </c>
      <c r="B1530" s="31">
        <f>CHAIN_RAW!D1528</f>
        <v/>
      </c>
      <c r="C1530" s="31">
        <f>CHAIN_RAW!A1528</f>
        <v/>
      </c>
      <c r="D1530" s="31">
        <f>CHAIN_RAW!C1528</f>
        <v/>
      </c>
      <c r="E1530" s="31">
        <f>CHAIN_RAW!E1528</f>
        <v/>
      </c>
      <c r="F1530" s="31">
        <f>CHAIN_RAW!F1528</f>
        <v/>
      </c>
      <c r="G1530" s="31">
        <f>CHAIN_RAW!I1528</f>
        <v/>
      </c>
      <c r="H1530" s="31">
        <f>CHAIN_RAW!Q1528</f>
        <v/>
      </c>
      <c r="I1530" s="31">
        <f>LET(pc,F1530,oc,H1530,IF(OR(pc="",oc=""),"",IF(AND(pc&gt;0,oc&gt;0),"Long Buildup",IF(AND(pc&lt;0,oc&gt;0),"Short Buildup",IF(AND(pc&gt;0,oc&lt;0),"Short Covering",IF(AND(pc&lt;0,oc&lt;0),"Long Unwinding","Flat"))))))</f>
        <v/>
      </c>
      <c r="J1530" s="31">
        <f>LET(pc,ABS(F1530),oc,ABS(H1530),IF(OR(pc="",oc=""),"",MAX(1,MIN(5,ROUND((pc*0.5+oc*0.00001)*5,0))))))</f>
        <v/>
      </c>
    </row>
    <row r="1531">
      <c r="A1531" s="31" t="n">
        <v>1529</v>
      </c>
      <c r="B1531" s="31">
        <f>CHAIN_RAW!D1529</f>
        <v/>
      </c>
      <c r="C1531" s="31">
        <f>CHAIN_RAW!A1529</f>
        <v/>
      </c>
      <c r="D1531" s="31">
        <f>CHAIN_RAW!C1529</f>
        <v/>
      </c>
      <c r="E1531" s="31">
        <f>CHAIN_RAW!E1529</f>
        <v/>
      </c>
      <c r="F1531" s="31">
        <f>CHAIN_RAW!F1529</f>
        <v/>
      </c>
      <c r="G1531" s="31">
        <f>CHAIN_RAW!I1529</f>
        <v/>
      </c>
      <c r="H1531" s="31">
        <f>CHAIN_RAW!Q1529</f>
        <v/>
      </c>
      <c r="I1531" s="31">
        <f>LET(pc,F1531,oc,H1531,IF(OR(pc="",oc=""),"",IF(AND(pc&gt;0,oc&gt;0),"Long Buildup",IF(AND(pc&lt;0,oc&gt;0),"Short Buildup",IF(AND(pc&gt;0,oc&lt;0),"Short Covering",IF(AND(pc&lt;0,oc&lt;0),"Long Unwinding","Flat"))))))</f>
        <v/>
      </c>
      <c r="J1531" s="31">
        <f>LET(pc,ABS(F1531),oc,ABS(H1531),IF(OR(pc="",oc=""),"",MAX(1,MIN(5,ROUND((pc*0.5+oc*0.00001)*5,0))))))</f>
        <v/>
      </c>
    </row>
    <row r="1532">
      <c r="A1532" s="31" t="n">
        <v>1530</v>
      </c>
      <c r="B1532" s="31">
        <f>CHAIN_RAW!D1530</f>
        <v/>
      </c>
      <c r="C1532" s="31">
        <f>CHAIN_RAW!A1530</f>
        <v/>
      </c>
      <c r="D1532" s="31">
        <f>CHAIN_RAW!C1530</f>
        <v/>
      </c>
      <c r="E1532" s="31">
        <f>CHAIN_RAW!E1530</f>
        <v/>
      </c>
      <c r="F1532" s="31">
        <f>CHAIN_RAW!F1530</f>
        <v/>
      </c>
      <c r="G1532" s="31">
        <f>CHAIN_RAW!I1530</f>
        <v/>
      </c>
      <c r="H1532" s="31">
        <f>CHAIN_RAW!Q1530</f>
        <v/>
      </c>
      <c r="I1532" s="31">
        <f>LET(pc,F1532,oc,H1532,IF(OR(pc="",oc=""),"",IF(AND(pc&gt;0,oc&gt;0),"Long Buildup",IF(AND(pc&lt;0,oc&gt;0),"Short Buildup",IF(AND(pc&gt;0,oc&lt;0),"Short Covering",IF(AND(pc&lt;0,oc&lt;0),"Long Unwinding","Flat"))))))</f>
        <v/>
      </c>
      <c r="J1532" s="31">
        <f>LET(pc,ABS(F1532),oc,ABS(H1532),IF(OR(pc="",oc=""),"",MAX(1,MIN(5,ROUND((pc*0.5+oc*0.00001)*5,0))))))</f>
        <v/>
      </c>
    </row>
    <row r="1533">
      <c r="A1533" s="31" t="n">
        <v>1531</v>
      </c>
      <c r="B1533" s="31">
        <f>CHAIN_RAW!D1531</f>
        <v/>
      </c>
      <c r="C1533" s="31">
        <f>CHAIN_RAW!A1531</f>
        <v/>
      </c>
      <c r="D1533" s="31">
        <f>CHAIN_RAW!C1531</f>
        <v/>
      </c>
      <c r="E1533" s="31">
        <f>CHAIN_RAW!E1531</f>
        <v/>
      </c>
      <c r="F1533" s="31">
        <f>CHAIN_RAW!F1531</f>
        <v/>
      </c>
      <c r="G1533" s="31">
        <f>CHAIN_RAW!I1531</f>
        <v/>
      </c>
      <c r="H1533" s="31">
        <f>CHAIN_RAW!Q1531</f>
        <v/>
      </c>
      <c r="I1533" s="31">
        <f>LET(pc,F1533,oc,H1533,IF(OR(pc="",oc=""),"",IF(AND(pc&gt;0,oc&gt;0),"Long Buildup",IF(AND(pc&lt;0,oc&gt;0),"Short Buildup",IF(AND(pc&gt;0,oc&lt;0),"Short Covering",IF(AND(pc&lt;0,oc&lt;0),"Long Unwinding","Flat"))))))</f>
        <v/>
      </c>
      <c r="J1533" s="31">
        <f>LET(pc,ABS(F1533),oc,ABS(H1533),IF(OR(pc="",oc=""),"",MAX(1,MIN(5,ROUND((pc*0.5+oc*0.00001)*5,0))))))</f>
        <v/>
      </c>
    </row>
    <row r="1534">
      <c r="A1534" s="31" t="n">
        <v>1532</v>
      </c>
      <c r="B1534" s="31">
        <f>CHAIN_RAW!D1532</f>
        <v/>
      </c>
      <c r="C1534" s="31">
        <f>CHAIN_RAW!A1532</f>
        <v/>
      </c>
      <c r="D1534" s="31">
        <f>CHAIN_RAW!C1532</f>
        <v/>
      </c>
      <c r="E1534" s="31">
        <f>CHAIN_RAW!E1532</f>
        <v/>
      </c>
      <c r="F1534" s="31">
        <f>CHAIN_RAW!F1532</f>
        <v/>
      </c>
      <c r="G1534" s="31">
        <f>CHAIN_RAW!I1532</f>
        <v/>
      </c>
      <c r="H1534" s="31">
        <f>CHAIN_RAW!Q1532</f>
        <v/>
      </c>
      <c r="I1534" s="31">
        <f>LET(pc,F1534,oc,H1534,IF(OR(pc="",oc=""),"",IF(AND(pc&gt;0,oc&gt;0),"Long Buildup",IF(AND(pc&lt;0,oc&gt;0),"Short Buildup",IF(AND(pc&gt;0,oc&lt;0),"Short Covering",IF(AND(pc&lt;0,oc&lt;0),"Long Unwinding","Flat"))))))</f>
        <v/>
      </c>
      <c r="J1534" s="31">
        <f>LET(pc,ABS(F1534),oc,ABS(H1534),IF(OR(pc="",oc=""),"",MAX(1,MIN(5,ROUND((pc*0.5+oc*0.00001)*5,0))))))</f>
        <v/>
      </c>
    </row>
    <row r="1535">
      <c r="A1535" s="31" t="n">
        <v>1533</v>
      </c>
      <c r="B1535" s="31">
        <f>CHAIN_RAW!D1533</f>
        <v/>
      </c>
      <c r="C1535" s="31">
        <f>CHAIN_RAW!A1533</f>
        <v/>
      </c>
      <c r="D1535" s="31">
        <f>CHAIN_RAW!C1533</f>
        <v/>
      </c>
      <c r="E1535" s="31">
        <f>CHAIN_RAW!E1533</f>
        <v/>
      </c>
      <c r="F1535" s="31">
        <f>CHAIN_RAW!F1533</f>
        <v/>
      </c>
      <c r="G1535" s="31">
        <f>CHAIN_RAW!I1533</f>
        <v/>
      </c>
      <c r="H1535" s="31">
        <f>CHAIN_RAW!Q1533</f>
        <v/>
      </c>
      <c r="I1535" s="31">
        <f>LET(pc,F1535,oc,H1535,IF(OR(pc="",oc=""),"",IF(AND(pc&gt;0,oc&gt;0),"Long Buildup",IF(AND(pc&lt;0,oc&gt;0),"Short Buildup",IF(AND(pc&gt;0,oc&lt;0),"Short Covering",IF(AND(pc&lt;0,oc&lt;0),"Long Unwinding","Flat"))))))</f>
        <v/>
      </c>
      <c r="J1535" s="31">
        <f>LET(pc,ABS(F1535),oc,ABS(H1535),IF(OR(pc="",oc=""),"",MAX(1,MIN(5,ROUND((pc*0.5+oc*0.00001)*5,0))))))</f>
        <v/>
      </c>
    </row>
    <row r="1536">
      <c r="A1536" s="31" t="n">
        <v>1534</v>
      </c>
      <c r="B1536" s="31">
        <f>CHAIN_RAW!D1534</f>
        <v/>
      </c>
      <c r="C1536" s="31">
        <f>CHAIN_RAW!A1534</f>
        <v/>
      </c>
      <c r="D1536" s="31">
        <f>CHAIN_RAW!C1534</f>
        <v/>
      </c>
      <c r="E1536" s="31">
        <f>CHAIN_RAW!E1534</f>
        <v/>
      </c>
      <c r="F1536" s="31">
        <f>CHAIN_RAW!F1534</f>
        <v/>
      </c>
      <c r="G1536" s="31">
        <f>CHAIN_RAW!I1534</f>
        <v/>
      </c>
      <c r="H1536" s="31">
        <f>CHAIN_RAW!Q1534</f>
        <v/>
      </c>
      <c r="I1536" s="31">
        <f>LET(pc,F1536,oc,H1536,IF(OR(pc="",oc=""),"",IF(AND(pc&gt;0,oc&gt;0),"Long Buildup",IF(AND(pc&lt;0,oc&gt;0),"Short Buildup",IF(AND(pc&gt;0,oc&lt;0),"Short Covering",IF(AND(pc&lt;0,oc&lt;0),"Long Unwinding","Flat"))))))</f>
        <v/>
      </c>
      <c r="J1536" s="31">
        <f>LET(pc,ABS(F1536),oc,ABS(H1536),IF(OR(pc="",oc=""),"",MAX(1,MIN(5,ROUND((pc*0.5+oc*0.00001)*5,0))))))</f>
        <v/>
      </c>
    </row>
    <row r="1537">
      <c r="A1537" s="31" t="n">
        <v>1535</v>
      </c>
      <c r="B1537" s="31">
        <f>CHAIN_RAW!D1535</f>
        <v/>
      </c>
      <c r="C1537" s="31">
        <f>CHAIN_RAW!A1535</f>
        <v/>
      </c>
      <c r="D1537" s="31">
        <f>CHAIN_RAW!C1535</f>
        <v/>
      </c>
      <c r="E1537" s="31">
        <f>CHAIN_RAW!E1535</f>
        <v/>
      </c>
      <c r="F1537" s="31">
        <f>CHAIN_RAW!F1535</f>
        <v/>
      </c>
      <c r="G1537" s="31">
        <f>CHAIN_RAW!I1535</f>
        <v/>
      </c>
      <c r="H1537" s="31">
        <f>CHAIN_RAW!Q1535</f>
        <v/>
      </c>
      <c r="I1537" s="31">
        <f>LET(pc,F1537,oc,H1537,IF(OR(pc="",oc=""),"",IF(AND(pc&gt;0,oc&gt;0),"Long Buildup",IF(AND(pc&lt;0,oc&gt;0),"Short Buildup",IF(AND(pc&gt;0,oc&lt;0),"Short Covering",IF(AND(pc&lt;0,oc&lt;0),"Long Unwinding","Flat"))))))</f>
        <v/>
      </c>
      <c r="J1537" s="31">
        <f>LET(pc,ABS(F1537),oc,ABS(H1537),IF(OR(pc="",oc=""),"",MAX(1,MIN(5,ROUND((pc*0.5+oc*0.00001)*5,0))))))</f>
        <v/>
      </c>
    </row>
    <row r="1538">
      <c r="A1538" s="31" t="n">
        <v>1536</v>
      </c>
      <c r="B1538" s="31">
        <f>CHAIN_RAW!D1536</f>
        <v/>
      </c>
      <c r="C1538" s="31">
        <f>CHAIN_RAW!A1536</f>
        <v/>
      </c>
      <c r="D1538" s="31">
        <f>CHAIN_RAW!C1536</f>
        <v/>
      </c>
      <c r="E1538" s="31">
        <f>CHAIN_RAW!E1536</f>
        <v/>
      </c>
      <c r="F1538" s="31">
        <f>CHAIN_RAW!F1536</f>
        <v/>
      </c>
      <c r="G1538" s="31">
        <f>CHAIN_RAW!I1536</f>
        <v/>
      </c>
      <c r="H1538" s="31">
        <f>CHAIN_RAW!Q1536</f>
        <v/>
      </c>
      <c r="I1538" s="31">
        <f>LET(pc,F1538,oc,H1538,IF(OR(pc="",oc=""),"",IF(AND(pc&gt;0,oc&gt;0),"Long Buildup",IF(AND(pc&lt;0,oc&gt;0),"Short Buildup",IF(AND(pc&gt;0,oc&lt;0),"Short Covering",IF(AND(pc&lt;0,oc&lt;0),"Long Unwinding","Flat"))))))</f>
        <v/>
      </c>
      <c r="J1538" s="31">
        <f>LET(pc,ABS(F1538),oc,ABS(H1538),IF(OR(pc="",oc=""),"",MAX(1,MIN(5,ROUND((pc*0.5+oc*0.00001)*5,0))))))</f>
        <v/>
      </c>
    </row>
    <row r="1539">
      <c r="A1539" s="31" t="n">
        <v>1537</v>
      </c>
      <c r="B1539" s="31">
        <f>CHAIN_RAW!D1537</f>
        <v/>
      </c>
      <c r="C1539" s="31">
        <f>CHAIN_RAW!A1537</f>
        <v/>
      </c>
      <c r="D1539" s="31">
        <f>CHAIN_RAW!C1537</f>
        <v/>
      </c>
      <c r="E1539" s="31">
        <f>CHAIN_RAW!E1537</f>
        <v/>
      </c>
      <c r="F1539" s="31">
        <f>CHAIN_RAW!F1537</f>
        <v/>
      </c>
      <c r="G1539" s="31">
        <f>CHAIN_RAW!I1537</f>
        <v/>
      </c>
      <c r="H1539" s="31">
        <f>CHAIN_RAW!Q1537</f>
        <v/>
      </c>
      <c r="I1539" s="31">
        <f>LET(pc,F1539,oc,H1539,IF(OR(pc="",oc=""),"",IF(AND(pc&gt;0,oc&gt;0),"Long Buildup",IF(AND(pc&lt;0,oc&gt;0),"Short Buildup",IF(AND(pc&gt;0,oc&lt;0),"Short Covering",IF(AND(pc&lt;0,oc&lt;0),"Long Unwinding","Flat"))))))</f>
        <v/>
      </c>
      <c r="J1539" s="31">
        <f>LET(pc,ABS(F1539),oc,ABS(H1539),IF(OR(pc="",oc=""),"",MAX(1,MIN(5,ROUND((pc*0.5+oc*0.00001)*5,0))))))</f>
        <v/>
      </c>
    </row>
    <row r="1540">
      <c r="A1540" s="31" t="n">
        <v>1538</v>
      </c>
      <c r="B1540" s="31">
        <f>CHAIN_RAW!D1538</f>
        <v/>
      </c>
      <c r="C1540" s="31">
        <f>CHAIN_RAW!A1538</f>
        <v/>
      </c>
      <c r="D1540" s="31">
        <f>CHAIN_RAW!C1538</f>
        <v/>
      </c>
      <c r="E1540" s="31">
        <f>CHAIN_RAW!E1538</f>
        <v/>
      </c>
      <c r="F1540" s="31">
        <f>CHAIN_RAW!F1538</f>
        <v/>
      </c>
      <c r="G1540" s="31">
        <f>CHAIN_RAW!I1538</f>
        <v/>
      </c>
      <c r="H1540" s="31">
        <f>CHAIN_RAW!Q1538</f>
        <v/>
      </c>
      <c r="I1540" s="31">
        <f>LET(pc,F1540,oc,H1540,IF(OR(pc="",oc=""),"",IF(AND(pc&gt;0,oc&gt;0),"Long Buildup",IF(AND(pc&lt;0,oc&gt;0),"Short Buildup",IF(AND(pc&gt;0,oc&lt;0),"Short Covering",IF(AND(pc&lt;0,oc&lt;0),"Long Unwinding","Flat"))))))</f>
        <v/>
      </c>
      <c r="J1540" s="31">
        <f>LET(pc,ABS(F1540),oc,ABS(H1540),IF(OR(pc="",oc=""),"",MAX(1,MIN(5,ROUND((pc*0.5+oc*0.00001)*5,0))))))</f>
        <v/>
      </c>
    </row>
    <row r="1541">
      <c r="A1541" s="31" t="n">
        <v>1539</v>
      </c>
      <c r="B1541" s="31">
        <f>CHAIN_RAW!D1539</f>
        <v/>
      </c>
      <c r="C1541" s="31">
        <f>CHAIN_RAW!A1539</f>
        <v/>
      </c>
      <c r="D1541" s="31">
        <f>CHAIN_RAW!C1539</f>
        <v/>
      </c>
      <c r="E1541" s="31">
        <f>CHAIN_RAW!E1539</f>
        <v/>
      </c>
      <c r="F1541" s="31">
        <f>CHAIN_RAW!F1539</f>
        <v/>
      </c>
      <c r="G1541" s="31">
        <f>CHAIN_RAW!I1539</f>
        <v/>
      </c>
      <c r="H1541" s="31">
        <f>CHAIN_RAW!Q1539</f>
        <v/>
      </c>
      <c r="I1541" s="31">
        <f>LET(pc,F1541,oc,H1541,IF(OR(pc="",oc=""),"",IF(AND(pc&gt;0,oc&gt;0),"Long Buildup",IF(AND(pc&lt;0,oc&gt;0),"Short Buildup",IF(AND(pc&gt;0,oc&lt;0),"Short Covering",IF(AND(pc&lt;0,oc&lt;0),"Long Unwinding","Flat"))))))</f>
        <v/>
      </c>
      <c r="J1541" s="31">
        <f>LET(pc,ABS(F1541),oc,ABS(H1541),IF(OR(pc="",oc=""),"",MAX(1,MIN(5,ROUND((pc*0.5+oc*0.00001)*5,0))))))</f>
        <v/>
      </c>
    </row>
    <row r="1542">
      <c r="A1542" s="31" t="n">
        <v>1540</v>
      </c>
      <c r="B1542" s="31">
        <f>CHAIN_RAW!D1540</f>
        <v/>
      </c>
      <c r="C1542" s="31">
        <f>CHAIN_RAW!A1540</f>
        <v/>
      </c>
      <c r="D1542" s="31">
        <f>CHAIN_RAW!C1540</f>
        <v/>
      </c>
      <c r="E1542" s="31">
        <f>CHAIN_RAW!E1540</f>
        <v/>
      </c>
      <c r="F1542" s="31">
        <f>CHAIN_RAW!F1540</f>
        <v/>
      </c>
      <c r="G1542" s="31">
        <f>CHAIN_RAW!I1540</f>
        <v/>
      </c>
      <c r="H1542" s="31">
        <f>CHAIN_RAW!Q1540</f>
        <v/>
      </c>
      <c r="I1542" s="31">
        <f>LET(pc,F1542,oc,H1542,IF(OR(pc="",oc=""),"",IF(AND(pc&gt;0,oc&gt;0),"Long Buildup",IF(AND(pc&lt;0,oc&gt;0),"Short Buildup",IF(AND(pc&gt;0,oc&lt;0),"Short Covering",IF(AND(pc&lt;0,oc&lt;0),"Long Unwinding","Flat"))))))</f>
        <v/>
      </c>
      <c r="J1542" s="31">
        <f>LET(pc,ABS(F1542),oc,ABS(H1542),IF(OR(pc="",oc=""),"",MAX(1,MIN(5,ROUND((pc*0.5+oc*0.00001)*5,0))))))</f>
        <v/>
      </c>
    </row>
    <row r="1543">
      <c r="A1543" s="31" t="n">
        <v>1541</v>
      </c>
      <c r="B1543" s="31">
        <f>CHAIN_RAW!D1541</f>
        <v/>
      </c>
      <c r="C1543" s="31">
        <f>CHAIN_RAW!A1541</f>
        <v/>
      </c>
      <c r="D1543" s="31">
        <f>CHAIN_RAW!C1541</f>
        <v/>
      </c>
      <c r="E1543" s="31">
        <f>CHAIN_RAW!E1541</f>
        <v/>
      </c>
      <c r="F1543" s="31">
        <f>CHAIN_RAW!F1541</f>
        <v/>
      </c>
      <c r="G1543" s="31">
        <f>CHAIN_RAW!I1541</f>
        <v/>
      </c>
      <c r="H1543" s="31">
        <f>CHAIN_RAW!Q1541</f>
        <v/>
      </c>
      <c r="I1543" s="31">
        <f>LET(pc,F1543,oc,H1543,IF(OR(pc="",oc=""),"",IF(AND(pc&gt;0,oc&gt;0),"Long Buildup",IF(AND(pc&lt;0,oc&gt;0),"Short Buildup",IF(AND(pc&gt;0,oc&lt;0),"Short Covering",IF(AND(pc&lt;0,oc&lt;0),"Long Unwinding","Flat"))))))</f>
        <v/>
      </c>
      <c r="J1543" s="31">
        <f>LET(pc,ABS(F1543),oc,ABS(H1543),IF(OR(pc="",oc=""),"",MAX(1,MIN(5,ROUND((pc*0.5+oc*0.00001)*5,0))))))</f>
        <v/>
      </c>
    </row>
    <row r="1544">
      <c r="A1544" s="31" t="n">
        <v>1542</v>
      </c>
      <c r="B1544" s="31">
        <f>CHAIN_RAW!D1542</f>
        <v/>
      </c>
      <c r="C1544" s="31">
        <f>CHAIN_RAW!A1542</f>
        <v/>
      </c>
      <c r="D1544" s="31">
        <f>CHAIN_RAW!C1542</f>
        <v/>
      </c>
      <c r="E1544" s="31">
        <f>CHAIN_RAW!E1542</f>
        <v/>
      </c>
      <c r="F1544" s="31">
        <f>CHAIN_RAW!F1542</f>
        <v/>
      </c>
      <c r="G1544" s="31">
        <f>CHAIN_RAW!I1542</f>
        <v/>
      </c>
      <c r="H1544" s="31">
        <f>CHAIN_RAW!Q1542</f>
        <v/>
      </c>
      <c r="I1544" s="31">
        <f>LET(pc,F1544,oc,H1544,IF(OR(pc="",oc=""),"",IF(AND(pc&gt;0,oc&gt;0),"Long Buildup",IF(AND(pc&lt;0,oc&gt;0),"Short Buildup",IF(AND(pc&gt;0,oc&lt;0),"Short Covering",IF(AND(pc&lt;0,oc&lt;0),"Long Unwinding","Flat"))))))</f>
        <v/>
      </c>
      <c r="J1544" s="31">
        <f>LET(pc,ABS(F1544),oc,ABS(H1544),IF(OR(pc="",oc=""),"",MAX(1,MIN(5,ROUND((pc*0.5+oc*0.00001)*5,0))))))</f>
        <v/>
      </c>
    </row>
    <row r="1545">
      <c r="A1545" s="31" t="n">
        <v>1543</v>
      </c>
      <c r="B1545" s="31">
        <f>CHAIN_RAW!D1543</f>
        <v/>
      </c>
      <c r="C1545" s="31">
        <f>CHAIN_RAW!A1543</f>
        <v/>
      </c>
      <c r="D1545" s="31">
        <f>CHAIN_RAW!C1543</f>
        <v/>
      </c>
      <c r="E1545" s="31">
        <f>CHAIN_RAW!E1543</f>
        <v/>
      </c>
      <c r="F1545" s="31">
        <f>CHAIN_RAW!F1543</f>
        <v/>
      </c>
      <c r="G1545" s="31">
        <f>CHAIN_RAW!I1543</f>
        <v/>
      </c>
      <c r="H1545" s="31">
        <f>CHAIN_RAW!Q1543</f>
        <v/>
      </c>
      <c r="I1545" s="31">
        <f>LET(pc,F1545,oc,H1545,IF(OR(pc="",oc=""),"",IF(AND(pc&gt;0,oc&gt;0),"Long Buildup",IF(AND(pc&lt;0,oc&gt;0),"Short Buildup",IF(AND(pc&gt;0,oc&lt;0),"Short Covering",IF(AND(pc&lt;0,oc&lt;0),"Long Unwinding","Flat"))))))</f>
        <v/>
      </c>
      <c r="J1545" s="31">
        <f>LET(pc,ABS(F1545),oc,ABS(H1545),IF(OR(pc="",oc=""),"",MAX(1,MIN(5,ROUND((pc*0.5+oc*0.00001)*5,0))))))</f>
        <v/>
      </c>
    </row>
    <row r="1546">
      <c r="A1546" s="31" t="n">
        <v>1544</v>
      </c>
      <c r="B1546" s="31">
        <f>CHAIN_RAW!D1544</f>
        <v/>
      </c>
      <c r="C1546" s="31">
        <f>CHAIN_RAW!A1544</f>
        <v/>
      </c>
      <c r="D1546" s="31">
        <f>CHAIN_RAW!C1544</f>
        <v/>
      </c>
      <c r="E1546" s="31">
        <f>CHAIN_RAW!E1544</f>
        <v/>
      </c>
      <c r="F1546" s="31">
        <f>CHAIN_RAW!F1544</f>
        <v/>
      </c>
      <c r="G1546" s="31">
        <f>CHAIN_RAW!I1544</f>
        <v/>
      </c>
      <c r="H1546" s="31">
        <f>CHAIN_RAW!Q1544</f>
        <v/>
      </c>
      <c r="I1546" s="31">
        <f>LET(pc,F1546,oc,H1546,IF(OR(pc="",oc=""),"",IF(AND(pc&gt;0,oc&gt;0),"Long Buildup",IF(AND(pc&lt;0,oc&gt;0),"Short Buildup",IF(AND(pc&gt;0,oc&lt;0),"Short Covering",IF(AND(pc&lt;0,oc&lt;0),"Long Unwinding","Flat"))))))</f>
        <v/>
      </c>
      <c r="J1546" s="31">
        <f>LET(pc,ABS(F1546),oc,ABS(H1546),IF(OR(pc="",oc=""),"",MAX(1,MIN(5,ROUND((pc*0.5+oc*0.00001)*5,0))))))</f>
        <v/>
      </c>
    </row>
    <row r="1547">
      <c r="A1547" s="31" t="n">
        <v>1545</v>
      </c>
      <c r="B1547" s="31">
        <f>CHAIN_RAW!D1545</f>
        <v/>
      </c>
      <c r="C1547" s="31">
        <f>CHAIN_RAW!A1545</f>
        <v/>
      </c>
      <c r="D1547" s="31">
        <f>CHAIN_RAW!C1545</f>
        <v/>
      </c>
      <c r="E1547" s="31">
        <f>CHAIN_RAW!E1545</f>
        <v/>
      </c>
      <c r="F1547" s="31">
        <f>CHAIN_RAW!F1545</f>
        <v/>
      </c>
      <c r="G1547" s="31">
        <f>CHAIN_RAW!I1545</f>
        <v/>
      </c>
      <c r="H1547" s="31">
        <f>CHAIN_RAW!Q1545</f>
        <v/>
      </c>
      <c r="I1547" s="31">
        <f>LET(pc,F1547,oc,H1547,IF(OR(pc="",oc=""),"",IF(AND(pc&gt;0,oc&gt;0),"Long Buildup",IF(AND(pc&lt;0,oc&gt;0),"Short Buildup",IF(AND(pc&gt;0,oc&lt;0),"Short Covering",IF(AND(pc&lt;0,oc&lt;0),"Long Unwinding","Flat"))))))</f>
        <v/>
      </c>
      <c r="J1547" s="31">
        <f>LET(pc,ABS(F1547),oc,ABS(H1547),IF(OR(pc="",oc=""),"",MAX(1,MIN(5,ROUND((pc*0.5+oc*0.00001)*5,0))))))</f>
        <v/>
      </c>
    </row>
    <row r="1548">
      <c r="A1548" s="31" t="n">
        <v>1546</v>
      </c>
      <c r="B1548" s="31">
        <f>CHAIN_RAW!D1546</f>
        <v/>
      </c>
      <c r="C1548" s="31">
        <f>CHAIN_RAW!A1546</f>
        <v/>
      </c>
      <c r="D1548" s="31">
        <f>CHAIN_RAW!C1546</f>
        <v/>
      </c>
      <c r="E1548" s="31">
        <f>CHAIN_RAW!E1546</f>
        <v/>
      </c>
      <c r="F1548" s="31">
        <f>CHAIN_RAW!F1546</f>
        <v/>
      </c>
      <c r="G1548" s="31">
        <f>CHAIN_RAW!I1546</f>
        <v/>
      </c>
      <c r="H1548" s="31">
        <f>CHAIN_RAW!Q1546</f>
        <v/>
      </c>
      <c r="I1548" s="31">
        <f>LET(pc,F1548,oc,H1548,IF(OR(pc="",oc=""),"",IF(AND(pc&gt;0,oc&gt;0),"Long Buildup",IF(AND(pc&lt;0,oc&gt;0),"Short Buildup",IF(AND(pc&gt;0,oc&lt;0),"Short Covering",IF(AND(pc&lt;0,oc&lt;0),"Long Unwinding","Flat"))))))</f>
        <v/>
      </c>
      <c r="J1548" s="31">
        <f>LET(pc,ABS(F1548),oc,ABS(H1548),IF(OR(pc="",oc=""),"",MAX(1,MIN(5,ROUND((pc*0.5+oc*0.00001)*5,0))))))</f>
        <v/>
      </c>
    </row>
    <row r="1549">
      <c r="A1549" s="31" t="n">
        <v>1547</v>
      </c>
      <c r="B1549" s="31">
        <f>CHAIN_RAW!D1547</f>
        <v/>
      </c>
      <c r="C1549" s="31">
        <f>CHAIN_RAW!A1547</f>
        <v/>
      </c>
      <c r="D1549" s="31">
        <f>CHAIN_RAW!C1547</f>
        <v/>
      </c>
      <c r="E1549" s="31">
        <f>CHAIN_RAW!E1547</f>
        <v/>
      </c>
      <c r="F1549" s="31">
        <f>CHAIN_RAW!F1547</f>
        <v/>
      </c>
      <c r="G1549" s="31">
        <f>CHAIN_RAW!I1547</f>
        <v/>
      </c>
      <c r="H1549" s="31">
        <f>CHAIN_RAW!Q1547</f>
        <v/>
      </c>
      <c r="I1549" s="31">
        <f>LET(pc,F1549,oc,H1549,IF(OR(pc="",oc=""),"",IF(AND(pc&gt;0,oc&gt;0),"Long Buildup",IF(AND(pc&lt;0,oc&gt;0),"Short Buildup",IF(AND(pc&gt;0,oc&lt;0),"Short Covering",IF(AND(pc&lt;0,oc&lt;0),"Long Unwinding","Flat"))))))</f>
        <v/>
      </c>
      <c r="J1549" s="31">
        <f>LET(pc,ABS(F1549),oc,ABS(H1549),IF(OR(pc="",oc=""),"",MAX(1,MIN(5,ROUND((pc*0.5+oc*0.00001)*5,0))))))</f>
        <v/>
      </c>
    </row>
    <row r="1550">
      <c r="A1550" s="31" t="n">
        <v>1548</v>
      </c>
      <c r="B1550" s="31">
        <f>CHAIN_RAW!D1548</f>
        <v/>
      </c>
      <c r="C1550" s="31">
        <f>CHAIN_RAW!A1548</f>
        <v/>
      </c>
      <c r="D1550" s="31">
        <f>CHAIN_RAW!C1548</f>
        <v/>
      </c>
      <c r="E1550" s="31">
        <f>CHAIN_RAW!E1548</f>
        <v/>
      </c>
      <c r="F1550" s="31">
        <f>CHAIN_RAW!F1548</f>
        <v/>
      </c>
      <c r="G1550" s="31">
        <f>CHAIN_RAW!I1548</f>
        <v/>
      </c>
      <c r="H1550" s="31">
        <f>CHAIN_RAW!Q1548</f>
        <v/>
      </c>
      <c r="I1550" s="31">
        <f>LET(pc,F1550,oc,H1550,IF(OR(pc="",oc=""),"",IF(AND(pc&gt;0,oc&gt;0),"Long Buildup",IF(AND(pc&lt;0,oc&gt;0),"Short Buildup",IF(AND(pc&gt;0,oc&lt;0),"Short Covering",IF(AND(pc&lt;0,oc&lt;0),"Long Unwinding","Flat"))))))</f>
        <v/>
      </c>
      <c r="J1550" s="31">
        <f>LET(pc,ABS(F1550),oc,ABS(H1550),IF(OR(pc="",oc=""),"",MAX(1,MIN(5,ROUND((pc*0.5+oc*0.00001)*5,0))))))</f>
        <v/>
      </c>
    </row>
    <row r="1551">
      <c r="A1551" s="31" t="n">
        <v>1549</v>
      </c>
      <c r="B1551" s="31">
        <f>CHAIN_RAW!D1549</f>
        <v/>
      </c>
      <c r="C1551" s="31">
        <f>CHAIN_RAW!A1549</f>
        <v/>
      </c>
      <c r="D1551" s="31">
        <f>CHAIN_RAW!C1549</f>
        <v/>
      </c>
      <c r="E1551" s="31">
        <f>CHAIN_RAW!E1549</f>
        <v/>
      </c>
      <c r="F1551" s="31">
        <f>CHAIN_RAW!F1549</f>
        <v/>
      </c>
      <c r="G1551" s="31">
        <f>CHAIN_RAW!I1549</f>
        <v/>
      </c>
      <c r="H1551" s="31">
        <f>CHAIN_RAW!Q1549</f>
        <v/>
      </c>
      <c r="I1551" s="31">
        <f>LET(pc,F1551,oc,H1551,IF(OR(pc="",oc=""),"",IF(AND(pc&gt;0,oc&gt;0),"Long Buildup",IF(AND(pc&lt;0,oc&gt;0),"Short Buildup",IF(AND(pc&gt;0,oc&lt;0),"Short Covering",IF(AND(pc&lt;0,oc&lt;0),"Long Unwinding","Flat"))))))</f>
        <v/>
      </c>
      <c r="J1551" s="31">
        <f>LET(pc,ABS(F1551),oc,ABS(H1551),IF(OR(pc="",oc=""),"",MAX(1,MIN(5,ROUND((pc*0.5+oc*0.00001)*5,0))))))</f>
        <v/>
      </c>
    </row>
    <row r="1552">
      <c r="A1552" s="31" t="n">
        <v>1550</v>
      </c>
      <c r="B1552" s="31">
        <f>CHAIN_RAW!D1550</f>
        <v/>
      </c>
      <c r="C1552" s="31">
        <f>CHAIN_RAW!A1550</f>
        <v/>
      </c>
      <c r="D1552" s="31">
        <f>CHAIN_RAW!C1550</f>
        <v/>
      </c>
      <c r="E1552" s="31">
        <f>CHAIN_RAW!E1550</f>
        <v/>
      </c>
      <c r="F1552" s="31">
        <f>CHAIN_RAW!F1550</f>
        <v/>
      </c>
      <c r="G1552" s="31">
        <f>CHAIN_RAW!I1550</f>
        <v/>
      </c>
      <c r="H1552" s="31">
        <f>CHAIN_RAW!Q1550</f>
        <v/>
      </c>
      <c r="I1552" s="31">
        <f>LET(pc,F1552,oc,H1552,IF(OR(pc="",oc=""),"",IF(AND(pc&gt;0,oc&gt;0),"Long Buildup",IF(AND(pc&lt;0,oc&gt;0),"Short Buildup",IF(AND(pc&gt;0,oc&lt;0),"Short Covering",IF(AND(pc&lt;0,oc&lt;0),"Long Unwinding","Flat"))))))</f>
        <v/>
      </c>
      <c r="J1552" s="31">
        <f>LET(pc,ABS(F1552),oc,ABS(H1552),IF(OR(pc="",oc=""),"",MAX(1,MIN(5,ROUND((pc*0.5+oc*0.00001)*5,0))))))</f>
        <v/>
      </c>
    </row>
    <row r="1553">
      <c r="A1553" s="31" t="n">
        <v>1551</v>
      </c>
      <c r="B1553" s="31">
        <f>CHAIN_RAW!D1551</f>
        <v/>
      </c>
      <c r="C1553" s="31">
        <f>CHAIN_RAW!A1551</f>
        <v/>
      </c>
      <c r="D1553" s="31">
        <f>CHAIN_RAW!C1551</f>
        <v/>
      </c>
      <c r="E1553" s="31">
        <f>CHAIN_RAW!E1551</f>
        <v/>
      </c>
      <c r="F1553" s="31">
        <f>CHAIN_RAW!F1551</f>
        <v/>
      </c>
      <c r="G1553" s="31">
        <f>CHAIN_RAW!I1551</f>
        <v/>
      </c>
      <c r="H1553" s="31">
        <f>CHAIN_RAW!Q1551</f>
        <v/>
      </c>
      <c r="I1553" s="31">
        <f>LET(pc,F1553,oc,H1553,IF(OR(pc="",oc=""),"",IF(AND(pc&gt;0,oc&gt;0),"Long Buildup",IF(AND(pc&lt;0,oc&gt;0),"Short Buildup",IF(AND(pc&gt;0,oc&lt;0),"Short Covering",IF(AND(pc&lt;0,oc&lt;0),"Long Unwinding","Flat"))))))</f>
        <v/>
      </c>
      <c r="J1553" s="31">
        <f>LET(pc,ABS(F1553),oc,ABS(H1553),IF(OR(pc="",oc=""),"",MAX(1,MIN(5,ROUND((pc*0.5+oc*0.00001)*5,0))))))</f>
        <v/>
      </c>
    </row>
    <row r="1554">
      <c r="A1554" s="31" t="n">
        <v>1552</v>
      </c>
      <c r="B1554" s="31">
        <f>CHAIN_RAW!D1552</f>
        <v/>
      </c>
      <c r="C1554" s="31">
        <f>CHAIN_RAW!A1552</f>
        <v/>
      </c>
      <c r="D1554" s="31">
        <f>CHAIN_RAW!C1552</f>
        <v/>
      </c>
      <c r="E1554" s="31">
        <f>CHAIN_RAW!E1552</f>
        <v/>
      </c>
      <c r="F1554" s="31">
        <f>CHAIN_RAW!F1552</f>
        <v/>
      </c>
      <c r="G1554" s="31">
        <f>CHAIN_RAW!I1552</f>
        <v/>
      </c>
      <c r="H1554" s="31">
        <f>CHAIN_RAW!Q1552</f>
        <v/>
      </c>
      <c r="I1554" s="31">
        <f>LET(pc,F1554,oc,H1554,IF(OR(pc="",oc=""),"",IF(AND(pc&gt;0,oc&gt;0),"Long Buildup",IF(AND(pc&lt;0,oc&gt;0),"Short Buildup",IF(AND(pc&gt;0,oc&lt;0),"Short Covering",IF(AND(pc&lt;0,oc&lt;0),"Long Unwinding","Flat"))))))</f>
        <v/>
      </c>
      <c r="J1554" s="31">
        <f>LET(pc,ABS(F1554),oc,ABS(H1554),IF(OR(pc="",oc=""),"",MAX(1,MIN(5,ROUND((pc*0.5+oc*0.00001)*5,0))))))</f>
        <v/>
      </c>
    </row>
    <row r="1555">
      <c r="A1555" s="31" t="n">
        <v>1553</v>
      </c>
      <c r="B1555" s="31">
        <f>CHAIN_RAW!D1553</f>
        <v/>
      </c>
      <c r="C1555" s="31">
        <f>CHAIN_RAW!A1553</f>
        <v/>
      </c>
      <c r="D1555" s="31">
        <f>CHAIN_RAW!C1553</f>
        <v/>
      </c>
      <c r="E1555" s="31">
        <f>CHAIN_RAW!E1553</f>
        <v/>
      </c>
      <c r="F1555" s="31">
        <f>CHAIN_RAW!F1553</f>
        <v/>
      </c>
      <c r="G1555" s="31">
        <f>CHAIN_RAW!I1553</f>
        <v/>
      </c>
      <c r="H1555" s="31">
        <f>CHAIN_RAW!Q1553</f>
        <v/>
      </c>
      <c r="I1555" s="31">
        <f>LET(pc,F1555,oc,H1555,IF(OR(pc="",oc=""),"",IF(AND(pc&gt;0,oc&gt;0),"Long Buildup",IF(AND(pc&lt;0,oc&gt;0),"Short Buildup",IF(AND(pc&gt;0,oc&lt;0),"Short Covering",IF(AND(pc&lt;0,oc&lt;0),"Long Unwinding","Flat"))))))</f>
        <v/>
      </c>
      <c r="J1555" s="31">
        <f>LET(pc,ABS(F1555),oc,ABS(H1555),IF(OR(pc="",oc=""),"",MAX(1,MIN(5,ROUND((pc*0.5+oc*0.00001)*5,0))))))</f>
        <v/>
      </c>
    </row>
    <row r="1556">
      <c r="A1556" s="31" t="n">
        <v>1554</v>
      </c>
      <c r="B1556" s="31">
        <f>CHAIN_RAW!D1554</f>
        <v/>
      </c>
      <c r="C1556" s="31">
        <f>CHAIN_RAW!A1554</f>
        <v/>
      </c>
      <c r="D1556" s="31">
        <f>CHAIN_RAW!C1554</f>
        <v/>
      </c>
      <c r="E1556" s="31">
        <f>CHAIN_RAW!E1554</f>
        <v/>
      </c>
      <c r="F1556" s="31">
        <f>CHAIN_RAW!F1554</f>
        <v/>
      </c>
      <c r="G1556" s="31">
        <f>CHAIN_RAW!I1554</f>
        <v/>
      </c>
      <c r="H1556" s="31">
        <f>CHAIN_RAW!Q1554</f>
        <v/>
      </c>
      <c r="I1556" s="31">
        <f>LET(pc,F1556,oc,H1556,IF(OR(pc="",oc=""),"",IF(AND(pc&gt;0,oc&gt;0),"Long Buildup",IF(AND(pc&lt;0,oc&gt;0),"Short Buildup",IF(AND(pc&gt;0,oc&lt;0),"Short Covering",IF(AND(pc&lt;0,oc&lt;0),"Long Unwinding","Flat"))))))</f>
        <v/>
      </c>
      <c r="J1556" s="31">
        <f>LET(pc,ABS(F1556),oc,ABS(H1556),IF(OR(pc="",oc=""),"",MAX(1,MIN(5,ROUND((pc*0.5+oc*0.00001)*5,0))))))</f>
        <v/>
      </c>
    </row>
    <row r="1557">
      <c r="A1557" s="31" t="n">
        <v>1555</v>
      </c>
      <c r="B1557" s="31">
        <f>CHAIN_RAW!D1555</f>
        <v/>
      </c>
      <c r="C1557" s="31">
        <f>CHAIN_RAW!A1555</f>
        <v/>
      </c>
      <c r="D1557" s="31">
        <f>CHAIN_RAW!C1555</f>
        <v/>
      </c>
      <c r="E1557" s="31">
        <f>CHAIN_RAW!E1555</f>
        <v/>
      </c>
      <c r="F1557" s="31">
        <f>CHAIN_RAW!F1555</f>
        <v/>
      </c>
      <c r="G1557" s="31">
        <f>CHAIN_RAW!I1555</f>
        <v/>
      </c>
      <c r="H1557" s="31">
        <f>CHAIN_RAW!Q1555</f>
        <v/>
      </c>
      <c r="I1557" s="31">
        <f>LET(pc,F1557,oc,H1557,IF(OR(pc="",oc=""),"",IF(AND(pc&gt;0,oc&gt;0),"Long Buildup",IF(AND(pc&lt;0,oc&gt;0),"Short Buildup",IF(AND(pc&gt;0,oc&lt;0),"Short Covering",IF(AND(pc&lt;0,oc&lt;0),"Long Unwinding","Flat"))))))</f>
        <v/>
      </c>
      <c r="J1557" s="31">
        <f>LET(pc,ABS(F1557),oc,ABS(H1557),IF(OR(pc="",oc=""),"",MAX(1,MIN(5,ROUND((pc*0.5+oc*0.00001)*5,0))))))</f>
        <v/>
      </c>
    </row>
    <row r="1558">
      <c r="A1558" s="31" t="n">
        <v>1556</v>
      </c>
      <c r="B1558" s="31">
        <f>CHAIN_RAW!D1556</f>
        <v/>
      </c>
      <c r="C1558" s="31">
        <f>CHAIN_RAW!A1556</f>
        <v/>
      </c>
      <c r="D1558" s="31">
        <f>CHAIN_RAW!C1556</f>
        <v/>
      </c>
      <c r="E1558" s="31">
        <f>CHAIN_RAW!E1556</f>
        <v/>
      </c>
      <c r="F1558" s="31">
        <f>CHAIN_RAW!F1556</f>
        <v/>
      </c>
      <c r="G1558" s="31">
        <f>CHAIN_RAW!I1556</f>
        <v/>
      </c>
      <c r="H1558" s="31">
        <f>CHAIN_RAW!Q1556</f>
        <v/>
      </c>
      <c r="I1558" s="31">
        <f>LET(pc,F1558,oc,H1558,IF(OR(pc="",oc=""),"",IF(AND(pc&gt;0,oc&gt;0),"Long Buildup",IF(AND(pc&lt;0,oc&gt;0),"Short Buildup",IF(AND(pc&gt;0,oc&lt;0),"Short Covering",IF(AND(pc&lt;0,oc&lt;0),"Long Unwinding","Flat"))))))</f>
        <v/>
      </c>
      <c r="J1558" s="31">
        <f>LET(pc,ABS(F1558),oc,ABS(H1558),IF(OR(pc="",oc=""),"",MAX(1,MIN(5,ROUND((pc*0.5+oc*0.00001)*5,0))))))</f>
        <v/>
      </c>
    </row>
    <row r="1559">
      <c r="A1559" s="31" t="n">
        <v>1557</v>
      </c>
      <c r="B1559" s="31">
        <f>CHAIN_RAW!D1557</f>
        <v/>
      </c>
      <c r="C1559" s="31">
        <f>CHAIN_RAW!A1557</f>
        <v/>
      </c>
      <c r="D1559" s="31">
        <f>CHAIN_RAW!C1557</f>
        <v/>
      </c>
      <c r="E1559" s="31">
        <f>CHAIN_RAW!E1557</f>
        <v/>
      </c>
      <c r="F1559" s="31">
        <f>CHAIN_RAW!F1557</f>
        <v/>
      </c>
      <c r="G1559" s="31">
        <f>CHAIN_RAW!I1557</f>
        <v/>
      </c>
      <c r="H1559" s="31">
        <f>CHAIN_RAW!Q1557</f>
        <v/>
      </c>
      <c r="I1559" s="31">
        <f>LET(pc,F1559,oc,H1559,IF(OR(pc="",oc=""),"",IF(AND(pc&gt;0,oc&gt;0),"Long Buildup",IF(AND(pc&lt;0,oc&gt;0),"Short Buildup",IF(AND(pc&gt;0,oc&lt;0),"Short Covering",IF(AND(pc&lt;0,oc&lt;0),"Long Unwinding","Flat"))))))</f>
        <v/>
      </c>
      <c r="J1559" s="31">
        <f>LET(pc,ABS(F1559),oc,ABS(H1559),IF(OR(pc="",oc=""),"",MAX(1,MIN(5,ROUND((pc*0.5+oc*0.00001)*5,0))))))</f>
        <v/>
      </c>
    </row>
    <row r="1560">
      <c r="A1560" s="31" t="n">
        <v>1558</v>
      </c>
      <c r="B1560" s="31">
        <f>CHAIN_RAW!D1558</f>
        <v/>
      </c>
      <c r="C1560" s="31">
        <f>CHAIN_RAW!A1558</f>
        <v/>
      </c>
      <c r="D1560" s="31">
        <f>CHAIN_RAW!C1558</f>
        <v/>
      </c>
      <c r="E1560" s="31">
        <f>CHAIN_RAW!E1558</f>
        <v/>
      </c>
      <c r="F1560" s="31">
        <f>CHAIN_RAW!F1558</f>
        <v/>
      </c>
      <c r="G1560" s="31">
        <f>CHAIN_RAW!I1558</f>
        <v/>
      </c>
      <c r="H1560" s="31">
        <f>CHAIN_RAW!Q1558</f>
        <v/>
      </c>
      <c r="I1560" s="31">
        <f>LET(pc,F1560,oc,H1560,IF(OR(pc="",oc=""),"",IF(AND(pc&gt;0,oc&gt;0),"Long Buildup",IF(AND(pc&lt;0,oc&gt;0),"Short Buildup",IF(AND(pc&gt;0,oc&lt;0),"Short Covering",IF(AND(pc&lt;0,oc&lt;0),"Long Unwinding","Flat"))))))</f>
        <v/>
      </c>
      <c r="J1560" s="31">
        <f>LET(pc,ABS(F1560),oc,ABS(H1560),IF(OR(pc="",oc=""),"",MAX(1,MIN(5,ROUND((pc*0.5+oc*0.00001)*5,0))))))</f>
        <v/>
      </c>
    </row>
    <row r="1561">
      <c r="A1561" s="31" t="n">
        <v>1559</v>
      </c>
      <c r="B1561" s="31">
        <f>CHAIN_RAW!D1559</f>
        <v/>
      </c>
      <c r="C1561" s="31">
        <f>CHAIN_RAW!A1559</f>
        <v/>
      </c>
      <c r="D1561" s="31">
        <f>CHAIN_RAW!C1559</f>
        <v/>
      </c>
      <c r="E1561" s="31">
        <f>CHAIN_RAW!E1559</f>
        <v/>
      </c>
      <c r="F1561" s="31">
        <f>CHAIN_RAW!F1559</f>
        <v/>
      </c>
      <c r="G1561" s="31">
        <f>CHAIN_RAW!I1559</f>
        <v/>
      </c>
      <c r="H1561" s="31">
        <f>CHAIN_RAW!Q1559</f>
        <v/>
      </c>
      <c r="I1561" s="31">
        <f>LET(pc,F1561,oc,H1561,IF(OR(pc="",oc=""),"",IF(AND(pc&gt;0,oc&gt;0),"Long Buildup",IF(AND(pc&lt;0,oc&gt;0),"Short Buildup",IF(AND(pc&gt;0,oc&lt;0),"Short Covering",IF(AND(pc&lt;0,oc&lt;0),"Long Unwinding","Flat"))))))</f>
        <v/>
      </c>
      <c r="J1561" s="31">
        <f>LET(pc,ABS(F1561),oc,ABS(H1561),IF(OR(pc="",oc=""),"",MAX(1,MIN(5,ROUND((pc*0.5+oc*0.00001)*5,0))))))</f>
        <v/>
      </c>
    </row>
    <row r="1562">
      <c r="A1562" s="31" t="n">
        <v>1560</v>
      </c>
      <c r="B1562" s="31">
        <f>CHAIN_RAW!D1560</f>
        <v/>
      </c>
      <c r="C1562" s="31">
        <f>CHAIN_RAW!A1560</f>
        <v/>
      </c>
      <c r="D1562" s="31">
        <f>CHAIN_RAW!C1560</f>
        <v/>
      </c>
      <c r="E1562" s="31">
        <f>CHAIN_RAW!E1560</f>
        <v/>
      </c>
      <c r="F1562" s="31">
        <f>CHAIN_RAW!F1560</f>
        <v/>
      </c>
      <c r="G1562" s="31">
        <f>CHAIN_RAW!I1560</f>
        <v/>
      </c>
      <c r="H1562" s="31">
        <f>CHAIN_RAW!Q1560</f>
        <v/>
      </c>
      <c r="I1562" s="31">
        <f>LET(pc,F1562,oc,H1562,IF(OR(pc="",oc=""),"",IF(AND(pc&gt;0,oc&gt;0),"Long Buildup",IF(AND(pc&lt;0,oc&gt;0),"Short Buildup",IF(AND(pc&gt;0,oc&lt;0),"Short Covering",IF(AND(pc&lt;0,oc&lt;0),"Long Unwinding","Flat"))))))</f>
        <v/>
      </c>
      <c r="J1562" s="31">
        <f>LET(pc,ABS(F1562),oc,ABS(H1562),IF(OR(pc="",oc=""),"",MAX(1,MIN(5,ROUND((pc*0.5+oc*0.00001)*5,0))))))</f>
        <v/>
      </c>
    </row>
    <row r="1563">
      <c r="A1563" s="31" t="n">
        <v>1561</v>
      </c>
      <c r="B1563" s="31">
        <f>CHAIN_RAW!D1561</f>
        <v/>
      </c>
      <c r="C1563" s="31">
        <f>CHAIN_RAW!A1561</f>
        <v/>
      </c>
      <c r="D1563" s="31">
        <f>CHAIN_RAW!C1561</f>
        <v/>
      </c>
      <c r="E1563" s="31">
        <f>CHAIN_RAW!E1561</f>
        <v/>
      </c>
      <c r="F1563" s="31">
        <f>CHAIN_RAW!F1561</f>
        <v/>
      </c>
      <c r="G1563" s="31">
        <f>CHAIN_RAW!I1561</f>
        <v/>
      </c>
      <c r="H1563" s="31">
        <f>CHAIN_RAW!Q1561</f>
        <v/>
      </c>
      <c r="I1563" s="31">
        <f>LET(pc,F1563,oc,H1563,IF(OR(pc="",oc=""),"",IF(AND(pc&gt;0,oc&gt;0),"Long Buildup",IF(AND(pc&lt;0,oc&gt;0),"Short Buildup",IF(AND(pc&gt;0,oc&lt;0),"Short Covering",IF(AND(pc&lt;0,oc&lt;0),"Long Unwinding","Flat"))))))</f>
        <v/>
      </c>
      <c r="J1563" s="31">
        <f>LET(pc,ABS(F1563),oc,ABS(H1563),IF(OR(pc="",oc=""),"",MAX(1,MIN(5,ROUND((pc*0.5+oc*0.00001)*5,0))))))</f>
        <v/>
      </c>
    </row>
    <row r="1564">
      <c r="A1564" s="31" t="n">
        <v>1562</v>
      </c>
      <c r="B1564" s="31">
        <f>CHAIN_RAW!D1562</f>
        <v/>
      </c>
      <c r="C1564" s="31">
        <f>CHAIN_RAW!A1562</f>
        <v/>
      </c>
      <c r="D1564" s="31">
        <f>CHAIN_RAW!C1562</f>
        <v/>
      </c>
      <c r="E1564" s="31">
        <f>CHAIN_RAW!E1562</f>
        <v/>
      </c>
      <c r="F1564" s="31">
        <f>CHAIN_RAW!F1562</f>
        <v/>
      </c>
      <c r="G1564" s="31">
        <f>CHAIN_RAW!I1562</f>
        <v/>
      </c>
      <c r="H1564" s="31">
        <f>CHAIN_RAW!Q1562</f>
        <v/>
      </c>
      <c r="I1564" s="31">
        <f>LET(pc,F1564,oc,H1564,IF(OR(pc="",oc=""),"",IF(AND(pc&gt;0,oc&gt;0),"Long Buildup",IF(AND(pc&lt;0,oc&gt;0),"Short Buildup",IF(AND(pc&gt;0,oc&lt;0),"Short Covering",IF(AND(pc&lt;0,oc&lt;0),"Long Unwinding","Flat"))))))</f>
        <v/>
      </c>
      <c r="J1564" s="31">
        <f>LET(pc,ABS(F1564),oc,ABS(H1564),IF(OR(pc="",oc=""),"",MAX(1,MIN(5,ROUND((pc*0.5+oc*0.00001)*5,0))))))</f>
        <v/>
      </c>
    </row>
    <row r="1565">
      <c r="A1565" s="31" t="n">
        <v>1563</v>
      </c>
      <c r="B1565" s="31">
        <f>CHAIN_RAW!D1563</f>
        <v/>
      </c>
      <c r="C1565" s="31">
        <f>CHAIN_RAW!A1563</f>
        <v/>
      </c>
      <c r="D1565" s="31">
        <f>CHAIN_RAW!C1563</f>
        <v/>
      </c>
      <c r="E1565" s="31">
        <f>CHAIN_RAW!E1563</f>
        <v/>
      </c>
      <c r="F1565" s="31">
        <f>CHAIN_RAW!F1563</f>
        <v/>
      </c>
      <c r="G1565" s="31">
        <f>CHAIN_RAW!I1563</f>
        <v/>
      </c>
      <c r="H1565" s="31">
        <f>CHAIN_RAW!Q1563</f>
        <v/>
      </c>
      <c r="I1565" s="31">
        <f>LET(pc,F1565,oc,H1565,IF(OR(pc="",oc=""),"",IF(AND(pc&gt;0,oc&gt;0),"Long Buildup",IF(AND(pc&lt;0,oc&gt;0),"Short Buildup",IF(AND(pc&gt;0,oc&lt;0),"Short Covering",IF(AND(pc&lt;0,oc&lt;0),"Long Unwinding","Flat"))))))</f>
        <v/>
      </c>
      <c r="J1565" s="31">
        <f>LET(pc,ABS(F1565),oc,ABS(H1565),IF(OR(pc="",oc=""),"",MAX(1,MIN(5,ROUND((pc*0.5+oc*0.00001)*5,0))))))</f>
        <v/>
      </c>
    </row>
    <row r="1566">
      <c r="A1566" s="31" t="n">
        <v>1564</v>
      </c>
      <c r="B1566" s="31">
        <f>CHAIN_RAW!D1564</f>
        <v/>
      </c>
      <c r="C1566" s="31">
        <f>CHAIN_RAW!A1564</f>
        <v/>
      </c>
      <c r="D1566" s="31">
        <f>CHAIN_RAW!C1564</f>
        <v/>
      </c>
      <c r="E1566" s="31">
        <f>CHAIN_RAW!E1564</f>
        <v/>
      </c>
      <c r="F1566" s="31">
        <f>CHAIN_RAW!F1564</f>
        <v/>
      </c>
      <c r="G1566" s="31">
        <f>CHAIN_RAW!I1564</f>
        <v/>
      </c>
      <c r="H1566" s="31">
        <f>CHAIN_RAW!Q1564</f>
        <v/>
      </c>
      <c r="I1566" s="31">
        <f>LET(pc,F1566,oc,H1566,IF(OR(pc="",oc=""),"",IF(AND(pc&gt;0,oc&gt;0),"Long Buildup",IF(AND(pc&lt;0,oc&gt;0),"Short Buildup",IF(AND(pc&gt;0,oc&lt;0),"Short Covering",IF(AND(pc&lt;0,oc&lt;0),"Long Unwinding","Flat"))))))</f>
        <v/>
      </c>
      <c r="J1566" s="31">
        <f>LET(pc,ABS(F1566),oc,ABS(H1566),IF(OR(pc="",oc=""),"",MAX(1,MIN(5,ROUND((pc*0.5+oc*0.00001)*5,0))))))</f>
        <v/>
      </c>
    </row>
    <row r="1567">
      <c r="A1567" s="31" t="n">
        <v>1565</v>
      </c>
      <c r="B1567" s="31">
        <f>CHAIN_RAW!D1565</f>
        <v/>
      </c>
      <c r="C1567" s="31">
        <f>CHAIN_RAW!A1565</f>
        <v/>
      </c>
      <c r="D1567" s="31">
        <f>CHAIN_RAW!C1565</f>
        <v/>
      </c>
      <c r="E1567" s="31">
        <f>CHAIN_RAW!E1565</f>
        <v/>
      </c>
      <c r="F1567" s="31">
        <f>CHAIN_RAW!F1565</f>
        <v/>
      </c>
      <c r="G1567" s="31">
        <f>CHAIN_RAW!I1565</f>
        <v/>
      </c>
      <c r="H1567" s="31">
        <f>CHAIN_RAW!Q1565</f>
        <v/>
      </c>
      <c r="I1567" s="31">
        <f>LET(pc,F1567,oc,H1567,IF(OR(pc="",oc=""),"",IF(AND(pc&gt;0,oc&gt;0),"Long Buildup",IF(AND(pc&lt;0,oc&gt;0),"Short Buildup",IF(AND(pc&gt;0,oc&lt;0),"Short Covering",IF(AND(pc&lt;0,oc&lt;0),"Long Unwinding","Flat"))))))</f>
        <v/>
      </c>
      <c r="J1567" s="31">
        <f>LET(pc,ABS(F1567),oc,ABS(H1567),IF(OR(pc="",oc=""),"",MAX(1,MIN(5,ROUND((pc*0.5+oc*0.00001)*5,0))))))</f>
        <v/>
      </c>
    </row>
    <row r="1568">
      <c r="A1568" s="31" t="n">
        <v>1566</v>
      </c>
      <c r="B1568" s="31">
        <f>CHAIN_RAW!D1566</f>
        <v/>
      </c>
      <c r="C1568" s="31">
        <f>CHAIN_RAW!A1566</f>
        <v/>
      </c>
      <c r="D1568" s="31">
        <f>CHAIN_RAW!C1566</f>
        <v/>
      </c>
      <c r="E1568" s="31">
        <f>CHAIN_RAW!E1566</f>
        <v/>
      </c>
      <c r="F1568" s="31">
        <f>CHAIN_RAW!F1566</f>
        <v/>
      </c>
      <c r="G1568" s="31">
        <f>CHAIN_RAW!I1566</f>
        <v/>
      </c>
      <c r="H1568" s="31">
        <f>CHAIN_RAW!Q1566</f>
        <v/>
      </c>
      <c r="I1568" s="31">
        <f>LET(pc,F1568,oc,H1568,IF(OR(pc="",oc=""),"",IF(AND(pc&gt;0,oc&gt;0),"Long Buildup",IF(AND(pc&lt;0,oc&gt;0),"Short Buildup",IF(AND(pc&gt;0,oc&lt;0),"Short Covering",IF(AND(pc&lt;0,oc&lt;0),"Long Unwinding","Flat"))))))</f>
        <v/>
      </c>
      <c r="J1568" s="31">
        <f>LET(pc,ABS(F1568),oc,ABS(H1568),IF(OR(pc="",oc=""),"",MAX(1,MIN(5,ROUND((pc*0.5+oc*0.00001)*5,0))))))</f>
        <v/>
      </c>
    </row>
    <row r="1569">
      <c r="A1569" s="31" t="n">
        <v>1567</v>
      </c>
      <c r="B1569" s="31">
        <f>CHAIN_RAW!D1567</f>
        <v/>
      </c>
      <c r="C1569" s="31">
        <f>CHAIN_RAW!A1567</f>
        <v/>
      </c>
      <c r="D1569" s="31">
        <f>CHAIN_RAW!C1567</f>
        <v/>
      </c>
      <c r="E1569" s="31">
        <f>CHAIN_RAW!E1567</f>
        <v/>
      </c>
      <c r="F1569" s="31">
        <f>CHAIN_RAW!F1567</f>
        <v/>
      </c>
      <c r="G1569" s="31">
        <f>CHAIN_RAW!I1567</f>
        <v/>
      </c>
      <c r="H1569" s="31">
        <f>CHAIN_RAW!Q1567</f>
        <v/>
      </c>
      <c r="I1569" s="31">
        <f>LET(pc,F1569,oc,H1569,IF(OR(pc="",oc=""),"",IF(AND(pc&gt;0,oc&gt;0),"Long Buildup",IF(AND(pc&lt;0,oc&gt;0),"Short Buildup",IF(AND(pc&gt;0,oc&lt;0),"Short Covering",IF(AND(pc&lt;0,oc&lt;0),"Long Unwinding","Flat"))))))</f>
        <v/>
      </c>
      <c r="J1569" s="31">
        <f>LET(pc,ABS(F1569),oc,ABS(H1569),IF(OR(pc="",oc=""),"",MAX(1,MIN(5,ROUND((pc*0.5+oc*0.00001)*5,0))))))</f>
        <v/>
      </c>
    </row>
    <row r="1570">
      <c r="A1570" s="31" t="n">
        <v>1568</v>
      </c>
      <c r="B1570" s="31">
        <f>CHAIN_RAW!D1568</f>
        <v/>
      </c>
      <c r="C1570" s="31">
        <f>CHAIN_RAW!A1568</f>
        <v/>
      </c>
      <c r="D1570" s="31">
        <f>CHAIN_RAW!C1568</f>
        <v/>
      </c>
      <c r="E1570" s="31">
        <f>CHAIN_RAW!E1568</f>
        <v/>
      </c>
      <c r="F1570" s="31">
        <f>CHAIN_RAW!F1568</f>
        <v/>
      </c>
      <c r="G1570" s="31">
        <f>CHAIN_RAW!I1568</f>
        <v/>
      </c>
      <c r="H1570" s="31">
        <f>CHAIN_RAW!Q1568</f>
        <v/>
      </c>
      <c r="I1570" s="31">
        <f>LET(pc,F1570,oc,H1570,IF(OR(pc="",oc=""),"",IF(AND(pc&gt;0,oc&gt;0),"Long Buildup",IF(AND(pc&lt;0,oc&gt;0),"Short Buildup",IF(AND(pc&gt;0,oc&lt;0),"Short Covering",IF(AND(pc&lt;0,oc&lt;0),"Long Unwinding","Flat"))))))</f>
        <v/>
      </c>
      <c r="J1570" s="31">
        <f>LET(pc,ABS(F1570),oc,ABS(H1570),IF(OR(pc="",oc=""),"",MAX(1,MIN(5,ROUND((pc*0.5+oc*0.00001)*5,0))))))</f>
        <v/>
      </c>
    </row>
    <row r="1571">
      <c r="A1571" s="31" t="n">
        <v>1569</v>
      </c>
      <c r="B1571" s="31">
        <f>CHAIN_RAW!D1569</f>
        <v/>
      </c>
      <c r="C1571" s="31">
        <f>CHAIN_RAW!A1569</f>
        <v/>
      </c>
      <c r="D1571" s="31">
        <f>CHAIN_RAW!C1569</f>
        <v/>
      </c>
      <c r="E1571" s="31">
        <f>CHAIN_RAW!E1569</f>
        <v/>
      </c>
      <c r="F1571" s="31">
        <f>CHAIN_RAW!F1569</f>
        <v/>
      </c>
      <c r="G1571" s="31">
        <f>CHAIN_RAW!I1569</f>
        <v/>
      </c>
      <c r="H1571" s="31">
        <f>CHAIN_RAW!Q1569</f>
        <v/>
      </c>
      <c r="I1571" s="31">
        <f>LET(pc,F1571,oc,H1571,IF(OR(pc="",oc=""),"",IF(AND(pc&gt;0,oc&gt;0),"Long Buildup",IF(AND(pc&lt;0,oc&gt;0),"Short Buildup",IF(AND(pc&gt;0,oc&lt;0),"Short Covering",IF(AND(pc&lt;0,oc&lt;0),"Long Unwinding","Flat"))))))</f>
        <v/>
      </c>
      <c r="J1571" s="31">
        <f>LET(pc,ABS(F1571),oc,ABS(H1571),IF(OR(pc="",oc=""),"",MAX(1,MIN(5,ROUND((pc*0.5+oc*0.00001)*5,0))))))</f>
        <v/>
      </c>
    </row>
    <row r="1572">
      <c r="A1572" s="31" t="n">
        <v>1570</v>
      </c>
      <c r="B1572" s="31">
        <f>CHAIN_RAW!D1570</f>
        <v/>
      </c>
      <c r="C1572" s="31">
        <f>CHAIN_RAW!A1570</f>
        <v/>
      </c>
      <c r="D1572" s="31">
        <f>CHAIN_RAW!C1570</f>
        <v/>
      </c>
      <c r="E1572" s="31">
        <f>CHAIN_RAW!E1570</f>
        <v/>
      </c>
      <c r="F1572" s="31">
        <f>CHAIN_RAW!F1570</f>
        <v/>
      </c>
      <c r="G1572" s="31">
        <f>CHAIN_RAW!I1570</f>
        <v/>
      </c>
      <c r="H1572" s="31">
        <f>CHAIN_RAW!Q1570</f>
        <v/>
      </c>
      <c r="I1572" s="31">
        <f>LET(pc,F1572,oc,H1572,IF(OR(pc="",oc=""),"",IF(AND(pc&gt;0,oc&gt;0),"Long Buildup",IF(AND(pc&lt;0,oc&gt;0),"Short Buildup",IF(AND(pc&gt;0,oc&lt;0),"Short Covering",IF(AND(pc&lt;0,oc&lt;0),"Long Unwinding","Flat"))))))</f>
        <v/>
      </c>
      <c r="J1572" s="31">
        <f>LET(pc,ABS(F1572),oc,ABS(H1572),IF(OR(pc="",oc=""),"",MAX(1,MIN(5,ROUND((pc*0.5+oc*0.00001)*5,0))))))</f>
        <v/>
      </c>
    </row>
    <row r="1573">
      <c r="A1573" s="31" t="n">
        <v>1571</v>
      </c>
      <c r="B1573" s="31">
        <f>CHAIN_RAW!D1571</f>
        <v/>
      </c>
      <c r="C1573" s="31">
        <f>CHAIN_RAW!A1571</f>
        <v/>
      </c>
      <c r="D1573" s="31">
        <f>CHAIN_RAW!C1571</f>
        <v/>
      </c>
      <c r="E1573" s="31">
        <f>CHAIN_RAW!E1571</f>
        <v/>
      </c>
      <c r="F1573" s="31">
        <f>CHAIN_RAW!F1571</f>
        <v/>
      </c>
      <c r="G1573" s="31">
        <f>CHAIN_RAW!I1571</f>
        <v/>
      </c>
      <c r="H1573" s="31">
        <f>CHAIN_RAW!Q1571</f>
        <v/>
      </c>
      <c r="I1573" s="31">
        <f>LET(pc,F1573,oc,H1573,IF(OR(pc="",oc=""),"",IF(AND(pc&gt;0,oc&gt;0),"Long Buildup",IF(AND(pc&lt;0,oc&gt;0),"Short Buildup",IF(AND(pc&gt;0,oc&lt;0),"Short Covering",IF(AND(pc&lt;0,oc&lt;0),"Long Unwinding","Flat"))))))</f>
        <v/>
      </c>
      <c r="J1573" s="31">
        <f>LET(pc,ABS(F1573),oc,ABS(H1573),IF(OR(pc="",oc=""),"",MAX(1,MIN(5,ROUND((pc*0.5+oc*0.00001)*5,0))))))</f>
        <v/>
      </c>
    </row>
    <row r="1574">
      <c r="A1574" s="31" t="n">
        <v>1572</v>
      </c>
      <c r="B1574" s="31">
        <f>CHAIN_RAW!D1572</f>
        <v/>
      </c>
      <c r="C1574" s="31">
        <f>CHAIN_RAW!A1572</f>
        <v/>
      </c>
      <c r="D1574" s="31">
        <f>CHAIN_RAW!C1572</f>
        <v/>
      </c>
      <c r="E1574" s="31">
        <f>CHAIN_RAW!E1572</f>
        <v/>
      </c>
      <c r="F1574" s="31">
        <f>CHAIN_RAW!F1572</f>
        <v/>
      </c>
      <c r="G1574" s="31">
        <f>CHAIN_RAW!I1572</f>
        <v/>
      </c>
      <c r="H1574" s="31">
        <f>CHAIN_RAW!Q1572</f>
        <v/>
      </c>
      <c r="I1574" s="31">
        <f>LET(pc,F1574,oc,H1574,IF(OR(pc="",oc=""),"",IF(AND(pc&gt;0,oc&gt;0),"Long Buildup",IF(AND(pc&lt;0,oc&gt;0),"Short Buildup",IF(AND(pc&gt;0,oc&lt;0),"Short Covering",IF(AND(pc&lt;0,oc&lt;0),"Long Unwinding","Flat"))))))</f>
        <v/>
      </c>
      <c r="J1574" s="31">
        <f>LET(pc,ABS(F1574),oc,ABS(H1574),IF(OR(pc="",oc=""),"",MAX(1,MIN(5,ROUND((pc*0.5+oc*0.00001)*5,0))))))</f>
        <v/>
      </c>
    </row>
    <row r="1575">
      <c r="A1575" s="31" t="n">
        <v>1573</v>
      </c>
      <c r="B1575" s="31">
        <f>CHAIN_RAW!D1573</f>
        <v/>
      </c>
      <c r="C1575" s="31">
        <f>CHAIN_RAW!A1573</f>
        <v/>
      </c>
      <c r="D1575" s="31">
        <f>CHAIN_RAW!C1573</f>
        <v/>
      </c>
      <c r="E1575" s="31">
        <f>CHAIN_RAW!E1573</f>
        <v/>
      </c>
      <c r="F1575" s="31">
        <f>CHAIN_RAW!F1573</f>
        <v/>
      </c>
      <c r="G1575" s="31">
        <f>CHAIN_RAW!I1573</f>
        <v/>
      </c>
      <c r="H1575" s="31">
        <f>CHAIN_RAW!Q1573</f>
        <v/>
      </c>
      <c r="I1575" s="31">
        <f>LET(pc,F1575,oc,H1575,IF(OR(pc="",oc=""),"",IF(AND(pc&gt;0,oc&gt;0),"Long Buildup",IF(AND(pc&lt;0,oc&gt;0),"Short Buildup",IF(AND(pc&gt;0,oc&lt;0),"Short Covering",IF(AND(pc&lt;0,oc&lt;0),"Long Unwinding","Flat"))))))</f>
        <v/>
      </c>
      <c r="J1575" s="31">
        <f>LET(pc,ABS(F1575),oc,ABS(H1575),IF(OR(pc="",oc=""),"",MAX(1,MIN(5,ROUND((pc*0.5+oc*0.00001)*5,0))))))</f>
        <v/>
      </c>
    </row>
    <row r="1576">
      <c r="A1576" s="31" t="n">
        <v>1574</v>
      </c>
      <c r="B1576" s="31">
        <f>CHAIN_RAW!D1574</f>
        <v/>
      </c>
      <c r="C1576" s="31">
        <f>CHAIN_RAW!A1574</f>
        <v/>
      </c>
      <c r="D1576" s="31">
        <f>CHAIN_RAW!C1574</f>
        <v/>
      </c>
      <c r="E1576" s="31">
        <f>CHAIN_RAW!E1574</f>
        <v/>
      </c>
      <c r="F1576" s="31">
        <f>CHAIN_RAW!F1574</f>
        <v/>
      </c>
      <c r="G1576" s="31">
        <f>CHAIN_RAW!I1574</f>
        <v/>
      </c>
      <c r="H1576" s="31">
        <f>CHAIN_RAW!Q1574</f>
        <v/>
      </c>
      <c r="I1576" s="31">
        <f>LET(pc,F1576,oc,H1576,IF(OR(pc="",oc=""),"",IF(AND(pc&gt;0,oc&gt;0),"Long Buildup",IF(AND(pc&lt;0,oc&gt;0),"Short Buildup",IF(AND(pc&gt;0,oc&lt;0),"Short Covering",IF(AND(pc&lt;0,oc&lt;0),"Long Unwinding","Flat"))))))</f>
        <v/>
      </c>
      <c r="J1576" s="31">
        <f>LET(pc,ABS(F1576),oc,ABS(H1576),IF(OR(pc="",oc=""),"",MAX(1,MIN(5,ROUND((pc*0.5+oc*0.00001)*5,0))))))</f>
        <v/>
      </c>
    </row>
    <row r="1577">
      <c r="A1577" s="31" t="n">
        <v>1575</v>
      </c>
      <c r="B1577" s="31">
        <f>CHAIN_RAW!D1575</f>
        <v/>
      </c>
      <c r="C1577" s="31">
        <f>CHAIN_RAW!A1575</f>
        <v/>
      </c>
      <c r="D1577" s="31">
        <f>CHAIN_RAW!C1575</f>
        <v/>
      </c>
      <c r="E1577" s="31">
        <f>CHAIN_RAW!E1575</f>
        <v/>
      </c>
      <c r="F1577" s="31">
        <f>CHAIN_RAW!F1575</f>
        <v/>
      </c>
      <c r="G1577" s="31">
        <f>CHAIN_RAW!I1575</f>
        <v/>
      </c>
      <c r="H1577" s="31">
        <f>CHAIN_RAW!Q1575</f>
        <v/>
      </c>
      <c r="I1577" s="31">
        <f>LET(pc,F1577,oc,H1577,IF(OR(pc="",oc=""),"",IF(AND(pc&gt;0,oc&gt;0),"Long Buildup",IF(AND(pc&lt;0,oc&gt;0),"Short Buildup",IF(AND(pc&gt;0,oc&lt;0),"Short Covering",IF(AND(pc&lt;0,oc&lt;0),"Long Unwinding","Flat"))))))</f>
        <v/>
      </c>
      <c r="J1577" s="31">
        <f>LET(pc,ABS(F1577),oc,ABS(H1577),IF(OR(pc="",oc=""),"",MAX(1,MIN(5,ROUND((pc*0.5+oc*0.00001)*5,0))))))</f>
        <v/>
      </c>
    </row>
    <row r="1578">
      <c r="A1578" s="31" t="n">
        <v>1576</v>
      </c>
      <c r="B1578" s="31">
        <f>CHAIN_RAW!D1576</f>
        <v/>
      </c>
      <c r="C1578" s="31">
        <f>CHAIN_RAW!A1576</f>
        <v/>
      </c>
      <c r="D1578" s="31">
        <f>CHAIN_RAW!C1576</f>
        <v/>
      </c>
      <c r="E1578" s="31">
        <f>CHAIN_RAW!E1576</f>
        <v/>
      </c>
      <c r="F1578" s="31">
        <f>CHAIN_RAW!F1576</f>
        <v/>
      </c>
      <c r="G1578" s="31">
        <f>CHAIN_RAW!I1576</f>
        <v/>
      </c>
      <c r="H1578" s="31">
        <f>CHAIN_RAW!Q1576</f>
        <v/>
      </c>
      <c r="I1578" s="31">
        <f>LET(pc,F1578,oc,H1578,IF(OR(pc="",oc=""),"",IF(AND(pc&gt;0,oc&gt;0),"Long Buildup",IF(AND(pc&lt;0,oc&gt;0),"Short Buildup",IF(AND(pc&gt;0,oc&lt;0),"Short Covering",IF(AND(pc&lt;0,oc&lt;0),"Long Unwinding","Flat"))))))</f>
        <v/>
      </c>
      <c r="J1578" s="31">
        <f>LET(pc,ABS(F1578),oc,ABS(H1578),IF(OR(pc="",oc=""),"",MAX(1,MIN(5,ROUND((pc*0.5+oc*0.00001)*5,0))))))</f>
        <v/>
      </c>
    </row>
    <row r="1579">
      <c r="A1579" s="31" t="n">
        <v>1577</v>
      </c>
      <c r="B1579" s="31">
        <f>CHAIN_RAW!D1577</f>
        <v/>
      </c>
      <c r="C1579" s="31">
        <f>CHAIN_RAW!A1577</f>
        <v/>
      </c>
      <c r="D1579" s="31">
        <f>CHAIN_RAW!C1577</f>
        <v/>
      </c>
      <c r="E1579" s="31">
        <f>CHAIN_RAW!E1577</f>
        <v/>
      </c>
      <c r="F1579" s="31">
        <f>CHAIN_RAW!F1577</f>
        <v/>
      </c>
      <c r="G1579" s="31">
        <f>CHAIN_RAW!I1577</f>
        <v/>
      </c>
      <c r="H1579" s="31">
        <f>CHAIN_RAW!Q1577</f>
        <v/>
      </c>
      <c r="I1579" s="31">
        <f>LET(pc,F1579,oc,H1579,IF(OR(pc="",oc=""),"",IF(AND(pc&gt;0,oc&gt;0),"Long Buildup",IF(AND(pc&lt;0,oc&gt;0),"Short Buildup",IF(AND(pc&gt;0,oc&lt;0),"Short Covering",IF(AND(pc&lt;0,oc&lt;0),"Long Unwinding","Flat"))))))</f>
        <v/>
      </c>
      <c r="J1579" s="31">
        <f>LET(pc,ABS(F1579),oc,ABS(H1579),IF(OR(pc="",oc=""),"",MAX(1,MIN(5,ROUND((pc*0.5+oc*0.00001)*5,0))))))</f>
        <v/>
      </c>
    </row>
    <row r="1580">
      <c r="A1580" s="31" t="n">
        <v>1578</v>
      </c>
      <c r="B1580" s="31">
        <f>CHAIN_RAW!D1578</f>
        <v/>
      </c>
      <c r="C1580" s="31">
        <f>CHAIN_RAW!A1578</f>
        <v/>
      </c>
      <c r="D1580" s="31">
        <f>CHAIN_RAW!C1578</f>
        <v/>
      </c>
      <c r="E1580" s="31">
        <f>CHAIN_RAW!E1578</f>
        <v/>
      </c>
      <c r="F1580" s="31">
        <f>CHAIN_RAW!F1578</f>
        <v/>
      </c>
      <c r="G1580" s="31">
        <f>CHAIN_RAW!I1578</f>
        <v/>
      </c>
      <c r="H1580" s="31">
        <f>CHAIN_RAW!Q1578</f>
        <v/>
      </c>
      <c r="I1580" s="31">
        <f>LET(pc,F1580,oc,H1580,IF(OR(pc="",oc=""),"",IF(AND(pc&gt;0,oc&gt;0),"Long Buildup",IF(AND(pc&lt;0,oc&gt;0),"Short Buildup",IF(AND(pc&gt;0,oc&lt;0),"Short Covering",IF(AND(pc&lt;0,oc&lt;0),"Long Unwinding","Flat"))))))</f>
        <v/>
      </c>
      <c r="J1580" s="31">
        <f>LET(pc,ABS(F1580),oc,ABS(H1580),IF(OR(pc="",oc=""),"",MAX(1,MIN(5,ROUND((pc*0.5+oc*0.00001)*5,0))))))</f>
        <v/>
      </c>
    </row>
    <row r="1581">
      <c r="A1581" s="31" t="n">
        <v>1579</v>
      </c>
      <c r="B1581" s="31">
        <f>CHAIN_RAW!D1579</f>
        <v/>
      </c>
      <c r="C1581" s="31">
        <f>CHAIN_RAW!A1579</f>
        <v/>
      </c>
      <c r="D1581" s="31">
        <f>CHAIN_RAW!C1579</f>
        <v/>
      </c>
      <c r="E1581" s="31">
        <f>CHAIN_RAW!E1579</f>
        <v/>
      </c>
      <c r="F1581" s="31">
        <f>CHAIN_RAW!F1579</f>
        <v/>
      </c>
      <c r="G1581" s="31">
        <f>CHAIN_RAW!I1579</f>
        <v/>
      </c>
      <c r="H1581" s="31">
        <f>CHAIN_RAW!Q1579</f>
        <v/>
      </c>
      <c r="I1581" s="31">
        <f>LET(pc,F1581,oc,H1581,IF(OR(pc="",oc=""),"",IF(AND(pc&gt;0,oc&gt;0),"Long Buildup",IF(AND(pc&lt;0,oc&gt;0),"Short Buildup",IF(AND(pc&gt;0,oc&lt;0),"Short Covering",IF(AND(pc&lt;0,oc&lt;0),"Long Unwinding","Flat"))))))</f>
        <v/>
      </c>
      <c r="J1581" s="31">
        <f>LET(pc,ABS(F1581),oc,ABS(H1581),IF(OR(pc="",oc=""),"",MAX(1,MIN(5,ROUND((pc*0.5+oc*0.00001)*5,0))))))</f>
        <v/>
      </c>
    </row>
    <row r="1582">
      <c r="A1582" s="31" t="n">
        <v>1580</v>
      </c>
      <c r="B1582" s="31">
        <f>CHAIN_RAW!D1580</f>
        <v/>
      </c>
      <c r="C1582" s="31">
        <f>CHAIN_RAW!A1580</f>
        <v/>
      </c>
      <c r="D1582" s="31">
        <f>CHAIN_RAW!C1580</f>
        <v/>
      </c>
      <c r="E1582" s="31">
        <f>CHAIN_RAW!E1580</f>
        <v/>
      </c>
      <c r="F1582" s="31">
        <f>CHAIN_RAW!F1580</f>
        <v/>
      </c>
      <c r="G1582" s="31">
        <f>CHAIN_RAW!I1580</f>
        <v/>
      </c>
      <c r="H1582" s="31">
        <f>CHAIN_RAW!Q1580</f>
        <v/>
      </c>
      <c r="I1582" s="31">
        <f>LET(pc,F1582,oc,H1582,IF(OR(pc="",oc=""),"",IF(AND(pc&gt;0,oc&gt;0),"Long Buildup",IF(AND(pc&lt;0,oc&gt;0),"Short Buildup",IF(AND(pc&gt;0,oc&lt;0),"Short Covering",IF(AND(pc&lt;0,oc&lt;0),"Long Unwinding","Flat"))))))</f>
        <v/>
      </c>
      <c r="J1582" s="31">
        <f>LET(pc,ABS(F1582),oc,ABS(H1582),IF(OR(pc="",oc=""),"",MAX(1,MIN(5,ROUND((pc*0.5+oc*0.00001)*5,0))))))</f>
        <v/>
      </c>
    </row>
    <row r="1583">
      <c r="A1583" s="31" t="n">
        <v>1581</v>
      </c>
      <c r="B1583" s="31">
        <f>CHAIN_RAW!D1581</f>
        <v/>
      </c>
      <c r="C1583" s="31">
        <f>CHAIN_RAW!A1581</f>
        <v/>
      </c>
      <c r="D1583" s="31">
        <f>CHAIN_RAW!C1581</f>
        <v/>
      </c>
      <c r="E1583" s="31">
        <f>CHAIN_RAW!E1581</f>
        <v/>
      </c>
      <c r="F1583" s="31">
        <f>CHAIN_RAW!F1581</f>
        <v/>
      </c>
      <c r="G1583" s="31">
        <f>CHAIN_RAW!I1581</f>
        <v/>
      </c>
      <c r="H1583" s="31">
        <f>CHAIN_RAW!Q1581</f>
        <v/>
      </c>
      <c r="I1583" s="31">
        <f>LET(pc,F1583,oc,H1583,IF(OR(pc="",oc=""),"",IF(AND(pc&gt;0,oc&gt;0),"Long Buildup",IF(AND(pc&lt;0,oc&gt;0),"Short Buildup",IF(AND(pc&gt;0,oc&lt;0),"Short Covering",IF(AND(pc&lt;0,oc&lt;0),"Long Unwinding","Flat"))))))</f>
        <v/>
      </c>
      <c r="J1583" s="31">
        <f>LET(pc,ABS(F1583),oc,ABS(H1583),IF(OR(pc="",oc=""),"",MAX(1,MIN(5,ROUND((pc*0.5+oc*0.00001)*5,0))))))</f>
        <v/>
      </c>
    </row>
    <row r="1584">
      <c r="A1584" s="31" t="n">
        <v>1582</v>
      </c>
      <c r="B1584" s="31">
        <f>CHAIN_RAW!D1582</f>
        <v/>
      </c>
      <c r="C1584" s="31">
        <f>CHAIN_RAW!A1582</f>
        <v/>
      </c>
      <c r="D1584" s="31">
        <f>CHAIN_RAW!C1582</f>
        <v/>
      </c>
      <c r="E1584" s="31">
        <f>CHAIN_RAW!E1582</f>
        <v/>
      </c>
      <c r="F1584" s="31">
        <f>CHAIN_RAW!F1582</f>
        <v/>
      </c>
      <c r="G1584" s="31">
        <f>CHAIN_RAW!I1582</f>
        <v/>
      </c>
      <c r="H1584" s="31">
        <f>CHAIN_RAW!Q1582</f>
        <v/>
      </c>
      <c r="I1584" s="31">
        <f>LET(pc,F1584,oc,H1584,IF(OR(pc="",oc=""),"",IF(AND(pc&gt;0,oc&gt;0),"Long Buildup",IF(AND(pc&lt;0,oc&gt;0),"Short Buildup",IF(AND(pc&gt;0,oc&lt;0),"Short Covering",IF(AND(pc&lt;0,oc&lt;0),"Long Unwinding","Flat"))))))</f>
        <v/>
      </c>
      <c r="J1584" s="31">
        <f>LET(pc,ABS(F1584),oc,ABS(H1584),IF(OR(pc="",oc=""),"",MAX(1,MIN(5,ROUND((pc*0.5+oc*0.00001)*5,0))))))</f>
        <v/>
      </c>
    </row>
    <row r="1585">
      <c r="A1585" s="31" t="n">
        <v>1583</v>
      </c>
      <c r="B1585" s="31">
        <f>CHAIN_RAW!D1583</f>
        <v/>
      </c>
      <c r="C1585" s="31">
        <f>CHAIN_RAW!A1583</f>
        <v/>
      </c>
      <c r="D1585" s="31">
        <f>CHAIN_RAW!C1583</f>
        <v/>
      </c>
      <c r="E1585" s="31">
        <f>CHAIN_RAW!E1583</f>
        <v/>
      </c>
      <c r="F1585" s="31">
        <f>CHAIN_RAW!F1583</f>
        <v/>
      </c>
      <c r="G1585" s="31">
        <f>CHAIN_RAW!I1583</f>
        <v/>
      </c>
      <c r="H1585" s="31">
        <f>CHAIN_RAW!Q1583</f>
        <v/>
      </c>
      <c r="I1585" s="31">
        <f>LET(pc,F1585,oc,H1585,IF(OR(pc="",oc=""),"",IF(AND(pc&gt;0,oc&gt;0),"Long Buildup",IF(AND(pc&lt;0,oc&gt;0),"Short Buildup",IF(AND(pc&gt;0,oc&lt;0),"Short Covering",IF(AND(pc&lt;0,oc&lt;0),"Long Unwinding","Flat"))))))</f>
        <v/>
      </c>
      <c r="J1585" s="31">
        <f>LET(pc,ABS(F1585),oc,ABS(H1585),IF(OR(pc="",oc=""),"",MAX(1,MIN(5,ROUND((pc*0.5+oc*0.00001)*5,0))))))</f>
        <v/>
      </c>
    </row>
    <row r="1586">
      <c r="A1586" s="31" t="n">
        <v>1584</v>
      </c>
      <c r="B1586" s="31">
        <f>CHAIN_RAW!D1584</f>
        <v/>
      </c>
      <c r="C1586" s="31">
        <f>CHAIN_RAW!A1584</f>
        <v/>
      </c>
      <c r="D1586" s="31">
        <f>CHAIN_RAW!C1584</f>
        <v/>
      </c>
      <c r="E1586" s="31">
        <f>CHAIN_RAW!E1584</f>
        <v/>
      </c>
      <c r="F1586" s="31">
        <f>CHAIN_RAW!F1584</f>
        <v/>
      </c>
      <c r="G1586" s="31">
        <f>CHAIN_RAW!I1584</f>
        <v/>
      </c>
      <c r="H1586" s="31">
        <f>CHAIN_RAW!Q1584</f>
        <v/>
      </c>
      <c r="I1586" s="31">
        <f>LET(pc,F1586,oc,H1586,IF(OR(pc="",oc=""),"",IF(AND(pc&gt;0,oc&gt;0),"Long Buildup",IF(AND(pc&lt;0,oc&gt;0),"Short Buildup",IF(AND(pc&gt;0,oc&lt;0),"Short Covering",IF(AND(pc&lt;0,oc&lt;0),"Long Unwinding","Flat"))))))</f>
        <v/>
      </c>
      <c r="J1586" s="31">
        <f>LET(pc,ABS(F1586),oc,ABS(H1586),IF(OR(pc="",oc=""),"",MAX(1,MIN(5,ROUND((pc*0.5+oc*0.00001)*5,0))))))</f>
        <v/>
      </c>
    </row>
    <row r="1587">
      <c r="A1587" s="31" t="n">
        <v>1585</v>
      </c>
      <c r="B1587" s="31">
        <f>CHAIN_RAW!D1585</f>
        <v/>
      </c>
      <c r="C1587" s="31">
        <f>CHAIN_RAW!A1585</f>
        <v/>
      </c>
      <c r="D1587" s="31">
        <f>CHAIN_RAW!C1585</f>
        <v/>
      </c>
      <c r="E1587" s="31">
        <f>CHAIN_RAW!E1585</f>
        <v/>
      </c>
      <c r="F1587" s="31">
        <f>CHAIN_RAW!F1585</f>
        <v/>
      </c>
      <c r="G1587" s="31">
        <f>CHAIN_RAW!I1585</f>
        <v/>
      </c>
      <c r="H1587" s="31">
        <f>CHAIN_RAW!Q1585</f>
        <v/>
      </c>
      <c r="I1587" s="31">
        <f>LET(pc,F1587,oc,H1587,IF(OR(pc="",oc=""),"",IF(AND(pc&gt;0,oc&gt;0),"Long Buildup",IF(AND(pc&lt;0,oc&gt;0),"Short Buildup",IF(AND(pc&gt;0,oc&lt;0),"Short Covering",IF(AND(pc&lt;0,oc&lt;0),"Long Unwinding","Flat"))))))</f>
        <v/>
      </c>
      <c r="J1587" s="31">
        <f>LET(pc,ABS(F1587),oc,ABS(H1587),IF(OR(pc="",oc=""),"",MAX(1,MIN(5,ROUND((pc*0.5+oc*0.00001)*5,0))))))</f>
        <v/>
      </c>
    </row>
    <row r="1588">
      <c r="A1588" s="31" t="n">
        <v>1586</v>
      </c>
      <c r="B1588" s="31">
        <f>CHAIN_RAW!D1586</f>
        <v/>
      </c>
      <c r="C1588" s="31">
        <f>CHAIN_RAW!A1586</f>
        <v/>
      </c>
      <c r="D1588" s="31">
        <f>CHAIN_RAW!C1586</f>
        <v/>
      </c>
      <c r="E1588" s="31">
        <f>CHAIN_RAW!E1586</f>
        <v/>
      </c>
      <c r="F1588" s="31">
        <f>CHAIN_RAW!F1586</f>
        <v/>
      </c>
      <c r="G1588" s="31">
        <f>CHAIN_RAW!I1586</f>
        <v/>
      </c>
      <c r="H1588" s="31">
        <f>CHAIN_RAW!Q1586</f>
        <v/>
      </c>
      <c r="I1588" s="31">
        <f>LET(pc,F1588,oc,H1588,IF(OR(pc="",oc=""),"",IF(AND(pc&gt;0,oc&gt;0),"Long Buildup",IF(AND(pc&lt;0,oc&gt;0),"Short Buildup",IF(AND(pc&gt;0,oc&lt;0),"Short Covering",IF(AND(pc&lt;0,oc&lt;0),"Long Unwinding","Flat"))))))</f>
        <v/>
      </c>
      <c r="J1588" s="31">
        <f>LET(pc,ABS(F1588),oc,ABS(H1588),IF(OR(pc="",oc=""),"",MAX(1,MIN(5,ROUND((pc*0.5+oc*0.00001)*5,0))))))</f>
        <v/>
      </c>
    </row>
    <row r="1589">
      <c r="A1589" s="31" t="n">
        <v>1587</v>
      </c>
      <c r="B1589" s="31">
        <f>CHAIN_RAW!D1587</f>
        <v/>
      </c>
      <c r="C1589" s="31">
        <f>CHAIN_RAW!A1587</f>
        <v/>
      </c>
      <c r="D1589" s="31">
        <f>CHAIN_RAW!C1587</f>
        <v/>
      </c>
      <c r="E1589" s="31">
        <f>CHAIN_RAW!E1587</f>
        <v/>
      </c>
      <c r="F1589" s="31">
        <f>CHAIN_RAW!F1587</f>
        <v/>
      </c>
      <c r="G1589" s="31">
        <f>CHAIN_RAW!I1587</f>
        <v/>
      </c>
      <c r="H1589" s="31">
        <f>CHAIN_RAW!Q1587</f>
        <v/>
      </c>
      <c r="I1589" s="31">
        <f>LET(pc,F1589,oc,H1589,IF(OR(pc="",oc=""),"",IF(AND(pc&gt;0,oc&gt;0),"Long Buildup",IF(AND(pc&lt;0,oc&gt;0),"Short Buildup",IF(AND(pc&gt;0,oc&lt;0),"Short Covering",IF(AND(pc&lt;0,oc&lt;0),"Long Unwinding","Flat"))))))</f>
        <v/>
      </c>
      <c r="J1589" s="31">
        <f>LET(pc,ABS(F1589),oc,ABS(H1589),IF(OR(pc="",oc=""),"",MAX(1,MIN(5,ROUND((pc*0.5+oc*0.00001)*5,0))))))</f>
        <v/>
      </c>
    </row>
    <row r="1590">
      <c r="A1590" s="31" t="n">
        <v>1588</v>
      </c>
      <c r="B1590" s="31">
        <f>CHAIN_RAW!D1588</f>
        <v/>
      </c>
      <c r="C1590" s="31">
        <f>CHAIN_RAW!A1588</f>
        <v/>
      </c>
      <c r="D1590" s="31">
        <f>CHAIN_RAW!C1588</f>
        <v/>
      </c>
      <c r="E1590" s="31">
        <f>CHAIN_RAW!E1588</f>
        <v/>
      </c>
      <c r="F1590" s="31">
        <f>CHAIN_RAW!F1588</f>
        <v/>
      </c>
      <c r="G1590" s="31">
        <f>CHAIN_RAW!I1588</f>
        <v/>
      </c>
      <c r="H1590" s="31">
        <f>CHAIN_RAW!Q1588</f>
        <v/>
      </c>
      <c r="I1590" s="31">
        <f>LET(pc,F1590,oc,H1590,IF(OR(pc="",oc=""),"",IF(AND(pc&gt;0,oc&gt;0),"Long Buildup",IF(AND(pc&lt;0,oc&gt;0),"Short Buildup",IF(AND(pc&gt;0,oc&lt;0),"Short Covering",IF(AND(pc&lt;0,oc&lt;0),"Long Unwinding","Flat"))))))</f>
        <v/>
      </c>
      <c r="J1590" s="31">
        <f>LET(pc,ABS(F1590),oc,ABS(H1590),IF(OR(pc="",oc=""),"",MAX(1,MIN(5,ROUND((pc*0.5+oc*0.00001)*5,0))))))</f>
        <v/>
      </c>
    </row>
    <row r="1591">
      <c r="A1591" s="31" t="n">
        <v>1589</v>
      </c>
      <c r="B1591" s="31">
        <f>CHAIN_RAW!D1589</f>
        <v/>
      </c>
      <c r="C1591" s="31">
        <f>CHAIN_RAW!A1589</f>
        <v/>
      </c>
      <c r="D1591" s="31">
        <f>CHAIN_RAW!C1589</f>
        <v/>
      </c>
      <c r="E1591" s="31">
        <f>CHAIN_RAW!E1589</f>
        <v/>
      </c>
      <c r="F1591" s="31">
        <f>CHAIN_RAW!F1589</f>
        <v/>
      </c>
      <c r="G1591" s="31">
        <f>CHAIN_RAW!I1589</f>
        <v/>
      </c>
      <c r="H1591" s="31">
        <f>CHAIN_RAW!Q1589</f>
        <v/>
      </c>
      <c r="I1591" s="31">
        <f>LET(pc,F1591,oc,H1591,IF(OR(pc="",oc=""),"",IF(AND(pc&gt;0,oc&gt;0),"Long Buildup",IF(AND(pc&lt;0,oc&gt;0),"Short Buildup",IF(AND(pc&gt;0,oc&lt;0),"Short Covering",IF(AND(pc&lt;0,oc&lt;0),"Long Unwinding","Flat"))))))</f>
        <v/>
      </c>
      <c r="J1591" s="31">
        <f>LET(pc,ABS(F1591),oc,ABS(H1591),IF(OR(pc="",oc=""),"",MAX(1,MIN(5,ROUND((pc*0.5+oc*0.00001)*5,0))))))</f>
        <v/>
      </c>
    </row>
    <row r="1592">
      <c r="A1592" s="31" t="n">
        <v>1590</v>
      </c>
      <c r="B1592" s="31">
        <f>CHAIN_RAW!D1590</f>
        <v/>
      </c>
      <c r="C1592" s="31">
        <f>CHAIN_RAW!A1590</f>
        <v/>
      </c>
      <c r="D1592" s="31">
        <f>CHAIN_RAW!C1590</f>
        <v/>
      </c>
      <c r="E1592" s="31">
        <f>CHAIN_RAW!E1590</f>
        <v/>
      </c>
      <c r="F1592" s="31">
        <f>CHAIN_RAW!F1590</f>
        <v/>
      </c>
      <c r="G1592" s="31">
        <f>CHAIN_RAW!I1590</f>
        <v/>
      </c>
      <c r="H1592" s="31">
        <f>CHAIN_RAW!Q1590</f>
        <v/>
      </c>
      <c r="I1592" s="31">
        <f>LET(pc,F1592,oc,H1592,IF(OR(pc="",oc=""),"",IF(AND(pc&gt;0,oc&gt;0),"Long Buildup",IF(AND(pc&lt;0,oc&gt;0),"Short Buildup",IF(AND(pc&gt;0,oc&lt;0),"Short Covering",IF(AND(pc&lt;0,oc&lt;0),"Long Unwinding","Flat"))))))</f>
        <v/>
      </c>
      <c r="J1592" s="31">
        <f>LET(pc,ABS(F1592),oc,ABS(H1592),IF(OR(pc="",oc=""),"",MAX(1,MIN(5,ROUND((pc*0.5+oc*0.00001)*5,0))))))</f>
        <v/>
      </c>
    </row>
    <row r="1593">
      <c r="A1593" s="31" t="n">
        <v>1591</v>
      </c>
      <c r="B1593" s="31">
        <f>CHAIN_RAW!D1591</f>
        <v/>
      </c>
      <c r="C1593" s="31">
        <f>CHAIN_RAW!A1591</f>
        <v/>
      </c>
      <c r="D1593" s="31">
        <f>CHAIN_RAW!C1591</f>
        <v/>
      </c>
      <c r="E1593" s="31">
        <f>CHAIN_RAW!E1591</f>
        <v/>
      </c>
      <c r="F1593" s="31">
        <f>CHAIN_RAW!F1591</f>
        <v/>
      </c>
      <c r="G1593" s="31">
        <f>CHAIN_RAW!I1591</f>
        <v/>
      </c>
      <c r="H1593" s="31">
        <f>CHAIN_RAW!Q1591</f>
        <v/>
      </c>
      <c r="I1593" s="31">
        <f>LET(pc,F1593,oc,H1593,IF(OR(pc="",oc=""),"",IF(AND(pc&gt;0,oc&gt;0),"Long Buildup",IF(AND(pc&lt;0,oc&gt;0),"Short Buildup",IF(AND(pc&gt;0,oc&lt;0),"Short Covering",IF(AND(pc&lt;0,oc&lt;0),"Long Unwinding","Flat"))))))</f>
        <v/>
      </c>
      <c r="J1593" s="31">
        <f>LET(pc,ABS(F1593),oc,ABS(H1593),IF(OR(pc="",oc=""),"",MAX(1,MIN(5,ROUND((pc*0.5+oc*0.00001)*5,0))))))</f>
        <v/>
      </c>
    </row>
    <row r="1594">
      <c r="A1594" s="31" t="n">
        <v>1592</v>
      </c>
      <c r="B1594" s="31">
        <f>CHAIN_RAW!D1592</f>
        <v/>
      </c>
      <c r="C1594" s="31">
        <f>CHAIN_RAW!A1592</f>
        <v/>
      </c>
      <c r="D1594" s="31">
        <f>CHAIN_RAW!C1592</f>
        <v/>
      </c>
      <c r="E1594" s="31">
        <f>CHAIN_RAW!E1592</f>
        <v/>
      </c>
      <c r="F1594" s="31">
        <f>CHAIN_RAW!F1592</f>
        <v/>
      </c>
      <c r="G1594" s="31">
        <f>CHAIN_RAW!I1592</f>
        <v/>
      </c>
      <c r="H1594" s="31">
        <f>CHAIN_RAW!Q1592</f>
        <v/>
      </c>
      <c r="I1594" s="31">
        <f>LET(pc,F1594,oc,H1594,IF(OR(pc="",oc=""),"",IF(AND(pc&gt;0,oc&gt;0),"Long Buildup",IF(AND(pc&lt;0,oc&gt;0),"Short Buildup",IF(AND(pc&gt;0,oc&lt;0),"Short Covering",IF(AND(pc&lt;0,oc&lt;0),"Long Unwinding","Flat"))))))</f>
        <v/>
      </c>
      <c r="J1594" s="31">
        <f>LET(pc,ABS(F1594),oc,ABS(H1594),IF(OR(pc="",oc=""),"",MAX(1,MIN(5,ROUND((pc*0.5+oc*0.00001)*5,0))))))</f>
        <v/>
      </c>
    </row>
    <row r="1595">
      <c r="A1595" s="31" t="n">
        <v>1593</v>
      </c>
      <c r="B1595" s="31">
        <f>CHAIN_RAW!D1593</f>
        <v/>
      </c>
      <c r="C1595" s="31">
        <f>CHAIN_RAW!A1593</f>
        <v/>
      </c>
      <c r="D1595" s="31">
        <f>CHAIN_RAW!C1593</f>
        <v/>
      </c>
      <c r="E1595" s="31">
        <f>CHAIN_RAW!E1593</f>
        <v/>
      </c>
      <c r="F1595" s="31">
        <f>CHAIN_RAW!F1593</f>
        <v/>
      </c>
      <c r="G1595" s="31">
        <f>CHAIN_RAW!I1593</f>
        <v/>
      </c>
      <c r="H1595" s="31">
        <f>CHAIN_RAW!Q1593</f>
        <v/>
      </c>
      <c r="I1595" s="31">
        <f>LET(pc,F1595,oc,H1595,IF(OR(pc="",oc=""),"",IF(AND(pc&gt;0,oc&gt;0),"Long Buildup",IF(AND(pc&lt;0,oc&gt;0),"Short Buildup",IF(AND(pc&gt;0,oc&lt;0),"Short Covering",IF(AND(pc&lt;0,oc&lt;0),"Long Unwinding","Flat"))))))</f>
        <v/>
      </c>
      <c r="J1595" s="31">
        <f>LET(pc,ABS(F1595),oc,ABS(H1595),IF(OR(pc="",oc=""),"",MAX(1,MIN(5,ROUND((pc*0.5+oc*0.00001)*5,0))))))</f>
        <v/>
      </c>
    </row>
    <row r="1596">
      <c r="A1596" s="31" t="n">
        <v>1594</v>
      </c>
      <c r="B1596" s="31">
        <f>CHAIN_RAW!D1594</f>
        <v/>
      </c>
      <c r="C1596" s="31">
        <f>CHAIN_RAW!A1594</f>
        <v/>
      </c>
      <c r="D1596" s="31">
        <f>CHAIN_RAW!C1594</f>
        <v/>
      </c>
      <c r="E1596" s="31">
        <f>CHAIN_RAW!E1594</f>
        <v/>
      </c>
      <c r="F1596" s="31">
        <f>CHAIN_RAW!F1594</f>
        <v/>
      </c>
      <c r="G1596" s="31">
        <f>CHAIN_RAW!I1594</f>
        <v/>
      </c>
      <c r="H1596" s="31">
        <f>CHAIN_RAW!Q1594</f>
        <v/>
      </c>
      <c r="I1596" s="31">
        <f>LET(pc,F1596,oc,H1596,IF(OR(pc="",oc=""),"",IF(AND(pc&gt;0,oc&gt;0),"Long Buildup",IF(AND(pc&lt;0,oc&gt;0),"Short Buildup",IF(AND(pc&gt;0,oc&lt;0),"Short Covering",IF(AND(pc&lt;0,oc&lt;0),"Long Unwinding","Flat"))))))</f>
        <v/>
      </c>
      <c r="J1596" s="31">
        <f>LET(pc,ABS(F1596),oc,ABS(H1596),IF(OR(pc="",oc=""),"",MAX(1,MIN(5,ROUND((pc*0.5+oc*0.00001)*5,0))))))</f>
        <v/>
      </c>
    </row>
    <row r="1597">
      <c r="A1597" s="31" t="n">
        <v>1595</v>
      </c>
      <c r="B1597" s="31">
        <f>CHAIN_RAW!D1595</f>
        <v/>
      </c>
      <c r="C1597" s="31">
        <f>CHAIN_RAW!A1595</f>
        <v/>
      </c>
      <c r="D1597" s="31">
        <f>CHAIN_RAW!C1595</f>
        <v/>
      </c>
      <c r="E1597" s="31">
        <f>CHAIN_RAW!E1595</f>
        <v/>
      </c>
      <c r="F1597" s="31">
        <f>CHAIN_RAW!F1595</f>
        <v/>
      </c>
      <c r="G1597" s="31">
        <f>CHAIN_RAW!I1595</f>
        <v/>
      </c>
      <c r="H1597" s="31">
        <f>CHAIN_RAW!Q1595</f>
        <v/>
      </c>
      <c r="I1597" s="31">
        <f>LET(pc,F1597,oc,H1597,IF(OR(pc="",oc=""),"",IF(AND(pc&gt;0,oc&gt;0),"Long Buildup",IF(AND(pc&lt;0,oc&gt;0),"Short Buildup",IF(AND(pc&gt;0,oc&lt;0),"Short Covering",IF(AND(pc&lt;0,oc&lt;0),"Long Unwinding","Flat"))))))</f>
        <v/>
      </c>
      <c r="J1597" s="31">
        <f>LET(pc,ABS(F1597),oc,ABS(H1597),IF(OR(pc="",oc=""),"",MAX(1,MIN(5,ROUND((pc*0.5+oc*0.00001)*5,0))))))</f>
        <v/>
      </c>
    </row>
    <row r="1598">
      <c r="A1598" s="31" t="n">
        <v>1596</v>
      </c>
      <c r="B1598" s="31">
        <f>CHAIN_RAW!D1596</f>
        <v/>
      </c>
      <c r="C1598" s="31">
        <f>CHAIN_RAW!A1596</f>
        <v/>
      </c>
      <c r="D1598" s="31">
        <f>CHAIN_RAW!C1596</f>
        <v/>
      </c>
      <c r="E1598" s="31">
        <f>CHAIN_RAW!E1596</f>
        <v/>
      </c>
      <c r="F1598" s="31">
        <f>CHAIN_RAW!F1596</f>
        <v/>
      </c>
      <c r="G1598" s="31">
        <f>CHAIN_RAW!I1596</f>
        <v/>
      </c>
      <c r="H1598" s="31">
        <f>CHAIN_RAW!Q1596</f>
        <v/>
      </c>
      <c r="I1598" s="31">
        <f>LET(pc,F1598,oc,H1598,IF(OR(pc="",oc=""),"",IF(AND(pc&gt;0,oc&gt;0),"Long Buildup",IF(AND(pc&lt;0,oc&gt;0),"Short Buildup",IF(AND(pc&gt;0,oc&lt;0),"Short Covering",IF(AND(pc&lt;0,oc&lt;0),"Long Unwinding","Flat"))))))</f>
        <v/>
      </c>
      <c r="J1598" s="31">
        <f>LET(pc,ABS(F1598),oc,ABS(H1598),IF(OR(pc="",oc=""),"",MAX(1,MIN(5,ROUND((pc*0.5+oc*0.00001)*5,0))))))</f>
        <v/>
      </c>
    </row>
    <row r="1599">
      <c r="A1599" s="31" t="n">
        <v>1597</v>
      </c>
      <c r="B1599" s="31">
        <f>CHAIN_RAW!D1597</f>
        <v/>
      </c>
      <c r="C1599" s="31">
        <f>CHAIN_RAW!A1597</f>
        <v/>
      </c>
      <c r="D1599" s="31">
        <f>CHAIN_RAW!C1597</f>
        <v/>
      </c>
      <c r="E1599" s="31">
        <f>CHAIN_RAW!E1597</f>
        <v/>
      </c>
      <c r="F1599" s="31">
        <f>CHAIN_RAW!F1597</f>
        <v/>
      </c>
      <c r="G1599" s="31">
        <f>CHAIN_RAW!I1597</f>
        <v/>
      </c>
      <c r="H1599" s="31">
        <f>CHAIN_RAW!Q1597</f>
        <v/>
      </c>
      <c r="I1599" s="31">
        <f>LET(pc,F1599,oc,H1599,IF(OR(pc="",oc=""),"",IF(AND(pc&gt;0,oc&gt;0),"Long Buildup",IF(AND(pc&lt;0,oc&gt;0),"Short Buildup",IF(AND(pc&gt;0,oc&lt;0),"Short Covering",IF(AND(pc&lt;0,oc&lt;0),"Long Unwinding","Flat"))))))</f>
        <v/>
      </c>
      <c r="J1599" s="31">
        <f>LET(pc,ABS(F1599),oc,ABS(H1599),IF(OR(pc="",oc=""),"",MAX(1,MIN(5,ROUND((pc*0.5+oc*0.00001)*5,0))))))</f>
        <v/>
      </c>
    </row>
    <row r="1600">
      <c r="A1600" s="31" t="n">
        <v>1598</v>
      </c>
      <c r="B1600" s="31">
        <f>CHAIN_RAW!D1598</f>
        <v/>
      </c>
      <c r="C1600" s="31">
        <f>CHAIN_RAW!A1598</f>
        <v/>
      </c>
      <c r="D1600" s="31">
        <f>CHAIN_RAW!C1598</f>
        <v/>
      </c>
      <c r="E1600" s="31">
        <f>CHAIN_RAW!E1598</f>
        <v/>
      </c>
      <c r="F1600" s="31">
        <f>CHAIN_RAW!F1598</f>
        <v/>
      </c>
      <c r="G1600" s="31">
        <f>CHAIN_RAW!I1598</f>
        <v/>
      </c>
      <c r="H1600" s="31">
        <f>CHAIN_RAW!Q1598</f>
        <v/>
      </c>
      <c r="I1600" s="31">
        <f>LET(pc,F1600,oc,H1600,IF(OR(pc="",oc=""),"",IF(AND(pc&gt;0,oc&gt;0),"Long Buildup",IF(AND(pc&lt;0,oc&gt;0),"Short Buildup",IF(AND(pc&gt;0,oc&lt;0),"Short Covering",IF(AND(pc&lt;0,oc&lt;0),"Long Unwinding","Flat"))))))</f>
        <v/>
      </c>
      <c r="J1600" s="31">
        <f>LET(pc,ABS(F1600),oc,ABS(H1600),IF(OR(pc="",oc=""),"",MAX(1,MIN(5,ROUND((pc*0.5+oc*0.00001)*5,0))))))</f>
        <v/>
      </c>
    </row>
    <row r="1601">
      <c r="A1601" s="31" t="n">
        <v>1599</v>
      </c>
      <c r="B1601" s="31">
        <f>CHAIN_RAW!D1599</f>
        <v/>
      </c>
      <c r="C1601" s="31">
        <f>CHAIN_RAW!A1599</f>
        <v/>
      </c>
      <c r="D1601" s="31">
        <f>CHAIN_RAW!C1599</f>
        <v/>
      </c>
      <c r="E1601" s="31">
        <f>CHAIN_RAW!E1599</f>
        <v/>
      </c>
      <c r="F1601" s="31">
        <f>CHAIN_RAW!F1599</f>
        <v/>
      </c>
      <c r="G1601" s="31">
        <f>CHAIN_RAW!I1599</f>
        <v/>
      </c>
      <c r="H1601" s="31">
        <f>CHAIN_RAW!Q1599</f>
        <v/>
      </c>
      <c r="I1601" s="31">
        <f>LET(pc,F1601,oc,H1601,IF(OR(pc="",oc=""),"",IF(AND(pc&gt;0,oc&gt;0),"Long Buildup",IF(AND(pc&lt;0,oc&gt;0),"Short Buildup",IF(AND(pc&gt;0,oc&lt;0),"Short Covering",IF(AND(pc&lt;0,oc&lt;0),"Long Unwinding","Flat"))))))</f>
        <v/>
      </c>
      <c r="J1601" s="31">
        <f>LET(pc,ABS(F1601),oc,ABS(H1601),IF(OR(pc="",oc=""),"",MAX(1,MIN(5,ROUND((pc*0.5+oc*0.00001)*5,0))))))</f>
        <v/>
      </c>
    </row>
    <row r="1602">
      <c r="A1602" s="31" t="n">
        <v>1600</v>
      </c>
      <c r="B1602" s="31">
        <f>CHAIN_RAW!D1600</f>
        <v/>
      </c>
      <c r="C1602" s="31">
        <f>CHAIN_RAW!A1600</f>
        <v/>
      </c>
      <c r="D1602" s="31">
        <f>CHAIN_RAW!C1600</f>
        <v/>
      </c>
      <c r="E1602" s="31">
        <f>CHAIN_RAW!E1600</f>
        <v/>
      </c>
      <c r="F1602" s="31">
        <f>CHAIN_RAW!F1600</f>
        <v/>
      </c>
      <c r="G1602" s="31">
        <f>CHAIN_RAW!I1600</f>
        <v/>
      </c>
      <c r="H1602" s="31">
        <f>CHAIN_RAW!Q1600</f>
        <v/>
      </c>
      <c r="I1602" s="31">
        <f>LET(pc,F1602,oc,H1602,IF(OR(pc="",oc=""),"",IF(AND(pc&gt;0,oc&gt;0),"Long Buildup",IF(AND(pc&lt;0,oc&gt;0),"Short Buildup",IF(AND(pc&gt;0,oc&lt;0),"Short Covering",IF(AND(pc&lt;0,oc&lt;0),"Long Unwinding","Flat"))))))</f>
        <v/>
      </c>
      <c r="J1602" s="31">
        <f>LET(pc,ABS(F1602),oc,ABS(H1602),IF(OR(pc="",oc=""),"",MAX(1,MIN(5,ROUND((pc*0.5+oc*0.00001)*5,0))))))</f>
        <v/>
      </c>
    </row>
    <row r="1603">
      <c r="A1603" s="31" t="n">
        <v>1601</v>
      </c>
      <c r="B1603" s="31">
        <f>CHAIN_RAW!D1601</f>
        <v/>
      </c>
      <c r="C1603" s="31">
        <f>CHAIN_RAW!A1601</f>
        <v/>
      </c>
      <c r="D1603" s="31">
        <f>CHAIN_RAW!C1601</f>
        <v/>
      </c>
      <c r="E1603" s="31">
        <f>CHAIN_RAW!E1601</f>
        <v/>
      </c>
      <c r="F1603" s="31">
        <f>CHAIN_RAW!F1601</f>
        <v/>
      </c>
      <c r="G1603" s="31">
        <f>CHAIN_RAW!I1601</f>
        <v/>
      </c>
      <c r="H1603" s="31">
        <f>CHAIN_RAW!Q1601</f>
        <v/>
      </c>
      <c r="I1603" s="31">
        <f>LET(pc,F1603,oc,H1603,IF(OR(pc="",oc=""),"",IF(AND(pc&gt;0,oc&gt;0),"Long Buildup",IF(AND(pc&lt;0,oc&gt;0),"Short Buildup",IF(AND(pc&gt;0,oc&lt;0),"Short Covering",IF(AND(pc&lt;0,oc&lt;0),"Long Unwinding","Flat"))))))</f>
        <v/>
      </c>
      <c r="J1603" s="31">
        <f>LET(pc,ABS(F1603),oc,ABS(H1603),IF(OR(pc="",oc=""),"",MAX(1,MIN(5,ROUND((pc*0.5+oc*0.00001)*5,0))))))</f>
        <v/>
      </c>
    </row>
    <row r="1604">
      <c r="A1604" s="31" t="n">
        <v>1602</v>
      </c>
      <c r="B1604" s="31">
        <f>CHAIN_RAW!D1602</f>
        <v/>
      </c>
      <c r="C1604" s="31">
        <f>CHAIN_RAW!A1602</f>
        <v/>
      </c>
      <c r="D1604" s="31">
        <f>CHAIN_RAW!C1602</f>
        <v/>
      </c>
      <c r="E1604" s="31">
        <f>CHAIN_RAW!E1602</f>
        <v/>
      </c>
      <c r="F1604" s="31">
        <f>CHAIN_RAW!F1602</f>
        <v/>
      </c>
      <c r="G1604" s="31">
        <f>CHAIN_RAW!I1602</f>
        <v/>
      </c>
      <c r="H1604" s="31">
        <f>CHAIN_RAW!Q1602</f>
        <v/>
      </c>
      <c r="I1604" s="31">
        <f>LET(pc,F1604,oc,H1604,IF(OR(pc="",oc=""),"",IF(AND(pc&gt;0,oc&gt;0),"Long Buildup",IF(AND(pc&lt;0,oc&gt;0),"Short Buildup",IF(AND(pc&gt;0,oc&lt;0),"Short Covering",IF(AND(pc&lt;0,oc&lt;0),"Long Unwinding","Flat"))))))</f>
        <v/>
      </c>
      <c r="J1604" s="31">
        <f>LET(pc,ABS(F1604),oc,ABS(H1604),IF(OR(pc="",oc=""),"",MAX(1,MIN(5,ROUND((pc*0.5+oc*0.00001)*5,0))))))</f>
        <v/>
      </c>
    </row>
    <row r="1605">
      <c r="A1605" s="31" t="n">
        <v>1603</v>
      </c>
      <c r="B1605" s="31">
        <f>CHAIN_RAW!D1603</f>
        <v/>
      </c>
      <c r="C1605" s="31">
        <f>CHAIN_RAW!A1603</f>
        <v/>
      </c>
      <c r="D1605" s="31">
        <f>CHAIN_RAW!C1603</f>
        <v/>
      </c>
      <c r="E1605" s="31">
        <f>CHAIN_RAW!E1603</f>
        <v/>
      </c>
      <c r="F1605" s="31">
        <f>CHAIN_RAW!F1603</f>
        <v/>
      </c>
      <c r="G1605" s="31">
        <f>CHAIN_RAW!I1603</f>
        <v/>
      </c>
      <c r="H1605" s="31">
        <f>CHAIN_RAW!Q1603</f>
        <v/>
      </c>
      <c r="I1605" s="31">
        <f>LET(pc,F1605,oc,H1605,IF(OR(pc="",oc=""),"",IF(AND(pc&gt;0,oc&gt;0),"Long Buildup",IF(AND(pc&lt;0,oc&gt;0),"Short Buildup",IF(AND(pc&gt;0,oc&lt;0),"Short Covering",IF(AND(pc&lt;0,oc&lt;0),"Long Unwinding","Flat"))))))</f>
        <v/>
      </c>
      <c r="J1605" s="31">
        <f>LET(pc,ABS(F1605),oc,ABS(H1605),IF(OR(pc="",oc=""),"",MAX(1,MIN(5,ROUND((pc*0.5+oc*0.00001)*5,0))))))</f>
        <v/>
      </c>
    </row>
    <row r="1606">
      <c r="A1606" s="31" t="n">
        <v>1604</v>
      </c>
      <c r="B1606" s="31">
        <f>CHAIN_RAW!D1604</f>
        <v/>
      </c>
      <c r="C1606" s="31">
        <f>CHAIN_RAW!A1604</f>
        <v/>
      </c>
      <c r="D1606" s="31">
        <f>CHAIN_RAW!C1604</f>
        <v/>
      </c>
      <c r="E1606" s="31">
        <f>CHAIN_RAW!E1604</f>
        <v/>
      </c>
      <c r="F1606" s="31">
        <f>CHAIN_RAW!F1604</f>
        <v/>
      </c>
      <c r="G1606" s="31">
        <f>CHAIN_RAW!I1604</f>
        <v/>
      </c>
      <c r="H1606" s="31">
        <f>CHAIN_RAW!Q1604</f>
        <v/>
      </c>
      <c r="I1606" s="31">
        <f>LET(pc,F1606,oc,H1606,IF(OR(pc="",oc=""),"",IF(AND(pc&gt;0,oc&gt;0),"Long Buildup",IF(AND(pc&lt;0,oc&gt;0),"Short Buildup",IF(AND(pc&gt;0,oc&lt;0),"Short Covering",IF(AND(pc&lt;0,oc&lt;0),"Long Unwinding","Flat"))))))</f>
        <v/>
      </c>
      <c r="J1606" s="31">
        <f>LET(pc,ABS(F1606),oc,ABS(H1606),IF(OR(pc="",oc=""),"",MAX(1,MIN(5,ROUND((pc*0.5+oc*0.00001)*5,0))))))</f>
        <v/>
      </c>
    </row>
    <row r="1607">
      <c r="A1607" s="31" t="n">
        <v>1605</v>
      </c>
      <c r="B1607" s="31">
        <f>CHAIN_RAW!D1605</f>
        <v/>
      </c>
      <c r="C1607" s="31">
        <f>CHAIN_RAW!A1605</f>
        <v/>
      </c>
      <c r="D1607" s="31">
        <f>CHAIN_RAW!C1605</f>
        <v/>
      </c>
      <c r="E1607" s="31">
        <f>CHAIN_RAW!E1605</f>
        <v/>
      </c>
      <c r="F1607" s="31">
        <f>CHAIN_RAW!F1605</f>
        <v/>
      </c>
      <c r="G1607" s="31">
        <f>CHAIN_RAW!I1605</f>
        <v/>
      </c>
      <c r="H1607" s="31">
        <f>CHAIN_RAW!Q1605</f>
        <v/>
      </c>
      <c r="I1607" s="31">
        <f>LET(pc,F1607,oc,H1607,IF(OR(pc="",oc=""),"",IF(AND(pc&gt;0,oc&gt;0),"Long Buildup",IF(AND(pc&lt;0,oc&gt;0),"Short Buildup",IF(AND(pc&gt;0,oc&lt;0),"Short Covering",IF(AND(pc&lt;0,oc&lt;0),"Long Unwinding","Flat"))))))</f>
        <v/>
      </c>
      <c r="J1607" s="31">
        <f>LET(pc,ABS(F1607),oc,ABS(H1607),IF(OR(pc="",oc=""),"",MAX(1,MIN(5,ROUND((pc*0.5+oc*0.00001)*5,0))))))</f>
        <v/>
      </c>
    </row>
    <row r="1608">
      <c r="A1608" s="31" t="n">
        <v>1606</v>
      </c>
      <c r="B1608" s="31">
        <f>CHAIN_RAW!D1606</f>
        <v/>
      </c>
      <c r="C1608" s="31">
        <f>CHAIN_RAW!A1606</f>
        <v/>
      </c>
      <c r="D1608" s="31">
        <f>CHAIN_RAW!C1606</f>
        <v/>
      </c>
      <c r="E1608" s="31">
        <f>CHAIN_RAW!E1606</f>
        <v/>
      </c>
      <c r="F1608" s="31">
        <f>CHAIN_RAW!F1606</f>
        <v/>
      </c>
      <c r="G1608" s="31">
        <f>CHAIN_RAW!I1606</f>
        <v/>
      </c>
      <c r="H1608" s="31">
        <f>CHAIN_RAW!Q1606</f>
        <v/>
      </c>
      <c r="I1608" s="31">
        <f>LET(pc,F1608,oc,H1608,IF(OR(pc="",oc=""),"",IF(AND(pc&gt;0,oc&gt;0),"Long Buildup",IF(AND(pc&lt;0,oc&gt;0),"Short Buildup",IF(AND(pc&gt;0,oc&lt;0),"Short Covering",IF(AND(pc&lt;0,oc&lt;0),"Long Unwinding","Flat"))))))</f>
        <v/>
      </c>
      <c r="J1608" s="31">
        <f>LET(pc,ABS(F1608),oc,ABS(H1608),IF(OR(pc="",oc=""),"",MAX(1,MIN(5,ROUND((pc*0.5+oc*0.00001)*5,0))))))</f>
        <v/>
      </c>
    </row>
    <row r="1609">
      <c r="A1609" s="31" t="n">
        <v>1607</v>
      </c>
      <c r="B1609" s="31">
        <f>CHAIN_RAW!D1607</f>
        <v/>
      </c>
      <c r="C1609" s="31">
        <f>CHAIN_RAW!A1607</f>
        <v/>
      </c>
      <c r="D1609" s="31">
        <f>CHAIN_RAW!C1607</f>
        <v/>
      </c>
      <c r="E1609" s="31">
        <f>CHAIN_RAW!E1607</f>
        <v/>
      </c>
      <c r="F1609" s="31">
        <f>CHAIN_RAW!F1607</f>
        <v/>
      </c>
      <c r="G1609" s="31">
        <f>CHAIN_RAW!I1607</f>
        <v/>
      </c>
      <c r="H1609" s="31">
        <f>CHAIN_RAW!Q1607</f>
        <v/>
      </c>
      <c r="I1609" s="31">
        <f>LET(pc,F1609,oc,H1609,IF(OR(pc="",oc=""),"",IF(AND(pc&gt;0,oc&gt;0),"Long Buildup",IF(AND(pc&lt;0,oc&gt;0),"Short Buildup",IF(AND(pc&gt;0,oc&lt;0),"Short Covering",IF(AND(pc&lt;0,oc&lt;0),"Long Unwinding","Flat"))))))</f>
        <v/>
      </c>
      <c r="J1609" s="31">
        <f>LET(pc,ABS(F1609),oc,ABS(H1609),IF(OR(pc="",oc=""),"",MAX(1,MIN(5,ROUND((pc*0.5+oc*0.00001)*5,0))))))</f>
        <v/>
      </c>
    </row>
    <row r="1610">
      <c r="A1610" s="31" t="n">
        <v>1608</v>
      </c>
      <c r="B1610" s="31">
        <f>CHAIN_RAW!D1608</f>
        <v/>
      </c>
      <c r="C1610" s="31">
        <f>CHAIN_RAW!A1608</f>
        <v/>
      </c>
      <c r="D1610" s="31">
        <f>CHAIN_RAW!C1608</f>
        <v/>
      </c>
      <c r="E1610" s="31">
        <f>CHAIN_RAW!E1608</f>
        <v/>
      </c>
      <c r="F1610" s="31">
        <f>CHAIN_RAW!F1608</f>
        <v/>
      </c>
      <c r="G1610" s="31">
        <f>CHAIN_RAW!I1608</f>
        <v/>
      </c>
      <c r="H1610" s="31">
        <f>CHAIN_RAW!Q1608</f>
        <v/>
      </c>
      <c r="I1610" s="31">
        <f>LET(pc,F1610,oc,H1610,IF(OR(pc="",oc=""),"",IF(AND(pc&gt;0,oc&gt;0),"Long Buildup",IF(AND(pc&lt;0,oc&gt;0),"Short Buildup",IF(AND(pc&gt;0,oc&lt;0),"Short Covering",IF(AND(pc&lt;0,oc&lt;0),"Long Unwinding","Flat"))))))</f>
        <v/>
      </c>
      <c r="J1610" s="31">
        <f>LET(pc,ABS(F1610),oc,ABS(H1610),IF(OR(pc="",oc=""),"",MAX(1,MIN(5,ROUND((pc*0.5+oc*0.00001)*5,0))))))</f>
        <v/>
      </c>
    </row>
    <row r="1611">
      <c r="A1611" s="31" t="n">
        <v>1609</v>
      </c>
      <c r="B1611" s="31">
        <f>CHAIN_RAW!D1609</f>
        <v/>
      </c>
      <c r="C1611" s="31">
        <f>CHAIN_RAW!A1609</f>
        <v/>
      </c>
      <c r="D1611" s="31">
        <f>CHAIN_RAW!C1609</f>
        <v/>
      </c>
      <c r="E1611" s="31">
        <f>CHAIN_RAW!E1609</f>
        <v/>
      </c>
      <c r="F1611" s="31">
        <f>CHAIN_RAW!F1609</f>
        <v/>
      </c>
      <c r="G1611" s="31">
        <f>CHAIN_RAW!I1609</f>
        <v/>
      </c>
      <c r="H1611" s="31">
        <f>CHAIN_RAW!Q1609</f>
        <v/>
      </c>
      <c r="I1611" s="31">
        <f>LET(pc,F1611,oc,H1611,IF(OR(pc="",oc=""),"",IF(AND(pc&gt;0,oc&gt;0),"Long Buildup",IF(AND(pc&lt;0,oc&gt;0),"Short Buildup",IF(AND(pc&gt;0,oc&lt;0),"Short Covering",IF(AND(pc&lt;0,oc&lt;0),"Long Unwinding","Flat"))))))</f>
        <v/>
      </c>
      <c r="J1611" s="31">
        <f>LET(pc,ABS(F1611),oc,ABS(H1611),IF(OR(pc="",oc=""),"",MAX(1,MIN(5,ROUND((pc*0.5+oc*0.00001)*5,0))))))</f>
        <v/>
      </c>
    </row>
    <row r="1612">
      <c r="A1612" s="31" t="n">
        <v>1610</v>
      </c>
      <c r="B1612" s="31">
        <f>CHAIN_RAW!D1610</f>
        <v/>
      </c>
      <c r="C1612" s="31">
        <f>CHAIN_RAW!A1610</f>
        <v/>
      </c>
      <c r="D1612" s="31">
        <f>CHAIN_RAW!C1610</f>
        <v/>
      </c>
      <c r="E1612" s="31">
        <f>CHAIN_RAW!E1610</f>
        <v/>
      </c>
      <c r="F1612" s="31">
        <f>CHAIN_RAW!F1610</f>
        <v/>
      </c>
      <c r="G1612" s="31">
        <f>CHAIN_RAW!I1610</f>
        <v/>
      </c>
      <c r="H1612" s="31">
        <f>CHAIN_RAW!Q1610</f>
        <v/>
      </c>
      <c r="I1612" s="31">
        <f>LET(pc,F1612,oc,H1612,IF(OR(pc="",oc=""),"",IF(AND(pc&gt;0,oc&gt;0),"Long Buildup",IF(AND(pc&lt;0,oc&gt;0),"Short Buildup",IF(AND(pc&gt;0,oc&lt;0),"Short Covering",IF(AND(pc&lt;0,oc&lt;0),"Long Unwinding","Flat"))))))</f>
        <v/>
      </c>
      <c r="J1612" s="31">
        <f>LET(pc,ABS(F1612),oc,ABS(H1612),IF(OR(pc="",oc=""),"",MAX(1,MIN(5,ROUND((pc*0.5+oc*0.00001)*5,0))))))</f>
        <v/>
      </c>
    </row>
    <row r="1613">
      <c r="A1613" s="31" t="n">
        <v>1611</v>
      </c>
      <c r="B1613" s="31">
        <f>CHAIN_RAW!D1611</f>
        <v/>
      </c>
      <c r="C1613" s="31">
        <f>CHAIN_RAW!A1611</f>
        <v/>
      </c>
      <c r="D1613" s="31">
        <f>CHAIN_RAW!C1611</f>
        <v/>
      </c>
      <c r="E1613" s="31">
        <f>CHAIN_RAW!E1611</f>
        <v/>
      </c>
      <c r="F1613" s="31">
        <f>CHAIN_RAW!F1611</f>
        <v/>
      </c>
      <c r="G1613" s="31">
        <f>CHAIN_RAW!I1611</f>
        <v/>
      </c>
      <c r="H1613" s="31">
        <f>CHAIN_RAW!Q1611</f>
        <v/>
      </c>
      <c r="I1613" s="31">
        <f>LET(pc,F1613,oc,H1613,IF(OR(pc="",oc=""),"",IF(AND(pc&gt;0,oc&gt;0),"Long Buildup",IF(AND(pc&lt;0,oc&gt;0),"Short Buildup",IF(AND(pc&gt;0,oc&lt;0),"Short Covering",IF(AND(pc&lt;0,oc&lt;0),"Long Unwinding","Flat"))))))</f>
        <v/>
      </c>
      <c r="J1613" s="31">
        <f>LET(pc,ABS(F1613),oc,ABS(H1613),IF(OR(pc="",oc=""),"",MAX(1,MIN(5,ROUND((pc*0.5+oc*0.00001)*5,0))))))</f>
        <v/>
      </c>
    </row>
    <row r="1614">
      <c r="A1614" s="31" t="n">
        <v>1612</v>
      </c>
      <c r="B1614" s="31">
        <f>CHAIN_RAW!D1612</f>
        <v/>
      </c>
      <c r="C1614" s="31">
        <f>CHAIN_RAW!A1612</f>
        <v/>
      </c>
      <c r="D1614" s="31">
        <f>CHAIN_RAW!C1612</f>
        <v/>
      </c>
      <c r="E1614" s="31">
        <f>CHAIN_RAW!E1612</f>
        <v/>
      </c>
      <c r="F1614" s="31">
        <f>CHAIN_RAW!F1612</f>
        <v/>
      </c>
      <c r="G1614" s="31">
        <f>CHAIN_RAW!I1612</f>
        <v/>
      </c>
      <c r="H1614" s="31">
        <f>CHAIN_RAW!Q1612</f>
        <v/>
      </c>
      <c r="I1614" s="31">
        <f>LET(pc,F1614,oc,H1614,IF(OR(pc="",oc=""),"",IF(AND(pc&gt;0,oc&gt;0),"Long Buildup",IF(AND(pc&lt;0,oc&gt;0),"Short Buildup",IF(AND(pc&gt;0,oc&lt;0),"Short Covering",IF(AND(pc&lt;0,oc&lt;0),"Long Unwinding","Flat"))))))</f>
        <v/>
      </c>
      <c r="J1614" s="31">
        <f>LET(pc,ABS(F1614),oc,ABS(H1614),IF(OR(pc="",oc=""),"",MAX(1,MIN(5,ROUND((pc*0.5+oc*0.00001)*5,0))))))</f>
        <v/>
      </c>
    </row>
    <row r="1615">
      <c r="A1615" s="31" t="n">
        <v>1613</v>
      </c>
      <c r="B1615" s="31">
        <f>CHAIN_RAW!D1613</f>
        <v/>
      </c>
      <c r="C1615" s="31">
        <f>CHAIN_RAW!A1613</f>
        <v/>
      </c>
      <c r="D1615" s="31">
        <f>CHAIN_RAW!C1613</f>
        <v/>
      </c>
      <c r="E1615" s="31">
        <f>CHAIN_RAW!E1613</f>
        <v/>
      </c>
      <c r="F1615" s="31">
        <f>CHAIN_RAW!F1613</f>
        <v/>
      </c>
      <c r="G1615" s="31">
        <f>CHAIN_RAW!I1613</f>
        <v/>
      </c>
      <c r="H1615" s="31">
        <f>CHAIN_RAW!Q1613</f>
        <v/>
      </c>
      <c r="I1615" s="31">
        <f>LET(pc,F1615,oc,H1615,IF(OR(pc="",oc=""),"",IF(AND(pc&gt;0,oc&gt;0),"Long Buildup",IF(AND(pc&lt;0,oc&gt;0),"Short Buildup",IF(AND(pc&gt;0,oc&lt;0),"Short Covering",IF(AND(pc&lt;0,oc&lt;0),"Long Unwinding","Flat"))))))</f>
        <v/>
      </c>
      <c r="J1615" s="31">
        <f>LET(pc,ABS(F1615),oc,ABS(H1615),IF(OR(pc="",oc=""),"",MAX(1,MIN(5,ROUND((pc*0.5+oc*0.00001)*5,0))))))</f>
        <v/>
      </c>
    </row>
    <row r="1616">
      <c r="A1616" s="31" t="n">
        <v>1614</v>
      </c>
      <c r="B1616" s="31">
        <f>CHAIN_RAW!D1614</f>
        <v/>
      </c>
      <c r="C1616" s="31">
        <f>CHAIN_RAW!A1614</f>
        <v/>
      </c>
      <c r="D1616" s="31">
        <f>CHAIN_RAW!C1614</f>
        <v/>
      </c>
      <c r="E1616" s="31">
        <f>CHAIN_RAW!E1614</f>
        <v/>
      </c>
      <c r="F1616" s="31">
        <f>CHAIN_RAW!F1614</f>
        <v/>
      </c>
      <c r="G1616" s="31">
        <f>CHAIN_RAW!I1614</f>
        <v/>
      </c>
      <c r="H1616" s="31">
        <f>CHAIN_RAW!Q1614</f>
        <v/>
      </c>
      <c r="I1616" s="31">
        <f>LET(pc,F1616,oc,H1616,IF(OR(pc="",oc=""),"",IF(AND(pc&gt;0,oc&gt;0),"Long Buildup",IF(AND(pc&lt;0,oc&gt;0),"Short Buildup",IF(AND(pc&gt;0,oc&lt;0),"Short Covering",IF(AND(pc&lt;0,oc&lt;0),"Long Unwinding","Flat"))))))</f>
        <v/>
      </c>
      <c r="J1616" s="31">
        <f>LET(pc,ABS(F1616),oc,ABS(H1616),IF(OR(pc="",oc=""),"",MAX(1,MIN(5,ROUND((pc*0.5+oc*0.00001)*5,0))))))</f>
        <v/>
      </c>
    </row>
    <row r="1617">
      <c r="A1617" s="31" t="n">
        <v>1615</v>
      </c>
      <c r="B1617" s="31">
        <f>CHAIN_RAW!D1615</f>
        <v/>
      </c>
      <c r="C1617" s="31">
        <f>CHAIN_RAW!A1615</f>
        <v/>
      </c>
      <c r="D1617" s="31">
        <f>CHAIN_RAW!C1615</f>
        <v/>
      </c>
      <c r="E1617" s="31">
        <f>CHAIN_RAW!E1615</f>
        <v/>
      </c>
      <c r="F1617" s="31">
        <f>CHAIN_RAW!F1615</f>
        <v/>
      </c>
      <c r="G1617" s="31">
        <f>CHAIN_RAW!I1615</f>
        <v/>
      </c>
      <c r="H1617" s="31">
        <f>CHAIN_RAW!Q1615</f>
        <v/>
      </c>
      <c r="I1617" s="31">
        <f>LET(pc,F1617,oc,H1617,IF(OR(pc="",oc=""),"",IF(AND(pc&gt;0,oc&gt;0),"Long Buildup",IF(AND(pc&lt;0,oc&gt;0),"Short Buildup",IF(AND(pc&gt;0,oc&lt;0),"Short Covering",IF(AND(pc&lt;0,oc&lt;0),"Long Unwinding","Flat"))))))</f>
        <v/>
      </c>
      <c r="J1617" s="31">
        <f>LET(pc,ABS(F1617),oc,ABS(H1617),IF(OR(pc="",oc=""),"",MAX(1,MIN(5,ROUND((pc*0.5+oc*0.00001)*5,0))))))</f>
        <v/>
      </c>
    </row>
    <row r="1618">
      <c r="A1618" s="31" t="n">
        <v>1616</v>
      </c>
      <c r="B1618" s="31">
        <f>CHAIN_RAW!D1616</f>
        <v/>
      </c>
      <c r="C1618" s="31">
        <f>CHAIN_RAW!A1616</f>
        <v/>
      </c>
      <c r="D1618" s="31">
        <f>CHAIN_RAW!C1616</f>
        <v/>
      </c>
      <c r="E1618" s="31">
        <f>CHAIN_RAW!E1616</f>
        <v/>
      </c>
      <c r="F1618" s="31">
        <f>CHAIN_RAW!F1616</f>
        <v/>
      </c>
      <c r="G1618" s="31">
        <f>CHAIN_RAW!I1616</f>
        <v/>
      </c>
      <c r="H1618" s="31">
        <f>CHAIN_RAW!Q1616</f>
        <v/>
      </c>
      <c r="I1618" s="31">
        <f>LET(pc,F1618,oc,H1618,IF(OR(pc="",oc=""),"",IF(AND(pc&gt;0,oc&gt;0),"Long Buildup",IF(AND(pc&lt;0,oc&gt;0),"Short Buildup",IF(AND(pc&gt;0,oc&lt;0),"Short Covering",IF(AND(pc&lt;0,oc&lt;0),"Long Unwinding","Flat"))))))</f>
        <v/>
      </c>
      <c r="J1618" s="31">
        <f>LET(pc,ABS(F1618),oc,ABS(H1618),IF(OR(pc="",oc=""),"",MAX(1,MIN(5,ROUND((pc*0.5+oc*0.00001)*5,0))))))</f>
        <v/>
      </c>
    </row>
    <row r="1619">
      <c r="A1619" s="31" t="n">
        <v>1617</v>
      </c>
      <c r="B1619" s="31">
        <f>CHAIN_RAW!D1617</f>
        <v/>
      </c>
      <c r="C1619" s="31">
        <f>CHAIN_RAW!A1617</f>
        <v/>
      </c>
      <c r="D1619" s="31">
        <f>CHAIN_RAW!C1617</f>
        <v/>
      </c>
      <c r="E1619" s="31">
        <f>CHAIN_RAW!E1617</f>
        <v/>
      </c>
      <c r="F1619" s="31">
        <f>CHAIN_RAW!F1617</f>
        <v/>
      </c>
      <c r="G1619" s="31">
        <f>CHAIN_RAW!I1617</f>
        <v/>
      </c>
      <c r="H1619" s="31">
        <f>CHAIN_RAW!Q1617</f>
        <v/>
      </c>
      <c r="I1619" s="31">
        <f>LET(pc,F1619,oc,H1619,IF(OR(pc="",oc=""),"",IF(AND(pc&gt;0,oc&gt;0),"Long Buildup",IF(AND(pc&lt;0,oc&gt;0),"Short Buildup",IF(AND(pc&gt;0,oc&lt;0),"Short Covering",IF(AND(pc&lt;0,oc&lt;0),"Long Unwinding","Flat"))))))</f>
        <v/>
      </c>
      <c r="J1619" s="31">
        <f>LET(pc,ABS(F1619),oc,ABS(H1619),IF(OR(pc="",oc=""),"",MAX(1,MIN(5,ROUND((pc*0.5+oc*0.00001)*5,0))))))</f>
        <v/>
      </c>
    </row>
    <row r="1620">
      <c r="A1620" s="31" t="n">
        <v>1618</v>
      </c>
      <c r="B1620" s="31">
        <f>CHAIN_RAW!D1618</f>
        <v/>
      </c>
      <c r="C1620" s="31">
        <f>CHAIN_RAW!A1618</f>
        <v/>
      </c>
      <c r="D1620" s="31">
        <f>CHAIN_RAW!C1618</f>
        <v/>
      </c>
      <c r="E1620" s="31">
        <f>CHAIN_RAW!E1618</f>
        <v/>
      </c>
      <c r="F1620" s="31">
        <f>CHAIN_RAW!F1618</f>
        <v/>
      </c>
      <c r="G1620" s="31">
        <f>CHAIN_RAW!I1618</f>
        <v/>
      </c>
      <c r="H1620" s="31">
        <f>CHAIN_RAW!Q1618</f>
        <v/>
      </c>
      <c r="I1620" s="31">
        <f>LET(pc,F1620,oc,H1620,IF(OR(pc="",oc=""),"",IF(AND(pc&gt;0,oc&gt;0),"Long Buildup",IF(AND(pc&lt;0,oc&gt;0),"Short Buildup",IF(AND(pc&gt;0,oc&lt;0),"Short Covering",IF(AND(pc&lt;0,oc&lt;0),"Long Unwinding","Flat"))))))</f>
        <v/>
      </c>
      <c r="J1620" s="31">
        <f>LET(pc,ABS(F1620),oc,ABS(H1620),IF(OR(pc="",oc=""),"",MAX(1,MIN(5,ROUND((pc*0.5+oc*0.00001)*5,0))))))</f>
        <v/>
      </c>
    </row>
    <row r="1621">
      <c r="A1621" s="31" t="n">
        <v>1619</v>
      </c>
      <c r="B1621" s="31">
        <f>CHAIN_RAW!D1619</f>
        <v/>
      </c>
      <c r="C1621" s="31">
        <f>CHAIN_RAW!A1619</f>
        <v/>
      </c>
      <c r="D1621" s="31">
        <f>CHAIN_RAW!C1619</f>
        <v/>
      </c>
      <c r="E1621" s="31">
        <f>CHAIN_RAW!E1619</f>
        <v/>
      </c>
      <c r="F1621" s="31">
        <f>CHAIN_RAW!F1619</f>
        <v/>
      </c>
      <c r="G1621" s="31">
        <f>CHAIN_RAW!I1619</f>
        <v/>
      </c>
      <c r="H1621" s="31">
        <f>CHAIN_RAW!Q1619</f>
        <v/>
      </c>
      <c r="I1621" s="31">
        <f>LET(pc,F1621,oc,H1621,IF(OR(pc="",oc=""),"",IF(AND(pc&gt;0,oc&gt;0),"Long Buildup",IF(AND(pc&lt;0,oc&gt;0),"Short Buildup",IF(AND(pc&gt;0,oc&lt;0),"Short Covering",IF(AND(pc&lt;0,oc&lt;0),"Long Unwinding","Flat"))))))</f>
        <v/>
      </c>
      <c r="J1621" s="31">
        <f>LET(pc,ABS(F1621),oc,ABS(H1621),IF(OR(pc="",oc=""),"",MAX(1,MIN(5,ROUND((pc*0.5+oc*0.00001)*5,0))))))</f>
        <v/>
      </c>
    </row>
    <row r="1622">
      <c r="A1622" s="31" t="n">
        <v>1620</v>
      </c>
      <c r="B1622" s="31">
        <f>CHAIN_RAW!D1620</f>
        <v/>
      </c>
      <c r="C1622" s="31">
        <f>CHAIN_RAW!A1620</f>
        <v/>
      </c>
      <c r="D1622" s="31">
        <f>CHAIN_RAW!C1620</f>
        <v/>
      </c>
      <c r="E1622" s="31">
        <f>CHAIN_RAW!E1620</f>
        <v/>
      </c>
      <c r="F1622" s="31">
        <f>CHAIN_RAW!F1620</f>
        <v/>
      </c>
      <c r="G1622" s="31">
        <f>CHAIN_RAW!I1620</f>
        <v/>
      </c>
      <c r="H1622" s="31">
        <f>CHAIN_RAW!Q1620</f>
        <v/>
      </c>
      <c r="I1622" s="31">
        <f>LET(pc,F1622,oc,H1622,IF(OR(pc="",oc=""),"",IF(AND(pc&gt;0,oc&gt;0),"Long Buildup",IF(AND(pc&lt;0,oc&gt;0),"Short Buildup",IF(AND(pc&gt;0,oc&lt;0),"Short Covering",IF(AND(pc&lt;0,oc&lt;0),"Long Unwinding","Flat"))))))</f>
        <v/>
      </c>
      <c r="J1622" s="31">
        <f>LET(pc,ABS(F1622),oc,ABS(H1622),IF(OR(pc="",oc=""),"",MAX(1,MIN(5,ROUND((pc*0.5+oc*0.00001)*5,0))))))</f>
        <v/>
      </c>
    </row>
    <row r="1623">
      <c r="A1623" s="31" t="n">
        <v>1621</v>
      </c>
      <c r="B1623" s="31">
        <f>CHAIN_RAW!D1621</f>
        <v/>
      </c>
      <c r="C1623" s="31">
        <f>CHAIN_RAW!A1621</f>
        <v/>
      </c>
      <c r="D1623" s="31">
        <f>CHAIN_RAW!C1621</f>
        <v/>
      </c>
      <c r="E1623" s="31">
        <f>CHAIN_RAW!E1621</f>
        <v/>
      </c>
      <c r="F1623" s="31">
        <f>CHAIN_RAW!F1621</f>
        <v/>
      </c>
      <c r="G1623" s="31">
        <f>CHAIN_RAW!I1621</f>
        <v/>
      </c>
      <c r="H1623" s="31">
        <f>CHAIN_RAW!Q1621</f>
        <v/>
      </c>
      <c r="I1623" s="31">
        <f>LET(pc,F1623,oc,H1623,IF(OR(pc="",oc=""),"",IF(AND(pc&gt;0,oc&gt;0),"Long Buildup",IF(AND(pc&lt;0,oc&gt;0),"Short Buildup",IF(AND(pc&gt;0,oc&lt;0),"Short Covering",IF(AND(pc&lt;0,oc&lt;0),"Long Unwinding","Flat"))))))</f>
        <v/>
      </c>
      <c r="J1623" s="31">
        <f>LET(pc,ABS(F1623),oc,ABS(H1623),IF(OR(pc="",oc=""),"",MAX(1,MIN(5,ROUND((pc*0.5+oc*0.00001)*5,0))))))</f>
        <v/>
      </c>
    </row>
    <row r="1624">
      <c r="A1624" s="31" t="n">
        <v>1622</v>
      </c>
      <c r="B1624" s="31">
        <f>CHAIN_RAW!D1622</f>
        <v/>
      </c>
      <c r="C1624" s="31">
        <f>CHAIN_RAW!A1622</f>
        <v/>
      </c>
      <c r="D1624" s="31">
        <f>CHAIN_RAW!C1622</f>
        <v/>
      </c>
      <c r="E1624" s="31">
        <f>CHAIN_RAW!E1622</f>
        <v/>
      </c>
      <c r="F1624" s="31">
        <f>CHAIN_RAW!F1622</f>
        <v/>
      </c>
      <c r="G1624" s="31">
        <f>CHAIN_RAW!I1622</f>
        <v/>
      </c>
      <c r="H1624" s="31">
        <f>CHAIN_RAW!Q1622</f>
        <v/>
      </c>
      <c r="I1624" s="31">
        <f>LET(pc,F1624,oc,H1624,IF(OR(pc="",oc=""),"",IF(AND(pc&gt;0,oc&gt;0),"Long Buildup",IF(AND(pc&lt;0,oc&gt;0),"Short Buildup",IF(AND(pc&gt;0,oc&lt;0),"Short Covering",IF(AND(pc&lt;0,oc&lt;0),"Long Unwinding","Flat"))))))</f>
        <v/>
      </c>
      <c r="J1624" s="31">
        <f>LET(pc,ABS(F1624),oc,ABS(H1624),IF(OR(pc="",oc=""),"",MAX(1,MIN(5,ROUND((pc*0.5+oc*0.00001)*5,0))))))</f>
        <v/>
      </c>
    </row>
    <row r="1625">
      <c r="A1625" s="31" t="n">
        <v>1623</v>
      </c>
      <c r="B1625" s="31">
        <f>CHAIN_RAW!D1623</f>
        <v/>
      </c>
      <c r="C1625" s="31">
        <f>CHAIN_RAW!A1623</f>
        <v/>
      </c>
      <c r="D1625" s="31">
        <f>CHAIN_RAW!C1623</f>
        <v/>
      </c>
      <c r="E1625" s="31">
        <f>CHAIN_RAW!E1623</f>
        <v/>
      </c>
      <c r="F1625" s="31">
        <f>CHAIN_RAW!F1623</f>
        <v/>
      </c>
      <c r="G1625" s="31">
        <f>CHAIN_RAW!I1623</f>
        <v/>
      </c>
      <c r="H1625" s="31">
        <f>CHAIN_RAW!Q1623</f>
        <v/>
      </c>
      <c r="I1625" s="31">
        <f>LET(pc,F1625,oc,H1625,IF(OR(pc="",oc=""),"",IF(AND(pc&gt;0,oc&gt;0),"Long Buildup",IF(AND(pc&lt;0,oc&gt;0),"Short Buildup",IF(AND(pc&gt;0,oc&lt;0),"Short Covering",IF(AND(pc&lt;0,oc&lt;0),"Long Unwinding","Flat"))))))</f>
        <v/>
      </c>
      <c r="J1625" s="31">
        <f>LET(pc,ABS(F1625),oc,ABS(H1625),IF(OR(pc="",oc=""),"",MAX(1,MIN(5,ROUND((pc*0.5+oc*0.00001)*5,0))))))</f>
        <v/>
      </c>
    </row>
    <row r="1626">
      <c r="A1626" s="31" t="n">
        <v>1624</v>
      </c>
      <c r="B1626" s="31">
        <f>CHAIN_RAW!D1624</f>
        <v/>
      </c>
      <c r="C1626" s="31">
        <f>CHAIN_RAW!A1624</f>
        <v/>
      </c>
      <c r="D1626" s="31">
        <f>CHAIN_RAW!C1624</f>
        <v/>
      </c>
      <c r="E1626" s="31">
        <f>CHAIN_RAW!E1624</f>
        <v/>
      </c>
      <c r="F1626" s="31">
        <f>CHAIN_RAW!F1624</f>
        <v/>
      </c>
      <c r="G1626" s="31">
        <f>CHAIN_RAW!I1624</f>
        <v/>
      </c>
      <c r="H1626" s="31">
        <f>CHAIN_RAW!Q1624</f>
        <v/>
      </c>
      <c r="I1626" s="31">
        <f>LET(pc,F1626,oc,H1626,IF(OR(pc="",oc=""),"",IF(AND(pc&gt;0,oc&gt;0),"Long Buildup",IF(AND(pc&lt;0,oc&gt;0),"Short Buildup",IF(AND(pc&gt;0,oc&lt;0),"Short Covering",IF(AND(pc&lt;0,oc&lt;0),"Long Unwinding","Flat"))))))</f>
        <v/>
      </c>
      <c r="J1626" s="31">
        <f>LET(pc,ABS(F1626),oc,ABS(H1626),IF(OR(pc="",oc=""),"",MAX(1,MIN(5,ROUND((pc*0.5+oc*0.00001)*5,0))))))</f>
        <v/>
      </c>
    </row>
    <row r="1627">
      <c r="A1627" s="31" t="n">
        <v>1625</v>
      </c>
      <c r="B1627" s="31">
        <f>CHAIN_RAW!D1625</f>
        <v/>
      </c>
      <c r="C1627" s="31">
        <f>CHAIN_RAW!A1625</f>
        <v/>
      </c>
      <c r="D1627" s="31">
        <f>CHAIN_RAW!C1625</f>
        <v/>
      </c>
      <c r="E1627" s="31">
        <f>CHAIN_RAW!E1625</f>
        <v/>
      </c>
      <c r="F1627" s="31">
        <f>CHAIN_RAW!F1625</f>
        <v/>
      </c>
      <c r="G1627" s="31">
        <f>CHAIN_RAW!I1625</f>
        <v/>
      </c>
      <c r="H1627" s="31">
        <f>CHAIN_RAW!Q1625</f>
        <v/>
      </c>
      <c r="I1627" s="31">
        <f>LET(pc,F1627,oc,H1627,IF(OR(pc="",oc=""),"",IF(AND(pc&gt;0,oc&gt;0),"Long Buildup",IF(AND(pc&lt;0,oc&gt;0),"Short Buildup",IF(AND(pc&gt;0,oc&lt;0),"Short Covering",IF(AND(pc&lt;0,oc&lt;0),"Long Unwinding","Flat"))))))</f>
        <v/>
      </c>
      <c r="J1627" s="31">
        <f>LET(pc,ABS(F1627),oc,ABS(H1627),IF(OR(pc="",oc=""),"",MAX(1,MIN(5,ROUND((pc*0.5+oc*0.00001)*5,0))))))</f>
        <v/>
      </c>
    </row>
    <row r="1628">
      <c r="A1628" s="31" t="n">
        <v>1626</v>
      </c>
      <c r="B1628" s="31">
        <f>CHAIN_RAW!D1626</f>
        <v/>
      </c>
      <c r="C1628" s="31">
        <f>CHAIN_RAW!A1626</f>
        <v/>
      </c>
      <c r="D1628" s="31">
        <f>CHAIN_RAW!C1626</f>
        <v/>
      </c>
      <c r="E1628" s="31">
        <f>CHAIN_RAW!E1626</f>
        <v/>
      </c>
      <c r="F1628" s="31">
        <f>CHAIN_RAW!F1626</f>
        <v/>
      </c>
      <c r="G1628" s="31">
        <f>CHAIN_RAW!I1626</f>
        <v/>
      </c>
      <c r="H1628" s="31">
        <f>CHAIN_RAW!Q1626</f>
        <v/>
      </c>
      <c r="I1628" s="31">
        <f>LET(pc,F1628,oc,H1628,IF(OR(pc="",oc=""),"",IF(AND(pc&gt;0,oc&gt;0),"Long Buildup",IF(AND(pc&lt;0,oc&gt;0),"Short Buildup",IF(AND(pc&gt;0,oc&lt;0),"Short Covering",IF(AND(pc&lt;0,oc&lt;0),"Long Unwinding","Flat"))))))</f>
        <v/>
      </c>
      <c r="J1628" s="31">
        <f>LET(pc,ABS(F1628),oc,ABS(H1628),IF(OR(pc="",oc=""),"",MAX(1,MIN(5,ROUND((pc*0.5+oc*0.00001)*5,0))))))</f>
        <v/>
      </c>
    </row>
    <row r="1629">
      <c r="A1629" s="31" t="n">
        <v>1627</v>
      </c>
      <c r="B1629" s="31">
        <f>CHAIN_RAW!D1627</f>
        <v/>
      </c>
      <c r="C1629" s="31">
        <f>CHAIN_RAW!A1627</f>
        <v/>
      </c>
      <c r="D1629" s="31">
        <f>CHAIN_RAW!C1627</f>
        <v/>
      </c>
      <c r="E1629" s="31">
        <f>CHAIN_RAW!E1627</f>
        <v/>
      </c>
      <c r="F1629" s="31">
        <f>CHAIN_RAW!F1627</f>
        <v/>
      </c>
      <c r="G1629" s="31">
        <f>CHAIN_RAW!I1627</f>
        <v/>
      </c>
      <c r="H1629" s="31">
        <f>CHAIN_RAW!Q1627</f>
        <v/>
      </c>
      <c r="I1629" s="31">
        <f>LET(pc,F1629,oc,H1629,IF(OR(pc="",oc=""),"",IF(AND(pc&gt;0,oc&gt;0),"Long Buildup",IF(AND(pc&lt;0,oc&gt;0),"Short Buildup",IF(AND(pc&gt;0,oc&lt;0),"Short Covering",IF(AND(pc&lt;0,oc&lt;0),"Long Unwinding","Flat"))))))</f>
        <v/>
      </c>
      <c r="J1629" s="31">
        <f>LET(pc,ABS(F1629),oc,ABS(H1629),IF(OR(pc="",oc=""),"",MAX(1,MIN(5,ROUND((pc*0.5+oc*0.00001)*5,0))))))</f>
        <v/>
      </c>
    </row>
    <row r="1630">
      <c r="A1630" s="31" t="n">
        <v>1628</v>
      </c>
      <c r="B1630" s="31">
        <f>CHAIN_RAW!D1628</f>
        <v/>
      </c>
      <c r="C1630" s="31">
        <f>CHAIN_RAW!A1628</f>
        <v/>
      </c>
      <c r="D1630" s="31">
        <f>CHAIN_RAW!C1628</f>
        <v/>
      </c>
      <c r="E1630" s="31">
        <f>CHAIN_RAW!E1628</f>
        <v/>
      </c>
      <c r="F1630" s="31">
        <f>CHAIN_RAW!F1628</f>
        <v/>
      </c>
      <c r="G1630" s="31">
        <f>CHAIN_RAW!I1628</f>
        <v/>
      </c>
      <c r="H1630" s="31">
        <f>CHAIN_RAW!Q1628</f>
        <v/>
      </c>
      <c r="I1630" s="31">
        <f>LET(pc,F1630,oc,H1630,IF(OR(pc="",oc=""),"",IF(AND(pc&gt;0,oc&gt;0),"Long Buildup",IF(AND(pc&lt;0,oc&gt;0),"Short Buildup",IF(AND(pc&gt;0,oc&lt;0),"Short Covering",IF(AND(pc&lt;0,oc&lt;0),"Long Unwinding","Flat"))))))</f>
        <v/>
      </c>
      <c r="J1630" s="31">
        <f>LET(pc,ABS(F1630),oc,ABS(H1630),IF(OR(pc="",oc=""),"",MAX(1,MIN(5,ROUND((pc*0.5+oc*0.00001)*5,0))))))</f>
        <v/>
      </c>
    </row>
    <row r="1631">
      <c r="A1631" s="31" t="n">
        <v>1629</v>
      </c>
      <c r="B1631" s="31">
        <f>CHAIN_RAW!D1629</f>
        <v/>
      </c>
      <c r="C1631" s="31">
        <f>CHAIN_RAW!A1629</f>
        <v/>
      </c>
      <c r="D1631" s="31">
        <f>CHAIN_RAW!C1629</f>
        <v/>
      </c>
      <c r="E1631" s="31">
        <f>CHAIN_RAW!E1629</f>
        <v/>
      </c>
      <c r="F1631" s="31">
        <f>CHAIN_RAW!F1629</f>
        <v/>
      </c>
      <c r="G1631" s="31">
        <f>CHAIN_RAW!I1629</f>
        <v/>
      </c>
      <c r="H1631" s="31">
        <f>CHAIN_RAW!Q1629</f>
        <v/>
      </c>
      <c r="I1631" s="31">
        <f>LET(pc,F1631,oc,H1631,IF(OR(pc="",oc=""),"",IF(AND(pc&gt;0,oc&gt;0),"Long Buildup",IF(AND(pc&lt;0,oc&gt;0),"Short Buildup",IF(AND(pc&gt;0,oc&lt;0),"Short Covering",IF(AND(pc&lt;0,oc&lt;0),"Long Unwinding","Flat"))))))</f>
        <v/>
      </c>
      <c r="J1631" s="31">
        <f>LET(pc,ABS(F1631),oc,ABS(H1631),IF(OR(pc="",oc=""),"",MAX(1,MIN(5,ROUND((pc*0.5+oc*0.00001)*5,0))))))</f>
        <v/>
      </c>
    </row>
    <row r="1632">
      <c r="A1632" s="31" t="n">
        <v>1630</v>
      </c>
      <c r="B1632" s="31">
        <f>CHAIN_RAW!D1630</f>
        <v/>
      </c>
      <c r="C1632" s="31">
        <f>CHAIN_RAW!A1630</f>
        <v/>
      </c>
      <c r="D1632" s="31">
        <f>CHAIN_RAW!C1630</f>
        <v/>
      </c>
      <c r="E1632" s="31">
        <f>CHAIN_RAW!E1630</f>
        <v/>
      </c>
      <c r="F1632" s="31">
        <f>CHAIN_RAW!F1630</f>
        <v/>
      </c>
      <c r="G1632" s="31">
        <f>CHAIN_RAW!I1630</f>
        <v/>
      </c>
      <c r="H1632" s="31">
        <f>CHAIN_RAW!Q1630</f>
        <v/>
      </c>
      <c r="I1632" s="31">
        <f>LET(pc,F1632,oc,H1632,IF(OR(pc="",oc=""),"",IF(AND(pc&gt;0,oc&gt;0),"Long Buildup",IF(AND(pc&lt;0,oc&gt;0),"Short Buildup",IF(AND(pc&gt;0,oc&lt;0),"Short Covering",IF(AND(pc&lt;0,oc&lt;0),"Long Unwinding","Flat"))))))</f>
        <v/>
      </c>
      <c r="J1632" s="31">
        <f>LET(pc,ABS(F1632),oc,ABS(H1632),IF(OR(pc="",oc=""),"",MAX(1,MIN(5,ROUND((pc*0.5+oc*0.00001)*5,0))))))</f>
        <v/>
      </c>
    </row>
    <row r="1633">
      <c r="A1633" s="31" t="n">
        <v>1631</v>
      </c>
      <c r="B1633" s="31">
        <f>CHAIN_RAW!D1631</f>
        <v/>
      </c>
      <c r="C1633" s="31">
        <f>CHAIN_RAW!A1631</f>
        <v/>
      </c>
      <c r="D1633" s="31">
        <f>CHAIN_RAW!C1631</f>
        <v/>
      </c>
      <c r="E1633" s="31">
        <f>CHAIN_RAW!E1631</f>
        <v/>
      </c>
      <c r="F1633" s="31">
        <f>CHAIN_RAW!F1631</f>
        <v/>
      </c>
      <c r="G1633" s="31">
        <f>CHAIN_RAW!I1631</f>
        <v/>
      </c>
      <c r="H1633" s="31">
        <f>CHAIN_RAW!Q1631</f>
        <v/>
      </c>
      <c r="I1633" s="31">
        <f>LET(pc,F1633,oc,H1633,IF(OR(pc="",oc=""),"",IF(AND(pc&gt;0,oc&gt;0),"Long Buildup",IF(AND(pc&lt;0,oc&gt;0),"Short Buildup",IF(AND(pc&gt;0,oc&lt;0),"Short Covering",IF(AND(pc&lt;0,oc&lt;0),"Long Unwinding","Flat"))))))</f>
        <v/>
      </c>
      <c r="J1633" s="31">
        <f>LET(pc,ABS(F1633),oc,ABS(H1633),IF(OR(pc="",oc=""),"",MAX(1,MIN(5,ROUND((pc*0.5+oc*0.00001)*5,0))))))</f>
        <v/>
      </c>
    </row>
    <row r="1634">
      <c r="A1634" s="31" t="n">
        <v>1632</v>
      </c>
      <c r="B1634" s="31">
        <f>CHAIN_RAW!D1632</f>
        <v/>
      </c>
      <c r="C1634" s="31">
        <f>CHAIN_RAW!A1632</f>
        <v/>
      </c>
      <c r="D1634" s="31">
        <f>CHAIN_RAW!C1632</f>
        <v/>
      </c>
      <c r="E1634" s="31">
        <f>CHAIN_RAW!E1632</f>
        <v/>
      </c>
      <c r="F1634" s="31">
        <f>CHAIN_RAW!F1632</f>
        <v/>
      </c>
      <c r="G1634" s="31">
        <f>CHAIN_RAW!I1632</f>
        <v/>
      </c>
      <c r="H1634" s="31">
        <f>CHAIN_RAW!Q1632</f>
        <v/>
      </c>
      <c r="I1634" s="31">
        <f>LET(pc,F1634,oc,H1634,IF(OR(pc="",oc=""),"",IF(AND(pc&gt;0,oc&gt;0),"Long Buildup",IF(AND(pc&lt;0,oc&gt;0),"Short Buildup",IF(AND(pc&gt;0,oc&lt;0),"Short Covering",IF(AND(pc&lt;0,oc&lt;0),"Long Unwinding","Flat"))))))</f>
        <v/>
      </c>
      <c r="J1634" s="31">
        <f>LET(pc,ABS(F1634),oc,ABS(H1634),IF(OR(pc="",oc=""),"",MAX(1,MIN(5,ROUND((pc*0.5+oc*0.00001)*5,0))))))</f>
        <v/>
      </c>
    </row>
    <row r="1635">
      <c r="A1635" s="31" t="n">
        <v>1633</v>
      </c>
      <c r="B1635" s="31">
        <f>CHAIN_RAW!D1633</f>
        <v/>
      </c>
      <c r="C1635" s="31">
        <f>CHAIN_RAW!A1633</f>
        <v/>
      </c>
      <c r="D1635" s="31">
        <f>CHAIN_RAW!C1633</f>
        <v/>
      </c>
      <c r="E1635" s="31">
        <f>CHAIN_RAW!E1633</f>
        <v/>
      </c>
      <c r="F1635" s="31">
        <f>CHAIN_RAW!F1633</f>
        <v/>
      </c>
      <c r="G1635" s="31">
        <f>CHAIN_RAW!I1633</f>
        <v/>
      </c>
      <c r="H1635" s="31">
        <f>CHAIN_RAW!Q1633</f>
        <v/>
      </c>
      <c r="I1635" s="31">
        <f>LET(pc,F1635,oc,H1635,IF(OR(pc="",oc=""),"",IF(AND(pc&gt;0,oc&gt;0),"Long Buildup",IF(AND(pc&lt;0,oc&gt;0),"Short Buildup",IF(AND(pc&gt;0,oc&lt;0),"Short Covering",IF(AND(pc&lt;0,oc&lt;0),"Long Unwinding","Flat"))))))</f>
        <v/>
      </c>
      <c r="J1635" s="31">
        <f>LET(pc,ABS(F1635),oc,ABS(H1635),IF(OR(pc="",oc=""),"",MAX(1,MIN(5,ROUND((pc*0.5+oc*0.00001)*5,0))))))</f>
        <v/>
      </c>
    </row>
    <row r="1636">
      <c r="A1636" s="31" t="n">
        <v>1634</v>
      </c>
      <c r="B1636" s="31">
        <f>CHAIN_RAW!D1634</f>
        <v/>
      </c>
      <c r="C1636" s="31">
        <f>CHAIN_RAW!A1634</f>
        <v/>
      </c>
      <c r="D1636" s="31">
        <f>CHAIN_RAW!C1634</f>
        <v/>
      </c>
      <c r="E1636" s="31">
        <f>CHAIN_RAW!E1634</f>
        <v/>
      </c>
      <c r="F1636" s="31">
        <f>CHAIN_RAW!F1634</f>
        <v/>
      </c>
      <c r="G1636" s="31">
        <f>CHAIN_RAW!I1634</f>
        <v/>
      </c>
      <c r="H1636" s="31">
        <f>CHAIN_RAW!Q1634</f>
        <v/>
      </c>
      <c r="I1636" s="31">
        <f>LET(pc,F1636,oc,H1636,IF(OR(pc="",oc=""),"",IF(AND(pc&gt;0,oc&gt;0),"Long Buildup",IF(AND(pc&lt;0,oc&gt;0),"Short Buildup",IF(AND(pc&gt;0,oc&lt;0),"Short Covering",IF(AND(pc&lt;0,oc&lt;0),"Long Unwinding","Flat"))))))</f>
        <v/>
      </c>
      <c r="J1636" s="31">
        <f>LET(pc,ABS(F1636),oc,ABS(H1636),IF(OR(pc="",oc=""),"",MAX(1,MIN(5,ROUND((pc*0.5+oc*0.00001)*5,0))))))</f>
        <v/>
      </c>
    </row>
    <row r="1637">
      <c r="A1637" s="31" t="n">
        <v>1635</v>
      </c>
      <c r="B1637" s="31">
        <f>CHAIN_RAW!D1635</f>
        <v/>
      </c>
      <c r="C1637" s="31">
        <f>CHAIN_RAW!A1635</f>
        <v/>
      </c>
      <c r="D1637" s="31">
        <f>CHAIN_RAW!C1635</f>
        <v/>
      </c>
      <c r="E1637" s="31">
        <f>CHAIN_RAW!E1635</f>
        <v/>
      </c>
      <c r="F1637" s="31">
        <f>CHAIN_RAW!F1635</f>
        <v/>
      </c>
      <c r="G1637" s="31">
        <f>CHAIN_RAW!I1635</f>
        <v/>
      </c>
      <c r="H1637" s="31">
        <f>CHAIN_RAW!Q1635</f>
        <v/>
      </c>
      <c r="I1637" s="31">
        <f>LET(pc,F1637,oc,H1637,IF(OR(pc="",oc=""),"",IF(AND(pc&gt;0,oc&gt;0),"Long Buildup",IF(AND(pc&lt;0,oc&gt;0),"Short Buildup",IF(AND(pc&gt;0,oc&lt;0),"Short Covering",IF(AND(pc&lt;0,oc&lt;0),"Long Unwinding","Flat"))))))</f>
        <v/>
      </c>
      <c r="J1637" s="31">
        <f>LET(pc,ABS(F1637),oc,ABS(H1637),IF(OR(pc="",oc=""),"",MAX(1,MIN(5,ROUND((pc*0.5+oc*0.00001)*5,0))))))</f>
        <v/>
      </c>
    </row>
    <row r="1638">
      <c r="A1638" s="31" t="n">
        <v>1636</v>
      </c>
      <c r="B1638" s="31">
        <f>CHAIN_RAW!D1636</f>
        <v/>
      </c>
      <c r="C1638" s="31">
        <f>CHAIN_RAW!A1636</f>
        <v/>
      </c>
      <c r="D1638" s="31">
        <f>CHAIN_RAW!C1636</f>
        <v/>
      </c>
      <c r="E1638" s="31">
        <f>CHAIN_RAW!E1636</f>
        <v/>
      </c>
      <c r="F1638" s="31">
        <f>CHAIN_RAW!F1636</f>
        <v/>
      </c>
      <c r="G1638" s="31">
        <f>CHAIN_RAW!I1636</f>
        <v/>
      </c>
      <c r="H1638" s="31">
        <f>CHAIN_RAW!Q1636</f>
        <v/>
      </c>
      <c r="I1638" s="31">
        <f>LET(pc,F1638,oc,H1638,IF(OR(pc="",oc=""),"",IF(AND(pc&gt;0,oc&gt;0),"Long Buildup",IF(AND(pc&lt;0,oc&gt;0),"Short Buildup",IF(AND(pc&gt;0,oc&lt;0),"Short Covering",IF(AND(pc&lt;0,oc&lt;0),"Long Unwinding","Flat"))))))</f>
        <v/>
      </c>
      <c r="J1638" s="31">
        <f>LET(pc,ABS(F1638),oc,ABS(H1638),IF(OR(pc="",oc=""),"",MAX(1,MIN(5,ROUND((pc*0.5+oc*0.00001)*5,0))))))</f>
        <v/>
      </c>
    </row>
    <row r="1639">
      <c r="A1639" s="31" t="n">
        <v>1637</v>
      </c>
      <c r="B1639" s="31">
        <f>CHAIN_RAW!D1637</f>
        <v/>
      </c>
      <c r="C1639" s="31">
        <f>CHAIN_RAW!A1637</f>
        <v/>
      </c>
      <c r="D1639" s="31">
        <f>CHAIN_RAW!C1637</f>
        <v/>
      </c>
      <c r="E1639" s="31">
        <f>CHAIN_RAW!E1637</f>
        <v/>
      </c>
      <c r="F1639" s="31">
        <f>CHAIN_RAW!F1637</f>
        <v/>
      </c>
      <c r="G1639" s="31">
        <f>CHAIN_RAW!I1637</f>
        <v/>
      </c>
      <c r="H1639" s="31">
        <f>CHAIN_RAW!Q1637</f>
        <v/>
      </c>
      <c r="I1639" s="31">
        <f>LET(pc,F1639,oc,H1639,IF(OR(pc="",oc=""),"",IF(AND(pc&gt;0,oc&gt;0),"Long Buildup",IF(AND(pc&lt;0,oc&gt;0),"Short Buildup",IF(AND(pc&gt;0,oc&lt;0),"Short Covering",IF(AND(pc&lt;0,oc&lt;0),"Long Unwinding","Flat"))))))</f>
        <v/>
      </c>
      <c r="J1639" s="31">
        <f>LET(pc,ABS(F1639),oc,ABS(H1639),IF(OR(pc="",oc=""),"",MAX(1,MIN(5,ROUND((pc*0.5+oc*0.00001)*5,0))))))</f>
        <v/>
      </c>
    </row>
    <row r="1640">
      <c r="A1640" s="31" t="n">
        <v>1638</v>
      </c>
      <c r="B1640" s="31">
        <f>CHAIN_RAW!D1638</f>
        <v/>
      </c>
      <c r="C1640" s="31">
        <f>CHAIN_RAW!A1638</f>
        <v/>
      </c>
      <c r="D1640" s="31">
        <f>CHAIN_RAW!C1638</f>
        <v/>
      </c>
      <c r="E1640" s="31">
        <f>CHAIN_RAW!E1638</f>
        <v/>
      </c>
      <c r="F1640" s="31">
        <f>CHAIN_RAW!F1638</f>
        <v/>
      </c>
      <c r="G1640" s="31">
        <f>CHAIN_RAW!I1638</f>
        <v/>
      </c>
      <c r="H1640" s="31">
        <f>CHAIN_RAW!Q1638</f>
        <v/>
      </c>
      <c r="I1640" s="31">
        <f>LET(pc,F1640,oc,H1640,IF(OR(pc="",oc=""),"",IF(AND(pc&gt;0,oc&gt;0),"Long Buildup",IF(AND(pc&lt;0,oc&gt;0),"Short Buildup",IF(AND(pc&gt;0,oc&lt;0),"Short Covering",IF(AND(pc&lt;0,oc&lt;0),"Long Unwinding","Flat"))))))</f>
        <v/>
      </c>
      <c r="J1640" s="31">
        <f>LET(pc,ABS(F1640),oc,ABS(H1640),IF(OR(pc="",oc=""),"",MAX(1,MIN(5,ROUND((pc*0.5+oc*0.00001)*5,0))))))</f>
        <v/>
      </c>
    </row>
    <row r="1641">
      <c r="A1641" s="31" t="n">
        <v>1639</v>
      </c>
      <c r="B1641" s="31">
        <f>CHAIN_RAW!D1639</f>
        <v/>
      </c>
      <c r="C1641" s="31">
        <f>CHAIN_RAW!A1639</f>
        <v/>
      </c>
      <c r="D1641" s="31">
        <f>CHAIN_RAW!C1639</f>
        <v/>
      </c>
      <c r="E1641" s="31">
        <f>CHAIN_RAW!E1639</f>
        <v/>
      </c>
      <c r="F1641" s="31">
        <f>CHAIN_RAW!F1639</f>
        <v/>
      </c>
      <c r="G1641" s="31">
        <f>CHAIN_RAW!I1639</f>
        <v/>
      </c>
      <c r="H1641" s="31">
        <f>CHAIN_RAW!Q1639</f>
        <v/>
      </c>
      <c r="I1641" s="31">
        <f>LET(pc,F1641,oc,H1641,IF(OR(pc="",oc=""),"",IF(AND(pc&gt;0,oc&gt;0),"Long Buildup",IF(AND(pc&lt;0,oc&gt;0),"Short Buildup",IF(AND(pc&gt;0,oc&lt;0),"Short Covering",IF(AND(pc&lt;0,oc&lt;0),"Long Unwinding","Flat"))))))</f>
        <v/>
      </c>
      <c r="J1641" s="31">
        <f>LET(pc,ABS(F1641),oc,ABS(H1641),IF(OR(pc="",oc=""),"",MAX(1,MIN(5,ROUND((pc*0.5+oc*0.00001)*5,0))))))</f>
        <v/>
      </c>
    </row>
    <row r="1642">
      <c r="A1642" s="31" t="n">
        <v>1640</v>
      </c>
      <c r="B1642" s="31">
        <f>CHAIN_RAW!D1640</f>
        <v/>
      </c>
      <c r="C1642" s="31">
        <f>CHAIN_RAW!A1640</f>
        <v/>
      </c>
      <c r="D1642" s="31">
        <f>CHAIN_RAW!C1640</f>
        <v/>
      </c>
      <c r="E1642" s="31">
        <f>CHAIN_RAW!E1640</f>
        <v/>
      </c>
      <c r="F1642" s="31">
        <f>CHAIN_RAW!F1640</f>
        <v/>
      </c>
      <c r="G1642" s="31">
        <f>CHAIN_RAW!I1640</f>
        <v/>
      </c>
      <c r="H1642" s="31">
        <f>CHAIN_RAW!Q1640</f>
        <v/>
      </c>
      <c r="I1642" s="31">
        <f>LET(pc,F1642,oc,H1642,IF(OR(pc="",oc=""),"",IF(AND(pc&gt;0,oc&gt;0),"Long Buildup",IF(AND(pc&lt;0,oc&gt;0),"Short Buildup",IF(AND(pc&gt;0,oc&lt;0),"Short Covering",IF(AND(pc&lt;0,oc&lt;0),"Long Unwinding","Flat"))))))</f>
        <v/>
      </c>
      <c r="J1642" s="31">
        <f>LET(pc,ABS(F1642),oc,ABS(H1642),IF(OR(pc="",oc=""),"",MAX(1,MIN(5,ROUND((pc*0.5+oc*0.00001)*5,0))))))</f>
        <v/>
      </c>
    </row>
    <row r="1643">
      <c r="A1643" s="31" t="n">
        <v>1641</v>
      </c>
      <c r="B1643" s="31">
        <f>CHAIN_RAW!D1641</f>
        <v/>
      </c>
      <c r="C1643" s="31">
        <f>CHAIN_RAW!A1641</f>
        <v/>
      </c>
      <c r="D1643" s="31">
        <f>CHAIN_RAW!C1641</f>
        <v/>
      </c>
      <c r="E1643" s="31">
        <f>CHAIN_RAW!E1641</f>
        <v/>
      </c>
      <c r="F1643" s="31">
        <f>CHAIN_RAW!F1641</f>
        <v/>
      </c>
      <c r="G1643" s="31">
        <f>CHAIN_RAW!I1641</f>
        <v/>
      </c>
      <c r="H1643" s="31">
        <f>CHAIN_RAW!Q1641</f>
        <v/>
      </c>
      <c r="I1643" s="31">
        <f>LET(pc,F1643,oc,H1643,IF(OR(pc="",oc=""),"",IF(AND(pc&gt;0,oc&gt;0),"Long Buildup",IF(AND(pc&lt;0,oc&gt;0),"Short Buildup",IF(AND(pc&gt;0,oc&lt;0),"Short Covering",IF(AND(pc&lt;0,oc&lt;0),"Long Unwinding","Flat"))))))</f>
        <v/>
      </c>
      <c r="J1643" s="31">
        <f>LET(pc,ABS(F1643),oc,ABS(H1643),IF(OR(pc="",oc=""),"",MAX(1,MIN(5,ROUND((pc*0.5+oc*0.00001)*5,0))))))</f>
        <v/>
      </c>
    </row>
    <row r="1644">
      <c r="A1644" s="31" t="n">
        <v>1642</v>
      </c>
      <c r="B1644" s="31">
        <f>CHAIN_RAW!D1642</f>
        <v/>
      </c>
      <c r="C1644" s="31">
        <f>CHAIN_RAW!A1642</f>
        <v/>
      </c>
      <c r="D1644" s="31">
        <f>CHAIN_RAW!C1642</f>
        <v/>
      </c>
      <c r="E1644" s="31">
        <f>CHAIN_RAW!E1642</f>
        <v/>
      </c>
      <c r="F1644" s="31">
        <f>CHAIN_RAW!F1642</f>
        <v/>
      </c>
      <c r="G1644" s="31">
        <f>CHAIN_RAW!I1642</f>
        <v/>
      </c>
      <c r="H1644" s="31">
        <f>CHAIN_RAW!Q1642</f>
        <v/>
      </c>
      <c r="I1644" s="31">
        <f>LET(pc,F1644,oc,H1644,IF(OR(pc="",oc=""),"",IF(AND(pc&gt;0,oc&gt;0),"Long Buildup",IF(AND(pc&lt;0,oc&gt;0),"Short Buildup",IF(AND(pc&gt;0,oc&lt;0),"Short Covering",IF(AND(pc&lt;0,oc&lt;0),"Long Unwinding","Flat"))))))</f>
        <v/>
      </c>
      <c r="J1644" s="31">
        <f>LET(pc,ABS(F1644),oc,ABS(H1644),IF(OR(pc="",oc=""),"",MAX(1,MIN(5,ROUND((pc*0.5+oc*0.00001)*5,0))))))</f>
        <v/>
      </c>
    </row>
    <row r="1645">
      <c r="A1645" s="31" t="n">
        <v>1643</v>
      </c>
      <c r="B1645" s="31">
        <f>CHAIN_RAW!D1643</f>
        <v/>
      </c>
      <c r="C1645" s="31">
        <f>CHAIN_RAW!A1643</f>
        <v/>
      </c>
      <c r="D1645" s="31">
        <f>CHAIN_RAW!C1643</f>
        <v/>
      </c>
      <c r="E1645" s="31">
        <f>CHAIN_RAW!E1643</f>
        <v/>
      </c>
      <c r="F1645" s="31">
        <f>CHAIN_RAW!F1643</f>
        <v/>
      </c>
      <c r="G1645" s="31">
        <f>CHAIN_RAW!I1643</f>
        <v/>
      </c>
      <c r="H1645" s="31">
        <f>CHAIN_RAW!Q1643</f>
        <v/>
      </c>
      <c r="I1645" s="31">
        <f>LET(pc,F1645,oc,H1645,IF(OR(pc="",oc=""),"",IF(AND(pc&gt;0,oc&gt;0),"Long Buildup",IF(AND(pc&lt;0,oc&gt;0),"Short Buildup",IF(AND(pc&gt;0,oc&lt;0),"Short Covering",IF(AND(pc&lt;0,oc&lt;0),"Long Unwinding","Flat"))))))</f>
        <v/>
      </c>
      <c r="J1645" s="31">
        <f>LET(pc,ABS(F1645),oc,ABS(H1645),IF(OR(pc="",oc=""),"",MAX(1,MIN(5,ROUND((pc*0.5+oc*0.00001)*5,0))))))</f>
        <v/>
      </c>
    </row>
    <row r="1646">
      <c r="A1646" s="31" t="n">
        <v>1644</v>
      </c>
      <c r="B1646" s="31">
        <f>CHAIN_RAW!D1644</f>
        <v/>
      </c>
      <c r="C1646" s="31">
        <f>CHAIN_RAW!A1644</f>
        <v/>
      </c>
      <c r="D1646" s="31">
        <f>CHAIN_RAW!C1644</f>
        <v/>
      </c>
      <c r="E1646" s="31">
        <f>CHAIN_RAW!E1644</f>
        <v/>
      </c>
      <c r="F1646" s="31">
        <f>CHAIN_RAW!F1644</f>
        <v/>
      </c>
      <c r="G1646" s="31">
        <f>CHAIN_RAW!I1644</f>
        <v/>
      </c>
      <c r="H1646" s="31">
        <f>CHAIN_RAW!Q1644</f>
        <v/>
      </c>
      <c r="I1646" s="31">
        <f>LET(pc,F1646,oc,H1646,IF(OR(pc="",oc=""),"",IF(AND(pc&gt;0,oc&gt;0),"Long Buildup",IF(AND(pc&lt;0,oc&gt;0),"Short Buildup",IF(AND(pc&gt;0,oc&lt;0),"Short Covering",IF(AND(pc&lt;0,oc&lt;0),"Long Unwinding","Flat"))))))</f>
        <v/>
      </c>
      <c r="J1646" s="31">
        <f>LET(pc,ABS(F1646),oc,ABS(H1646),IF(OR(pc="",oc=""),"",MAX(1,MIN(5,ROUND((pc*0.5+oc*0.00001)*5,0))))))</f>
        <v/>
      </c>
    </row>
    <row r="1647">
      <c r="A1647" s="31" t="n">
        <v>1645</v>
      </c>
      <c r="B1647" s="31">
        <f>CHAIN_RAW!D1645</f>
        <v/>
      </c>
      <c r="C1647" s="31">
        <f>CHAIN_RAW!A1645</f>
        <v/>
      </c>
      <c r="D1647" s="31">
        <f>CHAIN_RAW!C1645</f>
        <v/>
      </c>
      <c r="E1647" s="31">
        <f>CHAIN_RAW!E1645</f>
        <v/>
      </c>
      <c r="F1647" s="31">
        <f>CHAIN_RAW!F1645</f>
        <v/>
      </c>
      <c r="G1647" s="31">
        <f>CHAIN_RAW!I1645</f>
        <v/>
      </c>
      <c r="H1647" s="31">
        <f>CHAIN_RAW!Q1645</f>
        <v/>
      </c>
      <c r="I1647" s="31">
        <f>LET(pc,F1647,oc,H1647,IF(OR(pc="",oc=""),"",IF(AND(pc&gt;0,oc&gt;0),"Long Buildup",IF(AND(pc&lt;0,oc&gt;0),"Short Buildup",IF(AND(pc&gt;0,oc&lt;0),"Short Covering",IF(AND(pc&lt;0,oc&lt;0),"Long Unwinding","Flat"))))))</f>
        <v/>
      </c>
      <c r="J1647" s="31">
        <f>LET(pc,ABS(F1647),oc,ABS(H1647),IF(OR(pc="",oc=""),"",MAX(1,MIN(5,ROUND((pc*0.5+oc*0.00001)*5,0))))))</f>
        <v/>
      </c>
    </row>
    <row r="1648">
      <c r="A1648" s="31" t="n">
        <v>1646</v>
      </c>
      <c r="B1648" s="31">
        <f>CHAIN_RAW!D1646</f>
        <v/>
      </c>
      <c r="C1648" s="31">
        <f>CHAIN_RAW!A1646</f>
        <v/>
      </c>
      <c r="D1648" s="31">
        <f>CHAIN_RAW!C1646</f>
        <v/>
      </c>
      <c r="E1648" s="31">
        <f>CHAIN_RAW!E1646</f>
        <v/>
      </c>
      <c r="F1648" s="31">
        <f>CHAIN_RAW!F1646</f>
        <v/>
      </c>
      <c r="G1648" s="31">
        <f>CHAIN_RAW!I1646</f>
        <v/>
      </c>
      <c r="H1648" s="31">
        <f>CHAIN_RAW!Q1646</f>
        <v/>
      </c>
      <c r="I1648" s="31">
        <f>LET(pc,F1648,oc,H1648,IF(OR(pc="",oc=""),"",IF(AND(pc&gt;0,oc&gt;0),"Long Buildup",IF(AND(pc&lt;0,oc&gt;0),"Short Buildup",IF(AND(pc&gt;0,oc&lt;0),"Short Covering",IF(AND(pc&lt;0,oc&lt;0),"Long Unwinding","Flat"))))))</f>
        <v/>
      </c>
      <c r="J1648" s="31">
        <f>LET(pc,ABS(F1648),oc,ABS(H1648),IF(OR(pc="",oc=""),"",MAX(1,MIN(5,ROUND((pc*0.5+oc*0.00001)*5,0))))))</f>
        <v/>
      </c>
    </row>
    <row r="1649">
      <c r="A1649" s="31" t="n">
        <v>1647</v>
      </c>
      <c r="B1649" s="31">
        <f>CHAIN_RAW!D1647</f>
        <v/>
      </c>
      <c r="C1649" s="31">
        <f>CHAIN_RAW!A1647</f>
        <v/>
      </c>
      <c r="D1649" s="31">
        <f>CHAIN_RAW!C1647</f>
        <v/>
      </c>
      <c r="E1649" s="31">
        <f>CHAIN_RAW!E1647</f>
        <v/>
      </c>
      <c r="F1649" s="31">
        <f>CHAIN_RAW!F1647</f>
        <v/>
      </c>
      <c r="G1649" s="31">
        <f>CHAIN_RAW!I1647</f>
        <v/>
      </c>
      <c r="H1649" s="31">
        <f>CHAIN_RAW!Q1647</f>
        <v/>
      </c>
      <c r="I1649" s="31">
        <f>LET(pc,F1649,oc,H1649,IF(OR(pc="",oc=""),"",IF(AND(pc&gt;0,oc&gt;0),"Long Buildup",IF(AND(pc&lt;0,oc&gt;0),"Short Buildup",IF(AND(pc&gt;0,oc&lt;0),"Short Covering",IF(AND(pc&lt;0,oc&lt;0),"Long Unwinding","Flat"))))))</f>
        <v/>
      </c>
      <c r="J1649" s="31">
        <f>LET(pc,ABS(F1649),oc,ABS(H1649),IF(OR(pc="",oc=""),"",MAX(1,MIN(5,ROUND((pc*0.5+oc*0.00001)*5,0))))))</f>
        <v/>
      </c>
    </row>
    <row r="1650">
      <c r="A1650" s="31" t="n">
        <v>1648</v>
      </c>
      <c r="B1650" s="31">
        <f>CHAIN_RAW!D1648</f>
        <v/>
      </c>
      <c r="C1650" s="31">
        <f>CHAIN_RAW!A1648</f>
        <v/>
      </c>
      <c r="D1650" s="31">
        <f>CHAIN_RAW!C1648</f>
        <v/>
      </c>
      <c r="E1650" s="31">
        <f>CHAIN_RAW!E1648</f>
        <v/>
      </c>
      <c r="F1650" s="31">
        <f>CHAIN_RAW!F1648</f>
        <v/>
      </c>
      <c r="G1650" s="31">
        <f>CHAIN_RAW!I1648</f>
        <v/>
      </c>
      <c r="H1650" s="31">
        <f>CHAIN_RAW!Q1648</f>
        <v/>
      </c>
      <c r="I1650" s="31">
        <f>LET(pc,F1650,oc,H1650,IF(OR(pc="",oc=""),"",IF(AND(pc&gt;0,oc&gt;0),"Long Buildup",IF(AND(pc&lt;0,oc&gt;0),"Short Buildup",IF(AND(pc&gt;0,oc&lt;0),"Short Covering",IF(AND(pc&lt;0,oc&lt;0),"Long Unwinding","Flat"))))))</f>
        <v/>
      </c>
      <c r="J1650" s="31">
        <f>LET(pc,ABS(F1650),oc,ABS(H1650),IF(OR(pc="",oc=""),"",MAX(1,MIN(5,ROUND((pc*0.5+oc*0.00001)*5,0))))))</f>
        <v/>
      </c>
    </row>
    <row r="1651">
      <c r="A1651" s="31" t="n">
        <v>1649</v>
      </c>
      <c r="B1651" s="31">
        <f>CHAIN_RAW!D1649</f>
        <v/>
      </c>
      <c r="C1651" s="31">
        <f>CHAIN_RAW!A1649</f>
        <v/>
      </c>
      <c r="D1651" s="31">
        <f>CHAIN_RAW!C1649</f>
        <v/>
      </c>
      <c r="E1651" s="31">
        <f>CHAIN_RAW!E1649</f>
        <v/>
      </c>
      <c r="F1651" s="31">
        <f>CHAIN_RAW!F1649</f>
        <v/>
      </c>
      <c r="G1651" s="31">
        <f>CHAIN_RAW!I1649</f>
        <v/>
      </c>
      <c r="H1651" s="31">
        <f>CHAIN_RAW!Q1649</f>
        <v/>
      </c>
      <c r="I1651" s="31">
        <f>LET(pc,F1651,oc,H1651,IF(OR(pc="",oc=""),"",IF(AND(pc&gt;0,oc&gt;0),"Long Buildup",IF(AND(pc&lt;0,oc&gt;0),"Short Buildup",IF(AND(pc&gt;0,oc&lt;0),"Short Covering",IF(AND(pc&lt;0,oc&lt;0),"Long Unwinding","Flat"))))))</f>
        <v/>
      </c>
      <c r="J1651" s="31">
        <f>LET(pc,ABS(F1651),oc,ABS(H1651),IF(OR(pc="",oc=""),"",MAX(1,MIN(5,ROUND((pc*0.5+oc*0.00001)*5,0))))))</f>
        <v/>
      </c>
    </row>
    <row r="1652">
      <c r="A1652" s="31" t="n">
        <v>1650</v>
      </c>
      <c r="B1652" s="31">
        <f>CHAIN_RAW!D1650</f>
        <v/>
      </c>
      <c r="C1652" s="31">
        <f>CHAIN_RAW!A1650</f>
        <v/>
      </c>
      <c r="D1652" s="31">
        <f>CHAIN_RAW!C1650</f>
        <v/>
      </c>
      <c r="E1652" s="31">
        <f>CHAIN_RAW!E1650</f>
        <v/>
      </c>
      <c r="F1652" s="31">
        <f>CHAIN_RAW!F1650</f>
        <v/>
      </c>
      <c r="G1652" s="31">
        <f>CHAIN_RAW!I1650</f>
        <v/>
      </c>
      <c r="H1652" s="31">
        <f>CHAIN_RAW!Q1650</f>
        <v/>
      </c>
      <c r="I1652" s="31">
        <f>LET(pc,F1652,oc,H1652,IF(OR(pc="",oc=""),"",IF(AND(pc&gt;0,oc&gt;0),"Long Buildup",IF(AND(pc&lt;0,oc&gt;0),"Short Buildup",IF(AND(pc&gt;0,oc&lt;0),"Short Covering",IF(AND(pc&lt;0,oc&lt;0),"Long Unwinding","Flat"))))))</f>
        <v/>
      </c>
      <c r="J1652" s="31">
        <f>LET(pc,ABS(F1652),oc,ABS(H1652),IF(OR(pc="",oc=""),"",MAX(1,MIN(5,ROUND((pc*0.5+oc*0.00001)*5,0))))))</f>
        <v/>
      </c>
    </row>
    <row r="1653">
      <c r="A1653" s="31" t="n">
        <v>1651</v>
      </c>
      <c r="B1653" s="31">
        <f>CHAIN_RAW!D1651</f>
        <v/>
      </c>
      <c r="C1653" s="31">
        <f>CHAIN_RAW!A1651</f>
        <v/>
      </c>
      <c r="D1653" s="31">
        <f>CHAIN_RAW!C1651</f>
        <v/>
      </c>
      <c r="E1653" s="31">
        <f>CHAIN_RAW!E1651</f>
        <v/>
      </c>
      <c r="F1653" s="31">
        <f>CHAIN_RAW!F1651</f>
        <v/>
      </c>
      <c r="G1653" s="31">
        <f>CHAIN_RAW!I1651</f>
        <v/>
      </c>
      <c r="H1653" s="31">
        <f>CHAIN_RAW!Q1651</f>
        <v/>
      </c>
      <c r="I1653" s="31">
        <f>LET(pc,F1653,oc,H1653,IF(OR(pc="",oc=""),"",IF(AND(pc&gt;0,oc&gt;0),"Long Buildup",IF(AND(pc&lt;0,oc&gt;0),"Short Buildup",IF(AND(pc&gt;0,oc&lt;0),"Short Covering",IF(AND(pc&lt;0,oc&lt;0),"Long Unwinding","Flat"))))))</f>
        <v/>
      </c>
      <c r="J1653" s="31">
        <f>LET(pc,ABS(F1653),oc,ABS(H1653),IF(OR(pc="",oc=""),"",MAX(1,MIN(5,ROUND((pc*0.5+oc*0.00001)*5,0))))))</f>
        <v/>
      </c>
    </row>
    <row r="1654">
      <c r="A1654" s="31" t="n">
        <v>1652</v>
      </c>
      <c r="B1654" s="31">
        <f>CHAIN_RAW!D1652</f>
        <v/>
      </c>
      <c r="C1654" s="31">
        <f>CHAIN_RAW!A1652</f>
        <v/>
      </c>
      <c r="D1654" s="31">
        <f>CHAIN_RAW!C1652</f>
        <v/>
      </c>
      <c r="E1654" s="31">
        <f>CHAIN_RAW!E1652</f>
        <v/>
      </c>
      <c r="F1654" s="31">
        <f>CHAIN_RAW!F1652</f>
        <v/>
      </c>
      <c r="G1654" s="31">
        <f>CHAIN_RAW!I1652</f>
        <v/>
      </c>
      <c r="H1654" s="31">
        <f>CHAIN_RAW!Q1652</f>
        <v/>
      </c>
      <c r="I1654" s="31">
        <f>LET(pc,F1654,oc,H1654,IF(OR(pc="",oc=""),"",IF(AND(pc&gt;0,oc&gt;0),"Long Buildup",IF(AND(pc&lt;0,oc&gt;0),"Short Buildup",IF(AND(pc&gt;0,oc&lt;0),"Short Covering",IF(AND(pc&lt;0,oc&lt;0),"Long Unwinding","Flat"))))))</f>
        <v/>
      </c>
      <c r="J1654" s="31">
        <f>LET(pc,ABS(F1654),oc,ABS(H1654),IF(OR(pc="",oc=""),"",MAX(1,MIN(5,ROUND((pc*0.5+oc*0.00001)*5,0))))))</f>
        <v/>
      </c>
    </row>
    <row r="1655">
      <c r="A1655" s="31" t="n">
        <v>1653</v>
      </c>
      <c r="B1655" s="31">
        <f>CHAIN_RAW!D1653</f>
        <v/>
      </c>
      <c r="C1655" s="31">
        <f>CHAIN_RAW!A1653</f>
        <v/>
      </c>
      <c r="D1655" s="31">
        <f>CHAIN_RAW!C1653</f>
        <v/>
      </c>
      <c r="E1655" s="31">
        <f>CHAIN_RAW!E1653</f>
        <v/>
      </c>
      <c r="F1655" s="31">
        <f>CHAIN_RAW!F1653</f>
        <v/>
      </c>
      <c r="G1655" s="31">
        <f>CHAIN_RAW!I1653</f>
        <v/>
      </c>
      <c r="H1655" s="31">
        <f>CHAIN_RAW!Q1653</f>
        <v/>
      </c>
      <c r="I1655" s="31">
        <f>LET(pc,F1655,oc,H1655,IF(OR(pc="",oc=""),"",IF(AND(pc&gt;0,oc&gt;0),"Long Buildup",IF(AND(pc&lt;0,oc&gt;0),"Short Buildup",IF(AND(pc&gt;0,oc&lt;0),"Short Covering",IF(AND(pc&lt;0,oc&lt;0),"Long Unwinding","Flat"))))))</f>
        <v/>
      </c>
      <c r="J1655" s="31">
        <f>LET(pc,ABS(F1655),oc,ABS(H1655),IF(OR(pc="",oc=""),"",MAX(1,MIN(5,ROUND((pc*0.5+oc*0.00001)*5,0))))))</f>
        <v/>
      </c>
    </row>
    <row r="1656">
      <c r="A1656" s="31" t="n">
        <v>1654</v>
      </c>
      <c r="B1656" s="31">
        <f>CHAIN_RAW!D1654</f>
        <v/>
      </c>
      <c r="C1656" s="31">
        <f>CHAIN_RAW!A1654</f>
        <v/>
      </c>
      <c r="D1656" s="31">
        <f>CHAIN_RAW!C1654</f>
        <v/>
      </c>
      <c r="E1656" s="31">
        <f>CHAIN_RAW!E1654</f>
        <v/>
      </c>
      <c r="F1656" s="31">
        <f>CHAIN_RAW!F1654</f>
        <v/>
      </c>
      <c r="G1656" s="31">
        <f>CHAIN_RAW!I1654</f>
        <v/>
      </c>
      <c r="H1656" s="31">
        <f>CHAIN_RAW!Q1654</f>
        <v/>
      </c>
      <c r="I1656" s="31">
        <f>LET(pc,F1656,oc,H1656,IF(OR(pc="",oc=""),"",IF(AND(pc&gt;0,oc&gt;0),"Long Buildup",IF(AND(pc&lt;0,oc&gt;0),"Short Buildup",IF(AND(pc&gt;0,oc&lt;0),"Short Covering",IF(AND(pc&lt;0,oc&lt;0),"Long Unwinding","Flat"))))))</f>
        <v/>
      </c>
      <c r="J1656" s="31">
        <f>LET(pc,ABS(F1656),oc,ABS(H1656),IF(OR(pc="",oc=""),"",MAX(1,MIN(5,ROUND((pc*0.5+oc*0.00001)*5,0))))))</f>
        <v/>
      </c>
    </row>
    <row r="1657">
      <c r="A1657" s="31" t="n">
        <v>1655</v>
      </c>
      <c r="B1657" s="31">
        <f>CHAIN_RAW!D1655</f>
        <v/>
      </c>
      <c r="C1657" s="31">
        <f>CHAIN_RAW!A1655</f>
        <v/>
      </c>
      <c r="D1657" s="31">
        <f>CHAIN_RAW!C1655</f>
        <v/>
      </c>
      <c r="E1657" s="31">
        <f>CHAIN_RAW!E1655</f>
        <v/>
      </c>
      <c r="F1657" s="31">
        <f>CHAIN_RAW!F1655</f>
        <v/>
      </c>
      <c r="G1657" s="31">
        <f>CHAIN_RAW!I1655</f>
        <v/>
      </c>
      <c r="H1657" s="31">
        <f>CHAIN_RAW!Q1655</f>
        <v/>
      </c>
      <c r="I1657" s="31">
        <f>LET(pc,F1657,oc,H1657,IF(OR(pc="",oc=""),"",IF(AND(pc&gt;0,oc&gt;0),"Long Buildup",IF(AND(pc&lt;0,oc&gt;0),"Short Buildup",IF(AND(pc&gt;0,oc&lt;0),"Short Covering",IF(AND(pc&lt;0,oc&lt;0),"Long Unwinding","Flat"))))))</f>
        <v/>
      </c>
      <c r="J1657" s="31">
        <f>LET(pc,ABS(F1657),oc,ABS(H1657),IF(OR(pc="",oc=""),"",MAX(1,MIN(5,ROUND((pc*0.5+oc*0.00001)*5,0))))))</f>
        <v/>
      </c>
    </row>
    <row r="1658">
      <c r="A1658" s="31" t="n">
        <v>1656</v>
      </c>
      <c r="B1658" s="31">
        <f>CHAIN_RAW!D1656</f>
        <v/>
      </c>
      <c r="C1658" s="31">
        <f>CHAIN_RAW!A1656</f>
        <v/>
      </c>
      <c r="D1658" s="31">
        <f>CHAIN_RAW!C1656</f>
        <v/>
      </c>
      <c r="E1658" s="31">
        <f>CHAIN_RAW!E1656</f>
        <v/>
      </c>
      <c r="F1658" s="31">
        <f>CHAIN_RAW!F1656</f>
        <v/>
      </c>
      <c r="G1658" s="31">
        <f>CHAIN_RAW!I1656</f>
        <v/>
      </c>
      <c r="H1658" s="31">
        <f>CHAIN_RAW!Q1656</f>
        <v/>
      </c>
      <c r="I1658" s="31">
        <f>LET(pc,F1658,oc,H1658,IF(OR(pc="",oc=""),"",IF(AND(pc&gt;0,oc&gt;0),"Long Buildup",IF(AND(pc&lt;0,oc&gt;0),"Short Buildup",IF(AND(pc&gt;0,oc&lt;0),"Short Covering",IF(AND(pc&lt;0,oc&lt;0),"Long Unwinding","Flat"))))))</f>
        <v/>
      </c>
      <c r="J1658" s="31">
        <f>LET(pc,ABS(F1658),oc,ABS(H1658),IF(OR(pc="",oc=""),"",MAX(1,MIN(5,ROUND((pc*0.5+oc*0.00001)*5,0))))))</f>
        <v/>
      </c>
    </row>
    <row r="1659">
      <c r="A1659" s="31" t="n">
        <v>1657</v>
      </c>
      <c r="B1659" s="31">
        <f>CHAIN_RAW!D1657</f>
        <v/>
      </c>
      <c r="C1659" s="31">
        <f>CHAIN_RAW!A1657</f>
        <v/>
      </c>
      <c r="D1659" s="31">
        <f>CHAIN_RAW!C1657</f>
        <v/>
      </c>
      <c r="E1659" s="31">
        <f>CHAIN_RAW!E1657</f>
        <v/>
      </c>
      <c r="F1659" s="31">
        <f>CHAIN_RAW!F1657</f>
        <v/>
      </c>
      <c r="G1659" s="31">
        <f>CHAIN_RAW!I1657</f>
        <v/>
      </c>
      <c r="H1659" s="31">
        <f>CHAIN_RAW!Q1657</f>
        <v/>
      </c>
      <c r="I1659" s="31">
        <f>LET(pc,F1659,oc,H1659,IF(OR(pc="",oc=""),"",IF(AND(pc&gt;0,oc&gt;0),"Long Buildup",IF(AND(pc&lt;0,oc&gt;0),"Short Buildup",IF(AND(pc&gt;0,oc&lt;0),"Short Covering",IF(AND(pc&lt;0,oc&lt;0),"Long Unwinding","Flat"))))))</f>
        <v/>
      </c>
      <c r="J1659" s="31">
        <f>LET(pc,ABS(F1659),oc,ABS(H1659),IF(OR(pc="",oc=""),"",MAX(1,MIN(5,ROUND((pc*0.5+oc*0.00001)*5,0))))))</f>
        <v/>
      </c>
    </row>
    <row r="1660">
      <c r="A1660" s="31" t="n">
        <v>1658</v>
      </c>
      <c r="B1660" s="31">
        <f>CHAIN_RAW!D1658</f>
        <v/>
      </c>
      <c r="C1660" s="31">
        <f>CHAIN_RAW!A1658</f>
        <v/>
      </c>
      <c r="D1660" s="31">
        <f>CHAIN_RAW!C1658</f>
        <v/>
      </c>
      <c r="E1660" s="31">
        <f>CHAIN_RAW!E1658</f>
        <v/>
      </c>
      <c r="F1660" s="31">
        <f>CHAIN_RAW!F1658</f>
        <v/>
      </c>
      <c r="G1660" s="31">
        <f>CHAIN_RAW!I1658</f>
        <v/>
      </c>
      <c r="H1660" s="31">
        <f>CHAIN_RAW!Q1658</f>
        <v/>
      </c>
      <c r="I1660" s="31">
        <f>LET(pc,F1660,oc,H1660,IF(OR(pc="",oc=""),"",IF(AND(pc&gt;0,oc&gt;0),"Long Buildup",IF(AND(pc&lt;0,oc&gt;0),"Short Buildup",IF(AND(pc&gt;0,oc&lt;0),"Short Covering",IF(AND(pc&lt;0,oc&lt;0),"Long Unwinding","Flat"))))))</f>
        <v/>
      </c>
      <c r="J1660" s="31">
        <f>LET(pc,ABS(F1660),oc,ABS(H1660),IF(OR(pc="",oc=""),"",MAX(1,MIN(5,ROUND((pc*0.5+oc*0.00001)*5,0))))))</f>
        <v/>
      </c>
    </row>
    <row r="1661">
      <c r="A1661" s="31" t="n">
        <v>1659</v>
      </c>
      <c r="B1661" s="31">
        <f>CHAIN_RAW!D1659</f>
        <v/>
      </c>
      <c r="C1661" s="31">
        <f>CHAIN_RAW!A1659</f>
        <v/>
      </c>
      <c r="D1661" s="31">
        <f>CHAIN_RAW!C1659</f>
        <v/>
      </c>
      <c r="E1661" s="31">
        <f>CHAIN_RAW!E1659</f>
        <v/>
      </c>
      <c r="F1661" s="31">
        <f>CHAIN_RAW!F1659</f>
        <v/>
      </c>
      <c r="G1661" s="31">
        <f>CHAIN_RAW!I1659</f>
        <v/>
      </c>
      <c r="H1661" s="31">
        <f>CHAIN_RAW!Q1659</f>
        <v/>
      </c>
      <c r="I1661" s="31">
        <f>LET(pc,F1661,oc,H1661,IF(OR(pc="",oc=""),"",IF(AND(pc&gt;0,oc&gt;0),"Long Buildup",IF(AND(pc&lt;0,oc&gt;0),"Short Buildup",IF(AND(pc&gt;0,oc&lt;0),"Short Covering",IF(AND(pc&lt;0,oc&lt;0),"Long Unwinding","Flat"))))))</f>
        <v/>
      </c>
      <c r="J1661" s="31">
        <f>LET(pc,ABS(F1661),oc,ABS(H1661),IF(OR(pc="",oc=""),"",MAX(1,MIN(5,ROUND((pc*0.5+oc*0.00001)*5,0))))))</f>
        <v/>
      </c>
    </row>
    <row r="1662">
      <c r="A1662" s="31" t="n">
        <v>1660</v>
      </c>
      <c r="B1662" s="31">
        <f>CHAIN_RAW!D1660</f>
        <v/>
      </c>
      <c r="C1662" s="31">
        <f>CHAIN_RAW!A1660</f>
        <v/>
      </c>
      <c r="D1662" s="31">
        <f>CHAIN_RAW!C1660</f>
        <v/>
      </c>
      <c r="E1662" s="31">
        <f>CHAIN_RAW!E1660</f>
        <v/>
      </c>
      <c r="F1662" s="31">
        <f>CHAIN_RAW!F1660</f>
        <v/>
      </c>
      <c r="G1662" s="31">
        <f>CHAIN_RAW!I1660</f>
        <v/>
      </c>
      <c r="H1662" s="31">
        <f>CHAIN_RAW!Q1660</f>
        <v/>
      </c>
      <c r="I1662" s="31">
        <f>LET(pc,F1662,oc,H1662,IF(OR(pc="",oc=""),"",IF(AND(pc&gt;0,oc&gt;0),"Long Buildup",IF(AND(pc&lt;0,oc&gt;0),"Short Buildup",IF(AND(pc&gt;0,oc&lt;0),"Short Covering",IF(AND(pc&lt;0,oc&lt;0),"Long Unwinding","Flat"))))))</f>
        <v/>
      </c>
      <c r="J1662" s="31">
        <f>LET(pc,ABS(F1662),oc,ABS(H1662),IF(OR(pc="",oc=""),"",MAX(1,MIN(5,ROUND((pc*0.5+oc*0.00001)*5,0))))))</f>
        <v/>
      </c>
    </row>
    <row r="1663">
      <c r="A1663" s="31" t="n">
        <v>1661</v>
      </c>
      <c r="B1663" s="31">
        <f>CHAIN_RAW!D1661</f>
        <v/>
      </c>
      <c r="C1663" s="31">
        <f>CHAIN_RAW!A1661</f>
        <v/>
      </c>
      <c r="D1663" s="31">
        <f>CHAIN_RAW!C1661</f>
        <v/>
      </c>
      <c r="E1663" s="31">
        <f>CHAIN_RAW!E1661</f>
        <v/>
      </c>
      <c r="F1663" s="31">
        <f>CHAIN_RAW!F1661</f>
        <v/>
      </c>
      <c r="G1663" s="31">
        <f>CHAIN_RAW!I1661</f>
        <v/>
      </c>
      <c r="H1663" s="31">
        <f>CHAIN_RAW!Q1661</f>
        <v/>
      </c>
      <c r="I1663" s="31">
        <f>LET(pc,F1663,oc,H1663,IF(OR(pc="",oc=""),"",IF(AND(pc&gt;0,oc&gt;0),"Long Buildup",IF(AND(pc&lt;0,oc&gt;0),"Short Buildup",IF(AND(pc&gt;0,oc&lt;0),"Short Covering",IF(AND(pc&lt;0,oc&lt;0),"Long Unwinding","Flat"))))))</f>
        <v/>
      </c>
      <c r="J1663" s="31">
        <f>LET(pc,ABS(F1663),oc,ABS(H1663),IF(OR(pc="",oc=""),"",MAX(1,MIN(5,ROUND((pc*0.5+oc*0.00001)*5,0))))))</f>
        <v/>
      </c>
    </row>
    <row r="1664">
      <c r="A1664" s="31" t="n">
        <v>1662</v>
      </c>
      <c r="B1664" s="31">
        <f>CHAIN_RAW!D1662</f>
        <v/>
      </c>
      <c r="C1664" s="31">
        <f>CHAIN_RAW!A1662</f>
        <v/>
      </c>
      <c r="D1664" s="31">
        <f>CHAIN_RAW!C1662</f>
        <v/>
      </c>
      <c r="E1664" s="31">
        <f>CHAIN_RAW!E1662</f>
        <v/>
      </c>
      <c r="F1664" s="31">
        <f>CHAIN_RAW!F1662</f>
        <v/>
      </c>
      <c r="G1664" s="31">
        <f>CHAIN_RAW!I1662</f>
        <v/>
      </c>
      <c r="H1664" s="31">
        <f>CHAIN_RAW!Q1662</f>
        <v/>
      </c>
      <c r="I1664" s="31">
        <f>LET(pc,F1664,oc,H1664,IF(OR(pc="",oc=""),"",IF(AND(pc&gt;0,oc&gt;0),"Long Buildup",IF(AND(pc&lt;0,oc&gt;0),"Short Buildup",IF(AND(pc&gt;0,oc&lt;0),"Short Covering",IF(AND(pc&lt;0,oc&lt;0),"Long Unwinding","Flat"))))))</f>
        <v/>
      </c>
      <c r="J1664" s="31">
        <f>LET(pc,ABS(F1664),oc,ABS(H1664),IF(OR(pc="",oc=""),"",MAX(1,MIN(5,ROUND((pc*0.5+oc*0.00001)*5,0))))))</f>
        <v/>
      </c>
    </row>
    <row r="1665">
      <c r="A1665" s="31" t="n">
        <v>1663</v>
      </c>
      <c r="B1665" s="31">
        <f>CHAIN_RAW!D1663</f>
        <v/>
      </c>
      <c r="C1665" s="31">
        <f>CHAIN_RAW!A1663</f>
        <v/>
      </c>
      <c r="D1665" s="31">
        <f>CHAIN_RAW!C1663</f>
        <v/>
      </c>
      <c r="E1665" s="31">
        <f>CHAIN_RAW!E1663</f>
        <v/>
      </c>
      <c r="F1665" s="31">
        <f>CHAIN_RAW!F1663</f>
        <v/>
      </c>
      <c r="G1665" s="31">
        <f>CHAIN_RAW!I1663</f>
        <v/>
      </c>
      <c r="H1665" s="31">
        <f>CHAIN_RAW!Q1663</f>
        <v/>
      </c>
      <c r="I1665" s="31">
        <f>LET(pc,F1665,oc,H1665,IF(OR(pc="",oc=""),"",IF(AND(pc&gt;0,oc&gt;0),"Long Buildup",IF(AND(pc&lt;0,oc&gt;0),"Short Buildup",IF(AND(pc&gt;0,oc&lt;0),"Short Covering",IF(AND(pc&lt;0,oc&lt;0),"Long Unwinding","Flat"))))))</f>
        <v/>
      </c>
      <c r="J1665" s="31">
        <f>LET(pc,ABS(F1665),oc,ABS(H1665),IF(OR(pc="",oc=""),"",MAX(1,MIN(5,ROUND((pc*0.5+oc*0.00001)*5,0))))))</f>
        <v/>
      </c>
    </row>
    <row r="1666">
      <c r="A1666" s="31" t="n">
        <v>1664</v>
      </c>
      <c r="B1666" s="31">
        <f>CHAIN_RAW!D1664</f>
        <v/>
      </c>
      <c r="C1666" s="31">
        <f>CHAIN_RAW!A1664</f>
        <v/>
      </c>
      <c r="D1666" s="31">
        <f>CHAIN_RAW!C1664</f>
        <v/>
      </c>
      <c r="E1666" s="31">
        <f>CHAIN_RAW!E1664</f>
        <v/>
      </c>
      <c r="F1666" s="31">
        <f>CHAIN_RAW!F1664</f>
        <v/>
      </c>
      <c r="G1666" s="31">
        <f>CHAIN_RAW!I1664</f>
        <v/>
      </c>
      <c r="H1666" s="31">
        <f>CHAIN_RAW!Q1664</f>
        <v/>
      </c>
      <c r="I1666" s="31">
        <f>LET(pc,F1666,oc,H1666,IF(OR(pc="",oc=""),"",IF(AND(pc&gt;0,oc&gt;0),"Long Buildup",IF(AND(pc&lt;0,oc&gt;0),"Short Buildup",IF(AND(pc&gt;0,oc&lt;0),"Short Covering",IF(AND(pc&lt;0,oc&lt;0),"Long Unwinding","Flat"))))))</f>
        <v/>
      </c>
      <c r="J1666" s="31">
        <f>LET(pc,ABS(F1666),oc,ABS(H1666),IF(OR(pc="",oc=""),"",MAX(1,MIN(5,ROUND((pc*0.5+oc*0.00001)*5,0))))))</f>
        <v/>
      </c>
    </row>
    <row r="1667">
      <c r="A1667" s="31" t="n">
        <v>1665</v>
      </c>
      <c r="B1667" s="31">
        <f>CHAIN_RAW!D1665</f>
        <v/>
      </c>
      <c r="C1667" s="31">
        <f>CHAIN_RAW!A1665</f>
        <v/>
      </c>
      <c r="D1667" s="31">
        <f>CHAIN_RAW!C1665</f>
        <v/>
      </c>
      <c r="E1667" s="31">
        <f>CHAIN_RAW!E1665</f>
        <v/>
      </c>
      <c r="F1667" s="31">
        <f>CHAIN_RAW!F1665</f>
        <v/>
      </c>
      <c r="G1667" s="31">
        <f>CHAIN_RAW!I1665</f>
        <v/>
      </c>
      <c r="H1667" s="31">
        <f>CHAIN_RAW!Q1665</f>
        <v/>
      </c>
      <c r="I1667" s="31">
        <f>LET(pc,F1667,oc,H1667,IF(OR(pc="",oc=""),"",IF(AND(pc&gt;0,oc&gt;0),"Long Buildup",IF(AND(pc&lt;0,oc&gt;0),"Short Buildup",IF(AND(pc&gt;0,oc&lt;0),"Short Covering",IF(AND(pc&lt;0,oc&lt;0),"Long Unwinding","Flat"))))))</f>
        <v/>
      </c>
      <c r="J1667" s="31">
        <f>LET(pc,ABS(F1667),oc,ABS(H1667),IF(OR(pc="",oc=""),"",MAX(1,MIN(5,ROUND((pc*0.5+oc*0.00001)*5,0))))))</f>
        <v/>
      </c>
    </row>
    <row r="1668">
      <c r="A1668" s="31" t="n">
        <v>1666</v>
      </c>
      <c r="B1668" s="31">
        <f>CHAIN_RAW!D1666</f>
        <v/>
      </c>
      <c r="C1668" s="31">
        <f>CHAIN_RAW!A1666</f>
        <v/>
      </c>
      <c r="D1668" s="31">
        <f>CHAIN_RAW!C1666</f>
        <v/>
      </c>
      <c r="E1668" s="31">
        <f>CHAIN_RAW!E1666</f>
        <v/>
      </c>
      <c r="F1668" s="31">
        <f>CHAIN_RAW!F1666</f>
        <v/>
      </c>
      <c r="G1668" s="31">
        <f>CHAIN_RAW!I1666</f>
        <v/>
      </c>
      <c r="H1668" s="31">
        <f>CHAIN_RAW!Q1666</f>
        <v/>
      </c>
      <c r="I1668" s="31">
        <f>LET(pc,F1668,oc,H1668,IF(OR(pc="",oc=""),"",IF(AND(pc&gt;0,oc&gt;0),"Long Buildup",IF(AND(pc&lt;0,oc&gt;0),"Short Buildup",IF(AND(pc&gt;0,oc&lt;0),"Short Covering",IF(AND(pc&lt;0,oc&lt;0),"Long Unwinding","Flat"))))))</f>
        <v/>
      </c>
      <c r="J1668" s="31">
        <f>LET(pc,ABS(F1668),oc,ABS(H1668),IF(OR(pc="",oc=""),"",MAX(1,MIN(5,ROUND((pc*0.5+oc*0.00001)*5,0))))))</f>
        <v/>
      </c>
    </row>
    <row r="1669">
      <c r="A1669" s="31" t="n">
        <v>1667</v>
      </c>
      <c r="B1669" s="31">
        <f>CHAIN_RAW!D1667</f>
        <v/>
      </c>
      <c r="C1669" s="31">
        <f>CHAIN_RAW!A1667</f>
        <v/>
      </c>
      <c r="D1669" s="31">
        <f>CHAIN_RAW!C1667</f>
        <v/>
      </c>
      <c r="E1669" s="31">
        <f>CHAIN_RAW!E1667</f>
        <v/>
      </c>
      <c r="F1669" s="31">
        <f>CHAIN_RAW!F1667</f>
        <v/>
      </c>
      <c r="G1669" s="31">
        <f>CHAIN_RAW!I1667</f>
        <v/>
      </c>
      <c r="H1669" s="31">
        <f>CHAIN_RAW!Q1667</f>
        <v/>
      </c>
      <c r="I1669" s="31">
        <f>LET(pc,F1669,oc,H1669,IF(OR(pc="",oc=""),"",IF(AND(pc&gt;0,oc&gt;0),"Long Buildup",IF(AND(pc&lt;0,oc&gt;0),"Short Buildup",IF(AND(pc&gt;0,oc&lt;0),"Short Covering",IF(AND(pc&lt;0,oc&lt;0),"Long Unwinding","Flat"))))))</f>
        <v/>
      </c>
      <c r="J1669" s="31">
        <f>LET(pc,ABS(F1669),oc,ABS(H1669),IF(OR(pc="",oc=""),"",MAX(1,MIN(5,ROUND((pc*0.5+oc*0.00001)*5,0))))))</f>
        <v/>
      </c>
    </row>
    <row r="1670">
      <c r="A1670" s="31" t="n">
        <v>1668</v>
      </c>
      <c r="B1670" s="31">
        <f>CHAIN_RAW!D1668</f>
        <v/>
      </c>
      <c r="C1670" s="31">
        <f>CHAIN_RAW!A1668</f>
        <v/>
      </c>
      <c r="D1670" s="31">
        <f>CHAIN_RAW!C1668</f>
        <v/>
      </c>
      <c r="E1670" s="31">
        <f>CHAIN_RAW!E1668</f>
        <v/>
      </c>
      <c r="F1670" s="31">
        <f>CHAIN_RAW!F1668</f>
        <v/>
      </c>
      <c r="G1670" s="31">
        <f>CHAIN_RAW!I1668</f>
        <v/>
      </c>
      <c r="H1670" s="31">
        <f>CHAIN_RAW!Q1668</f>
        <v/>
      </c>
      <c r="I1670" s="31">
        <f>LET(pc,F1670,oc,H1670,IF(OR(pc="",oc=""),"",IF(AND(pc&gt;0,oc&gt;0),"Long Buildup",IF(AND(pc&lt;0,oc&gt;0),"Short Buildup",IF(AND(pc&gt;0,oc&lt;0),"Short Covering",IF(AND(pc&lt;0,oc&lt;0),"Long Unwinding","Flat"))))))</f>
        <v/>
      </c>
      <c r="J1670" s="31">
        <f>LET(pc,ABS(F1670),oc,ABS(H1670),IF(OR(pc="",oc=""),"",MAX(1,MIN(5,ROUND((pc*0.5+oc*0.00001)*5,0))))))</f>
        <v/>
      </c>
    </row>
    <row r="1671">
      <c r="A1671" s="31" t="n">
        <v>1669</v>
      </c>
      <c r="B1671" s="31">
        <f>CHAIN_RAW!D1669</f>
        <v/>
      </c>
      <c r="C1671" s="31">
        <f>CHAIN_RAW!A1669</f>
        <v/>
      </c>
      <c r="D1671" s="31">
        <f>CHAIN_RAW!C1669</f>
        <v/>
      </c>
      <c r="E1671" s="31">
        <f>CHAIN_RAW!E1669</f>
        <v/>
      </c>
      <c r="F1671" s="31">
        <f>CHAIN_RAW!F1669</f>
        <v/>
      </c>
      <c r="G1671" s="31">
        <f>CHAIN_RAW!I1669</f>
        <v/>
      </c>
      <c r="H1671" s="31">
        <f>CHAIN_RAW!Q1669</f>
        <v/>
      </c>
      <c r="I1671" s="31">
        <f>LET(pc,F1671,oc,H1671,IF(OR(pc="",oc=""),"",IF(AND(pc&gt;0,oc&gt;0),"Long Buildup",IF(AND(pc&lt;0,oc&gt;0),"Short Buildup",IF(AND(pc&gt;0,oc&lt;0),"Short Covering",IF(AND(pc&lt;0,oc&lt;0),"Long Unwinding","Flat"))))))</f>
        <v/>
      </c>
      <c r="J1671" s="31">
        <f>LET(pc,ABS(F1671),oc,ABS(H1671),IF(OR(pc="",oc=""),"",MAX(1,MIN(5,ROUND((pc*0.5+oc*0.00001)*5,0))))))</f>
        <v/>
      </c>
    </row>
    <row r="1672">
      <c r="A1672" s="31" t="n">
        <v>1670</v>
      </c>
      <c r="B1672" s="31">
        <f>CHAIN_RAW!D1670</f>
        <v/>
      </c>
      <c r="C1672" s="31">
        <f>CHAIN_RAW!A1670</f>
        <v/>
      </c>
      <c r="D1672" s="31">
        <f>CHAIN_RAW!C1670</f>
        <v/>
      </c>
      <c r="E1672" s="31">
        <f>CHAIN_RAW!E1670</f>
        <v/>
      </c>
      <c r="F1672" s="31">
        <f>CHAIN_RAW!F1670</f>
        <v/>
      </c>
      <c r="G1672" s="31">
        <f>CHAIN_RAW!I1670</f>
        <v/>
      </c>
      <c r="H1672" s="31">
        <f>CHAIN_RAW!Q1670</f>
        <v/>
      </c>
      <c r="I1672" s="31">
        <f>LET(pc,F1672,oc,H1672,IF(OR(pc="",oc=""),"",IF(AND(pc&gt;0,oc&gt;0),"Long Buildup",IF(AND(pc&lt;0,oc&gt;0),"Short Buildup",IF(AND(pc&gt;0,oc&lt;0),"Short Covering",IF(AND(pc&lt;0,oc&lt;0),"Long Unwinding","Flat"))))))</f>
        <v/>
      </c>
      <c r="J1672" s="31">
        <f>LET(pc,ABS(F1672),oc,ABS(H1672),IF(OR(pc="",oc=""),"",MAX(1,MIN(5,ROUND((pc*0.5+oc*0.00001)*5,0))))))</f>
        <v/>
      </c>
    </row>
    <row r="1673">
      <c r="A1673" s="31" t="n">
        <v>1671</v>
      </c>
      <c r="B1673" s="31">
        <f>CHAIN_RAW!D1671</f>
        <v/>
      </c>
      <c r="C1673" s="31">
        <f>CHAIN_RAW!A1671</f>
        <v/>
      </c>
      <c r="D1673" s="31">
        <f>CHAIN_RAW!C1671</f>
        <v/>
      </c>
      <c r="E1673" s="31">
        <f>CHAIN_RAW!E1671</f>
        <v/>
      </c>
      <c r="F1673" s="31">
        <f>CHAIN_RAW!F1671</f>
        <v/>
      </c>
      <c r="G1673" s="31">
        <f>CHAIN_RAW!I1671</f>
        <v/>
      </c>
      <c r="H1673" s="31">
        <f>CHAIN_RAW!Q1671</f>
        <v/>
      </c>
      <c r="I1673" s="31">
        <f>LET(pc,F1673,oc,H1673,IF(OR(pc="",oc=""),"",IF(AND(pc&gt;0,oc&gt;0),"Long Buildup",IF(AND(pc&lt;0,oc&gt;0),"Short Buildup",IF(AND(pc&gt;0,oc&lt;0),"Short Covering",IF(AND(pc&lt;0,oc&lt;0),"Long Unwinding","Flat"))))))</f>
        <v/>
      </c>
      <c r="J1673" s="31">
        <f>LET(pc,ABS(F1673),oc,ABS(H1673),IF(OR(pc="",oc=""),"",MAX(1,MIN(5,ROUND((pc*0.5+oc*0.00001)*5,0))))))</f>
        <v/>
      </c>
    </row>
    <row r="1674">
      <c r="A1674" s="31" t="n">
        <v>1672</v>
      </c>
      <c r="B1674" s="31">
        <f>CHAIN_RAW!D1672</f>
        <v/>
      </c>
      <c r="C1674" s="31">
        <f>CHAIN_RAW!A1672</f>
        <v/>
      </c>
      <c r="D1674" s="31">
        <f>CHAIN_RAW!C1672</f>
        <v/>
      </c>
      <c r="E1674" s="31">
        <f>CHAIN_RAW!E1672</f>
        <v/>
      </c>
      <c r="F1674" s="31">
        <f>CHAIN_RAW!F1672</f>
        <v/>
      </c>
      <c r="G1674" s="31">
        <f>CHAIN_RAW!I1672</f>
        <v/>
      </c>
      <c r="H1674" s="31">
        <f>CHAIN_RAW!Q1672</f>
        <v/>
      </c>
      <c r="I1674" s="31">
        <f>LET(pc,F1674,oc,H1674,IF(OR(pc="",oc=""),"",IF(AND(pc&gt;0,oc&gt;0),"Long Buildup",IF(AND(pc&lt;0,oc&gt;0),"Short Buildup",IF(AND(pc&gt;0,oc&lt;0),"Short Covering",IF(AND(pc&lt;0,oc&lt;0),"Long Unwinding","Flat"))))))</f>
        <v/>
      </c>
      <c r="J1674" s="31">
        <f>LET(pc,ABS(F1674),oc,ABS(H1674),IF(OR(pc="",oc=""),"",MAX(1,MIN(5,ROUND((pc*0.5+oc*0.00001)*5,0))))))</f>
        <v/>
      </c>
    </row>
    <row r="1675">
      <c r="A1675" s="31" t="n">
        <v>1673</v>
      </c>
      <c r="B1675" s="31">
        <f>CHAIN_RAW!D1673</f>
        <v/>
      </c>
      <c r="C1675" s="31">
        <f>CHAIN_RAW!A1673</f>
        <v/>
      </c>
      <c r="D1675" s="31">
        <f>CHAIN_RAW!C1673</f>
        <v/>
      </c>
      <c r="E1675" s="31">
        <f>CHAIN_RAW!E1673</f>
        <v/>
      </c>
      <c r="F1675" s="31">
        <f>CHAIN_RAW!F1673</f>
        <v/>
      </c>
      <c r="G1675" s="31">
        <f>CHAIN_RAW!I1673</f>
        <v/>
      </c>
      <c r="H1675" s="31">
        <f>CHAIN_RAW!Q1673</f>
        <v/>
      </c>
      <c r="I1675" s="31">
        <f>LET(pc,F1675,oc,H1675,IF(OR(pc="",oc=""),"",IF(AND(pc&gt;0,oc&gt;0),"Long Buildup",IF(AND(pc&lt;0,oc&gt;0),"Short Buildup",IF(AND(pc&gt;0,oc&lt;0),"Short Covering",IF(AND(pc&lt;0,oc&lt;0),"Long Unwinding","Flat"))))))</f>
        <v/>
      </c>
      <c r="J1675" s="31">
        <f>LET(pc,ABS(F1675),oc,ABS(H1675),IF(OR(pc="",oc=""),"",MAX(1,MIN(5,ROUND((pc*0.5+oc*0.00001)*5,0))))))</f>
        <v/>
      </c>
    </row>
    <row r="1676">
      <c r="A1676" s="31" t="n">
        <v>1674</v>
      </c>
      <c r="B1676" s="31">
        <f>CHAIN_RAW!D1674</f>
        <v/>
      </c>
      <c r="C1676" s="31">
        <f>CHAIN_RAW!A1674</f>
        <v/>
      </c>
      <c r="D1676" s="31">
        <f>CHAIN_RAW!C1674</f>
        <v/>
      </c>
      <c r="E1676" s="31">
        <f>CHAIN_RAW!E1674</f>
        <v/>
      </c>
      <c r="F1676" s="31">
        <f>CHAIN_RAW!F1674</f>
        <v/>
      </c>
      <c r="G1676" s="31">
        <f>CHAIN_RAW!I1674</f>
        <v/>
      </c>
      <c r="H1676" s="31">
        <f>CHAIN_RAW!Q1674</f>
        <v/>
      </c>
      <c r="I1676" s="31">
        <f>LET(pc,F1676,oc,H1676,IF(OR(pc="",oc=""),"",IF(AND(pc&gt;0,oc&gt;0),"Long Buildup",IF(AND(pc&lt;0,oc&gt;0),"Short Buildup",IF(AND(pc&gt;0,oc&lt;0),"Short Covering",IF(AND(pc&lt;0,oc&lt;0),"Long Unwinding","Flat"))))))</f>
        <v/>
      </c>
      <c r="J1676" s="31">
        <f>LET(pc,ABS(F1676),oc,ABS(H1676),IF(OR(pc="",oc=""),"",MAX(1,MIN(5,ROUND((pc*0.5+oc*0.00001)*5,0))))))</f>
        <v/>
      </c>
    </row>
    <row r="1677">
      <c r="A1677" s="31" t="n">
        <v>1675</v>
      </c>
      <c r="B1677" s="31">
        <f>CHAIN_RAW!D1675</f>
        <v/>
      </c>
      <c r="C1677" s="31">
        <f>CHAIN_RAW!A1675</f>
        <v/>
      </c>
      <c r="D1677" s="31">
        <f>CHAIN_RAW!C1675</f>
        <v/>
      </c>
      <c r="E1677" s="31">
        <f>CHAIN_RAW!E1675</f>
        <v/>
      </c>
      <c r="F1677" s="31">
        <f>CHAIN_RAW!F1675</f>
        <v/>
      </c>
      <c r="G1677" s="31">
        <f>CHAIN_RAW!I1675</f>
        <v/>
      </c>
      <c r="H1677" s="31">
        <f>CHAIN_RAW!Q1675</f>
        <v/>
      </c>
      <c r="I1677" s="31">
        <f>LET(pc,F1677,oc,H1677,IF(OR(pc="",oc=""),"",IF(AND(pc&gt;0,oc&gt;0),"Long Buildup",IF(AND(pc&lt;0,oc&gt;0),"Short Buildup",IF(AND(pc&gt;0,oc&lt;0),"Short Covering",IF(AND(pc&lt;0,oc&lt;0),"Long Unwinding","Flat"))))))</f>
        <v/>
      </c>
      <c r="J1677" s="31">
        <f>LET(pc,ABS(F1677),oc,ABS(H1677),IF(OR(pc="",oc=""),"",MAX(1,MIN(5,ROUND((pc*0.5+oc*0.00001)*5,0))))))</f>
        <v/>
      </c>
    </row>
    <row r="1678">
      <c r="A1678" s="31" t="n">
        <v>1676</v>
      </c>
      <c r="B1678" s="31">
        <f>CHAIN_RAW!D1676</f>
        <v/>
      </c>
      <c r="C1678" s="31">
        <f>CHAIN_RAW!A1676</f>
        <v/>
      </c>
      <c r="D1678" s="31">
        <f>CHAIN_RAW!C1676</f>
        <v/>
      </c>
      <c r="E1678" s="31">
        <f>CHAIN_RAW!E1676</f>
        <v/>
      </c>
      <c r="F1678" s="31">
        <f>CHAIN_RAW!F1676</f>
        <v/>
      </c>
      <c r="G1678" s="31">
        <f>CHAIN_RAW!I1676</f>
        <v/>
      </c>
      <c r="H1678" s="31">
        <f>CHAIN_RAW!Q1676</f>
        <v/>
      </c>
      <c r="I1678" s="31">
        <f>LET(pc,F1678,oc,H1678,IF(OR(pc="",oc=""),"",IF(AND(pc&gt;0,oc&gt;0),"Long Buildup",IF(AND(pc&lt;0,oc&gt;0),"Short Buildup",IF(AND(pc&gt;0,oc&lt;0),"Short Covering",IF(AND(pc&lt;0,oc&lt;0),"Long Unwinding","Flat"))))))</f>
        <v/>
      </c>
      <c r="J1678" s="31">
        <f>LET(pc,ABS(F1678),oc,ABS(H1678),IF(OR(pc="",oc=""),"",MAX(1,MIN(5,ROUND((pc*0.5+oc*0.00001)*5,0))))))</f>
        <v/>
      </c>
    </row>
    <row r="1679">
      <c r="A1679" s="31" t="n">
        <v>1677</v>
      </c>
      <c r="B1679" s="31">
        <f>CHAIN_RAW!D1677</f>
        <v/>
      </c>
      <c r="C1679" s="31">
        <f>CHAIN_RAW!A1677</f>
        <v/>
      </c>
      <c r="D1679" s="31">
        <f>CHAIN_RAW!C1677</f>
        <v/>
      </c>
      <c r="E1679" s="31">
        <f>CHAIN_RAW!E1677</f>
        <v/>
      </c>
      <c r="F1679" s="31">
        <f>CHAIN_RAW!F1677</f>
        <v/>
      </c>
      <c r="G1679" s="31">
        <f>CHAIN_RAW!I1677</f>
        <v/>
      </c>
      <c r="H1679" s="31">
        <f>CHAIN_RAW!Q1677</f>
        <v/>
      </c>
      <c r="I1679" s="31">
        <f>LET(pc,F1679,oc,H1679,IF(OR(pc="",oc=""),"",IF(AND(pc&gt;0,oc&gt;0),"Long Buildup",IF(AND(pc&lt;0,oc&gt;0),"Short Buildup",IF(AND(pc&gt;0,oc&lt;0),"Short Covering",IF(AND(pc&lt;0,oc&lt;0),"Long Unwinding","Flat"))))))</f>
        <v/>
      </c>
      <c r="J1679" s="31">
        <f>LET(pc,ABS(F1679),oc,ABS(H1679),IF(OR(pc="",oc=""),"",MAX(1,MIN(5,ROUND((pc*0.5+oc*0.00001)*5,0))))))</f>
        <v/>
      </c>
    </row>
    <row r="1680">
      <c r="A1680" s="31" t="n">
        <v>1678</v>
      </c>
      <c r="B1680" s="31">
        <f>CHAIN_RAW!D1678</f>
        <v/>
      </c>
      <c r="C1680" s="31">
        <f>CHAIN_RAW!A1678</f>
        <v/>
      </c>
      <c r="D1680" s="31">
        <f>CHAIN_RAW!C1678</f>
        <v/>
      </c>
      <c r="E1680" s="31">
        <f>CHAIN_RAW!E1678</f>
        <v/>
      </c>
      <c r="F1680" s="31">
        <f>CHAIN_RAW!F1678</f>
        <v/>
      </c>
      <c r="G1680" s="31">
        <f>CHAIN_RAW!I1678</f>
        <v/>
      </c>
      <c r="H1680" s="31">
        <f>CHAIN_RAW!Q1678</f>
        <v/>
      </c>
      <c r="I1680" s="31">
        <f>LET(pc,F1680,oc,H1680,IF(OR(pc="",oc=""),"",IF(AND(pc&gt;0,oc&gt;0),"Long Buildup",IF(AND(pc&lt;0,oc&gt;0),"Short Buildup",IF(AND(pc&gt;0,oc&lt;0),"Short Covering",IF(AND(pc&lt;0,oc&lt;0),"Long Unwinding","Flat"))))))</f>
        <v/>
      </c>
      <c r="J1680" s="31">
        <f>LET(pc,ABS(F1680),oc,ABS(H1680),IF(OR(pc="",oc=""),"",MAX(1,MIN(5,ROUND((pc*0.5+oc*0.00001)*5,0))))))</f>
        <v/>
      </c>
    </row>
    <row r="1681">
      <c r="A1681" s="31" t="n">
        <v>1679</v>
      </c>
      <c r="B1681" s="31">
        <f>CHAIN_RAW!D1679</f>
        <v/>
      </c>
      <c r="C1681" s="31">
        <f>CHAIN_RAW!A1679</f>
        <v/>
      </c>
      <c r="D1681" s="31">
        <f>CHAIN_RAW!C1679</f>
        <v/>
      </c>
      <c r="E1681" s="31">
        <f>CHAIN_RAW!E1679</f>
        <v/>
      </c>
      <c r="F1681" s="31">
        <f>CHAIN_RAW!F1679</f>
        <v/>
      </c>
      <c r="G1681" s="31">
        <f>CHAIN_RAW!I1679</f>
        <v/>
      </c>
      <c r="H1681" s="31">
        <f>CHAIN_RAW!Q1679</f>
        <v/>
      </c>
      <c r="I1681" s="31">
        <f>LET(pc,F1681,oc,H1681,IF(OR(pc="",oc=""),"",IF(AND(pc&gt;0,oc&gt;0),"Long Buildup",IF(AND(pc&lt;0,oc&gt;0),"Short Buildup",IF(AND(pc&gt;0,oc&lt;0),"Short Covering",IF(AND(pc&lt;0,oc&lt;0),"Long Unwinding","Flat"))))))</f>
        <v/>
      </c>
      <c r="J1681" s="31">
        <f>LET(pc,ABS(F1681),oc,ABS(H1681),IF(OR(pc="",oc=""),"",MAX(1,MIN(5,ROUND((pc*0.5+oc*0.00001)*5,0))))))</f>
        <v/>
      </c>
    </row>
    <row r="1682">
      <c r="A1682" s="31" t="n">
        <v>1680</v>
      </c>
      <c r="B1682" s="31">
        <f>CHAIN_RAW!D1680</f>
        <v/>
      </c>
      <c r="C1682" s="31">
        <f>CHAIN_RAW!A1680</f>
        <v/>
      </c>
      <c r="D1682" s="31">
        <f>CHAIN_RAW!C1680</f>
        <v/>
      </c>
      <c r="E1682" s="31">
        <f>CHAIN_RAW!E1680</f>
        <v/>
      </c>
      <c r="F1682" s="31">
        <f>CHAIN_RAW!F1680</f>
        <v/>
      </c>
      <c r="G1682" s="31">
        <f>CHAIN_RAW!I1680</f>
        <v/>
      </c>
      <c r="H1682" s="31">
        <f>CHAIN_RAW!Q1680</f>
        <v/>
      </c>
      <c r="I1682" s="31">
        <f>LET(pc,F1682,oc,H1682,IF(OR(pc="",oc=""),"",IF(AND(pc&gt;0,oc&gt;0),"Long Buildup",IF(AND(pc&lt;0,oc&gt;0),"Short Buildup",IF(AND(pc&gt;0,oc&lt;0),"Short Covering",IF(AND(pc&lt;0,oc&lt;0),"Long Unwinding","Flat"))))))</f>
        <v/>
      </c>
      <c r="J1682" s="31">
        <f>LET(pc,ABS(F1682),oc,ABS(H1682),IF(OR(pc="",oc=""),"",MAX(1,MIN(5,ROUND((pc*0.5+oc*0.00001)*5,0))))))</f>
        <v/>
      </c>
    </row>
    <row r="1683">
      <c r="A1683" s="31" t="n">
        <v>1681</v>
      </c>
      <c r="B1683" s="31">
        <f>CHAIN_RAW!D1681</f>
        <v/>
      </c>
      <c r="C1683" s="31">
        <f>CHAIN_RAW!A1681</f>
        <v/>
      </c>
      <c r="D1683" s="31">
        <f>CHAIN_RAW!C1681</f>
        <v/>
      </c>
      <c r="E1683" s="31">
        <f>CHAIN_RAW!E1681</f>
        <v/>
      </c>
      <c r="F1683" s="31">
        <f>CHAIN_RAW!F1681</f>
        <v/>
      </c>
      <c r="G1683" s="31">
        <f>CHAIN_RAW!I1681</f>
        <v/>
      </c>
      <c r="H1683" s="31">
        <f>CHAIN_RAW!Q1681</f>
        <v/>
      </c>
      <c r="I1683" s="31">
        <f>LET(pc,F1683,oc,H1683,IF(OR(pc="",oc=""),"",IF(AND(pc&gt;0,oc&gt;0),"Long Buildup",IF(AND(pc&lt;0,oc&gt;0),"Short Buildup",IF(AND(pc&gt;0,oc&lt;0),"Short Covering",IF(AND(pc&lt;0,oc&lt;0),"Long Unwinding","Flat"))))))</f>
        <v/>
      </c>
      <c r="J1683" s="31">
        <f>LET(pc,ABS(F1683),oc,ABS(H1683),IF(OR(pc="",oc=""),"",MAX(1,MIN(5,ROUND((pc*0.5+oc*0.00001)*5,0))))))</f>
        <v/>
      </c>
    </row>
    <row r="1684">
      <c r="A1684" s="31" t="n">
        <v>1682</v>
      </c>
      <c r="B1684" s="31">
        <f>CHAIN_RAW!D1682</f>
        <v/>
      </c>
      <c r="C1684" s="31">
        <f>CHAIN_RAW!A1682</f>
        <v/>
      </c>
      <c r="D1684" s="31">
        <f>CHAIN_RAW!C1682</f>
        <v/>
      </c>
      <c r="E1684" s="31">
        <f>CHAIN_RAW!E1682</f>
        <v/>
      </c>
      <c r="F1684" s="31">
        <f>CHAIN_RAW!F1682</f>
        <v/>
      </c>
      <c r="G1684" s="31">
        <f>CHAIN_RAW!I1682</f>
        <v/>
      </c>
      <c r="H1684" s="31">
        <f>CHAIN_RAW!Q1682</f>
        <v/>
      </c>
      <c r="I1684" s="31">
        <f>LET(pc,F1684,oc,H1684,IF(OR(pc="",oc=""),"",IF(AND(pc&gt;0,oc&gt;0),"Long Buildup",IF(AND(pc&lt;0,oc&gt;0),"Short Buildup",IF(AND(pc&gt;0,oc&lt;0),"Short Covering",IF(AND(pc&lt;0,oc&lt;0),"Long Unwinding","Flat"))))))</f>
        <v/>
      </c>
      <c r="J1684" s="31">
        <f>LET(pc,ABS(F1684),oc,ABS(H1684),IF(OR(pc="",oc=""),"",MAX(1,MIN(5,ROUND((pc*0.5+oc*0.00001)*5,0))))))</f>
        <v/>
      </c>
    </row>
    <row r="1685">
      <c r="A1685" s="31" t="n">
        <v>1683</v>
      </c>
      <c r="B1685" s="31">
        <f>CHAIN_RAW!D1683</f>
        <v/>
      </c>
      <c r="C1685" s="31">
        <f>CHAIN_RAW!A1683</f>
        <v/>
      </c>
      <c r="D1685" s="31">
        <f>CHAIN_RAW!C1683</f>
        <v/>
      </c>
      <c r="E1685" s="31">
        <f>CHAIN_RAW!E1683</f>
        <v/>
      </c>
      <c r="F1685" s="31">
        <f>CHAIN_RAW!F1683</f>
        <v/>
      </c>
      <c r="G1685" s="31">
        <f>CHAIN_RAW!I1683</f>
        <v/>
      </c>
      <c r="H1685" s="31">
        <f>CHAIN_RAW!Q1683</f>
        <v/>
      </c>
      <c r="I1685" s="31">
        <f>LET(pc,F1685,oc,H1685,IF(OR(pc="",oc=""),"",IF(AND(pc&gt;0,oc&gt;0),"Long Buildup",IF(AND(pc&lt;0,oc&gt;0),"Short Buildup",IF(AND(pc&gt;0,oc&lt;0),"Short Covering",IF(AND(pc&lt;0,oc&lt;0),"Long Unwinding","Flat"))))))</f>
        <v/>
      </c>
      <c r="J1685" s="31">
        <f>LET(pc,ABS(F1685),oc,ABS(H1685),IF(OR(pc="",oc=""),"",MAX(1,MIN(5,ROUND((pc*0.5+oc*0.00001)*5,0))))))</f>
        <v/>
      </c>
    </row>
    <row r="1686">
      <c r="A1686" s="31" t="n">
        <v>1684</v>
      </c>
      <c r="B1686" s="31">
        <f>CHAIN_RAW!D1684</f>
        <v/>
      </c>
      <c r="C1686" s="31">
        <f>CHAIN_RAW!A1684</f>
        <v/>
      </c>
      <c r="D1686" s="31">
        <f>CHAIN_RAW!C1684</f>
        <v/>
      </c>
      <c r="E1686" s="31">
        <f>CHAIN_RAW!E1684</f>
        <v/>
      </c>
      <c r="F1686" s="31">
        <f>CHAIN_RAW!F1684</f>
        <v/>
      </c>
      <c r="G1686" s="31">
        <f>CHAIN_RAW!I1684</f>
        <v/>
      </c>
      <c r="H1686" s="31">
        <f>CHAIN_RAW!Q1684</f>
        <v/>
      </c>
      <c r="I1686" s="31">
        <f>LET(pc,F1686,oc,H1686,IF(OR(pc="",oc=""),"",IF(AND(pc&gt;0,oc&gt;0),"Long Buildup",IF(AND(pc&lt;0,oc&gt;0),"Short Buildup",IF(AND(pc&gt;0,oc&lt;0),"Short Covering",IF(AND(pc&lt;0,oc&lt;0),"Long Unwinding","Flat"))))))</f>
        <v/>
      </c>
      <c r="J1686" s="31">
        <f>LET(pc,ABS(F1686),oc,ABS(H1686),IF(OR(pc="",oc=""),"",MAX(1,MIN(5,ROUND((pc*0.5+oc*0.00001)*5,0))))))</f>
        <v/>
      </c>
    </row>
    <row r="1687">
      <c r="A1687" s="31" t="n">
        <v>1685</v>
      </c>
      <c r="B1687" s="31">
        <f>CHAIN_RAW!D1685</f>
        <v/>
      </c>
      <c r="C1687" s="31">
        <f>CHAIN_RAW!A1685</f>
        <v/>
      </c>
      <c r="D1687" s="31">
        <f>CHAIN_RAW!C1685</f>
        <v/>
      </c>
      <c r="E1687" s="31">
        <f>CHAIN_RAW!E1685</f>
        <v/>
      </c>
      <c r="F1687" s="31">
        <f>CHAIN_RAW!F1685</f>
        <v/>
      </c>
      <c r="G1687" s="31">
        <f>CHAIN_RAW!I1685</f>
        <v/>
      </c>
      <c r="H1687" s="31">
        <f>CHAIN_RAW!Q1685</f>
        <v/>
      </c>
      <c r="I1687" s="31">
        <f>LET(pc,F1687,oc,H1687,IF(OR(pc="",oc=""),"",IF(AND(pc&gt;0,oc&gt;0),"Long Buildup",IF(AND(pc&lt;0,oc&gt;0),"Short Buildup",IF(AND(pc&gt;0,oc&lt;0),"Short Covering",IF(AND(pc&lt;0,oc&lt;0),"Long Unwinding","Flat"))))))</f>
        <v/>
      </c>
      <c r="J1687" s="31">
        <f>LET(pc,ABS(F1687),oc,ABS(H1687),IF(OR(pc="",oc=""),"",MAX(1,MIN(5,ROUND((pc*0.5+oc*0.00001)*5,0))))))</f>
        <v/>
      </c>
    </row>
    <row r="1688">
      <c r="A1688" s="31" t="n">
        <v>1686</v>
      </c>
      <c r="B1688" s="31">
        <f>CHAIN_RAW!D1686</f>
        <v/>
      </c>
      <c r="C1688" s="31">
        <f>CHAIN_RAW!A1686</f>
        <v/>
      </c>
      <c r="D1688" s="31">
        <f>CHAIN_RAW!C1686</f>
        <v/>
      </c>
      <c r="E1688" s="31">
        <f>CHAIN_RAW!E1686</f>
        <v/>
      </c>
      <c r="F1688" s="31">
        <f>CHAIN_RAW!F1686</f>
        <v/>
      </c>
      <c r="G1688" s="31">
        <f>CHAIN_RAW!I1686</f>
        <v/>
      </c>
      <c r="H1688" s="31">
        <f>CHAIN_RAW!Q1686</f>
        <v/>
      </c>
      <c r="I1688" s="31">
        <f>LET(pc,F1688,oc,H1688,IF(OR(pc="",oc=""),"",IF(AND(pc&gt;0,oc&gt;0),"Long Buildup",IF(AND(pc&lt;0,oc&gt;0),"Short Buildup",IF(AND(pc&gt;0,oc&lt;0),"Short Covering",IF(AND(pc&lt;0,oc&lt;0),"Long Unwinding","Flat"))))))</f>
        <v/>
      </c>
      <c r="J1688" s="31">
        <f>LET(pc,ABS(F1688),oc,ABS(H1688),IF(OR(pc="",oc=""),"",MAX(1,MIN(5,ROUND((pc*0.5+oc*0.00001)*5,0))))))</f>
        <v/>
      </c>
    </row>
    <row r="1689">
      <c r="A1689" s="31" t="n">
        <v>1687</v>
      </c>
      <c r="B1689" s="31">
        <f>CHAIN_RAW!D1687</f>
        <v/>
      </c>
      <c r="C1689" s="31">
        <f>CHAIN_RAW!A1687</f>
        <v/>
      </c>
      <c r="D1689" s="31">
        <f>CHAIN_RAW!C1687</f>
        <v/>
      </c>
      <c r="E1689" s="31">
        <f>CHAIN_RAW!E1687</f>
        <v/>
      </c>
      <c r="F1689" s="31">
        <f>CHAIN_RAW!F1687</f>
        <v/>
      </c>
      <c r="G1689" s="31">
        <f>CHAIN_RAW!I1687</f>
        <v/>
      </c>
      <c r="H1689" s="31">
        <f>CHAIN_RAW!Q1687</f>
        <v/>
      </c>
      <c r="I1689" s="31">
        <f>LET(pc,F1689,oc,H1689,IF(OR(pc="",oc=""),"",IF(AND(pc&gt;0,oc&gt;0),"Long Buildup",IF(AND(pc&lt;0,oc&gt;0),"Short Buildup",IF(AND(pc&gt;0,oc&lt;0),"Short Covering",IF(AND(pc&lt;0,oc&lt;0),"Long Unwinding","Flat"))))))</f>
        <v/>
      </c>
      <c r="J1689" s="31">
        <f>LET(pc,ABS(F1689),oc,ABS(H1689),IF(OR(pc="",oc=""),"",MAX(1,MIN(5,ROUND((pc*0.5+oc*0.00001)*5,0))))))</f>
        <v/>
      </c>
    </row>
    <row r="1690">
      <c r="A1690" s="31" t="n">
        <v>1688</v>
      </c>
      <c r="B1690" s="31">
        <f>CHAIN_RAW!D1688</f>
        <v/>
      </c>
      <c r="C1690" s="31">
        <f>CHAIN_RAW!A1688</f>
        <v/>
      </c>
      <c r="D1690" s="31">
        <f>CHAIN_RAW!C1688</f>
        <v/>
      </c>
      <c r="E1690" s="31">
        <f>CHAIN_RAW!E1688</f>
        <v/>
      </c>
      <c r="F1690" s="31">
        <f>CHAIN_RAW!F1688</f>
        <v/>
      </c>
      <c r="G1690" s="31">
        <f>CHAIN_RAW!I1688</f>
        <v/>
      </c>
      <c r="H1690" s="31">
        <f>CHAIN_RAW!Q1688</f>
        <v/>
      </c>
      <c r="I1690" s="31">
        <f>LET(pc,F1690,oc,H1690,IF(OR(pc="",oc=""),"",IF(AND(pc&gt;0,oc&gt;0),"Long Buildup",IF(AND(pc&lt;0,oc&gt;0),"Short Buildup",IF(AND(pc&gt;0,oc&lt;0),"Short Covering",IF(AND(pc&lt;0,oc&lt;0),"Long Unwinding","Flat"))))))</f>
        <v/>
      </c>
      <c r="J1690" s="31">
        <f>LET(pc,ABS(F1690),oc,ABS(H1690),IF(OR(pc="",oc=""),"",MAX(1,MIN(5,ROUND((pc*0.5+oc*0.00001)*5,0))))))</f>
        <v/>
      </c>
    </row>
    <row r="1691">
      <c r="A1691" s="31" t="n">
        <v>1689</v>
      </c>
      <c r="B1691" s="31">
        <f>CHAIN_RAW!D1689</f>
        <v/>
      </c>
      <c r="C1691" s="31">
        <f>CHAIN_RAW!A1689</f>
        <v/>
      </c>
      <c r="D1691" s="31">
        <f>CHAIN_RAW!C1689</f>
        <v/>
      </c>
      <c r="E1691" s="31">
        <f>CHAIN_RAW!E1689</f>
        <v/>
      </c>
      <c r="F1691" s="31">
        <f>CHAIN_RAW!F1689</f>
        <v/>
      </c>
      <c r="G1691" s="31">
        <f>CHAIN_RAW!I1689</f>
        <v/>
      </c>
      <c r="H1691" s="31">
        <f>CHAIN_RAW!Q1689</f>
        <v/>
      </c>
      <c r="I1691" s="31">
        <f>LET(pc,F1691,oc,H1691,IF(OR(pc="",oc=""),"",IF(AND(pc&gt;0,oc&gt;0),"Long Buildup",IF(AND(pc&lt;0,oc&gt;0),"Short Buildup",IF(AND(pc&gt;0,oc&lt;0),"Short Covering",IF(AND(pc&lt;0,oc&lt;0),"Long Unwinding","Flat"))))))</f>
        <v/>
      </c>
      <c r="J1691" s="31">
        <f>LET(pc,ABS(F1691),oc,ABS(H1691),IF(OR(pc="",oc=""),"",MAX(1,MIN(5,ROUND((pc*0.5+oc*0.00001)*5,0))))))</f>
        <v/>
      </c>
    </row>
    <row r="1692">
      <c r="A1692" s="31" t="n">
        <v>1690</v>
      </c>
      <c r="B1692" s="31">
        <f>CHAIN_RAW!D1690</f>
        <v/>
      </c>
      <c r="C1692" s="31">
        <f>CHAIN_RAW!A1690</f>
        <v/>
      </c>
      <c r="D1692" s="31">
        <f>CHAIN_RAW!C1690</f>
        <v/>
      </c>
      <c r="E1692" s="31">
        <f>CHAIN_RAW!E1690</f>
        <v/>
      </c>
      <c r="F1692" s="31">
        <f>CHAIN_RAW!F1690</f>
        <v/>
      </c>
      <c r="G1692" s="31">
        <f>CHAIN_RAW!I1690</f>
        <v/>
      </c>
      <c r="H1692" s="31">
        <f>CHAIN_RAW!Q1690</f>
        <v/>
      </c>
      <c r="I1692" s="31">
        <f>LET(pc,F1692,oc,H1692,IF(OR(pc="",oc=""),"",IF(AND(pc&gt;0,oc&gt;0),"Long Buildup",IF(AND(pc&lt;0,oc&gt;0),"Short Buildup",IF(AND(pc&gt;0,oc&lt;0),"Short Covering",IF(AND(pc&lt;0,oc&lt;0),"Long Unwinding","Flat"))))))</f>
        <v/>
      </c>
      <c r="J1692" s="31">
        <f>LET(pc,ABS(F1692),oc,ABS(H1692),IF(OR(pc="",oc=""),"",MAX(1,MIN(5,ROUND((pc*0.5+oc*0.00001)*5,0))))))</f>
        <v/>
      </c>
    </row>
    <row r="1693">
      <c r="A1693" s="31" t="n">
        <v>1691</v>
      </c>
      <c r="B1693" s="31">
        <f>CHAIN_RAW!D1691</f>
        <v/>
      </c>
      <c r="C1693" s="31">
        <f>CHAIN_RAW!A1691</f>
        <v/>
      </c>
      <c r="D1693" s="31">
        <f>CHAIN_RAW!C1691</f>
        <v/>
      </c>
      <c r="E1693" s="31">
        <f>CHAIN_RAW!E1691</f>
        <v/>
      </c>
      <c r="F1693" s="31">
        <f>CHAIN_RAW!F1691</f>
        <v/>
      </c>
      <c r="G1693" s="31">
        <f>CHAIN_RAW!I1691</f>
        <v/>
      </c>
      <c r="H1693" s="31">
        <f>CHAIN_RAW!Q1691</f>
        <v/>
      </c>
      <c r="I1693" s="31">
        <f>LET(pc,F1693,oc,H1693,IF(OR(pc="",oc=""),"",IF(AND(pc&gt;0,oc&gt;0),"Long Buildup",IF(AND(pc&lt;0,oc&gt;0),"Short Buildup",IF(AND(pc&gt;0,oc&lt;0),"Short Covering",IF(AND(pc&lt;0,oc&lt;0),"Long Unwinding","Flat"))))))</f>
        <v/>
      </c>
      <c r="J1693" s="31">
        <f>LET(pc,ABS(F1693),oc,ABS(H1693),IF(OR(pc="",oc=""),"",MAX(1,MIN(5,ROUND((pc*0.5+oc*0.00001)*5,0))))))</f>
        <v/>
      </c>
    </row>
    <row r="1694">
      <c r="A1694" s="31" t="n">
        <v>1692</v>
      </c>
      <c r="B1694" s="31">
        <f>CHAIN_RAW!D1692</f>
        <v/>
      </c>
      <c r="C1694" s="31">
        <f>CHAIN_RAW!A1692</f>
        <v/>
      </c>
      <c r="D1694" s="31">
        <f>CHAIN_RAW!C1692</f>
        <v/>
      </c>
      <c r="E1694" s="31">
        <f>CHAIN_RAW!E1692</f>
        <v/>
      </c>
      <c r="F1694" s="31">
        <f>CHAIN_RAW!F1692</f>
        <v/>
      </c>
      <c r="G1694" s="31">
        <f>CHAIN_RAW!I1692</f>
        <v/>
      </c>
      <c r="H1694" s="31">
        <f>CHAIN_RAW!Q1692</f>
        <v/>
      </c>
      <c r="I1694" s="31">
        <f>LET(pc,F1694,oc,H1694,IF(OR(pc="",oc=""),"",IF(AND(pc&gt;0,oc&gt;0),"Long Buildup",IF(AND(pc&lt;0,oc&gt;0),"Short Buildup",IF(AND(pc&gt;0,oc&lt;0),"Short Covering",IF(AND(pc&lt;0,oc&lt;0),"Long Unwinding","Flat"))))))</f>
        <v/>
      </c>
      <c r="J1694" s="31">
        <f>LET(pc,ABS(F1694),oc,ABS(H1694),IF(OR(pc="",oc=""),"",MAX(1,MIN(5,ROUND((pc*0.5+oc*0.00001)*5,0))))))</f>
        <v/>
      </c>
    </row>
    <row r="1695">
      <c r="A1695" s="31" t="n">
        <v>1693</v>
      </c>
      <c r="B1695" s="31">
        <f>CHAIN_RAW!D1693</f>
        <v/>
      </c>
      <c r="C1695" s="31">
        <f>CHAIN_RAW!A1693</f>
        <v/>
      </c>
      <c r="D1695" s="31">
        <f>CHAIN_RAW!C1693</f>
        <v/>
      </c>
      <c r="E1695" s="31">
        <f>CHAIN_RAW!E1693</f>
        <v/>
      </c>
      <c r="F1695" s="31">
        <f>CHAIN_RAW!F1693</f>
        <v/>
      </c>
      <c r="G1695" s="31">
        <f>CHAIN_RAW!I1693</f>
        <v/>
      </c>
      <c r="H1695" s="31">
        <f>CHAIN_RAW!Q1693</f>
        <v/>
      </c>
      <c r="I1695" s="31">
        <f>LET(pc,F1695,oc,H1695,IF(OR(pc="",oc=""),"",IF(AND(pc&gt;0,oc&gt;0),"Long Buildup",IF(AND(pc&lt;0,oc&gt;0),"Short Buildup",IF(AND(pc&gt;0,oc&lt;0),"Short Covering",IF(AND(pc&lt;0,oc&lt;0),"Long Unwinding","Flat"))))))</f>
        <v/>
      </c>
      <c r="J1695" s="31">
        <f>LET(pc,ABS(F1695),oc,ABS(H1695),IF(OR(pc="",oc=""),"",MAX(1,MIN(5,ROUND((pc*0.5+oc*0.00001)*5,0))))))</f>
        <v/>
      </c>
    </row>
    <row r="1696">
      <c r="A1696" s="31" t="n">
        <v>1694</v>
      </c>
      <c r="B1696" s="31">
        <f>CHAIN_RAW!D1694</f>
        <v/>
      </c>
      <c r="C1696" s="31">
        <f>CHAIN_RAW!A1694</f>
        <v/>
      </c>
      <c r="D1696" s="31">
        <f>CHAIN_RAW!C1694</f>
        <v/>
      </c>
      <c r="E1696" s="31">
        <f>CHAIN_RAW!E1694</f>
        <v/>
      </c>
      <c r="F1696" s="31">
        <f>CHAIN_RAW!F1694</f>
        <v/>
      </c>
      <c r="G1696" s="31">
        <f>CHAIN_RAW!I1694</f>
        <v/>
      </c>
      <c r="H1696" s="31">
        <f>CHAIN_RAW!Q1694</f>
        <v/>
      </c>
      <c r="I1696" s="31">
        <f>LET(pc,F1696,oc,H1696,IF(OR(pc="",oc=""),"",IF(AND(pc&gt;0,oc&gt;0),"Long Buildup",IF(AND(pc&lt;0,oc&gt;0),"Short Buildup",IF(AND(pc&gt;0,oc&lt;0),"Short Covering",IF(AND(pc&lt;0,oc&lt;0),"Long Unwinding","Flat"))))))</f>
        <v/>
      </c>
      <c r="J1696" s="31">
        <f>LET(pc,ABS(F1696),oc,ABS(H1696),IF(OR(pc="",oc=""),"",MAX(1,MIN(5,ROUND((pc*0.5+oc*0.00001)*5,0))))))</f>
        <v/>
      </c>
    </row>
    <row r="1697">
      <c r="A1697" s="31" t="n">
        <v>1695</v>
      </c>
      <c r="B1697" s="31">
        <f>CHAIN_RAW!D1695</f>
        <v/>
      </c>
      <c r="C1697" s="31">
        <f>CHAIN_RAW!A1695</f>
        <v/>
      </c>
      <c r="D1697" s="31">
        <f>CHAIN_RAW!C1695</f>
        <v/>
      </c>
      <c r="E1697" s="31">
        <f>CHAIN_RAW!E1695</f>
        <v/>
      </c>
      <c r="F1697" s="31">
        <f>CHAIN_RAW!F1695</f>
        <v/>
      </c>
      <c r="G1697" s="31">
        <f>CHAIN_RAW!I1695</f>
        <v/>
      </c>
      <c r="H1697" s="31">
        <f>CHAIN_RAW!Q1695</f>
        <v/>
      </c>
      <c r="I1697" s="31">
        <f>LET(pc,F1697,oc,H1697,IF(OR(pc="",oc=""),"",IF(AND(pc&gt;0,oc&gt;0),"Long Buildup",IF(AND(pc&lt;0,oc&gt;0),"Short Buildup",IF(AND(pc&gt;0,oc&lt;0),"Short Covering",IF(AND(pc&lt;0,oc&lt;0),"Long Unwinding","Flat"))))))</f>
        <v/>
      </c>
      <c r="J1697" s="31">
        <f>LET(pc,ABS(F1697),oc,ABS(H1697),IF(OR(pc="",oc=""),"",MAX(1,MIN(5,ROUND((pc*0.5+oc*0.00001)*5,0))))))</f>
        <v/>
      </c>
    </row>
    <row r="1698">
      <c r="A1698" s="31" t="n">
        <v>1696</v>
      </c>
      <c r="B1698" s="31">
        <f>CHAIN_RAW!D1696</f>
        <v/>
      </c>
      <c r="C1698" s="31">
        <f>CHAIN_RAW!A1696</f>
        <v/>
      </c>
      <c r="D1698" s="31">
        <f>CHAIN_RAW!C1696</f>
        <v/>
      </c>
      <c r="E1698" s="31">
        <f>CHAIN_RAW!E1696</f>
        <v/>
      </c>
      <c r="F1698" s="31">
        <f>CHAIN_RAW!F1696</f>
        <v/>
      </c>
      <c r="G1698" s="31">
        <f>CHAIN_RAW!I1696</f>
        <v/>
      </c>
      <c r="H1698" s="31">
        <f>CHAIN_RAW!Q1696</f>
        <v/>
      </c>
      <c r="I1698" s="31">
        <f>LET(pc,F1698,oc,H1698,IF(OR(pc="",oc=""),"",IF(AND(pc&gt;0,oc&gt;0),"Long Buildup",IF(AND(pc&lt;0,oc&gt;0),"Short Buildup",IF(AND(pc&gt;0,oc&lt;0),"Short Covering",IF(AND(pc&lt;0,oc&lt;0),"Long Unwinding","Flat"))))))</f>
        <v/>
      </c>
      <c r="J1698" s="31">
        <f>LET(pc,ABS(F1698),oc,ABS(H1698),IF(OR(pc="",oc=""),"",MAX(1,MIN(5,ROUND((pc*0.5+oc*0.00001)*5,0))))))</f>
        <v/>
      </c>
    </row>
    <row r="1699">
      <c r="A1699" s="31" t="n">
        <v>1697</v>
      </c>
      <c r="B1699" s="31">
        <f>CHAIN_RAW!D1697</f>
        <v/>
      </c>
      <c r="C1699" s="31">
        <f>CHAIN_RAW!A1697</f>
        <v/>
      </c>
      <c r="D1699" s="31">
        <f>CHAIN_RAW!C1697</f>
        <v/>
      </c>
      <c r="E1699" s="31">
        <f>CHAIN_RAW!E1697</f>
        <v/>
      </c>
      <c r="F1699" s="31">
        <f>CHAIN_RAW!F1697</f>
        <v/>
      </c>
      <c r="G1699" s="31">
        <f>CHAIN_RAW!I1697</f>
        <v/>
      </c>
      <c r="H1699" s="31">
        <f>CHAIN_RAW!Q1697</f>
        <v/>
      </c>
      <c r="I1699" s="31">
        <f>LET(pc,F1699,oc,H1699,IF(OR(pc="",oc=""),"",IF(AND(pc&gt;0,oc&gt;0),"Long Buildup",IF(AND(pc&lt;0,oc&gt;0),"Short Buildup",IF(AND(pc&gt;0,oc&lt;0),"Short Covering",IF(AND(pc&lt;0,oc&lt;0),"Long Unwinding","Flat"))))))</f>
        <v/>
      </c>
      <c r="J1699" s="31">
        <f>LET(pc,ABS(F1699),oc,ABS(H1699),IF(OR(pc="",oc=""),"",MAX(1,MIN(5,ROUND((pc*0.5+oc*0.00001)*5,0))))))</f>
        <v/>
      </c>
    </row>
    <row r="1700">
      <c r="A1700" s="31" t="n">
        <v>1698</v>
      </c>
      <c r="B1700" s="31">
        <f>CHAIN_RAW!D1698</f>
        <v/>
      </c>
      <c r="C1700" s="31">
        <f>CHAIN_RAW!A1698</f>
        <v/>
      </c>
      <c r="D1700" s="31">
        <f>CHAIN_RAW!C1698</f>
        <v/>
      </c>
      <c r="E1700" s="31">
        <f>CHAIN_RAW!E1698</f>
        <v/>
      </c>
      <c r="F1700" s="31">
        <f>CHAIN_RAW!F1698</f>
        <v/>
      </c>
      <c r="G1700" s="31">
        <f>CHAIN_RAW!I1698</f>
        <v/>
      </c>
      <c r="H1700" s="31">
        <f>CHAIN_RAW!Q1698</f>
        <v/>
      </c>
      <c r="I1700" s="31">
        <f>LET(pc,F1700,oc,H1700,IF(OR(pc="",oc=""),"",IF(AND(pc&gt;0,oc&gt;0),"Long Buildup",IF(AND(pc&lt;0,oc&gt;0),"Short Buildup",IF(AND(pc&gt;0,oc&lt;0),"Short Covering",IF(AND(pc&lt;0,oc&lt;0),"Long Unwinding","Flat"))))))</f>
        <v/>
      </c>
      <c r="J1700" s="31">
        <f>LET(pc,ABS(F1700),oc,ABS(H1700),IF(OR(pc="",oc=""),"",MAX(1,MIN(5,ROUND((pc*0.5+oc*0.00001)*5,0))))))</f>
        <v/>
      </c>
    </row>
    <row r="1701">
      <c r="A1701" s="31" t="n">
        <v>1699</v>
      </c>
      <c r="B1701" s="31">
        <f>CHAIN_RAW!D1699</f>
        <v/>
      </c>
      <c r="C1701" s="31">
        <f>CHAIN_RAW!A1699</f>
        <v/>
      </c>
      <c r="D1701" s="31">
        <f>CHAIN_RAW!C1699</f>
        <v/>
      </c>
      <c r="E1701" s="31">
        <f>CHAIN_RAW!E1699</f>
        <v/>
      </c>
      <c r="F1701" s="31">
        <f>CHAIN_RAW!F1699</f>
        <v/>
      </c>
      <c r="G1701" s="31">
        <f>CHAIN_RAW!I1699</f>
        <v/>
      </c>
      <c r="H1701" s="31">
        <f>CHAIN_RAW!Q1699</f>
        <v/>
      </c>
      <c r="I1701" s="31">
        <f>LET(pc,F1701,oc,H1701,IF(OR(pc="",oc=""),"",IF(AND(pc&gt;0,oc&gt;0),"Long Buildup",IF(AND(pc&lt;0,oc&gt;0),"Short Buildup",IF(AND(pc&gt;0,oc&lt;0),"Short Covering",IF(AND(pc&lt;0,oc&lt;0),"Long Unwinding","Flat"))))))</f>
        <v/>
      </c>
      <c r="J1701" s="31">
        <f>LET(pc,ABS(F1701),oc,ABS(H1701),IF(OR(pc="",oc=""),"",MAX(1,MIN(5,ROUND((pc*0.5+oc*0.00001)*5,0))))))</f>
        <v/>
      </c>
    </row>
    <row r="1702">
      <c r="A1702" s="31" t="n">
        <v>1700</v>
      </c>
      <c r="B1702" s="31">
        <f>CHAIN_RAW!D1700</f>
        <v/>
      </c>
      <c r="C1702" s="31">
        <f>CHAIN_RAW!A1700</f>
        <v/>
      </c>
      <c r="D1702" s="31">
        <f>CHAIN_RAW!C1700</f>
        <v/>
      </c>
      <c r="E1702" s="31">
        <f>CHAIN_RAW!E1700</f>
        <v/>
      </c>
      <c r="F1702" s="31">
        <f>CHAIN_RAW!F1700</f>
        <v/>
      </c>
      <c r="G1702" s="31">
        <f>CHAIN_RAW!I1700</f>
        <v/>
      </c>
      <c r="H1702" s="31">
        <f>CHAIN_RAW!Q1700</f>
        <v/>
      </c>
      <c r="I1702" s="31">
        <f>LET(pc,F1702,oc,H1702,IF(OR(pc="",oc=""),"",IF(AND(pc&gt;0,oc&gt;0),"Long Buildup",IF(AND(pc&lt;0,oc&gt;0),"Short Buildup",IF(AND(pc&gt;0,oc&lt;0),"Short Covering",IF(AND(pc&lt;0,oc&lt;0),"Long Unwinding","Flat"))))))</f>
        <v/>
      </c>
      <c r="J1702" s="31">
        <f>LET(pc,ABS(F1702),oc,ABS(H1702),IF(OR(pc="",oc=""),"",MAX(1,MIN(5,ROUND((pc*0.5+oc*0.00001)*5,0))))))</f>
        <v/>
      </c>
    </row>
    <row r="1703">
      <c r="A1703" s="31" t="n">
        <v>1701</v>
      </c>
      <c r="B1703" s="31">
        <f>CHAIN_RAW!D1701</f>
        <v/>
      </c>
      <c r="C1703" s="31">
        <f>CHAIN_RAW!A1701</f>
        <v/>
      </c>
      <c r="D1703" s="31">
        <f>CHAIN_RAW!C1701</f>
        <v/>
      </c>
      <c r="E1703" s="31">
        <f>CHAIN_RAW!E1701</f>
        <v/>
      </c>
      <c r="F1703" s="31">
        <f>CHAIN_RAW!F1701</f>
        <v/>
      </c>
      <c r="G1703" s="31">
        <f>CHAIN_RAW!I1701</f>
        <v/>
      </c>
      <c r="H1703" s="31">
        <f>CHAIN_RAW!Q1701</f>
        <v/>
      </c>
      <c r="I1703" s="31">
        <f>LET(pc,F1703,oc,H1703,IF(OR(pc="",oc=""),"",IF(AND(pc&gt;0,oc&gt;0),"Long Buildup",IF(AND(pc&lt;0,oc&gt;0),"Short Buildup",IF(AND(pc&gt;0,oc&lt;0),"Short Covering",IF(AND(pc&lt;0,oc&lt;0),"Long Unwinding","Flat"))))))</f>
        <v/>
      </c>
      <c r="J1703" s="31">
        <f>LET(pc,ABS(F1703),oc,ABS(H1703),IF(OR(pc="",oc=""),"",MAX(1,MIN(5,ROUND((pc*0.5+oc*0.00001)*5,0))))))</f>
        <v/>
      </c>
    </row>
    <row r="1704">
      <c r="A1704" s="31" t="n">
        <v>1702</v>
      </c>
      <c r="B1704" s="31">
        <f>CHAIN_RAW!D1702</f>
        <v/>
      </c>
      <c r="C1704" s="31">
        <f>CHAIN_RAW!A1702</f>
        <v/>
      </c>
      <c r="D1704" s="31">
        <f>CHAIN_RAW!C1702</f>
        <v/>
      </c>
      <c r="E1704" s="31">
        <f>CHAIN_RAW!E1702</f>
        <v/>
      </c>
      <c r="F1704" s="31">
        <f>CHAIN_RAW!F1702</f>
        <v/>
      </c>
      <c r="G1704" s="31">
        <f>CHAIN_RAW!I1702</f>
        <v/>
      </c>
      <c r="H1704" s="31">
        <f>CHAIN_RAW!Q1702</f>
        <v/>
      </c>
      <c r="I1704" s="31">
        <f>LET(pc,F1704,oc,H1704,IF(OR(pc="",oc=""),"",IF(AND(pc&gt;0,oc&gt;0),"Long Buildup",IF(AND(pc&lt;0,oc&gt;0),"Short Buildup",IF(AND(pc&gt;0,oc&lt;0),"Short Covering",IF(AND(pc&lt;0,oc&lt;0),"Long Unwinding","Flat"))))))</f>
        <v/>
      </c>
      <c r="J1704" s="31">
        <f>LET(pc,ABS(F1704),oc,ABS(H1704),IF(OR(pc="",oc=""),"",MAX(1,MIN(5,ROUND((pc*0.5+oc*0.00001)*5,0))))))</f>
        <v/>
      </c>
    </row>
    <row r="1705">
      <c r="A1705" s="31" t="n">
        <v>1703</v>
      </c>
      <c r="B1705" s="31">
        <f>CHAIN_RAW!D1703</f>
        <v/>
      </c>
      <c r="C1705" s="31">
        <f>CHAIN_RAW!A1703</f>
        <v/>
      </c>
      <c r="D1705" s="31">
        <f>CHAIN_RAW!C1703</f>
        <v/>
      </c>
      <c r="E1705" s="31">
        <f>CHAIN_RAW!E1703</f>
        <v/>
      </c>
      <c r="F1705" s="31">
        <f>CHAIN_RAW!F1703</f>
        <v/>
      </c>
      <c r="G1705" s="31">
        <f>CHAIN_RAW!I1703</f>
        <v/>
      </c>
      <c r="H1705" s="31">
        <f>CHAIN_RAW!Q1703</f>
        <v/>
      </c>
      <c r="I1705" s="31">
        <f>LET(pc,F1705,oc,H1705,IF(OR(pc="",oc=""),"",IF(AND(pc&gt;0,oc&gt;0),"Long Buildup",IF(AND(pc&lt;0,oc&gt;0),"Short Buildup",IF(AND(pc&gt;0,oc&lt;0),"Short Covering",IF(AND(pc&lt;0,oc&lt;0),"Long Unwinding","Flat"))))))</f>
        <v/>
      </c>
      <c r="J1705" s="31">
        <f>LET(pc,ABS(F1705),oc,ABS(H1705),IF(OR(pc="",oc=""),"",MAX(1,MIN(5,ROUND((pc*0.5+oc*0.00001)*5,0))))))</f>
        <v/>
      </c>
    </row>
    <row r="1706">
      <c r="A1706" s="31" t="n">
        <v>1704</v>
      </c>
      <c r="B1706" s="31">
        <f>CHAIN_RAW!D1704</f>
        <v/>
      </c>
      <c r="C1706" s="31">
        <f>CHAIN_RAW!A1704</f>
        <v/>
      </c>
      <c r="D1706" s="31">
        <f>CHAIN_RAW!C1704</f>
        <v/>
      </c>
      <c r="E1706" s="31">
        <f>CHAIN_RAW!E1704</f>
        <v/>
      </c>
      <c r="F1706" s="31">
        <f>CHAIN_RAW!F1704</f>
        <v/>
      </c>
      <c r="G1706" s="31">
        <f>CHAIN_RAW!I1704</f>
        <v/>
      </c>
      <c r="H1706" s="31">
        <f>CHAIN_RAW!Q1704</f>
        <v/>
      </c>
      <c r="I1706" s="31">
        <f>LET(pc,F1706,oc,H1706,IF(OR(pc="",oc=""),"",IF(AND(pc&gt;0,oc&gt;0),"Long Buildup",IF(AND(pc&lt;0,oc&gt;0),"Short Buildup",IF(AND(pc&gt;0,oc&lt;0),"Short Covering",IF(AND(pc&lt;0,oc&lt;0),"Long Unwinding","Flat"))))))</f>
        <v/>
      </c>
      <c r="J1706" s="31">
        <f>LET(pc,ABS(F1706),oc,ABS(H1706),IF(OR(pc="",oc=""),"",MAX(1,MIN(5,ROUND((pc*0.5+oc*0.00001)*5,0))))))</f>
        <v/>
      </c>
    </row>
    <row r="1707">
      <c r="A1707" s="31" t="n">
        <v>1705</v>
      </c>
      <c r="B1707" s="31">
        <f>CHAIN_RAW!D1705</f>
        <v/>
      </c>
      <c r="C1707" s="31">
        <f>CHAIN_RAW!A1705</f>
        <v/>
      </c>
      <c r="D1707" s="31">
        <f>CHAIN_RAW!C1705</f>
        <v/>
      </c>
      <c r="E1707" s="31">
        <f>CHAIN_RAW!E1705</f>
        <v/>
      </c>
      <c r="F1707" s="31">
        <f>CHAIN_RAW!F1705</f>
        <v/>
      </c>
      <c r="G1707" s="31">
        <f>CHAIN_RAW!I1705</f>
        <v/>
      </c>
      <c r="H1707" s="31">
        <f>CHAIN_RAW!Q1705</f>
        <v/>
      </c>
      <c r="I1707" s="31">
        <f>LET(pc,F1707,oc,H1707,IF(OR(pc="",oc=""),"",IF(AND(pc&gt;0,oc&gt;0),"Long Buildup",IF(AND(pc&lt;0,oc&gt;0),"Short Buildup",IF(AND(pc&gt;0,oc&lt;0),"Short Covering",IF(AND(pc&lt;0,oc&lt;0),"Long Unwinding","Flat"))))))</f>
        <v/>
      </c>
      <c r="J1707" s="31">
        <f>LET(pc,ABS(F1707),oc,ABS(H1707),IF(OR(pc="",oc=""),"",MAX(1,MIN(5,ROUND((pc*0.5+oc*0.00001)*5,0))))))</f>
        <v/>
      </c>
    </row>
    <row r="1708">
      <c r="A1708" s="31" t="n">
        <v>1706</v>
      </c>
      <c r="B1708" s="31">
        <f>CHAIN_RAW!D1706</f>
        <v/>
      </c>
      <c r="C1708" s="31">
        <f>CHAIN_RAW!A1706</f>
        <v/>
      </c>
      <c r="D1708" s="31">
        <f>CHAIN_RAW!C1706</f>
        <v/>
      </c>
      <c r="E1708" s="31">
        <f>CHAIN_RAW!E1706</f>
        <v/>
      </c>
      <c r="F1708" s="31">
        <f>CHAIN_RAW!F1706</f>
        <v/>
      </c>
      <c r="G1708" s="31">
        <f>CHAIN_RAW!I1706</f>
        <v/>
      </c>
      <c r="H1708" s="31">
        <f>CHAIN_RAW!Q1706</f>
        <v/>
      </c>
      <c r="I1708" s="31">
        <f>LET(pc,F1708,oc,H1708,IF(OR(pc="",oc=""),"",IF(AND(pc&gt;0,oc&gt;0),"Long Buildup",IF(AND(pc&lt;0,oc&gt;0),"Short Buildup",IF(AND(pc&gt;0,oc&lt;0),"Short Covering",IF(AND(pc&lt;0,oc&lt;0),"Long Unwinding","Flat"))))))</f>
        <v/>
      </c>
      <c r="J1708" s="31">
        <f>LET(pc,ABS(F1708),oc,ABS(H1708),IF(OR(pc="",oc=""),"",MAX(1,MIN(5,ROUND((pc*0.5+oc*0.00001)*5,0))))))</f>
        <v/>
      </c>
    </row>
    <row r="1709">
      <c r="A1709" s="31" t="n">
        <v>1707</v>
      </c>
      <c r="B1709" s="31">
        <f>CHAIN_RAW!D1707</f>
        <v/>
      </c>
      <c r="C1709" s="31">
        <f>CHAIN_RAW!A1707</f>
        <v/>
      </c>
      <c r="D1709" s="31">
        <f>CHAIN_RAW!C1707</f>
        <v/>
      </c>
      <c r="E1709" s="31">
        <f>CHAIN_RAW!E1707</f>
        <v/>
      </c>
      <c r="F1709" s="31">
        <f>CHAIN_RAW!F1707</f>
        <v/>
      </c>
      <c r="G1709" s="31">
        <f>CHAIN_RAW!I1707</f>
        <v/>
      </c>
      <c r="H1709" s="31">
        <f>CHAIN_RAW!Q1707</f>
        <v/>
      </c>
      <c r="I1709" s="31">
        <f>LET(pc,F1709,oc,H1709,IF(OR(pc="",oc=""),"",IF(AND(pc&gt;0,oc&gt;0),"Long Buildup",IF(AND(pc&lt;0,oc&gt;0),"Short Buildup",IF(AND(pc&gt;0,oc&lt;0),"Short Covering",IF(AND(pc&lt;0,oc&lt;0),"Long Unwinding","Flat"))))))</f>
        <v/>
      </c>
      <c r="J1709" s="31">
        <f>LET(pc,ABS(F1709),oc,ABS(H1709),IF(OR(pc="",oc=""),"",MAX(1,MIN(5,ROUND((pc*0.5+oc*0.00001)*5,0))))))</f>
        <v/>
      </c>
    </row>
    <row r="1710">
      <c r="A1710" s="31" t="n">
        <v>1708</v>
      </c>
      <c r="B1710" s="31">
        <f>CHAIN_RAW!D1708</f>
        <v/>
      </c>
      <c r="C1710" s="31">
        <f>CHAIN_RAW!A1708</f>
        <v/>
      </c>
      <c r="D1710" s="31">
        <f>CHAIN_RAW!C1708</f>
        <v/>
      </c>
      <c r="E1710" s="31">
        <f>CHAIN_RAW!E1708</f>
        <v/>
      </c>
      <c r="F1710" s="31">
        <f>CHAIN_RAW!F1708</f>
        <v/>
      </c>
      <c r="G1710" s="31">
        <f>CHAIN_RAW!I1708</f>
        <v/>
      </c>
      <c r="H1710" s="31">
        <f>CHAIN_RAW!Q1708</f>
        <v/>
      </c>
      <c r="I1710" s="31">
        <f>LET(pc,F1710,oc,H1710,IF(OR(pc="",oc=""),"",IF(AND(pc&gt;0,oc&gt;0),"Long Buildup",IF(AND(pc&lt;0,oc&gt;0),"Short Buildup",IF(AND(pc&gt;0,oc&lt;0),"Short Covering",IF(AND(pc&lt;0,oc&lt;0),"Long Unwinding","Flat"))))))</f>
        <v/>
      </c>
      <c r="J1710" s="31">
        <f>LET(pc,ABS(F1710),oc,ABS(H1710),IF(OR(pc="",oc=""),"",MAX(1,MIN(5,ROUND((pc*0.5+oc*0.00001)*5,0))))))</f>
        <v/>
      </c>
    </row>
    <row r="1711">
      <c r="A1711" s="31" t="n">
        <v>1709</v>
      </c>
      <c r="B1711" s="31">
        <f>CHAIN_RAW!D1709</f>
        <v/>
      </c>
      <c r="C1711" s="31">
        <f>CHAIN_RAW!A1709</f>
        <v/>
      </c>
      <c r="D1711" s="31">
        <f>CHAIN_RAW!C1709</f>
        <v/>
      </c>
      <c r="E1711" s="31">
        <f>CHAIN_RAW!E1709</f>
        <v/>
      </c>
      <c r="F1711" s="31">
        <f>CHAIN_RAW!F1709</f>
        <v/>
      </c>
      <c r="G1711" s="31">
        <f>CHAIN_RAW!I1709</f>
        <v/>
      </c>
      <c r="H1711" s="31">
        <f>CHAIN_RAW!Q1709</f>
        <v/>
      </c>
      <c r="I1711" s="31">
        <f>LET(pc,F1711,oc,H1711,IF(OR(pc="",oc=""),"",IF(AND(pc&gt;0,oc&gt;0),"Long Buildup",IF(AND(pc&lt;0,oc&gt;0),"Short Buildup",IF(AND(pc&gt;0,oc&lt;0),"Short Covering",IF(AND(pc&lt;0,oc&lt;0),"Long Unwinding","Flat"))))))</f>
        <v/>
      </c>
      <c r="J1711" s="31">
        <f>LET(pc,ABS(F1711),oc,ABS(H1711),IF(OR(pc="",oc=""),"",MAX(1,MIN(5,ROUND((pc*0.5+oc*0.00001)*5,0))))))</f>
        <v/>
      </c>
    </row>
    <row r="1712">
      <c r="A1712" s="31" t="n">
        <v>1710</v>
      </c>
      <c r="B1712" s="31">
        <f>CHAIN_RAW!D1710</f>
        <v/>
      </c>
      <c r="C1712" s="31">
        <f>CHAIN_RAW!A1710</f>
        <v/>
      </c>
      <c r="D1712" s="31">
        <f>CHAIN_RAW!C1710</f>
        <v/>
      </c>
      <c r="E1712" s="31">
        <f>CHAIN_RAW!E1710</f>
        <v/>
      </c>
      <c r="F1712" s="31">
        <f>CHAIN_RAW!F1710</f>
        <v/>
      </c>
      <c r="G1712" s="31">
        <f>CHAIN_RAW!I1710</f>
        <v/>
      </c>
      <c r="H1712" s="31">
        <f>CHAIN_RAW!Q1710</f>
        <v/>
      </c>
      <c r="I1712" s="31">
        <f>LET(pc,F1712,oc,H1712,IF(OR(pc="",oc=""),"",IF(AND(pc&gt;0,oc&gt;0),"Long Buildup",IF(AND(pc&lt;0,oc&gt;0),"Short Buildup",IF(AND(pc&gt;0,oc&lt;0),"Short Covering",IF(AND(pc&lt;0,oc&lt;0),"Long Unwinding","Flat"))))))</f>
        <v/>
      </c>
      <c r="J1712" s="31">
        <f>LET(pc,ABS(F1712),oc,ABS(H1712),IF(OR(pc="",oc=""),"",MAX(1,MIN(5,ROUND((pc*0.5+oc*0.00001)*5,0))))))</f>
        <v/>
      </c>
    </row>
    <row r="1713">
      <c r="A1713" s="31" t="n">
        <v>1711</v>
      </c>
      <c r="B1713" s="31">
        <f>CHAIN_RAW!D1711</f>
        <v/>
      </c>
      <c r="C1713" s="31">
        <f>CHAIN_RAW!A1711</f>
        <v/>
      </c>
      <c r="D1713" s="31">
        <f>CHAIN_RAW!C1711</f>
        <v/>
      </c>
      <c r="E1713" s="31">
        <f>CHAIN_RAW!E1711</f>
        <v/>
      </c>
      <c r="F1713" s="31">
        <f>CHAIN_RAW!F1711</f>
        <v/>
      </c>
      <c r="G1713" s="31">
        <f>CHAIN_RAW!I1711</f>
        <v/>
      </c>
      <c r="H1713" s="31">
        <f>CHAIN_RAW!Q1711</f>
        <v/>
      </c>
      <c r="I1713" s="31">
        <f>LET(pc,F1713,oc,H1713,IF(OR(pc="",oc=""),"",IF(AND(pc&gt;0,oc&gt;0),"Long Buildup",IF(AND(pc&lt;0,oc&gt;0),"Short Buildup",IF(AND(pc&gt;0,oc&lt;0),"Short Covering",IF(AND(pc&lt;0,oc&lt;0),"Long Unwinding","Flat"))))))</f>
        <v/>
      </c>
      <c r="J1713" s="31">
        <f>LET(pc,ABS(F1713),oc,ABS(H1713),IF(OR(pc="",oc=""),"",MAX(1,MIN(5,ROUND((pc*0.5+oc*0.00001)*5,0))))))</f>
        <v/>
      </c>
    </row>
    <row r="1714">
      <c r="A1714" s="31" t="n">
        <v>1712</v>
      </c>
      <c r="B1714" s="31">
        <f>CHAIN_RAW!D1712</f>
        <v/>
      </c>
      <c r="C1714" s="31">
        <f>CHAIN_RAW!A1712</f>
        <v/>
      </c>
      <c r="D1714" s="31">
        <f>CHAIN_RAW!C1712</f>
        <v/>
      </c>
      <c r="E1714" s="31">
        <f>CHAIN_RAW!E1712</f>
        <v/>
      </c>
      <c r="F1714" s="31">
        <f>CHAIN_RAW!F1712</f>
        <v/>
      </c>
      <c r="G1714" s="31">
        <f>CHAIN_RAW!I1712</f>
        <v/>
      </c>
      <c r="H1714" s="31">
        <f>CHAIN_RAW!Q1712</f>
        <v/>
      </c>
      <c r="I1714" s="31">
        <f>LET(pc,F1714,oc,H1714,IF(OR(pc="",oc=""),"",IF(AND(pc&gt;0,oc&gt;0),"Long Buildup",IF(AND(pc&lt;0,oc&gt;0),"Short Buildup",IF(AND(pc&gt;0,oc&lt;0),"Short Covering",IF(AND(pc&lt;0,oc&lt;0),"Long Unwinding","Flat"))))))</f>
        <v/>
      </c>
      <c r="J1714" s="31">
        <f>LET(pc,ABS(F1714),oc,ABS(H1714),IF(OR(pc="",oc=""),"",MAX(1,MIN(5,ROUND((pc*0.5+oc*0.00001)*5,0))))))</f>
        <v/>
      </c>
    </row>
    <row r="1715">
      <c r="A1715" s="31" t="n">
        <v>1713</v>
      </c>
      <c r="B1715" s="31">
        <f>CHAIN_RAW!D1713</f>
        <v/>
      </c>
      <c r="C1715" s="31">
        <f>CHAIN_RAW!A1713</f>
        <v/>
      </c>
      <c r="D1715" s="31">
        <f>CHAIN_RAW!C1713</f>
        <v/>
      </c>
      <c r="E1715" s="31">
        <f>CHAIN_RAW!E1713</f>
        <v/>
      </c>
      <c r="F1715" s="31">
        <f>CHAIN_RAW!F1713</f>
        <v/>
      </c>
      <c r="G1715" s="31">
        <f>CHAIN_RAW!I1713</f>
        <v/>
      </c>
      <c r="H1715" s="31">
        <f>CHAIN_RAW!Q1713</f>
        <v/>
      </c>
      <c r="I1715" s="31">
        <f>LET(pc,F1715,oc,H1715,IF(OR(pc="",oc=""),"",IF(AND(pc&gt;0,oc&gt;0),"Long Buildup",IF(AND(pc&lt;0,oc&gt;0),"Short Buildup",IF(AND(pc&gt;0,oc&lt;0),"Short Covering",IF(AND(pc&lt;0,oc&lt;0),"Long Unwinding","Flat"))))))</f>
        <v/>
      </c>
      <c r="J1715" s="31">
        <f>LET(pc,ABS(F1715),oc,ABS(H1715),IF(OR(pc="",oc=""),"",MAX(1,MIN(5,ROUND((pc*0.5+oc*0.00001)*5,0))))))</f>
        <v/>
      </c>
    </row>
    <row r="1716">
      <c r="A1716" s="31" t="n">
        <v>1714</v>
      </c>
      <c r="B1716" s="31">
        <f>CHAIN_RAW!D1714</f>
        <v/>
      </c>
      <c r="C1716" s="31">
        <f>CHAIN_RAW!A1714</f>
        <v/>
      </c>
      <c r="D1716" s="31">
        <f>CHAIN_RAW!C1714</f>
        <v/>
      </c>
      <c r="E1716" s="31">
        <f>CHAIN_RAW!E1714</f>
        <v/>
      </c>
      <c r="F1716" s="31">
        <f>CHAIN_RAW!F1714</f>
        <v/>
      </c>
      <c r="G1716" s="31">
        <f>CHAIN_RAW!I1714</f>
        <v/>
      </c>
      <c r="H1716" s="31">
        <f>CHAIN_RAW!Q1714</f>
        <v/>
      </c>
      <c r="I1716" s="31">
        <f>LET(pc,F1716,oc,H1716,IF(OR(pc="",oc=""),"",IF(AND(pc&gt;0,oc&gt;0),"Long Buildup",IF(AND(pc&lt;0,oc&gt;0),"Short Buildup",IF(AND(pc&gt;0,oc&lt;0),"Short Covering",IF(AND(pc&lt;0,oc&lt;0),"Long Unwinding","Flat"))))))</f>
        <v/>
      </c>
      <c r="J1716" s="31">
        <f>LET(pc,ABS(F1716),oc,ABS(H1716),IF(OR(pc="",oc=""),"",MAX(1,MIN(5,ROUND((pc*0.5+oc*0.00001)*5,0))))))</f>
        <v/>
      </c>
    </row>
    <row r="1717">
      <c r="A1717" s="31" t="n">
        <v>1715</v>
      </c>
      <c r="B1717" s="31">
        <f>CHAIN_RAW!D1715</f>
        <v/>
      </c>
      <c r="C1717" s="31">
        <f>CHAIN_RAW!A1715</f>
        <v/>
      </c>
      <c r="D1717" s="31">
        <f>CHAIN_RAW!C1715</f>
        <v/>
      </c>
      <c r="E1717" s="31">
        <f>CHAIN_RAW!E1715</f>
        <v/>
      </c>
      <c r="F1717" s="31">
        <f>CHAIN_RAW!F1715</f>
        <v/>
      </c>
      <c r="G1717" s="31">
        <f>CHAIN_RAW!I1715</f>
        <v/>
      </c>
      <c r="H1717" s="31">
        <f>CHAIN_RAW!Q1715</f>
        <v/>
      </c>
      <c r="I1717" s="31">
        <f>LET(pc,F1717,oc,H1717,IF(OR(pc="",oc=""),"",IF(AND(pc&gt;0,oc&gt;0),"Long Buildup",IF(AND(pc&lt;0,oc&gt;0),"Short Buildup",IF(AND(pc&gt;0,oc&lt;0),"Short Covering",IF(AND(pc&lt;0,oc&lt;0),"Long Unwinding","Flat"))))))</f>
        <v/>
      </c>
      <c r="J1717" s="31">
        <f>LET(pc,ABS(F1717),oc,ABS(H1717),IF(OR(pc="",oc=""),"",MAX(1,MIN(5,ROUND((pc*0.5+oc*0.00001)*5,0))))))</f>
        <v/>
      </c>
    </row>
    <row r="1718">
      <c r="A1718" s="31" t="n">
        <v>1716</v>
      </c>
      <c r="B1718" s="31">
        <f>CHAIN_RAW!D1716</f>
        <v/>
      </c>
      <c r="C1718" s="31">
        <f>CHAIN_RAW!A1716</f>
        <v/>
      </c>
      <c r="D1718" s="31">
        <f>CHAIN_RAW!C1716</f>
        <v/>
      </c>
      <c r="E1718" s="31">
        <f>CHAIN_RAW!E1716</f>
        <v/>
      </c>
      <c r="F1718" s="31">
        <f>CHAIN_RAW!F1716</f>
        <v/>
      </c>
      <c r="G1718" s="31">
        <f>CHAIN_RAW!I1716</f>
        <v/>
      </c>
      <c r="H1718" s="31">
        <f>CHAIN_RAW!Q1716</f>
        <v/>
      </c>
      <c r="I1718" s="31">
        <f>LET(pc,F1718,oc,H1718,IF(OR(pc="",oc=""),"",IF(AND(pc&gt;0,oc&gt;0),"Long Buildup",IF(AND(pc&lt;0,oc&gt;0),"Short Buildup",IF(AND(pc&gt;0,oc&lt;0),"Short Covering",IF(AND(pc&lt;0,oc&lt;0),"Long Unwinding","Flat"))))))</f>
        <v/>
      </c>
      <c r="J1718" s="31">
        <f>LET(pc,ABS(F1718),oc,ABS(H1718),IF(OR(pc="",oc=""),"",MAX(1,MIN(5,ROUND((pc*0.5+oc*0.00001)*5,0))))))</f>
        <v/>
      </c>
    </row>
    <row r="1719">
      <c r="A1719" s="31" t="n">
        <v>1717</v>
      </c>
      <c r="B1719" s="31">
        <f>CHAIN_RAW!D1717</f>
        <v/>
      </c>
      <c r="C1719" s="31">
        <f>CHAIN_RAW!A1717</f>
        <v/>
      </c>
      <c r="D1719" s="31">
        <f>CHAIN_RAW!C1717</f>
        <v/>
      </c>
      <c r="E1719" s="31">
        <f>CHAIN_RAW!E1717</f>
        <v/>
      </c>
      <c r="F1719" s="31">
        <f>CHAIN_RAW!F1717</f>
        <v/>
      </c>
      <c r="G1719" s="31">
        <f>CHAIN_RAW!I1717</f>
        <v/>
      </c>
      <c r="H1719" s="31">
        <f>CHAIN_RAW!Q1717</f>
        <v/>
      </c>
      <c r="I1719" s="31">
        <f>LET(pc,F1719,oc,H1719,IF(OR(pc="",oc=""),"",IF(AND(pc&gt;0,oc&gt;0),"Long Buildup",IF(AND(pc&lt;0,oc&gt;0),"Short Buildup",IF(AND(pc&gt;0,oc&lt;0),"Short Covering",IF(AND(pc&lt;0,oc&lt;0),"Long Unwinding","Flat"))))))</f>
        <v/>
      </c>
      <c r="J1719" s="31">
        <f>LET(pc,ABS(F1719),oc,ABS(H1719),IF(OR(pc="",oc=""),"",MAX(1,MIN(5,ROUND((pc*0.5+oc*0.00001)*5,0))))))</f>
        <v/>
      </c>
    </row>
    <row r="1720">
      <c r="A1720" s="31" t="n">
        <v>1718</v>
      </c>
      <c r="B1720" s="31">
        <f>CHAIN_RAW!D1718</f>
        <v/>
      </c>
      <c r="C1720" s="31">
        <f>CHAIN_RAW!A1718</f>
        <v/>
      </c>
      <c r="D1720" s="31">
        <f>CHAIN_RAW!C1718</f>
        <v/>
      </c>
      <c r="E1720" s="31">
        <f>CHAIN_RAW!E1718</f>
        <v/>
      </c>
      <c r="F1720" s="31">
        <f>CHAIN_RAW!F1718</f>
        <v/>
      </c>
      <c r="G1720" s="31">
        <f>CHAIN_RAW!I1718</f>
        <v/>
      </c>
      <c r="H1720" s="31">
        <f>CHAIN_RAW!Q1718</f>
        <v/>
      </c>
      <c r="I1720" s="31">
        <f>LET(pc,F1720,oc,H1720,IF(OR(pc="",oc=""),"",IF(AND(pc&gt;0,oc&gt;0),"Long Buildup",IF(AND(pc&lt;0,oc&gt;0),"Short Buildup",IF(AND(pc&gt;0,oc&lt;0),"Short Covering",IF(AND(pc&lt;0,oc&lt;0),"Long Unwinding","Flat"))))))</f>
        <v/>
      </c>
      <c r="J1720" s="31">
        <f>LET(pc,ABS(F1720),oc,ABS(H1720),IF(OR(pc="",oc=""),"",MAX(1,MIN(5,ROUND((pc*0.5+oc*0.00001)*5,0))))))</f>
        <v/>
      </c>
    </row>
    <row r="1721">
      <c r="A1721" s="31" t="n">
        <v>1719</v>
      </c>
      <c r="B1721" s="31">
        <f>CHAIN_RAW!D1719</f>
        <v/>
      </c>
      <c r="C1721" s="31">
        <f>CHAIN_RAW!A1719</f>
        <v/>
      </c>
      <c r="D1721" s="31">
        <f>CHAIN_RAW!C1719</f>
        <v/>
      </c>
      <c r="E1721" s="31">
        <f>CHAIN_RAW!E1719</f>
        <v/>
      </c>
      <c r="F1721" s="31">
        <f>CHAIN_RAW!F1719</f>
        <v/>
      </c>
      <c r="G1721" s="31">
        <f>CHAIN_RAW!I1719</f>
        <v/>
      </c>
      <c r="H1721" s="31">
        <f>CHAIN_RAW!Q1719</f>
        <v/>
      </c>
      <c r="I1721" s="31">
        <f>LET(pc,F1721,oc,H1721,IF(OR(pc="",oc=""),"",IF(AND(pc&gt;0,oc&gt;0),"Long Buildup",IF(AND(pc&lt;0,oc&gt;0),"Short Buildup",IF(AND(pc&gt;0,oc&lt;0),"Short Covering",IF(AND(pc&lt;0,oc&lt;0),"Long Unwinding","Flat"))))))</f>
        <v/>
      </c>
      <c r="J1721" s="31">
        <f>LET(pc,ABS(F1721),oc,ABS(H1721),IF(OR(pc="",oc=""),"",MAX(1,MIN(5,ROUND((pc*0.5+oc*0.00001)*5,0))))))</f>
        <v/>
      </c>
    </row>
    <row r="1722">
      <c r="A1722" s="31" t="n">
        <v>1720</v>
      </c>
      <c r="B1722" s="31">
        <f>CHAIN_RAW!D1720</f>
        <v/>
      </c>
      <c r="C1722" s="31">
        <f>CHAIN_RAW!A1720</f>
        <v/>
      </c>
      <c r="D1722" s="31">
        <f>CHAIN_RAW!C1720</f>
        <v/>
      </c>
      <c r="E1722" s="31">
        <f>CHAIN_RAW!E1720</f>
        <v/>
      </c>
      <c r="F1722" s="31">
        <f>CHAIN_RAW!F1720</f>
        <v/>
      </c>
      <c r="G1722" s="31">
        <f>CHAIN_RAW!I1720</f>
        <v/>
      </c>
      <c r="H1722" s="31">
        <f>CHAIN_RAW!Q1720</f>
        <v/>
      </c>
      <c r="I1722" s="31">
        <f>LET(pc,F1722,oc,H1722,IF(OR(pc="",oc=""),"",IF(AND(pc&gt;0,oc&gt;0),"Long Buildup",IF(AND(pc&lt;0,oc&gt;0),"Short Buildup",IF(AND(pc&gt;0,oc&lt;0),"Short Covering",IF(AND(pc&lt;0,oc&lt;0),"Long Unwinding","Flat"))))))</f>
        <v/>
      </c>
      <c r="J1722" s="31">
        <f>LET(pc,ABS(F1722),oc,ABS(H1722),IF(OR(pc="",oc=""),"",MAX(1,MIN(5,ROUND((pc*0.5+oc*0.00001)*5,0))))))</f>
        <v/>
      </c>
    </row>
    <row r="1723">
      <c r="A1723" s="31" t="n">
        <v>1721</v>
      </c>
      <c r="B1723" s="31">
        <f>CHAIN_RAW!D1721</f>
        <v/>
      </c>
      <c r="C1723" s="31">
        <f>CHAIN_RAW!A1721</f>
        <v/>
      </c>
      <c r="D1723" s="31">
        <f>CHAIN_RAW!C1721</f>
        <v/>
      </c>
      <c r="E1723" s="31">
        <f>CHAIN_RAW!E1721</f>
        <v/>
      </c>
      <c r="F1723" s="31">
        <f>CHAIN_RAW!F1721</f>
        <v/>
      </c>
      <c r="G1723" s="31">
        <f>CHAIN_RAW!I1721</f>
        <v/>
      </c>
      <c r="H1723" s="31">
        <f>CHAIN_RAW!Q1721</f>
        <v/>
      </c>
      <c r="I1723" s="31">
        <f>LET(pc,F1723,oc,H1723,IF(OR(pc="",oc=""),"",IF(AND(pc&gt;0,oc&gt;0),"Long Buildup",IF(AND(pc&lt;0,oc&gt;0),"Short Buildup",IF(AND(pc&gt;0,oc&lt;0),"Short Covering",IF(AND(pc&lt;0,oc&lt;0),"Long Unwinding","Flat"))))))</f>
        <v/>
      </c>
      <c r="J1723" s="31">
        <f>LET(pc,ABS(F1723),oc,ABS(H1723),IF(OR(pc="",oc=""),"",MAX(1,MIN(5,ROUND((pc*0.5+oc*0.00001)*5,0))))))</f>
        <v/>
      </c>
    </row>
    <row r="1724">
      <c r="A1724" s="31" t="n">
        <v>1722</v>
      </c>
      <c r="B1724" s="31">
        <f>CHAIN_RAW!D1722</f>
        <v/>
      </c>
      <c r="C1724" s="31">
        <f>CHAIN_RAW!A1722</f>
        <v/>
      </c>
      <c r="D1724" s="31">
        <f>CHAIN_RAW!C1722</f>
        <v/>
      </c>
      <c r="E1724" s="31">
        <f>CHAIN_RAW!E1722</f>
        <v/>
      </c>
      <c r="F1724" s="31">
        <f>CHAIN_RAW!F1722</f>
        <v/>
      </c>
      <c r="G1724" s="31">
        <f>CHAIN_RAW!I1722</f>
        <v/>
      </c>
      <c r="H1724" s="31">
        <f>CHAIN_RAW!Q1722</f>
        <v/>
      </c>
      <c r="I1724" s="31">
        <f>LET(pc,F1724,oc,H1724,IF(OR(pc="",oc=""),"",IF(AND(pc&gt;0,oc&gt;0),"Long Buildup",IF(AND(pc&lt;0,oc&gt;0),"Short Buildup",IF(AND(pc&gt;0,oc&lt;0),"Short Covering",IF(AND(pc&lt;0,oc&lt;0),"Long Unwinding","Flat"))))))</f>
        <v/>
      </c>
      <c r="J1724" s="31">
        <f>LET(pc,ABS(F1724),oc,ABS(H1724),IF(OR(pc="",oc=""),"",MAX(1,MIN(5,ROUND((pc*0.5+oc*0.00001)*5,0))))))</f>
        <v/>
      </c>
    </row>
    <row r="1725">
      <c r="A1725" s="31" t="n">
        <v>1723</v>
      </c>
      <c r="B1725" s="31">
        <f>CHAIN_RAW!D1723</f>
        <v/>
      </c>
      <c r="C1725" s="31">
        <f>CHAIN_RAW!A1723</f>
        <v/>
      </c>
      <c r="D1725" s="31">
        <f>CHAIN_RAW!C1723</f>
        <v/>
      </c>
      <c r="E1725" s="31">
        <f>CHAIN_RAW!E1723</f>
        <v/>
      </c>
      <c r="F1725" s="31">
        <f>CHAIN_RAW!F1723</f>
        <v/>
      </c>
      <c r="G1725" s="31">
        <f>CHAIN_RAW!I1723</f>
        <v/>
      </c>
      <c r="H1725" s="31">
        <f>CHAIN_RAW!Q1723</f>
        <v/>
      </c>
      <c r="I1725" s="31">
        <f>LET(pc,F1725,oc,H1725,IF(OR(pc="",oc=""),"",IF(AND(pc&gt;0,oc&gt;0),"Long Buildup",IF(AND(pc&lt;0,oc&gt;0),"Short Buildup",IF(AND(pc&gt;0,oc&lt;0),"Short Covering",IF(AND(pc&lt;0,oc&lt;0),"Long Unwinding","Flat"))))))</f>
        <v/>
      </c>
      <c r="J1725" s="31">
        <f>LET(pc,ABS(F1725),oc,ABS(H1725),IF(OR(pc="",oc=""),"",MAX(1,MIN(5,ROUND((pc*0.5+oc*0.00001)*5,0))))))</f>
        <v/>
      </c>
    </row>
    <row r="1726">
      <c r="A1726" s="31" t="n">
        <v>1724</v>
      </c>
      <c r="B1726" s="31">
        <f>CHAIN_RAW!D1724</f>
        <v/>
      </c>
      <c r="C1726" s="31">
        <f>CHAIN_RAW!A1724</f>
        <v/>
      </c>
      <c r="D1726" s="31">
        <f>CHAIN_RAW!C1724</f>
        <v/>
      </c>
      <c r="E1726" s="31">
        <f>CHAIN_RAW!E1724</f>
        <v/>
      </c>
      <c r="F1726" s="31">
        <f>CHAIN_RAW!F1724</f>
        <v/>
      </c>
      <c r="G1726" s="31">
        <f>CHAIN_RAW!I1724</f>
        <v/>
      </c>
      <c r="H1726" s="31">
        <f>CHAIN_RAW!Q1724</f>
        <v/>
      </c>
      <c r="I1726" s="31">
        <f>LET(pc,F1726,oc,H1726,IF(OR(pc="",oc=""),"",IF(AND(pc&gt;0,oc&gt;0),"Long Buildup",IF(AND(pc&lt;0,oc&gt;0),"Short Buildup",IF(AND(pc&gt;0,oc&lt;0),"Short Covering",IF(AND(pc&lt;0,oc&lt;0),"Long Unwinding","Flat"))))))</f>
        <v/>
      </c>
      <c r="J1726" s="31">
        <f>LET(pc,ABS(F1726),oc,ABS(H1726),IF(OR(pc="",oc=""),"",MAX(1,MIN(5,ROUND((pc*0.5+oc*0.00001)*5,0))))))</f>
        <v/>
      </c>
    </row>
    <row r="1727">
      <c r="A1727" s="31" t="n">
        <v>1725</v>
      </c>
      <c r="B1727" s="31">
        <f>CHAIN_RAW!D1725</f>
        <v/>
      </c>
      <c r="C1727" s="31">
        <f>CHAIN_RAW!A1725</f>
        <v/>
      </c>
      <c r="D1727" s="31">
        <f>CHAIN_RAW!C1725</f>
        <v/>
      </c>
      <c r="E1727" s="31">
        <f>CHAIN_RAW!E1725</f>
        <v/>
      </c>
      <c r="F1727" s="31">
        <f>CHAIN_RAW!F1725</f>
        <v/>
      </c>
      <c r="G1727" s="31">
        <f>CHAIN_RAW!I1725</f>
        <v/>
      </c>
      <c r="H1727" s="31">
        <f>CHAIN_RAW!Q1725</f>
        <v/>
      </c>
      <c r="I1727" s="31">
        <f>LET(pc,F1727,oc,H1727,IF(OR(pc="",oc=""),"",IF(AND(pc&gt;0,oc&gt;0),"Long Buildup",IF(AND(pc&lt;0,oc&gt;0),"Short Buildup",IF(AND(pc&gt;0,oc&lt;0),"Short Covering",IF(AND(pc&lt;0,oc&lt;0),"Long Unwinding","Flat"))))))</f>
        <v/>
      </c>
      <c r="J1727" s="31">
        <f>LET(pc,ABS(F1727),oc,ABS(H1727),IF(OR(pc="",oc=""),"",MAX(1,MIN(5,ROUND((pc*0.5+oc*0.00001)*5,0))))))</f>
        <v/>
      </c>
    </row>
    <row r="1728">
      <c r="A1728" s="31" t="n">
        <v>1726</v>
      </c>
      <c r="B1728" s="31">
        <f>CHAIN_RAW!D1726</f>
        <v/>
      </c>
      <c r="C1728" s="31">
        <f>CHAIN_RAW!A1726</f>
        <v/>
      </c>
      <c r="D1728" s="31">
        <f>CHAIN_RAW!C1726</f>
        <v/>
      </c>
      <c r="E1728" s="31">
        <f>CHAIN_RAW!E1726</f>
        <v/>
      </c>
      <c r="F1728" s="31">
        <f>CHAIN_RAW!F1726</f>
        <v/>
      </c>
      <c r="G1728" s="31">
        <f>CHAIN_RAW!I1726</f>
        <v/>
      </c>
      <c r="H1728" s="31">
        <f>CHAIN_RAW!Q1726</f>
        <v/>
      </c>
      <c r="I1728" s="31">
        <f>LET(pc,F1728,oc,H1728,IF(OR(pc="",oc=""),"",IF(AND(pc&gt;0,oc&gt;0),"Long Buildup",IF(AND(pc&lt;0,oc&gt;0),"Short Buildup",IF(AND(pc&gt;0,oc&lt;0),"Short Covering",IF(AND(pc&lt;0,oc&lt;0),"Long Unwinding","Flat"))))))</f>
        <v/>
      </c>
      <c r="J1728" s="31">
        <f>LET(pc,ABS(F1728),oc,ABS(H1728),IF(OR(pc="",oc=""),"",MAX(1,MIN(5,ROUND((pc*0.5+oc*0.00001)*5,0))))))</f>
        <v/>
      </c>
    </row>
    <row r="1729">
      <c r="A1729" s="31" t="n">
        <v>1727</v>
      </c>
      <c r="B1729" s="31">
        <f>CHAIN_RAW!D1727</f>
        <v/>
      </c>
      <c r="C1729" s="31">
        <f>CHAIN_RAW!A1727</f>
        <v/>
      </c>
      <c r="D1729" s="31">
        <f>CHAIN_RAW!C1727</f>
        <v/>
      </c>
      <c r="E1729" s="31">
        <f>CHAIN_RAW!E1727</f>
        <v/>
      </c>
      <c r="F1729" s="31">
        <f>CHAIN_RAW!F1727</f>
        <v/>
      </c>
      <c r="G1729" s="31">
        <f>CHAIN_RAW!I1727</f>
        <v/>
      </c>
      <c r="H1729" s="31">
        <f>CHAIN_RAW!Q1727</f>
        <v/>
      </c>
      <c r="I1729" s="31">
        <f>LET(pc,F1729,oc,H1729,IF(OR(pc="",oc=""),"",IF(AND(pc&gt;0,oc&gt;0),"Long Buildup",IF(AND(pc&lt;0,oc&gt;0),"Short Buildup",IF(AND(pc&gt;0,oc&lt;0),"Short Covering",IF(AND(pc&lt;0,oc&lt;0),"Long Unwinding","Flat"))))))</f>
        <v/>
      </c>
      <c r="J1729" s="31">
        <f>LET(pc,ABS(F1729),oc,ABS(H1729),IF(OR(pc="",oc=""),"",MAX(1,MIN(5,ROUND((pc*0.5+oc*0.00001)*5,0))))))</f>
        <v/>
      </c>
    </row>
    <row r="1730">
      <c r="A1730" s="31" t="n">
        <v>1728</v>
      </c>
      <c r="B1730" s="31">
        <f>CHAIN_RAW!D1728</f>
        <v/>
      </c>
      <c r="C1730" s="31">
        <f>CHAIN_RAW!A1728</f>
        <v/>
      </c>
      <c r="D1730" s="31">
        <f>CHAIN_RAW!C1728</f>
        <v/>
      </c>
      <c r="E1730" s="31">
        <f>CHAIN_RAW!E1728</f>
        <v/>
      </c>
      <c r="F1730" s="31">
        <f>CHAIN_RAW!F1728</f>
        <v/>
      </c>
      <c r="G1730" s="31">
        <f>CHAIN_RAW!I1728</f>
        <v/>
      </c>
      <c r="H1730" s="31">
        <f>CHAIN_RAW!Q1728</f>
        <v/>
      </c>
      <c r="I1730" s="31">
        <f>LET(pc,F1730,oc,H1730,IF(OR(pc="",oc=""),"",IF(AND(pc&gt;0,oc&gt;0),"Long Buildup",IF(AND(pc&lt;0,oc&gt;0),"Short Buildup",IF(AND(pc&gt;0,oc&lt;0),"Short Covering",IF(AND(pc&lt;0,oc&lt;0),"Long Unwinding","Flat"))))))</f>
        <v/>
      </c>
      <c r="J1730" s="31">
        <f>LET(pc,ABS(F1730),oc,ABS(H1730),IF(OR(pc="",oc=""),"",MAX(1,MIN(5,ROUND((pc*0.5+oc*0.00001)*5,0))))))</f>
        <v/>
      </c>
    </row>
    <row r="1731">
      <c r="A1731" s="31" t="n">
        <v>1729</v>
      </c>
      <c r="B1731" s="31">
        <f>CHAIN_RAW!D1729</f>
        <v/>
      </c>
      <c r="C1731" s="31">
        <f>CHAIN_RAW!A1729</f>
        <v/>
      </c>
      <c r="D1731" s="31">
        <f>CHAIN_RAW!C1729</f>
        <v/>
      </c>
      <c r="E1731" s="31">
        <f>CHAIN_RAW!E1729</f>
        <v/>
      </c>
      <c r="F1731" s="31">
        <f>CHAIN_RAW!F1729</f>
        <v/>
      </c>
      <c r="G1731" s="31">
        <f>CHAIN_RAW!I1729</f>
        <v/>
      </c>
      <c r="H1731" s="31">
        <f>CHAIN_RAW!Q1729</f>
        <v/>
      </c>
      <c r="I1731" s="31">
        <f>LET(pc,F1731,oc,H1731,IF(OR(pc="",oc=""),"",IF(AND(pc&gt;0,oc&gt;0),"Long Buildup",IF(AND(pc&lt;0,oc&gt;0),"Short Buildup",IF(AND(pc&gt;0,oc&lt;0),"Short Covering",IF(AND(pc&lt;0,oc&lt;0),"Long Unwinding","Flat"))))))</f>
        <v/>
      </c>
      <c r="J1731" s="31">
        <f>LET(pc,ABS(F1731),oc,ABS(H1731),IF(OR(pc="",oc=""),"",MAX(1,MIN(5,ROUND((pc*0.5+oc*0.00001)*5,0))))))</f>
        <v/>
      </c>
    </row>
    <row r="1732">
      <c r="A1732" s="31" t="n">
        <v>1730</v>
      </c>
      <c r="B1732" s="31">
        <f>CHAIN_RAW!D1730</f>
        <v/>
      </c>
      <c r="C1732" s="31">
        <f>CHAIN_RAW!A1730</f>
        <v/>
      </c>
      <c r="D1732" s="31">
        <f>CHAIN_RAW!C1730</f>
        <v/>
      </c>
      <c r="E1732" s="31">
        <f>CHAIN_RAW!E1730</f>
        <v/>
      </c>
      <c r="F1732" s="31">
        <f>CHAIN_RAW!F1730</f>
        <v/>
      </c>
      <c r="G1732" s="31">
        <f>CHAIN_RAW!I1730</f>
        <v/>
      </c>
      <c r="H1732" s="31">
        <f>CHAIN_RAW!Q1730</f>
        <v/>
      </c>
      <c r="I1732" s="31">
        <f>LET(pc,F1732,oc,H1732,IF(OR(pc="",oc=""),"",IF(AND(pc&gt;0,oc&gt;0),"Long Buildup",IF(AND(pc&lt;0,oc&gt;0),"Short Buildup",IF(AND(pc&gt;0,oc&lt;0),"Short Covering",IF(AND(pc&lt;0,oc&lt;0),"Long Unwinding","Flat"))))))</f>
        <v/>
      </c>
      <c r="J1732" s="31">
        <f>LET(pc,ABS(F1732),oc,ABS(H1732),IF(OR(pc="",oc=""),"",MAX(1,MIN(5,ROUND((pc*0.5+oc*0.00001)*5,0))))))</f>
        <v/>
      </c>
    </row>
    <row r="1733">
      <c r="A1733" s="31" t="n">
        <v>1731</v>
      </c>
      <c r="B1733" s="31">
        <f>CHAIN_RAW!D1731</f>
        <v/>
      </c>
      <c r="C1733" s="31">
        <f>CHAIN_RAW!A1731</f>
        <v/>
      </c>
      <c r="D1733" s="31">
        <f>CHAIN_RAW!C1731</f>
        <v/>
      </c>
      <c r="E1733" s="31">
        <f>CHAIN_RAW!E1731</f>
        <v/>
      </c>
      <c r="F1733" s="31">
        <f>CHAIN_RAW!F1731</f>
        <v/>
      </c>
      <c r="G1733" s="31">
        <f>CHAIN_RAW!I1731</f>
        <v/>
      </c>
      <c r="H1733" s="31">
        <f>CHAIN_RAW!Q1731</f>
        <v/>
      </c>
      <c r="I1733" s="31">
        <f>LET(pc,F1733,oc,H1733,IF(OR(pc="",oc=""),"",IF(AND(pc&gt;0,oc&gt;0),"Long Buildup",IF(AND(pc&lt;0,oc&gt;0),"Short Buildup",IF(AND(pc&gt;0,oc&lt;0),"Short Covering",IF(AND(pc&lt;0,oc&lt;0),"Long Unwinding","Flat"))))))</f>
        <v/>
      </c>
      <c r="J1733" s="31">
        <f>LET(pc,ABS(F1733),oc,ABS(H1733),IF(OR(pc="",oc=""),"",MAX(1,MIN(5,ROUND((pc*0.5+oc*0.00001)*5,0))))))</f>
        <v/>
      </c>
    </row>
    <row r="1734">
      <c r="A1734" s="31" t="n">
        <v>1732</v>
      </c>
      <c r="B1734" s="31">
        <f>CHAIN_RAW!D1732</f>
        <v/>
      </c>
      <c r="C1734" s="31">
        <f>CHAIN_RAW!A1732</f>
        <v/>
      </c>
      <c r="D1734" s="31">
        <f>CHAIN_RAW!C1732</f>
        <v/>
      </c>
      <c r="E1734" s="31">
        <f>CHAIN_RAW!E1732</f>
        <v/>
      </c>
      <c r="F1734" s="31">
        <f>CHAIN_RAW!F1732</f>
        <v/>
      </c>
      <c r="G1734" s="31">
        <f>CHAIN_RAW!I1732</f>
        <v/>
      </c>
      <c r="H1734" s="31">
        <f>CHAIN_RAW!Q1732</f>
        <v/>
      </c>
      <c r="I1734" s="31">
        <f>LET(pc,F1734,oc,H1734,IF(OR(pc="",oc=""),"",IF(AND(pc&gt;0,oc&gt;0),"Long Buildup",IF(AND(pc&lt;0,oc&gt;0),"Short Buildup",IF(AND(pc&gt;0,oc&lt;0),"Short Covering",IF(AND(pc&lt;0,oc&lt;0),"Long Unwinding","Flat"))))))</f>
        <v/>
      </c>
      <c r="J1734" s="31">
        <f>LET(pc,ABS(F1734),oc,ABS(H1734),IF(OR(pc="",oc=""),"",MAX(1,MIN(5,ROUND((pc*0.5+oc*0.00001)*5,0))))))</f>
        <v/>
      </c>
    </row>
    <row r="1735">
      <c r="A1735" s="31" t="n">
        <v>1733</v>
      </c>
      <c r="B1735" s="31">
        <f>CHAIN_RAW!D1733</f>
        <v/>
      </c>
      <c r="C1735" s="31">
        <f>CHAIN_RAW!A1733</f>
        <v/>
      </c>
      <c r="D1735" s="31">
        <f>CHAIN_RAW!C1733</f>
        <v/>
      </c>
      <c r="E1735" s="31">
        <f>CHAIN_RAW!E1733</f>
        <v/>
      </c>
      <c r="F1735" s="31">
        <f>CHAIN_RAW!F1733</f>
        <v/>
      </c>
      <c r="G1735" s="31">
        <f>CHAIN_RAW!I1733</f>
        <v/>
      </c>
      <c r="H1735" s="31">
        <f>CHAIN_RAW!Q1733</f>
        <v/>
      </c>
      <c r="I1735" s="31">
        <f>LET(pc,F1735,oc,H1735,IF(OR(pc="",oc=""),"",IF(AND(pc&gt;0,oc&gt;0),"Long Buildup",IF(AND(pc&lt;0,oc&gt;0),"Short Buildup",IF(AND(pc&gt;0,oc&lt;0),"Short Covering",IF(AND(pc&lt;0,oc&lt;0),"Long Unwinding","Flat"))))))</f>
        <v/>
      </c>
      <c r="J1735" s="31">
        <f>LET(pc,ABS(F1735),oc,ABS(H1735),IF(OR(pc="",oc=""),"",MAX(1,MIN(5,ROUND((pc*0.5+oc*0.00001)*5,0))))))</f>
        <v/>
      </c>
    </row>
    <row r="1736">
      <c r="A1736" s="31" t="n">
        <v>1734</v>
      </c>
      <c r="B1736" s="31">
        <f>CHAIN_RAW!D1734</f>
        <v/>
      </c>
      <c r="C1736" s="31">
        <f>CHAIN_RAW!A1734</f>
        <v/>
      </c>
      <c r="D1736" s="31">
        <f>CHAIN_RAW!C1734</f>
        <v/>
      </c>
      <c r="E1736" s="31">
        <f>CHAIN_RAW!E1734</f>
        <v/>
      </c>
      <c r="F1736" s="31">
        <f>CHAIN_RAW!F1734</f>
        <v/>
      </c>
      <c r="G1736" s="31">
        <f>CHAIN_RAW!I1734</f>
        <v/>
      </c>
      <c r="H1736" s="31">
        <f>CHAIN_RAW!Q1734</f>
        <v/>
      </c>
      <c r="I1736" s="31">
        <f>LET(pc,F1736,oc,H1736,IF(OR(pc="",oc=""),"",IF(AND(pc&gt;0,oc&gt;0),"Long Buildup",IF(AND(pc&lt;0,oc&gt;0),"Short Buildup",IF(AND(pc&gt;0,oc&lt;0),"Short Covering",IF(AND(pc&lt;0,oc&lt;0),"Long Unwinding","Flat"))))))</f>
        <v/>
      </c>
      <c r="J1736" s="31">
        <f>LET(pc,ABS(F1736),oc,ABS(H1736),IF(OR(pc="",oc=""),"",MAX(1,MIN(5,ROUND((pc*0.5+oc*0.00001)*5,0))))))</f>
        <v/>
      </c>
    </row>
    <row r="1737">
      <c r="A1737" s="31" t="n">
        <v>1735</v>
      </c>
      <c r="B1737" s="31">
        <f>CHAIN_RAW!D1735</f>
        <v/>
      </c>
      <c r="C1737" s="31">
        <f>CHAIN_RAW!A1735</f>
        <v/>
      </c>
      <c r="D1737" s="31">
        <f>CHAIN_RAW!C1735</f>
        <v/>
      </c>
      <c r="E1737" s="31">
        <f>CHAIN_RAW!E1735</f>
        <v/>
      </c>
      <c r="F1737" s="31">
        <f>CHAIN_RAW!F1735</f>
        <v/>
      </c>
      <c r="G1737" s="31">
        <f>CHAIN_RAW!I1735</f>
        <v/>
      </c>
      <c r="H1737" s="31">
        <f>CHAIN_RAW!Q1735</f>
        <v/>
      </c>
      <c r="I1737" s="31">
        <f>LET(pc,F1737,oc,H1737,IF(OR(pc="",oc=""),"",IF(AND(pc&gt;0,oc&gt;0),"Long Buildup",IF(AND(pc&lt;0,oc&gt;0),"Short Buildup",IF(AND(pc&gt;0,oc&lt;0),"Short Covering",IF(AND(pc&lt;0,oc&lt;0),"Long Unwinding","Flat"))))))</f>
        <v/>
      </c>
      <c r="J1737" s="31">
        <f>LET(pc,ABS(F1737),oc,ABS(H1737),IF(OR(pc="",oc=""),"",MAX(1,MIN(5,ROUND((pc*0.5+oc*0.00001)*5,0))))))</f>
        <v/>
      </c>
    </row>
    <row r="1738">
      <c r="A1738" s="31" t="n">
        <v>1736</v>
      </c>
      <c r="B1738" s="31">
        <f>CHAIN_RAW!D1736</f>
        <v/>
      </c>
      <c r="C1738" s="31">
        <f>CHAIN_RAW!A1736</f>
        <v/>
      </c>
      <c r="D1738" s="31">
        <f>CHAIN_RAW!C1736</f>
        <v/>
      </c>
      <c r="E1738" s="31">
        <f>CHAIN_RAW!E1736</f>
        <v/>
      </c>
      <c r="F1738" s="31">
        <f>CHAIN_RAW!F1736</f>
        <v/>
      </c>
      <c r="G1738" s="31">
        <f>CHAIN_RAW!I1736</f>
        <v/>
      </c>
      <c r="H1738" s="31">
        <f>CHAIN_RAW!Q1736</f>
        <v/>
      </c>
      <c r="I1738" s="31">
        <f>LET(pc,F1738,oc,H1738,IF(OR(pc="",oc=""),"",IF(AND(pc&gt;0,oc&gt;0),"Long Buildup",IF(AND(pc&lt;0,oc&gt;0),"Short Buildup",IF(AND(pc&gt;0,oc&lt;0),"Short Covering",IF(AND(pc&lt;0,oc&lt;0),"Long Unwinding","Flat"))))))</f>
        <v/>
      </c>
      <c r="J1738" s="31">
        <f>LET(pc,ABS(F1738),oc,ABS(H1738),IF(OR(pc="",oc=""),"",MAX(1,MIN(5,ROUND((pc*0.5+oc*0.00001)*5,0))))))</f>
        <v/>
      </c>
    </row>
    <row r="1739">
      <c r="A1739" s="31" t="n">
        <v>1737</v>
      </c>
      <c r="B1739" s="31">
        <f>CHAIN_RAW!D1737</f>
        <v/>
      </c>
      <c r="C1739" s="31">
        <f>CHAIN_RAW!A1737</f>
        <v/>
      </c>
      <c r="D1739" s="31">
        <f>CHAIN_RAW!C1737</f>
        <v/>
      </c>
      <c r="E1739" s="31">
        <f>CHAIN_RAW!E1737</f>
        <v/>
      </c>
      <c r="F1739" s="31">
        <f>CHAIN_RAW!F1737</f>
        <v/>
      </c>
      <c r="G1739" s="31">
        <f>CHAIN_RAW!I1737</f>
        <v/>
      </c>
      <c r="H1739" s="31">
        <f>CHAIN_RAW!Q1737</f>
        <v/>
      </c>
      <c r="I1739" s="31">
        <f>LET(pc,F1739,oc,H1739,IF(OR(pc="",oc=""),"",IF(AND(pc&gt;0,oc&gt;0),"Long Buildup",IF(AND(pc&lt;0,oc&gt;0),"Short Buildup",IF(AND(pc&gt;0,oc&lt;0),"Short Covering",IF(AND(pc&lt;0,oc&lt;0),"Long Unwinding","Flat"))))))</f>
        <v/>
      </c>
      <c r="J1739" s="31">
        <f>LET(pc,ABS(F1739),oc,ABS(H1739),IF(OR(pc="",oc=""),"",MAX(1,MIN(5,ROUND((pc*0.5+oc*0.00001)*5,0))))))</f>
        <v/>
      </c>
    </row>
    <row r="1740">
      <c r="A1740" s="31" t="n">
        <v>1738</v>
      </c>
      <c r="B1740" s="31">
        <f>CHAIN_RAW!D1738</f>
        <v/>
      </c>
      <c r="C1740" s="31">
        <f>CHAIN_RAW!A1738</f>
        <v/>
      </c>
      <c r="D1740" s="31">
        <f>CHAIN_RAW!C1738</f>
        <v/>
      </c>
      <c r="E1740" s="31">
        <f>CHAIN_RAW!E1738</f>
        <v/>
      </c>
      <c r="F1740" s="31">
        <f>CHAIN_RAW!F1738</f>
        <v/>
      </c>
      <c r="G1740" s="31">
        <f>CHAIN_RAW!I1738</f>
        <v/>
      </c>
      <c r="H1740" s="31">
        <f>CHAIN_RAW!Q1738</f>
        <v/>
      </c>
      <c r="I1740" s="31">
        <f>LET(pc,F1740,oc,H1740,IF(OR(pc="",oc=""),"",IF(AND(pc&gt;0,oc&gt;0),"Long Buildup",IF(AND(pc&lt;0,oc&gt;0),"Short Buildup",IF(AND(pc&gt;0,oc&lt;0),"Short Covering",IF(AND(pc&lt;0,oc&lt;0),"Long Unwinding","Flat"))))))</f>
        <v/>
      </c>
      <c r="J1740" s="31">
        <f>LET(pc,ABS(F1740),oc,ABS(H1740),IF(OR(pc="",oc=""),"",MAX(1,MIN(5,ROUND((pc*0.5+oc*0.00001)*5,0))))))</f>
        <v/>
      </c>
    </row>
    <row r="1741">
      <c r="A1741" s="31" t="n">
        <v>1739</v>
      </c>
      <c r="B1741" s="31">
        <f>CHAIN_RAW!D1739</f>
        <v/>
      </c>
      <c r="C1741" s="31">
        <f>CHAIN_RAW!A1739</f>
        <v/>
      </c>
      <c r="D1741" s="31">
        <f>CHAIN_RAW!C1739</f>
        <v/>
      </c>
      <c r="E1741" s="31">
        <f>CHAIN_RAW!E1739</f>
        <v/>
      </c>
      <c r="F1741" s="31">
        <f>CHAIN_RAW!F1739</f>
        <v/>
      </c>
      <c r="G1741" s="31">
        <f>CHAIN_RAW!I1739</f>
        <v/>
      </c>
      <c r="H1741" s="31">
        <f>CHAIN_RAW!Q1739</f>
        <v/>
      </c>
      <c r="I1741" s="31">
        <f>LET(pc,F1741,oc,H1741,IF(OR(pc="",oc=""),"",IF(AND(pc&gt;0,oc&gt;0),"Long Buildup",IF(AND(pc&lt;0,oc&gt;0),"Short Buildup",IF(AND(pc&gt;0,oc&lt;0),"Short Covering",IF(AND(pc&lt;0,oc&lt;0),"Long Unwinding","Flat"))))))</f>
        <v/>
      </c>
      <c r="J1741" s="31">
        <f>LET(pc,ABS(F1741),oc,ABS(H1741),IF(OR(pc="",oc=""),"",MAX(1,MIN(5,ROUND((pc*0.5+oc*0.00001)*5,0))))))</f>
        <v/>
      </c>
    </row>
    <row r="1742">
      <c r="A1742" s="31" t="n">
        <v>1740</v>
      </c>
      <c r="B1742" s="31">
        <f>CHAIN_RAW!D1740</f>
        <v/>
      </c>
      <c r="C1742" s="31">
        <f>CHAIN_RAW!A1740</f>
        <v/>
      </c>
      <c r="D1742" s="31">
        <f>CHAIN_RAW!C1740</f>
        <v/>
      </c>
      <c r="E1742" s="31">
        <f>CHAIN_RAW!E1740</f>
        <v/>
      </c>
      <c r="F1742" s="31">
        <f>CHAIN_RAW!F1740</f>
        <v/>
      </c>
      <c r="G1742" s="31">
        <f>CHAIN_RAW!I1740</f>
        <v/>
      </c>
      <c r="H1742" s="31">
        <f>CHAIN_RAW!Q1740</f>
        <v/>
      </c>
      <c r="I1742" s="31">
        <f>LET(pc,F1742,oc,H1742,IF(OR(pc="",oc=""),"",IF(AND(pc&gt;0,oc&gt;0),"Long Buildup",IF(AND(pc&lt;0,oc&gt;0),"Short Buildup",IF(AND(pc&gt;0,oc&lt;0),"Short Covering",IF(AND(pc&lt;0,oc&lt;0),"Long Unwinding","Flat"))))))</f>
        <v/>
      </c>
      <c r="J1742" s="31">
        <f>LET(pc,ABS(F1742),oc,ABS(H1742),IF(OR(pc="",oc=""),"",MAX(1,MIN(5,ROUND((pc*0.5+oc*0.00001)*5,0))))))</f>
        <v/>
      </c>
    </row>
    <row r="1743">
      <c r="A1743" s="31" t="n">
        <v>1741</v>
      </c>
      <c r="B1743" s="31">
        <f>CHAIN_RAW!D1741</f>
        <v/>
      </c>
      <c r="C1743" s="31">
        <f>CHAIN_RAW!A1741</f>
        <v/>
      </c>
      <c r="D1743" s="31">
        <f>CHAIN_RAW!C1741</f>
        <v/>
      </c>
      <c r="E1743" s="31">
        <f>CHAIN_RAW!E1741</f>
        <v/>
      </c>
      <c r="F1743" s="31">
        <f>CHAIN_RAW!F1741</f>
        <v/>
      </c>
      <c r="G1743" s="31">
        <f>CHAIN_RAW!I1741</f>
        <v/>
      </c>
      <c r="H1743" s="31">
        <f>CHAIN_RAW!Q1741</f>
        <v/>
      </c>
      <c r="I1743" s="31">
        <f>LET(pc,F1743,oc,H1743,IF(OR(pc="",oc=""),"",IF(AND(pc&gt;0,oc&gt;0),"Long Buildup",IF(AND(pc&lt;0,oc&gt;0),"Short Buildup",IF(AND(pc&gt;0,oc&lt;0),"Short Covering",IF(AND(pc&lt;0,oc&lt;0),"Long Unwinding","Flat"))))))</f>
        <v/>
      </c>
      <c r="J1743" s="31">
        <f>LET(pc,ABS(F1743),oc,ABS(H1743),IF(OR(pc="",oc=""),"",MAX(1,MIN(5,ROUND((pc*0.5+oc*0.00001)*5,0))))))</f>
        <v/>
      </c>
    </row>
    <row r="1744">
      <c r="A1744" s="31" t="n">
        <v>1742</v>
      </c>
      <c r="B1744" s="31">
        <f>CHAIN_RAW!D1742</f>
        <v/>
      </c>
      <c r="C1744" s="31">
        <f>CHAIN_RAW!A1742</f>
        <v/>
      </c>
      <c r="D1744" s="31">
        <f>CHAIN_RAW!C1742</f>
        <v/>
      </c>
      <c r="E1744" s="31">
        <f>CHAIN_RAW!E1742</f>
        <v/>
      </c>
      <c r="F1744" s="31">
        <f>CHAIN_RAW!F1742</f>
        <v/>
      </c>
      <c r="G1744" s="31">
        <f>CHAIN_RAW!I1742</f>
        <v/>
      </c>
      <c r="H1744" s="31">
        <f>CHAIN_RAW!Q1742</f>
        <v/>
      </c>
      <c r="I1744" s="31">
        <f>LET(pc,F1744,oc,H1744,IF(OR(pc="",oc=""),"",IF(AND(pc&gt;0,oc&gt;0),"Long Buildup",IF(AND(pc&lt;0,oc&gt;0),"Short Buildup",IF(AND(pc&gt;0,oc&lt;0),"Short Covering",IF(AND(pc&lt;0,oc&lt;0),"Long Unwinding","Flat"))))))</f>
        <v/>
      </c>
      <c r="J1744" s="31">
        <f>LET(pc,ABS(F1744),oc,ABS(H1744),IF(OR(pc="",oc=""),"",MAX(1,MIN(5,ROUND((pc*0.5+oc*0.00001)*5,0))))))</f>
        <v/>
      </c>
    </row>
    <row r="1745">
      <c r="A1745" s="31" t="n">
        <v>1743</v>
      </c>
      <c r="B1745" s="31">
        <f>CHAIN_RAW!D1743</f>
        <v/>
      </c>
      <c r="C1745" s="31">
        <f>CHAIN_RAW!A1743</f>
        <v/>
      </c>
      <c r="D1745" s="31">
        <f>CHAIN_RAW!C1743</f>
        <v/>
      </c>
      <c r="E1745" s="31">
        <f>CHAIN_RAW!E1743</f>
        <v/>
      </c>
      <c r="F1745" s="31">
        <f>CHAIN_RAW!F1743</f>
        <v/>
      </c>
      <c r="G1745" s="31">
        <f>CHAIN_RAW!I1743</f>
        <v/>
      </c>
      <c r="H1745" s="31">
        <f>CHAIN_RAW!Q1743</f>
        <v/>
      </c>
      <c r="I1745" s="31">
        <f>LET(pc,F1745,oc,H1745,IF(OR(pc="",oc=""),"",IF(AND(pc&gt;0,oc&gt;0),"Long Buildup",IF(AND(pc&lt;0,oc&gt;0),"Short Buildup",IF(AND(pc&gt;0,oc&lt;0),"Short Covering",IF(AND(pc&lt;0,oc&lt;0),"Long Unwinding","Flat"))))))</f>
        <v/>
      </c>
      <c r="J1745" s="31">
        <f>LET(pc,ABS(F1745),oc,ABS(H1745),IF(OR(pc="",oc=""),"",MAX(1,MIN(5,ROUND((pc*0.5+oc*0.00001)*5,0))))))</f>
        <v/>
      </c>
    </row>
    <row r="1746">
      <c r="A1746" s="31" t="n">
        <v>1744</v>
      </c>
      <c r="B1746" s="31">
        <f>CHAIN_RAW!D1744</f>
        <v/>
      </c>
      <c r="C1746" s="31">
        <f>CHAIN_RAW!A1744</f>
        <v/>
      </c>
      <c r="D1746" s="31">
        <f>CHAIN_RAW!C1744</f>
        <v/>
      </c>
      <c r="E1746" s="31">
        <f>CHAIN_RAW!E1744</f>
        <v/>
      </c>
      <c r="F1746" s="31">
        <f>CHAIN_RAW!F1744</f>
        <v/>
      </c>
      <c r="G1746" s="31">
        <f>CHAIN_RAW!I1744</f>
        <v/>
      </c>
      <c r="H1746" s="31">
        <f>CHAIN_RAW!Q1744</f>
        <v/>
      </c>
      <c r="I1746" s="31">
        <f>LET(pc,F1746,oc,H1746,IF(OR(pc="",oc=""),"",IF(AND(pc&gt;0,oc&gt;0),"Long Buildup",IF(AND(pc&lt;0,oc&gt;0),"Short Buildup",IF(AND(pc&gt;0,oc&lt;0),"Short Covering",IF(AND(pc&lt;0,oc&lt;0),"Long Unwinding","Flat"))))))</f>
        <v/>
      </c>
      <c r="J1746" s="31">
        <f>LET(pc,ABS(F1746),oc,ABS(H1746),IF(OR(pc="",oc=""),"",MAX(1,MIN(5,ROUND((pc*0.5+oc*0.00001)*5,0))))))</f>
        <v/>
      </c>
    </row>
    <row r="1747">
      <c r="A1747" s="31" t="n">
        <v>1745</v>
      </c>
      <c r="B1747" s="31">
        <f>CHAIN_RAW!D1745</f>
        <v/>
      </c>
      <c r="C1747" s="31">
        <f>CHAIN_RAW!A1745</f>
        <v/>
      </c>
      <c r="D1747" s="31">
        <f>CHAIN_RAW!C1745</f>
        <v/>
      </c>
      <c r="E1747" s="31">
        <f>CHAIN_RAW!E1745</f>
        <v/>
      </c>
      <c r="F1747" s="31">
        <f>CHAIN_RAW!F1745</f>
        <v/>
      </c>
      <c r="G1747" s="31">
        <f>CHAIN_RAW!I1745</f>
        <v/>
      </c>
      <c r="H1747" s="31">
        <f>CHAIN_RAW!Q1745</f>
        <v/>
      </c>
      <c r="I1747" s="31">
        <f>LET(pc,F1747,oc,H1747,IF(OR(pc="",oc=""),"",IF(AND(pc&gt;0,oc&gt;0),"Long Buildup",IF(AND(pc&lt;0,oc&gt;0),"Short Buildup",IF(AND(pc&gt;0,oc&lt;0),"Short Covering",IF(AND(pc&lt;0,oc&lt;0),"Long Unwinding","Flat"))))))</f>
        <v/>
      </c>
      <c r="J1747" s="31">
        <f>LET(pc,ABS(F1747),oc,ABS(H1747),IF(OR(pc="",oc=""),"",MAX(1,MIN(5,ROUND((pc*0.5+oc*0.00001)*5,0))))))</f>
        <v/>
      </c>
    </row>
    <row r="1748">
      <c r="A1748" s="31" t="n">
        <v>1746</v>
      </c>
      <c r="B1748" s="31">
        <f>CHAIN_RAW!D1746</f>
        <v/>
      </c>
      <c r="C1748" s="31">
        <f>CHAIN_RAW!A1746</f>
        <v/>
      </c>
      <c r="D1748" s="31">
        <f>CHAIN_RAW!C1746</f>
        <v/>
      </c>
      <c r="E1748" s="31">
        <f>CHAIN_RAW!E1746</f>
        <v/>
      </c>
      <c r="F1748" s="31">
        <f>CHAIN_RAW!F1746</f>
        <v/>
      </c>
      <c r="G1748" s="31">
        <f>CHAIN_RAW!I1746</f>
        <v/>
      </c>
      <c r="H1748" s="31">
        <f>CHAIN_RAW!Q1746</f>
        <v/>
      </c>
      <c r="I1748" s="31">
        <f>LET(pc,F1748,oc,H1748,IF(OR(pc="",oc=""),"",IF(AND(pc&gt;0,oc&gt;0),"Long Buildup",IF(AND(pc&lt;0,oc&gt;0),"Short Buildup",IF(AND(pc&gt;0,oc&lt;0),"Short Covering",IF(AND(pc&lt;0,oc&lt;0),"Long Unwinding","Flat"))))))</f>
        <v/>
      </c>
      <c r="J1748" s="31">
        <f>LET(pc,ABS(F1748),oc,ABS(H1748),IF(OR(pc="",oc=""),"",MAX(1,MIN(5,ROUND((pc*0.5+oc*0.00001)*5,0))))))</f>
        <v/>
      </c>
    </row>
    <row r="1749">
      <c r="A1749" s="31" t="n">
        <v>1747</v>
      </c>
      <c r="B1749" s="31">
        <f>CHAIN_RAW!D1747</f>
        <v/>
      </c>
      <c r="C1749" s="31">
        <f>CHAIN_RAW!A1747</f>
        <v/>
      </c>
      <c r="D1749" s="31">
        <f>CHAIN_RAW!C1747</f>
        <v/>
      </c>
      <c r="E1749" s="31">
        <f>CHAIN_RAW!E1747</f>
        <v/>
      </c>
      <c r="F1749" s="31">
        <f>CHAIN_RAW!F1747</f>
        <v/>
      </c>
      <c r="G1749" s="31">
        <f>CHAIN_RAW!I1747</f>
        <v/>
      </c>
      <c r="H1749" s="31">
        <f>CHAIN_RAW!Q1747</f>
        <v/>
      </c>
      <c r="I1749" s="31">
        <f>LET(pc,F1749,oc,H1749,IF(OR(pc="",oc=""),"",IF(AND(pc&gt;0,oc&gt;0),"Long Buildup",IF(AND(pc&lt;0,oc&gt;0),"Short Buildup",IF(AND(pc&gt;0,oc&lt;0),"Short Covering",IF(AND(pc&lt;0,oc&lt;0),"Long Unwinding","Flat"))))))</f>
        <v/>
      </c>
      <c r="J1749" s="31">
        <f>LET(pc,ABS(F1749),oc,ABS(H1749),IF(OR(pc="",oc=""),"",MAX(1,MIN(5,ROUND((pc*0.5+oc*0.00001)*5,0))))))</f>
        <v/>
      </c>
    </row>
    <row r="1750">
      <c r="A1750" s="31" t="n">
        <v>1748</v>
      </c>
      <c r="B1750" s="31">
        <f>CHAIN_RAW!D1748</f>
        <v/>
      </c>
      <c r="C1750" s="31">
        <f>CHAIN_RAW!A1748</f>
        <v/>
      </c>
      <c r="D1750" s="31">
        <f>CHAIN_RAW!C1748</f>
        <v/>
      </c>
      <c r="E1750" s="31">
        <f>CHAIN_RAW!E1748</f>
        <v/>
      </c>
      <c r="F1750" s="31">
        <f>CHAIN_RAW!F1748</f>
        <v/>
      </c>
      <c r="G1750" s="31">
        <f>CHAIN_RAW!I1748</f>
        <v/>
      </c>
      <c r="H1750" s="31">
        <f>CHAIN_RAW!Q1748</f>
        <v/>
      </c>
      <c r="I1750" s="31">
        <f>LET(pc,F1750,oc,H1750,IF(OR(pc="",oc=""),"",IF(AND(pc&gt;0,oc&gt;0),"Long Buildup",IF(AND(pc&lt;0,oc&gt;0),"Short Buildup",IF(AND(pc&gt;0,oc&lt;0),"Short Covering",IF(AND(pc&lt;0,oc&lt;0),"Long Unwinding","Flat"))))))</f>
        <v/>
      </c>
      <c r="J1750" s="31">
        <f>LET(pc,ABS(F1750),oc,ABS(H1750),IF(OR(pc="",oc=""),"",MAX(1,MIN(5,ROUND((pc*0.5+oc*0.00001)*5,0))))))</f>
        <v/>
      </c>
    </row>
    <row r="1751">
      <c r="A1751" s="31" t="n">
        <v>1749</v>
      </c>
      <c r="B1751" s="31">
        <f>CHAIN_RAW!D1749</f>
        <v/>
      </c>
      <c r="C1751" s="31">
        <f>CHAIN_RAW!A1749</f>
        <v/>
      </c>
      <c r="D1751" s="31">
        <f>CHAIN_RAW!C1749</f>
        <v/>
      </c>
      <c r="E1751" s="31">
        <f>CHAIN_RAW!E1749</f>
        <v/>
      </c>
      <c r="F1751" s="31">
        <f>CHAIN_RAW!F1749</f>
        <v/>
      </c>
      <c r="G1751" s="31">
        <f>CHAIN_RAW!I1749</f>
        <v/>
      </c>
      <c r="H1751" s="31">
        <f>CHAIN_RAW!Q1749</f>
        <v/>
      </c>
      <c r="I1751" s="31">
        <f>LET(pc,F1751,oc,H1751,IF(OR(pc="",oc=""),"",IF(AND(pc&gt;0,oc&gt;0),"Long Buildup",IF(AND(pc&lt;0,oc&gt;0),"Short Buildup",IF(AND(pc&gt;0,oc&lt;0),"Short Covering",IF(AND(pc&lt;0,oc&lt;0),"Long Unwinding","Flat"))))))</f>
        <v/>
      </c>
      <c r="J1751" s="31">
        <f>LET(pc,ABS(F1751),oc,ABS(H1751),IF(OR(pc="",oc=""),"",MAX(1,MIN(5,ROUND((pc*0.5+oc*0.00001)*5,0))))))</f>
        <v/>
      </c>
    </row>
    <row r="1752">
      <c r="A1752" s="31" t="n">
        <v>1750</v>
      </c>
      <c r="B1752" s="31">
        <f>CHAIN_RAW!D1750</f>
        <v/>
      </c>
      <c r="C1752" s="31">
        <f>CHAIN_RAW!A1750</f>
        <v/>
      </c>
      <c r="D1752" s="31">
        <f>CHAIN_RAW!C1750</f>
        <v/>
      </c>
      <c r="E1752" s="31">
        <f>CHAIN_RAW!E1750</f>
        <v/>
      </c>
      <c r="F1752" s="31">
        <f>CHAIN_RAW!F1750</f>
        <v/>
      </c>
      <c r="G1752" s="31">
        <f>CHAIN_RAW!I1750</f>
        <v/>
      </c>
      <c r="H1752" s="31">
        <f>CHAIN_RAW!Q1750</f>
        <v/>
      </c>
      <c r="I1752" s="31">
        <f>LET(pc,F1752,oc,H1752,IF(OR(pc="",oc=""),"",IF(AND(pc&gt;0,oc&gt;0),"Long Buildup",IF(AND(pc&lt;0,oc&gt;0),"Short Buildup",IF(AND(pc&gt;0,oc&lt;0),"Short Covering",IF(AND(pc&lt;0,oc&lt;0),"Long Unwinding","Flat"))))))</f>
        <v/>
      </c>
      <c r="J1752" s="31">
        <f>LET(pc,ABS(F1752),oc,ABS(H1752),IF(OR(pc="",oc=""),"",MAX(1,MIN(5,ROUND((pc*0.5+oc*0.00001)*5,0))))))</f>
        <v/>
      </c>
    </row>
    <row r="1753">
      <c r="A1753" s="31" t="n">
        <v>1751</v>
      </c>
      <c r="B1753" s="31">
        <f>CHAIN_RAW!D1751</f>
        <v/>
      </c>
      <c r="C1753" s="31">
        <f>CHAIN_RAW!A1751</f>
        <v/>
      </c>
      <c r="D1753" s="31">
        <f>CHAIN_RAW!C1751</f>
        <v/>
      </c>
      <c r="E1753" s="31">
        <f>CHAIN_RAW!E1751</f>
        <v/>
      </c>
      <c r="F1753" s="31">
        <f>CHAIN_RAW!F1751</f>
        <v/>
      </c>
      <c r="G1753" s="31">
        <f>CHAIN_RAW!I1751</f>
        <v/>
      </c>
      <c r="H1753" s="31">
        <f>CHAIN_RAW!Q1751</f>
        <v/>
      </c>
      <c r="I1753" s="31">
        <f>LET(pc,F1753,oc,H1753,IF(OR(pc="",oc=""),"",IF(AND(pc&gt;0,oc&gt;0),"Long Buildup",IF(AND(pc&lt;0,oc&gt;0),"Short Buildup",IF(AND(pc&gt;0,oc&lt;0),"Short Covering",IF(AND(pc&lt;0,oc&lt;0),"Long Unwinding","Flat"))))))</f>
        <v/>
      </c>
      <c r="J1753" s="31">
        <f>LET(pc,ABS(F1753),oc,ABS(H1753),IF(OR(pc="",oc=""),"",MAX(1,MIN(5,ROUND((pc*0.5+oc*0.00001)*5,0))))))</f>
        <v/>
      </c>
    </row>
    <row r="1754">
      <c r="A1754" s="31" t="n">
        <v>1752</v>
      </c>
      <c r="B1754" s="31">
        <f>CHAIN_RAW!D1752</f>
        <v/>
      </c>
      <c r="C1754" s="31">
        <f>CHAIN_RAW!A1752</f>
        <v/>
      </c>
      <c r="D1754" s="31">
        <f>CHAIN_RAW!C1752</f>
        <v/>
      </c>
      <c r="E1754" s="31">
        <f>CHAIN_RAW!E1752</f>
        <v/>
      </c>
      <c r="F1754" s="31">
        <f>CHAIN_RAW!F1752</f>
        <v/>
      </c>
      <c r="G1754" s="31">
        <f>CHAIN_RAW!I1752</f>
        <v/>
      </c>
      <c r="H1754" s="31">
        <f>CHAIN_RAW!Q1752</f>
        <v/>
      </c>
      <c r="I1754" s="31">
        <f>LET(pc,F1754,oc,H1754,IF(OR(pc="",oc=""),"",IF(AND(pc&gt;0,oc&gt;0),"Long Buildup",IF(AND(pc&lt;0,oc&gt;0),"Short Buildup",IF(AND(pc&gt;0,oc&lt;0),"Short Covering",IF(AND(pc&lt;0,oc&lt;0),"Long Unwinding","Flat"))))))</f>
        <v/>
      </c>
      <c r="J1754" s="31">
        <f>LET(pc,ABS(F1754),oc,ABS(H1754),IF(OR(pc="",oc=""),"",MAX(1,MIN(5,ROUND((pc*0.5+oc*0.00001)*5,0))))))</f>
        <v/>
      </c>
    </row>
    <row r="1755">
      <c r="A1755" s="31" t="n">
        <v>1753</v>
      </c>
      <c r="B1755" s="31">
        <f>CHAIN_RAW!D1753</f>
        <v/>
      </c>
      <c r="C1755" s="31">
        <f>CHAIN_RAW!A1753</f>
        <v/>
      </c>
      <c r="D1755" s="31">
        <f>CHAIN_RAW!C1753</f>
        <v/>
      </c>
      <c r="E1755" s="31">
        <f>CHAIN_RAW!E1753</f>
        <v/>
      </c>
      <c r="F1755" s="31">
        <f>CHAIN_RAW!F1753</f>
        <v/>
      </c>
      <c r="G1755" s="31">
        <f>CHAIN_RAW!I1753</f>
        <v/>
      </c>
      <c r="H1755" s="31">
        <f>CHAIN_RAW!Q1753</f>
        <v/>
      </c>
      <c r="I1755" s="31">
        <f>LET(pc,F1755,oc,H1755,IF(OR(pc="",oc=""),"",IF(AND(pc&gt;0,oc&gt;0),"Long Buildup",IF(AND(pc&lt;0,oc&gt;0),"Short Buildup",IF(AND(pc&gt;0,oc&lt;0),"Short Covering",IF(AND(pc&lt;0,oc&lt;0),"Long Unwinding","Flat"))))))</f>
        <v/>
      </c>
      <c r="J1755" s="31">
        <f>LET(pc,ABS(F1755),oc,ABS(H1755),IF(OR(pc="",oc=""),"",MAX(1,MIN(5,ROUND((pc*0.5+oc*0.00001)*5,0))))))</f>
        <v/>
      </c>
    </row>
    <row r="1756">
      <c r="A1756" s="31" t="n">
        <v>1754</v>
      </c>
      <c r="B1756" s="31">
        <f>CHAIN_RAW!D1754</f>
        <v/>
      </c>
      <c r="C1756" s="31">
        <f>CHAIN_RAW!A1754</f>
        <v/>
      </c>
      <c r="D1756" s="31">
        <f>CHAIN_RAW!C1754</f>
        <v/>
      </c>
      <c r="E1756" s="31">
        <f>CHAIN_RAW!E1754</f>
        <v/>
      </c>
      <c r="F1756" s="31">
        <f>CHAIN_RAW!F1754</f>
        <v/>
      </c>
      <c r="G1756" s="31">
        <f>CHAIN_RAW!I1754</f>
        <v/>
      </c>
      <c r="H1756" s="31">
        <f>CHAIN_RAW!Q1754</f>
        <v/>
      </c>
      <c r="I1756" s="31">
        <f>LET(pc,F1756,oc,H1756,IF(OR(pc="",oc=""),"",IF(AND(pc&gt;0,oc&gt;0),"Long Buildup",IF(AND(pc&lt;0,oc&gt;0),"Short Buildup",IF(AND(pc&gt;0,oc&lt;0),"Short Covering",IF(AND(pc&lt;0,oc&lt;0),"Long Unwinding","Flat"))))))</f>
        <v/>
      </c>
      <c r="J1756" s="31">
        <f>LET(pc,ABS(F1756),oc,ABS(H1756),IF(OR(pc="",oc=""),"",MAX(1,MIN(5,ROUND((pc*0.5+oc*0.00001)*5,0))))))</f>
        <v/>
      </c>
    </row>
    <row r="1757">
      <c r="A1757" s="31" t="n">
        <v>1755</v>
      </c>
      <c r="B1757" s="31">
        <f>CHAIN_RAW!D1755</f>
        <v/>
      </c>
      <c r="C1757" s="31">
        <f>CHAIN_RAW!A1755</f>
        <v/>
      </c>
      <c r="D1757" s="31">
        <f>CHAIN_RAW!C1755</f>
        <v/>
      </c>
      <c r="E1757" s="31">
        <f>CHAIN_RAW!E1755</f>
        <v/>
      </c>
      <c r="F1757" s="31">
        <f>CHAIN_RAW!F1755</f>
        <v/>
      </c>
      <c r="G1757" s="31">
        <f>CHAIN_RAW!I1755</f>
        <v/>
      </c>
      <c r="H1757" s="31">
        <f>CHAIN_RAW!Q1755</f>
        <v/>
      </c>
      <c r="I1757" s="31">
        <f>LET(pc,F1757,oc,H1757,IF(OR(pc="",oc=""),"",IF(AND(pc&gt;0,oc&gt;0),"Long Buildup",IF(AND(pc&lt;0,oc&gt;0),"Short Buildup",IF(AND(pc&gt;0,oc&lt;0),"Short Covering",IF(AND(pc&lt;0,oc&lt;0),"Long Unwinding","Flat"))))))</f>
        <v/>
      </c>
      <c r="J1757" s="31">
        <f>LET(pc,ABS(F1757),oc,ABS(H1757),IF(OR(pc="",oc=""),"",MAX(1,MIN(5,ROUND((pc*0.5+oc*0.00001)*5,0))))))</f>
        <v/>
      </c>
    </row>
    <row r="1758">
      <c r="A1758" s="31" t="n">
        <v>1756</v>
      </c>
      <c r="B1758" s="31">
        <f>CHAIN_RAW!D1756</f>
        <v/>
      </c>
      <c r="C1758" s="31">
        <f>CHAIN_RAW!A1756</f>
        <v/>
      </c>
      <c r="D1758" s="31">
        <f>CHAIN_RAW!C1756</f>
        <v/>
      </c>
      <c r="E1758" s="31">
        <f>CHAIN_RAW!E1756</f>
        <v/>
      </c>
      <c r="F1758" s="31">
        <f>CHAIN_RAW!F1756</f>
        <v/>
      </c>
      <c r="G1758" s="31">
        <f>CHAIN_RAW!I1756</f>
        <v/>
      </c>
      <c r="H1758" s="31">
        <f>CHAIN_RAW!Q1756</f>
        <v/>
      </c>
      <c r="I1758" s="31">
        <f>LET(pc,F1758,oc,H1758,IF(OR(pc="",oc=""),"",IF(AND(pc&gt;0,oc&gt;0),"Long Buildup",IF(AND(pc&lt;0,oc&gt;0),"Short Buildup",IF(AND(pc&gt;0,oc&lt;0),"Short Covering",IF(AND(pc&lt;0,oc&lt;0),"Long Unwinding","Flat"))))))</f>
        <v/>
      </c>
      <c r="J1758" s="31">
        <f>LET(pc,ABS(F1758),oc,ABS(H1758),IF(OR(pc="",oc=""),"",MAX(1,MIN(5,ROUND((pc*0.5+oc*0.00001)*5,0))))))</f>
        <v/>
      </c>
    </row>
    <row r="1759">
      <c r="A1759" s="31" t="n">
        <v>1757</v>
      </c>
      <c r="B1759" s="31">
        <f>CHAIN_RAW!D1757</f>
        <v/>
      </c>
      <c r="C1759" s="31">
        <f>CHAIN_RAW!A1757</f>
        <v/>
      </c>
      <c r="D1759" s="31">
        <f>CHAIN_RAW!C1757</f>
        <v/>
      </c>
      <c r="E1759" s="31">
        <f>CHAIN_RAW!E1757</f>
        <v/>
      </c>
      <c r="F1759" s="31">
        <f>CHAIN_RAW!F1757</f>
        <v/>
      </c>
      <c r="G1759" s="31">
        <f>CHAIN_RAW!I1757</f>
        <v/>
      </c>
      <c r="H1759" s="31">
        <f>CHAIN_RAW!Q1757</f>
        <v/>
      </c>
      <c r="I1759" s="31">
        <f>LET(pc,F1759,oc,H1759,IF(OR(pc="",oc=""),"",IF(AND(pc&gt;0,oc&gt;0),"Long Buildup",IF(AND(pc&lt;0,oc&gt;0),"Short Buildup",IF(AND(pc&gt;0,oc&lt;0),"Short Covering",IF(AND(pc&lt;0,oc&lt;0),"Long Unwinding","Flat"))))))</f>
        <v/>
      </c>
      <c r="J1759" s="31">
        <f>LET(pc,ABS(F1759),oc,ABS(H1759),IF(OR(pc="",oc=""),"",MAX(1,MIN(5,ROUND((pc*0.5+oc*0.00001)*5,0))))))</f>
        <v/>
      </c>
    </row>
    <row r="1760">
      <c r="A1760" s="31" t="n">
        <v>1758</v>
      </c>
      <c r="B1760" s="31">
        <f>CHAIN_RAW!D1758</f>
        <v/>
      </c>
      <c r="C1760" s="31">
        <f>CHAIN_RAW!A1758</f>
        <v/>
      </c>
      <c r="D1760" s="31">
        <f>CHAIN_RAW!C1758</f>
        <v/>
      </c>
      <c r="E1760" s="31">
        <f>CHAIN_RAW!E1758</f>
        <v/>
      </c>
      <c r="F1760" s="31">
        <f>CHAIN_RAW!F1758</f>
        <v/>
      </c>
      <c r="G1760" s="31">
        <f>CHAIN_RAW!I1758</f>
        <v/>
      </c>
      <c r="H1760" s="31">
        <f>CHAIN_RAW!Q1758</f>
        <v/>
      </c>
      <c r="I1760" s="31">
        <f>LET(pc,F1760,oc,H1760,IF(OR(pc="",oc=""),"",IF(AND(pc&gt;0,oc&gt;0),"Long Buildup",IF(AND(pc&lt;0,oc&gt;0),"Short Buildup",IF(AND(pc&gt;0,oc&lt;0),"Short Covering",IF(AND(pc&lt;0,oc&lt;0),"Long Unwinding","Flat"))))))</f>
        <v/>
      </c>
      <c r="J1760" s="31">
        <f>LET(pc,ABS(F1760),oc,ABS(H1760),IF(OR(pc="",oc=""),"",MAX(1,MIN(5,ROUND((pc*0.5+oc*0.00001)*5,0))))))</f>
        <v/>
      </c>
    </row>
    <row r="1761">
      <c r="A1761" s="31" t="n">
        <v>1759</v>
      </c>
      <c r="B1761" s="31">
        <f>CHAIN_RAW!D1759</f>
        <v/>
      </c>
      <c r="C1761" s="31">
        <f>CHAIN_RAW!A1759</f>
        <v/>
      </c>
      <c r="D1761" s="31">
        <f>CHAIN_RAW!C1759</f>
        <v/>
      </c>
      <c r="E1761" s="31">
        <f>CHAIN_RAW!E1759</f>
        <v/>
      </c>
      <c r="F1761" s="31">
        <f>CHAIN_RAW!F1759</f>
        <v/>
      </c>
      <c r="G1761" s="31">
        <f>CHAIN_RAW!I1759</f>
        <v/>
      </c>
      <c r="H1761" s="31">
        <f>CHAIN_RAW!Q1759</f>
        <v/>
      </c>
      <c r="I1761" s="31">
        <f>LET(pc,F1761,oc,H1761,IF(OR(pc="",oc=""),"",IF(AND(pc&gt;0,oc&gt;0),"Long Buildup",IF(AND(pc&lt;0,oc&gt;0),"Short Buildup",IF(AND(pc&gt;0,oc&lt;0),"Short Covering",IF(AND(pc&lt;0,oc&lt;0),"Long Unwinding","Flat"))))))</f>
        <v/>
      </c>
      <c r="J1761" s="31">
        <f>LET(pc,ABS(F1761),oc,ABS(H1761),IF(OR(pc="",oc=""),"",MAX(1,MIN(5,ROUND((pc*0.5+oc*0.00001)*5,0))))))</f>
        <v/>
      </c>
    </row>
    <row r="1762">
      <c r="A1762" s="31" t="n">
        <v>1760</v>
      </c>
      <c r="B1762" s="31">
        <f>CHAIN_RAW!D1760</f>
        <v/>
      </c>
      <c r="C1762" s="31">
        <f>CHAIN_RAW!A1760</f>
        <v/>
      </c>
      <c r="D1762" s="31">
        <f>CHAIN_RAW!C1760</f>
        <v/>
      </c>
      <c r="E1762" s="31">
        <f>CHAIN_RAW!E1760</f>
        <v/>
      </c>
      <c r="F1762" s="31">
        <f>CHAIN_RAW!F1760</f>
        <v/>
      </c>
      <c r="G1762" s="31">
        <f>CHAIN_RAW!I1760</f>
        <v/>
      </c>
      <c r="H1762" s="31">
        <f>CHAIN_RAW!Q1760</f>
        <v/>
      </c>
      <c r="I1762" s="31">
        <f>LET(pc,F1762,oc,H1762,IF(OR(pc="",oc=""),"",IF(AND(pc&gt;0,oc&gt;0),"Long Buildup",IF(AND(pc&lt;0,oc&gt;0),"Short Buildup",IF(AND(pc&gt;0,oc&lt;0),"Short Covering",IF(AND(pc&lt;0,oc&lt;0),"Long Unwinding","Flat"))))))</f>
        <v/>
      </c>
      <c r="J1762" s="31">
        <f>LET(pc,ABS(F1762),oc,ABS(H1762),IF(OR(pc="",oc=""),"",MAX(1,MIN(5,ROUND((pc*0.5+oc*0.00001)*5,0))))))</f>
        <v/>
      </c>
    </row>
    <row r="1763">
      <c r="A1763" s="31" t="n">
        <v>1761</v>
      </c>
      <c r="B1763" s="31">
        <f>CHAIN_RAW!D1761</f>
        <v/>
      </c>
      <c r="C1763" s="31">
        <f>CHAIN_RAW!A1761</f>
        <v/>
      </c>
      <c r="D1763" s="31">
        <f>CHAIN_RAW!C1761</f>
        <v/>
      </c>
      <c r="E1763" s="31">
        <f>CHAIN_RAW!E1761</f>
        <v/>
      </c>
      <c r="F1763" s="31">
        <f>CHAIN_RAW!F1761</f>
        <v/>
      </c>
      <c r="G1763" s="31">
        <f>CHAIN_RAW!I1761</f>
        <v/>
      </c>
      <c r="H1763" s="31">
        <f>CHAIN_RAW!Q1761</f>
        <v/>
      </c>
      <c r="I1763" s="31">
        <f>LET(pc,F1763,oc,H1763,IF(OR(pc="",oc=""),"",IF(AND(pc&gt;0,oc&gt;0),"Long Buildup",IF(AND(pc&lt;0,oc&gt;0),"Short Buildup",IF(AND(pc&gt;0,oc&lt;0),"Short Covering",IF(AND(pc&lt;0,oc&lt;0),"Long Unwinding","Flat"))))))</f>
        <v/>
      </c>
      <c r="J1763" s="31">
        <f>LET(pc,ABS(F1763),oc,ABS(H1763),IF(OR(pc="",oc=""),"",MAX(1,MIN(5,ROUND((pc*0.5+oc*0.00001)*5,0))))))</f>
        <v/>
      </c>
    </row>
    <row r="1764">
      <c r="A1764" s="31" t="n">
        <v>1762</v>
      </c>
      <c r="B1764" s="31">
        <f>CHAIN_RAW!D1762</f>
        <v/>
      </c>
      <c r="C1764" s="31">
        <f>CHAIN_RAW!A1762</f>
        <v/>
      </c>
      <c r="D1764" s="31">
        <f>CHAIN_RAW!C1762</f>
        <v/>
      </c>
      <c r="E1764" s="31">
        <f>CHAIN_RAW!E1762</f>
        <v/>
      </c>
      <c r="F1764" s="31">
        <f>CHAIN_RAW!F1762</f>
        <v/>
      </c>
      <c r="G1764" s="31">
        <f>CHAIN_RAW!I1762</f>
        <v/>
      </c>
      <c r="H1764" s="31">
        <f>CHAIN_RAW!Q1762</f>
        <v/>
      </c>
      <c r="I1764" s="31">
        <f>LET(pc,F1764,oc,H1764,IF(OR(pc="",oc=""),"",IF(AND(pc&gt;0,oc&gt;0),"Long Buildup",IF(AND(pc&lt;0,oc&gt;0),"Short Buildup",IF(AND(pc&gt;0,oc&lt;0),"Short Covering",IF(AND(pc&lt;0,oc&lt;0),"Long Unwinding","Flat"))))))</f>
        <v/>
      </c>
      <c r="J1764" s="31">
        <f>LET(pc,ABS(F1764),oc,ABS(H1764),IF(OR(pc="",oc=""),"",MAX(1,MIN(5,ROUND((pc*0.5+oc*0.00001)*5,0))))))</f>
        <v/>
      </c>
    </row>
    <row r="1765">
      <c r="A1765" s="31" t="n">
        <v>1763</v>
      </c>
      <c r="B1765" s="31">
        <f>CHAIN_RAW!D1763</f>
        <v/>
      </c>
      <c r="C1765" s="31">
        <f>CHAIN_RAW!A1763</f>
        <v/>
      </c>
      <c r="D1765" s="31">
        <f>CHAIN_RAW!C1763</f>
        <v/>
      </c>
      <c r="E1765" s="31">
        <f>CHAIN_RAW!E1763</f>
        <v/>
      </c>
      <c r="F1765" s="31">
        <f>CHAIN_RAW!F1763</f>
        <v/>
      </c>
      <c r="G1765" s="31">
        <f>CHAIN_RAW!I1763</f>
        <v/>
      </c>
      <c r="H1765" s="31">
        <f>CHAIN_RAW!Q1763</f>
        <v/>
      </c>
      <c r="I1765" s="31">
        <f>LET(pc,F1765,oc,H1765,IF(OR(pc="",oc=""),"",IF(AND(pc&gt;0,oc&gt;0),"Long Buildup",IF(AND(pc&lt;0,oc&gt;0),"Short Buildup",IF(AND(pc&gt;0,oc&lt;0),"Short Covering",IF(AND(pc&lt;0,oc&lt;0),"Long Unwinding","Flat"))))))</f>
        <v/>
      </c>
      <c r="J1765" s="31">
        <f>LET(pc,ABS(F1765),oc,ABS(H1765),IF(OR(pc="",oc=""),"",MAX(1,MIN(5,ROUND((pc*0.5+oc*0.00001)*5,0))))))</f>
        <v/>
      </c>
    </row>
    <row r="1766">
      <c r="A1766" s="31" t="n">
        <v>1764</v>
      </c>
      <c r="B1766" s="31">
        <f>CHAIN_RAW!D1764</f>
        <v/>
      </c>
      <c r="C1766" s="31">
        <f>CHAIN_RAW!A1764</f>
        <v/>
      </c>
      <c r="D1766" s="31">
        <f>CHAIN_RAW!C1764</f>
        <v/>
      </c>
      <c r="E1766" s="31">
        <f>CHAIN_RAW!E1764</f>
        <v/>
      </c>
      <c r="F1766" s="31">
        <f>CHAIN_RAW!F1764</f>
        <v/>
      </c>
      <c r="G1766" s="31">
        <f>CHAIN_RAW!I1764</f>
        <v/>
      </c>
      <c r="H1766" s="31">
        <f>CHAIN_RAW!Q1764</f>
        <v/>
      </c>
      <c r="I1766" s="31">
        <f>LET(pc,F1766,oc,H1766,IF(OR(pc="",oc=""),"",IF(AND(pc&gt;0,oc&gt;0),"Long Buildup",IF(AND(pc&lt;0,oc&gt;0),"Short Buildup",IF(AND(pc&gt;0,oc&lt;0),"Short Covering",IF(AND(pc&lt;0,oc&lt;0),"Long Unwinding","Flat"))))))</f>
        <v/>
      </c>
      <c r="J1766" s="31">
        <f>LET(pc,ABS(F1766),oc,ABS(H1766),IF(OR(pc="",oc=""),"",MAX(1,MIN(5,ROUND((pc*0.5+oc*0.00001)*5,0))))))</f>
        <v/>
      </c>
    </row>
    <row r="1767">
      <c r="A1767" s="31" t="n">
        <v>1765</v>
      </c>
      <c r="B1767" s="31">
        <f>CHAIN_RAW!D1765</f>
        <v/>
      </c>
      <c r="C1767" s="31">
        <f>CHAIN_RAW!A1765</f>
        <v/>
      </c>
      <c r="D1767" s="31">
        <f>CHAIN_RAW!C1765</f>
        <v/>
      </c>
      <c r="E1767" s="31">
        <f>CHAIN_RAW!E1765</f>
        <v/>
      </c>
      <c r="F1767" s="31">
        <f>CHAIN_RAW!F1765</f>
        <v/>
      </c>
      <c r="G1767" s="31">
        <f>CHAIN_RAW!I1765</f>
        <v/>
      </c>
      <c r="H1767" s="31">
        <f>CHAIN_RAW!Q1765</f>
        <v/>
      </c>
      <c r="I1767" s="31">
        <f>LET(pc,F1767,oc,H1767,IF(OR(pc="",oc=""),"",IF(AND(pc&gt;0,oc&gt;0),"Long Buildup",IF(AND(pc&lt;0,oc&gt;0),"Short Buildup",IF(AND(pc&gt;0,oc&lt;0),"Short Covering",IF(AND(pc&lt;0,oc&lt;0),"Long Unwinding","Flat"))))))</f>
        <v/>
      </c>
      <c r="J1767" s="31">
        <f>LET(pc,ABS(F1767),oc,ABS(H1767),IF(OR(pc="",oc=""),"",MAX(1,MIN(5,ROUND((pc*0.5+oc*0.00001)*5,0))))))</f>
        <v/>
      </c>
    </row>
    <row r="1768">
      <c r="A1768" s="31" t="n">
        <v>1766</v>
      </c>
      <c r="B1768" s="31">
        <f>CHAIN_RAW!D1766</f>
        <v/>
      </c>
      <c r="C1768" s="31">
        <f>CHAIN_RAW!A1766</f>
        <v/>
      </c>
      <c r="D1768" s="31">
        <f>CHAIN_RAW!C1766</f>
        <v/>
      </c>
      <c r="E1768" s="31">
        <f>CHAIN_RAW!E1766</f>
        <v/>
      </c>
      <c r="F1768" s="31">
        <f>CHAIN_RAW!F1766</f>
        <v/>
      </c>
      <c r="G1768" s="31">
        <f>CHAIN_RAW!I1766</f>
        <v/>
      </c>
      <c r="H1768" s="31">
        <f>CHAIN_RAW!Q1766</f>
        <v/>
      </c>
      <c r="I1768" s="31">
        <f>LET(pc,F1768,oc,H1768,IF(OR(pc="",oc=""),"",IF(AND(pc&gt;0,oc&gt;0),"Long Buildup",IF(AND(pc&lt;0,oc&gt;0),"Short Buildup",IF(AND(pc&gt;0,oc&lt;0),"Short Covering",IF(AND(pc&lt;0,oc&lt;0),"Long Unwinding","Flat"))))))</f>
        <v/>
      </c>
      <c r="J1768" s="31">
        <f>LET(pc,ABS(F1768),oc,ABS(H1768),IF(OR(pc="",oc=""),"",MAX(1,MIN(5,ROUND((pc*0.5+oc*0.00001)*5,0))))))</f>
        <v/>
      </c>
    </row>
    <row r="1769">
      <c r="A1769" s="31" t="n">
        <v>1767</v>
      </c>
      <c r="B1769" s="31">
        <f>CHAIN_RAW!D1767</f>
        <v/>
      </c>
      <c r="C1769" s="31">
        <f>CHAIN_RAW!A1767</f>
        <v/>
      </c>
      <c r="D1769" s="31">
        <f>CHAIN_RAW!C1767</f>
        <v/>
      </c>
      <c r="E1769" s="31">
        <f>CHAIN_RAW!E1767</f>
        <v/>
      </c>
      <c r="F1769" s="31">
        <f>CHAIN_RAW!F1767</f>
        <v/>
      </c>
      <c r="G1769" s="31">
        <f>CHAIN_RAW!I1767</f>
        <v/>
      </c>
      <c r="H1769" s="31">
        <f>CHAIN_RAW!Q1767</f>
        <v/>
      </c>
      <c r="I1769" s="31">
        <f>LET(pc,F1769,oc,H1769,IF(OR(pc="",oc=""),"",IF(AND(pc&gt;0,oc&gt;0),"Long Buildup",IF(AND(pc&lt;0,oc&gt;0),"Short Buildup",IF(AND(pc&gt;0,oc&lt;0),"Short Covering",IF(AND(pc&lt;0,oc&lt;0),"Long Unwinding","Flat"))))))</f>
        <v/>
      </c>
      <c r="J1769" s="31">
        <f>LET(pc,ABS(F1769),oc,ABS(H1769),IF(OR(pc="",oc=""),"",MAX(1,MIN(5,ROUND((pc*0.5+oc*0.00001)*5,0))))))</f>
        <v/>
      </c>
    </row>
    <row r="1770">
      <c r="A1770" s="31" t="n">
        <v>1768</v>
      </c>
      <c r="B1770" s="31">
        <f>CHAIN_RAW!D1768</f>
        <v/>
      </c>
      <c r="C1770" s="31">
        <f>CHAIN_RAW!A1768</f>
        <v/>
      </c>
      <c r="D1770" s="31">
        <f>CHAIN_RAW!C1768</f>
        <v/>
      </c>
      <c r="E1770" s="31">
        <f>CHAIN_RAW!E1768</f>
        <v/>
      </c>
      <c r="F1770" s="31">
        <f>CHAIN_RAW!F1768</f>
        <v/>
      </c>
      <c r="G1770" s="31">
        <f>CHAIN_RAW!I1768</f>
        <v/>
      </c>
      <c r="H1770" s="31">
        <f>CHAIN_RAW!Q1768</f>
        <v/>
      </c>
      <c r="I1770" s="31">
        <f>LET(pc,F1770,oc,H1770,IF(OR(pc="",oc=""),"",IF(AND(pc&gt;0,oc&gt;0),"Long Buildup",IF(AND(pc&lt;0,oc&gt;0),"Short Buildup",IF(AND(pc&gt;0,oc&lt;0),"Short Covering",IF(AND(pc&lt;0,oc&lt;0),"Long Unwinding","Flat"))))))</f>
        <v/>
      </c>
      <c r="J1770" s="31">
        <f>LET(pc,ABS(F1770),oc,ABS(H1770),IF(OR(pc="",oc=""),"",MAX(1,MIN(5,ROUND((pc*0.5+oc*0.00001)*5,0))))))</f>
        <v/>
      </c>
    </row>
    <row r="1771">
      <c r="A1771" s="31" t="n">
        <v>1769</v>
      </c>
      <c r="B1771" s="31">
        <f>CHAIN_RAW!D1769</f>
        <v/>
      </c>
      <c r="C1771" s="31">
        <f>CHAIN_RAW!A1769</f>
        <v/>
      </c>
      <c r="D1771" s="31">
        <f>CHAIN_RAW!C1769</f>
        <v/>
      </c>
      <c r="E1771" s="31">
        <f>CHAIN_RAW!E1769</f>
        <v/>
      </c>
      <c r="F1771" s="31">
        <f>CHAIN_RAW!F1769</f>
        <v/>
      </c>
      <c r="G1771" s="31">
        <f>CHAIN_RAW!I1769</f>
        <v/>
      </c>
      <c r="H1771" s="31">
        <f>CHAIN_RAW!Q1769</f>
        <v/>
      </c>
      <c r="I1771" s="31">
        <f>LET(pc,F1771,oc,H1771,IF(OR(pc="",oc=""),"",IF(AND(pc&gt;0,oc&gt;0),"Long Buildup",IF(AND(pc&lt;0,oc&gt;0),"Short Buildup",IF(AND(pc&gt;0,oc&lt;0),"Short Covering",IF(AND(pc&lt;0,oc&lt;0),"Long Unwinding","Flat"))))))</f>
        <v/>
      </c>
      <c r="J1771" s="31">
        <f>LET(pc,ABS(F1771),oc,ABS(H1771),IF(OR(pc="",oc=""),"",MAX(1,MIN(5,ROUND((pc*0.5+oc*0.00001)*5,0))))))</f>
        <v/>
      </c>
    </row>
    <row r="1772">
      <c r="A1772" s="31" t="n">
        <v>1770</v>
      </c>
      <c r="B1772" s="31">
        <f>CHAIN_RAW!D1770</f>
        <v/>
      </c>
      <c r="C1772" s="31">
        <f>CHAIN_RAW!A1770</f>
        <v/>
      </c>
      <c r="D1772" s="31">
        <f>CHAIN_RAW!C1770</f>
        <v/>
      </c>
      <c r="E1772" s="31">
        <f>CHAIN_RAW!E1770</f>
        <v/>
      </c>
      <c r="F1772" s="31">
        <f>CHAIN_RAW!F1770</f>
        <v/>
      </c>
      <c r="G1772" s="31">
        <f>CHAIN_RAW!I1770</f>
        <v/>
      </c>
      <c r="H1772" s="31">
        <f>CHAIN_RAW!Q1770</f>
        <v/>
      </c>
      <c r="I1772" s="31">
        <f>LET(pc,F1772,oc,H1772,IF(OR(pc="",oc=""),"",IF(AND(pc&gt;0,oc&gt;0),"Long Buildup",IF(AND(pc&lt;0,oc&gt;0),"Short Buildup",IF(AND(pc&gt;0,oc&lt;0),"Short Covering",IF(AND(pc&lt;0,oc&lt;0),"Long Unwinding","Flat"))))))</f>
        <v/>
      </c>
      <c r="J1772" s="31">
        <f>LET(pc,ABS(F1772),oc,ABS(H1772),IF(OR(pc="",oc=""),"",MAX(1,MIN(5,ROUND((pc*0.5+oc*0.00001)*5,0))))))</f>
        <v/>
      </c>
    </row>
    <row r="1773">
      <c r="A1773" s="31" t="n">
        <v>1771</v>
      </c>
      <c r="B1773" s="31">
        <f>CHAIN_RAW!D1771</f>
        <v/>
      </c>
      <c r="C1773" s="31">
        <f>CHAIN_RAW!A1771</f>
        <v/>
      </c>
      <c r="D1773" s="31">
        <f>CHAIN_RAW!C1771</f>
        <v/>
      </c>
      <c r="E1773" s="31">
        <f>CHAIN_RAW!E1771</f>
        <v/>
      </c>
      <c r="F1773" s="31">
        <f>CHAIN_RAW!F1771</f>
        <v/>
      </c>
      <c r="G1773" s="31">
        <f>CHAIN_RAW!I1771</f>
        <v/>
      </c>
      <c r="H1773" s="31">
        <f>CHAIN_RAW!Q1771</f>
        <v/>
      </c>
      <c r="I1773" s="31">
        <f>LET(pc,F1773,oc,H1773,IF(OR(pc="",oc=""),"",IF(AND(pc&gt;0,oc&gt;0),"Long Buildup",IF(AND(pc&lt;0,oc&gt;0),"Short Buildup",IF(AND(pc&gt;0,oc&lt;0),"Short Covering",IF(AND(pc&lt;0,oc&lt;0),"Long Unwinding","Flat"))))))</f>
        <v/>
      </c>
      <c r="J1773" s="31">
        <f>LET(pc,ABS(F1773),oc,ABS(H1773),IF(OR(pc="",oc=""),"",MAX(1,MIN(5,ROUND((pc*0.5+oc*0.00001)*5,0))))))</f>
        <v/>
      </c>
    </row>
    <row r="1774">
      <c r="A1774" s="31" t="n">
        <v>1772</v>
      </c>
      <c r="B1774" s="31">
        <f>CHAIN_RAW!D1772</f>
        <v/>
      </c>
      <c r="C1774" s="31">
        <f>CHAIN_RAW!A1772</f>
        <v/>
      </c>
      <c r="D1774" s="31">
        <f>CHAIN_RAW!C1772</f>
        <v/>
      </c>
      <c r="E1774" s="31">
        <f>CHAIN_RAW!E1772</f>
        <v/>
      </c>
      <c r="F1774" s="31">
        <f>CHAIN_RAW!F1772</f>
        <v/>
      </c>
      <c r="G1774" s="31">
        <f>CHAIN_RAW!I1772</f>
        <v/>
      </c>
      <c r="H1774" s="31">
        <f>CHAIN_RAW!Q1772</f>
        <v/>
      </c>
      <c r="I1774" s="31">
        <f>LET(pc,F1774,oc,H1774,IF(OR(pc="",oc=""),"",IF(AND(pc&gt;0,oc&gt;0),"Long Buildup",IF(AND(pc&lt;0,oc&gt;0),"Short Buildup",IF(AND(pc&gt;0,oc&lt;0),"Short Covering",IF(AND(pc&lt;0,oc&lt;0),"Long Unwinding","Flat"))))))</f>
        <v/>
      </c>
      <c r="J1774" s="31">
        <f>LET(pc,ABS(F1774),oc,ABS(H1774),IF(OR(pc="",oc=""),"",MAX(1,MIN(5,ROUND((pc*0.5+oc*0.00001)*5,0))))))</f>
        <v/>
      </c>
    </row>
    <row r="1775">
      <c r="A1775" s="31" t="n">
        <v>1773</v>
      </c>
      <c r="B1775" s="31">
        <f>CHAIN_RAW!D1773</f>
        <v/>
      </c>
      <c r="C1775" s="31">
        <f>CHAIN_RAW!A1773</f>
        <v/>
      </c>
      <c r="D1775" s="31">
        <f>CHAIN_RAW!C1773</f>
        <v/>
      </c>
      <c r="E1775" s="31">
        <f>CHAIN_RAW!E1773</f>
        <v/>
      </c>
      <c r="F1775" s="31">
        <f>CHAIN_RAW!F1773</f>
        <v/>
      </c>
      <c r="G1775" s="31">
        <f>CHAIN_RAW!I1773</f>
        <v/>
      </c>
      <c r="H1775" s="31">
        <f>CHAIN_RAW!Q1773</f>
        <v/>
      </c>
      <c r="I1775" s="31">
        <f>LET(pc,F1775,oc,H1775,IF(OR(pc="",oc=""),"",IF(AND(pc&gt;0,oc&gt;0),"Long Buildup",IF(AND(pc&lt;0,oc&gt;0),"Short Buildup",IF(AND(pc&gt;0,oc&lt;0),"Short Covering",IF(AND(pc&lt;0,oc&lt;0),"Long Unwinding","Flat"))))))</f>
        <v/>
      </c>
      <c r="J1775" s="31">
        <f>LET(pc,ABS(F1775),oc,ABS(H1775),IF(OR(pc="",oc=""),"",MAX(1,MIN(5,ROUND((pc*0.5+oc*0.00001)*5,0))))))</f>
        <v/>
      </c>
    </row>
    <row r="1776">
      <c r="A1776" s="31" t="n">
        <v>1774</v>
      </c>
      <c r="B1776" s="31">
        <f>CHAIN_RAW!D1774</f>
        <v/>
      </c>
      <c r="C1776" s="31">
        <f>CHAIN_RAW!A1774</f>
        <v/>
      </c>
      <c r="D1776" s="31">
        <f>CHAIN_RAW!C1774</f>
        <v/>
      </c>
      <c r="E1776" s="31">
        <f>CHAIN_RAW!E1774</f>
        <v/>
      </c>
      <c r="F1776" s="31">
        <f>CHAIN_RAW!F1774</f>
        <v/>
      </c>
      <c r="G1776" s="31">
        <f>CHAIN_RAW!I1774</f>
        <v/>
      </c>
      <c r="H1776" s="31">
        <f>CHAIN_RAW!Q1774</f>
        <v/>
      </c>
      <c r="I1776" s="31">
        <f>LET(pc,F1776,oc,H1776,IF(OR(pc="",oc=""),"",IF(AND(pc&gt;0,oc&gt;0),"Long Buildup",IF(AND(pc&lt;0,oc&gt;0),"Short Buildup",IF(AND(pc&gt;0,oc&lt;0),"Short Covering",IF(AND(pc&lt;0,oc&lt;0),"Long Unwinding","Flat"))))))</f>
        <v/>
      </c>
      <c r="J1776" s="31">
        <f>LET(pc,ABS(F1776),oc,ABS(H1776),IF(OR(pc="",oc=""),"",MAX(1,MIN(5,ROUND((pc*0.5+oc*0.00001)*5,0))))))</f>
        <v/>
      </c>
    </row>
    <row r="1777">
      <c r="A1777" s="31" t="n">
        <v>1775</v>
      </c>
      <c r="B1777" s="31">
        <f>CHAIN_RAW!D1775</f>
        <v/>
      </c>
      <c r="C1777" s="31">
        <f>CHAIN_RAW!A1775</f>
        <v/>
      </c>
      <c r="D1777" s="31">
        <f>CHAIN_RAW!C1775</f>
        <v/>
      </c>
      <c r="E1777" s="31">
        <f>CHAIN_RAW!E1775</f>
        <v/>
      </c>
      <c r="F1777" s="31">
        <f>CHAIN_RAW!F1775</f>
        <v/>
      </c>
      <c r="G1777" s="31">
        <f>CHAIN_RAW!I1775</f>
        <v/>
      </c>
      <c r="H1777" s="31">
        <f>CHAIN_RAW!Q1775</f>
        <v/>
      </c>
      <c r="I1777" s="31">
        <f>LET(pc,F1777,oc,H1777,IF(OR(pc="",oc=""),"",IF(AND(pc&gt;0,oc&gt;0),"Long Buildup",IF(AND(pc&lt;0,oc&gt;0),"Short Buildup",IF(AND(pc&gt;0,oc&lt;0),"Short Covering",IF(AND(pc&lt;0,oc&lt;0),"Long Unwinding","Flat"))))))</f>
        <v/>
      </c>
      <c r="J1777" s="31">
        <f>LET(pc,ABS(F1777),oc,ABS(H1777),IF(OR(pc="",oc=""),"",MAX(1,MIN(5,ROUND((pc*0.5+oc*0.00001)*5,0))))))</f>
        <v/>
      </c>
    </row>
    <row r="1778">
      <c r="A1778" s="31" t="n">
        <v>1776</v>
      </c>
      <c r="B1778" s="31">
        <f>CHAIN_RAW!D1776</f>
        <v/>
      </c>
      <c r="C1778" s="31">
        <f>CHAIN_RAW!A1776</f>
        <v/>
      </c>
      <c r="D1778" s="31">
        <f>CHAIN_RAW!C1776</f>
        <v/>
      </c>
      <c r="E1778" s="31">
        <f>CHAIN_RAW!E1776</f>
        <v/>
      </c>
      <c r="F1778" s="31">
        <f>CHAIN_RAW!F1776</f>
        <v/>
      </c>
      <c r="G1778" s="31">
        <f>CHAIN_RAW!I1776</f>
        <v/>
      </c>
      <c r="H1778" s="31">
        <f>CHAIN_RAW!Q1776</f>
        <v/>
      </c>
      <c r="I1778" s="31">
        <f>LET(pc,F1778,oc,H1778,IF(OR(pc="",oc=""),"",IF(AND(pc&gt;0,oc&gt;0),"Long Buildup",IF(AND(pc&lt;0,oc&gt;0),"Short Buildup",IF(AND(pc&gt;0,oc&lt;0),"Short Covering",IF(AND(pc&lt;0,oc&lt;0),"Long Unwinding","Flat"))))))</f>
        <v/>
      </c>
      <c r="J1778" s="31">
        <f>LET(pc,ABS(F1778),oc,ABS(H1778),IF(OR(pc="",oc=""),"",MAX(1,MIN(5,ROUND((pc*0.5+oc*0.00001)*5,0))))))</f>
        <v/>
      </c>
    </row>
    <row r="1779">
      <c r="A1779" s="31" t="n">
        <v>1777</v>
      </c>
      <c r="B1779" s="31">
        <f>CHAIN_RAW!D1777</f>
        <v/>
      </c>
      <c r="C1779" s="31">
        <f>CHAIN_RAW!A1777</f>
        <v/>
      </c>
      <c r="D1779" s="31">
        <f>CHAIN_RAW!C1777</f>
        <v/>
      </c>
      <c r="E1779" s="31">
        <f>CHAIN_RAW!E1777</f>
        <v/>
      </c>
      <c r="F1779" s="31">
        <f>CHAIN_RAW!F1777</f>
        <v/>
      </c>
      <c r="G1779" s="31">
        <f>CHAIN_RAW!I1777</f>
        <v/>
      </c>
      <c r="H1779" s="31">
        <f>CHAIN_RAW!Q1777</f>
        <v/>
      </c>
      <c r="I1779" s="31">
        <f>LET(pc,F1779,oc,H1779,IF(OR(pc="",oc=""),"",IF(AND(pc&gt;0,oc&gt;0),"Long Buildup",IF(AND(pc&lt;0,oc&gt;0),"Short Buildup",IF(AND(pc&gt;0,oc&lt;0),"Short Covering",IF(AND(pc&lt;0,oc&lt;0),"Long Unwinding","Flat"))))))</f>
        <v/>
      </c>
      <c r="J1779" s="31">
        <f>LET(pc,ABS(F1779),oc,ABS(H1779),IF(OR(pc="",oc=""),"",MAX(1,MIN(5,ROUND((pc*0.5+oc*0.00001)*5,0))))))</f>
        <v/>
      </c>
    </row>
    <row r="1780">
      <c r="A1780" s="31" t="n">
        <v>1778</v>
      </c>
      <c r="B1780" s="31">
        <f>CHAIN_RAW!D1778</f>
        <v/>
      </c>
      <c r="C1780" s="31">
        <f>CHAIN_RAW!A1778</f>
        <v/>
      </c>
      <c r="D1780" s="31">
        <f>CHAIN_RAW!C1778</f>
        <v/>
      </c>
      <c r="E1780" s="31">
        <f>CHAIN_RAW!E1778</f>
        <v/>
      </c>
      <c r="F1780" s="31">
        <f>CHAIN_RAW!F1778</f>
        <v/>
      </c>
      <c r="G1780" s="31">
        <f>CHAIN_RAW!I1778</f>
        <v/>
      </c>
      <c r="H1780" s="31">
        <f>CHAIN_RAW!Q1778</f>
        <v/>
      </c>
      <c r="I1780" s="31">
        <f>LET(pc,F1780,oc,H1780,IF(OR(pc="",oc=""),"",IF(AND(pc&gt;0,oc&gt;0),"Long Buildup",IF(AND(pc&lt;0,oc&gt;0),"Short Buildup",IF(AND(pc&gt;0,oc&lt;0),"Short Covering",IF(AND(pc&lt;0,oc&lt;0),"Long Unwinding","Flat"))))))</f>
        <v/>
      </c>
      <c r="J1780" s="31">
        <f>LET(pc,ABS(F1780),oc,ABS(H1780),IF(OR(pc="",oc=""),"",MAX(1,MIN(5,ROUND((pc*0.5+oc*0.00001)*5,0))))))</f>
        <v/>
      </c>
    </row>
    <row r="1781">
      <c r="A1781" s="31" t="n">
        <v>1779</v>
      </c>
      <c r="B1781" s="31">
        <f>CHAIN_RAW!D1779</f>
        <v/>
      </c>
      <c r="C1781" s="31">
        <f>CHAIN_RAW!A1779</f>
        <v/>
      </c>
      <c r="D1781" s="31">
        <f>CHAIN_RAW!C1779</f>
        <v/>
      </c>
      <c r="E1781" s="31">
        <f>CHAIN_RAW!E1779</f>
        <v/>
      </c>
      <c r="F1781" s="31">
        <f>CHAIN_RAW!F1779</f>
        <v/>
      </c>
      <c r="G1781" s="31">
        <f>CHAIN_RAW!I1779</f>
        <v/>
      </c>
      <c r="H1781" s="31">
        <f>CHAIN_RAW!Q1779</f>
        <v/>
      </c>
      <c r="I1781" s="31">
        <f>LET(pc,F1781,oc,H1781,IF(OR(pc="",oc=""),"",IF(AND(pc&gt;0,oc&gt;0),"Long Buildup",IF(AND(pc&lt;0,oc&gt;0),"Short Buildup",IF(AND(pc&gt;0,oc&lt;0),"Short Covering",IF(AND(pc&lt;0,oc&lt;0),"Long Unwinding","Flat"))))))</f>
        <v/>
      </c>
      <c r="J1781" s="31">
        <f>LET(pc,ABS(F1781),oc,ABS(H1781),IF(OR(pc="",oc=""),"",MAX(1,MIN(5,ROUND((pc*0.5+oc*0.00001)*5,0))))))</f>
        <v/>
      </c>
    </row>
    <row r="1782">
      <c r="A1782" s="31" t="n">
        <v>1780</v>
      </c>
      <c r="B1782" s="31">
        <f>CHAIN_RAW!D1780</f>
        <v/>
      </c>
      <c r="C1782" s="31">
        <f>CHAIN_RAW!A1780</f>
        <v/>
      </c>
      <c r="D1782" s="31">
        <f>CHAIN_RAW!C1780</f>
        <v/>
      </c>
      <c r="E1782" s="31">
        <f>CHAIN_RAW!E1780</f>
        <v/>
      </c>
      <c r="F1782" s="31">
        <f>CHAIN_RAW!F1780</f>
        <v/>
      </c>
      <c r="G1782" s="31">
        <f>CHAIN_RAW!I1780</f>
        <v/>
      </c>
      <c r="H1782" s="31">
        <f>CHAIN_RAW!Q1780</f>
        <v/>
      </c>
      <c r="I1782" s="31">
        <f>LET(pc,F1782,oc,H1782,IF(OR(pc="",oc=""),"",IF(AND(pc&gt;0,oc&gt;0),"Long Buildup",IF(AND(pc&lt;0,oc&gt;0),"Short Buildup",IF(AND(pc&gt;0,oc&lt;0),"Short Covering",IF(AND(pc&lt;0,oc&lt;0),"Long Unwinding","Flat"))))))</f>
        <v/>
      </c>
      <c r="J1782" s="31">
        <f>LET(pc,ABS(F1782),oc,ABS(H1782),IF(OR(pc="",oc=""),"",MAX(1,MIN(5,ROUND((pc*0.5+oc*0.00001)*5,0))))))</f>
        <v/>
      </c>
    </row>
    <row r="1783">
      <c r="A1783" s="31" t="n">
        <v>1781</v>
      </c>
      <c r="B1783" s="31">
        <f>CHAIN_RAW!D1781</f>
        <v/>
      </c>
      <c r="C1783" s="31">
        <f>CHAIN_RAW!A1781</f>
        <v/>
      </c>
      <c r="D1783" s="31">
        <f>CHAIN_RAW!C1781</f>
        <v/>
      </c>
      <c r="E1783" s="31">
        <f>CHAIN_RAW!E1781</f>
        <v/>
      </c>
      <c r="F1783" s="31">
        <f>CHAIN_RAW!F1781</f>
        <v/>
      </c>
      <c r="G1783" s="31">
        <f>CHAIN_RAW!I1781</f>
        <v/>
      </c>
      <c r="H1783" s="31">
        <f>CHAIN_RAW!Q1781</f>
        <v/>
      </c>
      <c r="I1783" s="31">
        <f>LET(pc,F1783,oc,H1783,IF(OR(pc="",oc=""),"",IF(AND(pc&gt;0,oc&gt;0),"Long Buildup",IF(AND(pc&lt;0,oc&gt;0),"Short Buildup",IF(AND(pc&gt;0,oc&lt;0),"Short Covering",IF(AND(pc&lt;0,oc&lt;0),"Long Unwinding","Flat"))))))</f>
        <v/>
      </c>
      <c r="J1783" s="31">
        <f>LET(pc,ABS(F1783),oc,ABS(H1783),IF(OR(pc="",oc=""),"",MAX(1,MIN(5,ROUND((pc*0.5+oc*0.00001)*5,0))))))</f>
        <v/>
      </c>
    </row>
    <row r="1784">
      <c r="A1784" s="31" t="n">
        <v>1782</v>
      </c>
      <c r="B1784" s="31">
        <f>CHAIN_RAW!D1782</f>
        <v/>
      </c>
      <c r="C1784" s="31">
        <f>CHAIN_RAW!A1782</f>
        <v/>
      </c>
      <c r="D1784" s="31">
        <f>CHAIN_RAW!C1782</f>
        <v/>
      </c>
      <c r="E1784" s="31">
        <f>CHAIN_RAW!E1782</f>
        <v/>
      </c>
      <c r="F1784" s="31">
        <f>CHAIN_RAW!F1782</f>
        <v/>
      </c>
      <c r="G1784" s="31">
        <f>CHAIN_RAW!I1782</f>
        <v/>
      </c>
      <c r="H1784" s="31">
        <f>CHAIN_RAW!Q1782</f>
        <v/>
      </c>
      <c r="I1784" s="31">
        <f>LET(pc,F1784,oc,H1784,IF(OR(pc="",oc=""),"",IF(AND(pc&gt;0,oc&gt;0),"Long Buildup",IF(AND(pc&lt;0,oc&gt;0),"Short Buildup",IF(AND(pc&gt;0,oc&lt;0),"Short Covering",IF(AND(pc&lt;0,oc&lt;0),"Long Unwinding","Flat"))))))</f>
        <v/>
      </c>
      <c r="J1784" s="31">
        <f>LET(pc,ABS(F1784),oc,ABS(H1784),IF(OR(pc="",oc=""),"",MAX(1,MIN(5,ROUND((pc*0.5+oc*0.00001)*5,0))))))</f>
        <v/>
      </c>
    </row>
    <row r="1785">
      <c r="A1785" s="31" t="n">
        <v>1783</v>
      </c>
      <c r="B1785" s="31">
        <f>CHAIN_RAW!D1783</f>
        <v/>
      </c>
      <c r="C1785" s="31">
        <f>CHAIN_RAW!A1783</f>
        <v/>
      </c>
      <c r="D1785" s="31">
        <f>CHAIN_RAW!C1783</f>
        <v/>
      </c>
      <c r="E1785" s="31">
        <f>CHAIN_RAW!E1783</f>
        <v/>
      </c>
      <c r="F1785" s="31">
        <f>CHAIN_RAW!F1783</f>
        <v/>
      </c>
      <c r="G1785" s="31">
        <f>CHAIN_RAW!I1783</f>
        <v/>
      </c>
      <c r="H1785" s="31">
        <f>CHAIN_RAW!Q1783</f>
        <v/>
      </c>
      <c r="I1785" s="31">
        <f>LET(pc,F1785,oc,H1785,IF(OR(pc="",oc=""),"",IF(AND(pc&gt;0,oc&gt;0),"Long Buildup",IF(AND(pc&lt;0,oc&gt;0),"Short Buildup",IF(AND(pc&gt;0,oc&lt;0),"Short Covering",IF(AND(pc&lt;0,oc&lt;0),"Long Unwinding","Flat"))))))</f>
        <v/>
      </c>
      <c r="J1785" s="31">
        <f>LET(pc,ABS(F1785),oc,ABS(H1785),IF(OR(pc="",oc=""),"",MAX(1,MIN(5,ROUND((pc*0.5+oc*0.00001)*5,0))))))</f>
        <v/>
      </c>
    </row>
    <row r="1786">
      <c r="A1786" s="31" t="n">
        <v>1784</v>
      </c>
      <c r="B1786" s="31">
        <f>CHAIN_RAW!D1784</f>
        <v/>
      </c>
      <c r="C1786" s="31">
        <f>CHAIN_RAW!A1784</f>
        <v/>
      </c>
      <c r="D1786" s="31">
        <f>CHAIN_RAW!C1784</f>
        <v/>
      </c>
      <c r="E1786" s="31">
        <f>CHAIN_RAW!E1784</f>
        <v/>
      </c>
      <c r="F1786" s="31">
        <f>CHAIN_RAW!F1784</f>
        <v/>
      </c>
      <c r="G1786" s="31">
        <f>CHAIN_RAW!I1784</f>
        <v/>
      </c>
      <c r="H1786" s="31">
        <f>CHAIN_RAW!Q1784</f>
        <v/>
      </c>
      <c r="I1786" s="31">
        <f>LET(pc,F1786,oc,H1786,IF(OR(pc="",oc=""),"",IF(AND(pc&gt;0,oc&gt;0),"Long Buildup",IF(AND(pc&lt;0,oc&gt;0),"Short Buildup",IF(AND(pc&gt;0,oc&lt;0),"Short Covering",IF(AND(pc&lt;0,oc&lt;0),"Long Unwinding","Flat"))))))</f>
        <v/>
      </c>
      <c r="J1786" s="31">
        <f>LET(pc,ABS(F1786),oc,ABS(H1786),IF(OR(pc="",oc=""),"",MAX(1,MIN(5,ROUND((pc*0.5+oc*0.00001)*5,0))))))</f>
        <v/>
      </c>
    </row>
    <row r="1787">
      <c r="A1787" s="31" t="n">
        <v>1785</v>
      </c>
      <c r="B1787" s="31">
        <f>CHAIN_RAW!D1785</f>
        <v/>
      </c>
      <c r="C1787" s="31">
        <f>CHAIN_RAW!A1785</f>
        <v/>
      </c>
      <c r="D1787" s="31">
        <f>CHAIN_RAW!C1785</f>
        <v/>
      </c>
      <c r="E1787" s="31">
        <f>CHAIN_RAW!E1785</f>
        <v/>
      </c>
      <c r="F1787" s="31">
        <f>CHAIN_RAW!F1785</f>
        <v/>
      </c>
      <c r="G1787" s="31">
        <f>CHAIN_RAW!I1785</f>
        <v/>
      </c>
      <c r="H1787" s="31">
        <f>CHAIN_RAW!Q1785</f>
        <v/>
      </c>
      <c r="I1787" s="31">
        <f>LET(pc,F1787,oc,H1787,IF(OR(pc="",oc=""),"",IF(AND(pc&gt;0,oc&gt;0),"Long Buildup",IF(AND(pc&lt;0,oc&gt;0),"Short Buildup",IF(AND(pc&gt;0,oc&lt;0),"Short Covering",IF(AND(pc&lt;0,oc&lt;0),"Long Unwinding","Flat"))))))</f>
        <v/>
      </c>
      <c r="J1787" s="31">
        <f>LET(pc,ABS(F1787),oc,ABS(H1787),IF(OR(pc="",oc=""),"",MAX(1,MIN(5,ROUND((pc*0.5+oc*0.00001)*5,0))))))</f>
        <v/>
      </c>
    </row>
    <row r="1788">
      <c r="A1788" s="31" t="n">
        <v>1786</v>
      </c>
      <c r="B1788" s="31">
        <f>CHAIN_RAW!D1786</f>
        <v/>
      </c>
      <c r="C1788" s="31">
        <f>CHAIN_RAW!A1786</f>
        <v/>
      </c>
      <c r="D1788" s="31">
        <f>CHAIN_RAW!C1786</f>
        <v/>
      </c>
      <c r="E1788" s="31">
        <f>CHAIN_RAW!E1786</f>
        <v/>
      </c>
      <c r="F1788" s="31">
        <f>CHAIN_RAW!F1786</f>
        <v/>
      </c>
      <c r="G1788" s="31">
        <f>CHAIN_RAW!I1786</f>
        <v/>
      </c>
      <c r="H1788" s="31">
        <f>CHAIN_RAW!Q1786</f>
        <v/>
      </c>
      <c r="I1788" s="31">
        <f>LET(pc,F1788,oc,H1788,IF(OR(pc="",oc=""),"",IF(AND(pc&gt;0,oc&gt;0),"Long Buildup",IF(AND(pc&lt;0,oc&gt;0),"Short Buildup",IF(AND(pc&gt;0,oc&lt;0),"Short Covering",IF(AND(pc&lt;0,oc&lt;0),"Long Unwinding","Flat"))))))</f>
        <v/>
      </c>
      <c r="J1788" s="31">
        <f>LET(pc,ABS(F1788),oc,ABS(H1788),IF(OR(pc="",oc=""),"",MAX(1,MIN(5,ROUND((pc*0.5+oc*0.00001)*5,0))))))</f>
        <v/>
      </c>
    </row>
    <row r="1789">
      <c r="A1789" s="31" t="n">
        <v>1787</v>
      </c>
      <c r="B1789" s="31">
        <f>CHAIN_RAW!D1787</f>
        <v/>
      </c>
      <c r="C1789" s="31">
        <f>CHAIN_RAW!A1787</f>
        <v/>
      </c>
      <c r="D1789" s="31">
        <f>CHAIN_RAW!C1787</f>
        <v/>
      </c>
      <c r="E1789" s="31">
        <f>CHAIN_RAW!E1787</f>
        <v/>
      </c>
      <c r="F1789" s="31">
        <f>CHAIN_RAW!F1787</f>
        <v/>
      </c>
      <c r="G1789" s="31">
        <f>CHAIN_RAW!I1787</f>
        <v/>
      </c>
      <c r="H1789" s="31">
        <f>CHAIN_RAW!Q1787</f>
        <v/>
      </c>
      <c r="I1789" s="31">
        <f>LET(pc,F1789,oc,H1789,IF(OR(pc="",oc=""),"",IF(AND(pc&gt;0,oc&gt;0),"Long Buildup",IF(AND(pc&lt;0,oc&gt;0),"Short Buildup",IF(AND(pc&gt;0,oc&lt;0),"Short Covering",IF(AND(pc&lt;0,oc&lt;0),"Long Unwinding","Flat"))))))</f>
        <v/>
      </c>
      <c r="J1789" s="31">
        <f>LET(pc,ABS(F1789),oc,ABS(H1789),IF(OR(pc="",oc=""),"",MAX(1,MIN(5,ROUND((pc*0.5+oc*0.00001)*5,0))))))</f>
        <v/>
      </c>
    </row>
    <row r="1790">
      <c r="A1790" s="31" t="n">
        <v>1788</v>
      </c>
      <c r="B1790" s="31">
        <f>CHAIN_RAW!D1788</f>
        <v/>
      </c>
      <c r="C1790" s="31">
        <f>CHAIN_RAW!A1788</f>
        <v/>
      </c>
      <c r="D1790" s="31">
        <f>CHAIN_RAW!C1788</f>
        <v/>
      </c>
      <c r="E1790" s="31">
        <f>CHAIN_RAW!E1788</f>
        <v/>
      </c>
      <c r="F1790" s="31">
        <f>CHAIN_RAW!F1788</f>
        <v/>
      </c>
      <c r="G1790" s="31">
        <f>CHAIN_RAW!I1788</f>
        <v/>
      </c>
      <c r="H1790" s="31">
        <f>CHAIN_RAW!Q1788</f>
        <v/>
      </c>
      <c r="I1790" s="31">
        <f>LET(pc,F1790,oc,H1790,IF(OR(pc="",oc=""),"",IF(AND(pc&gt;0,oc&gt;0),"Long Buildup",IF(AND(pc&lt;0,oc&gt;0),"Short Buildup",IF(AND(pc&gt;0,oc&lt;0),"Short Covering",IF(AND(pc&lt;0,oc&lt;0),"Long Unwinding","Flat"))))))</f>
        <v/>
      </c>
      <c r="J1790" s="31">
        <f>LET(pc,ABS(F1790),oc,ABS(H1790),IF(OR(pc="",oc=""),"",MAX(1,MIN(5,ROUND((pc*0.5+oc*0.00001)*5,0))))))</f>
        <v/>
      </c>
    </row>
    <row r="1791">
      <c r="A1791" s="31" t="n">
        <v>1789</v>
      </c>
      <c r="B1791" s="31">
        <f>CHAIN_RAW!D1789</f>
        <v/>
      </c>
      <c r="C1791" s="31">
        <f>CHAIN_RAW!A1789</f>
        <v/>
      </c>
      <c r="D1791" s="31">
        <f>CHAIN_RAW!C1789</f>
        <v/>
      </c>
      <c r="E1791" s="31">
        <f>CHAIN_RAW!E1789</f>
        <v/>
      </c>
      <c r="F1791" s="31">
        <f>CHAIN_RAW!F1789</f>
        <v/>
      </c>
      <c r="G1791" s="31">
        <f>CHAIN_RAW!I1789</f>
        <v/>
      </c>
      <c r="H1791" s="31">
        <f>CHAIN_RAW!Q1789</f>
        <v/>
      </c>
      <c r="I1791" s="31">
        <f>LET(pc,F1791,oc,H1791,IF(OR(pc="",oc=""),"",IF(AND(pc&gt;0,oc&gt;0),"Long Buildup",IF(AND(pc&lt;0,oc&gt;0),"Short Buildup",IF(AND(pc&gt;0,oc&lt;0),"Short Covering",IF(AND(pc&lt;0,oc&lt;0),"Long Unwinding","Flat"))))))</f>
        <v/>
      </c>
      <c r="J1791" s="31">
        <f>LET(pc,ABS(F1791),oc,ABS(H1791),IF(OR(pc="",oc=""),"",MAX(1,MIN(5,ROUND((pc*0.5+oc*0.00001)*5,0))))))</f>
        <v/>
      </c>
    </row>
    <row r="1792">
      <c r="A1792" s="31" t="n">
        <v>1790</v>
      </c>
      <c r="B1792" s="31">
        <f>CHAIN_RAW!D1790</f>
        <v/>
      </c>
      <c r="C1792" s="31">
        <f>CHAIN_RAW!A1790</f>
        <v/>
      </c>
      <c r="D1792" s="31">
        <f>CHAIN_RAW!C1790</f>
        <v/>
      </c>
      <c r="E1792" s="31">
        <f>CHAIN_RAW!E1790</f>
        <v/>
      </c>
      <c r="F1792" s="31">
        <f>CHAIN_RAW!F1790</f>
        <v/>
      </c>
      <c r="G1792" s="31">
        <f>CHAIN_RAW!I1790</f>
        <v/>
      </c>
      <c r="H1792" s="31">
        <f>CHAIN_RAW!Q1790</f>
        <v/>
      </c>
      <c r="I1792" s="31">
        <f>LET(pc,F1792,oc,H1792,IF(OR(pc="",oc=""),"",IF(AND(pc&gt;0,oc&gt;0),"Long Buildup",IF(AND(pc&lt;0,oc&gt;0),"Short Buildup",IF(AND(pc&gt;0,oc&lt;0),"Short Covering",IF(AND(pc&lt;0,oc&lt;0),"Long Unwinding","Flat"))))))</f>
        <v/>
      </c>
      <c r="J1792" s="31">
        <f>LET(pc,ABS(F1792),oc,ABS(H1792),IF(OR(pc="",oc=""),"",MAX(1,MIN(5,ROUND((pc*0.5+oc*0.00001)*5,0))))))</f>
        <v/>
      </c>
    </row>
    <row r="1793">
      <c r="A1793" s="31" t="n">
        <v>1791</v>
      </c>
      <c r="B1793" s="31">
        <f>CHAIN_RAW!D1791</f>
        <v/>
      </c>
      <c r="C1793" s="31">
        <f>CHAIN_RAW!A1791</f>
        <v/>
      </c>
      <c r="D1793" s="31">
        <f>CHAIN_RAW!C1791</f>
        <v/>
      </c>
      <c r="E1793" s="31">
        <f>CHAIN_RAW!E1791</f>
        <v/>
      </c>
      <c r="F1793" s="31">
        <f>CHAIN_RAW!F1791</f>
        <v/>
      </c>
      <c r="G1793" s="31">
        <f>CHAIN_RAW!I1791</f>
        <v/>
      </c>
      <c r="H1793" s="31">
        <f>CHAIN_RAW!Q1791</f>
        <v/>
      </c>
      <c r="I1793" s="31">
        <f>LET(pc,F1793,oc,H1793,IF(OR(pc="",oc=""),"",IF(AND(pc&gt;0,oc&gt;0),"Long Buildup",IF(AND(pc&lt;0,oc&gt;0),"Short Buildup",IF(AND(pc&gt;0,oc&lt;0),"Short Covering",IF(AND(pc&lt;0,oc&lt;0),"Long Unwinding","Flat"))))))</f>
        <v/>
      </c>
      <c r="J1793" s="31">
        <f>LET(pc,ABS(F1793),oc,ABS(H1793),IF(OR(pc="",oc=""),"",MAX(1,MIN(5,ROUND((pc*0.5+oc*0.00001)*5,0))))))</f>
        <v/>
      </c>
    </row>
    <row r="1794">
      <c r="A1794" s="31" t="n">
        <v>1792</v>
      </c>
      <c r="B1794" s="31">
        <f>CHAIN_RAW!D1792</f>
        <v/>
      </c>
      <c r="C1794" s="31">
        <f>CHAIN_RAW!A1792</f>
        <v/>
      </c>
      <c r="D1794" s="31">
        <f>CHAIN_RAW!C1792</f>
        <v/>
      </c>
      <c r="E1794" s="31">
        <f>CHAIN_RAW!E1792</f>
        <v/>
      </c>
      <c r="F1794" s="31">
        <f>CHAIN_RAW!F1792</f>
        <v/>
      </c>
      <c r="G1794" s="31">
        <f>CHAIN_RAW!I1792</f>
        <v/>
      </c>
      <c r="H1794" s="31">
        <f>CHAIN_RAW!Q1792</f>
        <v/>
      </c>
      <c r="I1794" s="31">
        <f>LET(pc,F1794,oc,H1794,IF(OR(pc="",oc=""),"",IF(AND(pc&gt;0,oc&gt;0),"Long Buildup",IF(AND(pc&lt;0,oc&gt;0),"Short Buildup",IF(AND(pc&gt;0,oc&lt;0),"Short Covering",IF(AND(pc&lt;0,oc&lt;0),"Long Unwinding","Flat"))))))</f>
        <v/>
      </c>
      <c r="J1794" s="31">
        <f>LET(pc,ABS(F1794),oc,ABS(H1794),IF(OR(pc="",oc=""),"",MAX(1,MIN(5,ROUND((pc*0.5+oc*0.00001)*5,0))))))</f>
        <v/>
      </c>
    </row>
    <row r="1795">
      <c r="A1795" s="31" t="n">
        <v>1793</v>
      </c>
      <c r="B1795" s="31">
        <f>CHAIN_RAW!D1793</f>
        <v/>
      </c>
      <c r="C1795" s="31">
        <f>CHAIN_RAW!A1793</f>
        <v/>
      </c>
      <c r="D1795" s="31">
        <f>CHAIN_RAW!C1793</f>
        <v/>
      </c>
      <c r="E1795" s="31">
        <f>CHAIN_RAW!E1793</f>
        <v/>
      </c>
      <c r="F1795" s="31">
        <f>CHAIN_RAW!F1793</f>
        <v/>
      </c>
      <c r="G1795" s="31">
        <f>CHAIN_RAW!I1793</f>
        <v/>
      </c>
      <c r="H1795" s="31">
        <f>CHAIN_RAW!Q1793</f>
        <v/>
      </c>
      <c r="I1795" s="31">
        <f>LET(pc,F1795,oc,H1795,IF(OR(pc="",oc=""),"",IF(AND(pc&gt;0,oc&gt;0),"Long Buildup",IF(AND(pc&lt;0,oc&gt;0),"Short Buildup",IF(AND(pc&gt;0,oc&lt;0),"Short Covering",IF(AND(pc&lt;0,oc&lt;0),"Long Unwinding","Flat"))))))</f>
        <v/>
      </c>
      <c r="J1795" s="31">
        <f>LET(pc,ABS(F1795),oc,ABS(H1795),IF(OR(pc="",oc=""),"",MAX(1,MIN(5,ROUND((pc*0.5+oc*0.00001)*5,0))))))</f>
        <v/>
      </c>
    </row>
    <row r="1796">
      <c r="A1796" s="31" t="n">
        <v>1794</v>
      </c>
      <c r="B1796" s="31">
        <f>CHAIN_RAW!D1794</f>
        <v/>
      </c>
      <c r="C1796" s="31">
        <f>CHAIN_RAW!A1794</f>
        <v/>
      </c>
      <c r="D1796" s="31">
        <f>CHAIN_RAW!C1794</f>
        <v/>
      </c>
      <c r="E1796" s="31">
        <f>CHAIN_RAW!E1794</f>
        <v/>
      </c>
      <c r="F1796" s="31">
        <f>CHAIN_RAW!F1794</f>
        <v/>
      </c>
      <c r="G1796" s="31">
        <f>CHAIN_RAW!I1794</f>
        <v/>
      </c>
      <c r="H1796" s="31">
        <f>CHAIN_RAW!Q1794</f>
        <v/>
      </c>
      <c r="I1796" s="31">
        <f>LET(pc,F1796,oc,H1796,IF(OR(pc="",oc=""),"",IF(AND(pc&gt;0,oc&gt;0),"Long Buildup",IF(AND(pc&lt;0,oc&gt;0),"Short Buildup",IF(AND(pc&gt;0,oc&lt;0),"Short Covering",IF(AND(pc&lt;0,oc&lt;0),"Long Unwinding","Flat"))))))</f>
        <v/>
      </c>
      <c r="J1796" s="31">
        <f>LET(pc,ABS(F1796),oc,ABS(H1796),IF(OR(pc="",oc=""),"",MAX(1,MIN(5,ROUND((pc*0.5+oc*0.00001)*5,0))))))</f>
        <v/>
      </c>
    </row>
    <row r="1797">
      <c r="A1797" s="31" t="n">
        <v>1795</v>
      </c>
      <c r="B1797" s="31">
        <f>CHAIN_RAW!D1795</f>
        <v/>
      </c>
      <c r="C1797" s="31">
        <f>CHAIN_RAW!A1795</f>
        <v/>
      </c>
      <c r="D1797" s="31">
        <f>CHAIN_RAW!C1795</f>
        <v/>
      </c>
      <c r="E1797" s="31">
        <f>CHAIN_RAW!E1795</f>
        <v/>
      </c>
      <c r="F1797" s="31">
        <f>CHAIN_RAW!F1795</f>
        <v/>
      </c>
      <c r="G1797" s="31">
        <f>CHAIN_RAW!I1795</f>
        <v/>
      </c>
      <c r="H1797" s="31">
        <f>CHAIN_RAW!Q1795</f>
        <v/>
      </c>
      <c r="I1797" s="31">
        <f>LET(pc,F1797,oc,H1797,IF(OR(pc="",oc=""),"",IF(AND(pc&gt;0,oc&gt;0),"Long Buildup",IF(AND(pc&lt;0,oc&gt;0),"Short Buildup",IF(AND(pc&gt;0,oc&lt;0),"Short Covering",IF(AND(pc&lt;0,oc&lt;0),"Long Unwinding","Flat"))))))</f>
        <v/>
      </c>
      <c r="J1797" s="31">
        <f>LET(pc,ABS(F1797),oc,ABS(H1797),IF(OR(pc="",oc=""),"",MAX(1,MIN(5,ROUND((pc*0.5+oc*0.00001)*5,0))))))</f>
        <v/>
      </c>
    </row>
    <row r="1798">
      <c r="A1798" s="31" t="n">
        <v>1796</v>
      </c>
      <c r="B1798" s="31">
        <f>CHAIN_RAW!D1796</f>
        <v/>
      </c>
      <c r="C1798" s="31">
        <f>CHAIN_RAW!A1796</f>
        <v/>
      </c>
      <c r="D1798" s="31">
        <f>CHAIN_RAW!C1796</f>
        <v/>
      </c>
      <c r="E1798" s="31">
        <f>CHAIN_RAW!E1796</f>
        <v/>
      </c>
      <c r="F1798" s="31">
        <f>CHAIN_RAW!F1796</f>
        <v/>
      </c>
      <c r="G1798" s="31">
        <f>CHAIN_RAW!I1796</f>
        <v/>
      </c>
      <c r="H1798" s="31">
        <f>CHAIN_RAW!Q1796</f>
        <v/>
      </c>
      <c r="I1798" s="31">
        <f>LET(pc,F1798,oc,H1798,IF(OR(pc="",oc=""),"",IF(AND(pc&gt;0,oc&gt;0),"Long Buildup",IF(AND(pc&lt;0,oc&gt;0),"Short Buildup",IF(AND(pc&gt;0,oc&lt;0),"Short Covering",IF(AND(pc&lt;0,oc&lt;0),"Long Unwinding","Flat"))))))</f>
        <v/>
      </c>
      <c r="J1798" s="31">
        <f>LET(pc,ABS(F1798),oc,ABS(H1798),IF(OR(pc="",oc=""),"",MAX(1,MIN(5,ROUND((pc*0.5+oc*0.00001)*5,0))))))</f>
        <v/>
      </c>
    </row>
    <row r="1799">
      <c r="A1799" s="31" t="n">
        <v>1797</v>
      </c>
      <c r="B1799" s="31">
        <f>CHAIN_RAW!D1797</f>
        <v/>
      </c>
      <c r="C1799" s="31">
        <f>CHAIN_RAW!A1797</f>
        <v/>
      </c>
      <c r="D1799" s="31">
        <f>CHAIN_RAW!C1797</f>
        <v/>
      </c>
      <c r="E1799" s="31">
        <f>CHAIN_RAW!E1797</f>
        <v/>
      </c>
      <c r="F1799" s="31">
        <f>CHAIN_RAW!F1797</f>
        <v/>
      </c>
      <c r="G1799" s="31">
        <f>CHAIN_RAW!I1797</f>
        <v/>
      </c>
      <c r="H1799" s="31">
        <f>CHAIN_RAW!Q1797</f>
        <v/>
      </c>
      <c r="I1799" s="31">
        <f>LET(pc,F1799,oc,H1799,IF(OR(pc="",oc=""),"",IF(AND(pc&gt;0,oc&gt;0),"Long Buildup",IF(AND(pc&lt;0,oc&gt;0),"Short Buildup",IF(AND(pc&gt;0,oc&lt;0),"Short Covering",IF(AND(pc&lt;0,oc&lt;0),"Long Unwinding","Flat"))))))</f>
        <v/>
      </c>
      <c r="J1799" s="31">
        <f>LET(pc,ABS(F1799),oc,ABS(H1799),IF(OR(pc="",oc=""),"",MAX(1,MIN(5,ROUND((pc*0.5+oc*0.00001)*5,0))))))</f>
        <v/>
      </c>
    </row>
    <row r="1800">
      <c r="A1800" s="31" t="n">
        <v>1798</v>
      </c>
      <c r="B1800" s="31">
        <f>CHAIN_RAW!D1798</f>
        <v/>
      </c>
      <c r="C1800" s="31">
        <f>CHAIN_RAW!A1798</f>
        <v/>
      </c>
      <c r="D1800" s="31">
        <f>CHAIN_RAW!C1798</f>
        <v/>
      </c>
      <c r="E1800" s="31">
        <f>CHAIN_RAW!E1798</f>
        <v/>
      </c>
      <c r="F1800" s="31">
        <f>CHAIN_RAW!F1798</f>
        <v/>
      </c>
      <c r="G1800" s="31">
        <f>CHAIN_RAW!I1798</f>
        <v/>
      </c>
      <c r="H1800" s="31">
        <f>CHAIN_RAW!Q1798</f>
        <v/>
      </c>
      <c r="I1800" s="31">
        <f>LET(pc,F1800,oc,H1800,IF(OR(pc="",oc=""),"",IF(AND(pc&gt;0,oc&gt;0),"Long Buildup",IF(AND(pc&lt;0,oc&gt;0),"Short Buildup",IF(AND(pc&gt;0,oc&lt;0),"Short Covering",IF(AND(pc&lt;0,oc&lt;0),"Long Unwinding","Flat"))))))</f>
        <v/>
      </c>
      <c r="J1800" s="31">
        <f>LET(pc,ABS(F1800),oc,ABS(H1800),IF(OR(pc="",oc=""),"",MAX(1,MIN(5,ROUND((pc*0.5+oc*0.00001)*5,0))))))</f>
        <v/>
      </c>
    </row>
    <row r="1801">
      <c r="A1801" s="31" t="n">
        <v>1799</v>
      </c>
      <c r="B1801" s="31">
        <f>CHAIN_RAW!D1799</f>
        <v/>
      </c>
      <c r="C1801" s="31">
        <f>CHAIN_RAW!A1799</f>
        <v/>
      </c>
      <c r="D1801" s="31">
        <f>CHAIN_RAW!C1799</f>
        <v/>
      </c>
      <c r="E1801" s="31">
        <f>CHAIN_RAW!E1799</f>
        <v/>
      </c>
      <c r="F1801" s="31">
        <f>CHAIN_RAW!F1799</f>
        <v/>
      </c>
      <c r="G1801" s="31">
        <f>CHAIN_RAW!I1799</f>
        <v/>
      </c>
      <c r="H1801" s="31">
        <f>CHAIN_RAW!Q1799</f>
        <v/>
      </c>
      <c r="I1801" s="31">
        <f>LET(pc,F1801,oc,H1801,IF(OR(pc="",oc=""),"",IF(AND(pc&gt;0,oc&gt;0),"Long Buildup",IF(AND(pc&lt;0,oc&gt;0),"Short Buildup",IF(AND(pc&gt;0,oc&lt;0),"Short Covering",IF(AND(pc&lt;0,oc&lt;0),"Long Unwinding","Flat"))))))</f>
        <v/>
      </c>
      <c r="J1801" s="31">
        <f>LET(pc,ABS(F1801),oc,ABS(H1801),IF(OR(pc="",oc=""),"",MAX(1,MIN(5,ROUND((pc*0.5+oc*0.00001)*5,0))))))</f>
        <v/>
      </c>
    </row>
    <row r="1802">
      <c r="A1802" s="31" t="n">
        <v>1800</v>
      </c>
      <c r="B1802" s="31">
        <f>CHAIN_RAW!D1800</f>
        <v/>
      </c>
      <c r="C1802" s="31">
        <f>CHAIN_RAW!A1800</f>
        <v/>
      </c>
      <c r="D1802" s="31">
        <f>CHAIN_RAW!C1800</f>
        <v/>
      </c>
      <c r="E1802" s="31">
        <f>CHAIN_RAW!E1800</f>
        <v/>
      </c>
      <c r="F1802" s="31">
        <f>CHAIN_RAW!F1800</f>
        <v/>
      </c>
      <c r="G1802" s="31">
        <f>CHAIN_RAW!I1800</f>
        <v/>
      </c>
      <c r="H1802" s="31">
        <f>CHAIN_RAW!Q1800</f>
        <v/>
      </c>
      <c r="I1802" s="31">
        <f>LET(pc,F1802,oc,H1802,IF(OR(pc="",oc=""),"",IF(AND(pc&gt;0,oc&gt;0),"Long Buildup",IF(AND(pc&lt;0,oc&gt;0),"Short Buildup",IF(AND(pc&gt;0,oc&lt;0),"Short Covering",IF(AND(pc&lt;0,oc&lt;0),"Long Unwinding","Flat"))))))</f>
        <v/>
      </c>
      <c r="J1802" s="31">
        <f>LET(pc,ABS(F1802),oc,ABS(H1802),IF(OR(pc="",oc=""),"",MAX(1,MIN(5,ROUND((pc*0.5+oc*0.00001)*5,0))))))</f>
        <v/>
      </c>
    </row>
    <row r="1803">
      <c r="A1803" s="31" t="n">
        <v>1801</v>
      </c>
      <c r="B1803" s="31">
        <f>CHAIN_RAW!D1801</f>
        <v/>
      </c>
      <c r="C1803" s="31">
        <f>CHAIN_RAW!A1801</f>
        <v/>
      </c>
      <c r="D1803" s="31">
        <f>CHAIN_RAW!C1801</f>
        <v/>
      </c>
      <c r="E1803" s="31">
        <f>CHAIN_RAW!E1801</f>
        <v/>
      </c>
      <c r="F1803" s="31">
        <f>CHAIN_RAW!F1801</f>
        <v/>
      </c>
      <c r="G1803" s="31">
        <f>CHAIN_RAW!I1801</f>
        <v/>
      </c>
      <c r="H1803" s="31">
        <f>CHAIN_RAW!Q1801</f>
        <v/>
      </c>
      <c r="I1803" s="31">
        <f>LET(pc,F1803,oc,H1803,IF(OR(pc="",oc=""),"",IF(AND(pc&gt;0,oc&gt;0),"Long Buildup",IF(AND(pc&lt;0,oc&gt;0),"Short Buildup",IF(AND(pc&gt;0,oc&lt;0),"Short Covering",IF(AND(pc&lt;0,oc&lt;0),"Long Unwinding","Flat"))))))</f>
        <v/>
      </c>
      <c r="J1803" s="31">
        <f>LET(pc,ABS(F1803),oc,ABS(H1803),IF(OR(pc="",oc=""),"",MAX(1,MIN(5,ROUND((pc*0.5+oc*0.00001)*5,0))))))</f>
        <v/>
      </c>
    </row>
    <row r="1804">
      <c r="A1804" s="31" t="n">
        <v>1802</v>
      </c>
      <c r="B1804" s="31">
        <f>CHAIN_RAW!D1802</f>
        <v/>
      </c>
      <c r="C1804" s="31">
        <f>CHAIN_RAW!A1802</f>
        <v/>
      </c>
      <c r="D1804" s="31">
        <f>CHAIN_RAW!C1802</f>
        <v/>
      </c>
      <c r="E1804" s="31">
        <f>CHAIN_RAW!E1802</f>
        <v/>
      </c>
      <c r="F1804" s="31">
        <f>CHAIN_RAW!F1802</f>
        <v/>
      </c>
      <c r="G1804" s="31">
        <f>CHAIN_RAW!I1802</f>
        <v/>
      </c>
      <c r="H1804" s="31">
        <f>CHAIN_RAW!Q1802</f>
        <v/>
      </c>
      <c r="I1804" s="31">
        <f>LET(pc,F1804,oc,H1804,IF(OR(pc="",oc=""),"",IF(AND(pc&gt;0,oc&gt;0),"Long Buildup",IF(AND(pc&lt;0,oc&gt;0),"Short Buildup",IF(AND(pc&gt;0,oc&lt;0),"Short Covering",IF(AND(pc&lt;0,oc&lt;0),"Long Unwinding","Flat"))))))</f>
        <v/>
      </c>
      <c r="J1804" s="31">
        <f>LET(pc,ABS(F1804),oc,ABS(H1804),IF(OR(pc="",oc=""),"",MAX(1,MIN(5,ROUND((pc*0.5+oc*0.00001)*5,0))))))</f>
        <v/>
      </c>
    </row>
    <row r="1805">
      <c r="A1805" s="31" t="n">
        <v>1803</v>
      </c>
      <c r="B1805" s="31">
        <f>CHAIN_RAW!D1803</f>
        <v/>
      </c>
      <c r="C1805" s="31">
        <f>CHAIN_RAW!A1803</f>
        <v/>
      </c>
      <c r="D1805" s="31">
        <f>CHAIN_RAW!C1803</f>
        <v/>
      </c>
      <c r="E1805" s="31">
        <f>CHAIN_RAW!E1803</f>
        <v/>
      </c>
      <c r="F1805" s="31">
        <f>CHAIN_RAW!F1803</f>
        <v/>
      </c>
      <c r="G1805" s="31">
        <f>CHAIN_RAW!I1803</f>
        <v/>
      </c>
      <c r="H1805" s="31">
        <f>CHAIN_RAW!Q1803</f>
        <v/>
      </c>
      <c r="I1805" s="31">
        <f>LET(pc,F1805,oc,H1805,IF(OR(pc="",oc=""),"",IF(AND(pc&gt;0,oc&gt;0),"Long Buildup",IF(AND(pc&lt;0,oc&gt;0),"Short Buildup",IF(AND(pc&gt;0,oc&lt;0),"Short Covering",IF(AND(pc&lt;0,oc&lt;0),"Long Unwinding","Flat"))))))</f>
        <v/>
      </c>
      <c r="J1805" s="31">
        <f>LET(pc,ABS(F1805),oc,ABS(H1805),IF(OR(pc="",oc=""),"",MAX(1,MIN(5,ROUND((pc*0.5+oc*0.00001)*5,0))))))</f>
        <v/>
      </c>
    </row>
    <row r="1806">
      <c r="A1806" s="31" t="n">
        <v>1804</v>
      </c>
      <c r="B1806" s="31">
        <f>CHAIN_RAW!D1804</f>
        <v/>
      </c>
      <c r="C1806" s="31">
        <f>CHAIN_RAW!A1804</f>
        <v/>
      </c>
      <c r="D1806" s="31">
        <f>CHAIN_RAW!C1804</f>
        <v/>
      </c>
      <c r="E1806" s="31">
        <f>CHAIN_RAW!E1804</f>
        <v/>
      </c>
      <c r="F1806" s="31">
        <f>CHAIN_RAW!F1804</f>
        <v/>
      </c>
      <c r="G1806" s="31">
        <f>CHAIN_RAW!I1804</f>
        <v/>
      </c>
      <c r="H1806" s="31">
        <f>CHAIN_RAW!Q1804</f>
        <v/>
      </c>
      <c r="I1806" s="31">
        <f>LET(pc,F1806,oc,H1806,IF(OR(pc="",oc=""),"",IF(AND(pc&gt;0,oc&gt;0),"Long Buildup",IF(AND(pc&lt;0,oc&gt;0),"Short Buildup",IF(AND(pc&gt;0,oc&lt;0),"Short Covering",IF(AND(pc&lt;0,oc&lt;0),"Long Unwinding","Flat"))))))</f>
        <v/>
      </c>
      <c r="J1806" s="31">
        <f>LET(pc,ABS(F1806),oc,ABS(H1806),IF(OR(pc="",oc=""),"",MAX(1,MIN(5,ROUND((pc*0.5+oc*0.00001)*5,0))))))</f>
        <v/>
      </c>
    </row>
    <row r="1807">
      <c r="A1807" s="31" t="n">
        <v>1805</v>
      </c>
      <c r="B1807" s="31">
        <f>CHAIN_RAW!D1805</f>
        <v/>
      </c>
      <c r="C1807" s="31">
        <f>CHAIN_RAW!A1805</f>
        <v/>
      </c>
      <c r="D1807" s="31">
        <f>CHAIN_RAW!C1805</f>
        <v/>
      </c>
      <c r="E1807" s="31">
        <f>CHAIN_RAW!E1805</f>
        <v/>
      </c>
      <c r="F1807" s="31">
        <f>CHAIN_RAW!F1805</f>
        <v/>
      </c>
      <c r="G1807" s="31">
        <f>CHAIN_RAW!I1805</f>
        <v/>
      </c>
      <c r="H1807" s="31">
        <f>CHAIN_RAW!Q1805</f>
        <v/>
      </c>
      <c r="I1807" s="31">
        <f>LET(pc,F1807,oc,H1807,IF(OR(pc="",oc=""),"",IF(AND(pc&gt;0,oc&gt;0),"Long Buildup",IF(AND(pc&lt;0,oc&gt;0),"Short Buildup",IF(AND(pc&gt;0,oc&lt;0),"Short Covering",IF(AND(pc&lt;0,oc&lt;0),"Long Unwinding","Flat"))))))</f>
        <v/>
      </c>
      <c r="J1807" s="31">
        <f>LET(pc,ABS(F1807),oc,ABS(H1807),IF(OR(pc="",oc=""),"",MAX(1,MIN(5,ROUND((pc*0.5+oc*0.00001)*5,0))))))</f>
        <v/>
      </c>
    </row>
    <row r="1808">
      <c r="A1808" s="31" t="n">
        <v>1806</v>
      </c>
      <c r="B1808" s="31">
        <f>CHAIN_RAW!D1806</f>
        <v/>
      </c>
      <c r="C1808" s="31">
        <f>CHAIN_RAW!A1806</f>
        <v/>
      </c>
      <c r="D1808" s="31">
        <f>CHAIN_RAW!C1806</f>
        <v/>
      </c>
      <c r="E1808" s="31">
        <f>CHAIN_RAW!E1806</f>
        <v/>
      </c>
      <c r="F1808" s="31">
        <f>CHAIN_RAW!F1806</f>
        <v/>
      </c>
      <c r="G1808" s="31">
        <f>CHAIN_RAW!I1806</f>
        <v/>
      </c>
      <c r="H1808" s="31">
        <f>CHAIN_RAW!Q1806</f>
        <v/>
      </c>
      <c r="I1808" s="31">
        <f>LET(pc,F1808,oc,H1808,IF(OR(pc="",oc=""),"",IF(AND(pc&gt;0,oc&gt;0),"Long Buildup",IF(AND(pc&lt;0,oc&gt;0),"Short Buildup",IF(AND(pc&gt;0,oc&lt;0),"Short Covering",IF(AND(pc&lt;0,oc&lt;0),"Long Unwinding","Flat"))))))</f>
        <v/>
      </c>
      <c r="J1808" s="31">
        <f>LET(pc,ABS(F1808),oc,ABS(H1808),IF(OR(pc="",oc=""),"",MAX(1,MIN(5,ROUND((pc*0.5+oc*0.00001)*5,0))))))</f>
        <v/>
      </c>
    </row>
    <row r="1809">
      <c r="A1809" s="31" t="n">
        <v>1807</v>
      </c>
      <c r="B1809" s="31">
        <f>CHAIN_RAW!D1807</f>
        <v/>
      </c>
      <c r="C1809" s="31">
        <f>CHAIN_RAW!A1807</f>
        <v/>
      </c>
      <c r="D1809" s="31">
        <f>CHAIN_RAW!C1807</f>
        <v/>
      </c>
      <c r="E1809" s="31">
        <f>CHAIN_RAW!E1807</f>
        <v/>
      </c>
      <c r="F1809" s="31">
        <f>CHAIN_RAW!F1807</f>
        <v/>
      </c>
      <c r="G1809" s="31">
        <f>CHAIN_RAW!I1807</f>
        <v/>
      </c>
      <c r="H1809" s="31">
        <f>CHAIN_RAW!Q1807</f>
        <v/>
      </c>
      <c r="I1809" s="31">
        <f>LET(pc,F1809,oc,H1809,IF(OR(pc="",oc=""),"",IF(AND(pc&gt;0,oc&gt;0),"Long Buildup",IF(AND(pc&lt;0,oc&gt;0),"Short Buildup",IF(AND(pc&gt;0,oc&lt;0),"Short Covering",IF(AND(pc&lt;0,oc&lt;0),"Long Unwinding","Flat"))))))</f>
        <v/>
      </c>
      <c r="J1809" s="31">
        <f>LET(pc,ABS(F1809),oc,ABS(H1809),IF(OR(pc="",oc=""),"",MAX(1,MIN(5,ROUND((pc*0.5+oc*0.00001)*5,0))))))</f>
        <v/>
      </c>
    </row>
    <row r="1810">
      <c r="A1810" s="31" t="n">
        <v>1808</v>
      </c>
      <c r="B1810" s="31">
        <f>CHAIN_RAW!D1808</f>
        <v/>
      </c>
      <c r="C1810" s="31">
        <f>CHAIN_RAW!A1808</f>
        <v/>
      </c>
      <c r="D1810" s="31">
        <f>CHAIN_RAW!C1808</f>
        <v/>
      </c>
      <c r="E1810" s="31">
        <f>CHAIN_RAW!E1808</f>
        <v/>
      </c>
      <c r="F1810" s="31">
        <f>CHAIN_RAW!F1808</f>
        <v/>
      </c>
      <c r="G1810" s="31">
        <f>CHAIN_RAW!I1808</f>
        <v/>
      </c>
      <c r="H1810" s="31">
        <f>CHAIN_RAW!Q1808</f>
        <v/>
      </c>
      <c r="I1810" s="31">
        <f>LET(pc,F1810,oc,H1810,IF(OR(pc="",oc=""),"",IF(AND(pc&gt;0,oc&gt;0),"Long Buildup",IF(AND(pc&lt;0,oc&gt;0),"Short Buildup",IF(AND(pc&gt;0,oc&lt;0),"Short Covering",IF(AND(pc&lt;0,oc&lt;0),"Long Unwinding","Flat"))))))</f>
        <v/>
      </c>
      <c r="J1810" s="31">
        <f>LET(pc,ABS(F1810),oc,ABS(H1810),IF(OR(pc="",oc=""),"",MAX(1,MIN(5,ROUND((pc*0.5+oc*0.00001)*5,0))))))</f>
        <v/>
      </c>
    </row>
    <row r="1811">
      <c r="A1811" s="31" t="n">
        <v>1809</v>
      </c>
      <c r="B1811" s="31">
        <f>CHAIN_RAW!D1809</f>
        <v/>
      </c>
      <c r="C1811" s="31">
        <f>CHAIN_RAW!A1809</f>
        <v/>
      </c>
      <c r="D1811" s="31">
        <f>CHAIN_RAW!C1809</f>
        <v/>
      </c>
      <c r="E1811" s="31">
        <f>CHAIN_RAW!E1809</f>
        <v/>
      </c>
      <c r="F1811" s="31">
        <f>CHAIN_RAW!F1809</f>
        <v/>
      </c>
      <c r="G1811" s="31">
        <f>CHAIN_RAW!I1809</f>
        <v/>
      </c>
      <c r="H1811" s="31">
        <f>CHAIN_RAW!Q1809</f>
        <v/>
      </c>
      <c r="I1811" s="31">
        <f>LET(pc,F1811,oc,H1811,IF(OR(pc="",oc=""),"",IF(AND(pc&gt;0,oc&gt;0),"Long Buildup",IF(AND(pc&lt;0,oc&gt;0),"Short Buildup",IF(AND(pc&gt;0,oc&lt;0),"Short Covering",IF(AND(pc&lt;0,oc&lt;0),"Long Unwinding","Flat"))))))</f>
        <v/>
      </c>
      <c r="J1811" s="31">
        <f>LET(pc,ABS(F1811),oc,ABS(H1811),IF(OR(pc="",oc=""),"",MAX(1,MIN(5,ROUND((pc*0.5+oc*0.00001)*5,0))))))</f>
        <v/>
      </c>
    </row>
    <row r="1812">
      <c r="A1812" s="31" t="n">
        <v>1810</v>
      </c>
      <c r="B1812" s="31">
        <f>CHAIN_RAW!D1810</f>
        <v/>
      </c>
      <c r="C1812" s="31">
        <f>CHAIN_RAW!A1810</f>
        <v/>
      </c>
      <c r="D1812" s="31">
        <f>CHAIN_RAW!C1810</f>
        <v/>
      </c>
      <c r="E1812" s="31">
        <f>CHAIN_RAW!E1810</f>
        <v/>
      </c>
      <c r="F1812" s="31">
        <f>CHAIN_RAW!F1810</f>
        <v/>
      </c>
      <c r="G1812" s="31">
        <f>CHAIN_RAW!I1810</f>
        <v/>
      </c>
      <c r="H1812" s="31">
        <f>CHAIN_RAW!Q1810</f>
        <v/>
      </c>
      <c r="I1812" s="31">
        <f>LET(pc,F1812,oc,H1812,IF(OR(pc="",oc=""),"",IF(AND(pc&gt;0,oc&gt;0),"Long Buildup",IF(AND(pc&lt;0,oc&gt;0),"Short Buildup",IF(AND(pc&gt;0,oc&lt;0),"Short Covering",IF(AND(pc&lt;0,oc&lt;0),"Long Unwinding","Flat"))))))</f>
        <v/>
      </c>
      <c r="J1812" s="31">
        <f>LET(pc,ABS(F1812),oc,ABS(H1812),IF(OR(pc="",oc=""),"",MAX(1,MIN(5,ROUND((pc*0.5+oc*0.00001)*5,0))))))</f>
        <v/>
      </c>
    </row>
    <row r="1813">
      <c r="A1813" s="31" t="n">
        <v>1811</v>
      </c>
      <c r="B1813" s="31">
        <f>CHAIN_RAW!D1811</f>
        <v/>
      </c>
      <c r="C1813" s="31">
        <f>CHAIN_RAW!A1811</f>
        <v/>
      </c>
      <c r="D1813" s="31">
        <f>CHAIN_RAW!C1811</f>
        <v/>
      </c>
      <c r="E1813" s="31">
        <f>CHAIN_RAW!E1811</f>
        <v/>
      </c>
      <c r="F1813" s="31">
        <f>CHAIN_RAW!F1811</f>
        <v/>
      </c>
      <c r="G1813" s="31">
        <f>CHAIN_RAW!I1811</f>
        <v/>
      </c>
      <c r="H1813" s="31">
        <f>CHAIN_RAW!Q1811</f>
        <v/>
      </c>
      <c r="I1813" s="31">
        <f>LET(pc,F1813,oc,H1813,IF(OR(pc="",oc=""),"",IF(AND(pc&gt;0,oc&gt;0),"Long Buildup",IF(AND(pc&lt;0,oc&gt;0),"Short Buildup",IF(AND(pc&gt;0,oc&lt;0),"Short Covering",IF(AND(pc&lt;0,oc&lt;0),"Long Unwinding","Flat"))))))</f>
        <v/>
      </c>
      <c r="J1813" s="31">
        <f>LET(pc,ABS(F1813),oc,ABS(H1813),IF(OR(pc="",oc=""),"",MAX(1,MIN(5,ROUND((pc*0.5+oc*0.00001)*5,0))))))</f>
        <v/>
      </c>
    </row>
    <row r="1814">
      <c r="A1814" s="31" t="n">
        <v>1812</v>
      </c>
      <c r="B1814" s="31">
        <f>CHAIN_RAW!D1812</f>
        <v/>
      </c>
      <c r="C1814" s="31">
        <f>CHAIN_RAW!A1812</f>
        <v/>
      </c>
      <c r="D1814" s="31">
        <f>CHAIN_RAW!C1812</f>
        <v/>
      </c>
      <c r="E1814" s="31">
        <f>CHAIN_RAW!E1812</f>
        <v/>
      </c>
      <c r="F1814" s="31">
        <f>CHAIN_RAW!F1812</f>
        <v/>
      </c>
      <c r="G1814" s="31">
        <f>CHAIN_RAW!I1812</f>
        <v/>
      </c>
      <c r="H1814" s="31">
        <f>CHAIN_RAW!Q1812</f>
        <v/>
      </c>
      <c r="I1814" s="31">
        <f>LET(pc,F1814,oc,H1814,IF(OR(pc="",oc=""),"",IF(AND(pc&gt;0,oc&gt;0),"Long Buildup",IF(AND(pc&lt;0,oc&gt;0),"Short Buildup",IF(AND(pc&gt;0,oc&lt;0),"Short Covering",IF(AND(pc&lt;0,oc&lt;0),"Long Unwinding","Flat"))))))</f>
        <v/>
      </c>
      <c r="J1814" s="31">
        <f>LET(pc,ABS(F1814),oc,ABS(H1814),IF(OR(pc="",oc=""),"",MAX(1,MIN(5,ROUND((pc*0.5+oc*0.00001)*5,0))))))</f>
        <v/>
      </c>
    </row>
    <row r="1815">
      <c r="A1815" s="31" t="n">
        <v>1813</v>
      </c>
      <c r="B1815" s="31">
        <f>CHAIN_RAW!D1813</f>
        <v/>
      </c>
      <c r="C1815" s="31">
        <f>CHAIN_RAW!A1813</f>
        <v/>
      </c>
      <c r="D1815" s="31">
        <f>CHAIN_RAW!C1813</f>
        <v/>
      </c>
      <c r="E1815" s="31">
        <f>CHAIN_RAW!E1813</f>
        <v/>
      </c>
      <c r="F1815" s="31">
        <f>CHAIN_RAW!F1813</f>
        <v/>
      </c>
      <c r="G1815" s="31">
        <f>CHAIN_RAW!I1813</f>
        <v/>
      </c>
      <c r="H1815" s="31">
        <f>CHAIN_RAW!Q1813</f>
        <v/>
      </c>
      <c r="I1815" s="31">
        <f>LET(pc,F1815,oc,H1815,IF(OR(pc="",oc=""),"",IF(AND(pc&gt;0,oc&gt;0),"Long Buildup",IF(AND(pc&lt;0,oc&gt;0),"Short Buildup",IF(AND(pc&gt;0,oc&lt;0),"Short Covering",IF(AND(pc&lt;0,oc&lt;0),"Long Unwinding","Flat"))))))</f>
        <v/>
      </c>
      <c r="J1815" s="31">
        <f>LET(pc,ABS(F1815),oc,ABS(H1815),IF(OR(pc="",oc=""),"",MAX(1,MIN(5,ROUND((pc*0.5+oc*0.00001)*5,0))))))</f>
        <v/>
      </c>
    </row>
    <row r="1816">
      <c r="A1816" s="31" t="n">
        <v>1814</v>
      </c>
      <c r="B1816" s="31">
        <f>CHAIN_RAW!D1814</f>
        <v/>
      </c>
      <c r="C1816" s="31">
        <f>CHAIN_RAW!A1814</f>
        <v/>
      </c>
      <c r="D1816" s="31">
        <f>CHAIN_RAW!C1814</f>
        <v/>
      </c>
      <c r="E1816" s="31">
        <f>CHAIN_RAW!E1814</f>
        <v/>
      </c>
      <c r="F1816" s="31">
        <f>CHAIN_RAW!F1814</f>
        <v/>
      </c>
      <c r="G1816" s="31">
        <f>CHAIN_RAW!I1814</f>
        <v/>
      </c>
      <c r="H1816" s="31">
        <f>CHAIN_RAW!Q1814</f>
        <v/>
      </c>
      <c r="I1816" s="31">
        <f>LET(pc,F1816,oc,H1816,IF(OR(pc="",oc=""),"",IF(AND(pc&gt;0,oc&gt;0),"Long Buildup",IF(AND(pc&lt;0,oc&gt;0),"Short Buildup",IF(AND(pc&gt;0,oc&lt;0),"Short Covering",IF(AND(pc&lt;0,oc&lt;0),"Long Unwinding","Flat"))))))</f>
        <v/>
      </c>
      <c r="J1816" s="31">
        <f>LET(pc,ABS(F1816),oc,ABS(H1816),IF(OR(pc="",oc=""),"",MAX(1,MIN(5,ROUND((pc*0.5+oc*0.00001)*5,0))))))</f>
        <v/>
      </c>
    </row>
    <row r="1817">
      <c r="A1817" s="31" t="n">
        <v>1815</v>
      </c>
      <c r="B1817" s="31">
        <f>CHAIN_RAW!D1815</f>
        <v/>
      </c>
      <c r="C1817" s="31">
        <f>CHAIN_RAW!A1815</f>
        <v/>
      </c>
      <c r="D1817" s="31">
        <f>CHAIN_RAW!C1815</f>
        <v/>
      </c>
      <c r="E1817" s="31">
        <f>CHAIN_RAW!E1815</f>
        <v/>
      </c>
      <c r="F1817" s="31">
        <f>CHAIN_RAW!F1815</f>
        <v/>
      </c>
      <c r="G1817" s="31">
        <f>CHAIN_RAW!I1815</f>
        <v/>
      </c>
      <c r="H1817" s="31">
        <f>CHAIN_RAW!Q1815</f>
        <v/>
      </c>
      <c r="I1817" s="31">
        <f>LET(pc,F1817,oc,H1817,IF(OR(pc="",oc=""),"",IF(AND(pc&gt;0,oc&gt;0),"Long Buildup",IF(AND(pc&lt;0,oc&gt;0),"Short Buildup",IF(AND(pc&gt;0,oc&lt;0),"Short Covering",IF(AND(pc&lt;0,oc&lt;0),"Long Unwinding","Flat"))))))</f>
        <v/>
      </c>
      <c r="J1817" s="31">
        <f>LET(pc,ABS(F1817),oc,ABS(H1817),IF(OR(pc="",oc=""),"",MAX(1,MIN(5,ROUND((pc*0.5+oc*0.00001)*5,0))))))</f>
        <v/>
      </c>
    </row>
    <row r="1818">
      <c r="A1818" s="31" t="n">
        <v>1816</v>
      </c>
      <c r="B1818" s="31">
        <f>CHAIN_RAW!D1816</f>
        <v/>
      </c>
      <c r="C1818" s="31">
        <f>CHAIN_RAW!A1816</f>
        <v/>
      </c>
      <c r="D1818" s="31">
        <f>CHAIN_RAW!C1816</f>
        <v/>
      </c>
      <c r="E1818" s="31">
        <f>CHAIN_RAW!E1816</f>
        <v/>
      </c>
      <c r="F1818" s="31">
        <f>CHAIN_RAW!F1816</f>
        <v/>
      </c>
      <c r="G1818" s="31">
        <f>CHAIN_RAW!I1816</f>
        <v/>
      </c>
      <c r="H1818" s="31">
        <f>CHAIN_RAW!Q1816</f>
        <v/>
      </c>
      <c r="I1818" s="31">
        <f>LET(pc,F1818,oc,H1818,IF(OR(pc="",oc=""),"",IF(AND(pc&gt;0,oc&gt;0),"Long Buildup",IF(AND(pc&lt;0,oc&gt;0),"Short Buildup",IF(AND(pc&gt;0,oc&lt;0),"Short Covering",IF(AND(pc&lt;0,oc&lt;0),"Long Unwinding","Flat"))))))</f>
        <v/>
      </c>
      <c r="J1818" s="31">
        <f>LET(pc,ABS(F1818),oc,ABS(H1818),IF(OR(pc="",oc=""),"",MAX(1,MIN(5,ROUND((pc*0.5+oc*0.00001)*5,0))))))</f>
        <v/>
      </c>
    </row>
    <row r="1819">
      <c r="A1819" s="31" t="n">
        <v>1817</v>
      </c>
      <c r="B1819" s="31">
        <f>CHAIN_RAW!D1817</f>
        <v/>
      </c>
      <c r="C1819" s="31">
        <f>CHAIN_RAW!A1817</f>
        <v/>
      </c>
      <c r="D1819" s="31">
        <f>CHAIN_RAW!C1817</f>
        <v/>
      </c>
      <c r="E1819" s="31">
        <f>CHAIN_RAW!E1817</f>
        <v/>
      </c>
      <c r="F1819" s="31">
        <f>CHAIN_RAW!F1817</f>
        <v/>
      </c>
      <c r="G1819" s="31">
        <f>CHAIN_RAW!I1817</f>
        <v/>
      </c>
      <c r="H1819" s="31">
        <f>CHAIN_RAW!Q1817</f>
        <v/>
      </c>
      <c r="I1819" s="31">
        <f>LET(pc,F1819,oc,H1819,IF(OR(pc="",oc=""),"",IF(AND(pc&gt;0,oc&gt;0),"Long Buildup",IF(AND(pc&lt;0,oc&gt;0),"Short Buildup",IF(AND(pc&gt;0,oc&lt;0),"Short Covering",IF(AND(pc&lt;0,oc&lt;0),"Long Unwinding","Flat"))))))</f>
        <v/>
      </c>
      <c r="J1819" s="31">
        <f>LET(pc,ABS(F1819),oc,ABS(H1819),IF(OR(pc="",oc=""),"",MAX(1,MIN(5,ROUND((pc*0.5+oc*0.00001)*5,0))))))</f>
        <v/>
      </c>
    </row>
    <row r="1820">
      <c r="A1820" s="31" t="n">
        <v>1818</v>
      </c>
      <c r="B1820" s="31">
        <f>CHAIN_RAW!D1818</f>
        <v/>
      </c>
      <c r="C1820" s="31">
        <f>CHAIN_RAW!A1818</f>
        <v/>
      </c>
      <c r="D1820" s="31">
        <f>CHAIN_RAW!C1818</f>
        <v/>
      </c>
      <c r="E1820" s="31">
        <f>CHAIN_RAW!E1818</f>
        <v/>
      </c>
      <c r="F1820" s="31">
        <f>CHAIN_RAW!F1818</f>
        <v/>
      </c>
      <c r="G1820" s="31">
        <f>CHAIN_RAW!I1818</f>
        <v/>
      </c>
      <c r="H1820" s="31">
        <f>CHAIN_RAW!Q1818</f>
        <v/>
      </c>
      <c r="I1820" s="31">
        <f>LET(pc,F1820,oc,H1820,IF(OR(pc="",oc=""),"",IF(AND(pc&gt;0,oc&gt;0),"Long Buildup",IF(AND(pc&lt;0,oc&gt;0),"Short Buildup",IF(AND(pc&gt;0,oc&lt;0),"Short Covering",IF(AND(pc&lt;0,oc&lt;0),"Long Unwinding","Flat"))))))</f>
        <v/>
      </c>
      <c r="J1820" s="31">
        <f>LET(pc,ABS(F1820),oc,ABS(H1820),IF(OR(pc="",oc=""),"",MAX(1,MIN(5,ROUND((pc*0.5+oc*0.00001)*5,0))))))</f>
        <v/>
      </c>
    </row>
    <row r="1821">
      <c r="A1821" s="31" t="n">
        <v>1819</v>
      </c>
      <c r="B1821" s="31">
        <f>CHAIN_RAW!D1819</f>
        <v/>
      </c>
      <c r="C1821" s="31">
        <f>CHAIN_RAW!A1819</f>
        <v/>
      </c>
      <c r="D1821" s="31">
        <f>CHAIN_RAW!C1819</f>
        <v/>
      </c>
      <c r="E1821" s="31">
        <f>CHAIN_RAW!E1819</f>
        <v/>
      </c>
      <c r="F1821" s="31">
        <f>CHAIN_RAW!F1819</f>
        <v/>
      </c>
      <c r="G1821" s="31">
        <f>CHAIN_RAW!I1819</f>
        <v/>
      </c>
      <c r="H1821" s="31">
        <f>CHAIN_RAW!Q1819</f>
        <v/>
      </c>
      <c r="I1821" s="31">
        <f>LET(pc,F1821,oc,H1821,IF(OR(pc="",oc=""),"",IF(AND(pc&gt;0,oc&gt;0),"Long Buildup",IF(AND(pc&lt;0,oc&gt;0),"Short Buildup",IF(AND(pc&gt;0,oc&lt;0),"Short Covering",IF(AND(pc&lt;0,oc&lt;0),"Long Unwinding","Flat"))))))</f>
        <v/>
      </c>
      <c r="J1821" s="31">
        <f>LET(pc,ABS(F1821),oc,ABS(H1821),IF(OR(pc="",oc=""),"",MAX(1,MIN(5,ROUND((pc*0.5+oc*0.00001)*5,0))))))</f>
        <v/>
      </c>
    </row>
    <row r="1822">
      <c r="A1822" s="31" t="n">
        <v>1820</v>
      </c>
      <c r="B1822" s="31">
        <f>CHAIN_RAW!D1820</f>
        <v/>
      </c>
      <c r="C1822" s="31">
        <f>CHAIN_RAW!A1820</f>
        <v/>
      </c>
      <c r="D1822" s="31">
        <f>CHAIN_RAW!C1820</f>
        <v/>
      </c>
      <c r="E1822" s="31">
        <f>CHAIN_RAW!E1820</f>
        <v/>
      </c>
      <c r="F1822" s="31">
        <f>CHAIN_RAW!F1820</f>
        <v/>
      </c>
      <c r="G1822" s="31">
        <f>CHAIN_RAW!I1820</f>
        <v/>
      </c>
      <c r="H1822" s="31">
        <f>CHAIN_RAW!Q1820</f>
        <v/>
      </c>
      <c r="I1822" s="31">
        <f>LET(pc,F1822,oc,H1822,IF(OR(pc="",oc=""),"",IF(AND(pc&gt;0,oc&gt;0),"Long Buildup",IF(AND(pc&lt;0,oc&gt;0),"Short Buildup",IF(AND(pc&gt;0,oc&lt;0),"Short Covering",IF(AND(pc&lt;0,oc&lt;0),"Long Unwinding","Flat"))))))</f>
        <v/>
      </c>
      <c r="J1822" s="31">
        <f>LET(pc,ABS(F1822),oc,ABS(H1822),IF(OR(pc="",oc=""),"",MAX(1,MIN(5,ROUND((pc*0.5+oc*0.00001)*5,0))))))</f>
        <v/>
      </c>
    </row>
    <row r="1823">
      <c r="A1823" s="31" t="n">
        <v>1821</v>
      </c>
      <c r="B1823" s="31">
        <f>CHAIN_RAW!D1821</f>
        <v/>
      </c>
      <c r="C1823" s="31">
        <f>CHAIN_RAW!A1821</f>
        <v/>
      </c>
      <c r="D1823" s="31">
        <f>CHAIN_RAW!C1821</f>
        <v/>
      </c>
      <c r="E1823" s="31">
        <f>CHAIN_RAW!E1821</f>
        <v/>
      </c>
      <c r="F1823" s="31">
        <f>CHAIN_RAW!F1821</f>
        <v/>
      </c>
      <c r="G1823" s="31">
        <f>CHAIN_RAW!I1821</f>
        <v/>
      </c>
      <c r="H1823" s="31">
        <f>CHAIN_RAW!Q1821</f>
        <v/>
      </c>
      <c r="I1823" s="31">
        <f>LET(pc,F1823,oc,H1823,IF(OR(pc="",oc=""),"",IF(AND(pc&gt;0,oc&gt;0),"Long Buildup",IF(AND(pc&lt;0,oc&gt;0),"Short Buildup",IF(AND(pc&gt;0,oc&lt;0),"Short Covering",IF(AND(pc&lt;0,oc&lt;0),"Long Unwinding","Flat"))))))</f>
        <v/>
      </c>
      <c r="J1823" s="31">
        <f>LET(pc,ABS(F1823),oc,ABS(H1823),IF(OR(pc="",oc=""),"",MAX(1,MIN(5,ROUND((pc*0.5+oc*0.00001)*5,0))))))</f>
        <v/>
      </c>
    </row>
    <row r="1824">
      <c r="A1824" s="31" t="n">
        <v>1822</v>
      </c>
      <c r="B1824" s="31">
        <f>CHAIN_RAW!D1822</f>
        <v/>
      </c>
      <c r="C1824" s="31">
        <f>CHAIN_RAW!A1822</f>
        <v/>
      </c>
      <c r="D1824" s="31">
        <f>CHAIN_RAW!C1822</f>
        <v/>
      </c>
      <c r="E1824" s="31">
        <f>CHAIN_RAW!E1822</f>
        <v/>
      </c>
      <c r="F1824" s="31">
        <f>CHAIN_RAW!F1822</f>
        <v/>
      </c>
      <c r="G1824" s="31">
        <f>CHAIN_RAW!I1822</f>
        <v/>
      </c>
      <c r="H1824" s="31">
        <f>CHAIN_RAW!Q1822</f>
        <v/>
      </c>
      <c r="I1824" s="31">
        <f>LET(pc,F1824,oc,H1824,IF(OR(pc="",oc=""),"",IF(AND(pc&gt;0,oc&gt;0),"Long Buildup",IF(AND(pc&lt;0,oc&gt;0),"Short Buildup",IF(AND(pc&gt;0,oc&lt;0),"Short Covering",IF(AND(pc&lt;0,oc&lt;0),"Long Unwinding","Flat"))))))</f>
        <v/>
      </c>
      <c r="J1824" s="31">
        <f>LET(pc,ABS(F1824),oc,ABS(H1824),IF(OR(pc="",oc=""),"",MAX(1,MIN(5,ROUND((pc*0.5+oc*0.00001)*5,0))))))</f>
        <v/>
      </c>
    </row>
    <row r="1825">
      <c r="A1825" s="31" t="n">
        <v>1823</v>
      </c>
      <c r="B1825" s="31">
        <f>CHAIN_RAW!D1823</f>
        <v/>
      </c>
      <c r="C1825" s="31">
        <f>CHAIN_RAW!A1823</f>
        <v/>
      </c>
      <c r="D1825" s="31">
        <f>CHAIN_RAW!C1823</f>
        <v/>
      </c>
      <c r="E1825" s="31">
        <f>CHAIN_RAW!E1823</f>
        <v/>
      </c>
      <c r="F1825" s="31">
        <f>CHAIN_RAW!F1823</f>
        <v/>
      </c>
      <c r="G1825" s="31">
        <f>CHAIN_RAW!I1823</f>
        <v/>
      </c>
      <c r="H1825" s="31">
        <f>CHAIN_RAW!Q1823</f>
        <v/>
      </c>
      <c r="I1825" s="31">
        <f>LET(pc,F1825,oc,H1825,IF(OR(pc="",oc=""),"",IF(AND(pc&gt;0,oc&gt;0),"Long Buildup",IF(AND(pc&lt;0,oc&gt;0),"Short Buildup",IF(AND(pc&gt;0,oc&lt;0),"Short Covering",IF(AND(pc&lt;0,oc&lt;0),"Long Unwinding","Flat"))))))</f>
        <v/>
      </c>
      <c r="J1825" s="31">
        <f>LET(pc,ABS(F1825),oc,ABS(H1825),IF(OR(pc="",oc=""),"",MAX(1,MIN(5,ROUND((pc*0.5+oc*0.00001)*5,0))))))</f>
        <v/>
      </c>
    </row>
    <row r="1826">
      <c r="A1826" s="31" t="n">
        <v>1824</v>
      </c>
      <c r="B1826" s="31">
        <f>CHAIN_RAW!D1824</f>
        <v/>
      </c>
      <c r="C1826" s="31">
        <f>CHAIN_RAW!A1824</f>
        <v/>
      </c>
      <c r="D1826" s="31">
        <f>CHAIN_RAW!C1824</f>
        <v/>
      </c>
      <c r="E1826" s="31">
        <f>CHAIN_RAW!E1824</f>
        <v/>
      </c>
      <c r="F1826" s="31">
        <f>CHAIN_RAW!F1824</f>
        <v/>
      </c>
      <c r="G1826" s="31">
        <f>CHAIN_RAW!I1824</f>
        <v/>
      </c>
      <c r="H1826" s="31">
        <f>CHAIN_RAW!Q1824</f>
        <v/>
      </c>
      <c r="I1826" s="31">
        <f>LET(pc,F1826,oc,H1826,IF(OR(pc="",oc=""),"",IF(AND(pc&gt;0,oc&gt;0),"Long Buildup",IF(AND(pc&lt;0,oc&gt;0),"Short Buildup",IF(AND(pc&gt;0,oc&lt;0),"Short Covering",IF(AND(pc&lt;0,oc&lt;0),"Long Unwinding","Flat"))))))</f>
        <v/>
      </c>
      <c r="J1826" s="31">
        <f>LET(pc,ABS(F1826),oc,ABS(H1826),IF(OR(pc="",oc=""),"",MAX(1,MIN(5,ROUND((pc*0.5+oc*0.00001)*5,0))))))</f>
        <v/>
      </c>
    </row>
    <row r="1827">
      <c r="A1827" s="31" t="n">
        <v>1825</v>
      </c>
      <c r="B1827" s="31">
        <f>CHAIN_RAW!D1825</f>
        <v/>
      </c>
      <c r="C1827" s="31">
        <f>CHAIN_RAW!A1825</f>
        <v/>
      </c>
      <c r="D1827" s="31">
        <f>CHAIN_RAW!C1825</f>
        <v/>
      </c>
      <c r="E1827" s="31">
        <f>CHAIN_RAW!E1825</f>
        <v/>
      </c>
      <c r="F1827" s="31">
        <f>CHAIN_RAW!F1825</f>
        <v/>
      </c>
      <c r="G1827" s="31">
        <f>CHAIN_RAW!I1825</f>
        <v/>
      </c>
      <c r="H1827" s="31">
        <f>CHAIN_RAW!Q1825</f>
        <v/>
      </c>
      <c r="I1827" s="31">
        <f>LET(pc,F1827,oc,H1827,IF(OR(pc="",oc=""),"",IF(AND(pc&gt;0,oc&gt;0),"Long Buildup",IF(AND(pc&lt;0,oc&gt;0),"Short Buildup",IF(AND(pc&gt;0,oc&lt;0),"Short Covering",IF(AND(pc&lt;0,oc&lt;0),"Long Unwinding","Flat"))))))</f>
        <v/>
      </c>
      <c r="J1827" s="31">
        <f>LET(pc,ABS(F1827),oc,ABS(H1827),IF(OR(pc="",oc=""),"",MAX(1,MIN(5,ROUND((pc*0.5+oc*0.00001)*5,0))))))</f>
        <v/>
      </c>
    </row>
    <row r="1828">
      <c r="A1828" s="31" t="n">
        <v>1826</v>
      </c>
      <c r="B1828" s="31">
        <f>CHAIN_RAW!D1826</f>
        <v/>
      </c>
      <c r="C1828" s="31">
        <f>CHAIN_RAW!A1826</f>
        <v/>
      </c>
      <c r="D1828" s="31">
        <f>CHAIN_RAW!C1826</f>
        <v/>
      </c>
      <c r="E1828" s="31">
        <f>CHAIN_RAW!E1826</f>
        <v/>
      </c>
      <c r="F1828" s="31">
        <f>CHAIN_RAW!F1826</f>
        <v/>
      </c>
      <c r="G1828" s="31">
        <f>CHAIN_RAW!I1826</f>
        <v/>
      </c>
      <c r="H1828" s="31">
        <f>CHAIN_RAW!Q1826</f>
        <v/>
      </c>
      <c r="I1828" s="31">
        <f>LET(pc,F1828,oc,H1828,IF(OR(pc="",oc=""),"",IF(AND(pc&gt;0,oc&gt;0),"Long Buildup",IF(AND(pc&lt;0,oc&gt;0),"Short Buildup",IF(AND(pc&gt;0,oc&lt;0),"Short Covering",IF(AND(pc&lt;0,oc&lt;0),"Long Unwinding","Flat"))))))</f>
        <v/>
      </c>
      <c r="J1828" s="31">
        <f>LET(pc,ABS(F1828),oc,ABS(H1828),IF(OR(pc="",oc=""),"",MAX(1,MIN(5,ROUND((pc*0.5+oc*0.00001)*5,0))))))</f>
        <v/>
      </c>
    </row>
    <row r="1829">
      <c r="A1829" s="31" t="n">
        <v>1827</v>
      </c>
      <c r="B1829" s="31">
        <f>CHAIN_RAW!D1827</f>
        <v/>
      </c>
      <c r="C1829" s="31">
        <f>CHAIN_RAW!A1827</f>
        <v/>
      </c>
      <c r="D1829" s="31">
        <f>CHAIN_RAW!C1827</f>
        <v/>
      </c>
      <c r="E1829" s="31">
        <f>CHAIN_RAW!E1827</f>
        <v/>
      </c>
      <c r="F1829" s="31">
        <f>CHAIN_RAW!F1827</f>
        <v/>
      </c>
      <c r="G1829" s="31">
        <f>CHAIN_RAW!I1827</f>
        <v/>
      </c>
      <c r="H1829" s="31">
        <f>CHAIN_RAW!Q1827</f>
        <v/>
      </c>
      <c r="I1829" s="31">
        <f>LET(pc,F1829,oc,H1829,IF(OR(pc="",oc=""),"",IF(AND(pc&gt;0,oc&gt;0),"Long Buildup",IF(AND(pc&lt;0,oc&gt;0),"Short Buildup",IF(AND(pc&gt;0,oc&lt;0),"Short Covering",IF(AND(pc&lt;0,oc&lt;0),"Long Unwinding","Flat"))))))</f>
        <v/>
      </c>
      <c r="J1829" s="31">
        <f>LET(pc,ABS(F1829),oc,ABS(H1829),IF(OR(pc="",oc=""),"",MAX(1,MIN(5,ROUND((pc*0.5+oc*0.00001)*5,0))))))</f>
        <v/>
      </c>
    </row>
    <row r="1830">
      <c r="A1830" s="31" t="n">
        <v>1828</v>
      </c>
      <c r="B1830" s="31">
        <f>CHAIN_RAW!D1828</f>
        <v/>
      </c>
      <c r="C1830" s="31">
        <f>CHAIN_RAW!A1828</f>
        <v/>
      </c>
      <c r="D1830" s="31">
        <f>CHAIN_RAW!C1828</f>
        <v/>
      </c>
      <c r="E1830" s="31">
        <f>CHAIN_RAW!E1828</f>
        <v/>
      </c>
      <c r="F1830" s="31">
        <f>CHAIN_RAW!F1828</f>
        <v/>
      </c>
      <c r="G1830" s="31">
        <f>CHAIN_RAW!I1828</f>
        <v/>
      </c>
      <c r="H1830" s="31">
        <f>CHAIN_RAW!Q1828</f>
        <v/>
      </c>
      <c r="I1830" s="31">
        <f>LET(pc,F1830,oc,H1830,IF(OR(pc="",oc=""),"",IF(AND(pc&gt;0,oc&gt;0),"Long Buildup",IF(AND(pc&lt;0,oc&gt;0),"Short Buildup",IF(AND(pc&gt;0,oc&lt;0),"Short Covering",IF(AND(pc&lt;0,oc&lt;0),"Long Unwinding","Flat"))))))</f>
        <v/>
      </c>
      <c r="J1830" s="31">
        <f>LET(pc,ABS(F1830),oc,ABS(H1830),IF(OR(pc="",oc=""),"",MAX(1,MIN(5,ROUND((pc*0.5+oc*0.00001)*5,0))))))</f>
        <v/>
      </c>
    </row>
    <row r="1831">
      <c r="A1831" s="31" t="n">
        <v>1829</v>
      </c>
      <c r="B1831" s="31">
        <f>CHAIN_RAW!D1829</f>
        <v/>
      </c>
      <c r="C1831" s="31">
        <f>CHAIN_RAW!A1829</f>
        <v/>
      </c>
      <c r="D1831" s="31">
        <f>CHAIN_RAW!C1829</f>
        <v/>
      </c>
      <c r="E1831" s="31">
        <f>CHAIN_RAW!E1829</f>
        <v/>
      </c>
      <c r="F1831" s="31">
        <f>CHAIN_RAW!F1829</f>
        <v/>
      </c>
      <c r="G1831" s="31">
        <f>CHAIN_RAW!I1829</f>
        <v/>
      </c>
      <c r="H1831" s="31">
        <f>CHAIN_RAW!Q1829</f>
        <v/>
      </c>
      <c r="I1831" s="31">
        <f>LET(pc,F1831,oc,H1831,IF(OR(pc="",oc=""),"",IF(AND(pc&gt;0,oc&gt;0),"Long Buildup",IF(AND(pc&lt;0,oc&gt;0),"Short Buildup",IF(AND(pc&gt;0,oc&lt;0),"Short Covering",IF(AND(pc&lt;0,oc&lt;0),"Long Unwinding","Flat"))))))</f>
        <v/>
      </c>
      <c r="J1831" s="31">
        <f>LET(pc,ABS(F1831),oc,ABS(H1831),IF(OR(pc="",oc=""),"",MAX(1,MIN(5,ROUND((pc*0.5+oc*0.00001)*5,0))))))</f>
        <v/>
      </c>
    </row>
    <row r="1832">
      <c r="A1832" s="31" t="n">
        <v>1830</v>
      </c>
      <c r="B1832" s="31">
        <f>CHAIN_RAW!D1830</f>
        <v/>
      </c>
      <c r="C1832" s="31">
        <f>CHAIN_RAW!A1830</f>
        <v/>
      </c>
      <c r="D1832" s="31">
        <f>CHAIN_RAW!C1830</f>
        <v/>
      </c>
      <c r="E1832" s="31">
        <f>CHAIN_RAW!E1830</f>
        <v/>
      </c>
      <c r="F1832" s="31">
        <f>CHAIN_RAW!F1830</f>
        <v/>
      </c>
      <c r="G1832" s="31">
        <f>CHAIN_RAW!I1830</f>
        <v/>
      </c>
      <c r="H1832" s="31">
        <f>CHAIN_RAW!Q1830</f>
        <v/>
      </c>
      <c r="I1832" s="31">
        <f>LET(pc,F1832,oc,H1832,IF(OR(pc="",oc=""),"",IF(AND(pc&gt;0,oc&gt;0),"Long Buildup",IF(AND(pc&lt;0,oc&gt;0),"Short Buildup",IF(AND(pc&gt;0,oc&lt;0),"Short Covering",IF(AND(pc&lt;0,oc&lt;0),"Long Unwinding","Flat"))))))</f>
        <v/>
      </c>
      <c r="J1832" s="31">
        <f>LET(pc,ABS(F1832),oc,ABS(H1832),IF(OR(pc="",oc=""),"",MAX(1,MIN(5,ROUND((pc*0.5+oc*0.00001)*5,0))))))</f>
        <v/>
      </c>
    </row>
    <row r="1833">
      <c r="A1833" s="31" t="n">
        <v>1831</v>
      </c>
      <c r="B1833" s="31">
        <f>CHAIN_RAW!D1831</f>
        <v/>
      </c>
      <c r="C1833" s="31">
        <f>CHAIN_RAW!A1831</f>
        <v/>
      </c>
      <c r="D1833" s="31">
        <f>CHAIN_RAW!C1831</f>
        <v/>
      </c>
      <c r="E1833" s="31">
        <f>CHAIN_RAW!E1831</f>
        <v/>
      </c>
      <c r="F1833" s="31">
        <f>CHAIN_RAW!F1831</f>
        <v/>
      </c>
      <c r="G1833" s="31">
        <f>CHAIN_RAW!I1831</f>
        <v/>
      </c>
      <c r="H1833" s="31">
        <f>CHAIN_RAW!Q1831</f>
        <v/>
      </c>
      <c r="I1833" s="31">
        <f>LET(pc,F1833,oc,H1833,IF(OR(pc="",oc=""),"",IF(AND(pc&gt;0,oc&gt;0),"Long Buildup",IF(AND(pc&lt;0,oc&gt;0),"Short Buildup",IF(AND(pc&gt;0,oc&lt;0),"Short Covering",IF(AND(pc&lt;0,oc&lt;0),"Long Unwinding","Flat"))))))</f>
        <v/>
      </c>
      <c r="J1833" s="31">
        <f>LET(pc,ABS(F1833),oc,ABS(H1833),IF(OR(pc="",oc=""),"",MAX(1,MIN(5,ROUND((pc*0.5+oc*0.00001)*5,0))))))</f>
        <v/>
      </c>
    </row>
    <row r="1834">
      <c r="A1834" s="31" t="n">
        <v>1832</v>
      </c>
      <c r="B1834" s="31">
        <f>CHAIN_RAW!D1832</f>
        <v/>
      </c>
      <c r="C1834" s="31">
        <f>CHAIN_RAW!A1832</f>
        <v/>
      </c>
      <c r="D1834" s="31">
        <f>CHAIN_RAW!C1832</f>
        <v/>
      </c>
      <c r="E1834" s="31">
        <f>CHAIN_RAW!E1832</f>
        <v/>
      </c>
      <c r="F1834" s="31">
        <f>CHAIN_RAW!F1832</f>
        <v/>
      </c>
      <c r="G1834" s="31">
        <f>CHAIN_RAW!I1832</f>
        <v/>
      </c>
      <c r="H1834" s="31">
        <f>CHAIN_RAW!Q1832</f>
        <v/>
      </c>
      <c r="I1834" s="31">
        <f>LET(pc,F1834,oc,H1834,IF(OR(pc="",oc=""),"",IF(AND(pc&gt;0,oc&gt;0),"Long Buildup",IF(AND(pc&lt;0,oc&gt;0),"Short Buildup",IF(AND(pc&gt;0,oc&lt;0),"Short Covering",IF(AND(pc&lt;0,oc&lt;0),"Long Unwinding","Flat"))))))</f>
        <v/>
      </c>
      <c r="J1834" s="31">
        <f>LET(pc,ABS(F1834),oc,ABS(H1834),IF(OR(pc="",oc=""),"",MAX(1,MIN(5,ROUND((pc*0.5+oc*0.00001)*5,0))))))</f>
        <v/>
      </c>
    </row>
    <row r="1835">
      <c r="A1835" s="31" t="n">
        <v>1833</v>
      </c>
      <c r="B1835" s="31">
        <f>CHAIN_RAW!D1833</f>
        <v/>
      </c>
      <c r="C1835" s="31">
        <f>CHAIN_RAW!A1833</f>
        <v/>
      </c>
      <c r="D1835" s="31">
        <f>CHAIN_RAW!C1833</f>
        <v/>
      </c>
      <c r="E1835" s="31">
        <f>CHAIN_RAW!E1833</f>
        <v/>
      </c>
      <c r="F1835" s="31">
        <f>CHAIN_RAW!F1833</f>
        <v/>
      </c>
      <c r="G1835" s="31">
        <f>CHAIN_RAW!I1833</f>
        <v/>
      </c>
      <c r="H1835" s="31">
        <f>CHAIN_RAW!Q1833</f>
        <v/>
      </c>
      <c r="I1835" s="31">
        <f>LET(pc,F1835,oc,H1835,IF(OR(pc="",oc=""),"",IF(AND(pc&gt;0,oc&gt;0),"Long Buildup",IF(AND(pc&lt;0,oc&gt;0),"Short Buildup",IF(AND(pc&gt;0,oc&lt;0),"Short Covering",IF(AND(pc&lt;0,oc&lt;0),"Long Unwinding","Flat"))))))</f>
        <v/>
      </c>
      <c r="J1835" s="31">
        <f>LET(pc,ABS(F1835),oc,ABS(H1835),IF(OR(pc="",oc=""),"",MAX(1,MIN(5,ROUND((pc*0.5+oc*0.00001)*5,0))))))</f>
        <v/>
      </c>
    </row>
    <row r="1836">
      <c r="A1836" s="31" t="n">
        <v>1834</v>
      </c>
      <c r="B1836" s="31">
        <f>CHAIN_RAW!D1834</f>
        <v/>
      </c>
      <c r="C1836" s="31">
        <f>CHAIN_RAW!A1834</f>
        <v/>
      </c>
      <c r="D1836" s="31">
        <f>CHAIN_RAW!C1834</f>
        <v/>
      </c>
      <c r="E1836" s="31">
        <f>CHAIN_RAW!E1834</f>
        <v/>
      </c>
      <c r="F1836" s="31">
        <f>CHAIN_RAW!F1834</f>
        <v/>
      </c>
      <c r="G1836" s="31">
        <f>CHAIN_RAW!I1834</f>
        <v/>
      </c>
      <c r="H1836" s="31">
        <f>CHAIN_RAW!Q1834</f>
        <v/>
      </c>
      <c r="I1836" s="31">
        <f>LET(pc,F1836,oc,H1836,IF(OR(pc="",oc=""),"",IF(AND(pc&gt;0,oc&gt;0),"Long Buildup",IF(AND(pc&lt;0,oc&gt;0),"Short Buildup",IF(AND(pc&gt;0,oc&lt;0),"Short Covering",IF(AND(pc&lt;0,oc&lt;0),"Long Unwinding","Flat"))))))</f>
        <v/>
      </c>
      <c r="J1836" s="31">
        <f>LET(pc,ABS(F1836),oc,ABS(H1836),IF(OR(pc="",oc=""),"",MAX(1,MIN(5,ROUND((pc*0.5+oc*0.00001)*5,0))))))</f>
        <v/>
      </c>
    </row>
    <row r="1837">
      <c r="A1837" s="31" t="n">
        <v>1835</v>
      </c>
      <c r="B1837" s="31">
        <f>CHAIN_RAW!D1835</f>
        <v/>
      </c>
      <c r="C1837" s="31">
        <f>CHAIN_RAW!A1835</f>
        <v/>
      </c>
      <c r="D1837" s="31">
        <f>CHAIN_RAW!C1835</f>
        <v/>
      </c>
      <c r="E1837" s="31">
        <f>CHAIN_RAW!E1835</f>
        <v/>
      </c>
      <c r="F1837" s="31">
        <f>CHAIN_RAW!F1835</f>
        <v/>
      </c>
      <c r="G1837" s="31">
        <f>CHAIN_RAW!I1835</f>
        <v/>
      </c>
      <c r="H1837" s="31">
        <f>CHAIN_RAW!Q1835</f>
        <v/>
      </c>
      <c r="I1837" s="31">
        <f>LET(pc,F1837,oc,H1837,IF(OR(pc="",oc=""),"",IF(AND(pc&gt;0,oc&gt;0),"Long Buildup",IF(AND(pc&lt;0,oc&gt;0),"Short Buildup",IF(AND(pc&gt;0,oc&lt;0),"Short Covering",IF(AND(pc&lt;0,oc&lt;0),"Long Unwinding","Flat"))))))</f>
        <v/>
      </c>
      <c r="J1837" s="31">
        <f>LET(pc,ABS(F1837),oc,ABS(H1837),IF(OR(pc="",oc=""),"",MAX(1,MIN(5,ROUND((pc*0.5+oc*0.00001)*5,0))))))</f>
        <v/>
      </c>
    </row>
    <row r="1838">
      <c r="A1838" s="31" t="n">
        <v>1836</v>
      </c>
      <c r="B1838" s="31">
        <f>CHAIN_RAW!D1836</f>
        <v/>
      </c>
      <c r="C1838" s="31">
        <f>CHAIN_RAW!A1836</f>
        <v/>
      </c>
      <c r="D1838" s="31">
        <f>CHAIN_RAW!C1836</f>
        <v/>
      </c>
      <c r="E1838" s="31">
        <f>CHAIN_RAW!E1836</f>
        <v/>
      </c>
      <c r="F1838" s="31">
        <f>CHAIN_RAW!F1836</f>
        <v/>
      </c>
      <c r="G1838" s="31">
        <f>CHAIN_RAW!I1836</f>
        <v/>
      </c>
      <c r="H1838" s="31">
        <f>CHAIN_RAW!Q1836</f>
        <v/>
      </c>
      <c r="I1838" s="31">
        <f>LET(pc,F1838,oc,H1838,IF(OR(pc="",oc=""),"",IF(AND(pc&gt;0,oc&gt;0),"Long Buildup",IF(AND(pc&lt;0,oc&gt;0),"Short Buildup",IF(AND(pc&gt;0,oc&lt;0),"Short Covering",IF(AND(pc&lt;0,oc&lt;0),"Long Unwinding","Flat"))))))</f>
        <v/>
      </c>
      <c r="J1838" s="31">
        <f>LET(pc,ABS(F1838),oc,ABS(H1838),IF(OR(pc="",oc=""),"",MAX(1,MIN(5,ROUND((pc*0.5+oc*0.00001)*5,0))))))</f>
        <v/>
      </c>
    </row>
    <row r="1839">
      <c r="A1839" s="31" t="n">
        <v>1837</v>
      </c>
      <c r="B1839" s="31">
        <f>CHAIN_RAW!D1837</f>
        <v/>
      </c>
      <c r="C1839" s="31">
        <f>CHAIN_RAW!A1837</f>
        <v/>
      </c>
      <c r="D1839" s="31">
        <f>CHAIN_RAW!C1837</f>
        <v/>
      </c>
      <c r="E1839" s="31">
        <f>CHAIN_RAW!E1837</f>
        <v/>
      </c>
      <c r="F1839" s="31">
        <f>CHAIN_RAW!F1837</f>
        <v/>
      </c>
      <c r="G1839" s="31">
        <f>CHAIN_RAW!I1837</f>
        <v/>
      </c>
      <c r="H1839" s="31">
        <f>CHAIN_RAW!Q1837</f>
        <v/>
      </c>
      <c r="I1839" s="31">
        <f>LET(pc,F1839,oc,H1839,IF(OR(pc="",oc=""),"",IF(AND(pc&gt;0,oc&gt;0),"Long Buildup",IF(AND(pc&lt;0,oc&gt;0),"Short Buildup",IF(AND(pc&gt;0,oc&lt;0),"Short Covering",IF(AND(pc&lt;0,oc&lt;0),"Long Unwinding","Flat"))))))</f>
        <v/>
      </c>
      <c r="J1839" s="31">
        <f>LET(pc,ABS(F1839),oc,ABS(H1839),IF(OR(pc="",oc=""),"",MAX(1,MIN(5,ROUND((pc*0.5+oc*0.00001)*5,0))))))</f>
        <v/>
      </c>
    </row>
    <row r="1840">
      <c r="A1840" s="31" t="n">
        <v>1838</v>
      </c>
      <c r="B1840" s="31">
        <f>CHAIN_RAW!D1838</f>
        <v/>
      </c>
      <c r="C1840" s="31">
        <f>CHAIN_RAW!A1838</f>
        <v/>
      </c>
      <c r="D1840" s="31">
        <f>CHAIN_RAW!C1838</f>
        <v/>
      </c>
      <c r="E1840" s="31">
        <f>CHAIN_RAW!E1838</f>
        <v/>
      </c>
      <c r="F1840" s="31">
        <f>CHAIN_RAW!F1838</f>
        <v/>
      </c>
      <c r="G1840" s="31">
        <f>CHAIN_RAW!I1838</f>
        <v/>
      </c>
      <c r="H1840" s="31">
        <f>CHAIN_RAW!Q1838</f>
        <v/>
      </c>
      <c r="I1840" s="31">
        <f>LET(pc,F1840,oc,H1840,IF(OR(pc="",oc=""),"",IF(AND(pc&gt;0,oc&gt;0),"Long Buildup",IF(AND(pc&lt;0,oc&gt;0),"Short Buildup",IF(AND(pc&gt;0,oc&lt;0),"Short Covering",IF(AND(pc&lt;0,oc&lt;0),"Long Unwinding","Flat"))))))</f>
        <v/>
      </c>
      <c r="J1840" s="31">
        <f>LET(pc,ABS(F1840),oc,ABS(H1840),IF(OR(pc="",oc=""),"",MAX(1,MIN(5,ROUND((pc*0.5+oc*0.00001)*5,0))))))</f>
        <v/>
      </c>
    </row>
    <row r="1841">
      <c r="A1841" s="31" t="n">
        <v>1839</v>
      </c>
      <c r="B1841" s="31">
        <f>CHAIN_RAW!D1839</f>
        <v/>
      </c>
      <c r="C1841" s="31">
        <f>CHAIN_RAW!A1839</f>
        <v/>
      </c>
      <c r="D1841" s="31">
        <f>CHAIN_RAW!C1839</f>
        <v/>
      </c>
      <c r="E1841" s="31">
        <f>CHAIN_RAW!E1839</f>
        <v/>
      </c>
      <c r="F1841" s="31">
        <f>CHAIN_RAW!F1839</f>
        <v/>
      </c>
      <c r="G1841" s="31">
        <f>CHAIN_RAW!I1839</f>
        <v/>
      </c>
      <c r="H1841" s="31">
        <f>CHAIN_RAW!Q1839</f>
        <v/>
      </c>
      <c r="I1841" s="31">
        <f>LET(pc,F1841,oc,H1841,IF(OR(pc="",oc=""),"",IF(AND(pc&gt;0,oc&gt;0),"Long Buildup",IF(AND(pc&lt;0,oc&gt;0),"Short Buildup",IF(AND(pc&gt;0,oc&lt;0),"Short Covering",IF(AND(pc&lt;0,oc&lt;0),"Long Unwinding","Flat"))))))</f>
        <v/>
      </c>
      <c r="J1841" s="31">
        <f>LET(pc,ABS(F1841),oc,ABS(H1841),IF(OR(pc="",oc=""),"",MAX(1,MIN(5,ROUND((pc*0.5+oc*0.00001)*5,0))))))</f>
        <v/>
      </c>
    </row>
    <row r="1842">
      <c r="A1842" s="31" t="n">
        <v>1840</v>
      </c>
      <c r="B1842" s="31">
        <f>CHAIN_RAW!D1840</f>
        <v/>
      </c>
      <c r="C1842" s="31">
        <f>CHAIN_RAW!A1840</f>
        <v/>
      </c>
      <c r="D1842" s="31">
        <f>CHAIN_RAW!C1840</f>
        <v/>
      </c>
      <c r="E1842" s="31">
        <f>CHAIN_RAW!E1840</f>
        <v/>
      </c>
      <c r="F1842" s="31">
        <f>CHAIN_RAW!F1840</f>
        <v/>
      </c>
      <c r="G1842" s="31">
        <f>CHAIN_RAW!I1840</f>
        <v/>
      </c>
      <c r="H1842" s="31">
        <f>CHAIN_RAW!Q1840</f>
        <v/>
      </c>
      <c r="I1842" s="31">
        <f>LET(pc,F1842,oc,H1842,IF(OR(pc="",oc=""),"",IF(AND(pc&gt;0,oc&gt;0),"Long Buildup",IF(AND(pc&lt;0,oc&gt;0),"Short Buildup",IF(AND(pc&gt;0,oc&lt;0),"Short Covering",IF(AND(pc&lt;0,oc&lt;0),"Long Unwinding","Flat"))))))</f>
        <v/>
      </c>
      <c r="J1842" s="31">
        <f>LET(pc,ABS(F1842),oc,ABS(H1842),IF(OR(pc="",oc=""),"",MAX(1,MIN(5,ROUND((pc*0.5+oc*0.00001)*5,0))))))</f>
        <v/>
      </c>
    </row>
    <row r="1843">
      <c r="A1843" s="31" t="n">
        <v>1841</v>
      </c>
      <c r="B1843" s="31">
        <f>CHAIN_RAW!D1841</f>
        <v/>
      </c>
      <c r="C1843" s="31">
        <f>CHAIN_RAW!A1841</f>
        <v/>
      </c>
      <c r="D1843" s="31">
        <f>CHAIN_RAW!C1841</f>
        <v/>
      </c>
      <c r="E1843" s="31">
        <f>CHAIN_RAW!E1841</f>
        <v/>
      </c>
      <c r="F1843" s="31">
        <f>CHAIN_RAW!F1841</f>
        <v/>
      </c>
      <c r="G1843" s="31">
        <f>CHAIN_RAW!I1841</f>
        <v/>
      </c>
      <c r="H1843" s="31">
        <f>CHAIN_RAW!Q1841</f>
        <v/>
      </c>
      <c r="I1843" s="31">
        <f>LET(pc,F1843,oc,H1843,IF(OR(pc="",oc=""),"",IF(AND(pc&gt;0,oc&gt;0),"Long Buildup",IF(AND(pc&lt;0,oc&gt;0),"Short Buildup",IF(AND(pc&gt;0,oc&lt;0),"Short Covering",IF(AND(pc&lt;0,oc&lt;0),"Long Unwinding","Flat"))))))</f>
        <v/>
      </c>
      <c r="J1843" s="31">
        <f>LET(pc,ABS(F1843),oc,ABS(H1843),IF(OR(pc="",oc=""),"",MAX(1,MIN(5,ROUND((pc*0.5+oc*0.00001)*5,0))))))</f>
        <v/>
      </c>
    </row>
    <row r="1844">
      <c r="A1844" s="31" t="n">
        <v>1842</v>
      </c>
      <c r="B1844" s="31">
        <f>CHAIN_RAW!D1842</f>
        <v/>
      </c>
      <c r="C1844" s="31">
        <f>CHAIN_RAW!A1842</f>
        <v/>
      </c>
      <c r="D1844" s="31">
        <f>CHAIN_RAW!C1842</f>
        <v/>
      </c>
      <c r="E1844" s="31">
        <f>CHAIN_RAW!E1842</f>
        <v/>
      </c>
      <c r="F1844" s="31">
        <f>CHAIN_RAW!F1842</f>
        <v/>
      </c>
      <c r="G1844" s="31">
        <f>CHAIN_RAW!I1842</f>
        <v/>
      </c>
      <c r="H1844" s="31">
        <f>CHAIN_RAW!Q1842</f>
        <v/>
      </c>
      <c r="I1844" s="31">
        <f>LET(pc,F1844,oc,H1844,IF(OR(pc="",oc=""),"",IF(AND(pc&gt;0,oc&gt;0),"Long Buildup",IF(AND(pc&lt;0,oc&gt;0),"Short Buildup",IF(AND(pc&gt;0,oc&lt;0),"Short Covering",IF(AND(pc&lt;0,oc&lt;0),"Long Unwinding","Flat"))))))</f>
        <v/>
      </c>
      <c r="J1844" s="31">
        <f>LET(pc,ABS(F1844),oc,ABS(H1844),IF(OR(pc="",oc=""),"",MAX(1,MIN(5,ROUND((pc*0.5+oc*0.00001)*5,0))))))</f>
        <v/>
      </c>
    </row>
    <row r="1845">
      <c r="A1845" s="31" t="n">
        <v>1843</v>
      </c>
      <c r="B1845" s="31">
        <f>CHAIN_RAW!D1843</f>
        <v/>
      </c>
      <c r="C1845" s="31">
        <f>CHAIN_RAW!A1843</f>
        <v/>
      </c>
      <c r="D1845" s="31">
        <f>CHAIN_RAW!C1843</f>
        <v/>
      </c>
      <c r="E1845" s="31">
        <f>CHAIN_RAW!E1843</f>
        <v/>
      </c>
      <c r="F1845" s="31">
        <f>CHAIN_RAW!F1843</f>
        <v/>
      </c>
      <c r="G1845" s="31">
        <f>CHAIN_RAW!I1843</f>
        <v/>
      </c>
      <c r="H1845" s="31">
        <f>CHAIN_RAW!Q1843</f>
        <v/>
      </c>
      <c r="I1845" s="31">
        <f>LET(pc,F1845,oc,H1845,IF(OR(pc="",oc=""),"",IF(AND(pc&gt;0,oc&gt;0),"Long Buildup",IF(AND(pc&lt;0,oc&gt;0),"Short Buildup",IF(AND(pc&gt;0,oc&lt;0),"Short Covering",IF(AND(pc&lt;0,oc&lt;0),"Long Unwinding","Flat"))))))</f>
        <v/>
      </c>
      <c r="J1845" s="31">
        <f>LET(pc,ABS(F1845),oc,ABS(H1845),IF(OR(pc="",oc=""),"",MAX(1,MIN(5,ROUND((pc*0.5+oc*0.00001)*5,0))))))</f>
        <v/>
      </c>
    </row>
    <row r="1846">
      <c r="A1846" s="31" t="n">
        <v>1844</v>
      </c>
      <c r="B1846" s="31">
        <f>CHAIN_RAW!D1844</f>
        <v/>
      </c>
      <c r="C1846" s="31">
        <f>CHAIN_RAW!A1844</f>
        <v/>
      </c>
      <c r="D1846" s="31">
        <f>CHAIN_RAW!C1844</f>
        <v/>
      </c>
      <c r="E1846" s="31">
        <f>CHAIN_RAW!E1844</f>
        <v/>
      </c>
      <c r="F1846" s="31">
        <f>CHAIN_RAW!F1844</f>
        <v/>
      </c>
      <c r="G1846" s="31">
        <f>CHAIN_RAW!I1844</f>
        <v/>
      </c>
      <c r="H1846" s="31">
        <f>CHAIN_RAW!Q1844</f>
        <v/>
      </c>
      <c r="I1846" s="31">
        <f>LET(pc,F1846,oc,H1846,IF(OR(pc="",oc=""),"",IF(AND(pc&gt;0,oc&gt;0),"Long Buildup",IF(AND(pc&lt;0,oc&gt;0),"Short Buildup",IF(AND(pc&gt;0,oc&lt;0),"Short Covering",IF(AND(pc&lt;0,oc&lt;0),"Long Unwinding","Flat"))))))</f>
        <v/>
      </c>
      <c r="J1846" s="31">
        <f>LET(pc,ABS(F1846),oc,ABS(H1846),IF(OR(pc="",oc=""),"",MAX(1,MIN(5,ROUND((pc*0.5+oc*0.00001)*5,0))))))</f>
        <v/>
      </c>
    </row>
    <row r="1847">
      <c r="A1847" s="31" t="n">
        <v>1845</v>
      </c>
      <c r="B1847" s="31">
        <f>CHAIN_RAW!D1845</f>
        <v/>
      </c>
      <c r="C1847" s="31">
        <f>CHAIN_RAW!A1845</f>
        <v/>
      </c>
      <c r="D1847" s="31">
        <f>CHAIN_RAW!C1845</f>
        <v/>
      </c>
      <c r="E1847" s="31">
        <f>CHAIN_RAW!E1845</f>
        <v/>
      </c>
      <c r="F1847" s="31">
        <f>CHAIN_RAW!F1845</f>
        <v/>
      </c>
      <c r="G1847" s="31">
        <f>CHAIN_RAW!I1845</f>
        <v/>
      </c>
      <c r="H1847" s="31">
        <f>CHAIN_RAW!Q1845</f>
        <v/>
      </c>
      <c r="I1847" s="31">
        <f>LET(pc,F1847,oc,H1847,IF(OR(pc="",oc=""),"",IF(AND(pc&gt;0,oc&gt;0),"Long Buildup",IF(AND(pc&lt;0,oc&gt;0),"Short Buildup",IF(AND(pc&gt;0,oc&lt;0),"Short Covering",IF(AND(pc&lt;0,oc&lt;0),"Long Unwinding","Flat"))))))</f>
        <v/>
      </c>
      <c r="J1847" s="31">
        <f>LET(pc,ABS(F1847),oc,ABS(H1847),IF(OR(pc="",oc=""),"",MAX(1,MIN(5,ROUND((pc*0.5+oc*0.00001)*5,0))))))</f>
        <v/>
      </c>
    </row>
    <row r="1848">
      <c r="A1848" s="31" t="n">
        <v>1846</v>
      </c>
      <c r="B1848" s="31">
        <f>CHAIN_RAW!D1846</f>
        <v/>
      </c>
      <c r="C1848" s="31">
        <f>CHAIN_RAW!A1846</f>
        <v/>
      </c>
      <c r="D1848" s="31">
        <f>CHAIN_RAW!C1846</f>
        <v/>
      </c>
      <c r="E1848" s="31">
        <f>CHAIN_RAW!E1846</f>
        <v/>
      </c>
      <c r="F1848" s="31">
        <f>CHAIN_RAW!F1846</f>
        <v/>
      </c>
      <c r="G1848" s="31">
        <f>CHAIN_RAW!I1846</f>
        <v/>
      </c>
      <c r="H1848" s="31">
        <f>CHAIN_RAW!Q1846</f>
        <v/>
      </c>
      <c r="I1848" s="31">
        <f>LET(pc,F1848,oc,H1848,IF(OR(pc="",oc=""),"",IF(AND(pc&gt;0,oc&gt;0),"Long Buildup",IF(AND(pc&lt;0,oc&gt;0),"Short Buildup",IF(AND(pc&gt;0,oc&lt;0),"Short Covering",IF(AND(pc&lt;0,oc&lt;0),"Long Unwinding","Flat"))))))</f>
        <v/>
      </c>
      <c r="J1848" s="31">
        <f>LET(pc,ABS(F1848),oc,ABS(H1848),IF(OR(pc="",oc=""),"",MAX(1,MIN(5,ROUND((pc*0.5+oc*0.00001)*5,0))))))</f>
        <v/>
      </c>
    </row>
    <row r="1849">
      <c r="A1849" s="31" t="n">
        <v>1847</v>
      </c>
      <c r="B1849" s="31">
        <f>CHAIN_RAW!D1847</f>
        <v/>
      </c>
      <c r="C1849" s="31">
        <f>CHAIN_RAW!A1847</f>
        <v/>
      </c>
      <c r="D1849" s="31">
        <f>CHAIN_RAW!C1847</f>
        <v/>
      </c>
      <c r="E1849" s="31">
        <f>CHAIN_RAW!E1847</f>
        <v/>
      </c>
      <c r="F1849" s="31">
        <f>CHAIN_RAW!F1847</f>
        <v/>
      </c>
      <c r="G1849" s="31">
        <f>CHAIN_RAW!I1847</f>
        <v/>
      </c>
      <c r="H1849" s="31">
        <f>CHAIN_RAW!Q1847</f>
        <v/>
      </c>
      <c r="I1849" s="31">
        <f>LET(pc,F1849,oc,H1849,IF(OR(pc="",oc=""),"",IF(AND(pc&gt;0,oc&gt;0),"Long Buildup",IF(AND(pc&lt;0,oc&gt;0),"Short Buildup",IF(AND(pc&gt;0,oc&lt;0),"Short Covering",IF(AND(pc&lt;0,oc&lt;0),"Long Unwinding","Flat"))))))</f>
        <v/>
      </c>
      <c r="J1849" s="31">
        <f>LET(pc,ABS(F1849),oc,ABS(H1849),IF(OR(pc="",oc=""),"",MAX(1,MIN(5,ROUND((pc*0.5+oc*0.00001)*5,0))))))</f>
        <v/>
      </c>
    </row>
    <row r="1850">
      <c r="A1850" s="31" t="n">
        <v>1848</v>
      </c>
      <c r="B1850" s="31">
        <f>CHAIN_RAW!D1848</f>
        <v/>
      </c>
      <c r="C1850" s="31">
        <f>CHAIN_RAW!A1848</f>
        <v/>
      </c>
      <c r="D1850" s="31">
        <f>CHAIN_RAW!C1848</f>
        <v/>
      </c>
      <c r="E1850" s="31">
        <f>CHAIN_RAW!E1848</f>
        <v/>
      </c>
      <c r="F1850" s="31">
        <f>CHAIN_RAW!F1848</f>
        <v/>
      </c>
      <c r="G1850" s="31">
        <f>CHAIN_RAW!I1848</f>
        <v/>
      </c>
      <c r="H1850" s="31">
        <f>CHAIN_RAW!Q1848</f>
        <v/>
      </c>
      <c r="I1850" s="31">
        <f>LET(pc,F1850,oc,H1850,IF(OR(pc="",oc=""),"",IF(AND(pc&gt;0,oc&gt;0),"Long Buildup",IF(AND(pc&lt;0,oc&gt;0),"Short Buildup",IF(AND(pc&gt;0,oc&lt;0),"Short Covering",IF(AND(pc&lt;0,oc&lt;0),"Long Unwinding","Flat"))))))</f>
        <v/>
      </c>
      <c r="J1850" s="31">
        <f>LET(pc,ABS(F1850),oc,ABS(H1850),IF(OR(pc="",oc=""),"",MAX(1,MIN(5,ROUND((pc*0.5+oc*0.00001)*5,0))))))</f>
        <v/>
      </c>
    </row>
    <row r="1851">
      <c r="A1851" s="31" t="n">
        <v>1849</v>
      </c>
      <c r="B1851" s="31">
        <f>CHAIN_RAW!D1849</f>
        <v/>
      </c>
      <c r="C1851" s="31">
        <f>CHAIN_RAW!A1849</f>
        <v/>
      </c>
      <c r="D1851" s="31">
        <f>CHAIN_RAW!C1849</f>
        <v/>
      </c>
      <c r="E1851" s="31">
        <f>CHAIN_RAW!E1849</f>
        <v/>
      </c>
      <c r="F1851" s="31">
        <f>CHAIN_RAW!F1849</f>
        <v/>
      </c>
      <c r="G1851" s="31">
        <f>CHAIN_RAW!I1849</f>
        <v/>
      </c>
      <c r="H1851" s="31">
        <f>CHAIN_RAW!Q1849</f>
        <v/>
      </c>
      <c r="I1851" s="31">
        <f>LET(pc,F1851,oc,H1851,IF(OR(pc="",oc=""),"",IF(AND(pc&gt;0,oc&gt;0),"Long Buildup",IF(AND(pc&lt;0,oc&gt;0),"Short Buildup",IF(AND(pc&gt;0,oc&lt;0),"Short Covering",IF(AND(pc&lt;0,oc&lt;0),"Long Unwinding","Flat"))))))</f>
        <v/>
      </c>
      <c r="J1851" s="31">
        <f>LET(pc,ABS(F1851),oc,ABS(H1851),IF(OR(pc="",oc=""),"",MAX(1,MIN(5,ROUND((pc*0.5+oc*0.00001)*5,0))))))</f>
        <v/>
      </c>
    </row>
    <row r="1852">
      <c r="A1852" s="31" t="n">
        <v>1850</v>
      </c>
      <c r="B1852" s="31">
        <f>CHAIN_RAW!D1850</f>
        <v/>
      </c>
      <c r="C1852" s="31">
        <f>CHAIN_RAW!A1850</f>
        <v/>
      </c>
      <c r="D1852" s="31">
        <f>CHAIN_RAW!C1850</f>
        <v/>
      </c>
      <c r="E1852" s="31">
        <f>CHAIN_RAW!E1850</f>
        <v/>
      </c>
      <c r="F1852" s="31">
        <f>CHAIN_RAW!F1850</f>
        <v/>
      </c>
      <c r="G1852" s="31">
        <f>CHAIN_RAW!I1850</f>
        <v/>
      </c>
      <c r="H1852" s="31">
        <f>CHAIN_RAW!Q1850</f>
        <v/>
      </c>
      <c r="I1852" s="31">
        <f>LET(pc,F1852,oc,H1852,IF(OR(pc="",oc=""),"",IF(AND(pc&gt;0,oc&gt;0),"Long Buildup",IF(AND(pc&lt;0,oc&gt;0),"Short Buildup",IF(AND(pc&gt;0,oc&lt;0),"Short Covering",IF(AND(pc&lt;0,oc&lt;0),"Long Unwinding","Flat"))))))</f>
        <v/>
      </c>
      <c r="J1852" s="31">
        <f>LET(pc,ABS(F1852),oc,ABS(H1852),IF(OR(pc="",oc=""),"",MAX(1,MIN(5,ROUND((pc*0.5+oc*0.00001)*5,0))))))</f>
        <v/>
      </c>
    </row>
    <row r="1853">
      <c r="A1853" s="31" t="n">
        <v>1851</v>
      </c>
      <c r="B1853" s="31">
        <f>CHAIN_RAW!D1851</f>
        <v/>
      </c>
      <c r="C1853" s="31">
        <f>CHAIN_RAW!A1851</f>
        <v/>
      </c>
      <c r="D1853" s="31">
        <f>CHAIN_RAW!C1851</f>
        <v/>
      </c>
      <c r="E1853" s="31">
        <f>CHAIN_RAW!E1851</f>
        <v/>
      </c>
      <c r="F1853" s="31">
        <f>CHAIN_RAW!F1851</f>
        <v/>
      </c>
      <c r="G1853" s="31">
        <f>CHAIN_RAW!I1851</f>
        <v/>
      </c>
      <c r="H1853" s="31">
        <f>CHAIN_RAW!Q1851</f>
        <v/>
      </c>
      <c r="I1853" s="31">
        <f>LET(pc,F1853,oc,H1853,IF(OR(pc="",oc=""),"",IF(AND(pc&gt;0,oc&gt;0),"Long Buildup",IF(AND(pc&lt;0,oc&gt;0),"Short Buildup",IF(AND(pc&gt;0,oc&lt;0),"Short Covering",IF(AND(pc&lt;0,oc&lt;0),"Long Unwinding","Flat"))))))</f>
        <v/>
      </c>
      <c r="J1853" s="31">
        <f>LET(pc,ABS(F1853),oc,ABS(H1853),IF(OR(pc="",oc=""),"",MAX(1,MIN(5,ROUND((pc*0.5+oc*0.00001)*5,0))))))</f>
        <v/>
      </c>
    </row>
    <row r="1854">
      <c r="A1854" s="31" t="n">
        <v>1852</v>
      </c>
      <c r="B1854" s="31">
        <f>CHAIN_RAW!D1852</f>
        <v/>
      </c>
      <c r="C1854" s="31">
        <f>CHAIN_RAW!A1852</f>
        <v/>
      </c>
      <c r="D1854" s="31">
        <f>CHAIN_RAW!C1852</f>
        <v/>
      </c>
      <c r="E1854" s="31">
        <f>CHAIN_RAW!E1852</f>
        <v/>
      </c>
      <c r="F1854" s="31">
        <f>CHAIN_RAW!F1852</f>
        <v/>
      </c>
      <c r="G1854" s="31">
        <f>CHAIN_RAW!I1852</f>
        <v/>
      </c>
      <c r="H1854" s="31">
        <f>CHAIN_RAW!Q1852</f>
        <v/>
      </c>
      <c r="I1854" s="31">
        <f>LET(pc,F1854,oc,H1854,IF(OR(pc="",oc=""),"",IF(AND(pc&gt;0,oc&gt;0),"Long Buildup",IF(AND(pc&lt;0,oc&gt;0),"Short Buildup",IF(AND(pc&gt;0,oc&lt;0),"Short Covering",IF(AND(pc&lt;0,oc&lt;0),"Long Unwinding","Flat"))))))</f>
        <v/>
      </c>
      <c r="J1854" s="31">
        <f>LET(pc,ABS(F1854),oc,ABS(H1854),IF(OR(pc="",oc=""),"",MAX(1,MIN(5,ROUND((pc*0.5+oc*0.00001)*5,0))))))</f>
        <v/>
      </c>
    </row>
    <row r="1855">
      <c r="A1855" s="31" t="n">
        <v>1853</v>
      </c>
      <c r="B1855" s="31">
        <f>CHAIN_RAW!D1853</f>
        <v/>
      </c>
      <c r="C1855" s="31">
        <f>CHAIN_RAW!A1853</f>
        <v/>
      </c>
      <c r="D1855" s="31">
        <f>CHAIN_RAW!C1853</f>
        <v/>
      </c>
      <c r="E1855" s="31">
        <f>CHAIN_RAW!E1853</f>
        <v/>
      </c>
      <c r="F1855" s="31">
        <f>CHAIN_RAW!F1853</f>
        <v/>
      </c>
      <c r="G1855" s="31">
        <f>CHAIN_RAW!I1853</f>
        <v/>
      </c>
      <c r="H1855" s="31">
        <f>CHAIN_RAW!Q1853</f>
        <v/>
      </c>
      <c r="I1855" s="31">
        <f>LET(pc,F1855,oc,H1855,IF(OR(pc="",oc=""),"",IF(AND(pc&gt;0,oc&gt;0),"Long Buildup",IF(AND(pc&lt;0,oc&gt;0),"Short Buildup",IF(AND(pc&gt;0,oc&lt;0),"Short Covering",IF(AND(pc&lt;0,oc&lt;0),"Long Unwinding","Flat"))))))</f>
        <v/>
      </c>
      <c r="J1855" s="31">
        <f>LET(pc,ABS(F1855),oc,ABS(H1855),IF(OR(pc="",oc=""),"",MAX(1,MIN(5,ROUND((pc*0.5+oc*0.00001)*5,0))))))</f>
        <v/>
      </c>
    </row>
    <row r="1856">
      <c r="A1856" s="31" t="n">
        <v>1854</v>
      </c>
      <c r="B1856" s="31">
        <f>CHAIN_RAW!D1854</f>
        <v/>
      </c>
      <c r="C1856" s="31">
        <f>CHAIN_RAW!A1854</f>
        <v/>
      </c>
      <c r="D1856" s="31">
        <f>CHAIN_RAW!C1854</f>
        <v/>
      </c>
      <c r="E1856" s="31">
        <f>CHAIN_RAW!E1854</f>
        <v/>
      </c>
      <c r="F1856" s="31">
        <f>CHAIN_RAW!F1854</f>
        <v/>
      </c>
      <c r="G1856" s="31">
        <f>CHAIN_RAW!I1854</f>
        <v/>
      </c>
      <c r="H1856" s="31">
        <f>CHAIN_RAW!Q1854</f>
        <v/>
      </c>
      <c r="I1856" s="31">
        <f>LET(pc,F1856,oc,H1856,IF(OR(pc="",oc=""),"",IF(AND(pc&gt;0,oc&gt;0),"Long Buildup",IF(AND(pc&lt;0,oc&gt;0),"Short Buildup",IF(AND(pc&gt;0,oc&lt;0),"Short Covering",IF(AND(pc&lt;0,oc&lt;0),"Long Unwinding","Flat"))))))</f>
        <v/>
      </c>
      <c r="J1856" s="31">
        <f>LET(pc,ABS(F1856),oc,ABS(H1856),IF(OR(pc="",oc=""),"",MAX(1,MIN(5,ROUND((pc*0.5+oc*0.00001)*5,0))))))</f>
        <v/>
      </c>
    </row>
    <row r="1857">
      <c r="A1857" s="31" t="n">
        <v>1855</v>
      </c>
      <c r="B1857" s="31">
        <f>CHAIN_RAW!D1855</f>
        <v/>
      </c>
      <c r="C1857" s="31">
        <f>CHAIN_RAW!A1855</f>
        <v/>
      </c>
      <c r="D1857" s="31">
        <f>CHAIN_RAW!C1855</f>
        <v/>
      </c>
      <c r="E1857" s="31">
        <f>CHAIN_RAW!E1855</f>
        <v/>
      </c>
      <c r="F1857" s="31">
        <f>CHAIN_RAW!F1855</f>
        <v/>
      </c>
      <c r="G1857" s="31">
        <f>CHAIN_RAW!I1855</f>
        <v/>
      </c>
      <c r="H1857" s="31">
        <f>CHAIN_RAW!Q1855</f>
        <v/>
      </c>
      <c r="I1857" s="31">
        <f>LET(pc,F1857,oc,H1857,IF(OR(pc="",oc=""),"",IF(AND(pc&gt;0,oc&gt;0),"Long Buildup",IF(AND(pc&lt;0,oc&gt;0),"Short Buildup",IF(AND(pc&gt;0,oc&lt;0),"Short Covering",IF(AND(pc&lt;0,oc&lt;0),"Long Unwinding","Flat"))))))</f>
        <v/>
      </c>
      <c r="J1857" s="31">
        <f>LET(pc,ABS(F1857),oc,ABS(H1857),IF(OR(pc="",oc=""),"",MAX(1,MIN(5,ROUND((pc*0.5+oc*0.00001)*5,0))))))</f>
        <v/>
      </c>
    </row>
    <row r="1858">
      <c r="A1858" s="31" t="n">
        <v>1856</v>
      </c>
      <c r="B1858" s="31">
        <f>CHAIN_RAW!D1856</f>
        <v/>
      </c>
      <c r="C1858" s="31">
        <f>CHAIN_RAW!A1856</f>
        <v/>
      </c>
      <c r="D1858" s="31">
        <f>CHAIN_RAW!C1856</f>
        <v/>
      </c>
      <c r="E1858" s="31">
        <f>CHAIN_RAW!E1856</f>
        <v/>
      </c>
      <c r="F1858" s="31">
        <f>CHAIN_RAW!F1856</f>
        <v/>
      </c>
      <c r="G1858" s="31">
        <f>CHAIN_RAW!I1856</f>
        <v/>
      </c>
      <c r="H1858" s="31">
        <f>CHAIN_RAW!Q1856</f>
        <v/>
      </c>
      <c r="I1858" s="31">
        <f>LET(pc,F1858,oc,H1858,IF(OR(pc="",oc=""),"",IF(AND(pc&gt;0,oc&gt;0),"Long Buildup",IF(AND(pc&lt;0,oc&gt;0),"Short Buildup",IF(AND(pc&gt;0,oc&lt;0),"Short Covering",IF(AND(pc&lt;0,oc&lt;0),"Long Unwinding","Flat"))))))</f>
        <v/>
      </c>
      <c r="J1858" s="31">
        <f>LET(pc,ABS(F1858),oc,ABS(H1858),IF(OR(pc="",oc=""),"",MAX(1,MIN(5,ROUND((pc*0.5+oc*0.00001)*5,0))))))</f>
        <v/>
      </c>
    </row>
    <row r="1859">
      <c r="A1859" s="31" t="n">
        <v>1857</v>
      </c>
      <c r="B1859" s="31">
        <f>CHAIN_RAW!D1857</f>
        <v/>
      </c>
      <c r="C1859" s="31">
        <f>CHAIN_RAW!A1857</f>
        <v/>
      </c>
      <c r="D1859" s="31">
        <f>CHAIN_RAW!C1857</f>
        <v/>
      </c>
      <c r="E1859" s="31">
        <f>CHAIN_RAW!E1857</f>
        <v/>
      </c>
      <c r="F1859" s="31">
        <f>CHAIN_RAW!F1857</f>
        <v/>
      </c>
      <c r="G1859" s="31">
        <f>CHAIN_RAW!I1857</f>
        <v/>
      </c>
      <c r="H1859" s="31">
        <f>CHAIN_RAW!Q1857</f>
        <v/>
      </c>
      <c r="I1859" s="31">
        <f>LET(pc,F1859,oc,H1859,IF(OR(pc="",oc=""),"",IF(AND(pc&gt;0,oc&gt;0),"Long Buildup",IF(AND(pc&lt;0,oc&gt;0),"Short Buildup",IF(AND(pc&gt;0,oc&lt;0),"Short Covering",IF(AND(pc&lt;0,oc&lt;0),"Long Unwinding","Flat"))))))</f>
        <v/>
      </c>
      <c r="J1859" s="31">
        <f>LET(pc,ABS(F1859),oc,ABS(H1859),IF(OR(pc="",oc=""),"",MAX(1,MIN(5,ROUND((pc*0.5+oc*0.00001)*5,0))))))</f>
        <v/>
      </c>
    </row>
    <row r="1860">
      <c r="A1860" s="31" t="n">
        <v>1858</v>
      </c>
      <c r="B1860" s="31">
        <f>CHAIN_RAW!D1858</f>
        <v/>
      </c>
      <c r="C1860" s="31">
        <f>CHAIN_RAW!A1858</f>
        <v/>
      </c>
      <c r="D1860" s="31">
        <f>CHAIN_RAW!C1858</f>
        <v/>
      </c>
      <c r="E1860" s="31">
        <f>CHAIN_RAW!E1858</f>
        <v/>
      </c>
      <c r="F1860" s="31">
        <f>CHAIN_RAW!F1858</f>
        <v/>
      </c>
      <c r="G1860" s="31">
        <f>CHAIN_RAW!I1858</f>
        <v/>
      </c>
      <c r="H1860" s="31">
        <f>CHAIN_RAW!Q1858</f>
        <v/>
      </c>
      <c r="I1860" s="31">
        <f>LET(pc,F1860,oc,H1860,IF(OR(pc="",oc=""),"",IF(AND(pc&gt;0,oc&gt;0),"Long Buildup",IF(AND(pc&lt;0,oc&gt;0),"Short Buildup",IF(AND(pc&gt;0,oc&lt;0),"Short Covering",IF(AND(pc&lt;0,oc&lt;0),"Long Unwinding","Flat"))))))</f>
        <v/>
      </c>
      <c r="J1860" s="31">
        <f>LET(pc,ABS(F1860),oc,ABS(H1860),IF(OR(pc="",oc=""),"",MAX(1,MIN(5,ROUND((pc*0.5+oc*0.00001)*5,0))))))</f>
        <v/>
      </c>
    </row>
    <row r="1861">
      <c r="A1861" s="31" t="n">
        <v>1859</v>
      </c>
      <c r="B1861" s="31">
        <f>CHAIN_RAW!D1859</f>
        <v/>
      </c>
      <c r="C1861" s="31">
        <f>CHAIN_RAW!A1859</f>
        <v/>
      </c>
      <c r="D1861" s="31">
        <f>CHAIN_RAW!C1859</f>
        <v/>
      </c>
      <c r="E1861" s="31">
        <f>CHAIN_RAW!E1859</f>
        <v/>
      </c>
      <c r="F1861" s="31">
        <f>CHAIN_RAW!F1859</f>
        <v/>
      </c>
      <c r="G1861" s="31">
        <f>CHAIN_RAW!I1859</f>
        <v/>
      </c>
      <c r="H1861" s="31">
        <f>CHAIN_RAW!Q1859</f>
        <v/>
      </c>
      <c r="I1861" s="31">
        <f>LET(pc,F1861,oc,H1861,IF(OR(pc="",oc=""),"",IF(AND(pc&gt;0,oc&gt;0),"Long Buildup",IF(AND(pc&lt;0,oc&gt;0),"Short Buildup",IF(AND(pc&gt;0,oc&lt;0),"Short Covering",IF(AND(pc&lt;0,oc&lt;0),"Long Unwinding","Flat"))))))</f>
        <v/>
      </c>
      <c r="J1861" s="31">
        <f>LET(pc,ABS(F1861),oc,ABS(H1861),IF(OR(pc="",oc=""),"",MAX(1,MIN(5,ROUND((pc*0.5+oc*0.00001)*5,0))))))</f>
        <v/>
      </c>
    </row>
    <row r="1862">
      <c r="A1862" s="31" t="n">
        <v>1860</v>
      </c>
      <c r="B1862" s="31">
        <f>CHAIN_RAW!D1860</f>
        <v/>
      </c>
      <c r="C1862" s="31">
        <f>CHAIN_RAW!A1860</f>
        <v/>
      </c>
      <c r="D1862" s="31">
        <f>CHAIN_RAW!C1860</f>
        <v/>
      </c>
      <c r="E1862" s="31">
        <f>CHAIN_RAW!E1860</f>
        <v/>
      </c>
      <c r="F1862" s="31">
        <f>CHAIN_RAW!F1860</f>
        <v/>
      </c>
      <c r="G1862" s="31">
        <f>CHAIN_RAW!I1860</f>
        <v/>
      </c>
      <c r="H1862" s="31">
        <f>CHAIN_RAW!Q1860</f>
        <v/>
      </c>
      <c r="I1862" s="31">
        <f>LET(pc,F1862,oc,H1862,IF(OR(pc="",oc=""),"",IF(AND(pc&gt;0,oc&gt;0),"Long Buildup",IF(AND(pc&lt;0,oc&gt;0),"Short Buildup",IF(AND(pc&gt;0,oc&lt;0),"Short Covering",IF(AND(pc&lt;0,oc&lt;0),"Long Unwinding","Flat"))))))</f>
        <v/>
      </c>
      <c r="J1862" s="31">
        <f>LET(pc,ABS(F1862),oc,ABS(H1862),IF(OR(pc="",oc=""),"",MAX(1,MIN(5,ROUND((pc*0.5+oc*0.00001)*5,0))))))</f>
        <v/>
      </c>
    </row>
    <row r="1863">
      <c r="A1863" s="31" t="n">
        <v>1861</v>
      </c>
      <c r="B1863" s="31">
        <f>CHAIN_RAW!D1861</f>
        <v/>
      </c>
      <c r="C1863" s="31">
        <f>CHAIN_RAW!A1861</f>
        <v/>
      </c>
      <c r="D1863" s="31">
        <f>CHAIN_RAW!C1861</f>
        <v/>
      </c>
      <c r="E1863" s="31">
        <f>CHAIN_RAW!E1861</f>
        <v/>
      </c>
      <c r="F1863" s="31">
        <f>CHAIN_RAW!F1861</f>
        <v/>
      </c>
      <c r="G1863" s="31">
        <f>CHAIN_RAW!I1861</f>
        <v/>
      </c>
      <c r="H1863" s="31">
        <f>CHAIN_RAW!Q1861</f>
        <v/>
      </c>
      <c r="I1863" s="31">
        <f>LET(pc,F1863,oc,H1863,IF(OR(pc="",oc=""),"",IF(AND(pc&gt;0,oc&gt;0),"Long Buildup",IF(AND(pc&lt;0,oc&gt;0),"Short Buildup",IF(AND(pc&gt;0,oc&lt;0),"Short Covering",IF(AND(pc&lt;0,oc&lt;0),"Long Unwinding","Flat"))))))</f>
        <v/>
      </c>
      <c r="J1863" s="31">
        <f>LET(pc,ABS(F1863),oc,ABS(H1863),IF(OR(pc="",oc=""),"",MAX(1,MIN(5,ROUND((pc*0.5+oc*0.00001)*5,0))))))</f>
        <v/>
      </c>
    </row>
    <row r="1864">
      <c r="A1864" s="31" t="n">
        <v>1862</v>
      </c>
      <c r="B1864" s="31">
        <f>CHAIN_RAW!D1862</f>
        <v/>
      </c>
      <c r="C1864" s="31">
        <f>CHAIN_RAW!A1862</f>
        <v/>
      </c>
      <c r="D1864" s="31">
        <f>CHAIN_RAW!C1862</f>
        <v/>
      </c>
      <c r="E1864" s="31">
        <f>CHAIN_RAW!E1862</f>
        <v/>
      </c>
      <c r="F1864" s="31">
        <f>CHAIN_RAW!F1862</f>
        <v/>
      </c>
      <c r="G1864" s="31">
        <f>CHAIN_RAW!I1862</f>
        <v/>
      </c>
      <c r="H1864" s="31">
        <f>CHAIN_RAW!Q1862</f>
        <v/>
      </c>
      <c r="I1864" s="31">
        <f>LET(pc,F1864,oc,H1864,IF(OR(pc="",oc=""),"",IF(AND(pc&gt;0,oc&gt;0),"Long Buildup",IF(AND(pc&lt;0,oc&gt;0),"Short Buildup",IF(AND(pc&gt;0,oc&lt;0),"Short Covering",IF(AND(pc&lt;0,oc&lt;0),"Long Unwinding","Flat"))))))</f>
        <v/>
      </c>
      <c r="J1864" s="31">
        <f>LET(pc,ABS(F1864),oc,ABS(H1864),IF(OR(pc="",oc=""),"",MAX(1,MIN(5,ROUND((pc*0.5+oc*0.00001)*5,0))))))</f>
        <v/>
      </c>
    </row>
    <row r="1865">
      <c r="A1865" s="31" t="n">
        <v>1863</v>
      </c>
      <c r="B1865" s="31">
        <f>CHAIN_RAW!D1863</f>
        <v/>
      </c>
      <c r="C1865" s="31">
        <f>CHAIN_RAW!A1863</f>
        <v/>
      </c>
      <c r="D1865" s="31">
        <f>CHAIN_RAW!C1863</f>
        <v/>
      </c>
      <c r="E1865" s="31">
        <f>CHAIN_RAW!E1863</f>
        <v/>
      </c>
      <c r="F1865" s="31">
        <f>CHAIN_RAW!F1863</f>
        <v/>
      </c>
      <c r="G1865" s="31">
        <f>CHAIN_RAW!I1863</f>
        <v/>
      </c>
      <c r="H1865" s="31">
        <f>CHAIN_RAW!Q1863</f>
        <v/>
      </c>
      <c r="I1865" s="31">
        <f>LET(pc,F1865,oc,H1865,IF(OR(pc="",oc=""),"",IF(AND(pc&gt;0,oc&gt;0),"Long Buildup",IF(AND(pc&lt;0,oc&gt;0),"Short Buildup",IF(AND(pc&gt;0,oc&lt;0),"Short Covering",IF(AND(pc&lt;0,oc&lt;0),"Long Unwinding","Flat"))))))</f>
        <v/>
      </c>
      <c r="J1865" s="31">
        <f>LET(pc,ABS(F1865),oc,ABS(H1865),IF(OR(pc="",oc=""),"",MAX(1,MIN(5,ROUND((pc*0.5+oc*0.00001)*5,0))))))</f>
        <v/>
      </c>
    </row>
    <row r="1866">
      <c r="A1866" s="31" t="n">
        <v>1864</v>
      </c>
      <c r="B1866" s="31">
        <f>CHAIN_RAW!D1864</f>
        <v/>
      </c>
      <c r="C1866" s="31">
        <f>CHAIN_RAW!A1864</f>
        <v/>
      </c>
      <c r="D1866" s="31">
        <f>CHAIN_RAW!C1864</f>
        <v/>
      </c>
      <c r="E1866" s="31">
        <f>CHAIN_RAW!E1864</f>
        <v/>
      </c>
      <c r="F1866" s="31">
        <f>CHAIN_RAW!F1864</f>
        <v/>
      </c>
      <c r="G1866" s="31">
        <f>CHAIN_RAW!I1864</f>
        <v/>
      </c>
      <c r="H1866" s="31">
        <f>CHAIN_RAW!Q1864</f>
        <v/>
      </c>
      <c r="I1866" s="31">
        <f>LET(pc,F1866,oc,H1866,IF(OR(pc="",oc=""),"",IF(AND(pc&gt;0,oc&gt;0),"Long Buildup",IF(AND(pc&lt;0,oc&gt;0),"Short Buildup",IF(AND(pc&gt;0,oc&lt;0),"Short Covering",IF(AND(pc&lt;0,oc&lt;0),"Long Unwinding","Flat"))))))</f>
        <v/>
      </c>
      <c r="J1866" s="31">
        <f>LET(pc,ABS(F1866),oc,ABS(H1866),IF(OR(pc="",oc=""),"",MAX(1,MIN(5,ROUND((pc*0.5+oc*0.00001)*5,0))))))</f>
        <v/>
      </c>
    </row>
    <row r="1867">
      <c r="A1867" s="31" t="n">
        <v>1865</v>
      </c>
      <c r="B1867" s="31">
        <f>CHAIN_RAW!D1865</f>
        <v/>
      </c>
      <c r="C1867" s="31">
        <f>CHAIN_RAW!A1865</f>
        <v/>
      </c>
      <c r="D1867" s="31">
        <f>CHAIN_RAW!C1865</f>
        <v/>
      </c>
      <c r="E1867" s="31">
        <f>CHAIN_RAW!E1865</f>
        <v/>
      </c>
      <c r="F1867" s="31">
        <f>CHAIN_RAW!F1865</f>
        <v/>
      </c>
      <c r="G1867" s="31">
        <f>CHAIN_RAW!I1865</f>
        <v/>
      </c>
      <c r="H1867" s="31">
        <f>CHAIN_RAW!Q1865</f>
        <v/>
      </c>
      <c r="I1867" s="31">
        <f>LET(pc,F1867,oc,H1867,IF(OR(pc="",oc=""),"",IF(AND(pc&gt;0,oc&gt;0),"Long Buildup",IF(AND(pc&lt;0,oc&gt;0),"Short Buildup",IF(AND(pc&gt;0,oc&lt;0),"Short Covering",IF(AND(pc&lt;0,oc&lt;0),"Long Unwinding","Flat"))))))</f>
        <v/>
      </c>
      <c r="J1867" s="31">
        <f>LET(pc,ABS(F1867),oc,ABS(H1867),IF(OR(pc="",oc=""),"",MAX(1,MIN(5,ROUND((pc*0.5+oc*0.00001)*5,0))))))</f>
        <v/>
      </c>
    </row>
    <row r="1868">
      <c r="A1868" s="31" t="n">
        <v>1866</v>
      </c>
      <c r="B1868" s="31">
        <f>CHAIN_RAW!D1866</f>
        <v/>
      </c>
      <c r="C1868" s="31">
        <f>CHAIN_RAW!A1866</f>
        <v/>
      </c>
      <c r="D1868" s="31">
        <f>CHAIN_RAW!C1866</f>
        <v/>
      </c>
      <c r="E1868" s="31">
        <f>CHAIN_RAW!E1866</f>
        <v/>
      </c>
      <c r="F1868" s="31">
        <f>CHAIN_RAW!F1866</f>
        <v/>
      </c>
      <c r="G1868" s="31">
        <f>CHAIN_RAW!I1866</f>
        <v/>
      </c>
      <c r="H1868" s="31">
        <f>CHAIN_RAW!Q1866</f>
        <v/>
      </c>
      <c r="I1868" s="31">
        <f>LET(pc,F1868,oc,H1868,IF(OR(pc="",oc=""),"",IF(AND(pc&gt;0,oc&gt;0),"Long Buildup",IF(AND(pc&lt;0,oc&gt;0),"Short Buildup",IF(AND(pc&gt;0,oc&lt;0),"Short Covering",IF(AND(pc&lt;0,oc&lt;0),"Long Unwinding","Flat"))))))</f>
        <v/>
      </c>
      <c r="J1868" s="31">
        <f>LET(pc,ABS(F1868),oc,ABS(H1868),IF(OR(pc="",oc=""),"",MAX(1,MIN(5,ROUND((pc*0.5+oc*0.00001)*5,0))))))</f>
        <v/>
      </c>
    </row>
    <row r="1869">
      <c r="A1869" s="31" t="n">
        <v>1867</v>
      </c>
      <c r="B1869" s="31">
        <f>CHAIN_RAW!D1867</f>
        <v/>
      </c>
      <c r="C1869" s="31">
        <f>CHAIN_RAW!A1867</f>
        <v/>
      </c>
      <c r="D1869" s="31">
        <f>CHAIN_RAW!C1867</f>
        <v/>
      </c>
      <c r="E1869" s="31">
        <f>CHAIN_RAW!E1867</f>
        <v/>
      </c>
      <c r="F1869" s="31">
        <f>CHAIN_RAW!F1867</f>
        <v/>
      </c>
      <c r="G1869" s="31">
        <f>CHAIN_RAW!I1867</f>
        <v/>
      </c>
      <c r="H1869" s="31">
        <f>CHAIN_RAW!Q1867</f>
        <v/>
      </c>
      <c r="I1869" s="31">
        <f>LET(pc,F1869,oc,H1869,IF(OR(pc="",oc=""),"",IF(AND(pc&gt;0,oc&gt;0),"Long Buildup",IF(AND(pc&lt;0,oc&gt;0),"Short Buildup",IF(AND(pc&gt;0,oc&lt;0),"Short Covering",IF(AND(pc&lt;0,oc&lt;0),"Long Unwinding","Flat"))))))</f>
        <v/>
      </c>
      <c r="J1869" s="31">
        <f>LET(pc,ABS(F1869),oc,ABS(H1869),IF(OR(pc="",oc=""),"",MAX(1,MIN(5,ROUND((pc*0.5+oc*0.00001)*5,0))))))</f>
        <v/>
      </c>
    </row>
    <row r="1870">
      <c r="A1870" s="31" t="n">
        <v>1868</v>
      </c>
      <c r="B1870" s="31">
        <f>CHAIN_RAW!D1868</f>
        <v/>
      </c>
      <c r="C1870" s="31">
        <f>CHAIN_RAW!A1868</f>
        <v/>
      </c>
      <c r="D1870" s="31">
        <f>CHAIN_RAW!C1868</f>
        <v/>
      </c>
      <c r="E1870" s="31">
        <f>CHAIN_RAW!E1868</f>
        <v/>
      </c>
      <c r="F1870" s="31">
        <f>CHAIN_RAW!F1868</f>
        <v/>
      </c>
      <c r="G1870" s="31">
        <f>CHAIN_RAW!I1868</f>
        <v/>
      </c>
      <c r="H1870" s="31">
        <f>CHAIN_RAW!Q1868</f>
        <v/>
      </c>
      <c r="I1870" s="31">
        <f>LET(pc,F1870,oc,H1870,IF(OR(pc="",oc=""),"",IF(AND(pc&gt;0,oc&gt;0),"Long Buildup",IF(AND(pc&lt;0,oc&gt;0),"Short Buildup",IF(AND(pc&gt;0,oc&lt;0),"Short Covering",IF(AND(pc&lt;0,oc&lt;0),"Long Unwinding","Flat"))))))</f>
        <v/>
      </c>
      <c r="J1870" s="31">
        <f>LET(pc,ABS(F1870),oc,ABS(H1870),IF(OR(pc="",oc=""),"",MAX(1,MIN(5,ROUND((pc*0.5+oc*0.00001)*5,0))))))</f>
        <v/>
      </c>
    </row>
    <row r="1871">
      <c r="A1871" s="31" t="n">
        <v>1869</v>
      </c>
      <c r="B1871" s="31">
        <f>CHAIN_RAW!D1869</f>
        <v/>
      </c>
      <c r="C1871" s="31">
        <f>CHAIN_RAW!A1869</f>
        <v/>
      </c>
      <c r="D1871" s="31">
        <f>CHAIN_RAW!C1869</f>
        <v/>
      </c>
      <c r="E1871" s="31">
        <f>CHAIN_RAW!E1869</f>
        <v/>
      </c>
      <c r="F1871" s="31">
        <f>CHAIN_RAW!F1869</f>
        <v/>
      </c>
      <c r="G1871" s="31">
        <f>CHAIN_RAW!I1869</f>
        <v/>
      </c>
      <c r="H1871" s="31">
        <f>CHAIN_RAW!Q1869</f>
        <v/>
      </c>
      <c r="I1871" s="31">
        <f>LET(pc,F1871,oc,H1871,IF(OR(pc="",oc=""),"",IF(AND(pc&gt;0,oc&gt;0),"Long Buildup",IF(AND(pc&lt;0,oc&gt;0),"Short Buildup",IF(AND(pc&gt;0,oc&lt;0),"Short Covering",IF(AND(pc&lt;0,oc&lt;0),"Long Unwinding","Flat"))))))</f>
        <v/>
      </c>
      <c r="J1871" s="31">
        <f>LET(pc,ABS(F1871),oc,ABS(H1871),IF(OR(pc="",oc=""),"",MAX(1,MIN(5,ROUND((pc*0.5+oc*0.00001)*5,0))))))</f>
        <v/>
      </c>
    </row>
    <row r="1872">
      <c r="A1872" s="31" t="n">
        <v>1870</v>
      </c>
      <c r="B1872" s="31">
        <f>CHAIN_RAW!D1870</f>
        <v/>
      </c>
      <c r="C1872" s="31">
        <f>CHAIN_RAW!A1870</f>
        <v/>
      </c>
      <c r="D1872" s="31">
        <f>CHAIN_RAW!C1870</f>
        <v/>
      </c>
      <c r="E1872" s="31">
        <f>CHAIN_RAW!E1870</f>
        <v/>
      </c>
      <c r="F1872" s="31">
        <f>CHAIN_RAW!F1870</f>
        <v/>
      </c>
      <c r="G1872" s="31">
        <f>CHAIN_RAW!I1870</f>
        <v/>
      </c>
      <c r="H1872" s="31">
        <f>CHAIN_RAW!Q1870</f>
        <v/>
      </c>
      <c r="I1872" s="31">
        <f>LET(pc,F1872,oc,H1872,IF(OR(pc="",oc=""),"",IF(AND(pc&gt;0,oc&gt;0),"Long Buildup",IF(AND(pc&lt;0,oc&gt;0),"Short Buildup",IF(AND(pc&gt;0,oc&lt;0),"Short Covering",IF(AND(pc&lt;0,oc&lt;0),"Long Unwinding","Flat"))))))</f>
        <v/>
      </c>
      <c r="J1872" s="31">
        <f>LET(pc,ABS(F1872),oc,ABS(H1872),IF(OR(pc="",oc=""),"",MAX(1,MIN(5,ROUND((pc*0.5+oc*0.00001)*5,0))))))</f>
        <v/>
      </c>
    </row>
    <row r="1873">
      <c r="A1873" s="31" t="n">
        <v>1871</v>
      </c>
      <c r="B1873" s="31">
        <f>CHAIN_RAW!D1871</f>
        <v/>
      </c>
      <c r="C1873" s="31">
        <f>CHAIN_RAW!A1871</f>
        <v/>
      </c>
      <c r="D1873" s="31">
        <f>CHAIN_RAW!C1871</f>
        <v/>
      </c>
      <c r="E1873" s="31">
        <f>CHAIN_RAW!E1871</f>
        <v/>
      </c>
      <c r="F1873" s="31">
        <f>CHAIN_RAW!F1871</f>
        <v/>
      </c>
      <c r="G1873" s="31">
        <f>CHAIN_RAW!I1871</f>
        <v/>
      </c>
      <c r="H1873" s="31">
        <f>CHAIN_RAW!Q1871</f>
        <v/>
      </c>
      <c r="I1873" s="31">
        <f>LET(pc,F1873,oc,H1873,IF(OR(pc="",oc=""),"",IF(AND(pc&gt;0,oc&gt;0),"Long Buildup",IF(AND(pc&lt;0,oc&gt;0),"Short Buildup",IF(AND(pc&gt;0,oc&lt;0),"Short Covering",IF(AND(pc&lt;0,oc&lt;0),"Long Unwinding","Flat"))))))</f>
        <v/>
      </c>
      <c r="J1873" s="31">
        <f>LET(pc,ABS(F1873),oc,ABS(H1873),IF(OR(pc="",oc=""),"",MAX(1,MIN(5,ROUND((pc*0.5+oc*0.00001)*5,0))))))</f>
        <v/>
      </c>
    </row>
    <row r="1874">
      <c r="A1874" s="31" t="n">
        <v>1872</v>
      </c>
      <c r="B1874" s="31">
        <f>CHAIN_RAW!D1872</f>
        <v/>
      </c>
      <c r="C1874" s="31">
        <f>CHAIN_RAW!A1872</f>
        <v/>
      </c>
      <c r="D1874" s="31">
        <f>CHAIN_RAW!C1872</f>
        <v/>
      </c>
      <c r="E1874" s="31">
        <f>CHAIN_RAW!E1872</f>
        <v/>
      </c>
      <c r="F1874" s="31">
        <f>CHAIN_RAW!F1872</f>
        <v/>
      </c>
      <c r="G1874" s="31">
        <f>CHAIN_RAW!I1872</f>
        <v/>
      </c>
      <c r="H1874" s="31">
        <f>CHAIN_RAW!Q1872</f>
        <v/>
      </c>
      <c r="I1874" s="31">
        <f>LET(pc,F1874,oc,H1874,IF(OR(pc="",oc=""),"",IF(AND(pc&gt;0,oc&gt;0),"Long Buildup",IF(AND(pc&lt;0,oc&gt;0),"Short Buildup",IF(AND(pc&gt;0,oc&lt;0),"Short Covering",IF(AND(pc&lt;0,oc&lt;0),"Long Unwinding","Flat"))))))</f>
        <v/>
      </c>
      <c r="J1874" s="31">
        <f>LET(pc,ABS(F1874),oc,ABS(H1874),IF(OR(pc="",oc=""),"",MAX(1,MIN(5,ROUND((pc*0.5+oc*0.00001)*5,0))))))</f>
        <v/>
      </c>
    </row>
    <row r="1875">
      <c r="A1875" s="31" t="n">
        <v>1873</v>
      </c>
      <c r="B1875" s="31">
        <f>CHAIN_RAW!D1873</f>
        <v/>
      </c>
      <c r="C1875" s="31">
        <f>CHAIN_RAW!A1873</f>
        <v/>
      </c>
      <c r="D1875" s="31">
        <f>CHAIN_RAW!C1873</f>
        <v/>
      </c>
      <c r="E1875" s="31">
        <f>CHAIN_RAW!E1873</f>
        <v/>
      </c>
      <c r="F1875" s="31">
        <f>CHAIN_RAW!F1873</f>
        <v/>
      </c>
      <c r="G1875" s="31">
        <f>CHAIN_RAW!I1873</f>
        <v/>
      </c>
      <c r="H1875" s="31">
        <f>CHAIN_RAW!Q1873</f>
        <v/>
      </c>
      <c r="I1875" s="31">
        <f>LET(pc,F1875,oc,H1875,IF(OR(pc="",oc=""),"",IF(AND(pc&gt;0,oc&gt;0),"Long Buildup",IF(AND(pc&lt;0,oc&gt;0),"Short Buildup",IF(AND(pc&gt;0,oc&lt;0),"Short Covering",IF(AND(pc&lt;0,oc&lt;0),"Long Unwinding","Flat"))))))</f>
        <v/>
      </c>
      <c r="J1875" s="31">
        <f>LET(pc,ABS(F1875),oc,ABS(H1875),IF(OR(pc="",oc=""),"",MAX(1,MIN(5,ROUND((pc*0.5+oc*0.00001)*5,0))))))</f>
        <v/>
      </c>
    </row>
    <row r="1876">
      <c r="A1876" s="31" t="n">
        <v>1874</v>
      </c>
      <c r="B1876" s="31">
        <f>CHAIN_RAW!D1874</f>
        <v/>
      </c>
      <c r="C1876" s="31">
        <f>CHAIN_RAW!A1874</f>
        <v/>
      </c>
      <c r="D1876" s="31">
        <f>CHAIN_RAW!C1874</f>
        <v/>
      </c>
      <c r="E1876" s="31">
        <f>CHAIN_RAW!E1874</f>
        <v/>
      </c>
      <c r="F1876" s="31">
        <f>CHAIN_RAW!F1874</f>
        <v/>
      </c>
      <c r="G1876" s="31">
        <f>CHAIN_RAW!I1874</f>
        <v/>
      </c>
      <c r="H1876" s="31">
        <f>CHAIN_RAW!Q1874</f>
        <v/>
      </c>
      <c r="I1876" s="31">
        <f>LET(pc,F1876,oc,H1876,IF(OR(pc="",oc=""),"",IF(AND(pc&gt;0,oc&gt;0),"Long Buildup",IF(AND(pc&lt;0,oc&gt;0),"Short Buildup",IF(AND(pc&gt;0,oc&lt;0),"Short Covering",IF(AND(pc&lt;0,oc&lt;0),"Long Unwinding","Flat"))))))</f>
        <v/>
      </c>
      <c r="J1876" s="31">
        <f>LET(pc,ABS(F1876),oc,ABS(H1876),IF(OR(pc="",oc=""),"",MAX(1,MIN(5,ROUND((pc*0.5+oc*0.00001)*5,0))))))</f>
        <v/>
      </c>
    </row>
    <row r="1877">
      <c r="A1877" s="31" t="n">
        <v>1875</v>
      </c>
      <c r="B1877" s="31">
        <f>CHAIN_RAW!D1875</f>
        <v/>
      </c>
      <c r="C1877" s="31">
        <f>CHAIN_RAW!A1875</f>
        <v/>
      </c>
      <c r="D1877" s="31">
        <f>CHAIN_RAW!C1875</f>
        <v/>
      </c>
      <c r="E1877" s="31">
        <f>CHAIN_RAW!E1875</f>
        <v/>
      </c>
      <c r="F1877" s="31">
        <f>CHAIN_RAW!F1875</f>
        <v/>
      </c>
      <c r="G1877" s="31">
        <f>CHAIN_RAW!I1875</f>
        <v/>
      </c>
      <c r="H1877" s="31">
        <f>CHAIN_RAW!Q1875</f>
        <v/>
      </c>
      <c r="I1877" s="31">
        <f>LET(pc,F1877,oc,H1877,IF(OR(pc="",oc=""),"",IF(AND(pc&gt;0,oc&gt;0),"Long Buildup",IF(AND(pc&lt;0,oc&gt;0),"Short Buildup",IF(AND(pc&gt;0,oc&lt;0),"Short Covering",IF(AND(pc&lt;0,oc&lt;0),"Long Unwinding","Flat"))))))</f>
        <v/>
      </c>
      <c r="J1877" s="31">
        <f>LET(pc,ABS(F1877),oc,ABS(H1877),IF(OR(pc="",oc=""),"",MAX(1,MIN(5,ROUND((pc*0.5+oc*0.00001)*5,0))))))</f>
        <v/>
      </c>
    </row>
    <row r="1878">
      <c r="A1878" s="31" t="n">
        <v>1876</v>
      </c>
      <c r="B1878" s="31">
        <f>CHAIN_RAW!D1876</f>
        <v/>
      </c>
      <c r="C1878" s="31">
        <f>CHAIN_RAW!A1876</f>
        <v/>
      </c>
      <c r="D1878" s="31">
        <f>CHAIN_RAW!C1876</f>
        <v/>
      </c>
      <c r="E1878" s="31">
        <f>CHAIN_RAW!E1876</f>
        <v/>
      </c>
      <c r="F1878" s="31">
        <f>CHAIN_RAW!F1876</f>
        <v/>
      </c>
      <c r="G1878" s="31">
        <f>CHAIN_RAW!I1876</f>
        <v/>
      </c>
      <c r="H1878" s="31">
        <f>CHAIN_RAW!Q1876</f>
        <v/>
      </c>
      <c r="I1878" s="31">
        <f>LET(pc,F1878,oc,H1878,IF(OR(pc="",oc=""),"",IF(AND(pc&gt;0,oc&gt;0),"Long Buildup",IF(AND(pc&lt;0,oc&gt;0),"Short Buildup",IF(AND(pc&gt;0,oc&lt;0),"Short Covering",IF(AND(pc&lt;0,oc&lt;0),"Long Unwinding","Flat"))))))</f>
        <v/>
      </c>
      <c r="J1878" s="31">
        <f>LET(pc,ABS(F1878),oc,ABS(H1878),IF(OR(pc="",oc=""),"",MAX(1,MIN(5,ROUND((pc*0.5+oc*0.00001)*5,0))))))</f>
        <v/>
      </c>
    </row>
    <row r="1879">
      <c r="A1879" s="31" t="n">
        <v>1877</v>
      </c>
      <c r="B1879" s="31">
        <f>CHAIN_RAW!D1877</f>
        <v/>
      </c>
      <c r="C1879" s="31">
        <f>CHAIN_RAW!A1877</f>
        <v/>
      </c>
      <c r="D1879" s="31">
        <f>CHAIN_RAW!C1877</f>
        <v/>
      </c>
      <c r="E1879" s="31">
        <f>CHAIN_RAW!E1877</f>
        <v/>
      </c>
      <c r="F1879" s="31">
        <f>CHAIN_RAW!F1877</f>
        <v/>
      </c>
      <c r="G1879" s="31">
        <f>CHAIN_RAW!I1877</f>
        <v/>
      </c>
      <c r="H1879" s="31">
        <f>CHAIN_RAW!Q1877</f>
        <v/>
      </c>
      <c r="I1879" s="31">
        <f>LET(pc,F1879,oc,H1879,IF(OR(pc="",oc=""),"",IF(AND(pc&gt;0,oc&gt;0),"Long Buildup",IF(AND(pc&lt;0,oc&gt;0),"Short Buildup",IF(AND(pc&gt;0,oc&lt;0),"Short Covering",IF(AND(pc&lt;0,oc&lt;0),"Long Unwinding","Flat"))))))</f>
        <v/>
      </c>
      <c r="J1879" s="31">
        <f>LET(pc,ABS(F1879),oc,ABS(H1879),IF(OR(pc="",oc=""),"",MAX(1,MIN(5,ROUND((pc*0.5+oc*0.00001)*5,0))))))</f>
        <v/>
      </c>
    </row>
    <row r="1880">
      <c r="A1880" s="31" t="n">
        <v>1878</v>
      </c>
      <c r="B1880" s="31">
        <f>CHAIN_RAW!D1878</f>
        <v/>
      </c>
      <c r="C1880" s="31">
        <f>CHAIN_RAW!A1878</f>
        <v/>
      </c>
      <c r="D1880" s="31">
        <f>CHAIN_RAW!C1878</f>
        <v/>
      </c>
      <c r="E1880" s="31">
        <f>CHAIN_RAW!E1878</f>
        <v/>
      </c>
      <c r="F1880" s="31">
        <f>CHAIN_RAW!F1878</f>
        <v/>
      </c>
      <c r="G1880" s="31">
        <f>CHAIN_RAW!I1878</f>
        <v/>
      </c>
      <c r="H1880" s="31">
        <f>CHAIN_RAW!Q1878</f>
        <v/>
      </c>
      <c r="I1880" s="31">
        <f>LET(pc,F1880,oc,H1880,IF(OR(pc="",oc=""),"",IF(AND(pc&gt;0,oc&gt;0),"Long Buildup",IF(AND(pc&lt;0,oc&gt;0),"Short Buildup",IF(AND(pc&gt;0,oc&lt;0),"Short Covering",IF(AND(pc&lt;0,oc&lt;0),"Long Unwinding","Flat"))))))</f>
        <v/>
      </c>
      <c r="J1880" s="31">
        <f>LET(pc,ABS(F1880),oc,ABS(H1880),IF(OR(pc="",oc=""),"",MAX(1,MIN(5,ROUND((pc*0.5+oc*0.00001)*5,0))))))</f>
        <v/>
      </c>
    </row>
    <row r="1881">
      <c r="A1881" s="31" t="n">
        <v>1879</v>
      </c>
      <c r="B1881" s="31">
        <f>CHAIN_RAW!D1879</f>
        <v/>
      </c>
      <c r="C1881" s="31">
        <f>CHAIN_RAW!A1879</f>
        <v/>
      </c>
      <c r="D1881" s="31">
        <f>CHAIN_RAW!C1879</f>
        <v/>
      </c>
      <c r="E1881" s="31">
        <f>CHAIN_RAW!E1879</f>
        <v/>
      </c>
      <c r="F1881" s="31">
        <f>CHAIN_RAW!F1879</f>
        <v/>
      </c>
      <c r="G1881" s="31">
        <f>CHAIN_RAW!I1879</f>
        <v/>
      </c>
      <c r="H1881" s="31">
        <f>CHAIN_RAW!Q1879</f>
        <v/>
      </c>
      <c r="I1881" s="31">
        <f>LET(pc,F1881,oc,H1881,IF(OR(pc="",oc=""),"",IF(AND(pc&gt;0,oc&gt;0),"Long Buildup",IF(AND(pc&lt;0,oc&gt;0),"Short Buildup",IF(AND(pc&gt;0,oc&lt;0),"Short Covering",IF(AND(pc&lt;0,oc&lt;0),"Long Unwinding","Flat"))))))</f>
        <v/>
      </c>
      <c r="J1881" s="31">
        <f>LET(pc,ABS(F1881),oc,ABS(H1881),IF(OR(pc="",oc=""),"",MAX(1,MIN(5,ROUND((pc*0.5+oc*0.00001)*5,0))))))</f>
        <v/>
      </c>
    </row>
    <row r="1882">
      <c r="A1882" s="31" t="n">
        <v>1880</v>
      </c>
      <c r="B1882" s="31">
        <f>CHAIN_RAW!D1880</f>
        <v/>
      </c>
      <c r="C1882" s="31">
        <f>CHAIN_RAW!A1880</f>
        <v/>
      </c>
      <c r="D1882" s="31">
        <f>CHAIN_RAW!C1880</f>
        <v/>
      </c>
      <c r="E1882" s="31">
        <f>CHAIN_RAW!E1880</f>
        <v/>
      </c>
      <c r="F1882" s="31">
        <f>CHAIN_RAW!F1880</f>
        <v/>
      </c>
      <c r="G1882" s="31">
        <f>CHAIN_RAW!I1880</f>
        <v/>
      </c>
      <c r="H1882" s="31">
        <f>CHAIN_RAW!Q1880</f>
        <v/>
      </c>
      <c r="I1882" s="31">
        <f>LET(pc,F1882,oc,H1882,IF(OR(pc="",oc=""),"",IF(AND(pc&gt;0,oc&gt;0),"Long Buildup",IF(AND(pc&lt;0,oc&gt;0),"Short Buildup",IF(AND(pc&gt;0,oc&lt;0),"Short Covering",IF(AND(pc&lt;0,oc&lt;0),"Long Unwinding","Flat"))))))</f>
        <v/>
      </c>
      <c r="J1882" s="31">
        <f>LET(pc,ABS(F1882),oc,ABS(H1882),IF(OR(pc="",oc=""),"",MAX(1,MIN(5,ROUND((pc*0.5+oc*0.00001)*5,0))))))</f>
        <v/>
      </c>
    </row>
    <row r="1883">
      <c r="A1883" s="31" t="n">
        <v>1881</v>
      </c>
      <c r="B1883" s="31">
        <f>CHAIN_RAW!D1881</f>
        <v/>
      </c>
      <c r="C1883" s="31">
        <f>CHAIN_RAW!A1881</f>
        <v/>
      </c>
      <c r="D1883" s="31">
        <f>CHAIN_RAW!C1881</f>
        <v/>
      </c>
      <c r="E1883" s="31">
        <f>CHAIN_RAW!E1881</f>
        <v/>
      </c>
      <c r="F1883" s="31">
        <f>CHAIN_RAW!F1881</f>
        <v/>
      </c>
      <c r="G1883" s="31">
        <f>CHAIN_RAW!I1881</f>
        <v/>
      </c>
      <c r="H1883" s="31">
        <f>CHAIN_RAW!Q1881</f>
        <v/>
      </c>
      <c r="I1883" s="31">
        <f>LET(pc,F1883,oc,H1883,IF(OR(pc="",oc=""),"",IF(AND(pc&gt;0,oc&gt;0),"Long Buildup",IF(AND(pc&lt;0,oc&gt;0),"Short Buildup",IF(AND(pc&gt;0,oc&lt;0),"Short Covering",IF(AND(pc&lt;0,oc&lt;0),"Long Unwinding","Flat"))))))</f>
        <v/>
      </c>
      <c r="J1883" s="31">
        <f>LET(pc,ABS(F1883),oc,ABS(H1883),IF(OR(pc="",oc=""),"",MAX(1,MIN(5,ROUND((pc*0.5+oc*0.00001)*5,0))))))</f>
        <v/>
      </c>
    </row>
    <row r="1884">
      <c r="A1884" s="31" t="n">
        <v>1882</v>
      </c>
      <c r="B1884" s="31">
        <f>CHAIN_RAW!D1882</f>
        <v/>
      </c>
      <c r="C1884" s="31">
        <f>CHAIN_RAW!A1882</f>
        <v/>
      </c>
      <c r="D1884" s="31">
        <f>CHAIN_RAW!C1882</f>
        <v/>
      </c>
      <c r="E1884" s="31">
        <f>CHAIN_RAW!E1882</f>
        <v/>
      </c>
      <c r="F1884" s="31">
        <f>CHAIN_RAW!F1882</f>
        <v/>
      </c>
      <c r="G1884" s="31">
        <f>CHAIN_RAW!I1882</f>
        <v/>
      </c>
      <c r="H1884" s="31">
        <f>CHAIN_RAW!Q1882</f>
        <v/>
      </c>
      <c r="I1884" s="31">
        <f>LET(pc,F1884,oc,H1884,IF(OR(pc="",oc=""),"",IF(AND(pc&gt;0,oc&gt;0),"Long Buildup",IF(AND(pc&lt;0,oc&gt;0),"Short Buildup",IF(AND(pc&gt;0,oc&lt;0),"Short Covering",IF(AND(pc&lt;0,oc&lt;0),"Long Unwinding","Flat"))))))</f>
        <v/>
      </c>
      <c r="J1884" s="31">
        <f>LET(pc,ABS(F1884),oc,ABS(H1884),IF(OR(pc="",oc=""),"",MAX(1,MIN(5,ROUND((pc*0.5+oc*0.00001)*5,0))))))</f>
        <v/>
      </c>
    </row>
    <row r="1885">
      <c r="A1885" s="31" t="n">
        <v>1883</v>
      </c>
      <c r="B1885" s="31">
        <f>CHAIN_RAW!D1883</f>
        <v/>
      </c>
      <c r="C1885" s="31">
        <f>CHAIN_RAW!A1883</f>
        <v/>
      </c>
      <c r="D1885" s="31">
        <f>CHAIN_RAW!C1883</f>
        <v/>
      </c>
      <c r="E1885" s="31">
        <f>CHAIN_RAW!E1883</f>
        <v/>
      </c>
      <c r="F1885" s="31">
        <f>CHAIN_RAW!F1883</f>
        <v/>
      </c>
      <c r="G1885" s="31">
        <f>CHAIN_RAW!I1883</f>
        <v/>
      </c>
      <c r="H1885" s="31">
        <f>CHAIN_RAW!Q1883</f>
        <v/>
      </c>
      <c r="I1885" s="31">
        <f>LET(pc,F1885,oc,H1885,IF(OR(pc="",oc=""),"",IF(AND(pc&gt;0,oc&gt;0),"Long Buildup",IF(AND(pc&lt;0,oc&gt;0),"Short Buildup",IF(AND(pc&gt;0,oc&lt;0),"Short Covering",IF(AND(pc&lt;0,oc&lt;0),"Long Unwinding","Flat"))))))</f>
        <v/>
      </c>
      <c r="J1885" s="31">
        <f>LET(pc,ABS(F1885),oc,ABS(H1885),IF(OR(pc="",oc=""),"",MAX(1,MIN(5,ROUND((pc*0.5+oc*0.00001)*5,0))))))</f>
        <v/>
      </c>
    </row>
    <row r="1886">
      <c r="A1886" s="31" t="n">
        <v>1884</v>
      </c>
      <c r="B1886" s="31">
        <f>CHAIN_RAW!D1884</f>
        <v/>
      </c>
      <c r="C1886" s="31">
        <f>CHAIN_RAW!A1884</f>
        <v/>
      </c>
      <c r="D1886" s="31">
        <f>CHAIN_RAW!C1884</f>
        <v/>
      </c>
      <c r="E1886" s="31">
        <f>CHAIN_RAW!E1884</f>
        <v/>
      </c>
      <c r="F1886" s="31">
        <f>CHAIN_RAW!F1884</f>
        <v/>
      </c>
      <c r="G1886" s="31">
        <f>CHAIN_RAW!I1884</f>
        <v/>
      </c>
      <c r="H1886" s="31">
        <f>CHAIN_RAW!Q1884</f>
        <v/>
      </c>
      <c r="I1886" s="31">
        <f>LET(pc,F1886,oc,H1886,IF(OR(pc="",oc=""),"",IF(AND(pc&gt;0,oc&gt;0),"Long Buildup",IF(AND(pc&lt;0,oc&gt;0),"Short Buildup",IF(AND(pc&gt;0,oc&lt;0),"Short Covering",IF(AND(pc&lt;0,oc&lt;0),"Long Unwinding","Flat"))))))</f>
        <v/>
      </c>
      <c r="J1886" s="31">
        <f>LET(pc,ABS(F1886),oc,ABS(H1886),IF(OR(pc="",oc=""),"",MAX(1,MIN(5,ROUND((pc*0.5+oc*0.00001)*5,0))))))</f>
        <v/>
      </c>
    </row>
    <row r="1887">
      <c r="A1887" s="31" t="n">
        <v>1885</v>
      </c>
      <c r="B1887" s="31">
        <f>CHAIN_RAW!D1885</f>
        <v/>
      </c>
      <c r="C1887" s="31">
        <f>CHAIN_RAW!A1885</f>
        <v/>
      </c>
      <c r="D1887" s="31">
        <f>CHAIN_RAW!C1885</f>
        <v/>
      </c>
      <c r="E1887" s="31">
        <f>CHAIN_RAW!E1885</f>
        <v/>
      </c>
      <c r="F1887" s="31">
        <f>CHAIN_RAW!F1885</f>
        <v/>
      </c>
      <c r="G1887" s="31">
        <f>CHAIN_RAW!I1885</f>
        <v/>
      </c>
      <c r="H1887" s="31">
        <f>CHAIN_RAW!Q1885</f>
        <v/>
      </c>
      <c r="I1887" s="31">
        <f>LET(pc,F1887,oc,H1887,IF(OR(pc="",oc=""),"",IF(AND(pc&gt;0,oc&gt;0),"Long Buildup",IF(AND(pc&lt;0,oc&gt;0),"Short Buildup",IF(AND(pc&gt;0,oc&lt;0),"Short Covering",IF(AND(pc&lt;0,oc&lt;0),"Long Unwinding","Flat"))))))</f>
        <v/>
      </c>
      <c r="J1887" s="31">
        <f>LET(pc,ABS(F1887),oc,ABS(H1887),IF(OR(pc="",oc=""),"",MAX(1,MIN(5,ROUND((pc*0.5+oc*0.00001)*5,0))))))</f>
        <v/>
      </c>
    </row>
    <row r="1888">
      <c r="A1888" s="31" t="n">
        <v>1886</v>
      </c>
      <c r="B1888" s="31">
        <f>CHAIN_RAW!D1886</f>
        <v/>
      </c>
      <c r="C1888" s="31">
        <f>CHAIN_RAW!A1886</f>
        <v/>
      </c>
      <c r="D1888" s="31">
        <f>CHAIN_RAW!C1886</f>
        <v/>
      </c>
      <c r="E1888" s="31">
        <f>CHAIN_RAW!E1886</f>
        <v/>
      </c>
      <c r="F1888" s="31">
        <f>CHAIN_RAW!F1886</f>
        <v/>
      </c>
      <c r="G1888" s="31">
        <f>CHAIN_RAW!I1886</f>
        <v/>
      </c>
      <c r="H1888" s="31">
        <f>CHAIN_RAW!Q1886</f>
        <v/>
      </c>
      <c r="I1888" s="31">
        <f>LET(pc,F1888,oc,H1888,IF(OR(pc="",oc=""),"",IF(AND(pc&gt;0,oc&gt;0),"Long Buildup",IF(AND(pc&lt;0,oc&gt;0),"Short Buildup",IF(AND(pc&gt;0,oc&lt;0),"Short Covering",IF(AND(pc&lt;0,oc&lt;0),"Long Unwinding","Flat"))))))</f>
        <v/>
      </c>
      <c r="J1888" s="31">
        <f>LET(pc,ABS(F1888),oc,ABS(H1888),IF(OR(pc="",oc=""),"",MAX(1,MIN(5,ROUND((pc*0.5+oc*0.00001)*5,0))))))</f>
        <v/>
      </c>
    </row>
    <row r="1889">
      <c r="A1889" s="31" t="n">
        <v>1887</v>
      </c>
      <c r="B1889" s="31">
        <f>CHAIN_RAW!D1887</f>
        <v/>
      </c>
      <c r="C1889" s="31">
        <f>CHAIN_RAW!A1887</f>
        <v/>
      </c>
      <c r="D1889" s="31">
        <f>CHAIN_RAW!C1887</f>
        <v/>
      </c>
      <c r="E1889" s="31">
        <f>CHAIN_RAW!E1887</f>
        <v/>
      </c>
      <c r="F1889" s="31">
        <f>CHAIN_RAW!F1887</f>
        <v/>
      </c>
      <c r="G1889" s="31">
        <f>CHAIN_RAW!I1887</f>
        <v/>
      </c>
      <c r="H1889" s="31">
        <f>CHAIN_RAW!Q1887</f>
        <v/>
      </c>
      <c r="I1889" s="31">
        <f>LET(pc,F1889,oc,H1889,IF(OR(pc="",oc=""),"",IF(AND(pc&gt;0,oc&gt;0),"Long Buildup",IF(AND(pc&lt;0,oc&gt;0),"Short Buildup",IF(AND(pc&gt;0,oc&lt;0),"Short Covering",IF(AND(pc&lt;0,oc&lt;0),"Long Unwinding","Flat"))))))</f>
        <v/>
      </c>
      <c r="J1889" s="31">
        <f>LET(pc,ABS(F1889),oc,ABS(H1889),IF(OR(pc="",oc=""),"",MAX(1,MIN(5,ROUND((pc*0.5+oc*0.00001)*5,0))))))</f>
        <v/>
      </c>
    </row>
    <row r="1890">
      <c r="A1890" s="31" t="n">
        <v>1888</v>
      </c>
      <c r="B1890" s="31">
        <f>CHAIN_RAW!D1888</f>
        <v/>
      </c>
      <c r="C1890" s="31">
        <f>CHAIN_RAW!A1888</f>
        <v/>
      </c>
      <c r="D1890" s="31">
        <f>CHAIN_RAW!C1888</f>
        <v/>
      </c>
      <c r="E1890" s="31">
        <f>CHAIN_RAW!E1888</f>
        <v/>
      </c>
      <c r="F1890" s="31">
        <f>CHAIN_RAW!F1888</f>
        <v/>
      </c>
      <c r="G1890" s="31">
        <f>CHAIN_RAW!I1888</f>
        <v/>
      </c>
      <c r="H1890" s="31">
        <f>CHAIN_RAW!Q1888</f>
        <v/>
      </c>
      <c r="I1890" s="31">
        <f>LET(pc,F1890,oc,H1890,IF(OR(pc="",oc=""),"",IF(AND(pc&gt;0,oc&gt;0),"Long Buildup",IF(AND(pc&lt;0,oc&gt;0),"Short Buildup",IF(AND(pc&gt;0,oc&lt;0),"Short Covering",IF(AND(pc&lt;0,oc&lt;0),"Long Unwinding","Flat"))))))</f>
        <v/>
      </c>
      <c r="J1890" s="31">
        <f>LET(pc,ABS(F1890),oc,ABS(H1890),IF(OR(pc="",oc=""),"",MAX(1,MIN(5,ROUND((pc*0.5+oc*0.00001)*5,0))))))</f>
        <v/>
      </c>
    </row>
    <row r="1891">
      <c r="A1891" s="31" t="n">
        <v>1889</v>
      </c>
      <c r="B1891" s="31">
        <f>CHAIN_RAW!D1889</f>
        <v/>
      </c>
      <c r="C1891" s="31">
        <f>CHAIN_RAW!A1889</f>
        <v/>
      </c>
      <c r="D1891" s="31">
        <f>CHAIN_RAW!C1889</f>
        <v/>
      </c>
      <c r="E1891" s="31">
        <f>CHAIN_RAW!E1889</f>
        <v/>
      </c>
      <c r="F1891" s="31">
        <f>CHAIN_RAW!F1889</f>
        <v/>
      </c>
      <c r="G1891" s="31">
        <f>CHAIN_RAW!I1889</f>
        <v/>
      </c>
      <c r="H1891" s="31">
        <f>CHAIN_RAW!Q1889</f>
        <v/>
      </c>
      <c r="I1891" s="31">
        <f>LET(pc,F1891,oc,H1891,IF(OR(pc="",oc=""),"",IF(AND(pc&gt;0,oc&gt;0),"Long Buildup",IF(AND(pc&lt;0,oc&gt;0),"Short Buildup",IF(AND(pc&gt;0,oc&lt;0),"Short Covering",IF(AND(pc&lt;0,oc&lt;0),"Long Unwinding","Flat"))))))</f>
        <v/>
      </c>
      <c r="J1891" s="31">
        <f>LET(pc,ABS(F1891),oc,ABS(H1891),IF(OR(pc="",oc=""),"",MAX(1,MIN(5,ROUND((pc*0.5+oc*0.00001)*5,0))))))</f>
        <v/>
      </c>
    </row>
    <row r="1892">
      <c r="A1892" s="31" t="n">
        <v>1890</v>
      </c>
      <c r="B1892" s="31">
        <f>CHAIN_RAW!D1890</f>
        <v/>
      </c>
      <c r="C1892" s="31">
        <f>CHAIN_RAW!A1890</f>
        <v/>
      </c>
      <c r="D1892" s="31">
        <f>CHAIN_RAW!C1890</f>
        <v/>
      </c>
      <c r="E1892" s="31">
        <f>CHAIN_RAW!E1890</f>
        <v/>
      </c>
      <c r="F1892" s="31">
        <f>CHAIN_RAW!F1890</f>
        <v/>
      </c>
      <c r="G1892" s="31">
        <f>CHAIN_RAW!I1890</f>
        <v/>
      </c>
      <c r="H1892" s="31">
        <f>CHAIN_RAW!Q1890</f>
        <v/>
      </c>
      <c r="I1892" s="31">
        <f>LET(pc,F1892,oc,H1892,IF(OR(pc="",oc=""),"",IF(AND(pc&gt;0,oc&gt;0),"Long Buildup",IF(AND(pc&lt;0,oc&gt;0),"Short Buildup",IF(AND(pc&gt;0,oc&lt;0),"Short Covering",IF(AND(pc&lt;0,oc&lt;0),"Long Unwinding","Flat"))))))</f>
        <v/>
      </c>
      <c r="J1892" s="31">
        <f>LET(pc,ABS(F1892),oc,ABS(H1892),IF(OR(pc="",oc=""),"",MAX(1,MIN(5,ROUND((pc*0.5+oc*0.00001)*5,0))))))</f>
        <v/>
      </c>
    </row>
    <row r="1893">
      <c r="A1893" s="31" t="n">
        <v>1891</v>
      </c>
      <c r="B1893" s="31">
        <f>CHAIN_RAW!D1891</f>
        <v/>
      </c>
      <c r="C1893" s="31">
        <f>CHAIN_RAW!A1891</f>
        <v/>
      </c>
      <c r="D1893" s="31">
        <f>CHAIN_RAW!C1891</f>
        <v/>
      </c>
      <c r="E1893" s="31">
        <f>CHAIN_RAW!E1891</f>
        <v/>
      </c>
      <c r="F1893" s="31">
        <f>CHAIN_RAW!F1891</f>
        <v/>
      </c>
      <c r="G1893" s="31">
        <f>CHAIN_RAW!I1891</f>
        <v/>
      </c>
      <c r="H1893" s="31">
        <f>CHAIN_RAW!Q1891</f>
        <v/>
      </c>
      <c r="I1893" s="31">
        <f>LET(pc,F1893,oc,H1893,IF(OR(pc="",oc=""),"",IF(AND(pc&gt;0,oc&gt;0),"Long Buildup",IF(AND(pc&lt;0,oc&gt;0),"Short Buildup",IF(AND(pc&gt;0,oc&lt;0),"Short Covering",IF(AND(pc&lt;0,oc&lt;0),"Long Unwinding","Flat"))))))</f>
        <v/>
      </c>
      <c r="J1893" s="31">
        <f>LET(pc,ABS(F1893),oc,ABS(H1893),IF(OR(pc="",oc=""),"",MAX(1,MIN(5,ROUND((pc*0.5+oc*0.00001)*5,0))))))</f>
        <v/>
      </c>
    </row>
    <row r="1894">
      <c r="A1894" s="31" t="n">
        <v>1892</v>
      </c>
      <c r="B1894" s="31">
        <f>CHAIN_RAW!D1892</f>
        <v/>
      </c>
      <c r="C1894" s="31">
        <f>CHAIN_RAW!A1892</f>
        <v/>
      </c>
      <c r="D1894" s="31">
        <f>CHAIN_RAW!C1892</f>
        <v/>
      </c>
      <c r="E1894" s="31">
        <f>CHAIN_RAW!E1892</f>
        <v/>
      </c>
      <c r="F1894" s="31">
        <f>CHAIN_RAW!F1892</f>
        <v/>
      </c>
      <c r="G1894" s="31">
        <f>CHAIN_RAW!I1892</f>
        <v/>
      </c>
      <c r="H1894" s="31">
        <f>CHAIN_RAW!Q1892</f>
        <v/>
      </c>
      <c r="I1894" s="31">
        <f>LET(pc,F1894,oc,H1894,IF(OR(pc="",oc=""),"",IF(AND(pc&gt;0,oc&gt;0),"Long Buildup",IF(AND(pc&lt;0,oc&gt;0),"Short Buildup",IF(AND(pc&gt;0,oc&lt;0),"Short Covering",IF(AND(pc&lt;0,oc&lt;0),"Long Unwinding","Flat"))))))</f>
        <v/>
      </c>
      <c r="J1894" s="31">
        <f>LET(pc,ABS(F1894),oc,ABS(H1894),IF(OR(pc="",oc=""),"",MAX(1,MIN(5,ROUND((pc*0.5+oc*0.00001)*5,0))))))</f>
        <v/>
      </c>
    </row>
    <row r="1895">
      <c r="A1895" s="31" t="n">
        <v>1893</v>
      </c>
      <c r="B1895" s="31">
        <f>CHAIN_RAW!D1893</f>
        <v/>
      </c>
      <c r="C1895" s="31">
        <f>CHAIN_RAW!A1893</f>
        <v/>
      </c>
      <c r="D1895" s="31">
        <f>CHAIN_RAW!C1893</f>
        <v/>
      </c>
      <c r="E1895" s="31">
        <f>CHAIN_RAW!E1893</f>
        <v/>
      </c>
      <c r="F1895" s="31">
        <f>CHAIN_RAW!F1893</f>
        <v/>
      </c>
      <c r="G1895" s="31">
        <f>CHAIN_RAW!I1893</f>
        <v/>
      </c>
      <c r="H1895" s="31">
        <f>CHAIN_RAW!Q1893</f>
        <v/>
      </c>
      <c r="I1895" s="31">
        <f>LET(pc,F1895,oc,H1895,IF(OR(pc="",oc=""),"",IF(AND(pc&gt;0,oc&gt;0),"Long Buildup",IF(AND(pc&lt;0,oc&gt;0),"Short Buildup",IF(AND(pc&gt;0,oc&lt;0),"Short Covering",IF(AND(pc&lt;0,oc&lt;0),"Long Unwinding","Flat"))))))</f>
        <v/>
      </c>
      <c r="J1895" s="31">
        <f>LET(pc,ABS(F1895),oc,ABS(H1895),IF(OR(pc="",oc=""),"",MAX(1,MIN(5,ROUND((pc*0.5+oc*0.00001)*5,0))))))</f>
        <v/>
      </c>
    </row>
    <row r="1896">
      <c r="A1896" s="31" t="n">
        <v>1894</v>
      </c>
      <c r="B1896" s="31">
        <f>CHAIN_RAW!D1894</f>
        <v/>
      </c>
      <c r="C1896" s="31">
        <f>CHAIN_RAW!A1894</f>
        <v/>
      </c>
      <c r="D1896" s="31">
        <f>CHAIN_RAW!C1894</f>
        <v/>
      </c>
      <c r="E1896" s="31">
        <f>CHAIN_RAW!E1894</f>
        <v/>
      </c>
      <c r="F1896" s="31">
        <f>CHAIN_RAW!F1894</f>
        <v/>
      </c>
      <c r="G1896" s="31">
        <f>CHAIN_RAW!I1894</f>
        <v/>
      </c>
      <c r="H1896" s="31">
        <f>CHAIN_RAW!Q1894</f>
        <v/>
      </c>
      <c r="I1896" s="31">
        <f>LET(pc,F1896,oc,H1896,IF(OR(pc="",oc=""),"",IF(AND(pc&gt;0,oc&gt;0),"Long Buildup",IF(AND(pc&lt;0,oc&gt;0),"Short Buildup",IF(AND(pc&gt;0,oc&lt;0),"Short Covering",IF(AND(pc&lt;0,oc&lt;0),"Long Unwinding","Flat"))))))</f>
        <v/>
      </c>
      <c r="J1896" s="31">
        <f>LET(pc,ABS(F1896),oc,ABS(H1896),IF(OR(pc="",oc=""),"",MAX(1,MIN(5,ROUND((pc*0.5+oc*0.00001)*5,0))))))</f>
        <v/>
      </c>
    </row>
    <row r="1897">
      <c r="A1897" s="31" t="n">
        <v>1895</v>
      </c>
      <c r="B1897" s="31">
        <f>CHAIN_RAW!D1895</f>
        <v/>
      </c>
      <c r="C1897" s="31">
        <f>CHAIN_RAW!A1895</f>
        <v/>
      </c>
      <c r="D1897" s="31">
        <f>CHAIN_RAW!C1895</f>
        <v/>
      </c>
      <c r="E1897" s="31">
        <f>CHAIN_RAW!E1895</f>
        <v/>
      </c>
      <c r="F1897" s="31">
        <f>CHAIN_RAW!F1895</f>
        <v/>
      </c>
      <c r="G1897" s="31">
        <f>CHAIN_RAW!I1895</f>
        <v/>
      </c>
      <c r="H1897" s="31">
        <f>CHAIN_RAW!Q1895</f>
        <v/>
      </c>
      <c r="I1897" s="31">
        <f>LET(pc,F1897,oc,H1897,IF(OR(pc="",oc=""),"",IF(AND(pc&gt;0,oc&gt;0),"Long Buildup",IF(AND(pc&lt;0,oc&gt;0),"Short Buildup",IF(AND(pc&gt;0,oc&lt;0),"Short Covering",IF(AND(pc&lt;0,oc&lt;0),"Long Unwinding","Flat"))))))</f>
        <v/>
      </c>
      <c r="J1897" s="31">
        <f>LET(pc,ABS(F1897),oc,ABS(H1897),IF(OR(pc="",oc=""),"",MAX(1,MIN(5,ROUND((pc*0.5+oc*0.00001)*5,0))))))</f>
        <v/>
      </c>
    </row>
    <row r="1898">
      <c r="A1898" s="31" t="n">
        <v>1896</v>
      </c>
      <c r="B1898" s="31">
        <f>CHAIN_RAW!D1896</f>
        <v/>
      </c>
      <c r="C1898" s="31">
        <f>CHAIN_RAW!A1896</f>
        <v/>
      </c>
      <c r="D1898" s="31">
        <f>CHAIN_RAW!C1896</f>
        <v/>
      </c>
      <c r="E1898" s="31">
        <f>CHAIN_RAW!E1896</f>
        <v/>
      </c>
      <c r="F1898" s="31">
        <f>CHAIN_RAW!F1896</f>
        <v/>
      </c>
      <c r="G1898" s="31">
        <f>CHAIN_RAW!I1896</f>
        <v/>
      </c>
      <c r="H1898" s="31">
        <f>CHAIN_RAW!Q1896</f>
        <v/>
      </c>
      <c r="I1898" s="31">
        <f>LET(pc,F1898,oc,H1898,IF(OR(pc="",oc=""),"",IF(AND(pc&gt;0,oc&gt;0),"Long Buildup",IF(AND(pc&lt;0,oc&gt;0),"Short Buildup",IF(AND(pc&gt;0,oc&lt;0),"Short Covering",IF(AND(pc&lt;0,oc&lt;0),"Long Unwinding","Flat"))))))</f>
        <v/>
      </c>
      <c r="J1898" s="31">
        <f>LET(pc,ABS(F1898),oc,ABS(H1898),IF(OR(pc="",oc=""),"",MAX(1,MIN(5,ROUND((pc*0.5+oc*0.00001)*5,0))))))</f>
        <v/>
      </c>
    </row>
    <row r="1899">
      <c r="A1899" s="31" t="n">
        <v>1897</v>
      </c>
      <c r="B1899" s="31">
        <f>CHAIN_RAW!D1897</f>
        <v/>
      </c>
      <c r="C1899" s="31">
        <f>CHAIN_RAW!A1897</f>
        <v/>
      </c>
      <c r="D1899" s="31">
        <f>CHAIN_RAW!C1897</f>
        <v/>
      </c>
      <c r="E1899" s="31">
        <f>CHAIN_RAW!E1897</f>
        <v/>
      </c>
      <c r="F1899" s="31">
        <f>CHAIN_RAW!F1897</f>
        <v/>
      </c>
      <c r="G1899" s="31">
        <f>CHAIN_RAW!I1897</f>
        <v/>
      </c>
      <c r="H1899" s="31">
        <f>CHAIN_RAW!Q1897</f>
        <v/>
      </c>
      <c r="I1899" s="31">
        <f>LET(pc,F1899,oc,H1899,IF(OR(pc="",oc=""),"",IF(AND(pc&gt;0,oc&gt;0),"Long Buildup",IF(AND(pc&lt;0,oc&gt;0),"Short Buildup",IF(AND(pc&gt;0,oc&lt;0),"Short Covering",IF(AND(pc&lt;0,oc&lt;0),"Long Unwinding","Flat"))))))</f>
        <v/>
      </c>
      <c r="J1899" s="31">
        <f>LET(pc,ABS(F1899),oc,ABS(H1899),IF(OR(pc="",oc=""),"",MAX(1,MIN(5,ROUND((pc*0.5+oc*0.00001)*5,0))))))</f>
        <v/>
      </c>
    </row>
    <row r="1900">
      <c r="A1900" s="31" t="n">
        <v>1898</v>
      </c>
      <c r="B1900" s="31">
        <f>CHAIN_RAW!D1898</f>
        <v/>
      </c>
      <c r="C1900" s="31">
        <f>CHAIN_RAW!A1898</f>
        <v/>
      </c>
      <c r="D1900" s="31">
        <f>CHAIN_RAW!C1898</f>
        <v/>
      </c>
      <c r="E1900" s="31">
        <f>CHAIN_RAW!E1898</f>
        <v/>
      </c>
      <c r="F1900" s="31">
        <f>CHAIN_RAW!F1898</f>
        <v/>
      </c>
      <c r="G1900" s="31">
        <f>CHAIN_RAW!I1898</f>
        <v/>
      </c>
      <c r="H1900" s="31">
        <f>CHAIN_RAW!Q1898</f>
        <v/>
      </c>
      <c r="I1900" s="31">
        <f>LET(pc,F1900,oc,H1900,IF(OR(pc="",oc=""),"",IF(AND(pc&gt;0,oc&gt;0),"Long Buildup",IF(AND(pc&lt;0,oc&gt;0),"Short Buildup",IF(AND(pc&gt;0,oc&lt;0),"Short Covering",IF(AND(pc&lt;0,oc&lt;0),"Long Unwinding","Flat"))))))</f>
        <v/>
      </c>
      <c r="J1900" s="31">
        <f>LET(pc,ABS(F1900),oc,ABS(H1900),IF(OR(pc="",oc=""),"",MAX(1,MIN(5,ROUND((pc*0.5+oc*0.00001)*5,0))))))</f>
        <v/>
      </c>
    </row>
    <row r="1901">
      <c r="A1901" s="31" t="n">
        <v>1899</v>
      </c>
      <c r="B1901" s="31">
        <f>CHAIN_RAW!D1899</f>
        <v/>
      </c>
      <c r="C1901" s="31">
        <f>CHAIN_RAW!A1899</f>
        <v/>
      </c>
      <c r="D1901" s="31">
        <f>CHAIN_RAW!C1899</f>
        <v/>
      </c>
      <c r="E1901" s="31">
        <f>CHAIN_RAW!E1899</f>
        <v/>
      </c>
      <c r="F1901" s="31">
        <f>CHAIN_RAW!F1899</f>
        <v/>
      </c>
      <c r="G1901" s="31">
        <f>CHAIN_RAW!I1899</f>
        <v/>
      </c>
      <c r="H1901" s="31">
        <f>CHAIN_RAW!Q1899</f>
        <v/>
      </c>
      <c r="I1901" s="31">
        <f>LET(pc,F1901,oc,H1901,IF(OR(pc="",oc=""),"",IF(AND(pc&gt;0,oc&gt;0),"Long Buildup",IF(AND(pc&lt;0,oc&gt;0),"Short Buildup",IF(AND(pc&gt;0,oc&lt;0),"Short Covering",IF(AND(pc&lt;0,oc&lt;0),"Long Unwinding","Flat"))))))</f>
        <v/>
      </c>
      <c r="J1901" s="31">
        <f>LET(pc,ABS(F1901),oc,ABS(H1901),IF(OR(pc="",oc=""),"",MAX(1,MIN(5,ROUND((pc*0.5+oc*0.00001)*5,0))))))</f>
        <v/>
      </c>
    </row>
    <row r="1902">
      <c r="A1902" s="31" t="n">
        <v>1900</v>
      </c>
      <c r="B1902" s="31">
        <f>CHAIN_RAW!D1900</f>
        <v/>
      </c>
      <c r="C1902" s="31">
        <f>CHAIN_RAW!A1900</f>
        <v/>
      </c>
      <c r="D1902" s="31">
        <f>CHAIN_RAW!C1900</f>
        <v/>
      </c>
      <c r="E1902" s="31">
        <f>CHAIN_RAW!E1900</f>
        <v/>
      </c>
      <c r="F1902" s="31">
        <f>CHAIN_RAW!F1900</f>
        <v/>
      </c>
      <c r="G1902" s="31">
        <f>CHAIN_RAW!I1900</f>
        <v/>
      </c>
      <c r="H1902" s="31">
        <f>CHAIN_RAW!Q1900</f>
        <v/>
      </c>
      <c r="I1902" s="31">
        <f>LET(pc,F1902,oc,H1902,IF(OR(pc="",oc=""),"",IF(AND(pc&gt;0,oc&gt;0),"Long Buildup",IF(AND(pc&lt;0,oc&gt;0),"Short Buildup",IF(AND(pc&gt;0,oc&lt;0),"Short Covering",IF(AND(pc&lt;0,oc&lt;0),"Long Unwinding","Flat"))))))</f>
        <v/>
      </c>
      <c r="J1902" s="31">
        <f>LET(pc,ABS(F1902),oc,ABS(H1902),IF(OR(pc="",oc=""),"",MAX(1,MIN(5,ROUND((pc*0.5+oc*0.00001)*5,0))))))</f>
        <v/>
      </c>
    </row>
    <row r="1903">
      <c r="A1903" s="31" t="n">
        <v>1901</v>
      </c>
      <c r="B1903" s="31">
        <f>CHAIN_RAW!D1901</f>
        <v/>
      </c>
      <c r="C1903" s="31">
        <f>CHAIN_RAW!A1901</f>
        <v/>
      </c>
      <c r="D1903" s="31">
        <f>CHAIN_RAW!C1901</f>
        <v/>
      </c>
      <c r="E1903" s="31">
        <f>CHAIN_RAW!E1901</f>
        <v/>
      </c>
      <c r="F1903" s="31">
        <f>CHAIN_RAW!F1901</f>
        <v/>
      </c>
      <c r="G1903" s="31">
        <f>CHAIN_RAW!I1901</f>
        <v/>
      </c>
      <c r="H1903" s="31">
        <f>CHAIN_RAW!Q1901</f>
        <v/>
      </c>
      <c r="I1903" s="31">
        <f>LET(pc,F1903,oc,H1903,IF(OR(pc="",oc=""),"",IF(AND(pc&gt;0,oc&gt;0),"Long Buildup",IF(AND(pc&lt;0,oc&gt;0),"Short Buildup",IF(AND(pc&gt;0,oc&lt;0),"Short Covering",IF(AND(pc&lt;0,oc&lt;0),"Long Unwinding","Flat"))))))</f>
        <v/>
      </c>
      <c r="J1903" s="31">
        <f>LET(pc,ABS(F1903),oc,ABS(H1903),IF(OR(pc="",oc=""),"",MAX(1,MIN(5,ROUND((pc*0.5+oc*0.00001)*5,0))))))</f>
        <v/>
      </c>
    </row>
    <row r="1904">
      <c r="A1904" s="31" t="n">
        <v>1902</v>
      </c>
      <c r="B1904" s="31">
        <f>CHAIN_RAW!D1902</f>
        <v/>
      </c>
      <c r="C1904" s="31">
        <f>CHAIN_RAW!A1902</f>
        <v/>
      </c>
      <c r="D1904" s="31">
        <f>CHAIN_RAW!C1902</f>
        <v/>
      </c>
      <c r="E1904" s="31">
        <f>CHAIN_RAW!E1902</f>
        <v/>
      </c>
      <c r="F1904" s="31">
        <f>CHAIN_RAW!F1902</f>
        <v/>
      </c>
      <c r="G1904" s="31">
        <f>CHAIN_RAW!I1902</f>
        <v/>
      </c>
      <c r="H1904" s="31">
        <f>CHAIN_RAW!Q1902</f>
        <v/>
      </c>
      <c r="I1904" s="31">
        <f>LET(pc,F1904,oc,H1904,IF(OR(pc="",oc=""),"",IF(AND(pc&gt;0,oc&gt;0),"Long Buildup",IF(AND(pc&lt;0,oc&gt;0),"Short Buildup",IF(AND(pc&gt;0,oc&lt;0),"Short Covering",IF(AND(pc&lt;0,oc&lt;0),"Long Unwinding","Flat"))))))</f>
        <v/>
      </c>
      <c r="J1904" s="31">
        <f>LET(pc,ABS(F1904),oc,ABS(H1904),IF(OR(pc="",oc=""),"",MAX(1,MIN(5,ROUND((pc*0.5+oc*0.00001)*5,0))))))</f>
        <v/>
      </c>
    </row>
    <row r="1905">
      <c r="A1905" s="31" t="n">
        <v>1903</v>
      </c>
      <c r="B1905" s="31">
        <f>CHAIN_RAW!D1903</f>
        <v/>
      </c>
      <c r="C1905" s="31">
        <f>CHAIN_RAW!A1903</f>
        <v/>
      </c>
      <c r="D1905" s="31">
        <f>CHAIN_RAW!C1903</f>
        <v/>
      </c>
      <c r="E1905" s="31">
        <f>CHAIN_RAW!E1903</f>
        <v/>
      </c>
      <c r="F1905" s="31">
        <f>CHAIN_RAW!F1903</f>
        <v/>
      </c>
      <c r="G1905" s="31">
        <f>CHAIN_RAW!I1903</f>
        <v/>
      </c>
      <c r="H1905" s="31">
        <f>CHAIN_RAW!Q1903</f>
        <v/>
      </c>
      <c r="I1905" s="31">
        <f>LET(pc,F1905,oc,H1905,IF(OR(pc="",oc=""),"",IF(AND(pc&gt;0,oc&gt;0),"Long Buildup",IF(AND(pc&lt;0,oc&gt;0),"Short Buildup",IF(AND(pc&gt;0,oc&lt;0),"Short Covering",IF(AND(pc&lt;0,oc&lt;0),"Long Unwinding","Flat"))))))</f>
        <v/>
      </c>
      <c r="J1905" s="31">
        <f>LET(pc,ABS(F1905),oc,ABS(H1905),IF(OR(pc="",oc=""),"",MAX(1,MIN(5,ROUND((pc*0.5+oc*0.00001)*5,0))))))</f>
        <v/>
      </c>
    </row>
    <row r="1906">
      <c r="A1906" s="31" t="n">
        <v>1904</v>
      </c>
      <c r="B1906" s="31">
        <f>CHAIN_RAW!D1904</f>
        <v/>
      </c>
      <c r="C1906" s="31">
        <f>CHAIN_RAW!A1904</f>
        <v/>
      </c>
      <c r="D1906" s="31">
        <f>CHAIN_RAW!C1904</f>
        <v/>
      </c>
      <c r="E1906" s="31">
        <f>CHAIN_RAW!E1904</f>
        <v/>
      </c>
      <c r="F1906" s="31">
        <f>CHAIN_RAW!F1904</f>
        <v/>
      </c>
      <c r="G1906" s="31">
        <f>CHAIN_RAW!I1904</f>
        <v/>
      </c>
      <c r="H1906" s="31">
        <f>CHAIN_RAW!Q1904</f>
        <v/>
      </c>
      <c r="I1906" s="31">
        <f>LET(pc,F1906,oc,H1906,IF(OR(pc="",oc=""),"",IF(AND(pc&gt;0,oc&gt;0),"Long Buildup",IF(AND(pc&lt;0,oc&gt;0),"Short Buildup",IF(AND(pc&gt;0,oc&lt;0),"Short Covering",IF(AND(pc&lt;0,oc&lt;0),"Long Unwinding","Flat"))))))</f>
        <v/>
      </c>
      <c r="J1906" s="31">
        <f>LET(pc,ABS(F1906),oc,ABS(H1906),IF(OR(pc="",oc=""),"",MAX(1,MIN(5,ROUND((pc*0.5+oc*0.00001)*5,0))))))</f>
        <v/>
      </c>
    </row>
    <row r="1907">
      <c r="A1907" s="31" t="n">
        <v>1905</v>
      </c>
      <c r="B1907" s="31">
        <f>CHAIN_RAW!D1905</f>
        <v/>
      </c>
      <c r="C1907" s="31">
        <f>CHAIN_RAW!A1905</f>
        <v/>
      </c>
      <c r="D1907" s="31">
        <f>CHAIN_RAW!C1905</f>
        <v/>
      </c>
      <c r="E1907" s="31">
        <f>CHAIN_RAW!E1905</f>
        <v/>
      </c>
      <c r="F1907" s="31">
        <f>CHAIN_RAW!F1905</f>
        <v/>
      </c>
      <c r="G1907" s="31">
        <f>CHAIN_RAW!I1905</f>
        <v/>
      </c>
      <c r="H1907" s="31">
        <f>CHAIN_RAW!Q1905</f>
        <v/>
      </c>
      <c r="I1907" s="31">
        <f>LET(pc,F1907,oc,H1907,IF(OR(pc="",oc=""),"",IF(AND(pc&gt;0,oc&gt;0),"Long Buildup",IF(AND(pc&lt;0,oc&gt;0),"Short Buildup",IF(AND(pc&gt;0,oc&lt;0),"Short Covering",IF(AND(pc&lt;0,oc&lt;0),"Long Unwinding","Flat"))))))</f>
        <v/>
      </c>
      <c r="J1907" s="31">
        <f>LET(pc,ABS(F1907),oc,ABS(H1907),IF(OR(pc="",oc=""),"",MAX(1,MIN(5,ROUND((pc*0.5+oc*0.00001)*5,0))))))</f>
        <v/>
      </c>
    </row>
    <row r="1908">
      <c r="A1908" s="31" t="n">
        <v>1906</v>
      </c>
      <c r="B1908" s="31">
        <f>CHAIN_RAW!D1906</f>
        <v/>
      </c>
      <c r="C1908" s="31">
        <f>CHAIN_RAW!A1906</f>
        <v/>
      </c>
      <c r="D1908" s="31">
        <f>CHAIN_RAW!C1906</f>
        <v/>
      </c>
      <c r="E1908" s="31">
        <f>CHAIN_RAW!E1906</f>
        <v/>
      </c>
      <c r="F1908" s="31">
        <f>CHAIN_RAW!F1906</f>
        <v/>
      </c>
      <c r="G1908" s="31">
        <f>CHAIN_RAW!I1906</f>
        <v/>
      </c>
      <c r="H1908" s="31">
        <f>CHAIN_RAW!Q1906</f>
        <v/>
      </c>
      <c r="I1908" s="31">
        <f>LET(pc,F1908,oc,H1908,IF(OR(pc="",oc=""),"",IF(AND(pc&gt;0,oc&gt;0),"Long Buildup",IF(AND(pc&lt;0,oc&gt;0),"Short Buildup",IF(AND(pc&gt;0,oc&lt;0),"Short Covering",IF(AND(pc&lt;0,oc&lt;0),"Long Unwinding","Flat"))))))</f>
        <v/>
      </c>
      <c r="J1908" s="31">
        <f>LET(pc,ABS(F1908),oc,ABS(H1908),IF(OR(pc="",oc=""),"",MAX(1,MIN(5,ROUND((pc*0.5+oc*0.00001)*5,0))))))</f>
        <v/>
      </c>
    </row>
    <row r="1909">
      <c r="A1909" s="31" t="n">
        <v>1907</v>
      </c>
      <c r="B1909" s="31">
        <f>CHAIN_RAW!D1907</f>
        <v/>
      </c>
      <c r="C1909" s="31">
        <f>CHAIN_RAW!A1907</f>
        <v/>
      </c>
      <c r="D1909" s="31">
        <f>CHAIN_RAW!C1907</f>
        <v/>
      </c>
      <c r="E1909" s="31">
        <f>CHAIN_RAW!E1907</f>
        <v/>
      </c>
      <c r="F1909" s="31">
        <f>CHAIN_RAW!F1907</f>
        <v/>
      </c>
      <c r="G1909" s="31">
        <f>CHAIN_RAW!I1907</f>
        <v/>
      </c>
      <c r="H1909" s="31">
        <f>CHAIN_RAW!Q1907</f>
        <v/>
      </c>
      <c r="I1909" s="31">
        <f>LET(pc,F1909,oc,H1909,IF(OR(pc="",oc=""),"",IF(AND(pc&gt;0,oc&gt;0),"Long Buildup",IF(AND(pc&lt;0,oc&gt;0),"Short Buildup",IF(AND(pc&gt;0,oc&lt;0),"Short Covering",IF(AND(pc&lt;0,oc&lt;0),"Long Unwinding","Flat"))))))</f>
        <v/>
      </c>
      <c r="J1909" s="31">
        <f>LET(pc,ABS(F1909),oc,ABS(H1909),IF(OR(pc="",oc=""),"",MAX(1,MIN(5,ROUND((pc*0.5+oc*0.00001)*5,0))))))</f>
        <v/>
      </c>
    </row>
    <row r="1910">
      <c r="A1910" s="31" t="n">
        <v>1908</v>
      </c>
      <c r="B1910" s="31">
        <f>CHAIN_RAW!D1908</f>
        <v/>
      </c>
      <c r="C1910" s="31">
        <f>CHAIN_RAW!A1908</f>
        <v/>
      </c>
      <c r="D1910" s="31">
        <f>CHAIN_RAW!C1908</f>
        <v/>
      </c>
      <c r="E1910" s="31">
        <f>CHAIN_RAW!E1908</f>
        <v/>
      </c>
      <c r="F1910" s="31">
        <f>CHAIN_RAW!F1908</f>
        <v/>
      </c>
      <c r="G1910" s="31">
        <f>CHAIN_RAW!I1908</f>
        <v/>
      </c>
      <c r="H1910" s="31">
        <f>CHAIN_RAW!Q1908</f>
        <v/>
      </c>
      <c r="I1910" s="31">
        <f>LET(pc,F1910,oc,H1910,IF(OR(pc="",oc=""),"",IF(AND(pc&gt;0,oc&gt;0),"Long Buildup",IF(AND(pc&lt;0,oc&gt;0),"Short Buildup",IF(AND(pc&gt;0,oc&lt;0),"Short Covering",IF(AND(pc&lt;0,oc&lt;0),"Long Unwinding","Flat"))))))</f>
        <v/>
      </c>
      <c r="J1910" s="31">
        <f>LET(pc,ABS(F1910),oc,ABS(H1910),IF(OR(pc="",oc=""),"",MAX(1,MIN(5,ROUND((pc*0.5+oc*0.00001)*5,0))))))</f>
        <v/>
      </c>
    </row>
    <row r="1911">
      <c r="A1911" s="31" t="n">
        <v>1909</v>
      </c>
      <c r="B1911" s="31">
        <f>CHAIN_RAW!D1909</f>
        <v/>
      </c>
      <c r="C1911" s="31">
        <f>CHAIN_RAW!A1909</f>
        <v/>
      </c>
      <c r="D1911" s="31">
        <f>CHAIN_RAW!C1909</f>
        <v/>
      </c>
      <c r="E1911" s="31">
        <f>CHAIN_RAW!E1909</f>
        <v/>
      </c>
      <c r="F1911" s="31">
        <f>CHAIN_RAW!F1909</f>
        <v/>
      </c>
      <c r="G1911" s="31">
        <f>CHAIN_RAW!I1909</f>
        <v/>
      </c>
      <c r="H1911" s="31">
        <f>CHAIN_RAW!Q1909</f>
        <v/>
      </c>
      <c r="I1911" s="31">
        <f>LET(pc,F1911,oc,H1911,IF(OR(pc="",oc=""),"",IF(AND(pc&gt;0,oc&gt;0),"Long Buildup",IF(AND(pc&lt;0,oc&gt;0),"Short Buildup",IF(AND(pc&gt;0,oc&lt;0),"Short Covering",IF(AND(pc&lt;0,oc&lt;0),"Long Unwinding","Flat"))))))</f>
        <v/>
      </c>
      <c r="J1911" s="31">
        <f>LET(pc,ABS(F1911),oc,ABS(H1911),IF(OR(pc="",oc=""),"",MAX(1,MIN(5,ROUND((pc*0.5+oc*0.00001)*5,0))))))</f>
        <v/>
      </c>
    </row>
    <row r="1912">
      <c r="A1912" s="31" t="n">
        <v>1910</v>
      </c>
      <c r="B1912" s="31">
        <f>CHAIN_RAW!D1910</f>
        <v/>
      </c>
      <c r="C1912" s="31">
        <f>CHAIN_RAW!A1910</f>
        <v/>
      </c>
      <c r="D1912" s="31">
        <f>CHAIN_RAW!C1910</f>
        <v/>
      </c>
      <c r="E1912" s="31">
        <f>CHAIN_RAW!E1910</f>
        <v/>
      </c>
      <c r="F1912" s="31">
        <f>CHAIN_RAW!F1910</f>
        <v/>
      </c>
      <c r="G1912" s="31">
        <f>CHAIN_RAW!I1910</f>
        <v/>
      </c>
      <c r="H1912" s="31">
        <f>CHAIN_RAW!Q1910</f>
        <v/>
      </c>
      <c r="I1912" s="31">
        <f>LET(pc,F1912,oc,H1912,IF(OR(pc="",oc=""),"",IF(AND(pc&gt;0,oc&gt;0),"Long Buildup",IF(AND(pc&lt;0,oc&gt;0),"Short Buildup",IF(AND(pc&gt;0,oc&lt;0),"Short Covering",IF(AND(pc&lt;0,oc&lt;0),"Long Unwinding","Flat"))))))</f>
        <v/>
      </c>
      <c r="J1912" s="31">
        <f>LET(pc,ABS(F1912),oc,ABS(H1912),IF(OR(pc="",oc=""),"",MAX(1,MIN(5,ROUND((pc*0.5+oc*0.00001)*5,0))))))</f>
        <v/>
      </c>
    </row>
    <row r="1913">
      <c r="A1913" s="31" t="n">
        <v>1911</v>
      </c>
      <c r="B1913" s="31">
        <f>CHAIN_RAW!D1911</f>
        <v/>
      </c>
      <c r="C1913" s="31">
        <f>CHAIN_RAW!A1911</f>
        <v/>
      </c>
      <c r="D1913" s="31">
        <f>CHAIN_RAW!C1911</f>
        <v/>
      </c>
      <c r="E1913" s="31">
        <f>CHAIN_RAW!E1911</f>
        <v/>
      </c>
      <c r="F1913" s="31">
        <f>CHAIN_RAW!F1911</f>
        <v/>
      </c>
      <c r="G1913" s="31">
        <f>CHAIN_RAW!I1911</f>
        <v/>
      </c>
      <c r="H1913" s="31">
        <f>CHAIN_RAW!Q1911</f>
        <v/>
      </c>
      <c r="I1913" s="31">
        <f>LET(pc,F1913,oc,H1913,IF(OR(pc="",oc=""),"",IF(AND(pc&gt;0,oc&gt;0),"Long Buildup",IF(AND(pc&lt;0,oc&gt;0),"Short Buildup",IF(AND(pc&gt;0,oc&lt;0),"Short Covering",IF(AND(pc&lt;0,oc&lt;0),"Long Unwinding","Flat"))))))</f>
        <v/>
      </c>
      <c r="J1913" s="31">
        <f>LET(pc,ABS(F1913),oc,ABS(H1913),IF(OR(pc="",oc=""),"",MAX(1,MIN(5,ROUND((pc*0.5+oc*0.00001)*5,0))))))</f>
        <v/>
      </c>
    </row>
    <row r="1914">
      <c r="A1914" s="31" t="n">
        <v>1912</v>
      </c>
      <c r="B1914" s="31">
        <f>CHAIN_RAW!D1912</f>
        <v/>
      </c>
      <c r="C1914" s="31">
        <f>CHAIN_RAW!A1912</f>
        <v/>
      </c>
      <c r="D1914" s="31">
        <f>CHAIN_RAW!C1912</f>
        <v/>
      </c>
      <c r="E1914" s="31">
        <f>CHAIN_RAW!E1912</f>
        <v/>
      </c>
      <c r="F1914" s="31">
        <f>CHAIN_RAW!F1912</f>
        <v/>
      </c>
      <c r="G1914" s="31">
        <f>CHAIN_RAW!I1912</f>
        <v/>
      </c>
      <c r="H1914" s="31">
        <f>CHAIN_RAW!Q1912</f>
        <v/>
      </c>
      <c r="I1914" s="31">
        <f>LET(pc,F1914,oc,H1914,IF(OR(pc="",oc=""),"",IF(AND(pc&gt;0,oc&gt;0),"Long Buildup",IF(AND(pc&lt;0,oc&gt;0),"Short Buildup",IF(AND(pc&gt;0,oc&lt;0),"Short Covering",IF(AND(pc&lt;0,oc&lt;0),"Long Unwinding","Flat"))))))</f>
        <v/>
      </c>
      <c r="J1914" s="31">
        <f>LET(pc,ABS(F1914),oc,ABS(H1914),IF(OR(pc="",oc=""),"",MAX(1,MIN(5,ROUND((pc*0.5+oc*0.00001)*5,0))))))</f>
        <v/>
      </c>
    </row>
    <row r="1915">
      <c r="A1915" s="31" t="n">
        <v>1913</v>
      </c>
      <c r="B1915" s="31">
        <f>CHAIN_RAW!D1913</f>
        <v/>
      </c>
      <c r="C1915" s="31">
        <f>CHAIN_RAW!A1913</f>
        <v/>
      </c>
      <c r="D1915" s="31">
        <f>CHAIN_RAW!C1913</f>
        <v/>
      </c>
      <c r="E1915" s="31">
        <f>CHAIN_RAW!E1913</f>
        <v/>
      </c>
      <c r="F1915" s="31">
        <f>CHAIN_RAW!F1913</f>
        <v/>
      </c>
      <c r="G1915" s="31">
        <f>CHAIN_RAW!I1913</f>
        <v/>
      </c>
      <c r="H1915" s="31">
        <f>CHAIN_RAW!Q1913</f>
        <v/>
      </c>
      <c r="I1915" s="31">
        <f>LET(pc,F1915,oc,H1915,IF(OR(pc="",oc=""),"",IF(AND(pc&gt;0,oc&gt;0),"Long Buildup",IF(AND(pc&lt;0,oc&gt;0),"Short Buildup",IF(AND(pc&gt;0,oc&lt;0),"Short Covering",IF(AND(pc&lt;0,oc&lt;0),"Long Unwinding","Flat"))))))</f>
        <v/>
      </c>
      <c r="J1915" s="31">
        <f>LET(pc,ABS(F1915),oc,ABS(H1915),IF(OR(pc="",oc=""),"",MAX(1,MIN(5,ROUND((pc*0.5+oc*0.00001)*5,0))))))</f>
        <v/>
      </c>
    </row>
    <row r="1916">
      <c r="A1916" s="31" t="n">
        <v>1914</v>
      </c>
      <c r="B1916" s="31">
        <f>CHAIN_RAW!D1914</f>
        <v/>
      </c>
      <c r="C1916" s="31">
        <f>CHAIN_RAW!A1914</f>
        <v/>
      </c>
      <c r="D1916" s="31">
        <f>CHAIN_RAW!C1914</f>
        <v/>
      </c>
      <c r="E1916" s="31">
        <f>CHAIN_RAW!E1914</f>
        <v/>
      </c>
      <c r="F1916" s="31">
        <f>CHAIN_RAW!F1914</f>
        <v/>
      </c>
      <c r="G1916" s="31">
        <f>CHAIN_RAW!I1914</f>
        <v/>
      </c>
      <c r="H1916" s="31">
        <f>CHAIN_RAW!Q1914</f>
        <v/>
      </c>
      <c r="I1916" s="31">
        <f>LET(pc,F1916,oc,H1916,IF(OR(pc="",oc=""),"",IF(AND(pc&gt;0,oc&gt;0),"Long Buildup",IF(AND(pc&lt;0,oc&gt;0),"Short Buildup",IF(AND(pc&gt;0,oc&lt;0),"Short Covering",IF(AND(pc&lt;0,oc&lt;0),"Long Unwinding","Flat"))))))</f>
        <v/>
      </c>
      <c r="J1916" s="31">
        <f>LET(pc,ABS(F1916),oc,ABS(H1916),IF(OR(pc="",oc=""),"",MAX(1,MIN(5,ROUND((pc*0.5+oc*0.00001)*5,0))))))</f>
        <v/>
      </c>
    </row>
    <row r="1917">
      <c r="A1917" s="31" t="n">
        <v>1915</v>
      </c>
      <c r="B1917" s="31">
        <f>CHAIN_RAW!D1915</f>
        <v/>
      </c>
      <c r="C1917" s="31">
        <f>CHAIN_RAW!A1915</f>
        <v/>
      </c>
      <c r="D1917" s="31">
        <f>CHAIN_RAW!C1915</f>
        <v/>
      </c>
      <c r="E1917" s="31">
        <f>CHAIN_RAW!E1915</f>
        <v/>
      </c>
      <c r="F1917" s="31">
        <f>CHAIN_RAW!F1915</f>
        <v/>
      </c>
      <c r="G1917" s="31">
        <f>CHAIN_RAW!I1915</f>
        <v/>
      </c>
      <c r="H1917" s="31">
        <f>CHAIN_RAW!Q1915</f>
        <v/>
      </c>
      <c r="I1917" s="31">
        <f>LET(pc,F1917,oc,H1917,IF(OR(pc="",oc=""),"",IF(AND(pc&gt;0,oc&gt;0),"Long Buildup",IF(AND(pc&lt;0,oc&gt;0),"Short Buildup",IF(AND(pc&gt;0,oc&lt;0),"Short Covering",IF(AND(pc&lt;0,oc&lt;0),"Long Unwinding","Flat"))))))</f>
        <v/>
      </c>
      <c r="J1917" s="31">
        <f>LET(pc,ABS(F1917),oc,ABS(H1917),IF(OR(pc="",oc=""),"",MAX(1,MIN(5,ROUND((pc*0.5+oc*0.00001)*5,0))))))</f>
        <v/>
      </c>
    </row>
    <row r="1918">
      <c r="A1918" s="31" t="n">
        <v>1916</v>
      </c>
      <c r="B1918" s="31">
        <f>CHAIN_RAW!D1916</f>
        <v/>
      </c>
      <c r="C1918" s="31">
        <f>CHAIN_RAW!A1916</f>
        <v/>
      </c>
      <c r="D1918" s="31">
        <f>CHAIN_RAW!C1916</f>
        <v/>
      </c>
      <c r="E1918" s="31">
        <f>CHAIN_RAW!E1916</f>
        <v/>
      </c>
      <c r="F1918" s="31">
        <f>CHAIN_RAW!F1916</f>
        <v/>
      </c>
      <c r="G1918" s="31">
        <f>CHAIN_RAW!I1916</f>
        <v/>
      </c>
      <c r="H1918" s="31">
        <f>CHAIN_RAW!Q1916</f>
        <v/>
      </c>
      <c r="I1918" s="31">
        <f>LET(pc,F1918,oc,H1918,IF(OR(pc="",oc=""),"",IF(AND(pc&gt;0,oc&gt;0),"Long Buildup",IF(AND(pc&lt;0,oc&gt;0),"Short Buildup",IF(AND(pc&gt;0,oc&lt;0),"Short Covering",IF(AND(pc&lt;0,oc&lt;0),"Long Unwinding","Flat"))))))</f>
        <v/>
      </c>
      <c r="J1918" s="31">
        <f>LET(pc,ABS(F1918),oc,ABS(H1918),IF(OR(pc="",oc=""),"",MAX(1,MIN(5,ROUND((pc*0.5+oc*0.00001)*5,0))))))</f>
        <v/>
      </c>
    </row>
    <row r="1919">
      <c r="A1919" s="31" t="n">
        <v>1917</v>
      </c>
      <c r="B1919" s="31">
        <f>CHAIN_RAW!D1917</f>
        <v/>
      </c>
      <c r="C1919" s="31">
        <f>CHAIN_RAW!A1917</f>
        <v/>
      </c>
      <c r="D1919" s="31">
        <f>CHAIN_RAW!C1917</f>
        <v/>
      </c>
      <c r="E1919" s="31">
        <f>CHAIN_RAW!E1917</f>
        <v/>
      </c>
      <c r="F1919" s="31">
        <f>CHAIN_RAW!F1917</f>
        <v/>
      </c>
      <c r="G1919" s="31">
        <f>CHAIN_RAW!I1917</f>
        <v/>
      </c>
      <c r="H1919" s="31">
        <f>CHAIN_RAW!Q1917</f>
        <v/>
      </c>
      <c r="I1919" s="31">
        <f>LET(pc,F1919,oc,H1919,IF(OR(pc="",oc=""),"",IF(AND(pc&gt;0,oc&gt;0),"Long Buildup",IF(AND(pc&lt;0,oc&gt;0),"Short Buildup",IF(AND(pc&gt;0,oc&lt;0),"Short Covering",IF(AND(pc&lt;0,oc&lt;0),"Long Unwinding","Flat"))))))</f>
        <v/>
      </c>
      <c r="J1919" s="31">
        <f>LET(pc,ABS(F1919),oc,ABS(H1919),IF(OR(pc="",oc=""),"",MAX(1,MIN(5,ROUND((pc*0.5+oc*0.00001)*5,0))))))</f>
        <v/>
      </c>
    </row>
    <row r="1920">
      <c r="A1920" s="31" t="n">
        <v>1918</v>
      </c>
      <c r="B1920" s="31">
        <f>CHAIN_RAW!D1918</f>
        <v/>
      </c>
      <c r="C1920" s="31">
        <f>CHAIN_RAW!A1918</f>
        <v/>
      </c>
      <c r="D1920" s="31">
        <f>CHAIN_RAW!C1918</f>
        <v/>
      </c>
      <c r="E1920" s="31">
        <f>CHAIN_RAW!E1918</f>
        <v/>
      </c>
      <c r="F1920" s="31">
        <f>CHAIN_RAW!F1918</f>
        <v/>
      </c>
      <c r="G1920" s="31">
        <f>CHAIN_RAW!I1918</f>
        <v/>
      </c>
      <c r="H1920" s="31">
        <f>CHAIN_RAW!Q1918</f>
        <v/>
      </c>
      <c r="I1920" s="31">
        <f>LET(pc,F1920,oc,H1920,IF(OR(pc="",oc=""),"",IF(AND(pc&gt;0,oc&gt;0),"Long Buildup",IF(AND(pc&lt;0,oc&gt;0),"Short Buildup",IF(AND(pc&gt;0,oc&lt;0),"Short Covering",IF(AND(pc&lt;0,oc&lt;0),"Long Unwinding","Flat"))))))</f>
        <v/>
      </c>
      <c r="J1920" s="31">
        <f>LET(pc,ABS(F1920),oc,ABS(H1920),IF(OR(pc="",oc=""),"",MAX(1,MIN(5,ROUND((pc*0.5+oc*0.00001)*5,0))))))</f>
        <v/>
      </c>
    </row>
    <row r="1921">
      <c r="A1921" s="31" t="n">
        <v>1919</v>
      </c>
      <c r="B1921" s="31">
        <f>CHAIN_RAW!D1919</f>
        <v/>
      </c>
      <c r="C1921" s="31">
        <f>CHAIN_RAW!A1919</f>
        <v/>
      </c>
      <c r="D1921" s="31">
        <f>CHAIN_RAW!C1919</f>
        <v/>
      </c>
      <c r="E1921" s="31">
        <f>CHAIN_RAW!E1919</f>
        <v/>
      </c>
      <c r="F1921" s="31">
        <f>CHAIN_RAW!F1919</f>
        <v/>
      </c>
      <c r="G1921" s="31">
        <f>CHAIN_RAW!I1919</f>
        <v/>
      </c>
      <c r="H1921" s="31">
        <f>CHAIN_RAW!Q1919</f>
        <v/>
      </c>
      <c r="I1921" s="31">
        <f>LET(pc,F1921,oc,H1921,IF(OR(pc="",oc=""),"",IF(AND(pc&gt;0,oc&gt;0),"Long Buildup",IF(AND(pc&lt;0,oc&gt;0),"Short Buildup",IF(AND(pc&gt;0,oc&lt;0),"Short Covering",IF(AND(pc&lt;0,oc&lt;0),"Long Unwinding","Flat"))))))</f>
        <v/>
      </c>
      <c r="J1921" s="31">
        <f>LET(pc,ABS(F1921),oc,ABS(H1921),IF(OR(pc="",oc=""),"",MAX(1,MIN(5,ROUND((pc*0.5+oc*0.00001)*5,0))))))</f>
        <v/>
      </c>
    </row>
    <row r="1922">
      <c r="A1922" s="31" t="n">
        <v>1920</v>
      </c>
      <c r="B1922" s="31">
        <f>CHAIN_RAW!D1920</f>
        <v/>
      </c>
      <c r="C1922" s="31">
        <f>CHAIN_RAW!A1920</f>
        <v/>
      </c>
      <c r="D1922" s="31">
        <f>CHAIN_RAW!C1920</f>
        <v/>
      </c>
      <c r="E1922" s="31">
        <f>CHAIN_RAW!E1920</f>
        <v/>
      </c>
      <c r="F1922" s="31">
        <f>CHAIN_RAW!F1920</f>
        <v/>
      </c>
      <c r="G1922" s="31">
        <f>CHAIN_RAW!I1920</f>
        <v/>
      </c>
      <c r="H1922" s="31">
        <f>CHAIN_RAW!Q1920</f>
        <v/>
      </c>
      <c r="I1922" s="31">
        <f>LET(pc,F1922,oc,H1922,IF(OR(pc="",oc=""),"",IF(AND(pc&gt;0,oc&gt;0),"Long Buildup",IF(AND(pc&lt;0,oc&gt;0),"Short Buildup",IF(AND(pc&gt;0,oc&lt;0),"Short Covering",IF(AND(pc&lt;0,oc&lt;0),"Long Unwinding","Flat"))))))</f>
        <v/>
      </c>
      <c r="J1922" s="31">
        <f>LET(pc,ABS(F1922),oc,ABS(H1922),IF(OR(pc="",oc=""),"",MAX(1,MIN(5,ROUND((pc*0.5+oc*0.00001)*5,0))))))</f>
        <v/>
      </c>
    </row>
    <row r="1923">
      <c r="A1923" s="31" t="n">
        <v>1921</v>
      </c>
      <c r="B1923" s="31">
        <f>CHAIN_RAW!D1921</f>
        <v/>
      </c>
      <c r="C1923" s="31">
        <f>CHAIN_RAW!A1921</f>
        <v/>
      </c>
      <c r="D1923" s="31">
        <f>CHAIN_RAW!C1921</f>
        <v/>
      </c>
      <c r="E1923" s="31">
        <f>CHAIN_RAW!E1921</f>
        <v/>
      </c>
      <c r="F1923" s="31">
        <f>CHAIN_RAW!F1921</f>
        <v/>
      </c>
      <c r="G1923" s="31">
        <f>CHAIN_RAW!I1921</f>
        <v/>
      </c>
      <c r="H1923" s="31">
        <f>CHAIN_RAW!Q1921</f>
        <v/>
      </c>
      <c r="I1923" s="31">
        <f>LET(pc,F1923,oc,H1923,IF(OR(pc="",oc=""),"",IF(AND(pc&gt;0,oc&gt;0),"Long Buildup",IF(AND(pc&lt;0,oc&gt;0),"Short Buildup",IF(AND(pc&gt;0,oc&lt;0),"Short Covering",IF(AND(pc&lt;0,oc&lt;0),"Long Unwinding","Flat"))))))</f>
        <v/>
      </c>
      <c r="J1923" s="31">
        <f>LET(pc,ABS(F1923),oc,ABS(H1923),IF(OR(pc="",oc=""),"",MAX(1,MIN(5,ROUND((pc*0.5+oc*0.00001)*5,0))))))</f>
        <v/>
      </c>
    </row>
    <row r="1924">
      <c r="A1924" s="31" t="n">
        <v>1922</v>
      </c>
      <c r="B1924" s="31">
        <f>CHAIN_RAW!D1922</f>
        <v/>
      </c>
      <c r="C1924" s="31">
        <f>CHAIN_RAW!A1922</f>
        <v/>
      </c>
      <c r="D1924" s="31">
        <f>CHAIN_RAW!C1922</f>
        <v/>
      </c>
      <c r="E1924" s="31">
        <f>CHAIN_RAW!E1922</f>
        <v/>
      </c>
      <c r="F1924" s="31">
        <f>CHAIN_RAW!F1922</f>
        <v/>
      </c>
      <c r="G1924" s="31">
        <f>CHAIN_RAW!I1922</f>
        <v/>
      </c>
      <c r="H1924" s="31">
        <f>CHAIN_RAW!Q1922</f>
        <v/>
      </c>
      <c r="I1924" s="31">
        <f>LET(pc,F1924,oc,H1924,IF(OR(pc="",oc=""),"",IF(AND(pc&gt;0,oc&gt;0),"Long Buildup",IF(AND(pc&lt;0,oc&gt;0),"Short Buildup",IF(AND(pc&gt;0,oc&lt;0),"Short Covering",IF(AND(pc&lt;0,oc&lt;0),"Long Unwinding","Flat"))))))</f>
        <v/>
      </c>
      <c r="J1924" s="31">
        <f>LET(pc,ABS(F1924),oc,ABS(H1924),IF(OR(pc="",oc=""),"",MAX(1,MIN(5,ROUND((pc*0.5+oc*0.00001)*5,0))))))</f>
        <v/>
      </c>
    </row>
    <row r="1925">
      <c r="A1925" s="31" t="n">
        <v>1923</v>
      </c>
      <c r="B1925" s="31">
        <f>CHAIN_RAW!D1923</f>
        <v/>
      </c>
      <c r="C1925" s="31">
        <f>CHAIN_RAW!A1923</f>
        <v/>
      </c>
      <c r="D1925" s="31">
        <f>CHAIN_RAW!C1923</f>
        <v/>
      </c>
      <c r="E1925" s="31">
        <f>CHAIN_RAW!E1923</f>
        <v/>
      </c>
      <c r="F1925" s="31">
        <f>CHAIN_RAW!F1923</f>
        <v/>
      </c>
      <c r="G1925" s="31">
        <f>CHAIN_RAW!I1923</f>
        <v/>
      </c>
      <c r="H1925" s="31">
        <f>CHAIN_RAW!Q1923</f>
        <v/>
      </c>
      <c r="I1925" s="31">
        <f>LET(pc,F1925,oc,H1925,IF(OR(pc="",oc=""),"",IF(AND(pc&gt;0,oc&gt;0),"Long Buildup",IF(AND(pc&lt;0,oc&gt;0),"Short Buildup",IF(AND(pc&gt;0,oc&lt;0),"Short Covering",IF(AND(pc&lt;0,oc&lt;0),"Long Unwinding","Flat"))))))</f>
        <v/>
      </c>
      <c r="J1925" s="31">
        <f>LET(pc,ABS(F1925),oc,ABS(H1925),IF(OR(pc="",oc=""),"",MAX(1,MIN(5,ROUND((pc*0.5+oc*0.00001)*5,0))))))</f>
        <v/>
      </c>
    </row>
    <row r="1926">
      <c r="A1926" s="31" t="n">
        <v>1924</v>
      </c>
      <c r="B1926" s="31">
        <f>CHAIN_RAW!D1924</f>
        <v/>
      </c>
      <c r="C1926" s="31">
        <f>CHAIN_RAW!A1924</f>
        <v/>
      </c>
      <c r="D1926" s="31">
        <f>CHAIN_RAW!C1924</f>
        <v/>
      </c>
      <c r="E1926" s="31">
        <f>CHAIN_RAW!E1924</f>
        <v/>
      </c>
      <c r="F1926" s="31">
        <f>CHAIN_RAW!F1924</f>
        <v/>
      </c>
      <c r="G1926" s="31">
        <f>CHAIN_RAW!I1924</f>
        <v/>
      </c>
      <c r="H1926" s="31">
        <f>CHAIN_RAW!Q1924</f>
        <v/>
      </c>
      <c r="I1926" s="31">
        <f>LET(pc,F1926,oc,H1926,IF(OR(pc="",oc=""),"",IF(AND(pc&gt;0,oc&gt;0),"Long Buildup",IF(AND(pc&lt;0,oc&gt;0),"Short Buildup",IF(AND(pc&gt;0,oc&lt;0),"Short Covering",IF(AND(pc&lt;0,oc&lt;0),"Long Unwinding","Flat"))))))</f>
        <v/>
      </c>
      <c r="J1926" s="31">
        <f>LET(pc,ABS(F1926),oc,ABS(H1926),IF(OR(pc="",oc=""),"",MAX(1,MIN(5,ROUND((pc*0.5+oc*0.00001)*5,0))))))</f>
        <v/>
      </c>
    </row>
    <row r="1927">
      <c r="A1927" s="31" t="n">
        <v>1925</v>
      </c>
      <c r="B1927" s="31">
        <f>CHAIN_RAW!D1925</f>
        <v/>
      </c>
      <c r="C1927" s="31">
        <f>CHAIN_RAW!A1925</f>
        <v/>
      </c>
      <c r="D1927" s="31">
        <f>CHAIN_RAW!C1925</f>
        <v/>
      </c>
      <c r="E1927" s="31">
        <f>CHAIN_RAW!E1925</f>
        <v/>
      </c>
      <c r="F1927" s="31">
        <f>CHAIN_RAW!F1925</f>
        <v/>
      </c>
      <c r="G1927" s="31">
        <f>CHAIN_RAW!I1925</f>
        <v/>
      </c>
      <c r="H1927" s="31">
        <f>CHAIN_RAW!Q1925</f>
        <v/>
      </c>
      <c r="I1927" s="31">
        <f>LET(pc,F1927,oc,H1927,IF(OR(pc="",oc=""),"",IF(AND(pc&gt;0,oc&gt;0),"Long Buildup",IF(AND(pc&lt;0,oc&gt;0),"Short Buildup",IF(AND(pc&gt;0,oc&lt;0),"Short Covering",IF(AND(pc&lt;0,oc&lt;0),"Long Unwinding","Flat"))))))</f>
        <v/>
      </c>
      <c r="J1927" s="31">
        <f>LET(pc,ABS(F1927),oc,ABS(H1927),IF(OR(pc="",oc=""),"",MAX(1,MIN(5,ROUND((pc*0.5+oc*0.00001)*5,0))))))</f>
        <v/>
      </c>
    </row>
    <row r="1928">
      <c r="A1928" s="31" t="n">
        <v>1926</v>
      </c>
      <c r="B1928" s="31">
        <f>CHAIN_RAW!D1926</f>
        <v/>
      </c>
      <c r="C1928" s="31">
        <f>CHAIN_RAW!A1926</f>
        <v/>
      </c>
      <c r="D1928" s="31">
        <f>CHAIN_RAW!C1926</f>
        <v/>
      </c>
      <c r="E1928" s="31">
        <f>CHAIN_RAW!E1926</f>
        <v/>
      </c>
      <c r="F1928" s="31">
        <f>CHAIN_RAW!F1926</f>
        <v/>
      </c>
      <c r="G1928" s="31">
        <f>CHAIN_RAW!I1926</f>
        <v/>
      </c>
      <c r="H1928" s="31">
        <f>CHAIN_RAW!Q1926</f>
        <v/>
      </c>
      <c r="I1928" s="31">
        <f>LET(pc,F1928,oc,H1928,IF(OR(pc="",oc=""),"",IF(AND(pc&gt;0,oc&gt;0),"Long Buildup",IF(AND(pc&lt;0,oc&gt;0),"Short Buildup",IF(AND(pc&gt;0,oc&lt;0),"Short Covering",IF(AND(pc&lt;0,oc&lt;0),"Long Unwinding","Flat"))))))</f>
        <v/>
      </c>
      <c r="J1928" s="31">
        <f>LET(pc,ABS(F1928),oc,ABS(H1928),IF(OR(pc="",oc=""),"",MAX(1,MIN(5,ROUND((pc*0.5+oc*0.00001)*5,0))))))</f>
        <v/>
      </c>
    </row>
    <row r="1929">
      <c r="A1929" s="31" t="n">
        <v>1927</v>
      </c>
      <c r="B1929" s="31">
        <f>CHAIN_RAW!D1927</f>
        <v/>
      </c>
      <c r="C1929" s="31">
        <f>CHAIN_RAW!A1927</f>
        <v/>
      </c>
      <c r="D1929" s="31">
        <f>CHAIN_RAW!C1927</f>
        <v/>
      </c>
      <c r="E1929" s="31">
        <f>CHAIN_RAW!E1927</f>
        <v/>
      </c>
      <c r="F1929" s="31">
        <f>CHAIN_RAW!F1927</f>
        <v/>
      </c>
      <c r="G1929" s="31">
        <f>CHAIN_RAW!I1927</f>
        <v/>
      </c>
      <c r="H1929" s="31">
        <f>CHAIN_RAW!Q1927</f>
        <v/>
      </c>
      <c r="I1929" s="31">
        <f>LET(pc,F1929,oc,H1929,IF(OR(pc="",oc=""),"",IF(AND(pc&gt;0,oc&gt;0),"Long Buildup",IF(AND(pc&lt;0,oc&gt;0),"Short Buildup",IF(AND(pc&gt;0,oc&lt;0),"Short Covering",IF(AND(pc&lt;0,oc&lt;0),"Long Unwinding","Flat"))))))</f>
        <v/>
      </c>
      <c r="J1929" s="31">
        <f>LET(pc,ABS(F1929),oc,ABS(H1929),IF(OR(pc="",oc=""),"",MAX(1,MIN(5,ROUND((pc*0.5+oc*0.00001)*5,0))))))</f>
        <v/>
      </c>
    </row>
    <row r="1930">
      <c r="A1930" s="31" t="n">
        <v>1928</v>
      </c>
      <c r="B1930" s="31">
        <f>CHAIN_RAW!D1928</f>
        <v/>
      </c>
      <c r="C1930" s="31">
        <f>CHAIN_RAW!A1928</f>
        <v/>
      </c>
      <c r="D1930" s="31">
        <f>CHAIN_RAW!C1928</f>
        <v/>
      </c>
      <c r="E1930" s="31">
        <f>CHAIN_RAW!E1928</f>
        <v/>
      </c>
      <c r="F1930" s="31">
        <f>CHAIN_RAW!F1928</f>
        <v/>
      </c>
      <c r="G1930" s="31">
        <f>CHAIN_RAW!I1928</f>
        <v/>
      </c>
      <c r="H1930" s="31">
        <f>CHAIN_RAW!Q1928</f>
        <v/>
      </c>
      <c r="I1930" s="31">
        <f>LET(pc,F1930,oc,H1930,IF(OR(pc="",oc=""),"",IF(AND(pc&gt;0,oc&gt;0),"Long Buildup",IF(AND(pc&lt;0,oc&gt;0),"Short Buildup",IF(AND(pc&gt;0,oc&lt;0),"Short Covering",IF(AND(pc&lt;0,oc&lt;0),"Long Unwinding","Flat"))))))</f>
        <v/>
      </c>
      <c r="J1930" s="31">
        <f>LET(pc,ABS(F1930),oc,ABS(H1930),IF(OR(pc="",oc=""),"",MAX(1,MIN(5,ROUND((pc*0.5+oc*0.00001)*5,0))))))</f>
        <v/>
      </c>
    </row>
    <row r="1931">
      <c r="A1931" s="31" t="n">
        <v>1929</v>
      </c>
      <c r="B1931" s="31">
        <f>CHAIN_RAW!D1929</f>
        <v/>
      </c>
      <c r="C1931" s="31">
        <f>CHAIN_RAW!A1929</f>
        <v/>
      </c>
      <c r="D1931" s="31">
        <f>CHAIN_RAW!C1929</f>
        <v/>
      </c>
      <c r="E1931" s="31">
        <f>CHAIN_RAW!E1929</f>
        <v/>
      </c>
      <c r="F1931" s="31">
        <f>CHAIN_RAW!F1929</f>
        <v/>
      </c>
      <c r="G1931" s="31">
        <f>CHAIN_RAW!I1929</f>
        <v/>
      </c>
      <c r="H1931" s="31">
        <f>CHAIN_RAW!Q1929</f>
        <v/>
      </c>
      <c r="I1931" s="31">
        <f>LET(pc,F1931,oc,H1931,IF(OR(pc="",oc=""),"",IF(AND(pc&gt;0,oc&gt;0),"Long Buildup",IF(AND(pc&lt;0,oc&gt;0),"Short Buildup",IF(AND(pc&gt;0,oc&lt;0),"Short Covering",IF(AND(pc&lt;0,oc&lt;0),"Long Unwinding","Flat"))))))</f>
        <v/>
      </c>
      <c r="J1931" s="31">
        <f>LET(pc,ABS(F1931),oc,ABS(H1931),IF(OR(pc="",oc=""),"",MAX(1,MIN(5,ROUND((pc*0.5+oc*0.00001)*5,0))))))</f>
        <v/>
      </c>
    </row>
    <row r="1932">
      <c r="A1932" s="31" t="n">
        <v>1930</v>
      </c>
      <c r="B1932" s="31">
        <f>CHAIN_RAW!D1930</f>
        <v/>
      </c>
      <c r="C1932" s="31">
        <f>CHAIN_RAW!A1930</f>
        <v/>
      </c>
      <c r="D1932" s="31">
        <f>CHAIN_RAW!C1930</f>
        <v/>
      </c>
      <c r="E1932" s="31">
        <f>CHAIN_RAW!E1930</f>
        <v/>
      </c>
      <c r="F1932" s="31">
        <f>CHAIN_RAW!F1930</f>
        <v/>
      </c>
      <c r="G1932" s="31">
        <f>CHAIN_RAW!I1930</f>
        <v/>
      </c>
      <c r="H1932" s="31">
        <f>CHAIN_RAW!Q1930</f>
        <v/>
      </c>
      <c r="I1932" s="31">
        <f>LET(pc,F1932,oc,H1932,IF(OR(pc="",oc=""),"",IF(AND(pc&gt;0,oc&gt;0),"Long Buildup",IF(AND(pc&lt;0,oc&gt;0),"Short Buildup",IF(AND(pc&gt;0,oc&lt;0),"Short Covering",IF(AND(pc&lt;0,oc&lt;0),"Long Unwinding","Flat"))))))</f>
        <v/>
      </c>
      <c r="J1932" s="31">
        <f>LET(pc,ABS(F1932),oc,ABS(H1932),IF(OR(pc="",oc=""),"",MAX(1,MIN(5,ROUND((pc*0.5+oc*0.00001)*5,0))))))</f>
        <v/>
      </c>
    </row>
    <row r="1933">
      <c r="A1933" s="31" t="n">
        <v>1931</v>
      </c>
      <c r="B1933" s="31">
        <f>CHAIN_RAW!D1931</f>
        <v/>
      </c>
      <c r="C1933" s="31">
        <f>CHAIN_RAW!A1931</f>
        <v/>
      </c>
      <c r="D1933" s="31">
        <f>CHAIN_RAW!C1931</f>
        <v/>
      </c>
      <c r="E1933" s="31">
        <f>CHAIN_RAW!E1931</f>
        <v/>
      </c>
      <c r="F1933" s="31">
        <f>CHAIN_RAW!F1931</f>
        <v/>
      </c>
      <c r="G1933" s="31">
        <f>CHAIN_RAW!I1931</f>
        <v/>
      </c>
      <c r="H1933" s="31">
        <f>CHAIN_RAW!Q1931</f>
        <v/>
      </c>
      <c r="I1933" s="31">
        <f>LET(pc,F1933,oc,H1933,IF(OR(pc="",oc=""),"",IF(AND(pc&gt;0,oc&gt;0),"Long Buildup",IF(AND(pc&lt;0,oc&gt;0),"Short Buildup",IF(AND(pc&gt;0,oc&lt;0),"Short Covering",IF(AND(pc&lt;0,oc&lt;0),"Long Unwinding","Flat"))))))</f>
        <v/>
      </c>
      <c r="J1933" s="31">
        <f>LET(pc,ABS(F1933),oc,ABS(H1933),IF(OR(pc="",oc=""),"",MAX(1,MIN(5,ROUND((pc*0.5+oc*0.00001)*5,0))))))</f>
        <v/>
      </c>
    </row>
    <row r="1934">
      <c r="A1934" s="31" t="n">
        <v>1932</v>
      </c>
      <c r="B1934" s="31">
        <f>CHAIN_RAW!D1932</f>
        <v/>
      </c>
      <c r="C1934" s="31">
        <f>CHAIN_RAW!A1932</f>
        <v/>
      </c>
      <c r="D1934" s="31">
        <f>CHAIN_RAW!C1932</f>
        <v/>
      </c>
      <c r="E1934" s="31">
        <f>CHAIN_RAW!E1932</f>
        <v/>
      </c>
      <c r="F1934" s="31">
        <f>CHAIN_RAW!F1932</f>
        <v/>
      </c>
      <c r="G1934" s="31">
        <f>CHAIN_RAW!I1932</f>
        <v/>
      </c>
      <c r="H1934" s="31">
        <f>CHAIN_RAW!Q1932</f>
        <v/>
      </c>
      <c r="I1934" s="31">
        <f>LET(pc,F1934,oc,H1934,IF(OR(pc="",oc=""),"",IF(AND(pc&gt;0,oc&gt;0),"Long Buildup",IF(AND(pc&lt;0,oc&gt;0),"Short Buildup",IF(AND(pc&gt;0,oc&lt;0),"Short Covering",IF(AND(pc&lt;0,oc&lt;0),"Long Unwinding","Flat"))))))</f>
        <v/>
      </c>
      <c r="J1934" s="31">
        <f>LET(pc,ABS(F1934),oc,ABS(H1934),IF(OR(pc="",oc=""),"",MAX(1,MIN(5,ROUND((pc*0.5+oc*0.00001)*5,0))))))</f>
        <v/>
      </c>
    </row>
    <row r="1935">
      <c r="A1935" s="31" t="n">
        <v>1933</v>
      </c>
      <c r="B1935" s="31">
        <f>CHAIN_RAW!D1933</f>
        <v/>
      </c>
      <c r="C1935" s="31">
        <f>CHAIN_RAW!A1933</f>
        <v/>
      </c>
      <c r="D1935" s="31">
        <f>CHAIN_RAW!C1933</f>
        <v/>
      </c>
      <c r="E1935" s="31">
        <f>CHAIN_RAW!E1933</f>
        <v/>
      </c>
      <c r="F1935" s="31">
        <f>CHAIN_RAW!F1933</f>
        <v/>
      </c>
      <c r="G1935" s="31">
        <f>CHAIN_RAW!I1933</f>
        <v/>
      </c>
      <c r="H1935" s="31">
        <f>CHAIN_RAW!Q1933</f>
        <v/>
      </c>
      <c r="I1935" s="31">
        <f>LET(pc,F1935,oc,H1935,IF(OR(pc="",oc=""),"",IF(AND(pc&gt;0,oc&gt;0),"Long Buildup",IF(AND(pc&lt;0,oc&gt;0),"Short Buildup",IF(AND(pc&gt;0,oc&lt;0),"Short Covering",IF(AND(pc&lt;0,oc&lt;0),"Long Unwinding","Flat"))))))</f>
        <v/>
      </c>
      <c r="J1935" s="31">
        <f>LET(pc,ABS(F1935),oc,ABS(H1935),IF(OR(pc="",oc=""),"",MAX(1,MIN(5,ROUND((pc*0.5+oc*0.00001)*5,0))))))</f>
        <v/>
      </c>
    </row>
    <row r="1936">
      <c r="A1936" s="31" t="n">
        <v>1934</v>
      </c>
      <c r="B1936" s="31">
        <f>CHAIN_RAW!D1934</f>
        <v/>
      </c>
      <c r="C1936" s="31">
        <f>CHAIN_RAW!A1934</f>
        <v/>
      </c>
      <c r="D1936" s="31">
        <f>CHAIN_RAW!C1934</f>
        <v/>
      </c>
      <c r="E1936" s="31">
        <f>CHAIN_RAW!E1934</f>
        <v/>
      </c>
      <c r="F1936" s="31">
        <f>CHAIN_RAW!F1934</f>
        <v/>
      </c>
      <c r="G1936" s="31">
        <f>CHAIN_RAW!I1934</f>
        <v/>
      </c>
      <c r="H1936" s="31">
        <f>CHAIN_RAW!Q1934</f>
        <v/>
      </c>
      <c r="I1936" s="31">
        <f>LET(pc,F1936,oc,H1936,IF(OR(pc="",oc=""),"",IF(AND(pc&gt;0,oc&gt;0),"Long Buildup",IF(AND(pc&lt;0,oc&gt;0),"Short Buildup",IF(AND(pc&gt;0,oc&lt;0),"Short Covering",IF(AND(pc&lt;0,oc&lt;0),"Long Unwinding","Flat"))))))</f>
        <v/>
      </c>
      <c r="J1936" s="31">
        <f>LET(pc,ABS(F1936),oc,ABS(H1936),IF(OR(pc="",oc=""),"",MAX(1,MIN(5,ROUND((pc*0.5+oc*0.00001)*5,0))))))</f>
        <v/>
      </c>
    </row>
    <row r="1937">
      <c r="A1937" s="31" t="n">
        <v>1935</v>
      </c>
      <c r="B1937" s="31">
        <f>CHAIN_RAW!D1935</f>
        <v/>
      </c>
      <c r="C1937" s="31">
        <f>CHAIN_RAW!A1935</f>
        <v/>
      </c>
      <c r="D1937" s="31">
        <f>CHAIN_RAW!C1935</f>
        <v/>
      </c>
      <c r="E1937" s="31">
        <f>CHAIN_RAW!E1935</f>
        <v/>
      </c>
      <c r="F1937" s="31">
        <f>CHAIN_RAW!F1935</f>
        <v/>
      </c>
      <c r="G1937" s="31">
        <f>CHAIN_RAW!I1935</f>
        <v/>
      </c>
      <c r="H1937" s="31">
        <f>CHAIN_RAW!Q1935</f>
        <v/>
      </c>
      <c r="I1937" s="31">
        <f>LET(pc,F1937,oc,H1937,IF(OR(pc="",oc=""),"",IF(AND(pc&gt;0,oc&gt;0),"Long Buildup",IF(AND(pc&lt;0,oc&gt;0),"Short Buildup",IF(AND(pc&gt;0,oc&lt;0),"Short Covering",IF(AND(pc&lt;0,oc&lt;0),"Long Unwinding","Flat"))))))</f>
        <v/>
      </c>
      <c r="J1937" s="31">
        <f>LET(pc,ABS(F1937),oc,ABS(H1937),IF(OR(pc="",oc=""),"",MAX(1,MIN(5,ROUND((pc*0.5+oc*0.00001)*5,0))))))</f>
        <v/>
      </c>
    </row>
    <row r="1938">
      <c r="A1938" s="31" t="n">
        <v>1936</v>
      </c>
      <c r="B1938" s="31">
        <f>CHAIN_RAW!D1936</f>
        <v/>
      </c>
      <c r="C1938" s="31">
        <f>CHAIN_RAW!A1936</f>
        <v/>
      </c>
      <c r="D1938" s="31">
        <f>CHAIN_RAW!C1936</f>
        <v/>
      </c>
      <c r="E1938" s="31">
        <f>CHAIN_RAW!E1936</f>
        <v/>
      </c>
      <c r="F1938" s="31">
        <f>CHAIN_RAW!F1936</f>
        <v/>
      </c>
      <c r="G1938" s="31">
        <f>CHAIN_RAW!I1936</f>
        <v/>
      </c>
      <c r="H1938" s="31">
        <f>CHAIN_RAW!Q1936</f>
        <v/>
      </c>
      <c r="I1938" s="31">
        <f>LET(pc,F1938,oc,H1938,IF(OR(pc="",oc=""),"",IF(AND(pc&gt;0,oc&gt;0),"Long Buildup",IF(AND(pc&lt;0,oc&gt;0),"Short Buildup",IF(AND(pc&gt;0,oc&lt;0),"Short Covering",IF(AND(pc&lt;0,oc&lt;0),"Long Unwinding","Flat"))))))</f>
        <v/>
      </c>
      <c r="J1938" s="31">
        <f>LET(pc,ABS(F1938),oc,ABS(H1938),IF(OR(pc="",oc=""),"",MAX(1,MIN(5,ROUND((pc*0.5+oc*0.00001)*5,0))))))</f>
        <v/>
      </c>
    </row>
    <row r="1939">
      <c r="A1939" s="31" t="n">
        <v>1937</v>
      </c>
      <c r="B1939" s="31">
        <f>CHAIN_RAW!D1937</f>
        <v/>
      </c>
      <c r="C1939" s="31">
        <f>CHAIN_RAW!A1937</f>
        <v/>
      </c>
      <c r="D1939" s="31">
        <f>CHAIN_RAW!C1937</f>
        <v/>
      </c>
      <c r="E1939" s="31">
        <f>CHAIN_RAW!E1937</f>
        <v/>
      </c>
      <c r="F1939" s="31">
        <f>CHAIN_RAW!F1937</f>
        <v/>
      </c>
      <c r="G1939" s="31">
        <f>CHAIN_RAW!I1937</f>
        <v/>
      </c>
      <c r="H1939" s="31">
        <f>CHAIN_RAW!Q1937</f>
        <v/>
      </c>
      <c r="I1939" s="31">
        <f>LET(pc,F1939,oc,H1939,IF(OR(pc="",oc=""),"",IF(AND(pc&gt;0,oc&gt;0),"Long Buildup",IF(AND(pc&lt;0,oc&gt;0),"Short Buildup",IF(AND(pc&gt;0,oc&lt;0),"Short Covering",IF(AND(pc&lt;0,oc&lt;0),"Long Unwinding","Flat"))))))</f>
        <v/>
      </c>
      <c r="J1939" s="31">
        <f>LET(pc,ABS(F1939),oc,ABS(H1939),IF(OR(pc="",oc=""),"",MAX(1,MIN(5,ROUND((pc*0.5+oc*0.00001)*5,0))))))</f>
        <v/>
      </c>
    </row>
    <row r="1940">
      <c r="A1940" s="31" t="n">
        <v>1938</v>
      </c>
      <c r="B1940" s="31">
        <f>CHAIN_RAW!D1938</f>
        <v/>
      </c>
      <c r="C1940" s="31">
        <f>CHAIN_RAW!A1938</f>
        <v/>
      </c>
      <c r="D1940" s="31">
        <f>CHAIN_RAW!C1938</f>
        <v/>
      </c>
      <c r="E1940" s="31">
        <f>CHAIN_RAW!E1938</f>
        <v/>
      </c>
      <c r="F1940" s="31">
        <f>CHAIN_RAW!F1938</f>
        <v/>
      </c>
      <c r="G1940" s="31">
        <f>CHAIN_RAW!I1938</f>
        <v/>
      </c>
      <c r="H1940" s="31">
        <f>CHAIN_RAW!Q1938</f>
        <v/>
      </c>
      <c r="I1940" s="31">
        <f>LET(pc,F1940,oc,H1940,IF(OR(pc="",oc=""),"",IF(AND(pc&gt;0,oc&gt;0),"Long Buildup",IF(AND(pc&lt;0,oc&gt;0),"Short Buildup",IF(AND(pc&gt;0,oc&lt;0),"Short Covering",IF(AND(pc&lt;0,oc&lt;0),"Long Unwinding","Flat"))))))</f>
        <v/>
      </c>
      <c r="J1940" s="31">
        <f>LET(pc,ABS(F1940),oc,ABS(H1940),IF(OR(pc="",oc=""),"",MAX(1,MIN(5,ROUND((pc*0.5+oc*0.00001)*5,0))))))</f>
        <v/>
      </c>
    </row>
    <row r="1941">
      <c r="A1941" s="31" t="n">
        <v>1939</v>
      </c>
      <c r="B1941" s="31">
        <f>CHAIN_RAW!D1939</f>
        <v/>
      </c>
      <c r="C1941" s="31">
        <f>CHAIN_RAW!A1939</f>
        <v/>
      </c>
      <c r="D1941" s="31">
        <f>CHAIN_RAW!C1939</f>
        <v/>
      </c>
      <c r="E1941" s="31">
        <f>CHAIN_RAW!E1939</f>
        <v/>
      </c>
      <c r="F1941" s="31">
        <f>CHAIN_RAW!F1939</f>
        <v/>
      </c>
      <c r="G1941" s="31">
        <f>CHAIN_RAW!I1939</f>
        <v/>
      </c>
      <c r="H1941" s="31">
        <f>CHAIN_RAW!Q1939</f>
        <v/>
      </c>
      <c r="I1941" s="31">
        <f>LET(pc,F1941,oc,H1941,IF(OR(pc="",oc=""),"",IF(AND(pc&gt;0,oc&gt;0),"Long Buildup",IF(AND(pc&lt;0,oc&gt;0),"Short Buildup",IF(AND(pc&gt;0,oc&lt;0),"Short Covering",IF(AND(pc&lt;0,oc&lt;0),"Long Unwinding","Flat"))))))</f>
        <v/>
      </c>
      <c r="J1941" s="31">
        <f>LET(pc,ABS(F1941),oc,ABS(H1941),IF(OR(pc="",oc=""),"",MAX(1,MIN(5,ROUND((pc*0.5+oc*0.00001)*5,0))))))</f>
        <v/>
      </c>
    </row>
    <row r="1942">
      <c r="A1942" s="31" t="n">
        <v>1940</v>
      </c>
      <c r="B1942" s="31">
        <f>CHAIN_RAW!D1940</f>
        <v/>
      </c>
      <c r="C1942" s="31">
        <f>CHAIN_RAW!A1940</f>
        <v/>
      </c>
      <c r="D1942" s="31">
        <f>CHAIN_RAW!C1940</f>
        <v/>
      </c>
      <c r="E1942" s="31">
        <f>CHAIN_RAW!E1940</f>
        <v/>
      </c>
      <c r="F1942" s="31">
        <f>CHAIN_RAW!F1940</f>
        <v/>
      </c>
      <c r="G1942" s="31">
        <f>CHAIN_RAW!I1940</f>
        <v/>
      </c>
      <c r="H1942" s="31">
        <f>CHAIN_RAW!Q1940</f>
        <v/>
      </c>
      <c r="I1942" s="31">
        <f>LET(pc,F1942,oc,H1942,IF(OR(pc="",oc=""),"",IF(AND(pc&gt;0,oc&gt;0),"Long Buildup",IF(AND(pc&lt;0,oc&gt;0),"Short Buildup",IF(AND(pc&gt;0,oc&lt;0),"Short Covering",IF(AND(pc&lt;0,oc&lt;0),"Long Unwinding","Flat"))))))</f>
        <v/>
      </c>
      <c r="J1942" s="31">
        <f>LET(pc,ABS(F1942),oc,ABS(H1942),IF(OR(pc="",oc=""),"",MAX(1,MIN(5,ROUND((pc*0.5+oc*0.00001)*5,0))))))</f>
        <v/>
      </c>
    </row>
    <row r="1943">
      <c r="A1943" s="31" t="n">
        <v>1941</v>
      </c>
      <c r="B1943" s="31">
        <f>CHAIN_RAW!D1941</f>
        <v/>
      </c>
      <c r="C1943" s="31">
        <f>CHAIN_RAW!A1941</f>
        <v/>
      </c>
      <c r="D1943" s="31">
        <f>CHAIN_RAW!C1941</f>
        <v/>
      </c>
      <c r="E1943" s="31">
        <f>CHAIN_RAW!E1941</f>
        <v/>
      </c>
      <c r="F1943" s="31">
        <f>CHAIN_RAW!F1941</f>
        <v/>
      </c>
      <c r="G1943" s="31">
        <f>CHAIN_RAW!I1941</f>
        <v/>
      </c>
      <c r="H1943" s="31">
        <f>CHAIN_RAW!Q1941</f>
        <v/>
      </c>
      <c r="I1943" s="31">
        <f>LET(pc,F1943,oc,H1943,IF(OR(pc="",oc=""),"",IF(AND(pc&gt;0,oc&gt;0),"Long Buildup",IF(AND(pc&lt;0,oc&gt;0),"Short Buildup",IF(AND(pc&gt;0,oc&lt;0),"Short Covering",IF(AND(pc&lt;0,oc&lt;0),"Long Unwinding","Flat"))))))</f>
        <v/>
      </c>
      <c r="J1943" s="31">
        <f>LET(pc,ABS(F1943),oc,ABS(H1943),IF(OR(pc="",oc=""),"",MAX(1,MIN(5,ROUND((pc*0.5+oc*0.00001)*5,0))))))</f>
        <v/>
      </c>
    </row>
    <row r="1944">
      <c r="A1944" s="31" t="n">
        <v>1942</v>
      </c>
      <c r="B1944" s="31">
        <f>CHAIN_RAW!D1942</f>
        <v/>
      </c>
      <c r="C1944" s="31">
        <f>CHAIN_RAW!A1942</f>
        <v/>
      </c>
      <c r="D1944" s="31">
        <f>CHAIN_RAW!C1942</f>
        <v/>
      </c>
      <c r="E1944" s="31">
        <f>CHAIN_RAW!E1942</f>
        <v/>
      </c>
      <c r="F1944" s="31">
        <f>CHAIN_RAW!F1942</f>
        <v/>
      </c>
      <c r="G1944" s="31">
        <f>CHAIN_RAW!I1942</f>
        <v/>
      </c>
      <c r="H1944" s="31">
        <f>CHAIN_RAW!Q1942</f>
        <v/>
      </c>
      <c r="I1944" s="31">
        <f>LET(pc,F1944,oc,H1944,IF(OR(pc="",oc=""),"",IF(AND(pc&gt;0,oc&gt;0),"Long Buildup",IF(AND(pc&lt;0,oc&gt;0),"Short Buildup",IF(AND(pc&gt;0,oc&lt;0),"Short Covering",IF(AND(pc&lt;0,oc&lt;0),"Long Unwinding","Flat"))))))</f>
        <v/>
      </c>
      <c r="J1944" s="31">
        <f>LET(pc,ABS(F1944),oc,ABS(H1944),IF(OR(pc="",oc=""),"",MAX(1,MIN(5,ROUND((pc*0.5+oc*0.00001)*5,0))))))</f>
        <v/>
      </c>
    </row>
    <row r="1945">
      <c r="A1945" s="31" t="n">
        <v>1943</v>
      </c>
      <c r="B1945" s="31">
        <f>CHAIN_RAW!D1943</f>
        <v/>
      </c>
      <c r="C1945" s="31">
        <f>CHAIN_RAW!A1943</f>
        <v/>
      </c>
      <c r="D1945" s="31">
        <f>CHAIN_RAW!C1943</f>
        <v/>
      </c>
      <c r="E1945" s="31">
        <f>CHAIN_RAW!E1943</f>
        <v/>
      </c>
      <c r="F1945" s="31">
        <f>CHAIN_RAW!F1943</f>
        <v/>
      </c>
      <c r="G1945" s="31">
        <f>CHAIN_RAW!I1943</f>
        <v/>
      </c>
      <c r="H1945" s="31">
        <f>CHAIN_RAW!Q1943</f>
        <v/>
      </c>
      <c r="I1945" s="31">
        <f>LET(pc,F1945,oc,H1945,IF(OR(pc="",oc=""),"",IF(AND(pc&gt;0,oc&gt;0),"Long Buildup",IF(AND(pc&lt;0,oc&gt;0),"Short Buildup",IF(AND(pc&gt;0,oc&lt;0),"Short Covering",IF(AND(pc&lt;0,oc&lt;0),"Long Unwinding","Flat"))))))</f>
        <v/>
      </c>
      <c r="J1945" s="31">
        <f>LET(pc,ABS(F1945),oc,ABS(H1945),IF(OR(pc="",oc=""),"",MAX(1,MIN(5,ROUND((pc*0.5+oc*0.00001)*5,0))))))</f>
        <v/>
      </c>
    </row>
    <row r="1946">
      <c r="A1946" s="31" t="n">
        <v>1944</v>
      </c>
      <c r="B1946" s="31">
        <f>CHAIN_RAW!D1944</f>
        <v/>
      </c>
      <c r="C1946" s="31">
        <f>CHAIN_RAW!A1944</f>
        <v/>
      </c>
      <c r="D1946" s="31">
        <f>CHAIN_RAW!C1944</f>
        <v/>
      </c>
      <c r="E1946" s="31">
        <f>CHAIN_RAW!E1944</f>
        <v/>
      </c>
      <c r="F1946" s="31">
        <f>CHAIN_RAW!F1944</f>
        <v/>
      </c>
      <c r="G1946" s="31">
        <f>CHAIN_RAW!I1944</f>
        <v/>
      </c>
      <c r="H1946" s="31">
        <f>CHAIN_RAW!Q1944</f>
        <v/>
      </c>
      <c r="I1946" s="31">
        <f>LET(pc,F1946,oc,H1946,IF(OR(pc="",oc=""),"",IF(AND(pc&gt;0,oc&gt;0),"Long Buildup",IF(AND(pc&lt;0,oc&gt;0),"Short Buildup",IF(AND(pc&gt;0,oc&lt;0),"Short Covering",IF(AND(pc&lt;0,oc&lt;0),"Long Unwinding","Flat"))))))</f>
        <v/>
      </c>
      <c r="J1946" s="31">
        <f>LET(pc,ABS(F1946),oc,ABS(H1946),IF(OR(pc="",oc=""),"",MAX(1,MIN(5,ROUND((pc*0.5+oc*0.00001)*5,0))))))</f>
        <v/>
      </c>
    </row>
    <row r="1947">
      <c r="A1947" s="31" t="n">
        <v>1945</v>
      </c>
      <c r="B1947" s="31">
        <f>CHAIN_RAW!D1945</f>
        <v/>
      </c>
      <c r="C1947" s="31">
        <f>CHAIN_RAW!A1945</f>
        <v/>
      </c>
      <c r="D1947" s="31">
        <f>CHAIN_RAW!C1945</f>
        <v/>
      </c>
      <c r="E1947" s="31">
        <f>CHAIN_RAW!E1945</f>
        <v/>
      </c>
      <c r="F1947" s="31">
        <f>CHAIN_RAW!F1945</f>
        <v/>
      </c>
      <c r="G1947" s="31">
        <f>CHAIN_RAW!I1945</f>
        <v/>
      </c>
      <c r="H1947" s="31">
        <f>CHAIN_RAW!Q1945</f>
        <v/>
      </c>
      <c r="I1947" s="31">
        <f>LET(pc,F1947,oc,H1947,IF(OR(pc="",oc=""),"",IF(AND(pc&gt;0,oc&gt;0),"Long Buildup",IF(AND(pc&lt;0,oc&gt;0),"Short Buildup",IF(AND(pc&gt;0,oc&lt;0),"Short Covering",IF(AND(pc&lt;0,oc&lt;0),"Long Unwinding","Flat"))))))</f>
        <v/>
      </c>
      <c r="J1947" s="31">
        <f>LET(pc,ABS(F1947),oc,ABS(H1947),IF(OR(pc="",oc=""),"",MAX(1,MIN(5,ROUND((pc*0.5+oc*0.00001)*5,0))))))</f>
        <v/>
      </c>
    </row>
    <row r="1948">
      <c r="A1948" s="31" t="n">
        <v>1946</v>
      </c>
      <c r="B1948" s="31">
        <f>CHAIN_RAW!D1946</f>
        <v/>
      </c>
      <c r="C1948" s="31">
        <f>CHAIN_RAW!A1946</f>
        <v/>
      </c>
      <c r="D1948" s="31">
        <f>CHAIN_RAW!C1946</f>
        <v/>
      </c>
      <c r="E1948" s="31">
        <f>CHAIN_RAW!E1946</f>
        <v/>
      </c>
      <c r="F1948" s="31">
        <f>CHAIN_RAW!F1946</f>
        <v/>
      </c>
      <c r="G1948" s="31">
        <f>CHAIN_RAW!I1946</f>
        <v/>
      </c>
      <c r="H1948" s="31">
        <f>CHAIN_RAW!Q1946</f>
        <v/>
      </c>
      <c r="I1948" s="31">
        <f>LET(pc,F1948,oc,H1948,IF(OR(pc="",oc=""),"",IF(AND(pc&gt;0,oc&gt;0),"Long Buildup",IF(AND(pc&lt;0,oc&gt;0),"Short Buildup",IF(AND(pc&gt;0,oc&lt;0),"Short Covering",IF(AND(pc&lt;0,oc&lt;0),"Long Unwinding","Flat"))))))</f>
        <v/>
      </c>
      <c r="J1948" s="31">
        <f>LET(pc,ABS(F1948),oc,ABS(H1948),IF(OR(pc="",oc=""),"",MAX(1,MIN(5,ROUND((pc*0.5+oc*0.00001)*5,0))))))</f>
        <v/>
      </c>
    </row>
    <row r="1949">
      <c r="A1949" s="31" t="n">
        <v>1947</v>
      </c>
      <c r="B1949" s="31">
        <f>CHAIN_RAW!D1947</f>
        <v/>
      </c>
      <c r="C1949" s="31">
        <f>CHAIN_RAW!A1947</f>
        <v/>
      </c>
      <c r="D1949" s="31">
        <f>CHAIN_RAW!C1947</f>
        <v/>
      </c>
      <c r="E1949" s="31">
        <f>CHAIN_RAW!E1947</f>
        <v/>
      </c>
      <c r="F1949" s="31">
        <f>CHAIN_RAW!F1947</f>
        <v/>
      </c>
      <c r="G1949" s="31">
        <f>CHAIN_RAW!I1947</f>
        <v/>
      </c>
      <c r="H1949" s="31">
        <f>CHAIN_RAW!Q1947</f>
        <v/>
      </c>
      <c r="I1949" s="31">
        <f>LET(pc,F1949,oc,H1949,IF(OR(pc="",oc=""),"",IF(AND(pc&gt;0,oc&gt;0),"Long Buildup",IF(AND(pc&lt;0,oc&gt;0),"Short Buildup",IF(AND(pc&gt;0,oc&lt;0),"Short Covering",IF(AND(pc&lt;0,oc&lt;0),"Long Unwinding","Flat"))))))</f>
        <v/>
      </c>
      <c r="J1949" s="31">
        <f>LET(pc,ABS(F1949),oc,ABS(H1949),IF(OR(pc="",oc=""),"",MAX(1,MIN(5,ROUND((pc*0.5+oc*0.00001)*5,0))))))</f>
        <v/>
      </c>
    </row>
    <row r="1950">
      <c r="A1950" s="31" t="n">
        <v>1948</v>
      </c>
      <c r="B1950" s="31">
        <f>CHAIN_RAW!D1948</f>
        <v/>
      </c>
      <c r="C1950" s="31">
        <f>CHAIN_RAW!A1948</f>
        <v/>
      </c>
      <c r="D1950" s="31">
        <f>CHAIN_RAW!C1948</f>
        <v/>
      </c>
      <c r="E1950" s="31">
        <f>CHAIN_RAW!E1948</f>
        <v/>
      </c>
      <c r="F1950" s="31">
        <f>CHAIN_RAW!F1948</f>
        <v/>
      </c>
      <c r="G1950" s="31">
        <f>CHAIN_RAW!I1948</f>
        <v/>
      </c>
      <c r="H1950" s="31">
        <f>CHAIN_RAW!Q1948</f>
        <v/>
      </c>
      <c r="I1950" s="31">
        <f>LET(pc,F1950,oc,H1950,IF(OR(pc="",oc=""),"",IF(AND(pc&gt;0,oc&gt;0),"Long Buildup",IF(AND(pc&lt;0,oc&gt;0),"Short Buildup",IF(AND(pc&gt;0,oc&lt;0),"Short Covering",IF(AND(pc&lt;0,oc&lt;0),"Long Unwinding","Flat"))))))</f>
        <v/>
      </c>
      <c r="J1950" s="31">
        <f>LET(pc,ABS(F1950),oc,ABS(H1950),IF(OR(pc="",oc=""),"",MAX(1,MIN(5,ROUND((pc*0.5+oc*0.00001)*5,0))))))</f>
        <v/>
      </c>
    </row>
    <row r="1951">
      <c r="A1951" s="31" t="n">
        <v>1949</v>
      </c>
      <c r="B1951" s="31">
        <f>CHAIN_RAW!D1949</f>
        <v/>
      </c>
      <c r="C1951" s="31">
        <f>CHAIN_RAW!A1949</f>
        <v/>
      </c>
      <c r="D1951" s="31">
        <f>CHAIN_RAW!C1949</f>
        <v/>
      </c>
      <c r="E1951" s="31">
        <f>CHAIN_RAW!E1949</f>
        <v/>
      </c>
      <c r="F1951" s="31">
        <f>CHAIN_RAW!F1949</f>
        <v/>
      </c>
      <c r="G1951" s="31">
        <f>CHAIN_RAW!I1949</f>
        <v/>
      </c>
      <c r="H1951" s="31">
        <f>CHAIN_RAW!Q1949</f>
        <v/>
      </c>
      <c r="I1951" s="31">
        <f>LET(pc,F1951,oc,H1951,IF(OR(pc="",oc=""),"",IF(AND(pc&gt;0,oc&gt;0),"Long Buildup",IF(AND(pc&lt;0,oc&gt;0),"Short Buildup",IF(AND(pc&gt;0,oc&lt;0),"Short Covering",IF(AND(pc&lt;0,oc&lt;0),"Long Unwinding","Flat"))))))</f>
        <v/>
      </c>
      <c r="J1951" s="31">
        <f>LET(pc,ABS(F1951),oc,ABS(H1951),IF(OR(pc="",oc=""),"",MAX(1,MIN(5,ROUND((pc*0.5+oc*0.00001)*5,0))))))</f>
        <v/>
      </c>
    </row>
    <row r="1952">
      <c r="A1952" s="31" t="n">
        <v>1950</v>
      </c>
      <c r="B1952" s="31">
        <f>CHAIN_RAW!D1950</f>
        <v/>
      </c>
      <c r="C1952" s="31">
        <f>CHAIN_RAW!A1950</f>
        <v/>
      </c>
      <c r="D1952" s="31">
        <f>CHAIN_RAW!C1950</f>
        <v/>
      </c>
      <c r="E1952" s="31">
        <f>CHAIN_RAW!E1950</f>
        <v/>
      </c>
      <c r="F1952" s="31">
        <f>CHAIN_RAW!F1950</f>
        <v/>
      </c>
      <c r="G1952" s="31">
        <f>CHAIN_RAW!I1950</f>
        <v/>
      </c>
      <c r="H1952" s="31">
        <f>CHAIN_RAW!Q1950</f>
        <v/>
      </c>
      <c r="I1952" s="31">
        <f>LET(pc,F1952,oc,H1952,IF(OR(pc="",oc=""),"",IF(AND(pc&gt;0,oc&gt;0),"Long Buildup",IF(AND(pc&lt;0,oc&gt;0),"Short Buildup",IF(AND(pc&gt;0,oc&lt;0),"Short Covering",IF(AND(pc&lt;0,oc&lt;0),"Long Unwinding","Flat"))))))</f>
        <v/>
      </c>
      <c r="J1952" s="31">
        <f>LET(pc,ABS(F1952),oc,ABS(H1952),IF(OR(pc="",oc=""),"",MAX(1,MIN(5,ROUND((pc*0.5+oc*0.00001)*5,0))))))</f>
        <v/>
      </c>
    </row>
    <row r="1953">
      <c r="A1953" s="31" t="n">
        <v>1951</v>
      </c>
      <c r="B1953" s="31">
        <f>CHAIN_RAW!D1951</f>
        <v/>
      </c>
      <c r="C1953" s="31">
        <f>CHAIN_RAW!A1951</f>
        <v/>
      </c>
      <c r="D1953" s="31">
        <f>CHAIN_RAW!C1951</f>
        <v/>
      </c>
      <c r="E1953" s="31">
        <f>CHAIN_RAW!E1951</f>
        <v/>
      </c>
      <c r="F1953" s="31">
        <f>CHAIN_RAW!F1951</f>
        <v/>
      </c>
      <c r="G1953" s="31">
        <f>CHAIN_RAW!I1951</f>
        <v/>
      </c>
      <c r="H1953" s="31">
        <f>CHAIN_RAW!Q1951</f>
        <v/>
      </c>
      <c r="I1953" s="31">
        <f>LET(pc,F1953,oc,H1953,IF(OR(pc="",oc=""),"",IF(AND(pc&gt;0,oc&gt;0),"Long Buildup",IF(AND(pc&lt;0,oc&gt;0),"Short Buildup",IF(AND(pc&gt;0,oc&lt;0),"Short Covering",IF(AND(pc&lt;0,oc&lt;0),"Long Unwinding","Flat"))))))</f>
        <v/>
      </c>
      <c r="J1953" s="31">
        <f>LET(pc,ABS(F1953),oc,ABS(H1953),IF(OR(pc="",oc=""),"",MAX(1,MIN(5,ROUND((pc*0.5+oc*0.00001)*5,0))))))</f>
        <v/>
      </c>
    </row>
    <row r="1954">
      <c r="A1954" s="31" t="n">
        <v>1952</v>
      </c>
      <c r="B1954" s="31">
        <f>CHAIN_RAW!D1952</f>
        <v/>
      </c>
      <c r="C1954" s="31">
        <f>CHAIN_RAW!A1952</f>
        <v/>
      </c>
      <c r="D1954" s="31">
        <f>CHAIN_RAW!C1952</f>
        <v/>
      </c>
      <c r="E1954" s="31">
        <f>CHAIN_RAW!E1952</f>
        <v/>
      </c>
      <c r="F1954" s="31">
        <f>CHAIN_RAW!F1952</f>
        <v/>
      </c>
      <c r="G1954" s="31">
        <f>CHAIN_RAW!I1952</f>
        <v/>
      </c>
      <c r="H1954" s="31">
        <f>CHAIN_RAW!Q1952</f>
        <v/>
      </c>
      <c r="I1954" s="31">
        <f>LET(pc,F1954,oc,H1954,IF(OR(pc="",oc=""),"",IF(AND(pc&gt;0,oc&gt;0),"Long Buildup",IF(AND(pc&lt;0,oc&gt;0),"Short Buildup",IF(AND(pc&gt;0,oc&lt;0),"Short Covering",IF(AND(pc&lt;0,oc&lt;0),"Long Unwinding","Flat"))))))</f>
        <v/>
      </c>
      <c r="J1954" s="31">
        <f>LET(pc,ABS(F1954),oc,ABS(H1954),IF(OR(pc="",oc=""),"",MAX(1,MIN(5,ROUND((pc*0.5+oc*0.00001)*5,0))))))</f>
        <v/>
      </c>
    </row>
    <row r="1955">
      <c r="A1955" s="31" t="n">
        <v>1953</v>
      </c>
      <c r="B1955" s="31">
        <f>CHAIN_RAW!D1953</f>
        <v/>
      </c>
      <c r="C1955" s="31">
        <f>CHAIN_RAW!A1953</f>
        <v/>
      </c>
      <c r="D1955" s="31">
        <f>CHAIN_RAW!C1953</f>
        <v/>
      </c>
      <c r="E1955" s="31">
        <f>CHAIN_RAW!E1953</f>
        <v/>
      </c>
      <c r="F1955" s="31">
        <f>CHAIN_RAW!F1953</f>
        <v/>
      </c>
      <c r="G1955" s="31">
        <f>CHAIN_RAW!I1953</f>
        <v/>
      </c>
      <c r="H1955" s="31">
        <f>CHAIN_RAW!Q1953</f>
        <v/>
      </c>
      <c r="I1955" s="31">
        <f>LET(pc,F1955,oc,H1955,IF(OR(pc="",oc=""),"",IF(AND(pc&gt;0,oc&gt;0),"Long Buildup",IF(AND(pc&lt;0,oc&gt;0),"Short Buildup",IF(AND(pc&gt;0,oc&lt;0),"Short Covering",IF(AND(pc&lt;0,oc&lt;0),"Long Unwinding","Flat"))))))</f>
        <v/>
      </c>
      <c r="J1955" s="31">
        <f>LET(pc,ABS(F1955),oc,ABS(H1955),IF(OR(pc="",oc=""),"",MAX(1,MIN(5,ROUND((pc*0.5+oc*0.00001)*5,0))))))</f>
        <v/>
      </c>
    </row>
    <row r="1956">
      <c r="A1956" s="31" t="n">
        <v>1954</v>
      </c>
      <c r="B1956" s="31">
        <f>CHAIN_RAW!D1954</f>
        <v/>
      </c>
      <c r="C1956" s="31">
        <f>CHAIN_RAW!A1954</f>
        <v/>
      </c>
      <c r="D1956" s="31">
        <f>CHAIN_RAW!C1954</f>
        <v/>
      </c>
      <c r="E1956" s="31">
        <f>CHAIN_RAW!E1954</f>
        <v/>
      </c>
      <c r="F1956" s="31">
        <f>CHAIN_RAW!F1954</f>
        <v/>
      </c>
      <c r="G1956" s="31">
        <f>CHAIN_RAW!I1954</f>
        <v/>
      </c>
      <c r="H1956" s="31">
        <f>CHAIN_RAW!Q1954</f>
        <v/>
      </c>
      <c r="I1956" s="31">
        <f>LET(pc,F1956,oc,H1956,IF(OR(pc="",oc=""),"",IF(AND(pc&gt;0,oc&gt;0),"Long Buildup",IF(AND(pc&lt;0,oc&gt;0),"Short Buildup",IF(AND(pc&gt;0,oc&lt;0),"Short Covering",IF(AND(pc&lt;0,oc&lt;0),"Long Unwinding","Flat"))))))</f>
        <v/>
      </c>
      <c r="J1956" s="31">
        <f>LET(pc,ABS(F1956),oc,ABS(H1956),IF(OR(pc="",oc=""),"",MAX(1,MIN(5,ROUND((pc*0.5+oc*0.00001)*5,0))))))</f>
        <v/>
      </c>
    </row>
    <row r="1957">
      <c r="A1957" s="31" t="n">
        <v>1955</v>
      </c>
      <c r="B1957" s="31">
        <f>CHAIN_RAW!D1955</f>
        <v/>
      </c>
      <c r="C1957" s="31">
        <f>CHAIN_RAW!A1955</f>
        <v/>
      </c>
      <c r="D1957" s="31">
        <f>CHAIN_RAW!C1955</f>
        <v/>
      </c>
      <c r="E1957" s="31">
        <f>CHAIN_RAW!E1955</f>
        <v/>
      </c>
      <c r="F1957" s="31">
        <f>CHAIN_RAW!F1955</f>
        <v/>
      </c>
      <c r="G1957" s="31">
        <f>CHAIN_RAW!I1955</f>
        <v/>
      </c>
      <c r="H1957" s="31">
        <f>CHAIN_RAW!Q1955</f>
        <v/>
      </c>
      <c r="I1957" s="31">
        <f>LET(pc,F1957,oc,H1957,IF(OR(pc="",oc=""),"",IF(AND(pc&gt;0,oc&gt;0),"Long Buildup",IF(AND(pc&lt;0,oc&gt;0),"Short Buildup",IF(AND(pc&gt;0,oc&lt;0),"Short Covering",IF(AND(pc&lt;0,oc&lt;0),"Long Unwinding","Flat"))))))</f>
        <v/>
      </c>
      <c r="J1957" s="31">
        <f>LET(pc,ABS(F1957),oc,ABS(H1957),IF(OR(pc="",oc=""),"",MAX(1,MIN(5,ROUND((pc*0.5+oc*0.00001)*5,0))))))</f>
        <v/>
      </c>
    </row>
    <row r="1958">
      <c r="A1958" s="31" t="n">
        <v>1956</v>
      </c>
      <c r="B1958" s="31">
        <f>CHAIN_RAW!D1956</f>
        <v/>
      </c>
      <c r="C1958" s="31">
        <f>CHAIN_RAW!A1956</f>
        <v/>
      </c>
      <c r="D1958" s="31">
        <f>CHAIN_RAW!C1956</f>
        <v/>
      </c>
      <c r="E1958" s="31">
        <f>CHAIN_RAW!E1956</f>
        <v/>
      </c>
      <c r="F1958" s="31">
        <f>CHAIN_RAW!F1956</f>
        <v/>
      </c>
      <c r="G1958" s="31">
        <f>CHAIN_RAW!I1956</f>
        <v/>
      </c>
      <c r="H1958" s="31">
        <f>CHAIN_RAW!Q1956</f>
        <v/>
      </c>
      <c r="I1958" s="31">
        <f>LET(pc,F1958,oc,H1958,IF(OR(pc="",oc=""),"",IF(AND(pc&gt;0,oc&gt;0),"Long Buildup",IF(AND(pc&lt;0,oc&gt;0),"Short Buildup",IF(AND(pc&gt;0,oc&lt;0),"Short Covering",IF(AND(pc&lt;0,oc&lt;0),"Long Unwinding","Flat"))))))</f>
        <v/>
      </c>
      <c r="J1958" s="31">
        <f>LET(pc,ABS(F1958),oc,ABS(H1958),IF(OR(pc="",oc=""),"",MAX(1,MIN(5,ROUND((pc*0.5+oc*0.00001)*5,0))))))</f>
        <v/>
      </c>
    </row>
    <row r="1959">
      <c r="A1959" s="31" t="n">
        <v>1957</v>
      </c>
      <c r="B1959" s="31">
        <f>CHAIN_RAW!D1957</f>
        <v/>
      </c>
      <c r="C1959" s="31">
        <f>CHAIN_RAW!A1957</f>
        <v/>
      </c>
      <c r="D1959" s="31">
        <f>CHAIN_RAW!C1957</f>
        <v/>
      </c>
      <c r="E1959" s="31">
        <f>CHAIN_RAW!E1957</f>
        <v/>
      </c>
      <c r="F1959" s="31">
        <f>CHAIN_RAW!F1957</f>
        <v/>
      </c>
      <c r="G1959" s="31">
        <f>CHAIN_RAW!I1957</f>
        <v/>
      </c>
      <c r="H1959" s="31">
        <f>CHAIN_RAW!Q1957</f>
        <v/>
      </c>
      <c r="I1959" s="31">
        <f>LET(pc,F1959,oc,H1959,IF(OR(pc="",oc=""),"",IF(AND(pc&gt;0,oc&gt;0),"Long Buildup",IF(AND(pc&lt;0,oc&gt;0),"Short Buildup",IF(AND(pc&gt;0,oc&lt;0),"Short Covering",IF(AND(pc&lt;0,oc&lt;0),"Long Unwinding","Flat"))))))</f>
        <v/>
      </c>
      <c r="J1959" s="31">
        <f>LET(pc,ABS(F1959),oc,ABS(H1959),IF(OR(pc="",oc=""),"",MAX(1,MIN(5,ROUND((pc*0.5+oc*0.00001)*5,0))))))</f>
        <v/>
      </c>
    </row>
    <row r="1960">
      <c r="A1960" s="31" t="n">
        <v>1958</v>
      </c>
      <c r="B1960" s="31">
        <f>CHAIN_RAW!D1958</f>
        <v/>
      </c>
      <c r="C1960" s="31">
        <f>CHAIN_RAW!A1958</f>
        <v/>
      </c>
      <c r="D1960" s="31">
        <f>CHAIN_RAW!C1958</f>
        <v/>
      </c>
      <c r="E1960" s="31">
        <f>CHAIN_RAW!E1958</f>
        <v/>
      </c>
      <c r="F1960" s="31">
        <f>CHAIN_RAW!F1958</f>
        <v/>
      </c>
      <c r="G1960" s="31">
        <f>CHAIN_RAW!I1958</f>
        <v/>
      </c>
      <c r="H1960" s="31">
        <f>CHAIN_RAW!Q1958</f>
        <v/>
      </c>
      <c r="I1960" s="31">
        <f>LET(pc,F1960,oc,H1960,IF(OR(pc="",oc=""),"",IF(AND(pc&gt;0,oc&gt;0),"Long Buildup",IF(AND(pc&lt;0,oc&gt;0),"Short Buildup",IF(AND(pc&gt;0,oc&lt;0),"Short Covering",IF(AND(pc&lt;0,oc&lt;0),"Long Unwinding","Flat"))))))</f>
        <v/>
      </c>
      <c r="J1960" s="31">
        <f>LET(pc,ABS(F1960),oc,ABS(H1960),IF(OR(pc="",oc=""),"",MAX(1,MIN(5,ROUND((pc*0.5+oc*0.00001)*5,0))))))</f>
        <v/>
      </c>
    </row>
    <row r="1961">
      <c r="A1961" s="31" t="n">
        <v>1959</v>
      </c>
      <c r="B1961" s="31">
        <f>CHAIN_RAW!D1959</f>
        <v/>
      </c>
      <c r="C1961" s="31">
        <f>CHAIN_RAW!A1959</f>
        <v/>
      </c>
      <c r="D1961" s="31">
        <f>CHAIN_RAW!C1959</f>
        <v/>
      </c>
      <c r="E1961" s="31">
        <f>CHAIN_RAW!E1959</f>
        <v/>
      </c>
      <c r="F1961" s="31">
        <f>CHAIN_RAW!F1959</f>
        <v/>
      </c>
      <c r="G1961" s="31">
        <f>CHAIN_RAW!I1959</f>
        <v/>
      </c>
      <c r="H1961" s="31">
        <f>CHAIN_RAW!Q1959</f>
        <v/>
      </c>
      <c r="I1961" s="31">
        <f>LET(pc,F1961,oc,H1961,IF(OR(pc="",oc=""),"",IF(AND(pc&gt;0,oc&gt;0),"Long Buildup",IF(AND(pc&lt;0,oc&gt;0),"Short Buildup",IF(AND(pc&gt;0,oc&lt;0),"Short Covering",IF(AND(pc&lt;0,oc&lt;0),"Long Unwinding","Flat"))))))</f>
        <v/>
      </c>
      <c r="J1961" s="31">
        <f>LET(pc,ABS(F1961),oc,ABS(H1961),IF(OR(pc="",oc=""),"",MAX(1,MIN(5,ROUND((pc*0.5+oc*0.00001)*5,0))))))</f>
        <v/>
      </c>
    </row>
    <row r="1962">
      <c r="A1962" s="31" t="n">
        <v>1960</v>
      </c>
      <c r="B1962" s="31">
        <f>CHAIN_RAW!D1960</f>
        <v/>
      </c>
      <c r="C1962" s="31">
        <f>CHAIN_RAW!A1960</f>
        <v/>
      </c>
      <c r="D1962" s="31">
        <f>CHAIN_RAW!C1960</f>
        <v/>
      </c>
      <c r="E1962" s="31">
        <f>CHAIN_RAW!E1960</f>
        <v/>
      </c>
      <c r="F1962" s="31">
        <f>CHAIN_RAW!F1960</f>
        <v/>
      </c>
      <c r="G1962" s="31">
        <f>CHAIN_RAW!I1960</f>
        <v/>
      </c>
      <c r="H1962" s="31">
        <f>CHAIN_RAW!Q1960</f>
        <v/>
      </c>
      <c r="I1962" s="31">
        <f>LET(pc,F1962,oc,H1962,IF(OR(pc="",oc=""),"",IF(AND(pc&gt;0,oc&gt;0),"Long Buildup",IF(AND(pc&lt;0,oc&gt;0),"Short Buildup",IF(AND(pc&gt;0,oc&lt;0),"Short Covering",IF(AND(pc&lt;0,oc&lt;0),"Long Unwinding","Flat"))))))</f>
        <v/>
      </c>
      <c r="J1962" s="31">
        <f>LET(pc,ABS(F1962),oc,ABS(H1962),IF(OR(pc="",oc=""),"",MAX(1,MIN(5,ROUND((pc*0.5+oc*0.00001)*5,0))))))</f>
        <v/>
      </c>
    </row>
    <row r="1963">
      <c r="A1963" s="31" t="n">
        <v>1961</v>
      </c>
      <c r="B1963" s="31">
        <f>CHAIN_RAW!D1961</f>
        <v/>
      </c>
      <c r="C1963" s="31">
        <f>CHAIN_RAW!A1961</f>
        <v/>
      </c>
      <c r="D1963" s="31">
        <f>CHAIN_RAW!C1961</f>
        <v/>
      </c>
      <c r="E1963" s="31">
        <f>CHAIN_RAW!E1961</f>
        <v/>
      </c>
      <c r="F1963" s="31">
        <f>CHAIN_RAW!F1961</f>
        <v/>
      </c>
      <c r="G1963" s="31">
        <f>CHAIN_RAW!I1961</f>
        <v/>
      </c>
      <c r="H1963" s="31">
        <f>CHAIN_RAW!Q1961</f>
        <v/>
      </c>
      <c r="I1963" s="31">
        <f>LET(pc,F1963,oc,H1963,IF(OR(pc="",oc=""),"",IF(AND(pc&gt;0,oc&gt;0),"Long Buildup",IF(AND(pc&lt;0,oc&gt;0),"Short Buildup",IF(AND(pc&gt;0,oc&lt;0),"Short Covering",IF(AND(pc&lt;0,oc&lt;0),"Long Unwinding","Flat"))))))</f>
        <v/>
      </c>
      <c r="J1963" s="31">
        <f>LET(pc,ABS(F1963),oc,ABS(H1963),IF(OR(pc="",oc=""),"",MAX(1,MIN(5,ROUND((pc*0.5+oc*0.00001)*5,0))))))</f>
        <v/>
      </c>
    </row>
    <row r="1964">
      <c r="A1964" s="31" t="n">
        <v>1962</v>
      </c>
      <c r="B1964" s="31">
        <f>CHAIN_RAW!D1962</f>
        <v/>
      </c>
      <c r="C1964" s="31">
        <f>CHAIN_RAW!A1962</f>
        <v/>
      </c>
      <c r="D1964" s="31">
        <f>CHAIN_RAW!C1962</f>
        <v/>
      </c>
      <c r="E1964" s="31">
        <f>CHAIN_RAW!E1962</f>
        <v/>
      </c>
      <c r="F1964" s="31">
        <f>CHAIN_RAW!F1962</f>
        <v/>
      </c>
      <c r="G1964" s="31">
        <f>CHAIN_RAW!I1962</f>
        <v/>
      </c>
      <c r="H1964" s="31">
        <f>CHAIN_RAW!Q1962</f>
        <v/>
      </c>
      <c r="I1964" s="31">
        <f>LET(pc,F1964,oc,H1964,IF(OR(pc="",oc=""),"",IF(AND(pc&gt;0,oc&gt;0),"Long Buildup",IF(AND(pc&lt;0,oc&gt;0),"Short Buildup",IF(AND(pc&gt;0,oc&lt;0),"Short Covering",IF(AND(pc&lt;0,oc&lt;0),"Long Unwinding","Flat"))))))</f>
        <v/>
      </c>
      <c r="J1964" s="31">
        <f>LET(pc,ABS(F1964),oc,ABS(H1964),IF(OR(pc="",oc=""),"",MAX(1,MIN(5,ROUND((pc*0.5+oc*0.00001)*5,0))))))</f>
        <v/>
      </c>
    </row>
    <row r="1965">
      <c r="A1965" s="31" t="n">
        <v>1963</v>
      </c>
      <c r="B1965" s="31">
        <f>CHAIN_RAW!D1963</f>
        <v/>
      </c>
      <c r="C1965" s="31">
        <f>CHAIN_RAW!A1963</f>
        <v/>
      </c>
      <c r="D1965" s="31">
        <f>CHAIN_RAW!C1963</f>
        <v/>
      </c>
      <c r="E1965" s="31">
        <f>CHAIN_RAW!E1963</f>
        <v/>
      </c>
      <c r="F1965" s="31">
        <f>CHAIN_RAW!F1963</f>
        <v/>
      </c>
      <c r="G1965" s="31">
        <f>CHAIN_RAW!I1963</f>
        <v/>
      </c>
      <c r="H1965" s="31">
        <f>CHAIN_RAW!Q1963</f>
        <v/>
      </c>
      <c r="I1965" s="31">
        <f>LET(pc,F1965,oc,H1965,IF(OR(pc="",oc=""),"",IF(AND(pc&gt;0,oc&gt;0),"Long Buildup",IF(AND(pc&lt;0,oc&gt;0),"Short Buildup",IF(AND(pc&gt;0,oc&lt;0),"Short Covering",IF(AND(pc&lt;0,oc&lt;0),"Long Unwinding","Flat"))))))</f>
        <v/>
      </c>
      <c r="J1965" s="31">
        <f>LET(pc,ABS(F1965),oc,ABS(H1965),IF(OR(pc="",oc=""),"",MAX(1,MIN(5,ROUND((pc*0.5+oc*0.00001)*5,0))))))</f>
        <v/>
      </c>
    </row>
    <row r="1966">
      <c r="A1966" s="31" t="n">
        <v>1964</v>
      </c>
      <c r="B1966" s="31">
        <f>CHAIN_RAW!D1964</f>
        <v/>
      </c>
      <c r="C1966" s="31">
        <f>CHAIN_RAW!A1964</f>
        <v/>
      </c>
      <c r="D1966" s="31">
        <f>CHAIN_RAW!C1964</f>
        <v/>
      </c>
      <c r="E1966" s="31">
        <f>CHAIN_RAW!E1964</f>
        <v/>
      </c>
      <c r="F1966" s="31">
        <f>CHAIN_RAW!F1964</f>
        <v/>
      </c>
      <c r="G1966" s="31">
        <f>CHAIN_RAW!I1964</f>
        <v/>
      </c>
      <c r="H1966" s="31">
        <f>CHAIN_RAW!Q1964</f>
        <v/>
      </c>
      <c r="I1966" s="31">
        <f>LET(pc,F1966,oc,H1966,IF(OR(pc="",oc=""),"",IF(AND(pc&gt;0,oc&gt;0),"Long Buildup",IF(AND(pc&lt;0,oc&gt;0),"Short Buildup",IF(AND(pc&gt;0,oc&lt;0),"Short Covering",IF(AND(pc&lt;0,oc&lt;0),"Long Unwinding","Flat"))))))</f>
        <v/>
      </c>
      <c r="J1966" s="31">
        <f>LET(pc,ABS(F1966),oc,ABS(H1966),IF(OR(pc="",oc=""),"",MAX(1,MIN(5,ROUND((pc*0.5+oc*0.00001)*5,0))))))</f>
        <v/>
      </c>
    </row>
    <row r="1967">
      <c r="A1967" s="31" t="n">
        <v>1965</v>
      </c>
      <c r="B1967" s="31">
        <f>CHAIN_RAW!D1965</f>
        <v/>
      </c>
      <c r="C1967" s="31">
        <f>CHAIN_RAW!A1965</f>
        <v/>
      </c>
      <c r="D1967" s="31">
        <f>CHAIN_RAW!C1965</f>
        <v/>
      </c>
      <c r="E1967" s="31">
        <f>CHAIN_RAW!E1965</f>
        <v/>
      </c>
      <c r="F1967" s="31">
        <f>CHAIN_RAW!F1965</f>
        <v/>
      </c>
      <c r="G1967" s="31">
        <f>CHAIN_RAW!I1965</f>
        <v/>
      </c>
      <c r="H1967" s="31">
        <f>CHAIN_RAW!Q1965</f>
        <v/>
      </c>
      <c r="I1967" s="31">
        <f>LET(pc,F1967,oc,H1967,IF(OR(pc="",oc=""),"",IF(AND(pc&gt;0,oc&gt;0),"Long Buildup",IF(AND(pc&lt;0,oc&gt;0),"Short Buildup",IF(AND(pc&gt;0,oc&lt;0),"Short Covering",IF(AND(pc&lt;0,oc&lt;0),"Long Unwinding","Flat"))))))</f>
        <v/>
      </c>
      <c r="J1967" s="31">
        <f>LET(pc,ABS(F1967),oc,ABS(H1967),IF(OR(pc="",oc=""),"",MAX(1,MIN(5,ROUND((pc*0.5+oc*0.00001)*5,0))))))</f>
        <v/>
      </c>
    </row>
    <row r="1968">
      <c r="A1968" s="31" t="n">
        <v>1966</v>
      </c>
      <c r="B1968" s="31">
        <f>CHAIN_RAW!D1966</f>
        <v/>
      </c>
      <c r="C1968" s="31">
        <f>CHAIN_RAW!A1966</f>
        <v/>
      </c>
      <c r="D1968" s="31">
        <f>CHAIN_RAW!C1966</f>
        <v/>
      </c>
      <c r="E1968" s="31">
        <f>CHAIN_RAW!E1966</f>
        <v/>
      </c>
      <c r="F1968" s="31">
        <f>CHAIN_RAW!F1966</f>
        <v/>
      </c>
      <c r="G1968" s="31">
        <f>CHAIN_RAW!I1966</f>
        <v/>
      </c>
      <c r="H1968" s="31">
        <f>CHAIN_RAW!Q1966</f>
        <v/>
      </c>
      <c r="I1968" s="31">
        <f>LET(pc,F1968,oc,H1968,IF(OR(pc="",oc=""),"",IF(AND(pc&gt;0,oc&gt;0),"Long Buildup",IF(AND(pc&lt;0,oc&gt;0),"Short Buildup",IF(AND(pc&gt;0,oc&lt;0),"Short Covering",IF(AND(pc&lt;0,oc&lt;0),"Long Unwinding","Flat"))))))</f>
        <v/>
      </c>
      <c r="J1968" s="31">
        <f>LET(pc,ABS(F1968),oc,ABS(H1968),IF(OR(pc="",oc=""),"",MAX(1,MIN(5,ROUND((pc*0.5+oc*0.00001)*5,0))))))</f>
        <v/>
      </c>
    </row>
    <row r="1969">
      <c r="A1969" s="31" t="n">
        <v>1967</v>
      </c>
      <c r="B1969" s="31">
        <f>CHAIN_RAW!D1967</f>
        <v/>
      </c>
      <c r="C1969" s="31">
        <f>CHAIN_RAW!A1967</f>
        <v/>
      </c>
      <c r="D1969" s="31">
        <f>CHAIN_RAW!C1967</f>
        <v/>
      </c>
      <c r="E1969" s="31">
        <f>CHAIN_RAW!E1967</f>
        <v/>
      </c>
      <c r="F1969" s="31">
        <f>CHAIN_RAW!F1967</f>
        <v/>
      </c>
      <c r="G1969" s="31">
        <f>CHAIN_RAW!I1967</f>
        <v/>
      </c>
      <c r="H1969" s="31">
        <f>CHAIN_RAW!Q1967</f>
        <v/>
      </c>
      <c r="I1969" s="31">
        <f>LET(pc,F1969,oc,H1969,IF(OR(pc="",oc=""),"",IF(AND(pc&gt;0,oc&gt;0),"Long Buildup",IF(AND(pc&lt;0,oc&gt;0),"Short Buildup",IF(AND(pc&gt;0,oc&lt;0),"Short Covering",IF(AND(pc&lt;0,oc&lt;0),"Long Unwinding","Flat"))))))</f>
        <v/>
      </c>
      <c r="J1969" s="31">
        <f>LET(pc,ABS(F1969),oc,ABS(H1969),IF(OR(pc="",oc=""),"",MAX(1,MIN(5,ROUND((pc*0.5+oc*0.00001)*5,0))))))</f>
        <v/>
      </c>
    </row>
    <row r="1970">
      <c r="A1970" s="31" t="n">
        <v>1968</v>
      </c>
      <c r="B1970" s="31">
        <f>CHAIN_RAW!D1968</f>
        <v/>
      </c>
      <c r="C1970" s="31">
        <f>CHAIN_RAW!A1968</f>
        <v/>
      </c>
      <c r="D1970" s="31">
        <f>CHAIN_RAW!C1968</f>
        <v/>
      </c>
      <c r="E1970" s="31">
        <f>CHAIN_RAW!E1968</f>
        <v/>
      </c>
      <c r="F1970" s="31">
        <f>CHAIN_RAW!F1968</f>
        <v/>
      </c>
      <c r="G1970" s="31">
        <f>CHAIN_RAW!I1968</f>
        <v/>
      </c>
      <c r="H1970" s="31">
        <f>CHAIN_RAW!Q1968</f>
        <v/>
      </c>
      <c r="I1970" s="31">
        <f>LET(pc,F1970,oc,H1970,IF(OR(pc="",oc=""),"",IF(AND(pc&gt;0,oc&gt;0),"Long Buildup",IF(AND(pc&lt;0,oc&gt;0),"Short Buildup",IF(AND(pc&gt;0,oc&lt;0),"Short Covering",IF(AND(pc&lt;0,oc&lt;0),"Long Unwinding","Flat"))))))</f>
        <v/>
      </c>
      <c r="J1970" s="31">
        <f>LET(pc,ABS(F1970),oc,ABS(H1970),IF(OR(pc="",oc=""),"",MAX(1,MIN(5,ROUND((pc*0.5+oc*0.00001)*5,0))))))</f>
        <v/>
      </c>
    </row>
    <row r="1971">
      <c r="A1971" s="31" t="n">
        <v>1969</v>
      </c>
      <c r="B1971" s="31">
        <f>CHAIN_RAW!D1969</f>
        <v/>
      </c>
      <c r="C1971" s="31">
        <f>CHAIN_RAW!A1969</f>
        <v/>
      </c>
      <c r="D1971" s="31">
        <f>CHAIN_RAW!C1969</f>
        <v/>
      </c>
      <c r="E1971" s="31">
        <f>CHAIN_RAW!E1969</f>
        <v/>
      </c>
      <c r="F1971" s="31">
        <f>CHAIN_RAW!F1969</f>
        <v/>
      </c>
      <c r="G1971" s="31">
        <f>CHAIN_RAW!I1969</f>
        <v/>
      </c>
      <c r="H1971" s="31">
        <f>CHAIN_RAW!Q1969</f>
        <v/>
      </c>
      <c r="I1971" s="31">
        <f>LET(pc,F1971,oc,H1971,IF(OR(pc="",oc=""),"",IF(AND(pc&gt;0,oc&gt;0),"Long Buildup",IF(AND(pc&lt;0,oc&gt;0),"Short Buildup",IF(AND(pc&gt;0,oc&lt;0),"Short Covering",IF(AND(pc&lt;0,oc&lt;0),"Long Unwinding","Flat"))))))</f>
        <v/>
      </c>
      <c r="J1971" s="31">
        <f>LET(pc,ABS(F1971),oc,ABS(H1971),IF(OR(pc="",oc=""),"",MAX(1,MIN(5,ROUND((pc*0.5+oc*0.00001)*5,0))))))</f>
        <v/>
      </c>
    </row>
    <row r="1972">
      <c r="A1972" s="31" t="n">
        <v>1970</v>
      </c>
      <c r="B1972" s="31">
        <f>CHAIN_RAW!D1970</f>
        <v/>
      </c>
      <c r="C1972" s="31">
        <f>CHAIN_RAW!A1970</f>
        <v/>
      </c>
      <c r="D1972" s="31">
        <f>CHAIN_RAW!C1970</f>
        <v/>
      </c>
      <c r="E1972" s="31">
        <f>CHAIN_RAW!E1970</f>
        <v/>
      </c>
      <c r="F1972" s="31">
        <f>CHAIN_RAW!F1970</f>
        <v/>
      </c>
      <c r="G1972" s="31">
        <f>CHAIN_RAW!I1970</f>
        <v/>
      </c>
      <c r="H1972" s="31">
        <f>CHAIN_RAW!Q1970</f>
        <v/>
      </c>
      <c r="I1972" s="31">
        <f>LET(pc,F1972,oc,H1972,IF(OR(pc="",oc=""),"",IF(AND(pc&gt;0,oc&gt;0),"Long Buildup",IF(AND(pc&lt;0,oc&gt;0),"Short Buildup",IF(AND(pc&gt;0,oc&lt;0),"Short Covering",IF(AND(pc&lt;0,oc&lt;0),"Long Unwinding","Flat"))))))</f>
        <v/>
      </c>
      <c r="J1972" s="31">
        <f>LET(pc,ABS(F1972),oc,ABS(H1972),IF(OR(pc="",oc=""),"",MAX(1,MIN(5,ROUND((pc*0.5+oc*0.00001)*5,0))))))</f>
        <v/>
      </c>
    </row>
    <row r="1973">
      <c r="A1973" s="31" t="n">
        <v>1971</v>
      </c>
      <c r="B1973" s="31">
        <f>CHAIN_RAW!D1971</f>
        <v/>
      </c>
      <c r="C1973" s="31">
        <f>CHAIN_RAW!A1971</f>
        <v/>
      </c>
      <c r="D1973" s="31">
        <f>CHAIN_RAW!C1971</f>
        <v/>
      </c>
      <c r="E1973" s="31">
        <f>CHAIN_RAW!E1971</f>
        <v/>
      </c>
      <c r="F1973" s="31">
        <f>CHAIN_RAW!F1971</f>
        <v/>
      </c>
      <c r="G1973" s="31">
        <f>CHAIN_RAW!I1971</f>
        <v/>
      </c>
      <c r="H1973" s="31">
        <f>CHAIN_RAW!Q1971</f>
        <v/>
      </c>
      <c r="I1973" s="31">
        <f>LET(pc,F1973,oc,H1973,IF(OR(pc="",oc=""),"",IF(AND(pc&gt;0,oc&gt;0),"Long Buildup",IF(AND(pc&lt;0,oc&gt;0),"Short Buildup",IF(AND(pc&gt;0,oc&lt;0),"Short Covering",IF(AND(pc&lt;0,oc&lt;0),"Long Unwinding","Flat"))))))</f>
        <v/>
      </c>
      <c r="J1973" s="31">
        <f>LET(pc,ABS(F1973),oc,ABS(H1973),IF(OR(pc="",oc=""),"",MAX(1,MIN(5,ROUND((pc*0.5+oc*0.00001)*5,0))))))</f>
        <v/>
      </c>
    </row>
    <row r="1974">
      <c r="A1974" s="31" t="n">
        <v>1972</v>
      </c>
      <c r="B1974" s="31">
        <f>CHAIN_RAW!D1972</f>
        <v/>
      </c>
      <c r="C1974" s="31">
        <f>CHAIN_RAW!A1972</f>
        <v/>
      </c>
      <c r="D1974" s="31">
        <f>CHAIN_RAW!C1972</f>
        <v/>
      </c>
      <c r="E1974" s="31">
        <f>CHAIN_RAW!E1972</f>
        <v/>
      </c>
      <c r="F1974" s="31">
        <f>CHAIN_RAW!F1972</f>
        <v/>
      </c>
      <c r="G1974" s="31">
        <f>CHAIN_RAW!I1972</f>
        <v/>
      </c>
      <c r="H1974" s="31">
        <f>CHAIN_RAW!Q1972</f>
        <v/>
      </c>
      <c r="I1974" s="31">
        <f>LET(pc,F1974,oc,H1974,IF(OR(pc="",oc=""),"",IF(AND(pc&gt;0,oc&gt;0),"Long Buildup",IF(AND(pc&lt;0,oc&gt;0),"Short Buildup",IF(AND(pc&gt;0,oc&lt;0),"Short Covering",IF(AND(pc&lt;0,oc&lt;0),"Long Unwinding","Flat"))))))</f>
        <v/>
      </c>
      <c r="J1974" s="31">
        <f>LET(pc,ABS(F1974),oc,ABS(H1974),IF(OR(pc="",oc=""),"",MAX(1,MIN(5,ROUND((pc*0.5+oc*0.00001)*5,0))))))</f>
        <v/>
      </c>
    </row>
    <row r="1975">
      <c r="A1975" s="31" t="n">
        <v>1973</v>
      </c>
      <c r="B1975" s="31">
        <f>CHAIN_RAW!D1973</f>
        <v/>
      </c>
      <c r="C1975" s="31">
        <f>CHAIN_RAW!A1973</f>
        <v/>
      </c>
      <c r="D1975" s="31">
        <f>CHAIN_RAW!C1973</f>
        <v/>
      </c>
      <c r="E1975" s="31">
        <f>CHAIN_RAW!E1973</f>
        <v/>
      </c>
      <c r="F1975" s="31">
        <f>CHAIN_RAW!F1973</f>
        <v/>
      </c>
      <c r="G1975" s="31">
        <f>CHAIN_RAW!I1973</f>
        <v/>
      </c>
      <c r="H1975" s="31">
        <f>CHAIN_RAW!Q1973</f>
        <v/>
      </c>
      <c r="I1975" s="31">
        <f>LET(pc,F1975,oc,H1975,IF(OR(pc="",oc=""),"",IF(AND(pc&gt;0,oc&gt;0),"Long Buildup",IF(AND(pc&lt;0,oc&gt;0),"Short Buildup",IF(AND(pc&gt;0,oc&lt;0),"Short Covering",IF(AND(pc&lt;0,oc&lt;0),"Long Unwinding","Flat"))))))</f>
        <v/>
      </c>
      <c r="J1975" s="31">
        <f>LET(pc,ABS(F1975),oc,ABS(H1975),IF(OR(pc="",oc=""),"",MAX(1,MIN(5,ROUND((pc*0.5+oc*0.00001)*5,0))))))</f>
        <v/>
      </c>
    </row>
    <row r="1976">
      <c r="A1976" s="31" t="n">
        <v>1974</v>
      </c>
      <c r="B1976" s="31">
        <f>CHAIN_RAW!D1974</f>
        <v/>
      </c>
      <c r="C1976" s="31">
        <f>CHAIN_RAW!A1974</f>
        <v/>
      </c>
      <c r="D1976" s="31">
        <f>CHAIN_RAW!C1974</f>
        <v/>
      </c>
      <c r="E1976" s="31">
        <f>CHAIN_RAW!E1974</f>
        <v/>
      </c>
      <c r="F1976" s="31">
        <f>CHAIN_RAW!F1974</f>
        <v/>
      </c>
      <c r="G1976" s="31">
        <f>CHAIN_RAW!I1974</f>
        <v/>
      </c>
      <c r="H1976" s="31">
        <f>CHAIN_RAW!Q1974</f>
        <v/>
      </c>
      <c r="I1976" s="31">
        <f>LET(pc,F1976,oc,H1976,IF(OR(pc="",oc=""),"",IF(AND(pc&gt;0,oc&gt;0),"Long Buildup",IF(AND(pc&lt;0,oc&gt;0),"Short Buildup",IF(AND(pc&gt;0,oc&lt;0),"Short Covering",IF(AND(pc&lt;0,oc&lt;0),"Long Unwinding","Flat"))))))</f>
        <v/>
      </c>
      <c r="J1976" s="31">
        <f>LET(pc,ABS(F1976),oc,ABS(H1976),IF(OR(pc="",oc=""),"",MAX(1,MIN(5,ROUND((pc*0.5+oc*0.00001)*5,0))))))</f>
        <v/>
      </c>
    </row>
    <row r="1977">
      <c r="A1977" s="31" t="n">
        <v>1975</v>
      </c>
      <c r="B1977" s="31">
        <f>CHAIN_RAW!D1975</f>
        <v/>
      </c>
      <c r="C1977" s="31">
        <f>CHAIN_RAW!A1975</f>
        <v/>
      </c>
      <c r="D1977" s="31">
        <f>CHAIN_RAW!C1975</f>
        <v/>
      </c>
      <c r="E1977" s="31">
        <f>CHAIN_RAW!E1975</f>
        <v/>
      </c>
      <c r="F1977" s="31">
        <f>CHAIN_RAW!F1975</f>
        <v/>
      </c>
      <c r="G1977" s="31">
        <f>CHAIN_RAW!I1975</f>
        <v/>
      </c>
      <c r="H1977" s="31">
        <f>CHAIN_RAW!Q1975</f>
        <v/>
      </c>
      <c r="I1977" s="31">
        <f>LET(pc,F1977,oc,H1977,IF(OR(pc="",oc=""),"",IF(AND(pc&gt;0,oc&gt;0),"Long Buildup",IF(AND(pc&lt;0,oc&gt;0),"Short Buildup",IF(AND(pc&gt;0,oc&lt;0),"Short Covering",IF(AND(pc&lt;0,oc&lt;0),"Long Unwinding","Flat"))))))</f>
        <v/>
      </c>
      <c r="J1977" s="31">
        <f>LET(pc,ABS(F1977),oc,ABS(H1977),IF(OR(pc="",oc=""),"",MAX(1,MIN(5,ROUND((pc*0.5+oc*0.00001)*5,0))))))</f>
        <v/>
      </c>
    </row>
    <row r="1978">
      <c r="A1978" s="31" t="n">
        <v>1976</v>
      </c>
      <c r="B1978" s="31">
        <f>CHAIN_RAW!D1976</f>
        <v/>
      </c>
      <c r="C1978" s="31">
        <f>CHAIN_RAW!A1976</f>
        <v/>
      </c>
      <c r="D1978" s="31">
        <f>CHAIN_RAW!C1976</f>
        <v/>
      </c>
      <c r="E1978" s="31">
        <f>CHAIN_RAW!E1976</f>
        <v/>
      </c>
      <c r="F1978" s="31">
        <f>CHAIN_RAW!F1976</f>
        <v/>
      </c>
      <c r="G1978" s="31">
        <f>CHAIN_RAW!I1976</f>
        <v/>
      </c>
      <c r="H1978" s="31">
        <f>CHAIN_RAW!Q1976</f>
        <v/>
      </c>
      <c r="I1978" s="31">
        <f>LET(pc,F1978,oc,H1978,IF(OR(pc="",oc=""),"",IF(AND(pc&gt;0,oc&gt;0),"Long Buildup",IF(AND(pc&lt;0,oc&gt;0),"Short Buildup",IF(AND(pc&gt;0,oc&lt;0),"Short Covering",IF(AND(pc&lt;0,oc&lt;0),"Long Unwinding","Flat"))))))</f>
        <v/>
      </c>
      <c r="J1978" s="31">
        <f>LET(pc,ABS(F1978),oc,ABS(H1978),IF(OR(pc="",oc=""),"",MAX(1,MIN(5,ROUND((pc*0.5+oc*0.00001)*5,0))))))</f>
        <v/>
      </c>
    </row>
    <row r="1979">
      <c r="A1979" s="31" t="n">
        <v>1977</v>
      </c>
      <c r="B1979" s="31">
        <f>CHAIN_RAW!D1977</f>
        <v/>
      </c>
      <c r="C1979" s="31">
        <f>CHAIN_RAW!A1977</f>
        <v/>
      </c>
      <c r="D1979" s="31">
        <f>CHAIN_RAW!C1977</f>
        <v/>
      </c>
      <c r="E1979" s="31">
        <f>CHAIN_RAW!E1977</f>
        <v/>
      </c>
      <c r="F1979" s="31">
        <f>CHAIN_RAW!F1977</f>
        <v/>
      </c>
      <c r="G1979" s="31">
        <f>CHAIN_RAW!I1977</f>
        <v/>
      </c>
      <c r="H1979" s="31">
        <f>CHAIN_RAW!Q1977</f>
        <v/>
      </c>
      <c r="I1979" s="31">
        <f>LET(pc,F1979,oc,H1979,IF(OR(pc="",oc=""),"",IF(AND(pc&gt;0,oc&gt;0),"Long Buildup",IF(AND(pc&lt;0,oc&gt;0),"Short Buildup",IF(AND(pc&gt;0,oc&lt;0),"Short Covering",IF(AND(pc&lt;0,oc&lt;0),"Long Unwinding","Flat"))))))</f>
        <v/>
      </c>
      <c r="J1979" s="31">
        <f>LET(pc,ABS(F1979),oc,ABS(H1979),IF(OR(pc="",oc=""),"",MAX(1,MIN(5,ROUND((pc*0.5+oc*0.00001)*5,0))))))</f>
        <v/>
      </c>
    </row>
    <row r="1980">
      <c r="A1980" s="31" t="n">
        <v>1978</v>
      </c>
      <c r="B1980" s="31">
        <f>CHAIN_RAW!D1978</f>
        <v/>
      </c>
      <c r="C1980" s="31">
        <f>CHAIN_RAW!A1978</f>
        <v/>
      </c>
      <c r="D1980" s="31">
        <f>CHAIN_RAW!C1978</f>
        <v/>
      </c>
      <c r="E1980" s="31">
        <f>CHAIN_RAW!E1978</f>
        <v/>
      </c>
      <c r="F1980" s="31">
        <f>CHAIN_RAW!F1978</f>
        <v/>
      </c>
      <c r="G1980" s="31">
        <f>CHAIN_RAW!I1978</f>
        <v/>
      </c>
      <c r="H1980" s="31">
        <f>CHAIN_RAW!Q1978</f>
        <v/>
      </c>
      <c r="I1980" s="31">
        <f>LET(pc,F1980,oc,H1980,IF(OR(pc="",oc=""),"",IF(AND(pc&gt;0,oc&gt;0),"Long Buildup",IF(AND(pc&lt;0,oc&gt;0),"Short Buildup",IF(AND(pc&gt;0,oc&lt;0),"Short Covering",IF(AND(pc&lt;0,oc&lt;0),"Long Unwinding","Flat"))))))</f>
        <v/>
      </c>
      <c r="J1980" s="31">
        <f>LET(pc,ABS(F1980),oc,ABS(H1980),IF(OR(pc="",oc=""),"",MAX(1,MIN(5,ROUND((pc*0.5+oc*0.00001)*5,0))))))</f>
        <v/>
      </c>
    </row>
    <row r="1981">
      <c r="A1981" s="31" t="n">
        <v>1979</v>
      </c>
      <c r="B1981" s="31">
        <f>CHAIN_RAW!D1979</f>
        <v/>
      </c>
      <c r="C1981" s="31">
        <f>CHAIN_RAW!A1979</f>
        <v/>
      </c>
      <c r="D1981" s="31">
        <f>CHAIN_RAW!C1979</f>
        <v/>
      </c>
      <c r="E1981" s="31">
        <f>CHAIN_RAW!E1979</f>
        <v/>
      </c>
      <c r="F1981" s="31">
        <f>CHAIN_RAW!F1979</f>
        <v/>
      </c>
      <c r="G1981" s="31">
        <f>CHAIN_RAW!I1979</f>
        <v/>
      </c>
      <c r="H1981" s="31">
        <f>CHAIN_RAW!Q1979</f>
        <v/>
      </c>
      <c r="I1981" s="31">
        <f>LET(pc,F1981,oc,H1981,IF(OR(pc="",oc=""),"",IF(AND(pc&gt;0,oc&gt;0),"Long Buildup",IF(AND(pc&lt;0,oc&gt;0),"Short Buildup",IF(AND(pc&gt;0,oc&lt;0),"Short Covering",IF(AND(pc&lt;0,oc&lt;0),"Long Unwinding","Flat"))))))</f>
        <v/>
      </c>
      <c r="J1981" s="31">
        <f>LET(pc,ABS(F1981),oc,ABS(H1981),IF(OR(pc="",oc=""),"",MAX(1,MIN(5,ROUND((pc*0.5+oc*0.00001)*5,0))))))</f>
        <v/>
      </c>
    </row>
    <row r="1982">
      <c r="A1982" s="31" t="n">
        <v>1980</v>
      </c>
      <c r="B1982" s="31">
        <f>CHAIN_RAW!D1980</f>
        <v/>
      </c>
      <c r="C1982" s="31">
        <f>CHAIN_RAW!A1980</f>
        <v/>
      </c>
      <c r="D1982" s="31">
        <f>CHAIN_RAW!C1980</f>
        <v/>
      </c>
      <c r="E1982" s="31">
        <f>CHAIN_RAW!E1980</f>
        <v/>
      </c>
      <c r="F1982" s="31">
        <f>CHAIN_RAW!F1980</f>
        <v/>
      </c>
      <c r="G1982" s="31">
        <f>CHAIN_RAW!I1980</f>
        <v/>
      </c>
      <c r="H1982" s="31">
        <f>CHAIN_RAW!Q1980</f>
        <v/>
      </c>
      <c r="I1982" s="31">
        <f>LET(pc,F1982,oc,H1982,IF(OR(pc="",oc=""),"",IF(AND(pc&gt;0,oc&gt;0),"Long Buildup",IF(AND(pc&lt;0,oc&gt;0),"Short Buildup",IF(AND(pc&gt;0,oc&lt;0),"Short Covering",IF(AND(pc&lt;0,oc&lt;0),"Long Unwinding","Flat"))))))</f>
        <v/>
      </c>
      <c r="J1982" s="31">
        <f>LET(pc,ABS(F1982),oc,ABS(H1982),IF(OR(pc="",oc=""),"",MAX(1,MIN(5,ROUND((pc*0.5+oc*0.00001)*5,0))))))</f>
        <v/>
      </c>
    </row>
    <row r="1983">
      <c r="A1983" s="31" t="n">
        <v>1981</v>
      </c>
      <c r="B1983" s="31">
        <f>CHAIN_RAW!D1981</f>
        <v/>
      </c>
      <c r="C1983" s="31">
        <f>CHAIN_RAW!A1981</f>
        <v/>
      </c>
      <c r="D1983" s="31">
        <f>CHAIN_RAW!C1981</f>
        <v/>
      </c>
      <c r="E1983" s="31">
        <f>CHAIN_RAW!E1981</f>
        <v/>
      </c>
      <c r="F1983" s="31">
        <f>CHAIN_RAW!F1981</f>
        <v/>
      </c>
      <c r="G1983" s="31">
        <f>CHAIN_RAW!I1981</f>
        <v/>
      </c>
      <c r="H1983" s="31">
        <f>CHAIN_RAW!Q1981</f>
        <v/>
      </c>
      <c r="I1983" s="31">
        <f>LET(pc,F1983,oc,H1983,IF(OR(pc="",oc=""),"",IF(AND(pc&gt;0,oc&gt;0),"Long Buildup",IF(AND(pc&lt;0,oc&gt;0),"Short Buildup",IF(AND(pc&gt;0,oc&lt;0),"Short Covering",IF(AND(pc&lt;0,oc&lt;0),"Long Unwinding","Flat"))))))</f>
        <v/>
      </c>
      <c r="J1983" s="31">
        <f>LET(pc,ABS(F1983),oc,ABS(H1983),IF(OR(pc="",oc=""),"",MAX(1,MIN(5,ROUND((pc*0.5+oc*0.00001)*5,0))))))</f>
        <v/>
      </c>
    </row>
    <row r="1984">
      <c r="A1984" s="31" t="n">
        <v>1982</v>
      </c>
      <c r="B1984" s="31">
        <f>CHAIN_RAW!D1982</f>
        <v/>
      </c>
      <c r="C1984" s="31">
        <f>CHAIN_RAW!A1982</f>
        <v/>
      </c>
      <c r="D1984" s="31">
        <f>CHAIN_RAW!C1982</f>
        <v/>
      </c>
      <c r="E1984" s="31">
        <f>CHAIN_RAW!E1982</f>
        <v/>
      </c>
      <c r="F1984" s="31">
        <f>CHAIN_RAW!F1982</f>
        <v/>
      </c>
      <c r="G1984" s="31">
        <f>CHAIN_RAW!I1982</f>
        <v/>
      </c>
      <c r="H1984" s="31">
        <f>CHAIN_RAW!Q1982</f>
        <v/>
      </c>
      <c r="I1984" s="31">
        <f>LET(pc,F1984,oc,H1984,IF(OR(pc="",oc=""),"",IF(AND(pc&gt;0,oc&gt;0),"Long Buildup",IF(AND(pc&lt;0,oc&gt;0),"Short Buildup",IF(AND(pc&gt;0,oc&lt;0),"Short Covering",IF(AND(pc&lt;0,oc&lt;0),"Long Unwinding","Flat"))))))</f>
        <v/>
      </c>
      <c r="J1984" s="31">
        <f>LET(pc,ABS(F1984),oc,ABS(H1984),IF(OR(pc="",oc=""),"",MAX(1,MIN(5,ROUND((pc*0.5+oc*0.00001)*5,0))))))</f>
        <v/>
      </c>
    </row>
    <row r="1985">
      <c r="A1985" s="31" t="n">
        <v>1983</v>
      </c>
      <c r="B1985" s="31">
        <f>CHAIN_RAW!D1983</f>
        <v/>
      </c>
      <c r="C1985" s="31">
        <f>CHAIN_RAW!A1983</f>
        <v/>
      </c>
      <c r="D1985" s="31">
        <f>CHAIN_RAW!C1983</f>
        <v/>
      </c>
      <c r="E1985" s="31">
        <f>CHAIN_RAW!E1983</f>
        <v/>
      </c>
      <c r="F1985" s="31">
        <f>CHAIN_RAW!F1983</f>
        <v/>
      </c>
      <c r="G1985" s="31">
        <f>CHAIN_RAW!I1983</f>
        <v/>
      </c>
      <c r="H1985" s="31">
        <f>CHAIN_RAW!Q1983</f>
        <v/>
      </c>
      <c r="I1985" s="31">
        <f>LET(pc,F1985,oc,H1985,IF(OR(pc="",oc=""),"",IF(AND(pc&gt;0,oc&gt;0),"Long Buildup",IF(AND(pc&lt;0,oc&gt;0),"Short Buildup",IF(AND(pc&gt;0,oc&lt;0),"Short Covering",IF(AND(pc&lt;0,oc&lt;0),"Long Unwinding","Flat"))))))</f>
        <v/>
      </c>
      <c r="J1985" s="31">
        <f>LET(pc,ABS(F1985),oc,ABS(H1985),IF(OR(pc="",oc=""),"",MAX(1,MIN(5,ROUND((pc*0.5+oc*0.00001)*5,0))))))</f>
        <v/>
      </c>
    </row>
    <row r="1986">
      <c r="A1986" s="31" t="n">
        <v>1984</v>
      </c>
      <c r="B1986" s="31">
        <f>CHAIN_RAW!D1984</f>
        <v/>
      </c>
      <c r="C1986" s="31">
        <f>CHAIN_RAW!A1984</f>
        <v/>
      </c>
      <c r="D1986" s="31">
        <f>CHAIN_RAW!C1984</f>
        <v/>
      </c>
      <c r="E1986" s="31">
        <f>CHAIN_RAW!E1984</f>
        <v/>
      </c>
      <c r="F1986" s="31">
        <f>CHAIN_RAW!F1984</f>
        <v/>
      </c>
      <c r="G1986" s="31">
        <f>CHAIN_RAW!I1984</f>
        <v/>
      </c>
      <c r="H1986" s="31">
        <f>CHAIN_RAW!Q1984</f>
        <v/>
      </c>
      <c r="I1986" s="31">
        <f>LET(pc,F1986,oc,H1986,IF(OR(pc="",oc=""),"",IF(AND(pc&gt;0,oc&gt;0),"Long Buildup",IF(AND(pc&lt;0,oc&gt;0),"Short Buildup",IF(AND(pc&gt;0,oc&lt;0),"Short Covering",IF(AND(pc&lt;0,oc&lt;0),"Long Unwinding","Flat"))))))</f>
        <v/>
      </c>
      <c r="J1986" s="31">
        <f>LET(pc,ABS(F1986),oc,ABS(H1986),IF(OR(pc="",oc=""),"",MAX(1,MIN(5,ROUND((pc*0.5+oc*0.00001)*5,0))))))</f>
        <v/>
      </c>
    </row>
    <row r="1987">
      <c r="A1987" s="31" t="n">
        <v>1985</v>
      </c>
      <c r="B1987" s="31">
        <f>CHAIN_RAW!D1985</f>
        <v/>
      </c>
      <c r="C1987" s="31">
        <f>CHAIN_RAW!A1985</f>
        <v/>
      </c>
      <c r="D1987" s="31">
        <f>CHAIN_RAW!C1985</f>
        <v/>
      </c>
      <c r="E1987" s="31">
        <f>CHAIN_RAW!E1985</f>
        <v/>
      </c>
      <c r="F1987" s="31">
        <f>CHAIN_RAW!F1985</f>
        <v/>
      </c>
      <c r="G1987" s="31">
        <f>CHAIN_RAW!I1985</f>
        <v/>
      </c>
      <c r="H1987" s="31">
        <f>CHAIN_RAW!Q1985</f>
        <v/>
      </c>
      <c r="I1987" s="31">
        <f>LET(pc,F1987,oc,H1987,IF(OR(pc="",oc=""),"",IF(AND(pc&gt;0,oc&gt;0),"Long Buildup",IF(AND(pc&lt;0,oc&gt;0),"Short Buildup",IF(AND(pc&gt;0,oc&lt;0),"Short Covering",IF(AND(pc&lt;0,oc&lt;0),"Long Unwinding","Flat"))))))</f>
        <v/>
      </c>
      <c r="J1987" s="31">
        <f>LET(pc,ABS(F1987),oc,ABS(H1987),IF(OR(pc="",oc=""),"",MAX(1,MIN(5,ROUND((pc*0.5+oc*0.00001)*5,0))))))</f>
        <v/>
      </c>
    </row>
    <row r="1988">
      <c r="A1988" s="31" t="n">
        <v>1986</v>
      </c>
      <c r="B1988" s="31">
        <f>CHAIN_RAW!D1986</f>
        <v/>
      </c>
      <c r="C1988" s="31">
        <f>CHAIN_RAW!A1986</f>
        <v/>
      </c>
      <c r="D1988" s="31">
        <f>CHAIN_RAW!C1986</f>
        <v/>
      </c>
      <c r="E1988" s="31">
        <f>CHAIN_RAW!E1986</f>
        <v/>
      </c>
      <c r="F1988" s="31">
        <f>CHAIN_RAW!F1986</f>
        <v/>
      </c>
      <c r="G1988" s="31">
        <f>CHAIN_RAW!I1986</f>
        <v/>
      </c>
      <c r="H1988" s="31">
        <f>CHAIN_RAW!Q1986</f>
        <v/>
      </c>
      <c r="I1988" s="31">
        <f>LET(pc,F1988,oc,H1988,IF(OR(pc="",oc=""),"",IF(AND(pc&gt;0,oc&gt;0),"Long Buildup",IF(AND(pc&lt;0,oc&gt;0),"Short Buildup",IF(AND(pc&gt;0,oc&lt;0),"Short Covering",IF(AND(pc&lt;0,oc&lt;0),"Long Unwinding","Flat"))))))</f>
        <v/>
      </c>
      <c r="J1988" s="31">
        <f>LET(pc,ABS(F1988),oc,ABS(H1988),IF(OR(pc="",oc=""),"",MAX(1,MIN(5,ROUND((pc*0.5+oc*0.00001)*5,0))))))</f>
        <v/>
      </c>
    </row>
    <row r="1989">
      <c r="A1989" s="31" t="n">
        <v>1987</v>
      </c>
      <c r="B1989" s="31">
        <f>CHAIN_RAW!D1987</f>
        <v/>
      </c>
      <c r="C1989" s="31">
        <f>CHAIN_RAW!A1987</f>
        <v/>
      </c>
      <c r="D1989" s="31">
        <f>CHAIN_RAW!C1987</f>
        <v/>
      </c>
      <c r="E1989" s="31">
        <f>CHAIN_RAW!E1987</f>
        <v/>
      </c>
      <c r="F1989" s="31">
        <f>CHAIN_RAW!F1987</f>
        <v/>
      </c>
      <c r="G1989" s="31">
        <f>CHAIN_RAW!I1987</f>
        <v/>
      </c>
      <c r="H1989" s="31">
        <f>CHAIN_RAW!Q1987</f>
        <v/>
      </c>
      <c r="I1989" s="31">
        <f>LET(pc,F1989,oc,H1989,IF(OR(pc="",oc=""),"",IF(AND(pc&gt;0,oc&gt;0),"Long Buildup",IF(AND(pc&lt;0,oc&gt;0),"Short Buildup",IF(AND(pc&gt;0,oc&lt;0),"Short Covering",IF(AND(pc&lt;0,oc&lt;0),"Long Unwinding","Flat"))))))</f>
        <v/>
      </c>
      <c r="J1989" s="31">
        <f>LET(pc,ABS(F1989),oc,ABS(H1989),IF(OR(pc="",oc=""),"",MAX(1,MIN(5,ROUND((pc*0.5+oc*0.00001)*5,0))))))</f>
        <v/>
      </c>
    </row>
    <row r="1990">
      <c r="A1990" s="31" t="n">
        <v>1988</v>
      </c>
      <c r="B1990" s="31">
        <f>CHAIN_RAW!D1988</f>
        <v/>
      </c>
      <c r="C1990" s="31">
        <f>CHAIN_RAW!A1988</f>
        <v/>
      </c>
      <c r="D1990" s="31">
        <f>CHAIN_RAW!C1988</f>
        <v/>
      </c>
      <c r="E1990" s="31">
        <f>CHAIN_RAW!E1988</f>
        <v/>
      </c>
      <c r="F1990" s="31">
        <f>CHAIN_RAW!F1988</f>
        <v/>
      </c>
      <c r="G1990" s="31">
        <f>CHAIN_RAW!I1988</f>
        <v/>
      </c>
      <c r="H1990" s="31">
        <f>CHAIN_RAW!Q1988</f>
        <v/>
      </c>
      <c r="I1990" s="31">
        <f>LET(pc,F1990,oc,H1990,IF(OR(pc="",oc=""),"",IF(AND(pc&gt;0,oc&gt;0),"Long Buildup",IF(AND(pc&lt;0,oc&gt;0),"Short Buildup",IF(AND(pc&gt;0,oc&lt;0),"Short Covering",IF(AND(pc&lt;0,oc&lt;0),"Long Unwinding","Flat"))))))</f>
        <v/>
      </c>
      <c r="J1990" s="31">
        <f>LET(pc,ABS(F1990),oc,ABS(H1990),IF(OR(pc="",oc=""),"",MAX(1,MIN(5,ROUND((pc*0.5+oc*0.00001)*5,0))))))</f>
        <v/>
      </c>
    </row>
    <row r="1991">
      <c r="A1991" s="31" t="n">
        <v>1989</v>
      </c>
      <c r="B1991" s="31">
        <f>CHAIN_RAW!D1989</f>
        <v/>
      </c>
      <c r="C1991" s="31">
        <f>CHAIN_RAW!A1989</f>
        <v/>
      </c>
      <c r="D1991" s="31">
        <f>CHAIN_RAW!C1989</f>
        <v/>
      </c>
      <c r="E1991" s="31">
        <f>CHAIN_RAW!E1989</f>
        <v/>
      </c>
      <c r="F1991" s="31">
        <f>CHAIN_RAW!F1989</f>
        <v/>
      </c>
      <c r="G1991" s="31">
        <f>CHAIN_RAW!I1989</f>
        <v/>
      </c>
      <c r="H1991" s="31">
        <f>CHAIN_RAW!Q1989</f>
        <v/>
      </c>
      <c r="I1991" s="31">
        <f>LET(pc,F1991,oc,H1991,IF(OR(pc="",oc=""),"",IF(AND(pc&gt;0,oc&gt;0),"Long Buildup",IF(AND(pc&lt;0,oc&gt;0),"Short Buildup",IF(AND(pc&gt;0,oc&lt;0),"Short Covering",IF(AND(pc&lt;0,oc&lt;0),"Long Unwinding","Flat"))))))</f>
        <v/>
      </c>
      <c r="J1991" s="31">
        <f>LET(pc,ABS(F1991),oc,ABS(H1991),IF(OR(pc="",oc=""),"",MAX(1,MIN(5,ROUND((pc*0.5+oc*0.00001)*5,0))))))</f>
        <v/>
      </c>
    </row>
    <row r="1992">
      <c r="A1992" s="31" t="n">
        <v>1990</v>
      </c>
      <c r="B1992" s="31">
        <f>CHAIN_RAW!D1990</f>
        <v/>
      </c>
      <c r="C1992" s="31">
        <f>CHAIN_RAW!A1990</f>
        <v/>
      </c>
      <c r="D1992" s="31">
        <f>CHAIN_RAW!C1990</f>
        <v/>
      </c>
      <c r="E1992" s="31">
        <f>CHAIN_RAW!E1990</f>
        <v/>
      </c>
      <c r="F1992" s="31">
        <f>CHAIN_RAW!F1990</f>
        <v/>
      </c>
      <c r="G1992" s="31">
        <f>CHAIN_RAW!I1990</f>
        <v/>
      </c>
      <c r="H1992" s="31">
        <f>CHAIN_RAW!Q1990</f>
        <v/>
      </c>
      <c r="I1992" s="31">
        <f>LET(pc,F1992,oc,H1992,IF(OR(pc="",oc=""),"",IF(AND(pc&gt;0,oc&gt;0),"Long Buildup",IF(AND(pc&lt;0,oc&gt;0),"Short Buildup",IF(AND(pc&gt;0,oc&lt;0),"Short Covering",IF(AND(pc&lt;0,oc&lt;0),"Long Unwinding","Flat"))))))</f>
        <v/>
      </c>
      <c r="J1992" s="31">
        <f>LET(pc,ABS(F1992),oc,ABS(H1992),IF(OR(pc="",oc=""),"",MAX(1,MIN(5,ROUND((pc*0.5+oc*0.00001)*5,0))))))</f>
        <v/>
      </c>
    </row>
    <row r="1993">
      <c r="A1993" s="31" t="n">
        <v>1991</v>
      </c>
      <c r="B1993" s="31">
        <f>CHAIN_RAW!D1991</f>
        <v/>
      </c>
      <c r="C1993" s="31">
        <f>CHAIN_RAW!A1991</f>
        <v/>
      </c>
      <c r="D1993" s="31">
        <f>CHAIN_RAW!C1991</f>
        <v/>
      </c>
      <c r="E1993" s="31">
        <f>CHAIN_RAW!E1991</f>
        <v/>
      </c>
      <c r="F1993" s="31">
        <f>CHAIN_RAW!F1991</f>
        <v/>
      </c>
      <c r="G1993" s="31">
        <f>CHAIN_RAW!I1991</f>
        <v/>
      </c>
      <c r="H1993" s="31">
        <f>CHAIN_RAW!Q1991</f>
        <v/>
      </c>
      <c r="I1993" s="31">
        <f>LET(pc,F1993,oc,H1993,IF(OR(pc="",oc=""),"",IF(AND(pc&gt;0,oc&gt;0),"Long Buildup",IF(AND(pc&lt;0,oc&gt;0),"Short Buildup",IF(AND(pc&gt;0,oc&lt;0),"Short Covering",IF(AND(pc&lt;0,oc&lt;0),"Long Unwinding","Flat"))))))</f>
        <v/>
      </c>
      <c r="J1993" s="31">
        <f>LET(pc,ABS(F1993),oc,ABS(H1993),IF(OR(pc="",oc=""),"",MAX(1,MIN(5,ROUND((pc*0.5+oc*0.00001)*5,0))))))</f>
        <v/>
      </c>
    </row>
    <row r="1994">
      <c r="A1994" s="31" t="n">
        <v>1992</v>
      </c>
      <c r="B1994" s="31">
        <f>CHAIN_RAW!D1992</f>
        <v/>
      </c>
      <c r="C1994" s="31">
        <f>CHAIN_RAW!A1992</f>
        <v/>
      </c>
      <c r="D1994" s="31">
        <f>CHAIN_RAW!C1992</f>
        <v/>
      </c>
      <c r="E1994" s="31">
        <f>CHAIN_RAW!E1992</f>
        <v/>
      </c>
      <c r="F1994" s="31">
        <f>CHAIN_RAW!F1992</f>
        <v/>
      </c>
      <c r="G1994" s="31">
        <f>CHAIN_RAW!I1992</f>
        <v/>
      </c>
      <c r="H1994" s="31">
        <f>CHAIN_RAW!Q1992</f>
        <v/>
      </c>
      <c r="I1994" s="31">
        <f>LET(pc,F1994,oc,H1994,IF(OR(pc="",oc=""),"",IF(AND(pc&gt;0,oc&gt;0),"Long Buildup",IF(AND(pc&lt;0,oc&gt;0),"Short Buildup",IF(AND(pc&gt;0,oc&lt;0),"Short Covering",IF(AND(pc&lt;0,oc&lt;0),"Long Unwinding","Flat"))))))</f>
        <v/>
      </c>
      <c r="J1994" s="31">
        <f>LET(pc,ABS(F1994),oc,ABS(H1994),IF(OR(pc="",oc=""),"",MAX(1,MIN(5,ROUND((pc*0.5+oc*0.00001)*5,0))))))</f>
        <v/>
      </c>
    </row>
    <row r="1995">
      <c r="A1995" s="31" t="n">
        <v>1993</v>
      </c>
      <c r="B1995" s="31">
        <f>CHAIN_RAW!D1993</f>
        <v/>
      </c>
      <c r="C1995" s="31">
        <f>CHAIN_RAW!A1993</f>
        <v/>
      </c>
      <c r="D1995" s="31">
        <f>CHAIN_RAW!C1993</f>
        <v/>
      </c>
      <c r="E1995" s="31">
        <f>CHAIN_RAW!E1993</f>
        <v/>
      </c>
      <c r="F1995" s="31">
        <f>CHAIN_RAW!F1993</f>
        <v/>
      </c>
      <c r="G1995" s="31">
        <f>CHAIN_RAW!I1993</f>
        <v/>
      </c>
      <c r="H1995" s="31">
        <f>CHAIN_RAW!Q1993</f>
        <v/>
      </c>
      <c r="I1995" s="31">
        <f>LET(pc,F1995,oc,H1995,IF(OR(pc="",oc=""),"",IF(AND(pc&gt;0,oc&gt;0),"Long Buildup",IF(AND(pc&lt;0,oc&gt;0),"Short Buildup",IF(AND(pc&gt;0,oc&lt;0),"Short Covering",IF(AND(pc&lt;0,oc&lt;0),"Long Unwinding","Flat"))))))</f>
        <v/>
      </c>
      <c r="J1995" s="31">
        <f>LET(pc,ABS(F1995),oc,ABS(H1995),IF(OR(pc="",oc=""),"",MAX(1,MIN(5,ROUND((pc*0.5+oc*0.00001)*5,0))))))</f>
        <v/>
      </c>
    </row>
    <row r="1996">
      <c r="A1996" s="31" t="n">
        <v>1994</v>
      </c>
      <c r="B1996" s="31">
        <f>CHAIN_RAW!D1994</f>
        <v/>
      </c>
      <c r="C1996" s="31">
        <f>CHAIN_RAW!A1994</f>
        <v/>
      </c>
      <c r="D1996" s="31">
        <f>CHAIN_RAW!C1994</f>
        <v/>
      </c>
      <c r="E1996" s="31">
        <f>CHAIN_RAW!E1994</f>
        <v/>
      </c>
      <c r="F1996" s="31">
        <f>CHAIN_RAW!F1994</f>
        <v/>
      </c>
      <c r="G1996" s="31">
        <f>CHAIN_RAW!I1994</f>
        <v/>
      </c>
      <c r="H1996" s="31">
        <f>CHAIN_RAW!Q1994</f>
        <v/>
      </c>
      <c r="I1996" s="31">
        <f>LET(pc,F1996,oc,H1996,IF(OR(pc="",oc=""),"",IF(AND(pc&gt;0,oc&gt;0),"Long Buildup",IF(AND(pc&lt;0,oc&gt;0),"Short Buildup",IF(AND(pc&gt;0,oc&lt;0),"Short Covering",IF(AND(pc&lt;0,oc&lt;0),"Long Unwinding","Flat"))))))</f>
        <v/>
      </c>
      <c r="J1996" s="31">
        <f>LET(pc,ABS(F1996),oc,ABS(H1996),IF(OR(pc="",oc=""),"",MAX(1,MIN(5,ROUND((pc*0.5+oc*0.00001)*5,0))))))</f>
        <v/>
      </c>
    </row>
    <row r="1997">
      <c r="A1997" s="31" t="n">
        <v>1995</v>
      </c>
      <c r="B1997" s="31">
        <f>CHAIN_RAW!D1995</f>
        <v/>
      </c>
      <c r="C1997" s="31">
        <f>CHAIN_RAW!A1995</f>
        <v/>
      </c>
      <c r="D1997" s="31">
        <f>CHAIN_RAW!C1995</f>
        <v/>
      </c>
      <c r="E1997" s="31">
        <f>CHAIN_RAW!E1995</f>
        <v/>
      </c>
      <c r="F1997" s="31">
        <f>CHAIN_RAW!F1995</f>
        <v/>
      </c>
      <c r="G1997" s="31">
        <f>CHAIN_RAW!I1995</f>
        <v/>
      </c>
      <c r="H1997" s="31">
        <f>CHAIN_RAW!Q1995</f>
        <v/>
      </c>
      <c r="I1997" s="31">
        <f>LET(pc,F1997,oc,H1997,IF(OR(pc="",oc=""),"",IF(AND(pc&gt;0,oc&gt;0),"Long Buildup",IF(AND(pc&lt;0,oc&gt;0),"Short Buildup",IF(AND(pc&gt;0,oc&lt;0),"Short Covering",IF(AND(pc&lt;0,oc&lt;0),"Long Unwinding","Flat"))))))</f>
        <v/>
      </c>
      <c r="J1997" s="31">
        <f>LET(pc,ABS(F1997),oc,ABS(H1997),IF(OR(pc="",oc=""),"",MAX(1,MIN(5,ROUND((pc*0.5+oc*0.00001)*5,0))))))</f>
        <v/>
      </c>
    </row>
    <row r="1998">
      <c r="A1998" s="31" t="n">
        <v>1996</v>
      </c>
      <c r="B1998" s="31">
        <f>CHAIN_RAW!D1996</f>
        <v/>
      </c>
      <c r="C1998" s="31">
        <f>CHAIN_RAW!A1996</f>
        <v/>
      </c>
      <c r="D1998" s="31">
        <f>CHAIN_RAW!C1996</f>
        <v/>
      </c>
      <c r="E1998" s="31">
        <f>CHAIN_RAW!E1996</f>
        <v/>
      </c>
      <c r="F1998" s="31">
        <f>CHAIN_RAW!F1996</f>
        <v/>
      </c>
      <c r="G1998" s="31">
        <f>CHAIN_RAW!I1996</f>
        <v/>
      </c>
      <c r="H1998" s="31">
        <f>CHAIN_RAW!Q1996</f>
        <v/>
      </c>
      <c r="I1998" s="31">
        <f>LET(pc,F1998,oc,H1998,IF(OR(pc="",oc=""),"",IF(AND(pc&gt;0,oc&gt;0),"Long Buildup",IF(AND(pc&lt;0,oc&gt;0),"Short Buildup",IF(AND(pc&gt;0,oc&lt;0),"Short Covering",IF(AND(pc&lt;0,oc&lt;0),"Long Unwinding","Flat"))))))</f>
        <v/>
      </c>
      <c r="J1998" s="31">
        <f>LET(pc,ABS(F1998),oc,ABS(H1998),IF(OR(pc="",oc=""),"",MAX(1,MIN(5,ROUND((pc*0.5+oc*0.00001)*5,0))))))</f>
        <v/>
      </c>
    </row>
    <row r="1999">
      <c r="A1999" s="31" t="n">
        <v>1997</v>
      </c>
      <c r="B1999" s="31">
        <f>CHAIN_RAW!D1997</f>
        <v/>
      </c>
      <c r="C1999" s="31">
        <f>CHAIN_RAW!A1997</f>
        <v/>
      </c>
      <c r="D1999" s="31">
        <f>CHAIN_RAW!C1997</f>
        <v/>
      </c>
      <c r="E1999" s="31">
        <f>CHAIN_RAW!E1997</f>
        <v/>
      </c>
      <c r="F1999" s="31">
        <f>CHAIN_RAW!F1997</f>
        <v/>
      </c>
      <c r="G1999" s="31">
        <f>CHAIN_RAW!I1997</f>
        <v/>
      </c>
      <c r="H1999" s="31">
        <f>CHAIN_RAW!Q1997</f>
        <v/>
      </c>
      <c r="I1999" s="31">
        <f>LET(pc,F1999,oc,H1999,IF(OR(pc="",oc=""),"",IF(AND(pc&gt;0,oc&gt;0),"Long Buildup",IF(AND(pc&lt;0,oc&gt;0),"Short Buildup",IF(AND(pc&gt;0,oc&lt;0),"Short Covering",IF(AND(pc&lt;0,oc&lt;0),"Long Unwinding","Flat"))))))</f>
        <v/>
      </c>
      <c r="J1999" s="31">
        <f>LET(pc,ABS(F1999),oc,ABS(H1999),IF(OR(pc="",oc=""),"",MAX(1,MIN(5,ROUND((pc*0.5+oc*0.00001)*5,0))))))</f>
        <v/>
      </c>
    </row>
    <row r="2000">
      <c r="A2000" s="31" t="n">
        <v>1998</v>
      </c>
      <c r="B2000" s="31">
        <f>CHAIN_RAW!D1998</f>
        <v/>
      </c>
      <c r="C2000" s="31">
        <f>CHAIN_RAW!A1998</f>
        <v/>
      </c>
      <c r="D2000" s="31">
        <f>CHAIN_RAW!C1998</f>
        <v/>
      </c>
      <c r="E2000" s="31">
        <f>CHAIN_RAW!E1998</f>
        <v/>
      </c>
      <c r="F2000" s="31">
        <f>CHAIN_RAW!F1998</f>
        <v/>
      </c>
      <c r="G2000" s="31">
        <f>CHAIN_RAW!I1998</f>
        <v/>
      </c>
      <c r="H2000" s="31">
        <f>CHAIN_RAW!Q1998</f>
        <v/>
      </c>
      <c r="I2000" s="31">
        <f>LET(pc,F2000,oc,H2000,IF(OR(pc="",oc=""),"",IF(AND(pc&gt;0,oc&gt;0),"Long Buildup",IF(AND(pc&lt;0,oc&gt;0),"Short Buildup",IF(AND(pc&gt;0,oc&lt;0),"Short Covering",IF(AND(pc&lt;0,oc&lt;0),"Long Unwinding","Flat"))))))</f>
        <v/>
      </c>
      <c r="J2000" s="31">
        <f>LET(pc,ABS(F2000),oc,ABS(H2000),IF(OR(pc="",oc=""),"",MAX(1,MIN(5,ROUND((pc*0.5+oc*0.00001)*5,0))))))</f>
        <v/>
      </c>
    </row>
    <row r="2001">
      <c r="A2001" s="31" t="n">
        <v>1999</v>
      </c>
      <c r="B2001" s="31">
        <f>CHAIN_RAW!D1999</f>
        <v/>
      </c>
      <c r="C2001" s="31">
        <f>CHAIN_RAW!A1999</f>
        <v/>
      </c>
      <c r="D2001" s="31">
        <f>CHAIN_RAW!C1999</f>
        <v/>
      </c>
      <c r="E2001" s="31">
        <f>CHAIN_RAW!E1999</f>
        <v/>
      </c>
      <c r="F2001" s="31">
        <f>CHAIN_RAW!F1999</f>
        <v/>
      </c>
      <c r="G2001" s="31">
        <f>CHAIN_RAW!I1999</f>
        <v/>
      </c>
      <c r="H2001" s="31">
        <f>CHAIN_RAW!Q1999</f>
        <v/>
      </c>
      <c r="I2001" s="31">
        <f>LET(pc,F2001,oc,H2001,IF(OR(pc="",oc=""),"",IF(AND(pc&gt;0,oc&gt;0),"Long Buildup",IF(AND(pc&lt;0,oc&gt;0),"Short Buildup",IF(AND(pc&gt;0,oc&lt;0),"Short Covering",IF(AND(pc&lt;0,oc&lt;0),"Long Unwinding","Flat"))))))</f>
        <v/>
      </c>
      <c r="J2001" s="31">
        <f>LET(pc,ABS(F2001),oc,ABS(H2001),IF(OR(pc="",oc=""),"",MAX(1,MIN(5,ROUND((pc*0.5+oc*0.00001)*5,0))))))</f>
        <v/>
      </c>
    </row>
    <row r="2002">
      <c r="A2002" s="31" t="n">
        <v>2000</v>
      </c>
      <c r="B2002" s="31">
        <f>CHAIN_RAW!D2000</f>
        <v/>
      </c>
      <c r="C2002" s="31">
        <f>CHAIN_RAW!A2000</f>
        <v/>
      </c>
      <c r="D2002" s="31">
        <f>CHAIN_RAW!C2000</f>
        <v/>
      </c>
      <c r="E2002" s="31">
        <f>CHAIN_RAW!E2000</f>
        <v/>
      </c>
      <c r="F2002" s="31">
        <f>CHAIN_RAW!F2000</f>
        <v/>
      </c>
      <c r="G2002" s="31">
        <f>CHAIN_RAW!I2000</f>
        <v/>
      </c>
      <c r="H2002" s="31">
        <f>CHAIN_RAW!Q2000</f>
        <v/>
      </c>
      <c r="I2002" s="31">
        <f>LET(pc,F2002,oc,H2002,IF(OR(pc="",oc=""),"",IF(AND(pc&gt;0,oc&gt;0),"Long Buildup",IF(AND(pc&lt;0,oc&gt;0),"Short Buildup",IF(AND(pc&gt;0,oc&lt;0),"Short Covering",IF(AND(pc&lt;0,oc&lt;0),"Long Unwinding","Flat"))))))</f>
        <v/>
      </c>
      <c r="J2002" s="31">
        <f>LET(pc,ABS(F2002),oc,ABS(H2002),IF(OR(pc="",oc=""),"",MAX(1,MIN(5,ROUND((pc*0.5+oc*0.00001)*5,0))))))</f>
        <v/>
      </c>
    </row>
    <row r="2003">
      <c r="A2003" s="31" t="n">
        <v>2001</v>
      </c>
      <c r="B2003" s="31">
        <f>CHAIN_RAW!D2001</f>
        <v/>
      </c>
      <c r="C2003" s="31">
        <f>CHAIN_RAW!A2001</f>
        <v/>
      </c>
      <c r="D2003" s="31">
        <f>CHAIN_RAW!C2001</f>
        <v/>
      </c>
      <c r="E2003" s="31">
        <f>CHAIN_RAW!E2001</f>
        <v/>
      </c>
      <c r="F2003" s="31">
        <f>CHAIN_RAW!F2001</f>
        <v/>
      </c>
      <c r="G2003" s="31">
        <f>CHAIN_RAW!I2001</f>
        <v/>
      </c>
      <c r="H2003" s="31">
        <f>CHAIN_RAW!Q2001</f>
        <v/>
      </c>
      <c r="I2003" s="31">
        <f>LET(pc,F2003,oc,H2003,IF(OR(pc="",oc=""),"",IF(AND(pc&gt;0,oc&gt;0),"Long Buildup",IF(AND(pc&lt;0,oc&gt;0),"Short Buildup",IF(AND(pc&gt;0,oc&lt;0),"Short Covering",IF(AND(pc&lt;0,oc&lt;0),"Long Unwinding","Flat"))))))</f>
        <v/>
      </c>
      <c r="J2003" s="31">
        <f>LET(pc,ABS(F2003),oc,ABS(H2003),IF(OR(pc="",oc=""),"",MAX(1,MIN(5,ROUND((pc*0.5+oc*0.00001)*5,0))))))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</cols>
  <sheetData>
    <row r="1">
      <c r="A1" s="1" t="inlineStr">
        <is>
          <t>DELTA_PCR — Delta-weighted positioning (v3)</t>
        </is>
      </c>
    </row>
    <row r="3">
      <c r="A3" s="26" t="inlineStr">
        <is>
          <t>Spot</t>
        </is>
      </c>
      <c r="B3" s="27">
        <f>CONTROL!B4</f>
        <v/>
      </c>
    </row>
    <row r="4">
      <c r="A4" s="26" t="inlineStr">
        <is>
          <t>ATM</t>
        </is>
      </c>
      <c r="B4" s="27">
        <f>CHAIN_CALC!B5</f>
        <v/>
      </c>
    </row>
    <row r="5">
      <c r="A5" s="26" t="inlineStr">
        <is>
          <t>Regime</t>
        </is>
      </c>
      <c r="B5" s="27">
        <f>CHAIN_CALC!B33</f>
        <v/>
      </c>
    </row>
    <row r="6">
      <c r="A6" s="26" t="inlineStr">
        <is>
          <t>Direction</t>
        </is>
      </c>
      <c r="B6" s="27">
        <f>CHAIN_CALC!B36</f>
        <v/>
      </c>
    </row>
    <row r="8">
      <c r="A8" s="26" t="inlineStr">
        <is>
          <t>Weighted CE OI (Σ OI*|Δ|)</t>
        </is>
      </c>
      <c r="B8" s="27">
        <f>SUMPRODUCT(--(tblChainRaw[Option Type]="CE"),tblChainRaw[Open Interest],ABS(GREEKS!K4:K2003))</f>
        <v/>
      </c>
    </row>
    <row r="9">
      <c r="A9" s="26" t="inlineStr">
        <is>
          <t>Weighted PE OI (Σ OI*|Δ|)</t>
        </is>
      </c>
      <c r="B9" s="27">
        <f>SUMPRODUCT(--(tblChainRaw[Option Type]="PE"),tblChainRaw[Open Interest],ABS(GREEKS!K4:K2003))</f>
        <v/>
      </c>
    </row>
    <row r="10">
      <c r="A10" s="26" t="inlineStr">
        <is>
          <t>Delta PCR</t>
        </is>
      </c>
      <c r="B10" s="27">
        <f>IF(B8=0,"",B9/B8)</f>
        <v/>
      </c>
    </row>
    <row r="11">
      <c r="A11" s="26" t="inlineStr">
        <is>
          <t>Delta Bias</t>
        </is>
      </c>
      <c r="B11" s="27">
        <f>IF(B10="","",IF(B10&gt;1.05,"Bearish",IF(B10&lt;0.95,"Bullish","Neutral")))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GAMMA_THETA_MAP — Exposure by Strike (v3)</t>
        </is>
      </c>
    </row>
    <row r="3">
      <c r="A3" s="25" t="inlineStr">
        <is>
          <t>Strike</t>
        </is>
      </c>
      <c r="B3" s="25" t="inlineStr">
        <is>
          <t>CE OI</t>
        </is>
      </c>
      <c r="C3" s="25" t="inlineStr">
        <is>
          <t>PE OI</t>
        </is>
      </c>
      <c r="D3" s="25" t="inlineStr">
        <is>
          <t>CE GammaExp</t>
        </is>
      </c>
      <c r="E3" s="25" t="inlineStr">
        <is>
          <t>PE GammaExp</t>
        </is>
      </c>
      <c r="F3" s="25" t="inlineStr">
        <is>
          <t>Net GammaExp</t>
        </is>
      </c>
      <c r="G3" s="25" t="inlineStr">
        <is>
          <t>CE ThetaExp/day</t>
        </is>
      </c>
      <c r="H3" s="25" t="inlineStr">
        <is>
          <t>PE ThetaExp/day</t>
        </is>
      </c>
      <c r="I3" s="25" t="inlineStr">
        <is>
          <t>Net ThetaExp/day</t>
        </is>
      </c>
    </row>
    <row r="4">
      <c r="A4" s="31">
        <f>IF(CHAIN_CALC!B5="","",CHAIN_CALC!B5+(-100)*CONTROL!B6)</f>
        <v/>
      </c>
      <c r="B4" s="31">
        <f>SUMIFS(tblChainRaw[Open Interest],tblChainRaw[Strike Price],A4,tblChainRaw[Option Type],"CE")</f>
        <v/>
      </c>
      <c r="C4" s="31">
        <f>SUMIFS(tblChainRaw[Open Interest],tblChainRaw[Strike Price],A4,tblChainRaw[Option Type],"PE")</f>
        <v/>
      </c>
      <c r="D4" s="31">
        <f>LET(s,CONTROL!B4,ls,CONTROL!B5,SUMPRODUCT(--(tblChainRaw[Strike Price]=A4),--(tblChainRaw[Option Type]="CE"),tblChainRaw[Open Interest],GREEKS!L4:L2003)*s^2*ls)</f>
        <v/>
      </c>
      <c r="E4" s="31">
        <f>LET(s,CONTROL!B4,ls,CONTROL!B5,SUMPRODUCT(--(tblChainRaw[Strike Price]=A4),--(tblChainRaw[Option Type]="PE"),tblChainRaw[Open Interest],GREEKS!L4:L2003)*s^2*ls)</f>
        <v/>
      </c>
      <c r="F4" s="31">
        <f>D4-E4</f>
        <v/>
      </c>
      <c r="G4" s="31">
        <f>LET(ls,CONTROL!B5,SUMPRODUCT(--(tblChainRaw[Strike Price]=A4),--(tblChainRaw[Option Type]="CE"),tblChainRaw[Open Interest],GREEKS!M4:M2003)*ls)</f>
        <v/>
      </c>
      <c r="H4" s="31">
        <f>LET(ls,CONTROL!B5,SUMPRODUCT(--(tblChainRaw[Strike Price]=A4),--(tblChainRaw[Option Type]="PE"),tblChainRaw[Open Interest],GREEKS!M4:M2003)*ls)</f>
        <v/>
      </c>
      <c r="I4" s="31">
        <f>G4+H4</f>
        <v/>
      </c>
    </row>
    <row r="5">
      <c r="A5" s="31">
        <f>IF(CHAIN_CALC!B5="","",CHAIN_CALC!B5+(-99)*CONTROL!B6)</f>
        <v/>
      </c>
      <c r="B5" s="31">
        <f>SUMIFS(tblChainRaw[Open Interest],tblChainRaw[Strike Price],A5,tblChainRaw[Option Type],"CE")</f>
        <v/>
      </c>
      <c r="C5" s="31">
        <f>SUMIFS(tblChainRaw[Open Interest],tblChainRaw[Strike Price],A5,tblChainRaw[Option Type],"PE")</f>
        <v/>
      </c>
      <c r="D5" s="31">
        <f>LET(s,CONTROL!B4,ls,CONTROL!B5,SUMPRODUCT(--(tblChainRaw[Strike Price]=A5),--(tblChainRaw[Option Type]="CE"),tblChainRaw[Open Interest],GREEKS!L4:L2003)*s^2*ls)</f>
        <v/>
      </c>
      <c r="E5" s="31">
        <f>LET(s,CONTROL!B4,ls,CONTROL!B5,SUMPRODUCT(--(tblChainRaw[Strike Price]=A5),--(tblChainRaw[Option Type]="PE"),tblChainRaw[Open Interest],GREEKS!L4:L2003)*s^2*ls)</f>
        <v/>
      </c>
      <c r="F5" s="31">
        <f>D5-E5</f>
        <v/>
      </c>
      <c r="G5" s="31">
        <f>LET(ls,CONTROL!B5,SUMPRODUCT(--(tblChainRaw[Strike Price]=A5),--(tblChainRaw[Option Type]="CE"),tblChainRaw[Open Interest],GREEKS!M4:M2003)*ls)</f>
        <v/>
      </c>
      <c r="H5" s="31">
        <f>LET(ls,CONTROL!B5,SUMPRODUCT(--(tblChainRaw[Strike Price]=A5),--(tblChainRaw[Option Type]="PE"),tblChainRaw[Open Interest],GREEKS!M4:M2003)*ls)</f>
        <v/>
      </c>
      <c r="I5" s="31">
        <f>G5+H5</f>
        <v/>
      </c>
    </row>
    <row r="6">
      <c r="A6" s="31">
        <f>IF(CHAIN_CALC!B5="","",CHAIN_CALC!B5+(-98)*CONTROL!B6)</f>
        <v/>
      </c>
      <c r="B6" s="31">
        <f>SUMIFS(tblChainRaw[Open Interest],tblChainRaw[Strike Price],A6,tblChainRaw[Option Type],"CE")</f>
        <v/>
      </c>
      <c r="C6" s="31">
        <f>SUMIFS(tblChainRaw[Open Interest],tblChainRaw[Strike Price],A6,tblChainRaw[Option Type],"PE")</f>
        <v/>
      </c>
      <c r="D6" s="31">
        <f>LET(s,CONTROL!B4,ls,CONTROL!B5,SUMPRODUCT(--(tblChainRaw[Strike Price]=A6),--(tblChainRaw[Option Type]="CE"),tblChainRaw[Open Interest],GREEKS!L4:L2003)*s^2*ls)</f>
        <v/>
      </c>
      <c r="E6" s="31">
        <f>LET(s,CONTROL!B4,ls,CONTROL!B5,SUMPRODUCT(--(tblChainRaw[Strike Price]=A6),--(tblChainRaw[Option Type]="PE"),tblChainRaw[Open Interest],GREEKS!L4:L2003)*s^2*ls)</f>
        <v/>
      </c>
      <c r="F6" s="31">
        <f>D6-E6</f>
        <v/>
      </c>
      <c r="G6" s="31">
        <f>LET(ls,CONTROL!B5,SUMPRODUCT(--(tblChainRaw[Strike Price]=A6),--(tblChainRaw[Option Type]="CE"),tblChainRaw[Open Interest],GREEKS!M4:M2003)*ls)</f>
        <v/>
      </c>
      <c r="H6" s="31">
        <f>LET(ls,CONTROL!B5,SUMPRODUCT(--(tblChainRaw[Strike Price]=A6),--(tblChainRaw[Option Type]="PE"),tblChainRaw[Open Interest],GREEKS!M4:M2003)*ls)</f>
        <v/>
      </c>
      <c r="I6" s="31">
        <f>G6+H6</f>
        <v/>
      </c>
    </row>
    <row r="7">
      <c r="A7" s="31">
        <f>IF(CHAIN_CALC!B5="","",CHAIN_CALC!B5+(-97)*CONTROL!B6)</f>
        <v/>
      </c>
      <c r="B7" s="31">
        <f>SUMIFS(tblChainRaw[Open Interest],tblChainRaw[Strike Price],A7,tblChainRaw[Option Type],"CE")</f>
        <v/>
      </c>
      <c r="C7" s="31">
        <f>SUMIFS(tblChainRaw[Open Interest],tblChainRaw[Strike Price],A7,tblChainRaw[Option Type],"PE")</f>
        <v/>
      </c>
      <c r="D7" s="31">
        <f>LET(s,CONTROL!B4,ls,CONTROL!B5,SUMPRODUCT(--(tblChainRaw[Strike Price]=A7),--(tblChainRaw[Option Type]="CE"),tblChainRaw[Open Interest],GREEKS!L4:L2003)*s^2*ls)</f>
        <v/>
      </c>
      <c r="E7" s="31">
        <f>LET(s,CONTROL!B4,ls,CONTROL!B5,SUMPRODUCT(--(tblChainRaw[Strike Price]=A7),--(tblChainRaw[Option Type]="PE"),tblChainRaw[Open Interest],GREEKS!L4:L2003)*s^2*ls)</f>
        <v/>
      </c>
      <c r="F7" s="31">
        <f>D7-E7</f>
        <v/>
      </c>
      <c r="G7" s="31">
        <f>LET(ls,CONTROL!B5,SUMPRODUCT(--(tblChainRaw[Strike Price]=A7),--(tblChainRaw[Option Type]="CE"),tblChainRaw[Open Interest],GREEKS!M4:M2003)*ls)</f>
        <v/>
      </c>
      <c r="H7" s="31">
        <f>LET(ls,CONTROL!B5,SUMPRODUCT(--(tblChainRaw[Strike Price]=A7),--(tblChainRaw[Option Type]="PE"),tblChainRaw[Open Interest],GREEKS!M4:M2003)*ls)</f>
        <v/>
      </c>
      <c r="I7" s="31">
        <f>G7+H7</f>
        <v/>
      </c>
    </row>
    <row r="8">
      <c r="A8" s="31">
        <f>IF(CHAIN_CALC!B5="","",CHAIN_CALC!B5+(-96)*CONTROL!B6)</f>
        <v/>
      </c>
      <c r="B8" s="31">
        <f>SUMIFS(tblChainRaw[Open Interest],tblChainRaw[Strike Price],A8,tblChainRaw[Option Type],"CE")</f>
        <v/>
      </c>
      <c r="C8" s="31">
        <f>SUMIFS(tblChainRaw[Open Interest],tblChainRaw[Strike Price],A8,tblChainRaw[Option Type],"PE")</f>
        <v/>
      </c>
      <c r="D8" s="31">
        <f>LET(s,CONTROL!B4,ls,CONTROL!B5,SUMPRODUCT(--(tblChainRaw[Strike Price]=A8),--(tblChainRaw[Option Type]="CE"),tblChainRaw[Open Interest],GREEKS!L4:L2003)*s^2*ls)</f>
        <v/>
      </c>
      <c r="E8" s="31">
        <f>LET(s,CONTROL!B4,ls,CONTROL!B5,SUMPRODUCT(--(tblChainRaw[Strike Price]=A8),--(tblChainRaw[Option Type]="PE"),tblChainRaw[Open Interest],GREEKS!L4:L2003)*s^2*ls)</f>
        <v/>
      </c>
      <c r="F8" s="31">
        <f>D8-E8</f>
        <v/>
      </c>
      <c r="G8" s="31">
        <f>LET(ls,CONTROL!B5,SUMPRODUCT(--(tblChainRaw[Strike Price]=A8),--(tblChainRaw[Option Type]="CE"),tblChainRaw[Open Interest],GREEKS!M4:M2003)*ls)</f>
        <v/>
      </c>
      <c r="H8" s="31">
        <f>LET(ls,CONTROL!B5,SUMPRODUCT(--(tblChainRaw[Strike Price]=A8),--(tblChainRaw[Option Type]="PE"),tblChainRaw[Open Interest],GREEKS!M4:M2003)*ls)</f>
        <v/>
      </c>
      <c r="I8" s="31">
        <f>G8+H8</f>
        <v/>
      </c>
    </row>
    <row r="9">
      <c r="A9" s="31">
        <f>IF(CHAIN_CALC!B5="","",CHAIN_CALC!B5+(-95)*CONTROL!B6)</f>
        <v/>
      </c>
      <c r="B9" s="31">
        <f>SUMIFS(tblChainRaw[Open Interest],tblChainRaw[Strike Price],A9,tblChainRaw[Option Type],"CE")</f>
        <v/>
      </c>
      <c r="C9" s="31">
        <f>SUMIFS(tblChainRaw[Open Interest],tblChainRaw[Strike Price],A9,tblChainRaw[Option Type],"PE")</f>
        <v/>
      </c>
      <c r="D9" s="31">
        <f>LET(s,CONTROL!B4,ls,CONTROL!B5,SUMPRODUCT(--(tblChainRaw[Strike Price]=A9),--(tblChainRaw[Option Type]="CE"),tblChainRaw[Open Interest],GREEKS!L4:L2003)*s^2*ls)</f>
        <v/>
      </c>
      <c r="E9" s="31">
        <f>LET(s,CONTROL!B4,ls,CONTROL!B5,SUMPRODUCT(--(tblChainRaw[Strike Price]=A9),--(tblChainRaw[Option Type]="PE"),tblChainRaw[Open Interest],GREEKS!L4:L2003)*s^2*ls)</f>
        <v/>
      </c>
      <c r="F9" s="31">
        <f>D9-E9</f>
        <v/>
      </c>
      <c r="G9" s="31">
        <f>LET(ls,CONTROL!B5,SUMPRODUCT(--(tblChainRaw[Strike Price]=A9),--(tblChainRaw[Option Type]="CE"),tblChainRaw[Open Interest],GREEKS!M4:M2003)*ls)</f>
        <v/>
      </c>
      <c r="H9" s="31">
        <f>LET(ls,CONTROL!B5,SUMPRODUCT(--(tblChainRaw[Strike Price]=A9),--(tblChainRaw[Option Type]="PE"),tblChainRaw[Open Interest],GREEKS!M4:M2003)*ls)</f>
        <v/>
      </c>
      <c r="I9" s="31">
        <f>G9+H9</f>
        <v/>
      </c>
    </row>
    <row r="10">
      <c r="A10" s="31">
        <f>IF(CHAIN_CALC!B5="","",CHAIN_CALC!B5+(-94)*CONTROL!B6)</f>
        <v/>
      </c>
      <c r="B10" s="31">
        <f>SUMIFS(tblChainRaw[Open Interest],tblChainRaw[Strike Price],A10,tblChainRaw[Option Type],"CE")</f>
        <v/>
      </c>
      <c r="C10" s="31">
        <f>SUMIFS(tblChainRaw[Open Interest],tblChainRaw[Strike Price],A10,tblChainRaw[Option Type],"PE")</f>
        <v/>
      </c>
      <c r="D10" s="31">
        <f>LET(s,CONTROL!B4,ls,CONTROL!B5,SUMPRODUCT(--(tblChainRaw[Strike Price]=A10),--(tblChainRaw[Option Type]="CE"),tblChainRaw[Open Interest],GREEKS!L4:L2003)*s^2*ls)</f>
        <v/>
      </c>
      <c r="E10" s="31">
        <f>LET(s,CONTROL!B4,ls,CONTROL!B5,SUMPRODUCT(--(tblChainRaw[Strike Price]=A10),--(tblChainRaw[Option Type]="PE"),tblChainRaw[Open Interest],GREEKS!L4:L2003)*s^2*ls)</f>
        <v/>
      </c>
      <c r="F10" s="31">
        <f>D10-E10</f>
        <v/>
      </c>
      <c r="G10" s="31">
        <f>LET(ls,CONTROL!B5,SUMPRODUCT(--(tblChainRaw[Strike Price]=A10),--(tblChainRaw[Option Type]="CE"),tblChainRaw[Open Interest],GREEKS!M4:M2003)*ls)</f>
        <v/>
      </c>
      <c r="H10" s="31">
        <f>LET(ls,CONTROL!B5,SUMPRODUCT(--(tblChainRaw[Strike Price]=A10),--(tblChainRaw[Option Type]="PE"),tblChainRaw[Open Interest],GREEKS!M4:M2003)*ls)</f>
        <v/>
      </c>
      <c r="I10" s="31">
        <f>G10+H10</f>
        <v/>
      </c>
    </row>
    <row r="11">
      <c r="A11" s="31">
        <f>IF(CHAIN_CALC!B5="","",CHAIN_CALC!B5+(-93)*CONTROL!B6)</f>
        <v/>
      </c>
      <c r="B11" s="31">
        <f>SUMIFS(tblChainRaw[Open Interest],tblChainRaw[Strike Price],A11,tblChainRaw[Option Type],"CE")</f>
        <v/>
      </c>
      <c r="C11" s="31">
        <f>SUMIFS(tblChainRaw[Open Interest],tblChainRaw[Strike Price],A11,tblChainRaw[Option Type],"PE")</f>
        <v/>
      </c>
      <c r="D11" s="31">
        <f>LET(s,CONTROL!B4,ls,CONTROL!B5,SUMPRODUCT(--(tblChainRaw[Strike Price]=A11),--(tblChainRaw[Option Type]="CE"),tblChainRaw[Open Interest],GREEKS!L4:L2003)*s^2*ls)</f>
        <v/>
      </c>
      <c r="E11" s="31">
        <f>LET(s,CONTROL!B4,ls,CONTROL!B5,SUMPRODUCT(--(tblChainRaw[Strike Price]=A11),--(tblChainRaw[Option Type]="PE"),tblChainRaw[Open Interest],GREEKS!L4:L2003)*s^2*ls)</f>
        <v/>
      </c>
      <c r="F11" s="31">
        <f>D11-E11</f>
        <v/>
      </c>
      <c r="G11" s="31">
        <f>LET(ls,CONTROL!B5,SUMPRODUCT(--(tblChainRaw[Strike Price]=A11),--(tblChainRaw[Option Type]="CE"),tblChainRaw[Open Interest],GREEKS!M4:M2003)*ls)</f>
        <v/>
      </c>
      <c r="H11" s="31">
        <f>LET(ls,CONTROL!B5,SUMPRODUCT(--(tblChainRaw[Strike Price]=A11),--(tblChainRaw[Option Type]="PE"),tblChainRaw[Open Interest],GREEKS!M4:M2003)*ls)</f>
        <v/>
      </c>
      <c r="I11" s="31">
        <f>G11+H11</f>
        <v/>
      </c>
    </row>
    <row r="12">
      <c r="A12" s="31">
        <f>IF(CHAIN_CALC!B5="","",CHAIN_CALC!B5+(-92)*CONTROL!B6)</f>
        <v/>
      </c>
      <c r="B12" s="31">
        <f>SUMIFS(tblChainRaw[Open Interest],tblChainRaw[Strike Price],A12,tblChainRaw[Option Type],"CE")</f>
        <v/>
      </c>
      <c r="C12" s="31">
        <f>SUMIFS(tblChainRaw[Open Interest],tblChainRaw[Strike Price],A12,tblChainRaw[Option Type],"PE")</f>
        <v/>
      </c>
      <c r="D12" s="31">
        <f>LET(s,CONTROL!B4,ls,CONTROL!B5,SUMPRODUCT(--(tblChainRaw[Strike Price]=A12),--(tblChainRaw[Option Type]="CE"),tblChainRaw[Open Interest],GREEKS!L4:L2003)*s^2*ls)</f>
        <v/>
      </c>
      <c r="E12" s="31">
        <f>LET(s,CONTROL!B4,ls,CONTROL!B5,SUMPRODUCT(--(tblChainRaw[Strike Price]=A12),--(tblChainRaw[Option Type]="PE"),tblChainRaw[Open Interest],GREEKS!L4:L2003)*s^2*ls)</f>
        <v/>
      </c>
      <c r="F12" s="31">
        <f>D12-E12</f>
        <v/>
      </c>
      <c r="G12" s="31">
        <f>LET(ls,CONTROL!B5,SUMPRODUCT(--(tblChainRaw[Strike Price]=A12),--(tblChainRaw[Option Type]="CE"),tblChainRaw[Open Interest],GREEKS!M4:M2003)*ls)</f>
        <v/>
      </c>
      <c r="H12" s="31">
        <f>LET(ls,CONTROL!B5,SUMPRODUCT(--(tblChainRaw[Strike Price]=A12),--(tblChainRaw[Option Type]="PE"),tblChainRaw[Open Interest],GREEKS!M4:M2003)*ls)</f>
        <v/>
      </c>
      <c r="I12" s="31">
        <f>G12+H12</f>
        <v/>
      </c>
    </row>
    <row r="13">
      <c r="A13" s="31">
        <f>IF(CHAIN_CALC!B5="","",CHAIN_CALC!B5+(-91)*CONTROL!B6)</f>
        <v/>
      </c>
      <c r="B13" s="31">
        <f>SUMIFS(tblChainRaw[Open Interest],tblChainRaw[Strike Price],A13,tblChainRaw[Option Type],"CE")</f>
        <v/>
      </c>
      <c r="C13" s="31">
        <f>SUMIFS(tblChainRaw[Open Interest],tblChainRaw[Strike Price],A13,tblChainRaw[Option Type],"PE")</f>
        <v/>
      </c>
      <c r="D13" s="31">
        <f>LET(s,CONTROL!B4,ls,CONTROL!B5,SUMPRODUCT(--(tblChainRaw[Strike Price]=A13),--(tblChainRaw[Option Type]="CE"),tblChainRaw[Open Interest],GREEKS!L4:L2003)*s^2*ls)</f>
        <v/>
      </c>
      <c r="E13" s="31">
        <f>LET(s,CONTROL!B4,ls,CONTROL!B5,SUMPRODUCT(--(tblChainRaw[Strike Price]=A13),--(tblChainRaw[Option Type]="PE"),tblChainRaw[Open Interest],GREEKS!L4:L2003)*s^2*ls)</f>
        <v/>
      </c>
      <c r="F13" s="31">
        <f>D13-E13</f>
        <v/>
      </c>
      <c r="G13" s="31">
        <f>LET(ls,CONTROL!B5,SUMPRODUCT(--(tblChainRaw[Strike Price]=A13),--(tblChainRaw[Option Type]="CE"),tblChainRaw[Open Interest],GREEKS!M4:M2003)*ls)</f>
        <v/>
      </c>
      <c r="H13" s="31">
        <f>LET(ls,CONTROL!B5,SUMPRODUCT(--(tblChainRaw[Strike Price]=A13),--(tblChainRaw[Option Type]="PE"),tblChainRaw[Open Interest],GREEKS!M4:M2003)*ls)</f>
        <v/>
      </c>
      <c r="I13" s="31">
        <f>G13+H13</f>
        <v/>
      </c>
    </row>
    <row r="14">
      <c r="A14" s="31">
        <f>IF(CHAIN_CALC!B5="","",CHAIN_CALC!B5+(-90)*CONTROL!B6)</f>
        <v/>
      </c>
      <c r="B14" s="31">
        <f>SUMIFS(tblChainRaw[Open Interest],tblChainRaw[Strike Price],A14,tblChainRaw[Option Type],"CE")</f>
        <v/>
      </c>
      <c r="C14" s="31">
        <f>SUMIFS(tblChainRaw[Open Interest],tblChainRaw[Strike Price],A14,tblChainRaw[Option Type],"PE")</f>
        <v/>
      </c>
      <c r="D14" s="31">
        <f>LET(s,CONTROL!B4,ls,CONTROL!B5,SUMPRODUCT(--(tblChainRaw[Strike Price]=A14),--(tblChainRaw[Option Type]="CE"),tblChainRaw[Open Interest],GREEKS!L4:L2003)*s^2*ls)</f>
        <v/>
      </c>
      <c r="E14" s="31">
        <f>LET(s,CONTROL!B4,ls,CONTROL!B5,SUMPRODUCT(--(tblChainRaw[Strike Price]=A14),--(tblChainRaw[Option Type]="PE"),tblChainRaw[Open Interest],GREEKS!L4:L2003)*s^2*ls)</f>
        <v/>
      </c>
      <c r="F14" s="31">
        <f>D14-E14</f>
        <v/>
      </c>
      <c r="G14" s="31">
        <f>LET(ls,CONTROL!B5,SUMPRODUCT(--(tblChainRaw[Strike Price]=A14),--(tblChainRaw[Option Type]="CE"),tblChainRaw[Open Interest],GREEKS!M4:M2003)*ls)</f>
        <v/>
      </c>
      <c r="H14" s="31">
        <f>LET(ls,CONTROL!B5,SUMPRODUCT(--(tblChainRaw[Strike Price]=A14),--(tblChainRaw[Option Type]="PE"),tblChainRaw[Open Interest],GREEKS!M4:M2003)*ls)</f>
        <v/>
      </c>
      <c r="I14" s="31">
        <f>G14+H14</f>
        <v/>
      </c>
    </row>
    <row r="15">
      <c r="A15" s="31">
        <f>IF(CHAIN_CALC!B5="","",CHAIN_CALC!B5+(-89)*CONTROL!B6)</f>
        <v/>
      </c>
      <c r="B15" s="31">
        <f>SUMIFS(tblChainRaw[Open Interest],tblChainRaw[Strike Price],A15,tblChainRaw[Option Type],"CE")</f>
        <v/>
      </c>
      <c r="C15" s="31">
        <f>SUMIFS(tblChainRaw[Open Interest],tblChainRaw[Strike Price],A15,tblChainRaw[Option Type],"PE")</f>
        <v/>
      </c>
      <c r="D15" s="31">
        <f>LET(s,CONTROL!B4,ls,CONTROL!B5,SUMPRODUCT(--(tblChainRaw[Strike Price]=A15),--(tblChainRaw[Option Type]="CE"),tblChainRaw[Open Interest],GREEKS!L4:L2003)*s^2*ls)</f>
        <v/>
      </c>
      <c r="E15" s="31">
        <f>LET(s,CONTROL!B4,ls,CONTROL!B5,SUMPRODUCT(--(tblChainRaw[Strike Price]=A15),--(tblChainRaw[Option Type]="PE"),tblChainRaw[Open Interest],GREEKS!L4:L2003)*s^2*ls)</f>
        <v/>
      </c>
      <c r="F15" s="31">
        <f>D15-E15</f>
        <v/>
      </c>
      <c r="G15" s="31">
        <f>LET(ls,CONTROL!B5,SUMPRODUCT(--(tblChainRaw[Strike Price]=A15),--(tblChainRaw[Option Type]="CE"),tblChainRaw[Open Interest],GREEKS!M4:M2003)*ls)</f>
        <v/>
      </c>
      <c r="H15" s="31">
        <f>LET(ls,CONTROL!B5,SUMPRODUCT(--(tblChainRaw[Strike Price]=A15),--(tblChainRaw[Option Type]="PE"),tblChainRaw[Open Interest],GREEKS!M4:M2003)*ls)</f>
        <v/>
      </c>
      <c r="I15" s="31">
        <f>G15+H15</f>
        <v/>
      </c>
    </row>
    <row r="16">
      <c r="A16" s="31">
        <f>IF(CHAIN_CALC!B5="","",CHAIN_CALC!B5+(-88)*CONTROL!B6)</f>
        <v/>
      </c>
      <c r="B16" s="31">
        <f>SUMIFS(tblChainRaw[Open Interest],tblChainRaw[Strike Price],A16,tblChainRaw[Option Type],"CE")</f>
        <v/>
      </c>
      <c r="C16" s="31">
        <f>SUMIFS(tblChainRaw[Open Interest],tblChainRaw[Strike Price],A16,tblChainRaw[Option Type],"PE")</f>
        <v/>
      </c>
      <c r="D16" s="31">
        <f>LET(s,CONTROL!B4,ls,CONTROL!B5,SUMPRODUCT(--(tblChainRaw[Strike Price]=A16),--(tblChainRaw[Option Type]="CE"),tblChainRaw[Open Interest],GREEKS!L4:L2003)*s^2*ls)</f>
        <v/>
      </c>
      <c r="E16" s="31">
        <f>LET(s,CONTROL!B4,ls,CONTROL!B5,SUMPRODUCT(--(tblChainRaw[Strike Price]=A16),--(tblChainRaw[Option Type]="PE"),tblChainRaw[Open Interest],GREEKS!L4:L2003)*s^2*ls)</f>
        <v/>
      </c>
      <c r="F16" s="31">
        <f>D16-E16</f>
        <v/>
      </c>
      <c r="G16" s="31">
        <f>LET(ls,CONTROL!B5,SUMPRODUCT(--(tblChainRaw[Strike Price]=A16),--(tblChainRaw[Option Type]="CE"),tblChainRaw[Open Interest],GREEKS!M4:M2003)*ls)</f>
        <v/>
      </c>
      <c r="H16" s="31">
        <f>LET(ls,CONTROL!B5,SUMPRODUCT(--(tblChainRaw[Strike Price]=A16),--(tblChainRaw[Option Type]="PE"),tblChainRaw[Open Interest],GREEKS!M4:M2003)*ls)</f>
        <v/>
      </c>
      <c r="I16" s="31">
        <f>G16+H16</f>
        <v/>
      </c>
    </row>
    <row r="17">
      <c r="A17" s="31">
        <f>IF(CHAIN_CALC!B5="","",CHAIN_CALC!B5+(-87)*CONTROL!B6)</f>
        <v/>
      </c>
      <c r="B17" s="31">
        <f>SUMIFS(tblChainRaw[Open Interest],tblChainRaw[Strike Price],A17,tblChainRaw[Option Type],"CE")</f>
        <v/>
      </c>
      <c r="C17" s="31">
        <f>SUMIFS(tblChainRaw[Open Interest],tblChainRaw[Strike Price],A17,tblChainRaw[Option Type],"PE")</f>
        <v/>
      </c>
      <c r="D17" s="31">
        <f>LET(s,CONTROL!B4,ls,CONTROL!B5,SUMPRODUCT(--(tblChainRaw[Strike Price]=A17),--(tblChainRaw[Option Type]="CE"),tblChainRaw[Open Interest],GREEKS!L4:L2003)*s^2*ls)</f>
        <v/>
      </c>
      <c r="E17" s="31">
        <f>LET(s,CONTROL!B4,ls,CONTROL!B5,SUMPRODUCT(--(tblChainRaw[Strike Price]=A17),--(tblChainRaw[Option Type]="PE"),tblChainRaw[Open Interest],GREEKS!L4:L2003)*s^2*ls)</f>
        <v/>
      </c>
      <c r="F17" s="31">
        <f>D17-E17</f>
        <v/>
      </c>
      <c r="G17" s="31">
        <f>LET(ls,CONTROL!B5,SUMPRODUCT(--(tblChainRaw[Strike Price]=A17),--(tblChainRaw[Option Type]="CE"),tblChainRaw[Open Interest],GREEKS!M4:M2003)*ls)</f>
        <v/>
      </c>
      <c r="H17" s="31">
        <f>LET(ls,CONTROL!B5,SUMPRODUCT(--(tblChainRaw[Strike Price]=A17),--(tblChainRaw[Option Type]="PE"),tblChainRaw[Open Interest],GREEKS!M4:M2003)*ls)</f>
        <v/>
      </c>
      <c r="I17" s="31">
        <f>G17+H17</f>
        <v/>
      </c>
    </row>
    <row r="18">
      <c r="A18" s="31">
        <f>IF(CHAIN_CALC!B5="","",CHAIN_CALC!B5+(-86)*CONTROL!B6)</f>
        <v/>
      </c>
      <c r="B18" s="31">
        <f>SUMIFS(tblChainRaw[Open Interest],tblChainRaw[Strike Price],A18,tblChainRaw[Option Type],"CE")</f>
        <v/>
      </c>
      <c r="C18" s="31">
        <f>SUMIFS(tblChainRaw[Open Interest],tblChainRaw[Strike Price],A18,tblChainRaw[Option Type],"PE")</f>
        <v/>
      </c>
      <c r="D18" s="31">
        <f>LET(s,CONTROL!B4,ls,CONTROL!B5,SUMPRODUCT(--(tblChainRaw[Strike Price]=A18),--(tblChainRaw[Option Type]="CE"),tblChainRaw[Open Interest],GREEKS!L4:L2003)*s^2*ls)</f>
        <v/>
      </c>
      <c r="E18" s="31">
        <f>LET(s,CONTROL!B4,ls,CONTROL!B5,SUMPRODUCT(--(tblChainRaw[Strike Price]=A18),--(tblChainRaw[Option Type]="PE"),tblChainRaw[Open Interest],GREEKS!L4:L2003)*s^2*ls)</f>
        <v/>
      </c>
      <c r="F18" s="31">
        <f>D18-E18</f>
        <v/>
      </c>
      <c r="G18" s="31">
        <f>LET(ls,CONTROL!B5,SUMPRODUCT(--(tblChainRaw[Strike Price]=A18),--(tblChainRaw[Option Type]="CE"),tblChainRaw[Open Interest],GREEKS!M4:M2003)*ls)</f>
        <v/>
      </c>
      <c r="H18" s="31">
        <f>LET(ls,CONTROL!B5,SUMPRODUCT(--(tblChainRaw[Strike Price]=A18),--(tblChainRaw[Option Type]="PE"),tblChainRaw[Open Interest],GREEKS!M4:M2003)*ls)</f>
        <v/>
      </c>
      <c r="I18" s="31">
        <f>G18+H18</f>
        <v/>
      </c>
    </row>
    <row r="19">
      <c r="A19" s="31">
        <f>IF(CHAIN_CALC!B5="","",CHAIN_CALC!B5+(-85)*CONTROL!B6)</f>
        <v/>
      </c>
      <c r="B19" s="31">
        <f>SUMIFS(tblChainRaw[Open Interest],tblChainRaw[Strike Price],A19,tblChainRaw[Option Type],"CE")</f>
        <v/>
      </c>
      <c r="C19" s="31">
        <f>SUMIFS(tblChainRaw[Open Interest],tblChainRaw[Strike Price],A19,tblChainRaw[Option Type],"PE")</f>
        <v/>
      </c>
      <c r="D19" s="31">
        <f>LET(s,CONTROL!B4,ls,CONTROL!B5,SUMPRODUCT(--(tblChainRaw[Strike Price]=A19),--(tblChainRaw[Option Type]="CE"),tblChainRaw[Open Interest],GREEKS!L4:L2003)*s^2*ls)</f>
        <v/>
      </c>
      <c r="E19" s="31">
        <f>LET(s,CONTROL!B4,ls,CONTROL!B5,SUMPRODUCT(--(tblChainRaw[Strike Price]=A19),--(tblChainRaw[Option Type]="PE"),tblChainRaw[Open Interest],GREEKS!L4:L2003)*s^2*ls)</f>
        <v/>
      </c>
      <c r="F19" s="31">
        <f>D19-E19</f>
        <v/>
      </c>
      <c r="G19" s="31">
        <f>LET(ls,CONTROL!B5,SUMPRODUCT(--(tblChainRaw[Strike Price]=A19),--(tblChainRaw[Option Type]="CE"),tblChainRaw[Open Interest],GREEKS!M4:M2003)*ls)</f>
        <v/>
      </c>
      <c r="H19" s="31">
        <f>LET(ls,CONTROL!B5,SUMPRODUCT(--(tblChainRaw[Strike Price]=A19),--(tblChainRaw[Option Type]="PE"),tblChainRaw[Open Interest],GREEKS!M4:M2003)*ls)</f>
        <v/>
      </c>
      <c r="I19" s="31">
        <f>G19+H19</f>
        <v/>
      </c>
    </row>
    <row r="20">
      <c r="A20" s="31">
        <f>IF(CHAIN_CALC!B5="","",CHAIN_CALC!B5+(-84)*CONTROL!B6)</f>
        <v/>
      </c>
      <c r="B20" s="31">
        <f>SUMIFS(tblChainRaw[Open Interest],tblChainRaw[Strike Price],A20,tblChainRaw[Option Type],"CE")</f>
        <v/>
      </c>
      <c r="C20" s="31">
        <f>SUMIFS(tblChainRaw[Open Interest],tblChainRaw[Strike Price],A20,tblChainRaw[Option Type],"PE")</f>
        <v/>
      </c>
      <c r="D20" s="31">
        <f>LET(s,CONTROL!B4,ls,CONTROL!B5,SUMPRODUCT(--(tblChainRaw[Strike Price]=A20),--(tblChainRaw[Option Type]="CE"),tblChainRaw[Open Interest],GREEKS!L4:L2003)*s^2*ls)</f>
        <v/>
      </c>
      <c r="E20" s="31">
        <f>LET(s,CONTROL!B4,ls,CONTROL!B5,SUMPRODUCT(--(tblChainRaw[Strike Price]=A20),--(tblChainRaw[Option Type]="PE"),tblChainRaw[Open Interest],GREEKS!L4:L2003)*s^2*ls)</f>
        <v/>
      </c>
      <c r="F20" s="31">
        <f>D20-E20</f>
        <v/>
      </c>
      <c r="G20" s="31">
        <f>LET(ls,CONTROL!B5,SUMPRODUCT(--(tblChainRaw[Strike Price]=A20),--(tblChainRaw[Option Type]="CE"),tblChainRaw[Open Interest],GREEKS!M4:M2003)*ls)</f>
        <v/>
      </c>
      <c r="H20" s="31">
        <f>LET(ls,CONTROL!B5,SUMPRODUCT(--(tblChainRaw[Strike Price]=A20),--(tblChainRaw[Option Type]="PE"),tblChainRaw[Open Interest],GREEKS!M4:M2003)*ls)</f>
        <v/>
      </c>
      <c r="I20" s="31">
        <f>G20+H20</f>
        <v/>
      </c>
    </row>
    <row r="21">
      <c r="A21" s="31">
        <f>IF(CHAIN_CALC!B5="","",CHAIN_CALC!B5+(-83)*CONTROL!B6)</f>
        <v/>
      </c>
      <c r="B21" s="31">
        <f>SUMIFS(tblChainRaw[Open Interest],tblChainRaw[Strike Price],A21,tblChainRaw[Option Type],"CE")</f>
        <v/>
      </c>
      <c r="C21" s="31">
        <f>SUMIFS(tblChainRaw[Open Interest],tblChainRaw[Strike Price],A21,tblChainRaw[Option Type],"PE")</f>
        <v/>
      </c>
      <c r="D21" s="31">
        <f>LET(s,CONTROL!B4,ls,CONTROL!B5,SUMPRODUCT(--(tblChainRaw[Strike Price]=A21),--(tblChainRaw[Option Type]="CE"),tblChainRaw[Open Interest],GREEKS!L4:L2003)*s^2*ls)</f>
        <v/>
      </c>
      <c r="E21" s="31">
        <f>LET(s,CONTROL!B4,ls,CONTROL!B5,SUMPRODUCT(--(tblChainRaw[Strike Price]=A21),--(tblChainRaw[Option Type]="PE"),tblChainRaw[Open Interest],GREEKS!L4:L2003)*s^2*ls)</f>
        <v/>
      </c>
      <c r="F21" s="31">
        <f>D21-E21</f>
        <v/>
      </c>
      <c r="G21" s="31">
        <f>LET(ls,CONTROL!B5,SUMPRODUCT(--(tblChainRaw[Strike Price]=A21),--(tblChainRaw[Option Type]="CE"),tblChainRaw[Open Interest],GREEKS!M4:M2003)*ls)</f>
        <v/>
      </c>
      <c r="H21" s="31">
        <f>LET(ls,CONTROL!B5,SUMPRODUCT(--(tblChainRaw[Strike Price]=A21),--(tblChainRaw[Option Type]="PE"),tblChainRaw[Open Interest],GREEKS!M4:M2003)*ls)</f>
        <v/>
      </c>
      <c r="I21" s="31">
        <f>G21+H21</f>
        <v/>
      </c>
    </row>
    <row r="22">
      <c r="A22" s="31">
        <f>IF(CHAIN_CALC!B5="","",CHAIN_CALC!B5+(-82)*CONTROL!B6)</f>
        <v/>
      </c>
      <c r="B22" s="31">
        <f>SUMIFS(tblChainRaw[Open Interest],tblChainRaw[Strike Price],A22,tblChainRaw[Option Type],"CE")</f>
        <v/>
      </c>
      <c r="C22" s="31">
        <f>SUMIFS(tblChainRaw[Open Interest],tblChainRaw[Strike Price],A22,tblChainRaw[Option Type],"PE")</f>
        <v/>
      </c>
      <c r="D22" s="31">
        <f>LET(s,CONTROL!B4,ls,CONTROL!B5,SUMPRODUCT(--(tblChainRaw[Strike Price]=A22),--(tblChainRaw[Option Type]="CE"),tblChainRaw[Open Interest],GREEKS!L4:L2003)*s^2*ls)</f>
        <v/>
      </c>
      <c r="E22" s="31">
        <f>LET(s,CONTROL!B4,ls,CONTROL!B5,SUMPRODUCT(--(tblChainRaw[Strike Price]=A22),--(tblChainRaw[Option Type]="PE"),tblChainRaw[Open Interest],GREEKS!L4:L2003)*s^2*ls)</f>
        <v/>
      </c>
      <c r="F22" s="31">
        <f>D22-E22</f>
        <v/>
      </c>
      <c r="G22" s="31">
        <f>LET(ls,CONTROL!B5,SUMPRODUCT(--(tblChainRaw[Strike Price]=A22),--(tblChainRaw[Option Type]="CE"),tblChainRaw[Open Interest],GREEKS!M4:M2003)*ls)</f>
        <v/>
      </c>
      <c r="H22" s="31">
        <f>LET(ls,CONTROL!B5,SUMPRODUCT(--(tblChainRaw[Strike Price]=A22),--(tblChainRaw[Option Type]="PE"),tblChainRaw[Open Interest],GREEKS!M4:M2003)*ls)</f>
        <v/>
      </c>
      <c r="I22" s="31">
        <f>G22+H22</f>
        <v/>
      </c>
    </row>
    <row r="23">
      <c r="A23" s="31">
        <f>IF(CHAIN_CALC!B5="","",CHAIN_CALC!B5+(-81)*CONTROL!B6)</f>
        <v/>
      </c>
      <c r="B23" s="31">
        <f>SUMIFS(tblChainRaw[Open Interest],tblChainRaw[Strike Price],A23,tblChainRaw[Option Type],"CE")</f>
        <v/>
      </c>
      <c r="C23" s="31">
        <f>SUMIFS(tblChainRaw[Open Interest],tblChainRaw[Strike Price],A23,tblChainRaw[Option Type],"PE")</f>
        <v/>
      </c>
      <c r="D23" s="31">
        <f>LET(s,CONTROL!B4,ls,CONTROL!B5,SUMPRODUCT(--(tblChainRaw[Strike Price]=A23),--(tblChainRaw[Option Type]="CE"),tblChainRaw[Open Interest],GREEKS!L4:L2003)*s^2*ls)</f>
        <v/>
      </c>
      <c r="E23" s="31">
        <f>LET(s,CONTROL!B4,ls,CONTROL!B5,SUMPRODUCT(--(tblChainRaw[Strike Price]=A23),--(tblChainRaw[Option Type]="PE"),tblChainRaw[Open Interest],GREEKS!L4:L2003)*s^2*ls)</f>
        <v/>
      </c>
      <c r="F23" s="31">
        <f>D23-E23</f>
        <v/>
      </c>
      <c r="G23" s="31">
        <f>LET(ls,CONTROL!B5,SUMPRODUCT(--(tblChainRaw[Strike Price]=A23),--(tblChainRaw[Option Type]="CE"),tblChainRaw[Open Interest],GREEKS!M4:M2003)*ls)</f>
        <v/>
      </c>
      <c r="H23" s="31">
        <f>LET(ls,CONTROL!B5,SUMPRODUCT(--(tblChainRaw[Strike Price]=A23),--(tblChainRaw[Option Type]="PE"),tblChainRaw[Open Interest],GREEKS!M4:M2003)*ls)</f>
        <v/>
      </c>
      <c r="I23" s="31">
        <f>G23+H23</f>
        <v/>
      </c>
    </row>
    <row r="24">
      <c r="A24" s="31">
        <f>IF(CHAIN_CALC!B5="","",CHAIN_CALC!B5+(-80)*CONTROL!B6)</f>
        <v/>
      </c>
      <c r="B24" s="31">
        <f>SUMIFS(tblChainRaw[Open Interest],tblChainRaw[Strike Price],A24,tblChainRaw[Option Type],"CE")</f>
        <v/>
      </c>
      <c r="C24" s="31">
        <f>SUMIFS(tblChainRaw[Open Interest],tblChainRaw[Strike Price],A24,tblChainRaw[Option Type],"PE")</f>
        <v/>
      </c>
      <c r="D24" s="31">
        <f>LET(s,CONTROL!B4,ls,CONTROL!B5,SUMPRODUCT(--(tblChainRaw[Strike Price]=A24),--(tblChainRaw[Option Type]="CE"),tblChainRaw[Open Interest],GREEKS!L4:L2003)*s^2*ls)</f>
        <v/>
      </c>
      <c r="E24" s="31">
        <f>LET(s,CONTROL!B4,ls,CONTROL!B5,SUMPRODUCT(--(tblChainRaw[Strike Price]=A24),--(tblChainRaw[Option Type]="PE"),tblChainRaw[Open Interest],GREEKS!L4:L2003)*s^2*ls)</f>
        <v/>
      </c>
      <c r="F24" s="31">
        <f>D24-E24</f>
        <v/>
      </c>
      <c r="G24" s="31">
        <f>LET(ls,CONTROL!B5,SUMPRODUCT(--(tblChainRaw[Strike Price]=A24),--(tblChainRaw[Option Type]="CE"),tblChainRaw[Open Interest],GREEKS!M4:M2003)*ls)</f>
        <v/>
      </c>
      <c r="H24" s="31">
        <f>LET(ls,CONTROL!B5,SUMPRODUCT(--(tblChainRaw[Strike Price]=A24),--(tblChainRaw[Option Type]="PE"),tblChainRaw[Open Interest],GREEKS!M4:M2003)*ls)</f>
        <v/>
      </c>
      <c r="I24" s="31">
        <f>G24+H24</f>
        <v/>
      </c>
    </row>
    <row r="25">
      <c r="A25" s="31">
        <f>IF(CHAIN_CALC!B5="","",CHAIN_CALC!B5+(-79)*CONTROL!B6)</f>
        <v/>
      </c>
      <c r="B25" s="31">
        <f>SUMIFS(tblChainRaw[Open Interest],tblChainRaw[Strike Price],A25,tblChainRaw[Option Type],"CE")</f>
        <v/>
      </c>
      <c r="C25" s="31">
        <f>SUMIFS(tblChainRaw[Open Interest],tblChainRaw[Strike Price],A25,tblChainRaw[Option Type],"PE")</f>
        <v/>
      </c>
      <c r="D25" s="31">
        <f>LET(s,CONTROL!B4,ls,CONTROL!B5,SUMPRODUCT(--(tblChainRaw[Strike Price]=A25),--(tblChainRaw[Option Type]="CE"),tblChainRaw[Open Interest],GREEKS!L4:L2003)*s^2*ls)</f>
        <v/>
      </c>
      <c r="E25" s="31">
        <f>LET(s,CONTROL!B4,ls,CONTROL!B5,SUMPRODUCT(--(tblChainRaw[Strike Price]=A25),--(tblChainRaw[Option Type]="PE"),tblChainRaw[Open Interest],GREEKS!L4:L2003)*s^2*ls)</f>
        <v/>
      </c>
      <c r="F25" s="31">
        <f>D25-E25</f>
        <v/>
      </c>
      <c r="G25" s="31">
        <f>LET(ls,CONTROL!B5,SUMPRODUCT(--(tblChainRaw[Strike Price]=A25),--(tblChainRaw[Option Type]="CE"),tblChainRaw[Open Interest],GREEKS!M4:M2003)*ls)</f>
        <v/>
      </c>
      <c r="H25" s="31">
        <f>LET(ls,CONTROL!B5,SUMPRODUCT(--(tblChainRaw[Strike Price]=A25),--(tblChainRaw[Option Type]="PE"),tblChainRaw[Open Interest],GREEKS!M4:M2003)*ls)</f>
        <v/>
      </c>
      <c r="I25" s="31">
        <f>G25+H25</f>
        <v/>
      </c>
    </row>
    <row r="26">
      <c r="A26" s="31">
        <f>IF(CHAIN_CALC!B5="","",CHAIN_CALC!B5+(-78)*CONTROL!B6)</f>
        <v/>
      </c>
      <c r="B26" s="31">
        <f>SUMIFS(tblChainRaw[Open Interest],tblChainRaw[Strike Price],A26,tblChainRaw[Option Type],"CE")</f>
        <v/>
      </c>
      <c r="C26" s="31">
        <f>SUMIFS(tblChainRaw[Open Interest],tblChainRaw[Strike Price],A26,tblChainRaw[Option Type],"PE")</f>
        <v/>
      </c>
      <c r="D26" s="31">
        <f>LET(s,CONTROL!B4,ls,CONTROL!B5,SUMPRODUCT(--(tblChainRaw[Strike Price]=A26),--(tblChainRaw[Option Type]="CE"),tblChainRaw[Open Interest],GREEKS!L4:L2003)*s^2*ls)</f>
        <v/>
      </c>
      <c r="E26" s="31">
        <f>LET(s,CONTROL!B4,ls,CONTROL!B5,SUMPRODUCT(--(tblChainRaw[Strike Price]=A26),--(tblChainRaw[Option Type]="PE"),tblChainRaw[Open Interest],GREEKS!L4:L2003)*s^2*ls)</f>
        <v/>
      </c>
      <c r="F26" s="31">
        <f>D26-E26</f>
        <v/>
      </c>
      <c r="G26" s="31">
        <f>LET(ls,CONTROL!B5,SUMPRODUCT(--(tblChainRaw[Strike Price]=A26),--(tblChainRaw[Option Type]="CE"),tblChainRaw[Open Interest],GREEKS!M4:M2003)*ls)</f>
        <v/>
      </c>
      <c r="H26" s="31">
        <f>LET(ls,CONTROL!B5,SUMPRODUCT(--(tblChainRaw[Strike Price]=A26),--(tblChainRaw[Option Type]="PE"),tblChainRaw[Open Interest],GREEKS!M4:M2003)*ls)</f>
        <v/>
      </c>
      <c r="I26" s="31">
        <f>G26+H26</f>
        <v/>
      </c>
    </row>
    <row r="27">
      <c r="A27" s="31">
        <f>IF(CHAIN_CALC!B5="","",CHAIN_CALC!B5+(-77)*CONTROL!B6)</f>
        <v/>
      </c>
      <c r="B27" s="31">
        <f>SUMIFS(tblChainRaw[Open Interest],tblChainRaw[Strike Price],A27,tblChainRaw[Option Type],"CE")</f>
        <v/>
      </c>
      <c r="C27" s="31">
        <f>SUMIFS(tblChainRaw[Open Interest],tblChainRaw[Strike Price],A27,tblChainRaw[Option Type],"PE")</f>
        <v/>
      </c>
      <c r="D27" s="31">
        <f>LET(s,CONTROL!B4,ls,CONTROL!B5,SUMPRODUCT(--(tblChainRaw[Strike Price]=A27),--(tblChainRaw[Option Type]="CE"),tblChainRaw[Open Interest],GREEKS!L4:L2003)*s^2*ls)</f>
        <v/>
      </c>
      <c r="E27" s="31">
        <f>LET(s,CONTROL!B4,ls,CONTROL!B5,SUMPRODUCT(--(tblChainRaw[Strike Price]=A27),--(tblChainRaw[Option Type]="PE"),tblChainRaw[Open Interest],GREEKS!L4:L2003)*s^2*ls)</f>
        <v/>
      </c>
      <c r="F27" s="31">
        <f>D27-E27</f>
        <v/>
      </c>
      <c r="G27" s="31">
        <f>LET(ls,CONTROL!B5,SUMPRODUCT(--(tblChainRaw[Strike Price]=A27),--(tblChainRaw[Option Type]="CE"),tblChainRaw[Open Interest],GREEKS!M4:M2003)*ls)</f>
        <v/>
      </c>
      <c r="H27" s="31">
        <f>LET(ls,CONTROL!B5,SUMPRODUCT(--(tblChainRaw[Strike Price]=A27),--(tblChainRaw[Option Type]="PE"),tblChainRaw[Open Interest],GREEKS!M4:M2003)*ls)</f>
        <v/>
      </c>
      <c r="I27" s="31">
        <f>G27+H27</f>
        <v/>
      </c>
    </row>
    <row r="28">
      <c r="A28" s="31">
        <f>IF(CHAIN_CALC!B5="","",CHAIN_CALC!B5+(-76)*CONTROL!B6)</f>
        <v/>
      </c>
      <c r="B28" s="31">
        <f>SUMIFS(tblChainRaw[Open Interest],tblChainRaw[Strike Price],A28,tblChainRaw[Option Type],"CE")</f>
        <v/>
      </c>
      <c r="C28" s="31">
        <f>SUMIFS(tblChainRaw[Open Interest],tblChainRaw[Strike Price],A28,tblChainRaw[Option Type],"PE")</f>
        <v/>
      </c>
      <c r="D28" s="31">
        <f>LET(s,CONTROL!B4,ls,CONTROL!B5,SUMPRODUCT(--(tblChainRaw[Strike Price]=A28),--(tblChainRaw[Option Type]="CE"),tblChainRaw[Open Interest],GREEKS!L4:L2003)*s^2*ls)</f>
        <v/>
      </c>
      <c r="E28" s="31">
        <f>LET(s,CONTROL!B4,ls,CONTROL!B5,SUMPRODUCT(--(tblChainRaw[Strike Price]=A28),--(tblChainRaw[Option Type]="PE"),tblChainRaw[Open Interest],GREEKS!L4:L2003)*s^2*ls)</f>
        <v/>
      </c>
      <c r="F28" s="31">
        <f>D28-E28</f>
        <v/>
      </c>
      <c r="G28" s="31">
        <f>LET(ls,CONTROL!B5,SUMPRODUCT(--(tblChainRaw[Strike Price]=A28),--(tblChainRaw[Option Type]="CE"),tblChainRaw[Open Interest],GREEKS!M4:M2003)*ls)</f>
        <v/>
      </c>
      <c r="H28" s="31">
        <f>LET(ls,CONTROL!B5,SUMPRODUCT(--(tblChainRaw[Strike Price]=A28),--(tblChainRaw[Option Type]="PE"),tblChainRaw[Open Interest],GREEKS!M4:M2003)*ls)</f>
        <v/>
      </c>
      <c r="I28" s="31">
        <f>G28+H28</f>
        <v/>
      </c>
    </row>
    <row r="29">
      <c r="A29" s="31">
        <f>IF(CHAIN_CALC!B5="","",CHAIN_CALC!B5+(-75)*CONTROL!B6)</f>
        <v/>
      </c>
      <c r="B29" s="31">
        <f>SUMIFS(tblChainRaw[Open Interest],tblChainRaw[Strike Price],A29,tblChainRaw[Option Type],"CE")</f>
        <v/>
      </c>
      <c r="C29" s="31">
        <f>SUMIFS(tblChainRaw[Open Interest],tblChainRaw[Strike Price],A29,tblChainRaw[Option Type],"PE")</f>
        <v/>
      </c>
      <c r="D29" s="31">
        <f>LET(s,CONTROL!B4,ls,CONTROL!B5,SUMPRODUCT(--(tblChainRaw[Strike Price]=A29),--(tblChainRaw[Option Type]="CE"),tblChainRaw[Open Interest],GREEKS!L4:L2003)*s^2*ls)</f>
        <v/>
      </c>
      <c r="E29" s="31">
        <f>LET(s,CONTROL!B4,ls,CONTROL!B5,SUMPRODUCT(--(tblChainRaw[Strike Price]=A29),--(tblChainRaw[Option Type]="PE"),tblChainRaw[Open Interest],GREEKS!L4:L2003)*s^2*ls)</f>
        <v/>
      </c>
      <c r="F29" s="31">
        <f>D29-E29</f>
        <v/>
      </c>
      <c r="G29" s="31">
        <f>LET(ls,CONTROL!B5,SUMPRODUCT(--(tblChainRaw[Strike Price]=A29),--(tblChainRaw[Option Type]="CE"),tblChainRaw[Open Interest],GREEKS!M4:M2003)*ls)</f>
        <v/>
      </c>
      <c r="H29" s="31">
        <f>LET(ls,CONTROL!B5,SUMPRODUCT(--(tblChainRaw[Strike Price]=A29),--(tblChainRaw[Option Type]="PE"),tblChainRaw[Open Interest],GREEKS!M4:M2003)*ls)</f>
        <v/>
      </c>
      <c r="I29" s="31">
        <f>G29+H29</f>
        <v/>
      </c>
    </row>
    <row r="30">
      <c r="A30" s="31">
        <f>IF(CHAIN_CALC!B5="","",CHAIN_CALC!B5+(-74)*CONTROL!B6)</f>
        <v/>
      </c>
      <c r="B30" s="31">
        <f>SUMIFS(tblChainRaw[Open Interest],tblChainRaw[Strike Price],A30,tblChainRaw[Option Type],"CE")</f>
        <v/>
      </c>
      <c r="C30" s="31">
        <f>SUMIFS(tblChainRaw[Open Interest],tblChainRaw[Strike Price],A30,tblChainRaw[Option Type],"PE")</f>
        <v/>
      </c>
      <c r="D30" s="31">
        <f>LET(s,CONTROL!B4,ls,CONTROL!B5,SUMPRODUCT(--(tblChainRaw[Strike Price]=A30),--(tblChainRaw[Option Type]="CE"),tblChainRaw[Open Interest],GREEKS!L4:L2003)*s^2*ls)</f>
        <v/>
      </c>
      <c r="E30" s="31">
        <f>LET(s,CONTROL!B4,ls,CONTROL!B5,SUMPRODUCT(--(tblChainRaw[Strike Price]=A30),--(tblChainRaw[Option Type]="PE"),tblChainRaw[Open Interest],GREEKS!L4:L2003)*s^2*ls)</f>
        <v/>
      </c>
      <c r="F30" s="31">
        <f>D30-E30</f>
        <v/>
      </c>
      <c r="G30" s="31">
        <f>LET(ls,CONTROL!B5,SUMPRODUCT(--(tblChainRaw[Strike Price]=A30),--(tblChainRaw[Option Type]="CE"),tblChainRaw[Open Interest],GREEKS!M4:M2003)*ls)</f>
        <v/>
      </c>
      <c r="H30" s="31">
        <f>LET(ls,CONTROL!B5,SUMPRODUCT(--(tblChainRaw[Strike Price]=A30),--(tblChainRaw[Option Type]="PE"),tblChainRaw[Open Interest],GREEKS!M4:M2003)*ls)</f>
        <v/>
      </c>
      <c r="I30" s="31">
        <f>G30+H30</f>
        <v/>
      </c>
    </row>
    <row r="31">
      <c r="A31" s="31">
        <f>IF(CHAIN_CALC!B5="","",CHAIN_CALC!B5+(-73)*CONTROL!B6)</f>
        <v/>
      </c>
      <c r="B31" s="31">
        <f>SUMIFS(tblChainRaw[Open Interest],tblChainRaw[Strike Price],A31,tblChainRaw[Option Type],"CE")</f>
        <v/>
      </c>
      <c r="C31" s="31">
        <f>SUMIFS(tblChainRaw[Open Interest],tblChainRaw[Strike Price],A31,tblChainRaw[Option Type],"PE")</f>
        <v/>
      </c>
      <c r="D31" s="31">
        <f>LET(s,CONTROL!B4,ls,CONTROL!B5,SUMPRODUCT(--(tblChainRaw[Strike Price]=A31),--(tblChainRaw[Option Type]="CE"),tblChainRaw[Open Interest],GREEKS!L4:L2003)*s^2*ls)</f>
        <v/>
      </c>
      <c r="E31" s="31">
        <f>LET(s,CONTROL!B4,ls,CONTROL!B5,SUMPRODUCT(--(tblChainRaw[Strike Price]=A31),--(tblChainRaw[Option Type]="PE"),tblChainRaw[Open Interest],GREEKS!L4:L2003)*s^2*ls)</f>
        <v/>
      </c>
      <c r="F31" s="31">
        <f>D31-E31</f>
        <v/>
      </c>
      <c r="G31" s="31">
        <f>LET(ls,CONTROL!B5,SUMPRODUCT(--(tblChainRaw[Strike Price]=A31),--(tblChainRaw[Option Type]="CE"),tblChainRaw[Open Interest],GREEKS!M4:M2003)*ls)</f>
        <v/>
      </c>
      <c r="H31" s="31">
        <f>LET(ls,CONTROL!B5,SUMPRODUCT(--(tblChainRaw[Strike Price]=A31),--(tblChainRaw[Option Type]="PE"),tblChainRaw[Open Interest],GREEKS!M4:M2003)*ls)</f>
        <v/>
      </c>
      <c r="I31" s="31">
        <f>G31+H31</f>
        <v/>
      </c>
    </row>
    <row r="32">
      <c r="A32" s="31">
        <f>IF(CHAIN_CALC!B5="","",CHAIN_CALC!B5+(-72)*CONTROL!B6)</f>
        <v/>
      </c>
      <c r="B32" s="31">
        <f>SUMIFS(tblChainRaw[Open Interest],tblChainRaw[Strike Price],A32,tblChainRaw[Option Type],"CE")</f>
        <v/>
      </c>
      <c r="C32" s="31">
        <f>SUMIFS(tblChainRaw[Open Interest],tblChainRaw[Strike Price],A32,tblChainRaw[Option Type],"PE")</f>
        <v/>
      </c>
      <c r="D32" s="31">
        <f>LET(s,CONTROL!B4,ls,CONTROL!B5,SUMPRODUCT(--(tblChainRaw[Strike Price]=A32),--(tblChainRaw[Option Type]="CE"),tblChainRaw[Open Interest],GREEKS!L4:L2003)*s^2*ls)</f>
        <v/>
      </c>
      <c r="E32" s="31">
        <f>LET(s,CONTROL!B4,ls,CONTROL!B5,SUMPRODUCT(--(tblChainRaw[Strike Price]=A32),--(tblChainRaw[Option Type]="PE"),tblChainRaw[Open Interest],GREEKS!L4:L2003)*s^2*ls)</f>
        <v/>
      </c>
      <c r="F32" s="31">
        <f>D32-E32</f>
        <v/>
      </c>
      <c r="G32" s="31">
        <f>LET(ls,CONTROL!B5,SUMPRODUCT(--(tblChainRaw[Strike Price]=A32),--(tblChainRaw[Option Type]="CE"),tblChainRaw[Open Interest],GREEKS!M4:M2003)*ls)</f>
        <v/>
      </c>
      <c r="H32" s="31">
        <f>LET(ls,CONTROL!B5,SUMPRODUCT(--(tblChainRaw[Strike Price]=A32),--(tblChainRaw[Option Type]="PE"),tblChainRaw[Open Interest],GREEKS!M4:M2003)*ls)</f>
        <v/>
      </c>
      <c r="I32" s="31">
        <f>G32+H32</f>
        <v/>
      </c>
    </row>
    <row r="33">
      <c r="A33" s="31">
        <f>IF(CHAIN_CALC!B5="","",CHAIN_CALC!B5+(-71)*CONTROL!B6)</f>
        <v/>
      </c>
      <c r="B33" s="31">
        <f>SUMIFS(tblChainRaw[Open Interest],tblChainRaw[Strike Price],A33,tblChainRaw[Option Type],"CE")</f>
        <v/>
      </c>
      <c r="C33" s="31">
        <f>SUMIFS(tblChainRaw[Open Interest],tblChainRaw[Strike Price],A33,tblChainRaw[Option Type],"PE")</f>
        <v/>
      </c>
      <c r="D33" s="31">
        <f>LET(s,CONTROL!B4,ls,CONTROL!B5,SUMPRODUCT(--(tblChainRaw[Strike Price]=A33),--(tblChainRaw[Option Type]="CE"),tblChainRaw[Open Interest],GREEKS!L4:L2003)*s^2*ls)</f>
        <v/>
      </c>
      <c r="E33" s="31">
        <f>LET(s,CONTROL!B4,ls,CONTROL!B5,SUMPRODUCT(--(tblChainRaw[Strike Price]=A33),--(tblChainRaw[Option Type]="PE"),tblChainRaw[Open Interest],GREEKS!L4:L2003)*s^2*ls)</f>
        <v/>
      </c>
      <c r="F33" s="31">
        <f>D33-E33</f>
        <v/>
      </c>
      <c r="G33" s="31">
        <f>LET(ls,CONTROL!B5,SUMPRODUCT(--(tblChainRaw[Strike Price]=A33),--(tblChainRaw[Option Type]="CE"),tblChainRaw[Open Interest],GREEKS!M4:M2003)*ls)</f>
        <v/>
      </c>
      <c r="H33" s="31">
        <f>LET(ls,CONTROL!B5,SUMPRODUCT(--(tblChainRaw[Strike Price]=A33),--(tblChainRaw[Option Type]="PE"),tblChainRaw[Open Interest],GREEKS!M4:M2003)*ls)</f>
        <v/>
      </c>
      <c r="I33" s="31">
        <f>G33+H33</f>
        <v/>
      </c>
    </row>
    <row r="34">
      <c r="A34" s="31">
        <f>IF(CHAIN_CALC!B5="","",CHAIN_CALC!B5+(-70)*CONTROL!B6)</f>
        <v/>
      </c>
      <c r="B34" s="31">
        <f>SUMIFS(tblChainRaw[Open Interest],tblChainRaw[Strike Price],A34,tblChainRaw[Option Type],"CE")</f>
        <v/>
      </c>
      <c r="C34" s="31">
        <f>SUMIFS(tblChainRaw[Open Interest],tblChainRaw[Strike Price],A34,tblChainRaw[Option Type],"PE")</f>
        <v/>
      </c>
      <c r="D34" s="31">
        <f>LET(s,CONTROL!B4,ls,CONTROL!B5,SUMPRODUCT(--(tblChainRaw[Strike Price]=A34),--(tblChainRaw[Option Type]="CE"),tblChainRaw[Open Interest],GREEKS!L4:L2003)*s^2*ls)</f>
        <v/>
      </c>
      <c r="E34" s="31">
        <f>LET(s,CONTROL!B4,ls,CONTROL!B5,SUMPRODUCT(--(tblChainRaw[Strike Price]=A34),--(tblChainRaw[Option Type]="PE"),tblChainRaw[Open Interest],GREEKS!L4:L2003)*s^2*ls)</f>
        <v/>
      </c>
      <c r="F34" s="31">
        <f>D34-E34</f>
        <v/>
      </c>
      <c r="G34" s="31">
        <f>LET(ls,CONTROL!B5,SUMPRODUCT(--(tblChainRaw[Strike Price]=A34),--(tblChainRaw[Option Type]="CE"),tblChainRaw[Open Interest],GREEKS!M4:M2003)*ls)</f>
        <v/>
      </c>
      <c r="H34" s="31">
        <f>LET(ls,CONTROL!B5,SUMPRODUCT(--(tblChainRaw[Strike Price]=A34),--(tblChainRaw[Option Type]="PE"),tblChainRaw[Open Interest],GREEKS!M4:M2003)*ls)</f>
        <v/>
      </c>
      <c r="I34" s="31">
        <f>G34+H34</f>
        <v/>
      </c>
    </row>
    <row r="35">
      <c r="A35" s="31">
        <f>IF(CHAIN_CALC!B5="","",CHAIN_CALC!B5+(-69)*CONTROL!B6)</f>
        <v/>
      </c>
      <c r="B35" s="31">
        <f>SUMIFS(tblChainRaw[Open Interest],tblChainRaw[Strike Price],A35,tblChainRaw[Option Type],"CE")</f>
        <v/>
      </c>
      <c r="C35" s="31">
        <f>SUMIFS(tblChainRaw[Open Interest],tblChainRaw[Strike Price],A35,tblChainRaw[Option Type],"PE")</f>
        <v/>
      </c>
      <c r="D35" s="31">
        <f>LET(s,CONTROL!B4,ls,CONTROL!B5,SUMPRODUCT(--(tblChainRaw[Strike Price]=A35),--(tblChainRaw[Option Type]="CE"),tblChainRaw[Open Interest],GREEKS!L4:L2003)*s^2*ls)</f>
        <v/>
      </c>
      <c r="E35" s="31">
        <f>LET(s,CONTROL!B4,ls,CONTROL!B5,SUMPRODUCT(--(tblChainRaw[Strike Price]=A35),--(tblChainRaw[Option Type]="PE"),tblChainRaw[Open Interest],GREEKS!L4:L2003)*s^2*ls)</f>
        <v/>
      </c>
      <c r="F35" s="31">
        <f>D35-E35</f>
        <v/>
      </c>
      <c r="G35" s="31">
        <f>LET(ls,CONTROL!B5,SUMPRODUCT(--(tblChainRaw[Strike Price]=A35),--(tblChainRaw[Option Type]="CE"),tblChainRaw[Open Interest],GREEKS!M4:M2003)*ls)</f>
        <v/>
      </c>
      <c r="H35" s="31">
        <f>LET(ls,CONTROL!B5,SUMPRODUCT(--(tblChainRaw[Strike Price]=A35),--(tblChainRaw[Option Type]="PE"),tblChainRaw[Open Interest],GREEKS!M4:M2003)*ls)</f>
        <v/>
      </c>
      <c r="I35" s="31">
        <f>G35+H35</f>
        <v/>
      </c>
    </row>
    <row r="36">
      <c r="A36" s="31">
        <f>IF(CHAIN_CALC!B5="","",CHAIN_CALC!B5+(-68)*CONTROL!B6)</f>
        <v/>
      </c>
      <c r="B36" s="31">
        <f>SUMIFS(tblChainRaw[Open Interest],tblChainRaw[Strike Price],A36,tblChainRaw[Option Type],"CE")</f>
        <v/>
      </c>
      <c r="C36" s="31">
        <f>SUMIFS(tblChainRaw[Open Interest],tblChainRaw[Strike Price],A36,tblChainRaw[Option Type],"PE")</f>
        <v/>
      </c>
      <c r="D36" s="31">
        <f>LET(s,CONTROL!B4,ls,CONTROL!B5,SUMPRODUCT(--(tblChainRaw[Strike Price]=A36),--(tblChainRaw[Option Type]="CE"),tblChainRaw[Open Interest],GREEKS!L4:L2003)*s^2*ls)</f>
        <v/>
      </c>
      <c r="E36" s="31">
        <f>LET(s,CONTROL!B4,ls,CONTROL!B5,SUMPRODUCT(--(tblChainRaw[Strike Price]=A36),--(tblChainRaw[Option Type]="PE"),tblChainRaw[Open Interest],GREEKS!L4:L2003)*s^2*ls)</f>
        <v/>
      </c>
      <c r="F36" s="31">
        <f>D36-E36</f>
        <v/>
      </c>
      <c r="G36" s="31">
        <f>LET(ls,CONTROL!B5,SUMPRODUCT(--(tblChainRaw[Strike Price]=A36),--(tblChainRaw[Option Type]="CE"),tblChainRaw[Open Interest],GREEKS!M4:M2003)*ls)</f>
        <v/>
      </c>
      <c r="H36" s="31">
        <f>LET(ls,CONTROL!B5,SUMPRODUCT(--(tblChainRaw[Strike Price]=A36),--(tblChainRaw[Option Type]="PE"),tblChainRaw[Open Interest],GREEKS!M4:M2003)*ls)</f>
        <v/>
      </c>
      <c r="I36" s="31">
        <f>G36+H36</f>
        <v/>
      </c>
    </row>
    <row r="37">
      <c r="A37" s="31">
        <f>IF(CHAIN_CALC!B5="","",CHAIN_CALC!B5+(-67)*CONTROL!B6)</f>
        <v/>
      </c>
      <c r="B37" s="31">
        <f>SUMIFS(tblChainRaw[Open Interest],tblChainRaw[Strike Price],A37,tblChainRaw[Option Type],"CE")</f>
        <v/>
      </c>
      <c r="C37" s="31">
        <f>SUMIFS(tblChainRaw[Open Interest],tblChainRaw[Strike Price],A37,tblChainRaw[Option Type],"PE")</f>
        <v/>
      </c>
      <c r="D37" s="31">
        <f>LET(s,CONTROL!B4,ls,CONTROL!B5,SUMPRODUCT(--(tblChainRaw[Strike Price]=A37),--(tblChainRaw[Option Type]="CE"),tblChainRaw[Open Interest],GREEKS!L4:L2003)*s^2*ls)</f>
        <v/>
      </c>
      <c r="E37" s="31">
        <f>LET(s,CONTROL!B4,ls,CONTROL!B5,SUMPRODUCT(--(tblChainRaw[Strike Price]=A37),--(tblChainRaw[Option Type]="PE"),tblChainRaw[Open Interest],GREEKS!L4:L2003)*s^2*ls)</f>
        <v/>
      </c>
      <c r="F37" s="31">
        <f>D37-E37</f>
        <v/>
      </c>
      <c r="G37" s="31">
        <f>LET(ls,CONTROL!B5,SUMPRODUCT(--(tblChainRaw[Strike Price]=A37),--(tblChainRaw[Option Type]="CE"),tblChainRaw[Open Interest],GREEKS!M4:M2003)*ls)</f>
        <v/>
      </c>
      <c r="H37" s="31">
        <f>LET(ls,CONTROL!B5,SUMPRODUCT(--(tblChainRaw[Strike Price]=A37),--(tblChainRaw[Option Type]="PE"),tblChainRaw[Open Interest],GREEKS!M4:M2003)*ls)</f>
        <v/>
      </c>
      <c r="I37" s="31">
        <f>G37+H37</f>
        <v/>
      </c>
    </row>
    <row r="38">
      <c r="A38" s="31">
        <f>IF(CHAIN_CALC!B5="","",CHAIN_CALC!B5+(-66)*CONTROL!B6)</f>
        <v/>
      </c>
      <c r="B38" s="31">
        <f>SUMIFS(tblChainRaw[Open Interest],tblChainRaw[Strike Price],A38,tblChainRaw[Option Type],"CE")</f>
        <v/>
      </c>
      <c r="C38" s="31">
        <f>SUMIFS(tblChainRaw[Open Interest],tblChainRaw[Strike Price],A38,tblChainRaw[Option Type],"PE")</f>
        <v/>
      </c>
      <c r="D38" s="31">
        <f>LET(s,CONTROL!B4,ls,CONTROL!B5,SUMPRODUCT(--(tblChainRaw[Strike Price]=A38),--(tblChainRaw[Option Type]="CE"),tblChainRaw[Open Interest],GREEKS!L4:L2003)*s^2*ls)</f>
        <v/>
      </c>
      <c r="E38" s="31">
        <f>LET(s,CONTROL!B4,ls,CONTROL!B5,SUMPRODUCT(--(tblChainRaw[Strike Price]=A38),--(tblChainRaw[Option Type]="PE"),tblChainRaw[Open Interest],GREEKS!L4:L2003)*s^2*ls)</f>
        <v/>
      </c>
      <c r="F38" s="31">
        <f>D38-E38</f>
        <v/>
      </c>
      <c r="G38" s="31">
        <f>LET(ls,CONTROL!B5,SUMPRODUCT(--(tblChainRaw[Strike Price]=A38),--(tblChainRaw[Option Type]="CE"),tblChainRaw[Open Interest],GREEKS!M4:M2003)*ls)</f>
        <v/>
      </c>
      <c r="H38" s="31">
        <f>LET(ls,CONTROL!B5,SUMPRODUCT(--(tblChainRaw[Strike Price]=A38),--(tblChainRaw[Option Type]="PE"),tblChainRaw[Open Interest],GREEKS!M4:M2003)*ls)</f>
        <v/>
      </c>
      <c r="I38" s="31">
        <f>G38+H38</f>
        <v/>
      </c>
    </row>
    <row r="39">
      <c r="A39" s="31">
        <f>IF(CHAIN_CALC!B5="","",CHAIN_CALC!B5+(-65)*CONTROL!B6)</f>
        <v/>
      </c>
      <c r="B39" s="31">
        <f>SUMIFS(tblChainRaw[Open Interest],tblChainRaw[Strike Price],A39,tblChainRaw[Option Type],"CE")</f>
        <v/>
      </c>
      <c r="C39" s="31">
        <f>SUMIFS(tblChainRaw[Open Interest],tblChainRaw[Strike Price],A39,tblChainRaw[Option Type],"PE")</f>
        <v/>
      </c>
      <c r="D39" s="31">
        <f>LET(s,CONTROL!B4,ls,CONTROL!B5,SUMPRODUCT(--(tblChainRaw[Strike Price]=A39),--(tblChainRaw[Option Type]="CE"),tblChainRaw[Open Interest],GREEKS!L4:L2003)*s^2*ls)</f>
        <v/>
      </c>
      <c r="E39" s="31">
        <f>LET(s,CONTROL!B4,ls,CONTROL!B5,SUMPRODUCT(--(tblChainRaw[Strike Price]=A39),--(tblChainRaw[Option Type]="PE"),tblChainRaw[Open Interest],GREEKS!L4:L2003)*s^2*ls)</f>
        <v/>
      </c>
      <c r="F39" s="31">
        <f>D39-E39</f>
        <v/>
      </c>
      <c r="G39" s="31">
        <f>LET(ls,CONTROL!B5,SUMPRODUCT(--(tblChainRaw[Strike Price]=A39),--(tblChainRaw[Option Type]="CE"),tblChainRaw[Open Interest],GREEKS!M4:M2003)*ls)</f>
        <v/>
      </c>
      <c r="H39" s="31">
        <f>LET(ls,CONTROL!B5,SUMPRODUCT(--(tblChainRaw[Strike Price]=A39),--(tblChainRaw[Option Type]="PE"),tblChainRaw[Open Interest],GREEKS!M4:M2003)*ls)</f>
        <v/>
      </c>
      <c r="I39" s="31">
        <f>G39+H39</f>
        <v/>
      </c>
    </row>
    <row r="40">
      <c r="A40" s="31">
        <f>IF(CHAIN_CALC!B5="","",CHAIN_CALC!B5+(-64)*CONTROL!B6)</f>
        <v/>
      </c>
      <c r="B40" s="31">
        <f>SUMIFS(tblChainRaw[Open Interest],tblChainRaw[Strike Price],A40,tblChainRaw[Option Type],"CE")</f>
        <v/>
      </c>
      <c r="C40" s="31">
        <f>SUMIFS(tblChainRaw[Open Interest],tblChainRaw[Strike Price],A40,tblChainRaw[Option Type],"PE")</f>
        <v/>
      </c>
      <c r="D40" s="31">
        <f>LET(s,CONTROL!B4,ls,CONTROL!B5,SUMPRODUCT(--(tblChainRaw[Strike Price]=A40),--(tblChainRaw[Option Type]="CE"),tblChainRaw[Open Interest],GREEKS!L4:L2003)*s^2*ls)</f>
        <v/>
      </c>
      <c r="E40" s="31">
        <f>LET(s,CONTROL!B4,ls,CONTROL!B5,SUMPRODUCT(--(tblChainRaw[Strike Price]=A40),--(tblChainRaw[Option Type]="PE"),tblChainRaw[Open Interest],GREEKS!L4:L2003)*s^2*ls)</f>
        <v/>
      </c>
      <c r="F40" s="31">
        <f>D40-E40</f>
        <v/>
      </c>
      <c r="G40" s="31">
        <f>LET(ls,CONTROL!B5,SUMPRODUCT(--(tblChainRaw[Strike Price]=A40),--(tblChainRaw[Option Type]="CE"),tblChainRaw[Open Interest],GREEKS!M4:M2003)*ls)</f>
        <v/>
      </c>
      <c r="H40" s="31">
        <f>LET(ls,CONTROL!B5,SUMPRODUCT(--(tblChainRaw[Strike Price]=A40),--(tblChainRaw[Option Type]="PE"),tblChainRaw[Open Interest],GREEKS!M4:M2003)*ls)</f>
        <v/>
      </c>
      <c r="I40" s="31">
        <f>G40+H40</f>
        <v/>
      </c>
    </row>
    <row r="41">
      <c r="A41" s="31">
        <f>IF(CHAIN_CALC!B5="","",CHAIN_CALC!B5+(-63)*CONTROL!B6)</f>
        <v/>
      </c>
      <c r="B41" s="31">
        <f>SUMIFS(tblChainRaw[Open Interest],tblChainRaw[Strike Price],A41,tblChainRaw[Option Type],"CE")</f>
        <v/>
      </c>
      <c r="C41" s="31">
        <f>SUMIFS(tblChainRaw[Open Interest],tblChainRaw[Strike Price],A41,tblChainRaw[Option Type],"PE")</f>
        <v/>
      </c>
      <c r="D41" s="31">
        <f>LET(s,CONTROL!B4,ls,CONTROL!B5,SUMPRODUCT(--(tblChainRaw[Strike Price]=A41),--(tblChainRaw[Option Type]="CE"),tblChainRaw[Open Interest],GREEKS!L4:L2003)*s^2*ls)</f>
        <v/>
      </c>
      <c r="E41" s="31">
        <f>LET(s,CONTROL!B4,ls,CONTROL!B5,SUMPRODUCT(--(tblChainRaw[Strike Price]=A41),--(tblChainRaw[Option Type]="PE"),tblChainRaw[Open Interest],GREEKS!L4:L2003)*s^2*ls)</f>
        <v/>
      </c>
      <c r="F41" s="31">
        <f>D41-E41</f>
        <v/>
      </c>
      <c r="G41" s="31">
        <f>LET(ls,CONTROL!B5,SUMPRODUCT(--(tblChainRaw[Strike Price]=A41),--(tblChainRaw[Option Type]="CE"),tblChainRaw[Open Interest],GREEKS!M4:M2003)*ls)</f>
        <v/>
      </c>
      <c r="H41" s="31">
        <f>LET(ls,CONTROL!B5,SUMPRODUCT(--(tblChainRaw[Strike Price]=A41),--(tblChainRaw[Option Type]="PE"),tblChainRaw[Open Interest],GREEKS!M4:M2003)*ls)</f>
        <v/>
      </c>
      <c r="I41" s="31">
        <f>G41+H41</f>
        <v/>
      </c>
    </row>
    <row r="42">
      <c r="A42" s="31">
        <f>IF(CHAIN_CALC!B5="","",CHAIN_CALC!B5+(-62)*CONTROL!B6)</f>
        <v/>
      </c>
      <c r="B42" s="31">
        <f>SUMIFS(tblChainRaw[Open Interest],tblChainRaw[Strike Price],A42,tblChainRaw[Option Type],"CE")</f>
        <v/>
      </c>
      <c r="C42" s="31">
        <f>SUMIFS(tblChainRaw[Open Interest],tblChainRaw[Strike Price],A42,tblChainRaw[Option Type],"PE")</f>
        <v/>
      </c>
      <c r="D42" s="31">
        <f>LET(s,CONTROL!B4,ls,CONTROL!B5,SUMPRODUCT(--(tblChainRaw[Strike Price]=A42),--(tblChainRaw[Option Type]="CE"),tblChainRaw[Open Interest],GREEKS!L4:L2003)*s^2*ls)</f>
        <v/>
      </c>
      <c r="E42" s="31">
        <f>LET(s,CONTROL!B4,ls,CONTROL!B5,SUMPRODUCT(--(tblChainRaw[Strike Price]=A42),--(tblChainRaw[Option Type]="PE"),tblChainRaw[Open Interest],GREEKS!L4:L2003)*s^2*ls)</f>
        <v/>
      </c>
      <c r="F42" s="31">
        <f>D42-E42</f>
        <v/>
      </c>
      <c r="G42" s="31">
        <f>LET(ls,CONTROL!B5,SUMPRODUCT(--(tblChainRaw[Strike Price]=A42),--(tblChainRaw[Option Type]="CE"),tblChainRaw[Open Interest],GREEKS!M4:M2003)*ls)</f>
        <v/>
      </c>
      <c r="H42" s="31">
        <f>LET(ls,CONTROL!B5,SUMPRODUCT(--(tblChainRaw[Strike Price]=A42),--(tblChainRaw[Option Type]="PE"),tblChainRaw[Open Interest],GREEKS!M4:M2003)*ls)</f>
        <v/>
      </c>
      <c r="I42" s="31">
        <f>G42+H42</f>
        <v/>
      </c>
    </row>
    <row r="43">
      <c r="A43" s="31">
        <f>IF(CHAIN_CALC!B5="","",CHAIN_CALC!B5+(-61)*CONTROL!B6)</f>
        <v/>
      </c>
      <c r="B43" s="31">
        <f>SUMIFS(tblChainRaw[Open Interest],tblChainRaw[Strike Price],A43,tblChainRaw[Option Type],"CE")</f>
        <v/>
      </c>
      <c r="C43" s="31">
        <f>SUMIFS(tblChainRaw[Open Interest],tblChainRaw[Strike Price],A43,tblChainRaw[Option Type],"PE")</f>
        <v/>
      </c>
      <c r="D43" s="31">
        <f>LET(s,CONTROL!B4,ls,CONTROL!B5,SUMPRODUCT(--(tblChainRaw[Strike Price]=A43),--(tblChainRaw[Option Type]="CE"),tblChainRaw[Open Interest],GREEKS!L4:L2003)*s^2*ls)</f>
        <v/>
      </c>
      <c r="E43" s="31">
        <f>LET(s,CONTROL!B4,ls,CONTROL!B5,SUMPRODUCT(--(tblChainRaw[Strike Price]=A43),--(tblChainRaw[Option Type]="PE"),tblChainRaw[Open Interest],GREEKS!L4:L2003)*s^2*ls)</f>
        <v/>
      </c>
      <c r="F43" s="31">
        <f>D43-E43</f>
        <v/>
      </c>
      <c r="G43" s="31">
        <f>LET(ls,CONTROL!B5,SUMPRODUCT(--(tblChainRaw[Strike Price]=A43),--(tblChainRaw[Option Type]="CE"),tblChainRaw[Open Interest],GREEKS!M4:M2003)*ls)</f>
        <v/>
      </c>
      <c r="H43" s="31">
        <f>LET(ls,CONTROL!B5,SUMPRODUCT(--(tblChainRaw[Strike Price]=A43),--(tblChainRaw[Option Type]="PE"),tblChainRaw[Open Interest],GREEKS!M4:M2003)*ls)</f>
        <v/>
      </c>
      <c r="I43" s="31">
        <f>G43+H43</f>
        <v/>
      </c>
    </row>
    <row r="44">
      <c r="A44" s="31">
        <f>IF(CHAIN_CALC!B5="","",CHAIN_CALC!B5+(-60)*CONTROL!B6)</f>
        <v/>
      </c>
      <c r="B44" s="31">
        <f>SUMIFS(tblChainRaw[Open Interest],tblChainRaw[Strike Price],A44,tblChainRaw[Option Type],"CE")</f>
        <v/>
      </c>
      <c r="C44" s="31">
        <f>SUMIFS(tblChainRaw[Open Interest],tblChainRaw[Strike Price],A44,tblChainRaw[Option Type],"PE")</f>
        <v/>
      </c>
      <c r="D44" s="31">
        <f>LET(s,CONTROL!B4,ls,CONTROL!B5,SUMPRODUCT(--(tblChainRaw[Strike Price]=A44),--(tblChainRaw[Option Type]="CE"),tblChainRaw[Open Interest],GREEKS!L4:L2003)*s^2*ls)</f>
        <v/>
      </c>
      <c r="E44" s="31">
        <f>LET(s,CONTROL!B4,ls,CONTROL!B5,SUMPRODUCT(--(tblChainRaw[Strike Price]=A44),--(tblChainRaw[Option Type]="PE"),tblChainRaw[Open Interest],GREEKS!L4:L2003)*s^2*ls)</f>
        <v/>
      </c>
      <c r="F44" s="31">
        <f>D44-E44</f>
        <v/>
      </c>
      <c r="G44" s="31">
        <f>LET(ls,CONTROL!B5,SUMPRODUCT(--(tblChainRaw[Strike Price]=A44),--(tblChainRaw[Option Type]="CE"),tblChainRaw[Open Interest],GREEKS!M4:M2003)*ls)</f>
        <v/>
      </c>
      <c r="H44" s="31">
        <f>LET(ls,CONTROL!B5,SUMPRODUCT(--(tblChainRaw[Strike Price]=A44),--(tblChainRaw[Option Type]="PE"),tblChainRaw[Open Interest],GREEKS!M4:M2003)*ls)</f>
        <v/>
      </c>
      <c r="I44" s="31">
        <f>G44+H44</f>
        <v/>
      </c>
    </row>
    <row r="45">
      <c r="A45" s="31">
        <f>IF(CHAIN_CALC!B5="","",CHAIN_CALC!B5+(-59)*CONTROL!B6)</f>
        <v/>
      </c>
      <c r="B45" s="31">
        <f>SUMIFS(tblChainRaw[Open Interest],tblChainRaw[Strike Price],A45,tblChainRaw[Option Type],"CE")</f>
        <v/>
      </c>
      <c r="C45" s="31">
        <f>SUMIFS(tblChainRaw[Open Interest],tblChainRaw[Strike Price],A45,tblChainRaw[Option Type],"PE")</f>
        <v/>
      </c>
      <c r="D45" s="31">
        <f>LET(s,CONTROL!B4,ls,CONTROL!B5,SUMPRODUCT(--(tblChainRaw[Strike Price]=A45),--(tblChainRaw[Option Type]="CE"),tblChainRaw[Open Interest],GREEKS!L4:L2003)*s^2*ls)</f>
        <v/>
      </c>
      <c r="E45" s="31">
        <f>LET(s,CONTROL!B4,ls,CONTROL!B5,SUMPRODUCT(--(tblChainRaw[Strike Price]=A45),--(tblChainRaw[Option Type]="PE"),tblChainRaw[Open Interest],GREEKS!L4:L2003)*s^2*ls)</f>
        <v/>
      </c>
      <c r="F45" s="31">
        <f>D45-E45</f>
        <v/>
      </c>
      <c r="G45" s="31">
        <f>LET(ls,CONTROL!B5,SUMPRODUCT(--(tblChainRaw[Strike Price]=A45),--(tblChainRaw[Option Type]="CE"),tblChainRaw[Open Interest],GREEKS!M4:M2003)*ls)</f>
        <v/>
      </c>
      <c r="H45" s="31">
        <f>LET(ls,CONTROL!B5,SUMPRODUCT(--(tblChainRaw[Strike Price]=A45),--(tblChainRaw[Option Type]="PE"),tblChainRaw[Open Interest],GREEKS!M4:M2003)*ls)</f>
        <v/>
      </c>
      <c r="I45" s="31">
        <f>G45+H45</f>
        <v/>
      </c>
    </row>
    <row r="46">
      <c r="A46" s="31">
        <f>IF(CHAIN_CALC!B5="","",CHAIN_CALC!B5+(-58)*CONTROL!B6)</f>
        <v/>
      </c>
      <c r="B46" s="31">
        <f>SUMIFS(tblChainRaw[Open Interest],tblChainRaw[Strike Price],A46,tblChainRaw[Option Type],"CE")</f>
        <v/>
      </c>
      <c r="C46" s="31">
        <f>SUMIFS(tblChainRaw[Open Interest],tblChainRaw[Strike Price],A46,tblChainRaw[Option Type],"PE")</f>
        <v/>
      </c>
      <c r="D46" s="31">
        <f>LET(s,CONTROL!B4,ls,CONTROL!B5,SUMPRODUCT(--(tblChainRaw[Strike Price]=A46),--(tblChainRaw[Option Type]="CE"),tblChainRaw[Open Interest],GREEKS!L4:L2003)*s^2*ls)</f>
        <v/>
      </c>
      <c r="E46" s="31">
        <f>LET(s,CONTROL!B4,ls,CONTROL!B5,SUMPRODUCT(--(tblChainRaw[Strike Price]=A46),--(tblChainRaw[Option Type]="PE"),tblChainRaw[Open Interest],GREEKS!L4:L2003)*s^2*ls)</f>
        <v/>
      </c>
      <c r="F46" s="31">
        <f>D46-E46</f>
        <v/>
      </c>
      <c r="G46" s="31">
        <f>LET(ls,CONTROL!B5,SUMPRODUCT(--(tblChainRaw[Strike Price]=A46),--(tblChainRaw[Option Type]="CE"),tblChainRaw[Open Interest],GREEKS!M4:M2003)*ls)</f>
        <v/>
      </c>
      <c r="H46" s="31">
        <f>LET(ls,CONTROL!B5,SUMPRODUCT(--(tblChainRaw[Strike Price]=A46),--(tblChainRaw[Option Type]="PE"),tblChainRaw[Open Interest],GREEKS!M4:M2003)*ls)</f>
        <v/>
      </c>
      <c r="I46" s="31">
        <f>G46+H46</f>
        <v/>
      </c>
    </row>
    <row r="47">
      <c r="A47" s="31">
        <f>IF(CHAIN_CALC!B5="","",CHAIN_CALC!B5+(-57)*CONTROL!B6)</f>
        <v/>
      </c>
      <c r="B47" s="31">
        <f>SUMIFS(tblChainRaw[Open Interest],tblChainRaw[Strike Price],A47,tblChainRaw[Option Type],"CE")</f>
        <v/>
      </c>
      <c r="C47" s="31">
        <f>SUMIFS(tblChainRaw[Open Interest],tblChainRaw[Strike Price],A47,tblChainRaw[Option Type],"PE")</f>
        <v/>
      </c>
      <c r="D47" s="31">
        <f>LET(s,CONTROL!B4,ls,CONTROL!B5,SUMPRODUCT(--(tblChainRaw[Strike Price]=A47),--(tblChainRaw[Option Type]="CE"),tblChainRaw[Open Interest],GREEKS!L4:L2003)*s^2*ls)</f>
        <v/>
      </c>
      <c r="E47" s="31">
        <f>LET(s,CONTROL!B4,ls,CONTROL!B5,SUMPRODUCT(--(tblChainRaw[Strike Price]=A47),--(tblChainRaw[Option Type]="PE"),tblChainRaw[Open Interest],GREEKS!L4:L2003)*s^2*ls)</f>
        <v/>
      </c>
      <c r="F47" s="31">
        <f>D47-E47</f>
        <v/>
      </c>
      <c r="G47" s="31">
        <f>LET(ls,CONTROL!B5,SUMPRODUCT(--(tblChainRaw[Strike Price]=A47),--(tblChainRaw[Option Type]="CE"),tblChainRaw[Open Interest],GREEKS!M4:M2003)*ls)</f>
        <v/>
      </c>
      <c r="H47" s="31">
        <f>LET(ls,CONTROL!B5,SUMPRODUCT(--(tblChainRaw[Strike Price]=A47),--(tblChainRaw[Option Type]="PE"),tblChainRaw[Open Interest],GREEKS!M4:M2003)*ls)</f>
        <v/>
      </c>
      <c r="I47" s="31">
        <f>G47+H47</f>
        <v/>
      </c>
    </row>
    <row r="48">
      <c r="A48" s="31">
        <f>IF(CHAIN_CALC!B5="","",CHAIN_CALC!B5+(-56)*CONTROL!B6)</f>
        <v/>
      </c>
      <c r="B48" s="31">
        <f>SUMIFS(tblChainRaw[Open Interest],tblChainRaw[Strike Price],A48,tblChainRaw[Option Type],"CE")</f>
        <v/>
      </c>
      <c r="C48" s="31">
        <f>SUMIFS(tblChainRaw[Open Interest],tblChainRaw[Strike Price],A48,tblChainRaw[Option Type],"PE")</f>
        <v/>
      </c>
      <c r="D48" s="31">
        <f>LET(s,CONTROL!B4,ls,CONTROL!B5,SUMPRODUCT(--(tblChainRaw[Strike Price]=A48),--(tblChainRaw[Option Type]="CE"),tblChainRaw[Open Interest],GREEKS!L4:L2003)*s^2*ls)</f>
        <v/>
      </c>
      <c r="E48" s="31">
        <f>LET(s,CONTROL!B4,ls,CONTROL!B5,SUMPRODUCT(--(tblChainRaw[Strike Price]=A48),--(tblChainRaw[Option Type]="PE"),tblChainRaw[Open Interest],GREEKS!L4:L2003)*s^2*ls)</f>
        <v/>
      </c>
      <c r="F48" s="31">
        <f>D48-E48</f>
        <v/>
      </c>
      <c r="G48" s="31">
        <f>LET(ls,CONTROL!B5,SUMPRODUCT(--(tblChainRaw[Strike Price]=A48),--(tblChainRaw[Option Type]="CE"),tblChainRaw[Open Interest],GREEKS!M4:M2003)*ls)</f>
        <v/>
      </c>
      <c r="H48" s="31">
        <f>LET(ls,CONTROL!B5,SUMPRODUCT(--(tblChainRaw[Strike Price]=A48),--(tblChainRaw[Option Type]="PE"),tblChainRaw[Open Interest],GREEKS!M4:M2003)*ls)</f>
        <v/>
      </c>
      <c r="I48" s="31">
        <f>G48+H48</f>
        <v/>
      </c>
    </row>
    <row r="49">
      <c r="A49" s="31">
        <f>IF(CHAIN_CALC!B5="","",CHAIN_CALC!B5+(-55)*CONTROL!B6)</f>
        <v/>
      </c>
      <c r="B49" s="31">
        <f>SUMIFS(tblChainRaw[Open Interest],tblChainRaw[Strike Price],A49,tblChainRaw[Option Type],"CE")</f>
        <v/>
      </c>
      <c r="C49" s="31">
        <f>SUMIFS(tblChainRaw[Open Interest],tblChainRaw[Strike Price],A49,tblChainRaw[Option Type],"PE")</f>
        <v/>
      </c>
      <c r="D49" s="31">
        <f>LET(s,CONTROL!B4,ls,CONTROL!B5,SUMPRODUCT(--(tblChainRaw[Strike Price]=A49),--(tblChainRaw[Option Type]="CE"),tblChainRaw[Open Interest],GREEKS!L4:L2003)*s^2*ls)</f>
        <v/>
      </c>
      <c r="E49" s="31">
        <f>LET(s,CONTROL!B4,ls,CONTROL!B5,SUMPRODUCT(--(tblChainRaw[Strike Price]=A49),--(tblChainRaw[Option Type]="PE"),tblChainRaw[Open Interest],GREEKS!L4:L2003)*s^2*ls)</f>
        <v/>
      </c>
      <c r="F49" s="31">
        <f>D49-E49</f>
        <v/>
      </c>
      <c r="G49" s="31">
        <f>LET(ls,CONTROL!B5,SUMPRODUCT(--(tblChainRaw[Strike Price]=A49),--(tblChainRaw[Option Type]="CE"),tblChainRaw[Open Interest],GREEKS!M4:M2003)*ls)</f>
        <v/>
      </c>
      <c r="H49" s="31">
        <f>LET(ls,CONTROL!B5,SUMPRODUCT(--(tblChainRaw[Strike Price]=A49),--(tblChainRaw[Option Type]="PE"),tblChainRaw[Open Interest],GREEKS!M4:M2003)*ls)</f>
        <v/>
      </c>
      <c r="I49" s="31">
        <f>G49+H49</f>
        <v/>
      </c>
    </row>
    <row r="50">
      <c r="A50" s="31">
        <f>IF(CHAIN_CALC!B5="","",CHAIN_CALC!B5+(-54)*CONTROL!B6)</f>
        <v/>
      </c>
      <c r="B50" s="31">
        <f>SUMIFS(tblChainRaw[Open Interest],tblChainRaw[Strike Price],A50,tblChainRaw[Option Type],"CE")</f>
        <v/>
      </c>
      <c r="C50" s="31">
        <f>SUMIFS(tblChainRaw[Open Interest],tblChainRaw[Strike Price],A50,tblChainRaw[Option Type],"PE")</f>
        <v/>
      </c>
      <c r="D50" s="31">
        <f>LET(s,CONTROL!B4,ls,CONTROL!B5,SUMPRODUCT(--(tblChainRaw[Strike Price]=A50),--(tblChainRaw[Option Type]="CE"),tblChainRaw[Open Interest],GREEKS!L4:L2003)*s^2*ls)</f>
        <v/>
      </c>
      <c r="E50" s="31">
        <f>LET(s,CONTROL!B4,ls,CONTROL!B5,SUMPRODUCT(--(tblChainRaw[Strike Price]=A50),--(tblChainRaw[Option Type]="PE"),tblChainRaw[Open Interest],GREEKS!L4:L2003)*s^2*ls)</f>
        <v/>
      </c>
      <c r="F50" s="31">
        <f>D50-E50</f>
        <v/>
      </c>
      <c r="G50" s="31">
        <f>LET(ls,CONTROL!B5,SUMPRODUCT(--(tblChainRaw[Strike Price]=A50),--(tblChainRaw[Option Type]="CE"),tblChainRaw[Open Interest],GREEKS!M4:M2003)*ls)</f>
        <v/>
      </c>
      <c r="H50" s="31">
        <f>LET(ls,CONTROL!B5,SUMPRODUCT(--(tblChainRaw[Strike Price]=A50),--(tblChainRaw[Option Type]="PE"),tblChainRaw[Open Interest],GREEKS!M4:M2003)*ls)</f>
        <v/>
      </c>
      <c r="I50" s="31">
        <f>G50+H50</f>
        <v/>
      </c>
    </row>
    <row r="51">
      <c r="A51" s="31">
        <f>IF(CHAIN_CALC!B5="","",CHAIN_CALC!B5+(-53)*CONTROL!B6)</f>
        <v/>
      </c>
      <c r="B51" s="31">
        <f>SUMIFS(tblChainRaw[Open Interest],tblChainRaw[Strike Price],A51,tblChainRaw[Option Type],"CE")</f>
        <v/>
      </c>
      <c r="C51" s="31">
        <f>SUMIFS(tblChainRaw[Open Interest],tblChainRaw[Strike Price],A51,tblChainRaw[Option Type],"PE")</f>
        <v/>
      </c>
      <c r="D51" s="31">
        <f>LET(s,CONTROL!B4,ls,CONTROL!B5,SUMPRODUCT(--(tblChainRaw[Strike Price]=A51),--(tblChainRaw[Option Type]="CE"),tblChainRaw[Open Interest],GREEKS!L4:L2003)*s^2*ls)</f>
        <v/>
      </c>
      <c r="E51" s="31">
        <f>LET(s,CONTROL!B4,ls,CONTROL!B5,SUMPRODUCT(--(tblChainRaw[Strike Price]=A51),--(tblChainRaw[Option Type]="PE"),tblChainRaw[Open Interest],GREEKS!L4:L2003)*s^2*ls)</f>
        <v/>
      </c>
      <c r="F51" s="31">
        <f>D51-E51</f>
        <v/>
      </c>
      <c r="G51" s="31">
        <f>LET(ls,CONTROL!B5,SUMPRODUCT(--(tblChainRaw[Strike Price]=A51),--(tblChainRaw[Option Type]="CE"),tblChainRaw[Open Interest],GREEKS!M4:M2003)*ls)</f>
        <v/>
      </c>
      <c r="H51" s="31">
        <f>LET(ls,CONTROL!B5,SUMPRODUCT(--(tblChainRaw[Strike Price]=A51),--(tblChainRaw[Option Type]="PE"),tblChainRaw[Open Interest],GREEKS!M4:M2003)*ls)</f>
        <v/>
      </c>
      <c r="I51" s="31">
        <f>G51+H51</f>
        <v/>
      </c>
    </row>
    <row r="52">
      <c r="A52" s="31">
        <f>IF(CHAIN_CALC!B5="","",CHAIN_CALC!B5+(-52)*CONTROL!B6)</f>
        <v/>
      </c>
      <c r="B52" s="31">
        <f>SUMIFS(tblChainRaw[Open Interest],tblChainRaw[Strike Price],A52,tblChainRaw[Option Type],"CE")</f>
        <v/>
      </c>
      <c r="C52" s="31">
        <f>SUMIFS(tblChainRaw[Open Interest],tblChainRaw[Strike Price],A52,tblChainRaw[Option Type],"PE")</f>
        <v/>
      </c>
      <c r="D52" s="31">
        <f>LET(s,CONTROL!B4,ls,CONTROL!B5,SUMPRODUCT(--(tblChainRaw[Strike Price]=A52),--(tblChainRaw[Option Type]="CE"),tblChainRaw[Open Interest],GREEKS!L4:L2003)*s^2*ls)</f>
        <v/>
      </c>
      <c r="E52" s="31">
        <f>LET(s,CONTROL!B4,ls,CONTROL!B5,SUMPRODUCT(--(tblChainRaw[Strike Price]=A52),--(tblChainRaw[Option Type]="PE"),tblChainRaw[Open Interest],GREEKS!L4:L2003)*s^2*ls)</f>
        <v/>
      </c>
      <c r="F52" s="31">
        <f>D52-E52</f>
        <v/>
      </c>
      <c r="G52" s="31">
        <f>LET(ls,CONTROL!B5,SUMPRODUCT(--(tblChainRaw[Strike Price]=A52),--(tblChainRaw[Option Type]="CE"),tblChainRaw[Open Interest],GREEKS!M4:M2003)*ls)</f>
        <v/>
      </c>
      <c r="H52" s="31">
        <f>LET(ls,CONTROL!B5,SUMPRODUCT(--(tblChainRaw[Strike Price]=A52),--(tblChainRaw[Option Type]="PE"),tblChainRaw[Open Interest],GREEKS!M4:M2003)*ls)</f>
        <v/>
      </c>
      <c r="I52" s="31">
        <f>G52+H52</f>
        <v/>
      </c>
    </row>
    <row r="53">
      <c r="A53" s="31">
        <f>IF(CHAIN_CALC!B5="","",CHAIN_CALC!B5+(-51)*CONTROL!B6)</f>
        <v/>
      </c>
      <c r="B53" s="31">
        <f>SUMIFS(tblChainRaw[Open Interest],tblChainRaw[Strike Price],A53,tblChainRaw[Option Type],"CE")</f>
        <v/>
      </c>
      <c r="C53" s="31">
        <f>SUMIFS(tblChainRaw[Open Interest],tblChainRaw[Strike Price],A53,tblChainRaw[Option Type],"PE")</f>
        <v/>
      </c>
      <c r="D53" s="31">
        <f>LET(s,CONTROL!B4,ls,CONTROL!B5,SUMPRODUCT(--(tblChainRaw[Strike Price]=A53),--(tblChainRaw[Option Type]="CE"),tblChainRaw[Open Interest],GREEKS!L4:L2003)*s^2*ls)</f>
        <v/>
      </c>
      <c r="E53" s="31">
        <f>LET(s,CONTROL!B4,ls,CONTROL!B5,SUMPRODUCT(--(tblChainRaw[Strike Price]=A53),--(tblChainRaw[Option Type]="PE"),tblChainRaw[Open Interest],GREEKS!L4:L2003)*s^2*ls)</f>
        <v/>
      </c>
      <c r="F53" s="31">
        <f>D53-E53</f>
        <v/>
      </c>
      <c r="G53" s="31">
        <f>LET(ls,CONTROL!B5,SUMPRODUCT(--(tblChainRaw[Strike Price]=A53),--(tblChainRaw[Option Type]="CE"),tblChainRaw[Open Interest],GREEKS!M4:M2003)*ls)</f>
        <v/>
      </c>
      <c r="H53" s="31">
        <f>LET(ls,CONTROL!B5,SUMPRODUCT(--(tblChainRaw[Strike Price]=A53),--(tblChainRaw[Option Type]="PE"),tblChainRaw[Open Interest],GREEKS!M4:M2003)*ls)</f>
        <v/>
      </c>
      <c r="I53" s="31">
        <f>G53+H53</f>
        <v/>
      </c>
    </row>
    <row r="54">
      <c r="A54" s="31">
        <f>IF(CHAIN_CALC!B5="","",CHAIN_CALC!B5+(-50)*CONTROL!B6)</f>
        <v/>
      </c>
      <c r="B54" s="31">
        <f>SUMIFS(tblChainRaw[Open Interest],tblChainRaw[Strike Price],A54,tblChainRaw[Option Type],"CE")</f>
        <v/>
      </c>
      <c r="C54" s="31">
        <f>SUMIFS(tblChainRaw[Open Interest],tblChainRaw[Strike Price],A54,tblChainRaw[Option Type],"PE")</f>
        <v/>
      </c>
      <c r="D54" s="31">
        <f>LET(s,CONTROL!B4,ls,CONTROL!B5,SUMPRODUCT(--(tblChainRaw[Strike Price]=A54),--(tblChainRaw[Option Type]="CE"),tblChainRaw[Open Interest],GREEKS!L4:L2003)*s^2*ls)</f>
        <v/>
      </c>
      <c r="E54" s="31">
        <f>LET(s,CONTROL!B4,ls,CONTROL!B5,SUMPRODUCT(--(tblChainRaw[Strike Price]=A54),--(tblChainRaw[Option Type]="PE"),tblChainRaw[Open Interest],GREEKS!L4:L2003)*s^2*ls)</f>
        <v/>
      </c>
      <c r="F54" s="31">
        <f>D54-E54</f>
        <v/>
      </c>
      <c r="G54" s="31">
        <f>LET(ls,CONTROL!B5,SUMPRODUCT(--(tblChainRaw[Strike Price]=A54),--(tblChainRaw[Option Type]="CE"),tblChainRaw[Open Interest],GREEKS!M4:M2003)*ls)</f>
        <v/>
      </c>
      <c r="H54" s="31">
        <f>LET(ls,CONTROL!B5,SUMPRODUCT(--(tblChainRaw[Strike Price]=A54),--(tblChainRaw[Option Type]="PE"),tblChainRaw[Open Interest],GREEKS!M4:M2003)*ls)</f>
        <v/>
      </c>
      <c r="I54" s="31">
        <f>G54+H54</f>
        <v/>
      </c>
    </row>
    <row r="55">
      <c r="A55" s="31">
        <f>IF(CHAIN_CALC!B5="","",CHAIN_CALC!B5+(-49)*CONTROL!B6)</f>
        <v/>
      </c>
      <c r="B55" s="31">
        <f>SUMIFS(tblChainRaw[Open Interest],tblChainRaw[Strike Price],A55,tblChainRaw[Option Type],"CE")</f>
        <v/>
      </c>
      <c r="C55" s="31">
        <f>SUMIFS(tblChainRaw[Open Interest],tblChainRaw[Strike Price],A55,tblChainRaw[Option Type],"PE")</f>
        <v/>
      </c>
      <c r="D55" s="31">
        <f>LET(s,CONTROL!B4,ls,CONTROL!B5,SUMPRODUCT(--(tblChainRaw[Strike Price]=A55),--(tblChainRaw[Option Type]="CE"),tblChainRaw[Open Interest],GREEKS!L4:L2003)*s^2*ls)</f>
        <v/>
      </c>
      <c r="E55" s="31">
        <f>LET(s,CONTROL!B4,ls,CONTROL!B5,SUMPRODUCT(--(tblChainRaw[Strike Price]=A55),--(tblChainRaw[Option Type]="PE"),tblChainRaw[Open Interest],GREEKS!L4:L2003)*s^2*ls)</f>
        <v/>
      </c>
      <c r="F55" s="31">
        <f>D55-E55</f>
        <v/>
      </c>
      <c r="G55" s="31">
        <f>LET(ls,CONTROL!B5,SUMPRODUCT(--(tblChainRaw[Strike Price]=A55),--(tblChainRaw[Option Type]="CE"),tblChainRaw[Open Interest],GREEKS!M4:M2003)*ls)</f>
        <v/>
      </c>
      <c r="H55" s="31">
        <f>LET(ls,CONTROL!B5,SUMPRODUCT(--(tblChainRaw[Strike Price]=A55),--(tblChainRaw[Option Type]="PE"),tblChainRaw[Open Interest],GREEKS!M4:M2003)*ls)</f>
        <v/>
      </c>
      <c r="I55" s="31">
        <f>G55+H55</f>
        <v/>
      </c>
    </row>
    <row r="56">
      <c r="A56" s="31">
        <f>IF(CHAIN_CALC!B5="","",CHAIN_CALC!B5+(-48)*CONTROL!B6)</f>
        <v/>
      </c>
      <c r="B56" s="31">
        <f>SUMIFS(tblChainRaw[Open Interest],tblChainRaw[Strike Price],A56,tblChainRaw[Option Type],"CE")</f>
        <v/>
      </c>
      <c r="C56" s="31">
        <f>SUMIFS(tblChainRaw[Open Interest],tblChainRaw[Strike Price],A56,tblChainRaw[Option Type],"PE")</f>
        <v/>
      </c>
      <c r="D56" s="31">
        <f>LET(s,CONTROL!B4,ls,CONTROL!B5,SUMPRODUCT(--(tblChainRaw[Strike Price]=A56),--(tblChainRaw[Option Type]="CE"),tblChainRaw[Open Interest],GREEKS!L4:L2003)*s^2*ls)</f>
        <v/>
      </c>
      <c r="E56" s="31">
        <f>LET(s,CONTROL!B4,ls,CONTROL!B5,SUMPRODUCT(--(tblChainRaw[Strike Price]=A56),--(tblChainRaw[Option Type]="PE"),tblChainRaw[Open Interest],GREEKS!L4:L2003)*s^2*ls)</f>
        <v/>
      </c>
      <c r="F56" s="31">
        <f>D56-E56</f>
        <v/>
      </c>
      <c r="G56" s="31">
        <f>LET(ls,CONTROL!B5,SUMPRODUCT(--(tblChainRaw[Strike Price]=A56),--(tblChainRaw[Option Type]="CE"),tblChainRaw[Open Interest],GREEKS!M4:M2003)*ls)</f>
        <v/>
      </c>
      <c r="H56" s="31">
        <f>LET(ls,CONTROL!B5,SUMPRODUCT(--(tblChainRaw[Strike Price]=A56),--(tblChainRaw[Option Type]="PE"),tblChainRaw[Open Interest],GREEKS!M4:M2003)*ls)</f>
        <v/>
      </c>
      <c r="I56" s="31">
        <f>G56+H56</f>
        <v/>
      </c>
    </row>
    <row r="57">
      <c r="A57" s="31">
        <f>IF(CHAIN_CALC!B5="","",CHAIN_CALC!B5+(-47)*CONTROL!B6)</f>
        <v/>
      </c>
      <c r="B57" s="31">
        <f>SUMIFS(tblChainRaw[Open Interest],tblChainRaw[Strike Price],A57,tblChainRaw[Option Type],"CE")</f>
        <v/>
      </c>
      <c r="C57" s="31">
        <f>SUMIFS(tblChainRaw[Open Interest],tblChainRaw[Strike Price],A57,tblChainRaw[Option Type],"PE")</f>
        <v/>
      </c>
      <c r="D57" s="31">
        <f>LET(s,CONTROL!B4,ls,CONTROL!B5,SUMPRODUCT(--(tblChainRaw[Strike Price]=A57),--(tblChainRaw[Option Type]="CE"),tblChainRaw[Open Interest],GREEKS!L4:L2003)*s^2*ls)</f>
        <v/>
      </c>
      <c r="E57" s="31">
        <f>LET(s,CONTROL!B4,ls,CONTROL!B5,SUMPRODUCT(--(tblChainRaw[Strike Price]=A57),--(tblChainRaw[Option Type]="PE"),tblChainRaw[Open Interest],GREEKS!L4:L2003)*s^2*ls)</f>
        <v/>
      </c>
      <c r="F57" s="31">
        <f>D57-E57</f>
        <v/>
      </c>
      <c r="G57" s="31">
        <f>LET(ls,CONTROL!B5,SUMPRODUCT(--(tblChainRaw[Strike Price]=A57),--(tblChainRaw[Option Type]="CE"),tblChainRaw[Open Interest],GREEKS!M4:M2003)*ls)</f>
        <v/>
      </c>
      <c r="H57" s="31">
        <f>LET(ls,CONTROL!B5,SUMPRODUCT(--(tblChainRaw[Strike Price]=A57),--(tblChainRaw[Option Type]="PE"),tblChainRaw[Open Interest],GREEKS!M4:M2003)*ls)</f>
        <v/>
      </c>
      <c r="I57" s="31">
        <f>G57+H57</f>
        <v/>
      </c>
    </row>
    <row r="58">
      <c r="A58" s="31">
        <f>IF(CHAIN_CALC!B5="","",CHAIN_CALC!B5+(-46)*CONTROL!B6)</f>
        <v/>
      </c>
      <c r="B58" s="31">
        <f>SUMIFS(tblChainRaw[Open Interest],tblChainRaw[Strike Price],A58,tblChainRaw[Option Type],"CE")</f>
        <v/>
      </c>
      <c r="C58" s="31">
        <f>SUMIFS(tblChainRaw[Open Interest],tblChainRaw[Strike Price],A58,tblChainRaw[Option Type],"PE")</f>
        <v/>
      </c>
      <c r="D58" s="31">
        <f>LET(s,CONTROL!B4,ls,CONTROL!B5,SUMPRODUCT(--(tblChainRaw[Strike Price]=A58),--(tblChainRaw[Option Type]="CE"),tblChainRaw[Open Interest],GREEKS!L4:L2003)*s^2*ls)</f>
        <v/>
      </c>
      <c r="E58" s="31">
        <f>LET(s,CONTROL!B4,ls,CONTROL!B5,SUMPRODUCT(--(tblChainRaw[Strike Price]=A58),--(tblChainRaw[Option Type]="PE"),tblChainRaw[Open Interest],GREEKS!L4:L2003)*s^2*ls)</f>
        <v/>
      </c>
      <c r="F58" s="31">
        <f>D58-E58</f>
        <v/>
      </c>
      <c r="G58" s="31">
        <f>LET(ls,CONTROL!B5,SUMPRODUCT(--(tblChainRaw[Strike Price]=A58),--(tblChainRaw[Option Type]="CE"),tblChainRaw[Open Interest],GREEKS!M4:M2003)*ls)</f>
        <v/>
      </c>
      <c r="H58" s="31">
        <f>LET(ls,CONTROL!B5,SUMPRODUCT(--(tblChainRaw[Strike Price]=A58),--(tblChainRaw[Option Type]="PE"),tblChainRaw[Open Interest],GREEKS!M4:M2003)*ls)</f>
        <v/>
      </c>
      <c r="I58" s="31">
        <f>G58+H58</f>
        <v/>
      </c>
    </row>
    <row r="59">
      <c r="A59" s="31">
        <f>IF(CHAIN_CALC!B5="","",CHAIN_CALC!B5+(-45)*CONTROL!B6)</f>
        <v/>
      </c>
      <c r="B59" s="31">
        <f>SUMIFS(tblChainRaw[Open Interest],tblChainRaw[Strike Price],A59,tblChainRaw[Option Type],"CE")</f>
        <v/>
      </c>
      <c r="C59" s="31">
        <f>SUMIFS(tblChainRaw[Open Interest],tblChainRaw[Strike Price],A59,tblChainRaw[Option Type],"PE")</f>
        <v/>
      </c>
      <c r="D59" s="31">
        <f>LET(s,CONTROL!B4,ls,CONTROL!B5,SUMPRODUCT(--(tblChainRaw[Strike Price]=A59),--(tblChainRaw[Option Type]="CE"),tblChainRaw[Open Interest],GREEKS!L4:L2003)*s^2*ls)</f>
        <v/>
      </c>
      <c r="E59" s="31">
        <f>LET(s,CONTROL!B4,ls,CONTROL!B5,SUMPRODUCT(--(tblChainRaw[Strike Price]=A59),--(tblChainRaw[Option Type]="PE"),tblChainRaw[Open Interest],GREEKS!L4:L2003)*s^2*ls)</f>
        <v/>
      </c>
      <c r="F59" s="31">
        <f>D59-E59</f>
        <v/>
      </c>
      <c r="G59" s="31">
        <f>LET(ls,CONTROL!B5,SUMPRODUCT(--(tblChainRaw[Strike Price]=A59),--(tblChainRaw[Option Type]="CE"),tblChainRaw[Open Interest],GREEKS!M4:M2003)*ls)</f>
        <v/>
      </c>
      <c r="H59" s="31">
        <f>LET(ls,CONTROL!B5,SUMPRODUCT(--(tblChainRaw[Strike Price]=A59),--(tblChainRaw[Option Type]="PE"),tblChainRaw[Open Interest],GREEKS!M4:M2003)*ls)</f>
        <v/>
      </c>
      <c r="I59" s="31">
        <f>G59+H59</f>
        <v/>
      </c>
    </row>
    <row r="60">
      <c r="A60" s="31">
        <f>IF(CHAIN_CALC!B5="","",CHAIN_CALC!B5+(-44)*CONTROL!B6)</f>
        <v/>
      </c>
      <c r="B60" s="31">
        <f>SUMIFS(tblChainRaw[Open Interest],tblChainRaw[Strike Price],A60,tblChainRaw[Option Type],"CE")</f>
        <v/>
      </c>
      <c r="C60" s="31">
        <f>SUMIFS(tblChainRaw[Open Interest],tblChainRaw[Strike Price],A60,tblChainRaw[Option Type],"PE")</f>
        <v/>
      </c>
      <c r="D60" s="31">
        <f>LET(s,CONTROL!B4,ls,CONTROL!B5,SUMPRODUCT(--(tblChainRaw[Strike Price]=A60),--(tblChainRaw[Option Type]="CE"),tblChainRaw[Open Interest],GREEKS!L4:L2003)*s^2*ls)</f>
        <v/>
      </c>
      <c r="E60" s="31">
        <f>LET(s,CONTROL!B4,ls,CONTROL!B5,SUMPRODUCT(--(tblChainRaw[Strike Price]=A60),--(tblChainRaw[Option Type]="PE"),tblChainRaw[Open Interest],GREEKS!L4:L2003)*s^2*ls)</f>
        <v/>
      </c>
      <c r="F60" s="31">
        <f>D60-E60</f>
        <v/>
      </c>
      <c r="G60" s="31">
        <f>LET(ls,CONTROL!B5,SUMPRODUCT(--(tblChainRaw[Strike Price]=A60),--(tblChainRaw[Option Type]="CE"),tblChainRaw[Open Interest],GREEKS!M4:M2003)*ls)</f>
        <v/>
      </c>
      <c r="H60" s="31">
        <f>LET(ls,CONTROL!B5,SUMPRODUCT(--(tblChainRaw[Strike Price]=A60),--(tblChainRaw[Option Type]="PE"),tblChainRaw[Open Interest],GREEKS!M4:M2003)*ls)</f>
        <v/>
      </c>
      <c r="I60" s="31">
        <f>G60+H60</f>
        <v/>
      </c>
    </row>
    <row r="61">
      <c r="A61" s="31">
        <f>IF(CHAIN_CALC!B5="","",CHAIN_CALC!B5+(-43)*CONTROL!B6)</f>
        <v/>
      </c>
      <c r="B61" s="31">
        <f>SUMIFS(tblChainRaw[Open Interest],tblChainRaw[Strike Price],A61,tblChainRaw[Option Type],"CE")</f>
        <v/>
      </c>
      <c r="C61" s="31">
        <f>SUMIFS(tblChainRaw[Open Interest],tblChainRaw[Strike Price],A61,tblChainRaw[Option Type],"PE")</f>
        <v/>
      </c>
      <c r="D61" s="31">
        <f>LET(s,CONTROL!B4,ls,CONTROL!B5,SUMPRODUCT(--(tblChainRaw[Strike Price]=A61),--(tblChainRaw[Option Type]="CE"),tblChainRaw[Open Interest],GREEKS!L4:L2003)*s^2*ls)</f>
        <v/>
      </c>
      <c r="E61" s="31">
        <f>LET(s,CONTROL!B4,ls,CONTROL!B5,SUMPRODUCT(--(tblChainRaw[Strike Price]=A61),--(tblChainRaw[Option Type]="PE"),tblChainRaw[Open Interest],GREEKS!L4:L2003)*s^2*ls)</f>
        <v/>
      </c>
      <c r="F61" s="31">
        <f>D61-E61</f>
        <v/>
      </c>
      <c r="G61" s="31">
        <f>LET(ls,CONTROL!B5,SUMPRODUCT(--(tblChainRaw[Strike Price]=A61),--(tblChainRaw[Option Type]="CE"),tblChainRaw[Open Interest],GREEKS!M4:M2003)*ls)</f>
        <v/>
      </c>
      <c r="H61" s="31">
        <f>LET(ls,CONTROL!B5,SUMPRODUCT(--(tblChainRaw[Strike Price]=A61),--(tblChainRaw[Option Type]="PE"),tblChainRaw[Open Interest],GREEKS!M4:M2003)*ls)</f>
        <v/>
      </c>
      <c r="I61" s="31">
        <f>G61+H61</f>
        <v/>
      </c>
    </row>
    <row r="62">
      <c r="A62" s="31">
        <f>IF(CHAIN_CALC!B5="","",CHAIN_CALC!B5+(-42)*CONTROL!B6)</f>
        <v/>
      </c>
      <c r="B62" s="31">
        <f>SUMIFS(tblChainRaw[Open Interest],tblChainRaw[Strike Price],A62,tblChainRaw[Option Type],"CE")</f>
        <v/>
      </c>
      <c r="C62" s="31">
        <f>SUMIFS(tblChainRaw[Open Interest],tblChainRaw[Strike Price],A62,tblChainRaw[Option Type],"PE")</f>
        <v/>
      </c>
      <c r="D62" s="31">
        <f>LET(s,CONTROL!B4,ls,CONTROL!B5,SUMPRODUCT(--(tblChainRaw[Strike Price]=A62),--(tblChainRaw[Option Type]="CE"),tblChainRaw[Open Interest],GREEKS!L4:L2003)*s^2*ls)</f>
        <v/>
      </c>
      <c r="E62" s="31">
        <f>LET(s,CONTROL!B4,ls,CONTROL!B5,SUMPRODUCT(--(tblChainRaw[Strike Price]=A62),--(tblChainRaw[Option Type]="PE"),tblChainRaw[Open Interest],GREEKS!L4:L2003)*s^2*ls)</f>
        <v/>
      </c>
      <c r="F62" s="31">
        <f>D62-E62</f>
        <v/>
      </c>
      <c r="G62" s="31">
        <f>LET(ls,CONTROL!B5,SUMPRODUCT(--(tblChainRaw[Strike Price]=A62),--(tblChainRaw[Option Type]="CE"),tblChainRaw[Open Interest],GREEKS!M4:M2003)*ls)</f>
        <v/>
      </c>
      <c r="H62" s="31">
        <f>LET(ls,CONTROL!B5,SUMPRODUCT(--(tblChainRaw[Strike Price]=A62),--(tblChainRaw[Option Type]="PE"),tblChainRaw[Open Interest],GREEKS!M4:M2003)*ls)</f>
        <v/>
      </c>
      <c r="I62" s="31">
        <f>G62+H62</f>
        <v/>
      </c>
    </row>
    <row r="63">
      <c r="A63" s="31">
        <f>IF(CHAIN_CALC!B5="","",CHAIN_CALC!B5+(-41)*CONTROL!B6)</f>
        <v/>
      </c>
      <c r="B63" s="31">
        <f>SUMIFS(tblChainRaw[Open Interest],tblChainRaw[Strike Price],A63,tblChainRaw[Option Type],"CE")</f>
        <v/>
      </c>
      <c r="C63" s="31">
        <f>SUMIFS(tblChainRaw[Open Interest],tblChainRaw[Strike Price],A63,tblChainRaw[Option Type],"PE")</f>
        <v/>
      </c>
      <c r="D63" s="31">
        <f>LET(s,CONTROL!B4,ls,CONTROL!B5,SUMPRODUCT(--(tblChainRaw[Strike Price]=A63),--(tblChainRaw[Option Type]="CE"),tblChainRaw[Open Interest],GREEKS!L4:L2003)*s^2*ls)</f>
        <v/>
      </c>
      <c r="E63" s="31">
        <f>LET(s,CONTROL!B4,ls,CONTROL!B5,SUMPRODUCT(--(tblChainRaw[Strike Price]=A63),--(tblChainRaw[Option Type]="PE"),tblChainRaw[Open Interest],GREEKS!L4:L2003)*s^2*ls)</f>
        <v/>
      </c>
      <c r="F63" s="31">
        <f>D63-E63</f>
        <v/>
      </c>
      <c r="G63" s="31">
        <f>LET(ls,CONTROL!B5,SUMPRODUCT(--(tblChainRaw[Strike Price]=A63),--(tblChainRaw[Option Type]="CE"),tblChainRaw[Open Interest],GREEKS!M4:M2003)*ls)</f>
        <v/>
      </c>
      <c r="H63" s="31">
        <f>LET(ls,CONTROL!B5,SUMPRODUCT(--(tblChainRaw[Strike Price]=A63),--(tblChainRaw[Option Type]="PE"),tblChainRaw[Open Interest],GREEKS!M4:M2003)*ls)</f>
        <v/>
      </c>
      <c r="I63" s="31">
        <f>G63+H63</f>
        <v/>
      </c>
    </row>
    <row r="64">
      <c r="A64" s="31">
        <f>IF(CHAIN_CALC!B5="","",CHAIN_CALC!B5+(-40)*CONTROL!B6)</f>
        <v/>
      </c>
      <c r="B64" s="31">
        <f>SUMIFS(tblChainRaw[Open Interest],tblChainRaw[Strike Price],A64,tblChainRaw[Option Type],"CE")</f>
        <v/>
      </c>
      <c r="C64" s="31">
        <f>SUMIFS(tblChainRaw[Open Interest],tblChainRaw[Strike Price],A64,tblChainRaw[Option Type],"PE")</f>
        <v/>
      </c>
      <c r="D64" s="31">
        <f>LET(s,CONTROL!B4,ls,CONTROL!B5,SUMPRODUCT(--(tblChainRaw[Strike Price]=A64),--(tblChainRaw[Option Type]="CE"),tblChainRaw[Open Interest],GREEKS!L4:L2003)*s^2*ls)</f>
        <v/>
      </c>
      <c r="E64" s="31">
        <f>LET(s,CONTROL!B4,ls,CONTROL!B5,SUMPRODUCT(--(tblChainRaw[Strike Price]=A64),--(tblChainRaw[Option Type]="PE"),tblChainRaw[Open Interest],GREEKS!L4:L2003)*s^2*ls)</f>
        <v/>
      </c>
      <c r="F64" s="31">
        <f>D64-E64</f>
        <v/>
      </c>
      <c r="G64" s="31">
        <f>LET(ls,CONTROL!B5,SUMPRODUCT(--(tblChainRaw[Strike Price]=A64),--(tblChainRaw[Option Type]="CE"),tblChainRaw[Open Interest],GREEKS!M4:M2003)*ls)</f>
        <v/>
      </c>
      <c r="H64" s="31">
        <f>LET(ls,CONTROL!B5,SUMPRODUCT(--(tblChainRaw[Strike Price]=A64),--(tblChainRaw[Option Type]="PE"),tblChainRaw[Open Interest],GREEKS!M4:M2003)*ls)</f>
        <v/>
      </c>
      <c r="I64" s="31">
        <f>G64+H64</f>
        <v/>
      </c>
    </row>
    <row r="65">
      <c r="A65" s="31">
        <f>IF(CHAIN_CALC!B5="","",CHAIN_CALC!B5+(-39)*CONTROL!B6)</f>
        <v/>
      </c>
      <c r="B65" s="31">
        <f>SUMIFS(tblChainRaw[Open Interest],tblChainRaw[Strike Price],A65,tblChainRaw[Option Type],"CE")</f>
        <v/>
      </c>
      <c r="C65" s="31">
        <f>SUMIFS(tblChainRaw[Open Interest],tblChainRaw[Strike Price],A65,tblChainRaw[Option Type],"PE")</f>
        <v/>
      </c>
      <c r="D65" s="31">
        <f>LET(s,CONTROL!B4,ls,CONTROL!B5,SUMPRODUCT(--(tblChainRaw[Strike Price]=A65),--(tblChainRaw[Option Type]="CE"),tblChainRaw[Open Interest],GREEKS!L4:L2003)*s^2*ls)</f>
        <v/>
      </c>
      <c r="E65" s="31">
        <f>LET(s,CONTROL!B4,ls,CONTROL!B5,SUMPRODUCT(--(tblChainRaw[Strike Price]=A65),--(tblChainRaw[Option Type]="PE"),tblChainRaw[Open Interest],GREEKS!L4:L2003)*s^2*ls)</f>
        <v/>
      </c>
      <c r="F65" s="31">
        <f>D65-E65</f>
        <v/>
      </c>
      <c r="G65" s="31">
        <f>LET(ls,CONTROL!B5,SUMPRODUCT(--(tblChainRaw[Strike Price]=A65),--(tblChainRaw[Option Type]="CE"),tblChainRaw[Open Interest],GREEKS!M4:M2003)*ls)</f>
        <v/>
      </c>
      <c r="H65" s="31">
        <f>LET(ls,CONTROL!B5,SUMPRODUCT(--(tblChainRaw[Strike Price]=A65),--(tblChainRaw[Option Type]="PE"),tblChainRaw[Open Interest],GREEKS!M4:M2003)*ls)</f>
        <v/>
      </c>
      <c r="I65" s="31">
        <f>G65+H65</f>
        <v/>
      </c>
    </row>
    <row r="66">
      <c r="A66" s="31">
        <f>IF(CHAIN_CALC!B5="","",CHAIN_CALC!B5+(-38)*CONTROL!B6)</f>
        <v/>
      </c>
      <c r="B66" s="31">
        <f>SUMIFS(tblChainRaw[Open Interest],tblChainRaw[Strike Price],A66,tblChainRaw[Option Type],"CE")</f>
        <v/>
      </c>
      <c r="C66" s="31">
        <f>SUMIFS(tblChainRaw[Open Interest],tblChainRaw[Strike Price],A66,tblChainRaw[Option Type],"PE")</f>
        <v/>
      </c>
      <c r="D66" s="31">
        <f>LET(s,CONTROL!B4,ls,CONTROL!B5,SUMPRODUCT(--(tblChainRaw[Strike Price]=A66),--(tblChainRaw[Option Type]="CE"),tblChainRaw[Open Interest],GREEKS!L4:L2003)*s^2*ls)</f>
        <v/>
      </c>
      <c r="E66" s="31">
        <f>LET(s,CONTROL!B4,ls,CONTROL!B5,SUMPRODUCT(--(tblChainRaw[Strike Price]=A66),--(tblChainRaw[Option Type]="PE"),tblChainRaw[Open Interest],GREEKS!L4:L2003)*s^2*ls)</f>
        <v/>
      </c>
      <c r="F66" s="31">
        <f>D66-E66</f>
        <v/>
      </c>
      <c r="G66" s="31">
        <f>LET(ls,CONTROL!B5,SUMPRODUCT(--(tblChainRaw[Strike Price]=A66),--(tblChainRaw[Option Type]="CE"),tblChainRaw[Open Interest],GREEKS!M4:M2003)*ls)</f>
        <v/>
      </c>
      <c r="H66" s="31">
        <f>LET(ls,CONTROL!B5,SUMPRODUCT(--(tblChainRaw[Strike Price]=A66),--(tblChainRaw[Option Type]="PE"),tblChainRaw[Open Interest],GREEKS!M4:M2003)*ls)</f>
        <v/>
      </c>
      <c r="I66" s="31">
        <f>G66+H66</f>
        <v/>
      </c>
    </row>
    <row r="67">
      <c r="A67" s="31">
        <f>IF(CHAIN_CALC!B5="","",CHAIN_CALC!B5+(-37)*CONTROL!B6)</f>
        <v/>
      </c>
      <c r="B67" s="31">
        <f>SUMIFS(tblChainRaw[Open Interest],tblChainRaw[Strike Price],A67,tblChainRaw[Option Type],"CE")</f>
        <v/>
      </c>
      <c r="C67" s="31">
        <f>SUMIFS(tblChainRaw[Open Interest],tblChainRaw[Strike Price],A67,tblChainRaw[Option Type],"PE")</f>
        <v/>
      </c>
      <c r="D67" s="31">
        <f>LET(s,CONTROL!B4,ls,CONTROL!B5,SUMPRODUCT(--(tblChainRaw[Strike Price]=A67),--(tblChainRaw[Option Type]="CE"),tblChainRaw[Open Interest],GREEKS!L4:L2003)*s^2*ls)</f>
        <v/>
      </c>
      <c r="E67" s="31">
        <f>LET(s,CONTROL!B4,ls,CONTROL!B5,SUMPRODUCT(--(tblChainRaw[Strike Price]=A67),--(tblChainRaw[Option Type]="PE"),tblChainRaw[Open Interest],GREEKS!L4:L2003)*s^2*ls)</f>
        <v/>
      </c>
      <c r="F67" s="31">
        <f>D67-E67</f>
        <v/>
      </c>
      <c r="G67" s="31">
        <f>LET(ls,CONTROL!B5,SUMPRODUCT(--(tblChainRaw[Strike Price]=A67),--(tblChainRaw[Option Type]="CE"),tblChainRaw[Open Interest],GREEKS!M4:M2003)*ls)</f>
        <v/>
      </c>
      <c r="H67" s="31">
        <f>LET(ls,CONTROL!B5,SUMPRODUCT(--(tblChainRaw[Strike Price]=A67),--(tblChainRaw[Option Type]="PE"),tblChainRaw[Open Interest],GREEKS!M4:M2003)*ls)</f>
        <v/>
      </c>
      <c r="I67" s="31">
        <f>G67+H67</f>
        <v/>
      </c>
    </row>
    <row r="68">
      <c r="A68" s="31">
        <f>IF(CHAIN_CALC!B5="","",CHAIN_CALC!B5+(-36)*CONTROL!B6)</f>
        <v/>
      </c>
      <c r="B68" s="31">
        <f>SUMIFS(tblChainRaw[Open Interest],tblChainRaw[Strike Price],A68,tblChainRaw[Option Type],"CE")</f>
        <v/>
      </c>
      <c r="C68" s="31">
        <f>SUMIFS(tblChainRaw[Open Interest],tblChainRaw[Strike Price],A68,tblChainRaw[Option Type],"PE")</f>
        <v/>
      </c>
      <c r="D68" s="31">
        <f>LET(s,CONTROL!B4,ls,CONTROL!B5,SUMPRODUCT(--(tblChainRaw[Strike Price]=A68),--(tblChainRaw[Option Type]="CE"),tblChainRaw[Open Interest],GREEKS!L4:L2003)*s^2*ls)</f>
        <v/>
      </c>
      <c r="E68" s="31">
        <f>LET(s,CONTROL!B4,ls,CONTROL!B5,SUMPRODUCT(--(tblChainRaw[Strike Price]=A68),--(tblChainRaw[Option Type]="PE"),tblChainRaw[Open Interest],GREEKS!L4:L2003)*s^2*ls)</f>
        <v/>
      </c>
      <c r="F68" s="31">
        <f>D68-E68</f>
        <v/>
      </c>
      <c r="G68" s="31">
        <f>LET(ls,CONTROL!B5,SUMPRODUCT(--(tblChainRaw[Strike Price]=A68),--(tblChainRaw[Option Type]="CE"),tblChainRaw[Open Interest],GREEKS!M4:M2003)*ls)</f>
        <v/>
      </c>
      <c r="H68" s="31">
        <f>LET(ls,CONTROL!B5,SUMPRODUCT(--(tblChainRaw[Strike Price]=A68),--(tblChainRaw[Option Type]="PE"),tblChainRaw[Open Interest],GREEKS!M4:M2003)*ls)</f>
        <v/>
      </c>
      <c r="I68" s="31">
        <f>G68+H68</f>
        <v/>
      </c>
    </row>
    <row r="69">
      <c r="A69" s="31">
        <f>IF(CHAIN_CALC!B5="","",CHAIN_CALC!B5+(-35)*CONTROL!B6)</f>
        <v/>
      </c>
      <c r="B69" s="31">
        <f>SUMIFS(tblChainRaw[Open Interest],tblChainRaw[Strike Price],A69,tblChainRaw[Option Type],"CE")</f>
        <v/>
      </c>
      <c r="C69" s="31">
        <f>SUMIFS(tblChainRaw[Open Interest],tblChainRaw[Strike Price],A69,tblChainRaw[Option Type],"PE")</f>
        <v/>
      </c>
      <c r="D69" s="31">
        <f>LET(s,CONTROL!B4,ls,CONTROL!B5,SUMPRODUCT(--(tblChainRaw[Strike Price]=A69),--(tblChainRaw[Option Type]="CE"),tblChainRaw[Open Interest],GREEKS!L4:L2003)*s^2*ls)</f>
        <v/>
      </c>
      <c r="E69" s="31">
        <f>LET(s,CONTROL!B4,ls,CONTROL!B5,SUMPRODUCT(--(tblChainRaw[Strike Price]=A69),--(tblChainRaw[Option Type]="PE"),tblChainRaw[Open Interest],GREEKS!L4:L2003)*s^2*ls)</f>
        <v/>
      </c>
      <c r="F69" s="31">
        <f>D69-E69</f>
        <v/>
      </c>
      <c r="G69" s="31">
        <f>LET(ls,CONTROL!B5,SUMPRODUCT(--(tblChainRaw[Strike Price]=A69),--(tblChainRaw[Option Type]="CE"),tblChainRaw[Open Interest],GREEKS!M4:M2003)*ls)</f>
        <v/>
      </c>
      <c r="H69" s="31">
        <f>LET(ls,CONTROL!B5,SUMPRODUCT(--(tblChainRaw[Strike Price]=A69),--(tblChainRaw[Option Type]="PE"),tblChainRaw[Open Interest],GREEKS!M4:M2003)*ls)</f>
        <v/>
      </c>
      <c r="I69" s="31">
        <f>G69+H69</f>
        <v/>
      </c>
    </row>
    <row r="70">
      <c r="A70" s="31">
        <f>IF(CHAIN_CALC!B5="","",CHAIN_CALC!B5+(-34)*CONTROL!B6)</f>
        <v/>
      </c>
      <c r="B70" s="31">
        <f>SUMIFS(tblChainRaw[Open Interest],tblChainRaw[Strike Price],A70,tblChainRaw[Option Type],"CE")</f>
        <v/>
      </c>
      <c r="C70" s="31">
        <f>SUMIFS(tblChainRaw[Open Interest],tblChainRaw[Strike Price],A70,tblChainRaw[Option Type],"PE")</f>
        <v/>
      </c>
      <c r="D70" s="31">
        <f>LET(s,CONTROL!B4,ls,CONTROL!B5,SUMPRODUCT(--(tblChainRaw[Strike Price]=A70),--(tblChainRaw[Option Type]="CE"),tblChainRaw[Open Interest],GREEKS!L4:L2003)*s^2*ls)</f>
        <v/>
      </c>
      <c r="E70" s="31">
        <f>LET(s,CONTROL!B4,ls,CONTROL!B5,SUMPRODUCT(--(tblChainRaw[Strike Price]=A70),--(tblChainRaw[Option Type]="PE"),tblChainRaw[Open Interest],GREEKS!L4:L2003)*s^2*ls)</f>
        <v/>
      </c>
      <c r="F70" s="31">
        <f>D70-E70</f>
        <v/>
      </c>
      <c r="G70" s="31">
        <f>LET(ls,CONTROL!B5,SUMPRODUCT(--(tblChainRaw[Strike Price]=A70),--(tblChainRaw[Option Type]="CE"),tblChainRaw[Open Interest],GREEKS!M4:M2003)*ls)</f>
        <v/>
      </c>
      <c r="H70" s="31">
        <f>LET(ls,CONTROL!B5,SUMPRODUCT(--(tblChainRaw[Strike Price]=A70),--(tblChainRaw[Option Type]="PE"),tblChainRaw[Open Interest],GREEKS!M4:M2003)*ls)</f>
        <v/>
      </c>
      <c r="I70" s="31">
        <f>G70+H70</f>
        <v/>
      </c>
    </row>
    <row r="71">
      <c r="A71" s="31">
        <f>IF(CHAIN_CALC!B5="","",CHAIN_CALC!B5+(-33)*CONTROL!B6)</f>
        <v/>
      </c>
      <c r="B71" s="31">
        <f>SUMIFS(tblChainRaw[Open Interest],tblChainRaw[Strike Price],A71,tblChainRaw[Option Type],"CE")</f>
        <v/>
      </c>
      <c r="C71" s="31">
        <f>SUMIFS(tblChainRaw[Open Interest],tblChainRaw[Strike Price],A71,tblChainRaw[Option Type],"PE")</f>
        <v/>
      </c>
      <c r="D71" s="31">
        <f>LET(s,CONTROL!B4,ls,CONTROL!B5,SUMPRODUCT(--(tblChainRaw[Strike Price]=A71),--(tblChainRaw[Option Type]="CE"),tblChainRaw[Open Interest],GREEKS!L4:L2003)*s^2*ls)</f>
        <v/>
      </c>
      <c r="E71" s="31">
        <f>LET(s,CONTROL!B4,ls,CONTROL!B5,SUMPRODUCT(--(tblChainRaw[Strike Price]=A71),--(tblChainRaw[Option Type]="PE"),tblChainRaw[Open Interest],GREEKS!L4:L2003)*s^2*ls)</f>
        <v/>
      </c>
      <c r="F71" s="31">
        <f>D71-E71</f>
        <v/>
      </c>
      <c r="G71" s="31">
        <f>LET(ls,CONTROL!B5,SUMPRODUCT(--(tblChainRaw[Strike Price]=A71),--(tblChainRaw[Option Type]="CE"),tblChainRaw[Open Interest],GREEKS!M4:M2003)*ls)</f>
        <v/>
      </c>
      <c r="H71" s="31">
        <f>LET(ls,CONTROL!B5,SUMPRODUCT(--(tblChainRaw[Strike Price]=A71),--(tblChainRaw[Option Type]="PE"),tblChainRaw[Open Interest],GREEKS!M4:M2003)*ls)</f>
        <v/>
      </c>
      <c r="I71" s="31">
        <f>G71+H71</f>
        <v/>
      </c>
    </row>
    <row r="72">
      <c r="A72" s="31">
        <f>IF(CHAIN_CALC!B5="","",CHAIN_CALC!B5+(-32)*CONTROL!B6)</f>
        <v/>
      </c>
      <c r="B72" s="31">
        <f>SUMIFS(tblChainRaw[Open Interest],tblChainRaw[Strike Price],A72,tblChainRaw[Option Type],"CE")</f>
        <v/>
      </c>
      <c r="C72" s="31">
        <f>SUMIFS(tblChainRaw[Open Interest],tblChainRaw[Strike Price],A72,tblChainRaw[Option Type],"PE")</f>
        <v/>
      </c>
      <c r="D72" s="31">
        <f>LET(s,CONTROL!B4,ls,CONTROL!B5,SUMPRODUCT(--(tblChainRaw[Strike Price]=A72),--(tblChainRaw[Option Type]="CE"),tblChainRaw[Open Interest],GREEKS!L4:L2003)*s^2*ls)</f>
        <v/>
      </c>
      <c r="E72" s="31">
        <f>LET(s,CONTROL!B4,ls,CONTROL!B5,SUMPRODUCT(--(tblChainRaw[Strike Price]=A72),--(tblChainRaw[Option Type]="PE"),tblChainRaw[Open Interest],GREEKS!L4:L2003)*s^2*ls)</f>
        <v/>
      </c>
      <c r="F72" s="31">
        <f>D72-E72</f>
        <v/>
      </c>
      <c r="G72" s="31">
        <f>LET(ls,CONTROL!B5,SUMPRODUCT(--(tblChainRaw[Strike Price]=A72),--(tblChainRaw[Option Type]="CE"),tblChainRaw[Open Interest],GREEKS!M4:M2003)*ls)</f>
        <v/>
      </c>
      <c r="H72" s="31">
        <f>LET(ls,CONTROL!B5,SUMPRODUCT(--(tblChainRaw[Strike Price]=A72),--(tblChainRaw[Option Type]="PE"),tblChainRaw[Open Interest],GREEKS!M4:M2003)*ls)</f>
        <v/>
      </c>
      <c r="I72" s="31">
        <f>G72+H72</f>
        <v/>
      </c>
    </row>
    <row r="73">
      <c r="A73" s="31">
        <f>IF(CHAIN_CALC!B5="","",CHAIN_CALC!B5+(-31)*CONTROL!B6)</f>
        <v/>
      </c>
      <c r="B73" s="31">
        <f>SUMIFS(tblChainRaw[Open Interest],tblChainRaw[Strike Price],A73,tblChainRaw[Option Type],"CE")</f>
        <v/>
      </c>
      <c r="C73" s="31">
        <f>SUMIFS(tblChainRaw[Open Interest],tblChainRaw[Strike Price],A73,tblChainRaw[Option Type],"PE")</f>
        <v/>
      </c>
      <c r="D73" s="31">
        <f>LET(s,CONTROL!B4,ls,CONTROL!B5,SUMPRODUCT(--(tblChainRaw[Strike Price]=A73),--(tblChainRaw[Option Type]="CE"),tblChainRaw[Open Interest],GREEKS!L4:L2003)*s^2*ls)</f>
        <v/>
      </c>
      <c r="E73" s="31">
        <f>LET(s,CONTROL!B4,ls,CONTROL!B5,SUMPRODUCT(--(tblChainRaw[Strike Price]=A73),--(tblChainRaw[Option Type]="PE"),tblChainRaw[Open Interest],GREEKS!L4:L2003)*s^2*ls)</f>
        <v/>
      </c>
      <c r="F73" s="31">
        <f>D73-E73</f>
        <v/>
      </c>
      <c r="G73" s="31">
        <f>LET(ls,CONTROL!B5,SUMPRODUCT(--(tblChainRaw[Strike Price]=A73),--(tblChainRaw[Option Type]="CE"),tblChainRaw[Open Interest],GREEKS!M4:M2003)*ls)</f>
        <v/>
      </c>
      <c r="H73" s="31">
        <f>LET(ls,CONTROL!B5,SUMPRODUCT(--(tblChainRaw[Strike Price]=A73),--(tblChainRaw[Option Type]="PE"),tblChainRaw[Open Interest],GREEKS!M4:M2003)*ls)</f>
        <v/>
      </c>
      <c r="I73" s="31">
        <f>G73+H73</f>
        <v/>
      </c>
    </row>
    <row r="74">
      <c r="A74" s="31">
        <f>IF(CHAIN_CALC!B5="","",CHAIN_CALC!B5+(-30)*CONTROL!B6)</f>
        <v/>
      </c>
      <c r="B74" s="31">
        <f>SUMIFS(tblChainRaw[Open Interest],tblChainRaw[Strike Price],A74,tblChainRaw[Option Type],"CE")</f>
        <v/>
      </c>
      <c r="C74" s="31">
        <f>SUMIFS(tblChainRaw[Open Interest],tblChainRaw[Strike Price],A74,tblChainRaw[Option Type],"PE")</f>
        <v/>
      </c>
      <c r="D74" s="31">
        <f>LET(s,CONTROL!B4,ls,CONTROL!B5,SUMPRODUCT(--(tblChainRaw[Strike Price]=A74),--(tblChainRaw[Option Type]="CE"),tblChainRaw[Open Interest],GREEKS!L4:L2003)*s^2*ls)</f>
        <v/>
      </c>
      <c r="E74" s="31">
        <f>LET(s,CONTROL!B4,ls,CONTROL!B5,SUMPRODUCT(--(tblChainRaw[Strike Price]=A74),--(tblChainRaw[Option Type]="PE"),tblChainRaw[Open Interest],GREEKS!L4:L2003)*s^2*ls)</f>
        <v/>
      </c>
      <c r="F74" s="31">
        <f>D74-E74</f>
        <v/>
      </c>
      <c r="G74" s="31">
        <f>LET(ls,CONTROL!B5,SUMPRODUCT(--(tblChainRaw[Strike Price]=A74),--(tblChainRaw[Option Type]="CE"),tblChainRaw[Open Interest],GREEKS!M4:M2003)*ls)</f>
        <v/>
      </c>
      <c r="H74" s="31">
        <f>LET(ls,CONTROL!B5,SUMPRODUCT(--(tblChainRaw[Strike Price]=A74),--(tblChainRaw[Option Type]="PE"),tblChainRaw[Open Interest],GREEKS!M4:M2003)*ls)</f>
        <v/>
      </c>
      <c r="I74" s="31">
        <f>G74+H74</f>
        <v/>
      </c>
    </row>
    <row r="75">
      <c r="A75" s="31">
        <f>IF(CHAIN_CALC!B5="","",CHAIN_CALC!B5+(-29)*CONTROL!B6)</f>
        <v/>
      </c>
      <c r="B75" s="31">
        <f>SUMIFS(tblChainRaw[Open Interest],tblChainRaw[Strike Price],A75,tblChainRaw[Option Type],"CE")</f>
        <v/>
      </c>
      <c r="C75" s="31">
        <f>SUMIFS(tblChainRaw[Open Interest],tblChainRaw[Strike Price],A75,tblChainRaw[Option Type],"PE")</f>
        <v/>
      </c>
      <c r="D75" s="31">
        <f>LET(s,CONTROL!B4,ls,CONTROL!B5,SUMPRODUCT(--(tblChainRaw[Strike Price]=A75),--(tblChainRaw[Option Type]="CE"),tblChainRaw[Open Interest],GREEKS!L4:L2003)*s^2*ls)</f>
        <v/>
      </c>
      <c r="E75" s="31">
        <f>LET(s,CONTROL!B4,ls,CONTROL!B5,SUMPRODUCT(--(tblChainRaw[Strike Price]=A75),--(tblChainRaw[Option Type]="PE"),tblChainRaw[Open Interest],GREEKS!L4:L2003)*s^2*ls)</f>
        <v/>
      </c>
      <c r="F75" s="31">
        <f>D75-E75</f>
        <v/>
      </c>
      <c r="G75" s="31">
        <f>LET(ls,CONTROL!B5,SUMPRODUCT(--(tblChainRaw[Strike Price]=A75),--(tblChainRaw[Option Type]="CE"),tblChainRaw[Open Interest],GREEKS!M4:M2003)*ls)</f>
        <v/>
      </c>
      <c r="H75" s="31">
        <f>LET(ls,CONTROL!B5,SUMPRODUCT(--(tblChainRaw[Strike Price]=A75),--(tblChainRaw[Option Type]="PE"),tblChainRaw[Open Interest],GREEKS!M4:M2003)*ls)</f>
        <v/>
      </c>
      <c r="I75" s="31">
        <f>G75+H75</f>
        <v/>
      </c>
    </row>
    <row r="76">
      <c r="A76" s="31">
        <f>IF(CHAIN_CALC!B5="","",CHAIN_CALC!B5+(-28)*CONTROL!B6)</f>
        <v/>
      </c>
      <c r="B76" s="31">
        <f>SUMIFS(tblChainRaw[Open Interest],tblChainRaw[Strike Price],A76,tblChainRaw[Option Type],"CE")</f>
        <v/>
      </c>
      <c r="C76" s="31">
        <f>SUMIFS(tblChainRaw[Open Interest],tblChainRaw[Strike Price],A76,tblChainRaw[Option Type],"PE")</f>
        <v/>
      </c>
      <c r="D76" s="31">
        <f>LET(s,CONTROL!B4,ls,CONTROL!B5,SUMPRODUCT(--(tblChainRaw[Strike Price]=A76),--(tblChainRaw[Option Type]="CE"),tblChainRaw[Open Interest],GREEKS!L4:L2003)*s^2*ls)</f>
        <v/>
      </c>
      <c r="E76" s="31">
        <f>LET(s,CONTROL!B4,ls,CONTROL!B5,SUMPRODUCT(--(tblChainRaw[Strike Price]=A76),--(tblChainRaw[Option Type]="PE"),tblChainRaw[Open Interest],GREEKS!L4:L2003)*s^2*ls)</f>
        <v/>
      </c>
      <c r="F76" s="31">
        <f>D76-E76</f>
        <v/>
      </c>
      <c r="G76" s="31">
        <f>LET(ls,CONTROL!B5,SUMPRODUCT(--(tblChainRaw[Strike Price]=A76),--(tblChainRaw[Option Type]="CE"),tblChainRaw[Open Interest],GREEKS!M4:M2003)*ls)</f>
        <v/>
      </c>
      <c r="H76" s="31">
        <f>LET(ls,CONTROL!B5,SUMPRODUCT(--(tblChainRaw[Strike Price]=A76),--(tblChainRaw[Option Type]="PE"),tblChainRaw[Open Interest],GREEKS!M4:M2003)*ls)</f>
        <v/>
      </c>
      <c r="I76" s="31">
        <f>G76+H76</f>
        <v/>
      </c>
    </row>
    <row r="77">
      <c r="A77" s="31">
        <f>IF(CHAIN_CALC!B5="","",CHAIN_CALC!B5+(-27)*CONTROL!B6)</f>
        <v/>
      </c>
      <c r="B77" s="31">
        <f>SUMIFS(tblChainRaw[Open Interest],tblChainRaw[Strike Price],A77,tblChainRaw[Option Type],"CE")</f>
        <v/>
      </c>
      <c r="C77" s="31">
        <f>SUMIFS(tblChainRaw[Open Interest],tblChainRaw[Strike Price],A77,tblChainRaw[Option Type],"PE")</f>
        <v/>
      </c>
      <c r="D77" s="31">
        <f>LET(s,CONTROL!B4,ls,CONTROL!B5,SUMPRODUCT(--(tblChainRaw[Strike Price]=A77),--(tblChainRaw[Option Type]="CE"),tblChainRaw[Open Interest],GREEKS!L4:L2003)*s^2*ls)</f>
        <v/>
      </c>
      <c r="E77" s="31">
        <f>LET(s,CONTROL!B4,ls,CONTROL!B5,SUMPRODUCT(--(tblChainRaw[Strike Price]=A77),--(tblChainRaw[Option Type]="PE"),tblChainRaw[Open Interest],GREEKS!L4:L2003)*s^2*ls)</f>
        <v/>
      </c>
      <c r="F77" s="31">
        <f>D77-E77</f>
        <v/>
      </c>
      <c r="G77" s="31">
        <f>LET(ls,CONTROL!B5,SUMPRODUCT(--(tblChainRaw[Strike Price]=A77),--(tblChainRaw[Option Type]="CE"),tblChainRaw[Open Interest],GREEKS!M4:M2003)*ls)</f>
        <v/>
      </c>
      <c r="H77" s="31">
        <f>LET(ls,CONTROL!B5,SUMPRODUCT(--(tblChainRaw[Strike Price]=A77),--(tblChainRaw[Option Type]="PE"),tblChainRaw[Open Interest],GREEKS!M4:M2003)*ls)</f>
        <v/>
      </c>
      <c r="I77" s="31">
        <f>G77+H77</f>
        <v/>
      </c>
    </row>
    <row r="78">
      <c r="A78" s="31">
        <f>IF(CHAIN_CALC!B5="","",CHAIN_CALC!B5+(-26)*CONTROL!B6)</f>
        <v/>
      </c>
      <c r="B78" s="31">
        <f>SUMIFS(tblChainRaw[Open Interest],tblChainRaw[Strike Price],A78,tblChainRaw[Option Type],"CE")</f>
        <v/>
      </c>
      <c r="C78" s="31">
        <f>SUMIFS(tblChainRaw[Open Interest],tblChainRaw[Strike Price],A78,tblChainRaw[Option Type],"PE")</f>
        <v/>
      </c>
      <c r="D78" s="31">
        <f>LET(s,CONTROL!B4,ls,CONTROL!B5,SUMPRODUCT(--(tblChainRaw[Strike Price]=A78),--(tblChainRaw[Option Type]="CE"),tblChainRaw[Open Interest],GREEKS!L4:L2003)*s^2*ls)</f>
        <v/>
      </c>
      <c r="E78" s="31">
        <f>LET(s,CONTROL!B4,ls,CONTROL!B5,SUMPRODUCT(--(tblChainRaw[Strike Price]=A78),--(tblChainRaw[Option Type]="PE"),tblChainRaw[Open Interest],GREEKS!L4:L2003)*s^2*ls)</f>
        <v/>
      </c>
      <c r="F78" s="31">
        <f>D78-E78</f>
        <v/>
      </c>
      <c r="G78" s="31">
        <f>LET(ls,CONTROL!B5,SUMPRODUCT(--(tblChainRaw[Strike Price]=A78),--(tblChainRaw[Option Type]="CE"),tblChainRaw[Open Interest],GREEKS!M4:M2003)*ls)</f>
        <v/>
      </c>
      <c r="H78" s="31">
        <f>LET(ls,CONTROL!B5,SUMPRODUCT(--(tblChainRaw[Strike Price]=A78),--(tblChainRaw[Option Type]="PE"),tblChainRaw[Open Interest],GREEKS!M4:M2003)*ls)</f>
        <v/>
      </c>
      <c r="I78" s="31">
        <f>G78+H78</f>
        <v/>
      </c>
    </row>
    <row r="79">
      <c r="A79" s="31">
        <f>IF(CHAIN_CALC!B5="","",CHAIN_CALC!B5+(-25)*CONTROL!B6)</f>
        <v/>
      </c>
      <c r="B79" s="31">
        <f>SUMIFS(tblChainRaw[Open Interest],tblChainRaw[Strike Price],A79,tblChainRaw[Option Type],"CE")</f>
        <v/>
      </c>
      <c r="C79" s="31">
        <f>SUMIFS(tblChainRaw[Open Interest],tblChainRaw[Strike Price],A79,tblChainRaw[Option Type],"PE")</f>
        <v/>
      </c>
      <c r="D79" s="31">
        <f>LET(s,CONTROL!B4,ls,CONTROL!B5,SUMPRODUCT(--(tblChainRaw[Strike Price]=A79),--(tblChainRaw[Option Type]="CE"),tblChainRaw[Open Interest],GREEKS!L4:L2003)*s^2*ls)</f>
        <v/>
      </c>
      <c r="E79" s="31">
        <f>LET(s,CONTROL!B4,ls,CONTROL!B5,SUMPRODUCT(--(tblChainRaw[Strike Price]=A79),--(tblChainRaw[Option Type]="PE"),tblChainRaw[Open Interest],GREEKS!L4:L2003)*s^2*ls)</f>
        <v/>
      </c>
      <c r="F79" s="31">
        <f>D79-E79</f>
        <v/>
      </c>
      <c r="G79" s="31">
        <f>LET(ls,CONTROL!B5,SUMPRODUCT(--(tblChainRaw[Strike Price]=A79),--(tblChainRaw[Option Type]="CE"),tblChainRaw[Open Interest],GREEKS!M4:M2003)*ls)</f>
        <v/>
      </c>
      <c r="H79" s="31">
        <f>LET(ls,CONTROL!B5,SUMPRODUCT(--(tblChainRaw[Strike Price]=A79),--(tblChainRaw[Option Type]="PE"),tblChainRaw[Open Interest],GREEKS!M4:M2003)*ls)</f>
        <v/>
      </c>
      <c r="I79" s="31">
        <f>G79+H79</f>
        <v/>
      </c>
    </row>
    <row r="80">
      <c r="A80" s="31">
        <f>IF(CHAIN_CALC!B5="","",CHAIN_CALC!B5+(-24)*CONTROL!B6)</f>
        <v/>
      </c>
      <c r="B80" s="31">
        <f>SUMIFS(tblChainRaw[Open Interest],tblChainRaw[Strike Price],A80,tblChainRaw[Option Type],"CE")</f>
        <v/>
      </c>
      <c r="C80" s="31">
        <f>SUMIFS(tblChainRaw[Open Interest],tblChainRaw[Strike Price],A80,tblChainRaw[Option Type],"PE")</f>
        <v/>
      </c>
      <c r="D80" s="31">
        <f>LET(s,CONTROL!B4,ls,CONTROL!B5,SUMPRODUCT(--(tblChainRaw[Strike Price]=A80),--(tblChainRaw[Option Type]="CE"),tblChainRaw[Open Interest],GREEKS!L4:L2003)*s^2*ls)</f>
        <v/>
      </c>
      <c r="E80" s="31">
        <f>LET(s,CONTROL!B4,ls,CONTROL!B5,SUMPRODUCT(--(tblChainRaw[Strike Price]=A80),--(tblChainRaw[Option Type]="PE"),tblChainRaw[Open Interest],GREEKS!L4:L2003)*s^2*ls)</f>
        <v/>
      </c>
      <c r="F80" s="31">
        <f>D80-E80</f>
        <v/>
      </c>
      <c r="G80" s="31">
        <f>LET(ls,CONTROL!B5,SUMPRODUCT(--(tblChainRaw[Strike Price]=A80),--(tblChainRaw[Option Type]="CE"),tblChainRaw[Open Interest],GREEKS!M4:M2003)*ls)</f>
        <v/>
      </c>
      <c r="H80" s="31">
        <f>LET(ls,CONTROL!B5,SUMPRODUCT(--(tblChainRaw[Strike Price]=A80),--(tblChainRaw[Option Type]="PE"),tblChainRaw[Open Interest],GREEKS!M4:M2003)*ls)</f>
        <v/>
      </c>
      <c r="I80" s="31">
        <f>G80+H80</f>
        <v/>
      </c>
    </row>
    <row r="81">
      <c r="A81" s="31">
        <f>IF(CHAIN_CALC!B5="","",CHAIN_CALC!B5+(-23)*CONTROL!B6)</f>
        <v/>
      </c>
      <c r="B81" s="31">
        <f>SUMIFS(tblChainRaw[Open Interest],tblChainRaw[Strike Price],A81,tblChainRaw[Option Type],"CE")</f>
        <v/>
      </c>
      <c r="C81" s="31">
        <f>SUMIFS(tblChainRaw[Open Interest],tblChainRaw[Strike Price],A81,tblChainRaw[Option Type],"PE")</f>
        <v/>
      </c>
      <c r="D81" s="31">
        <f>LET(s,CONTROL!B4,ls,CONTROL!B5,SUMPRODUCT(--(tblChainRaw[Strike Price]=A81),--(tblChainRaw[Option Type]="CE"),tblChainRaw[Open Interest],GREEKS!L4:L2003)*s^2*ls)</f>
        <v/>
      </c>
      <c r="E81" s="31">
        <f>LET(s,CONTROL!B4,ls,CONTROL!B5,SUMPRODUCT(--(tblChainRaw[Strike Price]=A81),--(tblChainRaw[Option Type]="PE"),tblChainRaw[Open Interest],GREEKS!L4:L2003)*s^2*ls)</f>
        <v/>
      </c>
      <c r="F81" s="31">
        <f>D81-E81</f>
        <v/>
      </c>
      <c r="G81" s="31">
        <f>LET(ls,CONTROL!B5,SUMPRODUCT(--(tblChainRaw[Strike Price]=A81),--(tblChainRaw[Option Type]="CE"),tblChainRaw[Open Interest],GREEKS!M4:M2003)*ls)</f>
        <v/>
      </c>
      <c r="H81" s="31">
        <f>LET(ls,CONTROL!B5,SUMPRODUCT(--(tblChainRaw[Strike Price]=A81),--(tblChainRaw[Option Type]="PE"),tblChainRaw[Open Interest],GREEKS!M4:M2003)*ls)</f>
        <v/>
      </c>
      <c r="I81" s="31">
        <f>G81+H81</f>
        <v/>
      </c>
    </row>
    <row r="82">
      <c r="A82" s="31">
        <f>IF(CHAIN_CALC!B5="","",CHAIN_CALC!B5+(-22)*CONTROL!B6)</f>
        <v/>
      </c>
      <c r="B82" s="31">
        <f>SUMIFS(tblChainRaw[Open Interest],tblChainRaw[Strike Price],A82,tblChainRaw[Option Type],"CE")</f>
        <v/>
      </c>
      <c r="C82" s="31">
        <f>SUMIFS(tblChainRaw[Open Interest],tblChainRaw[Strike Price],A82,tblChainRaw[Option Type],"PE")</f>
        <v/>
      </c>
      <c r="D82" s="31">
        <f>LET(s,CONTROL!B4,ls,CONTROL!B5,SUMPRODUCT(--(tblChainRaw[Strike Price]=A82),--(tblChainRaw[Option Type]="CE"),tblChainRaw[Open Interest],GREEKS!L4:L2003)*s^2*ls)</f>
        <v/>
      </c>
      <c r="E82" s="31">
        <f>LET(s,CONTROL!B4,ls,CONTROL!B5,SUMPRODUCT(--(tblChainRaw[Strike Price]=A82),--(tblChainRaw[Option Type]="PE"),tblChainRaw[Open Interest],GREEKS!L4:L2003)*s^2*ls)</f>
        <v/>
      </c>
      <c r="F82" s="31">
        <f>D82-E82</f>
        <v/>
      </c>
      <c r="G82" s="31">
        <f>LET(ls,CONTROL!B5,SUMPRODUCT(--(tblChainRaw[Strike Price]=A82),--(tblChainRaw[Option Type]="CE"),tblChainRaw[Open Interest],GREEKS!M4:M2003)*ls)</f>
        <v/>
      </c>
      <c r="H82" s="31">
        <f>LET(ls,CONTROL!B5,SUMPRODUCT(--(tblChainRaw[Strike Price]=A82),--(tblChainRaw[Option Type]="PE"),tblChainRaw[Open Interest],GREEKS!M4:M2003)*ls)</f>
        <v/>
      </c>
      <c r="I82" s="31">
        <f>G82+H82</f>
        <v/>
      </c>
    </row>
    <row r="83">
      <c r="A83" s="31">
        <f>IF(CHAIN_CALC!B5="","",CHAIN_CALC!B5+(-21)*CONTROL!B6)</f>
        <v/>
      </c>
      <c r="B83" s="31">
        <f>SUMIFS(tblChainRaw[Open Interest],tblChainRaw[Strike Price],A83,tblChainRaw[Option Type],"CE")</f>
        <v/>
      </c>
      <c r="C83" s="31">
        <f>SUMIFS(tblChainRaw[Open Interest],tblChainRaw[Strike Price],A83,tblChainRaw[Option Type],"PE")</f>
        <v/>
      </c>
      <c r="D83" s="31">
        <f>LET(s,CONTROL!B4,ls,CONTROL!B5,SUMPRODUCT(--(tblChainRaw[Strike Price]=A83),--(tblChainRaw[Option Type]="CE"),tblChainRaw[Open Interest],GREEKS!L4:L2003)*s^2*ls)</f>
        <v/>
      </c>
      <c r="E83" s="31">
        <f>LET(s,CONTROL!B4,ls,CONTROL!B5,SUMPRODUCT(--(tblChainRaw[Strike Price]=A83),--(tblChainRaw[Option Type]="PE"),tblChainRaw[Open Interest],GREEKS!L4:L2003)*s^2*ls)</f>
        <v/>
      </c>
      <c r="F83" s="31">
        <f>D83-E83</f>
        <v/>
      </c>
      <c r="G83" s="31">
        <f>LET(ls,CONTROL!B5,SUMPRODUCT(--(tblChainRaw[Strike Price]=A83),--(tblChainRaw[Option Type]="CE"),tblChainRaw[Open Interest],GREEKS!M4:M2003)*ls)</f>
        <v/>
      </c>
      <c r="H83" s="31">
        <f>LET(ls,CONTROL!B5,SUMPRODUCT(--(tblChainRaw[Strike Price]=A83),--(tblChainRaw[Option Type]="PE"),tblChainRaw[Open Interest],GREEKS!M4:M2003)*ls)</f>
        <v/>
      </c>
      <c r="I83" s="31">
        <f>G83+H83</f>
        <v/>
      </c>
    </row>
    <row r="84">
      <c r="A84" s="31">
        <f>IF(CHAIN_CALC!B5="","",CHAIN_CALC!B5+(-20)*CONTROL!B6)</f>
        <v/>
      </c>
      <c r="B84" s="31">
        <f>SUMIFS(tblChainRaw[Open Interest],tblChainRaw[Strike Price],A84,tblChainRaw[Option Type],"CE")</f>
        <v/>
      </c>
      <c r="C84" s="31">
        <f>SUMIFS(tblChainRaw[Open Interest],tblChainRaw[Strike Price],A84,tblChainRaw[Option Type],"PE")</f>
        <v/>
      </c>
      <c r="D84" s="31">
        <f>LET(s,CONTROL!B4,ls,CONTROL!B5,SUMPRODUCT(--(tblChainRaw[Strike Price]=A84),--(tblChainRaw[Option Type]="CE"),tblChainRaw[Open Interest],GREEKS!L4:L2003)*s^2*ls)</f>
        <v/>
      </c>
      <c r="E84" s="31">
        <f>LET(s,CONTROL!B4,ls,CONTROL!B5,SUMPRODUCT(--(tblChainRaw[Strike Price]=A84),--(tblChainRaw[Option Type]="PE"),tblChainRaw[Open Interest],GREEKS!L4:L2003)*s^2*ls)</f>
        <v/>
      </c>
      <c r="F84" s="31">
        <f>D84-E84</f>
        <v/>
      </c>
      <c r="G84" s="31">
        <f>LET(ls,CONTROL!B5,SUMPRODUCT(--(tblChainRaw[Strike Price]=A84),--(tblChainRaw[Option Type]="CE"),tblChainRaw[Open Interest],GREEKS!M4:M2003)*ls)</f>
        <v/>
      </c>
      <c r="H84" s="31">
        <f>LET(ls,CONTROL!B5,SUMPRODUCT(--(tblChainRaw[Strike Price]=A84),--(tblChainRaw[Option Type]="PE"),tblChainRaw[Open Interest],GREEKS!M4:M2003)*ls)</f>
        <v/>
      </c>
      <c r="I84" s="31">
        <f>G84+H84</f>
        <v/>
      </c>
    </row>
    <row r="85">
      <c r="A85" s="31">
        <f>IF(CHAIN_CALC!B5="","",CHAIN_CALC!B5+(-19)*CONTROL!B6)</f>
        <v/>
      </c>
      <c r="B85" s="31">
        <f>SUMIFS(tblChainRaw[Open Interest],tblChainRaw[Strike Price],A85,tblChainRaw[Option Type],"CE")</f>
        <v/>
      </c>
      <c r="C85" s="31">
        <f>SUMIFS(tblChainRaw[Open Interest],tblChainRaw[Strike Price],A85,tblChainRaw[Option Type],"PE")</f>
        <v/>
      </c>
      <c r="D85" s="31">
        <f>LET(s,CONTROL!B4,ls,CONTROL!B5,SUMPRODUCT(--(tblChainRaw[Strike Price]=A85),--(tblChainRaw[Option Type]="CE"),tblChainRaw[Open Interest],GREEKS!L4:L2003)*s^2*ls)</f>
        <v/>
      </c>
      <c r="E85" s="31">
        <f>LET(s,CONTROL!B4,ls,CONTROL!B5,SUMPRODUCT(--(tblChainRaw[Strike Price]=A85),--(tblChainRaw[Option Type]="PE"),tblChainRaw[Open Interest],GREEKS!L4:L2003)*s^2*ls)</f>
        <v/>
      </c>
      <c r="F85" s="31">
        <f>D85-E85</f>
        <v/>
      </c>
      <c r="G85" s="31">
        <f>LET(ls,CONTROL!B5,SUMPRODUCT(--(tblChainRaw[Strike Price]=A85),--(tblChainRaw[Option Type]="CE"),tblChainRaw[Open Interest],GREEKS!M4:M2003)*ls)</f>
        <v/>
      </c>
      <c r="H85" s="31">
        <f>LET(ls,CONTROL!B5,SUMPRODUCT(--(tblChainRaw[Strike Price]=A85),--(tblChainRaw[Option Type]="PE"),tblChainRaw[Open Interest],GREEKS!M4:M2003)*ls)</f>
        <v/>
      </c>
      <c r="I85" s="31">
        <f>G85+H85</f>
        <v/>
      </c>
    </row>
    <row r="86">
      <c r="A86" s="31">
        <f>IF(CHAIN_CALC!B5="","",CHAIN_CALC!B5+(-18)*CONTROL!B6)</f>
        <v/>
      </c>
      <c r="B86" s="31">
        <f>SUMIFS(tblChainRaw[Open Interest],tblChainRaw[Strike Price],A86,tblChainRaw[Option Type],"CE")</f>
        <v/>
      </c>
      <c r="C86" s="31">
        <f>SUMIFS(tblChainRaw[Open Interest],tblChainRaw[Strike Price],A86,tblChainRaw[Option Type],"PE")</f>
        <v/>
      </c>
      <c r="D86" s="31">
        <f>LET(s,CONTROL!B4,ls,CONTROL!B5,SUMPRODUCT(--(tblChainRaw[Strike Price]=A86),--(tblChainRaw[Option Type]="CE"),tblChainRaw[Open Interest],GREEKS!L4:L2003)*s^2*ls)</f>
        <v/>
      </c>
      <c r="E86" s="31">
        <f>LET(s,CONTROL!B4,ls,CONTROL!B5,SUMPRODUCT(--(tblChainRaw[Strike Price]=A86),--(tblChainRaw[Option Type]="PE"),tblChainRaw[Open Interest],GREEKS!L4:L2003)*s^2*ls)</f>
        <v/>
      </c>
      <c r="F86" s="31">
        <f>D86-E86</f>
        <v/>
      </c>
      <c r="G86" s="31">
        <f>LET(ls,CONTROL!B5,SUMPRODUCT(--(tblChainRaw[Strike Price]=A86),--(tblChainRaw[Option Type]="CE"),tblChainRaw[Open Interest],GREEKS!M4:M2003)*ls)</f>
        <v/>
      </c>
      <c r="H86" s="31">
        <f>LET(ls,CONTROL!B5,SUMPRODUCT(--(tblChainRaw[Strike Price]=A86),--(tblChainRaw[Option Type]="PE"),tblChainRaw[Open Interest],GREEKS!M4:M2003)*ls)</f>
        <v/>
      </c>
      <c r="I86" s="31">
        <f>G86+H86</f>
        <v/>
      </c>
    </row>
    <row r="87">
      <c r="A87" s="31">
        <f>IF(CHAIN_CALC!B5="","",CHAIN_CALC!B5+(-17)*CONTROL!B6)</f>
        <v/>
      </c>
      <c r="B87" s="31">
        <f>SUMIFS(tblChainRaw[Open Interest],tblChainRaw[Strike Price],A87,tblChainRaw[Option Type],"CE")</f>
        <v/>
      </c>
      <c r="C87" s="31">
        <f>SUMIFS(tblChainRaw[Open Interest],tblChainRaw[Strike Price],A87,tblChainRaw[Option Type],"PE")</f>
        <v/>
      </c>
      <c r="D87" s="31">
        <f>LET(s,CONTROL!B4,ls,CONTROL!B5,SUMPRODUCT(--(tblChainRaw[Strike Price]=A87),--(tblChainRaw[Option Type]="CE"),tblChainRaw[Open Interest],GREEKS!L4:L2003)*s^2*ls)</f>
        <v/>
      </c>
      <c r="E87" s="31">
        <f>LET(s,CONTROL!B4,ls,CONTROL!B5,SUMPRODUCT(--(tblChainRaw[Strike Price]=A87),--(tblChainRaw[Option Type]="PE"),tblChainRaw[Open Interest],GREEKS!L4:L2003)*s^2*ls)</f>
        <v/>
      </c>
      <c r="F87" s="31">
        <f>D87-E87</f>
        <v/>
      </c>
      <c r="G87" s="31">
        <f>LET(ls,CONTROL!B5,SUMPRODUCT(--(tblChainRaw[Strike Price]=A87),--(tblChainRaw[Option Type]="CE"),tblChainRaw[Open Interest],GREEKS!M4:M2003)*ls)</f>
        <v/>
      </c>
      <c r="H87" s="31">
        <f>LET(ls,CONTROL!B5,SUMPRODUCT(--(tblChainRaw[Strike Price]=A87),--(tblChainRaw[Option Type]="PE"),tblChainRaw[Open Interest],GREEKS!M4:M2003)*ls)</f>
        <v/>
      </c>
      <c r="I87" s="31">
        <f>G87+H87</f>
        <v/>
      </c>
    </row>
    <row r="88">
      <c r="A88" s="31">
        <f>IF(CHAIN_CALC!B5="","",CHAIN_CALC!B5+(-16)*CONTROL!B6)</f>
        <v/>
      </c>
      <c r="B88" s="31">
        <f>SUMIFS(tblChainRaw[Open Interest],tblChainRaw[Strike Price],A88,tblChainRaw[Option Type],"CE")</f>
        <v/>
      </c>
      <c r="C88" s="31">
        <f>SUMIFS(tblChainRaw[Open Interest],tblChainRaw[Strike Price],A88,tblChainRaw[Option Type],"PE")</f>
        <v/>
      </c>
      <c r="D88" s="31">
        <f>LET(s,CONTROL!B4,ls,CONTROL!B5,SUMPRODUCT(--(tblChainRaw[Strike Price]=A88),--(tblChainRaw[Option Type]="CE"),tblChainRaw[Open Interest],GREEKS!L4:L2003)*s^2*ls)</f>
        <v/>
      </c>
      <c r="E88" s="31">
        <f>LET(s,CONTROL!B4,ls,CONTROL!B5,SUMPRODUCT(--(tblChainRaw[Strike Price]=A88),--(tblChainRaw[Option Type]="PE"),tblChainRaw[Open Interest],GREEKS!L4:L2003)*s^2*ls)</f>
        <v/>
      </c>
      <c r="F88" s="31">
        <f>D88-E88</f>
        <v/>
      </c>
      <c r="G88" s="31">
        <f>LET(ls,CONTROL!B5,SUMPRODUCT(--(tblChainRaw[Strike Price]=A88),--(tblChainRaw[Option Type]="CE"),tblChainRaw[Open Interest],GREEKS!M4:M2003)*ls)</f>
        <v/>
      </c>
      <c r="H88" s="31">
        <f>LET(ls,CONTROL!B5,SUMPRODUCT(--(tblChainRaw[Strike Price]=A88),--(tblChainRaw[Option Type]="PE"),tblChainRaw[Open Interest],GREEKS!M4:M2003)*ls)</f>
        <v/>
      </c>
      <c r="I88" s="31">
        <f>G88+H88</f>
        <v/>
      </c>
    </row>
    <row r="89">
      <c r="A89" s="31">
        <f>IF(CHAIN_CALC!B5="","",CHAIN_CALC!B5+(-15)*CONTROL!B6)</f>
        <v/>
      </c>
      <c r="B89" s="31">
        <f>SUMIFS(tblChainRaw[Open Interest],tblChainRaw[Strike Price],A89,tblChainRaw[Option Type],"CE")</f>
        <v/>
      </c>
      <c r="C89" s="31">
        <f>SUMIFS(tblChainRaw[Open Interest],tblChainRaw[Strike Price],A89,tblChainRaw[Option Type],"PE")</f>
        <v/>
      </c>
      <c r="D89" s="31">
        <f>LET(s,CONTROL!B4,ls,CONTROL!B5,SUMPRODUCT(--(tblChainRaw[Strike Price]=A89),--(tblChainRaw[Option Type]="CE"),tblChainRaw[Open Interest],GREEKS!L4:L2003)*s^2*ls)</f>
        <v/>
      </c>
      <c r="E89" s="31">
        <f>LET(s,CONTROL!B4,ls,CONTROL!B5,SUMPRODUCT(--(tblChainRaw[Strike Price]=A89),--(tblChainRaw[Option Type]="PE"),tblChainRaw[Open Interest],GREEKS!L4:L2003)*s^2*ls)</f>
        <v/>
      </c>
      <c r="F89" s="31">
        <f>D89-E89</f>
        <v/>
      </c>
      <c r="G89" s="31">
        <f>LET(ls,CONTROL!B5,SUMPRODUCT(--(tblChainRaw[Strike Price]=A89),--(tblChainRaw[Option Type]="CE"),tblChainRaw[Open Interest],GREEKS!M4:M2003)*ls)</f>
        <v/>
      </c>
      <c r="H89" s="31">
        <f>LET(ls,CONTROL!B5,SUMPRODUCT(--(tblChainRaw[Strike Price]=A89),--(tblChainRaw[Option Type]="PE"),tblChainRaw[Open Interest],GREEKS!M4:M2003)*ls)</f>
        <v/>
      </c>
      <c r="I89" s="31">
        <f>G89+H89</f>
        <v/>
      </c>
    </row>
    <row r="90">
      <c r="A90" s="31">
        <f>IF(CHAIN_CALC!B5="","",CHAIN_CALC!B5+(-14)*CONTROL!B6)</f>
        <v/>
      </c>
      <c r="B90" s="31">
        <f>SUMIFS(tblChainRaw[Open Interest],tblChainRaw[Strike Price],A90,tblChainRaw[Option Type],"CE")</f>
        <v/>
      </c>
      <c r="C90" s="31">
        <f>SUMIFS(tblChainRaw[Open Interest],tblChainRaw[Strike Price],A90,tblChainRaw[Option Type],"PE")</f>
        <v/>
      </c>
      <c r="D90" s="31">
        <f>LET(s,CONTROL!B4,ls,CONTROL!B5,SUMPRODUCT(--(tblChainRaw[Strike Price]=A90),--(tblChainRaw[Option Type]="CE"),tblChainRaw[Open Interest],GREEKS!L4:L2003)*s^2*ls)</f>
        <v/>
      </c>
      <c r="E90" s="31">
        <f>LET(s,CONTROL!B4,ls,CONTROL!B5,SUMPRODUCT(--(tblChainRaw[Strike Price]=A90),--(tblChainRaw[Option Type]="PE"),tblChainRaw[Open Interest],GREEKS!L4:L2003)*s^2*ls)</f>
        <v/>
      </c>
      <c r="F90" s="31">
        <f>D90-E90</f>
        <v/>
      </c>
      <c r="G90" s="31">
        <f>LET(ls,CONTROL!B5,SUMPRODUCT(--(tblChainRaw[Strike Price]=A90),--(tblChainRaw[Option Type]="CE"),tblChainRaw[Open Interest],GREEKS!M4:M2003)*ls)</f>
        <v/>
      </c>
      <c r="H90" s="31">
        <f>LET(ls,CONTROL!B5,SUMPRODUCT(--(tblChainRaw[Strike Price]=A90),--(tblChainRaw[Option Type]="PE"),tblChainRaw[Open Interest],GREEKS!M4:M2003)*ls)</f>
        <v/>
      </c>
      <c r="I90" s="31">
        <f>G90+H90</f>
        <v/>
      </c>
    </row>
    <row r="91">
      <c r="A91" s="31">
        <f>IF(CHAIN_CALC!B5="","",CHAIN_CALC!B5+(-13)*CONTROL!B6)</f>
        <v/>
      </c>
      <c r="B91" s="31">
        <f>SUMIFS(tblChainRaw[Open Interest],tblChainRaw[Strike Price],A91,tblChainRaw[Option Type],"CE")</f>
        <v/>
      </c>
      <c r="C91" s="31">
        <f>SUMIFS(tblChainRaw[Open Interest],tblChainRaw[Strike Price],A91,tblChainRaw[Option Type],"PE")</f>
        <v/>
      </c>
      <c r="D91" s="31">
        <f>LET(s,CONTROL!B4,ls,CONTROL!B5,SUMPRODUCT(--(tblChainRaw[Strike Price]=A91),--(tblChainRaw[Option Type]="CE"),tblChainRaw[Open Interest],GREEKS!L4:L2003)*s^2*ls)</f>
        <v/>
      </c>
      <c r="E91" s="31">
        <f>LET(s,CONTROL!B4,ls,CONTROL!B5,SUMPRODUCT(--(tblChainRaw[Strike Price]=A91),--(tblChainRaw[Option Type]="PE"),tblChainRaw[Open Interest],GREEKS!L4:L2003)*s^2*ls)</f>
        <v/>
      </c>
      <c r="F91" s="31">
        <f>D91-E91</f>
        <v/>
      </c>
      <c r="G91" s="31">
        <f>LET(ls,CONTROL!B5,SUMPRODUCT(--(tblChainRaw[Strike Price]=A91),--(tblChainRaw[Option Type]="CE"),tblChainRaw[Open Interest],GREEKS!M4:M2003)*ls)</f>
        <v/>
      </c>
      <c r="H91" s="31">
        <f>LET(ls,CONTROL!B5,SUMPRODUCT(--(tblChainRaw[Strike Price]=A91),--(tblChainRaw[Option Type]="PE"),tblChainRaw[Open Interest],GREEKS!M4:M2003)*ls)</f>
        <v/>
      </c>
      <c r="I91" s="31">
        <f>G91+H91</f>
        <v/>
      </c>
    </row>
    <row r="92">
      <c r="A92" s="31">
        <f>IF(CHAIN_CALC!B5="","",CHAIN_CALC!B5+(-12)*CONTROL!B6)</f>
        <v/>
      </c>
      <c r="B92" s="31">
        <f>SUMIFS(tblChainRaw[Open Interest],tblChainRaw[Strike Price],A92,tblChainRaw[Option Type],"CE")</f>
        <v/>
      </c>
      <c r="C92" s="31">
        <f>SUMIFS(tblChainRaw[Open Interest],tblChainRaw[Strike Price],A92,tblChainRaw[Option Type],"PE")</f>
        <v/>
      </c>
      <c r="D92" s="31">
        <f>LET(s,CONTROL!B4,ls,CONTROL!B5,SUMPRODUCT(--(tblChainRaw[Strike Price]=A92),--(tblChainRaw[Option Type]="CE"),tblChainRaw[Open Interest],GREEKS!L4:L2003)*s^2*ls)</f>
        <v/>
      </c>
      <c r="E92" s="31">
        <f>LET(s,CONTROL!B4,ls,CONTROL!B5,SUMPRODUCT(--(tblChainRaw[Strike Price]=A92),--(tblChainRaw[Option Type]="PE"),tblChainRaw[Open Interest],GREEKS!L4:L2003)*s^2*ls)</f>
        <v/>
      </c>
      <c r="F92" s="31">
        <f>D92-E92</f>
        <v/>
      </c>
      <c r="G92" s="31">
        <f>LET(ls,CONTROL!B5,SUMPRODUCT(--(tblChainRaw[Strike Price]=A92),--(tblChainRaw[Option Type]="CE"),tblChainRaw[Open Interest],GREEKS!M4:M2003)*ls)</f>
        <v/>
      </c>
      <c r="H92" s="31">
        <f>LET(ls,CONTROL!B5,SUMPRODUCT(--(tblChainRaw[Strike Price]=A92),--(tblChainRaw[Option Type]="PE"),tblChainRaw[Open Interest],GREEKS!M4:M2003)*ls)</f>
        <v/>
      </c>
      <c r="I92" s="31">
        <f>G92+H92</f>
        <v/>
      </c>
    </row>
    <row r="93">
      <c r="A93" s="31">
        <f>IF(CHAIN_CALC!B5="","",CHAIN_CALC!B5+(-11)*CONTROL!B6)</f>
        <v/>
      </c>
      <c r="B93" s="31">
        <f>SUMIFS(tblChainRaw[Open Interest],tblChainRaw[Strike Price],A93,tblChainRaw[Option Type],"CE")</f>
        <v/>
      </c>
      <c r="C93" s="31">
        <f>SUMIFS(tblChainRaw[Open Interest],tblChainRaw[Strike Price],A93,tblChainRaw[Option Type],"PE")</f>
        <v/>
      </c>
      <c r="D93" s="31">
        <f>LET(s,CONTROL!B4,ls,CONTROL!B5,SUMPRODUCT(--(tblChainRaw[Strike Price]=A93),--(tblChainRaw[Option Type]="CE"),tblChainRaw[Open Interest],GREEKS!L4:L2003)*s^2*ls)</f>
        <v/>
      </c>
      <c r="E93" s="31">
        <f>LET(s,CONTROL!B4,ls,CONTROL!B5,SUMPRODUCT(--(tblChainRaw[Strike Price]=A93),--(tblChainRaw[Option Type]="PE"),tblChainRaw[Open Interest],GREEKS!L4:L2003)*s^2*ls)</f>
        <v/>
      </c>
      <c r="F93" s="31">
        <f>D93-E93</f>
        <v/>
      </c>
      <c r="G93" s="31">
        <f>LET(ls,CONTROL!B5,SUMPRODUCT(--(tblChainRaw[Strike Price]=A93),--(tblChainRaw[Option Type]="CE"),tblChainRaw[Open Interest],GREEKS!M4:M2003)*ls)</f>
        <v/>
      </c>
      <c r="H93" s="31">
        <f>LET(ls,CONTROL!B5,SUMPRODUCT(--(tblChainRaw[Strike Price]=A93),--(tblChainRaw[Option Type]="PE"),tblChainRaw[Open Interest],GREEKS!M4:M2003)*ls)</f>
        <v/>
      </c>
      <c r="I93" s="31">
        <f>G93+H93</f>
        <v/>
      </c>
    </row>
    <row r="94">
      <c r="A94" s="31">
        <f>IF(CHAIN_CALC!B5="","",CHAIN_CALC!B5+(-10)*CONTROL!B6)</f>
        <v/>
      </c>
      <c r="B94" s="31">
        <f>SUMIFS(tblChainRaw[Open Interest],tblChainRaw[Strike Price],A94,tblChainRaw[Option Type],"CE")</f>
        <v/>
      </c>
      <c r="C94" s="31">
        <f>SUMIFS(tblChainRaw[Open Interest],tblChainRaw[Strike Price],A94,tblChainRaw[Option Type],"PE")</f>
        <v/>
      </c>
      <c r="D94" s="31">
        <f>LET(s,CONTROL!B4,ls,CONTROL!B5,SUMPRODUCT(--(tblChainRaw[Strike Price]=A94),--(tblChainRaw[Option Type]="CE"),tblChainRaw[Open Interest],GREEKS!L4:L2003)*s^2*ls)</f>
        <v/>
      </c>
      <c r="E94" s="31">
        <f>LET(s,CONTROL!B4,ls,CONTROL!B5,SUMPRODUCT(--(tblChainRaw[Strike Price]=A94),--(tblChainRaw[Option Type]="PE"),tblChainRaw[Open Interest],GREEKS!L4:L2003)*s^2*ls)</f>
        <v/>
      </c>
      <c r="F94" s="31">
        <f>D94-E94</f>
        <v/>
      </c>
      <c r="G94" s="31">
        <f>LET(ls,CONTROL!B5,SUMPRODUCT(--(tblChainRaw[Strike Price]=A94),--(tblChainRaw[Option Type]="CE"),tblChainRaw[Open Interest],GREEKS!M4:M2003)*ls)</f>
        <v/>
      </c>
      <c r="H94" s="31">
        <f>LET(ls,CONTROL!B5,SUMPRODUCT(--(tblChainRaw[Strike Price]=A94),--(tblChainRaw[Option Type]="PE"),tblChainRaw[Open Interest],GREEKS!M4:M2003)*ls)</f>
        <v/>
      </c>
      <c r="I94" s="31">
        <f>G94+H94</f>
        <v/>
      </c>
    </row>
    <row r="95">
      <c r="A95" s="31">
        <f>IF(CHAIN_CALC!B5="","",CHAIN_CALC!B5+(-9)*CONTROL!B6)</f>
        <v/>
      </c>
      <c r="B95" s="31">
        <f>SUMIFS(tblChainRaw[Open Interest],tblChainRaw[Strike Price],A95,tblChainRaw[Option Type],"CE")</f>
        <v/>
      </c>
      <c r="C95" s="31">
        <f>SUMIFS(tblChainRaw[Open Interest],tblChainRaw[Strike Price],A95,tblChainRaw[Option Type],"PE")</f>
        <v/>
      </c>
      <c r="D95" s="31">
        <f>LET(s,CONTROL!B4,ls,CONTROL!B5,SUMPRODUCT(--(tblChainRaw[Strike Price]=A95),--(tblChainRaw[Option Type]="CE"),tblChainRaw[Open Interest],GREEKS!L4:L2003)*s^2*ls)</f>
        <v/>
      </c>
      <c r="E95" s="31">
        <f>LET(s,CONTROL!B4,ls,CONTROL!B5,SUMPRODUCT(--(tblChainRaw[Strike Price]=A95),--(tblChainRaw[Option Type]="PE"),tblChainRaw[Open Interest],GREEKS!L4:L2003)*s^2*ls)</f>
        <v/>
      </c>
      <c r="F95" s="31">
        <f>D95-E95</f>
        <v/>
      </c>
      <c r="G95" s="31">
        <f>LET(ls,CONTROL!B5,SUMPRODUCT(--(tblChainRaw[Strike Price]=A95),--(tblChainRaw[Option Type]="CE"),tblChainRaw[Open Interest],GREEKS!M4:M2003)*ls)</f>
        <v/>
      </c>
      <c r="H95" s="31">
        <f>LET(ls,CONTROL!B5,SUMPRODUCT(--(tblChainRaw[Strike Price]=A95),--(tblChainRaw[Option Type]="PE"),tblChainRaw[Open Interest],GREEKS!M4:M2003)*ls)</f>
        <v/>
      </c>
      <c r="I95" s="31">
        <f>G95+H95</f>
        <v/>
      </c>
    </row>
    <row r="96">
      <c r="A96" s="31">
        <f>IF(CHAIN_CALC!B5="","",CHAIN_CALC!B5+(-8)*CONTROL!B6)</f>
        <v/>
      </c>
      <c r="B96" s="31">
        <f>SUMIFS(tblChainRaw[Open Interest],tblChainRaw[Strike Price],A96,tblChainRaw[Option Type],"CE")</f>
        <v/>
      </c>
      <c r="C96" s="31">
        <f>SUMIFS(tblChainRaw[Open Interest],tblChainRaw[Strike Price],A96,tblChainRaw[Option Type],"PE")</f>
        <v/>
      </c>
      <c r="D96" s="31">
        <f>LET(s,CONTROL!B4,ls,CONTROL!B5,SUMPRODUCT(--(tblChainRaw[Strike Price]=A96),--(tblChainRaw[Option Type]="CE"),tblChainRaw[Open Interest],GREEKS!L4:L2003)*s^2*ls)</f>
        <v/>
      </c>
      <c r="E96" s="31">
        <f>LET(s,CONTROL!B4,ls,CONTROL!B5,SUMPRODUCT(--(tblChainRaw[Strike Price]=A96),--(tblChainRaw[Option Type]="PE"),tblChainRaw[Open Interest],GREEKS!L4:L2003)*s^2*ls)</f>
        <v/>
      </c>
      <c r="F96" s="31">
        <f>D96-E96</f>
        <v/>
      </c>
      <c r="G96" s="31">
        <f>LET(ls,CONTROL!B5,SUMPRODUCT(--(tblChainRaw[Strike Price]=A96),--(tblChainRaw[Option Type]="CE"),tblChainRaw[Open Interest],GREEKS!M4:M2003)*ls)</f>
        <v/>
      </c>
      <c r="H96" s="31">
        <f>LET(ls,CONTROL!B5,SUMPRODUCT(--(tblChainRaw[Strike Price]=A96),--(tblChainRaw[Option Type]="PE"),tblChainRaw[Open Interest],GREEKS!M4:M2003)*ls)</f>
        <v/>
      </c>
      <c r="I96" s="31">
        <f>G96+H96</f>
        <v/>
      </c>
    </row>
    <row r="97">
      <c r="A97" s="31">
        <f>IF(CHAIN_CALC!B5="","",CHAIN_CALC!B5+(-7)*CONTROL!B6)</f>
        <v/>
      </c>
      <c r="B97" s="31">
        <f>SUMIFS(tblChainRaw[Open Interest],tblChainRaw[Strike Price],A97,tblChainRaw[Option Type],"CE")</f>
        <v/>
      </c>
      <c r="C97" s="31">
        <f>SUMIFS(tblChainRaw[Open Interest],tblChainRaw[Strike Price],A97,tblChainRaw[Option Type],"PE")</f>
        <v/>
      </c>
      <c r="D97" s="31">
        <f>LET(s,CONTROL!B4,ls,CONTROL!B5,SUMPRODUCT(--(tblChainRaw[Strike Price]=A97),--(tblChainRaw[Option Type]="CE"),tblChainRaw[Open Interest],GREEKS!L4:L2003)*s^2*ls)</f>
        <v/>
      </c>
      <c r="E97" s="31">
        <f>LET(s,CONTROL!B4,ls,CONTROL!B5,SUMPRODUCT(--(tblChainRaw[Strike Price]=A97),--(tblChainRaw[Option Type]="PE"),tblChainRaw[Open Interest],GREEKS!L4:L2003)*s^2*ls)</f>
        <v/>
      </c>
      <c r="F97" s="31">
        <f>D97-E97</f>
        <v/>
      </c>
      <c r="G97" s="31">
        <f>LET(ls,CONTROL!B5,SUMPRODUCT(--(tblChainRaw[Strike Price]=A97),--(tblChainRaw[Option Type]="CE"),tblChainRaw[Open Interest],GREEKS!M4:M2003)*ls)</f>
        <v/>
      </c>
      <c r="H97" s="31">
        <f>LET(ls,CONTROL!B5,SUMPRODUCT(--(tblChainRaw[Strike Price]=A97),--(tblChainRaw[Option Type]="PE"),tblChainRaw[Open Interest],GREEKS!M4:M2003)*ls)</f>
        <v/>
      </c>
      <c r="I97" s="31">
        <f>G97+H97</f>
        <v/>
      </c>
    </row>
    <row r="98">
      <c r="A98" s="31">
        <f>IF(CHAIN_CALC!B5="","",CHAIN_CALC!B5+(-6)*CONTROL!B6)</f>
        <v/>
      </c>
      <c r="B98" s="31">
        <f>SUMIFS(tblChainRaw[Open Interest],tblChainRaw[Strike Price],A98,tblChainRaw[Option Type],"CE")</f>
        <v/>
      </c>
      <c r="C98" s="31">
        <f>SUMIFS(tblChainRaw[Open Interest],tblChainRaw[Strike Price],A98,tblChainRaw[Option Type],"PE")</f>
        <v/>
      </c>
      <c r="D98" s="31">
        <f>LET(s,CONTROL!B4,ls,CONTROL!B5,SUMPRODUCT(--(tblChainRaw[Strike Price]=A98),--(tblChainRaw[Option Type]="CE"),tblChainRaw[Open Interest],GREEKS!L4:L2003)*s^2*ls)</f>
        <v/>
      </c>
      <c r="E98" s="31">
        <f>LET(s,CONTROL!B4,ls,CONTROL!B5,SUMPRODUCT(--(tblChainRaw[Strike Price]=A98),--(tblChainRaw[Option Type]="PE"),tblChainRaw[Open Interest],GREEKS!L4:L2003)*s^2*ls)</f>
        <v/>
      </c>
      <c r="F98" s="31">
        <f>D98-E98</f>
        <v/>
      </c>
      <c r="G98" s="31">
        <f>LET(ls,CONTROL!B5,SUMPRODUCT(--(tblChainRaw[Strike Price]=A98),--(tblChainRaw[Option Type]="CE"),tblChainRaw[Open Interest],GREEKS!M4:M2003)*ls)</f>
        <v/>
      </c>
      <c r="H98" s="31">
        <f>LET(ls,CONTROL!B5,SUMPRODUCT(--(tblChainRaw[Strike Price]=A98),--(tblChainRaw[Option Type]="PE"),tblChainRaw[Open Interest],GREEKS!M4:M2003)*ls)</f>
        <v/>
      </c>
      <c r="I98" s="31">
        <f>G98+H98</f>
        <v/>
      </c>
    </row>
    <row r="99">
      <c r="A99" s="31">
        <f>IF(CHAIN_CALC!B5="","",CHAIN_CALC!B5+(-5)*CONTROL!B6)</f>
        <v/>
      </c>
      <c r="B99" s="31">
        <f>SUMIFS(tblChainRaw[Open Interest],tblChainRaw[Strike Price],A99,tblChainRaw[Option Type],"CE")</f>
        <v/>
      </c>
      <c r="C99" s="31">
        <f>SUMIFS(tblChainRaw[Open Interest],tblChainRaw[Strike Price],A99,tblChainRaw[Option Type],"PE")</f>
        <v/>
      </c>
      <c r="D99" s="31">
        <f>LET(s,CONTROL!B4,ls,CONTROL!B5,SUMPRODUCT(--(tblChainRaw[Strike Price]=A99),--(tblChainRaw[Option Type]="CE"),tblChainRaw[Open Interest],GREEKS!L4:L2003)*s^2*ls)</f>
        <v/>
      </c>
      <c r="E99" s="31">
        <f>LET(s,CONTROL!B4,ls,CONTROL!B5,SUMPRODUCT(--(tblChainRaw[Strike Price]=A99),--(tblChainRaw[Option Type]="PE"),tblChainRaw[Open Interest],GREEKS!L4:L2003)*s^2*ls)</f>
        <v/>
      </c>
      <c r="F99" s="31">
        <f>D99-E99</f>
        <v/>
      </c>
      <c r="G99" s="31">
        <f>LET(ls,CONTROL!B5,SUMPRODUCT(--(tblChainRaw[Strike Price]=A99),--(tblChainRaw[Option Type]="CE"),tblChainRaw[Open Interest],GREEKS!M4:M2003)*ls)</f>
        <v/>
      </c>
      <c r="H99" s="31">
        <f>LET(ls,CONTROL!B5,SUMPRODUCT(--(tblChainRaw[Strike Price]=A99),--(tblChainRaw[Option Type]="PE"),tblChainRaw[Open Interest],GREEKS!M4:M2003)*ls)</f>
        <v/>
      </c>
      <c r="I99" s="31">
        <f>G99+H99</f>
        <v/>
      </c>
    </row>
    <row r="100">
      <c r="A100" s="31">
        <f>IF(CHAIN_CALC!B5="","",CHAIN_CALC!B5+(-4)*CONTROL!B6)</f>
        <v/>
      </c>
      <c r="B100" s="31">
        <f>SUMIFS(tblChainRaw[Open Interest],tblChainRaw[Strike Price],A100,tblChainRaw[Option Type],"CE")</f>
        <v/>
      </c>
      <c r="C100" s="31">
        <f>SUMIFS(tblChainRaw[Open Interest],tblChainRaw[Strike Price],A100,tblChainRaw[Option Type],"PE")</f>
        <v/>
      </c>
      <c r="D100" s="31">
        <f>LET(s,CONTROL!B4,ls,CONTROL!B5,SUMPRODUCT(--(tblChainRaw[Strike Price]=A100),--(tblChainRaw[Option Type]="CE"),tblChainRaw[Open Interest],GREEKS!L4:L2003)*s^2*ls)</f>
        <v/>
      </c>
      <c r="E100" s="31">
        <f>LET(s,CONTROL!B4,ls,CONTROL!B5,SUMPRODUCT(--(tblChainRaw[Strike Price]=A100),--(tblChainRaw[Option Type]="PE"),tblChainRaw[Open Interest],GREEKS!L4:L2003)*s^2*ls)</f>
        <v/>
      </c>
      <c r="F100" s="31">
        <f>D100-E100</f>
        <v/>
      </c>
      <c r="G100" s="31">
        <f>LET(ls,CONTROL!B5,SUMPRODUCT(--(tblChainRaw[Strike Price]=A100),--(tblChainRaw[Option Type]="CE"),tblChainRaw[Open Interest],GREEKS!M4:M2003)*ls)</f>
        <v/>
      </c>
      <c r="H100" s="31">
        <f>LET(ls,CONTROL!B5,SUMPRODUCT(--(tblChainRaw[Strike Price]=A100),--(tblChainRaw[Option Type]="PE"),tblChainRaw[Open Interest],GREEKS!M4:M2003)*ls)</f>
        <v/>
      </c>
      <c r="I100" s="31">
        <f>G100+H100</f>
        <v/>
      </c>
    </row>
    <row r="101">
      <c r="A101" s="31">
        <f>IF(CHAIN_CALC!B5="","",CHAIN_CALC!B5+(-3)*CONTROL!B6)</f>
        <v/>
      </c>
      <c r="B101" s="31">
        <f>SUMIFS(tblChainRaw[Open Interest],tblChainRaw[Strike Price],A101,tblChainRaw[Option Type],"CE")</f>
        <v/>
      </c>
      <c r="C101" s="31">
        <f>SUMIFS(tblChainRaw[Open Interest],tblChainRaw[Strike Price],A101,tblChainRaw[Option Type],"PE")</f>
        <v/>
      </c>
      <c r="D101" s="31">
        <f>LET(s,CONTROL!B4,ls,CONTROL!B5,SUMPRODUCT(--(tblChainRaw[Strike Price]=A101),--(tblChainRaw[Option Type]="CE"),tblChainRaw[Open Interest],GREEKS!L4:L2003)*s^2*ls)</f>
        <v/>
      </c>
      <c r="E101" s="31">
        <f>LET(s,CONTROL!B4,ls,CONTROL!B5,SUMPRODUCT(--(tblChainRaw[Strike Price]=A101),--(tblChainRaw[Option Type]="PE"),tblChainRaw[Open Interest],GREEKS!L4:L2003)*s^2*ls)</f>
        <v/>
      </c>
      <c r="F101" s="31">
        <f>D101-E101</f>
        <v/>
      </c>
      <c r="G101" s="31">
        <f>LET(ls,CONTROL!B5,SUMPRODUCT(--(tblChainRaw[Strike Price]=A101),--(tblChainRaw[Option Type]="CE"),tblChainRaw[Open Interest],GREEKS!M4:M2003)*ls)</f>
        <v/>
      </c>
      <c r="H101" s="31">
        <f>LET(ls,CONTROL!B5,SUMPRODUCT(--(tblChainRaw[Strike Price]=A101),--(tblChainRaw[Option Type]="PE"),tblChainRaw[Open Interest],GREEKS!M4:M2003)*ls)</f>
        <v/>
      </c>
      <c r="I101" s="31">
        <f>G101+H101</f>
        <v/>
      </c>
    </row>
    <row r="102">
      <c r="A102" s="31">
        <f>IF(CHAIN_CALC!B5="","",CHAIN_CALC!B5+(-2)*CONTROL!B6)</f>
        <v/>
      </c>
      <c r="B102" s="31">
        <f>SUMIFS(tblChainRaw[Open Interest],tblChainRaw[Strike Price],A102,tblChainRaw[Option Type],"CE")</f>
        <v/>
      </c>
      <c r="C102" s="31">
        <f>SUMIFS(tblChainRaw[Open Interest],tblChainRaw[Strike Price],A102,tblChainRaw[Option Type],"PE")</f>
        <v/>
      </c>
      <c r="D102" s="31">
        <f>LET(s,CONTROL!B4,ls,CONTROL!B5,SUMPRODUCT(--(tblChainRaw[Strike Price]=A102),--(tblChainRaw[Option Type]="CE"),tblChainRaw[Open Interest],GREEKS!L4:L2003)*s^2*ls)</f>
        <v/>
      </c>
      <c r="E102" s="31">
        <f>LET(s,CONTROL!B4,ls,CONTROL!B5,SUMPRODUCT(--(tblChainRaw[Strike Price]=A102),--(tblChainRaw[Option Type]="PE"),tblChainRaw[Open Interest],GREEKS!L4:L2003)*s^2*ls)</f>
        <v/>
      </c>
      <c r="F102" s="31">
        <f>D102-E102</f>
        <v/>
      </c>
      <c r="G102" s="31">
        <f>LET(ls,CONTROL!B5,SUMPRODUCT(--(tblChainRaw[Strike Price]=A102),--(tblChainRaw[Option Type]="CE"),tblChainRaw[Open Interest],GREEKS!M4:M2003)*ls)</f>
        <v/>
      </c>
      <c r="H102" s="31">
        <f>LET(ls,CONTROL!B5,SUMPRODUCT(--(tblChainRaw[Strike Price]=A102),--(tblChainRaw[Option Type]="PE"),tblChainRaw[Open Interest],GREEKS!M4:M2003)*ls)</f>
        <v/>
      </c>
      <c r="I102" s="31">
        <f>G102+H102</f>
        <v/>
      </c>
    </row>
    <row r="103">
      <c r="A103" s="31">
        <f>IF(CHAIN_CALC!B5="","",CHAIN_CALC!B5+(-1)*CONTROL!B6)</f>
        <v/>
      </c>
      <c r="B103" s="31">
        <f>SUMIFS(tblChainRaw[Open Interest],tblChainRaw[Strike Price],A103,tblChainRaw[Option Type],"CE")</f>
        <v/>
      </c>
      <c r="C103" s="31">
        <f>SUMIFS(tblChainRaw[Open Interest],tblChainRaw[Strike Price],A103,tblChainRaw[Option Type],"PE")</f>
        <v/>
      </c>
      <c r="D103" s="31">
        <f>LET(s,CONTROL!B4,ls,CONTROL!B5,SUMPRODUCT(--(tblChainRaw[Strike Price]=A103),--(tblChainRaw[Option Type]="CE"),tblChainRaw[Open Interest],GREEKS!L4:L2003)*s^2*ls)</f>
        <v/>
      </c>
      <c r="E103" s="31">
        <f>LET(s,CONTROL!B4,ls,CONTROL!B5,SUMPRODUCT(--(tblChainRaw[Strike Price]=A103),--(tblChainRaw[Option Type]="PE"),tblChainRaw[Open Interest],GREEKS!L4:L2003)*s^2*ls)</f>
        <v/>
      </c>
      <c r="F103" s="31">
        <f>D103-E103</f>
        <v/>
      </c>
      <c r="G103" s="31">
        <f>LET(ls,CONTROL!B5,SUMPRODUCT(--(tblChainRaw[Strike Price]=A103),--(tblChainRaw[Option Type]="CE"),tblChainRaw[Open Interest],GREEKS!M4:M2003)*ls)</f>
        <v/>
      </c>
      <c r="H103" s="31">
        <f>LET(ls,CONTROL!B5,SUMPRODUCT(--(tblChainRaw[Strike Price]=A103),--(tblChainRaw[Option Type]="PE"),tblChainRaw[Open Interest],GREEKS!M4:M2003)*ls)</f>
        <v/>
      </c>
      <c r="I103" s="31">
        <f>G103+H103</f>
        <v/>
      </c>
    </row>
    <row r="104">
      <c r="A104" s="31">
        <f>IF(CHAIN_CALC!B5="","",CHAIN_CALC!B5+(0)*CONTROL!B6)</f>
        <v/>
      </c>
      <c r="B104" s="31">
        <f>SUMIFS(tblChainRaw[Open Interest],tblChainRaw[Strike Price],A104,tblChainRaw[Option Type],"CE")</f>
        <v/>
      </c>
      <c r="C104" s="31">
        <f>SUMIFS(tblChainRaw[Open Interest],tblChainRaw[Strike Price],A104,tblChainRaw[Option Type],"PE")</f>
        <v/>
      </c>
      <c r="D104" s="31">
        <f>LET(s,CONTROL!B4,ls,CONTROL!B5,SUMPRODUCT(--(tblChainRaw[Strike Price]=A104),--(tblChainRaw[Option Type]="CE"),tblChainRaw[Open Interest],GREEKS!L4:L2003)*s^2*ls)</f>
        <v/>
      </c>
      <c r="E104" s="31">
        <f>LET(s,CONTROL!B4,ls,CONTROL!B5,SUMPRODUCT(--(tblChainRaw[Strike Price]=A104),--(tblChainRaw[Option Type]="PE"),tblChainRaw[Open Interest],GREEKS!L4:L2003)*s^2*ls)</f>
        <v/>
      </c>
      <c r="F104" s="31">
        <f>D104-E104</f>
        <v/>
      </c>
      <c r="G104" s="31">
        <f>LET(ls,CONTROL!B5,SUMPRODUCT(--(tblChainRaw[Strike Price]=A104),--(tblChainRaw[Option Type]="CE"),tblChainRaw[Open Interest],GREEKS!M4:M2003)*ls)</f>
        <v/>
      </c>
      <c r="H104" s="31">
        <f>LET(ls,CONTROL!B5,SUMPRODUCT(--(tblChainRaw[Strike Price]=A104),--(tblChainRaw[Option Type]="PE"),tblChainRaw[Open Interest],GREEKS!M4:M2003)*ls)</f>
        <v/>
      </c>
      <c r="I104" s="31">
        <f>G104+H104</f>
        <v/>
      </c>
    </row>
    <row r="105">
      <c r="A105" s="31">
        <f>IF(CHAIN_CALC!B5="","",CHAIN_CALC!B5+(1)*CONTROL!B6)</f>
        <v/>
      </c>
      <c r="B105" s="31">
        <f>SUMIFS(tblChainRaw[Open Interest],tblChainRaw[Strike Price],A105,tblChainRaw[Option Type],"CE")</f>
        <v/>
      </c>
      <c r="C105" s="31">
        <f>SUMIFS(tblChainRaw[Open Interest],tblChainRaw[Strike Price],A105,tblChainRaw[Option Type],"PE")</f>
        <v/>
      </c>
      <c r="D105" s="31">
        <f>LET(s,CONTROL!B4,ls,CONTROL!B5,SUMPRODUCT(--(tblChainRaw[Strike Price]=A105),--(tblChainRaw[Option Type]="CE"),tblChainRaw[Open Interest],GREEKS!L4:L2003)*s^2*ls)</f>
        <v/>
      </c>
      <c r="E105" s="31">
        <f>LET(s,CONTROL!B4,ls,CONTROL!B5,SUMPRODUCT(--(tblChainRaw[Strike Price]=A105),--(tblChainRaw[Option Type]="PE"),tblChainRaw[Open Interest],GREEKS!L4:L2003)*s^2*ls)</f>
        <v/>
      </c>
      <c r="F105" s="31">
        <f>D105-E105</f>
        <v/>
      </c>
      <c r="G105" s="31">
        <f>LET(ls,CONTROL!B5,SUMPRODUCT(--(tblChainRaw[Strike Price]=A105),--(tblChainRaw[Option Type]="CE"),tblChainRaw[Open Interest],GREEKS!M4:M2003)*ls)</f>
        <v/>
      </c>
      <c r="H105" s="31">
        <f>LET(ls,CONTROL!B5,SUMPRODUCT(--(tblChainRaw[Strike Price]=A105),--(tblChainRaw[Option Type]="PE"),tblChainRaw[Open Interest],GREEKS!M4:M2003)*ls)</f>
        <v/>
      </c>
      <c r="I105" s="31">
        <f>G105+H105</f>
        <v/>
      </c>
    </row>
    <row r="106">
      <c r="A106" s="31">
        <f>IF(CHAIN_CALC!B5="","",CHAIN_CALC!B5+(2)*CONTROL!B6)</f>
        <v/>
      </c>
      <c r="B106" s="31">
        <f>SUMIFS(tblChainRaw[Open Interest],tblChainRaw[Strike Price],A106,tblChainRaw[Option Type],"CE")</f>
        <v/>
      </c>
      <c r="C106" s="31">
        <f>SUMIFS(tblChainRaw[Open Interest],tblChainRaw[Strike Price],A106,tblChainRaw[Option Type],"PE")</f>
        <v/>
      </c>
      <c r="D106" s="31">
        <f>LET(s,CONTROL!B4,ls,CONTROL!B5,SUMPRODUCT(--(tblChainRaw[Strike Price]=A106),--(tblChainRaw[Option Type]="CE"),tblChainRaw[Open Interest],GREEKS!L4:L2003)*s^2*ls)</f>
        <v/>
      </c>
      <c r="E106" s="31">
        <f>LET(s,CONTROL!B4,ls,CONTROL!B5,SUMPRODUCT(--(tblChainRaw[Strike Price]=A106),--(tblChainRaw[Option Type]="PE"),tblChainRaw[Open Interest],GREEKS!L4:L2003)*s^2*ls)</f>
        <v/>
      </c>
      <c r="F106" s="31">
        <f>D106-E106</f>
        <v/>
      </c>
      <c r="G106" s="31">
        <f>LET(ls,CONTROL!B5,SUMPRODUCT(--(tblChainRaw[Strike Price]=A106),--(tblChainRaw[Option Type]="CE"),tblChainRaw[Open Interest],GREEKS!M4:M2003)*ls)</f>
        <v/>
      </c>
      <c r="H106" s="31">
        <f>LET(ls,CONTROL!B5,SUMPRODUCT(--(tblChainRaw[Strike Price]=A106),--(tblChainRaw[Option Type]="PE"),tblChainRaw[Open Interest],GREEKS!M4:M2003)*ls)</f>
        <v/>
      </c>
      <c r="I106" s="31">
        <f>G106+H106</f>
        <v/>
      </c>
    </row>
    <row r="107">
      <c r="A107" s="31">
        <f>IF(CHAIN_CALC!B5="","",CHAIN_CALC!B5+(3)*CONTROL!B6)</f>
        <v/>
      </c>
      <c r="B107" s="31">
        <f>SUMIFS(tblChainRaw[Open Interest],tblChainRaw[Strike Price],A107,tblChainRaw[Option Type],"CE")</f>
        <v/>
      </c>
      <c r="C107" s="31">
        <f>SUMIFS(tblChainRaw[Open Interest],tblChainRaw[Strike Price],A107,tblChainRaw[Option Type],"PE")</f>
        <v/>
      </c>
      <c r="D107" s="31">
        <f>LET(s,CONTROL!B4,ls,CONTROL!B5,SUMPRODUCT(--(tblChainRaw[Strike Price]=A107),--(tblChainRaw[Option Type]="CE"),tblChainRaw[Open Interest],GREEKS!L4:L2003)*s^2*ls)</f>
        <v/>
      </c>
      <c r="E107" s="31">
        <f>LET(s,CONTROL!B4,ls,CONTROL!B5,SUMPRODUCT(--(tblChainRaw[Strike Price]=A107),--(tblChainRaw[Option Type]="PE"),tblChainRaw[Open Interest],GREEKS!L4:L2003)*s^2*ls)</f>
        <v/>
      </c>
      <c r="F107" s="31">
        <f>D107-E107</f>
        <v/>
      </c>
      <c r="G107" s="31">
        <f>LET(ls,CONTROL!B5,SUMPRODUCT(--(tblChainRaw[Strike Price]=A107),--(tblChainRaw[Option Type]="CE"),tblChainRaw[Open Interest],GREEKS!M4:M2003)*ls)</f>
        <v/>
      </c>
      <c r="H107" s="31">
        <f>LET(ls,CONTROL!B5,SUMPRODUCT(--(tblChainRaw[Strike Price]=A107),--(tblChainRaw[Option Type]="PE"),tblChainRaw[Open Interest],GREEKS!M4:M2003)*ls)</f>
        <v/>
      </c>
      <c r="I107" s="31">
        <f>G107+H107</f>
        <v/>
      </c>
    </row>
    <row r="108">
      <c r="A108" s="31">
        <f>IF(CHAIN_CALC!B5="","",CHAIN_CALC!B5+(4)*CONTROL!B6)</f>
        <v/>
      </c>
      <c r="B108" s="31">
        <f>SUMIFS(tblChainRaw[Open Interest],tblChainRaw[Strike Price],A108,tblChainRaw[Option Type],"CE")</f>
        <v/>
      </c>
      <c r="C108" s="31">
        <f>SUMIFS(tblChainRaw[Open Interest],tblChainRaw[Strike Price],A108,tblChainRaw[Option Type],"PE")</f>
        <v/>
      </c>
      <c r="D108" s="31">
        <f>LET(s,CONTROL!B4,ls,CONTROL!B5,SUMPRODUCT(--(tblChainRaw[Strike Price]=A108),--(tblChainRaw[Option Type]="CE"),tblChainRaw[Open Interest],GREEKS!L4:L2003)*s^2*ls)</f>
        <v/>
      </c>
      <c r="E108" s="31">
        <f>LET(s,CONTROL!B4,ls,CONTROL!B5,SUMPRODUCT(--(tblChainRaw[Strike Price]=A108),--(tblChainRaw[Option Type]="PE"),tblChainRaw[Open Interest],GREEKS!L4:L2003)*s^2*ls)</f>
        <v/>
      </c>
      <c r="F108" s="31">
        <f>D108-E108</f>
        <v/>
      </c>
      <c r="G108" s="31">
        <f>LET(ls,CONTROL!B5,SUMPRODUCT(--(tblChainRaw[Strike Price]=A108),--(tblChainRaw[Option Type]="CE"),tblChainRaw[Open Interest],GREEKS!M4:M2003)*ls)</f>
        <v/>
      </c>
      <c r="H108" s="31">
        <f>LET(ls,CONTROL!B5,SUMPRODUCT(--(tblChainRaw[Strike Price]=A108),--(tblChainRaw[Option Type]="PE"),tblChainRaw[Open Interest],GREEKS!M4:M2003)*ls)</f>
        <v/>
      </c>
      <c r="I108" s="31">
        <f>G108+H108</f>
        <v/>
      </c>
    </row>
    <row r="109">
      <c r="A109" s="31">
        <f>IF(CHAIN_CALC!B5="","",CHAIN_CALC!B5+(5)*CONTROL!B6)</f>
        <v/>
      </c>
      <c r="B109" s="31">
        <f>SUMIFS(tblChainRaw[Open Interest],tblChainRaw[Strike Price],A109,tblChainRaw[Option Type],"CE")</f>
        <v/>
      </c>
      <c r="C109" s="31">
        <f>SUMIFS(tblChainRaw[Open Interest],tblChainRaw[Strike Price],A109,tblChainRaw[Option Type],"PE")</f>
        <v/>
      </c>
      <c r="D109" s="31">
        <f>LET(s,CONTROL!B4,ls,CONTROL!B5,SUMPRODUCT(--(tblChainRaw[Strike Price]=A109),--(tblChainRaw[Option Type]="CE"),tblChainRaw[Open Interest],GREEKS!L4:L2003)*s^2*ls)</f>
        <v/>
      </c>
      <c r="E109" s="31">
        <f>LET(s,CONTROL!B4,ls,CONTROL!B5,SUMPRODUCT(--(tblChainRaw[Strike Price]=A109),--(tblChainRaw[Option Type]="PE"),tblChainRaw[Open Interest],GREEKS!L4:L2003)*s^2*ls)</f>
        <v/>
      </c>
      <c r="F109" s="31">
        <f>D109-E109</f>
        <v/>
      </c>
      <c r="G109" s="31">
        <f>LET(ls,CONTROL!B5,SUMPRODUCT(--(tblChainRaw[Strike Price]=A109),--(tblChainRaw[Option Type]="CE"),tblChainRaw[Open Interest],GREEKS!M4:M2003)*ls)</f>
        <v/>
      </c>
      <c r="H109" s="31">
        <f>LET(ls,CONTROL!B5,SUMPRODUCT(--(tblChainRaw[Strike Price]=A109),--(tblChainRaw[Option Type]="PE"),tblChainRaw[Open Interest],GREEKS!M4:M2003)*ls)</f>
        <v/>
      </c>
      <c r="I109" s="31">
        <f>G109+H109</f>
        <v/>
      </c>
    </row>
    <row r="110">
      <c r="A110" s="31">
        <f>IF(CHAIN_CALC!B5="","",CHAIN_CALC!B5+(6)*CONTROL!B6)</f>
        <v/>
      </c>
      <c r="B110" s="31">
        <f>SUMIFS(tblChainRaw[Open Interest],tblChainRaw[Strike Price],A110,tblChainRaw[Option Type],"CE")</f>
        <v/>
      </c>
      <c r="C110" s="31">
        <f>SUMIFS(tblChainRaw[Open Interest],tblChainRaw[Strike Price],A110,tblChainRaw[Option Type],"PE")</f>
        <v/>
      </c>
      <c r="D110" s="31">
        <f>LET(s,CONTROL!B4,ls,CONTROL!B5,SUMPRODUCT(--(tblChainRaw[Strike Price]=A110),--(tblChainRaw[Option Type]="CE"),tblChainRaw[Open Interest],GREEKS!L4:L2003)*s^2*ls)</f>
        <v/>
      </c>
      <c r="E110" s="31">
        <f>LET(s,CONTROL!B4,ls,CONTROL!B5,SUMPRODUCT(--(tblChainRaw[Strike Price]=A110),--(tblChainRaw[Option Type]="PE"),tblChainRaw[Open Interest],GREEKS!L4:L2003)*s^2*ls)</f>
        <v/>
      </c>
      <c r="F110" s="31">
        <f>D110-E110</f>
        <v/>
      </c>
      <c r="G110" s="31">
        <f>LET(ls,CONTROL!B5,SUMPRODUCT(--(tblChainRaw[Strike Price]=A110),--(tblChainRaw[Option Type]="CE"),tblChainRaw[Open Interest],GREEKS!M4:M2003)*ls)</f>
        <v/>
      </c>
      <c r="H110" s="31">
        <f>LET(ls,CONTROL!B5,SUMPRODUCT(--(tblChainRaw[Strike Price]=A110),--(tblChainRaw[Option Type]="PE"),tblChainRaw[Open Interest],GREEKS!M4:M2003)*ls)</f>
        <v/>
      </c>
      <c r="I110" s="31">
        <f>G110+H110</f>
        <v/>
      </c>
    </row>
    <row r="111">
      <c r="A111" s="31">
        <f>IF(CHAIN_CALC!B5="","",CHAIN_CALC!B5+(7)*CONTROL!B6)</f>
        <v/>
      </c>
      <c r="B111" s="31">
        <f>SUMIFS(tblChainRaw[Open Interest],tblChainRaw[Strike Price],A111,tblChainRaw[Option Type],"CE")</f>
        <v/>
      </c>
      <c r="C111" s="31">
        <f>SUMIFS(tblChainRaw[Open Interest],tblChainRaw[Strike Price],A111,tblChainRaw[Option Type],"PE")</f>
        <v/>
      </c>
      <c r="D111" s="31">
        <f>LET(s,CONTROL!B4,ls,CONTROL!B5,SUMPRODUCT(--(tblChainRaw[Strike Price]=A111),--(tblChainRaw[Option Type]="CE"),tblChainRaw[Open Interest],GREEKS!L4:L2003)*s^2*ls)</f>
        <v/>
      </c>
      <c r="E111" s="31">
        <f>LET(s,CONTROL!B4,ls,CONTROL!B5,SUMPRODUCT(--(tblChainRaw[Strike Price]=A111),--(tblChainRaw[Option Type]="PE"),tblChainRaw[Open Interest],GREEKS!L4:L2003)*s^2*ls)</f>
        <v/>
      </c>
      <c r="F111" s="31">
        <f>D111-E111</f>
        <v/>
      </c>
      <c r="G111" s="31">
        <f>LET(ls,CONTROL!B5,SUMPRODUCT(--(tblChainRaw[Strike Price]=A111),--(tblChainRaw[Option Type]="CE"),tblChainRaw[Open Interest],GREEKS!M4:M2003)*ls)</f>
        <v/>
      </c>
      <c r="H111" s="31">
        <f>LET(ls,CONTROL!B5,SUMPRODUCT(--(tblChainRaw[Strike Price]=A111),--(tblChainRaw[Option Type]="PE"),tblChainRaw[Open Interest],GREEKS!M4:M2003)*ls)</f>
        <v/>
      </c>
      <c r="I111" s="31">
        <f>G111+H111</f>
        <v/>
      </c>
    </row>
    <row r="112">
      <c r="A112" s="31">
        <f>IF(CHAIN_CALC!B5="","",CHAIN_CALC!B5+(8)*CONTROL!B6)</f>
        <v/>
      </c>
      <c r="B112" s="31">
        <f>SUMIFS(tblChainRaw[Open Interest],tblChainRaw[Strike Price],A112,tblChainRaw[Option Type],"CE")</f>
        <v/>
      </c>
      <c r="C112" s="31">
        <f>SUMIFS(tblChainRaw[Open Interest],tblChainRaw[Strike Price],A112,tblChainRaw[Option Type],"PE")</f>
        <v/>
      </c>
      <c r="D112" s="31">
        <f>LET(s,CONTROL!B4,ls,CONTROL!B5,SUMPRODUCT(--(tblChainRaw[Strike Price]=A112),--(tblChainRaw[Option Type]="CE"),tblChainRaw[Open Interest],GREEKS!L4:L2003)*s^2*ls)</f>
        <v/>
      </c>
      <c r="E112" s="31">
        <f>LET(s,CONTROL!B4,ls,CONTROL!B5,SUMPRODUCT(--(tblChainRaw[Strike Price]=A112),--(tblChainRaw[Option Type]="PE"),tblChainRaw[Open Interest],GREEKS!L4:L2003)*s^2*ls)</f>
        <v/>
      </c>
      <c r="F112" s="31">
        <f>D112-E112</f>
        <v/>
      </c>
      <c r="G112" s="31">
        <f>LET(ls,CONTROL!B5,SUMPRODUCT(--(tblChainRaw[Strike Price]=A112),--(tblChainRaw[Option Type]="CE"),tblChainRaw[Open Interest],GREEKS!M4:M2003)*ls)</f>
        <v/>
      </c>
      <c r="H112" s="31">
        <f>LET(ls,CONTROL!B5,SUMPRODUCT(--(tblChainRaw[Strike Price]=A112),--(tblChainRaw[Option Type]="PE"),tblChainRaw[Open Interest],GREEKS!M4:M2003)*ls)</f>
        <v/>
      </c>
      <c r="I112" s="31">
        <f>G112+H112</f>
        <v/>
      </c>
    </row>
    <row r="113">
      <c r="A113" s="31">
        <f>IF(CHAIN_CALC!B5="","",CHAIN_CALC!B5+(9)*CONTROL!B6)</f>
        <v/>
      </c>
      <c r="B113" s="31">
        <f>SUMIFS(tblChainRaw[Open Interest],tblChainRaw[Strike Price],A113,tblChainRaw[Option Type],"CE")</f>
        <v/>
      </c>
      <c r="C113" s="31">
        <f>SUMIFS(tblChainRaw[Open Interest],tblChainRaw[Strike Price],A113,tblChainRaw[Option Type],"PE")</f>
        <v/>
      </c>
      <c r="D113" s="31">
        <f>LET(s,CONTROL!B4,ls,CONTROL!B5,SUMPRODUCT(--(tblChainRaw[Strike Price]=A113),--(tblChainRaw[Option Type]="CE"),tblChainRaw[Open Interest],GREEKS!L4:L2003)*s^2*ls)</f>
        <v/>
      </c>
      <c r="E113" s="31">
        <f>LET(s,CONTROL!B4,ls,CONTROL!B5,SUMPRODUCT(--(tblChainRaw[Strike Price]=A113),--(tblChainRaw[Option Type]="PE"),tblChainRaw[Open Interest],GREEKS!L4:L2003)*s^2*ls)</f>
        <v/>
      </c>
      <c r="F113" s="31">
        <f>D113-E113</f>
        <v/>
      </c>
      <c r="G113" s="31">
        <f>LET(ls,CONTROL!B5,SUMPRODUCT(--(tblChainRaw[Strike Price]=A113),--(tblChainRaw[Option Type]="CE"),tblChainRaw[Open Interest],GREEKS!M4:M2003)*ls)</f>
        <v/>
      </c>
      <c r="H113" s="31">
        <f>LET(ls,CONTROL!B5,SUMPRODUCT(--(tblChainRaw[Strike Price]=A113),--(tblChainRaw[Option Type]="PE"),tblChainRaw[Open Interest],GREEKS!M4:M2003)*ls)</f>
        <v/>
      </c>
      <c r="I113" s="31">
        <f>G113+H113</f>
        <v/>
      </c>
    </row>
    <row r="114">
      <c r="A114" s="31">
        <f>IF(CHAIN_CALC!B5="","",CHAIN_CALC!B5+(10)*CONTROL!B6)</f>
        <v/>
      </c>
      <c r="B114" s="31">
        <f>SUMIFS(tblChainRaw[Open Interest],tblChainRaw[Strike Price],A114,tblChainRaw[Option Type],"CE")</f>
        <v/>
      </c>
      <c r="C114" s="31">
        <f>SUMIFS(tblChainRaw[Open Interest],tblChainRaw[Strike Price],A114,tblChainRaw[Option Type],"PE")</f>
        <v/>
      </c>
      <c r="D114" s="31">
        <f>LET(s,CONTROL!B4,ls,CONTROL!B5,SUMPRODUCT(--(tblChainRaw[Strike Price]=A114),--(tblChainRaw[Option Type]="CE"),tblChainRaw[Open Interest],GREEKS!L4:L2003)*s^2*ls)</f>
        <v/>
      </c>
      <c r="E114" s="31">
        <f>LET(s,CONTROL!B4,ls,CONTROL!B5,SUMPRODUCT(--(tblChainRaw[Strike Price]=A114),--(tblChainRaw[Option Type]="PE"),tblChainRaw[Open Interest],GREEKS!L4:L2003)*s^2*ls)</f>
        <v/>
      </c>
      <c r="F114" s="31">
        <f>D114-E114</f>
        <v/>
      </c>
      <c r="G114" s="31">
        <f>LET(ls,CONTROL!B5,SUMPRODUCT(--(tblChainRaw[Strike Price]=A114),--(tblChainRaw[Option Type]="CE"),tblChainRaw[Open Interest],GREEKS!M4:M2003)*ls)</f>
        <v/>
      </c>
      <c r="H114" s="31">
        <f>LET(ls,CONTROL!B5,SUMPRODUCT(--(tblChainRaw[Strike Price]=A114),--(tblChainRaw[Option Type]="PE"),tblChainRaw[Open Interest],GREEKS!M4:M2003)*ls)</f>
        <v/>
      </c>
      <c r="I114" s="31">
        <f>G114+H114</f>
        <v/>
      </c>
    </row>
    <row r="115">
      <c r="A115" s="31">
        <f>IF(CHAIN_CALC!B5="","",CHAIN_CALC!B5+(11)*CONTROL!B6)</f>
        <v/>
      </c>
      <c r="B115" s="31">
        <f>SUMIFS(tblChainRaw[Open Interest],tblChainRaw[Strike Price],A115,tblChainRaw[Option Type],"CE")</f>
        <v/>
      </c>
      <c r="C115" s="31">
        <f>SUMIFS(tblChainRaw[Open Interest],tblChainRaw[Strike Price],A115,tblChainRaw[Option Type],"PE")</f>
        <v/>
      </c>
      <c r="D115" s="31">
        <f>LET(s,CONTROL!B4,ls,CONTROL!B5,SUMPRODUCT(--(tblChainRaw[Strike Price]=A115),--(tblChainRaw[Option Type]="CE"),tblChainRaw[Open Interest],GREEKS!L4:L2003)*s^2*ls)</f>
        <v/>
      </c>
      <c r="E115" s="31">
        <f>LET(s,CONTROL!B4,ls,CONTROL!B5,SUMPRODUCT(--(tblChainRaw[Strike Price]=A115),--(tblChainRaw[Option Type]="PE"),tblChainRaw[Open Interest],GREEKS!L4:L2003)*s^2*ls)</f>
        <v/>
      </c>
      <c r="F115" s="31">
        <f>D115-E115</f>
        <v/>
      </c>
      <c r="G115" s="31">
        <f>LET(ls,CONTROL!B5,SUMPRODUCT(--(tblChainRaw[Strike Price]=A115),--(tblChainRaw[Option Type]="CE"),tblChainRaw[Open Interest],GREEKS!M4:M2003)*ls)</f>
        <v/>
      </c>
      <c r="H115" s="31">
        <f>LET(ls,CONTROL!B5,SUMPRODUCT(--(tblChainRaw[Strike Price]=A115),--(tblChainRaw[Option Type]="PE"),tblChainRaw[Open Interest],GREEKS!M4:M2003)*ls)</f>
        <v/>
      </c>
      <c r="I115" s="31">
        <f>G115+H115</f>
        <v/>
      </c>
    </row>
    <row r="116">
      <c r="A116" s="31">
        <f>IF(CHAIN_CALC!B5="","",CHAIN_CALC!B5+(12)*CONTROL!B6)</f>
        <v/>
      </c>
      <c r="B116" s="31">
        <f>SUMIFS(tblChainRaw[Open Interest],tblChainRaw[Strike Price],A116,tblChainRaw[Option Type],"CE")</f>
        <v/>
      </c>
      <c r="C116" s="31">
        <f>SUMIFS(tblChainRaw[Open Interest],tblChainRaw[Strike Price],A116,tblChainRaw[Option Type],"PE")</f>
        <v/>
      </c>
      <c r="D116" s="31">
        <f>LET(s,CONTROL!B4,ls,CONTROL!B5,SUMPRODUCT(--(tblChainRaw[Strike Price]=A116),--(tblChainRaw[Option Type]="CE"),tblChainRaw[Open Interest],GREEKS!L4:L2003)*s^2*ls)</f>
        <v/>
      </c>
      <c r="E116" s="31">
        <f>LET(s,CONTROL!B4,ls,CONTROL!B5,SUMPRODUCT(--(tblChainRaw[Strike Price]=A116),--(tblChainRaw[Option Type]="PE"),tblChainRaw[Open Interest],GREEKS!L4:L2003)*s^2*ls)</f>
        <v/>
      </c>
      <c r="F116" s="31">
        <f>D116-E116</f>
        <v/>
      </c>
      <c r="G116" s="31">
        <f>LET(ls,CONTROL!B5,SUMPRODUCT(--(tblChainRaw[Strike Price]=A116),--(tblChainRaw[Option Type]="CE"),tblChainRaw[Open Interest],GREEKS!M4:M2003)*ls)</f>
        <v/>
      </c>
      <c r="H116" s="31">
        <f>LET(ls,CONTROL!B5,SUMPRODUCT(--(tblChainRaw[Strike Price]=A116),--(tblChainRaw[Option Type]="PE"),tblChainRaw[Open Interest],GREEKS!M4:M2003)*ls)</f>
        <v/>
      </c>
      <c r="I116" s="31">
        <f>G116+H116</f>
        <v/>
      </c>
    </row>
    <row r="117">
      <c r="A117" s="31">
        <f>IF(CHAIN_CALC!B5="","",CHAIN_CALC!B5+(13)*CONTROL!B6)</f>
        <v/>
      </c>
      <c r="B117" s="31">
        <f>SUMIFS(tblChainRaw[Open Interest],tblChainRaw[Strike Price],A117,tblChainRaw[Option Type],"CE")</f>
        <v/>
      </c>
      <c r="C117" s="31">
        <f>SUMIFS(tblChainRaw[Open Interest],tblChainRaw[Strike Price],A117,tblChainRaw[Option Type],"PE")</f>
        <v/>
      </c>
      <c r="D117" s="31">
        <f>LET(s,CONTROL!B4,ls,CONTROL!B5,SUMPRODUCT(--(tblChainRaw[Strike Price]=A117),--(tblChainRaw[Option Type]="CE"),tblChainRaw[Open Interest],GREEKS!L4:L2003)*s^2*ls)</f>
        <v/>
      </c>
      <c r="E117" s="31">
        <f>LET(s,CONTROL!B4,ls,CONTROL!B5,SUMPRODUCT(--(tblChainRaw[Strike Price]=A117),--(tblChainRaw[Option Type]="PE"),tblChainRaw[Open Interest],GREEKS!L4:L2003)*s^2*ls)</f>
        <v/>
      </c>
      <c r="F117" s="31">
        <f>D117-E117</f>
        <v/>
      </c>
      <c r="G117" s="31">
        <f>LET(ls,CONTROL!B5,SUMPRODUCT(--(tblChainRaw[Strike Price]=A117),--(tblChainRaw[Option Type]="CE"),tblChainRaw[Open Interest],GREEKS!M4:M2003)*ls)</f>
        <v/>
      </c>
      <c r="H117" s="31">
        <f>LET(ls,CONTROL!B5,SUMPRODUCT(--(tblChainRaw[Strike Price]=A117),--(tblChainRaw[Option Type]="PE"),tblChainRaw[Open Interest],GREEKS!M4:M2003)*ls)</f>
        <v/>
      </c>
      <c r="I117" s="31">
        <f>G117+H117</f>
        <v/>
      </c>
    </row>
    <row r="118">
      <c r="A118" s="31">
        <f>IF(CHAIN_CALC!B5="","",CHAIN_CALC!B5+(14)*CONTROL!B6)</f>
        <v/>
      </c>
      <c r="B118" s="31">
        <f>SUMIFS(tblChainRaw[Open Interest],tblChainRaw[Strike Price],A118,tblChainRaw[Option Type],"CE")</f>
        <v/>
      </c>
      <c r="C118" s="31">
        <f>SUMIFS(tblChainRaw[Open Interest],tblChainRaw[Strike Price],A118,tblChainRaw[Option Type],"PE")</f>
        <v/>
      </c>
      <c r="D118" s="31">
        <f>LET(s,CONTROL!B4,ls,CONTROL!B5,SUMPRODUCT(--(tblChainRaw[Strike Price]=A118),--(tblChainRaw[Option Type]="CE"),tblChainRaw[Open Interest],GREEKS!L4:L2003)*s^2*ls)</f>
        <v/>
      </c>
      <c r="E118" s="31">
        <f>LET(s,CONTROL!B4,ls,CONTROL!B5,SUMPRODUCT(--(tblChainRaw[Strike Price]=A118),--(tblChainRaw[Option Type]="PE"),tblChainRaw[Open Interest],GREEKS!L4:L2003)*s^2*ls)</f>
        <v/>
      </c>
      <c r="F118" s="31">
        <f>D118-E118</f>
        <v/>
      </c>
      <c r="G118" s="31">
        <f>LET(ls,CONTROL!B5,SUMPRODUCT(--(tblChainRaw[Strike Price]=A118),--(tblChainRaw[Option Type]="CE"),tblChainRaw[Open Interest],GREEKS!M4:M2003)*ls)</f>
        <v/>
      </c>
      <c r="H118" s="31">
        <f>LET(ls,CONTROL!B5,SUMPRODUCT(--(tblChainRaw[Strike Price]=A118),--(tblChainRaw[Option Type]="PE"),tblChainRaw[Open Interest],GREEKS!M4:M2003)*ls)</f>
        <v/>
      </c>
      <c r="I118" s="31">
        <f>G118+H118</f>
        <v/>
      </c>
    </row>
    <row r="119">
      <c r="A119" s="31">
        <f>IF(CHAIN_CALC!B5="","",CHAIN_CALC!B5+(15)*CONTROL!B6)</f>
        <v/>
      </c>
      <c r="B119" s="31">
        <f>SUMIFS(tblChainRaw[Open Interest],tblChainRaw[Strike Price],A119,tblChainRaw[Option Type],"CE")</f>
        <v/>
      </c>
      <c r="C119" s="31">
        <f>SUMIFS(tblChainRaw[Open Interest],tblChainRaw[Strike Price],A119,tblChainRaw[Option Type],"PE")</f>
        <v/>
      </c>
      <c r="D119" s="31">
        <f>LET(s,CONTROL!B4,ls,CONTROL!B5,SUMPRODUCT(--(tblChainRaw[Strike Price]=A119),--(tblChainRaw[Option Type]="CE"),tblChainRaw[Open Interest],GREEKS!L4:L2003)*s^2*ls)</f>
        <v/>
      </c>
      <c r="E119" s="31">
        <f>LET(s,CONTROL!B4,ls,CONTROL!B5,SUMPRODUCT(--(tblChainRaw[Strike Price]=A119),--(tblChainRaw[Option Type]="PE"),tblChainRaw[Open Interest],GREEKS!L4:L2003)*s^2*ls)</f>
        <v/>
      </c>
      <c r="F119" s="31">
        <f>D119-E119</f>
        <v/>
      </c>
      <c r="G119" s="31">
        <f>LET(ls,CONTROL!B5,SUMPRODUCT(--(tblChainRaw[Strike Price]=A119),--(tblChainRaw[Option Type]="CE"),tblChainRaw[Open Interest],GREEKS!M4:M2003)*ls)</f>
        <v/>
      </c>
      <c r="H119" s="31">
        <f>LET(ls,CONTROL!B5,SUMPRODUCT(--(tblChainRaw[Strike Price]=A119),--(tblChainRaw[Option Type]="PE"),tblChainRaw[Open Interest],GREEKS!M4:M2003)*ls)</f>
        <v/>
      </c>
      <c r="I119" s="31">
        <f>G119+H119</f>
        <v/>
      </c>
    </row>
    <row r="120">
      <c r="A120" s="31">
        <f>IF(CHAIN_CALC!B5="","",CHAIN_CALC!B5+(16)*CONTROL!B6)</f>
        <v/>
      </c>
      <c r="B120" s="31">
        <f>SUMIFS(tblChainRaw[Open Interest],tblChainRaw[Strike Price],A120,tblChainRaw[Option Type],"CE")</f>
        <v/>
      </c>
      <c r="C120" s="31">
        <f>SUMIFS(tblChainRaw[Open Interest],tblChainRaw[Strike Price],A120,tblChainRaw[Option Type],"PE")</f>
        <v/>
      </c>
      <c r="D120" s="31">
        <f>LET(s,CONTROL!B4,ls,CONTROL!B5,SUMPRODUCT(--(tblChainRaw[Strike Price]=A120),--(tblChainRaw[Option Type]="CE"),tblChainRaw[Open Interest],GREEKS!L4:L2003)*s^2*ls)</f>
        <v/>
      </c>
      <c r="E120" s="31">
        <f>LET(s,CONTROL!B4,ls,CONTROL!B5,SUMPRODUCT(--(tblChainRaw[Strike Price]=A120),--(tblChainRaw[Option Type]="PE"),tblChainRaw[Open Interest],GREEKS!L4:L2003)*s^2*ls)</f>
        <v/>
      </c>
      <c r="F120" s="31">
        <f>D120-E120</f>
        <v/>
      </c>
      <c r="G120" s="31">
        <f>LET(ls,CONTROL!B5,SUMPRODUCT(--(tblChainRaw[Strike Price]=A120),--(tblChainRaw[Option Type]="CE"),tblChainRaw[Open Interest],GREEKS!M4:M2003)*ls)</f>
        <v/>
      </c>
      <c r="H120" s="31">
        <f>LET(ls,CONTROL!B5,SUMPRODUCT(--(tblChainRaw[Strike Price]=A120),--(tblChainRaw[Option Type]="PE"),tblChainRaw[Open Interest],GREEKS!M4:M2003)*ls)</f>
        <v/>
      </c>
      <c r="I120" s="31">
        <f>G120+H120</f>
        <v/>
      </c>
    </row>
    <row r="121">
      <c r="A121" s="31">
        <f>IF(CHAIN_CALC!B5="","",CHAIN_CALC!B5+(17)*CONTROL!B6)</f>
        <v/>
      </c>
      <c r="B121" s="31">
        <f>SUMIFS(tblChainRaw[Open Interest],tblChainRaw[Strike Price],A121,tblChainRaw[Option Type],"CE")</f>
        <v/>
      </c>
      <c r="C121" s="31">
        <f>SUMIFS(tblChainRaw[Open Interest],tblChainRaw[Strike Price],A121,tblChainRaw[Option Type],"PE")</f>
        <v/>
      </c>
      <c r="D121" s="31">
        <f>LET(s,CONTROL!B4,ls,CONTROL!B5,SUMPRODUCT(--(tblChainRaw[Strike Price]=A121),--(tblChainRaw[Option Type]="CE"),tblChainRaw[Open Interest],GREEKS!L4:L2003)*s^2*ls)</f>
        <v/>
      </c>
      <c r="E121" s="31">
        <f>LET(s,CONTROL!B4,ls,CONTROL!B5,SUMPRODUCT(--(tblChainRaw[Strike Price]=A121),--(tblChainRaw[Option Type]="PE"),tblChainRaw[Open Interest],GREEKS!L4:L2003)*s^2*ls)</f>
        <v/>
      </c>
      <c r="F121" s="31">
        <f>D121-E121</f>
        <v/>
      </c>
      <c r="G121" s="31">
        <f>LET(ls,CONTROL!B5,SUMPRODUCT(--(tblChainRaw[Strike Price]=A121),--(tblChainRaw[Option Type]="CE"),tblChainRaw[Open Interest],GREEKS!M4:M2003)*ls)</f>
        <v/>
      </c>
      <c r="H121" s="31">
        <f>LET(ls,CONTROL!B5,SUMPRODUCT(--(tblChainRaw[Strike Price]=A121),--(tblChainRaw[Option Type]="PE"),tblChainRaw[Open Interest],GREEKS!M4:M2003)*ls)</f>
        <v/>
      </c>
      <c r="I121" s="31">
        <f>G121+H121</f>
        <v/>
      </c>
    </row>
    <row r="122">
      <c r="A122" s="31">
        <f>IF(CHAIN_CALC!B5="","",CHAIN_CALC!B5+(18)*CONTROL!B6)</f>
        <v/>
      </c>
      <c r="B122" s="31">
        <f>SUMIFS(tblChainRaw[Open Interest],tblChainRaw[Strike Price],A122,tblChainRaw[Option Type],"CE")</f>
        <v/>
      </c>
      <c r="C122" s="31">
        <f>SUMIFS(tblChainRaw[Open Interest],tblChainRaw[Strike Price],A122,tblChainRaw[Option Type],"PE")</f>
        <v/>
      </c>
      <c r="D122" s="31">
        <f>LET(s,CONTROL!B4,ls,CONTROL!B5,SUMPRODUCT(--(tblChainRaw[Strike Price]=A122),--(tblChainRaw[Option Type]="CE"),tblChainRaw[Open Interest],GREEKS!L4:L2003)*s^2*ls)</f>
        <v/>
      </c>
      <c r="E122" s="31">
        <f>LET(s,CONTROL!B4,ls,CONTROL!B5,SUMPRODUCT(--(tblChainRaw[Strike Price]=A122),--(tblChainRaw[Option Type]="PE"),tblChainRaw[Open Interest],GREEKS!L4:L2003)*s^2*ls)</f>
        <v/>
      </c>
      <c r="F122" s="31">
        <f>D122-E122</f>
        <v/>
      </c>
      <c r="G122" s="31">
        <f>LET(ls,CONTROL!B5,SUMPRODUCT(--(tblChainRaw[Strike Price]=A122),--(tblChainRaw[Option Type]="CE"),tblChainRaw[Open Interest],GREEKS!M4:M2003)*ls)</f>
        <v/>
      </c>
      <c r="H122" s="31">
        <f>LET(ls,CONTROL!B5,SUMPRODUCT(--(tblChainRaw[Strike Price]=A122),--(tblChainRaw[Option Type]="PE"),tblChainRaw[Open Interest],GREEKS!M4:M2003)*ls)</f>
        <v/>
      </c>
      <c r="I122" s="31">
        <f>G122+H122</f>
        <v/>
      </c>
    </row>
    <row r="123">
      <c r="A123" s="31">
        <f>IF(CHAIN_CALC!B5="","",CHAIN_CALC!B5+(19)*CONTROL!B6)</f>
        <v/>
      </c>
      <c r="B123" s="31">
        <f>SUMIFS(tblChainRaw[Open Interest],tblChainRaw[Strike Price],A123,tblChainRaw[Option Type],"CE")</f>
        <v/>
      </c>
      <c r="C123" s="31">
        <f>SUMIFS(tblChainRaw[Open Interest],tblChainRaw[Strike Price],A123,tblChainRaw[Option Type],"PE")</f>
        <v/>
      </c>
      <c r="D123" s="31">
        <f>LET(s,CONTROL!B4,ls,CONTROL!B5,SUMPRODUCT(--(tblChainRaw[Strike Price]=A123),--(tblChainRaw[Option Type]="CE"),tblChainRaw[Open Interest],GREEKS!L4:L2003)*s^2*ls)</f>
        <v/>
      </c>
      <c r="E123" s="31">
        <f>LET(s,CONTROL!B4,ls,CONTROL!B5,SUMPRODUCT(--(tblChainRaw[Strike Price]=A123),--(tblChainRaw[Option Type]="PE"),tblChainRaw[Open Interest],GREEKS!L4:L2003)*s^2*ls)</f>
        <v/>
      </c>
      <c r="F123" s="31">
        <f>D123-E123</f>
        <v/>
      </c>
      <c r="G123" s="31">
        <f>LET(ls,CONTROL!B5,SUMPRODUCT(--(tblChainRaw[Strike Price]=A123),--(tblChainRaw[Option Type]="CE"),tblChainRaw[Open Interest],GREEKS!M4:M2003)*ls)</f>
        <v/>
      </c>
      <c r="H123" s="31">
        <f>LET(ls,CONTROL!B5,SUMPRODUCT(--(tblChainRaw[Strike Price]=A123),--(tblChainRaw[Option Type]="PE"),tblChainRaw[Open Interest],GREEKS!M4:M2003)*ls)</f>
        <v/>
      </c>
      <c r="I123" s="31">
        <f>G123+H123</f>
        <v/>
      </c>
    </row>
    <row r="124">
      <c r="A124" s="31">
        <f>IF(CHAIN_CALC!B5="","",CHAIN_CALC!B5+(20)*CONTROL!B6)</f>
        <v/>
      </c>
      <c r="B124" s="31">
        <f>SUMIFS(tblChainRaw[Open Interest],tblChainRaw[Strike Price],A124,tblChainRaw[Option Type],"CE")</f>
        <v/>
      </c>
      <c r="C124" s="31">
        <f>SUMIFS(tblChainRaw[Open Interest],tblChainRaw[Strike Price],A124,tblChainRaw[Option Type],"PE")</f>
        <v/>
      </c>
      <c r="D124" s="31">
        <f>LET(s,CONTROL!B4,ls,CONTROL!B5,SUMPRODUCT(--(tblChainRaw[Strike Price]=A124),--(tblChainRaw[Option Type]="CE"),tblChainRaw[Open Interest],GREEKS!L4:L2003)*s^2*ls)</f>
        <v/>
      </c>
      <c r="E124" s="31">
        <f>LET(s,CONTROL!B4,ls,CONTROL!B5,SUMPRODUCT(--(tblChainRaw[Strike Price]=A124),--(tblChainRaw[Option Type]="PE"),tblChainRaw[Open Interest],GREEKS!L4:L2003)*s^2*ls)</f>
        <v/>
      </c>
      <c r="F124" s="31">
        <f>D124-E124</f>
        <v/>
      </c>
      <c r="G124" s="31">
        <f>LET(ls,CONTROL!B5,SUMPRODUCT(--(tblChainRaw[Strike Price]=A124),--(tblChainRaw[Option Type]="CE"),tblChainRaw[Open Interest],GREEKS!M4:M2003)*ls)</f>
        <v/>
      </c>
      <c r="H124" s="31">
        <f>LET(ls,CONTROL!B5,SUMPRODUCT(--(tblChainRaw[Strike Price]=A124),--(tblChainRaw[Option Type]="PE"),tblChainRaw[Open Interest],GREEKS!M4:M2003)*ls)</f>
        <v/>
      </c>
      <c r="I124" s="31">
        <f>G124+H124</f>
        <v/>
      </c>
    </row>
    <row r="125">
      <c r="A125" s="31">
        <f>IF(CHAIN_CALC!B5="","",CHAIN_CALC!B5+(21)*CONTROL!B6)</f>
        <v/>
      </c>
      <c r="B125" s="31">
        <f>SUMIFS(tblChainRaw[Open Interest],tblChainRaw[Strike Price],A125,tblChainRaw[Option Type],"CE")</f>
        <v/>
      </c>
      <c r="C125" s="31">
        <f>SUMIFS(tblChainRaw[Open Interest],tblChainRaw[Strike Price],A125,tblChainRaw[Option Type],"PE")</f>
        <v/>
      </c>
      <c r="D125" s="31">
        <f>LET(s,CONTROL!B4,ls,CONTROL!B5,SUMPRODUCT(--(tblChainRaw[Strike Price]=A125),--(tblChainRaw[Option Type]="CE"),tblChainRaw[Open Interest],GREEKS!L4:L2003)*s^2*ls)</f>
        <v/>
      </c>
      <c r="E125" s="31">
        <f>LET(s,CONTROL!B4,ls,CONTROL!B5,SUMPRODUCT(--(tblChainRaw[Strike Price]=A125),--(tblChainRaw[Option Type]="PE"),tblChainRaw[Open Interest],GREEKS!L4:L2003)*s^2*ls)</f>
        <v/>
      </c>
      <c r="F125" s="31">
        <f>D125-E125</f>
        <v/>
      </c>
      <c r="G125" s="31">
        <f>LET(ls,CONTROL!B5,SUMPRODUCT(--(tblChainRaw[Strike Price]=A125),--(tblChainRaw[Option Type]="CE"),tblChainRaw[Open Interest],GREEKS!M4:M2003)*ls)</f>
        <v/>
      </c>
      <c r="H125" s="31">
        <f>LET(ls,CONTROL!B5,SUMPRODUCT(--(tblChainRaw[Strike Price]=A125),--(tblChainRaw[Option Type]="PE"),tblChainRaw[Open Interest],GREEKS!M4:M2003)*ls)</f>
        <v/>
      </c>
      <c r="I125" s="31">
        <f>G125+H125</f>
        <v/>
      </c>
    </row>
    <row r="126">
      <c r="A126" s="31">
        <f>IF(CHAIN_CALC!B5="","",CHAIN_CALC!B5+(22)*CONTROL!B6)</f>
        <v/>
      </c>
      <c r="B126" s="31">
        <f>SUMIFS(tblChainRaw[Open Interest],tblChainRaw[Strike Price],A126,tblChainRaw[Option Type],"CE")</f>
        <v/>
      </c>
      <c r="C126" s="31">
        <f>SUMIFS(tblChainRaw[Open Interest],tblChainRaw[Strike Price],A126,tblChainRaw[Option Type],"PE")</f>
        <v/>
      </c>
      <c r="D126" s="31">
        <f>LET(s,CONTROL!B4,ls,CONTROL!B5,SUMPRODUCT(--(tblChainRaw[Strike Price]=A126),--(tblChainRaw[Option Type]="CE"),tblChainRaw[Open Interest],GREEKS!L4:L2003)*s^2*ls)</f>
        <v/>
      </c>
      <c r="E126" s="31">
        <f>LET(s,CONTROL!B4,ls,CONTROL!B5,SUMPRODUCT(--(tblChainRaw[Strike Price]=A126),--(tblChainRaw[Option Type]="PE"),tblChainRaw[Open Interest],GREEKS!L4:L2003)*s^2*ls)</f>
        <v/>
      </c>
      <c r="F126" s="31">
        <f>D126-E126</f>
        <v/>
      </c>
      <c r="G126" s="31">
        <f>LET(ls,CONTROL!B5,SUMPRODUCT(--(tblChainRaw[Strike Price]=A126),--(tblChainRaw[Option Type]="CE"),tblChainRaw[Open Interest],GREEKS!M4:M2003)*ls)</f>
        <v/>
      </c>
      <c r="H126" s="31">
        <f>LET(ls,CONTROL!B5,SUMPRODUCT(--(tblChainRaw[Strike Price]=A126),--(tblChainRaw[Option Type]="PE"),tblChainRaw[Open Interest],GREEKS!M4:M2003)*ls)</f>
        <v/>
      </c>
      <c r="I126" s="31">
        <f>G126+H126</f>
        <v/>
      </c>
    </row>
    <row r="127">
      <c r="A127" s="31">
        <f>IF(CHAIN_CALC!B5="","",CHAIN_CALC!B5+(23)*CONTROL!B6)</f>
        <v/>
      </c>
      <c r="B127" s="31">
        <f>SUMIFS(tblChainRaw[Open Interest],tblChainRaw[Strike Price],A127,tblChainRaw[Option Type],"CE")</f>
        <v/>
      </c>
      <c r="C127" s="31">
        <f>SUMIFS(tblChainRaw[Open Interest],tblChainRaw[Strike Price],A127,tblChainRaw[Option Type],"PE")</f>
        <v/>
      </c>
      <c r="D127" s="31">
        <f>LET(s,CONTROL!B4,ls,CONTROL!B5,SUMPRODUCT(--(tblChainRaw[Strike Price]=A127),--(tblChainRaw[Option Type]="CE"),tblChainRaw[Open Interest],GREEKS!L4:L2003)*s^2*ls)</f>
        <v/>
      </c>
      <c r="E127" s="31">
        <f>LET(s,CONTROL!B4,ls,CONTROL!B5,SUMPRODUCT(--(tblChainRaw[Strike Price]=A127),--(tblChainRaw[Option Type]="PE"),tblChainRaw[Open Interest],GREEKS!L4:L2003)*s^2*ls)</f>
        <v/>
      </c>
      <c r="F127" s="31">
        <f>D127-E127</f>
        <v/>
      </c>
      <c r="G127" s="31">
        <f>LET(ls,CONTROL!B5,SUMPRODUCT(--(tblChainRaw[Strike Price]=A127),--(tblChainRaw[Option Type]="CE"),tblChainRaw[Open Interest],GREEKS!M4:M2003)*ls)</f>
        <v/>
      </c>
      <c r="H127" s="31">
        <f>LET(ls,CONTROL!B5,SUMPRODUCT(--(tblChainRaw[Strike Price]=A127),--(tblChainRaw[Option Type]="PE"),tblChainRaw[Open Interest],GREEKS!M4:M2003)*ls)</f>
        <v/>
      </c>
      <c r="I127" s="31">
        <f>G127+H127</f>
        <v/>
      </c>
    </row>
    <row r="128">
      <c r="A128" s="31">
        <f>IF(CHAIN_CALC!B5="","",CHAIN_CALC!B5+(24)*CONTROL!B6)</f>
        <v/>
      </c>
      <c r="B128" s="31">
        <f>SUMIFS(tblChainRaw[Open Interest],tblChainRaw[Strike Price],A128,tblChainRaw[Option Type],"CE")</f>
        <v/>
      </c>
      <c r="C128" s="31">
        <f>SUMIFS(tblChainRaw[Open Interest],tblChainRaw[Strike Price],A128,tblChainRaw[Option Type],"PE")</f>
        <v/>
      </c>
      <c r="D128" s="31">
        <f>LET(s,CONTROL!B4,ls,CONTROL!B5,SUMPRODUCT(--(tblChainRaw[Strike Price]=A128),--(tblChainRaw[Option Type]="CE"),tblChainRaw[Open Interest],GREEKS!L4:L2003)*s^2*ls)</f>
        <v/>
      </c>
      <c r="E128" s="31">
        <f>LET(s,CONTROL!B4,ls,CONTROL!B5,SUMPRODUCT(--(tblChainRaw[Strike Price]=A128),--(tblChainRaw[Option Type]="PE"),tblChainRaw[Open Interest],GREEKS!L4:L2003)*s^2*ls)</f>
        <v/>
      </c>
      <c r="F128" s="31">
        <f>D128-E128</f>
        <v/>
      </c>
      <c r="G128" s="31">
        <f>LET(ls,CONTROL!B5,SUMPRODUCT(--(tblChainRaw[Strike Price]=A128),--(tblChainRaw[Option Type]="CE"),tblChainRaw[Open Interest],GREEKS!M4:M2003)*ls)</f>
        <v/>
      </c>
      <c r="H128" s="31">
        <f>LET(ls,CONTROL!B5,SUMPRODUCT(--(tblChainRaw[Strike Price]=A128),--(tblChainRaw[Option Type]="PE"),tblChainRaw[Open Interest],GREEKS!M4:M2003)*ls)</f>
        <v/>
      </c>
      <c r="I128" s="31">
        <f>G128+H128</f>
        <v/>
      </c>
    </row>
    <row r="129">
      <c r="A129" s="31">
        <f>IF(CHAIN_CALC!B5="","",CHAIN_CALC!B5+(25)*CONTROL!B6)</f>
        <v/>
      </c>
      <c r="B129" s="31">
        <f>SUMIFS(tblChainRaw[Open Interest],tblChainRaw[Strike Price],A129,tblChainRaw[Option Type],"CE")</f>
        <v/>
      </c>
      <c r="C129" s="31">
        <f>SUMIFS(tblChainRaw[Open Interest],tblChainRaw[Strike Price],A129,tblChainRaw[Option Type],"PE")</f>
        <v/>
      </c>
      <c r="D129" s="31">
        <f>LET(s,CONTROL!B4,ls,CONTROL!B5,SUMPRODUCT(--(tblChainRaw[Strike Price]=A129),--(tblChainRaw[Option Type]="CE"),tblChainRaw[Open Interest],GREEKS!L4:L2003)*s^2*ls)</f>
        <v/>
      </c>
      <c r="E129" s="31">
        <f>LET(s,CONTROL!B4,ls,CONTROL!B5,SUMPRODUCT(--(tblChainRaw[Strike Price]=A129),--(tblChainRaw[Option Type]="PE"),tblChainRaw[Open Interest],GREEKS!L4:L2003)*s^2*ls)</f>
        <v/>
      </c>
      <c r="F129" s="31">
        <f>D129-E129</f>
        <v/>
      </c>
      <c r="G129" s="31">
        <f>LET(ls,CONTROL!B5,SUMPRODUCT(--(tblChainRaw[Strike Price]=A129),--(tblChainRaw[Option Type]="CE"),tblChainRaw[Open Interest],GREEKS!M4:M2003)*ls)</f>
        <v/>
      </c>
      <c r="H129" s="31">
        <f>LET(ls,CONTROL!B5,SUMPRODUCT(--(tblChainRaw[Strike Price]=A129),--(tblChainRaw[Option Type]="PE"),tblChainRaw[Open Interest],GREEKS!M4:M2003)*ls)</f>
        <v/>
      </c>
      <c r="I129" s="31">
        <f>G129+H129</f>
        <v/>
      </c>
    </row>
    <row r="130">
      <c r="A130" s="31">
        <f>IF(CHAIN_CALC!B5="","",CHAIN_CALC!B5+(26)*CONTROL!B6)</f>
        <v/>
      </c>
      <c r="B130" s="31">
        <f>SUMIFS(tblChainRaw[Open Interest],tblChainRaw[Strike Price],A130,tblChainRaw[Option Type],"CE")</f>
        <v/>
      </c>
      <c r="C130" s="31">
        <f>SUMIFS(tblChainRaw[Open Interest],tblChainRaw[Strike Price],A130,tblChainRaw[Option Type],"PE")</f>
        <v/>
      </c>
      <c r="D130" s="31">
        <f>LET(s,CONTROL!B4,ls,CONTROL!B5,SUMPRODUCT(--(tblChainRaw[Strike Price]=A130),--(tblChainRaw[Option Type]="CE"),tblChainRaw[Open Interest],GREEKS!L4:L2003)*s^2*ls)</f>
        <v/>
      </c>
      <c r="E130" s="31">
        <f>LET(s,CONTROL!B4,ls,CONTROL!B5,SUMPRODUCT(--(tblChainRaw[Strike Price]=A130),--(tblChainRaw[Option Type]="PE"),tblChainRaw[Open Interest],GREEKS!L4:L2003)*s^2*ls)</f>
        <v/>
      </c>
      <c r="F130" s="31">
        <f>D130-E130</f>
        <v/>
      </c>
      <c r="G130" s="31">
        <f>LET(ls,CONTROL!B5,SUMPRODUCT(--(tblChainRaw[Strike Price]=A130),--(tblChainRaw[Option Type]="CE"),tblChainRaw[Open Interest],GREEKS!M4:M2003)*ls)</f>
        <v/>
      </c>
      <c r="H130" s="31">
        <f>LET(ls,CONTROL!B5,SUMPRODUCT(--(tblChainRaw[Strike Price]=A130),--(tblChainRaw[Option Type]="PE"),tblChainRaw[Open Interest],GREEKS!M4:M2003)*ls)</f>
        <v/>
      </c>
      <c r="I130" s="31">
        <f>G130+H130</f>
        <v/>
      </c>
    </row>
    <row r="131">
      <c r="A131" s="31">
        <f>IF(CHAIN_CALC!B5="","",CHAIN_CALC!B5+(27)*CONTROL!B6)</f>
        <v/>
      </c>
      <c r="B131" s="31">
        <f>SUMIFS(tblChainRaw[Open Interest],tblChainRaw[Strike Price],A131,tblChainRaw[Option Type],"CE")</f>
        <v/>
      </c>
      <c r="C131" s="31">
        <f>SUMIFS(tblChainRaw[Open Interest],tblChainRaw[Strike Price],A131,tblChainRaw[Option Type],"PE")</f>
        <v/>
      </c>
      <c r="D131" s="31">
        <f>LET(s,CONTROL!B4,ls,CONTROL!B5,SUMPRODUCT(--(tblChainRaw[Strike Price]=A131),--(tblChainRaw[Option Type]="CE"),tblChainRaw[Open Interest],GREEKS!L4:L2003)*s^2*ls)</f>
        <v/>
      </c>
      <c r="E131" s="31">
        <f>LET(s,CONTROL!B4,ls,CONTROL!B5,SUMPRODUCT(--(tblChainRaw[Strike Price]=A131),--(tblChainRaw[Option Type]="PE"),tblChainRaw[Open Interest],GREEKS!L4:L2003)*s^2*ls)</f>
        <v/>
      </c>
      <c r="F131" s="31">
        <f>D131-E131</f>
        <v/>
      </c>
      <c r="G131" s="31">
        <f>LET(ls,CONTROL!B5,SUMPRODUCT(--(tblChainRaw[Strike Price]=A131),--(tblChainRaw[Option Type]="CE"),tblChainRaw[Open Interest],GREEKS!M4:M2003)*ls)</f>
        <v/>
      </c>
      <c r="H131" s="31">
        <f>LET(ls,CONTROL!B5,SUMPRODUCT(--(tblChainRaw[Strike Price]=A131),--(tblChainRaw[Option Type]="PE"),tblChainRaw[Open Interest],GREEKS!M4:M2003)*ls)</f>
        <v/>
      </c>
      <c r="I131" s="31">
        <f>G131+H131</f>
        <v/>
      </c>
    </row>
    <row r="132">
      <c r="A132" s="31">
        <f>IF(CHAIN_CALC!B5="","",CHAIN_CALC!B5+(28)*CONTROL!B6)</f>
        <v/>
      </c>
      <c r="B132" s="31">
        <f>SUMIFS(tblChainRaw[Open Interest],tblChainRaw[Strike Price],A132,tblChainRaw[Option Type],"CE")</f>
        <v/>
      </c>
      <c r="C132" s="31">
        <f>SUMIFS(tblChainRaw[Open Interest],tblChainRaw[Strike Price],A132,tblChainRaw[Option Type],"PE")</f>
        <v/>
      </c>
      <c r="D132" s="31">
        <f>LET(s,CONTROL!B4,ls,CONTROL!B5,SUMPRODUCT(--(tblChainRaw[Strike Price]=A132),--(tblChainRaw[Option Type]="CE"),tblChainRaw[Open Interest],GREEKS!L4:L2003)*s^2*ls)</f>
        <v/>
      </c>
      <c r="E132" s="31">
        <f>LET(s,CONTROL!B4,ls,CONTROL!B5,SUMPRODUCT(--(tblChainRaw[Strike Price]=A132),--(tblChainRaw[Option Type]="PE"),tblChainRaw[Open Interest],GREEKS!L4:L2003)*s^2*ls)</f>
        <v/>
      </c>
      <c r="F132" s="31">
        <f>D132-E132</f>
        <v/>
      </c>
      <c r="G132" s="31">
        <f>LET(ls,CONTROL!B5,SUMPRODUCT(--(tblChainRaw[Strike Price]=A132),--(tblChainRaw[Option Type]="CE"),tblChainRaw[Open Interest],GREEKS!M4:M2003)*ls)</f>
        <v/>
      </c>
      <c r="H132" s="31">
        <f>LET(ls,CONTROL!B5,SUMPRODUCT(--(tblChainRaw[Strike Price]=A132),--(tblChainRaw[Option Type]="PE"),tblChainRaw[Open Interest],GREEKS!M4:M2003)*ls)</f>
        <v/>
      </c>
      <c r="I132" s="31">
        <f>G132+H132</f>
        <v/>
      </c>
    </row>
    <row r="133">
      <c r="A133" s="31">
        <f>IF(CHAIN_CALC!B5="","",CHAIN_CALC!B5+(29)*CONTROL!B6)</f>
        <v/>
      </c>
      <c r="B133" s="31">
        <f>SUMIFS(tblChainRaw[Open Interest],tblChainRaw[Strike Price],A133,tblChainRaw[Option Type],"CE")</f>
        <v/>
      </c>
      <c r="C133" s="31">
        <f>SUMIFS(tblChainRaw[Open Interest],tblChainRaw[Strike Price],A133,tblChainRaw[Option Type],"PE")</f>
        <v/>
      </c>
      <c r="D133" s="31">
        <f>LET(s,CONTROL!B4,ls,CONTROL!B5,SUMPRODUCT(--(tblChainRaw[Strike Price]=A133),--(tblChainRaw[Option Type]="CE"),tblChainRaw[Open Interest],GREEKS!L4:L2003)*s^2*ls)</f>
        <v/>
      </c>
      <c r="E133" s="31">
        <f>LET(s,CONTROL!B4,ls,CONTROL!B5,SUMPRODUCT(--(tblChainRaw[Strike Price]=A133),--(tblChainRaw[Option Type]="PE"),tblChainRaw[Open Interest],GREEKS!L4:L2003)*s^2*ls)</f>
        <v/>
      </c>
      <c r="F133" s="31">
        <f>D133-E133</f>
        <v/>
      </c>
      <c r="G133" s="31">
        <f>LET(ls,CONTROL!B5,SUMPRODUCT(--(tblChainRaw[Strike Price]=A133),--(tblChainRaw[Option Type]="CE"),tblChainRaw[Open Interest],GREEKS!M4:M2003)*ls)</f>
        <v/>
      </c>
      <c r="H133" s="31">
        <f>LET(ls,CONTROL!B5,SUMPRODUCT(--(tblChainRaw[Strike Price]=A133),--(tblChainRaw[Option Type]="PE"),tblChainRaw[Open Interest],GREEKS!M4:M2003)*ls)</f>
        <v/>
      </c>
      <c r="I133" s="31">
        <f>G133+H133</f>
        <v/>
      </c>
    </row>
    <row r="134">
      <c r="A134" s="31">
        <f>IF(CHAIN_CALC!B5="","",CHAIN_CALC!B5+(30)*CONTROL!B6)</f>
        <v/>
      </c>
      <c r="B134" s="31">
        <f>SUMIFS(tblChainRaw[Open Interest],tblChainRaw[Strike Price],A134,tblChainRaw[Option Type],"CE")</f>
        <v/>
      </c>
      <c r="C134" s="31">
        <f>SUMIFS(tblChainRaw[Open Interest],tblChainRaw[Strike Price],A134,tblChainRaw[Option Type],"PE")</f>
        <v/>
      </c>
      <c r="D134" s="31">
        <f>LET(s,CONTROL!B4,ls,CONTROL!B5,SUMPRODUCT(--(tblChainRaw[Strike Price]=A134),--(tblChainRaw[Option Type]="CE"),tblChainRaw[Open Interest],GREEKS!L4:L2003)*s^2*ls)</f>
        <v/>
      </c>
      <c r="E134" s="31">
        <f>LET(s,CONTROL!B4,ls,CONTROL!B5,SUMPRODUCT(--(tblChainRaw[Strike Price]=A134),--(tblChainRaw[Option Type]="PE"),tblChainRaw[Open Interest],GREEKS!L4:L2003)*s^2*ls)</f>
        <v/>
      </c>
      <c r="F134" s="31">
        <f>D134-E134</f>
        <v/>
      </c>
      <c r="G134" s="31">
        <f>LET(ls,CONTROL!B5,SUMPRODUCT(--(tblChainRaw[Strike Price]=A134),--(tblChainRaw[Option Type]="CE"),tblChainRaw[Open Interest],GREEKS!M4:M2003)*ls)</f>
        <v/>
      </c>
      <c r="H134" s="31">
        <f>LET(ls,CONTROL!B5,SUMPRODUCT(--(tblChainRaw[Strike Price]=A134),--(tblChainRaw[Option Type]="PE"),tblChainRaw[Open Interest],GREEKS!M4:M2003)*ls)</f>
        <v/>
      </c>
      <c r="I134" s="31">
        <f>G134+H134</f>
        <v/>
      </c>
    </row>
    <row r="135">
      <c r="A135" s="31">
        <f>IF(CHAIN_CALC!B5="","",CHAIN_CALC!B5+(31)*CONTROL!B6)</f>
        <v/>
      </c>
      <c r="B135" s="31">
        <f>SUMIFS(tblChainRaw[Open Interest],tblChainRaw[Strike Price],A135,tblChainRaw[Option Type],"CE")</f>
        <v/>
      </c>
      <c r="C135" s="31">
        <f>SUMIFS(tblChainRaw[Open Interest],tblChainRaw[Strike Price],A135,tblChainRaw[Option Type],"PE")</f>
        <v/>
      </c>
      <c r="D135" s="31">
        <f>LET(s,CONTROL!B4,ls,CONTROL!B5,SUMPRODUCT(--(tblChainRaw[Strike Price]=A135),--(tblChainRaw[Option Type]="CE"),tblChainRaw[Open Interest],GREEKS!L4:L2003)*s^2*ls)</f>
        <v/>
      </c>
      <c r="E135" s="31">
        <f>LET(s,CONTROL!B4,ls,CONTROL!B5,SUMPRODUCT(--(tblChainRaw[Strike Price]=A135),--(tblChainRaw[Option Type]="PE"),tblChainRaw[Open Interest],GREEKS!L4:L2003)*s^2*ls)</f>
        <v/>
      </c>
      <c r="F135" s="31">
        <f>D135-E135</f>
        <v/>
      </c>
      <c r="G135" s="31">
        <f>LET(ls,CONTROL!B5,SUMPRODUCT(--(tblChainRaw[Strike Price]=A135),--(tblChainRaw[Option Type]="CE"),tblChainRaw[Open Interest],GREEKS!M4:M2003)*ls)</f>
        <v/>
      </c>
      <c r="H135" s="31">
        <f>LET(ls,CONTROL!B5,SUMPRODUCT(--(tblChainRaw[Strike Price]=A135),--(tblChainRaw[Option Type]="PE"),tblChainRaw[Open Interest],GREEKS!M4:M2003)*ls)</f>
        <v/>
      </c>
      <c r="I135" s="31">
        <f>G135+H135</f>
        <v/>
      </c>
    </row>
    <row r="136">
      <c r="A136" s="31">
        <f>IF(CHAIN_CALC!B5="","",CHAIN_CALC!B5+(32)*CONTROL!B6)</f>
        <v/>
      </c>
      <c r="B136" s="31">
        <f>SUMIFS(tblChainRaw[Open Interest],tblChainRaw[Strike Price],A136,tblChainRaw[Option Type],"CE")</f>
        <v/>
      </c>
      <c r="C136" s="31">
        <f>SUMIFS(tblChainRaw[Open Interest],tblChainRaw[Strike Price],A136,tblChainRaw[Option Type],"PE")</f>
        <v/>
      </c>
      <c r="D136" s="31">
        <f>LET(s,CONTROL!B4,ls,CONTROL!B5,SUMPRODUCT(--(tblChainRaw[Strike Price]=A136),--(tblChainRaw[Option Type]="CE"),tblChainRaw[Open Interest],GREEKS!L4:L2003)*s^2*ls)</f>
        <v/>
      </c>
      <c r="E136" s="31">
        <f>LET(s,CONTROL!B4,ls,CONTROL!B5,SUMPRODUCT(--(tblChainRaw[Strike Price]=A136),--(tblChainRaw[Option Type]="PE"),tblChainRaw[Open Interest],GREEKS!L4:L2003)*s^2*ls)</f>
        <v/>
      </c>
      <c r="F136" s="31">
        <f>D136-E136</f>
        <v/>
      </c>
      <c r="G136" s="31">
        <f>LET(ls,CONTROL!B5,SUMPRODUCT(--(tblChainRaw[Strike Price]=A136),--(tblChainRaw[Option Type]="CE"),tblChainRaw[Open Interest],GREEKS!M4:M2003)*ls)</f>
        <v/>
      </c>
      <c r="H136" s="31">
        <f>LET(ls,CONTROL!B5,SUMPRODUCT(--(tblChainRaw[Strike Price]=A136),--(tblChainRaw[Option Type]="PE"),tblChainRaw[Open Interest],GREEKS!M4:M2003)*ls)</f>
        <v/>
      </c>
      <c r="I136" s="31">
        <f>G136+H136</f>
        <v/>
      </c>
    </row>
    <row r="137">
      <c r="A137" s="31">
        <f>IF(CHAIN_CALC!B5="","",CHAIN_CALC!B5+(33)*CONTROL!B6)</f>
        <v/>
      </c>
      <c r="B137" s="31">
        <f>SUMIFS(tblChainRaw[Open Interest],tblChainRaw[Strike Price],A137,tblChainRaw[Option Type],"CE")</f>
        <v/>
      </c>
      <c r="C137" s="31">
        <f>SUMIFS(tblChainRaw[Open Interest],tblChainRaw[Strike Price],A137,tblChainRaw[Option Type],"PE")</f>
        <v/>
      </c>
      <c r="D137" s="31">
        <f>LET(s,CONTROL!B4,ls,CONTROL!B5,SUMPRODUCT(--(tblChainRaw[Strike Price]=A137),--(tblChainRaw[Option Type]="CE"),tblChainRaw[Open Interest],GREEKS!L4:L2003)*s^2*ls)</f>
        <v/>
      </c>
      <c r="E137" s="31">
        <f>LET(s,CONTROL!B4,ls,CONTROL!B5,SUMPRODUCT(--(tblChainRaw[Strike Price]=A137),--(tblChainRaw[Option Type]="PE"),tblChainRaw[Open Interest],GREEKS!L4:L2003)*s^2*ls)</f>
        <v/>
      </c>
      <c r="F137" s="31">
        <f>D137-E137</f>
        <v/>
      </c>
      <c r="G137" s="31">
        <f>LET(ls,CONTROL!B5,SUMPRODUCT(--(tblChainRaw[Strike Price]=A137),--(tblChainRaw[Option Type]="CE"),tblChainRaw[Open Interest],GREEKS!M4:M2003)*ls)</f>
        <v/>
      </c>
      <c r="H137" s="31">
        <f>LET(ls,CONTROL!B5,SUMPRODUCT(--(tblChainRaw[Strike Price]=A137),--(tblChainRaw[Option Type]="PE"),tblChainRaw[Open Interest],GREEKS!M4:M2003)*ls)</f>
        <v/>
      </c>
      <c r="I137" s="31">
        <f>G137+H137</f>
        <v/>
      </c>
    </row>
    <row r="138">
      <c r="A138" s="31">
        <f>IF(CHAIN_CALC!B5="","",CHAIN_CALC!B5+(34)*CONTROL!B6)</f>
        <v/>
      </c>
      <c r="B138" s="31">
        <f>SUMIFS(tblChainRaw[Open Interest],tblChainRaw[Strike Price],A138,tblChainRaw[Option Type],"CE")</f>
        <v/>
      </c>
      <c r="C138" s="31">
        <f>SUMIFS(tblChainRaw[Open Interest],tblChainRaw[Strike Price],A138,tblChainRaw[Option Type],"PE")</f>
        <v/>
      </c>
      <c r="D138" s="31">
        <f>LET(s,CONTROL!B4,ls,CONTROL!B5,SUMPRODUCT(--(tblChainRaw[Strike Price]=A138),--(tblChainRaw[Option Type]="CE"),tblChainRaw[Open Interest],GREEKS!L4:L2003)*s^2*ls)</f>
        <v/>
      </c>
      <c r="E138" s="31">
        <f>LET(s,CONTROL!B4,ls,CONTROL!B5,SUMPRODUCT(--(tblChainRaw[Strike Price]=A138),--(tblChainRaw[Option Type]="PE"),tblChainRaw[Open Interest],GREEKS!L4:L2003)*s^2*ls)</f>
        <v/>
      </c>
      <c r="F138" s="31">
        <f>D138-E138</f>
        <v/>
      </c>
      <c r="G138" s="31">
        <f>LET(ls,CONTROL!B5,SUMPRODUCT(--(tblChainRaw[Strike Price]=A138),--(tblChainRaw[Option Type]="CE"),tblChainRaw[Open Interest],GREEKS!M4:M2003)*ls)</f>
        <v/>
      </c>
      <c r="H138" s="31">
        <f>LET(ls,CONTROL!B5,SUMPRODUCT(--(tblChainRaw[Strike Price]=A138),--(tblChainRaw[Option Type]="PE"),tblChainRaw[Open Interest],GREEKS!M4:M2003)*ls)</f>
        <v/>
      </c>
      <c r="I138" s="31">
        <f>G138+H138</f>
        <v/>
      </c>
    </row>
    <row r="139">
      <c r="A139" s="31">
        <f>IF(CHAIN_CALC!B5="","",CHAIN_CALC!B5+(35)*CONTROL!B6)</f>
        <v/>
      </c>
      <c r="B139" s="31">
        <f>SUMIFS(tblChainRaw[Open Interest],tblChainRaw[Strike Price],A139,tblChainRaw[Option Type],"CE")</f>
        <v/>
      </c>
      <c r="C139" s="31">
        <f>SUMIFS(tblChainRaw[Open Interest],tblChainRaw[Strike Price],A139,tblChainRaw[Option Type],"PE")</f>
        <v/>
      </c>
      <c r="D139" s="31">
        <f>LET(s,CONTROL!B4,ls,CONTROL!B5,SUMPRODUCT(--(tblChainRaw[Strike Price]=A139),--(tblChainRaw[Option Type]="CE"),tblChainRaw[Open Interest],GREEKS!L4:L2003)*s^2*ls)</f>
        <v/>
      </c>
      <c r="E139" s="31">
        <f>LET(s,CONTROL!B4,ls,CONTROL!B5,SUMPRODUCT(--(tblChainRaw[Strike Price]=A139),--(tblChainRaw[Option Type]="PE"),tblChainRaw[Open Interest],GREEKS!L4:L2003)*s^2*ls)</f>
        <v/>
      </c>
      <c r="F139" s="31">
        <f>D139-E139</f>
        <v/>
      </c>
      <c r="G139" s="31">
        <f>LET(ls,CONTROL!B5,SUMPRODUCT(--(tblChainRaw[Strike Price]=A139),--(tblChainRaw[Option Type]="CE"),tblChainRaw[Open Interest],GREEKS!M4:M2003)*ls)</f>
        <v/>
      </c>
      <c r="H139" s="31">
        <f>LET(ls,CONTROL!B5,SUMPRODUCT(--(tblChainRaw[Strike Price]=A139),--(tblChainRaw[Option Type]="PE"),tblChainRaw[Open Interest],GREEKS!M4:M2003)*ls)</f>
        <v/>
      </c>
      <c r="I139" s="31">
        <f>G139+H139</f>
        <v/>
      </c>
    </row>
    <row r="140">
      <c r="A140" s="31">
        <f>IF(CHAIN_CALC!B5="","",CHAIN_CALC!B5+(36)*CONTROL!B6)</f>
        <v/>
      </c>
      <c r="B140" s="31">
        <f>SUMIFS(tblChainRaw[Open Interest],tblChainRaw[Strike Price],A140,tblChainRaw[Option Type],"CE")</f>
        <v/>
      </c>
      <c r="C140" s="31">
        <f>SUMIFS(tblChainRaw[Open Interest],tblChainRaw[Strike Price],A140,tblChainRaw[Option Type],"PE")</f>
        <v/>
      </c>
      <c r="D140" s="31">
        <f>LET(s,CONTROL!B4,ls,CONTROL!B5,SUMPRODUCT(--(tblChainRaw[Strike Price]=A140),--(tblChainRaw[Option Type]="CE"),tblChainRaw[Open Interest],GREEKS!L4:L2003)*s^2*ls)</f>
        <v/>
      </c>
      <c r="E140" s="31">
        <f>LET(s,CONTROL!B4,ls,CONTROL!B5,SUMPRODUCT(--(tblChainRaw[Strike Price]=A140),--(tblChainRaw[Option Type]="PE"),tblChainRaw[Open Interest],GREEKS!L4:L2003)*s^2*ls)</f>
        <v/>
      </c>
      <c r="F140" s="31">
        <f>D140-E140</f>
        <v/>
      </c>
      <c r="G140" s="31">
        <f>LET(ls,CONTROL!B5,SUMPRODUCT(--(tblChainRaw[Strike Price]=A140),--(tblChainRaw[Option Type]="CE"),tblChainRaw[Open Interest],GREEKS!M4:M2003)*ls)</f>
        <v/>
      </c>
      <c r="H140" s="31">
        <f>LET(ls,CONTROL!B5,SUMPRODUCT(--(tblChainRaw[Strike Price]=A140),--(tblChainRaw[Option Type]="PE"),tblChainRaw[Open Interest],GREEKS!M4:M2003)*ls)</f>
        <v/>
      </c>
      <c r="I140" s="31">
        <f>G140+H140</f>
        <v/>
      </c>
    </row>
    <row r="141">
      <c r="A141" s="31">
        <f>IF(CHAIN_CALC!B5="","",CHAIN_CALC!B5+(37)*CONTROL!B6)</f>
        <v/>
      </c>
      <c r="B141" s="31">
        <f>SUMIFS(tblChainRaw[Open Interest],tblChainRaw[Strike Price],A141,tblChainRaw[Option Type],"CE")</f>
        <v/>
      </c>
      <c r="C141" s="31">
        <f>SUMIFS(tblChainRaw[Open Interest],tblChainRaw[Strike Price],A141,tblChainRaw[Option Type],"PE")</f>
        <v/>
      </c>
      <c r="D141" s="31">
        <f>LET(s,CONTROL!B4,ls,CONTROL!B5,SUMPRODUCT(--(tblChainRaw[Strike Price]=A141),--(tblChainRaw[Option Type]="CE"),tblChainRaw[Open Interest],GREEKS!L4:L2003)*s^2*ls)</f>
        <v/>
      </c>
      <c r="E141" s="31">
        <f>LET(s,CONTROL!B4,ls,CONTROL!B5,SUMPRODUCT(--(tblChainRaw[Strike Price]=A141),--(tblChainRaw[Option Type]="PE"),tblChainRaw[Open Interest],GREEKS!L4:L2003)*s^2*ls)</f>
        <v/>
      </c>
      <c r="F141" s="31">
        <f>D141-E141</f>
        <v/>
      </c>
      <c r="G141" s="31">
        <f>LET(ls,CONTROL!B5,SUMPRODUCT(--(tblChainRaw[Strike Price]=A141),--(tblChainRaw[Option Type]="CE"),tblChainRaw[Open Interest],GREEKS!M4:M2003)*ls)</f>
        <v/>
      </c>
      <c r="H141" s="31">
        <f>LET(ls,CONTROL!B5,SUMPRODUCT(--(tblChainRaw[Strike Price]=A141),--(tblChainRaw[Option Type]="PE"),tblChainRaw[Open Interest],GREEKS!M4:M2003)*ls)</f>
        <v/>
      </c>
      <c r="I141" s="31">
        <f>G141+H141</f>
        <v/>
      </c>
    </row>
    <row r="142">
      <c r="A142" s="31">
        <f>IF(CHAIN_CALC!B5="","",CHAIN_CALC!B5+(38)*CONTROL!B6)</f>
        <v/>
      </c>
      <c r="B142" s="31">
        <f>SUMIFS(tblChainRaw[Open Interest],tblChainRaw[Strike Price],A142,tblChainRaw[Option Type],"CE")</f>
        <v/>
      </c>
      <c r="C142" s="31">
        <f>SUMIFS(tblChainRaw[Open Interest],tblChainRaw[Strike Price],A142,tblChainRaw[Option Type],"PE")</f>
        <v/>
      </c>
      <c r="D142" s="31">
        <f>LET(s,CONTROL!B4,ls,CONTROL!B5,SUMPRODUCT(--(tblChainRaw[Strike Price]=A142),--(tblChainRaw[Option Type]="CE"),tblChainRaw[Open Interest],GREEKS!L4:L2003)*s^2*ls)</f>
        <v/>
      </c>
      <c r="E142" s="31">
        <f>LET(s,CONTROL!B4,ls,CONTROL!B5,SUMPRODUCT(--(tblChainRaw[Strike Price]=A142),--(tblChainRaw[Option Type]="PE"),tblChainRaw[Open Interest],GREEKS!L4:L2003)*s^2*ls)</f>
        <v/>
      </c>
      <c r="F142" s="31">
        <f>D142-E142</f>
        <v/>
      </c>
      <c r="G142" s="31">
        <f>LET(ls,CONTROL!B5,SUMPRODUCT(--(tblChainRaw[Strike Price]=A142),--(tblChainRaw[Option Type]="CE"),tblChainRaw[Open Interest],GREEKS!M4:M2003)*ls)</f>
        <v/>
      </c>
      <c r="H142" s="31">
        <f>LET(ls,CONTROL!B5,SUMPRODUCT(--(tblChainRaw[Strike Price]=A142),--(tblChainRaw[Option Type]="PE"),tblChainRaw[Open Interest],GREEKS!M4:M2003)*ls)</f>
        <v/>
      </c>
      <c r="I142" s="31">
        <f>G142+H142</f>
        <v/>
      </c>
    </row>
    <row r="143">
      <c r="A143" s="31">
        <f>IF(CHAIN_CALC!B5="","",CHAIN_CALC!B5+(39)*CONTROL!B6)</f>
        <v/>
      </c>
      <c r="B143" s="31">
        <f>SUMIFS(tblChainRaw[Open Interest],tblChainRaw[Strike Price],A143,tblChainRaw[Option Type],"CE")</f>
        <v/>
      </c>
      <c r="C143" s="31">
        <f>SUMIFS(tblChainRaw[Open Interest],tblChainRaw[Strike Price],A143,tblChainRaw[Option Type],"PE")</f>
        <v/>
      </c>
      <c r="D143" s="31">
        <f>LET(s,CONTROL!B4,ls,CONTROL!B5,SUMPRODUCT(--(tblChainRaw[Strike Price]=A143),--(tblChainRaw[Option Type]="CE"),tblChainRaw[Open Interest],GREEKS!L4:L2003)*s^2*ls)</f>
        <v/>
      </c>
      <c r="E143" s="31">
        <f>LET(s,CONTROL!B4,ls,CONTROL!B5,SUMPRODUCT(--(tblChainRaw[Strike Price]=A143),--(tblChainRaw[Option Type]="PE"),tblChainRaw[Open Interest],GREEKS!L4:L2003)*s^2*ls)</f>
        <v/>
      </c>
      <c r="F143" s="31">
        <f>D143-E143</f>
        <v/>
      </c>
      <c r="G143" s="31">
        <f>LET(ls,CONTROL!B5,SUMPRODUCT(--(tblChainRaw[Strike Price]=A143),--(tblChainRaw[Option Type]="CE"),tblChainRaw[Open Interest],GREEKS!M4:M2003)*ls)</f>
        <v/>
      </c>
      <c r="H143" s="31">
        <f>LET(ls,CONTROL!B5,SUMPRODUCT(--(tblChainRaw[Strike Price]=A143),--(tblChainRaw[Option Type]="PE"),tblChainRaw[Open Interest],GREEKS!M4:M2003)*ls)</f>
        <v/>
      </c>
      <c r="I143" s="31">
        <f>G143+H143</f>
        <v/>
      </c>
    </row>
    <row r="144">
      <c r="A144" s="31">
        <f>IF(CHAIN_CALC!B5="","",CHAIN_CALC!B5+(40)*CONTROL!B6)</f>
        <v/>
      </c>
      <c r="B144" s="31">
        <f>SUMIFS(tblChainRaw[Open Interest],tblChainRaw[Strike Price],A144,tblChainRaw[Option Type],"CE")</f>
        <v/>
      </c>
      <c r="C144" s="31">
        <f>SUMIFS(tblChainRaw[Open Interest],tblChainRaw[Strike Price],A144,tblChainRaw[Option Type],"PE")</f>
        <v/>
      </c>
      <c r="D144" s="31">
        <f>LET(s,CONTROL!B4,ls,CONTROL!B5,SUMPRODUCT(--(tblChainRaw[Strike Price]=A144),--(tblChainRaw[Option Type]="CE"),tblChainRaw[Open Interest],GREEKS!L4:L2003)*s^2*ls)</f>
        <v/>
      </c>
      <c r="E144" s="31">
        <f>LET(s,CONTROL!B4,ls,CONTROL!B5,SUMPRODUCT(--(tblChainRaw[Strike Price]=A144),--(tblChainRaw[Option Type]="PE"),tblChainRaw[Open Interest],GREEKS!L4:L2003)*s^2*ls)</f>
        <v/>
      </c>
      <c r="F144" s="31">
        <f>D144-E144</f>
        <v/>
      </c>
      <c r="G144" s="31">
        <f>LET(ls,CONTROL!B5,SUMPRODUCT(--(tblChainRaw[Strike Price]=A144),--(tblChainRaw[Option Type]="CE"),tblChainRaw[Open Interest],GREEKS!M4:M2003)*ls)</f>
        <v/>
      </c>
      <c r="H144" s="31">
        <f>LET(ls,CONTROL!B5,SUMPRODUCT(--(tblChainRaw[Strike Price]=A144),--(tblChainRaw[Option Type]="PE"),tblChainRaw[Open Interest],GREEKS!M4:M2003)*ls)</f>
        <v/>
      </c>
      <c r="I144" s="31">
        <f>G144+H144</f>
        <v/>
      </c>
    </row>
    <row r="145">
      <c r="A145" s="31">
        <f>IF(CHAIN_CALC!B5="","",CHAIN_CALC!B5+(41)*CONTROL!B6)</f>
        <v/>
      </c>
      <c r="B145" s="31">
        <f>SUMIFS(tblChainRaw[Open Interest],tblChainRaw[Strike Price],A145,tblChainRaw[Option Type],"CE")</f>
        <v/>
      </c>
      <c r="C145" s="31">
        <f>SUMIFS(tblChainRaw[Open Interest],tblChainRaw[Strike Price],A145,tblChainRaw[Option Type],"PE")</f>
        <v/>
      </c>
      <c r="D145" s="31">
        <f>LET(s,CONTROL!B4,ls,CONTROL!B5,SUMPRODUCT(--(tblChainRaw[Strike Price]=A145),--(tblChainRaw[Option Type]="CE"),tblChainRaw[Open Interest],GREEKS!L4:L2003)*s^2*ls)</f>
        <v/>
      </c>
      <c r="E145" s="31">
        <f>LET(s,CONTROL!B4,ls,CONTROL!B5,SUMPRODUCT(--(tblChainRaw[Strike Price]=A145),--(tblChainRaw[Option Type]="PE"),tblChainRaw[Open Interest],GREEKS!L4:L2003)*s^2*ls)</f>
        <v/>
      </c>
      <c r="F145" s="31">
        <f>D145-E145</f>
        <v/>
      </c>
      <c r="G145" s="31">
        <f>LET(ls,CONTROL!B5,SUMPRODUCT(--(tblChainRaw[Strike Price]=A145),--(tblChainRaw[Option Type]="CE"),tblChainRaw[Open Interest],GREEKS!M4:M2003)*ls)</f>
        <v/>
      </c>
      <c r="H145" s="31">
        <f>LET(ls,CONTROL!B5,SUMPRODUCT(--(tblChainRaw[Strike Price]=A145),--(tblChainRaw[Option Type]="PE"),tblChainRaw[Open Interest],GREEKS!M4:M2003)*ls)</f>
        <v/>
      </c>
      <c r="I145" s="31">
        <f>G145+H145</f>
        <v/>
      </c>
    </row>
    <row r="146">
      <c r="A146" s="31">
        <f>IF(CHAIN_CALC!B5="","",CHAIN_CALC!B5+(42)*CONTROL!B6)</f>
        <v/>
      </c>
      <c r="B146" s="31">
        <f>SUMIFS(tblChainRaw[Open Interest],tblChainRaw[Strike Price],A146,tblChainRaw[Option Type],"CE")</f>
        <v/>
      </c>
      <c r="C146" s="31">
        <f>SUMIFS(tblChainRaw[Open Interest],tblChainRaw[Strike Price],A146,tblChainRaw[Option Type],"PE")</f>
        <v/>
      </c>
      <c r="D146" s="31">
        <f>LET(s,CONTROL!B4,ls,CONTROL!B5,SUMPRODUCT(--(tblChainRaw[Strike Price]=A146),--(tblChainRaw[Option Type]="CE"),tblChainRaw[Open Interest],GREEKS!L4:L2003)*s^2*ls)</f>
        <v/>
      </c>
      <c r="E146" s="31">
        <f>LET(s,CONTROL!B4,ls,CONTROL!B5,SUMPRODUCT(--(tblChainRaw[Strike Price]=A146),--(tblChainRaw[Option Type]="PE"),tblChainRaw[Open Interest],GREEKS!L4:L2003)*s^2*ls)</f>
        <v/>
      </c>
      <c r="F146" s="31">
        <f>D146-E146</f>
        <v/>
      </c>
      <c r="G146" s="31">
        <f>LET(ls,CONTROL!B5,SUMPRODUCT(--(tblChainRaw[Strike Price]=A146),--(tblChainRaw[Option Type]="CE"),tblChainRaw[Open Interest],GREEKS!M4:M2003)*ls)</f>
        <v/>
      </c>
      <c r="H146" s="31">
        <f>LET(ls,CONTROL!B5,SUMPRODUCT(--(tblChainRaw[Strike Price]=A146),--(tblChainRaw[Option Type]="PE"),tblChainRaw[Open Interest],GREEKS!M4:M2003)*ls)</f>
        <v/>
      </c>
      <c r="I146" s="31">
        <f>G146+H146</f>
        <v/>
      </c>
    </row>
    <row r="147">
      <c r="A147" s="31">
        <f>IF(CHAIN_CALC!B5="","",CHAIN_CALC!B5+(43)*CONTROL!B6)</f>
        <v/>
      </c>
      <c r="B147" s="31">
        <f>SUMIFS(tblChainRaw[Open Interest],tblChainRaw[Strike Price],A147,tblChainRaw[Option Type],"CE")</f>
        <v/>
      </c>
      <c r="C147" s="31">
        <f>SUMIFS(tblChainRaw[Open Interest],tblChainRaw[Strike Price],A147,tblChainRaw[Option Type],"PE")</f>
        <v/>
      </c>
      <c r="D147" s="31">
        <f>LET(s,CONTROL!B4,ls,CONTROL!B5,SUMPRODUCT(--(tblChainRaw[Strike Price]=A147),--(tblChainRaw[Option Type]="CE"),tblChainRaw[Open Interest],GREEKS!L4:L2003)*s^2*ls)</f>
        <v/>
      </c>
      <c r="E147" s="31">
        <f>LET(s,CONTROL!B4,ls,CONTROL!B5,SUMPRODUCT(--(tblChainRaw[Strike Price]=A147),--(tblChainRaw[Option Type]="PE"),tblChainRaw[Open Interest],GREEKS!L4:L2003)*s^2*ls)</f>
        <v/>
      </c>
      <c r="F147" s="31">
        <f>D147-E147</f>
        <v/>
      </c>
      <c r="G147" s="31">
        <f>LET(ls,CONTROL!B5,SUMPRODUCT(--(tblChainRaw[Strike Price]=A147),--(tblChainRaw[Option Type]="CE"),tblChainRaw[Open Interest],GREEKS!M4:M2003)*ls)</f>
        <v/>
      </c>
      <c r="H147" s="31">
        <f>LET(ls,CONTROL!B5,SUMPRODUCT(--(tblChainRaw[Strike Price]=A147),--(tblChainRaw[Option Type]="PE"),tblChainRaw[Open Interest],GREEKS!M4:M2003)*ls)</f>
        <v/>
      </c>
      <c r="I147" s="31">
        <f>G147+H147</f>
        <v/>
      </c>
    </row>
    <row r="148">
      <c r="A148" s="31">
        <f>IF(CHAIN_CALC!B5="","",CHAIN_CALC!B5+(44)*CONTROL!B6)</f>
        <v/>
      </c>
      <c r="B148" s="31">
        <f>SUMIFS(tblChainRaw[Open Interest],tblChainRaw[Strike Price],A148,tblChainRaw[Option Type],"CE")</f>
        <v/>
      </c>
      <c r="C148" s="31">
        <f>SUMIFS(tblChainRaw[Open Interest],tblChainRaw[Strike Price],A148,tblChainRaw[Option Type],"PE")</f>
        <v/>
      </c>
      <c r="D148" s="31">
        <f>LET(s,CONTROL!B4,ls,CONTROL!B5,SUMPRODUCT(--(tblChainRaw[Strike Price]=A148),--(tblChainRaw[Option Type]="CE"),tblChainRaw[Open Interest],GREEKS!L4:L2003)*s^2*ls)</f>
        <v/>
      </c>
      <c r="E148" s="31">
        <f>LET(s,CONTROL!B4,ls,CONTROL!B5,SUMPRODUCT(--(tblChainRaw[Strike Price]=A148),--(tblChainRaw[Option Type]="PE"),tblChainRaw[Open Interest],GREEKS!L4:L2003)*s^2*ls)</f>
        <v/>
      </c>
      <c r="F148" s="31">
        <f>D148-E148</f>
        <v/>
      </c>
      <c r="G148" s="31">
        <f>LET(ls,CONTROL!B5,SUMPRODUCT(--(tblChainRaw[Strike Price]=A148),--(tblChainRaw[Option Type]="CE"),tblChainRaw[Open Interest],GREEKS!M4:M2003)*ls)</f>
        <v/>
      </c>
      <c r="H148" s="31">
        <f>LET(ls,CONTROL!B5,SUMPRODUCT(--(tblChainRaw[Strike Price]=A148),--(tblChainRaw[Option Type]="PE"),tblChainRaw[Open Interest],GREEKS!M4:M2003)*ls)</f>
        <v/>
      </c>
      <c r="I148" s="31">
        <f>G148+H148</f>
        <v/>
      </c>
    </row>
    <row r="149">
      <c r="A149" s="31">
        <f>IF(CHAIN_CALC!B5="","",CHAIN_CALC!B5+(45)*CONTROL!B6)</f>
        <v/>
      </c>
      <c r="B149" s="31">
        <f>SUMIFS(tblChainRaw[Open Interest],tblChainRaw[Strike Price],A149,tblChainRaw[Option Type],"CE")</f>
        <v/>
      </c>
      <c r="C149" s="31">
        <f>SUMIFS(tblChainRaw[Open Interest],tblChainRaw[Strike Price],A149,tblChainRaw[Option Type],"PE")</f>
        <v/>
      </c>
      <c r="D149" s="31">
        <f>LET(s,CONTROL!B4,ls,CONTROL!B5,SUMPRODUCT(--(tblChainRaw[Strike Price]=A149),--(tblChainRaw[Option Type]="CE"),tblChainRaw[Open Interest],GREEKS!L4:L2003)*s^2*ls)</f>
        <v/>
      </c>
      <c r="E149" s="31">
        <f>LET(s,CONTROL!B4,ls,CONTROL!B5,SUMPRODUCT(--(tblChainRaw[Strike Price]=A149),--(tblChainRaw[Option Type]="PE"),tblChainRaw[Open Interest],GREEKS!L4:L2003)*s^2*ls)</f>
        <v/>
      </c>
      <c r="F149" s="31">
        <f>D149-E149</f>
        <v/>
      </c>
      <c r="G149" s="31">
        <f>LET(ls,CONTROL!B5,SUMPRODUCT(--(tblChainRaw[Strike Price]=A149),--(tblChainRaw[Option Type]="CE"),tblChainRaw[Open Interest],GREEKS!M4:M2003)*ls)</f>
        <v/>
      </c>
      <c r="H149" s="31">
        <f>LET(ls,CONTROL!B5,SUMPRODUCT(--(tblChainRaw[Strike Price]=A149),--(tblChainRaw[Option Type]="PE"),tblChainRaw[Open Interest],GREEKS!M4:M2003)*ls)</f>
        <v/>
      </c>
      <c r="I149" s="31">
        <f>G149+H149</f>
        <v/>
      </c>
    </row>
    <row r="150">
      <c r="A150" s="31">
        <f>IF(CHAIN_CALC!B5="","",CHAIN_CALC!B5+(46)*CONTROL!B6)</f>
        <v/>
      </c>
      <c r="B150" s="31">
        <f>SUMIFS(tblChainRaw[Open Interest],tblChainRaw[Strike Price],A150,tblChainRaw[Option Type],"CE")</f>
        <v/>
      </c>
      <c r="C150" s="31">
        <f>SUMIFS(tblChainRaw[Open Interest],tblChainRaw[Strike Price],A150,tblChainRaw[Option Type],"PE")</f>
        <v/>
      </c>
      <c r="D150" s="31">
        <f>LET(s,CONTROL!B4,ls,CONTROL!B5,SUMPRODUCT(--(tblChainRaw[Strike Price]=A150),--(tblChainRaw[Option Type]="CE"),tblChainRaw[Open Interest],GREEKS!L4:L2003)*s^2*ls)</f>
        <v/>
      </c>
      <c r="E150" s="31">
        <f>LET(s,CONTROL!B4,ls,CONTROL!B5,SUMPRODUCT(--(tblChainRaw[Strike Price]=A150),--(tblChainRaw[Option Type]="PE"),tblChainRaw[Open Interest],GREEKS!L4:L2003)*s^2*ls)</f>
        <v/>
      </c>
      <c r="F150" s="31">
        <f>D150-E150</f>
        <v/>
      </c>
      <c r="G150" s="31">
        <f>LET(ls,CONTROL!B5,SUMPRODUCT(--(tblChainRaw[Strike Price]=A150),--(tblChainRaw[Option Type]="CE"),tblChainRaw[Open Interest],GREEKS!M4:M2003)*ls)</f>
        <v/>
      </c>
      <c r="H150" s="31">
        <f>LET(ls,CONTROL!B5,SUMPRODUCT(--(tblChainRaw[Strike Price]=A150),--(tblChainRaw[Option Type]="PE"),tblChainRaw[Open Interest],GREEKS!M4:M2003)*ls)</f>
        <v/>
      </c>
      <c r="I150" s="31">
        <f>G150+H150</f>
        <v/>
      </c>
    </row>
    <row r="151">
      <c r="A151" s="31">
        <f>IF(CHAIN_CALC!B5="","",CHAIN_CALC!B5+(47)*CONTROL!B6)</f>
        <v/>
      </c>
      <c r="B151" s="31">
        <f>SUMIFS(tblChainRaw[Open Interest],tblChainRaw[Strike Price],A151,tblChainRaw[Option Type],"CE")</f>
        <v/>
      </c>
      <c r="C151" s="31">
        <f>SUMIFS(tblChainRaw[Open Interest],tblChainRaw[Strike Price],A151,tblChainRaw[Option Type],"PE")</f>
        <v/>
      </c>
      <c r="D151" s="31">
        <f>LET(s,CONTROL!B4,ls,CONTROL!B5,SUMPRODUCT(--(tblChainRaw[Strike Price]=A151),--(tblChainRaw[Option Type]="CE"),tblChainRaw[Open Interest],GREEKS!L4:L2003)*s^2*ls)</f>
        <v/>
      </c>
      <c r="E151" s="31">
        <f>LET(s,CONTROL!B4,ls,CONTROL!B5,SUMPRODUCT(--(tblChainRaw[Strike Price]=A151),--(tblChainRaw[Option Type]="PE"),tblChainRaw[Open Interest],GREEKS!L4:L2003)*s^2*ls)</f>
        <v/>
      </c>
      <c r="F151" s="31">
        <f>D151-E151</f>
        <v/>
      </c>
      <c r="G151" s="31">
        <f>LET(ls,CONTROL!B5,SUMPRODUCT(--(tblChainRaw[Strike Price]=A151),--(tblChainRaw[Option Type]="CE"),tblChainRaw[Open Interest],GREEKS!M4:M2003)*ls)</f>
        <v/>
      </c>
      <c r="H151" s="31">
        <f>LET(ls,CONTROL!B5,SUMPRODUCT(--(tblChainRaw[Strike Price]=A151),--(tblChainRaw[Option Type]="PE"),tblChainRaw[Open Interest],GREEKS!M4:M2003)*ls)</f>
        <v/>
      </c>
      <c r="I151" s="31">
        <f>G151+H151</f>
        <v/>
      </c>
    </row>
    <row r="152">
      <c r="A152" s="31">
        <f>IF(CHAIN_CALC!B5="","",CHAIN_CALC!B5+(48)*CONTROL!B6)</f>
        <v/>
      </c>
      <c r="B152" s="31">
        <f>SUMIFS(tblChainRaw[Open Interest],tblChainRaw[Strike Price],A152,tblChainRaw[Option Type],"CE")</f>
        <v/>
      </c>
      <c r="C152" s="31">
        <f>SUMIFS(tblChainRaw[Open Interest],tblChainRaw[Strike Price],A152,tblChainRaw[Option Type],"PE")</f>
        <v/>
      </c>
      <c r="D152" s="31">
        <f>LET(s,CONTROL!B4,ls,CONTROL!B5,SUMPRODUCT(--(tblChainRaw[Strike Price]=A152),--(tblChainRaw[Option Type]="CE"),tblChainRaw[Open Interest],GREEKS!L4:L2003)*s^2*ls)</f>
        <v/>
      </c>
      <c r="E152" s="31">
        <f>LET(s,CONTROL!B4,ls,CONTROL!B5,SUMPRODUCT(--(tblChainRaw[Strike Price]=A152),--(tblChainRaw[Option Type]="PE"),tblChainRaw[Open Interest],GREEKS!L4:L2003)*s^2*ls)</f>
        <v/>
      </c>
      <c r="F152" s="31">
        <f>D152-E152</f>
        <v/>
      </c>
      <c r="G152" s="31">
        <f>LET(ls,CONTROL!B5,SUMPRODUCT(--(tblChainRaw[Strike Price]=A152),--(tblChainRaw[Option Type]="CE"),tblChainRaw[Open Interest],GREEKS!M4:M2003)*ls)</f>
        <v/>
      </c>
      <c r="H152" s="31">
        <f>LET(ls,CONTROL!B5,SUMPRODUCT(--(tblChainRaw[Strike Price]=A152),--(tblChainRaw[Option Type]="PE"),tblChainRaw[Open Interest],GREEKS!M4:M2003)*ls)</f>
        <v/>
      </c>
      <c r="I152" s="31">
        <f>G152+H152</f>
        <v/>
      </c>
    </row>
    <row r="153">
      <c r="A153" s="31">
        <f>IF(CHAIN_CALC!B5="","",CHAIN_CALC!B5+(49)*CONTROL!B6)</f>
        <v/>
      </c>
      <c r="B153" s="31">
        <f>SUMIFS(tblChainRaw[Open Interest],tblChainRaw[Strike Price],A153,tblChainRaw[Option Type],"CE")</f>
        <v/>
      </c>
      <c r="C153" s="31">
        <f>SUMIFS(tblChainRaw[Open Interest],tblChainRaw[Strike Price],A153,tblChainRaw[Option Type],"PE")</f>
        <v/>
      </c>
      <c r="D153" s="31">
        <f>LET(s,CONTROL!B4,ls,CONTROL!B5,SUMPRODUCT(--(tblChainRaw[Strike Price]=A153),--(tblChainRaw[Option Type]="CE"),tblChainRaw[Open Interest],GREEKS!L4:L2003)*s^2*ls)</f>
        <v/>
      </c>
      <c r="E153" s="31">
        <f>LET(s,CONTROL!B4,ls,CONTROL!B5,SUMPRODUCT(--(tblChainRaw[Strike Price]=A153),--(tblChainRaw[Option Type]="PE"),tblChainRaw[Open Interest],GREEKS!L4:L2003)*s^2*ls)</f>
        <v/>
      </c>
      <c r="F153" s="31">
        <f>D153-E153</f>
        <v/>
      </c>
      <c r="G153" s="31">
        <f>LET(ls,CONTROL!B5,SUMPRODUCT(--(tblChainRaw[Strike Price]=A153),--(tblChainRaw[Option Type]="CE"),tblChainRaw[Open Interest],GREEKS!M4:M2003)*ls)</f>
        <v/>
      </c>
      <c r="H153" s="31">
        <f>LET(ls,CONTROL!B5,SUMPRODUCT(--(tblChainRaw[Strike Price]=A153),--(tblChainRaw[Option Type]="PE"),tblChainRaw[Open Interest],GREEKS!M4:M2003)*ls)</f>
        <v/>
      </c>
      <c r="I153" s="31">
        <f>G153+H153</f>
        <v/>
      </c>
    </row>
    <row r="154">
      <c r="A154" s="31">
        <f>IF(CHAIN_CALC!B5="","",CHAIN_CALC!B5+(50)*CONTROL!B6)</f>
        <v/>
      </c>
      <c r="B154" s="31">
        <f>SUMIFS(tblChainRaw[Open Interest],tblChainRaw[Strike Price],A154,tblChainRaw[Option Type],"CE")</f>
        <v/>
      </c>
      <c r="C154" s="31">
        <f>SUMIFS(tblChainRaw[Open Interest],tblChainRaw[Strike Price],A154,tblChainRaw[Option Type],"PE")</f>
        <v/>
      </c>
      <c r="D154" s="31">
        <f>LET(s,CONTROL!B4,ls,CONTROL!B5,SUMPRODUCT(--(tblChainRaw[Strike Price]=A154),--(tblChainRaw[Option Type]="CE"),tblChainRaw[Open Interest],GREEKS!L4:L2003)*s^2*ls)</f>
        <v/>
      </c>
      <c r="E154" s="31">
        <f>LET(s,CONTROL!B4,ls,CONTROL!B5,SUMPRODUCT(--(tblChainRaw[Strike Price]=A154),--(tblChainRaw[Option Type]="PE"),tblChainRaw[Open Interest],GREEKS!L4:L2003)*s^2*ls)</f>
        <v/>
      </c>
      <c r="F154" s="31">
        <f>D154-E154</f>
        <v/>
      </c>
      <c r="G154" s="31">
        <f>LET(ls,CONTROL!B5,SUMPRODUCT(--(tblChainRaw[Strike Price]=A154),--(tblChainRaw[Option Type]="CE"),tblChainRaw[Open Interest],GREEKS!M4:M2003)*ls)</f>
        <v/>
      </c>
      <c r="H154" s="31">
        <f>LET(ls,CONTROL!B5,SUMPRODUCT(--(tblChainRaw[Strike Price]=A154),--(tblChainRaw[Option Type]="PE"),tblChainRaw[Open Interest],GREEKS!M4:M2003)*ls)</f>
        <v/>
      </c>
      <c r="I154" s="31">
        <f>G154+H154</f>
        <v/>
      </c>
    </row>
    <row r="155">
      <c r="A155" s="31">
        <f>IF(CHAIN_CALC!B5="","",CHAIN_CALC!B5+(51)*CONTROL!B6)</f>
        <v/>
      </c>
      <c r="B155" s="31">
        <f>SUMIFS(tblChainRaw[Open Interest],tblChainRaw[Strike Price],A155,tblChainRaw[Option Type],"CE")</f>
        <v/>
      </c>
      <c r="C155" s="31">
        <f>SUMIFS(tblChainRaw[Open Interest],tblChainRaw[Strike Price],A155,tblChainRaw[Option Type],"PE")</f>
        <v/>
      </c>
      <c r="D155" s="31">
        <f>LET(s,CONTROL!B4,ls,CONTROL!B5,SUMPRODUCT(--(tblChainRaw[Strike Price]=A155),--(tblChainRaw[Option Type]="CE"),tblChainRaw[Open Interest],GREEKS!L4:L2003)*s^2*ls)</f>
        <v/>
      </c>
      <c r="E155" s="31">
        <f>LET(s,CONTROL!B4,ls,CONTROL!B5,SUMPRODUCT(--(tblChainRaw[Strike Price]=A155),--(tblChainRaw[Option Type]="PE"),tblChainRaw[Open Interest],GREEKS!L4:L2003)*s^2*ls)</f>
        <v/>
      </c>
      <c r="F155" s="31">
        <f>D155-E155</f>
        <v/>
      </c>
      <c r="G155" s="31">
        <f>LET(ls,CONTROL!B5,SUMPRODUCT(--(tblChainRaw[Strike Price]=A155),--(tblChainRaw[Option Type]="CE"),tblChainRaw[Open Interest],GREEKS!M4:M2003)*ls)</f>
        <v/>
      </c>
      <c r="H155" s="31">
        <f>LET(ls,CONTROL!B5,SUMPRODUCT(--(tblChainRaw[Strike Price]=A155),--(tblChainRaw[Option Type]="PE"),tblChainRaw[Open Interest],GREEKS!M4:M2003)*ls)</f>
        <v/>
      </c>
      <c r="I155" s="31">
        <f>G155+H155</f>
        <v/>
      </c>
    </row>
    <row r="156">
      <c r="A156" s="31">
        <f>IF(CHAIN_CALC!B5="","",CHAIN_CALC!B5+(52)*CONTROL!B6)</f>
        <v/>
      </c>
      <c r="B156" s="31">
        <f>SUMIFS(tblChainRaw[Open Interest],tblChainRaw[Strike Price],A156,tblChainRaw[Option Type],"CE")</f>
        <v/>
      </c>
      <c r="C156" s="31">
        <f>SUMIFS(tblChainRaw[Open Interest],tblChainRaw[Strike Price],A156,tblChainRaw[Option Type],"PE")</f>
        <v/>
      </c>
      <c r="D156" s="31">
        <f>LET(s,CONTROL!B4,ls,CONTROL!B5,SUMPRODUCT(--(tblChainRaw[Strike Price]=A156),--(tblChainRaw[Option Type]="CE"),tblChainRaw[Open Interest],GREEKS!L4:L2003)*s^2*ls)</f>
        <v/>
      </c>
      <c r="E156" s="31">
        <f>LET(s,CONTROL!B4,ls,CONTROL!B5,SUMPRODUCT(--(tblChainRaw[Strike Price]=A156),--(tblChainRaw[Option Type]="PE"),tblChainRaw[Open Interest],GREEKS!L4:L2003)*s^2*ls)</f>
        <v/>
      </c>
      <c r="F156" s="31">
        <f>D156-E156</f>
        <v/>
      </c>
      <c r="G156" s="31">
        <f>LET(ls,CONTROL!B5,SUMPRODUCT(--(tblChainRaw[Strike Price]=A156),--(tblChainRaw[Option Type]="CE"),tblChainRaw[Open Interest],GREEKS!M4:M2003)*ls)</f>
        <v/>
      </c>
      <c r="H156" s="31">
        <f>LET(ls,CONTROL!B5,SUMPRODUCT(--(tblChainRaw[Strike Price]=A156),--(tblChainRaw[Option Type]="PE"),tblChainRaw[Open Interest],GREEKS!M4:M2003)*ls)</f>
        <v/>
      </c>
      <c r="I156" s="31">
        <f>G156+H156</f>
        <v/>
      </c>
    </row>
    <row r="157">
      <c r="A157" s="31">
        <f>IF(CHAIN_CALC!B5="","",CHAIN_CALC!B5+(53)*CONTROL!B6)</f>
        <v/>
      </c>
      <c r="B157" s="31">
        <f>SUMIFS(tblChainRaw[Open Interest],tblChainRaw[Strike Price],A157,tblChainRaw[Option Type],"CE")</f>
        <v/>
      </c>
      <c r="C157" s="31">
        <f>SUMIFS(tblChainRaw[Open Interest],tblChainRaw[Strike Price],A157,tblChainRaw[Option Type],"PE")</f>
        <v/>
      </c>
      <c r="D157" s="31">
        <f>LET(s,CONTROL!B4,ls,CONTROL!B5,SUMPRODUCT(--(tblChainRaw[Strike Price]=A157),--(tblChainRaw[Option Type]="CE"),tblChainRaw[Open Interest],GREEKS!L4:L2003)*s^2*ls)</f>
        <v/>
      </c>
      <c r="E157" s="31">
        <f>LET(s,CONTROL!B4,ls,CONTROL!B5,SUMPRODUCT(--(tblChainRaw[Strike Price]=A157),--(tblChainRaw[Option Type]="PE"),tblChainRaw[Open Interest],GREEKS!L4:L2003)*s^2*ls)</f>
        <v/>
      </c>
      <c r="F157" s="31">
        <f>D157-E157</f>
        <v/>
      </c>
      <c r="G157" s="31">
        <f>LET(ls,CONTROL!B5,SUMPRODUCT(--(tblChainRaw[Strike Price]=A157),--(tblChainRaw[Option Type]="CE"),tblChainRaw[Open Interest],GREEKS!M4:M2003)*ls)</f>
        <v/>
      </c>
      <c r="H157" s="31">
        <f>LET(ls,CONTROL!B5,SUMPRODUCT(--(tblChainRaw[Strike Price]=A157),--(tblChainRaw[Option Type]="PE"),tblChainRaw[Open Interest],GREEKS!M4:M2003)*ls)</f>
        <v/>
      </c>
      <c r="I157" s="31">
        <f>G157+H157</f>
        <v/>
      </c>
    </row>
    <row r="158">
      <c r="A158" s="31">
        <f>IF(CHAIN_CALC!B5="","",CHAIN_CALC!B5+(54)*CONTROL!B6)</f>
        <v/>
      </c>
      <c r="B158" s="31">
        <f>SUMIFS(tblChainRaw[Open Interest],tblChainRaw[Strike Price],A158,tblChainRaw[Option Type],"CE")</f>
        <v/>
      </c>
      <c r="C158" s="31">
        <f>SUMIFS(tblChainRaw[Open Interest],tblChainRaw[Strike Price],A158,tblChainRaw[Option Type],"PE")</f>
        <v/>
      </c>
      <c r="D158" s="31">
        <f>LET(s,CONTROL!B4,ls,CONTROL!B5,SUMPRODUCT(--(tblChainRaw[Strike Price]=A158),--(tblChainRaw[Option Type]="CE"),tblChainRaw[Open Interest],GREEKS!L4:L2003)*s^2*ls)</f>
        <v/>
      </c>
      <c r="E158" s="31">
        <f>LET(s,CONTROL!B4,ls,CONTROL!B5,SUMPRODUCT(--(tblChainRaw[Strike Price]=A158),--(tblChainRaw[Option Type]="PE"),tblChainRaw[Open Interest],GREEKS!L4:L2003)*s^2*ls)</f>
        <v/>
      </c>
      <c r="F158" s="31">
        <f>D158-E158</f>
        <v/>
      </c>
      <c r="G158" s="31">
        <f>LET(ls,CONTROL!B5,SUMPRODUCT(--(tblChainRaw[Strike Price]=A158),--(tblChainRaw[Option Type]="CE"),tblChainRaw[Open Interest],GREEKS!M4:M2003)*ls)</f>
        <v/>
      </c>
      <c r="H158" s="31">
        <f>LET(ls,CONTROL!B5,SUMPRODUCT(--(tblChainRaw[Strike Price]=A158),--(tblChainRaw[Option Type]="PE"),tblChainRaw[Open Interest],GREEKS!M4:M2003)*ls)</f>
        <v/>
      </c>
      <c r="I158" s="31">
        <f>G158+H158</f>
        <v/>
      </c>
    </row>
    <row r="159">
      <c r="A159" s="31">
        <f>IF(CHAIN_CALC!B5="","",CHAIN_CALC!B5+(55)*CONTROL!B6)</f>
        <v/>
      </c>
      <c r="B159" s="31">
        <f>SUMIFS(tblChainRaw[Open Interest],tblChainRaw[Strike Price],A159,tblChainRaw[Option Type],"CE")</f>
        <v/>
      </c>
      <c r="C159" s="31">
        <f>SUMIFS(tblChainRaw[Open Interest],tblChainRaw[Strike Price],A159,tblChainRaw[Option Type],"PE")</f>
        <v/>
      </c>
      <c r="D159" s="31">
        <f>LET(s,CONTROL!B4,ls,CONTROL!B5,SUMPRODUCT(--(tblChainRaw[Strike Price]=A159),--(tblChainRaw[Option Type]="CE"),tblChainRaw[Open Interest],GREEKS!L4:L2003)*s^2*ls)</f>
        <v/>
      </c>
      <c r="E159" s="31">
        <f>LET(s,CONTROL!B4,ls,CONTROL!B5,SUMPRODUCT(--(tblChainRaw[Strike Price]=A159),--(tblChainRaw[Option Type]="PE"),tblChainRaw[Open Interest],GREEKS!L4:L2003)*s^2*ls)</f>
        <v/>
      </c>
      <c r="F159" s="31">
        <f>D159-E159</f>
        <v/>
      </c>
      <c r="G159" s="31">
        <f>LET(ls,CONTROL!B5,SUMPRODUCT(--(tblChainRaw[Strike Price]=A159),--(tblChainRaw[Option Type]="CE"),tblChainRaw[Open Interest],GREEKS!M4:M2003)*ls)</f>
        <v/>
      </c>
      <c r="H159" s="31">
        <f>LET(ls,CONTROL!B5,SUMPRODUCT(--(tblChainRaw[Strike Price]=A159),--(tblChainRaw[Option Type]="PE"),tblChainRaw[Open Interest],GREEKS!M4:M2003)*ls)</f>
        <v/>
      </c>
      <c r="I159" s="31">
        <f>G159+H159</f>
        <v/>
      </c>
    </row>
    <row r="160">
      <c r="A160" s="31">
        <f>IF(CHAIN_CALC!B5="","",CHAIN_CALC!B5+(56)*CONTROL!B6)</f>
        <v/>
      </c>
      <c r="B160" s="31">
        <f>SUMIFS(tblChainRaw[Open Interest],tblChainRaw[Strike Price],A160,tblChainRaw[Option Type],"CE")</f>
        <v/>
      </c>
      <c r="C160" s="31">
        <f>SUMIFS(tblChainRaw[Open Interest],tblChainRaw[Strike Price],A160,tblChainRaw[Option Type],"PE")</f>
        <v/>
      </c>
      <c r="D160" s="31">
        <f>LET(s,CONTROL!B4,ls,CONTROL!B5,SUMPRODUCT(--(tblChainRaw[Strike Price]=A160),--(tblChainRaw[Option Type]="CE"),tblChainRaw[Open Interest],GREEKS!L4:L2003)*s^2*ls)</f>
        <v/>
      </c>
      <c r="E160" s="31">
        <f>LET(s,CONTROL!B4,ls,CONTROL!B5,SUMPRODUCT(--(tblChainRaw[Strike Price]=A160),--(tblChainRaw[Option Type]="PE"),tblChainRaw[Open Interest],GREEKS!L4:L2003)*s^2*ls)</f>
        <v/>
      </c>
      <c r="F160" s="31">
        <f>D160-E160</f>
        <v/>
      </c>
      <c r="G160" s="31">
        <f>LET(ls,CONTROL!B5,SUMPRODUCT(--(tblChainRaw[Strike Price]=A160),--(tblChainRaw[Option Type]="CE"),tblChainRaw[Open Interest],GREEKS!M4:M2003)*ls)</f>
        <v/>
      </c>
      <c r="H160" s="31">
        <f>LET(ls,CONTROL!B5,SUMPRODUCT(--(tblChainRaw[Strike Price]=A160),--(tblChainRaw[Option Type]="PE"),tblChainRaw[Open Interest],GREEKS!M4:M2003)*ls)</f>
        <v/>
      </c>
      <c r="I160" s="31">
        <f>G160+H160</f>
        <v/>
      </c>
    </row>
    <row r="161">
      <c r="A161" s="31">
        <f>IF(CHAIN_CALC!B5="","",CHAIN_CALC!B5+(57)*CONTROL!B6)</f>
        <v/>
      </c>
      <c r="B161" s="31">
        <f>SUMIFS(tblChainRaw[Open Interest],tblChainRaw[Strike Price],A161,tblChainRaw[Option Type],"CE")</f>
        <v/>
      </c>
      <c r="C161" s="31">
        <f>SUMIFS(tblChainRaw[Open Interest],tblChainRaw[Strike Price],A161,tblChainRaw[Option Type],"PE")</f>
        <v/>
      </c>
      <c r="D161" s="31">
        <f>LET(s,CONTROL!B4,ls,CONTROL!B5,SUMPRODUCT(--(tblChainRaw[Strike Price]=A161),--(tblChainRaw[Option Type]="CE"),tblChainRaw[Open Interest],GREEKS!L4:L2003)*s^2*ls)</f>
        <v/>
      </c>
      <c r="E161" s="31">
        <f>LET(s,CONTROL!B4,ls,CONTROL!B5,SUMPRODUCT(--(tblChainRaw[Strike Price]=A161),--(tblChainRaw[Option Type]="PE"),tblChainRaw[Open Interest],GREEKS!L4:L2003)*s^2*ls)</f>
        <v/>
      </c>
      <c r="F161" s="31">
        <f>D161-E161</f>
        <v/>
      </c>
      <c r="G161" s="31">
        <f>LET(ls,CONTROL!B5,SUMPRODUCT(--(tblChainRaw[Strike Price]=A161),--(tblChainRaw[Option Type]="CE"),tblChainRaw[Open Interest],GREEKS!M4:M2003)*ls)</f>
        <v/>
      </c>
      <c r="H161" s="31">
        <f>LET(ls,CONTROL!B5,SUMPRODUCT(--(tblChainRaw[Strike Price]=A161),--(tblChainRaw[Option Type]="PE"),tblChainRaw[Open Interest],GREEKS!M4:M2003)*ls)</f>
        <v/>
      </c>
      <c r="I161" s="31">
        <f>G161+H161</f>
        <v/>
      </c>
    </row>
    <row r="162">
      <c r="A162" s="31">
        <f>IF(CHAIN_CALC!B5="","",CHAIN_CALC!B5+(58)*CONTROL!B6)</f>
        <v/>
      </c>
      <c r="B162" s="31">
        <f>SUMIFS(tblChainRaw[Open Interest],tblChainRaw[Strike Price],A162,tblChainRaw[Option Type],"CE")</f>
        <v/>
      </c>
      <c r="C162" s="31">
        <f>SUMIFS(tblChainRaw[Open Interest],tblChainRaw[Strike Price],A162,tblChainRaw[Option Type],"PE")</f>
        <v/>
      </c>
      <c r="D162" s="31">
        <f>LET(s,CONTROL!B4,ls,CONTROL!B5,SUMPRODUCT(--(tblChainRaw[Strike Price]=A162),--(tblChainRaw[Option Type]="CE"),tblChainRaw[Open Interest],GREEKS!L4:L2003)*s^2*ls)</f>
        <v/>
      </c>
      <c r="E162" s="31">
        <f>LET(s,CONTROL!B4,ls,CONTROL!B5,SUMPRODUCT(--(tblChainRaw[Strike Price]=A162),--(tblChainRaw[Option Type]="PE"),tblChainRaw[Open Interest],GREEKS!L4:L2003)*s^2*ls)</f>
        <v/>
      </c>
      <c r="F162" s="31">
        <f>D162-E162</f>
        <v/>
      </c>
      <c r="G162" s="31">
        <f>LET(ls,CONTROL!B5,SUMPRODUCT(--(tblChainRaw[Strike Price]=A162),--(tblChainRaw[Option Type]="CE"),tblChainRaw[Open Interest],GREEKS!M4:M2003)*ls)</f>
        <v/>
      </c>
      <c r="H162" s="31">
        <f>LET(ls,CONTROL!B5,SUMPRODUCT(--(tblChainRaw[Strike Price]=A162),--(tblChainRaw[Option Type]="PE"),tblChainRaw[Open Interest],GREEKS!M4:M2003)*ls)</f>
        <v/>
      </c>
      <c r="I162" s="31">
        <f>G162+H162</f>
        <v/>
      </c>
    </row>
    <row r="163">
      <c r="A163" s="31">
        <f>IF(CHAIN_CALC!B5="","",CHAIN_CALC!B5+(59)*CONTROL!B6)</f>
        <v/>
      </c>
      <c r="B163" s="31">
        <f>SUMIFS(tblChainRaw[Open Interest],tblChainRaw[Strike Price],A163,tblChainRaw[Option Type],"CE")</f>
        <v/>
      </c>
      <c r="C163" s="31">
        <f>SUMIFS(tblChainRaw[Open Interest],tblChainRaw[Strike Price],A163,tblChainRaw[Option Type],"PE")</f>
        <v/>
      </c>
      <c r="D163" s="31">
        <f>LET(s,CONTROL!B4,ls,CONTROL!B5,SUMPRODUCT(--(tblChainRaw[Strike Price]=A163),--(tblChainRaw[Option Type]="CE"),tblChainRaw[Open Interest],GREEKS!L4:L2003)*s^2*ls)</f>
        <v/>
      </c>
      <c r="E163" s="31">
        <f>LET(s,CONTROL!B4,ls,CONTROL!B5,SUMPRODUCT(--(tblChainRaw[Strike Price]=A163),--(tblChainRaw[Option Type]="PE"),tblChainRaw[Open Interest],GREEKS!L4:L2003)*s^2*ls)</f>
        <v/>
      </c>
      <c r="F163" s="31">
        <f>D163-E163</f>
        <v/>
      </c>
      <c r="G163" s="31">
        <f>LET(ls,CONTROL!B5,SUMPRODUCT(--(tblChainRaw[Strike Price]=A163),--(tblChainRaw[Option Type]="CE"),tblChainRaw[Open Interest],GREEKS!M4:M2003)*ls)</f>
        <v/>
      </c>
      <c r="H163" s="31">
        <f>LET(ls,CONTROL!B5,SUMPRODUCT(--(tblChainRaw[Strike Price]=A163),--(tblChainRaw[Option Type]="PE"),tblChainRaw[Open Interest],GREEKS!M4:M2003)*ls)</f>
        <v/>
      </c>
      <c r="I163" s="31">
        <f>G163+H163</f>
        <v/>
      </c>
    </row>
    <row r="164">
      <c r="A164" s="31">
        <f>IF(CHAIN_CALC!B5="","",CHAIN_CALC!B5+(60)*CONTROL!B6)</f>
        <v/>
      </c>
      <c r="B164" s="31">
        <f>SUMIFS(tblChainRaw[Open Interest],tblChainRaw[Strike Price],A164,tblChainRaw[Option Type],"CE")</f>
        <v/>
      </c>
      <c r="C164" s="31">
        <f>SUMIFS(tblChainRaw[Open Interest],tblChainRaw[Strike Price],A164,tblChainRaw[Option Type],"PE")</f>
        <v/>
      </c>
      <c r="D164" s="31">
        <f>LET(s,CONTROL!B4,ls,CONTROL!B5,SUMPRODUCT(--(tblChainRaw[Strike Price]=A164),--(tblChainRaw[Option Type]="CE"),tblChainRaw[Open Interest],GREEKS!L4:L2003)*s^2*ls)</f>
        <v/>
      </c>
      <c r="E164" s="31">
        <f>LET(s,CONTROL!B4,ls,CONTROL!B5,SUMPRODUCT(--(tblChainRaw[Strike Price]=A164),--(tblChainRaw[Option Type]="PE"),tblChainRaw[Open Interest],GREEKS!L4:L2003)*s^2*ls)</f>
        <v/>
      </c>
      <c r="F164" s="31">
        <f>D164-E164</f>
        <v/>
      </c>
      <c r="G164" s="31">
        <f>LET(ls,CONTROL!B5,SUMPRODUCT(--(tblChainRaw[Strike Price]=A164),--(tblChainRaw[Option Type]="CE"),tblChainRaw[Open Interest],GREEKS!M4:M2003)*ls)</f>
        <v/>
      </c>
      <c r="H164" s="31">
        <f>LET(ls,CONTROL!B5,SUMPRODUCT(--(tblChainRaw[Strike Price]=A164),--(tblChainRaw[Option Type]="PE"),tblChainRaw[Open Interest],GREEKS!M4:M2003)*ls)</f>
        <v/>
      </c>
      <c r="I164" s="31">
        <f>G164+H164</f>
        <v/>
      </c>
    </row>
    <row r="165">
      <c r="A165" s="31">
        <f>IF(CHAIN_CALC!B5="","",CHAIN_CALC!B5+(61)*CONTROL!B6)</f>
        <v/>
      </c>
      <c r="B165" s="31">
        <f>SUMIFS(tblChainRaw[Open Interest],tblChainRaw[Strike Price],A165,tblChainRaw[Option Type],"CE")</f>
        <v/>
      </c>
      <c r="C165" s="31">
        <f>SUMIFS(tblChainRaw[Open Interest],tblChainRaw[Strike Price],A165,tblChainRaw[Option Type],"PE")</f>
        <v/>
      </c>
      <c r="D165" s="31">
        <f>LET(s,CONTROL!B4,ls,CONTROL!B5,SUMPRODUCT(--(tblChainRaw[Strike Price]=A165),--(tblChainRaw[Option Type]="CE"),tblChainRaw[Open Interest],GREEKS!L4:L2003)*s^2*ls)</f>
        <v/>
      </c>
      <c r="E165" s="31">
        <f>LET(s,CONTROL!B4,ls,CONTROL!B5,SUMPRODUCT(--(tblChainRaw[Strike Price]=A165),--(tblChainRaw[Option Type]="PE"),tblChainRaw[Open Interest],GREEKS!L4:L2003)*s^2*ls)</f>
        <v/>
      </c>
      <c r="F165" s="31">
        <f>D165-E165</f>
        <v/>
      </c>
      <c r="G165" s="31">
        <f>LET(ls,CONTROL!B5,SUMPRODUCT(--(tblChainRaw[Strike Price]=A165),--(tblChainRaw[Option Type]="CE"),tblChainRaw[Open Interest],GREEKS!M4:M2003)*ls)</f>
        <v/>
      </c>
      <c r="H165" s="31">
        <f>LET(ls,CONTROL!B5,SUMPRODUCT(--(tblChainRaw[Strike Price]=A165),--(tblChainRaw[Option Type]="PE"),tblChainRaw[Open Interest],GREEKS!M4:M2003)*ls)</f>
        <v/>
      </c>
      <c r="I165" s="31">
        <f>G165+H165</f>
        <v/>
      </c>
    </row>
    <row r="166">
      <c r="A166" s="31">
        <f>IF(CHAIN_CALC!B5="","",CHAIN_CALC!B5+(62)*CONTROL!B6)</f>
        <v/>
      </c>
      <c r="B166" s="31">
        <f>SUMIFS(tblChainRaw[Open Interest],tblChainRaw[Strike Price],A166,tblChainRaw[Option Type],"CE")</f>
        <v/>
      </c>
      <c r="C166" s="31">
        <f>SUMIFS(tblChainRaw[Open Interest],tblChainRaw[Strike Price],A166,tblChainRaw[Option Type],"PE")</f>
        <v/>
      </c>
      <c r="D166" s="31">
        <f>LET(s,CONTROL!B4,ls,CONTROL!B5,SUMPRODUCT(--(tblChainRaw[Strike Price]=A166),--(tblChainRaw[Option Type]="CE"),tblChainRaw[Open Interest],GREEKS!L4:L2003)*s^2*ls)</f>
        <v/>
      </c>
      <c r="E166" s="31">
        <f>LET(s,CONTROL!B4,ls,CONTROL!B5,SUMPRODUCT(--(tblChainRaw[Strike Price]=A166),--(tblChainRaw[Option Type]="PE"),tblChainRaw[Open Interest],GREEKS!L4:L2003)*s^2*ls)</f>
        <v/>
      </c>
      <c r="F166" s="31">
        <f>D166-E166</f>
        <v/>
      </c>
      <c r="G166" s="31">
        <f>LET(ls,CONTROL!B5,SUMPRODUCT(--(tblChainRaw[Strike Price]=A166),--(tblChainRaw[Option Type]="CE"),tblChainRaw[Open Interest],GREEKS!M4:M2003)*ls)</f>
        <v/>
      </c>
      <c r="H166" s="31">
        <f>LET(ls,CONTROL!B5,SUMPRODUCT(--(tblChainRaw[Strike Price]=A166),--(tblChainRaw[Option Type]="PE"),tblChainRaw[Open Interest],GREEKS!M4:M2003)*ls)</f>
        <v/>
      </c>
      <c r="I166" s="31">
        <f>G166+H166</f>
        <v/>
      </c>
    </row>
    <row r="167">
      <c r="A167" s="31">
        <f>IF(CHAIN_CALC!B5="","",CHAIN_CALC!B5+(63)*CONTROL!B6)</f>
        <v/>
      </c>
      <c r="B167" s="31">
        <f>SUMIFS(tblChainRaw[Open Interest],tblChainRaw[Strike Price],A167,tblChainRaw[Option Type],"CE")</f>
        <v/>
      </c>
      <c r="C167" s="31">
        <f>SUMIFS(tblChainRaw[Open Interest],tblChainRaw[Strike Price],A167,tblChainRaw[Option Type],"PE")</f>
        <v/>
      </c>
      <c r="D167" s="31">
        <f>LET(s,CONTROL!B4,ls,CONTROL!B5,SUMPRODUCT(--(tblChainRaw[Strike Price]=A167),--(tblChainRaw[Option Type]="CE"),tblChainRaw[Open Interest],GREEKS!L4:L2003)*s^2*ls)</f>
        <v/>
      </c>
      <c r="E167" s="31">
        <f>LET(s,CONTROL!B4,ls,CONTROL!B5,SUMPRODUCT(--(tblChainRaw[Strike Price]=A167),--(tblChainRaw[Option Type]="PE"),tblChainRaw[Open Interest],GREEKS!L4:L2003)*s^2*ls)</f>
        <v/>
      </c>
      <c r="F167" s="31">
        <f>D167-E167</f>
        <v/>
      </c>
      <c r="G167" s="31">
        <f>LET(ls,CONTROL!B5,SUMPRODUCT(--(tblChainRaw[Strike Price]=A167),--(tblChainRaw[Option Type]="CE"),tblChainRaw[Open Interest],GREEKS!M4:M2003)*ls)</f>
        <v/>
      </c>
      <c r="H167" s="31">
        <f>LET(ls,CONTROL!B5,SUMPRODUCT(--(tblChainRaw[Strike Price]=A167),--(tblChainRaw[Option Type]="PE"),tblChainRaw[Open Interest],GREEKS!M4:M2003)*ls)</f>
        <v/>
      </c>
      <c r="I167" s="31">
        <f>G167+H167</f>
        <v/>
      </c>
    </row>
    <row r="168">
      <c r="A168" s="31">
        <f>IF(CHAIN_CALC!B5="","",CHAIN_CALC!B5+(64)*CONTROL!B6)</f>
        <v/>
      </c>
      <c r="B168" s="31">
        <f>SUMIFS(tblChainRaw[Open Interest],tblChainRaw[Strike Price],A168,tblChainRaw[Option Type],"CE")</f>
        <v/>
      </c>
      <c r="C168" s="31">
        <f>SUMIFS(tblChainRaw[Open Interest],tblChainRaw[Strike Price],A168,tblChainRaw[Option Type],"PE")</f>
        <v/>
      </c>
      <c r="D168" s="31">
        <f>LET(s,CONTROL!B4,ls,CONTROL!B5,SUMPRODUCT(--(tblChainRaw[Strike Price]=A168),--(tblChainRaw[Option Type]="CE"),tblChainRaw[Open Interest],GREEKS!L4:L2003)*s^2*ls)</f>
        <v/>
      </c>
      <c r="E168" s="31">
        <f>LET(s,CONTROL!B4,ls,CONTROL!B5,SUMPRODUCT(--(tblChainRaw[Strike Price]=A168),--(tblChainRaw[Option Type]="PE"),tblChainRaw[Open Interest],GREEKS!L4:L2003)*s^2*ls)</f>
        <v/>
      </c>
      <c r="F168" s="31">
        <f>D168-E168</f>
        <v/>
      </c>
      <c r="G168" s="31">
        <f>LET(ls,CONTROL!B5,SUMPRODUCT(--(tblChainRaw[Strike Price]=A168),--(tblChainRaw[Option Type]="CE"),tblChainRaw[Open Interest],GREEKS!M4:M2003)*ls)</f>
        <v/>
      </c>
      <c r="H168" s="31">
        <f>LET(ls,CONTROL!B5,SUMPRODUCT(--(tblChainRaw[Strike Price]=A168),--(tblChainRaw[Option Type]="PE"),tblChainRaw[Open Interest],GREEKS!M4:M2003)*ls)</f>
        <v/>
      </c>
      <c r="I168" s="31">
        <f>G168+H168</f>
        <v/>
      </c>
    </row>
    <row r="169">
      <c r="A169" s="31">
        <f>IF(CHAIN_CALC!B5="","",CHAIN_CALC!B5+(65)*CONTROL!B6)</f>
        <v/>
      </c>
      <c r="B169" s="31">
        <f>SUMIFS(tblChainRaw[Open Interest],tblChainRaw[Strike Price],A169,tblChainRaw[Option Type],"CE")</f>
        <v/>
      </c>
      <c r="C169" s="31">
        <f>SUMIFS(tblChainRaw[Open Interest],tblChainRaw[Strike Price],A169,tblChainRaw[Option Type],"PE")</f>
        <v/>
      </c>
      <c r="D169" s="31">
        <f>LET(s,CONTROL!B4,ls,CONTROL!B5,SUMPRODUCT(--(tblChainRaw[Strike Price]=A169),--(tblChainRaw[Option Type]="CE"),tblChainRaw[Open Interest],GREEKS!L4:L2003)*s^2*ls)</f>
        <v/>
      </c>
      <c r="E169" s="31">
        <f>LET(s,CONTROL!B4,ls,CONTROL!B5,SUMPRODUCT(--(tblChainRaw[Strike Price]=A169),--(tblChainRaw[Option Type]="PE"),tblChainRaw[Open Interest],GREEKS!L4:L2003)*s^2*ls)</f>
        <v/>
      </c>
      <c r="F169" s="31">
        <f>D169-E169</f>
        <v/>
      </c>
      <c r="G169" s="31">
        <f>LET(ls,CONTROL!B5,SUMPRODUCT(--(tblChainRaw[Strike Price]=A169),--(tblChainRaw[Option Type]="CE"),tblChainRaw[Open Interest],GREEKS!M4:M2003)*ls)</f>
        <v/>
      </c>
      <c r="H169" s="31">
        <f>LET(ls,CONTROL!B5,SUMPRODUCT(--(tblChainRaw[Strike Price]=A169),--(tblChainRaw[Option Type]="PE"),tblChainRaw[Open Interest],GREEKS!M4:M2003)*ls)</f>
        <v/>
      </c>
      <c r="I169" s="31">
        <f>G169+H169</f>
        <v/>
      </c>
    </row>
    <row r="170">
      <c r="A170" s="31">
        <f>IF(CHAIN_CALC!B5="","",CHAIN_CALC!B5+(66)*CONTROL!B6)</f>
        <v/>
      </c>
      <c r="B170" s="31">
        <f>SUMIFS(tblChainRaw[Open Interest],tblChainRaw[Strike Price],A170,tblChainRaw[Option Type],"CE")</f>
        <v/>
      </c>
      <c r="C170" s="31">
        <f>SUMIFS(tblChainRaw[Open Interest],tblChainRaw[Strike Price],A170,tblChainRaw[Option Type],"PE")</f>
        <v/>
      </c>
      <c r="D170" s="31">
        <f>LET(s,CONTROL!B4,ls,CONTROL!B5,SUMPRODUCT(--(tblChainRaw[Strike Price]=A170),--(tblChainRaw[Option Type]="CE"),tblChainRaw[Open Interest],GREEKS!L4:L2003)*s^2*ls)</f>
        <v/>
      </c>
      <c r="E170" s="31">
        <f>LET(s,CONTROL!B4,ls,CONTROL!B5,SUMPRODUCT(--(tblChainRaw[Strike Price]=A170),--(tblChainRaw[Option Type]="PE"),tblChainRaw[Open Interest],GREEKS!L4:L2003)*s^2*ls)</f>
        <v/>
      </c>
      <c r="F170" s="31">
        <f>D170-E170</f>
        <v/>
      </c>
      <c r="G170" s="31">
        <f>LET(ls,CONTROL!B5,SUMPRODUCT(--(tblChainRaw[Strike Price]=A170),--(tblChainRaw[Option Type]="CE"),tblChainRaw[Open Interest],GREEKS!M4:M2003)*ls)</f>
        <v/>
      </c>
      <c r="H170" s="31">
        <f>LET(ls,CONTROL!B5,SUMPRODUCT(--(tblChainRaw[Strike Price]=A170),--(tblChainRaw[Option Type]="PE"),tblChainRaw[Open Interest],GREEKS!M4:M2003)*ls)</f>
        <v/>
      </c>
      <c r="I170" s="31">
        <f>G170+H170</f>
        <v/>
      </c>
    </row>
    <row r="171">
      <c r="A171" s="31">
        <f>IF(CHAIN_CALC!B5="","",CHAIN_CALC!B5+(67)*CONTROL!B6)</f>
        <v/>
      </c>
      <c r="B171" s="31">
        <f>SUMIFS(tblChainRaw[Open Interest],tblChainRaw[Strike Price],A171,tblChainRaw[Option Type],"CE")</f>
        <v/>
      </c>
      <c r="C171" s="31">
        <f>SUMIFS(tblChainRaw[Open Interest],tblChainRaw[Strike Price],A171,tblChainRaw[Option Type],"PE")</f>
        <v/>
      </c>
      <c r="D171" s="31">
        <f>LET(s,CONTROL!B4,ls,CONTROL!B5,SUMPRODUCT(--(tblChainRaw[Strike Price]=A171),--(tblChainRaw[Option Type]="CE"),tblChainRaw[Open Interest],GREEKS!L4:L2003)*s^2*ls)</f>
        <v/>
      </c>
      <c r="E171" s="31">
        <f>LET(s,CONTROL!B4,ls,CONTROL!B5,SUMPRODUCT(--(tblChainRaw[Strike Price]=A171),--(tblChainRaw[Option Type]="PE"),tblChainRaw[Open Interest],GREEKS!L4:L2003)*s^2*ls)</f>
        <v/>
      </c>
      <c r="F171" s="31">
        <f>D171-E171</f>
        <v/>
      </c>
      <c r="G171" s="31">
        <f>LET(ls,CONTROL!B5,SUMPRODUCT(--(tblChainRaw[Strike Price]=A171),--(tblChainRaw[Option Type]="CE"),tblChainRaw[Open Interest],GREEKS!M4:M2003)*ls)</f>
        <v/>
      </c>
      <c r="H171" s="31">
        <f>LET(ls,CONTROL!B5,SUMPRODUCT(--(tblChainRaw[Strike Price]=A171),--(tblChainRaw[Option Type]="PE"),tblChainRaw[Open Interest],GREEKS!M4:M2003)*ls)</f>
        <v/>
      </c>
      <c r="I171" s="31">
        <f>G171+H171</f>
        <v/>
      </c>
    </row>
    <row r="172">
      <c r="A172" s="31">
        <f>IF(CHAIN_CALC!B5="","",CHAIN_CALC!B5+(68)*CONTROL!B6)</f>
        <v/>
      </c>
      <c r="B172" s="31">
        <f>SUMIFS(tblChainRaw[Open Interest],tblChainRaw[Strike Price],A172,tblChainRaw[Option Type],"CE")</f>
        <v/>
      </c>
      <c r="C172" s="31">
        <f>SUMIFS(tblChainRaw[Open Interest],tblChainRaw[Strike Price],A172,tblChainRaw[Option Type],"PE")</f>
        <v/>
      </c>
      <c r="D172" s="31">
        <f>LET(s,CONTROL!B4,ls,CONTROL!B5,SUMPRODUCT(--(tblChainRaw[Strike Price]=A172),--(tblChainRaw[Option Type]="CE"),tblChainRaw[Open Interest],GREEKS!L4:L2003)*s^2*ls)</f>
        <v/>
      </c>
      <c r="E172" s="31">
        <f>LET(s,CONTROL!B4,ls,CONTROL!B5,SUMPRODUCT(--(tblChainRaw[Strike Price]=A172),--(tblChainRaw[Option Type]="PE"),tblChainRaw[Open Interest],GREEKS!L4:L2003)*s^2*ls)</f>
        <v/>
      </c>
      <c r="F172" s="31">
        <f>D172-E172</f>
        <v/>
      </c>
      <c r="G172" s="31">
        <f>LET(ls,CONTROL!B5,SUMPRODUCT(--(tblChainRaw[Strike Price]=A172),--(tblChainRaw[Option Type]="CE"),tblChainRaw[Open Interest],GREEKS!M4:M2003)*ls)</f>
        <v/>
      </c>
      <c r="H172" s="31">
        <f>LET(ls,CONTROL!B5,SUMPRODUCT(--(tblChainRaw[Strike Price]=A172),--(tblChainRaw[Option Type]="PE"),tblChainRaw[Open Interest],GREEKS!M4:M2003)*ls)</f>
        <v/>
      </c>
      <c r="I172" s="31">
        <f>G172+H172</f>
        <v/>
      </c>
    </row>
    <row r="173">
      <c r="A173" s="31">
        <f>IF(CHAIN_CALC!B5="","",CHAIN_CALC!B5+(69)*CONTROL!B6)</f>
        <v/>
      </c>
      <c r="B173" s="31">
        <f>SUMIFS(tblChainRaw[Open Interest],tblChainRaw[Strike Price],A173,tblChainRaw[Option Type],"CE")</f>
        <v/>
      </c>
      <c r="C173" s="31">
        <f>SUMIFS(tblChainRaw[Open Interest],tblChainRaw[Strike Price],A173,tblChainRaw[Option Type],"PE")</f>
        <v/>
      </c>
      <c r="D173" s="31">
        <f>LET(s,CONTROL!B4,ls,CONTROL!B5,SUMPRODUCT(--(tblChainRaw[Strike Price]=A173),--(tblChainRaw[Option Type]="CE"),tblChainRaw[Open Interest],GREEKS!L4:L2003)*s^2*ls)</f>
        <v/>
      </c>
      <c r="E173" s="31">
        <f>LET(s,CONTROL!B4,ls,CONTROL!B5,SUMPRODUCT(--(tblChainRaw[Strike Price]=A173),--(tblChainRaw[Option Type]="PE"),tblChainRaw[Open Interest],GREEKS!L4:L2003)*s^2*ls)</f>
        <v/>
      </c>
      <c r="F173" s="31">
        <f>D173-E173</f>
        <v/>
      </c>
      <c r="G173" s="31">
        <f>LET(ls,CONTROL!B5,SUMPRODUCT(--(tblChainRaw[Strike Price]=A173),--(tblChainRaw[Option Type]="CE"),tblChainRaw[Open Interest],GREEKS!M4:M2003)*ls)</f>
        <v/>
      </c>
      <c r="H173" s="31">
        <f>LET(ls,CONTROL!B5,SUMPRODUCT(--(tblChainRaw[Strike Price]=A173),--(tblChainRaw[Option Type]="PE"),tblChainRaw[Open Interest],GREEKS!M4:M2003)*ls)</f>
        <v/>
      </c>
      <c r="I173" s="31">
        <f>G173+H173</f>
        <v/>
      </c>
    </row>
    <row r="174">
      <c r="A174" s="31">
        <f>IF(CHAIN_CALC!B5="","",CHAIN_CALC!B5+(70)*CONTROL!B6)</f>
        <v/>
      </c>
      <c r="B174" s="31">
        <f>SUMIFS(tblChainRaw[Open Interest],tblChainRaw[Strike Price],A174,tblChainRaw[Option Type],"CE")</f>
        <v/>
      </c>
      <c r="C174" s="31">
        <f>SUMIFS(tblChainRaw[Open Interest],tblChainRaw[Strike Price],A174,tblChainRaw[Option Type],"PE")</f>
        <v/>
      </c>
      <c r="D174" s="31">
        <f>LET(s,CONTROL!B4,ls,CONTROL!B5,SUMPRODUCT(--(tblChainRaw[Strike Price]=A174),--(tblChainRaw[Option Type]="CE"),tblChainRaw[Open Interest],GREEKS!L4:L2003)*s^2*ls)</f>
        <v/>
      </c>
      <c r="E174" s="31">
        <f>LET(s,CONTROL!B4,ls,CONTROL!B5,SUMPRODUCT(--(tblChainRaw[Strike Price]=A174),--(tblChainRaw[Option Type]="PE"),tblChainRaw[Open Interest],GREEKS!L4:L2003)*s^2*ls)</f>
        <v/>
      </c>
      <c r="F174" s="31">
        <f>D174-E174</f>
        <v/>
      </c>
      <c r="G174" s="31">
        <f>LET(ls,CONTROL!B5,SUMPRODUCT(--(tblChainRaw[Strike Price]=A174),--(tblChainRaw[Option Type]="CE"),tblChainRaw[Open Interest],GREEKS!M4:M2003)*ls)</f>
        <v/>
      </c>
      <c r="H174" s="31">
        <f>LET(ls,CONTROL!B5,SUMPRODUCT(--(tblChainRaw[Strike Price]=A174),--(tblChainRaw[Option Type]="PE"),tblChainRaw[Open Interest],GREEKS!M4:M2003)*ls)</f>
        <v/>
      </c>
      <c r="I174" s="31">
        <f>G174+H174</f>
        <v/>
      </c>
    </row>
    <row r="175">
      <c r="A175" s="31">
        <f>IF(CHAIN_CALC!B5="","",CHAIN_CALC!B5+(71)*CONTROL!B6)</f>
        <v/>
      </c>
      <c r="B175" s="31">
        <f>SUMIFS(tblChainRaw[Open Interest],tblChainRaw[Strike Price],A175,tblChainRaw[Option Type],"CE")</f>
        <v/>
      </c>
      <c r="C175" s="31">
        <f>SUMIFS(tblChainRaw[Open Interest],tblChainRaw[Strike Price],A175,tblChainRaw[Option Type],"PE")</f>
        <v/>
      </c>
      <c r="D175" s="31">
        <f>LET(s,CONTROL!B4,ls,CONTROL!B5,SUMPRODUCT(--(tblChainRaw[Strike Price]=A175),--(tblChainRaw[Option Type]="CE"),tblChainRaw[Open Interest],GREEKS!L4:L2003)*s^2*ls)</f>
        <v/>
      </c>
      <c r="E175" s="31">
        <f>LET(s,CONTROL!B4,ls,CONTROL!B5,SUMPRODUCT(--(tblChainRaw[Strike Price]=A175),--(tblChainRaw[Option Type]="PE"),tblChainRaw[Open Interest],GREEKS!L4:L2003)*s^2*ls)</f>
        <v/>
      </c>
      <c r="F175" s="31">
        <f>D175-E175</f>
        <v/>
      </c>
      <c r="G175" s="31">
        <f>LET(ls,CONTROL!B5,SUMPRODUCT(--(tblChainRaw[Strike Price]=A175),--(tblChainRaw[Option Type]="CE"),tblChainRaw[Open Interest],GREEKS!M4:M2003)*ls)</f>
        <v/>
      </c>
      <c r="H175" s="31">
        <f>LET(ls,CONTROL!B5,SUMPRODUCT(--(tblChainRaw[Strike Price]=A175),--(tblChainRaw[Option Type]="PE"),tblChainRaw[Open Interest],GREEKS!M4:M2003)*ls)</f>
        <v/>
      </c>
      <c r="I175" s="31">
        <f>G175+H175</f>
        <v/>
      </c>
    </row>
    <row r="176">
      <c r="A176" s="31">
        <f>IF(CHAIN_CALC!B5="","",CHAIN_CALC!B5+(72)*CONTROL!B6)</f>
        <v/>
      </c>
      <c r="B176" s="31">
        <f>SUMIFS(tblChainRaw[Open Interest],tblChainRaw[Strike Price],A176,tblChainRaw[Option Type],"CE")</f>
        <v/>
      </c>
      <c r="C176" s="31">
        <f>SUMIFS(tblChainRaw[Open Interest],tblChainRaw[Strike Price],A176,tblChainRaw[Option Type],"PE")</f>
        <v/>
      </c>
      <c r="D176" s="31">
        <f>LET(s,CONTROL!B4,ls,CONTROL!B5,SUMPRODUCT(--(tblChainRaw[Strike Price]=A176),--(tblChainRaw[Option Type]="CE"),tblChainRaw[Open Interest],GREEKS!L4:L2003)*s^2*ls)</f>
        <v/>
      </c>
      <c r="E176" s="31">
        <f>LET(s,CONTROL!B4,ls,CONTROL!B5,SUMPRODUCT(--(tblChainRaw[Strike Price]=A176),--(tblChainRaw[Option Type]="PE"),tblChainRaw[Open Interest],GREEKS!L4:L2003)*s^2*ls)</f>
        <v/>
      </c>
      <c r="F176" s="31">
        <f>D176-E176</f>
        <v/>
      </c>
      <c r="G176" s="31">
        <f>LET(ls,CONTROL!B5,SUMPRODUCT(--(tblChainRaw[Strike Price]=A176),--(tblChainRaw[Option Type]="CE"),tblChainRaw[Open Interest],GREEKS!M4:M2003)*ls)</f>
        <v/>
      </c>
      <c r="H176" s="31">
        <f>LET(ls,CONTROL!B5,SUMPRODUCT(--(tblChainRaw[Strike Price]=A176),--(tblChainRaw[Option Type]="PE"),tblChainRaw[Open Interest],GREEKS!M4:M2003)*ls)</f>
        <v/>
      </c>
      <c r="I176" s="31">
        <f>G176+H176</f>
        <v/>
      </c>
    </row>
    <row r="177">
      <c r="A177" s="31">
        <f>IF(CHAIN_CALC!B5="","",CHAIN_CALC!B5+(73)*CONTROL!B6)</f>
        <v/>
      </c>
      <c r="B177" s="31">
        <f>SUMIFS(tblChainRaw[Open Interest],tblChainRaw[Strike Price],A177,tblChainRaw[Option Type],"CE")</f>
        <v/>
      </c>
      <c r="C177" s="31">
        <f>SUMIFS(tblChainRaw[Open Interest],tblChainRaw[Strike Price],A177,tblChainRaw[Option Type],"PE")</f>
        <v/>
      </c>
      <c r="D177" s="31">
        <f>LET(s,CONTROL!B4,ls,CONTROL!B5,SUMPRODUCT(--(tblChainRaw[Strike Price]=A177),--(tblChainRaw[Option Type]="CE"),tblChainRaw[Open Interest],GREEKS!L4:L2003)*s^2*ls)</f>
        <v/>
      </c>
      <c r="E177" s="31">
        <f>LET(s,CONTROL!B4,ls,CONTROL!B5,SUMPRODUCT(--(tblChainRaw[Strike Price]=A177),--(tblChainRaw[Option Type]="PE"),tblChainRaw[Open Interest],GREEKS!L4:L2003)*s^2*ls)</f>
        <v/>
      </c>
      <c r="F177" s="31">
        <f>D177-E177</f>
        <v/>
      </c>
      <c r="G177" s="31">
        <f>LET(ls,CONTROL!B5,SUMPRODUCT(--(tblChainRaw[Strike Price]=A177),--(tblChainRaw[Option Type]="CE"),tblChainRaw[Open Interest],GREEKS!M4:M2003)*ls)</f>
        <v/>
      </c>
      <c r="H177" s="31">
        <f>LET(ls,CONTROL!B5,SUMPRODUCT(--(tblChainRaw[Strike Price]=A177),--(tblChainRaw[Option Type]="PE"),tblChainRaw[Open Interest],GREEKS!M4:M2003)*ls)</f>
        <v/>
      </c>
      <c r="I177" s="31">
        <f>G177+H177</f>
        <v/>
      </c>
    </row>
    <row r="178">
      <c r="A178" s="31">
        <f>IF(CHAIN_CALC!B5="","",CHAIN_CALC!B5+(74)*CONTROL!B6)</f>
        <v/>
      </c>
      <c r="B178" s="31">
        <f>SUMIFS(tblChainRaw[Open Interest],tblChainRaw[Strike Price],A178,tblChainRaw[Option Type],"CE")</f>
        <v/>
      </c>
      <c r="C178" s="31">
        <f>SUMIFS(tblChainRaw[Open Interest],tblChainRaw[Strike Price],A178,tblChainRaw[Option Type],"PE")</f>
        <v/>
      </c>
      <c r="D178" s="31">
        <f>LET(s,CONTROL!B4,ls,CONTROL!B5,SUMPRODUCT(--(tblChainRaw[Strike Price]=A178),--(tblChainRaw[Option Type]="CE"),tblChainRaw[Open Interest],GREEKS!L4:L2003)*s^2*ls)</f>
        <v/>
      </c>
      <c r="E178" s="31">
        <f>LET(s,CONTROL!B4,ls,CONTROL!B5,SUMPRODUCT(--(tblChainRaw[Strike Price]=A178),--(tblChainRaw[Option Type]="PE"),tblChainRaw[Open Interest],GREEKS!L4:L2003)*s^2*ls)</f>
        <v/>
      </c>
      <c r="F178" s="31">
        <f>D178-E178</f>
        <v/>
      </c>
      <c r="G178" s="31">
        <f>LET(ls,CONTROL!B5,SUMPRODUCT(--(tblChainRaw[Strike Price]=A178),--(tblChainRaw[Option Type]="CE"),tblChainRaw[Open Interest],GREEKS!M4:M2003)*ls)</f>
        <v/>
      </c>
      <c r="H178" s="31">
        <f>LET(ls,CONTROL!B5,SUMPRODUCT(--(tblChainRaw[Strike Price]=A178),--(tblChainRaw[Option Type]="PE"),tblChainRaw[Open Interest],GREEKS!M4:M2003)*ls)</f>
        <v/>
      </c>
      <c r="I178" s="31">
        <f>G178+H178</f>
        <v/>
      </c>
    </row>
    <row r="179">
      <c r="A179" s="31">
        <f>IF(CHAIN_CALC!B5="","",CHAIN_CALC!B5+(75)*CONTROL!B6)</f>
        <v/>
      </c>
      <c r="B179" s="31">
        <f>SUMIFS(tblChainRaw[Open Interest],tblChainRaw[Strike Price],A179,tblChainRaw[Option Type],"CE")</f>
        <v/>
      </c>
      <c r="C179" s="31">
        <f>SUMIFS(tblChainRaw[Open Interest],tblChainRaw[Strike Price],A179,tblChainRaw[Option Type],"PE")</f>
        <v/>
      </c>
      <c r="D179" s="31">
        <f>LET(s,CONTROL!B4,ls,CONTROL!B5,SUMPRODUCT(--(tblChainRaw[Strike Price]=A179),--(tblChainRaw[Option Type]="CE"),tblChainRaw[Open Interest],GREEKS!L4:L2003)*s^2*ls)</f>
        <v/>
      </c>
      <c r="E179" s="31">
        <f>LET(s,CONTROL!B4,ls,CONTROL!B5,SUMPRODUCT(--(tblChainRaw[Strike Price]=A179),--(tblChainRaw[Option Type]="PE"),tblChainRaw[Open Interest],GREEKS!L4:L2003)*s^2*ls)</f>
        <v/>
      </c>
      <c r="F179" s="31">
        <f>D179-E179</f>
        <v/>
      </c>
      <c r="G179" s="31">
        <f>LET(ls,CONTROL!B5,SUMPRODUCT(--(tblChainRaw[Strike Price]=A179),--(tblChainRaw[Option Type]="CE"),tblChainRaw[Open Interest],GREEKS!M4:M2003)*ls)</f>
        <v/>
      </c>
      <c r="H179" s="31">
        <f>LET(ls,CONTROL!B5,SUMPRODUCT(--(tblChainRaw[Strike Price]=A179),--(tblChainRaw[Option Type]="PE"),tblChainRaw[Open Interest],GREEKS!M4:M2003)*ls)</f>
        <v/>
      </c>
      <c r="I179" s="31">
        <f>G179+H179</f>
        <v/>
      </c>
    </row>
    <row r="180">
      <c r="A180" s="31">
        <f>IF(CHAIN_CALC!B5="","",CHAIN_CALC!B5+(76)*CONTROL!B6)</f>
        <v/>
      </c>
      <c r="B180" s="31">
        <f>SUMIFS(tblChainRaw[Open Interest],tblChainRaw[Strike Price],A180,tblChainRaw[Option Type],"CE")</f>
        <v/>
      </c>
      <c r="C180" s="31">
        <f>SUMIFS(tblChainRaw[Open Interest],tblChainRaw[Strike Price],A180,tblChainRaw[Option Type],"PE")</f>
        <v/>
      </c>
      <c r="D180" s="31">
        <f>LET(s,CONTROL!B4,ls,CONTROL!B5,SUMPRODUCT(--(tblChainRaw[Strike Price]=A180),--(tblChainRaw[Option Type]="CE"),tblChainRaw[Open Interest],GREEKS!L4:L2003)*s^2*ls)</f>
        <v/>
      </c>
      <c r="E180" s="31">
        <f>LET(s,CONTROL!B4,ls,CONTROL!B5,SUMPRODUCT(--(tblChainRaw[Strike Price]=A180),--(tblChainRaw[Option Type]="PE"),tblChainRaw[Open Interest],GREEKS!L4:L2003)*s^2*ls)</f>
        <v/>
      </c>
      <c r="F180" s="31">
        <f>D180-E180</f>
        <v/>
      </c>
      <c r="G180" s="31">
        <f>LET(ls,CONTROL!B5,SUMPRODUCT(--(tblChainRaw[Strike Price]=A180),--(tblChainRaw[Option Type]="CE"),tblChainRaw[Open Interest],GREEKS!M4:M2003)*ls)</f>
        <v/>
      </c>
      <c r="H180" s="31">
        <f>LET(ls,CONTROL!B5,SUMPRODUCT(--(tblChainRaw[Strike Price]=A180),--(tblChainRaw[Option Type]="PE"),tblChainRaw[Open Interest],GREEKS!M4:M2003)*ls)</f>
        <v/>
      </c>
      <c r="I180" s="31">
        <f>G180+H180</f>
        <v/>
      </c>
    </row>
    <row r="181">
      <c r="A181" s="31">
        <f>IF(CHAIN_CALC!B5="","",CHAIN_CALC!B5+(77)*CONTROL!B6)</f>
        <v/>
      </c>
      <c r="B181" s="31">
        <f>SUMIFS(tblChainRaw[Open Interest],tblChainRaw[Strike Price],A181,tblChainRaw[Option Type],"CE")</f>
        <v/>
      </c>
      <c r="C181" s="31">
        <f>SUMIFS(tblChainRaw[Open Interest],tblChainRaw[Strike Price],A181,tblChainRaw[Option Type],"PE")</f>
        <v/>
      </c>
      <c r="D181" s="31">
        <f>LET(s,CONTROL!B4,ls,CONTROL!B5,SUMPRODUCT(--(tblChainRaw[Strike Price]=A181),--(tblChainRaw[Option Type]="CE"),tblChainRaw[Open Interest],GREEKS!L4:L2003)*s^2*ls)</f>
        <v/>
      </c>
      <c r="E181" s="31">
        <f>LET(s,CONTROL!B4,ls,CONTROL!B5,SUMPRODUCT(--(tblChainRaw[Strike Price]=A181),--(tblChainRaw[Option Type]="PE"),tblChainRaw[Open Interest],GREEKS!L4:L2003)*s^2*ls)</f>
        <v/>
      </c>
      <c r="F181" s="31">
        <f>D181-E181</f>
        <v/>
      </c>
      <c r="G181" s="31">
        <f>LET(ls,CONTROL!B5,SUMPRODUCT(--(tblChainRaw[Strike Price]=A181),--(tblChainRaw[Option Type]="CE"),tblChainRaw[Open Interest],GREEKS!M4:M2003)*ls)</f>
        <v/>
      </c>
      <c r="H181" s="31">
        <f>LET(ls,CONTROL!B5,SUMPRODUCT(--(tblChainRaw[Strike Price]=A181),--(tblChainRaw[Option Type]="PE"),tblChainRaw[Open Interest],GREEKS!M4:M2003)*ls)</f>
        <v/>
      </c>
      <c r="I181" s="31">
        <f>G181+H181</f>
        <v/>
      </c>
    </row>
    <row r="182">
      <c r="A182" s="31">
        <f>IF(CHAIN_CALC!B5="","",CHAIN_CALC!B5+(78)*CONTROL!B6)</f>
        <v/>
      </c>
      <c r="B182" s="31">
        <f>SUMIFS(tblChainRaw[Open Interest],tblChainRaw[Strike Price],A182,tblChainRaw[Option Type],"CE")</f>
        <v/>
      </c>
      <c r="C182" s="31">
        <f>SUMIFS(tblChainRaw[Open Interest],tblChainRaw[Strike Price],A182,tblChainRaw[Option Type],"PE")</f>
        <v/>
      </c>
      <c r="D182" s="31">
        <f>LET(s,CONTROL!B4,ls,CONTROL!B5,SUMPRODUCT(--(tblChainRaw[Strike Price]=A182),--(tblChainRaw[Option Type]="CE"),tblChainRaw[Open Interest],GREEKS!L4:L2003)*s^2*ls)</f>
        <v/>
      </c>
      <c r="E182" s="31">
        <f>LET(s,CONTROL!B4,ls,CONTROL!B5,SUMPRODUCT(--(tblChainRaw[Strike Price]=A182),--(tblChainRaw[Option Type]="PE"),tblChainRaw[Open Interest],GREEKS!L4:L2003)*s^2*ls)</f>
        <v/>
      </c>
      <c r="F182" s="31">
        <f>D182-E182</f>
        <v/>
      </c>
      <c r="G182" s="31">
        <f>LET(ls,CONTROL!B5,SUMPRODUCT(--(tblChainRaw[Strike Price]=A182),--(tblChainRaw[Option Type]="CE"),tblChainRaw[Open Interest],GREEKS!M4:M2003)*ls)</f>
        <v/>
      </c>
      <c r="H182" s="31">
        <f>LET(ls,CONTROL!B5,SUMPRODUCT(--(tblChainRaw[Strike Price]=A182),--(tblChainRaw[Option Type]="PE"),tblChainRaw[Open Interest],GREEKS!M4:M2003)*ls)</f>
        <v/>
      </c>
      <c r="I182" s="31">
        <f>G182+H182</f>
        <v/>
      </c>
    </row>
    <row r="183">
      <c r="A183" s="31">
        <f>IF(CHAIN_CALC!B5="","",CHAIN_CALC!B5+(79)*CONTROL!B6)</f>
        <v/>
      </c>
      <c r="B183" s="31">
        <f>SUMIFS(tblChainRaw[Open Interest],tblChainRaw[Strike Price],A183,tblChainRaw[Option Type],"CE")</f>
        <v/>
      </c>
      <c r="C183" s="31">
        <f>SUMIFS(tblChainRaw[Open Interest],tblChainRaw[Strike Price],A183,tblChainRaw[Option Type],"PE")</f>
        <v/>
      </c>
      <c r="D183" s="31">
        <f>LET(s,CONTROL!B4,ls,CONTROL!B5,SUMPRODUCT(--(tblChainRaw[Strike Price]=A183),--(tblChainRaw[Option Type]="CE"),tblChainRaw[Open Interest],GREEKS!L4:L2003)*s^2*ls)</f>
        <v/>
      </c>
      <c r="E183" s="31">
        <f>LET(s,CONTROL!B4,ls,CONTROL!B5,SUMPRODUCT(--(tblChainRaw[Strike Price]=A183),--(tblChainRaw[Option Type]="PE"),tblChainRaw[Open Interest],GREEKS!L4:L2003)*s^2*ls)</f>
        <v/>
      </c>
      <c r="F183" s="31">
        <f>D183-E183</f>
        <v/>
      </c>
      <c r="G183" s="31">
        <f>LET(ls,CONTROL!B5,SUMPRODUCT(--(tblChainRaw[Strike Price]=A183),--(tblChainRaw[Option Type]="CE"),tblChainRaw[Open Interest],GREEKS!M4:M2003)*ls)</f>
        <v/>
      </c>
      <c r="H183" s="31">
        <f>LET(ls,CONTROL!B5,SUMPRODUCT(--(tblChainRaw[Strike Price]=A183),--(tblChainRaw[Option Type]="PE"),tblChainRaw[Open Interest],GREEKS!M4:M2003)*ls)</f>
        <v/>
      </c>
      <c r="I183" s="31">
        <f>G183+H183</f>
        <v/>
      </c>
    </row>
    <row r="184">
      <c r="A184" s="31">
        <f>IF(CHAIN_CALC!B5="","",CHAIN_CALC!B5+(80)*CONTROL!B6)</f>
        <v/>
      </c>
      <c r="B184" s="31">
        <f>SUMIFS(tblChainRaw[Open Interest],tblChainRaw[Strike Price],A184,tblChainRaw[Option Type],"CE")</f>
        <v/>
      </c>
      <c r="C184" s="31">
        <f>SUMIFS(tblChainRaw[Open Interest],tblChainRaw[Strike Price],A184,tblChainRaw[Option Type],"PE")</f>
        <v/>
      </c>
      <c r="D184" s="31">
        <f>LET(s,CONTROL!B4,ls,CONTROL!B5,SUMPRODUCT(--(tblChainRaw[Strike Price]=A184),--(tblChainRaw[Option Type]="CE"),tblChainRaw[Open Interest],GREEKS!L4:L2003)*s^2*ls)</f>
        <v/>
      </c>
      <c r="E184" s="31">
        <f>LET(s,CONTROL!B4,ls,CONTROL!B5,SUMPRODUCT(--(tblChainRaw[Strike Price]=A184),--(tblChainRaw[Option Type]="PE"),tblChainRaw[Open Interest],GREEKS!L4:L2003)*s^2*ls)</f>
        <v/>
      </c>
      <c r="F184" s="31">
        <f>D184-E184</f>
        <v/>
      </c>
      <c r="G184" s="31">
        <f>LET(ls,CONTROL!B5,SUMPRODUCT(--(tblChainRaw[Strike Price]=A184),--(tblChainRaw[Option Type]="CE"),tblChainRaw[Open Interest],GREEKS!M4:M2003)*ls)</f>
        <v/>
      </c>
      <c r="H184" s="31">
        <f>LET(ls,CONTROL!B5,SUMPRODUCT(--(tblChainRaw[Strike Price]=A184),--(tblChainRaw[Option Type]="PE"),tblChainRaw[Open Interest],GREEKS!M4:M2003)*ls)</f>
        <v/>
      </c>
      <c r="I184" s="31">
        <f>G184+H184</f>
        <v/>
      </c>
    </row>
    <row r="185">
      <c r="A185" s="31">
        <f>IF(CHAIN_CALC!B5="","",CHAIN_CALC!B5+(81)*CONTROL!B6)</f>
        <v/>
      </c>
      <c r="B185" s="31">
        <f>SUMIFS(tblChainRaw[Open Interest],tblChainRaw[Strike Price],A185,tblChainRaw[Option Type],"CE")</f>
        <v/>
      </c>
      <c r="C185" s="31">
        <f>SUMIFS(tblChainRaw[Open Interest],tblChainRaw[Strike Price],A185,tblChainRaw[Option Type],"PE")</f>
        <v/>
      </c>
      <c r="D185" s="31">
        <f>LET(s,CONTROL!B4,ls,CONTROL!B5,SUMPRODUCT(--(tblChainRaw[Strike Price]=A185),--(tblChainRaw[Option Type]="CE"),tblChainRaw[Open Interest],GREEKS!L4:L2003)*s^2*ls)</f>
        <v/>
      </c>
      <c r="E185" s="31">
        <f>LET(s,CONTROL!B4,ls,CONTROL!B5,SUMPRODUCT(--(tblChainRaw[Strike Price]=A185),--(tblChainRaw[Option Type]="PE"),tblChainRaw[Open Interest],GREEKS!L4:L2003)*s^2*ls)</f>
        <v/>
      </c>
      <c r="F185" s="31">
        <f>D185-E185</f>
        <v/>
      </c>
      <c r="G185" s="31">
        <f>LET(ls,CONTROL!B5,SUMPRODUCT(--(tblChainRaw[Strike Price]=A185),--(tblChainRaw[Option Type]="CE"),tblChainRaw[Open Interest],GREEKS!M4:M2003)*ls)</f>
        <v/>
      </c>
      <c r="H185" s="31">
        <f>LET(ls,CONTROL!B5,SUMPRODUCT(--(tblChainRaw[Strike Price]=A185),--(tblChainRaw[Option Type]="PE"),tblChainRaw[Open Interest],GREEKS!M4:M2003)*ls)</f>
        <v/>
      </c>
      <c r="I185" s="31">
        <f>G185+H185</f>
        <v/>
      </c>
    </row>
    <row r="186">
      <c r="A186" s="31">
        <f>IF(CHAIN_CALC!B5="","",CHAIN_CALC!B5+(82)*CONTROL!B6)</f>
        <v/>
      </c>
      <c r="B186" s="31">
        <f>SUMIFS(tblChainRaw[Open Interest],tblChainRaw[Strike Price],A186,tblChainRaw[Option Type],"CE")</f>
        <v/>
      </c>
      <c r="C186" s="31">
        <f>SUMIFS(tblChainRaw[Open Interest],tblChainRaw[Strike Price],A186,tblChainRaw[Option Type],"PE")</f>
        <v/>
      </c>
      <c r="D186" s="31">
        <f>LET(s,CONTROL!B4,ls,CONTROL!B5,SUMPRODUCT(--(tblChainRaw[Strike Price]=A186),--(tblChainRaw[Option Type]="CE"),tblChainRaw[Open Interest],GREEKS!L4:L2003)*s^2*ls)</f>
        <v/>
      </c>
      <c r="E186" s="31">
        <f>LET(s,CONTROL!B4,ls,CONTROL!B5,SUMPRODUCT(--(tblChainRaw[Strike Price]=A186),--(tblChainRaw[Option Type]="PE"),tblChainRaw[Open Interest],GREEKS!L4:L2003)*s^2*ls)</f>
        <v/>
      </c>
      <c r="F186" s="31">
        <f>D186-E186</f>
        <v/>
      </c>
      <c r="G186" s="31">
        <f>LET(ls,CONTROL!B5,SUMPRODUCT(--(tblChainRaw[Strike Price]=A186),--(tblChainRaw[Option Type]="CE"),tblChainRaw[Open Interest],GREEKS!M4:M2003)*ls)</f>
        <v/>
      </c>
      <c r="H186" s="31">
        <f>LET(ls,CONTROL!B5,SUMPRODUCT(--(tblChainRaw[Strike Price]=A186),--(tblChainRaw[Option Type]="PE"),tblChainRaw[Open Interest],GREEKS!M4:M2003)*ls)</f>
        <v/>
      </c>
      <c r="I186" s="31">
        <f>G186+H186</f>
        <v/>
      </c>
    </row>
    <row r="187">
      <c r="A187" s="31">
        <f>IF(CHAIN_CALC!B5="","",CHAIN_CALC!B5+(83)*CONTROL!B6)</f>
        <v/>
      </c>
      <c r="B187" s="31">
        <f>SUMIFS(tblChainRaw[Open Interest],tblChainRaw[Strike Price],A187,tblChainRaw[Option Type],"CE")</f>
        <v/>
      </c>
      <c r="C187" s="31">
        <f>SUMIFS(tblChainRaw[Open Interest],tblChainRaw[Strike Price],A187,tblChainRaw[Option Type],"PE")</f>
        <v/>
      </c>
      <c r="D187" s="31">
        <f>LET(s,CONTROL!B4,ls,CONTROL!B5,SUMPRODUCT(--(tblChainRaw[Strike Price]=A187),--(tblChainRaw[Option Type]="CE"),tblChainRaw[Open Interest],GREEKS!L4:L2003)*s^2*ls)</f>
        <v/>
      </c>
      <c r="E187" s="31">
        <f>LET(s,CONTROL!B4,ls,CONTROL!B5,SUMPRODUCT(--(tblChainRaw[Strike Price]=A187),--(tblChainRaw[Option Type]="PE"),tblChainRaw[Open Interest],GREEKS!L4:L2003)*s^2*ls)</f>
        <v/>
      </c>
      <c r="F187" s="31">
        <f>D187-E187</f>
        <v/>
      </c>
      <c r="G187" s="31">
        <f>LET(ls,CONTROL!B5,SUMPRODUCT(--(tblChainRaw[Strike Price]=A187),--(tblChainRaw[Option Type]="CE"),tblChainRaw[Open Interest],GREEKS!M4:M2003)*ls)</f>
        <v/>
      </c>
      <c r="H187" s="31">
        <f>LET(ls,CONTROL!B5,SUMPRODUCT(--(tblChainRaw[Strike Price]=A187),--(tblChainRaw[Option Type]="PE"),tblChainRaw[Open Interest],GREEKS!M4:M2003)*ls)</f>
        <v/>
      </c>
      <c r="I187" s="31">
        <f>G187+H187</f>
        <v/>
      </c>
    </row>
    <row r="188">
      <c r="A188" s="31">
        <f>IF(CHAIN_CALC!B5="","",CHAIN_CALC!B5+(84)*CONTROL!B6)</f>
        <v/>
      </c>
      <c r="B188" s="31">
        <f>SUMIFS(tblChainRaw[Open Interest],tblChainRaw[Strike Price],A188,tblChainRaw[Option Type],"CE")</f>
        <v/>
      </c>
      <c r="C188" s="31">
        <f>SUMIFS(tblChainRaw[Open Interest],tblChainRaw[Strike Price],A188,tblChainRaw[Option Type],"PE")</f>
        <v/>
      </c>
      <c r="D188" s="31">
        <f>LET(s,CONTROL!B4,ls,CONTROL!B5,SUMPRODUCT(--(tblChainRaw[Strike Price]=A188),--(tblChainRaw[Option Type]="CE"),tblChainRaw[Open Interest],GREEKS!L4:L2003)*s^2*ls)</f>
        <v/>
      </c>
      <c r="E188" s="31">
        <f>LET(s,CONTROL!B4,ls,CONTROL!B5,SUMPRODUCT(--(tblChainRaw[Strike Price]=A188),--(tblChainRaw[Option Type]="PE"),tblChainRaw[Open Interest],GREEKS!L4:L2003)*s^2*ls)</f>
        <v/>
      </c>
      <c r="F188" s="31">
        <f>D188-E188</f>
        <v/>
      </c>
      <c r="G188" s="31">
        <f>LET(ls,CONTROL!B5,SUMPRODUCT(--(tblChainRaw[Strike Price]=A188),--(tblChainRaw[Option Type]="CE"),tblChainRaw[Open Interest],GREEKS!M4:M2003)*ls)</f>
        <v/>
      </c>
      <c r="H188" s="31">
        <f>LET(ls,CONTROL!B5,SUMPRODUCT(--(tblChainRaw[Strike Price]=A188),--(tblChainRaw[Option Type]="PE"),tblChainRaw[Open Interest],GREEKS!M4:M2003)*ls)</f>
        <v/>
      </c>
      <c r="I188" s="31">
        <f>G188+H188</f>
        <v/>
      </c>
    </row>
    <row r="189">
      <c r="A189" s="31">
        <f>IF(CHAIN_CALC!B5="","",CHAIN_CALC!B5+(85)*CONTROL!B6)</f>
        <v/>
      </c>
      <c r="B189" s="31">
        <f>SUMIFS(tblChainRaw[Open Interest],tblChainRaw[Strike Price],A189,tblChainRaw[Option Type],"CE")</f>
        <v/>
      </c>
      <c r="C189" s="31">
        <f>SUMIFS(tblChainRaw[Open Interest],tblChainRaw[Strike Price],A189,tblChainRaw[Option Type],"PE")</f>
        <v/>
      </c>
      <c r="D189" s="31">
        <f>LET(s,CONTROL!B4,ls,CONTROL!B5,SUMPRODUCT(--(tblChainRaw[Strike Price]=A189),--(tblChainRaw[Option Type]="CE"),tblChainRaw[Open Interest],GREEKS!L4:L2003)*s^2*ls)</f>
        <v/>
      </c>
      <c r="E189" s="31">
        <f>LET(s,CONTROL!B4,ls,CONTROL!B5,SUMPRODUCT(--(tblChainRaw[Strike Price]=A189),--(tblChainRaw[Option Type]="PE"),tblChainRaw[Open Interest],GREEKS!L4:L2003)*s^2*ls)</f>
        <v/>
      </c>
      <c r="F189" s="31">
        <f>D189-E189</f>
        <v/>
      </c>
      <c r="G189" s="31">
        <f>LET(ls,CONTROL!B5,SUMPRODUCT(--(tblChainRaw[Strike Price]=A189),--(tblChainRaw[Option Type]="CE"),tblChainRaw[Open Interest],GREEKS!M4:M2003)*ls)</f>
        <v/>
      </c>
      <c r="H189" s="31">
        <f>LET(ls,CONTROL!B5,SUMPRODUCT(--(tblChainRaw[Strike Price]=A189),--(tblChainRaw[Option Type]="PE"),tblChainRaw[Open Interest],GREEKS!M4:M2003)*ls)</f>
        <v/>
      </c>
      <c r="I189" s="31">
        <f>G189+H189</f>
        <v/>
      </c>
    </row>
    <row r="190">
      <c r="A190" s="31">
        <f>IF(CHAIN_CALC!B5="","",CHAIN_CALC!B5+(86)*CONTROL!B6)</f>
        <v/>
      </c>
      <c r="B190" s="31">
        <f>SUMIFS(tblChainRaw[Open Interest],tblChainRaw[Strike Price],A190,tblChainRaw[Option Type],"CE")</f>
        <v/>
      </c>
      <c r="C190" s="31">
        <f>SUMIFS(tblChainRaw[Open Interest],tblChainRaw[Strike Price],A190,tblChainRaw[Option Type],"PE")</f>
        <v/>
      </c>
      <c r="D190" s="31">
        <f>LET(s,CONTROL!B4,ls,CONTROL!B5,SUMPRODUCT(--(tblChainRaw[Strike Price]=A190),--(tblChainRaw[Option Type]="CE"),tblChainRaw[Open Interest],GREEKS!L4:L2003)*s^2*ls)</f>
        <v/>
      </c>
      <c r="E190" s="31">
        <f>LET(s,CONTROL!B4,ls,CONTROL!B5,SUMPRODUCT(--(tblChainRaw[Strike Price]=A190),--(tblChainRaw[Option Type]="PE"),tblChainRaw[Open Interest],GREEKS!L4:L2003)*s^2*ls)</f>
        <v/>
      </c>
      <c r="F190" s="31">
        <f>D190-E190</f>
        <v/>
      </c>
      <c r="G190" s="31">
        <f>LET(ls,CONTROL!B5,SUMPRODUCT(--(tblChainRaw[Strike Price]=A190),--(tblChainRaw[Option Type]="CE"),tblChainRaw[Open Interest],GREEKS!M4:M2003)*ls)</f>
        <v/>
      </c>
      <c r="H190" s="31">
        <f>LET(ls,CONTROL!B5,SUMPRODUCT(--(tblChainRaw[Strike Price]=A190),--(tblChainRaw[Option Type]="PE"),tblChainRaw[Open Interest],GREEKS!M4:M2003)*ls)</f>
        <v/>
      </c>
      <c r="I190" s="31">
        <f>G190+H190</f>
        <v/>
      </c>
    </row>
    <row r="191">
      <c r="A191" s="31">
        <f>IF(CHAIN_CALC!B5="","",CHAIN_CALC!B5+(87)*CONTROL!B6)</f>
        <v/>
      </c>
      <c r="B191" s="31">
        <f>SUMIFS(tblChainRaw[Open Interest],tblChainRaw[Strike Price],A191,tblChainRaw[Option Type],"CE")</f>
        <v/>
      </c>
      <c r="C191" s="31">
        <f>SUMIFS(tblChainRaw[Open Interest],tblChainRaw[Strike Price],A191,tblChainRaw[Option Type],"PE")</f>
        <v/>
      </c>
      <c r="D191" s="31">
        <f>LET(s,CONTROL!B4,ls,CONTROL!B5,SUMPRODUCT(--(tblChainRaw[Strike Price]=A191),--(tblChainRaw[Option Type]="CE"),tblChainRaw[Open Interest],GREEKS!L4:L2003)*s^2*ls)</f>
        <v/>
      </c>
      <c r="E191" s="31">
        <f>LET(s,CONTROL!B4,ls,CONTROL!B5,SUMPRODUCT(--(tblChainRaw[Strike Price]=A191),--(tblChainRaw[Option Type]="PE"),tblChainRaw[Open Interest],GREEKS!L4:L2003)*s^2*ls)</f>
        <v/>
      </c>
      <c r="F191" s="31">
        <f>D191-E191</f>
        <v/>
      </c>
      <c r="G191" s="31">
        <f>LET(ls,CONTROL!B5,SUMPRODUCT(--(tblChainRaw[Strike Price]=A191),--(tblChainRaw[Option Type]="CE"),tblChainRaw[Open Interest],GREEKS!M4:M2003)*ls)</f>
        <v/>
      </c>
      <c r="H191" s="31">
        <f>LET(ls,CONTROL!B5,SUMPRODUCT(--(tblChainRaw[Strike Price]=A191),--(tblChainRaw[Option Type]="PE"),tblChainRaw[Open Interest],GREEKS!M4:M2003)*ls)</f>
        <v/>
      </c>
      <c r="I191" s="31">
        <f>G191+H191</f>
        <v/>
      </c>
    </row>
    <row r="192">
      <c r="A192" s="31">
        <f>IF(CHAIN_CALC!B5="","",CHAIN_CALC!B5+(88)*CONTROL!B6)</f>
        <v/>
      </c>
      <c r="B192" s="31">
        <f>SUMIFS(tblChainRaw[Open Interest],tblChainRaw[Strike Price],A192,tblChainRaw[Option Type],"CE")</f>
        <v/>
      </c>
      <c r="C192" s="31">
        <f>SUMIFS(tblChainRaw[Open Interest],tblChainRaw[Strike Price],A192,tblChainRaw[Option Type],"PE")</f>
        <v/>
      </c>
      <c r="D192" s="31">
        <f>LET(s,CONTROL!B4,ls,CONTROL!B5,SUMPRODUCT(--(tblChainRaw[Strike Price]=A192),--(tblChainRaw[Option Type]="CE"),tblChainRaw[Open Interest],GREEKS!L4:L2003)*s^2*ls)</f>
        <v/>
      </c>
      <c r="E192" s="31">
        <f>LET(s,CONTROL!B4,ls,CONTROL!B5,SUMPRODUCT(--(tblChainRaw[Strike Price]=A192),--(tblChainRaw[Option Type]="PE"),tblChainRaw[Open Interest],GREEKS!L4:L2003)*s^2*ls)</f>
        <v/>
      </c>
      <c r="F192" s="31">
        <f>D192-E192</f>
        <v/>
      </c>
      <c r="G192" s="31">
        <f>LET(ls,CONTROL!B5,SUMPRODUCT(--(tblChainRaw[Strike Price]=A192),--(tblChainRaw[Option Type]="CE"),tblChainRaw[Open Interest],GREEKS!M4:M2003)*ls)</f>
        <v/>
      </c>
      <c r="H192" s="31">
        <f>LET(ls,CONTROL!B5,SUMPRODUCT(--(tblChainRaw[Strike Price]=A192),--(tblChainRaw[Option Type]="PE"),tblChainRaw[Open Interest],GREEKS!M4:M2003)*ls)</f>
        <v/>
      </c>
      <c r="I192" s="31">
        <f>G192+H192</f>
        <v/>
      </c>
    </row>
    <row r="193">
      <c r="A193" s="31">
        <f>IF(CHAIN_CALC!B5="","",CHAIN_CALC!B5+(89)*CONTROL!B6)</f>
        <v/>
      </c>
      <c r="B193" s="31">
        <f>SUMIFS(tblChainRaw[Open Interest],tblChainRaw[Strike Price],A193,tblChainRaw[Option Type],"CE")</f>
        <v/>
      </c>
      <c r="C193" s="31">
        <f>SUMIFS(tblChainRaw[Open Interest],tblChainRaw[Strike Price],A193,tblChainRaw[Option Type],"PE")</f>
        <v/>
      </c>
      <c r="D193" s="31">
        <f>LET(s,CONTROL!B4,ls,CONTROL!B5,SUMPRODUCT(--(tblChainRaw[Strike Price]=A193),--(tblChainRaw[Option Type]="CE"),tblChainRaw[Open Interest],GREEKS!L4:L2003)*s^2*ls)</f>
        <v/>
      </c>
      <c r="E193" s="31">
        <f>LET(s,CONTROL!B4,ls,CONTROL!B5,SUMPRODUCT(--(tblChainRaw[Strike Price]=A193),--(tblChainRaw[Option Type]="PE"),tblChainRaw[Open Interest],GREEKS!L4:L2003)*s^2*ls)</f>
        <v/>
      </c>
      <c r="F193" s="31">
        <f>D193-E193</f>
        <v/>
      </c>
      <c r="G193" s="31">
        <f>LET(ls,CONTROL!B5,SUMPRODUCT(--(tblChainRaw[Strike Price]=A193),--(tblChainRaw[Option Type]="CE"),tblChainRaw[Open Interest],GREEKS!M4:M2003)*ls)</f>
        <v/>
      </c>
      <c r="H193" s="31">
        <f>LET(ls,CONTROL!B5,SUMPRODUCT(--(tblChainRaw[Strike Price]=A193),--(tblChainRaw[Option Type]="PE"),tblChainRaw[Open Interest],GREEKS!M4:M2003)*ls)</f>
        <v/>
      </c>
      <c r="I193" s="31">
        <f>G193+H193</f>
        <v/>
      </c>
    </row>
    <row r="194">
      <c r="A194" s="31">
        <f>IF(CHAIN_CALC!B5="","",CHAIN_CALC!B5+(90)*CONTROL!B6)</f>
        <v/>
      </c>
      <c r="B194" s="31">
        <f>SUMIFS(tblChainRaw[Open Interest],tblChainRaw[Strike Price],A194,tblChainRaw[Option Type],"CE")</f>
        <v/>
      </c>
      <c r="C194" s="31">
        <f>SUMIFS(tblChainRaw[Open Interest],tblChainRaw[Strike Price],A194,tblChainRaw[Option Type],"PE")</f>
        <v/>
      </c>
      <c r="D194" s="31">
        <f>LET(s,CONTROL!B4,ls,CONTROL!B5,SUMPRODUCT(--(tblChainRaw[Strike Price]=A194),--(tblChainRaw[Option Type]="CE"),tblChainRaw[Open Interest],GREEKS!L4:L2003)*s^2*ls)</f>
        <v/>
      </c>
      <c r="E194" s="31">
        <f>LET(s,CONTROL!B4,ls,CONTROL!B5,SUMPRODUCT(--(tblChainRaw[Strike Price]=A194),--(tblChainRaw[Option Type]="PE"),tblChainRaw[Open Interest],GREEKS!L4:L2003)*s^2*ls)</f>
        <v/>
      </c>
      <c r="F194" s="31">
        <f>D194-E194</f>
        <v/>
      </c>
      <c r="G194" s="31">
        <f>LET(ls,CONTROL!B5,SUMPRODUCT(--(tblChainRaw[Strike Price]=A194),--(tblChainRaw[Option Type]="CE"),tblChainRaw[Open Interest],GREEKS!M4:M2003)*ls)</f>
        <v/>
      </c>
      <c r="H194" s="31">
        <f>LET(ls,CONTROL!B5,SUMPRODUCT(--(tblChainRaw[Strike Price]=A194),--(tblChainRaw[Option Type]="PE"),tblChainRaw[Open Interest],GREEKS!M4:M2003)*ls)</f>
        <v/>
      </c>
      <c r="I194" s="31">
        <f>G194+H194</f>
        <v/>
      </c>
    </row>
    <row r="195">
      <c r="A195" s="31">
        <f>IF(CHAIN_CALC!B5="","",CHAIN_CALC!B5+(91)*CONTROL!B6)</f>
        <v/>
      </c>
      <c r="B195" s="31">
        <f>SUMIFS(tblChainRaw[Open Interest],tblChainRaw[Strike Price],A195,tblChainRaw[Option Type],"CE")</f>
        <v/>
      </c>
      <c r="C195" s="31">
        <f>SUMIFS(tblChainRaw[Open Interest],tblChainRaw[Strike Price],A195,tblChainRaw[Option Type],"PE")</f>
        <v/>
      </c>
      <c r="D195" s="31">
        <f>LET(s,CONTROL!B4,ls,CONTROL!B5,SUMPRODUCT(--(tblChainRaw[Strike Price]=A195),--(tblChainRaw[Option Type]="CE"),tblChainRaw[Open Interest],GREEKS!L4:L2003)*s^2*ls)</f>
        <v/>
      </c>
      <c r="E195" s="31">
        <f>LET(s,CONTROL!B4,ls,CONTROL!B5,SUMPRODUCT(--(tblChainRaw[Strike Price]=A195),--(tblChainRaw[Option Type]="PE"),tblChainRaw[Open Interest],GREEKS!L4:L2003)*s^2*ls)</f>
        <v/>
      </c>
      <c r="F195" s="31">
        <f>D195-E195</f>
        <v/>
      </c>
      <c r="G195" s="31">
        <f>LET(ls,CONTROL!B5,SUMPRODUCT(--(tblChainRaw[Strike Price]=A195),--(tblChainRaw[Option Type]="CE"),tblChainRaw[Open Interest],GREEKS!M4:M2003)*ls)</f>
        <v/>
      </c>
      <c r="H195" s="31">
        <f>LET(ls,CONTROL!B5,SUMPRODUCT(--(tblChainRaw[Strike Price]=A195),--(tblChainRaw[Option Type]="PE"),tblChainRaw[Open Interest],GREEKS!M4:M2003)*ls)</f>
        <v/>
      </c>
      <c r="I195" s="31">
        <f>G195+H195</f>
        <v/>
      </c>
    </row>
    <row r="196">
      <c r="A196" s="31">
        <f>IF(CHAIN_CALC!B5="","",CHAIN_CALC!B5+(92)*CONTROL!B6)</f>
        <v/>
      </c>
      <c r="B196" s="31">
        <f>SUMIFS(tblChainRaw[Open Interest],tblChainRaw[Strike Price],A196,tblChainRaw[Option Type],"CE")</f>
        <v/>
      </c>
      <c r="C196" s="31">
        <f>SUMIFS(tblChainRaw[Open Interest],tblChainRaw[Strike Price],A196,tblChainRaw[Option Type],"PE")</f>
        <v/>
      </c>
      <c r="D196" s="31">
        <f>LET(s,CONTROL!B4,ls,CONTROL!B5,SUMPRODUCT(--(tblChainRaw[Strike Price]=A196),--(tblChainRaw[Option Type]="CE"),tblChainRaw[Open Interest],GREEKS!L4:L2003)*s^2*ls)</f>
        <v/>
      </c>
      <c r="E196" s="31">
        <f>LET(s,CONTROL!B4,ls,CONTROL!B5,SUMPRODUCT(--(tblChainRaw[Strike Price]=A196),--(tblChainRaw[Option Type]="PE"),tblChainRaw[Open Interest],GREEKS!L4:L2003)*s^2*ls)</f>
        <v/>
      </c>
      <c r="F196" s="31">
        <f>D196-E196</f>
        <v/>
      </c>
      <c r="G196" s="31">
        <f>LET(ls,CONTROL!B5,SUMPRODUCT(--(tblChainRaw[Strike Price]=A196),--(tblChainRaw[Option Type]="CE"),tblChainRaw[Open Interest],GREEKS!M4:M2003)*ls)</f>
        <v/>
      </c>
      <c r="H196" s="31">
        <f>LET(ls,CONTROL!B5,SUMPRODUCT(--(tblChainRaw[Strike Price]=A196),--(tblChainRaw[Option Type]="PE"),tblChainRaw[Open Interest],GREEKS!M4:M2003)*ls)</f>
        <v/>
      </c>
      <c r="I196" s="31">
        <f>G196+H196</f>
        <v/>
      </c>
    </row>
    <row r="197">
      <c r="A197" s="31">
        <f>IF(CHAIN_CALC!B5="","",CHAIN_CALC!B5+(93)*CONTROL!B6)</f>
        <v/>
      </c>
      <c r="B197" s="31">
        <f>SUMIFS(tblChainRaw[Open Interest],tblChainRaw[Strike Price],A197,tblChainRaw[Option Type],"CE")</f>
        <v/>
      </c>
      <c r="C197" s="31">
        <f>SUMIFS(tblChainRaw[Open Interest],tblChainRaw[Strike Price],A197,tblChainRaw[Option Type],"PE")</f>
        <v/>
      </c>
      <c r="D197" s="31">
        <f>LET(s,CONTROL!B4,ls,CONTROL!B5,SUMPRODUCT(--(tblChainRaw[Strike Price]=A197),--(tblChainRaw[Option Type]="CE"),tblChainRaw[Open Interest],GREEKS!L4:L2003)*s^2*ls)</f>
        <v/>
      </c>
      <c r="E197" s="31">
        <f>LET(s,CONTROL!B4,ls,CONTROL!B5,SUMPRODUCT(--(tblChainRaw[Strike Price]=A197),--(tblChainRaw[Option Type]="PE"),tblChainRaw[Open Interest],GREEKS!L4:L2003)*s^2*ls)</f>
        <v/>
      </c>
      <c r="F197" s="31">
        <f>D197-E197</f>
        <v/>
      </c>
      <c r="G197" s="31">
        <f>LET(ls,CONTROL!B5,SUMPRODUCT(--(tblChainRaw[Strike Price]=A197),--(tblChainRaw[Option Type]="CE"),tblChainRaw[Open Interest],GREEKS!M4:M2003)*ls)</f>
        <v/>
      </c>
      <c r="H197" s="31">
        <f>LET(ls,CONTROL!B5,SUMPRODUCT(--(tblChainRaw[Strike Price]=A197),--(tblChainRaw[Option Type]="PE"),tblChainRaw[Open Interest],GREEKS!M4:M2003)*ls)</f>
        <v/>
      </c>
      <c r="I197" s="31">
        <f>G197+H197</f>
        <v/>
      </c>
    </row>
    <row r="198">
      <c r="A198" s="31">
        <f>IF(CHAIN_CALC!B5="","",CHAIN_CALC!B5+(94)*CONTROL!B6)</f>
        <v/>
      </c>
      <c r="B198" s="31">
        <f>SUMIFS(tblChainRaw[Open Interest],tblChainRaw[Strike Price],A198,tblChainRaw[Option Type],"CE")</f>
        <v/>
      </c>
      <c r="C198" s="31">
        <f>SUMIFS(tblChainRaw[Open Interest],tblChainRaw[Strike Price],A198,tblChainRaw[Option Type],"PE")</f>
        <v/>
      </c>
      <c r="D198" s="31">
        <f>LET(s,CONTROL!B4,ls,CONTROL!B5,SUMPRODUCT(--(tblChainRaw[Strike Price]=A198),--(tblChainRaw[Option Type]="CE"),tblChainRaw[Open Interest],GREEKS!L4:L2003)*s^2*ls)</f>
        <v/>
      </c>
      <c r="E198" s="31">
        <f>LET(s,CONTROL!B4,ls,CONTROL!B5,SUMPRODUCT(--(tblChainRaw[Strike Price]=A198),--(tblChainRaw[Option Type]="PE"),tblChainRaw[Open Interest],GREEKS!L4:L2003)*s^2*ls)</f>
        <v/>
      </c>
      <c r="F198" s="31">
        <f>D198-E198</f>
        <v/>
      </c>
      <c r="G198" s="31">
        <f>LET(ls,CONTROL!B5,SUMPRODUCT(--(tblChainRaw[Strike Price]=A198),--(tblChainRaw[Option Type]="CE"),tblChainRaw[Open Interest],GREEKS!M4:M2003)*ls)</f>
        <v/>
      </c>
      <c r="H198" s="31">
        <f>LET(ls,CONTROL!B5,SUMPRODUCT(--(tblChainRaw[Strike Price]=A198),--(tblChainRaw[Option Type]="PE"),tblChainRaw[Open Interest],GREEKS!M4:M2003)*ls)</f>
        <v/>
      </c>
      <c r="I198" s="31">
        <f>G198+H198</f>
        <v/>
      </c>
    </row>
    <row r="199">
      <c r="A199" s="31">
        <f>IF(CHAIN_CALC!B5="","",CHAIN_CALC!B5+(95)*CONTROL!B6)</f>
        <v/>
      </c>
      <c r="B199" s="31">
        <f>SUMIFS(tblChainRaw[Open Interest],tblChainRaw[Strike Price],A199,tblChainRaw[Option Type],"CE")</f>
        <v/>
      </c>
      <c r="C199" s="31">
        <f>SUMIFS(tblChainRaw[Open Interest],tblChainRaw[Strike Price],A199,tblChainRaw[Option Type],"PE")</f>
        <v/>
      </c>
      <c r="D199" s="31">
        <f>LET(s,CONTROL!B4,ls,CONTROL!B5,SUMPRODUCT(--(tblChainRaw[Strike Price]=A199),--(tblChainRaw[Option Type]="CE"),tblChainRaw[Open Interest],GREEKS!L4:L2003)*s^2*ls)</f>
        <v/>
      </c>
      <c r="E199" s="31">
        <f>LET(s,CONTROL!B4,ls,CONTROL!B5,SUMPRODUCT(--(tblChainRaw[Strike Price]=A199),--(tblChainRaw[Option Type]="PE"),tblChainRaw[Open Interest],GREEKS!L4:L2003)*s^2*ls)</f>
        <v/>
      </c>
      <c r="F199" s="31">
        <f>D199-E199</f>
        <v/>
      </c>
      <c r="G199" s="31">
        <f>LET(ls,CONTROL!B5,SUMPRODUCT(--(tblChainRaw[Strike Price]=A199),--(tblChainRaw[Option Type]="CE"),tblChainRaw[Open Interest],GREEKS!M4:M2003)*ls)</f>
        <v/>
      </c>
      <c r="H199" s="31">
        <f>LET(ls,CONTROL!B5,SUMPRODUCT(--(tblChainRaw[Strike Price]=A199),--(tblChainRaw[Option Type]="PE"),tblChainRaw[Open Interest],GREEKS!M4:M2003)*ls)</f>
        <v/>
      </c>
      <c r="I199" s="31">
        <f>G199+H199</f>
        <v/>
      </c>
    </row>
    <row r="200">
      <c r="A200" s="31">
        <f>IF(CHAIN_CALC!B5="","",CHAIN_CALC!B5+(96)*CONTROL!B6)</f>
        <v/>
      </c>
      <c r="B200" s="31">
        <f>SUMIFS(tblChainRaw[Open Interest],tblChainRaw[Strike Price],A200,tblChainRaw[Option Type],"CE")</f>
        <v/>
      </c>
      <c r="C200" s="31">
        <f>SUMIFS(tblChainRaw[Open Interest],tblChainRaw[Strike Price],A200,tblChainRaw[Option Type],"PE")</f>
        <v/>
      </c>
      <c r="D200" s="31">
        <f>LET(s,CONTROL!B4,ls,CONTROL!B5,SUMPRODUCT(--(tblChainRaw[Strike Price]=A200),--(tblChainRaw[Option Type]="CE"),tblChainRaw[Open Interest],GREEKS!L4:L2003)*s^2*ls)</f>
        <v/>
      </c>
      <c r="E200" s="31">
        <f>LET(s,CONTROL!B4,ls,CONTROL!B5,SUMPRODUCT(--(tblChainRaw[Strike Price]=A200),--(tblChainRaw[Option Type]="PE"),tblChainRaw[Open Interest],GREEKS!L4:L2003)*s^2*ls)</f>
        <v/>
      </c>
      <c r="F200" s="31">
        <f>D200-E200</f>
        <v/>
      </c>
      <c r="G200" s="31">
        <f>LET(ls,CONTROL!B5,SUMPRODUCT(--(tblChainRaw[Strike Price]=A200),--(tblChainRaw[Option Type]="CE"),tblChainRaw[Open Interest],GREEKS!M4:M2003)*ls)</f>
        <v/>
      </c>
      <c r="H200" s="31">
        <f>LET(ls,CONTROL!B5,SUMPRODUCT(--(tblChainRaw[Strike Price]=A200),--(tblChainRaw[Option Type]="PE"),tblChainRaw[Open Interest],GREEKS!M4:M2003)*ls)</f>
        <v/>
      </c>
      <c r="I200" s="31">
        <f>G200+H200</f>
        <v/>
      </c>
    </row>
    <row r="201">
      <c r="A201" s="31">
        <f>IF(CHAIN_CALC!B5="","",CHAIN_CALC!B5+(97)*CONTROL!B6)</f>
        <v/>
      </c>
      <c r="B201" s="31">
        <f>SUMIFS(tblChainRaw[Open Interest],tblChainRaw[Strike Price],A201,tblChainRaw[Option Type],"CE")</f>
        <v/>
      </c>
      <c r="C201" s="31">
        <f>SUMIFS(tblChainRaw[Open Interest],tblChainRaw[Strike Price],A201,tblChainRaw[Option Type],"PE")</f>
        <v/>
      </c>
      <c r="D201" s="31">
        <f>LET(s,CONTROL!B4,ls,CONTROL!B5,SUMPRODUCT(--(tblChainRaw[Strike Price]=A201),--(tblChainRaw[Option Type]="CE"),tblChainRaw[Open Interest],GREEKS!L4:L2003)*s^2*ls)</f>
        <v/>
      </c>
      <c r="E201" s="31">
        <f>LET(s,CONTROL!B4,ls,CONTROL!B5,SUMPRODUCT(--(tblChainRaw[Strike Price]=A201),--(tblChainRaw[Option Type]="PE"),tblChainRaw[Open Interest],GREEKS!L4:L2003)*s^2*ls)</f>
        <v/>
      </c>
      <c r="F201" s="31">
        <f>D201-E201</f>
        <v/>
      </c>
      <c r="G201" s="31">
        <f>LET(ls,CONTROL!B5,SUMPRODUCT(--(tblChainRaw[Strike Price]=A201),--(tblChainRaw[Option Type]="CE"),tblChainRaw[Open Interest],GREEKS!M4:M2003)*ls)</f>
        <v/>
      </c>
      <c r="H201" s="31">
        <f>LET(ls,CONTROL!B5,SUMPRODUCT(--(tblChainRaw[Strike Price]=A201),--(tblChainRaw[Option Type]="PE"),tblChainRaw[Open Interest],GREEKS!M4:M2003)*ls)</f>
        <v/>
      </c>
      <c r="I201" s="31">
        <f>G201+H201</f>
        <v/>
      </c>
    </row>
    <row r="202">
      <c r="A202" s="31">
        <f>IF(CHAIN_CALC!B5="","",CHAIN_CALC!B5+(98)*CONTROL!B6)</f>
        <v/>
      </c>
      <c r="B202" s="31">
        <f>SUMIFS(tblChainRaw[Open Interest],tblChainRaw[Strike Price],A202,tblChainRaw[Option Type],"CE")</f>
        <v/>
      </c>
      <c r="C202" s="31">
        <f>SUMIFS(tblChainRaw[Open Interest],tblChainRaw[Strike Price],A202,tblChainRaw[Option Type],"PE")</f>
        <v/>
      </c>
      <c r="D202" s="31">
        <f>LET(s,CONTROL!B4,ls,CONTROL!B5,SUMPRODUCT(--(tblChainRaw[Strike Price]=A202),--(tblChainRaw[Option Type]="CE"),tblChainRaw[Open Interest],GREEKS!L4:L2003)*s^2*ls)</f>
        <v/>
      </c>
      <c r="E202" s="31">
        <f>LET(s,CONTROL!B4,ls,CONTROL!B5,SUMPRODUCT(--(tblChainRaw[Strike Price]=A202),--(tblChainRaw[Option Type]="PE"),tblChainRaw[Open Interest],GREEKS!L4:L2003)*s^2*ls)</f>
        <v/>
      </c>
      <c r="F202" s="31">
        <f>D202-E202</f>
        <v/>
      </c>
      <c r="G202" s="31">
        <f>LET(ls,CONTROL!B5,SUMPRODUCT(--(tblChainRaw[Strike Price]=A202),--(tblChainRaw[Option Type]="CE"),tblChainRaw[Open Interest],GREEKS!M4:M2003)*ls)</f>
        <v/>
      </c>
      <c r="H202" s="31">
        <f>LET(ls,CONTROL!B5,SUMPRODUCT(--(tblChainRaw[Strike Price]=A202),--(tblChainRaw[Option Type]="PE"),tblChainRaw[Open Interest],GREEKS!M4:M2003)*ls)</f>
        <v/>
      </c>
      <c r="I202" s="31">
        <f>G202+H202</f>
        <v/>
      </c>
    </row>
    <row r="203">
      <c r="A203" s="31">
        <f>IF(CHAIN_CALC!B5="","",CHAIN_CALC!B5+(99)*CONTROL!B6)</f>
        <v/>
      </c>
      <c r="B203" s="31">
        <f>SUMIFS(tblChainRaw[Open Interest],tblChainRaw[Strike Price],A203,tblChainRaw[Option Type],"CE")</f>
        <v/>
      </c>
      <c r="C203" s="31">
        <f>SUMIFS(tblChainRaw[Open Interest],tblChainRaw[Strike Price],A203,tblChainRaw[Option Type],"PE")</f>
        <v/>
      </c>
      <c r="D203" s="31">
        <f>LET(s,CONTROL!B4,ls,CONTROL!B5,SUMPRODUCT(--(tblChainRaw[Strike Price]=A203),--(tblChainRaw[Option Type]="CE"),tblChainRaw[Open Interest],GREEKS!L4:L2003)*s^2*ls)</f>
        <v/>
      </c>
      <c r="E203" s="31">
        <f>LET(s,CONTROL!B4,ls,CONTROL!B5,SUMPRODUCT(--(tblChainRaw[Strike Price]=A203),--(tblChainRaw[Option Type]="PE"),tblChainRaw[Open Interest],GREEKS!L4:L2003)*s^2*ls)</f>
        <v/>
      </c>
      <c r="F203" s="31">
        <f>D203-E203</f>
        <v/>
      </c>
      <c r="G203" s="31">
        <f>LET(ls,CONTROL!B5,SUMPRODUCT(--(tblChainRaw[Strike Price]=A203),--(tblChainRaw[Option Type]="CE"),tblChainRaw[Open Interest],GREEKS!M4:M2003)*ls)</f>
        <v/>
      </c>
      <c r="H203" s="31">
        <f>LET(ls,CONTROL!B5,SUMPRODUCT(--(tblChainRaw[Strike Price]=A203),--(tblChainRaw[Option Type]="PE"),tblChainRaw[Open Interest],GREEKS!M4:M2003)*ls)</f>
        <v/>
      </c>
      <c r="I203" s="31">
        <f>G203+H203</f>
        <v/>
      </c>
    </row>
    <row r="204">
      <c r="A204" s="31">
        <f>IF(CHAIN_CALC!B5="","",CHAIN_CALC!B5+(100)*CONTROL!B6)</f>
        <v/>
      </c>
      <c r="B204" s="31">
        <f>SUMIFS(tblChainRaw[Open Interest],tblChainRaw[Strike Price],A204,tblChainRaw[Option Type],"CE")</f>
        <v/>
      </c>
      <c r="C204" s="31">
        <f>SUMIFS(tblChainRaw[Open Interest],tblChainRaw[Strike Price],A204,tblChainRaw[Option Type],"PE")</f>
        <v/>
      </c>
      <c r="D204" s="31">
        <f>LET(s,CONTROL!B4,ls,CONTROL!B5,SUMPRODUCT(--(tblChainRaw[Strike Price]=A204),--(tblChainRaw[Option Type]="CE"),tblChainRaw[Open Interest],GREEKS!L4:L2003)*s^2*ls)</f>
        <v/>
      </c>
      <c r="E204" s="31">
        <f>LET(s,CONTROL!B4,ls,CONTROL!B5,SUMPRODUCT(--(tblChainRaw[Strike Price]=A204),--(tblChainRaw[Option Type]="PE"),tblChainRaw[Open Interest],GREEKS!L4:L2003)*s^2*ls)</f>
        <v/>
      </c>
      <c r="F204" s="31">
        <f>D204-E204</f>
        <v/>
      </c>
      <c r="G204" s="31">
        <f>LET(ls,CONTROL!B5,SUMPRODUCT(--(tblChainRaw[Strike Price]=A204),--(tblChainRaw[Option Type]="CE"),tblChainRaw[Open Interest],GREEKS!M4:M2003)*ls)</f>
        <v/>
      </c>
      <c r="H204" s="31">
        <f>LET(ls,CONTROL!B5,SUMPRODUCT(--(tblChainRaw[Strike Price]=A204),--(tblChainRaw[Option Type]="PE"),tblChainRaw[Open Interest],GREEKS!M4:M2003)*ls)</f>
        <v/>
      </c>
      <c r="I204" s="31">
        <f>G204+H204</f>
        <v/>
      </c>
    </row>
    <row r="210">
      <c r="A210" s="26" t="inlineStr">
        <is>
          <t>Max |Net Gamma| Strike</t>
        </is>
      </c>
      <c r="B210" s="27">
        <f>LET(x,A4:A204,y,ABS(F4:F204),XLOOKUP(MAX(y),y,x))</f>
        <v/>
      </c>
    </row>
    <row r="211">
      <c r="A211" s="26" t="inlineStr">
        <is>
          <t>Max Theta Decay Strike (most negative)</t>
        </is>
      </c>
      <c r="B211" s="27">
        <f>LET(x,A4:A204,y,I4:I204,XLOOKUP(MIN(y),y,x))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STRIKE_HEATMAP — Visual bands (v3)</t>
        </is>
      </c>
    </row>
    <row r="3">
      <c r="A3" s="25" t="inlineStr">
        <is>
          <t>Strike</t>
        </is>
      </c>
      <c r="B3" s="25" t="inlineStr">
        <is>
          <t>CE OI</t>
        </is>
      </c>
      <c r="C3" s="25" t="inlineStr">
        <is>
          <t>PE OI</t>
        </is>
      </c>
      <c r="D3" s="25" t="inlineStr">
        <is>
          <t>OI Δ CE</t>
        </is>
      </c>
      <c r="E3" s="25" t="inlineStr">
        <is>
          <t>OI Δ PE</t>
        </is>
      </c>
      <c r="F3" s="25" t="inlineStr">
        <is>
          <t>Net OI Tilt</t>
        </is>
      </c>
      <c r="G3" s="25" t="inlineStr">
        <is>
          <t>Net GammaExp</t>
        </is>
      </c>
      <c r="H3" s="25" t="inlineStr">
        <is>
          <t>Net ThetaExp/day</t>
        </is>
      </c>
      <c r="I3" s="25" t="inlineStr">
        <is>
          <t>Support/Resist Flag</t>
        </is>
      </c>
    </row>
    <row r="4">
      <c r="A4" s="31">
        <f>GAMMA_THETA_MAP!A4</f>
        <v/>
      </c>
      <c r="B4" s="31">
        <f>GAMMA_THETA_MAP!B4</f>
        <v/>
      </c>
      <c r="C4" s="31">
        <f>GAMMA_THETA_MAP!C4</f>
        <v/>
      </c>
      <c r="D4" s="31">
        <f>SUMIFS(tblChainRaw[OI Change],tblChainRaw[Strike Price],A4,tblChainRaw[Option Type],"CE")</f>
        <v/>
      </c>
      <c r="E4" s="31">
        <f>SUMIFS(tblChainRaw[OI Change],tblChainRaw[Strike Price],A4,tblChainRaw[Option Type],"PE")</f>
        <v/>
      </c>
      <c r="F4" s="31">
        <f>IF(OR(B4="",C4=""),"",(C4-B4)/(C4+B4))</f>
        <v/>
      </c>
      <c r="G4" s="31">
        <f>GAMMA_THETA_MAP!F4</f>
        <v/>
      </c>
      <c r="H4" s="31">
        <f>GAMMA_THETA_MAP!I4</f>
        <v/>
      </c>
      <c r="I4" s="31">
        <f>IF(OR(B4="",C4=""),"",IF(C4&gt;B4*1.2,"Support",IF(B4&gt;C4*1.2,"Resistance","")))</f>
        <v/>
      </c>
    </row>
    <row r="5">
      <c r="A5" s="31">
        <f>GAMMA_THETA_MAP!A5</f>
        <v/>
      </c>
      <c r="B5" s="31">
        <f>GAMMA_THETA_MAP!B5</f>
        <v/>
      </c>
      <c r="C5" s="31">
        <f>GAMMA_THETA_MAP!C5</f>
        <v/>
      </c>
      <c r="D5" s="31">
        <f>SUMIFS(tblChainRaw[OI Change],tblChainRaw[Strike Price],A5,tblChainRaw[Option Type],"CE")</f>
        <v/>
      </c>
      <c r="E5" s="31">
        <f>SUMIFS(tblChainRaw[OI Change],tblChainRaw[Strike Price],A5,tblChainRaw[Option Type],"PE")</f>
        <v/>
      </c>
      <c r="F5" s="31">
        <f>IF(OR(B5="",C5=""),"",(C5-B5)/(C5+B5))</f>
        <v/>
      </c>
      <c r="G5" s="31">
        <f>GAMMA_THETA_MAP!F5</f>
        <v/>
      </c>
      <c r="H5" s="31">
        <f>GAMMA_THETA_MAP!I5</f>
        <v/>
      </c>
      <c r="I5" s="31">
        <f>IF(OR(B5="",C5=""),"",IF(C5&gt;B5*1.2,"Support",IF(B5&gt;C5*1.2,"Resistance","")))</f>
        <v/>
      </c>
    </row>
    <row r="6">
      <c r="A6" s="31">
        <f>GAMMA_THETA_MAP!A6</f>
        <v/>
      </c>
      <c r="B6" s="31">
        <f>GAMMA_THETA_MAP!B6</f>
        <v/>
      </c>
      <c r="C6" s="31">
        <f>GAMMA_THETA_MAP!C6</f>
        <v/>
      </c>
      <c r="D6" s="31">
        <f>SUMIFS(tblChainRaw[OI Change],tblChainRaw[Strike Price],A6,tblChainRaw[Option Type],"CE")</f>
        <v/>
      </c>
      <c r="E6" s="31">
        <f>SUMIFS(tblChainRaw[OI Change],tblChainRaw[Strike Price],A6,tblChainRaw[Option Type],"PE")</f>
        <v/>
      </c>
      <c r="F6" s="31">
        <f>IF(OR(B6="",C6=""),"",(C6-B6)/(C6+B6))</f>
        <v/>
      </c>
      <c r="G6" s="31">
        <f>GAMMA_THETA_MAP!F6</f>
        <v/>
      </c>
      <c r="H6" s="31">
        <f>GAMMA_THETA_MAP!I6</f>
        <v/>
      </c>
      <c r="I6" s="31">
        <f>IF(OR(B6="",C6=""),"",IF(C6&gt;B6*1.2,"Support",IF(B6&gt;C6*1.2,"Resistance","")))</f>
        <v/>
      </c>
    </row>
    <row r="7">
      <c r="A7" s="31">
        <f>GAMMA_THETA_MAP!A7</f>
        <v/>
      </c>
      <c r="B7" s="31">
        <f>GAMMA_THETA_MAP!B7</f>
        <v/>
      </c>
      <c r="C7" s="31">
        <f>GAMMA_THETA_MAP!C7</f>
        <v/>
      </c>
      <c r="D7" s="31">
        <f>SUMIFS(tblChainRaw[OI Change],tblChainRaw[Strike Price],A7,tblChainRaw[Option Type],"CE")</f>
        <v/>
      </c>
      <c r="E7" s="31">
        <f>SUMIFS(tblChainRaw[OI Change],tblChainRaw[Strike Price],A7,tblChainRaw[Option Type],"PE")</f>
        <v/>
      </c>
      <c r="F7" s="31">
        <f>IF(OR(B7="",C7=""),"",(C7-B7)/(C7+B7))</f>
        <v/>
      </c>
      <c r="G7" s="31">
        <f>GAMMA_THETA_MAP!F7</f>
        <v/>
      </c>
      <c r="H7" s="31">
        <f>GAMMA_THETA_MAP!I7</f>
        <v/>
      </c>
      <c r="I7" s="31">
        <f>IF(OR(B7="",C7=""),"",IF(C7&gt;B7*1.2,"Support",IF(B7&gt;C7*1.2,"Resistance","")))</f>
        <v/>
      </c>
    </row>
    <row r="8">
      <c r="A8" s="31">
        <f>GAMMA_THETA_MAP!A8</f>
        <v/>
      </c>
      <c r="B8" s="31">
        <f>GAMMA_THETA_MAP!B8</f>
        <v/>
      </c>
      <c r="C8" s="31">
        <f>GAMMA_THETA_MAP!C8</f>
        <v/>
      </c>
      <c r="D8" s="31">
        <f>SUMIFS(tblChainRaw[OI Change],tblChainRaw[Strike Price],A8,tblChainRaw[Option Type],"CE")</f>
        <v/>
      </c>
      <c r="E8" s="31">
        <f>SUMIFS(tblChainRaw[OI Change],tblChainRaw[Strike Price],A8,tblChainRaw[Option Type],"PE")</f>
        <v/>
      </c>
      <c r="F8" s="31">
        <f>IF(OR(B8="",C8=""),"",(C8-B8)/(C8+B8))</f>
        <v/>
      </c>
      <c r="G8" s="31">
        <f>GAMMA_THETA_MAP!F8</f>
        <v/>
      </c>
      <c r="H8" s="31">
        <f>GAMMA_THETA_MAP!I8</f>
        <v/>
      </c>
      <c r="I8" s="31">
        <f>IF(OR(B8="",C8=""),"",IF(C8&gt;B8*1.2,"Support",IF(B8&gt;C8*1.2,"Resistance","")))</f>
        <v/>
      </c>
    </row>
    <row r="9">
      <c r="A9" s="31">
        <f>GAMMA_THETA_MAP!A9</f>
        <v/>
      </c>
      <c r="B9" s="31">
        <f>GAMMA_THETA_MAP!B9</f>
        <v/>
      </c>
      <c r="C9" s="31">
        <f>GAMMA_THETA_MAP!C9</f>
        <v/>
      </c>
      <c r="D9" s="31">
        <f>SUMIFS(tblChainRaw[OI Change],tblChainRaw[Strike Price],A9,tblChainRaw[Option Type],"CE")</f>
        <v/>
      </c>
      <c r="E9" s="31">
        <f>SUMIFS(tblChainRaw[OI Change],tblChainRaw[Strike Price],A9,tblChainRaw[Option Type],"PE")</f>
        <v/>
      </c>
      <c r="F9" s="31">
        <f>IF(OR(B9="",C9=""),"",(C9-B9)/(C9+B9))</f>
        <v/>
      </c>
      <c r="G9" s="31">
        <f>GAMMA_THETA_MAP!F9</f>
        <v/>
      </c>
      <c r="H9" s="31">
        <f>GAMMA_THETA_MAP!I9</f>
        <v/>
      </c>
      <c r="I9" s="31">
        <f>IF(OR(B9="",C9=""),"",IF(C9&gt;B9*1.2,"Support",IF(B9&gt;C9*1.2,"Resistance","")))</f>
        <v/>
      </c>
    </row>
    <row r="10">
      <c r="A10" s="31">
        <f>GAMMA_THETA_MAP!A10</f>
        <v/>
      </c>
      <c r="B10" s="31">
        <f>GAMMA_THETA_MAP!B10</f>
        <v/>
      </c>
      <c r="C10" s="31">
        <f>GAMMA_THETA_MAP!C10</f>
        <v/>
      </c>
      <c r="D10" s="31">
        <f>SUMIFS(tblChainRaw[OI Change],tblChainRaw[Strike Price],A10,tblChainRaw[Option Type],"CE")</f>
        <v/>
      </c>
      <c r="E10" s="31">
        <f>SUMIFS(tblChainRaw[OI Change],tblChainRaw[Strike Price],A10,tblChainRaw[Option Type],"PE")</f>
        <v/>
      </c>
      <c r="F10" s="31">
        <f>IF(OR(B10="",C10=""),"",(C10-B10)/(C10+B10))</f>
        <v/>
      </c>
      <c r="G10" s="31">
        <f>GAMMA_THETA_MAP!F10</f>
        <v/>
      </c>
      <c r="H10" s="31">
        <f>GAMMA_THETA_MAP!I10</f>
        <v/>
      </c>
      <c r="I10" s="31">
        <f>IF(OR(B10="",C10=""),"",IF(C10&gt;B10*1.2,"Support",IF(B10&gt;C10*1.2,"Resistance","")))</f>
        <v/>
      </c>
    </row>
    <row r="11">
      <c r="A11" s="31">
        <f>GAMMA_THETA_MAP!A11</f>
        <v/>
      </c>
      <c r="B11" s="31">
        <f>GAMMA_THETA_MAP!B11</f>
        <v/>
      </c>
      <c r="C11" s="31">
        <f>GAMMA_THETA_MAP!C11</f>
        <v/>
      </c>
      <c r="D11" s="31">
        <f>SUMIFS(tblChainRaw[OI Change],tblChainRaw[Strike Price],A11,tblChainRaw[Option Type],"CE")</f>
        <v/>
      </c>
      <c r="E11" s="31">
        <f>SUMIFS(tblChainRaw[OI Change],tblChainRaw[Strike Price],A11,tblChainRaw[Option Type],"PE")</f>
        <v/>
      </c>
      <c r="F11" s="31">
        <f>IF(OR(B11="",C11=""),"",(C11-B11)/(C11+B11))</f>
        <v/>
      </c>
      <c r="G11" s="31">
        <f>GAMMA_THETA_MAP!F11</f>
        <v/>
      </c>
      <c r="H11" s="31">
        <f>GAMMA_THETA_MAP!I11</f>
        <v/>
      </c>
      <c r="I11" s="31">
        <f>IF(OR(B11="",C11=""),"",IF(C11&gt;B11*1.2,"Support",IF(B11&gt;C11*1.2,"Resistance","")))</f>
        <v/>
      </c>
    </row>
    <row r="12">
      <c r="A12" s="31">
        <f>GAMMA_THETA_MAP!A12</f>
        <v/>
      </c>
      <c r="B12" s="31">
        <f>GAMMA_THETA_MAP!B12</f>
        <v/>
      </c>
      <c r="C12" s="31">
        <f>GAMMA_THETA_MAP!C12</f>
        <v/>
      </c>
      <c r="D12" s="31">
        <f>SUMIFS(tblChainRaw[OI Change],tblChainRaw[Strike Price],A12,tblChainRaw[Option Type],"CE")</f>
        <v/>
      </c>
      <c r="E12" s="31">
        <f>SUMIFS(tblChainRaw[OI Change],tblChainRaw[Strike Price],A12,tblChainRaw[Option Type],"PE")</f>
        <v/>
      </c>
      <c r="F12" s="31">
        <f>IF(OR(B12="",C12=""),"",(C12-B12)/(C12+B12))</f>
        <v/>
      </c>
      <c r="G12" s="31">
        <f>GAMMA_THETA_MAP!F12</f>
        <v/>
      </c>
      <c r="H12" s="31">
        <f>GAMMA_THETA_MAP!I12</f>
        <v/>
      </c>
      <c r="I12" s="31">
        <f>IF(OR(B12="",C12=""),"",IF(C12&gt;B12*1.2,"Support",IF(B12&gt;C12*1.2,"Resistance","")))</f>
        <v/>
      </c>
    </row>
    <row r="13">
      <c r="A13" s="31">
        <f>GAMMA_THETA_MAP!A13</f>
        <v/>
      </c>
      <c r="B13" s="31">
        <f>GAMMA_THETA_MAP!B13</f>
        <v/>
      </c>
      <c r="C13" s="31">
        <f>GAMMA_THETA_MAP!C13</f>
        <v/>
      </c>
      <c r="D13" s="31">
        <f>SUMIFS(tblChainRaw[OI Change],tblChainRaw[Strike Price],A13,tblChainRaw[Option Type],"CE")</f>
        <v/>
      </c>
      <c r="E13" s="31">
        <f>SUMIFS(tblChainRaw[OI Change],tblChainRaw[Strike Price],A13,tblChainRaw[Option Type],"PE")</f>
        <v/>
      </c>
      <c r="F13" s="31">
        <f>IF(OR(B13="",C13=""),"",(C13-B13)/(C13+B13))</f>
        <v/>
      </c>
      <c r="G13" s="31">
        <f>GAMMA_THETA_MAP!F13</f>
        <v/>
      </c>
      <c r="H13" s="31">
        <f>GAMMA_THETA_MAP!I13</f>
        <v/>
      </c>
      <c r="I13" s="31">
        <f>IF(OR(B13="",C13=""),"",IF(C13&gt;B13*1.2,"Support",IF(B13&gt;C13*1.2,"Resistance","")))</f>
        <v/>
      </c>
    </row>
    <row r="14">
      <c r="A14" s="31">
        <f>GAMMA_THETA_MAP!A14</f>
        <v/>
      </c>
      <c r="B14" s="31">
        <f>GAMMA_THETA_MAP!B14</f>
        <v/>
      </c>
      <c r="C14" s="31">
        <f>GAMMA_THETA_MAP!C14</f>
        <v/>
      </c>
      <c r="D14" s="31">
        <f>SUMIFS(tblChainRaw[OI Change],tblChainRaw[Strike Price],A14,tblChainRaw[Option Type],"CE")</f>
        <v/>
      </c>
      <c r="E14" s="31">
        <f>SUMIFS(tblChainRaw[OI Change],tblChainRaw[Strike Price],A14,tblChainRaw[Option Type],"PE")</f>
        <v/>
      </c>
      <c r="F14" s="31">
        <f>IF(OR(B14="",C14=""),"",(C14-B14)/(C14+B14))</f>
        <v/>
      </c>
      <c r="G14" s="31">
        <f>GAMMA_THETA_MAP!F14</f>
        <v/>
      </c>
      <c r="H14" s="31">
        <f>GAMMA_THETA_MAP!I14</f>
        <v/>
      </c>
      <c r="I14" s="31">
        <f>IF(OR(B14="",C14=""),"",IF(C14&gt;B14*1.2,"Support",IF(B14&gt;C14*1.2,"Resistance","")))</f>
        <v/>
      </c>
    </row>
    <row r="15">
      <c r="A15" s="31">
        <f>GAMMA_THETA_MAP!A15</f>
        <v/>
      </c>
      <c r="B15" s="31">
        <f>GAMMA_THETA_MAP!B15</f>
        <v/>
      </c>
      <c r="C15" s="31">
        <f>GAMMA_THETA_MAP!C15</f>
        <v/>
      </c>
      <c r="D15" s="31">
        <f>SUMIFS(tblChainRaw[OI Change],tblChainRaw[Strike Price],A15,tblChainRaw[Option Type],"CE")</f>
        <v/>
      </c>
      <c r="E15" s="31">
        <f>SUMIFS(tblChainRaw[OI Change],tblChainRaw[Strike Price],A15,tblChainRaw[Option Type],"PE")</f>
        <v/>
      </c>
      <c r="F15" s="31">
        <f>IF(OR(B15="",C15=""),"",(C15-B15)/(C15+B15))</f>
        <v/>
      </c>
      <c r="G15" s="31">
        <f>GAMMA_THETA_MAP!F15</f>
        <v/>
      </c>
      <c r="H15" s="31">
        <f>GAMMA_THETA_MAP!I15</f>
        <v/>
      </c>
      <c r="I15" s="31">
        <f>IF(OR(B15="",C15=""),"",IF(C15&gt;B15*1.2,"Support",IF(B15&gt;C15*1.2,"Resistance","")))</f>
        <v/>
      </c>
    </row>
    <row r="16">
      <c r="A16" s="31">
        <f>GAMMA_THETA_MAP!A16</f>
        <v/>
      </c>
      <c r="B16" s="31">
        <f>GAMMA_THETA_MAP!B16</f>
        <v/>
      </c>
      <c r="C16" s="31">
        <f>GAMMA_THETA_MAP!C16</f>
        <v/>
      </c>
      <c r="D16" s="31">
        <f>SUMIFS(tblChainRaw[OI Change],tblChainRaw[Strike Price],A16,tblChainRaw[Option Type],"CE")</f>
        <v/>
      </c>
      <c r="E16" s="31">
        <f>SUMIFS(tblChainRaw[OI Change],tblChainRaw[Strike Price],A16,tblChainRaw[Option Type],"PE")</f>
        <v/>
      </c>
      <c r="F16" s="31">
        <f>IF(OR(B16="",C16=""),"",(C16-B16)/(C16+B16))</f>
        <v/>
      </c>
      <c r="G16" s="31">
        <f>GAMMA_THETA_MAP!F16</f>
        <v/>
      </c>
      <c r="H16" s="31">
        <f>GAMMA_THETA_MAP!I16</f>
        <v/>
      </c>
      <c r="I16" s="31">
        <f>IF(OR(B16="",C16=""),"",IF(C16&gt;B16*1.2,"Support",IF(B16&gt;C16*1.2,"Resistance","")))</f>
        <v/>
      </c>
    </row>
    <row r="17">
      <c r="A17" s="31">
        <f>GAMMA_THETA_MAP!A17</f>
        <v/>
      </c>
      <c r="B17" s="31">
        <f>GAMMA_THETA_MAP!B17</f>
        <v/>
      </c>
      <c r="C17" s="31">
        <f>GAMMA_THETA_MAP!C17</f>
        <v/>
      </c>
      <c r="D17" s="31">
        <f>SUMIFS(tblChainRaw[OI Change],tblChainRaw[Strike Price],A17,tblChainRaw[Option Type],"CE")</f>
        <v/>
      </c>
      <c r="E17" s="31">
        <f>SUMIFS(tblChainRaw[OI Change],tblChainRaw[Strike Price],A17,tblChainRaw[Option Type],"PE")</f>
        <v/>
      </c>
      <c r="F17" s="31">
        <f>IF(OR(B17="",C17=""),"",(C17-B17)/(C17+B17))</f>
        <v/>
      </c>
      <c r="G17" s="31">
        <f>GAMMA_THETA_MAP!F17</f>
        <v/>
      </c>
      <c r="H17" s="31">
        <f>GAMMA_THETA_MAP!I17</f>
        <v/>
      </c>
      <c r="I17" s="31">
        <f>IF(OR(B17="",C17=""),"",IF(C17&gt;B17*1.2,"Support",IF(B17&gt;C17*1.2,"Resistance","")))</f>
        <v/>
      </c>
    </row>
    <row r="18">
      <c r="A18" s="31">
        <f>GAMMA_THETA_MAP!A18</f>
        <v/>
      </c>
      <c r="B18" s="31">
        <f>GAMMA_THETA_MAP!B18</f>
        <v/>
      </c>
      <c r="C18" s="31">
        <f>GAMMA_THETA_MAP!C18</f>
        <v/>
      </c>
      <c r="D18" s="31">
        <f>SUMIFS(tblChainRaw[OI Change],tblChainRaw[Strike Price],A18,tblChainRaw[Option Type],"CE")</f>
        <v/>
      </c>
      <c r="E18" s="31">
        <f>SUMIFS(tblChainRaw[OI Change],tblChainRaw[Strike Price],A18,tblChainRaw[Option Type],"PE")</f>
        <v/>
      </c>
      <c r="F18" s="31">
        <f>IF(OR(B18="",C18=""),"",(C18-B18)/(C18+B18))</f>
        <v/>
      </c>
      <c r="G18" s="31">
        <f>GAMMA_THETA_MAP!F18</f>
        <v/>
      </c>
      <c r="H18" s="31">
        <f>GAMMA_THETA_MAP!I18</f>
        <v/>
      </c>
      <c r="I18" s="31">
        <f>IF(OR(B18="",C18=""),"",IF(C18&gt;B18*1.2,"Support",IF(B18&gt;C18*1.2,"Resistance","")))</f>
        <v/>
      </c>
    </row>
    <row r="19">
      <c r="A19" s="31">
        <f>GAMMA_THETA_MAP!A19</f>
        <v/>
      </c>
      <c r="B19" s="31">
        <f>GAMMA_THETA_MAP!B19</f>
        <v/>
      </c>
      <c r="C19" s="31">
        <f>GAMMA_THETA_MAP!C19</f>
        <v/>
      </c>
      <c r="D19" s="31">
        <f>SUMIFS(tblChainRaw[OI Change],tblChainRaw[Strike Price],A19,tblChainRaw[Option Type],"CE")</f>
        <v/>
      </c>
      <c r="E19" s="31">
        <f>SUMIFS(tblChainRaw[OI Change],tblChainRaw[Strike Price],A19,tblChainRaw[Option Type],"PE")</f>
        <v/>
      </c>
      <c r="F19" s="31">
        <f>IF(OR(B19="",C19=""),"",(C19-B19)/(C19+B19))</f>
        <v/>
      </c>
      <c r="G19" s="31">
        <f>GAMMA_THETA_MAP!F19</f>
        <v/>
      </c>
      <c r="H19" s="31">
        <f>GAMMA_THETA_MAP!I19</f>
        <v/>
      </c>
      <c r="I19" s="31">
        <f>IF(OR(B19="",C19=""),"",IF(C19&gt;B19*1.2,"Support",IF(B19&gt;C19*1.2,"Resistance","")))</f>
        <v/>
      </c>
    </row>
    <row r="20">
      <c r="A20" s="31">
        <f>GAMMA_THETA_MAP!A20</f>
        <v/>
      </c>
      <c r="B20" s="31">
        <f>GAMMA_THETA_MAP!B20</f>
        <v/>
      </c>
      <c r="C20" s="31">
        <f>GAMMA_THETA_MAP!C20</f>
        <v/>
      </c>
      <c r="D20" s="31">
        <f>SUMIFS(tblChainRaw[OI Change],tblChainRaw[Strike Price],A20,tblChainRaw[Option Type],"CE")</f>
        <v/>
      </c>
      <c r="E20" s="31">
        <f>SUMIFS(tblChainRaw[OI Change],tblChainRaw[Strike Price],A20,tblChainRaw[Option Type],"PE")</f>
        <v/>
      </c>
      <c r="F20" s="31">
        <f>IF(OR(B20="",C20=""),"",(C20-B20)/(C20+B20))</f>
        <v/>
      </c>
      <c r="G20" s="31">
        <f>GAMMA_THETA_MAP!F20</f>
        <v/>
      </c>
      <c r="H20" s="31">
        <f>GAMMA_THETA_MAP!I20</f>
        <v/>
      </c>
      <c r="I20" s="31">
        <f>IF(OR(B20="",C20=""),"",IF(C20&gt;B20*1.2,"Support",IF(B20&gt;C20*1.2,"Resistance","")))</f>
        <v/>
      </c>
    </row>
    <row r="21">
      <c r="A21" s="31">
        <f>GAMMA_THETA_MAP!A21</f>
        <v/>
      </c>
      <c r="B21" s="31">
        <f>GAMMA_THETA_MAP!B21</f>
        <v/>
      </c>
      <c r="C21" s="31">
        <f>GAMMA_THETA_MAP!C21</f>
        <v/>
      </c>
      <c r="D21" s="31">
        <f>SUMIFS(tblChainRaw[OI Change],tblChainRaw[Strike Price],A21,tblChainRaw[Option Type],"CE")</f>
        <v/>
      </c>
      <c r="E21" s="31">
        <f>SUMIFS(tblChainRaw[OI Change],tblChainRaw[Strike Price],A21,tblChainRaw[Option Type],"PE")</f>
        <v/>
      </c>
      <c r="F21" s="31">
        <f>IF(OR(B21="",C21=""),"",(C21-B21)/(C21+B21))</f>
        <v/>
      </c>
      <c r="G21" s="31">
        <f>GAMMA_THETA_MAP!F21</f>
        <v/>
      </c>
      <c r="H21" s="31">
        <f>GAMMA_THETA_MAP!I21</f>
        <v/>
      </c>
      <c r="I21" s="31">
        <f>IF(OR(B21="",C21=""),"",IF(C21&gt;B21*1.2,"Support",IF(B21&gt;C21*1.2,"Resistance","")))</f>
        <v/>
      </c>
    </row>
    <row r="22">
      <c r="A22" s="31">
        <f>GAMMA_THETA_MAP!A22</f>
        <v/>
      </c>
      <c r="B22" s="31">
        <f>GAMMA_THETA_MAP!B22</f>
        <v/>
      </c>
      <c r="C22" s="31">
        <f>GAMMA_THETA_MAP!C22</f>
        <v/>
      </c>
      <c r="D22" s="31">
        <f>SUMIFS(tblChainRaw[OI Change],tblChainRaw[Strike Price],A22,tblChainRaw[Option Type],"CE")</f>
        <v/>
      </c>
      <c r="E22" s="31">
        <f>SUMIFS(tblChainRaw[OI Change],tblChainRaw[Strike Price],A22,tblChainRaw[Option Type],"PE")</f>
        <v/>
      </c>
      <c r="F22" s="31">
        <f>IF(OR(B22="",C22=""),"",(C22-B22)/(C22+B22))</f>
        <v/>
      </c>
      <c r="G22" s="31">
        <f>GAMMA_THETA_MAP!F22</f>
        <v/>
      </c>
      <c r="H22" s="31">
        <f>GAMMA_THETA_MAP!I22</f>
        <v/>
      </c>
      <c r="I22" s="31">
        <f>IF(OR(B22="",C22=""),"",IF(C22&gt;B22*1.2,"Support",IF(B22&gt;C22*1.2,"Resistance","")))</f>
        <v/>
      </c>
    </row>
    <row r="23">
      <c r="A23" s="31">
        <f>GAMMA_THETA_MAP!A23</f>
        <v/>
      </c>
      <c r="B23" s="31">
        <f>GAMMA_THETA_MAP!B23</f>
        <v/>
      </c>
      <c r="C23" s="31">
        <f>GAMMA_THETA_MAP!C23</f>
        <v/>
      </c>
      <c r="D23" s="31">
        <f>SUMIFS(tblChainRaw[OI Change],tblChainRaw[Strike Price],A23,tblChainRaw[Option Type],"CE")</f>
        <v/>
      </c>
      <c r="E23" s="31">
        <f>SUMIFS(tblChainRaw[OI Change],tblChainRaw[Strike Price],A23,tblChainRaw[Option Type],"PE")</f>
        <v/>
      </c>
      <c r="F23" s="31">
        <f>IF(OR(B23="",C23=""),"",(C23-B23)/(C23+B23))</f>
        <v/>
      </c>
      <c r="G23" s="31">
        <f>GAMMA_THETA_MAP!F23</f>
        <v/>
      </c>
      <c r="H23" s="31">
        <f>GAMMA_THETA_MAP!I23</f>
        <v/>
      </c>
      <c r="I23" s="31">
        <f>IF(OR(B23="",C23=""),"",IF(C23&gt;B23*1.2,"Support",IF(B23&gt;C23*1.2,"Resistance","")))</f>
        <v/>
      </c>
    </row>
    <row r="24">
      <c r="A24" s="31">
        <f>GAMMA_THETA_MAP!A24</f>
        <v/>
      </c>
      <c r="B24" s="31">
        <f>GAMMA_THETA_MAP!B24</f>
        <v/>
      </c>
      <c r="C24" s="31">
        <f>GAMMA_THETA_MAP!C24</f>
        <v/>
      </c>
      <c r="D24" s="31">
        <f>SUMIFS(tblChainRaw[OI Change],tblChainRaw[Strike Price],A24,tblChainRaw[Option Type],"CE")</f>
        <v/>
      </c>
      <c r="E24" s="31">
        <f>SUMIFS(tblChainRaw[OI Change],tblChainRaw[Strike Price],A24,tblChainRaw[Option Type],"PE")</f>
        <v/>
      </c>
      <c r="F24" s="31">
        <f>IF(OR(B24="",C24=""),"",(C24-B24)/(C24+B24))</f>
        <v/>
      </c>
      <c r="G24" s="31">
        <f>GAMMA_THETA_MAP!F24</f>
        <v/>
      </c>
      <c r="H24" s="31">
        <f>GAMMA_THETA_MAP!I24</f>
        <v/>
      </c>
      <c r="I24" s="31">
        <f>IF(OR(B24="",C24=""),"",IF(C24&gt;B24*1.2,"Support",IF(B24&gt;C24*1.2,"Resistance","")))</f>
        <v/>
      </c>
    </row>
    <row r="25">
      <c r="A25" s="31">
        <f>GAMMA_THETA_MAP!A25</f>
        <v/>
      </c>
      <c r="B25" s="31">
        <f>GAMMA_THETA_MAP!B25</f>
        <v/>
      </c>
      <c r="C25" s="31">
        <f>GAMMA_THETA_MAP!C25</f>
        <v/>
      </c>
      <c r="D25" s="31">
        <f>SUMIFS(tblChainRaw[OI Change],tblChainRaw[Strike Price],A25,tblChainRaw[Option Type],"CE")</f>
        <v/>
      </c>
      <c r="E25" s="31">
        <f>SUMIFS(tblChainRaw[OI Change],tblChainRaw[Strike Price],A25,tblChainRaw[Option Type],"PE")</f>
        <v/>
      </c>
      <c r="F25" s="31">
        <f>IF(OR(B25="",C25=""),"",(C25-B25)/(C25+B25))</f>
        <v/>
      </c>
      <c r="G25" s="31">
        <f>GAMMA_THETA_MAP!F25</f>
        <v/>
      </c>
      <c r="H25" s="31">
        <f>GAMMA_THETA_MAP!I25</f>
        <v/>
      </c>
      <c r="I25" s="31">
        <f>IF(OR(B25="",C25=""),"",IF(C25&gt;B25*1.2,"Support",IF(B25&gt;C25*1.2,"Resistance","")))</f>
        <v/>
      </c>
    </row>
    <row r="26">
      <c r="A26" s="31">
        <f>GAMMA_THETA_MAP!A26</f>
        <v/>
      </c>
      <c r="B26" s="31">
        <f>GAMMA_THETA_MAP!B26</f>
        <v/>
      </c>
      <c r="C26" s="31">
        <f>GAMMA_THETA_MAP!C26</f>
        <v/>
      </c>
      <c r="D26" s="31">
        <f>SUMIFS(tblChainRaw[OI Change],tblChainRaw[Strike Price],A26,tblChainRaw[Option Type],"CE")</f>
        <v/>
      </c>
      <c r="E26" s="31">
        <f>SUMIFS(tblChainRaw[OI Change],tblChainRaw[Strike Price],A26,tblChainRaw[Option Type],"PE")</f>
        <v/>
      </c>
      <c r="F26" s="31">
        <f>IF(OR(B26="",C26=""),"",(C26-B26)/(C26+B26))</f>
        <v/>
      </c>
      <c r="G26" s="31">
        <f>GAMMA_THETA_MAP!F26</f>
        <v/>
      </c>
      <c r="H26" s="31">
        <f>GAMMA_THETA_MAP!I26</f>
        <v/>
      </c>
      <c r="I26" s="31">
        <f>IF(OR(B26="",C26=""),"",IF(C26&gt;B26*1.2,"Support",IF(B26&gt;C26*1.2,"Resistance","")))</f>
        <v/>
      </c>
    </row>
    <row r="27">
      <c r="A27" s="31">
        <f>GAMMA_THETA_MAP!A27</f>
        <v/>
      </c>
      <c r="B27" s="31">
        <f>GAMMA_THETA_MAP!B27</f>
        <v/>
      </c>
      <c r="C27" s="31">
        <f>GAMMA_THETA_MAP!C27</f>
        <v/>
      </c>
      <c r="D27" s="31">
        <f>SUMIFS(tblChainRaw[OI Change],tblChainRaw[Strike Price],A27,tblChainRaw[Option Type],"CE")</f>
        <v/>
      </c>
      <c r="E27" s="31">
        <f>SUMIFS(tblChainRaw[OI Change],tblChainRaw[Strike Price],A27,tblChainRaw[Option Type],"PE")</f>
        <v/>
      </c>
      <c r="F27" s="31">
        <f>IF(OR(B27="",C27=""),"",(C27-B27)/(C27+B27))</f>
        <v/>
      </c>
      <c r="G27" s="31">
        <f>GAMMA_THETA_MAP!F27</f>
        <v/>
      </c>
      <c r="H27" s="31">
        <f>GAMMA_THETA_MAP!I27</f>
        <v/>
      </c>
      <c r="I27" s="31">
        <f>IF(OR(B27="",C27=""),"",IF(C27&gt;B27*1.2,"Support",IF(B27&gt;C27*1.2,"Resistance","")))</f>
        <v/>
      </c>
    </row>
    <row r="28">
      <c r="A28" s="31">
        <f>GAMMA_THETA_MAP!A28</f>
        <v/>
      </c>
      <c r="B28" s="31">
        <f>GAMMA_THETA_MAP!B28</f>
        <v/>
      </c>
      <c r="C28" s="31">
        <f>GAMMA_THETA_MAP!C28</f>
        <v/>
      </c>
      <c r="D28" s="31">
        <f>SUMIFS(tblChainRaw[OI Change],tblChainRaw[Strike Price],A28,tblChainRaw[Option Type],"CE")</f>
        <v/>
      </c>
      <c r="E28" s="31">
        <f>SUMIFS(tblChainRaw[OI Change],tblChainRaw[Strike Price],A28,tblChainRaw[Option Type],"PE")</f>
        <v/>
      </c>
      <c r="F28" s="31">
        <f>IF(OR(B28="",C28=""),"",(C28-B28)/(C28+B28))</f>
        <v/>
      </c>
      <c r="G28" s="31">
        <f>GAMMA_THETA_MAP!F28</f>
        <v/>
      </c>
      <c r="H28" s="31">
        <f>GAMMA_THETA_MAP!I28</f>
        <v/>
      </c>
      <c r="I28" s="31">
        <f>IF(OR(B28="",C28=""),"",IF(C28&gt;B28*1.2,"Support",IF(B28&gt;C28*1.2,"Resistance","")))</f>
        <v/>
      </c>
    </row>
    <row r="29">
      <c r="A29" s="31">
        <f>GAMMA_THETA_MAP!A29</f>
        <v/>
      </c>
      <c r="B29" s="31">
        <f>GAMMA_THETA_MAP!B29</f>
        <v/>
      </c>
      <c r="C29" s="31">
        <f>GAMMA_THETA_MAP!C29</f>
        <v/>
      </c>
      <c r="D29" s="31">
        <f>SUMIFS(tblChainRaw[OI Change],tblChainRaw[Strike Price],A29,tblChainRaw[Option Type],"CE")</f>
        <v/>
      </c>
      <c r="E29" s="31">
        <f>SUMIFS(tblChainRaw[OI Change],tblChainRaw[Strike Price],A29,tblChainRaw[Option Type],"PE")</f>
        <v/>
      </c>
      <c r="F29" s="31">
        <f>IF(OR(B29="",C29=""),"",(C29-B29)/(C29+B29))</f>
        <v/>
      </c>
      <c r="G29" s="31">
        <f>GAMMA_THETA_MAP!F29</f>
        <v/>
      </c>
      <c r="H29" s="31">
        <f>GAMMA_THETA_MAP!I29</f>
        <v/>
      </c>
      <c r="I29" s="31">
        <f>IF(OR(B29="",C29=""),"",IF(C29&gt;B29*1.2,"Support",IF(B29&gt;C29*1.2,"Resistance","")))</f>
        <v/>
      </c>
    </row>
    <row r="30">
      <c r="A30" s="31">
        <f>GAMMA_THETA_MAP!A30</f>
        <v/>
      </c>
      <c r="B30" s="31">
        <f>GAMMA_THETA_MAP!B30</f>
        <v/>
      </c>
      <c r="C30" s="31">
        <f>GAMMA_THETA_MAP!C30</f>
        <v/>
      </c>
      <c r="D30" s="31">
        <f>SUMIFS(tblChainRaw[OI Change],tblChainRaw[Strike Price],A30,tblChainRaw[Option Type],"CE")</f>
        <v/>
      </c>
      <c r="E30" s="31">
        <f>SUMIFS(tblChainRaw[OI Change],tblChainRaw[Strike Price],A30,tblChainRaw[Option Type],"PE")</f>
        <v/>
      </c>
      <c r="F30" s="31">
        <f>IF(OR(B30="",C30=""),"",(C30-B30)/(C30+B30))</f>
        <v/>
      </c>
      <c r="G30" s="31">
        <f>GAMMA_THETA_MAP!F30</f>
        <v/>
      </c>
      <c r="H30" s="31">
        <f>GAMMA_THETA_MAP!I30</f>
        <v/>
      </c>
      <c r="I30" s="31">
        <f>IF(OR(B30="",C30=""),"",IF(C30&gt;B30*1.2,"Support",IF(B30&gt;C30*1.2,"Resistance","")))</f>
        <v/>
      </c>
    </row>
    <row r="31">
      <c r="A31" s="31">
        <f>GAMMA_THETA_MAP!A31</f>
        <v/>
      </c>
      <c r="B31" s="31">
        <f>GAMMA_THETA_MAP!B31</f>
        <v/>
      </c>
      <c r="C31" s="31">
        <f>GAMMA_THETA_MAP!C31</f>
        <v/>
      </c>
      <c r="D31" s="31">
        <f>SUMIFS(tblChainRaw[OI Change],tblChainRaw[Strike Price],A31,tblChainRaw[Option Type],"CE")</f>
        <v/>
      </c>
      <c r="E31" s="31">
        <f>SUMIFS(tblChainRaw[OI Change],tblChainRaw[Strike Price],A31,tblChainRaw[Option Type],"PE")</f>
        <v/>
      </c>
      <c r="F31" s="31">
        <f>IF(OR(B31="",C31=""),"",(C31-B31)/(C31+B31))</f>
        <v/>
      </c>
      <c r="G31" s="31">
        <f>GAMMA_THETA_MAP!F31</f>
        <v/>
      </c>
      <c r="H31" s="31">
        <f>GAMMA_THETA_MAP!I31</f>
        <v/>
      </c>
      <c r="I31" s="31">
        <f>IF(OR(B31="",C31=""),"",IF(C31&gt;B31*1.2,"Support",IF(B31&gt;C31*1.2,"Resistance","")))</f>
        <v/>
      </c>
    </row>
    <row r="32">
      <c r="A32" s="31">
        <f>GAMMA_THETA_MAP!A32</f>
        <v/>
      </c>
      <c r="B32" s="31">
        <f>GAMMA_THETA_MAP!B32</f>
        <v/>
      </c>
      <c r="C32" s="31">
        <f>GAMMA_THETA_MAP!C32</f>
        <v/>
      </c>
      <c r="D32" s="31">
        <f>SUMIFS(tblChainRaw[OI Change],tblChainRaw[Strike Price],A32,tblChainRaw[Option Type],"CE")</f>
        <v/>
      </c>
      <c r="E32" s="31">
        <f>SUMIFS(tblChainRaw[OI Change],tblChainRaw[Strike Price],A32,tblChainRaw[Option Type],"PE")</f>
        <v/>
      </c>
      <c r="F32" s="31">
        <f>IF(OR(B32="",C32=""),"",(C32-B32)/(C32+B32))</f>
        <v/>
      </c>
      <c r="G32" s="31">
        <f>GAMMA_THETA_MAP!F32</f>
        <v/>
      </c>
      <c r="H32" s="31">
        <f>GAMMA_THETA_MAP!I32</f>
        <v/>
      </c>
      <c r="I32" s="31">
        <f>IF(OR(B32="",C32=""),"",IF(C32&gt;B32*1.2,"Support",IF(B32&gt;C32*1.2,"Resistance","")))</f>
        <v/>
      </c>
    </row>
    <row r="33">
      <c r="A33" s="31">
        <f>GAMMA_THETA_MAP!A33</f>
        <v/>
      </c>
      <c r="B33" s="31">
        <f>GAMMA_THETA_MAP!B33</f>
        <v/>
      </c>
      <c r="C33" s="31">
        <f>GAMMA_THETA_MAP!C33</f>
        <v/>
      </c>
      <c r="D33" s="31">
        <f>SUMIFS(tblChainRaw[OI Change],tblChainRaw[Strike Price],A33,tblChainRaw[Option Type],"CE")</f>
        <v/>
      </c>
      <c r="E33" s="31">
        <f>SUMIFS(tblChainRaw[OI Change],tblChainRaw[Strike Price],A33,tblChainRaw[Option Type],"PE")</f>
        <v/>
      </c>
      <c r="F33" s="31">
        <f>IF(OR(B33="",C33=""),"",(C33-B33)/(C33+B33))</f>
        <v/>
      </c>
      <c r="G33" s="31">
        <f>GAMMA_THETA_MAP!F33</f>
        <v/>
      </c>
      <c r="H33" s="31">
        <f>GAMMA_THETA_MAP!I33</f>
        <v/>
      </c>
      <c r="I33" s="31">
        <f>IF(OR(B33="",C33=""),"",IF(C33&gt;B33*1.2,"Support",IF(B33&gt;C33*1.2,"Resistance","")))</f>
        <v/>
      </c>
    </row>
    <row r="34">
      <c r="A34" s="31">
        <f>GAMMA_THETA_MAP!A34</f>
        <v/>
      </c>
      <c r="B34" s="31">
        <f>GAMMA_THETA_MAP!B34</f>
        <v/>
      </c>
      <c r="C34" s="31">
        <f>GAMMA_THETA_MAP!C34</f>
        <v/>
      </c>
      <c r="D34" s="31">
        <f>SUMIFS(tblChainRaw[OI Change],tblChainRaw[Strike Price],A34,tblChainRaw[Option Type],"CE")</f>
        <v/>
      </c>
      <c r="E34" s="31">
        <f>SUMIFS(tblChainRaw[OI Change],tblChainRaw[Strike Price],A34,tblChainRaw[Option Type],"PE")</f>
        <v/>
      </c>
      <c r="F34" s="31">
        <f>IF(OR(B34="",C34=""),"",(C34-B34)/(C34+B34))</f>
        <v/>
      </c>
      <c r="G34" s="31">
        <f>GAMMA_THETA_MAP!F34</f>
        <v/>
      </c>
      <c r="H34" s="31">
        <f>GAMMA_THETA_MAP!I34</f>
        <v/>
      </c>
      <c r="I34" s="31">
        <f>IF(OR(B34="",C34=""),"",IF(C34&gt;B34*1.2,"Support",IF(B34&gt;C34*1.2,"Resistance","")))</f>
        <v/>
      </c>
    </row>
    <row r="35">
      <c r="A35" s="31">
        <f>GAMMA_THETA_MAP!A35</f>
        <v/>
      </c>
      <c r="B35" s="31">
        <f>GAMMA_THETA_MAP!B35</f>
        <v/>
      </c>
      <c r="C35" s="31">
        <f>GAMMA_THETA_MAP!C35</f>
        <v/>
      </c>
      <c r="D35" s="31">
        <f>SUMIFS(tblChainRaw[OI Change],tblChainRaw[Strike Price],A35,tblChainRaw[Option Type],"CE")</f>
        <v/>
      </c>
      <c r="E35" s="31">
        <f>SUMIFS(tblChainRaw[OI Change],tblChainRaw[Strike Price],A35,tblChainRaw[Option Type],"PE")</f>
        <v/>
      </c>
      <c r="F35" s="31">
        <f>IF(OR(B35="",C35=""),"",(C35-B35)/(C35+B35))</f>
        <v/>
      </c>
      <c r="G35" s="31">
        <f>GAMMA_THETA_MAP!F35</f>
        <v/>
      </c>
      <c r="H35" s="31">
        <f>GAMMA_THETA_MAP!I35</f>
        <v/>
      </c>
      <c r="I35" s="31">
        <f>IF(OR(B35="",C35=""),"",IF(C35&gt;B35*1.2,"Support",IF(B35&gt;C35*1.2,"Resistance","")))</f>
        <v/>
      </c>
    </row>
    <row r="36">
      <c r="A36" s="31">
        <f>GAMMA_THETA_MAP!A36</f>
        <v/>
      </c>
      <c r="B36" s="31">
        <f>GAMMA_THETA_MAP!B36</f>
        <v/>
      </c>
      <c r="C36" s="31">
        <f>GAMMA_THETA_MAP!C36</f>
        <v/>
      </c>
      <c r="D36" s="31">
        <f>SUMIFS(tblChainRaw[OI Change],tblChainRaw[Strike Price],A36,tblChainRaw[Option Type],"CE")</f>
        <v/>
      </c>
      <c r="E36" s="31">
        <f>SUMIFS(tblChainRaw[OI Change],tblChainRaw[Strike Price],A36,tblChainRaw[Option Type],"PE")</f>
        <v/>
      </c>
      <c r="F36" s="31">
        <f>IF(OR(B36="",C36=""),"",(C36-B36)/(C36+B36))</f>
        <v/>
      </c>
      <c r="G36" s="31">
        <f>GAMMA_THETA_MAP!F36</f>
        <v/>
      </c>
      <c r="H36" s="31">
        <f>GAMMA_THETA_MAP!I36</f>
        <v/>
      </c>
      <c r="I36" s="31">
        <f>IF(OR(B36="",C36=""),"",IF(C36&gt;B36*1.2,"Support",IF(B36&gt;C36*1.2,"Resistance","")))</f>
        <v/>
      </c>
    </row>
    <row r="37">
      <c r="A37" s="31">
        <f>GAMMA_THETA_MAP!A37</f>
        <v/>
      </c>
      <c r="B37" s="31">
        <f>GAMMA_THETA_MAP!B37</f>
        <v/>
      </c>
      <c r="C37" s="31">
        <f>GAMMA_THETA_MAP!C37</f>
        <v/>
      </c>
      <c r="D37" s="31">
        <f>SUMIFS(tblChainRaw[OI Change],tblChainRaw[Strike Price],A37,tblChainRaw[Option Type],"CE")</f>
        <v/>
      </c>
      <c r="E37" s="31">
        <f>SUMIFS(tblChainRaw[OI Change],tblChainRaw[Strike Price],A37,tblChainRaw[Option Type],"PE")</f>
        <v/>
      </c>
      <c r="F37" s="31">
        <f>IF(OR(B37="",C37=""),"",(C37-B37)/(C37+B37))</f>
        <v/>
      </c>
      <c r="G37" s="31">
        <f>GAMMA_THETA_MAP!F37</f>
        <v/>
      </c>
      <c r="H37" s="31">
        <f>GAMMA_THETA_MAP!I37</f>
        <v/>
      </c>
      <c r="I37" s="31">
        <f>IF(OR(B37="",C37=""),"",IF(C37&gt;B37*1.2,"Support",IF(B37&gt;C37*1.2,"Resistance","")))</f>
        <v/>
      </c>
    </row>
    <row r="38">
      <c r="A38" s="31">
        <f>GAMMA_THETA_MAP!A38</f>
        <v/>
      </c>
      <c r="B38" s="31">
        <f>GAMMA_THETA_MAP!B38</f>
        <v/>
      </c>
      <c r="C38" s="31">
        <f>GAMMA_THETA_MAP!C38</f>
        <v/>
      </c>
      <c r="D38" s="31">
        <f>SUMIFS(tblChainRaw[OI Change],tblChainRaw[Strike Price],A38,tblChainRaw[Option Type],"CE")</f>
        <v/>
      </c>
      <c r="E38" s="31">
        <f>SUMIFS(tblChainRaw[OI Change],tblChainRaw[Strike Price],A38,tblChainRaw[Option Type],"PE")</f>
        <v/>
      </c>
      <c r="F38" s="31">
        <f>IF(OR(B38="",C38=""),"",(C38-B38)/(C38+B38))</f>
        <v/>
      </c>
      <c r="G38" s="31">
        <f>GAMMA_THETA_MAP!F38</f>
        <v/>
      </c>
      <c r="H38" s="31">
        <f>GAMMA_THETA_MAP!I38</f>
        <v/>
      </c>
      <c r="I38" s="31">
        <f>IF(OR(B38="",C38=""),"",IF(C38&gt;B38*1.2,"Support",IF(B38&gt;C38*1.2,"Resistance","")))</f>
        <v/>
      </c>
    </row>
    <row r="39">
      <c r="A39" s="31">
        <f>GAMMA_THETA_MAP!A39</f>
        <v/>
      </c>
      <c r="B39" s="31">
        <f>GAMMA_THETA_MAP!B39</f>
        <v/>
      </c>
      <c r="C39" s="31">
        <f>GAMMA_THETA_MAP!C39</f>
        <v/>
      </c>
      <c r="D39" s="31">
        <f>SUMIFS(tblChainRaw[OI Change],tblChainRaw[Strike Price],A39,tblChainRaw[Option Type],"CE")</f>
        <v/>
      </c>
      <c r="E39" s="31">
        <f>SUMIFS(tblChainRaw[OI Change],tblChainRaw[Strike Price],A39,tblChainRaw[Option Type],"PE")</f>
        <v/>
      </c>
      <c r="F39" s="31">
        <f>IF(OR(B39="",C39=""),"",(C39-B39)/(C39+B39))</f>
        <v/>
      </c>
      <c r="G39" s="31">
        <f>GAMMA_THETA_MAP!F39</f>
        <v/>
      </c>
      <c r="H39" s="31">
        <f>GAMMA_THETA_MAP!I39</f>
        <v/>
      </c>
      <c r="I39" s="31">
        <f>IF(OR(B39="",C39=""),"",IF(C39&gt;B39*1.2,"Support",IF(B39&gt;C39*1.2,"Resistance","")))</f>
        <v/>
      </c>
    </row>
    <row r="40">
      <c r="A40" s="31">
        <f>GAMMA_THETA_MAP!A40</f>
        <v/>
      </c>
      <c r="B40" s="31">
        <f>GAMMA_THETA_MAP!B40</f>
        <v/>
      </c>
      <c r="C40" s="31">
        <f>GAMMA_THETA_MAP!C40</f>
        <v/>
      </c>
      <c r="D40" s="31">
        <f>SUMIFS(tblChainRaw[OI Change],tblChainRaw[Strike Price],A40,tblChainRaw[Option Type],"CE")</f>
        <v/>
      </c>
      <c r="E40" s="31">
        <f>SUMIFS(tblChainRaw[OI Change],tblChainRaw[Strike Price],A40,tblChainRaw[Option Type],"PE")</f>
        <v/>
      </c>
      <c r="F40" s="31">
        <f>IF(OR(B40="",C40=""),"",(C40-B40)/(C40+B40))</f>
        <v/>
      </c>
      <c r="G40" s="31">
        <f>GAMMA_THETA_MAP!F40</f>
        <v/>
      </c>
      <c r="H40" s="31">
        <f>GAMMA_THETA_MAP!I40</f>
        <v/>
      </c>
      <c r="I40" s="31">
        <f>IF(OR(B40="",C40=""),"",IF(C40&gt;B40*1.2,"Support",IF(B40&gt;C40*1.2,"Resistance","")))</f>
        <v/>
      </c>
    </row>
    <row r="41">
      <c r="A41" s="31">
        <f>GAMMA_THETA_MAP!A41</f>
        <v/>
      </c>
      <c r="B41" s="31">
        <f>GAMMA_THETA_MAP!B41</f>
        <v/>
      </c>
      <c r="C41" s="31">
        <f>GAMMA_THETA_MAP!C41</f>
        <v/>
      </c>
      <c r="D41" s="31">
        <f>SUMIFS(tblChainRaw[OI Change],tblChainRaw[Strike Price],A41,tblChainRaw[Option Type],"CE")</f>
        <v/>
      </c>
      <c r="E41" s="31">
        <f>SUMIFS(tblChainRaw[OI Change],tblChainRaw[Strike Price],A41,tblChainRaw[Option Type],"PE")</f>
        <v/>
      </c>
      <c r="F41" s="31">
        <f>IF(OR(B41="",C41=""),"",(C41-B41)/(C41+B41))</f>
        <v/>
      </c>
      <c r="G41" s="31">
        <f>GAMMA_THETA_MAP!F41</f>
        <v/>
      </c>
      <c r="H41" s="31">
        <f>GAMMA_THETA_MAP!I41</f>
        <v/>
      </c>
      <c r="I41" s="31">
        <f>IF(OR(B41="",C41=""),"",IF(C41&gt;B41*1.2,"Support",IF(B41&gt;C41*1.2,"Resistance","")))</f>
        <v/>
      </c>
    </row>
    <row r="42">
      <c r="A42" s="31">
        <f>GAMMA_THETA_MAP!A42</f>
        <v/>
      </c>
      <c r="B42" s="31">
        <f>GAMMA_THETA_MAP!B42</f>
        <v/>
      </c>
      <c r="C42" s="31">
        <f>GAMMA_THETA_MAP!C42</f>
        <v/>
      </c>
      <c r="D42" s="31">
        <f>SUMIFS(tblChainRaw[OI Change],tblChainRaw[Strike Price],A42,tblChainRaw[Option Type],"CE")</f>
        <v/>
      </c>
      <c r="E42" s="31">
        <f>SUMIFS(tblChainRaw[OI Change],tblChainRaw[Strike Price],A42,tblChainRaw[Option Type],"PE")</f>
        <v/>
      </c>
      <c r="F42" s="31">
        <f>IF(OR(B42="",C42=""),"",(C42-B42)/(C42+B42))</f>
        <v/>
      </c>
      <c r="G42" s="31">
        <f>GAMMA_THETA_MAP!F42</f>
        <v/>
      </c>
      <c r="H42" s="31">
        <f>GAMMA_THETA_MAP!I42</f>
        <v/>
      </c>
      <c r="I42" s="31">
        <f>IF(OR(B42="",C42=""),"",IF(C42&gt;B42*1.2,"Support",IF(B42&gt;C42*1.2,"Resistance","")))</f>
        <v/>
      </c>
    </row>
    <row r="43">
      <c r="A43" s="31">
        <f>GAMMA_THETA_MAP!A43</f>
        <v/>
      </c>
      <c r="B43" s="31">
        <f>GAMMA_THETA_MAP!B43</f>
        <v/>
      </c>
      <c r="C43" s="31">
        <f>GAMMA_THETA_MAP!C43</f>
        <v/>
      </c>
      <c r="D43" s="31">
        <f>SUMIFS(tblChainRaw[OI Change],tblChainRaw[Strike Price],A43,tblChainRaw[Option Type],"CE")</f>
        <v/>
      </c>
      <c r="E43" s="31">
        <f>SUMIFS(tblChainRaw[OI Change],tblChainRaw[Strike Price],A43,tblChainRaw[Option Type],"PE")</f>
        <v/>
      </c>
      <c r="F43" s="31">
        <f>IF(OR(B43="",C43=""),"",(C43-B43)/(C43+B43))</f>
        <v/>
      </c>
      <c r="G43" s="31">
        <f>GAMMA_THETA_MAP!F43</f>
        <v/>
      </c>
      <c r="H43" s="31">
        <f>GAMMA_THETA_MAP!I43</f>
        <v/>
      </c>
      <c r="I43" s="31">
        <f>IF(OR(B43="",C43=""),"",IF(C43&gt;B43*1.2,"Support",IF(B43&gt;C43*1.2,"Resistance","")))</f>
        <v/>
      </c>
    </row>
    <row r="44">
      <c r="A44" s="31">
        <f>GAMMA_THETA_MAP!A44</f>
        <v/>
      </c>
      <c r="B44" s="31">
        <f>GAMMA_THETA_MAP!B44</f>
        <v/>
      </c>
      <c r="C44" s="31">
        <f>GAMMA_THETA_MAP!C44</f>
        <v/>
      </c>
      <c r="D44" s="31">
        <f>SUMIFS(tblChainRaw[OI Change],tblChainRaw[Strike Price],A44,tblChainRaw[Option Type],"CE")</f>
        <v/>
      </c>
      <c r="E44" s="31">
        <f>SUMIFS(tblChainRaw[OI Change],tblChainRaw[Strike Price],A44,tblChainRaw[Option Type],"PE")</f>
        <v/>
      </c>
      <c r="F44" s="31">
        <f>IF(OR(B44="",C44=""),"",(C44-B44)/(C44+B44))</f>
        <v/>
      </c>
      <c r="G44" s="31">
        <f>GAMMA_THETA_MAP!F44</f>
        <v/>
      </c>
      <c r="H44" s="31">
        <f>GAMMA_THETA_MAP!I44</f>
        <v/>
      </c>
      <c r="I44" s="31">
        <f>IF(OR(B44="",C44=""),"",IF(C44&gt;B44*1.2,"Support",IF(B44&gt;C44*1.2,"Resistance","")))</f>
        <v/>
      </c>
    </row>
    <row r="45">
      <c r="A45" s="31">
        <f>GAMMA_THETA_MAP!A45</f>
        <v/>
      </c>
      <c r="B45" s="31">
        <f>GAMMA_THETA_MAP!B45</f>
        <v/>
      </c>
      <c r="C45" s="31">
        <f>GAMMA_THETA_MAP!C45</f>
        <v/>
      </c>
      <c r="D45" s="31">
        <f>SUMIFS(tblChainRaw[OI Change],tblChainRaw[Strike Price],A45,tblChainRaw[Option Type],"CE")</f>
        <v/>
      </c>
      <c r="E45" s="31">
        <f>SUMIFS(tblChainRaw[OI Change],tblChainRaw[Strike Price],A45,tblChainRaw[Option Type],"PE")</f>
        <v/>
      </c>
      <c r="F45" s="31">
        <f>IF(OR(B45="",C45=""),"",(C45-B45)/(C45+B45))</f>
        <v/>
      </c>
      <c r="G45" s="31">
        <f>GAMMA_THETA_MAP!F45</f>
        <v/>
      </c>
      <c r="H45" s="31">
        <f>GAMMA_THETA_MAP!I45</f>
        <v/>
      </c>
      <c r="I45" s="31">
        <f>IF(OR(B45="",C45=""),"",IF(C45&gt;B45*1.2,"Support",IF(B45&gt;C45*1.2,"Resistance","")))</f>
        <v/>
      </c>
    </row>
    <row r="46">
      <c r="A46" s="31">
        <f>GAMMA_THETA_MAP!A46</f>
        <v/>
      </c>
      <c r="B46" s="31">
        <f>GAMMA_THETA_MAP!B46</f>
        <v/>
      </c>
      <c r="C46" s="31">
        <f>GAMMA_THETA_MAP!C46</f>
        <v/>
      </c>
      <c r="D46" s="31">
        <f>SUMIFS(tblChainRaw[OI Change],tblChainRaw[Strike Price],A46,tblChainRaw[Option Type],"CE")</f>
        <v/>
      </c>
      <c r="E46" s="31">
        <f>SUMIFS(tblChainRaw[OI Change],tblChainRaw[Strike Price],A46,tblChainRaw[Option Type],"PE")</f>
        <v/>
      </c>
      <c r="F46" s="31">
        <f>IF(OR(B46="",C46=""),"",(C46-B46)/(C46+B46))</f>
        <v/>
      </c>
      <c r="G46" s="31">
        <f>GAMMA_THETA_MAP!F46</f>
        <v/>
      </c>
      <c r="H46" s="31">
        <f>GAMMA_THETA_MAP!I46</f>
        <v/>
      </c>
      <c r="I46" s="31">
        <f>IF(OR(B46="",C46=""),"",IF(C46&gt;B46*1.2,"Support",IF(B46&gt;C46*1.2,"Resistance","")))</f>
        <v/>
      </c>
    </row>
    <row r="47">
      <c r="A47" s="31">
        <f>GAMMA_THETA_MAP!A47</f>
        <v/>
      </c>
      <c r="B47" s="31">
        <f>GAMMA_THETA_MAP!B47</f>
        <v/>
      </c>
      <c r="C47" s="31">
        <f>GAMMA_THETA_MAP!C47</f>
        <v/>
      </c>
      <c r="D47" s="31">
        <f>SUMIFS(tblChainRaw[OI Change],tblChainRaw[Strike Price],A47,tblChainRaw[Option Type],"CE")</f>
        <v/>
      </c>
      <c r="E47" s="31">
        <f>SUMIFS(tblChainRaw[OI Change],tblChainRaw[Strike Price],A47,tblChainRaw[Option Type],"PE")</f>
        <v/>
      </c>
      <c r="F47" s="31">
        <f>IF(OR(B47="",C47=""),"",(C47-B47)/(C47+B47))</f>
        <v/>
      </c>
      <c r="G47" s="31">
        <f>GAMMA_THETA_MAP!F47</f>
        <v/>
      </c>
      <c r="H47" s="31">
        <f>GAMMA_THETA_MAP!I47</f>
        <v/>
      </c>
      <c r="I47" s="31">
        <f>IF(OR(B47="",C47=""),"",IF(C47&gt;B47*1.2,"Support",IF(B47&gt;C47*1.2,"Resistance","")))</f>
        <v/>
      </c>
    </row>
    <row r="48">
      <c r="A48" s="31">
        <f>GAMMA_THETA_MAP!A48</f>
        <v/>
      </c>
      <c r="B48" s="31">
        <f>GAMMA_THETA_MAP!B48</f>
        <v/>
      </c>
      <c r="C48" s="31">
        <f>GAMMA_THETA_MAP!C48</f>
        <v/>
      </c>
      <c r="D48" s="31">
        <f>SUMIFS(tblChainRaw[OI Change],tblChainRaw[Strike Price],A48,tblChainRaw[Option Type],"CE")</f>
        <v/>
      </c>
      <c r="E48" s="31">
        <f>SUMIFS(tblChainRaw[OI Change],tblChainRaw[Strike Price],A48,tblChainRaw[Option Type],"PE")</f>
        <v/>
      </c>
      <c r="F48" s="31">
        <f>IF(OR(B48="",C48=""),"",(C48-B48)/(C48+B48))</f>
        <v/>
      </c>
      <c r="G48" s="31">
        <f>GAMMA_THETA_MAP!F48</f>
        <v/>
      </c>
      <c r="H48" s="31">
        <f>GAMMA_THETA_MAP!I48</f>
        <v/>
      </c>
      <c r="I48" s="31">
        <f>IF(OR(B48="",C48=""),"",IF(C48&gt;B48*1.2,"Support",IF(B48&gt;C48*1.2,"Resistance","")))</f>
        <v/>
      </c>
    </row>
    <row r="49">
      <c r="A49" s="31">
        <f>GAMMA_THETA_MAP!A49</f>
        <v/>
      </c>
      <c r="B49" s="31">
        <f>GAMMA_THETA_MAP!B49</f>
        <v/>
      </c>
      <c r="C49" s="31">
        <f>GAMMA_THETA_MAP!C49</f>
        <v/>
      </c>
      <c r="D49" s="31">
        <f>SUMIFS(tblChainRaw[OI Change],tblChainRaw[Strike Price],A49,tblChainRaw[Option Type],"CE")</f>
        <v/>
      </c>
      <c r="E49" s="31">
        <f>SUMIFS(tblChainRaw[OI Change],tblChainRaw[Strike Price],A49,tblChainRaw[Option Type],"PE")</f>
        <v/>
      </c>
      <c r="F49" s="31">
        <f>IF(OR(B49="",C49=""),"",(C49-B49)/(C49+B49))</f>
        <v/>
      </c>
      <c r="G49" s="31">
        <f>GAMMA_THETA_MAP!F49</f>
        <v/>
      </c>
      <c r="H49" s="31">
        <f>GAMMA_THETA_MAP!I49</f>
        <v/>
      </c>
      <c r="I49" s="31">
        <f>IF(OR(B49="",C49=""),"",IF(C49&gt;B49*1.2,"Support",IF(B49&gt;C49*1.2,"Resistance","")))</f>
        <v/>
      </c>
    </row>
    <row r="50">
      <c r="A50" s="31">
        <f>GAMMA_THETA_MAP!A50</f>
        <v/>
      </c>
      <c r="B50" s="31">
        <f>GAMMA_THETA_MAP!B50</f>
        <v/>
      </c>
      <c r="C50" s="31">
        <f>GAMMA_THETA_MAP!C50</f>
        <v/>
      </c>
      <c r="D50" s="31">
        <f>SUMIFS(tblChainRaw[OI Change],tblChainRaw[Strike Price],A50,tblChainRaw[Option Type],"CE")</f>
        <v/>
      </c>
      <c r="E50" s="31">
        <f>SUMIFS(tblChainRaw[OI Change],tblChainRaw[Strike Price],A50,tblChainRaw[Option Type],"PE")</f>
        <v/>
      </c>
      <c r="F50" s="31">
        <f>IF(OR(B50="",C50=""),"",(C50-B50)/(C50+B50))</f>
        <v/>
      </c>
      <c r="G50" s="31">
        <f>GAMMA_THETA_MAP!F50</f>
        <v/>
      </c>
      <c r="H50" s="31">
        <f>GAMMA_THETA_MAP!I50</f>
        <v/>
      </c>
      <c r="I50" s="31">
        <f>IF(OR(B50="",C50=""),"",IF(C50&gt;B50*1.2,"Support",IF(B50&gt;C50*1.2,"Resistance","")))</f>
        <v/>
      </c>
    </row>
    <row r="51">
      <c r="A51" s="31">
        <f>GAMMA_THETA_MAP!A51</f>
        <v/>
      </c>
      <c r="B51" s="31">
        <f>GAMMA_THETA_MAP!B51</f>
        <v/>
      </c>
      <c r="C51" s="31">
        <f>GAMMA_THETA_MAP!C51</f>
        <v/>
      </c>
      <c r="D51" s="31">
        <f>SUMIFS(tblChainRaw[OI Change],tblChainRaw[Strike Price],A51,tblChainRaw[Option Type],"CE")</f>
        <v/>
      </c>
      <c r="E51" s="31">
        <f>SUMIFS(tblChainRaw[OI Change],tblChainRaw[Strike Price],A51,tblChainRaw[Option Type],"PE")</f>
        <v/>
      </c>
      <c r="F51" s="31">
        <f>IF(OR(B51="",C51=""),"",(C51-B51)/(C51+B51))</f>
        <v/>
      </c>
      <c r="G51" s="31">
        <f>GAMMA_THETA_MAP!F51</f>
        <v/>
      </c>
      <c r="H51" s="31">
        <f>GAMMA_THETA_MAP!I51</f>
        <v/>
      </c>
      <c r="I51" s="31">
        <f>IF(OR(B51="",C51=""),"",IF(C51&gt;B51*1.2,"Support",IF(B51&gt;C51*1.2,"Resistance","")))</f>
        <v/>
      </c>
    </row>
    <row r="52">
      <c r="A52" s="31">
        <f>GAMMA_THETA_MAP!A52</f>
        <v/>
      </c>
      <c r="B52" s="31">
        <f>GAMMA_THETA_MAP!B52</f>
        <v/>
      </c>
      <c r="C52" s="31">
        <f>GAMMA_THETA_MAP!C52</f>
        <v/>
      </c>
      <c r="D52" s="31">
        <f>SUMIFS(tblChainRaw[OI Change],tblChainRaw[Strike Price],A52,tblChainRaw[Option Type],"CE")</f>
        <v/>
      </c>
      <c r="E52" s="31">
        <f>SUMIFS(tblChainRaw[OI Change],tblChainRaw[Strike Price],A52,tblChainRaw[Option Type],"PE")</f>
        <v/>
      </c>
      <c r="F52" s="31">
        <f>IF(OR(B52="",C52=""),"",(C52-B52)/(C52+B52))</f>
        <v/>
      </c>
      <c r="G52" s="31">
        <f>GAMMA_THETA_MAP!F52</f>
        <v/>
      </c>
      <c r="H52" s="31">
        <f>GAMMA_THETA_MAP!I52</f>
        <v/>
      </c>
      <c r="I52" s="31">
        <f>IF(OR(B52="",C52=""),"",IF(C52&gt;B52*1.2,"Support",IF(B52&gt;C52*1.2,"Resistance","")))</f>
        <v/>
      </c>
    </row>
    <row r="53">
      <c r="A53" s="31">
        <f>GAMMA_THETA_MAP!A53</f>
        <v/>
      </c>
      <c r="B53" s="31">
        <f>GAMMA_THETA_MAP!B53</f>
        <v/>
      </c>
      <c r="C53" s="31">
        <f>GAMMA_THETA_MAP!C53</f>
        <v/>
      </c>
      <c r="D53" s="31">
        <f>SUMIFS(tblChainRaw[OI Change],tblChainRaw[Strike Price],A53,tblChainRaw[Option Type],"CE")</f>
        <v/>
      </c>
      <c r="E53" s="31">
        <f>SUMIFS(tblChainRaw[OI Change],tblChainRaw[Strike Price],A53,tblChainRaw[Option Type],"PE")</f>
        <v/>
      </c>
      <c r="F53" s="31">
        <f>IF(OR(B53="",C53=""),"",(C53-B53)/(C53+B53))</f>
        <v/>
      </c>
      <c r="G53" s="31">
        <f>GAMMA_THETA_MAP!F53</f>
        <v/>
      </c>
      <c r="H53" s="31">
        <f>GAMMA_THETA_MAP!I53</f>
        <v/>
      </c>
      <c r="I53" s="31">
        <f>IF(OR(B53="",C53=""),"",IF(C53&gt;B53*1.2,"Support",IF(B53&gt;C53*1.2,"Resistance","")))</f>
        <v/>
      </c>
    </row>
    <row r="54">
      <c r="A54" s="31">
        <f>GAMMA_THETA_MAP!A54</f>
        <v/>
      </c>
      <c r="B54" s="31">
        <f>GAMMA_THETA_MAP!B54</f>
        <v/>
      </c>
      <c r="C54" s="31">
        <f>GAMMA_THETA_MAP!C54</f>
        <v/>
      </c>
      <c r="D54" s="31">
        <f>SUMIFS(tblChainRaw[OI Change],tblChainRaw[Strike Price],A54,tblChainRaw[Option Type],"CE")</f>
        <v/>
      </c>
      <c r="E54" s="31">
        <f>SUMIFS(tblChainRaw[OI Change],tblChainRaw[Strike Price],A54,tblChainRaw[Option Type],"PE")</f>
        <v/>
      </c>
      <c r="F54" s="31">
        <f>IF(OR(B54="",C54=""),"",(C54-B54)/(C54+B54))</f>
        <v/>
      </c>
      <c r="G54" s="31">
        <f>GAMMA_THETA_MAP!F54</f>
        <v/>
      </c>
      <c r="H54" s="31">
        <f>GAMMA_THETA_MAP!I54</f>
        <v/>
      </c>
      <c r="I54" s="31">
        <f>IF(OR(B54="",C54=""),"",IF(C54&gt;B54*1.2,"Support",IF(B54&gt;C54*1.2,"Resistance","")))</f>
        <v/>
      </c>
    </row>
    <row r="55">
      <c r="A55" s="31">
        <f>GAMMA_THETA_MAP!A55</f>
        <v/>
      </c>
      <c r="B55" s="31">
        <f>GAMMA_THETA_MAP!B55</f>
        <v/>
      </c>
      <c r="C55" s="31">
        <f>GAMMA_THETA_MAP!C55</f>
        <v/>
      </c>
      <c r="D55" s="31">
        <f>SUMIFS(tblChainRaw[OI Change],tblChainRaw[Strike Price],A55,tblChainRaw[Option Type],"CE")</f>
        <v/>
      </c>
      <c r="E55" s="31">
        <f>SUMIFS(tblChainRaw[OI Change],tblChainRaw[Strike Price],A55,tblChainRaw[Option Type],"PE")</f>
        <v/>
      </c>
      <c r="F55" s="31">
        <f>IF(OR(B55="",C55=""),"",(C55-B55)/(C55+B55))</f>
        <v/>
      </c>
      <c r="G55" s="31">
        <f>GAMMA_THETA_MAP!F55</f>
        <v/>
      </c>
      <c r="H55" s="31">
        <f>GAMMA_THETA_MAP!I55</f>
        <v/>
      </c>
      <c r="I55" s="31">
        <f>IF(OR(B55="",C55=""),"",IF(C55&gt;B55*1.2,"Support",IF(B55&gt;C55*1.2,"Resistance","")))</f>
        <v/>
      </c>
    </row>
    <row r="56">
      <c r="A56" s="31">
        <f>GAMMA_THETA_MAP!A56</f>
        <v/>
      </c>
      <c r="B56" s="31">
        <f>GAMMA_THETA_MAP!B56</f>
        <v/>
      </c>
      <c r="C56" s="31">
        <f>GAMMA_THETA_MAP!C56</f>
        <v/>
      </c>
      <c r="D56" s="31">
        <f>SUMIFS(tblChainRaw[OI Change],tblChainRaw[Strike Price],A56,tblChainRaw[Option Type],"CE")</f>
        <v/>
      </c>
      <c r="E56" s="31">
        <f>SUMIFS(tblChainRaw[OI Change],tblChainRaw[Strike Price],A56,tblChainRaw[Option Type],"PE")</f>
        <v/>
      </c>
      <c r="F56" s="31">
        <f>IF(OR(B56="",C56=""),"",(C56-B56)/(C56+B56))</f>
        <v/>
      </c>
      <c r="G56" s="31">
        <f>GAMMA_THETA_MAP!F56</f>
        <v/>
      </c>
      <c r="H56" s="31">
        <f>GAMMA_THETA_MAP!I56</f>
        <v/>
      </c>
      <c r="I56" s="31">
        <f>IF(OR(B56="",C56=""),"",IF(C56&gt;B56*1.2,"Support",IF(B56&gt;C56*1.2,"Resistance","")))</f>
        <v/>
      </c>
    </row>
    <row r="57">
      <c r="A57" s="31">
        <f>GAMMA_THETA_MAP!A57</f>
        <v/>
      </c>
      <c r="B57" s="31">
        <f>GAMMA_THETA_MAP!B57</f>
        <v/>
      </c>
      <c r="C57" s="31">
        <f>GAMMA_THETA_MAP!C57</f>
        <v/>
      </c>
      <c r="D57" s="31">
        <f>SUMIFS(tblChainRaw[OI Change],tblChainRaw[Strike Price],A57,tblChainRaw[Option Type],"CE")</f>
        <v/>
      </c>
      <c r="E57" s="31">
        <f>SUMIFS(tblChainRaw[OI Change],tblChainRaw[Strike Price],A57,tblChainRaw[Option Type],"PE")</f>
        <v/>
      </c>
      <c r="F57" s="31">
        <f>IF(OR(B57="",C57=""),"",(C57-B57)/(C57+B57))</f>
        <v/>
      </c>
      <c r="G57" s="31">
        <f>GAMMA_THETA_MAP!F57</f>
        <v/>
      </c>
      <c r="H57" s="31">
        <f>GAMMA_THETA_MAP!I57</f>
        <v/>
      </c>
      <c r="I57" s="31">
        <f>IF(OR(B57="",C57=""),"",IF(C57&gt;B57*1.2,"Support",IF(B57&gt;C57*1.2,"Resistance","")))</f>
        <v/>
      </c>
    </row>
    <row r="58">
      <c r="A58" s="31">
        <f>GAMMA_THETA_MAP!A58</f>
        <v/>
      </c>
      <c r="B58" s="31">
        <f>GAMMA_THETA_MAP!B58</f>
        <v/>
      </c>
      <c r="C58" s="31">
        <f>GAMMA_THETA_MAP!C58</f>
        <v/>
      </c>
      <c r="D58" s="31">
        <f>SUMIFS(tblChainRaw[OI Change],tblChainRaw[Strike Price],A58,tblChainRaw[Option Type],"CE")</f>
        <v/>
      </c>
      <c r="E58" s="31">
        <f>SUMIFS(tblChainRaw[OI Change],tblChainRaw[Strike Price],A58,tblChainRaw[Option Type],"PE")</f>
        <v/>
      </c>
      <c r="F58" s="31">
        <f>IF(OR(B58="",C58=""),"",(C58-B58)/(C58+B58))</f>
        <v/>
      </c>
      <c r="G58" s="31">
        <f>GAMMA_THETA_MAP!F58</f>
        <v/>
      </c>
      <c r="H58" s="31">
        <f>GAMMA_THETA_MAP!I58</f>
        <v/>
      </c>
      <c r="I58" s="31">
        <f>IF(OR(B58="",C58=""),"",IF(C58&gt;B58*1.2,"Support",IF(B58&gt;C58*1.2,"Resistance","")))</f>
        <v/>
      </c>
    </row>
    <row r="59">
      <c r="A59" s="31">
        <f>GAMMA_THETA_MAP!A59</f>
        <v/>
      </c>
      <c r="B59" s="31">
        <f>GAMMA_THETA_MAP!B59</f>
        <v/>
      </c>
      <c r="C59" s="31">
        <f>GAMMA_THETA_MAP!C59</f>
        <v/>
      </c>
      <c r="D59" s="31">
        <f>SUMIFS(tblChainRaw[OI Change],tblChainRaw[Strike Price],A59,tblChainRaw[Option Type],"CE")</f>
        <v/>
      </c>
      <c r="E59" s="31">
        <f>SUMIFS(tblChainRaw[OI Change],tblChainRaw[Strike Price],A59,tblChainRaw[Option Type],"PE")</f>
        <v/>
      </c>
      <c r="F59" s="31">
        <f>IF(OR(B59="",C59=""),"",(C59-B59)/(C59+B59))</f>
        <v/>
      </c>
      <c r="G59" s="31">
        <f>GAMMA_THETA_MAP!F59</f>
        <v/>
      </c>
      <c r="H59" s="31">
        <f>GAMMA_THETA_MAP!I59</f>
        <v/>
      </c>
      <c r="I59" s="31">
        <f>IF(OR(B59="",C59=""),"",IF(C59&gt;B59*1.2,"Support",IF(B59&gt;C59*1.2,"Resistance","")))</f>
        <v/>
      </c>
    </row>
    <row r="60">
      <c r="A60" s="31">
        <f>GAMMA_THETA_MAP!A60</f>
        <v/>
      </c>
      <c r="B60" s="31">
        <f>GAMMA_THETA_MAP!B60</f>
        <v/>
      </c>
      <c r="C60" s="31">
        <f>GAMMA_THETA_MAP!C60</f>
        <v/>
      </c>
      <c r="D60" s="31">
        <f>SUMIFS(tblChainRaw[OI Change],tblChainRaw[Strike Price],A60,tblChainRaw[Option Type],"CE")</f>
        <v/>
      </c>
      <c r="E60" s="31">
        <f>SUMIFS(tblChainRaw[OI Change],tblChainRaw[Strike Price],A60,tblChainRaw[Option Type],"PE")</f>
        <v/>
      </c>
      <c r="F60" s="31">
        <f>IF(OR(B60="",C60=""),"",(C60-B60)/(C60+B60))</f>
        <v/>
      </c>
      <c r="G60" s="31">
        <f>GAMMA_THETA_MAP!F60</f>
        <v/>
      </c>
      <c r="H60" s="31">
        <f>GAMMA_THETA_MAP!I60</f>
        <v/>
      </c>
      <c r="I60" s="31">
        <f>IF(OR(B60="",C60=""),"",IF(C60&gt;B60*1.2,"Support",IF(B60&gt;C60*1.2,"Resistance","")))</f>
        <v/>
      </c>
    </row>
    <row r="61">
      <c r="A61" s="31">
        <f>GAMMA_THETA_MAP!A61</f>
        <v/>
      </c>
      <c r="B61" s="31">
        <f>GAMMA_THETA_MAP!B61</f>
        <v/>
      </c>
      <c r="C61" s="31">
        <f>GAMMA_THETA_MAP!C61</f>
        <v/>
      </c>
      <c r="D61" s="31">
        <f>SUMIFS(tblChainRaw[OI Change],tblChainRaw[Strike Price],A61,tblChainRaw[Option Type],"CE")</f>
        <v/>
      </c>
      <c r="E61" s="31">
        <f>SUMIFS(tblChainRaw[OI Change],tblChainRaw[Strike Price],A61,tblChainRaw[Option Type],"PE")</f>
        <v/>
      </c>
      <c r="F61" s="31">
        <f>IF(OR(B61="",C61=""),"",(C61-B61)/(C61+B61))</f>
        <v/>
      </c>
      <c r="G61" s="31">
        <f>GAMMA_THETA_MAP!F61</f>
        <v/>
      </c>
      <c r="H61" s="31">
        <f>GAMMA_THETA_MAP!I61</f>
        <v/>
      </c>
      <c r="I61" s="31">
        <f>IF(OR(B61="",C61=""),"",IF(C61&gt;B61*1.2,"Support",IF(B61&gt;C61*1.2,"Resistance","")))</f>
        <v/>
      </c>
    </row>
    <row r="62">
      <c r="A62" s="31">
        <f>GAMMA_THETA_MAP!A62</f>
        <v/>
      </c>
      <c r="B62" s="31">
        <f>GAMMA_THETA_MAP!B62</f>
        <v/>
      </c>
      <c r="C62" s="31">
        <f>GAMMA_THETA_MAP!C62</f>
        <v/>
      </c>
      <c r="D62" s="31">
        <f>SUMIFS(tblChainRaw[OI Change],tblChainRaw[Strike Price],A62,tblChainRaw[Option Type],"CE")</f>
        <v/>
      </c>
      <c r="E62" s="31">
        <f>SUMIFS(tblChainRaw[OI Change],tblChainRaw[Strike Price],A62,tblChainRaw[Option Type],"PE")</f>
        <v/>
      </c>
      <c r="F62" s="31">
        <f>IF(OR(B62="",C62=""),"",(C62-B62)/(C62+B62))</f>
        <v/>
      </c>
      <c r="G62" s="31">
        <f>GAMMA_THETA_MAP!F62</f>
        <v/>
      </c>
      <c r="H62" s="31">
        <f>GAMMA_THETA_MAP!I62</f>
        <v/>
      </c>
      <c r="I62" s="31">
        <f>IF(OR(B62="",C62=""),"",IF(C62&gt;B62*1.2,"Support",IF(B62&gt;C62*1.2,"Resistance","")))</f>
        <v/>
      </c>
    </row>
    <row r="63">
      <c r="A63" s="31">
        <f>GAMMA_THETA_MAP!A63</f>
        <v/>
      </c>
      <c r="B63" s="31">
        <f>GAMMA_THETA_MAP!B63</f>
        <v/>
      </c>
      <c r="C63" s="31">
        <f>GAMMA_THETA_MAP!C63</f>
        <v/>
      </c>
      <c r="D63" s="31">
        <f>SUMIFS(tblChainRaw[OI Change],tblChainRaw[Strike Price],A63,tblChainRaw[Option Type],"CE")</f>
        <v/>
      </c>
      <c r="E63" s="31">
        <f>SUMIFS(tblChainRaw[OI Change],tblChainRaw[Strike Price],A63,tblChainRaw[Option Type],"PE")</f>
        <v/>
      </c>
      <c r="F63" s="31">
        <f>IF(OR(B63="",C63=""),"",(C63-B63)/(C63+B63))</f>
        <v/>
      </c>
      <c r="G63" s="31">
        <f>GAMMA_THETA_MAP!F63</f>
        <v/>
      </c>
      <c r="H63" s="31">
        <f>GAMMA_THETA_MAP!I63</f>
        <v/>
      </c>
      <c r="I63" s="31">
        <f>IF(OR(B63="",C63=""),"",IF(C63&gt;B63*1.2,"Support",IF(B63&gt;C63*1.2,"Resistance","")))</f>
        <v/>
      </c>
    </row>
    <row r="64">
      <c r="A64" s="31">
        <f>GAMMA_THETA_MAP!A64</f>
        <v/>
      </c>
      <c r="B64" s="31">
        <f>GAMMA_THETA_MAP!B64</f>
        <v/>
      </c>
      <c r="C64" s="31">
        <f>GAMMA_THETA_MAP!C64</f>
        <v/>
      </c>
      <c r="D64" s="31">
        <f>SUMIFS(tblChainRaw[OI Change],tblChainRaw[Strike Price],A64,tblChainRaw[Option Type],"CE")</f>
        <v/>
      </c>
      <c r="E64" s="31">
        <f>SUMIFS(tblChainRaw[OI Change],tblChainRaw[Strike Price],A64,tblChainRaw[Option Type],"PE")</f>
        <v/>
      </c>
      <c r="F64" s="31">
        <f>IF(OR(B64="",C64=""),"",(C64-B64)/(C64+B64))</f>
        <v/>
      </c>
      <c r="G64" s="31">
        <f>GAMMA_THETA_MAP!F64</f>
        <v/>
      </c>
      <c r="H64" s="31">
        <f>GAMMA_THETA_MAP!I64</f>
        <v/>
      </c>
      <c r="I64" s="31">
        <f>IF(OR(B64="",C64=""),"",IF(C64&gt;B64*1.2,"Support",IF(B64&gt;C64*1.2,"Resistance","")))</f>
        <v/>
      </c>
    </row>
    <row r="65">
      <c r="A65" s="31">
        <f>GAMMA_THETA_MAP!A65</f>
        <v/>
      </c>
      <c r="B65" s="31">
        <f>GAMMA_THETA_MAP!B65</f>
        <v/>
      </c>
      <c r="C65" s="31">
        <f>GAMMA_THETA_MAP!C65</f>
        <v/>
      </c>
      <c r="D65" s="31">
        <f>SUMIFS(tblChainRaw[OI Change],tblChainRaw[Strike Price],A65,tblChainRaw[Option Type],"CE")</f>
        <v/>
      </c>
      <c r="E65" s="31">
        <f>SUMIFS(tblChainRaw[OI Change],tblChainRaw[Strike Price],A65,tblChainRaw[Option Type],"PE")</f>
        <v/>
      </c>
      <c r="F65" s="31">
        <f>IF(OR(B65="",C65=""),"",(C65-B65)/(C65+B65))</f>
        <v/>
      </c>
      <c r="G65" s="31">
        <f>GAMMA_THETA_MAP!F65</f>
        <v/>
      </c>
      <c r="H65" s="31">
        <f>GAMMA_THETA_MAP!I65</f>
        <v/>
      </c>
      <c r="I65" s="31">
        <f>IF(OR(B65="",C65=""),"",IF(C65&gt;B65*1.2,"Support",IF(B65&gt;C65*1.2,"Resistance","")))</f>
        <v/>
      </c>
    </row>
    <row r="66">
      <c r="A66" s="31">
        <f>GAMMA_THETA_MAP!A66</f>
        <v/>
      </c>
      <c r="B66" s="31">
        <f>GAMMA_THETA_MAP!B66</f>
        <v/>
      </c>
      <c r="C66" s="31">
        <f>GAMMA_THETA_MAP!C66</f>
        <v/>
      </c>
      <c r="D66" s="31">
        <f>SUMIFS(tblChainRaw[OI Change],tblChainRaw[Strike Price],A66,tblChainRaw[Option Type],"CE")</f>
        <v/>
      </c>
      <c r="E66" s="31">
        <f>SUMIFS(tblChainRaw[OI Change],tblChainRaw[Strike Price],A66,tblChainRaw[Option Type],"PE")</f>
        <v/>
      </c>
      <c r="F66" s="31">
        <f>IF(OR(B66="",C66=""),"",(C66-B66)/(C66+B66))</f>
        <v/>
      </c>
      <c r="G66" s="31">
        <f>GAMMA_THETA_MAP!F66</f>
        <v/>
      </c>
      <c r="H66" s="31">
        <f>GAMMA_THETA_MAP!I66</f>
        <v/>
      </c>
      <c r="I66" s="31">
        <f>IF(OR(B66="",C66=""),"",IF(C66&gt;B66*1.2,"Support",IF(B66&gt;C66*1.2,"Resistance","")))</f>
        <v/>
      </c>
    </row>
    <row r="67">
      <c r="A67" s="31">
        <f>GAMMA_THETA_MAP!A67</f>
        <v/>
      </c>
      <c r="B67" s="31">
        <f>GAMMA_THETA_MAP!B67</f>
        <v/>
      </c>
      <c r="C67" s="31">
        <f>GAMMA_THETA_MAP!C67</f>
        <v/>
      </c>
      <c r="D67" s="31">
        <f>SUMIFS(tblChainRaw[OI Change],tblChainRaw[Strike Price],A67,tblChainRaw[Option Type],"CE")</f>
        <v/>
      </c>
      <c r="E67" s="31">
        <f>SUMIFS(tblChainRaw[OI Change],tblChainRaw[Strike Price],A67,tblChainRaw[Option Type],"PE")</f>
        <v/>
      </c>
      <c r="F67" s="31">
        <f>IF(OR(B67="",C67=""),"",(C67-B67)/(C67+B67))</f>
        <v/>
      </c>
      <c r="G67" s="31">
        <f>GAMMA_THETA_MAP!F67</f>
        <v/>
      </c>
      <c r="H67" s="31">
        <f>GAMMA_THETA_MAP!I67</f>
        <v/>
      </c>
      <c r="I67" s="31">
        <f>IF(OR(B67="",C67=""),"",IF(C67&gt;B67*1.2,"Support",IF(B67&gt;C67*1.2,"Resistance","")))</f>
        <v/>
      </c>
    </row>
    <row r="68">
      <c r="A68" s="31">
        <f>GAMMA_THETA_MAP!A68</f>
        <v/>
      </c>
      <c r="B68" s="31">
        <f>GAMMA_THETA_MAP!B68</f>
        <v/>
      </c>
      <c r="C68" s="31">
        <f>GAMMA_THETA_MAP!C68</f>
        <v/>
      </c>
      <c r="D68" s="31">
        <f>SUMIFS(tblChainRaw[OI Change],tblChainRaw[Strike Price],A68,tblChainRaw[Option Type],"CE")</f>
        <v/>
      </c>
      <c r="E68" s="31">
        <f>SUMIFS(tblChainRaw[OI Change],tblChainRaw[Strike Price],A68,tblChainRaw[Option Type],"PE")</f>
        <v/>
      </c>
      <c r="F68" s="31">
        <f>IF(OR(B68="",C68=""),"",(C68-B68)/(C68+B68))</f>
        <v/>
      </c>
      <c r="G68" s="31">
        <f>GAMMA_THETA_MAP!F68</f>
        <v/>
      </c>
      <c r="H68" s="31">
        <f>GAMMA_THETA_MAP!I68</f>
        <v/>
      </c>
      <c r="I68" s="31">
        <f>IF(OR(B68="",C68=""),"",IF(C68&gt;B68*1.2,"Support",IF(B68&gt;C68*1.2,"Resistance","")))</f>
        <v/>
      </c>
    </row>
    <row r="69">
      <c r="A69" s="31">
        <f>GAMMA_THETA_MAP!A69</f>
        <v/>
      </c>
      <c r="B69" s="31">
        <f>GAMMA_THETA_MAP!B69</f>
        <v/>
      </c>
      <c r="C69" s="31">
        <f>GAMMA_THETA_MAP!C69</f>
        <v/>
      </c>
      <c r="D69" s="31">
        <f>SUMIFS(tblChainRaw[OI Change],tblChainRaw[Strike Price],A69,tblChainRaw[Option Type],"CE")</f>
        <v/>
      </c>
      <c r="E69" s="31">
        <f>SUMIFS(tblChainRaw[OI Change],tblChainRaw[Strike Price],A69,tblChainRaw[Option Type],"PE")</f>
        <v/>
      </c>
      <c r="F69" s="31">
        <f>IF(OR(B69="",C69=""),"",(C69-B69)/(C69+B69))</f>
        <v/>
      </c>
      <c r="G69" s="31">
        <f>GAMMA_THETA_MAP!F69</f>
        <v/>
      </c>
      <c r="H69" s="31">
        <f>GAMMA_THETA_MAP!I69</f>
        <v/>
      </c>
      <c r="I69" s="31">
        <f>IF(OR(B69="",C69=""),"",IF(C69&gt;B69*1.2,"Support",IF(B69&gt;C69*1.2,"Resistance","")))</f>
        <v/>
      </c>
    </row>
    <row r="70">
      <c r="A70" s="31">
        <f>GAMMA_THETA_MAP!A70</f>
        <v/>
      </c>
      <c r="B70" s="31">
        <f>GAMMA_THETA_MAP!B70</f>
        <v/>
      </c>
      <c r="C70" s="31">
        <f>GAMMA_THETA_MAP!C70</f>
        <v/>
      </c>
      <c r="D70" s="31">
        <f>SUMIFS(tblChainRaw[OI Change],tblChainRaw[Strike Price],A70,tblChainRaw[Option Type],"CE")</f>
        <v/>
      </c>
      <c r="E70" s="31">
        <f>SUMIFS(tblChainRaw[OI Change],tblChainRaw[Strike Price],A70,tblChainRaw[Option Type],"PE")</f>
        <v/>
      </c>
      <c r="F70" s="31">
        <f>IF(OR(B70="",C70=""),"",(C70-B70)/(C70+B70))</f>
        <v/>
      </c>
      <c r="G70" s="31">
        <f>GAMMA_THETA_MAP!F70</f>
        <v/>
      </c>
      <c r="H70" s="31">
        <f>GAMMA_THETA_MAP!I70</f>
        <v/>
      </c>
      <c r="I70" s="31">
        <f>IF(OR(B70="",C70=""),"",IF(C70&gt;B70*1.2,"Support",IF(B70&gt;C70*1.2,"Resistance","")))</f>
        <v/>
      </c>
    </row>
    <row r="71">
      <c r="A71" s="31">
        <f>GAMMA_THETA_MAP!A71</f>
        <v/>
      </c>
      <c r="B71" s="31">
        <f>GAMMA_THETA_MAP!B71</f>
        <v/>
      </c>
      <c r="C71" s="31">
        <f>GAMMA_THETA_MAP!C71</f>
        <v/>
      </c>
      <c r="D71" s="31">
        <f>SUMIFS(tblChainRaw[OI Change],tblChainRaw[Strike Price],A71,tblChainRaw[Option Type],"CE")</f>
        <v/>
      </c>
      <c r="E71" s="31">
        <f>SUMIFS(tblChainRaw[OI Change],tblChainRaw[Strike Price],A71,tblChainRaw[Option Type],"PE")</f>
        <v/>
      </c>
      <c r="F71" s="31">
        <f>IF(OR(B71="",C71=""),"",(C71-B71)/(C71+B71))</f>
        <v/>
      </c>
      <c r="G71" s="31">
        <f>GAMMA_THETA_MAP!F71</f>
        <v/>
      </c>
      <c r="H71" s="31">
        <f>GAMMA_THETA_MAP!I71</f>
        <v/>
      </c>
      <c r="I71" s="31">
        <f>IF(OR(B71="",C71=""),"",IF(C71&gt;B71*1.2,"Support",IF(B71&gt;C71*1.2,"Resistance","")))</f>
        <v/>
      </c>
    </row>
    <row r="72">
      <c r="A72" s="31">
        <f>GAMMA_THETA_MAP!A72</f>
        <v/>
      </c>
      <c r="B72" s="31">
        <f>GAMMA_THETA_MAP!B72</f>
        <v/>
      </c>
      <c r="C72" s="31">
        <f>GAMMA_THETA_MAP!C72</f>
        <v/>
      </c>
      <c r="D72" s="31">
        <f>SUMIFS(tblChainRaw[OI Change],tblChainRaw[Strike Price],A72,tblChainRaw[Option Type],"CE")</f>
        <v/>
      </c>
      <c r="E72" s="31">
        <f>SUMIFS(tblChainRaw[OI Change],tblChainRaw[Strike Price],A72,tblChainRaw[Option Type],"PE")</f>
        <v/>
      </c>
      <c r="F72" s="31">
        <f>IF(OR(B72="",C72=""),"",(C72-B72)/(C72+B72))</f>
        <v/>
      </c>
      <c r="G72" s="31">
        <f>GAMMA_THETA_MAP!F72</f>
        <v/>
      </c>
      <c r="H72" s="31">
        <f>GAMMA_THETA_MAP!I72</f>
        <v/>
      </c>
      <c r="I72" s="31">
        <f>IF(OR(B72="",C72=""),"",IF(C72&gt;B72*1.2,"Support",IF(B72&gt;C72*1.2,"Resistance","")))</f>
        <v/>
      </c>
    </row>
    <row r="73">
      <c r="A73" s="31">
        <f>GAMMA_THETA_MAP!A73</f>
        <v/>
      </c>
      <c r="B73" s="31">
        <f>GAMMA_THETA_MAP!B73</f>
        <v/>
      </c>
      <c r="C73" s="31">
        <f>GAMMA_THETA_MAP!C73</f>
        <v/>
      </c>
      <c r="D73" s="31">
        <f>SUMIFS(tblChainRaw[OI Change],tblChainRaw[Strike Price],A73,tblChainRaw[Option Type],"CE")</f>
        <v/>
      </c>
      <c r="E73" s="31">
        <f>SUMIFS(tblChainRaw[OI Change],tblChainRaw[Strike Price],A73,tblChainRaw[Option Type],"PE")</f>
        <v/>
      </c>
      <c r="F73" s="31">
        <f>IF(OR(B73="",C73=""),"",(C73-B73)/(C73+B73))</f>
        <v/>
      </c>
      <c r="G73" s="31">
        <f>GAMMA_THETA_MAP!F73</f>
        <v/>
      </c>
      <c r="H73" s="31">
        <f>GAMMA_THETA_MAP!I73</f>
        <v/>
      </c>
      <c r="I73" s="31">
        <f>IF(OR(B73="",C73=""),"",IF(C73&gt;B73*1.2,"Support",IF(B73&gt;C73*1.2,"Resistance","")))</f>
        <v/>
      </c>
    </row>
    <row r="74">
      <c r="A74" s="31">
        <f>GAMMA_THETA_MAP!A74</f>
        <v/>
      </c>
      <c r="B74" s="31">
        <f>GAMMA_THETA_MAP!B74</f>
        <v/>
      </c>
      <c r="C74" s="31">
        <f>GAMMA_THETA_MAP!C74</f>
        <v/>
      </c>
      <c r="D74" s="31">
        <f>SUMIFS(tblChainRaw[OI Change],tblChainRaw[Strike Price],A74,tblChainRaw[Option Type],"CE")</f>
        <v/>
      </c>
      <c r="E74" s="31">
        <f>SUMIFS(tblChainRaw[OI Change],tblChainRaw[Strike Price],A74,tblChainRaw[Option Type],"PE")</f>
        <v/>
      </c>
      <c r="F74" s="31">
        <f>IF(OR(B74="",C74=""),"",(C74-B74)/(C74+B74))</f>
        <v/>
      </c>
      <c r="G74" s="31">
        <f>GAMMA_THETA_MAP!F74</f>
        <v/>
      </c>
      <c r="H74" s="31">
        <f>GAMMA_THETA_MAP!I74</f>
        <v/>
      </c>
      <c r="I74" s="31">
        <f>IF(OR(B74="",C74=""),"",IF(C74&gt;B74*1.2,"Support",IF(B74&gt;C74*1.2,"Resistance","")))</f>
        <v/>
      </c>
    </row>
    <row r="75">
      <c r="A75" s="31">
        <f>GAMMA_THETA_MAP!A75</f>
        <v/>
      </c>
      <c r="B75" s="31">
        <f>GAMMA_THETA_MAP!B75</f>
        <v/>
      </c>
      <c r="C75" s="31">
        <f>GAMMA_THETA_MAP!C75</f>
        <v/>
      </c>
      <c r="D75" s="31">
        <f>SUMIFS(tblChainRaw[OI Change],tblChainRaw[Strike Price],A75,tblChainRaw[Option Type],"CE")</f>
        <v/>
      </c>
      <c r="E75" s="31">
        <f>SUMIFS(tblChainRaw[OI Change],tblChainRaw[Strike Price],A75,tblChainRaw[Option Type],"PE")</f>
        <v/>
      </c>
      <c r="F75" s="31">
        <f>IF(OR(B75="",C75=""),"",(C75-B75)/(C75+B75))</f>
        <v/>
      </c>
      <c r="G75" s="31">
        <f>GAMMA_THETA_MAP!F75</f>
        <v/>
      </c>
      <c r="H75" s="31">
        <f>GAMMA_THETA_MAP!I75</f>
        <v/>
      </c>
      <c r="I75" s="31">
        <f>IF(OR(B75="",C75=""),"",IF(C75&gt;B75*1.2,"Support",IF(B75&gt;C75*1.2,"Resistance","")))</f>
        <v/>
      </c>
    </row>
    <row r="76">
      <c r="A76" s="31">
        <f>GAMMA_THETA_MAP!A76</f>
        <v/>
      </c>
      <c r="B76" s="31">
        <f>GAMMA_THETA_MAP!B76</f>
        <v/>
      </c>
      <c r="C76" s="31">
        <f>GAMMA_THETA_MAP!C76</f>
        <v/>
      </c>
      <c r="D76" s="31">
        <f>SUMIFS(tblChainRaw[OI Change],tblChainRaw[Strike Price],A76,tblChainRaw[Option Type],"CE")</f>
        <v/>
      </c>
      <c r="E76" s="31">
        <f>SUMIFS(tblChainRaw[OI Change],tblChainRaw[Strike Price],A76,tblChainRaw[Option Type],"PE")</f>
        <v/>
      </c>
      <c r="F76" s="31">
        <f>IF(OR(B76="",C76=""),"",(C76-B76)/(C76+B76))</f>
        <v/>
      </c>
      <c r="G76" s="31">
        <f>GAMMA_THETA_MAP!F76</f>
        <v/>
      </c>
      <c r="H76" s="31">
        <f>GAMMA_THETA_MAP!I76</f>
        <v/>
      </c>
      <c r="I76" s="31">
        <f>IF(OR(B76="",C76=""),"",IF(C76&gt;B76*1.2,"Support",IF(B76&gt;C76*1.2,"Resistance","")))</f>
        <v/>
      </c>
    </row>
    <row r="77">
      <c r="A77" s="31">
        <f>GAMMA_THETA_MAP!A77</f>
        <v/>
      </c>
      <c r="B77" s="31">
        <f>GAMMA_THETA_MAP!B77</f>
        <v/>
      </c>
      <c r="C77" s="31">
        <f>GAMMA_THETA_MAP!C77</f>
        <v/>
      </c>
      <c r="D77" s="31">
        <f>SUMIFS(tblChainRaw[OI Change],tblChainRaw[Strike Price],A77,tblChainRaw[Option Type],"CE")</f>
        <v/>
      </c>
      <c r="E77" s="31">
        <f>SUMIFS(tblChainRaw[OI Change],tblChainRaw[Strike Price],A77,tblChainRaw[Option Type],"PE")</f>
        <v/>
      </c>
      <c r="F77" s="31">
        <f>IF(OR(B77="",C77=""),"",(C77-B77)/(C77+B77))</f>
        <v/>
      </c>
      <c r="G77" s="31">
        <f>GAMMA_THETA_MAP!F77</f>
        <v/>
      </c>
      <c r="H77" s="31">
        <f>GAMMA_THETA_MAP!I77</f>
        <v/>
      </c>
      <c r="I77" s="31">
        <f>IF(OR(B77="",C77=""),"",IF(C77&gt;B77*1.2,"Support",IF(B77&gt;C77*1.2,"Resistance","")))</f>
        <v/>
      </c>
    </row>
    <row r="78">
      <c r="A78" s="31">
        <f>GAMMA_THETA_MAP!A78</f>
        <v/>
      </c>
      <c r="B78" s="31">
        <f>GAMMA_THETA_MAP!B78</f>
        <v/>
      </c>
      <c r="C78" s="31">
        <f>GAMMA_THETA_MAP!C78</f>
        <v/>
      </c>
      <c r="D78" s="31">
        <f>SUMIFS(tblChainRaw[OI Change],tblChainRaw[Strike Price],A78,tblChainRaw[Option Type],"CE")</f>
        <v/>
      </c>
      <c r="E78" s="31">
        <f>SUMIFS(tblChainRaw[OI Change],tblChainRaw[Strike Price],A78,tblChainRaw[Option Type],"PE")</f>
        <v/>
      </c>
      <c r="F78" s="31">
        <f>IF(OR(B78="",C78=""),"",(C78-B78)/(C78+B78))</f>
        <v/>
      </c>
      <c r="G78" s="31">
        <f>GAMMA_THETA_MAP!F78</f>
        <v/>
      </c>
      <c r="H78" s="31">
        <f>GAMMA_THETA_MAP!I78</f>
        <v/>
      </c>
      <c r="I78" s="31">
        <f>IF(OR(B78="",C78=""),"",IF(C78&gt;B78*1.2,"Support",IF(B78&gt;C78*1.2,"Resistance","")))</f>
        <v/>
      </c>
    </row>
    <row r="79">
      <c r="A79" s="31">
        <f>GAMMA_THETA_MAP!A79</f>
        <v/>
      </c>
      <c r="B79" s="31">
        <f>GAMMA_THETA_MAP!B79</f>
        <v/>
      </c>
      <c r="C79" s="31">
        <f>GAMMA_THETA_MAP!C79</f>
        <v/>
      </c>
      <c r="D79" s="31">
        <f>SUMIFS(tblChainRaw[OI Change],tblChainRaw[Strike Price],A79,tblChainRaw[Option Type],"CE")</f>
        <v/>
      </c>
      <c r="E79" s="31">
        <f>SUMIFS(tblChainRaw[OI Change],tblChainRaw[Strike Price],A79,tblChainRaw[Option Type],"PE")</f>
        <v/>
      </c>
      <c r="F79" s="31">
        <f>IF(OR(B79="",C79=""),"",(C79-B79)/(C79+B79))</f>
        <v/>
      </c>
      <c r="G79" s="31">
        <f>GAMMA_THETA_MAP!F79</f>
        <v/>
      </c>
      <c r="H79" s="31">
        <f>GAMMA_THETA_MAP!I79</f>
        <v/>
      </c>
      <c r="I79" s="31">
        <f>IF(OR(B79="",C79=""),"",IF(C79&gt;B79*1.2,"Support",IF(B79&gt;C79*1.2,"Resistance","")))</f>
        <v/>
      </c>
    </row>
    <row r="80">
      <c r="A80" s="31">
        <f>GAMMA_THETA_MAP!A80</f>
        <v/>
      </c>
      <c r="B80" s="31">
        <f>GAMMA_THETA_MAP!B80</f>
        <v/>
      </c>
      <c r="C80" s="31">
        <f>GAMMA_THETA_MAP!C80</f>
        <v/>
      </c>
      <c r="D80" s="31">
        <f>SUMIFS(tblChainRaw[OI Change],tblChainRaw[Strike Price],A80,tblChainRaw[Option Type],"CE")</f>
        <v/>
      </c>
      <c r="E80" s="31">
        <f>SUMIFS(tblChainRaw[OI Change],tblChainRaw[Strike Price],A80,tblChainRaw[Option Type],"PE")</f>
        <v/>
      </c>
      <c r="F80" s="31">
        <f>IF(OR(B80="",C80=""),"",(C80-B80)/(C80+B80))</f>
        <v/>
      </c>
      <c r="G80" s="31">
        <f>GAMMA_THETA_MAP!F80</f>
        <v/>
      </c>
      <c r="H80" s="31">
        <f>GAMMA_THETA_MAP!I80</f>
        <v/>
      </c>
      <c r="I80" s="31">
        <f>IF(OR(B80="",C80=""),"",IF(C80&gt;B80*1.2,"Support",IF(B80&gt;C80*1.2,"Resistance","")))</f>
        <v/>
      </c>
    </row>
    <row r="81">
      <c r="A81" s="31">
        <f>GAMMA_THETA_MAP!A81</f>
        <v/>
      </c>
      <c r="B81" s="31">
        <f>GAMMA_THETA_MAP!B81</f>
        <v/>
      </c>
      <c r="C81" s="31">
        <f>GAMMA_THETA_MAP!C81</f>
        <v/>
      </c>
      <c r="D81" s="31">
        <f>SUMIFS(tblChainRaw[OI Change],tblChainRaw[Strike Price],A81,tblChainRaw[Option Type],"CE")</f>
        <v/>
      </c>
      <c r="E81" s="31">
        <f>SUMIFS(tblChainRaw[OI Change],tblChainRaw[Strike Price],A81,tblChainRaw[Option Type],"PE")</f>
        <v/>
      </c>
      <c r="F81" s="31">
        <f>IF(OR(B81="",C81=""),"",(C81-B81)/(C81+B81))</f>
        <v/>
      </c>
      <c r="G81" s="31">
        <f>GAMMA_THETA_MAP!F81</f>
        <v/>
      </c>
      <c r="H81" s="31">
        <f>GAMMA_THETA_MAP!I81</f>
        <v/>
      </c>
      <c r="I81" s="31">
        <f>IF(OR(B81="",C81=""),"",IF(C81&gt;B81*1.2,"Support",IF(B81&gt;C81*1.2,"Resistance","")))</f>
        <v/>
      </c>
    </row>
    <row r="82">
      <c r="A82" s="31">
        <f>GAMMA_THETA_MAP!A82</f>
        <v/>
      </c>
      <c r="B82" s="31">
        <f>GAMMA_THETA_MAP!B82</f>
        <v/>
      </c>
      <c r="C82" s="31">
        <f>GAMMA_THETA_MAP!C82</f>
        <v/>
      </c>
      <c r="D82" s="31">
        <f>SUMIFS(tblChainRaw[OI Change],tblChainRaw[Strike Price],A82,tblChainRaw[Option Type],"CE")</f>
        <v/>
      </c>
      <c r="E82" s="31">
        <f>SUMIFS(tblChainRaw[OI Change],tblChainRaw[Strike Price],A82,tblChainRaw[Option Type],"PE")</f>
        <v/>
      </c>
      <c r="F82" s="31">
        <f>IF(OR(B82="",C82=""),"",(C82-B82)/(C82+B82))</f>
        <v/>
      </c>
      <c r="G82" s="31">
        <f>GAMMA_THETA_MAP!F82</f>
        <v/>
      </c>
      <c r="H82" s="31">
        <f>GAMMA_THETA_MAP!I82</f>
        <v/>
      </c>
      <c r="I82" s="31">
        <f>IF(OR(B82="",C82=""),"",IF(C82&gt;B82*1.2,"Support",IF(B82&gt;C82*1.2,"Resistance","")))</f>
        <v/>
      </c>
    </row>
    <row r="83">
      <c r="A83" s="31">
        <f>GAMMA_THETA_MAP!A83</f>
        <v/>
      </c>
      <c r="B83" s="31">
        <f>GAMMA_THETA_MAP!B83</f>
        <v/>
      </c>
      <c r="C83" s="31">
        <f>GAMMA_THETA_MAP!C83</f>
        <v/>
      </c>
      <c r="D83" s="31">
        <f>SUMIFS(tblChainRaw[OI Change],tblChainRaw[Strike Price],A83,tblChainRaw[Option Type],"CE")</f>
        <v/>
      </c>
      <c r="E83" s="31">
        <f>SUMIFS(tblChainRaw[OI Change],tblChainRaw[Strike Price],A83,tblChainRaw[Option Type],"PE")</f>
        <v/>
      </c>
      <c r="F83" s="31">
        <f>IF(OR(B83="",C83=""),"",(C83-B83)/(C83+B83))</f>
        <v/>
      </c>
      <c r="G83" s="31">
        <f>GAMMA_THETA_MAP!F83</f>
        <v/>
      </c>
      <c r="H83" s="31">
        <f>GAMMA_THETA_MAP!I83</f>
        <v/>
      </c>
      <c r="I83" s="31">
        <f>IF(OR(B83="",C83=""),"",IF(C83&gt;B83*1.2,"Support",IF(B83&gt;C83*1.2,"Resistance","")))</f>
        <v/>
      </c>
    </row>
    <row r="84">
      <c r="A84" s="31">
        <f>GAMMA_THETA_MAP!A84</f>
        <v/>
      </c>
      <c r="B84" s="31">
        <f>GAMMA_THETA_MAP!B84</f>
        <v/>
      </c>
      <c r="C84" s="31">
        <f>GAMMA_THETA_MAP!C84</f>
        <v/>
      </c>
      <c r="D84" s="31">
        <f>SUMIFS(tblChainRaw[OI Change],tblChainRaw[Strike Price],A84,tblChainRaw[Option Type],"CE")</f>
        <v/>
      </c>
      <c r="E84" s="31">
        <f>SUMIFS(tblChainRaw[OI Change],tblChainRaw[Strike Price],A84,tblChainRaw[Option Type],"PE")</f>
        <v/>
      </c>
      <c r="F84" s="31">
        <f>IF(OR(B84="",C84=""),"",(C84-B84)/(C84+B84))</f>
        <v/>
      </c>
      <c r="G84" s="31">
        <f>GAMMA_THETA_MAP!F84</f>
        <v/>
      </c>
      <c r="H84" s="31">
        <f>GAMMA_THETA_MAP!I84</f>
        <v/>
      </c>
      <c r="I84" s="31">
        <f>IF(OR(B84="",C84=""),"",IF(C84&gt;B84*1.2,"Support",IF(B84&gt;C84*1.2,"Resistance","")))</f>
        <v/>
      </c>
    </row>
    <row r="85">
      <c r="A85" s="31">
        <f>GAMMA_THETA_MAP!A85</f>
        <v/>
      </c>
      <c r="B85" s="31">
        <f>GAMMA_THETA_MAP!B85</f>
        <v/>
      </c>
      <c r="C85" s="31">
        <f>GAMMA_THETA_MAP!C85</f>
        <v/>
      </c>
      <c r="D85" s="31">
        <f>SUMIFS(tblChainRaw[OI Change],tblChainRaw[Strike Price],A85,tblChainRaw[Option Type],"CE")</f>
        <v/>
      </c>
      <c r="E85" s="31">
        <f>SUMIFS(tblChainRaw[OI Change],tblChainRaw[Strike Price],A85,tblChainRaw[Option Type],"PE")</f>
        <v/>
      </c>
      <c r="F85" s="31">
        <f>IF(OR(B85="",C85=""),"",(C85-B85)/(C85+B85))</f>
        <v/>
      </c>
      <c r="G85" s="31">
        <f>GAMMA_THETA_MAP!F85</f>
        <v/>
      </c>
      <c r="H85" s="31">
        <f>GAMMA_THETA_MAP!I85</f>
        <v/>
      </c>
      <c r="I85" s="31">
        <f>IF(OR(B85="",C85=""),"",IF(C85&gt;B85*1.2,"Support",IF(B85&gt;C85*1.2,"Resistance","")))</f>
        <v/>
      </c>
    </row>
    <row r="86">
      <c r="A86" s="31">
        <f>GAMMA_THETA_MAP!A86</f>
        <v/>
      </c>
      <c r="B86" s="31">
        <f>GAMMA_THETA_MAP!B86</f>
        <v/>
      </c>
      <c r="C86" s="31">
        <f>GAMMA_THETA_MAP!C86</f>
        <v/>
      </c>
      <c r="D86" s="31">
        <f>SUMIFS(tblChainRaw[OI Change],tblChainRaw[Strike Price],A86,tblChainRaw[Option Type],"CE")</f>
        <v/>
      </c>
      <c r="E86" s="31">
        <f>SUMIFS(tblChainRaw[OI Change],tblChainRaw[Strike Price],A86,tblChainRaw[Option Type],"PE")</f>
        <v/>
      </c>
      <c r="F86" s="31">
        <f>IF(OR(B86="",C86=""),"",(C86-B86)/(C86+B86))</f>
        <v/>
      </c>
      <c r="G86" s="31">
        <f>GAMMA_THETA_MAP!F86</f>
        <v/>
      </c>
      <c r="H86" s="31">
        <f>GAMMA_THETA_MAP!I86</f>
        <v/>
      </c>
      <c r="I86" s="31">
        <f>IF(OR(B86="",C86=""),"",IF(C86&gt;B86*1.2,"Support",IF(B86&gt;C86*1.2,"Resistance","")))</f>
        <v/>
      </c>
    </row>
    <row r="87">
      <c r="A87" s="31">
        <f>GAMMA_THETA_MAP!A87</f>
        <v/>
      </c>
      <c r="B87" s="31">
        <f>GAMMA_THETA_MAP!B87</f>
        <v/>
      </c>
      <c r="C87" s="31">
        <f>GAMMA_THETA_MAP!C87</f>
        <v/>
      </c>
      <c r="D87" s="31">
        <f>SUMIFS(tblChainRaw[OI Change],tblChainRaw[Strike Price],A87,tblChainRaw[Option Type],"CE")</f>
        <v/>
      </c>
      <c r="E87" s="31">
        <f>SUMIFS(tblChainRaw[OI Change],tblChainRaw[Strike Price],A87,tblChainRaw[Option Type],"PE")</f>
        <v/>
      </c>
      <c r="F87" s="31">
        <f>IF(OR(B87="",C87=""),"",(C87-B87)/(C87+B87))</f>
        <v/>
      </c>
      <c r="G87" s="31">
        <f>GAMMA_THETA_MAP!F87</f>
        <v/>
      </c>
      <c r="H87" s="31">
        <f>GAMMA_THETA_MAP!I87</f>
        <v/>
      </c>
      <c r="I87" s="31">
        <f>IF(OR(B87="",C87=""),"",IF(C87&gt;B87*1.2,"Support",IF(B87&gt;C87*1.2,"Resistance","")))</f>
        <v/>
      </c>
    </row>
    <row r="88">
      <c r="A88" s="31">
        <f>GAMMA_THETA_MAP!A88</f>
        <v/>
      </c>
      <c r="B88" s="31">
        <f>GAMMA_THETA_MAP!B88</f>
        <v/>
      </c>
      <c r="C88" s="31">
        <f>GAMMA_THETA_MAP!C88</f>
        <v/>
      </c>
      <c r="D88" s="31">
        <f>SUMIFS(tblChainRaw[OI Change],tblChainRaw[Strike Price],A88,tblChainRaw[Option Type],"CE")</f>
        <v/>
      </c>
      <c r="E88" s="31">
        <f>SUMIFS(tblChainRaw[OI Change],tblChainRaw[Strike Price],A88,tblChainRaw[Option Type],"PE")</f>
        <v/>
      </c>
      <c r="F88" s="31">
        <f>IF(OR(B88="",C88=""),"",(C88-B88)/(C88+B88))</f>
        <v/>
      </c>
      <c r="G88" s="31">
        <f>GAMMA_THETA_MAP!F88</f>
        <v/>
      </c>
      <c r="H88" s="31">
        <f>GAMMA_THETA_MAP!I88</f>
        <v/>
      </c>
      <c r="I88" s="31">
        <f>IF(OR(B88="",C88=""),"",IF(C88&gt;B88*1.2,"Support",IF(B88&gt;C88*1.2,"Resistance","")))</f>
        <v/>
      </c>
    </row>
    <row r="89">
      <c r="A89" s="31">
        <f>GAMMA_THETA_MAP!A89</f>
        <v/>
      </c>
      <c r="B89" s="31">
        <f>GAMMA_THETA_MAP!B89</f>
        <v/>
      </c>
      <c r="C89" s="31">
        <f>GAMMA_THETA_MAP!C89</f>
        <v/>
      </c>
      <c r="D89" s="31">
        <f>SUMIFS(tblChainRaw[OI Change],tblChainRaw[Strike Price],A89,tblChainRaw[Option Type],"CE")</f>
        <v/>
      </c>
      <c r="E89" s="31">
        <f>SUMIFS(tblChainRaw[OI Change],tblChainRaw[Strike Price],A89,tblChainRaw[Option Type],"PE")</f>
        <v/>
      </c>
      <c r="F89" s="31">
        <f>IF(OR(B89="",C89=""),"",(C89-B89)/(C89+B89))</f>
        <v/>
      </c>
      <c r="G89" s="31">
        <f>GAMMA_THETA_MAP!F89</f>
        <v/>
      </c>
      <c r="H89" s="31">
        <f>GAMMA_THETA_MAP!I89</f>
        <v/>
      </c>
      <c r="I89" s="31">
        <f>IF(OR(B89="",C89=""),"",IF(C89&gt;B89*1.2,"Support",IF(B89&gt;C89*1.2,"Resistance","")))</f>
        <v/>
      </c>
    </row>
    <row r="90">
      <c r="A90" s="31">
        <f>GAMMA_THETA_MAP!A90</f>
        <v/>
      </c>
      <c r="B90" s="31">
        <f>GAMMA_THETA_MAP!B90</f>
        <v/>
      </c>
      <c r="C90" s="31">
        <f>GAMMA_THETA_MAP!C90</f>
        <v/>
      </c>
      <c r="D90" s="31">
        <f>SUMIFS(tblChainRaw[OI Change],tblChainRaw[Strike Price],A90,tblChainRaw[Option Type],"CE")</f>
        <v/>
      </c>
      <c r="E90" s="31">
        <f>SUMIFS(tblChainRaw[OI Change],tblChainRaw[Strike Price],A90,tblChainRaw[Option Type],"PE")</f>
        <v/>
      </c>
      <c r="F90" s="31">
        <f>IF(OR(B90="",C90=""),"",(C90-B90)/(C90+B90))</f>
        <v/>
      </c>
      <c r="G90" s="31">
        <f>GAMMA_THETA_MAP!F90</f>
        <v/>
      </c>
      <c r="H90" s="31">
        <f>GAMMA_THETA_MAP!I90</f>
        <v/>
      </c>
      <c r="I90" s="31">
        <f>IF(OR(B90="",C90=""),"",IF(C90&gt;B90*1.2,"Support",IF(B90&gt;C90*1.2,"Resistance","")))</f>
        <v/>
      </c>
    </row>
    <row r="91">
      <c r="A91" s="31">
        <f>GAMMA_THETA_MAP!A91</f>
        <v/>
      </c>
      <c r="B91" s="31">
        <f>GAMMA_THETA_MAP!B91</f>
        <v/>
      </c>
      <c r="C91" s="31">
        <f>GAMMA_THETA_MAP!C91</f>
        <v/>
      </c>
      <c r="D91" s="31">
        <f>SUMIFS(tblChainRaw[OI Change],tblChainRaw[Strike Price],A91,tblChainRaw[Option Type],"CE")</f>
        <v/>
      </c>
      <c r="E91" s="31">
        <f>SUMIFS(tblChainRaw[OI Change],tblChainRaw[Strike Price],A91,tblChainRaw[Option Type],"PE")</f>
        <v/>
      </c>
      <c r="F91" s="31">
        <f>IF(OR(B91="",C91=""),"",(C91-B91)/(C91+B91))</f>
        <v/>
      </c>
      <c r="G91" s="31">
        <f>GAMMA_THETA_MAP!F91</f>
        <v/>
      </c>
      <c r="H91" s="31">
        <f>GAMMA_THETA_MAP!I91</f>
        <v/>
      </c>
      <c r="I91" s="31">
        <f>IF(OR(B91="",C91=""),"",IF(C91&gt;B91*1.2,"Support",IF(B91&gt;C91*1.2,"Resistance","")))</f>
        <v/>
      </c>
    </row>
    <row r="92">
      <c r="A92" s="31">
        <f>GAMMA_THETA_MAP!A92</f>
        <v/>
      </c>
      <c r="B92" s="31">
        <f>GAMMA_THETA_MAP!B92</f>
        <v/>
      </c>
      <c r="C92" s="31">
        <f>GAMMA_THETA_MAP!C92</f>
        <v/>
      </c>
      <c r="D92" s="31">
        <f>SUMIFS(tblChainRaw[OI Change],tblChainRaw[Strike Price],A92,tblChainRaw[Option Type],"CE")</f>
        <v/>
      </c>
      <c r="E92" s="31">
        <f>SUMIFS(tblChainRaw[OI Change],tblChainRaw[Strike Price],A92,tblChainRaw[Option Type],"PE")</f>
        <v/>
      </c>
      <c r="F92" s="31">
        <f>IF(OR(B92="",C92=""),"",(C92-B92)/(C92+B92))</f>
        <v/>
      </c>
      <c r="G92" s="31">
        <f>GAMMA_THETA_MAP!F92</f>
        <v/>
      </c>
      <c r="H92" s="31">
        <f>GAMMA_THETA_MAP!I92</f>
        <v/>
      </c>
      <c r="I92" s="31">
        <f>IF(OR(B92="",C92=""),"",IF(C92&gt;B92*1.2,"Support",IF(B92&gt;C92*1.2,"Resistance","")))</f>
        <v/>
      </c>
    </row>
    <row r="93">
      <c r="A93" s="31">
        <f>GAMMA_THETA_MAP!A93</f>
        <v/>
      </c>
      <c r="B93" s="31">
        <f>GAMMA_THETA_MAP!B93</f>
        <v/>
      </c>
      <c r="C93" s="31">
        <f>GAMMA_THETA_MAP!C93</f>
        <v/>
      </c>
      <c r="D93" s="31">
        <f>SUMIFS(tblChainRaw[OI Change],tblChainRaw[Strike Price],A93,tblChainRaw[Option Type],"CE")</f>
        <v/>
      </c>
      <c r="E93" s="31">
        <f>SUMIFS(tblChainRaw[OI Change],tblChainRaw[Strike Price],A93,tblChainRaw[Option Type],"PE")</f>
        <v/>
      </c>
      <c r="F93" s="31">
        <f>IF(OR(B93="",C93=""),"",(C93-B93)/(C93+B93))</f>
        <v/>
      </c>
      <c r="G93" s="31">
        <f>GAMMA_THETA_MAP!F93</f>
        <v/>
      </c>
      <c r="H93" s="31">
        <f>GAMMA_THETA_MAP!I93</f>
        <v/>
      </c>
      <c r="I93" s="31">
        <f>IF(OR(B93="",C93=""),"",IF(C93&gt;B93*1.2,"Support",IF(B93&gt;C93*1.2,"Resistance","")))</f>
        <v/>
      </c>
    </row>
    <row r="94">
      <c r="A94" s="31">
        <f>GAMMA_THETA_MAP!A94</f>
        <v/>
      </c>
      <c r="B94" s="31">
        <f>GAMMA_THETA_MAP!B94</f>
        <v/>
      </c>
      <c r="C94" s="31">
        <f>GAMMA_THETA_MAP!C94</f>
        <v/>
      </c>
      <c r="D94" s="31">
        <f>SUMIFS(tblChainRaw[OI Change],tblChainRaw[Strike Price],A94,tblChainRaw[Option Type],"CE")</f>
        <v/>
      </c>
      <c r="E94" s="31">
        <f>SUMIFS(tblChainRaw[OI Change],tblChainRaw[Strike Price],A94,tblChainRaw[Option Type],"PE")</f>
        <v/>
      </c>
      <c r="F94" s="31">
        <f>IF(OR(B94="",C94=""),"",(C94-B94)/(C94+B94))</f>
        <v/>
      </c>
      <c r="G94" s="31">
        <f>GAMMA_THETA_MAP!F94</f>
        <v/>
      </c>
      <c r="H94" s="31">
        <f>GAMMA_THETA_MAP!I94</f>
        <v/>
      </c>
      <c r="I94" s="31">
        <f>IF(OR(B94="",C94=""),"",IF(C94&gt;B94*1.2,"Support",IF(B94&gt;C94*1.2,"Resistance","")))</f>
        <v/>
      </c>
    </row>
    <row r="95">
      <c r="A95" s="31">
        <f>GAMMA_THETA_MAP!A95</f>
        <v/>
      </c>
      <c r="B95" s="31">
        <f>GAMMA_THETA_MAP!B95</f>
        <v/>
      </c>
      <c r="C95" s="31">
        <f>GAMMA_THETA_MAP!C95</f>
        <v/>
      </c>
      <c r="D95" s="31">
        <f>SUMIFS(tblChainRaw[OI Change],tblChainRaw[Strike Price],A95,tblChainRaw[Option Type],"CE")</f>
        <v/>
      </c>
      <c r="E95" s="31">
        <f>SUMIFS(tblChainRaw[OI Change],tblChainRaw[Strike Price],A95,tblChainRaw[Option Type],"PE")</f>
        <v/>
      </c>
      <c r="F95" s="31">
        <f>IF(OR(B95="",C95=""),"",(C95-B95)/(C95+B95))</f>
        <v/>
      </c>
      <c r="G95" s="31">
        <f>GAMMA_THETA_MAP!F95</f>
        <v/>
      </c>
      <c r="H95" s="31">
        <f>GAMMA_THETA_MAP!I95</f>
        <v/>
      </c>
      <c r="I95" s="31">
        <f>IF(OR(B95="",C95=""),"",IF(C95&gt;B95*1.2,"Support",IF(B95&gt;C95*1.2,"Resistance","")))</f>
        <v/>
      </c>
    </row>
    <row r="96">
      <c r="A96" s="31">
        <f>GAMMA_THETA_MAP!A96</f>
        <v/>
      </c>
      <c r="B96" s="31">
        <f>GAMMA_THETA_MAP!B96</f>
        <v/>
      </c>
      <c r="C96" s="31">
        <f>GAMMA_THETA_MAP!C96</f>
        <v/>
      </c>
      <c r="D96" s="31">
        <f>SUMIFS(tblChainRaw[OI Change],tblChainRaw[Strike Price],A96,tblChainRaw[Option Type],"CE")</f>
        <v/>
      </c>
      <c r="E96" s="31">
        <f>SUMIFS(tblChainRaw[OI Change],tblChainRaw[Strike Price],A96,tblChainRaw[Option Type],"PE")</f>
        <v/>
      </c>
      <c r="F96" s="31">
        <f>IF(OR(B96="",C96=""),"",(C96-B96)/(C96+B96))</f>
        <v/>
      </c>
      <c r="G96" s="31">
        <f>GAMMA_THETA_MAP!F96</f>
        <v/>
      </c>
      <c r="H96" s="31">
        <f>GAMMA_THETA_MAP!I96</f>
        <v/>
      </c>
      <c r="I96" s="31">
        <f>IF(OR(B96="",C96=""),"",IF(C96&gt;B96*1.2,"Support",IF(B96&gt;C96*1.2,"Resistance","")))</f>
        <v/>
      </c>
    </row>
    <row r="97">
      <c r="A97" s="31">
        <f>GAMMA_THETA_MAP!A97</f>
        <v/>
      </c>
      <c r="B97" s="31">
        <f>GAMMA_THETA_MAP!B97</f>
        <v/>
      </c>
      <c r="C97" s="31">
        <f>GAMMA_THETA_MAP!C97</f>
        <v/>
      </c>
      <c r="D97" s="31">
        <f>SUMIFS(tblChainRaw[OI Change],tblChainRaw[Strike Price],A97,tblChainRaw[Option Type],"CE")</f>
        <v/>
      </c>
      <c r="E97" s="31">
        <f>SUMIFS(tblChainRaw[OI Change],tblChainRaw[Strike Price],A97,tblChainRaw[Option Type],"PE")</f>
        <v/>
      </c>
      <c r="F97" s="31">
        <f>IF(OR(B97="",C97=""),"",(C97-B97)/(C97+B97))</f>
        <v/>
      </c>
      <c r="G97" s="31">
        <f>GAMMA_THETA_MAP!F97</f>
        <v/>
      </c>
      <c r="H97" s="31">
        <f>GAMMA_THETA_MAP!I97</f>
        <v/>
      </c>
      <c r="I97" s="31">
        <f>IF(OR(B97="",C97=""),"",IF(C97&gt;B97*1.2,"Support",IF(B97&gt;C97*1.2,"Resistance","")))</f>
        <v/>
      </c>
    </row>
    <row r="98">
      <c r="A98" s="31">
        <f>GAMMA_THETA_MAP!A98</f>
        <v/>
      </c>
      <c r="B98" s="31">
        <f>GAMMA_THETA_MAP!B98</f>
        <v/>
      </c>
      <c r="C98" s="31">
        <f>GAMMA_THETA_MAP!C98</f>
        <v/>
      </c>
      <c r="D98" s="31">
        <f>SUMIFS(tblChainRaw[OI Change],tblChainRaw[Strike Price],A98,tblChainRaw[Option Type],"CE")</f>
        <v/>
      </c>
      <c r="E98" s="31">
        <f>SUMIFS(tblChainRaw[OI Change],tblChainRaw[Strike Price],A98,tblChainRaw[Option Type],"PE")</f>
        <v/>
      </c>
      <c r="F98" s="31">
        <f>IF(OR(B98="",C98=""),"",(C98-B98)/(C98+B98))</f>
        <v/>
      </c>
      <c r="G98" s="31">
        <f>GAMMA_THETA_MAP!F98</f>
        <v/>
      </c>
      <c r="H98" s="31">
        <f>GAMMA_THETA_MAP!I98</f>
        <v/>
      </c>
      <c r="I98" s="31">
        <f>IF(OR(B98="",C98=""),"",IF(C98&gt;B98*1.2,"Support",IF(B98&gt;C98*1.2,"Resistance","")))</f>
        <v/>
      </c>
    </row>
    <row r="99">
      <c r="A99" s="31">
        <f>GAMMA_THETA_MAP!A99</f>
        <v/>
      </c>
      <c r="B99" s="31">
        <f>GAMMA_THETA_MAP!B99</f>
        <v/>
      </c>
      <c r="C99" s="31">
        <f>GAMMA_THETA_MAP!C99</f>
        <v/>
      </c>
      <c r="D99" s="31">
        <f>SUMIFS(tblChainRaw[OI Change],tblChainRaw[Strike Price],A99,tblChainRaw[Option Type],"CE")</f>
        <v/>
      </c>
      <c r="E99" s="31">
        <f>SUMIFS(tblChainRaw[OI Change],tblChainRaw[Strike Price],A99,tblChainRaw[Option Type],"PE")</f>
        <v/>
      </c>
      <c r="F99" s="31">
        <f>IF(OR(B99="",C99=""),"",(C99-B99)/(C99+B99))</f>
        <v/>
      </c>
      <c r="G99" s="31">
        <f>GAMMA_THETA_MAP!F99</f>
        <v/>
      </c>
      <c r="H99" s="31">
        <f>GAMMA_THETA_MAP!I99</f>
        <v/>
      </c>
      <c r="I99" s="31">
        <f>IF(OR(B99="",C99=""),"",IF(C99&gt;B99*1.2,"Support",IF(B99&gt;C99*1.2,"Resistance","")))</f>
        <v/>
      </c>
    </row>
    <row r="100">
      <c r="A100" s="31">
        <f>GAMMA_THETA_MAP!A100</f>
        <v/>
      </c>
      <c r="B100" s="31">
        <f>GAMMA_THETA_MAP!B100</f>
        <v/>
      </c>
      <c r="C100" s="31">
        <f>GAMMA_THETA_MAP!C100</f>
        <v/>
      </c>
      <c r="D100" s="31">
        <f>SUMIFS(tblChainRaw[OI Change],tblChainRaw[Strike Price],A100,tblChainRaw[Option Type],"CE")</f>
        <v/>
      </c>
      <c r="E100" s="31">
        <f>SUMIFS(tblChainRaw[OI Change],tblChainRaw[Strike Price],A100,tblChainRaw[Option Type],"PE")</f>
        <v/>
      </c>
      <c r="F100" s="31">
        <f>IF(OR(B100="",C100=""),"",(C100-B100)/(C100+B100))</f>
        <v/>
      </c>
      <c r="G100" s="31">
        <f>GAMMA_THETA_MAP!F100</f>
        <v/>
      </c>
      <c r="H100" s="31">
        <f>GAMMA_THETA_MAP!I100</f>
        <v/>
      </c>
      <c r="I100" s="31">
        <f>IF(OR(B100="",C100=""),"",IF(C100&gt;B100*1.2,"Support",IF(B100&gt;C100*1.2,"Resistance","")))</f>
        <v/>
      </c>
    </row>
    <row r="101">
      <c r="A101" s="31">
        <f>GAMMA_THETA_MAP!A101</f>
        <v/>
      </c>
      <c r="B101" s="31">
        <f>GAMMA_THETA_MAP!B101</f>
        <v/>
      </c>
      <c r="C101" s="31">
        <f>GAMMA_THETA_MAP!C101</f>
        <v/>
      </c>
      <c r="D101" s="31">
        <f>SUMIFS(tblChainRaw[OI Change],tblChainRaw[Strike Price],A101,tblChainRaw[Option Type],"CE")</f>
        <v/>
      </c>
      <c r="E101" s="31">
        <f>SUMIFS(tblChainRaw[OI Change],tblChainRaw[Strike Price],A101,tblChainRaw[Option Type],"PE")</f>
        <v/>
      </c>
      <c r="F101" s="31">
        <f>IF(OR(B101="",C101=""),"",(C101-B101)/(C101+B101))</f>
        <v/>
      </c>
      <c r="G101" s="31">
        <f>GAMMA_THETA_MAP!F101</f>
        <v/>
      </c>
      <c r="H101" s="31">
        <f>GAMMA_THETA_MAP!I101</f>
        <v/>
      </c>
      <c r="I101" s="31">
        <f>IF(OR(B101="",C101=""),"",IF(C101&gt;B101*1.2,"Support",IF(B101&gt;C101*1.2,"Resistance","")))</f>
        <v/>
      </c>
    </row>
    <row r="102">
      <c r="A102" s="31">
        <f>GAMMA_THETA_MAP!A102</f>
        <v/>
      </c>
      <c r="B102" s="31">
        <f>GAMMA_THETA_MAP!B102</f>
        <v/>
      </c>
      <c r="C102" s="31">
        <f>GAMMA_THETA_MAP!C102</f>
        <v/>
      </c>
      <c r="D102" s="31">
        <f>SUMIFS(tblChainRaw[OI Change],tblChainRaw[Strike Price],A102,tblChainRaw[Option Type],"CE")</f>
        <v/>
      </c>
      <c r="E102" s="31">
        <f>SUMIFS(tblChainRaw[OI Change],tblChainRaw[Strike Price],A102,tblChainRaw[Option Type],"PE")</f>
        <v/>
      </c>
      <c r="F102" s="31">
        <f>IF(OR(B102="",C102=""),"",(C102-B102)/(C102+B102))</f>
        <v/>
      </c>
      <c r="G102" s="31">
        <f>GAMMA_THETA_MAP!F102</f>
        <v/>
      </c>
      <c r="H102" s="31">
        <f>GAMMA_THETA_MAP!I102</f>
        <v/>
      </c>
      <c r="I102" s="31">
        <f>IF(OR(B102="",C102=""),"",IF(C102&gt;B102*1.2,"Support",IF(B102&gt;C102*1.2,"Resistance","")))</f>
        <v/>
      </c>
    </row>
    <row r="103">
      <c r="A103" s="31">
        <f>GAMMA_THETA_MAP!A103</f>
        <v/>
      </c>
      <c r="B103" s="31">
        <f>GAMMA_THETA_MAP!B103</f>
        <v/>
      </c>
      <c r="C103" s="31">
        <f>GAMMA_THETA_MAP!C103</f>
        <v/>
      </c>
      <c r="D103" s="31">
        <f>SUMIFS(tblChainRaw[OI Change],tblChainRaw[Strike Price],A103,tblChainRaw[Option Type],"CE")</f>
        <v/>
      </c>
      <c r="E103" s="31">
        <f>SUMIFS(tblChainRaw[OI Change],tblChainRaw[Strike Price],A103,tblChainRaw[Option Type],"PE")</f>
        <v/>
      </c>
      <c r="F103" s="31">
        <f>IF(OR(B103="",C103=""),"",(C103-B103)/(C103+B103))</f>
        <v/>
      </c>
      <c r="G103" s="31">
        <f>GAMMA_THETA_MAP!F103</f>
        <v/>
      </c>
      <c r="H103" s="31">
        <f>GAMMA_THETA_MAP!I103</f>
        <v/>
      </c>
      <c r="I103" s="31">
        <f>IF(OR(B103="",C103=""),"",IF(C103&gt;B103*1.2,"Support",IF(B103&gt;C103*1.2,"Resistance","")))</f>
        <v/>
      </c>
    </row>
    <row r="104">
      <c r="A104" s="31">
        <f>GAMMA_THETA_MAP!A104</f>
        <v/>
      </c>
      <c r="B104" s="31">
        <f>GAMMA_THETA_MAP!B104</f>
        <v/>
      </c>
      <c r="C104" s="31">
        <f>GAMMA_THETA_MAP!C104</f>
        <v/>
      </c>
      <c r="D104" s="31">
        <f>SUMIFS(tblChainRaw[OI Change],tblChainRaw[Strike Price],A104,tblChainRaw[Option Type],"CE")</f>
        <v/>
      </c>
      <c r="E104" s="31">
        <f>SUMIFS(tblChainRaw[OI Change],tblChainRaw[Strike Price],A104,tblChainRaw[Option Type],"PE")</f>
        <v/>
      </c>
      <c r="F104" s="31">
        <f>IF(OR(B104="",C104=""),"",(C104-B104)/(C104+B104))</f>
        <v/>
      </c>
      <c r="G104" s="31">
        <f>GAMMA_THETA_MAP!F104</f>
        <v/>
      </c>
      <c r="H104" s="31">
        <f>GAMMA_THETA_MAP!I104</f>
        <v/>
      </c>
      <c r="I104" s="31">
        <f>IF(OR(B104="",C104=""),"",IF(C104&gt;B104*1.2,"Support",IF(B104&gt;C104*1.2,"Resistance","")))</f>
        <v/>
      </c>
    </row>
    <row r="105">
      <c r="A105" s="31">
        <f>GAMMA_THETA_MAP!A105</f>
        <v/>
      </c>
      <c r="B105" s="31">
        <f>GAMMA_THETA_MAP!B105</f>
        <v/>
      </c>
      <c r="C105" s="31">
        <f>GAMMA_THETA_MAP!C105</f>
        <v/>
      </c>
      <c r="D105" s="31">
        <f>SUMIFS(tblChainRaw[OI Change],tblChainRaw[Strike Price],A105,tblChainRaw[Option Type],"CE")</f>
        <v/>
      </c>
      <c r="E105" s="31">
        <f>SUMIFS(tblChainRaw[OI Change],tblChainRaw[Strike Price],A105,tblChainRaw[Option Type],"PE")</f>
        <v/>
      </c>
      <c r="F105" s="31">
        <f>IF(OR(B105="",C105=""),"",(C105-B105)/(C105+B105))</f>
        <v/>
      </c>
      <c r="G105" s="31">
        <f>GAMMA_THETA_MAP!F105</f>
        <v/>
      </c>
      <c r="H105" s="31">
        <f>GAMMA_THETA_MAP!I105</f>
        <v/>
      </c>
      <c r="I105" s="31">
        <f>IF(OR(B105="",C105=""),"",IF(C105&gt;B105*1.2,"Support",IF(B105&gt;C105*1.2,"Resistance","")))</f>
        <v/>
      </c>
    </row>
    <row r="106">
      <c r="A106" s="31">
        <f>GAMMA_THETA_MAP!A106</f>
        <v/>
      </c>
      <c r="B106" s="31">
        <f>GAMMA_THETA_MAP!B106</f>
        <v/>
      </c>
      <c r="C106" s="31">
        <f>GAMMA_THETA_MAP!C106</f>
        <v/>
      </c>
      <c r="D106" s="31">
        <f>SUMIFS(tblChainRaw[OI Change],tblChainRaw[Strike Price],A106,tblChainRaw[Option Type],"CE")</f>
        <v/>
      </c>
      <c r="E106" s="31">
        <f>SUMIFS(tblChainRaw[OI Change],tblChainRaw[Strike Price],A106,tblChainRaw[Option Type],"PE")</f>
        <v/>
      </c>
      <c r="F106" s="31">
        <f>IF(OR(B106="",C106=""),"",(C106-B106)/(C106+B106))</f>
        <v/>
      </c>
      <c r="G106" s="31">
        <f>GAMMA_THETA_MAP!F106</f>
        <v/>
      </c>
      <c r="H106" s="31">
        <f>GAMMA_THETA_MAP!I106</f>
        <v/>
      </c>
      <c r="I106" s="31">
        <f>IF(OR(B106="",C106=""),"",IF(C106&gt;B106*1.2,"Support",IF(B106&gt;C106*1.2,"Resistance","")))</f>
        <v/>
      </c>
    </row>
    <row r="107">
      <c r="A107" s="31">
        <f>GAMMA_THETA_MAP!A107</f>
        <v/>
      </c>
      <c r="B107" s="31">
        <f>GAMMA_THETA_MAP!B107</f>
        <v/>
      </c>
      <c r="C107" s="31">
        <f>GAMMA_THETA_MAP!C107</f>
        <v/>
      </c>
      <c r="D107" s="31">
        <f>SUMIFS(tblChainRaw[OI Change],tblChainRaw[Strike Price],A107,tblChainRaw[Option Type],"CE")</f>
        <v/>
      </c>
      <c r="E107" s="31">
        <f>SUMIFS(tblChainRaw[OI Change],tblChainRaw[Strike Price],A107,tblChainRaw[Option Type],"PE")</f>
        <v/>
      </c>
      <c r="F107" s="31">
        <f>IF(OR(B107="",C107=""),"",(C107-B107)/(C107+B107))</f>
        <v/>
      </c>
      <c r="G107" s="31">
        <f>GAMMA_THETA_MAP!F107</f>
        <v/>
      </c>
      <c r="H107" s="31">
        <f>GAMMA_THETA_MAP!I107</f>
        <v/>
      </c>
      <c r="I107" s="31">
        <f>IF(OR(B107="",C107=""),"",IF(C107&gt;B107*1.2,"Support",IF(B107&gt;C107*1.2,"Resistance","")))</f>
        <v/>
      </c>
    </row>
    <row r="108">
      <c r="A108" s="31">
        <f>GAMMA_THETA_MAP!A108</f>
        <v/>
      </c>
      <c r="B108" s="31">
        <f>GAMMA_THETA_MAP!B108</f>
        <v/>
      </c>
      <c r="C108" s="31">
        <f>GAMMA_THETA_MAP!C108</f>
        <v/>
      </c>
      <c r="D108" s="31">
        <f>SUMIFS(tblChainRaw[OI Change],tblChainRaw[Strike Price],A108,tblChainRaw[Option Type],"CE")</f>
        <v/>
      </c>
      <c r="E108" s="31">
        <f>SUMIFS(tblChainRaw[OI Change],tblChainRaw[Strike Price],A108,tblChainRaw[Option Type],"PE")</f>
        <v/>
      </c>
      <c r="F108" s="31">
        <f>IF(OR(B108="",C108=""),"",(C108-B108)/(C108+B108))</f>
        <v/>
      </c>
      <c r="G108" s="31">
        <f>GAMMA_THETA_MAP!F108</f>
        <v/>
      </c>
      <c r="H108" s="31">
        <f>GAMMA_THETA_MAP!I108</f>
        <v/>
      </c>
      <c r="I108" s="31">
        <f>IF(OR(B108="",C108=""),"",IF(C108&gt;B108*1.2,"Support",IF(B108&gt;C108*1.2,"Resistance","")))</f>
        <v/>
      </c>
    </row>
    <row r="109">
      <c r="A109" s="31">
        <f>GAMMA_THETA_MAP!A109</f>
        <v/>
      </c>
      <c r="B109" s="31">
        <f>GAMMA_THETA_MAP!B109</f>
        <v/>
      </c>
      <c r="C109" s="31">
        <f>GAMMA_THETA_MAP!C109</f>
        <v/>
      </c>
      <c r="D109" s="31">
        <f>SUMIFS(tblChainRaw[OI Change],tblChainRaw[Strike Price],A109,tblChainRaw[Option Type],"CE")</f>
        <v/>
      </c>
      <c r="E109" s="31">
        <f>SUMIFS(tblChainRaw[OI Change],tblChainRaw[Strike Price],A109,tblChainRaw[Option Type],"PE")</f>
        <v/>
      </c>
      <c r="F109" s="31">
        <f>IF(OR(B109="",C109=""),"",(C109-B109)/(C109+B109))</f>
        <v/>
      </c>
      <c r="G109" s="31">
        <f>GAMMA_THETA_MAP!F109</f>
        <v/>
      </c>
      <c r="H109" s="31">
        <f>GAMMA_THETA_MAP!I109</f>
        <v/>
      </c>
      <c r="I109" s="31">
        <f>IF(OR(B109="",C109=""),"",IF(C109&gt;B109*1.2,"Support",IF(B109&gt;C109*1.2,"Resistance","")))</f>
        <v/>
      </c>
    </row>
    <row r="110">
      <c r="A110" s="31">
        <f>GAMMA_THETA_MAP!A110</f>
        <v/>
      </c>
      <c r="B110" s="31">
        <f>GAMMA_THETA_MAP!B110</f>
        <v/>
      </c>
      <c r="C110" s="31">
        <f>GAMMA_THETA_MAP!C110</f>
        <v/>
      </c>
      <c r="D110" s="31">
        <f>SUMIFS(tblChainRaw[OI Change],tblChainRaw[Strike Price],A110,tblChainRaw[Option Type],"CE")</f>
        <v/>
      </c>
      <c r="E110" s="31">
        <f>SUMIFS(tblChainRaw[OI Change],tblChainRaw[Strike Price],A110,tblChainRaw[Option Type],"PE")</f>
        <v/>
      </c>
      <c r="F110" s="31">
        <f>IF(OR(B110="",C110=""),"",(C110-B110)/(C110+B110))</f>
        <v/>
      </c>
      <c r="G110" s="31">
        <f>GAMMA_THETA_MAP!F110</f>
        <v/>
      </c>
      <c r="H110" s="31">
        <f>GAMMA_THETA_MAP!I110</f>
        <v/>
      </c>
      <c r="I110" s="31">
        <f>IF(OR(B110="",C110=""),"",IF(C110&gt;B110*1.2,"Support",IF(B110&gt;C110*1.2,"Resistance","")))</f>
        <v/>
      </c>
    </row>
    <row r="111">
      <c r="A111" s="31">
        <f>GAMMA_THETA_MAP!A111</f>
        <v/>
      </c>
      <c r="B111" s="31">
        <f>GAMMA_THETA_MAP!B111</f>
        <v/>
      </c>
      <c r="C111" s="31">
        <f>GAMMA_THETA_MAP!C111</f>
        <v/>
      </c>
      <c r="D111" s="31">
        <f>SUMIFS(tblChainRaw[OI Change],tblChainRaw[Strike Price],A111,tblChainRaw[Option Type],"CE")</f>
        <v/>
      </c>
      <c r="E111" s="31">
        <f>SUMIFS(tblChainRaw[OI Change],tblChainRaw[Strike Price],A111,tblChainRaw[Option Type],"PE")</f>
        <v/>
      </c>
      <c r="F111" s="31">
        <f>IF(OR(B111="",C111=""),"",(C111-B111)/(C111+B111))</f>
        <v/>
      </c>
      <c r="G111" s="31">
        <f>GAMMA_THETA_MAP!F111</f>
        <v/>
      </c>
      <c r="H111" s="31">
        <f>GAMMA_THETA_MAP!I111</f>
        <v/>
      </c>
      <c r="I111" s="31">
        <f>IF(OR(B111="",C111=""),"",IF(C111&gt;B111*1.2,"Support",IF(B111&gt;C111*1.2,"Resistance","")))</f>
        <v/>
      </c>
    </row>
    <row r="112">
      <c r="A112" s="31">
        <f>GAMMA_THETA_MAP!A112</f>
        <v/>
      </c>
      <c r="B112" s="31">
        <f>GAMMA_THETA_MAP!B112</f>
        <v/>
      </c>
      <c r="C112" s="31">
        <f>GAMMA_THETA_MAP!C112</f>
        <v/>
      </c>
      <c r="D112" s="31">
        <f>SUMIFS(tblChainRaw[OI Change],tblChainRaw[Strike Price],A112,tblChainRaw[Option Type],"CE")</f>
        <v/>
      </c>
      <c r="E112" s="31">
        <f>SUMIFS(tblChainRaw[OI Change],tblChainRaw[Strike Price],A112,tblChainRaw[Option Type],"PE")</f>
        <v/>
      </c>
      <c r="F112" s="31">
        <f>IF(OR(B112="",C112=""),"",(C112-B112)/(C112+B112))</f>
        <v/>
      </c>
      <c r="G112" s="31">
        <f>GAMMA_THETA_MAP!F112</f>
        <v/>
      </c>
      <c r="H112" s="31">
        <f>GAMMA_THETA_MAP!I112</f>
        <v/>
      </c>
      <c r="I112" s="31">
        <f>IF(OR(B112="",C112=""),"",IF(C112&gt;B112*1.2,"Support",IF(B112&gt;C112*1.2,"Resistance","")))</f>
        <v/>
      </c>
    </row>
    <row r="113">
      <c r="A113" s="31">
        <f>GAMMA_THETA_MAP!A113</f>
        <v/>
      </c>
      <c r="B113" s="31">
        <f>GAMMA_THETA_MAP!B113</f>
        <v/>
      </c>
      <c r="C113" s="31">
        <f>GAMMA_THETA_MAP!C113</f>
        <v/>
      </c>
      <c r="D113" s="31">
        <f>SUMIFS(tblChainRaw[OI Change],tblChainRaw[Strike Price],A113,tblChainRaw[Option Type],"CE")</f>
        <v/>
      </c>
      <c r="E113" s="31">
        <f>SUMIFS(tblChainRaw[OI Change],tblChainRaw[Strike Price],A113,tblChainRaw[Option Type],"PE")</f>
        <v/>
      </c>
      <c r="F113" s="31">
        <f>IF(OR(B113="",C113=""),"",(C113-B113)/(C113+B113))</f>
        <v/>
      </c>
      <c r="G113" s="31">
        <f>GAMMA_THETA_MAP!F113</f>
        <v/>
      </c>
      <c r="H113" s="31">
        <f>GAMMA_THETA_MAP!I113</f>
        <v/>
      </c>
      <c r="I113" s="31">
        <f>IF(OR(B113="",C113=""),"",IF(C113&gt;B113*1.2,"Support",IF(B113&gt;C113*1.2,"Resistance","")))</f>
        <v/>
      </c>
    </row>
    <row r="114">
      <c r="A114" s="31">
        <f>GAMMA_THETA_MAP!A114</f>
        <v/>
      </c>
      <c r="B114" s="31">
        <f>GAMMA_THETA_MAP!B114</f>
        <v/>
      </c>
      <c r="C114" s="31">
        <f>GAMMA_THETA_MAP!C114</f>
        <v/>
      </c>
      <c r="D114" s="31">
        <f>SUMIFS(tblChainRaw[OI Change],tblChainRaw[Strike Price],A114,tblChainRaw[Option Type],"CE")</f>
        <v/>
      </c>
      <c r="E114" s="31">
        <f>SUMIFS(tblChainRaw[OI Change],tblChainRaw[Strike Price],A114,tblChainRaw[Option Type],"PE")</f>
        <v/>
      </c>
      <c r="F114" s="31">
        <f>IF(OR(B114="",C114=""),"",(C114-B114)/(C114+B114))</f>
        <v/>
      </c>
      <c r="G114" s="31">
        <f>GAMMA_THETA_MAP!F114</f>
        <v/>
      </c>
      <c r="H114" s="31">
        <f>GAMMA_THETA_MAP!I114</f>
        <v/>
      </c>
      <c r="I114" s="31">
        <f>IF(OR(B114="",C114=""),"",IF(C114&gt;B114*1.2,"Support",IF(B114&gt;C114*1.2,"Resistance","")))</f>
        <v/>
      </c>
    </row>
    <row r="115">
      <c r="A115" s="31">
        <f>GAMMA_THETA_MAP!A115</f>
        <v/>
      </c>
      <c r="B115" s="31">
        <f>GAMMA_THETA_MAP!B115</f>
        <v/>
      </c>
      <c r="C115" s="31">
        <f>GAMMA_THETA_MAP!C115</f>
        <v/>
      </c>
      <c r="D115" s="31">
        <f>SUMIFS(tblChainRaw[OI Change],tblChainRaw[Strike Price],A115,tblChainRaw[Option Type],"CE")</f>
        <v/>
      </c>
      <c r="E115" s="31">
        <f>SUMIFS(tblChainRaw[OI Change],tblChainRaw[Strike Price],A115,tblChainRaw[Option Type],"PE")</f>
        <v/>
      </c>
      <c r="F115" s="31">
        <f>IF(OR(B115="",C115=""),"",(C115-B115)/(C115+B115))</f>
        <v/>
      </c>
      <c r="G115" s="31">
        <f>GAMMA_THETA_MAP!F115</f>
        <v/>
      </c>
      <c r="H115" s="31">
        <f>GAMMA_THETA_MAP!I115</f>
        <v/>
      </c>
      <c r="I115" s="31">
        <f>IF(OR(B115="",C115=""),"",IF(C115&gt;B115*1.2,"Support",IF(B115&gt;C115*1.2,"Resistance","")))</f>
        <v/>
      </c>
    </row>
    <row r="116">
      <c r="A116" s="31">
        <f>GAMMA_THETA_MAP!A116</f>
        <v/>
      </c>
      <c r="B116" s="31">
        <f>GAMMA_THETA_MAP!B116</f>
        <v/>
      </c>
      <c r="C116" s="31">
        <f>GAMMA_THETA_MAP!C116</f>
        <v/>
      </c>
      <c r="D116" s="31">
        <f>SUMIFS(tblChainRaw[OI Change],tblChainRaw[Strike Price],A116,tblChainRaw[Option Type],"CE")</f>
        <v/>
      </c>
      <c r="E116" s="31">
        <f>SUMIFS(tblChainRaw[OI Change],tblChainRaw[Strike Price],A116,tblChainRaw[Option Type],"PE")</f>
        <v/>
      </c>
      <c r="F116" s="31">
        <f>IF(OR(B116="",C116=""),"",(C116-B116)/(C116+B116))</f>
        <v/>
      </c>
      <c r="G116" s="31">
        <f>GAMMA_THETA_MAP!F116</f>
        <v/>
      </c>
      <c r="H116" s="31">
        <f>GAMMA_THETA_MAP!I116</f>
        <v/>
      </c>
      <c r="I116" s="31">
        <f>IF(OR(B116="",C116=""),"",IF(C116&gt;B116*1.2,"Support",IF(B116&gt;C116*1.2,"Resistance","")))</f>
        <v/>
      </c>
    </row>
    <row r="117">
      <c r="A117" s="31">
        <f>GAMMA_THETA_MAP!A117</f>
        <v/>
      </c>
      <c r="B117" s="31">
        <f>GAMMA_THETA_MAP!B117</f>
        <v/>
      </c>
      <c r="C117" s="31">
        <f>GAMMA_THETA_MAP!C117</f>
        <v/>
      </c>
      <c r="D117" s="31">
        <f>SUMIFS(tblChainRaw[OI Change],tblChainRaw[Strike Price],A117,tblChainRaw[Option Type],"CE")</f>
        <v/>
      </c>
      <c r="E117" s="31">
        <f>SUMIFS(tblChainRaw[OI Change],tblChainRaw[Strike Price],A117,tblChainRaw[Option Type],"PE")</f>
        <v/>
      </c>
      <c r="F117" s="31">
        <f>IF(OR(B117="",C117=""),"",(C117-B117)/(C117+B117))</f>
        <v/>
      </c>
      <c r="G117" s="31">
        <f>GAMMA_THETA_MAP!F117</f>
        <v/>
      </c>
      <c r="H117" s="31">
        <f>GAMMA_THETA_MAP!I117</f>
        <v/>
      </c>
      <c r="I117" s="31">
        <f>IF(OR(B117="",C117=""),"",IF(C117&gt;B117*1.2,"Support",IF(B117&gt;C117*1.2,"Resistance","")))</f>
        <v/>
      </c>
    </row>
    <row r="118">
      <c r="A118" s="31">
        <f>GAMMA_THETA_MAP!A118</f>
        <v/>
      </c>
      <c r="B118" s="31">
        <f>GAMMA_THETA_MAP!B118</f>
        <v/>
      </c>
      <c r="C118" s="31">
        <f>GAMMA_THETA_MAP!C118</f>
        <v/>
      </c>
      <c r="D118" s="31">
        <f>SUMIFS(tblChainRaw[OI Change],tblChainRaw[Strike Price],A118,tblChainRaw[Option Type],"CE")</f>
        <v/>
      </c>
      <c r="E118" s="31">
        <f>SUMIFS(tblChainRaw[OI Change],tblChainRaw[Strike Price],A118,tblChainRaw[Option Type],"PE")</f>
        <v/>
      </c>
      <c r="F118" s="31">
        <f>IF(OR(B118="",C118=""),"",(C118-B118)/(C118+B118))</f>
        <v/>
      </c>
      <c r="G118" s="31">
        <f>GAMMA_THETA_MAP!F118</f>
        <v/>
      </c>
      <c r="H118" s="31">
        <f>GAMMA_THETA_MAP!I118</f>
        <v/>
      </c>
      <c r="I118" s="31">
        <f>IF(OR(B118="",C118=""),"",IF(C118&gt;B118*1.2,"Support",IF(B118&gt;C118*1.2,"Resistance","")))</f>
        <v/>
      </c>
    </row>
    <row r="119">
      <c r="A119" s="31">
        <f>GAMMA_THETA_MAP!A119</f>
        <v/>
      </c>
      <c r="B119" s="31">
        <f>GAMMA_THETA_MAP!B119</f>
        <v/>
      </c>
      <c r="C119" s="31">
        <f>GAMMA_THETA_MAP!C119</f>
        <v/>
      </c>
      <c r="D119" s="31">
        <f>SUMIFS(tblChainRaw[OI Change],tblChainRaw[Strike Price],A119,tblChainRaw[Option Type],"CE")</f>
        <v/>
      </c>
      <c r="E119" s="31">
        <f>SUMIFS(tblChainRaw[OI Change],tblChainRaw[Strike Price],A119,tblChainRaw[Option Type],"PE")</f>
        <v/>
      </c>
      <c r="F119" s="31">
        <f>IF(OR(B119="",C119=""),"",(C119-B119)/(C119+B119))</f>
        <v/>
      </c>
      <c r="G119" s="31">
        <f>GAMMA_THETA_MAP!F119</f>
        <v/>
      </c>
      <c r="H119" s="31">
        <f>GAMMA_THETA_MAP!I119</f>
        <v/>
      </c>
      <c r="I119" s="31">
        <f>IF(OR(B119="",C119=""),"",IF(C119&gt;B119*1.2,"Support",IF(B119&gt;C119*1.2,"Resistance","")))</f>
        <v/>
      </c>
    </row>
    <row r="120">
      <c r="A120" s="31">
        <f>GAMMA_THETA_MAP!A120</f>
        <v/>
      </c>
      <c r="B120" s="31">
        <f>GAMMA_THETA_MAP!B120</f>
        <v/>
      </c>
      <c r="C120" s="31">
        <f>GAMMA_THETA_MAP!C120</f>
        <v/>
      </c>
      <c r="D120" s="31">
        <f>SUMIFS(tblChainRaw[OI Change],tblChainRaw[Strike Price],A120,tblChainRaw[Option Type],"CE")</f>
        <v/>
      </c>
      <c r="E120" s="31">
        <f>SUMIFS(tblChainRaw[OI Change],tblChainRaw[Strike Price],A120,tblChainRaw[Option Type],"PE")</f>
        <v/>
      </c>
      <c r="F120" s="31">
        <f>IF(OR(B120="",C120=""),"",(C120-B120)/(C120+B120))</f>
        <v/>
      </c>
      <c r="G120" s="31">
        <f>GAMMA_THETA_MAP!F120</f>
        <v/>
      </c>
      <c r="H120" s="31">
        <f>GAMMA_THETA_MAP!I120</f>
        <v/>
      </c>
      <c r="I120" s="31">
        <f>IF(OR(B120="",C120=""),"",IF(C120&gt;B120*1.2,"Support",IF(B120&gt;C120*1.2,"Resistance","")))</f>
        <v/>
      </c>
    </row>
    <row r="121">
      <c r="A121" s="31">
        <f>GAMMA_THETA_MAP!A121</f>
        <v/>
      </c>
      <c r="B121" s="31">
        <f>GAMMA_THETA_MAP!B121</f>
        <v/>
      </c>
      <c r="C121" s="31">
        <f>GAMMA_THETA_MAP!C121</f>
        <v/>
      </c>
      <c r="D121" s="31">
        <f>SUMIFS(tblChainRaw[OI Change],tblChainRaw[Strike Price],A121,tblChainRaw[Option Type],"CE")</f>
        <v/>
      </c>
      <c r="E121" s="31">
        <f>SUMIFS(tblChainRaw[OI Change],tblChainRaw[Strike Price],A121,tblChainRaw[Option Type],"PE")</f>
        <v/>
      </c>
      <c r="F121" s="31">
        <f>IF(OR(B121="",C121=""),"",(C121-B121)/(C121+B121))</f>
        <v/>
      </c>
      <c r="G121" s="31">
        <f>GAMMA_THETA_MAP!F121</f>
        <v/>
      </c>
      <c r="H121" s="31">
        <f>GAMMA_THETA_MAP!I121</f>
        <v/>
      </c>
      <c r="I121" s="31">
        <f>IF(OR(B121="",C121=""),"",IF(C121&gt;B121*1.2,"Support",IF(B121&gt;C121*1.2,"Resistance","")))</f>
        <v/>
      </c>
    </row>
    <row r="122">
      <c r="A122" s="31">
        <f>GAMMA_THETA_MAP!A122</f>
        <v/>
      </c>
      <c r="B122" s="31">
        <f>GAMMA_THETA_MAP!B122</f>
        <v/>
      </c>
      <c r="C122" s="31">
        <f>GAMMA_THETA_MAP!C122</f>
        <v/>
      </c>
      <c r="D122" s="31">
        <f>SUMIFS(tblChainRaw[OI Change],tblChainRaw[Strike Price],A122,tblChainRaw[Option Type],"CE")</f>
        <v/>
      </c>
      <c r="E122" s="31">
        <f>SUMIFS(tblChainRaw[OI Change],tblChainRaw[Strike Price],A122,tblChainRaw[Option Type],"PE")</f>
        <v/>
      </c>
      <c r="F122" s="31">
        <f>IF(OR(B122="",C122=""),"",(C122-B122)/(C122+B122))</f>
        <v/>
      </c>
      <c r="G122" s="31">
        <f>GAMMA_THETA_MAP!F122</f>
        <v/>
      </c>
      <c r="H122" s="31">
        <f>GAMMA_THETA_MAP!I122</f>
        <v/>
      </c>
      <c r="I122" s="31">
        <f>IF(OR(B122="",C122=""),"",IF(C122&gt;B122*1.2,"Support",IF(B122&gt;C122*1.2,"Resistance","")))</f>
        <v/>
      </c>
    </row>
    <row r="123">
      <c r="A123" s="31">
        <f>GAMMA_THETA_MAP!A123</f>
        <v/>
      </c>
      <c r="B123" s="31">
        <f>GAMMA_THETA_MAP!B123</f>
        <v/>
      </c>
      <c r="C123" s="31">
        <f>GAMMA_THETA_MAP!C123</f>
        <v/>
      </c>
      <c r="D123" s="31">
        <f>SUMIFS(tblChainRaw[OI Change],tblChainRaw[Strike Price],A123,tblChainRaw[Option Type],"CE")</f>
        <v/>
      </c>
      <c r="E123" s="31">
        <f>SUMIFS(tblChainRaw[OI Change],tblChainRaw[Strike Price],A123,tblChainRaw[Option Type],"PE")</f>
        <v/>
      </c>
      <c r="F123" s="31">
        <f>IF(OR(B123="",C123=""),"",(C123-B123)/(C123+B123))</f>
        <v/>
      </c>
      <c r="G123" s="31">
        <f>GAMMA_THETA_MAP!F123</f>
        <v/>
      </c>
      <c r="H123" s="31">
        <f>GAMMA_THETA_MAP!I123</f>
        <v/>
      </c>
      <c r="I123" s="31">
        <f>IF(OR(B123="",C123=""),"",IF(C123&gt;B123*1.2,"Support",IF(B123&gt;C123*1.2,"Resistance","")))</f>
        <v/>
      </c>
    </row>
    <row r="124">
      <c r="A124" s="31">
        <f>GAMMA_THETA_MAP!A124</f>
        <v/>
      </c>
      <c r="B124" s="31">
        <f>GAMMA_THETA_MAP!B124</f>
        <v/>
      </c>
      <c r="C124" s="31">
        <f>GAMMA_THETA_MAP!C124</f>
        <v/>
      </c>
      <c r="D124" s="31">
        <f>SUMIFS(tblChainRaw[OI Change],tblChainRaw[Strike Price],A124,tblChainRaw[Option Type],"CE")</f>
        <v/>
      </c>
      <c r="E124" s="31">
        <f>SUMIFS(tblChainRaw[OI Change],tblChainRaw[Strike Price],A124,tblChainRaw[Option Type],"PE")</f>
        <v/>
      </c>
      <c r="F124" s="31">
        <f>IF(OR(B124="",C124=""),"",(C124-B124)/(C124+B124))</f>
        <v/>
      </c>
      <c r="G124" s="31">
        <f>GAMMA_THETA_MAP!F124</f>
        <v/>
      </c>
      <c r="H124" s="31">
        <f>GAMMA_THETA_MAP!I124</f>
        <v/>
      </c>
      <c r="I124" s="31">
        <f>IF(OR(B124="",C124=""),"",IF(C124&gt;B124*1.2,"Support",IF(B124&gt;C124*1.2,"Resistance","")))</f>
        <v/>
      </c>
    </row>
    <row r="125">
      <c r="A125" s="31">
        <f>GAMMA_THETA_MAP!A125</f>
        <v/>
      </c>
      <c r="B125" s="31">
        <f>GAMMA_THETA_MAP!B125</f>
        <v/>
      </c>
      <c r="C125" s="31">
        <f>GAMMA_THETA_MAP!C125</f>
        <v/>
      </c>
      <c r="D125" s="31">
        <f>SUMIFS(tblChainRaw[OI Change],tblChainRaw[Strike Price],A125,tblChainRaw[Option Type],"CE")</f>
        <v/>
      </c>
      <c r="E125" s="31">
        <f>SUMIFS(tblChainRaw[OI Change],tblChainRaw[Strike Price],A125,tblChainRaw[Option Type],"PE")</f>
        <v/>
      </c>
      <c r="F125" s="31">
        <f>IF(OR(B125="",C125=""),"",(C125-B125)/(C125+B125))</f>
        <v/>
      </c>
      <c r="G125" s="31">
        <f>GAMMA_THETA_MAP!F125</f>
        <v/>
      </c>
      <c r="H125" s="31">
        <f>GAMMA_THETA_MAP!I125</f>
        <v/>
      </c>
      <c r="I125" s="31">
        <f>IF(OR(B125="",C125=""),"",IF(C125&gt;B125*1.2,"Support",IF(B125&gt;C125*1.2,"Resistance","")))</f>
        <v/>
      </c>
    </row>
    <row r="126">
      <c r="A126" s="31">
        <f>GAMMA_THETA_MAP!A126</f>
        <v/>
      </c>
      <c r="B126" s="31">
        <f>GAMMA_THETA_MAP!B126</f>
        <v/>
      </c>
      <c r="C126" s="31">
        <f>GAMMA_THETA_MAP!C126</f>
        <v/>
      </c>
      <c r="D126" s="31">
        <f>SUMIFS(tblChainRaw[OI Change],tblChainRaw[Strike Price],A126,tblChainRaw[Option Type],"CE")</f>
        <v/>
      </c>
      <c r="E126" s="31">
        <f>SUMIFS(tblChainRaw[OI Change],tblChainRaw[Strike Price],A126,tblChainRaw[Option Type],"PE")</f>
        <v/>
      </c>
      <c r="F126" s="31">
        <f>IF(OR(B126="",C126=""),"",(C126-B126)/(C126+B126))</f>
        <v/>
      </c>
      <c r="G126" s="31">
        <f>GAMMA_THETA_MAP!F126</f>
        <v/>
      </c>
      <c r="H126" s="31">
        <f>GAMMA_THETA_MAP!I126</f>
        <v/>
      </c>
      <c r="I126" s="31">
        <f>IF(OR(B126="",C126=""),"",IF(C126&gt;B126*1.2,"Support",IF(B126&gt;C126*1.2,"Resistance","")))</f>
        <v/>
      </c>
    </row>
    <row r="127">
      <c r="A127" s="31">
        <f>GAMMA_THETA_MAP!A127</f>
        <v/>
      </c>
      <c r="B127" s="31">
        <f>GAMMA_THETA_MAP!B127</f>
        <v/>
      </c>
      <c r="C127" s="31">
        <f>GAMMA_THETA_MAP!C127</f>
        <v/>
      </c>
      <c r="D127" s="31">
        <f>SUMIFS(tblChainRaw[OI Change],tblChainRaw[Strike Price],A127,tblChainRaw[Option Type],"CE")</f>
        <v/>
      </c>
      <c r="E127" s="31">
        <f>SUMIFS(tblChainRaw[OI Change],tblChainRaw[Strike Price],A127,tblChainRaw[Option Type],"PE")</f>
        <v/>
      </c>
      <c r="F127" s="31">
        <f>IF(OR(B127="",C127=""),"",(C127-B127)/(C127+B127))</f>
        <v/>
      </c>
      <c r="G127" s="31">
        <f>GAMMA_THETA_MAP!F127</f>
        <v/>
      </c>
      <c r="H127" s="31">
        <f>GAMMA_THETA_MAP!I127</f>
        <v/>
      </c>
      <c r="I127" s="31">
        <f>IF(OR(B127="",C127=""),"",IF(C127&gt;B127*1.2,"Support",IF(B127&gt;C127*1.2,"Resistance","")))</f>
        <v/>
      </c>
    </row>
    <row r="128">
      <c r="A128" s="31">
        <f>GAMMA_THETA_MAP!A128</f>
        <v/>
      </c>
      <c r="B128" s="31">
        <f>GAMMA_THETA_MAP!B128</f>
        <v/>
      </c>
      <c r="C128" s="31">
        <f>GAMMA_THETA_MAP!C128</f>
        <v/>
      </c>
      <c r="D128" s="31">
        <f>SUMIFS(tblChainRaw[OI Change],tblChainRaw[Strike Price],A128,tblChainRaw[Option Type],"CE")</f>
        <v/>
      </c>
      <c r="E128" s="31">
        <f>SUMIFS(tblChainRaw[OI Change],tblChainRaw[Strike Price],A128,tblChainRaw[Option Type],"PE")</f>
        <v/>
      </c>
      <c r="F128" s="31">
        <f>IF(OR(B128="",C128=""),"",(C128-B128)/(C128+B128))</f>
        <v/>
      </c>
      <c r="G128" s="31">
        <f>GAMMA_THETA_MAP!F128</f>
        <v/>
      </c>
      <c r="H128" s="31">
        <f>GAMMA_THETA_MAP!I128</f>
        <v/>
      </c>
      <c r="I128" s="31">
        <f>IF(OR(B128="",C128=""),"",IF(C128&gt;B128*1.2,"Support",IF(B128&gt;C128*1.2,"Resistance","")))</f>
        <v/>
      </c>
    </row>
    <row r="129">
      <c r="A129" s="31">
        <f>GAMMA_THETA_MAP!A129</f>
        <v/>
      </c>
      <c r="B129" s="31">
        <f>GAMMA_THETA_MAP!B129</f>
        <v/>
      </c>
      <c r="C129" s="31">
        <f>GAMMA_THETA_MAP!C129</f>
        <v/>
      </c>
      <c r="D129" s="31">
        <f>SUMIFS(tblChainRaw[OI Change],tblChainRaw[Strike Price],A129,tblChainRaw[Option Type],"CE")</f>
        <v/>
      </c>
      <c r="E129" s="31">
        <f>SUMIFS(tblChainRaw[OI Change],tblChainRaw[Strike Price],A129,tblChainRaw[Option Type],"PE")</f>
        <v/>
      </c>
      <c r="F129" s="31">
        <f>IF(OR(B129="",C129=""),"",(C129-B129)/(C129+B129))</f>
        <v/>
      </c>
      <c r="G129" s="31">
        <f>GAMMA_THETA_MAP!F129</f>
        <v/>
      </c>
      <c r="H129" s="31">
        <f>GAMMA_THETA_MAP!I129</f>
        <v/>
      </c>
      <c r="I129" s="31">
        <f>IF(OR(B129="",C129=""),"",IF(C129&gt;B129*1.2,"Support",IF(B129&gt;C129*1.2,"Resistance","")))</f>
        <v/>
      </c>
    </row>
    <row r="130">
      <c r="A130" s="31">
        <f>GAMMA_THETA_MAP!A130</f>
        <v/>
      </c>
      <c r="B130" s="31">
        <f>GAMMA_THETA_MAP!B130</f>
        <v/>
      </c>
      <c r="C130" s="31">
        <f>GAMMA_THETA_MAP!C130</f>
        <v/>
      </c>
      <c r="D130" s="31">
        <f>SUMIFS(tblChainRaw[OI Change],tblChainRaw[Strike Price],A130,tblChainRaw[Option Type],"CE")</f>
        <v/>
      </c>
      <c r="E130" s="31">
        <f>SUMIFS(tblChainRaw[OI Change],tblChainRaw[Strike Price],A130,tblChainRaw[Option Type],"PE")</f>
        <v/>
      </c>
      <c r="F130" s="31">
        <f>IF(OR(B130="",C130=""),"",(C130-B130)/(C130+B130))</f>
        <v/>
      </c>
      <c r="G130" s="31">
        <f>GAMMA_THETA_MAP!F130</f>
        <v/>
      </c>
      <c r="H130" s="31">
        <f>GAMMA_THETA_MAP!I130</f>
        <v/>
      </c>
      <c r="I130" s="31">
        <f>IF(OR(B130="",C130=""),"",IF(C130&gt;B130*1.2,"Support",IF(B130&gt;C130*1.2,"Resistance","")))</f>
        <v/>
      </c>
    </row>
    <row r="131">
      <c r="A131" s="31">
        <f>GAMMA_THETA_MAP!A131</f>
        <v/>
      </c>
      <c r="B131" s="31">
        <f>GAMMA_THETA_MAP!B131</f>
        <v/>
      </c>
      <c r="C131" s="31">
        <f>GAMMA_THETA_MAP!C131</f>
        <v/>
      </c>
      <c r="D131" s="31">
        <f>SUMIFS(tblChainRaw[OI Change],tblChainRaw[Strike Price],A131,tblChainRaw[Option Type],"CE")</f>
        <v/>
      </c>
      <c r="E131" s="31">
        <f>SUMIFS(tblChainRaw[OI Change],tblChainRaw[Strike Price],A131,tblChainRaw[Option Type],"PE")</f>
        <v/>
      </c>
      <c r="F131" s="31">
        <f>IF(OR(B131="",C131=""),"",(C131-B131)/(C131+B131))</f>
        <v/>
      </c>
      <c r="G131" s="31">
        <f>GAMMA_THETA_MAP!F131</f>
        <v/>
      </c>
      <c r="H131" s="31">
        <f>GAMMA_THETA_MAP!I131</f>
        <v/>
      </c>
      <c r="I131" s="31">
        <f>IF(OR(B131="",C131=""),"",IF(C131&gt;B131*1.2,"Support",IF(B131&gt;C131*1.2,"Resistance","")))</f>
        <v/>
      </c>
    </row>
    <row r="132">
      <c r="A132" s="31">
        <f>GAMMA_THETA_MAP!A132</f>
        <v/>
      </c>
      <c r="B132" s="31">
        <f>GAMMA_THETA_MAP!B132</f>
        <v/>
      </c>
      <c r="C132" s="31">
        <f>GAMMA_THETA_MAP!C132</f>
        <v/>
      </c>
      <c r="D132" s="31">
        <f>SUMIFS(tblChainRaw[OI Change],tblChainRaw[Strike Price],A132,tblChainRaw[Option Type],"CE")</f>
        <v/>
      </c>
      <c r="E132" s="31">
        <f>SUMIFS(tblChainRaw[OI Change],tblChainRaw[Strike Price],A132,tblChainRaw[Option Type],"PE")</f>
        <v/>
      </c>
      <c r="F132" s="31">
        <f>IF(OR(B132="",C132=""),"",(C132-B132)/(C132+B132))</f>
        <v/>
      </c>
      <c r="G132" s="31">
        <f>GAMMA_THETA_MAP!F132</f>
        <v/>
      </c>
      <c r="H132" s="31">
        <f>GAMMA_THETA_MAP!I132</f>
        <v/>
      </c>
      <c r="I132" s="31">
        <f>IF(OR(B132="",C132=""),"",IF(C132&gt;B132*1.2,"Support",IF(B132&gt;C132*1.2,"Resistance","")))</f>
        <v/>
      </c>
    </row>
    <row r="133">
      <c r="A133" s="31">
        <f>GAMMA_THETA_MAP!A133</f>
        <v/>
      </c>
      <c r="B133" s="31">
        <f>GAMMA_THETA_MAP!B133</f>
        <v/>
      </c>
      <c r="C133" s="31">
        <f>GAMMA_THETA_MAP!C133</f>
        <v/>
      </c>
      <c r="D133" s="31">
        <f>SUMIFS(tblChainRaw[OI Change],tblChainRaw[Strike Price],A133,tblChainRaw[Option Type],"CE")</f>
        <v/>
      </c>
      <c r="E133" s="31">
        <f>SUMIFS(tblChainRaw[OI Change],tblChainRaw[Strike Price],A133,tblChainRaw[Option Type],"PE")</f>
        <v/>
      </c>
      <c r="F133" s="31">
        <f>IF(OR(B133="",C133=""),"",(C133-B133)/(C133+B133))</f>
        <v/>
      </c>
      <c r="G133" s="31">
        <f>GAMMA_THETA_MAP!F133</f>
        <v/>
      </c>
      <c r="H133" s="31">
        <f>GAMMA_THETA_MAP!I133</f>
        <v/>
      </c>
      <c r="I133" s="31">
        <f>IF(OR(B133="",C133=""),"",IF(C133&gt;B133*1.2,"Support",IF(B133&gt;C133*1.2,"Resistance","")))</f>
        <v/>
      </c>
    </row>
    <row r="134">
      <c r="A134" s="31">
        <f>GAMMA_THETA_MAP!A134</f>
        <v/>
      </c>
      <c r="B134" s="31">
        <f>GAMMA_THETA_MAP!B134</f>
        <v/>
      </c>
      <c r="C134" s="31">
        <f>GAMMA_THETA_MAP!C134</f>
        <v/>
      </c>
      <c r="D134" s="31">
        <f>SUMIFS(tblChainRaw[OI Change],tblChainRaw[Strike Price],A134,tblChainRaw[Option Type],"CE")</f>
        <v/>
      </c>
      <c r="E134" s="31">
        <f>SUMIFS(tblChainRaw[OI Change],tblChainRaw[Strike Price],A134,tblChainRaw[Option Type],"PE")</f>
        <v/>
      </c>
      <c r="F134" s="31">
        <f>IF(OR(B134="",C134=""),"",(C134-B134)/(C134+B134))</f>
        <v/>
      </c>
      <c r="G134" s="31">
        <f>GAMMA_THETA_MAP!F134</f>
        <v/>
      </c>
      <c r="H134" s="31">
        <f>GAMMA_THETA_MAP!I134</f>
        <v/>
      </c>
      <c r="I134" s="31">
        <f>IF(OR(B134="",C134=""),"",IF(C134&gt;B134*1.2,"Support",IF(B134&gt;C134*1.2,"Resistance","")))</f>
        <v/>
      </c>
    </row>
    <row r="135">
      <c r="A135" s="31">
        <f>GAMMA_THETA_MAP!A135</f>
        <v/>
      </c>
      <c r="B135" s="31">
        <f>GAMMA_THETA_MAP!B135</f>
        <v/>
      </c>
      <c r="C135" s="31">
        <f>GAMMA_THETA_MAP!C135</f>
        <v/>
      </c>
      <c r="D135" s="31">
        <f>SUMIFS(tblChainRaw[OI Change],tblChainRaw[Strike Price],A135,tblChainRaw[Option Type],"CE")</f>
        <v/>
      </c>
      <c r="E135" s="31">
        <f>SUMIFS(tblChainRaw[OI Change],tblChainRaw[Strike Price],A135,tblChainRaw[Option Type],"PE")</f>
        <v/>
      </c>
      <c r="F135" s="31">
        <f>IF(OR(B135="",C135=""),"",(C135-B135)/(C135+B135))</f>
        <v/>
      </c>
      <c r="G135" s="31">
        <f>GAMMA_THETA_MAP!F135</f>
        <v/>
      </c>
      <c r="H135" s="31">
        <f>GAMMA_THETA_MAP!I135</f>
        <v/>
      </c>
      <c r="I135" s="31">
        <f>IF(OR(B135="",C135=""),"",IF(C135&gt;B135*1.2,"Support",IF(B135&gt;C135*1.2,"Resistance","")))</f>
        <v/>
      </c>
    </row>
    <row r="136">
      <c r="A136" s="31">
        <f>GAMMA_THETA_MAP!A136</f>
        <v/>
      </c>
      <c r="B136" s="31">
        <f>GAMMA_THETA_MAP!B136</f>
        <v/>
      </c>
      <c r="C136" s="31">
        <f>GAMMA_THETA_MAP!C136</f>
        <v/>
      </c>
      <c r="D136" s="31">
        <f>SUMIFS(tblChainRaw[OI Change],tblChainRaw[Strike Price],A136,tblChainRaw[Option Type],"CE")</f>
        <v/>
      </c>
      <c r="E136" s="31">
        <f>SUMIFS(tblChainRaw[OI Change],tblChainRaw[Strike Price],A136,tblChainRaw[Option Type],"PE")</f>
        <v/>
      </c>
      <c r="F136" s="31">
        <f>IF(OR(B136="",C136=""),"",(C136-B136)/(C136+B136))</f>
        <v/>
      </c>
      <c r="G136" s="31">
        <f>GAMMA_THETA_MAP!F136</f>
        <v/>
      </c>
      <c r="H136" s="31">
        <f>GAMMA_THETA_MAP!I136</f>
        <v/>
      </c>
      <c r="I136" s="31">
        <f>IF(OR(B136="",C136=""),"",IF(C136&gt;B136*1.2,"Support",IF(B136&gt;C136*1.2,"Resistance","")))</f>
        <v/>
      </c>
    </row>
    <row r="137">
      <c r="A137" s="31">
        <f>GAMMA_THETA_MAP!A137</f>
        <v/>
      </c>
      <c r="B137" s="31">
        <f>GAMMA_THETA_MAP!B137</f>
        <v/>
      </c>
      <c r="C137" s="31">
        <f>GAMMA_THETA_MAP!C137</f>
        <v/>
      </c>
      <c r="D137" s="31">
        <f>SUMIFS(tblChainRaw[OI Change],tblChainRaw[Strike Price],A137,tblChainRaw[Option Type],"CE")</f>
        <v/>
      </c>
      <c r="E137" s="31">
        <f>SUMIFS(tblChainRaw[OI Change],tblChainRaw[Strike Price],A137,tblChainRaw[Option Type],"PE")</f>
        <v/>
      </c>
      <c r="F137" s="31">
        <f>IF(OR(B137="",C137=""),"",(C137-B137)/(C137+B137))</f>
        <v/>
      </c>
      <c r="G137" s="31">
        <f>GAMMA_THETA_MAP!F137</f>
        <v/>
      </c>
      <c r="H137" s="31">
        <f>GAMMA_THETA_MAP!I137</f>
        <v/>
      </c>
      <c r="I137" s="31">
        <f>IF(OR(B137="",C137=""),"",IF(C137&gt;B137*1.2,"Support",IF(B137&gt;C137*1.2,"Resistance","")))</f>
        <v/>
      </c>
    </row>
    <row r="138">
      <c r="A138" s="31">
        <f>GAMMA_THETA_MAP!A138</f>
        <v/>
      </c>
      <c r="B138" s="31">
        <f>GAMMA_THETA_MAP!B138</f>
        <v/>
      </c>
      <c r="C138" s="31">
        <f>GAMMA_THETA_MAP!C138</f>
        <v/>
      </c>
      <c r="D138" s="31">
        <f>SUMIFS(tblChainRaw[OI Change],tblChainRaw[Strike Price],A138,tblChainRaw[Option Type],"CE")</f>
        <v/>
      </c>
      <c r="E138" s="31">
        <f>SUMIFS(tblChainRaw[OI Change],tblChainRaw[Strike Price],A138,tblChainRaw[Option Type],"PE")</f>
        <v/>
      </c>
      <c r="F138" s="31">
        <f>IF(OR(B138="",C138=""),"",(C138-B138)/(C138+B138))</f>
        <v/>
      </c>
      <c r="G138" s="31">
        <f>GAMMA_THETA_MAP!F138</f>
        <v/>
      </c>
      <c r="H138" s="31">
        <f>GAMMA_THETA_MAP!I138</f>
        <v/>
      </c>
      <c r="I138" s="31">
        <f>IF(OR(B138="",C138=""),"",IF(C138&gt;B138*1.2,"Support",IF(B138&gt;C138*1.2,"Resistance","")))</f>
        <v/>
      </c>
    </row>
    <row r="139">
      <c r="A139" s="31">
        <f>GAMMA_THETA_MAP!A139</f>
        <v/>
      </c>
      <c r="B139" s="31">
        <f>GAMMA_THETA_MAP!B139</f>
        <v/>
      </c>
      <c r="C139" s="31">
        <f>GAMMA_THETA_MAP!C139</f>
        <v/>
      </c>
      <c r="D139" s="31">
        <f>SUMIFS(tblChainRaw[OI Change],tblChainRaw[Strike Price],A139,tblChainRaw[Option Type],"CE")</f>
        <v/>
      </c>
      <c r="E139" s="31">
        <f>SUMIFS(tblChainRaw[OI Change],tblChainRaw[Strike Price],A139,tblChainRaw[Option Type],"PE")</f>
        <v/>
      </c>
      <c r="F139" s="31">
        <f>IF(OR(B139="",C139=""),"",(C139-B139)/(C139+B139))</f>
        <v/>
      </c>
      <c r="G139" s="31">
        <f>GAMMA_THETA_MAP!F139</f>
        <v/>
      </c>
      <c r="H139" s="31">
        <f>GAMMA_THETA_MAP!I139</f>
        <v/>
      </c>
      <c r="I139" s="31">
        <f>IF(OR(B139="",C139=""),"",IF(C139&gt;B139*1.2,"Support",IF(B139&gt;C139*1.2,"Resistance","")))</f>
        <v/>
      </c>
    </row>
    <row r="140">
      <c r="A140" s="31">
        <f>GAMMA_THETA_MAP!A140</f>
        <v/>
      </c>
      <c r="B140" s="31">
        <f>GAMMA_THETA_MAP!B140</f>
        <v/>
      </c>
      <c r="C140" s="31">
        <f>GAMMA_THETA_MAP!C140</f>
        <v/>
      </c>
      <c r="D140" s="31">
        <f>SUMIFS(tblChainRaw[OI Change],tblChainRaw[Strike Price],A140,tblChainRaw[Option Type],"CE")</f>
        <v/>
      </c>
      <c r="E140" s="31">
        <f>SUMIFS(tblChainRaw[OI Change],tblChainRaw[Strike Price],A140,tblChainRaw[Option Type],"PE")</f>
        <v/>
      </c>
      <c r="F140" s="31">
        <f>IF(OR(B140="",C140=""),"",(C140-B140)/(C140+B140))</f>
        <v/>
      </c>
      <c r="G140" s="31">
        <f>GAMMA_THETA_MAP!F140</f>
        <v/>
      </c>
      <c r="H140" s="31">
        <f>GAMMA_THETA_MAP!I140</f>
        <v/>
      </c>
      <c r="I140" s="31">
        <f>IF(OR(B140="",C140=""),"",IF(C140&gt;B140*1.2,"Support",IF(B140&gt;C140*1.2,"Resistance","")))</f>
        <v/>
      </c>
    </row>
    <row r="141">
      <c r="A141" s="31">
        <f>GAMMA_THETA_MAP!A141</f>
        <v/>
      </c>
      <c r="B141" s="31">
        <f>GAMMA_THETA_MAP!B141</f>
        <v/>
      </c>
      <c r="C141" s="31">
        <f>GAMMA_THETA_MAP!C141</f>
        <v/>
      </c>
      <c r="D141" s="31">
        <f>SUMIFS(tblChainRaw[OI Change],tblChainRaw[Strike Price],A141,tblChainRaw[Option Type],"CE")</f>
        <v/>
      </c>
      <c r="E141" s="31">
        <f>SUMIFS(tblChainRaw[OI Change],tblChainRaw[Strike Price],A141,tblChainRaw[Option Type],"PE")</f>
        <v/>
      </c>
      <c r="F141" s="31">
        <f>IF(OR(B141="",C141=""),"",(C141-B141)/(C141+B141))</f>
        <v/>
      </c>
      <c r="G141" s="31">
        <f>GAMMA_THETA_MAP!F141</f>
        <v/>
      </c>
      <c r="H141" s="31">
        <f>GAMMA_THETA_MAP!I141</f>
        <v/>
      </c>
      <c r="I141" s="31">
        <f>IF(OR(B141="",C141=""),"",IF(C141&gt;B141*1.2,"Support",IF(B141&gt;C141*1.2,"Resistance","")))</f>
        <v/>
      </c>
    </row>
    <row r="142">
      <c r="A142" s="31">
        <f>GAMMA_THETA_MAP!A142</f>
        <v/>
      </c>
      <c r="B142" s="31">
        <f>GAMMA_THETA_MAP!B142</f>
        <v/>
      </c>
      <c r="C142" s="31">
        <f>GAMMA_THETA_MAP!C142</f>
        <v/>
      </c>
      <c r="D142" s="31">
        <f>SUMIFS(tblChainRaw[OI Change],tblChainRaw[Strike Price],A142,tblChainRaw[Option Type],"CE")</f>
        <v/>
      </c>
      <c r="E142" s="31">
        <f>SUMIFS(tblChainRaw[OI Change],tblChainRaw[Strike Price],A142,tblChainRaw[Option Type],"PE")</f>
        <v/>
      </c>
      <c r="F142" s="31">
        <f>IF(OR(B142="",C142=""),"",(C142-B142)/(C142+B142))</f>
        <v/>
      </c>
      <c r="G142" s="31">
        <f>GAMMA_THETA_MAP!F142</f>
        <v/>
      </c>
      <c r="H142" s="31">
        <f>GAMMA_THETA_MAP!I142</f>
        <v/>
      </c>
      <c r="I142" s="31">
        <f>IF(OR(B142="",C142=""),"",IF(C142&gt;B142*1.2,"Support",IF(B142&gt;C142*1.2,"Resistance","")))</f>
        <v/>
      </c>
    </row>
    <row r="143">
      <c r="A143" s="31">
        <f>GAMMA_THETA_MAP!A143</f>
        <v/>
      </c>
      <c r="B143" s="31">
        <f>GAMMA_THETA_MAP!B143</f>
        <v/>
      </c>
      <c r="C143" s="31">
        <f>GAMMA_THETA_MAP!C143</f>
        <v/>
      </c>
      <c r="D143" s="31">
        <f>SUMIFS(tblChainRaw[OI Change],tblChainRaw[Strike Price],A143,tblChainRaw[Option Type],"CE")</f>
        <v/>
      </c>
      <c r="E143" s="31">
        <f>SUMIFS(tblChainRaw[OI Change],tblChainRaw[Strike Price],A143,tblChainRaw[Option Type],"PE")</f>
        <v/>
      </c>
      <c r="F143" s="31">
        <f>IF(OR(B143="",C143=""),"",(C143-B143)/(C143+B143))</f>
        <v/>
      </c>
      <c r="G143" s="31">
        <f>GAMMA_THETA_MAP!F143</f>
        <v/>
      </c>
      <c r="H143" s="31">
        <f>GAMMA_THETA_MAP!I143</f>
        <v/>
      </c>
      <c r="I143" s="31">
        <f>IF(OR(B143="",C143=""),"",IF(C143&gt;B143*1.2,"Support",IF(B143&gt;C143*1.2,"Resistance","")))</f>
        <v/>
      </c>
    </row>
    <row r="144">
      <c r="A144" s="31">
        <f>GAMMA_THETA_MAP!A144</f>
        <v/>
      </c>
      <c r="B144" s="31">
        <f>GAMMA_THETA_MAP!B144</f>
        <v/>
      </c>
      <c r="C144" s="31">
        <f>GAMMA_THETA_MAP!C144</f>
        <v/>
      </c>
      <c r="D144" s="31">
        <f>SUMIFS(tblChainRaw[OI Change],tblChainRaw[Strike Price],A144,tblChainRaw[Option Type],"CE")</f>
        <v/>
      </c>
      <c r="E144" s="31">
        <f>SUMIFS(tblChainRaw[OI Change],tblChainRaw[Strike Price],A144,tblChainRaw[Option Type],"PE")</f>
        <v/>
      </c>
      <c r="F144" s="31">
        <f>IF(OR(B144="",C144=""),"",(C144-B144)/(C144+B144))</f>
        <v/>
      </c>
      <c r="G144" s="31">
        <f>GAMMA_THETA_MAP!F144</f>
        <v/>
      </c>
      <c r="H144" s="31">
        <f>GAMMA_THETA_MAP!I144</f>
        <v/>
      </c>
      <c r="I144" s="31">
        <f>IF(OR(B144="",C144=""),"",IF(C144&gt;B144*1.2,"Support",IF(B144&gt;C144*1.2,"Resistance","")))</f>
        <v/>
      </c>
    </row>
    <row r="145">
      <c r="A145" s="31">
        <f>GAMMA_THETA_MAP!A145</f>
        <v/>
      </c>
      <c r="B145" s="31">
        <f>GAMMA_THETA_MAP!B145</f>
        <v/>
      </c>
      <c r="C145" s="31">
        <f>GAMMA_THETA_MAP!C145</f>
        <v/>
      </c>
      <c r="D145" s="31">
        <f>SUMIFS(tblChainRaw[OI Change],tblChainRaw[Strike Price],A145,tblChainRaw[Option Type],"CE")</f>
        <v/>
      </c>
      <c r="E145" s="31">
        <f>SUMIFS(tblChainRaw[OI Change],tblChainRaw[Strike Price],A145,tblChainRaw[Option Type],"PE")</f>
        <v/>
      </c>
      <c r="F145" s="31">
        <f>IF(OR(B145="",C145=""),"",(C145-B145)/(C145+B145))</f>
        <v/>
      </c>
      <c r="G145" s="31">
        <f>GAMMA_THETA_MAP!F145</f>
        <v/>
      </c>
      <c r="H145" s="31">
        <f>GAMMA_THETA_MAP!I145</f>
        <v/>
      </c>
      <c r="I145" s="31">
        <f>IF(OR(B145="",C145=""),"",IF(C145&gt;B145*1.2,"Support",IF(B145&gt;C145*1.2,"Resistance","")))</f>
        <v/>
      </c>
    </row>
    <row r="146">
      <c r="A146" s="31">
        <f>GAMMA_THETA_MAP!A146</f>
        <v/>
      </c>
      <c r="B146" s="31">
        <f>GAMMA_THETA_MAP!B146</f>
        <v/>
      </c>
      <c r="C146" s="31">
        <f>GAMMA_THETA_MAP!C146</f>
        <v/>
      </c>
      <c r="D146" s="31">
        <f>SUMIFS(tblChainRaw[OI Change],tblChainRaw[Strike Price],A146,tblChainRaw[Option Type],"CE")</f>
        <v/>
      </c>
      <c r="E146" s="31">
        <f>SUMIFS(tblChainRaw[OI Change],tblChainRaw[Strike Price],A146,tblChainRaw[Option Type],"PE")</f>
        <v/>
      </c>
      <c r="F146" s="31">
        <f>IF(OR(B146="",C146=""),"",(C146-B146)/(C146+B146))</f>
        <v/>
      </c>
      <c r="G146" s="31">
        <f>GAMMA_THETA_MAP!F146</f>
        <v/>
      </c>
      <c r="H146" s="31">
        <f>GAMMA_THETA_MAP!I146</f>
        <v/>
      </c>
      <c r="I146" s="31">
        <f>IF(OR(B146="",C146=""),"",IF(C146&gt;B146*1.2,"Support",IF(B146&gt;C146*1.2,"Resistance","")))</f>
        <v/>
      </c>
    </row>
    <row r="147">
      <c r="A147" s="31">
        <f>GAMMA_THETA_MAP!A147</f>
        <v/>
      </c>
      <c r="B147" s="31">
        <f>GAMMA_THETA_MAP!B147</f>
        <v/>
      </c>
      <c r="C147" s="31">
        <f>GAMMA_THETA_MAP!C147</f>
        <v/>
      </c>
      <c r="D147" s="31">
        <f>SUMIFS(tblChainRaw[OI Change],tblChainRaw[Strike Price],A147,tblChainRaw[Option Type],"CE")</f>
        <v/>
      </c>
      <c r="E147" s="31">
        <f>SUMIFS(tblChainRaw[OI Change],tblChainRaw[Strike Price],A147,tblChainRaw[Option Type],"PE")</f>
        <v/>
      </c>
      <c r="F147" s="31">
        <f>IF(OR(B147="",C147=""),"",(C147-B147)/(C147+B147))</f>
        <v/>
      </c>
      <c r="G147" s="31">
        <f>GAMMA_THETA_MAP!F147</f>
        <v/>
      </c>
      <c r="H147" s="31">
        <f>GAMMA_THETA_MAP!I147</f>
        <v/>
      </c>
      <c r="I147" s="31">
        <f>IF(OR(B147="",C147=""),"",IF(C147&gt;B147*1.2,"Support",IF(B147&gt;C147*1.2,"Resistance","")))</f>
        <v/>
      </c>
    </row>
    <row r="148">
      <c r="A148" s="31">
        <f>GAMMA_THETA_MAP!A148</f>
        <v/>
      </c>
      <c r="B148" s="31">
        <f>GAMMA_THETA_MAP!B148</f>
        <v/>
      </c>
      <c r="C148" s="31">
        <f>GAMMA_THETA_MAP!C148</f>
        <v/>
      </c>
      <c r="D148" s="31">
        <f>SUMIFS(tblChainRaw[OI Change],tblChainRaw[Strike Price],A148,tblChainRaw[Option Type],"CE")</f>
        <v/>
      </c>
      <c r="E148" s="31">
        <f>SUMIFS(tblChainRaw[OI Change],tblChainRaw[Strike Price],A148,tblChainRaw[Option Type],"PE")</f>
        <v/>
      </c>
      <c r="F148" s="31">
        <f>IF(OR(B148="",C148=""),"",(C148-B148)/(C148+B148))</f>
        <v/>
      </c>
      <c r="G148" s="31">
        <f>GAMMA_THETA_MAP!F148</f>
        <v/>
      </c>
      <c r="H148" s="31">
        <f>GAMMA_THETA_MAP!I148</f>
        <v/>
      </c>
      <c r="I148" s="31">
        <f>IF(OR(B148="",C148=""),"",IF(C148&gt;B148*1.2,"Support",IF(B148&gt;C148*1.2,"Resistance","")))</f>
        <v/>
      </c>
    </row>
    <row r="149">
      <c r="A149" s="31">
        <f>GAMMA_THETA_MAP!A149</f>
        <v/>
      </c>
      <c r="B149" s="31">
        <f>GAMMA_THETA_MAP!B149</f>
        <v/>
      </c>
      <c r="C149" s="31">
        <f>GAMMA_THETA_MAP!C149</f>
        <v/>
      </c>
      <c r="D149" s="31">
        <f>SUMIFS(tblChainRaw[OI Change],tblChainRaw[Strike Price],A149,tblChainRaw[Option Type],"CE")</f>
        <v/>
      </c>
      <c r="E149" s="31">
        <f>SUMIFS(tblChainRaw[OI Change],tblChainRaw[Strike Price],A149,tblChainRaw[Option Type],"PE")</f>
        <v/>
      </c>
      <c r="F149" s="31">
        <f>IF(OR(B149="",C149=""),"",(C149-B149)/(C149+B149))</f>
        <v/>
      </c>
      <c r="G149" s="31">
        <f>GAMMA_THETA_MAP!F149</f>
        <v/>
      </c>
      <c r="H149" s="31">
        <f>GAMMA_THETA_MAP!I149</f>
        <v/>
      </c>
      <c r="I149" s="31">
        <f>IF(OR(B149="",C149=""),"",IF(C149&gt;B149*1.2,"Support",IF(B149&gt;C149*1.2,"Resistance","")))</f>
        <v/>
      </c>
    </row>
    <row r="150">
      <c r="A150" s="31">
        <f>GAMMA_THETA_MAP!A150</f>
        <v/>
      </c>
      <c r="B150" s="31">
        <f>GAMMA_THETA_MAP!B150</f>
        <v/>
      </c>
      <c r="C150" s="31">
        <f>GAMMA_THETA_MAP!C150</f>
        <v/>
      </c>
      <c r="D150" s="31">
        <f>SUMIFS(tblChainRaw[OI Change],tblChainRaw[Strike Price],A150,tblChainRaw[Option Type],"CE")</f>
        <v/>
      </c>
      <c r="E150" s="31">
        <f>SUMIFS(tblChainRaw[OI Change],tblChainRaw[Strike Price],A150,tblChainRaw[Option Type],"PE")</f>
        <v/>
      </c>
      <c r="F150" s="31">
        <f>IF(OR(B150="",C150=""),"",(C150-B150)/(C150+B150))</f>
        <v/>
      </c>
      <c r="G150" s="31">
        <f>GAMMA_THETA_MAP!F150</f>
        <v/>
      </c>
      <c r="H150" s="31">
        <f>GAMMA_THETA_MAP!I150</f>
        <v/>
      </c>
      <c r="I150" s="31">
        <f>IF(OR(B150="",C150=""),"",IF(C150&gt;B150*1.2,"Support",IF(B150&gt;C150*1.2,"Resistance","")))</f>
        <v/>
      </c>
    </row>
    <row r="151">
      <c r="A151" s="31">
        <f>GAMMA_THETA_MAP!A151</f>
        <v/>
      </c>
      <c r="B151" s="31">
        <f>GAMMA_THETA_MAP!B151</f>
        <v/>
      </c>
      <c r="C151" s="31">
        <f>GAMMA_THETA_MAP!C151</f>
        <v/>
      </c>
      <c r="D151" s="31">
        <f>SUMIFS(tblChainRaw[OI Change],tblChainRaw[Strike Price],A151,tblChainRaw[Option Type],"CE")</f>
        <v/>
      </c>
      <c r="E151" s="31">
        <f>SUMIFS(tblChainRaw[OI Change],tblChainRaw[Strike Price],A151,tblChainRaw[Option Type],"PE")</f>
        <v/>
      </c>
      <c r="F151" s="31">
        <f>IF(OR(B151="",C151=""),"",(C151-B151)/(C151+B151))</f>
        <v/>
      </c>
      <c r="G151" s="31">
        <f>GAMMA_THETA_MAP!F151</f>
        <v/>
      </c>
      <c r="H151" s="31">
        <f>GAMMA_THETA_MAP!I151</f>
        <v/>
      </c>
      <c r="I151" s="31">
        <f>IF(OR(B151="",C151=""),"",IF(C151&gt;B151*1.2,"Support",IF(B151&gt;C151*1.2,"Resistance","")))</f>
        <v/>
      </c>
    </row>
    <row r="152">
      <c r="A152" s="31">
        <f>GAMMA_THETA_MAP!A152</f>
        <v/>
      </c>
      <c r="B152" s="31">
        <f>GAMMA_THETA_MAP!B152</f>
        <v/>
      </c>
      <c r="C152" s="31">
        <f>GAMMA_THETA_MAP!C152</f>
        <v/>
      </c>
      <c r="D152" s="31">
        <f>SUMIFS(tblChainRaw[OI Change],tblChainRaw[Strike Price],A152,tblChainRaw[Option Type],"CE")</f>
        <v/>
      </c>
      <c r="E152" s="31">
        <f>SUMIFS(tblChainRaw[OI Change],tblChainRaw[Strike Price],A152,tblChainRaw[Option Type],"PE")</f>
        <v/>
      </c>
      <c r="F152" s="31">
        <f>IF(OR(B152="",C152=""),"",(C152-B152)/(C152+B152))</f>
        <v/>
      </c>
      <c r="G152" s="31">
        <f>GAMMA_THETA_MAP!F152</f>
        <v/>
      </c>
      <c r="H152" s="31">
        <f>GAMMA_THETA_MAP!I152</f>
        <v/>
      </c>
      <c r="I152" s="31">
        <f>IF(OR(B152="",C152=""),"",IF(C152&gt;B152*1.2,"Support",IF(B152&gt;C152*1.2,"Resistance","")))</f>
        <v/>
      </c>
    </row>
    <row r="153">
      <c r="A153" s="31">
        <f>GAMMA_THETA_MAP!A153</f>
        <v/>
      </c>
      <c r="B153" s="31">
        <f>GAMMA_THETA_MAP!B153</f>
        <v/>
      </c>
      <c r="C153" s="31">
        <f>GAMMA_THETA_MAP!C153</f>
        <v/>
      </c>
      <c r="D153" s="31">
        <f>SUMIFS(tblChainRaw[OI Change],tblChainRaw[Strike Price],A153,tblChainRaw[Option Type],"CE")</f>
        <v/>
      </c>
      <c r="E153" s="31">
        <f>SUMIFS(tblChainRaw[OI Change],tblChainRaw[Strike Price],A153,tblChainRaw[Option Type],"PE")</f>
        <v/>
      </c>
      <c r="F153" s="31">
        <f>IF(OR(B153="",C153=""),"",(C153-B153)/(C153+B153))</f>
        <v/>
      </c>
      <c r="G153" s="31">
        <f>GAMMA_THETA_MAP!F153</f>
        <v/>
      </c>
      <c r="H153" s="31">
        <f>GAMMA_THETA_MAP!I153</f>
        <v/>
      </c>
      <c r="I153" s="31">
        <f>IF(OR(B153="",C153=""),"",IF(C153&gt;B153*1.2,"Support",IF(B153&gt;C153*1.2,"Resistance","")))</f>
        <v/>
      </c>
    </row>
    <row r="154">
      <c r="A154" s="31">
        <f>GAMMA_THETA_MAP!A154</f>
        <v/>
      </c>
      <c r="B154" s="31">
        <f>GAMMA_THETA_MAP!B154</f>
        <v/>
      </c>
      <c r="C154" s="31">
        <f>GAMMA_THETA_MAP!C154</f>
        <v/>
      </c>
      <c r="D154" s="31">
        <f>SUMIFS(tblChainRaw[OI Change],tblChainRaw[Strike Price],A154,tblChainRaw[Option Type],"CE")</f>
        <v/>
      </c>
      <c r="E154" s="31">
        <f>SUMIFS(tblChainRaw[OI Change],tblChainRaw[Strike Price],A154,tblChainRaw[Option Type],"PE")</f>
        <v/>
      </c>
      <c r="F154" s="31">
        <f>IF(OR(B154="",C154=""),"",(C154-B154)/(C154+B154))</f>
        <v/>
      </c>
      <c r="G154" s="31">
        <f>GAMMA_THETA_MAP!F154</f>
        <v/>
      </c>
      <c r="H154" s="31">
        <f>GAMMA_THETA_MAP!I154</f>
        <v/>
      </c>
      <c r="I154" s="31">
        <f>IF(OR(B154="",C154=""),"",IF(C154&gt;B154*1.2,"Support",IF(B154&gt;C154*1.2,"Resistance","")))</f>
        <v/>
      </c>
    </row>
    <row r="155">
      <c r="A155" s="31">
        <f>GAMMA_THETA_MAP!A155</f>
        <v/>
      </c>
      <c r="B155" s="31">
        <f>GAMMA_THETA_MAP!B155</f>
        <v/>
      </c>
      <c r="C155" s="31">
        <f>GAMMA_THETA_MAP!C155</f>
        <v/>
      </c>
      <c r="D155" s="31">
        <f>SUMIFS(tblChainRaw[OI Change],tblChainRaw[Strike Price],A155,tblChainRaw[Option Type],"CE")</f>
        <v/>
      </c>
      <c r="E155" s="31">
        <f>SUMIFS(tblChainRaw[OI Change],tblChainRaw[Strike Price],A155,tblChainRaw[Option Type],"PE")</f>
        <v/>
      </c>
      <c r="F155" s="31">
        <f>IF(OR(B155="",C155=""),"",(C155-B155)/(C155+B155))</f>
        <v/>
      </c>
      <c r="G155" s="31">
        <f>GAMMA_THETA_MAP!F155</f>
        <v/>
      </c>
      <c r="H155" s="31">
        <f>GAMMA_THETA_MAP!I155</f>
        <v/>
      </c>
      <c r="I155" s="31">
        <f>IF(OR(B155="",C155=""),"",IF(C155&gt;B155*1.2,"Support",IF(B155&gt;C155*1.2,"Resistance","")))</f>
        <v/>
      </c>
    </row>
    <row r="156">
      <c r="A156" s="31">
        <f>GAMMA_THETA_MAP!A156</f>
        <v/>
      </c>
      <c r="B156" s="31">
        <f>GAMMA_THETA_MAP!B156</f>
        <v/>
      </c>
      <c r="C156" s="31">
        <f>GAMMA_THETA_MAP!C156</f>
        <v/>
      </c>
      <c r="D156" s="31">
        <f>SUMIFS(tblChainRaw[OI Change],tblChainRaw[Strike Price],A156,tblChainRaw[Option Type],"CE")</f>
        <v/>
      </c>
      <c r="E156" s="31">
        <f>SUMIFS(tblChainRaw[OI Change],tblChainRaw[Strike Price],A156,tblChainRaw[Option Type],"PE")</f>
        <v/>
      </c>
      <c r="F156" s="31">
        <f>IF(OR(B156="",C156=""),"",(C156-B156)/(C156+B156))</f>
        <v/>
      </c>
      <c r="G156" s="31">
        <f>GAMMA_THETA_MAP!F156</f>
        <v/>
      </c>
      <c r="H156" s="31">
        <f>GAMMA_THETA_MAP!I156</f>
        <v/>
      </c>
      <c r="I156" s="31">
        <f>IF(OR(B156="",C156=""),"",IF(C156&gt;B156*1.2,"Support",IF(B156&gt;C156*1.2,"Resistance","")))</f>
        <v/>
      </c>
    </row>
    <row r="157">
      <c r="A157" s="31">
        <f>GAMMA_THETA_MAP!A157</f>
        <v/>
      </c>
      <c r="B157" s="31">
        <f>GAMMA_THETA_MAP!B157</f>
        <v/>
      </c>
      <c r="C157" s="31">
        <f>GAMMA_THETA_MAP!C157</f>
        <v/>
      </c>
      <c r="D157" s="31">
        <f>SUMIFS(tblChainRaw[OI Change],tblChainRaw[Strike Price],A157,tblChainRaw[Option Type],"CE")</f>
        <v/>
      </c>
      <c r="E157" s="31">
        <f>SUMIFS(tblChainRaw[OI Change],tblChainRaw[Strike Price],A157,tblChainRaw[Option Type],"PE")</f>
        <v/>
      </c>
      <c r="F157" s="31">
        <f>IF(OR(B157="",C157=""),"",(C157-B157)/(C157+B157))</f>
        <v/>
      </c>
      <c r="G157" s="31">
        <f>GAMMA_THETA_MAP!F157</f>
        <v/>
      </c>
      <c r="H157" s="31">
        <f>GAMMA_THETA_MAP!I157</f>
        <v/>
      </c>
      <c r="I157" s="31">
        <f>IF(OR(B157="",C157=""),"",IF(C157&gt;B157*1.2,"Support",IF(B157&gt;C157*1.2,"Resistance","")))</f>
        <v/>
      </c>
    </row>
    <row r="158">
      <c r="A158" s="31">
        <f>GAMMA_THETA_MAP!A158</f>
        <v/>
      </c>
      <c r="B158" s="31">
        <f>GAMMA_THETA_MAP!B158</f>
        <v/>
      </c>
      <c r="C158" s="31">
        <f>GAMMA_THETA_MAP!C158</f>
        <v/>
      </c>
      <c r="D158" s="31">
        <f>SUMIFS(tblChainRaw[OI Change],tblChainRaw[Strike Price],A158,tblChainRaw[Option Type],"CE")</f>
        <v/>
      </c>
      <c r="E158" s="31">
        <f>SUMIFS(tblChainRaw[OI Change],tblChainRaw[Strike Price],A158,tblChainRaw[Option Type],"PE")</f>
        <v/>
      </c>
      <c r="F158" s="31">
        <f>IF(OR(B158="",C158=""),"",(C158-B158)/(C158+B158))</f>
        <v/>
      </c>
      <c r="G158" s="31">
        <f>GAMMA_THETA_MAP!F158</f>
        <v/>
      </c>
      <c r="H158" s="31">
        <f>GAMMA_THETA_MAP!I158</f>
        <v/>
      </c>
      <c r="I158" s="31">
        <f>IF(OR(B158="",C158=""),"",IF(C158&gt;B158*1.2,"Support",IF(B158&gt;C158*1.2,"Resistance","")))</f>
        <v/>
      </c>
    </row>
    <row r="159">
      <c r="A159" s="31">
        <f>GAMMA_THETA_MAP!A159</f>
        <v/>
      </c>
      <c r="B159" s="31">
        <f>GAMMA_THETA_MAP!B159</f>
        <v/>
      </c>
      <c r="C159" s="31">
        <f>GAMMA_THETA_MAP!C159</f>
        <v/>
      </c>
      <c r="D159" s="31">
        <f>SUMIFS(tblChainRaw[OI Change],tblChainRaw[Strike Price],A159,tblChainRaw[Option Type],"CE")</f>
        <v/>
      </c>
      <c r="E159" s="31">
        <f>SUMIFS(tblChainRaw[OI Change],tblChainRaw[Strike Price],A159,tblChainRaw[Option Type],"PE")</f>
        <v/>
      </c>
      <c r="F159" s="31">
        <f>IF(OR(B159="",C159=""),"",(C159-B159)/(C159+B159))</f>
        <v/>
      </c>
      <c r="G159" s="31">
        <f>GAMMA_THETA_MAP!F159</f>
        <v/>
      </c>
      <c r="H159" s="31">
        <f>GAMMA_THETA_MAP!I159</f>
        <v/>
      </c>
      <c r="I159" s="31">
        <f>IF(OR(B159="",C159=""),"",IF(C159&gt;B159*1.2,"Support",IF(B159&gt;C159*1.2,"Resistance","")))</f>
        <v/>
      </c>
    </row>
    <row r="160">
      <c r="A160" s="31">
        <f>GAMMA_THETA_MAP!A160</f>
        <v/>
      </c>
      <c r="B160" s="31">
        <f>GAMMA_THETA_MAP!B160</f>
        <v/>
      </c>
      <c r="C160" s="31">
        <f>GAMMA_THETA_MAP!C160</f>
        <v/>
      </c>
      <c r="D160" s="31">
        <f>SUMIFS(tblChainRaw[OI Change],tblChainRaw[Strike Price],A160,tblChainRaw[Option Type],"CE")</f>
        <v/>
      </c>
      <c r="E160" s="31">
        <f>SUMIFS(tblChainRaw[OI Change],tblChainRaw[Strike Price],A160,tblChainRaw[Option Type],"PE")</f>
        <v/>
      </c>
      <c r="F160" s="31">
        <f>IF(OR(B160="",C160=""),"",(C160-B160)/(C160+B160))</f>
        <v/>
      </c>
      <c r="G160" s="31">
        <f>GAMMA_THETA_MAP!F160</f>
        <v/>
      </c>
      <c r="H160" s="31">
        <f>GAMMA_THETA_MAP!I160</f>
        <v/>
      </c>
      <c r="I160" s="31">
        <f>IF(OR(B160="",C160=""),"",IF(C160&gt;B160*1.2,"Support",IF(B160&gt;C160*1.2,"Resistance","")))</f>
        <v/>
      </c>
    </row>
    <row r="161">
      <c r="A161" s="31">
        <f>GAMMA_THETA_MAP!A161</f>
        <v/>
      </c>
      <c r="B161" s="31">
        <f>GAMMA_THETA_MAP!B161</f>
        <v/>
      </c>
      <c r="C161" s="31">
        <f>GAMMA_THETA_MAP!C161</f>
        <v/>
      </c>
      <c r="D161" s="31">
        <f>SUMIFS(tblChainRaw[OI Change],tblChainRaw[Strike Price],A161,tblChainRaw[Option Type],"CE")</f>
        <v/>
      </c>
      <c r="E161" s="31">
        <f>SUMIFS(tblChainRaw[OI Change],tblChainRaw[Strike Price],A161,tblChainRaw[Option Type],"PE")</f>
        <v/>
      </c>
      <c r="F161" s="31">
        <f>IF(OR(B161="",C161=""),"",(C161-B161)/(C161+B161))</f>
        <v/>
      </c>
      <c r="G161" s="31">
        <f>GAMMA_THETA_MAP!F161</f>
        <v/>
      </c>
      <c r="H161" s="31">
        <f>GAMMA_THETA_MAP!I161</f>
        <v/>
      </c>
      <c r="I161" s="31">
        <f>IF(OR(B161="",C161=""),"",IF(C161&gt;B161*1.2,"Support",IF(B161&gt;C161*1.2,"Resistance","")))</f>
        <v/>
      </c>
    </row>
    <row r="162">
      <c r="A162" s="31">
        <f>GAMMA_THETA_MAP!A162</f>
        <v/>
      </c>
      <c r="B162" s="31">
        <f>GAMMA_THETA_MAP!B162</f>
        <v/>
      </c>
      <c r="C162" s="31">
        <f>GAMMA_THETA_MAP!C162</f>
        <v/>
      </c>
      <c r="D162" s="31">
        <f>SUMIFS(tblChainRaw[OI Change],tblChainRaw[Strike Price],A162,tblChainRaw[Option Type],"CE")</f>
        <v/>
      </c>
      <c r="E162" s="31">
        <f>SUMIFS(tblChainRaw[OI Change],tblChainRaw[Strike Price],A162,tblChainRaw[Option Type],"PE")</f>
        <v/>
      </c>
      <c r="F162" s="31">
        <f>IF(OR(B162="",C162=""),"",(C162-B162)/(C162+B162))</f>
        <v/>
      </c>
      <c r="G162" s="31">
        <f>GAMMA_THETA_MAP!F162</f>
        <v/>
      </c>
      <c r="H162" s="31">
        <f>GAMMA_THETA_MAP!I162</f>
        <v/>
      </c>
      <c r="I162" s="31">
        <f>IF(OR(B162="",C162=""),"",IF(C162&gt;B162*1.2,"Support",IF(B162&gt;C162*1.2,"Resistance","")))</f>
        <v/>
      </c>
    </row>
    <row r="163">
      <c r="A163" s="31">
        <f>GAMMA_THETA_MAP!A163</f>
        <v/>
      </c>
      <c r="B163" s="31">
        <f>GAMMA_THETA_MAP!B163</f>
        <v/>
      </c>
      <c r="C163" s="31">
        <f>GAMMA_THETA_MAP!C163</f>
        <v/>
      </c>
      <c r="D163" s="31">
        <f>SUMIFS(tblChainRaw[OI Change],tblChainRaw[Strike Price],A163,tblChainRaw[Option Type],"CE")</f>
        <v/>
      </c>
      <c r="E163" s="31">
        <f>SUMIFS(tblChainRaw[OI Change],tblChainRaw[Strike Price],A163,tblChainRaw[Option Type],"PE")</f>
        <v/>
      </c>
      <c r="F163" s="31">
        <f>IF(OR(B163="",C163=""),"",(C163-B163)/(C163+B163))</f>
        <v/>
      </c>
      <c r="G163" s="31">
        <f>GAMMA_THETA_MAP!F163</f>
        <v/>
      </c>
      <c r="H163" s="31">
        <f>GAMMA_THETA_MAP!I163</f>
        <v/>
      </c>
      <c r="I163" s="31">
        <f>IF(OR(B163="",C163=""),"",IF(C163&gt;B163*1.2,"Support",IF(B163&gt;C163*1.2,"Resistance","")))</f>
        <v/>
      </c>
    </row>
    <row r="164">
      <c r="A164" s="31">
        <f>GAMMA_THETA_MAP!A164</f>
        <v/>
      </c>
      <c r="B164" s="31">
        <f>GAMMA_THETA_MAP!B164</f>
        <v/>
      </c>
      <c r="C164" s="31">
        <f>GAMMA_THETA_MAP!C164</f>
        <v/>
      </c>
      <c r="D164" s="31">
        <f>SUMIFS(tblChainRaw[OI Change],tblChainRaw[Strike Price],A164,tblChainRaw[Option Type],"CE")</f>
        <v/>
      </c>
      <c r="E164" s="31">
        <f>SUMIFS(tblChainRaw[OI Change],tblChainRaw[Strike Price],A164,tblChainRaw[Option Type],"PE")</f>
        <v/>
      </c>
      <c r="F164" s="31">
        <f>IF(OR(B164="",C164=""),"",(C164-B164)/(C164+B164))</f>
        <v/>
      </c>
      <c r="G164" s="31">
        <f>GAMMA_THETA_MAP!F164</f>
        <v/>
      </c>
      <c r="H164" s="31">
        <f>GAMMA_THETA_MAP!I164</f>
        <v/>
      </c>
      <c r="I164" s="31">
        <f>IF(OR(B164="",C164=""),"",IF(C164&gt;B164*1.2,"Support",IF(B164&gt;C164*1.2,"Resistance","")))</f>
        <v/>
      </c>
    </row>
    <row r="165">
      <c r="A165" s="31">
        <f>GAMMA_THETA_MAP!A165</f>
        <v/>
      </c>
      <c r="B165" s="31">
        <f>GAMMA_THETA_MAP!B165</f>
        <v/>
      </c>
      <c r="C165" s="31">
        <f>GAMMA_THETA_MAP!C165</f>
        <v/>
      </c>
      <c r="D165" s="31">
        <f>SUMIFS(tblChainRaw[OI Change],tblChainRaw[Strike Price],A165,tblChainRaw[Option Type],"CE")</f>
        <v/>
      </c>
      <c r="E165" s="31">
        <f>SUMIFS(tblChainRaw[OI Change],tblChainRaw[Strike Price],A165,tblChainRaw[Option Type],"PE")</f>
        <v/>
      </c>
      <c r="F165" s="31">
        <f>IF(OR(B165="",C165=""),"",(C165-B165)/(C165+B165))</f>
        <v/>
      </c>
      <c r="G165" s="31">
        <f>GAMMA_THETA_MAP!F165</f>
        <v/>
      </c>
      <c r="H165" s="31">
        <f>GAMMA_THETA_MAP!I165</f>
        <v/>
      </c>
      <c r="I165" s="31">
        <f>IF(OR(B165="",C165=""),"",IF(C165&gt;B165*1.2,"Support",IF(B165&gt;C165*1.2,"Resistance","")))</f>
        <v/>
      </c>
    </row>
    <row r="166">
      <c r="A166" s="31">
        <f>GAMMA_THETA_MAP!A166</f>
        <v/>
      </c>
      <c r="B166" s="31">
        <f>GAMMA_THETA_MAP!B166</f>
        <v/>
      </c>
      <c r="C166" s="31">
        <f>GAMMA_THETA_MAP!C166</f>
        <v/>
      </c>
      <c r="D166" s="31">
        <f>SUMIFS(tblChainRaw[OI Change],tblChainRaw[Strike Price],A166,tblChainRaw[Option Type],"CE")</f>
        <v/>
      </c>
      <c r="E166" s="31">
        <f>SUMIFS(tblChainRaw[OI Change],tblChainRaw[Strike Price],A166,tblChainRaw[Option Type],"PE")</f>
        <v/>
      </c>
      <c r="F166" s="31">
        <f>IF(OR(B166="",C166=""),"",(C166-B166)/(C166+B166))</f>
        <v/>
      </c>
      <c r="G166" s="31">
        <f>GAMMA_THETA_MAP!F166</f>
        <v/>
      </c>
      <c r="H166" s="31">
        <f>GAMMA_THETA_MAP!I166</f>
        <v/>
      </c>
      <c r="I166" s="31">
        <f>IF(OR(B166="",C166=""),"",IF(C166&gt;B166*1.2,"Support",IF(B166&gt;C166*1.2,"Resistance","")))</f>
        <v/>
      </c>
    </row>
    <row r="167">
      <c r="A167" s="31">
        <f>GAMMA_THETA_MAP!A167</f>
        <v/>
      </c>
      <c r="B167" s="31">
        <f>GAMMA_THETA_MAP!B167</f>
        <v/>
      </c>
      <c r="C167" s="31">
        <f>GAMMA_THETA_MAP!C167</f>
        <v/>
      </c>
      <c r="D167" s="31">
        <f>SUMIFS(tblChainRaw[OI Change],tblChainRaw[Strike Price],A167,tblChainRaw[Option Type],"CE")</f>
        <v/>
      </c>
      <c r="E167" s="31">
        <f>SUMIFS(tblChainRaw[OI Change],tblChainRaw[Strike Price],A167,tblChainRaw[Option Type],"PE")</f>
        <v/>
      </c>
      <c r="F167" s="31">
        <f>IF(OR(B167="",C167=""),"",(C167-B167)/(C167+B167))</f>
        <v/>
      </c>
      <c r="G167" s="31">
        <f>GAMMA_THETA_MAP!F167</f>
        <v/>
      </c>
      <c r="H167" s="31">
        <f>GAMMA_THETA_MAP!I167</f>
        <v/>
      </c>
      <c r="I167" s="31">
        <f>IF(OR(B167="",C167=""),"",IF(C167&gt;B167*1.2,"Support",IF(B167&gt;C167*1.2,"Resistance","")))</f>
        <v/>
      </c>
    </row>
    <row r="168">
      <c r="A168" s="31">
        <f>GAMMA_THETA_MAP!A168</f>
        <v/>
      </c>
      <c r="B168" s="31">
        <f>GAMMA_THETA_MAP!B168</f>
        <v/>
      </c>
      <c r="C168" s="31">
        <f>GAMMA_THETA_MAP!C168</f>
        <v/>
      </c>
      <c r="D168" s="31">
        <f>SUMIFS(tblChainRaw[OI Change],tblChainRaw[Strike Price],A168,tblChainRaw[Option Type],"CE")</f>
        <v/>
      </c>
      <c r="E168" s="31">
        <f>SUMIFS(tblChainRaw[OI Change],tblChainRaw[Strike Price],A168,tblChainRaw[Option Type],"PE")</f>
        <v/>
      </c>
      <c r="F168" s="31">
        <f>IF(OR(B168="",C168=""),"",(C168-B168)/(C168+B168))</f>
        <v/>
      </c>
      <c r="G168" s="31">
        <f>GAMMA_THETA_MAP!F168</f>
        <v/>
      </c>
      <c r="H168" s="31">
        <f>GAMMA_THETA_MAP!I168</f>
        <v/>
      </c>
      <c r="I168" s="31">
        <f>IF(OR(B168="",C168=""),"",IF(C168&gt;B168*1.2,"Support",IF(B168&gt;C168*1.2,"Resistance","")))</f>
        <v/>
      </c>
    </row>
    <row r="169">
      <c r="A169" s="31">
        <f>GAMMA_THETA_MAP!A169</f>
        <v/>
      </c>
      <c r="B169" s="31">
        <f>GAMMA_THETA_MAP!B169</f>
        <v/>
      </c>
      <c r="C169" s="31">
        <f>GAMMA_THETA_MAP!C169</f>
        <v/>
      </c>
      <c r="D169" s="31">
        <f>SUMIFS(tblChainRaw[OI Change],tblChainRaw[Strike Price],A169,tblChainRaw[Option Type],"CE")</f>
        <v/>
      </c>
      <c r="E169" s="31">
        <f>SUMIFS(tblChainRaw[OI Change],tblChainRaw[Strike Price],A169,tblChainRaw[Option Type],"PE")</f>
        <v/>
      </c>
      <c r="F169" s="31">
        <f>IF(OR(B169="",C169=""),"",(C169-B169)/(C169+B169))</f>
        <v/>
      </c>
      <c r="G169" s="31">
        <f>GAMMA_THETA_MAP!F169</f>
        <v/>
      </c>
      <c r="H169" s="31">
        <f>GAMMA_THETA_MAP!I169</f>
        <v/>
      </c>
      <c r="I169" s="31">
        <f>IF(OR(B169="",C169=""),"",IF(C169&gt;B169*1.2,"Support",IF(B169&gt;C169*1.2,"Resistance","")))</f>
        <v/>
      </c>
    </row>
    <row r="170">
      <c r="A170" s="31">
        <f>GAMMA_THETA_MAP!A170</f>
        <v/>
      </c>
      <c r="B170" s="31">
        <f>GAMMA_THETA_MAP!B170</f>
        <v/>
      </c>
      <c r="C170" s="31">
        <f>GAMMA_THETA_MAP!C170</f>
        <v/>
      </c>
      <c r="D170" s="31">
        <f>SUMIFS(tblChainRaw[OI Change],tblChainRaw[Strike Price],A170,tblChainRaw[Option Type],"CE")</f>
        <v/>
      </c>
      <c r="E170" s="31">
        <f>SUMIFS(tblChainRaw[OI Change],tblChainRaw[Strike Price],A170,tblChainRaw[Option Type],"PE")</f>
        <v/>
      </c>
      <c r="F170" s="31">
        <f>IF(OR(B170="",C170=""),"",(C170-B170)/(C170+B170))</f>
        <v/>
      </c>
      <c r="G170" s="31">
        <f>GAMMA_THETA_MAP!F170</f>
        <v/>
      </c>
      <c r="H170" s="31">
        <f>GAMMA_THETA_MAP!I170</f>
        <v/>
      </c>
      <c r="I170" s="31">
        <f>IF(OR(B170="",C170=""),"",IF(C170&gt;B170*1.2,"Support",IF(B170&gt;C170*1.2,"Resistance","")))</f>
        <v/>
      </c>
    </row>
    <row r="171">
      <c r="A171" s="31">
        <f>GAMMA_THETA_MAP!A171</f>
        <v/>
      </c>
      <c r="B171" s="31">
        <f>GAMMA_THETA_MAP!B171</f>
        <v/>
      </c>
      <c r="C171" s="31">
        <f>GAMMA_THETA_MAP!C171</f>
        <v/>
      </c>
      <c r="D171" s="31">
        <f>SUMIFS(tblChainRaw[OI Change],tblChainRaw[Strike Price],A171,tblChainRaw[Option Type],"CE")</f>
        <v/>
      </c>
      <c r="E171" s="31">
        <f>SUMIFS(tblChainRaw[OI Change],tblChainRaw[Strike Price],A171,tblChainRaw[Option Type],"PE")</f>
        <v/>
      </c>
      <c r="F171" s="31">
        <f>IF(OR(B171="",C171=""),"",(C171-B171)/(C171+B171))</f>
        <v/>
      </c>
      <c r="G171" s="31">
        <f>GAMMA_THETA_MAP!F171</f>
        <v/>
      </c>
      <c r="H171" s="31">
        <f>GAMMA_THETA_MAP!I171</f>
        <v/>
      </c>
      <c r="I171" s="31">
        <f>IF(OR(B171="",C171=""),"",IF(C171&gt;B171*1.2,"Support",IF(B171&gt;C171*1.2,"Resistance","")))</f>
        <v/>
      </c>
    </row>
    <row r="172">
      <c r="A172" s="31">
        <f>GAMMA_THETA_MAP!A172</f>
        <v/>
      </c>
      <c r="B172" s="31">
        <f>GAMMA_THETA_MAP!B172</f>
        <v/>
      </c>
      <c r="C172" s="31">
        <f>GAMMA_THETA_MAP!C172</f>
        <v/>
      </c>
      <c r="D172" s="31">
        <f>SUMIFS(tblChainRaw[OI Change],tblChainRaw[Strike Price],A172,tblChainRaw[Option Type],"CE")</f>
        <v/>
      </c>
      <c r="E172" s="31">
        <f>SUMIFS(tblChainRaw[OI Change],tblChainRaw[Strike Price],A172,tblChainRaw[Option Type],"PE")</f>
        <v/>
      </c>
      <c r="F172" s="31">
        <f>IF(OR(B172="",C172=""),"",(C172-B172)/(C172+B172))</f>
        <v/>
      </c>
      <c r="G172" s="31">
        <f>GAMMA_THETA_MAP!F172</f>
        <v/>
      </c>
      <c r="H172" s="31">
        <f>GAMMA_THETA_MAP!I172</f>
        <v/>
      </c>
      <c r="I172" s="31">
        <f>IF(OR(B172="",C172=""),"",IF(C172&gt;B172*1.2,"Support",IF(B172&gt;C172*1.2,"Resistance","")))</f>
        <v/>
      </c>
    </row>
    <row r="173">
      <c r="A173" s="31">
        <f>GAMMA_THETA_MAP!A173</f>
        <v/>
      </c>
      <c r="B173" s="31">
        <f>GAMMA_THETA_MAP!B173</f>
        <v/>
      </c>
      <c r="C173" s="31">
        <f>GAMMA_THETA_MAP!C173</f>
        <v/>
      </c>
      <c r="D173" s="31">
        <f>SUMIFS(tblChainRaw[OI Change],tblChainRaw[Strike Price],A173,tblChainRaw[Option Type],"CE")</f>
        <v/>
      </c>
      <c r="E173" s="31">
        <f>SUMIFS(tblChainRaw[OI Change],tblChainRaw[Strike Price],A173,tblChainRaw[Option Type],"PE")</f>
        <v/>
      </c>
      <c r="F173" s="31">
        <f>IF(OR(B173="",C173=""),"",(C173-B173)/(C173+B173))</f>
        <v/>
      </c>
      <c r="G173" s="31">
        <f>GAMMA_THETA_MAP!F173</f>
        <v/>
      </c>
      <c r="H173" s="31">
        <f>GAMMA_THETA_MAP!I173</f>
        <v/>
      </c>
      <c r="I173" s="31">
        <f>IF(OR(B173="",C173=""),"",IF(C173&gt;B173*1.2,"Support",IF(B173&gt;C173*1.2,"Resistance","")))</f>
        <v/>
      </c>
    </row>
    <row r="174">
      <c r="A174" s="31">
        <f>GAMMA_THETA_MAP!A174</f>
        <v/>
      </c>
      <c r="B174" s="31">
        <f>GAMMA_THETA_MAP!B174</f>
        <v/>
      </c>
      <c r="C174" s="31">
        <f>GAMMA_THETA_MAP!C174</f>
        <v/>
      </c>
      <c r="D174" s="31">
        <f>SUMIFS(tblChainRaw[OI Change],tblChainRaw[Strike Price],A174,tblChainRaw[Option Type],"CE")</f>
        <v/>
      </c>
      <c r="E174" s="31">
        <f>SUMIFS(tblChainRaw[OI Change],tblChainRaw[Strike Price],A174,tblChainRaw[Option Type],"PE")</f>
        <v/>
      </c>
      <c r="F174" s="31">
        <f>IF(OR(B174="",C174=""),"",(C174-B174)/(C174+B174))</f>
        <v/>
      </c>
      <c r="G174" s="31">
        <f>GAMMA_THETA_MAP!F174</f>
        <v/>
      </c>
      <c r="H174" s="31">
        <f>GAMMA_THETA_MAP!I174</f>
        <v/>
      </c>
      <c r="I174" s="31">
        <f>IF(OR(B174="",C174=""),"",IF(C174&gt;B174*1.2,"Support",IF(B174&gt;C174*1.2,"Resistance","")))</f>
        <v/>
      </c>
    </row>
    <row r="175">
      <c r="A175" s="31">
        <f>GAMMA_THETA_MAP!A175</f>
        <v/>
      </c>
      <c r="B175" s="31">
        <f>GAMMA_THETA_MAP!B175</f>
        <v/>
      </c>
      <c r="C175" s="31">
        <f>GAMMA_THETA_MAP!C175</f>
        <v/>
      </c>
      <c r="D175" s="31">
        <f>SUMIFS(tblChainRaw[OI Change],tblChainRaw[Strike Price],A175,tblChainRaw[Option Type],"CE")</f>
        <v/>
      </c>
      <c r="E175" s="31">
        <f>SUMIFS(tblChainRaw[OI Change],tblChainRaw[Strike Price],A175,tblChainRaw[Option Type],"PE")</f>
        <v/>
      </c>
      <c r="F175" s="31">
        <f>IF(OR(B175="",C175=""),"",(C175-B175)/(C175+B175))</f>
        <v/>
      </c>
      <c r="G175" s="31">
        <f>GAMMA_THETA_MAP!F175</f>
        <v/>
      </c>
      <c r="H175" s="31">
        <f>GAMMA_THETA_MAP!I175</f>
        <v/>
      </c>
      <c r="I175" s="31">
        <f>IF(OR(B175="",C175=""),"",IF(C175&gt;B175*1.2,"Support",IF(B175&gt;C175*1.2,"Resistance","")))</f>
        <v/>
      </c>
    </row>
    <row r="176">
      <c r="A176" s="31">
        <f>GAMMA_THETA_MAP!A176</f>
        <v/>
      </c>
      <c r="B176" s="31">
        <f>GAMMA_THETA_MAP!B176</f>
        <v/>
      </c>
      <c r="C176" s="31">
        <f>GAMMA_THETA_MAP!C176</f>
        <v/>
      </c>
      <c r="D176" s="31">
        <f>SUMIFS(tblChainRaw[OI Change],tblChainRaw[Strike Price],A176,tblChainRaw[Option Type],"CE")</f>
        <v/>
      </c>
      <c r="E176" s="31">
        <f>SUMIFS(tblChainRaw[OI Change],tblChainRaw[Strike Price],A176,tblChainRaw[Option Type],"PE")</f>
        <v/>
      </c>
      <c r="F176" s="31">
        <f>IF(OR(B176="",C176=""),"",(C176-B176)/(C176+B176))</f>
        <v/>
      </c>
      <c r="G176" s="31">
        <f>GAMMA_THETA_MAP!F176</f>
        <v/>
      </c>
      <c r="H176" s="31">
        <f>GAMMA_THETA_MAP!I176</f>
        <v/>
      </c>
      <c r="I176" s="31">
        <f>IF(OR(B176="",C176=""),"",IF(C176&gt;B176*1.2,"Support",IF(B176&gt;C176*1.2,"Resistance","")))</f>
        <v/>
      </c>
    </row>
    <row r="177">
      <c r="A177" s="31">
        <f>GAMMA_THETA_MAP!A177</f>
        <v/>
      </c>
      <c r="B177" s="31">
        <f>GAMMA_THETA_MAP!B177</f>
        <v/>
      </c>
      <c r="C177" s="31">
        <f>GAMMA_THETA_MAP!C177</f>
        <v/>
      </c>
      <c r="D177" s="31">
        <f>SUMIFS(tblChainRaw[OI Change],tblChainRaw[Strike Price],A177,tblChainRaw[Option Type],"CE")</f>
        <v/>
      </c>
      <c r="E177" s="31">
        <f>SUMIFS(tblChainRaw[OI Change],tblChainRaw[Strike Price],A177,tblChainRaw[Option Type],"PE")</f>
        <v/>
      </c>
      <c r="F177" s="31">
        <f>IF(OR(B177="",C177=""),"",(C177-B177)/(C177+B177))</f>
        <v/>
      </c>
      <c r="G177" s="31">
        <f>GAMMA_THETA_MAP!F177</f>
        <v/>
      </c>
      <c r="H177" s="31">
        <f>GAMMA_THETA_MAP!I177</f>
        <v/>
      </c>
      <c r="I177" s="31">
        <f>IF(OR(B177="",C177=""),"",IF(C177&gt;B177*1.2,"Support",IF(B177&gt;C177*1.2,"Resistance","")))</f>
        <v/>
      </c>
    </row>
    <row r="178">
      <c r="A178" s="31">
        <f>GAMMA_THETA_MAP!A178</f>
        <v/>
      </c>
      <c r="B178" s="31">
        <f>GAMMA_THETA_MAP!B178</f>
        <v/>
      </c>
      <c r="C178" s="31">
        <f>GAMMA_THETA_MAP!C178</f>
        <v/>
      </c>
      <c r="D178" s="31">
        <f>SUMIFS(tblChainRaw[OI Change],tblChainRaw[Strike Price],A178,tblChainRaw[Option Type],"CE")</f>
        <v/>
      </c>
      <c r="E178" s="31">
        <f>SUMIFS(tblChainRaw[OI Change],tblChainRaw[Strike Price],A178,tblChainRaw[Option Type],"PE")</f>
        <v/>
      </c>
      <c r="F178" s="31">
        <f>IF(OR(B178="",C178=""),"",(C178-B178)/(C178+B178))</f>
        <v/>
      </c>
      <c r="G178" s="31">
        <f>GAMMA_THETA_MAP!F178</f>
        <v/>
      </c>
      <c r="H178" s="31">
        <f>GAMMA_THETA_MAP!I178</f>
        <v/>
      </c>
      <c r="I178" s="31">
        <f>IF(OR(B178="",C178=""),"",IF(C178&gt;B178*1.2,"Support",IF(B178&gt;C178*1.2,"Resistance","")))</f>
        <v/>
      </c>
    </row>
    <row r="179">
      <c r="A179" s="31">
        <f>GAMMA_THETA_MAP!A179</f>
        <v/>
      </c>
      <c r="B179" s="31">
        <f>GAMMA_THETA_MAP!B179</f>
        <v/>
      </c>
      <c r="C179" s="31">
        <f>GAMMA_THETA_MAP!C179</f>
        <v/>
      </c>
      <c r="D179" s="31">
        <f>SUMIFS(tblChainRaw[OI Change],tblChainRaw[Strike Price],A179,tblChainRaw[Option Type],"CE")</f>
        <v/>
      </c>
      <c r="E179" s="31">
        <f>SUMIFS(tblChainRaw[OI Change],tblChainRaw[Strike Price],A179,tblChainRaw[Option Type],"PE")</f>
        <v/>
      </c>
      <c r="F179" s="31">
        <f>IF(OR(B179="",C179=""),"",(C179-B179)/(C179+B179))</f>
        <v/>
      </c>
      <c r="G179" s="31">
        <f>GAMMA_THETA_MAP!F179</f>
        <v/>
      </c>
      <c r="H179" s="31">
        <f>GAMMA_THETA_MAP!I179</f>
        <v/>
      </c>
      <c r="I179" s="31">
        <f>IF(OR(B179="",C179=""),"",IF(C179&gt;B179*1.2,"Support",IF(B179&gt;C179*1.2,"Resistance","")))</f>
        <v/>
      </c>
    </row>
    <row r="180">
      <c r="A180" s="31">
        <f>GAMMA_THETA_MAP!A180</f>
        <v/>
      </c>
      <c r="B180" s="31">
        <f>GAMMA_THETA_MAP!B180</f>
        <v/>
      </c>
      <c r="C180" s="31">
        <f>GAMMA_THETA_MAP!C180</f>
        <v/>
      </c>
      <c r="D180" s="31">
        <f>SUMIFS(tblChainRaw[OI Change],tblChainRaw[Strike Price],A180,tblChainRaw[Option Type],"CE")</f>
        <v/>
      </c>
      <c r="E180" s="31">
        <f>SUMIFS(tblChainRaw[OI Change],tblChainRaw[Strike Price],A180,tblChainRaw[Option Type],"PE")</f>
        <v/>
      </c>
      <c r="F180" s="31">
        <f>IF(OR(B180="",C180=""),"",(C180-B180)/(C180+B180))</f>
        <v/>
      </c>
      <c r="G180" s="31">
        <f>GAMMA_THETA_MAP!F180</f>
        <v/>
      </c>
      <c r="H180" s="31">
        <f>GAMMA_THETA_MAP!I180</f>
        <v/>
      </c>
      <c r="I180" s="31">
        <f>IF(OR(B180="",C180=""),"",IF(C180&gt;B180*1.2,"Support",IF(B180&gt;C180*1.2,"Resistance","")))</f>
        <v/>
      </c>
    </row>
    <row r="181">
      <c r="A181" s="31">
        <f>GAMMA_THETA_MAP!A181</f>
        <v/>
      </c>
      <c r="B181" s="31">
        <f>GAMMA_THETA_MAP!B181</f>
        <v/>
      </c>
      <c r="C181" s="31">
        <f>GAMMA_THETA_MAP!C181</f>
        <v/>
      </c>
      <c r="D181" s="31">
        <f>SUMIFS(tblChainRaw[OI Change],tblChainRaw[Strike Price],A181,tblChainRaw[Option Type],"CE")</f>
        <v/>
      </c>
      <c r="E181" s="31">
        <f>SUMIFS(tblChainRaw[OI Change],tblChainRaw[Strike Price],A181,tblChainRaw[Option Type],"PE")</f>
        <v/>
      </c>
      <c r="F181" s="31">
        <f>IF(OR(B181="",C181=""),"",(C181-B181)/(C181+B181))</f>
        <v/>
      </c>
      <c r="G181" s="31">
        <f>GAMMA_THETA_MAP!F181</f>
        <v/>
      </c>
      <c r="H181" s="31">
        <f>GAMMA_THETA_MAP!I181</f>
        <v/>
      </c>
      <c r="I181" s="31">
        <f>IF(OR(B181="",C181=""),"",IF(C181&gt;B181*1.2,"Support",IF(B181&gt;C181*1.2,"Resistance","")))</f>
        <v/>
      </c>
    </row>
    <row r="182">
      <c r="A182" s="31">
        <f>GAMMA_THETA_MAP!A182</f>
        <v/>
      </c>
      <c r="B182" s="31">
        <f>GAMMA_THETA_MAP!B182</f>
        <v/>
      </c>
      <c r="C182" s="31">
        <f>GAMMA_THETA_MAP!C182</f>
        <v/>
      </c>
      <c r="D182" s="31">
        <f>SUMIFS(tblChainRaw[OI Change],tblChainRaw[Strike Price],A182,tblChainRaw[Option Type],"CE")</f>
        <v/>
      </c>
      <c r="E182" s="31">
        <f>SUMIFS(tblChainRaw[OI Change],tblChainRaw[Strike Price],A182,tblChainRaw[Option Type],"PE")</f>
        <v/>
      </c>
      <c r="F182" s="31">
        <f>IF(OR(B182="",C182=""),"",(C182-B182)/(C182+B182))</f>
        <v/>
      </c>
      <c r="G182" s="31">
        <f>GAMMA_THETA_MAP!F182</f>
        <v/>
      </c>
      <c r="H182" s="31">
        <f>GAMMA_THETA_MAP!I182</f>
        <v/>
      </c>
      <c r="I182" s="31">
        <f>IF(OR(B182="",C182=""),"",IF(C182&gt;B182*1.2,"Support",IF(B182&gt;C182*1.2,"Resistance","")))</f>
        <v/>
      </c>
    </row>
    <row r="183">
      <c r="A183" s="31">
        <f>GAMMA_THETA_MAP!A183</f>
        <v/>
      </c>
      <c r="B183" s="31">
        <f>GAMMA_THETA_MAP!B183</f>
        <v/>
      </c>
      <c r="C183" s="31">
        <f>GAMMA_THETA_MAP!C183</f>
        <v/>
      </c>
      <c r="D183" s="31">
        <f>SUMIFS(tblChainRaw[OI Change],tblChainRaw[Strike Price],A183,tblChainRaw[Option Type],"CE")</f>
        <v/>
      </c>
      <c r="E183" s="31">
        <f>SUMIFS(tblChainRaw[OI Change],tblChainRaw[Strike Price],A183,tblChainRaw[Option Type],"PE")</f>
        <v/>
      </c>
      <c r="F183" s="31">
        <f>IF(OR(B183="",C183=""),"",(C183-B183)/(C183+B183))</f>
        <v/>
      </c>
      <c r="G183" s="31">
        <f>GAMMA_THETA_MAP!F183</f>
        <v/>
      </c>
      <c r="H183" s="31">
        <f>GAMMA_THETA_MAP!I183</f>
        <v/>
      </c>
      <c r="I183" s="31">
        <f>IF(OR(B183="",C183=""),"",IF(C183&gt;B183*1.2,"Support",IF(B183&gt;C183*1.2,"Resistance","")))</f>
        <v/>
      </c>
    </row>
    <row r="184">
      <c r="A184" s="31">
        <f>GAMMA_THETA_MAP!A184</f>
        <v/>
      </c>
      <c r="B184" s="31">
        <f>GAMMA_THETA_MAP!B184</f>
        <v/>
      </c>
      <c r="C184" s="31">
        <f>GAMMA_THETA_MAP!C184</f>
        <v/>
      </c>
      <c r="D184" s="31">
        <f>SUMIFS(tblChainRaw[OI Change],tblChainRaw[Strike Price],A184,tblChainRaw[Option Type],"CE")</f>
        <v/>
      </c>
      <c r="E184" s="31">
        <f>SUMIFS(tblChainRaw[OI Change],tblChainRaw[Strike Price],A184,tblChainRaw[Option Type],"PE")</f>
        <v/>
      </c>
      <c r="F184" s="31">
        <f>IF(OR(B184="",C184=""),"",(C184-B184)/(C184+B184))</f>
        <v/>
      </c>
      <c r="G184" s="31">
        <f>GAMMA_THETA_MAP!F184</f>
        <v/>
      </c>
      <c r="H184" s="31">
        <f>GAMMA_THETA_MAP!I184</f>
        <v/>
      </c>
      <c r="I184" s="31">
        <f>IF(OR(B184="",C184=""),"",IF(C184&gt;B184*1.2,"Support",IF(B184&gt;C184*1.2,"Resistance","")))</f>
        <v/>
      </c>
    </row>
    <row r="185">
      <c r="A185" s="31">
        <f>GAMMA_THETA_MAP!A185</f>
        <v/>
      </c>
      <c r="B185" s="31">
        <f>GAMMA_THETA_MAP!B185</f>
        <v/>
      </c>
      <c r="C185" s="31">
        <f>GAMMA_THETA_MAP!C185</f>
        <v/>
      </c>
      <c r="D185" s="31">
        <f>SUMIFS(tblChainRaw[OI Change],tblChainRaw[Strike Price],A185,tblChainRaw[Option Type],"CE")</f>
        <v/>
      </c>
      <c r="E185" s="31">
        <f>SUMIFS(tblChainRaw[OI Change],tblChainRaw[Strike Price],A185,tblChainRaw[Option Type],"PE")</f>
        <v/>
      </c>
      <c r="F185" s="31">
        <f>IF(OR(B185="",C185=""),"",(C185-B185)/(C185+B185))</f>
        <v/>
      </c>
      <c r="G185" s="31">
        <f>GAMMA_THETA_MAP!F185</f>
        <v/>
      </c>
      <c r="H185" s="31">
        <f>GAMMA_THETA_MAP!I185</f>
        <v/>
      </c>
      <c r="I185" s="31">
        <f>IF(OR(B185="",C185=""),"",IF(C185&gt;B185*1.2,"Support",IF(B185&gt;C185*1.2,"Resistance","")))</f>
        <v/>
      </c>
    </row>
    <row r="186">
      <c r="A186" s="31">
        <f>GAMMA_THETA_MAP!A186</f>
        <v/>
      </c>
      <c r="B186" s="31">
        <f>GAMMA_THETA_MAP!B186</f>
        <v/>
      </c>
      <c r="C186" s="31">
        <f>GAMMA_THETA_MAP!C186</f>
        <v/>
      </c>
      <c r="D186" s="31">
        <f>SUMIFS(tblChainRaw[OI Change],tblChainRaw[Strike Price],A186,tblChainRaw[Option Type],"CE")</f>
        <v/>
      </c>
      <c r="E186" s="31">
        <f>SUMIFS(tblChainRaw[OI Change],tblChainRaw[Strike Price],A186,tblChainRaw[Option Type],"PE")</f>
        <v/>
      </c>
      <c r="F186" s="31">
        <f>IF(OR(B186="",C186=""),"",(C186-B186)/(C186+B186))</f>
        <v/>
      </c>
      <c r="G186" s="31">
        <f>GAMMA_THETA_MAP!F186</f>
        <v/>
      </c>
      <c r="H186" s="31">
        <f>GAMMA_THETA_MAP!I186</f>
        <v/>
      </c>
      <c r="I186" s="31">
        <f>IF(OR(B186="",C186=""),"",IF(C186&gt;B186*1.2,"Support",IF(B186&gt;C186*1.2,"Resistance","")))</f>
        <v/>
      </c>
    </row>
    <row r="187">
      <c r="A187" s="31">
        <f>GAMMA_THETA_MAP!A187</f>
        <v/>
      </c>
      <c r="B187" s="31">
        <f>GAMMA_THETA_MAP!B187</f>
        <v/>
      </c>
      <c r="C187" s="31">
        <f>GAMMA_THETA_MAP!C187</f>
        <v/>
      </c>
      <c r="D187" s="31">
        <f>SUMIFS(tblChainRaw[OI Change],tblChainRaw[Strike Price],A187,tblChainRaw[Option Type],"CE")</f>
        <v/>
      </c>
      <c r="E187" s="31">
        <f>SUMIFS(tblChainRaw[OI Change],tblChainRaw[Strike Price],A187,tblChainRaw[Option Type],"PE")</f>
        <v/>
      </c>
      <c r="F187" s="31">
        <f>IF(OR(B187="",C187=""),"",(C187-B187)/(C187+B187))</f>
        <v/>
      </c>
      <c r="G187" s="31">
        <f>GAMMA_THETA_MAP!F187</f>
        <v/>
      </c>
      <c r="H187" s="31">
        <f>GAMMA_THETA_MAP!I187</f>
        <v/>
      </c>
      <c r="I187" s="31">
        <f>IF(OR(B187="",C187=""),"",IF(C187&gt;B187*1.2,"Support",IF(B187&gt;C187*1.2,"Resistance","")))</f>
        <v/>
      </c>
    </row>
    <row r="188">
      <c r="A188" s="31">
        <f>GAMMA_THETA_MAP!A188</f>
        <v/>
      </c>
      <c r="B188" s="31">
        <f>GAMMA_THETA_MAP!B188</f>
        <v/>
      </c>
      <c r="C188" s="31">
        <f>GAMMA_THETA_MAP!C188</f>
        <v/>
      </c>
      <c r="D188" s="31">
        <f>SUMIFS(tblChainRaw[OI Change],tblChainRaw[Strike Price],A188,tblChainRaw[Option Type],"CE")</f>
        <v/>
      </c>
      <c r="E188" s="31">
        <f>SUMIFS(tblChainRaw[OI Change],tblChainRaw[Strike Price],A188,tblChainRaw[Option Type],"PE")</f>
        <v/>
      </c>
      <c r="F188" s="31">
        <f>IF(OR(B188="",C188=""),"",(C188-B188)/(C188+B188))</f>
        <v/>
      </c>
      <c r="G188" s="31">
        <f>GAMMA_THETA_MAP!F188</f>
        <v/>
      </c>
      <c r="H188" s="31">
        <f>GAMMA_THETA_MAP!I188</f>
        <v/>
      </c>
      <c r="I188" s="31">
        <f>IF(OR(B188="",C188=""),"",IF(C188&gt;B188*1.2,"Support",IF(B188&gt;C188*1.2,"Resistance","")))</f>
        <v/>
      </c>
    </row>
    <row r="189">
      <c r="A189" s="31">
        <f>GAMMA_THETA_MAP!A189</f>
        <v/>
      </c>
      <c r="B189" s="31">
        <f>GAMMA_THETA_MAP!B189</f>
        <v/>
      </c>
      <c r="C189" s="31">
        <f>GAMMA_THETA_MAP!C189</f>
        <v/>
      </c>
      <c r="D189" s="31">
        <f>SUMIFS(tblChainRaw[OI Change],tblChainRaw[Strike Price],A189,tblChainRaw[Option Type],"CE")</f>
        <v/>
      </c>
      <c r="E189" s="31">
        <f>SUMIFS(tblChainRaw[OI Change],tblChainRaw[Strike Price],A189,tblChainRaw[Option Type],"PE")</f>
        <v/>
      </c>
      <c r="F189" s="31">
        <f>IF(OR(B189="",C189=""),"",(C189-B189)/(C189+B189))</f>
        <v/>
      </c>
      <c r="G189" s="31">
        <f>GAMMA_THETA_MAP!F189</f>
        <v/>
      </c>
      <c r="H189" s="31">
        <f>GAMMA_THETA_MAP!I189</f>
        <v/>
      </c>
      <c r="I189" s="31">
        <f>IF(OR(B189="",C189=""),"",IF(C189&gt;B189*1.2,"Support",IF(B189&gt;C189*1.2,"Resistance","")))</f>
        <v/>
      </c>
    </row>
    <row r="190">
      <c r="A190" s="31">
        <f>GAMMA_THETA_MAP!A190</f>
        <v/>
      </c>
      <c r="B190" s="31">
        <f>GAMMA_THETA_MAP!B190</f>
        <v/>
      </c>
      <c r="C190" s="31">
        <f>GAMMA_THETA_MAP!C190</f>
        <v/>
      </c>
      <c r="D190" s="31">
        <f>SUMIFS(tblChainRaw[OI Change],tblChainRaw[Strike Price],A190,tblChainRaw[Option Type],"CE")</f>
        <v/>
      </c>
      <c r="E190" s="31">
        <f>SUMIFS(tblChainRaw[OI Change],tblChainRaw[Strike Price],A190,tblChainRaw[Option Type],"PE")</f>
        <v/>
      </c>
      <c r="F190" s="31">
        <f>IF(OR(B190="",C190=""),"",(C190-B190)/(C190+B190))</f>
        <v/>
      </c>
      <c r="G190" s="31">
        <f>GAMMA_THETA_MAP!F190</f>
        <v/>
      </c>
      <c r="H190" s="31">
        <f>GAMMA_THETA_MAP!I190</f>
        <v/>
      </c>
      <c r="I190" s="31">
        <f>IF(OR(B190="",C190=""),"",IF(C190&gt;B190*1.2,"Support",IF(B190&gt;C190*1.2,"Resistance","")))</f>
        <v/>
      </c>
    </row>
    <row r="191">
      <c r="A191" s="31">
        <f>GAMMA_THETA_MAP!A191</f>
        <v/>
      </c>
      <c r="B191" s="31">
        <f>GAMMA_THETA_MAP!B191</f>
        <v/>
      </c>
      <c r="C191" s="31">
        <f>GAMMA_THETA_MAP!C191</f>
        <v/>
      </c>
      <c r="D191" s="31">
        <f>SUMIFS(tblChainRaw[OI Change],tblChainRaw[Strike Price],A191,tblChainRaw[Option Type],"CE")</f>
        <v/>
      </c>
      <c r="E191" s="31">
        <f>SUMIFS(tblChainRaw[OI Change],tblChainRaw[Strike Price],A191,tblChainRaw[Option Type],"PE")</f>
        <v/>
      </c>
      <c r="F191" s="31">
        <f>IF(OR(B191="",C191=""),"",(C191-B191)/(C191+B191))</f>
        <v/>
      </c>
      <c r="G191" s="31">
        <f>GAMMA_THETA_MAP!F191</f>
        <v/>
      </c>
      <c r="H191" s="31">
        <f>GAMMA_THETA_MAP!I191</f>
        <v/>
      </c>
      <c r="I191" s="31">
        <f>IF(OR(B191="",C191=""),"",IF(C191&gt;B191*1.2,"Support",IF(B191&gt;C191*1.2,"Resistance","")))</f>
        <v/>
      </c>
    </row>
    <row r="192">
      <c r="A192" s="31">
        <f>GAMMA_THETA_MAP!A192</f>
        <v/>
      </c>
      <c r="B192" s="31">
        <f>GAMMA_THETA_MAP!B192</f>
        <v/>
      </c>
      <c r="C192" s="31">
        <f>GAMMA_THETA_MAP!C192</f>
        <v/>
      </c>
      <c r="D192" s="31">
        <f>SUMIFS(tblChainRaw[OI Change],tblChainRaw[Strike Price],A192,tblChainRaw[Option Type],"CE")</f>
        <v/>
      </c>
      <c r="E192" s="31">
        <f>SUMIFS(tblChainRaw[OI Change],tblChainRaw[Strike Price],A192,tblChainRaw[Option Type],"PE")</f>
        <v/>
      </c>
      <c r="F192" s="31">
        <f>IF(OR(B192="",C192=""),"",(C192-B192)/(C192+B192))</f>
        <v/>
      </c>
      <c r="G192" s="31">
        <f>GAMMA_THETA_MAP!F192</f>
        <v/>
      </c>
      <c r="H192" s="31">
        <f>GAMMA_THETA_MAP!I192</f>
        <v/>
      </c>
      <c r="I192" s="31">
        <f>IF(OR(B192="",C192=""),"",IF(C192&gt;B192*1.2,"Support",IF(B192&gt;C192*1.2,"Resistance","")))</f>
        <v/>
      </c>
    </row>
    <row r="193">
      <c r="A193" s="31">
        <f>GAMMA_THETA_MAP!A193</f>
        <v/>
      </c>
      <c r="B193" s="31">
        <f>GAMMA_THETA_MAP!B193</f>
        <v/>
      </c>
      <c r="C193" s="31">
        <f>GAMMA_THETA_MAP!C193</f>
        <v/>
      </c>
      <c r="D193" s="31">
        <f>SUMIFS(tblChainRaw[OI Change],tblChainRaw[Strike Price],A193,tblChainRaw[Option Type],"CE")</f>
        <v/>
      </c>
      <c r="E193" s="31">
        <f>SUMIFS(tblChainRaw[OI Change],tblChainRaw[Strike Price],A193,tblChainRaw[Option Type],"PE")</f>
        <v/>
      </c>
      <c r="F193" s="31">
        <f>IF(OR(B193="",C193=""),"",(C193-B193)/(C193+B193))</f>
        <v/>
      </c>
      <c r="G193" s="31">
        <f>GAMMA_THETA_MAP!F193</f>
        <v/>
      </c>
      <c r="H193" s="31">
        <f>GAMMA_THETA_MAP!I193</f>
        <v/>
      </c>
      <c r="I193" s="31">
        <f>IF(OR(B193="",C193=""),"",IF(C193&gt;B193*1.2,"Support",IF(B193&gt;C193*1.2,"Resistance","")))</f>
        <v/>
      </c>
    </row>
    <row r="194">
      <c r="A194" s="31">
        <f>GAMMA_THETA_MAP!A194</f>
        <v/>
      </c>
      <c r="B194" s="31">
        <f>GAMMA_THETA_MAP!B194</f>
        <v/>
      </c>
      <c r="C194" s="31">
        <f>GAMMA_THETA_MAP!C194</f>
        <v/>
      </c>
      <c r="D194" s="31">
        <f>SUMIFS(tblChainRaw[OI Change],tblChainRaw[Strike Price],A194,tblChainRaw[Option Type],"CE")</f>
        <v/>
      </c>
      <c r="E194" s="31">
        <f>SUMIFS(tblChainRaw[OI Change],tblChainRaw[Strike Price],A194,tblChainRaw[Option Type],"PE")</f>
        <v/>
      </c>
      <c r="F194" s="31">
        <f>IF(OR(B194="",C194=""),"",(C194-B194)/(C194+B194))</f>
        <v/>
      </c>
      <c r="G194" s="31">
        <f>GAMMA_THETA_MAP!F194</f>
        <v/>
      </c>
      <c r="H194" s="31">
        <f>GAMMA_THETA_MAP!I194</f>
        <v/>
      </c>
      <c r="I194" s="31">
        <f>IF(OR(B194="",C194=""),"",IF(C194&gt;B194*1.2,"Support",IF(B194&gt;C194*1.2,"Resistance","")))</f>
        <v/>
      </c>
    </row>
    <row r="195">
      <c r="A195" s="31">
        <f>GAMMA_THETA_MAP!A195</f>
        <v/>
      </c>
      <c r="B195" s="31">
        <f>GAMMA_THETA_MAP!B195</f>
        <v/>
      </c>
      <c r="C195" s="31">
        <f>GAMMA_THETA_MAP!C195</f>
        <v/>
      </c>
      <c r="D195" s="31">
        <f>SUMIFS(tblChainRaw[OI Change],tblChainRaw[Strike Price],A195,tblChainRaw[Option Type],"CE")</f>
        <v/>
      </c>
      <c r="E195" s="31">
        <f>SUMIFS(tblChainRaw[OI Change],tblChainRaw[Strike Price],A195,tblChainRaw[Option Type],"PE")</f>
        <v/>
      </c>
      <c r="F195" s="31">
        <f>IF(OR(B195="",C195=""),"",(C195-B195)/(C195+B195))</f>
        <v/>
      </c>
      <c r="G195" s="31">
        <f>GAMMA_THETA_MAP!F195</f>
        <v/>
      </c>
      <c r="H195" s="31">
        <f>GAMMA_THETA_MAP!I195</f>
        <v/>
      </c>
      <c r="I195" s="31">
        <f>IF(OR(B195="",C195=""),"",IF(C195&gt;B195*1.2,"Support",IF(B195&gt;C195*1.2,"Resistance","")))</f>
        <v/>
      </c>
    </row>
    <row r="196">
      <c r="A196" s="31">
        <f>GAMMA_THETA_MAP!A196</f>
        <v/>
      </c>
      <c r="B196" s="31">
        <f>GAMMA_THETA_MAP!B196</f>
        <v/>
      </c>
      <c r="C196" s="31">
        <f>GAMMA_THETA_MAP!C196</f>
        <v/>
      </c>
      <c r="D196" s="31">
        <f>SUMIFS(tblChainRaw[OI Change],tblChainRaw[Strike Price],A196,tblChainRaw[Option Type],"CE")</f>
        <v/>
      </c>
      <c r="E196" s="31">
        <f>SUMIFS(tblChainRaw[OI Change],tblChainRaw[Strike Price],A196,tblChainRaw[Option Type],"PE")</f>
        <v/>
      </c>
      <c r="F196" s="31">
        <f>IF(OR(B196="",C196=""),"",(C196-B196)/(C196+B196))</f>
        <v/>
      </c>
      <c r="G196" s="31">
        <f>GAMMA_THETA_MAP!F196</f>
        <v/>
      </c>
      <c r="H196" s="31">
        <f>GAMMA_THETA_MAP!I196</f>
        <v/>
      </c>
      <c r="I196" s="31">
        <f>IF(OR(B196="",C196=""),"",IF(C196&gt;B196*1.2,"Support",IF(B196&gt;C196*1.2,"Resistance","")))</f>
        <v/>
      </c>
    </row>
    <row r="197">
      <c r="A197" s="31">
        <f>GAMMA_THETA_MAP!A197</f>
        <v/>
      </c>
      <c r="B197" s="31">
        <f>GAMMA_THETA_MAP!B197</f>
        <v/>
      </c>
      <c r="C197" s="31">
        <f>GAMMA_THETA_MAP!C197</f>
        <v/>
      </c>
      <c r="D197" s="31">
        <f>SUMIFS(tblChainRaw[OI Change],tblChainRaw[Strike Price],A197,tblChainRaw[Option Type],"CE")</f>
        <v/>
      </c>
      <c r="E197" s="31">
        <f>SUMIFS(tblChainRaw[OI Change],tblChainRaw[Strike Price],A197,tblChainRaw[Option Type],"PE")</f>
        <v/>
      </c>
      <c r="F197" s="31">
        <f>IF(OR(B197="",C197=""),"",(C197-B197)/(C197+B197))</f>
        <v/>
      </c>
      <c r="G197" s="31">
        <f>GAMMA_THETA_MAP!F197</f>
        <v/>
      </c>
      <c r="H197" s="31">
        <f>GAMMA_THETA_MAP!I197</f>
        <v/>
      </c>
      <c r="I197" s="31">
        <f>IF(OR(B197="",C197=""),"",IF(C197&gt;B197*1.2,"Support",IF(B197&gt;C197*1.2,"Resistance","")))</f>
        <v/>
      </c>
    </row>
    <row r="198">
      <c r="A198" s="31">
        <f>GAMMA_THETA_MAP!A198</f>
        <v/>
      </c>
      <c r="B198" s="31">
        <f>GAMMA_THETA_MAP!B198</f>
        <v/>
      </c>
      <c r="C198" s="31">
        <f>GAMMA_THETA_MAP!C198</f>
        <v/>
      </c>
      <c r="D198" s="31">
        <f>SUMIFS(tblChainRaw[OI Change],tblChainRaw[Strike Price],A198,tblChainRaw[Option Type],"CE")</f>
        <v/>
      </c>
      <c r="E198" s="31">
        <f>SUMIFS(tblChainRaw[OI Change],tblChainRaw[Strike Price],A198,tblChainRaw[Option Type],"PE")</f>
        <v/>
      </c>
      <c r="F198" s="31">
        <f>IF(OR(B198="",C198=""),"",(C198-B198)/(C198+B198))</f>
        <v/>
      </c>
      <c r="G198" s="31">
        <f>GAMMA_THETA_MAP!F198</f>
        <v/>
      </c>
      <c r="H198" s="31">
        <f>GAMMA_THETA_MAP!I198</f>
        <v/>
      </c>
      <c r="I198" s="31">
        <f>IF(OR(B198="",C198=""),"",IF(C198&gt;B198*1.2,"Support",IF(B198&gt;C198*1.2,"Resistance","")))</f>
        <v/>
      </c>
    </row>
    <row r="199">
      <c r="A199" s="31">
        <f>GAMMA_THETA_MAP!A199</f>
        <v/>
      </c>
      <c r="B199" s="31">
        <f>GAMMA_THETA_MAP!B199</f>
        <v/>
      </c>
      <c r="C199" s="31">
        <f>GAMMA_THETA_MAP!C199</f>
        <v/>
      </c>
      <c r="D199" s="31">
        <f>SUMIFS(tblChainRaw[OI Change],tblChainRaw[Strike Price],A199,tblChainRaw[Option Type],"CE")</f>
        <v/>
      </c>
      <c r="E199" s="31">
        <f>SUMIFS(tblChainRaw[OI Change],tblChainRaw[Strike Price],A199,tblChainRaw[Option Type],"PE")</f>
        <v/>
      </c>
      <c r="F199" s="31">
        <f>IF(OR(B199="",C199=""),"",(C199-B199)/(C199+B199))</f>
        <v/>
      </c>
      <c r="G199" s="31">
        <f>GAMMA_THETA_MAP!F199</f>
        <v/>
      </c>
      <c r="H199" s="31">
        <f>GAMMA_THETA_MAP!I199</f>
        <v/>
      </c>
      <c r="I199" s="31">
        <f>IF(OR(B199="",C199=""),"",IF(C199&gt;B199*1.2,"Support",IF(B199&gt;C199*1.2,"Resistance","")))</f>
        <v/>
      </c>
    </row>
    <row r="200">
      <c r="A200" s="31">
        <f>GAMMA_THETA_MAP!A200</f>
        <v/>
      </c>
      <c r="B200" s="31">
        <f>GAMMA_THETA_MAP!B200</f>
        <v/>
      </c>
      <c r="C200" s="31">
        <f>GAMMA_THETA_MAP!C200</f>
        <v/>
      </c>
      <c r="D200" s="31">
        <f>SUMIFS(tblChainRaw[OI Change],tblChainRaw[Strike Price],A200,tblChainRaw[Option Type],"CE")</f>
        <v/>
      </c>
      <c r="E200" s="31">
        <f>SUMIFS(tblChainRaw[OI Change],tblChainRaw[Strike Price],A200,tblChainRaw[Option Type],"PE")</f>
        <v/>
      </c>
      <c r="F200" s="31">
        <f>IF(OR(B200="",C200=""),"",(C200-B200)/(C200+B200))</f>
        <v/>
      </c>
      <c r="G200" s="31">
        <f>GAMMA_THETA_MAP!F200</f>
        <v/>
      </c>
      <c r="H200" s="31">
        <f>GAMMA_THETA_MAP!I200</f>
        <v/>
      </c>
      <c r="I200" s="31">
        <f>IF(OR(B200="",C200=""),"",IF(C200&gt;B200*1.2,"Support",IF(B200&gt;C200*1.2,"Resistance","")))</f>
        <v/>
      </c>
    </row>
    <row r="201">
      <c r="A201" s="31">
        <f>GAMMA_THETA_MAP!A201</f>
        <v/>
      </c>
      <c r="B201" s="31">
        <f>GAMMA_THETA_MAP!B201</f>
        <v/>
      </c>
      <c r="C201" s="31">
        <f>GAMMA_THETA_MAP!C201</f>
        <v/>
      </c>
      <c r="D201" s="31">
        <f>SUMIFS(tblChainRaw[OI Change],tblChainRaw[Strike Price],A201,tblChainRaw[Option Type],"CE")</f>
        <v/>
      </c>
      <c r="E201" s="31">
        <f>SUMIFS(tblChainRaw[OI Change],tblChainRaw[Strike Price],A201,tblChainRaw[Option Type],"PE")</f>
        <v/>
      </c>
      <c r="F201" s="31">
        <f>IF(OR(B201="",C201=""),"",(C201-B201)/(C201+B201))</f>
        <v/>
      </c>
      <c r="G201" s="31">
        <f>GAMMA_THETA_MAP!F201</f>
        <v/>
      </c>
      <c r="H201" s="31">
        <f>GAMMA_THETA_MAP!I201</f>
        <v/>
      </c>
      <c r="I201" s="31">
        <f>IF(OR(B201="",C201=""),"",IF(C201&gt;B201*1.2,"Support",IF(B201&gt;C201*1.2,"Resistance","")))</f>
        <v/>
      </c>
    </row>
    <row r="202">
      <c r="A202" s="31">
        <f>GAMMA_THETA_MAP!A202</f>
        <v/>
      </c>
      <c r="B202" s="31">
        <f>GAMMA_THETA_MAP!B202</f>
        <v/>
      </c>
      <c r="C202" s="31">
        <f>GAMMA_THETA_MAP!C202</f>
        <v/>
      </c>
      <c r="D202" s="31">
        <f>SUMIFS(tblChainRaw[OI Change],tblChainRaw[Strike Price],A202,tblChainRaw[Option Type],"CE")</f>
        <v/>
      </c>
      <c r="E202" s="31">
        <f>SUMIFS(tblChainRaw[OI Change],tblChainRaw[Strike Price],A202,tblChainRaw[Option Type],"PE")</f>
        <v/>
      </c>
      <c r="F202" s="31">
        <f>IF(OR(B202="",C202=""),"",(C202-B202)/(C202+B202))</f>
        <v/>
      </c>
      <c r="G202" s="31">
        <f>GAMMA_THETA_MAP!F202</f>
        <v/>
      </c>
      <c r="H202" s="31">
        <f>GAMMA_THETA_MAP!I202</f>
        <v/>
      </c>
      <c r="I202" s="31">
        <f>IF(OR(B202="",C202=""),"",IF(C202&gt;B202*1.2,"Support",IF(B202&gt;C202*1.2,"Resistance","")))</f>
        <v/>
      </c>
    </row>
    <row r="203">
      <c r="A203" s="31">
        <f>GAMMA_THETA_MAP!A203</f>
        <v/>
      </c>
      <c r="B203" s="31">
        <f>GAMMA_THETA_MAP!B203</f>
        <v/>
      </c>
      <c r="C203" s="31">
        <f>GAMMA_THETA_MAP!C203</f>
        <v/>
      </c>
      <c r="D203" s="31">
        <f>SUMIFS(tblChainRaw[OI Change],tblChainRaw[Strike Price],A203,tblChainRaw[Option Type],"CE")</f>
        <v/>
      </c>
      <c r="E203" s="31">
        <f>SUMIFS(tblChainRaw[OI Change],tblChainRaw[Strike Price],A203,tblChainRaw[Option Type],"PE")</f>
        <v/>
      </c>
      <c r="F203" s="31">
        <f>IF(OR(B203="",C203=""),"",(C203-B203)/(C203+B203))</f>
        <v/>
      </c>
      <c r="G203" s="31">
        <f>GAMMA_THETA_MAP!F203</f>
        <v/>
      </c>
      <c r="H203" s="31">
        <f>GAMMA_THETA_MAP!I203</f>
        <v/>
      </c>
      <c r="I203" s="31">
        <f>IF(OR(B203="",C203=""),"",IF(C203&gt;B203*1.2,"Support",IF(B203&gt;C203*1.2,"Resistance","")))</f>
        <v/>
      </c>
    </row>
    <row r="204">
      <c r="A204" s="31">
        <f>GAMMA_THETA_MAP!A204</f>
        <v/>
      </c>
      <c r="B204" s="31">
        <f>GAMMA_THETA_MAP!B204</f>
        <v/>
      </c>
      <c r="C204" s="31">
        <f>GAMMA_THETA_MAP!C204</f>
        <v/>
      </c>
      <c r="D204" s="31">
        <f>SUMIFS(tblChainRaw[OI Change],tblChainRaw[Strike Price],A204,tblChainRaw[Option Type],"CE")</f>
        <v/>
      </c>
      <c r="E204" s="31">
        <f>SUMIFS(tblChainRaw[OI Change],tblChainRaw[Strike Price],A204,tblChainRaw[Option Type],"PE")</f>
        <v/>
      </c>
      <c r="F204" s="31">
        <f>IF(OR(B204="",C204=""),"",(C204-B204)/(C204+B204))</f>
        <v/>
      </c>
      <c r="G204" s="31">
        <f>GAMMA_THETA_MAP!F204</f>
        <v/>
      </c>
      <c r="H204" s="31">
        <f>GAMMA_THETA_MAP!I204</f>
        <v/>
      </c>
      <c r="I204" s="31">
        <f>IF(OR(B204="",C204=""),"",IF(C204&gt;B204*1.2,"Support",IF(B204&gt;C204*1.2,"Resistance","")))</f>
        <v/>
      </c>
    </row>
  </sheetData>
  <conditionalFormatting sqref="G4:G204">
    <cfRule type="cellIs" priority="1" operator="greaterThan" dxfId="2">
      <formula>0</formula>
    </cfRule>
    <cfRule type="cellIs" priority="2" operator="lessThan" dxfId="3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s="1" t="inlineStr">
        <is>
          <t>STRATEGY_ENGINE — Auto choice + strike rules (v3)</t>
        </is>
      </c>
    </row>
    <row r="3">
      <c r="A3" s="26" t="inlineStr">
        <is>
          <t>Direction</t>
        </is>
      </c>
      <c r="B3" s="27">
        <f>CHAIN_CALC!B36</f>
        <v/>
      </c>
    </row>
    <row r="4">
      <c r="A4" s="26" t="inlineStr">
        <is>
          <t>Confidence</t>
        </is>
      </c>
      <c r="B4" s="27">
        <f>CHAIN_CALC!B37</f>
        <v/>
      </c>
    </row>
    <row r="5">
      <c r="A5" s="26" t="inlineStr">
        <is>
          <t>Regime</t>
        </is>
      </c>
      <c r="B5" s="27">
        <f>CHAIN_CALC!B33</f>
        <v/>
      </c>
    </row>
    <row r="6">
      <c r="A6" s="26" t="inlineStr">
        <is>
          <t>Expected Move (pts)</t>
        </is>
      </c>
      <c r="B6" s="27">
        <f>CHAIN_CALC!B22</f>
        <v/>
      </c>
    </row>
    <row r="7">
      <c r="A7" s="26" t="inlineStr">
        <is>
          <t>ATM</t>
        </is>
      </c>
      <c r="B7" s="27">
        <f>CHAIN_CALC!B5</f>
        <v/>
      </c>
    </row>
    <row r="8">
      <c r="A8" s="26" t="inlineStr">
        <is>
          <t>Step</t>
        </is>
      </c>
      <c r="B8" s="27">
        <f>CONTROL!B6</f>
        <v/>
      </c>
    </row>
    <row r="10">
      <c r="A10" s="26" t="inlineStr">
        <is>
          <t>Chosen Strategy</t>
        </is>
      </c>
      <c r="B10" s="27">
        <f>LET(dir,B3,conf,B4,reg,B5,IF(OR(dir="",conf="",reg=""),"",IF(conf="Low","NO TRADE",IF(reg="High Vol",IF(dir="Neutral","IRON FLY","LONG STRADDLE"),IF(dir="Bullish","BULL CALL SPREAD",IF(dir="Bearish","BEAR PUT SPREAD","IRON CONDOR"))))))</f>
        <v/>
      </c>
    </row>
    <row r="11">
      <c r="A11" s="26" t="inlineStr">
        <is>
          <t>Risk Type</t>
        </is>
      </c>
      <c r="B11" s="27">
        <f>IF(B10="NO TRADE","NONE",IF(B10="LONG STRADDLE","Debit (risk=debit)","Defined Risk"))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</cols>
  <sheetData>
    <row r="1">
      <c r="A1" s="1" t="inlineStr">
        <is>
          <t>LEG_SELECTOR — Auto legs for chosen strategy (v3)</t>
        </is>
      </c>
    </row>
    <row r="3">
      <c r="A3" s="25" t="inlineStr">
        <is>
          <t>Leg</t>
        </is>
      </c>
      <c r="B3" s="25" t="inlineStr">
        <is>
          <t>Type</t>
        </is>
      </c>
      <c r="C3" s="25" t="inlineStr">
        <is>
          <t>Strike</t>
        </is>
      </c>
      <c r="D3" s="25" t="inlineStr">
        <is>
          <t>Qty (lots)</t>
        </is>
      </c>
      <c r="E3" s="25" t="inlineStr">
        <is>
          <t>Entry Ref (Mid)</t>
        </is>
      </c>
      <c r="F3" s="25" t="inlineStr">
        <is>
          <t>Role</t>
        </is>
      </c>
    </row>
    <row r="5">
      <c r="A5" s="26" t="inlineStr">
        <is>
          <t>Strategy</t>
        </is>
      </c>
      <c r="B5" s="27">
        <f>STRATEGY_ENGINE!B10</f>
        <v/>
      </c>
    </row>
    <row r="6">
      <c r="A6" s="26" t="inlineStr">
        <is>
          <t>ATM</t>
        </is>
      </c>
      <c r="B6" s="27">
        <f>CHAIN_CALC!B5</f>
        <v/>
      </c>
    </row>
    <row r="7">
      <c r="A7" s="26" t="inlineStr">
        <is>
          <t>Step</t>
        </is>
      </c>
      <c r="B7" s="27">
        <f>CONTROL!B6</f>
        <v/>
      </c>
    </row>
    <row r="8">
      <c r="A8" s="26" t="inlineStr">
        <is>
          <t>Lots (suggested)</t>
        </is>
      </c>
      <c r="B8" s="27">
        <f>SUMMARY!E7</f>
        <v/>
      </c>
    </row>
    <row r="9">
      <c r="A9" s="26" t="inlineStr">
        <is>
          <t>Sigma</t>
        </is>
      </c>
      <c r="B9" s="27">
        <f>CHAIN_CALC!B22</f>
        <v/>
      </c>
    </row>
    <row r="11">
      <c r="A11" s="30" t="inlineStr">
        <is>
          <t>OTM Steps</t>
        </is>
      </c>
      <c r="B11" s="31">
        <f>IF(OR(B9="",B7=""),"",MAX(2,ROUND(B9/B7,0)))</f>
        <v/>
      </c>
    </row>
    <row r="14">
      <c r="A14" s="30" t="inlineStr">
        <is>
          <t>Leg 1</t>
        </is>
      </c>
      <c r="B14" s="31">
        <f>LET(s,B5,IF(s="BULL CALL SPREAD","CE",IF(s="BEAR PUT SPREAD","PE",IF(OR(s="IRON CONDOR",s="IRON FLY"),"CE",IF(s="LONG STRADDLE","CE","")))))</f>
        <v/>
      </c>
      <c r="C14" s="31">
        <f>LET(s,B5,a,B6,st,B7,k,B11,IF(s="BULL CALL SPREAD",a,IF(s="BEAR PUT SPREAD",a,IF(s="IRON CONDOR",a+k*st,IF(s="IRON FLY",a,IF(s="LONG STRADDLE",a,""))))))</f>
        <v/>
      </c>
      <c r="D14" s="31">
        <f>IF(B8="","",B8)</f>
        <v/>
      </c>
      <c r="E14" s="31">
        <f>IF(OR(B14="",C14=""),"",SUMIFS(tblChainRaw[Mid Price],tblChainRaw[Strike Price],C14,tblChainRaw[Option Type],B14))</f>
        <v/>
      </c>
      <c r="F14" s="31">
        <f>LET(s,B5,IF(s="BULL CALL SPREAD","BUY",IF(s="BEAR PUT SPREAD","BUY",IF(s="IRON CONDOR","SELL",IF(s="IRON FLY","SELL",IF(s="LONG STRADDLE","BUY",""))))))</f>
        <v/>
      </c>
    </row>
    <row r="15">
      <c r="A15" s="30" t="inlineStr">
        <is>
          <t>Leg 2</t>
        </is>
      </c>
      <c r="B15" s="31">
        <f>LET(s,B5,IF(s="BULL CALL SPREAD","CE",IF(s="BEAR PUT SPREAD","PE",IF(OR(s="IRON CONDOR",s="IRON FLY"),"CE",IF(s="LONG STRADDLE","PE","")))))</f>
        <v/>
      </c>
      <c r="C15" s="31">
        <f>LET(s,B5,a,B6,st,B7,k,B11,IF(s="BULL CALL SPREAD",a+2*st,IF(s="BEAR PUT SPREAD",a-2*st,IF(s="IRON CONDOR",a+(k+2)*st,IF(s="IRON FLY",a+2*st,IF(s="LONG STRADDLE",a,""))))))</f>
        <v/>
      </c>
      <c r="D15" s="31">
        <f>IF(B8="","",B8)</f>
        <v/>
      </c>
      <c r="E15" s="31">
        <f>IF(OR(B15="",C15=""),"",SUMIFS(tblChainRaw[Mid Price],tblChainRaw[Strike Price],C15,tblChainRaw[Option Type],B15))</f>
        <v/>
      </c>
      <c r="F15" s="31">
        <f>LET(s,B5,IF(s="BULL CALL SPREAD","SELL",IF(s="BEAR PUT SPREAD","SELL",IF(OR(s="IRON CONDOR",s="IRON FLY"),"BUY",IF(s="LONG STRADDLE","BUY","")))))</f>
        <v/>
      </c>
    </row>
    <row r="16">
      <c r="A16" s="30" t="inlineStr">
        <is>
          <t>Leg 3</t>
        </is>
      </c>
      <c r="B16" s="31">
        <f>LET(s,B5,IF(OR(s="IRON CONDOR",s="IRON FLY"),"PE",""))</f>
        <v/>
      </c>
      <c r="C16" s="31">
        <f>LET(s,B5,a,B6,st,B7,k,B11,IF(s="IRON CONDOR",a-k*st,IF(s="IRON FLY",a,"")))</f>
        <v/>
      </c>
      <c r="D16" s="31">
        <f>IF(B8="","",B8)</f>
        <v/>
      </c>
      <c r="E16" s="31">
        <f>IF(OR(B16="",C16=""),"",SUMIFS(tblChainRaw[Mid Price],tblChainRaw[Strike Price],C16,tblChainRaw[Option Type],B16))</f>
        <v/>
      </c>
      <c r="F16" s="31">
        <f>LET(s,B5,IF(OR(s="IRON CONDOR",s="IRON FLY"),"SELL",""))</f>
        <v/>
      </c>
    </row>
    <row r="17">
      <c r="A17" s="30" t="inlineStr">
        <is>
          <t>Leg 4</t>
        </is>
      </c>
      <c r="B17" s="31">
        <f>LET(s,B5,IF(OR(s="IRON CONDOR",s="IRON FLY"),"PE",""))</f>
        <v/>
      </c>
      <c r="C17" s="31">
        <f>LET(s,B5,a,B6,st,B7,k,B11,IF(s="IRON CONDOR",a-(k+2)*st,IF(s="IRON FLY",a-2*st,"")))</f>
        <v/>
      </c>
      <c r="D17" s="31">
        <f>IF(B8="","",B8)</f>
        <v/>
      </c>
      <c r="E17" s="31">
        <f>IF(OR(B17="",C17=""),"",SUMIFS(tblChainRaw[Mid Price],tblChainRaw[Strike Price],C17,tblChainRaw[Option Type],B17))</f>
        <v/>
      </c>
      <c r="F17" s="31">
        <f>LET(s,B5,IF(OR(s="IRON CONDOR",s="IRON FLY"),"BUY",""))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</cols>
  <sheetData>
    <row r="1">
      <c r="A1" s="1" t="inlineStr">
        <is>
          <t>PROBABILITY_ENGINE — POP &amp; gates (v3)</t>
        </is>
      </c>
    </row>
    <row r="3">
      <c r="A3" s="26" t="inlineStr">
        <is>
          <t>Strategy</t>
        </is>
      </c>
      <c r="B3" s="27">
        <f>STRATEGY_ENGINE!B10</f>
        <v/>
      </c>
    </row>
    <row r="4">
      <c r="A4" s="26" t="inlineStr">
        <is>
          <t>Spot</t>
        </is>
      </c>
      <c r="B4" s="27">
        <f>CONTROL!B4</f>
        <v/>
      </c>
    </row>
    <row r="5">
      <c r="A5" s="26" t="inlineStr">
        <is>
          <t>Sigma (≈ Expected Move)</t>
        </is>
      </c>
      <c r="B5" s="27">
        <f>CHAIN_CALC!B22</f>
        <v/>
      </c>
    </row>
    <row r="6">
      <c r="A6" s="26" t="inlineStr">
        <is>
          <t>Put Short Strike (Leg3)</t>
        </is>
      </c>
      <c r="B6" s="27">
        <f>LEG_SELECTOR!C16</f>
        <v/>
      </c>
    </row>
    <row r="7">
      <c r="A7" s="26" t="inlineStr">
        <is>
          <t>Call Short Strike (Leg1)</t>
        </is>
      </c>
      <c r="B7" s="27">
        <f>LEG_SELECTOR!C14</f>
        <v/>
      </c>
    </row>
    <row r="8">
      <c r="A8" s="26" t="inlineStr">
        <is>
          <t>Target Proxy (Leg2)</t>
        </is>
      </c>
      <c r="B8" s="27">
        <f>LEG_SELECTOR!C15</f>
        <v/>
      </c>
    </row>
    <row r="11">
      <c r="A11" s="30" t="inlineStr">
        <is>
          <t>POP % (approx)</t>
        </is>
      </c>
      <c r="B11" s="31">
        <f>LET(strat,B3,s,B4,sd,B5,ps,B6,cs,B7,tp,B8,IF(OR(strat="",s="",sd=""),"",IF(strat="NO TRADE","", IF(strat="BULL CALL SPREAD",(1-NORM.S.DIST((tp-s)/sd,TRUE))*100,IF(strat="BEAR PUT SPREAD",(NORM.S.DIST((tp-s)/sd,TRUE))*100,IF(strat="IRON CONDOR",(NORM.S.DIST((cs-s)/sd,TRUE)-NORM.S.DIST((ps-s)/sd,TRUE))*100,IF(strat="IRON FLY",(NORM.S.DIST((0.5)-0,TRUE)-NORM.S.DIST((-0.5)-0,TRUE))*100,IF(strat="LONG STRADDLE",(1-(NORM.S.DIST(1,TRUE)-NORM.S.DIST(-1,TRUE)))*100,""))))))))</f>
        <v/>
      </c>
    </row>
    <row r="12">
      <c r="A12" s="30" t="inlineStr">
        <is>
          <t>POP Gate (&gt;=55%)</t>
        </is>
      </c>
      <c r="B12" s="31">
        <f>IF(B11="","",IF(B11&gt;=55,"PASS","FAIL"))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4" customWidth="1" min="15" max="15"/>
  </cols>
  <sheetData>
    <row r="1">
      <c r="A1" s="10" t="inlineStr">
        <is>
          <t>GREEKS (optional) — Paste greeks per strike/option here or compute externally</t>
        </is>
      </c>
    </row>
    <row r="2">
      <c r="A2" s="2" t="inlineStr">
        <is>
          <t>Timestamp</t>
        </is>
      </c>
      <c r="B2" s="2" t="inlineStr">
        <is>
          <t>Symbol</t>
        </is>
      </c>
      <c r="C2" s="2" t="inlineStr">
        <is>
          <t>Expiry</t>
        </is>
      </c>
      <c r="D2" s="2" t="inlineStr">
        <is>
          <t>Spot</t>
        </is>
      </c>
      <c r="E2" s="2" t="inlineStr">
        <is>
          <t>Strike</t>
        </is>
      </c>
      <c r="F2" s="2" t="inlineStr">
        <is>
          <t>OptionType (CE/PE)</t>
        </is>
      </c>
      <c r="G2" s="2" t="inlineStr">
        <is>
          <t>LTP</t>
        </is>
      </c>
      <c r="H2" s="2" t="inlineStr">
        <is>
          <t>IV</t>
        </is>
      </c>
      <c r="I2" s="2" t="inlineStr">
        <is>
          <t>Delta</t>
        </is>
      </c>
      <c r="J2" s="2" t="inlineStr">
        <is>
          <t>Gamma</t>
        </is>
      </c>
      <c r="K2" s="2" t="inlineStr">
        <is>
          <t>Vega</t>
        </is>
      </c>
      <c r="L2" s="2" t="inlineStr">
        <is>
          <t>Theta</t>
        </is>
      </c>
      <c r="M2" s="2" t="inlineStr">
        <is>
          <t>Rho</t>
        </is>
      </c>
      <c r="N2" s="2" t="inlineStr">
        <is>
          <t>OI</t>
        </is>
      </c>
      <c r="O2" s="2" t="inlineStr">
        <is>
          <t>Source</t>
        </is>
      </c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2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2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2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2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2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2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2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2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2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2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2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2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2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2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2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2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2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2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2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2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2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2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2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2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2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2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2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2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2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2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2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2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2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2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2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2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2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2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2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2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2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2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2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2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2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2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2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2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2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2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2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2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2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2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2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2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2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2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2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2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2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2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2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2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2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2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2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2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2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2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2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2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2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2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2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2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2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2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2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2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2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2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2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2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2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2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2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2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2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2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2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2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2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2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2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2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2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2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2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2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2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2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2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2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2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2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2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2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2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2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2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2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2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2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2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2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2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2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2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2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2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2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2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2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2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2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2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2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2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2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2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2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2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2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2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2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2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2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2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2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2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2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2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2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2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2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2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2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2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2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2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2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2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2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2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2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2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2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2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2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2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2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2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2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2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2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2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2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2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2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2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2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2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2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2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2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2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2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2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2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2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2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2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2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2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2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2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2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2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2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2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2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2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2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2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2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2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2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2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2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2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2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2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2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2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2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2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2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2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2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2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2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2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2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2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2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2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2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2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2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2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2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2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2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2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2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2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2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2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2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2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2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2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2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2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2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2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2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2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2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2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2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2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2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2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2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2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2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2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2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2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2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2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2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2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2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2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2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2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2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2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2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2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2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2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2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2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2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2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2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2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2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2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2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2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2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2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2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2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2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2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2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2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2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2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2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2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2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2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2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2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2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2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2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2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2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2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2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2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2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2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2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2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2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2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2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2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2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2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2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2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2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2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2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2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2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2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2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2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2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2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2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2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2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2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2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2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2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2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2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2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2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2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2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2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2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2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2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2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2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2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2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2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2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2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2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2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2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2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2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2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2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2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2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2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2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2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2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2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2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2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2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2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2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2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2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2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2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2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2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2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2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2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2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2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2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2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2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2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2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2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2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2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2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2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2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2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2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2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2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2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2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2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2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2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2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2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2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2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2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2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2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2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2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2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2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2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2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2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2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2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2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2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2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2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2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2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2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2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2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2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2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2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2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2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2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2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2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2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2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2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2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2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2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2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2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2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2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2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2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2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2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2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2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2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2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2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2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2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2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2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2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2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2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2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2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2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2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2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2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2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2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2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2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2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2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2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2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2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2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2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2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2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2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2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2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2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2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2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2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2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2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2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2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2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2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2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2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2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2" t="n"/>
    </row>
    <row r="502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2" t="n"/>
    </row>
    <row r="503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2" t="n"/>
    </row>
    <row r="504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2" t="n"/>
    </row>
    <row r="50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2" t="n"/>
    </row>
    <row r="506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2" t="n"/>
    </row>
    <row r="507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2" t="n"/>
    </row>
    <row r="508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2" t="n"/>
    </row>
    <row r="509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2" t="n"/>
    </row>
    <row r="510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2" t="n"/>
    </row>
    <row r="51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2" t="n"/>
    </row>
    <row r="512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2" t="n"/>
    </row>
    <row r="513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2" t="n"/>
    </row>
    <row r="514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2" t="n"/>
    </row>
    <row r="51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2" t="n"/>
    </row>
    <row r="516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2" t="n"/>
    </row>
    <row r="517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2" t="n"/>
    </row>
    <row r="518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2" t="n"/>
    </row>
    <row r="519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2" t="n"/>
    </row>
    <row r="520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2" t="n"/>
    </row>
    <row r="52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2" t="n"/>
    </row>
    <row r="522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2" t="n"/>
    </row>
    <row r="523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2" t="n"/>
    </row>
    <row r="524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2" t="n"/>
    </row>
    <row r="52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2" t="n"/>
    </row>
    <row r="526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2" t="n"/>
    </row>
    <row r="527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2" t="n"/>
    </row>
    <row r="528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2" t="n"/>
    </row>
    <row r="529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2" t="n"/>
    </row>
    <row r="530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2" t="n"/>
    </row>
    <row r="53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2" t="n"/>
    </row>
    <row r="532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2" t="n"/>
    </row>
    <row r="533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2" t="n"/>
    </row>
    <row r="534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2" t="n"/>
    </row>
    <row r="53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2" t="n"/>
    </row>
    <row r="536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2" t="n"/>
    </row>
    <row r="537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2" t="n"/>
    </row>
    <row r="538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2" t="n"/>
    </row>
    <row r="539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2" t="n"/>
    </row>
    <row r="540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2" t="n"/>
    </row>
    <row r="54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2" t="n"/>
    </row>
    <row r="542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2" t="n"/>
    </row>
    <row r="543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2" t="n"/>
    </row>
    <row r="544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2" t="n"/>
    </row>
    <row r="5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2" t="n"/>
    </row>
    <row r="546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2" t="n"/>
    </row>
    <row r="547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2" t="n"/>
    </row>
    <row r="548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2" t="n"/>
    </row>
    <row r="549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2" t="n"/>
    </row>
    <row r="550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2" t="n"/>
    </row>
    <row r="55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2" t="n"/>
    </row>
    <row r="552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2" t="n"/>
    </row>
    <row r="553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2" t="n"/>
    </row>
    <row r="554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2" t="n"/>
    </row>
    <row r="55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2" t="n"/>
    </row>
    <row r="556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2" t="n"/>
    </row>
    <row r="557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2" t="n"/>
    </row>
    <row r="558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2" t="n"/>
    </row>
    <row r="559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2" t="n"/>
    </row>
    <row r="560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2" t="n"/>
    </row>
    <row r="56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2" t="n"/>
    </row>
    <row r="562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2" t="n"/>
    </row>
    <row r="563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2" t="n"/>
    </row>
    <row r="564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2" t="n"/>
    </row>
    <row r="56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2" t="n"/>
    </row>
    <row r="566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2" t="n"/>
    </row>
    <row r="567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2" t="n"/>
    </row>
    <row r="568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2" t="n"/>
    </row>
    <row r="569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2" t="n"/>
    </row>
    <row r="570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2" t="n"/>
    </row>
    <row r="57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2" t="n"/>
    </row>
    <row r="572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2" t="n"/>
    </row>
    <row r="573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2" t="n"/>
    </row>
    <row r="574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2" t="n"/>
    </row>
    <row r="57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2" t="n"/>
    </row>
    <row r="576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2" t="n"/>
    </row>
    <row r="577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2" t="n"/>
    </row>
    <row r="578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2" t="n"/>
    </row>
    <row r="579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2" t="n"/>
    </row>
    <row r="580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2" t="n"/>
    </row>
    <row r="58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2" t="n"/>
    </row>
    <row r="582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2" t="n"/>
    </row>
    <row r="583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2" t="n"/>
    </row>
    <row r="584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2" t="n"/>
    </row>
    <row r="58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2" t="n"/>
    </row>
    <row r="586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2" t="n"/>
    </row>
    <row r="587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2" t="n"/>
    </row>
    <row r="588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2" t="n"/>
    </row>
    <row r="589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2" t="n"/>
    </row>
    <row r="590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2" t="n"/>
    </row>
    <row r="59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2" t="n"/>
    </row>
    <row r="592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2" t="n"/>
    </row>
    <row r="593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2" t="n"/>
    </row>
    <row r="594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2" t="n"/>
    </row>
    <row r="59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2" t="n"/>
    </row>
    <row r="596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2" t="n"/>
    </row>
    <row r="597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2" t="n"/>
    </row>
    <row r="598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2" t="n"/>
    </row>
    <row r="599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2" t="n"/>
    </row>
    <row r="600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2" t="n"/>
    </row>
    <row r="60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2" t="n"/>
    </row>
    <row r="602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2" t="n"/>
    </row>
    <row r="603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2" t="n"/>
    </row>
    <row r="604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2" t="n"/>
    </row>
    <row r="60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2" t="n"/>
    </row>
    <row r="606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2" t="n"/>
    </row>
    <row r="607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2" t="n"/>
    </row>
    <row r="608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2" t="n"/>
    </row>
    <row r="609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2" t="n"/>
    </row>
    <row r="610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2" t="n"/>
    </row>
    <row r="61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2" t="n"/>
    </row>
    <row r="612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2" t="n"/>
    </row>
    <row r="613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2" t="n"/>
    </row>
    <row r="614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2" t="n"/>
    </row>
    <row r="61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2" t="n"/>
    </row>
    <row r="616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2" t="n"/>
    </row>
    <row r="617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2" t="n"/>
    </row>
    <row r="618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2" t="n"/>
    </row>
    <row r="619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2" t="n"/>
    </row>
    <row r="620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2" t="n"/>
    </row>
    <row r="62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2" t="n"/>
    </row>
    <row r="622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2" t="n"/>
    </row>
    <row r="623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2" t="n"/>
    </row>
    <row r="624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2" t="n"/>
    </row>
    <row r="62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2" t="n"/>
    </row>
    <row r="626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2" t="n"/>
    </row>
    <row r="627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2" t="n"/>
    </row>
    <row r="628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2" t="n"/>
    </row>
    <row r="629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2" t="n"/>
    </row>
    <row r="630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2" t="n"/>
    </row>
    <row r="63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2" t="n"/>
    </row>
    <row r="632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2" t="n"/>
    </row>
    <row r="633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2" t="n"/>
    </row>
    <row r="634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2" t="n"/>
    </row>
    <row r="63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2" t="n"/>
    </row>
    <row r="636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2" t="n"/>
    </row>
    <row r="637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2" t="n"/>
    </row>
    <row r="638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2" t="n"/>
    </row>
    <row r="639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2" t="n"/>
    </row>
    <row r="640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2" t="n"/>
    </row>
    <row r="64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2" t="n"/>
    </row>
    <row r="642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2" t="n"/>
    </row>
    <row r="643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2" t="n"/>
    </row>
    <row r="644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2" t="n"/>
    </row>
    <row r="6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2" t="n"/>
    </row>
    <row r="646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2" t="n"/>
    </row>
    <row r="647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2" t="n"/>
    </row>
    <row r="648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2" t="n"/>
    </row>
    <row r="649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2" t="n"/>
    </row>
    <row r="650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2" t="n"/>
    </row>
    <row r="65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2" t="n"/>
    </row>
    <row r="652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2" t="n"/>
    </row>
    <row r="653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2" t="n"/>
    </row>
    <row r="654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2" t="n"/>
    </row>
    <row r="65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2" t="n"/>
    </row>
    <row r="656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2" t="n"/>
    </row>
    <row r="657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2" t="n"/>
    </row>
    <row r="658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2" t="n"/>
    </row>
    <row r="659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2" t="n"/>
    </row>
    <row r="660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2" t="n"/>
    </row>
    <row r="66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2" t="n"/>
    </row>
    <row r="662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2" t="n"/>
    </row>
    <row r="663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2" t="n"/>
    </row>
    <row r="664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2" t="n"/>
    </row>
    <row r="66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2" t="n"/>
    </row>
    <row r="666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2" t="n"/>
    </row>
    <row r="667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2" t="n"/>
    </row>
    <row r="668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2" t="n"/>
    </row>
    <row r="669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2" t="n"/>
    </row>
    <row r="670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2" t="n"/>
    </row>
    <row r="67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2" t="n"/>
    </row>
    <row r="672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2" t="n"/>
    </row>
    <row r="673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2" t="n"/>
    </row>
    <row r="674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2" t="n"/>
    </row>
    <row r="67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2" t="n"/>
    </row>
    <row r="676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2" t="n"/>
    </row>
    <row r="677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2" t="n"/>
    </row>
    <row r="678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2" t="n"/>
    </row>
    <row r="679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2" t="n"/>
    </row>
    <row r="680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2" t="n"/>
    </row>
    <row r="68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2" t="n"/>
    </row>
    <row r="682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2" t="n"/>
    </row>
    <row r="683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2" t="n"/>
    </row>
    <row r="684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2" t="n"/>
    </row>
    <row r="68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2" t="n"/>
    </row>
    <row r="686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2" t="n"/>
    </row>
    <row r="687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2" t="n"/>
    </row>
    <row r="688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2" t="n"/>
    </row>
    <row r="689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2" t="n"/>
    </row>
    <row r="690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2" t="n"/>
    </row>
    <row r="69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2" t="n"/>
    </row>
    <row r="692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2" t="n"/>
    </row>
    <row r="693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2" t="n"/>
    </row>
    <row r="694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2" t="n"/>
    </row>
    <row r="69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2" t="n"/>
    </row>
    <row r="696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2" t="n"/>
    </row>
    <row r="697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2" t="n"/>
    </row>
    <row r="698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2" t="n"/>
    </row>
    <row r="699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2" t="n"/>
    </row>
    <row r="700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2" t="n"/>
    </row>
    <row r="70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2" t="n"/>
    </row>
    <row r="702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2" t="n"/>
    </row>
    <row r="703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2" t="n"/>
    </row>
    <row r="704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2" t="n"/>
    </row>
    <row r="70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2" t="n"/>
    </row>
    <row r="706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2" t="n"/>
    </row>
    <row r="707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2" t="n"/>
    </row>
    <row r="708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2" t="n"/>
    </row>
    <row r="709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2" t="n"/>
    </row>
    <row r="710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2" t="n"/>
    </row>
    <row r="71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2" t="n"/>
    </row>
    <row r="712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2" t="n"/>
    </row>
    <row r="713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2" t="n"/>
    </row>
    <row r="714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2" t="n"/>
    </row>
    <row r="71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2" t="n"/>
    </row>
    <row r="716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2" t="n"/>
    </row>
    <row r="717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2" t="n"/>
    </row>
    <row r="718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2" t="n"/>
    </row>
    <row r="719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2" t="n"/>
    </row>
    <row r="720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2" t="n"/>
    </row>
    <row r="72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2" t="n"/>
    </row>
    <row r="722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2" t="n"/>
    </row>
    <row r="723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2" t="n"/>
    </row>
    <row r="724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2" t="n"/>
    </row>
    <row r="72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2" t="n"/>
    </row>
    <row r="726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2" t="n"/>
    </row>
    <row r="727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2" t="n"/>
    </row>
    <row r="728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2" t="n"/>
    </row>
    <row r="729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2" t="n"/>
    </row>
    <row r="730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2" t="n"/>
    </row>
    <row r="73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2" t="n"/>
    </row>
    <row r="732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2" t="n"/>
    </row>
    <row r="733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2" t="n"/>
    </row>
    <row r="734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2" t="n"/>
    </row>
    <row r="73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2" t="n"/>
    </row>
    <row r="736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2" t="n"/>
    </row>
    <row r="737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2" t="n"/>
    </row>
    <row r="738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2" t="n"/>
    </row>
    <row r="739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2" t="n"/>
    </row>
    <row r="740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2" t="n"/>
    </row>
    <row r="74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2" t="n"/>
    </row>
    <row r="742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2" t="n"/>
    </row>
    <row r="743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2" t="n"/>
    </row>
    <row r="744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2" t="n"/>
    </row>
    <row r="7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2" t="n"/>
    </row>
    <row r="746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2" t="n"/>
    </row>
    <row r="747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2" t="n"/>
    </row>
    <row r="748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2" t="n"/>
    </row>
    <row r="749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2" t="n"/>
    </row>
    <row r="750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2" t="n"/>
    </row>
    <row r="75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2" t="n"/>
    </row>
    <row r="752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2" t="n"/>
    </row>
    <row r="753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2" t="n"/>
    </row>
    <row r="754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2" t="n"/>
    </row>
    <row r="75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2" t="n"/>
    </row>
    <row r="756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2" t="n"/>
    </row>
    <row r="757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2" t="n"/>
    </row>
    <row r="758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2" t="n"/>
    </row>
    <row r="759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2" t="n"/>
    </row>
    <row r="760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2" t="n"/>
    </row>
    <row r="76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2" t="n"/>
    </row>
    <row r="762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2" t="n"/>
    </row>
    <row r="763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2" t="n"/>
    </row>
    <row r="764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2" t="n"/>
    </row>
    <row r="76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2" t="n"/>
    </row>
    <row r="766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2" t="n"/>
    </row>
    <row r="767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2" t="n"/>
    </row>
    <row r="768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2" t="n"/>
    </row>
    <row r="769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2" t="n"/>
    </row>
    <row r="770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2" t="n"/>
    </row>
    <row r="77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2" t="n"/>
    </row>
    <row r="772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2" t="n"/>
    </row>
    <row r="773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2" t="n"/>
    </row>
    <row r="774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2" t="n"/>
    </row>
    <row r="77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2" t="n"/>
    </row>
    <row r="776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2" t="n"/>
    </row>
    <row r="777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2" t="n"/>
    </row>
    <row r="778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2" t="n"/>
    </row>
    <row r="779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2" t="n"/>
    </row>
    <row r="780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2" t="n"/>
    </row>
    <row r="78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2" t="n"/>
    </row>
    <row r="782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2" t="n"/>
    </row>
    <row r="783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2" t="n"/>
    </row>
    <row r="784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2" t="n"/>
    </row>
    <row r="78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2" t="n"/>
    </row>
    <row r="786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2" t="n"/>
    </row>
    <row r="787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2" t="n"/>
    </row>
    <row r="788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2" t="n"/>
    </row>
    <row r="789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2" t="n"/>
    </row>
    <row r="790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2" t="n"/>
    </row>
    <row r="79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2" t="n"/>
    </row>
    <row r="792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2" t="n"/>
    </row>
    <row r="793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2" t="n"/>
    </row>
    <row r="794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2" t="n"/>
    </row>
    <row r="79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2" t="n"/>
    </row>
    <row r="796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2" t="n"/>
    </row>
    <row r="797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2" t="n"/>
    </row>
    <row r="798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2" t="n"/>
    </row>
    <row r="799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2" t="n"/>
    </row>
    <row r="800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2" t="n"/>
    </row>
    <row r="80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2" t="n"/>
    </row>
    <row r="802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2" t="n"/>
    </row>
    <row r="803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2" t="n"/>
    </row>
    <row r="804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2" t="n"/>
    </row>
    <row r="80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2" t="n"/>
    </row>
    <row r="806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2" t="n"/>
    </row>
    <row r="807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2" t="n"/>
    </row>
    <row r="808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2" t="n"/>
    </row>
    <row r="809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2" t="n"/>
    </row>
    <row r="810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2" t="n"/>
    </row>
    <row r="81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2" t="n"/>
    </row>
    <row r="812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2" t="n"/>
    </row>
    <row r="813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2" t="n"/>
    </row>
    <row r="814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2" t="n"/>
    </row>
    <row r="81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2" t="n"/>
    </row>
    <row r="816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2" t="n"/>
    </row>
    <row r="817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2" t="n"/>
    </row>
    <row r="818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2" t="n"/>
    </row>
    <row r="819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2" t="n"/>
    </row>
    <row r="820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2" t="n"/>
    </row>
    <row r="82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2" t="n"/>
    </row>
    <row r="822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2" t="n"/>
    </row>
    <row r="823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2" t="n"/>
    </row>
    <row r="824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2" t="n"/>
    </row>
    <row r="82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2" t="n"/>
    </row>
    <row r="826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2" t="n"/>
    </row>
    <row r="827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2" t="n"/>
    </row>
    <row r="828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2" t="n"/>
    </row>
    <row r="829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2" t="n"/>
    </row>
    <row r="830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2" t="n"/>
    </row>
    <row r="83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2" t="n"/>
    </row>
    <row r="832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2" t="n"/>
    </row>
    <row r="833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2" t="n"/>
    </row>
    <row r="834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2" t="n"/>
    </row>
    <row r="83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2" t="n"/>
    </row>
    <row r="836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2" t="n"/>
    </row>
    <row r="837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2" t="n"/>
    </row>
    <row r="838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2" t="n"/>
    </row>
    <row r="839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2" t="n"/>
    </row>
    <row r="840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2" t="n"/>
    </row>
    <row r="84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2" t="n"/>
    </row>
    <row r="842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2" t="n"/>
    </row>
    <row r="843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2" t="n"/>
    </row>
    <row r="844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2" t="n"/>
    </row>
    <row r="8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2" t="n"/>
    </row>
    <row r="846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2" t="n"/>
    </row>
    <row r="847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2" t="n"/>
    </row>
    <row r="848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2" t="n"/>
    </row>
    <row r="849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2" t="n"/>
    </row>
    <row r="850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2" t="n"/>
    </row>
    <row r="85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2" t="n"/>
    </row>
    <row r="852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2" t="n"/>
    </row>
    <row r="853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2" t="n"/>
    </row>
    <row r="854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2" t="n"/>
    </row>
    <row r="85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2" t="n"/>
    </row>
    <row r="856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2" t="n"/>
    </row>
    <row r="857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2" t="n"/>
    </row>
    <row r="858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2" t="n"/>
    </row>
    <row r="859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2" t="n"/>
    </row>
    <row r="860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2" t="n"/>
    </row>
    <row r="86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2" t="n"/>
    </row>
    <row r="862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2" t="n"/>
    </row>
    <row r="863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2" t="n"/>
    </row>
    <row r="864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2" t="n"/>
    </row>
    <row r="86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2" t="n"/>
    </row>
    <row r="866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2" t="n"/>
    </row>
    <row r="867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2" t="n"/>
    </row>
    <row r="868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2" t="n"/>
    </row>
    <row r="869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2" t="n"/>
    </row>
    <row r="870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2" t="n"/>
    </row>
    <row r="87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2" t="n"/>
    </row>
    <row r="872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2" t="n"/>
    </row>
    <row r="873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2" t="n"/>
    </row>
    <row r="874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2" t="n"/>
    </row>
    <row r="87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2" t="n"/>
    </row>
    <row r="876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2" t="n"/>
    </row>
    <row r="877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2" t="n"/>
    </row>
    <row r="878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2" t="n"/>
    </row>
    <row r="879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2" t="n"/>
    </row>
    <row r="880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2" t="n"/>
    </row>
    <row r="88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2" t="n"/>
    </row>
    <row r="882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2" t="n"/>
    </row>
    <row r="883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2" t="n"/>
    </row>
    <row r="884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2" t="n"/>
    </row>
    <row r="88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2" t="n"/>
    </row>
    <row r="886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2" t="n"/>
    </row>
    <row r="887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2" t="n"/>
    </row>
    <row r="888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2" t="n"/>
    </row>
    <row r="889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2" t="n"/>
    </row>
    <row r="890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2" t="n"/>
    </row>
    <row r="89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2" t="n"/>
    </row>
    <row r="892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2" t="n"/>
    </row>
    <row r="893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2" t="n"/>
    </row>
    <row r="894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2" t="n"/>
    </row>
    <row r="89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2" t="n"/>
    </row>
    <row r="896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2" t="n"/>
    </row>
    <row r="897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2" t="n"/>
    </row>
    <row r="898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2" t="n"/>
    </row>
    <row r="899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2" t="n"/>
    </row>
    <row r="900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2" t="n"/>
    </row>
    <row r="90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2" t="n"/>
    </row>
    <row r="902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2" t="n"/>
    </row>
    <row r="903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2" t="n"/>
    </row>
    <row r="904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2" t="n"/>
    </row>
    <row r="90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2" t="n"/>
    </row>
    <row r="906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2" t="n"/>
    </row>
    <row r="907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2" t="n"/>
    </row>
    <row r="908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2" t="n"/>
    </row>
    <row r="909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2" t="n"/>
    </row>
    <row r="910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2" t="n"/>
    </row>
    <row r="91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2" t="n"/>
    </row>
    <row r="912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2" t="n"/>
    </row>
    <row r="913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2" t="n"/>
    </row>
    <row r="914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2" t="n"/>
    </row>
    <row r="91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2" t="n"/>
    </row>
    <row r="916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2" t="n"/>
    </row>
    <row r="917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2" t="n"/>
    </row>
    <row r="918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2" t="n"/>
    </row>
    <row r="919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2" t="n"/>
    </row>
    <row r="920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2" t="n"/>
    </row>
    <row r="92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2" t="n"/>
    </row>
    <row r="922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2" t="n"/>
    </row>
    <row r="923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2" t="n"/>
    </row>
    <row r="924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2" t="n"/>
    </row>
    <row r="92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2" t="n"/>
    </row>
    <row r="926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2" t="n"/>
    </row>
    <row r="927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2" t="n"/>
    </row>
    <row r="928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2" t="n"/>
    </row>
    <row r="929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2" t="n"/>
    </row>
    <row r="930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2" t="n"/>
    </row>
    <row r="93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2" t="n"/>
    </row>
    <row r="932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2" t="n"/>
    </row>
    <row r="933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2" t="n"/>
    </row>
    <row r="934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2" t="n"/>
    </row>
    <row r="93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2" t="n"/>
    </row>
    <row r="936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2" t="n"/>
    </row>
    <row r="937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2" t="n"/>
    </row>
    <row r="938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2" t="n"/>
    </row>
    <row r="939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2" t="n"/>
    </row>
    <row r="940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2" t="n"/>
    </row>
    <row r="94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2" t="n"/>
    </row>
    <row r="942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2" t="n"/>
    </row>
    <row r="943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2" t="n"/>
    </row>
    <row r="944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2" t="n"/>
    </row>
    <row r="9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2" t="n"/>
    </row>
    <row r="946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2" t="n"/>
    </row>
    <row r="947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2" t="n"/>
    </row>
    <row r="948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2" t="n"/>
    </row>
    <row r="949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2" t="n"/>
    </row>
    <row r="950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2" t="n"/>
    </row>
    <row r="95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2" t="n"/>
    </row>
    <row r="952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2" t="n"/>
    </row>
    <row r="953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2" t="n"/>
    </row>
    <row r="954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2" t="n"/>
    </row>
    <row r="95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2" t="n"/>
    </row>
    <row r="956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2" t="n"/>
    </row>
    <row r="957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2" t="n"/>
    </row>
    <row r="958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2" t="n"/>
    </row>
    <row r="959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2" t="n"/>
    </row>
    <row r="960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2" t="n"/>
    </row>
    <row r="96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2" t="n"/>
    </row>
    <row r="962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2" t="n"/>
    </row>
    <row r="963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2" t="n"/>
    </row>
    <row r="964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2" t="n"/>
    </row>
    <row r="96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2" t="n"/>
    </row>
    <row r="966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2" t="n"/>
    </row>
    <row r="967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2" t="n"/>
    </row>
    <row r="968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2" t="n"/>
    </row>
    <row r="969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2" t="n"/>
    </row>
    <row r="970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2" t="n"/>
    </row>
    <row r="97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2" t="n"/>
    </row>
    <row r="972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2" t="n"/>
    </row>
    <row r="973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2" t="n"/>
    </row>
    <row r="974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2" t="n"/>
    </row>
    <row r="97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2" t="n"/>
    </row>
    <row r="976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2" t="n"/>
    </row>
    <row r="977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2" t="n"/>
    </row>
    <row r="978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2" t="n"/>
    </row>
    <row r="979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2" t="n"/>
    </row>
    <row r="980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2" t="n"/>
    </row>
    <row r="98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2" t="n"/>
    </row>
    <row r="982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2" t="n"/>
    </row>
    <row r="983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2" t="n"/>
    </row>
    <row r="984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2" t="n"/>
    </row>
    <row r="98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2" t="n"/>
    </row>
    <row r="986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2" t="n"/>
    </row>
    <row r="987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2" t="n"/>
    </row>
    <row r="988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2" t="n"/>
    </row>
    <row r="989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2" t="n"/>
    </row>
    <row r="990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2" t="n"/>
    </row>
    <row r="99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2" t="n"/>
    </row>
    <row r="992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2" t="n"/>
    </row>
    <row r="993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2" t="n"/>
    </row>
    <row r="994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2" t="n"/>
    </row>
    <row r="99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2" t="n"/>
    </row>
    <row r="996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2" t="n"/>
    </row>
    <row r="997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2" t="n"/>
    </row>
    <row r="998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2" t="n"/>
    </row>
    <row r="999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2" t="n"/>
    </row>
    <row r="1000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2" t="n"/>
    </row>
    <row r="1001">
      <c r="A1001" s="11" t="n"/>
      <c r="B1001" s="11" t="n"/>
      <c r="C1001" s="11" t="n"/>
      <c r="D1001" s="11" t="n"/>
      <c r="E1001" s="11" t="n"/>
      <c r="F1001" s="11" t="n"/>
      <c r="G1001" s="11" t="n"/>
      <c r="H1001" s="11" t="n"/>
      <c r="I1001" s="11" t="n"/>
      <c r="J1001" s="11" t="n"/>
      <c r="K1001" s="11" t="n"/>
      <c r="L1001" s="11" t="n"/>
      <c r="M1001" s="11" t="n"/>
      <c r="N1001" s="11" t="n"/>
      <c r="O1001" s="12" t="n"/>
    </row>
    <row r="1002">
      <c r="A1002" s="11" t="n"/>
      <c r="B1002" s="11" t="n"/>
      <c r="C1002" s="11" t="n"/>
      <c r="D1002" s="11" t="n"/>
      <c r="E1002" s="11" t="n"/>
      <c r="F1002" s="11" t="n"/>
      <c r="G1002" s="11" t="n"/>
      <c r="H1002" s="11" t="n"/>
      <c r="I1002" s="11" t="n"/>
      <c r="J1002" s="11" t="n"/>
      <c r="K1002" s="11" t="n"/>
      <c r="L1002" s="11" t="n"/>
      <c r="M1002" s="11" t="n"/>
      <c r="N1002" s="11" t="n"/>
      <c r="O1002" s="12" t="n"/>
    </row>
    <row r="1003">
      <c r="A1003" s="11" t="n"/>
      <c r="B1003" s="11" t="n"/>
      <c r="C1003" s="11" t="n"/>
      <c r="D1003" s="11" t="n"/>
      <c r="E1003" s="11" t="n"/>
      <c r="F1003" s="11" t="n"/>
      <c r="G1003" s="11" t="n"/>
      <c r="H1003" s="11" t="n"/>
      <c r="I1003" s="11" t="n"/>
      <c r="J1003" s="11" t="n"/>
      <c r="K1003" s="11" t="n"/>
      <c r="L1003" s="11" t="n"/>
      <c r="M1003" s="11" t="n"/>
      <c r="N1003" s="11" t="n"/>
      <c r="O1003" s="12" t="n"/>
    </row>
    <row r="1004">
      <c r="A1004" s="11" t="n"/>
      <c r="B1004" s="11" t="n"/>
      <c r="C1004" s="11" t="n"/>
      <c r="D1004" s="11" t="n"/>
      <c r="E1004" s="11" t="n"/>
      <c r="F1004" s="11" t="n"/>
      <c r="G1004" s="11" t="n"/>
      <c r="H1004" s="11" t="n"/>
      <c r="I1004" s="11" t="n"/>
      <c r="J1004" s="11" t="n"/>
      <c r="K1004" s="11" t="n"/>
      <c r="L1004" s="11" t="n"/>
      <c r="M1004" s="11" t="n"/>
      <c r="N1004" s="11" t="n"/>
      <c r="O1004" s="12" t="n"/>
    </row>
    <row r="1005">
      <c r="A1005" s="11" t="n"/>
      <c r="B1005" s="11" t="n"/>
      <c r="C1005" s="11" t="n"/>
      <c r="D1005" s="11" t="n"/>
      <c r="E1005" s="11" t="n"/>
      <c r="F1005" s="11" t="n"/>
      <c r="G1005" s="11" t="n"/>
      <c r="H1005" s="11" t="n"/>
      <c r="I1005" s="11" t="n"/>
      <c r="J1005" s="11" t="n"/>
      <c r="K1005" s="11" t="n"/>
      <c r="L1005" s="11" t="n"/>
      <c r="M1005" s="11" t="n"/>
      <c r="N1005" s="11" t="n"/>
      <c r="O1005" s="12" t="n"/>
    </row>
    <row r="1006">
      <c r="A1006" s="11" t="n"/>
      <c r="B1006" s="11" t="n"/>
      <c r="C1006" s="11" t="n"/>
      <c r="D1006" s="11" t="n"/>
      <c r="E1006" s="11" t="n"/>
      <c r="F1006" s="11" t="n"/>
      <c r="G1006" s="11" t="n"/>
      <c r="H1006" s="11" t="n"/>
      <c r="I1006" s="11" t="n"/>
      <c r="J1006" s="11" t="n"/>
      <c r="K1006" s="11" t="n"/>
      <c r="L1006" s="11" t="n"/>
      <c r="M1006" s="11" t="n"/>
      <c r="N1006" s="11" t="n"/>
      <c r="O1006" s="12" t="n"/>
    </row>
    <row r="1007">
      <c r="A1007" s="11" t="n"/>
      <c r="B1007" s="11" t="n"/>
      <c r="C1007" s="11" t="n"/>
      <c r="D1007" s="11" t="n"/>
      <c r="E1007" s="11" t="n"/>
      <c r="F1007" s="11" t="n"/>
      <c r="G1007" s="11" t="n"/>
      <c r="H1007" s="11" t="n"/>
      <c r="I1007" s="11" t="n"/>
      <c r="J1007" s="11" t="n"/>
      <c r="K1007" s="11" t="n"/>
      <c r="L1007" s="11" t="n"/>
      <c r="M1007" s="11" t="n"/>
      <c r="N1007" s="11" t="n"/>
      <c r="O1007" s="12" t="n"/>
    </row>
    <row r="1008">
      <c r="A1008" s="11" t="n"/>
      <c r="B1008" s="11" t="n"/>
      <c r="C1008" s="11" t="n"/>
      <c r="D1008" s="11" t="n"/>
      <c r="E1008" s="11" t="n"/>
      <c r="F1008" s="11" t="n"/>
      <c r="G1008" s="11" t="n"/>
      <c r="H1008" s="11" t="n"/>
      <c r="I1008" s="11" t="n"/>
      <c r="J1008" s="11" t="n"/>
      <c r="K1008" s="11" t="n"/>
      <c r="L1008" s="11" t="n"/>
      <c r="M1008" s="11" t="n"/>
      <c r="N1008" s="11" t="n"/>
      <c r="O1008" s="12" t="n"/>
    </row>
    <row r="1009">
      <c r="A1009" s="11" t="n"/>
      <c r="B1009" s="11" t="n"/>
      <c r="C1009" s="11" t="n"/>
      <c r="D1009" s="11" t="n"/>
      <c r="E1009" s="11" t="n"/>
      <c r="F1009" s="11" t="n"/>
      <c r="G1009" s="11" t="n"/>
      <c r="H1009" s="11" t="n"/>
      <c r="I1009" s="11" t="n"/>
      <c r="J1009" s="11" t="n"/>
      <c r="K1009" s="11" t="n"/>
      <c r="L1009" s="11" t="n"/>
      <c r="M1009" s="11" t="n"/>
      <c r="N1009" s="11" t="n"/>
      <c r="O1009" s="12" t="n"/>
    </row>
    <row r="1010">
      <c r="A1010" s="11" t="n"/>
      <c r="B1010" s="11" t="n"/>
      <c r="C1010" s="11" t="n"/>
      <c r="D1010" s="11" t="n"/>
      <c r="E1010" s="11" t="n"/>
      <c r="F1010" s="11" t="n"/>
      <c r="G1010" s="11" t="n"/>
      <c r="H1010" s="11" t="n"/>
      <c r="I1010" s="11" t="n"/>
      <c r="J1010" s="11" t="n"/>
      <c r="K1010" s="11" t="n"/>
      <c r="L1010" s="11" t="n"/>
      <c r="M1010" s="11" t="n"/>
      <c r="N1010" s="11" t="n"/>
      <c r="O1010" s="12" t="n"/>
    </row>
    <row r="1011">
      <c r="A1011" s="11" t="n"/>
      <c r="B1011" s="11" t="n"/>
      <c r="C1011" s="11" t="n"/>
      <c r="D1011" s="11" t="n"/>
      <c r="E1011" s="11" t="n"/>
      <c r="F1011" s="11" t="n"/>
      <c r="G1011" s="11" t="n"/>
      <c r="H1011" s="11" t="n"/>
      <c r="I1011" s="11" t="n"/>
      <c r="J1011" s="11" t="n"/>
      <c r="K1011" s="11" t="n"/>
      <c r="L1011" s="11" t="n"/>
      <c r="M1011" s="11" t="n"/>
      <c r="N1011" s="11" t="n"/>
      <c r="O1011" s="12" t="n"/>
    </row>
    <row r="1012">
      <c r="A1012" s="11" t="n"/>
      <c r="B1012" s="11" t="n"/>
      <c r="C1012" s="11" t="n"/>
      <c r="D1012" s="11" t="n"/>
      <c r="E1012" s="11" t="n"/>
      <c r="F1012" s="11" t="n"/>
      <c r="G1012" s="11" t="n"/>
      <c r="H1012" s="11" t="n"/>
      <c r="I1012" s="11" t="n"/>
      <c r="J1012" s="11" t="n"/>
      <c r="K1012" s="11" t="n"/>
      <c r="L1012" s="11" t="n"/>
      <c r="M1012" s="11" t="n"/>
      <c r="N1012" s="11" t="n"/>
      <c r="O1012" s="12" t="n"/>
    </row>
    <row r="1013">
      <c r="A1013" s="11" t="n"/>
      <c r="B1013" s="11" t="n"/>
      <c r="C1013" s="11" t="n"/>
      <c r="D1013" s="11" t="n"/>
      <c r="E1013" s="11" t="n"/>
      <c r="F1013" s="11" t="n"/>
      <c r="G1013" s="11" t="n"/>
      <c r="H1013" s="11" t="n"/>
      <c r="I1013" s="11" t="n"/>
      <c r="J1013" s="11" t="n"/>
      <c r="K1013" s="11" t="n"/>
      <c r="L1013" s="11" t="n"/>
      <c r="M1013" s="11" t="n"/>
      <c r="N1013" s="11" t="n"/>
      <c r="O1013" s="12" t="n"/>
    </row>
    <row r="1014">
      <c r="A1014" s="11" t="n"/>
      <c r="B1014" s="11" t="n"/>
      <c r="C1014" s="11" t="n"/>
      <c r="D1014" s="11" t="n"/>
      <c r="E1014" s="11" t="n"/>
      <c r="F1014" s="11" t="n"/>
      <c r="G1014" s="11" t="n"/>
      <c r="H1014" s="11" t="n"/>
      <c r="I1014" s="11" t="n"/>
      <c r="J1014" s="11" t="n"/>
      <c r="K1014" s="11" t="n"/>
      <c r="L1014" s="11" t="n"/>
      <c r="M1014" s="11" t="n"/>
      <c r="N1014" s="11" t="n"/>
      <c r="O1014" s="12" t="n"/>
    </row>
    <row r="1015">
      <c r="A1015" s="11" t="n"/>
      <c r="B1015" s="11" t="n"/>
      <c r="C1015" s="11" t="n"/>
      <c r="D1015" s="11" t="n"/>
      <c r="E1015" s="11" t="n"/>
      <c r="F1015" s="11" t="n"/>
      <c r="G1015" s="11" t="n"/>
      <c r="H1015" s="11" t="n"/>
      <c r="I1015" s="11" t="n"/>
      <c r="J1015" s="11" t="n"/>
      <c r="K1015" s="11" t="n"/>
      <c r="L1015" s="11" t="n"/>
      <c r="M1015" s="11" t="n"/>
      <c r="N1015" s="11" t="n"/>
      <c r="O1015" s="12" t="n"/>
    </row>
    <row r="1016">
      <c r="A1016" s="11" t="n"/>
      <c r="B1016" s="11" t="n"/>
      <c r="C1016" s="11" t="n"/>
      <c r="D1016" s="11" t="n"/>
      <c r="E1016" s="11" t="n"/>
      <c r="F1016" s="11" t="n"/>
      <c r="G1016" s="11" t="n"/>
      <c r="H1016" s="11" t="n"/>
      <c r="I1016" s="11" t="n"/>
      <c r="J1016" s="11" t="n"/>
      <c r="K1016" s="11" t="n"/>
      <c r="L1016" s="11" t="n"/>
      <c r="M1016" s="11" t="n"/>
      <c r="N1016" s="11" t="n"/>
      <c r="O1016" s="12" t="n"/>
    </row>
    <row r="1017">
      <c r="A1017" s="11" t="n"/>
      <c r="B1017" s="11" t="n"/>
      <c r="C1017" s="11" t="n"/>
      <c r="D1017" s="11" t="n"/>
      <c r="E1017" s="11" t="n"/>
      <c r="F1017" s="11" t="n"/>
      <c r="G1017" s="11" t="n"/>
      <c r="H1017" s="11" t="n"/>
      <c r="I1017" s="11" t="n"/>
      <c r="J1017" s="11" t="n"/>
      <c r="K1017" s="11" t="n"/>
      <c r="L1017" s="11" t="n"/>
      <c r="M1017" s="11" t="n"/>
      <c r="N1017" s="11" t="n"/>
      <c r="O1017" s="12" t="n"/>
    </row>
    <row r="1018">
      <c r="A1018" s="11" t="n"/>
      <c r="B1018" s="11" t="n"/>
      <c r="C1018" s="11" t="n"/>
      <c r="D1018" s="11" t="n"/>
      <c r="E1018" s="11" t="n"/>
      <c r="F1018" s="11" t="n"/>
      <c r="G1018" s="11" t="n"/>
      <c r="H1018" s="11" t="n"/>
      <c r="I1018" s="11" t="n"/>
      <c r="J1018" s="11" t="n"/>
      <c r="K1018" s="11" t="n"/>
      <c r="L1018" s="11" t="n"/>
      <c r="M1018" s="11" t="n"/>
      <c r="N1018" s="11" t="n"/>
      <c r="O1018" s="12" t="n"/>
    </row>
    <row r="1019">
      <c r="A1019" s="11" t="n"/>
      <c r="B1019" s="11" t="n"/>
      <c r="C1019" s="11" t="n"/>
      <c r="D1019" s="11" t="n"/>
      <c r="E1019" s="11" t="n"/>
      <c r="F1019" s="11" t="n"/>
      <c r="G1019" s="11" t="n"/>
      <c r="H1019" s="11" t="n"/>
      <c r="I1019" s="11" t="n"/>
      <c r="J1019" s="11" t="n"/>
      <c r="K1019" s="11" t="n"/>
      <c r="L1019" s="11" t="n"/>
      <c r="M1019" s="11" t="n"/>
      <c r="N1019" s="11" t="n"/>
      <c r="O1019" s="12" t="n"/>
    </row>
    <row r="1020">
      <c r="A1020" s="11" t="n"/>
      <c r="B1020" s="11" t="n"/>
      <c r="C1020" s="11" t="n"/>
      <c r="D1020" s="11" t="n"/>
      <c r="E1020" s="11" t="n"/>
      <c r="F1020" s="11" t="n"/>
      <c r="G1020" s="11" t="n"/>
      <c r="H1020" s="11" t="n"/>
      <c r="I1020" s="11" t="n"/>
      <c r="J1020" s="11" t="n"/>
      <c r="K1020" s="11" t="n"/>
      <c r="L1020" s="11" t="n"/>
      <c r="M1020" s="11" t="n"/>
      <c r="N1020" s="11" t="n"/>
      <c r="O1020" s="12" t="n"/>
    </row>
    <row r="1021">
      <c r="A1021" s="11" t="n"/>
      <c r="B1021" s="11" t="n"/>
      <c r="C1021" s="11" t="n"/>
      <c r="D1021" s="11" t="n"/>
      <c r="E1021" s="11" t="n"/>
      <c r="F1021" s="11" t="n"/>
      <c r="G1021" s="11" t="n"/>
      <c r="H1021" s="11" t="n"/>
      <c r="I1021" s="11" t="n"/>
      <c r="J1021" s="11" t="n"/>
      <c r="K1021" s="11" t="n"/>
      <c r="L1021" s="11" t="n"/>
      <c r="M1021" s="11" t="n"/>
      <c r="N1021" s="11" t="n"/>
      <c r="O1021" s="12" t="n"/>
    </row>
    <row r="1022">
      <c r="A1022" s="11" t="n"/>
      <c r="B1022" s="11" t="n"/>
      <c r="C1022" s="11" t="n"/>
      <c r="D1022" s="11" t="n"/>
      <c r="E1022" s="11" t="n"/>
      <c r="F1022" s="11" t="n"/>
      <c r="G1022" s="11" t="n"/>
      <c r="H1022" s="11" t="n"/>
      <c r="I1022" s="11" t="n"/>
      <c r="J1022" s="11" t="n"/>
      <c r="K1022" s="11" t="n"/>
      <c r="L1022" s="11" t="n"/>
      <c r="M1022" s="11" t="n"/>
      <c r="N1022" s="11" t="n"/>
      <c r="O1022" s="12" t="n"/>
    </row>
    <row r="1023">
      <c r="A1023" s="11" t="n"/>
      <c r="B1023" s="11" t="n"/>
      <c r="C1023" s="11" t="n"/>
      <c r="D1023" s="11" t="n"/>
      <c r="E1023" s="11" t="n"/>
      <c r="F1023" s="11" t="n"/>
      <c r="G1023" s="11" t="n"/>
      <c r="H1023" s="11" t="n"/>
      <c r="I1023" s="11" t="n"/>
      <c r="J1023" s="11" t="n"/>
      <c r="K1023" s="11" t="n"/>
      <c r="L1023" s="11" t="n"/>
      <c r="M1023" s="11" t="n"/>
      <c r="N1023" s="11" t="n"/>
      <c r="O1023" s="12" t="n"/>
    </row>
    <row r="1024">
      <c r="A1024" s="11" t="n"/>
      <c r="B1024" s="11" t="n"/>
      <c r="C1024" s="11" t="n"/>
      <c r="D1024" s="11" t="n"/>
      <c r="E1024" s="11" t="n"/>
      <c r="F1024" s="11" t="n"/>
      <c r="G1024" s="11" t="n"/>
      <c r="H1024" s="11" t="n"/>
      <c r="I1024" s="11" t="n"/>
      <c r="J1024" s="11" t="n"/>
      <c r="K1024" s="11" t="n"/>
      <c r="L1024" s="11" t="n"/>
      <c r="M1024" s="11" t="n"/>
      <c r="N1024" s="11" t="n"/>
      <c r="O1024" s="12" t="n"/>
    </row>
    <row r="1025">
      <c r="A1025" s="11" t="n"/>
      <c r="B1025" s="11" t="n"/>
      <c r="C1025" s="11" t="n"/>
      <c r="D1025" s="11" t="n"/>
      <c r="E1025" s="11" t="n"/>
      <c r="F1025" s="11" t="n"/>
      <c r="G1025" s="11" t="n"/>
      <c r="H1025" s="11" t="n"/>
      <c r="I1025" s="11" t="n"/>
      <c r="J1025" s="11" t="n"/>
      <c r="K1025" s="11" t="n"/>
      <c r="L1025" s="11" t="n"/>
      <c r="M1025" s="11" t="n"/>
      <c r="N1025" s="11" t="n"/>
      <c r="O1025" s="12" t="n"/>
    </row>
    <row r="1026">
      <c r="A1026" s="11" t="n"/>
      <c r="B1026" s="11" t="n"/>
      <c r="C1026" s="11" t="n"/>
      <c r="D1026" s="11" t="n"/>
      <c r="E1026" s="11" t="n"/>
      <c r="F1026" s="11" t="n"/>
      <c r="G1026" s="11" t="n"/>
      <c r="H1026" s="11" t="n"/>
      <c r="I1026" s="11" t="n"/>
      <c r="J1026" s="11" t="n"/>
      <c r="K1026" s="11" t="n"/>
      <c r="L1026" s="11" t="n"/>
      <c r="M1026" s="11" t="n"/>
      <c r="N1026" s="11" t="n"/>
      <c r="O1026" s="12" t="n"/>
    </row>
    <row r="1027">
      <c r="A1027" s="11" t="n"/>
      <c r="B1027" s="11" t="n"/>
      <c r="C1027" s="11" t="n"/>
      <c r="D1027" s="11" t="n"/>
      <c r="E1027" s="11" t="n"/>
      <c r="F1027" s="11" t="n"/>
      <c r="G1027" s="11" t="n"/>
      <c r="H1027" s="11" t="n"/>
      <c r="I1027" s="11" t="n"/>
      <c r="J1027" s="11" t="n"/>
      <c r="K1027" s="11" t="n"/>
      <c r="L1027" s="11" t="n"/>
      <c r="M1027" s="11" t="n"/>
      <c r="N1027" s="11" t="n"/>
      <c r="O1027" s="12" t="n"/>
    </row>
    <row r="1028">
      <c r="A1028" s="11" t="n"/>
      <c r="B1028" s="11" t="n"/>
      <c r="C1028" s="11" t="n"/>
      <c r="D1028" s="11" t="n"/>
      <c r="E1028" s="11" t="n"/>
      <c r="F1028" s="11" t="n"/>
      <c r="G1028" s="11" t="n"/>
      <c r="H1028" s="11" t="n"/>
      <c r="I1028" s="11" t="n"/>
      <c r="J1028" s="11" t="n"/>
      <c r="K1028" s="11" t="n"/>
      <c r="L1028" s="11" t="n"/>
      <c r="M1028" s="11" t="n"/>
      <c r="N1028" s="11" t="n"/>
      <c r="O1028" s="12" t="n"/>
    </row>
    <row r="1029">
      <c r="A1029" s="11" t="n"/>
      <c r="B1029" s="11" t="n"/>
      <c r="C1029" s="11" t="n"/>
      <c r="D1029" s="11" t="n"/>
      <c r="E1029" s="11" t="n"/>
      <c r="F1029" s="11" t="n"/>
      <c r="G1029" s="11" t="n"/>
      <c r="H1029" s="11" t="n"/>
      <c r="I1029" s="11" t="n"/>
      <c r="J1029" s="11" t="n"/>
      <c r="K1029" s="11" t="n"/>
      <c r="L1029" s="11" t="n"/>
      <c r="M1029" s="11" t="n"/>
      <c r="N1029" s="11" t="n"/>
      <c r="O1029" s="12" t="n"/>
    </row>
    <row r="1030">
      <c r="A1030" s="11" t="n"/>
      <c r="B1030" s="11" t="n"/>
      <c r="C1030" s="11" t="n"/>
      <c r="D1030" s="11" t="n"/>
      <c r="E1030" s="11" t="n"/>
      <c r="F1030" s="11" t="n"/>
      <c r="G1030" s="11" t="n"/>
      <c r="H1030" s="11" t="n"/>
      <c r="I1030" s="11" t="n"/>
      <c r="J1030" s="11" t="n"/>
      <c r="K1030" s="11" t="n"/>
      <c r="L1030" s="11" t="n"/>
      <c r="M1030" s="11" t="n"/>
      <c r="N1030" s="11" t="n"/>
      <c r="O1030" s="12" t="n"/>
    </row>
    <row r="1031">
      <c r="A1031" s="11" t="n"/>
      <c r="B1031" s="11" t="n"/>
      <c r="C1031" s="11" t="n"/>
      <c r="D1031" s="11" t="n"/>
      <c r="E1031" s="11" t="n"/>
      <c r="F1031" s="11" t="n"/>
      <c r="G1031" s="11" t="n"/>
      <c r="H1031" s="11" t="n"/>
      <c r="I1031" s="11" t="n"/>
      <c r="J1031" s="11" t="n"/>
      <c r="K1031" s="11" t="n"/>
      <c r="L1031" s="11" t="n"/>
      <c r="M1031" s="11" t="n"/>
      <c r="N1031" s="11" t="n"/>
      <c r="O1031" s="12" t="n"/>
    </row>
    <row r="1032">
      <c r="A1032" s="11" t="n"/>
      <c r="B1032" s="11" t="n"/>
      <c r="C1032" s="11" t="n"/>
      <c r="D1032" s="11" t="n"/>
      <c r="E1032" s="11" t="n"/>
      <c r="F1032" s="11" t="n"/>
      <c r="G1032" s="11" t="n"/>
      <c r="H1032" s="11" t="n"/>
      <c r="I1032" s="11" t="n"/>
      <c r="J1032" s="11" t="n"/>
      <c r="K1032" s="11" t="n"/>
      <c r="L1032" s="11" t="n"/>
      <c r="M1032" s="11" t="n"/>
      <c r="N1032" s="11" t="n"/>
      <c r="O1032" s="12" t="n"/>
    </row>
    <row r="1033">
      <c r="A1033" s="11" t="n"/>
      <c r="B1033" s="11" t="n"/>
      <c r="C1033" s="11" t="n"/>
      <c r="D1033" s="11" t="n"/>
      <c r="E1033" s="11" t="n"/>
      <c r="F1033" s="11" t="n"/>
      <c r="G1033" s="11" t="n"/>
      <c r="H1033" s="11" t="n"/>
      <c r="I1033" s="11" t="n"/>
      <c r="J1033" s="11" t="n"/>
      <c r="K1033" s="11" t="n"/>
      <c r="L1033" s="11" t="n"/>
      <c r="M1033" s="11" t="n"/>
      <c r="N1033" s="11" t="n"/>
      <c r="O1033" s="12" t="n"/>
    </row>
    <row r="1034">
      <c r="A1034" s="11" t="n"/>
      <c r="B1034" s="11" t="n"/>
      <c r="C1034" s="11" t="n"/>
      <c r="D1034" s="11" t="n"/>
      <c r="E1034" s="11" t="n"/>
      <c r="F1034" s="11" t="n"/>
      <c r="G1034" s="11" t="n"/>
      <c r="H1034" s="11" t="n"/>
      <c r="I1034" s="11" t="n"/>
      <c r="J1034" s="11" t="n"/>
      <c r="K1034" s="11" t="n"/>
      <c r="L1034" s="11" t="n"/>
      <c r="M1034" s="11" t="n"/>
      <c r="N1034" s="11" t="n"/>
      <c r="O1034" s="12" t="n"/>
    </row>
    <row r="1035">
      <c r="A1035" s="11" t="n"/>
      <c r="B1035" s="11" t="n"/>
      <c r="C1035" s="11" t="n"/>
      <c r="D1035" s="11" t="n"/>
      <c r="E1035" s="11" t="n"/>
      <c r="F1035" s="11" t="n"/>
      <c r="G1035" s="11" t="n"/>
      <c r="H1035" s="11" t="n"/>
      <c r="I1035" s="11" t="n"/>
      <c r="J1035" s="11" t="n"/>
      <c r="K1035" s="11" t="n"/>
      <c r="L1035" s="11" t="n"/>
      <c r="M1035" s="11" t="n"/>
      <c r="N1035" s="11" t="n"/>
      <c r="O1035" s="12" t="n"/>
    </row>
    <row r="1036">
      <c r="A1036" s="11" t="n"/>
      <c r="B1036" s="11" t="n"/>
      <c r="C1036" s="11" t="n"/>
      <c r="D1036" s="11" t="n"/>
      <c r="E1036" s="11" t="n"/>
      <c r="F1036" s="11" t="n"/>
      <c r="G1036" s="11" t="n"/>
      <c r="H1036" s="11" t="n"/>
      <c r="I1036" s="11" t="n"/>
      <c r="J1036" s="11" t="n"/>
      <c r="K1036" s="11" t="n"/>
      <c r="L1036" s="11" t="n"/>
      <c r="M1036" s="11" t="n"/>
      <c r="N1036" s="11" t="n"/>
      <c r="O1036" s="12" t="n"/>
    </row>
    <row r="1037">
      <c r="A1037" s="11" t="n"/>
      <c r="B1037" s="11" t="n"/>
      <c r="C1037" s="11" t="n"/>
      <c r="D1037" s="11" t="n"/>
      <c r="E1037" s="11" t="n"/>
      <c r="F1037" s="11" t="n"/>
      <c r="G1037" s="11" t="n"/>
      <c r="H1037" s="11" t="n"/>
      <c r="I1037" s="11" t="n"/>
      <c r="J1037" s="11" t="n"/>
      <c r="K1037" s="11" t="n"/>
      <c r="L1037" s="11" t="n"/>
      <c r="M1037" s="11" t="n"/>
      <c r="N1037" s="11" t="n"/>
      <c r="O1037" s="12" t="n"/>
    </row>
    <row r="1038">
      <c r="A1038" s="11" t="n"/>
      <c r="B1038" s="11" t="n"/>
      <c r="C1038" s="11" t="n"/>
      <c r="D1038" s="11" t="n"/>
      <c r="E1038" s="11" t="n"/>
      <c r="F1038" s="11" t="n"/>
      <c r="G1038" s="11" t="n"/>
      <c r="H1038" s="11" t="n"/>
      <c r="I1038" s="11" t="n"/>
      <c r="J1038" s="11" t="n"/>
      <c r="K1038" s="11" t="n"/>
      <c r="L1038" s="11" t="n"/>
      <c r="M1038" s="11" t="n"/>
      <c r="N1038" s="11" t="n"/>
      <c r="O1038" s="12" t="n"/>
    </row>
    <row r="1039">
      <c r="A1039" s="11" t="n"/>
      <c r="B1039" s="11" t="n"/>
      <c r="C1039" s="11" t="n"/>
      <c r="D1039" s="11" t="n"/>
      <c r="E1039" s="11" t="n"/>
      <c r="F1039" s="11" t="n"/>
      <c r="G1039" s="11" t="n"/>
      <c r="H1039" s="11" t="n"/>
      <c r="I1039" s="11" t="n"/>
      <c r="J1039" s="11" t="n"/>
      <c r="K1039" s="11" t="n"/>
      <c r="L1039" s="11" t="n"/>
      <c r="M1039" s="11" t="n"/>
      <c r="N1039" s="11" t="n"/>
      <c r="O1039" s="12" t="n"/>
    </row>
    <row r="1040">
      <c r="A1040" s="11" t="n"/>
      <c r="B1040" s="11" t="n"/>
      <c r="C1040" s="11" t="n"/>
      <c r="D1040" s="11" t="n"/>
      <c r="E1040" s="11" t="n"/>
      <c r="F1040" s="11" t="n"/>
      <c r="G1040" s="11" t="n"/>
      <c r="H1040" s="11" t="n"/>
      <c r="I1040" s="11" t="n"/>
      <c r="J1040" s="11" t="n"/>
      <c r="K1040" s="11" t="n"/>
      <c r="L1040" s="11" t="n"/>
      <c r="M1040" s="11" t="n"/>
      <c r="N1040" s="11" t="n"/>
      <c r="O1040" s="12" t="n"/>
    </row>
    <row r="1041">
      <c r="A1041" s="11" t="n"/>
      <c r="B1041" s="11" t="n"/>
      <c r="C1041" s="11" t="n"/>
      <c r="D1041" s="11" t="n"/>
      <c r="E1041" s="11" t="n"/>
      <c r="F1041" s="11" t="n"/>
      <c r="G1041" s="11" t="n"/>
      <c r="H1041" s="11" t="n"/>
      <c r="I1041" s="11" t="n"/>
      <c r="J1041" s="11" t="n"/>
      <c r="K1041" s="11" t="n"/>
      <c r="L1041" s="11" t="n"/>
      <c r="M1041" s="11" t="n"/>
      <c r="N1041" s="11" t="n"/>
      <c r="O1041" s="12" t="n"/>
    </row>
    <row r="1042">
      <c r="A1042" s="11" t="n"/>
      <c r="B1042" s="11" t="n"/>
      <c r="C1042" s="11" t="n"/>
      <c r="D1042" s="11" t="n"/>
      <c r="E1042" s="11" t="n"/>
      <c r="F1042" s="11" t="n"/>
      <c r="G1042" s="11" t="n"/>
      <c r="H1042" s="11" t="n"/>
      <c r="I1042" s="11" t="n"/>
      <c r="J1042" s="11" t="n"/>
      <c r="K1042" s="11" t="n"/>
      <c r="L1042" s="11" t="n"/>
      <c r="M1042" s="11" t="n"/>
      <c r="N1042" s="11" t="n"/>
      <c r="O1042" s="12" t="n"/>
    </row>
    <row r="1043">
      <c r="A1043" s="11" t="n"/>
      <c r="B1043" s="11" t="n"/>
      <c r="C1043" s="11" t="n"/>
      <c r="D1043" s="11" t="n"/>
      <c r="E1043" s="11" t="n"/>
      <c r="F1043" s="11" t="n"/>
      <c r="G1043" s="11" t="n"/>
      <c r="H1043" s="11" t="n"/>
      <c r="I1043" s="11" t="n"/>
      <c r="J1043" s="11" t="n"/>
      <c r="K1043" s="11" t="n"/>
      <c r="L1043" s="11" t="n"/>
      <c r="M1043" s="11" t="n"/>
      <c r="N1043" s="11" t="n"/>
      <c r="O1043" s="12" t="n"/>
    </row>
    <row r="1044">
      <c r="A1044" s="11" t="n"/>
      <c r="B1044" s="11" t="n"/>
      <c r="C1044" s="11" t="n"/>
      <c r="D1044" s="11" t="n"/>
      <c r="E1044" s="11" t="n"/>
      <c r="F1044" s="11" t="n"/>
      <c r="G1044" s="11" t="n"/>
      <c r="H1044" s="11" t="n"/>
      <c r="I1044" s="11" t="n"/>
      <c r="J1044" s="11" t="n"/>
      <c r="K1044" s="11" t="n"/>
      <c r="L1044" s="11" t="n"/>
      <c r="M1044" s="11" t="n"/>
      <c r="N1044" s="11" t="n"/>
      <c r="O1044" s="12" t="n"/>
    </row>
    <row r="1045">
      <c r="A1045" s="11" t="n"/>
      <c r="B1045" s="11" t="n"/>
      <c r="C1045" s="11" t="n"/>
      <c r="D1045" s="11" t="n"/>
      <c r="E1045" s="11" t="n"/>
      <c r="F1045" s="11" t="n"/>
      <c r="G1045" s="11" t="n"/>
      <c r="H1045" s="11" t="n"/>
      <c r="I1045" s="11" t="n"/>
      <c r="J1045" s="11" t="n"/>
      <c r="K1045" s="11" t="n"/>
      <c r="L1045" s="11" t="n"/>
      <c r="M1045" s="11" t="n"/>
      <c r="N1045" s="11" t="n"/>
      <c r="O1045" s="12" t="n"/>
    </row>
    <row r="1046">
      <c r="A1046" s="11" t="n"/>
      <c r="B1046" s="11" t="n"/>
      <c r="C1046" s="11" t="n"/>
      <c r="D1046" s="11" t="n"/>
      <c r="E1046" s="11" t="n"/>
      <c r="F1046" s="11" t="n"/>
      <c r="G1046" s="11" t="n"/>
      <c r="H1046" s="11" t="n"/>
      <c r="I1046" s="11" t="n"/>
      <c r="J1046" s="11" t="n"/>
      <c r="K1046" s="11" t="n"/>
      <c r="L1046" s="11" t="n"/>
      <c r="M1046" s="11" t="n"/>
      <c r="N1046" s="11" t="n"/>
      <c r="O1046" s="12" t="n"/>
    </row>
    <row r="1047">
      <c r="A1047" s="11" t="n"/>
      <c r="B1047" s="11" t="n"/>
      <c r="C1047" s="11" t="n"/>
      <c r="D1047" s="11" t="n"/>
      <c r="E1047" s="11" t="n"/>
      <c r="F1047" s="11" t="n"/>
      <c r="G1047" s="11" t="n"/>
      <c r="H1047" s="11" t="n"/>
      <c r="I1047" s="11" t="n"/>
      <c r="J1047" s="11" t="n"/>
      <c r="K1047" s="11" t="n"/>
      <c r="L1047" s="11" t="n"/>
      <c r="M1047" s="11" t="n"/>
      <c r="N1047" s="11" t="n"/>
      <c r="O1047" s="12" t="n"/>
    </row>
    <row r="1048">
      <c r="A1048" s="11" t="n"/>
      <c r="B1048" s="11" t="n"/>
      <c r="C1048" s="11" t="n"/>
      <c r="D1048" s="11" t="n"/>
      <c r="E1048" s="11" t="n"/>
      <c r="F1048" s="11" t="n"/>
      <c r="G1048" s="11" t="n"/>
      <c r="H1048" s="11" t="n"/>
      <c r="I1048" s="11" t="n"/>
      <c r="J1048" s="11" t="n"/>
      <c r="K1048" s="11" t="n"/>
      <c r="L1048" s="11" t="n"/>
      <c r="M1048" s="11" t="n"/>
      <c r="N1048" s="11" t="n"/>
      <c r="O1048" s="12" t="n"/>
    </row>
    <row r="1049">
      <c r="A1049" s="11" t="n"/>
      <c r="B1049" s="11" t="n"/>
      <c r="C1049" s="11" t="n"/>
      <c r="D1049" s="11" t="n"/>
      <c r="E1049" s="11" t="n"/>
      <c r="F1049" s="11" t="n"/>
      <c r="G1049" s="11" t="n"/>
      <c r="H1049" s="11" t="n"/>
      <c r="I1049" s="11" t="n"/>
      <c r="J1049" s="11" t="n"/>
      <c r="K1049" s="11" t="n"/>
      <c r="L1049" s="11" t="n"/>
      <c r="M1049" s="11" t="n"/>
      <c r="N1049" s="11" t="n"/>
      <c r="O1049" s="12" t="n"/>
    </row>
    <row r="1050">
      <c r="A1050" s="11" t="n"/>
      <c r="B1050" s="11" t="n"/>
      <c r="C1050" s="11" t="n"/>
      <c r="D1050" s="11" t="n"/>
      <c r="E1050" s="11" t="n"/>
      <c r="F1050" s="11" t="n"/>
      <c r="G1050" s="11" t="n"/>
      <c r="H1050" s="11" t="n"/>
      <c r="I1050" s="11" t="n"/>
      <c r="J1050" s="11" t="n"/>
      <c r="K1050" s="11" t="n"/>
      <c r="L1050" s="11" t="n"/>
      <c r="M1050" s="11" t="n"/>
      <c r="N1050" s="11" t="n"/>
      <c r="O1050" s="12" t="n"/>
    </row>
    <row r="1051">
      <c r="A1051" s="11" t="n"/>
      <c r="B1051" s="11" t="n"/>
      <c r="C1051" s="11" t="n"/>
      <c r="D1051" s="11" t="n"/>
      <c r="E1051" s="11" t="n"/>
      <c r="F1051" s="11" t="n"/>
      <c r="G1051" s="11" t="n"/>
      <c r="H1051" s="11" t="n"/>
      <c r="I1051" s="11" t="n"/>
      <c r="J1051" s="11" t="n"/>
      <c r="K1051" s="11" t="n"/>
      <c r="L1051" s="11" t="n"/>
      <c r="M1051" s="11" t="n"/>
      <c r="N1051" s="11" t="n"/>
      <c r="O1051" s="12" t="n"/>
    </row>
    <row r="1052">
      <c r="A1052" s="11" t="n"/>
      <c r="B1052" s="11" t="n"/>
      <c r="C1052" s="11" t="n"/>
      <c r="D1052" s="11" t="n"/>
      <c r="E1052" s="11" t="n"/>
      <c r="F1052" s="11" t="n"/>
      <c r="G1052" s="11" t="n"/>
      <c r="H1052" s="11" t="n"/>
      <c r="I1052" s="11" t="n"/>
      <c r="J1052" s="11" t="n"/>
      <c r="K1052" s="11" t="n"/>
      <c r="L1052" s="11" t="n"/>
      <c r="M1052" s="11" t="n"/>
      <c r="N1052" s="11" t="n"/>
      <c r="O1052" s="12" t="n"/>
    </row>
    <row r="1053">
      <c r="A1053" s="11" t="n"/>
      <c r="B1053" s="11" t="n"/>
      <c r="C1053" s="11" t="n"/>
      <c r="D1053" s="11" t="n"/>
      <c r="E1053" s="11" t="n"/>
      <c r="F1053" s="11" t="n"/>
      <c r="G1053" s="11" t="n"/>
      <c r="H1053" s="11" t="n"/>
      <c r="I1053" s="11" t="n"/>
      <c r="J1053" s="11" t="n"/>
      <c r="K1053" s="11" t="n"/>
      <c r="L1053" s="11" t="n"/>
      <c r="M1053" s="11" t="n"/>
      <c r="N1053" s="11" t="n"/>
      <c r="O1053" s="12" t="n"/>
    </row>
    <row r="1054">
      <c r="A1054" s="11" t="n"/>
      <c r="B1054" s="11" t="n"/>
      <c r="C1054" s="11" t="n"/>
      <c r="D1054" s="11" t="n"/>
      <c r="E1054" s="11" t="n"/>
      <c r="F1054" s="11" t="n"/>
      <c r="G1054" s="11" t="n"/>
      <c r="H1054" s="11" t="n"/>
      <c r="I1054" s="11" t="n"/>
      <c r="J1054" s="11" t="n"/>
      <c r="K1054" s="11" t="n"/>
      <c r="L1054" s="11" t="n"/>
      <c r="M1054" s="11" t="n"/>
      <c r="N1054" s="11" t="n"/>
      <c r="O1054" s="12" t="n"/>
    </row>
    <row r="1055">
      <c r="A1055" s="11" t="n"/>
      <c r="B1055" s="11" t="n"/>
      <c r="C1055" s="11" t="n"/>
      <c r="D1055" s="11" t="n"/>
      <c r="E1055" s="11" t="n"/>
      <c r="F1055" s="11" t="n"/>
      <c r="G1055" s="11" t="n"/>
      <c r="H1055" s="11" t="n"/>
      <c r="I1055" s="11" t="n"/>
      <c r="J1055" s="11" t="n"/>
      <c r="K1055" s="11" t="n"/>
      <c r="L1055" s="11" t="n"/>
      <c r="M1055" s="11" t="n"/>
      <c r="N1055" s="11" t="n"/>
      <c r="O1055" s="12" t="n"/>
    </row>
    <row r="1056">
      <c r="A1056" s="11" t="n"/>
      <c r="B1056" s="11" t="n"/>
      <c r="C1056" s="11" t="n"/>
      <c r="D1056" s="11" t="n"/>
      <c r="E1056" s="11" t="n"/>
      <c r="F1056" s="11" t="n"/>
      <c r="G1056" s="11" t="n"/>
      <c r="H1056" s="11" t="n"/>
      <c r="I1056" s="11" t="n"/>
      <c r="J1056" s="11" t="n"/>
      <c r="K1056" s="11" t="n"/>
      <c r="L1056" s="11" t="n"/>
      <c r="M1056" s="11" t="n"/>
      <c r="N1056" s="11" t="n"/>
      <c r="O1056" s="12" t="n"/>
    </row>
    <row r="1057">
      <c r="A1057" s="11" t="n"/>
      <c r="B1057" s="11" t="n"/>
      <c r="C1057" s="11" t="n"/>
      <c r="D1057" s="11" t="n"/>
      <c r="E1057" s="11" t="n"/>
      <c r="F1057" s="11" t="n"/>
      <c r="G1057" s="11" t="n"/>
      <c r="H1057" s="11" t="n"/>
      <c r="I1057" s="11" t="n"/>
      <c r="J1057" s="11" t="n"/>
      <c r="K1057" s="11" t="n"/>
      <c r="L1057" s="11" t="n"/>
      <c r="M1057" s="11" t="n"/>
      <c r="N1057" s="11" t="n"/>
      <c r="O1057" s="12" t="n"/>
    </row>
    <row r="1058">
      <c r="A1058" s="11" t="n"/>
      <c r="B1058" s="11" t="n"/>
      <c r="C1058" s="11" t="n"/>
      <c r="D1058" s="11" t="n"/>
      <c r="E1058" s="11" t="n"/>
      <c r="F1058" s="11" t="n"/>
      <c r="G1058" s="11" t="n"/>
      <c r="H1058" s="11" t="n"/>
      <c r="I1058" s="11" t="n"/>
      <c r="J1058" s="11" t="n"/>
      <c r="K1058" s="11" t="n"/>
      <c r="L1058" s="11" t="n"/>
      <c r="M1058" s="11" t="n"/>
      <c r="N1058" s="11" t="n"/>
      <c r="O1058" s="12" t="n"/>
    </row>
    <row r="1059">
      <c r="A1059" s="11" t="n"/>
      <c r="B1059" s="11" t="n"/>
      <c r="C1059" s="11" t="n"/>
      <c r="D1059" s="11" t="n"/>
      <c r="E1059" s="11" t="n"/>
      <c r="F1059" s="11" t="n"/>
      <c r="G1059" s="11" t="n"/>
      <c r="H1059" s="11" t="n"/>
      <c r="I1059" s="11" t="n"/>
      <c r="J1059" s="11" t="n"/>
      <c r="K1059" s="11" t="n"/>
      <c r="L1059" s="11" t="n"/>
      <c r="M1059" s="11" t="n"/>
      <c r="N1059" s="11" t="n"/>
      <c r="O1059" s="12" t="n"/>
    </row>
    <row r="1060">
      <c r="A1060" s="11" t="n"/>
      <c r="B1060" s="11" t="n"/>
      <c r="C1060" s="11" t="n"/>
      <c r="D1060" s="11" t="n"/>
      <c r="E1060" s="11" t="n"/>
      <c r="F1060" s="11" t="n"/>
      <c r="G1060" s="11" t="n"/>
      <c r="H1060" s="11" t="n"/>
      <c r="I1060" s="11" t="n"/>
      <c r="J1060" s="11" t="n"/>
      <c r="K1060" s="11" t="n"/>
      <c r="L1060" s="11" t="n"/>
      <c r="M1060" s="11" t="n"/>
      <c r="N1060" s="11" t="n"/>
      <c r="O1060" s="12" t="n"/>
    </row>
    <row r="1061">
      <c r="A1061" s="11" t="n"/>
      <c r="B1061" s="11" t="n"/>
      <c r="C1061" s="11" t="n"/>
      <c r="D1061" s="11" t="n"/>
      <c r="E1061" s="11" t="n"/>
      <c r="F1061" s="11" t="n"/>
      <c r="G1061" s="11" t="n"/>
      <c r="H1061" s="11" t="n"/>
      <c r="I1061" s="11" t="n"/>
      <c r="J1061" s="11" t="n"/>
      <c r="K1061" s="11" t="n"/>
      <c r="L1061" s="11" t="n"/>
      <c r="M1061" s="11" t="n"/>
      <c r="N1061" s="11" t="n"/>
      <c r="O1061" s="12" t="n"/>
    </row>
    <row r="1062">
      <c r="A1062" s="11" t="n"/>
      <c r="B1062" s="11" t="n"/>
      <c r="C1062" s="11" t="n"/>
      <c r="D1062" s="11" t="n"/>
      <c r="E1062" s="11" t="n"/>
      <c r="F1062" s="11" t="n"/>
      <c r="G1062" s="11" t="n"/>
      <c r="H1062" s="11" t="n"/>
      <c r="I1062" s="11" t="n"/>
      <c r="J1062" s="11" t="n"/>
      <c r="K1062" s="11" t="n"/>
      <c r="L1062" s="11" t="n"/>
      <c r="M1062" s="11" t="n"/>
      <c r="N1062" s="11" t="n"/>
      <c r="O1062" s="12" t="n"/>
    </row>
    <row r="1063">
      <c r="A1063" s="11" t="n"/>
      <c r="B1063" s="11" t="n"/>
      <c r="C1063" s="11" t="n"/>
      <c r="D1063" s="11" t="n"/>
      <c r="E1063" s="11" t="n"/>
      <c r="F1063" s="11" t="n"/>
      <c r="G1063" s="11" t="n"/>
      <c r="H1063" s="11" t="n"/>
      <c r="I1063" s="11" t="n"/>
      <c r="J1063" s="11" t="n"/>
      <c r="K1063" s="11" t="n"/>
      <c r="L1063" s="11" t="n"/>
      <c r="M1063" s="11" t="n"/>
      <c r="N1063" s="11" t="n"/>
      <c r="O1063" s="12" t="n"/>
    </row>
    <row r="1064">
      <c r="A1064" s="11" t="n"/>
      <c r="B1064" s="11" t="n"/>
      <c r="C1064" s="11" t="n"/>
      <c r="D1064" s="11" t="n"/>
      <c r="E1064" s="11" t="n"/>
      <c r="F1064" s="11" t="n"/>
      <c r="G1064" s="11" t="n"/>
      <c r="H1064" s="11" t="n"/>
      <c r="I1064" s="11" t="n"/>
      <c r="J1064" s="11" t="n"/>
      <c r="K1064" s="11" t="n"/>
      <c r="L1064" s="11" t="n"/>
      <c r="M1064" s="11" t="n"/>
      <c r="N1064" s="11" t="n"/>
      <c r="O1064" s="12" t="n"/>
    </row>
    <row r="1065">
      <c r="A1065" s="11" t="n"/>
      <c r="B1065" s="11" t="n"/>
      <c r="C1065" s="11" t="n"/>
      <c r="D1065" s="11" t="n"/>
      <c r="E1065" s="11" t="n"/>
      <c r="F1065" s="11" t="n"/>
      <c r="G1065" s="11" t="n"/>
      <c r="H1065" s="11" t="n"/>
      <c r="I1065" s="11" t="n"/>
      <c r="J1065" s="11" t="n"/>
      <c r="K1065" s="11" t="n"/>
      <c r="L1065" s="11" t="n"/>
      <c r="M1065" s="11" t="n"/>
      <c r="N1065" s="11" t="n"/>
      <c r="O1065" s="12" t="n"/>
    </row>
    <row r="1066">
      <c r="A1066" s="11" t="n"/>
      <c r="B1066" s="11" t="n"/>
      <c r="C1066" s="11" t="n"/>
      <c r="D1066" s="11" t="n"/>
      <c r="E1066" s="11" t="n"/>
      <c r="F1066" s="11" t="n"/>
      <c r="G1066" s="11" t="n"/>
      <c r="H1066" s="11" t="n"/>
      <c r="I1066" s="11" t="n"/>
      <c r="J1066" s="11" t="n"/>
      <c r="K1066" s="11" t="n"/>
      <c r="L1066" s="11" t="n"/>
      <c r="M1066" s="11" t="n"/>
      <c r="N1066" s="11" t="n"/>
      <c r="O1066" s="12" t="n"/>
    </row>
    <row r="1067">
      <c r="A1067" s="11" t="n"/>
      <c r="B1067" s="11" t="n"/>
      <c r="C1067" s="11" t="n"/>
      <c r="D1067" s="11" t="n"/>
      <c r="E1067" s="11" t="n"/>
      <c r="F1067" s="11" t="n"/>
      <c r="G1067" s="11" t="n"/>
      <c r="H1067" s="11" t="n"/>
      <c r="I1067" s="11" t="n"/>
      <c r="J1067" s="11" t="n"/>
      <c r="K1067" s="11" t="n"/>
      <c r="L1067" s="11" t="n"/>
      <c r="M1067" s="11" t="n"/>
      <c r="N1067" s="11" t="n"/>
      <c r="O1067" s="12" t="n"/>
    </row>
    <row r="1068">
      <c r="A1068" s="11" t="n"/>
      <c r="B1068" s="11" t="n"/>
      <c r="C1068" s="11" t="n"/>
      <c r="D1068" s="11" t="n"/>
      <c r="E1068" s="11" t="n"/>
      <c r="F1068" s="11" t="n"/>
      <c r="G1068" s="11" t="n"/>
      <c r="H1068" s="11" t="n"/>
      <c r="I1068" s="11" t="n"/>
      <c r="J1068" s="11" t="n"/>
      <c r="K1068" s="11" t="n"/>
      <c r="L1068" s="11" t="n"/>
      <c r="M1068" s="11" t="n"/>
      <c r="N1068" s="11" t="n"/>
      <c r="O1068" s="12" t="n"/>
    </row>
    <row r="1069">
      <c r="A1069" s="11" t="n"/>
      <c r="B1069" s="11" t="n"/>
      <c r="C1069" s="11" t="n"/>
      <c r="D1069" s="11" t="n"/>
      <c r="E1069" s="11" t="n"/>
      <c r="F1069" s="11" t="n"/>
      <c r="G1069" s="11" t="n"/>
      <c r="H1069" s="11" t="n"/>
      <c r="I1069" s="11" t="n"/>
      <c r="J1069" s="11" t="n"/>
      <c r="K1069" s="11" t="n"/>
      <c r="L1069" s="11" t="n"/>
      <c r="M1069" s="11" t="n"/>
      <c r="N1069" s="11" t="n"/>
      <c r="O1069" s="12" t="n"/>
    </row>
    <row r="1070">
      <c r="A1070" s="11" t="n"/>
      <c r="B1070" s="11" t="n"/>
      <c r="C1070" s="11" t="n"/>
      <c r="D1070" s="11" t="n"/>
      <c r="E1070" s="11" t="n"/>
      <c r="F1070" s="11" t="n"/>
      <c r="G1070" s="11" t="n"/>
      <c r="H1070" s="11" t="n"/>
      <c r="I1070" s="11" t="n"/>
      <c r="J1070" s="11" t="n"/>
      <c r="K1070" s="11" t="n"/>
      <c r="L1070" s="11" t="n"/>
      <c r="M1070" s="11" t="n"/>
      <c r="N1070" s="11" t="n"/>
      <c r="O1070" s="12" t="n"/>
    </row>
    <row r="1071">
      <c r="A1071" s="11" t="n"/>
      <c r="B1071" s="11" t="n"/>
      <c r="C1071" s="11" t="n"/>
      <c r="D1071" s="11" t="n"/>
      <c r="E1071" s="11" t="n"/>
      <c r="F1071" s="11" t="n"/>
      <c r="G1071" s="11" t="n"/>
      <c r="H1071" s="11" t="n"/>
      <c r="I1071" s="11" t="n"/>
      <c r="J1071" s="11" t="n"/>
      <c r="K1071" s="11" t="n"/>
      <c r="L1071" s="11" t="n"/>
      <c r="M1071" s="11" t="n"/>
      <c r="N1071" s="11" t="n"/>
      <c r="O1071" s="12" t="n"/>
    </row>
    <row r="1072">
      <c r="A1072" s="11" t="n"/>
      <c r="B1072" s="11" t="n"/>
      <c r="C1072" s="11" t="n"/>
      <c r="D1072" s="11" t="n"/>
      <c r="E1072" s="11" t="n"/>
      <c r="F1072" s="11" t="n"/>
      <c r="G1072" s="11" t="n"/>
      <c r="H1072" s="11" t="n"/>
      <c r="I1072" s="11" t="n"/>
      <c r="J1072" s="11" t="n"/>
      <c r="K1072" s="11" t="n"/>
      <c r="L1072" s="11" t="n"/>
      <c r="M1072" s="11" t="n"/>
      <c r="N1072" s="11" t="n"/>
      <c r="O1072" s="12" t="n"/>
    </row>
    <row r="1073">
      <c r="A1073" s="11" t="n"/>
      <c r="B1073" s="11" t="n"/>
      <c r="C1073" s="11" t="n"/>
      <c r="D1073" s="11" t="n"/>
      <c r="E1073" s="11" t="n"/>
      <c r="F1073" s="11" t="n"/>
      <c r="G1073" s="11" t="n"/>
      <c r="H1073" s="11" t="n"/>
      <c r="I1073" s="11" t="n"/>
      <c r="J1073" s="11" t="n"/>
      <c r="K1073" s="11" t="n"/>
      <c r="L1073" s="11" t="n"/>
      <c r="M1073" s="11" t="n"/>
      <c r="N1073" s="11" t="n"/>
      <c r="O1073" s="12" t="n"/>
    </row>
    <row r="1074">
      <c r="A1074" s="11" t="n"/>
      <c r="B1074" s="11" t="n"/>
      <c r="C1074" s="11" t="n"/>
      <c r="D1074" s="11" t="n"/>
      <c r="E1074" s="11" t="n"/>
      <c r="F1074" s="11" t="n"/>
      <c r="G1074" s="11" t="n"/>
      <c r="H1074" s="11" t="n"/>
      <c r="I1074" s="11" t="n"/>
      <c r="J1074" s="11" t="n"/>
      <c r="K1074" s="11" t="n"/>
      <c r="L1074" s="11" t="n"/>
      <c r="M1074" s="11" t="n"/>
      <c r="N1074" s="11" t="n"/>
      <c r="O1074" s="12" t="n"/>
    </row>
    <row r="1075">
      <c r="A1075" s="11" t="n"/>
      <c r="B1075" s="11" t="n"/>
      <c r="C1075" s="11" t="n"/>
      <c r="D1075" s="11" t="n"/>
      <c r="E1075" s="11" t="n"/>
      <c r="F1075" s="11" t="n"/>
      <c r="G1075" s="11" t="n"/>
      <c r="H1075" s="11" t="n"/>
      <c r="I1075" s="11" t="n"/>
      <c r="J1075" s="11" t="n"/>
      <c r="K1075" s="11" t="n"/>
      <c r="L1075" s="11" t="n"/>
      <c r="M1075" s="11" t="n"/>
      <c r="N1075" s="11" t="n"/>
      <c r="O1075" s="12" t="n"/>
    </row>
    <row r="1076">
      <c r="A1076" s="11" t="n"/>
      <c r="B1076" s="11" t="n"/>
      <c r="C1076" s="11" t="n"/>
      <c r="D1076" s="11" t="n"/>
      <c r="E1076" s="11" t="n"/>
      <c r="F1076" s="11" t="n"/>
      <c r="G1076" s="11" t="n"/>
      <c r="H1076" s="11" t="n"/>
      <c r="I1076" s="11" t="n"/>
      <c r="J1076" s="11" t="n"/>
      <c r="K1076" s="11" t="n"/>
      <c r="L1076" s="11" t="n"/>
      <c r="M1076" s="11" t="n"/>
      <c r="N1076" s="11" t="n"/>
      <c r="O1076" s="12" t="n"/>
    </row>
    <row r="1077">
      <c r="A1077" s="11" t="n"/>
      <c r="B1077" s="11" t="n"/>
      <c r="C1077" s="11" t="n"/>
      <c r="D1077" s="11" t="n"/>
      <c r="E1077" s="11" t="n"/>
      <c r="F1077" s="11" t="n"/>
      <c r="G1077" s="11" t="n"/>
      <c r="H1077" s="11" t="n"/>
      <c r="I1077" s="11" t="n"/>
      <c r="J1077" s="11" t="n"/>
      <c r="K1077" s="11" t="n"/>
      <c r="L1077" s="11" t="n"/>
      <c r="M1077" s="11" t="n"/>
      <c r="N1077" s="11" t="n"/>
      <c r="O1077" s="12" t="n"/>
    </row>
    <row r="1078">
      <c r="A1078" s="11" t="n"/>
      <c r="B1078" s="11" t="n"/>
      <c r="C1078" s="11" t="n"/>
      <c r="D1078" s="11" t="n"/>
      <c r="E1078" s="11" t="n"/>
      <c r="F1078" s="11" t="n"/>
      <c r="G1078" s="11" t="n"/>
      <c r="H1078" s="11" t="n"/>
      <c r="I1078" s="11" t="n"/>
      <c r="J1078" s="11" t="n"/>
      <c r="K1078" s="11" t="n"/>
      <c r="L1078" s="11" t="n"/>
      <c r="M1078" s="11" t="n"/>
      <c r="N1078" s="11" t="n"/>
      <c r="O1078" s="12" t="n"/>
    </row>
    <row r="1079">
      <c r="A1079" s="11" t="n"/>
      <c r="B1079" s="11" t="n"/>
      <c r="C1079" s="11" t="n"/>
      <c r="D1079" s="11" t="n"/>
      <c r="E1079" s="11" t="n"/>
      <c r="F1079" s="11" t="n"/>
      <c r="G1079" s="11" t="n"/>
      <c r="H1079" s="11" t="n"/>
      <c r="I1079" s="11" t="n"/>
      <c r="J1079" s="11" t="n"/>
      <c r="K1079" s="11" t="n"/>
      <c r="L1079" s="11" t="n"/>
      <c r="M1079" s="11" t="n"/>
      <c r="N1079" s="11" t="n"/>
      <c r="O1079" s="12" t="n"/>
    </row>
    <row r="1080">
      <c r="A1080" s="11" t="n"/>
      <c r="B1080" s="11" t="n"/>
      <c r="C1080" s="11" t="n"/>
      <c r="D1080" s="11" t="n"/>
      <c r="E1080" s="11" t="n"/>
      <c r="F1080" s="11" t="n"/>
      <c r="G1080" s="11" t="n"/>
      <c r="H1080" s="11" t="n"/>
      <c r="I1080" s="11" t="n"/>
      <c r="J1080" s="11" t="n"/>
      <c r="K1080" s="11" t="n"/>
      <c r="L1080" s="11" t="n"/>
      <c r="M1080" s="11" t="n"/>
      <c r="N1080" s="11" t="n"/>
      <c r="O1080" s="12" t="n"/>
    </row>
    <row r="1081">
      <c r="A1081" s="11" t="n"/>
      <c r="B1081" s="11" t="n"/>
      <c r="C1081" s="11" t="n"/>
      <c r="D1081" s="11" t="n"/>
      <c r="E1081" s="11" t="n"/>
      <c r="F1081" s="11" t="n"/>
      <c r="G1081" s="11" t="n"/>
      <c r="H1081" s="11" t="n"/>
      <c r="I1081" s="11" t="n"/>
      <c r="J1081" s="11" t="n"/>
      <c r="K1081" s="11" t="n"/>
      <c r="L1081" s="11" t="n"/>
      <c r="M1081" s="11" t="n"/>
      <c r="N1081" s="11" t="n"/>
      <c r="O1081" s="12" t="n"/>
    </row>
    <row r="1082">
      <c r="A1082" s="11" t="n"/>
      <c r="B1082" s="11" t="n"/>
      <c r="C1082" s="11" t="n"/>
      <c r="D1082" s="11" t="n"/>
      <c r="E1082" s="11" t="n"/>
      <c r="F1082" s="11" t="n"/>
      <c r="G1082" s="11" t="n"/>
      <c r="H1082" s="11" t="n"/>
      <c r="I1082" s="11" t="n"/>
      <c r="J1082" s="11" t="n"/>
      <c r="K1082" s="11" t="n"/>
      <c r="L1082" s="11" t="n"/>
      <c r="M1082" s="11" t="n"/>
      <c r="N1082" s="11" t="n"/>
      <c r="O1082" s="12" t="n"/>
    </row>
    <row r="1083">
      <c r="A1083" s="11" t="n"/>
      <c r="B1083" s="11" t="n"/>
      <c r="C1083" s="11" t="n"/>
      <c r="D1083" s="11" t="n"/>
      <c r="E1083" s="11" t="n"/>
      <c r="F1083" s="11" t="n"/>
      <c r="G1083" s="11" t="n"/>
      <c r="H1083" s="11" t="n"/>
      <c r="I1083" s="11" t="n"/>
      <c r="J1083" s="11" t="n"/>
      <c r="K1083" s="11" t="n"/>
      <c r="L1083" s="11" t="n"/>
      <c r="M1083" s="11" t="n"/>
      <c r="N1083" s="11" t="n"/>
      <c r="O1083" s="12" t="n"/>
    </row>
    <row r="1084">
      <c r="A1084" s="11" t="n"/>
      <c r="B1084" s="11" t="n"/>
      <c r="C1084" s="11" t="n"/>
      <c r="D1084" s="11" t="n"/>
      <c r="E1084" s="11" t="n"/>
      <c r="F1084" s="11" t="n"/>
      <c r="G1084" s="11" t="n"/>
      <c r="H1084" s="11" t="n"/>
      <c r="I1084" s="11" t="n"/>
      <c r="J1084" s="11" t="n"/>
      <c r="K1084" s="11" t="n"/>
      <c r="L1084" s="11" t="n"/>
      <c r="M1084" s="11" t="n"/>
      <c r="N1084" s="11" t="n"/>
      <c r="O1084" s="12" t="n"/>
    </row>
    <row r="1085">
      <c r="A1085" s="11" t="n"/>
      <c r="B1085" s="11" t="n"/>
      <c r="C1085" s="11" t="n"/>
      <c r="D1085" s="11" t="n"/>
      <c r="E1085" s="11" t="n"/>
      <c r="F1085" s="11" t="n"/>
      <c r="G1085" s="11" t="n"/>
      <c r="H1085" s="11" t="n"/>
      <c r="I1085" s="11" t="n"/>
      <c r="J1085" s="11" t="n"/>
      <c r="K1085" s="11" t="n"/>
      <c r="L1085" s="11" t="n"/>
      <c r="M1085" s="11" t="n"/>
      <c r="N1085" s="11" t="n"/>
      <c r="O1085" s="12" t="n"/>
    </row>
    <row r="1086">
      <c r="A1086" s="11" t="n"/>
      <c r="B1086" s="11" t="n"/>
      <c r="C1086" s="11" t="n"/>
      <c r="D1086" s="11" t="n"/>
      <c r="E1086" s="11" t="n"/>
      <c r="F1086" s="11" t="n"/>
      <c r="G1086" s="11" t="n"/>
      <c r="H1086" s="11" t="n"/>
      <c r="I1086" s="11" t="n"/>
      <c r="J1086" s="11" t="n"/>
      <c r="K1086" s="11" t="n"/>
      <c r="L1086" s="11" t="n"/>
      <c r="M1086" s="11" t="n"/>
      <c r="N1086" s="11" t="n"/>
      <c r="O1086" s="12" t="n"/>
    </row>
    <row r="1087">
      <c r="A1087" s="11" t="n"/>
      <c r="B1087" s="11" t="n"/>
      <c r="C1087" s="11" t="n"/>
      <c r="D1087" s="11" t="n"/>
      <c r="E1087" s="11" t="n"/>
      <c r="F1087" s="11" t="n"/>
      <c r="G1087" s="11" t="n"/>
      <c r="H1087" s="11" t="n"/>
      <c r="I1087" s="11" t="n"/>
      <c r="J1087" s="11" t="n"/>
      <c r="K1087" s="11" t="n"/>
      <c r="L1087" s="11" t="n"/>
      <c r="M1087" s="11" t="n"/>
      <c r="N1087" s="11" t="n"/>
      <c r="O1087" s="12" t="n"/>
    </row>
    <row r="1088">
      <c r="A1088" s="11" t="n"/>
      <c r="B1088" s="11" t="n"/>
      <c r="C1088" s="11" t="n"/>
      <c r="D1088" s="11" t="n"/>
      <c r="E1088" s="11" t="n"/>
      <c r="F1088" s="11" t="n"/>
      <c r="G1088" s="11" t="n"/>
      <c r="H1088" s="11" t="n"/>
      <c r="I1088" s="11" t="n"/>
      <c r="J1088" s="11" t="n"/>
      <c r="K1088" s="11" t="n"/>
      <c r="L1088" s="11" t="n"/>
      <c r="M1088" s="11" t="n"/>
      <c r="N1088" s="11" t="n"/>
      <c r="O1088" s="12" t="n"/>
    </row>
    <row r="1089">
      <c r="A1089" s="11" t="n"/>
      <c r="B1089" s="11" t="n"/>
      <c r="C1089" s="11" t="n"/>
      <c r="D1089" s="11" t="n"/>
      <c r="E1089" s="11" t="n"/>
      <c r="F1089" s="11" t="n"/>
      <c r="G1089" s="11" t="n"/>
      <c r="H1089" s="11" t="n"/>
      <c r="I1089" s="11" t="n"/>
      <c r="J1089" s="11" t="n"/>
      <c r="K1089" s="11" t="n"/>
      <c r="L1089" s="11" t="n"/>
      <c r="M1089" s="11" t="n"/>
      <c r="N1089" s="11" t="n"/>
      <c r="O1089" s="12" t="n"/>
    </row>
    <row r="1090">
      <c r="A1090" s="11" t="n"/>
      <c r="B1090" s="11" t="n"/>
      <c r="C1090" s="11" t="n"/>
      <c r="D1090" s="11" t="n"/>
      <c r="E1090" s="11" t="n"/>
      <c r="F1090" s="11" t="n"/>
      <c r="G1090" s="11" t="n"/>
      <c r="H1090" s="11" t="n"/>
      <c r="I1090" s="11" t="n"/>
      <c r="J1090" s="11" t="n"/>
      <c r="K1090" s="11" t="n"/>
      <c r="L1090" s="11" t="n"/>
      <c r="M1090" s="11" t="n"/>
      <c r="N1090" s="11" t="n"/>
      <c r="O1090" s="12" t="n"/>
    </row>
    <row r="1091">
      <c r="A1091" s="11" t="n"/>
      <c r="B1091" s="11" t="n"/>
      <c r="C1091" s="11" t="n"/>
      <c r="D1091" s="11" t="n"/>
      <c r="E1091" s="11" t="n"/>
      <c r="F1091" s="11" t="n"/>
      <c r="G1091" s="11" t="n"/>
      <c r="H1091" s="11" t="n"/>
      <c r="I1091" s="11" t="n"/>
      <c r="J1091" s="11" t="n"/>
      <c r="K1091" s="11" t="n"/>
      <c r="L1091" s="11" t="n"/>
      <c r="M1091" s="11" t="n"/>
      <c r="N1091" s="11" t="n"/>
      <c r="O1091" s="12" t="n"/>
    </row>
    <row r="1092">
      <c r="A1092" s="11" t="n"/>
      <c r="B1092" s="11" t="n"/>
      <c r="C1092" s="11" t="n"/>
      <c r="D1092" s="11" t="n"/>
      <c r="E1092" s="11" t="n"/>
      <c r="F1092" s="11" t="n"/>
      <c r="G1092" s="11" t="n"/>
      <c r="H1092" s="11" t="n"/>
      <c r="I1092" s="11" t="n"/>
      <c r="J1092" s="11" t="n"/>
      <c r="K1092" s="11" t="n"/>
      <c r="L1092" s="11" t="n"/>
      <c r="M1092" s="11" t="n"/>
      <c r="N1092" s="11" t="n"/>
      <c r="O1092" s="12" t="n"/>
    </row>
    <row r="1093">
      <c r="A1093" s="11" t="n"/>
      <c r="B1093" s="11" t="n"/>
      <c r="C1093" s="11" t="n"/>
      <c r="D1093" s="11" t="n"/>
      <c r="E1093" s="11" t="n"/>
      <c r="F1093" s="11" t="n"/>
      <c r="G1093" s="11" t="n"/>
      <c r="H1093" s="11" t="n"/>
      <c r="I1093" s="11" t="n"/>
      <c r="J1093" s="11" t="n"/>
      <c r="K1093" s="11" t="n"/>
      <c r="L1093" s="11" t="n"/>
      <c r="M1093" s="11" t="n"/>
      <c r="N1093" s="11" t="n"/>
      <c r="O1093" s="12" t="n"/>
    </row>
    <row r="1094">
      <c r="A1094" s="11" t="n"/>
      <c r="B1094" s="11" t="n"/>
      <c r="C1094" s="11" t="n"/>
      <c r="D1094" s="11" t="n"/>
      <c r="E1094" s="11" t="n"/>
      <c r="F1094" s="11" t="n"/>
      <c r="G1094" s="11" t="n"/>
      <c r="H1094" s="11" t="n"/>
      <c r="I1094" s="11" t="n"/>
      <c r="J1094" s="11" t="n"/>
      <c r="K1094" s="11" t="n"/>
      <c r="L1094" s="11" t="n"/>
      <c r="M1094" s="11" t="n"/>
      <c r="N1094" s="11" t="n"/>
      <c r="O1094" s="12" t="n"/>
    </row>
    <row r="1095">
      <c r="A1095" s="11" t="n"/>
      <c r="B1095" s="11" t="n"/>
      <c r="C1095" s="11" t="n"/>
      <c r="D1095" s="11" t="n"/>
      <c r="E1095" s="11" t="n"/>
      <c r="F1095" s="11" t="n"/>
      <c r="G1095" s="11" t="n"/>
      <c r="H1095" s="11" t="n"/>
      <c r="I1095" s="11" t="n"/>
      <c r="J1095" s="11" t="n"/>
      <c r="K1095" s="11" t="n"/>
      <c r="L1095" s="11" t="n"/>
      <c r="M1095" s="11" t="n"/>
      <c r="N1095" s="11" t="n"/>
      <c r="O1095" s="12" t="n"/>
    </row>
    <row r="1096">
      <c r="A1096" s="11" t="n"/>
      <c r="B1096" s="11" t="n"/>
      <c r="C1096" s="11" t="n"/>
      <c r="D1096" s="11" t="n"/>
      <c r="E1096" s="11" t="n"/>
      <c r="F1096" s="11" t="n"/>
      <c r="G1096" s="11" t="n"/>
      <c r="H1096" s="11" t="n"/>
      <c r="I1096" s="11" t="n"/>
      <c r="J1096" s="11" t="n"/>
      <c r="K1096" s="11" t="n"/>
      <c r="L1096" s="11" t="n"/>
      <c r="M1096" s="11" t="n"/>
      <c r="N1096" s="11" t="n"/>
      <c r="O1096" s="12" t="n"/>
    </row>
    <row r="1097">
      <c r="A1097" s="11" t="n"/>
      <c r="B1097" s="11" t="n"/>
      <c r="C1097" s="11" t="n"/>
      <c r="D1097" s="11" t="n"/>
      <c r="E1097" s="11" t="n"/>
      <c r="F1097" s="11" t="n"/>
      <c r="G1097" s="11" t="n"/>
      <c r="H1097" s="11" t="n"/>
      <c r="I1097" s="11" t="n"/>
      <c r="J1097" s="11" t="n"/>
      <c r="K1097" s="11" t="n"/>
      <c r="L1097" s="11" t="n"/>
      <c r="M1097" s="11" t="n"/>
      <c r="N1097" s="11" t="n"/>
      <c r="O1097" s="12" t="n"/>
    </row>
    <row r="1098">
      <c r="A1098" s="11" t="n"/>
      <c r="B1098" s="11" t="n"/>
      <c r="C1098" s="11" t="n"/>
      <c r="D1098" s="11" t="n"/>
      <c r="E1098" s="11" t="n"/>
      <c r="F1098" s="11" t="n"/>
      <c r="G1098" s="11" t="n"/>
      <c r="H1098" s="11" t="n"/>
      <c r="I1098" s="11" t="n"/>
      <c r="J1098" s="11" t="n"/>
      <c r="K1098" s="11" t="n"/>
      <c r="L1098" s="11" t="n"/>
      <c r="M1098" s="11" t="n"/>
      <c r="N1098" s="11" t="n"/>
      <c r="O1098" s="12" t="n"/>
    </row>
    <row r="1099">
      <c r="A1099" s="11" t="n"/>
      <c r="B1099" s="11" t="n"/>
      <c r="C1099" s="11" t="n"/>
      <c r="D1099" s="11" t="n"/>
      <c r="E1099" s="11" t="n"/>
      <c r="F1099" s="11" t="n"/>
      <c r="G1099" s="11" t="n"/>
      <c r="H1099" s="11" t="n"/>
      <c r="I1099" s="11" t="n"/>
      <c r="J1099" s="11" t="n"/>
      <c r="K1099" s="11" t="n"/>
      <c r="L1099" s="11" t="n"/>
      <c r="M1099" s="11" t="n"/>
      <c r="N1099" s="11" t="n"/>
      <c r="O1099" s="12" t="n"/>
    </row>
    <row r="1100">
      <c r="A1100" s="11" t="n"/>
      <c r="B1100" s="11" t="n"/>
      <c r="C1100" s="11" t="n"/>
      <c r="D1100" s="11" t="n"/>
      <c r="E1100" s="11" t="n"/>
      <c r="F1100" s="11" t="n"/>
      <c r="G1100" s="11" t="n"/>
      <c r="H1100" s="11" t="n"/>
      <c r="I1100" s="11" t="n"/>
      <c r="J1100" s="11" t="n"/>
      <c r="K1100" s="11" t="n"/>
      <c r="L1100" s="11" t="n"/>
      <c r="M1100" s="11" t="n"/>
      <c r="N1100" s="11" t="n"/>
      <c r="O1100" s="12" t="n"/>
    </row>
    <row r="1101">
      <c r="A1101" s="11" t="n"/>
      <c r="B1101" s="11" t="n"/>
      <c r="C1101" s="11" t="n"/>
      <c r="D1101" s="11" t="n"/>
      <c r="E1101" s="11" t="n"/>
      <c r="F1101" s="11" t="n"/>
      <c r="G1101" s="11" t="n"/>
      <c r="H1101" s="11" t="n"/>
      <c r="I1101" s="11" t="n"/>
      <c r="J1101" s="11" t="n"/>
      <c r="K1101" s="11" t="n"/>
      <c r="L1101" s="11" t="n"/>
      <c r="M1101" s="11" t="n"/>
      <c r="N1101" s="11" t="n"/>
      <c r="O1101" s="12" t="n"/>
    </row>
    <row r="1102">
      <c r="A1102" s="11" t="n"/>
      <c r="B1102" s="11" t="n"/>
      <c r="C1102" s="11" t="n"/>
      <c r="D1102" s="11" t="n"/>
      <c r="E1102" s="11" t="n"/>
      <c r="F1102" s="11" t="n"/>
      <c r="G1102" s="11" t="n"/>
      <c r="H1102" s="11" t="n"/>
      <c r="I1102" s="11" t="n"/>
      <c r="J1102" s="11" t="n"/>
      <c r="K1102" s="11" t="n"/>
      <c r="L1102" s="11" t="n"/>
      <c r="M1102" s="11" t="n"/>
      <c r="N1102" s="11" t="n"/>
      <c r="O1102" s="12" t="n"/>
    </row>
    <row r="1103">
      <c r="A1103" s="11" t="n"/>
      <c r="B1103" s="11" t="n"/>
      <c r="C1103" s="11" t="n"/>
      <c r="D1103" s="11" t="n"/>
      <c r="E1103" s="11" t="n"/>
      <c r="F1103" s="11" t="n"/>
      <c r="G1103" s="11" t="n"/>
      <c r="H1103" s="11" t="n"/>
      <c r="I1103" s="11" t="n"/>
      <c r="J1103" s="11" t="n"/>
      <c r="K1103" s="11" t="n"/>
      <c r="L1103" s="11" t="n"/>
      <c r="M1103" s="11" t="n"/>
      <c r="N1103" s="11" t="n"/>
      <c r="O1103" s="12" t="n"/>
    </row>
    <row r="1104">
      <c r="A1104" s="11" t="n"/>
      <c r="B1104" s="11" t="n"/>
      <c r="C1104" s="11" t="n"/>
      <c r="D1104" s="11" t="n"/>
      <c r="E1104" s="11" t="n"/>
      <c r="F1104" s="11" t="n"/>
      <c r="G1104" s="11" t="n"/>
      <c r="H1104" s="11" t="n"/>
      <c r="I1104" s="11" t="n"/>
      <c r="J1104" s="11" t="n"/>
      <c r="K1104" s="11" t="n"/>
      <c r="L1104" s="11" t="n"/>
      <c r="M1104" s="11" t="n"/>
      <c r="N1104" s="11" t="n"/>
      <c r="O1104" s="12" t="n"/>
    </row>
    <row r="1105">
      <c r="A1105" s="11" t="n"/>
      <c r="B1105" s="11" t="n"/>
      <c r="C1105" s="11" t="n"/>
      <c r="D1105" s="11" t="n"/>
      <c r="E1105" s="11" t="n"/>
      <c r="F1105" s="11" t="n"/>
      <c r="G1105" s="11" t="n"/>
      <c r="H1105" s="11" t="n"/>
      <c r="I1105" s="11" t="n"/>
      <c r="J1105" s="11" t="n"/>
      <c r="K1105" s="11" t="n"/>
      <c r="L1105" s="11" t="n"/>
      <c r="M1105" s="11" t="n"/>
      <c r="N1105" s="11" t="n"/>
      <c r="O1105" s="12" t="n"/>
    </row>
    <row r="1106">
      <c r="A1106" s="11" t="n"/>
      <c r="B1106" s="11" t="n"/>
      <c r="C1106" s="11" t="n"/>
      <c r="D1106" s="11" t="n"/>
      <c r="E1106" s="11" t="n"/>
      <c r="F1106" s="11" t="n"/>
      <c r="G1106" s="11" t="n"/>
      <c r="H1106" s="11" t="n"/>
      <c r="I1106" s="11" t="n"/>
      <c r="J1106" s="11" t="n"/>
      <c r="K1106" s="11" t="n"/>
      <c r="L1106" s="11" t="n"/>
      <c r="M1106" s="11" t="n"/>
      <c r="N1106" s="11" t="n"/>
      <c r="O1106" s="12" t="n"/>
    </row>
    <row r="1107">
      <c r="A1107" s="11" t="n"/>
      <c r="B1107" s="11" t="n"/>
      <c r="C1107" s="11" t="n"/>
      <c r="D1107" s="11" t="n"/>
      <c r="E1107" s="11" t="n"/>
      <c r="F1107" s="11" t="n"/>
      <c r="G1107" s="11" t="n"/>
      <c r="H1107" s="11" t="n"/>
      <c r="I1107" s="11" t="n"/>
      <c r="J1107" s="11" t="n"/>
      <c r="K1107" s="11" t="n"/>
      <c r="L1107" s="11" t="n"/>
      <c r="M1107" s="11" t="n"/>
      <c r="N1107" s="11" t="n"/>
      <c r="O1107" s="12" t="n"/>
    </row>
    <row r="1108">
      <c r="A1108" s="11" t="n"/>
      <c r="B1108" s="11" t="n"/>
      <c r="C1108" s="11" t="n"/>
      <c r="D1108" s="11" t="n"/>
      <c r="E1108" s="11" t="n"/>
      <c r="F1108" s="11" t="n"/>
      <c r="G1108" s="11" t="n"/>
      <c r="H1108" s="11" t="n"/>
      <c r="I1108" s="11" t="n"/>
      <c r="J1108" s="11" t="n"/>
      <c r="K1108" s="11" t="n"/>
      <c r="L1108" s="11" t="n"/>
      <c r="M1108" s="11" t="n"/>
      <c r="N1108" s="11" t="n"/>
      <c r="O1108" s="12" t="n"/>
    </row>
    <row r="1109">
      <c r="A1109" s="11" t="n"/>
      <c r="B1109" s="11" t="n"/>
      <c r="C1109" s="11" t="n"/>
      <c r="D1109" s="11" t="n"/>
      <c r="E1109" s="11" t="n"/>
      <c r="F1109" s="11" t="n"/>
      <c r="G1109" s="11" t="n"/>
      <c r="H1109" s="11" t="n"/>
      <c r="I1109" s="11" t="n"/>
      <c r="J1109" s="11" t="n"/>
      <c r="K1109" s="11" t="n"/>
      <c r="L1109" s="11" t="n"/>
      <c r="M1109" s="11" t="n"/>
      <c r="N1109" s="11" t="n"/>
      <c r="O1109" s="12" t="n"/>
    </row>
    <row r="1110">
      <c r="A1110" s="11" t="n"/>
      <c r="B1110" s="11" t="n"/>
      <c r="C1110" s="11" t="n"/>
      <c r="D1110" s="11" t="n"/>
      <c r="E1110" s="11" t="n"/>
      <c r="F1110" s="11" t="n"/>
      <c r="G1110" s="11" t="n"/>
      <c r="H1110" s="11" t="n"/>
      <c r="I1110" s="11" t="n"/>
      <c r="J1110" s="11" t="n"/>
      <c r="K1110" s="11" t="n"/>
      <c r="L1110" s="11" t="n"/>
      <c r="M1110" s="11" t="n"/>
      <c r="N1110" s="11" t="n"/>
      <c r="O1110" s="12" t="n"/>
    </row>
    <row r="1111">
      <c r="A1111" s="11" t="n"/>
      <c r="B1111" s="11" t="n"/>
      <c r="C1111" s="11" t="n"/>
      <c r="D1111" s="11" t="n"/>
      <c r="E1111" s="11" t="n"/>
      <c r="F1111" s="11" t="n"/>
      <c r="G1111" s="11" t="n"/>
      <c r="H1111" s="11" t="n"/>
      <c r="I1111" s="11" t="n"/>
      <c r="J1111" s="11" t="n"/>
      <c r="K1111" s="11" t="n"/>
      <c r="L1111" s="11" t="n"/>
      <c r="M1111" s="11" t="n"/>
      <c r="N1111" s="11" t="n"/>
      <c r="O1111" s="12" t="n"/>
    </row>
    <row r="1112">
      <c r="A1112" s="11" t="n"/>
      <c r="B1112" s="11" t="n"/>
      <c r="C1112" s="11" t="n"/>
      <c r="D1112" s="11" t="n"/>
      <c r="E1112" s="11" t="n"/>
      <c r="F1112" s="11" t="n"/>
      <c r="G1112" s="11" t="n"/>
      <c r="H1112" s="11" t="n"/>
      <c r="I1112" s="11" t="n"/>
      <c r="J1112" s="11" t="n"/>
      <c r="K1112" s="11" t="n"/>
      <c r="L1112" s="11" t="n"/>
      <c r="M1112" s="11" t="n"/>
      <c r="N1112" s="11" t="n"/>
      <c r="O1112" s="12" t="n"/>
    </row>
    <row r="1113">
      <c r="A1113" s="11" t="n"/>
      <c r="B1113" s="11" t="n"/>
      <c r="C1113" s="11" t="n"/>
      <c r="D1113" s="11" t="n"/>
      <c r="E1113" s="11" t="n"/>
      <c r="F1113" s="11" t="n"/>
      <c r="G1113" s="11" t="n"/>
      <c r="H1113" s="11" t="n"/>
      <c r="I1113" s="11" t="n"/>
      <c r="J1113" s="11" t="n"/>
      <c r="K1113" s="11" t="n"/>
      <c r="L1113" s="11" t="n"/>
      <c r="M1113" s="11" t="n"/>
      <c r="N1113" s="11" t="n"/>
      <c r="O1113" s="12" t="n"/>
    </row>
    <row r="1114">
      <c r="A1114" s="11" t="n"/>
      <c r="B1114" s="11" t="n"/>
      <c r="C1114" s="11" t="n"/>
      <c r="D1114" s="11" t="n"/>
      <c r="E1114" s="11" t="n"/>
      <c r="F1114" s="11" t="n"/>
      <c r="G1114" s="11" t="n"/>
      <c r="H1114" s="11" t="n"/>
      <c r="I1114" s="11" t="n"/>
      <c r="J1114" s="11" t="n"/>
      <c r="K1114" s="11" t="n"/>
      <c r="L1114" s="11" t="n"/>
      <c r="M1114" s="11" t="n"/>
      <c r="N1114" s="11" t="n"/>
      <c r="O1114" s="12" t="n"/>
    </row>
    <row r="1115">
      <c r="A1115" s="11" t="n"/>
      <c r="B1115" s="11" t="n"/>
      <c r="C1115" s="11" t="n"/>
      <c r="D1115" s="11" t="n"/>
      <c r="E1115" s="11" t="n"/>
      <c r="F1115" s="11" t="n"/>
      <c r="G1115" s="11" t="n"/>
      <c r="H1115" s="11" t="n"/>
      <c r="I1115" s="11" t="n"/>
      <c r="J1115" s="11" t="n"/>
      <c r="K1115" s="11" t="n"/>
      <c r="L1115" s="11" t="n"/>
      <c r="M1115" s="11" t="n"/>
      <c r="N1115" s="11" t="n"/>
      <c r="O1115" s="12" t="n"/>
    </row>
    <row r="1116">
      <c r="A1116" s="11" t="n"/>
      <c r="B1116" s="11" t="n"/>
      <c r="C1116" s="11" t="n"/>
      <c r="D1116" s="11" t="n"/>
      <c r="E1116" s="11" t="n"/>
      <c r="F1116" s="11" t="n"/>
      <c r="G1116" s="11" t="n"/>
      <c r="H1116" s="11" t="n"/>
      <c r="I1116" s="11" t="n"/>
      <c r="J1116" s="11" t="n"/>
      <c r="K1116" s="11" t="n"/>
      <c r="L1116" s="11" t="n"/>
      <c r="M1116" s="11" t="n"/>
      <c r="N1116" s="11" t="n"/>
      <c r="O1116" s="12" t="n"/>
    </row>
    <row r="1117">
      <c r="A1117" s="11" t="n"/>
      <c r="B1117" s="11" t="n"/>
      <c r="C1117" s="11" t="n"/>
      <c r="D1117" s="11" t="n"/>
      <c r="E1117" s="11" t="n"/>
      <c r="F1117" s="11" t="n"/>
      <c r="G1117" s="11" t="n"/>
      <c r="H1117" s="11" t="n"/>
      <c r="I1117" s="11" t="n"/>
      <c r="J1117" s="11" t="n"/>
      <c r="K1117" s="11" t="n"/>
      <c r="L1117" s="11" t="n"/>
      <c r="M1117" s="11" t="n"/>
      <c r="N1117" s="11" t="n"/>
      <c r="O1117" s="12" t="n"/>
    </row>
    <row r="1118">
      <c r="A1118" s="11" t="n"/>
      <c r="B1118" s="11" t="n"/>
      <c r="C1118" s="11" t="n"/>
      <c r="D1118" s="11" t="n"/>
      <c r="E1118" s="11" t="n"/>
      <c r="F1118" s="11" t="n"/>
      <c r="G1118" s="11" t="n"/>
      <c r="H1118" s="11" t="n"/>
      <c r="I1118" s="11" t="n"/>
      <c r="J1118" s="11" t="n"/>
      <c r="K1118" s="11" t="n"/>
      <c r="L1118" s="11" t="n"/>
      <c r="M1118" s="11" t="n"/>
      <c r="N1118" s="11" t="n"/>
      <c r="O1118" s="12" t="n"/>
    </row>
    <row r="1119">
      <c r="A1119" s="11" t="n"/>
      <c r="B1119" s="11" t="n"/>
      <c r="C1119" s="11" t="n"/>
      <c r="D1119" s="11" t="n"/>
      <c r="E1119" s="11" t="n"/>
      <c r="F1119" s="11" t="n"/>
      <c r="G1119" s="11" t="n"/>
      <c r="H1119" s="11" t="n"/>
      <c r="I1119" s="11" t="n"/>
      <c r="J1119" s="11" t="n"/>
      <c r="K1119" s="11" t="n"/>
      <c r="L1119" s="11" t="n"/>
      <c r="M1119" s="11" t="n"/>
      <c r="N1119" s="11" t="n"/>
      <c r="O1119" s="12" t="n"/>
    </row>
    <row r="1120">
      <c r="A1120" s="11" t="n"/>
      <c r="B1120" s="11" t="n"/>
      <c r="C1120" s="11" t="n"/>
      <c r="D1120" s="11" t="n"/>
      <c r="E1120" s="11" t="n"/>
      <c r="F1120" s="11" t="n"/>
      <c r="G1120" s="11" t="n"/>
      <c r="H1120" s="11" t="n"/>
      <c r="I1120" s="11" t="n"/>
      <c r="J1120" s="11" t="n"/>
      <c r="K1120" s="11" t="n"/>
      <c r="L1120" s="11" t="n"/>
      <c r="M1120" s="11" t="n"/>
      <c r="N1120" s="11" t="n"/>
      <c r="O1120" s="12" t="n"/>
    </row>
    <row r="1121">
      <c r="A1121" s="11" t="n"/>
      <c r="B1121" s="11" t="n"/>
      <c r="C1121" s="11" t="n"/>
      <c r="D1121" s="11" t="n"/>
      <c r="E1121" s="11" t="n"/>
      <c r="F1121" s="11" t="n"/>
      <c r="G1121" s="11" t="n"/>
      <c r="H1121" s="11" t="n"/>
      <c r="I1121" s="11" t="n"/>
      <c r="J1121" s="11" t="n"/>
      <c r="K1121" s="11" t="n"/>
      <c r="L1121" s="11" t="n"/>
      <c r="M1121" s="11" t="n"/>
      <c r="N1121" s="11" t="n"/>
      <c r="O1121" s="12" t="n"/>
    </row>
    <row r="1122">
      <c r="A1122" s="11" t="n"/>
      <c r="B1122" s="11" t="n"/>
      <c r="C1122" s="11" t="n"/>
      <c r="D1122" s="11" t="n"/>
      <c r="E1122" s="11" t="n"/>
      <c r="F1122" s="11" t="n"/>
      <c r="G1122" s="11" t="n"/>
      <c r="H1122" s="11" t="n"/>
      <c r="I1122" s="11" t="n"/>
      <c r="J1122" s="11" t="n"/>
      <c r="K1122" s="11" t="n"/>
      <c r="L1122" s="11" t="n"/>
      <c r="M1122" s="11" t="n"/>
      <c r="N1122" s="11" t="n"/>
      <c r="O1122" s="12" t="n"/>
    </row>
    <row r="1123">
      <c r="A1123" s="11" t="n"/>
      <c r="B1123" s="11" t="n"/>
      <c r="C1123" s="11" t="n"/>
      <c r="D1123" s="11" t="n"/>
      <c r="E1123" s="11" t="n"/>
      <c r="F1123" s="11" t="n"/>
      <c r="G1123" s="11" t="n"/>
      <c r="H1123" s="11" t="n"/>
      <c r="I1123" s="11" t="n"/>
      <c r="J1123" s="11" t="n"/>
      <c r="K1123" s="11" t="n"/>
      <c r="L1123" s="11" t="n"/>
      <c r="M1123" s="11" t="n"/>
      <c r="N1123" s="11" t="n"/>
      <c r="O1123" s="12" t="n"/>
    </row>
    <row r="1124">
      <c r="A1124" s="11" t="n"/>
      <c r="B1124" s="11" t="n"/>
      <c r="C1124" s="11" t="n"/>
      <c r="D1124" s="11" t="n"/>
      <c r="E1124" s="11" t="n"/>
      <c r="F1124" s="11" t="n"/>
      <c r="G1124" s="11" t="n"/>
      <c r="H1124" s="11" t="n"/>
      <c r="I1124" s="11" t="n"/>
      <c r="J1124" s="11" t="n"/>
      <c r="K1124" s="11" t="n"/>
      <c r="L1124" s="11" t="n"/>
      <c r="M1124" s="11" t="n"/>
      <c r="N1124" s="11" t="n"/>
      <c r="O1124" s="12" t="n"/>
    </row>
    <row r="1125">
      <c r="A1125" s="11" t="n"/>
      <c r="B1125" s="11" t="n"/>
      <c r="C1125" s="11" t="n"/>
      <c r="D1125" s="11" t="n"/>
      <c r="E1125" s="11" t="n"/>
      <c r="F1125" s="11" t="n"/>
      <c r="G1125" s="11" t="n"/>
      <c r="H1125" s="11" t="n"/>
      <c r="I1125" s="11" t="n"/>
      <c r="J1125" s="11" t="n"/>
      <c r="K1125" s="11" t="n"/>
      <c r="L1125" s="11" t="n"/>
      <c r="M1125" s="11" t="n"/>
      <c r="N1125" s="11" t="n"/>
      <c r="O1125" s="12" t="n"/>
    </row>
    <row r="1126">
      <c r="A1126" s="11" t="n"/>
      <c r="B1126" s="11" t="n"/>
      <c r="C1126" s="11" t="n"/>
      <c r="D1126" s="11" t="n"/>
      <c r="E1126" s="11" t="n"/>
      <c r="F1126" s="11" t="n"/>
      <c r="G1126" s="11" t="n"/>
      <c r="H1126" s="11" t="n"/>
      <c r="I1126" s="11" t="n"/>
      <c r="J1126" s="11" t="n"/>
      <c r="K1126" s="11" t="n"/>
      <c r="L1126" s="11" t="n"/>
      <c r="M1126" s="11" t="n"/>
      <c r="N1126" s="11" t="n"/>
      <c r="O1126" s="12" t="n"/>
    </row>
    <row r="1127">
      <c r="A1127" s="11" t="n"/>
      <c r="B1127" s="11" t="n"/>
      <c r="C1127" s="11" t="n"/>
      <c r="D1127" s="11" t="n"/>
      <c r="E1127" s="11" t="n"/>
      <c r="F1127" s="11" t="n"/>
      <c r="G1127" s="11" t="n"/>
      <c r="H1127" s="11" t="n"/>
      <c r="I1127" s="11" t="n"/>
      <c r="J1127" s="11" t="n"/>
      <c r="K1127" s="11" t="n"/>
      <c r="L1127" s="11" t="n"/>
      <c r="M1127" s="11" t="n"/>
      <c r="N1127" s="11" t="n"/>
      <c r="O1127" s="12" t="n"/>
    </row>
    <row r="1128">
      <c r="A1128" s="11" t="n"/>
      <c r="B1128" s="11" t="n"/>
      <c r="C1128" s="11" t="n"/>
      <c r="D1128" s="11" t="n"/>
      <c r="E1128" s="11" t="n"/>
      <c r="F1128" s="11" t="n"/>
      <c r="G1128" s="11" t="n"/>
      <c r="H1128" s="11" t="n"/>
      <c r="I1128" s="11" t="n"/>
      <c r="J1128" s="11" t="n"/>
      <c r="K1128" s="11" t="n"/>
      <c r="L1128" s="11" t="n"/>
      <c r="M1128" s="11" t="n"/>
      <c r="N1128" s="11" t="n"/>
      <c r="O1128" s="12" t="n"/>
    </row>
    <row r="1129">
      <c r="A1129" s="11" t="n"/>
      <c r="B1129" s="11" t="n"/>
      <c r="C1129" s="11" t="n"/>
      <c r="D1129" s="11" t="n"/>
      <c r="E1129" s="11" t="n"/>
      <c r="F1129" s="11" t="n"/>
      <c r="G1129" s="11" t="n"/>
      <c r="H1129" s="11" t="n"/>
      <c r="I1129" s="11" t="n"/>
      <c r="J1129" s="11" t="n"/>
      <c r="K1129" s="11" t="n"/>
      <c r="L1129" s="11" t="n"/>
      <c r="M1129" s="11" t="n"/>
      <c r="N1129" s="11" t="n"/>
      <c r="O1129" s="12" t="n"/>
    </row>
    <row r="1130">
      <c r="A1130" s="11" t="n"/>
      <c r="B1130" s="11" t="n"/>
      <c r="C1130" s="11" t="n"/>
      <c r="D1130" s="11" t="n"/>
      <c r="E1130" s="11" t="n"/>
      <c r="F1130" s="11" t="n"/>
      <c r="G1130" s="11" t="n"/>
      <c r="H1130" s="11" t="n"/>
      <c r="I1130" s="11" t="n"/>
      <c r="J1130" s="11" t="n"/>
      <c r="K1130" s="11" t="n"/>
      <c r="L1130" s="11" t="n"/>
      <c r="M1130" s="11" t="n"/>
      <c r="N1130" s="11" t="n"/>
      <c r="O1130" s="12" t="n"/>
    </row>
    <row r="1131">
      <c r="A1131" s="11" t="n"/>
      <c r="B1131" s="11" t="n"/>
      <c r="C1131" s="11" t="n"/>
      <c r="D1131" s="11" t="n"/>
      <c r="E1131" s="11" t="n"/>
      <c r="F1131" s="11" t="n"/>
      <c r="G1131" s="11" t="n"/>
      <c r="H1131" s="11" t="n"/>
      <c r="I1131" s="11" t="n"/>
      <c r="J1131" s="11" t="n"/>
      <c r="K1131" s="11" t="n"/>
      <c r="L1131" s="11" t="n"/>
      <c r="M1131" s="11" t="n"/>
      <c r="N1131" s="11" t="n"/>
      <c r="O1131" s="12" t="n"/>
    </row>
    <row r="1132">
      <c r="A1132" s="11" t="n"/>
      <c r="B1132" s="11" t="n"/>
      <c r="C1132" s="11" t="n"/>
      <c r="D1132" s="11" t="n"/>
      <c r="E1132" s="11" t="n"/>
      <c r="F1132" s="11" t="n"/>
      <c r="G1132" s="11" t="n"/>
      <c r="H1132" s="11" t="n"/>
      <c r="I1132" s="11" t="n"/>
      <c r="J1132" s="11" t="n"/>
      <c r="K1132" s="11" t="n"/>
      <c r="L1132" s="11" t="n"/>
      <c r="M1132" s="11" t="n"/>
      <c r="N1132" s="11" t="n"/>
      <c r="O1132" s="12" t="n"/>
    </row>
    <row r="1133">
      <c r="A1133" s="11" t="n"/>
      <c r="B1133" s="11" t="n"/>
      <c r="C1133" s="11" t="n"/>
      <c r="D1133" s="11" t="n"/>
      <c r="E1133" s="11" t="n"/>
      <c r="F1133" s="11" t="n"/>
      <c r="G1133" s="11" t="n"/>
      <c r="H1133" s="11" t="n"/>
      <c r="I1133" s="11" t="n"/>
      <c r="J1133" s="11" t="n"/>
      <c r="K1133" s="11" t="n"/>
      <c r="L1133" s="11" t="n"/>
      <c r="M1133" s="11" t="n"/>
      <c r="N1133" s="11" t="n"/>
      <c r="O1133" s="12" t="n"/>
    </row>
    <row r="1134">
      <c r="A1134" s="11" t="n"/>
      <c r="B1134" s="11" t="n"/>
      <c r="C1134" s="11" t="n"/>
      <c r="D1134" s="11" t="n"/>
      <c r="E1134" s="11" t="n"/>
      <c r="F1134" s="11" t="n"/>
      <c r="G1134" s="11" t="n"/>
      <c r="H1134" s="11" t="n"/>
      <c r="I1134" s="11" t="n"/>
      <c r="J1134" s="11" t="n"/>
      <c r="K1134" s="11" t="n"/>
      <c r="L1134" s="11" t="n"/>
      <c r="M1134" s="11" t="n"/>
      <c r="N1134" s="11" t="n"/>
      <c r="O1134" s="12" t="n"/>
    </row>
    <row r="1135">
      <c r="A1135" s="11" t="n"/>
      <c r="B1135" s="11" t="n"/>
      <c r="C1135" s="11" t="n"/>
      <c r="D1135" s="11" t="n"/>
      <c r="E1135" s="11" t="n"/>
      <c r="F1135" s="11" t="n"/>
      <c r="G1135" s="11" t="n"/>
      <c r="H1135" s="11" t="n"/>
      <c r="I1135" s="11" t="n"/>
      <c r="J1135" s="11" t="n"/>
      <c r="K1135" s="11" t="n"/>
      <c r="L1135" s="11" t="n"/>
      <c r="M1135" s="11" t="n"/>
      <c r="N1135" s="11" t="n"/>
      <c r="O1135" s="12" t="n"/>
    </row>
    <row r="1136">
      <c r="A1136" s="11" t="n"/>
      <c r="B1136" s="11" t="n"/>
      <c r="C1136" s="11" t="n"/>
      <c r="D1136" s="11" t="n"/>
      <c r="E1136" s="11" t="n"/>
      <c r="F1136" s="11" t="n"/>
      <c r="G1136" s="11" t="n"/>
      <c r="H1136" s="11" t="n"/>
      <c r="I1136" s="11" t="n"/>
      <c r="J1136" s="11" t="n"/>
      <c r="K1136" s="11" t="n"/>
      <c r="L1136" s="11" t="n"/>
      <c r="M1136" s="11" t="n"/>
      <c r="N1136" s="11" t="n"/>
      <c r="O1136" s="12" t="n"/>
    </row>
    <row r="1137">
      <c r="A1137" s="11" t="n"/>
      <c r="B1137" s="11" t="n"/>
      <c r="C1137" s="11" t="n"/>
      <c r="D1137" s="11" t="n"/>
      <c r="E1137" s="11" t="n"/>
      <c r="F1137" s="11" t="n"/>
      <c r="G1137" s="11" t="n"/>
      <c r="H1137" s="11" t="n"/>
      <c r="I1137" s="11" t="n"/>
      <c r="J1137" s="11" t="n"/>
      <c r="K1137" s="11" t="n"/>
      <c r="L1137" s="11" t="n"/>
      <c r="M1137" s="11" t="n"/>
      <c r="N1137" s="11" t="n"/>
      <c r="O1137" s="12" t="n"/>
    </row>
    <row r="1138">
      <c r="A1138" s="11" t="n"/>
      <c r="B1138" s="11" t="n"/>
      <c r="C1138" s="11" t="n"/>
      <c r="D1138" s="11" t="n"/>
      <c r="E1138" s="11" t="n"/>
      <c r="F1138" s="11" t="n"/>
      <c r="G1138" s="11" t="n"/>
      <c r="H1138" s="11" t="n"/>
      <c r="I1138" s="11" t="n"/>
      <c r="J1138" s="11" t="n"/>
      <c r="K1138" s="11" t="n"/>
      <c r="L1138" s="11" t="n"/>
      <c r="M1138" s="11" t="n"/>
      <c r="N1138" s="11" t="n"/>
      <c r="O1138" s="12" t="n"/>
    </row>
    <row r="1139">
      <c r="A1139" s="11" t="n"/>
      <c r="B1139" s="11" t="n"/>
      <c r="C1139" s="11" t="n"/>
      <c r="D1139" s="11" t="n"/>
      <c r="E1139" s="11" t="n"/>
      <c r="F1139" s="11" t="n"/>
      <c r="G1139" s="11" t="n"/>
      <c r="H1139" s="11" t="n"/>
      <c r="I1139" s="11" t="n"/>
      <c r="J1139" s="11" t="n"/>
      <c r="K1139" s="11" t="n"/>
      <c r="L1139" s="11" t="n"/>
      <c r="M1139" s="11" t="n"/>
      <c r="N1139" s="11" t="n"/>
      <c r="O1139" s="12" t="n"/>
    </row>
    <row r="1140">
      <c r="A1140" s="11" t="n"/>
      <c r="B1140" s="11" t="n"/>
      <c r="C1140" s="11" t="n"/>
      <c r="D1140" s="11" t="n"/>
      <c r="E1140" s="11" t="n"/>
      <c r="F1140" s="11" t="n"/>
      <c r="G1140" s="11" t="n"/>
      <c r="H1140" s="11" t="n"/>
      <c r="I1140" s="11" t="n"/>
      <c r="J1140" s="11" t="n"/>
      <c r="K1140" s="11" t="n"/>
      <c r="L1140" s="11" t="n"/>
      <c r="M1140" s="11" t="n"/>
      <c r="N1140" s="11" t="n"/>
      <c r="O1140" s="12" t="n"/>
    </row>
    <row r="1141">
      <c r="A1141" s="11" t="n"/>
      <c r="B1141" s="11" t="n"/>
      <c r="C1141" s="11" t="n"/>
      <c r="D1141" s="11" t="n"/>
      <c r="E1141" s="11" t="n"/>
      <c r="F1141" s="11" t="n"/>
      <c r="G1141" s="11" t="n"/>
      <c r="H1141" s="11" t="n"/>
      <c r="I1141" s="11" t="n"/>
      <c r="J1141" s="11" t="n"/>
      <c r="K1141" s="11" t="n"/>
      <c r="L1141" s="11" t="n"/>
      <c r="M1141" s="11" t="n"/>
      <c r="N1141" s="11" t="n"/>
      <c r="O1141" s="12" t="n"/>
    </row>
    <row r="1142">
      <c r="A1142" s="11" t="n"/>
      <c r="B1142" s="11" t="n"/>
      <c r="C1142" s="11" t="n"/>
      <c r="D1142" s="11" t="n"/>
      <c r="E1142" s="11" t="n"/>
      <c r="F1142" s="11" t="n"/>
      <c r="G1142" s="11" t="n"/>
      <c r="H1142" s="11" t="n"/>
      <c r="I1142" s="11" t="n"/>
      <c r="J1142" s="11" t="n"/>
      <c r="K1142" s="11" t="n"/>
      <c r="L1142" s="11" t="n"/>
      <c r="M1142" s="11" t="n"/>
      <c r="N1142" s="11" t="n"/>
      <c r="O1142" s="12" t="n"/>
    </row>
    <row r="1143">
      <c r="A1143" s="11" t="n"/>
      <c r="B1143" s="11" t="n"/>
      <c r="C1143" s="11" t="n"/>
      <c r="D1143" s="11" t="n"/>
      <c r="E1143" s="11" t="n"/>
      <c r="F1143" s="11" t="n"/>
      <c r="G1143" s="11" t="n"/>
      <c r="H1143" s="11" t="n"/>
      <c r="I1143" s="11" t="n"/>
      <c r="J1143" s="11" t="n"/>
      <c r="K1143" s="11" t="n"/>
      <c r="L1143" s="11" t="n"/>
      <c r="M1143" s="11" t="n"/>
      <c r="N1143" s="11" t="n"/>
      <c r="O1143" s="12" t="n"/>
    </row>
    <row r="1144">
      <c r="A1144" s="11" t="n"/>
      <c r="B1144" s="11" t="n"/>
      <c r="C1144" s="11" t="n"/>
      <c r="D1144" s="11" t="n"/>
      <c r="E1144" s="11" t="n"/>
      <c r="F1144" s="11" t="n"/>
      <c r="G1144" s="11" t="n"/>
      <c r="H1144" s="11" t="n"/>
      <c r="I1144" s="11" t="n"/>
      <c r="J1144" s="11" t="n"/>
      <c r="K1144" s="11" t="n"/>
      <c r="L1144" s="11" t="n"/>
      <c r="M1144" s="11" t="n"/>
      <c r="N1144" s="11" t="n"/>
      <c r="O1144" s="12" t="n"/>
    </row>
    <row r="1145">
      <c r="A1145" s="11" t="n"/>
      <c r="B1145" s="11" t="n"/>
      <c r="C1145" s="11" t="n"/>
      <c r="D1145" s="11" t="n"/>
      <c r="E1145" s="11" t="n"/>
      <c r="F1145" s="11" t="n"/>
      <c r="G1145" s="11" t="n"/>
      <c r="H1145" s="11" t="n"/>
      <c r="I1145" s="11" t="n"/>
      <c r="J1145" s="11" t="n"/>
      <c r="K1145" s="11" t="n"/>
      <c r="L1145" s="11" t="n"/>
      <c r="M1145" s="11" t="n"/>
      <c r="N1145" s="11" t="n"/>
      <c r="O1145" s="12" t="n"/>
    </row>
    <row r="1146">
      <c r="A1146" s="11" t="n"/>
      <c r="B1146" s="11" t="n"/>
      <c r="C1146" s="11" t="n"/>
      <c r="D1146" s="11" t="n"/>
      <c r="E1146" s="11" t="n"/>
      <c r="F1146" s="11" t="n"/>
      <c r="G1146" s="11" t="n"/>
      <c r="H1146" s="11" t="n"/>
      <c r="I1146" s="11" t="n"/>
      <c r="J1146" s="11" t="n"/>
      <c r="K1146" s="11" t="n"/>
      <c r="L1146" s="11" t="n"/>
      <c r="M1146" s="11" t="n"/>
      <c r="N1146" s="11" t="n"/>
      <c r="O1146" s="12" t="n"/>
    </row>
    <row r="1147">
      <c r="A1147" s="11" t="n"/>
      <c r="B1147" s="11" t="n"/>
      <c r="C1147" s="11" t="n"/>
      <c r="D1147" s="11" t="n"/>
      <c r="E1147" s="11" t="n"/>
      <c r="F1147" s="11" t="n"/>
      <c r="G1147" s="11" t="n"/>
      <c r="H1147" s="11" t="n"/>
      <c r="I1147" s="11" t="n"/>
      <c r="J1147" s="11" t="n"/>
      <c r="K1147" s="11" t="n"/>
      <c r="L1147" s="11" t="n"/>
      <c r="M1147" s="11" t="n"/>
      <c r="N1147" s="11" t="n"/>
      <c r="O1147" s="12" t="n"/>
    </row>
    <row r="1148">
      <c r="A1148" s="11" t="n"/>
      <c r="B1148" s="11" t="n"/>
      <c r="C1148" s="11" t="n"/>
      <c r="D1148" s="11" t="n"/>
      <c r="E1148" s="11" t="n"/>
      <c r="F1148" s="11" t="n"/>
      <c r="G1148" s="11" t="n"/>
      <c r="H1148" s="11" t="n"/>
      <c r="I1148" s="11" t="n"/>
      <c r="J1148" s="11" t="n"/>
      <c r="K1148" s="11" t="n"/>
      <c r="L1148" s="11" t="n"/>
      <c r="M1148" s="11" t="n"/>
      <c r="N1148" s="11" t="n"/>
      <c r="O1148" s="12" t="n"/>
    </row>
    <row r="1149">
      <c r="A1149" s="11" t="n"/>
      <c r="B1149" s="11" t="n"/>
      <c r="C1149" s="11" t="n"/>
      <c r="D1149" s="11" t="n"/>
      <c r="E1149" s="11" t="n"/>
      <c r="F1149" s="11" t="n"/>
      <c r="G1149" s="11" t="n"/>
      <c r="H1149" s="11" t="n"/>
      <c r="I1149" s="11" t="n"/>
      <c r="J1149" s="11" t="n"/>
      <c r="K1149" s="11" t="n"/>
      <c r="L1149" s="11" t="n"/>
      <c r="M1149" s="11" t="n"/>
      <c r="N1149" s="11" t="n"/>
      <c r="O1149" s="12" t="n"/>
    </row>
    <row r="1150">
      <c r="A1150" s="11" t="n"/>
      <c r="B1150" s="11" t="n"/>
      <c r="C1150" s="11" t="n"/>
      <c r="D1150" s="11" t="n"/>
      <c r="E1150" s="11" t="n"/>
      <c r="F1150" s="11" t="n"/>
      <c r="G1150" s="11" t="n"/>
      <c r="H1150" s="11" t="n"/>
      <c r="I1150" s="11" t="n"/>
      <c r="J1150" s="11" t="n"/>
      <c r="K1150" s="11" t="n"/>
      <c r="L1150" s="11" t="n"/>
      <c r="M1150" s="11" t="n"/>
      <c r="N1150" s="11" t="n"/>
      <c r="O1150" s="12" t="n"/>
    </row>
    <row r="1151">
      <c r="A1151" s="11" t="n"/>
      <c r="B1151" s="11" t="n"/>
      <c r="C1151" s="11" t="n"/>
      <c r="D1151" s="11" t="n"/>
      <c r="E1151" s="11" t="n"/>
      <c r="F1151" s="11" t="n"/>
      <c r="G1151" s="11" t="n"/>
      <c r="H1151" s="11" t="n"/>
      <c r="I1151" s="11" t="n"/>
      <c r="J1151" s="11" t="n"/>
      <c r="K1151" s="11" t="n"/>
      <c r="L1151" s="11" t="n"/>
      <c r="M1151" s="11" t="n"/>
      <c r="N1151" s="11" t="n"/>
      <c r="O1151" s="12" t="n"/>
    </row>
    <row r="1152">
      <c r="A1152" s="11" t="n"/>
      <c r="B1152" s="11" t="n"/>
      <c r="C1152" s="11" t="n"/>
      <c r="D1152" s="11" t="n"/>
      <c r="E1152" s="11" t="n"/>
      <c r="F1152" s="11" t="n"/>
      <c r="G1152" s="11" t="n"/>
      <c r="H1152" s="11" t="n"/>
      <c r="I1152" s="11" t="n"/>
      <c r="J1152" s="11" t="n"/>
      <c r="K1152" s="11" t="n"/>
      <c r="L1152" s="11" t="n"/>
      <c r="M1152" s="11" t="n"/>
      <c r="N1152" s="11" t="n"/>
      <c r="O1152" s="12" t="n"/>
    </row>
    <row r="1153">
      <c r="A1153" s="11" t="n"/>
      <c r="B1153" s="11" t="n"/>
      <c r="C1153" s="11" t="n"/>
      <c r="D1153" s="11" t="n"/>
      <c r="E1153" s="11" t="n"/>
      <c r="F1153" s="11" t="n"/>
      <c r="G1153" s="11" t="n"/>
      <c r="H1153" s="11" t="n"/>
      <c r="I1153" s="11" t="n"/>
      <c r="J1153" s="11" t="n"/>
      <c r="K1153" s="11" t="n"/>
      <c r="L1153" s="11" t="n"/>
      <c r="M1153" s="11" t="n"/>
      <c r="N1153" s="11" t="n"/>
      <c r="O1153" s="12" t="n"/>
    </row>
    <row r="1154">
      <c r="A1154" s="11" t="n"/>
      <c r="B1154" s="11" t="n"/>
      <c r="C1154" s="11" t="n"/>
      <c r="D1154" s="11" t="n"/>
      <c r="E1154" s="11" t="n"/>
      <c r="F1154" s="11" t="n"/>
      <c r="G1154" s="11" t="n"/>
      <c r="H1154" s="11" t="n"/>
      <c r="I1154" s="11" t="n"/>
      <c r="J1154" s="11" t="n"/>
      <c r="K1154" s="11" t="n"/>
      <c r="L1154" s="11" t="n"/>
      <c r="M1154" s="11" t="n"/>
      <c r="N1154" s="11" t="n"/>
      <c r="O1154" s="12" t="n"/>
    </row>
    <row r="1155">
      <c r="A1155" s="11" t="n"/>
      <c r="B1155" s="11" t="n"/>
      <c r="C1155" s="11" t="n"/>
      <c r="D1155" s="11" t="n"/>
      <c r="E1155" s="11" t="n"/>
      <c r="F1155" s="11" t="n"/>
      <c r="G1155" s="11" t="n"/>
      <c r="H1155" s="11" t="n"/>
      <c r="I1155" s="11" t="n"/>
      <c r="J1155" s="11" t="n"/>
      <c r="K1155" s="11" t="n"/>
      <c r="L1155" s="11" t="n"/>
      <c r="M1155" s="11" t="n"/>
      <c r="N1155" s="11" t="n"/>
      <c r="O1155" s="12" t="n"/>
    </row>
    <row r="1156">
      <c r="A1156" s="11" t="n"/>
      <c r="B1156" s="11" t="n"/>
      <c r="C1156" s="11" t="n"/>
      <c r="D1156" s="11" t="n"/>
      <c r="E1156" s="11" t="n"/>
      <c r="F1156" s="11" t="n"/>
      <c r="G1156" s="11" t="n"/>
      <c r="H1156" s="11" t="n"/>
      <c r="I1156" s="11" t="n"/>
      <c r="J1156" s="11" t="n"/>
      <c r="K1156" s="11" t="n"/>
      <c r="L1156" s="11" t="n"/>
      <c r="M1156" s="11" t="n"/>
      <c r="N1156" s="11" t="n"/>
      <c r="O1156" s="12" t="n"/>
    </row>
    <row r="1157">
      <c r="A1157" s="11" t="n"/>
      <c r="B1157" s="11" t="n"/>
      <c r="C1157" s="11" t="n"/>
      <c r="D1157" s="11" t="n"/>
      <c r="E1157" s="11" t="n"/>
      <c r="F1157" s="11" t="n"/>
      <c r="G1157" s="11" t="n"/>
      <c r="H1157" s="11" t="n"/>
      <c r="I1157" s="11" t="n"/>
      <c r="J1157" s="11" t="n"/>
      <c r="K1157" s="11" t="n"/>
      <c r="L1157" s="11" t="n"/>
      <c r="M1157" s="11" t="n"/>
      <c r="N1157" s="11" t="n"/>
      <c r="O1157" s="12" t="n"/>
    </row>
    <row r="1158">
      <c r="A1158" s="11" t="n"/>
      <c r="B1158" s="11" t="n"/>
      <c r="C1158" s="11" t="n"/>
      <c r="D1158" s="11" t="n"/>
      <c r="E1158" s="11" t="n"/>
      <c r="F1158" s="11" t="n"/>
      <c r="G1158" s="11" t="n"/>
      <c r="H1158" s="11" t="n"/>
      <c r="I1158" s="11" t="n"/>
      <c r="J1158" s="11" t="n"/>
      <c r="K1158" s="11" t="n"/>
      <c r="L1158" s="11" t="n"/>
      <c r="M1158" s="11" t="n"/>
      <c r="N1158" s="11" t="n"/>
      <c r="O1158" s="12" t="n"/>
    </row>
    <row r="1159">
      <c r="A1159" s="11" t="n"/>
      <c r="B1159" s="11" t="n"/>
      <c r="C1159" s="11" t="n"/>
      <c r="D1159" s="11" t="n"/>
      <c r="E1159" s="11" t="n"/>
      <c r="F1159" s="11" t="n"/>
      <c r="G1159" s="11" t="n"/>
      <c r="H1159" s="11" t="n"/>
      <c r="I1159" s="11" t="n"/>
      <c r="J1159" s="11" t="n"/>
      <c r="K1159" s="11" t="n"/>
      <c r="L1159" s="11" t="n"/>
      <c r="M1159" s="11" t="n"/>
      <c r="N1159" s="11" t="n"/>
      <c r="O1159" s="12" t="n"/>
    </row>
    <row r="1160">
      <c r="A1160" s="11" t="n"/>
      <c r="B1160" s="11" t="n"/>
      <c r="C1160" s="11" t="n"/>
      <c r="D1160" s="11" t="n"/>
      <c r="E1160" s="11" t="n"/>
      <c r="F1160" s="11" t="n"/>
      <c r="G1160" s="11" t="n"/>
      <c r="H1160" s="11" t="n"/>
      <c r="I1160" s="11" t="n"/>
      <c r="J1160" s="11" t="n"/>
      <c r="K1160" s="11" t="n"/>
      <c r="L1160" s="11" t="n"/>
      <c r="M1160" s="11" t="n"/>
      <c r="N1160" s="11" t="n"/>
      <c r="O1160" s="12" t="n"/>
    </row>
    <row r="1161">
      <c r="A1161" s="11" t="n"/>
      <c r="B1161" s="11" t="n"/>
      <c r="C1161" s="11" t="n"/>
      <c r="D1161" s="11" t="n"/>
      <c r="E1161" s="11" t="n"/>
      <c r="F1161" s="11" t="n"/>
      <c r="G1161" s="11" t="n"/>
      <c r="H1161" s="11" t="n"/>
      <c r="I1161" s="11" t="n"/>
      <c r="J1161" s="11" t="n"/>
      <c r="K1161" s="11" t="n"/>
      <c r="L1161" s="11" t="n"/>
      <c r="M1161" s="11" t="n"/>
      <c r="N1161" s="11" t="n"/>
      <c r="O1161" s="12" t="n"/>
    </row>
    <row r="1162">
      <c r="A1162" s="11" t="n"/>
      <c r="B1162" s="11" t="n"/>
      <c r="C1162" s="11" t="n"/>
      <c r="D1162" s="11" t="n"/>
      <c r="E1162" s="11" t="n"/>
      <c r="F1162" s="11" t="n"/>
      <c r="G1162" s="11" t="n"/>
      <c r="H1162" s="11" t="n"/>
      <c r="I1162" s="11" t="n"/>
      <c r="J1162" s="11" t="n"/>
      <c r="K1162" s="11" t="n"/>
      <c r="L1162" s="11" t="n"/>
      <c r="M1162" s="11" t="n"/>
      <c r="N1162" s="11" t="n"/>
      <c r="O1162" s="12" t="n"/>
    </row>
    <row r="1163">
      <c r="A1163" s="11" t="n"/>
      <c r="B1163" s="11" t="n"/>
      <c r="C1163" s="11" t="n"/>
      <c r="D1163" s="11" t="n"/>
      <c r="E1163" s="11" t="n"/>
      <c r="F1163" s="11" t="n"/>
      <c r="G1163" s="11" t="n"/>
      <c r="H1163" s="11" t="n"/>
      <c r="I1163" s="11" t="n"/>
      <c r="J1163" s="11" t="n"/>
      <c r="K1163" s="11" t="n"/>
      <c r="L1163" s="11" t="n"/>
      <c r="M1163" s="11" t="n"/>
      <c r="N1163" s="11" t="n"/>
      <c r="O1163" s="12" t="n"/>
    </row>
    <row r="1164">
      <c r="A1164" s="11" t="n"/>
      <c r="B1164" s="11" t="n"/>
      <c r="C1164" s="11" t="n"/>
      <c r="D1164" s="11" t="n"/>
      <c r="E1164" s="11" t="n"/>
      <c r="F1164" s="11" t="n"/>
      <c r="G1164" s="11" t="n"/>
      <c r="H1164" s="11" t="n"/>
      <c r="I1164" s="11" t="n"/>
      <c r="J1164" s="11" t="n"/>
      <c r="K1164" s="11" t="n"/>
      <c r="L1164" s="11" t="n"/>
      <c r="M1164" s="11" t="n"/>
      <c r="N1164" s="11" t="n"/>
      <c r="O1164" s="12" t="n"/>
    </row>
    <row r="1165">
      <c r="A1165" s="11" t="n"/>
      <c r="B1165" s="11" t="n"/>
      <c r="C1165" s="11" t="n"/>
      <c r="D1165" s="11" t="n"/>
      <c r="E1165" s="11" t="n"/>
      <c r="F1165" s="11" t="n"/>
      <c r="G1165" s="11" t="n"/>
      <c r="H1165" s="11" t="n"/>
      <c r="I1165" s="11" t="n"/>
      <c r="J1165" s="11" t="n"/>
      <c r="K1165" s="11" t="n"/>
      <c r="L1165" s="11" t="n"/>
      <c r="M1165" s="11" t="n"/>
      <c r="N1165" s="11" t="n"/>
      <c r="O1165" s="12" t="n"/>
    </row>
    <row r="1166">
      <c r="A1166" s="11" t="n"/>
      <c r="B1166" s="11" t="n"/>
      <c r="C1166" s="11" t="n"/>
      <c r="D1166" s="11" t="n"/>
      <c r="E1166" s="11" t="n"/>
      <c r="F1166" s="11" t="n"/>
      <c r="G1166" s="11" t="n"/>
      <c r="H1166" s="11" t="n"/>
      <c r="I1166" s="11" t="n"/>
      <c r="J1166" s="11" t="n"/>
      <c r="K1166" s="11" t="n"/>
      <c r="L1166" s="11" t="n"/>
      <c r="M1166" s="11" t="n"/>
      <c r="N1166" s="11" t="n"/>
      <c r="O1166" s="12" t="n"/>
    </row>
    <row r="1167">
      <c r="A1167" s="11" t="n"/>
      <c r="B1167" s="11" t="n"/>
      <c r="C1167" s="11" t="n"/>
      <c r="D1167" s="11" t="n"/>
      <c r="E1167" s="11" t="n"/>
      <c r="F1167" s="11" t="n"/>
      <c r="G1167" s="11" t="n"/>
      <c r="H1167" s="11" t="n"/>
      <c r="I1167" s="11" t="n"/>
      <c r="J1167" s="11" t="n"/>
      <c r="K1167" s="11" t="n"/>
      <c r="L1167" s="11" t="n"/>
      <c r="M1167" s="11" t="n"/>
      <c r="N1167" s="11" t="n"/>
      <c r="O1167" s="12" t="n"/>
    </row>
    <row r="1168">
      <c r="A1168" s="11" t="n"/>
      <c r="B1168" s="11" t="n"/>
      <c r="C1168" s="11" t="n"/>
      <c r="D1168" s="11" t="n"/>
      <c r="E1168" s="11" t="n"/>
      <c r="F1168" s="11" t="n"/>
      <c r="G1168" s="11" t="n"/>
      <c r="H1168" s="11" t="n"/>
      <c r="I1168" s="11" t="n"/>
      <c r="J1168" s="11" t="n"/>
      <c r="K1168" s="11" t="n"/>
      <c r="L1168" s="11" t="n"/>
      <c r="M1168" s="11" t="n"/>
      <c r="N1168" s="11" t="n"/>
      <c r="O1168" s="12" t="n"/>
    </row>
    <row r="1169">
      <c r="A1169" s="11" t="n"/>
      <c r="B1169" s="11" t="n"/>
      <c r="C1169" s="11" t="n"/>
      <c r="D1169" s="11" t="n"/>
      <c r="E1169" s="11" t="n"/>
      <c r="F1169" s="11" t="n"/>
      <c r="G1169" s="11" t="n"/>
      <c r="H1169" s="11" t="n"/>
      <c r="I1169" s="11" t="n"/>
      <c r="J1169" s="11" t="n"/>
      <c r="K1169" s="11" t="n"/>
      <c r="L1169" s="11" t="n"/>
      <c r="M1169" s="11" t="n"/>
      <c r="N1169" s="11" t="n"/>
      <c r="O1169" s="12" t="n"/>
    </row>
    <row r="1170">
      <c r="A1170" s="11" t="n"/>
      <c r="B1170" s="11" t="n"/>
      <c r="C1170" s="11" t="n"/>
      <c r="D1170" s="11" t="n"/>
      <c r="E1170" s="11" t="n"/>
      <c r="F1170" s="11" t="n"/>
      <c r="G1170" s="11" t="n"/>
      <c r="H1170" s="11" t="n"/>
      <c r="I1170" s="11" t="n"/>
      <c r="J1170" s="11" t="n"/>
      <c r="K1170" s="11" t="n"/>
      <c r="L1170" s="11" t="n"/>
      <c r="M1170" s="11" t="n"/>
      <c r="N1170" s="11" t="n"/>
      <c r="O1170" s="12" t="n"/>
    </row>
    <row r="1171">
      <c r="A1171" s="11" t="n"/>
      <c r="B1171" s="11" t="n"/>
      <c r="C1171" s="11" t="n"/>
      <c r="D1171" s="11" t="n"/>
      <c r="E1171" s="11" t="n"/>
      <c r="F1171" s="11" t="n"/>
      <c r="G1171" s="11" t="n"/>
      <c r="H1171" s="11" t="n"/>
      <c r="I1171" s="11" t="n"/>
      <c r="J1171" s="11" t="n"/>
      <c r="K1171" s="11" t="n"/>
      <c r="L1171" s="11" t="n"/>
      <c r="M1171" s="11" t="n"/>
      <c r="N1171" s="11" t="n"/>
      <c r="O1171" s="12" t="n"/>
    </row>
    <row r="1172">
      <c r="A1172" s="11" t="n"/>
      <c r="B1172" s="11" t="n"/>
      <c r="C1172" s="11" t="n"/>
      <c r="D1172" s="11" t="n"/>
      <c r="E1172" s="11" t="n"/>
      <c r="F1172" s="11" t="n"/>
      <c r="G1172" s="11" t="n"/>
      <c r="H1172" s="11" t="n"/>
      <c r="I1172" s="11" t="n"/>
      <c r="J1172" s="11" t="n"/>
      <c r="K1172" s="11" t="n"/>
      <c r="L1172" s="11" t="n"/>
      <c r="M1172" s="11" t="n"/>
      <c r="N1172" s="11" t="n"/>
      <c r="O1172" s="12" t="n"/>
    </row>
    <row r="1173">
      <c r="A1173" s="11" t="n"/>
      <c r="B1173" s="11" t="n"/>
      <c r="C1173" s="11" t="n"/>
      <c r="D1173" s="11" t="n"/>
      <c r="E1173" s="11" t="n"/>
      <c r="F1173" s="11" t="n"/>
      <c r="G1173" s="11" t="n"/>
      <c r="H1173" s="11" t="n"/>
      <c r="I1173" s="11" t="n"/>
      <c r="J1173" s="11" t="n"/>
      <c r="K1173" s="11" t="n"/>
      <c r="L1173" s="11" t="n"/>
      <c r="M1173" s="11" t="n"/>
      <c r="N1173" s="11" t="n"/>
      <c r="O1173" s="12" t="n"/>
    </row>
    <row r="1174">
      <c r="A1174" s="11" t="n"/>
      <c r="B1174" s="11" t="n"/>
      <c r="C1174" s="11" t="n"/>
      <c r="D1174" s="11" t="n"/>
      <c r="E1174" s="11" t="n"/>
      <c r="F1174" s="11" t="n"/>
      <c r="G1174" s="11" t="n"/>
      <c r="H1174" s="11" t="n"/>
      <c r="I1174" s="11" t="n"/>
      <c r="J1174" s="11" t="n"/>
      <c r="K1174" s="11" t="n"/>
      <c r="L1174" s="11" t="n"/>
      <c r="M1174" s="11" t="n"/>
      <c r="N1174" s="11" t="n"/>
      <c r="O1174" s="12" t="n"/>
    </row>
    <row r="1175">
      <c r="A1175" s="11" t="n"/>
      <c r="B1175" s="11" t="n"/>
      <c r="C1175" s="11" t="n"/>
      <c r="D1175" s="11" t="n"/>
      <c r="E1175" s="11" t="n"/>
      <c r="F1175" s="11" t="n"/>
      <c r="G1175" s="11" t="n"/>
      <c r="H1175" s="11" t="n"/>
      <c r="I1175" s="11" t="n"/>
      <c r="J1175" s="11" t="n"/>
      <c r="K1175" s="11" t="n"/>
      <c r="L1175" s="11" t="n"/>
      <c r="M1175" s="11" t="n"/>
      <c r="N1175" s="11" t="n"/>
      <c r="O1175" s="12" t="n"/>
    </row>
    <row r="1176">
      <c r="A1176" s="11" t="n"/>
      <c r="B1176" s="11" t="n"/>
      <c r="C1176" s="11" t="n"/>
      <c r="D1176" s="11" t="n"/>
      <c r="E1176" s="11" t="n"/>
      <c r="F1176" s="11" t="n"/>
      <c r="G1176" s="11" t="n"/>
      <c r="H1176" s="11" t="n"/>
      <c r="I1176" s="11" t="n"/>
      <c r="J1176" s="11" t="n"/>
      <c r="K1176" s="11" t="n"/>
      <c r="L1176" s="11" t="n"/>
      <c r="M1176" s="11" t="n"/>
      <c r="N1176" s="11" t="n"/>
      <c r="O1176" s="12" t="n"/>
    </row>
    <row r="1177">
      <c r="A1177" s="11" t="n"/>
      <c r="B1177" s="11" t="n"/>
      <c r="C1177" s="11" t="n"/>
      <c r="D1177" s="11" t="n"/>
      <c r="E1177" s="11" t="n"/>
      <c r="F1177" s="11" t="n"/>
      <c r="G1177" s="11" t="n"/>
      <c r="H1177" s="11" t="n"/>
      <c r="I1177" s="11" t="n"/>
      <c r="J1177" s="11" t="n"/>
      <c r="K1177" s="11" t="n"/>
      <c r="L1177" s="11" t="n"/>
      <c r="M1177" s="11" t="n"/>
      <c r="N1177" s="11" t="n"/>
      <c r="O1177" s="12" t="n"/>
    </row>
    <row r="1178">
      <c r="A1178" s="11" t="n"/>
      <c r="B1178" s="11" t="n"/>
      <c r="C1178" s="11" t="n"/>
      <c r="D1178" s="11" t="n"/>
      <c r="E1178" s="11" t="n"/>
      <c r="F1178" s="11" t="n"/>
      <c r="G1178" s="11" t="n"/>
      <c r="H1178" s="11" t="n"/>
      <c r="I1178" s="11" t="n"/>
      <c r="J1178" s="11" t="n"/>
      <c r="K1178" s="11" t="n"/>
      <c r="L1178" s="11" t="n"/>
      <c r="M1178" s="11" t="n"/>
      <c r="N1178" s="11" t="n"/>
      <c r="O1178" s="12" t="n"/>
    </row>
    <row r="1179">
      <c r="A1179" s="11" t="n"/>
      <c r="B1179" s="11" t="n"/>
      <c r="C1179" s="11" t="n"/>
      <c r="D1179" s="11" t="n"/>
      <c r="E1179" s="11" t="n"/>
      <c r="F1179" s="11" t="n"/>
      <c r="G1179" s="11" t="n"/>
      <c r="H1179" s="11" t="n"/>
      <c r="I1179" s="11" t="n"/>
      <c r="J1179" s="11" t="n"/>
      <c r="K1179" s="11" t="n"/>
      <c r="L1179" s="11" t="n"/>
      <c r="M1179" s="11" t="n"/>
      <c r="N1179" s="11" t="n"/>
      <c r="O1179" s="12" t="n"/>
    </row>
    <row r="1180">
      <c r="A1180" s="11" t="n"/>
      <c r="B1180" s="11" t="n"/>
      <c r="C1180" s="11" t="n"/>
      <c r="D1180" s="11" t="n"/>
      <c r="E1180" s="11" t="n"/>
      <c r="F1180" s="11" t="n"/>
      <c r="G1180" s="11" t="n"/>
      <c r="H1180" s="11" t="n"/>
      <c r="I1180" s="11" t="n"/>
      <c r="J1180" s="11" t="n"/>
      <c r="K1180" s="11" t="n"/>
      <c r="L1180" s="11" t="n"/>
      <c r="M1180" s="11" t="n"/>
      <c r="N1180" s="11" t="n"/>
      <c r="O1180" s="12" t="n"/>
    </row>
    <row r="1181">
      <c r="A1181" s="11" t="n"/>
      <c r="B1181" s="11" t="n"/>
      <c r="C1181" s="11" t="n"/>
      <c r="D1181" s="11" t="n"/>
      <c r="E1181" s="11" t="n"/>
      <c r="F1181" s="11" t="n"/>
      <c r="G1181" s="11" t="n"/>
      <c r="H1181" s="11" t="n"/>
      <c r="I1181" s="11" t="n"/>
      <c r="J1181" s="11" t="n"/>
      <c r="K1181" s="11" t="n"/>
      <c r="L1181" s="11" t="n"/>
      <c r="M1181" s="11" t="n"/>
      <c r="N1181" s="11" t="n"/>
      <c r="O1181" s="12" t="n"/>
    </row>
    <row r="1182">
      <c r="A1182" s="11" t="n"/>
      <c r="B1182" s="11" t="n"/>
      <c r="C1182" s="11" t="n"/>
      <c r="D1182" s="11" t="n"/>
      <c r="E1182" s="11" t="n"/>
      <c r="F1182" s="11" t="n"/>
      <c r="G1182" s="11" t="n"/>
      <c r="H1182" s="11" t="n"/>
      <c r="I1182" s="11" t="n"/>
      <c r="J1182" s="11" t="n"/>
      <c r="K1182" s="11" t="n"/>
      <c r="L1182" s="11" t="n"/>
      <c r="M1182" s="11" t="n"/>
      <c r="N1182" s="11" t="n"/>
      <c r="O1182" s="12" t="n"/>
    </row>
    <row r="1183">
      <c r="A1183" s="11" t="n"/>
      <c r="B1183" s="11" t="n"/>
      <c r="C1183" s="11" t="n"/>
      <c r="D1183" s="11" t="n"/>
      <c r="E1183" s="11" t="n"/>
      <c r="F1183" s="11" t="n"/>
      <c r="G1183" s="11" t="n"/>
      <c r="H1183" s="11" t="n"/>
      <c r="I1183" s="11" t="n"/>
      <c r="J1183" s="11" t="n"/>
      <c r="K1183" s="11" t="n"/>
      <c r="L1183" s="11" t="n"/>
      <c r="M1183" s="11" t="n"/>
      <c r="N1183" s="11" t="n"/>
      <c r="O1183" s="12" t="n"/>
    </row>
    <row r="1184">
      <c r="A1184" s="11" t="n"/>
      <c r="B1184" s="11" t="n"/>
      <c r="C1184" s="11" t="n"/>
      <c r="D1184" s="11" t="n"/>
      <c r="E1184" s="11" t="n"/>
      <c r="F1184" s="11" t="n"/>
      <c r="G1184" s="11" t="n"/>
      <c r="H1184" s="11" t="n"/>
      <c r="I1184" s="11" t="n"/>
      <c r="J1184" s="11" t="n"/>
      <c r="K1184" s="11" t="n"/>
      <c r="L1184" s="11" t="n"/>
      <c r="M1184" s="11" t="n"/>
      <c r="N1184" s="11" t="n"/>
      <c r="O1184" s="12" t="n"/>
    </row>
    <row r="1185">
      <c r="A1185" s="11" t="n"/>
      <c r="B1185" s="11" t="n"/>
      <c r="C1185" s="11" t="n"/>
      <c r="D1185" s="11" t="n"/>
      <c r="E1185" s="11" t="n"/>
      <c r="F1185" s="11" t="n"/>
      <c r="G1185" s="11" t="n"/>
      <c r="H1185" s="11" t="n"/>
      <c r="I1185" s="11" t="n"/>
      <c r="J1185" s="11" t="n"/>
      <c r="K1185" s="11" t="n"/>
      <c r="L1185" s="11" t="n"/>
      <c r="M1185" s="11" t="n"/>
      <c r="N1185" s="11" t="n"/>
      <c r="O1185" s="12" t="n"/>
    </row>
    <row r="1186">
      <c r="A1186" s="11" t="n"/>
      <c r="B1186" s="11" t="n"/>
      <c r="C1186" s="11" t="n"/>
      <c r="D1186" s="11" t="n"/>
      <c r="E1186" s="11" t="n"/>
      <c r="F1186" s="11" t="n"/>
      <c r="G1186" s="11" t="n"/>
      <c r="H1186" s="11" t="n"/>
      <c r="I1186" s="11" t="n"/>
      <c r="J1186" s="11" t="n"/>
      <c r="K1186" s="11" t="n"/>
      <c r="L1186" s="11" t="n"/>
      <c r="M1186" s="11" t="n"/>
      <c r="N1186" s="11" t="n"/>
      <c r="O1186" s="12" t="n"/>
    </row>
    <row r="1187">
      <c r="A1187" s="11" t="n"/>
      <c r="B1187" s="11" t="n"/>
      <c r="C1187" s="11" t="n"/>
      <c r="D1187" s="11" t="n"/>
      <c r="E1187" s="11" t="n"/>
      <c r="F1187" s="11" t="n"/>
      <c r="G1187" s="11" t="n"/>
      <c r="H1187" s="11" t="n"/>
      <c r="I1187" s="11" t="n"/>
      <c r="J1187" s="11" t="n"/>
      <c r="K1187" s="11" t="n"/>
      <c r="L1187" s="11" t="n"/>
      <c r="M1187" s="11" t="n"/>
      <c r="N1187" s="11" t="n"/>
      <c r="O1187" s="12" t="n"/>
    </row>
    <row r="1188">
      <c r="A1188" s="11" t="n"/>
      <c r="B1188" s="11" t="n"/>
      <c r="C1188" s="11" t="n"/>
      <c r="D1188" s="11" t="n"/>
      <c r="E1188" s="11" t="n"/>
      <c r="F1188" s="11" t="n"/>
      <c r="G1188" s="11" t="n"/>
      <c r="H1188" s="11" t="n"/>
      <c r="I1188" s="11" t="n"/>
      <c r="J1188" s="11" t="n"/>
      <c r="K1188" s="11" t="n"/>
      <c r="L1188" s="11" t="n"/>
      <c r="M1188" s="11" t="n"/>
      <c r="N1188" s="11" t="n"/>
      <c r="O1188" s="12" t="n"/>
    </row>
    <row r="1189">
      <c r="A1189" s="11" t="n"/>
      <c r="B1189" s="11" t="n"/>
      <c r="C1189" s="11" t="n"/>
      <c r="D1189" s="11" t="n"/>
      <c r="E1189" s="11" t="n"/>
      <c r="F1189" s="11" t="n"/>
      <c r="G1189" s="11" t="n"/>
      <c r="H1189" s="11" t="n"/>
      <c r="I1189" s="11" t="n"/>
      <c r="J1189" s="11" t="n"/>
      <c r="K1189" s="11" t="n"/>
      <c r="L1189" s="11" t="n"/>
      <c r="M1189" s="11" t="n"/>
      <c r="N1189" s="11" t="n"/>
      <c r="O1189" s="12" t="n"/>
    </row>
    <row r="1190">
      <c r="A1190" s="11" t="n"/>
      <c r="B1190" s="11" t="n"/>
      <c r="C1190" s="11" t="n"/>
      <c r="D1190" s="11" t="n"/>
      <c r="E1190" s="11" t="n"/>
      <c r="F1190" s="11" t="n"/>
      <c r="G1190" s="11" t="n"/>
      <c r="H1190" s="11" t="n"/>
      <c r="I1190" s="11" t="n"/>
      <c r="J1190" s="11" t="n"/>
      <c r="K1190" s="11" t="n"/>
      <c r="L1190" s="11" t="n"/>
      <c r="M1190" s="11" t="n"/>
      <c r="N1190" s="11" t="n"/>
      <c r="O1190" s="12" t="n"/>
    </row>
    <row r="1191">
      <c r="A1191" s="11" t="n"/>
      <c r="B1191" s="11" t="n"/>
      <c r="C1191" s="11" t="n"/>
      <c r="D1191" s="11" t="n"/>
      <c r="E1191" s="11" t="n"/>
      <c r="F1191" s="11" t="n"/>
      <c r="G1191" s="11" t="n"/>
      <c r="H1191" s="11" t="n"/>
      <c r="I1191" s="11" t="n"/>
      <c r="J1191" s="11" t="n"/>
      <c r="K1191" s="11" t="n"/>
      <c r="L1191" s="11" t="n"/>
      <c r="M1191" s="11" t="n"/>
      <c r="N1191" s="11" t="n"/>
      <c r="O1191" s="12" t="n"/>
    </row>
    <row r="1192">
      <c r="A1192" s="11" t="n"/>
      <c r="B1192" s="11" t="n"/>
      <c r="C1192" s="11" t="n"/>
      <c r="D1192" s="11" t="n"/>
      <c r="E1192" s="11" t="n"/>
      <c r="F1192" s="11" t="n"/>
      <c r="G1192" s="11" t="n"/>
      <c r="H1192" s="11" t="n"/>
      <c r="I1192" s="11" t="n"/>
      <c r="J1192" s="11" t="n"/>
      <c r="K1192" s="11" t="n"/>
      <c r="L1192" s="11" t="n"/>
      <c r="M1192" s="11" t="n"/>
      <c r="N1192" s="11" t="n"/>
      <c r="O1192" s="12" t="n"/>
    </row>
    <row r="1193">
      <c r="A1193" s="11" t="n"/>
      <c r="B1193" s="11" t="n"/>
      <c r="C1193" s="11" t="n"/>
      <c r="D1193" s="11" t="n"/>
      <c r="E1193" s="11" t="n"/>
      <c r="F1193" s="11" t="n"/>
      <c r="G1193" s="11" t="n"/>
      <c r="H1193" s="11" t="n"/>
      <c r="I1193" s="11" t="n"/>
      <c r="J1193" s="11" t="n"/>
      <c r="K1193" s="11" t="n"/>
      <c r="L1193" s="11" t="n"/>
      <c r="M1193" s="11" t="n"/>
      <c r="N1193" s="11" t="n"/>
      <c r="O1193" s="12" t="n"/>
    </row>
    <row r="1194">
      <c r="A1194" s="11" t="n"/>
      <c r="B1194" s="11" t="n"/>
      <c r="C1194" s="11" t="n"/>
      <c r="D1194" s="11" t="n"/>
      <c r="E1194" s="11" t="n"/>
      <c r="F1194" s="11" t="n"/>
      <c r="G1194" s="11" t="n"/>
      <c r="H1194" s="11" t="n"/>
      <c r="I1194" s="11" t="n"/>
      <c r="J1194" s="11" t="n"/>
      <c r="K1194" s="11" t="n"/>
      <c r="L1194" s="11" t="n"/>
      <c r="M1194" s="11" t="n"/>
      <c r="N1194" s="11" t="n"/>
      <c r="O1194" s="12" t="n"/>
    </row>
    <row r="1195">
      <c r="A1195" s="11" t="n"/>
      <c r="B1195" s="11" t="n"/>
      <c r="C1195" s="11" t="n"/>
      <c r="D1195" s="11" t="n"/>
      <c r="E1195" s="11" t="n"/>
      <c r="F1195" s="11" t="n"/>
      <c r="G1195" s="11" t="n"/>
      <c r="H1195" s="11" t="n"/>
      <c r="I1195" s="11" t="n"/>
      <c r="J1195" s="11" t="n"/>
      <c r="K1195" s="11" t="n"/>
      <c r="L1195" s="11" t="n"/>
      <c r="M1195" s="11" t="n"/>
      <c r="N1195" s="11" t="n"/>
      <c r="O1195" s="12" t="n"/>
    </row>
    <row r="1196">
      <c r="A1196" s="11" t="n"/>
      <c r="B1196" s="11" t="n"/>
      <c r="C1196" s="11" t="n"/>
      <c r="D1196" s="11" t="n"/>
      <c r="E1196" s="11" t="n"/>
      <c r="F1196" s="11" t="n"/>
      <c r="G1196" s="11" t="n"/>
      <c r="H1196" s="11" t="n"/>
      <c r="I1196" s="11" t="n"/>
      <c r="J1196" s="11" t="n"/>
      <c r="K1196" s="11" t="n"/>
      <c r="L1196" s="11" t="n"/>
      <c r="M1196" s="11" t="n"/>
      <c r="N1196" s="11" t="n"/>
      <c r="O1196" s="12" t="n"/>
    </row>
    <row r="1197">
      <c r="A1197" s="11" t="n"/>
      <c r="B1197" s="11" t="n"/>
      <c r="C1197" s="11" t="n"/>
      <c r="D1197" s="11" t="n"/>
      <c r="E1197" s="11" t="n"/>
      <c r="F1197" s="11" t="n"/>
      <c r="G1197" s="11" t="n"/>
      <c r="H1197" s="11" t="n"/>
      <c r="I1197" s="11" t="n"/>
      <c r="J1197" s="11" t="n"/>
      <c r="K1197" s="11" t="n"/>
      <c r="L1197" s="11" t="n"/>
      <c r="M1197" s="11" t="n"/>
      <c r="N1197" s="11" t="n"/>
      <c r="O1197" s="12" t="n"/>
    </row>
    <row r="1198">
      <c r="A1198" s="11" t="n"/>
      <c r="B1198" s="11" t="n"/>
      <c r="C1198" s="11" t="n"/>
      <c r="D1198" s="11" t="n"/>
      <c r="E1198" s="11" t="n"/>
      <c r="F1198" s="11" t="n"/>
      <c r="G1198" s="11" t="n"/>
      <c r="H1198" s="11" t="n"/>
      <c r="I1198" s="11" t="n"/>
      <c r="J1198" s="11" t="n"/>
      <c r="K1198" s="11" t="n"/>
      <c r="L1198" s="11" t="n"/>
      <c r="M1198" s="11" t="n"/>
      <c r="N1198" s="11" t="n"/>
      <c r="O1198" s="12" t="n"/>
    </row>
    <row r="1199">
      <c r="A1199" s="11" t="n"/>
      <c r="B1199" s="11" t="n"/>
      <c r="C1199" s="11" t="n"/>
      <c r="D1199" s="11" t="n"/>
      <c r="E1199" s="11" t="n"/>
      <c r="F1199" s="11" t="n"/>
      <c r="G1199" s="11" t="n"/>
      <c r="H1199" s="11" t="n"/>
      <c r="I1199" s="11" t="n"/>
      <c r="J1199" s="11" t="n"/>
      <c r="K1199" s="11" t="n"/>
      <c r="L1199" s="11" t="n"/>
      <c r="M1199" s="11" t="n"/>
      <c r="N1199" s="11" t="n"/>
      <c r="O1199" s="12" t="n"/>
    </row>
    <row r="1200">
      <c r="A1200" s="11" t="n"/>
      <c r="B1200" s="11" t="n"/>
      <c r="C1200" s="11" t="n"/>
      <c r="D1200" s="11" t="n"/>
      <c r="E1200" s="11" t="n"/>
      <c r="F1200" s="11" t="n"/>
      <c r="G1200" s="11" t="n"/>
      <c r="H1200" s="11" t="n"/>
      <c r="I1200" s="11" t="n"/>
      <c r="J1200" s="11" t="n"/>
      <c r="K1200" s="11" t="n"/>
      <c r="L1200" s="11" t="n"/>
      <c r="M1200" s="11" t="n"/>
      <c r="N1200" s="11" t="n"/>
      <c r="O1200" s="12" t="n"/>
    </row>
    <row r="1201">
      <c r="A1201" s="11" t="n"/>
      <c r="B1201" s="11" t="n"/>
      <c r="C1201" s="11" t="n"/>
      <c r="D1201" s="11" t="n"/>
      <c r="E1201" s="11" t="n"/>
      <c r="F1201" s="11" t="n"/>
      <c r="G1201" s="11" t="n"/>
      <c r="H1201" s="11" t="n"/>
      <c r="I1201" s="11" t="n"/>
      <c r="J1201" s="11" t="n"/>
      <c r="K1201" s="11" t="n"/>
      <c r="L1201" s="11" t="n"/>
      <c r="M1201" s="11" t="n"/>
      <c r="N1201" s="11" t="n"/>
      <c r="O1201" s="12" t="n"/>
    </row>
    <row r="1202">
      <c r="A1202" s="11" t="n"/>
      <c r="B1202" s="11" t="n"/>
      <c r="C1202" s="11" t="n"/>
      <c r="D1202" s="11" t="n"/>
      <c r="E1202" s="11" t="n"/>
      <c r="F1202" s="11" t="n"/>
      <c r="G1202" s="11" t="n"/>
      <c r="H1202" s="11" t="n"/>
      <c r="I1202" s="11" t="n"/>
      <c r="J1202" s="11" t="n"/>
      <c r="K1202" s="11" t="n"/>
      <c r="L1202" s="11" t="n"/>
      <c r="M1202" s="11" t="n"/>
      <c r="N1202" s="11" t="n"/>
      <c r="O1202" s="12" t="n"/>
    </row>
    <row r="1203">
      <c r="A1203" s="11" t="n"/>
      <c r="B1203" s="11" t="n"/>
      <c r="C1203" s="11" t="n"/>
      <c r="D1203" s="11" t="n"/>
      <c r="E1203" s="11" t="n"/>
      <c r="F1203" s="11" t="n"/>
      <c r="G1203" s="11" t="n"/>
      <c r="H1203" s="11" t="n"/>
      <c r="I1203" s="11" t="n"/>
      <c r="J1203" s="11" t="n"/>
      <c r="K1203" s="11" t="n"/>
      <c r="L1203" s="11" t="n"/>
      <c r="M1203" s="11" t="n"/>
      <c r="N1203" s="11" t="n"/>
      <c r="O1203" s="12" t="n"/>
    </row>
    <row r="1204">
      <c r="A1204" s="11" t="n"/>
      <c r="B1204" s="11" t="n"/>
      <c r="C1204" s="11" t="n"/>
      <c r="D1204" s="11" t="n"/>
      <c r="E1204" s="11" t="n"/>
      <c r="F1204" s="11" t="n"/>
      <c r="G1204" s="11" t="n"/>
      <c r="H1204" s="11" t="n"/>
      <c r="I1204" s="11" t="n"/>
      <c r="J1204" s="11" t="n"/>
      <c r="K1204" s="11" t="n"/>
      <c r="L1204" s="11" t="n"/>
      <c r="M1204" s="11" t="n"/>
      <c r="N1204" s="11" t="n"/>
      <c r="O1204" s="12" t="n"/>
    </row>
    <row r="1205">
      <c r="A1205" s="11" t="n"/>
      <c r="B1205" s="11" t="n"/>
      <c r="C1205" s="11" t="n"/>
      <c r="D1205" s="11" t="n"/>
      <c r="E1205" s="11" t="n"/>
      <c r="F1205" s="11" t="n"/>
      <c r="G1205" s="11" t="n"/>
      <c r="H1205" s="11" t="n"/>
      <c r="I1205" s="11" t="n"/>
      <c r="J1205" s="11" t="n"/>
      <c r="K1205" s="11" t="n"/>
      <c r="L1205" s="11" t="n"/>
      <c r="M1205" s="11" t="n"/>
      <c r="N1205" s="11" t="n"/>
      <c r="O1205" s="12" t="n"/>
    </row>
    <row r="1206">
      <c r="A1206" s="11" t="n"/>
      <c r="B1206" s="11" t="n"/>
      <c r="C1206" s="11" t="n"/>
      <c r="D1206" s="11" t="n"/>
      <c r="E1206" s="11" t="n"/>
      <c r="F1206" s="11" t="n"/>
      <c r="G1206" s="11" t="n"/>
      <c r="H1206" s="11" t="n"/>
      <c r="I1206" s="11" t="n"/>
      <c r="J1206" s="11" t="n"/>
      <c r="K1206" s="11" t="n"/>
      <c r="L1206" s="11" t="n"/>
      <c r="M1206" s="11" t="n"/>
      <c r="N1206" s="11" t="n"/>
      <c r="O1206" s="12" t="n"/>
    </row>
    <row r="1207">
      <c r="A1207" s="11" t="n"/>
      <c r="B1207" s="11" t="n"/>
      <c r="C1207" s="11" t="n"/>
      <c r="D1207" s="11" t="n"/>
      <c r="E1207" s="11" t="n"/>
      <c r="F1207" s="11" t="n"/>
      <c r="G1207" s="11" t="n"/>
      <c r="H1207" s="11" t="n"/>
      <c r="I1207" s="11" t="n"/>
      <c r="J1207" s="11" t="n"/>
      <c r="K1207" s="11" t="n"/>
      <c r="L1207" s="11" t="n"/>
      <c r="M1207" s="11" t="n"/>
      <c r="N1207" s="11" t="n"/>
      <c r="O1207" s="12" t="n"/>
    </row>
    <row r="1208">
      <c r="A1208" s="11" t="n"/>
      <c r="B1208" s="11" t="n"/>
      <c r="C1208" s="11" t="n"/>
      <c r="D1208" s="11" t="n"/>
      <c r="E1208" s="11" t="n"/>
      <c r="F1208" s="11" t="n"/>
      <c r="G1208" s="11" t="n"/>
      <c r="H1208" s="11" t="n"/>
      <c r="I1208" s="11" t="n"/>
      <c r="J1208" s="11" t="n"/>
      <c r="K1208" s="11" t="n"/>
      <c r="L1208" s="11" t="n"/>
      <c r="M1208" s="11" t="n"/>
      <c r="N1208" s="11" t="n"/>
      <c r="O1208" s="12" t="n"/>
    </row>
    <row r="1209">
      <c r="A1209" s="11" t="n"/>
      <c r="B1209" s="11" t="n"/>
      <c r="C1209" s="11" t="n"/>
      <c r="D1209" s="11" t="n"/>
      <c r="E1209" s="11" t="n"/>
      <c r="F1209" s="11" t="n"/>
      <c r="G1209" s="11" t="n"/>
      <c r="H1209" s="11" t="n"/>
      <c r="I1209" s="11" t="n"/>
      <c r="J1209" s="11" t="n"/>
      <c r="K1209" s="11" t="n"/>
      <c r="L1209" s="11" t="n"/>
      <c r="M1209" s="11" t="n"/>
      <c r="N1209" s="11" t="n"/>
      <c r="O1209" s="12" t="n"/>
    </row>
    <row r="1210">
      <c r="A1210" s="11" t="n"/>
      <c r="B1210" s="11" t="n"/>
      <c r="C1210" s="11" t="n"/>
      <c r="D1210" s="11" t="n"/>
      <c r="E1210" s="11" t="n"/>
      <c r="F1210" s="11" t="n"/>
      <c r="G1210" s="11" t="n"/>
      <c r="H1210" s="11" t="n"/>
      <c r="I1210" s="11" t="n"/>
      <c r="J1210" s="11" t="n"/>
      <c r="K1210" s="11" t="n"/>
      <c r="L1210" s="11" t="n"/>
      <c r="M1210" s="11" t="n"/>
      <c r="N1210" s="11" t="n"/>
      <c r="O1210" s="12" t="n"/>
    </row>
    <row r="1211">
      <c r="A1211" s="11" t="n"/>
      <c r="B1211" s="11" t="n"/>
      <c r="C1211" s="11" t="n"/>
      <c r="D1211" s="11" t="n"/>
      <c r="E1211" s="11" t="n"/>
      <c r="F1211" s="11" t="n"/>
      <c r="G1211" s="11" t="n"/>
      <c r="H1211" s="11" t="n"/>
      <c r="I1211" s="11" t="n"/>
      <c r="J1211" s="11" t="n"/>
      <c r="K1211" s="11" t="n"/>
      <c r="L1211" s="11" t="n"/>
      <c r="M1211" s="11" t="n"/>
      <c r="N1211" s="11" t="n"/>
      <c r="O1211" s="12" t="n"/>
    </row>
    <row r="1212">
      <c r="A1212" s="11" t="n"/>
      <c r="B1212" s="11" t="n"/>
      <c r="C1212" s="11" t="n"/>
      <c r="D1212" s="11" t="n"/>
      <c r="E1212" s="11" t="n"/>
      <c r="F1212" s="11" t="n"/>
      <c r="G1212" s="11" t="n"/>
      <c r="H1212" s="11" t="n"/>
      <c r="I1212" s="11" t="n"/>
      <c r="J1212" s="11" t="n"/>
      <c r="K1212" s="11" t="n"/>
      <c r="L1212" s="11" t="n"/>
      <c r="M1212" s="11" t="n"/>
      <c r="N1212" s="11" t="n"/>
      <c r="O1212" s="12" t="n"/>
    </row>
    <row r="1213">
      <c r="A1213" s="11" t="n"/>
      <c r="B1213" s="11" t="n"/>
      <c r="C1213" s="11" t="n"/>
      <c r="D1213" s="11" t="n"/>
      <c r="E1213" s="11" t="n"/>
      <c r="F1213" s="11" t="n"/>
      <c r="G1213" s="11" t="n"/>
      <c r="H1213" s="11" t="n"/>
      <c r="I1213" s="11" t="n"/>
      <c r="J1213" s="11" t="n"/>
      <c r="K1213" s="11" t="n"/>
      <c r="L1213" s="11" t="n"/>
      <c r="M1213" s="11" t="n"/>
      <c r="N1213" s="11" t="n"/>
      <c r="O1213" s="12" t="n"/>
    </row>
    <row r="1214">
      <c r="A1214" s="11" t="n"/>
      <c r="B1214" s="11" t="n"/>
      <c r="C1214" s="11" t="n"/>
      <c r="D1214" s="11" t="n"/>
      <c r="E1214" s="11" t="n"/>
      <c r="F1214" s="11" t="n"/>
      <c r="G1214" s="11" t="n"/>
      <c r="H1214" s="11" t="n"/>
      <c r="I1214" s="11" t="n"/>
      <c r="J1214" s="11" t="n"/>
      <c r="K1214" s="11" t="n"/>
      <c r="L1214" s="11" t="n"/>
      <c r="M1214" s="11" t="n"/>
      <c r="N1214" s="11" t="n"/>
      <c r="O1214" s="12" t="n"/>
    </row>
    <row r="1215">
      <c r="A1215" s="11" t="n"/>
      <c r="B1215" s="11" t="n"/>
      <c r="C1215" s="11" t="n"/>
      <c r="D1215" s="11" t="n"/>
      <c r="E1215" s="11" t="n"/>
      <c r="F1215" s="11" t="n"/>
      <c r="G1215" s="11" t="n"/>
      <c r="H1215" s="11" t="n"/>
      <c r="I1215" s="11" t="n"/>
      <c r="J1215" s="11" t="n"/>
      <c r="K1215" s="11" t="n"/>
      <c r="L1215" s="11" t="n"/>
      <c r="M1215" s="11" t="n"/>
      <c r="N1215" s="11" t="n"/>
      <c r="O1215" s="12" t="n"/>
    </row>
    <row r="1216">
      <c r="A1216" s="11" t="n"/>
      <c r="B1216" s="11" t="n"/>
      <c r="C1216" s="11" t="n"/>
      <c r="D1216" s="11" t="n"/>
      <c r="E1216" s="11" t="n"/>
      <c r="F1216" s="11" t="n"/>
      <c r="G1216" s="11" t="n"/>
      <c r="H1216" s="11" t="n"/>
      <c r="I1216" s="11" t="n"/>
      <c r="J1216" s="11" t="n"/>
      <c r="K1216" s="11" t="n"/>
      <c r="L1216" s="11" t="n"/>
      <c r="M1216" s="11" t="n"/>
      <c r="N1216" s="11" t="n"/>
      <c r="O1216" s="12" t="n"/>
    </row>
    <row r="1217">
      <c r="A1217" s="11" t="n"/>
      <c r="B1217" s="11" t="n"/>
      <c r="C1217" s="11" t="n"/>
      <c r="D1217" s="11" t="n"/>
      <c r="E1217" s="11" t="n"/>
      <c r="F1217" s="11" t="n"/>
      <c r="G1217" s="11" t="n"/>
      <c r="H1217" s="11" t="n"/>
      <c r="I1217" s="11" t="n"/>
      <c r="J1217" s="11" t="n"/>
      <c r="K1217" s="11" t="n"/>
      <c r="L1217" s="11" t="n"/>
      <c r="M1217" s="11" t="n"/>
      <c r="N1217" s="11" t="n"/>
      <c r="O1217" s="12" t="n"/>
    </row>
    <row r="1218">
      <c r="A1218" s="11" t="n"/>
      <c r="B1218" s="11" t="n"/>
      <c r="C1218" s="11" t="n"/>
      <c r="D1218" s="11" t="n"/>
      <c r="E1218" s="11" t="n"/>
      <c r="F1218" s="11" t="n"/>
      <c r="G1218" s="11" t="n"/>
      <c r="H1218" s="11" t="n"/>
      <c r="I1218" s="11" t="n"/>
      <c r="J1218" s="11" t="n"/>
      <c r="K1218" s="11" t="n"/>
      <c r="L1218" s="11" t="n"/>
      <c r="M1218" s="11" t="n"/>
      <c r="N1218" s="11" t="n"/>
      <c r="O1218" s="12" t="n"/>
    </row>
    <row r="1219">
      <c r="A1219" s="11" t="n"/>
      <c r="B1219" s="11" t="n"/>
      <c r="C1219" s="11" t="n"/>
      <c r="D1219" s="11" t="n"/>
      <c r="E1219" s="11" t="n"/>
      <c r="F1219" s="11" t="n"/>
      <c r="G1219" s="11" t="n"/>
      <c r="H1219" s="11" t="n"/>
      <c r="I1219" s="11" t="n"/>
      <c r="J1219" s="11" t="n"/>
      <c r="K1219" s="11" t="n"/>
      <c r="L1219" s="11" t="n"/>
      <c r="M1219" s="11" t="n"/>
      <c r="N1219" s="11" t="n"/>
      <c r="O1219" s="12" t="n"/>
    </row>
    <row r="1220">
      <c r="A1220" s="11" t="n"/>
      <c r="B1220" s="11" t="n"/>
      <c r="C1220" s="11" t="n"/>
      <c r="D1220" s="11" t="n"/>
      <c r="E1220" s="11" t="n"/>
      <c r="F1220" s="11" t="n"/>
      <c r="G1220" s="11" t="n"/>
      <c r="H1220" s="11" t="n"/>
      <c r="I1220" s="11" t="n"/>
      <c r="J1220" s="11" t="n"/>
      <c r="K1220" s="11" t="n"/>
      <c r="L1220" s="11" t="n"/>
      <c r="M1220" s="11" t="n"/>
      <c r="N1220" s="11" t="n"/>
      <c r="O1220" s="12" t="n"/>
    </row>
    <row r="1221">
      <c r="A1221" s="11" t="n"/>
      <c r="B1221" s="11" t="n"/>
      <c r="C1221" s="11" t="n"/>
      <c r="D1221" s="11" t="n"/>
      <c r="E1221" s="11" t="n"/>
      <c r="F1221" s="11" t="n"/>
      <c r="G1221" s="11" t="n"/>
      <c r="H1221" s="11" t="n"/>
      <c r="I1221" s="11" t="n"/>
      <c r="J1221" s="11" t="n"/>
      <c r="K1221" s="11" t="n"/>
      <c r="L1221" s="11" t="n"/>
      <c r="M1221" s="11" t="n"/>
      <c r="N1221" s="11" t="n"/>
      <c r="O1221" s="12" t="n"/>
    </row>
    <row r="1222">
      <c r="A1222" s="11" t="n"/>
      <c r="B1222" s="11" t="n"/>
      <c r="C1222" s="11" t="n"/>
      <c r="D1222" s="11" t="n"/>
      <c r="E1222" s="11" t="n"/>
      <c r="F1222" s="11" t="n"/>
      <c r="G1222" s="11" t="n"/>
      <c r="H1222" s="11" t="n"/>
      <c r="I1222" s="11" t="n"/>
      <c r="J1222" s="11" t="n"/>
      <c r="K1222" s="11" t="n"/>
      <c r="L1222" s="11" t="n"/>
      <c r="M1222" s="11" t="n"/>
      <c r="N1222" s="11" t="n"/>
      <c r="O1222" s="12" t="n"/>
    </row>
    <row r="1223">
      <c r="A1223" s="11" t="n"/>
      <c r="B1223" s="11" t="n"/>
      <c r="C1223" s="11" t="n"/>
      <c r="D1223" s="11" t="n"/>
      <c r="E1223" s="11" t="n"/>
      <c r="F1223" s="11" t="n"/>
      <c r="G1223" s="11" t="n"/>
      <c r="H1223" s="11" t="n"/>
      <c r="I1223" s="11" t="n"/>
      <c r="J1223" s="11" t="n"/>
      <c r="K1223" s="11" t="n"/>
      <c r="L1223" s="11" t="n"/>
      <c r="M1223" s="11" t="n"/>
      <c r="N1223" s="11" t="n"/>
      <c r="O1223" s="12" t="n"/>
    </row>
    <row r="1224">
      <c r="A1224" s="11" t="n"/>
      <c r="B1224" s="11" t="n"/>
      <c r="C1224" s="11" t="n"/>
      <c r="D1224" s="11" t="n"/>
      <c r="E1224" s="11" t="n"/>
      <c r="F1224" s="11" t="n"/>
      <c r="G1224" s="11" t="n"/>
      <c r="H1224" s="11" t="n"/>
      <c r="I1224" s="11" t="n"/>
      <c r="J1224" s="11" t="n"/>
      <c r="K1224" s="11" t="n"/>
      <c r="L1224" s="11" t="n"/>
      <c r="M1224" s="11" t="n"/>
      <c r="N1224" s="11" t="n"/>
      <c r="O1224" s="12" t="n"/>
    </row>
    <row r="1225">
      <c r="A1225" s="11" t="n"/>
      <c r="B1225" s="11" t="n"/>
      <c r="C1225" s="11" t="n"/>
      <c r="D1225" s="11" t="n"/>
      <c r="E1225" s="11" t="n"/>
      <c r="F1225" s="11" t="n"/>
      <c r="G1225" s="11" t="n"/>
      <c r="H1225" s="11" t="n"/>
      <c r="I1225" s="11" t="n"/>
      <c r="J1225" s="11" t="n"/>
      <c r="K1225" s="11" t="n"/>
      <c r="L1225" s="11" t="n"/>
      <c r="M1225" s="11" t="n"/>
      <c r="N1225" s="11" t="n"/>
      <c r="O1225" s="12" t="n"/>
    </row>
    <row r="1226">
      <c r="A1226" s="11" t="n"/>
      <c r="B1226" s="11" t="n"/>
      <c r="C1226" s="11" t="n"/>
      <c r="D1226" s="11" t="n"/>
      <c r="E1226" s="11" t="n"/>
      <c r="F1226" s="11" t="n"/>
      <c r="G1226" s="11" t="n"/>
      <c r="H1226" s="11" t="n"/>
      <c r="I1226" s="11" t="n"/>
      <c r="J1226" s="11" t="n"/>
      <c r="K1226" s="11" t="n"/>
      <c r="L1226" s="11" t="n"/>
      <c r="M1226" s="11" t="n"/>
      <c r="N1226" s="11" t="n"/>
      <c r="O1226" s="12" t="n"/>
    </row>
    <row r="1227">
      <c r="A1227" s="11" t="n"/>
      <c r="B1227" s="11" t="n"/>
      <c r="C1227" s="11" t="n"/>
      <c r="D1227" s="11" t="n"/>
      <c r="E1227" s="11" t="n"/>
      <c r="F1227" s="11" t="n"/>
      <c r="G1227" s="11" t="n"/>
      <c r="H1227" s="11" t="n"/>
      <c r="I1227" s="11" t="n"/>
      <c r="J1227" s="11" t="n"/>
      <c r="K1227" s="11" t="n"/>
      <c r="L1227" s="11" t="n"/>
      <c r="M1227" s="11" t="n"/>
      <c r="N1227" s="11" t="n"/>
      <c r="O1227" s="12" t="n"/>
    </row>
    <row r="1228">
      <c r="A1228" s="11" t="n"/>
      <c r="B1228" s="11" t="n"/>
      <c r="C1228" s="11" t="n"/>
      <c r="D1228" s="11" t="n"/>
      <c r="E1228" s="11" t="n"/>
      <c r="F1228" s="11" t="n"/>
      <c r="G1228" s="11" t="n"/>
      <c r="H1228" s="11" t="n"/>
      <c r="I1228" s="11" t="n"/>
      <c r="J1228" s="11" t="n"/>
      <c r="K1228" s="11" t="n"/>
      <c r="L1228" s="11" t="n"/>
      <c r="M1228" s="11" t="n"/>
      <c r="N1228" s="11" t="n"/>
      <c r="O1228" s="12" t="n"/>
    </row>
    <row r="1229">
      <c r="A1229" s="11" t="n"/>
      <c r="B1229" s="11" t="n"/>
      <c r="C1229" s="11" t="n"/>
      <c r="D1229" s="11" t="n"/>
      <c r="E1229" s="11" t="n"/>
      <c r="F1229" s="11" t="n"/>
      <c r="G1229" s="11" t="n"/>
      <c r="H1229" s="11" t="n"/>
      <c r="I1229" s="11" t="n"/>
      <c r="J1229" s="11" t="n"/>
      <c r="K1229" s="11" t="n"/>
      <c r="L1229" s="11" t="n"/>
      <c r="M1229" s="11" t="n"/>
      <c r="N1229" s="11" t="n"/>
      <c r="O1229" s="12" t="n"/>
    </row>
    <row r="1230">
      <c r="A1230" s="11" t="n"/>
      <c r="B1230" s="11" t="n"/>
      <c r="C1230" s="11" t="n"/>
      <c r="D1230" s="11" t="n"/>
      <c r="E1230" s="11" t="n"/>
      <c r="F1230" s="11" t="n"/>
      <c r="G1230" s="11" t="n"/>
      <c r="H1230" s="11" t="n"/>
      <c r="I1230" s="11" t="n"/>
      <c r="J1230" s="11" t="n"/>
      <c r="K1230" s="11" t="n"/>
      <c r="L1230" s="11" t="n"/>
      <c r="M1230" s="11" t="n"/>
      <c r="N1230" s="11" t="n"/>
      <c r="O1230" s="12" t="n"/>
    </row>
    <row r="1231">
      <c r="A1231" s="11" t="n"/>
      <c r="B1231" s="11" t="n"/>
      <c r="C1231" s="11" t="n"/>
      <c r="D1231" s="11" t="n"/>
      <c r="E1231" s="11" t="n"/>
      <c r="F1231" s="11" t="n"/>
      <c r="G1231" s="11" t="n"/>
      <c r="H1231" s="11" t="n"/>
      <c r="I1231" s="11" t="n"/>
      <c r="J1231" s="11" t="n"/>
      <c r="K1231" s="11" t="n"/>
      <c r="L1231" s="11" t="n"/>
      <c r="M1231" s="11" t="n"/>
      <c r="N1231" s="11" t="n"/>
      <c r="O1231" s="12" t="n"/>
    </row>
    <row r="1232">
      <c r="A1232" s="11" t="n"/>
      <c r="B1232" s="11" t="n"/>
      <c r="C1232" s="11" t="n"/>
      <c r="D1232" s="11" t="n"/>
      <c r="E1232" s="11" t="n"/>
      <c r="F1232" s="11" t="n"/>
      <c r="G1232" s="11" t="n"/>
      <c r="H1232" s="11" t="n"/>
      <c r="I1232" s="11" t="n"/>
      <c r="J1232" s="11" t="n"/>
      <c r="K1232" s="11" t="n"/>
      <c r="L1232" s="11" t="n"/>
      <c r="M1232" s="11" t="n"/>
      <c r="N1232" s="11" t="n"/>
      <c r="O1232" s="12" t="n"/>
    </row>
    <row r="1233">
      <c r="A1233" s="11" t="n"/>
      <c r="B1233" s="11" t="n"/>
      <c r="C1233" s="11" t="n"/>
      <c r="D1233" s="11" t="n"/>
      <c r="E1233" s="11" t="n"/>
      <c r="F1233" s="11" t="n"/>
      <c r="G1233" s="11" t="n"/>
      <c r="H1233" s="11" t="n"/>
      <c r="I1233" s="11" t="n"/>
      <c r="J1233" s="11" t="n"/>
      <c r="K1233" s="11" t="n"/>
      <c r="L1233" s="11" t="n"/>
      <c r="M1233" s="11" t="n"/>
      <c r="N1233" s="11" t="n"/>
      <c r="O1233" s="12" t="n"/>
    </row>
    <row r="1234">
      <c r="A1234" s="11" t="n"/>
      <c r="B1234" s="11" t="n"/>
      <c r="C1234" s="11" t="n"/>
      <c r="D1234" s="11" t="n"/>
      <c r="E1234" s="11" t="n"/>
      <c r="F1234" s="11" t="n"/>
      <c r="G1234" s="11" t="n"/>
      <c r="H1234" s="11" t="n"/>
      <c r="I1234" s="11" t="n"/>
      <c r="J1234" s="11" t="n"/>
      <c r="K1234" s="11" t="n"/>
      <c r="L1234" s="11" t="n"/>
      <c r="M1234" s="11" t="n"/>
      <c r="N1234" s="11" t="n"/>
      <c r="O1234" s="12" t="n"/>
    </row>
    <row r="1235">
      <c r="A1235" s="11" t="n"/>
      <c r="B1235" s="11" t="n"/>
      <c r="C1235" s="11" t="n"/>
      <c r="D1235" s="11" t="n"/>
      <c r="E1235" s="11" t="n"/>
      <c r="F1235" s="11" t="n"/>
      <c r="G1235" s="11" t="n"/>
      <c r="H1235" s="11" t="n"/>
      <c r="I1235" s="11" t="n"/>
      <c r="J1235" s="11" t="n"/>
      <c r="K1235" s="11" t="n"/>
      <c r="L1235" s="11" t="n"/>
      <c r="M1235" s="11" t="n"/>
      <c r="N1235" s="11" t="n"/>
      <c r="O1235" s="12" t="n"/>
    </row>
    <row r="1236">
      <c r="A1236" s="11" t="n"/>
      <c r="B1236" s="11" t="n"/>
      <c r="C1236" s="11" t="n"/>
      <c r="D1236" s="11" t="n"/>
      <c r="E1236" s="11" t="n"/>
      <c r="F1236" s="11" t="n"/>
      <c r="G1236" s="11" t="n"/>
      <c r="H1236" s="11" t="n"/>
      <c r="I1236" s="11" t="n"/>
      <c r="J1236" s="11" t="n"/>
      <c r="K1236" s="11" t="n"/>
      <c r="L1236" s="11" t="n"/>
      <c r="M1236" s="11" t="n"/>
      <c r="N1236" s="11" t="n"/>
      <c r="O1236" s="12" t="n"/>
    </row>
    <row r="1237">
      <c r="A1237" s="11" t="n"/>
      <c r="B1237" s="11" t="n"/>
      <c r="C1237" s="11" t="n"/>
      <c r="D1237" s="11" t="n"/>
      <c r="E1237" s="11" t="n"/>
      <c r="F1237" s="11" t="n"/>
      <c r="G1237" s="11" t="n"/>
      <c r="H1237" s="11" t="n"/>
      <c r="I1237" s="11" t="n"/>
      <c r="J1237" s="11" t="n"/>
      <c r="K1237" s="11" t="n"/>
      <c r="L1237" s="11" t="n"/>
      <c r="M1237" s="11" t="n"/>
      <c r="N1237" s="11" t="n"/>
      <c r="O1237" s="12" t="n"/>
    </row>
    <row r="1238">
      <c r="A1238" s="11" t="n"/>
      <c r="B1238" s="11" t="n"/>
      <c r="C1238" s="11" t="n"/>
      <c r="D1238" s="11" t="n"/>
      <c r="E1238" s="11" t="n"/>
      <c r="F1238" s="11" t="n"/>
      <c r="G1238" s="11" t="n"/>
      <c r="H1238" s="11" t="n"/>
      <c r="I1238" s="11" t="n"/>
      <c r="J1238" s="11" t="n"/>
      <c r="K1238" s="11" t="n"/>
      <c r="L1238" s="11" t="n"/>
      <c r="M1238" s="11" t="n"/>
      <c r="N1238" s="11" t="n"/>
      <c r="O1238" s="12" t="n"/>
    </row>
    <row r="1239">
      <c r="A1239" s="11" t="n"/>
      <c r="B1239" s="11" t="n"/>
      <c r="C1239" s="11" t="n"/>
      <c r="D1239" s="11" t="n"/>
      <c r="E1239" s="11" t="n"/>
      <c r="F1239" s="11" t="n"/>
      <c r="G1239" s="11" t="n"/>
      <c r="H1239" s="11" t="n"/>
      <c r="I1239" s="11" t="n"/>
      <c r="J1239" s="11" t="n"/>
      <c r="K1239" s="11" t="n"/>
      <c r="L1239" s="11" t="n"/>
      <c r="M1239" s="11" t="n"/>
      <c r="N1239" s="11" t="n"/>
      <c r="O1239" s="12" t="n"/>
    </row>
    <row r="1240">
      <c r="A1240" s="11" t="n"/>
      <c r="B1240" s="11" t="n"/>
      <c r="C1240" s="11" t="n"/>
      <c r="D1240" s="11" t="n"/>
      <c r="E1240" s="11" t="n"/>
      <c r="F1240" s="11" t="n"/>
      <c r="G1240" s="11" t="n"/>
      <c r="H1240" s="11" t="n"/>
      <c r="I1240" s="11" t="n"/>
      <c r="J1240" s="11" t="n"/>
      <c r="K1240" s="11" t="n"/>
      <c r="L1240" s="11" t="n"/>
      <c r="M1240" s="11" t="n"/>
      <c r="N1240" s="11" t="n"/>
      <c r="O1240" s="12" t="n"/>
    </row>
    <row r="1241">
      <c r="A1241" s="11" t="n"/>
      <c r="B1241" s="11" t="n"/>
      <c r="C1241" s="11" t="n"/>
      <c r="D1241" s="11" t="n"/>
      <c r="E1241" s="11" t="n"/>
      <c r="F1241" s="11" t="n"/>
      <c r="G1241" s="11" t="n"/>
      <c r="H1241" s="11" t="n"/>
      <c r="I1241" s="11" t="n"/>
      <c r="J1241" s="11" t="n"/>
      <c r="K1241" s="11" t="n"/>
      <c r="L1241" s="11" t="n"/>
      <c r="M1241" s="11" t="n"/>
      <c r="N1241" s="11" t="n"/>
      <c r="O1241" s="12" t="n"/>
    </row>
    <row r="1242">
      <c r="A1242" s="11" t="n"/>
      <c r="B1242" s="11" t="n"/>
      <c r="C1242" s="11" t="n"/>
      <c r="D1242" s="11" t="n"/>
      <c r="E1242" s="11" t="n"/>
      <c r="F1242" s="11" t="n"/>
      <c r="G1242" s="11" t="n"/>
      <c r="H1242" s="11" t="n"/>
      <c r="I1242" s="11" t="n"/>
      <c r="J1242" s="11" t="n"/>
      <c r="K1242" s="11" t="n"/>
      <c r="L1242" s="11" t="n"/>
      <c r="M1242" s="11" t="n"/>
      <c r="N1242" s="11" t="n"/>
      <c r="O1242" s="12" t="n"/>
    </row>
    <row r="1243">
      <c r="A1243" s="11" t="n"/>
      <c r="B1243" s="11" t="n"/>
      <c r="C1243" s="11" t="n"/>
      <c r="D1243" s="11" t="n"/>
      <c r="E1243" s="11" t="n"/>
      <c r="F1243" s="11" t="n"/>
      <c r="G1243" s="11" t="n"/>
      <c r="H1243" s="11" t="n"/>
      <c r="I1243" s="11" t="n"/>
      <c r="J1243" s="11" t="n"/>
      <c r="K1243" s="11" t="n"/>
      <c r="L1243" s="11" t="n"/>
      <c r="M1243" s="11" t="n"/>
      <c r="N1243" s="11" t="n"/>
      <c r="O1243" s="12" t="n"/>
    </row>
    <row r="1244">
      <c r="A1244" s="11" t="n"/>
      <c r="B1244" s="11" t="n"/>
      <c r="C1244" s="11" t="n"/>
      <c r="D1244" s="11" t="n"/>
      <c r="E1244" s="11" t="n"/>
      <c r="F1244" s="11" t="n"/>
      <c r="G1244" s="11" t="n"/>
      <c r="H1244" s="11" t="n"/>
      <c r="I1244" s="11" t="n"/>
      <c r="J1244" s="11" t="n"/>
      <c r="K1244" s="11" t="n"/>
      <c r="L1244" s="11" t="n"/>
      <c r="M1244" s="11" t="n"/>
      <c r="N1244" s="11" t="n"/>
      <c r="O1244" s="12" t="n"/>
    </row>
    <row r="1245">
      <c r="A1245" s="11" t="n"/>
      <c r="B1245" s="11" t="n"/>
      <c r="C1245" s="11" t="n"/>
      <c r="D1245" s="11" t="n"/>
      <c r="E1245" s="11" t="n"/>
      <c r="F1245" s="11" t="n"/>
      <c r="G1245" s="11" t="n"/>
      <c r="H1245" s="11" t="n"/>
      <c r="I1245" s="11" t="n"/>
      <c r="J1245" s="11" t="n"/>
      <c r="K1245" s="11" t="n"/>
      <c r="L1245" s="11" t="n"/>
      <c r="M1245" s="11" t="n"/>
      <c r="N1245" s="11" t="n"/>
      <c r="O1245" s="12" t="n"/>
    </row>
    <row r="1246">
      <c r="A1246" s="11" t="n"/>
      <c r="B1246" s="11" t="n"/>
      <c r="C1246" s="11" t="n"/>
      <c r="D1246" s="11" t="n"/>
      <c r="E1246" s="11" t="n"/>
      <c r="F1246" s="11" t="n"/>
      <c r="G1246" s="11" t="n"/>
      <c r="H1246" s="11" t="n"/>
      <c r="I1246" s="11" t="n"/>
      <c r="J1246" s="11" t="n"/>
      <c r="K1246" s="11" t="n"/>
      <c r="L1246" s="11" t="n"/>
      <c r="M1246" s="11" t="n"/>
      <c r="N1246" s="11" t="n"/>
      <c r="O1246" s="12" t="n"/>
    </row>
    <row r="1247">
      <c r="A1247" s="11" t="n"/>
      <c r="B1247" s="11" t="n"/>
      <c r="C1247" s="11" t="n"/>
      <c r="D1247" s="11" t="n"/>
      <c r="E1247" s="11" t="n"/>
      <c r="F1247" s="11" t="n"/>
      <c r="G1247" s="11" t="n"/>
      <c r="H1247" s="11" t="n"/>
      <c r="I1247" s="11" t="n"/>
      <c r="J1247" s="11" t="n"/>
      <c r="K1247" s="11" t="n"/>
      <c r="L1247" s="11" t="n"/>
      <c r="M1247" s="11" t="n"/>
      <c r="N1247" s="11" t="n"/>
      <c r="O1247" s="12" t="n"/>
    </row>
    <row r="1248">
      <c r="A1248" s="11" t="n"/>
      <c r="B1248" s="11" t="n"/>
      <c r="C1248" s="11" t="n"/>
      <c r="D1248" s="11" t="n"/>
      <c r="E1248" s="11" t="n"/>
      <c r="F1248" s="11" t="n"/>
      <c r="G1248" s="11" t="n"/>
      <c r="H1248" s="11" t="n"/>
      <c r="I1248" s="11" t="n"/>
      <c r="J1248" s="11" t="n"/>
      <c r="K1248" s="11" t="n"/>
      <c r="L1248" s="11" t="n"/>
      <c r="M1248" s="11" t="n"/>
      <c r="N1248" s="11" t="n"/>
      <c r="O1248" s="12" t="n"/>
    </row>
    <row r="1249">
      <c r="A1249" s="11" t="n"/>
      <c r="B1249" s="11" t="n"/>
      <c r="C1249" s="11" t="n"/>
      <c r="D1249" s="11" t="n"/>
      <c r="E1249" s="11" t="n"/>
      <c r="F1249" s="11" t="n"/>
      <c r="G1249" s="11" t="n"/>
      <c r="H1249" s="11" t="n"/>
      <c r="I1249" s="11" t="n"/>
      <c r="J1249" s="11" t="n"/>
      <c r="K1249" s="11" t="n"/>
      <c r="L1249" s="11" t="n"/>
      <c r="M1249" s="11" t="n"/>
      <c r="N1249" s="11" t="n"/>
      <c r="O1249" s="12" t="n"/>
    </row>
    <row r="1250">
      <c r="A1250" s="11" t="n"/>
      <c r="B1250" s="11" t="n"/>
      <c r="C1250" s="11" t="n"/>
      <c r="D1250" s="11" t="n"/>
      <c r="E1250" s="11" t="n"/>
      <c r="F1250" s="11" t="n"/>
      <c r="G1250" s="11" t="n"/>
      <c r="H1250" s="11" t="n"/>
      <c r="I1250" s="11" t="n"/>
      <c r="J1250" s="11" t="n"/>
      <c r="K1250" s="11" t="n"/>
      <c r="L1250" s="11" t="n"/>
      <c r="M1250" s="11" t="n"/>
      <c r="N1250" s="11" t="n"/>
      <c r="O1250" s="12" t="n"/>
    </row>
    <row r="1251">
      <c r="A1251" s="11" t="n"/>
      <c r="B1251" s="11" t="n"/>
      <c r="C1251" s="11" t="n"/>
      <c r="D1251" s="11" t="n"/>
      <c r="E1251" s="11" t="n"/>
      <c r="F1251" s="11" t="n"/>
      <c r="G1251" s="11" t="n"/>
      <c r="H1251" s="11" t="n"/>
      <c r="I1251" s="11" t="n"/>
      <c r="J1251" s="11" t="n"/>
      <c r="K1251" s="11" t="n"/>
      <c r="L1251" s="11" t="n"/>
      <c r="M1251" s="11" t="n"/>
      <c r="N1251" s="11" t="n"/>
      <c r="O1251" s="12" t="n"/>
    </row>
    <row r="1252">
      <c r="A1252" s="11" t="n"/>
      <c r="B1252" s="11" t="n"/>
      <c r="C1252" s="11" t="n"/>
      <c r="D1252" s="11" t="n"/>
      <c r="E1252" s="11" t="n"/>
      <c r="F1252" s="11" t="n"/>
      <c r="G1252" s="11" t="n"/>
      <c r="H1252" s="11" t="n"/>
      <c r="I1252" s="11" t="n"/>
      <c r="J1252" s="11" t="n"/>
      <c r="K1252" s="11" t="n"/>
      <c r="L1252" s="11" t="n"/>
      <c r="M1252" s="11" t="n"/>
      <c r="N1252" s="11" t="n"/>
      <c r="O1252" s="12" t="n"/>
    </row>
    <row r="1253">
      <c r="A1253" s="11" t="n"/>
      <c r="B1253" s="11" t="n"/>
      <c r="C1253" s="11" t="n"/>
      <c r="D1253" s="11" t="n"/>
      <c r="E1253" s="11" t="n"/>
      <c r="F1253" s="11" t="n"/>
      <c r="G1253" s="11" t="n"/>
      <c r="H1253" s="11" t="n"/>
      <c r="I1253" s="11" t="n"/>
      <c r="J1253" s="11" t="n"/>
      <c r="K1253" s="11" t="n"/>
      <c r="L1253" s="11" t="n"/>
      <c r="M1253" s="11" t="n"/>
      <c r="N1253" s="11" t="n"/>
      <c r="O1253" s="12" t="n"/>
    </row>
    <row r="1254">
      <c r="A1254" s="11" t="n"/>
      <c r="B1254" s="11" t="n"/>
      <c r="C1254" s="11" t="n"/>
      <c r="D1254" s="11" t="n"/>
      <c r="E1254" s="11" t="n"/>
      <c r="F1254" s="11" t="n"/>
      <c r="G1254" s="11" t="n"/>
      <c r="H1254" s="11" t="n"/>
      <c r="I1254" s="11" t="n"/>
      <c r="J1254" s="11" t="n"/>
      <c r="K1254" s="11" t="n"/>
      <c r="L1254" s="11" t="n"/>
      <c r="M1254" s="11" t="n"/>
      <c r="N1254" s="11" t="n"/>
      <c r="O1254" s="12" t="n"/>
    </row>
    <row r="1255">
      <c r="A1255" s="11" t="n"/>
      <c r="B1255" s="11" t="n"/>
      <c r="C1255" s="11" t="n"/>
      <c r="D1255" s="11" t="n"/>
      <c r="E1255" s="11" t="n"/>
      <c r="F1255" s="11" t="n"/>
      <c r="G1255" s="11" t="n"/>
      <c r="H1255" s="11" t="n"/>
      <c r="I1255" s="11" t="n"/>
      <c r="J1255" s="11" t="n"/>
      <c r="K1255" s="11" t="n"/>
      <c r="L1255" s="11" t="n"/>
      <c r="M1255" s="11" t="n"/>
      <c r="N1255" s="11" t="n"/>
      <c r="O1255" s="12" t="n"/>
    </row>
    <row r="1256">
      <c r="A1256" s="11" t="n"/>
      <c r="B1256" s="11" t="n"/>
      <c r="C1256" s="11" t="n"/>
      <c r="D1256" s="11" t="n"/>
      <c r="E1256" s="11" t="n"/>
      <c r="F1256" s="11" t="n"/>
      <c r="G1256" s="11" t="n"/>
      <c r="H1256" s="11" t="n"/>
      <c r="I1256" s="11" t="n"/>
      <c r="J1256" s="11" t="n"/>
      <c r="K1256" s="11" t="n"/>
      <c r="L1256" s="11" t="n"/>
      <c r="M1256" s="11" t="n"/>
      <c r="N1256" s="11" t="n"/>
      <c r="O1256" s="12" t="n"/>
    </row>
    <row r="1257">
      <c r="A1257" s="11" t="n"/>
      <c r="B1257" s="11" t="n"/>
      <c r="C1257" s="11" t="n"/>
      <c r="D1257" s="11" t="n"/>
      <c r="E1257" s="11" t="n"/>
      <c r="F1257" s="11" t="n"/>
      <c r="G1257" s="11" t="n"/>
      <c r="H1257" s="11" t="n"/>
      <c r="I1257" s="11" t="n"/>
      <c r="J1257" s="11" t="n"/>
      <c r="K1257" s="11" t="n"/>
      <c r="L1257" s="11" t="n"/>
      <c r="M1257" s="11" t="n"/>
      <c r="N1257" s="11" t="n"/>
      <c r="O1257" s="12" t="n"/>
    </row>
    <row r="1258">
      <c r="A1258" s="11" t="n"/>
      <c r="B1258" s="11" t="n"/>
      <c r="C1258" s="11" t="n"/>
      <c r="D1258" s="11" t="n"/>
      <c r="E1258" s="11" t="n"/>
      <c r="F1258" s="11" t="n"/>
      <c r="G1258" s="11" t="n"/>
      <c r="H1258" s="11" t="n"/>
      <c r="I1258" s="11" t="n"/>
      <c r="J1258" s="11" t="n"/>
      <c r="K1258" s="11" t="n"/>
      <c r="L1258" s="11" t="n"/>
      <c r="M1258" s="11" t="n"/>
      <c r="N1258" s="11" t="n"/>
      <c r="O1258" s="12" t="n"/>
    </row>
    <row r="1259">
      <c r="A1259" s="11" t="n"/>
      <c r="B1259" s="11" t="n"/>
      <c r="C1259" s="11" t="n"/>
      <c r="D1259" s="11" t="n"/>
      <c r="E1259" s="11" t="n"/>
      <c r="F1259" s="11" t="n"/>
      <c r="G1259" s="11" t="n"/>
      <c r="H1259" s="11" t="n"/>
      <c r="I1259" s="11" t="n"/>
      <c r="J1259" s="11" t="n"/>
      <c r="K1259" s="11" t="n"/>
      <c r="L1259" s="11" t="n"/>
      <c r="M1259" s="11" t="n"/>
      <c r="N1259" s="11" t="n"/>
      <c r="O1259" s="12" t="n"/>
    </row>
    <row r="1260">
      <c r="A1260" s="11" t="n"/>
      <c r="B1260" s="11" t="n"/>
      <c r="C1260" s="11" t="n"/>
      <c r="D1260" s="11" t="n"/>
      <c r="E1260" s="11" t="n"/>
      <c r="F1260" s="11" t="n"/>
      <c r="G1260" s="11" t="n"/>
      <c r="H1260" s="11" t="n"/>
      <c r="I1260" s="11" t="n"/>
      <c r="J1260" s="11" t="n"/>
      <c r="K1260" s="11" t="n"/>
      <c r="L1260" s="11" t="n"/>
      <c r="M1260" s="11" t="n"/>
      <c r="N1260" s="11" t="n"/>
      <c r="O1260" s="12" t="n"/>
    </row>
    <row r="1261">
      <c r="A1261" s="11" t="n"/>
      <c r="B1261" s="11" t="n"/>
      <c r="C1261" s="11" t="n"/>
      <c r="D1261" s="11" t="n"/>
      <c r="E1261" s="11" t="n"/>
      <c r="F1261" s="11" t="n"/>
      <c r="G1261" s="11" t="n"/>
      <c r="H1261" s="11" t="n"/>
      <c r="I1261" s="11" t="n"/>
      <c r="J1261" s="11" t="n"/>
      <c r="K1261" s="11" t="n"/>
      <c r="L1261" s="11" t="n"/>
      <c r="M1261" s="11" t="n"/>
      <c r="N1261" s="11" t="n"/>
      <c r="O1261" s="12" t="n"/>
    </row>
    <row r="1262">
      <c r="A1262" s="11" t="n"/>
      <c r="B1262" s="11" t="n"/>
      <c r="C1262" s="11" t="n"/>
      <c r="D1262" s="11" t="n"/>
      <c r="E1262" s="11" t="n"/>
      <c r="F1262" s="11" t="n"/>
      <c r="G1262" s="11" t="n"/>
      <c r="H1262" s="11" t="n"/>
      <c r="I1262" s="11" t="n"/>
      <c r="J1262" s="11" t="n"/>
      <c r="K1262" s="11" t="n"/>
      <c r="L1262" s="11" t="n"/>
      <c r="M1262" s="11" t="n"/>
      <c r="N1262" s="11" t="n"/>
      <c r="O1262" s="12" t="n"/>
    </row>
    <row r="1263">
      <c r="A1263" s="11" t="n"/>
      <c r="B1263" s="11" t="n"/>
      <c r="C1263" s="11" t="n"/>
      <c r="D1263" s="11" t="n"/>
      <c r="E1263" s="11" t="n"/>
      <c r="F1263" s="11" t="n"/>
      <c r="G1263" s="11" t="n"/>
      <c r="H1263" s="11" t="n"/>
      <c r="I1263" s="11" t="n"/>
      <c r="J1263" s="11" t="n"/>
      <c r="K1263" s="11" t="n"/>
      <c r="L1263" s="11" t="n"/>
      <c r="M1263" s="11" t="n"/>
      <c r="N1263" s="11" t="n"/>
      <c r="O1263" s="12" t="n"/>
    </row>
    <row r="1264">
      <c r="A1264" s="11" t="n"/>
      <c r="B1264" s="11" t="n"/>
      <c r="C1264" s="11" t="n"/>
      <c r="D1264" s="11" t="n"/>
      <c r="E1264" s="11" t="n"/>
      <c r="F1264" s="11" t="n"/>
      <c r="G1264" s="11" t="n"/>
      <c r="H1264" s="11" t="n"/>
      <c r="I1264" s="11" t="n"/>
      <c r="J1264" s="11" t="n"/>
      <c r="K1264" s="11" t="n"/>
      <c r="L1264" s="11" t="n"/>
      <c r="M1264" s="11" t="n"/>
      <c r="N1264" s="11" t="n"/>
      <c r="O1264" s="12" t="n"/>
    </row>
    <row r="1265">
      <c r="A1265" s="11" t="n"/>
      <c r="B1265" s="11" t="n"/>
      <c r="C1265" s="11" t="n"/>
      <c r="D1265" s="11" t="n"/>
      <c r="E1265" s="11" t="n"/>
      <c r="F1265" s="11" t="n"/>
      <c r="G1265" s="11" t="n"/>
      <c r="H1265" s="11" t="n"/>
      <c r="I1265" s="11" t="n"/>
      <c r="J1265" s="11" t="n"/>
      <c r="K1265" s="11" t="n"/>
      <c r="L1265" s="11" t="n"/>
      <c r="M1265" s="11" t="n"/>
      <c r="N1265" s="11" t="n"/>
      <c r="O1265" s="12" t="n"/>
    </row>
    <row r="1266">
      <c r="A1266" s="11" t="n"/>
      <c r="B1266" s="11" t="n"/>
      <c r="C1266" s="11" t="n"/>
      <c r="D1266" s="11" t="n"/>
      <c r="E1266" s="11" t="n"/>
      <c r="F1266" s="11" t="n"/>
      <c r="G1266" s="11" t="n"/>
      <c r="H1266" s="11" t="n"/>
      <c r="I1266" s="11" t="n"/>
      <c r="J1266" s="11" t="n"/>
      <c r="K1266" s="11" t="n"/>
      <c r="L1266" s="11" t="n"/>
      <c r="M1266" s="11" t="n"/>
      <c r="N1266" s="11" t="n"/>
      <c r="O1266" s="12" t="n"/>
    </row>
    <row r="1267">
      <c r="A1267" s="11" t="n"/>
      <c r="B1267" s="11" t="n"/>
      <c r="C1267" s="11" t="n"/>
      <c r="D1267" s="11" t="n"/>
      <c r="E1267" s="11" t="n"/>
      <c r="F1267" s="11" t="n"/>
      <c r="G1267" s="11" t="n"/>
      <c r="H1267" s="11" t="n"/>
      <c r="I1267" s="11" t="n"/>
      <c r="J1267" s="11" t="n"/>
      <c r="K1267" s="11" t="n"/>
      <c r="L1267" s="11" t="n"/>
      <c r="M1267" s="11" t="n"/>
      <c r="N1267" s="11" t="n"/>
      <c r="O1267" s="12" t="n"/>
    </row>
    <row r="1268">
      <c r="A1268" s="11" t="n"/>
      <c r="B1268" s="11" t="n"/>
      <c r="C1268" s="11" t="n"/>
      <c r="D1268" s="11" t="n"/>
      <c r="E1268" s="11" t="n"/>
      <c r="F1268" s="11" t="n"/>
      <c r="G1268" s="11" t="n"/>
      <c r="H1268" s="11" t="n"/>
      <c r="I1268" s="11" t="n"/>
      <c r="J1268" s="11" t="n"/>
      <c r="K1268" s="11" t="n"/>
      <c r="L1268" s="11" t="n"/>
      <c r="M1268" s="11" t="n"/>
      <c r="N1268" s="11" t="n"/>
      <c r="O1268" s="12" t="n"/>
    </row>
    <row r="1269">
      <c r="A1269" s="11" t="n"/>
      <c r="B1269" s="11" t="n"/>
      <c r="C1269" s="11" t="n"/>
      <c r="D1269" s="11" t="n"/>
      <c r="E1269" s="11" t="n"/>
      <c r="F1269" s="11" t="n"/>
      <c r="G1269" s="11" t="n"/>
      <c r="H1269" s="11" t="n"/>
      <c r="I1269" s="11" t="n"/>
      <c r="J1269" s="11" t="n"/>
      <c r="K1269" s="11" t="n"/>
      <c r="L1269" s="11" t="n"/>
      <c r="M1269" s="11" t="n"/>
      <c r="N1269" s="11" t="n"/>
      <c r="O1269" s="12" t="n"/>
    </row>
    <row r="1270">
      <c r="A1270" s="11" t="n"/>
      <c r="B1270" s="11" t="n"/>
      <c r="C1270" s="11" t="n"/>
      <c r="D1270" s="11" t="n"/>
      <c r="E1270" s="11" t="n"/>
      <c r="F1270" s="11" t="n"/>
      <c r="G1270" s="11" t="n"/>
      <c r="H1270" s="11" t="n"/>
      <c r="I1270" s="11" t="n"/>
      <c r="J1270" s="11" t="n"/>
      <c r="K1270" s="11" t="n"/>
      <c r="L1270" s="11" t="n"/>
      <c r="M1270" s="11" t="n"/>
      <c r="N1270" s="11" t="n"/>
      <c r="O1270" s="12" t="n"/>
    </row>
    <row r="1271">
      <c r="A1271" s="11" t="n"/>
      <c r="B1271" s="11" t="n"/>
      <c r="C1271" s="11" t="n"/>
      <c r="D1271" s="11" t="n"/>
      <c r="E1271" s="11" t="n"/>
      <c r="F1271" s="11" t="n"/>
      <c r="G1271" s="11" t="n"/>
      <c r="H1271" s="11" t="n"/>
      <c r="I1271" s="11" t="n"/>
      <c r="J1271" s="11" t="n"/>
      <c r="K1271" s="11" t="n"/>
      <c r="L1271" s="11" t="n"/>
      <c r="M1271" s="11" t="n"/>
      <c r="N1271" s="11" t="n"/>
      <c r="O1271" s="12" t="n"/>
    </row>
    <row r="1272">
      <c r="A1272" s="11" t="n"/>
      <c r="B1272" s="11" t="n"/>
      <c r="C1272" s="11" t="n"/>
      <c r="D1272" s="11" t="n"/>
      <c r="E1272" s="11" t="n"/>
      <c r="F1272" s="11" t="n"/>
      <c r="G1272" s="11" t="n"/>
      <c r="H1272" s="11" t="n"/>
      <c r="I1272" s="11" t="n"/>
      <c r="J1272" s="11" t="n"/>
      <c r="K1272" s="11" t="n"/>
      <c r="L1272" s="11" t="n"/>
      <c r="M1272" s="11" t="n"/>
      <c r="N1272" s="11" t="n"/>
      <c r="O1272" s="12" t="n"/>
    </row>
    <row r="1273">
      <c r="A1273" s="11" t="n"/>
      <c r="B1273" s="11" t="n"/>
      <c r="C1273" s="11" t="n"/>
      <c r="D1273" s="11" t="n"/>
      <c r="E1273" s="11" t="n"/>
      <c r="F1273" s="11" t="n"/>
      <c r="G1273" s="11" t="n"/>
      <c r="H1273" s="11" t="n"/>
      <c r="I1273" s="11" t="n"/>
      <c r="J1273" s="11" t="n"/>
      <c r="K1273" s="11" t="n"/>
      <c r="L1273" s="11" t="n"/>
      <c r="M1273" s="11" t="n"/>
      <c r="N1273" s="11" t="n"/>
      <c r="O1273" s="12" t="n"/>
    </row>
    <row r="1274">
      <c r="A1274" s="11" t="n"/>
      <c r="B1274" s="11" t="n"/>
      <c r="C1274" s="11" t="n"/>
      <c r="D1274" s="11" t="n"/>
      <c r="E1274" s="11" t="n"/>
      <c r="F1274" s="11" t="n"/>
      <c r="G1274" s="11" t="n"/>
      <c r="H1274" s="11" t="n"/>
      <c r="I1274" s="11" t="n"/>
      <c r="J1274" s="11" t="n"/>
      <c r="K1274" s="11" t="n"/>
      <c r="L1274" s="11" t="n"/>
      <c r="M1274" s="11" t="n"/>
      <c r="N1274" s="11" t="n"/>
      <c r="O1274" s="12" t="n"/>
    </row>
    <row r="1275">
      <c r="A1275" s="11" t="n"/>
      <c r="B1275" s="11" t="n"/>
      <c r="C1275" s="11" t="n"/>
      <c r="D1275" s="11" t="n"/>
      <c r="E1275" s="11" t="n"/>
      <c r="F1275" s="11" t="n"/>
      <c r="G1275" s="11" t="n"/>
      <c r="H1275" s="11" t="n"/>
      <c r="I1275" s="11" t="n"/>
      <c r="J1275" s="11" t="n"/>
      <c r="K1275" s="11" t="n"/>
      <c r="L1275" s="11" t="n"/>
      <c r="M1275" s="11" t="n"/>
      <c r="N1275" s="11" t="n"/>
      <c r="O1275" s="12" t="n"/>
    </row>
    <row r="1276">
      <c r="A1276" s="11" t="n"/>
      <c r="B1276" s="11" t="n"/>
      <c r="C1276" s="11" t="n"/>
      <c r="D1276" s="11" t="n"/>
      <c r="E1276" s="11" t="n"/>
      <c r="F1276" s="11" t="n"/>
      <c r="G1276" s="11" t="n"/>
      <c r="H1276" s="11" t="n"/>
      <c r="I1276" s="11" t="n"/>
      <c r="J1276" s="11" t="n"/>
      <c r="K1276" s="11" t="n"/>
      <c r="L1276" s="11" t="n"/>
      <c r="M1276" s="11" t="n"/>
      <c r="N1276" s="11" t="n"/>
      <c r="O1276" s="12" t="n"/>
    </row>
    <row r="1277">
      <c r="A1277" s="11" t="n"/>
      <c r="B1277" s="11" t="n"/>
      <c r="C1277" s="11" t="n"/>
      <c r="D1277" s="11" t="n"/>
      <c r="E1277" s="11" t="n"/>
      <c r="F1277" s="11" t="n"/>
      <c r="G1277" s="11" t="n"/>
      <c r="H1277" s="11" t="n"/>
      <c r="I1277" s="11" t="n"/>
      <c r="J1277" s="11" t="n"/>
      <c r="K1277" s="11" t="n"/>
      <c r="L1277" s="11" t="n"/>
      <c r="M1277" s="11" t="n"/>
      <c r="N1277" s="11" t="n"/>
      <c r="O1277" s="12" t="n"/>
    </row>
    <row r="1278">
      <c r="A1278" s="11" t="n"/>
      <c r="B1278" s="11" t="n"/>
      <c r="C1278" s="11" t="n"/>
      <c r="D1278" s="11" t="n"/>
      <c r="E1278" s="11" t="n"/>
      <c r="F1278" s="11" t="n"/>
      <c r="G1278" s="11" t="n"/>
      <c r="H1278" s="11" t="n"/>
      <c r="I1278" s="11" t="n"/>
      <c r="J1278" s="11" t="n"/>
      <c r="K1278" s="11" t="n"/>
      <c r="L1278" s="11" t="n"/>
      <c r="M1278" s="11" t="n"/>
      <c r="N1278" s="11" t="n"/>
      <c r="O1278" s="12" t="n"/>
    </row>
    <row r="1279">
      <c r="A1279" s="11" t="n"/>
      <c r="B1279" s="11" t="n"/>
      <c r="C1279" s="11" t="n"/>
      <c r="D1279" s="11" t="n"/>
      <c r="E1279" s="11" t="n"/>
      <c r="F1279" s="11" t="n"/>
      <c r="G1279" s="11" t="n"/>
      <c r="H1279" s="11" t="n"/>
      <c r="I1279" s="11" t="n"/>
      <c r="J1279" s="11" t="n"/>
      <c r="K1279" s="11" t="n"/>
      <c r="L1279" s="11" t="n"/>
      <c r="M1279" s="11" t="n"/>
      <c r="N1279" s="11" t="n"/>
      <c r="O1279" s="12" t="n"/>
    </row>
    <row r="1280">
      <c r="A1280" s="11" t="n"/>
      <c r="B1280" s="11" t="n"/>
      <c r="C1280" s="11" t="n"/>
      <c r="D1280" s="11" t="n"/>
      <c r="E1280" s="11" t="n"/>
      <c r="F1280" s="11" t="n"/>
      <c r="G1280" s="11" t="n"/>
      <c r="H1280" s="11" t="n"/>
      <c r="I1280" s="11" t="n"/>
      <c r="J1280" s="11" t="n"/>
      <c r="K1280" s="11" t="n"/>
      <c r="L1280" s="11" t="n"/>
      <c r="M1280" s="11" t="n"/>
      <c r="N1280" s="11" t="n"/>
      <c r="O1280" s="12" t="n"/>
    </row>
    <row r="1281">
      <c r="A1281" s="11" t="n"/>
      <c r="B1281" s="11" t="n"/>
      <c r="C1281" s="11" t="n"/>
      <c r="D1281" s="11" t="n"/>
      <c r="E1281" s="11" t="n"/>
      <c r="F1281" s="11" t="n"/>
      <c r="G1281" s="11" t="n"/>
      <c r="H1281" s="11" t="n"/>
      <c r="I1281" s="11" t="n"/>
      <c r="J1281" s="11" t="n"/>
      <c r="K1281" s="11" t="n"/>
      <c r="L1281" s="11" t="n"/>
      <c r="M1281" s="11" t="n"/>
      <c r="N1281" s="11" t="n"/>
      <c r="O1281" s="12" t="n"/>
    </row>
    <row r="1282">
      <c r="A1282" s="11" t="n"/>
      <c r="B1282" s="11" t="n"/>
      <c r="C1282" s="11" t="n"/>
      <c r="D1282" s="11" t="n"/>
      <c r="E1282" s="11" t="n"/>
      <c r="F1282" s="11" t="n"/>
      <c r="G1282" s="11" t="n"/>
      <c r="H1282" s="11" t="n"/>
      <c r="I1282" s="11" t="n"/>
      <c r="J1282" s="11" t="n"/>
      <c r="K1282" s="11" t="n"/>
      <c r="L1282" s="11" t="n"/>
      <c r="M1282" s="11" t="n"/>
      <c r="N1282" s="11" t="n"/>
      <c r="O1282" s="12" t="n"/>
    </row>
    <row r="1283">
      <c r="A1283" s="11" t="n"/>
      <c r="B1283" s="11" t="n"/>
      <c r="C1283" s="11" t="n"/>
      <c r="D1283" s="11" t="n"/>
      <c r="E1283" s="11" t="n"/>
      <c r="F1283" s="11" t="n"/>
      <c r="G1283" s="11" t="n"/>
      <c r="H1283" s="11" t="n"/>
      <c r="I1283" s="11" t="n"/>
      <c r="J1283" s="11" t="n"/>
      <c r="K1283" s="11" t="n"/>
      <c r="L1283" s="11" t="n"/>
      <c r="M1283" s="11" t="n"/>
      <c r="N1283" s="11" t="n"/>
      <c r="O1283" s="12" t="n"/>
    </row>
    <row r="1284">
      <c r="A1284" s="11" t="n"/>
      <c r="B1284" s="11" t="n"/>
      <c r="C1284" s="11" t="n"/>
      <c r="D1284" s="11" t="n"/>
      <c r="E1284" s="11" t="n"/>
      <c r="F1284" s="11" t="n"/>
      <c r="G1284" s="11" t="n"/>
      <c r="H1284" s="11" t="n"/>
      <c r="I1284" s="11" t="n"/>
      <c r="J1284" s="11" t="n"/>
      <c r="K1284" s="11" t="n"/>
      <c r="L1284" s="11" t="n"/>
      <c r="M1284" s="11" t="n"/>
      <c r="N1284" s="11" t="n"/>
      <c r="O1284" s="12" t="n"/>
    </row>
    <row r="1285">
      <c r="A1285" s="11" t="n"/>
      <c r="B1285" s="11" t="n"/>
      <c r="C1285" s="11" t="n"/>
      <c r="D1285" s="11" t="n"/>
      <c r="E1285" s="11" t="n"/>
      <c r="F1285" s="11" t="n"/>
      <c r="G1285" s="11" t="n"/>
      <c r="H1285" s="11" t="n"/>
      <c r="I1285" s="11" t="n"/>
      <c r="J1285" s="11" t="n"/>
      <c r="K1285" s="11" t="n"/>
      <c r="L1285" s="11" t="n"/>
      <c r="M1285" s="11" t="n"/>
      <c r="N1285" s="11" t="n"/>
      <c r="O1285" s="12" t="n"/>
    </row>
    <row r="1286">
      <c r="A1286" s="11" t="n"/>
      <c r="B1286" s="11" t="n"/>
      <c r="C1286" s="11" t="n"/>
      <c r="D1286" s="11" t="n"/>
      <c r="E1286" s="11" t="n"/>
      <c r="F1286" s="11" t="n"/>
      <c r="G1286" s="11" t="n"/>
      <c r="H1286" s="11" t="n"/>
      <c r="I1286" s="11" t="n"/>
      <c r="J1286" s="11" t="n"/>
      <c r="K1286" s="11" t="n"/>
      <c r="L1286" s="11" t="n"/>
      <c r="M1286" s="11" t="n"/>
      <c r="N1286" s="11" t="n"/>
      <c r="O1286" s="12" t="n"/>
    </row>
    <row r="1287">
      <c r="A1287" s="11" t="n"/>
      <c r="B1287" s="11" t="n"/>
      <c r="C1287" s="11" t="n"/>
      <c r="D1287" s="11" t="n"/>
      <c r="E1287" s="11" t="n"/>
      <c r="F1287" s="11" t="n"/>
      <c r="G1287" s="11" t="n"/>
      <c r="H1287" s="11" t="n"/>
      <c r="I1287" s="11" t="n"/>
      <c r="J1287" s="11" t="n"/>
      <c r="K1287" s="11" t="n"/>
      <c r="L1287" s="11" t="n"/>
      <c r="M1287" s="11" t="n"/>
      <c r="N1287" s="11" t="n"/>
      <c r="O1287" s="12" t="n"/>
    </row>
    <row r="1288">
      <c r="A1288" s="11" t="n"/>
      <c r="B1288" s="11" t="n"/>
      <c r="C1288" s="11" t="n"/>
      <c r="D1288" s="11" t="n"/>
      <c r="E1288" s="11" t="n"/>
      <c r="F1288" s="11" t="n"/>
      <c r="G1288" s="11" t="n"/>
      <c r="H1288" s="11" t="n"/>
      <c r="I1288" s="11" t="n"/>
      <c r="J1288" s="11" t="n"/>
      <c r="K1288" s="11" t="n"/>
      <c r="L1288" s="11" t="n"/>
      <c r="M1288" s="11" t="n"/>
      <c r="N1288" s="11" t="n"/>
      <c r="O1288" s="12" t="n"/>
    </row>
    <row r="1289">
      <c r="A1289" s="11" t="n"/>
      <c r="B1289" s="11" t="n"/>
      <c r="C1289" s="11" t="n"/>
      <c r="D1289" s="11" t="n"/>
      <c r="E1289" s="11" t="n"/>
      <c r="F1289" s="11" t="n"/>
      <c r="G1289" s="11" t="n"/>
      <c r="H1289" s="11" t="n"/>
      <c r="I1289" s="11" t="n"/>
      <c r="J1289" s="11" t="n"/>
      <c r="K1289" s="11" t="n"/>
      <c r="L1289" s="11" t="n"/>
      <c r="M1289" s="11" t="n"/>
      <c r="N1289" s="11" t="n"/>
      <c r="O1289" s="12" t="n"/>
    </row>
    <row r="1290">
      <c r="A1290" s="11" t="n"/>
      <c r="B1290" s="11" t="n"/>
      <c r="C1290" s="11" t="n"/>
      <c r="D1290" s="11" t="n"/>
      <c r="E1290" s="11" t="n"/>
      <c r="F1290" s="11" t="n"/>
      <c r="G1290" s="11" t="n"/>
      <c r="H1290" s="11" t="n"/>
      <c r="I1290" s="11" t="n"/>
      <c r="J1290" s="11" t="n"/>
      <c r="K1290" s="11" t="n"/>
      <c r="L1290" s="11" t="n"/>
      <c r="M1290" s="11" t="n"/>
      <c r="N1290" s="11" t="n"/>
      <c r="O1290" s="12" t="n"/>
    </row>
    <row r="1291">
      <c r="A1291" s="11" t="n"/>
      <c r="B1291" s="11" t="n"/>
      <c r="C1291" s="11" t="n"/>
      <c r="D1291" s="11" t="n"/>
      <c r="E1291" s="11" t="n"/>
      <c r="F1291" s="11" t="n"/>
      <c r="G1291" s="11" t="n"/>
      <c r="H1291" s="11" t="n"/>
      <c r="I1291" s="11" t="n"/>
      <c r="J1291" s="11" t="n"/>
      <c r="K1291" s="11" t="n"/>
      <c r="L1291" s="11" t="n"/>
      <c r="M1291" s="11" t="n"/>
      <c r="N1291" s="11" t="n"/>
      <c r="O1291" s="12" t="n"/>
    </row>
    <row r="1292">
      <c r="A1292" s="11" t="n"/>
      <c r="B1292" s="11" t="n"/>
      <c r="C1292" s="11" t="n"/>
      <c r="D1292" s="11" t="n"/>
      <c r="E1292" s="11" t="n"/>
      <c r="F1292" s="11" t="n"/>
      <c r="G1292" s="11" t="n"/>
      <c r="H1292" s="11" t="n"/>
      <c r="I1292" s="11" t="n"/>
      <c r="J1292" s="11" t="n"/>
      <c r="K1292" s="11" t="n"/>
      <c r="L1292" s="11" t="n"/>
      <c r="M1292" s="11" t="n"/>
      <c r="N1292" s="11" t="n"/>
      <c r="O1292" s="12" t="n"/>
    </row>
    <row r="1293">
      <c r="A1293" s="11" t="n"/>
      <c r="B1293" s="11" t="n"/>
      <c r="C1293" s="11" t="n"/>
      <c r="D1293" s="11" t="n"/>
      <c r="E1293" s="11" t="n"/>
      <c r="F1293" s="11" t="n"/>
      <c r="G1293" s="11" t="n"/>
      <c r="H1293" s="11" t="n"/>
      <c r="I1293" s="11" t="n"/>
      <c r="J1293" s="11" t="n"/>
      <c r="K1293" s="11" t="n"/>
      <c r="L1293" s="11" t="n"/>
      <c r="M1293" s="11" t="n"/>
      <c r="N1293" s="11" t="n"/>
      <c r="O1293" s="12" t="n"/>
    </row>
    <row r="1294">
      <c r="A1294" s="11" t="n"/>
      <c r="B1294" s="11" t="n"/>
      <c r="C1294" s="11" t="n"/>
      <c r="D1294" s="11" t="n"/>
      <c r="E1294" s="11" t="n"/>
      <c r="F1294" s="11" t="n"/>
      <c r="G1294" s="11" t="n"/>
      <c r="H1294" s="11" t="n"/>
      <c r="I1294" s="11" t="n"/>
      <c r="J1294" s="11" t="n"/>
      <c r="K1294" s="11" t="n"/>
      <c r="L1294" s="11" t="n"/>
      <c r="M1294" s="11" t="n"/>
      <c r="N1294" s="11" t="n"/>
      <c r="O1294" s="12" t="n"/>
    </row>
    <row r="1295">
      <c r="A1295" s="11" t="n"/>
      <c r="B1295" s="11" t="n"/>
      <c r="C1295" s="11" t="n"/>
      <c r="D1295" s="11" t="n"/>
      <c r="E1295" s="11" t="n"/>
      <c r="F1295" s="11" t="n"/>
      <c r="G1295" s="11" t="n"/>
      <c r="H1295" s="11" t="n"/>
      <c r="I1295" s="11" t="n"/>
      <c r="J1295" s="11" t="n"/>
      <c r="K1295" s="11" t="n"/>
      <c r="L1295" s="11" t="n"/>
      <c r="M1295" s="11" t="n"/>
      <c r="N1295" s="11" t="n"/>
      <c r="O1295" s="12" t="n"/>
    </row>
    <row r="1296">
      <c r="A1296" s="11" t="n"/>
      <c r="B1296" s="11" t="n"/>
      <c r="C1296" s="11" t="n"/>
      <c r="D1296" s="11" t="n"/>
      <c r="E1296" s="11" t="n"/>
      <c r="F1296" s="11" t="n"/>
      <c r="G1296" s="11" t="n"/>
      <c r="H1296" s="11" t="n"/>
      <c r="I1296" s="11" t="n"/>
      <c r="J1296" s="11" t="n"/>
      <c r="K1296" s="11" t="n"/>
      <c r="L1296" s="11" t="n"/>
      <c r="M1296" s="11" t="n"/>
      <c r="N1296" s="11" t="n"/>
      <c r="O1296" s="12" t="n"/>
    </row>
    <row r="1297">
      <c r="A1297" s="11" t="n"/>
      <c r="B1297" s="11" t="n"/>
      <c r="C1297" s="11" t="n"/>
      <c r="D1297" s="11" t="n"/>
      <c r="E1297" s="11" t="n"/>
      <c r="F1297" s="11" t="n"/>
      <c r="G1297" s="11" t="n"/>
      <c r="H1297" s="11" t="n"/>
      <c r="I1297" s="11" t="n"/>
      <c r="J1297" s="11" t="n"/>
      <c r="K1297" s="11" t="n"/>
      <c r="L1297" s="11" t="n"/>
      <c r="M1297" s="11" t="n"/>
      <c r="N1297" s="11" t="n"/>
      <c r="O1297" s="12" t="n"/>
    </row>
    <row r="1298">
      <c r="A1298" s="11" t="n"/>
      <c r="B1298" s="11" t="n"/>
      <c r="C1298" s="11" t="n"/>
      <c r="D1298" s="11" t="n"/>
      <c r="E1298" s="11" t="n"/>
      <c r="F1298" s="11" t="n"/>
      <c r="G1298" s="11" t="n"/>
      <c r="H1298" s="11" t="n"/>
      <c r="I1298" s="11" t="n"/>
      <c r="J1298" s="11" t="n"/>
      <c r="K1298" s="11" t="n"/>
      <c r="L1298" s="11" t="n"/>
      <c r="M1298" s="11" t="n"/>
      <c r="N1298" s="11" t="n"/>
      <c r="O1298" s="12" t="n"/>
    </row>
    <row r="1299">
      <c r="A1299" s="11" t="n"/>
      <c r="B1299" s="11" t="n"/>
      <c r="C1299" s="11" t="n"/>
      <c r="D1299" s="11" t="n"/>
      <c r="E1299" s="11" t="n"/>
      <c r="F1299" s="11" t="n"/>
      <c r="G1299" s="11" t="n"/>
      <c r="H1299" s="11" t="n"/>
      <c r="I1299" s="11" t="n"/>
      <c r="J1299" s="11" t="n"/>
      <c r="K1299" s="11" t="n"/>
      <c r="L1299" s="11" t="n"/>
      <c r="M1299" s="11" t="n"/>
      <c r="N1299" s="11" t="n"/>
      <c r="O1299" s="12" t="n"/>
    </row>
    <row r="1300">
      <c r="A1300" s="11" t="n"/>
      <c r="B1300" s="11" t="n"/>
      <c r="C1300" s="11" t="n"/>
      <c r="D1300" s="11" t="n"/>
      <c r="E1300" s="11" t="n"/>
      <c r="F1300" s="11" t="n"/>
      <c r="G1300" s="11" t="n"/>
      <c r="H1300" s="11" t="n"/>
      <c r="I1300" s="11" t="n"/>
      <c r="J1300" s="11" t="n"/>
      <c r="K1300" s="11" t="n"/>
      <c r="L1300" s="11" t="n"/>
      <c r="M1300" s="11" t="n"/>
      <c r="N1300" s="11" t="n"/>
      <c r="O1300" s="12" t="n"/>
    </row>
    <row r="1301">
      <c r="A1301" s="11" t="n"/>
      <c r="B1301" s="11" t="n"/>
      <c r="C1301" s="11" t="n"/>
      <c r="D1301" s="11" t="n"/>
      <c r="E1301" s="11" t="n"/>
      <c r="F1301" s="11" t="n"/>
      <c r="G1301" s="11" t="n"/>
      <c r="H1301" s="11" t="n"/>
      <c r="I1301" s="11" t="n"/>
      <c r="J1301" s="11" t="n"/>
      <c r="K1301" s="11" t="n"/>
      <c r="L1301" s="11" t="n"/>
      <c r="M1301" s="11" t="n"/>
      <c r="N1301" s="11" t="n"/>
      <c r="O1301" s="12" t="n"/>
    </row>
    <row r="1302">
      <c r="A1302" s="11" t="n"/>
      <c r="B1302" s="11" t="n"/>
      <c r="C1302" s="11" t="n"/>
      <c r="D1302" s="11" t="n"/>
      <c r="E1302" s="11" t="n"/>
      <c r="F1302" s="11" t="n"/>
      <c r="G1302" s="11" t="n"/>
      <c r="H1302" s="11" t="n"/>
      <c r="I1302" s="11" t="n"/>
      <c r="J1302" s="11" t="n"/>
      <c r="K1302" s="11" t="n"/>
      <c r="L1302" s="11" t="n"/>
      <c r="M1302" s="11" t="n"/>
      <c r="N1302" s="11" t="n"/>
      <c r="O1302" s="12" t="n"/>
    </row>
    <row r="1303">
      <c r="A1303" s="11" t="n"/>
      <c r="B1303" s="11" t="n"/>
      <c r="C1303" s="11" t="n"/>
      <c r="D1303" s="11" t="n"/>
      <c r="E1303" s="11" t="n"/>
      <c r="F1303" s="11" t="n"/>
      <c r="G1303" s="11" t="n"/>
      <c r="H1303" s="11" t="n"/>
      <c r="I1303" s="11" t="n"/>
      <c r="J1303" s="11" t="n"/>
      <c r="K1303" s="11" t="n"/>
      <c r="L1303" s="11" t="n"/>
      <c r="M1303" s="11" t="n"/>
      <c r="N1303" s="11" t="n"/>
      <c r="O1303" s="12" t="n"/>
    </row>
    <row r="1304">
      <c r="A1304" s="11" t="n"/>
      <c r="B1304" s="11" t="n"/>
      <c r="C1304" s="11" t="n"/>
      <c r="D1304" s="11" t="n"/>
      <c r="E1304" s="11" t="n"/>
      <c r="F1304" s="11" t="n"/>
      <c r="G1304" s="11" t="n"/>
      <c r="H1304" s="11" t="n"/>
      <c r="I1304" s="11" t="n"/>
      <c r="J1304" s="11" t="n"/>
      <c r="K1304" s="11" t="n"/>
      <c r="L1304" s="11" t="n"/>
      <c r="M1304" s="11" t="n"/>
      <c r="N1304" s="11" t="n"/>
      <c r="O1304" s="12" t="n"/>
    </row>
    <row r="1305">
      <c r="A1305" s="11" t="n"/>
      <c r="B1305" s="11" t="n"/>
      <c r="C1305" s="11" t="n"/>
      <c r="D1305" s="11" t="n"/>
      <c r="E1305" s="11" t="n"/>
      <c r="F1305" s="11" t="n"/>
      <c r="G1305" s="11" t="n"/>
      <c r="H1305" s="11" t="n"/>
      <c r="I1305" s="11" t="n"/>
      <c r="J1305" s="11" t="n"/>
      <c r="K1305" s="11" t="n"/>
      <c r="L1305" s="11" t="n"/>
      <c r="M1305" s="11" t="n"/>
      <c r="N1305" s="11" t="n"/>
      <c r="O1305" s="12" t="n"/>
    </row>
    <row r="1306">
      <c r="A1306" s="11" t="n"/>
      <c r="B1306" s="11" t="n"/>
      <c r="C1306" s="11" t="n"/>
      <c r="D1306" s="11" t="n"/>
      <c r="E1306" s="11" t="n"/>
      <c r="F1306" s="11" t="n"/>
      <c r="G1306" s="11" t="n"/>
      <c r="H1306" s="11" t="n"/>
      <c r="I1306" s="11" t="n"/>
      <c r="J1306" s="11" t="n"/>
      <c r="K1306" s="11" t="n"/>
      <c r="L1306" s="11" t="n"/>
      <c r="M1306" s="11" t="n"/>
      <c r="N1306" s="11" t="n"/>
      <c r="O1306" s="12" t="n"/>
    </row>
    <row r="1307">
      <c r="A1307" s="11" t="n"/>
      <c r="B1307" s="11" t="n"/>
      <c r="C1307" s="11" t="n"/>
      <c r="D1307" s="11" t="n"/>
      <c r="E1307" s="11" t="n"/>
      <c r="F1307" s="11" t="n"/>
      <c r="G1307" s="11" t="n"/>
      <c r="H1307" s="11" t="n"/>
      <c r="I1307" s="11" t="n"/>
      <c r="J1307" s="11" t="n"/>
      <c r="K1307" s="11" t="n"/>
      <c r="L1307" s="11" t="n"/>
      <c r="M1307" s="11" t="n"/>
      <c r="N1307" s="11" t="n"/>
      <c r="O1307" s="12" t="n"/>
    </row>
    <row r="1308">
      <c r="A1308" s="11" t="n"/>
      <c r="B1308" s="11" t="n"/>
      <c r="C1308" s="11" t="n"/>
      <c r="D1308" s="11" t="n"/>
      <c r="E1308" s="11" t="n"/>
      <c r="F1308" s="11" t="n"/>
      <c r="G1308" s="11" t="n"/>
      <c r="H1308" s="11" t="n"/>
      <c r="I1308" s="11" t="n"/>
      <c r="J1308" s="11" t="n"/>
      <c r="K1308" s="11" t="n"/>
      <c r="L1308" s="11" t="n"/>
      <c r="M1308" s="11" t="n"/>
      <c r="N1308" s="11" t="n"/>
      <c r="O1308" s="12" t="n"/>
    </row>
    <row r="1309">
      <c r="A1309" s="11" t="n"/>
      <c r="B1309" s="11" t="n"/>
      <c r="C1309" s="11" t="n"/>
      <c r="D1309" s="11" t="n"/>
      <c r="E1309" s="11" t="n"/>
      <c r="F1309" s="11" t="n"/>
      <c r="G1309" s="11" t="n"/>
      <c r="H1309" s="11" t="n"/>
      <c r="I1309" s="11" t="n"/>
      <c r="J1309" s="11" t="n"/>
      <c r="K1309" s="11" t="n"/>
      <c r="L1309" s="11" t="n"/>
      <c r="M1309" s="11" t="n"/>
      <c r="N1309" s="11" t="n"/>
      <c r="O1309" s="12" t="n"/>
    </row>
    <row r="1310">
      <c r="A1310" s="11" t="n"/>
      <c r="B1310" s="11" t="n"/>
      <c r="C1310" s="11" t="n"/>
      <c r="D1310" s="11" t="n"/>
      <c r="E1310" s="11" t="n"/>
      <c r="F1310" s="11" t="n"/>
      <c r="G1310" s="11" t="n"/>
      <c r="H1310" s="11" t="n"/>
      <c r="I1310" s="11" t="n"/>
      <c r="J1310" s="11" t="n"/>
      <c r="K1310" s="11" t="n"/>
      <c r="L1310" s="11" t="n"/>
      <c r="M1310" s="11" t="n"/>
      <c r="N1310" s="11" t="n"/>
      <c r="O1310" s="12" t="n"/>
    </row>
    <row r="1311">
      <c r="A1311" s="11" t="n"/>
      <c r="B1311" s="11" t="n"/>
      <c r="C1311" s="11" t="n"/>
      <c r="D1311" s="11" t="n"/>
      <c r="E1311" s="11" t="n"/>
      <c r="F1311" s="11" t="n"/>
      <c r="G1311" s="11" t="n"/>
      <c r="H1311" s="11" t="n"/>
      <c r="I1311" s="11" t="n"/>
      <c r="J1311" s="11" t="n"/>
      <c r="K1311" s="11" t="n"/>
      <c r="L1311" s="11" t="n"/>
      <c r="M1311" s="11" t="n"/>
      <c r="N1311" s="11" t="n"/>
      <c r="O1311" s="12" t="n"/>
    </row>
    <row r="1312">
      <c r="A1312" s="11" t="n"/>
      <c r="B1312" s="11" t="n"/>
      <c r="C1312" s="11" t="n"/>
      <c r="D1312" s="11" t="n"/>
      <c r="E1312" s="11" t="n"/>
      <c r="F1312" s="11" t="n"/>
      <c r="G1312" s="11" t="n"/>
      <c r="H1312" s="11" t="n"/>
      <c r="I1312" s="11" t="n"/>
      <c r="J1312" s="11" t="n"/>
      <c r="K1312" s="11" t="n"/>
      <c r="L1312" s="11" t="n"/>
      <c r="M1312" s="11" t="n"/>
      <c r="N1312" s="11" t="n"/>
      <c r="O1312" s="12" t="n"/>
    </row>
    <row r="1313">
      <c r="A1313" s="11" t="n"/>
      <c r="B1313" s="11" t="n"/>
      <c r="C1313" s="11" t="n"/>
      <c r="D1313" s="11" t="n"/>
      <c r="E1313" s="11" t="n"/>
      <c r="F1313" s="11" t="n"/>
      <c r="G1313" s="11" t="n"/>
      <c r="H1313" s="11" t="n"/>
      <c r="I1313" s="11" t="n"/>
      <c r="J1313" s="11" t="n"/>
      <c r="K1313" s="11" t="n"/>
      <c r="L1313" s="11" t="n"/>
      <c r="M1313" s="11" t="n"/>
      <c r="N1313" s="11" t="n"/>
      <c r="O1313" s="12" t="n"/>
    </row>
    <row r="1314">
      <c r="A1314" s="11" t="n"/>
      <c r="B1314" s="11" t="n"/>
      <c r="C1314" s="11" t="n"/>
      <c r="D1314" s="11" t="n"/>
      <c r="E1314" s="11" t="n"/>
      <c r="F1314" s="11" t="n"/>
      <c r="G1314" s="11" t="n"/>
      <c r="H1314" s="11" t="n"/>
      <c r="I1314" s="11" t="n"/>
      <c r="J1314" s="11" t="n"/>
      <c r="K1314" s="11" t="n"/>
      <c r="L1314" s="11" t="n"/>
      <c r="M1314" s="11" t="n"/>
      <c r="N1314" s="11" t="n"/>
      <c r="O1314" s="12" t="n"/>
    </row>
    <row r="1315">
      <c r="A1315" s="11" t="n"/>
      <c r="B1315" s="11" t="n"/>
      <c r="C1315" s="11" t="n"/>
      <c r="D1315" s="11" t="n"/>
      <c r="E1315" s="11" t="n"/>
      <c r="F1315" s="11" t="n"/>
      <c r="G1315" s="11" t="n"/>
      <c r="H1315" s="11" t="n"/>
      <c r="I1315" s="11" t="n"/>
      <c r="J1315" s="11" t="n"/>
      <c r="K1315" s="11" t="n"/>
      <c r="L1315" s="11" t="n"/>
      <c r="M1315" s="11" t="n"/>
      <c r="N1315" s="11" t="n"/>
      <c r="O1315" s="12" t="n"/>
    </row>
    <row r="1316">
      <c r="A1316" s="11" t="n"/>
      <c r="B1316" s="11" t="n"/>
      <c r="C1316" s="11" t="n"/>
      <c r="D1316" s="11" t="n"/>
      <c r="E1316" s="11" t="n"/>
      <c r="F1316" s="11" t="n"/>
      <c r="G1316" s="11" t="n"/>
      <c r="H1316" s="11" t="n"/>
      <c r="I1316" s="11" t="n"/>
      <c r="J1316" s="11" t="n"/>
      <c r="K1316" s="11" t="n"/>
      <c r="L1316" s="11" t="n"/>
      <c r="M1316" s="11" t="n"/>
      <c r="N1316" s="11" t="n"/>
      <c r="O1316" s="12" t="n"/>
    </row>
    <row r="1317">
      <c r="A1317" s="11" t="n"/>
      <c r="B1317" s="11" t="n"/>
      <c r="C1317" s="11" t="n"/>
      <c r="D1317" s="11" t="n"/>
      <c r="E1317" s="11" t="n"/>
      <c r="F1317" s="11" t="n"/>
      <c r="G1317" s="11" t="n"/>
      <c r="H1317" s="11" t="n"/>
      <c r="I1317" s="11" t="n"/>
      <c r="J1317" s="11" t="n"/>
      <c r="K1317" s="11" t="n"/>
      <c r="L1317" s="11" t="n"/>
      <c r="M1317" s="11" t="n"/>
      <c r="N1317" s="11" t="n"/>
      <c r="O1317" s="12" t="n"/>
    </row>
    <row r="1318">
      <c r="A1318" s="11" t="n"/>
      <c r="B1318" s="11" t="n"/>
      <c r="C1318" s="11" t="n"/>
      <c r="D1318" s="11" t="n"/>
      <c r="E1318" s="11" t="n"/>
      <c r="F1318" s="11" t="n"/>
      <c r="G1318" s="11" t="n"/>
      <c r="H1318" s="11" t="n"/>
      <c r="I1318" s="11" t="n"/>
      <c r="J1318" s="11" t="n"/>
      <c r="K1318" s="11" t="n"/>
      <c r="L1318" s="11" t="n"/>
      <c r="M1318" s="11" t="n"/>
      <c r="N1318" s="11" t="n"/>
      <c r="O1318" s="12" t="n"/>
    </row>
    <row r="1319">
      <c r="A1319" s="11" t="n"/>
      <c r="B1319" s="11" t="n"/>
      <c r="C1319" s="11" t="n"/>
      <c r="D1319" s="11" t="n"/>
      <c r="E1319" s="11" t="n"/>
      <c r="F1319" s="11" t="n"/>
      <c r="G1319" s="11" t="n"/>
      <c r="H1319" s="11" t="n"/>
      <c r="I1319" s="11" t="n"/>
      <c r="J1319" s="11" t="n"/>
      <c r="K1319" s="11" t="n"/>
      <c r="L1319" s="11" t="n"/>
      <c r="M1319" s="11" t="n"/>
      <c r="N1319" s="11" t="n"/>
      <c r="O1319" s="12" t="n"/>
    </row>
    <row r="1320">
      <c r="A1320" s="11" t="n"/>
      <c r="B1320" s="11" t="n"/>
      <c r="C1320" s="11" t="n"/>
      <c r="D1320" s="11" t="n"/>
      <c r="E1320" s="11" t="n"/>
      <c r="F1320" s="11" t="n"/>
      <c r="G1320" s="11" t="n"/>
      <c r="H1320" s="11" t="n"/>
      <c r="I1320" s="11" t="n"/>
      <c r="J1320" s="11" t="n"/>
      <c r="K1320" s="11" t="n"/>
      <c r="L1320" s="11" t="n"/>
      <c r="M1320" s="11" t="n"/>
      <c r="N1320" s="11" t="n"/>
      <c r="O1320" s="12" t="n"/>
    </row>
    <row r="1321">
      <c r="A1321" s="11" t="n"/>
      <c r="B1321" s="11" t="n"/>
      <c r="C1321" s="11" t="n"/>
      <c r="D1321" s="11" t="n"/>
      <c r="E1321" s="11" t="n"/>
      <c r="F1321" s="11" t="n"/>
      <c r="G1321" s="11" t="n"/>
      <c r="H1321" s="11" t="n"/>
      <c r="I1321" s="11" t="n"/>
      <c r="J1321" s="11" t="n"/>
      <c r="K1321" s="11" t="n"/>
      <c r="L1321" s="11" t="n"/>
      <c r="M1321" s="11" t="n"/>
      <c r="N1321" s="11" t="n"/>
      <c r="O1321" s="12" t="n"/>
    </row>
    <row r="1322">
      <c r="A1322" s="11" t="n"/>
      <c r="B1322" s="11" t="n"/>
      <c r="C1322" s="11" t="n"/>
      <c r="D1322" s="11" t="n"/>
      <c r="E1322" s="11" t="n"/>
      <c r="F1322" s="11" t="n"/>
      <c r="G1322" s="11" t="n"/>
      <c r="H1322" s="11" t="n"/>
      <c r="I1322" s="11" t="n"/>
      <c r="J1322" s="11" t="n"/>
      <c r="K1322" s="11" t="n"/>
      <c r="L1322" s="11" t="n"/>
      <c r="M1322" s="11" t="n"/>
      <c r="N1322" s="11" t="n"/>
      <c r="O1322" s="12" t="n"/>
    </row>
    <row r="1323">
      <c r="A1323" s="11" t="n"/>
      <c r="B1323" s="11" t="n"/>
      <c r="C1323" s="11" t="n"/>
      <c r="D1323" s="11" t="n"/>
      <c r="E1323" s="11" t="n"/>
      <c r="F1323" s="11" t="n"/>
      <c r="G1323" s="11" t="n"/>
      <c r="H1323" s="11" t="n"/>
      <c r="I1323" s="11" t="n"/>
      <c r="J1323" s="11" t="n"/>
      <c r="K1323" s="11" t="n"/>
      <c r="L1323" s="11" t="n"/>
      <c r="M1323" s="11" t="n"/>
      <c r="N1323" s="11" t="n"/>
      <c r="O1323" s="12" t="n"/>
    </row>
    <row r="1324">
      <c r="A1324" s="11" t="n"/>
      <c r="B1324" s="11" t="n"/>
      <c r="C1324" s="11" t="n"/>
      <c r="D1324" s="11" t="n"/>
      <c r="E1324" s="11" t="n"/>
      <c r="F1324" s="11" t="n"/>
      <c r="G1324" s="11" t="n"/>
      <c r="H1324" s="11" t="n"/>
      <c r="I1324" s="11" t="n"/>
      <c r="J1324" s="11" t="n"/>
      <c r="K1324" s="11" t="n"/>
      <c r="L1324" s="11" t="n"/>
      <c r="M1324" s="11" t="n"/>
      <c r="N1324" s="11" t="n"/>
      <c r="O1324" s="12" t="n"/>
    </row>
    <row r="1325">
      <c r="A1325" s="11" t="n"/>
      <c r="B1325" s="11" t="n"/>
      <c r="C1325" s="11" t="n"/>
      <c r="D1325" s="11" t="n"/>
      <c r="E1325" s="11" t="n"/>
      <c r="F1325" s="11" t="n"/>
      <c r="G1325" s="11" t="n"/>
      <c r="H1325" s="11" t="n"/>
      <c r="I1325" s="11" t="n"/>
      <c r="J1325" s="11" t="n"/>
      <c r="K1325" s="11" t="n"/>
      <c r="L1325" s="11" t="n"/>
      <c r="M1325" s="11" t="n"/>
      <c r="N1325" s="11" t="n"/>
      <c r="O1325" s="12" t="n"/>
    </row>
    <row r="1326">
      <c r="A1326" s="11" t="n"/>
      <c r="B1326" s="11" t="n"/>
      <c r="C1326" s="11" t="n"/>
      <c r="D1326" s="11" t="n"/>
      <c r="E1326" s="11" t="n"/>
      <c r="F1326" s="11" t="n"/>
      <c r="G1326" s="11" t="n"/>
      <c r="H1326" s="11" t="n"/>
      <c r="I1326" s="11" t="n"/>
      <c r="J1326" s="11" t="n"/>
      <c r="K1326" s="11" t="n"/>
      <c r="L1326" s="11" t="n"/>
      <c r="M1326" s="11" t="n"/>
      <c r="N1326" s="11" t="n"/>
      <c r="O1326" s="12" t="n"/>
    </row>
    <row r="1327">
      <c r="A1327" s="11" t="n"/>
      <c r="B1327" s="11" t="n"/>
      <c r="C1327" s="11" t="n"/>
      <c r="D1327" s="11" t="n"/>
      <c r="E1327" s="11" t="n"/>
      <c r="F1327" s="11" t="n"/>
      <c r="G1327" s="11" t="n"/>
      <c r="H1327" s="11" t="n"/>
      <c r="I1327" s="11" t="n"/>
      <c r="J1327" s="11" t="n"/>
      <c r="K1327" s="11" t="n"/>
      <c r="L1327" s="11" t="n"/>
      <c r="M1327" s="11" t="n"/>
      <c r="N1327" s="11" t="n"/>
      <c r="O1327" s="12" t="n"/>
    </row>
    <row r="1328">
      <c r="A1328" s="11" t="n"/>
      <c r="B1328" s="11" t="n"/>
      <c r="C1328" s="11" t="n"/>
      <c r="D1328" s="11" t="n"/>
      <c r="E1328" s="11" t="n"/>
      <c r="F1328" s="11" t="n"/>
      <c r="G1328" s="11" t="n"/>
      <c r="H1328" s="11" t="n"/>
      <c r="I1328" s="11" t="n"/>
      <c r="J1328" s="11" t="n"/>
      <c r="K1328" s="11" t="n"/>
      <c r="L1328" s="11" t="n"/>
      <c r="M1328" s="11" t="n"/>
      <c r="N1328" s="11" t="n"/>
      <c r="O1328" s="12" t="n"/>
    </row>
    <row r="1329">
      <c r="A1329" s="11" t="n"/>
      <c r="B1329" s="11" t="n"/>
      <c r="C1329" s="11" t="n"/>
      <c r="D1329" s="11" t="n"/>
      <c r="E1329" s="11" t="n"/>
      <c r="F1329" s="11" t="n"/>
      <c r="G1329" s="11" t="n"/>
      <c r="H1329" s="11" t="n"/>
      <c r="I1329" s="11" t="n"/>
      <c r="J1329" s="11" t="n"/>
      <c r="K1329" s="11" t="n"/>
      <c r="L1329" s="11" t="n"/>
      <c r="M1329" s="11" t="n"/>
      <c r="N1329" s="11" t="n"/>
      <c r="O1329" s="12" t="n"/>
    </row>
    <row r="1330">
      <c r="A1330" s="11" t="n"/>
      <c r="B1330" s="11" t="n"/>
      <c r="C1330" s="11" t="n"/>
      <c r="D1330" s="11" t="n"/>
      <c r="E1330" s="11" t="n"/>
      <c r="F1330" s="11" t="n"/>
      <c r="G1330" s="11" t="n"/>
      <c r="H1330" s="11" t="n"/>
      <c r="I1330" s="11" t="n"/>
      <c r="J1330" s="11" t="n"/>
      <c r="K1330" s="11" t="n"/>
      <c r="L1330" s="11" t="n"/>
      <c r="M1330" s="11" t="n"/>
      <c r="N1330" s="11" t="n"/>
      <c r="O1330" s="12" t="n"/>
    </row>
    <row r="1331">
      <c r="A1331" s="11" t="n"/>
      <c r="B1331" s="11" t="n"/>
      <c r="C1331" s="11" t="n"/>
      <c r="D1331" s="11" t="n"/>
      <c r="E1331" s="11" t="n"/>
      <c r="F1331" s="11" t="n"/>
      <c r="G1331" s="11" t="n"/>
      <c r="H1331" s="11" t="n"/>
      <c r="I1331" s="11" t="n"/>
      <c r="J1331" s="11" t="n"/>
      <c r="K1331" s="11" t="n"/>
      <c r="L1331" s="11" t="n"/>
      <c r="M1331" s="11" t="n"/>
      <c r="N1331" s="11" t="n"/>
      <c r="O1331" s="12" t="n"/>
    </row>
    <row r="1332">
      <c r="A1332" s="11" t="n"/>
      <c r="B1332" s="11" t="n"/>
      <c r="C1332" s="11" t="n"/>
      <c r="D1332" s="11" t="n"/>
      <c r="E1332" s="11" t="n"/>
      <c r="F1332" s="11" t="n"/>
      <c r="G1332" s="11" t="n"/>
      <c r="H1332" s="11" t="n"/>
      <c r="I1332" s="11" t="n"/>
      <c r="J1332" s="11" t="n"/>
      <c r="K1332" s="11" t="n"/>
      <c r="L1332" s="11" t="n"/>
      <c r="M1332" s="11" t="n"/>
      <c r="N1332" s="11" t="n"/>
      <c r="O1332" s="12" t="n"/>
    </row>
    <row r="1333">
      <c r="A1333" s="11" t="n"/>
      <c r="B1333" s="11" t="n"/>
      <c r="C1333" s="11" t="n"/>
      <c r="D1333" s="11" t="n"/>
      <c r="E1333" s="11" t="n"/>
      <c r="F1333" s="11" t="n"/>
      <c r="G1333" s="11" t="n"/>
      <c r="H1333" s="11" t="n"/>
      <c r="I1333" s="11" t="n"/>
      <c r="J1333" s="11" t="n"/>
      <c r="K1333" s="11" t="n"/>
      <c r="L1333" s="11" t="n"/>
      <c r="M1333" s="11" t="n"/>
      <c r="N1333" s="11" t="n"/>
      <c r="O1333" s="12" t="n"/>
    </row>
    <row r="1334">
      <c r="A1334" s="11" t="n"/>
      <c r="B1334" s="11" t="n"/>
      <c r="C1334" s="11" t="n"/>
      <c r="D1334" s="11" t="n"/>
      <c r="E1334" s="11" t="n"/>
      <c r="F1334" s="11" t="n"/>
      <c r="G1334" s="11" t="n"/>
      <c r="H1334" s="11" t="n"/>
      <c r="I1334" s="11" t="n"/>
      <c r="J1334" s="11" t="n"/>
      <c r="K1334" s="11" t="n"/>
      <c r="L1334" s="11" t="n"/>
      <c r="M1334" s="11" t="n"/>
      <c r="N1334" s="11" t="n"/>
      <c r="O1334" s="12" t="n"/>
    </row>
    <row r="1335">
      <c r="A1335" s="11" t="n"/>
      <c r="B1335" s="11" t="n"/>
      <c r="C1335" s="11" t="n"/>
      <c r="D1335" s="11" t="n"/>
      <c r="E1335" s="11" t="n"/>
      <c r="F1335" s="11" t="n"/>
      <c r="G1335" s="11" t="n"/>
      <c r="H1335" s="11" t="n"/>
      <c r="I1335" s="11" t="n"/>
      <c r="J1335" s="11" t="n"/>
      <c r="K1335" s="11" t="n"/>
      <c r="L1335" s="11" t="n"/>
      <c r="M1335" s="11" t="n"/>
      <c r="N1335" s="11" t="n"/>
      <c r="O1335" s="12" t="n"/>
    </row>
    <row r="1336">
      <c r="A1336" s="11" t="n"/>
      <c r="B1336" s="11" t="n"/>
      <c r="C1336" s="11" t="n"/>
      <c r="D1336" s="11" t="n"/>
      <c r="E1336" s="11" t="n"/>
      <c r="F1336" s="11" t="n"/>
      <c r="G1336" s="11" t="n"/>
      <c r="H1336" s="11" t="n"/>
      <c r="I1336" s="11" t="n"/>
      <c r="J1336" s="11" t="n"/>
      <c r="K1336" s="11" t="n"/>
      <c r="L1336" s="11" t="n"/>
      <c r="M1336" s="11" t="n"/>
      <c r="N1336" s="11" t="n"/>
      <c r="O1336" s="12" t="n"/>
    </row>
    <row r="1337">
      <c r="A1337" s="11" t="n"/>
      <c r="B1337" s="11" t="n"/>
      <c r="C1337" s="11" t="n"/>
      <c r="D1337" s="11" t="n"/>
      <c r="E1337" s="11" t="n"/>
      <c r="F1337" s="11" t="n"/>
      <c r="G1337" s="11" t="n"/>
      <c r="H1337" s="11" t="n"/>
      <c r="I1337" s="11" t="n"/>
      <c r="J1337" s="11" t="n"/>
      <c r="K1337" s="11" t="n"/>
      <c r="L1337" s="11" t="n"/>
      <c r="M1337" s="11" t="n"/>
      <c r="N1337" s="11" t="n"/>
      <c r="O1337" s="12" t="n"/>
    </row>
    <row r="1338">
      <c r="A1338" s="11" t="n"/>
      <c r="B1338" s="11" t="n"/>
      <c r="C1338" s="11" t="n"/>
      <c r="D1338" s="11" t="n"/>
      <c r="E1338" s="11" t="n"/>
      <c r="F1338" s="11" t="n"/>
      <c r="G1338" s="11" t="n"/>
      <c r="H1338" s="11" t="n"/>
      <c r="I1338" s="11" t="n"/>
      <c r="J1338" s="11" t="n"/>
      <c r="K1338" s="11" t="n"/>
      <c r="L1338" s="11" t="n"/>
      <c r="M1338" s="11" t="n"/>
      <c r="N1338" s="11" t="n"/>
      <c r="O1338" s="12" t="n"/>
    </row>
    <row r="1339">
      <c r="A1339" s="11" t="n"/>
      <c r="B1339" s="11" t="n"/>
      <c r="C1339" s="11" t="n"/>
      <c r="D1339" s="11" t="n"/>
      <c r="E1339" s="11" t="n"/>
      <c r="F1339" s="11" t="n"/>
      <c r="G1339" s="11" t="n"/>
      <c r="H1339" s="11" t="n"/>
      <c r="I1339" s="11" t="n"/>
      <c r="J1339" s="11" t="n"/>
      <c r="K1339" s="11" t="n"/>
      <c r="L1339" s="11" t="n"/>
      <c r="M1339" s="11" t="n"/>
      <c r="N1339" s="11" t="n"/>
      <c r="O1339" s="12" t="n"/>
    </row>
    <row r="1340">
      <c r="A1340" s="11" t="n"/>
      <c r="B1340" s="11" t="n"/>
      <c r="C1340" s="11" t="n"/>
      <c r="D1340" s="11" t="n"/>
      <c r="E1340" s="11" t="n"/>
      <c r="F1340" s="11" t="n"/>
      <c r="G1340" s="11" t="n"/>
      <c r="H1340" s="11" t="n"/>
      <c r="I1340" s="11" t="n"/>
      <c r="J1340" s="11" t="n"/>
      <c r="K1340" s="11" t="n"/>
      <c r="L1340" s="11" t="n"/>
      <c r="M1340" s="11" t="n"/>
      <c r="N1340" s="11" t="n"/>
      <c r="O1340" s="12" t="n"/>
    </row>
    <row r="1341">
      <c r="A1341" s="11" t="n"/>
      <c r="B1341" s="11" t="n"/>
      <c r="C1341" s="11" t="n"/>
      <c r="D1341" s="11" t="n"/>
      <c r="E1341" s="11" t="n"/>
      <c r="F1341" s="11" t="n"/>
      <c r="G1341" s="11" t="n"/>
      <c r="H1341" s="11" t="n"/>
      <c r="I1341" s="11" t="n"/>
      <c r="J1341" s="11" t="n"/>
      <c r="K1341" s="11" t="n"/>
      <c r="L1341" s="11" t="n"/>
      <c r="M1341" s="11" t="n"/>
      <c r="N1341" s="11" t="n"/>
      <c r="O1341" s="12" t="n"/>
    </row>
    <row r="1342">
      <c r="A1342" s="11" t="n"/>
      <c r="B1342" s="11" t="n"/>
      <c r="C1342" s="11" t="n"/>
      <c r="D1342" s="11" t="n"/>
      <c r="E1342" s="11" t="n"/>
      <c r="F1342" s="11" t="n"/>
      <c r="G1342" s="11" t="n"/>
      <c r="H1342" s="11" t="n"/>
      <c r="I1342" s="11" t="n"/>
      <c r="J1342" s="11" t="n"/>
      <c r="K1342" s="11" t="n"/>
      <c r="L1342" s="11" t="n"/>
      <c r="M1342" s="11" t="n"/>
      <c r="N1342" s="11" t="n"/>
      <c r="O1342" s="12" t="n"/>
    </row>
    <row r="1343">
      <c r="A1343" s="11" t="n"/>
      <c r="B1343" s="11" t="n"/>
      <c r="C1343" s="11" t="n"/>
      <c r="D1343" s="11" t="n"/>
      <c r="E1343" s="11" t="n"/>
      <c r="F1343" s="11" t="n"/>
      <c r="G1343" s="11" t="n"/>
      <c r="H1343" s="11" t="n"/>
      <c r="I1343" s="11" t="n"/>
      <c r="J1343" s="11" t="n"/>
      <c r="K1343" s="11" t="n"/>
      <c r="L1343" s="11" t="n"/>
      <c r="M1343" s="11" t="n"/>
      <c r="N1343" s="11" t="n"/>
      <c r="O1343" s="12" t="n"/>
    </row>
    <row r="1344">
      <c r="A1344" s="11" t="n"/>
      <c r="B1344" s="11" t="n"/>
      <c r="C1344" s="11" t="n"/>
      <c r="D1344" s="11" t="n"/>
      <c r="E1344" s="11" t="n"/>
      <c r="F1344" s="11" t="n"/>
      <c r="G1344" s="11" t="n"/>
      <c r="H1344" s="11" t="n"/>
      <c r="I1344" s="11" t="n"/>
      <c r="J1344" s="11" t="n"/>
      <c r="K1344" s="11" t="n"/>
      <c r="L1344" s="11" t="n"/>
      <c r="M1344" s="11" t="n"/>
      <c r="N1344" s="11" t="n"/>
      <c r="O1344" s="12" t="n"/>
    </row>
    <row r="1345">
      <c r="A1345" s="11" t="n"/>
      <c r="B1345" s="11" t="n"/>
      <c r="C1345" s="11" t="n"/>
      <c r="D1345" s="11" t="n"/>
      <c r="E1345" s="11" t="n"/>
      <c r="F1345" s="11" t="n"/>
      <c r="G1345" s="11" t="n"/>
      <c r="H1345" s="11" t="n"/>
      <c r="I1345" s="11" t="n"/>
      <c r="J1345" s="11" t="n"/>
      <c r="K1345" s="11" t="n"/>
      <c r="L1345" s="11" t="n"/>
      <c r="M1345" s="11" t="n"/>
      <c r="N1345" s="11" t="n"/>
      <c r="O1345" s="12" t="n"/>
    </row>
    <row r="1346">
      <c r="A1346" s="11" t="n"/>
      <c r="B1346" s="11" t="n"/>
      <c r="C1346" s="11" t="n"/>
      <c r="D1346" s="11" t="n"/>
      <c r="E1346" s="11" t="n"/>
      <c r="F1346" s="11" t="n"/>
      <c r="G1346" s="11" t="n"/>
      <c r="H1346" s="11" t="n"/>
      <c r="I1346" s="11" t="n"/>
      <c r="J1346" s="11" t="n"/>
      <c r="K1346" s="11" t="n"/>
      <c r="L1346" s="11" t="n"/>
      <c r="M1346" s="11" t="n"/>
      <c r="N1346" s="11" t="n"/>
      <c r="O1346" s="12" t="n"/>
    </row>
    <row r="1347">
      <c r="A1347" s="11" t="n"/>
      <c r="B1347" s="11" t="n"/>
      <c r="C1347" s="11" t="n"/>
      <c r="D1347" s="11" t="n"/>
      <c r="E1347" s="11" t="n"/>
      <c r="F1347" s="11" t="n"/>
      <c r="G1347" s="11" t="n"/>
      <c r="H1347" s="11" t="n"/>
      <c r="I1347" s="11" t="n"/>
      <c r="J1347" s="11" t="n"/>
      <c r="K1347" s="11" t="n"/>
      <c r="L1347" s="11" t="n"/>
      <c r="M1347" s="11" t="n"/>
      <c r="N1347" s="11" t="n"/>
      <c r="O1347" s="12" t="n"/>
    </row>
    <row r="1348">
      <c r="A1348" s="11" t="n"/>
      <c r="B1348" s="11" t="n"/>
      <c r="C1348" s="11" t="n"/>
      <c r="D1348" s="11" t="n"/>
      <c r="E1348" s="11" t="n"/>
      <c r="F1348" s="11" t="n"/>
      <c r="G1348" s="11" t="n"/>
      <c r="H1348" s="11" t="n"/>
      <c r="I1348" s="11" t="n"/>
      <c r="J1348" s="11" t="n"/>
      <c r="K1348" s="11" t="n"/>
      <c r="L1348" s="11" t="n"/>
      <c r="M1348" s="11" t="n"/>
      <c r="N1348" s="11" t="n"/>
      <c r="O1348" s="12" t="n"/>
    </row>
    <row r="1349">
      <c r="A1349" s="11" t="n"/>
      <c r="B1349" s="11" t="n"/>
      <c r="C1349" s="11" t="n"/>
      <c r="D1349" s="11" t="n"/>
      <c r="E1349" s="11" t="n"/>
      <c r="F1349" s="11" t="n"/>
      <c r="G1349" s="11" t="n"/>
      <c r="H1349" s="11" t="n"/>
      <c r="I1349" s="11" t="n"/>
      <c r="J1349" s="11" t="n"/>
      <c r="K1349" s="11" t="n"/>
      <c r="L1349" s="11" t="n"/>
      <c r="M1349" s="11" t="n"/>
      <c r="N1349" s="11" t="n"/>
      <c r="O1349" s="12" t="n"/>
    </row>
    <row r="1350">
      <c r="A1350" s="11" t="n"/>
      <c r="B1350" s="11" t="n"/>
      <c r="C1350" s="11" t="n"/>
      <c r="D1350" s="11" t="n"/>
      <c r="E1350" s="11" t="n"/>
      <c r="F1350" s="11" t="n"/>
      <c r="G1350" s="11" t="n"/>
      <c r="H1350" s="11" t="n"/>
      <c r="I1350" s="11" t="n"/>
      <c r="J1350" s="11" t="n"/>
      <c r="K1350" s="11" t="n"/>
      <c r="L1350" s="11" t="n"/>
      <c r="M1350" s="11" t="n"/>
      <c r="N1350" s="11" t="n"/>
      <c r="O1350" s="12" t="n"/>
    </row>
    <row r="1351">
      <c r="A1351" s="11" t="n"/>
      <c r="B1351" s="11" t="n"/>
      <c r="C1351" s="11" t="n"/>
      <c r="D1351" s="11" t="n"/>
      <c r="E1351" s="11" t="n"/>
      <c r="F1351" s="11" t="n"/>
      <c r="G1351" s="11" t="n"/>
      <c r="H1351" s="11" t="n"/>
      <c r="I1351" s="11" t="n"/>
      <c r="J1351" s="11" t="n"/>
      <c r="K1351" s="11" t="n"/>
      <c r="L1351" s="11" t="n"/>
      <c r="M1351" s="11" t="n"/>
      <c r="N1351" s="11" t="n"/>
      <c r="O1351" s="12" t="n"/>
    </row>
    <row r="1352">
      <c r="A1352" s="11" t="n"/>
      <c r="B1352" s="11" t="n"/>
      <c r="C1352" s="11" t="n"/>
      <c r="D1352" s="11" t="n"/>
      <c r="E1352" s="11" t="n"/>
      <c r="F1352" s="11" t="n"/>
      <c r="G1352" s="11" t="n"/>
      <c r="H1352" s="11" t="n"/>
      <c r="I1352" s="11" t="n"/>
      <c r="J1352" s="11" t="n"/>
      <c r="K1352" s="11" t="n"/>
      <c r="L1352" s="11" t="n"/>
      <c r="M1352" s="11" t="n"/>
      <c r="N1352" s="11" t="n"/>
      <c r="O1352" s="12" t="n"/>
    </row>
    <row r="1353">
      <c r="A1353" s="11" t="n"/>
      <c r="B1353" s="11" t="n"/>
      <c r="C1353" s="11" t="n"/>
      <c r="D1353" s="11" t="n"/>
      <c r="E1353" s="11" t="n"/>
      <c r="F1353" s="11" t="n"/>
      <c r="G1353" s="11" t="n"/>
      <c r="H1353" s="11" t="n"/>
      <c r="I1353" s="11" t="n"/>
      <c r="J1353" s="11" t="n"/>
      <c r="K1353" s="11" t="n"/>
      <c r="L1353" s="11" t="n"/>
      <c r="M1353" s="11" t="n"/>
      <c r="N1353" s="11" t="n"/>
      <c r="O1353" s="12" t="n"/>
    </row>
    <row r="1354">
      <c r="A1354" s="11" t="n"/>
      <c r="B1354" s="11" t="n"/>
      <c r="C1354" s="11" t="n"/>
      <c r="D1354" s="11" t="n"/>
      <c r="E1354" s="11" t="n"/>
      <c r="F1354" s="11" t="n"/>
      <c r="G1354" s="11" t="n"/>
      <c r="H1354" s="11" t="n"/>
      <c r="I1354" s="11" t="n"/>
      <c r="J1354" s="11" t="n"/>
      <c r="K1354" s="11" t="n"/>
      <c r="L1354" s="11" t="n"/>
      <c r="M1354" s="11" t="n"/>
      <c r="N1354" s="11" t="n"/>
      <c r="O1354" s="12" t="n"/>
    </row>
    <row r="1355">
      <c r="A1355" s="11" t="n"/>
      <c r="B1355" s="11" t="n"/>
      <c r="C1355" s="11" t="n"/>
      <c r="D1355" s="11" t="n"/>
      <c r="E1355" s="11" t="n"/>
      <c r="F1355" s="11" t="n"/>
      <c r="G1355" s="11" t="n"/>
      <c r="H1355" s="11" t="n"/>
      <c r="I1355" s="11" t="n"/>
      <c r="J1355" s="11" t="n"/>
      <c r="K1355" s="11" t="n"/>
      <c r="L1355" s="11" t="n"/>
      <c r="M1355" s="11" t="n"/>
      <c r="N1355" s="11" t="n"/>
      <c r="O1355" s="12" t="n"/>
    </row>
    <row r="1356">
      <c r="A1356" s="11" t="n"/>
      <c r="B1356" s="11" t="n"/>
      <c r="C1356" s="11" t="n"/>
      <c r="D1356" s="11" t="n"/>
      <c r="E1356" s="11" t="n"/>
      <c r="F1356" s="11" t="n"/>
      <c r="G1356" s="11" t="n"/>
      <c r="H1356" s="11" t="n"/>
      <c r="I1356" s="11" t="n"/>
      <c r="J1356" s="11" t="n"/>
      <c r="K1356" s="11" t="n"/>
      <c r="L1356" s="11" t="n"/>
      <c r="M1356" s="11" t="n"/>
      <c r="N1356" s="11" t="n"/>
      <c r="O1356" s="12" t="n"/>
    </row>
    <row r="1357">
      <c r="A1357" s="11" t="n"/>
      <c r="B1357" s="11" t="n"/>
      <c r="C1357" s="11" t="n"/>
      <c r="D1357" s="11" t="n"/>
      <c r="E1357" s="11" t="n"/>
      <c r="F1357" s="11" t="n"/>
      <c r="G1357" s="11" t="n"/>
      <c r="H1357" s="11" t="n"/>
      <c r="I1357" s="11" t="n"/>
      <c r="J1357" s="11" t="n"/>
      <c r="K1357" s="11" t="n"/>
      <c r="L1357" s="11" t="n"/>
      <c r="M1357" s="11" t="n"/>
      <c r="N1357" s="11" t="n"/>
      <c r="O1357" s="12" t="n"/>
    </row>
    <row r="1358">
      <c r="A1358" s="11" t="n"/>
      <c r="B1358" s="11" t="n"/>
      <c r="C1358" s="11" t="n"/>
      <c r="D1358" s="11" t="n"/>
      <c r="E1358" s="11" t="n"/>
      <c r="F1358" s="11" t="n"/>
      <c r="G1358" s="11" t="n"/>
      <c r="H1358" s="11" t="n"/>
      <c r="I1358" s="11" t="n"/>
      <c r="J1358" s="11" t="n"/>
      <c r="K1358" s="11" t="n"/>
      <c r="L1358" s="11" t="n"/>
      <c r="M1358" s="11" t="n"/>
      <c r="N1358" s="11" t="n"/>
      <c r="O1358" s="12" t="n"/>
    </row>
    <row r="1359">
      <c r="A1359" s="11" t="n"/>
      <c r="B1359" s="11" t="n"/>
      <c r="C1359" s="11" t="n"/>
      <c r="D1359" s="11" t="n"/>
      <c r="E1359" s="11" t="n"/>
      <c r="F1359" s="11" t="n"/>
      <c r="G1359" s="11" t="n"/>
      <c r="H1359" s="11" t="n"/>
      <c r="I1359" s="11" t="n"/>
      <c r="J1359" s="11" t="n"/>
      <c r="K1359" s="11" t="n"/>
      <c r="L1359" s="11" t="n"/>
      <c r="M1359" s="11" t="n"/>
      <c r="N1359" s="11" t="n"/>
      <c r="O1359" s="12" t="n"/>
    </row>
    <row r="1360">
      <c r="A1360" s="11" t="n"/>
      <c r="B1360" s="11" t="n"/>
      <c r="C1360" s="11" t="n"/>
      <c r="D1360" s="11" t="n"/>
      <c r="E1360" s="11" t="n"/>
      <c r="F1360" s="11" t="n"/>
      <c r="G1360" s="11" t="n"/>
      <c r="H1360" s="11" t="n"/>
      <c r="I1360" s="11" t="n"/>
      <c r="J1360" s="11" t="n"/>
      <c r="K1360" s="11" t="n"/>
      <c r="L1360" s="11" t="n"/>
      <c r="M1360" s="11" t="n"/>
      <c r="N1360" s="11" t="n"/>
      <c r="O1360" s="12" t="n"/>
    </row>
    <row r="1361">
      <c r="A1361" s="11" t="n"/>
      <c r="B1361" s="11" t="n"/>
      <c r="C1361" s="11" t="n"/>
      <c r="D1361" s="11" t="n"/>
      <c r="E1361" s="11" t="n"/>
      <c r="F1361" s="11" t="n"/>
      <c r="G1361" s="11" t="n"/>
      <c r="H1361" s="11" t="n"/>
      <c r="I1361" s="11" t="n"/>
      <c r="J1361" s="11" t="n"/>
      <c r="K1361" s="11" t="n"/>
      <c r="L1361" s="11" t="n"/>
      <c r="M1361" s="11" t="n"/>
      <c r="N1361" s="11" t="n"/>
      <c r="O1361" s="12" t="n"/>
    </row>
    <row r="1362">
      <c r="A1362" s="11" t="n"/>
      <c r="B1362" s="11" t="n"/>
      <c r="C1362" s="11" t="n"/>
      <c r="D1362" s="11" t="n"/>
      <c r="E1362" s="11" t="n"/>
      <c r="F1362" s="11" t="n"/>
      <c r="G1362" s="11" t="n"/>
      <c r="H1362" s="11" t="n"/>
      <c r="I1362" s="11" t="n"/>
      <c r="J1362" s="11" t="n"/>
      <c r="K1362" s="11" t="n"/>
      <c r="L1362" s="11" t="n"/>
      <c r="M1362" s="11" t="n"/>
      <c r="N1362" s="11" t="n"/>
      <c r="O1362" s="12" t="n"/>
    </row>
    <row r="1363">
      <c r="A1363" s="11" t="n"/>
      <c r="B1363" s="11" t="n"/>
      <c r="C1363" s="11" t="n"/>
      <c r="D1363" s="11" t="n"/>
      <c r="E1363" s="11" t="n"/>
      <c r="F1363" s="11" t="n"/>
      <c r="G1363" s="11" t="n"/>
      <c r="H1363" s="11" t="n"/>
      <c r="I1363" s="11" t="n"/>
      <c r="J1363" s="11" t="n"/>
      <c r="K1363" s="11" t="n"/>
      <c r="L1363" s="11" t="n"/>
      <c r="M1363" s="11" t="n"/>
      <c r="N1363" s="11" t="n"/>
      <c r="O1363" s="12" t="n"/>
    </row>
    <row r="1364">
      <c r="A1364" s="11" t="n"/>
      <c r="B1364" s="11" t="n"/>
      <c r="C1364" s="11" t="n"/>
      <c r="D1364" s="11" t="n"/>
      <c r="E1364" s="11" t="n"/>
      <c r="F1364" s="11" t="n"/>
      <c r="G1364" s="11" t="n"/>
      <c r="H1364" s="11" t="n"/>
      <c r="I1364" s="11" t="n"/>
      <c r="J1364" s="11" t="n"/>
      <c r="K1364" s="11" t="n"/>
      <c r="L1364" s="11" t="n"/>
      <c r="M1364" s="11" t="n"/>
      <c r="N1364" s="11" t="n"/>
      <c r="O1364" s="12" t="n"/>
    </row>
    <row r="1365">
      <c r="A1365" s="11" t="n"/>
      <c r="B1365" s="11" t="n"/>
      <c r="C1365" s="11" t="n"/>
      <c r="D1365" s="11" t="n"/>
      <c r="E1365" s="11" t="n"/>
      <c r="F1365" s="11" t="n"/>
      <c r="G1365" s="11" t="n"/>
      <c r="H1365" s="11" t="n"/>
      <c r="I1365" s="11" t="n"/>
      <c r="J1365" s="11" t="n"/>
      <c r="K1365" s="11" t="n"/>
      <c r="L1365" s="11" t="n"/>
      <c r="M1365" s="11" t="n"/>
      <c r="N1365" s="11" t="n"/>
      <c r="O1365" s="12" t="n"/>
    </row>
    <row r="1366">
      <c r="A1366" s="11" t="n"/>
      <c r="B1366" s="11" t="n"/>
      <c r="C1366" s="11" t="n"/>
      <c r="D1366" s="11" t="n"/>
      <c r="E1366" s="11" t="n"/>
      <c r="F1366" s="11" t="n"/>
      <c r="G1366" s="11" t="n"/>
      <c r="H1366" s="11" t="n"/>
      <c r="I1366" s="11" t="n"/>
      <c r="J1366" s="11" t="n"/>
      <c r="K1366" s="11" t="n"/>
      <c r="L1366" s="11" t="n"/>
      <c r="M1366" s="11" t="n"/>
      <c r="N1366" s="11" t="n"/>
      <c r="O1366" s="12" t="n"/>
    </row>
    <row r="1367">
      <c r="A1367" s="11" t="n"/>
      <c r="B1367" s="11" t="n"/>
      <c r="C1367" s="11" t="n"/>
      <c r="D1367" s="11" t="n"/>
      <c r="E1367" s="11" t="n"/>
      <c r="F1367" s="11" t="n"/>
      <c r="G1367" s="11" t="n"/>
      <c r="H1367" s="11" t="n"/>
      <c r="I1367" s="11" t="n"/>
      <c r="J1367" s="11" t="n"/>
      <c r="K1367" s="11" t="n"/>
      <c r="L1367" s="11" t="n"/>
      <c r="M1367" s="11" t="n"/>
      <c r="N1367" s="11" t="n"/>
      <c r="O1367" s="12" t="n"/>
    </row>
    <row r="1368">
      <c r="A1368" s="11" t="n"/>
      <c r="B1368" s="11" t="n"/>
      <c r="C1368" s="11" t="n"/>
      <c r="D1368" s="11" t="n"/>
      <c r="E1368" s="11" t="n"/>
      <c r="F1368" s="11" t="n"/>
      <c r="G1368" s="11" t="n"/>
      <c r="H1368" s="11" t="n"/>
      <c r="I1368" s="11" t="n"/>
      <c r="J1368" s="11" t="n"/>
      <c r="K1368" s="11" t="n"/>
      <c r="L1368" s="11" t="n"/>
      <c r="M1368" s="11" t="n"/>
      <c r="N1368" s="11" t="n"/>
      <c r="O1368" s="12" t="n"/>
    </row>
    <row r="1369">
      <c r="A1369" s="11" t="n"/>
      <c r="B1369" s="11" t="n"/>
      <c r="C1369" s="11" t="n"/>
      <c r="D1369" s="11" t="n"/>
      <c r="E1369" s="11" t="n"/>
      <c r="F1369" s="11" t="n"/>
      <c r="G1369" s="11" t="n"/>
      <c r="H1369" s="11" t="n"/>
      <c r="I1369" s="11" t="n"/>
      <c r="J1369" s="11" t="n"/>
      <c r="K1369" s="11" t="n"/>
      <c r="L1369" s="11" t="n"/>
      <c r="M1369" s="11" t="n"/>
      <c r="N1369" s="11" t="n"/>
      <c r="O1369" s="12" t="n"/>
    </row>
    <row r="1370">
      <c r="A1370" s="11" t="n"/>
      <c r="B1370" s="11" t="n"/>
      <c r="C1370" s="11" t="n"/>
      <c r="D1370" s="11" t="n"/>
      <c r="E1370" s="11" t="n"/>
      <c r="F1370" s="11" t="n"/>
      <c r="G1370" s="11" t="n"/>
      <c r="H1370" s="11" t="n"/>
      <c r="I1370" s="11" t="n"/>
      <c r="J1370" s="11" t="n"/>
      <c r="K1370" s="11" t="n"/>
      <c r="L1370" s="11" t="n"/>
      <c r="M1370" s="11" t="n"/>
      <c r="N1370" s="11" t="n"/>
      <c r="O1370" s="12" t="n"/>
    </row>
    <row r="1371">
      <c r="A1371" s="11" t="n"/>
      <c r="B1371" s="11" t="n"/>
      <c r="C1371" s="11" t="n"/>
      <c r="D1371" s="11" t="n"/>
      <c r="E1371" s="11" t="n"/>
      <c r="F1371" s="11" t="n"/>
      <c r="G1371" s="11" t="n"/>
      <c r="H1371" s="11" t="n"/>
      <c r="I1371" s="11" t="n"/>
      <c r="J1371" s="11" t="n"/>
      <c r="K1371" s="11" t="n"/>
      <c r="L1371" s="11" t="n"/>
      <c r="M1371" s="11" t="n"/>
      <c r="N1371" s="11" t="n"/>
      <c r="O1371" s="12" t="n"/>
    </row>
    <row r="1372">
      <c r="A1372" s="11" t="n"/>
      <c r="B1372" s="11" t="n"/>
      <c r="C1372" s="11" t="n"/>
      <c r="D1372" s="11" t="n"/>
      <c r="E1372" s="11" t="n"/>
      <c r="F1372" s="11" t="n"/>
      <c r="G1372" s="11" t="n"/>
      <c r="H1372" s="11" t="n"/>
      <c r="I1372" s="11" t="n"/>
      <c r="J1372" s="11" t="n"/>
      <c r="K1372" s="11" t="n"/>
      <c r="L1372" s="11" t="n"/>
      <c r="M1372" s="11" t="n"/>
      <c r="N1372" s="11" t="n"/>
      <c r="O1372" s="12" t="n"/>
    </row>
    <row r="1373">
      <c r="A1373" s="11" t="n"/>
      <c r="B1373" s="11" t="n"/>
      <c r="C1373" s="11" t="n"/>
      <c r="D1373" s="11" t="n"/>
      <c r="E1373" s="11" t="n"/>
      <c r="F1373" s="11" t="n"/>
      <c r="G1373" s="11" t="n"/>
      <c r="H1373" s="11" t="n"/>
      <c r="I1373" s="11" t="n"/>
      <c r="J1373" s="11" t="n"/>
      <c r="K1373" s="11" t="n"/>
      <c r="L1373" s="11" t="n"/>
      <c r="M1373" s="11" t="n"/>
      <c r="N1373" s="11" t="n"/>
      <c r="O1373" s="12" t="n"/>
    </row>
    <row r="1374">
      <c r="A1374" s="11" t="n"/>
      <c r="B1374" s="11" t="n"/>
      <c r="C1374" s="11" t="n"/>
      <c r="D1374" s="11" t="n"/>
      <c r="E1374" s="11" t="n"/>
      <c r="F1374" s="11" t="n"/>
      <c r="G1374" s="11" t="n"/>
      <c r="H1374" s="11" t="n"/>
      <c r="I1374" s="11" t="n"/>
      <c r="J1374" s="11" t="n"/>
      <c r="K1374" s="11" t="n"/>
      <c r="L1374" s="11" t="n"/>
      <c r="M1374" s="11" t="n"/>
      <c r="N1374" s="11" t="n"/>
      <c r="O1374" s="12" t="n"/>
    </row>
    <row r="1375">
      <c r="A1375" s="11" t="n"/>
      <c r="B1375" s="11" t="n"/>
      <c r="C1375" s="11" t="n"/>
      <c r="D1375" s="11" t="n"/>
      <c r="E1375" s="11" t="n"/>
      <c r="F1375" s="11" t="n"/>
      <c r="G1375" s="11" t="n"/>
      <c r="H1375" s="11" t="n"/>
      <c r="I1375" s="11" t="n"/>
      <c r="J1375" s="11" t="n"/>
      <c r="K1375" s="11" t="n"/>
      <c r="L1375" s="11" t="n"/>
      <c r="M1375" s="11" t="n"/>
      <c r="N1375" s="11" t="n"/>
      <c r="O1375" s="12" t="n"/>
    </row>
    <row r="1376">
      <c r="A1376" s="11" t="n"/>
      <c r="B1376" s="11" t="n"/>
      <c r="C1376" s="11" t="n"/>
      <c r="D1376" s="11" t="n"/>
      <c r="E1376" s="11" t="n"/>
      <c r="F1376" s="11" t="n"/>
      <c r="G1376" s="11" t="n"/>
      <c r="H1376" s="11" t="n"/>
      <c r="I1376" s="11" t="n"/>
      <c r="J1376" s="11" t="n"/>
      <c r="K1376" s="11" t="n"/>
      <c r="L1376" s="11" t="n"/>
      <c r="M1376" s="11" t="n"/>
      <c r="N1376" s="11" t="n"/>
      <c r="O1376" s="12" t="n"/>
    </row>
    <row r="1377">
      <c r="A1377" s="11" t="n"/>
      <c r="B1377" s="11" t="n"/>
      <c r="C1377" s="11" t="n"/>
      <c r="D1377" s="11" t="n"/>
      <c r="E1377" s="11" t="n"/>
      <c r="F1377" s="11" t="n"/>
      <c r="G1377" s="11" t="n"/>
      <c r="H1377" s="11" t="n"/>
      <c r="I1377" s="11" t="n"/>
      <c r="J1377" s="11" t="n"/>
      <c r="K1377" s="11" t="n"/>
      <c r="L1377" s="11" t="n"/>
      <c r="M1377" s="11" t="n"/>
      <c r="N1377" s="11" t="n"/>
      <c r="O1377" s="12" t="n"/>
    </row>
    <row r="1378">
      <c r="A1378" s="11" t="n"/>
      <c r="B1378" s="11" t="n"/>
      <c r="C1378" s="11" t="n"/>
      <c r="D1378" s="11" t="n"/>
      <c r="E1378" s="11" t="n"/>
      <c r="F1378" s="11" t="n"/>
      <c r="G1378" s="11" t="n"/>
      <c r="H1378" s="11" t="n"/>
      <c r="I1378" s="11" t="n"/>
      <c r="J1378" s="11" t="n"/>
      <c r="K1378" s="11" t="n"/>
      <c r="L1378" s="11" t="n"/>
      <c r="M1378" s="11" t="n"/>
      <c r="N1378" s="11" t="n"/>
      <c r="O1378" s="12" t="n"/>
    </row>
    <row r="1379">
      <c r="A1379" s="11" t="n"/>
      <c r="B1379" s="11" t="n"/>
      <c r="C1379" s="11" t="n"/>
      <c r="D1379" s="11" t="n"/>
      <c r="E1379" s="11" t="n"/>
      <c r="F1379" s="11" t="n"/>
      <c r="G1379" s="11" t="n"/>
      <c r="H1379" s="11" t="n"/>
      <c r="I1379" s="11" t="n"/>
      <c r="J1379" s="11" t="n"/>
      <c r="K1379" s="11" t="n"/>
      <c r="L1379" s="11" t="n"/>
      <c r="M1379" s="11" t="n"/>
      <c r="N1379" s="11" t="n"/>
      <c r="O1379" s="12" t="n"/>
    </row>
    <row r="1380">
      <c r="A1380" s="11" t="n"/>
      <c r="B1380" s="11" t="n"/>
      <c r="C1380" s="11" t="n"/>
      <c r="D1380" s="11" t="n"/>
      <c r="E1380" s="11" t="n"/>
      <c r="F1380" s="11" t="n"/>
      <c r="G1380" s="11" t="n"/>
      <c r="H1380" s="11" t="n"/>
      <c r="I1380" s="11" t="n"/>
      <c r="J1380" s="11" t="n"/>
      <c r="K1380" s="11" t="n"/>
      <c r="L1380" s="11" t="n"/>
      <c r="M1380" s="11" t="n"/>
      <c r="N1380" s="11" t="n"/>
      <c r="O1380" s="12" t="n"/>
    </row>
    <row r="1381">
      <c r="A1381" s="11" t="n"/>
      <c r="B1381" s="11" t="n"/>
      <c r="C1381" s="11" t="n"/>
      <c r="D1381" s="11" t="n"/>
      <c r="E1381" s="11" t="n"/>
      <c r="F1381" s="11" t="n"/>
      <c r="G1381" s="11" t="n"/>
      <c r="H1381" s="11" t="n"/>
      <c r="I1381" s="11" t="n"/>
      <c r="J1381" s="11" t="n"/>
      <c r="K1381" s="11" t="n"/>
      <c r="L1381" s="11" t="n"/>
      <c r="M1381" s="11" t="n"/>
      <c r="N1381" s="11" t="n"/>
      <c r="O1381" s="12" t="n"/>
    </row>
    <row r="1382">
      <c r="A1382" s="11" t="n"/>
      <c r="B1382" s="11" t="n"/>
      <c r="C1382" s="11" t="n"/>
      <c r="D1382" s="11" t="n"/>
      <c r="E1382" s="11" t="n"/>
      <c r="F1382" s="11" t="n"/>
      <c r="G1382" s="11" t="n"/>
      <c r="H1382" s="11" t="n"/>
      <c r="I1382" s="11" t="n"/>
      <c r="J1382" s="11" t="n"/>
      <c r="K1382" s="11" t="n"/>
      <c r="L1382" s="11" t="n"/>
      <c r="M1382" s="11" t="n"/>
      <c r="N1382" s="11" t="n"/>
      <c r="O1382" s="12" t="n"/>
    </row>
    <row r="1383">
      <c r="A1383" s="11" t="n"/>
      <c r="B1383" s="11" t="n"/>
      <c r="C1383" s="11" t="n"/>
      <c r="D1383" s="11" t="n"/>
      <c r="E1383" s="11" t="n"/>
      <c r="F1383" s="11" t="n"/>
      <c r="G1383" s="11" t="n"/>
      <c r="H1383" s="11" t="n"/>
      <c r="I1383" s="11" t="n"/>
      <c r="J1383" s="11" t="n"/>
      <c r="K1383" s="11" t="n"/>
      <c r="L1383" s="11" t="n"/>
      <c r="M1383" s="11" t="n"/>
      <c r="N1383" s="11" t="n"/>
      <c r="O1383" s="12" t="n"/>
    </row>
    <row r="1384">
      <c r="A1384" s="11" t="n"/>
      <c r="B1384" s="11" t="n"/>
      <c r="C1384" s="11" t="n"/>
      <c r="D1384" s="11" t="n"/>
      <c r="E1384" s="11" t="n"/>
      <c r="F1384" s="11" t="n"/>
      <c r="G1384" s="11" t="n"/>
      <c r="H1384" s="11" t="n"/>
      <c r="I1384" s="11" t="n"/>
      <c r="J1384" s="11" t="n"/>
      <c r="K1384" s="11" t="n"/>
      <c r="L1384" s="11" t="n"/>
      <c r="M1384" s="11" t="n"/>
      <c r="N1384" s="11" t="n"/>
      <c r="O1384" s="12" t="n"/>
    </row>
    <row r="1385">
      <c r="A1385" s="11" t="n"/>
      <c r="B1385" s="11" t="n"/>
      <c r="C1385" s="11" t="n"/>
      <c r="D1385" s="11" t="n"/>
      <c r="E1385" s="11" t="n"/>
      <c r="F1385" s="11" t="n"/>
      <c r="G1385" s="11" t="n"/>
      <c r="H1385" s="11" t="n"/>
      <c r="I1385" s="11" t="n"/>
      <c r="J1385" s="11" t="n"/>
      <c r="K1385" s="11" t="n"/>
      <c r="L1385" s="11" t="n"/>
      <c r="M1385" s="11" t="n"/>
      <c r="N1385" s="11" t="n"/>
      <c r="O1385" s="12" t="n"/>
    </row>
    <row r="1386">
      <c r="A1386" s="11" t="n"/>
      <c r="B1386" s="11" t="n"/>
      <c r="C1386" s="11" t="n"/>
      <c r="D1386" s="11" t="n"/>
      <c r="E1386" s="11" t="n"/>
      <c r="F1386" s="11" t="n"/>
      <c r="G1386" s="11" t="n"/>
      <c r="H1386" s="11" t="n"/>
      <c r="I1386" s="11" t="n"/>
      <c r="J1386" s="11" t="n"/>
      <c r="K1386" s="11" t="n"/>
      <c r="L1386" s="11" t="n"/>
      <c r="M1386" s="11" t="n"/>
      <c r="N1386" s="11" t="n"/>
      <c r="O1386" s="12" t="n"/>
    </row>
    <row r="1387">
      <c r="A1387" s="11" t="n"/>
      <c r="B1387" s="11" t="n"/>
      <c r="C1387" s="11" t="n"/>
      <c r="D1387" s="11" t="n"/>
      <c r="E1387" s="11" t="n"/>
      <c r="F1387" s="11" t="n"/>
      <c r="G1387" s="11" t="n"/>
      <c r="H1387" s="11" t="n"/>
      <c r="I1387" s="11" t="n"/>
      <c r="J1387" s="11" t="n"/>
      <c r="K1387" s="11" t="n"/>
      <c r="L1387" s="11" t="n"/>
      <c r="M1387" s="11" t="n"/>
      <c r="N1387" s="11" t="n"/>
      <c r="O1387" s="12" t="n"/>
    </row>
    <row r="1388">
      <c r="A1388" s="11" t="n"/>
      <c r="B1388" s="11" t="n"/>
      <c r="C1388" s="11" t="n"/>
      <c r="D1388" s="11" t="n"/>
      <c r="E1388" s="11" t="n"/>
      <c r="F1388" s="11" t="n"/>
      <c r="G1388" s="11" t="n"/>
      <c r="H1388" s="11" t="n"/>
      <c r="I1388" s="11" t="n"/>
      <c r="J1388" s="11" t="n"/>
      <c r="K1388" s="11" t="n"/>
      <c r="L1388" s="11" t="n"/>
      <c r="M1388" s="11" t="n"/>
      <c r="N1388" s="11" t="n"/>
      <c r="O1388" s="12" t="n"/>
    </row>
    <row r="1389">
      <c r="A1389" s="11" t="n"/>
      <c r="B1389" s="11" t="n"/>
      <c r="C1389" s="11" t="n"/>
      <c r="D1389" s="11" t="n"/>
      <c r="E1389" s="11" t="n"/>
      <c r="F1389" s="11" t="n"/>
      <c r="G1389" s="11" t="n"/>
      <c r="H1389" s="11" t="n"/>
      <c r="I1389" s="11" t="n"/>
      <c r="J1389" s="11" t="n"/>
      <c r="K1389" s="11" t="n"/>
      <c r="L1389" s="11" t="n"/>
      <c r="M1389" s="11" t="n"/>
      <c r="N1389" s="11" t="n"/>
      <c r="O1389" s="12" t="n"/>
    </row>
    <row r="1390">
      <c r="A1390" s="11" t="n"/>
      <c r="B1390" s="11" t="n"/>
      <c r="C1390" s="11" t="n"/>
      <c r="D1390" s="11" t="n"/>
      <c r="E1390" s="11" t="n"/>
      <c r="F1390" s="11" t="n"/>
      <c r="G1390" s="11" t="n"/>
      <c r="H1390" s="11" t="n"/>
      <c r="I1390" s="11" t="n"/>
      <c r="J1390" s="11" t="n"/>
      <c r="K1390" s="11" t="n"/>
      <c r="L1390" s="11" t="n"/>
      <c r="M1390" s="11" t="n"/>
      <c r="N1390" s="11" t="n"/>
      <c r="O1390" s="12" t="n"/>
    </row>
    <row r="1391">
      <c r="A1391" s="11" t="n"/>
      <c r="B1391" s="11" t="n"/>
      <c r="C1391" s="11" t="n"/>
      <c r="D1391" s="11" t="n"/>
      <c r="E1391" s="11" t="n"/>
      <c r="F1391" s="11" t="n"/>
      <c r="G1391" s="11" t="n"/>
      <c r="H1391" s="11" t="n"/>
      <c r="I1391" s="11" t="n"/>
      <c r="J1391" s="11" t="n"/>
      <c r="K1391" s="11" t="n"/>
      <c r="L1391" s="11" t="n"/>
      <c r="M1391" s="11" t="n"/>
      <c r="N1391" s="11" t="n"/>
      <c r="O1391" s="12" t="n"/>
    </row>
    <row r="1392">
      <c r="A1392" s="11" t="n"/>
      <c r="B1392" s="11" t="n"/>
      <c r="C1392" s="11" t="n"/>
      <c r="D1392" s="11" t="n"/>
      <c r="E1392" s="11" t="n"/>
      <c r="F1392" s="11" t="n"/>
      <c r="G1392" s="11" t="n"/>
      <c r="H1392" s="11" t="n"/>
      <c r="I1392" s="11" t="n"/>
      <c r="J1392" s="11" t="n"/>
      <c r="K1392" s="11" t="n"/>
      <c r="L1392" s="11" t="n"/>
      <c r="M1392" s="11" t="n"/>
      <c r="N1392" s="11" t="n"/>
      <c r="O1392" s="12" t="n"/>
    </row>
    <row r="1393">
      <c r="A1393" s="11" t="n"/>
      <c r="B1393" s="11" t="n"/>
      <c r="C1393" s="11" t="n"/>
      <c r="D1393" s="11" t="n"/>
      <c r="E1393" s="11" t="n"/>
      <c r="F1393" s="11" t="n"/>
      <c r="G1393" s="11" t="n"/>
      <c r="H1393" s="11" t="n"/>
      <c r="I1393" s="11" t="n"/>
      <c r="J1393" s="11" t="n"/>
      <c r="K1393" s="11" t="n"/>
      <c r="L1393" s="11" t="n"/>
      <c r="M1393" s="11" t="n"/>
      <c r="N1393" s="11" t="n"/>
      <c r="O1393" s="12" t="n"/>
    </row>
    <row r="1394">
      <c r="A1394" s="11" t="n"/>
      <c r="B1394" s="11" t="n"/>
      <c r="C1394" s="11" t="n"/>
      <c r="D1394" s="11" t="n"/>
      <c r="E1394" s="11" t="n"/>
      <c r="F1394" s="11" t="n"/>
      <c r="G1394" s="11" t="n"/>
      <c r="H1394" s="11" t="n"/>
      <c r="I1394" s="11" t="n"/>
      <c r="J1394" s="11" t="n"/>
      <c r="K1394" s="11" t="n"/>
      <c r="L1394" s="11" t="n"/>
      <c r="M1394" s="11" t="n"/>
      <c r="N1394" s="11" t="n"/>
      <c r="O1394" s="12" t="n"/>
    </row>
    <row r="1395">
      <c r="A1395" s="11" t="n"/>
      <c r="B1395" s="11" t="n"/>
      <c r="C1395" s="11" t="n"/>
      <c r="D1395" s="11" t="n"/>
      <c r="E1395" s="11" t="n"/>
      <c r="F1395" s="11" t="n"/>
      <c r="G1395" s="11" t="n"/>
      <c r="H1395" s="11" t="n"/>
      <c r="I1395" s="11" t="n"/>
      <c r="J1395" s="11" t="n"/>
      <c r="K1395" s="11" t="n"/>
      <c r="L1395" s="11" t="n"/>
      <c r="M1395" s="11" t="n"/>
      <c r="N1395" s="11" t="n"/>
      <c r="O1395" s="12" t="n"/>
    </row>
    <row r="1396">
      <c r="A1396" s="11" t="n"/>
      <c r="B1396" s="11" t="n"/>
      <c r="C1396" s="11" t="n"/>
      <c r="D1396" s="11" t="n"/>
      <c r="E1396" s="11" t="n"/>
      <c r="F1396" s="11" t="n"/>
      <c r="G1396" s="11" t="n"/>
      <c r="H1396" s="11" t="n"/>
      <c r="I1396" s="11" t="n"/>
      <c r="J1396" s="11" t="n"/>
      <c r="K1396" s="11" t="n"/>
      <c r="L1396" s="11" t="n"/>
      <c r="M1396" s="11" t="n"/>
      <c r="N1396" s="11" t="n"/>
      <c r="O1396" s="12" t="n"/>
    </row>
    <row r="1397">
      <c r="A1397" s="11" t="n"/>
      <c r="B1397" s="11" t="n"/>
      <c r="C1397" s="11" t="n"/>
      <c r="D1397" s="11" t="n"/>
      <c r="E1397" s="11" t="n"/>
      <c r="F1397" s="11" t="n"/>
      <c r="G1397" s="11" t="n"/>
      <c r="H1397" s="11" t="n"/>
      <c r="I1397" s="11" t="n"/>
      <c r="J1397" s="11" t="n"/>
      <c r="K1397" s="11" t="n"/>
      <c r="L1397" s="11" t="n"/>
      <c r="M1397" s="11" t="n"/>
      <c r="N1397" s="11" t="n"/>
      <c r="O1397" s="12" t="n"/>
    </row>
    <row r="1398">
      <c r="A1398" s="11" t="n"/>
      <c r="B1398" s="11" t="n"/>
      <c r="C1398" s="11" t="n"/>
      <c r="D1398" s="11" t="n"/>
      <c r="E1398" s="11" t="n"/>
      <c r="F1398" s="11" t="n"/>
      <c r="G1398" s="11" t="n"/>
      <c r="H1398" s="11" t="n"/>
      <c r="I1398" s="11" t="n"/>
      <c r="J1398" s="11" t="n"/>
      <c r="K1398" s="11" t="n"/>
      <c r="L1398" s="11" t="n"/>
      <c r="M1398" s="11" t="n"/>
      <c r="N1398" s="11" t="n"/>
      <c r="O1398" s="12" t="n"/>
    </row>
    <row r="1399">
      <c r="A1399" s="11" t="n"/>
      <c r="B1399" s="11" t="n"/>
      <c r="C1399" s="11" t="n"/>
      <c r="D1399" s="11" t="n"/>
      <c r="E1399" s="11" t="n"/>
      <c r="F1399" s="11" t="n"/>
      <c r="G1399" s="11" t="n"/>
      <c r="H1399" s="11" t="n"/>
      <c r="I1399" s="11" t="n"/>
      <c r="J1399" s="11" t="n"/>
      <c r="K1399" s="11" t="n"/>
      <c r="L1399" s="11" t="n"/>
      <c r="M1399" s="11" t="n"/>
      <c r="N1399" s="11" t="n"/>
      <c r="O1399" s="12" t="n"/>
    </row>
    <row r="1400">
      <c r="A1400" s="11" t="n"/>
      <c r="B1400" s="11" t="n"/>
      <c r="C1400" s="11" t="n"/>
      <c r="D1400" s="11" t="n"/>
      <c r="E1400" s="11" t="n"/>
      <c r="F1400" s="11" t="n"/>
      <c r="G1400" s="11" t="n"/>
      <c r="H1400" s="11" t="n"/>
      <c r="I1400" s="11" t="n"/>
      <c r="J1400" s="11" t="n"/>
      <c r="K1400" s="11" t="n"/>
      <c r="L1400" s="11" t="n"/>
      <c r="M1400" s="11" t="n"/>
      <c r="N1400" s="11" t="n"/>
      <c r="O1400" s="12" t="n"/>
    </row>
    <row r="1401">
      <c r="A1401" s="11" t="n"/>
      <c r="B1401" s="11" t="n"/>
      <c r="C1401" s="11" t="n"/>
      <c r="D1401" s="11" t="n"/>
      <c r="E1401" s="11" t="n"/>
      <c r="F1401" s="11" t="n"/>
      <c r="G1401" s="11" t="n"/>
      <c r="H1401" s="11" t="n"/>
      <c r="I1401" s="11" t="n"/>
      <c r="J1401" s="11" t="n"/>
      <c r="K1401" s="11" t="n"/>
      <c r="L1401" s="11" t="n"/>
      <c r="M1401" s="11" t="n"/>
      <c r="N1401" s="11" t="n"/>
      <c r="O1401" s="12" t="n"/>
    </row>
    <row r="1402">
      <c r="A1402" s="11" t="n"/>
      <c r="B1402" s="11" t="n"/>
      <c r="C1402" s="11" t="n"/>
      <c r="D1402" s="11" t="n"/>
      <c r="E1402" s="11" t="n"/>
      <c r="F1402" s="11" t="n"/>
      <c r="G1402" s="11" t="n"/>
      <c r="H1402" s="11" t="n"/>
      <c r="I1402" s="11" t="n"/>
      <c r="J1402" s="11" t="n"/>
      <c r="K1402" s="11" t="n"/>
      <c r="L1402" s="11" t="n"/>
      <c r="M1402" s="11" t="n"/>
      <c r="N1402" s="11" t="n"/>
      <c r="O1402" s="12" t="n"/>
    </row>
    <row r="1403">
      <c r="A1403" s="11" t="n"/>
      <c r="B1403" s="11" t="n"/>
      <c r="C1403" s="11" t="n"/>
      <c r="D1403" s="11" t="n"/>
      <c r="E1403" s="11" t="n"/>
      <c r="F1403" s="11" t="n"/>
      <c r="G1403" s="11" t="n"/>
      <c r="H1403" s="11" t="n"/>
      <c r="I1403" s="11" t="n"/>
      <c r="J1403" s="11" t="n"/>
      <c r="K1403" s="11" t="n"/>
      <c r="L1403" s="11" t="n"/>
      <c r="M1403" s="11" t="n"/>
      <c r="N1403" s="11" t="n"/>
      <c r="O1403" s="12" t="n"/>
    </row>
    <row r="1404">
      <c r="A1404" s="11" t="n"/>
      <c r="B1404" s="11" t="n"/>
      <c r="C1404" s="11" t="n"/>
      <c r="D1404" s="11" t="n"/>
      <c r="E1404" s="11" t="n"/>
      <c r="F1404" s="11" t="n"/>
      <c r="G1404" s="11" t="n"/>
      <c r="H1404" s="11" t="n"/>
      <c r="I1404" s="11" t="n"/>
      <c r="J1404" s="11" t="n"/>
      <c r="K1404" s="11" t="n"/>
      <c r="L1404" s="11" t="n"/>
      <c r="M1404" s="11" t="n"/>
      <c r="N1404" s="11" t="n"/>
      <c r="O1404" s="12" t="n"/>
    </row>
    <row r="1405">
      <c r="A1405" s="11" t="n"/>
      <c r="B1405" s="11" t="n"/>
      <c r="C1405" s="11" t="n"/>
      <c r="D1405" s="11" t="n"/>
      <c r="E1405" s="11" t="n"/>
      <c r="F1405" s="11" t="n"/>
      <c r="G1405" s="11" t="n"/>
      <c r="H1405" s="11" t="n"/>
      <c r="I1405" s="11" t="n"/>
      <c r="J1405" s="11" t="n"/>
      <c r="K1405" s="11" t="n"/>
      <c r="L1405" s="11" t="n"/>
      <c r="M1405" s="11" t="n"/>
      <c r="N1405" s="11" t="n"/>
      <c r="O1405" s="12" t="n"/>
    </row>
    <row r="1406">
      <c r="A1406" s="11" t="n"/>
      <c r="B1406" s="11" t="n"/>
      <c r="C1406" s="11" t="n"/>
      <c r="D1406" s="11" t="n"/>
      <c r="E1406" s="11" t="n"/>
      <c r="F1406" s="11" t="n"/>
      <c r="G1406" s="11" t="n"/>
      <c r="H1406" s="11" t="n"/>
      <c r="I1406" s="11" t="n"/>
      <c r="J1406" s="11" t="n"/>
      <c r="K1406" s="11" t="n"/>
      <c r="L1406" s="11" t="n"/>
      <c r="M1406" s="11" t="n"/>
      <c r="N1406" s="11" t="n"/>
      <c r="O1406" s="12" t="n"/>
    </row>
    <row r="1407">
      <c r="A1407" s="11" t="n"/>
      <c r="B1407" s="11" t="n"/>
      <c r="C1407" s="11" t="n"/>
      <c r="D1407" s="11" t="n"/>
      <c r="E1407" s="11" t="n"/>
      <c r="F1407" s="11" t="n"/>
      <c r="G1407" s="11" t="n"/>
      <c r="H1407" s="11" t="n"/>
      <c r="I1407" s="11" t="n"/>
      <c r="J1407" s="11" t="n"/>
      <c r="K1407" s="11" t="n"/>
      <c r="L1407" s="11" t="n"/>
      <c r="M1407" s="11" t="n"/>
      <c r="N1407" s="11" t="n"/>
      <c r="O1407" s="12" t="n"/>
    </row>
    <row r="1408">
      <c r="A1408" s="11" t="n"/>
      <c r="B1408" s="11" t="n"/>
      <c r="C1408" s="11" t="n"/>
      <c r="D1408" s="11" t="n"/>
      <c r="E1408" s="11" t="n"/>
      <c r="F1408" s="11" t="n"/>
      <c r="G1408" s="11" t="n"/>
      <c r="H1408" s="11" t="n"/>
      <c r="I1408" s="11" t="n"/>
      <c r="J1408" s="11" t="n"/>
      <c r="K1408" s="11" t="n"/>
      <c r="L1408" s="11" t="n"/>
      <c r="M1408" s="11" t="n"/>
      <c r="N1408" s="11" t="n"/>
      <c r="O1408" s="12" t="n"/>
    </row>
    <row r="1409">
      <c r="A1409" s="11" t="n"/>
      <c r="B1409" s="11" t="n"/>
      <c r="C1409" s="11" t="n"/>
      <c r="D1409" s="11" t="n"/>
      <c r="E1409" s="11" t="n"/>
      <c r="F1409" s="11" t="n"/>
      <c r="G1409" s="11" t="n"/>
      <c r="H1409" s="11" t="n"/>
      <c r="I1409" s="11" t="n"/>
      <c r="J1409" s="11" t="n"/>
      <c r="K1409" s="11" t="n"/>
      <c r="L1409" s="11" t="n"/>
      <c r="M1409" s="11" t="n"/>
      <c r="N1409" s="11" t="n"/>
      <c r="O1409" s="12" t="n"/>
    </row>
    <row r="1410">
      <c r="A1410" s="11" t="n"/>
      <c r="B1410" s="11" t="n"/>
      <c r="C1410" s="11" t="n"/>
      <c r="D1410" s="11" t="n"/>
      <c r="E1410" s="11" t="n"/>
      <c r="F1410" s="11" t="n"/>
      <c r="G1410" s="11" t="n"/>
      <c r="H1410" s="11" t="n"/>
      <c r="I1410" s="11" t="n"/>
      <c r="J1410" s="11" t="n"/>
      <c r="K1410" s="11" t="n"/>
      <c r="L1410" s="11" t="n"/>
      <c r="M1410" s="11" t="n"/>
      <c r="N1410" s="11" t="n"/>
      <c r="O1410" s="12" t="n"/>
    </row>
    <row r="1411">
      <c r="A1411" s="11" t="n"/>
      <c r="B1411" s="11" t="n"/>
      <c r="C1411" s="11" t="n"/>
      <c r="D1411" s="11" t="n"/>
      <c r="E1411" s="11" t="n"/>
      <c r="F1411" s="11" t="n"/>
      <c r="G1411" s="11" t="n"/>
      <c r="H1411" s="11" t="n"/>
      <c r="I1411" s="11" t="n"/>
      <c r="J1411" s="11" t="n"/>
      <c r="K1411" s="11" t="n"/>
      <c r="L1411" s="11" t="n"/>
      <c r="M1411" s="11" t="n"/>
      <c r="N1411" s="11" t="n"/>
      <c r="O1411" s="12" t="n"/>
    </row>
    <row r="1412">
      <c r="A1412" s="11" t="n"/>
      <c r="B1412" s="11" t="n"/>
      <c r="C1412" s="11" t="n"/>
      <c r="D1412" s="11" t="n"/>
      <c r="E1412" s="11" t="n"/>
      <c r="F1412" s="11" t="n"/>
      <c r="G1412" s="11" t="n"/>
      <c r="H1412" s="11" t="n"/>
      <c r="I1412" s="11" t="n"/>
      <c r="J1412" s="11" t="n"/>
      <c r="K1412" s="11" t="n"/>
      <c r="L1412" s="11" t="n"/>
      <c r="M1412" s="11" t="n"/>
      <c r="N1412" s="11" t="n"/>
      <c r="O1412" s="12" t="n"/>
    </row>
    <row r="1413">
      <c r="A1413" s="11" t="n"/>
      <c r="B1413" s="11" t="n"/>
      <c r="C1413" s="11" t="n"/>
      <c r="D1413" s="11" t="n"/>
      <c r="E1413" s="11" t="n"/>
      <c r="F1413" s="11" t="n"/>
      <c r="G1413" s="11" t="n"/>
      <c r="H1413" s="11" t="n"/>
      <c r="I1413" s="11" t="n"/>
      <c r="J1413" s="11" t="n"/>
      <c r="K1413" s="11" t="n"/>
      <c r="L1413" s="11" t="n"/>
      <c r="M1413" s="11" t="n"/>
      <c r="N1413" s="11" t="n"/>
      <c r="O1413" s="12" t="n"/>
    </row>
    <row r="1414">
      <c r="A1414" s="11" t="n"/>
      <c r="B1414" s="11" t="n"/>
      <c r="C1414" s="11" t="n"/>
      <c r="D1414" s="11" t="n"/>
      <c r="E1414" s="11" t="n"/>
      <c r="F1414" s="11" t="n"/>
      <c r="G1414" s="11" t="n"/>
      <c r="H1414" s="11" t="n"/>
      <c r="I1414" s="11" t="n"/>
      <c r="J1414" s="11" t="n"/>
      <c r="K1414" s="11" t="n"/>
      <c r="L1414" s="11" t="n"/>
      <c r="M1414" s="11" t="n"/>
      <c r="N1414" s="11" t="n"/>
      <c r="O1414" s="12" t="n"/>
    </row>
    <row r="1415">
      <c r="A1415" s="11" t="n"/>
      <c r="B1415" s="11" t="n"/>
      <c r="C1415" s="11" t="n"/>
      <c r="D1415" s="11" t="n"/>
      <c r="E1415" s="11" t="n"/>
      <c r="F1415" s="11" t="n"/>
      <c r="G1415" s="11" t="n"/>
      <c r="H1415" s="11" t="n"/>
      <c r="I1415" s="11" t="n"/>
      <c r="J1415" s="11" t="n"/>
      <c r="K1415" s="11" t="n"/>
      <c r="L1415" s="11" t="n"/>
      <c r="M1415" s="11" t="n"/>
      <c r="N1415" s="11" t="n"/>
      <c r="O1415" s="12" t="n"/>
    </row>
    <row r="1416">
      <c r="A1416" s="11" t="n"/>
      <c r="B1416" s="11" t="n"/>
      <c r="C1416" s="11" t="n"/>
      <c r="D1416" s="11" t="n"/>
      <c r="E1416" s="11" t="n"/>
      <c r="F1416" s="11" t="n"/>
      <c r="G1416" s="11" t="n"/>
      <c r="H1416" s="11" t="n"/>
      <c r="I1416" s="11" t="n"/>
      <c r="J1416" s="11" t="n"/>
      <c r="K1416" s="11" t="n"/>
      <c r="L1416" s="11" t="n"/>
      <c r="M1416" s="11" t="n"/>
      <c r="N1416" s="11" t="n"/>
      <c r="O1416" s="12" t="n"/>
    </row>
    <row r="1417">
      <c r="A1417" s="11" t="n"/>
      <c r="B1417" s="11" t="n"/>
      <c r="C1417" s="11" t="n"/>
      <c r="D1417" s="11" t="n"/>
      <c r="E1417" s="11" t="n"/>
      <c r="F1417" s="11" t="n"/>
      <c r="G1417" s="11" t="n"/>
      <c r="H1417" s="11" t="n"/>
      <c r="I1417" s="11" t="n"/>
      <c r="J1417" s="11" t="n"/>
      <c r="K1417" s="11" t="n"/>
      <c r="L1417" s="11" t="n"/>
      <c r="M1417" s="11" t="n"/>
      <c r="N1417" s="11" t="n"/>
      <c r="O1417" s="12" t="n"/>
    </row>
    <row r="1418">
      <c r="A1418" s="11" t="n"/>
      <c r="B1418" s="11" t="n"/>
      <c r="C1418" s="11" t="n"/>
      <c r="D1418" s="11" t="n"/>
      <c r="E1418" s="11" t="n"/>
      <c r="F1418" s="11" t="n"/>
      <c r="G1418" s="11" t="n"/>
      <c r="H1418" s="11" t="n"/>
      <c r="I1418" s="11" t="n"/>
      <c r="J1418" s="11" t="n"/>
      <c r="K1418" s="11" t="n"/>
      <c r="L1418" s="11" t="n"/>
      <c r="M1418" s="11" t="n"/>
      <c r="N1418" s="11" t="n"/>
      <c r="O1418" s="12" t="n"/>
    </row>
    <row r="1419">
      <c r="A1419" s="11" t="n"/>
      <c r="B1419" s="11" t="n"/>
      <c r="C1419" s="11" t="n"/>
      <c r="D1419" s="11" t="n"/>
      <c r="E1419" s="11" t="n"/>
      <c r="F1419" s="11" t="n"/>
      <c r="G1419" s="11" t="n"/>
      <c r="H1419" s="11" t="n"/>
      <c r="I1419" s="11" t="n"/>
      <c r="J1419" s="11" t="n"/>
      <c r="K1419" s="11" t="n"/>
      <c r="L1419" s="11" t="n"/>
      <c r="M1419" s="11" t="n"/>
      <c r="N1419" s="11" t="n"/>
      <c r="O1419" s="12" t="n"/>
    </row>
    <row r="1420">
      <c r="A1420" s="11" t="n"/>
      <c r="B1420" s="11" t="n"/>
      <c r="C1420" s="11" t="n"/>
      <c r="D1420" s="11" t="n"/>
      <c r="E1420" s="11" t="n"/>
      <c r="F1420" s="11" t="n"/>
      <c r="G1420" s="11" t="n"/>
      <c r="H1420" s="11" t="n"/>
      <c r="I1420" s="11" t="n"/>
      <c r="J1420" s="11" t="n"/>
      <c r="K1420" s="11" t="n"/>
      <c r="L1420" s="11" t="n"/>
      <c r="M1420" s="11" t="n"/>
      <c r="N1420" s="11" t="n"/>
      <c r="O1420" s="12" t="n"/>
    </row>
    <row r="1421">
      <c r="A1421" s="11" t="n"/>
      <c r="B1421" s="11" t="n"/>
      <c r="C1421" s="11" t="n"/>
      <c r="D1421" s="11" t="n"/>
      <c r="E1421" s="11" t="n"/>
      <c r="F1421" s="11" t="n"/>
      <c r="G1421" s="11" t="n"/>
      <c r="H1421" s="11" t="n"/>
      <c r="I1421" s="11" t="n"/>
      <c r="J1421" s="11" t="n"/>
      <c r="K1421" s="11" t="n"/>
      <c r="L1421" s="11" t="n"/>
      <c r="M1421" s="11" t="n"/>
      <c r="N1421" s="11" t="n"/>
      <c r="O1421" s="12" t="n"/>
    </row>
    <row r="1422">
      <c r="A1422" s="11" t="n"/>
      <c r="B1422" s="11" t="n"/>
      <c r="C1422" s="11" t="n"/>
      <c r="D1422" s="11" t="n"/>
      <c r="E1422" s="11" t="n"/>
      <c r="F1422" s="11" t="n"/>
      <c r="G1422" s="11" t="n"/>
      <c r="H1422" s="11" t="n"/>
      <c r="I1422" s="11" t="n"/>
      <c r="J1422" s="11" t="n"/>
      <c r="K1422" s="11" t="n"/>
      <c r="L1422" s="11" t="n"/>
      <c r="M1422" s="11" t="n"/>
      <c r="N1422" s="11" t="n"/>
      <c r="O1422" s="12" t="n"/>
    </row>
    <row r="1423">
      <c r="A1423" s="11" t="n"/>
      <c r="B1423" s="11" t="n"/>
      <c r="C1423" s="11" t="n"/>
      <c r="D1423" s="11" t="n"/>
      <c r="E1423" s="11" t="n"/>
      <c r="F1423" s="11" t="n"/>
      <c r="G1423" s="11" t="n"/>
      <c r="H1423" s="11" t="n"/>
      <c r="I1423" s="11" t="n"/>
      <c r="J1423" s="11" t="n"/>
      <c r="K1423" s="11" t="n"/>
      <c r="L1423" s="11" t="n"/>
      <c r="M1423" s="11" t="n"/>
      <c r="N1423" s="11" t="n"/>
      <c r="O1423" s="12" t="n"/>
    </row>
    <row r="1424">
      <c r="A1424" s="11" t="n"/>
      <c r="B1424" s="11" t="n"/>
      <c r="C1424" s="11" t="n"/>
      <c r="D1424" s="11" t="n"/>
      <c r="E1424" s="11" t="n"/>
      <c r="F1424" s="11" t="n"/>
      <c r="G1424" s="11" t="n"/>
      <c r="H1424" s="11" t="n"/>
      <c r="I1424" s="11" t="n"/>
      <c r="J1424" s="11" t="n"/>
      <c r="K1424" s="11" t="n"/>
      <c r="L1424" s="11" t="n"/>
      <c r="M1424" s="11" t="n"/>
      <c r="N1424" s="11" t="n"/>
      <c r="O1424" s="12" t="n"/>
    </row>
    <row r="1425">
      <c r="A1425" s="11" t="n"/>
      <c r="B1425" s="11" t="n"/>
      <c r="C1425" s="11" t="n"/>
      <c r="D1425" s="11" t="n"/>
      <c r="E1425" s="11" t="n"/>
      <c r="F1425" s="11" t="n"/>
      <c r="G1425" s="11" t="n"/>
      <c r="H1425" s="11" t="n"/>
      <c r="I1425" s="11" t="n"/>
      <c r="J1425" s="11" t="n"/>
      <c r="K1425" s="11" t="n"/>
      <c r="L1425" s="11" t="n"/>
      <c r="M1425" s="11" t="n"/>
      <c r="N1425" s="11" t="n"/>
      <c r="O1425" s="12" t="n"/>
    </row>
    <row r="1426">
      <c r="A1426" s="11" t="n"/>
      <c r="B1426" s="11" t="n"/>
      <c r="C1426" s="11" t="n"/>
      <c r="D1426" s="11" t="n"/>
      <c r="E1426" s="11" t="n"/>
      <c r="F1426" s="11" t="n"/>
      <c r="G1426" s="11" t="n"/>
      <c r="H1426" s="11" t="n"/>
      <c r="I1426" s="11" t="n"/>
      <c r="J1426" s="11" t="n"/>
      <c r="K1426" s="11" t="n"/>
      <c r="L1426" s="11" t="n"/>
      <c r="M1426" s="11" t="n"/>
      <c r="N1426" s="11" t="n"/>
      <c r="O1426" s="12" t="n"/>
    </row>
    <row r="1427">
      <c r="A1427" s="11" t="n"/>
      <c r="B1427" s="11" t="n"/>
      <c r="C1427" s="11" t="n"/>
      <c r="D1427" s="11" t="n"/>
      <c r="E1427" s="11" t="n"/>
      <c r="F1427" s="11" t="n"/>
      <c r="G1427" s="11" t="n"/>
      <c r="H1427" s="11" t="n"/>
      <c r="I1427" s="11" t="n"/>
      <c r="J1427" s="11" t="n"/>
      <c r="K1427" s="11" t="n"/>
      <c r="L1427" s="11" t="n"/>
      <c r="M1427" s="11" t="n"/>
      <c r="N1427" s="11" t="n"/>
      <c r="O1427" s="12" t="n"/>
    </row>
    <row r="1428">
      <c r="A1428" s="11" t="n"/>
      <c r="B1428" s="11" t="n"/>
      <c r="C1428" s="11" t="n"/>
      <c r="D1428" s="11" t="n"/>
      <c r="E1428" s="11" t="n"/>
      <c r="F1428" s="11" t="n"/>
      <c r="G1428" s="11" t="n"/>
      <c r="H1428" s="11" t="n"/>
      <c r="I1428" s="11" t="n"/>
      <c r="J1428" s="11" t="n"/>
      <c r="K1428" s="11" t="n"/>
      <c r="L1428" s="11" t="n"/>
      <c r="M1428" s="11" t="n"/>
      <c r="N1428" s="11" t="n"/>
      <c r="O1428" s="12" t="n"/>
    </row>
    <row r="1429">
      <c r="A1429" s="11" t="n"/>
      <c r="B1429" s="11" t="n"/>
      <c r="C1429" s="11" t="n"/>
      <c r="D1429" s="11" t="n"/>
      <c r="E1429" s="11" t="n"/>
      <c r="F1429" s="11" t="n"/>
      <c r="G1429" s="11" t="n"/>
      <c r="H1429" s="11" t="n"/>
      <c r="I1429" s="11" t="n"/>
      <c r="J1429" s="11" t="n"/>
      <c r="K1429" s="11" t="n"/>
      <c r="L1429" s="11" t="n"/>
      <c r="M1429" s="11" t="n"/>
      <c r="N1429" s="11" t="n"/>
      <c r="O1429" s="12" t="n"/>
    </row>
    <row r="1430">
      <c r="A1430" s="11" t="n"/>
      <c r="B1430" s="11" t="n"/>
      <c r="C1430" s="11" t="n"/>
      <c r="D1430" s="11" t="n"/>
      <c r="E1430" s="11" t="n"/>
      <c r="F1430" s="11" t="n"/>
      <c r="G1430" s="11" t="n"/>
      <c r="H1430" s="11" t="n"/>
      <c r="I1430" s="11" t="n"/>
      <c r="J1430" s="11" t="n"/>
      <c r="K1430" s="11" t="n"/>
      <c r="L1430" s="11" t="n"/>
      <c r="M1430" s="11" t="n"/>
      <c r="N1430" s="11" t="n"/>
      <c r="O1430" s="12" t="n"/>
    </row>
    <row r="1431">
      <c r="A1431" s="11" t="n"/>
      <c r="B1431" s="11" t="n"/>
      <c r="C1431" s="11" t="n"/>
      <c r="D1431" s="11" t="n"/>
      <c r="E1431" s="11" t="n"/>
      <c r="F1431" s="11" t="n"/>
      <c r="G1431" s="11" t="n"/>
      <c r="H1431" s="11" t="n"/>
      <c r="I1431" s="11" t="n"/>
      <c r="J1431" s="11" t="n"/>
      <c r="K1431" s="11" t="n"/>
      <c r="L1431" s="11" t="n"/>
      <c r="M1431" s="11" t="n"/>
      <c r="N1431" s="11" t="n"/>
      <c r="O1431" s="12" t="n"/>
    </row>
    <row r="1432">
      <c r="A1432" s="11" t="n"/>
      <c r="B1432" s="11" t="n"/>
      <c r="C1432" s="11" t="n"/>
      <c r="D1432" s="11" t="n"/>
      <c r="E1432" s="11" t="n"/>
      <c r="F1432" s="11" t="n"/>
      <c r="G1432" s="11" t="n"/>
      <c r="H1432" s="11" t="n"/>
      <c r="I1432" s="11" t="n"/>
      <c r="J1432" s="11" t="n"/>
      <c r="K1432" s="11" t="n"/>
      <c r="L1432" s="11" t="n"/>
      <c r="M1432" s="11" t="n"/>
      <c r="N1432" s="11" t="n"/>
      <c r="O1432" s="12" t="n"/>
    </row>
    <row r="1433">
      <c r="A1433" s="11" t="n"/>
      <c r="B1433" s="11" t="n"/>
      <c r="C1433" s="11" t="n"/>
      <c r="D1433" s="11" t="n"/>
      <c r="E1433" s="11" t="n"/>
      <c r="F1433" s="11" t="n"/>
      <c r="G1433" s="11" t="n"/>
      <c r="H1433" s="11" t="n"/>
      <c r="I1433" s="11" t="n"/>
      <c r="J1433" s="11" t="n"/>
      <c r="K1433" s="11" t="n"/>
      <c r="L1433" s="11" t="n"/>
      <c r="M1433" s="11" t="n"/>
      <c r="N1433" s="11" t="n"/>
      <c r="O1433" s="12" t="n"/>
    </row>
    <row r="1434">
      <c r="A1434" s="11" t="n"/>
      <c r="B1434" s="11" t="n"/>
      <c r="C1434" s="11" t="n"/>
      <c r="D1434" s="11" t="n"/>
      <c r="E1434" s="11" t="n"/>
      <c r="F1434" s="11" t="n"/>
      <c r="G1434" s="11" t="n"/>
      <c r="H1434" s="11" t="n"/>
      <c r="I1434" s="11" t="n"/>
      <c r="J1434" s="11" t="n"/>
      <c r="K1434" s="11" t="n"/>
      <c r="L1434" s="11" t="n"/>
      <c r="M1434" s="11" t="n"/>
      <c r="N1434" s="11" t="n"/>
      <c r="O1434" s="12" t="n"/>
    </row>
    <row r="1435">
      <c r="A1435" s="11" t="n"/>
      <c r="B1435" s="11" t="n"/>
      <c r="C1435" s="11" t="n"/>
      <c r="D1435" s="11" t="n"/>
      <c r="E1435" s="11" t="n"/>
      <c r="F1435" s="11" t="n"/>
      <c r="G1435" s="11" t="n"/>
      <c r="H1435" s="11" t="n"/>
      <c r="I1435" s="11" t="n"/>
      <c r="J1435" s="11" t="n"/>
      <c r="K1435" s="11" t="n"/>
      <c r="L1435" s="11" t="n"/>
      <c r="M1435" s="11" t="n"/>
      <c r="N1435" s="11" t="n"/>
      <c r="O1435" s="12" t="n"/>
    </row>
    <row r="1436">
      <c r="A1436" s="11" t="n"/>
      <c r="B1436" s="11" t="n"/>
      <c r="C1436" s="11" t="n"/>
      <c r="D1436" s="11" t="n"/>
      <c r="E1436" s="11" t="n"/>
      <c r="F1436" s="11" t="n"/>
      <c r="G1436" s="11" t="n"/>
      <c r="H1436" s="11" t="n"/>
      <c r="I1436" s="11" t="n"/>
      <c r="J1436" s="11" t="n"/>
      <c r="K1436" s="11" t="n"/>
      <c r="L1436" s="11" t="n"/>
      <c r="M1436" s="11" t="n"/>
      <c r="N1436" s="11" t="n"/>
      <c r="O1436" s="12" t="n"/>
    </row>
    <row r="1437">
      <c r="A1437" s="11" t="n"/>
      <c r="B1437" s="11" t="n"/>
      <c r="C1437" s="11" t="n"/>
      <c r="D1437" s="11" t="n"/>
      <c r="E1437" s="11" t="n"/>
      <c r="F1437" s="11" t="n"/>
      <c r="G1437" s="11" t="n"/>
      <c r="H1437" s="11" t="n"/>
      <c r="I1437" s="11" t="n"/>
      <c r="J1437" s="11" t="n"/>
      <c r="K1437" s="11" t="n"/>
      <c r="L1437" s="11" t="n"/>
      <c r="M1437" s="11" t="n"/>
      <c r="N1437" s="11" t="n"/>
      <c r="O1437" s="12" t="n"/>
    </row>
    <row r="1438">
      <c r="A1438" s="11" t="n"/>
      <c r="B1438" s="11" t="n"/>
      <c r="C1438" s="11" t="n"/>
      <c r="D1438" s="11" t="n"/>
      <c r="E1438" s="11" t="n"/>
      <c r="F1438" s="11" t="n"/>
      <c r="G1438" s="11" t="n"/>
      <c r="H1438" s="11" t="n"/>
      <c r="I1438" s="11" t="n"/>
      <c r="J1438" s="11" t="n"/>
      <c r="K1438" s="11" t="n"/>
      <c r="L1438" s="11" t="n"/>
      <c r="M1438" s="11" t="n"/>
      <c r="N1438" s="11" t="n"/>
      <c r="O1438" s="12" t="n"/>
    </row>
    <row r="1439">
      <c r="A1439" s="11" t="n"/>
      <c r="B1439" s="11" t="n"/>
      <c r="C1439" s="11" t="n"/>
      <c r="D1439" s="11" t="n"/>
      <c r="E1439" s="11" t="n"/>
      <c r="F1439" s="11" t="n"/>
      <c r="G1439" s="11" t="n"/>
      <c r="H1439" s="11" t="n"/>
      <c r="I1439" s="11" t="n"/>
      <c r="J1439" s="11" t="n"/>
      <c r="K1439" s="11" t="n"/>
      <c r="L1439" s="11" t="n"/>
      <c r="M1439" s="11" t="n"/>
      <c r="N1439" s="11" t="n"/>
      <c r="O1439" s="12" t="n"/>
    </row>
    <row r="1440">
      <c r="A1440" s="11" t="n"/>
      <c r="B1440" s="11" t="n"/>
      <c r="C1440" s="11" t="n"/>
      <c r="D1440" s="11" t="n"/>
      <c r="E1440" s="11" t="n"/>
      <c r="F1440" s="11" t="n"/>
      <c r="G1440" s="11" t="n"/>
      <c r="H1440" s="11" t="n"/>
      <c r="I1440" s="11" t="n"/>
      <c r="J1440" s="11" t="n"/>
      <c r="K1440" s="11" t="n"/>
      <c r="L1440" s="11" t="n"/>
      <c r="M1440" s="11" t="n"/>
      <c r="N1440" s="11" t="n"/>
      <c r="O1440" s="12" t="n"/>
    </row>
    <row r="1441">
      <c r="A1441" s="11" t="n"/>
      <c r="B1441" s="11" t="n"/>
      <c r="C1441" s="11" t="n"/>
      <c r="D1441" s="11" t="n"/>
      <c r="E1441" s="11" t="n"/>
      <c r="F1441" s="11" t="n"/>
      <c r="G1441" s="11" t="n"/>
      <c r="H1441" s="11" t="n"/>
      <c r="I1441" s="11" t="n"/>
      <c r="J1441" s="11" t="n"/>
      <c r="K1441" s="11" t="n"/>
      <c r="L1441" s="11" t="n"/>
      <c r="M1441" s="11" t="n"/>
      <c r="N1441" s="11" t="n"/>
      <c r="O1441" s="12" t="n"/>
    </row>
    <row r="1442">
      <c r="A1442" s="11" t="n"/>
      <c r="B1442" s="11" t="n"/>
      <c r="C1442" s="11" t="n"/>
      <c r="D1442" s="11" t="n"/>
      <c r="E1442" s="11" t="n"/>
      <c r="F1442" s="11" t="n"/>
      <c r="G1442" s="11" t="n"/>
      <c r="H1442" s="11" t="n"/>
      <c r="I1442" s="11" t="n"/>
      <c r="J1442" s="11" t="n"/>
      <c r="K1442" s="11" t="n"/>
      <c r="L1442" s="11" t="n"/>
      <c r="M1442" s="11" t="n"/>
      <c r="N1442" s="11" t="n"/>
      <c r="O1442" s="12" t="n"/>
    </row>
    <row r="1443">
      <c r="A1443" s="11" t="n"/>
      <c r="B1443" s="11" t="n"/>
      <c r="C1443" s="11" t="n"/>
      <c r="D1443" s="11" t="n"/>
      <c r="E1443" s="11" t="n"/>
      <c r="F1443" s="11" t="n"/>
      <c r="G1443" s="11" t="n"/>
      <c r="H1443" s="11" t="n"/>
      <c r="I1443" s="11" t="n"/>
      <c r="J1443" s="11" t="n"/>
      <c r="K1443" s="11" t="n"/>
      <c r="L1443" s="11" t="n"/>
      <c r="M1443" s="11" t="n"/>
      <c r="N1443" s="11" t="n"/>
      <c r="O1443" s="12" t="n"/>
    </row>
    <row r="1444">
      <c r="A1444" s="11" t="n"/>
      <c r="B1444" s="11" t="n"/>
      <c r="C1444" s="11" t="n"/>
      <c r="D1444" s="11" t="n"/>
      <c r="E1444" s="11" t="n"/>
      <c r="F1444" s="11" t="n"/>
      <c r="G1444" s="11" t="n"/>
      <c r="H1444" s="11" t="n"/>
      <c r="I1444" s="11" t="n"/>
      <c r="J1444" s="11" t="n"/>
      <c r="K1444" s="11" t="n"/>
      <c r="L1444" s="11" t="n"/>
      <c r="M1444" s="11" t="n"/>
      <c r="N1444" s="11" t="n"/>
      <c r="O1444" s="12" t="n"/>
    </row>
    <row r="1445">
      <c r="A1445" s="11" t="n"/>
      <c r="B1445" s="11" t="n"/>
      <c r="C1445" s="11" t="n"/>
      <c r="D1445" s="11" t="n"/>
      <c r="E1445" s="11" t="n"/>
      <c r="F1445" s="11" t="n"/>
      <c r="G1445" s="11" t="n"/>
      <c r="H1445" s="11" t="n"/>
      <c r="I1445" s="11" t="n"/>
      <c r="J1445" s="11" t="n"/>
      <c r="K1445" s="11" t="n"/>
      <c r="L1445" s="11" t="n"/>
      <c r="M1445" s="11" t="n"/>
      <c r="N1445" s="11" t="n"/>
      <c r="O1445" s="12" t="n"/>
    </row>
    <row r="1446">
      <c r="A1446" s="11" t="n"/>
      <c r="B1446" s="11" t="n"/>
      <c r="C1446" s="11" t="n"/>
      <c r="D1446" s="11" t="n"/>
      <c r="E1446" s="11" t="n"/>
      <c r="F1446" s="11" t="n"/>
      <c r="G1446" s="11" t="n"/>
      <c r="H1446" s="11" t="n"/>
      <c r="I1446" s="11" t="n"/>
      <c r="J1446" s="11" t="n"/>
      <c r="K1446" s="11" t="n"/>
      <c r="L1446" s="11" t="n"/>
      <c r="M1446" s="11" t="n"/>
      <c r="N1446" s="11" t="n"/>
      <c r="O1446" s="12" t="n"/>
    </row>
    <row r="1447">
      <c r="A1447" s="11" t="n"/>
      <c r="B1447" s="11" t="n"/>
      <c r="C1447" s="11" t="n"/>
      <c r="D1447" s="11" t="n"/>
      <c r="E1447" s="11" t="n"/>
      <c r="F1447" s="11" t="n"/>
      <c r="G1447" s="11" t="n"/>
      <c r="H1447" s="11" t="n"/>
      <c r="I1447" s="11" t="n"/>
      <c r="J1447" s="11" t="n"/>
      <c r="K1447" s="11" t="n"/>
      <c r="L1447" s="11" t="n"/>
      <c r="M1447" s="11" t="n"/>
      <c r="N1447" s="11" t="n"/>
      <c r="O1447" s="12" t="n"/>
    </row>
    <row r="1448">
      <c r="A1448" s="11" t="n"/>
      <c r="B1448" s="11" t="n"/>
      <c r="C1448" s="11" t="n"/>
      <c r="D1448" s="11" t="n"/>
      <c r="E1448" s="11" t="n"/>
      <c r="F1448" s="11" t="n"/>
      <c r="G1448" s="11" t="n"/>
      <c r="H1448" s="11" t="n"/>
      <c r="I1448" s="11" t="n"/>
      <c r="J1448" s="11" t="n"/>
      <c r="K1448" s="11" t="n"/>
      <c r="L1448" s="11" t="n"/>
      <c r="M1448" s="11" t="n"/>
      <c r="N1448" s="11" t="n"/>
      <c r="O1448" s="12" t="n"/>
    </row>
    <row r="1449">
      <c r="A1449" s="11" t="n"/>
      <c r="B1449" s="11" t="n"/>
      <c r="C1449" s="11" t="n"/>
      <c r="D1449" s="11" t="n"/>
      <c r="E1449" s="11" t="n"/>
      <c r="F1449" s="11" t="n"/>
      <c r="G1449" s="11" t="n"/>
      <c r="H1449" s="11" t="n"/>
      <c r="I1449" s="11" t="n"/>
      <c r="J1449" s="11" t="n"/>
      <c r="K1449" s="11" t="n"/>
      <c r="L1449" s="11" t="n"/>
      <c r="M1449" s="11" t="n"/>
      <c r="N1449" s="11" t="n"/>
      <c r="O1449" s="12" t="n"/>
    </row>
    <row r="1450">
      <c r="A1450" s="11" t="n"/>
      <c r="B1450" s="11" t="n"/>
      <c r="C1450" s="11" t="n"/>
      <c r="D1450" s="11" t="n"/>
      <c r="E1450" s="11" t="n"/>
      <c r="F1450" s="11" t="n"/>
      <c r="G1450" s="11" t="n"/>
      <c r="H1450" s="11" t="n"/>
      <c r="I1450" s="11" t="n"/>
      <c r="J1450" s="11" t="n"/>
      <c r="K1450" s="11" t="n"/>
      <c r="L1450" s="11" t="n"/>
      <c r="M1450" s="11" t="n"/>
      <c r="N1450" s="11" t="n"/>
      <c r="O1450" s="12" t="n"/>
    </row>
    <row r="1451">
      <c r="A1451" s="11" t="n"/>
      <c r="B1451" s="11" t="n"/>
      <c r="C1451" s="11" t="n"/>
      <c r="D1451" s="11" t="n"/>
      <c r="E1451" s="11" t="n"/>
      <c r="F1451" s="11" t="n"/>
      <c r="G1451" s="11" t="n"/>
      <c r="H1451" s="11" t="n"/>
      <c r="I1451" s="11" t="n"/>
      <c r="J1451" s="11" t="n"/>
      <c r="K1451" s="11" t="n"/>
      <c r="L1451" s="11" t="n"/>
      <c r="M1451" s="11" t="n"/>
      <c r="N1451" s="11" t="n"/>
      <c r="O1451" s="12" t="n"/>
    </row>
    <row r="1452">
      <c r="A1452" s="11" t="n"/>
      <c r="B1452" s="11" t="n"/>
      <c r="C1452" s="11" t="n"/>
      <c r="D1452" s="11" t="n"/>
      <c r="E1452" s="11" t="n"/>
      <c r="F1452" s="11" t="n"/>
      <c r="G1452" s="11" t="n"/>
      <c r="H1452" s="11" t="n"/>
      <c r="I1452" s="11" t="n"/>
      <c r="J1452" s="11" t="n"/>
      <c r="K1452" s="11" t="n"/>
      <c r="L1452" s="11" t="n"/>
      <c r="M1452" s="11" t="n"/>
      <c r="N1452" s="11" t="n"/>
      <c r="O1452" s="12" t="n"/>
    </row>
    <row r="1453">
      <c r="A1453" s="11" t="n"/>
      <c r="B1453" s="11" t="n"/>
      <c r="C1453" s="11" t="n"/>
      <c r="D1453" s="11" t="n"/>
      <c r="E1453" s="11" t="n"/>
      <c r="F1453" s="11" t="n"/>
      <c r="G1453" s="11" t="n"/>
      <c r="H1453" s="11" t="n"/>
      <c r="I1453" s="11" t="n"/>
      <c r="J1453" s="11" t="n"/>
      <c r="K1453" s="11" t="n"/>
      <c r="L1453" s="11" t="n"/>
      <c r="M1453" s="11" t="n"/>
      <c r="N1453" s="11" t="n"/>
      <c r="O1453" s="12" t="n"/>
    </row>
    <row r="1454">
      <c r="A1454" s="11" t="n"/>
      <c r="B1454" s="11" t="n"/>
      <c r="C1454" s="11" t="n"/>
      <c r="D1454" s="11" t="n"/>
      <c r="E1454" s="11" t="n"/>
      <c r="F1454" s="11" t="n"/>
      <c r="G1454" s="11" t="n"/>
      <c r="H1454" s="11" t="n"/>
      <c r="I1454" s="11" t="n"/>
      <c r="J1454" s="11" t="n"/>
      <c r="K1454" s="11" t="n"/>
      <c r="L1454" s="11" t="n"/>
      <c r="M1454" s="11" t="n"/>
      <c r="N1454" s="11" t="n"/>
      <c r="O1454" s="12" t="n"/>
    </row>
    <row r="1455">
      <c r="A1455" s="11" t="n"/>
      <c r="B1455" s="11" t="n"/>
      <c r="C1455" s="11" t="n"/>
      <c r="D1455" s="11" t="n"/>
      <c r="E1455" s="11" t="n"/>
      <c r="F1455" s="11" t="n"/>
      <c r="G1455" s="11" t="n"/>
      <c r="H1455" s="11" t="n"/>
      <c r="I1455" s="11" t="n"/>
      <c r="J1455" s="11" t="n"/>
      <c r="K1455" s="11" t="n"/>
      <c r="L1455" s="11" t="n"/>
      <c r="M1455" s="11" t="n"/>
      <c r="N1455" s="11" t="n"/>
      <c r="O1455" s="12" t="n"/>
    </row>
    <row r="1456">
      <c r="A1456" s="11" t="n"/>
      <c r="B1456" s="11" t="n"/>
      <c r="C1456" s="11" t="n"/>
      <c r="D1456" s="11" t="n"/>
      <c r="E1456" s="11" t="n"/>
      <c r="F1456" s="11" t="n"/>
      <c r="G1456" s="11" t="n"/>
      <c r="H1456" s="11" t="n"/>
      <c r="I1456" s="11" t="n"/>
      <c r="J1456" s="11" t="n"/>
      <c r="K1456" s="11" t="n"/>
      <c r="L1456" s="11" t="n"/>
      <c r="M1456" s="11" t="n"/>
      <c r="N1456" s="11" t="n"/>
      <c r="O1456" s="12" t="n"/>
    </row>
    <row r="1457">
      <c r="A1457" s="11" t="n"/>
      <c r="B1457" s="11" t="n"/>
      <c r="C1457" s="11" t="n"/>
      <c r="D1457" s="11" t="n"/>
      <c r="E1457" s="11" t="n"/>
      <c r="F1457" s="11" t="n"/>
      <c r="G1457" s="11" t="n"/>
      <c r="H1457" s="11" t="n"/>
      <c r="I1457" s="11" t="n"/>
      <c r="J1457" s="11" t="n"/>
      <c r="K1457" s="11" t="n"/>
      <c r="L1457" s="11" t="n"/>
      <c r="M1457" s="11" t="n"/>
      <c r="N1457" s="11" t="n"/>
      <c r="O1457" s="12" t="n"/>
    </row>
    <row r="1458">
      <c r="A1458" s="11" t="n"/>
      <c r="B1458" s="11" t="n"/>
      <c r="C1458" s="11" t="n"/>
      <c r="D1458" s="11" t="n"/>
      <c r="E1458" s="11" t="n"/>
      <c r="F1458" s="11" t="n"/>
      <c r="G1458" s="11" t="n"/>
      <c r="H1458" s="11" t="n"/>
      <c r="I1458" s="11" t="n"/>
      <c r="J1458" s="11" t="n"/>
      <c r="K1458" s="11" t="n"/>
      <c r="L1458" s="11" t="n"/>
      <c r="M1458" s="11" t="n"/>
      <c r="N1458" s="11" t="n"/>
      <c r="O1458" s="12" t="n"/>
    </row>
    <row r="1459">
      <c r="A1459" s="11" t="n"/>
      <c r="B1459" s="11" t="n"/>
      <c r="C1459" s="11" t="n"/>
      <c r="D1459" s="11" t="n"/>
      <c r="E1459" s="11" t="n"/>
      <c r="F1459" s="11" t="n"/>
      <c r="G1459" s="11" t="n"/>
      <c r="H1459" s="11" t="n"/>
      <c r="I1459" s="11" t="n"/>
      <c r="J1459" s="11" t="n"/>
      <c r="K1459" s="11" t="n"/>
      <c r="L1459" s="11" t="n"/>
      <c r="M1459" s="11" t="n"/>
      <c r="N1459" s="11" t="n"/>
      <c r="O1459" s="12" t="n"/>
    </row>
    <row r="1460">
      <c r="A1460" s="11" t="n"/>
      <c r="B1460" s="11" t="n"/>
      <c r="C1460" s="11" t="n"/>
      <c r="D1460" s="11" t="n"/>
      <c r="E1460" s="11" t="n"/>
      <c r="F1460" s="11" t="n"/>
      <c r="G1460" s="11" t="n"/>
      <c r="H1460" s="11" t="n"/>
      <c r="I1460" s="11" t="n"/>
      <c r="J1460" s="11" t="n"/>
      <c r="K1460" s="11" t="n"/>
      <c r="L1460" s="11" t="n"/>
      <c r="M1460" s="11" t="n"/>
      <c r="N1460" s="11" t="n"/>
      <c r="O1460" s="12" t="n"/>
    </row>
    <row r="1461">
      <c r="A1461" s="11" t="n"/>
      <c r="B1461" s="11" t="n"/>
      <c r="C1461" s="11" t="n"/>
      <c r="D1461" s="11" t="n"/>
      <c r="E1461" s="11" t="n"/>
      <c r="F1461" s="11" t="n"/>
      <c r="G1461" s="11" t="n"/>
      <c r="H1461" s="11" t="n"/>
      <c r="I1461" s="11" t="n"/>
      <c r="J1461" s="11" t="n"/>
      <c r="K1461" s="11" t="n"/>
      <c r="L1461" s="11" t="n"/>
      <c r="M1461" s="11" t="n"/>
      <c r="N1461" s="11" t="n"/>
      <c r="O1461" s="12" t="n"/>
    </row>
    <row r="1462">
      <c r="A1462" s="11" t="n"/>
      <c r="B1462" s="11" t="n"/>
      <c r="C1462" s="11" t="n"/>
      <c r="D1462" s="11" t="n"/>
      <c r="E1462" s="11" t="n"/>
      <c r="F1462" s="11" t="n"/>
      <c r="G1462" s="11" t="n"/>
      <c r="H1462" s="11" t="n"/>
      <c r="I1462" s="11" t="n"/>
      <c r="J1462" s="11" t="n"/>
      <c r="K1462" s="11" t="n"/>
      <c r="L1462" s="11" t="n"/>
      <c r="M1462" s="11" t="n"/>
      <c r="N1462" s="11" t="n"/>
      <c r="O1462" s="12" t="n"/>
    </row>
    <row r="1463">
      <c r="A1463" s="11" t="n"/>
      <c r="B1463" s="11" t="n"/>
      <c r="C1463" s="11" t="n"/>
      <c r="D1463" s="11" t="n"/>
      <c r="E1463" s="11" t="n"/>
      <c r="F1463" s="11" t="n"/>
      <c r="G1463" s="11" t="n"/>
      <c r="H1463" s="11" t="n"/>
      <c r="I1463" s="11" t="n"/>
      <c r="J1463" s="11" t="n"/>
      <c r="K1463" s="11" t="n"/>
      <c r="L1463" s="11" t="n"/>
      <c r="M1463" s="11" t="n"/>
      <c r="N1463" s="11" t="n"/>
      <c r="O1463" s="12" t="n"/>
    </row>
    <row r="1464">
      <c r="A1464" s="11" t="n"/>
      <c r="B1464" s="11" t="n"/>
      <c r="C1464" s="11" t="n"/>
      <c r="D1464" s="11" t="n"/>
      <c r="E1464" s="11" t="n"/>
      <c r="F1464" s="11" t="n"/>
      <c r="G1464" s="11" t="n"/>
      <c r="H1464" s="11" t="n"/>
      <c r="I1464" s="11" t="n"/>
      <c r="J1464" s="11" t="n"/>
      <c r="K1464" s="11" t="n"/>
      <c r="L1464" s="11" t="n"/>
      <c r="M1464" s="11" t="n"/>
      <c r="N1464" s="11" t="n"/>
      <c r="O1464" s="12" t="n"/>
    </row>
    <row r="1465">
      <c r="A1465" s="11" t="n"/>
      <c r="B1465" s="11" t="n"/>
      <c r="C1465" s="11" t="n"/>
      <c r="D1465" s="11" t="n"/>
      <c r="E1465" s="11" t="n"/>
      <c r="F1465" s="11" t="n"/>
      <c r="G1465" s="11" t="n"/>
      <c r="H1465" s="11" t="n"/>
      <c r="I1465" s="11" t="n"/>
      <c r="J1465" s="11" t="n"/>
      <c r="K1465" s="11" t="n"/>
      <c r="L1465" s="11" t="n"/>
      <c r="M1465" s="11" t="n"/>
      <c r="N1465" s="11" t="n"/>
      <c r="O1465" s="12" t="n"/>
    </row>
    <row r="1466">
      <c r="A1466" s="11" t="n"/>
      <c r="B1466" s="11" t="n"/>
      <c r="C1466" s="11" t="n"/>
      <c r="D1466" s="11" t="n"/>
      <c r="E1466" s="11" t="n"/>
      <c r="F1466" s="11" t="n"/>
      <c r="G1466" s="11" t="n"/>
      <c r="H1466" s="11" t="n"/>
      <c r="I1466" s="11" t="n"/>
      <c r="J1466" s="11" t="n"/>
      <c r="K1466" s="11" t="n"/>
      <c r="L1466" s="11" t="n"/>
      <c r="M1466" s="11" t="n"/>
      <c r="N1466" s="11" t="n"/>
      <c r="O1466" s="12" t="n"/>
    </row>
    <row r="1467">
      <c r="A1467" s="11" t="n"/>
      <c r="B1467" s="11" t="n"/>
      <c r="C1467" s="11" t="n"/>
      <c r="D1467" s="11" t="n"/>
      <c r="E1467" s="11" t="n"/>
      <c r="F1467" s="11" t="n"/>
      <c r="G1467" s="11" t="n"/>
      <c r="H1467" s="11" t="n"/>
      <c r="I1467" s="11" t="n"/>
      <c r="J1467" s="11" t="n"/>
      <c r="K1467" s="11" t="n"/>
      <c r="L1467" s="11" t="n"/>
      <c r="M1467" s="11" t="n"/>
      <c r="N1467" s="11" t="n"/>
      <c r="O1467" s="12" t="n"/>
    </row>
    <row r="1468">
      <c r="A1468" s="11" t="n"/>
      <c r="B1468" s="11" t="n"/>
      <c r="C1468" s="11" t="n"/>
      <c r="D1468" s="11" t="n"/>
      <c r="E1468" s="11" t="n"/>
      <c r="F1468" s="11" t="n"/>
      <c r="G1468" s="11" t="n"/>
      <c r="H1468" s="11" t="n"/>
      <c r="I1468" s="11" t="n"/>
      <c r="J1468" s="11" t="n"/>
      <c r="K1468" s="11" t="n"/>
      <c r="L1468" s="11" t="n"/>
      <c r="M1468" s="11" t="n"/>
      <c r="N1468" s="11" t="n"/>
      <c r="O1468" s="12" t="n"/>
    </row>
    <row r="1469">
      <c r="A1469" s="11" t="n"/>
      <c r="B1469" s="11" t="n"/>
      <c r="C1469" s="11" t="n"/>
      <c r="D1469" s="11" t="n"/>
      <c r="E1469" s="11" t="n"/>
      <c r="F1469" s="11" t="n"/>
      <c r="G1469" s="11" t="n"/>
      <c r="H1469" s="11" t="n"/>
      <c r="I1469" s="11" t="n"/>
      <c r="J1469" s="11" t="n"/>
      <c r="K1469" s="11" t="n"/>
      <c r="L1469" s="11" t="n"/>
      <c r="M1469" s="11" t="n"/>
      <c r="N1469" s="11" t="n"/>
      <c r="O1469" s="12" t="n"/>
    </row>
    <row r="1470">
      <c r="A1470" s="11" t="n"/>
      <c r="B1470" s="11" t="n"/>
      <c r="C1470" s="11" t="n"/>
      <c r="D1470" s="11" t="n"/>
      <c r="E1470" s="11" t="n"/>
      <c r="F1470" s="11" t="n"/>
      <c r="G1470" s="11" t="n"/>
      <c r="H1470" s="11" t="n"/>
      <c r="I1470" s="11" t="n"/>
      <c r="J1470" s="11" t="n"/>
      <c r="K1470" s="11" t="n"/>
      <c r="L1470" s="11" t="n"/>
      <c r="M1470" s="11" t="n"/>
      <c r="N1470" s="11" t="n"/>
      <c r="O1470" s="12" t="n"/>
    </row>
    <row r="1471">
      <c r="A1471" s="11" t="n"/>
      <c r="B1471" s="11" t="n"/>
      <c r="C1471" s="11" t="n"/>
      <c r="D1471" s="11" t="n"/>
      <c r="E1471" s="11" t="n"/>
      <c r="F1471" s="11" t="n"/>
      <c r="G1471" s="11" t="n"/>
      <c r="H1471" s="11" t="n"/>
      <c r="I1471" s="11" t="n"/>
      <c r="J1471" s="11" t="n"/>
      <c r="K1471" s="11" t="n"/>
      <c r="L1471" s="11" t="n"/>
      <c r="M1471" s="11" t="n"/>
      <c r="N1471" s="11" t="n"/>
      <c r="O1471" s="12" t="n"/>
    </row>
    <row r="1472">
      <c r="A1472" s="11" t="n"/>
      <c r="B1472" s="11" t="n"/>
      <c r="C1472" s="11" t="n"/>
      <c r="D1472" s="11" t="n"/>
      <c r="E1472" s="11" t="n"/>
      <c r="F1472" s="11" t="n"/>
      <c r="G1472" s="11" t="n"/>
      <c r="H1472" s="11" t="n"/>
      <c r="I1472" s="11" t="n"/>
      <c r="J1472" s="11" t="n"/>
      <c r="K1472" s="11" t="n"/>
      <c r="L1472" s="11" t="n"/>
      <c r="M1472" s="11" t="n"/>
      <c r="N1472" s="11" t="n"/>
      <c r="O1472" s="12" t="n"/>
    </row>
    <row r="1473">
      <c r="A1473" s="11" t="n"/>
      <c r="B1473" s="11" t="n"/>
      <c r="C1473" s="11" t="n"/>
      <c r="D1473" s="11" t="n"/>
      <c r="E1473" s="11" t="n"/>
      <c r="F1473" s="11" t="n"/>
      <c r="G1473" s="11" t="n"/>
      <c r="H1473" s="11" t="n"/>
      <c r="I1473" s="11" t="n"/>
      <c r="J1473" s="11" t="n"/>
      <c r="K1473" s="11" t="n"/>
      <c r="L1473" s="11" t="n"/>
      <c r="M1473" s="11" t="n"/>
      <c r="N1473" s="11" t="n"/>
      <c r="O1473" s="12" t="n"/>
    </row>
    <row r="1474">
      <c r="A1474" s="11" t="n"/>
      <c r="B1474" s="11" t="n"/>
      <c r="C1474" s="11" t="n"/>
      <c r="D1474" s="11" t="n"/>
      <c r="E1474" s="11" t="n"/>
      <c r="F1474" s="11" t="n"/>
      <c r="G1474" s="11" t="n"/>
      <c r="H1474" s="11" t="n"/>
      <c r="I1474" s="11" t="n"/>
      <c r="J1474" s="11" t="n"/>
      <c r="K1474" s="11" t="n"/>
      <c r="L1474" s="11" t="n"/>
      <c r="M1474" s="11" t="n"/>
      <c r="N1474" s="11" t="n"/>
      <c r="O1474" s="12" t="n"/>
    </row>
    <row r="1475">
      <c r="A1475" s="11" t="n"/>
      <c r="B1475" s="11" t="n"/>
      <c r="C1475" s="11" t="n"/>
      <c r="D1475" s="11" t="n"/>
      <c r="E1475" s="11" t="n"/>
      <c r="F1475" s="11" t="n"/>
      <c r="G1475" s="11" t="n"/>
      <c r="H1475" s="11" t="n"/>
      <c r="I1475" s="11" t="n"/>
      <c r="J1475" s="11" t="n"/>
      <c r="K1475" s="11" t="n"/>
      <c r="L1475" s="11" t="n"/>
      <c r="M1475" s="11" t="n"/>
      <c r="N1475" s="11" t="n"/>
      <c r="O1475" s="12" t="n"/>
    </row>
    <row r="1476">
      <c r="A1476" s="11" t="n"/>
      <c r="B1476" s="11" t="n"/>
      <c r="C1476" s="11" t="n"/>
      <c r="D1476" s="11" t="n"/>
      <c r="E1476" s="11" t="n"/>
      <c r="F1476" s="11" t="n"/>
      <c r="G1476" s="11" t="n"/>
      <c r="H1476" s="11" t="n"/>
      <c r="I1476" s="11" t="n"/>
      <c r="J1476" s="11" t="n"/>
      <c r="K1476" s="11" t="n"/>
      <c r="L1476" s="11" t="n"/>
      <c r="M1476" s="11" t="n"/>
      <c r="N1476" s="11" t="n"/>
      <c r="O1476" s="12" t="n"/>
    </row>
    <row r="1477">
      <c r="A1477" s="11" t="n"/>
      <c r="B1477" s="11" t="n"/>
      <c r="C1477" s="11" t="n"/>
      <c r="D1477" s="11" t="n"/>
      <c r="E1477" s="11" t="n"/>
      <c r="F1477" s="11" t="n"/>
      <c r="G1477" s="11" t="n"/>
      <c r="H1477" s="11" t="n"/>
      <c r="I1477" s="11" t="n"/>
      <c r="J1477" s="11" t="n"/>
      <c r="K1477" s="11" t="n"/>
      <c r="L1477" s="11" t="n"/>
      <c r="M1477" s="11" t="n"/>
      <c r="N1477" s="11" t="n"/>
      <c r="O1477" s="12" t="n"/>
    </row>
    <row r="1478">
      <c r="A1478" s="11" t="n"/>
      <c r="B1478" s="11" t="n"/>
      <c r="C1478" s="11" t="n"/>
      <c r="D1478" s="11" t="n"/>
      <c r="E1478" s="11" t="n"/>
      <c r="F1478" s="11" t="n"/>
      <c r="G1478" s="11" t="n"/>
      <c r="H1478" s="11" t="n"/>
      <c r="I1478" s="11" t="n"/>
      <c r="J1478" s="11" t="n"/>
      <c r="K1478" s="11" t="n"/>
      <c r="L1478" s="11" t="n"/>
      <c r="M1478" s="11" t="n"/>
      <c r="N1478" s="11" t="n"/>
      <c r="O1478" s="12" t="n"/>
    </row>
    <row r="1479">
      <c r="A1479" s="11" t="n"/>
      <c r="B1479" s="11" t="n"/>
      <c r="C1479" s="11" t="n"/>
      <c r="D1479" s="11" t="n"/>
      <c r="E1479" s="11" t="n"/>
      <c r="F1479" s="11" t="n"/>
      <c r="G1479" s="11" t="n"/>
      <c r="H1479" s="11" t="n"/>
      <c r="I1479" s="11" t="n"/>
      <c r="J1479" s="11" t="n"/>
      <c r="K1479" s="11" t="n"/>
      <c r="L1479" s="11" t="n"/>
      <c r="M1479" s="11" t="n"/>
      <c r="N1479" s="11" t="n"/>
      <c r="O1479" s="12" t="n"/>
    </row>
    <row r="1480">
      <c r="A1480" s="11" t="n"/>
      <c r="B1480" s="11" t="n"/>
      <c r="C1480" s="11" t="n"/>
      <c r="D1480" s="11" t="n"/>
      <c r="E1480" s="11" t="n"/>
      <c r="F1480" s="11" t="n"/>
      <c r="G1480" s="11" t="n"/>
      <c r="H1480" s="11" t="n"/>
      <c r="I1480" s="11" t="n"/>
      <c r="J1480" s="11" t="n"/>
      <c r="K1480" s="11" t="n"/>
      <c r="L1480" s="11" t="n"/>
      <c r="M1480" s="11" t="n"/>
      <c r="N1480" s="11" t="n"/>
      <c r="O1480" s="12" t="n"/>
    </row>
    <row r="1481">
      <c r="A1481" s="11" t="n"/>
      <c r="B1481" s="11" t="n"/>
      <c r="C1481" s="11" t="n"/>
      <c r="D1481" s="11" t="n"/>
      <c r="E1481" s="11" t="n"/>
      <c r="F1481" s="11" t="n"/>
      <c r="G1481" s="11" t="n"/>
      <c r="H1481" s="11" t="n"/>
      <c r="I1481" s="11" t="n"/>
      <c r="J1481" s="11" t="n"/>
      <c r="K1481" s="11" t="n"/>
      <c r="L1481" s="11" t="n"/>
      <c r="M1481" s="11" t="n"/>
      <c r="N1481" s="11" t="n"/>
      <c r="O1481" s="12" t="n"/>
    </row>
    <row r="1482">
      <c r="A1482" s="11" t="n"/>
      <c r="B1482" s="11" t="n"/>
      <c r="C1482" s="11" t="n"/>
      <c r="D1482" s="11" t="n"/>
      <c r="E1482" s="11" t="n"/>
      <c r="F1482" s="11" t="n"/>
      <c r="G1482" s="11" t="n"/>
      <c r="H1482" s="11" t="n"/>
      <c r="I1482" s="11" t="n"/>
      <c r="J1482" s="11" t="n"/>
      <c r="K1482" s="11" t="n"/>
      <c r="L1482" s="11" t="n"/>
      <c r="M1482" s="11" t="n"/>
      <c r="N1482" s="11" t="n"/>
      <c r="O1482" s="12" t="n"/>
    </row>
    <row r="1483">
      <c r="A1483" s="11" t="n"/>
      <c r="B1483" s="11" t="n"/>
      <c r="C1483" s="11" t="n"/>
      <c r="D1483" s="11" t="n"/>
      <c r="E1483" s="11" t="n"/>
      <c r="F1483" s="11" t="n"/>
      <c r="G1483" s="11" t="n"/>
      <c r="H1483" s="11" t="n"/>
      <c r="I1483" s="11" t="n"/>
      <c r="J1483" s="11" t="n"/>
      <c r="K1483" s="11" t="n"/>
      <c r="L1483" s="11" t="n"/>
      <c r="M1483" s="11" t="n"/>
      <c r="N1483" s="11" t="n"/>
      <c r="O1483" s="12" t="n"/>
    </row>
    <row r="1484">
      <c r="A1484" s="11" t="n"/>
      <c r="B1484" s="11" t="n"/>
      <c r="C1484" s="11" t="n"/>
      <c r="D1484" s="11" t="n"/>
      <c r="E1484" s="11" t="n"/>
      <c r="F1484" s="11" t="n"/>
      <c r="G1484" s="11" t="n"/>
      <c r="H1484" s="11" t="n"/>
      <c r="I1484" s="11" t="n"/>
      <c r="J1484" s="11" t="n"/>
      <c r="K1484" s="11" t="n"/>
      <c r="L1484" s="11" t="n"/>
      <c r="M1484" s="11" t="n"/>
      <c r="N1484" s="11" t="n"/>
      <c r="O1484" s="12" t="n"/>
    </row>
    <row r="1485">
      <c r="A1485" s="11" t="n"/>
      <c r="B1485" s="11" t="n"/>
      <c r="C1485" s="11" t="n"/>
      <c r="D1485" s="11" t="n"/>
      <c r="E1485" s="11" t="n"/>
      <c r="F1485" s="11" t="n"/>
      <c r="G1485" s="11" t="n"/>
      <c r="H1485" s="11" t="n"/>
      <c r="I1485" s="11" t="n"/>
      <c r="J1485" s="11" t="n"/>
      <c r="K1485" s="11" t="n"/>
      <c r="L1485" s="11" t="n"/>
      <c r="M1485" s="11" t="n"/>
      <c r="N1485" s="11" t="n"/>
      <c r="O1485" s="12" t="n"/>
    </row>
    <row r="1486">
      <c r="A1486" s="11" t="n"/>
      <c r="B1486" s="11" t="n"/>
      <c r="C1486" s="11" t="n"/>
      <c r="D1486" s="11" t="n"/>
      <c r="E1486" s="11" t="n"/>
      <c r="F1486" s="11" t="n"/>
      <c r="G1486" s="11" t="n"/>
      <c r="H1486" s="11" t="n"/>
      <c r="I1486" s="11" t="n"/>
      <c r="J1486" s="11" t="n"/>
      <c r="K1486" s="11" t="n"/>
      <c r="L1486" s="11" t="n"/>
      <c r="M1486" s="11" t="n"/>
      <c r="N1486" s="11" t="n"/>
      <c r="O1486" s="12" t="n"/>
    </row>
    <row r="1487">
      <c r="A1487" s="11" t="n"/>
      <c r="B1487" s="11" t="n"/>
      <c r="C1487" s="11" t="n"/>
      <c r="D1487" s="11" t="n"/>
      <c r="E1487" s="11" t="n"/>
      <c r="F1487" s="11" t="n"/>
      <c r="G1487" s="11" t="n"/>
      <c r="H1487" s="11" t="n"/>
      <c r="I1487" s="11" t="n"/>
      <c r="J1487" s="11" t="n"/>
      <c r="K1487" s="11" t="n"/>
      <c r="L1487" s="11" t="n"/>
      <c r="M1487" s="11" t="n"/>
      <c r="N1487" s="11" t="n"/>
      <c r="O1487" s="12" t="n"/>
    </row>
    <row r="1488">
      <c r="A1488" s="11" t="n"/>
      <c r="B1488" s="11" t="n"/>
      <c r="C1488" s="11" t="n"/>
      <c r="D1488" s="11" t="n"/>
      <c r="E1488" s="11" t="n"/>
      <c r="F1488" s="11" t="n"/>
      <c r="G1488" s="11" t="n"/>
      <c r="H1488" s="11" t="n"/>
      <c r="I1488" s="11" t="n"/>
      <c r="J1488" s="11" t="n"/>
      <c r="K1488" s="11" t="n"/>
      <c r="L1488" s="11" t="n"/>
      <c r="M1488" s="11" t="n"/>
      <c r="N1488" s="11" t="n"/>
      <c r="O1488" s="12" t="n"/>
    </row>
    <row r="1489">
      <c r="A1489" s="11" t="n"/>
      <c r="B1489" s="11" t="n"/>
      <c r="C1489" s="11" t="n"/>
      <c r="D1489" s="11" t="n"/>
      <c r="E1489" s="11" t="n"/>
      <c r="F1489" s="11" t="n"/>
      <c r="G1489" s="11" t="n"/>
      <c r="H1489" s="11" t="n"/>
      <c r="I1489" s="11" t="n"/>
      <c r="J1489" s="11" t="n"/>
      <c r="K1489" s="11" t="n"/>
      <c r="L1489" s="11" t="n"/>
      <c r="M1489" s="11" t="n"/>
      <c r="N1489" s="11" t="n"/>
      <c r="O1489" s="12" t="n"/>
    </row>
    <row r="1490">
      <c r="A1490" s="11" t="n"/>
      <c r="B1490" s="11" t="n"/>
      <c r="C1490" s="11" t="n"/>
      <c r="D1490" s="11" t="n"/>
      <c r="E1490" s="11" t="n"/>
      <c r="F1490" s="11" t="n"/>
      <c r="G1490" s="11" t="n"/>
      <c r="H1490" s="11" t="n"/>
      <c r="I1490" s="11" t="n"/>
      <c r="J1490" s="11" t="n"/>
      <c r="K1490" s="11" t="n"/>
      <c r="L1490" s="11" t="n"/>
      <c r="M1490" s="11" t="n"/>
      <c r="N1490" s="11" t="n"/>
      <c r="O1490" s="12" t="n"/>
    </row>
    <row r="1491">
      <c r="A1491" s="11" t="n"/>
      <c r="B1491" s="11" t="n"/>
      <c r="C1491" s="11" t="n"/>
      <c r="D1491" s="11" t="n"/>
      <c r="E1491" s="11" t="n"/>
      <c r="F1491" s="11" t="n"/>
      <c r="G1491" s="11" t="n"/>
      <c r="H1491" s="11" t="n"/>
      <c r="I1491" s="11" t="n"/>
      <c r="J1491" s="11" t="n"/>
      <c r="K1491" s="11" t="n"/>
      <c r="L1491" s="11" t="n"/>
      <c r="M1491" s="11" t="n"/>
      <c r="N1491" s="11" t="n"/>
      <c r="O1491" s="12" t="n"/>
    </row>
    <row r="1492">
      <c r="A1492" s="11" t="n"/>
      <c r="B1492" s="11" t="n"/>
      <c r="C1492" s="11" t="n"/>
      <c r="D1492" s="11" t="n"/>
      <c r="E1492" s="11" t="n"/>
      <c r="F1492" s="11" t="n"/>
      <c r="G1492" s="11" t="n"/>
      <c r="H1492" s="11" t="n"/>
      <c r="I1492" s="11" t="n"/>
      <c r="J1492" s="11" t="n"/>
      <c r="K1492" s="11" t="n"/>
      <c r="L1492" s="11" t="n"/>
      <c r="M1492" s="11" t="n"/>
      <c r="N1492" s="11" t="n"/>
      <c r="O1492" s="12" t="n"/>
    </row>
    <row r="1493">
      <c r="A1493" s="11" t="n"/>
      <c r="B1493" s="11" t="n"/>
      <c r="C1493" s="11" t="n"/>
      <c r="D1493" s="11" t="n"/>
      <c r="E1493" s="11" t="n"/>
      <c r="F1493" s="11" t="n"/>
      <c r="G1493" s="11" t="n"/>
      <c r="H1493" s="11" t="n"/>
      <c r="I1493" s="11" t="n"/>
      <c r="J1493" s="11" t="n"/>
      <c r="K1493" s="11" t="n"/>
      <c r="L1493" s="11" t="n"/>
      <c r="M1493" s="11" t="n"/>
      <c r="N1493" s="11" t="n"/>
      <c r="O1493" s="12" t="n"/>
    </row>
    <row r="1494">
      <c r="A1494" s="11" t="n"/>
      <c r="B1494" s="11" t="n"/>
      <c r="C1494" s="11" t="n"/>
      <c r="D1494" s="11" t="n"/>
      <c r="E1494" s="11" t="n"/>
      <c r="F1494" s="11" t="n"/>
      <c r="G1494" s="11" t="n"/>
      <c r="H1494" s="11" t="n"/>
      <c r="I1494" s="11" t="n"/>
      <c r="J1494" s="11" t="n"/>
      <c r="K1494" s="11" t="n"/>
      <c r="L1494" s="11" t="n"/>
      <c r="M1494" s="11" t="n"/>
      <c r="N1494" s="11" t="n"/>
      <c r="O1494" s="12" t="n"/>
    </row>
    <row r="1495">
      <c r="A1495" s="11" t="n"/>
      <c r="B1495" s="11" t="n"/>
      <c r="C1495" s="11" t="n"/>
      <c r="D1495" s="11" t="n"/>
      <c r="E1495" s="11" t="n"/>
      <c r="F1495" s="11" t="n"/>
      <c r="G1495" s="11" t="n"/>
      <c r="H1495" s="11" t="n"/>
      <c r="I1495" s="11" t="n"/>
      <c r="J1495" s="11" t="n"/>
      <c r="K1495" s="11" t="n"/>
      <c r="L1495" s="11" t="n"/>
      <c r="M1495" s="11" t="n"/>
      <c r="N1495" s="11" t="n"/>
      <c r="O1495" s="12" t="n"/>
    </row>
    <row r="1496">
      <c r="A1496" s="11" t="n"/>
      <c r="B1496" s="11" t="n"/>
      <c r="C1496" s="11" t="n"/>
      <c r="D1496" s="11" t="n"/>
      <c r="E1496" s="11" t="n"/>
      <c r="F1496" s="11" t="n"/>
      <c r="G1496" s="11" t="n"/>
      <c r="H1496" s="11" t="n"/>
      <c r="I1496" s="11" t="n"/>
      <c r="J1496" s="11" t="n"/>
      <c r="K1496" s="11" t="n"/>
      <c r="L1496" s="11" t="n"/>
      <c r="M1496" s="11" t="n"/>
      <c r="N1496" s="11" t="n"/>
      <c r="O1496" s="12" t="n"/>
    </row>
    <row r="1497">
      <c r="A1497" s="11" t="n"/>
      <c r="B1497" s="11" t="n"/>
      <c r="C1497" s="11" t="n"/>
      <c r="D1497" s="11" t="n"/>
      <c r="E1497" s="11" t="n"/>
      <c r="F1497" s="11" t="n"/>
      <c r="G1497" s="11" t="n"/>
      <c r="H1497" s="11" t="n"/>
      <c r="I1497" s="11" t="n"/>
      <c r="J1497" s="11" t="n"/>
      <c r="K1497" s="11" t="n"/>
      <c r="L1497" s="11" t="n"/>
      <c r="M1497" s="11" t="n"/>
      <c r="N1497" s="11" t="n"/>
      <c r="O1497" s="12" t="n"/>
    </row>
    <row r="1498">
      <c r="A1498" s="11" t="n"/>
      <c r="B1498" s="11" t="n"/>
      <c r="C1498" s="11" t="n"/>
      <c r="D1498" s="11" t="n"/>
      <c r="E1498" s="11" t="n"/>
      <c r="F1498" s="11" t="n"/>
      <c r="G1498" s="11" t="n"/>
      <c r="H1498" s="11" t="n"/>
      <c r="I1498" s="11" t="n"/>
      <c r="J1498" s="11" t="n"/>
      <c r="K1498" s="11" t="n"/>
      <c r="L1498" s="11" t="n"/>
      <c r="M1498" s="11" t="n"/>
      <c r="N1498" s="11" t="n"/>
      <c r="O1498" s="12" t="n"/>
    </row>
    <row r="1499">
      <c r="A1499" s="11" t="n"/>
      <c r="B1499" s="11" t="n"/>
      <c r="C1499" s="11" t="n"/>
      <c r="D1499" s="11" t="n"/>
      <c r="E1499" s="11" t="n"/>
      <c r="F1499" s="11" t="n"/>
      <c r="G1499" s="11" t="n"/>
      <c r="H1499" s="11" t="n"/>
      <c r="I1499" s="11" t="n"/>
      <c r="J1499" s="11" t="n"/>
      <c r="K1499" s="11" t="n"/>
      <c r="L1499" s="11" t="n"/>
      <c r="M1499" s="11" t="n"/>
      <c r="N1499" s="11" t="n"/>
      <c r="O1499" s="12" t="n"/>
    </row>
    <row r="1500">
      <c r="A1500" s="11" t="n"/>
      <c r="B1500" s="11" t="n"/>
      <c r="C1500" s="11" t="n"/>
      <c r="D1500" s="11" t="n"/>
      <c r="E1500" s="11" t="n"/>
      <c r="F1500" s="11" t="n"/>
      <c r="G1500" s="11" t="n"/>
      <c r="H1500" s="11" t="n"/>
      <c r="I1500" s="11" t="n"/>
      <c r="J1500" s="11" t="n"/>
      <c r="K1500" s="11" t="n"/>
      <c r="L1500" s="11" t="n"/>
      <c r="M1500" s="11" t="n"/>
      <c r="N1500" s="11" t="n"/>
      <c r="O1500" s="12" t="n"/>
    </row>
    <row r="1501">
      <c r="A1501" s="11" t="n"/>
      <c r="B1501" s="11" t="n"/>
      <c r="C1501" s="11" t="n"/>
      <c r="D1501" s="11" t="n"/>
      <c r="E1501" s="11" t="n"/>
      <c r="F1501" s="11" t="n"/>
      <c r="G1501" s="11" t="n"/>
      <c r="H1501" s="11" t="n"/>
      <c r="I1501" s="11" t="n"/>
      <c r="J1501" s="11" t="n"/>
      <c r="K1501" s="11" t="n"/>
      <c r="L1501" s="11" t="n"/>
      <c r="M1501" s="11" t="n"/>
      <c r="N1501" s="11" t="n"/>
      <c r="O1501" s="12" t="n"/>
    </row>
    <row r="1502">
      <c r="A1502" s="11" t="n"/>
      <c r="B1502" s="11" t="n"/>
      <c r="C1502" s="11" t="n"/>
      <c r="D1502" s="11" t="n"/>
      <c r="E1502" s="11" t="n"/>
      <c r="F1502" s="11" t="n"/>
      <c r="G1502" s="11" t="n"/>
      <c r="H1502" s="11" t="n"/>
      <c r="I1502" s="11" t="n"/>
      <c r="J1502" s="11" t="n"/>
      <c r="K1502" s="11" t="n"/>
      <c r="L1502" s="11" t="n"/>
      <c r="M1502" s="11" t="n"/>
      <c r="N1502" s="11" t="n"/>
      <c r="O1502" s="12" t="n"/>
    </row>
    <row r="1503">
      <c r="A1503" s="11" t="n"/>
      <c r="B1503" s="11" t="n"/>
      <c r="C1503" s="11" t="n"/>
      <c r="D1503" s="11" t="n"/>
      <c r="E1503" s="11" t="n"/>
      <c r="F1503" s="11" t="n"/>
      <c r="G1503" s="11" t="n"/>
      <c r="H1503" s="11" t="n"/>
      <c r="I1503" s="11" t="n"/>
      <c r="J1503" s="11" t="n"/>
      <c r="K1503" s="11" t="n"/>
      <c r="L1503" s="11" t="n"/>
      <c r="M1503" s="11" t="n"/>
      <c r="N1503" s="11" t="n"/>
      <c r="O1503" s="12" t="n"/>
    </row>
    <row r="1504">
      <c r="A1504" s="11" t="n"/>
      <c r="B1504" s="11" t="n"/>
      <c r="C1504" s="11" t="n"/>
      <c r="D1504" s="11" t="n"/>
      <c r="E1504" s="11" t="n"/>
      <c r="F1504" s="11" t="n"/>
      <c r="G1504" s="11" t="n"/>
      <c r="H1504" s="11" t="n"/>
      <c r="I1504" s="11" t="n"/>
      <c r="J1504" s="11" t="n"/>
      <c r="K1504" s="11" t="n"/>
      <c r="L1504" s="11" t="n"/>
      <c r="M1504" s="11" t="n"/>
      <c r="N1504" s="11" t="n"/>
      <c r="O1504" s="12" t="n"/>
    </row>
    <row r="1505">
      <c r="A1505" s="11" t="n"/>
      <c r="B1505" s="11" t="n"/>
      <c r="C1505" s="11" t="n"/>
      <c r="D1505" s="11" t="n"/>
      <c r="E1505" s="11" t="n"/>
      <c r="F1505" s="11" t="n"/>
      <c r="G1505" s="11" t="n"/>
      <c r="H1505" s="11" t="n"/>
      <c r="I1505" s="11" t="n"/>
      <c r="J1505" s="11" t="n"/>
      <c r="K1505" s="11" t="n"/>
      <c r="L1505" s="11" t="n"/>
      <c r="M1505" s="11" t="n"/>
      <c r="N1505" s="11" t="n"/>
      <c r="O1505" s="12" t="n"/>
    </row>
    <row r="1506">
      <c r="A1506" s="11" t="n"/>
      <c r="B1506" s="11" t="n"/>
      <c r="C1506" s="11" t="n"/>
      <c r="D1506" s="11" t="n"/>
      <c r="E1506" s="11" t="n"/>
      <c r="F1506" s="11" t="n"/>
      <c r="G1506" s="11" t="n"/>
      <c r="H1506" s="11" t="n"/>
      <c r="I1506" s="11" t="n"/>
      <c r="J1506" s="11" t="n"/>
      <c r="K1506" s="11" t="n"/>
      <c r="L1506" s="11" t="n"/>
      <c r="M1506" s="11" t="n"/>
      <c r="N1506" s="11" t="n"/>
      <c r="O1506" s="12" t="n"/>
    </row>
    <row r="1507">
      <c r="A1507" s="11" t="n"/>
      <c r="B1507" s="11" t="n"/>
      <c r="C1507" s="11" t="n"/>
      <c r="D1507" s="11" t="n"/>
      <c r="E1507" s="11" t="n"/>
      <c r="F1507" s="11" t="n"/>
      <c r="G1507" s="11" t="n"/>
      <c r="H1507" s="11" t="n"/>
      <c r="I1507" s="11" t="n"/>
      <c r="J1507" s="11" t="n"/>
      <c r="K1507" s="11" t="n"/>
      <c r="L1507" s="11" t="n"/>
      <c r="M1507" s="11" t="n"/>
      <c r="N1507" s="11" t="n"/>
      <c r="O1507" s="12" t="n"/>
    </row>
    <row r="1508">
      <c r="A1508" s="11" t="n"/>
      <c r="B1508" s="11" t="n"/>
      <c r="C1508" s="11" t="n"/>
      <c r="D1508" s="11" t="n"/>
      <c r="E1508" s="11" t="n"/>
      <c r="F1508" s="11" t="n"/>
      <c r="G1508" s="11" t="n"/>
      <c r="H1508" s="11" t="n"/>
      <c r="I1508" s="11" t="n"/>
      <c r="J1508" s="11" t="n"/>
      <c r="K1508" s="11" t="n"/>
      <c r="L1508" s="11" t="n"/>
      <c r="M1508" s="11" t="n"/>
      <c r="N1508" s="11" t="n"/>
      <c r="O1508" s="12" t="n"/>
    </row>
    <row r="1509">
      <c r="A1509" s="11" t="n"/>
      <c r="B1509" s="11" t="n"/>
      <c r="C1509" s="11" t="n"/>
      <c r="D1509" s="11" t="n"/>
      <c r="E1509" s="11" t="n"/>
      <c r="F1509" s="11" t="n"/>
      <c r="G1509" s="11" t="n"/>
      <c r="H1509" s="11" t="n"/>
      <c r="I1509" s="11" t="n"/>
      <c r="J1509" s="11" t="n"/>
      <c r="K1509" s="11" t="n"/>
      <c r="L1509" s="11" t="n"/>
      <c r="M1509" s="11" t="n"/>
      <c r="N1509" s="11" t="n"/>
      <c r="O1509" s="12" t="n"/>
    </row>
    <row r="1510">
      <c r="A1510" s="11" t="n"/>
      <c r="B1510" s="11" t="n"/>
      <c r="C1510" s="11" t="n"/>
      <c r="D1510" s="11" t="n"/>
      <c r="E1510" s="11" t="n"/>
      <c r="F1510" s="11" t="n"/>
      <c r="G1510" s="11" t="n"/>
      <c r="H1510" s="11" t="n"/>
      <c r="I1510" s="11" t="n"/>
      <c r="J1510" s="11" t="n"/>
      <c r="K1510" s="11" t="n"/>
      <c r="L1510" s="11" t="n"/>
      <c r="M1510" s="11" t="n"/>
      <c r="N1510" s="11" t="n"/>
      <c r="O1510" s="12" t="n"/>
    </row>
    <row r="1511">
      <c r="A1511" s="11" t="n"/>
      <c r="B1511" s="11" t="n"/>
      <c r="C1511" s="11" t="n"/>
      <c r="D1511" s="11" t="n"/>
      <c r="E1511" s="11" t="n"/>
      <c r="F1511" s="11" t="n"/>
      <c r="G1511" s="11" t="n"/>
      <c r="H1511" s="11" t="n"/>
      <c r="I1511" s="11" t="n"/>
      <c r="J1511" s="11" t="n"/>
      <c r="K1511" s="11" t="n"/>
      <c r="L1511" s="11" t="n"/>
      <c r="M1511" s="11" t="n"/>
      <c r="N1511" s="11" t="n"/>
      <c r="O1511" s="12" t="n"/>
    </row>
    <row r="1512">
      <c r="A1512" s="11" t="n"/>
      <c r="B1512" s="11" t="n"/>
      <c r="C1512" s="11" t="n"/>
      <c r="D1512" s="11" t="n"/>
      <c r="E1512" s="11" t="n"/>
      <c r="F1512" s="11" t="n"/>
      <c r="G1512" s="11" t="n"/>
      <c r="H1512" s="11" t="n"/>
      <c r="I1512" s="11" t="n"/>
      <c r="J1512" s="11" t="n"/>
      <c r="K1512" s="11" t="n"/>
      <c r="L1512" s="11" t="n"/>
      <c r="M1512" s="11" t="n"/>
      <c r="N1512" s="11" t="n"/>
      <c r="O1512" s="12" t="n"/>
    </row>
    <row r="1513">
      <c r="A1513" s="11" t="n"/>
      <c r="B1513" s="11" t="n"/>
      <c r="C1513" s="11" t="n"/>
      <c r="D1513" s="11" t="n"/>
      <c r="E1513" s="11" t="n"/>
      <c r="F1513" s="11" t="n"/>
      <c r="G1513" s="11" t="n"/>
      <c r="H1513" s="11" t="n"/>
      <c r="I1513" s="11" t="n"/>
      <c r="J1513" s="11" t="n"/>
      <c r="K1513" s="11" t="n"/>
      <c r="L1513" s="11" t="n"/>
      <c r="M1513" s="11" t="n"/>
      <c r="N1513" s="11" t="n"/>
      <c r="O1513" s="12" t="n"/>
    </row>
    <row r="1514">
      <c r="A1514" s="11" t="n"/>
      <c r="B1514" s="11" t="n"/>
      <c r="C1514" s="11" t="n"/>
      <c r="D1514" s="11" t="n"/>
      <c r="E1514" s="11" t="n"/>
      <c r="F1514" s="11" t="n"/>
      <c r="G1514" s="11" t="n"/>
      <c r="H1514" s="11" t="n"/>
      <c r="I1514" s="11" t="n"/>
      <c r="J1514" s="11" t="n"/>
      <c r="K1514" s="11" t="n"/>
      <c r="L1514" s="11" t="n"/>
      <c r="M1514" s="11" t="n"/>
      <c r="N1514" s="11" t="n"/>
      <c r="O1514" s="12" t="n"/>
    </row>
    <row r="1515">
      <c r="A1515" s="11" t="n"/>
      <c r="B1515" s="11" t="n"/>
      <c r="C1515" s="11" t="n"/>
      <c r="D1515" s="11" t="n"/>
      <c r="E1515" s="11" t="n"/>
      <c r="F1515" s="11" t="n"/>
      <c r="G1515" s="11" t="n"/>
      <c r="H1515" s="11" t="n"/>
      <c r="I1515" s="11" t="n"/>
      <c r="J1515" s="11" t="n"/>
      <c r="K1515" s="11" t="n"/>
      <c r="L1515" s="11" t="n"/>
      <c r="M1515" s="11" t="n"/>
      <c r="N1515" s="11" t="n"/>
      <c r="O1515" s="12" t="n"/>
    </row>
    <row r="1516">
      <c r="A1516" s="11" t="n"/>
      <c r="B1516" s="11" t="n"/>
      <c r="C1516" s="11" t="n"/>
      <c r="D1516" s="11" t="n"/>
      <c r="E1516" s="11" t="n"/>
      <c r="F1516" s="11" t="n"/>
      <c r="G1516" s="11" t="n"/>
      <c r="H1516" s="11" t="n"/>
      <c r="I1516" s="11" t="n"/>
      <c r="J1516" s="11" t="n"/>
      <c r="K1516" s="11" t="n"/>
      <c r="L1516" s="11" t="n"/>
      <c r="M1516" s="11" t="n"/>
      <c r="N1516" s="11" t="n"/>
      <c r="O1516" s="12" t="n"/>
    </row>
    <row r="1517">
      <c r="A1517" s="11" t="n"/>
      <c r="B1517" s="11" t="n"/>
      <c r="C1517" s="11" t="n"/>
      <c r="D1517" s="11" t="n"/>
      <c r="E1517" s="11" t="n"/>
      <c r="F1517" s="11" t="n"/>
      <c r="G1517" s="11" t="n"/>
      <c r="H1517" s="11" t="n"/>
      <c r="I1517" s="11" t="n"/>
      <c r="J1517" s="11" t="n"/>
      <c r="K1517" s="11" t="n"/>
      <c r="L1517" s="11" t="n"/>
      <c r="M1517" s="11" t="n"/>
      <c r="N1517" s="11" t="n"/>
      <c r="O1517" s="12" t="n"/>
    </row>
    <row r="1518">
      <c r="A1518" s="11" t="n"/>
      <c r="B1518" s="11" t="n"/>
      <c r="C1518" s="11" t="n"/>
      <c r="D1518" s="11" t="n"/>
      <c r="E1518" s="11" t="n"/>
      <c r="F1518" s="11" t="n"/>
      <c r="G1518" s="11" t="n"/>
      <c r="H1518" s="11" t="n"/>
      <c r="I1518" s="11" t="n"/>
      <c r="J1518" s="11" t="n"/>
      <c r="K1518" s="11" t="n"/>
      <c r="L1518" s="11" t="n"/>
      <c r="M1518" s="11" t="n"/>
      <c r="N1518" s="11" t="n"/>
      <c r="O1518" s="12" t="n"/>
    </row>
    <row r="1519">
      <c r="A1519" s="11" t="n"/>
      <c r="B1519" s="11" t="n"/>
      <c r="C1519" s="11" t="n"/>
      <c r="D1519" s="11" t="n"/>
      <c r="E1519" s="11" t="n"/>
      <c r="F1519" s="11" t="n"/>
      <c r="G1519" s="11" t="n"/>
      <c r="H1519" s="11" t="n"/>
      <c r="I1519" s="11" t="n"/>
      <c r="J1519" s="11" t="n"/>
      <c r="K1519" s="11" t="n"/>
      <c r="L1519" s="11" t="n"/>
      <c r="M1519" s="11" t="n"/>
      <c r="N1519" s="11" t="n"/>
      <c r="O1519" s="12" t="n"/>
    </row>
    <row r="1520">
      <c r="A1520" s="11" t="n"/>
      <c r="B1520" s="11" t="n"/>
      <c r="C1520" s="11" t="n"/>
      <c r="D1520" s="11" t="n"/>
      <c r="E1520" s="11" t="n"/>
      <c r="F1520" s="11" t="n"/>
      <c r="G1520" s="11" t="n"/>
      <c r="H1520" s="11" t="n"/>
      <c r="I1520" s="11" t="n"/>
      <c r="J1520" s="11" t="n"/>
      <c r="K1520" s="11" t="n"/>
      <c r="L1520" s="11" t="n"/>
      <c r="M1520" s="11" t="n"/>
      <c r="N1520" s="11" t="n"/>
      <c r="O1520" s="12" t="n"/>
    </row>
    <row r="1521">
      <c r="A1521" s="11" t="n"/>
      <c r="B1521" s="11" t="n"/>
      <c r="C1521" s="11" t="n"/>
      <c r="D1521" s="11" t="n"/>
      <c r="E1521" s="11" t="n"/>
      <c r="F1521" s="11" t="n"/>
      <c r="G1521" s="11" t="n"/>
      <c r="H1521" s="11" t="n"/>
      <c r="I1521" s="11" t="n"/>
      <c r="J1521" s="11" t="n"/>
      <c r="K1521" s="11" t="n"/>
      <c r="L1521" s="11" t="n"/>
      <c r="M1521" s="11" t="n"/>
      <c r="N1521" s="11" t="n"/>
      <c r="O1521" s="12" t="n"/>
    </row>
    <row r="1522">
      <c r="A1522" s="11" t="n"/>
      <c r="B1522" s="11" t="n"/>
      <c r="C1522" s="11" t="n"/>
      <c r="D1522" s="11" t="n"/>
      <c r="E1522" s="11" t="n"/>
      <c r="F1522" s="11" t="n"/>
      <c r="G1522" s="11" t="n"/>
      <c r="H1522" s="11" t="n"/>
      <c r="I1522" s="11" t="n"/>
      <c r="J1522" s="11" t="n"/>
      <c r="K1522" s="11" t="n"/>
      <c r="L1522" s="11" t="n"/>
      <c r="M1522" s="11" t="n"/>
      <c r="N1522" s="11" t="n"/>
      <c r="O1522" s="12" t="n"/>
    </row>
    <row r="1523">
      <c r="A1523" s="11" t="n"/>
      <c r="B1523" s="11" t="n"/>
      <c r="C1523" s="11" t="n"/>
      <c r="D1523" s="11" t="n"/>
      <c r="E1523" s="11" t="n"/>
      <c r="F1523" s="11" t="n"/>
      <c r="G1523" s="11" t="n"/>
      <c r="H1523" s="11" t="n"/>
      <c r="I1523" s="11" t="n"/>
      <c r="J1523" s="11" t="n"/>
      <c r="K1523" s="11" t="n"/>
      <c r="L1523" s="11" t="n"/>
      <c r="M1523" s="11" t="n"/>
      <c r="N1523" s="11" t="n"/>
      <c r="O1523" s="12" t="n"/>
    </row>
    <row r="1524">
      <c r="A1524" s="11" t="n"/>
      <c r="B1524" s="11" t="n"/>
      <c r="C1524" s="11" t="n"/>
      <c r="D1524" s="11" t="n"/>
      <c r="E1524" s="11" t="n"/>
      <c r="F1524" s="11" t="n"/>
      <c r="G1524" s="11" t="n"/>
      <c r="H1524" s="11" t="n"/>
      <c r="I1524" s="11" t="n"/>
      <c r="J1524" s="11" t="n"/>
      <c r="K1524" s="11" t="n"/>
      <c r="L1524" s="11" t="n"/>
      <c r="M1524" s="11" t="n"/>
      <c r="N1524" s="11" t="n"/>
      <c r="O1524" s="12" t="n"/>
    </row>
    <row r="1525">
      <c r="A1525" s="11" t="n"/>
      <c r="B1525" s="11" t="n"/>
      <c r="C1525" s="11" t="n"/>
      <c r="D1525" s="11" t="n"/>
      <c r="E1525" s="11" t="n"/>
      <c r="F1525" s="11" t="n"/>
      <c r="G1525" s="11" t="n"/>
      <c r="H1525" s="11" t="n"/>
      <c r="I1525" s="11" t="n"/>
      <c r="J1525" s="11" t="n"/>
      <c r="K1525" s="11" t="n"/>
      <c r="L1525" s="11" t="n"/>
      <c r="M1525" s="11" t="n"/>
      <c r="N1525" s="11" t="n"/>
      <c r="O1525" s="12" t="n"/>
    </row>
    <row r="1526">
      <c r="A1526" s="11" t="n"/>
      <c r="B1526" s="11" t="n"/>
      <c r="C1526" s="11" t="n"/>
      <c r="D1526" s="11" t="n"/>
      <c r="E1526" s="11" t="n"/>
      <c r="F1526" s="11" t="n"/>
      <c r="G1526" s="11" t="n"/>
      <c r="H1526" s="11" t="n"/>
      <c r="I1526" s="11" t="n"/>
      <c r="J1526" s="11" t="n"/>
      <c r="K1526" s="11" t="n"/>
      <c r="L1526" s="11" t="n"/>
      <c r="M1526" s="11" t="n"/>
      <c r="N1526" s="11" t="n"/>
      <c r="O1526" s="12" t="n"/>
    </row>
    <row r="1527">
      <c r="A1527" s="11" t="n"/>
      <c r="B1527" s="11" t="n"/>
      <c r="C1527" s="11" t="n"/>
      <c r="D1527" s="11" t="n"/>
      <c r="E1527" s="11" t="n"/>
      <c r="F1527" s="11" t="n"/>
      <c r="G1527" s="11" t="n"/>
      <c r="H1527" s="11" t="n"/>
      <c r="I1527" s="11" t="n"/>
      <c r="J1527" s="11" t="n"/>
      <c r="K1527" s="11" t="n"/>
      <c r="L1527" s="11" t="n"/>
      <c r="M1527" s="11" t="n"/>
      <c r="N1527" s="11" t="n"/>
      <c r="O1527" s="12" t="n"/>
    </row>
    <row r="1528">
      <c r="A1528" s="11" t="n"/>
      <c r="B1528" s="11" t="n"/>
      <c r="C1528" s="11" t="n"/>
      <c r="D1528" s="11" t="n"/>
      <c r="E1528" s="11" t="n"/>
      <c r="F1528" s="11" t="n"/>
      <c r="G1528" s="11" t="n"/>
      <c r="H1528" s="11" t="n"/>
      <c r="I1528" s="11" t="n"/>
      <c r="J1528" s="11" t="n"/>
      <c r="K1528" s="11" t="n"/>
      <c r="L1528" s="11" t="n"/>
      <c r="M1528" s="11" t="n"/>
      <c r="N1528" s="11" t="n"/>
      <c r="O1528" s="12" t="n"/>
    </row>
    <row r="1529">
      <c r="A1529" s="11" t="n"/>
      <c r="B1529" s="11" t="n"/>
      <c r="C1529" s="11" t="n"/>
      <c r="D1529" s="11" t="n"/>
      <c r="E1529" s="11" t="n"/>
      <c r="F1529" s="11" t="n"/>
      <c r="G1529" s="11" t="n"/>
      <c r="H1529" s="11" t="n"/>
      <c r="I1529" s="11" t="n"/>
      <c r="J1529" s="11" t="n"/>
      <c r="K1529" s="11" t="n"/>
      <c r="L1529" s="11" t="n"/>
      <c r="M1529" s="11" t="n"/>
      <c r="N1529" s="11" t="n"/>
      <c r="O1529" s="12" t="n"/>
    </row>
    <row r="1530">
      <c r="A1530" s="11" t="n"/>
      <c r="B1530" s="11" t="n"/>
      <c r="C1530" s="11" t="n"/>
      <c r="D1530" s="11" t="n"/>
      <c r="E1530" s="11" t="n"/>
      <c r="F1530" s="11" t="n"/>
      <c r="G1530" s="11" t="n"/>
      <c r="H1530" s="11" t="n"/>
      <c r="I1530" s="11" t="n"/>
      <c r="J1530" s="11" t="n"/>
      <c r="K1530" s="11" t="n"/>
      <c r="L1530" s="11" t="n"/>
      <c r="M1530" s="11" t="n"/>
      <c r="N1530" s="11" t="n"/>
      <c r="O1530" s="12" t="n"/>
    </row>
    <row r="1531">
      <c r="A1531" s="11" t="n"/>
      <c r="B1531" s="11" t="n"/>
      <c r="C1531" s="11" t="n"/>
      <c r="D1531" s="11" t="n"/>
      <c r="E1531" s="11" t="n"/>
      <c r="F1531" s="11" t="n"/>
      <c r="G1531" s="11" t="n"/>
      <c r="H1531" s="11" t="n"/>
      <c r="I1531" s="11" t="n"/>
      <c r="J1531" s="11" t="n"/>
      <c r="K1531" s="11" t="n"/>
      <c r="L1531" s="11" t="n"/>
      <c r="M1531" s="11" t="n"/>
      <c r="N1531" s="11" t="n"/>
      <c r="O1531" s="12" t="n"/>
    </row>
    <row r="1532">
      <c r="A1532" s="11" t="n"/>
      <c r="B1532" s="11" t="n"/>
      <c r="C1532" s="11" t="n"/>
      <c r="D1532" s="11" t="n"/>
      <c r="E1532" s="11" t="n"/>
      <c r="F1532" s="11" t="n"/>
      <c r="G1532" s="11" t="n"/>
      <c r="H1532" s="11" t="n"/>
      <c r="I1532" s="11" t="n"/>
      <c r="J1532" s="11" t="n"/>
      <c r="K1532" s="11" t="n"/>
      <c r="L1532" s="11" t="n"/>
      <c r="M1532" s="11" t="n"/>
      <c r="N1532" s="11" t="n"/>
      <c r="O1532" s="12" t="n"/>
    </row>
    <row r="1533">
      <c r="A1533" s="11" t="n"/>
      <c r="B1533" s="11" t="n"/>
      <c r="C1533" s="11" t="n"/>
      <c r="D1533" s="11" t="n"/>
      <c r="E1533" s="11" t="n"/>
      <c r="F1533" s="11" t="n"/>
      <c r="G1533" s="11" t="n"/>
      <c r="H1533" s="11" t="n"/>
      <c r="I1533" s="11" t="n"/>
      <c r="J1533" s="11" t="n"/>
      <c r="K1533" s="11" t="n"/>
      <c r="L1533" s="11" t="n"/>
      <c r="M1533" s="11" t="n"/>
      <c r="N1533" s="11" t="n"/>
      <c r="O1533" s="12" t="n"/>
    </row>
    <row r="1534">
      <c r="A1534" s="11" t="n"/>
      <c r="B1534" s="11" t="n"/>
      <c r="C1534" s="11" t="n"/>
      <c r="D1534" s="11" t="n"/>
      <c r="E1534" s="11" t="n"/>
      <c r="F1534" s="11" t="n"/>
      <c r="G1534" s="11" t="n"/>
      <c r="H1534" s="11" t="n"/>
      <c r="I1534" s="11" t="n"/>
      <c r="J1534" s="11" t="n"/>
      <c r="K1534" s="11" t="n"/>
      <c r="L1534" s="11" t="n"/>
      <c r="M1534" s="11" t="n"/>
      <c r="N1534" s="11" t="n"/>
      <c r="O1534" s="12" t="n"/>
    </row>
    <row r="1535">
      <c r="A1535" s="11" t="n"/>
      <c r="B1535" s="11" t="n"/>
      <c r="C1535" s="11" t="n"/>
      <c r="D1535" s="11" t="n"/>
      <c r="E1535" s="11" t="n"/>
      <c r="F1535" s="11" t="n"/>
      <c r="G1535" s="11" t="n"/>
      <c r="H1535" s="11" t="n"/>
      <c r="I1535" s="11" t="n"/>
      <c r="J1535" s="11" t="n"/>
      <c r="K1535" s="11" t="n"/>
      <c r="L1535" s="11" t="n"/>
      <c r="M1535" s="11" t="n"/>
      <c r="N1535" s="11" t="n"/>
      <c r="O1535" s="12" t="n"/>
    </row>
    <row r="1536">
      <c r="A1536" s="11" t="n"/>
      <c r="B1536" s="11" t="n"/>
      <c r="C1536" s="11" t="n"/>
      <c r="D1536" s="11" t="n"/>
      <c r="E1536" s="11" t="n"/>
      <c r="F1536" s="11" t="n"/>
      <c r="G1536" s="11" t="n"/>
      <c r="H1536" s="11" t="n"/>
      <c r="I1536" s="11" t="n"/>
      <c r="J1536" s="11" t="n"/>
      <c r="K1536" s="11" t="n"/>
      <c r="L1536" s="11" t="n"/>
      <c r="M1536" s="11" t="n"/>
      <c r="N1536" s="11" t="n"/>
      <c r="O1536" s="12" t="n"/>
    </row>
    <row r="1537">
      <c r="A1537" s="11" t="n"/>
      <c r="B1537" s="11" t="n"/>
      <c r="C1537" s="11" t="n"/>
      <c r="D1537" s="11" t="n"/>
      <c r="E1537" s="11" t="n"/>
      <c r="F1537" s="11" t="n"/>
      <c r="G1537" s="11" t="n"/>
      <c r="H1537" s="11" t="n"/>
      <c r="I1537" s="11" t="n"/>
      <c r="J1537" s="11" t="n"/>
      <c r="K1537" s="11" t="n"/>
      <c r="L1537" s="11" t="n"/>
      <c r="M1537" s="11" t="n"/>
      <c r="N1537" s="11" t="n"/>
      <c r="O1537" s="12" t="n"/>
    </row>
    <row r="1538">
      <c r="A1538" s="11" t="n"/>
      <c r="B1538" s="11" t="n"/>
      <c r="C1538" s="11" t="n"/>
      <c r="D1538" s="11" t="n"/>
      <c r="E1538" s="11" t="n"/>
      <c r="F1538" s="11" t="n"/>
      <c r="G1538" s="11" t="n"/>
      <c r="H1538" s="11" t="n"/>
      <c r="I1538" s="11" t="n"/>
      <c r="J1538" s="11" t="n"/>
      <c r="K1538" s="11" t="n"/>
      <c r="L1538" s="11" t="n"/>
      <c r="M1538" s="11" t="n"/>
      <c r="N1538" s="11" t="n"/>
      <c r="O1538" s="12" t="n"/>
    </row>
    <row r="1539">
      <c r="A1539" s="11" t="n"/>
      <c r="B1539" s="11" t="n"/>
      <c r="C1539" s="11" t="n"/>
      <c r="D1539" s="11" t="n"/>
      <c r="E1539" s="11" t="n"/>
      <c r="F1539" s="11" t="n"/>
      <c r="G1539" s="11" t="n"/>
      <c r="H1539" s="11" t="n"/>
      <c r="I1539" s="11" t="n"/>
      <c r="J1539" s="11" t="n"/>
      <c r="K1539" s="11" t="n"/>
      <c r="L1539" s="11" t="n"/>
      <c r="M1539" s="11" t="n"/>
      <c r="N1539" s="11" t="n"/>
      <c r="O1539" s="12" t="n"/>
    </row>
    <row r="1540">
      <c r="A1540" s="11" t="n"/>
      <c r="B1540" s="11" t="n"/>
      <c r="C1540" s="11" t="n"/>
      <c r="D1540" s="11" t="n"/>
      <c r="E1540" s="11" t="n"/>
      <c r="F1540" s="11" t="n"/>
      <c r="G1540" s="11" t="n"/>
      <c r="H1540" s="11" t="n"/>
      <c r="I1540" s="11" t="n"/>
      <c r="J1540" s="11" t="n"/>
      <c r="K1540" s="11" t="n"/>
      <c r="L1540" s="11" t="n"/>
      <c r="M1540" s="11" t="n"/>
      <c r="N1540" s="11" t="n"/>
      <c r="O1540" s="12" t="n"/>
    </row>
    <row r="1541">
      <c r="A1541" s="11" t="n"/>
      <c r="B1541" s="11" t="n"/>
      <c r="C1541" s="11" t="n"/>
      <c r="D1541" s="11" t="n"/>
      <c r="E1541" s="11" t="n"/>
      <c r="F1541" s="11" t="n"/>
      <c r="G1541" s="11" t="n"/>
      <c r="H1541" s="11" t="n"/>
      <c r="I1541" s="11" t="n"/>
      <c r="J1541" s="11" t="n"/>
      <c r="K1541" s="11" t="n"/>
      <c r="L1541" s="11" t="n"/>
      <c r="M1541" s="11" t="n"/>
      <c r="N1541" s="11" t="n"/>
      <c r="O1541" s="12" t="n"/>
    </row>
    <row r="1542">
      <c r="A1542" s="11" t="n"/>
      <c r="B1542" s="11" t="n"/>
      <c r="C1542" s="11" t="n"/>
      <c r="D1542" s="11" t="n"/>
      <c r="E1542" s="11" t="n"/>
      <c r="F1542" s="11" t="n"/>
      <c r="G1542" s="11" t="n"/>
      <c r="H1542" s="11" t="n"/>
      <c r="I1542" s="11" t="n"/>
      <c r="J1542" s="11" t="n"/>
      <c r="K1542" s="11" t="n"/>
      <c r="L1542" s="11" t="n"/>
      <c r="M1542" s="11" t="n"/>
      <c r="N1542" s="11" t="n"/>
      <c r="O1542" s="12" t="n"/>
    </row>
    <row r="1543">
      <c r="A1543" s="11" t="n"/>
      <c r="B1543" s="11" t="n"/>
      <c r="C1543" s="11" t="n"/>
      <c r="D1543" s="11" t="n"/>
      <c r="E1543" s="11" t="n"/>
      <c r="F1543" s="11" t="n"/>
      <c r="G1543" s="11" t="n"/>
      <c r="H1543" s="11" t="n"/>
      <c r="I1543" s="11" t="n"/>
      <c r="J1543" s="11" t="n"/>
      <c r="K1543" s="11" t="n"/>
      <c r="L1543" s="11" t="n"/>
      <c r="M1543" s="11" t="n"/>
      <c r="N1543" s="11" t="n"/>
      <c r="O1543" s="12" t="n"/>
    </row>
    <row r="1544">
      <c r="A1544" s="11" t="n"/>
      <c r="B1544" s="11" t="n"/>
      <c r="C1544" s="11" t="n"/>
      <c r="D1544" s="11" t="n"/>
      <c r="E1544" s="11" t="n"/>
      <c r="F1544" s="11" t="n"/>
      <c r="G1544" s="11" t="n"/>
      <c r="H1544" s="11" t="n"/>
      <c r="I1544" s="11" t="n"/>
      <c r="J1544" s="11" t="n"/>
      <c r="K1544" s="11" t="n"/>
      <c r="L1544" s="11" t="n"/>
      <c r="M1544" s="11" t="n"/>
      <c r="N1544" s="11" t="n"/>
      <c r="O1544" s="12" t="n"/>
    </row>
    <row r="1545">
      <c r="A1545" s="11" t="n"/>
      <c r="B1545" s="11" t="n"/>
      <c r="C1545" s="11" t="n"/>
      <c r="D1545" s="11" t="n"/>
      <c r="E1545" s="11" t="n"/>
      <c r="F1545" s="11" t="n"/>
      <c r="G1545" s="11" t="n"/>
      <c r="H1545" s="11" t="n"/>
      <c r="I1545" s="11" t="n"/>
      <c r="J1545" s="11" t="n"/>
      <c r="K1545" s="11" t="n"/>
      <c r="L1545" s="11" t="n"/>
      <c r="M1545" s="11" t="n"/>
      <c r="N1545" s="11" t="n"/>
      <c r="O1545" s="12" t="n"/>
    </row>
    <row r="1546">
      <c r="A1546" s="11" t="n"/>
      <c r="B1546" s="11" t="n"/>
      <c r="C1546" s="11" t="n"/>
      <c r="D1546" s="11" t="n"/>
      <c r="E1546" s="11" t="n"/>
      <c r="F1546" s="11" t="n"/>
      <c r="G1546" s="11" t="n"/>
      <c r="H1546" s="11" t="n"/>
      <c r="I1546" s="11" t="n"/>
      <c r="J1546" s="11" t="n"/>
      <c r="K1546" s="11" t="n"/>
      <c r="L1546" s="11" t="n"/>
      <c r="M1546" s="11" t="n"/>
      <c r="N1546" s="11" t="n"/>
      <c r="O1546" s="12" t="n"/>
    </row>
    <row r="1547">
      <c r="A1547" s="11" t="n"/>
      <c r="B1547" s="11" t="n"/>
      <c r="C1547" s="11" t="n"/>
      <c r="D1547" s="11" t="n"/>
      <c r="E1547" s="11" t="n"/>
      <c r="F1547" s="11" t="n"/>
      <c r="G1547" s="11" t="n"/>
      <c r="H1547" s="11" t="n"/>
      <c r="I1547" s="11" t="n"/>
      <c r="J1547" s="11" t="n"/>
      <c r="K1547" s="11" t="n"/>
      <c r="L1547" s="11" t="n"/>
      <c r="M1547" s="11" t="n"/>
      <c r="N1547" s="11" t="n"/>
      <c r="O1547" s="12" t="n"/>
    </row>
    <row r="1548">
      <c r="A1548" s="11" t="n"/>
      <c r="B1548" s="11" t="n"/>
      <c r="C1548" s="11" t="n"/>
      <c r="D1548" s="11" t="n"/>
      <c r="E1548" s="11" t="n"/>
      <c r="F1548" s="11" t="n"/>
      <c r="G1548" s="11" t="n"/>
      <c r="H1548" s="11" t="n"/>
      <c r="I1548" s="11" t="n"/>
      <c r="J1548" s="11" t="n"/>
      <c r="K1548" s="11" t="n"/>
      <c r="L1548" s="11" t="n"/>
      <c r="M1548" s="11" t="n"/>
      <c r="N1548" s="11" t="n"/>
      <c r="O1548" s="12" t="n"/>
    </row>
    <row r="1549">
      <c r="A1549" s="11" t="n"/>
      <c r="B1549" s="11" t="n"/>
      <c r="C1549" s="11" t="n"/>
      <c r="D1549" s="11" t="n"/>
      <c r="E1549" s="11" t="n"/>
      <c r="F1549" s="11" t="n"/>
      <c r="G1549" s="11" t="n"/>
      <c r="H1549" s="11" t="n"/>
      <c r="I1549" s="11" t="n"/>
      <c r="J1549" s="11" t="n"/>
      <c r="K1549" s="11" t="n"/>
      <c r="L1549" s="11" t="n"/>
      <c r="M1549" s="11" t="n"/>
      <c r="N1549" s="11" t="n"/>
      <c r="O1549" s="12" t="n"/>
    </row>
    <row r="1550">
      <c r="A1550" s="11" t="n"/>
      <c r="B1550" s="11" t="n"/>
      <c r="C1550" s="11" t="n"/>
      <c r="D1550" s="11" t="n"/>
      <c r="E1550" s="11" t="n"/>
      <c r="F1550" s="11" t="n"/>
      <c r="G1550" s="11" t="n"/>
      <c r="H1550" s="11" t="n"/>
      <c r="I1550" s="11" t="n"/>
      <c r="J1550" s="11" t="n"/>
      <c r="K1550" s="11" t="n"/>
      <c r="L1550" s="11" t="n"/>
      <c r="M1550" s="11" t="n"/>
      <c r="N1550" s="11" t="n"/>
      <c r="O1550" s="12" t="n"/>
    </row>
    <row r="1551">
      <c r="A1551" s="11" t="n"/>
      <c r="B1551" s="11" t="n"/>
      <c r="C1551" s="11" t="n"/>
      <c r="D1551" s="11" t="n"/>
      <c r="E1551" s="11" t="n"/>
      <c r="F1551" s="11" t="n"/>
      <c r="G1551" s="11" t="n"/>
      <c r="H1551" s="11" t="n"/>
      <c r="I1551" s="11" t="n"/>
      <c r="J1551" s="11" t="n"/>
      <c r="K1551" s="11" t="n"/>
      <c r="L1551" s="11" t="n"/>
      <c r="M1551" s="11" t="n"/>
      <c r="N1551" s="11" t="n"/>
      <c r="O1551" s="12" t="n"/>
    </row>
    <row r="1552">
      <c r="A1552" s="11" t="n"/>
      <c r="B1552" s="11" t="n"/>
      <c r="C1552" s="11" t="n"/>
      <c r="D1552" s="11" t="n"/>
      <c r="E1552" s="11" t="n"/>
      <c r="F1552" s="11" t="n"/>
      <c r="G1552" s="11" t="n"/>
      <c r="H1552" s="11" t="n"/>
      <c r="I1552" s="11" t="n"/>
      <c r="J1552" s="11" t="n"/>
      <c r="K1552" s="11" t="n"/>
      <c r="L1552" s="11" t="n"/>
      <c r="M1552" s="11" t="n"/>
      <c r="N1552" s="11" t="n"/>
      <c r="O1552" s="12" t="n"/>
    </row>
    <row r="1553">
      <c r="A1553" s="11" t="n"/>
      <c r="B1553" s="11" t="n"/>
      <c r="C1553" s="11" t="n"/>
      <c r="D1553" s="11" t="n"/>
      <c r="E1553" s="11" t="n"/>
      <c r="F1553" s="11" t="n"/>
      <c r="G1553" s="11" t="n"/>
      <c r="H1553" s="11" t="n"/>
      <c r="I1553" s="11" t="n"/>
      <c r="J1553" s="11" t="n"/>
      <c r="K1553" s="11" t="n"/>
      <c r="L1553" s="11" t="n"/>
      <c r="M1553" s="11" t="n"/>
      <c r="N1553" s="11" t="n"/>
      <c r="O1553" s="12" t="n"/>
    </row>
    <row r="1554">
      <c r="A1554" s="11" t="n"/>
      <c r="B1554" s="11" t="n"/>
      <c r="C1554" s="11" t="n"/>
      <c r="D1554" s="11" t="n"/>
      <c r="E1554" s="11" t="n"/>
      <c r="F1554" s="11" t="n"/>
      <c r="G1554" s="11" t="n"/>
      <c r="H1554" s="11" t="n"/>
      <c r="I1554" s="11" t="n"/>
      <c r="J1554" s="11" t="n"/>
      <c r="K1554" s="11" t="n"/>
      <c r="L1554" s="11" t="n"/>
      <c r="M1554" s="11" t="n"/>
      <c r="N1554" s="11" t="n"/>
      <c r="O1554" s="12" t="n"/>
    </row>
    <row r="1555">
      <c r="A1555" s="11" t="n"/>
      <c r="B1555" s="11" t="n"/>
      <c r="C1555" s="11" t="n"/>
      <c r="D1555" s="11" t="n"/>
      <c r="E1555" s="11" t="n"/>
      <c r="F1555" s="11" t="n"/>
      <c r="G1555" s="11" t="n"/>
      <c r="H1555" s="11" t="n"/>
      <c r="I1555" s="11" t="n"/>
      <c r="J1555" s="11" t="n"/>
      <c r="K1555" s="11" t="n"/>
      <c r="L1555" s="11" t="n"/>
      <c r="M1555" s="11" t="n"/>
      <c r="N1555" s="11" t="n"/>
      <c r="O1555" s="12" t="n"/>
    </row>
    <row r="1556">
      <c r="A1556" s="11" t="n"/>
      <c r="B1556" s="11" t="n"/>
      <c r="C1556" s="11" t="n"/>
      <c r="D1556" s="11" t="n"/>
      <c r="E1556" s="11" t="n"/>
      <c r="F1556" s="11" t="n"/>
      <c r="G1556" s="11" t="n"/>
      <c r="H1556" s="11" t="n"/>
      <c r="I1556" s="11" t="n"/>
      <c r="J1556" s="11" t="n"/>
      <c r="K1556" s="11" t="n"/>
      <c r="L1556" s="11" t="n"/>
      <c r="M1556" s="11" t="n"/>
      <c r="N1556" s="11" t="n"/>
      <c r="O1556" s="12" t="n"/>
    </row>
    <row r="1557">
      <c r="A1557" s="11" t="n"/>
      <c r="B1557" s="11" t="n"/>
      <c r="C1557" s="11" t="n"/>
      <c r="D1557" s="11" t="n"/>
      <c r="E1557" s="11" t="n"/>
      <c r="F1557" s="11" t="n"/>
      <c r="G1557" s="11" t="n"/>
      <c r="H1557" s="11" t="n"/>
      <c r="I1557" s="11" t="n"/>
      <c r="J1557" s="11" t="n"/>
      <c r="K1557" s="11" t="n"/>
      <c r="L1557" s="11" t="n"/>
      <c r="M1557" s="11" t="n"/>
      <c r="N1557" s="11" t="n"/>
      <c r="O1557" s="12" t="n"/>
    </row>
    <row r="1558">
      <c r="A1558" s="11" t="n"/>
      <c r="B1558" s="11" t="n"/>
      <c r="C1558" s="11" t="n"/>
      <c r="D1558" s="11" t="n"/>
      <c r="E1558" s="11" t="n"/>
      <c r="F1558" s="11" t="n"/>
      <c r="G1558" s="11" t="n"/>
      <c r="H1558" s="11" t="n"/>
      <c r="I1558" s="11" t="n"/>
      <c r="J1558" s="11" t="n"/>
      <c r="K1558" s="11" t="n"/>
      <c r="L1558" s="11" t="n"/>
      <c r="M1558" s="11" t="n"/>
      <c r="N1558" s="11" t="n"/>
      <c r="O1558" s="12" t="n"/>
    </row>
    <row r="1559">
      <c r="A1559" s="11" t="n"/>
      <c r="B1559" s="11" t="n"/>
      <c r="C1559" s="11" t="n"/>
      <c r="D1559" s="11" t="n"/>
      <c r="E1559" s="11" t="n"/>
      <c r="F1559" s="11" t="n"/>
      <c r="G1559" s="11" t="n"/>
      <c r="H1559" s="11" t="n"/>
      <c r="I1559" s="11" t="n"/>
      <c r="J1559" s="11" t="n"/>
      <c r="K1559" s="11" t="n"/>
      <c r="L1559" s="11" t="n"/>
      <c r="M1559" s="11" t="n"/>
      <c r="N1559" s="11" t="n"/>
      <c r="O1559" s="12" t="n"/>
    </row>
    <row r="1560">
      <c r="A1560" s="11" t="n"/>
      <c r="B1560" s="11" t="n"/>
      <c r="C1560" s="11" t="n"/>
      <c r="D1560" s="11" t="n"/>
      <c r="E1560" s="11" t="n"/>
      <c r="F1560" s="11" t="n"/>
      <c r="G1560" s="11" t="n"/>
      <c r="H1560" s="11" t="n"/>
      <c r="I1560" s="11" t="n"/>
      <c r="J1560" s="11" t="n"/>
      <c r="K1560" s="11" t="n"/>
      <c r="L1560" s="11" t="n"/>
      <c r="M1560" s="11" t="n"/>
      <c r="N1560" s="11" t="n"/>
      <c r="O1560" s="12" t="n"/>
    </row>
    <row r="1561">
      <c r="A1561" s="11" t="n"/>
      <c r="B1561" s="11" t="n"/>
      <c r="C1561" s="11" t="n"/>
      <c r="D1561" s="11" t="n"/>
      <c r="E1561" s="11" t="n"/>
      <c r="F1561" s="11" t="n"/>
      <c r="G1561" s="11" t="n"/>
      <c r="H1561" s="11" t="n"/>
      <c r="I1561" s="11" t="n"/>
      <c r="J1561" s="11" t="n"/>
      <c r="K1561" s="11" t="n"/>
      <c r="L1561" s="11" t="n"/>
      <c r="M1561" s="11" t="n"/>
      <c r="N1561" s="11" t="n"/>
      <c r="O1561" s="12" t="n"/>
    </row>
    <row r="1562">
      <c r="A1562" s="11" t="n"/>
      <c r="B1562" s="11" t="n"/>
      <c r="C1562" s="11" t="n"/>
      <c r="D1562" s="11" t="n"/>
      <c r="E1562" s="11" t="n"/>
      <c r="F1562" s="11" t="n"/>
      <c r="G1562" s="11" t="n"/>
      <c r="H1562" s="11" t="n"/>
      <c r="I1562" s="11" t="n"/>
      <c r="J1562" s="11" t="n"/>
      <c r="K1562" s="11" t="n"/>
      <c r="L1562" s="11" t="n"/>
      <c r="M1562" s="11" t="n"/>
      <c r="N1562" s="11" t="n"/>
      <c r="O1562" s="12" t="n"/>
    </row>
    <row r="1563">
      <c r="A1563" s="11" t="n"/>
      <c r="B1563" s="11" t="n"/>
      <c r="C1563" s="11" t="n"/>
      <c r="D1563" s="11" t="n"/>
      <c r="E1563" s="11" t="n"/>
      <c r="F1563" s="11" t="n"/>
      <c r="G1563" s="11" t="n"/>
      <c r="H1563" s="11" t="n"/>
      <c r="I1563" s="11" t="n"/>
      <c r="J1563" s="11" t="n"/>
      <c r="K1563" s="11" t="n"/>
      <c r="L1563" s="11" t="n"/>
      <c r="M1563" s="11" t="n"/>
      <c r="N1563" s="11" t="n"/>
      <c r="O1563" s="12" t="n"/>
    </row>
    <row r="1564">
      <c r="A1564" s="11" t="n"/>
      <c r="B1564" s="11" t="n"/>
      <c r="C1564" s="11" t="n"/>
      <c r="D1564" s="11" t="n"/>
      <c r="E1564" s="11" t="n"/>
      <c r="F1564" s="11" t="n"/>
      <c r="G1564" s="11" t="n"/>
      <c r="H1564" s="11" t="n"/>
      <c r="I1564" s="11" t="n"/>
      <c r="J1564" s="11" t="n"/>
      <c r="K1564" s="11" t="n"/>
      <c r="L1564" s="11" t="n"/>
      <c r="M1564" s="11" t="n"/>
      <c r="N1564" s="11" t="n"/>
      <c r="O1564" s="12" t="n"/>
    </row>
    <row r="1565">
      <c r="A1565" s="11" t="n"/>
      <c r="B1565" s="11" t="n"/>
      <c r="C1565" s="11" t="n"/>
      <c r="D1565" s="11" t="n"/>
      <c r="E1565" s="11" t="n"/>
      <c r="F1565" s="11" t="n"/>
      <c r="G1565" s="11" t="n"/>
      <c r="H1565" s="11" t="n"/>
      <c r="I1565" s="11" t="n"/>
      <c r="J1565" s="11" t="n"/>
      <c r="K1565" s="11" t="n"/>
      <c r="L1565" s="11" t="n"/>
      <c r="M1565" s="11" t="n"/>
      <c r="N1565" s="11" t="n"/>
      <c r="O1565" s="12" t="n"/>
    </row>
    <row r="1566">
      <c r="A1566" s="11" t="n"/>
      <c r="B1566" s="11" t="n"/>
      <c r="C1566" s="11" t="n"/>
      <c r="D1566" s="11" t="n"/>
      <c r="E1566" s="11" t="n"/>
      <c r="F1566" s="11" t="n"/>
      <c r="G1566" s="11" t="n"/>
      <c r="H1566" s="11" t="n"/>
      <c r="I1566" s="11" t="n"/>
      <c r="J1566" s="11" t="n"/>
      <c r="K1566" s="11" t="n"/>
      <c r="L1566" s="11" t="n"/>
      <c r="M1566" s="11" t="n"/>
      <c r="N1566" s="11" t="n"/>
      <c r="O1566" s="12" t="n"/>
    </row>
    <row r="1567">
      <c r="A1567" s="11" t="n"/>
      <c r="B1567" s="11" t="n"/>
      <c r="C1567" s="11" t="n"/>
      <c r="D1567" s="11" t="n"/>
      <c r="E1567" s="11" t="n"/>
      <c r="F1567" s="11" t="n"/>
      <c r="G1567" s="11" t="n"/>
      <c r="H1567" s="11" t="n"/>
      <c r="I1567" s="11" t="n"/>
      <c r="J1567" s="11" t="n"/>
      <c r="K1567" s="11" t="n"/>
      <c r="L1567" s="11" t="n"/>
      <c r="M1567" s="11" t="n"/>
      <c r="N1567" s="11" t="n"/>
      <c r="O1567" s="12" t="n"/>
    </row>
    <row r="1568">
      <c r="A1568" s="11" t="n"/>
      <c r="B1568" s="11" t="n"/>
      <c r="C1568" s="11" t="n"/>
      <c r="D1568" s="11" t="n"/>
      <c r="E1568" s="11" t="n"/>
      <c r="F1568" s="11" t="n"/>
      <c r="G1568" s="11" t="n"/>
      <c r="H1568" s="11" t="n"/>
      <c r="I1568" s="11" t="n"/>
      <c r="J1568" s="11" t="n"/>
      <c r="K1568" s="11" t="n"/>
      <c r="L1568" s="11" t="n"/>
      <c r="M1568" s="11" t="n"/>
      <c r="N1568" s="11" t="n"/>
      <c r="O1568" s="12" t="n"/>
    </row>
    <row r="1569">
      <c r="A1569" s="11" t="n"/>
      <c r="B1569" s="11" t="n"/>
      <c r="C1569" s="11" t="n"/>
      <c r="D1569" s="11" t="n"/>
      <c r="E1569" s="11" t="n"/>
      <c r="F1569" s="11" t="n"/>
      <c r="G1569" s="11" t="n"/>
      <c r="H1569" s="11" t="n"/>
      <c r="I1569" s="11" t="n"/>
      <c r="J1569" s="11" t="n"/>
      <c r="K1569" s="11" t="n"/>
      <c r="L1569" s="11" t="n"/>
      <c r="M1569" s="11" t="n"/>
      <c r="N1569" s="11" t="n"/>
      <c r="O1569" s="12" t="n"/>
    </row>
    <row r="1570">
      <c r="A1570" s="11" t="n"/>
      <c r="B1570" s="11" t="n"/>
      <c r="C1570" s="11" t="n"/>
      <c r="D1570" s="11" t="n"/>
      <c r="E1570" s="11" t="n"/>
      <c r="F1570" s="11" t="n"/>
      <c r="G1570" s="11" t="n"/>
      <c r="H1570" s="11" t="n"/>
      <c r="I1570" s="11" t="n"/>
      <c r="J1570" s="11" t="n"/>
      <c r="K1570" s="11" t="n"/>
      <c r="L1570" s="11" t="n"/>
      <c r="M1570" s="11" t="n"/>
      <c r="N1570" s="11" t="n"/>
      <c r="O1570" s="12" t="n"/>
    </row>
    <row r="1571">
      <c r="A1571" s="11" t="n"/>
      <c r="B1571" s="11" t="n"/>
      <c r="C1571" s="11" t="n"/>
      <c r="D1571" s="11" t="n"/>
      <c r="E1571" s="11" t="n"/>
      <c r="F1571" s="11" t="n"/>
      <c r="G1571" s="11" t="n"/>
      <c r="H1571" s="11" t="n"/>
      <c r="I1571" s="11" t="n"/>
      <c r="J1571" s="11" t="n"/>
      <c r="K1571" s="11" t="n"/>
      <c r="L1571" s="11" t="n"/>
      <c r="M1571" s="11" t="n"/>
      <c r="N1571" s="11" t="n"/>
      <c r="O1571" s="12" t="n"/>
    </row>
    <row r="1572">
      <c r="A1572" s="11" t="n"/>
      <c r="B1572" s="11" t="n"/>
      <c r="C1572" s="11" t="n"/>
      <c r="D1572" s="11" t="n"/>
      <c r="E1572" s="11" t="n"/>
      <c r="F1572" s="11" t="n"/>
      <c r="G1572" s="11" t="n"/>
      <c r="H1572" s="11" t="n"/>
      <c r="I1572" s="11" t="n"/>
      <c r="J1572" s="11" t="n"/>
      <c r="K1572" s="11" t="n"/>
      <c r="L1572" s="11" t="n"/>
      <c r="M1572" s="11" t="n"/>
      <c r="N1572" s="11" t="n"/>
      <c r="O1572" s="12" t="n"/>
    </row>
    <row r="1573">
      <c r="A1573" s="11" t="n"/>
      <c r="B1573" s="11" t="n"/>
      <c r="C1573" s="11" t="n"/>
      <c r="D1573" s="11" t="n"/>
      <c r="E1573" s="11" t="n"/>
      <c r="F1573" s="11" t="n"/>
      <c r="G1573" s="11" t="n"/>
      <c r="H1573" s="11" t="n"/>
      <c r="I1573" s="11" t="n"/>
      <c r="J1573" s="11" t="n"/>
      <c r="K1573" s="11" t="n"/>
      <c r="L1573" s="11" t="n"/>
      <c r="M1573" s="11" t="n"/>
      <c r="N1573" s="11" t="n"/>
      <c r="O1573" s="12" t="n"/>
    </row>
    <row r="1574">
      <c r="A1574" s="11" t="n"/>
      <c r="B1574" s="11" t="n"/>
      <c r="C1574" s="11" t="n"/>
      <c r="D1574" s="11" t="n"/>
      <c r="E1574" s="11" t="n"/>
      <c r="F1574" s="11" t="n"/>
      <c r="G1574" s="11" t="n"/>
      <c r="H1574" s="11" t="n"/>
      <c r="I1574" s="11" t="n"/>
      <c r="J1574" s="11" t="n"/>
      <c r="K1574" s="11" t="n"/>
      <c r="L1574" s="11" t="n"/>
      <c r="M1574" s="11" t="n"/>
      <c r="N1574" s="11" t="n"/>
      <c r="O1574" s="12" t="n"/>
    </row>
    <row r="1575">
      <c r="A1575" s="11" t="n"/>
      <c r="B1575" s="11" t="n"/>
      <c r="C1575" s="11" t="n"/>
      <c r="D1575" s="11" t="n"/>
      <c r="E1575" s="11" t="n"/>
      <c r="F1575" s="11" t="n"/>
      <c r="G1575" s="11" t="n"/>
      <c r="H1575" s="11" t="n"/>
      <c r="I1575" s="11" t="n"/>
      <c r="J1575" s="11" t="n"/>
      <c r="K1575" s="11" t="n"/>
      <c r="L1575" s="11" t="n"/>
      <c r="M1575" s="11" t="n"/>
      <c r="N1575" s="11" t="n"/>
      <c r="O1575" s="12" t="n"/>
    </row>
    <row r="1576">
      <c r="A1576" s="11" t="n"/>
      <c r="B1576" s="11" t="n"/>
      <c r="C1576" s="11" t="n"/>
      <c r="D1576" s="11" t="n"/>
      <c r="E1576" s="11" t="n"/>
      <c r="F1576" s="11" t="n"/>
      <c r="G1576" s="11" t="n"/>
      <c r="H1576" s="11" t="n"/>
      <c r="I1576" s="11" t="n"/>
      <c r="J1576" s="11" t="n"/>
      <c r="K1576" s="11" t="n"/>
      <c r="L1576" s="11" t="n"/>
      <c r="M1576" s="11" t="n"/>
      <c r="N1576" s="11" t="n"/>
      <c r="O1576" s="12" t="n"/>
    </row>
    <row r="1577">
      <c r="A1577" s="11" t="n"/>
      <c r="B1577" s="11" t="n"/>
      <c r="C1577" s="11" t="n"/>
      <c r="D1577" s="11" t="n"/>
      <c r="E1577" s="11" t="n"/>
      <c r="F1577" s="11" t="n"/>
      <c r="G1577" s="11" t="n"/>
      <c r="H1577" s="11" t="n"/>
      <c r="I1577" s="11" t="n"/>
      <c r="J1577" s="11" t="n"/>
      <c r="K1577" s="11" t="n"/>
      <c r="L1577" s="11" t="n"/>
      <c r="M1577" s="11" t="n"/>
      <c r="N1577" s="11" t="n"/>
      <c r="O1577" s="12" t="n"/>
    </row>
    <row r="1578">
      <c r="A1578" s="11" t="n"/>
      <c r="B1578" s="11" t="n"/>
      <c r="C1578" s="11" t="n"/>
      <c r="D1578" s="11" t="n"/>
      <c r="E1578" s="11" t="n"/>
      <c r="F1578" s="11" t="n"/>
      <c r="G1578" s="11" t="n"/>
      <c r="H1578" s="11" t="n"/>
      <c r="I1578" s="11" t="n"/>
      <c r="J1578" s="11" t="n"/>
      <c r="K1578" s="11" t="n"/>
      <c r="L1578" s="11" t="n"/>
      <c r="M1578" s="11" t="n"/>
      <c r="N1578" s="11" t="n"/>
      <c r="O1578" s="12" t="n"/>
    </row>
    <row r="1579">
      <c r="A1579" s="11" t="n"/>
      <c r="B1579" s="11" t="n"/>
      <c r="C1579" s="11" t="n"/>
      <c r="D1579" s="11" t="n"/>
      <c r="E1579" s="11" t="n"/>
      <c r="F1579" s="11" t="n"/>
      <c r="G1579" s="11" t="n"/>
      <c r="H1579" s="11" t="n"/>
      <c r="I1579" s="11" t="n"/>
      <c r="J1579" s="11" t="n"/>
      <c r="K1579" s="11" t="n"/>
      <c r="L1579" s="11" t="n"/>
      <c r="M1579" s="11" t="n"/>
      <c r="N1579" s="11" t="n"/>
      <c r="O1579" s="12" t="n"/>
    </row>
    <row r="1580">
      <c r="A1580" s="11" t="n"/>
      <c r="B1580" s="11" t="n"/>
      <c r="C1580" s="11" t="n"/>
      <c r="D1580" s="11" t="n"/>
      <c r="E1580" s="11" t="n"/>
      <c r="F1580" s="11" t="n"/>
      <c r="G1580" s="11" t="n"/>
      <c r="H1580" s="11" t="n"/>
      <c r="I1580" s="11" t="n"/>
      <c r="J1580" s="11" t="n"/>
      <c r="K1580" s="11" t="n"/>
      <c r="L1580" s="11" t="n"/>
      <c r="M1580" s="11" t="n"/>
      <c r="N1580" s="11" t="n"/>
      <c r="O1580" s="12" t="n"/>
    </row>
    <row r="1581">
      <c r="A1581" s="11" t="n"/>
      <c r="B1581" s="11" t="n"/>
      <c r="C1581" s="11" t="n"/>
      <c r="D1581" s="11" t="n"/>
      <c r="E1581" s="11" t="n"/>
      <c r="F1581" s="11" t="n"/>
      <c r="G1581" s="11" t="n"/>
      <c r="H1581" s="11" t="n"/>
      <c r="I1581" s="11" t="n"/>
      <c r="J1581" s="11" t="n"/>
      <c r="K1581" s="11" t="n"/>
      <c r="L1581" s="11" t="n"/>
      <c r="M1581" s="11" t="n"/>
      <c r="N1581" s="11" t="n"/>
      <c r="O1581" s="12" t="n"/>
    </row>
    <row r="1582">
      <c r="A1582" s="11" t="n"/>
      <c r="B1582" s="11" t="n"/>
      <c r="C1582" s="11" t="n"/>
      <c r="D1582" s="11" t="n"/>
      <c r="E1582" s="11" t="n"/>
      <c r="F1582" s="11" t="n"/>
      <c r="G1582" s="11" t="n"/>
      <c r="H1582" s="11" t="n"/>
      <c r="I1582" s="11" t="n"/>
      <c r="J1582" s="11" t="n"/>
      <c r="K1582" s="11" t="n"/>
      <c r="L1582" s="11" t="n"/>
      <c r="M1582" s="11" t="n"/>
      <c r="N1582" s="11" t="n"/>
      <c r="O1582" s="12" t="n"/>
    </row>
    <row r="1583">
      <c r="A1583" s="11" t="n"/>
      <c r="B1583" s="11" t="n"/>
      <c r="C1583" s="11" t="n"/>
      <c r="D1583" s="11" t="n"/>
      <c r="E1583" s="11" t="n"/>
      <c r="F1583" s="11" t="n"/>
      <c r="G1583" s="11" t="n"/>
      <c r="H1583" s="11" t="n"/>
      <c r="I1583" s="11" t="n"/>
      <c r="J1583" s="11" t="n"/>
      <c r="K1583" s="11" t="n"/>
      <c r="L1583" s="11" t="n"/>
      <c r="M1583" s="11" t="n"/>
      <c r="N1583" s="11" t="n"/>
      <c r="O1583" s="12" t="n"/>
    </row>
    <row r="1584">
      <c r="A1584" s="11" t="n"/>
      <c r="B1584" s="11" t="n"/>
      <c r="C1584" s="11" t="n"/>
      <c r="D1584" s="11" t="n"/>
      <c r="E1584" s="11" t="n"/>
      <c r="F1584" s="11" t="n"/>
      <c r="G1584" s="11" t="n"/>
      <c r="H1584" s="11" t="n"/>
      <c r="I1584" s="11" t="n"/>
      <c r="J1584" s="11" t="n"/>
      <c r="K1584" s="11" t="n"/>
      <c r="L1584" s="11" t="n"/>
      <c r="M1584" s="11" t="n"/>
      <c r="N1584" s="11" t="n"/>
      <c r="O1584" s="12" t="n"/>
    </row>
    <row r="1585">
      <c r="A1585" s="11" t="n"/>
      <c r="B1585" s="11" t="n"/>
      <c r="C1585" s="11" t="n"/>
      <c r="D1585" s="11" t="n"/>
      <c r="E1585" s="11" t="n"/>
      <c r="F1585" s="11" t="n"/>
      <c r="G1585" s="11" t="n"/>
      <c r="H1585" s="11" t="n"/>
      <c r="I1585" s="11" t="n"/>
      <c r="J1585" s="11" t="n"/>
      <c r="K1585" s="11" t="n"/>
      <c r="L1585" s="11" t="n"/>
      <c r="M1585" s="11" t="n"/>
      <c r="N1585" s="11" t="n"/>
      <c r="O1585" s="12" t="n"/>
    </row>
    <row r="1586">
      <c r="A1586" s="11" t="n"/>
      <c r="B1586" s="11" t="n"/>
      <c r="C1586" s="11" t="n"/>
      <c r="D1586" s="11" t="n"/>
      <c r="E1586" s="11" t="n"/>
      <c r="F1586" s="11" t="n"/>
      <c r="G1586" s="11" t="n"/>
      <c r="H1586" s="11" t="n"/>
      <c r="I1586" s="11" t="n"/>
      <c r="J1586" s="11" t="n"/>
      <c r="K1586" s="11" t="n"/>
      <c r="L1586" s="11" t="n"/>
      <c r="M1586" s="11" t="n"/>
      <c r="N1586" s="11" t="n"/>
      <c r="O1586" s="12" t="n"/>
    </row>
    <row r="1587">
      <c r="A1587" s="11" t="n"/>
      <c r="B1587" s="11" t="n"/>
      <c r="C1587" s="11" t="n"/>
      <c r="D1587" s="11" t="n"/>
      <c r="E1587" s="11" t="n"/>
      <c r="F1587" s="11" t="n"/>
      <c r="G1587" s="11" t="n"/>
      <c r="H1587" s="11" t="n"/>
      <c r="I1587" s="11" t="n"/>
      <c r="J1587" s="11" t="n"/>
      <c r="K1587" s="11" t="n"/>
      <c r="L1587" s="11" t="n"/>
      <c r="M1587" s="11" t="n"/>
      <c r="N1587" s="11" t="n"/>
      <c r="O1587" s="12" t="n"/>
    </row>
    <row r="1588">
      <c r="A1588" s="11" t="n"/>
      <c r="B1588" s="11" t="n"/>
      <c r="C1588" s="11" t="n"/>
      <c r="D1588" s="11" t="n"/>
      <c r="E1588" s="11" t="n"/>
      <c r="F1588" s="11" t="n"/>
      <c r="G1588" s="11" t="n"/>
      <c r="H1588" s="11" t="n"/>
      <c r="I1588" s="11" t="n"/>
      <c r="J1588" s="11" t="n"/>
      <c r="K1588" s="11" t="n"/>
      <c r="L1588" s="11" t="n"/>
      <c r="M1588" s="11" t="n"/>
      <c r="N1588" s="11" t="n"/>
      <c r="O1588" s="12" t="n"/>
    </row>
    <row r="1589">
      <c r="A1589" s="11" t="n"/>
      <c r="B1589" s="11" t="n"/>
      <c r="C1589" s="11" t="n"/>
      <c r="D1589" s="11" t="n"/>
      <c r="E1589" s="11" t="n"/>
      <c r="F1589" s="11" t="n"/>
      <c r="G1589" s="11" t="n"/>
      <c r="H1589" s="11" t="n"/>
      <c r="I1589" s="11" t="n"/>
      <c r="J1589" s="11" t="n"/>
      <c r="K1589" s="11" t="n"/>
      <c r="L1589" s="11" t="n"/>
      <c r="M1589" s="11" t="n"/>
      <c r="N1589" s="11" t="n"/>
      <c r="O1589" s="12" t="n"/>
    </row>
    <row r="1590">
      <c r="A1590" s="11" t="n"/>
      <c r="B1590" s="11" t="n"/>
      <c r="C1590" s="11" t="n"/>
      <c r="D1590" s="11" t="n"/>
      <c r="E1590" s="11" t="n"/>
      <c r="F1590" s="11" t="n"/>
      <c r="G1590" s="11" t="n"/>
      <c r="H1590" s="11" t="n"/>
      <c r="I1590" s="11" t="n"/>
      <c r="J1590" s="11" t="n"/>
      <c r="K1590" s="11" t="n"/>
      <c r="L1590" s="11" t="n"/>
      <c r="M1590" s="11" t="n"/>
      <c r="N1590" s="11" t="n"/>
      <c r="O1590" s="12" t="n"/>
    </row>
    <row r="1591">
      <c r="A1591" s="11" t="n"/>
      <c r="B1591" s="11" t="n"/>
      <c r="C1591" s="11" t="n"/>
      <c r="D1591" s="11" t="n"/>
      <c r="E1591" s="11" t="n"/>
      <c r="F1591" s="11" t="n"/>
      <c r="G1591" s="11" t="n"/>
      <c r="H1591" s="11" t="n"/>
      <c r="I1591" s="11" t="n"/>
      <c r="J1591" s="11" t="n"/>
      <c r="K1591" s="11" t="n"/>
      <c r="L1591" s="11" t="n"/>
      <c r="M1591" s="11" t="n"/>
      <c r="N1591" s="11" t="n"/>
      <c r="O1591" s="12" t="n"/>
    </row>
    <row r="1592">
      <c r="A1592" s="11" t="n"/>
      <c r="B1592" s="11" t="n"/>
      <c r="C1592" s="11" t="n"/>
      <c r="D1592" s="11" t="n"/>
      <c r="E1592" s="11" t="n"/>
      <c r="F1592" s="11" t="n"/>
      <c r="G1592" s="11" t="n"/>
      <c r="H1592" s="11" t="n"/>
      <c r="I1592" s="11" t="n"/>
      <c r="J1592" s="11" t="n"/>
      <c r="K1592" s="11" t="n"/>
      <c r="L1592" s="11" t="n"/>
      <c r="M1592" s="11" t="n"/>
      <c r="N1592" s="11" t="n"/>
      <c r="O1592" s="12" t="n"/>
    </row>
    <row r="1593">
      <c r="A1593" s="11" t="n"/>
      <c r="B1593" s="11" t="n"/>
      <c r="C1593" s="11" t="n"/>
      <c r="D1593" s="11" t="n"/>
      <c r="E1593" s="11" t="n"/>
      <c r="F1593" s="11" t="n"/>
      <c r="G1593" s="11" t="n"/>
      <c r="H1593" s="11" t="n"/>
      <c r="I1593" s="11" t="n"/>
      <c r="J1593" s="11" t="n"/>
      <c r="K1593" s="11" t="n"/>
      <c r="L1593" s="11" t="n"/>
      <c r="M1593" s="11" t="n"/>
      <c r="N1593" s="11" t="n"/>
      <c r="O1593" s="12" t="n"/>
    </row>
    <row r="1594">
      <c r="A1594" s="11" t="n"/>
      <c r="B1594" s="11" t="n"/>
      <c r="C1594" s="11" t="n"/>
      <c r="D1594" s="11" t="n"/>
      <c r="E1594" s="11" t="n"/>
      <c r="F1594" s="11" t="n"/>
      <c r="G1594" s="11" t="n"/>
      <c r="H1594" s="11" t="n"/>
      <c r="I1594" s="11" t="n"/>
      <c r="J1594" s="11" t="n"/>
      <c r="K1594" s="11" t="n"/>
      <c r="L1594" s="11" t="n"/>
      <c r="M1594" s="11" t="n"/>
      <c r="N1594" s="11" t="n"/>
      <c r="O1594" s="12" t="n"/>
    </row>
    <row r="1595">
      <c r="A1595" s="11" t="n"/>
      <c r="B1595" s="11" t="n"/>
      <c r="C1595" s="11" t="n"/>
      <c r="D1595" s="11" t="n"/>
      <c r="E1595" s="11" t="n"/>
      <c r="F1595" s="11" t="n"/>
      <c r="G1595" s="11" t="n"/>
      <c r="H1595" s="11" t="n"/>
      <c r="I1595" s="11" t="n"/>
      <c r="J1595" s="11" t="n"/>
      <c r="K1595" s="11" t="n"/>
      <c r="L1595" s="11" t="n"/>
      <c r="M1595" s="11" t="n"/>
      <c r="N1595" s="11" t="n"/>
      <c r="O1595" s="12" t="n"/>
    </row>
    <row r="1596">
      <c r="A1596" s="11" t="n"/>
      <c r="B1596" s="11" t="n"/>
      <c r="C1596" s="11" t="n"/>
      <c r="D1596" s="11" t="n"/>
      <c r="E1596" s="11" t="n"/>
      <c r="F1596" s="11" t="n"/>
      <c r="G1596" s="11" t="n"/>
      <c r="H1596" s="11" t="n"/>
      <c r="I1596" s="11" t="n"/>
      <c r="J1596" s="11" t="n"/>
      <c r="K1596" s="11" t="n"/>
      <c r="L1596" s="11" t="n"/>
      <c r="M1596" s="11" t="n"/>
      <c r="N1596" s="11" t="n"/>
      <c r="O1596" s="12" t="n"/>
    </row>
    <row r="1597">
      <c r="A1597" s="11" t="n"/>
      <c r="B1597" s="11" t="n"/>
      <c r="C1597" s="11" t="n"/>
      <c r="D1597" s="11" t="n"/>
      <c r="E1597" s="11" t="n"/>
      <c r="F1597" s="11" t="n"/>
      <c r="G1597" s="11" t="n"/>
      <c r="H1597" s="11" t="n"/>
      <c r="I1597" s="11" t="n"/>
      <c r="J1597" s="11" t="n"/>
      <c r="K1597" s="11" t="n"/>
      <c r="L1597" s="11" t="n"/>
      <c r="M1597" s="11" t="n"/>
      <c r="N1597" s="11" t="n"/>
      <c r="O1597" s="12" t="n"/>
    </row>
    <row r="1598">
      <c r="A1598" s="11" t="n"/>
      <c r="B1598" s="11" t="n"/>
      <c r="C1598" s="11" t="n"/>
      <c r="D1598" s="11" t="n"/>
      <c r="E1598" s="11" t="n"/>
      <c r="F1598" s="11" t="n"/>
      <c r="G1598" s="11" t="n"/>
      <c r="H1598" s="11" t="n"/>
      <c r="I1598" s="11" t="n"/>
      <c r="J1598" s="11" t="n"/>
      <c r="K1598" s="11" t="n"/>
      <c r="L1598" s="11" t="n"/>
      <c r="M1598" s="11" t="n"/>
      <c r="N1598" s="11" t="n"/>
      <c r="O1598" s="12" t="n"/>
    </row>
    <row r="1599">
      <c r="A1599" s="11" t="n"/>
      <c r="B1599" s="11" t="n"/>
      <c r="C1599" s="11" t="n"/>
      <c r="D1599" s="11" t="n"/>
      <c r="E1599" s="11" t="n"/>
      <c r="F1599" s="11" t="n"/>
      <c r="G1599" s="11" t="n"/>
      <c r="H1599" s="11" t="n"/>
      <c r="I1599" s="11" t="n"/>
      <c r="J1599" s="11" t="n"/>
      <c r="K1599" s="11" t="n"/>
      <c r="L1599" s="11" t="n"/>
      <c r="M1599" s="11" t="n"/>
      <c r="N1599" s="11" t="n"/>
      <c r="O1599" s="12" t="n"/>
    </row>
    <row r="1600">
      <c r="A1600" s="11" t="n"/>
      <c r="B1600" s="11" t="n"/>
      <c r="C1600" s="11" t="n"/>
      <c r="D1600" s="11" t="n"/>
      <c r="E1600" s="11" t="n"/>
      <c r="F1600" s="11" t="n"/>
      <c r="G1600" s="11" t="n"/>
      <c r="H1600" s="11" t="n"/>
      <c r="I1600" s="11" t="n"/>
      <c r="J1600" s="11" t="n"/>
      <c r="K1600" s="11" t="n"/>
      <c r="L1600" s="11" t="n"/>
      <c r="M1600" s="11" t="n"/>
      <c r="N1600" s="11" t="n"/>
      <c r="O1600" s="12" t="n"/>
    </row>
    <row r="1601">
      <c r="A1601" s="11" t="n"/>
      <c r="B1601" s="11" t="n"/>
      <c r="C1601" s="11" t="n"/>
      <c r="D1601" s="11" t="n"/>
      <c r="E1601" s="11" t="n"/>
      <c r="F1601" s="11" t="n"/>
      <c r="G1601" s="11" t="n"/>
      <c r="H1601" s="11" t="n"/>
      <c r="I1601" s="11" t="n"/>
      <c r="J1601" s="11" t="n"/>
      <c r="K1601" s="11" t="n"/>
      <c r="L1601" s="11" t="n"/>
      <c r="M1601" s="11" t="n"/>
      <c r="N1601" s="11" t="n"/>
      <c r="O1601" s="12" t="n"/>
    </row>
    <row r="1602">
      <c r="A1602" s="11" t="n"/>
      <c r="B1602" s="11" t="n"/>
      <c r="C1602" s="11" t="n"/>
      <c r="D1602" s="11" t="n"/>
      <c r="E1602" s="11" t="n"/>
      <c r="F1602" s="11" t="n"/>
      <c r="G1602" s="11" t="n"/>
      <c r="H1602" s="11" t="n"/>
      <c r="I1602" s="11" t="n"/>
      <c r="J1602" s="11" t="n"/>
      <c r="K1602" s="11" t="n"/>
      <c r="L1602" s="11" t="n"/>
      <c r="M1602" s="11" t="n"/>
      <c r="N1602" s="11" t="n"/>
      <c r="O1602" s="12" t="n"/>
    </row>
    <row r="1603">
      <c r="A1603" s="11" t="n"/>
      <c r="B1603" s="11" t="n"/>
      <c r="C1603" s="11" t="n"/>
      <c r="D1603" s="11" t="n"/>
      <c r="E1603" s="11" t="n"/>
      <c r="F1603" s="11" t="n"/>
      <c r="G1603" s="11" t="n"/>
      <c r="H1603" s="11" t="n"/>
      <c r="I1603" s="11" t="n"/>
      <c r="J1603" s="11" t="n"/>
      <c r="K1603" s="11" t="n"/>
      <c r="L1603" s="11" t="n"/>
      <c r="M1603" s="11" t="n"/>
      <c r="N1603" s="11" t="n"/>
      <c r="O1603" s="12" t="n"/>
    </row>
    <row r="1604">
      <c r="A1604" s="11" t="n"/>
      <c r="B1604" s="11" t="n"/>
      <c r="C1604" s="11" t="n"/>
      <c r="D1604" s="11" t="n"/>
      <c r="E1604" s="11" t="n"/>
      <c r="F1604" s="11" t="n"/>
      <c r="G1604" s="11" t="n"/>
      <c r="H1604" s="11" t="n"/>
      <c r="I1604" s="11" t="n"/>
      <c r="J1604" s="11" t="n"/>
      <c r="K1604" s="11" t="n"/>
      <c r="L1604" s="11" t="n"/>
      <c r="M1604" s="11" t="n"/>
      <c r="N1604" s="11" t="n"/>
      <c r="O1604" s="12" t="n"/>
    </row>
    <row r="1605">
      <c r="A1605" s="11" t="n"/>
      <c r="B1605" s="11" t="n"/>
      <c r="C1605" s="11" t="n"/>
      <c r="D1605" s="11" t="n"/>
      <c r="E1605" s="11" t="n"/>
      <c r="F1605" s="11" t="n"/>
      <c r="G1605" s="11" t="n"/>
      <c r="H1605" s="11" t="n"/>
      <c r="I1605" s="11" t="n"/>
      <c r="J1605" s="11" t="n"/>
      <c r="K1605" s="11" t="n"/>
      <c r="L1605" s="11" t="n"/>
      <c r="M1605" s="11" t="n"/>
      <c r="N1605" s="11" t="n"/>
      <c r="O1605" s="12" t="n"/>
    </row>
    <row r="1606">
      <c r="A1606" s="11" t="n"/>
      <c r="B1606" s="11" t="n"/>
      <c r="C1606" s="11" t="n"/>
      <c r="D1606" s="11" t="n"/>
      <c r="E1606" s="11" t="n"/>
      <c r="F1606" s="11" t="n"/>
      <c r="G1606" s="11" t="n"/>
      <c r="H1606" s="11" t="n"/>
      <c r="I1606" s="11" t="n"/>
      <c r="J1606" s="11" t="n"/>
      <c r="K1606" s="11" t="n"/>
      <c r="L1606" s="11" t="n"/>
      <c r="M1606" s="11" t="n"/>
      <c r="N1606" s="11" t="n"/>
      <c r="O1606" s="12" t="n"/>
    </row>
    <row r="1607">
      <c r="A1607" s="11" t="n"/>
      <c r="B1607" s="11" t="n"/>
      <c r="C1607" s="11" t="n"/>
      <c r="D1607" s="11" t="n"/>
      <c r="E1607" s="11" t="n"/>
      <c r="F1607" s="11" t="n"/>
      <c r="G1607" s="11" t="n"/>
      <c r="H1607" s="11" t="n"/>
      <c r="I1607" s="11" t="n"/>
      <c r="J1607" s="11" t="n"/>
      <c r="K1607" s="11" t="n"/>
      <c r="L1607" s="11" t="n"/>
      <c r="M1607" s="11" t="n"/>
      <c r="N1607" s="11" t="n"/>
      <c r="O1607" s="12" t="n"/>
    </row>
    <row r="1608">
      <c r="A1608" s="11" t="n"/>
      <c r="B1608" s="11" t="n"/>
      <c r="C1608" s="11" t="n"/>
      <c r="D1608" s="11" t="n"/>
      <c r="E1608" s="11" t="n"/>
      <c r="F1608" s="11" t="n"/>
      <c r="G1608" s="11" t="n"/>
      <c r="H1608" s="11" t="n"/>
      <c r="I1608" s="11" t="n"/>
      <c r="J1608" s="11" t="n"/>
      <c r="K1608" s="11" t="n"/>
      <c r="L1608" s="11" t="n"/>
      <c r="M1608" s="11" t="n"/>
      <c r="N1608" s="11" t="n"/>
      <c r="O1608" s="12" t="n"/>
    </row>
    <row r="1609">
      <c r="A1609" s="11" t="n"/>
      <c r="B1609" s="11" t="n"/>
      <c r="C1609" s="11" t="n"/>
      <c r="D1609" s="11" t="n"/>
      <c r="E1609" s="11" t="n"/>
      <c r="F1609" s="11" t="n"/>
      <c r="G1609" s="11" t="n"/>
      <c r="H1609" s="11" t="n"/>
      <c r="I1609" s="11" t="n"/>
      <c r="J1609" s="11" t="n"/>
      <c r="K1609" s="11" t="n"/>
      <c r="L1609" s="11" t="n"/>
      <c r="M1609" s="11" t="n"/>
      <c r="N1609" s="11" t="n"/>
      <c r="O1609" s="12" t="n"/>
    </row>
    <row r="1610">
      <c r="A1610" s="11" t="n"/>
      <c r="B1610" s="11" t="n"/>
      <c r="C1610" s="11" t="n"/>
      <c r="D1610" s="11" t="n"/>
      <c r="E1610" s="11" t="n"/>
      <c r="F1610" s="11" t="n"/>
      <c r="G1610" s="11" t="n"/>
      <c r="H1610" s="11" t="n"/>
      <c r="I1610" s="11" t="n"/>
      <c r="J1610" s="11" t="n"/>
      <c r="K1610" s="11" t="n"/>
      <c r="L1610" s="11" t="n"/>
      <c r="M1610" s="11" t="n"/>
      <c r="N1610" s="11" t="n"/>
      <c r="O1610" s="12" t="n"/>
    </row>
    <row r="1611">
      <c r="A1611" s="11" t="n"/>
      <c r="B1611" s="11" t="n"/>
      <c r="C1611" s="11" t="n"/>
      <c r="D1611" s="11" t="n"/>
      <c r="E1611" s="11" t="n"/>
      <c r="F1611" s="11" t="n"/>
      <c r="G1611" s="11" t="n"/>
      <c r="H1611" s="11" t="n"/>
      <c r="I1611" s="11" t="n"/>
      <c r="J1611" s="11" t="n"/>
      <c r="K1611" s="11" t="n"/>
      <c r="L1611" s="11" t="n"/>
      <c r="M1611" s="11" t="n"/>
      <c r="N1611" s="11" t="n"/>
      <c r="O1611" s="12" t="n"/>
    </row>
    <row r="1612">
      <c r="A1612" s="11" t="n"/>
      <c r="B1612" s="11" t="n"/>
      <c r="C1612" s="11" t="n"/>
      <c r="D1612" s="11" t="n"/>
      <c r="E1612" s="11" t="n"/>
      <c r="F1612" s="11" t="n"/>
      <c r="G1612" s="11" t="n"/>
      <c r="H1612" s="11" t="n"/>
      <c r="I1612" s="11" t="n"/>
      <c r="J1612" s="11" t="n"/>
      <c r="K1612" s="11" t="n"/>
      <c r="L1612" s="11" t="n"/>
      <c r="M1612" s="11" t="n"/>
      <c r="N1612" s="11" t="n"/>
      <c r="O1612" s="12" t="n"/>
    </row>
    <row r="1613">
      <c r="A1613" s="11" t="n"/>
      <c r="B1613" s="11" t="n"/>
      <c r="C1613" s="11" t="n"/>
      <c r="D1613" s="11" t="n"/>
      <c r="E1613" s="11" t="n"/>
      <c r="F1613" s="11" t="n"/>
      <c r="G1613" s="11" t="n"/>
      <c r="H1613" s="11" t="n"/>
      <c r="I1613" s="11" t="n"/>
      <c r="J1613" s="11" t="n"/>
      <c r="K1613" s="11" t="n"/>
      <c r="L1613" s="11" t="n"/>
      <c r="M1613" s="11" t="n"/>
      <c r="N1613" s="11" t="n"/>
      <c r="O1613" s="12" t="n"/>
    </row>
    <row r="1614">
      <c r="A1614" s="11" t="n"/>
      <c r="B1614" s="11" t="n"/>
      <c r="C1614" s="11" t="n"/>
      <c r="D1614" s="11" t="n"/>
      <c r="E1614" s="11" t="n"/>
      <c r="F1614" s="11" t="n"/>
      <c r="G1614" s="11" t="n"/>
      <c r="H1614" s="11" t="n"/>
      <c r="I1614" s="11" t="n"/>
      <c r="J1614" s="11" t="n"/>
      <c r="K1614" s="11" t="n"/>
      <c r="L1614" s="11" t="n"/>
      <c r="M1614" s="11" t="n"/>
      <c r="N1614" s="11" t="n"/>
      <c r="O1614" s="12" t="n"/>
    </row>
    <row r="1615">
      <c r="A1615" s="11" t="n"/>
      <c r="B1615" s="11" t="n"/>
      <c r="C1615" s="11" t="n"/>
      <c r="D1615" s="11" t="n"/>
      <c r="E1615" s="11" t="n"/>
      <c r="F1615" s="11" t="n"/>
      <c r="G1615" s="11" t="n"/>
      <c r="H1615" s="11" t="n"/>
      <c r="I1615" s="11" t="n"/>
      <c r="J1615" s="11" t="n"/>
      <c r="K1615" s="11" t="n"/>
      <c r="L1615" s="11" t="n"/>
      <c r="M1615" s="11" t="n"/>
      <c r="N1615" s="11" t="n"/>
      <c r="O1615" s="12" t="n"/>
    </row>
    <row r="1616">
      <c r="A1616" s="11" t="n"/>
      <c r="B1616" s="11" t="n"/>
      <c r="C1616" s="11" t="n"/>
      <c r="D1616" s="11" t="n"/>
      <c r="E1616" s="11" t="n"/>
      <c r="F1616" s="11" t="n"/>
      <c r="G1616" s="11" t="n"/>
      <c r="H1616" s="11" t="n"/>
      <c r="I1616" s="11" t="n"/>
      <c r="J1616" s="11" t="n"/>
      <c r="K1616" s="11" t="n"/>
      <c r="L1616" s="11" t="n"/>
      <c r="M1616" s="11" t="n"/>
      <c r="N1616" s="11" t="n"/>
      <c r="O1616" s="12" t="n"/>
    </row>
    <row r="1617">
      <c r="A1617" s="11" t="n"/>
      <c r="B1617" s="11" t="n"/>
      <c r="C1617" s="11" t="n"/>
      <c r="D1617" s="11" t="n"/>
      <c r="E1617" s="11" t="n"/>
      <c r="F1617" s="11" t="n"/>
      <c r="G1617" s="11" t="n"/>
      <c r="H1617" s="11" t="n"/>
      <c r="I1617" s="11" t="n"/>
      <c r="J1617" s="11" t="n"/>
      <c r="K1617" s="11" t="n"/>
      <c r="L1617" s="11" t="n"/>
      <c r="M1617" s="11" t="n"/>
      <c r="N1617" s="11" t="n"/>
      <c r="O1617" s="12" t="n"/>
    </row>
    <row r="1618">
      <c r="A1618" s="11" t="n"/>
      <c r="B1618" s="11" t="n"/>
      <c r="C1618" s="11" t="n"/>
      <c r="D1618" s="11" t="n"/>
      <c r="E1618" s="11" t="n"/>
      <c r="F1618" s="11" t="n"/>
      <c r="G1618" s="11" t="n"/>
      <c r="H1618" s="11" t="n"/>
      <c r="I1618" s="11" t="n"/>
      <c r="J1618" s="11" t="n"/>
      <c r="K1618" s="11" t="n"/>
      <c r="L1618" s="11" t="n"/>
      <c r="M1618" s="11" t="n"/>
      <c r="N1618" s="11" t="n"/>
      <c r="O1618" s="12" t="n"/>
    </row>
    <row r="1619">
      <c r="A1619" s="11" t="n"/>
      <c r="B1619" s="11" t="n"/>
      <c r="C1619" s="11" t="n"/>
      <c r="D1619" s="11" t="n"/>
      <c r="E1619" s="11" t="n"/>
      <c r="F1619" s="11" t="n"/>
      <c r="G1619" s="11" t="n"/>
      <c r="H1619" s="11" t="n"/>
      <c r="I1619" s="11" t="n"/>
      <c r="J1619" s="11" t="n"/>
      <c r="K1619" s="11" t="n"/>
      <c r="L1619" s="11" t="n"/>
      <c r="M1619" s="11" t="n"/>
      <c r="N1619" s="11" t="n"/>
      <c r="O1619" s="12" t="n"/>
    </row>
    <row r="1620">
      <c r="A1620" s="11" t="n"/>
      <c r="B1620" s="11" t="n"/>
      <c r="C1620" s="11" t="n"/>
      <c r="D1620" s="11" t="n"/>
      <c r="E1620" s="11" t="n"/>
      <c r="F1620" s="11" t="n"/>
      <c r="G1620" s="11" t="n"/>
      <c r="H1620" s="11" t="n"/>
      <c r="I1620" s="11" t="n"/>
      <c r="J1620" s="11" t="n"/>
      <c r="K1620" s="11" t="n"/>
      <c r="L1620" s="11" t="n"/>
      <c r="M1620" s="11" t="n"/>
      <c r="N1620" s="11" t="n"/>
      <c r="O1620" s="12" t="n"/>
    </row>
    <row r="1621">
      <c r="A1621" s="11" t="n"/>
      <c r="B1621" s="11" t="n"/>
      <c r="C1621" s="11" t="n"/>
      <c r="D1621" s="11" t="n"/>
      <c r="E1621" s="11" t="n"/>
      <c r="F1621" s="11" t="n"/>
      <c r="G1621" s="11" t="n"/>
      <c r="H1621" s="11" t="n"/>
      <c r="I1621" s="11" t="n"/>
      <c r="J1621" s="11" t="n"/>
      <c r="K1621" s="11" t="n"/>
      <c r="L1621" s="11" t="n"/>
      <c r="M1621" s="11" t="n"/>
      <c r="N1621" s="11" t="n"/>
      <c r="O1621" s="12" t="n"/>
    </row>
    <row r="1622">
      <c r="A1622" s="11" t="n"/>
      <c r="B1622" s="11" t="n"/>
      <c r="C1622" s="11" t="n"/>
      <c r="D1622" s="11" t="n"/>
      <c r="E1622" s="11" t="n"/>
      <c r="F1622" s="11" t="n"/>
      <c r="G1622" s="11" t="n"/>
      <c r="H1622" s="11" t="n"/>
      <c r="I1622" s="11" t="n"/>
      <c r="J1622" s="11" t="n"/>
      <c r="K1622" s="11" t="n"/>
      <c r="L1622" s="11" t="n"/>
      <c r="M1622" s="11" t="n"/>
      <c r="N1622" s="11" t="n"/>
      <c r="O1622" s="12" t="n"/>
    </row>
    <row r="1623">
      <c r="A1623" s="11" t="n"/>
      <c r="B1623" s="11" t="n"/>
      <c r="C1623" s="11" t="n"/>
      <c r="D1623" s="11" t="n"/>
      <c r="E1623" s="11" t="n"/>
      <c r="F1623" s="11" t="n"/>
      <c r="G1623" s="11" t="n"/>
      <c r="H1623" s="11" t="n"/>
      <c r="I1623" s="11" t="n"/>
      <c r="J1623" s="11" t="n"/>
      <c r="K1623" s="11" t="n"/>
      <c r="L1623" s="11" t="n"/>
      <c r="M1623" s="11" t="n"/>
      <c r="N1623" s="11" t="n"/>
      <c r="O1623" s="12" t="n"/>
    </row>
    <row r="1624">
      <c r="A1624" s="11" t="n"/>
      <c r="B1624" s="11" t="n"/>
      <c r="C1624" s="11" t="n"/>
      <c r="D1624" s="11" t="n"/>
      <c r="E1624" s="11" t="n"/>
      <c r="F1624" s="11" t="n"/>
      <c r="G1624" s="11" t="n"/>
      <c r="H1624" s="11" t="n"/>
      <c r="I1624" s="11" t="n"/>
      <c r="J1624" s="11" t="n"/>
      <c r="K1624" s="11" t="n"/>
      <c r="L1624" s="11" t="n"/>
      <c r="M1624" s="11" t="n"/>
      <c r="N1624" s="11" t="n"/>
      <c r="O1624" s="12" t="n"/>
    </row>
    <row r="1625">
      <c r="A1625" s="11" t="n"/>
      <c r="B1625" s="11" t="n"/>
      <c r="C1625" s="11" t="n"/>
      <c r="D1625" s="11" t="n"/>
      <c r="E1625" s="11" t="n"/>
      <c r="F1625" s="11" t="n"/>
      <c r="G1625" s="11" t="n"/>
      <c r="H1625" s="11" t="n"/>
      <c r="I1625" s="11" t="n"/>
      <c r="J1625" s="11" t="n"/>
      <c r="K1625" s="11" t="n"/>
      <c r="L1625" s="11" t="n"/>
      <c r="M1625" s="11" t="n"/>
      <c r="N1625" s="11" t="n"/>
      <c r="O1625" s="12" t="n"/>
    </row>
    <row r="1626">
      <c r="A1626" s="11" t="n"/>
      <c r="B1626" s="11" t="n"/>
      <c r="C1626" s="11" t="n"/>
      <c r="D1626" s="11" t="n"/>
      <c r="E1626" s="11" t="n"/>
      <c r="F1626" s="11" t="n"/>
      <c r="G1626" s="11" t="n"/>
      <c r="H1626" s="11" t="n"/>
      <c r="I1626" s="11" t="n"/>
      <c r="J1626" s="11" t="n"/>
      <c r="K1626" s="11" t="n"/>
      <c r="L1626" s="11" t="n"/>
      <c r="M1626" s="11" t="n"/>
      <c r="N1626" s="11" t="n"/>
      <c r="O1626" s="12" t="n"/>
    </row>
    <row r="1627">
      <c r="A1627" s="11" t="n"/>
      <c r="B1627" s="11" t="n"/>
      <c r="C1627" s="11" t="n"/>
      <c r="D1627" s="11" t="n"/>
      <c r="E1627" s="11" t="n"/>
      <c r="F1627" s="11" t="n"/>
      <c r="G1627" s="11" t="n"/>
      <c r="H1627" s="11" t="n"/>
      <c r="I1627" s="11" t="n"/>
      <c r="J1627" s="11" t="n"/>
      <c r="K1627" s="11" t="n"/>
      <c r="L1627" s="11" t="n"/>
      <c r="M1627" s="11" t="n"/>
      <c r="N1627" s="11" t="n"/>
      <c r="O1627" s="12" t="n"/>
    </row>
    <row r="1628">
      <c r="A1628" s="11" t="n"/>
      <c r="B1628" s="11" t="n"/>
      <c r="C1628" s="11" t="n"/>
      <c r="D1628" s="11" t="n"/>
      <c r="E1628" s="11" t="n"/>
      <c r="F1628" s="11" t="n"/>
      <c r="G1628" s="11" t="n"/>
      <c r="H1628" s="11" t="n"/>
      <c r="I1628" s="11" t="n"/>
      <c r="J1628" s="11" t="n"/>
      <c r="K1628" s="11" t="n"/>
      <c r="L1628" s="11" t="n"/>
      <c r="M1628" s="11" t="n"/>
      <c r="N1628" s="11" t="n"/>
      <c r="O1628" s="12" t="n"/>
    </row>
    <row r="1629">
      <c r="A1629" s="11" t="n"/>
      <c r="B1629" s="11" t="n"/>
      <c r="C1629" s="11" t="n"/>
      <c r="D1629" s="11" t="n"/>
      <c r="E1629" s="11" t="n"/>
      <c r="F1629" s="11" t="n"/>
      <c r="G1629" s="11" t="n"/>
      <c r="H1629" s="11" t="n"/>
      <c r="I1629" s="11" t="n"/>
      <c r="J1629" s="11" t="n"/>
      <c r="K1629" s="11" t="n"/>
      <c r="L1629" s="11" t="n"/>
      <c r="M1629" s="11" t="n"/>
      <c r="N1629" s="11" t="n"/>
      <c r="O1629" s="12" t="n"/>
    </row>
    <row r="1630">
      <c r="A1630" s="11" t="n"/>
      <c r="B1630" s="11" t="n"/>
      <c r="C1630" s="11" t="n"/>
      <c r="D1630" s="11" t="n"/>
      <c r="E1630" s="11" t="n"/>
      <c r="F1630" s="11" t="n"/>
      <c r="G1630" s="11" t="n"/>
      <c r="H1630" s="11" t="n"/>
      <c r="I1630" s="11" t="n"/>
      <c r="J1630" s="11" t="n"/>
      <c r="K1630" s="11" t="n"/>
      <c r="L1630" s="11" t="n"/>
      <c r="M1630" s="11" t="n"/>
      <c r="N1630" s="11" t="n"/>
      <c r="O1630" s="12" t="n"/>
    </row>
    <row r="1631">
      <c r="A1631" s="11" t="n"/>
      <c r="B1631" s="11" t="n"/>
      <c r="C1631" s="11" t="n"/>
      <c r="D1631" s="11" t="n"/>
      <c r="E1631" s="11" t="n"/>
      <c r="F1631" s="11" t="n"/>
      <c r="G1631" s="11" t="n"/>
      <c r="H1631" s="11" t="n"/>
      <c r="I1631" s="11" t="n"/>
      <c r="J1631" s="11" t="n"/>
      <c r="K1631" s="11" t="n"/>
      <c r="L1631" s="11" t="n"/>
      <c r="M1631" s="11" t="n"/>
      <c r="N1631" s="11" t="n"/>
      <c r="O1631" s="12" t="n"/>
    </row>
    <row r="1632">
      <c r="A1632" s="11" t="n"/>
      <c r="B1632" s="11" t="n"/>
      <c r="C1632" s="11" t="n"/>
      <c r="D1632" s="11" t="n"/>
      <c r="E1632" s="11" t="n"/>
      <c r="F1632" s="11" t="n"/>
      <c r="G1632" s="11" t="n"/>
      <c r="H1632" s="11" t="n"/>
      <c r="I1632" s="11" t="n"/>
      <c r="J1632" s="11" t="n"/>
      <c r="K1632" s="11" t="n"/>
      <c r="L1632" s="11" t="n"/>
      <c r="M1632" s="11" t="n"/>
      <c r="N1632" s="11" t="n"/>
      <c r="O1632" s="12" t="n"/>
    </row>
    <row r="1633">
      <c r="A1633" s="11" t="n"/>
      <c r="B1633" s="11" t="n"/>
      <c r="C1633" s="11" t="n"/>
      <c r="D1633" s="11" t="n"/>
      <c r="E1633" s="11" t="n"/>
      <c r="F1633" s="11" t="n"/>
      <c r="G1633" s="11" t="n"/>
      <c r="H1633" s="11" t="n"/>
      <c r="I1633" s="11" t="n"/>
      <c r="J1633" s="11" t="n"/>
      <c r="K1633" s="11" t="n"/>
      <c r="L1633" s="11" t="n"/>
      <c r="M1633" s="11" t="n"/>
      <c r="N1633" s="11" t="n"/>
      <c r="O1633" s="12" t="n"/>
    </row>
    <row r="1634">
      <c r="A1634" s="11" t="n"/>
      <c r="B1634" s="11" t="n"/>
      <c r="C1634" s="11" t="n"/>
      <c r="D1634" s="11" t="n"/>
      <c r="E1634" s="11" t="n"/>
      <c r="F1634" s="11" t="n"/>
      <c r="G1634" s="11" t="n"/>
      <c r="H1634" s="11" t="n"/>
      <c r="I1634" s="11" t="n"/>
      <c r="J1634" s="11" t="n"/>
      <c r="K1634" s="11" t="n"/>
      <c r="L1634" s="11" t="n"/>
      <c r="M1634" s="11" t="n"/>
      <c r="N1634" s="11" t="n"/>
      <c r="O1634" s="12" t="n"/>
    </row>
    <row r="1635">
      <c r="A1635" s="11" t="n"/>
      <c r="B1635" s="11" t="n"/>
      <c r="C1635" s="11" t="n"/>
      <c r="D1635" s="11" t="n"/>
      <c r="E1635" s="11" t="n"/>
      <c r="F1635" s="11" t="n"/>
      <c r="G1635" s="11" t="n"/>
      <c r="H1635" s="11" t="n"/>
      <c r="I1635" s="11" t="n"/>
      <c r="J1635" s="11" t="n"/>
      <c r="K1635" s="11" t="n"/>
      <c r="L1635" s="11" t="n"/>
      <c r="M1635" s="11" t="n"/>
      <c r="N1635" s="11" t="n"/>
      <c r="O1635" s="12" t="n"/>
    </row>
    <row r="1636">
      <c r="A1636" s="11" t="n"/>
      <c r="B1636" s="11" t="n"/>
      <c r="C1636" s="11" t="n"/>
      <c r="D1636" s="11" t="n"/>
      <c r="E1636" s="11" t="n"/>
      <c r="F1636" s="11" t="n"/>
      <c r="G1636" s="11" t="n"/>
      <c r="H1636" s="11" t="n"/>
      <c r="I1636" s="11" t="n"/>
      <c r="J1636" s="11" t="n"/>
      <c r="K1636" s="11" t="n"/>
      <c r="L1636" s="11" t="n"/>
      <c r="M1636" s="11" t="n"/>
      <c r="N1636" s="11" t="n"/>
      <c r="O1636" s="12" t="n"/>
    </row>
    <row r="1637">
      <c r="A1637" s="11" t="n"/>
      <c r="B1637" s="11" t="n"/>
      <c r="C1637" s="11" t="n"/>
      <c r="D1637" s="11" t="n"/>
      <c r="E1637" s="11" t="n"/>
      <c r="F1637" s="11" t="n"/>
      <c r="G1637" s="11" t="n"/>
      <c r="H1637" s="11" t="n"/>
      <c r="I1637" s="11" t="n"/>
      <c r="J1637" s="11" t="n"/>
      <c r="K1637" s="11" t="n"/>
      <c r="L1637" s="11" t="n"/>
      <c r="M1637" s="11" t="n"/>
      <c r="N1637" s="11" t="n"/>
      <c r="O1637" s="12" t="n"/>
    </row>
    <row r="1638">
      <c r="A1638" s="11" t="n"/>
      <c r="B1638" s="11" t="n"/>
      <c r="C1638" s="11" t="n"/>
      <c r="D1638" s="11" t="n"/>
      <c r="E1638" s="11" t="n"/>
      <c r="F1638" s="11" t="n"/>
      <c r="G1638" s="11" t="n"/>
      <c r="H1638" s="11" t="n"/>
      <c r="I1638" s="11" t="n"/>
      <c r="J1638" s="11" t="n"/>
      <c r="K1638" s="11" t="n"/>
      <c r="L1638" s="11" t="n"/>
      <c r="M1638" s="11" t="n"/>
      <c r="N1638" s="11" t="n"/>
      <c r="O1638" s="12" t="n"/>
    </row>
    <row r="1639">
      <c r="A1639" s="11" t="n"/>
      <c r="B1639" s="11" t="n"/>
      <c r="C1639" s="11" t="n"/>
      <c r="D1639" s="11" t="n"/>
      <c r="E1639" s="11" t="n"/>
      <c r="F1639" s="11" t="n"/>
      <c r="G1639" s="11" t="n"/>
      <c r="H1639" s="11" t="n"/>
      <c r="I1639" s="11" t="n"/>
      <c r="J1639" s="11" t="n"/>
      <c r="K1639" s="11" t="n"/>
      <c r="L1639" s="11" t="n"/>
      <c r="M1639" s="11" t="n"/>
      <c r="N1639" s="11" t="n"/>
      <c r="O1639" s="12" t="n"/>
    </row>
    <row r="1640">
      <c r="A1640" s="11" t="n"/>
      <c r="B1640" s="11" t="n"/>
      <c r="C1640" s="11" t="n"/>
      <c r="D1640" s="11" t="n"/>
      <c r="E1640" s="11" t="n"/>
      <c r="F1640" s="11" t="n"/>
      <c r="G1640" s="11" t="n"/>
      <c r="H1640" s="11" t="n"/>
      <c r="I1640" s="11" t="n"/>
      <c r="J1640" s="11" t="n"/>
      <c r="K1640" s="11" t="n"/>
      <c r="L1640" s="11" t="n"/>
      <c r="M1640" s="11" t="n"/>
      <c r="N1640" s="11" t="n"/>
      <c r="O1640" s="12" t="n"/>
    </row>
    <row r="1641">
      <c r="A1641" s="11" t="n"/>
      <c r="B1641" s="11" t="n"/>
      <c r="C1641" s="11" t="n"/>
      <c r="D1641" s="11" t="n"/>
      <c r="E1641" s="11" t="n"/>
      <c r="F1641" s="11" t="n"/>
      <c r="G1641" s="11" t="n"/>
      <c r="H1641" s="11" t="n"/>
      <c r="I1641" s="11" t="n"/>
      <c r="J1641" s="11" t="n"/>
      <c r="K1641" s="11" t="n"/>
      <c r="L1641" s="11" t="n"/>
      <c r="M1641" s="11" t="n"/>
      <c r="N1641" s="11" t="n"/>
      <c r="O1641" s="12" t="n"/>
    </row>
    <row r="1642">
      <c r="A1642" s="11" t="n"/>
      <c r="B1642" s="11" t="n"/>
      <c r="C1642" s="11" t="n"/>
      <c r="D1642" s="11" t="n"/>
      <c r="E1642" s="11" t="n"/>
      <c r="F1642" s="11" t="n"/>
      <c r="G1642" s="11" t="n"/>
      <c r="H1642" s="11" t="n"/>
      <c r="I1642" s="11" t="n"/>
      <c r="J1642" s="11" t="n"/>
      <c r="K1642" s="11" t="n"/>
      <c r="L1642" s="11" t="n"/>
      <c r="M1642" s="11" t="n"/>
      <c r="N1642" s="11" t="n"/>
      <c r="O1642" s="12" t="n"/>
    </row>
    <row r="1643">
      <c r="A1643" s="11" t="n"/>
      <c r="B1643" s="11" t="n"/>
      <c r="C1643" s="11" t="n"/>
      <c r="D1643" s="11" t="n"/>
      <c r="E1643" s="11" t="n"/>
      <c r="F1643" s="11" t="n"/>
      <c r="G1643" s="11" t="n"/>
      <c r="H1643" s="11" t="n"/>
      <c r="I1643" s="11" t="n"/>
      <c r="J1643" s="11" t="n"/>
      <c r="K1643" s="11" t="n"/>
      <c r="L1643" s="11" t="n"/>
      <c r="M1643" s="11" t="n"/>
      <c r="N1643" s="11" t="n"/>
      <c r="O1643" s="12" t="n"/>
    </row>
    <row r="1644">
      <c r="A1644" s="11" t="n"/>
      <c r="B1644" s="11" t="n"/>
      <c r="C1644" s="11" t="n"/>
      <c r="D1644" s="11" t="n"/>
      <c r="E1644" s="11" t="n"/>
      <c r="F1644" s="11" t="n"/>
      <c r="G1644" s="11" t="n"/>
      <c r="H1644" s="11" t="n"/>
      <c r="I1644" s="11" t="n"/>
      <c r="J1644" s="11" t="n"/>
      <c r="K1644" s="11" t="n"/>
      <c r="L1644" s="11" t="n"/>
      <c r="M1644" s="11" t="n"/>
      <c r="N1644" s="11" t="n"/>
      <c r="O1644" s="12" t="n"/>
    </row>
    <row r="1645">
      <c r="A1645" s="11" t="n"/>
      <c r="B1645" s="11" t="n"/>
      <c r="C1645" s="11" t="n"/>
      <c r="D1645" s="11" t="n"/>
      <c r="E1645" s="11" t="n"/>
      <c r="F1645" s="11" t="n"/>
      <c r="G1645" s="11" t="n"/>
      <c r="H1645" s="11" t="n"/>
      <c r="I1645" s="11" t="n"/>
      <c r="J1645" s="11" t="n"/>
      <c r="K1645" s="11" t="n"/>
      <c r="L1645" s="11" t="n"/>
      <c r="M1645" s="11" t="n"/>
      <c r="N1645" s="11" t="n"/>
      <c r="O1645" s="12" t="n"/>
    </row>
    <row r="1646">
      <c r="A1646" s="11" t="n"/>
      <c r="B1646" s="11" t="n"/>
      <c r="C1646" s="11" t="n"/>
      <c r="D1646" s="11" t="n"/>
      <c r="E1646" s="11" t="n"/>
      <c r="F1646" s="11" t="n"/>
      <c r="G1646" s="11" t="n"/>
      <c r="H1646" s="11" t="n"/>
      <c r="I1646" s="11" t="n"/>
      <c r="J1646" s="11" t="n"/>
      <c r="K1646" s="11" t="n"/>
      <c r="L1646" s="11" t="n"/>
      <c r="M1646" s="11" t="n"/>
      <c r="N1646" s="11" t="n"/>
      <c r="O1646" s="12" t="n"/>
    </row>
    <row r="1647">
      <c r="A1647" s="11" t="n"/>
      <c r="B1647" s="11" t="n"/>
      <c r="C1647" s="11" t="n"/>
      <c r="D1647" s="11" t="n"/>
      <c r="E1647" s="11" t="n"/>
      <c r="F1647" s="11" t="n"/>
      <c r="G1647" s="11" t="n"/>
      <c r="H1647" s="11" t="n"/>
      <c r="I1647" s="11" t="n"/>
      <c r="J1647" s="11" t="n"/>
      <c r="K1647" s="11" t="n"/>
      <c r="L1647" s="11" t="n"/>
      <c r="M1647" s="11" t="n"/>
      <c r="N1647" s="11" t="n"/>
      <c r="O1647" s="12" t="n"/>
    </row>
    <row r="1648">
      <c r="A1648" s="11" t="n"/>
      <c r="B1648" s="11" t="n"/>
      <c r="C1648" s="11" t="n"/>
      <c r="D1648" s="11" t="n"/>
      <c r="E1648" s="11" t="n"/>
      <c r="F1648" s="11" t="n"/>
      <c r="G1648" s="11" t="n"/>
      <c r="H1648" s="11" t="n"/>
      <c r="I1648" s="11" t="n"/>
      <c r="J1648" s="11" t="n"/>
      <c r="K1648" s="11" t="n"/>
      <c r="L1648" s="11" t="n"/>
      <c r="M1648" s="11" t="n"/>
      <c r="N1648" s="11" t="n"/>
      <c r="O1648" s="12" t="n"/>
    </row>
    <row r="1649">
      <c r="A1649" s="11" t="n"/>
      <c r="B1649" s="11" t="n"/>
      <c r="C1649" s="11" t="n"/>
      <c r="D1649" s="11" t="n"/>
      <c r="E1649" s="11" t="n"/>
      <c r="F1649" s="11" t="n"/>
      <c r="G1649" s="11" t="n"/>
      <c r="H1649" s="11" t="n"/>
      <c r="I1649" s="11" t="n"/>
      <c r="J1649" s="11" t="n"/>
      <c r="K1649" s="11" t="n"/>
      <c r="L1649" s="11" t="n"/>
      <c r="M1649" s="11" t="n"/>
      <c r="N1649" s="11" t="n"/>
      <c r="O1649" s="12" t="n"/>
    </row>
    <row r="1650">
      <c r="A1650" s="11" t="n"/>
      <c r="B1650" s="11" t="n"/>
      <c r="C1650" s="11" t="n"/>
      <c r="D1650" s="11" t="n"/>
      <c r="E1650" s="11" t="n"/>
      <c r="F1650" s="11" t="n"/>
      <c r="G1650" s="11" t="n"/>
      <c r="H1650" s="11" t="n"/>
      <c r="I1650" s="11" t="n"/>
      <c r="J1650" s="11" t="n"/>
      <c r="K1650" s="11" t="n"/>
      <c r="L1650" s="11" t="n"/>
      <c r="M1650" s="11" t="n"/>
      <c r="N1650" s="11" t="n"/>
      <c r="O1650" s="12" t="n"/>
    </row>
    <row r="1651">
      <c r="A1651" s="11" t="n"/>
      <c r="B1651" s="11" t="n"/>
      <c r="C1651" s="11" t="n"/>
      <c r="D1651" s="11" t="n"/>
      <c r="E1651" s="11" t="n"/>
      <c r="F1651" s="11" t="n"/>
      <c r="G1651" s="11" t="n"/>
      <c r="H1651" s="11" t="n"/>
      <c r="I1651" s="11" t="n"/>
      <c r="J1651" s="11" t="n"/>
      <c r="K1651" s="11" t="n"/>
      <c r="L1651" s="11" t="n"/>
      <c r="M1651" s="11" t="n"/>
      <c r="N1651" s="11" t="n"/>
      <c r="O1651" s="12" t="n"/>
    </row>
    <row r="1652">
      <c r="A1652" s="11" t="n"/>
      <c r="B1652" s="11" t="n"/>
      <c r="C1652" s="11" t="n"/>
      <c r="D1652" s="11" t="n"/>
      <c r="E1652" s="11" t="n"/>
      <c r="F1652" s="11" t="n"/>
      <c r="G1652" s="11" t="n"/>
      <c r="H1652" s="11" t="n"/>
      <c r="I1652" s="11" t="n"/>
      <c r="J1652" s="11" t="n"/>
      <c r="K1652" s="11" t="n"/>
      <c r="L1652" s="11" t="n"/>
      <c r="M1652" s="11" t="n"/>
      <c r="N1652" s="11" t="n"/>
      <c r="O1652" s="12" t="n"/>
    </row>
    <row r="1653">
      <c r="A1653" s="11" t="n"/>
      <c r="B1653" s="11" t="n"/>
      <c r="C1653" s="11" t="n"/>
      <c r="D1653" s="11" t="n"/>
      <c r="E1653" s="11" t="n"/>
      <c r="F1653" s="11" t="n"/>
      <c r="G1653" s="11" t="n"/>
      <c r="H1653" s="11" t="n"/>
      <c r="I1653" s="11" t="n"/>
      <c r="J1653" s="11" t="n"/>
      <c r="K1653" s="11" t="n"/>
      <c r="L1653" s="11" t="n"/>
      <c r="M1653" s="11" t="n"/>
      <c r="N1653" s="11" t="n"/>
      <c r="O1653" s="12" t="n"/>
    </row>
    <row r="1654">
      <c r="A1654" s="11" t="n"/>
      <c r="B1654" s="11" t="n"/>
      <c r="C1654" s="11" t="n"/>
      <c r="D1654" s="11" t="n"/>
      <c r="E1654" s="11" t="n"/>
      <c r="F1654" s="11" t="n"/>
      <c r="G1654" s="11" t="n"/>
      <c r="H1654" s="11" t="n"/>
      <c r="I1654" s="11" t="n"/>
      <c r="J1654" s="11" t="n"/>
      <c r="K1654" s="11" t="n"/>
      <c r="L1654" s="11" t="n"/>
      <c r="M1654" s="11" t="n"/>
      <c r="N1654" s="11" t="n"/>
      <c r="O1654" s="12" t="n"/>
    </row>
    <row r="1655">
      <c r="A1655" s="11" t="n"/>
      <c r="B1655" s="11" t="n"/>
      <c r="C1655" s="11" t="n"/>
      <c r="D1655" s="11" t="n"/>
      <c r="E1655" s="11" t="n"/>
      <c r="F1655" s="11" t="n"/>
      <c r="G1655" s="11" t="n"/>
      <c r="H1655" s="11" t="n"/>
      <c r="I1655" s="11" t="n"/>
      <c r="J1655" s="11" t="n"/>
      <c r="K1655" s="11" t="n"/>
      <c r="L1655" s="11" t="n"/>
      <c r="M1655" s="11" t="n"/>
      <c r="N1655" s="11" t="n"/>
      <c r="O1655" s="12" t="n"/>
    </row>
    <row r="1656">
      <c r="A1656" s="11" t="n"/>
      <c r="B1656" s="11" t="n"/>
      <c r="C1656" s="11" t="n"/>
      <c r="D1656" s="11" t="n"/>
      <c r="E1656" s="11" t="n"/>
      <c r="F1656" s="11" t="n"/>
      <c r="G1656" s="11" t="n"/>
      <c r="H1656" s="11" t="n"/>
      <c r="I1656" s="11" t="n"/>
      <c r="J1656" s="11" t="n"/>
      <c r="K1656" s="11" t="n"/>
      <c r="L1656" s="11" t="n"/>
      <c r="M1656" s="11" t="n"/>
      <c r="N1656" s="11" t="n"/>
      <c r="O1656" s="12" t="n"/>
    </row>
    <row r="1657">
      <c r="A1657" s="11" t="n"/>
      <c r="B1657" s="11" t="n"/>
      <c r="C1657" s="11" t="n"/>
      <c r="D1657" s="11" t="n"/>
      <c r="E1657" s="11" t="n"/>
      <c r="F1657" s="11" t="n"/>
      <c r="G1657" s="11" t="n"/>
      <c r="H1657" s="11" t="n"/>
      <c r="I1657" s="11" t="n"/>
      <c r="J1657" s="11" t="n"/>
      <c r="K1657" s="11" t="n"/>
      <c r="L1657" s="11" t="n"/>
      <c r="M1657" s="11" t="n"/>
      <c r="N1657" s="11" t="n"/>
      <c r="O1657" s="12" t="n"/>
    </row>
    <row r="1658">
      <c r="A1658" s="11" t="n"/>
      <c r="B1658" s="11" t="n"/>
      <c r="C1658" s="11" t="n"/>
      <c r="D1658" s="11" t="n"/>
      <c r="E1658" s="11" t="n"/>
      <c r="F1658" s="11" t="n"/>
      <c r="G1658" s="11" t="n"/>
      <c r="H1658" s="11" t="n"/>
      <c r="I1658" s="11" t="n"/>
      <c r="J1658" s="11" t="n"/>
      <c r="K1658" s="11" t="n"/>
      <c r="L1658" s="11" t="n"/>
      <c r="M1658" s="11" t="n"/>
      <c r="N1658" s="11" t="n"/>
      <c r="O1658" s="12" t="n"/>
    </row>
    <row r="1659">
      <c r="A1659" s="11" t="n"/>
      <c r="B1659" s="11" t="n"/>
      <c r="C1659" s="11" t="n"/>
      <c r="D1659" s="11" t="n"/>
      <c r="E1659" s="11" t="n"/>
      <c r="F1659" s="11" t="n"/>
      <c r="G1659" s="11" t="n"/>
      <c r="H1659" s="11" t="n"/>
      <c r="I1659" s="11" t="n"/>
      <c r="J1659" s="11" t="n"/>
      <c r="K1659" s="11" t="n"/>
      <c r="L1659" s="11" t="n"/>
      <c r="M1659" s="11" t="n"/>
      <c r="N1659" s="11" t="n"/>
      <c r="O1659" s="12" t="n"/>
    </row>
    <row r="1660">
      <c r="A1660" s="11" t="n"/>
      <c r="B1660" s="11" t="n"/>
      <c r="C1660" s="11" t="n"/>
      <c r="D1660" s="11" t="n"/>
      <c r="E1660" s="11" t="n"/>
      <c r="F1660" s="11" t="n"/>
      <c r="G1660" s="11" t="n"/>
      <c r="H1660" s="11" t="n"/>
      <c r="I1660" s="11" t="n"/>
      <c r="J1660" s="11" t="n"/>
      <c r="K1660" s="11" t="n"/>
      <c r="L1660" s="11" t="n"/>
      <c r="M1660" s="11" t="n"/>
      <c r="N1660" s="11" t="n"/>
      <c r="O1660" s="12" t="n"/>
    </row>
    <row r="1661">
      <c r="A1661" s="11" t="n"/>
      <c r="B1661" s="11" t="n"/>
      <c r="C1661" s="11" t="n"/>
      <c r="D1661" s="11" t="n"/>
      <c r="E1661" s="11" t="n"/>
      <c r="F1661" s="11" t="n"/>
      <c r="G1661" s="11" t="n"/>
      <c r="H1661" s="11" t="n"/>
      <c r="I1661" s="11" t="n"/>
      <c r="J1661" s="11" t="n"/>
      <c r="K1661" s="11" t="n"/>
      <c r="L1661" s="11" t="n"/>
      <c r="M1661" s="11" t="n"/>
      <c r="N1661" s="11" t="n"/>
      <c r="O1661" s="12" t="n"/>
    </row>
    <row r="1662">
      <c r="A1662" s="11" t="n"/>
      <c r="B1662" s="11" t="n"/>
      <c r="C1662" s="11" t="n"/>
      <c r="D1662" s="11" t="n"/>
      <c r="E1662" s="11" t="n"/>
      <c r="F1662" s="11" t="n"/>
      <c r="G1662" s="11" t="n"/>
      <c r="H1662" s="11" t="n"/>
      <c r="I1662" s="11" t="n"/>
      <c r="J1662" s="11" t="n"/>
      <c r="K1662" s="11" t="n"/>
      <c r="L1662" s="11" t="n"/>
      <c r="M1662" s="11" t="n"/>
      <c r="N1662" s="11" t="n"/>
      <c r="O1662" s="12" t="n"/>
    </row>
    <row r="1663">
      <c r="A1663" s="11" t="n"/>
      <c r="B1663" s="11" t="n"/>
      <c r="C1663" s="11" t="n"/>
      <c r="D1663" s="11" t="n"/>
      <c r="E1663" s="11" t="n"/>
      <c r="F1663" s="11" t="n"/>
      <c r="G1663" s="11" t="n"/>
      <c r="H1663" s="11" t="n"/>
      <c r="I1663" s="11" t="n"/>
      <c r="J1663" s="11" t="n"/>
      <c r="K1663" s="11" t="n"/>
      <c r="L1663" s="11" t="n"/>
      <c r="M1663" s="11" t="n"/>
      <c r="N1663" s="11" t="n"/>
      <c r="O1663" s="12" t="n"/>
    </row>
    <row r="1664">
      <c r="A1664" s="11" t="n"/>
      <c r="B1664" s="11" t="n"/>
      <c r="C1664" s="11" t="n"/>
      <c r="D1664" s="11" t="n"/>
      <c r="E1664" s="11" t="n"/>
      <c r="F1664" s="11" t="n"/>
      <c r="G1664" s="11" t="n"/>
      <c r="H1664" s="11" t="n"/>
      <c r="I1664" s="11" t="n"/>
      <c r="J1664" s="11" t="n"/>
      <c r="K1664" s="11" t="n"/>
      <c r="L1664" s="11" t="n"/>
      <c r="M1664" s="11" t="n"/>
      <c r="N1664" s="11" t="n"/>
      <c r="O1664" s="12" t="n"/>
    </row>
    <row r="1665">
      <c r="A1665" s="11" t="n"/>
      <c r="B1665" s="11" t="n"/>
      <c r="C1665" s="11" t="n"/>
      <c r="D1665" s="11" t="n"/>
      <c r="E1665" s="11" t="n"/>
      <c r="F1665" s="11" t="n"/>
      <c r="G1665" s="11" t="n"/>
      <c r="H1665" s="11" t="n"/>
      <c r="I1665" s="11" t="n"/>
      <c r="J1665" s="11" t="n"/>
      <c r="K1665" s="11" t="n"/>
      <c r="L1665" s="11" t="n"/>
      <c r="M1665" s="11" t="n"/>
      <c r="N1665" s="11" t="n"/>
      <c r="O1665" s="12" t="n"/>
    </row>
    <row r="1666">
      <c r="A1666" s="11" t="n"/>
      <c r="B1666" s="11" t="n"/>
      <c r="C1666" s="11" t="n"/>
      <c r="D1666" s="11" t="n"/>
      <c r="E1666" s="11" t="n"/>
      <c r="F1666" s="11" t="n"/>
      <c r="G1666" s="11" t="n"/>
      <c r="H1666" s="11" t="n"/>
      <c r="I1666" s="11" t="n"/>
      <c r="J1666" s="11" t="n"/>
      <c r="K1666" s="11" t="n"/>
      <c r="L1666" s="11" t="n"/>
      <c r="M1666" s="11" t="n"/>
      <c r="N1666" s="11" t="n"/>
      <c r="O1666" s="12" t="n"/>
    </row>
    <row r="1667">
      <c r="A1667" s="11" t="n"/>
      <c r="B1667" s="11" t="n"/>
      <c r="C1667" s="11" t="n"/>
      <c r="D1667" s="11" t="n"/>
      <c r="E1667" s="11" t="n"/>
      <c r="F1667" s="11" t="n"/>
      <c r="G1667" s="11" t="n"/>
      <c r="H1667" s="11" t="n"/>
      <c r="I1667" s="11" t="n"/>
      <c r="J1667" s="11" t="n"/>
      <c r="K1667" s="11" t="n"/>
      <c r="L1667" s="11" t="n"/>
      <c r="M1667" s="11" t="n"/>
      <c r="N1667" s="11" t="n"/>
      <c r="O1667" s="12" t="n"/>
    </row>
    <row r="1668">
      <c r="A1668" s="11" t="n"/>
      <c r="B1668" s="11" t="n"/>
      <c r="C1668" s="11" t="n"/>
      <c r="D1668" s="11" t="n"/>
      <c r="E1668" s="11" t="n"/>
      <c r="F1668" s="11" t="n"/>
      <c r="G1668" s="11" t="n"/>
      <c r="H1668" s="11" t="n"/>
      <c r="I1668" s="11" t="n"/>
      <c r="J1668" s="11" t="n"/>
      <c r="K1668" s="11" t="n"/>
      <c r="L1668" s="11" t="n"/>
      <c r="M1668" s="11" t="n"/>
      <c r="N1668" s="11" t="n"/>
      <c r="O1668" s="12" t="n"/>
    </row>
    <row r="1669">
      <c r="A1669" s="11" t="n"/>
      <c r="B1669" s="11" t="n"/>
      <c r="C1669" s="11" t="n"/>
      <c r="D1669" s="11" t="n"/>
      <c r="E1669" s="11" t="n"/>
      <c r="F1669" s="11" t="n"/>
      <c r="G1669" s="11" t="n"/>
      <c r="H1669" s="11" t="n"/>
      <c r="I1669" s="11" t="n"/>
      <c r="J1669" s="11" t="n"/>
      <c r="K1669" s="11" t="n"/>
      <c r="L1669" s="11" t="n"/>
      <c r="M1669" s="11" t="n"/>
      <c r="N1669" s="11" t="n"/>
      <c r="O1669" s="12" t="n"/>
    </row>
    <row r="1670">
      <c r="A1670" s="11" t="n"/>
      <c r="B1670" s="11" t="n"/>
      <c r="C1670" s="11" t="n"/>
      <c r="D1670" s="11" t="n"/>
      <c r="E1670" s="11" t="n"/>
      <c r="F1670" s="11" t="n"/>
      <c r="G1670" s="11" t="n"/>
      <c r="H1670" s="11" t="n"/>
      <c r="I1670" s="11" t="n"/>
      <c r="J1670" s="11" t="n"/>
      <c r="K1670" s="11" t="n"/>
      <c r="L1670" s="11" t="n"/>
      <c r="M1670" s="11" t="n"/>
      <c r="N1670" s="11" t="n"/>
      <c r="O1670" s="12" t="n"/>
    </row>
    <row r="1671">
      <c r="A1671" s="11" t="n"/>
      <c r="B1671" s="11" t="n"/>
      <c r="C1671" s="11" t="n"/>
      <c r="D1671" s="11" t="n"/>
      <c r="E1671" s="11" t="n"/>
      <c r="F1671" s="11" t="n"/>
      <c r="G1671" s="11" t="n"/>
      <c r="H1671" s="11" t="n"/>
      <c r="I1671" s="11" t="n"/>
      <c r="J1671" s="11" t="n"/>
      <c r="K1671" s="11" t="n"/>
      <c r="L1671" s="11" t="n"/>
      <c r="M1671" s="11" t="n"/>
      <c r="N1671" s="11" t="n"/>
      <c r="O1671" s="12" t="n"/>
    </row>
    <row r="1672">
      <c r="A1672" s="11" t="n"/>
      <c r="B1672" s="11" t="n"/>
      <c r="C1672" s="11" t="n"/>
      <c r="D1672" s="11" t="n"/>
      <c r="E1672" s="11" t="n"/>
      <c r="F1672" s="11" t="n"/>
      <c r="G1672" s="11" t="n"/>
      <c r="H1672" s="11" t="n"/>
      <c r="I1672" s="11" t="n"/>
      <c r="J1672" s="11" t="n"/>
      <c r="K1672" s="11" t="n"/>
      <c r="L1672" s="11" t="n"/>
      <c r="M1672" s="11" t="n"/>
      <c r="N1672" s="11" t="n"/>
      <c r="O1672" s="12" t="n"/>
    </row>
    <row r="1673">
      <c r="A1673" s="11" t="n"/>
      <c r="B1673" s="11" t="n"/>
      <c r="C1673" s="11" t="n"/>
      <c r="D1673" s="11" t="n"/>
      <c r="E1673" s="11" t="n"/>
      <c r="F1673" s="11" t="n"/>
      <c r="G1673" s="11" t="n"/>
      <c r="H1673" s="11" t="n"/>
      <c r="I1673" s="11" t="n"/>
      <c r="J1673" s="11" t="n"/>
      <c r="K1673" s="11" t="n"/>
      <c r="L1673" s="11" t="n"/>
      <c r="M1673" s="11" t="n"/>
      <c r="N1673" s="11" t="n"/>
      <c r="O1673" s="12" t="n"/>
    </row>
    <row r="1674">
      <c r="A1674" s="11" t="n"/>
      <c r="B1674" s="11" t="n"/>
      <c r="C1674" s="11" t="n"/>
      <c r="D1674" s="11" t="n"/>
      <c r="E1674" s="11" t="n"/>
      <c r="F1674" s="11" t="n"/>
      <c r="G1674" s="11" t="n"/>
      <c r="H1674" s="11" t="n"/>
      <c r="I1674" s="11" t="n"/>
      <c r="J1674" s="11" t="n"/>
      <c r="K1674" s="11" t="n"/>
      <c r="L1674" s="11" t="n"/>
      <c r="M1674" s="11" t="n"/>
      <c r="N1674" s="11" t="n"/>
      <c r="O1674" s="12" t="n"/>
    </row>
    <row r="1675">
      <c r="A1675" s="11" t="n"/>
      <c r="B1675" s="11" t="n"/>
      <c r="C1675" s="11" t="n"/>
      <c r="D1675" s="11" t="n"/>
      <c r="E1675" s="11" t="n"/>
      <c r="F1675" s="11" t="n"/>
      <c r="G1675" s="11" t="n"/>
      <c r="H1675" s="11" t="n"/>
      <c r="I1675" s="11" t="n"/>
      <c r="J1675" s="11" t="n"/>
      <c r="K1675" s="11" t="n"/>
      <c r="L1675" s="11" t="n"/>
      <c r="M1675" s="11" t="n"/>
      <c r="N1675" s="11" t="n"/>
      <c r="O1675" s="12" t="n"/>
    </row>
    <row r="1676">
      <c r="A1676" s="11" t="n"/>
      <c r="B1676" s="11" t="n"/>
      <c r="C1676" s="11" t="n"/>
      <c r="D1676" s="11" t="n"/>
      <c r="E1676" s="11" t="n"/>
      <c r="F1676" s="11" t="n"/>
      <c r="G1676" s="11" t="n"/>
      <c r="H1676" s="11" t="n"/>
      <c r="I1676" s="11" t="n"/>
      <c r="J1676" s="11" t="n"/>
      <c r="K1676" s="11" t="n"/>
      <c r="L1676" s="11" t="n"/>
      <c r="M1676" s="11" t="n"/>
      <c r="N1676" s="11" t="n"/>
      <c r="O1676" s="12" t="n"/>
    </row>
    <row r="1677">
      <c r="A1677" s="11" t="n"/>
      <c r="B1677" s="11" t="n"/>
      <c r="C1677" s="11" t="n"/>
      <c r="D1677" s="11" t="n"/>
      <c r="E1677" s="11" t="n"/>
      <c r="F1677" s="11" t="n"/>
      <c r="G1677" s="11" t="n"/>
      <c r="H1677" s="11" t="n"/>
      <c r="I1677" s="11" t="n"/>
      <c r="J1677" s="11" t="n"/>
      <c r="K1677" s="11" t="n"/>
      <c r="L1677" s="11" t="n"/>
      <c r="M1677" s="11" t="n"/>
      <c r="N1677" s="11" t="n"/>
      <c r="O1677" s="12" t="n"/>
    </row>
    <row r="1678">
      <c r="A1678" s="11" t="n"/>
      <c r="B1678" s="11" t="n"/>
      <c r="C1678" s="11" t="n"/>
      <c r="D1678" s="11" t="n"/>
      <c r="E1678" s="11" t="n"/>
      <c r="F1678" s="11" t="n"/>
      <c r="G1678" s="11" t="n"/>
      <c r="H1678" s="11" t="n"/>
      <c r="I1678" s="11" t="n"/>
      <c r="J1678" s="11" t="n"/>
      <c r="K1678" s="11" t="n"/>
      <c r="L1678" s="11" t="n"/>
      <c r="M1678" s="11" t="n"/>
      <c r="N1678" s="11" t="n"/>
      <c r="O1678" s="12" t="n"/>
    </row>
    <row r="1679">
      <c r="A1679" s="11" t="n"/>
      <c r="B1679" s="11" t="n"/>
      <c r="C1679" s="11" t="n"/>
      <c r="D1679" s="11" t="n"/>
      <c r="E1679" s="11" t="n"/>
      <c r="F1679" s="11" t="n"/>
      <c r="G1679" s="11" t="n"/>
      <c r="H1679" s="11" t="n"/>
      <c r="I1679" s="11" t="n"/>
      <c r="J1679" s="11" t="n"/>
      <c r="K1679" s="11" t="n"/>
      <c r="L1679" s="11" t="n"/>
      <c r="M1679" s="11" t="n"/>
      <c r="N1679" s="11" t="n"/>
      <c r="O1679" s="12" t="n"/>
    </row>
    <row r="1680">
      <c r="A1680" s="11" t="n"/>
      <c r="B1680" s="11" t="n"/>
      <c r="C1680" s="11" t="n"/>
      <c r="D1680" s="11" t="n"/>
      <c r="E1680" s="11" t="n"/>
      <c r="F1680" s="11" t="n"/>
      <c r="G1680" s="11" t="n"/>
      <c r="H1680" s="11" t="n"/>
      <c r="I1680" s="11" t="n"/>
      <c r="J1680" s="11" t="n"/>
      <c r="K1680" s="11" t="n"/>
      <c r="L1680" s="11" t="n"/>
      <c r="M1680" s="11" t="n"/>
      <c r="N1680" s="11" t="n"/>
      <c r="O1680" s="12" t="n"/>
    </row>
    <row r="1681">
      <c r="A1681" s="11" t="n"/>
      <c r="B1681" s="11" t="n"/>
      <c r="C1681" s="11" t="n"/>
      <c r="D1681" s="11" t="n"/>
      <c r="E1681" s="11" t="n"/>
      <c r="F1681" s="11" t="n"/>
      <c r="G1681" s="11" t="n"/>
      <c r="H1681" s="11" t="n"/>
      <c r="I1681" s="11" t="n"/>
      <c r="J1681" s="11" t="n"/>
      <c r="K1681" s="11" t="n"/>
      <c r="L1681" s="11" t="n"/>
      <c r="M1681" s="11" t="n"/>
      <c r="N1681" s="11" t="n"/>
      <c r="O1681" s="12" t="n"/>
    </row>
    <row r="1682">
      <c r="A1682" s="11" t="n"/>
      <c r="B1682" s="11" t="n"/>
      <c r="C1682" s="11" t="n"/>
      <c r="D1682" s="11" t="n"/>
      <c r="E1682" s="11" t="n"/>
      <c r="F1682" s="11" t="n"/>
      <c r="G1682" s="11" t="n"/>
      <c r="H1682" s="11" t="n"/>
      <c r="I1682" s="11" t="n"/>
      <c r="J1682" s="11" t="n"/>
      <c r="K1682" s="11" t="n"/>
      <c r="L1682" s="11" t="n"/>
      <c r="M1682" s="11" t="n"/>
      <c r="N1682" s="11" t="n"/>
      <c r="O1682" s="12" t="n"/>
    </row>
    <row r="1683">
      <c r="A1683" s="11" t="n"/>
      <c r="B1683" s="11" t="n"/>
      <c r="C1683" s="11" t="n"/>
      <c r="D1683" s="11" t="n"/>
      <c r="E1683" s="11" t="n"/>
      <c r="F1683" s="11" t="n"/>
      <c r="G1683" s="11" t="n"/>
      <c r="H1683" s="11" t="n"/>
      <c r="I1683" s="11" t="n"/>
      <c r="J1683" s="11" t="n"/>
      <c r="K1683" s="11" t="n"/>
      <c r="L1683" s="11" t="n"/>
      <c r="M1683" s="11" t="n"/>
      <c r="N1683" s="11" t="n"/>
      <c r="O1683" s="12" t="n"/>
    </row>
    <row r="1684">
      <c r="A1684" s="11" t="n"/>
      <c r="B1684" s="11" t="n"/>
      <c r="C1684" s="11" t="n"/>
      <c r="D1684" s="11" t="n"/>
      <c r="E1684" s="11" t="n"/>
      <c r="F1684" s="11" t="n"/>
      <c r="G1684" s="11" t="n"/>
      <c r="H1684" s="11" t="n"/>
      <c r="I1684" s="11" t="n"/>
      <c r="J1684" s="11" t="n"/>
      <c r="K1684" s="11" t="n"/>
      <c r="L1684" s="11" t="n"/>
      <c r="M1684" s="11" t="n"/>
      <c r="N1684" s="11" t="n"/>
      <c r="O1684" s="12" t="n"/>
    </row>
    <row r="1685">
      <c r="A1685" s="11" t="n"/>
      <c r="B1685" s="11" t="n"/>
      <c r="C1685" s="11" t="n"/>
      <c r="D1685" s="11" t="n"/>
      <c r="E1685" s="11" t="n"/>
      <c r="F1685" s="11" t="n"/>
      <c r="G1685" s="11" t="n"/>
      <c r="H1685" s="11" t="n"/>
      <c r="I1685" s="11" t="n"/>
      <c r="J1685" s="11" t="n"/>
      <c r="K1685" s="11" t="n"/>
      <c r="L1685" s="11" t="n"/>
      <c r="M1685" s="11" t="n"/>
      <c r="N1685" s="11" t="n"/>
      <c r="O1685" s="12" t="n"/>
    </row>
    <row r="1686">
      <c r="A1686" s="11" t="n"/>
      <c r="B1686" s="11" t="n"/>
      <c r="C1686" s="11" t="n"/>
      <c r="D1686" s="11" t="n"/>
      <c r="E1686" s="11" t="n"/>
      <c r="F1686" s="11" t="n"/>
      <c r="G1686" s="11" t="n"/>
      <c r="H1686" s="11" t="n"/>
      <c r="I1686" s="11" t="n"/>
      <c r="J1686" s="11" t="n"/>
      <c r="K1686" s="11" t="n"/>
      <c r="L1686" s="11" t="n"/>
      <c r="M1686" s="11" t="n"/>
      <c r="N1686" s="11" t="n"/>
      <c r="O1686" s="12" t="n"/>
    </row>
    <row r="1687">
      <c r="A1687" s="11" t="n"/>
      <c r="B1687" s="11" t="n"/>
      <c r="C1687" s="11" t="n"/>
      <c r="D1687" s="11" t="n"/>
      <c r="E1687" s="11" t="n"/>
      <c r="F1687" s="11" t="n"/>
      <c r="G1687" s="11" t="n"/>
      <c r="H1687" s="11" t="n"/>
      <c r="I1687" s="11" t="n"/>
      <c r="J1687" s="11" t="n"/>
      <c r="K1687" s="11" t="n"/>
      <c r="L1687" s="11" t="n"/>
      <c r="M1687" s="11" t="n"/>
      <c r="N1687" s="11" t="n"/>
      <c r="O1687" s="12" t="n"/>
    </row>
    <row r="1688">
      <c r="A1688" s="11" t="n"/>
      <c r="B1688" s="11" t="n"/>
      <c r="C1688" s="11" t="n"/>
      <c r="D1688" s="11" t="n"/>
      <c r="E1688" s="11" t="n"/>
      <c r="F1688" s="11" t="n"/>
      <c r="G1688" s="11" t="n"/>
      <c r="H1688" s="11" t="n"/>
      <c r="I1688" s="11" t="n"/>
      <c r="J1688" s="11" t="n"/>
      <c r="K1688" s="11" t="n"/>
      <c r="L1688" s="11" t="n"/>
      <c r="M1688" s="11" t="n"/>
      <c r="N1688" s="11" t="n"/>
      <c r="O1688" s="12" t="n"/>
    </row>
    <row r="1689">
      <c r="A1689" s="11" t="n"/>
      <c r="B1689" s="11" t="n"/>
      <c r="C1689" s="11" t="n"/>
      <c r="D1689" s="11" t="n"/>
      <c r="E1689" s="11" t="n"/>
      <c r="F1689" s="11" t="n"/>
      <c r="G1689" s="11" t="n"/>
      <c r="H1689" s="11" t="n"/>
      <c r="I1689" s="11" t="n"/>
      <c r="J1689" s="11" t="n"/>
      <c r="K1689" s="11" t="n"/>
      <c r="L1689" s="11" t="n"/>
      <c r="M1689" s="11" t="n"/>
      <c r="N1689" s="11" t="n"/>
      <c r="O1689" s="12" t="n"/>
    </row>
    <row r="1690">
      <c r="A1690" s="11" t="n"/>
      <c r="B1690" s="11" t="n"/>
      <c r="C1690" s="11" t="n"/>
      <c r="D1690" s="11" t="n"/>
      <c r="E1690" s="11" t="n"/>
      <c r="F1690" s="11" t="n"/>
      <c r="G1690" s="11" t="n"/>
      <c r="H1690" s="11" t="n"/>
      <c r="I1690" s="11" t="n"/>
      <c r="J1690" s="11" t="n"/>
      <c r="K1690" s="11" t="n"/>
      <c r="L1690" s="11" t="n"/>
      <c r="M1690" s="11" t="n"/>
      <c r="N1690" s="11" t="n"/>
      <c r="O1690" s="12" t="n"/>
    </row>
    <row r="1691">
      <c r="A1691" s="11" t="n"/>
      <c r="B1691" s="11" t="n"/>
      <c r="C1691" s="11" t="n"/>
      <c r="D1691" s="11" t="n"/>
      <c r="E1691" s="11" t="n"/>
      <c r="F1691" s="11" t="n"/>
      <c r="G1691" s="11" t="n"/>
      <c r="H1691" s="11" t="n"/>
      <c r="I1691" s="11" t="n"/>
      <c r="J1691" s="11" t="n"/>
      <c r="K1691" s="11" t="n"/>
      <c r="L1691" s="11" t="n"/>
      <c r="M1691" s="11" t="n"/>
      <c r="N1691" s="11" t="n"/>
      <c r="O1691" s="12" t="n"/>
    </row>
    <row r="1692">
      <c r="A1692" s="11" t="n"/>
      <c r="B1692" s="11" t="n"/>
      <c r="C1692" s="11" t="n"/>
      <c r="D1692" s="11" t="n"/>
      <c r="E1692" s="11" t="n"/>
      <c r="F1692" s="11" t="n"/>
      <c r="G1692" s="11" t="n"/>
      <c r="H1692" s="11" t="n"/>
      <c r="I1692" s="11" t="n"/>
      <c r="J1692" s="11" t="n"/>
      <c r="K1692" s="11" t="n"/>
      <c r="L1692" s="11" t="n"/>
      <c r="M1692" s="11" t="n"/>
      <c r="N1692" s="11" t="n"/>
      <c r="O1692" s="12" t="n"/>
    </row>
    <row r="1693">
      <c r="A1693" s="11" t="n"/>
      <c r="B1693" s="11" t="n"/>
      <c r="C1693" s="11" t="n"/>
      <c r="D1693" s="11" t="n"/>
      <c r="E1693" s="11" t="n"/>
      <c r="F1693" s="11" t="n"/>
      <c r="G1693" s="11" t="n"/>
      <c r="H1693" s="11" t="n"/>
      <c r="I1693" s="11" t="n"/>
      <c r="J1693" s="11" t="n"/>
      <c r="K1693" s="11" t="n"/>
      <c r="L1693" s="11" t="n"/>
      <c r="M1693" s="11" t="n"/>
      <c r="N1693" s="11" t="n"/>
      <c r="O1693" s="12" t="n"/>
    </row>
    <row r="1694">
      <c r="A1694" s="11" t="n"/>
      <c r="B1694" s="11" t="n"/>
      <c r="C1694" s="11" t="n"/>
      <c r="D1694" s="11" t="n"/>
      <c r="E1694" s="11" t="n"/>
      <c r="F1694" s="11" t="n"/>
      <c r="G1694" s="11" t="n"/>
      <c r="H1694" s="11" t="n"/>
      <c r="I1694" s="11" t="n"/>
      <c r="J1694" s="11" t="n"/>
      <c r="K1694" s="11" t="n"/>
      <c r="L1694" s="11" t="n"/>
      <c r="M1694" s="11" t="n"/>
      <c r="N1694" s="11" t="n"/>
      <c r="O1694" s="12" t="n"/>
    </row>
    <row r="1695">
      <c r="A1695" s="11" t="n"/>
      <c r="B1695" s="11" t="n"/>
      <c r="C1695" s="11" t="n"/>
      <c r="D1695" s="11" t="n"/>
      <c r="E1695" s="11" t="n"/>
      <c r="F1695" s="11" t="n"/>
      <c r="G1695" s="11" t="n"/>
      <c r="H1695" s="11" t="n"/>
      <c r="I1695" s="11" t="n"/>
      <c r="J1695" s="11" t="n"/>
      <c r="K1695" s="11" t="n"/>
      <c r="L1695" s="11" t="n"/>
      <c r="M1695" s="11" t="n"/>
      <c r="N1695" s="11" t="n"/>
      <c r="O1695" s="12" t="n"/>
    </row>
    <row r="1696">
      <c r="A1696" s="11" t="n"/>
      <c r="B1696" s="11" t="n"/>
      <c r="C1696" s="11" t="n"/>
      <c r="D1696" s="11" t="n"/>
      <c r="E1696" s="11" t="n"/>
      <c r="F1696" s="11" t="n"/>
      <c r="G1696" s="11" t="n"/>
      <c r="H1696" s="11" t="n"/>
      <c r="I1696" s="11" t="n"/>
      <c r="J1696" s="11" t="n"/>
      <c r="K1696" s="11" t="n"/>
      <c r="L1696" s="11" t="n"/>
      <c r="M1696" s="11" t="n"/>
      <c r="N1696" s="11" t="n"/>
      <c r="O1696" s="12" t="n"/>
    </row>
    <row r="1697">
      <c r="A1697" s="11" t="n"/>
      <c r="B1697" s="11" t="n"/>
      <c r="C1697" s="11" t="n"/>
      <c r="D1697" s="11" t="n"/>
      <c r="E1697" s="11" t="n"/>
      <c r="F1697" s="11" t="n"/>
      <c r="G1697" s="11" t="n"/>
      <c r="H1697" s="11" t="n"/>
      <c r="I1697" s="11" t="n"/>
      <c r="J1697" s="11" t="n"/>
      <c r="K1697" s="11" t="n"/>
      <c r="L1697" s="11" t="n"/>
      <c r="M1697" s="11" t="n"/>
      <c r="N1697" s="11" t="n"/>
      <c r="O1697" s="12" t="n"/>
    </row>
    <row r="1698">
      <c r="A1698" s="11" t="n"/>
      <c r="B1698" s="11" t="n"/>
      <c r="C1698" s="11" t="n"/>
      <c r="D1698" s="11" t="n"/>
      <c r="E1698" s="11" t="n"/>
      <c r="F1698" s="11" t="n"/>
      <c r="G1698" s="11" t="n"/>
      <c r="H1698" s="11" t="n"/>
      <c r="I1698" s="11" t="n"/>
      <c r="J1698" s="11" t="n"/>
      <c r="K1698" s="11" t="n"/>
      <c r="L1698" s="11" t="n"/>
      <c r="M1698" s="11" t="n"/>
      <c r="N1698" s="11" t="n"/>
      <c r="O1698" s="12" t="n"/>
    </row>
    <row r="1699">
      <c r="A1699" s="11" t="n"/>
      <c r="B1699" s="11" t="n"/>
      <c r="C1699" s="11" t="n"/>
      <c r="D1699" s="11" t="n"/>
      <c r="E1699" s="11" t="n"/>
      <c r="F1699" s="11" t="n"/>
      <c r="G1699" s="11" t="n"/>
      <c r="H1699" s="11" t="n"/>
      <c r="I1699" s="11" t="n"/>
      <c r="J1699" s="11" t="n"/>
      <c r="K1699" s="11" t="n"/>
      <c r="L1699" s="11" t="n"/>
      <c r="M1699" s="11" t="n"/>
      <c r="N1699" s="11" t="n"/>
      <c r="O1699" s="12" t="n"/>
    </row>
    <row r="1700">
      <c r="A1700" s="11" t="n"/>
      <c r="B1700" s="11" t="n"/>
      <c r="C1700" s="11" t="n"/>
      <c r="D1700" s="11" t="n"/>
      <c r="E1700" s="11" t="n"/>
      <c r="F1700" s="11" t="n"/>
      <c r="G1700" s="11" t="n"/>
      <c r="H1700" s="11" t="n"/>
      <c r="I1700" s="11" t="n"/>
      <c r="J1700" s="11" t="n"/>
      <c r="K1700" s="11" t="n"/>
      <c r="L1700" s="11" t="n"/>
      <c r="M1700" s="11" t="n"/>
      <c r="N1700" s="11" t="n"/>
      <c r="O1700" s="12" t="n"/>
    </row>
    <row r="1701">
      <c r="A1701" s="11" t="n"/>
      <c r="B1701" s="11" t="n"/>
      <c r="C1701" s="11" t="n"/>
      <c r="D1701" s="11" t="n"/>
      <c r="E1701" s="11" t="n"/>
      <c r="F1701" s="11" t="n"/>
      <c r="G1701" s="11" t="n"/>
      <c r="H1701" s="11" t="n"/>
      <c r="I1701" s="11" t="n"/>
      <c r="J1701" s="11" t="n"/>
      <c r="K1701" s="11" t="n"/>
      <c r="L1701" s="11" t="n"/>
      <c r="M1701" s="11" t="n"/>
      <c r="N1701" s="11" t="n"/>
      <c r="O1701" s="12" t="n"/>
    </row>
    <row r="1702">
      <c r="A1702" s="11" t="n"/>
      <c r="B1702" s="11" t="n"/>
      <c r="C1702" s="11" t="n"/>
      <c r="D1702" s="11" t="n"/>
      <c r="E1702" s="11" t="n"/>
      <c r="F1702" s="11" t="n"/>
      <c r="G1702" s="11" t="n"/>
      <c r="H1702" s="11" t="n"/>
      <c r="I1702" s="11" t="n"/>
      <c r="J1702" s="11" t="n"/>
      <c r="K1702" s="11" t="n"/>
      <c r="L1702" s="11" t="n"/>
      <c r="M1702" s="11" t="n"/>
      <c r="N1702" s="11" t="n"/>
      <c r="O1702" s="12" t="n"/>
    </row>
    <row r="1703">
      <c r="A1703" s="11" t="n"/>
      <c r="B1703" s="11" t="n"/>
      <c r="C1703" s="11" t="n"/>
      <c r="D1703" s="11" t="n"/>
      <c r="E1703" s="11" t="n"/>
      <c r="F1703" s="11" t="n"/>
      <c r="G1703" s="11" t="n"/>
      <c r="H1703" s="11" t="n"/>
      <c r="I1703" s="11" t="n"/>
      <c r="J1703" s="11" t="n"/>
      <c r="K1703" s="11" t="n"/>
      <c r="L1703" s="11" t="n"/>
      <c r="M1703" s="11" t="n"/>
      <c r="N1703" s="11" t="n"/>
      <c r="O1703" s="12" t="n"/>
    </row>
    <row r="1704">
      <c r="A1704" s="11" t="n"/>
      <c r="B1704" s="11" t="n"/>
      <c r="C1704" s="11" t="n"/>
      <c r="D1704" s="11" t="n"/>
      <c r="E1704" s="11" t="n"/>
      <c r="F1704" s="11" t="n"/>
      <c r="G1704" s="11" t="n"/>
      <c r="H1704" s="11" t="n"/>
      <c r="I1704" s="11" t="n"/>
      <c r="J1704" s="11" t="n"/>
      <c r="K1704" s="11" t="n"/>
      <c r="L1704" s="11" t="n"/>
      <c r="M1704" s="11" t="n"/>
      <c r="N1704" s="11" t="n"/>
      <c r="O1704" s="12" t="n"/>
    </row>
    <row r="1705">
      <c r="A1705" s="11" t="n"/>
      <c r="B1705" s="11" t="n"/>
      <c r="C1705" s="11" t="n"/>
      <c r="D1705" s="11" t="n"/>
      <c r="E1705" s="11" t="n"/>
      <c r="F1705" s="11" t="n"/>
      <c r="G1705" s="11" t="n"/>
      <c r="H1705" s="11" t="n"/>
      <c r="I1705" s="11" t="n"/>
      <c r="J1705" s="11" t="n"/>
      <c r="K1705" s="11" t="n"/>
      <c r="L1705" s="11" t="n"/>
      <c r="M1705" s="11" t="n"/>
      <c r="N1705" s="11" t="n"/>
      <c r="O1705" s="12" t="n"/>
    </row>
    <row r="1706">
      <c r="A1706" s="11" t="n"/>
      <c r="B1706" s="11" t="n"/>
      <c r="C1706" s="11" t="n"/>
      <c r="D1706" s="11" t="n"/>
      <c r="E1706" s="11" t="n"/>
      <c r="F1706" s="11" t="n"/>
      <c r="G1706" s="11" t="n"/>
      <c r="H1706" s="11" t="n"/>
      <c r="I1706" s="11" t="n"/>
      <c r="J1706" s="11" t="n"/>
      <c r="K1706" s="11" t="n"/>
      <c r="L1706" s="11" t="n"/>
      <c r="M1706" s="11" t="n"/>
      <c r="N1706" s="11" t="n"/>
      <c r="O1706" s="12" t="n"/>
    </row>
    <row r="1707">
      <c r="A1707" s="11" t="n"/>
      <c r="B1707" s="11" t="n"/>
      <c r="C1707" s="11" t="n"/>
      <c r="D1707" s="11" t="n"/>
      <c r="E1707" s="11" t="n"/>
      <c r="F1707" s="11" t="n"/>
      <c r="G1707" s="11" t="n"/>
      <c r="H1707" s="11" t="n"/>
      <c r="I1707" s="11" t="n"/>
      <c r="J1707" s="11" t="n"/>
      <c r="K1707" s="11" t="n"/>
      <c r="L1707" s="11" t="n"/>
      <c r="M1707" s="11" t="n"/>
      <c r="N1707" s="11" t="n"/>
      <c r="O1707" s="12" t="n"/>
    </row>
    <row r="1708">
      <c r="A1708" s="11" t="n"/>
      <c r="B1708" s="11" t="n"/>
      <c r="C1708" s="11" t="n"/>
      <c r="D1708" s="11" t="n"/>
      <c r="E1708" s="11" t="n"/>
      <c r="F1708" s="11" t="n"/>
      <c r="G1708" s="11" t="n"/>
      <c r="H1708" s="11" t="n"/>
      <c r="I1708" s="11" t="n"/>
      <c r="J1708" s="11" t="n"/>
      <c r="K1708" s="11" t="n"/>
      <c r="L1708" s="11" t="n"/>
      <c r="M1708" s="11" t="n"/>
      <c r="N1708" s="11" t="n"/>
      <c r="O1708" s="12" t="n"/>
    </row>
    <row r="1709">
      <c r="A1709" s="11" t="n"/>
      <c r="B1709" s="11" t="n"/>
      <c r="C1709" s="11" t="n"/>
      <c r="D1709" s="11" t="n"/>
      <c r="E1709" s="11" t="n"/>
      <c r="F1709" s="11" t="n"/>
      <c r="G1709" s="11" t="n"/>
      <c r="H1709" s="11" t="n"/>
      <c r="I1709" s="11" t="n"/>
      <c r="J1709" s="11" t="n"/>
      <c r="K1709" s="11" t="n"/>
      <c r="L1709" s="11" t="n"/>
      <c r="M1709" s="11" t="n"/>
      <c r="N1709" s="11" t="n"/>
      <c r="O1709" s="12" t="n"/>
    </row>
    <row r="1710">
      <c r="A1710" s="11" t="n"/>
      <c r="B1710" s="11" t="n"/>
      <c r="C1710" s="11" t="n"/>
      <c r="D1710" s="11" t="n"/>
      <c r="E1710" s="11" t="n"/>
      <c r="F1710" s="11" t="n"/>
      <c r="G1710" s="11" t="n"/>
      <c r="H1710" s="11" t="n"/>
      <c r="I1710" s="11" t="n"/>
      <c r="J1710" s="11" t="n"/>
      <c r="K1710" s="11" t="n"/>
      <c r="L1710" s="11" t="n"/>
      <c r="M1710" s="11" t="n"/>
      <c r="N1710" s="11" t="n"/>
      <c r="O1710" s="12" t="n"/>
    </row>
    <row r="1711">
      <c r="A1711" s="11" t="n"/>
      <c r="B1711" s="11" t="n"/>
      <c r="C1711" s="11" t="n"/>
      <c r="D1711" s="11" t="n"/>
      <c r="E1711" s="11" t="n"/>
      <c r="F1711" s="11" t="n"/>
      <c r="G1711" s="11" t="n"/>
      <c r="H1711" s="11" t="n"/>
      <c r="I1711" s="11" t="n"/>
      <c r="J1711" s="11" t="n"/>
      <c r="K1711" s="11" t="n"/>
      <c r="L1711" s="11" t="n"/>
      <c r="M1711" s="11" t="n"/>
      <c r="N1711" s="11" t="n"/>
      <c r="O1711" s="12" t="n"/>
    </row>
    <row r="1712">
      <c r="A1712" s="11" t="n"/>
      <c r="B1712" s="11" t="n"/>
      <c r="C1712" s="11" t="n"/>
      <c r="D1712" s="11" t="n"/>
      <c r="E1712" s="11" t="n"/>
      <c r="F1712" s="11" t="n"/>
      <c r="G1712" s="11" t="n"/>
      <c r="H1712" s="11" t="n"/>
      <c r="I1712" s="11" t="n"/>
      <c r="J1712" s="11" t="n"/>
      <c r="K1712" s="11" t="n"/>
      <c r="L1712" s="11" t="n"/>
      <c r="M1712" s="11" t="n"/>
      <c r="N1712" s="11" t="n"/>
      <c r="O1712" s="12" t="n"/>
    </row>
    <row r="1713">
      <c r="A1713" s="11" t="n"/>
      <c r="B1713" s="11" t="n"/>
      <c r="C1713" s="11" t="n"/>
      <c r="D1713" s="11" t="n"/>
      <c r="E1713" s="11" t="n"/>
      <c r="F1713" s="11" t="n"/>
      <c r="G1713" s="11" t="n"/>
      <c r="H1713" s="11" t="n"/>
      <c r="I1713" s="11" t="n"/>
      <c r="J1713" s="11" t="n"/>
      <c r="K1713" s="11" t="n"/>
      <c r="L1713" s="11" t="n"/>
      <c r="M1713" s="11" t="n"/>
      <c r="N1713" s="11" t="n"/>
      <c r="O1713" s="12" t="n"/>
    </row>
    <row r="1714">
      <c r="A1714" s="11" t="n"/>
      <c r="B1714" s="11" t="n"/>
      <c r="C1714" s="11" t="n"/>
      <c r="D1714" s="11" t="n"/>
      <c r="E1714" s="11" t="n"/>
      <c r="F1714" s="11" t="n"/>
      <c r="G1714" s="11" t="n"/>
      <c r="H1714" s="11" t="n"/>
      <c r="I1714" s="11" t="n"/>
      <c r="J1714" s="11" t="n"/>
      <c r="K1714" s="11" t="n"/>
      <c r="L1714" s="11" t="n"/>
      <c r="M1714" s="11" t="n"/>
      <c r="N1714" s="11" t="n"/>
      <c r="O1714" s="12" t="n"/>
    </row>
    <row r="1715">
      <c r="A1715" s="11" t="n"/>
      <c r="B1715" s="11" t="n"/>
      <c r="C1715" s="11" t="n"/>
      <c r="D1715" s="11" t="n"/>
      <c r="E1715" s="11" t="n"/>
      <c r="F1715" s="11" t="n"/>
      <c r="G1715" s="11" t="n"/>
      <c r="H1715" s="11" t="n"/>
      <c r="I1715" s="11" t="n"/>
      <c r="J1715" s="11" t="n"/>
      <c r="K1715" s="11" t="n"/>
      <c r="L1715" s="11" t="n"/>
      <c r="M1715" s="11" t="n"/>
      <c r="N1715" s="11" t="n"/>
      <c r="O1715" s="12" t="n"/>
    </row>
    <row r="1716">
      <c r="A1716" s="11" t="n"/>
      <c r="B1716" s="11" t="n"/>
      <c r="C1716" s="11" t="n"/>
      <c r="D1716" s="11" t="n"/>
      <c r="E1716" s="11" t="n"/>
      <c r="F1716" s="11" t="n"/>
      <c r="G1716" s="11" t="n"/>
      <c r="H1716" s="11" t="n"/>
      <c r="I1716" s="11" t="n"/>
      <c r="J1716" s="11" t="n"/>
      <c r="K1716" s="11" t="n"/>
      <c r="L1716" s="11" t="n"/>
      <c r="M1716" s="11" t="n"/>
      <c r="N1716" s="11" t="n"/>
      <c r="O1716" s="12" t="n"/>
    </row>
    <row r="1717">
      <c r="A1717" s="11" t="n"/>
      <c r="B1717" s="11" t="n"/>
      <c r="C1717" s="11" t="n"/>
      <c r="D1717" s="11" t="n"/>
      <c r="E1717" s="11" t="n"/>
      <c r="F1717" s="11" t="n"/>
      <c r="G1717" s="11" t="n"/>
      <c r="H1717" s="11" t="n"/>
      <c r="I1717" s="11" t="n"/>
      <c r="J1717" s="11" t="n"/>
      <c r="K1717" s="11" t="n"/>
      <c r="L1717" s="11" t="n"/>
      <c r="M1717" s="11" t="n"/>
      <c r="N1717" s="11" t="n"/>
      <c r="O1717" s="12" t="n"/>
    </row>
    <row r="1718">
      <c r="A1718" s="11" t="n"/>
      <c r="B1718" s="11" t="n"/>
      <c r="C1718" s="11" t="n"/>
      <c r="D1718" s="11" t="n"/>
      <c r="E1718" s="11" t="n"/>
      <c r="F1718" s="11" t="n"/>
      <c r="G1718" s="11" t="n"/>
      <c r="H1718" s="11" t="n"/>
      <c r="I1718" s="11" t="n"/>
      <c r="J1718" s="11" t="n"/>
      <c r="K1718" s="11" t="n"/>
      <c r="L1718" s="11" t="n"/>
      <c r="M1718" s="11" t="n"/>
      <c r="N1718" s="11" t="n"/>
      <c r="O1718" s="12" t="n"/>
    </row>
    <row r="1719">
      <c r="A1719" s="11" t="n"/>
      <c r="B1719" s="11" t="n"/>
      <c r="C1719" s="11" t="n"/>
      <c r="D1719" s="11" t="n"/>
      <c r="E1719" s="11" t="n"/>
      <c r="F1719" s="11" t="n"/>
      <c r="G1719" s="11" t="n"/>
      <c r="H1719" s="11" t="n"/>
      <c r="I1719" s="11" t="n"/>
      <c r="J1719" s="11" t="n"/>
      <c r="K1719" s="11" t="n"/>
      <c r="L1719" s="11" t="n"/>
      <c r="M1719" s="11" t="n"/>
      <c r="N1719" s="11" t="n"/>
      <c r="O1719" s="12" t="n"/>
    </row>
    <row r="1720">
      <c r="A1720" s="11" t="n"/>
      <c r="B1720" s="11" t="n"/>
      <c r="C1720" s="11" t="n"/>
      <c r="D1720" s="11" t="n"/>
      <c r="E1720" s="11" t="n"/>
      <c r="F1720" s="11" t="n"/>
      <c r="G1720" s="11" t="n"/>
      <c r="H1720" s="11" t="n"/>
      <c r="I1720" s="11" t="n"/>
      <c r="J1720" s="11" t="n"/>
      <c r="K1720" s="11" t="n"/>
      <c r="L1720" s="11" t="n"/>
      <c r="M1720" s="11" t="n"/>
      <c r="N1720" s="11" t="n"/>
      <c r="O1720" s="12" t="n"/>
    </row>
    <row r="1721">
      <c r="A1721" s="11" t="n"/>
      <c r="B1721" s="11" t="n"/>
      <c r="C1721" s="11" t="n"/>
      <c r="D1721" s="11" t="n"/>
      <c r="E1721" s="11" t="n"/>
      <c r="F1721" s="11" t="n"/>
      <c r="G1721" s="11" t="n"/>
      <c r="H1721" s="11" t="n"/>
      <c r="I1721" s="11" t="n"/>
      <c r="J1721" s="11" t="n"/>
      <c r="K1721" s="11" t="n"/>
      <c r="L1721" s="11" t="n"/>
      <c r="M1721" s="11" t="n"/>
      <c r="N1721" s="11" t="n"/>
      <c r="O1721" s="12" t="n"/>
    </row>
    <row r="1722">
      <c r="A1722" s="11" t="n"/>
      <c r="B1722" s="11" t="n"/>
      <c r="C1722" s="11" t="n"/>
      <c r="D1722" s="11" t="n"/>
      <c r="E1722" s="11" t="n"/>
      <c r="F1722" s="11" t="n"/>
      <c r="G1722" s="11" t="n"/>
      <c r="H1722" s="11" t="n"/>
      <c r="I1722" s="11" t="n"/>
      <c r="J1722" s="11" t="n"/>
      <c r="K1722" s="11" t="n"/>
      <c r="L1722" s="11" t="n"/>
      <c r="M1722" s="11" t="n"/>
      <c r="N1722" s="11" t="n"/>
      <c r="O1722" s="12" t="n"/>
    </row>
    <row r="1723">
      <c r="A1723" s="11" t="n"/>
      <c r="B1723" s="11" t="n"/>
      <c r="C1723" s="11" t="n"/>
      <c r="D1723" s="11" t="n"/>
      <c r="E1723" s="11" t="n"/>
      <c r="F1723" s="11" t="n"/>
      <c r="G1723" s="11" t="n"/>
      <c r="H1723" s="11" t="n"/>
      <c r="I1723" s="11" t="n"/>
      <c r="J1723" s="11" t="n"/>
      <c r="K1723" s="11" t="n"/>
      <c r="L1723" s="11" t="n"/>
      <c r="M1723" s="11" t="n"/>
      <c r="N1723" s="11" t="n"/>
      <c r="O1723" s="12" t="n"/>
    </row>
    <row r="1724">
      <c r="A1724" s="11" t="n"/>
      <c r="B1724" s="11" t="n"/>
      <c r="C1724" s="11" t="n"/>
      <c r="D1724" s="11" t="n"/>
      <c r="E1724" s="11" t="n"/>
      <c r="F1724" s="11" t="n"/>
      <c r="G1724" s="11" t="n"/>
      <c r="H1724" s="11" t="n"/>
      <c r="I1724" s="11" t="n"/>
      <c r="J1724" s="11" t="n"/>
      <c r="K1724" s="11" t="n"/>
      <c r="L1724" s="11" t="n"/>
      <c r="M1724" s="11" t="n"/>
      <c r="N1724" s="11" t="n"/>
      <c r="O1724" s="12" t="n"/>
    </row>
    <row r="1725">
      <c r="A1725" s="11" t="n"/>
      <c r="B1725" s="11" t="n"/>
      <c r="C1725" s="11" t="n"/>
      <c r="D1725" s="11" t="n"/>
      <c r="E1725" s="11" t="n"/>
      <c r="F1725" s="11" t="n"/>
      <c r="G1725" s="11" t="n"/>
      <c r="H1725" s="11" t="n"/>
      <c r="I1725" s="11" t="n"/>
      <c r="J1725" s="11" t="n"/>
      <c r="K1725" s="11" t="n"/>
      <c r="L1725" s="11" t="n"/>
      <c r="M1725" s="11" t="n"/>
      <c r="N1725" s="11" t="n"/>
      <c r="O1725" s="12" t="n"/>
    </row>
    <row r="1726">
      <c r="A1726" s="11" t="n"/>
      <c r="B1726" s="11" t="n"/>
      <c r="C1726" s="11" t="n"/>
      <c r="D1726" s="11" t="n"/>
      <c r="E1726" s="11" t="n"/>
      <c r="F1726" s="11" t="n"/>
      <c r="G1726" s="11" t="n"/>
      <c r="H1726" s="11" t="n"/>
      <c r="I1726" s="11" t="n"/>
      <c r="J1726" s="11" t="n"/>
      <c r="K1726" s="11" t="n"/>
      <c r="L1726" s="11" t="n"/>
      <c r="M1726" s="11" t="n"/>
      <c r="N1726" s="11" t="n"/>
      <c r="O1726" s="12" t="n"/>
    </row>
    <row r="1727">
      <c r="A1727" s="11" t="n"/>
      <c r="B1727" s="11" t="n"/>
      <c r="C1727" s="11" t="n"/>
      <c r="D1727" s="11" t="n"/>
      <c r="E1727" s="11" t="n"/>
      <c r="F1727" s="11" t="n"/>
      <c r="G1727" s="11" t="n"/>
      <c r="H1727" s="11" t="n"/>
      <c r="I1727" s="11" t="n"/>
      <c r="J1727" s="11" t="n"/>
      <c r="K1727" s="11" t="n"/>
      <c r="L1727" s="11" t="n"/>
      <c r="M1727" s="11" t="n"/>
      <c r="N1727" s="11" t="n"/>
      <c r="O1727" s="12" t="n"/>
    </row>
    <row r="1728">
      <c r="A1728" s="11" t="n"/>
      <c r="B1728" s="11" t="n"/>
      <c r="C1728" s="11" t="n"/>
      <c r="D1728" s="11" t="n"/>
      <c r="E1728" s="11" t="n"/>
      <c r="F1728" s="11" t="n"/>
      <c r="G1728" s="11" t="n"/>
      <c r="H1728" s="11" t="n"/>
      <c r="I1728" s="11" t="n"/>
      <c r="J1728" s="11" t="n"/>
      <c r="K1728" s="11" t="n"/>
      <c r="L1728" s="11" t="n"/>
      <c r="M1728" s="11" t="n"/>
      <c r="N1728" s="11" t="n"/>
      <c r="O1728" s="12" t="n"/>
    </row>
    <row r="1729">
      <c r="A1729" s="11" t="n"/>
      <c r="B1729" s="11" t="n"/>
      <c r="C1729" s="11" t="n"/>
      <c r="D1729" s="11" t="n"/>
      <c r="E1729" s="11" t="n"/>
      <c r="F1729" s="11" t="n"/>
      <c r="G1729" s="11" t="n"/>
      <c r="H1729" s="11" t="n"/>
      <c r="I1729" s="11" t="n"/>
      <c r="J1729" s="11" t="n"/>
      <c r="K1729" s="11" t="n"/>
      <c r="L1729" s="11" t="n"/>
      <c r="M1729" s="11" t="n"/>
      <c r="N1729" s="11" t="n"/>
      <c r="O1729" s="12" t="n"/>
    </row>
    <row r="1730">
      <c r="A1730" s="11" t="n"/>
      <c r="B1730" s="11" t="n"/>
      <c r="C1730" s="11" t="n"/>
      <c r="D1730" s="11" t="n"/>
      <c r="E1730" s="11" t="n"/>
      <c r="F1730" s="11" t="n"/>
      <c r="G1730" s="11" t="n"/>
      <c r="H1730" s="11" t="n"/>
      <c r="I1730" s="11" t="n"/>
      <c r="J1730" s="11" t="n"/>
      <c r="K1730" s="11" t="n"/>
      <c r="L1730" s="11" t="n"/>
      <c r="M1730" s="11" t="n"/>
      <c r="N1730" s="11" t="n"/>
      <c r="O1730" s="12" t="n"/>
    </row>
    <row r="1731">
      <c r="A1731" s="11" t="n"/>
      <c r="B1731" s="11" t="n"/>
      <c r="C1731" s="11" t="n"/>
      <c r="D1731" s="11" t="n"/>
      <c r="E1731" s="11" t="n"/>
      <c r="F1731" s="11" t="n"/>
      <c r="G1731" s="11" t="n"/>
      <c r="H1731" s="11" t="n"/>
      <c r="I1731" s="11" t="n"/>
      <c r="J1731" s="11" t="n"/>
      <c r="K1731" s="11" t="n"/>
      <c r="L1731" s="11" t="n"/>
      <c r="M1731" s="11" t="n"/>
      <c r="N1731" s="11" t="n"/>
      <c r="O1731" s="12" t="n"/>
    </row>
    <row r="1732">
      <c r="A1732" s="11" t="n"/>
      <c r="B1732" s="11" t="n"/>
      <c r="C1732" s="11" t="n"/>
      <c r="D1732" s="11" t="n"/>
      <c r="E1732" s="11" t="n"/>
      <c r="F1732" s="11" t="n"/>
      <c r="G1732" s="11" t="n"/>
      <c r="H1732" s="11" t="n"/>
      <c r="I1732" s="11" t="n"/>
      <c r="J1732" s="11" t="n"/>
      <c r="K1732" s="11" t="n"/>
      <c r="L1732" s="11" t="n"/>
      <c r="M1732" s="11" t="n"/>
      <c r="N1732" s="11" t="n"/>
      <c r="O1732" s="12" t="n"/>
    </row>
    <row r="1733">
      <c r="A1733" s="11" t="n"/>
      <c r="B1733" s="11" t="n"/>
      <c r="C1733" s="11" t="n"/>
      <c r="D1733" s="11" t="n"/>
      <c r="E1733" s="11" t="n"/>
      <c r="F1733" s="11" t="n"/>
      <c r="G1733" s="11" t="n"/>
      <c r="H1733" s="11" t="n"/>
      <c r="I1733" s="11" t="n"/>
      <c r="J1733" s="11" t="n"/>
      <c r="K1733" s="11" t="n"/>
      <c r="L1733" s="11" t="n"/>
      <c r="M1733" s="11" t="n"/>
      <c r="N1733" s="11" t="n"/>
      <c r="O1733" s="12" t="n"/>
    </row>
    <row r="1734">
      <c r="A1734" s="11" t="n"/>
      <c r="B1734" s="11" t="n"/>
      <c r="C1734" s="11" t="n"/>
      <c r="D1734" s="11" t="n"/>
      <c r="E1734" s="11" t="n"/>
      <c r="F1734" s="11" t="n"/>
      <c r="G1734" s="11" t="n"/>
      <c r="H1734" s="11" t="n"/>
      <c r="I1734" s="11" t="n"/>
      <c r="J1734" s="11" t="n"/>
      <c r="K1734" s="11" t="n"/>
      <c r="L1734" s="11" t="n"/>
      <c r="M1734" s="11" t="n"/>
      <c r="N1734" s="11" t="n"/>
      <c r="O1734" s="12" t="n"/>
    </row>
    <row r="1735">
      <c r="A1735" s="11" t="n"/>
      <c r="B1735" s="11" t="n"/>
      <c r="C1735" s="11" t="n"/>
      <c r="D1735" s="11" t="n"/>
      <c r="E1735" s="11" t="n"/>
      <c r="F1735" s="11" t="n"/>
      <c r="G1735" s="11" t="n"/>
      <c r="H1735" s="11" t="n"/>
      <c r="I1735" s="11" t="n"/>
      <c r="J1735" s="11" t="n"/>
      <c r="K1735" s="11" t="n"/>
      <c r="L1735" s="11" t="n"/>
      <c r="M1735" s="11" t="n"/>
      <c r="N1735" s="11" t="n"/>
      <c r="O1735" s="12" t="n"/>
    </row>
    <row r="1736">
      <c r="A1736" s="11" t="n"/>
      <c r="B1736" s="11" t="n"/>
      <c r="C1736" s="11" t="n"/>
      <c r="D1736" s="11" t="n"/>
      <c r="E1736" s="11" t="n"/>
      <c r="F1736" s="11" t="n"/>
      <c r="G1736" s="11" t="n"/>
      <c r="H1736" s="11" t="n"/>
      <c r="I1736" s="11" t="n"/>
      <c r="J1736" s="11" t="n"/>
      <c r="K1736" s="11" t="n"/>
      <c r="L1736" s="11" t="n"/>
      <c r="M1736" s="11" t="n"/>
      <c r="N1736" s="11" t="n"/>
      <c r="O1736" s="12" t="n"/>
    </row>
    <row r="1737">
      <c r="A1737" s="11" t="n"/>
      <c r="B1737" s="11" t="n"/>
      <c r="C1737" s="11" t="n"/>
      <c r="D1737" s="11" t="n"/>
      <c r="E1737" s="11" t="n"/>
      <c r="F1737" s="11" t="n"/>
      <c r="G1737" s="11" t="n"/>
      <c r="H1737" s="11" t="n"/>
      <c r="I1737" s="11" t="n"/>
      <c r="J1737" s="11" t="n"/>
      <c r="K1737" s="11" t="n"/>
      <c r="L1737" s="11" t="n"/>
      <c r="M1737" s="11" t="n"/>
      <c r="N1737" s="11" t="n"/>
      <c r="O1737" s="12" t="n"/>
    </row>
    <row r="1738">
      <c r="A1738" s="11" t="n"/>
      <c r="B1738" s="11" t="n"/>
      <c r="C1738" s="11" t="n"/>
      <c r="D1738" s="11" t="n"/>
      <c r="E1738" s="11" t="n"/>
      <c r="F1738" s="11" t="n"/>
      <c r="G1738" s="11" t="n"/>
      <c r="H1738" s="11" t="n"/>
      <c r="I1738" s="11" t="n"/>
      <c r="J1738" s="11" t="n"/>
      <c r="K1738" s="11" t="n"/>
      <c r="L1738" s="11" t="n"/>
      <c r="M1738" s="11" t="n"/>
      <c r="N1738" s="11" t="n"/>
      <c r="O1738" s="12" t="n"/>
    </row>
    <row r="1739">
      <c r="A1739" s="11" t="n"/>
      <c r="B1739" s="11" t="n"/>
      <c r="C1739" s="11" t="n"/>
      <c r="D1739" s="11" t="n"/>
      <c r="E1739" s="11" t="n"/>
      <c r="F1739" s="11" t="n"/>
      <c r="G1739" s="11" t="n"/>
      <c r="H1739" s="11" t="n"/>
      <c r="I1739" s="11" t="n"/>
      <c r="J1739" s="11" t="n"/>
      <c r="K1739" s="11" t="n"/>
      <c r="L1739" s="11" t="n"/>
      <c r="M1739" s="11" t="n"/>
      <c r="N1739" s="11" t="n"/>
      <c r="O1739" s="12" t="n"/>
    </row>
    <row r="1740">
      <c r="A1740" s="11" t="n"/>
      <c r="B1740" s="11" t="n"/>
      <c r="C1740" s="11" t="n"/>
      <c r="D1740" s="11" t="n"/>
      <c r="E1740" s="11" t="n"/>
      <c r="F1740" s="11" t="n"/>
      <c r="G1740" s="11" t="n"/>
      <c r="H1740" s="11" t="n"/>
      <c r="I1740" s="11" t="n"/>
      <c r="J1740" s="11" t="n"/>
      <c r="K1740" s="11" t="n"/>
      <c r="L1740" s="11" t="n"/>
      <c r="M1740" s="11" t="n"/>
      <c r="N1740" s="11" t="n"/>
      <c r="O1740" s="12" t="n"/>
    </row>
    <row r="1741">
      <c r="A1741" s="11" t="n"/>
      <c r="B1741" s="11" t="n"/>
      <c r="C1741" s="11" t="n"/>
      <c r="D1741" s="11" t="n"/>
      <c r="E1741" s="11" t="n"/>
      <c r="F1741" s="11" t="n"/>
      <c r="G1741" s="11" t="n"/>
      <c r="H1741" s="11" t="n"/>
      <c r="I1741" s="11" t="n"/>
      <c r="J1741" s="11" t="n"/>
      <c r="K1741" s="11" t="n"/>
      <c r="L1741" s="11" t="n"/>
      <c r="M1741" s="11" t="n"/>
      <c r="N1741" s="11" t="n"/>
      <c r="O1741" s="12" t="n"/>
    </row>
    <row r="1742">
      <c r="A1742" s="11" t="n"/>
      <c r="B1742" s="11" t="n"/>
      <c r="C1742" s="11" t="n"/>
      <c r="D1742" s="11" t="n"/>
      <c r="E1742" s="11" t="n"/>
      <c r="F1742" s="11" t="n"/>
      <c r="G1742" s="11" t="n"/>
      <c r="H1742" s="11" t="n"/>
      <c r="I1742" s="11" t="n"/>
      <c r="J1742" s="11" t="n"/>
      <c r="K1742" s="11" t="n"/>
      <c r="L1742" s="11" t="n"/>
      <c r="M1742" s="11" t="n"/>
      <c r="N1742" s="11" t="n"/>
      <c r="O1742" s="12" t="n"/>
    </row>
    <row r="1743">
      <c r="A1743" s="11" t="n"/>
      <c r="B1743" s="11" t="n"/>
      <c r="C1743" s="11" t="n"/>
      <c r="D1743" s="11" t="n"/>
      <c r="E1743" s="11" t="n"/>
      <c r="F1743" s="11" t="n"/>
      <c r="G1743" s="11" t="n"/>
      <c r="H1743" s="11" t="n"/>
      <c r="I1743" s="11" t="n"/>
      <c r="J1743" s="11" t="n"/>
      <c r="K1743" s="11" t="n"/>
      <c r="L1743" s="11" t="n"/>
      <c r="M1743" s="11" t="n"/>
      <c r="N1743" s="11" t="n"/>
      <c r="O1743" s="12" t="n"/>
    </row>
    <row r="1744">
      <c r="A1744" s="11" t="n"/>
      <c r="B1744" s="11" t="n"/>
      <c r="C1744" s="11" t="n"/>
      <c r="D1744" s="11" t="n"/>
      <c r="E1744" s="11" t="n"/>
      <c r="F1744" s="11" t="n"/>
      <c r="G1744" s="11" t="n"/>
      <c r="H1744" s="11" t="n"/>
      <c r="I1744" s="11" t="n"/>
      <c r="J1744" s="11" t="n"/>
      <c r="K1744" s="11" t="n"/>
      <c r="L1744" s="11" t="n"/>
      <c r="M1744" s="11" t="n"/>
      <c r="N1744" s="11" t="n"/>
      <c r="O1744" s="12" t="n"/>
    </row>
    <row r="1745">
      <c r="A1745" s="11" t="n"/>
      <c r="B1745" s="11" t="n"/>
      <c r="C1745" s="11" t="n"/>
      <c r="D1745" s="11" t="n"/>
      <c r="E1745" s="11" t="n"/>
      <c r="F1745" s="11" t="n"/>
      <c r="G1745" s="11" t="n"/>
      <c r="H1745" s="11" t="n"/>
      <c r="I1745" s="11" t="n"/>
      <c r="J1745" s="11" t="n"/>
      <c r="K1745" s="11" t="n"/>
      <c r="L1745" s="11" t="n"/>
      <c r="M1745" s="11" t="n"/>
      <c r="N1745" s="11" t="n"/>
      <c r="O1745" s="12" t="n"/>
    </row>
    <row r="1746">
      <c r="A1746" s="11" t="n"/>
      <c r="B1746" s="11" t="n"/>
      <c r="C1746" s="11" t="n"/>
      <c r="D1746" s="11" t="n"/>
      <c r="E1746" s="11" t="n"/>
      <c r="F1746" s="11" t="n"/>
      <c r="G1746" s="11" t="n"/>
      <c r="H1746" s="11" t="n"/>
      <c r="I1746" s="11" t="n"/>
      <c r="J1746" s="11" t="n"/>
      <c r="K1746" s="11" t="n"/>
      <c r="L1746" s="11" t="n"/>
      <c r="M1746" s="11" t="n"/>
      <c r="N1746" s="11" t="n"/>
      <c r="O1746" s="12" t="n"/>
    </row>
    <row r="1747">
      <c r="A1747" s="11" t="n"/>
      <c r="B1747" s="11" t="n"/>
      <c r="C1747" s="11" t="n"/>
      <c r="D1747" s="11" t="n"/>
      <c r="E1747" s="11" t="n"/>
      <c r="F1747" s="11" t="n"/>
      <c r="G1747" s="11" t="n"/>
      <c r="H1747" s="11" t="n"/>
      <c r="I1747" s="11" t="n"/>
      <c r="J1747" s="11" t="n"/>
      <c r="K1747" s="11" t="n"/>
      <c r="L1747" s="11" t="n"/>
      <c r="M1747" s="11" t="n"/>
      <c r="N1747" s="11" t="n"/>
      <c r="O1747" s="12" t="n"/>
    </row>
    <row r="1748">
      <c r="A1748" s="11" t="n"/>
      <c r="B1748" s="11" t="n"/>
      <c r="C1748" s="11" t="n"/>
      <c r="D1748" s="11" t="n"/>
      <c r="E1748" s="11" t="n"/>
      <c r="F1748" s="11" t="n"/>
      <c r="G1748" s="11" t="n"/>
      <c r="H1748" s="11" t="n"/>
      <c r="I1748" s="11" t="n"/>
      <c r="J1748" s="11" t="n"/>
      <c r="K1748" s="11" t="n"/>
      <c r="L1748" s="11" t="n"/>
      <c r="M1748" s="11" t="n"/>
      <c r="N1748" s="11" t="n"/>
      <c r="O1748" s="12" t="n"/>
    </row>
    <row r="1749">
      <c r="A1749" s="11" t="n"/>
      <c r="B1749" s="11" t="n"/>
      <c r="C1749" s="11" t="n"/>
      <c r="D1749" s="11" t="n"/>
      <c r="E1749" s="11" t="n"/>
      <c r="F1749" s="11" t="n"/>
      <c r="G1749" s="11" t="n"/>
      <c r="H1749" s="11" t="n"/>
      <c r="I1749" s="11" t="n"/>
      <c r="J1749" s="11" t="n"/>
      <c r="K1749" s="11" t="n"/>
      <c r="L1749" s="11" t="n"/>
      <c r="M1749" s="11" t="n"/>
      <c r="N1749" s="11" t="n"/>
      <c r="O1749" s="12" t="n"/>
    </row>
    <row r="1750">
      <c r="A1750" s="11" t="n"/>
      <c r="B1750" s="11" t="n"/>
      <c r="C1750" s="11" t="n"/>
      <c r="D1750" s="11" t="n"/>
      <c r="E1750" s="11" t="n"/>
      <c r="F1750" s="11" t="n"/>
      <c r="G1750" s="11" t="n"/>
      <c r="H1750" s="11" t="n"/>
      <c r="I1750" s="11" t="n"/>
      <c r="J1750" s="11" t="n"/>
      <c r="K1750" s="11" t="n"/>
      <c r="L1750" s="11" t="n"/>
      <c r="M1750" s="11" t="n"/>
      <c r="N1750" s="11" t="n"/>
      <c r="O1750" s="12" t="n"/>
    </row>
    <row r="1751">
      <c r="A1751" s="11" t="n"/>
      <c r="B1751" s="11" t="n"/>
      <c r="C1751" s="11" t="n"/>
      <c r="D1751" s="11" t="n"/>
      <c r="E1751" s="11" t="n"/>
      <c r="F1751" s="11" t="n"/>
      <c r="G1751" s="11" t="n"/>
      <c r="H1751" s="11" t="n"/>
      <c r="I1751" s="11" t="n"/>
      <c r="J1751" s="11" t="n"/>
      <c r="K1751" s="11" t="n"/>
      <c r="L1751" s="11" t="n"/>
      <c r="M1751" s="11" t="n"/>
      <c r="N1751" s="11" t="n"/>
      <c r="O1751" s="12" t="n"/>
    </row>
    <row r="1752">
      <c r="A1752" s="11" t="n"/>
      <c r="B1752" s="11" t="n"/>
      <c r="C1752" s="11" t="n"/>
      <c r="D1752" s="11" t="n"/>
      <c r="E1752" s="11" t="n"/>
      <c r="F1752" s="11" t="n"/>
      <c r="G1752" s="11" t="n"/>
      <c r="H1752" s="11" t="n"/>
      <c r="I1752" s="11" t="n"/>
      <c r="J1752" s="11" t="n"/>
      <c r="K1752" s="11" t="n"/>
      <c r="L1752" s="11" t="n"/>
      <c r="M1752" s="11" t="n"/>
      <c r="N1752" s="11" t="n"/>
      <c r="O1752" s="12" t="n"/>
    </row>
    <row r="1753">
      <c r="A1753" s="11" t="n"/>
      <c r="B1753" s="11" t="n"/>
      <c r="C1753" s="11" t="n"/>
      <c r="D1753" s="11" t="n"/>
      <c r="E1753" s="11" t="n"/>
      <c r="F1753" s="11" t="n"/>
      <c r="G1753" s="11" t="n"/>
      <c r="H1753" s="11" t="n"/>
      <c r="I1753" s="11" t="n"/>
      <c r="J1753" s="11" t="n"/>
      <c r="K1753" s="11" t="n"/>
      <c r="L1753" s="11" t="n"/>
      <c r="M1753" s="11" t="n"/>
      <c r="N1753" s="11" t="n"/>
      <c r="O1753" s="12" t="n"/>
    </row>
    <row r="1754">
      <c r="A1754" s="11" t="n"/>
      <c r="B1754" s="11" t="n"/>
      <c r="C1754" s="11" t="n"/>
      <c r="D1754" s="11" t="n"/>
      <c r="E1754" s="11" t="n"/>
      <c r="F1754" s="11" t="n"/>
      <c r="G1754" s="11" t="n"/>
      <c r="H1754" s="11" t="n"/>
      <c r="I1754" s="11" t="n"/>
      <c r="J1754" s="11" t="n"/>
      <c r="K1754" s="11" t="n"/>
      <c r="L1754" s="11" t="n"/>
      <c r="M1754" s="11" t="n"/>
      <c r="N1754" s="11" t="n"/>
      <c r="O1754" s="12" t="n"/>
    </row>
    <row r="1755">
      <c r="A1755" s="11" t="n"/>
      <c r="B1755" s="11" t="n"/>
      <c r="C1755" s="11" t="n"/>
      <c r="D1755" s="11" t="n"/>
      <c r="E1755" s="11" t="n"/>
      <c r="F1755" s="11" t="n"/>
      <c r="G1755" s="11" t="n"/>
      <c r="H1755" s="11" t="n"/>
      <c r="I1755" s="11" t="n"/>
      <c r="J1755" s="11" t="n"/>
      <c r="K1755" s="11" t="n"/>
      <c r="L1755" s="11" t="n"/>
      <c r="M1755" s="11" t="n"/>
      <c r="N1755" s="11" t="n"/>
      <c r="O1755" s="12" t="n"/>
    </row>
    <row r="1756">
      <c r="A1756" s="11" t="n"/>
      <c r="B1756" s="11" t="n"/>
      <c r="C1756" s="11" t="n"/>
      <c r="D1756" s="11" t="n"/>
      <c r="E1756" s="11" t="n"/>
      <c r="F1756" s="11" t="n"/>
      <c r="G1756" s="11" t="n"/>
      <c r="H1756" s="11" t="n"/>
      <c r="I1756" s="11" t="n"/>
      <c r="J1756" s="11" t="n"/>
      <c r="K1756" s="11" t="n"/>
      <c r="L1756" s="11" t="n"/>
      <c r="M1756" s="11" t="n"/>
      <c r="N1756" s="11" t="n"/>
      <c r="O1756" s="12" t="n"/>
    </row>
    <row r="1757">
      <c r="A1757" s="11" t="n"/>
      <c r="B1757" s="11" t="n"/>
      <c r="C1757" s="11" t="n"/>
      <c r="D1757" s="11" t="n"/>
      <c r="E1757" s="11" t="n"/>
      <c r="F1757" s="11" t="n"/>
      <c r="G1757" s="11" t="n"/>
      <c r="H1757" s="11" t="n"/>
      <c r="I1757" s="11" t="n"/>
      <c r="J1757" s="11" t="n"/>
      <c r="K1757" s="11" t="n"/>
      <c r="L1757" s="11" t="n"/>
      <c r="M1757" s="11" t="n"/>
      <c r="N1757" s="11" t="n"/>
      <c r="O1757" s="12" t="n"/>
    </row>
    <row r="1758">
      <c r="A1758" s="11" t="n"/>
      <c r="B1758" s="11" t="n"/>
      <c r="C1758" s="11" t="n"/>
      <c r="D1758" s="11" t="n"/>
      <c r="E1758" s="11" t="n"/>
      <c r="F1758" s="11" t="n"/>
      <c r="G1758" s="11" t="n"/>
      <c r="H1758" s="11" t="n"/>
      <c r="I1758" s="11" t="n"/>
      <c r="J1758" s="11" t="n"/>
      <c r="K1758" s="11" t="n"/>
      <c r="L1758" s="11" t="n"/>
      <c r="M1758" s="11" t="n"/>
      <c r="N1758" s="11" t="n"/>
      <c r="O1758" s="12" t="n"/>
    </row>
    <row r="1759">
      <c r="A1759" s="11" t="n"/>
      <c r="B1759" s="11" t="n"/>
      <c r="C1759" s="11" t="n"/>
      <c r="D1759" s="11" t="n"/>
      <c r="E1759" s="11" t="n"/>
      <c r="F1759" s="11" t="n"/>
      <c r="G1759" s="11" t="n"/>
      <c r="H1759" s="11" t="n"/>
      <c r="I1759" s="11" t="n"/>
      <c r="J1759" s="11" t="n"/>
      <c r="K1759" s="11" t="n"/>
      <c r="L1759" s="11" t="n"/>
      <c r="M1759" s="11" t="n"/>
      <c r="N1759" s="11" t="n"/>
      <c r="O1759" s="12" t="n"/>
    </row>
    <row r="1760">
      <c r="A1760" s="11" t="n"/>
      <c r="B1760" s="11" t="n"/>
      <c r="C1760" s="11" t="n"/>
      <c r="D1760" s="11" t="n"/>
      <c r="E1760" s="11" t="n"/>
      <c r="F1760" s="11" t="n"/>
      <c r="G1760" s="11" t="n"/>
      <c r="H1760" s="11" t="n"/>
      <c r="I1760" s="11" t="n"/>
      <c r="J1760" s="11" t="n"/>
      <c r="K1760" s="11" t="n"/>
      <c r="L1760" s="11" t="n"/>
      <c r="M1760" s="11" t="n"/>
      <c r="N1760" s="11" t="n"/>
      <c r="O1760" s="12" t="n"/>
    </row>
    <row r="1761">
      <c r="A1761" s="11" t="n"/>
      <c r="B1761" s="11" t="n"/>
      <c r="C1761" s="11" t="n"/>
      <c r="D1761" s="11" t="n"/>
      <c r="E1761" s="11" t="n"/>
      <c r="F1761" s="11" t="n"/>
      <c r="G1761" s="11" t="n"/>
      <c r="H1761" s="11" t="n"/>
      <c r="I1761" s="11" t="n"/>
      <c r="J1761" s="11" t="n"/>
      <c r="K1761" s="11" t="n"/>
      <c r="L1761" s="11" t="n"/>
      <c r="M1761" s="11" t="n"/>
      <c r="N1761" s="11" t="n"/>
      <c r="O1761" s="12" t="n"/>
    </row>
    <row r="1762">
      <c r="A1762" s="11" t="n"/>
      <c r="B1762" s="11" t="n"/>
      <c r="C1762" s="11" t="n"/>
      <c r="D1762" s="11" t="n"/>
      <c r="E1762" s="11" t="n"/>
      <c r="F1762" s="11" t="n"/>
      <c r="G1762" s="11" t="n"/>
      <c r="H1762" s="11" t="n"/>
      <c r="I1762" s="11" t="n"/>
      <c r="J1762" s="11" t="n"/>
      <c r="K1762" s="11" t="n"/>
      <c r="L1762" s="11" t="n"/>
      <c r="M1762" s="11" t="n"/>
      <c r="N1762" s="11" t="n"/>
      <c r="O1762" s="12" t="n"/>
    </row>
    <row r="1763">
      <c r="A1763" s="11" t="n"/>
      <c r="B1763" s="11" t="n"/>
      <c r="C1763" s="11" t="n"/>
      <c r="D1763" s="11" t="n"/>
      <c r="E1763" s="11" t="n"/>
      <c r="F1763" s="11" t="n"/>
      <c r="G1763" s="11" t="n"/>
      <c r="H1763" s="11" t="n"/>
      <c r="I1763" s="11" t="n"/>
      <c r="J1763" s="11" t="n"/>
      <c r="K1763" s="11" t="n"/>
      <c r="L1763" s="11" t="n"/>
      <c r="M1763" s="11" t="n"/>
      <c r="N1763" s="11" t="n"/>
      <c r="O1763" s="12" t="n"/>
    </row>
    <row r="1764">
      <c r="A1764" s="11" t="n"/>
      <c r="B1764" s="11" t="n"/>
      <c r="C1764" s="11" t="n"/>
      <c r="D1764" s="11" t="n"/>
      <c r="E1764" s="11" t="n"/>
      <c r="F1764" s="11" t="n"/>
      <c r="G1764" s="11" t="n"/>
      <c r="H1764" s="11" t="n"/>
      <c r="I1764" s="11" t="n"/>
      <c r="J1764" s="11" t="n"/>
      <c r="K1764" s="11" t="n"/>
      <c r="L1764" s="11" t="n"/>
      <c r="M1764" s="11" t="n"/>
      <c r="N1764" s="11" t="n"/>
      <c r="O1764" s="12" t="n"/>
    </row>
    <row r="1765">
      <c r="A1765" s="11" t="n"/>
      <c r="B1765" s="11" t="n"/>
      <c r="C1765" s="11" t="n"/>
      <c r="D1765" s="11" t="n"/>
      <c r="E1765" s="11" t="n"/>
      <c r="F1765" s="11" t="n"/>
      <c r="G1765" s="11" t="n"/>
      <c r="H1765" s="11" t="n"/>
      <c r="I1765" s="11" t="n"/>
      <c r="J1765" s="11" t="n"/>
      <c r="K1765" s="11" t="n"/>
      <c r="L1765" s="11" t="n"/>
      <c r="M1765" s="11" t="n"/>
      <c r="N1765" s="11" t="n"/>
      <c r="O1765" s="12" t="n"/>
    </row>
    <row r="1766">
      <c r="A1766" s="11" t="n"/>
      <c r="B1766" s="11" t="n"/>
      <c r="C1766" s="11" t="n"/>
      <c r="D1766" s="11" t="n"/>
      <c r="E1766" s="11" t="n"/>
      <c r="F1766" s="11" t="n"/>
      <c r="G1766" s="11" t="n"/>
      <c r="H1766" s="11" t="n"/>
      <c r="I1766" s="11" t="n"/>
      <c r="J1766" s="11" t="n"/>
      <c r="K1766" s="11" t="n"/>
      <c r="L1766" s="11" t="n"/>
      <c r="M1766" s="11" t="n"/>
      <c r="N1766" s="11" t="n"/>
      <c r="O1766" s="12" t="n"/>
    </row>
    <row r="1767">
      <c r="A1767" s="11" t="n"/>
      <c r="B1767" s="11" t="n"/>
      <c r="C1767" s="11" t="n"/>
      <c r="D1767" s="11" t="n"/>
      <c r="E1767" s="11" t="n"/>
      <c r="F1767" s="11" t="n"/>
      <c r="G1767" s="11" t="n"/>
      <c r="H1767" s="11" t="n"/>
      <c r="I1767" s="11" t="n"/>
      <c r="J1767" s="11" t="n"/>
      <c r="K1767" s="11" t="n"/>
      <c r="L1767" s="11" t="n"/>
      <c r="M1767" s="11" t="n"/>
      <c r="N1767" s="11" t="n"/>
      <c r="O1767" s="12" t="n"/>
    </row>
    <row r="1768">
      <c r="A1768" s="11" t="n"/>
      <c r="B1768" s="11" t="n"/>
      <c r="C1768" s="11" t="n"/>
      <c r="D1768" s="11" t="n"/>
      <c r="E1768" s="11" t="n"/>
      <c r="F1768" s="11" t="n"/>
      <c r="G1768" s="11" t="n"/>
      <c r="H1768" s="11" t="n"/>
      <c r="I1768" s="11" t="n"/>
      <c r="J1768" s="11" t="n"/>
      <c r="K1768" s="11" t="n"/>
      <c r="L1768" s="11" t="n"/>
      <c r="M1768" s="11" t="n"/>
      <c r="N1768" s="11" t="n"/>
      <c r="O1768" s="12" t="n"/>
    </row>
    <row r="1769">
      <c r="A1769" s="11" t="n"/>
      <c r="B1769" s="11" t="n"/>
      <c r="C1769" s="11" t="n"/>
      <c r="D1769" s="11" t="n"/>
      <c r="E1769" s="11" t="n"/>
      <c r="F1769" s="11" t="n"/>
      <c r="G1769" s="11" t="n"/>
      <c r="H1769" s="11" t="n"/>
      <c r="I1769" s="11" t="n"/>
      <c r="J1769" s="11" t="n"/>
      <c r="K1769" s="11" t="n"/>
      <c r="L1769" s="11" t="n"/>
      <c r="M1769" s="11" t="n"/>
      <c r="N1769" s="11" t="n"/>
      <c r="O1769" s="12" t="n"/>
    </row>
    <row r="1770">
      <c r="A1770" s="11" t="n"/>
      <c r="B1770" s="11" t="n"/>
      <c r="C1770" s="11" t="n"/>
      <c r="D1770" s="11" t="n"/>
      <c r="E1770" s="11" t="n"/>
      <c r="F1770" s="11" t="n"/>
      <c r="G1770" s="11" t="n"/>
      <c r="H1770" s="11" t="n"/>
      <c r="I1770" s="11" t="n"/>
      <c r="J1770" s="11" t="n"/>
      <c r="K1770" s="11" t="n"/>
      <c r="L1770" s="11" t="n"/>
      <c r="M1770" s="11" t="n"/>
      <c r="N1770" s="11" t="n"/>
      <c r="O1770" s="12" t="n"/>
    </row>
    <row r="1771">
      <c r="A1771" s="11" t="n"/>
      <c r="B1771" s="11" t="n"/>
      <c r="C1771" s="11" t="n"/>
      <c r="D1771" s="11" t="n"/>
      <c r="E1771" s="11" t="n"/>
      <c r="F1771" s="11" t="n"/>
      <c r="G1771" s="11" t="n"/>
      <c r="H1771" s="11" t="n"/>
      <c r="I1771" s="11" t="n"/>
      <c r="J1771" s="11" t="n"/>
      <c r="K1771" s="11" t="n"/>
      <c r="L1771" s="11" t="n"/>
      <c r="M1771" s="11" t="n"/>
      <c r="N1771" s="11" t="n"/>
      <c r="O1771" s="12" t="n"/>
    </row>
    <row r="1772">
      <c r="A1772" s="11" t="n"/>
      <c r="B1772" s="11" t="n"/>
      <c r="C1772" s="11" t="n"/>
      <c r="D1772" s="11" t="n"/>
      <c r="E1772" s="11" t="n"/>
      <c r="F1772" s="11" t="n"/>
      <c r="G1772" s="11" t="n"/>
      <c r="H1772" s="11" t="n"/>
      <c r="I1772" s="11" t="n"/>
      <c r="J1772" s="11" t="n"/>
      <c r="K1772" s="11" t="n"/>
      <c r="L1772" s="11" t="n"/>
      <c r="M1772" s="11" t="n"/>
      <c r="N1772" s="11" t="n"/>
      <c r="O1772" s="12" t="n"/>
    </row>
    <row r="1773">
      <c r="A1773" s="11" t="n"/>
      <c r="B1773" s="11" t="n"/>
      <c r="C1773" s="11" t="n"/>
      <c r="D1773" s="11" t="n"/>
      <c r="E1773" s="11" t="n"/>
      <c r="F1773" s="11" t="n"/>
      <c r="G1773" s="11" t="n"/>
      <c r="H1773" s="11" t="n"/>
      <c r="I1773" s="11" t="n"/>
      <c r="J1773" s="11" t="n"/>
      <c r="K1773" s="11" t="n"/>
      <c r="L1773" s="11" t="n"/>
      <c r="M1773" s="11" t="n"/>
      <c r="N1773" s="11" t="n"/>
      <c r="O1773" s="12" t="n"/>
    </row>
    <row r="1774">
      <c r="A1774" s="11" t="n"/>
      <c r="B1774" s="11" t="n"/>
      <c r="C1774" s="11" t="n"/>
      <c r="D1774" s="11" t="n"/>
      <c r="E1774" s="11" t="n"/>
      <c r="F1774" s="11" t="n"/>
      <c r="G1774" s="11" t="n"/>
      <c r="H1774" s="11" t="n"/>
      <c r="I1774" s="11" t="n"/>
      <c r="J1774" s="11" t="n"/>
      <c r="K1774" s="11" t="n"/>
      <c r="L1774" s="11" t="n"/>
      <c r="M1774" s="11" t="n"/>
      <c r="N1774" s="11" t="n"/>
      <c r="O1774" s="12" t="n"/>
    </row>
    <row r="1775">
      <c r="A1775" s="11" t="n"/>
      <c r="B1775" s="11" t="n"/>
      <c r="C1775" s="11" t="n"/>
      <c r="D1775" s="11" t="n"/>
      <c r="E1775" s="11" t="n"/>
      <c r="F1775" s="11" t="n"/>
      <c r="G1775" s="11" t="n"/>
      <c r="H1775" s="11" t="n"/>
      <c r="I1775" s="11" t="n"/>
      <c r="J1775" s="11" t="n"/>
      <c r="K1775" s="11" t="n"/>
      <c r="L1775" s="11" t="n"/>
      <c r="M1775" s="11" t="n"/>
      <c r="N1775" s="11" t="n"/>
      <c r="O1775" s="12" t="n"/>
    </row>
    <row r="1776">
      <c r="A1776" s="11" t="n"/>
      <c r="B1776" s="11" t="n"/>
      <c r="C1776" s="11" t="n"/>
      <c r="D1776" s="11" t="n"/>
      <c r="E1776" s="11" t="n"/>
      <c r="F1776" s="11" t="n"/>
      <c r="G1776" s="11" t="n"/>
      <c r="H1776" s="11" t="n"/>
      <c r="I1776" s="11" t="n"/>
      <c r="J1776" s="11" t="n"/>
      <c r="K1776" s="11" t="n"/>
      <c r="L1776" s="11" t="n"/>
      <c r="M1776" s="11" t="n"/>
      <c r="N1776" s="11" t="n"/>
      <c r="O1776" s="12" t="n"/>
    </row>
    <row r="1777">
      <c r="A1777" s="11" t="n"/>
      <c r="B1777" s="11" t="n"/>
      <c r="C1777" s="11" t="n"/>
      <c r="D1777" s="11" t="n"/>
      <c r="E1777" s="11" t="n"/>
      <c r="F1777" s="11" t="n"/>
      <c r="G1777" s="11" t="n"/>
      <c r="H1777" s="11" t="n"/>
      <c r="I1777" s="11" t="n"/>
      <c r="J1777" s="11" t="n"/>
      <c r="K1777" s="11" t="n"/>
      <c r="L1777" s="11" t="n"/>
      <c r="M1777" s="11" t="n"/>
      <c r="N1777" s="11" t="n"/>
      <c r="O1777" s="12" t="n"/>
    </row>
    <row r="1778">
      <c r="A1778" s="11" t="n"/>
      <c r="B1778" s="11" t="n"/>
      <c r="C1778" s="11" t="n"/>
      <c r="D1778" s="11" t="n"/>
      <c r="E1778" s="11" t="n"/>
      <c r="F1778" s="11" t="n"/>
      <c r="G1778" s="11" t="n"/>
      <c r="H1778" s="11" t="n"/>
      <c r="I1778" s="11" t="n"/>
      <c r="J1778" s="11" t="n"/>
      <c r="K1778" s="11" t="n"/>
      <c r="L1778" s="11" t="n"/>
      <c r="M1778" s="11" t="n"/>
      <c r="N1778" s="11" t="n"/>
      <c r="O1778" s="12" t="n"/>
    </row>
    <row r="1779">
      <c r="A1779" s="11" t="n"/>
      <c r="B1779" s="11" t="n"/>
      <c r="C1779" s="11" t="n"/>
      <c r="D1779" s="11" t="n"/>
      <c r="E1779" s="11" t="n"/>
      <c r="F1779" s="11" t="n"/>
      <c r="G1779" s="11" t="n"/>
      <c r="H1779" s="11" t="n"/>
      <c r="I1779" s="11" t="n"/>
      <c r="J1779" s="11" t="n"/>
      <c r="K1779" s="11" t="n"/>
      <c r="L1779" s="11" t="n"/>
      <c r="M1779" s="11" t="n"/>
      <c r="N1779" s="11" t="n"/>
      <c r="O1779" s="12" t="n"/>
    </row>
    <row r="1780">
      <c r="A1780" s="11" t="n"/>
      <c r="B1780" s="11" t="n"/>
      <c r="C1780" s="11" t="n"/>
      <c r="D1780" s="11" t="n"/>
      <c r="E1780" s="11" t="n"/>
      <c r="F1780" s="11" t="n"/>
      <c r="G1780" s="11" t="n"/>
      <c r="H1780" s="11" t="n"/>
      <c r="I1780" s="11" t="n"/>
      <c r="J1780" s="11" t="n"/>
      <c r="K1780" s="11" t="n"/>
      <c r="L1780" s="11" t="n"/>
      <c r="M1780" s="11" t="n"/>
      <c r="N1780" s="11" t="n"/>
      <c r="O1780" s="12" t="n"/>
    </row>
    <row r="1781">
      <c r="A1781" s="11" t="n"/>
      <c r="B1781" s="11" t="n"/>
      <c r="C1781" s="11" t="n"/>
      <c r="D1781" s="11" t="n"/>
      <c r="E1781" s="11" t="n"/>
      <c r="F1781" s="11" t="n"/>
      <c r="G1781" s="11" t="n"/>
      <c r="H1781" s="11" t="n"/>
      <c r="I1781" s="11" t="n"/>
      <c r="J1781" s="11" t="n"/>
      <c r="K1781" s="11" t="n"/>
      <c r="L1781" s="11" t="n"/>
      <c r="M1781" s="11" t="n"/>
      <c r="N1781" s="11" t="n"/>
      <c r="O1781" s="12" t="n"/>
    </row>
    <row r="1782">
      <c r="A1782" s="11" t="n"/>
      <c r="B1782" s="11" t="n"/>
      <c r="C1782" s="11" t="n"/>
      <c r="D1782" s="11" t="n"/>
      <c r="E1782" s="11" t="n"/>
      <c r="F1782" s="11" t="n"/>
      <c r="G1782" s="11" t="n"/>
      <c r="H1782" s="11" t="n"/>
      <c r="I1782" s="11" t="n"/>
      <c r="J1782" s="11" t="n"/>
      <c r="K1782" s="11" t="n"/>
      <c r="L1782" s="11" t="n"/>
      <c r="M1782" s="11" t="n"/>
      <c r="N1782" s="11" t="n"/>
      <c r="O1782" s="12" t="n"/>
    </row>
    <row r="1783">
      <c r="A1783" s="11" t="n"/>
      <c r="B1783" s="11" t="n"/>
      <c r="C1783" s="11" t="n"/>
      <c r="D1783" s="11" t="n"/>
      <c r="E1783" s="11" t="n"/>
      <c r="F1783" s="11" t="n"/>
      <c r="G1783" s="11" t="n"/>
      <c r="H1783" s="11" t="n"/>
      <c r="I1783" s="11" t="n"/>
      <c r="J1783" s="11" t="n"/>
      <c r="K1783" s="11" t="n"/>
      <c r="L1783" s="11" t="n"/>
      <c r="M1783" s="11" t="n"/>
      <c r="N1783" s="11" t="n"/>
      <c r="O1783" s="12" t="n"/>
    </row>
    <row r="1784">
      <c r="A1784" s="11" t="n"/>
      <c r="B1784" s="11" t="n"/>
      <c r="C1784" s="11" t="n"/>
      <c r="D1784" s="11" t="n"/>
      <c r="E1784" s="11" t="n"/>
      <c r="F1784" s="11" t="n"/>
      <c r="G1784" s="11" t="n"/>
      <c r="H1784" s="11" t="n"/>
      <c r="I1784" s="11" t="n"/>
      <c r="J1784" s="11" t="n"/>
      <c r="K1784" s="11" t="n"/>
      <c r="L1784" s="11" t="n"/>
      <c r="M1784" s="11" t="n"/>
      <c r="N1784" s="11" t="n"/>
      <c r="O1784" s="12" t="n"/>
    </row>
    <row r="1785">
      <c r="A1785" s="11" t="n"/>
      <c r="B1785" s="11" t="n"/>
      <c r="C1785" s="11" t="n"/>
      <c r="D1785" s="11" t="n"/>
      <c r="E1785" s="11" t="n"/>
      <c r="F1785" s="11" t="n"/>
      <c r="G1785" s="11" t="n"/>
      <c r="H1785" s="11" t="n"/>
      <c r="I1785" s="11" t="n"/>
      <c r="J1785" s="11" t="n"/>
      <c r="K1785" s="11" t="n"/>
      <c r="L1785" s="11" t="n"/>
      <c r="M1785" s="11" t="n"/>
      <c r="N1785" s="11" t="n"/>
      <c r="O1785" s="12" t="n"/>
    </row>
    <row r="1786">
      <c r="A1786" s="11" t="n"/>
      <c r="B1786" s="11" t="n"/>
      <c r="C1786" s="11" t="n"/>
      <c r="D1786" s="11" t="n"/>
      <c r="E1786" s="11" t="n"/>
      <c r="F1786" s="11" t="n"/>
      <c r="G1786" s="11" t="n"/>
      <c r="H1786" s="11" t="n"/>
      <c r="I1786" s="11" t="n"/>
      <c r="J1786" s="11" t="n"/>
      <c r="K1786" s="11" t="n"/>
      <c r="L1786" s="11" t="n"/>
      <c r="M1786" s="11" t="n"/>
      <c r="N1786" s="11" t="n"/>
      <c r="O1786" s="12" t="n"/>
    </row>
    <row r="1787">
      <c r="A1787" s="11" t="n"/>
      <c r="B1787" s="11" t="n"/>
      <c r="C1787" s="11" t="n"/>
      <c r="D1787" s="11" t="n"/>
      <c r="E1787" s="11" t="n"/>
      <c r="F1787" s="11" t="n"/>
      <c r="G1787" s="11" t="n"/>
      <c r="H1787" s="11" t="n"/>
      <c r="I1787" s="11" t="n"/>
      <c r="J1787" s="11" t="n"/>
      <c r="K1787" s="11" t="n"/>
      <c r="L1787" s="11" t="n"/>
      <c r="M1787" s="11" t="n"/>
      <c r="N1787" s="11" t="n"/>
      <c r="O1787" s="12" t="n"/>
    </row>
    <row r="1788">
      <c r="A1788" s="11" t="n"/>
      <c r="B1788" s="11" t="n"/>
      <c r="C1788" s="11" t="n"/>
      <c r="D1788" s="11" t="n"/>
      <c r="E1788" s="11" t="n"/>
      <c r="F1788" s="11" t="n"/>
      <c r="G1788" s="11" t="n"/>
      <c r="H1788" s="11" t="n"/>
      <c r="I1788" s="11" t="n"/>
      <c r="J1788" s="11" t="n"/>
      <c r="K1788" s="11" t="n"/>
      <c r="L1788" s="11" t="n"/>
      <c r="M1788" s="11" t="n"/>
      <c r="N1788" s="11" t="n"/>
      <c r="O1788" s="12" t="n"/>
    </row>
    <row r="1789">
      <c r="A1789" s="11" t="n"/>
      <c r="B1789" s="11" t="n"/>
      <c r="C1789" s="11" t="n"/>
      <c r="D1789" s="11" t="n"/>
      <c r="E1789" s="11" t="n"/>
      <c r="F1789" s="11" t="n"/>
      <c r="G1789" s="11" t="n"/>
      <c r="H1789" s="11" t="n"/>
      <c r="I1789" s="11" t="n"/>
      <c r="J1789" s="11" t="n"/>
      <c r="K1789" s="11" t="n"/>
      <c r="L1789" s="11" t="n"/>
      <c r="M1789" s="11" t="n"/>
      <c r="N1789" s="11" t="n"/>
      <c r="O1789" s="12" t="n"/>
    </row>
    <row r="1790">
      <c r="A1790" s="11" t="n"/>
      <c r="B1790" s="11" t="n"/>
      <c r="C1790" s="11" t="n"/>
      <c r="D1790" s="11" t="n"/>
      <c r="E1790" s="11" t="n"/>
      <c r="F1790" s="11" t="n"/>
      <c r="G1790" s="11" t="n"/>
      <c r="H1790" s="11" t="n"/>
      <c r="I1790" s="11" t="n"/>
      <c r="J1790" s="11" t="n"/>
      <c r="K1790" s="11" t="n"/>
      <c r="L1790" s="11" t="n"/>
      <c r="M1790" s="11" t="n"/>
      <c r="N1790" s="11" t="n"/>
      <c r="O1790" s="12" t="n"/>
    </row>
    <row r="1791">
      <c r="A1791" s="11" t="n"/>
      <c r="B1791" s="11" t="n"/>
      <c r="C1791" s="11" t="n"/>
      <c r="D1791" s="11" t="n"/>
      <c r="E1791" s="11" t="n"/>
      <c r="F1791" s="11" t="n"/>
      <c r="G1791" s="11" t="n"/>
      <c r="H1791" s="11" t="n"/>
      <c r="I1791" s="11" t="n"/>
      <c r="J1791" s="11" t="n"/>
      <c r="K1791" s="11" t="n"/>
      <c r="L1791" s="11" t="n"/>
      <c r="M1791" s="11" t="n"/>
      <c r="N1791" s="11" t="n"/>
      <c r="O1791" s="12" t="n"/>
    </row>
    <row r="1792">
      <c r="A1792" s="11" t="n"/>
      <c r="B1792" s="11" t="n"/>
      <c r="C1792" s="11" t="n"/>
      <c r="D1792" s="11" t="n"/>
      <c r="E1792" s="11" t="n"/>
      <c r="F1792" s="11" t="n"/>
      <c r="G1792" s="11" t="n"/>
      <c r="H1792" s="11" t="n"/>
      <c r="I1792" s="11" t="n"/>
      <c r="J1792" s="11" t="n"/>
      <c r="K1792" s="11" t="n"/>
      <c r="L1792" s="11" t="n"/>
      <c r="M1792" s="11" t="n"/>
      <c r="N1792" s="11" t="n"/>
      <c r="O1792" s="12" t="n"/>
    </row>
    <row r="1793">
      <c r="A1793" s="11" t="n"/>
      <c r="B1793" s="11" t="n"/>
      <c r="C1793" s="11" t="n"/>
      <c r="D1793" s="11" t="n"/>
      <c r="E1793" s="11" t="n"/>
      <c r="F1793" s="11" t="n"/>
      <c r="G1793" s="11" t="n"/>
      <c r="H1793" s="11" t="n"/>
      <c r="I1793" s="11" t="n"/>
      <c r="J1793" s="11" t="n"/>
      <c r="K1793" s="11" t="n"/>
      <c r="L1793" s="11" t="n"/>
      <c r="M1793" s="11" t="n"/>
      <c r="N1793" s="11" t="n"/>
      <c r="O1793" s="12" t="n"/>
    </row>
    <row r="1794">
      <c r="A1794" s="11" t="n"/>
      <c r="B1794" s="11" t="n"/>
      <c r="C1794" s="11" t="n"/>
      <c r="D1794" s="11" t="n"/>
      <c r="E1794" s="11" t="n"/>
      <c r="F1794" s="11" t="n"/>
      <c r="G1794" s="11" t="n"/>
      <c r="H1794" s="11" t="n"/>
      <c r="I1794" s="11" t="n"/>
      <c r="J1794" s="11" t="n"/>
      <c r="K1794" s="11" t="n"/>
      <c r="L1794" s="11" t="n"/>
      <c r="M1794" s="11" t="n"/>
      <c r="N1794" s="11" t="n"/>
      <c r="O1794" s="12" t="n"/>
    </row>
    <row r="1795">
      <c r="A1795" s="11" t="n"/>
      <c r="B1795" s="11" t="n"/>
      <c r="C1795" s="11" t="n"/>
      <c r="D1795" s="11" t="n"/>
      <c r="E1795" s="11" t="n"/>
      <c r="F1795" s="11" t="n"/>
      <c r="G1795" s="11" t="n"/>
      <c r="H1795" s="11" t="n"/>
      <c r="I1795" s="11" t="n"/>
      <c r="J1795" s="11" t="n"/>
      <c r="K1795" s="11" t="n"/>
      <c r="L1795" s="11" t="n"/>
      <c r="M1795" s="11" t="n"/>
      <c r="N1795" s="11" t="n"/>
      <c r="O1795" s="12" t="n"/>
    </row>
    <row r="1796">
      <c r="A1796" s="11" t="n"/>
      <c r="B1796" s="11" t="n"/>
      <c r="C1796" s="11" t="n"/>
      <c r="D1796" s="11" t="n"/>
      <c r="E1796" s="11" t="n"/>
      <c r="F1796" s="11" t="n"/>
      <c r="G1796" s="11" t="n"/>
      <c r="H1796" s="11" t="n"/>
      <c r="I1796" s="11" t="n"/>
      <c r="J1796" s="11" t="n"/>
      <c r="K1796" s="11" t="n"/>
      <c r="L1796" s="11" t="n"/>
      <c r="M1796" s="11" t="n"/>
      <c r="N1796" s="11" t="n"/>
      <c r="O1796" s="12" t="n"/>
    </row>
    <row r="1797">
      <c r="A1797" s="11" t="n"/>
      <c r="B1797" s="11" t="n"/>
      <c r="C1797" s="11" t="n"/>
      <c r="D1797" s="11" t="n"/>
      <c r="E1797" s="11" t="n"/>
      <c r="F1797" s="11" t="n"/>
      <c r="G1797" s="11" t="n"/>
      <c r="H1797" s="11" t="n"/>
      <c r="I1797" s="11" t="n"/>
      <c r="J1797" s="11" t="n"/>
      <c r="K1797" s="11" t="n"/>
      <c r="L1797" s="11" t="n"/>
      <c r="M1797" s="11" t="n"/>
      <c r="N1797" s="11" t="n"/>
      <c r="O1797" s="12" t="n"/>
    </row>
    <row r="1798">
      <c r="A1798" s="11" t="n"/>
      <c r="B1798" s="11" t="n"/>
      <c r="C1798" s="11" t="n"/>
      <c r="D1798" s="11" t="n"/>
      <c r="E1798" s="11" t="n"/>
      <c r="F1798" s="11" t="n"/>
      <c r="G1798" s="11" t="n"/>
      <c r="H1798" s="11" t="n"/>
      <c r="I1798" s="11" t="n"/>
      <c r="J1798" s="11" t="n"/>
      <c r="K1798" s="11" t="n"/>
      <c r="L1798" s="11" t="n"/>
      <c r="M1798" s="11" t="n"/>
      <c r="N1798" s="11" t="n"/>
      <c r="O1798" s="12" t="n"/>
    </row>
    <row r="1799">
      <c r="A1799" s="11" t="n"/>
      <c r="B1799" s="11" t="n"/>
      <c r="C1799" s="11" t="n"/>
      <c r="D1799" s="11" t="n"/>
      <c r="E1799" s="11" t="n"/>
      <c r="F1799" s="11" t="n"/>
      <c r="G1799" s="11" t="n"/>
      <c r="H1799" s="11" t="n"/>
      <c r="I1799" s="11" t="n"/>
      <c r="J1799" s="11" t="n"/>
      <c r="K1799" s="11" t="n"/>
      <c r="L1799" s="11" t="n"/>
      <c r="M1799" s="11" t="n"/>
      <c r="N1799" s="11" t="n"/>
      <c r="O1799" s="12" t="n"/>
    </row>
    <row r="1800">
      <c r="A1800" s="11" t="n"/>
      <c r="B1800" s="11" t="n"/>
      <c r="C1800" s="11" t="n"/>
      <c r="D1800" s="11" t="n"/>
      <c r="E1800" s="11" t="n"/>
      <c r="F1800" s="11" t="n"/>
      <c r="G1800" s="11" t="n"/>
      <c r="H1800" s="11" t="n"/>
      <c r="I1800" s="11" t="n"/>
      <c r="J1800" s="11" t="n"/>
      <c r="K1800" s="11" t="n"/>
      <c r="L1800" s="11" t="n"/>
      <c r="M1800" s="11" t="n"/>
      <c r="N1800" s="11" t="n"/>
      <c r="O1800" s="12" t="n"/>
    </row>
    <row r="1801">
      <c r="A1801" s="11" t="n"/>
      <c r="B1801" s="11" t="n"/>
      <c r="C1801" s="11" t="n"/>
      <c r="D1801" s="11" t="n"/>
      <c r="E1801" s="11" t="n"/>
      <c r="F1801" s="11" t="n"/>
      <c r="G1801" s="11" t="n"/>
      <c r="H1801" s="11" t="n"/>
      <c r="I1801" s="11" t="n"/>
      <c r="J1801" s="11" t="n"/>
      <c r="K1801" s="11" t="n"/>
      <c r="L1801" s="11" t="n"/>
      <c r="M1801" s="11" t="n"/>
      <c r="N1801" s="11" t="n"/>
      <c r="O1801" s="12" t="n"/>
    </row>
    <row r="1802">
      <c r="A1802" s="11" t="n"/>
      <c r="B1802" s="11" t="n"/>
      <c r="C1802" s="11" t="n"/>
      <c r="D1802" s="11" t="n"/>
      <c r="E1802" s="11" t="n"/>
      <c r="F1802" s="11" t="n"/>
      <c r="G1802" s="11" t="n"/>
      <c r="H1802" s="11" t="n"/>
      <c r="I1802" s="11" t="n"/>
      <c r="J1802" s="11" t="n"/>
      <c r="K1802" s="11" t="n"/>
      <c r="L1802" s="11" t="n"/>
      <c r="M1802" s="11" t="n"/>
      <c r="N1802" s="11" t="n"/>
      <c r="O1802" s="12" t="n"/>
    </row>
    <row r="1803">
      <c r="A1803" s="11" t="n"/>
      <c r="B1803" s="11" t="n"/>
      <c r="C1803" s="11" t="n"/>
      <c r="D1803" s="11" t="n"/>
      <c r="E1803" s="11" t="n"/>
      <c r="F1803" s="11" t="n"/>
      <c r="G1803" s="11" t="n"/>
      <c r="H1803" s="11" t="n"/>
      <c r="I1803" s="11" t="n"/>
      <c r="J1803" s="11" t="n"/>
      <c r="K1803" s="11" t="n"/>
      <c r="L1803" s="11" t="n"/>
      <c r="M1803" s="11" t="n"/>
      <c r="N1803" s="11" t="n"/>
      <c r="O1803" s="12" t="n"/>
    </row>
    <row r="1804">
      <c r="A1804" s="11" t="n"/>
      <c r="B1804" s="11" t="n"/>
      <c r="C1804" s="11" t="n"/>
      <c r="D1804" s="11" t="n"/>
      <c r="E1804" s="11" t="n"/>
      <c r="F1804" s="11" t="n"/>
      <c r="G1804" s="11" t="n"/>
      <c r="H1804" s="11" t="n"/>
      <c r="I1804" s="11" t="n"/>
      <c r="J1804" s="11" t="n"/>
      <c r="K1804" s="11" t="n"/>
      <c r="L1804" s="11" t="n"/>
      <c r="M1804" s="11" t="n"/>
      <c r="N1804" s="11" t="n"/>
      <c r="O1804" s="12" t="n"/>
    </row>
    <row r="1805">
      <c r="A1805" s="11" t="n"/>
      <c r="B1805" s="11" t="n"/>
      <c r="C1805" s="11" t="n"/>
      <c r="D1805" s="11" t="n"/>
      <c r="E1805" s="11" t="n"/>
      <c r="F1805" s="11" t="n"/>
      <c r="G1805" s="11" t="n"/>
      <c r="H1805" s="11" t="n"/>
      <c r="I1805" s="11" t="n"/>
      <c r="J1805" s="11" t="n"/>
      <c r="K1805" s="11" t="n"/>
      <c r="L1805" s="11" t="n"/>
      <c r="M1805" s="11" t="n"/>
      <c r="N1805" s="11" t="n"/>
      <c r="O1805" s="12" t="n"/>
    </row>
    <row r="1806">
      <c r="A1806" s="11" t="n"/>
      <c r="B1806" s="11" t="n"/>
      <c r="C1806" s="11" t="n"/>
      <c r="D1806" s="11" t="n"/>
      <c r="E1806" s="11" t="n"/>
      <c r="F1806" s="11" t="n"/>
      <c r="G1806" s="11" t="n"/>
      <c r="H1806" s="11" t="n"/>
      <c r="I1806" s="11" t="n"/>
      <c r="J1806" s="11" t="n"/>
      <c r="K1806" s="11" t="n"/>
      <c r="L1806" s="11" t="n"/>
      <c r="M1806" s="11" t="n"/>
      <c r="N1806" s="11" t="n"/>
      <c r="O1806" s="12" t="n"/>
    </row>
    <row r="1807">
      <c r="A1807" s="11" t="n"/>
      <c r="B1807" s="11" t="n"/>
      <c r="C1807" s="11" t="n"/>
      <c r="D1807" s="11" t="n"/>
      <c r="E1807" s="11" t="n"/>
      <c r="F1807" s="11" t="n"/>
      <c r="G1807" s="11" t="n"/>
      <c r="H1807" s="11" t="n"/>
      <c r="I1807" s="11" t="n"/>
      <c r="J1807" s="11" t="n"/>
      <c r="K1807" s="11" t="n"/>
      <c r="L1807" s="11" t="n"/>
      <c r="M1807" s="11" t="n"/>
      <c r="N1807" s="11" t="n"/>
      <c r="O1807" s="12" t="n"/>
    </row>
    <row r="1808">
      <c r="A1808" s="11" t="n"/>
      <c r="B1808" s="11" t="n"/>
      <c r="C1808" s="11" t="n"/>
      <c r="D1808" s="11" t="n"/>
      <c r="E1808" s="11" t="n"/>
      <c r="F1808" s="11" t="n"/>
      <c r="G1808" s="11" t="n"/>
      <c r="H1808" s="11" t="n"/>
      <c r="I1808" s="11" t="n"/>
      <c r="J1808" s="11" t="n"/>
      <c r="K1808" s="11" t="n"/>
      <c r="L1808" s="11" t="n"/>
      <c r="M1808" s="11" t="n"/>
      <c r="N1808" s="11" t="n"/>
      <c r="O1808" s="12" t="n"/>
    </row>
    <row r="1809">
      <c r="A1809" s="11" t="n"/>
      <c r="B1809" s="11" t="n"/>
      <c r="C1809" s="11" t="n"/>
      <c r="D1809" s="11" t="n"/>
      <c r="E1809" s="11" t="n"/>
      <c r="F1809" s="11" t="n"/>
      <c r="G1809" s="11" t="n"/>
      <c r="H1809" s="11" t="n"/>
      <c r="I1809" s="11" t="n"/>
      <c r="J1809" s="11" t="n"/>
      <c r="K1809" s="11" t="n"/>
      <c r="L1809" s="11" t="n"/>
      <c r="M1809" s="11" t="n"/>
      <c r="N1809" s="11" t="n"/>
      <c r="O1809" s="12" t="n"/>
    </row>
    <row r="1810">
      <c r="A1810" s="11" t="n"/>
      <c r="B1810" s="11" t="n"/>
      <c r="C1810" s="11" t="n"/>
      <c r="D1810" s="11" t="n"/>
      <c r="E1810" s="11" t="n"/>
      <c r="F1810" s="11" t="n"/>
      <c r="G1810" s="11" t="n"/>
      <c r="H1810" s="11" t="n"/>
      <c r="I1810" s="11" t="n"/>
      <c r="J1810" s="11" t="n"/>
      <c r="K1810" s="11" t="n"/>
      <c r="L1810" s="11" t="n"/>
      <c r="M1810" s="11" t="n"/>
      <c r="N1810" s="11" t="n"/>
      <c r="O1810" s="12" t="n"/>
    </row>
    <row r="1811">
      <c r="A1811" s="11" t="n"/>
      <c r="B1811" s="11" t="n"/>
      <c r="C1811" s="11" t="n"/>
      <c r="D1811" s="11" t="n"/>
      <c r="E1811" s="11" t="n"/>
      <c r="F1811" s="11" t="n"/>
      <c r="G1811" s="11" t="n"/>
      <c r="H1811" s="11" t="n"/>
      <c r="I1811" s="11" t="n"/>
      <c r="J1811" s="11" t="n"/>
      <c r="K1811" s="11" t="n"/>
      <c r="L1811" s="11" t="n"/>
      <c r="M1811" s="11" t="n"/>
      <c r="N1811" s="11" t="n"/>
      <c r="O1811" s="12" t="n"/>
    </row>
    <row r="1812">
      <c r="A1812" s="11" t="n"/>
      <c r="B1812" s="11" t="n"/>
      <c r="C1812" s="11" t="n"/>
      <c r="D1812" s="11" t="n"/>
      <c r="E1812" s="11" t="n"/>
      <c r="F1812" s="11" t="n"/>
      <c r="G1812" s="11" t="n"/>
      <c r="H1812" s="11" t="n"/>
      <c r="I1812" s="11" t="n"/>
      <c r="J1812" s="11" t="n"/>
      <c r="K1812" s="11" t="n"/>
      <c r="L1812" s="11" t="n"/>
      <c r="M1812" s="11" t="n"/>
      <c r="N1812" s="11" t="n"/>
      <c r="O1812" s="12" t="n"/>
    </row>
    <row r="1813">
      <c r="A1813" s="11" t="n"/>
      <c r="B1813" s="11" t="n"/>
      <c r="C1813" s="11" t="n"/>
      <c r="D1813" s="11" t="n"/>
      <c r="E1813" s="11" t="n"/>
      <c r="F1813" s="11" t="n"/>
      <c r="G1813" s="11" t="n"/>
      <c r="H1813" s="11" t="n"/>
      <c r="I1813" s="11" t="n"/>
      <c r="J1813" s="11" t="n"/>
      <c r="K1813" s="11" t="n"/>
      <c r="L1813" s="11" t="n"/>
      <c r="M1813" s="11" t="n"/>
      <c r="N1813" s="11" t="n"/>
      <c r="O1813" s="12" t="n"/>
    </row>
    <row r="1814">
      <c r="A1814" s="11" t="n"/>
      <c r="B1814" s="11" t="n"/>
      <c r="C1814" s="11" t="n"/>
      <c r="D1814" s="11" t="n"/>
      <c r="E1814" s="11" t="n"/>
      <c r="F1814" s="11" t="n"/>
      <c r="G1814" s="11" t="n"/>
      <c r="H1814" s="11" t="n"/>
      <c r="I1814" s="11" t="n"/>
      <c r="J1814" s="11" t="n"/>
      <c r="K1814" s="11" t="n"/>
      <c r="L1814" s="11" t="n"/>
      <c r="M1814" s="11" t="n"/>
      <c r="N1814" s="11" t="n"/>
      <c r="O1814" s="12" t="n"/>
    </row>
    <row r="1815">
      <c r="A1815" s="11" t="n"/>
      <c r="B1815" s="11" t="n"/>
      <c r="C1815" s="11" t="n"/>
      <c r="D1815" s="11" t="n"/>
      <c r="E1815" s="11" t="n"/>
      <c r="F1815" s="11" t="n"/>
      <c r="G1815" s="11" t="n"/>
      <c r="H1815" s="11" t="n"/>
      <c r="I1815" s="11" t="n"/>
      <c r="J1815" s="11" t="n"/>
      <c r="K1815" s="11" t="n"/>
      <c r="L1815" s="11" t="n"/>
      <c r="M1815" s="11" t="n"/>
      <c r="N1815" s="11" t="n"/>
      <c r="O1815" s="12" t="n"/>
    </row>
    <row r="1816">
      <c r="A1816" s="11" t="n"/>
      <c r="B1816" s="11" t="n"/>
      <c r="C1816" s="11" t="n"/>
      <c r="D1816" s="11" t="n"/>
      <c r="E1816" s="11" t="n"/>
      <c r="F1816" s="11" t="n"/>
      <c r="G1816" s="11" t="n"/>
      <c r="H1816" s="11" t="n"/>
      <c r="I1816" s="11" t="n"/>
      <c r="J1816" s="11" t="n"/>
      <c r="K1816" s="11" t="n"/>
      <c r="L1816" s="11" t="n"/>
      <c r="M1816" s="11" t="n"/>
      <c r="N1816" s="11" t="n"/>
      <c r="O1816" s="12" t="n"/>
    </row>
    <row r="1817">
      <c r="A1817" s="11" t="n"/>
      <c r="B1817" s="11" t="n"/>
      <c r="C1817" s="11" t="n"/>
      <c r="D1817" s="11" t="n"/>
      <c r="E1817" s="11" t="n"/>
      <c r="F1817" s="11" t="n"/>
      <c r="G1817" s="11" t="n"/>
      <c r="H1817" s="11" t="n"/>
      <c r="I1817" s="11" t="n"/>
      <c r="J1817" s="11" t="n"/>
      <c r="K1817" s="11" t="n"/>
      <c r="L1817" s="11" t="n"/>
      <c r="M1817" s="11" t="n"/>
      <c r="N1817" s="11" t="n"/>
      <c r="O1817" s="12" t="n"/>
    </row>
    <row r="1818">
      <c r="A1818" s="11" t="n"/>
      <c r="B1818" s="11" t="n"/>
      <c r="C1818" s="11" t="n"/>
      <c r="D1818" s="11" t="n"/>
      <c r="E1818" s="11" t="n"/>
      <c r="F1818" s="11" t="n"/>
      <c r="G1818" s="11" t="n"/>
      <c r="H1818" s="11" t="n"/>
      <c r="I1818" s="11" t="n"/>
      <c r="J1818" s="11" t="n"/>
      <c r="K1818" s="11" t="n"/>
      <c r="L1818" s="11" t="n"/>
      <c r="M1818" s="11" t="n"/>
      <c r="N1818" s="11" t="n"/>
      <c r="O1818" s="12" t="n"/>
    </row>
    <row r="1819">
      <c r="A1819" s="11" t="n"/>
      <c r="B1819" s="11" t="n"/>
      <c r="C1819" s="11" t="n"/>
      <c r="D1819" s="11" t="n"/>
      <c r="E1819" s="11" t="n"/>
      <c r="F1819" s="11" t="n"/>
      <c r="G1819" s="11" t="n"/>
      <c r="H1819" s="11" t="n"/>
      <c r="I1819" s="11" t="n"/>
      <c r="J1819" s="11" t="n"/>
      <c r="K1819" s="11" t="n"/>
      <c r="L1819" s="11" t="n"/>
      <c r="M1819" s="11" t="n"/>
      <c r="N1819" s="11" t="n"/>
      <c r="O1819" s="12" t="n"/>
    </row>
    <row r="1820">
      <c r="A1820" s="11" t="n"/>
      <c r="B1820" s="11" t="n"/>
      <c r="C1820" s="11" t="n"/>
      <c r="D1820" s="11" t="n"/>
      <c r="E1820" s="11" t="n"/>
      <c r="F1820" s="11" t="n"/>
      <c r="G1820" s="11" t="n"/>
      <c r="H1820" s="11" t="n"/>
      <c r="I1820" s="11" t="n"/>
      <c r="J1820" s="11" t="n"/>
      <c r="K1820" s="11" t="n"/>
      <c r="L1820" s="11" t="n"/>
      <c r="M1820" s="11" t="n"/>
      <c r="N1820" s="11" t="n"/>
      <c r="O1820" s="12" t="n"/>
    </row>
    <row r="1821">
      <c r="A1821" s="11" t="n"/>
      <c r="B1821" s="11" t="n"/>
      <c r="C1821" s="11" t="n"/>
      <c r="D1821" s="11" t="n"/>
      <c r="E1821" s="11" t="n"/>
      <c r="F1821" s="11" t="n"/>
      <c r="G1821" s="11" t="n"/>
      <c r="H1821" s="11" t="n"/>
      <c r="I1821" s="11" t="n"/>
      <c r="J1821" s="11" t="n"/>
      <c r="K1821" s="11" t="n"/>
      <c r="L1821" s="11" t="n"/>
      <c r="M1821" s="11" t="n"/>
      <c r="N1821" s="11" t="n"/>
      <c r="O1821" s="12" t="n"/>
    </row>
    <row r="1822">
      <c r="A1822" s="11" t="n"/>
      <c r="B1822" s="11" t="n"/>
      <c r="C1822" s="11" t="n"/>
      <c r="D1822" s="11" t="n"/>
      <c r="E1822" s="11" t="n"/>
      <c r="F1822" s="11" t="n"/>
      <c r="G1822" s="11" t="n"/>
      <c r="H1822" s="11" t="n"/>
      <c r="I1822" s="11" t="n"/>
      <c r="J1822" s="11" t="n"/>
      <c r="K1822" s="11" t="n"/>
      <c r="L1822" s="11" t="n"/>
      <c r="M1822" s="11" t="n"/>
      <c r="N1822" s="11" t="n"/>
      <c r="O1822" s="12" t="n"/>
    </row>
    <row r="1823">
      <c r="A1823" s="11" t="n"/>
      <c r="B1823" s="11" t="n"/>
      <c r="C1823" s="11" t="n"/>
      <c r="D1823" s="11" t="n"/>
      <c r="E1823" s="11" t="n"/>
      <c r="F1823" s="11" t="n"/>
      <c r="G1823" s="11" t="n"/>
      <c r="H1823" s="11" t="n"/>
      <c r="I1823" s="11" t="n"/>
      <c r="J1823" s="11" t="n"/>
      <c r="K1823" s="11" t="n"/>
      <c r="L1823" s="11" t="n"/>
      <c r="M1823" s="11" t="n"/>
      <c r="N1823" s="11" t="n"/>
      <c r="O1823" s="12" t="n"/>
    </row>
    <row r="1824">
      <c r="A1824" s="11" t="n"/>
      <c r="B1824" s="11" t="n"/>
      <c r="C1824" s="11" t="n"/>
      <c r="D1824" s="11" t="n"/>
      <c r="E1824" s="11" t="n"/>
      <c r="F1824" s="11" t="n"/>
      <c r="G1824" s="11" t="n"/>
      <c r="H1824" s="11" t="n"/>
      <c r="I1824" s="11" t="n"/>
      <c r="J1824" s="11" t="n"/>
      <c r="K1824" s="11" t="n"/>
      <c r="L1824" s="11" t="n"/>
      <c r="M1824" s="11" t="n"/>
      <c r="N1824" s="11" t="n"/>
      <c r="O1824" s="12" t="n"/>
    </row>
    <row r="1825">
      <c r="A1825" s="11" t="n"/>
      <c r="B1825" s="11" t="n"/>
      <c r="C1825" s="11" t="n"/>
      <c r="D1825" s="11" t="n"/>
      <c r="E1825" s="11" t="n"/>
      <c r="F1825" s="11" t="n"/>
      <c r="G1825" s="11" t="n"/>
      <c r="H1825" s="11" t="n"/>
      <c r="I1825" s="11" t="n"/>
      <c r="J1825" s="11" t="n"/>
      <c r="K1825" s="11" t="n"/>
      <c r="L1825" s="11" t="n"/>
      <c r="M1825" s="11" t="n"/>
      <c r="N1825" s="11" t="n"/>
      <c r="O1825" s="12" t="n"/>
    </row>
    <row r="1826">
      <c r="A1826" s="11" t="n"/>
      <c r="B1826" s="11" t="n"/>
      <c r="C1826" s="11" t="n"/>
      <c r="D1826" s="11" t="n"/>
      <c r="E1826" s="11" t="n"/>
      <c r="F1826" s="11" t="n"/>
      <c r="G1826" s="11" t="n"/>
      <c r="H1826" s="11" t="n"/>
      <c r="I1826" s="11" t="n"/>
      <c r="J1826" s="11" t="n"/>
      <c r="K1826" s="11" t="n"/>
      <c r="L1826" s="11" t="n"/>
      <c r="M1826" s="11" t="n"/>
      <c r="N1826" s="11" t="n"/>
      <c r="O1826" s="12" t="n"/>
    </row>
    <row r="1827">
      <c r="A1827" s="11" t="n"/>
      <c r="B1827" s="11" t="n"/>
      <c r="C1827" s="11" t="n"/>
      <c r="D1827" s="11" t="n"/>
      <c r="E1827" s="11" t="n"/>
      <c r="F1827" s="11" t="n"/>
      <c r="G1827" s="11" t="n"/>
      <c r="H1827" s="11" t="n"/>
      <c r="I1827" s="11" t="n"/>
      <c r="J1827" s="11" t="n"/>
      <c r="K1827" s="11" t="n"/>
      <c r="L1827" s="11" t="n"/>
      <c r="M1827" s="11" t="n"/>
      <c r="N1827" s="11" t="n"/>
      <c r="O1827" s="12" t="n"/>
    </row>
    <row r="1828">
      <c r="A1828" s="11" t="n"/>
      <c r="B1828" s="11" t="n"/>
      <c r="C1828" s="11" t="n"/>
      <c r="D1828" s="11" t="n"/>
      <c r="E1828" s="11" t="n"/>
      <c r="F1828" s="11" t="n"/>
      <c r="G1828" s="11" t="n"/>
      <c r="H1828" s="11" t="n"/>
      <c r="I1828" s="11" t="n"/>
      <c r="J1828" s="11" t="n"/>
      <c r="K1828" s="11" t="n"/>
      <c r="L1828" s="11" t="n"/>
      <c r="M1828" s="11" t="n"/>
      <c r="N1828" s="11" t="n"/>
      <c r="O1828" s="12" t="n"/>
    </row>
    <row r="1829">
      <c r="A1829" s="11" t="n"/>
      <c r="B1829" s="11" t="n"/>
      <c r="C1829" s="11" t="n"/>
      <c r="D1829" s="11" t="n"/>
      <c r="E1829" s="11" t="n"/>
      <c r="F1829" s="11" t="n"/>
      <c r="G1829" s="11" t="n"/>
      <c r="H1829" s="11" t="n"/>
      <c r="I1829" s="11" t="n"/>
      <c r="J1829" s="11" t="n"/>
      <c r="K1829" s="11" t="n"/>
      <c r="L1829" s="11" t="n"/>
      <c r="M1829" s="11" t="n"/>
      <c r="N1829" s="11" t="n"/>
      <c r="O1829" s="12" t="n"/>
    </row>
    <row r="1830">
      <c r="A1830" s="11" t="n"/>
      <c r="B1830" s="11" t="n"/>
      <c r="C1830" s="11" t="n"/>
      <c r="D1830" s="11" t="n"/>
      <c r="E1830" s="11" t="n"/>
      <c r="F1830" s="11" t="n"/>
      <c r="G1830" s="11" t="n"/>
      <c r="H1830" s="11" t="n"/>
      <c r="I1830" s="11" t="n"/>
      <c r="J1830" s="11" t="n"/>
      <c r="K1830" s="11" t="n"/>
      <c r="L1830" s="11" t="n"/>
      <c r="M1830" s="11" t="n"/>
      <c r="N1830" s="11" t="n"/>
      <c r="O1830" s="12" t="n"/>
    </row>
    <row r="1831">
      <c r="A1831" s="11" t="n"/>
      <c r="B1831" s="11" t="n"/>
      <c r="C1831" s="11" t="n"/>
      <c r="D1831" s="11" t="n"/>
      <c r="E1831" s="11" t="n"/>
      <c r="F1831" s="11" t="n"/>
      <c r="G1831" s="11" t="n"/>
      <c r="H1831" s="11" t="n"/>
      <c r="I1831" s="11" t="n"/>
      <c r="J1831" s="11" t="n"/>
      <c r="K1831" s="11" t="n"/>
      <c r="L1831" s="11" t="n"/>
      <c r="M1831" s="11" t="n"/>
      <c r="N1831" s="11" t="n"/>
      <c r="O1831" s="12" t="n"/>
    </row>
    <row r="1832">
      <c r="A1832" s="11" t="n"/>
      <c r="B1832" s="11" t="n"/>
      <c r="C1832" s="11" t="n"/>
      <c r="D1832" s="11" t="n"/>
      <c r="E1832" s="11" t="n"/>
      <c r="F1832" s="11" t="n"/>
      <c r="G1832" s="11" t="n"/>
      <c r="H1832" s="11" t="n"/>
      <c r="I1832" s="11" t="n"/>
      <c r="J1832" s="11" t="n"/>
      <c r="K1832" s="11" t="n"/>
      <c r="L1832" s="11" t="n"/>
      <c r="M1832" s="11" t="n"/>
      <c r="N1832" s="11" t="n"/>
      <c r="O1832" s="12" t="n"/>
    </row>
    <row r="1833">
      <c r="A1833" s="11" t="n"/>
      <c r="B1833" s="11" t="n"/>
      <c r="C1833" s="11" t="n"/>
      <c r="D1833" s="11" t="n"/>
      <c r="E1833" s="11" t="n"/>
      <c r="F1833" s="11" t="n"/>
      <c r="G1833" s="11" t="n"/>
      <c r="H1833" s="11" t="n"/>
      <c r="I1833" s="11" t="n"/>
      <c r="J1833" s="11" t="n"/>
      <c r="K1833" s="11" t="n"/>
      <c r="L1833" s="11" t="n"/>
      <c r="M1833" s="11" t="n"/>
      <c r="N1833" s="11" t="n"/>
      <c r="O1833" s="12" t="n"/>
    </row>
    <row r="1834">
      <c r="A1834" s="11" t="n"/>
      <c r="B1834" s="11" t="n"/>
      <c r="C1834" s="11" t="n"/>
      <c r="D1834" s="11" t="n"/>
      <c r="E1834" s="11" t="n"/>
      <c r="F1834" s="11" t="n"/>
      <c r="G1834" s="11" t="n"/>
      <c r="H1834" s="11" t="n"/>
      <c r="I1834" s="11" t="n"/>
      <c r="J1834" s="11" t="n"/>
      <c r="K1834" s="11" t="n"/>
      <c r="L1834" s="11" t="n"/>
      <c r="M1834" s="11" t="n"/>
      <c r="N1834" s="11" t="n"/>
      <c r="O1834" s="12" t="n"/>
    </row>
    <row r="1835">
      <c r="A1835" s="11" t="n"/>
      <c r="B1835" s="11" t="n"/>
      <c r="C1835" s="11" t="n"/>
      <c r="D1835" s="11" t="n"/>
      <c r="E1835" s="11" t="n"/>
      <c r="F1835" s="11" t="n"/>
      <c r="G1835" s="11" t="n"/>
      <c r="H1835" s="11" t="n"/>
      <c r="I1835" s="11" t="n"/>
      <c r="J1835" s="11" t="n"/>
      <c r="K1835" s="11" t="n"/>
      <c r="L1835" s="11" t="n"/>
      <c r="M1835" s="11" t="n"/>
      <c r="N1835" s="11" t="n"/>
      <c r="O1835" s="12" t="n"/>
    </row>
    <row r="1836">
      <c r="A1836" s="11" t="n"/>
      <c r="B1836" s="11" t="n"/>
      <c r="C1836" s="11" t="n"/>
      <c r="D1836" s="11" t="n"/>
      <c r="E1836" s="11" t="n"/>
      <c r="F1836" s="11" t="n"/>
      <c r="G1836" s="11" t="n"/>
      <c r="H1836" s="11" t="n"/>
      <c r="I1836" s="11" t="n"/>
      <c r="J1836" s="11" t="n"/>
      <c r="K1836" s="11" t="n"/>
      <c r="L1836" s="11" t="n"/>
      <c r="M1836" s="11" t="n"/>
      <c r="N1836" s="11" t="n"/>
      <c r="O1836" s="12" t="n"/>
    </row>
    <row r="1837">
      <c r="A1837" s="11" t="n"/>
      <c r="B1837" s="11" t="n"/>
      <c r="C1837" s="11" t="n"/>
      <c r="D1837" s="11" t="n"/>
      <c r="E1837" s="11" t="n"/>
      <c r="F1837" s="11" t="n"/>
      <c r="G1837" s="11" t="n"/>
      <c r="H1837" s="11" t="n"/>
      <c r="I1837" s="11" t="n"/>
      <c r="J1837" s="11" t="n"/>
      <c r="K1837" s="11" t="n"/>
      <c r="L1837" s="11" t="n"/>
      <c r="M1837" s="11" t="n"/>
      <c r="N1837" s="11" t="n"/>
      <c r="O1837" s="12" t="n"/>
    </row>
    <row r="1838">
      <c r="A1838" s="11" t="n"/>
      <c r="B1838" s="11" t="n"/>
      <c r="C1838" s="11" t="n"/>
      <c r="D1838" s="11" t="n"/>
      <c r="E1838" s="11" t="n"/>
      <c r="F1838" s="11" t="n"/>
      <c r="G1838" s="11" t="n"/>
      <c r="H1838" s="11" t="n"/>
      <c r="I1838" s="11" t="n"/>
      <c r="J1838" s="11" t="n"/>
      <c r="K1838" s="11" t="n"/>
      <c r="L1838" s="11" t="n"/>
      <c r="M1838" s="11" t="n"/>
      <c r="N1838" s="11" t="n"/>
      <c r="O1838" s="12" t="n"/>
    </row>
    <row r="1839">
      <c r="A1839" s="11" t="n"/>
      <c r="B1839" s="11" t="n"/>
      <c r="C1839" s="11" t="n"/>
      <c r="D1839" s="11" t="n"/>
      <c r="E1839" s="11" t="n"/>
      <c r="F1839" s="11" t="n"/>
      <c r="G1839" s="11" t="n"/>
      <c r="H1839" s="11" t="n"/>
      <c r="I1839" s="11" t="n"/>
      <c r="J1839" s="11" t="n"/>
      <c r="K1839" s="11" t="n"/>
      <c r="L1839" s="11" t="n"/>
      <c r="M1839" s="11" t="n"/>
      <c r="N1839" s="11" t="n"/>
      <c r="O1839" s="12" t="n"/>
    </row>
    <row r="1840">
      <c r="A1840" s="11" t="n"/>
      <c r="B1840" s="11" t="n"/>
      <c r="C1840" s="11" t="n"/>
      <c r="D1840" s="11" t="n"/>
      <c r="E1840" s="11" t="n"/>
      <c r="F1840" s="11" t="n"/>
      <c r="G1840" s="11" t="n"/>
      <c r="H1840" s="11" t="n"/>
      <c r="I1840" s="11" t="n"/>
      <c r="J1840" s="11" t="n"/>
      <c r="K1840" s="11" t="n"/>
      <c r="L1840" s="11" t="n"/>
      <c r="M1840" s="11" t="n"/>
      <c r="N1840" s="11" t="n"/>
      <c r="O1840" s="12" t="n"/>
    </row>
    <row r="1841">
      <c r="A1841" s="11" t="n"/>
      <c r="B1841" s="11" t="n"/>
      <c r="C1841" s="11" t="n"/>
      <c r="D1841" s="11" t="n"/>
      <c r="E1841" s="11" t="n"/>
      <c r="F1841" s="11" t="n"/>
      <c r="G1841" s="11" t="n"/>
      <c r="H1841" s="11" t="n"/>
      <c r="I1841" s="11" t="n"/>
      <c r="J1841" s="11" t="n"/>
      <c r="K1841" s="11" t="n"/>
      <c r="L1841" s="11" t="n"/>
      <c r="M1841" s="11" t="n"/>
      <c r="N1841" s="11" t="n"/>
      <c r="O1841" s="12" t="n"/>
    </row>
    <row r="1842">
      <c r="A1842" s="11" t="n"/>
      <c r="B1842" s="11" t="n"/>
      <c r="C1842" s="11" t="n"/>
      <c r="D1842" s="11" t="n"/>
      <c r="E1842" s="11" t="n"/>
      <c r="F1842" s="11" t="n"/>
      <c r="G1842" s="11" t="n"/>
      <c r="H1842" s="11" t="n"/>
      <c r="I1842" s="11" t="n"/>
      <c r="J1842" s="11" t="n"/>
      <c r="K1842" s="11" t="n"/>
      <c r="L1842" s="11" t="n"/>
      <c r="M1842" s="11" t="n"/>
      <c r="N1842" s="11" t="n"/>
      <c r="O1842" s="12" t="n"/>
    </row>
    <row r="1843">
      <c r="A1843" s="11" t="n"/>
      <c r="B1843" s="11" t="n"/>
      <c r="C1843" s="11" t="n"/>
      <c r="D1843" s="11" t="n"/>
      <c r="E1843" s="11" t="n"/>
      <c r="F1843" s="11" t="n"/>
      <c r="G1843" s="11" t="n"/>
      <c r="H1843" s="11" t="n"/>
      <c r="I1843" s="11" t="n"/>
      <c r="J1843" s="11" t="n"/>
      <c r="K1843" s="11" t="n"/>
      <c r="L1843" s="11" t="n"/>
      <c r="M1843" s="11" t="n"/>
      <c r="N1843" s="11" t="n"/>
      <c r="O1843" s="12" t="n"/>
    </row>
    <row r="1844">
      <c r="A1844" s="11" t="n"/>
      <c r="B1844" s="11" t="n"/>
      <c r="C1844" s="11" t="n"/>
      <c r="D1844" s="11" t="n"/>
      <c r="E1844" s="11" t="n"/>
      <c r="F1844" s="11" t="n"/>
      <c r="G1844" s="11" t="n"/>
      <c r="H1844" s="11" t="n"/>
      <c r="I1844" s="11" t="n"/>
      <c r="J1844" s="11" t="n"/>
      <c r="K1844" s="11" t="n"/>
      <c r="L1844" s="11" t="n"/>
      <c r="M1844" s="11" t="n"/>
      <c r="N1844" s="11" t="n"/>
      <c r="O1844" s="12" t="n"/>
    </row>
    <row r="1845">
      <c r="A1845" s="11" t="n"/>
      <c r="B1845" s="11" t="n"/>
      <c r="C1845" s="11" t="n"/>
      <c r="D1845" s="11" t="n"/>
      <c r="E1845" s="11" t="n"/>
      <c r="F1845" s="11" t="n"/>
      <c r="G1845" s="11" t="n"/>
      <c r="H1845" s="11" t="n"/>
      <c r="I1845" s="11" t="n"/>
      <c r="J1845" s="11" t="n"/>
      <c r="K1845" s="11" t="n"/>
      <c r="L1845" s="11" t="n"/>
      <c r="M1845" s="11" t="n"/>
      <c r="N1845" s="11" t="n"/>
      <c r="O1845" s="12" t="n"/>
    </row>
    <row r="1846">
      <c r="A1846" s="11" t="n"/>
      <c r="B1846" s="11" t="n"/>
      <c r="C1846" s="11" t="n"/>
      <c r="D1846" s="11" t="n"/>
      <c r="E1846" s="11" t="n"/>
      <c r="F1846" s="11" t="n"/>
      <c r="G1846" s="11" t="n"/>
      <c r="H1846" s="11" t="n"/>
      <c r="I1846" s="11" t="n"/>
      <c r="J1846" s="11" t="n"/>
      <c r="K1846" s="11" t="n"/>
      <c r="L1846" s="11" t="n"/>
      <c r="M1846" s="11" t="n"/>
      <c r="N1846" s="11" t="n"/>
      <c r="O1846" s="12" t="n"/>
    </row>
    <row r="1847">
      <c r="A1847" s="11" t="n"/>
      <c r="B1847" s="11" t="n"/>
      <c r="C1847" s="11" t="n"/>
      <c r="D1847" s="11" t="n"/>
      <c r="E1847" s="11" t="n"/>
      <c r="F1847" s="11" t="n"/>
      <c r="G1847" s="11" t="n"/>
      <c r="H1847" s="11" t="n"/>
      <c r="I1847" s="11" t="n"/>
      <c r="J1847" s="11" t="n"/>
      <c r="K1847" s="11" t="n"/>
      <c r="L1847" s="11" t="n"/>
      <c r="M1847" s="11" t="n"/>
      <c r="N1847" s="11" t="n"/>
      <c r="O1847" s="12" t="n"/>
    </row>
    <row r="1848">
      <c r="A1848" s="11" t="n"/>
      <c r="B1848" s="11" t="n"/>
      <c r="C1848" s="11" t="n"/>
      <c r="D1848" s="11" t="n"/>
      <c r="E1848" s="11" t="n"/>
      <c r="F1848" s="11" t="n"/>
      <c r="G1848" s="11" t="n"/>
      <c r="H1848" s="11" t="n"/>
      <c r="I1848" s="11" t="n"/>
      <c r="J1848" s="11" t="n"/>
      <c r="K1848" s="11" t="n"/>
      <c r="L1848" s="11" t="n"/>
      <c r="M1848" s="11" t="n"/>
      <c r="N1848" s="11" t="n"/>
      <c r="O1848" s="12" t="n"/>
    </row>
    <row r="1849">
      <c r="A1849" s="11" t="n"/>
      <c r="B1849" s="11" t="n"/>
      <c r="C1849" s="11" t="n"/>
      <c r="D1849" s="11" t="n"/>
      <c r="E1849" s="11" t="n"/>
      <c r="F1849" s="11" t="n"/>
      <c r="G1849" s="11" t="n"/>
      <c r="H1849" s="11" t="n"/>
      <c r="I1849" s="11" t="n"/>
      <c r="J1849" s="11" t="n"/>
      <c r="K1849" s="11" t="n"/>
      <c r="L1849" s="11" t="n"/>
      <c r="M1849" s="11" t="n"/>
      <c r="N1849" s="11" t="n"/>
      <c r="O1849" s="12" t="n"/>
    </row>
    <row r="1850">
      <c r="A1850" s="11" t="n"/>
      <c r="B1850" s="11" t="n"/>
      <c r="C1850" s="11" t="n"/>
      <c r="D1850" s="11" t="n"/>
      <c r="E1850" s="11" t="n"/>
      <c r="F1850" s="11" t="n"/>
      <c r="G1850" s="11" t="n"/>
      <c r="H1850" s="11" t="n"/>
      <c r="I1850" s="11" t="n"/>
      <c r="J1850" s="11" t="n"/>
      <c r="K1850" s="11" t="n"/>
      <c r="L1850" s="11" t="n"/>
      <c r="M1850" s="11" t="n"/>
      <c r="N1850" s="11" t="n"/>
      <c r="O1850" s="12" t="n"/>
    </row>
    <row r="1851">
      <c r="A1851" s="11" t="n"/>
      <c r="B1851" s="11" t="n"/>
      <c r="C1851" s="11" t="n"/>
      <c r="D1851" s="11" t="n"/>
      <c r="E1851" s="11" t="n"/>
      <c r="F1851" s="11" t="n"/>
      <c r="G1851" s="11" t="n"/>
      <c r="H1851" s="11" t="n"/>
      <c r="I1851" s="11" t="n"/>
      <c r="J1851" s="11" t="n"/>
      <c r="K1851" s="11" t="n"/>
      <c r="L1851" s="11" t="n"/>
      <c r="M1851" s="11" t="n"/>
      <c r="N1851" s="11" t="n"/>
      <c r="O1851" s="12" t="n"/>
    </row>
    <row r="1852">
      <c r="A1852" s="11" t="n"/>
      <c r="B1852" s="11" t="n"/>
      <c r="C1852" s="11" t="n"/>
      <c r="D1852" s="11" t="n"/>
      <c r="E1852" s="11" t="n"/>
      <c r="F1852" s="11" t="n"/>
      <c r="G1852" s="11" t="n"/>
      <c r="H1852" s="11" t="n"/>
      <c r="I1852" s="11" t="n"/>
      <c r="J1852" s="11" t="n"/>
      <c r="K1852" s="11" t="n"/>
      <c r="L1852" s="11" t="n"/>
      <c r="M1852" s="11" t="n"/>
      <c r="N1852" s="11" t="n"/>
      <c r="O1852" s="12" t="n"/>
    </row>
    <row r="1853">
      <c r="A1853" s="11" t="n"/>
      <c r="B1853" s="11" t="n"/>
      <c r="C1853" s="11" t="n"/>
      <c r="D1853" s="11" t="n"/>
      <c r="E1853" s="11" t="n"/>
      <c r="F1853" s="11" t="n"/>
      <c r="G1853" s="11" t="n"/>
      <c r="H1853" s="11" t="n"/>
      <c r="I1853" s="11" t="n"/>
      <c r="J1853" s="11" t="n"/>
      <c r="K1853" s="11" t="n"/>
      <c r="L1853" s="11" t="n"/>
      <c r="M1853" s="11" t="n"/>
      <c r="N1853" s="11" t="n"/>
      <c r="O1853" s="12" t="n"/>
    </row>
    <row r="1854">
      <c r="A1854" s="11" t="n"/>
      <c r="B1854" s="11" t="n"/>
      <c r="C1854" s="11" t="n"/>
      <c r="D1854" s="11" t="n"/>
      <c r="E1854" s="11" t="n"/>
      <c r="F1854" s="11" t="n"/>
      <c r="G1854" s="11" t="n"/>
      <c r="H1854" s="11" t="n"/>
      <c r="I1854" s="11" t="n"/>
      <c r="J1854" s="11" t="n"/>
      <c r="K1854" s="11" t="n"/>
      <c r="L1854" s="11" t="n"/>
      <c r="M1854" s="11" t="n"/>
      <c r="N1854" s="11" t="n"/>
      <c r="O1854" s="12" t="n"/>
    </row>
    <row r="1855">
      <c r="A1855" s="11" t="n"/>
      <c r="B1855" s="11" t="n"/>
      <c r="C1855" s="11" t="n"/>
      <c r="D1855" s="11" t="n"/>
      <c r="E1855" s="11" t="n"/>
      <c r="F1855" s="11" t="n"/>
      <c r="G1855" s="11" t="n"/>
      <c r="H1855" s="11" t="n"/>
      <c r="I1855" s="11" t="n"/>
      <c r="J1855" s="11" t="n"/>
      <c r="K1855" s="11" t="n"/>
      <c r="L1855" s="11" t="n"/>
      <c r="M1855" s="11" t="n"/>
      <c r="N1855" s="11" t="n"/>
      <c r="O1855" s="12" t="n"/>
    </row>
    <row r="1856">
      <c r="A1856" s="11" t="n"/>
      <c r="B1856" s="11" t="n"/>
      <c r="C1856" s="11" t="n"/>
      <c r="D1856" s="11" t="n"/>
      <c r="E1856" s="11" t="n"/>
      <c r="F1856" s="11" t="n"/>
      <c r="G1856" s="11" t="n"/>
      <c r="H1856" s="11" t="n"/>
      <c r="I1856" s="11" t="n"/>
      <c r="J1856" s="11" t="n"/>
      <c r="K1856" s="11" t="n"/>
      <c r="L1856" s="11" t="n"/>
      <c r="M1856" s="11" t="n"/>
      <c r="N1856" s="11" t="n"/>
      <c r="O1856" s="12" t="n"/>
    </row>
    <row r="1857">
      <c r="A1857" s="11" t="n"/>
      <c r="B1857" s="11" t="n"/>
      <c r="C1857" s="11" t="n"/>
      <c r="D1857" s="11" t="n"/>
      <c r="E1857" s="11" t="n"/>
      <c r="F1857" s="11" t="n"/>
      <c r="G1857" s="11" t="n"/>
      <c r="H1857" s="11" t="n"/>
      <c r="I1857" s="11" t="n"/>
      <c r="J1857" s="11" t="n"/>
      <c r="K1857" s="11" t="n"/>
      <c r="L1857" s="11" t="n"/>
      <c r="M1857" s="11" t="n"/>
      <c r="N1857" s="11" t="n"/>
      <c r="O1857" s="12" t="n"/>
    </row>
    <row r="1858">
      <c r="A1858" s="11" t="n"/>
      <c r="B1858" s="11" t="n"/>
      <c r="C1858" s="11" t="n"/>
      <c r="D1858" s="11" t="n"/>
      <c r="E1858" s="11" t="n"/>
      <c r="F1858" s="11" t="n"/>
      <c r="G1858" s="11" t="n"/>
      <c r="H1858" s="11" t="n"/>
      <c r="I1858" s="11" t="n"/>
      <c r="J1858" s="11" t="n"/>
      <c r="K1858" s="11" t="n"/>
      <c r="L1858" s="11" t="n"/>
      <c r="M1858" s="11" t="n"/>
      <c r="N1858" s="11" t="n"/>
      <c r="O1858" s="12" t="n"/>
    </row>
    <row r="1859">
      <c r="A1859" s="11" t="n"/>
      <c r="B1859" s="11" t="n"/>
      <c r="C1859" s="11" t="n"/>
      <c r="D1859" s="11" t="n"/>
      <c r="E1859" s="11" t="n"/>
      <c r="F1859" s="11" t="n"/>
      <c r="G1859" s="11" t="n"/>
      <c r="H1859" s="11" t="n"/>
      <c r="I1859" s="11" t="n"/>
      <c r="J1859" s="11" t="n"/>
      <c r="K1859" s="11" t="n"/>
      <c r="L1859" s="11" t="n"/>
      <c r="M1859" s="11" t="n"/>
      <c r="N1859" s="11" t="n"/>
      <c r="O1859" s="12" t="n"/>
    </row>
    <row r="1860">
      <c r="A1860" s="11" t="n"/>
      <c r="B1860" s="11" t="n"/>
      <c r="C1860" s="11" t="n"/>
      <c r="D1860" s="11" t="n"/>
      <c r="E1860" s="11" t="n"/>
      <c r="F1860" s="11" t="n"/>
      <c r="G1860" s="11" t="n"/>
      <c r="H1860" s="11" t="n"/>
      <c r="I1860" s="11" t="n"/>
      <c r="J1860" s="11" t="n"/>
      <c r="K1860" s="11" t="n"/>
      <c r="L1860" s="11" t="n"/>
      <c r="M1860" s="11" t="n"/>
      <c r="N1860" s="11" t="n"/>
      <c r="O1860" s="12" t="n"/>
    </row>
    <row r="1861">
      <c r="A1861" s="11" t="n"/>
      <c r="B1861" s="11" t="n"/>
      <c r="C1861" s="11" t="n"/>
      <c r="D1861" s="11" t="n"/>
      <c r="E1861" s="11" t="n"/>
      <c r="F1861" s="11" t="n"/>
      <c r="G1861" s="11" t="n"/>
      <c r="H1861" s="11" t="n"/>
      <c r="I1861" s="11" t="n"/>
      <c r="J1861" s="11" t="n"/>
      <c r="K1861" s="11" t="n"/>
      <c r="L1861" s="11" t="n"/>
      <c r="M1861" s="11" t="n"/>
      <c r="N1861" s="11" t="n"/>
      <c r="O1861" s="12" t="n"/>
    </row>
    <row r="1862">
      <c r="A1862" s="11" t="n"/>
      <c r="B1862" s="11" t="n"/>
      <c r="C1862" s="11" t="n"/>
      <c r="D1862" s="11" t="n"/>
      <c r="E1862" s="11" t="n"/>
      <c r="F1862" s="11" t="n"/>
      <c r="G1862" s="11" t="n"/>
      <c r="H1862" s="11" t="n"/>
      <c r="I1862" s="11" t="n"/>
      <c r="J1862" s="11" t="n"/>
      <c r="K1862" s="11" t="n"/>
      <c r="L1862" s="11" t="n"/>
      <c r="M1862" s="11" t="n"/>
      <c r="N1862" s="11" t="n"/>
      <c r="O1862" s="12" t="n"/>
    </row>
    <row r="1863">
      <c r="A1863" s="11" t="n"/>
      <c r="B1863" s="11" t="n"/>
      <c r="C1863" s="11" t="n"/>
      <c r="D1863" s="11" t="n"/>
      <c r="E1863" s="11" t="n"/>
      <c r="F1863" s="11" t="n"/>
      <c r="G1863" s="11" t="n"/>
      <c r="H1863" s="11" t="n"/>
      <c r="I1863" s="11" t="n"/>
      <c r="J1863" s="11" t="n"/>
      <c r="K1863" s="11" t="n"/>
      <c r="L1863" s="11" t="n"/>
      <c r="M1863" s="11" t="n"/>
      <c r="N1863" s="11" t="n"/>
      <c r="O1863" s="12" t="n"/>
    </row>
    <row r="1864">
      <c r="A1864" s="11" t="n"/>
      <c r="B1864" s="11" t="n"/>
      <c r="C1864" s="11" t="n"/>
      <c r="D1864" s="11" t="n"/>
      <c r="E1864" s="11" t="n"/>
      <c r="F1864" s="11" t="n"/>
      <c r="G1864" s="11" t="n"/>
      <c r="H1864" s="11" t="n"/>
      <c r="I1864" s="11" t="n"/>
      <c r="J1864" s="11" t="n"/>
      <c r="K1864" s="11" t="n"/>
      <c r="L1864" s="11" t="n"/>
      <c r="M1864" s="11" t="n"/>
      <c r="N1864" s="11" t="n"/>
      <c r="O1864" s="12" t="n"/>
    </row>
    <row r="1865">
      <c r="A1865" s="11" t="n"/>
      <c r="B1865" s="11" t="n"/>
      <c r="C1865" s="11" t="n"/>
      <c r="D1865" s="11" t="n"/>
      <c r="E1865" s="11" t="n"/>
      <c r="F1865" s="11" t="n"/>
      <c r="G1865" s="11" t="n"/>
      <c r="H1865" s="11" t="n"/>
      <c r="I1865" s="11" t="n"/>
      <c r="J1865" s="11" t="n"/>
      <c r="K1865" s="11" t="n"/>
      <c r="L1865" s="11" t="n"/>
      <c r="M1865" s="11" t="n"/>
      <c r="N1865" s="11" t="n"/>
      <c r="O1865" s="12" t="n"/>
    </row>
    <row r="1866">
      <c r="A1866" s="11" t="n"/>
      <c r="B1866" s="11" t="n"/>
      <c r="C1866" s="11" t="n"/>
      <c r="D1866" s="11" t="n"/>
      <c r="E1866" s="11" t="n"/>
      <c r="F1866" s="11" t="n"/>
      <c r="G1866" s="11" t="n"/>
      <c r="H1866" s="11" t="n"/>
      <c r="I1866" s="11" t="n"/>
      <c r="J1866" s="11" t="n"/>
      <c r="K1866" s="11" t="n"/>
      <c r="L1866" s="11" t="n"/>
      <c r="M1866" s="11" t="n"/>
      <c r="N1866" s="11" t="n"/>
      <c r="O1866" s="12" t="n"/>
    </row>
    <row r="1867">
      <c r="A1867" s="11" t="n"/>
      <c r="B1867" s="11" t="n"/>
      <c r="C1867" s="11" t="n"/>
      <c r="D1867" s="11" t="n"/>
      <c r="E1867" s="11" t="n"/>
      <c r="F1867" s="11" t="n"/>
      <c r="G1867" s="11" t="n"/>
      <c r="H1867" s="11" t="n"/>
      <c r="I1867" s="11" t="n"/>
      <c r="J1867" s="11" t="n"/>
      <c r="K1867" s="11" t="n"/>
      <c r="L1867" s="11" t="n"/>
      <c r="M1867" s="11" t="n"/>
      <c r="N1867" s="11" t="n"/>
      <c r="O1867" s="12" t="n"/>
    </row>
    <row r="1868">
      <c r="A1868" s="11" t="n"/>
      <c r="B1868" s="11" t="n"/>
      <c r="C1868" s="11" t="n"/>
      <c r="D1868" s="11" t="n"/>
      <c r="E1868" s="11" t="n"/>
      <c r="F1868" s="11" t="n"/>
      <c r="G1868" s="11" t="n"/>
      <c r="H1868" s="11" t="n"/>
      <c r="I1868" s="11" t="n"/>
      <c r="J1868" s="11" t="n"/>
      <c r="K1868" s="11" t="n"/>
      <c r="L1868" s="11" t="n"/>
      <c r="M1868" s="11" t="n"/>
      <c r="N1868" s="11" t="n"/>
      <c r="O1868" s="12" t="n"/>
    </row>
    <row r="1869">
      <c r="A1869" s="11" t="n"/>
      <c r="B1869" s="11" t="n"/>
      <c r="C1869" s="11" t="n"/>
      <c r="D1869" s="11" t="n"/>
      <c r="E1869" s="11" t="n"/>
      <c r="F1869" s="11" t="n"/>
      <c r="G1869" s="11" t="n"/>
      <c r="H1869" s="11" t="n"/>
      <c r="I1869" s="11" t="n"/>
      <c r="J1869" s="11" t="n"/>
      <c r="K1869" s="11" t="n"/>
      <c r="L1869" s="11" t="n"/>
      <c r="M1869" s="11" t="n"/>
      <c r="N1869" s="11" t="n"/>
      <c r="O1869" s="12" t="n"/>
    </row>
    <row r="1870">
      <c r="A1870" s="11" t="n"/>
      <c r="B1870" s="11" t="n"/>
      <c r="C1870" s="11" t="n"/>
      <c r="D1870" s="11" t="n"/>
      <c r="E1870" s="11" t="n"/>
      <c r="F1870" s="11" t="n"/>
      <c r="G1870" s="11" t="n"/>
      <c r="H1870" s="11" t="n"/>
      <c r="I1870" s="11" t="n"/>
      <c r="J1870" s="11" t="n"/>
      <c r="K1870" s="11" t="n"/>
      <c r="L1870" s="11" t="n"/>
      <c r="M1870" s="11" t="n"/>
      <c r="N1870" s="11" t="n"/>
      <c r="O1870" s="12" t="n"/>
    </row>
    <row r="1871">
      <c r="A1871" s="11" t="n"/>
      <c r="B1871" s="11" t="n"/>
      <c r="C1871" s="11" t="n"/>
      <c r="D1871" s="11" t="n"/>
      <c r="E1871" s="11" t="n"/>
      <c r="F1871" s="11" t="n"/>
      <c r="G1871" s="11" t="n"/>
      <c r="H1871" s="11" t="n"/>
      <c r="I1871" s="11" t="n"/>
      <c r="J1871" s="11" t="n"/>
      <c r="K1871" s="11" t="n"/>
      <c r="L1871" s="11" t="n"/>
      <c r="M1871" s="11" t="n"/>
      <c r="N1871" s="11" t="n"/>
      <c r="O1871" s="12" t="n"/>
    </row>
    <row r="1872">
      <c r="A1872" s="11" t="n"/>
      <c r="B1872" s="11" t="n"/>
      <c r="C1872" s="11" t="n"/>
      <c r="D1872" s="11" t="n"/>
      <c r="E1872" s="11" t="n"/>
      <c r="F1872" s="11" t="n"/>
      <c r="G1872" s="11" t="n"/>
      <c r="H1872" s="11" t="n"/>
      <c r="I1872" s="11" t="n"/>
      <c r="J1872" s="11" t="n"/>
      <c r="K1872" s="11" t="n"/>
      <c r="L1872" s="11" t="n"/>
      <c r="M1872" s="11" t="n"/>
      <c r="N1872" s="11" t="n"/>
      <c r="O1872" s="12" t="n"/>
    </row>
    <row r="1873">
      <c r="A1873" s="11" t="n"/>
      <c r="B1873" s="11" t="n"/>
      <c r="C1873" s="11" t="n"/>
      <c r="D1873" s="11" t="n"/>
      <c r="E1873" s="11" t="n"/>
      <c r="F1873" s="11" t="n"/>
      <c r="G1873" s="11" t="n"/>
      <c r="H1873" s="11" t="n"/>
      <c r="I1873" s="11" t="n"/>
      <c r="J1873" s="11" t="n"/>
      <c r="K1873" s="11" t="n"/>
      <c r="L1873" s="11" t="n"/>
      <c r="M1873" s="11" t="n"/>
      <c r="N1873" s="11" t="n"/>
      <c r="O1873" s="12" t="n"/>
    </row>
    <row r="1874">
      <c r="A1874" s="11" t="n"/>
      <c r="B1874" s="11" t="n"/>
      <c r="C1874" s="11" t="n"/>
      <c r="D1874" s="11" t="n"/>
      <c r="E1874" s="11" t="n"/>
      <c r="F1874" s="11" t="n"/>
      <c r="G1874" s="11" t="n"/>
      <c r="H1874" s="11" t="n"/>
      <c r="I1874" s="11" t="n"/>
      <c r="J1874" s="11" t="n"/>
      <c r="K1874" s="11" t="n"/>
      <c r="L1874" s="11" t="n"/>
      <c r="M1874" s="11" t="n"/>
      <c r="N1874" s="11" t="n"/>
      <c r="O1874" s="12" t="n"/>
    </row>
    <row r="1875">
      <c r="A1875" s="11" t="n"/>
      <c r="B1875" s="11" t="n"/>
      <c r="C1875" s="11" t="n"/>
      <c r="D1875" s="11" t="n"/>
      <c r="E1875" s="11" t="n"/>
      <c r="F1875" s="11" t="n"/>
      <c r="G1875" s="11" t="n"/>
      <c r="H1875" s="11" t="n"/>
      <c r="I1875" s="11" t="n"/>
      <c r="J1875" s="11" t="n"/>
      <c r="K1875" s="11" t="n"/>
      <c r="L1875" s="11" t="n"/>
      <c r="M1875" s="11" t="n"/>
      <c r="N1875" s="11" t="n"/>
      <c r="O1875" s="12" t="n"/>
    </row>
    <row r="1876">
      <c r="A1876" s="11" t="n"/>
      <c r="B1876" s="11" t="n"/>
      <c r="C1876" s="11" t="n"/>
      <c r="D1876" s="11" t="n"/>
      <c r="E1876" s="11" t="n"/>
      <c r="F1876" s="11" t="n"/>
      <c r="G1876" s="11" t="n"/>
      <c r="H1876" s="11" t="n"/>
      <c r="I1876" s="11" t="n"/>
      <c r="J1876" s="11" t="n"/>
      <c r="K1876" s="11" t="n"/>
      <c r="L1876" s="11" t="n"/>
      <c r="M1876" s="11" t="n"/>
      <c r="N1876" s="11" t="n"/>
      <c r="O1876" s="12" t="n"/>
    </row>
    <row r="1877">
      <c r="A1877" s="11" t="n"/>
      <c r="B1877" s="11" t="n"/>
      <c r="C1877" s="11" t="n"/>
      <c r="D1877" s="11" t="n"/>
      <c r="E1877" s="11" t="n"/>
      <c r="F1877" s="11" t="n"/>
      <c r="G1877" s="11" t="n"/>
      <c r="H1877" s="11" t="n"/>
      <c r="I1877" s="11" t="n"/>
      <c r="J1877" s="11" t="n"/>
      <c r="K1877" s="11" t="n"/>
      <c r="L1877" s="11" t="n"/>
      <c r="M1877" s="11" t="n"/>
      <c r="N1877" s="11" t="n"/>
      <c r="O1877" s="12" t="n"/>
    </row>
    <row r="1878">
      <c r="A1878" s="11" t="n"/>
      <c r="B1878" s="11" t="n"/>
      <c r="C1878" s="11" t="n"/>
      <c r="D1878" s="11" t="n"/>
      <c r="E1878" s="11" t="n"/>
      <c r="F1878" s="11" t="n"/>
      <c r="G1878" s="11" t="n"/>
      <c r="H1878" s="11" t="n"/>
      <c r="I1878" s="11" t="n"/>
      <c r="J1878" s="11" t="n"/>
      <c r="K1878" s="11" t="n"/>
      <c r="L1878" s="11" t="n"/>
      <c r="M1878" s="11" t="n"/>
      <c r="N1878" s="11" t="n"/>
      <c r="O1878" s="12" t="n"/>
    </row>
    <row r="1879">
      <c r="A1879" s="11" t="n"/>
      <c r="B1879" s="11" t="n"/>
      <c r="C1879" s="11" t="n"/>
      <c r="D1879" s="11" t="n"/>
      <c r="E1879" s="11" t="n"/>
      <c r="F1879" s="11" t="n"/>
      <c r="G1879" s="11" t="n"/>
      <c r="H1879" s="11" t="n"/>
      <c r="I1879" s="11" t="n"/>
      <c r="J1879" s="11" t="n"/>
      <c r="K1879" s="11" t="n"/>
      <c r="L1879" s="11" t="n"/>
      <c r="M1879" s="11" t="n"/>
      <c r="N1879" s="11" t="n"/>
      <c r="O1879" s="12" t="n"/>
    </row>
    <row r="1880">
      <c r="A1880" s="11" t="n"/>
      <c r="B1880" s="11" t="n"/>
      <c r="C1880" s="11" t="n"/>
      <c r="D1880" s="11" t="n"/>
      <c r="E1880" s="11" t="n"/>
      <c r="F1880" s="11" t="n"/>
      <c r="G1880" s="11" t="n"/>
      <c r="H1880" s="11" t="n"/>
      <c r="I1880" s="11" t="n"/>
      <c r="J1880" s="11" t="n"/>
      <c r="K1880" s="11" t="n"/>
      <c r="L1880" s="11" t="n"/>
      <c r="M1880" s="11" t="n"/>
      <c r="N1880" s="11" t="n"/>
      <c r="O1880" s="12" t="n"/>
    </row>
    <row r="1881">
      <c r="A1881" s="11" t="n"/>
      <c r="B1881" s="11" t="n"/>
      <c r="C1881" s="11" t="n"/>
      <c r="D1881" s="11" t="n"/>
      <c r="E1881" s="11" t="n"/>
      <c r="F1881" s="11" t="n"/>
      <c r="G1881" s="11" t="n"/>
      <c r="H1881" s="11" t="n"/>
      <c r="I1881" s="11" t="n"/>
      <c r="J1881" s="11" t="n"/>
      <c r="K1881" s="11" t="n"/>
      <c r="L1881" s="11" t="n"/>
      <c r="M1881" s="11" t="n"/>
      <c r="N1881" s="11" t="n"/>
      <c r="O1881" s="12" t="n"/>
    </row>
    <row r="1882">
      <c r="A1882" s="11" t="n"/>
      <c r="B1882" s="11" t="n"/>
      <c r="C1882" s="11" t="n"/>
      <c r="D1882" s="11" t="n"/>
      <c r="E1882" s="11" t="n"/>
      <c r="F1882" s="11" t="n"/>
      <c r="G1882" s="11" t="n"/>
      <c r="H1882" s="11" t="n"/>
      <c r="I1882" s="11" t="n"/>
      <c r="J1882" s="11" t="n"/>
      <c r="K1882" s="11" t="n"/>
      <c r="L1882" s="11" t="n"/>
      <c r="M1882" s="11" t="n"/>
      <c r="N1882" s="11" t="n"/>
      <c r="O1882" s="12" t="n"/>
    </row>
    <row r="1883">
      <c r="A1883" s="11" t="n"/>
      <c r="B1883" s="11" t="n"/>
      <c r="C1883" s="11" t="n"/>
      <c r="D1883" s="11" t="n"/>
      <c r="E1883" s="11" t="n"/>
      <c r="F1883" s="11" t="n"/>
      <c r="G1883" s="11" t="n"/>
      <c r="H1883" s="11" t="n"/>
      <c r="I1883" s="11" t="n"/>
      <c r="J1883" s="11" t="n"/>
      <c r="K1883" s="11" t="n"/>
      <c r="L1883" s="11" t="n"/>
      <c r="M1883" s="11" t="n"/>
      <c r="N1883" s="11" t="n"/>
      <c r="O1883" s="12" t="n"/>
    </row>
    <row r="1884">
      <c r="A1884" s="11" t="n"/>
      <c r="B1884" s="11" t="n"/>
      <c r="C1884" s="11" t="n"/>
      <c r="D1884" s="11" t="n"/>
      <c r="E1884" s="11" t="n"/>
      <c r="F1884" s="11" t="n"/>
      <c r="G1884" s="11" t="n"/>
      <c r="H1884" s="11" t="n"/>
      <c r="I1884" s="11" t="n"/>
      <c r="J1884" s="11" t="n"/>
      <c r="K1884" s="11" t="n"/>
      <c r="L1884" s="11" t="n"/>
      <c r="M1884" s="11" t="n"/>
      <c r="N1884" s="11" t="n"/>
      <c r="O1884" s="12" t="n"/>
    </row>
    <row r="1885">
      <c r="A1885" s="11" t="n"/>
      <c r="B1885" s="11" t="n"/>
      <c r="C1885" s="11" t="n"/>
      <c r="D1885" s="11" t="n"/>
      <c r="E1885" s="11" t="n"/>
      <c r="F1885" s="11" t="n"/>
      <c r="G1885" s="11" t="n"/>
      <c r="H1885" s="11" t="n"/>
      <c r="I1885" s="11" t="n"/>
      <c r="J1885" s="11" t="n"/>
      <c r="K1885" s="11" t="n"/>
      <c r="L1885" s="11" t="n"/>
      <c r="M1885" s="11" t="n"/>
      <c r="N1885" s="11" t="n"/>
      <c r="O1885" s="12" t="n"/>
    </row>
    <row r="1886">
      <c r="A1886" s="11" t="n"/>
      <c r="B1886" s="11" t="n"/>
      <c r="C1886" s="11" t="n"/>
      <c r="D1886" s="11" t="n"/>
      <c r="E1886" s="11" t="n"/>
      <c r="F1886" s="11" t="n"/>
      <c r="G1886" s="11" t="n"/>
      <c r="H1886" s="11" t="n"/>
      <c r="I1886" s="11" t="n"/>
      <c r="J1886" s="11" t="n"/>
      <c r="K1886" s="11" t="n"/>
      <c r="L1886" s="11" t="n"/>
      <c r="M1886" s="11" t="n"/>
      <c r="N1886" s="11" t="n"/>
      <c r="O1886" s="12" t="n"/>
    </row>
    <row r="1887">
      <c r="A1887" s="11" t="n"/>
      <c r="B1887" s="11" t="n"/>
      <c r="C1887" s="11" t="n"/>
      <c r="D1887" s="11" t="n"/>
      <c r="E1887" s="11" t="n"/>
      <c r="F1887" s="11" t="n"/>
      <c r="G1887" s="11" t="n"/>
      <c r="H1887" s="11" t="n"/>
      <c r="I1887" s="11" t="n"/>
      <c r="J1887" s="11" t="n"/>
      <c r="K1887" s="11" t="n"/>
      <c r="L1887" s="11" t="n"/>
      <c r="M1887" s="11" t="n"/>
      <c r="N1887" s="11" t="n"/>
      <c r="O1887" s="12" t="n"/>
    </row>
    <row r="1888">
      <c r="A1888" s="11" t="n"/>
      <c r="B1888" s="11" t="n"/>
      <c r="C1888" s="11" t="n"/>
      <c r="D1888" s="11" t="n"/>
      <c r="E1888" s="11" t="n"/>
      <c r="F1888" s="11" t="n"/>
      <c r="G1888" s="11" t="n"/>
      <c r="H1888" s="11" t="n"/>
      <c r="I1888" s="11" t="n"/>
      <c r="J1888" s="11" t="n"/>
      <c r="K1888" s="11" t="n"/>
      <c r="L1888" s="11" t="n"/>
      <c r="M1888" s="11" t="n"/>
      <c r="N1888" s="11" t="n"/>
      <c r="O1888" s="12" t="n"/>
    </row>
    <row r="1889">
      <c r="A1889" s="11" t="n"/>
      <c r="B1889" s="11" t="n"/>
      <c r="C1889" s="11" t="n"/>
      <c r="D1889" s="11" t="n"/>
      <c r="E1889" s="11" t="n"/>
      <c r="F1889" s="11" t="n"/>
      <c r="G1889" s="11" t="n"/>
      <c r="H1889" s="11" t="n"/>
      <c r="I1889" s="11" t="n"/>
      <c r="J1889" s="11" t="n"/>
      <c r="K1889" s="11" t="n"/>
      <c r="L1889" s="11" t="n"/>
      <c r="M1889" s="11" t="n"/>
      <c r="N1889" s="11" t="n"/>
      <c r="O1889" s="12" t="n"/>
    </row>
    <row r="1890">
      <c r="A1890" s="11" t="n"/>
      <c r="B1890" s="11" t="n"/>
      <c r="C1890" s="11" t="n"/>
      <c r="D1890" s="11" t="n"/>
      <c r="E1890" s="11" t="n"/>
      <c r="F1890" s="11" t="n"/>
      <c r="G1890" s="11" t="n"/>
      <c r="H1890" s="11" t="n"/>
      <c r="I1890" s="11" t="n"/>
      <c r="J1890" s="11" t="n"/>
      <c r="K1890" s="11" t="n"/>
      <c r="L1890" s="11" t="n"/>
      <c r="M1890" s="11" t="n"/>
      <c r="N1890" s="11" t="n"/>
      <c r="O1890" s="12" t="n"/>
    </row>
    <row r="1891">
      <c r="A1891" s="11" t="n"/>
      <c r="B1891" s="11" t="n"/>
      <c r="C1891" s="11" t="n"/>
      <c r="D1891" s="11" t="n"/>
      <c r="E1891" s="11" t="n"/>
      <c r="F1891" s="11" t="n"/>
      <c r="G1891" s="11" t="n"/>
      <c r="H1891" s="11" t="n"/>
      <c r="I1891" s="11" t="n"/>
      <c r="J1891" s="11" t="n"/>
      <c r="K1891" s="11" t="n"/>
      <c r="L1891" s="11" t="n"/>
      <c r="M1891" s="11" t="n"/>
      <c r="N1891" s="11" t="n"/>
      <c r="O1891" s="12" t="n"/>
    </row>
    <row r="1892">
      <c r="A1892" s="11" t="n"/>
      <c r="B1892" s="11" t="n"/>
      <c r="C1892" s="11" t="n"/>
      <c r="D1892" s="11" t="n"/>
      <c r="E1892" s="11" t="n"/>
      <c r="F1892" s="11" t="n"/>
      <c r="G1892" s="11" t="n"/>
      <c r="H1892" s="11" t="n"/>
      <c r="I1892" s="11" t="n"/>
      <c r="J1892" s="11" t="n"/>
      <c r="K1892" s="11" t="n"/>
      <c r="L1892" s="11" t="n"/>
      <c r="M1892" s="11" t="n"/>
      <c r="N1892" s="11" t="n"/>
      <c r="O1892" s="12" t="n"/>
    </row>
    <row r="1893">
      <c r="A1893" s="11" t="n"/>
      <c r="B1893" s="11" t="n"/>
      <c r="C1893" s="11" t="n"/>
      <c r="D1893" s="11" t="n"/>
      <c r="E1893" s="11" t="n"/>
      <c r="F1893" s="11" t="n"/>
      <c r="G1893" s="11" t="n"/>
      <c r="H1893" s="11" t="n"/>
      <c r="I1893" s="11" t="n"/>
      <c r="J1893" s="11" t="n"/>
      <c r="K1893" s="11" t="n"/>
      <c r="L1893" s="11" t="n"/>
      <c r="M1893" s="11" t="n"/>
      <c r="N1893" s="11" t="n"/>
      <c r="O1893" s="12" t="n"/>
    </row>
    <row r="1894">
      <c r="A1894" s="11" t="n"/>
      <c r="B1894" s="11" t="n"/>
      <c r="C1894" s="11" t="n"/>
      <c r="D1894" s="11" t="n"/>
      <c r="E1894" s="11" t="n"/>
      <c r="F1894" s="11" t="n"/>
      <c r="G1894" s="11" t="n"/>
      <c r="H1894" s="11" t="n"/>
      <c r="I1894" s="11" t="n"/>
      <c r="J1894" s="11" t="n"/>
      <c r="K1894" s="11" t="n"/>
      <c r="L1894" s="11" t="n"/>
      <c r="M1894" s="11" t="n"/>
      <c r="N1894" s="11" t="n"/>
      <c r="O1894" s="12" t="n"/>
    </row>
    <row r="1895">
      <c r="A1895" s="11" t="n"/>
      <c r="B1895" s="11" t="n"/>
      <c r="C1895" s="11" t="n"/>
      <c r="D1895" s="11" t="n"/>
      <c r="E1895" s="11" t="n"/>
      <c r="F1895" s="11" t="n"/>
      <c r="G1895" s="11" t="n"/>
      <c r="H1895" s="11" t="n"/>
      <c r="I1895" s="11" t="n"/>
      <c r="J1895" s="11" t="n"/>
      <c r="K1895" s="11" t="n"/>
      <c r="L1895" s="11" t="n"/>
      <c r="M1895" s="11" t="n"/>
      <c r="N1895" s="11" t="n"/>
      <c r="O1895" s="12" t="n"/>
    </row>
    <row r="1896">
      <c r="A1896" s="11" t="n"/>
      <c r="B1896" s="11" t="n"/>
      <c r="C1896" s="11" t="n"/>
      <c r="D1896" s="11" t="n"/>
      <c r="E1896" s="11" t="n"/>
      <c r="F1896" s="11" t="n"/>
      <c r="G1896" s="11" t="n"/>
      <c r="H1896" s="11" t="n"/>
      <c r="I1896" s="11" t="n"/>
      <c r="J1896" s="11" t="n"/>
      <c r="K1896" s="11" t="n"/>
      <c r="L1896" s="11" t="n"/>
      <c r="M1896" s="11" t="n"/>
      <c r="N1896" s="11" t="n"/>
      <c r="O1896" s="12" t="n"/>
    </row>
    <row r="1897">
      <c r="A1897" s="11" t="n"/>
      <c r="B1897" s="11" t="n"/>
      <c r="C1897" s="11" t="n"/>
      <c r="D1897" s="11" t="n"/>
      <c r="E1897" s="11" t="n"/>
      <c r="F1897" s="11" t="n"/>
      <c r="G1897" s="11" t="n"/>
      <c r="H1897" s="11" t="n"/>
      <c r="I1897" s="11" t="n"/>
      <c r="J1897" s="11" t="n"/>
      <c r="K1897" s="11" t="n"/>
      <c r="L1897" s="11" t="n"/>
      <c r="M1897" s="11" t="n"/>
      <c r="N1897" s="11" t="n"/>
      <c r="O1897" s="12" t="n"/>
    </row>
    <row r="1898">
      <c r="A1898" s="11" t="n"/>
      <c r="B1898" s="11" t="n"/>
      <c r="C1898" s="11" t="n"/>
      <c r="D1898" s="11" t="n"/>
      <c r="E1898" s="11" t="n"/>
      <c r="F1898" s="11" t="n"/>
      <c r="G1898" s="11" t="n"/>
      <c r="H1898" s="11" t="n"/>
      <c r="I1898" s="11" t="n"/>
      <c r="J1898" s="11" t="n"/>
      <c r="K1898" s="11" t="n"/>
      <c r="L1898" s="11" t="n"/>
      <c r="M1898" s="11" t="n"/>
      <c r="N1898" s="11" t="n"/>
      <c r="O1898" s="12" t="n"/>
    </row>
    <row r="1899">
      <c r="A1899" s="11" t="n"/>
      <c r="B1899" s="11" t="n"/>
      <c r="C1899" s="11" t="n"/>
      <c r="D1899" s="11" t="n"/>
      <c r="E1899" s="11" t="n"/>
      <c r="F1899" s="11" t="n"/>
      <c r="G1899" s="11" t="n"/>
      <c r="H1899" s="11" t="n"/>
      <c r="I1899" s="11" t="n"/>
      <c r="J1899" s="11" t="n"/>
      <c r="K1899" s="11" t="n"/>
      <c r="L1899" s="11" t="n"/>
      <c r="M1899" s="11" t="n"/>
      <c r="N1899" s="11" t="n"/>
      <c r="O1899" s="12" t="n"/>
    </row>
    <row r="1900">
      <c r="A1900" s="11" t="n"/>
      <c r="B1900" s="11" t="n"/>
      <c r="C1900" s="11" t="n"/>
      <c r="D1900" s="11" t="n"/>
      <c r="E1900" s="11" t="n"/>
      <c r="F1900" s="11" t="n"/>
      <c r="G1900" s="11" t="n"/>
      <c r="H1900" s="11" t="n"/>
      <c r="I1900" s="11" t="n"/>
      <c r="J1900" s="11" t="n"/>
      <c r="K1900" s="11" t="n"/>
      <c r="L1900" s="11" t="n"/>
      <c r="M1900" s="11" t="n"/>
      <c r="N1900" s="11" t="n"/>
      <c r="O1900" s="12" t="n"/>
    </row>
    <row r="1901">
      <c r="A1901" s="11" t="n"/>
      <c r="B1901" s="11" t="n"/>
      <c r="C1901" s="11" t="n"/>
      <c r="D1901" s="11" t="n"/>
      <c r="E1901" s="11" t="n"/>
      <c r="F1901" s="11" t="n"/>
      <c r="G1901" s="11" t="n"/>
      <c r="H1901" s="11" t="n"/>
      <c r="I1901" s="11" t="n"/>
      <c r="J1901" s="11" t="n"/>
      <c r="K1901" s="11" t="n"/>
      <c r="L1901" s="11" t="n"/>
      <c r="M1901" s="11" t="n"/>
      <c r="N1901" s="11" t="n"/>
      <c r="O1901" s="12" t="n"/>
    </row>
    <row r="1902">
      <c r="A1902" s="11" t="n"/>
      <c r="B1902" s="11" t="n"/>
      <c r="C1902" s="11" t="n"/>
      <c r="D1902" s="11" t="n"/>
      <c r="E1902" s="11" t="n"/>
      <c r="F1902" s="11" t="n"/>
      <c r="G1902" s="11" t="n"/>
      <c r="H1902" s="11" t="n"/>
      <c r="I1902" s="11" t="n"/>
      <c r="J1902" s="11" t="n"/>
      <c r="K1902" s="11" t="n"/>
      <c r="L1902" s="11" t="n"/>
      <c r="M1902" s="11" t="n"/>
      <c r="N1902" s="11" t="n"/>
      <c r="O1902" s="12" t="n"/>
    </row>
    <row r="1903">
      <c r="A1903" s="11" t="n"/>
      <c r="B1903" s="11" t="n"/>
      <c r="C1903" s="11" t="n"/>
      <c r="D1903" s="11" t="n"/>
      <c r="E1903" s="11" t="n"/>
      <c r="F1903" s="11" t="n"/>
      <c r="G1903" s="11" t="n"/>
      <c r="H1903" s="11" t="n"/>
      <c r="I1903" s="11" t="n"/>
      <c r="J1903" s="11" t="n"/>
      <c r="K1903" s="11" t="n"/>
      <c r="L1903" s="11" t="n"/>
      <c r="M1903" s="11" t="n"/>
      <c r="N1903" s="11" t="n"/>
      <c r="O1903" s="12" t="n"/>
    </row>
    <row r="1904">
      <c r="A1904" s="11" t="n"/>
      <c r="B1904" s="11" t="n"/>
      <c r="C1904" s="11" t="n"/>
      <c r="D1904" s="11" t="n"/>
      <c r="E1904" s="11" t="n"/>
      <c r="F1904" s="11" t="n"/>
      <c r="G1904" s="11" t="n"/>
      <c r="H1904" s="11" t="n"/>
      <c r="I1904" s="11" t="n"/>
      <c r="J1904" s="11" t="n"/>
      <c r="K1904" s="11" t="n"/>
      <c r="L1904" s="11" t="n"/>
      <c r="M1904" s="11" t="n"/>
      <c r="N1904" s="11" t="n"/>
      <c r="O1904" s="12" t="n"/>
    </row>
    <row r="1905">
      <c r="A1905" s="11" t="n"/>
      <c r="B1905" s="11" t="n"/>
      <c r="C1905" s="11" t="n"/>
      <c r="D1905" s="11" t="n"/>
      <c r="E1905" s="11" t="n"/>
      <c r="F1905" s="11" t="n"/>
      <c r="G1905" s="11" t="n"/>
      <c r="H1905" s="11" t="n"/>
      <c r="I1905" s="11" t="n"/>
      <c r="J1905" s="11" t="n"/>
      <c r="K1905" s="11" t="n"/>
      <c r="L1905" s="11" t="n"/>
      <c r="M1905" s="11" t="n"/>
      <c r="N1905" s="11" t="n"/>
      <c r="O1905" s="12" t="n"/>
    </row>
    <row r="1906">
      <c r="A1906" s="11" t="n"/>
      <c r="B1906" s="11" t="n"/>
      <c r="C1906" s="11" t="n"/>
      <c r="D1906" s="11" t="n"/>
      <c r="E1906" s="11" t="n"/>
      <c r="F1906" s="11" t="n"/>
      <c r="G1906" s="11" t="n"/>
      <c r="H1906" s="11" t="n"/>
      <c r="I1906" s="11" t="n"/>
      <c r="J1906" s="11" t="n"/>
      <c r="K1906" s="11" t="n"/>
      <c r="L1906" s="11" t="n"/>
      <c r="M1906" s="11" t="n"/>
      <c r="N1906" s="11" t="n"/>
      <c r="O1906" s="12" t="n"/>
    </row>
    <row r="1907">
      <c r="A1907" s="11" t="n"/>
      <c r="B1907" s="11" t="n"/>
      <c r="C1907" s="11" t="n"/>
      <c r="D1907" s="11" t="n"/>
      <c r="E1907" s="11" t="n"/>
      <c r="F1907" s="11" t="n"/>
      <c r="G1907" s="11" t="n"/>
      <c r="H1907" s="11" t="n"/>
      <c r="I1907" s="11" t="n"/>
      <c r="J1907" s="11" t="n"/>
      <c r="K1907" s="11" t="n"/>
      <c r="L1907" s="11" t="n"/>
      <c r="M1907" s="11" t="n"/>
      <c r="N1907" s="11" t="n"/>
      <c r="O1907" s="12" t="n"/>
    </row>
    <row r="1908">
      <c r="A1908" s="11" t="n"/>
      <c r="B1908" s="11" t="n"/>
      <c r="C1908" s="11" t="n"/>
      <c r="D1908" s="11" t="n"/>
      <c r="E1908" s="11" t="n"/>
      <c r="F1908" s="11" t="n"/>
      <c r="G1908" s="11" t="n"/>
      <c r="H1908" s="11" t="n"/>
      <c r="I1908" s="11" t="n"/>
      <c r="J1908" s="11" t="n"/>
      <c r="K1908" s="11" t="n"/>
      <c r="L1908" s="11" t="n"/>
      <c r="M1908" s="11" t="n"/>
      <c r="N1908" s="11" t="n"/>
      <c r="O1908" s="12" t="n"/>
    </row>
    <row r="1909">
      <c r="A1909" s="11" t="n"/>
      <c r="B1909" s="11" t="n"/>
      <c r="C1909" s="11" t="n"/>
      <c r="D1909" s="11" t="n"/>
      <c r="E1909" s="11" t="n"/>
      <c r="F1909" s="11" t="n"/>
      <c r="G1909" s="11" t="n"/>
      <c r="H1909" s="11" t="n"/>
      <c r="I1909" s="11" t="n"/>
      <c r="J1909" s="11" t="n"/>
      <c r="K1909" s="11" t="n"/>
      <c r="L1909" s="11" t="n"/>
      <c r="M1909" s="11" t="n"/>
      <c r="N1909" s="11" t="n"/>
      <c r="O1909" s="12" t="n"/>
    </row>
    <row r="1910">
      <c r="A1910" s="11" t="n"/>
      <c r="B1910" s="11" t="n"/>
      <c r="C1910" s="11" t="n"/>
      <c r="D1910" s="11" t="n"/>
      <c r="E1910" s="11" t="n"/>
      <c r="F1910" s="11" t="n"/>
      <c r="G1910" s="11" t="n"/>
      <c r="H1910" s="11" t="n"/>
      <c r="I1910" s="11" t="n"/>
      <c r="J1910" s="11" t="n"/>
      <c r="K1910" s="11" t="n"/>
      <c r="L1910" s="11" t="n"/>
      <c r="M1910" s="11" t="n"/>
      <c r="N1910" s="11" t="n"/>
      <c r="O1910" s="12" t="n"/>
    </row>
    <row r="1911">
      <c r="A1911" s="11" t="n"/>
      <c r="B1911" s="11" t="n"/>
      <c r="C1911" s="11" t="n"/>
      <c r="D1911" s="11" t="n"/>
      <c r="E1911" s="11" t="n"/>
      <c r="F1911" s="11" t="n"/>
      <c r="G1911" s="11" t="n"/>
      <c r="H1911" s="11" t="n"/>
      <c r="I1911" s="11" t="n"/>
      <c r="J1911" s="11" t="n"/>
      <c r="K1911" s="11" t="n"/>
      <c r="L1911" s="11" t="n"/>
      <c r="M1911" s="11" t="n"/>
      <c r="N1911" s="11" t="n"/>
      <c r="O1911" s="12" t="n"/>
    </row>
    <row r="1912">
      <c r="A1912" s="11" t="n"/>
      <c r="B1912" s="11" t="n"/>
      <c r="C1912" s="11" t="n"/>
      <c r="D1912" s="11" t="n"/>
      <c r="E1912" s="11" t="n"/>
      <c r="F1912" s="11" t="n"/>
      <c r="G1912" s="11" t="n"/>
      <c r="H1912" s="11" t="n"/>
      <c r="I1912" s="11" t="n"/>
      <c r="J1912" s="11" t="n"/>
      <c r="K1912" s="11" t="n"/>
      <c r="L1912" s="11" t="n"/>
      <c r="M1912" s="11" t="n"/>
      <c r="N1912" s="11" t="n"/>
      <c r="O1912" s="12" t="n"/>
    </row>
    <row r="1913">
      <c r="A1913" s="11" t="n"/>
      <c r="B1913" s="11" t="n"/>
      <c r="C1913" s="11" t="n"/>
      <c r="D1913" s="11" t="n"/>
      <c r="E1913" s="11" t="n"/>
      <c r="F1913" s="11" t="n"/>
      <c r="G1913" s="11" t="n"/>
      <c r="H1913" s="11" t="n"/>
      <c r="I1913" s="11" t="n"/>
      <c r="J1913" s="11" t="n"/>
      <c r="K1913" s="11" t="n"/>
      <c r="L1913" s="11" t="n"/>
      <c r="M1913" s="11" t="n"/>
      <c r="N1913" s="11" t="n"/>
      <c r="O1913" s="12" t="n"/>
    </row>
    <row r="1914">
      <c r="A1914" s="11" t="n"/>
      <c r="B1914" s="11" t="n"/>
      <c r="C1914" s="11" t="n"/>
      <c r="D1914" s="11" t="n"/>
      <c r="E1914" s="11" t="n"/>
      <c r="F1914" s="11" t="n"/>
      <c r="G1914" s="11" t="n"/>
      <c r="H1914" s="11" t="n"/>
      <c r="I1914" s="11" t="n"/>
      <c r="J1914" s="11" t="n"/>
      <c r="K1914" s="11" t="n"/>
      <c r="L1914" s="11" t="n"/>
      <c r="M1914" s="11" t="n"/>
      <c r="N1914" s="11" t="n"/>
      <c r="O1914" s="12" t="n"/>
    </row>
    <row r="1915">
      <c r="A1915" s="11" t="n"/>
      <c r="B1915" s="11" t="n"/>
      <c r="C1915" s="11" t="n"/>
      <c r="D1915" s="11" t="n"/>
      <c r="E1915" s="11" t="n"/>
      <c r="F1915" s="11" t="n"/>
      <c r="G1915" s="11" t="n"/>
      <c r="H1915" s="11" t="n"/>
      <c r="I1915" s="11" t="n"/>
      <c r="J1915" s="11" t="n"/>
      <c r="K1915" s="11" t="n"/>
      <c r="L1915" s="11" t="n"/>
      <c r="M1915" s="11" t="n"/>
      <c r="N1915" s="11" t="n"/>
      <c r="O1915" s="12" t="n"/>
    </row>
    <row r="1916">
      <c r="A1916" s="11" t="n"/>
      <c r="B1916" s="11" t="n"/>
      <c r="C1916" s="11" t="n"/>
      <c r="D1916" s="11" t="n"/>
      <c r="E1916" s="11" t="n"/>
      <c r="F1916" s="11" t="n"/>
      <c r="G1916" s="11" t="n"/>
      <c r="H1916" s="11" t="n"/>
      <c r="I1916" s="11" t="n"/>
      <c r="J1916" s="11" t="n"/>
      <c r="K1916" s="11" t="n"/>
      <c r="L1916" s="11" t="n"/>
      <c r="M1916" s="11" t="n"/>
      <c r="N1916" s="11" t="n"/>
      <c r="O1916" s="12" t="n"/>
    </row>
    <row r="1917">
      <c r="A1917" s="11" t="n"/>
      <c r="B1917" s="11" t="n"/>
      <c r="C1917" s="11" t="n"/>
      <c r="D1917" s="11" t="n"/>
      <c r="E1917" s="11" t="n"/>
      <c r="F1917" s="11" t="n"/>
      <c r="G1917" s="11" t="n"/>
      <c r="H1917" s="11" t="n"/>
      <c r="I1917" s="11" t="n"/>
      <c r="J1917" s="11" t="n"/>
      <c r="K1917" s="11" t="n"/>
      <c r="L1917" s="11" t="n"/>
      <c r="M1917" s="11" t="n"/>
      <c r="N1917" s="11" t="n"/>
      <c r="O1917" s="12" t="n"/>
    </row>
    <row r="1918">
      <c r="A1918" s="11" t="n"/>
      <c r="B1918" s="11" t="n"/>
      <c r="C1918" s="11" t="n"/>
      <c r="D1918" s="11" t="n"/>
      <c r="E1918" s="11" t="n"/>
      <c r="F1918" s="11" t="n"/>
      <c r="G1918" s="11" t="n"/>
      <c r="H1918" s="11" t="n"/>
      <c r="I1918" s="11" t="n"/>
      <c r="J1918" s="11" t="n"/>
      <c r="K1918" s="11" t="n"/>
      <c r="L1918" s="11" t="n"/>
      <c r="M1918" s="11" t="n"/>
      <c r="N1918" s="11" t="n"/>
      <c r="O1918" s="12" t="n"/>
    </row>
    <row r="1919">
      <c r="A1919" s="11" t="n"/>
      <c r="B1919" s="11" t="n"/>
      <c r="C1919" s="11" t="n"/>
      <c r="D1919" s="11" t="n"/>
      <c r="E1919" s="11" t="n"/>
      <c r="F1919" s="11" t="n"/>
      <c r="G1919" s="11" t="n"/>
      <c r="H1919" s="11" t="n"/>
      <c r="I1919" s="11" t="n"/>
      <c r="J1919" s="11" t="n"/>
      <c r="K1919" s="11" t="n"/>
      <c r="L1919" s="11" t="n"/>
      <c r="M1919" s="11" t="n"/>
      <c r="N1919" s="11" t="n"/>
      <c r="O1919" s="12" t="n"/>
    </row>
    <row r="1920">
      <c r="A1920" s="11" t="n"/>
      <c r="B1920" s="11" t="n"/>
      <c r="C1920" s="11" t="n"/>
      <c r="D1920" s="11" t="n"/>
      <c r="E1920" s="11" t="n"/>
      <c r="F1920" s="11" t="n"/>
      <c r="G1920" s="11" t="n"/>
      <c r="H1920" s="11" t="n"/>
      <c r="I1920" s="11" t="n"/>
      <c r="J1920" s="11" t="n"/>
      <c r="K1920" s="11" t="n"/>
      <c r="L1920" s="11" t="n"/>
      <c r="M1920" s="11" t="n"/>
      <c r="N1920" s="11" t="n"/>
      <c r="O1920" s="12" t="n"/>
    </row>
    <row r="1921">
      <c r="A1921" s="11" t="n"/>
      <c r="B1921" s="11" t="n"/>
      <c r="C1921" s="11" t="n"/>
      <c r="D1921" s="11" t="n"/>
      <c r="E1921" s="11" t="n"/>
      <c r="F1921" s="11" t="n"/>
      <c r="G1921" s="11" t="n"/>
      <c r="H1921" s="11" t="n"/>
      <c r="I1921" s="11" t="n"/>
      <c r="J1921" s="11" t="n"/>
      <c r="K1921" s="11" t="n"/>
      <c r="L1921" s="11" t="n"/>
      <c r="M1921" s="11" t="n"/>
      <c r="N1921" s="11" t="n"/>
      <c r="O1921" s="12" t="n"/>
    </row>
    <row r="1922">
      <c r="A1922" s="11" t="n"/>
      <c r="B1922" s="11" t="n"/>
      <c r="C1922" s="11" t="n"/>
      <c r="D1922" s="11" t="n"/>
      <c r="E1922" s="11" t="n"/>
      <c r="F1922" s="11" t="n"/>
      <c r="G1922" s="11" t="n"/>
      <c r="H1922" s="11" t="n"/>
      <c r="I1922" s="11" t="n"/>
      <c r="J1922" s="11" t="n"/>
      <c r="K1922" s="11" t="n"/>
      <c r="L1922" s="11" t="n"/>
      <c r="M1922" s="11" t="n"/>
      <c r="N1922" s="11" t="n"/>
      <c r="O1922" s="12" t="n"/>
    </row>
    <row r="1923">
      <c r="A1923" s="11" t="n"/>
      <c r="B1923" s="11" t="n"/>
      <c r="C1923" s="11" t="n"/>
      <c r="D1923" s="11" t="n"/>
      <c r="E1923" s="11" t="n"/>
      <c r="F1923" s="11" t="n"/>
      <c r="G1923" s="11" t="n"/>
      <c r="H1923" s="11" t="n"/>
      <c r="I1923" s="11" t="n"/>
      <c r="J1923" s="11" t="n"/>
      <c r="K1923" s="11" t="n"/>
      <c r="L1923" s="11" t="n"/>
      <c r="M1923" s="11" t="n"/>
      <c r="N1923" s="11" t="n"/>
      <c r="O1923" s="12" t="n"/>
    </row>
    <row r="1924">
      <c r="A1924" s="11" t="n"/>
      <c r="B1924" s="11" t="n"/>
      <c r="C1924" s="11" t="n"/>
      <c r="D1924" s="11" t="n"/>
      <c r="E1924" s="11" t="n"/>
      <c r="F1924" s="11" t="n"/>
      <c r="G1924" s="11" t="n"/>
      <c r="H1924" s="11" t="n"/>
      <c r="I1924" s="11" t="n"/>
      <c r="J1924" s="11" t="n"/>
      <c r="K1924" s="11" t="n"/>
      <c r="L1924" s="11" t="n"/>
      <c r="M1924" s="11" t="n"/>
      <c r="N1924" s="11" t="n"/>
      <c r="O1924" s="12" t="n"/>
    </row>
    <row r="1925">
      <c r="A1925" s="11" t="n"/>
      <c r="B1925" s="11" t="n"/>
      <c r="C1925" s="11" t="n"/>
      <c r="D1925" s="11" t="n"/>
      <c r="E1925" s="11" t="n"/>
      <c r="F1925" s="11" t="n"/>
      <c r="G1925" s="11" t="n"/>
      <c r="H1925" s="11" t="n"/>
      <c r="I1925" s="11" t="n"/>
      <c r="J1925" s="11" t="n"/>
      <c r="K1925" s="11" t="n"/>
      <c r="L1925" s="11" t="n"/>
      <c r="M1925" s="11" t="n"/>
      <c r="N1925" s="11" t="n"/>
      <c r="O1925" s="12" t="n"/>
    </row>
    <row r="1926">
      <c r="A1926" s="11" t="n"/>
      <c r="B1926" s="11" t="n"/>
      <c r="C1926" s="11" t="n"/>
      <c r="D1926" s="11" t="n"/>
      <c r="E1926" s="11" t="n"/>
      <c r="F1926" s="11" t="n"/>
      <c r="G1926" s="11" t="n"/>
      <c r="H1926" s="11" t="n"/>
      <c r="I1926" s="11" t="n"/>
      <c r="J1926" s="11" t="n"/>
      <c r="K1926" s="11" t="n"/>
      <c r="L1926" s="11" t="n"/>
      <c r="M1926" s="11" t="n"/>
      <c r="N1926" s="11" t="n"/>
      <c r="O1926" s="12" t="n"/>
    </row>
    <row r="1927">
      <c r="A1927" s="11" t="n"/>
      <c r="B1927" s="11" t="n"/>
      <c r="C1927" s="11" t="n"/>
      <c r="D1927" s="11" t="n"/>
      <c r="E1927" s="11" t="n"/>
      <c r="F1927" s="11" t="n"/>
      <c r="G1927" s="11" t="n"/>
      <c r="H1927" s="11" t="n"/>
      <c r="I1927" s="11" t="n"/>
      <c r="J1927" s="11" t="n"/>
      <c r="K1927" s="11" t="n"/>
      <c r="L1927" s="11" t="n"/>
      <c r="M1927" s="11" t="n"/>
      <c r="N1927" s="11" t="n"/>
      <c r="O1927" s="12" t="n"/>
    </row>
    <row r="1928">
      <c r="A1928" s="11" t="n"/>
      <c r="B1928" s="11" t="n"/>
      <c r="C1928" s="11" t="n"/>
      <c r="D1928" s="11" t="n"/>
      <c r="E1928" s="11" t="n"/>
      <c r="F1928" s="11" t="n"/>
      <c r="G1928" s="11" t="n"/>
      <c r="H1928" s="11" t="n"/>
      <c r="I1928" s="11" t="n"/>
      <c r="J1928" s="11" t="n"/>
      <c r="K1928" s="11" t="n"/>
      <c r="L1928" s="11" t="n"/>
      <c r="M1928" s="11" t="n"/>
      <c r="N1928" s="11" t="n"/>
      <c r="O1928" s="12" t="n"/>
    </row>
    <row r="1929">
      <c r="A1929" s="11" t="n"/>
      <c r="B1929" s="11" t="n"/>
      <c r="C1929" s="11" t="n"/>
      <c r="D1929" s="11" t="n"/>
      <c r="E1929" s="11" t="n"/>
      <c r="F1929" s="11" t="n"/>
      <c r="G1929" s="11" t="n"/>
      <c r="H1929" s="11" t="n"/>
      <c r="I1929" s="11" t="n"/>
      <c r="J1929" s="11" t="n"/>
      <c r="K1929" s="11" t="n"/>
      <c r="L1929" s="11" t="n"/>
      <c r="M1929" s="11" t="n"/>
      <c r="N1929" s="11" t="n"/>
      <c r="O1929" s="12" t="n"/>
    </row>
    <row r="1930">
      <c r="A1930" s="11" t="n"/>
      <c r="B1930" s="11" t="n"/>
      <c r="C1930" s="11" t="n"/>
      <c r="D1930" s="11" t="n"/>
      <c r="E1930" s="11" t="n"/>
      <c r="F1930" s="11" t="n"/>
      <c r="G1930" s="11" t="n"/>
      <c r="H1930" s="11" t="n"/>
      <c r="I1930" s="11" t="n"/>
      <c r="J1930" s="11" t="n"/>
      <c r="K1930" s="11" t="n"/>
      <c r="L1930" s="11" t="n"/>
      <c r="M1930" s="11" t="n"/>
      <c r="N1930" s="11" t="n"/>
      <c r="O1930" s="12" t="n"/>
    </row>
    <row r="1931">
      <c r="A1931" s="11" t="n"/>
      <c r="B1931" s="11" t="n"/>
      <c r="C1931" s="11" t="n"/>
      <c r="D1931" s="11" t="n"/>
      <c r="E1931" s="11" t="n"/>
      <c r="F1931" s="11" t="n"/>
      <c r="G1931" s="11" t="n"/>
      <c r="H1931" s="11" t="n"/>
      <c r="I1931" s="11" t="n"/>
      <c r="J1931" s="11" t="n"/>
      <c r="K1931" s="11" t="n"/>
      <c r="L1931" s="11" t="n"/>
      <c r="M1931" s="11" t="n"/>
      <c r="N1931" s="11" t="n"/>
      <c r="O1931" s="12" t="n"/>
    </row>
    <row r="1932">
      <c r="A1932" s="11" t="n"/>
      <c r="B1932" s="11" t="n"/>
      <c r="C1932" s="11" t="n"/>
      <c r="D1932" s="11" t="n"/>
      <c r="E1932" s="11" t="n"/>
      <c r="F1932" s="11" t="n"/>
      <c r="G1932" s="11" t="n"/>
      <c r="H1932" s="11" t="n"/>
      <c r="I1932" s="11" t="n"/>
      <c r="J1932" s="11" t="n"/>
      <c r="K1932" s="11" t="n"/>
      <c r="L1932" s="11" t="n"/>
      <c r="M1932" s="11" t="n"/>
      <c r="N1932" s="11" t="n"/>
      <c r="O1932" s="12" t="n"/>
    </row>
    <row r="1933">
      <c r="A1933" s="11" t="n"/>
      <c r="B1933" s="11" t="n"/>
      <c r="C1933" s="11" t="n"/>
      <c r="D1933" s="11" t="n"/>
      <c r="E1933" s="11" t="n"/>
      <c r="F1933" s="11" t="n"/>
      <c r="G1933" s="11" t="n"/>
      <c r="H1933" s="11" t="n"/>
      <c r="I1933" s="11" t="n"/>
      <c r="J1933" s="11" t="n"/>
      <c r="K1933" s="11" t="n"/>
      <c r="L1933" s="11" t="n"/>
      <c r="M1933" s="11" t="n"/>
      <c r="N1933" s="11" t="n"/>
      <c r="O1933" s="12" t="n"/>
    </row>
    <row r="1934">
      <c r="A1934" s="11" t="n"/>
      <c r="B1934" s="11" t="n"/>
      <c r="C1934" s="11" t="n"/>
      <c r="D1934" s="11" t="n"/>
      <c r="E1934" s="11" t="n"/>
      <c r="F1934" s="11" t="n"/>
      <c r="G1934" s="11" t="n"/>
      <c r="H1934" s="11" t="n"/>
      <c r="I1934" s="11" t="n"/>
      <c r="J1934" s="11" t="n"/>
      <c r="K1934" s="11" t="n"/>
      <c r="L1934" s="11" t="n"/>
      <c r="M1934" s="11" t="n"/>
      <c r="N1934" s="11" t="n"/>
      <c r="O1934" s="12" t="n"/>
    </row>
    <row r="1935">
      <c r="A1935" s="11" t="n"/>
      <c r="B1935" s="11" t="n"/>
      <c r="C1935" s="11" t="n"/>
      <c r="D1935" s="11" t="n"/>
      <c r="E1935" s="11" t="n"/>
      <c r="F1935" s="11" t="n"/>
      <c r="G1935" s="11" t="n"/>
      <c r="H1935" s="11" t="n"/>
      <c r="I1935" s="11" t="n"/>
      <c r="J1935" s="11" t="n"/>
      <c r="K1935" s="11" t="n"/>
      <c r="L1935" s="11" t="n"/>
      <c r="M1935" s="11" t="n"/>
      <c r="N1935" s="11" t="n"/>
      <c r="O1935" s="12" t="n"/>
    </row>
    <row r="1936">
      <c r="A1936" s="11" t="n"/>
      <c r="B1936" s="11" t="n"/>
      <c r="C1936" s="11" t="n"/>
      <c r="D1936" s="11" t="n"/>
      <c r="E1936" s="11" t="n"/>
      <c r="F1936" s="11" t="n"/>
      <c r="G1936" s="11" t="n"/>
      <c r="H1936" s="11" t="n"/>
      <c r="I1936" s="11" t="n"/>
      <c r="J1936" s="11" t="n"/>
      <c r="K1936" s="11" t="n"/>
      <c r="L1936" s="11" t="n"/>
      <c r="M1936" s="11" t="n"/>
      <c r="N1936" s="11" t="n"/>
      <c r="O1936" s="12" t="n"/>
    </row>
    <row r="1937">
      <c r="A1937" s="11" t="n"/>
      <c r="B1937" s="11" t="n"/>
      <c r="C1937" s="11" t="n"/>
      <c r="D1937" s="11" t="n"/>
      <c r="E1937" s="11" t="n"/>
      <c r="F1937" s="11" t="n"/>
      <c r="G1937" s="11" t="n"/>
      <c r="H1937" s="11" t="n"/>
      <c r="I1937" s="11" t="n"/>
      <c r="J1937" s="11" t="n"/>
      <c r="K1937" s="11" t="n"/>
      <c r="L1937" s="11" t="n"/>
      <c r="M1937" s="11" t="n"/>
      <c r="N1937" s="11" t="n"/>
      <c r="O1937" s="12" t="n"/>
    </row>
    <row r="1938">
      <c r="A1938" s="11" t="n"/>
      <c r="B1938" s="11" t="n"/>
      <c r="C1938" s="11" t="n"/>
      <c r="D1938" s="11" t="n"/>
      <c r="E1938" s="11" t="n"/>
      <c r="F1938" s="11" t="n"/>
      <c r="G1938" s="11" t="n"/>
      <c r="H1938" s="11" t="n"/>
      <c r="I1938" s="11" t="n"/>
      <c r="J1938" s="11" t="n"/>
      <c r="K1938" s="11" t="n"/>
      <c r="L1938" s="11" t="n"/>
      <c r="M1938" s="11" t="n"/>
      <c r="N1938" s="11" t="n"/>
      <c r="O1938" s="12" t="n"/>
    </row>
    <row r="1939">
      <c r="A1939" s="11" t="n"/>
      <c r="B1939" s="11" t="n"/>
      <c r="C1939" s="11" t="n"/>
      <c r="D1939" s="11" t="n"/>
      <c r="E1939" s="11" t="n"/>
      <c r="F1939" s="11" t="n"/>
      <c r="G1939" s="11" t="n"/>
      <c r="H1939" s="11" t="n"/>
      <c r="I1939" s="11" t="n"/>
      <c r="J1939" s="11" t="n"/>
      <c r="K1939" s="11" t="n"/>
      <c r="L1939" s="11" t="n"/>
      <c r="M1939" s="11" t="n"/>
      <c r="N1939" s="11" t="n"/>
      <c r="O1939" s="12" t="n"/>
    </row>
    <row r="1940">
      <c r="A1940" s="11" t="n"/>
      <c r="B1940" s="11" t="n"/>
      <c r="C1940" s="11" t="n"/>
      <c r="D1940" s="11" t="n"/>
      <c r="E1940" s="11" t="n"/>
      <c r="F1940" s="11" t="n"/>
      <c r="G1940" s="11" t="n"/>
      <c r="H1940" s="11" t="n"/>
      <c r="I1940" s="11" t="n"/>
      <c r="J1940" s="11" t="n"/>
      <c r="K1940" s="11" t="n"/>
      <c r="L1940" s="11" t="n"/>
      <c r="M1940" s="11" t="n"/>
      <c r="N1940" s="11" t="n"/>
      <c r="O1940" s="12" t="n"/>
    </row>
    <row r="1941">
      <c r="A1941" s="11" t="n"/>
      <c r="B1941" s="11" t="n"/>
      <c r="C1941" s="11" t="n"/>
      <c r="D1941" s="11" t="n"/>
      <c r="E1941" s="11" t="n"/>
      <c r="F1941" s="11" t="n"/>
      <c r="G1941" s="11" t="n"/>
      <c r="H1941" s="11" t="n"/>
      <c r="I1941" s="11" t="n"/>
      <c r="J1941" s="11" t="n"/>
      <c r="K1941" s="11" t="n"/>
      <c r="L1941" s="11" t="n"/>
      <c r="M1941" s="11" t="n"/>
      <c r="N1941" s="11" t="n"/>
      <c r="O1941" s="12" t="n"/>
    </row>
    <row r="1942">
      <c r="A1942" s="11" t="n"/>
      <c r="B1942" s="11" t="n"/>
      <c r="C1942" s="11" t="n"/>
      <c r="D1942" s="11" t="n"/>
      <c r="E1942" s="11" t="n"/>
      <c r="F1942" s="11" t="n"/>
      <c r="G1942" s="11" t="n"/>
      <c r="H1942" s="11" t="n"/>
      <c r="I1942" s="11" t="n"/>
      <c r="J1942" s="11" t="n"/>
      <c r="K1942" s="11" t="n"/>
      <c r="L1942" s="11" t="n"/>
      <c r="M1942" s="11" t="n"/>
      <c r="N1942" s="11" t="n"/>
      <c r="O1942" s="12" t="n"/>
    </row>
    <row r="1943">
      <c r="A1943" s="11" t="n"/>
      <c r="B1943" s="11" t="n"/>
      <c r="C1943" s="11" t="n"/>
      <c r="D1943" s="11" t="n"/>
      <c r="E1943" s="11" t="n"/>
      <c r="F1943" s="11" t="n"/>
      <c r="G1943" s="11" t="n"/>
      <c r="H1943" s="11" t="n"/>
      <c r="I1943" s="11" t="n"/>
      <c r="J1943" s="11" t="n"/>
      <c r="K1943" s="11" t="n"/>
      <c r="L1943" s="11" t="n"/>
      <c r="M1943" s="11" t="n"/>
      <c r="N1943" s="11" t="n"/>
      <c r="O1943" s="12" t="n"/>
    </row>
    <row r="1944">
      <c r="A1944" s="11" t="n"/>
      <c r="B1944" s="11" t="n"/>
      <c r="C1944" s="11" t="n"/>
      <c r="D1944" s="11" t="n"/>
      <c r="E1944" s="11" t="n"/>
      <c r="F1944" s="11" t="n"/>
      <c r="G1944" s="11" t="n"/>
      <c r="H1944" s="11" t="n"/>
      <c r="I1944" s="11" t="n"/>
      <c r="J1944" s="11" t="n"/>
      <c r="K1944" s="11" t="n"/>
      <c r="L1944" s="11" t="n"/>
      <c r="M1944" s="11" t="n"/>
      <c r="N1944" s="11" t="n"/>
      <c r="O1944" s="12" t="n"/>
    </row>
    <row r="1945">
      <c r="A1945" s="11" t="n"/>
      <c r="B1945" s="11" t="n"/>
      <c r="C1945" s="11" t="n"/>
      <c r="D1945" s="11" t="n"/>
      <c r="E1945" s="11" t="n"/>
      <c r="F1945" s="11" t="n"/>
      <c r="G1945" s="11" t="n"/>
      <c r="H1945" s="11" t="n"/>
      <c r="I1945" s="11" t="n"/>
      <c r="J1945" s="11" t="n"/>
      <c r="K1945" s="11" t="n"/>
      <c r="L1945" s="11" t="n"/>
      <c r="M1945" s="11" t="n"/>
      <c r="N1945" s="11" t="n"/>
      <c r="O1945" s="12" t="n"/>
    </row>
    <row r="1946">
      <c r="A1946" s="11" t="n"/>
      <c r="B1946" s="11" t="n"/>
      <c r="C1946" s="11" t="n"/>
      <c r="D1946" s="11" t="n"/>
      <c r="E1946" s="11" t="n"/>
      <c r="F1946" s="11" t="n"/>
      <c r="G1946" s="11" t="n"/>
      <c r="H1946" s="11" t="n"/>
      <c r="I1946" s="11" t="n"/>
      <c r="J1946" s="11" t="n"/>
      <c r="K1946" s="11" t="n"/>
      <c r="L1946" s="11" t="n"/>
      <c r="M1946" s="11" t="n"/>
      <c r="N1946" s="11" t="n"/>
      <c r="O1946" s="12" t="n"/>
    </row>
    <row r="1947">
      <c r="A1947" s="11" t="n"/>
      <c r="B1947" s="11" t="n"/>
      <c r="C1947" s="11" t="n"/>
      <c r="D1947" s="11" t="n"/>
      <c r="E1947" s="11" t="n"/>
      <c r="F1947" s="11" t="n"/>
      <c r="G1947" s="11" t="n"/>
      <c r="H1947" s="11" t="n"/>
      <c r="I1947" s="11" t="n"/>
      <c r="J1947" s="11" t="n"/>
      <c r="K1947" s="11" t="n"/>
      <c r="L1947" s="11" t="n"/>
      <c r="M1947" s="11" t="n"/>
      <c r="N1947" s="11" t="n"/>
      <c r="O1947" s="12" t="n"/>
    </row>
    <row r="1948">
      <c r="A1948" s="11" t="n"/>
      <c r="B1948" s="11" t="n"/>
      <c r="C1948" s="11" t="n"/>
      <c r="D1948" s="11" t="n"/>
      <c r="E1948" s="11" t="n"/>
      <c r="F1948" s="11" t="n"/>
      <c r="G1948" s="11" t="n"/>
      <c r="H1948" s="11" t="n"/>
      <c r="I1948" s="11" t="n"/>
      <c r="J1948" s="11" t="n"/>
      <c r="K1948" s="11" t="n"/>
      <c r="L1948" s="11" t="n"/>
      <c r="M1948" s="11" t="n"/>
      <c r="N1948" s="11" t="n"/>
      <c r="O1948" s="12" t="n"/>
    </row>
    <row r="1949">
      <c r="A1949" s="11" t="n"/>
      <c r="B1949" s="11" t="n"/>
      <c r="C1949" s="11" t="n"/>
      <c r="D1949" s="11" t="n"/>
      <c r="E1949" s="11" t="n"/>
      <c r="F1949" s="11" t="n"/>
      <c r="G1949" s="11" t="n"/>
      <c r="H1949" s="11" t="n"/>
      <c r="I1949" s="11" t="n"/>
      <c r="J1949" s="11" t="n"/>
      <c r="K1949" s="11" t="n"/>
      <c r="L1949" s="11" t="n"/>
      <c r="M1949" s="11" t="n"/>
      <c r="N1949" s="11" t="n"/>
      <c r="O1949" s="12" t="n"/>
    </row>
    <row r="1950">
      <c r="A1950" s="11" t="n"/>
      <c r="B1950" s="11" t="n"/>
      <c r="C1950" s="11" t="n"/>
      <c r="D1950" s="11" t="n"/>
      <c r="E1950" s="11" t="n"/>
      <c r="F1950" s="11" t="n"/>
      <c r="G1950" s="11" t="n"/>
      <c r="H1950" s="11" t="n"/>
      <c r="I1950" s="11" t="n"/>
      <c r="J1950" s="11" t="n"/>
      <c r="K1950" s="11" t="n"/>
      <c r="L1950" s="11" t="n"/>
      <c r="M1950" s="11" t="n"/>
      <c r="N1950" s="11" t="n"/>
      <c r="O1950" s="12" t="n"/>
    </row>
    <row r="1951">
      <c r="A1951" s="11" t="n"/>
      <c r="B1951" s="11" t="n"/>
      <c r="C1951" s="11" t="n"/>
      <c r="D1951" s="11" t="n"/>
      <c r="E1951" s="11" t="n"/>
      <c r="F1951" s="11" t="n"/>
      <c r="G1951" s="11" t="n"/>
      <c r="H1951" s="11" t="n"/>
      <c r="I1951" s="11" t="n"/>
      <c r="J1951" s="11" t="n"/>
      <c r="K1951" s="11" t="n"/>
      <c r="L1951" s="11" t="n"/>
      <c r="M1951" s="11" t="n"/>
      <c r="N1951" s="11" t="n"/>
      <c r="O1951" s="12" t="n"/>
    </row>
    <row r="1952">
      <c r="A1952" s="11" t="n"/>
      <c r="B1952" s="11" t="n"/>
      <c r="C1952" s="11" t="n"/>
      <c r="D1952" s="11" t="n"/>
      <c r="E1952" s="11" t="n"/>
      <c r="F1952" s="11" t="n"/>
      <c r="G1952" s="11" t="n"/>
      <c r="H1952" s="11" t="n"/>
      <c r="I1952" s="11" t="n"/>
      <c r="J1952" s="11" t="n"/>
      <c r="K1952" s="11" t="n"/>
      <c r="L1952" s="11" t="n"/>
      <c r="M1952" s="11" t="n"/>
      <c r="N1952" s="11" t="n"/>
      <c r="O1952" s="12" t="n"/>
    </row>
    <row r="1953">
      <c r="A1953" s="11" t="n"/>
      <c r="B1953" s="11" t="n"/>
      <c r="C1953" s="11" t="n"/>
      <c r="D1953" s="11" t="n"/>
      <c r="E1953" s="11" t="n"/>
      <c r="F1953" s="11" t="n"/>
      <c r="G1953" s="11" t="n"/>
      <c r="H1953" s="11" t="n"/>
      <c r="I1953" s="11" t="n"/>
      <c r="J1953" s="11" t="n"/>
      <c r="K1953" s="11" t="n"/>
      <c r="L1953" s="11" t="n"/>
      <c r="M1953" s="11" t="n"/>
      <c r="N1953" s="11" t="n"/>
      <c r="O1953" s="12" t="n"/>
    </row>
    <row r="1954">
      <c r="A1954" s="11" t="n"/>
      <c r="B1954" s="11" t="n"/>
      <c r="C1954" s="11" t="n"/>
      <c r="D1954" s="11" t="n"/>
      <c r="E1954" s="11" t="n"/>
      <c r="F1954" s="11" t="n"/>
      <c r="G1954" s="11" t="n"/>
      <c r="H1954" s="11" t="n"/>
      <c r="I1954" s="11" t="n"/>
      <c r="J1954" s="11" t="n"/>
      <c r="K1954" s="11" t="n"/>
      <c r="L1954" s="11" t="n"/>
      <c r="M1954" s="11" t="n"/>
      <c r="N1954" s="11" t="n"/>
      <c r="O1954" s="12" t="n"/>
    </row>
    <row r="1955">
      <c r="A1955" s="11" t="n"/>
      <c r="B1955" s="11" t="n"/>
      <c r="C1955" s="11" t="n"/>
      <c r="D1955" s="11" t="n"/>
      <c r="E1955" s="11" t="n"/>
      <c r="F1955" s="11" t="n"/>
      <c r="G1955" s="11" t="n"/>
      <c r="H1955" s="11" t="n"/>
      <c r="I1955" s="11" t="n"/>
      <c r="J1955" s="11" t="n"/>
      <c r="K1955" s="11" t="n"/>
      <c r="L1955" s="11" t="n"/>
      <c r="M1955" s="11" t="n"/>
      <c r="N1955" s="11" t="n"/>
      <c r="O1955" s="12" t="n"/>
    </row>
    <row r="1956">
      <c r="A1956" s="11" t="n"/>
      <c r="B1956" s="11" t="n"/>
      <c r="C1956" s="11" t="n"/>
      <c r="D1956" s="11" t="n"/>
      <c r="E1956" s="11" t="n"/>
      <c r="F1956" s="11" t="n"/>
      <c r="G1956" s="11" t="n"/>
      <c r="H1956" s="11" t="n"/>
      <c r="I1956" s="11" t="n"/>
      <c r="J1956" s="11" t="n"/>
      <c r="K1956" s="11" t="n"/>
      <c r="L1956" s="11" t="n"/>
      <c r="M1956" s="11" t="n"/>
      <c r="N1956" s="11" t="n"/>
      <c r="O1956" s="12" t="n"/>
    </row>
    <row r="1957">
      <c r="A1957" s="11" t="n"/>
      <c r="B1957" s="11" t="n"/>
      <c r="C1957" s="11" t="n"/>
      <c r="D1957" s="11" t="n"/>
      <c r="E1957" s="11" t="n"/>
      <c r="F1957" s="11" t="n"/>
      <c r="G1957" s="11" t="n"/>
      <c r="H1957" s="11" t="n"/>
      <c r="I1957" s="11" t="n"/>
      <c r="J1957" s="11" t="n"/>
      <c r="K1957" s="11" t="n"/>
      <c r="L1957" s="11" t="n"/>
      <c r="M1957" s="11" t="n"/>
      <c r="N1957" s="11" t="n"/>
      <c r="O1957" s="12" t="n"/>
    </row>
    <row r="1958">
      <c r="A1958" s="11" t="n"/>
      <c r="B1958" s="11" t="n"/>
      <c r="C1958" s="11" t="n"/>
      <c r="D1958" s="11" t="n"/>
      <c r="E1958" s="11" t="n"/>
      <c r="F1958" s="11" t="n"/>
      <c r="G1958" s="11" t="n"/>
      <c r="H1958" s="11" t="n"/>
      <c r="I1958" s="11" t="n"/>
      <c r="J1958" s="11" t="n"/>
      <c r="K1958" s="11" t="n"/>
      <c r="L1958" s="11" t="n"/>
      <c r="M1958" s="11" t="n"/>
      <c r="N1958" s="11" t="n"/>
      <c r="O1958" s="12" t="n"/>
    </row>
    <row r="1959">
      <c r="A1959" s="11" t="n"/>
      <c r="B1959" s="11" t="n"/>
      <c r="C1959" s="11" t="n"/>
      <c r="D1959" s="11" t="n"/>
      <c r="E1959" s="11" t="n"/>
      <c r="F1959" s="11" t="n"/>
      <c r="G1959" s="11" t="n"/>
      <c r="H1959" s="11" t="n"/>
      <c r="I1959" s="11" t="n"/>
      <c r="J1959" s="11" t="n"/>
      <c r="K1959" s="11" t="n"/>
      <c r="L1959" s="11" t="n"/>
      <c r="M1959" s="11" t="n"/>
      <c r="N1959" s="11" t="n"/>
      <c r="O1959" s="12" t="n"/>
    </row>
    <row r="1960">
      <c r="A1960" s="11" t="n"/>
      <c r="B1960" s="11" t="n"/>
      <c r="C1960" s="11" t="n"/>
      <c r="D1960" s="11" t="n"/>
      <c r="E1960" s="11" t="n"/>
      <c r="F1960" s="11" t="n"/>
      <c r="G1960" s="11" t="n"/>
      <c r="H1960" s="11" t="n"/>
      <c r="I1960" s="11" t="n"/>
      <c r="J1960" s="11" t="n"/>
      <c r="K1960" s="11" t="n"/>
      <c r="L1960" s="11" t="n"/>
      <c r="M1960" s="11" t="n"/>
      <c r="N1960" s="11" t="n"/>
      <c r="O1960" s="12" t="n"/>
    </row>
    <row r="1961">
      <c r="A1961" s="11" t="n"/>
      <c r="B1961" s="11" t="n"/>
      <c r="C1961" s="11" t="n"/>
      <c r="D1961" s="11" t="n"/>
      <c r="E1961" s="11" t="n"/>
      <c r="F1961" s="11" t="n"/>
      <c r="G1961" s="11" t="n"/>
      <c r="H1961" s="11" t="n"/>
      <c r="I1961" s="11" t="n"/>
      <c r="J1961" s="11" t="n"/>
      <c r="K1961" s="11" t="n"/>
      <c r="L1961" s="11" t="n"/>
      <c r="M1961" s="11" t="n"/>
      <c r="N1961" s="11" t="n"/>
      <c r="O1961" s="12" t="n"/>
    </row>
    <row r="1962">
      <c r="A1962" s="11" t="n"/>
      <c r="B1962" s="11" t="n"/>
      <c r="C1962" s="11" t="n"/>
      <c r="D1962" s="11" t="n"/>
      <c r="E1962" s="11" t="n"/>
      <c r="F1962" s="11" t="n"/>
      <c r="G1962" s="11" t="n"/>
      <c r="H1962" s="11" t="n"/>
      <c r="I1962" s="11" t="n"/>
      <c r="J1962" s="11" t="n"/>
      <c r="K1962" s="11" t="n"/>
      <c r="L1962" s="11" t="n"/>
      <c r="M1962" s="11" t="n"/>
      <c r="N1962" s="11" t="n"/>
      <c r="O1962" s="12" t="n"/>
    </row>
    <row r="1963">
      <c r="A1963" s="11" t="n"/>
      <c r="B1963" s="11" t="n"/>
      <c r="C1963" s="11" t="n"/>
      <c r="D1963" s="11" t="n"/>
      <c r="E1963" s="11" t="n"/>
      <c r="F1963" s="11" t="n"/>
      <c r="G1963" s="11" t="n"/>
      <c r="H1963" s="11" t="n"/>
      <c r="I1963" s="11" t="n"/>
      <c r="J1963" s="11" t="n"/>
      <c r="K1963" s="11" t="n"/>
      <c r="L1963" s="11" t="n"/>
      <c r="M1963" s="11" t="n"/>
      <c r="N1963" s="11" t="n"/>
      <c r="O1963" s="12" t="n"/>
    </row>
    <row r="1964">
      <c r="A1964" s="11" t="n"/>
      <c r="B1964" s="11" t="n"/>
      <c r="C1964" s="11" t="n"/>
      <c r="D1964" s="11" t="n"/>
      <c r="E1964" s="11" t="n"/>
      <c r="F1964" s="11" t="n"/>
      <c r="G1964" s="11" t="n"/>
      <c r="H1964" s="11" t="n"/>
      <c r="I1964" s="11" t="n"/>
      <c r="J1964" s="11" t="n"/>
      <c r="K1964" s="11" t="n"/>
      <c r="L1964" s="11" t="n"/>
      <c r="M1964" s="11" t="n"/>
      <c r="N1964" s="11" t="n"/>
      <c r="O1964" s="12" t="n"/>
    </row>
    <row r="1965">
      <c r="A1965" s="11" t="n"/>
      <c r="B1965" s="11" t="n"/>
      <c r="C1965" s="11" t="n"/>
      <c r="D1965" s="11" t="n"/>
      <c r="E1965" s="11" t="n"/>
      <c r="F1965" s="11" t="n"/>
      <c r="G1965" s="11" t="n"/>
      <c r="H1965" s="11" t="n"/>
      <c r="I1965" s="11" t="n"/>
      <c r="J1965" s="11" t="n"/>
      <c r="K1965" s="11" t="n"/>
      <c r="L1965" s="11" t="n"/>
      <c r="M1965" s="11" t="n"/>
      <c r="N1965" s="11" t="n"/>
      <c r="O1965" s="12" t="n"/>
    </row>
    <row r="1966">
      <c r="A1966" s="11" t="n"/>
      <c r="B1966" s="11" t="n"/>
      <c r="C1966" s="11" t="n"/>
      <c r="D1966" s="11" t="n"/>
      <c r="E1966" s="11" t="n"/>
      <c r="F1966" s="11" t="n"/>
      <c r="G1966" s="11" t="n"/>
      <c r="H1966" s="11" t="n"/>
      <c r="I1966" s="11" t="n"/>
      <c r="J1966" s="11" t="n"/>
      <c r="K1966" s="11" t="n"/>
      <c r="L1966" s="11" t="n"/>
      <c r="M1966" s="11" t="n"/>
      <c r="N1966" s="11" t="n"/>
      <c r="O1966" s="12" t="n"/>
    </row>
    <row r="1967">
      <c r="A1967" s="11" t="n"/>
      <c r="B1967" s="11" t="n"/>
      <c r="C1967" s="11" t="n"/>
      <c r="D1967" s="11" t="n"/>
      <c r="E1967" s="11" t="n"/>
      <c r="F1967" s="11" t="n"/>
      <c r="G1967" s="11" t="n"/>
      <c r="H1967" s="11" t="n"/>
      <c r="I1967" s="11" t="n"/>
      <c r="J1967" s="11" t="n"/>
      <c r="K1967" s="11" t="n"/>
      <c r="L1967" s="11" t="n"/>
      <c r="M1967" s="11" t="n"/>
      <c r="N1967" s="11" t="n"/>
      <c r="O1967" s="12" t="n"/>
    </row>
    <row r="1968">
      <c r="A1968" s="11" t="n"/>
      <c r="B1968" s="11" t="n"/>
      <c r="C1968" s="11" t="n"/>
      <c r="D1968" s="11" t="n"/>
      <c r="E1968" s="11" t="n"/>
      <c r="F1968" s="11" t="n"/>
      <c r="G1968" s="11" t="n"/>
      <c r="H1968" s="11" t="n"/>
      <c r="I1968" s="11" t="n"/>
      <c r="J1968" s="11" t="n"/>
      <c r="K1968" s="11" t="n"/>
      <c r="L1968" s="11" t="n"/>
      <c r="M1968" s="11" t="n"/>
      <c r="N1968" s="11" t="n"/>
      <c r="O1968" s="12" t="n"/>
    </row>
    <row r="1969">
      <c r="A1969" s="11" t="n"/>
      <c r="B1969" s="11" t="n"/>
      <c r="C1969" s="11" t="n"/>
      <c r="D1969" s="11" t="n"/>
      <c r="E1969" s="11" t="n"/>
      <c r="F1969" s="11" t="n"/>
      <c r="G1969" s="11" t="n"/>
      <c r="H1969" s="11" t="n"/>
      <c r="I1969" s="11" t="n"/>
      <c r="J1969" s="11" t="n"/>
      <c r="K1969" s="11" t="n"/>
      <c r="L1969" s="11" t="n"/>
      <c r="M1969" s="11" t="n"/>
      <c r="N1969" s="11" t="n"/>
      <c r="O1969" s="12" t="n"/>
    </row>
    <row r="1970">
      <c r="A1970" s="11" t="n"/>
      <c r="B1970" s="11" t="n"/>
      <c r="C1970" s="11" t="n"/>
      <c r="D1970" s="11" t="n"/>
      <c r="E1970" s="11" t="n"/>
      <c r="F1970" s="11" t="n"/>
      <c r="G1970" s="11" t="n"/>
      <c r="H1970" s="11" t="n"/>
      <c r="I1970" s="11" t="n"/>
      <c r="J1970" s="11" t="n"/>
      <c r="K1970" s="11" t="n"/>
      <c r="L1970" s="11" t="n"/>
      <c r="M1970" s="11" t="n"/>
      <c r="N1970" s="11" t="n"/>
      <c r="O1970" s="12" t="n"/>
    </row>
    <row r="1971">
      <c r="A1971" s="11" t="n"/>
      <c r="B1971" s="11" t="n"/>
      <c r="C1971" s="11" t="n"/>
      <c r="D1971" s="11" t="n"/>
      <c r="E1971" s="11" t="n"/>
      <c r="F1971" s="11" t="n"/>
      <c r="G1971" s="11" t="n"/>
      <c r="H1971" s="11" t="n"/>
      <c r="I1971" s="11" t="n"/>
      <c r="J1971" s="11" t="n"/>
      <c r="K1971" s="11" t="n"/>
      <c r="L1971" s="11" t="n"/>
      <c r="M1971" s="11" t="n"/>
      <c r="N1971" s="11" t="n"/>
      <c r="O1971" s="12" t="n"/>
    </row>
    <row r="1972">
      <c r="A1972" s="11" t="n"/>
      <c r="B1972" s="11" t="n"/>
      <c r="C1972" s="11" t="n"/>
      <c r="D1972" s="11" t="n"/>
      <c r="E1972" s="11" t="n"/>
      <c r="F1972" s="11" t="n"/>
      <c r="G1972" s="11" t="n"/>
      <c r="H1972" s="11" t="n"/>
      <c r="I1972" s="11" t="n"/>
      <c r="J1972" s="11" t="n"/>
      <c r="K1972" s="11" t="n"/>
      <c r="L1972" s="11" t="n"/>
      <c r="M1972" s="11" t="n"/>
      <c r="N1972" s="11" t="n"/>
      <c r="O1972" s="12" t="n"/>
    </row>
    <row r="1973">
      <c r="A1973" s="11" t="n"/>
      <c r="B1973" s="11" t="n"/>
      <c r="C1973" s="11" t="n"/>
      <c r="D1973" s="11" t="n"/>
      <c r="E1973" s="11" t="n"/>
      <c r="F1973" s="11" t="n"/>
      <c r="G1973" s="11" t="n"/>
      <c r="H1973" s="11" t="n"/>
      <c r="I1973" s="11" t="n"/>
      <c r="J1973" s="11" t="n"/>
      <c r="K1973" s="11" t="n"/>
      <c r="L1973" s="11" t="n"/>
      <c r="M1973" s="11" t="n"/>
      <c r="N1973" s="11" t="n"/>
      <c r="O1973" s="12" t="n"/>
    </row>
    <row r="1974">
      <c r="A1974" s="11" t="n"/>
      <c r="B1974" s="11" t="n"/>
      <c r="C1974" s="11" t="n"/>
      <c r="D1974" s="11" t="n"/>
      <c r="E1974" s="11" t="n"/>
      <c r="F1974" s="11" t="n"/>
      <c r="G1974" s="11" t="n"/>
      <c r="H1974" s="11" t="n"/>
      <c r="I1974" s="11" t="n"/>
      <c r="J1974" s="11" t="n"/>
      <c r="K1974" s="11" t="n"/>
      <c r="L1974" s="11" t="n"/>
      <c r="M1974" s="11" t="n"/>
      <c r="N1974" s="11" t="n"/>
      <c r="O1974" s="12" t="n"/>
    </row>
    <row r="1975">
      <c r="A1975" s="11" t="n"/>
      <c r="B1975" s="11" t="n"/>
      <c r="C1975" s="11" t="n"/>
      <c r="D1975" s="11" t="n"/>
      <c r="E1975" s="11" t="n"/>
      <c r="F1975" s="11" t="n"/>
      <c r="G1975" s="11" t="n"/>
      <c r="H1975" s="11" t="n"/>
      <c r="I1975" s="11" t="n"/>
      <c r="J1975" s="11" t="n"/>
      <c r="K1975" s="11" t="n"/>
      <c r="L1975" s="11" t="n"/>
      <c r="M1975" s="11" t="n"/>
      <c r="N1975" s="11" t="n"/>
      <c r="O1975" s="12" t="n"/>
    </row>
    <row r="1976">
      <c r="A1976" s="11" t="n"/>
      <c r="B1976" s="11" t="n"/>
      <c r="C1976" s="11" t="n"/>
      <c r="D1976" s="11" t="n"/>
      <c r="E1976" s="11" t="n"/>
      <c r="F1976" s="11" t="n"/>
      <c r="G1976" s="11" t="n"/>
      <c r="H1976" s="11" t="n"/>
      <c r="I1976" s="11" t="n"/>
      <c r="J1976" s="11" t="n"/>
      <c r="K1976" s="11" t="n"/>
      <c r="L1976" s="11" t="n"/>
      <c r="M1976" s="11" t="n"/>
      <c r="N1976" s="11" t="n"/>
      <c r="O1976" s="12" t="n"/>
    </row>
    <row r="1977">
      <c r="A1977" s="11" t="n"/>
      <c r="B1977" s="11" t="n"/>
      <c r="C1977" s="11" t="n"/>
      <c r="D1977" s="11" t="n"/>
      <c r="E1977" s="11" t="n"/>
      <c r="F1977" s="11" t="n"/>
      <c r="G1977" s="11" t="n"/>
      <c r="H1977" s="11" t="n"/>
      <c r="I1977" s="11" t="n"/>
      <c r="J1977" s="11" t="n"/>
      <c r="K1977" s="11" t="n"/>
      <c r="L1977" s="11" t="n"/>
      <c r="M1977" s="11" t="n"/>
      <c r="N1977" s="11" t="n"/>
      <c r="O1977" s="12" t="n"/>
    </row>
    <row r="1978">
      <c r="A1978" s="11" t="n"/>
      <c r="B1978" s="11" t="n"/>
      <c r="C1978" s="11" t="n"/>
      <c r="D1978" s="11" t="n"/>
      <c r="E1978" s="11" t="n"/>
      <c r="F1978" s="11" t="n"/>
      <c r="G1978" s="11" t="n"/>
      <c r="H1978" s="11" t="n"/>
      <c r="I1978" s="11" t="n"/>
      <c r="J1978" s="11" t="n"/>
      <c r="K1978" s="11" t="n"/>
      <c r="L1978" s="11" t="n"/>
      <c r="M1978" s="11" t="n"/>
      <c r="N1978" s="11" t="n"/>
      <c r="O1978" s="12" t="n"/>
    </row>
    <row r="1979">
      <c r="A1979" s="11" t="n"/>
      <c r="B1979" s="11" t="n"/>
      <c r="C1979" s="11" t="n"/>
      <c r="D1979" s="11" t="n"/>
      <c r="E1979" s="11" t="n"/>
      <c r="F1979" s="11" t="n"/>
      <c r="G1979" s="11" t="n"/>
      <c r="H1979" s="11" t="n"/>
      <c r="I1979" s="11" t="n"/>
      <c r="J1979" s="11" t="n"/>
      <c r="K1979" s="11" t="n"/>
      <c r="L1979" s="11" t="n"/>
      <c r="M1979" s="11" t="n"/>
      <c r="N1979" s="11" t="n"/>
      <c r="O1979" s="12" t="n"/>
    </row>
    <row r="1980">
      <c r="A1980" s="11" t="n"/>
      <c r="B1980" s="11" t="n"/>
      <c r="C1980" s="11" t="n"/>
      <c r="D1980" s="11" t="n"/>
      <c r="E1980" s="11" t="n"/>
      <c r="F1980" s="11" t="n"/>
      <c r="G1980" s="11" t="n"/>
      <c r="H1980" s="11" t="n"/>
      <c r="I1980" s="11" t="n"/>
      <c r="J1980" s="11" t="n"/>
      <c r="K1980" s="11" t="n"/>
      <c r="L1980" s="11" t="n"/>
      <c r="M1980" s="11" t="n"/>
      <c r="N1980" s="11" t="n"/>
      <c r="O1980" s="12" t="n"/>
    </row>
    <row r="1981">
      <c r="A1981" s="11" t="n"/>
      <c r="B1981" s="11" t="n"/>
      <c r="C1981" s="11" t="n"/>
      <c r="D1981" s="11" t="n"/>
      <c r="E1981" s="11" t="n"/>
      <c r="F1981" s="11" t="n"/>
      <c r="G1981" s="11" t="n"/>
      <c r="H1981" s="11" t="n"/>
      <c r="I1981" s="11" t="n"/>
      <c r="J1981" s="11" t="n"/>
      <c r="K1981" s="11" t="n"/>
      <c r="L1981" s="11" t="n"/>
      <c r="M1981" s="11" t="n"/>
      <c r="N1981" s="11" t="n"/>
      <c r="O1981" s="12" t="n"/>
    </row>
    <row r="1982">
      <c r="A1982" s="11" t="n"/>
      <c r="B1982" s="11" t="n"/>
      <c r="C1982" s="11" t="n"/>
      <c r="D1982" s="11" t="n"/>
      <c r="E1982" s="11" t="n"/>
      <c r="F1982" s="11" t="n"/>
      <c r="G1982" s="11" t="n"/>
      <c r="H1982" s="11" t="n"/>
      <c r="I1982" s="11" t="n"/>
      <c r="J1982" s="11" t="n"/>
      <c r="K1982" s="11" t="n"/>
      <c r="L1982" s="11" t="n"/>
      <c r="M1982" s="11" t="n"/>
      <c r="N1982" s="11" t="n"/>
      <c r="O1982" s="12" t="n"/>
    </row>
    <row r="1983">
      <c r="A1983" s="11" t="n"/>
      <c r="B1983" s="11" t="n"/>
      <c r="C1983" s="11" t="n"/>
      <c r="D1983" s="11" t="n"/>
      <c r="E1983" s="11" t="n"/>
      <c r="F1983" s="11" t="n"/>
      <c r="G1983" s="11" t="n"/>
      <c r="H1983" s="11" t="n"/>
      <c r="I1983" s="11" t="n"/>
      <c r="J1983" s="11" t="n"/>
      <c r="K1983" s="11" t="n"/>
      <c r="L1983" s="11" t="n"/>
      <c r="M1983" s="11" t="n"/>
      <c r="N1983" s="11" t="n"/>
      <c r="O1983" s="12" t="n"/>
    </row>
    <row r="1984">
      <c r="A1984" s="11" t="n"/>
      <c r="B1984" s="11" t="n"/>
      <c r="C1984" s="11" t="n"/>
      <c r="D1984" s="11" t="n"/>
      <c r="E1984" s="11" t="n"/>
      <c r="F1984" s="11" t="n"/>
      <c r="G1984" s="11" t="n"/>
      <c r="H1984" s="11" t="n"/>
      <c r="I1984" s="11" t="n"/>
      <c r="J1984" s="11" t="n"/>
      <c r="K1984" s="11" t="n"/>
      <c r="L1984" s="11" t="n"/>
      <c r="M1984" s="11" t="n"/>
      <c r="N1984" s="11" t="n"/>
      <c r="O1984" s="12" t="n"/>
    </row>
    <row r="1985">
      <c r="A1985" s="11" t="n"/>
      <c r="B1985" s="11" t="n"/>
      <c r="C1985" s="11" t="n"/>
      <c r="D1985" s="11" t="n"/>
      <c r="E1985" s="11" t="n"/>
      <c r="F1985" s="11" t="n"/>
      <c r="G1985" s="11" t="n"/>
      <c r="H1985" s="11" t="n"/>
      <c r="I1985" s="11" t="n"/>
      <c r="J1985" s="11" t="n"/>
      <c r="K1985" s="11" t="n"/>
      <c r="L1985" s="11" t="n"/>
      <c r="M1985" s="11" t="n"/>
      <c r="N1985" s="11" t="n"/>
      <c r="O1985" s="12" t="n"/>
    </row>
    <row r="1986">
      <c r="A1986" s="11" t="n"/>
      <c r="B1986" s="11" t="n"/>
      <c r="C1986" s="11" t="n"/>
      <c r="D1986" s="11" t="n"/>
      <c r="E1986" s="11" t="n"/>
      <c r="F1986" s="11" t="n"/>
      <c r="G1986" s="11" t="n"/>
      <c r="H1986" s="11" t="n"/>
      <c r="I1986" s="11" t="n"/>
      <c r="J1986" s="11" t="n"/>
      <c r="K1986" s="11" t="n"/>
      <c r="L1986" s="11" t="n"/>
      <c r="M1986" s="11" t="n"/>
      <c r="N1986" s="11" t="n"/>
      <c r="O1986" s="12" t="n"/>
    </row>
    <row r="1987">
      <c r="A1987" s="11" t="n"/>
      <c r="B1987" s="11" t="n"/>
      <c r="C1987" s="11" t="n"/>
      <c r="D1987" s="11" t="n"/>
      <c r="E1987" s="11" t="n"/>
      <c r="F1987" s="11" t="n"/>
      <c r="G1987" s="11" t="n"/>
      <c r="H1987" s="11" t="n"/>
      <c r="I1987" s="11" t="n"/>
      <c r="J1987" s="11" t="n"/>
      <c r="K1987" s="11" t="n"/>
      <c r="L1987" s="11" t="n"/>
      <c r="M1987" s="11" t="n"/>
      <c r="N1987" s="11" t="n"/>
      <c r="O1987" s="12" t="n"/>
    </row>
    <row r="1988">
      <c r="A1988" s="11" t="n"/>
      <c r="B1988" s="11" t="n"/>
      <c r="C1988" s="11" t="n"/>
      <c r="D1988" s="11" t="n"/>
      <c r="E1988" s="11" t="n"/>
      <c r="F1988" s="11" t="n"/>
      <c r="G1988" s="11" t="n"/>
      <c r="H1988" s="11" t="n"/>
      <c r="I1988" s="11" t="n"/>
      <c r="J1988" s="11" t="n"/>
      <c r="K1988" s="11" t="n"/>
      <c r="L1988" s="11" t="n"/>
      <c r="M1988" s="11" t="n"/>
      <c r="N1988" s="11" t="n"/>
      <c r="O1988" s="12" t="n"/>
    </row>
    <row r="1989">
      <c r="A1989" s="11" t="n"/>
      <c r="B1989" s="11" t="n"/>
      <c r="C1989" s="11" t="n"/>
      <c r="D1989" s="11" t="n"/>
      <c r="E1989" s="11" t="n"/>
      <c r="F1989" s="11" t="n"/>
      <c r="G1989" s="11" t="n"/>
      <c r="H1989" s="11" t="n"/>
      <c r="I1989" s="11" t="n"/>
      <c r="J1989" s="11" t="n"/>
      <c r="K1989" s="11" t="n"/>
      <c r="L1989" s="11" t="n"/>
      <c r="M1989" s="11" t="n"/>
      <c r="N1989" s="11" t="n"/>
      <c r="O1989" s="12" t="n"/>
    </row>
    <row r="1990">
      <c r="A1990" s="11" t="n"/>
      <c r="B1990" s="11" t="n"/>
      <c r="C1990" s="11" t="n"/>
      <c r="D1990" s="11" t="n"/>
      <c r="E1990" s="11" t="n"/>
      <c r="F1990" s="11" t="n"/>
      <c r="G1990" s="11" t="n"/>
      <c r="H1990" s="11" t="n"/>
      <c r="I1990" s="11" t="n"/>
      <c r="J1990" s="11" t="n"/>
      <c r="K1990" s="11" t="n"/>
      <c r="L1990" s="11" t="n"/>
      <c r="M1990" s="11" t="n"/>
      <c r="N1990" s="11" t="n"/>
      <c r="O1990" s="12" t="n"/>
    </row>
    <row r="1991">
      <c r="A1991" s="11" t="n"/>
      <c r="B1991" s="11" t="n"/>
      <c r="C1991" s="11" t="n"/>
      <c r="D1991" s="11" t="n"/>
      <c r="E1991" s="11" t="n"/>
      <c r="F1991" s="11" t="n"/>
      <c r="G1991" s="11" t="n"/>
      <c r="H1991" s="11" t="n"/>
      <c r="I1991" s="11" t="n"/>
      <c r="J1991" s="11" t="n"/>
      <c r="K1991" s="11" t="n"/>
      <c r="L1991" s="11" t="n"/>
      <c r="M1991" s="11" t="n"/>
      <c r="N1991" s="11" t="n"/>
      <c r="O1991" s="12" t="n"/>
    </row>
    <row r="1992">
      <c r="A1992" s="11" t="n"/>
      <c r="B1992" s="11" t="n"/>
      <c r="C1992" s="11" t="n"/>
      <c r="D1992" s="11" t="n"/>
      <c r="E1992" s="11" t="n"/>
      <c r="F1992" s="11" t="n"/>
      <c r="G1992" s="11" t="n"/>
      <c r="H1992" s="11" t="n"/>
      <c r="I1992" s="11" t="n"/>
      <c r="J1992" s="11" t="n"/>
      <c r="K1992" s="11" t="n"/>
      <c r="L1992" s="11" t="n"/>
      <c r="M1992" s="11" t="n"/>
      <c r="N1992" s="11" t="n"/>
      <c r="O1992" s="12" t="n"/>
    </row>
    <row r="1993">
      <c r="A1993" s="11" t="n"/>
      <c r="B1993" s="11" t="n"/>
      <c r="C1993" s="11" t="n"/>
      <c r="D1993" s="11" t="n"/>
      <c r="E1993" s="11" t="n"/>
      <c r="F1993" s="11" t="n"/>
      <c r="G1993" s="11" t="n"/>
      <c r="H1993" s="11" t="n"/>
      <c r="I1993" s="11" t="n"/>
      <c r="J1993" s="11" t="n"/>
      <c r="K1993" s="11" t="n"/>
      <c r="L1993" s="11" t="n"/>
      <c r="M1993" s="11" t="n"/>
      <c r="N1993" s="11" t="n"/>
      <c r="O1993" s="12" t="n"/>
    </row>
    <row r="1994">
      <c r="A1994" s="11" t="n"/>
      <c r="B1994" s="11" t="n"/>
      <c r="C1994" s="11" t="n"/>
      <c r="D1994" s="11" t="n"/>
      <c r="E1994" s="11" t="n"/>
      <c r="F1994" s="11" t="n"/>
      <c r="G1994" s="11" t="n"/>
      <c r="H1994" s="11" t="n"/>
      <c r="I1994" s="11" t="n"/>
      <c r="J1994" s="11" t="n"/>
      <c r="K1994" s="11" t="n"/>
      <c r="L1994" s="11" t="n"/>
      <c r="M1994" s="11" t="n"/>
      <c r="N1994" s="11" t="n"/>
      <c r="O1994" s="12" t="n"/>
    </row>
    <row r="1995">
      <c r="A1995" s="11" t="n"/>
      <c r="B1995" s="11" t="n"/>
      <c r="C1995" s="11" t="n"/>
      <c r="D1995" s="11" t="n"/>
      <c r="E1995" s="11" t="n"/>
      <c r="F1995" s="11" t="n"/>
      <c r="G1995" s="11" t="n"/>
      <c r="H1995" s="11" t="n"/>
      <c r="I1995" s="11" t="n"/>
      <c r="J1995" s="11" t="n"/>
      <c r="K1995" s="11" t="n"/>
      <c r="L1995" s="11" t="n"/>
      <c r="M1995" s="11" t="n"/>
      <c r="N1995" s="11" t="n"/>
      <c r="O1995" s="12" t="n"/>
    </row>
    <row r="1996">
      <c r="A1996" s="11" t="n"/>
      <c r="B1996" s="11" t="n"/>
      <c r="C1996" s="11" t="n"/>
      <c r="D1996" s="11" t="n"/>
      <c r="E1996" s="11" t="n"/>
      <c r="F1996" s="11" t="n"/>
      <c r="G1996" s="11" t="n"/>
      <c r="H1996" s="11" t="n"/>
      <c r="I1996" s="11" t="n"/>
      <c r="J1996" s="11" t="n"/>
      <c r="K1996" s="11" t="n"/>
      <c r="L1996" s="11" t="n"/>
      <c r="M1996" s="11" t="n"/>
      <c r="N1996" s="11" t="n"/>
      <c r="O1996" s="12" t="n"/>
    </row>
    <row r="1997">
      <c r="A1997" s="11" t="n"/>
      <c r="B1997" s="11" t="n"/>
      <c r="C1997" s="11" t="n"/>
      <c r="D1997" s="11" t="n"/>
      <c r="E1997" s="11" t="n"/>
      <c r="F1997" s="11" t="n"/>
      <c r="G1997" s="11" t="n"/>
      <c r="H1997" s="11" t="n"/>
      <c r="I1997" s="11" t="n"/>
      <c r="J1997" s="11" t="n"/>
      <c r="K1997" s="11" t="n"/>
      <c r="L1997" s="11" t="n"/>
      <c r="M1997" s="11" t="n"/>
      <c r="N1997" s="11" t="n"/>
      <c r="O1997" s="12" t="n"/>
    </row>
    <row r="1998">
      <c r="A1998" s="11" t="n"/>
      <c r="B1998" s="11" t="n"/>
      <c r="C1998" s="11" t="n"/>
      <c r="D1998" s="11" t="n"/>
      <c r="E1998" s="11" t="n"/>
      <c r="F1998" s="11" t="n"/>
      <c r="G1998" s="11" t="n"/>
      <c r="H1998" s="11" t="n"/>
      <c r="I1998" s="11" t="n"/>
      <c r="J1998" s="11" t="n"/>
      <c r="K1998" s="11" t="n"/>
      <c r="L1998" s="11" t="n"/>
      <c r="M1998" s="11" t="n"/>
      <c r="N1998" s="11" t="n"/>
      <c r="O1998" s="12" t="n"/>
    </row>
    <row r="1999">
      <c r="A1999" s="11" t="n"/>
      <c r="B1999" s="11" t="n"/>
      <c r="C1999" s="11" t="n"/>
      <c r="D1999" s="11" t="n"/>
      <c r="E1999" s="11" t="n"/>
      <c r="F1999" s="11" t="n"/>
      <c r="G1999" s="11" t="n"/>
      <c r="H1999" s="11" t="n"/>
      <c r="I1999" s="11" t="n"/>
      <c r="J1999" s="11" t="n"/>
      <c r="K1999" s="11" t="n"/>
      <c r="L1999" s="11" t="n"/>
      <c r="M1999" s="11" t="n"/>
      <c r="N1999" s="11" t="n"/>
      <c r="O1999" s="12" t="n"/>
    </row>
    <row r="2000">
      <c r="A2000" s="11" t="n"/>
      <c r="B2000" s="11" t="n"/>
      <c r="C2000" s="11" t="n"/>
      <c r="D2000" s="11" t="n"/>
      <c r="E2000" s="11" t="n"/>
      <c r="F2000" s="11" t="n"/>
      <c r="G2000" s="11" t="n"/>
      <c r="H2000" s="11" t="n"/>
      <c r="I2000" s="11" t="n"/>
      <c r="J2000" s="11" t="n"/>
      <c r="K2000" s="11" t="n"/>
      <c r="L2000" s="11" t="n"/>
      <c r="M2000" s="11" t="n"/>
      <c r="N2000" s="11" t="n"/>
      <c r="O2000" s="12" t="n"/>
    </row>
    <row r="2001">
      <c r="A2001" s="11" t="n"/>
      <c r="B2001" s="11" t="n"/>
      <c r="C2001" s="11" t="n"/>
      <c r="D2001" s="11" t="n"/>
      <c r="E2001" s="11" t="n"/>
      <c r="F2001" s="11" t="n"/>
      <c r="G2001" s="11" t="n"/>
      <c r="H2001" s="11" t="n"/>
      <c r="I2001" s="11" t="n"/>
      <c r="J2001" s="11" t="n"/>
      <c r="K2001" s="11" t="n"/>
      <c r="L2001" s="11" t="n"/>
      <c r="M2001" s="11" t="n"/>
      <c r="N2001" s="11" t="n"/>
      <c r="O2001" s="12" t="n"/>
    </row>
    <row r="2002">
      <c r="A2002" s="11" t="n"/>
      <c r="B2002" s="11" t="n"/>
      <c r="C2002" s="11" t="n"/>
      <c r="D2002" s="11" t="n"/>
      <c r="E2002" s="11" t="n"/>
      <c r="F2002" s="11" t="n"/>
      <c r="G2002" s="11" t="n"/>
      <c r="H2002" s="11" t="n"/>
      <c r="I2002" s="11" t="n"/>
      <c r="J2002" s="11" t="n"/>
      <c r="K2002" s="11" t="n"/>
      <c r="L2002" s="11" t="n"/>
      <c r="M2002" s="11" t="n"/>
      <c r="N2002" s="11" t="n"/>
      <c r="O2002" s="12" t="n"/>
    </row>
    <row r="2003">
      <c r="A2003" s="11" t="n"/>
      <c r="B2003" s="11" t="n"/>
      <c r="C2003" s="11" t="n"/>
      <c r="D2003" s="11" t="n"/>
      <c r="E2003" s="11" t="n"/>
      <c r="F2003" s="11" t="n"/>
      <c r="G2003" s="11" t="n"/>
      <c r="H2003" s="11" t="n"/>
      <c r="I2003" s="11" t="n"/>
      <c r="J2003" s="11" t="n"/>
      <c r="K2003" s="11" t="n"/>
      <c r="L2003" s="11" t="n"/>
      <c r="M2003" s="11" t="n"/>
      <c r="N2003" s="11" t="n"/>
      <c r="O2003" s="12" t="n"/>
    </row>
    <row r="2004">
      <c r="A2004" s="11" t="n"/>
      <c r="B2004" s="11" t="n"/>
      <c r="C2004" s="11" t="n"/>
      <c r="D2004" s="11" t="n"/>
      <c r="E2004" s="11" t="n"/>
      <c r="F2004" s="11" t="n"/>
      <c r="G2004" s="11" t="n"/>
      <c r="H2004" s="11" t="n"/>
      <c r="I2004" s="11" t="n"/>
      <c r="J2004" s="11" t="n"/>
      <c r="K2004" s="11" t="n"/>
      <c r="L2004" s="11" t="n"/>
      <c r="M2004" s="11" t="n"/>
      <c r="N2004" s="11" t="n"/>
      <c r="O2004" s="12" t="n"/>
    </row>
    <row r="2005">
      <c r="A2005" s="11" t="n"/>
      <c r="B2005" s="11" t="n"/>
      <c r="C2005" s="11" t="n"/>
      <c r="D2005" s="11" t="n"/>
      <c r="E2005" s="11" t="n"/>
      <c r="F2005" s="11" t="n"/>
      <c r="G2005" s="11" t="n"/>
      <c r="H2005" s="11" t="n"/>
      <c r="I2005" s="11" t="n"/>
      <c r="J2005" s="11" t="n"/>
      <c r="K2005" s="11" t="n"/>
      <c r="L2005" s="11" t="n"/>
      <c r="M2005" s="11" t="n"/>
      <c r="N2005" s="11" t="n"/>
      <c r="O2005" s="12" t="n"/>
    </row>
    <row r="2006">
      <c r="A2006" s="11" t="n"/>
      <c r="B2006" s="11" t="n"/>
      <c r="C2006" s="11" t="n"/>
      <c r="D2006" s="11" t="n"/>
      <c r="E2006" s="11" t="n"/>
      <c r="F2006" s="11" t="n"/>
      <c r="G2006" s="11" t="n"/>
      <c r="H2006" s="11" t="n"/>
      <c r="I2006" s="11" t="n"/>
      <c r="J2006" s="11" t="n"/>
      <c r="K2006" s="11" t="n"/>
      <c r="L2006" s="11" t="n"/>
      <c r="M2006" s="11" t="n"/>
      <c r="N2006" s="11" t="n"/>
      <c r="O2006" s="12" t="n"/>
    </row>
    <row r="2007">
      <c r="A2007" s="11" t="n"/>
      <c r="B2007" s="11" t="n"/>
      <c r="C2007" s="11" t="n"/>
      <c r="D2007" s="11" t="n"/>
      <c r="E2007" s="11" t="n"/>
      <c r="F2007" s="11" t="n"/>
      <c r="G2007" s="11" t="n"/>
      <c r="H2007" s="11" t="n"/>
      <c r="I2007" s="11" t="n"/>
      <c r="J2007" s="11" t="n"/>
      <c r="K2007" s="11" t="n"/>
      <c r="L2007" s="11" t="n"/>
      <c r="M2007" s="11" t="n"/>
      <c r="N2007" s="11" t="n"/>
      <c r="O2007" s="12" t="n"/>
    </row>
    <row r="2008">
      <c r="A2008" s="11" t="n"/>
      <c r="B2008" s="11" t="n"/>
      <c r="C2008" s="11" t="n"/>
      <c r="D2008" s="11" t="n"/>
      <c r="E2008" s="11" t="n"/>
      <c r="F2008" s="11" t="n"/>
      <c r="G2008" s="11" t="n"/>
      <c r="H2008" s="11" t="n"/>
      <c r="I2008" s="11" t="n"/>
      <c r="J2008" s="11" t="n"/>
      <c r="K2008" s="11" t="n"/>
      <c r="L2008" s="11" t="n"/>
      <c r="M2008" s="11" t="n"/>
      <c r="N2008" s="11" t="n"/>
      <c r="O2008" s="12" t="n"/>
    </row>
    <row r="2009">
      <c r="A2009" s="11" t="n"/>
      <c r="B2009" s="11" t="n"/>
      <c r="C2009" s="11" t="n"/>
      <c r="D2009" s="11" t="n"/>
      <c r="E2009" s="11" t="n"/>
      <c r="F2009" s="11" t="n"/>
      <c r="G2009" s="11" t="n"/>
      <c r="H2009" s="11" t="n"/>
      <c r="I2009" s="11" t="n"/>
      <c r="J2009" s="11" t="n"/>
      <c r="K2009" s="11" t="n"/>
      <c r="L2009" s="11" t="n"/>
      <c r="M2009" s="11" t="n"/>
      <c r="N2009" s="11" t="n"/>
      <c r="O2009" s="12" t="n"/>
    </row>
    <row r="2010">
      <c r="A2010" s="11" t="n"/>
      <c r="B2010" s="11" t="n"/>
      <c r="C2010" s="11" t="n"/>
      <c r="D2010" s="11" t="n"/>
      <c r="E2010" s="11" t="n"/>
      <c r="F2010" s="11" t="n"/>
      <c r="G2010" s="11" t="n"/>
      <c r="H2010" s="11" t="n"/>
      <c r="I2010" s="11" t="n"/>
      <c r="J2010" s="11" t="n"/>
      <c r="K2010" s="11" t="n"/>
      <c r="L2010" s="11" t="n"/>
      <c r="M2010" s="11" t="n"/>
      <c r="N2010" s="11" t="n"/>
      <c r="O2010" s="12" t="n"/>
    </row>
    <row r="2011">
      <c r="A2011" s="11" t="n"/>
      <c r="B2011" s="11" t="n"/>
      <c r="C2011" s="11" t="n"/>
      <c r="D2011" s="11" t="n"/>
      <c r="E2011" s="11" t="n"/>
      <c r="F2011" s="11" t="n"/>
      <c r="G2011" s="11" t="n"/>
      <c r="H2011" s="11" t="n"/>
      <c r="I2011" s="11" t="n"/>
      <c r="J2011" s="11" t="n"/>
      <c r="K2011" s="11" t="n"/>
      <c r="L2011" s="11" t="n"/>
      <c r="M2011" s="11" t="n"/>
      <c r="N2011" s="11" t="n"/>
      <c r="O2011" s="12" t="n"/>
    </row>
    <row r="2012">
      <c r="A2012" s="11" t="n"/>
      <c r="B2012" s="11" t="n"/>
      <c r="C2012" s="11" t="n"/>
      <c r="D2012" s="11" t="n"/>
      <c r="E2012" s="11" t="n"/>
      <c r="F2012" s="11" t="n"/>
      <c r="G2012" s="11" t="n"/>
      <c r="H2012" s="11" t="n"/>
      <c r="I2012" s="11" t="n"/>
      <c r="J2012" s="11" t="n"/>
      <c r="K2012" s="11" t="n"/>
      <c r="L2012" s="11" t="n"/>
      <c r="M2012" s="11" t="n"/>
      <c r="N2012" s="11" t="n"/>
      <c r="O2012" s="12" t="n"/>
    </row>
    <row r="2013">
      <c r="A2013" s="11" t="n"/>
      <c r="B2013" s="11" t="n"/>
      <c r="C2013" s="11" t="n"/>
      <c r="D2013" s="11" t="n"/>
      <c r="E2013" s="11" t="n"/>
      <c r="F2013" s="11" t="n"/>
      <c r="G2013" s="11" t="n"/>
      <c r="H2013" s="11" t="n"/>
      <c r="I2013" s="11" t="n"/>
      <c r="J2013" s="11" t="n"/>
      <c r="K2013" s="11" t="n"/>
      <c r="L2013" s="11" t="n"/>
      <c r="M2013" s="11" t="n"/>
      <c r="N2013" s="11" t="n"/>
      <c r="O2013" s="12" t="n"/>
    </row>
    <row r="2014">
      <c r="A2014" s="11" t="n"/>
      <c r="B2014" s="11" t="n"/>
      <c r="C2014" s="11" t="n"/>
      <c r="D2014" s="11" t="n"/>
      <c r="E2014" s="11" t="n"/>
      <c r="F2014" s="11" t="n"/>
      <c r="G2014" s="11" t="n"/>
      <c r="H2014" s="11" t="n"/>
      <c r="I2014" s="11" t="n"/>
      <c r="J2014" s="11" t="n"/>
      <c r="K2014" s="11" t="n"/>
      <c r="L2014" s="11" t="n"/>
      <c r="M2014" s="11" t="n"/>
      <c r="N2014" s="11" t="n"/>
      <c r="O2014" s="12" t="n"/>
    </row>
    <row r="2015">
      <c r="A2015" s="11" t="n"/>
      <c r="B2015" s="11" t="n"/>
      <c r="C2015" s="11" t="n"/>
      <c r="D2015" s="11" t="n"/>
      <c r="E2015" s="11" t="n"/>
      <c r="F2015" s="11" t="n"/>
      <c r="G2015" s="11" t="n"/>
      <c r="H2015" s="11" t="n"/>
      <c r="I2015" s="11" t="n"/>
      <c r="J2015" s="11" t="n"/>
      <c r="K2015" s="11" t="n"/>
      <c r="L2015" s="11" t="n"/>
      <c r="M2015" s="11" t="n"/>
      <c r="N2015" s="11" t="n"/>
      <c r="O2015" s="12" t="n"/>
    </row>
    <row r="2016">
      <c r="A2016" s="11" t="n"/>
      <c r="B2016" s="11" t="n"/>
      <c r="C2016" s="11" t="n"/>
      <c r="D2016" s="11" t="n"/>
      <c r="E2016" s="11" t="n"/>
      <c r="F2016" s="11" t="n"/>
      <c r="G2016" s="11" t="n"/>
      <c r="H2016" s="11" t="n"/>
      <c r="I2016" s="11" t="n"/>
      <c r="J2016" s="11" t="n"/>
      <c r="K2016" s="11" t="n"/>
      <c r="L2016" s="11" t="n"/>
      <c r="M2016" s="11" t="n"/>
      <c r="N2016" s="11" t="n"/>
      <c r="O2016" s="12" t="n"/>
    </row>
    <row r="2017">
      <c r="A2017" s="11" t="n"/>
      <c r="B2017" s="11" t="n"/>
      <c r="C2017" s="11" t="n"/>
      <c r="D2017" s="11" t="n"/>
      <c r="E2017" s="11" t="n"/>
      <c r="F2017" s="11" t="n"/>
      <c r="G2017" s="11" t="n"/>
      <c r="H2017" s="11" t="n"/>
      <c r="I2017" s="11" t="n"/>
      <c r="J2017" s="11" t="n"/>
      <c r="K2017" s="11" t="n"/>
      <c r="L2017" s="11" t="n"/>
      <c r="M2017" s="11" t="n"/>
      <c r="N2017" s="11" t="n"/>
      <c r="O2017" s="12" t="n"/>
    </row>
    <row r="2018">
      <c r="A2018" s="11" t="n"/>
      <c r="B2018" s="11" t="n"/>
      <c r="C2018" s="11" t="n"/>
      <c r="D2018" s="11" t="n"/>
      <c r="E2018" s="11" t="n"/>
      <c r="F2018" s="11" t="n"/>
      <c r="G2018" s="11" t="n"/>
      <c r="H2018" s="11" t="n"/>
      <c r="I2018" s="11" t="n"/>
      <c r="J2018" s="11" t="n"/>
      <c r="K2018" s="11" t="n"/>
      <c r="L2018" s="11" t="n"/>
      <c r="M2018" s="11" t="n"/>
      <c r="N2018" s="11" t="n"/>
      <c r="O2018" s="12" t="n"/>
    </row>
    <row r="2019">
      <c r="A2019" s="11" t="n"/>
      <c r="B2019" s="11" t="n"/>
      <c r="C2019" s="11" t="n"/>
      <c r="D2019" s="11" t="n"/>
      <c r="E2019" s="11" t="n"/>
      <c r="F2019" s="11" t="n"/>
      <c r="G2019" s="11" t="n"/>
      <c r="H2019" s="11" t="n"/>
      <c r="I2019" s="11" t="n"/>
      <c r="J2019" s="11" t="n"/>
      <c r="K2019" s="11" t="n"/>
      <c r="L2019" s="11" t="n"/>
      <c r="M2019" s="11" t="n"/>
      <c r="N2019" s="11" t="n"/>
      <c r="O2019" s="12" t="n"/>
    </row>
    <row r="2020">
      <c r="A2020" s="11" t="n"/>
      <c r="B2020" s="11" t="n"/>
      <c r="C2020" s="11" t="n"/>
      <c r="D2020" s="11" t="n"/>
      <c r="E2020" s="11" t="n"/>
      <c r="F2020" s="11" t="n"/>
      <c r="G2020" s="11" t="n"/>
      <c r="H2020" s="11" t="n"/>
      <c r="I2020" s="11" t="n"/>
      <c r="J2020" s="11" t="n"/>
      <c r="K2020" s="11" t="n"/>
      <c r="L2020" s="11" t="n"/>
      <c r="M2020" s="11" t="n"/>
      <c r="N2020" s="11" t="n"/>
      <c r="O2020" s="12" t="n"/>
    </row>
    <row r="2021">
      <c r="A2021" s="11" t="n"/>
      <c r="B2021" s="11" t="n"/>
      <c r="C2021" s="11" t="n"/>
      <c r="D2021" s="11" t="n"/>
      <c r="E2021" s="11" t="n"/>
      <c r="F2021" s="11" t="n"/>
      <c r="G2021" s="11" t="n"/>
      <c r="H2021" s="11" t="n"/>
      <c r="I2021" s="11" t="n"/>
      <c r="J2021" s="11" t="n"/>
      <c r="K2021" s="11" t="n"/>
      <c r="L2021" s="11" t="n"/>
      <c r="M2021" s="11" t="n"/>
      <c r="N2021" s="11" t="n"/>
      <c r="O2021" s="12" t="n"/>
    </row>
    <row r="2022">
      <c r="A2022" s="11" t="n"/>
      <c r="B2022" s="11" t="n"/>
      <c r="C2022" s="11" t="n"/>
      <c r="D2022" s="11" t="n"/>
      <c r="E2022" s="11" t="n"/>
      <c r="F2022" s="11" t="n"/>
      <c r="G2022" s="11" t="n"/>
      <c r="H2022" s="11" t="n"/>
      <c r="I2022" s="11" t="n"/>
      <c r="J2022" s="11" t="n"/>
      <c r="K2022" s="11" t="n"/>
      <c r="L2022" s="11" t="n"/>
      <c r="M2022" s="11" t="n"/>
      <c r="N2022" s="11" t="n"/>
      <c r="O2022" s="12" t="n"/>
    </row>
    <row r="2023">
      <c r="A2023" s="11" t="n"/>
      <c r="B2023" s="11" t="n"/>
      <c r="C2023" s="11" t="n"/>
      <c r="D2023" s="11" t="n"/>
      <c r="E2023" s="11" t="n"/>
      <c r="F2023" s="11" t="n"/>
      <c r="G2023" s="11" t="n"/>
      <c r="H2023" s="11" t="n"/>
      <c r="I2023" s="11" t="n"/>
      <c r="J2023" s="11" t="n"/>
      <c r="K2023" s="11" t="n"/>
      <c r="L2023" s="11" t="n"/>
      <c r="M2023" s="11" t="n"/>
      <c r="N2023" s="11" t="n"/>
      <c r="O2023" s="12" t="n"/>
    </row>
    <row r="2024">
      <c r="A2024" s="11" t="n"/>
      <c r="B2024" s="11" t="n"/>
      <c r="C2024" s="11" t="n"/>
      <c r="D2024" s="11" t="n"/>
      <c r="E2024" s="11" t="n"/>
      <c r="F2024" s="11" t="n"/>
      <c r="G2024" s="11" t="n"/>
      <c r="H2024" s="11" t="n"/>
      <c r="I2024" s="11" t="n"/>
      <c r="J2024" s="11" t="n"/>
      <c r="K2024" s="11" t="n"/>
      <c r="L2024" s="11" t="n"/>
      <c r="M2024" s="11" t="n"/>
      <c r="N2024" s="11" t="n"/>
      <c r="O2024" s="12" t="n"/>
    </row>
    <row r="2025">
      <c r="A2025" s="11" t="n"/>
      <c r="B2025" s="11" t="n"/>
      <c r="C2025" s="11" t="n"/>
      <c r="D2025" s="11" t="n"/>
      <c r="E2025" s="11" t="n"/>
      <c r="F2025" s="11" t="n"/>
      <c r="G2025" s="11" t="n"/>
      <c r="H2025" s="11" t="n"/>
      <c r="I2025" s="11" t="n"/>
      <c r="J2025" s="11" t="n"/>
      <c r="K2025" s="11" t="n"/>
      <c r="L2025" s="11" t="n"/>
      <c r="M2025" s="11" t="n"/>
      <c r="N2025" s="11" t="n"/>
      <c r="O2025" s="12" t="n"/>
    </row>
    <row r="2026">
      <c r="A2026" s="11" t="n"/>
      <c r="B2026" s="11" t="n"/>
      <c r="C2026" s="11" t="n"/>
      <c r="D2026" s="11" t="n"/>
      <c r="E2026" s="11" t="n"/>
      <c r="F2026" s="11" t="n"/>
      <c r="G2026" s="11" t="n"/>
      <c r="H2026" s="11" t="n"/>
      <c r="I2026" s="11" t="n"/>
      <c r="J2026" s="11" t="n"/>
      <c r="K2026" s="11" t="n"/>
      <c r="L2026" s="11" t="n"/>
      <c r="M2026" s="11" t="n"/>
      <c r="N2026" s="11" t="n"/>
      <c r="O2026" s="12" t="n"/>
    </row>
    <row r="2027">
      <c r="A2027" s="11" t="n"/>
      <c r="B2027" s="11" t="n"/>
      <c r="C2027" s="11" t="n"/>
      <c r="D2027" s="11" t="n"/>
      <c r="E2027" s="11" t="n"/>
      <c r="F2027" s="11" t="n"/>
      <c r="G2027" s="11" t="n"/>
      <c r="H2027" s="11" t="n"/>
      <c r="I2027" s="11" t="n"/>
      <c r="J2027" s="11" t="n"/>
      <c r="K2027" s="11" t="n"/>
      <c r="L2027" s="11" t="n"/>
      <c r="M2027" s="11" t="n"/>
      <c r="N2027" s="11" t="n"/>
      <c r="O2027" s="12" t="n"/>
    </row>
    <row r="2028">
      <c r="A2028" s="11" t="n"/>
      <c r="B2028" s="11" t="n"/>
      <c r="C2028" s="11" t="n"/>
      <c r="D2028" s="11" t="n"/>
      <c r="E2028" s="11" t="n"/>
      <c r="F2028" s="11" t="n"/>
      <c r="G2028" s="11" t="n"/>
      <c r="H2028" s="11" t="n"/>
      <c r="I2028" s="11" t="n"/>
      <c r="J2028" s="11" t="n"/>
      <c r="K2028" s="11" t="n"/>
      <c r="L2028" s="11" t="n"/>
      <c r="M2028" s="11" t="n"/>
      <c r="N2028" s="11" t="n"/>
      <c r="O2028" s="12" t="n"/>
    </row>
    <row r="2029">
      <c r="A2029" s="11" t="n"/>
      <c r="B2029" s="11" t="n"/>
      <c r="C2029" s="11" t="n"/>
      <c r="D2029" s="11" t="n"/>
      <c r="E2029" s="11" t="n"/>
      <c r="F2029" s="11" t="n"/>
      <c r="G2029" s="11" t="n"/>
      <c r="H2029" s="11" t="n"/>
      <c r="I2029" s="11" t="n"/>
      <c r="J2029" s="11" t="n"/>
      <c r="K2029" s="11" t="n"/>
      <c r="L2029" s="11" t="n"/>
      <c r="M2029" s="11" t="n"/>
      <c r="N2029" s="11" t="n"/>
      <c r="O2029" s="12" t="n"/>
    </row>
    <row r="2030">
      <c r="A2030" s="11" t="n"/>
      <c r="B2030" s="11" t="n"/>
      <c r="C2030" s="11" t="n"/>
      <c r="D2030" s="11" t="n"/>
      <c r="E2030" s="11" t="n"/>
      <c r="F2030" s="11" t="n"/>
      <c r="G2030" s="11" t="n"/>
      <c r="H2030" s="11" t="n"/>
      <c r="I2030" s="11" t="n"/>
      <c r="J2030" s="11" t="n"/>
      <c r="K2030" s="11" t="n"/>
      <c r="L2030" s="11" t="n"/>
      <c r="M2030" s="11" t="n"/>
      <c r="N2030" s="11" t="n"/>
      <c r="O2030" s="12" t="n"/>
    </row>
    <row r="2031">
      <c r="A2031" s="11" t="n"/>
      <c r="B2031" s="11" t="n"/>
      <c r="C2031" s="11" t="n"/>
      <c r="D2031" s="11" t="n"/>
      <c r="E2031" s="11" t="n"/>
      <c r="F2031" s="11" t="n"/>
      <c r="G2031" s="11" t="n"/>
      <c r="H2031" s="11" t="n"/>
      <c r="I2031" s="11" t="n"/>
      <c r="J2031" s="11" t="n"/>
      <c r="K2031" s="11" t="n"/>
      <c r="L2031" s="11" t="n"/>
      <c r="M2031" s="11" t="n"/>
      <c r="N2031" s="11" t="n"/>
      <c r="O2031" s="12" t="n"/>
    </row>
    <row r="2032">
      <c r="A2032" s="11" t="n"/>
      <c r="B2032" s="11" t="n"/>
      <c r="C2032" s="11" t="n"/>
      <c r="D2032" s="11" t="n"/>
      <c r="E2032" s="11" t="n"/>
      <c r="F2032" s="11" t="n"/>
      <c r="G2032" s="11" t="n"/>
      <c r="H2032" s="11" t="n"/>
      <c r="I2032" s="11" t="n"/>
      <c r="J2032" s="11" t="n"/>
      <c r="K2032" s="11" t="n"/>
      <c r="L2032" s="11" t="n"/>
      <c r="M2032" s="11" t="n"/>
      <c r="N2032" s="11" t="n"/>
      <c r="O2032" s="12" t="n"/>
    </row>
    <row r="2033">
      <c r="A2033" s="11" t="n"/>
      <c r="B2033" s="11" t="n"/>
      <c r="C2033" s="11" t="n"/>
      <c r="D2033" s="11" t="n"/>
      <c r="E2033" s="11" t="n"/>
      <c r="F2033" s="11" t="n"/>
      <c r="G2033" s="11" t="n"/>
      <c r="H2033" s="11" t="n"/>
      <c r="I2033" s="11" t="n"/>
      <c r="J2033" s="11" t="n"/>
      <c r="K2033" s="11" t="n"/>
      <c r="L2033" s="11" t="n"/>
      <c r="M2033" s="11" t="n"/>
      <c r="N2033" s="11" t="n"/>
      <c r="O2033" s="12" t="n"/>
    </row>
    <row r="2034">
      <c r="A2034" s="11" t="n"/>
      <c r="B2034" s="11" t="n"/>
      <c r="C2034" s="11" t="n"/>
      <c r="D2034" s="11" t="n"/>
      <c r="E2034" s="11" t="n"/>
      <c r="F2034" s="11" t="n"/>
      <c r="G2034" s="11" t="n"/>
      <c r="H2034" s="11" t="n"/>
      <c r="I2034" s="11" t="n"/>
      <c r="J2034" s="11" t="n"/>
      <c r="K2034" s="11" t="n"/>
      <c r="L2034" s="11" t="n"/>
      <c r="M2034" s="11" t="n"/>
      <c r="N2034" s="11" t="n"/>
      <c r="O2034" s="12" t="n"/>
    </row>
    <row r="2035">
      <c r="A2035" s="11" t="n"/>
      <c r="B2035" s="11" t="n"/>
      <c r="C2035" s="11" t="n"/>
      <c r="D2035" s="11" t="n"/>
      <c r="E2035" s="11" t="n"/>
      <c r="F2035" s="11" t="n"/>
      <c r="G2035" s="11" t="n"/>
      <c r="H2035" s="11" t="n"/>
      <c r="I2035" s="11" t="n"/>
      <c r="J2035" s="11" t="n"/>
      <c r="K2035" s="11" t="n"/>
      <c r="L2035" s="11" t="n"/>
      <c r="M2035" s="11" t="n"/>
      <c r="N2035" s="11" t="n"/>
      <c r="O2035" s="12" t="n"/>
    </row>
    <row r="2036">
      <c r="A2036" s="11" t="n"/>
      <c r="B2036" s="11" t="n"/>
      <c r="C2036" s="11" t="n"/>
      <c r="D2036" s="11" t="n"/>
      <c r="E2036" s="11" t="n"/>
      <c r="F2036" s="11" t="n"/>
      <c r="G2036" s="11" t="n"/>
      <c r="H2036" s="11" t="n"/>
      <c r="I2036" s="11" t="n"/>
      <c r="J2036" s="11" t="n"/>
      <c r="K2036" s="11" t="n"/>
      <c r="L2036" s="11" t="n"/>
      <c r="M2036" s="11" t="n"/>
      <c r="N2036" s="11" t="n"/>
      <c r="O2036" s="12" t="n"/>
    </row>
    <row r="2037">
      <c r="A2037" s="11" t="n"/>
      <c r="B2037" s="11" t="n"/>
      <c r="C2037" s="11" t="n"/>
      <c r="D2037" s="11" t="n"/>
      <c r="E2037" s="11" t="n"/>
      <c r="F2037" s="11" t="n"/>
      <c r="G2037" s="11" t="n"/>
      <c r="H2037" s="11" t="n"/>
      <c r="I2037" s="11" t="n"/>
      <c r="J2037" s="11" t="n"/>
      <c r="K2037" s="11" t="n"/>
      <c r="L2037" s="11" t="n"/>
      <c r="M2037" s="11" t="n"/>
      <c r="N2037" s="11" t="n"/>
      <c r="O2037" s="12" t="n"/>
    </row>
    <row r="2038">
      <c r="A2038" s="11" t="n"/>
      <c r="B2038" s="11" t="n"/>
      <c r="C2038" s="11" t="n"/>
      <c r="D2038" s="11" t="n"/>
      <c r="E2038" s="11" t="n"/>
      <c r="F2038" s="11" t="n"/>
      <c r="G2038" s="11" t="n"/>
      <c r="H2038" s="11" t="n"/>
      <c r="I2038" s="11" t="n"/>
      <c r="J2038" s="11" t="n"/>
      <c r="K2038" s="11" t="n"/>
      <c r="L2038" s="11" t="n"/>
      <c r="M2038" s="11" t="n"/>
      <c r="N2038" s="11" t="n"/>
      <c r="O2038" s="12" t="n"/>
    </row>
    <row r="2039">
      <c r="A2039" s="11" t="n"/>
      <c r="B2039" s="11" t="n"/>
      <c r="C2039" s="11" t="n"/>
      <c r="D2039" s="11" t="n"/>
      <c r="E2039" s="11" t="n"/>
      <c r="F2039" s="11" t="n"/>
      <c r="G2039" s="11" t="n"/>
      <c r="H2039" s="11" t="n"/>
      <c r="I2039" s="11" t="n"/>
      <c r="J2039" s="11" t="n"/>
      <c r="K2039" s="11" t="n"/>
      <c r="L2039" s="11" t="n"/>
      <c r="M2039" s="11" t="n"/>
      <c r="N2039" s="11" t="n"/>
      <c r="O2039" s="12" t="n"/>
    </row>
    <row r="2040">
      <c r="A2040" s="11" t="n"/>
      <c r="B2040" s="11" t="n"/>
      <c r="C2040" s="11" t="n"/>
      <c r="D2040" s="11" t="n"/>
      <c r="E2040" s="11" t="n"/>
      <c r="F2040" s="11" t="n"/>
      <c r="G2040" s="11" t="n"/>
      <c r="H2040" s="11" t="n"/>
      <c r="I2040" s="11" t="n"/>
      <c r="J2040" s="11" t="n"/>
      <c r="K2040" s="11" t="n"/>
      <c r="L2040" s="11" t="n"/>
      <c r="M2040" s="11" t="n"/>
      <c r="N2040" s="11" t="n"/>
      <c r="O2040" s="12" t="n"/>
    </row>
    <row r="2041">
      <c r="A2041" s="11" t="n"/>
      <c r="B2041" s="11" t="n"/>
      <c r="C2041" s="11" t="n"/>
      <c r="D2041" s="11" t="n"/>
      <c r="E2041" s="11" t="n"/>
      <c r="F2041" s="11" t="n"/>
      <c r="G2041" s="11" t="n"/>
      <c r="H2041" s="11" t="n"/>
      <c r="I2041" s="11" t="n"/>
      <c r="J2041" s="11" t="n"/>
      <c r="K2041" s="11" t="n"/>
      <c r="L2041" s="11" t="n"/>
      <c r="M2041" s="11" t="n"/>
      <c r="N2041" s="11" t="n"/>
      <c r="O2041" s="12" t="n"/>
    </row>
    <row r="2042">
      <c r="A2042" s="11" t="n"/>
      <c r="B2042" s="11" t="n"/>
      <c r="C2042" s="11" t="n"/>
      <c r="D2042" s="11" t="n"/>
      <c r="E2042" s="11" t="n"/>
      <c r="F2042" s="11" t="n"/>
      <c r="G2042" s="11" t="n"/>
      <c r="H2042" s="11" t="n"/>
      <c r="I2042" s="11" t="n"/>
      <c r="J2042" s="11" t="n"/>
      <c r="K2042" s="11" t="n"/>
      <c r="L2042" s="11" t="n"/>
      <c r="M2042" s="11" t="n"/>
      <c r="N2042" s="11" t="n"/>
      <c r="O2042" s="12" t="n"/>
    </row>
    <row r="2043">
      <c r="A2043" s="11" t="n"/>
      <c r="B2043" s="11" t="n"/>
      <c r="C2043" s="11" t="n"/>
      <c r="D2043" s="11" t="n"/>
      <c r="E2043" s="11" t="n"/>
      <c r="F2043" s="11" t="n"/>
      <c r="G2043" s="11" t="n"/>
      <c r="H2043" s="11" t="n"/>
      <c r="I2043" s="11" t="n"/>
      <c r="J2043" s="11" t="n"/>
      <c r="K2043" s="11" t="n"/>
      <c r="L2043" s="11" t="n"/>
      <c r="M2043" s="11" t="n"/>
      <c r="N2043" s="11" t="n"/>
      <c r="O2043" s="12" t="n"/>
    </row>
    <row r="2044">
      <c r="A2044" s="11" t="n"/>
      <c r="B2044" s="11" t="n"/>
      <c r="C2044" s="11" t="n"/>
      <c r="D2044" s="11" t="n"/>
      <c r="E2044" s="11" t="n"/>
      <c r="F2044" s="11" t="n"/>
      <c r="G2044" s="11" t="n"/>
      <c r="H2044" s="11" t="n"/>
      <c r="I2044" s="11" t="n"/>
      <c r="J2044" s="11" t="n"/>
      <c r="K2044" s="11" t="n"/>
      <c r="L2044" s="11" t="n"/>
      <c r="M2044" s="11" t="n"/>
      <c r="N2044" s="11" t="n"/>
      <c r="O2044" s="12" t="n"/>
    </row>
    <row r="2045">
      <c r="A2045" s="11" t="n"/>
      <c r="B2045" s="11" t="n"/>
      <c r="C2045" s="11" t="n"/>
      <c r="D2045" s="11" t="n"/>
      <c r="E2045" s="11" t="n"/>
      <c r="F2045" s="11" t="n"/>
      <c r="G2045" s="11" t="n"/>
      <c r="H2045" s="11" t="n"/>
      <c r="I2045" s="11" t="n"/>
      <c r="J2045" s="11" t="n"/>
      <c r="K2045" s="11" t="n"/>
      <c r="L2045" s="11" t="n"/>
      <c r="M2045" s="11" t="n"/>
      <c r="N2045" s="11" t="n"/>
      <c r="O2045" s="12" t="n"/>
    </row>
    <row r="2046">
      <c r="A2046" s="11" t="n"/>
      <c r="B2046" s="11" t="n"/>
      <c r="C2046" s="11" t="n"/>
      <c r="D2046" s="11" t="n"/>
      <c r="E2046" s="11" t="n"/>
      <c r="F2046" s="11" t="n"/>
      <c r="G2046" s="11" t="n"/>
      <c r="H2046" s="11" t="n"/>
      <c r="I2046" s="11" t="n"/>
      <c r="J2046" s="11" t="n"/>
      <c r="K2046" s="11" t="n"/>
      <c r="L2046" s="11" t="n"/>
      <c r="M2046" s="11" t="n"/>
      <c r="N2046" s="11" t="n"/>
      <c r="O2046" s="12" t="n"/>
    </row>
    <row r="2047">
      <c r="A2047" s="11" t="n"/>
      <c r="B2047" s="11" t="n"/>
      <c r="C2047" s="11" t="n"/>
      <c r="D2047" s="11" t="n"/>
      <c r="E2047" s="11" t="n"/>
      <c r="F2047" s="11" t="n"/>
      <c r="G2047" s="11" t="n"/>
      <c r="H2047" s="11" t="n"/>
      <c r="I2047" s="11" t="n"/>
      <c r="J2047" s="11" t="n"/>
      <c r="K2047" s="11" t="n"/>
      <c r="L2047" s="11" t="n"/>
      <c r="M2047" s="11" t="n"/>
      <c r="N2047" s="11" t="n"/>
      <c r="O2047" s="12" t="n"/>
    </row>
    <row r="2048">
      <c r="A2048" s="11" t="n"/>
      <c r="B2048" s="11" t="n"/>
      <c r="C2048" s="11" t="n"/>
      <c r="D2048" s="11" t="n"/>
      <c r="E2048" s="11" t="n"/>
      <c r="F2048" s="11" t="n"/>
      <c r="G2048" s="11" t="n"/>
      <c r="H2048" s="11" t="n"/>
      <c r="I2048" s="11" t="n"/>
      <c r="J2048" s="11" t="n"/>
      <c r="K2048" s="11" t="n"/>
      <c r="L2048" s="11" t="n"/>
      <c r="M2048" s="11" t="n"/>
      <c r="N2048" s="11" t="n"/>
      <c r="O2048" s="12" t="n"/>
    </row>
    <row r="2049">
      <c r="A2049" s="11" t="n"/>
      <c r="B2049" s="11" t="n"/>
      <c r="C2049" s="11" t="n"/>
      <c r="D2049" s="11" t="n"/>
      <c r="E2049" s="11" t="n"/>
      <c r="F2049" s="11" t="n"/>
      <c r="G2049" s="11" t="n"/>
      <c r="H2049" s="11" t="n"/>
      <c r="I2049" s="11" t="n"/>
      <c r="J2049" s="11" t="n"/>
      <c r="K2049" s="11" t="n"/>
      <c r="L2049" s="11" t="n"/>
      <c r="M2049" s="11" t="n"/>
      <c r="N2049" s="11" t="n"/>
      <c r="O2049" s="12" t="n"/>
    </row>
    <row r="2050">
      <c r="A2050" s="11" t="n"/>
      <c r="B2050" s="11" t="n"/>
      <c r="C2050" s="11" t="n"/>
      <c r="D2050" s="11" t="n"/>
      <c r="E2050" s="11" t="n"/>
      <c r="F2050" s="11" t="n"/>
      <c r="G2050" s="11" t="n"/>
      <c r="H2050" s="11" t="n"/>
      <c r="I2050" s="11" t="n"/>
      <c r="J2050" s="11" t="n"/>
      <c r="K2050" s="11" t="n"/>
      <c r="L2050" s="11" t="n"/>
      <c r="M2050" s="11" t="n"/>
      <c r="N2050" s="11" t="n"/>
      <c r="O2050" s="12" t="n"/>
    </row>
    <row r="2051">
      <c r="A2051" s="11" t="n"/>
      <c r="B2051" s="11" t="n"/>
      <c r="C2051" s="11" t="n"/>
      <c r="D2051" s="11" t="n"/>
      <c r="E2051" s="11" t="n"/>
      <c r="F2051" s="11" t="n"/>
      <c r="G2051" s="11" t="n"/>
      <c r="H2051" s="11" t="n"/>
      <c r="I2051" s="11" t="n"/>
      <c r="J2051" s="11" t="n"/>
      <c r="K2051" s="11" t="n"/>
      <c r="L2051" s="11" t="n"/>
      <c r="M2051" s="11" t="n"/>
      <c r="N2051" s="11" t="n"/>
      <c r="O2051" s="12" t="n"/>
    </row>
    <row r="2052">
      <c r="A2052" s="11" t="n"/>
      <c r="B2052" s="11" t="n"/>
      <c r="C2052" s="11" t="n"/>
      <c r="D2052" s="11" t="n"/>
      <c r="E2052" s="11" t="n"/>
      <c r="F2052" s="11" t="n"/>
      <c r="G2052" s="11" t="n"/>
      <c r="H2052" s="11" t="n"/>
      <c r="I2052" s="11" t="n"/>
      <c r="J2052" s="11" t="n"/>
      <c r="K2052" s="11" t="n"/>
      <c r="L2052" s="11" t="n"/>
      <c r="M2052" s="11" t="n"/>
      <c r="N2052" s="11" t="n"/>
      <c r="O2052" s="12" t="n"/>
    </row>
    <row r="2053">
      <c r="A2053" s="11" t="n"/>
      <c r="B2053" s="11" t="n"/>
      <c r="C2053" s="11" t="n"/>
      <c r="D2053" s="11" t="n"/>
      <c r="E2053" s="11" t="n"/>
      <c r="F2053" s="11" t="n"/>
      <c r="G2053" s="11" t="n"/>
      <c r="H2053" s="11" t="n"/>
      <c r="I2053" s="11" t="n"/>
      <c r="J2053" s="11" t="n"/>
      <c r="K2053" s="11" t="n"/>
      <c r="L2053" s="11" t="n"/>
      <c r="M2053" s="11" t="n"/>
      <c r="N2053" s="11" t="n"/>
      <c r="O2053" s="12" t="n"/>
    </row>
    <row r="2054">
      <c r="A2054" s="11" t="n"/>
      <c r="B2054" s="11" t="n"/>
      <c r="C2054" s="11" t="n"/>
      <c r="D2054" s="11" t="n"/>
      <c r="E2054" s="11" t="n"/>
      <c r="F2054" s="11" t="n"/>
      <c r="G2054" s="11" t="n"/>
      <c r="H2054" s="11" t="n"/>
      <c r="I2054" s="11" t="n"/>
      <c r="J2054" s="11" t="n"/>
      <c r="K2054" s="11" t="n"/>
      <c r="L2054" s="11" t="n"/>
      <c r="M2054" s="11" t="n"/>
      <c r="N2054" s="11" t="n"/>
      <c r="O2054" s="12" t="n"/>
    </row>
    <row r="2055">
      <c r="A2055" s="11" t="n"/>
      <c r="B2055" s="11" t="n"/>
      <c r="C2055" s="11" t="n"/>
      <c r="D2055" s="11" t="n"/>
      <c r="E2055" s="11" t="n"/>
      <c r="F2055" s="11" t="n"/>
      <c r="G2055" s="11" t="n"/>
      <c r="H2055" s="11" t="n"/>
      <c r="I2055" s="11" t="n"/>
      <c r="J2055" s="11" t="n"/>
      <c r="K2055" s="11" t="n"/>
      <c r="L2055" s="11" t="n"/>
      <c r="M2055" s="11" t="n"/>
      <c r="N2055" s="11" t="n"/>
      <c r="O2055" s="12" t="n"/>
    </row>
    <row r="2056">
      <c r="A2056" s="11" t="n"/>
      <c r="B2056" s="11" t="n"/>
      <c r="C2056" s="11" t="n"/>
      <c r="D2056" s="11" t="n"/>
      <c r="E2056" s="11" t="n"/>
      <c r="F2056" s="11" t="n"/>
      <c r="G2056" s="11" t="n"/>
      <c r="H2056" s="11" t="n"/>
      <c r="I2056" s="11" t="n"/>
      <c r="J2056" s="11" t="n"/>
      <c r="K2056" s="11" t="n"/>
      <c r="L2056" s="11" t="n"/>
      <c r="M2056" s="11" t="n"/>
      <c r="N2056" s="11" t="n"/>
      <c r="O2056" s="12" t="n"/>
    </row>
    <row r="2057">
      <c r="A2057" s="11" t="n"/>
      <c r="B2057" s="11" t="n"/>
      <c r="C2057" s="11" t="n"/>
      <c r="D2057" s="11" t="n"/>
      <c r="E2057" s="11" t="n"/>
      <c r="F2057" s="11" t="n"/>
      <c r="G2057" s="11" t="n"/>
      <c r="H2057" s="11" t="n"/>
      <c r="I2057" s="11" t="n"/>
      <c r="J2057" s="11" t="n"/>
      <c r="K2057" s="11" t="n"/>
      <c r="L2057" s="11" t="n"/>
      <c r="M2057" s="11" t="n"/>
      <c r="N2057" s="11" t="n"/>
      <c r="O2057" s="12" t="n"/>
    </row>
    <row r="2058">
      <c r="A2058" s="11" t="n"/>
      <c r="B2058" s="11" t="n"/>
      <c r="C2058" s="11" t="n"/>
      <c r="D2058" s="11" t="n"/>
      <c r="E2058" s="11" t="n"/>
      <c r="F2058" s="11" t="n"/>
      <c r="G2058" s="11" t="n"/>
      <c r="H2058" s="11" t="n"/>
      <c r="I2058" s="11" t="n"/>
      <c r="J2058" s="11" t="n"/>
      <c r="K2058" s="11" t="n"/>
      <c r="L2058" s="11" t="n"/>
      <c r="M2058" s="11" t="n"/>
      <c r="N2058" s="11" t="n"/>
      <c r="O2058" s="12" t="n"/>
    </row>
    <row r="2059">
      <c r="A2059" s="11" t="n"/>
      <c r="B2059" s="11" t="n"/>
      <c r="C2059" s="11" t="n"/>
      <c r="D2059" s="11" t="n"/>
      <c r="E2059" s="11" t="n"/>
      <c r="F2059" s="11" t="n"/>
      <c r="G2059" s="11" t="n"/>
      <c r="H2059" s="11" t="n"/>
      <c r="I2059" s="11" t="n"/>
      <c r="J2059" s="11" t="n"/>
      <c r="K2059" s="11" t="n"/>
      <c r="L2059" s="11" t="n"/>
      <c r="M2059" s="11" t="n"/>
      <c r="N2059" s="11" t="n"/>
      <c r="O2059" s="12" t="n"/>
    </row>
    <row r="2060">
      <c r="A2060" s="11" t="n"/>
      <c r="B2060" s="11" t="n"/>
      <c r="C2060" s="11" t="n"/>
      <c r="D2060" s="11" t="n"/>
      <c r="E2060" s="11" t="n"/>
      <c r="F2060" s="11" t="n"/>
      <c r="G2060" s="11" t="n"/>
      <c r="H2060" s="11" t="n"/>
      <c r="I2060" s="11" t="n"/>
      <c r="J2060" s="11" t="n"/>
      <c r="K2060" s="11" t="n"/>
      <c r="L2060" s="11" t="n"/>
      <c r="M2060" s="11" t="n"/>
      <c r="N2060" s="11" t="n"/>
      <c r="O2060" s="12" t="n"/>
    </row>
    <row r="2061">
      <c r="A2061" s="11" t="n"/>
      <c r="B2061" s="11" t="n"/>
      <c r="C2061" s="11" t="n"/>
      <c r="D2061" s="11" t="n"/>
      <c r="E2061" s="11" t="n"/>
      <c r="F2061" s="11" t="n"/>
      <c r="G2061" s="11" t="n"/>
      <c r="H2061" s="11" t="n"/>
      <c r="I2061" s="11" t="n"/>
      <c r="J2061" s="11" t="n"/>
      <c r="K2061" s="11" t="n"/>
      <c r="L2061" s="11" t="n"/>
      <c r="M2061" s="11" t="n"/>
      <c r="N2061" s="11" t="n"/>
      <c r="O2061" s="12" t="n"/>
    </row>
    <row r="2062">
      <c r="A2062" s="11" t="n"/>
      <c r="B2062" s="11" t="n"/>
      <c r="C2062" s="11" t="n"/>
      <c r="D2062" s="11" t="n"/>
      <c r="E2062" s="11" t="n"/>
      <c r="F2062" s="11" t="n"/>
      <c r="G2062" s="11" t="n"/>
      <c r="H2062" s="11" t="n"/>
      <c r="I2062" s="11" t="n"/>
      <c r="J2062" s="11" t="n"/>
      <c r="K2062" s="11" t="n"/>
      <c r="L2062" s="11" t="n"/>
      <c r="M2062" s="11" t="n"/>
      <c r="N2062" s="11" t="n"/>
      <c r="O2062" s="12" t="n"/>
    </row>
    <row r="2063">
      <c r="A2063" s="11" t="n"/>
      <c r="B2063" s="11" t="n"/>
      <c r="C2063" s="11" t="n"/>
      <c r="D2063" s="11" t="n"/>
      <c r="E2063" s="11" t="n"/>
      <c r="F2063" s="11" t="n"/>
      <c r="G2063" s="11" t="n"/>
      <c r="H2063" s="11" t="n"/>
      <c r="I2063" s="11" t="n"/>
      <c r="J2063" s="11" t="n"/>
      <c r="K2063" s="11" t="n"/>
      <c r="L2063" s="11" t="n"/>
      <c r="M2063" s="11" t="n"/>
      <c r="N2063" s="11" t="n"/>
      <c r="O2063" s="12" t="n"/>
    </row>
    <row r="2064">
      <c r="A2064" s="11" t="n"/>
      <c r="B2064" s="11" t="n"/>
      <c r="C2064" s="11" t="n"/>
      <c r="D2064" s="11" t="n"/>
      <c r="E2064" s="11" t="n"/>
      <c r="F2064" s="11" t="n"/>
      <c r="G2064" s="11" t="n"/>
      <c r="H2064" s="11" t="n"/>
      <c r="I2064" s="11" t="n"/>
      <c r="J2064" s="11" t="n"/>
      <c r="K2064" s="11" t="n"/>
      <c r="L2064" s="11" t="n"/>
      <c r="M2064" s="11" t="n"/>
      <c r="N2064" s="11" t="n"/>
      <c r="O2064" s="12" t="n"/>
    </row>
    <row r="2065">
      <c r="A2065" s="11" t="n"/>
      <c r="B2065" s="11" t="n"/>
      <c r="C2065" s="11" t="n"/>
      <c r="D2065" s="11" t="n"/>
      <c r="E2065" s="11" t="n"/>
      <c r="F2065" s="11" t="n"/>
      <c r="G2065" s="11" t="n"/>
      <c r="H2065" s="11" t="n"/>
      <c r="I2065" s="11" t="n"/>
      <c r="J2065" s="11" t="n"/>
      <c r="K2065" s="11" t="n"/>
      <c r="L2065" s="11" t="n"/>
      <c r="M2065" s="11" t="n"/>
      <c r="N2065" s="11" t="n"/>
      <c r="O2065" s="12" t="n"/>
    </row>
    <row r="2066">
      <c r="A2066" s="11" t="n"/>
      <c r="B2066" s="11" t="n"/>
      <c r="C2066" s="11" t="n"/>
      <c r="D2066" s="11" t="n"/>
      <c r="E2066" s="11" t="n"/>
      <c r="F2066" s="11" t="n"/>
      <c r="G2066" s="11" t="n"/>
      <c r="H2066" s="11" t="n"/>
      <c r="I2066" s="11" t="n"/>
      <c r="J2066" s="11" t="n"/>
      <c r="K2066" s="11" t="n"/>
      <c r="L2066" s="11" t="n"/>
      <c r="M2066" s="11" t="n"/>
      <c r="N2066" s="11" t="n"/>
      <c r="O2066" s="12" t="n"/>
    </row>
    <row r="2067">
      <c r="A2067" s="11" t="n"/>
      <c r="B2067" s="11" t="n"/>
      <c r="C2067" s="11" t="n"/>
      <c r="D2067" s="11" t="n"/>
      <c r="E2067" s="11" t="n"/>
      <c r="F2067" s="11" t="n"/>
      <c r="G2067" s="11" t="n"/>
      <c r="H2067" s="11" t="n"/>
      <c r="I2067" s="11" t="n"/>
      <c r="J2067" s="11" t="n"/>
      <c r="K2067" s="11" t="n"/>
      <c r="L2067" s="11" t="n"/>
      <c r="M2067" s="11" t="n"/>
      <c r="N2067" s="11" t="n"/>
      <c r="O2067" s="12" t="n"/>
    </row>
    <row r="2068">
      <c r="A2068" s="11" t="n"/>
      <c r="B2068" s="11" t="n"/>
      <c r="C2068" s="11" t="n"/>
      <c r="D2068" s="11" t="n"/>
      <c r="E2068" s="11" t="n"/>
      <c r="F2068" s="11" t="n"/>
      <c r="G2068" s="11" t="n"/>
      <c r="H2068" s="11" t="n"/>
      <c r="I2068" s="11" t="n"/>
      <c r="J2068" s="11" t="n"/>
      <c r="K2068" s="11" t="n"/>
      <c r="L2068" s="11" t="n"/>
      <c r="M2068" s="11" t="n"/>
      <c r="N2068" s="11" t="n"/>
      <c r="O2068" s="12" t="n"/>
    </row>
    <row r="2069">
      <c r="A2069" s="11" t="n"/>
      <c r="B2069" s="11" t="n"/>
      <c r="C2069" s="11" t="n"/>
      <c r="D2069" s="11" t="n"/>
      <c r="E2069" s="11" t="n"/>
      <c r="F2069" s="11" t="n"/>
      <c r="G2069" s="11" t="n"/>
      <c r="H2069" s="11" t="n"/>
      <c r="I2069" s="11" t="n"/>
      <c r="J2069" s="11" t="n"/>
      <c r="K2069" s="11" t="n"/>
      <c r="L2069" s="11" t="n"/>
      <c r="M2069" s="11" t="n"/>
      <c r="N2069" s="11" t="n"/>
      <c r="O2069" s="12" t="n"/>
    </row>
    <row r="2070">
      <c r="A2070" s="11" t="n"/>
      <c r="B2070" s="11" t="n"/>
      <c r="C2070" s="11" t="n"/>
      <c r="D2070" s="11" t="n"/>
      <c r="E2070" s="11" t="n"/>
      <c r="F2070" s="11" t="n"/>
      <c r="G2070" s="11" t="n"/>
      <c r="H2070" s="11" t="n"/>
      <c r="I2070" s="11" t="n"/>
      <c r="J2070" s="11" t="n"/>
      <c r="K2070" s="11" t="n"/>
      <c r="L2070" s="11" t="n"/>
      <c r="M2070" s="11" t="n"/>
      <c r="N2070" s="11" t="n"/>
      <c r="O2070" s="12" t="n"/>
    </row>
    <row r="2071">
      <c r="A2071" s="11" t="n"/>
      <c r="B2071" s="11" t="n"/>
      <c r="C2071" s="11" t="n"/>
      <c r="D2071" s="11" t="n"/>
      <c r="E2071" s="11" t="n"/>
      <c r="F2071" s="11" t="n"/>
      <c r="G2071" s="11" t="n"/>
      <c r="H2071" s="11" t="n"/>
      <c r="I2071" s="11" t="n"/>
      <c r="J2071" s="11" t="n"/>
      <c r="K2071" s="11" t="n"/>
      <c r="L2071" s="11" t="n"/>
      <c r="M2071" s="11" t="n"/>
      <c r="N2071" s="11" t="n"/>
      <c r="O2071" s="12" t="n"/>
    </row>
    <row r="2072">
      <c r="A2072" s="11" t="n"/>
      <c r="B2072" s="11" t="n"/>
      <c r="C2072" s="11" t="n"/>
      <c r="D2072" s="11" t="n"/>
      <c r="E2072" s="11" t="n"/>
      <c r="F2072" s="11" t="n"/>
      <c r="G2072" s="11" t="n"/>
      <c r="H2072" s="11" t="n"/>
      <c r="I2072" s="11" t="n"/>
      <c r="J2072" s="11" t="n"/>
      <c r="K2072" s="11" t="n"/>
      <c r="L2072" s="11" t="n"/>
      <c r="M2072" s="11" t="n"/>
      <c r="N2072" s="11" t="n"/>
      <c r="O2072" s="12" t="n"/>
    </row>
    <row r="2073">
      <c r="A2073" s="11" t="n"/>
      <c r="B2073" s="11" t="n"/>
      <c r="C2073" s="11" t="n"/>
      <c r="D2073" s="11" t="n"/>
      <c r="E2073" s="11" t="n"/>
      <c r="F2073" s="11" t="n"/>
      <c r="G2073" s="11" t="n"/>
      <c r="H2073" s="11" t="n"/>
      <c r="I2073" s="11" t="n"/>
      <c r="J2073" s="11" t="n"/>
      <c r="K2073" s="11" t="n"/>
      <c r="L2073" s="11" t="n"/>
      <c r="M2073" s="11" t="n"/>
      <c r="N2073" s="11" t="n"/>
      <c r="O2073" s="12" t="n"/>
    </row>
    <row r="2074">
      <c r="A2074" s="11" t="n"/>
      <c r="B2074" s="11" t="n"/>
      <c r="C2074" s="11" t="n"/>
      <c r="D2074" s="11" t="n"/>
      <c r="E2074" s="11" t="n"/>
      <c r="F2074" s="11" t="n"/>
      <c r="G2074" s="11" t="n"/>
      <c r="H2074" s="11" t="n"/>
      <c r="I2074" s="11" t="n"/>
      <c r="J2074" s="11" t="n"/>
      <c r="K2074" s="11" t="n"/>
      <c r="L2074" s="11" t="n"/>
      <c r="M2074" s="11" t="n"/>
      <c r="N2074" s="11" t="n"/>
      <c r="O2074" s="12" t="n"/>
    </row>
    <row r="2075">
      <c r="A2075" s="11" t="n"/>
      <c r="B2075" s="11" t="n"/>
      <c r="C2075" s="11" t="n"/>
      <c r="D2075" s="11" t="n"/>
      <c r="E2075" s="11" t="n"/>
      <c r="F2075" s="11" t="n"/>
      <c r="G2075" s="11" t="n"/>
      <c r="H2075" s="11" t="n"/>
      <c r="I2075" s="11" t="n"/>
      <c r="J2075" s="11" t="n"/>
      <c r="K2075" s="11" t="n"/>
      <c r="L2075" s="11" t="n"/>
      <c r="M2075" s="11" t="n"/>
      <c r="N2075" s="11" t="n"/>
      <c r="O2075" s="12" t="n"/>
    </row>
    <row r="2076">
      <c r="A2076" s="11" t="n"/>
      <c r="B2076" s="11" t="n"/>
      <c r="C2076" s="11" t="n"/>
      <c r="D2076" s="11" t="n"/>
      <c r="E2076" s="11" t="n"/>
      <c r="F2076" s="11" t="n"/>
      <c r="G2076" s="11" t="n"/>
      <c r="H2076" s="11" t="n"/>
      <c r="I2076" s="11" t="n"/>
      <c r="J2076" s="11" t="n"/>
      <c r="K2076" s="11" t="n"/>
      <c r="L2076" s="11" t="n"/>
      <c r="M2076" s="11" t="n"/>
      <c r="N2076" s="11" t="n"/>
      <c r="O2076" s="12" t="n"/>
    </row>
    <row r="2077">
      <c r="A2077" s="11" t="n"/>
      <c r="B2077" s="11" t="n"/>
      <c r="C2077" s="11" t="n"/>
      <c r="D2077" s="11" t="n"/>
      <c r="E2077" s="11" t="n"/>
      <c r="F2077" s="11" t="n"/>
      <c r="G2077" s="11" t="n"/>
      <c r="H2077" s="11" t="n"/>
      <c r="I2077" s="11" t="n"/>
      <c r="J2077" s="11" t="n"/>
      <c r="K2077" s="11" t="n"/>
      <c r="L2077" s="11" t="n"/>
      <c r="M2077" s="11" t="n"/>
      <c r="N2077" s="11" t="n"/>
      <c r="O2077" s="12" t="n"/>
    </row>
    <row r="2078">
      <c r="A2078" s="11" t="n"/>
      <c r="B2078" s="11" t="n"/>
      <c r="C2078" s="11" t="n"/>
      <c r="D2078" s="11" t="n"/>
      <c r="E2078" s="11" t="n"/>
      <c r="F2078" s="11" t="n"/>
      <c r="G2078" s="11" t="n"/>
      <c r="H2078" s="11" t="n"/>
      <c r="I2078" s="11" t="n"/>
      <c r="J2078" s="11" t="n"/>
      <c r="K2078" s="11" t="n"/>
      <c r="L2078" s="11" t="n"/>
      <c r="M2078" s="11" t="n"/>
      <c r="N2078" s="11" t="n"/>
      <c r="O2078" s="12" t="n"/>
    </row>
    <row r="2079">
      <c r="A2079" s="11" t="n"/>
      <c r="B2079" s="11" t="n"/>
      <c r="C2079" s="11" t="n"/>
      <c r="D2079" s="11" t="n"/>
      <c r="E2079" s="11" t="n"/>
      <c r="F2079" s="11" t="n"/>
      <c r="G2079" s="11" t="n"/>
      <c r="H2079" s="11" t="n"/>
      <c r="I2079" s="11" t="n"/>
      <c r="J2079" s="11" t="n"/>
      <c r="K2079" s="11" t="n"/>
      <c r="L2079" s="11" t="n"/>
      <c r="M2079" s="11" t="n"/>
      <c r="N2079" s="11" t="n"/>
      <c r="O2079" s="12" t="n"/>
    </row>
    <row r="2080">
      <c r="A2080" s="11" t="n"/>
      <c r="B2080" s="11" t="n"/>
      <c r="C2080" s="11" t="n"/>
      <c r="D2080" s="11" t="n"/>
      <c r="E2080" s="11" t="n"/>
      <c r="F2080" s="11" t="n"/>
      <c r="G2080" s="11" t="n"/>
      <c r="H2080" s="11" t="n"/>
      <c r="I2080" s="11" t="n"/>
      <c r="J2080" s="11" t="n"/>
      <c r="K2080" s="11" t="n"/>
      <c r="L2080" s="11" t="n"/>
      <c r="M2080" s="11" t="n"/>
      <c r="N2080" s="11" t="n"/>
      <c r="O2080" s="12" t="n"/>
    </row>
    <row r="2081">
      <c r="A2081" s="11" t="n"/>
      <c r="B2081" s="11" t="n"/>
      <c r="C2081" s="11" t="n"/>
      <c r="D2081" s="11" t="n"/>
      <c r="E2081" s="11" t="n"/>
      <c r="F2081" s="11" t="n"/>
      <c r="G2081" s="11" t="n"/>
      <c r="H2081" s="11" t="n"/>
      <c r="I2081" s="11" t="n"/>
      <c r="J2081" s="11" t="n"/>
      <c r="K2081" s="11" t="n"/>
      <c r="L2081" s="11" t="n"/>
      <c r="M2081" s="11" t="n"/>
      <c r="N2081" s="11" t="n"/>
      <c r="O2081" s="12" t="n"/>
    </row>
    <row r="2082">
      <c r="A2082" s="11" t="n"/>
      <c r="B2082" s="11" t="n"/>
      <c r="C2082" s="11" t="n"/>
      <c r="D2082" s="11" t="n"/>
      <c r="E2082" s="11" t="n"/>
      <c r="F2082" s="11" t="n"/>
      <c r="G2082" s="11" t="n"/>
      <c r="H2082" s="11" t="n"/>
      <c r="I2082" s="11" t="n"/>
      <c r="J2082" s="11" t="n"/>
      <c r="K2082" s="11" t="n"/>
      <c r="L2082" s="11" t="n"/>
      <c r="M2082" s="11" t="n"/>
      <c r="N2082" s="11" t="n"/>
      <c r="O2082" s="12" t="n"/>
    </row>
    <row r="2083">
      <c r="A2083" s="11" t="n"/>
      <c r="B2083" s="11" t="n"/>
      <c r="C2083" s="11" t="n"/>
      <c r="D2083" s="11" t="n"/>
      <c r="E2083" s="11" t="n"/>
      <c r="F2083" s="11" t="n"/>
      <c r="G2083" s="11" t="n"/>
      <c r="H2083" s="11" t="n"/>
      <c r="I2083" s="11" t="n"/>
      <c r="J2083" s="11" t="n"/>
      <c r="K2083" s="11" t="n"/>
      <c r="L2083" s="11" t="n"/>
      <c r="M2083" s="11" t="n"/>
      <c r="N2083" s="11" t="n"/>
      <c r="O2083" s="12" t="n"/>
    </row>
    <row r="2084">
      <c r="A2084" s="11" t="n"/>
      <c r="B2084" s="11" t="n"/>
      <c r="C2084" s="11" t="n"/>
      <c r="D2084" s="11" t="n"/>
      <c r="E2084" s="11" t="n"/>
      <c r="F2084" s="11" t="n"/>
      <c r="G2084" s="11" t="n"/>
      <c r="H2084" s="11" t="n"/>
      <c r="I2084" s="11" t="n"/>
      <c r="J2084" s="11" t="n"/>
      <c r="K2084" s="11" t="n"/>
      <c r="L2084" s="11" t="n"/>
      <c r="M2084" s="11" t="n"/>
      <c r="N2084" s="11" t="n"/>
      <c r="O2084" s="12" t="n"/>
    </row>
    <row r="2085">
      <c r="A2085" s="11" t="n"/>
      <c r="B2085" s="11" t="n"/>
      <c r="C2085" s="11" t="n"/>
      <c r="D2085" s="11" t="n"/>
      <c r="E2085" s="11" t="n"/>
      <c r="F2085" s="11" t="n"/>
      <c r="G2085" s="11" t="n"/>
      <c r="H2085" s="11" t="n"/>
      <c r="I2085" s="11" t="n"/>
      <c r="J2085" s="11" t="n"/>
      <c r="K2085" s="11" t="n"/>
      <c r="L2085" s="11" t="n"/>
      <c r="M2085" s="11" t="n"/>
      <c r="N2085" s="11" t="n"/>
      <c r="O2085" s="12" t="n"/>
    </row>
    <row r="2086">
      <c r="A2086" s="11" t="n"/>
      <c r="B2086" s="11" t="n"/>
      <c r="C2086" s="11" t="n"/>
      <c r="D2086" s="11" t="n"/>
      <c r="E2086" s="11" t="n"/>
      <c r="F2086" s="11" t="n"/>
      <c r="G2086" s="11" t="n"/>
      <c r="H2086" s="11" t="n"/>
      <c r="I2086" s="11" t="n"/>
      <c r="J2086" s="11" t="n"/>
      <c r="K2086" s="11" t="n"/>
      <c r="L2086" s="11" t="n"/>
      <c r="M2086" s="11" t="n"/>
      <c r="N2086" s="11" t="n"/>
      <c r="O2086" s="12" t="n"/>
    </row>
    <row r="2087">
      <c r="A2087" s="11" t="n"/>
      <c r="B2087" s="11" t="n"/>
      <c r="C2087" s="11" t="n"/>
      <c r="D2087" s="11" t="n"/>
      <c r="E2087" s="11" t="n"/>
      <c r="F2087" s="11" t="n"/>
      <c r="G2087" s="11" t="n"/>
      <c r="H2087" s="11" t="n"/>
      <c r="I2087" s="11" t="n"/>
      <c r="J2087" s="11" t="n"/>
      <c r="K2087" s="11" t="n"/>
      <c r="L2087" s="11" t="n"/>
      <c r="M2087" s="11" t="n"/>
      <c r="N2087" s="11" t="n"/>
      <c r="O2087" s="12" t="n"/>
    </row>
    <row r="2088">
      <c r="A2088" s="11" t="n"/>
      <c r="B2088" s="11" t="n"/>
      <c r="C2088" s="11" t="n"/>
      <c r="D2088" s="11" t="n"/>
      <c r="E2088" s="11" t="n"/>
      <c r="F2088" s="11" t="n"/>
      <c r="G2088" s="11" t="n"/>
      <c r="H2088" s="11" t="n"/>
      <c r="I2088" s="11" t="n"/>
      <c r="J2088" s="11" t="n"/>
      <c r="K2088" s="11" t="n"/>
      <c r="L2088" s="11" t="n"/>
      <c r="M2088" s="11" t="n"/>
      <c r="N2088" s="11" t="n"/>
      <c r="O2088" s="12" t="n"/>
    </row>
    <row r="2089">
      <c r="A2089" s="11" t="n"/>
      <c r="B2089" s="11" t="n"/>
      <c r="C2089" s="11" t="n"/>
      <c r="D2089" s="11" t="n"/>
      <c r="E2089" s="11" t="n"/>
      <c r="F2089" s="11" t="n"/>
      <c r="G2089" s="11" t="n"/>
      <c r="H2089" s="11" t="n"/>
      <c r="I2089" s="11" t="n"/>
      <c r="J2089" s="11" t="n"/>
      <c r="K2089" s="11" t="n"/>
      <c r="L2089" s="11" t="n"/>
      <c r="M2089" s="11" t="n"/>
      <c r="N2089" s="11" t="n"/>
      <c r="O2089" s="12" t="n"/>
    </row>
    <row r="2090">
      <c r="A2090" s="11" t="n"/>
      <c r="B2090" s="11" t="n"/>
      <c r="C2090" s="11" t="n"/>
      <c r="D2090" s="11" t="n"/>
      <c r="E2090" s="11" t="n"/>
      <c r="F2090" s="11" t="n"/>
      <c r="G2090" s="11" t="n"/>
      <c r="H2090" s="11" t="n"/>
      <c r="I2090" s="11" t="n"/>
      <c r="J2090" s="11" t="n"/>
      <c r="K2090" s="11" t="n"/>
      <c r="L2090" s="11" t="n"/>
      <c r="M2090" s="11" t="n"/>
      <c r="N2090" s="11" t="n"/>
      <c r="O2090" s="12" t="n"/>
    </row>
    <row r="2091">
      <c r="A2091" s="11" t="n"/>
      <c r="B2091" s="11" t="n"/>
      <c r="C2091" s="11" t="n"/>
      <c r="D2091" s="11" t="n"/>
      <c r="E2091" s="11" t="n"/>
      <c r="F2091" s="11" t="n"/>
      <c r="G2091" s="11" t="n"/>
      <c r="H2091" s="11" t="n"/>
      <c r="I2091" s="11" t="n"/>
      <c r="J2091" s="11" t="n"/>
      <c r="K2091" s="11" t="n"/>
      <c r="L2091" s="11" t="n"/>
      <c r="M2091" s="11" t="n"/>
      <c r="N2091" s="11" t="n"/>
      <c r="O2091" s="12" t="n"/>
    </row>
    <row r="2092">
      <c r="A2092" s="11" t="n"/>
      <c r="B2092" s="11" t="n"/>
      <c r="C2092" s="11" t="n"/>
      <c r="D2092" s="11" t="n"/>
      <c r="E2092" s="11" t="n"/>
      <c r="F2092" s="11" t="n"/>
      <c r="G2092" s="11" t="n"/>
      <c r="H2092" s="11" t="n"/>
      <c r="I2092" s="11" t="n"/>
      <c r="J2092" s="11" t="n"/>
      <c r="K2092" s="11" t="n"/>
      <c r="L2092" s="11" t="n"/>
      <c r="M2092" s="11" t="n"/>
      <c r="N2092" s="11" t="n"/>
      <c r="O2092" s="12" t="n"/>
    </row>
    <row r="2093">
      <c r="A2093" s="11" t="n"/>
      <c r="B2093" s="11" t="n"/>
      <c r="C2093" s="11" t="n"/>
      <c r="D2093" s="11" t="n"/>
      <c r="E2093" s="11" t="n"/>
      <c r="F2093" s="11" t="n"/>
      <c r="G2093" s="11" t="n"/>
      <c r="H2093" s="11" t="n"/>
      <c r="I2093" s="11" t="n"/>
      <c r="J2093" s="11" t="n"/>
      <c r="K2093" s="11" t="n"/>
      <c r="L2093" s="11" t="n"/>
      <c r="M2093" s="11" t="n"/>
      <c r="N2093" s="11" t="n"/>
      <c r="O2093" s="12" t="n"/>
    </row>
    <row r="2094">
      <c r="A2094" s="11" t="n"/>
      <c r="B2094" s="11" t="n"/>
      <c r="C2094" s="11" t="n"/>
      <c r="D2094" s="11" t="n"/>
      <c r="E2094" s="11" t="n"/>
      <c r="F2094" s="11" t="n"/>
      <c r="G2094" s="11" t="n"/>
      <c r="H2094" s="11" t="n"/>
      <c r="I2094" s="11" t="n"/>
      <c r="J2094" s="11" t="n"/>
      <c r="K2094" s="11" t="n"/>
      <c r="L2094" s="11" t="n"/>
      <c r="M2094" s="11" t="n"/>
      <c r="N2094" s="11" t="n"/>
      <c r="O2094" s="12" t="n"/>
    </row>
    <row r="2095">
      <c r="A2095" s="11" t="n"/>
      <c r="B2095" s="11" t="n"/>
      <c r="C2095" s="11" t="n"/>
      <c r="D2095" s="11" t="n"/>
      <c r="E2095" s="11" t="n"/>
      <c r="F2095" s="11" t="n"/>
      <c r="G2095" s="11" t="n"/>
      <c r="H2095" s="11" t="n"/>
      <c r="I2095" s="11" t="n"/>
      <c r="J2095" s="11" t="n"/>
      <c r="K2095" s="11" t="n"/>
      <c r="L2095" s="11" t="n"/>
      <c r="M2095" s="11" t="n"/>
      <c r="N2095" s="11" t="n"/>
      <c r="O2095" s="12" t="n"/>
    </row>
    <row r="2096">
      <c r="A2096" s="11" t="n"/>
      <c r="B2096" s="11" t="n"/>
      <c r="C2096" s="11" t="n"/>
      <c r="D2096" s="11" t="n"/>
      <c r="E2096" s="11" t="n"/>
      <c r="F2096" s="11" t="n"/>
      <c r="G2096" s="11" t="n"/>
      <c r="H2096" s="11" t="n"/>
      <c r="I2096" s="11" t="n"/>
      <c r="J2096" s="11" t="n"/>
      <c r="K2096" s="11" t="n"/>
      <c r="L2096" s="11" t="n"/>
      <c r="M2096" s="11" t="n"/>
      <c r="N2096" s="11" t="n"/>
      <c r="O2096" s="12" t="n"/>
    </row>
    <row r="2097">
      <c r="A2097" s="11" t="n"/>
      <c r="B2097" s="11" t="n"/>
      <c r="C2097" s="11" t="n"/>
      <c r="D2097" s="11" t="n"/>
      <c r="E2097" s="11" t="n"/>
      <c r="F2097" s="11" t="n"/>
      <c r="G2097" s="11" t="n"/>
      <c r="H2097" s="11" t="n"/>
      <c r="I2097" s="11" t="n"/>
      <c r="J2097" s="11" t="n"/>
      <c r="K2097" s="11" t="n"/>
      <c r="L2097" s="11" t="n"/>
      <c r="M2097" s="11" t="n"/>
      <c r="N2097" s="11" t="n"/>
      <c r="O2097" s="12" t="n"/>
    </row>
    <row r="2098">
      <c r="A2098" s="11" t="n"/>
      <c r="B2098" s="11" t="n"/>
      <c r="C2098" s="11" t="n"/>
      <c r="D2098" s="11" t="n"/>
      <c r="E2098" s="11" t="n"/>
      <c r="F2098" s="11" t="n"/>
      <c r="G2098" s="11" t="n"/>
      <c r="H2098" s="11" t="n"/>
      <c r="I2098" s="11" t="n"/>
      <c r="J2098" s="11" t="n"/>
      <c r="K2098" s="11" t="n"/>
      <c r="L2098" s="11" t="n"/>
      <c r="M2098" s="11" t="n"/>
      <c r="N2098" s="11" t="n"/>
      <c r="O2098" s="12" t="n"/>
    </row>
    <row r="2099">
      <c r="A2099" s="11" t="n"/>
      <c r="B2099" s="11" t="n"/>
      <c r="C2099" s="11" t="n"/>
      <c r="D2099" s="11" t="n"/>
      <c r="E2099" s="11" t="n"/>
      <c r="F2099" s="11" t="n"/>
      <c r="G2099" s="11" t="n"/>
      <c r="H2099" s="11" t="n"/>
      <c r="I2099" s="11" t="n"/>
      <c r="J2099" s="11" t="n"/>
      <c r="K2099" s="11" t="n"/>
      <c r="L2099" s="11" t="n"/>
      <c r="M2099" s="11" t="n"/>
      <c r="N2099" s="11" t="n"/>
      <c r="O2099" s="12" t="n"/>
    </row>
    <row r="2100">
      <c r="A2100" s="11" t="n"/>
      <c r="B2100" s="11" t="n"/>
      <c r="C2100" s="11" t="n"/>
      <c r="D2100" s="11" t="n"/>
      <c r="E2100" s="11" t="n"/>
      <c r="F2100" s="11" t="n"/>
      <c r="G2100" s="11" t="n"/>
      <c r="H2100" s="11" t="n"/>
      <c r="I2100" s="11" t="n"/>
      <c r="J2100" s="11" t="n"/>
      <c r="K2100" s="11" t="n"/>
      <c r="L2100" s="11" t="n"/>
      <c r="M2100" s="11" t="n"/>
      <c r="N2100" s="11" t="n"/>
      <c r="O2100" s="12" t="n"/>
    </row>
    <row r="2101">
      <c r="A2101" s="11" t="n"/>
      <c r="B2101" s="11" t="n"/>
      <c r="C2101" s="11" t="n"/>
      <c r="D2101" s="11" t="n"/>
      <c r="E2101" s="11" t="n"/>
      <c r="F2101" s="11" t="n"/>
      <c r="G2101" s="11" t="n"/>
      <c r="H2101" s="11" t="n"/>
      <c r="I2101" s="11" t="n"/>
      <c r="J2101" s="11" t="n"/>
      <c r="K2101" s="11" t="n"/>
      <c r="L2101" s="11" t="n"/>
      <c r="M2101" s="11" t="n"/>
      <c r="N2101" s="11" t="n"/>
      <c r="O2101" s="12" t="n"/>
    </row>
    <row r="2102">
      <c r="A2102" s="11" t="n"/>
      <c r="B2102" s="11" t="n"/>
      <c r="C2102" s="11" t="n"/>
      <c r="D2102" s="11" t="n"/>
      <c r="E2102" s="11" t="n"/>
      <c r="F2102" s="11" t="n"/>
      <c r="G2102" s="11" t="n"/>
      <c r="H2102" s="11" t="n"/>
      <c r="I2102" s="11" t="n"/>
      <c r="J2102" s="11" t="n"/>
      <c r="K2102" s="11" t="n"/>
      <c r="L2102" s="11" t="n"/>
      <c r="M2102" s="11" t="n"/>
      <c r="N2102" s="11" t="n"/>
      <c r="O2102" s="12" t="n"/>
    </row>
    <row r="2103">
      <c r="A2103" s="11" t="n"/>
      <c r="B2103" s="11" t="n"/>
      <c r="C2103" s="11" t="n"/>
      <c r="D2103" s="11" t="n"/>
      <c r="E2103" s="11" t="n"/>
      <c r="F2103" s="11" t="n"/>
      <c r="G2103" s="11" t="n"/>
      <c r="H2103" s="11" t="n"/>
      <c r="I2103" s="11" t="n"/>
      <c r="J2103" s="11" t="n"/>
      <c r="K2103" s="11" t="n"/>
      <c r="L2103" s="11" t="n"/>
      <c r="M2103" s="11" t="n"/>
      <c r="N2103" s="11" t="n"/>
      <c r="O2103" s="12" t="n"/>
    </row>
    <row r="2104">
      <c r="A2104" s="11" t="n"/>
      <c r="B2104" s="11" t="n"/>
      <c r="C2104" s="11" t="n"/>
      <c r="D2104" s="11" t="n"/>
      <c r="E2104" s="11" t="n"/>
      <c r="F2104" s="11" t="n"/>
      <c r="G2104" s="11" t="n"/>
      <c r="H2104" s="11" t="n"/>
      <c r="I2104" s="11" t="n"/>
      <c r="J2104" s="11" t="n"/>
      <c r="K2104" s="11" t="n"/>
      <c r="L2104" s="11" t="n"/>
      <c r="M2104" s="11" t="n"/>
      <c r="N2104" s="11" t="n"/>
      <c r="O2104" s="12" t="n"/>
    </row>
    <row r="2105">
      <c r="A2105" s="11" t="n"/>
      <c r="B2105" s="11" t="n"/>
      <c r="C2105" s="11" t="n"/>
      <c r="D2105" s="11" t="n"/>
      <c r="E2105" s="11" t="n"/>
      <c r="F2105" s="11" t="n"/>
      <c r="G2105" s="11" t="n"/>
      <c r="H2105" s="11" t="n"/>
      <c r="I2105" s="11" t="n"/>
      <c r="J2105" s="11" t="n"/>
      <c r="K2105" s="11" t="n"/>
      <c r="L2105" s="11" t="n"/>
      <c r="M2105" s="11" t="n"/>
      <c r="N2105" s="11" t="n"/>
      <c r="O2105" s="12" t="n"/>
    </row>
    <row r="2106">
      <c r="A2106" s="11" t="n"/>
      <c r="B2106" s="11" t="n"/>
      <c r="C2106" s="11" t="n"/>
      <c r="D2106" s="11" t="n"/>
      <c r="E2106" s="11" t="n"/>
      <c r="F2106" s="11" t="n"/>
      <c r="G2106" s="11" t="n"/>
      <c r="H2106" s="11" t="n"/>
      <c r="I2106" s="11" t="n"/>
      <c r="J2106" s="11" t="n"/>
      <c r="K2106" s="11" t="n"/>
      <c r="L2106" s="11" t="n"/>
      <c r="M2106" s="11" t="n"/>
      <c r="N2106" s="11" t="n"/>
      <c r="O2106" s="12" t="n"/>
    </row>
    <row r="2107">
      <c r="A2107" s="11" t="n"/>
      <c r="B2107" s="11" t="n"/>
      <c r="C2107" s="11" t="n"/>
      <c r="D2107" s="11" t="n"/>
      <c r="E2107" s="11" t="n"/>
      <c r="F2107" s="11" t="n"/>
      <c r="G2107" s="11" t="n"/>
      <c r="H2107" s="11" t="n"/>
      <c r="I2107" s="11" t="n"/>
      <c r="J2107" s="11" t="n"/>
      <c r="K2107" s="11" t="n"/>
      <c r="L2107" s="11" t="n"/>
      <c r="M2107" s="11" t="n"/>
      <c r="N2107" s="11" t="n"/>
      <c r="O2107" s="12" t="n"/>
    </row>
    <row r="2108">
      <c r="A2108" s="11" t="n"/>
      <c r="B2108" s="11" t="n"/>
      <c r="C2108" s="11" t="n"/>
      <c r="D2108" s="11" t="n"/>
      <c r="E2108" s="11" t="n"/>
      <c r="F2108" s="11" t="n"/>
      <c r="G2108" s="11" t="n"/>
      <c r="H2108" s="11" t="n"/>
      <c r="I2108" s="11" t="n"/>
      <c r="J2108" s="11" t="n"/>
      <c r="K2108" s="11" t="n"/>
      <c r="L2108" s="11" t="n"/>
      <c r="M2108" s="11" t="n"/>
      <c r="N2108" s="11" t="n"/>
      <c r="O2108" s="12" t="n"/>
    </row>
    <row r="2109">
      <c r="A2109" s="11" t="n"/>
      <c r="B2109" s="11" t="n"/>
      <c r="C2109" s="11" t="n"/>
      <c r="D2109" s="11" t="n"/>
      <c r="E2109" s="11" t="n"/>
      <c r="F2109" s="11" t="n"/>
      <c r="G2109" s="11" t="n"/>
      <c r="H2109" s="11" t="n"/>
      <c r="I2109" s="11" t="n"/>
      <c r="J2109" s="11" t="n"/>
      <c r="K2109" s="11" t="n"/>
      <c r="L2109" s="11" t="n"/>
      <c r="M2109" s="11" t="n"/>
      <c r="N2109" s="11" t="n"/>
      <c r="O2109" s="12" t="n"/>
    </row>
    <row r="2110">
      <c r="A2110" s="11" t="n"/>
      <c r="B2110" s="11" t="n"/>
      <c r="C2110" s="11" t="n"/>
      <c r="D2110" s="11" t="n"/>
      <c r="E2110" s="11" t="n"/>
      <c r="F2110" s="11" t="n"/>
      <c r="G2110" s="11" t="n"/>
      <c r="H2110" s="11" t="n"/>
      <c r="I2110" s="11" t="n"/>
      <c r="J2110" s="11" t="n"/>
      <c r="K2110" s="11" t="n"/>
      <c r="L2110" s="11" t="n"/>
      <c r="M2110" s="11" t="n"/>
      <c r="N2110" s="11" t="n"/>
      <c r="O2110" s="12" t="n"/>
    </row>
    <row r="2111">
      <c r="A2111" s="11" t="n"/>
      <c r="B2111" s="11" t="n"/>
      <c r="C2111" s="11" t="n"/>
      <c r="D2111" s="11" t="n"/>
      <c r="E2111" s="11" t="n"/>
      <c r="F2111" s="11" t="n"/>
      <c r="G2111" s="11" t="n"/>
      <c r="H2111" s="11" t="n"/>
      <c r="I2111" s="11" t="n"/>
      <c r="J2111" s="11" t="n"/>
      <c r="K2111" s="11" t="n"/>
      <c r="L2111" s="11" t="n"/>
      <c r="M2111" s="11" t="n"/>
      <c r="N2111" s="11" t="n"/>
      <c r="O2111" s="12" t="n"/>
    </row>
    <row r="2112">
      <c r="A2112" s="11" t="n"/>
      <c r="B2112" s="11" t="n"/>
      <c r="C2112" s="11" t="n"/>
      <c r="D2112" s="11" t="n"/>
      <c r="E2112" s="11" t="n"/>
      <c r="F2112" s="11" t="n"/>
      <c r="G2112" s="11" t="n"/>
      <c r="H2112" s="11" t="n"/>
      <c r="I2112" s="11" t="n"/>
      <c r="J2112" s="11" t="n"/>
      <c r="K2112" s="11" t="n"/>
      <c r="L2112" s="11" t="n"/>
      <c r="M2112" s="11" t="n"/>
      <c r="N2112" s="11" t="n"/>
      <c r="O2112" s="12" t="n"/>
    </row>
    <row r="2113">
      <c r="A2113" s="11" t="n"/>
      <c r="B2113" s="11" t="n"/>
      <c r="C2113" s="11" t="n"/>
      <c r="D2113" s="11" t="n"/>
      <c r="E2113" s="11" t="n"/>
      <c r="F2113" s="11" t="n"/>
      <c r="G2113" s="11" t="n"/>
      <c r="H2113" s="11" t="n"/>
      <c r="I2113" s="11" t="n"/>
      <c r="J2113" s="11" t="n"/>
      <c r="K2113" s="11" t="n"/>
      <c r="L2113" s="11" t="n"/>
      <c r="M2113" s="11" t="n"/>
      <c r="N2113" s="11" t="n"/>
      <c r="O2113" s="12" t="n"/>
    </row>
    <row r="2114">
      <c r="A2114" s="11" t="n"/>
      <c r="B2114" s="11" t="n"/>
      <c r="C2114" s="11" t="n"/>
      <c r="D2114" s="11" t="n"/>
      <c r="E2114" s="11" t="n"/>
      <c r="F2114" s="11" t="n"/>
      <c r="G2114" s="11" t="n"/>
      <c r="H2114" s="11" t="n"/>
      <c r="I2114" s="11" t="n"/>
      <c r="J2114" s="11" t="n"/>
      <c r="K2114" s="11" t="n"/>
      <c r="L2114" s="11" t="n"/>
      <c r="M2114" s="11" t="n"/>
      <c r="N2114" s="11" t="n"/>
      <c r="O2114" s="12" t="n"/>
    </row>
    <row r="2115">
      <c r="A2115" s="11" t="n"/>
      <c r="B2115" s="11" t="n"/>
      <c r="C2115" s="11" t="n"/>
      <c r="D2115" s="11" t="n"/>
      <c r="E2115" s="11" t="n"/>
      <c r="F2115" s="11" t="n"/>
      <c r="G2115" s="11" t="n"/>
      <c r="H2115" s="11" t="n"/>
      <c r="I2115" s="11" t="n"/>
      <c r="J2115" s="11" t="n"/>
      <c r="K2115" s="11" t="n"/>
      <c r="L2115" s="11" t="n"/>
      <c r="M2115" s="11" t="n"/>
      <c r="N2115" s="11" t="n"/>
      <c r="O2115" s="12" t="n"/>
    </row>
    <row r="2116">
      <c r="A2116" s="11" t="n"/>
      <c r="B2116" s="11" t="n"/>
      <c r="C2116" s="11" t="n"/>
      <c r="D2116" s="11" t="n"/>
      <c r="E2116" s="11" t="n"/>
      <c r="F2116" s="11" t="n"/>
      <c r="G2116" s="11" t="n"/>
      <c r="H2116" s="11" t="n"/>
      <c r="I2116" s="11" t="n"/>
      <c r="J2116" s="11" t="n"/>
      <c r="K2116" s="11" t="n"/>
      <c r="L2116" s="11" t="n"/>
      <c r="M2116" s="11" t="n"/>
      <c r="N2116" s="11" t="n"/>
      <c r="O2116" s="12" t="n"/>
    </row>
    <row r="2117">
      <c r="A2117" s="11" t="n"/>
      <c r="B2117" s="11" t="n"/>
      <c r="C2117" s="11" t="n"/>
      <c r="D2117" s="11" t="n"/>
      <c r="E2117" s="11" t="n"/>
      <c r="F2117" s="11" t="n"/>
      <c r="G2117" s="11" t="n"/>
      <c r="H2117" s="11" t="n"/>
      <c r="I2117" s="11" t="n"/>
      <c r="J2117" s="11" t="n"/>
      <c r="K2117" s="11" t="n"/>
      <c r="L2117" s="11" t="n"/>
      <c r="M2117" s="11" t="n"/>
      <c r="N2117" s="11" t="n"/>
      <c r="O2117" s="12" t="n"/>
    </row>
    <row r="2118">
      <c r="A2118" s="11" t="n"/>
      <c r="B2118" s="11" t="n"/>
      <c r="C2118" s="11" t="n"/>
      <c r="D2118" s="11" t="n"/>
      <c r="E2118" s="11" t="n"/>
      <c r="F2118" s="11" t="n"/>
      <c r="G2118" s="11" t="n"/>
      <c r="H2118" s="11" t="n"/>
      <c r="I2118" s="11" t="n"/>
      <c r="J2118" s="11" t="n"/>
      <c r="K2118" s="11" t="n"/>
      <c r="L2118" s="11" t="n"/>
      <c r="M2118" s="11" t="n"/>
      <c r="N2118" s="11" t="n"/>
      <c r="O2118" s="12" t="n"/>
    </row>
    <row r="2119">
      <c r="A2119" s="11" t="n"/>
      <c r="B2119" s="11" t="n"/>
      <c r="C2119" s="11" t="n"/>
      <c r="D2119" s="11" t="n"/>
      <c r="E2119" s="11" t="n"/>
      <c r="F2119" s="11" t="n"/>
      <c r="G2119" s="11" t="n"/>
      <c r="H2119" s="11" t="n"/>
      <c r="I2119" s="11" t="n"/>
      <c r="J2119" s="11" t="n"/>
      <c r="K2119" s="11" t="n"/>
      <c r="L2119" s="11" t="n"/>
      <c r="M2119" s="11" t="n"/>
      <c r="N2119" s="11" t="n"/>
      <c r="O2119" s="12" t="n"/>
    </row>
    <row r="2120">
      <c r="A2120" s="11" t="n"/>
      <c r="B2120" s="11" t="n"/>
      <c r="C2120" s="11" t="n"/>
      <c r="D2120" s="11" t="n"/>
      <c r="E2120" s="11" t="n"/>
      <c r="F2120" s="11" t="n"/>
      <c r="G2120" s="11" t="n"/>
      <c r="H2120" s="11" t="n"/>
      <c r="I2120" s="11" t="n"/>
      <c r="J2120" s="11" t="n"/>
      <c r="K2120" s="11" t="n"/>
      <c r="L2120" s="11" t="n"/>
      <c r="M2120" s="11" t="n"/>
      <c r="N2120" s="11" t="n"/>
      <c r="O2120" s="12" t="n"/>
    </row>
    <row r="2121">
      <c r="A2121" s="11" t="n"/>
      <c r="B2121" s="11" t="n"/>
      <c r="C2121" s="11" t="n"/>
      <c r="D2121" s="11" t="n"/>
      <c r="E2121" s="11" t="n"/>
      <c r="F2121" s="11" t="n"/>
      <c r="G2121" s="11" t="n"/>
      <c r="H2121" s="11" t="n"/>
      <c r="I2121" s="11" t="n"/>
      <c r="J2121" s="11" t="n"/>
      <c r="K2121" s="11" t="n"/>
      <c r="L2121" s="11" t="n"/>
      <c r="M2121" s="11" t="n"/>
      <c r="N2121" s="11" t="n"/>
      <c r="O2121" s="12" t="n"/>
    </row>
    <row r="2122">
      <c r="A2122" s="11" t="n"/>
      <c r="B2122" s="11" t="n"/>
      <c r="C2122" s="11" t="n"/>
      <c r="D2122" s="11" t="n"/>
      <c r="E2122" s="11" t="n"/>
      <c r="F2122" s="11" t="n"/>
      <c r="G2122" s="11" t="n"/>
      <c r="H2122" s="11" t="n"/>
      <c r="I2122" s="11" t="n"/>
      <c r="J2122" s="11" t="n"/>
      <c r="K2122" s="11" t="n"/>
      <c r="L2122" s="11" t="n"/>
      <c r="M2122" s="11" t="n"/>
      <c r="N2122" s="11" t="n"/>
      <c r="O2122" s="12" t="n"/>
    </row>
    <row r="2123">
      <c r="A2123" s="11" t="n"/>
      <c r="B2123" s="11" t="n"/>
      <c r="C2123" s="11" t="n"/>
      <c r="D2123" s="11" t="n"/>
      <c r="E2123" s="11" t="n"/>
      <c r="F2123" s="11" t="n"/>
      <c r="G2123" s="11" t="n"/>
      <c r="H2123" s="11" t="n"/>
      <c r="I2123" s="11" t="n"/>
      <c r="J2123" s="11" t="n"/>
      <c r="K2123" s="11" t="n"/>
      <c r="L2123" s="11" t="n"/>
      <c r="M2123" s="11" t="n"/>
      <c r="N2123" s="11" t="n"/>
      <c r="O2123" s="12" t="n"/>
    </row>
    <row r="2124">
      <c r="A2124" s="11" t="n"/>
      <c r="B2124" s="11" t="n"/>
      <c r="C2124" s="11" t="n"/>
      <c r="D2124" s="11" t="n"/>
      <c r="E2124" s="11" t="n"/>
      <c r="F2124" s="11" t="n"/>
      <c r="G2124" s="11" t="n"/>
      <c r="H2124" s="11" t="n"/>
      <c r="I2124" s="11" t="n"/>
      <c r="J2124" s="11" t="n"/>
      <c r="K2124" s="11" t="n"/>
      <c r="L2124" s="11" t="n"/>
      <c r="M2124" s="11" t="n"/>
      <c r="N2124" s="11" t="n"/>
      <c r="O2124" s="12" t="n"/>
    </row>
    <row r="2125">
      <c r="A2125" s="11" t="n"/>
      <c r="B2125" s="11" t="n"/>
      <c r="C2125" s="11" t="n"/>
      <c r="D2125" s="11" t="n"/>
      <c r="E2125" s="11" t="n"/>
      <c r="F2125" s="11" t="n"/>
      <c r="G2125" s="11" t="n"/>
      <c r="H2125" s="11" t="n"/>
      <c r="I2125" s="11" t="n"/>
      <c r="J2125" s="11" t="n"/>
      <c r="K2125" s="11" t="n"/>
      <c r="L2125" s="11" t="n"/>
      <c r="M2125" s="11" t="n"/>
      <c r="N2125" s="11" t="n"/>
      <c r="O2125" s="12" t="n"/>
    </row>
    <row r="2126">
      <c r="A2126" s="11" t="n"/>
      <c r="B2126" s="11" t="n"/>
      <c r="C2126" s="11" t="n"/>
      <c r="D2126" s="11" t="n"/>
      <c r="E2126" s="11" t="n"/>
      <c r="F2126" s="11" t="n"/>
      <c r="G2126" s="11" t="n"/>
      <c r="H2126" s="11" t="n"/>
      <c r="I2126" s="11" t="n"/>
      <c r="J2126" s="11" t="n"/>
      <c r="K2126" s="11" t="n"/>
      <c r="L2126" s="11" t="n"/>
      <c r="M2126" s="11" t="n"/>
      <c r="N2126" s="11" t="n"/>
      <c r="O2126" s="12" t="n"/>
    </row>
    <row r="2127">
      <c r="A2127" s="11" t="n"/>
      <c r="B2127" s="11" t="n"/>
      <c r="C2127" s="11" t="n"/>
      <c r="D2127" s="11" t="n"/>
      <c r="E2127" s="11" t="n"/>
      <c r="F2127" s="11" t="n"/>
      <c r="G2127" s="11" t="n"/>
      <c r="H2127" s="11" t="n"/>
      <c r="I2127" s="11" t="n"/>
      <c r="J2127" s="11" t="n"/>
      <c r="K2127" s="11" t="n"/>
      <c r="L2127" s="11" t="n"/>
      <c r="M2127" s="11" t="n"/>
      <c r="N2127" s="11" t="n"/>
      <c r="O2127" s="12" t="n"/>
    </row>
    <row r="2128">
      <c r="A2128" s="11" t="n"/>
      <c r="B2128" s="11" t="n"/>
      <c r="C2128" s="11" t="n"/>
      <c r="D2128" s="11" t="n"/>
      <c r="E2128" s="11" t="n"/>
      <c r="F2128" s="11" t="n"/>
      <c r="G2128" s="11" t="n"/>
      <c r="H2128" s="11" t="n"/>
      <c r="I2128" s="11" t="n"/>
      <c r="J2128" s="11" t="n"/>
      <c r="K2128" s="11" t="n"/>
      <c r="L2128" s="11" t="n"/>
      <c r="M2128" s="11" t="n"/>
      <c r="N2128" s="11" t="n"/>
      <c r="O2128" s="12" t="n"/>
    </row>
    <row r="2129">
      <c r="A2129" s="11" t="n"/>
      <c r="B2129" s="11" t="n"/>
      <c r="C2129" s="11" t="n"/>
      <c r="D2129" s="11" t="n"/>
      <c r="E2129" s="11" t="n"/>
      <c r="F2129" s="11" t="n"/>
      <c r="G2129" s="11" t="n"/>
      <c r="H2129" s="11" t="n"/>
      <c r="I2129" s="11" t="n"/>
      <c r="J2129" s="11" t="n"/>
      <c r="K2129" s="11" t="n"/>
      <c r="L2129" s="11" t="n"/>
      <c r="M2129" s="11" t="n"/>
      <c r="N2129" s="11" t="n"/>
      <c r="O2129" s="12" t="n"/>
    </row>
    <row r="2130">
      <c r="A2130" s="11" t="n"/>
      <c r="B2130" s="11" t="n"/>
      <c r="C2130" s="11" t="n"/>
      <c r="D2130" s="11" t="n"/>
      <c r="E2130" s="11" t="n"/>
      <c r="F2130" s="11" t="n"/>
      <c r="G2130" s="11" t="n"/>
      <c r="H2130" s="11" t="n"/>
      <c r="I2130" s="11" t="n"/>
      <c r="J2130" s="11" t="n"/>
      <c r="K2130" s="11" t="n"/>
      <c r="L2130" s="11" t="n"/>
      <c r="M2130" s="11" t="n"/>
      <c r="N2130" s="11" t="n"/>
      <c r="O2130" s="12" t="n"/>
    </row>
    <row r="2131">
      <c r="A2131" s="11" t="n"/>
      <c r="B2131" s="11" t="n"/>
      <c r="C2131" s="11" t="n"/>
      <c r="D2131" s="11" t="n"/>
      <c r="E2131" s="11" t="n"/>
      <c r="F2131" s="11" t="n"/>
      <c r="G2131" s="11" t="n"/>
      <c r="H2131" s="11" t="n"/>
      <c r="I2131" s="11" t="n"/>
      <c r="J2131" s="11" t="n"/>
      <c r="K2131" s="11" t="n"/>
      <c r="L2131" s="11" t="n"/>
      <c r="M2131" s="11" t="n"/>
      <c r="N2131" s="11" t="n"/>
      <c r="O2131" s="12" t="n"/>
    </row>
    <row r="2132">
      <c r="A2132" s="11" t="n"/>
      <c r="B2132" s="11" t="n"/>
      <c r="C2132" s="11" t="n"/>
      <c r="D2132" s="11" t="n"/>
      <c r="E2132" s="11" t="n"/>
      <c r="F2132" s="11" t="n"/>
      <c r="G2132" s="11" t="n"/>
      <c r="H2132" s="11" t="n"/>
      <c r="I2132" s="11" t="n"/>
      <c r="J2132" s="11" t="n"/>
      <c r="K2132" s="11" t="n"/>
      <c r="L2132" s="11" t="n"/>
      <c r="M2132" s="11" t="n"/>
      <c r="N2132" s="11" t="n"/>
      <c r="O2132" s="12" t="n"/>
    </row>
    <row r="2133">
      <c r="A2133" s="11" t="n"/>
      <c r="B2133" s="11" t="n"/>
      <c r="C2133" s="11" t="n"/>
      <c r="D2133" s="11" t="n"/>
      <c r="E2133" s="11" t="n"/>
      <c r="F2133" s="11" t="n"/>
      <c r="G2133" s="11" t="n"/>
      <c r="H2133" s="11" t="n"/>
      <c r="I2133" s="11" t="n"/>
      <c r="J2133" s="11" t="n"/>
      <c r="K2133" s="11" t="n"/>
      <c r="L2133" s="11" t="n"/>
      <c r="M2133" s="11" t="n"/>
      <c r="N2133" s="11" t="n"/>
      <c r="O2133" s="12" t="n"/>
    </row>
    <row r="2134">
      <c r="A2134" s="11" t="n"/>
      <c r="B2134" s="11" t="n"/>
      <c r="C2134" s="11" t="n"/>
      <c r="D2134" s="11" t="n"/>
      <c r="E2134" s="11" t="n"/>
      <c r="F2134" s="11" t="n"/>
      <c r="G2134" s="11" t="n"/>
      <c r="H2134" s="11" t="n"/>
      <c r="I2134" s="11" t="n"/>
      <c r="J2134" s="11" t="n"/>
      <c r="K2134" s="11" t="n"/>
      <c r="L2134" s="11" t="n"/>
      <c r="M2134" s="11" t="n"/>
      <c r="N2134" s="11" t="n"/>
      <c r="O2134" s="12" t="n"/>
    </row>
    <row r="2135">
      <c r="A2135" s="11" t="n"/>
      <c r="B2135" s="11" t="n"/>
      <c r="C2135" s="11" t="n"/>
      <c r="D2135" s="11" t="n"/>
      <c r="E2135" s="11" t="n"/>
      <c r="F2135" s="11" t="n"/>
      <c r="G2135" s="11" t="n"/>
      <c r="H2135" s="11" t="n"/>
      <c r="I2135" s="11" t="n"/>
      <c r="J2135" s="11" t="n"/>
      <c r="K2135" s="11" t="n"/>
      <c r="L2135" s="11" t="n"/>
      <c r="M2135" s="11" t="n"/>
      <c r="N2135" s="11" t="n"/>
      <c r="O2135" s="12" t="n"/>
    </row>
    <row r="2136">
      <c r="A2136" s="11" t="n"/>
      <c r="B2136" s="11" t="n"/>
      <c r="C2136" s="11" t="n"/>
      <c r="D2136" s="11" t="n"/>
      <c r="E2136" s="11" t="n"/>
      <c r="F2136" s="11" t="n"/>
      <c r="G2136" s="11" t="n"/>
      <c r="H2136" s="11" t="n"/>
      <c r="I2136" s="11" t="n"/>
      <c r="J2136" s="11" t="n"/>
      <c r="K2136" s="11" t="n"/>
      <c r="L2136" s="11" t="n"/>
      <c r="M2136" s="11" t="n"/>
      <c r="N2136" s="11" t="n"/>
      <c r="O2136" s="12" t="n"/>
    </row>
    <row r="2137">
      <c r="A2137" s="11" t="n"/>
      <c r="B2137" s="11" t="n"/>
      <c r="C2137" s="11" t="n"/>
      <c r="D2137" s="11" t="n"/>
      <c r="E2137" s="11" t="n"/>
      <c r="F2137" s="11" t="n"/>
      <c r="G2137" s="11" t="n"/>
      <c r="H2137" s="11" t="n"/>
      <c r="I2137" s="11" t="n"/>
      <c r="J2137" s="11" t="n"/>
      <c r="K2137" s="11" t="n"/>
      <c r="L2137" s="11" t="n"/>
      <c r="M2137" s="11" t="n"/>
      <c r="N2137" s="11" t="n"/>
      <c r="O2137" s="12" t="n"/>
    </row>
    <row r="2138">
      <c r="A2138" s="11" t="n"/>
      <c r="B2138" s="11" t="n"/>
      <c r="C2138" s="11" t="n"/>
      <c r="D2138" s="11" t="n"/>
      <c r="E2138" s="11" t="n"/>
      <c r="F2138" s="11" t="n"/>
      <c r="G2138" s="11" t="n"/>
      <c r="H2138" s="11" t="n"/>
      <c r="I2138" s="11" t="n"/>
      <c r="J2138" s="11" t="n"/>
      <c r="K2138" s="11" t="n"/>
      <c r="L2138" s="11" t="n"/>
      <c r="M2138" s="11" t="n"/>
      <c r="N2138" s="11" t="n"/>
      <c r="O2138" s="12" t="n"/>
    </row>
    <row r="2139">
      <c r="A2139" s="11" t="n"/>
      <c r="B2139" s="11" t="n"/>
      <c r="C2139" s="11" t="n"/>
      <c r="D2139" s="11" t="n"/>
      <c r="E2139" s="11" t="n"/>
      <c r="F2139" s="11" t="n"/>
      <c r="G2139" s="11" t="n"/>
      <c r="H2139" s="11" t="n"/>
      <c r="I2139" s="11" t="n"/>
      <c r="J2139" s="11" t="n"/>
      <c r="K2139" s="11" t="n"/>
      <c r="L2139" s="11" t="n"/>
      <c r="M2139" s="11" t="n"/>
      <c r="N2139" s="11" t="n"/>
      <c r="O2139" s="12" t="n"/>
    </row>
    <row r="2140">
      <c r="A2140" s="11" t="n"/>
      <c r="B2140" s="11" t="n"/>
      <c r="C2140" s="11" t="n"/>
      <c r="D2140" s="11" t="n"/>
      <c r="E2140" s="11" t="n"/>
      <c r="F2140" s="11" t="n"/>
      <c r="G2140" s="11" t="n"/>
      <c r="H2140" s="11" t="n"/>
      <c r="I2140" s="11" t="n"/>
      <c r="J2140" s="11" t="n"/>
      <c r="K2140" s="11" t="n"/>
      <c r="L2140" s="11" t="n"/>
      <c r="M2140" s="11" t="n"/>
      <c r="N2140" s="11" t="n"/>
      <c r="O2140" s="12" t="n"/>
    </row>
    <row r="2141">
      <c r="A2141" s="11" t="n"/>
      <c r="B2141" s="11" t="n"/>
      <c r="C2141" s="11" t="n"/>
      <c r="D2141" s="11" t="n"/>
      <c r="E2141" s="11" t="n"/>
      <c r="F2141" s="11" t="n"/>
      <c r="G2141" s="11" t="n"/>
      <c r="H2141" s="11" t="n"/>
      <c r="I2141" s="11" t="n"/>
      <c r="J2141" s="11" t="n"/>
      <c r="K2141" s="11" t="n"/>
      <c r="L2141" s="11" t="n"/>
      <c r="M2141" s="11" t="n"/>
      <c r="N2141" s="11" t="n"/>
      <c r="O2141" s="12" t="n"/>
    </row>
    <row r="2142">
      <c r="A2142" s="11" t="n"/>
      <c r="B2142" s="11" t="n"/>
      <c r="C2142" s="11" t="n"/>
      <c r="D2142" s="11" t="n"/>
      <c r="E2142" s="11" t="n"/>
      <c r="F2142" s="11" t="n"/>
      <c r="G2142" s="11" t="n"/>
      <c r="H2142" s="11" t="n"/>
      <c r="I2142" s="11" t="n"/>
      <c r="J2142" s="11" t="n"/>
      <c r="K2142" s="11" t="n"/>
      <c r="L2142" s="11" t="n"/>
      <c r="M2142" s="11" t="n"/>
      <c r="N2142" s="11" t="n"/>
      <c r="O2142" s="12" t="n"/>
    </row>
    <row r="2143">
      <c r="A2143" s="11" t="n"/>
      <c r="B2143" s="11" t="n"/>
      <c r="C2143" s="11" t="n"/>
      <c r="D2143" s="11" t="n"/>
      <c r="E2143" s="11" t="n"/>
      <c r="F2143" s="11" t="n"/>
      <c r="G2143" s="11" t="n"/>
      <c r="H2143" s="11" t="n"/>
      <c r="I2143" s="11" t="n"/>
      <c r="J2143" s="11" t="n"/>
      <c r="K2143" s="11" t="n"/>
      <c r="L2143" s="11" t="n"/>
      <c r="M2143" s="11" t="n"/>
      <c r="N2143" s="11" t="n"/>
      <c r="O2143" s="12" t="n"/>
    </row>
    <row r="2144">
      <c r="A2144" s="11" t="n"/>
      <c r="B2144" s="11" t="n"/>
      <c r="C2144" s="11" t="n"/>
      <c r="D2144" s="11" t="n"/>
      <c r="E2144" s="11" t="n"/>
      <c r="F2144" s="11" t="n"/>
      <c r="G2144" s="11" t="n"/>
      <c r="H2144" s="11" t="n"/>
      <c r="I2144" s="11" t="n"/>
      <c r="J2144" s="11" t="n"/>
      <c r="K2144" s="11" t="n"/>
      <c r="L2144" s="11" t="n"/>
      <c r="M2144" s="11" t="n"/>
      <c r="N2144" s="11" t="n"/>
      <c r="O2144" s="12" t="n"/>
    </row>
    <row r="2145">
      <c r="A2145" s="11" t="n"/>
      <c r="B2145" s="11" t="n"/>
      <c r="C2145" s="11" t="n"/>
      <c r="D2145" s="11" t="n"/>
      <c r="E2145" s="11" t="n"/>
      <c r="F2145" s="11" t="n"/>
      <c r="G2145" s="11" t="n"/>
      <c r="H2145" s="11" t="n"/>
      <c r="I2145" s="11" t="n"/>
      <c r="J2145" s="11" t="n"/>
      <c r="K2145" s="11" t="n"/>
      <c r="L2145" s="11" t="n"/>
      <c r="M2145" s="11" t="n"/>
      <c r="N2145" s="11" t="n"/>
      <c r="O2145" s="12" t="n"/>
    </row>
    <row r="2146">
      <c r="A2146" s="11" t="n"/>
      <c r="B2146" s="11" t="n"/>
      <c r="C2146" s="11" t="n"/>
      <c r="D2146" s="11" t="n"/>
      <c r="E2146" s="11" t="n"/>
      <c r="F2146" s="11" t="n"/>
      <c r="G2146" s="11" t="n"/>
      <c r="H2146" s="11" t="n"/>
      <c r="I2146" s="11" t="n"/>
      <c r="J2146" s="11" t="n"/>
      <c r="K2146" s="11" t="n"/>
      <c r="L2146" s="11" t="n"/>
      <c r="M2146" s="11" t="n"/>
      <c r="N2146" s="11" t="n"/>
      <c r="O2146" s="12" t="n"/>
    </row>
    <row r="2147">
      <c r="A2147" s="11" t="n"/>
      <c r="B2147" s="11" t="n"/>
      <c r="C2147" s="11" t="n"/>
      <c r="D2147" s="11" t="n"/>
      <c r="E2147" s="11" t="n"/>
      <c r="F2147" s="11" t="n"/>
      <c r="G2147" s="11" t="n"/>
      <c r="H2147" s="11" t="n"/>
      <c r="I2147" s="11" t="n"/>
      <c r="J2147" s="11" t="n"/>
      <c r="K2147" s="11" t="n"/>
      <c r="L2147" s="11" t="n"/>
      <c r="M2147" s="11" t="n"/>
      <c r="N2147" s="11" t="n"/>
      <c r="O2147" s="12" t="n"/>
    </row>
    <row r="2148">
      <c r="A2148" s="11" t="n"/>
      <c r="B2148" s="11" t="n"/>
      <c r="C2148" s="11" t="n"/>
      <c r="D2148" s="11" t="n"/>
      <c r="E2148" s="11" t="n"/>
      <c r="F2148" s="11" t="n"/>
      <c r="G2148" s="11" t="n"/>
      <c r="H2148" s="11" t="n"/>
      <c r="I2148" s="11" t="n"/>
      <c r="J2148" s="11" t="n"/>
      <c r="K2148" s="11" t="n"/>
      <c r="L2148" s="11" t="n"/>
      <c r="M2148" s="11" t="n"/>
      <c r="N2148" s="11" t="n"/>
      <c r="O2148" s="12" t="n"/>
    </row>
    <row r="2149">
      <c r="A2149" s="11" t="n"/>
      <c r="B2149" s="11" t="n"/>
      <c r="C2149" s="11" t="n"/>
      <c r="D2149" s="11" t="n"/>
      <c r="E2149" s="11" t="n"/>
      <c r="F2149" s="11" t="n"/>
      <c r="G2149" s="11" t="n"/>
      <c r="H2149" s="11" t="n"/>
      <c r="I2149" s="11" t="n"/>
      <c r="J2149" s="11" t="n"/>
      <c r="K2149" s="11" t="n"/>
      <c r="L2149" s="11" t="n"/>
      <c r="M2149" s="11" t="n"/>
      <c r="N2149" s="11" t="n"/>
      <c r="O2149" s="12" t="n"/>
    </row>
    <row r="2150">
      <c r="A2150" s="11" t="n"/>
      <c r="B2150" s="11" t="n"/>
      <c r="C2150" s="11" t="n"/>
      <c r="D2150" s="11" t="n"/>
      <c r="E2150" s="11" t="n"/>
      <c r="F2150" s="11" t="n"/>
      <c r="G2150" s="11" t="n"/>
      <c r="H2150" s="11" t="n"/>
      <c r="I2150" s="11" t="n"/>
      <c r="J2150" s="11" t="n"/>
      <c r="K2150" s="11" t="n"/>
      <c r="L2150" s="11" t="n"/>
      <c r="M2150" s="11" t="n"/>
      <c r="N2150" s="11" t="n"/>
      <c r="O2150" s="12" t="n"/>
    </row>
    <row r="2151">
      <c r="A2151" s="11" t="n"/>
      <c r="B2151" s="11" t="n"/>
      <c r="C2151" s="11" t="n"/>
      <c r="D2151" s="11" t="n"/>
      <c r="E2151" s="11" t="n"/>
      <c r="F2151" s="11" t="n"/>
      <c r="G2151" s="11" t="n"/>
      <c r="H2151" s="11" t="n"/>
      <c r="I2151" s="11" t="n"/>
      <c r="J2151" s="11" t="n"/>
      <c r="K2151" s="11" t="n"/>
      <c r="L2151" s="11" t="n"/>
      <c r="M2151" s="11" t="n"/>
      <c r="N2151" s="11" t="n"/>
      <c r="O2151" s="12" t="n"/>
    </row>
    <row r="2152">
      <c r="A2152" s="11" t="n"/>
      <c r="B2152" s="11" t="n"/>
      <c r="C2152" s="11" t="n"/>
      <c r="D2152" s="11" t="n"/>
      <c r="E2152" s="11" t="n"/>
      <c r="F2152" s="11" t="n"/>
      <c r="G2152" s="11" t="n"/>
      <c r="H2152" s="11" t="n"/>
      <c r="I2152" s="11" t="n"/>
      <c r="J2152" s="11" t="n"/>
      <c r="K2152" s="11" t="n"/>
      <c r="L2152" s="11" t="n"/>
      <c r="M2152" s="11" t="n"/>
      <c r="N2152" s="11" t="n"/>
      <c r="O2152" s="12" t="n"/>
    </row>
    <row r="2153">
      <c r="A2153" s="11" t="n"/>
      <c r="B2153" s="11" t="n"/>
      <c r="C2153" s="11" t="n"/>
      <c r="D2153" s="11" t="n"/>
      <c r="E2153" s="11" t="n"/>
      <c r="F2153" s="11" t="n"/>
      <c r="G2153" s="11" t="n"/>
      <c r="H2153" s="11" t="n"/>
      <c r="I2153" s="11" t="n"/>
      <c r="J2153" s="11" t="n"/>
      <c r="K2153" s="11" t="n"/>
      <c r="L2153" s="11" t="n"/>
      <c r="M2153" s="11" t="n"/>
      <c r="N2153" s="11" t="n"/>
      <c r="O2153" s="12" t="n"/>
    </row>
    <row r="2154">
      <c r="A2154" s="11" t="n"/>
      <c r="B2154" s="11" t="n"/>
      <c r="C2154" s="11" t="n"/>
      <c r="D2154" s="11" t="n"/>
      <c r="E2154" s="11" t="n"/>
      <c r="F2154" s="11" t="n"/>
      <c r="G2154" s="11" t="n"/>
      <c r="H2154" s="11" t="n"/>
      <c r="I2154" s="11" t="n"/>
      <c r="J2154" s="11" t="n"/>
      <c r="K2154" s="11" t="n"/>
      <c r="L2154" s="11" t="n"/>
      <c r="M2154" s="11" t="n"/>
      <c r="N2154" s="11" t="n"/>
      <c r="O2154" s="12" t="n"/>
    </row>
    <row r="2155">
      <c r="A2155" s="11" t="n"/>
      <c r="B2155" s="11" t="n"/>
      <c r="C2155" s="11" t="n"/>
      <c r="D2155" s="11" t="n"/>
      <c r="E2155" s="11" t="n"/>
      <c r="F2155" s="11" t="n"/>
      <c r="G2155" s="11" t="n"/>
      <c r="H2155" s="11" t="n"/>
      <c r="I2155" s="11" t="n"/>
      <c r="J2155" s="11" t="n"/>
      <c r="K2155" s="11" t="n"/>
      <c r="L2155" s="11" t="n"/>
      <c r="M2155" s="11" t="n"/>
      <c r="N2155" s="11" t="n"/>
      <c r="O2155" s="12" t="n"/>
    </row>
    <row r="2156">
      <c r="A2156" s="11" t="n"/>
      <c r="B2156" s="11" t="n"/>
      <c r="C2156" s="11" t="n"/>
      <c r="D2156" s="11" t="n"/>
      <c r="E2156" s="11" t="n"/>
      <c r="F2156" s="11" t="n"/>
      <c r="G2156" s="11" t="n"/>
      <c r="H2156" s="11" t="n"/>
      <c r="I2156" s="11" t="n"/>
      <c r="J2156" s="11" t="n"/>
      <c r="K2156" s="11" t="n"/>
      <c r="L2156" s="11" t="n"/>
      <c r="M2156" s="11" t="n"/>
      <c r="N2156" s="11" t="n"/>
      <c r="O2156" s="12" t="n"/>
    </row>
    <row r="2157">
      <c r="A2157" s="11" t="n"/>
      <c r="B2157" s="11" t="n"/>
      <c r="C2157" s="11" t="n"/>
      <c r="D2157" s="11" t="n"/>
      <c r="E2157" s="11" t="n"/>
      <c r="F2157" s="11" t="n"/>
      <c r="G2157" s="11" t="n"/>
      <c r="H2157" s="11" t="n"/>
      <c r="I2157" s="11" t="n"/>
      <c r="J2157" s="11" t="n"/>
      <c r="K2157" s="11" t="n"/>
      <c r="L2157" s="11" t="n"/>
      <c r="M2157" s="11" t="n"/>
      <c r="N2157" s="11" t="n"/>
      <c r="O2157" s="12" t="n"/>
    </row>
    <row r="2158">
      <c r="A2158" s="11" t="n"/>
      <c r="B2158" s="11" t="n"/>
      <c r="C2158" s="11" t="n"/>
      <c r="D2158" s="11" t="n"/>
      <c r="E2158" s="11" t="n"/>
      <c r="F2158" s="11" t="n"/>
      <c r="G2158" s="11" t="n"/>
      <c r="H2158" s="11" t="n"/>
      <c r="I2158" s="11" t="n"/>
      <c r="J2158" s="11" t="n"/>
      <c r="K2158" s="11" t="n"/>
      <c r="L2158" s="11" t="n"/>
      <c r="M2158" s="11" t="n"/>
      <c r="N2158" s="11" t="n"/>
      <c r="O2158" s="12" t="n"/>
    </row>
    <row r="2159">
      <c r="A2159" s="11" t="n"/>
      <c r="B2159" s="11" t="n"/>
      <c r="C2159" s="11" t="n"/>
      <c r="D2159" s="11" t="n"/>
      <c r="E2159" s="11" t="n"/>
      <c r="F2159" s="11" t="n"/>
      <c r="G2159" s="11" t="n"/>
      <c r="H2159" s="11" t="n"/>
      <c r="I2159" s="11" t="n"/>
      <c r="J2159" s="11" t="n"/>
      <c r="K2159" s="11" t="n"/>
      <c r="L2159" s="11" t="n"/>
      <c r="M2159" s="11" t="n"/>
      <c r="N2159" s="11" t="n"/>
      <c r="O2159" s="12" t="n"/>
    </row>
    <row r="2160">
      <c r="A2160" s="11" t="n"/>
      <c r="B2160" s="11" t="n"/>
      <c r="C2160" s="11" t="n"/>
      <c r="D2160" s="11" t="n"/>
      <c r="E2160" s="11" t="n"/>
      <c r="F2160" s="11" t="n"/>
      <c r="G2160" s="11" t="n"/>
      <c r="H2160" s="11" t="n"/>
      <c r="I2160" s="11" t="n"/>
      <c r="J2160" s="11" t="n"/>
      <c r="K2160" s="11" t="n"/>
      <c r="L2160" s="11" t="n"/>
      <c r="M2160" s="11" t="n"/>
      <c r="N2160" s="11" t="n"/>
      <c r="O2160" s="12" t="n"/>
    </row>
    <row r="2161">
      <c r="A2161" s="11" t="n"/>
      <c r="B2161" s="11" t="n"/>
      <c r="C2161" s="11" t="n"/>
      <c r="D2161" s="11" t="n"/>
      <c r="E2161" s="11" t="n"/>
      <c r="F2161" s="11" t="n"/>
      <c r="G2161" s="11" t="n"/>
      <c r="H2161" s="11" t="n"/>
      <c r="I2161" s="11" t="n"/>
      <c r="J2161" s="11" t="n"/>
      <c r="K2161" s="11" t="n"/>
      <c r="L2161" s="11" t="n"/>
      <c r="M2161" s="11" t="n"/>
      <c r="N2161" s="11" t="n"/>
      <c r="O2161" s="12" t="n"/>
    </row>
    <row r="2162">
      <c r="A2162" s="11" t="n"/>
      <c r="B2162" s="11" t="n"/>
      <c r="C2162" s="11" t="n"/>
      <c r="D2162" s="11" t="n"/>
      <c r="E2162" s="11" t="n"/>
      <c r="F2162" s="11" t="n"/>
      <c r="G2162" s="11" t="n"/>
      <c r="H2162" s="11" t="n"/>
      <c r="I2162" s="11" t="n"/>
      <c r="J2162" s="11" t="n"/>
      <c r="K2162" s="11" t="n"/>
      <c r="L2162" s="11" t="n"/>
      <c r="M2162" s="11" t="n"/>
      <c r="N2162" s="11" t="n"/>
      <c r="O2162" s="12" t="n"/>
    </row>
    <row r="2163">
      <c r="A2163" s="11" t="n"/>
      <c r="B2163" s="11" t="n"/>
      <c r="C2163" s="11" t="n"/>
      <c r="D2163" s="11" t="n"/>
      <c r="E2163" s="11" t="n"/>
      <c r="F2163" s="11" t="n"/>
      <c r="G2163" s="11" t="n"/>
      <c r="H2163" s="11" t="n"/>
      <c r="I2163" s="11" t="n"/>
      <c r="J2163" s="11" t="n"/>
      <c r="K2163" s="11" t="n"/>
      <c r="L2163" s="11" t="n"/>
      <c r="M2163" s="11" t="n"/>
      <c r="N2163" s="11" t="n"/>
      <c r="O2163" s="12" t="n"/>
    </row>
    <row r="2164">
      <c r="A2164" s="11" t="n"/>
      <c r="B2164" s="11" t="n"/>
      <c r="C2164" s="11" t="n"/>
      <c r="D2164" s="11" t="n"/>
      <c r="E2164" s="11" t="n"/>
      <c r="F2164" s="11" t="n"/>
      <c r="G2164" s="11" t="n"/>
      <c r="H2164" s="11" t="n"/>
      <c r="I2164" s="11" t="n"/>
      <c r="J2164" s="11" t="n"/>
      <c r="K2164" s="11" t="n"/>
      <c r="L2164" s="11" t="n"/>
      <c r="M2164" s="11" t="n"/>
      <c r="N2164" s="11" t="n"/>
      <c r="O2164" s="12" t="n"/>
    </row>
    <row r="2165">
      <c r="A2165" s="11" t="n"/>
      <c r="B2165" s="11" t="n"/>
      <c r="C2165" s="11" t="n"/>
      <c r="D2165" s="11" t="n"/>
      <c r="E2165" s="11" t="n"/>
      <c r="F2165" s="11" t="n"/>
      <c r="G2165" s="11" t="n"/>
      <c r="H2165" s="11" t="n"/>
      <c r="I2165" s="11" t="n"/>
      <c r="J2165" s="11" t="n"/>
      <c r="K2165" s="11" t="n"/>
      <c r="L2165" s="11" t="n"/>
      <c r="M2165" s="11" t="n"/>
      <c r="N2165" s="11" t="n"/>
      <c r="O2165" s="12" t="n"/>
    </row>
    <row r="2166">
      <c r="A2166" s="11" t="n"/>
      <c r="B2166" s="11" t="n"/>
      <c r="C2166" s="11" t="n"/>
      <c r="D2166" s="11" t="n"/>
      <c r="E2166" s="11" t="n"/>
      <c r="F2166" s="11" t="n"/>
      <c r="G2166" s="11" t="n"/>
      <c r="H2166" s="11" t="n"/>
      <c r="I2166" s="11" t="n"/>
      <c r="J2166" s="11" t="n"/>
      <c r="K2166" s="11" t="n"/>
      <c r="L2166" s="11" t="n"/>
      <c r="M2166" s="11" t="n"/>
      <c r="N2166" s="11" t="n"/>
      <c r="O2166" s="12" t="n"/>
    </row>
    <row r="2167">
      <c r="A2167" s="11" t="n"/>
      <c r="B2167" s="11" t="n"/>
      <c r="C2167" s="11" t="n"/>
      <c r="D2167" s="11" t="n"/>
      <c r="E2167" s="11" t="n"/>
      <c r="F2167" s="11" t="n"/>
      <c r="G2167" s="11" t="n"/>
      <c r="H2167" s="11" t="n"/>
      <c r="I2167" s="11" t="n"/>
      <c r="J2167" s="11" t="n"/>
      <c r="K2167" s="11" t="n"/>
      <c r="L2167" s="11" t="n"/>
      <c r="M2167" s="11" t="n"/>
      <c r="N2167" s="11" t="n"/>
      <c r="O2167" s="12" t="n"/>
    </row>
    <row r="2168">
      <c r="A2168" s="11" t="n"/>
      <c r="B2168" s="11" t="n"/>
      <c r="C2168" s="11" t="n"/>
      <c r="D2168" s="11" t="n"/>
      <c r="E2168" s="11" t="n"/>
      <c r="F2168" s="11" t="n"/>
      <c r="G2168" s="11" t="n"/>
      <c r="H2168" s="11" t="n"/>
      <c r="I2168" s="11" t="n"/>
      <c r="J2168" s="11" t="n"/>
      <c r="K2168" s="11" t="n"/>
      <c r="L2168" s="11" t="n"/>
      <c r="M2168" s="11" t="n"/>
      <c r="N2168" s="11" t="n"/>
      <c r="O2168" s="12" t="n"/>
    </row>
    <row r="2169">
      <c r="A2169" s="11" t="n"/>
      <c r="B2169" s="11" t="n"/>
      <c r="C2169" s="11" t="n"/>
      <c r="D2169" s="11" t="n"/>
      <c r="E2169" s="11" t="n"/>
      <c r="F2169" s="11" t="n"/>
      <c r="G2169" s="11" t="n"/>
      <c r="H2169" s="11" t="n"/>
      <c r="I2169" s="11" t="n"/>
      <c r="J2169" s="11" t="n"/>
      <c r="K2169" s="11" t="n"/>
      <c r="L2169" s="11" t="n"/>
      <c r="M2169" s="11" t="n"/>
      <c r="N2169" s="11" t="n"/>
      <c r="O2169" s="12" t="n"/>
    </row>
    <row r="2170">
      <c r="A2170" s="11" t="n"/>
      <c r="B2170" s="11" t="n"/>
      <c r="C2170" s="11" t="n"/>
      <c r="D2170" s="11" t="n"/>
      <c r="E2170" s="11" t="n"/>
      <c r="F2170" s="11" t="n"/>
      <c r="G2170" s="11" t="n"/>
      <c r="H2170" s="11" t="n"/>
      <c r="I2170" s="11" t="n"/>
      <c r="J2170" s="11" t="n"/>
      <c r="K2170" s="11" t="n"/>
      <c r="L2170" s="11" t="n"/>
      <c r="M2170" s="11" t="n"/>
      <c r="N2170" s="11" t="n"/>
      <c r="O2170" s="12" t="n"/>
    </row>
    <row r="2171">
      <c r="A2171" s="11" t="n"/>
      <c r="B2171" s="11" t="n"/>
      <c r="C2171" s="11" t="n"/>
      <c r="D2171" s="11" t="n"/>
      <c r="E2171" s="11" t="n"/>
      <c r="F2171" s="11" t="n"/>
      <c r="G2171" s="11" t="n"/>
      <c r="H2171" s="11" t="n"/>
      <c r="I2171" s="11" t="n"/>
      <c r="J2171" s="11" t="n"/>
      <c r="K2171" s="11" t="n"/>
      <c r="L2171" s="11" t="n"/>
      <c r="M2171" s="11" t="n"/>
      <c r="N2171" s="11" t="n"/>
      <c r="O2171" s="12" t="n"/>
    </row>
    <row r="2172">
      <c r="A2172" s="11" t="n"/>
      <c r="B2172" s="11" t="n"/>
      <c r="C2172" s="11" t="n"/>
      <c r="D2172" s="11" t="n"/>
      <c r="E2172" s="11" t="n"/>
      <c r="F2172" s="11" t="n"/>
      <c r="G2172" s="11" t="n"/>
      <c r="H2172" s="11" t="n"/>
      <c r="I2172" s="11" t="n"/>
      <c r="J2172" s="11" t="n"/>
      <c r="K2172" s="11" t="n"/>
      <c r="L2172" s="11" t="n"/>
      <c r="M2172" s="11" t="n"/>
      <c r="N2172" s="11" t="n"/>
      <c r="O2172" s="12" t="n"/>
    </row>
    <row r="2173">
      <c r="A2173" s="11" t="n"/>
      <c r="B2173" s="11" t="n"/>
      <c r="C2173" s="11" t="n"/>
      <c r="D2173" s="11" t="n"/>
      <c r="E2173" s="11" t="n"/>
      <c r="F2173" s="11" t="n"/>
      <c r="G2173" s="11" t="n"/>
      <c r="H2173" s="11" t="n"/>
      <c r="I2173" s="11" t="n"/>
      <c r="J2173" s="11" t="n"/>
      <c r="K2173" s="11" t="n"/>
      <c r="L2173" s="11" t="n"/>
      <c r="M2173" s="11" t="n"/>
      <c r="N2173" s="11" t="n"/>
      <c r="O2173" s="12" t="n"/>
    </row>
    <row r="2174">
      <c r="A2174" s="11" t="n"/>
      <c r="B2174" s="11" t="n"/>
      <c r="C2174" s="11" t="n"/>
      <c r="D2174" s="11" t="n"/>
      <c r="E2174" s="11" t="n"/>
      <c r="F2174" s="11" t="n"/>
      <c r="G2174" s="11" t="n"/>
      <c r="H2174" s="11" t="n"/>
      <c r="I2174" s="11" t="n"/>
      <c r="J2174" s="11" t="n"/>
      <c r="K2174" s="11" t="n"/>
      <c r="L2174" s="11" t="n"/>
      <c r="M2174" s="11" t="n"/>
      <c r="N2174" s="11" t="n"/>
      <c r="O2174" s="12" t="n"/>
    </row>
    <row r="2175">
      <c r="A2175" s="11" t="n"/>
      <c r="B2175" s="11" t="n"/>
      <c r="C2175" s="11" t="n"/>
      <c r="D2175" s="11" t="n"/>
      <c r="E2175" s="11" t="n"/>
      <c r="F2175" s="11" t="n"/>
      <c r="G2175" s="11" t="n"/>
      <c r="H2175" s="11" t="n"/>
      <c r="I2175" s="11" t="n"/>
      <c r="J2175" s="11" t="n"/>
      <c r="K2175" s="11" t="n"/>
      <c r="L2175" s="11" t="n"/>
      <c r="M2175" s="11" t="n"/>
      <c r="N2175" s="11" t="n"/>
      <c r="O2175" s="12" t="n"/>
    </row>
    <row r="2176">
      <c r="A2176" s="11" t="n"/>
      <c r="B2176" s="11" t="n"/>
      <c r="C2176" s="11" t="n"/>
      <c r="D2176" s="11" t="n"/>
      <c r="E2176" s="11" t="n"/>
      <c r="F2176" s="11" t="n"/>
      <c r="G2176" s="11" t="n"/>
      <c r="H2176" s="11" t="n"/>
      <c r="I2176" s="11" t="n"/>
      <c r="J2176" s="11" t="n"/>
      <c r="K2176" s="11" t="n"/>
      <c r="L2176" s="11" t="n"/>
      <c r="M2176" s="11" t="n"/>
      <c r="N2176" s="11" t="n"/>
      <c r="O2176" s="12" t="n"/>
    </row>
    <row r="2177">
      <c r="A2177" s="11" t="n"/>
      <c r="B2177" s="11" t="n"/>
      <c r="C2177" s="11" t="n"/>
      <c r="D2177" s="11" t="n"/>
      <c r="E2177" s="11" t="n"/>
      <c r="F2177" s="11" t="n"/>
      <c r="G2177" s="11" t="n"/>
      <c r="H2177" s="11" t="n"/>
      <c r="I2177" s="11" t="n"/>
      <c r="J2177" s="11" t="n"/>
      <c r="K2177" s="11" t="n"/>
      <c r="L2177" s="11" t="n"/>
      <c r="M2177" s="11" t="n"/>
      <c r="N2177" s="11" t="n"/>
      <c r="O2177" s="12" t="n"/>
    </row>
    <row r="2178">
      <c r="A2178" s="11" t="n"/>
      <c r="B2178" s="11" t="n"/>
      <c r="C2178" s="11" t="n"/>
      <c r="D2178" s="11" t="n"/>
      <c r="E2178" s="11" t="n"/>
      <c r="F2178" s="11" t="n"/>
      <c r="G2178" s="11" t="n"/>
      <c r="H2178" s="11" t="n"/>
      <c r="I2178" s="11" t="n"/>
      <c r="J2178" s="11" t="n"/>
      <c r="K2178" s="11" t="n"/>
      <c r="L2178" s="11" t="n"/>
      <c r="M2178" s="11" t="n"/>
      <c r="N2178" s="11" t="n"/>
      <c r="O2178" s="12" t="n"/>
    </row>
    <row r="2179">
      <c r="A2179" s="11" t="n"/>
      <c r="B2179" s="11" t="n"/>
      <c r="C2179" s="11" t="n"/>
      <c r="D2179" s="11" t="n"/>
      <c r="E2179" s="11" t="n"/>
      <c r="F2179" s="11" t="n"/>
      <c r="G2179" s="11" t="n"/>
      <c r="H2179" s="11" t="n"/>
      <c r="I2179" s="11" t="n"/>
      <c r="J2179" s="11" t="n"/>
      <c r="K2179" s="11" t="n"/>
      <c r="L2179" s="11" t="n"/>
      <c r="M2179" s="11" t="n"/>
      <c r="N2179" s="11" t="n"/>
      <c r="O2179" s="12" t="n"/>
    </row>
    <row r="2180">
      <c r="A2180" s="11" t="n"/>
      <c r="B2180" s="11" t="n"/>
      <c r="C2180" s="11" t="n"/>
      <c r="D2180" s="11" t="n"/>
      <c r="E2180" s="11" t="n"/>
      <c r="F2180" s="11" t="n"/>
      <c r="G2180" s="11" t="n"/>
      <c r="H2180" s="11" t="n"/>
      <c r="I2180" s="11" t="n"/>
      <c r="J2180" s="11" t="n"/>
      <c r="K2180" s="11" t="n"/>
      <c r="L2180" s="11" t="n"/>
      <c r="M2180" s="11" t="n"/>
      <c r="N2180" s="11" t="n"/>
      <c r="O2180" s="12" t="n"/>
    </row>
    <row r="2181">
      <c r="A2181" s="11" t="n"/>
      <c r="B2181" s="11" t="n"/>
      <c r="C2181" s="11" t="n"/>
      <c r="D2181" s="11" t="n"/>
      <c r="E2181" s="11" t="n"/>
      <c r="F2181" s="11" t="n"/>
      <c r="G2181" s="11" t="n"/>
      <c r="H2181" s="11" t="n"/>
      <c r="I2181" s="11" t="n"/>
      <c r="J2181" s="11" t="n"/>
      <c r="K2181" s="11" t="n"/>
      <c r="L2181" s="11" t="n"/>
      <c r="M2181" s="11" t="n"/>
      <c r="N2181" s="11" t="n"/>
      <c r="O2181" s="12" t="n"/>
    </row>
    <row r="2182">
      <c r="A2182" s="11" t="n"/>
      <c r="B2182" s="11" t="n"/>
      <c r="C2182" s="11" t="n"/>
      <c r="D2182" s="11" t="n"/>
      <c r="E2182" s="11" t="n"/>
      <c r="F2182" s="11" t="n"/>
      <c r="G2182" s="11" t="n"/>
      <c r="H2182" s="11" t="n"/>
      <c r="I2182" s="11" t="n"/>
      <c r="J2182" s="11" t="n"/>
      <c r="K2182" s="11" t="n"/>
      <c r="L2182" s="11" t="n"/>
      <c r="M2182" s="11" t="n"/>
      <c r="N2182" s="11" t="n"/>
      <c r="O2182" s="12" t="n"/>
    </row>
    <row r="2183">
      <c r="A2183" s="11" t="n"/>
      <c r="B2183" s="11" t="n"/>
      <c r="C2183" s="11" t="n"/>
      <c r="D2183" s="11" t="n"/>
      <c r="E2183" s="11" t="n"/>
      <c r="F2183" s="11" t="n"/>
      <c r="G2183" s="11" t="n"/>
      <c r="H2183" s="11" t="n"/>
      <c r="I2183" s="11" t="n"/>
      <c r="J2183" s="11" t="n"/>
      <c r="K2183" s="11" t="n"/>
      <c r="L2183" s="11" t="n"/>
      <c r="M2183" s="11" t="n"/>
      <c r="N2183" s="11" t="n"/>
      <c r="O2183" s="12" t="n"/>
    </row>
    <row r="2184">
      <c r="A2184" s="11" t="n"/>
      <c r="B2184" s="11" t="n"/>
      <c r="C2184" s="11" t="n"/>
      <c r="D2184" s="11" t="n"/>
      <c r="E2184" s="11" t="n"/>
      <c r="F2184" s="11" t="n"/>
      <c r="G2184" s="11" t="n"/>
      <c r="H2184" s="11" t="n"/>
      <c r="I2184" s="11" t="n"/>
      <c r="J2184" s="11" t="n"/>
      <c r="K2184" s="11" t="n"/>
      <c r="L2184" s="11" t="n"/>
      <c r="M2184" s="11" t="n"/>
      <c r="N2184" s="11" t="n"/>
      <c r="O2184" s="12" t="n"/>
    </row>
    <row r="2185">
      <c r="A2185" s="11" t="n"/>
      <c r="B2185" s="11" t="n"/>
      <c r="C2185" s="11" t="n"/>
      <c r="D2185" s="11" t="n"/>
      <c r="E2185" s="11" t="n"/>
      <c r="F2185" s="11" t="n"/>
      <c r="G2185" s="11" t="n"/>
      <c r="H2185" s="11" t="n"/>
      <c r="I2185" s="11" t="n"/>
      <c r="J2185" s="11" t="n"/>
      <c r="K2185" s="11" t="n"/>
      <c r="L2185" s="11" t="n"/>
      <c r="M2185" s="11" t="n"/>
      <c r="N2185" s="11" t="n"/>
      <c r="O2185" s="12" t="n"/>
    </row>
    <row r="2186">
      <c r="A2186" s="11" t="n"/>
      <c r="B2186" s="11" t="n"/>
      <c r="C2186" s="11" t="n"/>
      <c r="D2186" s="11" t="n"/>
      <c r="E2186" s="11" t="n"/>
      <c r="F2186" s="11" t="n"/>
      <c r="G2186" s="11" t="n"/>
      <c r="H2186" s="11" t="n"/>
      <c r="I2186" s="11" t="n"/>
      <c r="J2186" s="11" t="n"/>
      <c r="K2186" s="11" t="n"/>
      <c r="L2186" s="11" t="n"/>
      <c r="M2186" s="11" t="n"/>
      <c r="N2186" s="11" t="n"/>
      <c r="O2186" s="12" t="n"/>
    </row>
    <row r="2187">
      <c r="A2187" s="11" t="n"/>
      <c r="B2187" s="11" t="n"/>
      <c r="C2187" s="11" t="n"/>
      <c r="D2187" s="11" t="n"/>
      <c r="E2187" s="11" t="n"/>
      <c r="F2187" s="11" t="n"/>
      <c r="G2187" s="11" t="n"/>
      <c r="H2187" s="11" t="n"/>
      <c r="I2187" s="11" t="n"/>
      <c r="J2187" s="11" t="n"/>
      <c r="K2187" s="11" t="n"/>
      <c r="L2187" s="11" t="n"/>
      <c r="M2187" s="11" t="n"/>
      <c r="N2187" s="11" t="n"/>
      <c r="O2187" s="12" t="n"/>
    </row>
    <row r="2188">
      <c r="A2188" s="11" t="n"/>
      <c r="B2188" s="11" t="n"/>
      <c r="C2188" s="11" t="n"/>
      <c r="D2188" s="11" t="n"/>
      <c r="E2188" s="11" t="n"/>
      <c r="F2188" s="11" t="n"/>
      <c r="G2188" s="11" t="n"/>
      <c r="H2188" s="11" t="n"/>
      <c r="I2188" s="11" t="n"/>
      <c r="J2188" s="11" t="n"/>
      <c r="K2188" s="11" t="n"/>
      <c r="L2188" s="11" t="n"/>
      <c r="M2188" s="11" t="n"/>
      <c r="N2188" s="11" t="n"/>
      <c r="O2188" s="12" t="n"/>
    </row>
    <row r="2189">
      <c r="A2189" s="11" t="n"/>
      <c r="B2189" s="11" t="n"/>
      <c r="C2189" s="11" t="n"/>
      <c r="D2189" s="11" t="n"/>
      <c r="E2189" s="11" t="n"/>
      <c r="F2189" s="11" t="n"/>
      <c r="G2189" s="11" t="n"/>
      <c r="H2189" s="11" t="n"/>
      <c r="I2189" s="11" t="n"/>
      <c r="J2189" s="11" t="n"/>
      <c r="K2189" s="11" t="n"/>
      <c r="L2189" s="11" t="n"/>
      <c r="M2189" s="11" t="n"/>
      <c r="N2189" s="11" t="n"/>
      <c r="O2189" s="12" t="n"/>
    </row>
    <row r="2190">
      <c r="A2190" s="11" t="n"/>
      <c r="B2190" s="11" t="n"/>
      <c r="C2190" s="11" t="n"/>
      <c r="D2190" s="11" t="n"/>
      <c r="E2190" s="11" t="n"/>
      <c r="F2190" s="11" t="n"/>
      <c r="G2190" s="11" t="n"/>
      <c r="H2190" s="11" t="n"/>
      <c r="I2190" s="11" t="n"/>
      <c r="J2190" s="11" t="n"/>
      <c r="K2190" s="11" t="n"/>
      <c r="L2190" s="11" t="n"/>
      <c r="M2190" s="11" t="n"/>
      <c r="N2190" s="11" t="n"/>
      <c r="O2190" s="12" t="n"/>
    </row>
    <row r="2191">
      <c r="A2191" s="11" t="n"/>
      <c r="B2191" s="11" t="n"/>
      <c r="C2191" s="11" t="n"/>
      <c r="D2191" s="11" t="n"/>
      <c r="E2191" s="11" t="n"/>
      <c r="F2191" s="11" t="n"/>
      <c r="G2191" s="11" t="n"/>
      <c r="H2191" s="11" t="n"/>
      <c r="I2191" s="11" t="n"/>
      <c r="J2191" s="11" t="n"/>
      <c r="K2191" s="11" t="n"/>
      <c r="L2191" s="11" t="n"/>
      <c r="M2191" s="11" t="n"/>
      <c r="N2191" s="11" t="n"/>
      <c r="O2191" s="12" t="n"/>
    </row>
    <row r="2192">
      <c r="A2192" s="11" t="n"/>
      <c r="B2192" s="11" t="n"/>
      <c r="C2192" s="11" t="n"/>
      <c r="D2192" s="11" t="n"/>
      <c r="E2192" s="11" t="n"/>
      <c r="F2192" s="11" t="n"/>
      <c r="G2192" s="11" t="n"/>
      <c r="H2192" s="11" t="n"/>
      <c r="I2192" s="11" t="n"/>
      <c r="J2192" s="11" t="n"/>
      <c r="K2192" s="11" t="n"/>
      <c r="L2192" s="11" t="n"/>
      <c r="M2192" s="11" t="n"/>
      <c r="N2192" s="11" t="n"/>
      <c r="O2192" s="12" t="n"/>
    </row>
    <row r="2193">
      <c r="A2193" s="11" t="n"/>
      <c r="B2193" s="11" t="n"/>
      <c r="C2193" s="11" t="n"/>
      <c r="D2193" s="11" t="n"/>
      <c r="E2193" s="11" t="n"/>
      <c r="F2193" s="11" t="n"/>
      <c r="G2193" s="11" t="n"/>
      <c r="H2193" s="11" t="n"/>
      <c r="I2193" s="11" t="n"/>
      <c r="J2193" s="11" t="n"/>
      <c r="K2193" s="11" t="n"/>
      <c r="L2193" s="11" t="n"/>
      <c r="M2193" s="11" t="n"/>
      <c r="N2193" s="11" t="n"/>
      <c r="O2193" s="12" t="n"/>
    </row>
    <row r="2194">
      <c r="A2194" s="11" t="n"/>
      <c r="B2194" s="11" t="n"/>
      <c r="C2194" s="11" t="n"/>
      <c r="D2194" s="11" t="n"/>
      <c r="E2194" s="11" t="n"/>
      <c r="F2194" s="11" t="n"/>
      <c r="G2194" s="11" t="n"/>
      <c r="H2194" s="11" t="n"/>
      <c r="I2194" s="11" t="n"/>
      <c r="J2194" s="11" t="n"/>
      <c r="K2194" s="11" t="n"/>
      <c r="L2194" s="11" t="n"/>
      <c r="M2194" s="11" t="n"/>
      <c r="N2194" s="11" t="n"/>
      <c r="O2194" s="12" t="n"/>
    </row>
    <row r="2195">
      <c r="A2195" s="11" t="n"/>
      <c r="B2195" s="11" t="n"/>
      <c r="C2195" s="11" t="n"/>
      <c r="D2195" s="11" t="n"/>
      <c r="E2195" s="11" t="n"/>
      <c r="F2195" s="11" t="n"/>
      <c r="G2195" s="11" t="n"/>
      <c r="H2195" s="11" t="n"/>
      <c r="I2195" s="11" t="n"/>
      <c r="J2195" s="11" t="n"/>
      <c r="K2195" s="11" t="n"/>
      <c r="L2195" s="11" t="n"/>
      <c r="M2195" s="11" t="n"/>
      <c r="N2195" s="11" t="n"/>
      <c r="O2195" s="12" t="n"/>
    </row>
    <row r="2196">
      <c r="A2196" s="11" t="n"/>
      <c r="B2196" s="11" t="n"/>
      <c r="C2196" s="11" t="n"/>
      <c r="D2196" s="11" t="n"/>
      <c r="E2196" s="11" t="n"/>
      <c r="F2196" s="11" t="n"/>
      <c r="G2196" s="11" t="n"/>
      <c r="H2196" s="11" t="n"/>
      <c r="I2196" s="11" t="n"/>
      <c r="J2196" s="11" t="n"/>
      <c r="K2196" s="11" t="n"/>
      <c r="L2196" s="11" t="n"/>
      <c r="M2196" s="11" t="n"/>
      <c r="N2196" s="11" t="n"/>
      <c r="O2196" s="12" t="n"/>
    </row>
    <row r="2197">
      <c r="A2197" s="11" t="n"/>
      <c r="B2197" s="11" t="n"/>
      <c r="C2197" s="11" t="n"/>
      <c r="D2197" s="11" t="n"/>
      <c r="E2197" s="11" t="n"/>
      <c r="F2197" s="11" t="n"/>
      <c r="G2197" s="11" t="n"/>
      <c r="H2197" s="11" t="n"/>
      <c r="I2197" s="11" t="n"/>
      <c r="J2197" s="11" t="n"/>
      <c r="K2197" s="11" t="n"/>
      <c r="L2197" s="11" t="n"/>
      <c r="M2197" s="11" t="n"/>
      <c r="N2197" s="11" t="n"/>
      <c r="O2197" s="12" t="n"/>
    </row>
    <row r="2198">
      <c r="A2198" s="11" t="n"/>
      <c r="B2198" s="11" t="n"/>
      <c r="C2198" s="11" t="n"/>
      <c r="D2198" s="11" t="n"/>
      <c r="E2198" s="11" t="n"/>
      <c r="F2198" s="11" t="n"/>
      <c r="G2198" s="11" t="n"/>
      <c r="H2198" s="11" t="n"/>
      <c r="I2198" s="11" t="n"/>
      <c r="J2198" s="11" t="n"/>
      <c r="K2198" s="11" t="n"/>
      <c r="L2198" s="11" t="n"/>
      <c r="M2198" s="11" t="n"/>
      <c r="N2198" s="11" t="n"/>
      <c r="O2198" s="12" t="n"/>
    </row>
    <row r="2199">
      <c r="A2199" s="11" t="n"/>
      <c r="B2199" s="11" t="n"/>
      <c r="C2199" s="11" t="n"/>
      <c r="D2199" s="11" t="n"/>
      <c r="E2199" s="11" t="n"/>
      <c r="F2199" s="11" t="n"/>
      <c r="G2199" s="11" t="n"/>
      <c r="H2199" s="11" t="n"/>
      <c r="I2199" s="11" t="n"/>
      <c r="J2199" s="11" t="n"/>
      <c r="K2199" s="11" t="n"/>
      <c r="L2199" s="11" t="n"/>
      <c r="M2199" s="11" t="n"/>
      <c r="N2199" s="11" t="n"/>
      <c r="O2199" s="12" t="n"/>
    </row>
    <row r="2200">
      <c r="A2200" s="11" t="n"/>
      <c r="B2200" s="11" t="n"/>
      <c r="C2200" s="11" t="n"/>
      <c r="D2200" s="11" t="n"/>
      <c r="E2200" s="11" t="n"/>
      <c r="F2200" s="11" t="n"/>
      <c r="G2200" s="11" t="n"/>
      <c r="H2200" s="11" t="n"/>
      <c r="I2200" s="11" t="n"/>
      <c r="J2200" s="11" t="n"/>
      <c r="K2200" s="11" t="n"/>
      <c r="L2200" s="11" t="n"/>
      <c r="M2200" s="11" t="n"/>
      <c r="N2200" s="11" t="n"/>
      <c r="O2200" s="12" t="n"/>
    </row>
    <row r="2201">
      <c r="A2201" s="11" t="n"/>
      <c r="B2201" s="11" t="n"/>
      <c r="C2201" s="11" t="n"/>
      <c r="D2201" s="11" t="n"/>
      <c r="E2201" s="11" t="n"/>
      <c r="F2201" s="11" t="n"/>
      <c r="G2201" s="11" t="n"/>
      <c r="H2201" s="11" t="n"/>
      <c r="I2201" s="11" t="n"/>
      <c r="J2201" s="11" t="n"/>
      <c r="K2201" s="11" t="n"/>
      <c r="L2201" s="11" t="n"/>
      <c r="M2201" s="11" t="n"/>
      <c r="N2201" s="11" t="n"/>
      <c r="O2201" s="12" t="n"/>
    </row>
    <row r="2202">
      <c r="A2202" s="11" t="n"/>
      <c r="B2202" s="11" t="n"/>
      <c r="C2202" s="11" t="n"/>
      <c r="D2202" s="11" t="n"/>
      <c r="E2202" s="11" t="n"/>
      <c r="F2202" s="11" t="n"/>
      <c r="G2202" s="11" t="n"/>
      <c r="H2202" s="11" t="n"/>
      <c r="I2202" s="11" t="n"/>
      <c r="J2202" s="11" t="n"/>
      <c r="K2202" s="11" t="n"/>
      <c r="L2202" s="11" t="n"/>
      <c r="M2202" s="11" t="n"/>
      <c r="N2202" s="11" t="n"/>
      <c r="O2202" s="12" t="n"/>
    </row>
    <row r="2203">
      <c r="A2203" s="11" t="n"/>
      <c r="B2203" s="11" t="n"/>
      <c r="C2203" s="11" t="n"/>
      <c r="D2203" s="11" t="n"/>
      <c r="E2203" s="11" t="n"/>
      <c r="F2203" s="11" t="n"/>
      <c r="G2203" s="11" t="n"/>
      <c r="H2203" s="11" t="n"/>
      <c r="I2203" s="11" t="n"/>
      <c r="J2203" s="11" t="n"/>
      <c r="K2203" s="11" t="n"/>
      <c r="L2203" s="11" t="n"/>
      <c r="M2203" s="11" t="n"/>
      <c r="N2203" s="11" t="n"/>
      <c r="O2203" s="12" t="n"/>
    </row>
    <row r="2204">
      <c r="A2204" s="11" t="n"/>
      <c r="B2204" s="11" t="n"/>
      <c r="C2204" s="11" t="n"/>
      <c r="D2204" s="11" t="n"/>
      <c r="E2204" s="11" t="n"/>
      <c r="F2204" s="11" t="n"/>
      <c r="G2204" s="11" t="n"/>
      <c r="H2204" s="11" t="n"/>
      <c r="I2204" s="11" t="n"/>
      <c r="J2204" s="11" t="n"/>
      <c r="K2204" s="11" t="n"/>
      <c r="L2204" s="11" t="n"/>
      <c r="M2204" s="11" t="n"/>
      <c r="N2204" s="11" t="n"/>
      <c r="O2204" s="12" t="n"/>
    </row>
    <row r="2205">
      <c r="A2205" s="11" t="n"/>
      <c r="B2205" s="11" t="n"/>
      <c r="C2205" s="11" t="n"/>
      <c r="D2205" s="11" t="n"/>
      <c r="E2205" s="11" t="n"/>
      <c r="F2205" s="11" t="n"/>
      <c r="G2205" s="11" t="n"/>
      <c r="H2205" s="11" t="n"/>
      <c r="I2205" s="11" t="n"/>
      <c r="J2205" s="11" t="n"/>
      <c r="K2205" s="11" t="n"/>
      <c r="L2205" s="11" t="n"/>
      <c r="M2205" s="11" t="n"/>
      <c r="N2205" s="11" t="n"/>
      <c r="O2205" s="12" t="n"/>
    </row>
    <row r="2206">
      <c r="A2206" s="11" t="n"/>
      <c r="B2206" s="11" t="n"/>
      <c r="C2206" s="11" t="n"/>
      <c r="D2206" s="11" t="n"/>
      <c r="E2206" s="11" t="n"/>
      <c r="F2206" s="11" t="n"/>
      <c r="G2206" s="11" t="n"/>
      <c r="H2206" s="11" t="n"/>
      <c r="I2206" s="11" t="n"/>
      <c r="J2206" s="11" t="n"/>
      <c r="K2206" s="11" t="n"/>
      <c r="L2206" s="11" t="n"/>
      <c r="M2206" s="11" t="n"/>
      <c r="N2206" s="11" t="n"/>
      <c r="O2206" s="12" t="n"/>
    </row>
    <row r="2207">
      <c r="A2207" s="11" t="n"/>
      <c r="B2207" s="11" t="n"/>
      <c r="C2207" s="11" t="n"/>
      <c r="D2207" s="11" t="n"/>
      <c r="E2207" s="11" t="n"/>
      <c r="F2207" s="11" t="n"/>
      <c r="G2207" s="11" t="n"/>
      <c r="H2207" s="11" t="n"/>
      <c r="I2207" s="11" t="n"/>
      <c r="J2207" s="11" t="n"/>
      <c r="K2207" s="11" t="n"/>
      <c r="L2207" s="11" t="n"/>
      <c r="M2207" s="11" t="n"/>
      <c r="N2207" s="11" t="n"/>
      <c r="O2207" s="12" t="n"/>
    </row>
    <row r="2208">
      <c r="A2208" s="11" t="n"/>
      <c r="B2208" s="11" t="n"/>
      <c r="C2208" s="11" t="n"/>
      <c r="D2208" s="11" t="n"/>
      <c r="E2208" s="11" t="n"/>
      <c r="F2208" s="11" t="n"/>
      <c r="G2208" s="11" t="n"/>
      <c r="H2208" s="11" t="n"/>
      <c r="I2208" s="11" t="n"/>
      <c r="J2208" s="11" t="n"/>
      <c r="K2208" s="11" t="n"/>
      <c r="L2208" s="11" t="n"/>
      <c r="M2208" s="11" t="n"/>
      <c r="N2208" s="11" t="n"/>
      <c r="O2208" s="12" t="n"/>
    </row>
    <row r="2209">
      <c r="A2209" s="11" t="n"/>
      <c r="B2209" s="11" t="n"/>
      <c r="C2209" s="11" t="n"/>
      <c r="D2209" s="11" t="n"/>
      <c r="E2209" s="11" t="n"/>
      <c r="F2209" s="11" t="n"/>
      <c r="G2209" s="11" t="n"/>
      <c r="H2209" s="11" t="n"/>
      <c r="I2209" s="11" t="n"/>
      <c r="J2209" s="11" t="n"/>
      <c r="K2209" s="11" t="n"/>
      <c r="L2209" s="11" t="n"/>
      <c r="M2209" s="11" t="n"/>
      <c r="N2209" s="11" t="n"/>
      <c r="O2209" s="12" t="n"/>
    </row>
    <row r="2210">
      <c r="A2210" s="11" t="n"/>
      <c r="B2210" s="11" t="n"/>
      <c r="C2210" s="11" t="n"/>
      <c r="D2210" s="11" t="n"/>
      <c r="E2210" s="11" t="n"/>
      <c r="F2210" s="11" t="n"/>
      <c r="G2210" s="11" t="n"/>
      <c r="H2210" s="11" t="n"/>
      <c r="I2210" s="11" t="n"/>
      <c r="J2210" s="11" t="n"/>
      <c r="K2210" s="11" t="n"/>
      <c r="L2210" s="11" t="n"/>
      <c r="M2210" s="11" t="n"/>
      <c r="N2210" s="11" t="n"/>
      <c r="O2210" s="12" t="n"/>
    </row>
    <row r="2211">
      <c r="A2211" s="11" t="n"/>
      <c r="B2211" s="11" t="n"/>
      <c r="C2211" s="11" t="n"/>
      <c r="D2211" s="11" t="n"/>
      <c r="E2211" s="11" t="n"/>
      <c r="F2211" s="11" t="n"/>
      <c r="G2211" s="11" t="n"/>
      <c r="H2211" s="11" t="n"/>
      <c r="I2211" s="11" t="n"/>
      <c r="J2211" s="11" t="n"/>
      <c r="K2211" s="11" t="n"/>
      <c r="L2211" s="11" t="n"/>
      <c r="M2211" s="11" t="n"/>
      <c r="N2211" s="11" t="n"/>
      <c r="O2211" s="12" t="n"/>
    </row>
    <row r="2212">
      <c r="A2212" s="11" t="n"/>
      <c r="B2212" s="11" t="n"/>
      <c r="C2212" s="11" t="n"/>
      <c r="D2212" s="11" t="n"/>
      <c r="E2212" s="11" t="n"/>
      <c r="F2212" s="11" t="n"/>
      <c r="G2212" s="11" t="n"/>
      <c r="H2212" s="11" t="n"/>
      <c r="I2212" s="11" t="n"/>
      <c r="J2212" s="11" t="n"/>
      <c r="K2212" s="11" t="n"/>
      <c r="L2212" s="11" t="n"/>
      <c r="M2212" s="11" t="n"/>
      <c r="N2212" s="11" t="n"/>
      <c r="O2212" s="12" t="n"/>
    </row>
    <row r="2213">
      <c r="A2213" s="11" t="n"/>
      <c r="B2213" s="11" t="n"/>
      <c r="C2213" s="11" t="n"/>
      <c r="D2213" s="11" t="n"/>
      <c r="E2213" s="11" t="n"/>
      <c r="F2213" s="11" t="n"/>
      <c r="G2213" s="11" t="n"/>
      <c r="H2213" s="11" t="n"/>
      <c r="I2213" s="11" t="n"/>
      <c r="J2213" s="11" t="n"/>
      <c r="K2213" s="11" t="n"/>
      <c r="L2213" s="11" t="n"/>
      <c r="M2213" s="11" t="n"/>
      <c r="N2213" s="11" t="n"/>
      <c r="O2213" s="12" t="n"/>
    </row>
    <row r="2214">
      <c r="A2214" s="11" t="n"/>
      <c r="B2214" s="11" t="n"/>
      <c r="C2214" s="11" t="n"/>
      <c r="D2214" s="11" t="n"/>
      <c r="E2214" s="11" t="n"/>
      <c r="F2214" s="11" t="n"/>
      <c r="G2214" s="11" t="n"/>
      <c r="H2214" s="11" t="n"/>
      <c r="I2214" s="11" t="n"/>
      <c r="J2214" s="11" t="n"/>
      <c r="K2214" s="11" t="n"/>
      <c r="L2214" s="11" t="n"/>
      <c r="M2214" s="11" t="n"/>
      <c r="N2214" s="11" t="n"/>
      <c r="O2214" s="12" t="n"/>
    </row>
    <row r="2215">
      <c r="A2215" s="11" t="n"/>
      <c r="B2215" s="11" t="n"/>
      <c r="C2215" s="11" t="n"/>
      <c r="D2215" s="11" t="n"/>
      <c r="E2215" s="11" t="n"/>
      <c r="F2215" s="11" t="n"/>
      <c r="G2215" s="11" t="n"/>
      <c r="H2215" s="11" t="n"/>
      <c r="I2215" s="11" t="n"/>
      <c r="J2215" s="11" t="n"/>
      <c r="K2215" s="11" t="n"/>
      <c r="L2215" s="11" t="n"/>
      <c r="M2215" s="11" t="n"/>
      <c r="N2215" s="11" t="n"/>
      <c r="O2215" s="12" t="n"/>
    </row>
    <row r="2216">
      <c r="A2216" s="11" t="n"/>
      <c r="B2216" s="11" t="n"/>
      <c r="C2216" s="11" t="n"/>
      <c r="D2216" s="11" t="n"/>
      <c r="E2216" s="11" t="n"/>
      <c r="F2216" s="11" t="n"/>
      <c r="G2216" s="11" t="n"/>
      <c r="H2216" s="11" t="n"/>
      <c r="I2216" s="11" t="n"/>
      <c r="J2216" s="11" t="n"/>
      <c r="K2216" s="11" t="n"/>
      <c r="L2216" s="11" t="n"/>
      <c r="M2216" s="11" t="n"/>
      <c r="N2216" s="11" t="n"/>
      <c r="O2216" s="12" t="n"/>
    </row>
    <row r="2217">
      <c r="A2217" s="11" t="n"/>
      <c r="B2217" s="11" t="n"/>
      <c r="C2217" s="11" t="n"/>
      <c r="D2217" s="11" t="n"/>
      <c r="E2217" s="11" t="n"/>
      <c r="F2217" s="11" t="n"/>
      <c r="G2217" s="11" t="n"/>
      <c r="H2217" s="11" t="n"/>
      <c r="I2217" s="11" t="n"/>
      <c r="J2217" s="11" t="n"/>
      <c r="K2217" s="11" t="n"/>
      <c r="L2217" s="11" t="n"/>
      <c r="M2217" s="11" t="n"/>
      <c r="N2217" s="11" t="n"/>
      <c r="O2217" s="12" t="n"/>
    </row>
    <row r="2218">
      <c r="A2218" s="11" t="n"/>
      <c r="B2218" s="11" t="n"/>
      <c r="C2218" s="11" t="n"/>
      <c r="D2218" s="11" t="n"/>
      <c r="E2218" s="11" t="n"/>
      <c r="F2218" s="11" t="n"/>
      <c r="G2218" s="11" t="n"/>
      <c r="H2218" s="11" t="n"/>
      <c r="I2218" s="11" t="n"/>
      <c r="J2218" s="11" t="n"/>
      <c r="K2218" s="11" t="n"/>
      <c r="L2218" s="11" t="n"/>
      <c r="M2218" s="11" t="n"/>
      <c r="N2218" s="11" t="n"/>
      <c r="O2218" s="12" t="n"/>
    </row>
    <row r="2219">
      <c r="A2219" s="11" t="n"/>
      <c r="B2219" s="11" t="n"/>
      <c r="C2219" s="11" t="n"/>
      <c r="D2219" s="11" t="n"/>
      <c r="E2219" s="11" t="n"/>
      <c r="F2219" s="11" t="n"/>
      <c r="G2219" s="11" t="n"/>
      <c r="H2219" s="11" t="n"/>
      <c r="I2219" s="11" t="n"/>
      <c r="J2219" s="11" t="n"/>
      <c r="K2219" s="11" t="n"/>
      <c r="L2219" s="11" t="n"/>
      <c r="M2219" s="11" t="n"/>
      <c r="N2219" s="11" t="n"/>
      <c r="O2219" s="12" t="n"/>
    </row>
    <row r="2220">
      <c r="A2220" s="11" t="n"/>
      <c r="B2220" s="11" t="n"/>
      <c r="C2220" s="11" t="n"/>
      <c r="D2220" s="11" t="n"/>
      <c r="E2220" s="11" t="n"/>
      <c r="F2220" s="11" t="n"/>
      <c r="G2220" s="11" t="n"/>
      <c r="H2220" s="11" t="n"/>
      <c r="I2220" s="11" t="n"/>
      <c r="J2220" s="11" t="n"/>
      <c r="K2220" s="11" t="n"/>
      <c r="L2220" s="11" t="n"/>
      <c r="M2220" s="11" t="n"/>
      <c r="N2220" s="11" t="n"/>
      <c r="O2220" s="12" t="n"/>
    </row>
    <row r="2221">
      <c r="A2221" s="11" t="n"/>
      <c r="B2221" s="11" t="n"/>
      <c r="C2221" s="11" t="n"/>
      <c r="D2221" s="11" t="n"/>
      <c r="E2221" s="11" t="n"/>
      <c r="F2221" s="11" t="n"/>
      <c r="G2221" s="11" t="n"/>
      <c r="H2221" s="11" t="n"/>
      <c r="I2221" s="11" t="n"/>
      <c r="J2221" s="11" t="n"/>
      <c r="K2221" s="11" t="n"/>
      <c r="L2221" s="11" t="n"/>
      <c r="M2221" s="11" t="n"/>
      <c r="N2221" s="11" t="n"/>
      <c r="O2221" s="12" t="n"/>
    </row>
    <row r="2222">
      <c r="A2222" s="11" t="n"/>
      <c r="B2222" s="11" t="n"/>
      <c r="C2222" s="11" t="n"/>
      <c r="D2222" s="11" t="n"/>
      <c r="E2222" s="11" t="n"/>
      <c r="F2222" s="11" t="n"/>
      <c r="G2222" s="11" t="n"/>
      <c r="H2222" s="11" t="n"/>
      <c r="I2222" s="11" t="n"/>
      <c r="J2222" s="11" t="n"/>
      <c r="K2222" s="11" t="n"/>
      <c r="L2222" s="11" t="n"/>
      <c r="M2222" s="11" t="n"/>
      <c r="N2222" s="11" t="n"/>
      <c r="O2222" s="12" t="n"/>
    </row>
    <row r="2223">
      <c r="A2223" s="11" t="n"/>
      <c r="B2223" s="11" t="n"/>
      <c r="C2223" s="11" t="n"/>
      <c r="D2223" s="11" t="n"/>
      <c r="E2223" s="11" t="n"/>
      <c r="F2223" s="11" t="n"/>
      <c r="G2223" s="11" t="n"/>
      <c r="H2223" s="11" t="n"/>
      <c r="I2223" s="11" t="n"/>
      <c r="J2223" s="11" t="n"/>
      <c r="K2223" s="11" t="n"/>
      <c r="L2223" s="11" t="n"/>
      <c r="M2223" s="11" t="n"/>
      <c r="N2223" s="11" t="n"/>
      <c r="O2223" s="12" t="n"/>
    </row>
    <row r="2224">
      <c r="A2224" s="11" t="n"/>
      <c r="B2224" s="11" t="n"/>
      <c r="C2224" s="11" t="n"/>
      <c r="D2224" s="11" t="n"/>
      <c r="E2224" s="11" t="n"/>
      <c r="F2224" s="11" t="n"/>
      <c r="G2224" s="11" t="n"/>
      <c r="H2224" s="11" t="n"/>
      <c r="I2224" s="11" t="n"/>
      <c r="J2224" s="11" t="n"/>
      <c r="K2224" s="11" t="n"/>
      <c r="L2224" s="11" t="n"/>
      <c r="M2224" s="11" t="n"/>
      <c r="N2224" s="11" t="n"/>
      <c r="O2224" s="12" t="n"/>
    </row>
    <row r="2225">
      <c r="A2225" s="11" t="n"/>
      <c r="B2225" s="11" t="n"/>
      <c r="C2225" s="11" t="n"/>
      <c r="D2225" s="11" t="n"/>
      <c r="E2225" s="11" t="n"/>
      <c r="F2225" s="11" t="n"/>
      <c r="G2225" s="11" t="n"/>
      <c r="H2225" s="11" t="n"/>
      <c r="I2225" s="11" t="n"/>
      <c r="J2225" s="11" t="n"/>
      <c r="K2225" s="11" t="n"/>
      <c r="L2225" s="11" t="n"/>
      <c r="M2225" s="11" t="n"/>
      <c r="N2225" s="11" t="n"/>
      <c r="O2225" s="12" t="n"/>
    </row>
    <row r="2226">
      <c r="A2226" s="11" t="n"/>
      <c r="B2226" s="11" t="n"/>
      <c r="C2226" s="11" t="n"/>
      <c r="D2226" s="11" t="n"/>
      <c r="E2226" s="11" t="n"/>
      <c r="F2226" s="11" t="n"/>
      <c r="G2226" s="11" t="n"/>
      <c r="H2226" s="11" t="n"/>
      <c r="I2226" s="11" t="n"/>
      <c r="J2226" s="11" t="n"/>
      <c r="K2226" s="11" t="n"/>
      <c r="L2226" s="11" t="n"/>
      <c r="M2226" s="11" t="n"/>
      <c r="N2226" s="11" t="n"/>
      <c r="O2226" s="12" t="n"/>
    </row>
    <row r="2227">
      <c r="A2227" s="11" t="n"/>
      <c r="B2227" s="11" t="n"/>
      <c r="C2227" s="11" t="n"/>
      <c r="D2227" s="11" t="n"/>
      <c r="E2227" s="11" t="n"/>
      <c r="F2227" s="11" t="n"/>
      <c r="G2227" s="11" t="n"/>
      <c r="H2227" s="11" t="n"/>
      <c r="I2227" s="11" t="n"/>
      <c r="J2227" s="11" t="n"/>
      <c r="K2227" s="11" t="n"/>
      <c r="L2227" s="11" t="n"/>
      <c r="M2227" s="11" t="n"/>
      <c r="N2227" s="11" t="n"/>
      <c r="O2227" s="12" t="n"/>
    </row>
    <row r="2228">
      <c r="A2228" s="11" t="n"/>
      <c r="B2228" s="11" t="n"/>
      <c r="C2228" s="11" t="n"/>
      <c r="D2228" s="11" t="n"/>
      <c r="E2228" s="11" t="n"/>
      <c r="F2228" s="11" t="n"/>
      <c r="G2228" s="11" t="n"/>
      <c r="H2228" s="11" t="n"/>
      <c r="I2228" s="11" t="n"/>
      <c r="J2228" s="11" t="n"/>
      <c r="K2228" s="11" t="n"/>
      <c r="L2228" s="11" t="n"/>
      <c r="M2228" s="11" t="n"/>
      <c r="N2228" s="11" t="n"/>
      <c r="O2228" s="12" t="n"/>
    </row>
    <row r="2229">
      <c r="A2229" s="11" t="n"/>
      <c r="B2229" s="11" t="n"/>
      <c r="C2229" s="11" t="n"/>
      <c r="D2229" s="11" t="n"/>
      <c r="E2229" s="11" t="n"/>
      <c r="F2229" s="11" t="n"/>
      <c r="G2229" s="11" t="n"/>
      <c r="H2229" s="11" t="n"/>
      <c r="I2229" s="11" t="n"/>
      <c r="J2229" s="11" t="n"/>
      <c r="K2229" s="11" t="n"/>
      <c r="L2229" s="11" t="n"/>
      <c r="M2229" s="11" t="n"/>
      <c r="N2229" s="11" t="n"/>
      <c r="O2229" s="12" t="n"/>
    </row>
    <row r="2230">
      <c r="A2230" s="11" t="n"/>
      <c r="B2230" s="11" t="n"/>
      <c r="C2230" s="11" t="n"/>
      <c r="D2230" s="11" t="n"/>
      <c r="E2230" s="11" t="n"/>
      <c r="F2230" s="11" t="n"/>
      <c r="G2230" s="11" t="n"/>
      <c r="H2230" s="11" t="n"/>
      <c r="I2230" s="11" t="n"/>
      <c r="J2230" s="11" t="n"/>
      <c r="K2230" s="11" t="n"/>
      <c r="L2230" s="11" t="n"/>
      <c r="M2230" s="11" t="n"/>
      <c r="N2230" s="11" t="n"/>
      <c r="O2230" s="12" t="n"/>
    </row>
    <row r="2231">
      <c r="A2231" s="11" t="n"/>
      <c r="B2231" s="11" t="n"/>
      <c r="C2231" s="11" t="n"/>
      <c r="D2231" s="11" t="n"/>
      <c r="E2231" s="11" t="n"/>
      <c r="F2231" s="11" t="n"/>
      <c r="G2231" s="11" t="n"/>
      <c r="H2231" s="11" t="n"/>
      <c r="I2231" s="11" t="n"/>
      <c r="J2231" s="11" t="n"/>
      <c r="K2231" s="11" t="n"/>
      <c r="L2231" s="11" t="n"/>
      <c r="M2231" s="11" t="n"/>
      <c r="N2231" s="11" t="n"/>
      <c r="O2231" s="12" t="n"/>
    </row>
    <row r="2232">
      <c r="A2232" s="11" t="n"/>
      <c r="B2232" s="11" t="n"/>
      <c r="C2232" s="11" t="n"/>
      <c r="D2232" s="11" t="n"/>
      <c r="E2232" s="11" t="n"/>
      <c r="F2232" s="11" t="n"/>
      <c r="G2232" s="11" t="n"/>
      <c r="H2232" s="11" t="n"/>
      <c r="I2232" s="11" t="n"/>
      <c r="J2232" s="11" t="n"/>
      <c r="K2232" s="11" t="n"/>
      <c r="L2232" s="11" t="n"/>
      <c r="M2232" s="11" t="n"/>
      <c r="N2232" s="11" t="n"/>
      <c r="O2232" s="12" t="n"/>
    </row>
    <row r="2233">
      <c r="A2233" s="11" t="n"/>
      <c r="B2233" s="11" t="n"/>
      <c r="C2233" s="11" t="n"/>
      <c r="D2233" s="11" t="n"/>
      <c r="E2233" s="11" t="n"/>
      <c r="F2233" s="11" t="n"/>
      <c r="G2233" s="11" t="n"/>
      <c r="H2233" s="11" t="n"/>
      <c r="I2233" s="11" t="n"/>
      <c r="J2233" s="11" t="n"/>
      <c r="K2233" s="11" t="n"/>
      <c r="L2233" s="11" t="n"/>
      <c r="M2233" s="11" t="n"/>
      <c r="N2233" s="11" t="n"/>
      <c r="O2233" s="12" t="n"/>
    </row>
    <row r="2234">
      <c r="A2234" s="11" t="n"/>
      <c r="B2234" s="11" t="n"/>
      <c r="C2234" s="11" t="n"/>
      <c r="D2234" s="11" t="n"/>
      <c r="E2234" s="11" t="n"/>
      <c r="F2234" s="11" t="n"/>
      <c r="G2234" s="11" t="n"/>
      <c r="H2234" s="11" t="n"/>
      <c r="I2234" s="11" t="n"/>
      <c r="J2234" s="11" t="n"/>
      <c r="K2234" s="11" t="n"/>
      <c r="L2234" s="11" t="n"/>
      <c r="M2234" s="11" t="n"/>
      <c r="N2234" s="11" t="n"/>
      <c r="O2234" s="12" t="n"/>
    </row>
    <row r="2235">
      <c r="A2235" s="11" t="n"/>
      <c r="B2235" s="11" t="n"/>
      <c r="C2235" s="11" t="n"/>
      <c r="D2235" s="11" t="n"/>
      <c r="E2235" s="11" t="n"/>
      <c r="F2235" s="11" t="n"/>
      <c r="G2235" s="11" t="n"/>
      <c r="H2235" s="11" t="n"/>
      <c r="I2235" s="11" t="n"/>
      <c r="J2235" s="11" t="n"/>
      <c r="K2235" s="11" t="n"/>
      <c r="L2235" s="11" t="n"/>
      <c r="M2235" s="11" t="n"/>
      <c r="N2235" s="11" t="n"/>
      <c r="O2235" s="12" t="n"/>
    </row>
    <row r="2236">
      <c r="A2236" s="11" t="n"/>
      <c r="B2236" s="11" t="n"/>
      <c r="C2236" s="11" t="n"/>
      <c r="D2236" s="11" t="n"/>
      <c r="E2236" s="11" t="n"/>
      <c r="F2236" s="11" t="n"/>
      <c r="G2236" s="11" t="n"/>
      <c r="H2236" s="11" t="n"/>
      <c r="I2236" s="11" t="n"/>
      <c r="J2236" s="11" t="n"/>
      <c r="K2236" s="11" t="n"/>
      <c r="L2236" s="11" t="n"/>
      <c r="M2236" s="11" t="n"/>
      <c r="N2236" s="11" t="n"/>
      <c r="O2236" s="12" t="n"/>
    </row>
    <row r="2237">
      <c r="A2237" s="11" t="n"/>
      <c r="B2237" s="11" t="n"/>
      <c r="C2237" s="11" t="n"/>
      <c r="D2237" s="11" t="n"/>
      <c r="E2237" s="11" t="n"/>
      <c r="F2237" s="11" t="n"/>
      <c r="G2237" s="11" t="n"/>
      <c r="H2237" s="11" t="n"/>
      <c r="I2237" s="11" t="n"/>
      <c r="J2237" s="11" t="n"/>
      <c r="K2237" s="11" t="n"/>
      <c r="L2237" s="11" t="n"/>
      <c r="M2237" s="11" t="n"/>
      <c r="N2237" s="11" t="n"/>
      <c r="O2237" s="12" t="n"/>
    </row>
    <row r="2238">
      <c r="A2238" s="11" t="n"/>
      <c r="B2238" s="11" t="n"/>
      <c r="C2238" s="11" t="n"/>
      <c r="D2238" s="11" t="n"/>
      <c r="E2238" s="11" t="n"/>
      <c r="F2238" s="11" t="n"/>
      <c r="G2238" s="11" t="n"/>
      <c r="H2238" s="11" t="n"/>
      <c r="I2238" s="11" t="n"/>
      <c r="J2238" s="11" t="n"/>
      <c r="K2238" s="11" t="n"/>
      <c r="L2238" s="11" t="n"/>
      <c r="M2238" s="11" t="n"/>
      <c r="N2238" s="11" t="n"/>
      <c r="O2238" s="12" t="n"/>
    </row>
    <row r="2239">
      <c r="A2239" s="11" t="n"/>
      <c r="B2239" s="11" t="n"/>
      <c r="C2239" s="11" t="n"/>
      <c r="D2239" s="11" t="n"/>
      <c r="E2239" s="11" t="n"/>
      <c r="F2239" s="11" t="n"/>
      <c r="G2239" s="11" t="n"/>
      <c r="H2239" s="11" t="n"/>
      <c r="I2239" s="11" t="n"/>
      <c r="J2239" s="11" t="n"/>
      <c r="K2239" s="11" t="n"/>
      <c r="L2239" s="11" t="n"/>
      <c r="M2239" s="11" t="n"/>
      <c r="N2239" s="11" t="n"/>
      <c r="O2239" s="12" t="n"/>
    </row>
    <row r="2240">
      <c r="A2240" s="11" t="n"/>
      <c r="B2240" s="11" t="n"/>
      <c r="C2240" s="11" t="n"/>
      <c r="D2240" s="11" t="n"/>
      <c r="E2240" s="11" t="n"/>
      <c r="F2240" s="11" t="n"/>
      <c r="G2240" s="11" t="n"/>
      <c r="H2240" s="11" t="n"/>
      <c r="I2240" s="11" t="n"/>
      <c r="J2240" s="11" t="n"/>
      <c r="K2240" s="11" t="n"/>
      <c r="L2240" s="11" t="n"/>
      <c r="M2240" s="11" t="n"/>
      <c r="N2240" s="11" t="n"/>
      <c r="O2240" s="12" t="n"/>
    </row>
    <row r="2241">
      <c r="A2241" s="11" t="n"/>
      <c r="B2241" s="11" t="n"/>
      <c r="C2241" s="11" t="n"/>
      <c r="D2241" s="11" t="n"/>
      <c r="E2241" s="11" t="n"/>
      <c r="F2241" s="11" t="n"/>
      <c r="G2241" s="11" t="n"/>
      <c r="H2241" s="11" t="n"/>
      <c r="I2241" s="11" t="n"/>
      <c r="J2241" s="11" t="n"/>
      <c r="K2241" s="11" t="n"/>
      <c r="L2241" s="11" t="n"/>
      <c r="M2241" s="11" t="n"/>
      <c r="N2241" s="11" t="n"/>
      <c r="O2241" s="12" t="n"/>
    </row>
    <row r="2242">
      <c r="A2242" s="11" t="n"/>
      <c r="B2242" s="11" t="n"/>
      <c r="C2242" s="11" t="n"/>
      <c r="D2242" s="11" t="n"/>
      <c r="E2242" s="11" t="n"/>
      <c r="F2242" s="11" t="n"/>
      <c r="G2242" s="11" t="n"/>
      <c r="H2242" s="11" t="n"/>
      <c r="I2242" s="11" t="n"/>
      <c r="J2242" s="11" t="n"/>
      <c r="K2242" s="11" t="n"/>
      <c r="L2242" s="11" t="n"/>
      <c r="M2242" s="11" t="n"/>
      <c r="N2242" s="11" t="n"/>
      <c r="O2242" s="12" t="n"/>
    </row>
    <row r="2243">
      <c r="A2243" s="11" t="n"/>
      <c r="B2243" s="11" t="n"/>
      <c r="C2243" s="11" t="n"/>
      <c r="D2243" s="11" t="n"/>
      <c r="E2243" s="11" t="n"/>
      <c r="F2243" s="11" t="n"/>
      <c r="G2243" s="11" t="n"/>
      <c r="H2243" s="11" t="n"/>
      <c r="I2243" s="11" t="n"/>
      <c r="J2243" s="11" t="n"/>
      <c r="K2243" s="11" t="n"/>
      <c r="L2243" s="11" t="n"/>
      <c r="M2243" s="11" t="n"/>
      <c r="N2243" s="11" t="n"/>
      <c r="O2243" s="12" t="n"/>
    </row>
    <row r="2244">
      <c r="A2244" s="11" t="n"/>
      <c r="B2244" s="11" t="n"/>
      <c r="C2244" s="11" t="n"/>
      <c r="D2244" s="11" t="n"/>
      <c r="E2244" s="11" t="n"/>
      <c r="F2244" s="11" t="n"/>
      <c r="G2244" s="11" t="n"/>
      <c r="H2244" s="11" t="n"/>
      <c r="I2244" s="11" t="n"/>
      <c r="J2244" s="11" t="n"/>
      <c r="K2244" s="11" t="n"/>
      <c r="L2244" s="11" t="n"/>
      <c r="M2244" s="11" t="n"/>
      <c r="N2244" s="11" t="n"/>
      <c r="O2244" s="12" t="n"/>
    </row>
    <row r="2245">
      <c r="A2245" s="11" t="n"/>
      <c r="B2245" s="11" t="n"/>
      <c r="C2245" s="11" t="n"/>
      <c r="D2245" s="11" t="n"/>
      <c r="E2245" s="11" t="n"/>
      <c r="F2245" s="11" t="n"/>
      <c r="G2245" s="11" t="n"/>
      <c r="H2245" s="11" t="n"/>
      <c r="I2245" s="11" t="n"/>
      <c r="J2245" s="11" t="n"/>
      <c r="K2245" s="11" t="n"/>
      <c r="L2245" s="11" t="n"/>
      <c r="M2245" s="11" t="n"/>
      <c r="N2245" s="11" t="n"/>
      <c r="O2245" s="12" t="n"/>
    </row>
    <row r="2246">
      <c r="A2246" s="11" t="n"/>
      <c r="B2246" s="11" t="n"/>
      <c r="C2246" s="11" t="n"/>
      <c r="D2246" s="11" t="n"/>
      <c r="E2246" s="11" t="n"/>
      <c r="F2246" s="11" t="n"/>
      <c r="G2246" s="11" t="n"/>
      <c r="H2246" s="11" t="n"/>
      <c r="I2246" s="11" t="n"/>
      <c r="J2246" s="11" t="n"/>
      <c r="K2246" s="11" t="n"/>
      <c r="L2246" s="11" t="n"/>
      <c r="M2246" s="11" t="n"/>
      <c r="N2246" s="11" t="n"/>
      <c r="O2246" s="12" t="n"/>
    </row>
    <row r="2247">
      <c r="A2247" s="11" t="n"/>
      <c r="B2247" s="11" t="n"/>
      <c r="C2247" s="11" t="n"/>
      <c r="D2247" s="11" t="n"/>
      <c r="E2247" s="11" t="n"/>
      <c r="F2247" s="11" t="n"/>
      <c r="G2247" s="11" t="n"/>
      <c r="H2247" s="11" t="n"/>
      <c r="I2247" s="11" t="n"/>
      <c r="J2247" s="11" t="n"/>
      <c r="K2247" s="11" t="n"/>
      <c r="L2247" s="11" t="n"/>
      <c r="M2247" s="11" t="n"/>
      <c r="N2247" s="11" t="n"/>
      <c r="O2247" s="12" t="n"/>
    </row>
    <row r="2248">
      <c r="A2248" s="11" t="n"/>
      <c r="B2248" s="11" t="n"/>
      <c r="C2248" s="11" t="n"/>
      <c r="D2248" s="11" t="n"/>
      <c r="E2248" s="11" t="n"/>
      <c r="F2248" s="11" t="n"/>
      <c r="G2248" s="11" t="n"/>
      <c r="H2248" s="11" t="n"/>
      <c r="I2248" s="11" t="n"/>
      <c r="J2248" s="11" t="n"/>
      <c r="K2248" s="11" t="n"/>
      <c r="L2248" s="11" t="n"/>
      <c r="M2248" s="11" t="n"/>
      <c r="N2248" s="11" t="n"/>
      <c r="O2248" s="12" t="n"/>
    </row>
    <row r="2249">
      <c r="A2249" s="11" t="n"/>
      <c r="B2249" s="11" t="n"/>
      <c r="C2249" s="11" t="n"/>
      <c r="D2249" s="11" t="n"/>
      <c r="E2249" s="11" t="n"/>
      <c r="F2249" s="11" t="n"/>
      <c r="G2249" s="11" t="n"/>
      <c r="H2249" s="11" t="n"/>
      <c r="I2249" s="11" t="n"/>
      <c r="J2249" s="11" t="n"/>
      <c r="K2249" s="11" t="n"/>
      <c r="L2249" s="11" t="n"/>
      <c r="M2249" s="11" t="n"/>
      <c r="N2249" s="11" t="n"/>
      <c r="O2249" s="12" t="n"/>
    </row>
    <row r="2250">
      <c r="A2250" s="11" t="n"/>
      <c r="B2250" s="11" t="n"/>
      <c r="C2250" s="11" t="n"/>
      <c r="D2250" s="11" t="n"/>
      <c r="E2250" s="11" t="n"/>
      <c r="F2250" s="11" t="n"/>
      <c r="G2250" s="11" t="n"/>
      <c r="H2250" s="11" t="n"/>
      <c r="I2250" s="11" t="n"/>
      <c r="J2250" s="11" t="n"/>
      <c r="K2250" s="11" t="n"/>
      <c r="L2250" s="11" t="n"/>
      <c r="M2250" s="11" t="n"/>
      <c r="N2250" s="11" t="n"/>
      <c r="O2250" s="12" t="n"/>
    </row>
    <row r="2251">
      <c r="A2251" s="11" t="n"/>
      <c r="B2251" s="11" t="n"/>
      <c r="C2251" s="11" t="n"/>
      <c r="D2251" s="11" t="n"/>
      <c r="E2251" s="11" t="n"/>
      <c r="F2251" s="11" t="n"/>
      <c r="G2251" s="11" t="n"/>
      <c r="H2251" s="11" t="n"/>
      <c r="I2251" s="11" t="n"/>
      <c r="J2251" s="11" t="n"/>
      <c r="K2251" s="11" t="n"/>
      <c r="L2251" s="11" t="n"/>
      <c r="M2251" s="11" t="n"/>
      <c r="N2251" s="11" t="n"/>
      <c r="O2251" s="12" t="n"/>
    </row>
    <row r="2252">
      <c r="A2252" s="11" t="n"/>
      <c r="B2252" s="11" t="n"/>
      <c r="C2252" s="11" t="n"/>
      <c r="D2252" s="11" t="n"/>
      <c r="E2252" s="11" t="n"/>
      <c r="F2252" s="11" t="n"/>
      <c r="G2252" s="11" t="n"/>
      <c r="H2252" s="11" t="n"/>
      <c r="I2252" s="11" t="n"/>
      <c r="J2252" s="11" t="n"/>
      <c r="K2252" s="11" t="n"/>
      <c r="L2252" s="11" t="n"/>
      <c r="M2252" s="11" t="n"/>
      <c r="N2252" s="11" t="n"/>
      <c r="O2252" s="12" t="n"/>
    </row>
    <row r="2253">
      <c r="A2253" s="11" t="n"/>
      <c r="B2253" s="11" t="n"/>
      <c r="C2253" s="11" t="n"/>
      <c r="D2253" s="11" t="n"/>
      <c r="E2253" s="11" t="n"/>
      <c r="F2253" s="11" t="n"/>
      <c r="G2253" s="11" t="n"/>
      <c r="H2253" s="11" t="n"/>
      <c r="I2253" s="11" t="n"/>
      <c r="J2253" s="11" t="n"/>
      <c r="K2253" s="11" t="n"/>
      <c r="L2253" s="11" t="n"/>
      <c r="M2253" s="11" t="n"/>
      <c r="N2253" s="11" t="n"/>
      <c r="O2253" s="12" t="n"/>
    </row>
    <row r="2254">
      <c r="A2254" s="11" t="n"/>
      <c r="B2254" s="11" t="n"/>
      <c r="C2254" s="11" t="n"/>
      <c r="D2254" s="11" t="n"/>
      <c r="E2254" s="11" t="n"/>
      <c r="F2254" s="11" t="n"/>
      <c r="G2254" s="11" t="n"/>
      <c r="H2254" s="11" t="n"/>
      <c r="I2254" s="11" t="n"/>
      <c r="J2254" s="11" t="n"/>
      <c r="K2254" s="11" t="n"/>
      <c r="L2254" s="11" t="n"/>
      <c r="M2254" s="11" t="n"/>
      <c r="N2254" s="11" t="n"/>
      <c r="O2254" s="12" t="n"/>
    </row>
    <row r="2255">
      <c r="A2255" s="11" t="n"/>
      <c r="B2255" s="11" t="n"/>
      <c r="C2255" s="11" t="n"/>
      <c r="D2255" s="11" t="n"/>
      <c r="E2255" s="11" t="n"/>
      <c r="F2255" s="11" t="n"/>
      <c r="G2255" s="11" t="n"/>
      <c r="H2255" s="11" t="n"/>
      <c r="I2255" s="11" t="n"/>
      <c r="J2255" s="11" t="n"/>
      <c r="K2255" s="11" t="n"/>
      <c r="L2255" s="11" t="n"/>
      <c r="M2255" s="11" t="n"/>
      <c r="N2255" s="11" t="n"/>
      <c r="O2255" s="12" t="n"/>
    </row>
    <row r="2256">
      <c r="A2256" s="11" t="n"/>
      <c r="B2256" s="11" t="n"/>
      <c r="C2256" s="11" t="n"/>
      <c r="D2256" s="11" t="n"/>
      <c r="E2256" s="11" t="n"/>
      <c r="F2256" s="11" t="n"/>
      <c r="G2256" s="11" t="n"/>
      <c r="H2256" s="11" t="n"/>
      <c r="I2256" s="11" t="n"/>
      <c r="J2256" s="11" t="n"/>
      <c r="K2256" s="11" t="n"/>
      <c r="L2256" s="11" t="n"/>
      <c r="M2256" s="11" t="n"/>
      <c r="N2256" s="11" t="n"/>
      <c r="O2256" s="12" t="n"/>
    </row>
    <row r="2257">
      <c r="A2257" s="11" t="n"/>
      <c r="B2257" s="11" t="n"/>
      <c r="C2257" s="11" t="n"/>
      <c r="D2257" s="11" t="n"/>
      <c r="E2257" s="11" t="n"/>
      <c r="F2257" s="11" t="n"/>
      <c r="G2257" s="11" t="n"/>
      <c r="H2257" s="11" t="n"/>
      <c r="I2257" s="11" t="n"/>
      <c r="J2257" s="11" t="n"/>
      <c r="K2257" s="11" t="n"/>
      <c r="L2257" s="11" t="n"/>
      <c r="M2257" s="11" t="n"/>
      <c r="N2257" s="11" t="n"/>
      <c r="O2257" s="12" t="n"/>
    </row>
    <row r="2258">
      <c r="A2258" s="11" t="n"/>
      <c r="B2258" s="11" t="n"/>
      <c r="C2258" s="11" t="n"/>
      <c r="D2258" s="11" t="n"/>
      <c r="E2258" s="11" t="n"/>
      <c r="F2258" s="11" t="n"/>
      <c r="G2258" s="11" t="n"/>
      <c r="H2258" s="11" t="n"/>
      <c r="I2258" s="11" t="n"/>
      <c r="J2258" s="11" t="n"/>
      <c r="K2258" s="11" t="n"/>
      <c r="L2258" s="11" t="n"/>
      <c r="M2258" s="11" t="n"/>
      <c r="N2258" s="11" t="n"/>
      <c r="O2258" s="12" t="n"/>
    </row>
    <row r="2259">
      <c r="A2259" s="11" t="n"/>
      <c r="B2259" s="11" t="n"/>
      <c r="C2259" s="11" t="n"/>
      <c r="D2259" s="11" t="n"/>
      <c r="E2259" s="11" t="n"/>
      <c r="F2259" s="11" t="n"/>
      <c r="G2259" s="11" t="n"/>
      <c r="H2259" s="11" t="n"/>
      <c r="I2259" s="11" t="n"/>
      <c r="J2259" s="11" t="n"/>
      <c r="K2259" s="11" t="n"/>
      <c r="L2259" s="11" t="n"/>
      <c r="M2259" s="11" t="n"/>
      <c r="N2259" s="11" t="n"/>
      <c r="O2259" s="12" t="n"/>
    </row>
    <row r="2260">
      <c r="A2260" s="11" t="n"/>
      <c r="B2260" s="11" t="n"/>
      <c r="C2260" s="11" t="n"/>
      <c r="D2260" s="11" t="n"/>
      <c r="E2260" s="11" t="n"/>
      <c r="F2260" s="11" t="n"/>
      <c r="G2260" s="11" t="n"/>
      <c r="H2260" s="11" t="n"/>
      <c r="I2260" s="11" t="n"/>
      <c r="J2260" s="11" t="n"/>
      <c r="K2260" s="11" t="n"/>
      <c r="L2260" s="11" t="n"/>
      <c r="M2260" s="11" t="n"/>
      <c r="N2260" s="11" t="n"/>
      <c r="O2260" s="12" t="n"/>
    </row>
    <row r="2261">
      <c r="A2261" s="11" t="n"/>
      <c r="B2261" s="11" t="n"/>
      <c r="C2261" s="11" t="n"/>
      <c r="D2261" s="11" t="n"/>
      <c r="E2261" s="11" t="n"/>
      <c r="F2261" s="11" t="n"/>
      <c r="G2261" s="11" t="n"/>
      <c r="H2261" s="11" t="n"/>
      <c r="I2261" s="11" t="n"/>
      <c r="J2261" s="11" t="n"/>
      <c r="K2261" s="11" t="n"/>
      <c r="L2261" s="11" t="n"/>
      <c r="M2261" s="11" t="n"/>
      <c r="N2261" s="11" t="n"/>
      <c r="O2261" s="12" t="n"/>
    </row>
    <row r="2262">
      <c r="A2262" s="11" t="n"/>
      <c r="B2262" s="11" t="n"/>
      <c r="C2262" s="11" t="n"/>
      <c r="D2262" s="11" t="n"/>
      <c r="E2262" s="11" t="n"/>
      <c r="F2262" s="11" t="n"/>
      <c r="G2262" s="11" t="n"/>
      <c r="H2262" s="11" t="n"/>
      <c r="I2262" s="11" t="n"/>
      <c r="J2262" s="11" t="n"/>
      <c r="K2262" s="11" t="n"/>
      <c r="L2262" s="11" t="n"/>
      <c r="M2262" s="11" t="n"/>
      <c r="N2262" s="11" t="n"/>
      <c r="O2262" s="12" t="n"/>
    </row>
    <row r="2263">
      <c r="A2263" s="11" t="n"/>
      <c r="B2263" s="11" t="n"/>
      <c r="C2263" s="11" t="n"/>
      <c r="D2263" s="11" t="n"/>
      <c r="E2263" s="11" t="n"/>
      <c r="F2263" s="11" t="n"/>
      <c r="G2263" s="11" t="n"/>
      <c r="H2263" s="11" t="n"/>
      <c r="I2263" s="11" t="n"/>
      <c r="J2263" s="11" t="n"/>
      <c r="K2263" s="11" t="n"/>
      <c r="L2263" s="11" t="n"/>
      <c r="M2263" s="11" t="n"/>
      <c r="N2263" s="11" t="n"/>
      <c r="O2263" s="12" t="n"/>
    </row>
    <row r="2264">
      <c r="A2264" s="11" t="n"/>
      <c r="B2264" s="11" t="n"/>
      <c r="C2264" s="11" t="n"/>
      <c r="D2264" s="11" t="n"/>
      <c r="E2264" s="11" t="n"/>
      <c r="F2264" s="11" t="n"/>
      <c r="G2264" s="11" t="n"/>
      <c r="H2264" s="11" t="n"/>
      <c r="I2264" s="11" t="n"/>
      <c r="J2264" s="11" t="n"/>
      <c r="K2264" s="11" t="n"/>
      <c r="L2264" s="11" t="n"/>
      <c r="M2264" s="11" t="n"/>
      <c r="N2264" s="11" t="n"/>
      <c r="O2264" s="12" t="n"/>
    </row>
    <row r="2265">
      <c r="A2265" s="11" t="n"/>
      <c r="B2265" s="11" t="n"/>
      <c r="C2265" s="11" t="n"/>
      <c r="D2265" s="11" t="n"/>
      <c r="E2265" s="11" t="n"/>
      <c r="F2265" s="11" t="n"/>
      <c r="G2265" s="11" t="n"/>
      <c r="H2265" s="11" t="n"/>
      <c r="I2265" s="11" t="n"/>
      <c r="J2265" s="11" t="n"/>
      <c r="K2265" s="11" t="n"/>
      <c r="L2265" s="11" t="n"/>
      <c r="M2265" s="11" t="n"/>
      <c r="N2265" s="11" t="n"/>
      <c r="O2265" s="12" t="n"/>
    </row>
    <row r="2266">
      <c r="A2266" s="11" t="n"/>
      <c r="B2266" s="11" t="n"/>
      <c r="C2266" s="11" t="n"/>
      <c r="D2266" s="11" t="n"/>
      <c r="E2266" s="11" t="n"/>
      <c r="F2266" s="11" t="n"/>
      <c r="G2266" s="11" t="n"/>
      <c r="H2266" s="11" t="n"/>
      <c r="I2266" s="11" t="n"/>
      <c r="J2266" s="11" t="n"/>
      <c r="K2266" s="11" t="n"/>
      <c r="L2266" s="11" t="n"/>
      <c r="M2266" s="11" t="n"/>
      <c r="N2266" s="11" t="n"/>
      <c r="O2266" s="12" t="n"/>
    </row>
    <row r="2267">
      <c r="A2267" s="11" t="n"/>
      <c r="B2267" s="11" t="n"/>
      <c r="C2267" s="11" t="n"/>
      <c r="D2267" s="11" t="n"/>
      <c r="E2267" s="11" t="n"/>
      <c r="F2267" s="11" t="n"/>
      <c r="G2267" s="11" t="n"/>
      <c r="H2267" s="11" t="n"/>
      <c r="I2267" s="11" t="n"/>
      <c r="J2267" s="11" t="n"/>
      <c r="K2267" s="11" t="n"/>
      <c r="L2267" s="11" t="n"/>
      <c r="M2267" s="11" t="n"/>
      <c r="N2267" s="11" t="n"/>
      <c r="O2267" s="12" t="n"/>
    </row>
    <row r="2268">
      <c r="A2268" s="11" t="n"/>
      <c r="B2268" s="11" t="n"/>
      <c r="C2268" s="11" t="n"/>
      <c r="D2268" s="11" t="n"/>
      <c r="E2268" s="11" t="n"/>
      <c r="F2268" s="11" t="n"/>
      <c r="G2268" s="11" t="n"/>
      <c r="H2268" s="11" t="n"/>
      <c r="I2268" s="11" t="n"/>
      <c r="J2268" s="11" t="n"/>
      <c r="K2268" s="11" t="n"/>
      <c r="L2268" s="11" t="n"/>
      <c r="M2268" s="11" t="n"/>
      <c r="N2268" s="11" t="n"/>
      <c r="O2268" s="12" t="n"/>
    </row>
    <row r="2269">
      <c r="A2269" s="11" t="n"/>
      <c r="B2269" s="11" t="n"/>
      <c r="C2269" s="11" t="n"/>
      <c r="D2269" s="11" t="n"/>
      <c r="E2269" s="11" t="n"/>
      <c r="F2269" s="11" t="n"/>
      <c r="G2269" s="11" t="n"/>
      <c r="H2269" s="11" t="n"/>
      <c r="I2269" s="11" t="n"/>
      <c r="J2269" s="11" t="n"/>
      <c r="K2269" s="11" t="n"/>
      <c r="L2269" s="11" t="n"/>
      <c r="M2269" s="11" t="n"/>
      <c r="N2269" s="11" t="n"/>
      <c r="O2269" s="12" t="n"/>
    </row>
    <row r="2270">
      <c r="A2270" s="11" t="n"/>
      <c r="B2270" s="11" t="n"/>
      <c r="C2270" s="11" t="n"/>
      <c r="D2270" s="11" t="n"/>
      <c r="E2270" s="11" t="n"/>
      <c r="F2270" s="11" t="n"/>
      <c r="G2270" s="11" t="n"/>
      <c r="H2270" s="11" t="n"/>
      <c r="I2270" s="11" t="n"/>
      <c r="J2270" s="11" t="n"/>
      <c r="K2270" s="11" t="n"/>
      <c r="L2270" s="11" t="n"/>
      <c r="M2270" s="11" t="n"/>
      <c r="N2270" s="11" t="n"/>
      <c r="O2270" s="12" t="n"/>
    </row>
    <row r="2271">
      <c r="A2271" s="11" t="n"/>
      <c r="B2271" s="11" t="n"/>
      <c r="C2271" s="11" t="n"/>
      <c r="D2271" s="11" t="n"/>
      <c r="E2271" s="11" t="n"/>
      <c r="F2271" s="11" t="n"/>
      <c r="G2271" s="11" t="n"/>
      <c r="H2271" s="11" t="n"/>
      <c r="I2271" s="11" t="n"/>
      <c r="J2271" s="11" t="n"/>
      <c r="K2271" s="11" t="n"/>
      <c r="L2271" s="11" t="n"/>
      <c r="M2271" s="11" t="n"/>
      <c r="N2271" s="11" t="n"/>
      <c r="O2271" s="12" t="n"/>
    </row>
    <row r="2272">
      <c r="A2272" s="11" t="n"/>
      <c r="B2272" s="11" t="n"/>
      <c r="C2272" s="11" t="n"/>
      <c r="D2272" s="11" t="n"/>
      <c r="E2272" s="11" t="n"/>
      <c r="F2272" s="11" t="n"/>
      <c r="G2272" s="11" t="n"/>
      <c r="H2272" s="11" t="n"/>
      <c r="I2272" s="11" t="n"/>
      <c r="J2272" s="11" t="n"/>
      <c r="K2272" s="11" t="n"/>
      <c r="L2272" s="11" t="n"/>
      <c r="M2272" s="11" t="n"/>
      <c r="N2272" s="11" t="n"/>
      <c r="O2272" s="12" t="n"/>
    </row>
    <row r="2273">
      <c r="A2273" s="11" t="n"/>
      <c r="B2273" s="11" t="n"/>
      <c r="C2273" s="11" t="n"/>
      <c r="D2273" s="11" t="n"/>
      <c r="E2273" s="11" t="n"/>
      <c r="F2273" s="11" t="n"/>
      <c r="G2273" s="11" t="n"/>
      <c r="H2273" s="11" t="n"/>
      <c r="I2273" s="11" t="n"/>
      <c r="J2273" s="11" t="n"/>
      <c r="K2273" s="11" t="n"/>
      <c r="L2273" s="11" t="n"/>
      <c r="M2273" s="11" t="n"/>
      <c r="N2273" s="11" t="n"/>
      <c r="O2273" s="12" t="n"/>
    </row>
    <row r="2274">
      <c r="A2274" s="11" t="n"/>
      <c r="B2274" s="11" t="n"/>
      <c r="C2274" s="11" t="n"/>
      <c r="D2274" s="11" t="n"/>
      <c r="E2274" s="11" t="n"/>
      <c r="F2274" s="11" t="n"/>
      <c r="G2274" s="11" t="n"/>
      <c r="H2274" s="11" t="n"/>
      <c r="I2274" s="11" t="n"/>
      <c r="J2274" s="11" t="n"/>
      <c r="K2274" s="11" t="n"/>
      <c r="L2274" s="11" t="n"/>
      <c r="M2274" s="11" t="n"/>
      <c r="N2274" s="11" t="n"/>
      <c r="O2274" s="12" t="n"/>
    </row>
    <row r="2275">
      <c r="A2275" s="11" t="n"/>
      <c r="B2275" s="11" t="n"/>
      <c r="C2275" s="11" t="n"/>
      <c r="D2275" s="11" t="n"/>
      <c r="E2275" s="11" t="n"/>
      <c r="F2275" s="11" t="n"/>
      <c r="G2275" s="11" t="n"/>
      <c r="H2275" s="11" t="n"/>
      <c r="I2275" s="11" t="n"/>
      <c r="J2275" s="11" t="n"/>
      <c r="K2275" s="11" t="n"/>
      <c r="L2275" s="11" t="n"/>
      <c r="M2275" s="11" t="n"/>
      <c r="N2275" s="11" t="n"/>
      <c r="O2275" s="12" t="n"/>
    </row>
    <row r="2276">
      <c r="A2276" s="11" t="n"/>
      <c r="B2276" s="11" t="n"/>
      <c r="C2276" s="11" t="n"/>
      <c r="D2276" s="11" t="n"/>
      <c r="E2276" s="11" t="n"/>
      <c r="F2276" s="11" t="n"/>
      <c r="G2276" s="11" t="n"/>
      <c r="H2276" s="11" t="n"/>
      <c r="I2276" s="11" t="n"/>
      <c r="J2276" s="11" t="n"/>
      <c r="K2276" s="11" t="n"/>
      <c r="L2276" s="11" t="n"/>
      <c r="M2276" s="11" t="n"/>
      <c r="N2276" s="11" t="n"/>
      <c r="O2276" s="12" t="n"/>
    </row>
    <row r="2277">
      <c r="A2277" s="11" t="n"/>
      <c r="B2277" s="11" t="n"/>
      <c r="C2277" s="11" t="n"/>
      <c r="D2277" s="11" t="n"/>
      <c r="E2277" s="11" t="n"/>
      <c r="F2277" s="11" t="n"/>
      <c r="G2277" s="11" t="n"/>
      <c r="H2277" s="11" t="n"/>
      <c r="I2277" s="11" t="n"/>
      <c r="J2277" s="11" t="n"/>
      <c r="K2277" s="11" t="n"/>
      <c r="L2277" s="11" t="n"/>
      <c r="M2277" s="11" t="n"/>
      <c r="N2277" s="11" t="n"/>
      <c r="O2277" s="12" t="n"/>
    </row>
    <row r="2278">
      <c r="A2278" s="11" t="n"/>
      <c r="B2278" s="11" t="n"/>
      <c r="C2278" s="11" t="n"/>
      <c r="D2278" s="11" t="n"/>
      <c r="E2278" s="11" t="n"/>
      <c r="F2278" s="11" t="n"/>
      <c r="G2278" s="11" t="n"/>
      <c r="H2278" s="11" t="n"/>
      <c r="I2278" s="11" t="n"/>
      <c r="J2278" s="11" t="n"/>
      <c r="K2278" s="11" t="n"/>
      <c r="L2278" s="11" t="n"/>
      <c r="M2278" s="11" t="n"/>
      <c r="N2278" s="11" t="n"/>
      <c r="O2278" s="12" t="n"/>
    </row>
    <row r="2279">
      <c r="A2279" s="11" t="n"/>
      <c r="B2279" s="11" t="n"/>
      <c r="C2279" s="11" t="n"/>
      <c r="D2279" s="11" t="n"/>
      <c r="E2279" s="11" t="n"/>
      <c r="F2279" s="11" t="n"/>
      <c r="G2279" s="11" t="n"/>
      <c r="H2279" s="11" t="n"/>
      <c r="I2279" s="11" t="n"/>
      <c r="J2279" s="11" t="n"/>
      <c r="K2279" s="11" t="n"/>
      <c r="L2279" s="11" t="n"/>
      <c r="M2279" s="11" t="n"/>
      <c r="N2279" s="11" t="n"/>
      <c r="O2279" s="12" t="n"/>
    </row>
    <row r="2280">
      <c r="A2280" s="11" t="n"/>
      <c r="B2280" s="11" t="n"/>
      <c r="C2280" s="11" t="n"/>
      <c r="D2280" s="11" t="n"/>
      <c r="E2280" s="11" t="n"/>
      <c r="F2280" s="11" t="n"/>
      <c r="G2280" s="11" t="n"/>
      <c r="H2280" s="11" t="n"/>
      <c r="I2280" s="11" t="n"/>
      <c r="J2280" s="11" t="n"/>
      <c r="K2280" s="11" t="n"/>
      <c r="L2280" s="11" t="n"/>
      <c r="M2280" s="11" t="n"/>
      <c r="N2280" s="11" t="n"/>
      <c r="O2280" s="12" t="n"/>
    </row>
    <row r="2281">
      <c r="A2281" s="11" t="n"/>
      <c r="B2281" s="11" t="n"/>
      <c r="C2281" s="11" t="n"/>
      <c r="D2281" s="11" t="n"/>
      <c r="E2281" s="11" t="n"/>
      <c r="F2281" s="11" t="n"/>
      <c r="G2281" s="11" t="n"/>
      <c r="H2281" s="11" t="n"/>
      <c r="I2281" s="11" t="n"/>
      <c r="J2281" s="11" t="n"/>
      <c r="K2281" s="11" t="n"/>
      <c r="L2281" s="11" t="n"/>
      <c r="M2281" s="11" t="n"/>
      <c r="N2281" s="11" t="n"/>
      <c r="O2281" s="12" t="n"/>
    </row>
    <row r="2282">
      <c r="A2282" s="11" t="n"/>
      <c r="B2282" s="11" t="n"/>
      <c r="C2282" s="11" t="n"/>
      <c r="D2282" s="11" t="n"/>
      <c r="E2282" s="11" t="n"/>
      <c r="F2282" s="11" t="n"/>
      <c r="G2282" s="11" t="n"/>
      <c r="H2282" s="11" t="n"/>
      <c r="I2282" s="11" t="n"/>
      <c r="J2282" s="11" t="n"/>
      <c r="K2282" s="11" t="n"/>
      <c r="L2282" s="11" t="n"/>
      <c r="M2282" s="11" t="n"/>
      <c r="N2282" s="11" t="n"/>
      <c r="O2282" s="12" t="n"/>
    </row>
    <row r="2283">
      <c r="A2283" s="11" t="n"/>
      <c r="B2283" s="11" t="n"/>
      <c r="C2283" s="11" t="n"/>
      <c r="D2283" s="11" t="n"/>
      <c r="E2283" s="11" t="n"/>
      <c r="F2283" s="11" t="n"/>
      <c r="G2283" s="11" t="n"/>
      <c r="H2283" s="11" t="n"/>
      <c r="I2283" s="11" t="n"/>
      <c r="J2283" s="11" t="n"/>
      <c r="K2283" s="11" t="n"/>
      <c r="L2283" s="11" t="n"/>
      <c r="M2283" s="11" t="n"/>
      <c r="N2283" s="11" t="n"/>
      <c r="O2283" s="12" t="n"/>
    </row>
    <row r="2284">
      <c r="A2284" s="11" t="n"/>
      <c r="B2284" s="11" t="n"/>
      <c r="C2284" s="11" t="n"/>
      <c r="D2284" s="11" t="n"/>
      <c r="E2284" s="11" t="n"/>
      <c r="F2284" s="11" t="n"/>
      <c r="G2284" s="11" t="n"/>
      <c r="H2284" s="11" t="n"/>
      <c r="I2284" s="11" t="n"/>
      <c r="J2284" s="11" t="n"/>
      <c r="K2284" s="11" t="n"/>
      <c r="L2284" s="11" t="n"/>
      <c r="M2284" s="11" t="n"/>
      <c r="N2284" s="11" t="n"/>
      <c r="O2284" s="12" t="n"/>
    </row>
    <row r="2285">
      <c r="A2285" s="11" t="n"/>
      <c r="B2285" s="11" t="n"/>
      <c r="C2285" s="11" t="n"/>
      <c r="D2285" s="11" t="n"/>
      <c r="E2285" s="11" t="n"/>
      <c r="F2285" s="11" t="n"/>
      <c r="G2285" s="11" t="n"/>
      <c r="H2285" s="11" t="n"/>
      <c r="I2285" s="11" t="n"/>
      <c r="J2285" s="11" t="n"/>
      <c r="K2285" s="11" t="n"/>
      <c r="L2285" s="11" t="n"/>
      <c r="M2285" s="11" t="n"/>
      <c r="N2285" s="11" t="n"/>
      <c r="O2285" s="12" t="n"/>
    </row>
    <row r="2286">
      <c r="A2286" s="11" t="n"/>
      <c r="B2286" s="11" t="n"/>
      <c r="C2286" s="11" t="n"/>
      <c r="D2286" s="11" t="n"/>
      <c r="E2286" s="11" t="n"/>
      <c r="F2286" s="11" t="n"/>
      <c r="G2286" s="11" t="n"/>
      <c r="H2286" s="11" t="n"/>
      <c r="I2286" s="11" t="n"/>
      <c r="J2286" s="11" t="n"/>
      <c r="K2286" s="11" t="n"/>
      <c r="L2286" s="11" t="n"/>
      <c r="M2286" s="11" t="n"/>
      <c r="N2286" s="11" t="n"/>
      <c r="O2286" s="12" t="n"/>
    </row>
    <row r="2287">
      <c r="A2287" s="11" t="n"/>
      <c r="B2287" s="11" t="n"/>
      <c r="C2287" s="11" t="n"/>
      <c r="D2287" s="11" t="n"/>
      <c r="E2287" s="11" t="n"/>
      <c r="F2287" s="11" t="n"/>
      <c r="G2287" s="11" t="n"/>
      <c r="H2287" s="11" t="n"/>
      <c r="I2287" s="11" t="n"/>
      <c r="J2287" s="11" t="n"/>
      <c r="K2287" s="11" t="n"/>
      <c r="L2287" s="11" t="n"/>
      <c r="M2287" s="11" t="n"/>
      <c r="N2287" s="11" t="n"/>
      <c r="O2287" s="12" t="n"/>
    </row>
    <row r="2288">
      <c r="A2288" s="11" t="n"/>
      <c r="B2288" s="11" t="n"/>
      <c r="C2288" s="11" t="n"/>
      <c r="D2288" s="11" t="n"/>
      <c r="E2288" s="11" t="n"/>
      <c r="F2288" s="11" t="n"/>
      <c r="G2288" s="11" t="n"/>
      <c r="H2288" s="11" t="n"/>
      <c r="I2288" s="11" t="n"/>
      <c r="J2288" s="11" t="n"/>
      <c r="K2288" s="11" t="n"/>
      <c r="L2288" s="11" t="n"/>
      <c r="M2288" s="11" t="n"/>
      <c r="N2288" s="11" t="n"/>
      <c r="O2288" s="12" t="n"/>
    </row>
    <row r="2289">
      <c r="A2289" s="11" t="n"/>
      <c r="B2289" s="11" t="n"/>
      <c r="C2289" s="11" t="n"/>
      <c r="D2289" s="11" t="n"/>
      <c r="E2289" s="11" t="n"/>
      <c r="F2289" s="11" t="n"/>
      <c r="G2289" s="11" t="n"/>
      <c r="H2289" s="11" t="n"/>
      <c r="I2289" s="11" t="n"/>
      <c r="J2289" s="11" t="n"/>
      <c r="K2289" s="11" t="n"/>
      <c r="L2289" s="11" t="n"/>
      <c r="M2289" s="11" t="n"/>
      <c r="N2289" s="11" t="n"/>
      <c r="O2289" s="12" t="n"/>
    </row>
    <row r="2290">
      <c r="A2290" s="11" t="n"/>
      <c r="B2290" s="11" t="n"/>
      <c r="C2290" s="11" t="n"/>
      <c r="D2290" s="11" t="n"/>
      <c r="E2290" s="11" t="n"/>
      <c r="F2290" s="11" t="n"/>
      <c r="G2290" s="11" t="n"/>
      <c r="H2290" s="11" t="n"/>
      <c r="I2290" s="11" t="n"/>
      <c r="J2290" s="11" t="n"/>
      <c r="K2290" s="11" t="n"/>
      <c r="L2290" s="11" t="n"/>
      <c r="M2290" s="11" t="n"/>
      <c r="N2290" s="11" t="n"/>
      <c r="O2290" s="12" t="n"/>
    </row>
    <row r="2291">
      <c r="A2291" s="11" t="n"/>
      <c r="B2291" s="11" t="n"/>
      <c r="C2291" s="11" t="n"/>
      <c r="D2291" s="11" t="n"/>
      <c r="E2291" s="11" t="n"/>
      <c r="F2291" s="11" t="n"/>
      <c r="G2291" s="11" t="n"/>
      <c r="H2291" s="11" t="n"/>
      <c r="I2291" s="11" t="n"/>
      <c r="J2291" s="11" t="n"/>
      <c r="K2291" s="11" t="n"/>
      <c r="L2291" s="11" t="n"/>
      <c r="M2291" s="11" t="n"/>
      <c r="N2291" s="11" t="n"/>
      <c r="O2291" s="12" t="n"/>
    </row>
    <row r="2292">
      <c r="A2292" s="11" t="n"/>
      <c r="B2292" s="11" t="n"/>
      <c r="C2292" s="11" t="n"/>
      <c r="D2292" s="11" t="n"/>
      <c r="E2292" s="11" t="n"/>
      <c r="F2292" s="11" t="n"/>
      <c r="G2292" s="11" t="n"/>
      <c r="H2292" s="11" t="n"/>
      <c r="I2292" s="11" t="n"/>
      <c r="J2292" s="11" t="n"/>
      <c r="K2292" s="11" t="n"/>
      <c r="L2292" s="11" t="n"/>
      <c r="M2292" s="11" t="n"/>
      <c r="N2292" s="11" t="n"/>
      <c r="O2292" s="12" t="n"/>
    </row>
    <row r="2293">
      <c r="A2293" s="11" t="n"/>
      <c r="B2293" s="11" t="n"/>
      <c r="C2293" s="11" t="n"/>
      <c r="D2293" s="11" t="n"/>
      <c r="E2293" s="11" t="n"/>
      <c r="F2293" s="11" t="n"/>
      <c r="G2293" s="11" t="n"/>
      <c r="H2293" s="11" t="n"/>
      <c r="I2293" s="11" t="n"/>
      <c r="J2293" s="11" t="n"/>
      <c r="K2293" s="11" t="n"/>
      <c r="L2293" s="11" t="n"/>
      <c r="M2293" s="11" t="n"/>
      <c r="N2293" s="11" t="n"/>
      <c r="O2293" s="12" t="n"/>
    </row>
    <row r="2294">
      <c r="A2294" s="11" t="n"/>
      <c r="B2294" s="11" t="n"/>
      <c r="C2294" s="11" t="n"/>
      <c r="D2294" s="11" t="n"/>
      <c r="E2294" s="11" t="n"/>
      <c r="F2294" s="11" t="n"/>
      <c r="G2294" s="11" t="n"/>
      <c r="H2294" s="11" t="n"/>
      <c r="I2294" s="11" t="n"/>
      <c r="J2294" s="11" t="n"/>
      <c r="K2294" s="11" t="n"/>
      <c r="L2294" s="11" t="n"/>
      <c r="M2294" s="11" t="n"/>
      <c r="N2294" s="11" t="n"/>
      <c r="O2294" s="12" t="n"/>
    </row>
    <row r="2295">
      <c r="A2295" s="11" t="n"/>
      <c r="B2295" s="11" t="n"/>
      <c r="C2295" s="11" t="n"/>
      <c r="D2295" s="11" t="n"/>
      <c r="E2295" s="11" t="n"/>
      <c r="F2295" s="11" t="n"/>
      <c r="G2295" s="11" t="n"/>
      <c r="H2295" s="11" t="n"/>
      <c r="I2295" s="11" t="n"/>
      <c r="J2295" s="11" t="n"/>
      <c r="K2295" s="11" t="n"/>
      <c r="L2295" s="11" t="n"/>
      <c r="M2295" s="11" t="n"/>
      <c r="N2295" s="11" t="n"/>
      <c r="O2295" s="12" t="n"/>
    </row>
    <row r="2296">
      <c r="A2296" s="11" t="n"/>
      <c r="B2296" s="11" t="n"/>
      <c r="C2296" s="11" t="n"/>
      <c r="D2296" s="11" t="n"/>
      <c r="E2296" s="11" t="n"/>
      <c r="F2296" s="11" t="n"/>
      <c r="G2296" s="11" t="n"/>
      <c r="H2296" s="11" t="n"/>
      <c r="I2296" s="11" t="n"/>
      <c r="J2296" s="11" t="n"/>
      <c r="K2296" s="11" t="n"/>
      <c r="L2296" s="11" t="n"/>
      <c r="M2296" s="11" t="n"/>
      <c r="N2296" s="11" t="n"/>
      <c r="O2296" s="12" t="n"/>
    </row>
    <row r="2297">
      <c r="A2297" s="11" t="n"/>
      <c r="B2297" s="11" t="n"/>
      <c r="C2297" s="11" t="n"/>
      <c r="D2297" s="11" t="n"/>
      <c r="E2297" s="11" t="n"/>
      <c r="F2297" s="11" t="n"/>
      <c r="G2297" s="11" t="n"/>
      <c r="H2297" s="11" t="n"/>
      <c r="I2297" s="11" t="n"/>
      <c r="J2297" s="11" t="n"/>
      <c r="K2297" s="11" t="n"/>
      <c r="L2297" s="11" t="n"/>
      <c r="M2297" s="11" t="n"/>
      <c r="N2297" s="11" t="n"/>
      <c r="O2297" s="12" t="n"/>
    </row>
    <row r="2298">
      <c r="A2298" s="11" t="n"/>
      <c r="B2298" s="11" t="n"/>
      <c r="C2298" s="11" t="n"/>
      <c r="D2298" s="11" t="n"/>
      <c r="E2298" s="11" t="n"/>
      <c r="F2298" s="11" t="n"/>
      <c r="G2298" s="11" t="n"/>
      <c r="H2298" s="11" t="n"/>
      <c r="I2298" s="11" t="n"/>
      <c r="J2298" s="11" t="n"/>
      <c r="K2298" s="11" t="n"/>
      <c r="L2298" s="11" t="n"/>
      <c r="M2298" s="11" t="n"/>
      <c r="N2298" s="11" t="n"/>
      <c r="O2298" s="12" t="n"/>
    </row>
    <row r="2299">
      <c r="A2299" s="11" t="n"/>
      <c r="B2299" s="11" t="n"/>
      <c r="C2299" s="11" t="n"/>
      <c r="D2299" s="11" t="n"/>
      <c r="E2299" s="11" t="n"/>
      <c r="F2299" s="11" t="n"/>
      <c r="G2299" s="11" t="n"/>
      <c r="H2299" s="11" t="n"/>
      <c r="I2299" s="11" t="n"/>
      <c r="J2299" s="11" t="n"/>
      <c r="K2299" s="11" t="n"/>
      <c r="L2299" s="11" t="n"/>
      <c r="M2299" s="11" t="n"/>
      <c r="N2299" s="11" t="n"/>
      <c r="O2299" s="12" t="n"/>
    </row>
    <row r="2300">
      <c r="A2300" s="11" t="n"/>
      <c r="B2300" s="11" t="n"/>
      <c r="C2300" s="11" t="n"/>
      <c r="D2300" s="11" t="n"/>
      <c r="E2300" s="11" t="n"/>
      <c r="F2300" s="11" t="n"/>
      <c r="G2300" s="11" t="n"/>
      <c r="H2300" s="11" t="n"/>
      <c r="I2300" s="11" t="n"/>
      <c r="J2300" s="11" t="n"/>
      <c r="K2300" s="11" t="n"/>
      <c r="L2300" s="11" t="n"/>
      <c r="M2300" s="11" t="n"/>
      <c r="N2300" s="11" t="n"/>
      <c r="O2300" s="12" t="n"/>
    </row>
    <row r="2301">
      <c r="A2301" s="11" t="n"/>
      <c r="B2301" s="11" t="n"/>
      <c r="C2301" s="11" t="n"/>
      <c r="D2301" s="11" t="n"/>
      <c r="E2301" s="11" t="n"/>
      <c r="F2301" s="11" t="n"/>
      <c r="G2301" s="11" t="n"/>
      <c r="H2301" s="11" t="n"/>
      <c r="I2301" s="11" t="n"/>
      <c r="J2301" s="11" t="n"/>
      <c r="K2301" s="11" t="n"/>
      <c r="L2301" s="11" t="n"/>
      <c r="M2301" s="11" t="n"/>
      <c r="N2301" s="11" t="n"/>
      <c r="O2301" s="12" t="n"/>
    </row>
    <row r="2302">
      <c r="A2302" s="11" t="n"/>
      <c r="B2302" s="11" t="n"/>
      <c r="C2302" s="11" t="n"/>
      <c r="D2302" s="11" t="n"/>
      <c r="E2302" s="11" t="n"/>
      <c r="F2302" s="11" t="n"/>
      <c r="G2302" s="11" t="n"/>
      <c r="H2302" s="11" t="n"/>
      <c r="I2302" s="11" t="n"/>
      <c r="J2302" s="11" t="n"/>
      <c r="K2302" s="11" t="n"/>
      <c r="L2302" s="11" t="n"/>
      <c r="M2302" s="11" t="n"/>
      <c r="N2302" s="11" t="n"/>
      <c r="O2302" s="12" t="n"/>
    </row>
    <row r="2303">
      <c r="A2303" s="11" t="n"/>
      <c r="B2303" s="11" t="n"/>
      <c r="C2303" s="11" t="n"/>
      <c r="D2303" s="11" t="n"/>
      <c r="E2303" s="11" t="n"/>
      <c r="F2303" s="11" t="n"/>
      <c r="G2303" s="11" t="n"/>
      <c r="H2303" s="11" t="n"/>
      <c r="I2303" s="11" t="n"/>
      <c r="J2303" s="11" t="n"/>
      <c r="K2303" s="11" t="n"/>
      <c r="L2303" s="11" t="n"/>
      <c r="M2303" s="11" t="n"/>
      <c r="N2303" s="11" t="n"/>
      <c r="O2303" s="12" t="n"/>
    </row>
    <row r="2304">
      <c r="A2304" s="11" t="n"/>
      <c r="B2304" s="11" t="n"/>
      <c r="C2304" s="11" t="n"/>
      <c r="D2304" s="11" t="n"/>
      <c r="E2304" s="11" t="n"/>
      <c r="F2304" s="11" t="n"/>
      <c r="G2304" s="11" t="n"/>
      <c r="H2304" s="11" t="n"/>
      <c r="I2304" s="11" t="n"/>
      <c r="J2304" s="11" t="n"/>
      <c r="K2304" s="11" t="n"/>
      <c r="L2304" s="11" t="n"/>
      <c r="M2304" s="11" t="n"/>
      <c r="N2304" s="11" t="n"/>
      <c r="O2304" s="12" t="n"/>
    </row>
    <row r="2305">
      <c r="A2305" s="11" t="n"/>
      <c r="B2305" s="11" t="n"/>
      <c r="C2305" s="11" t="n"/>
      <c r="D2305" s="11" t="n"/>
      <c r="E2305" s="11" t="n"/>
      <c r="F2305" s="11" t="n"/>
      <c r="G2305" s="11" t="n"/>
      <c r="H2305" s="11" t="n"/>
      <c r="I2305" s="11" t="n"/>
      <c r="J2305" s="11" t="n"/>
      <c r="K2305" s="11" t="n"/>
      <c r="L2305" s="11" t="n"/>
      <c r="M2305" s="11" t="n"/>
      <c r="N2305" s="11" t="n"/>
      <c r="O2305" s="12" t="n"/>
    </row>
    <row r="2306">
      <c r="A2306" s="11" t="n"/>
      <c r="B2306" s="11" t="n"/>
      <c r="C2306" s="11" t="n"/>
      <c r="D2306" s="11" t="n"/>
      <c r="E2306" s="11" t="n"/>
      <c r="F2306" s="11" t="n"/>
      <c r="G2306" s="11" t="n"/>
      <c r="H2306" s="11" t="n"/>
      <c r="I2306" s="11" t="n"/>
      <c r="J2306" s="11" t="n"/>
      <c r="K2306" s="11" t="n"/>
      <c r="L2306" s="11" t="n"/>
      <c r="M2306" s="11" t="n"/>
      <c r="N2306" s="11" t="n"/>
      <c r="O2306" s="12" t="n"/>
    </row>
    <row r="2307">
      <c r="A2307" s="11" t="n"/>
      <c r="B2307" s="11" t="n"/>
      <c r="C2307" s="11" t="n"/>
      <c r="D2307" s="11" t="n"/>
      <c r="E2307" s="11" t="n"/>
      <c r="F2307" s="11" t="n"/>
      <c r="G2307" s="11" t="n"/>
      <c r="H2307" s="11" t="n"/>
      <c r="I2307" s="11" t="n"/>
      <c r="J2307" s="11" t="n"/>
      <c r="K2307" s="11" t="n"/>
      <c r="L2307" s="11" t="n"/>
      <c r="M2307" s="11" t="n"/>
      <c r="N2307" s="11" t="n"/>
      <c r="O2307" s="12" t="n"/>
    </row>
    <row r="2308">
      <c r="A2308" s="11" t="n"/>
      <c r="B2308" s="11" t="n"/>
      <c r="C2308" s="11" t="n"/>
      <c r="D2308" s="11" t="n"/>
      <c r="E2308" s="11" t="n"/>
      <c r="F2308" s="11" t="n"/>
      <c r="G2308" s="11" t="n"/>
      <c r="H2308" s="11" t="n"/>
      <c r="I2308" s="11" t="n"/>
      <c r="J2308" s="11" t="n"/>
      <c r="K2308" s="11" t="n"/>
      <c r="L2308" s="11" t="n"/>
      <c r="M2308" s="11" t="n"/>
      <c r="N2308" s="11" t="n"/>
      <c r="O2308" s="12" t="n"/>
    </row>
    <row r="2309">
      <c r="A2309" s="11" t="n"/>
      <c r="B2309" s="11" t="n"/>
      <c r="C2309" s="11" t="n"/>
      <c r="D2309" s="11" t="n"/>
      <c r="E2309" s="11" t="n"/>
      <c r="F2309" s="11" t="n"/>
      <c r="G2309" s="11" t="n"/>
      <c r="H2309" s="11" t="n"/>
      <c r="I2309" s="11" t="n"/>
      <c r="J2309" s="11" t="n"/>
      <c r="K2309" s="11" t="n"/>
      <c r="L2309" s="11" t="n"/>
      <c r="M2309" s="11" t="n"/>
      <c r="N2309" s="11" t="n"/>
      <c r="O2309" s="12" t="n"/>
    </row>
    <row r="2310">
      <c r="A2310" s="11" t="n"/>
      <c r="B2310" s="11" t="n"/>
      <c r="C2310" s="11" t="n"/>
      <c r="D2310" s="11" t="n"/>
      <c r="E2310" s="11" t="n"/>
      <c r="F2310" s="11" t="n"/>
      <c r="G2310" s="11" t="n"/>
      <c r="H2310" s="11" t="n"/>
      <c r="I2310" s="11" t="n"/>
      <c r="J2310" s="11" t="n"/>
      <c r="K2310" s="11" t="n"/>
      <c r="L2310" s="11" t="n"/>
      <c r="M2310" s="11" t="n"/>
      <c r="N2310" s="11" t="n"/>
      <c r="O2310" s="12" t="n"/>
    </row>
    <row r="2311">
      <c r="A2311" s="11" t="n"/>
      <c r="B2311" s="11" t="n"/>
      <c r="C2311" s="11" t="n"/>
      <c r="D2311" s="11" t="n"/>
      <c r="E2311" s="11" t="n"/>
      <c r="F2311" s="11" t="n"/>
      <c r="G2311" s="11" t="n"/>
      <c r="H2311" s="11" t="n"/>
      <c r="I2311" s="11" t="n"/>
      <c r="J2311" s="11" t="n"/>
      <c r="K2311" s="11" t="n"/>
      <c r="L2311" s="11" t="n"/>
      <c r="M2311" s="11" t="n"/>
      <c r="N2311" s="11" t="n"/>
      <c r="O2311" s="12" t="n"/>
    </row>
    <row r="2312">
      <c r="A2312" s="11" t="n"/>
      <c r="B2312" s="11" t="n"/>
      <c r="C2312" s="11" t="n"/>
      <c r="D2312" s="11" t="n"/>
      <c r="E2312" s="11" t="n"/>
      <c r="F2312" s="11" t="n"/>
      <c r="G2312" s="11" t="n"/>
      <c r="H2312" s="11" t="n"/>
      <c r="I2312" s="11" t="n"/>
      <c r="J2312" s="11" t="n"/>
      <c r="K2312" s="11" t="n"/>
      <c r="L2312" s="11" t="n"/>
      <c r="M2312" s="11" t="n"/>
      <c r="N2312" s="11" t="n"/>
      <c r="O2312" s="12" t="n"/>
    </row>
    <row r="2313">
      <c r="A2313" s="11" t="n"/>
      <c r="B2313" s="11" t="n"/>
      <c r="C2313" s="11" t="n"/>
      <c r="D2313" s="11" t="n"/>
      <c r="E2313" s="11" t="n"/>
      <c r="F2313" s="11" t="n"/>
      <c r="G2313" s="11" t="n"/>
      <c r="H2313" s="11" t="n"/>
      <c r="I2313" s="11" t="n"/>
      <c r="J2313" s="11" t="n"/>
      <c r="K2313" s="11" t="n"/>
      <c r="L2313" s="11" t="n"/>
      <c r="M2313" s="11" t="n"/>
      <c r="N2313" s="11" t="n"/>
      <c r="O2313" s="12" t="n"/>
    </row>
    <row r="2314">
      <c r="A2314" s="11" t="n"/>
      <c r="B2314" s="11" t="n"/>
      <c r="C2314" s="11" t="n"/>
      <c r="D2314" s="11" t="n"/>
      <c r="E2314" s="11" t="n"/>
      <c r="F2314" s="11" t="n"/>
      <c r="G2314" s="11" t="n"/>
      <c r="H2314" s="11" t="n"/>
      <c r="I2314" s="11" t="n"/>
      <c r="J2314" s="11" t="n"/>
      <c r="K2314" s="11" t="n"/>
      <c r="L2314" s="11" t="n"/>
      <c r="M2314" s="11" t="n"/>
      <c r="N2314" s="11" t="n"/>
      <c r="O2314" s="12" t="n"/>
    </row>
    <row r="2315">
      <c r="A2315" s="11" t="n"/>
      <c r="B2315" s="11" t="n"/>
      <c r="C2315" s="11" t="n"/>
      <c r="D2315" s="11" t="n"/>
      <c r="E2315" s="11" t="n"/>
      <c r="F2315" s="11" t="n"/>
      <c r="G2315" s="11" t="n"/>
      <c r="H2315" s="11" t="n"/>
      <c r="I2315" s="11" t="n"/>
      <c r="J2315" s="11" t="n"/>
      <c r="K2315" s="11" t="n"/>
      <c r="L2315" s="11" t="n"/>
      <c r="M2315" s="11" t="n"/>
      <c r="N2315" s="11" t="n"/>
      <c r="O2315" s="12" t="n"/>
    </row>
    <row r="2316">
      <c r="A2316" s="11" t="n"/>
      <c r="B2316" s="11" t="n"/>
      <c r="C2316" s="11" t="n"/>
      <c r="D2316" s="11" t="n"/>
      <c r="E2316" s="11" t="n"/>
      <c r="F2316" s="11" t="n"/>
      <c r="G2316" s="11" t="n"/>
      <c r="H2316" s="11" t="n"/>
      <c r="I2316" s="11" t="n"/>
      <c r="J2316" s="11" t="n"/>
      <c r="K2316" s="11" t="n"/>
      <c r="L2316" s="11" t="n"/>
      <c r="M2316" s="11" t="n"/>
      <c r="N2316" s="11" t="n"/>
      <c r="O2316" s="12" t="n"/>
    </row>
    <row r="2317">
      <c r="A2317" s="11" t="n"/>
      <c r="B2317" s="11" t="n"/>
      <c r="C2317" s="11" t="n"/>
      <c r="D2317" s="11" t="n"/>
      <c r="E2317" s="11" t="n"/>
      <c r="F2317" s="11" t="n"/>
      <c r="G2317" s="11" t="n"/>
      <c r="H2317" s="11" t="n"/>
      <c r="I2317" s="11" t="n"/>
      <c r="J2317" s="11" t="n"/>
      <c r="K2317" s="11" t="n"/>
      <c r="L2317" s="11" t="n"/>
      <c r="M2317" s="11" t="n"/>
      <c r="N2317" s="11" t="n"/>
      <c r="O2317" s="12" t="n"/>
    </row>
    <row r="2318">
      <c r="A2318" s="11" t="n"/>
      <c r="B2318" s="11" t="n"/>
      <c r="C2318" s="11" t="n"/>
      <c r="D2318" s="11" t="n"/>
      <c r="E2318" s="11" t="n"/>
      <c r="F2318" s="11" t="n"/>
      <c r="G2318" s="11" t="n"/>
      <c r="H2318" s="11" t="n"/>
      <c r="I2318" s="11" t="n"/>
      <c r="J2318" s="11" t="n"/>
      <c r="K2318" s="11" t="n"/>
      <c r="L2318" s="11" t="n"/>
      <c r="M2318" s="11" t="n"/>
      <c r="N2318" s="11" t="n"/>
      <c r="O2318" s="12" t="n"/>
    </row>
    <row r="2319">
      <c r="A2319" s="11" t="n"/>
      <c r="B2319" s="11" t="n"/>
      <c r="C2319" s="11" t="n"/>
      <c r="D2319" s="11" t="n"/>
      <c r="E2319" s="11" t="n"/>
      <c r="F2319" s="11" t="n"/>
      <c r="G2319" s="11" t="n"/>
      <c r="H2319" s="11" t="n"/>
      <c r="I2319" s="11" t="n"/>
      <c r="J2319" s="11" t="n"/>
      <c r="K2319" s="11" t="n"/>
      <c r="L2319" s="11" t="n"/>
      <c r="M2319" s="11" t="n"/>
      <c r="N2319" s="11" t="n"/>
      <c r="O2319" s="12" t="n"/>
    </row>
    <row r="2320">
      <c r="A2320" s="11" t="n"/>
      <c r="B2320" s="11" t="n"/>
      <c r="C2320" s="11" t="n"/>
      <c r="D2320" s="11" t="n"/>
      <c r="E2320" s="11" t="n"/>
      <c r="F2320" s="11" t="n"/>
      <c r="G2320" s="11" t="n"/>
      <c r="H2320" s="11" t="n"/>
      <c r="I2320" s="11" t="n"/>
      <c r="J2320" s="11" t="n"/>
      <c r="K2320" s="11" t="n"/>
      <c r="L2320" s="11" t="n"/>
      <c r="M2320" s="11" t="n"/>
      <c r="N2320" s="11" t="n"/>
      <c r="O2320" s="12" t="n"/>
    </row>
    <row r="2321">
      <c r="A2321" s="11" t="n"/>
      <c r="B2321" s="11" t="n"/>
      <c r="C2321" s="11" t="n"/>
      <c r="D2321" s="11" t="n"/>
      <c r="E2321" s="11" t="n"/>
      <c r="F2321" s="11" t="n"/>
      <c r="G2321" s="11" t="n"/>
      <c r="H2321" s="11" t="n"/>
      <c r="I2321" s="11" t="n"/>
      <c r="J2321" s="11" t="n"/>
      <c r="K2321" s="11" t="n"/>
      <c r="L2321" s="11" t="n"/>
      <c r="M2321" s="11" t="n"/>
      <c r="N2321" s="11" t="n"/>
      <c r="O2321" s="12" t="n"/>
    </row>
    <row r="2322">
      <c r="A2322" s="11" t="n"/>
      <c r="B2322" s="11" t="n"/>
      <c r="C2322" s="11" t="n"/>
      <c r="D2322" s="11" t="n"/>
      <c r="E2322" s="11" t="n"/>
      <c r="F2322" s="11" t="n"/>
      <c r="G2322" s="11" t="n"/>
      <c r="H2322" s="11" t="n"/>
      <c r="I2322" s="11" t="n"/>
      <c r="J2322" s="11" t="n"/>
      <c r="K2322" s="11" t="n"/>
      <c r="L2322" s="11" t="n"/>
      <c r="M2322" s="11" t="n"/>
      <c r="N2322" s="11" t="n"/>
      <c r="O2322" s="12" t="n"/>
    </row>
    <row r="2323">
      <c r="A2323" s="11" t="n"/>
      <c r="B2323" s="11" t="n"/>
      <c r="C2323" s="11" t="n"/>
      <c r="D2323" s="11" t="n"/>
      <c r="E2323" s="11" t="n"/>
      <c r="F2323" s="11" t="n"/>
      <c r="G2323" s="11" t="n"/>
      <c r="H2323" s="11" t="n"/>
      <c r="I2323" s="11" t="n"/>
      <c r="J2323" s="11" t="n"/>
      <c r="K2323" s="11" t="n"/>
      <c r="L2323" s="11" t="n"/>
      <c r="M2323" s="11" t="n"/>
      <c r="N2323" s="11" t="n"/>
      <c r="O2323" s="12" t="n"/>
    </row>
    <row r="2324">
      <c r="A2324" s="11" t="n"/>
      <c r="B2324" s="11" t="n"/>
      <c r="C2324" s="11" t="n"/>
      <c r="D2324" s="11" t="n"/>
      <c r="E2324" s="11" t="n"/>
      <c r="F2324" s="11" t="n"/>
      <c r="G2324" s="11" t="n"/>
      <c r="H2324" s="11" t="n"/>
      <c r="I2324" s="11" t="n"/>
      <c r="J2324" s="11" t="n"/>
      <c r="K2324" s="11" t="n"/>
      <c r="L2324" s="11" t="n"/>
      <c r="M2324" s="11" t="n"/>
      <c r="N2324" s="11" t="n"/>
      <c r="O2324" s="12" t="n"/>
    </row>
    <row r="2325">
      <c r="A2325" s="11" t="n"/>
      <c r="B2325" s="11" t="n"/>
      <c r="C2325" s="11" t="n"/>
      <c r="D2325" s="11" t="n"/>
      <c r="E2325" s="11" t="n"/>
      <c r="F2325" s="11" t="n"/>
      <c r="G2325" s="11" t="n"/>
      <c r="H2325" s="11" t="n"/>
      <c r="I2325" s="11" t="n"/>
      <c r="J2325" s="11" t="n"/>
      <c r="K2325" s="11" t="n"/>
      <c r="L2325" s="11" t="n"/>
      <c r="M2325" s="11" t="n"/>
      <c r="N2325" s="11" t="n"/>
      <c r="O2325" s="12" t="n"/>
    </row>
    <row r="2326">
      <c r="A2326" s="11" t="n"/>
      <c r="B2326" s="11" t="n"/>
      <c r="C2326" s="11" t="n"/>
      <c r="D2326" s="11" t="n"/>
      <c r="E2326" s="11" t="n"/>
      <c r="F2326" s="11" t="n"/>
      <c r="G2326" s="11" t="n"/>
      <c r="H2326" s="11" t="n"/>
      <c r="I2326" s="11" t="n"/>
      <c r="J2326" s="11" t="n"/>
      <c r="K2326" s="11" t="n"/>
      <c r="L2326" s="11" t="n"/>
      <c r="M2326" s="11" t="n"/>
      <c r="N2326" s="11" t="n"/>
      <c r="O2326" s="12" t="n"/>
    </row>
    <row r="2327">
      <c r="A2327" s="11" t="n"/>
      <c r="B2327" s="11" t="n"/>
      <c r="C2327" s="11" t="n"/>
      <c r="D2327" s="11" t="n"/>
      <c r="E2327" s="11" t="n"/>
      <c r="F2327" s="11" t="n"/>
      <c r="G2327" s="11" t="n"/>
      <c r="H2327" s="11" t="n"/>
      <c r="I2327" s="11" t="n"/>
      <c r="J2327" s="11" t="n"/>
      <c r="K2327" s="11" t="n"/>
      <c r="L2327" s="11" t="n"/>
      <c r="M2327" s="11" t="n"/>
      <c r="N2327" s="11" t="n"/>
      <c r="O2327" s="12" t="n"/>
    </row>
    <row r="2328">
      <c r="A2328" s="11" t="n"/>
      <c r="B2328" s="11" t="n"/>
      <c r="C2328" s="11" t="n"/>
      <c r="D2328" s="11" t="n"/>
      <c r="E2328" s="11" t="n"/>
      <c r="F2328" s="11" t="n"/>
      <c r="G2328" s="11" t="n"/>
      <c r="H2328" s="11" t="n"/>
      <c r="I2328" s="11" t="n"/>
      <c r="J2328" s="11" t="n"/>
      <c r="K2328" s="11" t="n"/>
      <c r="L2328" s="11" t="n"/>
      <c r="M2328" s="11" t="n"/>
      <c r="N2328" s="11" t="n"/>
      <c r="O2328" s="12" t="n"/>
    </row>
    <row r="2329">
      <c r="A2329" s="11" t="n"/>
      <c r="B2329" s="11" t="n"/>
      <c r="C2329" s="11" t="n"/>
      <c r="D2329" s="11" t="n"/>
      <c r="E2329" s="11" t="n"/>
      <c r="F2329" s="11" t="n"/>
      <c r="G2329" s="11" t="n"/>
      <c r="H2329" s="11" t="n"/>
      <c r="I2329" s="11" t="n"/>
      <c r="J2329" s="11" t="n"/>
      <c r="K2329" s="11" t="n"/>
      <c r="L2329" s="11" t="n"/>
      <c r="M2329" s="11" t="n"/>
      <c r="N2329" s="11" t="n"/>
      <c r="O2329" s="12" t="n"/>
    </row>
    <row r="2330">
      <c r="A2330" s="11" t="n"/>
      <c r="B2330" s="11" t="n"/>
      <c r="C2330" s="11" t="n"/>
      <c r="D2330" s="11" t="n"/>
      <c r="E2330" s="11" t="n"/>
      <c r="F2330" s="11" t="n"/>
      <c r="G2330" s="11" t="n"/>
      <c r="H2330" s="11" t="n"/>
      <c r="I2330" s="11" t="n"/>
      <c r="J2330" s="11" t="n"/>
      <c r="K2330" s="11" t="n"/>
      <c r="L2330" s="11" t="n"/>
      <c r="M2330" s="11" t="n"/>
      <c r="N2330" s="11" t="n"/>
      <c r="O2330" s="12" t="n"/>
    </row>
    <row r="2331">
      <c r="A2331" s="11" t="n"/>
      <c r="B2331" s="11" t="n"/>
      <c r="C2331" s="11" t="n"/>
      <c r="D2331" s="11" t="n"/>
      <c r="E2331" s="11" t="n"/>
      <c r="F2331" s="11" t="n"/>
      <c r="G2331" s="11" t="n"/>
      <c r="H2331" s="11" t="n"/>
      <c r="I2331" s="11" t="n"/>
      <c r="J2331" s="11" t="n"/>
      <c r="K2331" s="11" t="n"/>
      <c r="L2331" s="11" t="n"/>
      <c r="M2331" s="11" t="n"/>
      <c r="N2331" s="11" t="n"/>
      <c r="O2331" s="12" t="n"/>
    </row>
    <row r="2332">
      <c r="A2332" s="11" t="n"/>
      <c r="B2332" s="11" t="n"/>
      <c r="C2332" s="11" t="n"/>
      <c r="D2332" s="11" t="n"/>
      <c r="E2332" s="11" t="n"/>
      <c r="F2332" s="11" t="n"/>
      <c r="G2332" s="11" t="n"/>
      <c r="H2332" s="11" t="n"/>
      <c r="I2332" s="11" t="n"/>
      <c r="J2332" s="11" t="n"/>
      <c r="K2332" s="11" t="n"/>
      <c r="L2332" s="11" t="n"/>
      <c r="M2332" s="11" t="n"/>
      <c r="N2332" s="11" t="n"/>
      <c r="O2332" s="12" t="n"/>
    </row>
    <row r="2333">
      <c r="A2333" s="11" t="n"/>
      <c r="B2333" s="11" t="n"/>
      <c r="C2333" s="11" t="n"/>
      <c r="D2333" s="11" t="n"/>
      <c r="E2333" s="11" t="n"/>
      <c r="F2333" s="11" t="n"/>
      <c r="G2333" s="11" t="n"/>
      <c r="H2333" s="11" t="n"/>
      <c r="I2333" s="11" t="n"/>
      <c r="J2333" s="11" t="n"/>
      <c r="K2333" s="11" t="n"/>
      <c r="L2333" s="11" t="n"/>
      <c r="M2333" s="11" t="n"/>
      <c r="N2333" s="11" t="n"/>
      <c r="O2333" s="12" t="n"/>
    </row>
    <row r="2334">
      <c r="A2334" s="11" t="n"/>
      <c r="B2334" s="11" t="n"/>
      <c r="C2334" s="11" t="n"/>
      <c r="D2334" s="11" t="n"/>
      <c r="E2334" s="11" t="n"/>
      <c r="F2334" s="11" t="n"/>
      <c r="G2334" s="11" t="n"/>
      <c r="H2334" s="11" t="n"/>
      <c r="I2334" s="11" t="n"/>
      <c r="J2334" s="11" t="n"/>
      <c r="K2334" s="11" t="n"/>
      <c r="L2334" s="11" t="n"/>
      <c r="M2334" s="11" t="n"/>
      <c r="N2334" s="11" t="n"/>
      <c r="O2334" s="12" t="n"/>
    </row>
    <row r="2335">
      <c r="A2335" s="11" t="n"/>
      <c r="B2335" s="11" t="n"/>
      <c r="C2335" s="11" t="n"/>
      <c r="D2335" s="11" t="n"/>
      <c r="E2335" s="11" t="n"/>
      <c r="F2335" s="11" t="n"/>
      <c r="G2335" s="11" t="n"/>
      <c r="H2335" s="11" t="n"/>
      <c r="I2335" s="11" t="n"/>
      <c r="J2335" s="11" t="n"/>
      <c r="K2335" s="11" t="n"/>
      <c r="L2335" s="11" t="n"/>
      <c r="M2335" s="11" t="n"/>
      <c r="N2335" s="11" t="n"/>
      <c r="O2335" s="12" t="n"/>
    </row>
    <row r="2336">
      <c r="A2336" s="11" t="n"/>
      <c r="B2336" s="11" t="n"/>
      <c r="C2336" s="11" t="n"/>
      <c r="D2336" s="11" t="n"/>
      <c r="E2336" s="11" t="n"/>
      <c r="F2336" s="11" t="n"/>
      <c r="G2336" s="11" t="n"/>
      <c r="H2336" s="11" t="n"/>
      <c r="I2336" s="11" t="n"/>
      <c r="J2336" s="11" t="n"/>
      <c r="K2336" s="11" t="n"/>
      <c r="L2336" s="11" t="n"/>
      <c r="M2336" s="11" t="n"/>
      <c r="N2336" s="11" t="n"/>
      <c r="O2336" s="12" t="n"/>
    </row>
    <row r="2337">
      <c r="A2337" s="11" t="n"/>
      <c r="B2337" s="11" t="n"/>
      <c r="C2337" s="11" t="n"/>
      <c r="D2337" s="11" t="n"/>
      <c r="E2337" s="11" t="n"/>
      <c r="F2337" s="11" t="n"/>
      <c r="G2337" s="11" t="n"/>
      <c r="H2337" s="11" t="n"/>
      <c r="I2337" s="11" t="n"/>
      <c r="J2337" s="11" t="n"/>
      <c r="K2337" s="11" t="n"/>
      <c r="L2337" s="11" t="n"/>
      <c r="M2337" s="11" t="n"/>
      <c r="N2337" s="11" t="n"/>
      <c r="O2337" s="12" t="n"/>
    </row>
    <row r="2338">
      <c r="A2338" s="11" t="n"/>
      <c r="B2338" s="11" t="n"/>
      <c r="C2338" s="11" t="n"/>
      <c r="D2338" s="11" t="n"/>
      <c r="E2338" s="11" t="n"/>
      <c r="F2338" s="11" t="n"/>
      <c r="G2338" s="11" t="n"/>
      <c r="H2338" s="11" t="n"/>
      <c r="I2338" s="11" t="n"/>
      <c r="J2338" s="11" t="n"/>
      <c r="K2338" s="11" t="n"/>
      <c r="L2338" s="11" t="n"/>
      <c r="M2338" s="11" t="n"/>
      <c r="N2338" s="11" t="n"/>
      <c r="O2338" s="12" t="n"/>
    </row>
    <row r="2339">
      <c r="A2339" s="11" t="n"/>
      <c r="B2339" s="11" t="n"/>
      <c r="C2339" s="11" t="n"/>
      <c r="D2339" s="11" t="n"/>
      <c r="E2339" s="11" t="n"/>
      <c r="F2339" s="11" t="n"/>
      <c r="G2339" s="11" t="n"/>
      <c r="H2339" s="11" t="n"/>
      <c r="I2339" s="11" t="n"/>
      <c r="J2339" s="11" t="n"/>
      <c r="K2339" s="11" t="n"/>
      <c r="L2339" s="11" t="n"/>
      <c r="M2339" s="11" t="n"/>
      <c r="N2339" s="11" t="n"/>
      <c r="O2339" s="12" t="n"/>
    </row>
    <row r="2340">
      <c r="A2340" s="11" t="n"/>
      <c r="B2340" s="11" t="n"/>
      <c r="C2340" s="11" t="n"/>
      <c r="D2340" s="11" t="n"/>
      <c r="E2340" s="11" t="n"/>
      <c r="F2340" s="11" t="n"/>
      <c r="G2340" s="11" t="n"/>
      <c r="H2340" s="11" t="n"/>
      <c r="I2340" s="11" t="n"/>
      <c r="J2340" s="11" t="n"/>
      <c r="K2340" s="11" t="n"/>
      <c r="L2340" s="11" t="n"/>
      <c r="M2340" s="11" t="n"/>
      <c r="N2340" s="11" t="n"/>
      <c r="O2340" s="12" t="n"/>
    </row>
    <row r="2341">
      <c r="A2341" s="11" t="n"/>
      <c r="B2341" s="11" t="n"/>
      <c r="C2341" s="11" t="n"/>
      <c r="D2341" s="11" t="n"/>
      <c r="E2341" s="11" t="n"/>
      <c r="F2341" s="11" t="n"/>
      <c r="G2341" s="11" t="n"/>
      <c r="H2341" s="11" t="n"/>
      <c r="I2341" s="11" t="n"/>
      <c r="J2341" s="11" t="n"/>
      <c r="K2341" s="11" t="n"/>
      <c r="L2341" s="11" t="n"/>
      <c r="M2341" s="11" t="n"/>
      <c r="N2341" s="11" t="n"/>
      <c r="O2341" s="12" t="n"/>
    </row>
    <row r="2342">
      <c r="A2342" s="11" t="n"/>
      <c r="B2342" s="11" t="n"/>
      <c r="C2342" s="11" t="n"/>
      <c r="D2342" s="11" t="n"/>
      <c r="E2342" s="11" t="n"/>
      <c r="F2342" s="11" t="n"/>
      <c r="G2342" s="11" t="n"/>
      <c r="H2342" s="11" t="n"/>
      <c r="I2342" s="11" t="n"/>
      <c r="J2342" s="11" t="n"/>
      <c r="K2342" s="11" t="n"/>
      <c r="L2342" s="11" t="n"/>
      <c r="M2342" s="11" t="n"/>
      <c r="N2342" s="11" t="n"/>
      <c r="O2342" s="12" t="n"/>
    </row>
    <row r="2343">
      <c r="A2343" s="11" t="n"/>
      <c r="B2343" s="11" t="n"/>
      <c r="C2343" s="11" t="n"/>
      <c r="D2343" s="11" t="n"/>
      <c r="E2343" s="11" t="n"/>
      <c r="F2343" s="11" t="n"/>
      <c r="G2343" s="11" t="n"/>
      <c r="H2343" s="11" t="n"/>
      <c r="I2343" s="11" t="n"/>
      <c r="J2343" s="11" t="n"/>
      <c r="K2343" s="11" t="n"/>
      <c r="L2343" s="11" t="n"/>
      <c r="M2343" s="11" t="n"/>
      <c r="N2343" s="11" t="n"/>
      <c r="O2343" s="12" t="n"/>
    </row>
    <row r="2344">
      <c r="A2344" s="11" t="n"/>
      <c r="B2344" s="11" t="n"/>
      <c r="C2344" s="11" t="n"/>
      <c r="D2344" s="11" t="n"/>
      <c r="E2344" s="11" t="n"/>
      <c r="F2344" s="11" t="n"/>
      <c r="G2344" s="11" t="n"/>
      <c r="H2344" s="11" t="n"/>
      <c r="I2344" s="11" t="n"/>
      <c r="J2344" s="11" t="n"/>
      <c r="K2344" s="11" t="n"/>
      <c r="L2344" s="11" t="n"/>
      <c r="M2344" s="11" t="n"/>
      <c r="N2344" s="11" t="n"/>
      <c r="O2344" s="12" t="n"/>
    </row>
    <row r="2345">
      <c r="A2345" s="11" t="n"/>
      <c r="B2345" s="11" t="n"/>
      <c r="C2345" s="11" t="n"/>
      <c r="D2345" s="11" t="n"/>
      <c r="E2345" s="11" t="n"/>
      <c r="F2345" s="11" t="n"/>
      <c r="G2345" s="11" t="n"/>
      <c r="H2345" s="11" t="n"/>
      <c r="I2345" s="11" t="n"/>
      <c r="J2345" s="11" t="n"/>
      <c r="K2345" s="11" t="n"/>
      <c r="L2345" s="11" t="n"/>
      <c r="M2345" s="11" t="n"/>
      <c r="N2345" s="11" t="n"/>
      <c r="O2345" s="12" t="n"/>
    </row>
    <row r="2346">
      <c r="A2346" s="11" t="n"/>
      <c r="B2346" s="11" t="n"/>
      <c r="C2346" s="11" t="n"/>
      <c r="D2346" s="11" t="n"/>
      <c r="E2346" s="11" t="n"/>
      <c r="F2346" s="11" t="n"/>
      <c r="G2346" s="11" t="n"/>
      <c r="H2346" s="11" t="n"/>
      <c r="I2346" s="11" t="n"/>
      <c r="J2346" s="11" t="n"/>
      <c r="K2346" s="11" t="n"/>
      <c r="L2346" s="11" t="n"/>
      <c r="M2346" s="11" t="n"/>
      <c r="N2346" s="11" t="n"/>
      <c r="O2346" s="12" t="n"/>
    </row>
    <row r="2347">
      <c r="A2347" s="11" t="n"/>
      <c r="B2347" s="11" t="n"/>
      <c r="C2347" s="11" t="n"/>
      <c r="D2347" s="11" t="n"/>
      <c r="E2347" s="11" t="n"/>
      <c r="F2347" s="11" t="n"/>
      <c r="G2347" s="11" t="n"/>
      <c r="H2347" s="11" t="n"/>
      <c r="I2347" s="11" t="n"/>
      <c r="J2347" s="11" t="n"/>
      <c r="K2347" s="11" t="n"/>
      <c r="L2347" s="11" t="n"/>
      <c r="M2347" s="11" t="n"/>
      <c r="N2347" s="11" t="n"/>
      <c r="O2347" s="12" t="n"/>
    </row>
    <row r="2348">
      <c r="A2348" s="11" t="n"/>
      <c r="B2348" s="11" t="n"/>
      <c r="C2348" s="11" t="n"/>
      <c r="D2348" s="11" t="n"/>
      <c r="E2348" s="11" t="n"/>
      <c r="F2348" s="11" t="n"/>
      <c r="G2348" s="11" t="n"/>
      <c r="H2348" s="11" t="n"/>
      <c r="I2348" s="11" t="n"/>
      <c r="J2348" s="11" t="n"/>
      <c r="K2348" s="11" t="n"/>
      <c r="L2348" s="11" t="n"/>
      <c r="M2348" s="11" t="n"/>
      <c r="N2348" s="11" t="n"/>
      <c r="O2348" s="12" t="n"/>
    </row>
    <row r="2349">
      <c r="A2349" s="11" t="n"/>
      <c r="B2349" s="11" t="n"/>
      <c r="C2349" s="11" t="n"/>
      <c r="D2349" s="11" t="n"/>
      <c r="E2349" s="11" t="n"/>
      <c r="F2349" s="11" t="n"/>
      <c r="G2349" s="11" t="n"/>
      <c r="H2349" s="11" t="n"/>
      <c r="I2349" s="11" t="n"/>
      <c r="J2349" s="11" t="n"/>
      <c r="K2349" s="11" t="n"/>
      <c r="L2349" s="11" t="n"/>
      <c r="M2349" s="11" t="n"/>
      <c r="N2349" s="11" t="n"/>
      <c r="O2349" s="12" t="n"/>
    </row>
    <row r="2350">
      <c r="A2350" s="11" t="n"/>
      <c r="B2350" s="11" t="n"/>
      <c r="C2350" s="11" t="n"/>
      <c r="D2350" s="11" t="n"/>
      <c r="E2350" s="11" t="n"/>
      <c r="F2350" s="11" t="n"/>
      <c r="G2350" s="11" t="n"/>
      <c r="H2350" s="11" t="n"/>
      <c r="I2350" s="11" t="n"/>
      <c r="J2350" s="11" t="n"/>
      <c r="K2350" s="11" t="n"/>
      <c r="L2350" s="11" t="n"/>
      <c r="M2350" s="11" t="n"/>
      <c r="N2350" s="11" t="n"/>
      <c r="O2350" s="12" t="n"/>
    </row>
    <row r="2351">
      <c r="A2351" s="11" t="n"/>
      <c r="B2351" s="11" t="n"/>
      <c r="C2351" s="11" t="n"/>
      <c r="D2351" s="11" t="n"/>
      <c r="E2351" s="11" t="n"/>
      <c r="F2351" s="11" t="n"/>
      <c r="G2351" s="11" t="n"/>
      <c r="H2351" s="11" t="n"/>
      <c r="I2351" s="11" t="n"/>
      <c r="J2351" s="11" t="n"/>
      <c r="K2351" s="11" t="n"/>
      <c r="L2351" s="11" t="n"/>
      <c r="M2351" s="11" t="n"/>
      <c r="N2351" s="11" t="n"/>
      <c r="O2351" s="12" t="n"/>
    </row>
    <row r="2352">
      <c r="A2352" s="11" t="n"/>
      <c r="B2352" s="11" t="n"/>
      <c r="C2352" s="11" t="n"/>
      <c r="D2352" s="11" t="n"/>
      <c r="E2352" s="11" t="n"/>
      <c r="F2352" s="11" t="n"/>
      <c r="G2352" s="11" t="n"/>
      <c r="H2352" s="11" t="n"/>
      <c r="I2352" s="11" t="n"/>
      <c r="J2352" s="11" t="n"/>
      <c r="K2352" s="11" t="n"/>
      <c r="L2352" s="11" t="n"/>
      <c r="M2352" s="11" t="n"/>
      <c r="N2352" s="11" t="n"/>
      <c r="O2352" s="12" t="n"/>
    </row>
    <row r="2353">
      <c r="A2353" s="11" t="n"/>
      <c r="B2353" s="11" t="n"/>
      <c r="C2353" s="11" t="n"/>
      <c r="D2353" s="11" t="n"/>
      <c r="E2353" s="11" t="n"/>
      <c r="F2353" s="11" t="n"/>
      <c r="G2353" s="11" t="n"/>
      <c r="H2353" s="11" t="n"/>
      <c r="I2353" s="11" t="n"/>
      <c r="J2353" s="11" t="n"/>
      <c r="K2353" s="11" t="n"/>
      <c r="L2353" s="11" t="n"/>
      <c r="M2353" s="11" t="n"/>
      <c r="N2353" s="11" t="n"/>
      <c r="O2353" s="12" t="n"/>
    </row>
    <row r="2354">
      <c r="A2354" s="11" t="n"/>
      <c r="B2354" s="11" t="n"/>
      <c r="C2354" s="11" t="n"/>
      <c r="D2354" s="11" t="n"/>
      <c r="E2354" s="11" t="n"/>
      <c r="F2354" s="11" t="n"/>
      <c r="G2354" s="11" t="n"/>
      <c r="H2354" s="11" t="n"/>
      <c r="I2354" s="11" t="n"/>
      <c r="J2354" s="11" t="n"/>
      <c r="K2354" s="11" t="n"/>
      <c r="L2354" s="11" t="n"/>
      <c r="M2354" s="11" t="n"/>
      <c r="N2354" s="11" t="n"/>
      <c r="O2354" s="12" t="n"/>
    </row>
    <row r="2355">
      <c r="A2355" s="11" t="n"/>
      <c r="B2355" s="11" t="n"/>
      <c r="C2355" s="11" t="n"/>
      <c r="D2355" s="11" t="n"/>
      <c r="E2355" s="11" t="n"/>
      <c r="F2355" s="11" t="n"/>
      <c r="G2355" s="11" t="n"/>
      <c r="H2355" s="11" t="n"/>
      <c r="I2355" s="11" t="n"/>
      <c r="J2355" s="11" t="n"/>
      <c r="K2355" s="11" t="n"/>
      <c r="L2355" s="11" t="n"/>
      <c r="M2355" s="11" t="n"/>
      <c r="N2355" s="11" t="n"/>
      <c r="O2355" s="12" t="n"/>
    </row>
    <row r="2356">
      <c r="A2356" s="11" t="n"/>
      <c r="B2356" s="11" t="n"/>
      <c r="C2356" s="11" t="n"/>
      <c r="D2356" s="11" t="n"/>
      <c r="E2356" s="11" t="n"/>
      <c r="F2356" s="11" t="n"/>
      <c r="G2356" s="11" t="n"/>
      <c r="H2356" s="11" t="n"/>
      <c r="I2356" s="11" t="n"/>
      <c r="J2356" s="11" t="n"/>
      <c r="K2356" s="11" t="n"/>
      <c r="L2356" s="11" t="n"/>
      <c r="M2356" s="11" t="n"/>
      <c r="N2356" s="11" t="n"/>
      <c r="O2356" s="12" t="n"/>
    </row>
    <row r="2357">
      <c r="A2357" s="11" t="n"/>
      <c r="B2357" s="11" t="n"/>
      <c r="C2357" s="11" t="n"/>
      <c r="D2357" s="11" t="n"/>
      <c r="E2357" s="11" t="n"/>
      <c r="F2357" s="11" t="n"/>
      <c r="G2357" s="11" t="n"/>
      <c r="H2357" s="11" t="n"/>
      <c r="I2357" s="11" t="n"/>
      <c r="J2357" s="11" t="n"/>
      <c r="K2357" s="11" t="n"/>
      <c r="L2357" s="11" t="n"/>
      <c r="M2357" s="11" t="n"/>
      <c r="N2357" s="11" t="n"/>
      <c r="O2357" s="12" t="n"/>
    </row>
    <row r="2358">
      <c r="A2358" s="11" t="n"/>
      <c r="B2358" s="11" t="n"/>
      <c r="C2358" s="11" t="n"/>
      <c r="D2358" s="11" t="n"/>
      <c r="E2358" s="11" t="n"/>
      <c r="F2358" s="11" t="n"/>
      <c r="G2358" s="11" t="n"/>
      <c r="H2358" s="11" t="n"/>
      <c r="I2358" s="11" t="n"/>
      <c r="J2358" s="11" t="n"/>
      <c r="K2358" s="11" t="n"/>
      <c r="L2358" s="11" t="n"/>
      <c r="M2358" s="11" t="n"/>
      <c r="N2358" s="11" t="n"/>
      <c r="O2358" s="12" t="n"/>
    </row>
    <row r="2359">
      <c r="A2359" s="11" t="n"/>
      <c r="B2359" s="11" t="n"/>
      <c r="C2359" s="11" t="n"/>
      <c r="D2359" s="11" t="n"/>
      <c r="E2359" s="11" t="n"/>
      <c r="F2359" s="11" t="n"/>
      <c r="G2359" s="11" t="n"/>
      <c r="H2359" s="11" t="n"/>
      <c r="I2359" s="11" t="n"/>
      <c r="J2359" s="11" t="n"/>
      <c r="K2359" s="11" t="n"/>
      <c r="L2359" s="11" t="n"/>
      <c r="M2359" s="11" t="n"/>
      <c r="N2359" s="11" t="n"/>
      <c r="O2359" s="12" t="n"/>
    </row>
    <row r="2360">
      <c r="A2360" s="11" t="n"/>
      <c r="B2360" s="11" t="n"/>
      <c r="C2360" s="11" t="n"/>
      <c r="D2360" s="11" t="n"/>
      <c r="E2360" s="11" t="n"/>
      <c r="F2360" s="11" t="n"/>
      <c r="G2360" s="11" t="n"/>
      <c r="H2360" s="11" t="n"/>
      <c r="I2360" s="11" t="n"/>
      <c r="J2360" s="11" t="n"/>
      <c r="K2360" s="11" t="n"/>
      <c r="L2360" s="11" t="n"/>
      <c r="M2360" s="11" t="n"/>
      <c r="N2360" s="11" t="n"/>
      <c r="O2360" s="12" t="n"/>
    </row>
    <row r="2361">
      <c r="A2361" s="11" t="n"/>
      <c r="B2361" s="11" t="n"/>
      <c r="C2361" s="11" t="n"/>
      <c r="D2361" s="11" t="n"/>
      <c r="E2361" s="11" t="n"/>
      <c r="F2361" s="11" t="n"/>
      <c r="G2361" s="11" t="n"/>
      <c r="H2361" s="11" t="n"/>
      <c r="I2361" s="11" t="n"/>
      <c r="J2361" s="11" t="n"/>
      <c r="K2361" s="11" t="n"/>
      <c r="L2361" s="11" t="n"/>
      <c r="M2361" s="11" t="n"/>
      <c r="N2361" s="11" t="n"/>
      <c r="O2361" s="12" t="n"/>
    </row>
    <row r="2362">
      <c r="A2362" s="11" t="n"/>
      <c r="B2362" s="11" t="n"/>
      <c r="C2362" s="11" t="n"/>
      <c r="D2362" s="11" t="n"/>
      <c r="E2362" s="11" t="n"/>
      <c r="F2362" s="11" t="n"/>
      <c r="G2362" s="11" t="n"/>
      <c r="H2362" s="11" t="n"/>
      <c r="I2362" s="11" t="n"/>
      <c r="J2362" s="11" t="n"/>
      <c r="K2362" s="11" t="n"/>
      <c r="L2362" s="11" t="n"/>
      <c r="M2362" s="11" t="n"/>
      <c r="N2362" s="11" t="n"/>
      <c r="O2362" s="12" t="n"/>
    </row>
    <row r="2363">
      <c r="A2363" s="11" t="n"/>
      <c r="B2363" s="11" t="n"/>
      <c r="C2363" s="11" t="n"/>
      <c r="D2363" s="11" t="n"/>
      <c r="E2363" s="11" t="n"/>
      <c r="F2363" s="11" t="n"/>
      <c r="G2363" s="11" t="n"/>
      <c r="H2363" s="11" t="n"/>
      <c r="I2363" s="11" t="n"/>
      <c r="J2363" s="11" t="n"/>
      <c r="K2363" s="11" t="n"/>
      <c r="L2363" s="11" t="n"/>
      <c r="M2363" s="11" t="n"/>
      <c r="N2363" s="11" t="n"/>
      <c r="O2363" s="12" t="n"/>
    </row>
    <row r="2364">
      <c r="A2364" s="11" t="n"/>
      <c r="B2364" s="11" t="n"/>
      <c r="C2364" s="11" t="n"/>
      <c r="D2364" s="11" t="n"/>
      <c r="E2364" s="11" t="n"/>
      <c r="F2364" s="11" t="n"/>
      <c r="G2364" s="11" t="n"/>
      <c r="H2364" s="11" t="n"/>
      <c r="I2364" s="11" t="n"/>
      <c r="J2364" s="11" t="n"/>
      <c r="K2364" s="11" t="n"/>
      <c r="L2364" s="11" t="n"/>
      <c r="M2364" s="11" t="n"/>
      <c r="N2364" s="11" t="n"/>
      <c r="O2364" s="12" t="n"/>
    </row>
    <row r="2365">
      <c r="A2365" s="11" t="n"/>
      <c r="B2365" s="11" t="n"/>
      <c r="C2365" s="11" t="n"/>
      <c r="D2365" s="11" t="n"/>
      <c r="E2365" s="11" t="n"/>
      <c r="F2365" s="11" t="n"/>
      <c r="G2365" s="11" t="n"/>
      <c r="H2365" s="11" t="n"/>
      <c r="I2365" s="11" t="n"/>
      <c r="J2365" s="11" t="n"/>
      <c r="K2365" s="11" t="n"/>
      <c r="L2365" s="11" t="n"/>
      <c r="M2365" s="11" t="n"/>
      <c r="N2365" s="11" t="n"/>
      <c r="O2365" s="12" t="n"/>
    </row>
    <row r="2366">
      <c r="A2366" s="11" t="n"/>
      <c r="B2366" s="11" t="n"/>
      <c r="C2366" s="11" t="n"/>
      <c r="D2366" s="11" t="n"/>
      <c r="E2366" s="11" t="n"/>
      <c r="F2366" s="11" t="n"/>
      <c r="G2366" s="11" t="n"/>
      <c r="H2366" s="11" t="n"/>
      <c r="I2366" s="11" t="n"/>
      <c r="J2366" s="11" t="n"/>
      <c r="K2366" s="11" t="n"/>
      <c r="L2366" s="11" t="n"/>
      <c r="M2366" s="11" t="n"/>
      <c r="N2366" s="11" t="n"/>
      <c r="O2366" s="12" t="n"/>
    </row>
    <row r="2367">
      <c r="A2367" s="11" t="n"/>
      <c r="B2367" s="11" t="n"/>
      <c r="C2367" s="11" t="n"/>
      <c r="D2367" s="11" t="n"/>
      <c r="E2367" s="11" t="n"/>
      <c r="F2367" s="11" t="n"/>
      <c r="G2367" s="11" t="n"/>
      <c r="H2367" s="11" t="n"/>
      <c r="I2367" s="11" t="n"/>
      <c r="J2367" s="11" t="n"/>
      <c r="K2367" s="11" t="n"/>
      <c r="L2367" s="11" t="n"/>
      <c r="M2367" s="11" t="n"/>
      <c r="N2367" s="11" t="n"/>
      <c r="O2367" s="12" t="n"/>
    </row>
    <row r="2368">
      <c r="A2368" s="11" t="n"/>
      <c r="B2368" s="11" t="n"/>
      <c r="C2368" s="11" t="n"/>
      <c r="D2368" s="11" t="n"/>
      <c r="E2368" s="11" t="n"/>
      <c r="F2368" s="11" t="n"/>
      <c r="G2368" s="11" t="n"/>
      <c r="H2368" s="11" t="n"/>
      <c r="I2368" s="11" t="n"/>
      <c r="J2368" s="11" t="n"/>
      <c r="K2368" s="11" t="n"/>
      <c r="L2368" s="11" t="n"/>
      <c r="M2368" s="11" t="n"/>
      <c r="N2368" s="11" t="n"/>
      <c r="O2368" s="12" t="n"/>
    </row>
    <row r="2369">
      <c r="A2369" s="11" t="n"/>
      <c r="B2369" s="11" t="n"/>
      <c r="C2369" s="11" t="n"/>
      <c r="D2369" s="11" t="n"/>
      <c r="E2369" s="11" t="n"/>
      <c r="F2369" s="11" t="n"/>
      <c r="G2369" s="11" t="n"/>
      <c r="H2369" s="11" t="n"/>
      <c r="I2369" s="11" t="n"/>
      <c r="J2369" s="11" t="n"/>
      <c r="K2369" s="11" t="n"/>
      <c r="L2369" s="11" t="n"/>
      <c r="M2369" s="11" t="n"/>
      <c r="N2369" s="11" t="n"/>
      <c r="O2369" s="12" t="n"/>
    </row>
    <row r="2370">
      <c r="A2370" s="11" t="n"/>
      <c r="B2370" s="11" t="n"/>
      <c r="C2370" s="11" t="n"/>
      <c r="D2370" s="11" t="n"/>
      <c r="E2370" s="11" t="n"/>
      <c r="F2370" s="11" t="n"/>
      <c r="G2370" s="11" t="n"/>
      <c r="H2370" s="11" t="n"/>
      <c r="I2370" s="11" t="n"/>
      <c r="J2370" s="11" t="n"/>
      <c r="K2370" s="11" t="n"/>
      <c r="L2370" s="11" t="n"/>
      <c r="M2370" s="11" t="n"/>
      <c r="N2370" s="11" t="n"/>
      <c r="O2370" s="12" t="n"/>
    </row>
    <row r="2371">
      <c r="A2371" s="11" t="n"/>
      <c r="B2371" s="11" t="n"/>
      <c r="C2371" s="11" t="n"/>
      <c r="D2371" s="11" t="n"/>
      <c r="E2371" s="11" t="n"/>
      <c r="F2371" s="11" t="n"/>
      <c r="G2371" s="11" t="n"/>
      <c r="H2371" s="11" t="n"/>
      <c r="I2371" s="11" t="n"/>
      <c r="J2371" s="11" t="n"/>
      <c r="K2371" s="11" t="n"/>
      <c r="L2371" s="11" t="n"/>
      <c r="M2371" s="11" t="n"/>
      <c r="N2371" s="11" t="n"/>
      <c r="O2371" s="12" t="n"/>
    </row>
    <row r="2372">
      <c r="A2372" s="11" t="n"/>
      <c r="B2372" s="11" t="n"/>
      <c r="C2372" s="11" t="n"/>
      <c r="D2372" s="11" t="n"/>
      <c r="E2372" s="11" t="n"/>
      <c r="F2372" s="11" t="n"/>
      <c r="G2372" s="11" t="n"/>
      <c r="H2372" s="11" t="n"/>
      <c r="I2372" s="11" t="n"/>
      <c r="J2372" s="11" t="n"/>
      <c r="K2372" s="11" t="n"/>
      <c r="L2372" s="11" t="n"/>
      <c r="M2372" s="11" t="n"/>
      <c r="N2372" s="11" t="n"/>
      <c r="O2372" s="12" t="n"/>
    </row>
    <row r="2373">
      <c r="A2373" s="11" t="n"/>
      <c r="B2373" s="11" t="n"/>
      <c r="C2373" s="11" t="n"/>
      <c r="D2373" s="11" t="n"/>
      <c r="E2373" s="11" t="n"/>
      <c r="F2373" s="11" t="n"/>
      <c r="G2373" s="11" t="n"/>
      <c r="H2373" s="11" t="n"/>
      <c r="I2373" s="11" t="n"/>
      <c r="J2373" s="11" t="n"/>
      <c r="K2373" s="11" t="n"/>
      <c r="L2373" s="11" t="n"/>
      <c r="M2373" s="11" t="n"/>
      <c r="N2373" s="11" t="n"/>
      <c r="O2373" s="12" t="n"/>
    </row>
    <row r="2374">
      <c r="A2374" s="11" t="n"/>
      <c r="B2374" s="11" t="n"/>
      <c r="C2374" s="11" t="n"/>
      <c r="D2374" s="11" t="n"/>
      <c r="E2374" s="11" t="n"/>
      <c r="F2374" s="11" t="n"/>
      <c r="G2374" s="11" t="n"/>
      <c r="H2374" s="11" t="n"/>
      <c r="I2374" s="11" t="n"/>
      <c r="J2374" s="11" t="n"/>
      <c r="K2374" s="11" t="n"/>
      <c r="L2374" s="11" t="n"/>
      <c r="M2374" s="11" t="n"/>
      <c r="N2374" s="11" t="n"/>
      <c r="O2374" s="12" t="n"/>
    </row>
    <row r="2375">
      <c r="A2375" s="11" t="n"/>
      <c r="B2375" s="11" t="n"/>
      <c r="C2375" s="11" t="n"/>
      <c r="D2375" s="11" t="n"/>
      <c r="E2375" s="11" t="n"/>
      <c r="F2375" s="11" t="n"/>
      <c r="G2375" s="11" t="n"/>
      <c r="H2375" s="11" t="n"/>
      <c r="I2375" s="11" t="n"/>
      <c r="J2375" s="11" t="n"/>
      <c r="K2375" s="11" t="n"/>
      <c r="L2375" s="11" t="n"/>
      <c r="M2375" s="11" t="n"/>
      <c r="N2375" s="11" t="n"/>
      <c r="O2375" s="12" t="n"/>
    </row>
    <row r="2376">
      <c r="A2376" s="11" t="n"/>
      <c r="B2376" s="11" t="n"/>
      <c r="C2376" s="11" t="n"/>
      <c r="D2376" s="11" t="n"/>
      <c r="E2376" s="11" t="n"/>
      <c r="F2376" s="11" t="n"/>
      <c r="G2376" s="11" t="n"/>
      <c r="H2376" s="11" t="n"/>
      <c r="I2376" s="11" t="n"/>
      <c r="J2376" s="11" t="n"/>
      <c r="K2376" s="11" t="n"/>
      <c r="L2376" s="11" t="n"/>
      <c r="M2376" s="11" t="n"/>
      <c r="N2376" s="11" t="n"/>
      <c r="O2376" s="12" t="n"/>
    </row>
    <row r="2377">
      <c r="A2377" s="11" t="n"/>
      <c r="B2377" s="11" t="n"/>
      <c r="C2377" s="11" t="n"/>
      <c r="D2377" s="11" t="n"/>
      <c r="E2377" s="11" t="n"/>
      <c r="F2377" s="11" t="n"/>
      <c r="G2377" s="11" t="n"/>
      <c r="H2377" s="11" t="n"/>
      <c r="I2377" s="11" t="n"/>
      <c r="J2377" s="11" t="n"/>
      <c r="K2377" s="11" t="n"/>
      <c r="L2377" s="11" t="n"/>
      <c r="M2377" s="11" t="n"/>
      <c r="N2377" s="11" t="n"/>
      <c r="O2377" s="12" t="n"/>
    </row>
    <row r="2378">
      <c r="A2378" s="11" t="n"/>
      <c r="B2378" s="11" t="n"/>
      <c r="C2378" s="11" t="n"/>
      <c r="D2378" s="11" t="n"/>
      <c r="E2378" s="11" t="n"/>
      <c r="F2378" s="11" t="n"/>
      <c r="G2378" s="11" t="n"/>
      <c r="H2378" s="11" t="n"/>
      <c r="I2378" s="11" t="n"/>
      <c r="J2378" s="11" t="n"/>
      <c r="K2378" s="11" t="n"/>
      <c r="L2378" s="11" t="n"/>
      <c r="M2378" s="11" t="n"/>
      <c r="N2378" s="11" t="n"/>
      <c r="O2378" s="12" t="n"/>
    </row>
    <row r="2379">
      <c r="A2379" s="11" t="n"/>
      <c r="B2379" s="11" t="n"/>
      <c r="C2379" s="11" t="n"/>
      <c r="D2379" s="11" t="n"/>
      <c r="E2379" s="11" t="n"/>
      <c r="F2379" s="11" t="n"/>
      <c r="G2379" s="11" t="n"/>
      <c r="H2379" s="11" t="n"/>
      <c r="I2379" s="11" t="n"/>
      <c r="J2379" s="11" t="n"/>
      <c r="K2379" s="11" t="n"/>
      <c r="L2379" s="11" t="n"/>
      <c r="M2379" s="11" t="n"/>
      <c r="N2379" s="11" t="n"/>
      <c r="O2379" s="12" t="n"/>
    </row>
    <row r="2380">
      <c r="A2380" s="11" t="n"/>
      <c r="B2380" s="11" t="n"/>
      <c r="C2380" s="11" t="n"/>
      <c r="D2380" s="11" t="n"/>
      <c r="E2380" s="11" t="n"/>
      <c r="F2380" s="11" t="n"/>
      <c r="G2380" s="11" t="n"/>
      <c r="H2380" s="11" t="n"/>
      <c r="I2380" s="11" t="n"/>
      <c r="J2380" s="11" t="n"/>
      <c r="K2380" s="11" t="n"/>
      <c r="L2380" s="11" t="n"/>
      <c r="M2380" s="11" t="n"/>
      <c r="N2380" s="11" t="n"/>
      <c r="O2380" s="12" t="n"/>
    </row>
    <row r="2381">
      <c r="A2381" s="11" t="n"/>
      <c r="B2381" s="11" t="n"/>
      <c r="C2381" s="11" t="n"/>
      <c r="D2381" s="11" t="n"/>
      <c r="E2381" s="11" t="n"/>
      <c r="F2381" s="11" t="n"/>
      <c r="G2381" s="11" t="n"/>
      <c r="H2381" s="11" t="n"/>
      <c r="I2381" s="11" t="n"/>
      <c r="J2381" s="11" t="n"/>
      <c r="K2381" s="11" t="n"/>
      <c r="L2381" s="11" t="n"/>
      <c r="M2381" s="11" t="n"/>
      <c r="N2381" s="11" t="n"/>
      <c r="O2381" s="12" t="n"/>
    </row>
    <row r="2382">
      <c r="A2382" s="11" t="n"/>
      <c r="B2382" s="11" t="n"/>
      <c r="C2382" s="11" t="n"/>
      <c r="D2382" s="11" t="n"/>
      <c r="E2382" s="11" t="n"/>
      <c r="F2382" s="11" t="n"/>
      <c r="G2382" s="11" t="n"/>
      <c r="H2382" s="11" t="n"/>
      <c r="I2382" s="11" t="n"/>
      <c r="J2382" s="11" t="n"/>
      <c r="K2382" s="11" t="n"/>
      <c r="L2382" s="11" t="n"/>
      <c r="M2382" s="11" t="n"/>
      <c r="N2382" s="11" t="n"/>
      <c r="O2382" s="12" t="n"/>
    </row>
    <row r="2383">
      <c r="A2383" s="11" t="n"/>
      <c r="B2383" s="11" t="n"/>
      <c r="C2383" s="11" t="n"/>
      <c r="D2383" s="11" t="n"/>
      <c r="E2383" s="11" t="n"/>
      <c r="F2383" s="11" t="n"/>
      <c r="G2383" s="11" t="n"/>
      <c r="H2383" s="11" t="n"/>
      <c r="I2383" s="11" t="n"/>
      <c r="J2383" s="11" t="n"/>
      <c r="K2383" s="11" t="n"/>
      <c r="L2383" s="11" t="n"/>
      <c r="M2383" s="11" t="n"/>
      <c r="N2383" s="11" t="n"/>
      <c r="O2383" s="12" t="n"/>
    </row>
    <row r="2384">
      <c r="A2384" s="11" t="n"/>
      <c r="B2384" s="11" t="n"/>
      <c r="C2384" s="11" t="n"/>
      <c r="D2384" s="11" t="n"/>
      <c r="E2384" s="11" t="n"/>
      <c r="F2384" s="11" t="n"/>
      <c r="G2384" s="11" t="n"/>
      <c r="H2384" s="11" t="n"/>
      <c r="I2384" s="11" t="n"/>
      <c r="J2384" s="11" t="n"/>
      <c r="K2384" s="11" t="n"/>
      <c r="L2384" s="11" t="n"/>
      <c r="M2384" s="11" t="n"/>
      <c r="N2384" s="11" t="n"/>
      <c r="O2384" s="12" t="n"/>
    </row>
    <row r="2385">
      <c r="A2385" s="11" t="n"/>
      <c r="B2385" s="11" t="n"/>
      <c r="C2385" s="11" t="n"/>
      <c r="D2385" s="11" t="n"/>
      <c r="E2385" s="11" t="n"/>
      <c r="F2385" s="11" t="n"/>
      <c r="G2385" s="11" t="n"/>
      <c r="H2385" s="11" t="n"/>
      <c r="I2385" s="11" t="n"/>
      <c r="J2385" s="11" t="n"/>
      <c r="K2385" s="11" t="n"/>
      <c r="L2385" s="11" t="n"/>
      <c r="M2385" s="11" t="n"/>
      <c r="N2385" s="11" t="n"/>
      <c r="O2385" s="12" t="n"/>
    </row>
    <row r="2386">
      <c r="A2386" s="11" t="n"/>
      <c r="B2386" s="11" t="n"/>
      <c r="C2386" s="11" t="n"/>
      <c r="D2386" s="11" t="n"/>
      <c r="E2386" s="11" t="n"/>
      <c r="F2386" s="11" t="n"/>
      <c r="G2386" s="11" t="n"/>
      <c r="H2386" s="11" t="n"/>
      <c r="I2386" s="11" t="n"/>
      <c r="J2386" s="11" t="n"/>
      <c r="K2386" s="11" t="n"/>
      <c r="L2386" s="11" t="n"/>
      <c r="M2386" s="11" t="n"/>
      <c r="N2386" s="11" t="n"/>
      <c r="O2386" s="12" t="n"/>
    </row>
    <row r="2387">
      <c r="A2387" s="11" t="n"/>
      <c r="B2387" s="11" t="n"/>
      <c r="C2387" s="11" t="n"/>
      <c r="D2387" s="11" t="n"/>
      <c r="E2387" s="11" t="n"/>
      <c r="F2387" s="11" t="n"/>
      <c r="G2387" s="11" t="n"/>
      <c r="H2387" s="11" t="n"/>
      <c r="I2387" s="11" t="n"/>
      <c r="J2387" s="11" t="n"/>
      <c r="K2387" s="11" t="n"/>
      <c r="L2387" s="11" t="n"/>
      <c r="M2387" s="11" t="n"/>
      <c r="N2387" s="11" t="n"/>
      <c r="O2387" s="12" t="n"/>
    </row>
    <row r="2388">
      <c r="A2388" s="11" t="n"/>
      <c r="B2388" s="11" t="n"/>
      <c r="C2388" s="11" t="n"/>
      <c r="D2388" s="11" t="n"/>
      <c r="E2388" s="11" t="n"/>
      <c r="F2388" s="11" t="n"/>
      <c r="G2388" s="11" t="n"/>
      <c r="H2388" s="11" t="n"/>
      <c r="I2388" s="11" t="n"/>
      <c r="J2388" s="11" t="n"/>
      <c r="K2388" s="11" t="n"/>
      <c r="L2388" s="11" t="n"/>
      <c r="M2388" s="11" t="n"/>
      <c r="N2388" s="11" t="n"/>
      <c r="O2388" s="12" t="n"/>
    </row>
    <row r="2389">
      <c r="A2389" s="11" t="n"/>
      <c r="B2389" s="11" t="n"/>
      <c r="C2389" s="11" t="n"/>
      <c r="D2389" s="11" t="n"/>
      <c r="E2389" s="11" t="n"/>
      <c r="F2389" s="11" t="n"/>
      <c r="G2389" s="11" t="n"/>
      <c r="H2389" s="11" t="n"/>
      <c r="I2389" s="11" t="n"/>
      <c r="J2389" s="11" t="n"/>
      <c r="K2389" s="11" t="n"/>
      <c r="L2389" s="11" t="n"/>
      <c r="M2389" s="11" t="n"/>
      <c r="N2389" s="11" t="n"/>
      <c r="O2389" s="12" t="n"/>
    </row>
    <row r="2390">
      <c r="A2390" s="11" t="n"/>
      <c r="B2390" s="11" t="n"/>
      <c r="C2390" s="11" t="n"/>
      <c r="D2390" s="11" t="n"/>
      <c r="E2390" s="11" t="n"/>
      <c r="F2390" s="11" t="n"/>
      <c r="G2390" s="11" t="n"/>
      <c r="H2390" s="11" t="n"/>
      <c r="I2390" s="11" t="n"/>
      <c r="J2390" s="11" t="n"/>
      <c r="K2390" s="11" t="n"/>
      <c r="L2390" s="11" t="n"/>
      <c r="M2390" s="11" t="n"/>
      <c r="N2390" s="11" t="n"/>
      <c r="O2390" s="12" t="n"/>
    </row>
    <row r="2391">
      <c r="A2391" s="11" t="n"/>
      <c r="B2391" s="11" t="n"/>
      <c r="C2391" s="11" t="n"/>
      <c r="D2391" s="11" t="n"/>
      <c r="E2391" s="11" t="n"/>
      <c r="F2391" s="11" t="n"/>
      <c r="G2391" s="11" t="n"/>
      <c r="H2391" s="11" t="n"/>
      <c r="I2391" s="11" t="n"/>
      <c r="J2391" s="11" t="n"/>
      <c r="K2391" s="11" t="n"/>
      <c r="L2391" s="11" t="n"/>
      <c r="M2391" s="11" t="n"/>
      <c r="N2391" s="11" t="n"/>
      <c r="O2391" s="12" t="n"/>
    </row>
    <row r="2392">
      <c r="A2392" s="11" t="n"/>
      <c r="B2392" s="11" t="n"/>
      <c r="C2392" s="11" t="n"/>
      <c r="D2392" s="11" t="n"/>
      <c r="E2392" s="11" t="n"/>
      <c r="F2392" s="11" t="n"/>
      <c r="G2392" s="11" t="n"/>
      <c r="H2392" s="11" t="n"/>
      <c r="I2392" s="11" t="n"/>
      <c r="J2392" s="11" t="n"/>
      <c r="K2392" s="11" t="n"/>
      <c r="L2392" s="11" t="n"/>
      <c r="M2392" s="11" t="n"/>
      <c r="N2392" s="11" t="n"/>
      <c r="O2392" s="12" t="n"/>
    </row>
    <row r="2393">
      <c r="A2393" s="11" t="n"/>
      <c r="B2393" s="11" t="n"/>
      <c r="C2393" s="11" t="n"/>
      <c r="D2393" s="11" t="n"/>
      <c r="E2393" s="11" t="n"/>
      <c r="F2393" s="11" t="n"/>
      <c r="G2393" s="11" t="n"/>
      <c r="H2393" s="11" t="n"/>
      <c r="I2393" s="11" t="n"/>
      <c r="J2393" s="11" t="n"/>
      <c r="K2393" s="11" t="n"/>
      <c r="L2393" s="11" t="n"/>
      <c r="M2393" s="11" t="n"/>
      <c r="N2393" s="11" t="n"/>
      <c r="O2393" s="12" t="n"/>
    </row>
    <row r="2394">
      <c r="A2394" s="11" t="n"/>
      <c r="B2394" s="11" t="n"/>
      <c r="C2394" s="11" t="n"/>
      <c r="D2394" s="11" t="n"/>
      <c r="E2394" s="11" t="n"/>
      <c r="F2394" s="11" t="n"/>
      <c r="G2394" s="11" t="n"/>
      <c r="H2394" s="11" t="n"/>
      <c r="I2394" s="11" t="n"/>
      <c r="J2394" s="11" t="n"/>
      <c r="K2394" s="11" t="n"/>
      <c r="L2394" s="11" t="n"/>
      <c r="M2394" s="11" t="n"/>
      <c r="N2394" s="11" t="n"/>
      <c r="O2394" s="12" t="n"/>
    </row>
    <row r="2395">
      <c r="A2395" s="11" t="n"/>
      <c r="B2395" s="11" t="n"/>
      <c r="C2395" s="11" t="n"/>
      <c r="D2395" s="11" t="n"/>
      <c r="E2395" s="11" t="n"/>
      <c r="F2395" s="11" t="n"/>
      <c r="G2395" s="11" t="n"/>
      <c r="H2395" s="11" t="n"/>
      <c r="I2395" s="11" t="n"/>
      <c r="J2395" s="11" t="n"/>
      <c r="K2395" s="11" t="n"/>
      <c r="L2395" s="11" t="n"/>
      <c r="M2395" s="11" t="n"/>
      <c r="N2395" s="11" t="n"/>
      <c r="O2395" s="12" t="n"/>
    </row>
    <row r="2396">
      <c r="A2396" s="11" t="n"/>
      <c r="B2396" s="11" t="n"/>
      <c r="C2396" s="11" t="n"/>
      <c r="D2396" s="11" t="n"/>
      <c r="E2396" s="11" t="n"/>
      <c r="F2396" s="11" t="n"/>
      <c r="G2396" s="11" t="n"/>
      <c r="H2396" s="11" t="n"/>
      <c r="I2396" s="11" t="n"/>
      <c r="J2396" s="11" t="n"/>
      <c r="K2396" s="11" t="n"/>
      <c r="L2396" s="11" t="n"/>
      <c r="M2396" s="11" t="n"/>
      <c r="N2396" s="11" t="n"/>
      <c r="O2396" s="12" t="n"/>
    </row>
    <row r="2397">
      <c r="A2397" s="11" t="n"/>
      <c r="B2397" s="11" t="n"/>
      <c r="C2397" s="11" t="n"/>
      <c r="D2397" s="11" t="n"/>
      <c r="E2397" s="11" t="n"/>
      <c r="F2397" s="11" t="n"/>
      <c r="G2397" s="11" t="n"/>
      <c r="H2397" s="11" t="n"/>
      <c r="I2397" s="11" t="n"/>
      <c r="J2397" s="11" t="n"/>
      <c r="K2397" s="11" t="n"/>
      <c r="L2397" s="11" t="n"/>
      <c r="M2397" s="11" t="n"/>
      <c r="N2397" s="11" t="n"/>
      <c r="O2397" s="12" t="n"/>
    </row>
    <row r="2398">
      <c r="A2398" s="11" t="n"/>
      <c r="B2398" s="11" t="n"/>
      <c r="C2398" s="11" t="n"/>
      <c r="D2398" s="11" t="n"/>
      <c r="E2398" s="11" t="n"/>
      <c r="F2398" s="11" t="n"/>
      <c r="G2398" s="11" t="n"/>
      <c r="H2398" s="11" t="n"/>
      <c r="I2398" s="11" t="n"/>
      <c r="J2398" s="11" t="n"/>
      <c r="K2398" s="11" t="n"/>
      <c r="L2398" s="11" t="n"/>
      <c r="M2398" s="11" t="n"/>
      <c r="N2398" s="11" t="n"/>
      <c r="O2398" s="12" t="n"/>
    </row>
    <row r="2399">
      <c r="A2399" s="11" t="n"/>
      <c r="B2399" s="11" t="n"/>
      <c r="C2399" s="11" t="n"/>
      <c r="D2399" s="11" t="n"/>
      <c r="E2399" s="11" t="n"/>
      <c r="F2399" s="11" t="n"/>
      <c r="G2399" s="11" t="n"/>
      <c r="H2399" s="11" t="n"/>
      <c r="I2399" s="11" t="n"/>
      <c r="J2399" s="11" t="n"/>
      <c r="K2399" s="11" t="n"/>
      <c r="L2399" s="11" t="n"/>
      <c r="M2399" s="11" t="n"/>
      <c r="N2399" s="11" t="n"/>
      <c r="O2399" s="12" t="n"/>
    </row>
    <row r="2400">
      <c r="A2400" s="11" t="n"/>
      <c r="B2400" s="11" t="n"/>
      <c r="C2400" s="11" t="n"/>
      <c r="D2400" s="11" t="n"/>
      <c r="E2400" s="11" t="n"/>
      <c r="F2400" s="11" t="n"/>
      <c r="G2400" s="11" t="n"/>
      <c r="H2400" s="11" t="n"/>
      <c r="I2400" s="11" t="n"/>
      <c r="J2400" s="11" t="n"/>
      <c r="K2400" s="11" t="n"/>
      <c r="L2400" s="11" t="n"/>
      <c r="M2400" s="11" t="n"/>
      <c r="N2400" s="11" t="n"/>
      <c r="O2400" s="12" t="n"/>
    </row>
    <row r="2401">
      <c r="A2401" s="11" t="n"/>
      <c r="B2401" s="11" t="n"/>
      <c r="C2401" s="11" t="n"/>
      <c r="D2401" s="11" t="n"/>
      <c r="E2401" s="11" t="n"/>
      <c r="F2401" s="11" t="n"/>
      <c r="G2401" s="11" t="n"/>
      <c r="H2401" s="11" t="n"/>
      <c r="I2401" s="11" t="n"/>
      <c r="J2401" s="11" t="n"/>
      <c r="K2401" s="11" t="n"/>
      <c r="L2401" s="11" t="n"/>
      <c r="M2401" s="11" t="n"/>
      <c r="N2401" s="11" t="n"/>
      <c r="O2401" s="12" t="n"/>
    </row>
    <row r="2402">
      <c r="A2402" s="11" t="n"/>
      <c r="B2402" s="11" t="n"/>
      <c r="C2402" s="11" t="n"/>
      <c r="D2402" s="11" t="n"/>
      <c r="E2402" s="11" t="n"/>
      <c r="F2402" s="11" t="n"/>
      <c r="G2402" s="11" t="n"/>
      <c r="H2402" s="11" t="n"/>
      <c r="I2402" s="11" t="n"/>
      <c r="J2402" s="11" t="n"/>
      <c r="K2402" s="11" t="n"/>
      <c r="L2402" s="11" t="n"/>
      <c r="M2402" s="11" t="n"/>
      <c r="N2402" s="11" t="n"/>
      <c r="O2402" s="12" t="n"/>
    </row>
    <row r="2403">
      <c r="A2403" s="11" t="n"/>
      <c r="B2403" s="11" t="n"/>
      <c r="C2403" s="11" t="n"/>
      <c r="D2403" s="11" t="n"/>
      <c r="E2403" s="11" t="n"/>
      <c r="F2403" s="11" t="n"/>
      <c r="G2403" s="11" t="n"/>
      <c r="H2403" s="11" t="n"/>
      <c r="I2403" s="11" t="n"/>
      <c r="J2403" s="11" t="n"/>
      <c r="K2403" s="11" t="n"/>
      <c r="L2403" s="11" t="n"/>
      <c r="M2403" s="11" t="n"/>
      <c r="N2403" s="11" t="n"/>
      <c r="O2403" s="12" t="n"/>
    </row>
    <row r="2404">
      <c r="A2404" s="11" t="n"/>
      <c r="B2404" s="11" t="n"/>
      <c r="C2404" s="11" t="n"/>
      <c r="D2404" s="11" t="n"/>
      <c r="E2404" s="11" t="n"/>
      <c r="F2404" s="11" t="n"/>
      <c r="G2404" s="11" t="n"/>
      <c r="H2404" s="11" t="n"/>
      <c r="I2404" s="11" t="n"/>
      <c r="J2404" s="11" t="n"/>
      <c r="K2404" s="11" t="n"/>
      <c r="L2404" s="11" t="n"/>
      <c r="M2404" s="11" t="n"/>
      <c r="N2404" s="11" t="n"/>
      <c r="O2404" s="12" t="n"/>
    </row>
    <row r="2405">
      <c r="A2405" s="11" t="n"/>
      <c r="B2405" s="11" t="n"/>
      <c r="C2405" s="11" t="n"/>
      <c r="D2405" s="11" t="n"/>
      <c r="E2405" s="11" t="n"/>
      <c r="F2405" s="11" t="n"/>
      <c r="G2405" s="11" t="n"/>
      <c r="H2405" s="11" t="n"/>
      <c r="I2405" s="11" t="n"/>
      <c r="J2405" s="11" t="n"/>
      <c r="K2405" s="11" t="n"/>
      <c r="L2405" s="11" t="n"/>
      <c r="M2405" s="11" t="n"/>
      <c r="N2405" s="11" t="n"/>
      <c r="O2405" s="12" t="n"/>
    </row>
    <row r="2406">
      <c r="A2406" s="11" t="n"/>
      <c r="B2406" s="11" t="n"/>
      <c r="C2406" s="11" t="n"/>
      <c r="D2406" s="11" t="n"/>
      <c r="E2406" s="11" t="n"/>
      <c r="F2406" s="11" t="n"/>
      <c r="G2406" s="11" t="n"/>
      <c r="H2406" s="11" t="n"/>
      <c r="I2406" s="11" t="n"/>
      <c r="J2406" s="11" t="n"/>
      <c r="K2406" s="11" t="n"/>
      <c r="L2406" s="11" t="n"/>
      <c r="M2406" s="11" t="n"/>
      <c r="N2406" s="11" t="n"/>
      <c r="O2406" s="12" t="n"/>
    </row>
    <row r="2407">
      <c r="A2407" s="11" t="n"/>
      <c r="B2407" s="11" t="n"/>
      <c r="C2407" s="11" t="n"/>
      <c r="D2407" s="11" t="n"/>
      <c r="E2407" s="11" t="n"/>
      <c r="F2407" s="11" t="n"/>
      <c r="G2407" s="11" t="n"/>
      <c r="H2407" s="11" t="n"/>
      <c r="I2407" s="11" t="n"/>
      <c r="J2407" s="11" t="n"/>
      <c r="K2407" s="11" t="n"/>
      <c r="L2407" s="11" t="n"/>
      <c r="M2407" s="11" t="n"/>
      <c r="N2407" s="11" t="n"/>
      <c r="O2407" s="12" t="n"/>
    </row>
    <row r="2408">
      <c r="A2408" s="11" t="n"/>
      <c r="B2408" s="11" t="n"/>
      <c r="C2408" s="11" t="n"/>
      <c r="D2408" s="11" t="n"/>
      <c r="E2408" s="11" t="n"/>
      <c r="F2408" s="11" t="n"/>
      <c r="G2408" s="11" t="n"/>
      <c r="H2408" s="11" t="n"/>
      <c r="I2408" s="11" t="n"/>
      <c r="J2408" s="11" t="n"/>
      <c r="K2408" s="11" t="n"/>
      <c r="L2408" s="11" t="n"/>
      <c r="M2408" s="11" t="n"/>
      <c r="N2408" s="11" t="n"/>
      <c r="O2408" s="12" t="n"/>
    </row>
    <row r="2409">
      <c r="A2409" s="11" t="n"/>
      <c r="B2409" s="11" t="n"/>
      <c r="C2409" s="11" t="n"/>
      <c r="D2409" s="11" t="n"/>
      <c r="E2409" s="11" t="n"/>
      <c r="F2409" s="11" t="n"/>
      <c r="G2409" s="11" t="n"/>
      <c r="H2409" s="11" t="n"/>
      <c r="I2409" s="11" t="n"/>
      <c r="J2409" s="11" t="n"/>
      <c r="K2409" s="11" t="n"/>
      <c r="L2409" s="11" t="n"/>
      <c r="M2409" s="11" t="n"/>
      <c r="N2409" s="11" t="n"/>
      <c r="O2409" s="12" t="n"/>
    </row>
    <row r="2410">
      <c r="A2410" s="11" t="n"/>
      <c r="B2410" s="11" t="n"/>
      <c r="C2410" s="11" t="n"/>
      <c r="D2410" s="11" t="n"/>
      <c r="E2410" s="11" t="n"/>
      <c r="F2410" s="11" t="n"/>
      <c r="G2410" s="11" t="n"/>
      <c r="H2410" s="11" t="n"/>
      <c r="I2410" s="11" t="n"/>
      <c r="J2410" s="11" t="n"/>
      <c r="K2410" s="11" t="n"/>
      <c r="L2410" s="11" t="n"/>
      <c r="M2410" s="11" t="n"/>
      <c r="N2410" s="11" t="n"/>
      <c r="O2410" s="12" t="n"/>
    </row>
    <row r="2411">
      <c r="A2411" s="11" t="n"/>
      <c r="B2411" s="11" t="n"/>
      <c r="C2411" s="11" t="n"/>
      <c r="D2411" s="11" t="n"/>
      <c r="E2411" s="11" t="n"/>
      <c r="F2411" s="11" t="n"/>
      <c r="G2411" s="11" t="n"/>
      <c r="H2411" s="11" t="n"/>
      <c r="I2411" s="11" t="n"/>
      <c r="J2411" s="11" t="n"/>
      <c r="K2411" s="11" t="n"/>
      <c r="L2411" s="11" t="n"/>
      <c r="M2411" s="11" t="n"/>
      <c r="N2411" s="11" t="n"/>
      <c r="O2411" s="12" t="n"/>
    </row>
    <row r="2412">
      <c r="A2412" s="11" t="n"/>
      <c r="B2412" s="11" t="n"/>
      <c r="C2412" s="11" t="n"/>
      <c r="D2412" s="11" t="n"/>
      <c r="E2412" s="11" t="n"/>
      <c r="F2412" s="11" t="n"/>
      <c r="G2412" s="11" t="n"/>
      <c r="H2412" s="11" t="n"/>
      <c r="I2412" s="11" t="n"/>
      <c r="J2412" s="11" t="n"/>
      <c r="K2412" s="11" t="n"/>
      <c r="L2412" s="11" t="n"/>
      <c r="M2412" s="11" t="n"/>
      <c r="N2412" s="11" t="n"/>
      <c r="O2412" s="12" t="n"/>
    </row>
    <row r="2413">
      <c r="A2413" s="11" t="n"/>
      <c r="B2413" s="11" t="n"/>
      <c r="C2413" s="11" t="n"/>
      <c r="D2413" s="11" t="n"/>
      <c r="E2413" s="11" t="n"/>
      <c r="F2413" s="11" t="n"/>
      <c r="G2413" s="11" t="n"/>
      <c r="H2413" s="11" t="n"/>
      <c r="I2413" s="11" t="n"/>
      <c r="J2413" s="11" t="n"/>
      <c r="K2413" s="11" t="n"/>
      <c r="L2413" s="11" t="n"/>
      <c r="M2413" s="11" t="n"/>
      <c r="N2413" s="11" t="n"/>
      <c r="O2413" s="12" t="n"/>
    </row>
    <row r="2414">
      <c r="A2414" s="11" t="n"/>
      <c r="B2414" s="11" t="n"/>
      <c r="C2414" s="11" t="n"/>
      <c r="D2414" s="11" t="n"/>
      <c r="E2414" s="11" t="n"/>
      <c r="F2414" s="11" t="n"/>
      <c r="G2414" s="11" t="n"/>
      <c r="H2414" s="11" t="n"/>
      <c r="I2414" s="11" t="n"/>
      <c r="J2414" s="11" t="n"/>
      <c r="K2414" s="11" t="n"/>
      <c r="L2414" s="11" t="n"/>
      <c r="M2414" s="11" t="n"/>
      <c r="N2414" s="11" t="n"/>
      <c r="O2414" s="12" t="n"/>
    </row>
    <row r="2415">
      <c r="A2415" s="11" t="n"/>
      <c r="B2415" s="11" t="n"/>
      <c r="C2415" s="11" t="n"/>
      <c r="D2415" s="11" t="n"/>
      <c r="E2415" s="11" t="n"/>
      <c r="F2415" s="11" t="n"/>
      <c r="G2415" s="11" t="n"/>
      <c r="H2415" s="11" t="n"/>
      <c r="I2415" s="11" t="n"/>
      <c r="J2415" s="11" t="n"/>
      <c r="K2415" s="11" t="n"/>
      <c r="L2415" s="11" t="n"/>
      <c r="M2415" s="11" t="n"/>
      <c r="N2415" s="11" t="n"/>
      <c r="O2415" s="12" t="n"/>
    </row>
    <row r="2416">
      <c r="A2416" s="11" t="n"/>
      <c r="B2416" s="11" t="n"/>
      <c r="C2416" s="11" t="n"/>
      <c r="D2416" s="11" t="n"/>
      <c r="E2416" s="11" t="n"/>
      <c r="F2416" s="11" t="n"/>
      <c r="G2416" s="11" t="n"/>
      <c r="H2416" s="11" t="n"/>
      <c r="I2416" s="11" t="n"/>
      <c r="J2416" s="11" t="n"/>
      <c r="K2416" s="11" t="n"/>
      <c r="L2416" s="11" t="n"/>
      <c r="M2416" s="11" t="n"/>
      <c r="N2416" s="11" t="n"/>
      <c r="O2416" s="12" t="n"/>
    </row>
    <row r="2417">
      <c r="A2417" s="11" t="n"/>
      <c r="B2417" s="11" t="n"/>
      <c r="C2417" s="11" t="n"/>
      <c r="D2417" s="11" t="n"/>
      <c r="E2417" s="11" t="n"/>
      <c r="F2417" s="11" t="n"/>
      <c r="G2417" s="11" t="n"/>
      <c r="H2417" s="11" t="n"/>
      <c r="I2417" s="11" t="n"/>
      <c r="J2417" s="11" t="n"/>
      <c r="K2417" s="11" t="n"/>
      <c r="L2417" s="11" t="n"/>
      <c r="M2417" s="11" t="n"/>
      <c r="N2417" s="11" t="n"/>
      <c r="O2417" s="12" t="n"/>
    </row>
    <row r="2418">
      <c r="A2418" s="11" t="n"/>
      <c r="B2418" s="11" t="n"/>
      <c r="C2418" s="11" t="n"/>
      <c r="D2418" s="11" t="n"/>
      <c r="E2418" s="11" t="n"/>
      <c r="F2418" s="11" t="n"/>
      <c r="G2418" s="11" t="n"/>
      <c r="H2418" s="11" t="n"/>
      <c r="I2418" s="11" t="n"/>
      <c r="J2418" s="11" t="n"/>
      <c r="K2418" s="11" t="n"/>
      <c r="L2418" s="11" t="n"/>
      <c r="M2418" s="11" t="n"/>
      <c r="N2418" s="11" t="n"/>
      <c r="O2418" s="12" t="n"/>
    </row>
    <row r="2419">
      <c r="A2419" s="11" t="n"/>
      <c r="B2419" s="11" t="n"/>
      <c r="C2419" s="11" t="n"/>
      <c r="D2419" s="11" t="n"/>
      <c r="E2419" s="11" t="n"/>
      <c r="F2419" s="11" t="n"/>
      <c r="G2419" s="11" t="n"/>
      <c r="H2419" s="11" t="n"/>
      <c r="I2419" s="11" t="n"/>
      <c r="J2419" s="11" t="n"/>
      <c r="K2419" s="11" t="n"/>
      <c r="L2419" s="11" t="n"/>
      <c r="M2419" s="11" t="n"/>
      <c r="N2419" s="11" t="n"/>
      <c r="O2419" s="12" t="n"/>
    </row>
    <row r="2420">
      <c r="A2420" s="11" t="n"/>
      <c r="B2420" s="11" t="n"/>
      <c r="C2420" s="11" t="n"/>
      <c r="D2420" s="11" t="n"/>
      <c r="E2420" s="11" t="n"/>
      <c r="F2420" s="11" t="n"/>
      <c r="G2420" s="11" t="n"/>
      <c r="H2420" s="11" t="n"/>
      <c r="I2420" s="11" t="n"/>
      <c r="J2420" s="11" t="n"/>
      <c r="K2420" s="11" t="n"/>
      <c r="L2420" s="11" t="n"/>
      <c r="M2420" s="11" t="n"/>
      <c r="N2420" s="11" t="n"/>
      <c r="O2420" s="12" t="n"/>
    </row>
    <row r="2421">
      <c r="A2421" s="11" t="n"/>
      <c r="B2421" s="11" t="n"/>
      <c r="C2421" s="11" t="n"/>
      <c r="D2421" s="11" t="n"/>
      <c r="E2421" s="11" t="n"/>
      <c r="F2421" s="11" t="n"/>
      <c r="G2421" s="11" t="n"/>
      <c r="H2421" s="11" t="n"/>
      <c r="I2421" s="11" t="n"/>
      <c r="J2421" s="11" t="n"/>
      <c r="K2421" s="11" t="n"/>
      <c r="L2421" s="11" t="n"/>
      <c r="M2421" s="11" t="n"/>
      <c r="N2421" s="11" t="n"/>
      <c r="O2421" s="12" t="n"/>
    </row>
    <row r="2422">
      <c r="A2422" s="11" t="n"/>
      <c r="B2422" s="11" t="n"/>
      <c r="C2422" s="11" t="n"/>
      <c r="D2422" s="11" t="n"/>
      <c r="E2422" s="11" t="n"/>
      <c r="F2422" s="11" t="n"/>
      <c r="G2422" s="11" t="n"/>
      <c r="H2422" s="11" t="n"/>
      <c r="I2422" s="11" t="n"/>
      <c r="J2422" s="11" t="n"/>
      <c r="K2422" s="11" t="n"/>
      <c r="L2422" s="11" t="n"/>
      <c r="M2422" s="11" t="n"/>
      <c r="N2422" s="11" t="n"/>
      <c r="O2422" s="12" t="n"/>
    </row>
    <row r="2423">
      <c r="A2423" s="11" t="n"/>
      <c r="B2423" s="11" t="n"/>
      <c r="C2423" s="11" t="n"/>
      <c r="D2423" s="11" t="n"/>
      <c r="E2423" s="11" t="n"/>
      <c r="F2423" s="11" t="n"/>
      <c r="G2423" s="11" t="n"/>
      <c r="H2423" s="11" t="n"/>
      <c r="I2423" s="11" t="n"/>
      <c r="J2423" s="11" t="n"/>
      <c r="K2423" s="11" t="n"/>
      <c r="L2423" s="11" t="n"/>
      <c r="M2423" s="11" t="n"/>
      <c r="N2423" s="11" t="n"/>
      <c r="O2423" s="12" t="n"/>
    </row>
    <row r="2424">
      <c r="A2424" s="11" t="n"/>
      <c r="B2424" s="11" t="n"/>
      <c r="C2424" s="11" t="n"/>
      <c r="D2424" s="11" t="n"/>
      <c r="E2424" s="11" t="n"/>
      <c r="F2424" s="11" t="n"/>
      <c r="G2424" s="11" t="n"/>
      <c r="H2424" s="11" t="n"/>
      <c r="I2424" s="11" t="n"/>
      <c r="J2424" s="11" t="n"/>
      <c r="K2424" s="11" t="n"/>
      <c r="L2424" s="11" t="n"/>
      <c r="M2424" s="11" t="n"/>
      <c r="N2424" s="11" t="n"/>
      <c r="O2424" s="12" t="n"/>
    </row>
    <row r="2425">
      <c r="A2425" s="11" t="n"/>
      <c r="B2425" s="11" t="n"/>
      <c r="C2425" s="11" t="n"/>
      <c r="D2425" s="11" t="n"/>
      <c r="E2425" s="11" t="n"/>
      <c r="F2425" s="11" t="n"/>
      <c r="G2425" s="11" t="n"/>
      <c r="H2425" s="11" t="n"/>
      <c r="I2425" s="11" t="n"/>
      <c r="J2425" s="11" t="n"/>
      <c r="K2425" s="11" t="n"/>
      <c r="L2425" s="11" t="n"/>
      <c r="M2425" s="11" t="n"/>
      <c r="N2425" s="11" t="n"/>
      <c r="O2425" s="12" t="n"/>
    </row>
    <row r="2426">
      <c r="A2426" s="11" t="n"/>
      <c r="B2426" s="11" t="n"/>
      <c r="C2426" s="11" t="n"/>
      <c r="D2426" s="11" t="n"/>
      <c r="E2426" s="11" t="n"/>
      <c r="F2426" s="11" t="n"/>
      <c r="G2426" s="11" t="n"/>
      <c r="H2426" s="11" t="n"/>
      <c r="I2426" s="11" t="n"/>
      <c r="J2426" s="11" t="n"/>
      <c r="K2426" s="11" t="n"/>
      <c r="L2426" s="11" t="n"/>
      <c r="M2426" s="11" t="n"/>
      <c r="N2426" s="11" t="n"/>
      <c r="O2426" s="12" t="n"/>
    </row>
    <row r="2427">
      <c r="A2427" s="11" t="n"/>
      <c r="B2427" s="11" t="n"/>
      <c r="C2427" s="11" t="n"/>
      <c r="D2427" s="11" t="n"/>
      <c r="E2427" s="11" t="n"/>
      <c r="F2427" s="11" t="n"/>
      <c r="G2427" s="11" t="n"/>
      <c r="H2427" s="11" t="n"/>
      <c r="I2427" s="11" t="n"/>
      <c r="J2427" s="11" t="n"/>
      <c r="K2427" s="11" t="n"/>
      <c r="L2427" s="11" t="n"/>
      <c r="M2427" s="11" t="n"/>
      <c r="N2427" s="11" t="n"/>
      <c r="O2427" s="12" t="n"/>
    </row>
    <row r="2428">
      <c r="A2428" s="11" t="n"/>
      <c r="B2428" s="11" t="n"/>
      <c r="C2428" s="11" t="n"/>
      <c r="D2428" s="11" t="n"/>
      <c r="E2428" s="11" t="n"/>
      <c r="F2428" s="11" t="n"/>
      <c r="G2428" s="11" t="n"/>
      <c r="H2428" s="11" t="n"/>
      <c r="I2428" s="11" t="n"/>
      <c r="J2428" s="11" t="n"/>
      <c r="K2428" s="11" t="n"/>
      <c r="L2428" s="11" t="n"/>
      <c r="M2428" s="11" t="n"/>
      <c r="N2428" s="11" t="n"/>
      <c r="O2428" s="12" t="n"/>
    </row>
    <row r="2429">
      <c r="A2429" s="11" t="n"/>
      <c r="B2429" s="11" t="n"/>
      <c r="C2429" s="11" t="n"/>
      <c r="D2429" s="11" t="n"/>
      <c r="E2429" s="11" t="n"/>
      <c r="F2429" s="11" t="n"/>
      <c r="G2429" s="11" t="n"/>
      <c r="H2429" s="11" t="n"/>
      <c r="I2429" s="11" t="n"/>
      <c r="J2429" s="11" t="n"/>
      <c r="K2429" s="11" t="n"/>
      <c r="L2429" s="11" t="n"/>
      <c r="M2429" s="11" t="n"/>
      <c r="N2429" s="11" t="n"/>
      <c r="O2429" s="12" t="n"/>
    </row>
    <row r="2430">
      <c r="A2430" s="11" t="n"/>
      <c r="B2430" s="11" t="n"/>
      <c r="C2430" s="11" t="n"/>
      <c r="D2430" s="11" t="n"/>
      <c r="E2430" s="11" t="n"/>
      <c r="F2430" s="11" t="n"/>
      <c r="G2430" s="11" t="n"/>
      <c r="H2430" s="11" t="n"/>
      <c r="I2430" s="11" t="n"/>
      <c r="J2430" s="11" t="n"/>
      <c r="K2430" s="11" t="n"/>
      <c r="L2430" s="11" t="n"/>
      <c r="M2430" s="11" t="n"/>
      <c r="N2430" s="11" t="n"/>
      <c r="O2430" s="12" t="n"/>
    </row>
    <row r="2431">
      <c r="A2431" s="11" t="n"/>
      <c r="B2431" s="11" t="n"/>
      <c r="C2431" s="11" t="n"/>
      <c r="D2431" s="11" t="n"/>
      <c r="E2431" s="11" t="n"/>
      <c r="F2431" s="11" t="n"/>
      <c r="G2431" s="11" t="n"/>
      <c r="H2431" s="11" t="n"/>
      <c r="I2431" s="11" t="n"/>
      <c r="J2431" s="11" t="n"/>
      <c r="K2431" s="11" t="n"/>
      <c r="L2431" s="11" t="n"/>
      <c r="M2431" s="11" t="n"/>
      <c r="N2431" s="11" t="n"/>
      <c r="O2431" s="12" t="n"/>
    </row>
    <row r="2432">
      <c r="A2432" s="11" t="n"/>
      <c r="B2432" s="11" t="n"/>
      <c r="C2432" s="11" t="n"/>
      <c r="D2432" s="11" t="n"/>
      <c r="E2432" s="11" t="n"/>
      <c r="F2432" s="11" t="n"/>
      <c r="G2432" s="11" t="n"/>
      <c r="H2432" s="11" t="n"/>
      <c r="I2432" s="11" t="n"/>
      <c r="J2432" s="11" t="n"/>
      <c r="K2432" s="11" t="n"/>
      <c r="L2432" s="11" t="n"/>
      <c r="M2432" s="11" t="n"/>
      <c r="N2432" s="11" t="n"/>
      <c r="O2432" s="12" t="n"/>
    </row>
    <row r="2433">
      <c r="A2433" s="11" t="n"/>
      <c r="B2433" s="11" t="n"/>
      <c r="C2433" s="11" t="n"/>
      <c r="D2433" s="11" t="n"/>
      <c r="E2433" s="11" t="n"/>
      <c r="F2433" s="11" t="n"/>
      <c r="G2433" s="11" t="n"/>
      <c r="H2433" s="11" t="n"/>
      <c r="I2433" s="11" t="n"/>
      <c r="J2433" s="11" t="n"/>
      <c r="K2433" s="11" t="n"/>
      <c r="L2433" s="11" t="n"/>
      <c r="M2433" s="11" t="n"/>
      <c r="N2433" s="11" t="n"/>
      <c r="O2433" s="12" t="n"/>
    </row>
    <row r="2434">
      <c r="A2434" s="11" t="n"/>
      <c r="B2434" s="11" t="n"/>
      <c r="C2434" s="11" t="n"/>
      <c r="D2434" s="11" t="n"/>
      <c r="E2434" s="11" t="n"/>
      <c r="F2434" s="11" t="n"/>
      <c r="G2434" s="11" t="n"/>
      <c r="H2434" s="11" t="n"/>
      <c r="I2434" s="11" t="n"/>
      <c r="J2434" s="11" t="n"/>
      <c r="K2434" s="11" t="n"/>
      <c r="L2434" s="11" t="n"/>
      <c r="M2434" s="11" t="n"/>
      <c r="N2434" s="11" t="n"/>
      <c r="O2434" s="12" t="n"/>
    </row>
    <row r="2435">
      <c r="A2435" s="11" t="n"/>
      <c r="B2435" s="11" t="n"/>
      <c r="C2435" s="11" t="n"/>
      <c r="D2435" s="11" t="n"/>
      <c r="E2435" s="11" t="n"/>
      <c r="F2435" s="11" t="n"/>
      <c r="G2435" s="11" t="n"/>
      <c r="H2435" s="11" t="n"/>
      <c r="I2435" s="11" t="n"/>
      <c r="J2435" s="11" t="n"/>
      <c r="K2435" s="11" t="n"/>
      <c r="L2435" s="11" t="n"/>
      <c r="M2435" s="11" t="n"/>
      <c r="N2435" s="11" t="n"/>
      <c r="O2435" s="12" t="n"/>
    </row>
    <row r="2436">
      <c r="A2436" s="11" t="n"/>
      <c r="B2436" s="11" t="n"/>
      <c r="C2436" s="11" t="n"/>
      <c r="D2436" s="11" t="n"/>
      <c r="E2436" s="11" t="n"/>
      <c r="F2436" s="11" t="n"/>
      <c r="G2436" s="11" t="n"/>
      <c r="H2436" s="11" t="n"/>
      <c r="I2436" s="11" t="n"/>
      <c r="J2436" s="11" t="n"/>
      <c r="K2436" s="11" t="n"/>
      <c r="L2436" s="11" t="n"/>
      <c r="M2436" s="11" t="n"/>
      <c r="N2436" s="11" t="n"/>
      <c r="O2436" s="12" t="n"/>
    </row>
    <row r="2437">
      <c r="A2437" s="11" t="n"/>
      <c r="B2437" s="11" t="n"/>
      <c r="C2437" s="11" t="n"/>
      <c r="D2437" s="11" t="n"/>
      <c r="E2437" s="11" t="n"/>
      <c r="F2437" s="11" t="n"/>
      <c r="G2437" s="11" t="n"/>
      <c r="H2437" s="11" t="n"/>
      <c r="I2437" s="11" t="n"/>
      <c r="J2437" s="11" t="n"/>
      <c r="K2437" s="11" t="n"/>
      <c r="L2437" s="11" t="n"/>
      <c r="M2437" s="11" t="n"/>
      <c r="N2437" s="11" t="n"/>
      <c r="O2437" s="12" t="n"/>
    </row>
    <row r="2438">
      <c r="A2438" s="11" t="n"/>
      <c r="B2438" s="11" t="n"/>
      <c r="C2438" s="11" t="n"/>
      <c r="D2438" s="11" t="n"/>
      <c r="E2438" s="11" t="n"/>
      <c r="F2438" s="11" t="n"/>
      <c r="G2438" s="11" t="n"/>
      <c r="H2438" s="11" t="n"/>
      <c r="I2438" s="11" t="n"/>
      <c r="J2438" s="11" t="n"/>
      <c r="K2438" s="11" t="n"/>
      <c r="L2438" s="11" t="n"/>
      <c r="M2438" s="11" t="n"/>
      <c r="N2438" s="11" t="n"/>
      <c r="O2438" s="12" t="n"/>
    </row>
    <row r="2439">
      <c r="A2439" s="11" t="n"/>
      <c r="B2439" s="11" t="n"/>
      <c r="C2439" s="11" t="n"/>
      <c r="D2439" s="11" t="n"/>
      <c r="E2439" s="11" t="n"/>
      <c r="F2439" s="11" t="n"/>
      <c r="G2439" s="11" t="n"/>
      <c r="H2439" s="11" t="n"/>
      <c r="I2439" s="11" t="n"/>
      <c r="J2439" s="11" t="n"/>
      <c r="K2439" s="11" t="n"/>
      <c r="L2439" s="11" t="n"/>
      <c r="M2439" s="11" t="n"/>
      <c r="N2439" s="11" t="n"/>
      <c r="O2439" s="12" t="n"/>
    </row>
    <row r="2440">
      <c r="A2440" s="11" t="n"/>
      <c r="B2440" s="11" t="n"/>
      <c r="C2440" s="11" t="n"/>
      <c r="D2440" s="11" t="n"/>
      <c r="E2440" s="11" t="n"/>
      <c r="F2440" s="11" t="n"/>
      <c r="G2440" s="11" t="n"/>
      <c r="H2440" s="11" t="n"/>
      <c r="I2440" s="11" t="n"/>
      <c r="J2440" s="11" t="n"/>
      <c r="K2440" s="11" t="n"/>
      <c r="L2440" s="11" t="n"/>
      <c r="M2440" s="11" t="n"/>
      <c r="N2440" s="11" t="n"/>
      <c r="O2440" s="12" t="n"/>
    </row>
    <row r="2441">
      <c r="A2441" s="11" t="n"/>
      <c r="B2441" s="11" t="n"/>
      <c r="C2441" s="11" t="n"/>
      <c r="D2441" s="11" t="n"/>
      <c r="E2441" s="11" t="n"/>
      <c r="F2441" s="11" t="n"/>
      <c r="G2441" s="11" t="n"/>
      <c r="H2441" s="11" t="n"/>
      <c r="I2441" s="11" t="n"/>
      <c r="J2441" s="11" t="n"/>
      <c r="K2441" s="11" t="n"/>
      <c r="L2441" s="11" t="n"/>
      <c r="M2441" s="11" t="n"/>
      <c r="N2441" s="11" t="n"/>
      <c r="O2441" s="12" t="n"/>
    </row>
    <row r="2442">
      <c r="A2442" s="11" t="n"/>
      <c r="B2442" s="11" t="n"/>
      <c r="C2442" s="11" t="n"/>
      <c r="D2442" s="11" t="n"/>
      <c r="E2442" s="11" t="n"/>
      <c r="F2442" s="11" t="n"/>
      <c r="G2442" s="11" t="n"/>
      <c r="H2442" s="11" t="n"/>
      <c r="I2442" s="11" t="n"/>
      <c r="J2442" s="11" t="n"/>
      <c r="K2442" s="11" t="n"/>
      <c r="L2442" s="11" t="n"/>
      <c r="M2442" s="11" t="n"/>
      <c r="N2442" s="11" t="n"/>
      <c r="O2442" s="12" t="n"/>
    </row>
    <row r="2443">
      <c r="A2443" s="11" t="n"/>
      <c r="B2443" s="11" t="n"/>
      <c r="C2443" s="11" t="n"/>
      <c r="D2443" s="11" t="n"/>
      <c r="E2443" s="11" t="n"/>
      <c r="F2443" s="11" t="n"/>
      <c r="G2443" s="11" t="n"/>
      <c r="H2443" s="11" t="n"/>
      <c r="I2443" s="11" t="n"/>
      <c r="J2443" s="11" t="n"/>
      <c r="K2443" s="11" t="n"/>
      <c r="L2443" s="11" t="n"/>
      <c r="M2443" s="11" t="n"/>
      <c r="N2443" s="11" t="n"/>
      <c r="O2443" s="12" t="n"/>
    </row>
    <row r="2444">
      <c r="A2444" s="11" t="n"/>
      <c r="B2444" s="11" t="n"/>
      <c r="C2444" s="11" t="n"/>
      <c r="D2444" s="11" t="n"/>
      <c r="E2444" s="11" t="n"/>
      <c r="F2444" s="11" t="n"/>
      <c r="G2444" s="11" t="n"/>
      <c r="H2444" s="11" t="n"/>
      <c r="I2444" s="11" t="n"/>
      <c r="J2444" s="11" t="n"/>
      <c r="K2444" s="11" t="n"/>
      <c r="L2444" s="11" t="n"/>
      <c r="M2444" s="11" t="n"/>
      <c r="N2444" s="11" t="n"/>
      <c r="O2444" s="12" t="n"/>
    </row>
    <row r="2445">
      <c r="A2445" s="11" t="n"/>
      <c r="B2445" s="11" t="n"/>
      <c r="C2445" s="11" t="n"/>
      <c r="D2445" s="11" t="n"/>
      <c r="E2445" s="11" t="n"/>
      <c r="F2445" s="11" t="n"/>
      <c r="G2445" s="11" t="n"/>
      <c r="H2445" s="11" t="n"/>
      <c r="I2445" s="11" t="n"/>
      <c r="J2445" s="11" t="n"/>
      <c r="K2445" s="11" t="n"/>
      <c r="L2445" s="11" t="n"/>
      <c r="M2445" s="11" t="n"/>
      <c r="N2445" s="11" t="n"/>
      <c r="O2445" s="12" t="n"/>
    </row>
    <row r="2446">
      <c r="A2446" s="11" t="n"/>
      <c r="B2446" s="11" t="n"/>
      <c r="C2446" s="11" t="n"/>
      <c r="D2446" s="11" t="n"/>
      <c r="E2446" s="11" t="n"/>
      <c r="F2446" s="11" t="n"/>
      <c r="G2446" s="11" t="n"/>
      <c r="H2446" s="11" t="n"/>
      <c r="I2446" s="11" t="n"/>
      <c r="J2446" s="11" t="n"/>
      <c r="K2446" s="11" t="n"/>
      <c r="L2446" s="11" t="n"/>
      <c r="M2446" s="11" t="n"/>
      <c r="N2446" s="11" t="n"/>
      <c r="O2446" s="12" t="n"/>
    </row>
    <row r="2447">
      <c r="A2447" s="11" t="n"/>
      <c r="B2447" s="11" t="n"/>
      <c r="C2447" s="11" t="n"/>
      <c r="D2447" s="11" t="n"/>
      <c r="E2447" s="11" t="n"/>
      <c r="F2447" s="11" t="n"/>
      <c r="G2447" s="11" t="n"/>
      <c r="H2447" s="11" t="n"/>
      <c r="I2447" s="11" t="n"/>
      <c r="J2447" s="11" t="n"/>
      <c r="K2447" s="11" t="n"/>
      <c r="L2447" s="11" t="n"/>
      <c r="M2447" s="11" t="n"/>
      <c r="N2447" s="11" t="n"/>
      <c r="O2447" s="12" t="n"/>
    </row>
    <row r="2448">
      <c r="A2448" s="11" t="n"/>
      <c r="B2448" s="11" t="n"/>
      <c r="C2448" s="11" t="n"/>
      <c r="D2448" s="11" t="n"/>
      <c r="E2448" s="11" t="n"/>
      <c r="F2448" s="11" t="n"/>
      <c r="G2448" s="11" t="n"/>
      <c r="H2448" s="11" t="n"/>
      <c r="I2448" s="11" t="n"/>
      <c r="J2448" s="11" t="n"/>
      <c r="K2448" s="11" t="n"/>
      <c r="L2448" s="11" t="n"/>
      <c r="M2448" s="11" t="n"/>
      <c r="N2448" s="11" t="n"/>
      <c r="O2448" s="12" t="n"/>
    </row>
    <row r="2449">
      <c r="A2449" s="11" t="n"/>
      <c r="B2449" s="11" t="n"/>
      <c r="C2449" s="11" t="n"/>
      <c r="D2449" s="11" t="n"/>
      <c r="E2449" s="11" t="n"/>
      <c r="F2449" s="11" t="n"/>
      <c r="G2449" s="11" t="n"/>
      <c r="H2449" s="11" t="n"/>
      <c r="I2449" s="11" t="n"/>
      <c r="J2449" s="11" t="n"/>
      <c r="K2449" s="11" t="n"/>
      <c r="L2449" s="11" t="n"/>
      <c r="M2449" s="11" t="n"/>
      <c r="N2449" s="11" t="n"/>
      <c r="O2449" s="12" t="n"/>
    </row>
    <row r="2450">
      <c r="A2450" s="11" t="n"/>
      <c r="B2450" s="11" t="n"/>
      <c r="C2450" s="11" t="n"/>
      <c r="D2450" s="11" t="n"/>
      <c r="E2450" s="11" t="n"/>
      <c r="F2450" s="11" t="n"/>
      <c r="G2450" s="11" t="n"/>
      <c r="H2450" s="11" t="n"/>
      <c r="I2450" s="11" t="n"/>
      <c r="J2450" s="11" t="n"/>
      <c r="K2450" s="11" t="n"/>
      <c r="L2450" s="11" t="n"/>
      <c r="M2450" s="11" t="n"/>
      <c r="N2450" s="11" t="n"/>
      <c r="O2450" s="12" t="n"/>
    </row>
    <row r="2451">
      <c r="A2451" s="11" t="n"/>
      <c r="B2451" s="11" t="n"/>
      <c r="C2451" s="11" t="n"/>
      <c r="D2451" s="11" t="n"/>
      <c r="E2451" s="11" t="n"/>
      <c r="F2451" s="11" t="n"/>
      <c r="G2451" s="11" t="n"/>
      <c r="H2451" s="11" t="n"/>
      <c r="I2451" s="11" t="n"/>
      <c r="J2451" s="11" t="n"/>
      <c r="K2451" s="11" t="n"/>
      <c r="L2451" s="11" t="n"/>
      <c r="M2451" s="11" t="n"/>
      <c r="N2451" s="11" t="n"/>
      <c r="O2451" s="12" t="n"/>
    </row>
    <row r="2452">
      <c r="A2452" s="11" t="n"/>
      <c r="B2452" s="11" t="n"/>
      <c r="C2452" s="11" t="n"/>
      <c r="D2452" s="11" t="n"/>
      <c r="E2452" s="11" t="n"/>
      <c r="F2452" s="11" t="n"/>
      <c r="G2452" s="11" t="n"/>
      <c r="H2452" s="11" t="n"/>
      <c r="I2452" s="11" t="n"/>
      <c r="J2452" s="11" t="n"/>
      <c r="K2452" s="11" t="n"/>
      <c r="L2452" s="11" t="n"/>
      <c r="M2452" s="11" t="n"/>
      <c r="N2452" s="11" t="n"/>
      <c r="O2452" s="12" t="n"/>
    </row>
    <row r="2453">
      <c r="A2453" s="11" t="n"/>
      <c r="B2453" s="11" t="n"/>
      <c r="C2453" s="11" t="n"/>
      <c r="D2453" s="11" t="n"/>
      <c r="E2453" s="11" t="n"/>
      <c r="F2453" s="11" t="n"/>
      <c r="G2453" s="11" t="n"/>
      <c r="H2453" s="11" t="n"/>
      <c r="I2453" s="11" t="n"/>
      <c r="J2453" s="11" t="n"/>
      <c r="K2453" s="11" t="n"/>
      <c r="L2453" s="11" t="n"/>
      <c r="M2453" s="11" t="n"/>
      <c r="N2453" s="11" t="n"/>
      <c r="O2453" s="12" t="n"/>
    </row>
    <row r="2454">
      <c r="A2454" s="11" t="n"/>
      <c r="B2454" s="11" t="n"/>
      <c r="C2454" s="11" t="n"/>
      <c r="D2454" s="11" t="n"/>
      <c r="E2454" s="11" t="n"/>
      <c r="F2454" s="11" t="n"/>
      <c r="G2454" s="11" t="n"/>
      <c r="H2454" s="11" t="n"/>
      <c r="I2454" s="11" t="n"/>
      <c r="J2454" s="11" t="n"/>
      <c r="K2454" s="11" t="n"/>
      <c r="L2454" s="11" t="n"/>
      <c r="M2454" s="11" t="n"/>
      <c r="N2454" s="11" t="n"/>
      <c r="O2454" s="12" t="n"/>
    </row>
    <row r="2455">
      <c r="A2455" s="11" t="n"/>
      <c r="B2455" s="11" t="n"/>
      <c r="C2455" s="11" t="n"/>
      <c r="D2455" s="11" t="n"/>
      <c r="E2455" s="11" t="n"/>
      <c r="F2455" s="11" t="n"/>
      <c r="G2455" s="11" t="n"/>
      <c r="H2455" s="11" t="n"/>
      <c r="I2455" s="11" t="n"/>
      <c r="J2455" s="11" t="n"/>
      <c r="K2455" s="11" t="n"/>
      <c r="L2455" s="11" t="n"/>
      <c r="M2455" s="11" t="n"/>
      <c r="N2455" s="11" t="n"/>
      <c r="O2455" s="12" t="n"/>
    </row>
    <row r="2456">
      <c r="A2456" s="11" t="n"/>
      <c r="B2456" s="11" t="n"/>
      <c r="C2456" s="11" t="n"/>
      <c r="D2456" s="11" t="n"/>
      <c r="E2456" s="11" t="n"/>
      <c r="F2456" s="11" t="n"/>
      <c r="G2456" s="11" t="n"/>
      <c r="H2456" s="11" t="n"/>
      <c r="I2456" s="11" t="n"/>
      <c r="J2456" s="11" t="n"/>
      <c r="K2456" s="11" t="n"/>
      <c r="L2456" s="11" t="n"/>
      <c r="M2456" s="11" t="n"/>
      <c r="N2456" s="11" t="n"/>
      <c r="O2456" s="12" t="n"/>
    </row>
    <row r="2457">
      <c r="A2457" s="11" t="n"/>
      <c r="B2457" s="11" t="n"/>
      <c r="C2457" s="11" t="n"/>
      <c r="D2457" s="11" t="n"/>
      <c r="E2457" s="11" t="n"/>
      <c r="F2457" s="11" t="n"/>
      <c r="G2457" s="11" t="n"/>
      <c r="H2457" s="11" t="n"/>
      <c r="I2457" s="11" t="n"/>
      <c r="J2457" s="11" t="n"/>
      <c r="K2457" s="11" t="n"/>
      <c r="L2457" s="11" t="n"/>
      <c r="M2457" s="11" t="n"/>
      <c r="N2457" s="11" t="n"/>
      <c r="O2457" s="12" t="n"/>
    </row>
    <row r="2458">
      <c r="A2458" s="11" t="n"/>
      <c r="B2458" s="11" t="n"/>
      <c r="C2458" s="11" t="n"/>
      <c r="D2458" s="11" t="n"/>
      <c r="E2458" s="11" t="n"/>
      <c r="F2458" s="11" t="n"/>
      <c r="G2458" s="11" t="n"/>
      <c r="H2458" s="11" t="n"/>
      <c r="I2458" s="11" t="n"/>
      <c r="J2458" s="11" t="n"/>
      <c r="K2458" s="11" t="n"/>
      <c r="L2458" s="11" t="n"/>
      <c r="M2458" s="11" t="n"/>
      <c r="N2458" s="11" t="n"/>
      <c r="O2458" s="12" t="n"/>
    </row>
    <row r="2459">
      <c r="A2459" s="11" t="n"/>
      <c r="B2459" s="11" t="n"/>
      <c r="C2459" s="11" t="n"/>
      <c r="D2459" s="11" t="n"/>
      <c r="E2459" s="11" t="n"/>
      <c r="F2459" s="11" t="n"/>
      <c r="G2459" s="11" t="n"/>
      <c r="H2459" s="11" t="n"/>
      <c r="I2459" s="11" t="n"/>
      <c r="J2459" s="11" t="n"/>
      <c r="K2459" s="11" t="n"/>
      <c r="L2459" s="11" t="n"/>
      <c r="M2459" s="11" t="n"/>
      <c r="N2459" s="11" t="n"/>
      <c r="O2459" s="12" t="n"/>
    </row>
    <row r="2460">
      <c r="A2460" s="11" t="n"/>
      <c r="B2460" s="11" t="n"/>
      <c r="C2460" s="11" t="n"/>
      <c r="D2460" s="11" t="n"/>
      <c r="E2460" s="11" t="n"/>
      <c r="F2460" s="11" t="n"/>
      <c r="G2460" s="11" t="n"/>
      <c r="H2460" s="11" t="n"/>
      <c r="I2460" s="11" t="n"/>
      <c r="J2460" s="11" t="n"/>
      <c r="K2460" s="11" t="n"/>
      <c r="L2460" s="11" t="n"/>
      <c r="M2460" s="11" t="n"/>
      <c r="N2460" s="11" t="n"/>
      <c r="O2460" s="12" t="n"/>
    </row>
    <row r="2461">
      <c r="A2461" s="11" t="n"/>
      <c r="B2461" s="11" t="n"/>
      <c r="C2461" s="11" t="n"/>
      <c r="D2461" s="11" t="n"/>
      <c r="E2461" s="11" t="n"/>
      <c r="F2461" s="11" t="n"/>
      <c r="G2461" s="11" t="n"/>
      <c r="H2461" s="11" t="n"/>
      <c r="I2461" s="11" t="n"/>
      <c r="J2461" s="11" t="n"/>
      <c r="K2461" s="11" t="n"/>
      <c r="L2461" s="11" t="n"/>
      <c r="M2461" s="11" t="n"/>
      <c r="N2461" s="11" t="n"/>
      <c r="O2461" s="12" t="n"/>
    </row>
    <row r="2462">
      <c r="A2462" s="11" t="n"/>
      <c r="B2462" s="11" t="n"/>
      <c r="C2462" s="11" t="n"/>
      <c r="D2462" s="11" t="n"/>
      <c r="E2462" s="11" t="n"/>
      <c r="F2462" s="11" t="n"/>
      <c r="G2462" s="11" t="n"/>
      <c r="H2462" s="11" t="n"/>
      <c r="I2462" s="11" t="n"/>
      <c r="J2462" s="11" t="n"/>
      <c r="K2462" s="11" t="n"/>
      <c r="L2462" s="11" t="n"/>
      <c r="M2462" s="11" t="n"/>
      <c r="N2462" s="11" t="n"/>
      <c r="O2462" s="12" t="n"/>
    </row>
    <row r="2463">
      <c r="A2463" s="11" t="n"/>
      <c r="B2463" s="11" t="n"/>
      <c r="C2463" s="11" t="n"/>
      <c r="D2463" s="11" t="n"/>
      <c r="E2463" s="11" t="n"/>
      <c r="F2463" s="11" t="n"/>
      <c r="G2463" s="11" t="n"/>
      <c r="H2463" s="11" t="n"/>
      <c r="I2463" s="11" t="n"/>
      <c r="J2463" s="11" t="n"/>
      <c r="K2463" s="11" t="n"/>
      <c r="L2463" s="11" t="n"/>
      <c r="M2463" s="11" t="n"/>
      <c r="N2463" s="11" t="n"/>
      <c r="O2463" s="12" t="n"/>
    </row>
    <row r="2464">
      <c r="A2464" s="11" t="n"/>
      <c r="B2464" s="11" t="n"/>
      <c r="C2464" s="11" t="n"/>
      <c r="D2464" s="11" t="n"/>
      <c r="E2464" s="11" t="n"/>
      <c r="F2464" s="11" t="n"/>
      <c r="G2464" s="11" t="n"/>
      <c r="H2464" s="11" t="n"/>
      <c r="I2464" s="11" t="n"/>
      <c r="J2464" s="11" t="n"/>
      <c r="K2464" s="11" t="n"/>
      <c r="L2464" s="11" t="n"/>
      <c r="M2464" s="11" t="n"/>
      <c r="N2464" s="11" t="n"/>
      <c r="O2464" s="12" t="n"/>
    </row>
    <row r="2465">
      <c r="A2465" s="11" t="n"/>
      <c r="B2465" s="11" t="n"/>
      <c r="C2465" s="11" t="n"/>
      <c r="D2465" s="11" t="n"/>
      <c r="E2465" s="11" t="n"/>
      <c r="F2465" s="11" t="n"/>
      <c r="G2465" s="11" t="n"/>
      <c r="H2465" s="11" t="n"/>
      <c r="I2465" s="11" t="n"/>
      <c r="J2465" s="11" t="n"/>
      <c r="K2465" s="11" t="n"/>
      <c r="L2465" s="11" t="n"/>
      <c r="M2465" s="11" t="n"/>
      <c r="N2465" s="11" t="n"/>
      <c r="O2465" s="12" t="n"/>
    </row>
    <row r="2466">
      <c r="A2466" s="11" t="n"/>
      <c r="B2466" s="11" t="n"/>
      <c r="C2466" s="11" t="n"/>
      <c r="D2466" s="11" t="n"/>
      <c r="E2466" s="11" t="n"/>
      <c r="F2466" s="11" t="n"/>
      <c r="G2466" s="11" t="n"/>
      <c r="H2466" s="11" t="n"/>
      <c r="I2466" s="11" t="n"/>
      <c r="J2466" s="11" t="n"/>
      <c r="K2466" s="11" t="n"/>
      <c r="L2466" s="11" t="n"/>
      <c r="M2466" s="11" t="n"/>
      <c r="N2466" s="11" t="n"/>
      <c r="O2466" s="12" t="n"/>
    </row>
    <row r="2467">
      <c r="A2467" s="11" t="n"/>
      <c r="B2467" s="11" t="n"/>
      <c r="C2467" s="11" t="n"/>
      <c r="D2467" s="11" t="n"/>
      <c r="E2467" s="11" t="n"/>
      <c r="F2467" s="11" t="n"/>
      <c r="G2467" s="11" t="n"/>
      <c r="H2467" s="11" t="n"/>
      <c r="I2467" s="11" t="n"/>
      <c r="J2467" s="11" t="n"/>
      <c r="K2467" s="11" t="n"/>
      <c r="L2467" s="11" t="n"/>
      <c r="M2467" s="11" t="n"/>
      <c r="N2467" s="11" t="n"/>
      <c r="O2467" s="12" t="n"/>
    </row>
    <row r="2468">
      <c r="A2468" s="11" t="n"/>
      <c r="B2468" s="11" t="n"/>
      <c r="C2468" s="11" t="n"/>
      <c r="D2468" s="11" t="n"/>
      <c r="E2468" s="11" t="n"/>
      <c r="F2468" s="11" t="n"/>
      <c r="G2468" s="11" t="n"/>
      <c r="H2468" s="11" t="n"/>
      <c r="I2468" s="11" t="n"/>
      <c r="J2468" s="11" t="n"/>
      <c r="K2468" s="11" t="n"/>
      <c r="L2468" s="11" t="n"/>
      <c r="M2468" s="11" t="n"/>
      <c r="N2468" s="11" t="n"/>
      <c r="O2468" s="12" t="n"/>
    </row>
    <row r="2469">
      <c r="A2469" s="11" t="n"/>
      <c r="B2469" s="11" t="n"/>
      <c r="C2469" s="11" t="n"/>
      <c r="D2469" s="11" t="n"/>
      <c r="E2469" s="11" t="n"/>
      <c r="F2469" s="11" t="n"/>
      <c r="G2469" s="11" t="n"/>
      <c r="H2469" s="11" t="n"/>
      <c r="I2469" s="11" t="n"/>
      <c r="J2469" s="11" t="n"/>
      <c r="K2469" s="11" t="n"/>
      <c r="L2469" s="11" t="n"/>
      <c r="M2469" s="11" t="n"/>
      <c r="N2469" s="11" t="n"/>
      <c r="O2469" s="12" t="n"/>
    </row>
    <row r="2470">
      <c r="A2470" s="11" t="n"/>
      <c r="B2470" s="11" t="n"/>
      <c r="C2470" s="11" t="n"/>
      <c r="D2470" s="11" t="n"/>
      <c r="E2470" s="11" t="n"/>
      <c r="F2470" s="11" t="n"/>
      <c r="G2470" s="11" t="n"/>
      <c r="H2470" s="11" t="n"/>
      <c r="I2470" s="11" t="n"/>
      <c r="J2470" s="11" t="n"/>
      <c r="K2470" s="11" t="n"/>
      <c r="L2470" s="11" t="n"/>
      <c r="M2470" s="11" t="n"/>
      <c r="N2470" s="11" t="n"/>
      <c r="O2470" s="12" t="n"/>
    </row>
    <row r="2471">
      <c r="A2471" s="11" t="n"/>
      <c r="B2471" s="11" t="n"/>
      <c r="C2471" s="11" t="n"/>
      <c r="D2471" s="11" t="n"/>
      <c r="E2471" s="11" t="n"/>
      <c r="F2471" s="11" t="n"/>
      <c r="G2471" s="11" t="n"/>
      <c r="H2471" s="11" t="n"/>
      <c r="I2471" s="11" t="n"/>
      <c r="J2471" s="11" t="n"/>
      <c r="K2471" s="11" t="n"/>
      <c r="L2471" s="11" t="n"/>
      <c r="M2471" s="11" t="n"/>
      <c r="N2471" s="11" t="n"/>
      <c r="O2471" s="12" t="n"/>
    </row>
    <row r="2472">
      <c r="A2472" s="11" t="n"/>
      <c r="B2472" s="11" t="n"/>
      <c r="C2472" s="11" t="n"/>
      <c r="D2472" s="11" t="n"/>
      <c r="E2472" s="11" t="n"/>
      <c r="F2472" s="11" t="n"/>
      <c r="G2472" s="11" t="n"/>
      <c r="H2472" s="11" t="n"/>
      <c r="I2472" s="11" t="n"/>
      <c r="J2472" s="11" t="n"/>
      <c r="K2472" s="11" t="n"/>
      <c r="L2472" s="11" t="n"/>
      <c r="M2472" s="11" t="n"/>
      <c r="N2472" s="11" t="n"/>
      <c r="O2472" s="12" t="n"/>
    </row>
    <row r="2473">
      <c r="A2473" s="11" t="n"/>
      <c r="B2473" s="11" t="n"/>
      <c r="C2473" s="11" t="n"/>
      <c r="D2473" s="11" t="n"/>
      <c r="E2473" s="11" t="n"/>
      <c r="F2473" s="11" t="n"/>
      <c r="G2473" s="11" t="n"/>
      <c r="H2473" s="11" t="n"/>
      <c r="I2473" s="11" t="n"/>
      <c r="J2473" s="11" t="n"/>
      <c r="K2473" s="11" t="n"/>
      <c r="L2473" s="11" t="n"/>
      <c r="M2473" s="11" t="n"/>
      <c r="N2473" s="11" t="n"/>
      <c r="O2473" s="12" t="n"/>
    </row>
    <row r="2474">
      <c r="A2474" s="11" t="n"/>
      <c r="B2474" s="11" t="n"/>
      <c r="C2474" s="11" t="n"/>
      <c r="D2474" s="11" t="n"/>
      <c r="E2474" s="11" t="n"/>
      <c r="F2474" s="11" t="n"/>
      <c r="G2474" s="11" t="n"/>
      <c r="H2474" s="11" t="n"/>
      <c r="I2474" s="11" t="n"/>
      <c r="J2474" s="11" t="n"/>
      <c r="K2474" s="11" t="n"/>
      <c r="L2474" s="11" t="n"/>
      <c r="M2474" s="11" t="n"/>
      <c r="N2474" s="11" t="n"/>
      <c r="O2474" s="12" t="n"/>
    </row>
    <row r="2475">
      <c r="A2475" s="11" t="n"/>
      <c r="B2475" s="11" t="n"/>
      <c r="C2475" s="11" t="n"/>
      <c r="D2475" s="11" t="n"/>
      <c r="E2475" s="11" t="n"/>
      <c r="F2475" s="11" t="n"/>
      <c r="G2475" s="11" t="n"/>
      <c r="H2475" s="11" t="n"/>
      <c r="I2475" s="11" t="n"/>
      <c r="J2475" s="11" t="n"/>
      <c r="K2475" s="11" t="n"/>
      <c r="L2475" s="11" t="n"/>
      <c r="M2475" s="11" t="n"/>
      <c r="N2475" s="11" t="n"/>
      <c r="O2475" s="12" t="n"/>
    </row>
    <row r="2476">
      <c r="A2476" s="11" t="n"/>
      <c r="B2476" s="11" t="n"/>
      <c r="C2476" s="11" t="n"/>
      <c r="D2476" s="11" t="n"/>
      <c r="E2476" s="11" t="n"/>
      <c r="F2476" s="11" t="n"/>
      <c r="G2476" s="11" t="n"/>
      <c r="H2476" s="11" t="n"/>
      <c r="I2476" s="11" t="n"/>
      <c r="J2476" s="11" t="n"/>
      <c r="K2476" s="11" t="n"/>
      <c r="L2476" s="11" t="n"/>
      <c r="M2476" s="11" t="n"/>
      <c r="N2476" s="11" t="n"/>
      <c r="O2476" s="12" t="n"/>
    </row>
    <row r="2477">
      <c r="A2477" s="11" t="n"/>
      <c r="B2477" s="11" t="n"/>
      <c r="C2477" s="11" t="n"/>
      <c r="D2477" s="11" t="n"/>
      <c r="E2477" s="11" t="n"/>
      <c r="F2477" s="11" t="n"/>
      <c r="G2477" s="11" t="n"/>
      <c r="H2477" s="11" t="n"/>
      <c r="I2477" s="11" t="n"/>
      <c r="J2477" s="11" t="n"/>
      <c r="K2477" s="11" t="n"/>
      <c r="L2477" s="11" t="n"/>
      <c r="M2477" s="11" t="n"/>
      <c r="N2477" s="11" t="n"/>
      <c r="O2477" s="12" t="n"/>
    </row>
    <row r="2478">
      <c r="A2478" s="11" t="n"/>
      <c r="B2478" s="11" t="n"/>
      <c r="C2478" s="11" t="n"/>
      <c r="D2478" s="11" t="n"/>
      <c r="E2478" s="11" t="n"/>
      <c r="F2478" s="11" t="n"/>
      <c r="G2478" s="11" t="n"/>
      <c r="H2478" s="11" t="n"/>
      <c r="I2478" s="11" t="n"/>
      <c r="J2478" s="11" t="n"/>
      <c r="K2478" s="11" t="n"/>
      <c r="L2478" s="11" t="n"/>
      <c r="M2478" s="11" t="n"/>
      <c r="N2478" s="11" t="n"/>
      <c r="O2478" s="12" t="n"/>
    </row>
    <row r="2479">
      <c r="A2479" s="11" t="n"/>
      <c r="B2479" s="11" t="n"/>
      <c r="C2479" s="11" t="n"/>
      <c r="D2479" s="11" t="n"/>
      <c r="E2479" s="11" t="n"/>
      <c r="F2479" s="11" t="n"/>
      <c r="G2479" s="11" t="n"/>
      <c r="H2479" s="11" t="n"/>
      <c r="I2479" s="11" t="n"/>
      <c r="J2479" s="11" t="n"/>
      <c r="K2479" s="11" t="n"/>
      <c r="L2479" s="11" t="n"/>
      <c r="M2479" s="11" t="n"/>
      <c r="N2479" s="11" t="n"/>
      <c r="O2479" s="12" t="n"/>
    </row>
    <row r="2480">
      <c r="A2480" s="11" t="n"/>
      <c r="B2480" s="11" t="n"/>
      <c r="C2480" s="11" t="n"/>
      <c r="D2480" s="11" t="n"/>
      <c r="E2480" s="11" t="n"/>
      <c r="F2480" s="11" t="n"/>
      <c r="G2480" s="11" t="n"/>
      <c r="H2480" s="11" t="n"/>
      <c r="I2480" s="11" t="n"/>
      <c r="J2480" s="11" t="n"/>
      <c r="K2480" s="11" t="n"/>
      <c r="L2480" s="11" t="n"/>
      <c r="M2480" s="11" t="n"/>
      <c r="N2480" s="11" t="n"/>
      <c r="O2480" s="12" t="n"/>
    </row>
    <row r="2481">
      <c r="A2481" s="11" t="n"/>
      <c r="B2481" s="11" t="n"/>
      <c r="C2481" s="11" t="n"/>
      <c r="D2481" s="11" t="n"/>
      <c r="E2481" s="11" t="n"/>
      <c r="F2481" s="11" t="n"/>
      <c r="G2481" s="11" t="n"/>
      <c r="H2481" s="11" t="n"/>
      <c r="I2481" s="11" t="n"/>
      <c r="J2481" s="11" t="n"/>
      <c r="K2481" s="11" t="n"/>
      <c r="L2481" s="11" t="n"/>
      <c r="M2481" s="11" t="n"/>
      <c r="N2481" s="11" t="n"/>
      <c r="O2481" s="12" t="n"/>
    </row>
    <row r="2482">
      <c r="A2482" s="11" t="n"/>
      <c r="B2482" s="11" t="n"/>
      <c r="C2482" s="11" t="n"/>
      <c r="D2482" s="11" t="n"/>
      <c r="E2482" s="11" t="n"/>
      <c r="F2482" s="11" t="n"/>
      <c r="G2482" s="11" t="n"/>
      <c r="H2482" s="11" t="n"/>
      <c r="I2482" s="11" t="n"/>
      <c r="J2482" s="11" t="n"/>
      <c r="K2482" s="11" t="n"/>
      <c r="L2482" s="11" t="n"/>
      <c r="M2482" s="11" t="n"/>
      <c r="N2482" s="11" t="n"/>
      <c r="O2482" s="12" t="n"/>
    </row>
    <row r="2483">
      <c r="A2483" s="11" t="n"/>
      <c r="B2483" s="11" t="n"/>
      <c r="C2483" s="11" t="n"/>
      <c r="D2483" s="11" t="n"/>
      <c r="E2483" s="11" t="n"/>
      <c r="F2483" s="11" t="n"/>
      <c r="G2483" s="11" t="n"/>
      <c r="H2483" s="11" t="n"/>
      <c r="I2483" s="11" t="n"/>
      <c r="J2483" s="11" t="n"/>
      <c r="K2483" s="11" t="n"/>
      <c r="L2483" s="11" t="n"/>
      <c r="M2483" s="11" t="n"/>
      <c r="N2483" s="11" t="n"/>
      <c r="O2483" s="12" t="n"/>
    </row>
    <row r="2484">
      <c r="A2484" s="11" t="n"/>
      <c r="B2484" s="11" t="n"/>
      <c r="C2484" s="11" t="n"/>
      <c r="D2484" s="11" t="n"/>
      <c r="E2484" s="11" t="n"/>
      <c r="F2484" s="11" t="n"/>
      <c r="G2484" s="11" t="n"/>
      <c r="H2484" s="11" t="n"/>
      <c r="I2484" s="11" t="n"/>
      <c r="J2484" s="11" t="n"/>
      <c r="K2484" s="11" t="n"/>
      <c r="L2484" s="11" t="n"/>
      <c r="M2484" s="11" t="n"/>
      <c r="N2484" s="11" t="n"/>
      <c r="O2484" s="12" t="n"/>
    </row>
    <row r="2485">
      <c r="A2485" s="11" t="n"/>
      <c r="B2485" s="11" t="n"/>
      <c r="C2485" s="11" t="n"/>
      <c r="D2485" s="11" t="n"/>
      <c r="E2485" s="11" t="n"/>
      <c r="F2485" s="11" t="n"/>
      <c r="G2485" s="11" t="n"/>
      <c r="H2485" s="11" t="n"/>
      <c r="I2485" s="11" t="n"/>
      <c r="J2485" s="11" t="n"/>
      <c r="K2485" s="11" t="n"/>
      <c r="L2485" s="11" t="n"/>
      <c r="M2485" s="11" t="n"/>
      <c r="N2485" s="11" t="n"/>
      <c r="O2485" s="12" t="n"/>
    </row>
    <row r="2486">
      <c r="A2486" s="11" t="n"/>
      <c r="B2486" s="11" t="n"/>
      <c r="C2486" s="11" t="n"/>
      <c r="D2486" s="11" t="n"/>
      <c r="E2486" s="11" t="n"/>
      <c r="F2486" s="11" t="n"/>
      <c r="G2486" s="11" t="n"/>
      <c r="H2486" s="11" t="n"/>
      <c r="I2486" s="11" t="n"/>
      <c r="J2486" s="11" t="n"/>
      <c r="K2486" s="11" t="n"/>
      <c r="L2486" s="11" t="n"/>
      <c r="M2486" s="11" t="n"/>
      <c r="N2486" s="11" t="n"/>
      <c r="O2486" s="12" t="n"/>
    </row>
    <row r="2487">
      <c r="A2487" s="11" t="n"/>
      <c r="B2487" s="11" t="n"/>
      <c r="C2487" s="11" t="n"/>
      <c r="D2487" s="11" t="n"/>
      <c r="E2487" s="11" t="n"/>
      <c r="F2487" s="11" t="n"/>
      <c r="G2487" s="11" t="n"/>
      <c r="H2487" s="11" t="n"/>
      <c r="I2487" s="11" t="n"/>
      <c r="J2487" s="11" t="n"/>
      <c r="K2487" s="11" t="n"/>
      <c r="L2487" s="11" t="n"/>
      <c r="M2487" s="11" t="n"/>
      <c r="N2487" s="11" t="n"/>
      <c r="O2487" s="12" t="n"/>
    </row>
    <row r="2488">
      <c r="A2488" s="11" t="n"/>
      <c r="B2488" s="11" t="n"/>
      <c r="C2488" s="11" t="n"/>
      <c r="D2488" s="11" t="n"/>
      <c r="E2488" s="11" t="n"/>
      <c r="F2488" s="11" t="n"/>
      <c r="G2488" s="11" t="n"/>
      <c r="H2488" s="11" t="n"/>
      <c r="I2488" s="11" t="n"/>
      <c r="J2488" s="11" t="n"/>
      <c r="K2488" s="11" t="n"/>
      <c r="L2488" s="11" t="n"/>
      <c r="M2488" s="11" t="n"/>
      <c r="N2488" s="11" t="n"/>
      <c r="O2488" s="12" t="n"/>
    </row>
    <row r="2489">
      <c r="A2489" s="11" t="n"/>
      <c r="B2489" s="11" t="n"/>
      <c r="C2489" s="11" t="n"/>
      <c r="D2489" s="11" t="n"/>
      <c r="E2489" s="11" t="n"/>
      <c r="F2489" s="11" t="n"/>
      <c r="G2489" s="11" t="n"/>
      <c r="H2489" s="11" t="n"/>
      <c r="I2489" s="11" t="n"/>
      <c r="J2489" s="11" t="n"/>
      <c r="K2489" s="11" t="n"/>
      <c r="L2489" s="11" t="n"/>
      <c r="M2489" s="11" t="n"/>
      <c r="N2489" s="11" t="n"/>
      <c r="O2489" s="12" t="n"/>
    </row>
    <row r="2490">
      <c r="A2490" s="11" t="n"/>
      <c r="B2490" s="11" t="n"/>
      <c r="C2490" s="11" t="n"/>
      <c r="D2490" s="11" t="n"/>
      <c r="E2490" s="11" t="n"/>
      <c r="F2490" s="11" t="n"/>
      <c r="G2490" s="11" t="n"/>
      <c r="H2490" s="11" t="n"/>
      <c r="I2490" s="11" t="n"/>
      <c r="J2490" s="11" t="n"/>
      <c r="K2490" s="11" t="n"/>
      <c r="L2490" s="11" t="n"/>
      <c r="M2490" s="11" t="n"/>
      <c r="N2490" s="11" t="n"/>
      <c r="O2490" s="12" t="n"/>
    </row>
    <row r="2491">
      <c r="A2491" s="11" t="n"/>
      <c r="B2491" s="11" t="n"/>
      <c r="C2491" s="11" t="n"/>
      <c r="D2491" s="11" t="n"/>
      <c r="E2491" s="11" t="n"/>
      <c r="F2491" s="11" t="n"/>
      <c r="G2491" s="11" t="n"/>
      <c r="H2491" s="11" t="n"/>
      <c r="I2491" s="11" t="n"/>
      <c r="J2491" s="11" t="n"/>
      <c r="K2491" s="11" t="n"/>
      <c r="L2491" s="11" t="n"/>
      <c r="M2491" s="11" t="n"/>
      <c r="N2491" s="11" t="n"/>
      <c r="O2491" s="12" t="n"/>
    </row>
    <row r="2492">
      <c r="A2492" s="11" t="n"/>
      <c r="B2492" s="11" t="n"/>
      <c r="C2492" s="11" t="n"/>
      <c r="D2492" s="11" t="n"/>
      <c r="E2492" s="11" t="n"/>
      <c r="F2492" s="11" t="n"/>
      <c r="G2492" s="11" t="n"/>
      <c r="H2492" s="11" t="n"/>
      <c r="I2492" s="11" t="n"/>
      <c r="J2492" s="11" t="n"/>
      <c r="K2492" s="11" t="n"/>
      <c r="L2492" s="11" t="n"/>
      <c r="M2492" s="11" t="n"/>
      <c r="N2492" s="11" t="n"/>
      <c r="O2492" s="12" t="n"/>
    </row>
    <row r="2493">
      <c r="A2493" s="11" t="n"/>
      <c r="B2493" s="11" t="n"/>
      <c r="C2493" s="11" t="n"/>
      <c r="D2493" s="11" t="n"/>
      <c r="E2493" s="11" t="n"/>
      <c r="F2493" s="11" t="n"/>
      <c r="G2493" s="11" t="n"/>
      <c r="H2493" s="11" t="n"/>
      <c r="I2493" s="11" t="n"/>
      <c r="J2493" s="11" t="n"/>
      <c r="K2493" s="11" t="n"/>
      <c r="L2493" s="11" t="n"/>
      <c r="M2493" s="11" t="n"/>
      <c r="N2493" s="11" t="n"/>
      <c r="O2493" s="12" t="n"/>
    </row>
    <row r="2494">
      <c r="A2494" s="11" t="n"/>
      <c r="B2494" s="11" t="n"/>
      <c r="C2494" s="11" t="n"/>
      <c r="D2494" s="11" t="n"/>
      <c r="E2494" s="11" t="n"/>
      <c r="F2494" s="11" t="n"/>
      <c r="G2494" s="11" t="n"/>
      <c r="H2494" s="11" t="n"/>
      <c r="I2494" s="11" t="n"/>
      <c r="J2494" s="11" t="n"/>
      <c r="K2494" s="11" t="n"/>
      <c r="L2494" s="11" t="n"/>
      <c r="M2494" s="11" t="n"/>
      <c r="N2494" s="11" t="n"/>
      <c r="O2494" s="12" t="n"/>
    </row>
    <row r="2495">
      <c r="A2495" s="11" t="n"/>
      <c r="B2495" s="11" t="n"/>
      <c r="C2495" s="11" t="n"/>
      <c r="D2495" s="11" t="n"/>
      <c r="E2495" s="11" t="n"/>
      <c r="F2495" s="11" t="n"/>
      <c r="G2495" s="11" t="n"/>
      <c r="H2495" s="11" t="n"/>
      <c r="I2495" s="11" t="n"/>
      <c r="J2495" s="11" t="n"/>
      <c r="K2495" s="11" t="n"/>
      <c r="L2495" s="11" t="n"/>
      <c r="M2495" s="11" t="n"/>
      <c r="N2495" s="11" t="n"/>
      <c r="O2495" s="12" t="n"/>
    </row>
    <row r="2496">
      <c r="A2496" s="11" t="n"/>
      <c r="B2496" s="11" t="n"/>
      <c r="C2496" s="11" t="n"/>
      <c r="D2496" s="11" t="n"/>
      <c r="E2496" s="11" t="n"/>
      <c r="F2496" s="11" t="n"/>
      <c r="G2496" s="11" t="n"/>
      <c r="H2496" s="11" t="n"/>
      <c r="I2496" s="11" t="n"/>
      <c r="J2496" s="11" t="n"/>
      <c r="K2496" s="11" t="n"/>
      <c r="L2496" s="11" t="n"/>
      <c r="M2496" s="11" t="n"/>
      <c r="N2496" s="11" t="n"/>
      <c r="O2496" s="12" t="n"/>
    </row>
    <row r="2497">
      <c r="A2497" s="11" t="n"/>
      <c r="B2497" s="11" t="n"/>
      <c r="C2497" s="11" t="n"/>
      <c r="D2497" s="11" t="n"/>
      <c r="E2497" s="11" t="n"/>
      <c r="F2497" s="11" t="n"/>
      <c r="G2497" s="11" t="n"/>
      <c r="H2497" s="11" t="n"/>
      <c r="I2497" s="11" t="n"/>
      <c r="J2497" s="11" t="n"/>
      <c r="K2497" s="11" t="n"/>
      <c r="L2497" s="11" t="n"/>
      <c r="M2497" s="11" t="n"/>
      <c r="N2497" s="11" t="n"/>
      <c r="O2497" s="12" t="n"/>
    </row>
    <row r="2498">
      <c r="A2498" s="11" t="n"/>
      <c r="B2498" s="11" t="n"/>
      <c r="C2498" s="11" t="n"/>
      <c r="D2498" s="11" t="n"/>
      <c r="E2498" s="11" t="n"/>
      <c r="F2498" s="11" t="n"/>
      <c r="G2498" s="11" t="n"/>
      <c r="H2498" s="11" t="n"/>
      <c r="I2498" s="11" t="n"/>
      <c r="J2498" s="11" t="n"/>
      <c r="K2498" s="11" t="n"/>
      <c r="L2498" s="11" t="n"/>
      <c r="M2498" s="11" t="n"/>
      <c r="N2498" s="11" t="n"/>
      <c r="O2498" s="12" t="n"/>
    </row>
    <row r="2499">
      <c r="A2499" s="11" t="n"/>
      <c r="B2499" s="11" t="n"/>
      <c r="C2499" s="11" t="n"/>
      <c r="D2499" s="11" t="n"/>
      <c r="E2499" s="11" t="n"/>
      <c r="F2499" s="11" t="n"/>
      <c r="G2499" s="11" t="n"/>
      <c r="H2499" s="11" t="n"/>
      <c r="I2499" s="11" t="n"/>
      <c r="J2499" s="11" t="n"/>
      <c r="K2499" s="11" t="n"/>
      <c r="L2499" s="11" t="n"/>
      <c r="M2499" s="11" t="n"/>
      <c r="N2499" s="11" t="n"/>
      <c r="O2499" s="12" t="n"/>
    </row>
    <row r="2500">
      <c r="A2500" s="11" t="n"/>
      <c r="B2500" s="11" t="n"/>
      <c r="C2500" s="11" t="n"/>
      <c r="D2500" s="11" t="n"/>
      <c r="E2500" s="11" t="n"/>
      <c r="F2500" s="11" t="n"/>
      <c r="G2500" s="11" t="n"/>
      <c r="H2500" s="11" t="n"/>
      <c r="I2500" s="11" t="n"/>
      <c r="J2500" s="11" t="n"/>
      <c r="K2500" s="11" t="n"/>
      <c r="L2500" s="11" t="n"/>
      <c r="M2500" s="11" t="n"/>
      <c r="N2500" s="11" t="n"/>
      <c r="O2500" s="12" t="n"/>
    </row>
    <row r="2501">
      <c r="A2501" s="11" t="n"/>
      <c r="B2501" s="11" t="n"/>
      <c r="C2501" s="11" t="n"/>
      <c r="D2501" s="11" t="n"/>
      <c r="E2501" s="11" t="n"/>
      <c r="F2501" s="11" t="n"/>
      <c r="G2501" s="11" t="n"/>
      <c r="H2501" s="11" t="n"/>
      <c r="I2501" s="11" t="n"/>
      <c r="J2501" s="11" t="n"/>
      <c r="K2501" s="11" t="n"/>
      <c r="L2501" s="11" t="n"/>
      <c r="M2501" s="11" t="n"/>
      <c r="N2501" s="11" t="n"/>
      <c r="O2501" s="12" t="n"/>
    </row>
    <row r="2502">
      <c r="A2502" s="11" t="n"/>
      <c r="B2502" s="11" t="n"/>
      <c r="C2502" s="11" t="n"/>
      <c r="D2502" s="11" t="n"/>
      <c r="E2502" s="11" t="n"/>
      <c r="F2502" s="11" t="n"/>
      <c r="G2502" s="11" t="n"/>
      <c r="H2502" s="11" t="n"/>
      <c r="I2502" s="11" t="n"/>
      <c r="J2502" s="11" t="n"/>
      <c r="K2502" s="11" t="n"/>
      <c r="L2502" s="11" t="n"/>
      <c r="M2502" s="11" t="n"/>
      <c r="N2502" s="11" t="n"/>
      <c r="O2502" s="12" t="n"/>
    </row>
    <row r="2503">
      <c r="A2503" s="11" t="n"/>
      <c r="B2503" s="11" t="n"/>
      <c r="C2503" s="11" t="n"/>
      <c r="D2503" s="11" t="n"/>
      <c r="E2503" s="11" t="n"/>
      <c r="F2503" s="11" t="n"/>
      <c r="G2503" s="11" t="n"/>
      <c r="H2503" s="11" t="n"/>
      <c r="I2503" s="11" t="n"/>
      <c r="J2503" s="11" t="n"/>
      <c r="K2503" s="11" t="n"/>
      <c r="L2503" s="11" t="n"/>
      <c r="M2503" s="11" t="n"/>
      <c r="N2503" s="11" t="n"/>
      <c r="O2503" s="12" t="n"/>
    </row>
    <row r="2504">
      <c r="A2504" s="11" t="n"/>
      <c r="B2504" s="11" t="n"/>
      <c r="C2504" s="11" t="n"/>
      <c r="D2504" s="11" t="n"/>
      <c r="E2504" s="11" t="n"/>
      <c r="F2504" s="11" t="n"/>
      <c r="G2504" s="11" t="n"/>
      <c r="H2504" s="11" t="n"/>
      <c r="I2504" s="11" t="n"/>
      <c r="J2504" s="11" t="n"/>
      <c r="K2504" s="11" t="n"/>
      <c r="L2504" s="11" t="n"/>
      <c r="M2504" s="11" t="n"/>
      <c r="N2504" s="11" t="n"/>
      <c r="O2504" s="12" t="n"/>
    </row>
    <row r="2505">
      <c r="A2505" s="11" t="n"/>
      <c r="B2505" s="11" t="n"/>
      <c r="C2505" s="11" t="n"/>
      <c r="D2505" s="11" t="n"/>
      <c r="E2505" s="11" t="n"/>
      <c r="F2505" s="11" t="n"/>
      <c r="G2505" s="11" t="n"/>
      <c r="H2505" s="11" t="n"/>
      <c r="I2505" s="11" t="n"/>
      <c r="J2505" s="11" t="n"/>
      <c r="K2505" s="11" t="n"/>
      <c r="L2505" s="11" t="n"/>
      <c r="M2505" s="11" t="n"/>
      <c r="N2505" s="11" t="n"/>
      <c r="O2505" s="12" t="n"/>
    </row>
    <row r="2506">
      <c r="A2506" s="11" t="n"/>
      <c r="B2506" s="11" t="n"/>
      <c r="C2506" s="11" t="n"/>
      <c r="D2506" s="11" t="n"/>
      <c r="E2506" s="11" t="n"/>
      <c r="F2506" s="11" t="n"/>
      <c r="G2506" s="11" t="n"/>
      <c r="H2506" s="11" t="n"/>
      <c r="I2506" s="11" t="n"/>
      <c r="J2506" s="11" t="n"/>
      <c r="K2506" s="11" t="n"/>
      <c r="L2506" s="11" t="n"/>
      <c r="M2506" s="11" t="n"/>
      <c r="N2506" s="11" t="n"/>
      <c r="O2506" s="12" t="n"/>
    </row>
    <row r="2507">
      <c r="A2507" s="11" t="n"/>
      <c r="B2507" s="11" t="n"/>
      <c r="C2507" s="11" t="n"/>
      <c r="D2507" s="11" t="n"/>
      <c r="E2507" s="11" t="n"/>
      <c r="F2507" s="11" t="n"/>
      <c r="G2507" s="11" t="n"/>
      <c r="H2507" s="11" t="n"/>
      <c r="I2507" s="11" t="n"/>
      <c r="J2507" s="11" t="n"/>
      <c r="K2507" s="11" t="n"/>
      <c r="L2507" s="11" t="n"/>
      <c r="M2507" s="11" t="n"/>
      <c r="N2507" s="11" t="n"/>
      <c r="O2507" s="12" t="n"/>
    </row>
    <row r="2508">
      <c r="A2508" s="11" t="n"/>
      <c r="B2508" s="11" t="n"/>
      <c r="C2508" s="11" t="n"/>
      <c r="D2508" s="11" t="n"/>
      <c r="E2508" s="11" t="n"/>
      <c r="F2508" s="11" t="n"/>
      <c r="G2508" s="11" t="n"/>
      <c r="H2508" s="11" t="n"/>
      <c r="I2508" s="11" t="n"/>
      <c r="J2508" s="11" t="n"/>
      <c r="K2508" s="11" t="n"/>
      <c r="L2508" s="11" t="n"/>
      <c r="M2508" s="11" t="n"/>
      <c r="N2508" s="11" t="n"/>
      <c r="O2508" s="12" t="n"/>
    </row>
    <row r="2509">
      <c r="A2509" s="11" t="n"/>
      <c r="B2509" s="11" t="n"/>
      <c r="C2509" s="11" t="n"/>
      <c r="D2509" s="11" t="n"/>
      <c r="E2509" s="11" t="n"/>
      <c r="F2509" s="11" t="n"/>
      <c r="G2509" s="11" t="n"/>
      <c r="H2509" s="11" t="n"/>
      <c r="I2509" s="11" t="n"/>
      <c r="J2509" s="11" t="n"/>
      <c r="K2509" s="11" t="n"/>
      <c r="L2509" s="11" t="n"/>
      <c r="M2509" s="11" t="n"/>
      <c r="N2509" s="11" t="n"/>
      <c r="O2509" s="12" t="n"/>
    </row>
    <row r="2510">
      <c r="A2510" s="11" t="n"/>
      <c r="B2510" s="11" t="n"/>
      <c r="C2510" s="11" t="n"/>
      <c r="D2510" s="11" t="n"/>
      <c r="E2510" s="11" t="n"/>
      <c r="F2510" s="11" t="n"/>
      <c r="G2510" s="11" t="n"/>
      <c r="H2510" s="11" t="n"/>
      <c r="I2510" s="11" t="n"/>
      <c r="J2510" s="11" t="n"/>
      <c r="K2510" s="11" t="n"/>
      <c r="L2510" s="11" t="n"/>
      <c r="M2510" s="11" t="n"/>
      <c r="N2510" s="11" t="n"/>
      <c r="O2510" s="12" t="n"/>
    </row>
    <row r="2511">
      <c r="A2511" s="11" t="n"/>
      <c r="B2511" s="11" t="n"/>
      <c r="C2511" s="11" t="n"/>
      <c r="D2511" s="11" t="n"/>
      <c r="E2511" s="11" t="n"/>
      <c r="F2511" s="11" t="n"/>
      <c r="G2511" s="11" t="n"/>
      <c r="H2511" s="11" t="n"/>
      <c r="I2511" s="11" t="n"/>
      <c r="J2511" s="11" t="n"/>
      <c r="K2511" s="11" t="n"/>
      <c r="L2511" s="11" t="n"/>
      <c r="M2511" s="11" t="n"/>
      <c r="N2511" s="11" t="n"/>
      <c r="O2511" s="12" t="n"/>
    </row>
    <row r="2512">
      <c r="A2512" s="11" t="n"/>
      <c r="B2512" s="11" t="n"/>
      <c r="C2512" s="11" t="n"/>
      <c r="D2512" s="11" t="n"/>
      <c r="E2512" s="11" t="n"/>
      <c r="F2512" s="11" t="n"/>
      <c r="G2512" s="11" t="n"/>
      <c r="H2512" s="11" t="n"/>
      <c r="I2512" s="11" t="n"/>
      <c r="J2512" s="11" t="n"/>
      <c r="K2512" s="11" t="n"/>
      <c r="L2512" s="11" t="n"/>
      <c r="M2512" s="11" t="n"/>
      <c r="N2512" s="11" t="n"/>
      <c r="O2512" s="12" t="n"/>
    </row>
    <row r="2513">
      <c r="A2513" s="11" t="n"/>
      <c r="B2513" s="11" t="n"/>
      <c r="C2513" s="11" t="n"/>
      <c r="D2513" s="11" t="n"/>
      <c r="E2513" s="11" t="n"/>
      <c r="F2513" s="11" t="n"/>
      <c r="G2513" s="11" t="n"/>
      <c r="H2513" s="11" t="n"/>
      <c r="I2513" s="11" t="n"/>
      <c r="J2513" s="11" t="n"/>
      <c r="K2513" s="11" t="n"/>
      <c r="L2513" s="11" t="n"/>
      <c r="M2513" s="11" t="n"/>
      <c r="N2513" s="11" t="n"/>
      <c r="O2513" s="12" t="n"/>
    </row>
    <row r="2514">
      <c r="A2514" s="11" t="n"/>
      <c r="B2514" s="11" t="n"/>
      <c r="C2514" s="11" t="n"/>
      <c r="D2514" s="11" t="n"/>
      <c r="E2514" s="11" t="n"/>
      <c r="F2514" s="11" t="n"/>
      <c r="G2514" s="11" t="n"/>
      <c r="H2514" s="11" t="n"/>
      <c r="I2514" s="11" t="n"/>
      <c r="J2514" s="11" t="n"/>
      <c r="K2514" s="11" t="n"/>
      <c r="L2514" s="11" t="n"/>
      <c r="M2514" s="11" t="n"/>
      <c r="N2514" s="11" t="n"/>
      <c r="O2514" s="12" t="n"/>
    </row>
    <row r="2515">
      <c r="A2515" s="11" t="n"/>
      <c r="B2515" s="11" t="n"/>
      <c r="C2515" s="11" t="n"/>
      <c r="D2515" s="11" t="n"/>
      <c r="E2515" s="11" t="n"/>
      <c r="F2515" s="11" t="n"/>
      <c r="G2515" s="11" t="n"/>
      <c r="H2515" s="11" t="n"/>
      <c r="I2515" s="11" t="n"/>
      <c r="J2515" s="11" t="n"/>
      <c r="K2515" s="11" t="n"/>
      <c r="L2515" s="11" t="n"/>
      <c r="M2515" s="11" t="n"/>
      <c r="N2515" s="11" t="n"/>
      <c r="O2515" s="12" t="n"/>
    </row>
    <row r="2516">
      <c r="A2516" s="11" t="n"/>
      <c r="B2516" s="11" t="n"/>
      <c r="C2516" s="11" t="n"/>
      <c r="D2516" s="11" t="n"/>
      <c r="E2516" s="11" t="n"/>
      <c r="F2516" s="11" t="n"/>
      <c r="G2516" s="11" t="n"/>
      <c r="H2516" s="11" t="n"/>
      <c r="I2516" s="11" t="n"/>
      <c r="J2516" s="11" t="n"/>
      <c r="K2516" s="11" t="n"/>
      <c r="L2516" s="11" t="n"/>
      <c r="M2516" s="11" t="n"/>
      <c r="N2516" s="11" t="n"/>
      <c r="O2516" s="12" t="n"/>
    </row>
    <row r="2517">
      <c r="A2517" s="11" t="n"/>
      <c r="B2517" s="11" t="n"/>
      <c r="C2517" s="11" t="n"/>
      <c r="D2517" s="11" t="n"/>
      <c r="E2517" s="11" t="n"/>
      <c r="F2517" s="11" t="n"/>
      <c r="G2517" s="11" t="n"/>
      <c r="H2517" s="11" t="n"/>
      <c r="I2517" s="11" t="n"/>
      <c r="J2517" s="11" t="n"/>
      <c r="K2517" s="11" t="n"/>
      <c r="L2517" s="11" t="n"/>
      <c r="M2517" s="11" t="n"/>
      <c r="N2517" s="11" t="n"/>
      <c r="O2517" s="12" t="n"/>
    </row>
    <row r="2518">
      <c r="A2518" s="11" t="n"/>
      <c r="B2518" s="11" t="n"/>
      <c r="C2518" s="11" t="n"/>
      <c r="D2518" s="11" t="n"/>
      <c r="E2518" s="11" t="n"/>
      <c r="F2518" s="11" t="n"/>
      <c r="G2518" s="11" t="n"/>
      <c r="H2518" s="11" t="n"/>
      <c r="I2518" s="11" t="n"/>
      <c r="J2518" s="11" t="n"/>
      <c r="K2518" s="11" t="n"/>
      <c r="L2518" s="11" t="n"/>
      <c r="M2518" s="11" t="n"/>
      <c r="N2518" s="11" t="n"/>
      <c r="O2518" s="12" t="n"/>
    </row>
    <row r="2519">
      <c r="A2519" s="11" t="n"/>
      <c r="B2519" s="11" t="n"/>
      <c r="C2519" s="11" t="n"/>
      <c r="D2519" s="11" t="n"/>
      <c r="E2519" s="11" t="n"/>
      <c r="F2519" s="11" t="n"/>
      <c r="G2519" s="11" t="n"/>
      <c r="H2519" s="11" t="n"/>
      <c r="I2519" s="11" t="n"/>
      <c r="J2519" s="11" t="n"/>
      <c r="K2519" s="11" t="n"/>
      <c r="L2519" s="11" t="n"/>
      <c r="M2519" s="11" t="n"/>
      <c r="N2519" s="11" t="n"/>
      <c r="O2519" s="12" t="n"/>
    </row>
    <row r="2520">
      <c r="A2520" s="11" t="n"/>
      <c r="B2520" s="11" t="n"/>
      <c r="C2520" s="11" t="n"/>
      <c r="D2520" s="11" t="n"/>
      <c r="E2520" s="11" t="n"/>
      <c r="F2520" s="11" t="n"/>
      <c r="G2520" s="11" t="n"/>
      <c r="H2520" s="11" t="n"/>
      <c r="I2520" s="11" t="n"/>
      <c r="J2520" s="11" t="n"/>
      <c r="K2520" s="11" t="n"/>
      <c r="L2520" s="11" t="n"/>
      <c r="M2520" s="11" t="n"/>
      <c r="N2520" s="11" t="n"/>
      <c r="O2520" s="12" t="n"/>
    </row>
    <row r="2521">
      <c r="A2521" s="11" t="n"/>
      <c r="B2521" s="11" t="n"/>
      <c r="C2521" s="11" t="n"/>
      <c r="D2521" s="11" t="n"/>
      <c r="E2521" s="11" t="n"/>
      <c r="F2521" s="11" t="n"/>
      <c r="G2521" s="11" t="n"/>
      <c r="H2521" s="11" t="n"/>
      <c r="I2521" s="11" t="n"/>
      <c r="J2521" s="11" t="n"/>
      <c r="K2521" s="11" t="n"/>
      <c r="L2521" s="11" t="n"/>
      <c r="M2521" s="11" t="n"/>
      <c r="N2521" s="11" t="n"/>
      <c r="O2521" s="12" t="n"/>
    </row>
    <row r="2522">
      <c r="A2522" s="11" t="n"/>
      <c r="B2522" s="11" t="n"/>
      <c r="C2522" s="11" t="n"/>
      <c r="D2522" s="11" t="n"/>
      <c r="E2522" s="11" t="n"/>
      <c r="F2522" s="11" t="n"/>
      <c r="G2522" s="11" t="n"/>
      <c r="H2522" s="11" t="n"/>
      <c r="I2522" s="11" t="n"/>
      <c r="J2522" s="11" t="n"/>
      <c r="K2522" s="11" t="n"/>
      <c r="L2522" s="11" t="n"/>
      <c r="M2522" s="11" t="n"/>
      <c r="N2522" s="11" t="n"/>
      <c r="O2522" s="12" t="n"/>
    </row>
    <row r="2523">
      <c r="A2523" s="11" t="n"/>
      <c r="B2523" s="11" t="n"/>
      <c r="C2523" s="11" t="n"/>
      <c r="D2523" s="11" t="n"/>
      <c r="E2523" s="11" t="n"/>
      <c r="F2523" s="11" t="n"/>
      <c r="G2523" s="11" t="n"/>
      <c r="H2523" s="11" t="n"/>
      <c r="I2523" s="11" t="n"/>
      <c r="J2523" s="11" t="n"/>
      <c r="K2523" s="11" t="n"/>
      <c r="L2523" s="11" t="n"/>
      <c r="M2523" s="11" t="n"/>
      <c r="N2523" s="11" t="n"/>
      <c r="O2523" s="12" t="n"/>
    </row>
    <row r="2524">
      <c r="A2524" s="11" t="n"/>
      <c r="B2524" s="11" t="n"/>
      <c r="C2524" s="11" t="n"/>
      <c r="D2524" s="11" t="n"/>
      <c r="E2524" s="11" t="n"/>
      <c r="F2524" s="11" t="n"/>
      <c r="G2524" s="11" t="n"/>
      <c r="H2524" s="11" t="n"/>
      <c r="I2524" s="11" t="n"/>
      <c r="J2524" s="11" t="n"/>
      <c r="K2524" s="11" t="n"/>
      <c r="L2524" s="11" t="n"/>
      <c r="M2524" s="11" t="n"/>
      <c r="N2524" s="11" t="n"/>
      <c r="O2524" s="12" t="n"/>
    </row>
    <row r="2525">
      <c r="A2525" s="11" t="n"/>
      <c r="B2525" s="11" t="n"/>
      <c r="C2525" s="11" t="n"/>
      <c r="D2525" s="11" t="n"/>
      <c r="E2525" s="11" t="n"/>
      <c r="F2525" s="11" t="n"/>
      <c r="G2525" s="11" t="n"/>
      <c r="H2525" s="11" t="n"/>
      <c r="I2525" s="11" t="n"/>
      <c r="J2525" s="11" t="n"/>
      <c r="K2525" s="11" t="n"/>
      <c r="L2525" s="11" t="n"/>
      <c r="M2525" s="11" t="n"/>
      <c r="N2525" s="11" t="n"/>
      <c r="O2525" s="12" t="n"/>
    </row>
    <row r="2526">
      <c r="A2526" s="11" t="n"/>
      <c r="B2526" s="11" t="n"/>
      <c r="C2526" s="11" t="n"/>
      <c r="D2526" s="11" t="n"/>
      <c r="E2526" s="11" t="n"/>
      <c r="F2526" s="11" t="n"/>
      <c r="G2526" s="11" t="n"/>
      <c r="H2526" s="11" t="n"/>
      <c r="I2526" s="11" t="n"/>
      <c r="J2526" s="11" t="n"/>
      <c r="K2526" s="11" t="n"/>
      <c r="L2526" s="11" t="n"/>
      <c r="M2526" s="11" t="n"/>
      <c r="N2526" s="11" t="n"/>
      <c r="O2526" s="12" t="n"/>
    </row>
    <row r="2527">
      <c r="A2527" s="11" t="n"/>
      <c r="B2527" s="11" t="n"/>
      <c r="C2527" s="11" t="n"/>
      <c r="D2527" s="11" t="n"/>
      <c r="E2527" s="11" t="n"/>
      <c r="F2527" s="11" t="n"/>
      <c r="G2527" s="11" t="n"/>
      <c r="H2527" s="11" t="n"/>
      <c r="I2527" s="11" t="n"/>
      <c r="J2527" s="11" t="n"/>
      <c r="K2527" s="11" t="n"/>
      <c r="L2527" s="11" t="n"/>
      <c r="M2527" s="11" t="n"/>
      <c r="N2527" s="11" t="n"/>
      <c r="O2527" s="12" t="n"/>
    </row>
    <row r="2528">
      <c r="A2528" s="11" t="n"/>
      <c r="B2528" s="11" t="n"/>
      <c r="C2528" s="11" t="n"/>
      <c r="D2528" s="11" t="n"/>
      <c r="E2528" s="11" t="n"/>
      <c r="F2528" s="11" t="n"/>
      <c r="G2528" s="11" t="n"/>
      <c r="H2528" s="11" t="n"/>
      <c r="I2528" s="11" t="n"/>
      <c r="J2528" s="11" t="n"/>
      <c r="K2528" s="11" t="n"/>
      <c r="L2528" s="11" t="n"/>
      <c r="M2528" s="11" t="n"/>
      <c r="N2528" s="11" t="n"/>
      <c r="O2528" s="12" t="n"/>
    </row>
    <row r="2529">
      <c r="A2529" s="11" t="n"/>
      <c r="B2529" s="11" t="n"/>
      <c r="C2529" s="11" t="n"/>
      <c r="D2529" s="11" t="n"/>
      <c r="E2529" s="11" t="n"/>
      <c r="F2529" s="11" t="n"/>
      <c r="G2529" s="11" t="n"/>
      <c r="H2529" s="11" t="n"/>
      <c r="I2529" s="11" t="n"/>
      <c r="J2529" s="11" t="n"/>
      <c r="K2529" s="11" t="n"/>
      <c r="L2529" s="11" t="n"/>
      <c r="M2529" s="11" t="n"/>
      <c r="N2529" s="11" t="n"/>
      <c r="O2529" s="12" t="n"/>
    </row>
    <row r="2530">
      <c r="A2530" s="11" t="n"/>
      <c r="B2530" s="11" t="n"/>
      <c r="C2530" s="11" t="n"/>
      <c r="D2530" s="11" t="n"/>
      <c r="E2530" s="11" t="n"/>
      <c r="F2530" s="11" t="n"/>
      <c r="G2530" s="11" t="n"/>
      <c r="H2530" s="11" t="n"/>
      <c r="I2530" s="11" t="n"/>
      <c r="J2530" s="11" t="n"/>
      <c r="K2530" s="11" t="n"/>
      <c r="L2530" s="11" t="n"/>
      <c r="M2530" s="11" t="n"/>
      <c r="N2530" s="11" t="n"/>
      <c r="O2530" s="12" t="n"/>
    </row>
    <row r="2531">
      <c r="A2531" s="11" t="n"/>
      <c r="B2531" s="11" t="n"/>
      <c r="C2531" s="11" t="n"/>
      <c r="D2531" s="11" t="n"/>
      <c r="E2531" s="11" t="n"/>
      <c r="F2531" s="11" t="n"/>
      <c r="G2531" s="11" t="n"/>
      <c r="H2531" s="11" t="n"/>
      <c r="I2531" s="11" t="n"/>
      <c r="J2531" s="11" t="n"/>
      <c r="K2531" s="11" t="n"/>
      <c r="L2531" s="11" t="n"/>
      <c r="M2531" s="11" t="n"/>
      <c r="N2531" s="11" t="n"/>
      <c r="O2531" s="12" t="n"/>
    </row>
    <row r="2532">
      <c r="A2532" s="11" t="n"/>
      <c r="B2532" s="11" t="n"/>
      <c r="C2532" s="11" t="n"/>
      <c r="D2532" s="11" t="n"/>
      <c r="E2532" s="11" t="n"/>
      <c r="F2532" s="11" t="n"/>
      <c r="G2532" s="11" t="n"/>
      <c r="H2532" s="11" t="n"/>
      <c r="I2532" s="11" t="n"/>
      <c r="J2532" s="11" t="n"/>
      <c r="K2532" s="11" t="n"/>
      <c r="L2532" s="11" t="n"/>
      <c r="M2532" s="11" t="n"/>
      <c r="N2532" s="11" t="n"/>
      <c r="O2532" s="12" t="n"/>
    </row>
    <row r="2533">
      <c r="A2533" s="11" t="n"/>
      <c r="B2533" s="11" t="n"/>
      <c r="C2533" s="11" t="n"/>
      <c r="D2533" s="11" t="n"/>
      <c r="E2533" s="11" t="n"/>
      <c r="F2533" s="11" t="n"/>
      <c r="G2533" s="11" t="n"/>
      <c r="H2533" s="11" t="n"/>
      <c r="I2533" s="11" t="n"/>
      <c r="J2533" s="11" t="n"/>
      <c r="K2533" s="11" t="n"/>
      <c r="L2533" s="11" t="n"/>
      <c r="M2533" s="11" t="n"/>
      <c r="N2533" s="11" t="n"/>
      <c r="O2533" s="12" t="n"/>
    </row>
    <row r="2534">
      <c r="A2534" s="11" t="n"/>
      <c r="B2534" s="11" t="n"/>
      <c r="C2534" s="11" t="n"/>
      <c r="D2534" s="11" t="n"/>
      <c r="E2534" s="11" t="n"/>
      <c r="F2534" s="11" t="n"/>
      <c r="G2534" s="11" t="n"/>
      <c r="H2534" s="11" t="n"/>
      <c r="I2534" s="11" t="n"/>
      <c r="J2534" s="11" t="n"/>
      <c r="K2534" s="11" t="n"/>
      <c r="L2534" s="11" t="n"/>
      <c r="M2534" s="11" t="n"/>
      <c r="N2534" s="11" t="n"/>
      <c r="O2534" s="12" t="n"/>
    </row>
    <row r="2535">
      <c r="A2535" s="11" t="n"/>
      <c r="B2535" s="11" t="n"/>
      <c r="C2535" s="11" t="n"/>
      <c r="D2535" s="11" t="n"/>
      <c r="E2535" s="11" t="n"/>
      <c r="F2535" s="11" t="n"/>
      <c r="G2535" s="11" t="n"/>
      <c r="H2535" s="11" t="n"/>
      <c r="I2535" s="11" t="n"/>
      <c r="J2535" s="11" t="n"/>
      <c r="K2535" s="11" t="n"/>
      <c r="L2535" s="11" t="n"/>
      <c r="M2535" s="11" t="n"/>
      <c r="N2535" s="11" t="n"/>
      <c r="O2535" s="12" t="n"/>
    </row>
    <row r="2536">
      <c r="A2536" s="11" t="n"/>
      <c r="B2536" s="11" t="n"/>
      <c r="C2536" s="11" t="n"/>
      <c r="D2536" s="11" t="n"/>
      <c r="E2536" s="11" t="n"/>
      <c r="F2536" s="11" t="n"/>
      <c r="G2536" s="11" t="n"/>
      <c r="H2536" s="11" t="n"/>
      <c r="I2536" s="11" t="n"/>
      <c r="J2536" s="11" t="n"/>
      <c r="K2536" s="11" t="n"/>
      <c r="L2536" s="11" t="n"/>
      <c r="M2536" s="11" t="n"/>
      <c r="N2536" s="11" t="n"/>
      <c r="O2536" s="12" t="n"/>
    </row>
    <row r="2537">
      <c r="A2537" s="11" t="n"/>
      <c r="B2537" s="11" t="n"/>
      <c r="C2537" s="11" t="n"/>
      <c r="D2537" s="11" t="n"/>
      <c r="E2537" s="11" t="n"/>
      <c r="F2537" s="11" t="n"/>
      <c r="G2537" s="11" t="n"/>
      <c r="H2537" s="11" t="n"/>
      <c r="I2537" s="11" t="n"/>
      <c r="J2537" s="11" t="n"/>
      <c r="K2537" s="11" t="n"/>
      <c r="L2537" s="11" t="n"/>
      <c r="M2537" s="11" t="n"/>
      <c r="N2537" s="11" t="n"/>
      <c r="O2537" s="12" t="n"/>
    </row>
    <row r="2538">
      <c r="A2538" s="11" t="n"/>
      <c r="B2538" s="11" t="n"/>
      <c r="C2538" s="11" t="n"/>
      <c r="D2538" s="11" t="n"/>
      <c r="E2538" s="11" t="n"/>
      <c r="F2538" s="11" t="n"/>
      <c r="G2538" s="11" t="n"/>
      <c r="H2538" s="11" t="n"/>
      <c r="I2538" s="11" t="n"/>
      <c r="J2538" s="11" t="n"/>
      <c r="K2538" s="11" t="n"/>
      <c r="L2538" s="11" t="n"/>
      <c r="M2538" s="11" t="n"/>
      <c r="N2538" s="11" t="n"/>
      <c r="O2538" s="12" t="n"/>
    </row>
    <row r="2539">
      <c r="A2539" s="11" t="n"/>
      <c r="B2539" s="11" t="n"/>
      <c r="C2539" s="11" t="n"/>
      <c r="D2539" s="11" t="n"/>
      <c r="E2539" s="11" t="n"/>
      <c r="F2539" s="11" t="n"/>
      <c r="G2539" s="11" t="n"/>
      <c r="H2539" s="11" t="n"/>
      <c r="I2539" s="11" t="n"/>
      <c r="J2539" s="11" t="n"/>
      <c r="K2539" s="11" t="n"/>
      <c r="L2539" s="11" t="n"/>
      <c r="M2539" s="11" t="n"/>
      <c r="N2539" s="11" t="n"/>
      <c r="O2539" s="12" t="n"/>
    </row>
    <row r="2540">
      <c r="A2540" s="11" t="n"/>
      <c r="B2540" s="11" t="n"/>
      <c r="C2540" s="11" t="n"/>
      <c r="D2540" s="11" t="n"/>
      <c r="E2540" s="11" t="n"/>
      <c r="F2540" s="11" t="n"/>
      <c r="G2540" s="11" t="n"/>
      <c r="H2540" s="11" t="n"/>
      <c r="I2540" s="11" t="n"/>
      <c r="J2540" s="11" t="n"/>
      <c r="K2540" s="11" t="n"/>
      <c r="L2540" s="11" t="n"/>
      <c r="M2540" s="11" t="n"/>
      <c r="N2540" s="11" t="n"/>
      <c r="O2540" s="12" t="n"/>
    </row>
    <row r="2541">
      <c r="A2541" s="11" t="n"/>
      <c r="B2541" s="11" t="n"/>
      <c r="C2541" s="11" t="n"/>
      <c r="D2541" s="11" t="n"/>
      <c r="E2541" s="11" t="n"/>
      <c r="F2541" s="11" t="n"/>
      <c r="G2541" s="11" t="n"/>
      <c r="H2541" s="11" t="n"/>
      <c r="I2541" s="11" t="n"/>
      <c r="J2541" s="11" t="n"/>
      <c r="K2541" s="11" t="n"/>
      <c r="L2541" s="11" t="n"/>
      <c r="M2541" s="11" t="n"/>
      <c r="N2541" s="11" t="n"/>
      <c r="O2541" s="12" t="n"/>
    </row>
    <row r="2542">
      <c r="A2542" s="11" t="n"/>
      <c r="B2542" s="11" t="n"/>
      <c r="C2542" s="11" t="n"/>
      <c r="D2542" s="11" t="n"/>
      <c r="E2542" s="11" t="n"/>
      <c r="F2542" s="11" t="n"/>
      <c r="G2542" s="11" t="n"/>
      <c r="H2542" s="11" t="n"/>
      <c r="I2542" s="11" t="n"/>
      <c r="J2542" s="11" t="n"/>
      <c r="K2542" s="11" t="n"/>
      <c r="L2542" s="11" t="n"/>
      <c r="M2542" s="11" t="n"/>
      <c r="N2542" s="11" t="n"/>
      <c r="O2542" s="12" t="n"/>
    </row>
    <row r="2543">
      <c r="A2543" s="11" t="n"/>
      <c r="B2543" s="11" t="n"/>
      <c r="C2543" s="11" t="n"/>
      <c r="D2543" s="11" t="n"/>
      <c r="E2543" s="11" t="n"/>
      <c r="F2543" s="11" t="n"/>
      <c r="G2543" s="11" t="n"/>
      <c r="H2543" s="11" t="n"/>
      <c r="I2543" s="11" t="n"/>
      <c r="J2543" s="11" t="n"/>
      <c r="K2543" s="11" t="n"/>
      <c r="L2543" s="11" t="n"/>
      <c r="M2543" s="11" t="n"/>
      <c r="N2543" s="11" t="n"/>
      <c r="O2543" s="12" t="n"/>
    </row>
    <row r="2544">
      <c r="A2544" s="11" t="n"/>
      <c r="B2544" s="11" t="n"/>
      <c r="C2544" s="11" t="n"/>
      <c r="D2544" s="11" t="n"/>
      <c r="E2544" s="11" t="n"/>
      <c r="F2544" s="11" t="n"/>
      <c r="G2544" s="11" t="n"/>
      <c r="H2544" s="11" t="n"/>
      <c r="I2544" s="11" t="n"/>
      <c r="J2544" s="11" t="n"/>
      <c r="K2544" s="11" t="n"/>
      <c r="L2544" s="11" t="n"/>
      <c r="M2544" s="11" t="n"/>
      <c r="N2544" s="11" t="n"/>
      <c r="O2544" s="12" t="n"/>
    </row>
    <row r="2545">
      <c r="A2545" s="11" t="n"/>
      <c r="B2545" s="11" t="n"/>
      <c r="C2545" s="11" t="n"/>
      <c r="D2545" s="11" t="n"/>
      <c r="E2545" s="11" t="n"/>
      <c r="F2545" s="11" t="n"/>
      <c r="G2545" s="11" t="n"/>
      <c r="H2545" s="11" t="n"/>
      <c r="I2545" s="11" t="n"/>
      <c r="J2545" s="11" t="n"/>
      <c r="K2545" s="11" t="n"/>
      <c r="L2545" s="11" t="n"/>
      <c r="M2545" s="11" t="n"/>
      <c r="N2545" s="11" t="n"/>
      <c r="O2545" s="12" t="n"/>
    </row>
    <row r="2546">
      <c r="A2546" s="11" t="n"/>
      <c r="B2546" s="11" t="n"/>
      <c r="C2546" s="11" t="n"/>
      <c r="D2546" s="11" t="n"/>
      <c r="E2546" s="11" t="n"/>
      <c r="F2546" s="11" t="n"/>
      <c r="G2546" s="11" t="n"/>
      <c r="H2546" s="11" t="n"/>
      <c r="I2546" s="11" t="n"/>
      <c r="J2546" s="11" t="n"/>
      <c r="K2546" s="11" t="n"/>
      <c r="L2546" s="11" t="n"/>
      <c r="M2546" s="11" t="n"/>
      <c r="N2546" s="11" t="n"/>
      <c r="O2546" s="12" t="n"/>
    </row>
    <row r="2547">
      <c r="A2547" s="11" t="n"/>
      <c r="B2547" s="11" t="n"/>
      <c r="C2547" s="11" t="n"/>
      <c r="D2547" s="11" t="n"/>
      <c r="E2547" s="11" t="n"/>
      <c r="F2547" s="11" t="n"/>
      <c r="G2547" s="11" t="n"/>
      <c r="H2547" s="11" t="n"/>
      <c r="I2547" s="11" t="n"/>
      <c r="J2547" s="11" t="n"/>
      <c r="K2547" s="11" t="n"/>
      <c r="L2547" s="11" t="n"/>
      <c r="M2547" s="11" t="n"/>
      <c r="N2547" s="11" t="n"/>
      <c r="O2547" s="12" t="n"/>
    </row>
    <row r="2548">
      <c r="A2548" s="11" t="n"/>
      <c r="B2548" s="11" t="n"/>
      <c r="C2548" s="11" t="n"/>
      <c r="D2548" s="11" t="n"/>
      <c r="E2548" s="11" t="n"/>
      <c r="F2548" s="11" t="n"/>
      <c r="G2548" s="11" t="n"/>
      <c r="H2548" s="11" t="n"/>
      <c r="I2548" s="11" t="n"/>
      <c r="J2548" s="11" t="n"/>
      <c r="K2548" s="11" t="n"/>
      <c r="L2548" s="11" t="n"/>
      <c r="M2548" s="11" t="n"/>
      <c r="N2548" s="11" t="n"/>
      <c r="O2548" s="12" t="n"/>
    </row>
    <row r="2549">
      <c r="A2549" s="11" t="n"/>
      <c r="B2549" s="11" t="n"/>
      <c r="C2549" s="11" t="n"/>
      <c r="D2549" s="11" t="n"/>
      <c r="E2549" s="11" t="n"/>
      <c r="F2549" s="11" t="n"/>
      <c r="G2549" s="11" t="n"/>
      <c r="H2549" s="11" t="n"/>
      <c r="I2549" s="11" t="n"/>
      <c r="J2549" s="11" t="n"/>
      <c r="K2549" s="11" t="n"/>
      <c r="L2549" s="11" t="n"/>
      <c r="M2549" s="11" t="n"/>
      <c r="N2549" s="11" t="n"/>
      <c r="O2549" s="12" t="n"/>
    </row>
    <row r="2550">
      <c r="A2550" s="11" t="n"/>
      <c r="B2550" s="11" t="n"/>
      <c r="C2550" s="11" t="n"/>
      <c r="D2550" s="11" t="n"/>
      <c r="E2550" s="11" t="n"/>
      <c r="F2550" s="11" t="n"/>
      <c r="G2550" s="11" t="n"/>
      <c r="H2550" s="11" t="n"/>
      <c r="I2550" s="11" t="n"/>
      <c r="J2550" s="11" t="n"/>
      <c r="K2550" s="11" t="n"/>
      <c r="L2550" s="11" t="n"/>
      <c r="M2550" s="11" t="n"/>
      <c r="N2550" s="11" t="n"/>
      <c r="O2550" s="12" t="n"/>
    </row>
    <row r="2551">
      <c r="A2551" s="11" t="n"/>
      <c r="B2551" s="11" t="n"/>
      <c r="C2551" s="11" t="n"/>
      <c r="D2551" s="11" t="n"/>
      <c r="E2551" s="11" t="n"/>
      <c r="F2551" s="11" t="n"/>
      <c r="G2551" s="11" t="n"/>
      <c r="H2551" s="11" t="n"/>
      <c r="I2551" s="11" t="n"/>
      <c r="J2551" s="11" t="n"/>
      <c r="K2551" s="11" t="n"/>
      <c r="L2551" s="11" t="n"/>
      <c r="M2551" s="11" t="n"/>
      <c r="N2551" s="11" t="n"/>
      <c r="O2551" s="12" t="n"/>
    </row>
    <row r="2552">
      <c r="A2552" s="11" t="n"/>
      <c r="B2552" s="11" t="n"/>
      <c r="C2552" s="11" t="n"/>
      <c r="D2552" s="11" t="n"/>
      <c r="E2552" s="11" t="n"/>
      <c r="F2552" s="11" t="n"/>
      <c r="G2552" s="11" t="n"/>
      <c r="H2552" s="11" t="n"/>
      <c r="I2552" s="11" t="n"/>
      <c r="J2552" s="11" t="n"/>
      <c r="K2552" s="11" t="n"/>
      <c r="L2552" s="11" t="n"/>
      <c r="M2552" s="11" t="n"/>
      <c r="N2552" s="11" t="n"/>
      <c r="O2552" s="12" t="n"/>
    </row>
    <row r="2553">
      <c r="A2553" s="11" t="n"/>
      <c r="B2553" s="11" t="n"/>
      <c r="C2553" s="11" t="n"/>
      <c r="D2553" s="11" t="n"/>
      <c r="E2553" s="11" t="n"/>
      <c r="F2553" s="11" t="n"/>
      <c r="G2553" s="11" t="n"/>
      <c r="H2553" s="11" t="n"/>
      <c r="I2553" s="11" t="n"/>
      <c r="J2553" s="11" t="n"/>
      <c r="K2553" s="11" t="n"/>
      <c r="L2553" s="11" t="n"/>
      <c r="M2553" s="11" t="n"/>
      <c r="N2553" s="11" t="n"/>
      <c r="O2553" s="12" t="n"/>
    </row>
    <row r="2554">
      <c r="A2554" s="11" t="n"/>
      <c r="B2554" s="11" t="n"/>
      <c r="C2554" s="11" t="n"/>
      <c r="D2554" s="11" t="n"/>
      <c r="E2554" s="11" t="n"/>
      <c r="F2554" s="11" t="n"/>
      <c r="G2554" s="11" t="n"/>
      <c r="H2554" s="11" t="n"/>
      <c r="I2554" s="11" t="n"/>
      <c r="J2554" s="11" t="n"/>
      <c r="K2554" s="11" t="n"/>
      <c r="L2554" s="11" t="n"/>
      <c r="M2554" s="11" t="n"/>
      <c r="N2554" s="11" t="n"/>
      <c r="O2554" s="12" t="n"/>
    </row>
    <row r="2555">
      <c r="A2555" s="11" t="n"/>
      <c r="B2555" s="11" t="n"/>
      <c r="C2555" s="11" t="n"/>
      <c r="D2555" s="11" t="n"/>
      <c r="E2555" s="11" t="n"/>
      <c r="F2555" s="11" t="n"/>
      <c r="G2555" s="11" t="n"/>
      <c r="H2555" s="11" t="n"/>
      <c r="I2555" s="11" t="n"/>
      <c r="J2555" s="11" t="n"/>
      <c r="K2555" s="11" t="n"/>
      <c r="L2555" s="11" t="n"/>
      <c r="M2555" s="11" t="n"/>
      <c r="N2555" s="11" t="n"/>
      <c r="O2555" s="12" t="n"/>
    </row>
    <row r="2556">
      <c r="A2556" s="11" t="n"/>
      <c r="B2556" s="11" t="n"/>
      <c r="C2556" s="11" t="n"/>
      <c r="D2556" s="11" t="n"/>
      <c r="E2556" s="11" t="n"/>
      <c r="F2556" s="11" t="n"/>
      <c r="G2556" s="11" t="n"/>
      <c r="H2556" s="11" t="n"/>
      <c r="I2556" s="11" t="n"/>
      <c r="J2556" s="11" t="n"/>
      <c r="K2556" s="11" t="n"/>
      <c r="L2556" s="11" t="n"/>
      <c r="M2556" s="11" t="n"/>
      <c r="N2556" s="11" t="n"/>
      <c r="O2556" s="12" t="n"/>
    </row>
    <row r="2557">
      <c r="A2557" s="11" t="n"/>
      <c r="B2557" s="11" t="n"/>
      <c r="C2557" s="11" t="n"/>
      <c r="D2557" s="11" t="n"/>
      <c r="E2557" s="11" t="n"/>
      <c r="F2557" s="11" t="n"/>
      <c r="G2557" s="11" t="n"/>
      <c r="H2557" s="11" t="n"/>
      <c r="I2557" s="11" t="n"/>
      <c r="J2557" s="11" t="n"/>
      <c r="K2557" s="11" t="n"/>
      <c r="L2557" s="11" t="n"/>
      <c r="M2557" s="11" t="n"/>
      <c r="N2557" s="11" t="n"/>
      <c r="O2557" s="12" t="n"/>
    </row>
    <row r="2558">
      <c r="A2558" s="11" t="n"/>
      <c r="B2558" s="11" t="n"/>
      <c r="C2558" s="11" t="n"/>
      <c r="D2558" s="11" t="n"/>
      <c r="E2558" s="11" t="n"/>
      <c r="F2558" s="11" t="n"/>
      <c r="G2558" s="11" t="n"/>
      <c r="H2558" s="11" t="n"/>
      <c r="I2558" s="11" t="n"/>
      <c r="J2558" s="11" t="n"/>
      <c r="K2558" s="11" t="n"/>
      <c r="L2558" s="11" t="n"/>
      <c r="M2558" s="11" t="n"/>
      <c r="N2558" s="11" t="n"/>
      <c r="O2558" s="12" t="n"/>
    </row>
    <row r="2559">
      <c r="A2559" s="11" t="n"/>
      <c r="B2559" s="11" t="n"/>
      <c r="C2559" s="11" t="n"/>
      <c r="D2559" s="11" t="n"/>
      <c r="E2559" s="11" t="n"/>
      <c r="F2559" s="11" t="n"/>
      <c r="G2559" s="11" t="n"/>
      <c r="H2559" s="11" t="n"/>
      <c r="I2559" s="11" t="n"/>
      <c r="J2559" s="11" t="n"/>
      <c r="K2559" s="11" t="n"/>
      <c r="L2559" s="11" t="n"/>
      <c r="M2559" s="11" t="n"/>
      <c r="N2559" s="11" t="n"/>
      <c r="O2559" s="12" t="n"/>
    </row>
    <row r="2560">
      <c r="A2560" s="11" t="n"/>
      <c r="B2560" s="11" t="n"/>
      <c r="C2560" s="11" t="n"/>
      <c r="D2560" s="11" t="n"/>
      <c r="E2560" s="11" t="n"/>
      <c r="F2560" s="11" t="n"/>
      <c r="G2560" s="11" t="n"/>
      <c r="H2560" s="11" t="n"/>
      <c r="I2560" s="11" t="n"/>
      <c r="J2560" s="11" t="n"/>
      <c r="K2560" s="11" t="n"/>
      <c r="L2560" s="11" t="n"/>
      <c r="M2560" s="11" t="n"/>
      <c r="N2560" s="11" t="n"/>
      <c r="O2560" s="12" t="n"/>
    </row>
    <row r="2561">
      <c r="A2561" s="11" t="n"/>
      <c r="B2561" s="11" t="n"/>
      <c r="C2561" s="11" t="n"/>
      <c r="D2561" s="11" t="n"/>
      <c r="E2561" s="11" t="n"/>
      <c r="F2561" s="11" t="n"/>
      <c r="G2561" s="11" t="n"/>
      <c r="H2561" s="11" t="n"/>
      <c r="I2561" s="11" t="n"/>
      <c r="J2561" s="11" t="n"/>
      <c r="K2561" s="11" t="n"/>
      <c r="L2561" s="11" t="n"/>
      <c r="M2561" s="11" t="n"/>
      <c r="N2561" s="11" t="n"/>
      <c r="O2561" s="12" t="n"/>
    </row>
    <row r="2562">
      <c r="A2562" s="11" t="n"/>
      <c r="B2562" s="11" t="n"/>
      <c r="C2562" s="11" t="n"/>
      <c r="D2562" s="11" t="n"/>
      <c r="E2562" s="11" t="n"/>
      <c r="F2562" s="11" t="n"/>
      <c r="G2562" s="11" t="n"/>
      <c r="H2562" s="11" t="n"/>
      <c r="I2562" s="11" t="n"/>
      <c r="J2562" s="11" t="n"/>
      <c r="K2562" s="11" t="n"/>
      <c r="L2562" s="11" t="n"/>
      <c r="M2562" s="11" t="n"/>
      <c r="N2562" s="11" t="n"/>
      <c r="O2562" s="12" t="n"/>
    </row>
    <row r="2563">
      <c r="A2563" s="11" t="n"/>
      <c r="B2563" s="11" t="n"/>
      <c r="C2563" s="11" t="n"/>
      <c r="D2563" s="11" t="n"/>
      <c r="E2563" s="11" t="n"/>
      <c r="F2563" s="11" t="n"/>
      <c r="G2563" s="11" t="n"/>
      <c r="H2563" s="11" t="n"/>
      <c r="I2563" s="11" t="n"/>
      <c r="J2563" s="11" t="n"/>
      <c r="K2563" s="11" t="n"/>
      <c r="L2563" s="11" t="n"/>
      <c r="M2563" s="11" t="n"/>
      <c r="N2563" s="11" t="n"/>
      <c r="O2563" s="12" t="n"/>
    </row>
    <row r="2564">
      <c r="A2564" s="11" t="n"/>
      <c r="B2564" s="11" t="n"/>
      <c r="C2564" s="11" t="n"/>
      <c r="D2564" s="11" t="n"/>
      <c r="E2564" s="11" t="n"/>
      <c r="F2564" s="11" t="n"/>
      <c r="G2564" s="11" t="n"/>
      <c r="H2564" s="11" t="n"/>
      <c r="I2564" s="11" t="n"/>
      <c r="J2564" s="11" t="n"/>
      <c r="K2564" s="11" t="n"/>
      <c r="L2564" s="11" t="n"/>
      <c r="M2564" s="11" t="n"/>
      <c r="N2564" s="11" t="n"/>
      <c r="O2564" s="12" t="n"/>
    </row>
    <row r="2565">
      <c r="A2565" s="11" t="n"/>
      <c r="B2565" s="11" t="n"/>
      <c r="C2565" s="11" t="n"/>
      <c r="D2565" s="11" t="n"/>
      <c r="E2565" s="11" t="n"/>
      <c r="F2565" s="11" t="n"/>
      <c r="G2565" s="11" t="n"/>
      <c r="H2565" s="11" t="n"/>
      <c r="I2565" s="11" t="n"/>
      <c r="J2565" s="11" t="n"/>
      <c r="K2565" s="11" t="n"/>
      <c r="L2565" s="11" t="n"/>
      <c r="M2565" s="11" t="n"/>
      <c r="N2565" s="11" t="n"/>
      <c r="O2565" s="12" t="n"/>
    </row>
    <row r="2566">
      <c r="A2566" s="11" t="n"/>
      <c r="B2566" s="11" t="n"/>
      <c r="C2566" s="11" t="n"/>
      <c r="D2566" s="11" t="n"/>
      <c r="E2566" s="11" t="n"/>
      <c r="F2566" s="11" t="n"/>
      <c r="G2566" s="11" t="n"/>
      <c r="H2566" s="11" t="n"/>
      <c r="I2566" s="11" t="n"/>
      <c r="J2566" s="11" t="n"/>
      <c r="K2566" s="11" t="n"/>
      <c r="L2566" s="11" t="n"/>
      <c r="M2566" s="11" t="n"/>
      <c r="N2566" s="11" t="n"/>
      <c r="O2566" s="12" t="n"/>
    </row>
    <row r="2567">
      <c r="A2567" s="11" t="n"/>
      <c r="B2567" s="11" t="n"/>
      <c r="C2567" s="11" t="n"/>
      <c r="D2567" s="11" t="n"/>
      <c r="E2567" s="11" t="n"/>
      <c r="F2567" s="11" t="n"/>
      <c r="G2567" s="11" t="n"/>
      <c r="H2567" s="11" t="n"/>
      <c r="I2567" s="11" t="n"/>
      <c r="J2567" s="11" t="n"/>
      <c r="K2567" s="11" t="n"/>
      <c r="L2567" s="11" t="n"/>
      <c r="M2567" s="11" t="n"/>
      <c r="N2567" s="11" t="n"/>
      <c r="O2567" s="12" t="n"/>
    </row>
    <row r="2568">
      <c r="A2568" s="11" t="n"/>
      <c r="B2568" s="11" t="n"/>
      <c r="C2568" s="11" t="n"/>
      <c r="D2568" s="11" t="n"/>
      <c r="E2568" s="11" t="n"/>
      <c r="F2568" s="11" t="n"/>
      <c r="G2568" s="11" t="n"/>
      <c r="H2568" s="11" t="n"/>
      <c r="I2568" s="11" t="n"/>
      <c r="J2568" s="11" t="n"/>
      <c r="K2568" s="11" t="n"/>
      <c r="L2568" s="11" t="n"/>
      <c r="M2568" s="11" t="n"/>
      <c r="N2568" s="11" t="n"/>
      <c r="O2568" s="12" t="n"/>
    </row>
    <row r="2569">
      <c r="A2569" s="11" t="n"/>
      <c r="B2569" s="11" t="n"/>
      <c r="C2569" s="11" t="n"/>
      <c r="D2569" s="11" t="n"/>
      <c r="E2569" s="11" t="n"/>
      <c r="F2569" s="11" t="n"/>
      <c r="G2569" s="11" t="n"/>
      <c r="H2569" s="11" t="n"/>
      <c r="I2569" s="11" t="n"/>
      <c r="J2569" s="11" t="n"/>
      <c r="K2569" s="11" t="n"/>
      <c r="L2569" s="11" t="n"/>
      <c r="M2569" s="11" t="n"/>
      <c r="N2569" s="11" t="n"/>
      <c r="O2569" s="12" t="n"/>
    </row>
    <row r="2570">
      <c r="A2570" s="11" t="n"/>
      <c r="B2570" s="11" t="n"/>
      <c r="C2570" s="11" t="n"/>
      <c r="D2570" s="11" t="n"/>
      <c r="E2570" s="11" t="n"/>
      <c r="F2570" s="11" t="n"/>
      <c r="G2570" s="11" t="n"/>
      <c r="H2570" s="11" t="n"/>
      <c r="I2570" s="11" t="n"/>
      <c r="J2570" s="11" t="n"/>
      <c r="K2570" s="11" t="n"/>
      <c r="L2570" s="11" t="n"/>
      <c r="M2570" s="11" t="n"/>
      <c r="N2570" s="11" t="n"/>
      <c r="O2570" s="12" t="n"/>
    </row>
    <row r="2571">
      <c r="A2571" s="11" t="n"/>
      <c r="B2571" s="11" t="n"/>
      <c r="C2571" s="11" t="n"/>
      <c r="D2571" s="11" t="n"/>
      <c r="E2571" s="11" t="n"/>
      <c r="F2571" s="11" t="n"/>
      <c r="G2571" s="11" t="n"/>
      <c r="H2571" s="11" t="n"/>
      <c r="I2571" s="11" t="n"/>
      <c r="J2571" s="11" t="n"/>
      <c r="K2571" s="11" t="n"/>
      <c r="L2571" s="11" t="n"/>
      <c r="M2571" s="11" t="n"/>
      <c r="N2571" s="11" t="n"/>
      <c r="O2571" s="12" t="n"/>
    </row>
    <row r="2572">
      <c r="A2572" s="11" t="n"/>
      <c r="B2572" s="11" t="n"/>
      <c r="C2572" s="11" t="n"/>
      <c r="D2572" s="11" t="n"/>
      <c r="E2572" s="11" t="n"/>
      <c r="F2572" s="11" t="n"/>
      <c r="G2572" s="11" t="n"/>
      <c r="H2572" s="11" t="n"/>
      <c r="I2572" s="11" t="n"/>
      <c r="J2572" s="11" t="n"/>
      <c r="K2572" s="11" t="n"/>
      <c r="L2572" s="11" t="n"/>
      <c r="M2572" s="11" t="n"/>
      <c r="N2572" s="11" t="n"/>
      <c r="O2572" s="12" t="n"/>
    </row>
    <row r="2573">
      <c r="A2573" s="11" t="n"/>
      <c r="B2573" s="11" t="n"/>
      <c r="C2573" s="11" t="n"/>
      <c r="D2573" s="11" t="n"/>
      <c r="E2573" s="11" t="n"/>
      <c r="F2573" s="11" t="n"/>
      <c r="G2573" s="11" t="n"/>
      <c r="H2573" s="11" t="n"/>
      <c r="I2573" s="11" t="n"/>
      <c r="J2573" s="11" t="n"/>
      <c r="K2573" s="11" t="n"/>
      <c r="L2573" s="11" t="n"/>
      <c r="M2573" s="11" t="n"/>
      <c r="N2573" s="11" t="n"/>
      <c r="O2573" s="12" t="n"/>
    </row>
    <row r="2574">
      <c r="A2574" s="11" t="n"/>
      <c r="B2574" s="11" t="n"/>
      <c r="C2574" s="11" t="n"/>
      <c r="D2574" s="11" t="n"/>
      <c r="E2574" s="11" t="n"/>
      <c r="F2574" s="11" t="n"/>
      <c r="G2574" s="11" t="n"/>
      <c r="H2574" s="11" t="n"/>
      <c r="I2574" s="11" t="n"/>
      <c r="J2574" s="11" t="n"/>
      <c r="K2574" s="11" t="n"/>
      <c r="L2574" s="11" t="n"/>
      <c r="M2574" s="11" t="n"/>
      <c r="N2574" s="11" t="n"/>
      <c r="O2574" s="12" t="n"/>
    </row>
    <row r="2575">
      <c r="A2575" s="11" t="n"/>
      <c r="B2575" s="11" t="n"/>
      <c r="C2575" s="11" t="n"/>
      <c r="D2575" s="11" t="n"/>
      <c r="E2575" s="11" t="n"/>
      <c r="F2575" s="11" t="n"/>
      <c r="G2575" s="11" t="n"/>
      <c r="H2575" s="11" t="n"/>
      <c r="I2575" s="11" t="n"/>
      <c r="J2575" s="11" t="n"/>
      <c r="K2575" s="11" t="n"/>
      <c r="L2575" s="11" t="n"/>
      <c r="M2575" s="11" t="n"/>
      <c r="N2575" s="11" t="n"/>
      <c r="O2575" s="12" t="n"/>
    </row>
    <row r="2576">
      <c r="A2576" s="11" t="n"/>
      <c r="B2576" s="11" t="n"/>
      <c r="C2576" s="11" t="n"/>
      <c r="D2576" s="11" t="n"/>
      <c r="E2576" s="11" t="n"/>
      <c r="F2576" s="11" t="n"/>
      <c r="G2576" s="11" t="n"/>
      <c r="H2576" s="11" t="n"/>
      <c r="I2576" s="11" t="n"/>
      <c r="J2576" s="11" t="n"/>
      <c r="K2576" s="11" t="n"/>
      <c r="L2576" s="11" t="n"/>
      <c r="M2576" s="11" t="n"/>
      <c r="N2576" s="11" t="n"/>
      <c r="O2576" s="12" t="n"/>
    </row>
    <row r="2577">
      <c r="A2577" s="11" t="n"/>
      <c r="B2577" s="11" t="n"/>
      <c r="C2577" s="11" t="n"/>
      <c r="D2577" s="11" t="n"/>
      <c r="E2577" s="11" t="n"/>
      <c r="F2577" s="11" t="n"/>
      <c r="G2577" s="11" t="n"/>
      <c r="H2577" s="11" t="n"/>
      <c r="I2577" s="11" t="n"/>
      <c r="J2577" s="11" t="n"/>
      <c r="K2577" s="11" t="n"/>
      <c r="L2577" s="11" t="n"/>
      <c r="M2577" s="11" t="n"/>
      <c r="N2577" s="11" t="n"/>
      <c r="O2577" s="12" t="n"/>
    </row>
    <row r="2578">
      <c r="A2578" s="11" t="n"/>
      <c r="B2578" s="11" t="n"/>
      <c r="C2578" s="11" t="n"/>
      <c r="D2578" s="11" t="n"/>
      <c r="E2578" s="11" t="n"/>
      <c r="F2578" s="11" t="n"/>
      <c r="G2578" s="11" t="n"/>
      <c r="H2578" s="11" t="n"/>
      <c r="I2578" s="11" t="n"/>
      <c r="J2578" s="11" t="n"/>
      <c r="K2578" s="11" t="n"/>
      <c r="L2578" s="11" t="n"/>
      <c r="M2578" s="11" t="n"/>
      <c r="N2578" s="11" t="n"/>
      <c r="O2578" s="12" t="n"/>
    </row>
    <row r="2579">
      <c r="A2579" s="11" t="n"/>
      <c r="B2579" s="11" t="n"/>
      <c r="C2579" s="11" t="n"/>
      <c r="D2579" s="11" t="n"/>
      <c r="E2579" s="11" t="n"/>
      <c r="F2579" s="11" t="n"/>
      <c r="G2579" s="11" t="n"/>
      <c r="H2579" s="11" t="n"/>
      <c r="I2579" s="11" t="n"/>
      <c r="J2579" s="11" t="n"/>
      <c r="K2579" s="11" t="n"/>
      <c r="L2579" s="11" t="n"/>
      <c r="M2579" s="11" t="n"/>
      <c r="N2579" s="11" t="n"/>
      <c r="O2579" s="12" t="n"/>
    </row>
    <row r="2580">
      <c r="A2580" s="11" t="n"/>
      <c r="B2580" s="11" t="n"/>
      <c r="C2580" s="11" t="n"/>
      <c r="D2580" s="11" t="n"/>
      <c r="E2580" s="11" t="n"/>
      <c r="F2580" s="11" t="n"/>
      <c r="G2580" s="11" t="n"/>
      <c r="H2580" s="11" t="n"/>
      <c r="I2580" s="11" t="n"/>
      <c r="J2580" s="11" t="n"/>
      <c r="K2580" s="11" t="n"/>
      <c r="L2580" s="11" t="n"/>
      <c r="M2580" s="11" t="n"/>
      <c r="N2580" s="11" t="n"/>
      <c r="O2580" s="12" t="n"/>
    </row>
    <row r="2581">
      <c r="A2581" s="11" t="n"/>
      <c r="B2581" s="11" t="n"/>
      <c r="C2581" s="11" t="n"/>
      <c r="D2581" s="11" t="n"/>
      <c r="E2581" s="11" t="n"/>
      <c r="F2581" s="11" t="n"/>
      <c r="G2581" s="11" t="n"/>
      <c r="H2581" s="11" t="n"/>
      <c r="I2581" s="11" t="n"/>
      <c r="J2581" s="11" t="n"/>
      <c r="K2581" s="11" t="n"/>
      <c r="L2581" s="11" t="n"/>
      <c r="M2581" s="11" t="n"/>
      <c r="N2581" s="11" t="n"/>
      <c r="O2581" s="12" t="n"/>
    </row>
    <row r="2582">
      <c r="A2582" s="11" t="n"/>
      <c r="B2582" s="11" t="n"/>
      <c r="C2582" s="11" t="n"/>
      <c r="D2582" s="11" t="n"/>
      <c r="E2582" s="11" t="n"/>
      <c r="F2582" s="11" t="n"/>
      <c r="G2582" s="11" t="n"/>
      <c r="H2582" s="11" t="n"/>
      <c r="I2582" s="11" t="n"/>
      <c r="J2582" s="11" t="n"/>
      <c r="K2582" s="11" t="n"/>
      <c r="L2582" s="11" t="n"/>
      <c r="M2582" s="11" t="n"/>
      <c r="N2582" s="11" t="n"/>
      <c r="O2582" s="12" t="n"/>
    </row>
    <row r="2583">
      <c r="A2583" s="11" t="n"/>
      <c r="B2583" s="11" t="n"/>
      <c r="C2583" s="11" t="n"/>
      <c r="D2583" s="11" t="n"/>
      <c r="E2583" s="11" t="n"/>
      <c r="F2583" s="11" t="n"/>
      <c r="G2583" s="11" t="n"/>
      <c r="H2583" s="11" t="n"/>
      <c r="I2583" s="11" t="n"/>
      <c r="J2583" s="11" t="n"/>
      <c r="K2583" s="11" t="n"/>
      <c r="L2583" s="11" t="n"/>
      <c r="M2583" s="11" t="n"/>
      <c r="N2583" s="11" t="n"/>
      <c r="O2583" s="12" t="n"/>
    </row>
    <row r="2584">
      <c r="A2584" s="11" t="n"/>
      <c r="B2584" s="11" t="n"/>
      <c r="C2584" s="11" t="n"/>
      <c r="D2584" s="11" t="n"/>
      <c r="E2584" s="11" t="n"/>
      <c r="F2584" s="11" t="n"/>
      <c r="G2584" s="11" t="n"/>
      <c r="H2584" s="11" t="n"/>
      <c r="I2584" s="11" t="n"/>
      <c r="J2584" s="11" t="n"/>
      <c r="K2584" s="11" t="n"/>
      <c r="L2584" s="11" t="n"/>
      <c r="M2584" s="11" t="n"/>
      <c r="N2584" s="11" t="n"/>
      <c r="O2584" s="12" t="n"/>
    </row>
    <row r="2585">
      <c r="A2585" s="11" t="n"/>
      <c r="B2585" s="11" t="n"/>
      <c r="C2585" s="11" t="n"/>
      <c r="D2585" s="11" t="n"/>
      <c r="E2585" s="11" t="n"/>
      <c r="F2585" s="11" t="n"/>
      <c r="G2585" s="11" t="n"/>
      <c r="H2585" s="11" t="n"/>
      <c r="I2585" s="11" t="n"/>
      <c r="J2585" s="11" t="n"/>
      <c r="K2585" s="11" t="n"/>
      <c r="L2585" s="11" t="n"/>
      <c r="M2585" s="11" t="n"/>
      <c r="N2585" s="11" t="n"/>
      <c r="O2585" s="12" t="n"/>
    </row>
    <row r="2586">
      <c r="A2586" s="11" t="n"/>
      <c r="B2586" s="11" t="n"/>
      <c r="C2586" s="11" t="n"/>
      <c r="D2586" s="11" t="n"/>
      <c r="E2586" s="11" t="n"/>
      <c r="F2586" s="11" t="n"/>
      <c r="G2586" s="11" t="n"/>
      <c r="H2586" s="11" t="n"/>
      <c r="I2586" s="11" t="n"/>
      <c r="J2586" s="11" t="n"/>
      <c r="K2586" s="11" t="n"/>
      <c r="L2586" s="11" t="n"/>
      <c r="M2586" s="11" t="n"/>
      <c r="N2586" s="11" t="n"/>
      <c r="O2586" s="12" t="n"/>
    </row>
    <row r="2587">
      <c r="A2587" s="11" t="n"/>
      <c r="B2587" s="11" t="n"/>
      <c r="C2587" s="11" t="n"/>
      <c r="D2587" s="11" t="n"/>
      <c r="E2587" s="11" t="n"/>
      <c r="F2587" s="11" t="n"/>
      <c r="G2587" s="11" t="n"/>
      <c r="H2587" s="11" t="n"/>
      <c r="I2587" s="11" t="n"/>
      <c r="J2587" s="11" t="n"/>
      <c r="K2587" s="11" t="n"/>
      <c r="L2587" s="11" t="n"/>
      <c r="M2587" s="11" t="n"/>
      <c r="N2587" s="11" t="n"/>
      <c r="O2587" s="12" t="n"/>
    </row>
    <row r="2588">
      <c r="A2588" s="11" t="n"/>
      <c r="B2588" s="11" t="n"/>
      <c r="C2588" s="11" t="n"/>
      <c r="D2588" s="11" t="n"/>
      <c r="E2588" s="11" t="n"/>
      <c r="F2588" s="11" t="n"/>
      <c r="G2588" s="11" t="n"/>
      <c r="H2588" s="11" t="n"/>
      <c r="I2588" s="11" t="n"/>
      <c r="J2588" s="11" t="n"/>
      <c r="K2588" s="11" t="n"/>
      <c r="L2588" s="11" t="n"/>
      <c r="M2588" s="11" t="n"/>
      <c r="N2588" s="11" t="n"/>
      <c r="O2588" s="12" t="n"/>
    </row>
    <row r="2589">
      <c r="A2589" s="11" t="n"/>
      <c r="B2589" s="11" t="n"/>
      <c r="C2589" s="11" t="n"/>
      <c r="D2589" s="11" t="n"/>
      <c r="E2589" s="11" t="n"/>
      <c r="F2589" s="11" t="n"/>
      <c r="G2589" s="11" t="n"/>
      <c r="H2589" s="11" t="n"/>
      <c r="I2589" s="11" t="n"/>
      <c r="J2589" s="11" t="n"/>
      <c r="K2589" s="11" t="n"/>
      <c r="L2589" s="11" t="n"/>
      <c r="M2589" s="11" t="n"/>
      <c r="N2589" s="11" t="n"/>
      <c r="O2589" s="12" t="n"/>
    </row>
    <row r="2590">
      <c r="A2590" s="11" t="n"/>
      <c r="B2590" s="11" t="n"/>
      <c r="C2590" s="11" t="n"/>
      <c r="D2590" s="11" t="n"/>
      <c r="E2590" s="11" t="n"/>
      <c r="F2590" s="11" t="n"/>
      <c r="G2590" s="11" t="n"/>
      <c r="H2590" s="11" t="n"/>
      <c r="I2590" s="11" t="n"/>
      <c r="J2590" s="11" t="n"/>
      <c r="K2590" s="11" t="n"/>
      <c r="L2590" s="11" t="n"/>
      <c r="M2590" s="11" t="n"/>
      <c r="N2590" s="11" t="n"/>
      <c r="O2590" s="12" t="n"/>
    </row>
    <row r="2591">
      <c r="A2591" s="11" t="n"/>
      <c r="B2591" s="11" t="n"/>
      <c r="C2591" s="11" t="n"/>
      <c r="D2591" s="11" t="n"/>
      <c r="E2591" s="11" t="n"/>
      <c r="F2591" s="11" t="n"/>
      <c r="G2591" s="11" t="n"/>
      <c r="H2591" s="11" t="n"/>
      <c r="I2591" s="11" t="n"/>
      <c r="J2591" s="11" t="n"/>
      <c r="K2591" s="11" t="n"/>
      <c r="L2591" s="11" t="n"/>
      <c r="M2591" s="11" t="n"/>
      <c r="N2591" s="11" t="n"/>
      <c r="O2591" s="12" t="n"/>
    </row>
    <row r="2592">
      <c r="A2592" s="11" t="n"/>
      <c r="B2592" s="11" t="n"/>
      <c r="C2592" s="11" t="n"/>
      <c r="D2592" s="11" t="n"/>
      <c r="E2592" s="11" t="n"/>
      <c r="F2592" s="11" t="n"/>
      <c r="G2592" s="11" t="n"/>
      <c r="H2592" s="11" t="n"/>
      <c r="I2592" s="11" t="n"/>
      <c r="J2592" s="11" t="n"/>
      <c r="K2592" s="11" t="n"/>
      <c r="L2592" s="11" t="n"/>
      <c r="M2592" s="11" t="n"/>
      <c r="N2592" s="11" t="n"/>
      <c r="O2592" s="12" t="n"/>
    </row>
    <row r="2593">
      <c r="A2593" s="11" t="n"/>
      <c r="B2593" s="11" t="n"/>
      <c r="C2593" s="11" t="n"/>
      <c r="D2593" s="11" t="n"/>
      <c r="E2593" s="11" t="n"/>
      <c r="F2593" s="11" t="n"/>
      <c r="G2593" s="11" t="n"/>
      <c r="H2593" s="11" t="n"/>
      <c r="I2593" s="11" t="n"/>
      <c r="J2593" s="11" t="n"/>
      <c r="K2593" s="11" t="n"/>
      <c r="L2593" s="11" t="n"/>
      <c r="M2593" s="11" t="n"/>
      <c r="N2593" s="11" t="n"/>
      <c r="O2593" s="12" t="n"/>
    </row>
    <row r="2594">
      <c r="A2594" s="11" t="n"/>
      <c r="B2594" s="11" t="n"/>
      <c r="C2594" s="11" t="n"/>
      <c r="D2594" s="11" t="n"/>
      <c r="E2594" s="11" t="n"/>
      <c r="F2594" s="11" t="n"/>
      <c r="G2594" s="11" t="n"/>
      <c r="H2594" s="11" t="n"/>
      <c r="I2594" s="11" t="n"/>
      <c r="J2594" s="11" t="n"/>
      <c r="K2594" s="11" t="n"/>
      <c r="L2594" s="11" t="n"/>
      <c r="M2594" s="11" t="n"/>
      <c r="N2594" s="11" t="n"/>
      <c r="O2594" s="12" t="n"/>
    </row>
    <row r="2595">
      <c r="A2595" s="11" t="n"/>
      <c r="B2595" s="11" t="n"/>
      <c r="C2595" s="11" t="n"/>
      <c r="D2595" s="11" t="n"/>
      <c r="E2595" s="11" t="n"/>
      <c r="F2595" s="11" t="n"/>
      <c r="G2595" s="11" t="n"/>
      <c r="H2595" s="11" t="n"/>
      <c r="I2595" s="11" t="n"/>
      <c r="J2595" s="11" t="n"/>
      <c r="K2595" s="11" t="n"/>
      <c r="L2595" s="11" t="n"/>
      <c r="M2595" s="11" t="n"/>
      <c r="N2595" s="11" t="n"/>
      <c r="O2595" s="12" t="n"/>
    </row>
    <row r="2596">
      <c r="A2596" s="11" t="n"/>
      <c r="B2596" s="11" t="n"/>
      <c r="C2596" s="11" t="n"/>
      <c r="D2596" s="11" t="n"/>
      <c r="E2596" s="11" t="n"/>
      <c r="F2596" s="11" t="n"/>
      <c r="G2596" s="11" t="n"/>
      <c r="H2596" s="11" t="n"/>
      <c r="I2596" s="11" t="n"/>
      <c r="J2596" s="11" t="n"/>
      <c r="K2596" s="11" t="n"/>
      <c r="L2596" s="11" t="n"/>
      <c r="M2596" s="11" t="n"/>
      <c r="N2596" s="11" t="n"/>
      <c r="O2596" s="12" t="n"/>
    </row>
    <row r="2597">
      <c r="A2597" s="11" t="n"/>
      <c r="B2597" s="11" t="n"/>
      <c r="C2597" s="11" t="n"/>
      <c r="D2597" s="11" t="n"/>
      <c r="E2597" s="11" t="n"/>
      <c r="F2597" s="11" t="n"/>
      <c r="G2597" s="11" t="n"/>
      <c r="H2597" s="11" t="n"/>
      <c r="I2597" s="11" t="n"/>
      <c r="J2597" s="11" t="n"/>
      <c r="K2597" s="11" t="n"/>
      <c r="L2597" s="11" t="n"/>
      <c r="M2597" s="11" t="n"/>
      <c r="N2597" s="11" t="n"/>
      <c r="O2597" s="12" t="n"/>
    </row>
    <row r="2598">
      <c r="A2598" s="11" t="n"/>
      <c r="B2598" s="11" t="n"/>
      <c r="C2598" s="11" t="n"/>
      <c r="D2598" s="11" t="n"/>
      <c r="E2598" s="11" t="n"/>
      <c r="F2598" s="11" t="n"/>
      <c r="G2598" s="11" t="n"/>
      <c r="H2598" s="11" t="n"/>
      <c r="I2598" s="11" t="n"/>
      <c r="J2598" s="11" t="n"/>
      <c r="K2598" s="11" t="n"/>
      <c r="L2598" s="11" t="n"/>
      <c r="M2598" s="11" t="n"/>
      <c r="N2598" s="11" t="n"/>
      <c r="O2598" s="12" t="n"/>
    </row>
    <row r="2599">
      <c r="A2599" s="11" t="n"/>
      <c r="B2599" s="11" t="n"/>
      <c r="C2599" s="11" t="n"/>
      <c r="D2599" s="11" t="n"/>
      <c r="E2599" s="11" t="n"/>
      <c r="F2599" s="11" t="n"/>
      <c r="G2599" s="11" t="n"/>
      <c r="H2599" s="11" t="n"/>
      <c r="I2599" s="11" t="n"/>
      <c r="J2599" s="11" t="n"/>
      <c r="K2599" s="11" t="n"/>
      <c r="L2599" s="11" t="n"/>
      <c r="M2599" s="11" t="n"/>
      <c r="N2599" s="11" t="n"/>
      <c r="O2599" s="12" t="n"/>
    </row>
    <row r="2600">
      <c r="A2600" s="11" t="n"/>
      <c r="B2600" s="11" t="n"/>
      <c r="C2600" s="11" t="n"/>
      <c r="D2600" s="11" t="n"/>
      <c r="E2600" s="11" t="n"/>
      <c r="F2600" s="11" t="n"/>
      <c r="G2600" s="11" t="n"/>
      <c r="H2600" s="11" t="n"/>
      <c r="I2600" s="11" t="n"/>
      <c r="J2600" s="11" t="n"/>
      <c r="K2600" s="11" t="n"/>
      <c r="L2600" s="11" t="n"/>
      <c r="M2600" s="11" t="n"/>
      <c r="N2600" s="11" t="n"/>
      <c r="O2600" s="12" t="n"/>
    </row>
    <row r="2601">
      <c r="A2601" s="11" t="n"/>
      <c r="B2601" s="11" t="n"/>
      <c r="C2601" s="11" t="n"/>
      <c r="D2601" s="11" t="n"/>
      <c r="E2601" s="11" t="n"/>
      <c r="F2601" s="11" t="n"/>
      <c r="G2601" s="11" t="n"/>
      <c r="H2601" s="11" t="n"/>
      <c r="I2601" s="11" t="n"/>
      <c r="J2601" s="11" t="n"/>
      <c r="K2601" s="11" t="n"/>
      <c r="L2601" s="11" t="n"/>
      <c r="M2601" s="11" t="n"/>
      <c r="N2601" s="11" t="n"/>
      <c r="O2601" s="12" t="n"/>
    </row>
    <row r="2602">
      <c r="A2602" s="11" t="n"/>
      <c r="B2602" s="11" t="n"/>
      <c r="C2602" s="11" t="n"/>
      <c r="D2602" s="11" t="n"/>
      <c r="E2602" s="11" t="n"/>
      <c r="F2602" s="11" t="n"/>
      <c r="G2602" s="11" t="n"/>
      <c r="H2602" s="11" t="n"/>
      <c r="I2602" s="11" t="n"/>
      <c r="J2602" s="11" t="n"/>
      <c r="K2602" s="11" t="n"/>
      <c r="L2602" s="11" t="n"/>
      <c r="M2602" s="11" t="n"/>
      <c r="N2602" s="11" t="n"/>
      <c r="O2602" s="12" t="n"/>
    </row>
    <row r="2603">
      <c r="A2603" s="11" t="n"/>
      <c r="B2603" s="11" t="n"/>
      <c r="C2603" s="11" t="n"/>
      <c r="D2603" s="11" t="n"/>
      <c r="E2603" s="11" t="n"/>
      <c r="F2603" s="11" t="n"/>
      <c r="G2603" s="11" t="n"/>
      <c r="H2603" s="11" t="n"/>
      <c r="I2603" s="11" t="n"/>
      <c r="J2603" s="11" t="n"/>
      <c r="K2603" s="11" t="n"/>
      <c r="L2603" s="11" t="n"/>
      <c r="M2603" s="11" t="n"/>
      <c r="N2603" s="11" t="n"/>
      <c r="O2603" s="12" t="n"/>
    </row>
    <row r="2604">
      <c r="A2604" s="11" t="n"/>
      <c r="B2604" s="11" t="n"/>
      <c r="C2604" s="11" t="n"/>
      <c r="D2604" s="11" t="n"/>
      <c r="E2604" s="11" t="n"/>
      <c r="F2604" s="11" t="n"/>
      <c r="G2604" s="11" t="n"/>
      <c r="H2604" s="11" t="n"/>
      <c r="I2604" s="11" t="n"/>
      <c r="J2604" s="11" t="n"/>
      <c r="K2604" s="11" t="n"/>
      <c r="L2604" s="11" t="n"/>
      <c r="M2604" s="11" t="n"/>
      <c r="N2604" s="11" t="n"/>
      <c r="O2604" s="12" t="n"/>
    </row>
    <row r="2605">
      <c r="A2605" s="11" t="n"/>
      <c r="B2605" s="11" t="n"/>
      <c r="C2605" s="11" t="n"/>
      <c r="D2605" s="11" t="n"/>
      <c r="E2605" s="11" t="n"/>
      <c r="F2605" s="11" t="n"/>
      <c r="G2605" s="11" t="n"/>
      <c r="H2605" s="11" t="n"/>
      <c r="I2605" s="11" t="n"/>
      <c r="J2605" s="11" t="n"/>
      <c r="K2605" s="11" t="n"/>
      <c r="L2605" s="11" t="n"/>
      <c r="M2605" s="11" t="n"/>
      <c r="N2605" s="11" t="n"/>
      <c r="O2605" s="12" t="n"/>
    </row>
    <row r="2606">
      <c r="A2606" s="11" t="n"/>
      <c r="B2606" s="11" t="n"/>
      <c r="C2606" s="11" t="n"/>
      <c r="D2606" s="11" t="n"/>
      <c r="E2606" s="11" t="n"/>
      <c r="F2606" s="11" t="n"/>
      <c r="G2606" s="11" t="n"/>
      <c r="H2606" s="11" t="n"/>
      <c r="I2606" s="11" t="n"/>
      <c r="J2606" s="11" t="n"/>
      <c r="K2606" s="11" t="n"/>
      <c r="L2606" s="11" t="n"/>
      <c r="M2606" s="11" t="n"/>
      <c r="N2606" s="11" t="n"/>
      <c r="O2606" s="12" t="n"/>
    </row>
    <row r="2607">
      <c r="A2607" s="11" t="n"/>
      <c r="B2607" s="11" t="n"/>
      <c r="C2607" s="11" t="n"/>
      <c r="D2607" s="11" t="n"/>
      <c r="E2607" s="11" t="n"/>
      <c r="F2607" s="11" t="n"/>
      <c r="G2607" s="11" t="n"/>
      <c r="H2607" s="11" t="n"/>
      <c r="I2607" s="11" t="n"/>
      <c r="J2607" s="11" t="n"/>
      <c r="K2607" s="11" t="n"/>
      <c r="L2607" s="11" t="n"/>
      <c r="M2607" s="11" t="n"/>
      <c r="N2607" s="11" t="n"/>
      <c r="O2607" s="12" t="n"/>
    </row>
    <row r="2608">
      <c r="A2608" s="11" t="n"/>
      <c r="B2608" s="11" t="n"/>
      <c r="C2608" s="11" t="n"/>
      <c r="D2608" s="11" t="n"/>
      <c r="E2608" s="11" t="n"/>
      <c r="F2608" s="11" t="n"/>
      <c r="G2608" s="11" t="n"/>
      <c r="H2608" s="11" t="n"/>
      <c r="I2608" s="11" t="n"/>
      <c r="J2608" s="11" t="n"/>
      <c r="K2608" s="11" t="n"/>
      <c r="L2608" s="11" t="n"/>
      <c r="M2608" s="11" t="n"/>
      <c r="N2608" s="11" t="n"/>
      <c r="O2608" s="12" t="n"/>
    </row>
    <row r="2609">
      <c r="A2609" s="11" t="n"/>
      <c r="B2609" s="11" t="n"/>
      <c r="C2609" s="11" t="n"/>
      <c r="D2609" s="11" t="n"/>
      <c r="E2609" s="11" t="n"/>
      <c r="F2609" s="11" t="n"/>
      <c r="G2609" s="11" t="n"/>
      <c r="H2609" s="11" t="n"/>
      <c r="I2609" s="11" t="n"/>
      <c r="J2609" s="11" t="n"/>
      <c r="K2609" s="11" t="n"/>
      <c r="L2609" s="11" t="n"/>
      <c r="M2609" s="11" t="n"/>
      <c r="N2609" s="11" t="n"/>
      <c r="O2609" s="12" t="n"/>
    </row>
    <row r="2610">
      <c r="A2610" s="11" t="n"/>
      <c r="B2610" s="11" t="n"/>
      <c r="C2610" s="11" t="n"/>
      <c r="D2610" s="11" t="n"/>
      <c r="E2610" s="11" t="n"/>
      <c r="F2610" s="11" t="n"/>
      <c r="G2610" s="11" t="n"/>
      <c r="H2610" s="11" t="n"/>
      <c r="I2610" s="11" t="n"/>
      <c r="J2610" s="11" t="n"/>
      <c r="K2610" s="11" t="n"/>
      <c r="L2610" s="11" t="n"/>
      <c r="M2610" s="11" t="n"/>
      <c r="N2610" s="11" t="n"/>
      <c r="O2610" s="12" t="n"/>
    </row>
    <row r="2611">
      <c r="A2611" s="11" t="n"/>
      <c r="B2611" s="11" t="n"/>
      <c r="C2611" s="11" t="n"/>
      <c r="D2611" s="11" t="n"/>
      <c r="E2611" s="11" t="n"/>
      <c r="F2611" s="11" t="n"/>
      <c r="G2611" s="11" t="n"/>
      <c r="H2611" s="11" t="n"/>
      <c r="I2611" s="11" t="n"/>
      <c r="J2611" s="11" t="n"/>
      <c r="K2611" s="11" t="n"/>
      <c r="L2611" s="11" t="n"/>
      <c r="M2611" s="11" t="n"/>
      <c r="N2611" s="11" t="n"/>
      <c r="O2611" s="12" t="n"/>
    </row>
    <row r="2612">
      <c r="A2612" s="11" t="n"/>
      <c r="B2612" s="11" t="n"/>
      <c r="C2612" s="11" t="n"/>
      <c r="D2612" s="11" t="n"/>
      <c r="E2612" s="11" t="n"/>
      <c r="F2612" s="11" t="n"/>
      <c r="G2612" s="11" t="n"/>
      <c r="H2612" s="11" t="n"/>
      <c r="I2612" s="11" t="n"/>
      <c r="J2612" s="11" t="n"/>
      <c r="K2612" s="11" t="n"/>
      <c r="L2612" s="11" t="n"/>
      <c r="M2612" s="11" t="n"/>
      <c r="N2612" s="11" t="n"/>
      <c r="O2612" s="12" t="n"/>
    </row>
    <row r="2613">
      <c r="A2613" s="11" t="n"/>
      <c r="B2613" s="11" t="n"/>
      <c r="C2613" s="11" t="n"/>
      <c r="D2613" s="11" t="n"/>
      <c r="E2613" s="11" t="n"/>
      <c r="F2613" s="11" t="n"/>
      <c r="G2613" s="11" t="n"/>
      <c r="H2613" s="11" t="n"/>
      <c r="I2613" s="11" t="n"/>
      <c r="J2613" s="11" t="n"/>
      <c r="K2613" s="11" t="n"/>
      <c r="L2613" s="11" t="n"/>
      <c r="M2613" s="11" t="n"/>
      <c r="N2613" s="11" t="n"/>
      <c r="O2613" s="12" t="n"/>
    </row>
    <row r="2614">
      <c r="A2614" s="11" t="n"/>
      <c r="B2614" s="11" t="n"/>
      <c r="C2614" s="11" t="n"/>
      <c r="D2614" s="11" t="n"/>
      <c r="E2614" s="11" t="n"/>
      <c r="F2614" s="11" t="n"/>
      <c r="G2614" s="11" t="n"/>
      <c r="H2614" s="11" t="n"/>
      <c r="I2614" s="11" t="n"/>
      <c r="J2614" s="11" t="n"/>
      <c r="K2614" s="11" t="n"/>
      <c r="L2614" s="11" t="n"/>
      <c r="M2614" s="11" t="n"/>
      <c r="N2614" s="11" t="n"/>
      <c r="O2614" s="12" t="n"/>
    </row>
    <row r="2615">
      <c r="A2615" s="11" t="n"/>
      <c r="B2615" s="11" t="n"/>
      <c r="C2615" s="11" t="n"/>
      <c r="D2615" s="11" t="n"/>
      <c r="E2615" s="11" t="n"/>
      <c r="F2615" s="11" t="n"/>
      <c r="G2615" s="11" t="n"/>
      <c r="H2615" s="11" t="n"/>
      <c r="I2615" s="11" t="n"/>
      <c r="J2615" s="11" t="n"/>
      <c r="K2615" s="11" t="n"/>
      <c r="L2615" s="11" t="n"/>
      <c r="M2615" s="11" t="n"/>
      <c r="N2615" s="11" t="n"/>
      <c r="O2615" s="12" t="n"/>
    </row>
    <row r="2616">
      <c r="A2616" s="11" t="n"/>
      <c r="B2616" s="11" t="n"/>
      <c r="C2616" s="11" t="n"/>
      <c r="D2616" s="11" t="n"/>
      <c r="E2616" s="11" t="n"/>
      <c r="F2616" s="11" t="n"/>
      <c r="G2616" s="11" t="n"/>
      <c r="H2616" s="11" t="n"/>
      <c r="I2616" s="11" t="n"/>
      <c r="J2616" s="11" t="n"/>
      <c r="K2616" s="11" t="n"/>
      <c r="L2616" s="11" t="n"/>
      <c r="M2616" s="11" t="n"/>
      <c r="N2616" s="11" t="n"/>
      <c r="O2616" s="12" t="n"/>
    </row>
    <row r="2617">
      <c r="A2617" s="11" t="n"/>
      <c r="B2617" s="11" t="n"/>
      <c r="C2617" s="11" t="n"/>
      <c r="D2617" s="11" t="n"/>
      <c r="E2617" s="11" t="n"/>
      <c r="F2617" s="11" t="n"/>
      <c r="G2617" s="11" t="n"/>
      <c r="H2617" s="11" t="n"/>
      <c r="I2617" s="11" t="n"/>
      <c r="J2617" s="11" t="n"/>
      <c r="K2617" s="11" t="n"/>
      <c r="L2617" s="11" t="n"/>
      <c r="M2617" s="11" t="n"/>
      <c r="N2617" s="11" t="n"/>
      <c r="O2617" s="12" t="n"/>
    </row>
    <row r="2618">
      <c r="A2618" s="11" t="n"/>
      <c r="B2618" s="11" t="n"/>
      <c r="C2618" s="11" t="n"/>
      <c r="D2618" s="11" t="n"/>
      <c r="E2618" s="11" t="n"/>
      <c r="F2618" s="11" t="n"/>
      <c r="G2618" s="11" t="n"/>
      <c r="H2618" s="11" t="n"/>
      <c r="I2618" s="11" t="n"/>
      <c r="J2618" s="11" t="n"/>
      <c r="K2618" s="11" t="n"/>
      <c r="L2618" s="11" t="n"/>
      <c r="M2618" s="11" t="n"/>
      <c r="N2618" s="11" t="n"/>
      <c r="O2618" s="12" t="n"/>
    </row>
    <row r="2619">
      <c r="A2619" s="11" t="n"/>
      <c r="B2619" s="11" t="n"/>
      <c r="C2619" s="11" t="n"/>
      <c r="D2619" s="11" t="n"/>
      <c r="E2619" s="11" t="n"/>
      <c r="F2619" s="11" t="n"/>
      <c r="G2619" s="11" t="n"/>
      <c r="H2619" s="11" t="n"/>
      <c r="I2619" s="11" t="n"/>
      <c r="J2619" s="11" t="n"/>
      <c r="K2619" s="11" t="n"/>
      <c r="L2619" s="11" t="n"/>
      <c r="M2619" s="11" t="n"/>
      <c r="N2619" s="11" t="n"/>
      <c r="O2619" s="12" t="n"/>
    </row>
    <row r="2620">
      <c r="A2620" s="11" t="n"/>
      <c r="B2620" s="11" t="n"/>
      <c r="C2620" s="11" t="n"/>
      <c r="D2620" s="11" t="n"/>
      <c r="E2620" s="11" t="n"/>
      <c r="F2620" s="11" t="n"/>
      <c r="G2620" s="11" t="n"/>
      <c r="H2620" s="11" t="n"/>
      <c r="I2620" s="11" t="n"/>
      <c r="J2620" s="11" t="n"/>
      <c r="K2620" s="11" t="n"/>
      <c r="L2620" s="11" t="n"/>
      <c r="M2620" s="11" t="n"/>
      <c r="N2620" s="11" t="n"/>
      <c r="O2620" s="12" t="n"/>
    </row>
    <row r="2621">
      <c r="A2621" s="11" t="n"/>
      <c r="B2621" s="11" t="n"/>
      <c r="C2621" s="11" t="n"/>
      <c r="D2621" s="11" t="n"/>
      <c r="E2621" s="11" t="n"/>
      <c r="F2621" s="11" t="n"/>
      <c r="G2621" s="11" t="n"/>
      <c r="H2621" s="11" t="n"/>
      <c r="I2621" s="11" t="n"/>
      <c r="J2621" s="11" t="n"/>
      <c r="K2621" s="11" t="n"/>
      <c r="L2621" s="11" t="n"/>
      <c r="M2621" s="11" t="n"/>
      <c r="N2621" s="11" t="n"/>
      <c r="O2621" s="12" t="n"/>
    </row>
    <row r="2622">
      <c r="A2622" s="11" t="n"/>
      <c r="B2622" s="11" t="n"/>
      <c r="C2622" s="11" t="n"/>
      <c r="D2622" s="11" t="n"/>
      <c r="E2622" s="11" t="n"/>
      <c r="F2622" s="11" t="n"/>
      <c r="G2622" s="11" t="n"/>
      <c r="H2622" s="11" t="n"/>
      <c r="I2622" s="11" t="n"/>
      <c r="J2622" s="11" t="n"/>
      <c r="K2622" s="11" t="n"/>
      <c r="L2622" s="11" t="n"/>
      <c r="M2622" s="11" t="n"/>
      <c r="N2622" s="11" t="n"/>
      <c r="O2622" s="12" t="n"/>
    </row>
    <row r="2623">
      <c r="A2623" s="11" t="n"/>
      <c r="B2623" s="11" t="n"/>
      <c r="C2623" s="11" t="n"/>
      <c r="D2623" s="11" t="n"/>
      <c r="E2623" s="11" t="n"/>
      <c r="F2623" s="11" t="n"/>
      <c r="G2623" s="11" t="n"/>
      <c r="H2623" s="11" t="n"/>
      <c r="I2623" s="11" t="n"/>
      <c r="J2623" s="11" t="n"/>
      <c r="K2623" s="11" t="n"/>
      <c r="L2623" s="11" t="n"/>
      <c r="M2623" s="11" t="n"/>
      <c r="N2623" s="11" t="n"/>
      <c r="O2623" s="12" t="n"/>
    </row>
    <row r="2624">
      <c r="A2624" s="11" t="n"/>
      <c r="B2624" s="11" t="n"/>
      <c r="C2624" s="11" t="n"/>
      <c r="D2624" s="11" t="n"/>
      <c r="E2624" s="11" t="n"/>
      <c r="F2624" s="11" t="n"/>
      <c r="G2624" s="11" t="n"/>
      <c r="H2624" s="11" t="n"/>
      <c r="I2624" s="11" t="n"/>
      <c r="J2624" s="11" t="n"/>
      <c r="K2624" s="11" t="n"/>
      <c r="L2624" s="11" t="n"/>
      <c r="M2624" s="11" t="n"/>
      <c r="N2624" s="11" t="n"/>
      <c r="O2624" s="12" t="n"/>
    </row>
    <row r="2625">
      <c r="A2625" s="11" t="n"/>
      <c r="B2625" s="11" t="n"/>
      <c r="C2625" s="11" t="n"/>
      <c r="D2625" s="11" t="n"/>
      <c r="E2625" s="11" t="n"/>
      <c r="F2625" s="11" t="n"/>
      <c r="G2625" s="11" t="n"/>
      <c r="H2625" s="11" t="n"/>
      <c r="I2625" s="11" t="n"/>
      <c r="J2625" s="11" t="n"/>
      <c r="K2625" s="11" t="n"/>
      <c r="L2625" s="11" t="n"/>
      <c r="M2625" s="11" t="n"/>
      <c r="N2625" s="11" t="n"/>
      <c r="O2625" s="12" t="n"/>
    </row>
    <row r="2626">
      <c r="A2626" s="11" t="n"/>
      <c r="B2626" s="11" t="n"/>
      <c r="C2626" s="11" t="n"/>
      <c r="D2626" s="11" t="n"/>
      <c r="E2626" s="11" t="n"/>
      <c r="F2626" s="11" t="n"/>
      <c r="G2626" s="11" t="n"/>
      <c r="H2626" s="11" t="n"/>
      <c r="I2626" s="11" t="n"/>
      <c r="J2626" s="11" t="n"/>
      <c r="K2626" s="11" t="n"/>
      <c r="L2626" s="11" t="n"/>
      <c r="M2626" s="11" t="n"/>
      <c r="N2626" s="11" t="n"/>
      <c r="O2626" s="12" t="n"/>
    </row>
    <row r="2627">
      <c r="A2627" s="11" t="n"/>
      <c r="B2627" s="11" t="n"/>
      <c r="C2627" s="11" t="n"/>
      <c r="D2627" s="11" t="n"/>
      <c r="E2627" s="11" t="n"/>
      <c r="F2627" s="11" t="n"/>
      <c r="G2627" s="11" t="n"/>
      <c r="H2627" s="11" t="n"/>
      <c r="I2627" s="11" t="n"/>
      <c r="J2627" s="11" t="n"/>
      <c r="K2627" s="11" t="n"/>
      <c r="L2627" s="11" t="n"/>
      <c r="M2627" s="11" t="n"/>
      <c r="N2627" s="11" t="n"/>
      <c r="O2627" s="12" t="n"/>
    </row>
    <row r="2628">
      <c r="A2628" s="11" t="n"/>
      <c r="B2628" s="11" t="n"/>
      <c r="C2628" s="11" t="n"/>
      <c r="D2628" s="11" t="n"/>
      <c r="E2628" s="11" t="n"/>
      <c r="F2628" s="11" t="n"/>
      <c r="G2628" s="11" t="n"/>
      <c r="H2628" s="11" t="n"/>
      <c r="I2628" s="11" t="n"/>
      <c r="J2628" s="11" t="n"/>
      <c r="K2628" s="11" t="n"/>
      <c r="L2628" s="11" t="n"/>
      <c r="M2628" s="11" t="n"/>
      <c r="N2628" s="11" t="n"/>
      <c r="O2628" s="12" t="n"/>
    </row>
    <row r="2629">
      <c r="A2629" s="11" t="n"/>
      <c r="B2629" s="11" t="n"/>
      <c r="C2629" s="11" t="n"/>
      <c r="D2629" s="11" t="n"/>
      <c r="E2629" s="11" t="n"/>
      <c r="F2629" s="11" t="n"/>
      <c r="G2629" s="11" t="n"/>
      <c r="H2629" s="11" t="n"/>
      <c r="I2629" s="11" t="n"/>
      <c r="J2629" s="11" t="n"/>
      <c r="K2629" s="11" t="n"/>
      <c r="L2629" s="11" t="n"/>
      <c r="M2629" s="11" t="n"/>
      <c r="N2629" s="11" t="n"/>
      <c r="O2629" s="12" t="n"/>
    </row>
    <row r="2630">
      <c r="A2630" s="11" t="n"/>
      <c r="B2630" s="11" t="n"/>
      <c r="C2630" s="11" t="n"/>
      <c r="D2630" s="11" t="n"/>
      <c r="E2630" s="11" t="n"/>
      <c r="F2630" s="11" t="n"/>
      <c r="G2630" s="11" t="n"/>
      <c r="H2630" s="11" t="n"/>
      <c r="I2630" s="11" t="n"/>
      <c r="J2630" s="11" t="n"/>
      <c r="K2630" s="11" t="n"/>
      <c r="L2630" s="11" t="n"/>
      <c r="M2630" s="11" t="n"/>
      <c r="N2630" s="11" t="n"/>
      <c r="O2630" s="12" t="n"/>
    </row>
    <row r="2631">
      <c r="A2631" s="11" t="n"/>
      <c r="B2631" s="11" t="n"/>
      <c r="C2631" s="11" t="n"/>
      <c r="D2631" s="11" t="n"/>
      <c r="E2631" s="11" t="n"/>
      <c r="F2631" s="11" t="n"/>
      <c r="G2631" s="11" t="n"/>
      <c r="H2631" s="11" t="n"/>
      <c r="I2631" s="11" t="n"/>
      <c r="J2631" s="11" t="n"/>
      <c r="K2631" s="11" t="n"/>
      <c r="L2631" s="11" t="n"/>
      <c r="M2631" s="11" t="n"/>
      <c r="N2631" s="11" t="n"/>
      <c r="O2631" s="12" t="n"/>
    </row>
    <row r="2632">
      <c r="A2632" s="11" t="n"/>
      <c r="B2632" s="11" t="n"/>
      <c r="C2632" s="11" t="n"/>
      <c r="D2632" s="11" t="n"/>
      <c r="E2632" s="11" t="n"/>
      <c r="F2632" s="11" t="n"/>
      <c r="G2632" s="11" t="n"/>
      <c r="H2632" s="11" t="n"/>
      <c r="I2632" s="11" t="n"/>
      <c r="J2632" s="11" t="n"/>
      <c r="K2632" s="11" t="n"/>
      <c r="L2632" s="11" t="n"/>
      <c r="M2632" s="11" t="n"/>
      <c r="N2632" s="11" t="n"/>
      <c r="O2632" s="12" t="n"/>
    </row>
    <row r="2633">
      <c r="A2633" s="11" t="n"/>
      <c r="B2633" s="11" t="n"/>
      <c r="C2633" s="11" t="n"/>
      <c r="D2633" s="11" t="n"/>
      <c r="E2633" s="11" t="n"/>
      <c r="F2633" s="11" t="n"/>
      <c r="G2633" s="11" t="n"/>
      <c r="H2633" s="11" t="n"/>
      <c r="I2633" s="11" t="n"/>
      <c r="J2633" s="11" t="n"/>
      <c r="K2633" s="11" t="n"/>
      <c r="L2633" s="11" t="n"/>
      <c r="M2633" s="11" t="n"/>
      <c r="N2633" s="11" t="n"/>
      <c r="O2633" s="12" t="n"/>
    </row>
    <row r="2634">
      <c r="A2634" s="11" t="n"/>
      <c r="B2634" s="11" t="n"/>
      <c r="C2634" s="11" t="n"/>
      <c r="D2634" s="11" t="n"/>
      <c r="E2634" s="11" t="n"/>
      <c r="F2634" s="11" t="n"/>
      <c r="G2634" s="11" t="n"/>
      <c r="H2634" s="11" t="n"/>
      <c r="I2634" s="11" t="n"/>
      <c r="J2634" s="11" t="n"/>
      <c r="K2634" s="11" t="n"/>
      <c r="L2634" s="11" t="n"/>
      <c r="M2634" s="11" t="n"/>
      <c r="N2634" s="11" t="n"/>
      <c r="O2634" s="12" t="n"/>
    </row>
    <row r="2635">
      <c r="A2635" s="11" t="n"/>
      <c r="B2635" s="11" t="n"/>
      <c r="C2635" s="11" t="n"/>
      <c r="D2635" s="11" t="n"/>
      <c r="E2635" s="11" t="n"/>
      <c r="F2635" s="11" t="n"/>
      <c r="G2635" s="11" t="n"/>
      <c r="H2635" s="11" t="n"/>
      <c r="I2635" s="11" t="n"/>
      <c r="J2635" s="11" t="n"/>
      <c r="K2635" s="11" t="n"/>
      <c r="L2635" s="11" t="n"/>
      <c r="M2635" s="11" t="n"/>
      <c r="N2635" s="11" t="n"/>
      <c r="O2635" s="12" t="n"/>
    </row>
    <row r="2636">
      <c r="A2636" s="11" t="n"/>
      <c r="B2636" s="11" t="n"/>
      <c r="C2636" s="11" t="n"/>
      <c r="D2636" s="11" t="n"/>
      <c r="E2636" s="11" t="n"/>
      <c r="F2636" s="11" t="n"/>
      <c r="G2636" s="11" t="n"/>
      <c r="H2636" s="11" t="n"/>
      <c r="I2636" s="11" t="n"/>
      <c r="J2636" s="11" t="n"/>
      <c r="K2636" s="11" t="n"/>
      <c r="L2636" s="11" t="n"/>
      <c r="M2636" s="11" t="n"/>
      <c r="N2636" s="11" t="n"/>
      <c r="O2636" s="12" t="n"/>
    </row>
    <row r="2637">
      <c r="A2637" s="11" t="n"/>
      <c r="B2637" s="11" t="n"/>
      <c r="C2637" s="11" t="n"/>
      <c r="D2637" s="11" t="n"/>
      <c r="E2637" s="11" t="n"/>
      <c r="F2637" s="11" t="n"/>
      <c r="G2637" s="11" t="n"/>
      <c r="H2637" s="11" t="n"/>
      <c r="I2637" s="11" t="n"/>
      <c r="J2637" s="11" t="n"/>
      <c r="K2637" s="11" t="n"/>
      <c r="L2637" s="11" t="n"/>
      <c r="M2637" s="11" t="n"/>
      <c r="N2637" s="11" t="n"/>
      <c r="O2637" s="12" t="n"/>
    </row>
    <row r="2638">
      <c r="A2638" s="11" t="n"/>
      <c r="B2638" s="11" t="n"/>
      <c r="C2638" s="11" t="n"/>
      <c r="D2638" s="11" t="n"/>
      <c r="E2638" s="11" t="n"/>
      <c r="F2638" s="11" t="n"/>
      <c r="G2638" s="11" t="n"/>
      <c r="H2638" s="11" t="n"/>
      <c r="I2638" s="11" t="n"/>
      <c r="J2638" s="11" t="n"/>
      <c r="K2638" s="11" t="n"/>
      <c r="L2638" s="11" t="n"/>
      <c r="M2638" s="11" t="n"/>
      <c r="N2638" s="11" t="n"/>
      <c r="O2638" s="12" t="n"/>
    </row>
    <row r="2639">
      <c r="A2639" s="11" t="n"/>
      <c r="B2639" s="11" t="n"/>
      <c r="C2639" s="11" t="n"/>
      <c r="D2639" s="11" t="n"/>
      <c r="E2639" s="11" t="n"/>
      <c r="F2639" s="11" t="n"/>
      <c r="G2639" s="11" t="n"/>
      <c r="H2639" s="11" t="n"/>
      <c r="I2639" s="11" t="n"/>
      <c r="J2639" s="11" t="n"/>
      <c r="K2639" s="11" t="n"/>
      <c r="L2639" s="11" t="n"/>
      <c r="M2639" s="11" t="n"/>
      <c r="N2639" s="11" t="n"/>
      <c r="O2639" s="12" t="n"/>
    </row>
    <row r="2640">
      <c r="A2640" s="11" t="n"/>
      <c r="B2640" s="11" t="n"/>
      <c r="C2640" s="11" t="n"/>
      <c r="D2640" s="11" t="n"/>
      <c r="E2640" s="11" t="n"/>
      <c r="F2640" s="11" t="n"/>
      <c r="G2640" s="11" t="n"/>
      <c r="H2640" s="11" t="n"/>
      <c r="I2640" s="11" t="n"/>
      <c r="J2640" s="11" t="n"/>
      <c r="K2640" s="11" t="n"/>
      <c r="L2640" s="11" t="n"/>
      <c r="M2640" s="11" t="n"/>
      <c r="N2640" s="11" t="n"/>
      <c r="O2640" s="12" t="n"/>
    </row>
    <row r="2641">
      <c r="A2641" s="11" t="n"/>
      <c r="B2641" s="11" t="n"/>
      <c r="C2641" s="11" t="n"/>
      <c r="D2641" s="11" t="n"/>
      <c r="E2641" s="11" t="n"/>
      <c r="F2641" s="11" t="n"/>
      <c r="G2641" s="11" t="n"/>
      <c r="H2641" s="11" t="n"/>
      <c r="I2641" s="11" t="n"/>
      <c r="J2641" s="11" t="n"/>
      <c r="K2641" s="11" t="n"/>
      <c r="L2641" s="11" t="n"/>
      <c r="M2641" s="11" t="n"/>
      <c r="N2641" s="11" t="n"/>
      <c r="O2641" s="12" t="n"/>
    </row>
    <row r="2642">
      <c r="A2642" s="11" t="n"/>
      <c r="B2642" s="11" t="n"/>
      <c r="C2642" s="11" t="n"/>
      <c r="D2642" s="11" t="n"/>
      <c r="E2642" s="11" t="n"/>
      <c r="F2642" s="11" t="n"/>
      <c r="G2642" s="11" t="n"/>
      <c r="H2642" s="11" t="n"/>
      <c r="I2642" s="11" t="n"/>
      <c r="J2642" s="11" t="n"/>
      <c r="K2642" s="11" t="n"/>
      <c r="L2642" s="11" t="n"/>
      <c r="M2642" s="11" t="n"/>
      <c r="N2642" s="11" t="n"/>
      <c r="O2642" s="12" t="n"/>
    </row>
    <row r="2643">
      <c r="A2643" s="11" t="n"/>
      <c r="B2643" s="11" t="n"/>
      <c r="C2643" s="11" t="n"/>
      <c r="D2643" s="11" t="n"/>
      <c r="E2643" s="11" t="n"/>
      <c r="F2643" s="11" t="n"/>
      <c r="G2643" s="11" t="n"/>
      <c r="H2643" s="11" t="n"/>
      <c r="I2643" s="11" t="n"/>
      <c r="J2643" s="11" t="n"/>
      <c r="K2643" s="11" t="n"/>
      <c r="L2643" s="11" t="n"/>
      <c r="M2643" s="11" t="n"/>
      <c r="N2643" s="11" t="n"/>
      <c r="O2643" s="12" t="n"/>
    </row>
    <row r="2644">
      <c r="A2644" s="11" t="n"/>
      <c r="B2644" s="11" t="n"/>
      <c r="C2644" s="11" t="n"/>
      <c r="D2644" s="11" t="n"/>
      <c r="E2644" s="11" t="n"/>
      <c r="F2644" s="11" t="n"/>
      <c r="G2644" s="11" t="n"/>
      <c r="H2644" s="11" t="n"/>
      <c r="I2644" s="11" t="n"/>
      <c r="J2644" s="11" t="n"/>
      <c r="K2644" s="11" t="n"/>
      <c r="L2644" s="11" t="n"/>
      <c r="M2644" s="11" t="n"/>
      <c r="N2644" s="11" t="n"/>
      <c r="O2644" s="12" t="n"/>
    </row>
    <row r="2645">
      <c r="A2645" s="11" t="n"/>
      <c r="B2645" s="11" t="n"/>
      <c r="C2645" s="11" t="n"/>
      <c r="D2645" s="11" t="n"/>
      <c r="E2645" s="11" t="n"/>
      <c r="F2645" s="11" t="n"/>
      <c r="G2645" s="11" t="n"/>
      <c r="H2645" s="11" t="n"/>
      <c r="I2645" s="11" t="n"/>
      <c r="J2645" s="11" t="n"/>
      <c r="K2645" s="11" t="n"/>
      <c r="L2645" s="11" t="n"/>
      <c r="M2645" s="11" t="n"/>
      <c r="N2645" s="11" t="n"/>
      <c r="O2645" s="12" t="n"/>
    </row>
    <row r="2646">
      <c r="A2646" s="11" t="n"/>
      <c r="B2646" s="11" t="n"/>
      <c r="C2646" s="11" t="n"/>
      <c r="D2646" s="11" t="n"/>
      <c r="E2646" s="11" t="n"/>
      <c r="F2646" s="11" t="n"/>
      <c r="G2646" s="11" t="n"/>
      <c r="H2646" s="11" t="n"/>
      <c r="I2646" s="11" t="n"/>
      <c r="J2646" s="11" t="n"/>
      <c r="K2646" s="11" t="n"/>
      <c r="L2646" s="11" t="n"/>
      <c r="M2646" s="11" t="n"/>
      <c r="N2646" s="11" t="n"/>
      <c r="O2646" s="12" t="n"/>
    </row>
    <row r="2647">
      <c r="A2647" s="11" t="n"/>
      <c r="B2647" s="11" t="n"/>
      <c r="C2647" s="11" t="n"/>
      <c r="D2647" s="11" t="n"/>
      <c r="E2647" s="11" t="n"/>
      <c r="F2647" s="11" t="n"/>
      <c r="G2647" s="11" t="n"/>
      <c r="H2647" s="11" t="n"/>
      <c r="I2647" s="11" t="n"/>
      <c r="J2647" s="11" t="n"/>
      <c r="K2647" s="11" t="n"/>
      <c r="L2647" s="11" t="n"/>
      <c r="M2647" s="11" t="n"/>
      <c r="N2647" s="11" t="n"/>
      <c r="O2647" s="12" t="n"/>
    </row>
    <row r="2648">
      <c r="A2648" s="11" t="n"/>
      <c r="B2648" s="11" t="n"/>
      <c r="C2648" s="11" t="n"/>
      <c r="D2648" s="11" t="n"/>
      <c r="E2648" s="11" t="n"/>
      <c r="F2648" s="11" t="n"/>
      <c r="G2648" s="11" t="n"/>
      <c r="H2648" s="11" t="n"/>
      <c r="I2648" s="11" t="n"/>
      <c r="J2648" s="11" t="n"/>
      <c r="K2648" s="11" t="n"/>
      <c r="L2648" s="11" t="n"/>
      <c r="M2648" s="11" t="n"/>
      <c r="N2648" s="11" t="n"/>
      <c r="O2648" s="12" t="n"/>
    </row>
    <row r="2649">
      <c r="A2649" s="11" t="n"/>
      <c r="B2649" s="11" t="n"/>
      <c r="C2649" s="11" t="n"/>
      <c r="D2649" s="11" t="n"/>
      <c r="E2649" s="11" t="n"/>
      <c r="F2649" s="11" t="n"/>
      <c r="G2649" s="11" t="n"/>
      <c r="H2649" s="11" t="n"/>
      <c r="I2649" s="11" t="n"/>
      <c r="J2649" s="11" t="n"/>
      <c r="K2649" s="11" t="n"/>
      <c r="L2649" s="11" t="n"/>
      <c r="M2649" s="11" t="n"/>
      <c r="N2649" s="11" t="n"/>
      <c r="O2649" s="12" t="n"/>
    </row>
    <row r="2650">
      <c r="A2650" s="11" t="n"/>
      <c r="B2650" s="11" t="n"/>
      <c r="C2650" s="11" t="n"/>
      <c r="D2650" s="11" t="n"/>
      <c r="E2650" s="11" t="n"/>
      <c r="F2650" s="11" t="n"/>
      <c r="G2650" s="11" t="n"/>
      <c r="H2650" s="11" t="n"/>
      <c r="I2650" s="11" t="n"/>
      <c r="J2650" s="11" t="n"/>
      <c r="K2650" s="11" t="n"/>
      <c r="L2650" s="11" t="n"/>
      <c r="M2650" s="11" t="n"/>
      <c r="N2650" s="11" t="n"/>
      <c r="O2650" s="12" t="n"/>
    </row>
    <row r="2651">
      <c r="A2651" s="11" t="n"/>
      <c r="B2651" s="11" t="n"/>
      <c r="C2651" s="11" t="n"/>
      <c r="D2651" s="11" t="n"/>
      <c r="E2651" s="11" t="n"/>
      <c r="F2651" s="11" t="n"/>
      <c r="G2651" s="11" t="n"/>
      <c r="H2651" s="11" t="n"/>
      <c r="I2651" s="11" t="n"/>
      <c r="J2651" s="11" t="n"/>
      <c r="K2651" s="11" t="n"/>
      <c r="L2651" s="11" t="n"/>
      <c r="M2651" s="11" t="n"/>
      <c r="N2651" s="11" t="n"/>
      <c r="O2651" s="12" t="n"/>
    </row>
    <row r="2652">
      <c r="A2652" s="11" t="n"/>
      <c r="B2652" s="11" t="n"/>
      <c r="C2652" s="11" t="n"/>
      <c r="D2652" s="11" t="n"/>
      <c r="E2652" s="11" t="n"/>
      <c r="F2652" s="11" t="n"/>
      <c r="G2652" s="11" t="n"/>
      <c r="H2652" s="11" t="n"/>
      <c r="I2652" s="11" t="n"/>
      <c r="J2652" s="11" t="n"/>
      <c r="K2652" s="11" t="n"/>
      <c r="L2652" s="11" t="n"/>
      <c r="M2652" s="11" t="n"/>
      <c r="N2652" s="11" t="n"/>
      <c r="O2652" s="12" t="n"/>
    </row>
    <row r="2653">
      <c r="A2653" s="11" t="n"/>
      <c r="B2653" s="11" t="n"/>
      <c r="C2653" s="11" t="n"/>
      <c r="D2653" s="11" t="n"/>
      <c r="E2653" s="11" t="n"/>
      <c r="F2653" s="11" t="n"/>
      <c r="G2653" s="11" t="n"/>
      <c r="H2653" s="11" t="n"/>
      <c r="I2653" s="11" t="n"/>
      <c r="J2653" s="11" t="n"/>
      <c r="K2653" s="11" t="n"/>
      <c r="L2653" s="11" t="n"/>
      <c r="M2653" s="11" t="n"/>
      <c r="N2653" s="11" t="n"/>
      <c r="O2653" s="12" t="n"/>
    </row>
    <row r="2654">
      <c r="A2654" s="11" t="n"/>
      <c r="B2654" s="11" t="n"/>
      <c r="C2654" s="11" t="n"/>
      <c r="D2654" s="11" t="n"/>
      <c r="E2654" s="11" t="n"/>
      <c r="F2654" s="11" t="n"/>
      <c r="G2654" s="11" t="n"/>
      <c r="H2654" s="11" t="n"/>
      <c r="I2654" s="11" t="n"/>
      <c r="J2654" s="11" t="n"/>
      <c r="K2654" s="11" t="n"/>
      <c r="L2654" s="11" t="n"/>
      <c r="M2654" s="11" t="n"/>
      <c r="N2654" s="11" t="n"/>
      <c r="O2654" s="12" t="n"/>
    </row>
    <row r="2655">
      <c r="A2655" s="11" t="n"/>
      <c r="B2655" s="11" t="n"/>
      <c r="C2655" s="11" t="n"/>
      <c r="D2655" s="11" t="n"/>
      <c r="E2655" s="11" t="n"/>
      <c r="F2655" s="11" t="n"/>
      <c r="G2655" s="11" t="n"/>
      <c r="H2655" s="11" t="n"/>
      <c r="I2655" s="11" t="n"/>
      <c r="J2655" s="11" t="n"/>
      <c r="K2655" s="11" t="n"/>
      <c r="L2655" s="11" t="n"/>
      <c r="M2655" s="11" t="n"/>
      <c r="N2655" s="11" t="n"/>
      <c r="O2655" s="12" t="n"/>
    </row>
    <row r="2656">
      <c r="A2656" s="11" t="n"/>
      <c r="B2656" s="11" t="n"/>
      <c r="C2656" s="11" t="n"/>
      <c r="D2656" s="11" t="n"/>
      <c r="E2656" s="11" t="n"/>
      <c r="F2656" s="11" t="n"/>
      <c r="G2656" s="11" t="n"/>
      <c r="H2656" s="11" t="n"/>
      <c r="I2656" s="11" t="n"/>
      <c r="J2656" s="11" t="n"/>
      <c r="K2656" s="11" t="n"/>
      <c r="L2656" s="11" t="n"/>
      <c r="M2656" s="11" t="n"/>
      <c r="N2656" s="11" t="n"/>
      <c r="O2656" s="12" t="n"/>
    </row>
    <row r="2657">
      <c r="A2657" s="11" t="n"/>
      <c r="B2657" s="11" t="n"/>
      <c r="C2657" s="11" t="n"/>
      <c r="D2657" s="11" t="n"/>
      <c r="E2657" s="11" t="n"/>
      <c r="F2657" s="11" t="n"/>
      <c r="G2657" s="11" t="n"/>
      <c r="H2657" s="11" t="n"/>
      <c r="I2657" s="11" t="n"/>
      <c r="J2657" s="11" t="n"/>
      <c r="K2657" s="11" t="n"/>
      <c r="L2657" s="11" t="n"/>
      <c r="M2657" s="11" t="n"/>
      <c r="N2657" s="11" t="n"/>
      <c r="O2657" s="12" t="n"/>
    </row>
    <row r="2658">
      <c r="A2658" s="11" t="n"/>
      <c r="B2658" s="11" t="n"/>
      <c r="C2658" s="11" t="n"/>
      <c r="D2658" s="11" t="n"/>
      <c r="E2658" s="11" t="n"/>
      <c r="F2658" s="11" t="n"/>
      <c r="G2658" s="11" t="n"/>
      <c r="H2658" s="11" t="n"/>
      <c r="I2658" s="11" t="n"/>
      <c r="J2658" s="11" t="n"/>
      <c r="K2658" s="11" t="n"/>
      <c r="L2658" s="11" t="n"/>
      <c r="M2658" s="11" t="n"/>
      <c r="N2658" s="11" t="n"/>
      <c r="O2658" s="12" t="n"/>
    </row>
    <row r="2659">
      <c r="A2659" s="11" t="n"/>
      <c r="B2659" s="11" t="n"/>
      <c r="C2659" s="11" t="n"/>
      <c r="D2659" s="11" t="n"/>
      <c r="E2659" s="11" t="n"/>
      <c r="F2659" s="11" t="n"/>
      <c r="G2659" s="11" t="n"/>
      <c r="H2659" s="11" t="n"/>
      <c r="I2659" s="11" t="n"/>
      <c r="J2659" s="11" t="n"/>
      <c r="K2659" s="11" t="n"/>
      <c r="L2659" s="11" t="n"/>
      <c r="M2659" s="11" t="n"/>
      <c r="N2659" s="11" t="n"/>
      <c r="O2659" s="12" t="n"/>
    </row>
    <row r="2660">
      <c r="A2660" s="11" t="n"/>
      <c r="B2660" s="11" t="n"/>
      <c r="C2660" s="11" t="n"/>
      <c r="D2660" s="11" t="n"/>
      <c r="E2660" s="11" t="n"/>
      <c r="F2660" s="11" t="n"/>
      <c r="G2660" s="11" t="n"/>
      <c r="H2660" s="11" t="n"/>
      <c r="I2660" s="11" t="n"/>
      <c r="J2660" s="11" t="n"/>
      <c r="K2660" s="11" t="n"/>
      <c r="L2660" s="11" t="n"/>
      <c r="M2660" s="11" t="n"/>
      <c r="N2660" s="11" t="n"/>
      <c r="O2660" s="12" t="n"/>
    </row>
    <row r="2661">
      <c r="A2661" s="11" t="n"/>
      <c r="B2661" s="11" t="n"/>
      <c r="C2661" s="11" t="n"/>
      <c r="D2661" s="11" t="n"/>
      <c r="E2661" s="11" t="n"/>
      <c r="F2661" s="11" t="n"/>
      <c r="G2661" s="11" t="n"/>
      <c r="H2661" s="11" t="n"/>
      <c r="I2661" s="11" t="n"/>
      <c r="J2661" s="11" t="n"/>
      <c r="K2661" s="11" t="n"/>
      <c r="L2661" s="11" t="n"/>
      <c r="M2661" s="11" t="n"/>
      <c r="N2661" s="11" t="n"/>
      <c r="O2661" s="12" t="n"/>
    </row>
    <row r="2662">
      <c r="A2662" s="11" t="n"/>
      <c r="B2662" s="11" t="n"/>
      <c r="C2662" s="11" t="n"/>
      <c r="D2662" s="11" t="n"/>
      <c r="E2662" s="11" t="n"/>
      <c r="F2662" s="11" t="n"/>
      <c r="G2662" s="11" t="n"/>
      <c r="H2662" s="11" t="n"/>
      <c r="I2662" s="11" t="n"/>
      <c r="J2662" s="11" t="n"/>
      <c r="K2662" s="11" t="n"/>
      <c r="L2662" s="11" t="n"/>
      <c r="M2662" s="11" t="n"/>
      <c r="N2662" s="11" t="n"/>
      <c r="O2662" s="12" t="n"/>
    </row>
    <row r="2663">
      <c r="A2663" s="11" t="n"/>
      <c r="B2663" s="11" t="n"/>
      <c r="C2663" s="11" t="n"/>
      <c r="D2663" s="11" t="n"/>
      <c r="E2663" s="11" t="n"/>
      <c r="F2663" s="11" t="n"/>
      <c r="G2663" s="11" t="n"/>
      <c r="H2663" s="11" t="n"/>
      <c r="I2663" s="11" t="n"/>
      <c r="J2663" s="11" t="n"/>
      <c r="K2663" s="11" t="n"/>
      <c r="L2663" s="11" t="n"/>
      <c r="M2663" s="11" t="n"/>
      <c r="N2663" s="11" t="n"/>
      <c r="O2663" s="12" t="n"/>
    </row>
    <row r="2664">
      <c r="A2664" s="11" t="n"/>
      <c r="B2664" s="11" t="n"/>
      <c r="C2664" s="11" t="n"/>
      <c r="D2664" s="11" t="n"/>
      <c r="E2664" s="11" t="n"/>
      <c r="F2664" s="11" t="n"/>
      <c r="G2664" s="11" t="n"/>
      <c r="H2664" s="11" t="n"/>
      <c r="I2664" s="11" t="n"/>
      <c r="J2664" s="11" t="n"/>
      <c r="K2664" s="11" t="n"/>
      <c r="L2664" s="11" t="n"/>
      <c r="M2664" s="11" t="n"/>
      <c r="N2664" s="11" t="n"/>
      <c r="O2664" s="12" t="n"/>
    </row>
    <row r="2665">
      <c r="A2665" s="11" t="n"/>
      <c r="B2665" s="11" t="n"/>
      <c r="C2665" s="11" t="n"/>
      <c r="D2665" s="11" t="n"/>
      <c r="E2665" s="11" t="n"/>
      <c r="F2665" s="11" t="n"/>
      <c r="G2665" s="11" t="n"/>
      <c r="H2665" s="11" t="n"/>
      <c r="I2665" s="11" t="n"/>
      <c r="J2665" s="11" t="n"/>
      <c r="K2665" s="11" t="n"/>
      <c r="L2665" s="11" t="n"/>
      <c r="M2665" s="11" t="n"/>
      <c r="N2665" s="11" t="n"/>
      <c r="O2665" s="12" t="n"/>
    </row>
    <row r="2666">
      <c r="A2666" s="11" t="n"/>
      <c r="B2666" s="11" t="n"/>
      <c r="C2666" s="11" t="n"/>
      <c r="D2666" s="11" t="n"/>
      <c r="E2666" s="11" t="n"/>
      <c r="F2666" s="11" t="n"/>
      <c r="G2666" s="11" t="n"/>
      <c r="H2666" s="11" t="n"/>
      <c r="I2666" s="11" t="n"/>
      <c r="J2666" s="11" t="n"/>
      <c r="K2666" s="11" t="n"/>
      <c r="L2666" s="11" t="n"/>
      <c r="M2666" s="11" t="n"/>
      <c r="N2666" s="11" t="n"/>
      <c r="O2666" s="12" t="n"/>
    </row>
    <row r="2667">
      <c r="A2667" s="11" t="n"/>
      <c r="B2667" s="11" t="n"/>
      <c r="C2667" s="11" t="n"/>
      <c r="D2667" s="11" t="n"/>
      <c r="E2667" s="11" t="n"/>
      <c r="F2667" s="11" t="n"/>
      <c r="G2667" s="11" t="n"/>
      <c r="H2667" s="11" t="n"/>
      <c r="I2667" s="11" t="n"/>
      <c r="J2667" s="11" t="n"/>
      <c r="K2667" s="11" t="n"/>
      <c r="L2667" s="11" t="n"/>
      <c r="M2667" s="11" t="n"/>
      <c r="N2667" s="11" t="n"/>
      <c r="O2667" s="12" t="n"/>
    </row>
    <row r="2668">
      <c r="A2668" s="11" t="n"/>
      <c r="B2668" s="11" t="n"/>
      <c r="C2668" s="11" t="n"/>
      <c r="D2668" s="11" t="n"/>
      <c r="E2668" s="11" t="n"/>
      <c r="F2668" s="11" t="n"/>
      <c r="G2668" s="11" t="n"/>
      <c r="H2668" s="11" t="n"/>
      <c r="I2668" s="11" t="n"/>
      <c r="J2668" s="11" t="n"/>
      <c r="K2668" s="11" t="n"/>
      <c r="L2668" s="11" t="n"/>
      <c r="M2668" s="11" t="n"/>
      <c r="N2668" s="11" t="n"/>
      <c r="O2668" s="12" t="n"/>
    </row>
    <row r="2669">
      <c r="A2669" s="11" t="n"/>
      <c r="B2669" s="11" t="n"/>
      <c r="C2669" s="11" t="n"/>
      <c r="D2669" s="11" t="n"/>
      <c r="E2669" s="11" t="n"/>
      <c r="F2669" s="11" t="n"/>
      <c r="G2669" s="11" t="n"/>
      <c r="H2669" s="11" t="n"/>
      <c r="I2669" s="11" t="n"/>
      <c r="J2669" s="11" t="n"/>
      <c r="K2669" s="11" t="n"/>
      <c r="L2669" s="11" t="n"/>
      <c r="M2669" s="11" t="n"/>
      <c r="N2669" s="11" t="n"/>
      <c r="O2669" s="12" t="n"/>
    </row>
    <row r="2670">
      <c r="A2670" s="11" t="n"/>
      <c r="B2670" s="11" t="n"/>
      <c r="C2670" s="11" t="n"/>
      <c r="D2670" s="11" t="n"/>
      <c r="E2670" s="11" t="n"/>
      <c r="F2670" s="11" t="n"/>
      <c r="G2670" s="11" t="n"/>
      <c r="H2670" s="11" t="n"/>
      <c r="I2670" s="11" t="n"/>
      <c r="J2670" s="11" t="n"/>
      <c r="K2670" s="11" t="n"/>
      <c r="L2670" s="11" t="n"/>
      <c r="M2670" s="11" t="n"/>
      <c r="N2670" s="11" t="n"/>
      <c r="O2670" s="12" t="n"/>
    </row>
    <row r="2671">
      <c r="A2671" s="11" t="n"/>
      <c r="B2671" s="11" t="n"/>
      <c r="C2671" s="11" t="n"/>
      <c r="D2671" s="11" t="n"/>
      <c r="E2671" s="11" t="n"/>
      <c r="F2671" s="11" t="n"/>
      <c r="G2671" s="11" t="n"/>
      <c r="H2671" s="11" t="n"/>
      <c r="I2671" s="11" t="n"/>
      <c r="J2671" s="11" t="n"/>
      <c r="K2671" s="11" t="n"/>
      <c r="L2671" s="11" t="n"/>
      <c r="M2671" s="11" t="n"/>
      <c r="N2671" s="11" t="n"/>
      <c r="O2671" s="12" t="n"/>
    </row>
    <row r="2672">
      <c r="A2672" s="11" t="n"/>
      <c r="B2672" s="11" t="n"/>
      <c r="C2672" s="11" t="n"/>
      <c r="D2672" s="11" t="n"/>
      <c r="E2672" s="11" t="n"/>
      <c r="F2672" s="11" t="n"/>
      <c r="G2672" s="11" t="n"/>
      <c r="H2672" s="11" t="n"/>
      <c r="I2672" s="11" t="n"/>
      <c r="J2672" s="11" t="n"/>
      <c r="K2672" s="11" t="n"/>
      <c r="L2672" s="11" t="n"/>
      <c r="M2672" s="11" t="n"/>
      <c r="N2672" s="11" t="n"/>
      <c r="O2672" s="12" t="n"/>
    </row>
    <row r="2673">
      <c r="A2673" s="11" t="n"/>
      <c r="B2673" s="11" t="n"/>
      <c r="C2673" s="11" t="n"/>
      <c r="D2673" s="11" t="n"/>
      <c r="E2673" s="11" t="n"/>
      <c r="F2673" s="11" t="n"/>
      <c r="G2673" s="11" t="n"/>
      <c r="H2673" s="11" t="n"/>
      <c r="I2673" s="11" t="n"/>
      <c r="J2673" s="11" t="n"/>
      <c r="K2673" s="11" t="n"/>
      <c r="L2673" s="11" t="n"/>
      <c r="M2673" s="11" t="n"/>
      <c r="N2673" s="11" t="n"/>
      <c r="O2673" s="12" t="n"/>
    </row>
    <row r="2674">
      <c r="A2674" s="11" t="n"/>
      <c r="B2674" s="11" t="n"/>
      <c r="C2674" s="11" t="n"/>
      <c r="D2674" s="11" t="n"/>
      <c r="E2674" s="11" t="n"/>
      <c r="F2674" s="11" t="n"/>
      <c r="G2674" s="11" t="n"/>
      <c r="H2674" s="11" t="n"/>
      <c r="I2674" s="11" t="n"/>
      <c r="J2674" s="11" t="n"/>
      <c r="K2674" s="11" t="n"/>
      <c r="L2674" s="11" t="n"/>
      <c r="M2674" s="11" t="n"/>
      <c r="N2674" s="11" t="n"/>
      <c r="O2674" s="12" t="n"/>
    </row>
    <row r="2675">
      <c r="A2675" s="11" t="n"/>
      <c r="B2675" s="11" t="n"/>
      <c r="C2675" s="11" t="n"/>
      <c r="D2675" s="11" t="n"/>
      <c r="E2675" s="11" t="n"/>
      <c r="F2675" s="11" t="n"/>
      <c r="G2675" s="11" t="n"/>
      <c r="H2675" s="11" t="n"/>
      <c r="I2675" s="11" t="n"/>
      <c r="J2675" s="11" t="n"/>
      <c r="K2675" s="11" t="n"/>
      <c r="L2675" s="11" t="n"/>
      <c r="M2675" s="11" t="n"/>
      <c r="N2675" s="11" t="n"/>
      <c r="O2675" s="12" t="n"/>
    </row>
    <row r="2676">
      <c r="A2676" s="11" t="n"/>
      <c r="B2676" s="11" t="n"/>
      <c r="C2676" s="11" t="n"/>
      <c r="D2676" s="11" t="n"/>
      <c r="E2676" s="11" t="n"/>
      <c r="F2676" s="11" t="n"/>
      <c r="G2676" s="11" t="n"/>
      <c r="H2676" s="11" t="n"/>
      <c r="I2676" s="11" t="n"/>
      <c r="J2676" s="11" t="n"/>
      <c r="K2676" s="11" t="n"/>
      <c r="L2676" s="11" t="n"/>
      <c r="M2676" s="11" t="n"/>
      <c r="N2676" s="11" t="n"/>
      <c r="O2676" s="12" t="n"/>
    </row>
    <row r="2677">
      <c r="A2677" s="11" t="n"/>
      <c r="B2677" s="11" t="n"/>
      <c r="C2677" s="11" t="n"/>
      <c r="D2677" s="11" t="n"/>
      <c r="E2677" s="11" t="n"/>
      <c r="F2677" s="11" t="n"/>
      <c r="G2677" s="11" t="n"/>
      <c r="H2677" s="11" t="n"/>
      <c r="I2677" s="11" t="n"/>
      <c r="J2677" s="11" t="n"/>
      <c r="K2677" s="11" t="n"/>
      <c r="L2677" s="11" t="n"/>
      <c r="M2677" s="11" t="n"/>
      <c r="N2677" s="11" t="n"/>
      <c r="O2677" s="12" t="n"/>
    </row>
    <row r="2678">
      <c r="A2678" s="11" t="n"/>
      <c r="B2678" s="11" t="n"/>
      <c r="C2678" s="11" t="n"/>
      <c r="D2678" s="11" t="n"/>
      <c r="E2678" s="11" t="n"/>
      <c r="F2678" s="11" t="n"/>
      <c r="G2678" s="11" t="n"/>
      <c r="H2678" s="11" t="n"/>
      <c r="I2678" s="11" t="n"/>
      <c r="J2678" s="11" t="n"/>
      <c r="K2678" s="11" t="n"/>
      <c r="L2678" s="11" t="n"/>
      <c r="M2678" s="11" t="n"/>
      <c r="N2678" s="11" t="n"/>
      <c r="O2678" s="12" t="n"/>
    </row>
    <row r="2679">
      <c r="A2679" s="11" t="n"/>
      <c r="B2679" s="11" t="n"/>
      <c r="C2679" s="11" t="n"/>
      <c r="D2679" s="11" t="n"/>
      <c r="E2679" s="11" t="n"/>
      <c r="F2679" s="11" t="n"/>
      <c r="G2679" s="11" t="n"/>
      <c r="H2679" s="11" t="n"/>
      <c r="I2679" s="11" t="n"/>
      <c r="J2679" s="11" t="n"/>
      <c r="K2679" s="11" t="n"/>
      <c r="L2679" s="11" t="n"/>
      <c r="M2679" s="11" t="n"/>
      <c r="N2679" s="11" t="n"/>
      <c r="O2679" s="12" t="n"/>
    </row>
    <row r="2680">
      <c r="A2680" s="11" t="n"/>
      <c r="B2680" s="11" t="n"/>
      <c r="C2680" s="11" t="n"/>
      <c r="D2680" s="11" t="n"/>
      <c r="E2680" s="11" t="n"/>
      <c r="F2680" s="11" t="n"/>
      <c r="G2680" s="11" t="n"/>
      <c r="H2680" s="11" t="n"/>
      <c r="I2680" s="11" t="n"/>
      <c r="J2680" s="11" t="n"/>
      <c r="K2680" s="11" t="n"/>
      <c r="L2680" s="11" t="n"/>
      <c r="M2680" s="11" t="n"/>
      <c r="N2680" s="11" t="n"/>
      <c r="O2680" s="12" t="n"/>
    </row>
    <row r="2681">
      <c r="A2681" s="11" t="n"/>
      <c r="B2681" s="11" t="n"/>
      <c r="C2681" s="11" t="n"/>
      <c r="D2681" s="11" t="n"/>
      <c r="E2681" s="11" t="n"/>
      <c r="F2681" s="11" t="n"/>
      <c r="G2681" s="11" t="n"/>
      <c r="H2681" s="11" t="n"/>
      <c r="I2681" s="11" t="n"/>
      <c r="J2681" s="11" t="n"/>
      <c r="K2681" s="11" t="n"/>
      <c r="L2681" s="11" t="n"/>
      <c r="M2681" s="11" t="n"/>
      <c r="N2681" s="11" t="n"/>
      <c r="O2681" s="12" t="n"/>
    </row>
    <row r="2682">
      <c r="A2682" s="11" t="n"/>
      <c r="B2682" s="11" t="n"/>
      <c r="C2682" s="11" t="n"/>
      <c r="D2682" s="11" t="n"/>
      <c r="E2682" s="11" t="n"/>
      <c r="F2682" s="11" t="n"/>
      <c r="G2682" s="11" t="n"/>
      <c r="H2682" s="11" t="n"/>
      <c r="I2682" s="11" t="n"/>
      <c r="J2682" s="11" t="n"/>
      <c r="K2682" s="11" t="n"/>
      <c r="L2682" s="11" t="n"/>
      <c r="M2682" s="11" t="n"/>
      <c r="N2682" s="11" t="n"/>
      <c r="O2682" s="12" t="n"/>
    </row>
    <row r="2683">
      <c r="A2683" s="11" t="n"/>
      <c r="B2683" s="11" t="n"/>
      <c r="C2683" s="11" t="n"/>
      <c r="D2683" s="11" t="n"/>
      <c r="E2683" s="11" t="n"/>
      <c r="F2683" s="11" t="n"/>
      <c r="G2683" s="11" t="n"/>
      <c r="H2683" s="11" t="n"/>
      <c r="I2683" s="11" t="n"/>
      <c r="J2683" s="11" t="n"/>
      <c r="K2683" s="11" t="n"/>
      <c r="L2683" s="11" t="n"/>
      <c r="M2683" s="11" t="n"/>
      <c r="N2683" s="11" t="n"/>
      <c r="O2683" s="12" t="n"/>
    </row>
    <row r="2684">
      <c r="A2684" s="11" t="n"/>
      <c r="B2684" s="11" t="n"/>
      <c r="C2684" s="11" t="n"/>
      <c r="D2684" s="11" t="n"/>
      <c r="E2684" s="11" t="n"/>
      <c r="F2684" s="11" t="n"/>
      <c r="G2684" s="11" t="n"/>
      <c r="H2684" s="11" t="n"/>
      <c r="I2684" s="11" t="n"/>
      <c r="J2684" s="11" t="n"/>
      <c r="K2684" s="11" t="n"/>
      <c r="L2684" s="11" t="n"/>
      <c r="M2684" s="11" t="n"/>
      <c r="N2684" s="11" t="n"/>
      <c r="O2684" s="12" t="n"/>
    </row>
    <row r="2685">
      <c r="A2685" s="11" t="n"/>
      <c r="B2685" s="11" t="n"/>
      <c r="C2685" s="11" t="n"/>
      <c r="D2685" s="11" t="n"/>
      <c r="E2685" s="11" t="n"/>
      <c r="F2685" s="11" t="n"/>
      <c r="G2685" s="11" t="n"/>
      <c r="H2685" s="11" t="n"/>
      <c r="I2685" s="11" t="n"/>
      <c r="J2685" s="11" t="n"/>
      <c r="K2685" s="11" t="n"/>
      <c r="L2685" s="11" t="n"/>
      <c r="M2685" s="11" t="n"/>
      <c r="N2685" s="11" t="n"/>
      <c r="O2685" s="12" t="n"/>
    </row>
    <row r="2686">
      <c r="A2686" s="11" t="n"/>
      <c r="B2686" s="11" t="n"/>
      <c r="C2686" s="11" t="n"/>
      <c r="D2686" s="11" t="n"/>
      <c r="E2686" s="11" t="n"/>
      <c r="F2686" s="11" t="n"/>
      <c r="G2686" s="11" t="n"/>
      <c r="H2686" s="11" t="n"/>
      <c r="I2686" s="11" t="n"/>
      <c r="J2686" s="11" t="n"/>
      <c r="K2686" s="11" t="n"/>
      <c r="L2686" s="11" t="n"/>
      <c r="M2686" s="11" t="n"/>
      <c r="N2686" s="11" t="n"/>
      <c r="O2686" s="12" t="n"/>
    </row>
    <row r="2687">
      <c r="A2687" s="11" t="n"/>
      <c r="B2687" s="11" t="n"/>
      <c r="C2687" s="11" t="n"/>
      <c r="D2687" s="11" t="n"/>
      <c r="E2687" s="11" t="n"/>
      <c r="F2687" s="11" t="n"/>
      <c r="G2687" s="11" t="n"/>
      <c r="H2687" s="11" t="n"/>
      <c r="I2687" s="11" t="n"/>
      <c r="J2687" s="11" t="n"/>
      <c r="K2687" s="11" t="n"/>
      <c r="L2687" s="11" t="n"/>
      <c r="M2687" s="11" t="n"/>
      <c r="N2687" s="11" t="n"/>
      <c r="O2687" s="12" t="n"/>
    </row>
    <row r="2688">
      <c r="A2688" s="11" t="n"/>
      <c r="B2688" s="11" t="n"/>
      <c r="C2688" s="11" t="n"/>
      <c r="D2688" s="11" t="n"/>
      <c r="E2688" s="11" t="n"/>
      <c r="F2688" s="11" t="n"/>
      <c r="G2688" s="11" t="n"/>
      <c r="H2688" s="11" t="n"/>
      <c r="I2688" s="11" t="n"/>
      <c r="J2688" s="11" t="n"/>
      <c r="K2688" s="11" t="n"/>
      <c r="L2688" s="11" t="n"/>
      <c r="M2688" s="11" t="n"/>
      <c r="N2688" s="11" t="n"/>
      <c r="O2688" s="12" t="n"/>
    </row>
    <row r="2689">
      <c r="A2689" s="11" t="n"/>
      <c r="B2689" s="11" t="n"/>
      <c r="C2689" s="11" t="n"/>
      <c r="D2689" s="11" t="n"/>
      <c r="E2689" s="11" t="n"/>
      <c r="F2689" s="11" t="n"/>
      <c r="G2689" s="11" t="n"/>
      <c r="H2689" s="11" t="n"/>
      <c r="I2689" s="11" t="n"/>
      <c r="J2689" s="11" t="n"/>
      <c r="K2689" s="11" t="n"/>
      <c r="L2689" s="11" t="n"/>
      <c r="M2689" s="11" t="n"/>
      <c r="N2689" s="11" t="n"/>
      <c r="O2689" s="12" t="n"/>
    </row>
    <row r="2690">
      <c r="A2690" s="11" t="n"/>
      <c r="B2690" s="11" t="n"/>
      <c r="C2690" s="11" t="n"/>
      <c r="D2690" s="11" t="n"/>
      <c r="E2690" s="11" t="n"/>
      <c r="F2690" s="11" t="n"/>
      <c r="G2690" s="11" t="n"/>
      <c r="H2690" s="11" t="n"/>
      <c r="I2690" s="11" t="n"/>
      <c r="J2690" s="11" t="n"/>
      <c r="K2690" s="11" t="n"/>
      <c r="L2690" s="11" t="n"/>
      <c r="M2690" s="11" t="n"/>
      <c r="N2690" s="11" t="n"/>
      <c r="O2690" s="12" t="n"/>
    </row>
    <row r="2691">
      <c r="A2691" s="11" t="n"/>
      <c r="B2691" s="11" t="n"/>
      <c r="C2691" s="11" t="n"/>
      <c r="D2691" s="11" t="n"/>
      <c r="E2691" s="11" t="n"/>
      <c r="F2691" s="11" t="n"/>
      <c r="G2691" s="11" t="n"/>
      <c r="H2691" s="11" t="n"/>
      <c r="I2691" s="11" t="n"/>
      <c r="J2691" s="11" t="n"/>
      <c r="K2691" s="11" t="n"/>
      <c r="L2691" s="11" t="n"/>
      <c r="M2691" s="11" t="n"/>
      <c r="N2691" s="11" t="n"/>
      <c r="O2691" s="12" t="n"/>
    </row>
    <row r="2692">
      <c r="A2692" s="11" t="n"/>
      <c r="B2692" s="11" t="n"/>
      <c r="C2692" s="11" t="n"/>
      <c r="D2692" s="11" t="n"/>
      <c r="E2692" s="11" t="n"/>
      <c r="F2692" s="11" t="n"/>
      <c r="G2692" s="11" t="n"/>
      <c r="H2692" s="11" t="n"/>
      <c r="I2692" s="11" t="n"/>
      <c r="J2692" s="11" t="n"/>
      <c r="K2692" s="11" t="n"/>
      <c r="L2692" s="11" t="n"/>
      <c r="M2692" s="11" t="n"/>
      <c r="N2692" s="11" t="n"/>
      <c r="O2692" s="12" t="n"/>
    </row>
    <row r="2693">
      <c r="A2693" s="11" t="n"/>
      <c r="B2693" s="11" t="n"/>
      <c r="C2693" s="11" t="n"/>
      <c r="D2693" s="11" t="n"/>
      <c r="E2693" s="11" t="n"/>
      <c r="F2693" s="11" t="n"/>
      <c r="G2693" s="11" t="n"/>
      <c r="H2693" s="11" t="n"/>
      <c r="I2693" s="11" t="n"/>
      <c r="J2693" s="11" t="n"/>
      <c r="K2693" s="11" t="n"/>
      <c r="L2693" s="11" t="n"/>
      <c r="M2693" s="11" t="n"/>
      <c r="N2693" s="11" t="n"/>
      <c r="O2693" s="12" t="n"/>
    </row>
    <row r="2694">
      <c r="A2694" s="11" t="n"/>
      <c r="B2694" s="11" t="n"/>
      <c r="C2694" s="11" t="n"/>
      <c r="D2694" s="11" t="n"/>
      <c r="E2694" s="11" t="n"/>
      <c r="F2694" s="11" t="n"/>
      <c r="G2694" s="11" t="n"/>
      <c r="H2694" s="11" t="n"/>
      <c r="I2694" s="11" t="n"/>
      <c r="J2694" s="11" t="n"/>
      <c r="K2694" s="11" t="n"/>
      <c r="L2694" s="11" t="n"/>
      <c r="M2694" s="11" t="n"/>
      <c r="N2694" s="11" t="n"/>
      <c r="O2694" s="12" t="n"/>
    </row>
    <row r="2695">
      <c r="A2695" s="11" t="n"/>
      <c r="B2695" s="11" t="n"/>
      <c r="C2695" s="11" t="n"/>
      <c r="D2695" s="11" t="n"/>
      <c r="E2695" s="11" t="n"/>
      <c r="F2695" s="11" t="n"/>
      <c r="G2695" s="11" t="n"/>
      <c r="H2695" s="11" t="n"/>
      <c r="I2695" s="11" t="n"/>
      <c r="J2695" s="11" t="n"/>
      <c r="K2695" s="11" t="n"/>
      <c r="L2695" s="11" t="n"/>
      <c r="M2695" s="11" t="n"/>
      <c r="N2695" s="11" t="n"/>
      <c r="O2695" s="12" t="n"/>
    </row>
    <row r="2696">
      <c r="A2696" s="11" t="n"/>
      <c r="B2696" s="11" t="n"/>
      <c r="C2696" s="11" t="n"/>
      <c r="D2696" s="11" t="n"/>
      <c r="E2696" s="11" t="n"/>
      <c r="F2696" s="11" t="n"/>
      <c r="G2696" s="11" t="n"/>
      <c r="H2696" s="11" t="n"/>
      <c r="I2696" s="11" t="n"/>
      <c r="J2696" s="11" t="n"/>
      <c r="K2696" s="11" t="n"/>
      <c r="L2696" s="11" t="n"/>
      <c r="M2696" s="11" t="n"/>
      <c r="N2696" s="11" t="n"/>
      <c r="O2696" s="12" t="n"/>
    </row>
    <row r="2697">
      <c r="A2697" s="11" t="n"/>
      <c r="B2697" s="11" t="n"/>
      <c r="C2697" s="11" t="n"/>
      <c r="D2697" s="11" t="n"/>
      <c r="E2697" s="11" t="n"/>
      <c r="F2697" s="11" t="n"/>
      <c r="G2697" s="11" t="n"/>
      <c r="H2697" s="11" t="n"/>
      <c r="I2697" s="11" t="n"/>
      <c r="J2697" s="11" t="n"/>
      <c r="K2697" s="11" t="n"/>
      <c r="L2697" s="11" t="n"/>
      <c r="M2697" s="11" t="n"/>
      <c r="N2697" s="11" t="n"/>
      <c r="O2697" s="12" t="n"/>
    </row>
    <row r="2698">
      <c r="A2698" s="11" t="n"/>
      <c r="B2698" s="11" t="n"/>
      <c r="C2698" s="11" t="n"/>
      <c r="D2698" s="11" t="n"/>
      <c r="E2698" s="11" t="n"/>
      <c r="F2698" s="11" t="n"/>
      <c r="G2698" s="11" t="n"/>
      <c r="H2698" s="11" t="n"/>
      <c r="I2698" s="11" t="n"/>
      <c r="J2698" s="11" t="n"/>
      <c r="K2698" s="11" t="n"/>
      <c r="L2698" s="11" t="n"/>
      <c r="M2698" s="11" t="n"/>
      <c r="N2698" s="11" t="n"/>
      <c r="O2698" s="12" t="n"/>
    </row>
    <row r="2699">
      <c r="A2699" s="11" t="n"/>
      <c r="B2699" s="11" t="n"/>
      <c r="C2699" s="11" t="n"/>
      <c r="D2699" s="11" t="n"/>
      <c r="E2699" s="11" t="n"/>
      <c r="F2699" s="11" t="n"/>
      <c r="G2699" s="11" t="n"/>
      <c r="H2699" s="11" t="n"/>
      <c r="I2699" s="11" t="n"/>
      <c r="J2699" s="11" t="n"/>
      <c r="K2699" s="11" t="n"/>
      <c r="L2699" s="11" t="n"/>
      <c r="M2699" s="11" t="n"/>
      <c r="N2699" s="11" t="n"/>
      <c r="O2699" s="12" t="n"/>
    </row>
    <row r="2700">
      <c r="A2700" s="11" t="n"/>
      <c r="B2700" s="11" t="n"/>
      <c r="C2700" s="11" t="n"/>
      <c r="D2700" s="11" t="n"/>
      <c r="E2700" s="11" t="n"/>
      <c r="F2700" s="11" t="n"/>
      <c r="G2700" s="11" t="n"/>
      <c r="H2700" s="11" t="n"/>
      <c r="I2700" s="11" t="n"/>
      <c r="J2700" s="11" t="n"/>
      <c r="K2700" s="11" t="n"/>
      <c r="L2700" s="11" t="n"/>
      <c r="M2700" s="11" t="n"/>
      <c r="N2700" s="11" t="n"/>
      <c r="O2700" s="12" t="n"/>
    </row>
    <row r="2701">
      <c r="A2701" s="11" t="n"/>
      <c r="B2701" s="11" t="n"/>
      <c r="C2701" s="11" t="n"/>
      <c r="D2701" s="11" t="n"/>
      <c r="E2701" s="11" t="n"/>
      <c r="F2701" s="11" t="n"/>
      <c r="G2701" s="11" t="n"/>
      <c r="H2701" s="11" t="n"/>
      <c r="I2701" s="11" t="n"/>
      <c r="J2701" s="11" t="n"/>
      <c r="K2701" s="11" t="n"/>
      <c r="L2701" s="11" t="n"/>
      <c r="M2701" s="11" t="n"/>
      <c r="N2701" s="11" t="n"/>
      <c r="O2701" s="12" t="n"/>
    </row>
    <row r="2702">
      <c r="A2702" s="11" t="n"/>
      <c r="B2702" s="11" t="n"/>
      <c r="C2702" s="11" t="n"/>
      <c r="D2702" s="11" t="n"/>
      <c r="E2702" s="11" t="n"/>
      <c r="F2702" s="11" t="n"/>
      <c r="G2702" s="11" t="n"/>
      <c r="H2702" s="11" t="n"/>
      <c r="I2702" s="11" t="n"/>
      <c r="J2702" s="11" t="n"/>
      <c r="K2702" s="11" t="n"/>
      <c r="L2702" s="11" t="n"/>
      <c r="M2702" s="11" t="n"/>
      <c r="N2702" s="11" t="n"/>
      <c r="O2702" s="12" t="n"/>
    </row>
    <row r="2703">
      <c r="A2703" s="11" t="n"/>
      <c r="B2703" s="11" t="n"/>
      <c r="C2703" s="11" t="n"/>
      <c r="D2703" s="11" t="n"/>
      <c r="E2703" s="11" t="n"/>
      <c r="F2703" s="11" t="n"/>
      <c r="G2703" s="11" t="n"/>
      <c r="H2703" s="11" t="n"/>
      <c r="I2703" s="11" t="n"/>
      <c r="J2703" s="11" t="n"/>
      <c r="K2703" s="11" t="n"/>
      <c r="L2703" s="11" t="n"/>
      <c r="M2703" s="11" t="n"/>
      <c r="N2703" s="11" t="n"/>
      <c r="O2703" s="12" t="n"/>
    </row>
    <row r="2704">
      <c r="A2704" s="11" t="n"/>
      <c r="B2704" s="11" t="n"/>
      <c r="C2704" s="11" t="n"/>
      <c r="D2704" s="11" t="n"/>
      <c r="E2704" s="11" t="n"/>
      <c r="F2704" s="11" t="n"/>
      <c r="G2704" s="11" t="n"/>
      <c r="H2704" s="11" t="n"/>
      <c r="I2704" s="11" t="n"/>
      <c r="J2704" s="11" t="n"/>
      <c r="K2704" s="11" t="n"/>
      <c r="L2704" s="11" t="n"/>
      <c r="M2704" s="11" t="n"/>
      <c r="N2704" s="11" t="n"/>
      <c r="O2704" s="12" t="n"/>
    </row>
    <row r="2705">
      <c r="A2705" s="11" t="n"/>
      <c r="B2705" s="11" t="n"/>
      <c r="C2705" s="11" t="n"/>
      <c r="D2705" s="11" t="n"/>
      <c r="E2705" s="11" t="n"/>
      <c r="F2705" s="11" t="n"/>
      <c r="G2705" s="11" t="n"/>
      <c r="H2705" s="11" t="n"/>
      <c r="I2705" s="11" t="n"/>
      <c r="J2705" s="11" t="n"/>
      <c r="K2705" s="11" t="n"/>
      <c r="L2705" s="11" t="n"/>
      <c r="M2705" s="11" t="n"/>
      <c r="N2705" s="11" t="n"/>
      <c r="O2705" s="12" t="n"/>
    </row>
    <row r="2706">
      <c r="A2706" s="11" t="n"/>
      <c r="B2706" s="11" t="n"/>
      <c r="C2706" s="11" t="n"/>
      <c r="D2706" s="11" t="n"/>
      <c r="E2706" s="11" t="n"/>
      <c r="F2706" s="11" t="n"/>
      <c r="G2706" s="11" t="n"/>
      <c r="H2706" s="11" t="n"/>
      <c r="I2706" s="11" t="n"/>
      <c r="J2706" s="11" t="n"/>
      <c r="K2706" s="11" t="n"/>
      <c r="L2706" s="11" t="n"/>
      <c r="M2706" s="11" t="n"/>
      <c r="N2706" s="11" t="n"/>
      <c r="O2706" s="12" t="n"/>
    </row>
    <row r="2707">
      <c r="A2707" s="11" t="n"/>
      <c r="B2707" s="11" t="n"/>
      <c r="C2707" s="11" t="n"/>
      <c r="D2707" s="11" t="n"/>
      <c r="E2707" s="11" t="n"/>
      <c r="F2707" s="11" t="n"/>
      <c r="G2707" s="11" t="n"/>
      <c r="H2707" s="11" t="n"/>
      <c r="I2707" s="11" t="n"/>
      <c r="J2707" s="11" t="n"/>
      <c r="K2707" s="11" t="n"/>
      <c r="L2707" s="11" t="n"/>
      <c r="M2707" s="11" t="n"/>
      <c r="N2707" s="11" t="n"/>
      <c r="O2707" s="12" t="n"/>
    </row>
    <row r="2708">
      <c r="A2708" s="11" t="n"/>
      <c r="B2708" s="11" t="n"/>
      <c r="C2708" s="11" t="n"/>
      <c r="D2708" s="11" t="n"/>
      <c r="E2708" s="11" t="n"/>
      <c r="F2708" s="11" t="n"/>
      <c r="G2708" s="11" t="n"/>
      <c r="H2708" s="11" t="n"/>
      <c r="I2708" s="11" t="n"/>
      <c r="J2708" s="11" t="n"/>
      <c r="K2708" s="11" t="n"/>
      <c r="L2708" s="11" t="n"/>
      <c r="M2708" s="11" t="n"/>
      <c r="N2708" s="11" t="n"/>
      <c r="O2708" s="12" t="n"/>
    </row>
    <row r="2709">
      <c r="A2709" s="11" t="n"/>
      <c r="B2709" s="11" t="n"/>
      <c r="C2709" s="11" t="n"/>
      <c r="D2709" s="11" t="n"/>
      <c r="E2709" s="11" t="n"/>
      <c r="F2709" s="11" t="n"/>
      <c r="G2709" s="11" t="n"/>
      <c r="H2709" s="11" t="n"/>
      <c r="I2709" s="11" t="n"/>
      <c r="J2709" s="11" t="n"/>
      <c r="K2709" s="11" t="n"/>
      <c r="L2709" s="11" t="n"/>
      <c r="M2709" s="11" t="n"/>
      <c r="N2709" s="11" t="n"/>
      <c r="O2709" s="12" t="n"/>
    </row>
    <row r="2710">
      <c r="A2710" s="11" t="n"/>
      <c r="B2710" s="11" t="n"/>
      <c r="C2710" s="11" t="n"/>
      <c r="D2710" s="11" t="n"/>
      <c r="E2710" s="11" t="n"/>
      <c r="F2710" s="11" t="n"/>
      <c r="G2710" s="11" t="n"/>
      <c r="H2710" s="11" t="n"/>
      <c r="I2710" s="11" t="n"/>
      <c r="J2710" s="11" t="n"/>
      <c r="K2710" s="11" t="n"/>
      <c r="L2710" s="11" t="n"/>
      <c r="M2710" s="11" t="n"/>
      <c r="N2710" s="11" t="n"/>
      <c r="O2710" s="12" t="n"/>
    </row>
    <row r="2711">
      <c r="A2711" s="11" t="n"/>
      <c r="B2711" s="11" t="n"/>
      <c r="C2711" s="11" t="n"/>
      <c r="D2711" s="11" t="n"/>
      <c r="E2711" s="11" t="n"/>
      <c r="F2711" s="11" t="n"/>
      <c r="G2711" s="11" t="n"/>
      <c r="H2711" s="11" t="n"/>
      <c r="I2711" s="11" t="n"/>
      <c r="J2711" s="11" t="n"/>
      <c r="K2711" s="11" t="n"/>
      <c r="L2711" s="11" t="n"/>
      <c r="M2711" s="11" t="n"/>
      <c r="N2711" s="11" t="n"/>
      <c r="O2711" s="12" t="n"/>
    </row>
    <row r="2712">
      <c r="A2712" s="11" t="n"/>
      <c r="B2712" s="11" t="n"/>
      <c r="C2712" s="11" t="n"/>
      <c r="D2712" s="11" t="n"/>
      <c r="E2712" s="11" t="n"/>
      <c r="F2712" s="11" t="n"/>
      <c r="G2712" s="11" t="n"/>
      <c r="H2712" s="11" t="n"/>
      <c r="I2712" s="11" t="n"/>
      <c r="J2712" s="11" t="n"/>
      <c r="K2712" s="11" t="n"/>
      <c r="L2712" s="11" t="n"/>
      <c r="M2712" s="11" t="n"/>
      <c r="N2712" s="11" t="n"/>
      <c r="O2712" s="12" t="n"/>
    </row>
    <row r="2713">
      <c r="A2713" s="11" t="n"/>
      <c r="B2713" s="11" t="n"/>
      <c r="C2713" s="11" t="n"/>
      <c r="D2713" s="11" t="n"/>
      <c r="E2713" s="11" t="n"/>
      <c r="F2713" s="11" t="n"/>
      <c r="G2713" s="11" t="n"/>
      <c r="H2713" s="11" t="n"/>
      <c r="I2713" s="11" t="n"/>
      <c r="J2713" s="11" t="n"/>
      <c r="K2713" s="11" t="n"/>
      <c r="L2713" s="11" t="n"/>
      <c r="M2713" s="11" t="n"/>
      <c r="N2713" s="11" t="n"/>
      <c r="O2713" s="12" t="n"/>
    </row>
    <row r="2714">
      <c r="A2714" s="11" t="n"/>
      <c r="B2714" s="11" t="n"/>
      <c r="C2714" s="11" t="n"/>
      <c r="D2714" s="11" t="n"/>
      <c r="E2714" s="11" t="n"/>
      <c r="F2714" s="11" t="n"/>
      <c r="G2714" s="11" t="n"/>
      <c r="H2714" s="11" t="n"/>
      <c r="I2714" s="11" t="n"/>
      <c r="J2714" s="11" t="n"/>
      <c r="K2714" s="11" t="n"/>
      <c r="L2714" s="11" t="n"/>
      <c r="M2714" s="11" t="n"/>
      <c r="N2714" s="11" t="n"/>
      <c r="O2714" s="12" t="n"/>
    </row>
    <row r="2715">
      <c r="A2715" s="11" t="n"/>
      <c r="B2715" s="11" t="n"/>
      <c r="C2715" s="11" t="n"/>
      <c r="D2715" s="11" t="n"/>
      <c r="E2715" s="11" t="n"/>
      <c r="F2715" s="11" t="n"/>
      <c r="G2715" s="11" t="n"/>
      <c r="H2715" s="11" t="n"/>
      <c r="I2715" s="11" t="n"/>
      <c r="J2715" s="11" t="n"/>
      <c r="K2715" s="11" t="n"/>
      <c r="L2715" s="11" t="n"/>
      <c r="M2715" s="11" t="n"/>
      <c r="N2715" s="11" t="n"/>
      <c r="O2715" s="12" t="n"/>
    </row>
    <row r="2716">
      <c r="A2716" s="11" t="n"/>
      <c r="B2716" s="11" t="n"/>
      <c r="C2716" s="11" t="n"/>
      <c r="D2716" s="11" t="n"/>
      <c r="E2716" s="11" t="n"/>
      <c r="F2716" s="11" t="n"/>
      <c r="G2716" s="11" t="n"/>
      <c r="H2716" s="11" t="n"/>
      <c r="I2716" s="11" t="n"/>
      <c r="J2716" s="11" t="n"/>
      <c r="K2716" s="11" t="n"/>
      <c r="L2716" s="11" t="n"/>
      <c r="M2716" s="11" t="n"/>
      <c r="N2716" s="11" t="n"/>
      <c r="O2716" s="12" t="n"/>
    </row>
    <row r="2717">
      <c r="A2717" s="11" t="n"/>
      <c r="B2717" s="11" t="n"/>
      <c r="C2717" s="11" t="n"/>
      <c r="D2717" s="11" t="n"/>
      <c r="E2717" s="11" t="n"/>
      <c r="F2717" s="11" t="n"/>
      <c r="G2717" s="11" t="n"/>
      <c r="H2717" s="11" t="n"/>
      <c r="I2717" s="11" t="n"/>
      <c r="J2717" s="11" t="n"/>
      <c r="K2717" s="11" t="n"/>
      <c r="L2717" s="11" t="n"/>
      <c r="M2717" s="11" t="n"/>
      <c r="N2717" s="11" t="n"/>
      <c r="O2717" s="12" t="n"/>
    </row>
    <row r="2718">
      <c r="A2718" s="11" t="n"/>
      <c r="B2718" s="11" t="n"/>
      <c r="C2718" s="11" t="n"/>
      <c r="D2718" s="11" t="n"/>
      <c r="E2718" s="11" t="n"/>
      <c r="F2718" s="11" t="n"/>
      <c r="G2718" s="11" t="n"/>
      <c r="H2718" s="11" t="n"/>
      <c r="I2718" s="11" t="n"/>
      <c r="J2718" s="11" t="n"/>
      <c r="K2718" s="11" t="n"/>
      <c r="L2718" s="11" t="n"/>
      <c r="M2718" s="11" t="n"/>
      <c r="N2718" s="11" t="n"/>
      <c r="O2718" s="12" t="n"/>
    </row>
    <row r="2719">
      <c r="A2719" s="11" t="n"/>
      <c r="B2719" s="11" t="n"/>
      <c r="C2719" s="11" t="n"/>
      <c r="D2719" s="11" t="n"/>
      <c r="E2719" s="11" t="n"/>
      <c r="F2719" s="11" t="n"/>
      <c r="G2719" s="11" t="n"/>
      <c r="H2719" s="11" t="n"/>
      <c r="I2719" s="11" t="n"/>
      <c r="J2719" s="11" t="n"/>
      <c r="K2719" s="11" t="n"/>
      <c r="L2719" s="11" t="n"/>
      <c r="M2719" s="11" t="n"/>
      <c r="N2719" s="11" t="n"/>
      <c r="O2719" s="12" t="n"/>
    </row>
    <row r="2720">
      <c r="A2720" s="11" t="n"/>
      <c r="B2720" s="11" t="n"/>
      <c r="C2720" s="11" t="n"/>
      <c r="D2720" s="11" t="n"/>
      <c r="E2720" s="11" t="n"/>
      <c r="F2720" s="11" t="n"/>
      <c r="G2720" s="11" t="n"/>
      <c r="H2720" s="11" t="n"/>
      <c r="I2720" s="11" t="n"/>
      <c r="J2720" s="11" t="n"/>
      <c r="K2720" s="11" t="n"/>
      <c r="L2720" s="11" t="n"/>
      <c r="M2720" s="11" t="n"/>
      <c r="N2720" s="11" t="n"/>
      <c r="O2720" s="12" t="n"/>
    </row>
    <row r="2721">
      <c r="A2721" s="11" t="n"/>
      <c r="B2721" s="11" t="n"/>
      <c r="C2721" s="11" t="n"/>
      <c r="D2721" s="11" t="n"/>
      <c r="E2721" s="11" t="n"/>
      <c r="F2721" s="11" t="n"/>
      <c r="G2721" s="11" t="n"/>
      <c r="H2721" s="11" t="n"/>
      <c r="I2721" s="11" t="n"/>
      <c r="J2721" s="11" t="n"/>
      <c r="K2721" s="11" t="n"/>
      <c r="L2721" s="11" t="n"/>
      <c r="M2721" s="11" t="n"/>
      <c r="N2721" s="11" t="n"/>
      <c r="O2721" s="12" t="n"/>
    </row>
    <row r="2722">
      <c r="A2722" s="11" t="n"/>
      <c r="B2722" s="11" t="n"/>
      <c r="C2722" s="11" t="n"/>
      <c r="D2722" s="11" t="n"/>
      <c r="E2722" s="11" t="n"/>
      <c r="F2722" s="11" t="n"/>
      <c r="G2722" s="11" t="n"/>
      <c r="H2722" s="11" t="n"/>
      <c r="I2722" s="11" t="n"/>
      <c r="J2722" s="11" t="n"/>
      <c r="K2722" s="11" t="n"/>
      <c r="L2722" s="11" t="n"/>
      <c r="M2722" s="11" t="n"/>
      <c r="N2722" s="11" t="n"/>
      <c r="O2722" s="12" t="n"/>
    </row>
    <row r="2723">
      <c r="A2723" s="11" t="n"/>
      <c r="B2723" s="11" t="n"/>
      <c r="C2723" s="11" t="n"/>
      <c r="D2723" s="11" t="n"/>
      <c r="E2723" s="11" t="n"/>
      <c r="F2723" s="11" t="n"/>
      <c r="G2723" s="11" t="n"/>
      <c r="H2723" s="11" t="n"/>
      <c r="I2723" s="11" t="n"/>
      <c r="J2723" s="11" t="n"/>
      <c r="K2723" s="11" t="n"/>
      <c r="L2723" s="11" t="n"/>
      <c r="M2723" s="11" t="n"/>
      <c r="N2723" s="11" t="n"/>
      <c r="O2723" s="12" t="n"/>
    </row>
    <row r="2724">
      <c r="A2724" s="11" t="n"/>
      <c r="B2724" s="11" t="n"/>
      <c r="C2724" s="11" t="n"/>
      <c r="D2724" s="11" t="n"/>
      <c r="E2724" s="11" t="n"/>
      <c r="F2724" s="11" t="n"/>
      <c r="G2724" s="11" t="n"/>
      <c r="H2724" s="11" t="n"/>
      <c r="I2724" s="11" t="n"/>
      <c r="J2724" s="11" t="n"/>
      <c r="K2724" s="11" t="n"/>
      <c r="L2724" s="11" t="n"/>
      <c r="M2724" s="11" t="n"/>
      <c r="N2724" s="11" t="n"/>
      <c r="O2724" s="12" t="n"/>
    </row>
    <row r="2725">
      <c r="A2725" s="11" t="n"/>
      <c r="B2725" s="11" t="n"/>
      <c r="C2725" s="11" t="n"/>
      <c r="D2725" s="11" t="n"/>
      <c r="E2725" s="11" t="n"/>
      <c r="F2725" s="11" t="n"/>
      <c r="G2725" s="11" t="n"/>
      <c r="H2725" s="11" t="n"/>
      <c r="I2725" s="11" t="n"/>
      <c r="J2725" s="11" t="n"/>
      <c r="K2725" s="11" t="n"/>
      <c r="L2725" s="11" t="n"/>
      <c r="M2725" s="11" t="n"/>
      <c r="N2725" s="11" t="n"/>
      <c r="O2725" s="12" t="n"/>
    </row>
    <row r="2726">
      <c r="A2726" s="11" t="n"/>
      <c r="B2726" s="11" t="n"/>
      <c r="C2726" s="11" t="n"/>
      <c r="D2726" s="11" t="n"/>
      <c r="E2726" s="11" t="n"/>
      <c r="F2726" s="11" t="n"/>
      <c r="G2726" s="11" t="n"/>
      <c r="H2726" s="11" t="n"/>
      <c r="I2726" s="11" t="n"/>
      <c r="J2726" s="11" t="n"/>
      <c r="K2726" s="11" t="n"/>
      <c r="L2726" s="11" t="n"/>
      <c r="M2726" s="11" t="n"/>
      <c r="N2726" s="11" t="n"/>
      <c r="O2726" s="12" t="n"/>
    </row>
    <row r="2727">
      <c r="A2727" s="11" t="n"/>
      <c r="B2727" s="11" t="n"/>
      <c r="C2727" s="11" t="n"/>
      <c r="D2727" s="11" t="n"/>
      <c r="E2727" s="11" t="n"/>
      <c r="F2727" s="11" t="n"/>
      <c r="G2727" s="11" t="n"/>
      <c r="H2727" s="11" t="n"/>
      <c r="I2727" s="11" t="n"/>
      <c r="J2727" s="11" t="n"/>
      <c r="K2727" s="11" t="n"/>
      <c r="L2727" s="11" t="n"/>
      <c r="M2727" s="11" t="n"/>
      <c r="N2727" s="11" t="n"/>
      <c r="O2727" s="12" t="n"/>
    </row>
    <row r="2728">
      <c r="A2728" s="11" t="n"/>
      <c r="B2728" s="11" t="n"/>
      <c r="C2728" s="11" t="n"/>
      <c r="D2728" s="11" t="n"/>
      <c r="E2728" s="11" t="n"/>
      <c r="F2728" s="11" t="n"/>
      <c r="G2728" s="11" t="n"/>
      <c r="H2728" s="11" t="n"/>
      <c r="I2728" s="11" t="n"/>
      <c r="J2728" s="11" t="n"/>
      <c r="K2728" s="11" t="n"/>
      <c r="L2728" s="11" t="n"/>
      <c r="M2728" s="11" t="n"/>
      <c r="N2728" s="11" t="n"/>
      <c r="O2728" s="12" t="n"/>
    </row>
    <row r="2729">
      <c r="A2729" s="11" t="n"/>
      <c r="B2729" s="11" t="n"/>
      <c r="C2729" s="11" t="n"/>
      <c r="D2729" s="11" t="n"/>
      <c r="E2729" s="11" t="n"/>
      <c r="F2729" s="11" t="n"/>
      <c r="G2729" s="11" t="n"/>
      <c r="H2729" s="11" t="n"/>
      <c r="I2729" s="11" t="n"/>
      <c r="J2729" s="11" t="n"/>
      <c r="K2729" s="11" t="n"/>
      <c r="L2729" s="11" t="n"/>
      <c r="M2729" s="11" t="n"/>
      <c r="N2729" s="11" t="n"/>
      <c r="O2729" s="12" t="n"/>
    </row>
    <row r="2730">
      <c r="A2730" s="11" t="n"/>
      <c r="B2730" s="11" t="n"/>
      <c r="C2730" s="11" t="n"/>
      <c r="D2730" s="11" t="n"/>
      <c r="E2730" s="11" t="n"/>
      <c r="F2730" s="11" t="n"/>
      <c r="G2730" s="11" t="n"/>
      <c r="H2730" s="11" t="n"/>
      <c r="I2730" s="11" t="n"/>
      <c r="J2730" s="11" t="n"/>
      <c r="K2730" s="11" t="n"/>
      <c r="L2730" s="11" t="n"/>
      <c r="M2730" s="11" t="n"/>
      <c r="N2730" s="11" t="n"/>
      <c r="O2730" s="12" t="n"/>
    </row>
    <row r="2731">
      <c r="A2731" s="11" t="n"/>
      <c r="B2731" s="11" t="n"/>
      <c r="C2731" s="11" t="n"/>
      <c r="D2731" s="11" t="n"/>
      <c r="E2731" s="11" t="n"/>
      <c r="F2731" s="11" t="n"/>
      <c r="G2731" s="11" t="n"/>
      <c r="H2731" s="11" t="n"/>
      <c r="I2731" s="11" t="n"/>
      <c r="J2731" s="11" t="n"/>
      <c r="K2731" s="11" t="n"/>
      <c r="L2731" s="11" t="n"/>
      <c r="M2731" s="11" t="n"/>
      <c r="N2731" s="11" t="n"/>
      <c r="O2731" s="12" t="n"/>
    </row>
    <row r="2732">
      <c r="A2732" s="11" t="n"/>
      <c r="B2732" s="11" t="n"/>
      <c r="C2732" s="11" t="n"/>
      <c r="D2732" s="11" t="n"/>
      <c r="E2732" s="11" t="n"/>
      <c r="F2732" s="11" t="n"/>
      <c r="G2732" s="11" t="n"/>
      <c r="H2732" s="11" t="n"/>
      <c r="I2732" s="11" t="n"/>
      <c r="J2732" s="11" t="n"/>
      <c r="K2732" s="11" t="n"/>
      <c r="L2732" s="11" t="n"/>
      <c r="M2732" s="11" t="n"/>
      <c r="N2732" s="11" t="n"/>
      <c r="O2732" s="12" t="n"/>
    </row>
    <row r="2733">
      <c r="A2733" s="11" t="n"/>
      <c r="B2733" s="11" t="n"/>
      <c r="C2733" s="11" t="n"/>
      <c r="D2733" s="11" t="n"/>
      <c r="E2733" s="11" t="n"/>
      <c r="F2733" s="11" t="n"/>
      <c r="G2733" s="11" t="n"/>
      <c r="H2733" s="11" t="n"/>
      <c r="I2733" s="11" t="n"/>
      <c r="J2733" s="11" t="n"/>
      <c r="K2733" s="11" t="n"/>
      <c r="L2733" s="11" t="n"/>
      <c r="M2733" s="11" t="n"/>
      <c r="N2733" s="11" t="n"/>
      <c r="O2733" s="12" t="n"/>
    </row>
    <row r="2734">
      <c r="A2734" s="11" t="n"/>
      <c r="B2734" s="11" t="n"/>
      <c r="C2734" s="11" t="n"/>
      <c r="D2734" s="11" t="n"/>
      <c r="E2734" s="11" t="n"/>
      <c r="F2734" s="11" t="n"/>
      <c r="G2734" s="11" t="n"/>
      <c r="H2734" s="11" t="n"/>
      <c r="I2734" s="11" t="n"/>
      <c r="J2734" s="11" t="n"/>
      <c r="K2734" s="11" t="n"/>
      <c r="L2734" s="11" t="n"/>
      <c r="M2734" s="11" t="n"/>
      <c r="N2734" s="11" t="n"/>
      <c r="O2734" s="12" t="n"/>
    </row>
    <row r="2735">
      <c r="A2735" s="11" t="n"/>
      <c r="B2735" s="11" t="n"/>
      <c r="C2735" s="11" t="n"/>
      <c r="D2735" s="11" t="n"/>
      <c r="E2735" s="11" t="n"/>
      <c r="F2735" s="11" t="n"/>
      <c r="G2735" s="11" t="n"/>
      <c r="H2735" s="11" t="n"/>
      <c r="I2735" s="11" t="n"/>
      <c r="J2735" s="11" t="n"/>
      <c r="K2735" s="11" t="n"/>
      <c r="L2735" s="11" t="n"/>
      <c r="M2735" s="11" t="n"/>
      <c r="N2735" s="11" t="n"/>
      <c r="O2735" s="12" t="n"/>
    </row>
    <row r="2736">
      <c r="A2736" s="11" t="n"/>
      <c r="B2736" s="11" t="n"/>
      <c r="C2736" s="11" t="n"/>
      <c r="D2736" s="11" t="n"/>
      <c r="E2736" s="11" t="n"/>
      <c r="F2736" s="11" t="n"/>
      <c r="G2736" s="11" t="n"/>
      <c r="H2736" s="11" t="n"/>
      <c r="I2736" s="11" t="n"/>
      <c r="J2736" s="11" t="n"/>
      <c r="K2736" s="11" t="n"/>
      <c r="L2736" s="11" t="n"/>
      <c r="M2736" s="11" t="n"/>
      <c r="N2736" s="11" t="n"/>
      <c r="O2736" s="12" t="n"/>
    </row>
    <row r="2737">
      <c r="A2737" s="11" t="n"/>
      <c r="B2737" s="11" t="n"/>
      <c r="C2737" s="11" t="n"/>
      <c r="D2737" s="11" t="n"/>
      <c r="E2737" s="11" t="n"/>
      <c r="F2737" s="11" t="n"/>
      <c r="G2737" s="11" t="n"/>
      <c r="H2737" s="11" t="n"/>
      <c r="I2737" s="11" t="n"/>
      <c r="J2737" s="11" t="n"/>
      <c r="K2737" s="11" t="n"/>
      <c r="L2737" s="11" t="n"/>
      <c r="M2737" s="11" t="n"/>
      <c r="N2737" s="11" t="n"/>
      <c r="O2737" s="12" t="n"/>
    </row>
    <row r="2738">
      <c r="A2738" s="11" t="n"/>
      <c r="B2738" s="11" t="n"/>
      <c r="C2738" s="11" t="n"/>
      <c r="D2738" s="11" t="n"/>
      <c r="E2738" s="11" t="n"/>
      <c r="F2738" s="11" t="n"/>
      <c r="G2738" s="11" t="n"/>
      <c r="H2738" s="11" t="n"/>
      <c r="I2738" s="11" t="n"/>
      <c r="J2738" s="11" t="n"/>
      <c r="K2738" s="11" t="n"/>
      <c r="L2738" s="11" t="n"/>
      <c r="M2738" s="11" t="n"/>
      <c r="N2738" s="11" t="n"/>
      <c r="O2738" s="12" t="n"/>
    </row>
    <row r="2739">
      <c r="A2739" s="11" t="n"/>
      <c r="B2739" s="11" t="n"/>
      <c r="C2739" s="11" t="n"/>
      <c r="D2739" s="11" t="n"/>
      <c r="E2739" s="11" t="n"/>
      <c r="F2739" s="11" t="n"/>
      <c r="G2739" s="11" t="n"/>
      <c r="H2739" s="11" t="n"/>
      <c r="I2739" s="11" t="n"/>
      <c r="J2739" s="11" t="n"/>
      <c r="K2739" s="11" t="n"/>
      <c r="L2739" s="11" t="n"/>
      <c r="M2739" s="11" t="n"/>
      <c r="N2739" s="11" t="n"/>
      <c r="O2739" s="12" t="n"/>
    </row>
    <row r="2740">
      <c r="A2740" s="11" t="n"/>
      <c r="B2740" s="11" t="n"/>
      <c r="C2740" s="11" t="n"/>
      <c r="D2740" s="11" t="n"/>
      <c r="E2740" s="11" t="n"/>
      <c r="F2740" s="11" t="n"/>
      <c r="G2740" s="11" t="n"/>
      <c r="H2740" s="11" t="n"/>
      <c r="I2740" s="11" t="n"/>
      <c r="J2740" s="11" t="n"/>
      <c r="K2740" s="11" t="n"/>
      <c r="L2740" s="11" t="n"/>
      <c r="M2740" s="11" t="n"/>
      <c r="N2740" s="11" t="n"/>
      <c r="O2740" s="12" t="n"/>
    </row>
    <row r="2741">
      <c r="A2741" s="11" t="n"/>
      <c r="B2741" s="11" t="n"/>
      <c r="C2741" s="11" t="n"/>
      <c r="D2741" s="11" t="n"/>
      <c r="E2741" s="11" t="n"/>
      <c r="F2741" s="11" t="n"/>
      <c r="G2741" s="11" t="n"/>
      <c r="H2741" s="11" t="n"/>
      <c r="I2741" s="11" t="n"/>
      <c r="J2741" s="11" t="n"/>
      <c r="K2741" s="11" t="n"/>
      <c r="L2741" s="11" t="n"/>
      <c r="M2741" s="11" t="n"/>
      <c r="N2741" s="11" t="n"/>
      <c r="O2741" s="12" t="n"/>
    </row>
    <row r="2742">
      <c r="A2742" s="11" t="n"/>
      <c r="B2742" s="11" t="n"/>
      <c r="C2742" s="11" t="n"/>
      <c r="D2742" s="11" t="n"/>
      <c r="E2742" s="11" t="n"/>
      <c r="F2742" s="11" t="n"/>
      <c r="G2742" s="11" t="n"/>
      <c r="H2742" s="11" t="n"/>
      <c r="I2742" s="11" t="n"/>
      <c r="J2742" s="11" t="n"/>
      <c r="K2742" s="11" t="n"/>
      <c r="L2742" s="11" t="n"/>
      <c r="M2742" s="11" t="n"/>
      <c r="N2742" s="11" t="n"/>
      <c r="O2742" s="12" t="n"/>
    </row>
    <row r="2743">
      <c r="A2743" s="11" t="n"/>
      <c r="B2743" s="11" t="n"/>
      <c r="C2743" s="11" t="n"/>
      <c r="D2743" s="11" t="n"/>
      <c r="E2743" s="11" t="n"/>
      <c r="F2743" s="11" t="n"/>
      <c r="G2743" s="11" t="n"/>
      <c r="H2743" s="11" t="n"/>
      <c r="I2743" s="11" t="n"/>
      <c r="J2743" s="11" t="n"/>
      <c r="K2743" s="11" t="n"/>
      <c r="L2743" s="11" t="n"/>
      <c r="M2743" s="11" t="n"/>
      <c r="N2743" s="11" t="n"/>
      <c r="O2743" s="12" t="n"/>
    </row>
    <row r="2744">
      <c r="A2744" s="11" t="n"/>
      <c r="B2744" s="11" t="n"/>
      <c r="C2744" s="11" t="n"/>
      <c r="D2744" s="11" t="n"/>
      <c r="E2744" s="11" t="n"/>
      <c r="F2744" s="11" t="n"/>
      <c r="G2744" s="11" t="n"/>
      <c r="H2744" s="11" t="n"/>
      <c r="I2744" s="11" t="n"/>
      <c r="J2744" s="11" t="n"/>
      <c r="K2744" s="11" t="n"/>
      <c r="L2744" s="11" t="n"/>
      <c r="M2744" s="11" t="n"/>
      <c r="N2744" s="11" t="n"/>
      <c r="O2744" s="12" t="n"/>
    </row>
    <row r="2745">
      <c r="A2745" s="11" t="n"/>
      <c r="B2745" s="11" t="n"/>
      <c r="C2745" s="11" t="n"/>
      <c r="D2745" s="11" t="n"/>
      <c r="E2745" s="11" t="n"/>
      <c r="F2745" s="11" t="n"/>
      <c r="G2745" s="11" t="n"/>
      <c r="H2745" s="11" t="n"/>
      <c r="I2745" s="11" t="n"/>
      <c r="J2745" s="11" t="n"/>
      <c r="K2745" s="11" t="n"/>
      <c r="L2745" s="11" t="n"/>
      <c r="M2745" s="11" t="n"/>
      <c r="N2745" s="11" t="n"/>
      <c r="O2745" s="12" t="n"/>
    </row>
    <row r="2746">
      <c r="A2746" s="11" t="n"/>
      <c r="B2746" s="11" t="n"/>
      <c r="C2746" s="11" t="n"/>
      <c r="D2746" s="11" t="n"/>
      <c r="E2746" s="11" t="n"/>
      <c r="F2746" s="11" t="n"/>
      <c r="G2746" s="11" t="n"/>
      <c r="H2746" s="11" t="n"/>
      <c r="I2746" s="11" t="n"/>
      <c r="J2746" s="11" t="n"/>
      <c r="K2746" s="11" t="n"/>
      <c r="L2746" s="11" t="n"/>
      <c r="M2746" s="11" t="n"/>
      <c r="N2746" s="11" t="n"/>
      <c r="O2746" s="12" t="n"/>
    </row>
    <row r="2747">
      <c r="A2747" s="11" t="n"/>
      <c r="B2747" s="11" t="n"/>
      <c r="C2747" s="11" t="n"/>
      <c r="D2747" s="11" t="n"/>
      <c r="E2747" s="11" t="n"/>
      <c r="F2747" s="11" t="n"/>
      <c r="G2747" s="11" t="n"/>
      <c r="H2747" s="11" t="n"/>
      <c r="I2747" s="11" t="n"/>
      <c r="J2747" s="11" t="n"/>
      <c r="K2747" s="11" t="n"/>
      <c r="L2747" s="11" t="n"/>
      <c r="M2747" s="11" t="n"/>
      <c r="N2747" s="11" t="n"/>
      <c r="O2747" s="12" t="n"/>
    </row>
    <row r="2748">
      <c r="A2748" s="11" t="n"/>
      <c r="B2748" s="11" t="n"/>
      <c r="C2748" s="11" t="n"/>
      <c r="D2748" s="11" t="n"/>
      <c r="E2748" s="11" t="n"/>
      <c r="F2748" s="11" t="n"/>
      <c r="G2748" s="11" t="n"/>
      <c r="H2748" s="11" t="n"/>
      <c r="I2748" s="11" t="n"/>
      <c r="J2748" s="11" t="n"/>
      <c r="K2748" s="11" t="n"/>
      <c r="L2748" s="11" t="n"/>
      <c r="M2748" s="11" t="n"/>
      <c r="N2748" s="11" t="n"/>
      <c r="O2748" s="12" t="n"/>
    </row>
    <row r="2749">
      <c r="A2749" s="11" t="n"/>
      <c r="B2749" s="11" t="n"/>
      <c r="C2749" s="11" t="n"/>
      <c r="D2749" s="11" t="n"/>
      <c r="E2749" s="11" t="n"/>
      <c r="F2749" s="11" t="n"/>
      <c r="G2749" s="11" t="n"/>
      <c r="H2749" s="11" t="n"/>
      <c r="I2749" s="11" t="n"/>
      <c r="J2749" s="11" t="n"/>
      <c r="K2749" s="11" t="n"/>
      <c r="L2749" s="11" t="n"/>
      <c r="M2749" s="11" t="n"/>
      <c r="N2749" s="11" t="n"/>
      <c r="O2749" s="12" t="n"/>
    </row>
    <row r="2750">
      <c r="A2750" s="11" t="n"/>
      <c r="B2750" s="11" t="n"/>
      <c r="C2750" s="11" t="n"/>
      <c r="D2750" s="11" t="n"/>
      <c r="E2750" s="11" t="n"/>
      <c r="F2750" s="11" t="n"/>
      <c r="G2750" s="11" t="n"/>
      <c r="H2750" s="11" t="n"/>
      <c r="I2750" s="11" t="n"/>
      <c r="J2750" s="11" t="n"/>
      <c r="K2750" s="11" t="n"/>
      <c r="L2750" s="11" t="n"/>
      <c r="M2750" s="11" t="n"/>
      <c r="N2750" s="11" t="n"/>
      <c r="O2750" s="12" t="n"/>
    </row>
    <row r="2751">
      <c r="A2751" s="11" t="n"/>
      <c r="B2751" s="11" t="n"/>
      <c r="C2751" s="11" t="n"/>
      <c r="D2751" s="11" t="n"/>
      <c r="E2751" s="11" t="n"/>
      <c r="F2751" s="11" t="n"/>
      <c r="G2751" s="11" t="n"/>
      <c r="H2751" s="11" t="n"/>
      <c r="I2751" s="11" t="n"/>
      <c r="J2751" s="11" t="n"/>
      <c r="K2751" s="11" t="n"/>
      <c r="L2751" s="11" t="n"/>
      <c r="M2751" s="11" t="n"/>
      <c r="N2751" s="11" t="n"/>
      <c r="O2751" s="12" t="n"/>
    </row>
    <row r="2752">
      <c r="A2752" s="11" t="n"/>
      <c r="B2752" s="11" t="n"/>
      <c r="C2752" s="11" t="n"/>
      <c r="D2752" s="11" t="n"/>
      <c r="E2752" s="11" t="n"/>
      <c r="F2752" s="11" t="n"/>
      <c r="G2752" s="11" t="n"/>
      <c r="H2752" s="11" t="n"/>
      <c r="I2752" s="11" t="n"/>
      <c r="J2752" s="11" t="n"/>
      <c r="K2752" s="11" t="n"/>
      <c r="L2752" s="11" t="n"/>
      <c r="M2752" s="11" t="n"/>
      <c r="N2752" s="11" t="n"/>
      <c r="O2752" s="12" t="n"/>
    </row>
    <row r="2753">
      <c r="A2753" s="11" t="n"/>
      <c r="B2753" s="11" t="n"/>
      <c r="C2753" s="11" t="n"/>
      <c r="D2753" s="11" t="n"/>
      <c r="E2753" s="11" t="n"/>
      <c r="F2753" s="11" t="n"/>
      <c r="G2753" s="11" t="n"/>
      <c r="H2753" s="11" t="n"/>
      <c r="I2753" s="11" t="n"/>
      <c r="J2753" s="11" t="n"/>
      <c r="K2753" s="11" t="n"/>
      <c r="L2753" s="11" t="n"/>
      <c r="M2753" s="11" t="n"/>
      <c r="N2753" s="11" t="n"/>
      <c r="O2753" s="12" t="n"/>
    </row>
    <row r="2754">
      <c r="A2754" s="11" t="n"/>
      <c r="B2754" s="11" t="n"/>
      <c r="C2754" s="11" t="n"/>
      <c r="D2754" s="11" t="n"/>
      <c r="E2754" s="11" t="n"/>
      <c r="F2754" s="11" t="n"/>
      <c r="G2754" s="11" t="n"/>
      <c r="H2754" s="11" t="n"/>
      <c r="I2754" s="11" t="n"/>
      <c r="J2754" s="11" t="n"/>
      <c r="K2754" s="11" t="n"/>
      <c r="L2754" s="11" t="n"/>
      <c r="M2754" s="11" t="n"/>
      <c r="N2754" s="11" t="n"/>
      <c r="O2754" s="12" t="n"/>
    </row>
    <row r="2755">
      <c r="A2755" s="11" t="n"/>
      <c r="B2755" s="11" t="n"/>
      <c r="C2755" s="11" t="n"/>
      <c r="D2755" s="11" t="n"/>
      <c r="E2755" s="11" t="n"/>
      <c r="F2755" s="11" t="n"/>
      <c r="G2755" s="11" t="n"/>
      <c r="H2755" s="11" t="n"/>
      <c r="I2755" s="11" t="n"/>
      <c r="J2755" s="11" t="n"/>
      <c r="K2755" s="11" t="n"/>
      <c r="L2755" s="11" t="n"/>
      <c r="M2755" s="11" t="n"/>
      <c r="N2755" s="11" t="n"/>
      <c r="O2755" s="12" t="n"/>
    </row>
    <row r="2756">
      <c r="A2756" s="11" t="n"/>
      <c r="B2756" s="11" t="n"/>
      <c r="C2756" s="11" t="n"/>
      <c r="D2756" s="11" t="n"/>
      <c r="E2756" s="11" t="n"/>
      <c r="F2756" s="11" t="n"/>
      <c r="G2756" s="11" t="n"/>
      <c r="H2756" s="11" t="n"/>
      <c r="I2756" s="11" t="n"/>
      <c r="J2756" s="11" t="n"/>
      <c r="K2756" s="11" t="n"/>
      <c r="L2756" s="11" t="n"/>
      <c r="M2756" s="11" t="n"/>
      <c r="N2756" s="11" t="n"/>
      <c r="O2756" s="12" t="n"/>
    </row>
    <row r="2757">
      <c r="A2757" s="11" t="n"/>
      <c r="B2757" s="11" t="n"/>
      <c r="C2757" s="11" t="n"/>
      <c r="D2757" s="11" t="n"/>
      <c r="E2757" s="11" t="n"/>
      <c r="F2757" s="11" t="n"/>
      <c r="G2757" s="11" t="n"/>
      <c r="H2757" s="11" t="n"/>
      <c r="I2757" s="11" t="n"/>
      <c r="J2757" s="11" t="n"/>
      <c r="K2757" s="11" t="n"/>
      <c r="L2757" s="11" t="n"/>
      <c r="M2757" s="11" t="n"/>
      <c r="N2757" s="11" t="n"/>
      <c r="O2757" s="12" t="n"/>
    </row>
    <row r="2758">
      <c r="A2758" s="11" t="n"/>
      <c r="B2758" s="11" t="n"/>
      <c r="C2758" s="11" t="n"/>
      <c r="D2758" s="11" t="n"/>
      <c r="E2758" s="11" t="n"/>
      <c r="F2758" s="11" t="n"/>
      <c r="G2758" s="11" t="n"/>
      <c r="H2758" s="11" t="n"/>
      <c r="I2758" s="11" t="n"/>
      <c r="J2758" s="11" t="n"/>
      <c r="K2758" s="11" t="n"/>
      <c r="L2758" s="11" t="n"/>
      <c r="M2758" s="11" t="n"/>
      <c r="N2758" s="11" t="n"/>
      <c r="O2758" s="12" t="n"/>
    </row>
    <row r="2759">
      <c r="A2759" s="11" t="n"/>
      <c r="B2759" s="11" t="n"/>
      <c r="C2759" s="11" t="n"/>
      <c r="D2759" s="11" t="n"/>
      <c r="E2759" s="11" t="n"/>
      <c r="F2759" s="11" t="n"/>
      <c r="G2759" s="11" t="n"/>
      <c r="H2759" s="11" t="n"/>
      <c r="I2759" s="11" t="n"/>
      <c r="J2759" s="11" t="n"/>
      <c r="K2759" s="11" t="n"/>
      <c r="L2759" s="11" t="n"/>
      <c r="M2759" s="11" t="n"/>
      <c r="N2759" s="11" t="n"/>
      <c r="O2759" s="12" t="n"/>
    </row>
    <row r="2760">
      <c r="A2760" s="11" t="n"/>
      <c r="B2760" s="11" t="n"/>
      <c r="C2760" s="11" t="n"/>
      <c r="D2760" s="11" t="n"/>
      <c r="E2760" s="11" t="n"/>
      <c r="F2760" s="11" t="n"/>
      <c r="G2760" s="11" t="n"/>
      <c r="H2760" s="11" t="n"/>
      <c r="I2760" s="11" t="n"/>
      <c r="J2760" s="11" t="n"/>
      <c r="K2760" s="11" t="n"/>
      <c r="L2760" s="11" t="n"/>
      <c r="M2760" s="11" t="n"/>
      <c r="N2760" s="11" t="n"/>
      <c r="O2760" s="12" t="n"/>
    </row>
    <row r="2761">
      <c r="A2761" s="11" t="n"/>
      <c r="B2761" s="11" t="n"/>
      <c r="C2761" s="11" t="n"/>
      <c r="D2761" s="11" t="n"/>
      <c r="E2761" s="11" t="n"/>
      <c r="F2761" s="11" t="n"/>
      <c r="G2761" s="11" t="n"/>
      <c r="H2761" s="11" t="n"/>
      <c r="I2761" s="11" t="n"/>
      <c r="J2761" s="11" t="n"/>
      <c r="K2761" s="11" t="n"/>
      <c r="L2761" s="11" t="n"/>
      <c r="M2761" s="11" t="n"/>
      <c r="N2761" s="11" t="n"/>
      <c r="O2761" s="12" t="n"/>
    </row>
    <row r="2762">
      <c r="A2762" s="11" t="n"/>
      <c r="B2762" s="11" t="n"/>
      <c r="C2762" s="11" t="n"/>
      <c r="D2762" s="11" t="n"/>
      <c r="E2762" s="11" t="n"/>
      <c r="F2762" s="11" t="n"/>
      <c r="G2762" s="11" t="n"/>
      <c r="H2762" s="11" t="n"/>
      <c r="I2762" s="11" t="n"/>
      <c r="J2762" s="11" t="n"/>
      <c r="K2762" s="11" t="n"/>
      <c r="L2762" s="11" t="n"/>
      <c r="M2762" s="11" t="n"/>
      <c r="N2762" s="11" t="n"/>
      <c r="O2762" s="12" t="n"/>
    </row>
    <row r="2763">
      <c r="A2763" s="11" t="n"/>
      <c r="B2763" s="11" t="n"/>
      <c r="C2763" s="11" t="n"/>
      <c r="D2763" s="11" t="n"/>
      <c r="E2763" s="11" t="n"/>
      <c r="F2763" s="11" t="n"/>
      <c r="G2763" s="11" t="n"/>
      <c r="H2763" s="11" t="n"/>
      <c r="I2763" s="11" t="n"/>
      <c r="J2763" s="11" t="n"/>
      <c r="K2763" s="11" t="n"/>
      <c r="L2763" s="11" t="n"/>
      <c r="M2763" s="11" t="n"/>
      <c r="N2763" s="11" t="n"/>
      <c r="O2763" s="12" t="n"/>
    </row>
    <row r="2764">
      <c r="A2764" s="11" t="n"/>
      <c r="B2764" s="11" t="n"/>
      <c r="C2764" s="11" t="n"/>
      <c r="D2764" s="11" t="n"/>
      <c r="E2764" s="11" t="n"/>
      <c r="F2764" s="11" t="n"/>
      <c r="G2764" s="11" t="n"/>
      <c r="H2764" s="11" t="n"/>
      <c r="I2764" s="11" t="n"/>
      <c r="J2764" s="11" t="n"/>
      <c r="K2764" s="11" t="n"/>
      <c r="L2764" s="11" t="n"/>
      <c r="M2764" s="11" t="n"/>
      <c r="N2764" s="11" t="n"/>
      <c r="O2764" s="12" t="n"/>
    </row>
    <row r="2765">
      <c r="A2765" s="11" t="n"/>
      <c r="B2765" s="11" t="n"/>
      <c r="C2765" s="11" t="n"/>
      <c r="D2765" s="11" t="n"/>
      <c r="E2765" s="11" t="n"/>
      <c r="F2765" s="11" t="n"/>
      <c r="G2765" s="11" t="n"/>
      <c r="H2765" s="11" t="n"/>
      <c r="I2765" s="11" t="n"/>
      <c r="J2765" s="11" t="n"/>
      <c r="K2765" s="11" t="n"/>
      <c r="L2765" s="11" t="n"/>
      <c r="M2765" s="11" t="n"/>
      <c r="N2765" s="11" t="n"/>
      <c r="O2765" s="12" t="n"/>
    </row>
    <row r="2766">
      <c r="A2766" s="11" t="n"/>
      <c r="B2766" s="11" t="n"/>
      <c r="C2766" s="11" t="n"/>
      <c r="D2766" s="11" t="n"/>
      <c r="E2766" s="11" t="n"/>
      <c r="F2766" s="11" t="n"/>
      <c r="G2766" s="11" t="n"/>
      <c r="H2766" s="11" t="n"/>
      <c r="I2766" s="11" t="n"/>
      <c r="J2766" s="11" t="n"/>
      <c r="K2766" s="11" t="n"/>
      <c r="L2766" s="11" t="n"/>
      <c r="M2766" s="11" t="n"/>
      <c r="N2766" s="11" t="n"/>
      <c r="O2766" s="12" t="n"/>
    </row>
    <row r="2767">
      <c r="A2767" s="11" t="n"/>
      <c r="B2767" s="11" t="n"/>
      <c r="C2767" s="11" t="n"/>
      <c r="D2767" s="11" t="n"/>
      <c r="E2767" s="11" t="n"/>
      <c r="F2767" s="11" t="n"/>
      <c r="G2767" s="11" t="n"/>
      <c r="H2767" s="11" t="n"/>
      <c r="I2767" s="11" t="n"/>
      <c r="J2767" s="11" t="n"/>
      <c r="K2767" s="11" t="n"/>
      <c r="L2767" s="11" t="n"/>
      <c r="M2767" s="11" t="n"/>
      <c r="N2767" s="11" t="n"/>
      <c r="O2767" s="12" t="n"/>
    </row>
    <row r="2768">
      <c r="A2768" s="11" t="n"/>
      <c r="B2768" s="11" t="n"/>
      <c r="C2768" s="11" t="n"/>
      <c r="D2768" s="11" t="n"/>
      <c r="E2768" s="11" t="n"/>
      <c r="F2768" s="11" t="n"/>
      <c r="G2768" s="11" t="n"/>
      <c r="H2768" s="11" t="n"/>
      <c r="I2768" s="11" t="n"/>
      <c r="J2768" s="11" t="n"/>
      <c r="K2768" s="11" t="n"/>
      <c r="L2768" s="11" t="n"/>
      <c r="M2768" s="11" t="n"/>
      <c r="N2768" s="11" t="n"/>
      <c r="O2768" s="12" t="n"/>
    </row>
    <row r="2769">
      <c r="A2769" s="11" t="n"/>
      <c r="B2769" s="11" t="n"/>
      <c r="C2769" s="11" t="n"/>
      <c r="D2769" s="11" t="n"/>
      <c r="E2769" s="11" t="n"/>
      <c r="F2769" s="11" t="n"/>
      <c r="G2769" s="11" t="n"/>
      <c r="H2769" s="11" t="n"/>
      <c r="I2769" s="11" t="n"/>
      <c r="J2769" s="11" t="n"/>
      <c r="K2769" s="11" t="n"/>
      <c r="L2769" s="11" t="n"/>
      <c r="M2769" s="11" t="n"/>
      <c r="N2769" s="11" t="n"/>
      <c r="O2769" s="12" t="n"/>
    </row>
    <row r="2770">
      <c r="A2770" s="11" t="n"/>
      <c r="B2770" s="11" t="n"/>
      <c r="C2770" s="11" t="n"/>
      <c r="D2770" s="11" t="n"/>
      <c r="E2770" s="11" t="n"/>
      <c r="F2770" s="11" t="n"/>
      <c r="G2770" s="11" t="n"/>
      <c r="H2770" s="11" t="n"/>
      <c r="I2770" s="11" t="n"/>
      <c r="J2770" s="11" t="n"/>
      <c r="K2770" s="11" t="n"/>
      <c r="L2770" s="11" t="n"/>
      <c r="M2770" s="11" t="n"/>
      <c r="N2770" s="11" t="n"/>
      <c r="O2770" s="12" t="n"/>
    </row>
    <row r="2771">
      <c r="A2771" s="11" t="n"/>
      <c r="B2771" s="11" t="n"/>
      <c r="C2771" s="11" t="n"/>
      <c r="D2771" s="11" t="n"/>
      <c r="E2771" s="11" t="n"/>
      <c r="F2771" s="11" t="n"/>
      <c r="G2771" s="11" t="n"/>
      <c r="H2771" s="11" t="n"/>
      <c r="I2771" s="11" t="n"/>
      <c r="J2771" s="11" t="n"/>
      <c r="K2771" s="11" t="n"/>
      <c r="L2771" s="11" t="n"/>
      <c r="M2771" s="11" t="n"/>
      <c r="N2771" s="11" t="n"/>
      <c r="O2771" s="12" t="n"/>
    </row>
    <row r="2772">
      <c r="A2772" s="11" t="n"/>
      <c r="B2772" s="11" t="n"/>
      <c r="C2772" s="11" t="n"/>
      <c r="D2772" s="11" t="n"/>
      <c r="E2772" s="11" t="n"/>
      <c r="F2772" s="11" t="n"/>
      <c r="G2772" s="11" t="n"/>
      <c r="H2772" s="11" t="n"/>
      <c r="I2772" s="11" t="n"/>
      <c r="J2772" s="11" t="n"/>
      <c r="K2772" s="11" t="n"/>
      <c r="L2772" s="11" t="n"/>
      <c r="M2772" s="11" t="n"/>
      <c r="N2772" s="11" t="n"/>
      <c r="O2772" s="12" t="n"/>
    </row>
    <row r="2773">
      <c r="A2773" s="11" t="n"/>
      <c r="B2773" s="11" t="n"/>
      <c r="C2773" s="11" t="n"/>
      <c r="D2773" s="11" t="n"/>
      <c r="E2773" s="11" t="n"/>
      <c r="F2773" s="11" t="n"/>
      <c r="G2773" s="11" t="n"/>
      <c r="H2773" s="11" t="n"/>
      <c r="I2773" s="11" t="n"/>
      <c r="J2773" s="11" t="n"/>
      <c r="K2773" s="11" t="n"/>
      <c r="L2773" s="11" t="n"/>
      <c r="M2773" s="11" t="n"/>
      <c r="N2773" s="11" t="n"/>
      <c r="O2773" s="12" t="n"/>
    </row>
    <row r="2774">
      <c r="A2774" s="11" t="n"/>
      <c r="B2774" s="11" t="n"/>
      <c r="C2774" s="11" t="n"/>
      <c r="D2774" s="11" t="n"/>
      <c r="E2774" s="11" t="n"/>
      <c r="F2774" s="11" t="n"/>
      <c r="G2774" s="11" t="n"/>
      <c r="H2774" s="11" t="n"/>
      <c r="I2774" s="11" t="n"/>
      <c r="J2774" s="11" t="n"/>
      <c r="K2774" s="11" t="n"/>
      <c r="L2774" s="11" t="n"/>
      <c r="M2774" s="11" t="n"/>
      <c r="N2774" s="11" t="n"/>
      <c r="O2774" s="12" t="n"/>
    </row>
    <row r="2775">
      <c r="A2775" s="11" t="n"/>
      <c r="B2775" s="11" t="n"/>
      <c r="C2775" s="11" t="n"/>
      <c r="D2775" s="11" t="n"/>
      <c r="E2775" s="11" t="n"/>
      <c r="F2775" s="11" t="n"/>
      <c r="G2775" s="11" t="n"/>
      <c r="H2775" s="11" t="n"/>
      <c r="I2775" s="11" t="n"/>
      <c r="J2775" s="11" t="n"/>
      <c r="K2775" s="11" t="n"/>
      <c r="L2775" s="11" t="n"/>
      <c r="M2775" s="11" t="n"/>
      <c r="N2775" s="11" t="n"/>
      <c r="O2775" s="12" t="n"/>
    </row>
    <row r="2776">
      <c r="A2776" s="11" t="n"/>
      <c r="B2776" s="11" t="n"/>
      <c r="C2776" s="11" t="n"/>
      <c r="D2776" s="11" t="n"/>
      <c r="E2776" s="11" t="n"/>
      <c r="F2776" s="11" t="n"/>
      <c r="G2776" s="11" t="n"/>
      <c r="H2776" s="11" t="n"/>
      <c r="I2776" s="11" t="n"/>
      <c r="J2776" s="11" t="n"/>
      <c r="K2776" s="11" t="n"/>
      <c r="L2776" s="11" t="n"/>
      <c r="M2776" s="11" t="n"/>
      <c r="N2776" s="11" t="n"/>
      <c r="O2776" s="12" t="n"/>
    </row>
    <row r="2777">
      <c r="A2777" s="11" t="n"/>
      <c r="B2777" s="11" t="n"/>
      <c r="C2777" s="11" t="n"/>
      <c r="D2777" s="11" t="n"/>
      <c r="E2777" s="11" t="n"/>
      <c r="F2777" s="11" t="n"/>
      <c r="G2777" s="11" t="n"/>
      <c r="H2777" s="11" t="n"/>
      <c r="I2777" s="11" t="n"/>
      <c r="J2777" s="11" t="n"/>
      <c r="K2777" s="11" t="n"/>
      <c r="L2777" s="11" t="n"/>
      <c r="M2777" s="11" t="n"/>
      <c r="N2777" s="11" t="n"/>
      <c r="O2777" s="12" t="n"/>
    </row>
    <row r="2778">
      <c r="A2778" s="11" t="n"/>
      <c r="B2778" s="11" t="n"/>
      <c r="C2778" s="11" t="n"/>
      <c r="D2778" s="11" t="n"/>
      <c r="E2778" s="11" t="n"/>
      <c r="F2778" s="11" t="n"/>
      <c r="G2778" s="11" t="n"/>
      <c r="H2778" s="11" t="n"/>
      <c r="I2778" s="11" t="n"/>
      <c r="J2778" s="11" t="n"/>
      <c r="K2778" s="11" t="n"/>
      <c r="L2778" s="11" t="n"/>
      <c r="M2778" s="11" t="n"/>
      <c r="N2778" s="11" t="n"/>
      <c r="O2778" s="12" t="n"/>
    </row>
    <row r="2779">
      <c r="A2779" s="11" t="n"/>
      <c r="B2779" s="11" t="n"/>
      <c r="C2779" s="11" t="n"/>
      <c r="D2779" s="11" t="n"/>
      <c r="E2779" s="11" t="n"/>
      <c r="F2779" s="11" t="n"/>
      <c r="G2779" s="11" t="n"/>
      <c r="H2779" s="11" t="n"/>
      <c r="I2779" s="11" t="n"/>
      <c r="J2779" s="11" t="n"/>
      <c r="K2779" s="11" t="n"/>
      <c r="L2779" s="11" t="n"/>
      <c r="M2779" s="11" t="n"/>
      <c r="N2779" s="11" t="n"/>
      <c r="O2779" s="12" t="n"/>
    </row>
    <row r="2780">
      <c r="A2780" s="11" t="n"/>
      <c r="B2780" s="11" t="n"/>
      <c r="C2780" s="11" t="n"/>
      <c r="D2780" s="11" t="n"/>
      <c r="E2780" s="11" t="n"/>
      <c r="F2780" s="11" t="n"/>
      <c r="G2780" s="11" t="n"/>
      <c r="H2780" s="11" t="n"/>
      <c r="I2780" s="11" t="n"/>
      <c r="J2780" s="11" t="n"/>
      <c r="K2780" s="11" t="n"/>
      <c r="L2780" s="11" t="n"/>
      <c r="M2780" s="11" t="n"/>
      <c r="N2780" s="11" t="n"/>
      <c r="O2780" s="12" t="n"/>
    </row>
    <row r="2781">
      <c r="A2781" s="11" t="n"/>
      <c r="B2781" s="11" t="n"/>
      <c r="C2781" s="11" t="n"/>
      <c r="D2781" s="11" t="n"/>
      <c r="E2781" s="11" t="n"/>
      <c r="F2781" s="11" t="n"/>
      <c r="G2781" s="11" t="n"/>
      <c r="H2781" s="11" t="n"/>
      <c r="I2781" s="11" t="n"/>
      <c r="J2781" s="11" t="n"/>
      <c r="K2781" s="11" t="n"/>
      <c r="L2781" s="11" t="n"/>
      <c r="M2781" s="11" t="n"/>
      <c r="N2781" s="11" t="n"/>
      <c r="O2781" s="12" t="n"/>
    </row>
    <row r="2782">
      <c r="A2782" s="11" t="n"/>
      <c r="B2782" s="11" t="n"/>
      <c r="C2782" s="11" t="n"/>
      <c r="D2782" s="11" t="n"/>
      <c r="E2782" s="11" t="n"/>
      <c r="F2782" s="11" t="n"/>
      <c r="G2782" s="11" t="n"/>
      <c r="H2782" s="11" t="n"/>
      <c r="I2782" s="11" t="n"/>
      <c r="J2782" s="11" t="n"/>
      <c r="K2782" s="11" t="n"/>
      <c r="L2782" s="11" t="n"/>
      <c r="M2782" s="11" t="n"/>
      <c r="N2782" s="11" t="n"/>
      <c r="O2782" s="12" t="n"/>
    </row>
    <row r="2783">
      <c r="A2783" s="11" t="n"/>
      <c r="B2783" s="11" t="n"/>
      <c r="C2783" s="11" t="n"/>
      <c r="D2783" s="11" t="n"/>
      <c r="E2783" s="11" t="n"/>
      <c r="F2783" s="11" t="n"/>
      <c r="G2783" s="11" t="n"/>
      <c r="H2783" s="11" t="n"/>
      <c r="I2783" s="11" t="n"/>
      <c r="J2783" s="11" t="n"/>
      <c r="K2783" s="11" t="n"/>
      <c r="L2783" s="11" t="n"/>
      <c r="M2783" s="11" t="n"/>
      <c r="N2783" s="11" t="n"/>
      <c r="O2783" s="12" t="n"/>
    </row>
    <row r="2784">
      <c r="A2784" s="11" t="n"/>
      <c r="B2784" s="11" t="n"/>
      <c r="C2784" s="11" t="n"/>
      <c r="D2784" s="11" t="n"/>
      <c r="E2784" s="11" t="n"/>
      <c r="F2784" s="11" t="n"/>
      <c r="G2784" s="11" t="n"/>
      <c r="H2784" s="11" t="n"/>
      <c r="I2784" s="11" t="n"/>
      <c r="J2784" s="11" t="n"/>
      <c r="K2784" s="11" t="n"/>
      <c r="L2784" s="11" t="n"/>
      <c r="M2784" s="11" t="n"/>
      <c r="N2784" s="11" t="n"/>
      <c r="O2784" s="12" t="n"/>
    </row>
    <row r="2785">
      <c r="A2785" s="11" t="n"/>
      <c r="B2785" s="11" t="n"/>
      <c r="C2785" s="11" t="n"/>
      <c r="D2785" s="11" t="n"/>
      <c r="E2785" s="11" t="n"/>
      <c r="F2785" s="11" t="n"/>
      <c r="G2785" s="11" t="n"/>
      <c r="H2785" s="11" t="n"/>
      <c r="I2785" s="11" t="n"/>
      <c r="J2785" s="11" t="n"/>
      <c r="K2785" s="11" t="n"/>
      <c r="L2785" s="11" t="n"/>
      <c r="M2785" s="11" t="n"/>
      <c r="N2785" s="11" t="n"/>
      <c r="O2785" s="12" t="n"/>
    </row>
    <row r="2786">
      <c r="A2786" s="11" t="n"/>
      <c r="B2786" s="11" t="n"/>
      <c r="C2786" s="11" t="n"/>
      <c r="D2786" s="11" t="n"/>
      <c r="E2786" s="11" t="n"/>
      <c r="F2786" s="11" t="n"/>
      <c r="G2786" s="11" t="n"/>
      <c r="H2786" s="11" t="n"/>
      <c r="I2786" s="11" t="n"/>
      <c r="J2786" s="11" t="n"/>
      <c r="K2786" s="11" t="n"/>
      <c r="L2786" s="11" t="n"/>
      <c r="M2786" s="11" t="n"/>
      <c r="N2786" s="11" t="n"/>
      <c r="O2786" s="12" t="n"/>
    </row>
    <row r="2787">
      <c r="A2787" s="11" t="n"/>
      <c r="B2787" s="11" t="n"/>
      <c r="C2787" s="11" t="n"/>
      <c r="D2787" s="11" t="n"/>
      <c r="E2787" s="11" t="n"/>
      <c r="F2787" s="11" t="n"/>
      <c r="G2787" s="11" t="n"/>
      <c r="H2787" s="11" t="n"/>
      <c r="I2787" s="11" t="n"/>
      <c r="J2787" s="11" t="n"/>
      <c r="K2787" s="11" t="n"/>
      <c r="L2787" s="11" t="n"/>
      <c r="M2787" s="11" t="n"/>
      <c r="N2787" s="11" t="n"/>
      <c r="O2787" s="12" t="n"/>
    </row>
    <row r="2788">
      <c r="A2788" s="11" t="n"/>
      <c r="B2788" s="11" t="n"/>
      <c r="C2788" s="11" t="n"/>
      <c r="D2788" s="11" t="n"/>
      <c r="E2788" s="11" t="n"/>
      <c r="F2788" s="11" t="n"/>
      <c r="G2788" s="11" t="n"/>
      <c r="H2788" s="11" t="n"/>
      <c r="I2788" s="11" t="n"/>
      <c r="J2788" s="11" t="n"/>
      <c r="K2788" s="11" t="n"/>
      <c r="L2788" s="11" t="n"/>
      <c r="M2788" s="11" t="n"/>
      <c r="N2788" s="11" t="n"/>
      <c r="O2788" s="12" t="n"/>
    </row>
    <row r="2789">
      <c r="A2789" s="11" t="n"/>
      <c r="B2789" s="11" t="n"/>
      <c r="C2789" s="11" t="n"/>
      <c r="D2789" s="11" t="n"/>
      <c r="E2789" s="11" t="n"/>
      <c r="F2789" s="11" t="n"/>
      <c r="G2789" s="11" t="n"/>
      <c r="H2789" s="11" t="n"/>
      <c r="I2789" s="11" t="n"/>
      <c r="J2789" s="11" t="n"/>
      <c r="K2789" s="11" t="n"/>
      <c r="L2789" s="11" t="n"/>
      <c r="M2789" s="11" t="n"/>
      <c r="N2789" s="11" t="n"/>
      <c r="O2789" s="12" t="n"/>
    </row>
    <row r="2790">
      <c r="A2790" s="11" t="n"/>
      <c r="B2790" s="11" t="n"/>
      <c r="C2790" s="11" t="n"/>
      <c r="D2790" s="11" t="n"/>
      <c r="E2790" s="11" t="n"/>
      <c r="F2790" s="11" t="n"/>
      <c r="G2790" s="11" t="n"/>
      <c r="H2790" s="11" t="n"/>
      <c r="I2790" s="11" t="n"/>
      <c r="J2790" s="11" t="n"/>
      <c r="K2790" s="11" t="n"/>
      <c r="L2790" s="11" t="n"/>
      <c r="M2790" s="11" t="n"/>
      <c r="N2790" s="11" t="n"/>
      <c r="O2790" s="12" t="n"/>
    </row>
    <row r="2791">
      <c r="A2791" s="11" t="n"/>
      <c r="B2791" s="11" t="n"/>
      <c r="C2791" s="11" t="n"/>
      <c r="D2791" s="11" t="n"/>
      <c r="E2791" s="11" t="n"/>
      <c r="F2791" s="11" t="n"/>
      <c r="G2791" s="11" t="n"/>
      <c r="H2791" s="11" t="n"/>
      <c r="I2791" s="11" t="n"/>
      <c r="J2791" s="11" t="n"/>
      <c r="K2791" s="11" t="n"/>
      <c r="L2791" s="11" t="n"/>
      <c r="M2791" s="11" t="n"/>
      <c r="N2791" s="11" t="n"/>
      <c r="O2791" s="12" t="n"/>
    </row>
    <row r="2792">
      <c r="A2792" s="11" t="n"/>
      <c r="B2792" s="11" t="n"/>
      <c r="C2792" s="11" t="n"/>
      <c r="D2792" s="11" t="n"/>
      <c r="E2792" s="11" t="n"/>
      <c r="F2792" s="11" t="n"/>
      <c r="G2792" s="11" t="n"/>
      <c r="H2792" s="11" t="n"/>
      <c r="I2792" s="11" t="n"/>
      <c r="J2792" s="11" t="n"/>
      <c r="K2792" s="11" t="n"/>
      <c r="L2792" s="11" t="n"/>
      <c r="M2792" s="11" t="n"/>
      <c r="N2792" s="11" t="n"/>
      <c r="O2792" s="12" t="n"/>
    </row>
    <row r="2793">
      <c r="A2793" s="11" t="n"/>
      <c r="B2793" s="11" t="n"/>
      <c r="C2793" s="11" t="n"/>
      <c r="D2793" s="11" t="n"/>
      <c r="E2793" s="11" t="n"/>
      <c r="F2793" s="11" t="n"/>
      <c r="G2793" s="11" t="n"/>
      <c r="H2793" s="11" t="n"/>
      <c r="I2793" s="11" t="n"/>
      <c r="J2793" s="11" t="n"/>
      <c r="K2793" s="11" t="n"/>
      <c r="L2793" s="11" t="n"/>
      <c r="M2793" s="11" t="n"/>
      <c r="N2793" s="11" t="n"/>
      <c r="O2793" s="12" t="n"/>
    </row>
    <row r="2794">
      <c r="A2794" s="11" t="n"/>
      <c r="B2794" s="11" t="n"/>
      <c r="C2794" s="11" t="n"/>
      <c r="D2794" s="11" t="n"/>
      <c r="E2794" s="11" t="n"/>
      <c r="F2794" s="11" t="n"/>
      <c r="G2794" s="11" t="n"/>
      <c r="H2794" s="11" t="n"/>
      <c r="I2794" s="11" t="n"/>
      <c r="J2794" s="11" t="n"/>
      <c r="K2794" s="11" t="n"/>
      <c r="L2794" s="11" t="n"/>
      <c r="M2794" s="11" t="n"/>
      <c r="N2794" s="11" t="n"/>
      <c r="O2794" s="12" t="n"/>
    </row>
    <row r="2795">
      <c r="A2795" s="11" t="n"/>
      <c r="B2795" s="11" t="n"/>
      <c r="C2795" s="11" t="n"/>
      <c r="D2795" s="11" t="n"/>
      <c r="E2795" s="11" t="n"/>
      <c r="F2795" s="11" t="n"/>
      <c r="G2795" s="11" t="n"/>
      <c r="H2795" s="11" t="n"/>
      <c r="I2795" s="11" t="n"/>
      <c r="J2795" s="11" t="n"/>
      <c r="K2795" s="11" t="n"/>
      <c r="L2795" s="11" t="n"/>
      <c r="M2795" s="11" t="n"/>
      <c r="N2795" s="11" t="n"/>
      <c r="O2795" s="12" t="n"/>
    </row>
    <row r="2796">
      <c r="A2796" s="11" t="n"/>
      <c r="B2796" s="11" t="n"/>
      <c r="C2796" s="11" t="n"/>
      <c r="D2796" s="11" t="n"/>
      <c r="E2796" s="11" t="n"/>
      <c r="F2796" s="11" t="n"/>
      <c r="G2796" s="11" t="n"/>
      <c r="H2796" s="11" t="n"/>
      <c r="I2796" s="11" t="n"/>
      <c r="J2796" s="11" t="n"/>
      <c r="K2796" s="11" t="n"/>
      <c r="L2796" s="11" t="n"/>
      <c r="M2796" s="11" t="n"/>
      <c r="N2796" s="11" t="n"/>
      <c r="O2796" s="12" t="n"/>
    </row>
    <row r="2797">
      <c r="A2797" s="11" t="n"/>
      <c r="B2797" s="11" t="n"/>
      <c r="C2797" s="11" t="n"/>
      <c r="D2797" s="11" t="n"/>
      <c r="E2797" s="11" t="n"/>
      <c r="F2797" s="11" t="n"/>
      <c r="G2797" s="11" t="n"/>
      <c r="H2797" s="11" t="n"/>
      <c r="I2797" s="11" t="n"/>
      <c r="J2797" s="11" t="n"/>
      <c r="K2797" s="11" t="n"/>
      <c r="L2797" s="11" t="n"/>
      <c r="M2797" s="11" t="n"/>
      <c r="N2797" s="11" t="n"/>
      <c r="O2797" s="12" t="n"/>
    </row>
    <row r="2798">
      <c r="A2798" s="11" t="n"/>
      <c r="B2798" s="11" t="n"/>
      <c r="C2798" s="11" t="n"/>
      <c r="D2798" s="11" t="n"/>
      <c r="E2798" s="11" t="n"/>
      <c r="F2798" s="11" t="n"/>
      <c r="G2798" s="11" t="n"/>
      <c r="H2798" s="11" t="n"/>
      <c r="I2798" s="11" t="n"/>
      <c r="J2798" s="11" t="n"/>
      <c r="K2798" s="11" t="n"/>
      <c r="L2798" s="11" t="n"/>
      <c r="M2798" s="11" t="n"/>
      <c r="N2798" s="11" t="n"/>
      <c r="O2798" s="12" t="n"/>
    </row>
    <row r="2799">
      <c r="A2799" s="11" t="n"/>
      <c r="B2799" s="11" t="n"/>
      <c r="C2799" s="11" t="n"/>
      <c r="D2799" s="11" t="n"/>
      <c r="E2799" s="11" t="n"/>
      <c r="F2799" s="11" t="n"/>
      <c r="G2799" s="11" t="n"/>
      <c r="H2799" s="11" t="n"/>
      <c r="I2799" s="11" t="n"/>
      <c r="J2799" s="11" t="n"/>
      <c r="K2799" s="11" t="n"/>
      <c r="L2799" s="11" t="n"/>
      <c r="M2799" s="11" t="n"/>
      <c r="N2799" s="11" t="n"/>
      <c r="O2799" s="12" t="n"/>
    </row>
    <row r="2800">
      <c r="A2800" s="11" t="n"/>
      <c r="B2800" s="11" t="n"/>
      <c r="C2800" s="11" t="n"/>
      <c r="D2800" s="11" t="n"/>
      <c r="E2800" s="11" t="n"/>
      <c r="F2800" s="11" t="n"/>
      <c r="G2800" s="11" t="n"/>
      <c r="H2800" s="11" t="n"/>
      <c r="I2800" s="11" t="n"/>
      <c r="J2800" s="11" t="n"/>
      <c r="K2800" s="11" t="n"/>
      <c r="L2800" s="11" t="n"/>
      <c r="M2800" s="11" t="n"/>
      <c r="N2800" s="11" t="n"/>
      <c r="O2800" s="12" t="n"/>
    </row>
    <row r="2801">
      <c r="A2801" s="11" t="n"/>
      <c r="B2801" s="11" t="n"/>
      <c r="C2801" s="11" t="n"/>
      <c r="D2801" s="11" t="n"/>
      <c r="E2801" s="11" t="n"/>
      <c r="F2801" s="11" t="n"/>
      <c r="G2801" s="11" t="n"/>
      <c r="H2801" s="11" t="n"/>
      <c r="I2801" s="11" t="n"/>
      <c r="J2801" s="11" t="n"/>
      <c r="K2801" s="11" t="n"/>
      <c r="L2801" s="11" t="n"/>
      <c r="M2801" s="11" t="n"/>
      <c r="N2801" s="11" t="n"/>
      <c r="O2801" s="12" t="n"/>
    </row>
    <row r="2802">
      <c r="A2802" s="11" t="n"/>
      <c r="B2802" s="11" t="n"/>
      <c r="C2802" s="11" t="n"/>
      <c r="D2802" s="11" t="n"/>
      <c r="E2802" s="11" t="n"/>
      <c r="F2802" s="11" t="n"/>
      <c r="G2802" s="11" t="n"/>
      <c r="H2802" s="11" t="n"/>
      <c r="I2802" s="11" t="n"/>
      <c r="J2802" s="11" t="n"/>
      <c r="K2802" s="11" t="n"/>
      <c r="L2802" s="11" t="n"/>
      <c r="M2802" s="11" t="n"/>
      <c r="N2802" s="11" t="n"/>
      <c r="O2802" s="12" t="n"/>
    </row>
    <row r="2803">
      <c r="A2803" s="11" t="n"/>
      <c r="B2803" s="11" t="n"/>
      <c r="C2803" s="11" t="n"/>
      <c r="D2803" s="11" t="n"/>
      <c r="E2803" s="11" t="n"/>
      <c r="F2803" s="11" t="n"/>
      <c r="G2803" s="11" t="n"/>
      <c r="H2803" s="11" t="n"/>
      <c r="I2803" s="11" t="n"/>
      <c r="J2803" s="11" t="n"/>
      <c r="K2803" s="11" t="n"/>
      <c r="L2803" s="11" t="n"/>
      <c r="M2803" s="11" t="n"/>
      <c r="N2803" s="11" t="n"/>
      <c r="O2803" s="12" t="n"/>
    </row>
    <row r="2804">
      <c r="A2804" s="11" t="n"/>
      <c r="B2804" s="11" t="n"/>
      <c r="C2804" s="11" t="n"/>
      <c r="D2804" s="11" t="n"/>
      <c r="E2804" s="11" t="n"/>
      <c r="F2804" s="11" t="n"/>
      <c r="G2804" s="11" t="n"/>
      <c r="H2804" s="11" t="n"/>
      <c r="I2804" s="11" t="n"/>
      <c r="J2804" s="11" t="n"/>
      <c r="K2804" s="11" t="n"/>
      <c r="L2804" s="11" t="n"/>
      <c r="M2804" s="11" t="n"/>
      <c r="N2804" s="11" t="n"/>
      <c r="O2804" s="12" t="n"/>
    </row>
    <row r="2805">
      <c r="A2805" s="11" t="n"/>
      <c r="B2805" s="11" t="n"/>
      <c r="C2805" s="11" t="n"/>
      <c r="D2805" s="11" t="n"/>
      <c r="E2805" s="11" t="n"/>
      <c r="F2805" s="11" t="n"/>
      <c r="G2805" s="11" t="n"/>
      <c r="H2805" s="11" t="n"/>
      <c r="I2805" s="11" t="n"/>
      <c r="J2805" s="11" t="n"/>
      <c r="K2805" s="11" t="n"/>
      <c r="L2805" s="11" t="n"/>
      <c r="M2805" s="11" t="n"/>
      <c r="N2805" s="11" t="n"/>
      <c r="O2805" s="12" t="n"/>
    </row>
    <row r="2806">
      <c r="A2806" s="11" t="n"/>
      <c r="B2806" s="11" t="n"/>
      <c r="C2806" s="11" t="n"/>
      <c r="D2806" s="11" t="n"/>
      <c r="E2806" s="11" t="n"/>
      <c r="F2806" s="11" t="n"/>
      <c r="G2806" s="11" t="n"/>
      <c r="H2806" s="11" t="n"/>
      <c r="I2806" s="11" t="n"/>
      <c r="J2806" s="11" t="n"/>
      <c r="K2806" s="11" t="n"/>
      <c r="L2806" s="11" t="n"/>
      <c r="M2806" s="11" t="n"/>
      <c r="N2806" s="11" t="n"/>
      <c r="O2806" s="12" t="n"/>
    </row>
    <row r="2807">
      <c r="A2807" s="11" t="n"/>
      <c r="B2807" s="11" t="n"/>
      <c r="C2807" s="11" t="n"/>
      <c r="D2807" s="11" t="n"/>
      <c r="E2807" s="11" t="n"/>
      <c r="F2807" s="11" t="n"/>
      <c r="G2807" s="11" t="n"/>
      <c r="H2807" s="11" t="n"/>
      <c r="I2807" s="11" t="n"/>
      <c r="J2807" s="11" t="n"/>
      <c r="K2807" s="11" t="n"/>
      <c r="L2807" s="11" t="n"/>
      <c r="M2807" s="11" t="n"/>
      <c r="N2807" s="11" t="n"/>
      <c r="O2807" s="12" t="n"/>
    </row>
    <row r="2808">
      <c r="A2808" s="11" t="n"/>
      <c r="B2808" s="11" t="n"/>
      <c r="C2808" s="11" t="n"/>
      <c r="D2808" s="11" t="n"/>
      <c r="E2808" s="11" t="n"/>
      <c r="F2808" s="11" t="n"/>
      <c r="G2808" s="11" t="n"/>
      <c r="H2808" s="11" t="n"/>
      <c r="I2808" s="11" t="n"/>
      <c r="J2808" s="11" t="n"/>
      <c r="K2808" s="11" t="n"/>
      <c r="L2808" s="11" t="n"/>
      <c r="M2808" s="11" t="n"/>
      <c r="N2808" s="11" t="n"/>
      <c r="O2808" s="12" t="n"/>
    </row>
    <row r="2809">
      <c r="A2809" s="11" t="n"/>
      <c r="B2809" s="11" t="n"/>
      <c r="C2809" s="11" t="n"/>
      <c r="D2809" s="11" t="n"/>
      <c r="E2809" s="11" t="n"/>
      <c r="F2809" s="11" t="n"/>
      <c r="G2809" s="11" t="n"/>
      <c r="H2809" s="11" t="n"/>
      <c r="I2809" s="11" t="n"/>
      <c r="J2809" s="11" t="n"/>
      <c r="K2809" s="11" t="n"/>
      <c r="L2809" s="11" t="n"/>
      <c r="M2809" s="11" t="n"/>
      <c r="N2809" s="11" t="n"/>
      <c r="O2809" s="12" t="n"/>
    </row>
    <row r="2810">
      <c r="A2810" s="11" t="n"/>
      <c r="B2810" s="11" t="n"/>
      <c r="C2810" s="11" t="n"/>
      <c r="D2810" s="11" t="n"/>
      <c r="E2810" s="11" t="n"/>
      <c r="F2810" s="11" t="n"/>
      <c r="G2810" s="11" t="n"/>
      <c r="H2810" s="11" t="n"/>
      <c r="I2810" s="11" t="n"/>
      <c r="J2810" s="11" t="n"/>
      <c r="K2810" s="11" t="n"/>
      <c r="L2810" s="11" t="n"/>
      <c r="M2810" s="11" t="n"/>
      <c r="N2810" s="11" t="n"/>
      <c r="O2810" s="12" t="n"/>
    </row>
    <row r="2811">
      <c r="A2811" s="11" t="n"/>
      <c r="B2811" s="11" t="n"/>
      <c r="C2811" s="11" t="n"/>
      <c r="D2811" s="11" t="n"/>
      <c r="E2811" s="11" t="n"/>
      <c r="F2811" s="11" t="n"/>
      <c r="G2811" s="11" t="n"/>
      <c r="H2811" s="11" t="n"/>
      <c r="I2811" s="11" t="n"/>
      <c r="J2811" s="11" t="n"/>
      <c r="K2811" s="11" t="n"/>
      <c r="L2811" s="11" t="n"/>
      <c r="M2811" s="11" t="n"/>
      <c r="N2811" s="11" t="n"/>
      <c r="O2811" s="12" t="n"/>
    </row>
    <row r="2812">
      <c r="A2812" s="11" t="n"/>
      <c r="B2812" s="11" t="n"/>
      <c r="C2812" s="11" t="n"/>
      <c r="D2812" s="11" t="n"/>
      <c r="E2812" s="11" t="n"/>
      <c r="F2812" s="11" t="n"/>
      <c r="G2812" s="11" t="n"/>
      <c r="H2812" s="11" t="n"/>
      <c r="I2812" s="11" t="n"/>
      <c r="J2812" s="11" t="n"/>
      <c r="K2812" s="11" t="n"/>
      <c r="L2812" s="11" t="n"/>
      <c r="M2812" s="11" t="n"/>
      <c r="N2812" s="11" t="n"/>
      <c r="O2812" s="12" t="n"/>
    </row>
    <row r="2813">
      <c r="A2813" s="11" t="n"/>
      <c r="B2813" s="11" t="n"/>
      <c r="C2813" s="11" t="n"/>
      <c r="D2813" s="11" t="n"/>
      <c r="E2813" s="11" t="n"/>
      <c r="F2813" s="11" t="n"/>
      <c r="G2813" s="11" t="n"/>
      <c r="H2813" s="11" t="n"/>
      <c r="I2813" s="11" t="n"/>
      <c r="J2813" s="11" t="n"/>
      <c r="K2813" s="11" t="n"/>
      <c r="L2813" s="11" t="n"/>
      <c r="M2813" s="11" t="n"/>
      <c r="N2813" s="11" t="n"/>
      <c r="O2813" s="12" t="n"/>
    </row>
    <row r="2814">
      <c r="A2814" s="11" t="n"/>
      <c r="B2814" s="11" t="n"/>
      <c r="C2814" s="11" t="n"/>
      <c r="D2814" s="11" t="n"/>
      <c r="E2814" s="11" t="n"/>
      <c r="F2814" s="11" t="n"/>
      <c r="G2814" s="11" t="n"/>
      <c r="H2814" s="11" t="n"/>
      <c r="I2814" s="11" t="n"/>
      <c r="J2814" s="11" t="n"/>
      <c r="K2814" s="11" t="n"/>
      <c r="L2814" s="11" t="n"/>
      <c r="M2814" s="11" t="n"/>
      <c r="N2814" s="11" t="n"/>
      <c r="O2814" s="12" t="n"/>
    </row>
    <row r="2815">
      <c r="A2815" s="11" t="n"/>
      <c r="B2815" s="11" t="n"/>
      <c r="C2815" s="11" t="n"/>
      <c r="D2815" s="11" t="n"/>
      <c r="E2815" s="11" t="n"/>
      <c r="F2815" s="11" t="n"/>
      <c r="G2815" s="11" t="n"/>
      <c r="H2815" s="11" t="n"/>
      <c r="I2815" s="11" t="n"/>
      <c r="J2815" s="11" t="n"/>
      <c r="K2815" s="11" t="n"/>
      <c r="L2815" s="11" t="n"/>
      <c r="M2815" s="11" t="n"/>
      <c r="N2815" s="11" t="n"/>
      <c r="O2815" s="12" t="n"/>
    </row>
    <row r="2816">
      <c r="A2816" s="11" t="n"/>
      <c r="B2816" s="11" t="n"/>
      <c r="C2816" s="11" t="n"/>
      <c r="D2816" s="11" t="n"/>
      <c r="E2816" s="11" t="n"/>
      <c r="F2816" s="11" t="n"/>
      <c r="G2816" s="11" t="n"/>
      <c r="H2816" s="11" t="n"/>
      <c r="I2816" s="11" t="n"/>
      <c r="J2816" s="11" t="n"/>
      <c r="K2816" s="11" t="n"/>
      <c r="L2816" s="11" t="n"/>
      <c r="M2816" s="11" t="n"/>
      <c r="N2816" s="11" t="n"/>
      <c r="O2816" s="12" t="n"/>
    </row>
    <row r="2817">
      <c r="A2817" s="11" t="n"/>
      <c r="B2817" s="11" t="n"/>
      <c r="C2817" s="11" t="n"/>
      <c r="D2817" s="11" t="n"/>
      <c r="E2817" s="11" t="n"/>
      <c r="F2817" s="11" t="n"/>
      <c r="G2817" s="11" t="n"/>
      <c r="H2817" s="11" t="n"/>
      <c r="I2817" s="11" t="n"/>
      <c r="J2817" s="11" t="n"/>
      <c r="K2817" s="11" t="n"/>
      <c r="L2817" s="11" t="n"/>
      <c r="M2817" s="11" t="n"/>
      <c r="N2817" s="11" t="n"/>
      <c r="O2817" s="12" t="n"/>
    </row>
    <row r="2818">
      <c r="A2818" s="11" t="n"/>
      <c r="B2818" s="11" t="n"/>
      <c r="C2818" s="11" t="n"/>
      <c r="D2818" s="11" t="n"/>
      <c r="E2818" s="11" t="n"/>
      <c r="F2818" s="11" t="n"/>
      <c r="G2818" s="11" t="n"/>
      <c r="H2818" s="11" t="n"/>
      <c r="I2818" s="11" t="n"/>
      <c r="J2818" s="11" t="n"/>
      <c r="K2818" s="11" t="n"/>
      <c r="L2818" s="11" t="n"/>
      <c r="M2818" s="11" t="n"/>
      <c r="N2818" s="11" t="n"/>
      <c r="O2818" s="12" t="n"/>
    </row>
    <row r="2819">
      <c r="A2819" s="11" t="n"/>
      <c r="B2819" s="11" t="n"/>
      <c r="C2819" s="11" t="n"/>
      <c r="D2819" s="11" t="n"/>
      <c r="E2819" s="11" t="n"/>
      <c r="F2819" s="11" t="n"/>
      <c r="G2819" s="11" t="n"/>
      <c r="H2819" s="11" t="n"/>
      <c r="I2819" s="11" t="n"/>
      <c r="J2819" s="11" t="n"/>
      <c r="K2819" s="11" t="n"/>
      <c r="L2819" s="11" t="n"/>
      <c r="M2819" s="11" t="n"/>
      <c r="N2819" s="11" t="n"/>
      <c r="O2819" s="12" t="n"/>
    </row>
    <row r="2820">
      <c r="A2820" s="11" t="n"/>
      <c r="B2820" s="11" t="n"/>
      <c r="C2820" s="11" t="n"/>
      <c r="D2820" s="11" t="n"/>
      <c r="E2820" s="11" t="n"/>
      <c r="F2820" s="11" t="n"/>
      <c r="G2820" s="11" t="n"/>
      <c r="H2820" s="11" t="n"/>
      <c r="I2820" s="11" t="n"/>
      <c r="J2820" s="11" t="n"/>
      <c r="K2820" s="11" t="n"/>
      <c r="L2820" s="11" t="n"/>
      <c r="M2820" s="11" t="n"/>
      <c r="N2820" s="11" t="n"/>
      <c r="O2820" s="12" t="n"/>
    </row>
    <row r="2821">
      <c r="A2821" s="11" t="n"/>
      <c r="B2821" s="11" t="n"/>
      <c r="C2821" s="11" t="n"/>
      <c r="D2821" s="11" t="n"/>
      <c r="E2821" s="11" t="n"/>
      <c r="F2821" s="11" t="n"/>
      <c r="G2821" s="11" t="n"/>
      <c r="H2821" s="11" t="n"/>
      <c r="I2821" s="11" t="n"/>
      <c r="J2821" s="11" t="n"/>
      <c r="K2821" s="11" t="n"/>
      <c r="L2821" s="11" t="n"/>
      <c r="M2821" s="11" t="n"/>
      <c r="N2821" s="11" t="n"/>
      <c r="O2821" s="12" t="n"/>
    </row>
    <row r="2822">
      <c r="A2822" s="11" t="n"/>
      <c r="B2822" s="11" t="n"/>
      <c r="C2822" s="11" t="n"/>
      <c r="D2822" s="11" t="n"/>
      <c r="E2822" s="11" t="n"/>
      <c r="F2822" s="11" t="n"/>
      <c r="G2822" s="11" t="n"/>
      <c r="H2822" s="11" t="n"/>
      <c r="I2822" s="11" t="n"/>
      <c r="J2822" s="11" t="n"/>
      <c r="K2822" s="11" t="n"/>
      <c r="L2822" s="11" t="n"/>
      <c r="M2822" s="11" t="n"/>
      <c r="N2822" s="11" t="n"/>
      <c r="O2822" s="12" t="n"/>
    </row>
    <row r="2823">
      <c r="A2823" s="11" t="n"/>
      <c r="B2823" s="11" t="n"/>
      <c r="C2823" s="11" t="n"/>
      <c r="D2823" s="11" t="n"/>
      <c r="E2823" s="11" t="n"/>
      <c r="F2823" s="11" t="n"/>
      <c r="G2823" s="11" t="n"/>
      <c r="H2823" s="11" t="n"/>
      <c r="I2823" s="11" t="n"/>
      <c r="J2823" s="11" t="n"/>
      <c r="K2823" s="11" t="n"/>
      <c r="L2823" s="11" t="n"/>
      <c r="M2823" s="11" t="n"/>
      <c r="N2823" s="11" t="n"/>
      <c r="O2823" s="12" t="n"/>
    </row>
    <row r="2824">
      <c r="A2824" s="11" t="n"/>
      <c r="B2824" s="11" t="n"/>
      <c r="C2824" s="11" t="n"/>
      <c r="D2824" s="11" t="n"/>
      <c r="E2824" s="11" t="n"/>
      <c r="F2824" s="11" t="n"/>
      <c r="G2824" s="11" t="n"/>
      <c r="H2824" s="11" t="n"/>
      <c r="I2824" s="11" t="n"/>
      <c r="J2824" s="11" t="n"/>
      <c r="K2824" s="11" t="n"/>
      <c r="L2824" s="11" t="n"/>
      <c r="M2824" s="11" t="n"/>
      <c r="N2824" s="11" t="n"/>
      <c r="O2824" s="12" t="n"/>
    </row>
    <row r="2825">
      <c r="A2825" s="11" t="n"/>
      <c r="B2825" s="11" t="n"/>
      <c r="C2825" s="11" t="n"/>
      <c r="D2825" s="11" t="n"/>
      <c r="E2825" s="11" t="n"/>
      <c r="F2825" s="11" t="n"/>
      <c r="G2825" s="11" t="n"/>
      <c r="H2825" s="11" t="n"/>
      <c r="I2825" s="11" t="n"/>
      <c r="J2825" s="11" t="n"/>
      <c r="K2825" s="11" t="n"/>
      <c r="L2825" s="11" t="n"/>
      <c r="M2825" s="11" t="n"/>
      <c r="N2825" s="11" t="n"/>
      <c r="O2825" s="12" t="n"/>
    </row>
    <row r="2826">
      <c r="A2826" s="11" t="n"/>
      <c r="B2826" s="11" t="n"/>
      <c r="C2826" s="11" t="n"/>
      <c r="D2826" s="11" t="n"/>
      <c r="E2826" s="11" t="n"/>
      <c r="F2826" s="11" t="n"/>
      <c r="G2826" s="11" t="n"/>
      <c r="H2826" s="11" t="n"/>
      <c r="I2826" s="11" t="n"/>
      <c r="J2826" s="11" t="n"/>
      <c r="K2826" s="11" t="n"/>
      <c r="L2826" s="11" t="n"/>
      <c r="M2826" s="11" t="n"/>
      <c r="N2826" s="11" t="n"/>
      <c r="O2826" s="12" t="n"/>
    </row>
    <row r="2827">
      <c r="A2827" s="11" t="n"/>
      <c r="B2827" s="11" t="n"/>
      <c r="C2827" s="11" t="n"/>
      <c r="D2827" s="11" t="n"/>
      <c r="E2827" s="11" t="n"/>
      <c r="F2827" s="11" t="n"/>
      <c r="G2827" s="11" t="n"/>
      <c r="H2827" s="11" t="n"/>
      <c r="I2827" s="11" t="n"/>
      <c r="J2827" s="11" t="n"/>
      <c r="K2827" s="11" t="n"/>
      <c r="L2827" s="11" t="n"/>
      <c r="M2827" s="11" t="n"/>
      <c r="N2827" s="11" t="n"/>
      <c r="O2827" s="12" t="n"/>
    </row>
    <row r="2828">
      <c r="A2828" s="11" t="n"/>
      <c r="B2828" s="11" t="n"/>
      <c r="C2828" s="11" t="n"/>
      <c r="D2828" s="11" t="n"/>
      <c r="E2828" s="11" t="n"/>
      <c r="F2828" s="11" t="n"/>
      <c r="G2828" s="11" t="n"/>
      <c r="H2828" s="11" t="n"/>
      <c r="I2828" s="11" t="n"/>
      <c r="J2828" s="11" t="n"/>
      <c r="K2828" s="11" t="n"/>
      <c r="L2828" s="11" t="n"/>
      <c r="M2828" s="11" t="n"/>
      <c r="N2828" s="11" t="n"/>
      <c r="O2828" s="12" t="n"/>
    </row>
    <row r="2829">
      <c r="A2829" s="11" t="n"/>
      <c r="B2829" s="11" t="n"/>
      <c r="C2829" s="11" t="n"/>
      <c r="D2829" s="11" t="n"/>
      <c r="E2829" s="11" t="n"/>
      <c r="F2829" s="11" t="n"/>
      <c r="G2829" s="11" t="n"/>
      <c r="H2829" s="11" t="n"/>
      <c r="I2829" s="11" t="n"/>
      <c r="J2829" s="11" t="n"/>
      <c r="K2829" s="11" t="n"/>
      <c r="L2829" s="11" t="n"/>
      <c r="M2829" s="11" t="n"/>
      <c r="N2829" s="11" t="n"/>
      <c r="O2829" s="12" t="n"/>
    </row>
    <row r="2830">
      <c r="A2830" s="11" t="n"/>
      <c r="B2830" s="11" t="n"/>
      <c r="C2830" s="11" t="n"/>
      <c r="D2830" s="11" t="n"/>
      <c r="E2830" s="11" t="n"/>
      <c r="F2830" s="11" t="n"/>
      <c r="G2830" s="11" t="n"/>
      <c r="H2830" s="11" t="n"/>
      <c r="I2830" s="11" t="n"/>
      <c r="J2830" s="11" t="n"/>
      <c r="K2830" s="11" t="n"/>
      <c r="L2830" s="11" t="n"/>
      <c r="M2830" s="11" t="n"/>
      <c r="N2830" s="11" t="n"/>
      <c r="O2830" s="12" t="n"/>
    </row>
    <row r="2831">
      <c r="A2831" s="11" t="n"/>
      <c r="B2831" s="11" t="n"/>
      <c r="C2831" s="11" t="n"/>
      <c r="D2831" s="11" t="n"/>
      <c r="E2831" s="11" t="n"/>
      <c r="F2831" s="11" t="n"/>
      <c r="G2831" s="11" t="n"/>
      <c r="H2831" s="11" t="n"/>
      <c r="I2831" s="11" t="n"/>
      <c r="J2831" s="11" t="n"/>
      <c r="K2831" s="11" t="n"/>
      <c r="L2831" s="11" t="n"/>
      <c r="M2831" s="11" t="n"/>
      <c r="N2831" s="11" t="n"/>
      <c r="O2831" s="12" t="n"/>
    </row>
    <row r="2832">
      <c r="A2832" s="11" t="n"/>
      <c r="B2832" s="11" t="n"/>
      <c r="C2832" s="11" t="n"/>
      <c r="D2832" s="11" t="n"/>
      <c r="E2832" s="11" t="n"/>
      <c r="F2832" s="11" t="n"/>
      <c r="G2832" s="11" t="n"/>
      <c r="H2832" s="11" t="n"/>
      <c r="I2832" s="11" t="n"/>
      <c r="J2832" s="11" t="n"/>
      <c r="K2832" s="11" t="n"/>
      <c r="L2832" s="11" t="n"/>
      <c r="M2832" s="11" t="n"/>
      <c r="N2832" s="11" t="n"/>
      <c r="O2832" s="12" t="n"/>
    </row>
    <row r="2833">
      <c r="A2833" s="11" t="n"/>
      <c r="B2833" s="11" t="n"/>
      <c r="C2833" s="11" t="n"/>
      <c r="D2833" s="11" t="n"/>
      <c r="E2833" s="11" t="n"/>
      <c r="F2833" s="11" t="n"/>
      <c r="G2833" s="11" t="n"/>
      <c r="H2833" s="11" t="n"/>
      <c r="I2833" s="11" t="n"/>
      <c r="J2833" s="11" t="n"/>
      <c r="K2833" s="11" t="n"/>
      <c r="L2833" s="11" t="n"/>
      <c r="M2833" s="11" t="n"/>
      <c r="N2833" s="11" t="n"/>
      <c r="O2833" s="12" t="n"/>
    </row>
    <row r="2834">
      <c r="A2834" s="11" t="n"/>
      <c r="B2834" s="11" t="n"/>
      <c r="C2834" s="11" t="n"/>
      <c r="D2834" s="11" t="n"/>
      <c r="E2834" s="11" t="n"/>
      <c r="F2834" s="11" t="n"/>
      <c r="G2834" s="11" t="n"/>
      <c r="H2834" s="11" t="n"/>
      <c r="I2834" s="11" t="n"/>
      <c r="J2834" s="11" t="n"/>
      <c r="K2834" s="11" t="n"/>
      <c r="L2834" s="11" t="n"/>
      <c r="M2834" s="11" t="n"/>
      <c r="N2834" s="11" t="n"/>
      <c r="O2834" s="12" t="n"/>
    </row>
    <row r="2835">
      <c r="A2835" s="11" t="n"/>
      <c r="B2835" s="11" t="n"/>
      <c r="C2835" s="11" t="n"/>
      <c r="D2835" s="11" t="n"/>
      <c r="E2835" s="11" t="n"/>
      <c r="F2835" s="11" t="n"/>
      <c r="G2835" s="11" t="n"/>
      <c r="H2835" s="11" t="n"/>
      <c r="I2835" s="11" t="n"/>
      <c r="J2835" s="11" t="n"/>
      <c r="K2835" s="11" t="n"/>
      <c r="L2835" s="11" t="n"/>
      <c r="M2835" s="11" t="n"/>
      <c r="N2835" s="11" t="n"/>
      <c r="O2835" s="12" t="n"/>
    </row>
    <row r="2836">
      <c r="A2836" s="11" t="n"/>
      <c r="B2836" s="11" t="n"/>
      <c r="C2836" s="11" t="n"/>
      <c r="D2836" s="11" t="n"/>
      <c r="E2836" s="11" t="n"/>
      <c r="F2836" s="11" t="n"/>
      <c r="G2836" s="11" t="n"/>
      <c r="H2836" s="11" t="n"/>
      <c r="I2836" s="11" t="n"/>
      <c r="J2836" s="11" t="n"/>
      <c r="K2836" s="11" t="n"/>
      <c r="L2836" s="11" t="n"/>
      <c r="M2836" s="11" t="n"/>
      <c r="N2836" s="11" t="n"/>
      <c r="O2836" s="12" t="n"/>
    </row>
    <row r="2837">
      <c r="A2837" s="11" t="n"/>
      <c r="B2837" s="11" t="n"/>
      <c r="C2837" s="11" t="n"/>
      <c r="D2837" s="11" t="n"/>
      <c r="E2837" s="11" t="n"/>
      <c r="F2837" s="11" t="n"/>
      <c r="G2837" s="11" t="n"/>
      <c r="H2837" s="11" t="n"/>
      <c r="I2837" s="11" t="n"/>
      <c r="J2837" s="11" t="n"/>
      <c r="K2837" s="11" t="n"/>
      <c r="L2837" s="11" t="n"/>
      <c r="M2837" s="11" t="n"/>
      <c r="N2837" s="11" t="n"/>
      <c r="O2837" s="12" t="n"/>
    </row>
    <row r="2838">
      <c r="A2838" s="11" t="n"/>
      <c r="B2838" s="11" t="n"/>
      <c r="C2838" s="11" t="n"/>
      <c r="D2838" s="11" t="n"/>
      <c r="E2838" s="11" t="n"/>
      <c r="F2838" s="11" t="n"/>
      <c r="G2838" s="11" t="n"/>
      <c r="H2838" s="11" t="n"/>
      <c r="I2838" s="11" t="n"/>
      <c r="J2838" s="11" t="n"/>
      <c r="K2838" s="11" t="n"/>
      <c r="L2838" s="11" t="n"/>
      <c r="M2838" s="11" t="n"/>
      <c r="N2838" s="11" t="n"/>
      <c r="O2838" s="12" t="n"/>
    </row>
    <row r="2839">
      <c r="A2839" s="11" t="n"/>
      <c r="B2839" s="11" t="n"/>
      <c r="C2839" s="11" t="n"/>
      <c r="D2839" s="11" t="n"/>
      <c r="E2839" s="11" t="n"/>
      <c r="F2839" s="11" t="n"/>
      <c r="G2839" s="11" t="n"/>
      <c r="H2839" s="11" t="n"/>
      <c r="I2839" s="11" t="n"/>
      <c r="J2839" s="11" t="n"/>
      <c r="K2839" s="11" t="n"/>
      <c r="L2839" s="11" t="n"/>
      <c r="M2839" s="11" t="n"/>
      <c r="N2839" s="11" t="n"/>
      <c r="O2839" s="12" t="n"/>
    </row>
    <row r="2840">
      <c r="A2840" s="11" t="n"/>
      <c r="B2840" s="11" t="n"/>
      <c r="C2840" s="11" t="n"/>
      <c r="D2840" s="11" t="n"/>
      <c r="E2840" s="11" t="n"/>
      <c r="F2840" s="11" t="n"/>
      <c r="G2840" s="11" t="n"/>
      <c r="H2840" s="11" t="n"/>
      <c r="I2840" s="11" t="n"/>
      <c r="J2840" s="11" t="n"/>
      <c r="K2840" s="11" t="n"/>
      <c r="L2840" s="11" t="n"/>
      <c r="M2840" s="11" t="n"/>
      <c r="N2840" s="11" t="n"/>
      <c r="O2840" s="12" t="n"/>
    </row>
    <row r="2841">
      <c r="A2841" s="11" t="n"/>
      <c r="B2841" s="11" t="n"/>
      <c r="C2841" s="11" t="n"/>
      <c r="D2841" s="11" t="n"/>
      <c r="E2841" s="11" t="n"/>
      <c r="F2841" s="11" t="n"/>
      <c r="G2841" s="11" t="n"/>
      <c r="H2841" s="11" t="n"/>
      <c r="I2841" s="11" t="n"/>
      <c r="J2841" s="11" t="n"/>
      <c r="K2841" s="11" t="n"/>
      <c r="L2841" s="11" t="n"/>
      <c r="M2841" s="11" t="n"/>
      <c r="N2841" s="11" t="n"/>
      <c r="O2841" s="12" t="n"/>
    </row>
    <row r="2842">
      <c r="A2842" s="11" t="n"/>
      <c r="B2842" s="11" t="n"/>
      <c r="C2842" s="11" t="n"/>
      <c r="D2842" s="11" t="n"/>
      <c r="E2842" s="11" t="n"/>
      <c r="F2842" s="11" t="n"/>
      <c r="G2842" s="11" t="n"/>
      <c r="H2842" s="11" t="n"/>
      <c r="I2842" s="11" t="n"/>
      <c r="J2842" s="11" t="n"/>
      <c r="K2842" s="11" t="n"/>
      <c r="L2842" s="11" t="n"/>
      <c r="M2842" s="11" t="n"/>
      <c r="N2842" s="11" t="n"/>
      <c r="O2842" s="12" t="n"/>
    </row>
    <row r="2843">
      <c r="A2843" s="11" t="n"/>
      <c r="B2843" s="11" t="n"/>
      <c r="C2843" s="11" t="n"/>
      <c r="D2843" s="11" t="n"/>
      <c r="E2843" s="11" t="n"/>
      <c r="F2843" s="11" t="n"/>
      <c r="G2843" s="11" t="n"/>
      <c r="H2843" s="11" t="n"/>
      <c r="I2843" s="11" t="n"/>
      <c r="J2843" s="11" t="n"/>
      <c r="K2843" s="11" t="n"/>
      <c r="L2843" s="11" t="n"/>
      <c r="M2843" s="11" t="n"/>
      <c r="N2843" s="11" t="n"/>
      <c r="O2843" s="12" t="n"/>
    </row>
    <row r="2844">
      <c r="A2844" s="11" t="n"/>
      <c r="B2844" s="11" t="n"/>
      <c r="C2844" s="11" t="n"/>
      <c r="D2844" s="11" t="n"/>
      <c r="E2844" s="11" t="n"/>
      <c r="F2844" s="11" t="n"/>
      <c r="G2844" s="11" t="n"/>
      <c r="H2844" s="11" t="n"/>
      <c r="I2844" s="11" t="n"/>
      <c r="J2844" s="11" t="n"/>
      <c r="K2844" s="11" t="n"/>
      <c r="L2844" s="11" t="n"/>
      <c r="M2844" s="11" t="n"/>
      <c r="N2844" s="11" t="n"/>
      <c r="O2844" s="12" t="n"/>
    </row>
    <row r="2845">
      <c r="A2845" s="11" t="n"/>
      <c r="B2845" s="11" t="n"/>
      <c r="C2845" s="11" t="n"/>
      <c r="D2845" s="11" t="n"/>
      <c r="E2845" s="11" t="n"/>
      <c r="F2845" s="11" t="n"/>
      <c r="G2845" s="11" t="n"/>
      <c r="H2845" s="11" t="n"/>
      <c r="I2845" s="11" t="n"/>
      <c r="J2845" s="11" t="n"/>
      <c r="K2845" s="11" t="n"/>
      <c r="L2845" s="11" t="n"/>
      <c r="M2845" s="11" t="n"/>
      <c r="N2845" s="11" t="n"/>
      <c r="O2845" s="12" t="n"/>
    </row>
    <row r="2846">
      <c r="A2846" s="11" t="n"/>
      <c r="B2846" s="11" t="n"/>
      <c r="C2846" s="11" t="n"/>
      <c r="D2846" s="11" t="n"/>
      <c r="E2846" s="11" t="n"/>
      <c r="F2846" s="11" t="n"/>
      <c r="G2846" s="11" t="n"/>
      <c r="H2846" s="11" t="n"/>
      <c r="I2846" s="11" t="n"/>
      <c r="J2846" s="11" t="n"/>
      <c r="K2846" s="11" t="n"/>
      <c r="L2846" s="11" t="n"/>
      <c r="M2846" s="11" t="n"/>
      <c r="N2846" s="11" t="n"/>
      <c r="O2846" s="12" t="n"/>
    </row>
    <row r="2847">
      <c r="A2847" s="11" t="n"/>
      <c r="B2847" s="11" t="n"/>
      <c r="C2847" s="11" t="n"/>
      <c r="D2847" s="11" t="n"/>
      <c r="E2847" s="11" t="n"/>
      <c r="F2847" s="11" t="n"/>
      <c r="G2847" s="11" t="n"/>
      <c r="H2847" s="11" t="n"/>
      <c r="I2847" s="11" t="n"/>
      <c r="J2847" s="11" t="n"/>
      <c r="K2847" s="11" t="n"/>
      <c r="L2847" s="11" t="n"/>
      <c r="M2847" s="11" t="n"/>
      <c r="N2847" s="11" t="n"/>
      <c r="O2847" s="12" t="n"/>
    </row>
    <row r="2848">
      <c r="A2848" s="11" t="n"/>
      <c r="B2848" s="11" t="n"/>
      <c r="C2848" s="11" t="n"/>
      <c r="D2848" s="11" t="n"/>
      <c r="E2848" s="11" t="n"/>
      <c r="F2848" s="11" t="n"/>
      <c r="G2848" s="11" t="n"/>
      <c r="H2848" s="11" t="n"/>
      <c r="I2848" s="11" t="n"/>
      <c r="J2848" s="11" t="n"/>
      <c r="K2848" s="11" t="n"/>
      <c r="L2848" s="11" t="n"/>
      <c r="M2848" s="11" t="n"/>
      <c r="N2848" s="11" t="n"/>
      <c r="O2848" s="12" t="n"/>
    </row>
    <row r="2849">
      <c r="A2849" s="11" t="n"/>
      <c r="B2849" s="11" t="n"/>
      <c r="C2849" s="11" t="n"/>
      <c r="D2849" s="11" t="n"/>
      <c r="E2849" s="11" t="n"/>
      <c r="F2849" s="11" t="n"/>
      <c r="G2849" s="11" t="n"/>
      <c r="H2849" s="11" t="n"/>
      <c r="I2849" s="11" t="n"/>
      <c r="J2849" s="11" t="n"/>
      <c r="K2849" s="11" t="n"/>
      <c r="L2849" s="11" t="n"/>
      <c r="M2849" s="11" t="n"/>
      <c r="N2849" s="11" t="n"/>
      <c r="O2849" s="12" t="n"/>
    </row>
    <row r="2850">
      <c r="A2850" s="11" t="n"/>
      <c r="B2850" s="11" t="n"/>
      <c r="C2850" s="11" t="n"/>
      <c r="D2850" s="11" t="n"/>
      <c r="E2850" s="11" t="n"/>
      <c r="F2850" s="11" t="n"/>
      <c r="G2850" s="11" t="n"/>
      <c r="H2850" s="11" t="n"/>
      <c r="I2850" s="11" t="n"/>
      <c r="J2850" s="11" t="n"/>
      <c r="K2850" s="11" t="n"/>
      <c r="L2850" s="11" t="n"/>
      <c r="M2850" s="11" t="n"/>
      <c r="N2850" s="11" t="n"/>
      <c r="O2850" s="12" t="n"/>
    </row>
    <row r="2851">
      <c r="A2851" s="11" t="n"/>
      <c r="B2851" s="11" t="n"/>
      <c r="C2851" s="11" t="n"/>
      <c r="D2851" s="11" t="n"/>
      <c r="E2851" s="11" t="n"/>
      <c r="F2851" s="11" t="n"/>
      <c r="G2851" s="11" t="n"/>
      <c r="H2851" s="11" t="n"/>
      <c r="I2851" s="11" t="n"/>
      <c r="J2851" s="11" t="n"/>
      <c r="K2851" s="11" t="n"/>
      <c r="L2851" s="11" t="n"/>
      <c r="M2851" s="11" t="n"/>
      <c r="N2851" s="11" t="n"/>
      <c r="O2851" s="12" t="n"/>
    </row>
    <row r="2852">
      <c r="A2852" s="11" t="n"/>
      <c r="B2852" s="11" t="n"/>
      <c r="C2852" s="11" t="n"/>
      <c r="D2852" s="11" t="n"/>
      <c r="E2852" s="11" t="n"/>
      <c r="F2852" s="11" t="n"/>
      <c r="G2852" s="11" t="n"/>
      <c r="H2852" s="11" t="n"/>
      <c r="I2852" s="11" t="n"/>
      <c r="J2852" s="11" t="n"/>
      <c r="K2852" s="11" t="n"/>
      <c r="L2852" s="11" t="n"/>
      <c r="M2852" s="11" t="n"/>
      <c r="N2852" s="11" t="n"/>
      <c r="O2852" s="12" t="n"/>
    </row>
    <row r="2853">
      <c r="A2853" s="11" t="n"/>
      <c r="B2853" s="11" t="n"/>
      <c r="C2853" s="11" t="n"/>
      <c r="D2853" s="11" t="n"/>
      <c r="E2853" s="11" t="n"/>
      <c r="F2853" s="11" t="n"/>
      <c r="G2853" s="11" t="n"/>
      <c r="H2853" s="11" t="n"/>
      <c r="I2853" s="11" t="n"/>
      <c r="J2853" s="11" t="n"/>
      <c r="K2853" s="11" t="n"/>
      <c r="L2853" s="11" t="n"/>
      <c r="M2853" s="11" t="n"/>
      <c r="N2853" s="11" t="n"/>
      <c r="O2853" s="12" t="n"/>
    </row>
    <row r="2854">
      <c r="A2854" s="11" t="n"/>
      <c r="B2854" s="11" t="n"/>
      <c r="C2854" s="11" t="n"/>
      <c r="D2854" s="11" t="n"/>
      <c r="E2854" s="11" t="n"/>
      <c r="F2854" s="11" t="n"/>
      <c r="G2854" s="11" t="n"/>
      <c r="H2854" s="11" t="n"/>
      <c r="I2854" s="11" t="n"/>
      <c r="J2854" s="11" t="n"/>
      <c r="K2854" s="11" t="n"/>
      <c r="L2854" s="11" t="n"/>
      <c r="M2854" s="11" t="n"/>
      <c r="N2854" s="11" t="n"/>
      <c r="O2854" s="12" t="n"/>
    </row>
    <row r="2855">
      <c r="A2855" s="11" t="n"/>
      <c r="B2855" s="11" t="n"/>
      <c r="C2855" s="11" t="n"/>
      <c r="D2855" s="11" t="n"/>
      <c r="E2855" s="11" t="n"/>
      <c r="F2855" s="11" t="n"/>
      <c r="G2855" s="11" t="n"/>
      <c r="H2855" s="11" t="n"/>
      <c r="I2855" s="11" t="n"/>
      <c r="J2855" s="11" t="n"/>
      <c r="K2855" s="11" t="n"/>
      <c r="L2855" s="11" t="n"/>
      <c r="M2855" s="11" t="n"/>
      <c r="N2855" s="11" t="n"/>
      <c r="O2855" s="12" t="n"/>
    </row>
    <row r="2856">
      <c r="A2856" s="11" t="n"/>
      <c r="B2856" s="11" t="n"/>
      <c r="C2856" s="11" t="n"/>
      <c r="D2856" s="11" t="n"/>
      <c r="E2856" s="11" t="n"/>
      <c r="F2856" s="11" t="n"/>
      <c r="G2856" s="11" t="n"/>
      <c r="H2856" s="11" t="n"/>
      <c r="I2856" s="11" t="n"/>
      <c r="J2856" s="11" t="n"/>
      <c r="K2856" s="11" t="n"/>
      <c r="L2856" s="11" t="n"/>
      <c r="M2856" s="11" t="n"/>
      <c r="N2856" s="11" t="n"/>
      <c r="O2856" s="12" t="n"/>
    </row>
    <row r="2857">
      <c r="A2857" s="11" t="n"/>
      <c r="B2857" s="11" t="n"/>
      <c r="C2857" s="11" t="n"/>
      <c r="D2857" s="11" t="n"/>
      <c r="E2857" s="11" t="n"/>
      <c r="F2857" s="11" t="n"/>
      <c r="G2857" s="11" t="n"/>
      <c r="H2857" s="11" t="n"/>
      <c r="I2857" s="11" t="n"/>
      <c r="J2857" s="11" t="n"/>
      <c r="K2857" s="11" t="n"/>
      <c r="L2857" s="11" t="n"/>
      <c r="M2857" s="11" t="n"/>
      <c r="N2857" s="11" t="n"/>
      <c r="O2857" s="12" t="n"/>
    </row>
    <row r="2858">
      <c r="A2858" s="11" t="n"/>
      <c r="B2858" s="11" t="n"/>
      <c r="C2858" s="11" t="n"/>
      <c r="D2858" s="11" t="n"/>
      <c r="E2858" s="11" t="n"/>
      <c r="F2858" s="11" t="n"/>
      <c r="G2858" s="11" t="n"/>
      <c r="H2858" s="11" t="n"/>
      <c r="I2858" s="11" t="n"/>
      <c r="J2858" s="11" t="n"/>
      <c r="K2858" s="11" t="n"/>
      <c r="L2858" s="11" t="n"/>
      <c r="M2858" s="11" t="n"/>
      <c r="N2858" s="11" t="n"/>
      <c r="O2858" s="12" t="n"/>
    </row>
    <row r="2859">
      <c r="A2859" s="11" t="n"/>
      <c r="B2859" s="11" t="n"/>
      <c r="C2859" s="11" t="n"/>
      <c r="D2859" s="11" t="n"/>
      <c r="E2859" s="11" t="n"/>
      <c r="F2859" s="11" t="n"/>
      <c r="G2859" s="11" t="n"/>
      <c r="H2859" s="11" t="n"/>
      <c r="I2859" s="11" t="n"/>
      <c r="J2859" s="11" t="n"/>
      <c r="K2859" s="11" t="n"/>
      <c r="L2859" s="11" t="n"/>
      <c r="M2859" s="11" t="n"/>
      <c r="N2859" s="11" t="n"/>
      <c r="O2859" s="12" t="n"/>
    </row>
    <row r="2860">
      <c r="A2860" s="11" t="n"/>
      <c r="B2860" s="11" t="n"/>
      <c r="C2860" s="11" t="n"/>
      <c r="D2860" s="11" t="n"/>
      <c r="E2860" s="11" t="n"/>
      <c r="F2860" s="11" t="n"/>
      <c r="G2860" s="11" t="n"/>
      <c r="H2860" s="11" t="n"/>
      <c r="I2860" s="11" t="n"/>
      <c r="J2860" s="11" t="n"/>
      <c r="K2860" s="11" t="n"/>
      <c r="L2860" s="11" t="n"/>
      <c r="M2860" s="11" t="n"/>
      <c r="N2860" s="11" t="n"/>
      <c r="O2860" s="12" t="n"/>
    </row>
    <row r="2861">
      <c r="A2861" s="11" t="n"/>
      <c r="B2861" s="11" t="n"/>
      <c r="C2861" s="11" t="n"/>
      <c r="D2861" s="11" t="n"/>
      <c r="E2861" s="11" t="n"/>
      <c r="F2861" s="11" t="n"/>
      <c r="G2861" s="11" t="n"/>
      <c r="H2861" s="11" t="n"/>
      <c r="I2861" s="11" t="n"/>
      <c r="J2861" s="11" t="n"/>
      <c r="K2861" s="11" t="n"/>
      <c r="L2861" s="11" t="n"/>
      <c r="M2861" s="11" t="n"/>
      <c r="N2861" s="11" t="n"/>
      <c r="O2861" s="12" t="n"/>
    </row>
    <row r="2862">
      <c r="A2862" s="11" t="n"/>
      <c r="B2862" s="11" t="n"/>
      <c r="C2862" s="11" t="n"/>
      <c r="D2862" s="11" t="n"/>
      <c r="E2862" s="11" t="n"/>
      <c r="F2862" s="11" t="n"/>
      <c r="G2862" s="11" t="n"/>
      <c r="H2862" s="11" t="n"/>
      <c r="I2862" s="11" t="n"/>
      <c r="J2862" s="11" t="n"/>
      <c r="K2862" s="11" t="n"/>
      <c r="L2862" s="11" t="n"/>
      <c r="M2862" s="11" t="n"/>
      <c r="N2862" s="11" t="n"/>
      <c r="O2862" s="12" t="n"/>
    </row>
    <row r="2863">
      <c r="A2863" s="11" t="n"/>
      <c r="B2863" s="11" t="n"/>
      <c r="C2863" s="11" t="n"/>
      <c r="D2863" s="11" t="n"/>
      <c r="E2863" s="11" t="n"/>
      <c r="F2863" s="11" t="n"/>
      <c r="G2863" s="11" t="n"/>
      <c r="H2863" s="11" t="n"/>
      <c r="I2863" s="11" t="n"/>
      <c r="J2863" s="11" t="n"/>
      <c r="K2863" s="11" t="n"/>
      <c r="L2863" s="11" t="n"/>
      <c r="M2863" s="11" t="n"/>
      <c r="N2863" s="11" t="n"/>
      <c r="O2863" s="12" t="n"/>
    </row>
    <row r="2864">
      <c r="A2864" s="11" t="n"/>
      <c r="B2864" s="11" t="n"/>
      <c r="C2864" s="11" t="n"/>
      <c r="D2864" s="11" t="n"/>
      <c r="E2864" s="11" t="n"/>
      <c r="F2864" s="11" t="n"/>
      <c r="G2864" s="11" t="n"/>
      <c r="H2864" s="11" t="n"/>
      <c r="I2864" s="11" t="n"/>
      <c r="J2864" s="11" t="n"/>
      <c r="K2864" s="11" t="n"/>
      <c r="L2864" s="11" t="n"/>
      <c r="M2864" s="11" t="n"/>
      <c r="N2864" s="11" t="n"/>
      <c r="O2864" s="12" t="n"/>
    </row>
    <row r="2865">
      <c r="A2865" s="11" t="n"/>
      <c r="B2865" s="11" t="n"/>
      <c r="C2865" s="11" t="n"/>
      <c r="D2865" s="11" t="n"/>
      <c r="E2865" s="11" t="n"/>
      <c r="F2865" s="11" t="n"/>
      <c r="G2865" s="11" t="n"/>
      <c r="H2865" s="11" t="n"/>
      <c r="I2865" s="11" t="n"/>
      <c r="J2865" s="11" t="n"/>
      <c r="K2865" s="11" t="n"/>
      <c r="L2865" s="11" t="n"/>
      <c r="M2865" s="11" t="n"/>
      <c r="N2865" s="11" t="n"/>
      <c r="O2865" s="12" t="n"/>
    </row>
    <row r="2866">
      <c r="A2866" s="11" t="n"/>
      <c r="B2866" s="11" t="n"/>
      <c r="C2866" s="11" t="n"/>
      <c r="D2866" s="11" t="n"/>
      <c r="E2866" s="11" t="n"/>
      <c r="F2866" s="11" t="n"/>
      <c r="G2866" s="11" t="n"/>
      <c r="H2866" s="11" t="n"/>
      <c r="I2866" s="11" t="n"/>
      <c r="J2866" s="11" t="n"/>
      <c r="K2866" s="11" t="n"/>
      <c r="L2866" s="11" t="n"/>
      <c r="M2866" s="11" t="n"/>
      <c r="N2866" s="11" t="n"/>
      <c r="O2866" s="12" t="n"/>
    </row>
    <row r="2867">
      <c r="A2867" s="11" t="n"/>
      <c r="B2867" s="11" t="n"/>
      <c r="C2867" s="11" t="n"/>
      <c r="D2867" s="11" t="n"/>
      <c r="E2867" s="11" t="n"/>
      <c r="F2867" s="11" t="n"/>
      <c r="G2867" s="11" t="n"/>
      <c r="H2867" s="11" t="n"/>
      <c r="I2867" s="11" t="n"/>
      <c r="J2867" s="11" t="n"/>
      <c r="K2867" s="11" t="n"/>
      <c r="L2867" s="11" t="n"/>
      <c r="M2867" s="11" t="n"/>
      <c r="N2867" s="11" t="n"/>
      <c r="O2867" s="12" t="n"/>
    </row>
    <row r="2868">
      <c r="A2868" s="11" t="n"/>
      <c r="B2868" s="11" t="n"/>
      <c r="C2868" s="11" t="n"/>
      <c r="D2868" s="11" t="n"/>
      <c r="E2868" s="11" t="n"/>
      <c r="F2868" s="11" t="n"/>
      <c r="G2868" s="11" t="n"/>
      <c r="H2868" s="11" t="n"/>
      <c r="I2868" s="11" t="n"/>
      <c r="J2868" s="11" t="n"/>
      <c r="K2868" s="11" t="n"/>
      <c r="L2868" s="11" t="n"/>
      <c r="M2868" s="11" t="n"/>
      <c r="N2868" s="11" t="n"/>
      <c r="O2868" s="12" t="n"/>
    </row>
    <row r="2869">
      <c r="A2869" s="11" t="n"/>
      <c r="B2869" s="11" t="n"/>
      <c r="C2869" s="11" t="n"/>
      <c r="D2869" s="11" t="n"/>
      <c r="E2869" s="11" t="n"/>
      <c r="F2869" s="11" t="n"/>
      <c r="G2869" s="11" t="n"/>
      <c r="H2869" s="11" t="n"/>
      <c r="I2869" s="11" t="n"/>
      <c r="J2869" s="11" t="n"/>
      <c r="K2869" s="11" t="n"/>
      <c r="L2869" s="11" t="n"/>
      <c r="M2869" s="11" t="n"/>
      <c r="N2869" s="11" t="n"/>
      <c r="O2869" s="12" t="n"/>
    </row>
    <row r="2870">
      <c r="A2870" s="11" t="n"/>
      <c r="B2870" s="11" t="n"/>
      <c r="C2870" s="11" t="n"/>
      <c r="D2870" s="11" t="n"/>
      <c r="E2870" s="11" t="n"/>
      <c r="F2870" s="11" t="n"/>
      <c r="G2870" s="11" t="n"/>
      <c r="H2870" s="11" t="n"/>
      <c r="I2870" s="11" t="n"/>
      <c r="J2870" s="11" t="n"/>
      <c r="K2870" s="11" t="n"/>
      <c r="L2870" s="11" t="n"/>
      <c r="M2870" s="11" t="n"/>
      <c r="N2870" s="11" t="n"/>
      <c r="O2870" s="12" t="n"/>
    </row>
    <row r="2871">
      <c r="A2871" s="11" t="n"/>
      <c r="B2871" s="11" t="n"/>
      <c r="C2871" s="11" t="n"/>
      <c r="D2871" s="11" t="n"/>
      <c r="E2871" s="11" t="n"/>
      <c r="F2871" s="11" t="n"/>
      <c r="G2871" s="11" t="n"/>
      <c r="H2871" s="11" t="n"/>
      <c r="I2871" s="11" t="n"/>
      <c r="J2871" s="11" t="n"/>
      <c r="K2871" s="11" t="n"/>
      <c r="L2871" s="11" t="n"/>
      <c r="M2871" s="11" t="n"/>
      <c r="N2871" s="11" t="n"/>
      <c r="O2871" s="12" t="n"/>
    </row>
    <row r="2872">
      <c r="A2872" s="11" t="n"/>
      <c r="B2872" s="11" t="n"/>
      <c r="C2872" s="11" t="n"/>
      <c r="D2872" s="11" t="n"/>
      <c r="E2872" s="11" t="n"/>
      <c r="F2872" s="11" t="n"/>
      <c r="G2872" s="11" t="n"/>
      <c r="H2872" s="11" t="n"/>
      <c r="I2872" s="11" t="n"/>
      <c r="J2872" s="11" t="n"/>
      <c r="K2872" s="11" t="n"/>
      <c r="L2872" s="11" t="n"/>
      <c r="M2872" s="11" t="n"/>
      <c r="N2872" s="11" t="n"/>
      <c r="O2872" s="12" t="n"/>
    </row>
    <row r="2873">
      <c r="A2873" s="11" t="n"/>
      <c r="B2873" s="11" t="n"/>
      <c r="C2873" s="11" t="n"/>
      <c r="D2873" s="11" t="n"/>
      <c r="E2873" s="11" t="n"/>
      <c r="F2873" s="11" t="n"/>
      <c r="G2873" s="11" t="n"/>
      <c r="H2873" s="11" t="n"/>
      <c r="I2873" s="11" t="n"/>
      <c r="J2873" s="11" t="n"/>
      <c r="K2873" s="11" t="n"/>
      <c r="L2873" s="11" t="n"/>
      <c r="M2873" s="11" t="n"/>
      <c r="N2873" s="11" t="n"/>
      <c r="O2873" s="12" t="n"/>
    </row>
    <row r="2874">
      <c r="A2874" s="11" t="n"/>
      <c r="B2874" s="11" t="n"/>
      <c r="C2874" s="11" t="n"/>
      <c r="D2874" s="11" t="n"/>
      <c r="E2874" s="11" t="n"/>
      <c r="F2874" s="11" t="n"/>
      <c r="G2874" s="11" t="n"/>
      <c r="H2874" s="11" t="n"/>
      <c r="I2874" s="11" t="n"/>
      <c r="J2874" s="11" t="n"/>
      <c r="K2874" s="11" t="n"/>
      <c r="L2874" s="11" t="n"/>
      <c r="M2874" s="11" t="n"/>
      <c r="N2874" s="11" t="n"/>
      <c r="O2874" s="12" t="n"/>
    </row>
    <row r="2875">
      <c r="A2875" s="11" t="n"/>
      <c r="B2875" s="11" t="n"/>
      <c r="C2875" s="11" t="n"/>
      <c r="D2875" s="11" t="n"/>
      <c r="E2875" s="11" t="n"/>
      <c r="F2875" s="11" t="n"/>
      <c r="G2875" s="11" t="n"/>
      <c r="H2875" s="11" t="n"/>
      <c r="I2875" s="11" t="n"/>
      <c r="J2875" s="11" t="n"/>
      <c r="K2875" s="11" t="n"/>
      <c r="L2875" s="11" t="n"/>
      <c r="M2875" s="11" t="n"/>
      <c r="N2875" s="11" t="n"/>
      <c r="O2875" s="12" t="n"/>
    </row>
    <row r="2876">
      <c r="A2876" s="11" t="n"/>
      <c r="B2876" s="11" t="n"/>
      <c r="C2876" s="11" t="n"/>
      <c r="D2876" s="11" t="n"/>
      <c r="E2876" s="11" t="n"/>
      <c r="F2876" s="11" t="n"/>
      <c r="G2876" s="11" t="n"/>
      <c r="H2876" s="11" t="n"/>
      <c r="I2876" s="11" t="n"/>
      <c r="J2876" s="11" t="n"/>
      <c r="K2876" s="11" t="n"/>
      <c r="L2876" s="11" t="n"/>
      <c r="M2876" s="11" t="n"/>
      <c r="N2876" s="11" t="n"/>
      <c r="O2876" s="12" t="n"/>
    </row>
    <row r="2877">
      <c r="A2877" s="11" t="n"/>
      <c r="B2877" s="11" t="n"/>
      <c r="C2877" s="11" t="n"/>
      <c r="D2877" s="11" t="n"/>
      <c r="E2877" s="11" t="n"/>
      <c r="F2877" s="11" t="n"/>
      <c r="G2877" s="11" t="n"/>
      <c r="H2877" s="11" t="n"/>
      <c r="I2877" s="11" t="n"/>
      <c r="J2877" s="11" t="n"/>
      <c r="K2877" s="11" t="n"/>
      <c r="L2877" s="11" t="n"/>
      <c r="M2877" s="11" t="n"/>
      <c r="N2877" s="11" t="n"/>
      <c r="O2877" s="12" t="n"/>
    </row>
    <row r="2878">
      <c r="A2878" s="11" t="n"/>
      <c r="B2878" s="11" t="n"/>
      <c r="C2878" s="11" t="n"/>
      <c r="D2878" s="11" t="n"/>
      <c r="E2878" s="11" t="n"/>
      <c r="F2878" s="11" t="n"/>
      <c r="G2878" s="11" t="n"/>
      <c r="H2878" s="11" t="n"/>
      <c r="I2878" s="11" t="n"/>
      <c r="J2878" s="11" t="n"/>
      <c r="K2878" s="11" t="n"/>
      <c r="L2878" s="11" t="n"/>
      <c r="M2878" s="11" t="n"/>
      <c r="N2878" s="11" t="n"/>
      <c r="O2878" s="12" t="n"/>
    </row>
    <row r="2879">
      <c r="A2879" s="11" t="n"/>
      <c r="B2879" s="11" t="n"/>
      <c r="C2879" s="11" t="n"/>
      <c r="D2879" s="11" t="n"/>
      <c r="E2879" s="11" t="n"/>
      <c r="F2879" s="11" t="n"/>
      <c r="G2879" s="11" t="n"/>
      <c r="H2879" s="11" t="n"/>
      <c r="I2879" s="11" t="n"/>
      <c r="J2879" s="11" t="n"/>
      <c r="K2879" s="11" t="n"/>
      <c r="L2879" s="11" t="n"/>
      <c r="M2879" s="11" t="n"/>
      <c r="N2879" s="11" t="n"/>
      <c r="O2879" s="12" t="n"/>
    </row>
    <row r="2880">
      <c r="A2880" s="11" t="n"/>
      <c r="B2880" s="11" t="n"/>
      <c r="C2880" s="11" t="n"/>
      <c r="D2880" s="11" t="n"/>
      <c r="E2880" s="11" t="n"/>
      <c r="F2880" s="11" t="n"/>
      <c r="G2880" s="11" t="n"/>
      <c r="H2880" s="11" t="n"/>
      <c r="I2880" s="11" t="n"/>
      <c r="J2880" s="11" t="n"/>
      <c r="K2880" s="11" t="n"/>
      <c r="L2880" s="11" t="n"/>
      <c r="M2880" s="11" t="n"/>
      <c r="N2880" s="11" t="n"/>
      <c r="O2880" s="12" t="n"/>
    </row>
    <row r="2881">
      <c r="A2881" s="11" t="n"/>
      <c r="B2881" s="11" t="n"/>
      <c r="C2881" s="11" t="n"/>
      <c r="D2881" s="11" t="n"/>
      <c r="E2881" s="11" t="n"/>
      <c r="F2881" s="11" t="n"/>
      <c r="G2881" s="11" t="n"/>
      <c r="H2881" s="11" t="n"/>
      <c r="I2881" s="11" t="n"/>
      <c r="J2881" s="11" t="n"/>
      <c r="K2881" s="11" t="n"/>
      <c r="L2881" s="11" t="n"/>
      <c r="M2881" s="11" t="n"/>
      <c r="N2881" s="11" t="n"/>
      <c r="O2881" s="12" t="n"/>
    </row>
    <row r="2882">
      <c r="A2882" s="11" t="n"/>
      <c r="B2882" s="11" t="n"/>
      <c r="C2882" s="11" t="n"/>
      <c r="D2882" s="11" t="n"/>
      <c r="E2882" s="11" t="n"/>
      <c r="F2882" s="11" t="n"/>
      <c r="G2882" s="11" t="n"/>
      <c r="H2882" s="11" t="n"/>
      <c r="I2882" s="11" t="n"/>
      <c r="J2882" s="11" t="n"/>
      <c r="K2882" s="11" t="n"/>
      <c r="L2882" s="11" t="n"/>
      <c r="M2882" s="11" t="n"/>
      <c r="N2882" s="11" t="n"/>
      <c r="O2882" s="12" t="n"/>
    </row>
    <row r="2883">
      <c r="A2883" s="11" t="n"/>
      <c r="B2883" s="11" t="n"/>
      <c r="C2883" s="11" t="n"/>
      <c r="D2883" s="11" t="n"/>
      <c r="E2883" s="11" t="n"/>
      <c r="F2883" s="11" t="n"/>
      <c r="G2883" s="11" t="n"/>
      <c r="H2883" s="11" t="n"/>
      <c r="I2883" s="11" t="n"/>
      <c r="J2883" s="11" t="n"/>
      <c r="K2883" s="11" t="n"/>
      <c r="L2883" s="11" t="n"/>
      <c r="M2883" s="11" t="n"/>
      <c r="N2883" s="11" t="n"/>
      <c r="O2883" s="12" t="n"/>
    </row>
    <row r="2884">
      <c r="A2884" s="11" t="n"/>
      <c r="B2884" s="11" t="n"/>
      <c r="C2884" s="11" t="n"/>
      <c r="D2884" s="11" t="n"/>
      <c r="E2884" s="11" t="n"/>
      <c r="F2884" s="11" t="n"/>
      <c r="G2884" s="11" t="n"/>
      <c r="H2884" s="11" t="n"/>
      <c r="I2884" s="11" t="n"/>
      <c r="J2884" s="11" t="n"/>
      <c r="K2884" s="11" t="n"/>
      <c r="L2884" s="11" t="n"/>
      <c r="M2884" s="11" t="n"/>
      <c r="N2884" s="11" t="n"/>
      <c r="O2884" s="12" t="n"/>
    </row>
    <row r="2885">
      <c r="A2885" s="11" t="n"/>
      <c r="B2885" s="11" t="n"/>
      <c r="C2885" s="11" t="n"/>
      <c r="D2885" s="11" t="n"/>
      <c r="E2885" s="11" t="n"/>
      <c r="F2885" s="11" t="n"/>
      <c r="G2885" s="11" t="n"/>
      <c r="H2885" s="11" t="n"/>
      <c r="I2885" s="11" t="n"/>
      <c r="J2885" s="11" t="n"/>
      <c r="K2885" s="11" t="n"/>
      <c r="L2885" s="11" t="n"/>
      <c r="M2885" s="11" t="n"/>
      <c r="N2885" s="11" t="n"/>
      <c r="O2885" s="12" t="n"/>
    </row>
    <row r="2886">
      <c r="A2886" s="11" t="n"/>
      <c r="B2886" s="11" t="n"/>
      <c r="C2886" s="11" t="n"/>
      <c r="D2886" s="11" t="n"/>
      <c r="E2886" s="11" t="n"/>
      <c r="F2886" s="11" t="n"/>
      <c r="G2886" s="11" t="n"/>
      <c r="H2886" s="11" t="n"/>
      <c r="I2886" s="11" t="n"/>
      <c r="J2886" s="11" t="n"/>
      <c r="K2886" s="11" t="n"/>
      <c r="L2886" s="11" t="n"/>
      <c r="M2886" s="11" t="n"/>
      <c r="N2886" s="11" t="n"/>
      <c r="O2886" s="12" t="n"/>
    </row>
    <row r="2887">
      <c r="A2887" s="11" t="n"/>
      <c r="B2887" s="11" t="n"/>
      <c r="C2887" s="11" t="n"/>
      <c r="D2887" s="11" t="n"/>
      <c r="E2887" s="11" t="n"/>
      <c r="F2887" s="11" t="n"/>
      <c r="G2887" s="11" t="n"/>
      <c r="H2887" s="11" t="n"/>
      <c r="I2887" s="11" t="n"/>
      <c r="J2887" s="11" t="n"/>
      <c r="K2887" s="11" t="n"/>
      <c r="L2887" s="11" t="n"/>
      <c r="M2887" s="11" t="n"/>
      <c r="N2887" s="11" t="n"/>
      <c r="O2887" s="12" t="n"/>
    </row>
    <row r="2888">
      <c r="A2888" s="11" t="n"/>
      <c r="B2888" s="11" t="n"/>
      <c r="C2888" s="11" t="n"/>
      <c r="D2888" s="11" t="n"/>
      <c r="E2888" s="11" t="n"/>
      <c r="F2888" s="11" t="n"/>
      <c r="G2888" s="11" t="n"/>
      <c r="H2888" s="11" t="n"/>
      <c r="I2888" s="11" t="n"/>
      <c r="J2888" s="11" t="n"/>
      <c r="K2888" s="11" t="n"/>
      <c r="L2888" s="11" t="n"/>
      <c r="M2888" s="11" t="n"/>
      <c r="N2888" s="11" t="n"/>
      <c r="O2888" s="12" t="n"/>
    </row>
    <row r="2889">
      <c r="A2889" s="11" t="n"/>
      <c r="B2889" s="11" t="n"/>
      <c r="C2889" s="11" t="n"/>
      <c r="D2889" s="11" t="n"/>
      <c r="E2889" s="11" t="n"/>
      <c r="F2889" s="11" t="n"/>
      <c r="G2889" s="11" t="n"/>
      <c r="H2889" s="11" t="n"/>
      <c r="I2889" s="11" t="n"/>
      <c r="J2889" s="11" t="n"/>
      <c r="K2889" s="11" t="n"/>
      <c r="L2889" s="11" t="n"/>
      <c r="M2889" s="11" t="n"/>
      <c r="N2889" s="11" t="n"/>
      <c r="O2889" s="12" t="n"/>
    </row>
    <row r="2890">
      <c r="A2890" s="11" t="n"/>
      <c r="B2890" s="11" t="n"/>
      <c r="C2890" s="11" t="n"/>
      <c r="D2890" s="11" t="n"/>
      <c r="E2890" s="11" t="n"/>
      <c r="F2890" s="11" t="n"/>
      <c r="G2890" s="11" t="n"/>
      <c r="H2890" s="11" t="n"/>
      <c r="I2890" s="11" t="n"/>
      <c r="J2890" s="11" t="n"/>
      <c r="K2890" s="11" t="n"/>
      <c r="L2890" s="11" t="n"/>
      <c r="M2890" s="11" t="n"/>
      <c r="N2890" s="11" t="n"/>
      <c r="O2890" s="12" t="n"/>
    </row>
    <row r="2891">
      <c r="A2891" s="11" t="n"/>
      <c r="B2891" s="11" t="n"/>
      <c r="C2891" s="11" t="n"/>
      <c r="D2891" s="11" t="n"/>
      <c r="E2891" s="11" t="n"/>
      <c r="F2891" s="11" t="n"/>
      <c r="G2891" s="11" t="n"/>
      <c r="H2891" s="11" t="n"/>
      <c r="I2891" s="11" t="n"/>
      <c r="J2891" s="11" t="n"/>
      <c r="K2891" s="11" t="n"/>
      <c r="L2891" s="11" t="n"/>
      <c r="M2891" s="11" t="n"/>
      <c r="N2891" s="11" t="n"/>
      <c r="O2891" s="12" t="n"/>
    </row>
    <row r="2892">
      <c r="A2892" s="11" t="n"/>
      <c r="B2892" s="11" t="n"/>
      <c r="C2892" s="11" t="n"/>
      <c r="D2892" s="11" t="n"/>
      <c r="E2892" s="11" t="n"/>
      <c r="F2892" s="11" t="n"/>
      <c r="G2892" s="11" t="n"/>
      <c r="H2892" s="11" t="n"/>
      <c r="I2892" s="11" t="n"/>
      <c r="J2892" s="11" t="n"/>
      <c r="K2892" s="11" t="n"/>
      <c r="L2892" s="11" t="n"/>
      <c r="M2892" s="11" t="n"/>
      <c r="N2892" s="11" t="n"/>
      <c r="O2892" s="12" t="n"/>
    </row>
    <row r="2893">
      <c r="A2893" s="11" t="n"/>
      <c r="B2893" s="11" t="n"/>
      <c r="C2893" s="11" t="n"/>
      <c r="D2893" s="11" t="n"/>
      <c r="E2893" s="11" t="n"/>
      <c r="F2893" s="11" t="n"/>
      <c r="G2893" s="11" t="n"/>
      <c r="H2893" s="11" t="n"/>
      <c r="I2893" s="11" t="n"/>
      <c r="J2893" s="11" t="n"/>
      <c r="K2893" s="11" t="n"/>
      <c r="L2893" s="11" t="n"/>
      <c r="M2893" s="11" t="n"/>
      <c r="N2893" s="11" t="n"/>
      <c r="O2893" s="12" t="n"/>
    </row>
    <row r="2894">
      <c r="A2894" s="11" t="n"/>
      <c r="B2894" s="11" t="n"/>
      <c r="C2894" s="11" t="n"/>
      <c r="D2894" s="11" t="n"/>
      <c r="E2894" s="11" t="n"/>
      <c r="F2894" s="11" t="n"/>
      <c r="G2894" s="11" t="n"/>
      <c r="H2894" s="11" t="n"/>
      <c r="I2894" s="11" t="n"/>
      <c r="J2894" s="11" t="n"/>
      <c r="K2894" s="11" t="n"/>
      <c r="L2894" s="11" t="n"/>
      <c r="M2894" s="11" t="n"/>
      <c r="N2894" s="11" t="n"/>
      <c r="O2894" s="12" t="n"/>
    </row>
    <row r="2895">
      <c r="A2895" s="11" t="n"/>
      <c r="B2895" s="11" t="n"/>
      <c r="C2895" s="11" t="n"/>
      <c r="D2895" s="11" t="n"/>
      <c r="E2895" s="11" t="n"/>
      <c r="F2895" s="11" t="n"/>
      <c r="G2895" s="11" t="n"/>
      <c r="H2895" s="11" t="n"/>
      <c r="I2895" s="11" t="n"/>
      <c r="J2895" s="11" t="n"/>
      <c r="K2895" s="11" t="n"/>
      <c r="L2895" s="11" t="n"/>
      <c r="M2895" s="11" t="n"/>
      <c r="N2895" s="11" t="n"/>
      <c r="O2895" s="12" t="n"/>
    </row>
    <row r="2896">
      <c r="A2896" s="11" t="n"/>
      <c r="B2896" s="11" t="n"/>
      <c r="C2896" s="11" t="n"/>
      <c r="D2896" s="11" t="n"/>
      <c r="E2896" s="11" t="n"/>
      <c r="F2896" s="11" t="n"/>
      <c r="G2896" s="11" t="n"/>
      <c r="H2896" s="11" t="n"/>
      <c r="I2896" s="11" t="n"/>
      <c r="J2896" s="11" t="n"/>
      <c r="K2896" s="11" t="n"/>
      <c r="L2896" s="11" t="n"/>
      <c r="M2896" s="11" t="n"/>
      <c r="N2896" s="11" t="n"/>
      <c r="O2896" s="12" t="n"/>
    </row>
    <row r="2897">
      <c r="A2897" s="11" t="n"/>
      <c r="B2897" s="11" t="n"/>
      <c r="C2897" s="11" t="n"/>
      <c r="D2897" s="11" t="n"/>
      <c r="E2897" s="11" t="n"/>
      <c r="F2897" s="11" t="n"/>
      <c r="G2897" s="11" t="n"/>
      <c r="H2897" s="11" t="n"/>
      <c r="I2897" s="11" t="n"/>
      <c r="J2897" s="11" t="n"/>
      <c r="K2897" s="11" t="n"/>
      <c r="L2897" s="11" t="n"/>
      <c r="M2897" s="11" t="n"/>
      <c r="N2897" s="11" t="n"/>
      <c r="O2897" s="12" t="n"/>
    </row>
    <row r="2898">
      <c r="A2898" s="11" t="n"/>
      <c r="B2898" s="11" t="n"/>
      <c r="C2898" s="11" t="n"/>
      <c r="D2898" s="11" t="n"/>
      <c r="E2898" s="11" t="n"/>
      <c r="F2898" s="11" t="n"/>
      <c r="G2898" s="11" t="n"/>
      <c r="H2898" s="11" t="n"/>
      <c r="I2898" s="11" t="n"/>
      <c r="J2898" s="11" t="n"/>
      <c r="K2898" s="11" t="n"/>
      <c r="L2898" s="11" t="n"/>
      <c r="M2898" s="11" t="n"/>
      <c r="N2898" s="11" t="n"/>
      <c r="O2898" s="12" t="n"/>
    </row>
    <row r="2899">
      <c r="A2899" s="11" t="n"/>
      <c r="B2899" s="11" t="n"/>
      <c r="C2899" s="11" t="n"/>
      <c r="D2899" s="11" t="n"/>
      <c r="E2899" s="11" t="n"/>
      <c r="F2899" s="11" t="n"/>
      <c r="G2899" s="11" t="n"/>
      <c r="H2899" s="11" t="n"/>
      <c r="I2899" s="11" t="n"/>
      <c r="J2899" s="11" t="n"/>
      <c r="K2899" s="11" t="n"/>
      <c r="L2899" s="11" t="n"/>
      <c r="M2899" s="11" t="n"/>
      <c r="N2899" s="11" t="n"/>
      <c r="O2899" s="12" t="n"/>
    </row>
    <row r="2900">
      <c r="A2900" s="11" t="n"/>
      <c r="B2900" s="11" t="n"/>
      <c r="C2900" s="11" t="n"/>
      <c r="D2900" s="11" t="n"/>
      <c r="E2900" s="11" t="n"/>
      <c r="F2900" s="11" t="n"/>
      <c r="G2900" s="11" t="n"/>
      <c r="H2900" s="11" t="n"/>
      <c r="I2900" s="11" t="n"/>
      <c r="J2900" s="11" t="n"/>
      <c r="K2900" s="11" t="n"/>
      <c r="L2900" s="11" t="n"/>
      <c r="M2900" s="11" t="n"/>
      <c r="N2900" s="11" t="n"/>
      <c r="O2900" s="12" t="n"/>
    </row>
    <row r="2901">
      <c r="A2901" s="11" t="n"/>
      <c r="B2901" s="11" t="n"/>
      <c r="C2901" s="11" t="n"/>
      <c r="D2901" s="11" t="n"/>
      <c r="E2901" s="11" t="n"/>
      <c r="F2901" s="11" t="n"/>
      <c r="G2901" s="11" t="n"/>
      <c r="H2901" s="11" t="n"/>
      <c r="I2901" s="11" t="n"/>
      <c r="J2901" s="11" t="n"/>
      <c r="K2901" s="11" t="n"/>
      <c r="L2901" s="11" t="n"/>
      <c r="M2901" s="11" t="n"/>
      <c r="N2901" s="11" t="n"/>
      <c r="O2901" s="12" t="n"/>
    </row>
    <row r="2902">
      <c r="A2902" s="11" t="n"/>
      <c r="B2902" s="11" t="n"/>
      <c r="C2902" s="11" t="n"/>
      <c r="D2902" s="11" t="n"/>
      <c r="E2902" s="11" t="n"/>
      <c r="F2902" s="11" t="n"/>
      <c r="G2902" s="11" t="n"/>
      <c r="H2902" s="11" t="n"/>
      <c r="I2902" s="11" t="n"/>
      <c r="J2902" s="11" t="n"/>
      <c r="K2902" s="11" t="n"/>
      <c r="L2902" s="11" t="n"/>
      <c r="M2902" s="11" t="n"/>
      <c r="N2902" s="11" t="n"/>
      <c r="O2902" s="12" t="n"/>
    </row>
    <row r="2903">
      <c r="A2903" s="11" t="n"/>
      <c r="B2903" s="11" t="n"/>
      <c r="C2903" s="11" t="n"/>
      <c r="D2903" s="11" t="n"/>
      <c r="E2903" s="11" t="n"/>
      <c r="F2903" s="11" t="n"/>
      <c r="G2903" s="11" t="n"/>
      <c r="H2903" s="11" t="n"/>
      <c r="I2903" s="11" t="n"/>
      <c r="J2903" s="11" t="n"/>
      <c r="K2903" s="11" t="n"/>
      <c r="L2903" s="11" t="n"/>
      <c r="M2903" s="11" t="n"/>
      <c r="N2903" s="11" t="n"/>
      <c r="O2903" s="12" t="n"/>
    </row>
    <row r="2904">
      <c r="A2904" s="11" t="n"/>
      <c r="B2904" s="11" t="n"/>
      <c r="C2904" s="11" t="n"/>
      <c r="D2904" s="11" t="n"/>
      <c r="E2904" s="11" t="n"/>
      <c r="F2904" s="11" t="n"/>
      <c r="G2904" s="11" t="n"/>
      <c r="H2904" s="11" t="n"/>
      <c r="I2904" s="11" t="n"/>
      <c r="J2904" s="11" t="n"/>
      <c r="K2904" s="11" t="n"/>
      <c r="L2904" s="11" t="n"/>
      <c r="M2904" s="11" t="n"/>
      <c r="N2904" s="11" t="n"/>
      <c r="O2904" s="12" t="n"/>
    </row>
    <row r="2905">
      <c r="A2905" s="11" t="n"/>
      <c r="B2905" s="11" t="n"/>
      <c r="C2905" s="11" t="n"/>
      <c r="D2905" s="11" t="n"/>
      <c r="E2905" s="11" t="n"/>
      <c r="F2905" s="11" t="n"/>
      <c r="G2905" s="11" t="n"/>
      <c r="H2905" s="11" t="n"/>
      <c r="I2905" s="11" t="n"/>
      <c r="J2905" s="11" t="n"/>
      <c r="K2905" s="11" t="n"/>
      <c r="L2905" s="11" t="n"/>
      <c r="M2905" s="11" t="n"/>
      <c r="N2905" s="11" t="n"/>
      <c r="O2905" s="12" t="n"/>
    </row>
    <row r="2906">
      <c r="A2906" s="11" t="n"/>
      <c r="B2906" s="11" t="n"/>
      <c r="C2906" s="11" t="n"/>
      <c r="D2906" s="11" t="n"/>
      <c r="E2906" s="11" t="n"/>
      <c r="F2906" s="11" t="n"/>
      <c r="G2906" s="11" t="n"/>
      <c r="H2906" s="11" t="n"/>
      <c r="I2906" s="11" t="n"/>
      <c r="J2906" s="11" t="n"/>
      <c r="K2906" s="11" t="n"/>
      <c r="L2906" s="11" t="n"/>
      <c r="M2906" s="11" t="n"/>
      <c r="N2906" s="11" t="n"/>
      <c r="O2906" s="12" t="n"/>
    </row>
    <row r="2907">
      <c r="A2907" s="11" t="n"/>
      <c r="B2907" s="11" t="n"/>
      <c r="C2907" s="11" t="n"/>
      <c r="D2907" s="11" t="n"/>
      <c r="E2907" s="11" t="n"/>
      <c r="F2907" s="11" t="n"/>
      <c r="G2907" s="11" t="n"/>
      <c r="H2907" s="11" t="n"/>
      <c r="I2907" s="11" t="n"/>
      <c r="J2907" s="11" t="n"/>
      <c r="K2907" s="11" t="n"/>
      <c r="L2907" s="11" t="n"/>
      <c r="M2907" s="11" t="n"/>
      <c r="N2907" s="11" t="n"/>
      <c r="O2907" s="12" t="n"/>
    </row>
    <row r="2908">
      <c r="A2908" s="11" t="n"/>
      <c r="B2908" s="11" t="n"/>
      <c r="C2908" s="11" t="n"/>
      <c r="D2908" s="11" t="n"/>
      <c r="E2908" s="11" t="n"/>
      <c r="F2908" s="11" t="n"/>
      <c r="G2908" s="11" t="n"/>
      <c r="H2908" s="11" t="n"/>
      <c r="I2908" s="11" t="n"/>
      <c r="J2908" s="11" t="n"/>
      <c r="K2908" s="11" t="n"/>
      <c r="L2908" s="11" t="n"/>
      <c r="M2908" s="11" t="n"/>
      <c r="N2908" s="11" t="n"/>
      <c r="O2908" s="12" t="n"/>
    </row>
    <row r="2909">
      <c r="A2909" s="11" t="n"/>
      <c r="B2909" s="11" t="n"/>
      <c r="C2909" s="11" t="n"/>
      <c r="D2909" s="11" t="n"/>
      <c r="E2909" s="11" t="n"/>
      <c r="F2909" s="11" t="n"/>
      <c r="G2909" s="11" t="n"/>
      <c r="H2909" s="11" t="n"/>
      <c r="I2909" s="11" t="n"/>
      <c r="J2909" s="11" t="n"/>
      <c r="K2909" s="11" t="n"/>
      <c r="L2909" s="11" t="n"/>
      <c r="M2909" s="11" t="n"/>
      <c r="N2909" s="11" t="n"/>
      <c r="O2909" s="12" t="n"/>
    </row>
    <row r="2910">
      <c r="A2910" s="11" t="n"/>
      <c r="B2910" s="11" t="n"/>
      <c r="C2910" s="11" t="n"/>
      <c r="D2910" s="11" t="n"/>
      <c r="E2910" s="11" t="n"/>
      <c r="F2910" s="11" t="n"/>
      <c r="G2910" s="11" t="n"/>
      <c r="H2910" s="11" t="n"/>
      <c r="I2910" s="11" t="n"/>
      <c r="J2910" s="11" t="n"/>
      <c r="K2910" s="11" t="n"/>
      <c r="L2910" s="11" t="n"/>
      <c r="M2910" s="11" t="n"/>
      <c r="N2910" s="11" t="n"/>
      <c r="O2910" s="12" t="n"/>
    </row>
    <row r="2911">
      <c r="A2911" s="11" t="n"/>
      <c r="B2911" s="11" t="n"/>
      <c r="C2911" s="11" t="n"/>
      <c r="D2911" s="11" t="n"/>
      <c r="E2911" s="11" t="n"/>
      <c r="F2911" s="11" t="n"/>
      <c r="G2911" s="11" t="n"/>
      <c r="H2911" s="11" t="n"/>
      <c r="I2911" s="11" t="n"/>
      <c r="J2911" s="11" t="n"/>
      <c r="K2911" s="11" t="n"/>
      <c r="L2911" s="11" t="n"/>
      <c r="M2911" s="11" t="n"/>
      <c r="N2911" s="11" t="n"/>
      <c r="O2911" s="12" t="n"/>
    </row>
    <row r="2912">
      <c r="A2912" s="11" t="n"/>
      <c r="B2912" s="11" t="n"/>
      <c r="C2912" s="11" t="n"/>
      <c r="D2912" s="11" t="n"/>
      <c r="E2912" s="11" t="n"/>
      <c r="F2912" s="11" t="n"/>
      <c r="G2912" s="11" t="n"/>
      <c r="H2912" s="11" t="n"/>
      <c r="I2912" s="11" t="n"/>
      <c r="J2912" s="11" t="n"/>
      <c r="K2912" s="11" t="n"/>
      <c r="L2912" s="11" t="n"/>
      <c r="M2912" s="11" t="n"/>
      <c r="N2912" s="11" t="n"/>
      <c r="O2912" s="12" t="n"/>
    </row>
    <row r="2913">
      <c r="A2913" s="11" t="n"/>
      <c r="B2913" s="11" t="n"/>
      <c r="C2913" s="11" t="n"/>
      <c r="D2913" s="11" t="n"/>
      <c r="E2913" s="11" t="n"/>
      <c r="F2913" s="11" t="n"/>
      <c r="G2913" s="11" t="n"/>
      <c r="H2913" s="11" t="n"/>
      <c r="I2913" s="11" t="n"/>
      <c r="J2913" s="11" t="n"/>
      <c r="K2913" s="11" t="n"/>
      <c r="L2913" s="11" t="n"/>
      <c r="M2913" s="11" t="n"/>
      <c r="N2913" s="11" t="n"/>
      <c r="O2913" s="12" t="n"/>
    </row>
    <row r="2914">
      <c r="A2914" s="11" t="n"/>
      <c r="B2914" s="11" t="n"/>
      <c r="C2914" s="11" t="n"/>
      <c r="D2914" s="11" t="n"/>
      <c r="E2914" s="11" t="n"/>
      <c r="F2914" s="11" t="n"/>
      <c r="G2914" s="11" t="n"/>
      <c r="H2914" s="11" t="n"/>
      <c r="I2914" s="11" t="n"/>
      <c r="J2914" s="11" t="n"/>
      <c r="K2914" s="11" t="n"/>
      <c r="L2914" s="11" t="n"/>
      <c r="M2914" s="11" t="n"/>
      <c r="N2914" s="11" t="n"/>
      <c r="O2914" s="12" t="n"/>
    </row>
    <row r="2915">
      <c r="A2915" s="11" t="n"/>
      <c r="B2915" s="11" t="n"/>
      <c r="C2915" s="11" t="n"/>
      <c r="D2915" s="11" t="n"/>
      <c r="E2915" s="11" t="n"/>
      <c r="F2915" s="11" t="n"/>
      <c r="G2915" s="11" t="n"/>
      <c r="H2915" s="11" t="n"/>
      <c r="I2915" s="11" t="n"/>
      <c r="J2915" s="11" t="n"/>
      <c r="K2915" s="11" t="n"/>
      <c r="L2915" s="11" t="n"/>
      <c r="M2915" s="11" t="n"/>
      <c r="N2915" s="11" t="n"/>
      <c r="O2915" s="12" t="n"/>
    </row>
    <row r="2916">
      <c r="A2916" s="11" t="n"/>
      <c r="B2916" s="11" t="n"/>
      <c r="C2916" s="11" t="n"/>
      <c r="D2916" s="11" t="n"/>
      <c r="E2916" s="11" t="n"/>
      <c r="F2916" s="11" t="n"/>
      <c r="G2916" s="11" t="n"/>
      <c r="H2916" s="11" t="n"/>
      <c r="I2916" s="11" t="n"/>
      <c r="J2916" s="11" t="n"/>
      <c r="K2916" s="11" t="n"/>
      <c r="L2916" s="11" t="n"/>
      <c r="M2916" s="11" t="n"/>
      <c r="N2916" s="11" t="n"/>
      <c r="O2916" s="12" t="n"/>
    </row>
    <row r="2917">
      <c r="A2917" s="11" t="n"/>
      <c r="B2917" s="11" t="n"/>
      <c r="C2917" s="11" t="n"/>
      <c r="D2917" s="11" t="n"/>
      <c r="E2917" s="11" t="n"/>
      <c r="F2917" s="11" t="n"/>
      <c r="G2917" s="11" t="n"/>
      <c r="H2917" s="11" t="n"/>
      <c r="I2917" s="11" t="n"/>
      <c r="J2917" s="11" t="n"/>
      <c r="K2917" s="11" t="n"/>
      <c r="L2917" s="11" t="n"/>
      <c r="M2917" s="11" t="n"/>
      <c r="N2917" s="11" t="n"/>
      <c r="O2917" s="12" t="n"/>
    </row>
    <row r="2918">
      <c r="A2918" s="11" t="n"/>
      <c r="B2918" s="11" t="n"/>
      <c r="C2918" s="11" t="n"/>
      <c r="D2918" s="11" t="n"/>
      <c r="E2918" s="11" t="n"/>
      <c r="F2918" s="11" t="n"/>
      <c r="G2918" s="11" t="n"/>
      <c r="H2918" s="11" t="n"/>
      <c r="I2918" s="11" t="n"/>
      <c r="J2918" s="11" t="n"/>
      <c r="K2918" s="11" t="n"/>
      <c r="L2918" s="11" t="n"/>
      <c r="M2918" s="11" t="n"/>
      <c r="N2918" s="11" t="n"/>
      <c r="O2918" s="12" t="n"/>
    </row>
    <row r="2919">
      <c r="A2919" s="11" t="n"/>
      <c r="B2919" s="11" t="n"/>
      <c r="C2919" s="11" t="n"/>
      <c r="D2919" s="11" t="n"/>
      <c r="E2919" s="11" t="n"/>
      <c r="F2919" s="11" t="n"/>
      <c r="G2919" s="11" t="n"/>
      <c r="H2919" s="11" t="n"/>
      <c r="I2919" s="11" t="n"/>
      <c r="J2919" s="11" t="n"/>
      <c r="K2919" s="11" t="n"/>
      <c r="L2919" s="11" t="n"/>
      <c r="M2919" s="11" t="n"/>
      <c r="N2919" s="11" t="n"/>
      <c r="O2919" s="12" t="n"/>
    </row>
    <row r="2920">
      <c r="A2920" s="11" t="n"/>
      <c r="B2920" s="11" t="n"/>
      <c r="C2920" s="11" t="n"/>
      <c r="D2920" s="11" t="n"/>
      <c r="E2920" s="11" t="n"/>
      <c r="F2920" s="11" t="n"/>
      <c r="G2920" s="11" t="n"/>
      <c r="H2920" s="11" t="n"/>
      <c r="I2920" s="11" t="n"/>
      <c r="J2920" s="11" t="n"/>
      <c r="K2920" s="11" t="n"/>
      <c r="L2920" s="11" t="n"/>
      <c r="M2920" s="11" t="n"/>
      <c r="N2920" s="11" t="n"/>
      <c r="O2920" s="12" t="n"/>
    </row>
    <row r="2921">
      <c r="A2921" s="11" t="n"/>
      <c r="B2921" s="11" t="n"/>
      <c r="C2921" s="11" t="n"/>
      <c r="D2921" s="11" t="n"/>
      <c r="E2921" s="11" t="n"/>
      <c r="F2921" s="11" t="n"/>
      <c r="G2921" s="11" t="n"/>
      <c r="H2921" s="11" t="n"/>
      <c r="I2921" s="11" t="n"/>
      <c r="J2921" s="11" t="n"/>
      <c r="K2921" s="11" t="n"/>
      <c r="L2921" s="11" t="n"/>
      <c r="M2921" s="11" t="n"/>
      <c r="N2921" s="11" t="n"/>
      <c r="O2921" s="12" t="n"/>
    </row>
    <row r="2922">
      <c r="A2922" s="11" t="n"/>
      <c r="B2922" s="11" t="n"/>
      <c r="C2922" s="11" t="n"/>
      <c r="D2922" s="11" t="n"/>
      <c r="E2922" s="11" t="n"/>
      <c r="F2922" s="11" t="n"/>
      <c r="G2922" s="11" t="n"/>
      <c r="H2922" s="11" t="n"/>
      <c r="I2922" s="11" t="n"/>
      <c r="J2922" s="11" t="n"/>
      <c r="K2922" s="11" t="n"/>
      <c r="L2922" s="11" t="n"/>
      <c r="M2922" s="11" t="n"/>
      <c r="N2922" s="11" t="n"/>
      <c r="O2922" s="12" t="n"/>
    </row>
    <row r="2923">
      <c r="A2923" s="11" t="n"/>
      <c r="B2923" s="11" t="n"/>
      <c r="C2923" s="11" t="n"/>
      <c r="D2923" s="11" t="n"/>
      <c r="E2923" s="11" t="n"/>
      <c r="F2923" s="11" t="n"/>
      <c r="G2923" s="11" t="n"/>
      <c r="H2923" s="11" t="n"/>
      <c r="I2923" s="11" t="n"/>
      <c r="J2923" s="11" t="n"/>
      <c r="K2923" s="11" t="n"/>
      <c r="L2923" s="11" t="n"/>
      <c r="M2923" s="11" t="n"/>
      <c r="N2923" s="11" t="n"/>
      <c r="O2923" s="12" t="n"/>
    </row>
    <row r="2924">
      <c r="A2924" s="11" t="n"/>
      <c r="B2924" s="11" t="n"/>
      <c r="C2924" s="11" t="n"/>
      <c r="D2924" s="11" t="n"/>
      <c r="E2924" s="11" t="n"/>
      <c r="F2924" s="11" t="n"/>
      <c r="G2924" s="11" t="n"/>
      <c r="H2924" s="11" t="n"/>
      <c r="I2924" s="11" t="n"/>
      <c r="J2924" s="11" t="n"/>
      <c r="K2924" s="11" t="n"/>
      <c r="L2924" s="11" t="n"/>
      <c r="M2924" s="11" t="n"/>
      <c r="N2924" s="11" t="n"/>
      <c r="O2924" s="12" t="n"/>
    </row>
    <row r="2925">
      <c r="A2925" s="11" t="n"/>
      <c r="B2925" s="11" t="n"/>
      <c r="C2925" s="11" t="n"/>
      <c r="D2925" s="11" t="n"/>
      <c r="E2925" s="11" t="n"/>
      <c r="F2925" s="11" t="n"/>
      <c r="G2925" s="11" t="n"/>
      <c r="H2925" s="11" t="n"/>
      <c r="I2925" s="11" t="n"/>
      <c r="J2925" s="11" t="n"/>
      <c r="K2925" s="11" t="n"/>
      <c r="L2925" s="11" t="n"/>
      <c r="M2925" s="11" t="n"/>
      <c r="N2925" s="11" t="n"/>
      <c r="O2925" s="12" t="n"/>
    </row>
    <row r="2926">
      <c r="A2926" s="11" t="n"/>
      <c r="B2926" s="11" t="n"/>
      <c r="C2926" s="11" t="n"/>
      <c r="D2926" s="11" t="n"/>
      <c r="E2926" s="11" t="n"/>
      <c r="F2926" s="11" t="n"/>
      <c r="G2926" s="11" t="n"/>
      <c r="H2926" s="11" t="n"/>
      <c r="I2926" s="11" t="n"/>
      <c r="J2926" s="11" t="n"/>
      <c r="K2926" s="11" t="n"/>
      <c r="L2926" s="11" t="n"/>
      <c r="M2926" s="11" t="n"/>
      <c r="N2926" s="11" t="n"/>
      <c r="O2926" s="12" t="n"/>
    </row>
    <row r="2927">
      <c r="A2927" s="11" t="n"/>
      <c r="B2927" s="11" t="n"/>
      <c r="C2927" s="11" t="n"/>
      <c r="D2927" s="11" t="n"/>
      <c r="E2927" s="11" t="n"/>
      <c r="F2927" s="11" t="n"/>
      <c r="G2927" s="11" t="n"/>
      <c r="H2927" s="11" t="n"/>
      <c r="I2927" s="11" t="n"/>
      <c r="J2927" s="11" t="n"/>
      <c r="K2927" s="11" t="n"/>
      <c r="L2927" s="11" t="n"/>
      <c r="M2927" s="11" t="n"/>
      <c r="N2927" s="11" t="n"/>
      <c r="O2927" s="12" t="n"/>
    </row>
    <row r="2928">
      <c r="A2928" s="11" t="n"/>
      <c r="B2928" s="11" t="n"/>
      <c r="C2928" s="11" t="n"/>
      <c r="D2928" s="11" t="n"/>
      <c r="E2928" s="11" t="n"/>
      <c r="F2928" s="11" t="n"/>
      <c r="G2928" s="11" t="n"/>
      <c r="H2928" s="11" t="n"/>
      <c r="I2928" s="11" t="n"/>
      <c r="J2928" s="11" t="n"/>
      <c r="K2928" s="11" t="n"/>
      <c r="L2928" s="11" t="n"/>
      <c r="M2928" s="11" t="n"/>
      <c r="N2928" s="11" t="n"/>
      <c r="O2928" s="12" t="n"/>
    </row>
    <row r="2929">
      <c r="A2929" s="11" t="n"/>
      <c r="B2929" s="11" t="n"/>
      <c r="C2929" s="11" t="n"/>
      <c r="D2929" s="11" t="n"/>
      <c r="E2929" s="11" t="n"/>
      <c r="F2929" s="11" t="n"/>
      <c r="G2929" s="11" t="n"/>
      <c r="H2929" s="11" t="n"/>
      <c r="I2929" s="11" t="n"/>
      <c r="J2929" s="11" t="n"/>
      <c r="K2929" s="11" t="n"/>
      <c r="L2929" s="11" t="n"/>
      <c r="M2929" s="11" t="n"/>
      <c r="N2929" s="11" t="n"/>
      <c r="O2929" s="12" t="n"/>
    </row>
    <row r="2930">
      <c r="A2930" s="11" t="n"/>
      <c r="B2930" s="11" t="n"/>
      <c r="C2930" s="11" t="n"/>
      <c r="D2930" s="11" t="n"/>
      <c r="E2930" s="11" t="n"/>
      <c r="F2930" s="11" t="n"/>
      <c r="G2930" s="11" t="n"/>
      <c r="H2930" s="11" t="n"/>
      <c r="I2930" s="11" t="n"/>
      <c r="J2930" s="11" t="n"/>
      <c r="K2930" s="11" t="n"/>
      <c r="L2930" s="11" t="n"/>
      <c r="M2930" s="11" t="n"/>
      <c r="N2930" s="11" t="n"/>
      <c r="O2930" s="12" t="n"/>
    </row>
    <row r="2931">
      <c r="A2931" s="11" t="n"/>
      <c r="B2931" s="11" t="n"/>
      <c r="C2931" s="11" t="n"/>
      <c r="D2931" s="11" t="n"/>
      <c r="E2931" s="11" t="n"/>
      <c r="F2931" s="11" t="n"/>
      <c r="G2931" s="11" t="n"/>
      <c r="H2931" s="11" t="n"/>
      <c r="I2931" s="11" t="n"/>
      <c r="J2931" s="11" t="n"/>
      <c r="K2931" s="11" t="n"/>
      <c r="L2931" s="11" t="n"/>
      <c r="M2931" s="11" t="n"/>
      <c r="N2931" s="11" t="n"/>
      <c r="O2931" s="12" t="n"/>
    </row>
    <row r="2932">
      <c r="A2932" s="11" t="n"/>
      <c r="B2932" s="11" t="n"/>
      <c r="C2932" s="11" t="n"/>
      <c r="D2932" s="11" t="n"/>
      <c r="E2932" s="11" t="n"/>
      <c r="F2932" s="11" t="n"/>
      <c r="G2932" s="11" t="n"/>
      <c r="H2932" s="11" t="n"/>
      <c r="I2932" s="11" t="n"/>
      <c r="J2932" s="11" t="n"/>
      <c r="K2932" s="11" t="n"/>
      <c r="L2932" s="11" t="n"/>
      <c r="M2932" s="11" t="n"/>
      <c r="N2932" s="11" t="n"/>
      <c r="O2932" s="12" t="n"/>
    </row>
    <row r="2933">
      <c r="A2933" s="11" t="n"/>
      <c r="B2933" s="11" t="n"/>
      <c r="C2933" s="11" t="n"/>
      <c r="D2933" s="11" t="n"/>
      <c r="E2933" s="11" t="n"/>
      <c r="F2933" s="11" t="n"/>
      <c r="G2933" s="11" t="n"/>
      <c r="H2933" s="11" t="n"/>
      <c r="I2933" s="11" t="n"/>
      <c r="J2933" s="11" t="n"/>
      <c r="K2933" s="11" t="n"/>
      <c r="L2933" s="11" t="n"/>
      <c r="M2933" s="11" t="n"/>
      <c r="N2933" s="11" t="n"/>
      <c r="O2933" s="12" t="n"/>
    </row>
    <row r="2934">
      <c r="A2934" s="11" t="n"/>
      <c r="B2934" s="11" t="n"/>
      <c r="C2934" s="11" t="n"/>
      <c r="D2934" s="11" t="n"/>
      <c r="E2934" s="11" t="n"/>
      <c r="F2934" s="11" t="n"/>
      <c r="G2934" s="11" t="n"/>
      <c r="H2934" s="11" t="n"/>
      <c r="I2934" s="11" t="n"/>
      <c r="J2934" s="11" t="n"/>
      <c r="K2934" s="11" t="n"/>
      <c r="L2934" s="11" t="n"/>
      <c r="M2934" s="11" t="n"/>
      <c r="N2934" s="11" t="n"/>
      <c r="O2934" s="12" t="n"/>
    </row>
    <row r="2935">
      <c r="A2935" s="11" t="n"/>
      <c r="B2935" s="11" t="n"/>
      <c r="C2935" s="11" t="n"/>
      <c r="D2935" s="11" t="n"/>
      <c r="E2935" s="11" t="n"/>
      <c r="F2935" s="11" t="n"/>
      <c r="G2935" s="11" t="n"/>
      <c r="H2935" s="11" t="n"/>
      <c r="I2935" s="11" t="n"/>
      <c r="J2935" s="11" t="n"/>
      <c r="K2935" s="11" t="n"/>
      <c r="L2935" s="11" t="n"/>
      <c r="M2935" s="11" t="n"/>
      <c r="N2935" s="11" t="n"/>
      <c r="O2935" s="12" t="n"/>
    </row>
    <row r="2936">
      <c r="A2936" s="11" t="n"/>
      <c r="B2936" s="11" t="n"/>
      <c r="C2936" s="11" t="n"/>
      <c r="D2936" s="11" t="n"/>
      <c r="E2936" s="11" t="n"/>
      <c r="F2936" s="11" t="n"/>
      <c r="G2936" s="11" t="n"/>
      <c r="H2936" s="11" t="n"/>
      <c r="I2936" s="11" t="n"/>
      <c r="J2936" s="11" t="n"/>
      <c r="K2936" s="11" t="n"/>
      <c r="L2936" s="11" t="n"/>
      <c r="M2936" s="11" t="n"/>
      <c r="N2936" s="11" t="n"/>
      <c r="O2936" s="12" t="n"/>
    </row>
    <row r="2937">
      <c r="A2937" s="11" t="n"/>
      <c r="B2937" s="11" t="n"/>
      <c r="C2937" s="11" t="n"/>
      <c r="D2937" s="11" t="n"/>
      <c r="E2937" s="11" t="n"/>
      <c r="F2937" s="11" t="n"/>
      <c r="G2937" s="11" t="n"/>
      <c r="H2937" s="11" t="n"/>
      <c r="I2937" s="11" t="n"/>
      <c r="J2937" s="11" t="n"/>
      <c r="K2937" s="11" t="n"/>
      <c r="L2937" s="11" t="n"/>
      <c r="M2937" s="11" t="n"/>
      <c r="N2937" s="11" t="n"/>
      <c r="O2937" s="12" t="n"/>
    </row>
    <row r="2938">
      <c r="A2938" s="11" t="n"/>
      <c r="B2938" s="11" t="n"/>
      <c r="C2938" s="11" t="n"/>
      <c r="D2938" s="11" t="n"/>
      <c r="E2938" s="11" t="n"/>
      <c r="F2938" s="11" t="n"/>
      <c r="G2938" s="11" t="n"/>
      <c r="H2938" s="11" t="n"/>
      <c r="I2938" s="11" t="n"/>
      <c r="J2938" s="11" t="n"/>
      <c r="K2938" s="11" t="n"/>
      <c r="L2938" s="11" t="n"/>
      <c r="M2938" s="11" t="n"/>
      <c r="N2938" s="11" t="n"/>
      <c r="O2938" s="12" t="n"/>
    </row>
    <row r="2939">
      <c r="A2939" s="11" t="n"/>
      <c r="B2939" s="11" t="n"/>
      <c r="C2939" s="11" t="n"/>
      <c r="D2939" s="11" t="n"/>
      <c r="E2939" s="11" t="n"/>
      <c r="F2939" s="11" t="n"/>
      <c r="G2939" s="11" t="n"/>
      <c r="H2939" s="11" t="n"/>
      <c r="I2939" s="11" t="n"/>
      <c r="J2939" s="11" t="n"/>
      <c r="K2939" s="11" t="n"/>
      <c r="L2939" s="11" t="n"/>
      <c r="M2939" s="11" t="n"/>
      <c r="N2939" s="11" t="n"/>
      <c r="O2939" s="12" t="n"/>
    </row>
    <row r="2940">
      <c r="A2940" s="11" t="n"/>
      <c r="B2940" s="11" t="n"/>
      <c r="C2940" s="11" t="n"/>
      <c r="D2940" s="11" t="n"/>
      <c r="E2940" s="11" t="n"/>
      <c r="F2940" s="11" t="n"/>
      <c r="G2940" s="11" t="n"/>
      <c r="H2940" s="11" t="n"/>
      <c r="I2940" s="11" t="n"/>
      <c r="J2940" s="11" t="n"/>
      <c r="K2940" s="11" t="n"/>
      <c r="L2940" s="11" t="n"/>
      <c r="M2940" s="11" t="n"/>
      <c r="N2940" s="11" t="n"/>
      <c r="O2940" s="12" t="n"/>
    </row>
    <row r="2941">
      <c r="A2941" s="11" t="n"/>
      <c r="B2941" s="11" t="n"/>
      <c r="C2941" s="11" t="n"/>
      <c r="D2941" s="11" t="n"/>
      <c r="E2941" s="11" t="n"/>
      <c r="F2941" s="11" t="n"/>
      <c r="G2941" s="11" t="n"/>
      <c r="H2941" s="11" t="n"/>
      <c r="I2941" s="11" t="n"/>
      <c r="J2941" s="11" t="n"/>
      <c r="K2941" s="11" t="n"/>
      <c r="L2941" s="11" t="n"/>
      <c r="M2941" s="11" t="n"/>
      <c r="N2941" s="11" t="n"/>
      <c r="O2941" s="12" t="n"/>
    </row>
    <row r="2942">
      <c r="A2942" s="11" t="n"/>
      <c r="B2942" s="11" t="n"/>
      <c r="C2942" s="11" t="n"/>
      <c r="D2942" s="11" t="n"/>
      <c r="E2942" s="11" t="n"/>
      <c r="F2942" s="11" t="n"/>
      <c r="G2942" s="11" t="n"/>
      <c r="H2942" s="11" t="n"/>
      <c r="I2942" s="11" t="n"/>
      <c r="J2942" s="11" t="n"/>
      <c r="K2942" s="11" t="n"/>
      <c r="L2942" s="11" t="n"/>
      <c r="M2942" s="11" t="n"/>
      <c r="N2942" s="11" t="n"/>
      <c r="O2942" s="12" t="n"/>
    </row>
    <row r="2943">
      <c r="A2943" s="11" t="n"/>
      <c r="B2943" s="11" t="n"/>
      <c r="C2943" s="11" t="n"/>
      <c r="D2943" s="11" t="n"/>
      <c r="E2943" s="11" t="n"/>
      <c r="F2943" s="11" t="n"/>
      <c r="G2943" s="11" t="n"/>
      <c r="H2943" s="11" t="n"/>
      <c r="I2943" s="11" t="n"/>
      <c r="J2943" s="11" t="n"/>
      <c r="K2943" s="11" t="n"/>
      <c r="L2943" s="11" t="n"/>
      <c r="M2943" s="11" t="n"/>
      <c r="N2943" s="11" t="n"/>
      <c r="O2943" s="12" t="n"/>
    </row>
    <row r="2944">
      <c r="A2944" s="11" t="n"/>
      <c r="B2944" s="11" t="n"/>
      <c r="C2944" s="11" t="n"/>
      <c r="D2944" s="11" t="n"/>
      <c r="E2944" s="11" t="n"/>
      <c r="F2944" s="11" t="n"/>
      <c r="G2944" s="11" t="n"/>
      <c r="H2944" s="11" t="n"/>
      <c r="I2944" s="11" t="n"/>
      <c r="J2944" s="11" t="n"/>
      <c r="K2944" s="11" t="n"/>
      <c r="L2944" s="11" t="n"/>
      <c r="M2944" s="11" t="n"/>
      <c r="N2944" s="11" t="n"/>
      <c r="O2944" s="12" t="n"/>
    </row>
    <row r="2945">
      <c r="A2945" s="11" t="n"/>
      <c r="B2945" s="11" t="n"/>
      <c r="C2945" s="11" t="n"/>
      <c r="D2945" s="11" t="n"/>
      <c r="E2945" s="11" t="n"/>
      <c r="F2945" s="11" t="n"/>
      <c r="G2945" s="11" t="n"/>
      <c r="H2945" s="11" t="n"/>
      <c r="I2945" s="11" t="n"/>
      <c r="J2945" s="11" t="n"/>
      <c r="K2945" s="11" t="n"/>
      <c r="L2945" s="11" t="n"/>
      <c r="M2945" s="11" t="n"/>
      <c r="N2945" s="11" t="n"/>
      <c r="O2945" s="12" t="n"/>
    </row>
    <row r="2946">
      <c r="A2946" s="11" t="n"/>
      <c r="B2946" s="11" t="n"/>
      <c r="C2946" s="11" t="n"/>
      <c r="D2946" s="11" t="n"/>
      <c r="E2946" s="11" t="n"/>
      <c r="F2946" s="11" t="n"/>
      <c r="G2946" s="11" t="n"/>
      <c r="H2946" s="11" t="n"/>
      <c r="I2946" s="11" t="n"/>
      <c r="J2946" s="11" t="n"/>
      <c r="K2946" s="11" t="n"/>
      <c r="L2946" s="11" t="n"/>
      <c r="M2946" s="11" t="n"/>
      <c r="N2946" s="11" t="n"/>
      <c r="O2946" s="12" t="n"/>
    </row>
    <row r="2947">
      <c r="A2947" s="11" t="n"/>
      <c r="B2947" s="11" t="n"/>
      <c r="C2947" s="11" t="n"/>
      <c r="D2947" s="11" t="n"/>
      <c r="E2947" s="11" t="n"/>
      <c r="F2947" s="11" t="n"/>
      <c r="G2947" s="11" t="n"/>
      <c r="H2947" s="11" t="n"/>
      <c r="I2947" s="11" t="n"/>
      <c r="J2947" s="11" t="n"/>
      <c r="K2947" s="11" t="n"/>
      <c r="L2947" s="11" t="n"/>
      <c r="M2947" s="11" t="n"/>
      <c r="N2947" s="11" t="n"/>
      <c r="O2947" s="12" t="n"/>
    </row>
    <row r="2948">
      <c r="A2948" s="11" t="n"/>
      <c r="B2948" s="11" t="n"/>
      <c r="C2948" s="11" t="n"/>
      <c r="D2948" s="11" t="n"/>
      <c r="E2948" s="11" t="n"/>
      <c r="F2948" s="11" t="n"/>
      <c r="G2948" s="11" t="n"/>
      <c r="H2948" s="11" t="n"/>
      <c r="I2948" s="11" t="n"/>
      <c r="J2948" s="11" t="n"/>
      <c r="K2948" s="11" t="n"/>
      <c r="L2948" s="11" t="n"/>
      <c r="M2948" s="11" t="n"/>
      <c r="N2948" s="11" t="n"/>
      <c r="O2948" s="12" t="n"/>
    </row>
    <row r="2949">
      <c r="A2949" s="11" t="n"/>
      <c r="B2949" s="11" t="n"/>
      <c r="C2949" s="11" t="n"/>
      <c r="D2949" s="11" t="n"/>
      <c r="E2949" s="11" t="n"/>
      <c r="F2949" s="11" t="n"/>
      <c r="G2949" s="11" t="n"/>
      <c r="H2949" s="11" t="n"/>
      <c r="I2949" s="11" t="n"/>
      <c r="J2949" s="11" t="n"/>
      <c r="K2949" s="11" t="n"/>
      <c r="L2949" s="11" t="n"/>
      <c r="M2949" s="11" t="n"/>
      <c r="N2949" s="11" t="n"/>
      <c r="O2949" s="12" t="n"/>
    </row>
    <row r="2950">
      <c r="A2950" s="11" t="n"/>
      <c r="B2950" s="11" t="n"/>
      <c r="C2950" s="11" t="n"/>
      <c r="D2950" s="11" t="n"/>
      <c r="E2950" s="11" t="n"/>
      <c r="F2950" s="11" t="n"/>
      <c r="G2950" s="11" t="n"/>
      <c r="H2950" s="11" t="n"/>
      <c r="I2950" s="11" t="n"/>
      <c r="J2950" s="11" t="n"/>
      <c r="K2950" s="11" t="n"/>
      <c r="L2950" s="11" t="n"/>
      <c r="M2950" s="11" t="n"/>
      <c r="N2950" s="11" t="n"/>
      <c r="O2950" s="12" t="n"/>
    </row>
    <row r="2951">
      <c r="A2951" s="11" t="n"/>
      <c r="B2951" s="11" t="n"/>
      <c r="C2951" s="11" t="n"/>
      <c r="D2951" s="11" t="n"/>
      <c r="E2951" s="11" t="n"/>
      <c r="F2951" s="11" t="n"/>
      <c r="G2951" s="11" t="n"/>
      <c r="H2951" s="11" t="n"/>
      <c r="I2951" s="11" t="n"/>
      <c r="J2951" s="11" t="n"/>
      <c r="K2951" s="11" t="n"/>
      <c r="L2951" s="11" t="n"/>
      <c r="M2951" s="11" t="n"/>
      <c r="N2951" s="11" t="n"/>
      <c r="O2951" s="12" t="n"/>
    </row>
    <row r="2952">
      <c r="A2952" s="11" t="n"/>
      <c r="B2952" s="11" t="n"/>
      <c r="C2952" s="11" t="n"/>
      <c r="D2952" s="11" t="n"/>
      <c r="E2952" s="11" t="n"/>
      <c r="F2952" s="11" t="n"/>
      <c r="G2952" s="11" t="n"/>
      <c r="H2952" s="11" t="n"/>
      <c r="I2952" s="11" t="n"/>
      <c r="J2952" s="11" t="n"/>
      <c r="K2952" s="11" t="n"/>
      <c r="L2952" s="11" t="n"/>
      <c r="M2952" s="11" t="n"/>
      <c r="N2952" s="11" t="n"/>
      <c r="O2952" s="12" t="n"/>
    </row>
    <row r="2953">
      <c r="A2953" s="11" t="n"/>
      <c r="B2953" s="11" t="n"/>
      <c r="C2953" s="11" t="n"/>
      <c r="D2953" s="11" t="n"/>
      <c r="E2953" s="11" t="n"/>
      <c r="F2953" s="11" t="n"/>
      <c r="G2953" s="11" t="n"/>
      <c r="H2953" s="11" t="n"/>
      <c r="I2953" s="11" t="n"/>
      <c r="J2953" s="11" t="n"/>
      <c r="K2953" s="11" t="n"/>
      <c r="L2953" s="11" t="n"/>
      <c r="M2953" s="11" t="n"/>
      <c r="N2953" s="11" t="n"/>
      <c r="O2953" s="12" t="n"/>
    </row>
    <row r="2954">
      <c r="A2954" s="11" t="n"/>
      <c r="B2954" s="11" t="n"/>
      <c r="C2954" s="11" t="n"/>
      <c r="D2954" s="11" t="n"/>
      <c r="E2954" s="11" t="n"/>
      <c r="F2954" s="11" t="n"/>
      <c r="G2954" s="11" t="n"/>
      <c r="H2954" s="11" t="n"/>
      <c r="I2954" s="11" t="n"/>
      <c r="J2954" s="11" t="n"/>
      <c r="K2954" s="11" t="n"/>
      <c r="L2954" s="11" t="n"/>
      <c r="M2954" s="11" t="n"/>
      <c r="N2954" s="11" t="n"/>
      <c r="O2954" s="12" t="n"/>
    </row>
    <row r="2955">
      <c r="A2955" s="11" t="n"/>
      <c r="B2955" s="11" t="n"/>
      <c r="C2955" s="11" t="n"/>
      <c r="D2955" s="11" t="n"/>
      <c r="E2955" s="11" t="n"/>
      <c r="F2955" s="11" t="n"/>
      <c r="G2955" s="11" t="n"/>
      <c r="H2955" s="11" t="n"/>
      <c r="I2955" s="11" t="n"/>
      <c r="J2955" s="11" t="n"/>
      <c r="K2955" s="11" t="n"/>
      <c r="L2955" s="11" t="n"/>
      <c r="M2955" s="11" t="n"/>
      <c r="N2955" s="11" t="n"/>
      <c r="O2955" s="12" t="n"/>
    </row>
    <row r="2956">
      <c r="A2956" s="11" t="n"/>
      <c r="B2956" s="11" t="n"/>
      <c r="C2956" s="11" t="n"/>
      <c r="D2956" s="11" t="n"/>
      <c r="E2956" s="11" t="n"/>
      <c r="F2956" s="11" t="n"/>
      <c r="G2956" s="11" t="n"/>
      <c r="H2956" s="11" t="n"/>
      <c r="I2956" s="11" t="n"/>
      <c r="J2956" s="11" t="n"/>
      <c r="K2956" s="11" t="n"/>
      <c r="L2956" s="11" t="n"/>
      <c r="M2956" s="11" t="n"/>
      <c r="N2956" s="11" t="n"/>
      <c r="O2956" s="12" t="n"/>
    </row>
    <row r="2957">
      <c r="A2957" s="11" t="n"/>
      <c r="B2957" s="11" t="n"/>
      <c r="C2957" s="11" t="n"/>
      <c r="D2957" s="11" t="n"/>
      <c r="E2957" s="11" t="n"/>
      <c r="F2957" s="11" t="n"/>
      <c r="G2957" s="11" t="n"/>
      <c r="H2957" s="11" t="n"/>
      <c r="I2957" s="11" t="n"/>
      <c r="J2957" s="11" t="n"/>
      <c r="K2957" s="11" t="n"/>
      <c r="L2957" s="11" t="n"/>
      <c r="M2957" s="11" t="n"/>
      <c r="N2957" s="11" t="n"/>
      <c r="O2957" s="12" t="n"/>
    </row>
    <row r="2958">
      <c r="A2958" s="11" t="n"/>
      <c r="B2958" s="11" t="n"/>
      <c r="C2958" s="11" t="n"/>
      <c r="D2958" s="11" t="n"/>
      <c r="E2958" s="11" t="n"/>
      <c r="F2958" s="11" t="n"/>
      <c r="G2958" s="11" t="n"/>
      <c r="H2958" s="11" t="n"/>
      <c r="I2958" s="11" t="n"/>
      <c r="J2958" s="11" t="n"/>
      <c r="K2958" s="11" t="n"/>
      <c r="L2958" s="11" t="n"/>
      <c r="M2958" s="11" t="n"/>
      <c r="N2958" s="11" t="n"/>
      <c r="O2958" s="12" t="n"/>
    </row>
    <row r="2959">
      <c r="A2959" s="11" t="n"/>
      <c r="B2959" s="11" t="n"/>
      <c r="C2959" s="11" t="n"/>
      <c r="D2959" s="11" t="n"/>
      <c r="E2959" s="11" t="n"/>
      <c r="F2959" s="11" t="n"/>
      <c r="G2959" s="11" t="n"/>
      <c r="H2959" s="11" t="n"/>
      <c r="I2959" s="11" t="n"/>
      <c r="J2959" s="11" t="n"/>
      <c r="K2959" s="11" t="n"/>
      <c r="L2959" s="11" t="n"/>
      <c r="M2959" s="11" t="n"/>
      <c r="N2959" s="11" t="n"/>
      <c r="O2959" s="12" t="n"/>
    </row>
    <row r="2960">
      <c r="A2960" s="11" t="n"/>
      <c r="B2960" s="11" t="n"/>
      <c r="C2960" s="11" t="n"/>
      <c r="D2960" s="11" t="n"/>
      <c r="E2960" s="11" t="n"/>
      <c r="F2960" s="11" t="n"/>
      <c r="G2960" s="11" t="n"/>
      <c r="H2960" s="11" t="n"/>
      <c r="I2960" s="11" t="n"/>
      <c r="J2960" s="11" t="n"/>
      <c r="K2960" s="11" t="n"/>
      <c r="L2960" s="11" t="n"/>
      <c r="M2960" s="11" t="n"/>
      <c r="N2960" s="11" t="n"/>
      <c r="O2960" s="12" t="n"/>
    </row>
    <row r="2961">
      <c r="A2961" s="11" t="n"/>
      <c r="B2961" s="11" t="n"/>
      <c r="C2961" s="11" t="n"/>
      <c r="D2961" s="11" t="n"/>
      <c r="E2961" s="11" t="n"/>
      <c r="F2961" s="11" t="n"/>
      <c r="G2961" s="11" t="n"/>
      <c r="H2961" s="11" t="n"/>
      <c r="I2961" s="11" t="n"/>
      <c r="J2961" s="11" t="n"/>
      <c r="K2961" s="11" t="n"/>
      <c r="L2961" s="11" t="n"/>
      <c r="M2961" s="11" t="n"/>
      <c r="N2961" s="11" t="n"/>
      <c r="O2961" s="12" t="n"/>
    </row>
    <row r="2962">
      <c r="A2962" s="11" t="n"/>
      <c r="B2962" s="11" t="n"/>
      <c r="C2962" s="11" t="n"/>
      <c r="D2962" s="11" t="n"/>
      <c r="E2962" s="11" t="n"/>
      <c r="F2962" s="11" t="n"/>
      <c r="G2962" s="11" t="n"/>
      <c r="H2962" s="11" t="n"/>
      <c r="I2962" s="11" t="n"/>
      <c r="J2962" s="11" t="n"/>
      <c r="K2962" s="11" t="n"/>
      <c r="L2962" s="11" t="n"/>
      <c r="M2962" s="11" t="n"/>
      <c r="N2962" s="11" t="n"/>
      <c r="O2962" s="12" t="n"/>
    </row>
    <row r="2963">
      <c r="A2963" s="11" t="n"/>
      <c r="B2963" s="11" t="n"/>
      <c r="C2963" s="11" t="n"/>
      <c r="D2963" s="11" t="n"/>
      <c r="E2963" s="11" t="n"/>
      <c r="F2963" s="11" t="n"/>
      <c r="G2963" s="11" t="n"/>
      <c r="H2963" s="11" t="n"/>
      <c r="I2963" s="11" t="n"/>
      <c r="J2963" s="11" t="n"/>
      <c r="K2963" s="11" t="n"/>
      <c r="L2963" s="11" t="n"/>
      <c r="M2963" s="11" t="n"/>
      <c r="N2963" s="11" t="n"/>
      <c r="O2963" s="12" t="n"/>
    </row>
    <row r="2964">
      <c r="A2964" s="11" t="n"/>
      <c r="B2964" s="11" t="n"/>
      <c r="C2964" s="11" t="n"/>
      <c r="D2964" s="11" t="n"/>
      <c r="E2964" s="11" t="n"/>
      <c r="F2964" s="11" t="n"/>
      <c r="G2964" s="11" t="n"/>
      <c r="H2964" s="11" t="n"/>
      <c r="I2964" s="11" t="n"/>
      <c r="J2964" s="11" t="n"/>
      <c r="K2964" s="11" t="n"/>
      <c r="L2964" s="11" t="n"/>
      <c r="M2964" s="11" t="n"/>
      <c r="N2964" s="11" t="n"/>
      <c r="O2964" s="12" t="n"/>
    </row>
    <row r="2965">
      <c r="A2965" s="11" t="n"/>
      <c r="B2965" s="11" t="n"/>
      <c r="C2965" s="11" t="n"/>
      <c r="D2965" s="11" t="n"/>
      <c r="E2965" s="11" t="n"/>
      <c r="F2965" s="11" t="n"/>
      <c r="G2965" s="11" t="n"/>
      <c r="H2965" s="11" t="n"/>
      <c r="I2965" s="11" t="n"/>
      <c r="J2965" s="11" t="n"/>
      <c r="K2965" s="11" t="n"/>
      <c r="L2965" s="11" t="n"/>
      <c r="M2965" s="11" t="n"/>
      <c r="N2965" s="11" t="n"/>
      <c r="O2965" s="12" t="n"/>
    </row>
    <row r="2966">
      <c r="A2966" s="11" t="n"/>
      <c r="B2966" s="11" t="n"/>
      <c r="C2966" s="11" t="n"/>
      <c r="D2966" s="11" t="n"/>
      <c r="E2966" s="11" t="n"/>
      <c r="F2966" s="11" t="n"/>
      <c r="G2966" s="11" t="n"/>
      <c r="H2966" s="11" t="n"/>
      <c r="I2966" s="11" t="n"/>
      <c r="J2966" s="11" t="n"/>
      <c r="K2966" s="11" t="n"/>
      <c r="L2966" s="11" t="n"/>
      <c r="M2966" s="11" t="n"/>
      <c r="N2966" s="11" t="n"/>
      <c r="O2966" s="12" t="n"/>
    </row>
    <row r="2967">
      <c r="A2967" s="11" t="n"/>
      <c r="B2967" s="11" t="n"/>
      <c r="C2967" s="11" t="n"/>
      <c r="D2967" s="11" t="n"/>
      <c r="E2967" s="11" t="n"/>
      <c r="F2967" s="11" t="n"/>
      <c r="G2967" s="11" t="n"/>
      <c r="H2967" s="11" t="n"/>
      <c r="I2967" s="11" t="n"/>
      <c r="J2967" s="11" t="n"/>
      <c r="K2967" s="11" t="n"/>
      <c r="L2967" s="11" t="n"/>
      <c r="M2967" s="11" t="n"/>
      <c r="N2967" s="11" t="n"/>
      <c r="O2967" s="12" t="n"/>
    </row>
    <row r="2968">
      <c r="A2968" s="11" t="n"/>
      <c r="B2968" s="11" t="n"/>
      <c r="C2968" s="11" t="n"/>
      <c r="D2968" s="11" t="n"/>
      <c r="E2968" s="11" t="n"/>
      <c r="F2968" s="11" t="n"/>
      <c r="G2968" s="11" t="n"/>
      <c r="H2968" s="11" t="n"/>
      <c r="I2968" s="11" t="n"/>
      <c r="J2968" s="11" t="n"/>
      <c r="K2968" s="11" t="n"/>
      <c r="L2968" s="11" t="n"/>
      <c r="M2968" s="11" t="n"/>
      <c r="N2968" s="11" t="n"/>
      <c r="O2968" s="12" t="n"/>
    </row>
    <row r="2969">
      <c r="A2969" s="11" t="n"/>
      <c r="B2969" s="11" t="n"/>
      <c r="C2969" s="11" t="n"/>
      <c r="D2969" s="11" t="n"/>
      <c r="E2969" s="11" t="n"/>
      <c r="F2969" s="11" t="n"/>
      <c r="G2969" s="11" t="n"/>
      <c r="H2969" s="11" t="n"/>
      <c r="I2969" s="11" t="n"/>
      <c r="J2969" s="11" t="n"/>
      <c r="K2969" s="11" t="n"/>
      <c r="L2969" s="11" t="n"/>
      <c r="M2969" s="11" t="n"/>
      <c r="N2969" s="11" t="n"/>
      <c r="O2969" s="12" t="n"/>
    </row>
    <row r="2970">
      <c r="A2970" s="11" t="n"/>
      <c r="B2970" s="11" t="n"/>
      <c r="C2970" s="11" t="n"/>
      <c r="D2970" s="11" t="n"/>
      <c r="E2970" s="11" t="n"/>
      <c r="F2970" s="11" t="n"/>
      <c r="G2970" s="11" t="n"/>
      <c r="H2970" s="11" t="n"/>
      <c r="I2970" s="11" t="n"/>
      <c r="J2970" s="11" t="n"/>
      <c r="K2970" s="11" t="n"/>
      <c r="L2970" s="11" t="n"/>
      <c r="M2970" s="11" t="n"/>
      <c r="N2970" s="11" t="n"/>
      <c r="O2970" s="12" t="n"/>
    </row>
    <row r="2971">
      <c r="A2971" s="11" t="n"/>
      <c r="B2971" s="11" t="n"/>
      <c r="C2971" s="11" t="n"/>
      <c r="D2971" s="11" t="n"/>
      <c r="E2971" s="11" t="n"/>
      <c r="F2971" s="11" t="n"/>
      <c r="G2971" s="11" t="n"/>
      <c r="H2971" s="11" t="n"/>
      <c r="I2971" s="11" t="n"/>
      <c r="J2971" s="11" t="n"/>
      <c r="K2971" s="11" t="n"/>
      <c r="L2971" s="11" t="n"/>
      <c r="M2971" s="11" t="n"/>
      <c r="N2971" s="11" t="n"/>
      <c r="O2971" s="12" t="n"/>
    </row>
    <row r="2972">
      <c r="A2972" s="11" t="n"/>
      <c r="B2972" s="11" t="n"/>
      <c r="C2972" s="11" t="n"/>
      <c r="D2972" s="11" t="n"/>
      <c r="E2972" s="11" t="n"/>
      <c r="F2972" s="11" t="n"/>
      <c r="G2972" s="11" t="n"/>
      <c r="H2972" s="11" t="n"/>
      <c r="I2972" s="11" t="n"/>
      <c r="J2972" s="11" t="n"/>
      <c r="K2972" s="11" t="n"/>
      <c r="L2972" s="11" t="n"/>
      <c r="M2972" s="11" t="n"/>
      <c r="N2972" s="11" t="n"/>
      <c r="O2972" s="12" t="n"/>
    </row>
    <row r="2973">
      <c r="A2973" s="11" t="n"/>
      <c r="B2973" s="11" t="n"/>
      <c r="C2973" s="11" t="n"/>
      <c r="D2973" s="11" t="n"/>
      <c r="E2973" s="11" t="n"/>
      <c r="F2973" s="11" t="n"/>
      <c r="G2973" s="11" t="n"/>
      <c r="H2973" s="11" t="n"/>
      <c r="I2973" s="11" t="n"/>
      <c r="J2973" s="11" t="n"/>
      <c r="K2973" s="11" t="n"/>
      <c r="L2973" s="11" t="n"/>
      <c r="M2973" s="11" t="n"/>
      <c r="N2973" s="11" t="n"/>
      <c r="O2973" s="12" t="n"/>
    </row>
    <row r="2974">
      <c r="A2974" s="11" t="n"/>
      <c r="B2974" s="11" t="n"/>
      <c r="C2974" s="11" t="n"/>
      <c r="D2974" s="11" t="n"/>
      <c r="E2974" s="11" t="n"/>
      <c r="F2974" s="11" t="n"/>
      <c r="G2974" s="11" t="n"/>
      <c r="H2974" s="11" t="n"/>
      <c r="I2974" s="11" t="n"/>
      <c r="J2974" s="11" t="n"/>
      <c r="K2974" s="11" t="n"/>
      <c r="L2974" s="11" t="n"/>
      <c r="M2974" s="11" t="n"/>
      <c r="N2974" s="11" t="n"/>
      <c r="O2974" s="12" t="n"/>
    </row>
    <row r="2975">
      <c r="A2975" s="11" t="n"/>
      <c r="B2975" s="11" t="n"/>
      <c r="C2975" s="11" t="n"/>
      <c r="D2975" s="11" t="n"/>
      <c r="E2975" s="11" t="n"/>
      <c r="F2975" s="11" t="n"/>
      <c r="G2975" s="11" t="n"/>
      <c r="H2975" s="11" t="n"/>
      <c r="I2975" s="11" t="n"/>
      <c r="J2975" s="11" t="n"/>
      <c r="K2975" s="11" t="n"/>
      <c r="L2975" s="11" t="n"/>
      <c r="M2975" s="11" t="n"/>
      <c r="N2975" s="11" t="n"/>
      <c r="O2975" s="12" t="n"/>
    </row>
    <row r="2976">
      <c r="A2976" s="11" t="n"/>
      <c r="B2976" s="11" t="n"/>
      <c r="C2976" s="11" t="n"/>
      <c r="D2976" s="11" t="n"/>
      <c r="E2976" s="11" t="n"/>
      <c r="F2976" s="11" t="n"/>
      <c r="G2976" s="11" t="n"/>
      <c r="H2976" s="11" t="n"/>
      <c r="I2976" s="11" t="n"/>
      <c r="J2976" s="11" t="n"/>
      <c r="K2976" s="11" t="n"/>
      <c r="L2976" s="11" t="n"/>
      <c r="M2976" s="11" t="n"/>
      <c r="N2976" s="11" t="n"/>
      <c r="O2976" s="12" t="n"/>
    </row>
    <row r="2977">
      <c r="A2977" s="11" t="n"/>
      <c r="B2977" s="11" t="n"/>
      <c r="C2977" s="11" t="n"/>
      <c r="D2977" s="11" t="n"/>
      <c r="E2977" s="11" t="n"/>
      <c r="F2977" s="11" t="n"/>
      <c r="G2977" s="11" t="n"/>
      <c r="H2977" s="11" t="n"/>
      <c r="I2977" s="11" t="n"/>
      <c r="J2977" s="11" t="n"/>
      <c r="K2977" s="11" t="n"/>
      <c r="L2977" s="11" t="n"/>
      <c r="M2977" s="11" t="n"/>
      <c r="N2977" s="11" t="n"/>
      <c r="O2977" s="12" t="n"/>
    </row>
    <row r="2978">
      <c r="A2978" s="11" t="n"/>
      <c r="B2978" s="11" t="n"/>
      <c r="C2978" s="11" t="n"/>
      <c r="D2978" s="11" t="n"/>
      <c r="E2978" s="11" t="n"/>
      <c r="F2978" s="11" t="n"/>
      <c r="G2978" s="11" t="n"/>
      <c r="H2978" s="11" t="n"/>
      <c r="I2978" s="11" t="n"/>
      <c r="J2978" s="11" t="n"/>
      <c r="K2978" s="11" t="n"/>
      <c r="L2978" s="11" t="n"/>
      <c r="M2978" s="11" t="n"/>
      <c r="N2978" s="11" t="n"/>
      <c r="O2978" s="12" t="n"/>
    </row>
    <row r="2979">
      <c r="A2979" s="11" t="n"/>
      <c r="B2979" s="11" t="n"/>
      <c r="C2979" s="11" t="n"/>
      <c r="D2979" s="11" t="n"/>
      <c r="E2979" s="11" t="n"/>
      <c r="F2979" s="11" t="n"/>
      <c r="G2979" s="11" t="n"/>
      <c r="H2979" s="11" t="n"/>
      <c r="I2979" s="11" t="n"/>
      <c r="J2979" s="11" t="n"/>
      <c r="K2979" s="11" t="n"/>
      <c r="L2979" s="11" t="n"/>
      <c r="M2979" s="11" t="n"/>
      <c r="N2979" s="11" t="n"/>
      <c r="O2979" s="12" t="n"/>
    </row>
    <row r="2980">
      <c r="A2980" s="11" t="n"/>
      <c r="B2980" s="11" t="n"/>
      <c r="C2980" s="11" t="n"/>
      <c r="D2980" s="11" t="n"/>
      <c r="E2980" s="11" t="n"/>
      <c r="F2980" s="11" t="n"/>
      <c r="G2980" s="11" t="n"/>
      <c r="H2980" s="11" t="n"/>
      <c r="I2980" s="11" t="n"/>
      <c r="J2980" s="11" t="n"/>
      <c r="K2980" s="11" t="n"/>
      <c r="L2980" s="11" t="n"/>
      <c r="M2980" s="11" t="n"/>
      <c r="N2980" s="11" t="n"/>
      <c r="O2980" s="12" t="n"/>
    </row>
    <row r="2981">
      <c r="A2981" s="11" t="n"/>
      <c r="B2981" s="11" t="n"/>
      <c r="C2981" s="11" t="n"/>
      <c r="D2981" s="11" t="n"/>
      <c r="E2981" s="11" t="n"/>
      <c r="F2981" s="11" t="n"/>
      <c r="G2981" s="11" t="n"/>
      <c r="H2981" s="11" t="n"/>
      <c r="I2981" s="11" t="n"/>
      <c r="J2981" s="11" t="n"/>
      <c r="K2981" s="11" t="n"/>
      <c r="L2981" s="11" t="n"/>
      <c r="M2981" s="11" t="n"/>
      <c r="N2981" s="11" t="n"/>
      <c r="O2981" s="12" t="n"/>
    </row>
    <row r="2982">
      <c r="A2982" s="11" t="n"/>
      <c r="B2982" s="11" t="n"/>
      <c r="C2982" s="11" t="n"/>
      <c r="D2982" s="11" t="n"/>
      <c r="E2982" s="11" t="n"/>
      <c r="F2982" s="11" t="n"/>
      <c r="G2982" s="11" t="n"/>
      <c r="H2982" s="11" t="n"/>
      <c r="I2982" s="11" t="n"/>
      <c r="J2982" s="11" t="n"/>
      <c r="K2982" s="11" t="n"/>
      <c r="L2982" s="11" t="n"/>
      <c r="M2982" s="11" t="n"/>
      <c r="N2982" s="11" t="n"/>
      <c r="O2982" s="12" t="n"/>
    </row>
    <row r="2983">
      <c r="A2983" s="11" t="n"/>
      <c r="B2983" s="11" t="n"/>
      <c r="C2983" s="11" t="n"/>
      <c r="D2983" s="11" t="n"/>
      <c r="E2983" s="11" t="n"/>
      <c r="F2983" s="11" t="n"/>
      <c r="G2983" s="11" t="n"/>
      <c r="H2983" s="11" t="n"/>
      <c r="I2983" s="11" t="n"/>
      <c r="J2983" s="11" t="n"/>
      <c r="K2983" s="11" t="n"/>
      <c r="L2983" s="11" t="n"/>
      <c r="M2983" s="11" t="n"/>
      <c r="N2983" s="11" t="n"/>
      <c r="O2983" s="12" t="n"/>
    </row>
    <row r="2984">
      <c r="A2984" s="11" t="n"/>
      <c r="B2984" s="11" t="n"/>
      <c r="C2984" s="11" t="n"/>
      <c r="D2984" s="11" t="n"/>
      <c r="E2984" s="11" t="n"/>
      <c r="F2984" s="11" t="n"/>
      <c r="G2984" s="11" t="n"/>
      <c r="H2984" s="11" t="n"/>
      <c r="I2984" s="11" t="n"/>
      <c r="J2984" s="11" t="n"/>
      <c r="K2984" s="11" t="n"/>
      <c r="L2984" s="11" t="n"/>
      <c r="M2984" s="11" t="n"/>
      <c r="N2984" s="11" t="n"/>
      <c r="O2984" s="12" t="n"/>
    </row>
    <row r="2985">
      <c r="A2985" s="11" t="n"/>
      <c r="B2985" s="11" t="n"/>
      <c r="C2985" s="11" t="n"/>
      <c r="D2985" s="11" t="n"/>
      <c r="E2985" s="11" t="n"/>
      <c r="F2985" s="11" t="n"/>
      <c r="G2985" s="11" t="n"/>
      <c r="H2985" s="11" t="n"/>
      <c r="I2985" s="11" t="n"/>
      <c r="J2985" s="11" t="n"/>
      <c r="K2985" s="11" t="n"/>
      <c r="L2985" s="11" t="n"/>
      <c r="M2985" s="11" t="n"/>
      <c r="N2985" s="11" t="n"/>
      <c r="O2985" s="12" t="n"/>
    </row>
    <row r="2986">
      <c r="A2986" s="11" t="n"/>
      <c r="B2986" s="11" t="n"/>
      <c r="C2986" s="11" t="n"/>
      <c r="D2986" s="11" t="n"/>
      <c r="E2986" s="11" t="n"/>
      <c r="F2986" s="11" t="n"/>
      <c r="G2986" s="11" t="n"/>
      <c r="H2986" s="11" t="n"/>
      <c r="I2986" s="11" t="n"/>
      <c r="J2986" s="11" t="n"/>
      <c r="K2986" s="11" t="n"/>
      <c r="L2986" s="11" t="n"/>
      <c r="M2986" s="11" t="n"/>
      <c r="N2986" s="11" t="n"/>
      <c r="O2986" s="12" t="n"/>
    </row>
    <row r="2987">
      <c r="A2987" s="11" t="n"/>
      <c r="B2987" s="11" t="n"/>
      <c r="C2987" s="11" t="n"/>
      <c r="D2987" s="11" t="n"/>
      <c r="E2987" s="11" t="n"/>
      <c r="F2987" s="11" t="n"/>
      <c r="G2987" s="11" t="n"/>
      <c r="H2987" s="11" t="n"/>
      <c r="I2987" s="11" t="n"/>
      <c r="J2987" s="11" t="n"/>
      <c r="K2987" s="11" t="n"/>
      <c r="L2987" s="11" t="n"/>
      <c r="M2987" s="11" t="n"/>
      <c r="N2987" s="11" t="n"/>
      <c r="O2987" s="12" t="n"/>
    </row>
    <row r="2988">
      <c r="A2988" s="11" t="n"/>
      <c r="B2988" s="11" t="n"/>
      <c r="C2988" s="11" t="n"/>
      <c r="D2988" s="11" t="n"/>
      <c r="E2988" s="11" t="n"/>
      <c r="F2988" s="11" t="n"/>
      <c r="G2988" s="11" t="n"/>
      <c r="H2988" s="11" t="n"/>
      <c r="I2988" s="11" t="n"/>
      <c r="J2988" s="11" t="n"/>
      <c r="K2988" s="11" t="n"/>
      <c r="L2988" s="11" t="n"/>
      <c r="M2988" s="11" t="n"/>
      <c r="N2988" s="11" t="n"/>
      <c r="O2988" s="12" t="n"/>
    </row>
    <row r="2989">
      <c r="A2989" s="11" t="n"/>
      <c r="B2989" s="11" t="n"/>
      <c r="C2989" s="11" t="n"/>
      <c r="D2989" s="11" t="n"/>
      <c r="E2989" s="11" t="n"/>
      <c r="F2989" s="11" t="n"/>
      <c r="G2989" s="11" t="n"/>
      <c r="H2989" s="11" t="n"/>
      <c r="I2989" s="11" t="n"/>
      <c r="J2989" s="11" t="n"/>
      <c r="K2989" s="11" t="n"/>
      <c r="L2989" s="11" t="n"/>
      <c r="M2989" s="11" t="n"/>
      <c r="N2989" s="11" t="n"/>
      <c r="O2989" s="12" t="n"/>
    </row>
    <row r="2990">
      <c r="A2990" s="11" t="n"/>
      <c r="B2990" s="11" t="n"/>
      <c r="C2990" s="11" t="n"/>
      <c r="D2990" s="11" t="n"/>
      <c r="E2990" s="11" t="n"/>
      <c r="F2990" s="11" t="n"/>
      <c r="G2990" s="11" t="n"/>
      <c r="H2990" s="11" t="n"/>
      <c r="I2990" s="11" t="n"/>
      <c r="J2990" s="11" t="n"/>
      <c r="K2990" s="11" t="n"/>
      <c r="L2990" s="11" t="n"/>
      <c r="M2990" s="11" t="n"/>
      <c r="N2990" s="11" t="n"/>
      <c r="O2990" s="12" t="n"/>
    </row>
    <row r="2991">
      <c r="A2991" s="11" t="n"/>
      <c r="B2991" s="11" t="n"/>
      <c r="C2991" s="11" t="n"/>
      <c r="D2991" s="11" t="n"/>
      <c r="E2991" s="11" t="n"/>
      <c r="F2991" s="11" t="n"/>
      <c r="G2991" s="11" t="n"/>
      <c r="H2991" s="11" t="n"/>
      <c r="I2991" s="11" t="n"/>
      <c r="J2991" s="11" t="n"/>
      <c r="K2991" s="11" t="n"/>
      <c r="L2991" s="11" t="n"/>
      <c r="M2991" s="11" t="n"/>
      <c r="N2991" s="11" t="n"/>
      <c r="O2991" s="12" t="n"/>
    </row>
    <row r="2992">
      <c r="A2992" s="11" t="n"/>
      <c r="B2992" s="11" t="n"/>
      <c r="C2992" s="11" t="n"/>
      <c r="D2992" s="11" t="n"/>
      <c r="E2992" s="11" t="n"/>
      <c r="F2992" s="11" t="n"/>
      <c r="G2992" s="11" t="n"/>
      <c r="H2992" s="11" t="n"/>
      <c r="I2992" s="11" t="n"/>
      <c r="J2992" s="11" t="n"/>
      <c r="K2992" s="11" t="n"/>
      <c r="L2992" s="11" t="n"/>
      <c r="M2992" s="11" t="n"/>
      <c r="N2992" s="11" t="n"/>
      <c r="O2992" s="12" t="n"/>
    </row>
    <row r="2993">
      <c r="A2993" s="11" t="n"/>
      <c r="B2993" s="11" t="n"/>
      <c r="C2993" s="11" t="n"/>
      <c r="D2993" s="11" t="n"/>
      <c r="E2993" s="11" t="n"/>
      <c r="F2993" s="11" t="n"/>
      <c r="G2993" s="11" t="n"/>
      <c r="H2993" s="11" t="n"/>
      <c r="I2993" s="11" t="n"/>
      <c r="J2993" s="11" t="n"/>
      <c r="K2993" s="11" t="n"/>
      <c r="L2993" s="11" t="n"/>
      <c r="M2993" s="11" t="n"/>
      <c r="N2993" s="11" t="n"/>
      <c r="O2993" s="12" t="n"/>
    </row>
    <row r="2994">
      <c r="A2994" s="11" t="n"/>
      <c r="B2994" s="11" t="n"/>
      <c r="C2994" s="11" t="n"/>
      <c r="D2994" s="11" t="n"/>
      <c r="E2994" s="11" t="n"/>
      <c r="F2994" s="11" t="n"/>
      <c r="G2994" s="11" t="n"/>
      <c r="H2994" s="11" t="n"/>
      <c r="I2994" s="11" t="n"/>
      <c r="J2994" s="11" t="n"/>
      <c r="K2994" s="11" t="n"/>
      <c r="L2994" s="11" t="n"/>
      <c r="M2994" s="11" t="n"/>
      <c r="N2994" s="11" t="n"/>
      <c r="O2994" s="12" t="n"/>
    </row>
    <row r="2995">
      <c r="A2995" s="11" t="n"/>
      <c r="B2995" s="11" t="n"/>
      <c r="C2995" s="11" t="n"/>
      <c r="D2995" s="11" t="n"/>
      <c r="E2995" s="11" t="n"/>
      <c r="F2995" s="11" t="n"/>
      <c r="G2995" s="11" t="n"/>
      <c r="H2995" s="11" t="n"/>
      <c r="I2995" s="11" t="n"/>
      <c r="J2995" s="11" t="n"/>
      <c r="K2995" s="11" t="n"/>
      <c r="L2995" s="11" t="n"/>
      <c r="M2995" s="11" t="n"/>
      <c r="N2995" s="11" t="n"/>
      <c r="O2995" s="12" t="n"/>
    </row>
    <row r="2996">
      <c r="A2996" s="11" t="n"/>
      <c r="B2996" s="11" t="n"/>
      <c r="C2996" s="11" t="n"/>
      <c r="D2996" s="11" t="n"/>
      <c r="E2996" s="11" t="n"/>
      <c r="F2996" s="11" t="n"/>
      <c r="G2996" s="11" t="n"/>
      <c r="H2996" s="11" t="n"/>
      <c r="I2996" s="11" t="n"/>
      <c r="J2996" s="11" t="n"/>
      <c r="K2996" s="11" t="n"/>
      <c r="L2996" s="11" t="n"/>
      <c r="M2996" s="11" t="n"/>
      <c r="N2996" s="11" t="n"/>
      <c r="O2996" s="12" t="n"/>
    </row>
    <row r="2997">
      <c r="A2997" s="11" t="n"/>
      <c r="B2997" s="11" t="n"/>
      <c r="C2997" s="11" t="n"/>
      <c r="D2997" s="11" t="n"/>
      <c r="E2997" s="11" t="n"/>
      <c r="F2997" s="11" t="n"/>
      <c r="G2997" s="11" t="n"/>
      <c r="H2997" s="11" t="n"/>
      <c r="I2997" s="11" t="n"/>
      <c r="J2997" s="11" t="n"/>
      <c r="K2997" s="11" t="n"/>
      <c r="L2997" s="11" t="n"/>
      <c r="M2997" s="11" t="n"/>
      <c r="N2997" s="11" t="n"/>
      <c r="O2997" s="12" t="n"/>
    </row>
    <row r="2998">
      <c r="A2998" s="11" t="n"/>
      <c r="B2998" s="11" t="n"/>
      <c r="C2998" s="11" t="n"/>
      <c r="D2998" s="11" t="n"/>
      <c r="E2998" s="11" t="n"/>
      <c r="F2998" s="11" t="n"/>
      <c r="G2998" s="11" t="n"/>
      <c r="H2998" s="11" t="n"/>
      <c r="I2998" s="11" t="n"/>
      <c r="J2998" s="11" t="n"/>
      <c r="K2998" s="11" t="n"/>
      <c r="L2998" s="11" t="n"/>
      <c r="M2998" s="11" t="n"/>
      <c r="N2998" s="11" t="n"/>
      <c r="O2998" s="12" t="n"/>
    </row>
    <row r="2999">
      <c r="A2999" s="11" t="n"/>
      <c r="B2999" s="11" t="n"/>
      <c r="C2999" s="11" t="n"/>
      <c r="D2999" s="11" t="n"/>
      <c r="E2999" s="11" t="n"/>
      <c r="F2999" s="11" t="n"/>
      <c r="G2999" s="11" t="n"/>
      <c r="H2999" s="11" t="n"/>
      <c r="I2999" s="11" t="n"/>
      <c r="J2999" s="11" t="n"/>
      <c r="K2999" s="11" t="n"/>
      <c r="L2999" s="11" t="n"/>
      <c r="M2999" s="11" t="n"/>
      <c r="N2999" s="11" t="n"/>
      <c r="O2999" s="12" t="n"/>
    </row>
    <row r="3000">
      <c r="A3000" s="11" t="n"/>
      <c r="B3000" s="11" t="n"/>
      <c r="C3000" s="11" t="n"/>
      <c r="D3000" s="11" t="n"/>
      <c r="E3000" s="11" t="n"/>
      <c r="F3000" s="11" t="n"/>
      <c r="G3000" s="11" t="n"/>
      <c r="H3000" s="11" t="n"/>
      <c r="I3000" s="11" t="n"/>
      <c r="J3000" s="11" t="n"/>
      <c r="K3000" s="11" t="n"/>
      <c r="L3000" s="11" t="n"/>
      <c r="M3000" s="11" t="n"/>
      <c r="N3000" s="11" t="n"/>
      <c r="O3000" s="12" t="n"/>
    </row>
    <row r="3001">
      <c r="A3001" s="11" t="n"/>
      <c r="B3001" s="11" t="n"/>
      <c r="C3001" s="11" t="n"/>
      <c r="D3001" s="11" t="n"/>
      <c r="E3001" s="11" t="n"/>
      <c r="F3001" s="11" t="n"/>
      <c r="G3001" s="11" t="n"/>
      <c r="H3001" s="11" t="n"/>
      <c r="I3001" s="11" t="n"/>
      <c r="J3001" s="11" t="n"/>
      <c r="K3001" s="11" t="n"/>
      <c r="L3001" s="11" t="n"/>
      <c r="M3001" s="11" t="n"/>
      <c r="N3001" s="11" t="n"/>
      <c r="O3001" s="12" t="n"/>
    </row>
    <row r="3002">
      <c r="A3002" s="11" t="n"/>
      <c r="B3002" s="11" t="n"/>
      <c r="C3002" s="11" t="n"/>
      <c r="D3002" s="11" t="n"/>
      <c r="E3002" s="11" t="n"/>
      <c r="F3002" s="11" t="n"/>
      <c r="G3002" s="11" t="n"/>
      <c r="H3002" s="11" t="n"/>
      <c r="I3002" s="11" t="n"/>
      <c r="J3002" s="11" t="n"/>
      <c r="K3002" s="11" t="n"/>
      <c r="L3002" s="11" t="n"/>
      <c r="M3002" s="11" t="n"/>
      <c r="N3002" s="11" t="n"/>
      <c r="O3002" s="12" t="n"/>
    </row>
  </sheetData>
  <mergeCells count="1">
    <mergeCell ref="A1:O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</cols>
  <sheetData>
    <row r="1">
      <c r="A1" s="10" t="inlineStr">
        <is>
          <t>SIGNALS / OUTCOMES LOG (append rows manually or via script)</t>
        </is>
      </c>
    </row>
    <row r="2">
      <c r="A2" s="2" t="inlineStr">
        <is>
          <t>Timestamp</t>
        </is>
      </c>
      <c r="B2" s="2" t="inlineStr">
        <is>
          <t>Symbol</t>
        </is>
      </c>
      <c r="C2" s="2" t="inlineStr">
        <is>
          <t>Expiry</t>
        </is>
      </c>
      <c r="D2" s="2" t="inlineStr">
        <is>
          <t>Spot</t>
        </is>
      </c>
      <c r="E2" s="2" t="inlineStr">
        <is>
          <t>Bias</t>
        </is>
      </c>
      <c r="F2" s="2" t="inlineStr">
        <is>
          <t>Confidence</t>
        </is>
      </c>
      <c r="G2" s="2" t="inlineStr">
        <is>
          <t>Strategy</t>
        </is>
      </c>
      <c r="H2" s="2" t="inlineStr">
        <is>
          <t>Entry Strike</t>
        </is>
      </c>
      <c r="I2" s="2" t="inlineStr">
        <is>
          <t>Entry Premium</t>
        </is>
      </c>
      <c r="J2" s="2" t="inlineStr">
        <is>
          <t>Stop/MaxLoss</t>
        </is>
      </c>
      <c r="K2" s="2" t="inlineStr">
        <is>
          <t>Target</t>
        </is>
      </c>
      <c r="L2" s="2" t="inlineStr">
        <is>
          <t>Exit</t>
        </is>
      </c>
      <c r="M2" s="2" t="inlineStr">
        <is>
          <t>PnL</t>
        </is>
      </c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</row>
    <row r="502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</row>
    <row r="503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</row>
    <row r="504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</row>
    <row r="50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</row>
    <row r="506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</row>
    <row r="507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</row>
    <row r="508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</row>
    <row r="509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</row>
    <row r="510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</row>
    <row r="51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</row>
    <row r="512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</row>
    <row r="513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</row>
    <row r="514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</row>
    <row r="51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</row>
    <row r="516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</row>
    <row r="517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</row>
    <row r="518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</row>
    <row r="519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</row>
    <row r="520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</row>
    <row r="52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</row>
    <row r="522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</row>
    <row r="523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</row>
    <row r="524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</row>
    <row r="52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</row>
    <row r="526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</row>
    <row r="527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</row>
    <row r="528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</row>
    <row r="529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</row>
    <row r="530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</row>
    <row r="53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</row>
    <row r="532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</row>
    <row r="533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</row>
    <row r="534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</row>
    <row r="53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</row>
    <row r="536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</row>
    <row r="537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</row>
    <row r="538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</row>
    <row r="539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</row>
    <row r="540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</row>
    <row r="54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</row>
    <row r="542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</row>
    <row r="543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</row>
    <row r="544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</row>
    <row r="5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</row>
    <row r="546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</row>
    <row r="547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</row>
    <row r="548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</row>
    <row r="549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</row>
    <row r="550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</row>
    <row r="55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</row>
    <row r="552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</row>
    <row r="553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</row>
    <row r="554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</row>
    <row r="55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</row>
    <row r="556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</row>
    <row r="557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</row>
    <row r="558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</row>
    <row r="559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</row>
    <row r="560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</row>
    <row r="56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</row>
    <row r="562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</row>
    <row r="563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</row>
    <row r="564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</row>
    <row r="56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</row>
    <row r="566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</row>
    <row r="567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</row>
    <row r="568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</row>
    <row r="569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</row>
    <row r="570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</row>
    <row r="57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</row>
    <row r="572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</row>
    <row r="573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</row>
    <row r="574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</row>
    <row r="57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</row>
    <row r="576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</row>
    <row r="577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</row>
    <row r="578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</row>
    <row r="579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</row>
    <row r="580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</row>
    <row r="58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</row>
    <row r="582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</row>
    <row r="583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</row>
    <row r="584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</row>
    <row r="58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</row>
    <row r="586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</row>
    <row r="587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</row>
    <row r="588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</row>
    <row r="589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</row>
    <row r="590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</row>
    <row r="59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</row>
    <row r="592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</row>
    <row r="593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</row>
    <row r="594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</row>
    <row r="59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</row>
    <row r="596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</row>
    <row r="597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</row>
    <row r="598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</row>
    <row r="599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</row>
    <row r="600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</row>
    <row r="60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</row>
    <row r="602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</row>
    <row r="603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</row>
    <row r="604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</row>
    <row r="60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</row>
    <row r="606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</row>
    <row r="607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</row>
    <row r="608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</row>
    <row r="609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</row>
    <row r="610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</row>
    <row r="61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</row>
    <row r="612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</row>
    <row r="613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</row>
    <row r="614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</row>
    <row r="61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</row>
    <row r="616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</row>
    <row r="617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</row>
    <row r="618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</row>
    <row r="619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</row>
    <row r="620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</row>
    <row r="62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</row>
    <row r="622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</row>
    <row r="623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</row>
    <row r="624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</row>
    <row r="62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</row>
    <row r="626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</row>
    <row r="627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</row>
    <row r="628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</row>
    <row r="629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</row>
    <row r="630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</row>
    <row r="63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</row>
    <row r="632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</row>
    <row r="633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</row>
    <row r="634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</row>
    <row r="63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</row>
    <row r="636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</row>
    <row r="637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</row>
    <row r="638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</row>
    <row r="639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</row>
    <row r="640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</row>
    <row r="64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</row>
    <row r="642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</row>
    <row r="643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</row>
    <row r="644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</row>
    <row r="6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</row>
    <row r="646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</row>
    <row r="647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</row>
    <row r="648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</row>
    <row r="649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</row>
    <row r="650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</row>
    <row r="65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</row>
    <row r="652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</row>
    <row r="653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</row>
    <row r="654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</row>
    <row r="65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</row>
    <row r="656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</row>
    <row r="657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</row>
    <row r="658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</row>
    <row r="659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</row>
    <row r="660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</row>
    <row r="66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</row>
    <row r="662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</row>
    <row r="663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</row>
    <row r="664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</row>
    <row r="66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</row>
    <row r="666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</row>
    <row r="667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</row>
    <row r="668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</row>
    <row r="669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</row>
    <row r="670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</row>
    <row r="67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</row>
    <row r="672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</row>
    <row r="673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</row>
    <row r="674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</row>
    <row r="67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</row>
    <row r="676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</row>
    <row r="677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</row>
    <row r="678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</row>
    <row r="679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</row>
    <row r="680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</row>
    <row r="68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</row>
    <row r="682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</row>
    <row r="683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</row>
    <row r="684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</row>
    <row r="68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</row>
    <row r="686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</row>
    <row r="687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</row>
    <row r="688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</row>
    <row r="689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</row>
    <row r="690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</row>
    <row r="69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</row>
    <row r="692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</row>
    <row r="693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</row>
    <row r="694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</row>
    <row r="69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</row>
    <row r="696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</row>
    <row r="697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</row>
    <row r="698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</row>
    <row r="699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</row>
    <row r="700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</row>
    <row r="70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</row>
    <row r="702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</row>
    <row r="703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</row>
    <row r="704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</row>
    <row r="70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</row>
    <row r="706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</row>
    <row r="707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</row>
    <row r="708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</row>
    <row r="709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</row>
    <row r="710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</row>
    <row r="71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</row>
    <row r="712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</row>
    <row r="713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</row>
    <row r="714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</row>
    <row r="71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</row>
    <row r="716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</row>
    <row r="717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</row>
    <row r="718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</row>
    <row r="719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</row>
    <row r="720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</row>
    <row r="72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</row>
    <row r="722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</row>
    <row r="723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</row>
    <row r="724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</row>
    <row r="72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</row>
    <row r="726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</row>
    <row r="727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</row>
    <row r="728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</row>
    <row r="729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</row>
    <row r="730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</row>
    <row r="73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</row>
    <row r="732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</row>
    <row r="733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</row>
    <row r="734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</row>
    <row r="73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</row>
    <row r="736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</row>
    <row r="737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</row>
    <row r="738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</row>
    <row r="739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</row>
    <row r="740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</row>
    <row r="74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</row>
    <row r="742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</row>
    <row r="743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</row>
    <row r="744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</row>
    <row r="7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</row>
    <row r="746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</row>
    <row r="747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</row>
    <row r="748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</row>
    <row r="749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</row>
    <row r="750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</row>
    <row r="75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</row>
    <row r="752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</row>
    <row r="753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</row>
    <row r="754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</row>
    <row r="75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</row>
    <row r="756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</row>
    <row r="757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</row>
    <row r="758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</row>
    <row r="759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</row>
    <row r="760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</row>
    <row r="76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</row>
    <row r="762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</row>
    <row r="763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</row>
    <row r="764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</row>
    <row r="76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</row>
    <row r="766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</row>
    <row r="767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</row>
    <row r="768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</row>
    <row r="769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</row>
    <row r="770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</row>
    <row r="77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</row>
    <row r="772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</row>
    <row r="773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</row>
    <row r="774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</row>
    <row r="77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</row>
    <row r="776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</row>
    <row r="777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</row>
    <row r="778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</row>
    <row r="779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</row>
    <row r="780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</row>
    <row r="78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</row>
    <row r="782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</row>
    <row r="783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</row>
    <row r="784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</row>
    <row r="78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</row>
    <row r="786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</row>
    <row r="787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</row>
    <row r="788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</row>
    <row r="789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</row>
    <row r="790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</row>
    <row r="79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</row>
    <row r="792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</row>
    <row r="793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</row>
    <row r="794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</row>
    <row r="79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</row>
    <row r="796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</row>
    <row r="797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</row>
    <row r="798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</row>
    <row r="799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</row>
    <row r="800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</row>
    <row r="80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</row>
    <row r="802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</row>
    <row r="803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</row>
    <row r="804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</row>
    <row r="80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</row>
    <row r="806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</row>
    <row r="807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</row>
    <row r="808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</row>
    <row r="809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</row>
    <row r="810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</row>
    <row r="81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</row>
    <row r="812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</row>
    <row r="813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</row>
    <row r="814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</row>
    <row r="81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</row>
    <row r="816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</row>
    <row r="817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</row>
    <row r="818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</row>
    <row r="819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</row>
    <row r="820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</row>
    <row r="82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</row>
    <row r="822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</row>
    <row r="823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</row>
    <row r="824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</row>
    <row r="82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</row>
    <row r="826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</row>
    <row r="827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</row>
    <row r="828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</row>
    <row r="829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</row>
    <row r="830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</row>
    <row r="83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</row>
    <row r="832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</row>
    <row r="833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</row>
    <row r="834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</row>
    <row r="83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</row>
    <row r="836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</row>
    <row r="837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</row>
    <row r="838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</row>
    <row r="839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</row>
    <row r="840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</row>
    <row r="84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</row>
    <row r="842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</row>
    <row r="843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</row>
    <row r="844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</row>
    <row r="8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</row>
    <row r="846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</row>
    <row r="847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</row>
    <row r="848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</row>
    <row r="849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</row>
    <row r="850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</row>
    <row r="85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</row>
    <row r="852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</row>
    <row r="853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</row>
    <row r="854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</row>
    <row r="85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</row>
    <row r="856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</row>
    <row r="857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</row>
    <row r="858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</row>
    <row r="859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</row>
    <row r="860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</row>
    <row r="86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</row>
    <row r="862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</row>
    <row r="863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</row>
    <row r="864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</row>
    <row r="86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</row>
    <row r="866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</row>
    <row r="867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</row>
    <row r="868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</row>
    <row r="869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</row>
    <row r="870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</row>
    <row r="87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</row>
    <row r="872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</row>
    <row r="873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</row>
    <row r="874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</row>
    <row r="87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</row>
    <row r="876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</row>
    <row r="877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</row>
    <row r="878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</row>
    <row r="879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</row>
    <row r="880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</row>
    <row r="88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</row>
    <row r="882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</row>
    <row r="883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</row>
    <row r="884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</row>
    <row r="88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</row>
    <row r="886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</row>
    <row r="887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</row>
    <row r="888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</row>
    <row r="889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</row>
    <row r="890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</row>
    <row r="89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</row>
    <row r="892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</row>
    <row r="893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</row>
    <row r="894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</row>
    <row r="89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</row>
    <row r="896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</row>
    <row r="897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</row>
    <row r="898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</row>
    <row r="899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</row>
    <row r="900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</row>
    <row r="90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</row>
    <row r="902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</row>
    <row r="903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</row>
    <row r="904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</row>
    <row r="90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</row>
    <row r="906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</row>
    <row r="907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</row>
    <row r="908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</row>
    <row r="909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</row>
    <row r="910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</row>
    <row r="91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</row>
    <row r="912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</row>
    <row r="913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</row>
    <row r="914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</row>
    <row r="91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</row>
    <row r="916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</row>
    <row r="917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</row>
    <row r="918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</row>
    <row r="919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</row>
    <row r="920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</row>
    <row r="92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</row>
    <row r="922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</row>
    <row r="923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</row>
    <row r="924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</row>
    <row r="92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</row>
    <row r="926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</row>
    <row r="927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</row>
    <row r="928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</row>
    <row r="929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</row>
    <row r="930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</row>
    <row r="93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</row>
    <row r="932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</row>
    <row r="933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</row>
    <row r="934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</row>
    <row r="93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</row>
    <row r="936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</row>
    <row r="937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</row>
    <row r="938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</row>
    <row r="939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</row>
    <row r="940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</row>
    <row r="94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</row>
    <row r="942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</row>
    <row r="943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</row>
    <row r="944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</row>
    <row r="9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</row>
    <row r="946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</row>
    <row r="947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</row>
    <row r="948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</row>
    <row r="949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</row>
    <row r="950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</row>
    <row r="95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</row>
    <row r="952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</row>
    <row r="953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</row>
    <row r="954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</row>
    <row r="95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</row>
    <row r="956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</row>
    <row r="957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</row>
    <row r="958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</row>
    <row r="959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</row>
    <row r="960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</row>
    <row r="96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</row>
    <row r="962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</row>
    <row r="963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</row>
    <row r="964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</row>
    <row r="96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</row>
    <row r="966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</row>
    <row r="967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</row>
    <row r="968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</row>
    <row r="969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</row>
    <row r="970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</row>
    <row r="97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</row>
    <row r="972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</row>
    <row r="973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</row>
    <row r="974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</row>
    <row r="97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</row>
    <row r="976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</row>
    <row r="977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</row>
    <row r="978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</row>
    <row r="979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</row>
    <row r="980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</row>
    <row r="98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</row>
    <row r="982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</row>
    <row r="983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</row>
    <row r="984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</row>
    <row r="98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</row>
    <row r="986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</row>
    <row r="987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</row>
    <row r="988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</row>
    <row r="989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</row>
    <row r="990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</row>
    <row r="99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</row>
    <row r="992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</row>
    <row r="993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</row>
    <row r="994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</row>
    <row r="99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</row>
    <row r="996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</row>
    <row r="997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</row>
    <row r="998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</row>
    <row r="999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</row>
    <row r="1000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</row>
    <row r="1001">
      <c r="A1001" s="11" t="n"/>
      <c r="B1001" s="11" t="n"/>
      <c r="C1001" s="11" t="n"/>
      <c r="D1001" s="11" t="n"/>
      <c r="E1001" s="11" t="n"/>
      <c r="F1001" s="11" t="n"/>
      <c r="G1001" s="11" t="n"/>
      <c r="H1001" s="11" t="n"/>
      <c r="I1001" s="11" t="n"/>
      <c r="J1001" s="11" t="n"/>
      <c r="K1001" s="11" t="n"/>
      <c r="L1001" s="11" t="n"/>
      <c r="M1001" s="11" t="n"/>
    </row>
    <row r="1002">
      <c r="A1002" s="11" t="n"/>
      <c r="B1002" s="11" t="n"/>
      <c r="C1002" s="11" t="n"/>
      <c r="D1002" s="11" t="n"/>
      <c r="E1002" s="11" t="n"/>
      <c r="F1002" s="11" t="n"/>
      <c r="G1002" s="11" t="n"/>
      <c r="H1002" s="11" t="n"/>
      <c r="I1002" s="11" t="n"/>
      <c r="J1002" s="11" t="n"/>
      <c r="K1002" s="11" t="n"/>
      <c r="L1002" s="11" t="n"/>
      <c r="M1002" s="11" t="n"/>
    </row>
    <row r="1003">
      <c r="A1003" s="11" t="n"/>
      <c r="B1003" s="11" t="n"/>
      <c r="C1003" s="11" t="n"/>
      <c r="D1003" s="11" t="n"/>
      <c r="E1003" s="11" t="n"/>
      <c r="F1003" s="11" t="n"/>
      <c r="G1003" s="11" t="n"/>
      <c r="H1003" s="11" t="n"/>
      <c r="I1003" s="11" t="n"/>
      <c r="J1003" s="11" t="n"/>
      <c r="K1003" s="11" t="n"/>
      <c r="L1003" s="11" t="n"/>
      <c r="M1003" s="11" t="n"/>
    </row>
    <row r="1004">
      <c r="A1004" s="11" t="n"/>
      <c r="B1004" s="11" t="n"/>
      <c r="C1004" s="11" t="n"/>
      <c r="D1004" s="11" t="n"/>
      <c r="E1004" s="11" t="n"/>
      <c r="F1004" s="11" t="n"/>
      <c r="G1004" s="11" t="n"/>
      <c r="H1004" s="11" t="n"/>
      <c r="I1004" s="11" t="n"/>
      <c r="J1004" s="11" t="n"/>
      <c r="K1004" s="11" t="n"/>
      <c r="L1004" s="11" t="n"/>
      <c r="M1004" s="11" t="n"/>
    </row>
    <row r="1005">
      <c r="A1005" s="11" t="n"/>
      <c r="B1005" s="11" t="n"/>
      <c r="C1005" s="11" t="n"/>
      <c r="D1005" s="11" t="n"/>
      <c r="E1005" s="11" t="n"/>
      <c r="F1005" s="11" t="n"/>
      <c r="G1005" s="11" t="n"/>
      <c r="H1005" s="11" t="n"/>
      <c r="I1005" s="11" t="n"/>
      <c r="J1005" s="11" t="n"/>
      <c r="K1005" s="11" t="n"/>
      <c r="L1005" s="11" t="n"/>
      <c r="M1005" s="11" t="n"/>
    </row>
    <row r="1006">
      <c r="A1006" s="11" t="n"/>
      <c r="B1006" s="11" t="n"/>
      <c r="C1006" s="11" t="n"/>
      <c r="D1006" s="11" t="n"/>
      <c r="E1006" s="11" t="n"/>
      <c r="F1006" s="11" t="n"/>
      <c r="G1006" s="11" t="n"/>
      <c r="H1006" s="11" t="n"/>
      <c r="I1006" s="11" t="n"/>
      <c r="J1006" s="11" t="n"/>
      <c r="K1006" s="11" t="n"/>
      <c r="L1006" s="11" t="n"/>
      <c r="M1006" s="11" t="n"/>
    </row>
    <row r="1007">
      <c r="A1007" s="11" t="n"/>
      <c r="B1007" s="11" t="n"/>
      <c r="C1007" s="11" t="n"/>
      <c r="D1007" s="11" t="n"/>
      <c r="E1007" s="11" t="n"/>
      <c r="F1007" s="11" t="n"/>
      <c r="G1007" s="11" t="n"/>
      <c r="H1007" s="11" t="n"/>
      <c r="I1007" s="11" t="n"/>
      <c r="J1007" s="11" t="n"/>
      <c r="K1007" s="11" t="n"/>
      <c r="L1007" s="11" t="n"/>
      <c r="M1007" s="11" t="n"/>
    </row>
    <row r="1008">
      <c r="A1008" s="11" t="n"/>
      <c r="B1008" s="11" t="n"/>
      <c r="C1008" s="11" t="n"/>
      <c r="D1008" s="11" t="n"/>
      <c r="E1008" s="11" t="n"/>
      <c r="F1008" s="11" t="n"/>
      <c r="G1008" s="11" t="n"/>
      <c r="H1008" s="11" t="n"/>
      <c r="I1008" s="11" t="n"/>
      <c r="J1008" s="11" t="n"/>
      <c r="K1008" s="11" t="n"/>
      <c r="L1008" s="11" t="n"/>
      <c r="M1008" s="11" t="n"/>
    </row>
    <row r="1009">
      <c r="A1009" s="11" t="n"/>
      <c r="B1009" s="11" t="n"/>
      <c r="C1009" s="11" t="n"/>
      <c r="D1009" s="11" t="n"/>
      <c r="E1009" s="11" t="n"/>
      <c r="F1009" s="11" t="n"/>
      <c r="G1009" s="11" t="n"/>
      <c r="H1009" s="11" t="n"/>
      <c r="I1009" s="11" t="n"/>
      <c r="J1009" s="11" t="n"/>
      <c r="K1009" s="11" t="n"/>
      <c r="L1009" s="11" t="n"/>
      <c r="M1009" s="11" t="n"/>
    </row>
    <row r="1010">
      <c r="A1010" s="11" t="n"/>
      <c r="B1010" s="11" t="n"/>
      <c r="C1010" s="11" t="n"/>
      <c r="D1010" s="11" t="n"/>
      <c r="E1010" s="11" t="n"/>
      <c r="F1010" s="11" t="n"/>
      <c r="G1010" s="11" t="n"/>
      <c r="H1010" s="11" t="n"/>
      <c r="I1010" s="11" t="n"/>
      <c r="J1010" s="11" t="n"/>
      <c r="K1010" s="11" t="n"/>
      <c r="L1010" s="11" t="n"/>
      <c r="M1010" s="11" t="n"/>
    </row>
    <row r="1011">
      <c r="A1011" s="11" t="n"/>
      <c r="B1011" s="11" t="n"/>
      <c r="C1011" s="11" t="n"/>
      <c r="D1011" s="11" t="n"/>
      <c r="E1011" s="11" t="n"/>
      <c r="F1011" s="11" t="n"/>
      <c r="G1011" s="11" t="n"/>
      <c r="H1011" s="11" t="n"/>
      <c r="I1011" s="11" t="n"/>
      <c r="J1011" s="11" t="n"/>
      <c r="K1011" s="11" t="n"/>
      <c r="L1011" s="11" t="n"/>
      <c r="M1011" s="11" t="n"/>
    </row>
    <row r="1012">
      <c r="A1012" s="11" t="n"/>
      <c r="B1012" s="11" t="n"/>
      <c r="C1012" s="11" t="n"/>
      <c r="D1012" s="11" t="n"/>
      <c r="E1012" s="11" t="n"/>
      <c r="F1012" s="11" t="n"/>
      <c r="G1012" s="11" t="n"/>
      <c r="H1012" s="11" t="n"/>
      <c r="I1012" s="11" t="n"/>
      <c r="J1012" s="11" t="n"/>
      <c r="K1012" s="11" t="n"/>
      <c r="L1012" s="11" t="n"/>
      <c r="M1012" s="11" t="n"/>
    </row>
    <row r="1013">
      <c r="A1013" s="11" t="n"/>
      <c r="B1013" s="11" t="n"/>
      <c r="C1013" s="11" t="n"/>
      <c r="D1013" s="11" t="n"/>
      <c r="E1013" s="11" t="n"/>
      <c r="F1013" s="11" t="n"/>
      <c r="G1013" s="11" t="n"/>
      <c r="H1013" s="11" t="n"/>
      <c r="I1013" s="11" t="n"/>
      <c r="J1013" s="11" t="n"/>
      <c r="K1013" s="11" t="n"/>
      <c r="L1013" s="11" t="n"/>
      <c r="M1013" s="11" t="n"/>
    </row>
    <row r="1014">
      <c r="A1014" s="11" t="n"/>
      <c r="B1014" s="11" t="n"/>
      <c r="C1014" s="11" t="n"/>
      <c r="D1014" s="11" t="n"/>
      <c r="E1014" s="11" t="n"/>
      <c r="F1014" s="11" t="n"/>
      <c r="G1014" s="11" t="n"/>
      <c r="H1014" s="11" t="n"/>
      <c r="I1014" s="11" t="n"/>
      <c r="J1014" s="11" t="n"/>
      <c r="K1014" s="11" t="n"/>
      <c r="L1014" s="11" t="n"/>
      <c r="M1014" s="11" t="n"/>
    </row>
    <row r="1015">
      <c r="A1015" s="11" t="n"/>
      <c r="B1015" s="11" t="n"/>
      <c r="C1015" s="11" t="n"/>
      <c r="D1015" s="11" t="n"/>
      <c r="E1015" s="11" t="n"/>
      <c r="F1015" s="11" t="n"/>
      <c r="G1015" s="11" t="n"/>
      <c r="H1015" s="11" t="n"/>
      <c r="I1015" s="11" t="n"/>
      <c r="J1015" s="11" t="n"/>
      <c r="K1015" s="11" t="n"/>
      <c r="L1015" s="11" t="n"/>
      <c r="M1015" s="11" t="n"/>
    </row>
    <row r="1016">
      <c r="A1016" s="11" t="n"/>
      <c r="B1016" s="11" t="n"/>
      <c r="C1016" s="11" t="n"/>
      <c r="D1016" s="11" t="n"/>
      <c r="E1016" s="11" t="n"/>
      <c r="F1016" s="11" t="n"/>
      <c r="G1016" s="11" t="n"/>
      <c r="H1016" s="11" t="n"/>
      <c r="I1016" s="11" t="n"/>
      <c r="J1016" s="11" t="n"/>
      <c r="K1016" s="11" t="n"/>
      <c r="L1016" s="11" t="n"/>
      <c r="M1016" s="11" t="n"/>
    </row>
    <row r="1017">
      <c r="A1017" s="11" t="n"/>
      <c r="B1017" s="11" t="n"/>
      <c r="C1017" s="11" t="n"/>
      <c r="D1017" s="11" t="n"/>
      <c r="E1017" s="11" t="n"/>
      <c r="F1017" s="11" t="n"/>
      <c r="G1017" s="11" t="n"/>
      <c r="H1017" s="11" t="n"/>
      <c r="I1017" s="11" t="n"/>
      <c r="J1017" s="11" t="n"/>
      <c r="K1017" s="11" t="n"/>
      <c r="L1017" s="11" t="n"/>
      <c r="M1017" s="11" t="n"/>
    </row>
    <row r="1018">
      <c r="A1018" s="11" t="n"/>
      <c r="B1018" s="11" t="n"/>
      <c r="C1018" s="11" t="n"/>
      <c r="D1018" s="11" t="n"/>
      <c r="E1018" s="11" t="n"/>
      <c r="F1018" s="11" t="n"/>
      <c r="G1018" s="11" t="n"/>
      <c r="H1018" s="11" t="n"/>
      <c r="I1018" s="11" t="n"/>
      <c r="J1018" s="11" t="n"/>
      <c r="K1018" s="11" t="n"/>
      <c r="L1018" s="11" t="n"/>
      <c r="M1018" s="11" t="n"/>
    </row>
    <row r="1019">
      <c r="A1019" s="11" t="n"/>
      <c r="B1019" s="11" t="n"/>
      <c r="C1019" s="11" t="n"/>
      <c r="D1019" s="11" t="n"/>
      <c r="E1019" s="11" t="n"/>
      <c r="F1019" s="11" t="n"/>
      <c r="G1019" s="11" t="n"/>
      <c r="H1019" s="11" t="n"/>
      <c r="I1019" s="11" t="n"/>
      <c r="J1019" s="11" t="n"/>
      <c r="K1019" s="11" t="n"/>
      <c r="L1019" s="11" t="n"/>
      <c r="M1019" s="11" t="n"/>
    </row>
    <row r="1020">
      <c r="A1020" s="11" t="n"/>
      <c r="B1020" s="11" t="n"/>
      <c r="C1020" s="11" t="n"/>
      <c r="D1020" s="11" t="n"/>
      <c r="E1020" s="11" t="n"/>
      <c r="F1020" s="11" t="n"/>
      <c r="G1020" s="11" t="n"/>
      <c r="H1020" s="11" t="n"/>
      <c r="I1020" s="11" t="n"/>
      <c r="J1020" s="11" t="n"/>
      <c r="K1020" s="11" t="n"/>
      <c r="L1020" s="11" t="n"/>
      <c r="M1020" s="11" t="n"/>
    </row>
    <row r="1021">
      <c r="A1021" s="11" t="n"/>
      <c r="B1021" s="11" t="n"/>
      <c r="C1021" s="11" t="n"/>
      <c r="D1021" s="11" t="n"/>
      <c r="E1021" s="11" t="n"/>
      <c r="F1021" s="11" t="n"/>
      <c r="G1021" s="11" t="n"/>
      <c r="H1021" s="11" t="n"/>
      <c r="I1021" s="11" t="n"/>
      <c r="J1021" s="11" t="n"/>
      <c r="K1021" s="11" t="n"/>
      <c r="L1021" s="11" t="n"/>
      <c r="M1021" s="11" t="n"/>
    </row>
    <row r="1022">
      <c r="A1022" s="11" t="n"/>
      <c r="B1022" s="11" t="n"/>
      <c r="C1022" s="11" t="n"/>
      <c r="D1022" s="11" t="n"/>
      <c r="E1022" s="11" t="n"/>
      <c r="F1022" s="11" t="n"/>
      <c r="G1022" s="11" t="n"/>
      <c r="H1022" s="11" t="n"/>
      <c r="I1022" s="11" t="n"/>
      <c r="J1022" s="11" t="n"/>
      <c r="K1022" s="11" t="n"/>
      <c r="L1022" s="11" t="n"/>
      <c r="M1022" s="11" t="n"/>
    </row>
    <row r="1023">
      <c r="A1023" s="11" t="n"/>
      <c r="B1023" s="11" t="n"/>
      <c r="C1023" s="11" t="n"/>
      <c r="D1023" s="11" t="n"/>
      <c r="E1023" s="11" t="n"/>
      <c r="F1023" s="11" t="n"/>
      <c r="G1023" s="11" t="n"/>
      <c r="H1023" s="11" t="n"/>
      <c r="I1023" s="11" t="n"/>
      <c r="J1023" s="11" t="n"/>
      <c r="K1023" s="11" t="n"/>
      <c r="L1023" s="11" t="n"/>
      <c r="M1023" s="11" t="n"/>
    </row>
    <row r="1024">
      <c r="A1024" s="11" t="n"/>
      <c r="B1024" s="11" t="n"/>
      <c r="C1024" s="11" t="n"/>
      <c r="D1024" s="11" t="n"/>
      <c r="E1024" s="11" t="n"/>
      <c r="F1024" s="11" t="n"/>
      <c r="G1024" s="11" t="n"/>
      <c r="H1024" s="11" t="n"/>
      <c r="I1024" s="11" t="n"/>
      <c r="J1024" s="11" t="n"/>
      <c r="K1024" s="11" t="n"/>
      <c r="L1024" s="11" t="n"/>
      <c r="M1024" s="11" t="n"/>
    </row>
    <row r="1025">
      <c r="A1025" s="11" t="n"/>
      <c r="B1025" s="11" t="n"/>
      <c r="C1025" s="11" t="n"/>
      <c r="D1025" s="11" t="n"/>
      <c r="E1025" s="11" t="n"/>
      <c r="F1025" s="11" t="n"/>
      <c r="G1025" s="11" t="n"/>
      <c r="H1025" s="11" t="n"/>
      <c r="I1025" s="11" t="n"/>
      <c r="J1025" s="11" t="n"/>
      <c r="K1025" s="11" t="n"/>
      <c r="L1025" s="11" t="n"/>
      <c r="M1025" s="11" t="n"/>
    </row>
    <row r="1026">
      <c r="A1026" s="11" t="n"/>
      <c r="B1026" s="11" t="n"/>
      <c r="C1026" s="11" t="n"/>
      <c r="D1026" s="11" t="n"/>
      <c r="E1026" s="11" t="n"/>
      <c r="F1026" s="11" t="n"/>
      <c r="G1026" s="11" t="n"/>
      <c r="H1026" s="11" t="n"/>
      <c r="I1026" s="11" t="n"/>
      <c r="J1026" s="11" t="n"/>
      <c r="K1026" s="11" t="n"/>
      <c r="L1026" s="11" t="n"/>
      <c r="M1026" s="11" t="n"/>
    </row>
    <row r="1027">
      <c r="A1027" s="11" t="n"/>
      <c r="B1027" s="11" t="n"/>
      <c r="C1027" s="11" t="n"/>
      <c r="D1027" s="11" t="n"/>
      <c r="E1027" s="11" t="n"/>
      <c r="F1027" s="11" t="n"/>
      <c r="G1027" s="11" t="n"/>
      <c r="H1027" s="11" t="n"/>
      <c r="I1027" s="11" t="n"/>
      <c r="J1027" s="11" t="n"/>
      <c r="K1027" s="11" t="n"/>
      <c r="L1027" s="11" t="n"/>
      <c r="M1027" s="11" t="n"/>
    </row>
    <row r="1028">
      <c r="A1028" s="11" t="n"/>
      <c r="B1028" s="11" t="n"/>
      <c r="C1028" s="11" t="n"/>
      <c r="D1028" s="11" t="n"/>
      <c r="E1028" s="11" t="n"/>
      <c r="F1028" s="11" t="n"/>
      <c r="G1028" s="11" t="n"/>
      <c r="H1028" s="11" t="n"/>
      <c r="I1028" s="11" t="n"/>
      <c r="J1028" s="11" t="n"/>
      <c r="K1028" s="11" t="n"/>
      <c r="L1028" s="11" t="n"/>
      <c r="M1028" s="11" t="n"/>
    </row>
    <row r="1029">
      <c r="A1029" s="11" t="n"/>
      <c r="B1029" s="11" t="n"/>
      <c r="C1029" s="11" t="n"/>
      <c r="D1029" s="11" t="n"/>
      <c r="E1029" s="11" t="n"/>
      <c r="F1029" s="11" t="n"/>
      <c r="G1029" s="11" t="n"/>
      <c r="H1029" s="11" t="n"/>
      <c r="I1029" s="11" t="n"/>
      <c r="J1029" s="11" t="n"/>
      <c r="K1029" s="11" t="n"/>
      <c r="L1029" s="11" t="n"/>
      <c r="M1029" s="11" t="n"/>
    </row>
    <row r="1030">
      <c r="A1030" s="11" t="n"/>
      <c r="B1030" s="11" t="n"/>
      <c r="C1030" s="11" t="n"/>
      <c r="D1030" s="11" t="n"/>
      <c r="E1030" s="11" t="n"/>
      <c r="F1030" s="11" t="n"/>
      <c r="G1030" s="11" t="n"/>
      <c r="H1030" s="11" t="n"/>
      <c r="I1030" s="11" t="n"/>
      <c r="J1030" s="11" t="n"/>
      <c r="K1030" s="11" t="n"/>
      <c r="L1030" s="11" t="n"/>
      <c r="M1030" s="11" t="n"/>
    </row>
    <row r="1031">
      <c r="A1031" s="11" t="n"/>
      <c r="B1031" s="11" t="n"/>
      <c r="C1031" s="11" t="n"/>
      <c r="D1031" s="11" t="n"/>
      <c r="E1031" s="11" t="n"/>
      <c r="F1031" s="11" t="n"/>
      <c r="G1031" s="11" t="n"/>
      <c r="H1031" s="11" t="n"/>
      <c r="I1031" s="11" t="n"/>
      <c r="J1031" s="11" t="n"/>
      <c r="K1031" s="11" t="n"/>
      <c r="L1031" s="11" t="n"/>
      <c r="M1031" s="11" t="n"/>
    </row>
    <row r="1032">
      <c r="A1032" s="11" t="n"/>
      <c r="B1032" s="11" t="n"/>
      <c r="C1032" s="11" t="n"/>
      <c r="D1032" s="11" t="n"/>
      <c r="E1032" s="11" t="n"/>
      <c r="F1032" s="11" t="n"/>
      <c r="G1032" s="11" t="n"/>
      <c r="H1032" s="11" t="n"/>
      <c r="I1032" s="11" t="n"/>
      <c r="J1032" s="11" t="n"/>
      <c r="K1032" s="11" t="n"/>
      <c r="L1032" s="11" t="n"/>
      <c r="M1032" s="11" t="n"/>
    </row>
    <row r="1033">
      <c r="A1033" s="11" t="n"/>
      <c r="B1033" s="11" t="n"/>
      <c r="C1033" s="11" t="n"/>
      <c r="D1033" s="11" t="n"/>
      <c r="E1033" s="11" t="n"/>
      <c r="F1033" s="11" t="n"/>
      <c r="G1033" s="11" t="n"/>
      <c r="H1033" s="11" t="n"/>
      <c r="I1033" s="11" t="n"/>
      <c r="J1033" s="11" t="n"/>
      <c r="K1033" s="11" t="n"/>
      <c r="L1033" s="11" t="n"/>
      <c r="M1033" s="11" t="n"/>
    </row>
    <row r="1034">
      <c r="A1034" s="11" t="n"/>
      <c r="B1034" s="11" t="n"/>
      <c r="C1034" s="11" t="n"/>
      <c r="D1034" s="11" t="n"/>
      <c r="E1034" s="11" t="n"/>
      <c r="F1034" s="11" t="n"/>
      <c r="G1034" s="11" t="n"/>
      <c r="H1034" s="11" t="n"/>
      <c r="I1034" s="11" t="n"/>
      <c r="J1034" s="11" t="n"/>
      <c r="K1034" s="11" t="n"/>
      <c r="L1034" s="11" t="n"/>
      <c r="M1034" s="11" t="n"/>
    </row>
    <row r="1035">
      <c r="A1035" s="11" t="n"/>
      <c r="B1035" s="11" t="n"/>
      <c r="C1035" s="11" t="n"/>
      <c r="D1035" s="11" t="n"/>
      <c r="E1035" s="11" t="n"/>
      <c r="F1035" s="11" t="n"/>
      <c r="G1035" s="11" t="n"/>
      <c r="H1035" s="11" t="n"/>
      <c r="I1035" s="11" t="n"/>
      <c r="J1035" s="11" t="n"/>
      <c r="K1035" s="11" t="n"/>
      <c r="L1035" s="11" t="n"/>
      <c r="M1035" s="11" t="n"/>
    </row>
    <row r="1036">
      <c r="A1036" s="11" t="n"/>
      <c r="B1036" s="11" t="n"/>
      <c r="C1036" s="11" t="n"/>
      <c r="D1036" s="11" t="n"/>
      <c r="E1036" s="11" t="n"/>
      <c r="F1036" s="11" t="n"/>
      <c r="G1036" s="11" t="n"/>
      <c r="H1036" s="11" t="n"/>
      <c r="I1036" s="11" t="n"/>
      <c r="J1036" s="11" t="n"/>
      <c r="K1036" s="11" t="n"/>
      <c r="L1036" s="11" t="n"/>
      <c r="M1036" s="11" t="n"/>
    </row>
    <row r="1037">
      <c r="A1037" s="11" t="n"/>
      <c r="B1037" s="11" t="n"/>
      <c r="C1037" s="11" t="n"/>
      <c r="D1037" s="11" t="n"/>
      <c r="E1037" s="11" t="n"/>
      <c r="F1037" s="11" t="n"/>
      <c r="G1037" s="11" t="n"/>
      <c r="H1037" s="11" t="n"/>
      <c r="I1037" s="11" t="n"/>
      <c r="J1037" s="11" t="n"/>
      <c r="K1037" s="11" t="n"/>
      <c r="L1037" s="11" t="n"/>
      <c r="M1037" s="11" t="n"/>
    </row>
    <row r="1038">
      <c r="A1038" s="11" t="n"/>
      <c r="B1038" s="11" t="n"/>
      <c r="C1038" s="11" t="n"/>
      <c r="D1038" s="11" t="n"/>
      <c r="E1038" s="11" t="n"/>
      <c r="F1038" s="11" t="n"/>
      <c r="G1038" s="11" t="n"/>
      <c r="H1038" s="11" t="n"/>
      <c r="I1038" s="11" t="n"/>
      <c r="J1038" s="11" t="n"/>
      <c r="K1038" s="11" t="n"/>
      <c r="L1038" s="11" t="n"/>
      <c r="M1038" s="11" t="n"/>
    </row>
    <row r="1039">
      <c r="A1039" s="11" t="n"/>
      <c r="B1039" s="11" t="n"/>
      <c r="C1039" s="11" t="n"/>
      <c r="D1039" s="11" t="n"/>
      <c r="E1039" s="11" t="n"/>
      <c r="F1039" s="11" t="n"/>
      <c r="G1039" s="11" t="n"/>
      <c r="H1039" s="11" t="n"/>
      <c r="I1039" s="11" t="n"/>
      <c r="J1039" s="11" t="n"/>
      <c r="K1039" s="11" t="n"/>
      <c r="L1039" s="11" t="n"/>
      <c r="M1039" s="11" t="n"/>
    </row>
    <row r="1040">
      <c r="A1040" s="11" t="n"/>
      <c r="B1040" s="11" t="n"/>
      <c r="C1040" s="11" t="n"/>
      <c r="D1040" s="11" t="n"/>
      <c r="E1040" s="11" t="n"/>
      <c r="F1040" s="11" t="n"/>
      <c r="G1040" s="11" t="n"/>
      <c r="H1040" s="11" t="n"/>
      <c r="I1040" s="11" t="n"/>
      <c r="J1040" s="11" t="n"/>
      <c r="K1040" s="11" t="n"/>
      <c r="L1040" s="11" t="n"/>
      <c r="M1040" s="11" t="n"/>
    </row>
    <row r="1041">
      <c r="A1041" s="11" t="n"/>
      <c r="B1041" s="11" t="n"/>
      <c r="C1041" s="11" t="n"/>
      <c r="D1041" s="11" t="n"/>
      <c r="E1041" s="11" t="n"/>
      <c r="F1041" s="11" t="n"/>
      <c r="G1041" s="11" t="n"/>
      <c r="H1041" s="11" t="n"/>
      <c r="I1041" s="11" t="n"/>
      <c r="J1041" s="11" t="n"/>
      <c r="K1041" s="11" t="n"/>
      <c r="L1041" s="11" t="n"/>
      <c r="M1041" s="11" t="n"/>
    </row>
    <row r="1042">
      <c r="A1042" s="11" t="n"/>
      <c r="B1042" s="11" t="n"/>
      <c r="C1042" s="11" t="n"/>
      <c r="D1042" s="11" t="n"/>
      <c r="E1042" s="11" t="n"/>
      <c r="F1042" s="11" t="n"/>
      <c r="G1042" s="11" t="n"/>
      <c r="H1042" s="11" t="n"/>
      <c r="I1042" s="11" t="n"/>
      <c r="J1042" s="11" t="n"/>
      <c r="K1042" s="11" t="n"/>
      <c r="L1042" s="11" t="n"/>
      <c r="M1042" s="11" t="n"/>
    </row>
    <row r="1043">
      <c r="A1043" s="11" t="n"/>
      <c r="B1043" s="11" t="n"/>
      <c r="C1043" s="11" t="n"/>
      <c r="D1043" s="11" t="n"/>
      <c r="E1043" s="11" t="n"/>
      <c r="F1043" s="11" t="n"/>
      <c r="G1043" s="11" t="n"/>
      <c r="H1043" s="11" t="n"/>
      <c r="I1043" s="11" t="n"/>
      <c r="J1043" s="11" t="n"/>
      <c r="K1043" s="11" t="n"/>
      <c r="L1043" s="11" t="n"/>
      <c r="M1043" s="11" t="n"/>
    </row>
    <row r="1044">
      <c r="A1044" s="11" t="n"/>
      <c r="B1044" s="11" t="n"/>
      <c r="C1044" s="11" t="n"/>
      <c r="D1044" s="11" t="n"/>
      <c r="E1044" s="11" t="n"/>
      <c r="F1044" s="11" t="n"/>
      <c r="G1044" s="11" t="n"/>
      <c r="H1044" s="11" t="n"/>
      <c r="I1044" s="11" t="n"/>
      <c r="J1044" s="11" t="n"/>
      <c r="K1044" s="11" t="n"/>
      <c r="L1044" s="11" t="n"/>
      <c r="M1044" s="11" t="n"/>
    </row>
    <row r="1045">
      <c r="A1045" s="11" t="n"/>
      <c r="B1045" s="11" t="n"/>
      <c r="C1045" s="11" t="n"/>
      <c r="D1045" s="11" t="n"/>
      <c r="E1045" s="11" t="n"/>
      <c r="F1045" s="11" t="n"/>
      <c r="G1045" s="11" t="n"/>
      <c r="H1045" s="11" t="n"/>
      <c r="I1045" s="11" t="n"/>
      <c r="J1045" s="11" t="n"/>
      <c r="K1045" s="11" t="n"/>
      <c r="L1045" s="11" t="n"/>
      <c r="M1045" s="11" t="n"/>
    </row>
    <row r="1046">
      <c r="A1046" s="11" t="n"/>
      <c r="B1046" s="11" t="n"/>
      <c r="C1046" s="11" t="n"/>
      <c r="D1046" s="11" t="n"/>
      <c r="E1046" s="11" t="n"/>
      <c r="F1046" s="11" t="n"/>
      <c r="G1046" s="11" t="n"/>
      <c r="H1046" s="11" t="n"/>
      <c r="I1046" s="11" t="n"/>
      <c r="J1046" s="11" t="n"/>
      <c r="K1046" s="11" t="n"/>
      <c r="L1046" s="11" t="n"/>
      <c r="M1046" s="11" t="n"/>
    </row>
    <row r="1047">
      <c r="A1047" s="11" t="n"/>
      <c r="B1047" s="11" t="n"/>
      <c r="C1047" s="11" t="n"/>
      <c r="D1047" s="11" t="n"/>
      <c r="E1047" s="11" t="n"/>
      <c r="F1047" s="11" t="n"/>
      <c r="G1047" s="11" t="n"/>
      <c r="H1047" s="11" t="n"/>
      <c r="I1047" s="11" t="n"/>
      <c r="J1047" s="11" t="n"/>
      <c r="K1047" s="11" t="n"/>
      <c r="L1047" s="11" t="n"/>
      <c r="M1047" s="11" t="n"/>
    </row>
    <row r="1048">
      <c r="A1048" s="11" t="n"/>
      <c r="B1048" s="11" t="n"/>
      <c r="C1048" s="11" t="n"/>
      <c r="D1048" s="11" t="n"/>
      <c r="E1048" s="11" t="n"/>
      <c r="F1048" s="11" t="n"/>
      <c r="G1048" s="11" t="n"/>
      <c r="H1048" s="11" t="n"/>
      <c r="I1048" s="11" t="n"/>
      <c r="J1048" s="11" t="n"/>
      <c r="K1048" s="11" t="n"/>
      <c r="L1048" s="11" t="n"/>
      <c r="M1048" s="11" t="n"/>
    </row>
    <row r="1049">
      <c r="A1049" s="11" t="n"/>
      <c r="B1049" s="11" t="n"/>
      <c r="C1049" s="11" t="n"/>
      <c r="D1049" s="11" t="n"/>
      <c r="E1049" s="11" t="n"/>
      <c r="F1049" s="11" t="n"/>
      <c r="G1049" s="11" t="n"/>
      <c r="H1049" s="11" t="n"/>
      <c r="I1049" s="11" t="n"/>
      <c r="J1049" s="11" t="n"/>
      <c r="K1049" s="11" t="n"/>
      <c r="L1049" s="11" t="n"/>
      <c r="M1049" s="11" t="n"/>
    </row>
    <row r="1050">
      <c r="A1050" s="11" t="n"/>
      <c r="B1050" s="11" t="n"/>
      <c r="C1050" s="11" t="n"/>
      <c r="D1050" s="11" t="n"/>
      <c r="E1050" s="11" t="n"/>
      <c r="F1050" s="11" t="n"/>
      <c r="G1050" s="11" t="n"/>
      <c r="H1050" s="11" t="n"/>
      <c r="I1050" s="11" t="n"/>
      <c r="J1050" s="11" t="n"/>
      <c r="K1050" s="11" t="n"/>
      <c r="L1050" s="11" t="n"/>
      <c r="M1050" s="11" t="n"/>
    </row>
    <row r="1051">
      <c r="A1051" s="11" t="n"/>
      <c r="B1051" s="11" t="n"/>
      <c r="C1051" s="11" t="n"/>
      <c r="D1051" s="11" t="n"/>
      <c r="E1051" s="11" t="n"/>
      <c r="F1051" s="11" t="n"/>
      <c r="G1051" s="11" t="n"/>
      <c r="H1051" s="11" t="n"/>
      <c r="I1051" s="11" t="n"/>
      <c r="J1051" s="11" t="n"/>
      <c r="K1051" s="11" t="n"/>
      <c r="L1051" s="11" t="n"/>
      <c r="M1051" s="11" t="n"/>
    </row>
    <row r="1052">
      <c r="A1052" s="11" t="n"/>
      <c r="B1052" s="11" t="n"/>
      <c r="C1052" s="11" t="n"/>
      <c r="D1052" s="11" t="n"/>
      <c r="E1052" s="11" t="n"/>
      <c r="F1052" s="11" t="n"/>
      <c r="G1052" s="11" t="n"/>
      <c r="H1052" s="11" t="n"/>
      <c r="I1052" s="11" t="n"/>
      <c r="J1052" s="11" t="n"/>
      <c r="K1052" s="11" t="n"/>
      <c r="L1052" s="11" t="n"/>
      <c r="M1052" s="11" t="n"/>
    </row>
    <row r="1053">
      <c r="A1053" s="11" t="n"/>
      <c r="B1053" s="11" t="n"/>
      <c r="C1053" s="11" t="n"/>
      <c r="D1053" s="11" t="n"/>
      <c r="E1053" s="11" t="n"/>
      <c r="F1053" s="11" t="n"/>
      <c r="G1053" s="11" t="n"/>
      <c r="H1053" s="11" t="n"/>
      <c r="I1053" s="11" t="n"/>
      <c r="J1053" s="11" t="n"/>
      <c r="K1053" s="11" t="n"/>
      <c r="L1053" s="11" t="n"/>
      <c r="M1053" s="11" t="n"/>
    </row>
    <row r="1054">
      <c r="A1054" s="11" t="n"/>
      <c r="B1054" s="11" t="n"/>
      <c r="C1054" s="11" t="n"/>
      <c r="D1054" s="11" t="n"/>
      <c r="E1054" s="11" t="n"/>
      <c r="F1054" s="11" t="n"/>
      <c r="G1054" s="11" t="n"/>
      <c r="H1054" s="11" t="n"/>
      <c r="I1054" s="11" t="n"/>
      <c r="J1054" s="11" t="n"/>
      <c r="K1054" s="11" t="n"/>
      <c r="L1054" s="11" t="n"/>
      <c r="M1054" s="11" t="n"/>
    </row>
    <row r="1055">
      <c r="A1055" s="11" t="n"/>
      <c r="B1055" s="11" t="n"/>
      <c r="C1055" s="11" t="n"/>
      <c r="D1055" s="11" t="n"/>
      <c r="E1055" s="11" t="n"/>
      <c r="F1055" s="11" t="n"/>
      <c r="G1055" s="11" t="n"/>
      <c r="H1055" s="11" t="n"/>
      <c r="I1055" s="11" t="n"/>
      <c r="J1055" s="11" t="n"/>
      <c r="K1055" s="11" t="n"/>
      <c r="L1055" s="11" t="n"/>
      <c r="M1055" s="11" t="n"/>
    </row>
    <row r="1056">
      <c r="A1056" s="11" t="n"/>
      <c r="B1056" s="11" t="n"/>
      <c r="C1056" s="11" t="n"/>
      <c r="D1056" s="11" t="n"/>
      <c r="E1056" s="11" t="n"/>
      <c r="F1056" s="11" t="n"/>
      <c r="G1056" s="11" t="n"/>
      <c r="H1056" s="11" t="n"/>
      <c r="I1056" s="11" t="n"/>
      <c r="J1056" s="11" t="n"/>
      <c r="K1056" s="11" t="n"/>
      <c r="L1056" s="11" t="n"/>
      <c r="M1056" s="11" t="n"/>
    </row>
    <row r="1057">
      <c r="A1057" s="11" t="n"/>
      <c r="B1057" s="11" t="n"/>
      <c r="C1057" s="11" t="n"/>
      <c r="D1057" s="11" t="n"/>
      <c r="E1057" s="11" t="n"/>
      <c r="F1057" s="11" t="n"/>
      <c r="G1057" s="11" t="n"/>
      <c r="H1057" s="11" t="n"/>
      <c r="I1057" s="11" t="n"/>
      <c r="J1057" s="11" t="n"/>
      <c r="K1057" s="11" t="n"/>
      <c r="L1057" s="11" t="n"/>
      <c r="M1057" s="11" t="n"/>
    </row>
    <row r="1058">
      <c r="A1058" s="11" t="n"/>
      <c r="B1058" s="11" t="n"/>
      <c r="C1058" s="11" t="n"/>
      <c r="D1058" s="11" t="n"/>
      <c r="E1058" s="11" t="n"/>
      <c r="F1058" s="11" t="n"/>
      <c r="G1058" s="11" t="n"/>
      <c r="H1058" s="11" t="n"/>
      <c r="I1058" s="11" t="n"/>
      <c r="J1058" s="11" t="n"/>
      <c r="K1058" s="11" t="n"/>
      <c r="L1058" s="11" t="n"/>
      <c r="M1058" s="11" t="n"/>
    </row>
    <row r="1059">
      <c r="A1059" s="11" t="n"/>
      <c r="B1059" s="11" t="n"/>
      <c r="C1059" s="11" t="n"/>
      <c r="D1059" s="11" t="n"/>
      <c r="E1059" s="11" t="n"/>
      <c r="F1059" s="11" t="n"/>
      <c r="G1059" s="11" t="n"/>
      <c r="H1059" s="11" t="n"/>
      <c r="I1059" s="11" t="n"/>
      <c r="J1059" s="11" t="n"/>
      <c r="K1059" s="11" t="n"/>
      <c r="L1059" s="11" t="n"/>
      <c r="M1059" s="11" t="n"/>
    </row>
    <row r="1060">
      <c r="A1060" s="11" t="n"/>
      <c r="B1060" s="11" t="n"/>
      <c r="C1060" s="11" t="n"/>
      <c r="D1060" s="11" t="n"/>
      <c r="E1060" s="11" t="n"/>
      <c r="F1060" s="11" t="n"/>
      <c r="G1060" s="11" t="n"/>
      <c r="H1060" s="11" t="n"/>
      <c r="I1060" s="11" t="n"/>
      <c r="J1060" s="11" t="n"/>
      <c r="K1060" s="11" t="n"/>
      <c r="L1060" s="11" t="n"/>
      <c r="M1060" s="11" t="n"/>
    </row>
    <row r="1061">
      <c r="A1061" s="11" t="n"/>
      <c r="B1061" s="11" t="n"/>
      <c r="C1061" s="11" t="n"/>
      <c r="D1061" s="11" t="n"/>
      <c r="E1061" s="11" t="n"/>
      <c r="F1061" s="11" t="n"/>
      <c r="G1061" s="11" t="n"/>
      <c r="H1061" s="11" t="n"/>
      <c r="I1061" s="11" t="n"/>
      <c r="J1061" s="11" t="n"/>
      <c r="K1061" s="11" t="n"/>
      <c r="L1061" s="11" t="n"/>
      <c r="M1061" s="11" t="n"/>
    </row>
    <row r="1062">
      <c r="A1062" s="11" t="n"/>
      <c r="B1062" s="11" t="n"/>
      <c r="C1062" s="11" t="n"/>
      <c r="D1062" s="11" t="n"/>
      <c r="E1062" s="11" t="n"/>
      <c r="F1062" s="11" t="n"/>
      <c r="G1062" s="11" t="n"/>
      <c r="H1062" s="11" t="n"/>
      <c r="I1062" s="11" t="n"/>
      <c r="J1062" s="11" t="n"/>
      <c r="K1062" s="11" t="n"/>
      <c r="L1062" s="11" t="n"/>
      <c r="M1062" s="11" t="n"/>
    </row>
    <row r="1063">
      <c r="A1063" s="11" t="n"/>
      <c r="B1063" s="11" t="n"/>
      <c r="C1063" s="11" t="n"/>
      <c r="D1063" s="11" t="n"/>
      <c r="E1063" s="11" t="n"/>
      <c r="F1063" s="11" t="n"/>
      <c r="G1063" s="11" t="n"/>
      <c r="H1063" s="11" t="n"/>
      <c r="I1063" s="11" t="n"/>
      <c r="J1063" s="11" t="n"/>
      <c r="K1063" s="11" t="n"/>
      <c r="L1063" s="11" t="n"/>
      <c r="M1063" s="11" t="n"/>
    </row>
    <row r="1064">
      <c r="A1064" s="11" t="n"/>
      <c r="B1064" s="11" t="n"/>
      <c r="C1064" s="11" t="n"/>
      <c r="D1064" s="11" t="n"/>
      <c r="E1064" s="11" t="n"/>
      <c r="F1064" s="11" t="n"/>
      <c r="G1064" s="11" t="n"/>
      <c r="H1064" s="11" t="n"/>
      <c r="I1064" s="11" t="n"/>
      <c r="J1064" s="11" t="n"/>
      <c r="K1064" s="11" t="n"/>
      <c r="L1064" s="11" t="n"/>
      <c r="M1064" s="11" t="n"/>
    </row>
    <row r="1065">
      <c r="A1065" s="11" t="n"/>
      <c r="B1065" s="11" t="n"/>
      <c r="C1065" s="11" t="n"/>
      <c r="D1065" s="11" t="n"/>
      <c r="E1065" s="11" t="n"/>
      <c r="F1065" s="11" t="n"/>
      <c r="G1065" s="11" t="n"/>
      <c r="H1065" s="11" t="n"/>
      <c r="I1065" s="11" t="n"/>
      <c r="J1065" s="11" t="n"/>
      <c r="K1065" s="11" t="n"/>
      <c r="L1065" s="11" t="n"/>
      <c r="M1065" s="11" t="n"/>
    </row>
    <row r="1066">
      <c r="A1066" s="11" t="n"/>
      <c r="B1066" s="11" t="n"/>
      <c r="C1066" s="11" t="n"/>
      <c r="D1066" s="11" t="n"/>
      <c r="E1066" s="11" t="n"/>
      <c r="F1066" s="11" t="n"/>
      <c r="G1066" s="11" t="n"/>
      <c r="H1066" s="11" t="n"/>
      <c r="I1066" s="11" t="n"/>
      <c r="J1066" s="11" t="n"/>
      <c r="K1066" s="11" t="n"/>
      <c r="L1066" s="11" t="n"/>
      <c r="M1066" s="11" t="n"/>
    </row>
    <row r="1067">
      <c r="A1067" s="11" t="n"/>
      <c r="B1067" s="11" t="n"/>
      <c r="C1067" s="11" t="n"/>
      <c r="D1067" s="11" t="n"/>
      <c r="E1067" s="11" t="n"/>
      <c r="F1067" s="11" t="n"/>
      <c r="G1067" s="11" t="n"/>
      <c r="H1067" s="11" t="n"/>
      <c r="I1067" s="11" t="n"/>
      <c r="J1067" s="11" t="n"/>
      <c r="K1067" s="11" t="n"/>
      <c r="L1067" s="11" t="n"/>
      <c r="M1067" s="11" t="n"/>
    </row>
    <row r="1068">
      <c r="A1068" s="11" t="n"/>
      <c r="B1068" s="11" t="n"/>
      <c r="C1068" s="11" t="n"/>
      <c r="D1068" s="11" t="n"/>
      <c r="E1068" s="11" t="n"/>
      <c r="F1068" s="11" t="n"/>
      <c r="G1068" s="11" t="n"/>
      <c r="H1068" s="11" t="n"/>
      <c r="I1068" s="11" t="n"/>
      <c r="J1068" s="11" t="n"/>
      <c r="K1068" s="11" t="n"/>
      <c r="L1068" s="11" t="n"/>
      <c r="M1068" s="11" t="n"/>
    </row>
    <row r="1069">
      <c r="A1069" s="11" t="n"/>
      <c r="B1069" s="11" t="n"/>
      <c r="C1069" s="11" t="n"/>
      <c r="D1069" s="11" t="n"/>
      <c r="E1069" s="11" t="n"/>
      <c r="F1069" s="11" t="n"/>
      <c r="G1069" s="11" t="n"/>
      <c r="H1069" s="11" t="n"/>
      <c r="I1069" s="11" t="n"/>
      <c r="J1069" s="11" t="n"/>
      <c r="K1069" s="11" t="n"/>
      <c r="L1069" s="11" t="n"/>
      <c r="M1069" s="11" t="n"/>
    </row>
    <row r="1070">
      <c r="A1070" s="11" t="n"/>
      <c r="B1070" s="11" t="n"/>
      <c r="C1070" s="11" t="n"/>
      <c r="D1070" s="11" t="n"/>
      <c r="E1070" s="11" t="n"/>
      <c r="F1070" s="11" t="n"/>
      <c r="G1070" s="11" t="n"/>
      <c r="H1070" s="11" t="n"/>
      <c r="I1070" s="11" t="n"/>
      <c r="J1070" s="11" t="n"/>
      <c r="K1070" s="11" t="n"/>
      <c r="L1070" s="11" t="n"/>
      <c r="M1070" s="11" t="n"/>
    </row>
    <row r="1071">
      <c r="A1071" s="11" t="n"/>
      <c r="B1071" s="11" t="n"/>
      <c r="C1071" s="11" t="n"/>
      <c r="D1071" s="11" t="n"/>
      <c r="E1071" s="11" t="n"/>
      <c r="F1071" s="11" t="n"/>
      <c r="G1071" s="11" t="n"/>
      <c r="H1071" s="11" t="n"/>
      <c r="I1071" s="11" t="n"/>
      <c r="J1071" s="11" t="n"/>
      <c r="K1071" s="11" t="n"/>
      <c r="L1071" s="11" t="n"/>
      <c r="M1071" s="11" t="n"/>
    </row>
    <row r="1072">
      <c r="A1072" s="11" t="n"/>
      <c r="B1072" s="11" t="n"/>
      <c r="C1072" s="11" t="n"/>
      <c r="D1072" s="11" t="n"/>
      <c r="E1072" s="11" t="n"/>
      <c r="F1072" s="11" t="n"/>
      <c r="G1072" s="11" t="n"/>
      <c r="H1072" s="11" t="n"/>
      <c r="I1072" s="11" t="n"/>
      <c r="J1072" s="11" t="n"/>
      <c r="K1072" s="11" t="n"/>
      <c r="L1072" s="11" t="n"/>
      <c r="M1072" s="11" t="n"/>
    </row>
    <row r="1073">
      <c r="A1073" s="11" t="n"/>
      <c r="B1073" s="11" t="n"/>
      <c r="C1073" s="11" t="n"/>
      <c r="D1073" s="11" t="n"/>
      <c r="E1073" s="11" t="n"/>
      <c r="F1073" s="11" t="n"/>
      <c r="G1073" s="11" t="n"/>
      <c r="H1073" s="11" t="n"/>
      <c r="I1073" s="11" t="n"/>
      <c r="J1073" s="11" t="n"/>
      <c r="K1073" s="11" t="n"/>
      <c r="L1073" s="11" t="n"/>
      <c r="M1073" s="11" t="n"/>
    </row>
    <row r="1074">
      <c r="A1074" s="11" t="n"/>
      <c r="B1074" s="11" t="n"/>
      <c r="C1074" s="11" t="n"/>
      <c r="D1074" s="11" t="n"/>
      <c r="E1074" s="11" t="n"/>
      <c r="F1074" s="11" t="n"/>
      <c r="G1074" s="11" t="n"/>
      <c r="H1074" s="11" t="n"/>
      <c r="I1074" s="11" t="n"/>
      <c r="J1074" s="11" t="n"/>
      <c r="K1074" s="11" t="n"/>
      <c r="L1074" s="11" t="n"/>
      <c r="M1074" s="11" t="n"/>
    </row>
    <row r="1075">
      <c r="A1075" s="11" t="n"/>
      <c r="B1075" s="11" t="n"/>
      <c r="C1075" s="11" t="n"/>
      <c r="D1075" s="11" t="n"/>
      <c r="E1075" s="11" t="n"/>
      <c r="F1075" s="11" t="n"/>
      <c r="G1075" s="11" t="n"/>
      <c r="H1075" s="11" t="n"/>
      <c r="I1075" s="11" t="n"/>
      <c r="J1075" s="11" t="n"/>
      <c r="K1075" s="11" t="n"/>
      <c r="L1075" s="11" t="n"/>
      <c r="M1075" s="11" t="n"/>
    </row>
    <row r="1076">
      <c r="A1076" s="11" t="n"/>
      <c r="B1076" s="11" t="n"/>
      <c r="C1076" s="11" t="n"/>
      <c r="D1076" s="11" t="n"/>
      <c r="E1076" s="11" t="n"/>
      <c r="F1076" s="11" t="n"/>
      <c r="G1076" s="11" t="n"/>
      <c r="H1076" s="11" t="n"/>
      <c r="I1076" s="11" t="n"/>
      <c r="J1076" s="11" t="n"/>
      <c r="K1076" s="11" t="n"/>
      <c r="L1076" s="11" t="n"/>
      <c r="M1076" s="11" t="n"/>
    </row>
    <row r="1077">
      <c r="A1077" s="11" t="n"/>
      <c r="B1077" s="11" t="n"/>
      <c r="C1077" s="11" t="n"/>
      <c r="D1077" s="11" t="n"/>
      <c r="E1077" s="11" t="n"/>
      <c r="F1077" s="11" t="n"/>
      <c r="G1077" s="11" t="n"/>
      <c r="H1077" s="11" t="n"/>
      <c r="I1077" s="11" t="n"/>
      <c r="J1077" s="11" t="n"/>
      <c r="K1077" s="11" t="n"/>
      <c r="L1077" s="11" t="n"/>
      <c r="M1077" s="11" t="n"/>
    </row>
    <row r="1078">
      <c r="A1078" s="11" t="n"/>
      <c r="B1078" s="11" t="n"/>
      <c r="C1078" s="11" t="n"/>
      <c r="D1078" s="11" t="n"/>
      <c r="E1078" s="11" t="n"/>
      <c r="F1078" s="11" t="n"/>
      <c r="G1078" s="11" t="n"/>
      <c r="H1078" s="11" t="n"/>
      <c r="I1078" s="11" t="n"/>
      <c r="J1078" s="11" t="n"/>
      <c r="K1078" s="11" t="n"/>
      <c r="L1078" s="11" t="n"/>
      <c r="M1078" s="11" t="n"/>
    </row>
    <row r="1079">
      <c r="A1079" s="11" t="n"/>
      <c r="B1079" s="11" t="n"/>
      <c r="C1079" s="11" t="n"/>
      <c r="D1079" s="11" t="n"/>
      <c r="E1079" s="11" t="n"/>
      <c r="F1079" s="11" t="n"/>
      <c r="G1079" s="11" t="n"/>
      <c r="H1079" s="11" t="n"/>
      <c r="I1079" s="11" t="n"/>
      <c r="J1079" s="11" t="n"/>
      <c r="K1079" s="11" t="n"/>
      <c r="L1079" s="11" t="n"/>
      <c r="M1079" s="11" t="n"/>
    </row>
    <row r="1080">
      <c r="A1080" s="11" t="n"/>
      <c r="B1080" s="11" t="n"/>
      <c r="C1080" s="11" t="n"/>
      <c r="D1080" s="11" t="n"/>
      <c r="E1080" s="11" t="n"/>
      <c r="F1080" s="11" t="n"/>
      <c r="G1080" s="11" t="n"/>
      <c r="H1080" s="11" t="n"/>
      <c r="I1080" s="11" t="n"/>
      <c r="J1080" s="11" t="n"/>
      <c r="K1080" s="11" t="n"/>
      <c r="L1080" s="11" t="n"/>
      <c r="M1080" s="11" t="n"/>
    </row>
    <row r="1081">
      <c r="A1081" s="11" t="n"/>
      <c r="B1081" s="11" t="n"/>
      <c r="C1081" s="11" t="n"/>
      <c r="D1081" s="11" t="n"/>
      <c r="E1081" s="11" t="n"/>
      <c r="F1081" s="11" t="n"/>
      <c r="G1081" s="11" t="n"/>
      <c r="H1081" s="11" t="n"/>
      <c r="I1081" s="11" t="n"/>
      <c r="J1081" s="11" t="n"/>
      <c r="K1081" s="11" t="n"/>
      <c r="L1081" s="11" t="n"/>
      <c r="M1081" s="11" t="n"/>
    </row>
    <row r="1082">
      <c r="A1082" s="11" t="n"/>
      <c r="B1082" s="11" t="n"/>
      <c r="C1082" s="11" t="n"/>
      <c r="D1082" s="11" t="n"/>
      <c r="E1082" s="11" t="n"/>
      <c r="F1082" s="11" t="n"/>
      <c r="G1082" s="11" t="n"/>
      <c r="H1082" s="11" t="n"/>
      <c r="I1082" s="11" t="n"/>
      <c r="J1082" s="11" t="n"/>
      <c r="K1082" s="11" t="n"/>
      <c r="L1082" s="11" t="n"/>
      <c r="M1082" s="11" t="n"/>
    </row>
    <row r="1083">
      <c r="A1083" s="11" t="n"/>
      <c r="B1083" s="11" t="n"/>
      <c r="C1083" s="11" t="n"/>
      <c r="D1083" s="11" t="n"/>
      <c r="E1083" s="11" t="n"/>
      <c r="F1083" s="11" t="n"/>
      <c r="G1083" s="11" t="n"/>
      <c r="H1083" s="11" t="n"/>
      <c r="I1083" s="11" t="n"/>
      <c r="J1083" s="11" t="n"/>
      <c r="K1083" s="11" t="n"/>
      <c r="L1083" s="11" t="n"/>
      <c r="M1083" s="11" t="n"/>
    </row>
    <row r="1084">
      <c r="A1084" s="11" t="n"/>
      <c r="B1084" s="11" t="n"/>
      <c r="C1084" s="11" t="n"/>
      <c r="D1084" s="11" t="n"/>
      <c r="E1084" s="11" t="n"/>
      <c r="F1084" s="11" t="n"/>
      <c r="G1084" s="11" t="n"/>
      <c r="H1084" s="11" t="n"/>
      <c r="I1084" s="11" t="n"/>
      <c r="J1084" s="11" t="n"/>
      <c r="K1084" s="11" t="n"/>
      <c r="L1084" s="11" t="n"/>
      <c r="M1084" s="11" t="n"/>
    </row>
    <row r="1085">
      <c r="A1085" s="11" t="n"/>
      <c r="B1085" s="11" t="n"/>
      <c r="C1085" s="11" t="n"/>
      <c r="D1085" s="11" t="n"/>
      <c r="E1085" s="11" t="n"/>
      <c r="F1085" s="11" t="n"/>
      <c r="G1085" s="11" t="n"/>
      <c r="H1085" s="11" t="n"/>
      <c r="I1085" s="11" t="n"/>
      <c r="J1085" s="11" t="n"/>
      <c r="K1085" s="11" t="n"/>
      <c r="L1085" s="11" t="n"/>
      <c r="M1085" s="11" t="n"/>
    </row>
    <row r="1086">
      <c r="A1086" s="11" t="n"/>
      <c r="B1086" s="11" t="n"/>
      <c r="C1086" s="11" t="n"/>
      <c r="D1086" s="11" t="n"/>
      <c r="E1086" s="11" t="n"/>
      <c r="F1086" s="11" t="n"/>
      <c r="G1086" s="11" t="n"/>
      <c r="H1086" s="11" t="n"/>
      <c r="I1086" s="11" t="n"/>
      <c r="J1086" s="11" t="n"/>
      <c r="K1086" s="11" t="n"/>
      <c r="L1086" s="11" t="n"/>
      <c r="M1086" s="11" t="n"/>
    </row>
    <row r="1087">
      <c r="A1087" s="11" t="n"/>
      <c r="B1087" s="11" t="n"/>
      <c r="C1087" s="11" t="n"/>
      <c r="D1087" s="11" t="n"/>
      <c r="E1087" s="11" t="n"/>
      <c r="F1087" s="11" t="n"/>
      <c r="G1087" s="11" t="n"/>
      <c r="H1087" s="11" t="n"/>
      <c r="I1087" s="11" t="n"/>
      <c r="J1087" s="11" t="n"/>
      <c r="K1087" s="11" t="n"/>
      <c r="L1087" s="11" t="n"/>
      <c r="M1087" s="11" t="n"/>
    </row>
    <row r="1088">
      <c r="A1088" s="11" t="n"/>
      <c r="B1088" s="11" t="n"/>
      <c r="C1088" s="11" t="n"/>
      <c r="D1088" s="11" t="n"/>
      <c r="E1088" s="11" t="n"/>
      <c r="F1088" s="11" t="n"/>
      <c r="G1088" s="11" t="n"/>
      <c r="H1088" s="11" t="n"/>
      <c r="I1088" s="11" t="n"/>
      <c r="J1088" s="11" t="n"/>
      <c r="K1088" s="11" t="n"/>
      <c r="L1088" s="11" t="n"/>
      <c r="M1088" s="11" t="n"/>
    </row>
    <row r="1089">
      <c r="A1089" s="11" t="n"/>
      <c r="B1089" s="11" t="n"/>
      <c r="C1089" s="11" t="n"/>
      <c r="D1089" s="11" t="n"/>
      <c r="E1089" s="11" t="n"/>
      <c r="F1089" s="11" t="n"/>
      <c r="G1089" s="11" t="n"/>
      <c r="H1089" s="11" t="n"/>
      <c r="I1089" s="11" t="n"/>
      <c r="J1089" s="11" t="n"/>
      <c r="K1089" s="11" t="n"/>
      <c r="L1089" s="11" t="n"/>
      <c r="M1089" s="11" t="n"/>
    </row>
    <row r="1090">
      <c r="A1090" s="11" t="n"/>
      <c r="B1090" s="11" t="n"/>
      <c r="C1090" s="11" t="n"/>
      <c r="D1090" s="11" t="n"/>
      <c r="E1090" s="11" t="n"/>
      <c r="F1090" s="11" t="n"/>
      <c r="G1090" s="11" t="n"/>
      <c r="H1090" s="11" t="n"/>
      <c r="I1090" s="11" t="n"/>
      <c r="J1090" s="11" t="n"/>
      <c r="K1090" s="11" t="n"/>
      <c r="L1090" s="11" t="n"/>
      <c r="M1090" s="11" t="n"/>
    </row>
    <row r="1091">
      <c r="A1091" s="11" t="n"/>
      <c r="B1091" s="11" t="n"/>
      <c r="C1091" s="11" t="n"/>
      <c r="D1091" s="11" t="n"/>
      <c r="E1091" s="11" t="n"/>
      <c r="F1091" s="11" t="n"/>
      <c r="G1091" s="11" t="n"/>
      <c r="H1091" s="11" t="n"/>
      <c r="I1091" s="11" t="n"/>
      <c r="J1091" s="11" t="n"/>
      <c r="K1091" s="11" t="n"/>
      <c r="L1091" s="11" t="n"/>
      <c r="M1091" s="11" t="n"/>
    </row>
    <row r="1092">
      <c r="A1092" s="11" t="n"/>
      <c r="B1092" s="11" t="n"/>
      <c r="C1092" s="11" t="n"/>
      <c r="D1092" s="11" t="n"/>
      <c r="E1092" s="11" t="n"/>
      <c r="F1092" s="11" t="n"/>
      <c r="G1092" s="11" t="n"/>
      <c r="H1092" s="11" t="n"/>
      <c r="I1092" s="11" t="n"/>
      <c r="J1092" s="11" t="n"/>
      <c r="K1092" s="11" t="n"/>
      <c r="L1092" s="11" t="n"/>
      <c r="M1092" s="11" t="n"/>
    </row>
    <row r="1093">
      <c r="A1093" s="11" t="n"/>
      <c r="B1093" s="11" t="n"/>
      <c r="C1093" s="11" t="n"/>
      <c r="D1093" s="11" t="n"/>
      <c r="E1093" s="11" t="n"/>
      <c r="F1093" s="11" t="n"/>
      <c r="G1093" s="11" t="n"/>
      <c r="H1093" s="11" t="n"/>
      <c r="I1093" s="11" t="n"/>
      <c r="J1093" s="11" t="n"/>
      <c r="K1093" s="11" t="n"/>
      <c r="L1093" s="11" t="n"/>
      <c r="M1093" s="11" t="n"/>
    </row>
    <row r="1094">
      <c r="A1094" s="11" t="n"/>
      <c r="B1094" s="11" t="n"/>
      <c r="C1094" s="11" t="n"/>
      <c r="D1094" s="11" t="n"/>
      <c r="E1094" s="11" t="n"/>
      <c r="F1094" s="11" t="n"/>
      <c r="G1094" s="11" t="n"/>
      <c r="H1094" s="11" t="n"/>
      <c r="I1094" s="11" t="n"/>
      <c r="J1094" s="11" t="n"/>
      <c r="K1094" s="11" t="n"/>
      <c r="L1094" s="11" t="n"/>
      <c r="M1094" s="11" t="n"/>
    </row>
    <row r="1095">
      <c r="A1095" s="11" t="n"/>
      <c r="B1095" s="11" t="n"/>
      <c r="C1095" s="11" t="n"/>
      <c r="D1095" s="11" t="n"/>
      <c r="E1095" s="11" t="n"/>
      <c r="F1095" s="11" t="n"/>
      <c r="G1095" s="11" t="n"/>
      <c r="H1095" s="11" t="n"/>
      <c r="I1095" s="11" t="n"/>
      <c r="J1095" s="11" t="n"/>
      <c r="K1095" s="11" t="n"/>
      <c r="L1095" s="11" t="n"/>
      <c r="M1095" s="11" t="n"/>
    </row>
    <row r="1096">
      <c r="A1096" s="11" t="n"/>
      <c r="B1096" s="11" t="n"/>
      <c r="C1096" s="11" t="n"/>
      <c r="D1096" s="11" t="n"/>
      <c r="E1096" s="11" t="n"/>
      <c r="F1096" s="11" t="n"/>
      <c r="G1096" s="11" t="n"/>
      <c r="H1096" s="11" t="n"/>
      <c r="I1096" s="11" t="n"/>
      <c r="J1096" s="11" t="n"/>
      <c r="K1096" s="11" t="n"/>
      <c r="L1096" s="11" t="n"/>
      <c r="M1096" s="11" t="n"/>
    </row>
    <row r="1097">
      <c r="A1097" s="11" t="n"/>
      <c r="B1097" s="11" t="n"/>
      <c r="C1097" s="11" t="n"/>
      <c r="D1097" s="11" t="n"/>
      <c r="E1097" s="11" t="n"/>
      <c r="F1097" s="11" t="n"/>
      <c r="G1097" s="11" t="n"/>
      <c r="H1097" s="11" t="n"/>
      <c r="I1097" s="11" t="n"/>
      <c r="J1097" s="11" t="n"/>
      <c r="K1097" s="11" t="n"/>
      <c r="L1097" s="11" t="n"/>
      <c r="M1097" s="11" t="n"/>
    </row>
    <row r="1098">
      <c r="A1098" s="11" t="n"/>
      <c r="B1098" s="11" t="n"/>
      <c r="C1098" s="11" t="n"/>
      <c r="D1098" s="11" t="n"/>
      <c r="E1098" s="11" t="n"/>
      <c r="F1098" s="11" t="n"/>
      <c r="G1098" s="11" t="n"/>
      <c r="H1098" s="11" t="n"/>
      <c r="I1098" s="11" t="n"/>
      <c r="J1098" s="11" t="n"/>
      <c r="K1098" s="11" t="n"/>
      <c r="L1098" s="11" t="n"/>
      <c r="M1098" s="11" t="n"/>
    </row>
    <row r="1099">
      <c r="A1099" s="11" t="n"/>
      <c r="B1099" s="11" t="n"/>
      <c r="C1099" s="11" t="n"/>
      <c r="D1099" s="11" t="n"/>
      <c r="E1099" s="11" t="n"/>
      <c r="F1099" s="11" t="n"/>
      <c r="G1099" s="11" t="n"/>
      <c r="H1099" s="11" t="n"/>
      <c r="I1099" s="11" t="n"/>
      <c r="J1099" s="11" t="n"/>
      <c r="K1099" s="11" t="n"/>
      <c r="L1099" s="11" t="n"/>
      <c r="M1099" s="11" t="n"/>
    </row>
    <row r="1100">
      <c r="A1100" s="11" t="n"/>
      <c r="B1100" s="11" t="n"/>
      <c r="C1100" s="11" t="n"/>
      <c r="D1100" s="11" t="n"/>
      <c r="E1100" s="11" t="n"/>
      <c r="F1100" s="11" t="n"/>
      <c r="G1100" s="11" t="n"/>
      <c r="H1100" s="11" t="n"/>
      <c r="I1100" s="11" t="n"/>
      <c r="J1100" s="11" t="n"/>
      <c r="K1100" s="11" t="n"/>
      <c r="L1100" s="11" t="n"/>
      <c r="M1100" s="11" t="n"/>
    </row>
    <row r="1101">
      <c r="A1101" s="11" t="n"/>
      <c r="B1101" s="11" t="n"/>
      <c r="C1101" s="11" t="n"/>
      <c r="D1101" s="11" t="n"/>
      <c r="E1101" s="11" t="n"/>
      <c r="F1101" s="11" t="n"/>
      <c r="G1101" s="11" t="n"/>
      <c r="H1101" s="11" t="n"/>
      <c r="I1101" s="11" t="n"/>
      <c r="J1101" s="11" t="n"/>
      <c r="K1101" s="11" t="n"/>
      <c r="L1101" s="11" t="n"/>
      <c r="M1101" s="11" t="n"/>
    </row>
    <row r="1102">
      <c r="A1102" s="11" t="n"/>
      <c r="B1102" s="11" t="n"/>
      <c r="C1102" s="11" t="n"/>
      <c r="D1102" s="11" t="n"/>
      <c r="E1102" s="11" t="n"/>
      <c r="F1102" s="11" t="n"/>
      <c r="G1102" s="11" t="n"/>
      <c r="H1102" s="11" t="n"/>
      <c r="I1102" s="11" t="n"/>
      <c r="J1102" s="11" t="n"/>
      <c r="K1102" s="11" t="n"/>
      <c r="L1102" s="11" t="n"/>
      <c r="M1102" s="11" t="n"/>
    </row>
    <row r="1103">
      <c r="A1103" s="11" t="n"/>
      <c r="B1103" s="11" t="n"/>
      <c r="C1103" s="11" t="n"/>
      <c r="D1103" s="11" t="n"/>
      <c r="E1103" s="11" t="n"/>
      <c r="F1103" s="11" t="n"/>
      <c r="G1103" s="11" t="n"/>
      <c r="H1103" s="11" t="n"/>
      <c r="I1103" s="11" t="n"/>
      <c r="J1103" s="11" t="n"/>
      <c r="K1103" s="11" t="n"/>
      <c r="L1103" s="11" t="n"/>
      <c r="M1103" s="11" t="n"/>
    </row>
    <row r="1104">
      <c r="A1104" s="11" t="n"/>
      <c r="B1104" s="11" t="n"/>
      <c r="C1104" s="11" t="n"/>
      <c r="D1104" s="11" t="n"/>
      <c r="E1104" s="11" t="n"/>
      <c r="F1104" s="11" t="n"/>
      <c r="G1104" s="11" t="n"/>
      <c r="H1104" s="11" t="n"/>
      <c r="I1104" s="11" t="n"/>
      <c r="J1104" s="11" t="n"/>
      <c r="K1104" s="11" t="n"/>
      <c r="L1104" s="11" t="n"/>
      <c r="M1104" s="11" t="n"/>
    </row>
    <row r="1105">
      <c r="A1105" s="11" t="n"/>
      <c r="B1105" s="11" t="n"/>
      <c r="C1105" s="11" t="n"/>
      <c r="D1105" s="11" t="n"/>
      <c r="E1105" s="11" t="n"/>
      <c r="F1105" s="11" t="n"/>
      <c r="G1105" s="11" t="n"/>
      <c r="H1105" s="11" t="n"/>
      <c r="I1105" s="11" t="n"/>
      <c r="J1105" s="11" t="n"/>
      <c r="K1105" s="11" t="n"/>
      <c r="L1105" s="11" t="n"/>
      <c r="M1105" s="11" t="n"/>
    </row>
    <row r="1106">
      <c r="A1106" s="11" t="n"/>
      <c r="B1106" s="11" t="n"/>
      <c r="C1106" s="11" t="n"/>
      <c r="D1106" s="11" t="n"/>
      <c r="E1106" s="11" t="n"/>
      <c r="F1106" s="11" t="n"/>
      <c r="G1106" s="11" t="n"/>
      <c r="H1106" s="11" t="n"/>
      <c r="I1106" s="11" t="n"/>
      <c r="J1106" s="11" t="n"/>
      <c r="K1106" s="11" t="n"/>
      <c r="L1106" s="11" t="n"/>
      <c r="M1106" s="11" t="n"/>
    </row>
    <row r="1107">
      <c r="A1107" s="11" t="n"/>
      <c r="B1107" s="11" t="n"/>
      <c r="C1107" s="11" t="n"/>
      <c r="D1107" s="11" t="n"/>
      <c r="E1107" s="11" t="n"/>
      <c r="F1107" s="11" t="n"/>
      <c r="G1107" s="11" t="n"/>
      <c r="H1107" s="11" t="n"/>
      <c r="I1107" s="11" t="n"/>
      <c r="J1107" s="11" t="n"/>
      <c r="K1107" s="11" t="n"/>
      <c r="L1107" s="11" t="n"/>
      <c r="M1107" s="11" t="n"/>
    </row>
    <row r="1108">
      <c r="A1108" s="11" t="n"/>
      <c r="B1108" s="11" t="n"/>
      <c r="C1108" s="11" t="n"/>
      <c r="D1108" s="11" t="n"/>
      <c r="E1108" s="11" t="n"/>
      <c r="F1108" s="11" t="n"/>
      <c r="G1108" s="11" t="n"/>
      <c r="H1108" s="11" t="n"/>
      <c r="I1108" s="11" t="n"/>
      <c r="J1108" s="11" t="n"/>
      <c r="K1108" s="11" t="n"/>
      <c r="L1108" s="11" t="n"/>
      <c r="M1108" s="11" t="n"/>
    </row>
    <row r="1109">
      <c r="A1109" s="11" t="n"/>
      <c r="B1109" s="11" t="n"/>
      <c r="C1109" s="11" t="n"/>
      <c r="D1109" s="11" t="n"/>
      <c r="E1109" s="11" t="n"/>
      <c r="F1109" s="11" t="n"/>
      <c r="G1109" s="11" t="n"/>
      <c r="H1109" s="11" t="n"/>
      <c r="I1109" s="11" t="n"/>
      <c r="J1109" s="11" t="n"/>
      <c r="K1109" s="11" t="n"/>
      <c r="L1109" s="11" t="n"/>
      <c r="M1109" s="11" t="n"/>
    </row>
    <row r="1110">
      <c r="A1110" s="11" t="n"/>
      <c r="B1110" s="11" t="n"/>
      <c r="C1110" s="11" t="n"/>
      <c r="D1110" s="11" t="n"/>
      <c r="E1110" s="11" t="n"/>
      <c r="F1110" s="11" t="n"/>
      <c r="G1110" s="11" t="n"/>
      <c r="H1110" s="11" t="n"/>
      <c r="I1110" s="11" t="n"/>
      <c r="J1110" s="11" t="n"/>
      <c r="K1110" s="11" t="n"/>
      <c r="L1110" s="11" t="n"/>
      <c r="M1110" s="11" t="n"/>
    </row>
    <row r="1111">
      <c r="A1111" s="11" t="n"/>
      <c r="B1111" s="11" t="n"/>
      <c r="C1111" s="11" t="n"/>
      <c r="D1111" s="11" t="n"/>
      <c r="E1111" s="11" t="n"/>
      <c r="F1111" s="11" t="n"/>
      <c r="G1111" s="11" t="n"/>
      <c r="H1111" s="11" t="n"/>
      <c r="I1111" s="11" t="n"/>
      <c r="J1111" s="11" t="n"/>
      <c r="K1111" s="11" t="n"/>
      <c r="L1111" s="11" t="n"/>
      <c r="M1111" s="11" t="n"/>
    </row>
    <row r="1112">
      <c r="A1112" s="11" t="n"/>
      <c r="B1112" s="11" t="n"/>
      <c r="C1112" s="11" t="n"/>
      <c r="D1112" s="11" t="n"/>
      <c r="E1112" s="11" t="n"/>
      <c r="F1112" s="11" t="n"/>
      <c r="G1112" s="11" t="n"/>
      <c r="H1112" s="11" t="n"/>
      <c r="I1112" s="11" t="n"/>
      <c r="J1112" s="11" t="n"/>
      <c r="K1112" s="11" t="n"/>
      <c r="L1112" s="11" t="n"/>
      <c r="M1112" s="11" t="n"/>
    </row>
    <row r="1113">
      <c r="A1113" s="11" t="n"/>
      <c r="B1113" s="11" t="n"/>
      <c r="C1113" s="11" t="n"/>
      <c r="D1113" s="11" t="n"/>
      <c r="E1113" s="11" t="n"/>
      <c r="F1113" s="11" t="n"/>
      <c r="G1113" s="11" t="n"/>
      <c r="H1113" s="11" t="n"/>
      <c r="I1113" s="11" t="n"/>
      <c r="J1113" s="11" t="n"/>
      <c r="K1113" s="11" t="n"/>
      <c r="L1113" s="11" t="n"/>
      <c r="M1113" s="11" t="n"/>
    </row>
    <row r="1114">
      <c r="A1114" s="11" t="n"/>
      <c r="B1114" s="11" t="n"/>
      <c r="C1114" s="11" t="n"/>
      <c r="D1114" s="11" t="n"/>
      <c r="E1114" s="11" t="n"/>
      <c r="F1114" s="11" t="n"/>
      <c r="G1114" s="11" t="n"/>
      <c r="H1114" s="11" t="n"/>
      <c r="I1114" s="11" t="n"/>
      <c r="J1114" s="11" t="n"/>
      <c r="K1114" s="11" t="n"/>
      <c r="L1114" s="11" t="n"/>
      <c r="M1114" s="11" t="n"/>
    </row>
    <row r="1115">
      <c r="A1115" s="11" t="n"/>
      <c r="B1115" s="11" t="n"/>
      <c r="C1115" s="11" t="n"/>
      <c r="D1115" s="11" t="n"/>
      <c r="E1115" s="11" t="n"/>
      <c r="F1115" s="11" t="n"/>
      <c r="G1115" s="11" t="n"/>
      <c r="H1115" s="11" t="n"/>
      <c r="I1115" s="11" t="n"/>
      <c r="J1115" s="11" t="n"/>
      <c r="K1115" s="11" t="n"/>
      <c r="L1115" s="11" t="n"/>
      <c r="M1115" s="11" t="n"/>
    </row>
    <row r="1116">
      <c r="A1116" s="11" t="n"/>
      <c r="B1116" s="11" t="n"/>
      <c r="C1116" s="11" t="n"/>
      <c r="D1116" s="11" t="n"/>
      <c r="E1116" s="11" t="n"/>
      <c r="F1116" s="11" t="n"/>
      <c r="G1116" s="11" t="n"/>
      <c r="H1116" s="11" t="n"/>
      <c r="I1116" s="11" t="n"/>
      <c r="J1116" s="11" t="n"/>
      <c r="K1116" s="11" t="n"/>
      <c r="L1116" s="11" t="n"/>
      <c r="M1116" s="11" t="n"/>
    </row>
    <row r="1117">
      <c r="A1117" s="11" t="n"/>
      <c r="B1117" s="11" t="n"/>
      <c r="C1117" s="11" t="n"/>
      <c r="D1117" s="11" t="n"/>
      <c r="E1117" s="11" t="n"/>
      <c r="F1117" s="11" t="n"/>
      <c r="G1117" s="11" t="n"/>
      <c r="H1117" s="11" t="n"/>
      <c r="I1117" s="11" t="n"/>
      <c r="J1117" s="11" t="n"/>
      <c r="K1117" s="11" t="n"/>
      <c r="L1117" s="11" t="n"/>
      <c r="M1117" s="11" t="n"/>
    </row>
    <row r="1118">
      <c r="A1118" s="11" t="n"/>
      <c r="B1118" s="11" t="n"/>
      <c r="C1118" s="11" t="n"/>
      <c r="D1118" s="11" t="n"/>
      <c r="E1118" s="11" t="n"/>
      <c r="F1118" s="11" t="n"/>
      <c r="G1118" s="11" t="n"/>
      <c r="H1118" s="11" t="n"/>
      <c r="I1118" s="11" t="n"/>
      <c r="J1118" s="11" t="n"/>
      <c r="K1118" s="11" t="n"/>
      <c r="L1118" s="11" t="n"/>
      <c r="M1118" s="11" t="n"/>
    </row>
    <row r="1119">
      <c r="A1119" s="11" t="n"/>
      <c r="B1119" s="11" t="n"/>
      <c r="C1119" s="11" t="n"/>
      <c r="D1119" s="11" t="n"/>
      <c r="E1119" s="11" t="n"/>
      <c r="F1119" s="11" t="n"/>
      <c r="G1119" s="11" t="n"/>
      <c r="H1119" s="11" t="n"/>
      <c r="I1119" s="11" t="n"/>
      <c r="J1119" s="11" t="n"/>
      <c r="K1119" s="11" t="n"/>
      <c r="L1119" s="11" t="n"/>
      <c r="M1119" s="11" t="n"/>
    </row>
    <row r="1120">
      <c r="A1120" s="11" t="n"/>
      <c r="B1120" s="11" t="n"/>
      <c r="C1120" s="11" t="n"/>
      <c r="D1120" s="11" t="n"/>
      <c r="E1120" s="11" t="n"/>
      <c r="F1120" s="11" t="n"/>
      <c r="G1120" s="11" t="n"/>
      <c r="H1120" s="11" t="n"/>
      <c r="I1120" s="11" t="n"/>
      <c r="J1120" s="11" t="n"/>
      <c r="K1120" s="11" t="n"/>
      <c r="L1120" s="11" t="n"/>
      <c r="M1120" s="11" t="n"/>
    </row>
    <row r="1121">
      <c r="A1121" s="11" t="n"/>
      <c r="B1121" s="11" t="n"/>
      <c r="C1121" s="11" t="n"/>
      <c r="D1121" s="11" t="n"/>
      <c r="E1121" s="11" t="n"/>
      <c r="F1121" s="11" t="n"/>
      <c r="G1121" s="11" t="n"/>
      <c r="H1121" s="11" t="n"/>
      <c r="I1121" s="11" t="n"/>
      <c r="J1121" s="11" t="n"/>
      <c r="K1121" s="11" t="n"/>
      <c r="L1121" s="11" t="n"/>
      <c r="M1121" s="11" t="n"/>
    </row>
    <row r="1122">
      <c r="A1122" s="11" t="n"/>
      <c r="B1122" s="11" t="n"/>
      <c r="C1122" s="11" t="n"/>
      <c r="D1122" s="11" t="n"/>
      <c r="E1122" s="11" t="n"/>
      <c r="F1122" s="11" t="n"/>
      <c r="G1122" s="11" t="n"/>
      <c r="H1122" s="11" t="n"/>
      <c r="I1122" s="11" t="n"/>
      <c r="J1122" s="11" t="n"/>
      <c r="K1122" s="11" t="n"/>
      <c r="L1122" s="11" t="n"/>
      <c r="M1122" s="11" t="n"/>
    </row>
    <row r="1123">
      <c r="A1123" s="11" t="n"/>
      <c r="B1123" s="11" t="n"/>
      <c r="C1123" s="11" t="n"/>
      <c r="D1123" s="11" t="n"/>
      <c r="E1123" s="11" t="n"/>
      <c r="F1123" s="11" t="n"/>
      <c r="G1123" s="11" t="n"/>
      <c r="H1123" s="11" t="n"/>
      <c r="I1123" s="11" t="n"/>
      <c r="J1123" s="11" t="n"/>
      <c r="K1123" s="11" t="n"/>
      <c r="L1123" s="11" t="n"/>
      <c r="M1123" s="11" t="n"/>
    </row>
    <row r="1124">
      <c r="A1124" s="11" t="n"/>
      <c r="B1124" s="11" t="n"/>
      <c r="C1124" s="11" t="n"/>
      <c r="D1124" s="11" t="n"/>
      <c r="E1124" s="11" t="n"/>
      <c r="F1124" s="11" t="n"/>
      <c r="G1124" s="11" t="n"/>
      <c r="H1124" s="11" t="n"/>
      <c r="I1124" s="11" t="n"/>
      <c r="J1124" s="11" t="n"/>
      <c r="K1124" s="11" t="n"/>
      <c r="L1124" s="11" t="n"/>
      <c r="M1124" s="11" t="n"/>
    </row>
    <row r="1125">
      <c r="A1125" s="11" t="n"/>
      <c r="B1125" s="11" t="n"/>
      <c r="C1125" s="11" t="n"/>
      <c r="D1125" s="11" t="n"/>
      <c r="E1125" s="11" t="n"/>
      <c r="F1125" s="11" t="n"/>
      <c r="G1125" s="11" t="n"/>
      <c r="H1125" s="11" t="n"/>
      <c r="I1125" s="11" t="n"/>
      <c r="J1125" s="11" t="n"/>
      <c r="K1125" s="11" t="n"/>
      <c r="L1125" s="11" t="n"/>
      <c r="M1125" s="11" t="n"/>
    </row>
    <row r="1126">
      <c r="A1126" s="11" t="n"/>
      <c r="B1126" s="11" t="n"/>
      <c r="C1126" s="11" t="n"/>
      <c r="D1126" s="11" t="n"/>
      <c r="E1126" s="11" t="n"/>
      <c r="F1126" s="11" t="n"/>
      <c r="G1126" s="11" t="n"/>
      <c r="H1126" s="11" t="n"/>
      <c r="I1126" s="11" t="n"/>
      <c r="J1126" s="11" t="n"/>
      <c r="K1126" s="11" t="n"/>
      <c r="L1126" s="11" t="n"/>
      <c r="M1126" s="11" t="n"/>
    </row>
    <row r="1127">
      <c r="A1127" s="11" t="n"/>
      <c r="B1127" s="11" t="n"/>
      <c r="C1127" s="11" t="n"/>
      <c r="D1127" s="11" t="n"/>
      <c r="E1127" s="11" t="n"/>
      <c r="F1127" s="11" t="n"/>
      <c r="G1127" s="11" t="n"/>
      <c r="H1127" s="11" t="n"/>
      <c r="I1127" s="11" t="n"/>
      <c r="J1127" s="11" t="n"/>
      <c r="K1127" s="11" t="n"/>
      <c r="L1127" s="11" t="n"/>
      <c r="M1127" s="11" t="n"/>
    </row>
    <row r="1128">
      <c r="A1128" s="11" t="n"/>
      <c r="B1128" s="11" t="n"/>
      <c r="C1128" s="11" t="n"/>
      <c r="D1128" s="11" t="n"/>
      <c r="E1128" s="11" t="n"/>
      <c r="F1128" s="11" t="n"/>
      <c r="G1128" s="11" t="n"/>
      <c r="H1128" s="11" t="n"/>
      <c r="I1128" s="11" t="n"/>
      <c r="J1128" s="11" t="n"/>
      <c r="K1128" s="11" t="n"/>
      <c r="L1128" s="11" t="n"/>
      <c r="M1128" s="11" t="n"/>
    </row>
    <row r="1129">
      <c r="A1129" s="11" t="n"/>
      <c r="B1129" s="11" t="n"/>
      <c r="C1129" s="11" t="n"/>
      <c r="D1129" s="11" t="n"/>
      <c r="E1129" s="11" t="n"/>
      <c r="F1129" s="11" t="n"/>
      <c r="G1129" s="11" t="n"/>
      <c r="H1129" s="11" t="n"/>
      <c r="I1129" s="11" t="n"/>
      <c r="J1129" s="11" t="n"/>
      <c r="K1129" s="11" t="n"/>
      <c r="L1129" s="11" t="n"/>
      <c r="M1129" s="11" t="n"/>
    </row>
    <row r="1130">
      <c r="A1130" s="11" t="n"/>
      <c r="B1130" s="11" t="n"/>
      <c r="C1130" s="11" t="n"/>
      <c r="D1130" s="11" t="n"/>
      <c r="E1130" s="11" t="n"/>
      <c r="F1130" s="11" t="n"/>
      <c r="G1130" s="11" t="n"/>
      <c r="H1130" s="11" t="n"/>
      <c r="I1130" s="11" t="n"/>
      <c r="J1130" s="11" t="n"/>
      <c r="K1130" s="11" t="n"/>
      <c r="L1130" s="11" t="n"/>
      <c r="M1130" s="11" t="n"/>
    </row>
    <row r="1131">
      <c r="A1131" s="11" t="n"/>
      <c r="B1131" s="11" t="n"/>
      <c r="C1131" s="11" t="n"/>
      <c r="D1131" s="11" t="n"/>
      <c r="E1131" s="11" t="n"/>
      <c r="F1131" s="11" t="n"/>
      <c r="G1131" s="11" t="n"/>
      <c r="H1131" s="11" t="n"/>
      <c r="I1131" s="11" t="n"/>
      <c r="J1131" s="11" t="n"/>
      <c r="K1131" s="11" t="n"/>
      <c r="L1131" s="11" t="n"/>
      <c r="M1131" s="11" t="n"/>
    </row>
    <row r="1132">
      <c r="A1132" s="11" t="n"/>
      <c r="B1132" s="11" t="n"/>
      <c r="C1132" s="11" t="n"/>
      <c r="D1132" s="11" t="n"/>
      <c r="E1132" s="11" t="n"/>
      <c r="F1132" s="11" t="n"/>
      <c r="G1132" s="11" t="n"/>
      <c r="H1132" s="11" t="n"/>
      <c r="I1132" s="11" t="n"/>
      <c r="J1132" s="11" t="n"/>
      <c r="K1132" s="11" t="n"/>
      <c r="L1132" s="11" t="n"/>
      <c r="M1132" s="11" t="n"/>
    </row>
    <row r="1133">
      <c r="A1133" s="11" t="n"/>
      <c r="B1133" s="11" t="n"/>
      <c r="C1133" s="11" t="n"/>
      <c r="D1133" s="11" t="n"/>
      <c r="E1133" s="11" t="n"/>
      <c r="F1133" s="11" t="n"/>
      <c r="G1133" s="11" t="n"/>
      <c r="H1133" s="11" t="n"/>
      <c r="I1133" s="11" t="n"/>
      <c r="J1133" s="11" t="n"/>
      <c r="K1133" s="11" t="n"/>
      <c r="L1133" s="11" t="n"/>
      <c r="M1133" s="11" t="n"/>
    </row>
    <row r="1134">
      <c r="A1134" s="11" t="n"/>
      <c r="B1134" s="11" t="n"/>
      <c r="C1134" s="11" t="n"/>
      <c r="D1134" s="11" t="n"/>
      <c r="E1134" s="11" t="n"/>
      <c r="F1134" s="11" t="n"/>
      <c r="G1134" s="11" t="n"/>
      <c r="H1134" s="11" t="n"/>
      <c r="I1134" s="11" t="n"/>
      <c r="J1134" s="11" t="n"/>
      <c r="K1134" s="11" t="n"/>
      <c r="L1134" s="11" t="n"/>
      <c r="M1134" s="11" t="n"/>
    </row>
    <row r="1135">
      <c r="A1135" s="11" t="n"/>
      <c r="B1135" s="11" t="n"/>
      <c r="C1135" s="11" t="n"/>
      <c r="D1135" s="11" t="n"/>
      <c r="E1135" s="11" t="n"/>
      <c r="F1135" s="11" t="n"/>
      <c r="G1135" s="11" t="n"/>
      <c r="H1135" s="11" t="n"/>
      <c r="I1135" s="11" t="n"/>
      <c r="J1135" s="11" t="n"/>
      <c r="K1135" s="11" t="n"/>
      <c r="L1135" s="11" t="n"/>
      <c r="M1135" s="11" t="n"/>
    </row>
    <row r="1136">
      <c r="A1136" s="11" t="n"/>
      <c r="B1136" s="11" t="n"/>
      <c r="C1136" s="11" t="n"/>
      <c r="D1136" s="11" t="n"/>
      <c r="E1136" s="11" t="n"/>
      <c r="F1136" s="11" t="n"/>
      <c r="G1136" s="11" t="n"/>
      <c r="H1136" s="11" t="n"/>
      <c r="I1136" s="11" t="n"/>
      <c r="J1136" s="11" t="n"/>
      <c r="K1136" s="11" t="n"/>
      <c r="L1136" s="11" t="n"/>
      <c r="M1136" s="11" t="n"/>
    </row>
    <row r="1137">
      <c r="A1137" s="11" t="n"/>
      <c r="B1137" s="11" t="n"/>
      <c r="C1137" s="11" t="n"/>
      <c r="D1137" s="11" t="n"/>
      <c r="E1137" s="11" t="n"/>
      <c r="F1137" s="11" t="n"/>
      <c r="G1137" s="11" t="n"/>
      <c r="H1137" s="11" t="n"/>
      <c r="I1137" s="11" t="n"/>
      <c r="J1137" s="11" t="n"/>
      <c r="K1137" s="11" t="n"/>
      <c r="L1137" s="11" t="n"/>
      <c r="M1137" s="11" t="n"/>
    </row>
    <row r="1138">
      <c r="A1138" s="11" t="n"/>
      <c r="B1138" s="11" t="n"/>
      <c r="C1138" s="11" t="n"/>
      <c r="D1138" s="11" t="n"/>
      <c r="E1138" s="11" t="n"/>
      <c r="F1138" s="11" t="n"/>
      <c r="G1138" s="11" t="n"/>
      <c r="H1138" s="11" t="n"/>
      <c r="I1138" s="11" t="n"/>
      <c r="J1138" s="11" t="n"/>
      <c r="K1138" s="11" t="n"/>
      <c r="L1138" s="11" t="n"/>
      <c r="M1138" s="11" t="n"/>
    </row>
    <row r="1139">
      <c r="A1139" s="11" t="n"/>
      <c r="B1139" s="11" t="n"/>
      <c r="C1139" s="11" t="n"/>
      <c r="D1139" s="11" t="n"/>
      <c r="E1139" s="11" t="n"/>
      <c r="F1139" s="11" t="n"/>
      <c r="G1139" s="11" t="n"/>
      <c r="H1139" s="11" t="n"/>
      <c r="I1139" s="11" t="n"/>
      <c r="J1139" s="11" t="n"/>
      <c r="K1139" s="11" t="n"/>
      <c r="L1139" s="11" t="n"/>
      <c r="M1139" s="11" t="n"/>
    </row>
    <row r="1140">
      <c r="A1140" s="11" t="n"/>
      <c r="B1140" s="11" t="n"/>
      <c r="C1140" s="11" t="n"/>
      <c r="D1140" s="11" t="n"/>
      <c r="E1140" s="11" t="n"/>
      <c r="F1140" s="11" t="n"/>
      <c r="G1140" s="11" t="n"/>
      <c r="H1140" s="11" t="n"/>
      <c r="I1140" s="11" t="n"/>
      <c r="J1140" s="11" t="n"/>
      <c r="K1140" s="11" t="n"/>
      <c r="L1140" s="11" t="n"/>
      <c r="M1140" s="11" t="n"/>
    </row>
    <row r="1141">
      <c r="A1141" s="11" t="n"/>
      <c r="B1141" s="11" t="n"/>
      <c r="C1141" s="11" t="n"/>
      <c r="D1141" s="11" t="n"/>
      <c r="E1141" s="11" t="n"/>
      <c r="F1141" s="11" t="n"/>
      <c r="G1141" s="11" t="n"/>
      <c r="H1141" s="11" t="n"/>
      <c r="I1141" s="11" t="n"/>
      <c r="J1141" s="11" t="n"/>
      <c r="K1141" s="11" t="n"/>
      <c r="L1141" s="11" t="n"/>
      <c r="M1141" s="11" t="n"/>
    </row>
    <row r="1142">
      <c r="A1142" s="11" t="n"/>
      <c r="B1142" s="11" t="n"/>
      <c r="C1142" s="11" t="n"/>
      <c r="D1142" s="11" t="n"/>
      <c r="E1142" s="11" t="n"/>
      <c r="F1142" s="11" t="n"/>
      <c r="G1142" s="11" t="n"/>
      <c r="H1142" s="11" t="n"/>
      <c r="I1142" s="11" t="n"/>
      <c r="J1142" s="11" t="n"/>
      <c r="K1142" s="11" t="n"/>
      <c r="L1142" s="11" t="n"/>
      <c r="M1142" s="11" t="n"/>
    </row>
    <row r="1143">
      <c r="A1143" s="11" t="n"/>
      <c r="B1143" s="11" t="n"/>
      <c r="C1143" s="11" t="n"/>
      <c r="D1143" s="11" t="n"/>
      <c r="E1143" s="11" t="n"/>
      <c r="F1143" s="11" t="n"/>
      <c r="G1143" s="11" t="n"/>
      <c r="H1143" s="11" t="n"/>
      <c r="I1143" s="11" t="n"/>
      <c r="J1143" s="11" t="n"/>
      <c r="K1143" s="11" t="n"/>
      <c r="L1143" s="11" t="n"/>
      <c r="M1143" s="11" t="n"/>
    </row>
    <row r="1144">
      <c r="A1144" s="11" t="n"/>
      <c r="B1144" s="11" t="n"/>
      <c r="C1144" s="11" t="n"/>
      <c r="D1144" s="11" t="n"/>
      <c r="E1144" s="11" t="n"/>
      <c r="F1144" s="11" t="n"/>
      <c r="G1144" s="11" t="n"/>
      <c r="H1144" s="11" t="n"/>
      <c r="I1144" s="11" t="n"/>
      <c r="J1144" s="11" t="n"/>
      <c r="K1144" s="11" t="n"/>
      <c r="L1144" s="11" t="n"/>
      <c r="M1144" s="11" t="n"/>
    </row>
    <row r="1145">
      <c r="A1145" s="11" t="n"/>
      <c r="B1145" s="11" t="n"/>
      <c r="C1145" s="11" t="n"/>
      <c r="D1145" s="11" t="n"/>
      <c r="E1145" s="11" t="n"/>
      <c r="F1145" s="11" t="n"/>
      <c r="G1145" s="11" t="n"/>
      <c r="H1145" s="11" t="n"/>
      <c r="I1145" s="11" t="n"/>
      <c r="J1145" s="11" t="n"/>
      <c r="K1145" s="11" t="n"/>
      <c r="L1145" s="11" t="n"/>
      <c r="M1145" s="11" t="n"/>
    </row>
    <row r="1146">
      <c r="A1146" s="11" t="n"/>
      <c r="B1146" s="11" t="n"/>
      <c r="C1146" s="11" t="n"/>
      <c r="D1146" s="11" t="n"/>
      <c r="E1146" s="11" t="n"/>
      <c r="F1146" s="11" t="n"/>
      <c r="G1146" s="11" t="n"/>
      <c r="H1146" s="11" t="n"/>
      <c r="I1146" s="11" t="n"/>
      <c r="J1146" s="11" t="n"/>
      <c r="K1146" s="11" t="n"/>
      <c r="L1146" s="11" t="n"/>
      <c r="M1146" s="11" t="n"/>
    </row>
    <row r="1147">
      <c r="A1147" s="11" t="n"/>
      <c r="B1147" s="11" t="n"/>
      <c r="C1147" s="11" t="n"/>
      <c r="D1147" s="11" t="n"/>
      <c r="E1147" s="11" t="n"/>
      <c r="F1147" s="11" t="n"/>
      <c r="G1147" s="11" t="n"/>
      <c r="H1147" s="11" t="n"/>
      <c r="I1147" s="11" t="n"/>
      <c r="J1147" s="11" t="n"/>
      <c r="K1147" s="11" t="n"/>
      <c r="L1147" s="11" t="n"/>
      <c r="M1147" s="11" t="n"/>
    </row>
    <row r="1148">
      <c r="A1148" s="11" t="n"/>
      <c r="B1148" s="11" t="n"/>
      <c r="C1148" s="11" t="n"/>
      <c r="D1148" s="11" t="n"/>
      <c r="E1148" s="11" t="n"/>
      <c r="F1148" s="11" t="n"/>
      <c r="G1148" s="11" t="n"/>
      <c r="H1148" s="11" t="n"/>
      <c r="I1148" s="11" t="n"/>
      <c r="J1148" s="11" t="n"/>
      <c r="K1148" s="11" t="n"/>
      <c r="L1148" s="11" t="n"/>
      <c r="M1148" s="11" t="n"/>
    </row>
    <row r="1149">
      <c r="A1149" s="11" t="n"/>
      <c r="B1149" s="11" t="n"/>
      <c r="C1149" s="11" t="n"/>
      <c r="D1149" s="11" t="n"/>
      <c r="E1149" s="11" t="n"/>
      <c r="F1149" s="11" t="n"/>
      <c r="G1149" s="11" t="n"/>
      <c r="H1149" s="11" t="n"/>
      <c r="I1149" s="11" t="n"/>
      <c r="J1149" s="11" t="n"/>
      <c r="K1149" s="11" t="n"/>
      <c r="L1149" s="11" t="n"/>
      <c r="M1149" s="11" t="n"/>
    </row>
    <row r="1150">
      <c r="A1150" s="11" t="n"/>
      <c r="B1150" s="11" t="n"/>
      <c r="C1150" s="11" t="n"/>
      <c r="D1150" s="11" t="n"/>
      <c r="E1150" s="11" t="n"/>
      <c r="F1150" s="11" t="n"/>
      <c r="G1150" s="11" t="n"/>
      <c r="H1150" s="11" t="n"/>
      <c r="I1150" s="11" t="n"/>
      <c r="J1150" s="11" t="n"/>
      <c r="K1150" s="11" t="n"/>
      <c r="L1150" s="11" t="n"/>
      <c r="M1150" s="11" t="n"/>
    </row>
    <row r="1151">
      <c r="A1151" s="11" t="n"/>
      <c r="B1151" s="11" t="n"/>
      <c r="C1151" s="11" t="n"/>
      <c r="D1151" s="11" t="n"/>
      <c r="E1151" s="11" t="n"/>
      <c r="F1151" s="11" t="n"/>
      <c r="G1151" s="11" t="n"/>
      <c r="H1151" s="11" t="n"/>
      <c r="I1151" s="11" t="n"/>
      <c r="J1151" s="11" t="n"/>
      <c r="K1151" s="11" t="n"/>
      <c r="L1151" s="11" t="n"/>
      <c r="M1151" s="11" t="n"/>
    </row>
    <row r="1152">
      <c r="A1152" s="11" t="n"/>
      <c r="B1152" s="11" t="n"/>
      <c r="C1152" s="11" t="n"/>
      <c r="D1152" s="11" t="n"/>
      <c r="E1152" s="11" t="n"/>
      <c r="F1152" s="11" t="n"/>
      <c r="G1152" s="11" t="n"/>
      <c r="H1152" s="11" t="n"/>
      <c r="I1152" s="11" t="n"/>
      <c r="J1152" s="11" t="n"/>
      <c r="K1152" s="11" t="n"/>
      <c r="L1152" s="11" t="n"/>
      <c r="M1152" s="11" t="n"/>
    </row>
    <row r="1153">
      <c r="A1153" s="11" t="n"/>
      <c r="B1153" s="11" t="n"/>
      <c r="C1153" s="11" t="n"/>
      <c r="D1153" s="11" t="n"/>
      <c r="E1153" s="11" t="n"/>
      <c r="F1153" s="11" t="n"/>
      <c r="G1153" s="11" t="n"/>
      <c r="H1153" s="11" t="n"/>
      <c r="I1153" s="11" t="n"/>
      <c r="J1153" s="11" t="n"/>
      <c r="K1153" s="11" t="n"/>
      <c r="L1153" s="11" t="n"/>
      <c r="M1153" s="11" t="n"/>
    </row>
    <row r="1154">
      <c r="A1154" s="11" t="n"/>
      <c r="B1154" s="11" t="n"/>
      <c r="C1154" s="11" t="n"/>
      <c r="D1154" s="11" t="n"/>
      <c r="E1154" s="11" t="n"/>
      <c r="F1154" s="11" t="n"/>
      <c r="G1154" s="11" t="n"/>
      <c r="H1154" s="11" t="n"/>
      <c r="I1154" s="11" t="n"/>
      <c r="J1154" s="11" t="n"/>
      <c r="K1154" s="11" t="n"/>
      <c r="L1154" s="11" t="n"/>
      <c r="M1154" s="11" t="n"/>
    </row>
    <row r="1155">
      <c r="A1155" s="11" t="n"/>
      <c r="B1155" s="11" t="n"/>
      <c r="C1155" s="11" t="n"/>
      <c r="D1155" s="11" t="n"/>
      <c r="E1155" s="11" t="n"/>
      <c r="F1155" s="11" t="n"/>
      <c r="G1155" s="11" t="n"/>
      <c r="H1155" s="11" t="n"/>
      <c r="I1155" s="11" t="n"/>
      <c r="J1155" s="11" t="n"/>
      <c r="K1155" s="11" t="n"/>
      <c r="L1155" s="11" t="n"/>
      <c r="M1155" s="11" t="n"/>
    </row>
    <row r="1156">
      <c r="A1156" s="11" t="n"/>
      <c r="B1156" s="11" t="n"/>
      <c r="C1156" s="11" t="n"/>
      <c r="D1156" s="11" t="n"/>
      <c r="E1156" s="11" t="n"/>
      <c r="F1156" s="11" t="n"/>
      <c r="G1156" s="11" t="n"/>
      <c r="H1156" s="11" t="n"/>
      <c r="I1156" s="11" t="n"/>
      <c r="J1156" s="11" t="n"/>
      <c r="K1156" s="11" t="n"/>
      <c r="L1156" s="11" t="n"/>
      <c r="M1156" s="11" t="n"/>
    </row>
    <row r="1157">
      <c r="A1157" s="11" t="n"/>
      <c r="B1157" s="11" t="n"/>
      <c r="C1157" s="11" t="n"/>
      <c r="D1157" s="11" t="n"/>
      <c r="E1157" s="11" t="n"/>
      <c r="F1157" s="11" t="n"/>
      <c r="G1157" s="11" t="n"/>
      <c r="H1157" s="11" t="n"/>
      <c r="I1157" s="11" t="n"/>
      <c r="J1157" s="11" t="n"/>
      <c r="K1157" s="11" t="n"/>
      <c r="L1157" s="11" t="n"/>
      <c r="M1157" s="11" t="n"/>
    </row>
    <row r="1158">
      <c r="A1158" s="11" t="n"/>
      <c r="B1158" s="11" t="n"/>
      <c r="C1158" s="11" t="n"/>
      <c r="D1158" s="11" t="n"/>
      <c r="E1158" s="11" t="n"/>
      <c r="F1158" s="11" t="n"/>
      <c r="G1158" s="11" t="n"/>
      <c r="H1158" s="11" t="n"/>
      <c r="I1158" s="11" t="n"/>
      <c r="J1158" s="11" t="n"/>
      <c r="K1158" s="11" t="n"/>
      <c r="L1158" s="11" t="n"/>
      <c r="M1158" s="11" t="n"/>
    </row>
    <row r="1159">
      <c r="A1159" s="11" t="n"/>
      <c r="B1159" s="11" t="n"/>
      <c r="C1159" s="11" t="n"/>
      <c r="D1159" s="11" t="n"/>
      <c r="E1159" s="11" t="n"/>
      <c r="F1159" s="11" t="n"/>
      <c r="G1159" s="11" t="n"/>
      <c r="H1159" s="11" t="n"/>
      <c r="I1159" s="11" t="n"/>
      <c r="J1159" s="11" t="n"/>
      <c r="K1159" s="11" t="n"/>
      <c r="L1159" s="11" t="n"/>
      <c r="M1159" s="11" t="n"/>
    </row>
    <row r="1160">
      <c r="A1160" s="11" t="n"/>
      <c r="B1160" s="11" t="n"/>
      <c r="C1160" s="11" t="n"/>
      <c r="D1160" s="11" t="n"/>
      <c r="E1160" s="11" t="n"/>
      <c r="F1160" s="11" t="n"/>
      <c r="G1160" s="11" t="n"/>
      <c r="H1160" s="11" t="n"/>
      <c r="I1160" s="11" t="n"/>
      <c r="J1160" s="11" t="n"/>
      <c r="K1160" s="11" t="n"/>
      <c r="L1160" s="11" t="n"/>
      <c r="M1160" s="11" t="n"/>
    </row>
    <row r="1161">
      <c r="A1161" s="11" t="n"/>
      <c r="B1161" s="11" t="n"/>
      <c r="C1161" s="11" t="n"/>
      <c r="D1161" s="11" t="n"/>
      <c r="E1161" s="11" t="n"/>
      <c r="F1161" s="11" t="n"/>
      <c r="G1161" s="11" t="n"/>
      <c r="H1161" s="11" t="n"/>
      <c r="I1161" s="11" t="n"/>
      <c r="J1161" s="11" t="n"/>
      <c r="K1161" s="11" t="n"/>
      <c r="L1161" s="11" t="n"/>
      <c r="M1161" s="11" t="n"/>
    </row>
    <row r="1162">
      <c r="A1162" s="11" t="n"/>
      <c r="B1162" s="11" t="n"/>
      <c r="C1162" s="11" t="n"/>
      <c r="D1162" s="11" t="n"/>
      <c r="E1162" s="11" t="n"/>
      <c r="F1162" s="11" t="n"/>
      <c r="G1162" s="11" t="n"/>
      <c r="H1162" s="11" t="n"/>
      <c r="I1162" s="11" t="n"/>
      <c r="J1162" s="11" t="n"/>
      <c r="K1162" s="11" t="n"/>
      <c r="L1162" s="11" t="n"/>
      <c r="M1162" s="11" t="n"/>
    </row>
    <row r="1163">
      <c r="A1163" s="11" t="n"/>
      <c r="B1163" s="11" t="n"/>
      <c r="C1163" s="11" t="n"/>
      <c r="D1163" s="11" t="n"/>
      <c r="E1163" s="11" t="n"/>
      <c r="F1163" s="11" t="n"/>
      <c r="G1163" s="11" t="n"/>
      <c r="H1163" s="11" t="n"/>
      <c r="I1163" s="11" t="n"/>
      <c r="J1163" s="11" t="n"/>
      <c r="K1163" s="11" t="n"/>
      <c r="L1163" s="11" t="n"/>
      <c r="M1163" s="11" t="n"/>
    </row>
    <row r="1164">
      <c r="A1164" s="11" t="n"/>
      <c r="B1164" s="11" t="n"/>
      <c r="C1164" s="11" t="n"/>
      <c r="D1164" s="11" t="n"/>
      <c r="E1164" s="11" t="n"/>
      <c r="F1164" s="11" t="n"/>
      <c r="G1164" s="11" t="n"/>
      <c r="H1164" s="11" t="n"/>
      <c r="I1164" s="11" t="n"/>
      <c r="J1164" s="11" t="n"/>
      <c r="K1164" s="11" t="n"/>
      <c r="L1164" s="11" t="n"/>
      <c r="M1164" s="11" t="n"/>
    </row>
    <row r="1165">
      <c r="A1165" s="11" t="n"/>
      <c r="B1165" s="11" t="n"/>
      <c r="C1165" s="11" t="n"/>
      <c r="D1165" s="11" t="n"/>
      <c r="E1165" s="11" t="n"/>
      <c r="F1165" s="11" t="n"/>
      <c r="G1165" s="11" t="n"/>
      <c r="H1165" s="11" t="n"/>
      <c r="I1165" s="11" t="n"/>
      <c r="J1165" s="11" t="n"/>
      <c r="K1165" s="11" t="n"/>
      <c r="L1165" s="11" t="n"/>
      <c r="M1165" s="11" t="n"/>
    </row>
    <row r="1166">
      <c r="A1166" s="11" t="n"/>
      <c r="B1166" s="11" t="n"/>
      <c r="C1166" s="11" t="n"/>
      <c r="D1166" s="11" t="n"/>
      <c r="E1166" s="11" t="n"/>
      <c r="F1166" s="11" t="n"/>
      <c r="G1166" s="11" t="n"/>
      <c r="H1166" s="11" t="n"/>
      <c r="I1166" s="11" t="n"/>
      <c r="J1166" s="11" t="n"/>
      <c r="K1166" s="11" t="n"/>
      <c r="L1166" s="11" t="n"/>
      <c r="M1166" s="11" t="n"/>
    </row>
    <row r="1167">
      <c r="A1167" s="11" t="n"/>
      <c r="B1167" s="11" t="n"/>
      <c r="C1167" s="11" t="n"/>
      <c r="D1167" s="11" t="n"/>
      <c r="E1167" s="11" t="n"/>
      <c r="F1167" s="11" t="n"/>
      <c r="G1167" s="11" t="n"/>
      <c r="H1167" s="11" t="n"/>
      <c r="I1167" s="11" t="n"/>
      <c r="J1167" s="11" t="n"/>
      <c r="K1167" s="11" t="n"/>
      <c r="L1167" s="11" t="n"/>
      <c r="M1167" s="11" t="n"/>
    </row>
    <row r="1168">
      <c r="A1168" s="11" t="n"/>
      <c r="B1168" s="11" t="n"/>
      <c r="C1168" s="11" t="n"/>
      <c r="D1168" s="11" t="n"/>
      <c r="E1168" s="11" t="n"/>
      <c r="F1168" s="11" t="n"/>
      <c r="G1168" s="11" t="n"/>
      <c r="H1168" s="11" t="n"/>
      <c r="I1168" s="11" t="n"/>
      <c r="J1168" s="11" t="n"/>
      <c r="K1168" s="11" t="n"/>
      <c r="L1168" s="11" t="n"/>
      <c r="M1168" s="11" t="n"/>
    </row>
    <row r="1169">
      <c r="A1169" s="11" t="n"/>
      <c r="B1169" s="11" t="n"/>
      <c r="C1169" s="11" t="n"/>
      <c r="D1169" s="11" t="n"/>
      <c r="E1169" s="11" t="n"/>
      <c r="F1169" s="11" t="n"/>
      <c r="G1169" s="11" t="n"/>
      <c r="H1169" s="11" t="n"/>
      <c r="I1169" s="11" t="n"/>
      <c r="J1169" s="11" t="n"/>
      <c r="K1169" s="11" t="n"/>
      <c r="L1169" s="11" t="n"/>
      <c r="M1169" s="11" t="n"/>
    </row>
    <row r="1170">
      <c r="A1170" s="11" t="n"/>
      <c r="B1170" s="11" t="n"/>
      <c r="C1170" s="11" t="n"/>
      <c r="D1170" s="11" t="n"/>
      <c r="E1170" s="11" t="n"/>
      <c r="F1170" s="11" t="n"/>
      <c r="G1170" s="11" t="n"/>
      <c r="H1170" s="11" t="n"/>
      <c r="I1170" s="11" t="n"/>
      <c r="J1170" s="11" t="n"/>
      <c r="K1170" s="11" t="n"/>
      <c r="L1170" s="11" t="n"/>
      <c r="M1170" s="11" t="n"/>
    </row>
    <row r="1171">
      <c r="A1171" s="11" t="n"/>
      <c r="B1171" s="11" t="n"/>
      <c r="C1171" s="11" t="n"/>
      <c r="D1171" s="11" t="n"/>
      <c r="E1171" s="11" t="n"/>
      <c r="F1171" s="11" t="n"/>
      <c r="G1171" s="11" t="n"/>
      <c r="H1171" s="11" t="n"/>
      <c r="I1171" s="11" t="n"/>
      <c r="J1171" s="11" t="n"/>
      <c r="K1171" s="11" t="n"/>
      <c r="L1171" s="11" t="n"/>
      <c r="M1171" s="11" t="n"/>
    </row>
    <row r="1172">
      <c r="A1172" s="11" t="n"/>
      <c r="B1172" s="11" t="n"/>
      <c r="C1172" s="11" t="n"/>
      <c r="D1172" s="11" t="n"/>
      <c r="E1172" s="11" t="n"/>
      <c r="F1172" s="11" t="n"/>
      <c r="G1172" s="11" t="n"/>
      <c r="H1172" s="11" t="n"/>
      <c r="I1172" s="11" t="n"/>
      <c r="J1172" s="11" t="n"/>
      <c r="K1172" s="11" t="n"/>
      <c r="L1172" s="11" t="n"/>
      <c r="M1172" s="11" t="n"/>
    </row>
    <row r="1173">
      <c r="A1173" s="11" t="n"/>
      <c r="B1173" s="11" t="n"/>
      <c r="C1173" s="11" t="n"/>
      <c r="D1173" s="11" t="n"/>
      <c r="E1173" s="11" t="n"/>
      <c r="F1173" s="11" t="n"/>
      <c r="G1173" s="11" t="n"/>
      <c r="H1173" s="11" t="n"/>
      <c r="I1173" s="11" t="n"/>
      <c r="J1173" s="11" t="n"/>
      <c r="K1173" s="11" t="n"/>
      <c r="L1173" s="11" t="n"/>
      <c r="M1173" s="11" t="n"/>
    </row>
    <row r="1174">
      <c r="A1174" s="11" t="n"/>
      <c r="B1174" s="11" t="n"/>
      <c r="C1174" s="11" t="n"/>
      <c r="D1174" s="11" t="n"/>
      <c r="E1174" s="11" t="n"/>
      <c r="F1174" s="11" t="n"/>
      <c r="G1174" s="11" t="n"/>
      <c r="H1174" s="11" t="n"/>
      <c r="I1174" s="11" t="n"/>
      <c r="J1174" s="11" t="n"/>
      <c r="K1174" s="11" t="n"/>
      <c r="L1174" s="11" t="n"/>
      <c r="M1174" s="11" t="n"/>
    </row>
    <row r="1175">
      <c r="A1175" s="11" t="n"/>
      <c r="B1175" s="11" t="n"/>
      <c r="C1175" s="11" t="n"/>
      <c r="D1175" s="11" t="n"/>
      <c r="E1175" s="11" t="n"/>
      <c r="F1175" s="11" t="n"/>
      <c r="G1175" s="11" t="n"/>
      <c r="H1175" s="11" t="n"/>
      <c r="I1175" s="11" t="n"/>
      <c r="J1175" s="11" t="n"/>
      <c r="K1175" s="11" t="n"/>
      <c r="L1175" s="11" t="n"/>
      <c r="M1175" s="11" t="n"/>
    </row>
    <row r="1176">
      <c r="A1176" s="11" t="n"/>
      <c r="B1176" s="11" t="n"/>
      <c r="C1176" s="11" t="n"/>
      <c r="D1176" s="11" t="n"/>
      <c r="E1176" s="11" t="n"/>
      <c r="F1176" s="11" t="n"/>
      <c r="G1176" s="11" t="n"/>
      <c r="H1176" s="11" t="n"/>
      <c r="I1176" s="11" t="n"/>
      <c r="J1176" s="11" t="n"/>
      <c r="K1176" s="11" t="n"/>
      <c r="L1176" s="11" t="n"/>
      <c r="M1176" s="11" t="n"/>
    </row>
    <row r="1177">
      <c r="A1177" s="11" t="n"/>
      <c r="B1177" s="11" t="n"/>
      <c r="C1177" s="11" t="n"/>
      <c r="D1177" s="11" t="n"/>
      <c r="E1177" s="11" t="n"/>
      <c r="F1177" s="11" t="n"/>
      <c r="G1177" s="11" t="n"/>
      <c r="H1177" s="11" t="n"/>
      <c r="I1177" s="11" t="n"/>
      <c r="J1177" s="11" t="n"/>
      <c r="K1177" s="11" t="n"/>
      <c r="L1177" s="11" t="n"/>
      <c r="M1177" s="11" t="n"/>
    </row>
    <row r="1178">
      <c r="A1178" s="11" t="n"/>
      <c r="B1178" s="11" t="n"/>
      <c r="C1178" s="11" t="n"/>
      <c r="D1178" s="11" t="n"/>
      <c r="E1178" s="11" t="n"/>
      <c r="F1178" s="11" t="n"/>
      <c r="G1178" s="11" t="n"/>
      <c r="H1178" s="11" t="n"/>
      <c r="I1178" s="11" t="n"/>
      <c r="J1178" s="11" t="n"/>
      <c r="K1178" s="11" t="n"/>
      <c r="L1178" s="11" t="n"/>
      <c r="M1178" s="11" t="n"/>
    </row>
    <row r="1179">
      <c r="A1179" s="11" t="n"/>
      <c r="B1179" s="11" t="n"/>
      <c r="C1179" s="11" t="n"/>
      <c r="D1179" s="11" t="n"/>
      <c r="E1179" s="11" t="n"/>
      <c r="F1179" s="11" t="n"/>
      <c r="G1179" s="11" t="n"/>
      <c r="H1179" s="11" t="n"/>
      <c r="I1179" s="11" t="n"/>
      <c r="J1179" s="11" t="n"/>
      <c r="K1179" s="11" t="n"/>
      <c r="L1179" s="11" t="n"/>
      <c r="M1179" s="11" t="n"/>
    </row>
    <row r="1180">
      <c r="A1180" s="11" t="n"/>
      <c r="B1180" s="11" t="n"/>
      <c r="C1180" s="11" t="n"/>
      <c r="D1180" s="11" t="n"/>
      <c r="E1180" s="11" t="n"/>
      <c r="F1180" s="11" t="n"/>
      <c r="G1180" s="11" t="n"/>
      <c r="H1180" s="11" t="n"/>
      <c r="I1180" s="11" t="n"/>
      <c r="J1180" s="11" t="n"/>
      <c r="K1180" s="11" t="n"/>
      <c r="L1180" s="11" t="n"/>
      <c r="M1180" s="11" t="n"/>
    </row>
    <row r="1181">
      <c r="A1181" s="11" t="n"/>
      <c r="B1181" s="11" t="n"/>
      <c r="C1181" s="11" t="n"/>
      <c r="D1181" s="11" t="n"/>
      <c r="E1181" s="11" t="n"/>
      <c r="F1181" s="11" t="n"/>
      <c r="G1181" s="11" t="n"/>
      <c r="H1181" s="11" t="n"/>
      <c r="I1181" s="11" t="n"/>
      <c r="J1181" s="11" t="n"/>
      <c r="K1181" s="11" t="n"/>
      <c r="L1181" s="11" t="n"/>
      <c r="M1181" s="11" t="n"/>
    </row>
    <row r="1182">
      <c r="A1182" s="11" t="n"/>
      <c r="B1182" s="11" t="n"/>
      <c r="C1182" s="11" t="n"/>
      <c r="D1182" s="11" t="n"/>
      <c r="E1182" s="11" t="n"/>
      <c r="F1182" s="11" t="n"/>
      <c r="G1182" s="11" t="n"/>
      <c r="H1182" s="11" t="n"/>
      <c r="I1182" s="11" t="n"/>
      <c r="J1182" s="11" t="n"/>
      <c r="K1182" s="11" t="n"/>
      <c r="L1182" s="11" t="n"/>
      <c r="M1182" s="11" t="n"/>
    </row>
    <row r="1183">
      <c r="A1183" s="11" t="n"/>
      <c r="B1183" s="11" t="n"/>
      <c r="C1183" s="11" t="n"/>
      <c r="D1183" s="11" t="n"/>
      <c r="E1183" s="11" t="n"/>
      <c r="F1183" s="11" t="n"/>
      <c r="G1183" s="11" t="n"/>
      <c r="H1183" s="11" t="n"/>
      <c r="I1183" s="11" t="n"/>
      <c r="J1183" s="11" t="n"/>
      <c r="K1183" s="11" t="n"/>
      <c r="L1183" s="11" t="n"/>
      <c r="M1183" s="11" t="n"/>
    </row>
    <row r="1184">
      <c r="A1184" s="11" t="n"/>
      <c r="B1184" s="11" t="n"/>
      <c r="C1184" s="11" t="n"/>
      <c r="D1184" s="11" t="n"/>
      <c r="E1184" s="11" t="n"/>
      <c r="F1184" s="11" t="n"/>
      <c r="G1184" s="11" t="n"/>
      <c r="H1184" s="11" t="n"/>
      <c r="I1184" s="11" t="n"/>
      <c r="J1184" s="11" t="n"/>
      <c r="K1184" s="11" t="n"/>
      <c r="L1184" s="11" t="n"/>
      <c r="M1184" s="11" t="n"/>
    </row>
    <row r="1185">
      <c r="A1185" s="11" t="n"/>
      <c r="B1185" s="11" t="n"/>
      <c r="C1185" s="11" t="n"/>
      <c r="D1185" s="11" t="n"/>
      <c r="E1185" s="11" t="n"/>
      <c r="F1185" s="11" t="n"/>
      <c r="G1185" s="11" t="n"/>
      <c r="H1185" s="11" t="n"/>
      <c r="I1185" s="11" t="n"/>
      <c r="J1185" s="11" t="n"/>
      <c r="K1185" s="11" t="n"/>
      <c r="L1185" s="11" t="n"/>
      <c r="M1185" s="11" t="n"/>
    </row>
    <row r="1186">
      <c r="A1186" s="11" t="n"/>
      <c r="B1186" s="11" t="n"/>
      <c r="C1186" s="11" t="n"/>
      <c r="D1186" s="11" t="n"/>
      <c r="E1186" s="11" t="n"/>
      <c r="F1186" s="11" t="n"/>
      <c r="G1186" s="11" t="n"/>
      <c r="H1186" s="11" t="n"/>
      <c r="I1186" s="11" t="n"/>
      <c r="J1186" s="11" t="n"/>
      <c r="K1186" s="11" t="n"/>
      <c r="L1186" s="11" t="n"/>
      <c r="M1186" s="11" t="n"/>
    </row>
    <row r="1187">
      <c r="A1187" s="11" t="n"/>
      <c r="B1187" s="11" t="n"/>
      <c r="C1187" s="11" t="n"/>
      <c r="D1187" s="11" t="n"/>
      <c r="E1187" s="11" t="n"/>
      <c r="F1187" s="11" t="n"/>
      <c r="G1187" s="11" t="n"/>
      <c r="H1187" s="11" t="n"/>
      <c r="I1187" s="11" t="n"/>
      <c r="J1187" s="11" t="n"/>
      <c r="K1187" s="11" t="n"/>
      <c r="L1187" s="11" t="n"/>
      <c r="M1187" s="11" t="n"/>
    </row>
    <row r="1188">
      <c r="A1188" s="11" t="n"/>
      <c r="B1188" s="11" t="n"/>
      <c r="C1188" s="11" t="n"/>
      <c r="D1188" s="11" t="n"/>
      <c r="E1188" s="11" t="n"/>
      <c r="F1188" s="11" t="n"/>
      <c r="G1188" s="11" t="n"/>
      <c r="H1188" s="11" t="n"/>
      <c r="I1188" s="11" t="n"/>
      <c r="J1188" s="11" t="n"/>
      <c r="K1188" s="11" t="n"/>
      <c r="L1188" s="11" t="n"/>
      <c r="M1188" s="11" t="n"/>
    </row>
    <row r="1189">
      <c r="A1189" s="11" t="n"/>
      <c r="B1189" s="11" t="n"/>
      <c r="C1189" s="11" t="n"/>
      <c r="D1189" s="11" t="n"/>
      <c r="E1189" s="11" t="n"/>
      <c r="F1189" s="11" t="n"/>
      <c r="G1189" s="11" t="n"/>
      <c r="H1189" s="11" t="n"/>
      <c r="I1189" s="11" t="n"/>
      <c r="J1189" s="11" t="n"/>
      <c r="K1189" s="11" t="n"/>
      <c r="L1189" s="11" t="n"/>
      <c r="M1189" s="11" t="n"/>
    </row>
    <row r="1190">
      <c r="A1190" s="11" t="n"/>
      <c r="B1190" s="11" t="n"/>
      <c r="C1190" s="11" t="n"/>
      <c r="D1190" s="11" t="n"/>
      <c r="E1190" s="11" t="n"/>
      <c r="F1190" s="11" t="n"/>
      <c r="G1190" s="11" t="n"/>
      <c r="H1190" s="11" t="n"/>
      <c r="I1190" s="11" t="n"/>
      <c r="J1190" s="11" t="n"/>
      <c r="K1190" s="11" t="n"/>
      <c r="L1190" s="11" t="n"/>
      <c r="M1190" s="11" t="n"/>
    </row>
    <row r="1191">
      <c r="A1191" s="11" t="n"/>
      <c r="B1191" s="11" t="n"/>
      <c r="C1191" s="11" t="n"/>
      <c r="D1191" s="11" t="n"/>
      <c r="E1191" s="11" t="n"/>
      <c r="F1191" s="11" t="n"/>
      <c r="G1191" s="11" t="n"/>
      <c r="H1191" s="11" t="n"/>
      <c r="I1191" s="11" t="n"/>
      <c r="J1191" s="11" t="n"/>
      <c r="K1191" s="11" t="n"/>
      <c r="L1191" s="11" t="n"/>
      <c r="M1191" s="11" t="n"/>
    </row>
    <row r="1192">
      <c r="A1192" s="11" t="n"/>
      <c r="B1192" s="11" t="n"/>
      <c r="C1192" s="11" t="n"/>
      <c r="D1192" s="11" t="n"/>
      <c r="E1192" s="11" t="n"/>
      <c r="F1192" s="11" t="n"/>
      <c r="G1192" s="11" t="n"/>
      <c r="H1192" s="11" t="n"/>
      <c r="I1192" s="11" t="n"/>
      <c r="J1192" s="11" t="n"/>
      <c r="K1192" s="11" t="n"/>
      <c r="L1192" s="11" t="n"/>
      <c r="M1192" s="11" t="n"/>
    </row>
    <row r="1193">
      <c r="A1193" s="11" t="n"/>
      <c r="B1193" s="11" t="n"/>
      <c r="C1193" s="11" t="n"/>
      <c r="D1193" s="11" t="n"/>
      <c r="E1193" s="11" t="n"/>
      <c r="F1193" s="11" t="n"/>
      <c r="G1193" s="11" t="n"/>
      <c r="H1193" s="11" t="n"/>
      <c r="I1193" s="11" t="n"/>
      <c r="J1193" s="11" t="n"/>
      <c r="K1193" s="11" t="n"/>
      <c r="L1193" s="11" t="n"/>
      <c r="M1193" s="11" t="n"/>
    </row>
    <row r="1194">
      <c r="A1194" s="11" t="n"/>
      <c r="B1194" s="11" t="n"/>
      <c r="C1194" s="11" t="n"/>
      <c r="D1194" s="11" t="n"/>
      <c r="E1194" s="11" t="n"/>
      <c r="F1194" s="11" t="n"/>
      <c r="G1194" s="11" t="n"/>
      <c r="H1194" s="11" t="n"/>
      <c r="I1194" s="11" t="n"/>
      <c r="J1194" s="11" t="n"/>
      <c r="K1194" s="11" t="n"/>
      <c r="L1194" s="11" t="n"/>
      <c r="M1194" s="11" t="n"/>
    </row>
    <row r="1195">
      <c r="A1195" s="11" t="n"/>
      <c r="B1195" s="11" t="n"/>
      <c r="C1195" s="11" t="n"/>
      <c r="D1195" s="11" t="n"/>
      <c r="E1195" s="11" t="n"/>
      <c r="F1195" s="11" t="n"/>
      <c r="G1195" s="11" t="n"/>
      <c r="H1195" s="11" t="n"/>
      <c r="I1195" s="11" t="n"/>
      <c r="J1195" s="11" t="n"/>
      <c r="K1195" s="11" t="n"/>
      <c r="L1195" s="11" t="n"/>
      <c r="M1195" s="11" t="n"/>
    </row>
    <row r="1196">
      <c r="A1196" s="11" t="n"/>
      <c r="B1196" s="11" t="n"/>
      <c r="C1196" s="11" t="n"/>
      <c r="D1196" s="11" t="n"/>
      <c r="E1196" s="11" t="n"/>
      <c r="F1196" s="11" t="n"/>
      <c r="G1196" s="11" t="n"/>
      <c r="H1196" s="11" t="n"/>
      <c r="I1196" s="11" t="n"/>
      <c r="J1196" s="11" t="n"/>
      <c r="K1196" s="11" t="n"/>
      <c r="L1196" s="11" t="n"/>
      <c r="M1196" s="11" t="n"/>
    </row>
    <row r="1197">
      <c r="A1197" s="11" t="n"/>
      <c r="B1197" s="11" t="n"/>
      <c r="C1197" s="11" t="n"/>
      <c r="D1197" s="11" t="n"/>
      <c r="E1197" s="11" t="n"/>
      <c r="F1197" s="11" t="n"/>
      <c r="G1197" s="11" t="n"/>
      <c r="H1197" s="11" t="n"/>
      <c r="I1197" s="11" t="n"/>
      <c r="J1197" s="11" t="n"/>
      <c r="K1197" s="11" t="n"/>
      <c r="L1197" s="11" t="n"/>
      <c r="M1197" s="11" t="n"/>
    </row>
    <row r="1198">
      <c r="A1198" s="11" t="n"/>
      <c r="B1198" s="11" t="n"/>
      <c r="C1198" s="11" t="n"/>
      <c r="D1198" s="11" t="n"/>
      <c r="E1198" s="11" t="n"/>
      <c r="F1198" s="11" t="n"/>
      <c r="G1198" s="11" t="n"/>
      <c r="H1198" s="11" t="n"/>
      <c r="I1198" s="11" t="n"/>
      <c r="J1198" s="11" t="n"/>
      <c r="K1198" s="11" t="n"/>
      <c r="L1198" s="11" t="n"/>
      <c r="M1198" s="11" t="n"/>
    </row>
    <row r="1199">
      <c r="A1199" s="11" t="n"/>
      <c r="B1199" s="11" t="n"/>
      <c r="C1199" s="11" t="n"/>
      <c r="D1199" s="11" t="n"/>
      <c r="E1199" s="11" t="n"/>
      <c r="F1199" s="11" t="n"/>
      <c r="G1199" s="11" t="n"/>
      <c r="H1199" s="11" t="n"/>
      <c r="I1199" s="11" t="n"/>
      <c r="J1199" s="11" t="n"/>
      <c r="K1199" s="11" t="n"/>
      <c r="L1199" s="11" t="n"/>
      <c r="M1199" s="11" t="n"/>
    </row>
    <row r="1200">
      <c r="A1200" s="11" t="n"/>
      <c r="B1200" s="11" t="n"/>
      <c r="C1200" s="11" t="n"/>
      <c r="D1200" s="11" t="n"/>
      <c r="E1200" s="11" t="n"/>
      <c r="F1200" s="11" t="n"/>
      <c r="G1200" s="11" t="n"/>
      <c r="H1200" s="11" t="n"/>
      <c r="I1200" s="11" t="n"/>
      <c r="J1200" s="11" t="n"/>
      <c r="K1200" s="11" t="n"/>
      <c r="L1200" s="11" t="n"/>
      <c r="M1200" s="11" t="n"/>
    </row>
    <row r="1201">
      <c r="A1201" s="11" t="n"/>
      <c r="B1201" s="11" t="n"/>
      <c r="C1201" s="11" t="n"/>
      <c r="D1201" s="11" t="n"/>
      <c r="E1201" s="11" t="n"/>
      <c r="F1201" s="11" t="n"/>
      <c r="G1201" s="11" t="n"/>
      <c r="H1201" s="11" t="n"/>
      <c r="I1201" s="11" t="n"/>
      <c r="J1201" s="11" t="n"/>
      <c r="K1201" s="11" t="n"/>
      <c r="L1201" s="11" t="n"/>
      <c r="M1201" s="11" t="n"/>
    </row>
    <row r="1202">
      <c r="A1202" s="11" t="n"/>
      <c r="B1202" s="11" t="n"/>
      <c r="C1202" s="11" t="n"/>
      <c r="D1202" s="11" t="n"/>
      <c r="E1202" s="11" t="n"/>
      <c r="F1202" s="11" t="n"/>
      <c r="G1202" s="11" t="n"/>
      <c r="H1202" s="11" t="n"/>
      <c r="I1202" s="11" t="n"/>
      <c r="J1202" s="11" t="n"/>
      <c r="K1202" s="11" t="n"/>
      <c r="L1202" s="11" t="n"/>
      <c r="M1202" s="11" t="n"/>
    </row>
    <row r="1203">
      <c r="A1203" s="11" t="n"/>
      <c r="B1203" s="11" t="n"/>
      <c r="C1203" s="11" t="n"/>
      <c r="D1203" s="11" t="n"/>
      <c r="E1203" s="11" t="n"/>
      <c r="F1203" s="11" t="n"/>
      <c r="G1203" s="11" t="n"/>
      <c r="H1203" s="11" t="n"/>
      <c r="I1203" s="11" t="n"/>
      <c r="J1203" s="11" t="n"/>
      <c r="K1203" s="11" t="n"/>
      <c r="L1203" s="11" t="n"/>
      <c r="M1203" s="11" t="n"/>
    </row>
    <row r="1204">
      <c r="A1204" s="11" t="n"/>
      <c r="B1204" s="11" t="n"/>
      <c r="C1204" s="11" t="n"/>
      <c r="D1204" s="11" t="n"/>
      <c r="E1204" s="11" t="n"/>
      <c r="F1204" s="11" t="n"/>
      <c r="G1204" s="11" t="n"/>
      <c r="H1204" s="11" t="n"/>
      <c r="I1204" s="11" t="n"/>
      <c r="J1204" s="11" t="n"/>
      <c r="K1204" s="11" t="n"/>
      <c r="L1204" s="11" t="n"/>
      <c r="M1204" s="11" t="n"/>
    </row>
    <row r="1205">
      <c r="A1205" s="11" t="n"/>
      <c r="B1205" s="11" t="n"/>
      <c r="C1205" s="11" t="n"/>
      <c r="D1205" s="11" t="n"/>
      <c r="E1205" s="11" t="n"/>
      <c r="F1205" s="11" t="n"/>
      <c r="G1205" s="11" t="n"/>
      <c r="H1205" s="11" t="n"/>
      <c r="I1205" s="11" t="n"/>
      <c r="J1205" s="11" t="n"/>
      <c r="K1205" s="11" t="n"/>
      <c r="L1205" s="11" t="n"/>
      <c r="M1205" s="11" t="n"/>
    </row>
    <row r="1206">
      <c r="A1206" s="11" t="n"/>
      <c r="B1206" s="11" t="n"/>
      <c r="C1206" s="11" t="n"/>
      <c r="D1206" s="11" t="n"/>
      <c r="E1206" s="11" t="n"/>
      <c r="F1206" s="11" t="n"/>
      <c r="G1206" s="11" t="n"/>
      <c r="H1206" s="11" t="n"/>
      <c r="I1206" s="11" t="n"/>
      <c r="J1206" s="11" t="n"/>
      <c r="K1206" s="11" t="n"/>
      <c r="L1206" s="11" t="n"/>
      <c r="M1206" s="11" t="n"/>
    </row>
    <row r="1207">
      <c r="A1207" s="11" t="n"/>
      <c r="B1207" s="11" t="n"/>
      <c r="C1207" s="11" t="n"/>
      <c r="D1207" s="11" t="n"/>
      <c r="E1207" s="11" t="n"/>
      <c r="F1207" s="11" t="n"/>
      <c r="G1207" s="11" t="n"/>
      <c r="H1207" s="11" t="n"/>
      <c r="I1207" s="11" t="n"/>
      <c r="J1207" s="11" t="n"/>
      <c r="K1207" s="11" t="n"/>
      <c r="L1207" s="11" t="n"/>
      <c r="M1207" s="11" t="n"/>
    </row>
    <row r="1208">
      <c r="A1208" s="11" t="n"/>
      <c r="B1208" s="11" t="n"/>
      <c r="C1208" s="11" t="n"/>
      <c r="D1208" s="11" t="n"/>
      <c r="E1208" s="11" t="n"/>
      <c r="F1208" s="11" t="n"/>
      <c r="G1208" s="11" t="n"/>
      <c r="H1208" s="11" t="n"/>
      <c r="I1208" s="11" t="n"/>
      <c r="J1208" s="11" t="n"/>
      <c r="K1208" s="11" t="n"/>
      <c r="L1208" s="11" t="n"/>
      <c r="M1208" s="11" t="n"/>
    </row>
    <row r="1209">
      <c r="A1209" s="11" t="n"/>
      <c r="B1209" s="11" t="n"/>
      <c r="C1209" s="11" t="n"/>
      <c r="D1209" s="11" t="n"/>
      <c r="E1209" s="11" t="n"/>
      <c r="F1209" s="11" t="n"/>
      <c r="G1209" s="11" t="n"/>
      <c r="H1209" s="11" t="n"/>
      <c r="I1209" s="11" t="n"/>
      <c r="J1209" s="11" t="n"/>
      <c r="K1209" s="11" t="n"/>
      <c r="L1209" s="11" t="n"/>
      <c r="M1209" s="11" t="n"/>
    </row>
    <row r="1210">
      <c r="A1210" s="11" t="n"/>
      <c r="B1210" s="11" t="n"/>
      <c r="C1210" s="11" t="n"/>
      <c r="D1210" s="11" t="n"/>
      <c r="E1210" s="11" t="n"/>
      <c r="F1210" s="11" t="n"/>
      <c r="G1210" s="11" t="n"/>
      <c r="H1210" s="11" t="n"/>
      <c r="I1210" s="11" t="n"/>
      <c r="J1210" s="11" t="n"/>
      <c r="K1210" s="11" t="n"/>
      <c r="L1210" s="11" t="n"/>
      <c r="M1210" s="11" t="n"/>
    </row>
    <row r="1211">
      <c r="A1211" s="11" t="n"/>
      <c r="B1211" s="11" t="n"/>
      <c r="C1211" s="11" t="n"/>
      <c r="D1211" s="11" t="n"/>
      <c r="E1211" s="11" t="n"/>
      <c r="F1211" s="11" t="n"/>
      <c r="G1211" s="11" t="n"/>
      <c r="H1211" s="11" t="n"/>
      <c r="I1211" s="11" t="n"/>
      <c r="J1211" s="11" t="n"/>
      <c r="K1211" s="11" t="n"/>
      <c r="L1211" s="11" t="n"/>
      <c r="M1211" s="11" t="n"/>
    </row>
    <row r="1212">
      <c r="A1212" s="11" t="n"/>
      <c r="B1212" s="11" t="n"/>
      <c r="C1212" s="11" t="n"/>
      <c r="D1212" s="11" t="n"/>
      <c r="E1212" s="11" t="n"/>
      <c r="F1212" s="11" t="n"/>
      <c r="G1212" s="11" t="n"/>
      <c r="H1212" s="11" t="n"/>
      <c r="I1212" s="11" t="n"/>
      <c r="J1212" s="11" t="n"/>
      <c r="K1212" s="11" t="n"/>
      <c r="L1212" s="11" t="n"/>
      <c r="M1212" s="11" t="n"/>
    </row>
    <row r="1213">
      <c r="A1213" s="11" t="n"/>
      <c r="B1213" s="11" t="n"/>
      <c r="C1213" s="11" t="n"/>
      <c r="D1213" s="11" t="n"/>
      <c r="E1213" s="11" t="n"/>
      <c r="F1213" s="11" t="n"/>
      <c r="G1213" s="11" t="n"/>
      <c r="H1213" s="11" t="n"/>
      <c r="I1213" s="11" t="n"/>
      <c r="J1213" s="11" t="n"/>
      <c r="K1213" s="11" t="n"/>
      <c r="L1213" s="11" t="n"/>
      <c r="M1213" s="11" t="n"/>
    </row>
    <row r="1214">
      <c r="A1214" s="11" t="n"/>
      <c r="B1214" s="11" t="n"/>
      <c r="C1214" s="11" t="n"/>
      <c r="D1214" s="11" t="n"/>
      <c r="E1214" s="11" t="n"/>
      <c r="F1214" s="11" t="n"/>
      <c r="G1214" s="11" t="n"/>
      <c r="H1214" s="11" t="n"/>
      <c r="I1214" s="11" t="n"/>
      <c r="J1214" s="11" t="n"/>
      <c r="K1214" s="11" t="n"/>
      <c r="L1214" s="11" t="n"/>
      <c r="M1214" s="11" t="n"/>
    </row>
    <row r="1215">
      <c r="A1215" s="11" t="n"/>
      <c r="B1215" s="11" t="n"/>
      <c r="C1215" s="11" t="n"/>
      <c r="D1215" s="11" t="n"/>
      <c r="E1215" s="11" t="n"/>
      <c r="F1215" s="11" t="n"/>
      <c r="G1215" s="11" t="n"/>
      <c r="H1215" s="11" t="n"/>
      <c r="I1215" s="11" t="n"/>
      <c r="J1215" s="11" t="n"/>
      <c r="K1215" s="11" t="n"/>
      <c r="L1215" s="11" t="n"/>
      <c r="M1215" s="11" t="n"/>
    </row>
    <row r="1216">
      <c r="A1216" s="11" t="n"/>
      <c r="B1216" s="11" t="n"/>
      <c r="C1216" s="11" t="n"/>
      <c r="D1216" s="11" t="n"/>
      <c r="E1216" s="11" t="n"/>
      <c r="F1216" s="11" t="n"/>
      <c r="G1216" s="11" t="n"/>
      <c r="H1216" s="11" t="n"/>
      <c r="I1216" s="11" t="n"/>
      <c r="J1216" s="11" t="n"/>
      <c r="K1216" s="11" t="n"/>
      <c r="L1216" s="11" t="n"/>
      <c r="M1216" s="11" t="n"/>
    </row>
    <row r="1217">
      <c r="A1217" s="11" t="n"/>
      <c r="B1217" s="11" t="n"/>
      <c r="C1217" s="11" t="n"/>
      <c r="D1217" s="11" t="n"/>
      <c r="E1217" s="11" t="n"/>
      <c r="F1217" s="11" t="n"/>
      <c r="G1217" s="11" t="n"/>
      <c r="H1217" s="11" t="n"/>
      <c r="I1217" s="11" t="n"/>
      <c r="J1217" s="11" t="n"/>
      <c r="K1217" s="11" t="n"/>
      <c r="L1217" s="11" t="n"/>
      <c r="M1217" s="11" t="n"/>
    </row>
    <row r="1218">
      <c r="A1218" s="11" t="n"/>
      <c r="B1218" s="11" t="n"/>
      <c r="C1218" s="11" t="n"/>
      <c r="D1218" s="11" t="n"/>
      <c r="E1218" s="11" t="n"/>
      <c r="F1218" s="11" t="n"/>
      <c r="G1218" s="11" t="n"/>
      <c r="H1218" s="11" t="n"/>
      <c r="I1218" s="11" t="n"/>
      <c r="J1218" s="11" t="n"/>
      <c r="K1218" s="11" t="n"/>
      <c r="L1218" s="11" t="n"/>
      <c r="M1218" s="11" t="n"/>
    </row>
    <row r="1219">
      <c r="A1219" s="11" t="n"/>
      <c r="B1219" s="11" t="n"/>
      <c r="C1219" s="11" t="n"/>
      <c r="D1219" s="11" t="n"/>
      <c r="E1219" s="11" t="n"/>
      <c r="F1219" s="11" t="n"/>
      <c r="G1219" s="11" t="n"/>
      <c r="H1219" s="11" t="n"/>
      <c r="I1219" s="11" t="n"/>
      <c r="J1219" s="11" t="n"/>
      <c r="K1219" s="11" t="n"/>
      <c r="L1219" s="11" t="n"/>
      <c r="M1219" s="11" t="n"/>
    </row>
    <row r="1220">
      <c r="A1220" s="11" t="n"/>
      <c r="B1220" s="11" t="n"/>
      <c r="C1220" s="11" t="n"/>
      <c r="D1220" s="11" t="n"/>
      <c r="E1220" s="11" t="n"/>
      <c r="F1220" s="11" t="n"/>
      <c r="G1220" s="11" t="n"/>
      <c r="H1220" s="11" t="n"/>
      <c r="I1220" s="11" t="n"/>
      <c r="J1220" s="11" t="n"/>
      <c r="K1220" s="11" t="n"/>
      <c r="L1220" s="11" t="n"/>
      <c r="M1220" s="11" t="n"/>
    </row>
    <row r="1221">
      <c r="A1221" s="11" t="n"/>
      <c r="B1221" s="11" t="n"/>
      <c r="C1221" s="11" t="n"/>
      <c r="D1221" s="11" t="n"/>
      <c r="E1221" s="11" t="n"/>
      <c r="F1221" s="11" t="n"/>
      <c r="G1221" s="11" t="n"/>
      <c r="H1221" s="11" t="n"/>
      <c r="I1221" s="11" t="n"/>
      <c r="J1221" s="11" t="n"/>
      <c r="K1221" s="11" t="n"/>
      <c r="L1221" s="11" t="n"/>
      <c r="M1221" s="11" t="n"/>
    </row>
    <row r="1222">
      <c r="A1222" s="11" t="n"/>
      <c r="B1222" s="11" t="n"/>
      <c r="C1222" s="11" t="n"/>
      <c r="D1222" s="11" t="n"/>
      <c r="E1222" s="11" t="n"/>
      <c r="F1222" s="11" t="n"/>
      <c r="G1222" s="11" t="n"/>
      <c r="H1222" s="11" t="n"/>
      <c r="I1222" s="11" t="n"/>
      <c r="J1222" s="11" t="n"/>
      <c r="K1222" s="11" t="n"/>
      <c r="L1222" s="11" t="n"/>
      <c r="M1222" s="11" t="n"/>
    </row>
    <row r="1223">
      <c r="A1223" s="11" t="n"/>
      <c r="B1223" s="11" t="n"/>
      <c r="C1223" s="11" t="n"/>
      <c r="D1223" s="11" t="n"/>
      <c r="E1223" s="11" t="n"/>
      <c r="F1223" s="11" t="n"/>
      <c r="G1223" s="11" t="n"/>
      <c r="H1223" s="11" t="n"/>
      <c r="I1223" s="11" t="n"/>
      <c r="J1223" s="11" t="n"/>
      <c r="K1223" s="11" t="n"/>
      <c r="L1223" s="11" t="n"/>
      <c r="M1223" s="11" t="n"/>
    </row>
    <row r="1224">
      <c r="A1224" s="11" t="n"/>
      <c r="B1224" s="11" t="n"/>
      <c r="C1224" s="11" t="n"/>
      <c r="D1224" s="11" t="n"/>
      <c r="E1224" s="11" t="n"/>
      <c r="F1224" s="11" t="n"/>
      <c r="G1224" s="11" t="n"/>
      <c r="H1224" s="11" t="n"/>
      <c r="I1224" s="11" t="n"/>
      <c r="J1224" s="11" t="n"/>
      <c r="K1224" s="11" t="n"/>
      <c r="L1224" s="11" t="n"/>
      <c r="M1224" s="11" t="n"/>
    </row>
    <row r="1225">
      <c r="A1225" s="11" t="n"/>
      <c r="B1225" s="11" t="n"/>
      <c r="C1225" s="11" t="n"/>
      <c r="D1225" s="11" t="n"/>
      <c r="E1225" s="11" t="n"/>
      <c r="F1225" s="11" t="n"/>
      <c r="G1225" s="11" t="n"/>
      <c r="H1225" s="11" t="n"/>
      <c r="I1225" s="11" t="n"/>
      <c r="J1225" s="11" t="n"/>
      <c r="K1225" s="11" t="n"/>
      <c r="L1225" s="11" t="n"/>
      <c r="M1225" s="11" t="n"/>
    </row>
    <row r="1226">
      <c r="A1226" s="11" t="n"/>
      <c r="B1226" s="11" t="n"/>
      <c r="C1226" s="11" t="n"/>
      <c r="D1226" s="11" t="n"/>
      <c r="E1226" s="11" t="n"/>
      <c r="F1226" s="11" t="n"/>
      <c r="G1226" s="11" t="n"/>
      <c r="H1226" s="11" t="n"/>
      <c r="I1226" s="11" t="n"/>
      <c r="J1226" s="11" t="n"/>
      <c r="K1226" s="11" t="n"/>
      <c r="L1226" s="11" t="n"/>
      <c r="M1226" s="11" t="n"/>
    </row>
    <row r="1227">
      <c r="A1227" s="11" t="n"/>
      <c r="B1227" s="11" t="n"/>
      <c r="C1227" s="11" t="n"/>
      <c r="D1227" s="11" t="n"/>
      <c r="E1227" s="11" t="n"/>
      <c r="F1227" s="11" t="n"/>
      <c r="G1227" s="11" t="n"/>
      <c r="H1227" s="11" t="n"/>
      <c r="I1227" s="11" t="n"/>
      <c r="J1227" s="11" t="n"/>
      <c r="K1227" s="11" t="n"/>
      <c r="L1227" s="11" t="n"/>
      <c r="M1227" s="11" t="n"/>
    </row>
    <row r="1228">
      <c r="A1228" s="11" t="n"/>
      <c r="B1228" s="11" t="n"/>
      <c r="C1228" s="11" t="n"/>
      <c r="D1228" s="11" t="n"/>
      <c r="E1228" s="11" t="n"/>
      <c r="F1228" s="11" t="n"/>
      <c r="G1228" s="11" t="n"/>
      <c r="H1228" s="11" t="n"/>
      <c r="I1228" s="11" t="n"/>
      <c r="J1228" s="11" t="n"/>
      <c r="K1228" s="11" t="n"/>
      <c r="L1228" s="11" t="n"/>
      <c r="M1228" s="11" t="n"/>
    </row>
    <row r="1229">
      <c r="A1229" s="11" t="n"/>
      <c r="B1229" s="11" t="n"/>
      <c r="C1229" s="11" t="n"/>
      <c r="D1229" s="11" t="n"/>
      <c r="E1229" s="11" t="n"/>
      <c r="F1229" s="11" t="n"/>
      <c r="G1229" s="11" t="n"/>
      <c r="H1229" s="11" t="n"/>
      <c r="I1229" s="11" t="n"/>
      <c r="J1229" s="11" t="n"/>
      <c r="K1229" s="11" t="n"/>
      <c r="L1229" s="11" t="n"/>
      <c r="M1229" s="11" t="n"/>
    </row>
    <row r="1230">
      <c r="A1230" s="11" t="n"/>
      <c r="B1230" s="11" t="n"/>
      <c r="C1230" s="11" t="n"/>
      <c r="D1230" s="11" t="n"/>
      <c r="E1230" s="11" t="n"/>
      <c r="F1230" s="11" t="n"/>
      <c r="G1230" s="11" t="n"/>
      <c r="H1230" s="11" t="n"/>
      <c r="I1230" s="11" t="n"/>
      <c r="J1230" s="11" t="n"/>
      <c r="K1230" s="11" t="n"/>
      <c r="L1230" s="11" t="n"/>
      <c r="M1230" s="11" t="n"/>
    </row>
    <row r="1231">
      <c r="A1231" s="11" t="n"/>
      <c r="B1231" s="11" t="n"/>
      <c r="C1231" s="11" t="n"/>
      <c r="D1231" s="11" t="n"/>
      <c r="E1231" s="11" t="n"/>
      <c r="F1231" s="11" t="n"/>
      <c r="G1231" s="11" t="n"/>
      <c r="H1231" s="11" t="n"/>
      <c r="I1231" s="11" t="n"/>
      <c r="J1231" s="11" t="n"/>
      <c r="K1231" s="11" t="n"/>
      <c r="L1231" s="11" t="n"/>
      <c r="M1231" s="11" t="n"/>
    </row>
    <row r="1232">
      <c r="A1232" s="11" t="n"/>
      <c r="B1232" s="11" t="n"/>
      <c r="C1232" s="11" t="n"/>
      <c r="D1232" s="11" t="n"/>
      <c r="E1232" s="11" t="n"/>
      <c r="F1232" s="11" t="n"/>
      <c r="G1232" s="11" t="n"/>
      <c r="H1232" s="11" t="n"/>
      <c r="I1232" s="11" t="n"/>
      <c r="J1232" s="11" t="n"/>
      <c r="K1232" s="11" t="n"/>
      <c r="L1232" s="11" t="n"/>
      <c r="M1232" s="11" t="n"/>
    </row>
    <row r="1233">
      <c r="A1233" s="11" t="n"/>
      <c r="B1233" s="11" t="n"/>
      <c r="C1233" s="11" t="n"/>
      <c r="D1233" s="11" t="n"/>
      <c r="E1233" s="11" t="n"/>
      <c r="F1233" s="11" t="n"/>
      <c r="G1233" s="11" t="n"/>
      <c r="H1233" s="11" t="n"/>
      <c r="I1233" s="11" t="n"/>
      <c r="J1233" s="11" t="n"/>
      <c r="K1233" s="11" t="n"/>
      <c r="L1233" s="11" t="n"/>
      <c r="M1233" s="11" t="n"/>
    </row>
    <row r="1234">
      <c r="A1234" s="11" t="n"/>
      <c r="B1234" s="11" t="n"/>
      <c r="C1234" s="11" t="n"/>
      <c r="D1234" s="11" t="n"/>
      <c r="E1234" s="11" t="n"/>
      <c r="F1234" s="11" t="n"/>
      <c r="G1234" s="11" t="n"/>
      <c r="H1234" s="11" t="n"/>
      <c r="I1234" s="11" t="n"/>
      <c r="J1234" s="11" t="n"/>
      <c r="K1234" s="11" t="n"/>
      <c r="L1234" s="11" t="n"/>
      <c r="M1234" s="11" t="n"/>
    </row>
    <row r="1235">
      <c r="A1235" s="11" t="n"/>
      <c r="B1235" s="11" t="n"/>
      <c r="C1235" s="11" t="n"/>
      <c r="D1235" s="11" t="n"/>
      <c r="E1235" s="11" t="n"/>
      <c r="F1235" s="11" t="n"/>
      <c r="G1235" s="11" t="n"/>
      <c r="H1235" s="11" t="n"/>
      <c r="I1235" s="11" t="n"/>
      <c r="J1235" s="11" t="n"/>
      <c r="K1235" s="11" t="n"/>
      <c r="L1235" s="11" t="n"/>
      <c r="M1235" s="11" t="n"/>
    </row>
    <row r="1236">
      <c r="A1236" s="11" t="n"/>
      <c r="B1236" s="11" t="n"/>
      <c r="C1236" s="11" t="n"/>
      <c r="D1236" s="11" t="n"/>
      <c r="E1236" s="11" t="n"/>
      <c r="F1236" s="11" t="n"/>
      <c r="G1236" s="11" t="n"/>
      <c r="H1236" s="11" t="n"/>
      <c r="I1236" s="11" t="n"/>
      <c r="J1236" s="11" t="n"/>
      <c r="K1236" s="11" t="n"/>
      <c r="L1236" s="11" t="n"/>
      <c r="M1236" s="11" t="n"/>
    </row>
    <row r="1237">
      <c r="A1237" s="11" t="n"/>
      <c r="B1237" s="11" t="n"/>
      <c r="C1237" s="11" t="n"/>
      <c r="D1237" s="11" t="n"/>
      <c r="E1237" s="11" t="n"/>
      <c r="F1237" s="11" t="n"/>
      <c r="G1237" s="11" t="n"/>
      <c r="H1237" s="11" t="n"/>
      <c r="I1237" s="11" t="n"/>
      <c r="J1237" s="11" t="n"/>
      <c r="K1237" s="11" t="n"/>
      <c r="L1237" s="11" t="n"/>
      <c r="M1237" s="11" t="n"/>
    </row>
    <row r="1238">
      <c r="A1238" s="11" t="n"/>
      <c r="B1238" s="11" t="n"/>
      <c r="C1238" s="11" t="n"/>
      <c r="D1238" s="11" t="n"/>
      <c r="E1238" s="11" t="n"/>
      <c r="F1238" s="11" t="n"/>
      <c r="G1238" s="11" t="n"/>
      <c r="H1238" s="11" t="n"/>
      <c r="I1238" s="11" t="n"/>
      <c r="J1238" s="11" t="n"/>
      <c r="K1238" s="11" t="n"/>
      <c r="L1238" s="11" t="n"/>
      <c r="M1238" s="11" t="n"/>
    </row>
    <row r="1239">
      <c r="A1239" s="11" t="n"/>
      <c r="B1239" s="11" t="n"/>
      <c r="C1239" s="11" t="n"/>
      <c r="D1239" s="11" t="n"/>
      <c r="E1239" s="11" t="n"/>
      <c r="F1239" s="11" t="n"/>
      <c r="G1239" s="11" t="n"/>
      <c r="H1239" s="11" t="n"/>
      <c r="I1239" s="11" t="n"/>
      <c r="J1239" s="11" t="n"/>
      <c r="K1239" s="11" t="n"/>
      <c r="L1239" s="11" t="n"/>
      <c r="M1239" s="11" t="n"/>
    </row>
    <row r="1240">
      <c r="A1240" s="11" t="n"/>
      <c r="B1240" s="11" t="n"/>
      <c r="C1240" s="11" t="n"/>
      <c r="D1240" s="11" t="n"/>
      <c r="E1240" s="11" t="n"/>
      <c r="F1240" s="11" t="n"/>
      <c r="G1240" s="11" t="n"/>
      <c r="H1240" s="11" t="n"/>
      <c r="I1240" s="11" t="n"/>
      <c r="J1240" s="11" t="n"/>
      <c r="K1240" s="11" t="n"/>
      <c r="L1240" s="11" t="n"/>
      <c r="M1240" s="11" t="n"/>
    </row>
    <row r="1241">
      <c r="A1241" s="11" t="n"/>
      <c r="B1241" s="11" t="n"/>
      <c r="C1241" s="11" t="n"/>
      <c r="D1241" s="11" t="n"/>
      <c r="E1241" s="11" t="n"/>
      <c r="F1241" s="11" t="n"/>
      <c r="G1241" s="11" t="n"/>
      <c r="H1241" s="11" t="n"/>
      <c r="I1241" s="11" t="n"/>
      <c r="J1241" s="11" t="n"/>
      <c r="K1241" s="11" t="n"/>
      <c r="L1241" s="11" t="n"/>
      <c r="M1241" s="11" t="n"/>
    </row>
    <row r="1242">
      <c r="A1242" s="11" t="n"/>
      <c r="B1242" s="11" t="n"/>
      <c r="C1242" s="11" t="n"/>
      <c r="D1242" s="11" t="n"/>
      <c r="E1242" s="11" t="n"/>
      <c r="F1242" s="11" t="n"/>
      <c r="G1242" s="11" t="n"/>
      <c r="H1242" s="11" t="n"/>
      <c r="I1242" s="11" t="n"/>
      <c r="J1242" s="11" t="n"/>
      <c r="K1242" s="11" t="n"/>
      <c r="L1242" s="11" t="n"/>
      <c r="M1242" s="11" t="n"/>
    </row>
    <row r="1243">
      <c r="A1243" s="11" t="n"/>
      <c r="B1243" s="11" t="n"/>
      <c r="C1243" s="11" t="n"/>
      <c r="D1243" s="11" t="n"/>
      <c r="E1243" s="11" t="n"/>
      <c r="F1243" s="11" t="n"/>
      <c r="G1243" s="11" t="n"/>
      <c r="H1243" s="11" t="n"/>
      <c r="I1243" s="11" t="n"/>
      <c r="J1243" s="11" t="n"/>
      <c r="K1243" s="11" t="n"/>
      <c r="L1243" s="11" t="n"/>
      <c r="M1243" s="11" t="n"/>
    </row>
    <row r="1244">
      <c r="A1244" s="11" t="n"/>
      <c r="B1244" s="11" t="n"/>
      <c r="C1244" s="11" t="n"/>
      <c r="D1244" s="11" t="n"/>
      <c r="E1244" s="11" t="n"/>
      <c r="F1244" s="11" t="n"/>
      <c r="G1244" s="11" t="n"/>
      <c r="H1244" s="11" t="n"/>
      <c r="I1244" s="11" t="n"/>
      <c r="J1244" s="11" t="n"/>
      <c r="K1244" s="11" t="n"/>
      <c r="L1244" s="11" t="n"/>
      <c r="M1244" s="11" t="n"/>
    </row>
    <row r="1245">
      <c r="A1245" s="11" t="n"/>
      <c r="B1245" s="11" t="n"/>
      <c r="C1245" s="11" t="n"/>
      <c r="D1245" s="11" t="n"/>
      <c r="E1245" s="11" t="n"/>
      <c r="F1245" s="11" t="n"/>
      <c r="G1245" s="11" t="n"/>
      <c r="H1245" s="11" t="n"/>
      <c r="I1245" s="11" t="n"/>
      <c r="J1245" s="11" t="n"/>
      <c r="K1245" s="11" t="n"/>
      <c r="L1245" s="11" t="n"/>
      <c r="M1245" s="11" t="n"/>
    </row>
    <row r="1246">
      <c r="A1246" s="11" t="n"/>
      <c r="B1246" s="11" t="n"/>
      <c r="C1246" s="11" t="n"/>
      <c r="D1246" s="11" t="n"/>
      <c r="E1246" s="11" t="n"/>
      <c r="F1246" s="11" t="n"/>
      <c r="G1246" s="11" t="n"/>
      <c r="H1246" s="11" t="n"/>
      <c r="I1246" s="11" t="n"/>
      <c r="J1246" s="11" t="n"/>
      <c r="K1246" s="11" t="n"/>
      <c r="L1246" s="11" t="n"/>
      <c r="M1246" s="11" t="n"/>
    </row>
    <row r="1247">
      <c r="A1247" s="11" t="n"/>
      <c r="B1247" s="11" t="n"/>
      <c r="C1247" s="11" t="n"/>
      <c r="D1247" s="11" t="n"/>
      <c r="E1247" s="11" t="n"/>
      <c r="F1247" s="11" t="n"/>
      <c r="G1247" s="11" t="n"/>
      <c r="H1247" s="11" t="n"/>
      <c r="I1247" s="11" t="n"/>
      <c r="J1247" s="11" t="n"/>
      <c r="K1247" s="11" t="n"/>
      <c r="L1247" s="11" t="n"/>
      <c r="M1247" s="11" t="n"/>
    </row>
    <row r="1248">
      <c r="A1248" s="11" t="n"/>
      <c r="B1248" s="11" t="n"/>
      <c r="C1248" s="11" t="n"/>
      <c r="D1248" s="11" t="n"/>
      <c r="E1248" s="11" t="n"/>
      <c r="F1248" s="11" t="n"/>
      <c r="G1248" s="11" t="n"/>
      <c r="H1248" s="11" t="n"/>
      <c r="I1248" s="11" t="n"/>
      <c r="J1248" s="11" t="n"/>
      <c r="K1248" s="11" t="n"/>
      <c r="L1248" s="11" t="n"/>
      <c r="M1248" s="11" t="n"/>
    </row>
    <row r="1249">
      <c r="A1249" s="11" t="n"/>
      <c r="B1249" s="11" t="n"/>
      <c r="C1249" s="11" t="n"/>
      <c r="D1249" s="11" t="n"/>
      <c r="E1249" s="11" t="n"/>
      <c r="F1249" s="11" t="n"/>
      <c r="G1249" s="11" t="n"/>
      <c r="H1249" s="11" t="n"/>
      <c r="I1249" s="11" t="n"/>
      <c r="J1249" s="11" t="n"/>
      <c r="K1249" s="11" t="n"/>
      <c r="L1249" s="11" t="n"/>
      <c r="M1249" s="11" t="n"/>
    </row>
    <row r="1250">
      <c r="A1250" s="11" t="n"/>
      <c r="B1250" s="11" t="n"/>
      <c r="C1250" s="11" t="n"/>
      <c r="D1250" s="11" t="n"/>
      <c r="E1250" s="11" t="n"/>
      <c r="F1250" s="11" t="n"/>
      <c r="G1250" s="11" t="n"/>
      <c r="H1250" s="11" t="n"/>
      <c r="I1250" s="11" t="n"/>
      <c r="J1250" s="11" t="n"/>
      <c r="K1250" s="11" t="n"/>
      <c r="L1250" s="11" t="n"/>
      <c r="M1250" s="11" t="n"/>
    </row>
    <row r="1251">
      <c r="A1251" s="11" t="n"/>
      <c r="B1251" s="11" t="n"/>
      <c r="C1251" s="11" t="n"/>
      <c r="D1251" s="11" t="n"/>
      <c r="E1251" s="11" t="n"/>
      <c r="F1251" s="11" t="n"/>
      <c r="G1251" s="11" t="n"/>
      <c r="H1251" s="11" t="n"/>
      <c r="I1251" s="11" t="n"/>
      <c r="J1251" s="11" t="n"/>
      <c r="K1251" s="11" t="n"/>
      <c r="L1251" s="11" t="n"/>
      <c r="M1251" s="11" t="n"/>
    </row>
    <row r="1252">
      <c r="A1252" s="11" t="n"/>
      <c r="B1252" s="11" t="n"/>
      <c r="C1252" s="11" t="n"/>
      <c r="D1252" s="11" t="n"/>
      <c r="E1252" s="11" t="n"/>
      <c r="F1252" s="11" t="n"/>
      <c r="G1252" s="11" t="n"/>
      <c r="H1252" s="11" t="n"/>
      <c r="I1252" s="11" t="n"/>
      <c r="J1252" s="11" t="n"/>
      <c r="K1252" s="11" t="n"/>
      <c r="L1252" s="11" t="n"/>
      <c r="M1252" s="11" t="n"/>
    </row>
    <row r="1253">
      <c r="A1253" s="11" t="n"/>
      <c r="B1253" s="11" t="n"/>
      <c r="C1253" s="11" t="n"/>
      <c r="D1253" s="11" t="n"/>
      <c r="E1253" s="11" t="n"/>
      <c r="F1253" s="11" t="n"/>
      <c r="G1253" s="11" t="n"/>
      <c r="H1253" s="11" t="n"/>
      <c r="I1253" s="11" t="n"/>
      <c r="J1253" s="11" t="n"/>
      <c r="K1253" s="11" t="n"/>
      <c r="L1253" s="11" t="n"/>
      <c r="M1253" s="11" t="n"/>
    </row>
    <row r="1254">
      <c r="A1254" s="11" t="n"/>
      <c r="B1254" s="11" t="n"/>
      <c r="C1254" s="11" t="n"/>
      <c r="D1254" s="11" t="n"/>
      <c r="E1254" s="11" t="n"/>
      <c r="F1254" s="11" t="n"/>
      <c r="G1254" s="11" t="n"/>
      <c r="H1254" s="11" t="n"/>
      <c r="I1254" s="11" t="n"/>
      <c r="J1254" s="11" t="n"/>
      <c r="K1254" s="11" t="n"/>
      <c r="L1254" s="11" t="n"/>
      <c r="M1254" s="11" t="n"/>
    </row>
    <row r="1255">
      <c r="A1255" s="11" t="n"/>
      <c r="B1255" s="11" t="n"/>
      <c r="C1255" s="11" t="n"/>
      <c r="D1255" s="11" t="n"/>
      <c r="E1255" s="11" t="n"/>
      <c r="F1255" s="11" t="n"/>
      <c r="G1255" s="11" t="n"/>
      <c r="H1255" s="11" t="n"/>
      <c r="I1255" s="11" t="n"/>
      <c r="J1255" s="11" t="n"/>
      <c r="K1255" s="11" t="n"/>
      <c r="L1255" s="11" t="n"/>
      <c r="M1255" s="11" t="n"/>
    </row>
    <row r="1256">
      <c r="A1256" s="11" t="n"/>
      <c r="B1256" s="11" t="n"/>
      <c r="C1256" s="11" t="n"/>
      <c r="D1256" s="11" t="n"/>
      <c r="E1256" s="11" t="n"/>
      <c r="F1256" s="11" t="n"/>
      <c r="G1256" s="11" t="n"/>
      <c r="H1256" s="11" t="n"/>
      <c r="I1256" s="11" t="n"/>
      <c r="J1256" s="11" t="n"/>
      <c r="K1256" s="11" t="n"/>
      <c r="L1256" s="11" t="n"/>
      <c r="M1256" s="11" t="n"/>
    </row>
    <row r="1257">
      <c r="A1257" s="11" t="n"/>
      <c r="B1257" s="11" t="n"/>
      <c r="C1257" s="11" t="n"/>
      <c r="D1257" s="11" t="n"/>
      <c r="E1257" s="11" t="n"/>
      <c r="F1257" s="11" t="n"/>
      <c r="G1257" s="11" t="n"/>
      <c r="H1257" s="11" t="n"/>
      <c r="I1257" s="11" t="n"/>
      <c r="J1257" s="11" t="n"/>
      <c r="K1257" s="11" t="n"/>
      <c r="L1257" s="11" t="n"/>
      <c r="M1257" s="11" t="n"/>
    </row>
    <row r="1258">
      <c r="A1258" s="11" t="n"/>
      <c r="B1258" s="11" t="n"/>
      <c r="C1258" s="11" t="n"/>
      <c r="D1258" s="11" t="n"/>
      <c r="E1258" s="11" t="n"/>
      <c r="F1258" s="11" t="n"/>
      <c r="G1258" s="11" t="n"/>
      <c r="H1258" s="11" t="n"/>
      <c r="I1258" s="11" t="n"/>
      <c r="J1258" s="11" t="n"/>
      <c r="K1258" s="11" t="n"/>
      <c r="L1258" s="11" t="n"/>
      <c r="M1258" s="11" t="n"/>
    </row>
    <row r="1259">
      <c r="A1259" s="11" t="n"/>
      <c r="B1259" s="11" t="n"/>
      <c r="C1259" s="11" t="n"/>
      <c r="D1259" s="11" t="n"/>
      <c r="E1259" s="11" t="n"/>
      <c r="F1259" s="11" t="n"/>
      <c r="G1259" s="11" t="n"/>
      <c r="H1259" s="11" t="n"/>
      <c r="I1259" s="11" t="n"/>
      <c r="J1259" s="11" t="n"/>
      <c r="K1259" s="11" t="n"/>
      <c r="L1259" s="11" t="n"/>
      <c r="M1259" s="11" t="n"/>
    </row>
    <row r="1260">
      <c r="A1260" s="11" t="n"/>
      <c r="B1260" s="11" t="n"/>
      <c r="C1260" s="11" t="n"/>
      <c r="D1260" s="11" t="n"/>
      <c r="E1260" s="11" t="n"/>
      <c r="F1260" s="11" t="n"/>
      <c r="G1260" s="11" t="n"/>
      <c r="H1260" s="11" t="n"/>
      <c r="I1260" s="11" t="n"/>
      <c r="J1260" s="11" t="n"/>
      <c r="K1260" s="11" t="n"/>
      <c r="L1260" s="11" t="n"/>
      <c r="M1260" s="11" t="n"/>
    </row>
    <row r="1261">
      <c r="A1261" s="11" t="n"/>
      <c r="B1261" s="11" t="n"/>
      <c r="C1261" s="11" t="n"/>
      <c r="D1261" s="11" t="n"/>
      <c r="E1261" s="11" t="n"/>
      <c r="F1261" s="11" t="n"/>
      <c r="G1261" s="11" t="n"/>
      <c r="H1261" s="11" t="n"/>
      <c r="I1261" s="11" t="n"/>
      <c r="J1261" s="11" t="n"/>
      <c r="K1261" s="11" t="n"/>
      <c r="L1261" s="11" t="n"/>
      <c r="M1261" s="11" t="n"/>
    </row>
    <row r="1262">
      <c r="A1262" s="11" t="n"/>
      <c r="B1262" s="11" t="n"/>
      <c r="C1262" s="11" t="n"/>
      <c r="D1262" s="11" t="n"/>
      <c r="E1262" s="11" t="n"/>
      <c r="F1262" s="11" t="n"/>
      <c r="G1262" s="11" t="n"/>
      <c r="H1262" s="11" t="n"/>
      <c r="I1262" s="11" t="n"/>
      <c r="J1262" s="11" t="n"/>
      <c r="K1262" s="11" t="n"/>
      <c r="L1262" s="11" t="n"/>
      <c r="M1262" s="11" t="n"/>
    </row>
    <row r="1263">
      <c r="A1263" s="11" t="n"/>
      <c r="B1263" s="11" t="n"/>
      <c r="C1263" s="11" t="n"/>
      <c r="D1263" s="11" t="n"/>
      <c r="E1263" s="11" t="n"/>
      <c r="F1263" s="11" t="n"/>
      <c r="G1263" s="11" t="n"/>
      <c r="H1263" s="11" t="n"/>
      <c r="I1263" s="11" t="n"/>
      <c r="J1263" s="11" t="n"/>
      <c r="K1263" s="11" t="n"/>
      <c r="L1263" s="11" t="n"/>
      <c r="M1263" s="11" t="n"/>
    </row>
    <row r="1264">
      <c r="A1264" s="11" t="n"/>
      <c r="B1264" s="11" t="n"/>
      <c r="C1264" s="11" t="n"/>
      <c r="D1264" s="11" t="n"/>
      <c r="E1264" s="11" t="n"/>
      <c r="F1264" s="11" t="n"/>
      <c r="G1264" s="11" t="n"/>
      <c r="H1264" s="11" t="n"/>
      <c r="I1264" s="11" t="n"/>
      <c r="J1264" s="11" t="n"/>
      <c r="K1264" s="11" t="n"/>
      <c r="L1264" s="11" t="n"/>
      <c r="M1264" s="11" t="n"/>
    </row>
    <row r="1265">
      <c r="A1265" s="11" t="n"/>
      <c r="B1265" s="11" t="n"/>
      <c r="C1265" s="11" t="n"/>
      <c r="D1265" s="11" t="n"/>
      <c r="E1265" s="11" t="n"/>
      <c r="F1265" s="11" t="n"/>
      <c r="G1265" s="11" t="n"/>
      <c r="H1265" s="11" t="n"/>
      <c r="I1265" s="11" t="n"/>
      <c r="J1265" s="11" t="n"/>
      <c r="K1265" s="11" t="n"/>
      <c r="L1265" s="11" t="n"/>
      <c r="M1265" s="11" t="n"/>
    </row>
    <row r="1266">
      <c r="A1266" s="11" t="n"/>
      <c r="B1266" s="11" t="n"/>
      <c r="C1266" s="11" t="n"/>
      <c r="D1266" s="11" t="n"/>
      <c r="E1266" s="11" t="n"/>
      <c r="F1266" s="11" t="n"/>
      <c r="G1266" s="11" t="n"/>
      <c r="H1266" s="11" t="n"/>
      <c r="I1266" s="11" t="n"/>
      <c r="J1266" s="11" t="n"/>
      <c r="K1266" s="11" t="n"/>
      <c r="L1266" s="11" t="n"/>
      <c r="M1266" s="11" t="n"/>
    </row>
    <row r="1267">
      <c r="A1267" s="11" t="n"/>
      <c r="B1267" s="11" t="n"/>
      <c r="C1267" s="11" t="n"/>
      <c r="D1267" s="11" t="n"/>
      <c r="E1267" s="11" t="n"/>
      <c r="F1267" s="11" t="n"/>
      <c r="G1267" s="11" t="n"/>
      <c r="H1267" s="11" t="n"/>
      <c r="I1267" s="11" t="n"/>
      <c r="J1267" s="11" t="n"/>
      <c r="K1267" s="11" t="n"/>
      <c r="L1267" s="11" t="n"/>
      <c r="M1267" s="11" t="n"/>
    </row>
    <row r="1268">
      <c r="A1268" s="11" t="n"/>
      <c r="B1268" s="11" t="n"/>
      <c r="C1268" s="11" t="n"/>
      <c r="D1268" s="11" t="n"/>
      <c r="E1268" s="11" t="n"/>
      <c r="F1268" s="11" t="n"/>
      <c r="G1268" s="11" t="n"/>
      <c r="H1268" s="11" t="n"/>
      <c r="I1268" s="11" t="n"/>
      <c r="J1268" s="11" t="n"/>
      <c r="K1268" s="11" t="n"/>
      <c r="L1268" s="11" t="n"/>
      <c r="M1268" s="11" t="n"/>
    </row>
    <row r="1269">
      <c r="A1269" s="11" t="n"/>
      <c r="B1269" s="11" t="n"/>
      <c r="C1269" s="11" t="n"/>
      <c r="D1269" s="11" t="n"/>
      <c r="E1269" s="11" t="n"/>
      <c r="F1269" s="11" t="n"/>
      <c r="G1269" s="11" t="n"/>
      <c r="H1269" s="11" t="n"/>
      <c r="I1269" s="11" t="n"/>
      <c r="J1269" s="11" t="n"/>
      <c r="K1269" s="11" t="n"/>
      <c r="L1269" s="11" t="n"/>
      <c r="M1269" s="11" t="n"/>
    </row>
    <row r="1270">
      <c r="A1270" s="11" t="n"/>
      <c r="B1270" s="11" t="n"/>
      <c r="C1270" s="11" t="n"/>
      <c r="D1270" s="11" t="n"/>
      <c r="E1270" s="11" t="n"/>
      <c r="F1270" s="11" t="n"/>
      <c r="G1270" s="11" t="n"/>
      <c r="H1270" s="11" t="n"/>
      <c r="I1270" s="11" t="n"/>
      <c r="J1270" s="11" t="n"/>
      <c r="K1270" s="11" t="n"/>
      <c r="L1270" s="11" t="n"/>
      <c r="M1270" s="11" t="n"/>
    </row>
    <row r="1271">
      <c r="A1271" s="11" t="n"/>
      <c r="B1271" s="11" t="n"/>
      <c r="C1271" s="11" t="n"/>
      <c r="D1271" s="11" t="n"/>
      <c r="E1271" s="11" t="n"/>
      <c r="F1271" s="11" t="n"/>
      <c r="G1271" s="11" t="n"/>
      <c r="H1271" s="11" t="n"/>
      <c r="I1271" s="11" t="n"/>
      <c r="J1271" s="11" t="n"/>
      <c r="K1271" s="11" t="n"/>
      <c r="L1271" s="11" t="n"/>
      <c r="M1271" s="11" t="n"/>
    </row>
    <row r="1272">
      <c r="A1272" s="11" t="n"/>
      <c r="B1272" s="11" t="n"/>
      <c r="C1272" s="11" t="n"/>
      <c r="D1272" s="11" t="n"/>
      <c r="E1272" s="11" t="n"/>
      <c r="F1272" s="11" t="n"/>
      <c r="G1272" s="11" t="n"/>
      <c r="H1272" s="11" t="n"/>
      <c r="I1272" s="11" t="n"/>
      <c r="J1272" s="11" t="n"/>
      <c r="K1272" s="11" t="n"/>
      <c r="L1272" s="11" t="n"/>
      <c r="M1272" s="11" t="n"/>
    </row>
    <row r="1273">
      <c r="A1273" s="11" t="n"/>
      <c r="B1273" s="11" t="n"/>
      <c r="C1273" s="11" t="n"/>
      <c r="D1273" s="11" t="n"/>
      <c r="E1273" s="11" t="n"/>
      <c r="F1273" s="11" t="n"/>
      <c r="G1273" s="11" t="n"/>
      <c r="H1273" s="11" t="n"/>
      <c r="I1273" s="11" t="n"/>
      <c r="J1273" s="11" t="n"/>
      <c r="K1273" s="11" t="n"/>
      <c r="L1273" s="11" t="n"/>
      <c r="M1273" s="11" t="n"/>
    </row>
    <row r="1274">
      <c r="A1274" s="11" t="n"/>
      <c r="B1274" s="11" t="n"/>
      <c r="C1274" s="11" t="n"/>
      <c r="D1274" s="11" t="n"/>
      <c r="E1274" s="11" t="n"/>
      <c r="F1274" s="11" t="n"/>
      <c r="G1274" s="11" t="n"/>
      <c r="H1274" s="11" t="n"/>
      <c r="I1274" s="11" t="n"/>
      <c r="J1274" s="11" t="n"/>
      <c r="K1274" s="11" t="n"/>
      <c r="L1274" s="11" t="n"/>
      <c r="M1274" s="11" t="n"/>
    </row>
    <row r="1275">
      <c r="A1275" s="11" t="n"/>
      <c r="B1275" s="11" t="n"/>
      <c r="C1275" s="11" t="n"/>
      <c r="D1275" s="11" t="n"/>
      <c r="E1275" s="11" t="n"/>
      <c r="F1275" s="11" t="n"/>
      <c r="G1275" s="11" t="n"/>
      <c r="H1275" s="11" t="n"/>
      <c r="I1275" s="11" t="n"/>
      <c r="J1275" s="11" t="n"/>
      <c r="K1275" s="11" t="n"/>
      <c r="L1275" s="11" t="n"/>
      <c r="M1275" s="11" t="n"/>
    </row>
    <row r="1276">
      <c r="A1276" s="11" t="n"/>
      <c r="B1276" s="11" t="n"/>
      <c r="C1276" s="11" t="n"/>
      <c r="D1276" s="11" t="n"/>
      <c r="E1276" s="11" t="n"/>
      <c r="F1276" s="11" t="n"/>
      <c r="G1276" s="11" t="n"/>
      <c r="H1276" s="11" t="n"/>
      <c r="I1276" s="11" t="n"/>
      <c r="J1276" s="11" t="n"/>
      <c r="K1276" s="11" t="n"/>
      <c r="L1276" s="11" t="n"/>
      <c r="M1276" s="11" t="n"/>
    </row>
    <row r="1277">
      <c r="A1277" s="11" t="n"/>
      <c r="B1277" s="11" t="n"/>
      <c r="C1277" s="11" t="n"/>
      <c r="D1277" s="11" t="n"/>
      <c r="E1277" s="11" t="n"/>
      <c r="F1277" s="11" t="n"/>
      <c r="G1277" s="11" t="n"/>
      <c r="H1277" s="11" t="n"/>
      <c r="I1277" s="11" t="n"/>
      <c r="J1277" s="11" t="n"/>
      <c r="K1277" s="11" t="n"/>
      <c r="L1277" s="11" t="n"/>
      <c r="M1277" s="11" t="n"/>
    </row>
    <row r="1278">
      <c r="A1278" s="11" t="n"/>
      <c r="B1278" s="11" t="n"/>
      <c r="C1278" s="11" t="n"/>
      <c r="D1278" s="11" t="n"/>
      <c r="E1278" s="11" t="n"/>
      <c r="F1278" s="11" t="n"/>
      <c r="G1278" s="11" t="n"/>
      <c r="H1278" s="11" t="n"/>
      <c r="I1278" s="11" t="n"/>
      <c r="J1278" s="11" t="n"/>
      <c r="K1278" s="11" t="n"/>
      <c r="L1278" s="11" t="n"/>
      <c r="M1278" s="11" t="n"/>
    </row>
    <row r="1279">
      <c r="A1279" s="11" t="n"/>
      <c r="B1279" s="11" t="n"/>
      <c r="C1279" s="11" t="n"/>
      <c r="D1279" s="11" t="n"/>
      <c r="E1279" s="11" t="n"/>
      <c r="F1279" s="11" t="n"/>
      <c r="G1279" s="11" t="n"/>
      <c r="H1279" s="11" t="n"/>
      <c r="I1279" s="11" t="n"/>
      <c r="J1279" s="11" t="n"/>
      <c r="K1279" s="11" t="n"/>
      <c r="L1279" s="11" t="n"/>
      <c r="M1279" s="11" t="n"/>
    </row>
    <row r="1280">
      <c r="A1280" s="11" t="n"/>
      <c r="B1280" s="11" t="n"/>
      <c r="C1280" s="11" t="n"/>
      <c r="D1280" s="11" t="n"/>
      <c r="E1280" s="11" t="n"/>
      <c r="F1280" s="11" t="n"/>
      <c r="G1280" s="11" t="n"/>
      <c r="H1280" s="11" t="n"/>
      <c r="I1280" s="11" t="n"/>
      <c r="J1280" s="11" t="n"/>
      <c r="K1280" s="11" t="n"/>
      <c r="L1280" s="11" t="n"/>
      <c r="M1280" s="11" t="n"/>
    </row>
    <row r="1281">
      <c r="A1281" s="11" t="n"/>
      <c r="B1281" s="11" t="n"/>
      <c r="C1281" s="11" t="n"/>
      <c r="D1281" s="11" t="n"/>
      <c r="E1281" s="11" t="n"/>
      <c r="F1281" s="11" t="n"/>
      <c r="G1281" s="11" t="n"/>
      <c r="H1281" s="11" t="n"/>
      <c r="I1281" s="11" t="n"/>
      <c r="J1281" s="11" t="n"/>
      <c r="K1281" s="11" t="n"/>
      <c r="L1281" s="11" t="n"/>
      <c r="M1281" s="11" t="n"/>
    </row>
    <row r="1282">
      <c r="A1282" s="11" t="n"/>
      <c r="B1282" s="11" t="n"/>
      <c r="C1282" s="11" t="n"/>
      <c r="D1282" s="11" t="n"/>
      <c r="E1282" s="11" t="n"/>
      <c r="F1282" s="11" t="n"/>
      <c r="G1282" s="11" t="n"/>
      <c r="H1282" s="11" t="n"/>
      <c r="I1282" s="11" t="n"/>
      <c r="J1282" s="11" t="n"/>
      <c r="K1282" s="11" t="n"/>
      <c r="L1282" s="11" t="n"/>
      <c r="M1282" s="11" t="n"/>
    </row>
    <row r="1283">
      <c r="A1283" s="11" t="n"/>
      <c r="B1283" s="11" t="n"/>
      <c r="C1283" s="11" t="n"/>
      <c r="D1283" s="11" t="n"/>
      <c r="E1283" s="11" t="n"/>
      <c r="F1283" s="11" t="n"/>
      <c r="G1283" s="11" t="n"/>
      <c r="H1283" s="11" t="n"/>
      <c r="I1283" s="11" t="n"/>
      <c r="J1283" s="11" t="n"/>
      <c r="K1283" s="11" t="n"/>
      <c r="L1283" s="11" t="n"/>
      <c r="M1283" s="11" t="n"/>
    </row>
    <row r="1284">
      <c r="A1284" s="11" t="n"/>
      <c r="B1284" s="11" t="n"/>
      <c r="C1284" s="11" t="n"/>
      <c r="D1284" s="11" t="n"/>
      <c r="E1284" s="11" t="n"/>
      <c r="F1284" s="11" t="n"/>
      <c r="G1284" s="11" t="n"/>
      <c r="H1284" s="11" t="n"/>
      <c r="I1284" s="11" t="n"/>
      <c r="J1284" s="11" t="n"/>
      <c r="K1284" s="11" t="n"/>
      <c r="L1284" s="11" t="n"/>
      <c r="M1284" s="11" t="n"/>
    </row>
    <row r="1285">
      <c r="A1285" s="11" t="n"/>
      <c r="B1285" s="11" t="n"/>
      <c r="C1285" s="11" t="n"/>
      <c r="D1285" s="11" t="n"/>
      <c r="E1285" s="11" t="n"/>
      <c r="F1285" s="11" t="n"/>
      <c r="G1285" s="11" t="n"/>
      <c r="H1285" s="11" t="n"/>
      <c r="I1285" s="11" t="n"/>
      <c r="J1285" s="11" t="n"/>
      <c r="K1285" s="11" t="n"/>
      <c r="L1285" s="11" t="n"/>
      <c r="M1285" s="11" t="n"/>
    </row>
    <row r="1286">
      <c r="A1286" s="11" t="n"/>
      <c r="B1286" s="11" t="n"/>
      <c r="C1286" s="11" t="n"/>
      <c r="D1286" s="11" t="n"/>
      <c r="E1286" s="11" t="n"/>
      <c r="F1286" s="11" t="n"/>
      <c r="G1286" s="11" t="n"/>
      <c r="H1286" s="11" t="n"/>
      <c r="I1286" s="11" t="n"/>
      <c r="J1286" s="11" t="n"/>
      <c r="K1286" s="11" t="n"/>
      <c r="L1286" s="11" t="n"/>
      <c r="M1286" s="11" t="n"/>
    </row>
    <row r="1287">
      <c r="A1287" s="11" t="n"/>
      <c r="B1287" s="11" t="n"/>
      <c r="C1287" s="11" t="n"/>
      <c r="D1287" s="11" t="n"/>
      <c r="E1287" s="11" t="n"/>
      <c r="F1287" s="11" t="n"/>
      <c r="G1287" s="11" t="n"/>
      <c r="H1287" s="11" t="n"/>
      <c r="I1287" s="11" t="n"/>
      <c r="J1287" s="11" t="n"/>
      <c r="K1287" s="11" t="n"/>
      <c r="L1287" s="11" t="n"/>
      <c r="M1287" s="11" t="n"/>
    </row>
    <row r="1288">
      <c r="A1288" s="11" t="n"/>
      <c r="B1288" s="11" t="n"/>
      <c r="C1288" s="11" t="n"/>
      <c r="D1288" s="11" t="n"/>
      <c r="E1288" s="11" t="n"/>
      <c r="F1288" s="11" t="n"/>
      <c r="G1288" s="11" t="n"/>
      <c r="H1288" s="11" t="n"/>
      <c r="I1288" s="11" t="n"/>
      <c r="J1288" s="11" t="n"/>
      <c r="K1288" s="11" t="n"/>
      <c r="L1288" s="11" t="n"/>
      <c r="M1288" s="11" t="n"/>
    </row>
    <row r="1289">
      <c r="A1289" s="11" t="n"/>
      <c r="B1289" s="11" t="n"/>
      <c r="C1289" s="11" t="n"/>
      <c r="D1289" s="11" t="n"/>
      <c r="E1289" s="11" t="n"/>
      <c r="F1289" s="11" t="n"/>
      <c r="G1289" s="11" t="n"/>
      <c r="H1289" s="11" t="n"/>
      <c r="I1289" s="11" t="n"/>
      <c r="J1289" s="11" t="n"/>
      <c r="K1289" s="11" t="n"/>
      <c r="L1289" s="11" t="n"/>
      <c r="M1289" s="11" t="n"/>
    </row>
    <row r="1290">
      <c r="A1290" s="11" t="n"/>
      <c r="B1290" s="11" t="n"/>
      <c r="C1290" s="11" t="n"/>
      <c r="D1290" s="11" t="n"/>
      <c r="E1290" s="11" t="n"/>
      <c r="F1290" s="11" t="n"/>
      <c r="G1290" s="11" t="n"/>
      <c r="H1290" s="11" t="n"/>
      <c r="I1290" s="11" t="n"/>
      <c r="J1290" s="11" t="n"/>
      <c r="K1290" s="11" t="n"/>
      <c r="L1290" s="11" t="n"/>
      <c r="M1290" s="11" t="n"/>
    </row>
    <row r="1291">
      <c r="A1291" s="11" t="n"/>
      <c r="B1291" s="11" t="n"/>
      <c r="C1291" s="11" t="n"/>
      <c r="D1291" s="11" t="n"/>
      <c r="E1291" s="11" t="n"/>
      <c r="F1291" s="11" t="n"/>
      <c r="G1291" s="11" t="n"/>
      <c r="H1291" s="11" t="n"/>
      <c r="I1291" s="11" t="n"/>
      <c r="J1291" s="11" t="n"/>
      <c r="K1291" s="11" t="n"/>
      <c r="L1291" s="11" t="n"/>
      <c r="M1291" s="11" t="n"/>
    </row>
    <row r="1292">
      <c r="A1292" s="11" t="n"/>
      <c r="B1292" s="11" t="n"/>
      <c r="C1292" s="11" t="n"/>
      <c r="D1292" s="11" t="n"/>
      <c r="E1292" s="11" t="n"/>
      <c r="F1292" s="11" t="n"/>
      <c r="G1292" s="11" t="n"/>
      <c r="H1292" s="11" t="n"/>
      <c r="I1292" s="11" t="n"/>
      <c r="J1292" s="11" t="n"/>
      <c r="K1292" s="11" t="n"/>
      <c r="L1292" s="11" t="n"/>
      <c r="M1292" s="11" t="n"/>
    </row>
    <row r="1293">
      <c r="A1293" s="11" t="n"/>
      <c r="B1293" s="11" t="n"/>
      <c r="C1293" s="11" t="n"/>
      <c r="D1293" s="11" t="n"/>
      <c r="E1293" s="11" t="n"/>
      <c r="F1293" s="11" t="n"/>
      <c r="G1293" s="11" t="n"/>
      <c r="H1293" s="11" t="n"/>
      <c r="I1293" s="11" t="n"/>
      <c r="J1293" s="11" t="n"/>
      <c r="K1293" s="11" t="n"/>
      <c r="L1293" s="11" t="n"/>
      <c r="M1293" s="11" t="n"/>
    </row>
    <row r="1294">
      <c r="A1294" s="11" t="n"/>
      <c r="B1294" s="11" t="n"/>
      <c r="C1294" s="11" t="n"/>
      <c r="D1294" s="11" t="n"/>
      <c r="E1294" s="11" t="n"/>
      <c r="F1294" s="11" t="n"/>
      <c r="G1294" s="11" t="n"/>
      <c r="H1294" s="11" t="n"/>
      <c r="I1294" s="11" t="n"/>
      <c r="J1294" s="11" t="n"/>
      <c r="K1294" s="11" t="n"/>
      <c r="L1294" s="11" t="n"/>
      <c r="M1294" s="11" t="n"/>
    </row>
    <row r="1295">
      <c r="A1295" s="11" t="n"/>
      <c r="B1295" s="11" t="n"/>
      <c r="C1295" s="11" t="n"/>
      <c r="D1295" s="11" t="n"/>
      <c r="E1295" s="11" t="n"/>
      <c r="F1295" s="11" t="n"/>
      <c r="G1295" s="11" t="n"/>
      <c r="H1295" s="11" t="n"/>
      <c r="I1295" s="11" t="n"/>
      <c r="J1295" s="11" t="n"/>
      <c r="K1295" s="11" t="n"/>
      <c r="L1295" s="11" t="n"/>
      <c r="M1295" s="11" t="n"/>
    </row>
    <row r="1296">
      <c r="A1296" s="11" t="n"/>
      <c r="B1296" s="11" t="n"/>
      <c r="C1296" s="11" t="n"/>
      <c r="D1296" s="11" t="n"/>
      <c r="E1296" s="11" t="n"/>
      <c r="F1296" s="11" t="n"/>
      <c r="G1296" s="11" t="n"/>
      <c r="H1296" s="11" t="n"/>
      <c r="I1296" s="11" t="n"/>
      <c r="J1296" s="11" t="n"/>
      <c r="K1296" s="11" t="n"/>
      <c r="L1296" s="11" t="n"/>
      <c r="M1296" s="11" t="n"/>
    </row>
    <row r="1297">
      <c r="A1297" s="11" t="n"/>
      <c r="B1297" s="11" t="n"/>
      <c r="C1297" s="11" t="n"/>
      <c r="D1297" s="11" t="n"/>
      <c r="E1297" s="11" t="n"/>
      <c r="F1297" s="11" t="n"/>
      <c r="G1297" s="11" t="n"/>
      <c r="H1297" s="11" t="n"/>
      <c r="I1297" s="11" t="n"/>
      <c r="J1297" s="11" t="n"/>
      <c r="K1297" s="11" t="n"/>
      <c r="L1297" s="11" t="n"/>
      <c r="M1297" s="11" t="n"/>
    </row>
    <row r="1298">
      <c r="A1298" s="11" t="n"/>
      <c r="B1298" s="11" t="n"/>
      <c r="C1298" s="11" t="n"/>
      <c r="D1298" s="11" t="n"/>
      <c r="E1298" s="11" t="n"/>
      <c r="F1298" s="11" t="n"/>
      <c r="G1298" s="11" t="n"/>
      <c r="H1298" s="11" t="n"/>
      <c r="I1298" s="11" t="n"/>
      <c r="J1298" s="11" t="n"/>
      <c r="K1298" s="11" t="n"/>
      <c r="L1298" s="11" t="n"/>
      <c r="M1298" s="11" t="n"/>
    </row>
    <row r="1299">
      <c r="A1299" s="11" t="n"/>
      <c r="B1299" s="11" t="n"/>
      <c r="C1299" s="11" t="n"/>
      <c r="D1299" s="11" t="n"/>
      <c r="E1299" s="11" t="n"/>
      <c r="F1299" s="11" t="n"/>
      <c r="G1299" s="11" t="n"/>
      <c r="H1299" s="11" t="n"/>
      <c r="I1299" s="11" t="n"/>
      <c r="J1299" s="11" t="n"/>
      <c r="K1299" s="11" t="n"/>
      <c r="L1299" s="11" t="n"/>
      <c r="M1299" s="11" t="n"/>
    </row>
    <row r="1300">
      <c r="A1300" s="11" t="n"/>
      <c r="B1300" s="11" t="n"/>
      <c r="C1300" s="11" t="n"/>
      <c r="D1300" s="11" t="n"/>
      <c r="E1300" s="11" t="n"/>
      <c r="F1300" s="11" t="n"/>
      <c r="G1300" s="11" t="n"/>
      <c r="H1300" s="11" t="n"/>
      <c r="I1300" s="11" t="n"/>
      <c r="J1300" s="11" t="n"/>
      <c r="K1300" s="11" t="n"/>
      <c r="L1300" s="11" t="n"/>
      <c r="M1300" s="11" t="n"/>
    </row>
    <row r="1301">
      <c r="A1301" s="11" t="n"/>
      <c r="B1301" s="11" t="n"/>
      <c r="C1301" s="11" t="n"/>
      <c r="D1301" s="11" t="n"/>
      <c r="E1301" s="11" t="n"/>
      <c r="F1301" s="11" t="n"/>
      <c r="G1301" s="11" t="n"/>
      <c r="H1301" s="11" t="n"/>
      <c r="I1301" s="11" t="n"/>
      <c r="J1301" s="11" t="n"/>
      <c r="K1301" s="11" t="n"/>
      <c r="L1301" s="11" t="n"/>
      <c r="M1301" s="11" t="n"/>
    </row>
    <row r="1302">
      <c r="A1302" s="11" t="n"/>
      <c r="B1302" s="11" t="n"/>
      <c r="C1302" s="11" t="n"/>
      <c r="D1302" s="11" t="n"/>
      <c r="E1302" s="11" t="n"/>
      <c r="F1302" s="11" t="n"/>
      <c r="G1302" s="11" t="n"/>
      <c r="H1302" s="11" t="n"/>
      <c r="I1302" s="11" t="n"/>
      <c r="J1302" s="11" t="n"/>
      <c r="K1302" s="11" t="n"/>
      <c r="L1302" s="11" t="n"/>
      <c r="M1302" s="11" t="n"/>
    </row>
    <row r="1303">
      <c r="A1303" s="11" t="n"/>
      <c r="B1303" s="11" t="n"/>
      <c r="C1303" s="11" t="n"/>
      <c r="D1303" s="11" t="n"/>
      <c r="E1303" s="11" t="n"/>
      <c r="F1303" s="11" t="n"/>
      <c r="G1303" s="11" t="n"/>
      <c r="H1303" s="11" t="n"/>
      <c r="I1303" s="11" t="n"/>
      <c r="J1303" s="11" t="n"/>
      <c r="K1303" s="11" t="n"/>
      <c r="L1303" s="11" t="n"/>
      <c r="M1303" s="11" t="n"/>
    </row>
    <row r="1304">
      <c r="A1304" s="11" t="n"/>
      <c r="B1304" s="11" t="n"/>
      <c r="C1304" s="11" t="n"/>
      <c r="D1304" s="11" t="n"/>
      <c r="E1304" s="11" t="n"/>
      <c r="F1304" s="11" t="n"/>
      <c r="G1304" s="11" t="n"/>
      <c r="H1304" s="11" t="n"/>
      <c r="I1304" s="11" t="n"/>
      <c r="J1304" s="11" t="n"/>
      <c r="K1304" s="11" t="n"/>
      <c r="L1304" s="11" t="n"/>
      <c r="M1304" s="11" t="n"/>
    </row>
    <row r="1305">
      <c r="A1305" s="11" t="n"/>
      <c r="B1305" s="11" t="n"/>
      <c r="C1305" s="11" t="n"/>
      <c r="D1305" s="11" t="n"/>
      <c r="E1305" s="11" t="n"/>
      <c r="F1305" s="11" t="n"/>
      <c r="G1305" s="11" t="n"/>
      <c r="H1305" s="11" t="n"/>
      <c r="I1305" s="11" t="n"/>
      <c r="J1305" s="11" t="n"/>
      <c r="K1305" s="11" t="n"/>
      <c r="L1305" s="11" t="n"/>
      <c r="M1305" s="11" t="n"/>
    </row>
    <row r="1306">
      <c r="A1306" s="11" t="n"/>
      <c r="B1306" s="11" t="n"/>
      <c r="C1306" s="11" t="n"/>
      <c r="D1306" s="11" t="n"/>
      <c r="E1306" s="11" t="n"/>
      <c r="F1306" s="11" t="n"/>
      <c r="G1306" s="11" t="n"/>
      <c r="H1306" s="11" t="n"/>
      <c r="I1306" s="11" t="n"/>
      <c r="J1306" s="11" t="n"/>
      <c r="K1306" s="11" t="n"/>
      <c r="L1306" s="11" t="n"/>
      <c r="M1306" s="11" t="n"/>
    </row>
    <row r="1307">
      <c r="A1307" s="11" t="n"/>
      <c r="B1307" s="11" t="n"/>
      <c r="C1307" s="11" t="n"/>
      <c r="D1307" s="11" t="n"/>
      <c r="E1307" s="11" t="n"/>
      <c r="F1307" s="11" t="n"/>
      <c r="G1307" s="11" t="n"/>
      <c r="H1307" s="11" t="n"/>
      <c r="I1307" s="11" t="n"/>
      <c r="J1307" s="11" t="n"/>
      <c r="K1307" s="11" t="n"/>
      <c r="L1307" s="11" t="n"/>
      <c r="M1307" s="11" t="n"/>
    </row>
    <row r="1308">
      <c r="A1308" s="11" t="n"/>
      <c r="B1308" s="11" t="n"/>
      <c r="C1308" s="11" t="n"/>
      <c r="D1308" s="11" t="n"/>
      <c r="E1308" s="11" t="n"/>
      <c r="F1308" s="11" t="n"/>
      <c r="G1308" s="11" t="n"/>
      <c r="H1308" s="11" t="n"/>
      <c r="I1308" s="11" t="n"/>
      <c r="J1308" s="11" t="n"/>
      <c r="K1308" s="11" t="n"/>
      <c r="L1308" s="11" t="n"/>
      <c r="M1308" s="11" t="n"/>
    </row>
    <row r="1309">
      <c r="A1309" s="11" t="n"/>
      <c r="B1309" s="11" t="n"/>
      <c r="C1309" s="11" t="n"/>
      <c r="D1309" s="11" t="n"/>
      <c r="E1309" s="11" t="n"/>
      <c r="F1309" s="11" t="n"/>
      <c r="G1309" s="11" t="n"/>
      <c r="H1309" s="11" t="n"/>
      <c r="I1309" s="11" t="n"/>
      <c r="J1309" s="11" t="n"/>
      <c r="K1309" s="11" t="n"/>
      <c r="L1309" s="11" t="n"/>
      <c r="M1309" s="11" t="n"/>
    </row>
    <row r="1310">
      <c r="A1310" s="11" t="n"/>
      <c r="B1310" s="11" t="n"/>
      <c r="C1310" s="11" t="n"/>
      <c r="D1310" s="11" t="n"/>
      <c r="E1310" s="11" t="n"/>
      <c r="F1310" s="11" t="n"/>
      <c r="G1310" s="11" t="n"/>
      <c r="H1310" s="11" t="n"/>
      <c r="I1310" s="11" t="n"/>
      <c r="J1310" s="11" t="n"/>
      <c r="K1310" s="11" t="n"/>
      <c r="L1310" s="11" t="n"/>
      <c r="M1310" s="11" t="n"/>
    </row>
    <row r="1311">
      <c r="A1311" s="11" t="n"/>
      <c r="B1311" s="11" t="n"/>
      <c r="C1311" s="11" t="n"/>
      <c r="D1311" s="11" t="n"/>
      <c r="E1311" s="11" t="n"/>
      <c r="F1311" s="11" t="n"/>
      <c r="G1311" s="11" t="n"/>
      <c r="H1311" s="11" t="n"/>
      <c r="I1311" s="11" t="n"/>
      <c r="J1311" s="11" t="n"/>
      <c r="K1311" s="11" t="n"/>
      <c r="L1311" s="11" t="n"/>
      <c r="M1311" s="11" t="n"/>
    </row>
    <row r="1312">
      <c r="A1312" s="11" t="n"/>
      <c r="B1312" s="11" t="n"/>
      <c r="C1312" s="11" t="n"/>
      <c r="D1312" s="11" t="n"/>
      <c r="E1312" s="11" t="n"/>
      <c r="F1312" s="11" t="n"/>
      <c r="G1312" s="11" t="n"/>
      <c r="H1312" s="11" t="n"/>
      <c r="I1312" s="11" t="n"/>
      <c r="J1312" s="11" t="n"/>
      <c r="K1312" s="11" t="n"/>
      <c r="L1312" s="11" t="n"/>
      <c r="M1312" s="11" t="n"/>
    </row>
    <row r="1313">
      <c r="A1313" s="11" t="n"/>
      <c r="B1313" s="11" t="n"/>
      <c r="C1313" s="11" t="n"/>
      <c r="D1313" s="11" t="n"/>
      <c r="E1313" s="11" t="n"/>
      <c r="F1313" s="11" t="n"/>
      <c r="G1313" s="11" t="n"/>
      <c r="H1313" s="11" t="n"/>
      <c r="I1313" s="11" t="n"/>
      <c r="J1313" s="11" t="n"/>
      <c r="K1313" s="11" t="n"/>
      <c r="L1313" s="11" t="n"/>
      <c r="M1313" s="11" t="n"/>
    </row>
    <row r="1314">
      <c r="A1314" s="11" t="n"/>
      <c r="B1314" s="11" t="n"/>
      <c r="C1314" s="11" t="n"/>
      <c r="D1314" s="11" t="n"/>
      <c r="E1314" s="11" t="n"/>
      <c r="F1314" s="11" t="n"/>
      <c r="G1314" s="11" t="n"/>
      <c r="H1314" s="11" t="n"/>
      <c r="I1314" s="11" t="n"/>
      <c r="J1314" s="11" t="n"/>
      <c r="K1314" s="11" t="n"/>
      <c r="L1314" s="11" t="n"/>
      <c r="M1314" s="11" t="n"/>
    </row>
    <row r="1315">
      <c r="A1315" s="11" t="n"/>
      <c r="B1315" s="11" t="n"/>
      <c r="C1315" s="11" t="n"/>
      <c r="D1315" s="11" t="n"/>
      <c r="E1315" s="11" t="n"/>
      <c r="F1315" s="11" t="n"/>
      <c r="G1315" s="11" t="n"/>
      <c r="H1315" s="11" t="n"/>
      <c r="I1315" s="11" t="n"/>
      <c r="J1315" s="11" t="n"/>
      <c r="K1315" s="11" t="n"/>
      <c r="L1315" s="11" t="n"/>
      <c r="M1315" s="11" t="n"/>
    </row>
    <row r="1316">
      <c r="A1316" s="11" t="n"/>
      <c r="B1316" s="11" t="n"/>
      <c r="C1316" s="11" t="n"/>
      <c r="D1316" s="11" t="n"/>
      <c r="E1316" s="11" t="n"/>
      <c r="F1316" s="11" t="n"/>
      <c r="G1316" s="11" t="n"/>
      <c r="H1316" s="11" t="n"/>
      <c r="I1316" s="11" t="n"/>
      <c r="J1316" s="11" t="n"/>
      <c r="K1316" s="11" t="n"/>
      <c r="L1316" s="11" t="n"/>
      <c r="M1316" s="11" t="n"/>
    </row>
    <row r="1317">
      <c r="A1317" s="11" t="n"/>
      <c r="B1317" s="11" t="n"/>
      <c r="C1317" s="11" t="n"/>
      <c r="D1317" s="11" t="n"/>
      <c r="E1317" s="11" t="n"/>
      <c r="F1317" s="11" t="n"/>
      <c r="G1317" s="11" t="n"/>
      <c r="H1317" s="11" t="n"/>
      <c r="I1317" s="11" t="n"/>
      <c r="J1317" s="11" t="n"/>
      <c r="K1317" s="11" t="n"/>
      <c r="L1317" s="11" t="n"/>
      <c r="M1317" s="11" t="n"/>
    </row>
    <row r="1318">
      <c r="A1318" s="11" t="n"/>
      <c r="B1318" s="11" t="n"/>
      <c r="C1318" s="11" t="n"/>
      <c r="D1318" s="11" t="n"/>
      <c r="E1318" s="11" t="n"/>
      <c r="F1318" s="11" t="n"/>
      <c r="G1318" s="11" t="n"/>
      <c r="H1318" s="11" t="n"/>
      <c r="I1318" s="11" t="n"/>
      <c r="J1318" s="11" t="n"/>
      <c r="K1318" s="11" t="n"/>
      <c r="L1318" s="11" t="n"/>
      <c r="M1318" s="11" t="n"/>
    </row>
    <row r="1319">
      <c r="A1319" s="11" t="n"/>
      <c r="B1319" s="11" t="n"/>
      <c r="C1319" s="11" t="n"/>
      <c r="D1319" s="11" t="n"/>
      <c r="E1319" s="11" t="n"/>
      <c r="F1319" s="11" t="n"/>
      <c r="G1319" s="11" t="n"/>
      <c r="H1319" s="11" t="n"/>
      <c r="I1319" s="11" t="n"/>
      <c r="J1319" s="11" t="n"/>
      <c r="K1319" s="11" t="n"/>
      <c r="L1319" s="11" t="n"/>
      <c r="M1319" s="11" t="n"/>
    </row>
    <row r="1320">
      <c r="A1320" s="11" t="n"/>
      <c r="B1320" s="11" t="n"/>
      <c r="C1320" s="11" t="n"/>
      <c r="D1320" s="11" t="n"/>
      <c r="E1320" s="11" t="n"/>
      <c r="F1320" s="11" t="n"/>
      <c r="G1320" s="11" t="n"/>
      <c r="H1320" s="11" t="n"/>
      <c r="I1320" s="11" t="n"/>
      <c r="J1320" s="11" t="n"/>
      <c r="K1320" s="11" t="n"/>
      <c r="L1320" s="11" t="n"/>
      <c r="M1320" s="11" t="n"/>
    </row>
    <row r="1321">
      <c r="A1321" s="11" t="n"/>
      <c r="B1321" s="11" t="n"/>
      <c r="C1321" s="11" t="n"/>
      <c r="D1321" s="11" t="n"/>
      <c r="E1321" s="11" t="n"/>
      <c r="F1321" s="11" t="n"/>
      <c r="G1321" s="11" t="n"/>
      <c r="H1321" s="11" t="n"/>
      <c r="I1321" s="11" t="n"/>
      <c r="J1321" s="11" t="n"/>
      <c r="K1321" s="11" t="n"/>
      <c r="L1321" s="11" t="n"/>
      <c r="M1321" s="11" t="n"/>
    </row>
    <row r="1322">
      <c r="A1322" s="11" t="n"/>
      <c r="B1322" s="11" t="n"/>
      <c r="C1322" s="11" t="n"/>
      <c r="D1322" s="11" t="n"/>
      <c r="E1322" s="11" t="n"/>
      <c r="F1322" s="11" t="n"/>
      <c r="G1322" s="11" t="n"/>
      <c r="H1322" s="11" t="n"/>
      <c r="I1322" s="11" t="n"/>
      <c r="J1322" s="11" t="n"/>
      <c r="K1322" s="11" t="n"/>
      <c r="L1322" s="11" t="n"/>
      <c r="M1322" s="11" t="n"/>
    </row>
    <row r="1323">
      <c r="A1323" s="11" t="n"/>
      <c r="B1323" s="11" t="n"/>
      <c r="C1323" s="11" t="n"/>
      <c r="D1323" s="11" t="n"/>
      <c r="E1323" s="11" t="n"/>
      <c r="F1323" s="11" t="n"/>
      <c r="G1323" s="11" t="n"/>
      <c r="H1323" s="11" t="n"/>
      <c r="I1323" s="11" t="n"/>
      <c r="J1323" s="11" t="n"/>
      <c r="K1323" s="11" t="n"/>
      <c r="L1323" s="11" t="n"/>
      <c r="M1323" s="11" t="n"/>
    </row>
    <row r="1324">
      <c r="A1324" s="11" t="n"/>
      <c r="B1324" s="11" t="n"/>
      <c r="C1324" s="11" t="n"/>
      <c r="D1324" s="11" t="n"/>
      <c r="E1324" s="11" t="n"/>
      <c r="F1324" s="11" t="n"/>
      <c r="G1324" s="11" t="n"/>
      <c r="H1324" s="11" t="n"/>
      <c r="I1324" s="11" t="n"/>
      <c r="J1324" s="11" t="n"/>
      <c r="K1324" s="11" t="n"/>
      <c r="L1324" s="11" t="n"/>
      <c r="M1324" s="11" t="n"/>
    </row>
    <row r="1325">
      <c r="A1325" s="11" t="n"/>
      <c r="B1325" s="11" t="n"/>
      <c r="C1325" s="11" t="n"/>
      <c r="D1325" s="11" t="n"/>
      <c r="E1325" s="11" t="n"/>
      <c r="F1325" s="11" t="n"/>
      <c r="G1325" s="11" t="n"/>
      <c r="H1325" s="11" t="n"/>
      <c r="I1325" s="11" t="n"/>
      <c r="J1325" s="11" t="n"/>
      <c r="K1325" s="11" t="n"/>
      <c r="L1325" s="11" t="n"/>
      <c r="M1325" s="11" t="n"/>
    </row>
    <row r="1326">
      <c r="A1326" s="11" t="n"/>
      <c r="B1326" s="11" t="n"/>
      <c r="C1326" s="11" t="n"/>
      <c r="D1326" s="11" t="n"/>
      <c r="E1326" s="11" t="n"/>
      <c r="F1326" s="11" t="n"/>
      <c r="G1326" s="11" t="n"/>
      <c r="H1326" s="11" t="n"/>
      <c r="I1326" s="11" t="n"/>
      <c r="J1326" s="11" t="n"/>
      <c r="K1326" s="11" t="n"/>
      <c r="L1326" s="11" t="n"/>
      <c r="M1326" s="11" t="n"/>
    </row>
    <row r="1327">
      <c r="A1327" s="11" t="n"/>
      <c r="B1327" s="11" t="n"/>
      <c r="C1327" s="11" t="n"/>
      <c r="D1327" s="11" t="n"/>
      <c r="E1327" s="11" t="n"/>
      <c r="F1327" s="11" t="n"/>
      <c r="G1327" s="11" t="n"/>
      <c r="H1327" s="11" t="n"/>
      <c r="I1327" s="11" t="n"/>
      <c r="J1327" s="11" t="n"/>
      <c r="K1327" s="11" t="n"/>
      <c r="L1327" s="11" t="n"/>
      <c r="M1327" s="11" t="n"/>
    </row>
    <row r="1328">
      <c r="A1328" s="11" t="n"/>
      <c r="B1328" s="11" t="n"/>
      <c r="C1328" s="11" t="n"/>
      <c r="D1328" s="11" t="n"/>
      <c r="E1328" s="11" t="n"/>
      <c r="F1328" s="11" t="n"/>
      <c r="G1328" s="11" t="n"/>
      <c r="H1328" s="11" t="n"/>
      <c r="I1328" s="11" t="n"/>
      <c r="J1328" s="11" t="n"/>
      <c r="K1328" s="11" t="n"/>
      <c r="L1328" s="11" t="n"/>
      <c r="M1328" s="11" t="n"/>
    </row>
    <row r="1329">
      <c r="A1329" s="11" t="n"/>
      <c r="B1329" s="11" t="n"/>
      <c r="C1329" s="11" t="n"/>
      <c r="D1329" s="11" t="n"/>
      <c r="E1329" s="11" t="n"/>
      <c r="F1329" s="11" t="n"/>
      <c r="G1329" s="11" t="n"/>
      <c r="H1329" s="11" t="n"/>
      <c r="I1329" s="11" t="n"/>
      <c r="J1329" s="11" t="n"/>
      <c r="K1329" s="11" t="n"/>
      <c r="L1329" s="11" t="n"/>
      <c r="M1329" s="11" t="n"/>
    </row>
    <row r="1330">
      <c r="A1330" s="11" t="n"/>
      <c r="B1330" s="11" t="n"/>
      <c r="C1330" s="11" t="n"/>
      <c r="D1330" s="11" t="n"/>
      <c r="E1330" s="11" t="n"/>
      <c r="F1330" s="11" t="n"/>
      <c r="G1330" s="11" t="n"/>
      <c r="H1330" s="11" t="n"/>
      <c r="I1330" s="11" t="n"/>
      <c r="J1330" s="11" t="n"/>
      <c r="K1330" s="11" t="n"/>
      <c r="L1330" s="11" t="n"/>
      <c r="M1330" s="11" t="n"/>
    </row>
    <row r="1331">
      <c r="A1331" s="11" t="n"/>
      <c r="B1331" s="11" t="n"/>
      <c r="C1331" s="11" t="n"/>
      <c r="D1331" s="11" t="n"/>
      <c r="E1331" s="11" t="n"/>
      <c r="F1331" s="11" t="n"/>
      <c r="G1331" s="11" t="n"/>
      <c r="H1331" s="11" t="n"/>
      <c r="I1331" s="11" t="n"/>
      <c r="J1331" s="11" t="n"/>
      <c r="K1331" s="11" t="n"/>
      <c r="L1331" s="11" t="n"/>
      <c r="M1331" s="11" t="n"/>
    </row>
    <row r="1332">
      <c r="A1332" s="11" t="n"/>
      <c r="B1332" s="11" t="n"/>
      <c r="C1332" s="11" t="n"/>
      <c r="D1332" s="11" t="n"/>
      <c r="E1332" s="11" t="n"/>
      <c r="F1332" s="11" t="n"/>
      <c r="G1332" s="11" t="n"/>
      <c r="H1332" s="11" t="n"/>
      <c r="I1332" s="11" t="n"/>
      <c r="J1332" s="11" t="n"/>
      <c r="K1332" s="11" t="n"/>
      <c r="L1332" s="11" t="n"/>
      <c r="M1332" s="11" t="n"/>
    </row>
    <row r="1333">
      <c r="A1333" s="11" t="n"/>
      <c r="B1333" s="11" t="n"/>
      <c r="C1333" s="11" t="n"/>
      <c r="D1333" s="11" t="n"/>
      <c r="E1333" s="11" t="n"/>
      <c r="F1333" s="11" t="n"/>
      <c r="G1333" s="11" t="n"/>
      <c r="H1333" s="11" t="n"/>
      <c r="I1333" s="11" t="n"/>
      <c r="J1333" s="11" t="n"/>
      <c r="K1333" s="11" t="n"/>
      <c r="L1333" s="11" t="n"/>
      <c r="M1333" s="11" t="n"/>
    </row>
    <row r="1334">
      <c r="A1334" s="11" t="n"/>
      <c r="B1334" s="11" t="n"/>
      <c r="C1334" s="11" t="n"/>
      <c r="D1334" s="11" t="n"/>
      <c r="E1334" s="11" t="n"/>
      <c r="F1334" s="11" t="n"/>
      <c r="G1334" s="11" t="n"/>
      <c r="H1334" s="11" t="n"/>
      <c r="I1334" s="11" t="n"/>
      <c r="J1334" s="11" t="n"/>
      <c r="K1334" s="11" t="n"/>
      <c r="L1334" s="11" t="n"/>
      <c r="M1334" s="11" t="n"/>
    </row>
    <row r="1335">
      <c r="A1335" s="11" t="n"/>
      <c r="B1335" s="11" t="n"/>
      <c r="C1335" s="11" t="n"/>
      <c r="D1335" s="11" t="n"/>
      <c r="E1335" s="11" t="n"/>
      <c r="F1335" s="11" t="n"/>
      <c r="G1335" s="11" t="n"/>
      <c r="H1335" s="11" t="n"/>
      <c r="I1335" s="11" t="n"/>
      <c r="J1335" s="11" t="n"/>
      <c r="K1335" s="11" t="n"/>
      <c r="L1335" s="11" t="n"/>
      <c r="M1335" s="11" t="n"/>
    </row>
    <row r="1336">
      <c r="A1336" s="11" t="n"/>
      <c r="B1336" s="11" t="n"/>
      <c r="C1336" s="11" t="n"/>
      <c r="D1336" s="11" t="n"/>
      <c r="E1336" s="11" t="n"/>
      <c r="F1336" s="11" t="n"/>
      <c r="G1336" s="11" t="n"/>
      <c r="H1336" s="11" t="n"/>
      <c r="I1336" s="11" t="n"/>
      <c r="J1336" s="11" t="n"/>
      <c r="K1336" s="11" t="n"/>
      <c r="L1336" s="11" t="n"/>
      <c r="M1336" s="11" t="n"/>
    </row>
    <row r="1337">
      <c r="A1337" s="11" t="n"/>
      <c r="B1337" s="11" t="n"/>
      <c r="C1337" s="11" t="n"/>
      <c r="D1337" s="11" t="n"/>
      <c r="E1337" s="11" t="n"/>
      <c r="F1337" s="11" t="n"/>
      <c r="G1337" s="11" t="n"/>
      <c r="H1337" s="11" t="n"/>
      <c r="I1337" s="11" t="n"/>
      <c r="J1337" s="11" t="n"/>
      <c r="K1337" s="11" t="n"/>
      <c r="L1337" s="11" t="n"/>
      <c r="M1337" s="11" t="n"/>
    </row>
    <row r="1338">
      <c r="A1338" s="11" t="n"/>
      <c r="B1338" s="11" t="n"/>
      <c r="C1338" s="11" t="n"/>
      <c r="D1338" s="11" t="n"/>
      <c r="E1338" s="11" t="n"/>
      <c r="F1338" s="11" t="n"/>
      <c r="G1338" s="11" t="n"/>
      <c r="H1338" s="11" t="n"/>
      <c r="I1338" s="11" t="n"/>
      <c r="J1338" s="11" t="n"/>
      <c r="K1338" s="11" t="n"/>
      <c r="L1338" s="11" t="n"/>
      <c r="M1338" s="11" t="n"/>
    </row>
    <row r="1339">
      <c r="A1339" s="11" t="n"/>
      <c r="B1339" s="11" t="n"/>
      <c r="C1339" s="11" t="n"/>
      <c r="D1339" s="11" t="n"/>
      <c r="E1339" s="11" t="n"/>
      <c r="F1339" s="11" t="n"/>
      <c r="G1339" s="11" t="n"/>
      <c r="H1339" s="11" t="n"/>
      <c r="I1339" s="11" t="n"/>
      <c r="J1339" s="11" t="n"/>
      <c r="K1339" s="11" t="n"/>
      <c r="L1339" s="11" t="n"/>
      <c r="M1339" s="11" t="n"/>
    </row>
    <row r="1340">
      <c r="A1340" s="11" t="n"/>
      <c r="B1340" s="11" t="n"/>
      <c r="C1340" s="11" t="n"/>
      <c r="D1340" s="11" t="n"/>
      <c r="E1340" s="11" t="n"/>
      <c r="F1340" s="11" t="n"/>
      <c r="G1340" s="11" t="n"/>
      <c r="H1340" s="11" t="n"/>
      <c r="I1340" s="11" t="n"/>
      <c r="J1340" s="11" t="n"/>
      <c r="K1340" s="11" t="n"/>
      <c r="L1340" s="11" t="n"/>
      <c r="M1340" s="11" t="n"/>
    </row>
    <row r="1341">
      <c r="A1341" s="11" t="n"/>
      <c r="B1341" s="11" t="n"/>
      <c r="C1341" s="11" t="n"/>
      <c r="D1341" s="11" t="n"/>
      <c r="E1341" s="11" t="n"/>
      <c r="F1341" s="11" t="n"/>
      <c r="G1341" s="11" t="n"/>
      <c r="H1341" s="11" t="n"/>
      <c r="I1341" s="11" t="n"/>
      <c r="J1341" s="11" t="n"/>
      <c r="K1341" s="11" t="n"/>
      <c r="L1341" s="11" t="n"/>
      <c r="M1341" s="11" t="n"/>
    </row>
    <row r="1342">
      <c r="A1342" s="11" t="n"/>
      <c r="B1342" s="11" t="n"/>
      <c r="C1342" s="11" t="n"/>
      <c r="D1342" s="11" t="n"/>
      <c r="E1342" s="11" t="n"/>
      <c r="F1342" s="11" t="n"/>
      <c r="G1342" s="11" t="n"/>
      <c r="H1342" s="11" t="n"/>
      <c r="I1342" s="11" t="n"/>
      <c r="J1342" s="11" t="n"/>
      <c r="K1342" s="11" t="n"/>
      <c r="L1342" s="11" t="n"/>
      <c r="M1342" s="11" t="n"/>
    </row>
    <row r="1343">
      <c r="A1343" s="11" t="n"/>
      <c r="B1343" s="11" t="n"/>
      <c r="C1343" s="11" t="n"/>
      <c r="D1343" s="11" t="n"/>
      <c r="E1343" s="11" t="n"/>
      <c r="F1343" s="11" t="n"/>
      <c r="G1343" s="11" t="n"/>
      <c r="H1343" s="11" t="n"/>
      <c r="I1343" s="11" t="n"/>
      <c r="J1343" s="11" t="n"/>
      <c r="K1343" s="11" t="n"/>
      <c r="L1343" s="11" t="n"/>
      <c r="M1343" s="11" t="n"/>
    </row>
    <row r="1344">
      <c r="A1344" s="11" t="n"/>
      <c r="B1344" s="11" t="n"/>
      <c r="C1344" s="11" t="n"/>
      <c r="D1344" s="11" t="n"/>
      <c r="E1344" s="11" t="n"/>
      <c r="F1344" s="11" t="n"/>
      <c r="G1344" s="11" t="n"/>
      <c r="H1344" s="11" t="n"/>
      <c r="I1344" s="11" t="n"/>
      <c r="J1344" s="11" t="n"/>
      <c r="K1344" s="11" t="n"/>
      <c r="L1344" s="11" t="n"/>
      <c r="M1344" s="11" t="n"/>
    </row>
    <row r="1345">
      <c r="A1345" s="11" t="n"/>
      <c r="B1345" s="11" t="n"/>
      <c r="C1345" s="11" t="n"/>
      <c r="D1345" s="11" t="n"/>
      <c r="E1345" s="11" t="n"/>
      <c r="F1345" s="11" t="n"/>
      <c r="G1345" s="11" t="n"/>
      <c r="H1345" s="11" t="n"/>
      <c r="I1345" s="11" t="n"/>
      <c r="J1345" s="11" t="n"/>
      <c r="K1345" s="11" t="n"/>
      <c r="L1345" s="11" t="n"/>
      <c r="M1345" s="11" t="n"/>
    </row>
    <row r="1346">
      <c r="A1346" s="11" t="n"/>
      <c r="B1346" s="11" t="n"/>
      <c r="C1346" s="11" t="n"/>
      <c r="D1346" s="11" t="n"/>
      <c r="E1346" s="11" t="n"/>
      <c r="F1346" s="11" t="n"/>
      <c r="G1346" s="11" t="n"/>
      <c r="H1346" s="11" t="n"/>
      <c r="I1346" s="11" t="n"/>
      <c r="J1346" s="11" t="n"/>
      <c r="K1346" s="11" t="n"/>
      <c r="L1346" s="11" t="n"/>
      <c r="M1346" s="11" t="n"/>
    </row>
    <row r="1347">
      <c r="A1347" s="11" t="n"/>
      <c r="B1347" s="11" t="n"/>
      <c r="C1347" s="11" t="n"/>
      <c r="D1347" s="11" t="n"/>
      <c r="E1347" s="11" t="n"/>
      <c r="F1347" s="11" t="n"/>
      <c r="G1347" s="11" t="n"/>
      <c r="H1347" s="11" t="n"/>
      <c r="I1347" s="11" t="n"/>
      <c r="J1347" s="11" t="n"/>
      <c r="K1347" s="11" t="n"/>
      <c r="L1347" s="11" t="n"/>
      <c r="M1347" s="11" t="n"/>
    </row>
    <row r="1348">
      <c r="A1348" s="11" t="n"/>
      <c r="B1348" s="11" t="n"/>
      <c r="C1348" s="11" t="n"/>
      <c r="D1348" s="11" t="n"/>
      <c r="E1348" s="11" t="n"/>
      <c r="F1348" s="11" t="n"/>
      <c r="G1348" s="11" t="n"/>
      <c r="H1348" s="11" t="n"/>
      <c r="I1348" s="11" t="n"/>
      <c r="J1348" s="11" t="n"/>
      <c r="K1348" s="11" t="n"/>
      <c r="L1348" s="11" t="n"/>
      <c r="M1348" s="11" t="n"/>
    </row>
    <row r="1349">
      <c r="A1349" s="11" t="n"/>
      <c r="B1349" s="11" t="n"/>
      <c r="C1349" s="11" t="n"/>
      <c r="D1349" s="11" t="n"/>
      <c r="E1349" s="11" t="n"/>
      <c r="F1349" s="11" t="n"/>
      <c r="G1349" s="11" t="n"/>
      <c r="H1349" s="11" t="n"/>
      <c r="I1349" s="11" t="n"/>
      <c r="J1349" s="11" t="n"/>
      <c r="K1349" s="11" t="n"/>
      <c r="L1349" s="11" t="n"/>
      <c r="M1349" s="11" t="n"/>
    </row>
    <row r="1350">
      <c r="A1350" s="11" t="n"/>
      <c r="B1350" s="11" t="n"/>
      <c r="C1350" s="11" t="n"/>
      <c r="D1350" s="11" t="n"/>
      <c r="E1350" s="11" t="n"/>
      <c r="F1350" s="11" t="n"/>
      <c r="G1350" s="11" t="n"/>
      <c r="H1350" s="11" t="n"/>
      <c r="I1350" s="11" t="n"/>
      <c r="J1350" s="11" t="n"/>
      <c r="K1350" s="11" t="n"/>
      <c r="L1350" s="11" t="n"/>
      <c r="M1350" s="11" t="n"/>
    </row>
    <row r="1351">
      <c r="A1351" s="11" t="n"/>
      <c r="B1351" s="11" t="n"/>
      <c r="C1351" s="11" t="n"/>
      <c r="D1351" s="11" t="n"/>
      <c r="E1351" s="11" t="n"/>
      <c r="F1351" s="11" t="n"/>
      <c r="G1351" s="11" t="n"/>
      <c r="H1351" s="11" t="n"/>
      <c r="I1351" s="11" t="n"/>
      <c r="J1351" s="11" t="n"/>
      <c r="K1351" s="11" t="n"/>
      <c r="L1351" s="11" t="n"/>
      <c r="M1351" s="11" t="n"/>
    </row>
    <row r="1352">
      <c r="A1352" s="11" t="n"/>
      <c r="B1352" s="11" t="n"/>
      <c r="C1352" s="11" t="n"/>
      <c r="D1352" s="11" t="n"/>
      <c r="E1352" s="11" t="n"/>
      <c r="F1352" s="11" t="n"/>
      <c r="G1352" s="11" t="n"/>
      <c r="H1352" s="11" t="n"/>
      <c r="I1352" s="11" t="n"/>
      <c r="J1352" s="11" t="n"/>
      <c r="K1352" s="11" t="n"/>
      <c r="L1352" s="11" t="n"/>
      <c r="M1352" s="11" t="n"/>
    </row>
    <row r="1353">
      <c r="A1353" s="11" t="n"/>
      <c r="B1353" s="11" t="n"/>
      <c r="C1353" s="11" t="n"/>
      <c r="D1353" s="11" t="n"/>
      <c r="E1353" s="11" t="n"/>
      <c r="F1353" s="11" t="n"/>
      <c r="G1353" s="11" t="n"/>
      <c r="H1353" s="11" t="n"/>
      <c r="I1353" s="11" t="n"/>
      <c r="J1353" s="11" t="n"/>
      <c r="K1353" s="11" t="n"/>
      <c r="L1353" s="11" t="n"/>
      <c r="M1353" s="11" t="n"/>
    </row>
    <row r="1354">
      <c r="A1354" s="11" t="n"/>
      <c r="B1354" s="11" t="n"/>
      <c r="C1354" s="11" t="n"/>
      <c r="D1354" s="11" t="n"/>
      <c r="E1354" s="11" t="n"/>
      <c r="F1354" s="11" t="n"/>
      <c r="G1354" s="11" t="n"/>
      <c r="H1354" s="11" t="n"/>
      <c r="I1354" s="11" t="n"/>
      <c r="J1354" s="11" t="n"/>
      <c r="K1354" s="11" t="n"/>
      <c r="L1354" s="11" t="n"/>
      <c r="M1354" s="11" t="n"/>
    </row>
    <row r="1355">
      <c r="A1355" s="11" t="n"/>
      <c r="B1355" s="11" t="n"/>
      <c r="C1355" s="11" t="n"/>
      <c r="D1355" s="11" t="n"/>
      <c r="E1355" s="11" t="n"/>
      <c r="F1355" s="11" t="n"/>
      <c r="G1355" s="11" t="n"/>
      <c r="H1355" s="11" t="n"/>
      <c r="I1355" s="11" t="n"/>
      <c r="J1355" s="11" t="n"/>
      <c r="K1355" s="11" t="n"/>
      <c r="L1355" s="11" t="n"/>
      <c r="M1355" s="11" t="n"/>
    </row>
    <row r="1356">
      <c r="A1356" s="11" t="n"/>
      <c r="B1356" s="11" t="n"/>
      <c r="C1356" s="11" t="n"/>
      <c r="D1356" s="11" t="n"/>
      <c r="E1356" s="11" t="n"/>
      <c r="F1356" s="11" t="n"/>
      <c r="G1356" s="11" t="n"/>
      <c r="H1356" s="11" t="n"/>
      <c r="I1356" s="11" t="n"/>
      <c r="J1356" s="11" t="n"/>
      <c r="K1356" s="11" t="n"/>
      <c r="L1356" s="11" t="n"/>
      <c r="M1356" s="11" t="n"/>
    </row>
    <row r="1357">
      <c r="A1357" s="11" t="n"/>
      <c r="B1357" s="11" t="n"/>
      <c r="C1357" s="11" t="n"/>
      <c r="D1357" s="11" t="n"/>
      <c r="E1357" s="11" t="n"/>
      <c r="F1357" s="11" t="n"/>
      <c r="G1357" s="11" t="n"/>
      <c r="H1357" s="11" t="n"/>
      <c r="I1357" s="11" t="n"/>
      <c r="J1357" s="11" t="n"/>
      <c r="K1357" s="11" t="n"/>
      <c r="L1357" s="11" t="n"/>
      <c r="M1357" s="11" t="n"/>
    </row>
    <row r="1358">
      <c r="A1358" s="11" t="n"/>
      <c r="B1358" s="11" t="n"/>
      <c r="C1358" s="11" t="n"/>
      <c r="D1358" s="11" t="n"/>
      <c r="E1358" s="11" t="n"/>
      <c r="F1358" s="11" t="n"/>
      <c r="G1358" s="11" t="n"/>
      <c r="H1358" s="11" t="n"/>
      <c r="I1358" s="11" t="n"/>
      <c r="J1358" s="11" t="n"/>
      <c r="K1358" s="11" t="n"/>
      <c r="L1358" s="11" t="n"/>
      <c r="M1358" s="11" t="n"/>
    </row>
    <row r="1359">
      <c r="A1359" s="11" t="n"/>
      <c r="B1359" s="11" t="n"/>
      <c r="C1359" s="11" t="n"/>
      <c r="D1359" s="11" t="n"/>
      <c r="E1359" s="11" t="n"/>
      <c r="F1359" s="11" t="n"/>
      <c r="G1359" s="11" t="n"/>
      <c r="H1359" s="11" t="n"/>
      <c r="I1359" s="11" t="n"/>
      <c r="J1359" s="11" t="n"/>
      <c r="K1359" s="11" t="n"/>
      <c r="L1359" s="11" t="n"/>
      <c r="M1359" s="11" t="n"/>
    </row>
    <row r="1360">
      <c r="A1360" s="11" t="n"/>
      <c r="B1360" s="11" t="n"/>
      <c r="C1360" s="11" t="n"/>
      <c r="D1360" s="11" t="n"/>
      <c r="E1360" s="11" t="n"/>
      <c r="F1360" s="11" t="n"/>
      <c r="G1360" s="11" t="n"/>
      <c r="H1360" s="11" t="n"/>
      <c r="I1360" s="11" t="n"/>
      <c r="J1360" s="11" t="n"/>
      <c r="K1360" s="11" t="n"/>
      <c r="L1360" s="11" t="n"/>
      <c r="M1360" s="11" t="n"/>
    </row>
    <row r="1361">
      <c r="A1361" s="11" t="n"/>
      <c r="B1361" s="11" t="n"/>
      <c r="C1361" s="11" t="n"/>
      <c r="D1361" s="11" t="n"/>
      <c r="E1361" s="11" t="n"/>
      <c r="F1361" s="11" t="n"/>
      <c r="G1361" s="11" t="n"/>
      <c r="H1361" s="11" t="n"/>
      <c r="I1361" s="11" t="n"/>
      <c r="J1361" s="11" t="n"/>
      <c r="K1361" s="11" t="n"/>
      <c r="L1361" s="11" t="n"/>
      <c r="M1361" s="11" t="n"/>
    </row>
    <row r="1362">
      <c r="A1362" s="11" t="n"/>
      <c r="B1362" s="11" t="n"/>
      <c r="C1362" s="11" t="n"/>
      <c r="D1362" s="11" t="n"/>
      <c r="E1362" s="11" t="n"/>
      <c r="F1362" s="11" t="n"/>
      <c r="G1362" s="11" t="n"/>
      <c r="H1362" s="11" t="n"/>
      <c r="I1362" s="11" t="n"/>
      <c r="J1362" s="11" t="n"/>
      <c r="K1362" s="11" t="n"/>
      <c r="L1362" s="11" t="n"/>
      <c r="M1362" s="11" t="n"/>
    </row>
    <row r="1363">
      <c r="A1363" s="11" t="n"/>
      <c r="B1363" s="11" t="n"/>
      <c r="C1363" s="11" t="n"/>
      <c r="D1363" s="11" t="n"/>
      <c r="E1363" s="11" t="n"/>
      <c r="F1363" s="11" t="n"/>
      <c r="G1363" s="11" t="n"/>
      <c r="H1363" s="11" t="n"/>
      <c r="I1363" s="11" t="n"/>
      <c r="J1363" s="11" t="n"/>
      <c r="K1363" s="11" t="n"/>
      <c r="L1363" s="11" t="n"/>
      <c r="M1363" s="11" t="n"/>
    </row>
    <row r="1364">
      <c r="A1364" s="11" t="n"/>
      <c r="B1364" s="11" t="n"/>
      <c r="C1364" s="11" t="n"/>
      <c r="D1364" s="11" t="n"/>
      <c r="E1364" s="11" t="n"/>
      <c r="F1364" s="11" t="n"/>
      <c r="G1364" s="11" t="n"/>
      <c r="H1364" s="11" t="n"/>
      <c r="I1364" s="11" t="n"/>
      <c r="J1364" s="11" t="n"/>
      <c r="K1364" s="11" t="n"/>
      <c r="L1364" s="11" t="n"/>
      <c r="M1364" s="11" t="n"/>
    </row>
    <row r="1365">
      <c r="A1365" s="11" t="n"/>
      <c r="B1365" s="11" t="n"/>
      <c r="C1365" s="11" t="n"/>
      <c r="D1365" s="11" t="n"/>
      <c r="E1365" s="11" t="n"/>
      <c r="F1365" s="11" t="n"/>
      <c r="G1365" s="11" t="n"/>
      <c r="H1365" s="11" t="n"/>
      <c r="I1365" s="11" t="n"/>
      <c r="J1365" s="11" t="n"/>
      <c r="K1365" s="11" t="n"/>
      <c r="L1365" s="11" t="n"/>
      <c r="M1365" s="11" t="n"/>
    </row>
    <row r="1366">
      <c r="A1366" s="11" t="n"/>
      <c r="B1366" s="11" t="n"/>
      <c r="C1366" s="11" t="n"/>
      <c r="D1366" s="11" t="n"/>
      <c r="E1366" s="11" t="n"/>
      <c r="F1366" s="11" t="n"/>
      <c r="G1366" s="11" t="n"/>
      <c r="H1366" s="11" t="n"/>
      <c r="I1366" s="11" t="n"/>
      <c r="J1366" s="11" t="n"/>
      <c r="K1366" s="11" t="n"/>
      <c r="L1366" s="11" t="n"/>
      <c r="M1366" s="11" t="n"/>
    </row>
    <row r="1367">
      <c r="A1367" s="11" t="n"/>
      <c r="B1367" s="11" t="n"/>
      <c r="C1367" s="11" t="n"/>
      <c r="D1367" s="11" t="n"/>
      <c r="E1367" s="11" t="n"/>
      <c r="F1367" s="11" t="n"/>
      <c r="G1367" s="11" t="n"/>
      <c r="H1367" s="11" t="n"/>
      <c r="I1367" s="11" t="n"/>
      <c r="J1367" s="11" t="n"/>
      <c r="K1367" s="11" t="n"/>
      <c r="L1367" s="11" t="n"/>
      <c r="M1367" s="11" t="n"/>
    </row>
    <row r="1368">
      <c r="A1368" s="11" t="n"/>
      <c r="B1368" s="11" t="n"/>
      <c r="C1368" s="11" t="n"/>
      <c r="D1368" s="11" t="n"/>
      <c r="E1368" s="11" t="n"/>
      <c r="F1368" s="11" t="n"/>
      <c r="G1368" s="11" t="n"/>
      <c r="H1368" s="11" t="n"/>
      <c r="I1368" s="11" t="n"/>
      <c r="J1368" s="11" t="n"/>
      <c r="K1368" s="11" t="n"/>
      <c r="L1368" s="11" t="n"/>
      <c r="M1368" s="11" t="n"/>
    </row>
    <row r="1369">
      <c r="A1369" s="11" t="n"/>
      <c r="B1369" s="11" t="n"/>
      <c r="C1369" s="11" t="n"/>
      <c r="D1369" s="11" t="n"/>
      <c r="E1369" s="11" t="n"/>
      <c r="F1369" s="11" t="n"/>
      <c r="G1369" s="11" t="n"/>
      <c r="H1369" s="11" t="n"/>
      <c r="I1369" s="11" t="n"/>
      <c r="J1369" s="11" t="n"/>
      <c r="K1369" s="11" t="n"/>
      <c r="L1369" s="11" t="n"/>
      <c r="M1369" s="11" t="n"/>
    </row>
    <row r="1370">
      <c r="A1370" s="11" t="n"/>
      <c r="B1370" s="11" t="n"/>
      <c r="C1370" s="11" t="n"/>
      <c r="D1370" s="11" t="n"/>
      <c r="E1370" s="11" t="n"/>
      <c r="F1370" s="11" t="n"/>
      <c r="G1370" s="11" t="n"/>
      <c r="H1370" s="11" t="n"/>
      <c r="I1370" s="11" t="n"/>
      <c r="J1370" s="11" t="n"/>
      <c r="K1370" s="11" t="n"/>
      <c r="L1370" s="11" t="n"/>
      <c r="M1370" s="11" t="n"/>
    </row>
    <row r="1371">
      <c r="A1371" s="11" t="n"/>
      <c r="B1371" s="11" t="n"/>
      <c r="C1371" s="11" t="n"/>
      <c r="D1371" s="11" t="n"/>
      <c r="E1371" s="11" t="n"/>
      <c r="F1371" s="11" t="n"/>
      <c r="G1371" s="11" t="n"/>
      <c r="H1371" s="11" t="n"/>
      <c r="I1371" s="11" t="n"/>
      <c r="J1371" s="11" t="n"/>
      <c r="K1371" s="11" t="n"/>
      <c r="L1371" s="11" t="n"/>
      <c r="M1371" s="11" t="n"/>
    </row>
    <row r="1372">
      <c r="A1372" s="11" t="n"/>
      <c r="B1372" s="11" t="n"/>
      <c r="C1372" s="11" t="n"/>
      <c r="D1372" s="11" t="n"/>
      <c r="E1372" s="11" t="n"/>
      <c r="F1372" s="11" t="n"/>
      <c r="G1372" s="11" t="n"/>
      <c r="H1372" s="11" t="n"/>
      <c r="I1372" s="11" t="n"/>
      <c r="J1372" s="11" t="n"/>
      <c r="K1372" s="11" t="n"/>
      <c r="L1372" s="11" t="n"/>
      <c r="M1372" s="11" t="n"/>
    </row>
    <row r="1373">
      <c r="A1373" s="11" t="n"/>
      <c r="B1373" s="11" t="n"/>
      <c r="C1373" s="11" t="n"/>
      <c r="D1373" s="11" t="n"/>
      <c r="E1373" s="11" t="n"/>
      <c r="F1373" s="11" t="n"/>
      <c r="G1373" s="11" t="n"/>
      <c r="H1373" s="11" t="n"/>
      <c r="I1373" s="11" t="n"/>
      <c r="J1373" s="11" t="n"/>
      <c r="K1373" s="11" t="n"/>
      <c r="L1373" s="11" t="n"/>
      <c r="M1373" s="11" t="n"/>
    </row>
    <row r="1374">
      <c r="A1374" s="11" t="n"/>
      <c r="B1374" s="11" t="n"/>
      <c r="C1374" s="11" t="n"/>
      <c r="D1374" s="11" t="n"/>
      <c r="E1374" s="11" t="n"/>
      <c r="F1374" s="11" t="n"/>
      <c r="G1374" s="11" t="n"/>
      <c r="H1374" s="11" t="n"/>
      <c r="I1374" s="11" t="n"/>
      <c r="J1374" s="11" t="n"/>
      <c r="K1374" s="11" t="n"/>
      <c r="L1374" s="11" t="n"/>
      <c r="M1374" s="11" t="n"/>
    </row>
    <row r="1375">
      <c r="A1375" s="11" t="n"/>
      <c r="B1375" s="11" t="n"/>
      <c r="C1375" s="11" t="n"/>
      <c r="D1375" s="11" t="n"/>
      <c r="E1375" s="11" t="n"/>
      <c r="F1375" s="11" t="n"/>
      <c r="G1375" s="11" t="n"/>
      <c r="H1375" s="11" t="n"/>
      <c r="I1375" s="11" t="n"/>
      <c r="J1375" s="11" t="n"/>
      <c r="K1375" s="11" t="n"/>
      <c r="L1375" s="11" t="n"/>
      <c r="M1375" s="11" t="n"/>
    </row>
    <row r="1376">
      <c r="A1376" s="11" t="n"/>
      <c r="B1376" s="11" t="n"/>
      <c r="C1376" s="11" t="n"/>
      <c r="D1376" s="11" t="n"/>
      <c r="E1376" s="11" t="n"/>
      <c r="F1376" s="11" t="n"/>
      <c r="G1376" s="11" t="n"/>
      <c r="H1376" s="11" t="n"/>
      <c r="I1376" s="11" t="n"/>
      <c r="J1376" s="11" t="n"/>
      <c r="K1376" s="11" t="n"/>
      <c r="L1376" s="11" t="n"/>
      <c r="M1376" s="11" t="n"/>
    </row>
    <row r="1377">
      <c r="A1377" s="11" t="n"/>
      <c r="B1377" s="11" t="n"/>
      <c r="C1377" s="11" t="n"/>
      <c r="D1377" s="11" t="n"/>
      <c r="E1377" s="11" t="n"/>
      <c r="F1377" s="11" t="n"/>
      <c r="G1377" s="11" t="n"/>
      <c r="H1377" s="11" t="n"/>
      <c r="I1377" s="11" t="n"/>
      <c r="J1377" s="11" t="n"/>
      <c r="K1377" s="11" t="n"/>
      <c r="L1377" s="11" t="n"/>
      <c r="M1377" s="11" t="n"/>
    </row>
    <row r="1378">
      <c r="A1378" s="11" t="n"/>
      <c r="B1378" s="11" t="n"/>
      <c r="C1378" s="11" t="n"/>
      <c r="D1378" s="11" t="n"/>
      <c r="E1378" s="11" t="n"/>
      <c r="F1378" s="11" t="n"/>
      <c r="G1378" s="11" t="n"/>
      <c r="H1378" s="11" t="n"/>
      <c r="I1378" s="11" t="n"/>
      <c r="J1378" s="11" t="n"/>
      <c r="K1378" s="11" t="n"/>
      <c r="L1378" s="11" t="n"/>
      <c r="M1378" s="11" t="n"/>
    </row>
    <row r="1379">
      <c r="A1379" s="11" t="n"/>
      <c r="B1379" s="11" t="n"/>
      <c r="C1379" s="11" t="n"/>
      <c r="D1379" s="11" t="n"/>
      <c r="E1379" s="11" t="n"/>
      <c r="F1379" s="11" t="n"/>
      <c r="G1379" s="11" t="n"/>
      <c r="H1379" s="11" t="n"/>
      <c r="I1379" s="11" t="n"/>
      <c r="J1379" s="11" t="n"/>
      <c r="K1379" s="11" t="n"/>
      <c r="L1379" s="11" t="n"/>
      <c r="M1379" s="11" t="n"/>
    </row>
    <row r="1380">
      <c r="A1380" s="11" t="n"/>
      <c r="B1380" s="11" t="n"/>
      <c r="C1380" s="11" t="n"/>
      <c r="D1380" s="11" t="n"/>
      <c r="E1380" s="11" t="n"/>
      <c r="F1380" s="11" t="n"/>
      <c r="G1380" s="11" t="n"/>
      <c r="H1380" s="11" t="n"/>
      <c r="I1380" s="11" t="n"/>
      <c r="J1380" s="11" t="n"/>
      <c r="K1380" s="11" t="n"/>
      <c r="L1380" s="11" t="n"/>
      <c r="M1380" s="11" t="n"/>
    </row>
    <row r="1381">
      <c r="A1381" s="11" t="n"/>
      <c r="B1381" s="11" t="n"/>
      <c r="C1381" s="11" t="n"/>
      <c r="D1381" s="11" t="n"/>
      <c r="E1381" s="11" t="n"/>
      <c r="F1381" s="11" t="n"/>
      <c r="G1381" s="11" t="n"/>
      <c r="H1381" s="11" t="n"/>
      <c r="I1381" s="11" t="n"/>
      <c r="J1381" s="11" t="n"/>
      <c r="K1381" s="11" t="n"/>
      <c r="L1381" s="11" t="n"/>
      <c r="M1381" s="11" t="n"/>
    </row>
    <row r="1382">
      <c r="A1382" s="11" t="n"/>
      <c r="B1382" s="11" t="n"/>
      <c r="C1382" s="11" t="n"/>
      <c r="D1382" s="11" t="n"/>
      <c r="E1382" s="11" t="n"/>
      <c r="F1382" s="11" t="n"/>
      <c r="G1382" s="11" t="n"/>
      <c r="H1382" s="11" t="n"/>
      <c r="I1382" s="11" t="n"/>
      <c r="J1382" s="11" t="n"/>
      <c r="K1382" s="11" t="n"/>
      <c r="L1382" s="11" t="n"/>
      <c r="M1382" s="11" t="n"/>
    </row>
    <row r="1383">
      <c r="A1383" s="11" t="n"/>
      <c r="B1383" s="11" t="n"/>
      <c r="C1383" s="11" t="n"/>
      <c r="D1383" s="11" t="n"/>
      <c r="E1383" s="11" t="n"/>
      <c r="F1383" s="11" t="n"/>
      <c r="G1383" s="11" t="n"/>
      <c r="H1383" s="11" t="n"/>
      <c r="I1383" s="11" t="n"/>
      <c r="J1383" s="11" t="n"/>
      <c r="K1383" s="11" t="n"/>
      <c r="L1383" s="11" t="n"/>
      <c r="M1383" s="11" t="n"/>
    </row>
    <row r="1384">
      <c r="A1384" s="11" t="n"/>
      <c r="B1384" s="11" t="n"/>
      <c r="C1384" s="11" t="n"/>
      <c r="D1384" s="11" t="n"/>
      <c r="E1384" s="11" t="n"/>
      <c r="F1384" s="11" t="n"/>
      <c r="G1384" s="11" t="n"/>
      <c r="H1384" s="11" t="n"/>
      <c r="I1384" s="11" t="n"/>
      <c r="J1384" s="11" t="n"/>
      <c r="K1384" s="11" t="n"/>
      <c r="L1384" s="11" t="n"/>
      <c r="M1384" s="11" t="n"/>
    </row>
    <row r="1385">
      <c r="A1385" s="11" t="n"/>
      <c r="B1385" s="11" t="n"/>
      <c r="C1385" s="11" t="n"/>
      <c r="D1385" s="11" t="n"/>
      <c r="E1385" s="11" t="n"/>
      <c r="F1385" s="11" t="n"/>
      <c r="G1385" s="11" t="n"/>
      <c r="H1385" s="11" t="n"/>
      <c r="I1385" s="11" t="n"/>
      <c r="J1385" s="11" t="n"/>
      <c r="K1385" s="11" t="n"/>
      <c r="L1385" s="11" t="n"/>
      <c r="M1385" s="11" t="n"/>
    </row>
    <row r="1386">
      <c r="A1386" s="11" t="n"/>
      <c r="B1386" s="11" t="n"/>
      <c r="C1386" s="11" t="n"/>
      <c r="D1386" s="11" t="n"/>
      <c r="E1386" s="11" t="n"/>
      <c r="F1386" s="11" t="n"/>
      <c r="G1386" s="11" t="n"/>
      <c r="H1386" s="11" t="n"/>
      <c r="I1386" s="11" t="n"/>
      <c r="J1386" s="11" t="n"/>
      <c r="K1386" s="11" t="n"/>
      <c r="L1386" s="11" t="n"/>
      <c r="M1386" s="11" t="n"/>
    </row>
    <row r="1387">
      <c r="A1387" s="11" t="n"/>
      <c r="B1387" s="11" t="n"/>
      <c r="C1387" s="11" t="n"/>
      <c r="D1387" s="11" t="n"/>
      <c r="E1387" s="11" t="n"/>
      <c r="F1387" s="11" t="n"/>
      <c r="G1387" s="11" t="n"/>
      <c r="H1387" s="11" t="n"/>
      <c r="I1387" s="11" t="n"/>
      <c r="J1387" s="11" t="n"/>
      <c r="K1387" s="11" t="n"/>
      <c r="L1387" s="11" t="n"/>
      <c r="M1387" s="11" t="n"/>
    </row>
    <row r="1388">
      <c r="A1388" s="11" t="n"/>
      <c r="B1388" s="11" t="n"/>
      <c r="C1388" s="11" t="n"/>
      <c r="D1388" s="11" t="n"/>
      <c r="E1388" s="11" t="n"/>
      <c r="F1388" s="11" t="n"/>
      <c r="G1388" s="11" t="n"/>
      <c r="H1388" s="11" t="n"/>
      <c r="I1388" s="11" t="n"/>
      <c r="J1388" s="11" t="n"/>
      <c r="K1388" s="11" t="n"/>
      <c r="L1388" s="11" t="n"/>
      <c r="M1388" s="11" t="n"/>
    </row>
    <row r="1389">
      <c r="A1389" s="11" t="n"/>
      <c r="B1389" s="11" t="n"/>
      <c r="C1389" s="11" t="n"/>
      <c r="D1389" s="11" t="n"/>
      <c r="E1389" s="11" t="n"/>
      <c r="F1389" s="11" t="n"/>
      <c r="G1389" s="11" t="n"/>
      <c r="H1389" s="11" t="n"/>
      <c r="I1389" s="11" t="n"/>
      <c r="J1389" s="11" t="n"/>
      <c r="K1389" s="11" t="n"/>
      <c r="L1389" s="11" t="n"/>
      <c r="M1389" s="11" t="n"/>
    </row>
    <row r="1390">
      <c r="A1390" s="11" t="n"/>
      <c r="B1390" s="11" t="n"/>
      <c r="C1390" s="11" t="n"/>
      <c r="D1390" s="11" t="n"/>
      <c r="E1390" s="11" t="n"/>
      <c r="F1390" s="11" t="n"/>
      <c r="G1390" s="11" t="n"/>
      <c r="H1390" s="11" t="n"/>
      <c r="I1390" s="11" t="n"/>
      <c r="J1390" s="11" t="n"/>
      <c r="K1390" s="11" t="n"/>
      <c r="L1390" s="11" t="n"/>
      <c r="M1390" s="11" t="n"/>
    </row>
    <row r="1391">
      <c r="A1391" s="11" t="n"/>
      <c r="B1391" s="11" t="n"/>
      <c r="C1391" s="11" t="n"/>
      <c r="D1391" s="11" t="n"/>
      <c r="E1391" s="11" t="n"/>
      <c r="F1391" s="11" t="n"/>
      <c r="G1391" s="11" t="n"/>
      <c r="H1391" s="11" t="n"/>
      <c r="I1391" s="11" t="n"/>
      <c r="J1391" s="11" t="n"/>
      <c r="K1391" s="11" t="n"/>
      <c r="L1391" s="11" t="n"/>
      <c r="M1391" s="11" t="n"/>
    </row>
    <row r="1392">
      <c r="A1392" s="11" t="n"/>
      <c r="B1392" s="11" t="n"/>
      <c r="C1392" s="11" t="n"/>
      <c r="D1392" s="11" t="n"/>
      <c r="E1392" s="11" t="n"/>
      <c r="F1392" s="11" t="n"/>
      <c r="G1392" s="11" t="n"/>
      <c r="H1392" s="11" t="n"/>
      <c r="I1392" s="11" t="n"/>
      <c r="J1392" s="11" t="n"/>
      <c r="K1392" s="11" t="n"/>
      <c r="L1392" s="11" t="n"/>
      <c r="M1392" s="11" t="n"/>
    </row>
    <row r="1393">
      <c r="A1393" s="11" t="n"/>
      <c r="B1393" s="11" t="n"/>
      <c r="C1393" s="11" t="n"/>
      <c r="D1393" s="11" t="n"/>
      <c r="E1393" s="11" t="n"/>
      <c r="F1393" s="11" t="n"/>
      <c r="G1393" s="11" t="n"/>
      <c r="H1393" s="11" t="n"/>
      <c r="I1393" s="11" t="n"/>
      <c r="J1393" s="11" t="n"/>
      <c r="K1393" s="11" t="n"/>
      <c r="L1393" s="11" t="n"/>
      <c r="M1393" s="11" t="n"/>
    </row>
    <row r="1394">
      <c r="A1394" s="11" t="n"/>
      <c r="B1394" s="11" t="n"/>
      <c r="C1394" s="11" t="n"/>
      <c r="D1394" s="11" t="n"/>
      <c r="E1394" s="11" t="n"/>
      <c r="F1394" s="11" t="n"/>
      <c r="G1394" s="11" t="n"/>
      <c r="H1394" s="11" t="n"/>
      <c r="I1394" s="11" t="n"/>
      <c r="J1394" s="11" t="n"/>
      <c r="K1394" s="11" t="n"/>
      <c r="L1394" s="11" t="n"/>
      <c r="M1394" s="11" t="n"/>
    </row>
    <row r="1395">
      <c r="A1395" s="11" t="n"/>
      <c r="B1395" s="11" t="n"/>
      <c r="C1395" s="11" t="n"/>
      <c r="D1395" s="11" t="n"/>
      <c r="E1395" s="11" t="n"/>
      <c r="F1395" s="11" t="n"/>
      <c r="G1395" s="11" t="n"/>
      <c r="H1395" s="11" t="n"/>
      <c r="I1395" s="11" t="n"/>
      <c r="J1395" s="11" t="n"/>
      <c r="K1395" s="11" t="n"/>
      <c r="L1395" s="11" t="n"/>
      <c r="M1395" s="11" t="n"/>
    </row>
    <row r="1396">
      <c r="A1396" s="11" t="n"/>
      <c r="B1396" s="11" t="n"/>
      <c r="C1396" s="11" t="n"/>
      <c r="D1396" s="11" t="n"/>
      <c r="E1396" s="11" t="n"/>
      <c r="F1396" s="11" t="n"/>
      <c r="G1396" s="11" t="n"/>
      <c r="H1396" s="11" t="n"/>
      <c r="I1396" s="11" t="n"/>
      <c r="J1396" s="11" t="n"/>
      <c r="K1396" s="11" t="n"/>
      <c r="L1396" s="11" t="n"/>
      <c r="M1396" s="11" t="n"/>
    </row>
    <row r="1397">
      <c r="A1397" s="11" t="n"/>
      <c r="B1397" s="11" t="n"/>
      <c r="C1397" s="11" t="n"/>
      <c r="D1397" s="11" t="n"/>
      <c r="E1397" s="11" t="n"/>
      <c r="F1397" s="11" t="n"/>
      <c r="G1397" s="11" t="n"/>
      <c r="H1397" s="11" t="n"/>
      <c r="I1397" s="11" t="n"/>
      <c r="J1397" s="11" t="n"/>
      <c r="K1397" s="11" t="n"/>
      <c r="L1397" s="11" t="n"/>
      <c r="M1397" s="11" t="n"/>
    </row>
    <row r="1398">
      <c r="A1398" s="11" t="n"/>
      <c r="B1398" s="11" t="n"/>
      <c r="C1398" s="11" t="n"/>
      <c r="D1398" s="11" t="n"/>
      <c r="E1398" s="11" t="n"/>
      <c r="F1398" s="11" t="n"/>
      <c r="G1398" s="11" t="n"/>
      <c r="H1398" s="11" t="n"/>
      <c r="I1398" s="11" t="n"/>
      <c r="J1398" s="11" t="n"/>
      <c r="K1398" s="11" t="n"/>
      <c r="L1398" s="11" t="n"/>
      <c r="M1398" s="11" t="n"/>
    </row>
    <row r="1399">
      <c r="A1399" s="11" t="n"/>
      <c r="B1399" s="11" t="n"/>
      <c r="C1399" s="11" t="n"/>
      <c r="D1399" s="11" t="n"/>
      <c r="E1399" s="11" t="n"/>
      <c r="F1399" s="11" t="n"/>
      <c r="G1399" s="11" t="n"/>
      <c r="H1399" s="11" t="n"/>
      <c r="I1399" s="11" t="n"/>
      <c r="J1399" s="11" t="n"/>
      <c r="K1399" s="11" t="n"/>
      <c r="L1399" s="11" t="n"/>
      <c r="M1399" s="11" t="n"/>
    </row>
    <row r="1400">
      <c r="A1400" s="11" t="n"/>
      <c r="B1400" s="11" t="n"/>
      <c r="C1400" s="11" t="n"/>
      <c r="D1400" s="11" t="n"/>
      <c r="E1400" s="11" t="n"/>
      <c r="F1400" s="11" t="n"/>
      <c r="G1400" s="11" t="n"/>
      <c r="H1400" s="11" t="n"/>
      <c r="I1400" s="11" t="n"/>
      <c r="J1400" s="11" t="n"/>
      <c r="K1400" s="11" t="n"/>
      <c r="L1400" s="11" t="n"/>
      <c r="M1400" s="11" t="n"/>
    </row>
    <row r="1401">
      <c r="A1401" s="11" t="n"/>
      <c r="B1401" s="11" t="n"/>
      <c r="C1401" s="11" t="n"/>
      <c r="D1401" s="11" t="n"/>
      <c r="E1401" s="11" t="n"/>
      <c r="F1401" s="11" t="n"/>
      <c r="G1401" s="11" t="n"/>
      <c r="H1401" s="11" t="n"/>
      <c r="I1401" s="11" t="n"/>
      <c r="J1401" s="11" t="n"/>
      <c r="K1401" s="11" t="n"/>
      <c r="L1401" s="11" t="n"/>
      <c r="M1401" s="11" t="n"/>
    </row>
    <row r="1402">
      <c r="A1402" s="11" t="n"/>
      <c r="B1402" s="11" t="n"/>
      <c r="C1402" s="11" t="n"/>
      <c r="D1402" s="11" t="n"/>
      <c r="E1402" s="11" t="n"/>
      <c r="F1402" s="11" t="n"/>
      <c r="G1402" s="11" t="n"/>
      <c r="H1402" s="11" t="n"/>
      <c r="I1402" s="11" t="n"/>
      <c r="J1402" s="11" t="n"/>
      <c r="K1402" s="11" t="n"/>
      <c r="L1402" s="11" t="n"/>
      <c r="M1402" s="11" t="n"/>
    </row>
    <row r="1403">
      <c r="A1403" s="11" t="n"/>
      <c r="B1403" s="11" t="n"/>
      <c r="C1403" s="11" t="n"/>
      <c r="D1403" s="11" t="n"/>
      <c r="E1403" s="11" t="n"/>
      <c r="F1403" s="11" t="n"/>
      <c r="G1403" s="11" t="n"/>
      <c r="H1403" s="11" t="n"/>
      <c r="I1403" s="11" t="n"/>
      <c r="J1403" s="11" t="n"/>
      <c r="K1403" s="11" t="n"/>
      <c r="L1403" s="11" t="n"/>
      <c r="M1403" s="11" t="n"/>
    </row>
    <row r="1404">
      <c r="A1404" s="11" t="n"/>
      <c r="B1404" s="11" t="n"/>
      <c r="C1404" s="11" t="n"/>
      <c r="D1404" s="11" t="n"/>
      <c r="E1404" s="11" t="n"/>
      <c r="F1404" s="11" t="n"/>
      <c r="G1404" s="11" t="n"/>
      <c r="H1404" s="11" t="n"/>
      <c r="I1404" s="11" t="n"/>
      <c r="J1404" s="11" t="n"/>
      <c r="K1404" s="11" t="n"/>
      <c r="L1404" s="11" t="n"/>
      <c r="M1404" s="11" t="n"/>
    </row>
    <row r="1405">
      <c r="A1405" s="11" t="n"/>
      <c r="B1405" s="11" t="n"/>
      <c r="C1405" s="11" t="n"/>
      <c r="D1405" s="11" t="n"/>
      <c r="E1405" s="11" t="n"/>
      <c r="F1405" s="11" t="n"/>
      <c r="G1405" s="11" t="n"/>
      <c r="H1405" s="11" t="n"/>
      <c r="I1405" s="11" t="n"/>
      <c r="J1405" s="11" t="n"/>
      <c r="K1405" s="11" t="n"/>
      <c r="L1405" s="11" t="n"/>
      <c r="M1405" s="11" t="n"/>
    </row>
    <row r="1406">
      <c r="A1406" s="11" t="n"/>
      <c r="B1406" s="11" t="n"/>
      <c r="C1406" s="11" t="n"/>
      <c r="D1406" s="11" t="n"/>
      <c r="E1406" s="11" t="n"/>
      <c r="F1406" s="11" t="n"/>
      <c r="G1406" s="11" t="n"/>
      <c r="H1406" s="11" t="n"/>
      <c r="I1406" s="11" t="n"/>
      <c r="J1406" s="11" t="n"/>
      <c r="K1406" s="11" t="n"/>
      <c r="L1406" s="11" t="n"/>
      <c r="M1406" s="11" t="n"/>
    </row>
    <row r="1407">
      <c r="A1407" s="11" t="n"/>
      <c r="B1407" s="11" t="n"/>
      <c r="C1407" s="11" t="n"/>
      <c r="D1407" s="11" t="n"/>
      <c r="E1407" s="11" t="n"/>
      <c r="F1407" s="11" t="n"/>
      <c r="G1407" s="11" t="n"/>
      <c r="H1407" s="11" t="n"/>
      <c r="I1407" s="11" t="n"/>
      <c r="J1407" s="11" t="n"/>
      <c r="K1407" s="11" t="n"/>
      <c r="L1407" s="11" t="n"/>
      <c r="M1407" s="11" t="n"/>
    </row>
    <row r="1408">
      <c r="A1408" s="11" t="n"/>
      <c r="B1408" s="11" t="n"/>
      <c r="C1408" s="11" t="n"/>
      <c r="D1408" s="11" t="n"/>
      <c r="E1408" s="11" t="n"/>
      <c r="F1408" s="11" t="n"/>
      <c r="G1408" s="11" t="n"/>
      <c r="H1408" s="11" t="n"/>
      <c r="I1408" s="11" t="n"/>
      <c r="J1408" s="11" t="n"/>
      <c r="K1408" s="11" t="n"/>
      <c r="L1408" s="11" t="n"/>
      <c r="M1408" s="11" t="n"/>
    </row>
    <row r="1409">
      <c r="A1409" s="11" t="n"/>
      <c r="B1409" s="11" t="n"/>
      <c r="C1409" s="11" t="n"/>
      <c r="D1409" s="11" t="n"/>
      <c r="E1409" s="11" t="n"/>
      <c r="F1409" s="11" t="n"/>
      <c r="G1409" s="11" t="n"/>
      <c r="H1409" s="11" t="n"/>
      <c r="I1409" s="11" t="n"/>
      <c r="J1409" s="11" t="n"/>
      <c r="K1409" s="11" t="n"/>
      <c r="L1409" s="11" t="n"/>
      <c r="M1409" s="11" t="n"/>
    </row>
    <row r="1410">
      <c r="A1410" s="11" t="n"/>
      <c r="B1410" s="11" t="n"/>
      <c r="C1410" s="11" t="n"/>
      <c r="D1410" s="11" t="n"/>
      <c r="E1410" s="11" t="n"/>
      <c r="F1410" s="11" t="n"/>
      <c r="G1410" s="11" t="n"/>
      <c r="H1410" s="11" t="n"/>
      <c r="I1410" s="11" t="n"/>
      <c r="J1410" s="11" t="n"/>
      <c r="K1410" s="11" t="n"/>
      <c r="L1410" s="11" t="n"/>
      <c r="M1410" s="11" t="n"/>
    </row>
    <row r="1411">
      <c r="A1411" s="11" t="n"/>
      <c r="B1411" s="11" t="n"/>
      <c r="C1411" s="11" t="n"/>
      <c r="D1411" s="11" t="n"/>
      <c r="E1411" s="11" t="n"/>
      <c r="F1411" s="11" t="n"/>
      <c r="G1411" s="11" t="n"/>
      <c r="H1411" s="11" t="n"/>
      <c r="I1411" s="11" t="n"/>
      <c r="J1411" s="11" t="n"/>
      <c r="K1411" s="11" t="n"/>
      <c r="L1411" s="11" t="n"/>
      <c r="M1411" s="11" t="n"/>
    </row>
    <row r="1412">
      <c r="A1412" s="11" t="n"/>
      <c r="B1412" s="11" t="n"/>
      <c r="C1412" s="11" t="n"/>
      <c r="D1412" s="11" t="n"/>
      <c r="E1412" s="11" t="n"/>
      <c r="F1412" s="11" t="n"/>
      <c r="G1412" s="11" t="n"/>
      <c r="H1412" s="11" t="n"/>
      <c r="I1412" s="11" t="n"/>
      <c r="J1412" s="11" t="n"/>
      <c r="K1412" s="11" t="n"/>
      <c r="L1412" s="11" t="n"/>
      <c r="M1412" s="11" t="n"/>
    </row>
    <row r="1413">
      <c r="A1413" s="11" t="n"/>
      <c r="B1413" s="11" t="n"/>
      <c r="C1413" s="11" t="n"/>
      <c r="D1413" s="11" t="n"/>
      <c r="E1413" s="11" t="n"/>
      <c r="F1413" s="11" t="n"/>
      <c r="G1413" s="11" t="n"/>
      <c r="H1413" s="11" t="n"/>
      <c r="I1413" s="11" t="n"/>
      <c r="J1413" s="11" t="n"/>
      <c r="K1413" s="11" t="n"/>
      <c r="L1413" s="11" t="n"/>
      <c r="M1413" s="11" t="n"/>
    </row>
    <row r="1414">
      <c r="A1414" s="11" t="n"/>
      <c r="B1414" s="11" t="n"/>
      <c r="C1414" s="11" t="n"/>
      <c r="D1414" s="11" t="n"/>
      <c r="E1414" s="11" t="n"/>
      <c r="F1414" s="11" t="n"/>
      <c r="G1414" s="11" t="n"/>
      <c r="H1414" s="11" t="n"/>
      <c r="I1414" s="11" t="n"/>
      <c r="J1414" s="11" t="n"/>
      <c r="K1414" s="11" t="n"/>
      <c r="L1414" s="11" t="n"/>
      <c r="M1414" s="11" t="n"/>
    </row>
    <row r="1415">
      <c r="A1415" s="11" t="n"/>
      <c r="B1415" s="11" t="n"/>
      <c r="C1415" s="11" t="n"/>
      <c r="D1415" s="11" t="n"/>
      <c r="E1415" s="11" t="n"/>
      <c r="F1415" s="11" t="n"/>
      <c r="G1415" s="11" t="n"/>
      <c r="H1415" s="11" t="n"/>
      <c r="I1415" s="11" t="n"/>
      <c r="J1415" s="11" t="n"/>
      <c r="K1415" s="11" t="n"/>
      <c r="L1415" s="11" t="n"/>
      <c r="M1415" s="11" t="n"/>
    </row>
    <row r="1416">
      <c r="A1416" s="11" t="n"/>
      <c r="B1416" s="11" t="n"/>
      <c r="C1416" s="11" t="n"/>
      <c r="D1416" s="11" t="n"/>
      <c r="E1416" s="11" t="n"/>
      <c r="F1416" s="11" t="n"/>
      <c r="G1416" s="11" t="n"/>
      <c r="H1416" s="11" t="n"/>
      <c r="I1416" s="11" t="n"/>
      <c r="J1416" s="11" t="n"/>
      <c r="K1416" s="11" t="n"/>
      <c r="L1416" s="11" t="n"/>
      <c r="M1416" s="11" t="n"/>
    </row>
    <row r="1417">
      <c r="A1417" s="11" t="n"/>
      <c r="B1417" s="11" t="n"/>
      <c r="C1417" s="11" t="n"/>
      <c r="D1417" s="11" t="n"/>
      <c r="E1417" s="11" t="n"/>
      <c r="F1417" s="11" t="n"/>
      <c r="G1417" s="11" t="n"/>
      <c r="H1417" s="11" t="n"/>
      <c r="I1417" s="11" t="n"/>
      <c r="J1417" s="11" t="n"/>
      <c r="K1417" s="11" t="n"/>
      <c r="L1417" s="11" t="n"/>
      <c r="M1417" s="11" t="n"/>
    </row>
    <row r="1418">
      <c r="A1418" s="11" t="n"/>
      <c r="B1418" s="11" t="n"/>
      <c r="C1418" s="11" t="n"/>
      <c r="D1418" s="11" t="n"/>
      <c r="E1418" s="11" t="n"/>
      <c r="F1418" s="11" t="n"/>
      <c r="G1418" s="11" t="n"/>
      <c r="H1418" s="11" t="n"/>
      <c r="I1418" s="11" t="n"/>
      <c r="J1418" s="11" t="n"/>
      <c r="K1418" s="11" t="n"/>
      <c r="L1418" s="11" t="n"/>
      <c r="M1418" s="11" t="n"/>
    </row>
    <row r="1419">
      <c r="A1419" s="11" t="n"/>
      <c r="B1419" s="11" t="n"/>
      <c r="C1419" s="11" t="n"/>
      <c r="D1419" s="11" t="n"/>
      <c r="E1419" s="11" t="n"/>
      <c r="F1419" s="11" t="n"/>
      <c r="G1419" s="11" t="n"/>
      <c r="H1419" s="11" t="n"/>
      <c r="I1419" s="11" t="n"/>
      <c r="J1419" s="11" t="n"/>
      <c r="K1419" s="11" t="n"/>
      <c r="L1419" s="11" t="n"/>
      <c r="M1419" s="11" t="n"/>
    </row>
    <row r="1420">
      <c r="A1420" s="11" t="n"/>
      <c r="B1420" s="11" t="n"/>
      <c r="C1420" s="11" t="n"/>
      <c r="D1420" s="11" t="n"/>
      <c r="E1420" s="11" t="n"/>
      <c r="F1420" s="11" t="n"/>
      <c r="G1420" s="11" t="n"/>
      <c r="H1420" s="11" t="n"/>
      <c r="I1420" s="11" t="n"/>
      <c r="J1420" s="11" t="n"/>
      <c r="K1420" s="11" t="n"/>
      <c r="L1420" s="11" t="n"/>
      <c r="M1420" s="11" t="n"/>
    </row>
    <row r="1421">
      <c r="A1421" s="11" t="n"/>
      <c r="B1421" s="11" t="n"/>
      <c r="C1421" s="11" t="n"/>
      <c r="D1421" s="11" t="n"/>
      <c r="E1421" s="11" t="n"/>
      <c r="F1421" s="11" t="n"/>
      <c r="G1421" s="11" t="n"/>
      <c r="H1421" s="11" t="n"/>
      <c r="I1421" s="11" t="n"/>
      <c r="J1421" s="11" t="n"/>
      <c r="K1421" s="11" t="n"/>
      <c r="L1421" s="11" t="n"/>
      <c r="M1421" s="11" t="n"/>
    </row>
    <row r="1422">
      <c r="A1422" s="11" t="n"/>
      <c r="B1422" s="11" t="n"/>
      <c r="C1422" s="11" t="n"/>
      <c r="D1422" s="11" t="n"/>
      <c r="E1422" s="11" t="n"/>
      <c r="F1422" s="11" t="n"/>
      <c r="G1422" s="11" t="n"/>
      <c r="H1422" s="11" t="n"/>
      <c r="I1422" s="11" t="n"/>
      <c r="J1422" s="11" t="n"/>
      <c r="K1422" s="11" t="n"/>
      <c r="L1422" s="11" t="n"/>
      <c r="M1422" s="11" t="n"/>
    </row>
    <row r="1423">
      <c r="A1423" s="11" t="n"/>
      <c r="B1423" s="11" t="n"/>
      <c r="C1423" s="11" t="n"/>
      <c r="D1423" s="11" t="n"/>
      <c r="E1423" s="11" t="n"/>
      <c r="F1423" s="11" t="n"/>
      <c r="G1423" s="11" t="n"/>
      <c r="H1423" s="11" t="n"/>
      <c r="I1423" s="11" t="n"/>
      <c r="J1423" s="11" t="n"/>
      <c r="K1423" s="11" t="n"/>
      <c r="L1423" s="11" t="n"/>
      <c r="M1423" s="11" t="n"/>
    </row>
    <row r="1424">
      <c r="A1424" s="11" t="n"/>
      <c r="B1424" s="11" t="n"/>
      <c r="C1424" s="11" t="n"/>
      <c r="D1424" s="11" t="n"/>
      <c r="E1424" s="11" t="n"/>
      <c r="F1424" s="11" t="n"/>
      <c r="G1424" s="11" t="n"/>
      <c r="H1424" s="11" t="n"/>
      <c r="I1424" s="11" t="n"/>
      <c r="J1424" s="11" t="n"/>
      <c r="K1424" s="11" t="n"/>
      <c r="L1424" s="11" t="n"/>
      <c r="M1424" s="11" t="n"/>
    </row>
    <row r="1425">
      <c r="A1425" s="11" t="n"/>
      <c r="B1425" s="11" t="n"/>
      <c r="C1425" s="11" t="n"/>
      <c r="D1425" s="11" t="n"/>
      <c r="E1425" s="11" t="n"/>
      <c r="F1425" s="11" t="n"/>
      <c r="G1425" s="11" t="n"/>
      <c r="H1425" s="11" t="n"/>
      <c r="I1425" s="11" t="n"/>
      <c r="J1425" s="11" t="n"/>
      <c r="K1425" s="11" t="n"/>
      <c r="L1425" s="11" t="n"/>
      <c r="M1425" s="11" t="n"/>
    </row>
    <row r="1426">
      <c r="A1426" s="11" t="n"/>
      <c r="B1426" s="11" t="n"/>
      <c r="C1426" s="11" t="n"/>
      <c r="D1426" s="11" t="n"/>
      <c r="E1426" s="11" t="n"/>
      <c r="F1426" s="11" t="n"/>
      <c r="G1426" s="11" t="n"/>
      <c r="H1426" s="11" t="n"/>
      <c r="I1426" s="11" t="n"/>
      <c r="J1426" s="11" t="n"/>
      <c r="K1426" s="11" t="n"/>
      <c r="L1426" s="11" t="n"/>
      <c r="M1426" s="11" t="n"/>
    </row>
    <row r="1427">
      <c r="A1427" s="11" t="n"/>
      <c r="B1427" s="11" t="n"/>
      <c r="C1427" s="11" t="n"/>
      <c r="D1427" s="11" t="n"/>
      <c r="E1427" s="11" t="n"/>
      <c r="F1427" s="11" t="n"/>
      <c r="G1427" s="11" t="n"/>
      <c r="H1427" s="11" t="n"/>
      <c r="I1427" s="11" t="n"/>
      <c r="J1427" s="11" t="n"/>
      <c r="K1427" s="11" t="n"/>
      <c r="L1427" s="11" t="n"/>
      <c r="M1427" s="11" t="n"/>
    </row>
    <row r="1428">
      <c r="A1428" s="11" t="n"/>
      <c r="B1428" s="11" t="n"/>
      <c r="C1428" s="11" t="n"/>
      <c r="D1428" s="11" t="n"/>
      <c r="E1428" s="11" t="n"/>
      <c r="F1428" s="11" t="n"/>
      <c r="G1428" s="11" t="n"/>
      <c r="H1428" s="11" t="n"/>
      <c r="I1428" s="11" t="n"/>
      <c r="J1428" s="11" t="n"/>
      <c r="K1428" s="11" t="n"/>
      <c r="L1428" s="11" t="n"/>
      <c r="M1428" s="11" t="n"/>
    </row>
    <row r="1429">
      <c r="A1429" s="11" t="n"/>
      <c r="B1429" s="11" t="n"/>
      <c r="C1429" s="11" t="n"/>
      <c r="D1429" s="11" t="n"/>
      <c r="E1429" s="11" t="n"/>
      <c r="F1429" s="11" t="n"/>
      <c r="G1429" s="11" t="n"/>
      <c r="H1429" s="11" t="n"/>
      <c r="I1429" s="11" t="n"/>
      <c r="J1429" s="11" t="n"/>
      <c r="K1429" s="11" t="n"/>
      <c r="L1429" s="11" t="n"/>
      <c r="M1429" s="11" t="n"/>
    </row>
    <row r="1430">
      <c r="A1430" s="11" t="n"/>
      <c r="B1430" s="11" t="n"/>
      <c r="C1430" s="11" t="n"/>
      <c r="D1430" s="11" t="n"/>
      <c r="E1430" s="11" t="n"/>
      <c r="F1430" s="11" t="n"/>
      <c r="G1430" s="11" t="n"/>
      <c r="H1430" s="11" t="n"/>
      <c r="I1430" s="11" t="n"/>
      <c r="J1430" s="11" t="n"/>
      <c r="K1430" s="11" t="n"/>
      <c r="L1430" s="11" t="n"/>
      <c r="M1430" s="11" t="n"/>
    </row>
    <row r="1431">
      <c r="A1431" s="11" t="n"/>
      <c r="B1431" s="11" t="n"/>
      <c r="C1431" s="11" t="n"/>
      <c r="D1431" s="11" t="n"/>
      <c r="E1431" s="11" t="n"/>
      <c r="F1431" s="11" t="n"/>
      <c r="G1431" s="11" t="n"/>
      <c r="H1431" s="11" t="n"/>
      <c r="I1431" s="11" t="n"/>
      <c r="J1431" s="11" t="n"/>
      <c r="K1431" s="11" t="n"/>
      <c r="L1431" s="11" t="n"/>
      <c r="M1431" s="11" t="n"/>
    </row>
    <row r="1432">
      <c r="A1432" s="11" t="n"/>
      <c r="B1432" s="11" t="n"/>
      <c r="C1432" s="11" t="n"/>
      <c r="D1432" s="11" t="n"/>
      <c r="E1432" s="11" t="n"/>
      <c r="F1432" s="11" t="n"/>
      <c r="G1432" s="11" t="n"/>
      <c r="H1432" s="11" t="n"/>
      <c r="I1432" s="11" t="n"/>
      <c r="J1432" s="11" t="n"/>
      <c r="K1432" s="11" t="n"/>
      <c r="L1432" s="11" t="n"/>
      <c r="M1432" s="11" t="n"/>
    </row>
    <row r="1433">
      <c r="A1433" s="11" t="n"/>
      <c r="B1433" s="11" t="n"/>
      <c r="C1433" s="11" t="n"/>
      <c r="D1433" s="11" t="n"/>
      <c r="E1433" s="11" t="n"/>
      <c r="F1433" s="11" t="n"/>
      <c r="G1433" s="11" t="n"/>
      <c r="H1433" s="11" t="n"/>
      <c r="I1433" s="11" t="n"/>
      <c r="J1433" s="11" t="n"/>
      <c r="K1433" s="11" t="n"/>
      <c r="L1433" s="11" t="n"/>
      <c r="M1433" s="11" t="n"/>
    </row>
    <row r="1434">
      <c r="A1434" s="11" t="n"/>
      <c r="B1434" s="11" t="n"/>
      <c r="C1434" s="11" t="n"/>
      <c r="D1434" s="11" t="n"/>
      <c r="E1434" s="11" t="n"/>
      <c r="F1434" s="11" t="n"/>
      <c r="G1434" s="11" t="n"/>
      <c r="H1434" s="11" t="n"/>
      <c r="I1434" s="11" t="n"/>
      <c r="J1434" s="11" t="n"/>
      <c r="K1434" s="11" t="n"/>
      <c r="L1434" s="11" t="n"/>
      <c r="M1434" s="11" t="n"/>
    </row>
    <row r="1435">
      <c r="A1435" s="11" t="n"/>
      <c r="B1435" s="11" t="n"/>
      <c r="C1435" s="11" t="n"/>
      <c r="D1435" s="11" t="n"/>
      <c r="E1435" s="11" t="n"/>
      <c r="F1435" s="11" t="n"/>
      <c r="G1435" s="11" t="n"/>
      <c r="H1435" s="11" t="n"/>
      <c r="I1435" s="11" t="n"/>
      <c r="J1435" s="11" t="n"/>
      <c r="K1435" s="11" t="n"/>
      <c r="L1435" s="11" t="n"/>
      <c r="M1435" s="11" t="n"/>
    </row>
    <row r="1436">
      <c r="A1436" s="11" t="n"/>
      <c r="B1436" s="11" t="n"/>
      <c r="C1436" s="11" t="n"/>
      <c r="D1436" s="11" t="n"/>
      <c r="E1436" s="11" t="n"/>
      <c r="F1436" s="11" t="n"/>
      <c r="G1436" s="11" t="n"/>
      <c r="H1436" s="11" t="n"/>
      <c r="I1436" s="11" t="n"/>
      <c r="J1436" s="11" t="n"/>
      <c r="K1436" s="11" t="n"/>
      <c r="L1436" s="11" t="n"/>
      <c r="M1436" s="11" t="n"/>
    </row>
    <row r="1437">
      <c r="A1437" s="11" t="n"/>
      <c r="B1437" s="11" t="n"/>
      <c r="C1437" s="11" t="n"/>
      <c r="D1437" s="11" t="n"/>
      <c r="E1437" s="11" t="n"/>
      <c r="F1437" s="11" t="n"/>
      <c r="G1437" s="11" t="n"/>
      <c r="H1437" s="11" t="n"/>
      <c r="I1437" s="11" t="n"/>
      <c r="J1437" s="11" t="n"/>
      <c r="K1437" s="11" t="n"/>
      <c r="L1437" s="11" t="n"/>
      <c r="M1437" s="11" t="n"/>
    </row>
    <row r="1438">
      <c r="A1438" s="11" t="n"/>
      <c r="B1438" s="11" t="n"/>
      <c r="C1438" s="11" t="n"/>
      <c r="D1438" s="11" t="n"/>
      <c r="E1438" s="11" t="n"/>
      <c r="F1438" s="11" t="n"/>
      <c r="G1438" s="11" t="n"/>
      <c r="H1438" s="11" t="n"/>
      <c r="I1438" s="11" t="n"/>
      <c r="J1438" s="11" t="n"/>
      <c r="K1438" s="11" t="n"/>
      <c r="L1438" s="11" t="n"/>
      <c r="M1438" s="11" t="n"/>
    </row>
    <row r="1439">
      <c r="A1439" s="11" t="n"/>
      <c r="B1439" s="11" t="n"/>
      <c r="C1439" s="11" t="n"/>
      <c r="D1439" s="11" t="n"/>
      <c r="E1439" s="11" t="n"/>
      <c r="F1439" s="11" t="n"/>
      <c r="G1439" s="11" t="n"/>
      <c r="H1439" s="11" t="n"/>
      <c r="I1439" s="11" t="n"/>
      <c r="J1439" s="11" t="n"/>
      <c r="K1439" s="11" t="n"/>
      <c r="L1439" s="11" t="n"/>
      <c r="M1439" s="11" t="n"/>
    </row>
    <row r="1440">
      <c r="A1440" s="11" t="n"/>
      <c r="B1440" s="11" t="n"/>
      <c r="C1440" s="11" t="n"/>
      <c r="D1440" s="11" t="n"/>
      <c r="E1440" s="11" t="n"/>
      <c r="F1440" s="11" t="n"/>
      <c r="G1440" s="11" t="n"/>
      <c r="H1440" s="11" t="n"/>
      <c r="I1440" s="11" t="n"/>
      <c r="J1440" s="11" t="n"/>
      <c r="K1440" s="11" t="n"/>
      <c r="L1440" s="11" t="n"/>
      <c r="M1440" s="11" t="n"/>
    </row>
    <row r="1441">
      <c r="A1441" s="11" t="n"/>
      <c r="B1441" s="11" t="n"/>
      <c r="C1441" s="11" t="n"/>
      <c r="D1441" s="11" t="n"/>
      <c r="E1441" s="11" t="n"/>
      <c r="F1441" s="11" t="n"/>
      <c r="G1441" s="11" t="n"/>
      <c r="H1441" s="11" t="n"/>
      <c r="I1441" s="11" t="n"/>
      <c r="J1441" s="11" t="n"/>
      <c r="K1441" s="11" t="n"/>
      <c r="L1441" s="11" t="n"/>
      <c r="M1441" s="11" t="n"/>
    </row>
    <row r="1442">
      <c r="A1442" s="11" t="n"/>
      <c r="B1442" s="11" t="n"/>
      <c r="C1442" s="11" t="n"/>
      <c r="D1442" s="11" t="n"/>
      <c r="E1442" s="11" t="n"/>
      <c r="F1442" s="11" t="n"/>
      <c r="G1442" s="11" t="n"/>
      <c r="H1442" s="11" t="n"/>
      <c r="I1442" s="11" t="n"/>
      <c r="J1442" s="11" t="n"/>
      <c r="K1442" s="11" t="n"/>
      <c r="L1442" s="11" t="n"/>
      <c r="M1442" s="11" t="n"/>
    </row>
    <row r="1443">
      <c r="A1443" s="11" t="n"/>
      <c r="B1443" s="11" t="n"/>
      <c r="C1443" s="11" t="n"/>
      <c r="D1443" s="11" t="n"/>
      <c r="E1443" s="11" t="n"/>
      <c r="F1443" s="11" t="n"/>
      <c r="G1443" s="11" t="n"/>
      <c r="H1443" s="11" t="n"/>
      <c r="I1443" s="11" t="n"/>
      <c r="J1443" s="11" t="n"/>
      <c r="K1443" s="11" t="n"/>
      <c r="L1443" s="11" t="n"/>
      <c r="M1443" s="11" t="n"/>
    </row>
    <row r="1444">
      <c r="A1444" s="11" t="n"/>
      <c r="B1444" s="11" t="n"/>
      <c r="C1444" s="11" t="n"/>
      <c r="D1444" s="11" t="n"/>
      <c r="E1444" s="11" t="n"/>
      <c r="F1444" s="11" t="n"/>
      <c r="G1444" s="11" t="n"/>
      <c r="H1444" s="11" t="n"/>
      <c r="I1444" s="11" t="n"/>
      <c r="J1444" s="11" t="n"/>
      <c r="K1444" s="11" t="n"/>
      <c r="L1444" s="11" t="n"/>
      <c r="M1444" s="11" t="n"/>
    </row>
    <row r="1445">
      <c r="A1445" s="11" t="n"/>
      <c r="B1445" s="11" t="n"/>
      <c r="C1445" s="11" t="n"/>
      <c r="D1445" s="11" t="n"/>
      <c r="E1445" s="11" t="n"/>
      <c r="F1445" s="11" t="n"/>
      <c r="G1445" s="11" t="n"/>
      <c r="H1445" s="11" t="n"/>
      <c r="I1445" s="11" t="n"/>
      <c r="J1445" s="11" t="n"/>
      <c r="K1445" s="11" t="n"/>
      <c r="L1445" s="11" t="n"/>
      <c r="M1445" s="11" t="n"/>
    </row>
    <row r="1446">
      <c r="A1446" s="11" t="n"/>
      <c r="B1446" s="11" t="n"/>
      <c r="C1446" s="11" t="n"/>
      <c r="D1446" s="11" t="n"/>
      <c r="E1446" s="11" t="n"/>
      <c r="F1446" s="11" t="n"/>
      <c r="G1446" s="11" t="n"/>
      <c r="H1446" s="11" t="n"/>
      <c r="I1446" s="11" t="n"/>
      <c r="J1446" s="11" t="n"/>
      <c r="K1446" s="11" t="n"/>
      <c r="L1446" s="11" t="n"/>
      <c r="M1446" s="11" t="n"/>
    </row>
    <row r="1447">
      <c r="A1447" s="11" t="n"/>
      <c r="B1447" s="11" t="n"/>
      <c r="C1447" s="11" t="n"/>
      <c r="D1447" s="11" t="n"/>
      <c r="E1447" s="11" t="n"/>
      <c r="F1447" s="11" t="n"/>
      <c r="G1447" s="11" t="n"/>
      <c r="H1447" s="11" t="n"/>
      <c r="I1447" s="11" t="n"/>
      <c r="J1447" s="11" t="n"/>
      <c r="K1447" s="11" t="n"/>
      <c r="L1447" s="11" t="n"/>
      <c r="M1447" s="11" t="n"/>
    </row>
    <row r="1448">
      <c r="A1448" s="11" t="n"/>
      <c r="B1448" s="11" t="n"/>
      <c r="C1448" s="11" t="n"/>
      <c r="D1448" s="11" t="n"/>
      <c r="E1448" s="11" t="n"/>
      <c r="F1448" s="11" t="n"/>
      <c r="G1448" s="11" t="n"/>
      <c r="H1448" s="11" t="n"/>
      <c r="I1448" s="11" t="n"/>
      <c r="J1448" s="11" t="n"/>
      <c r="K1448" s="11" t="n"/>
      <c r="L1448" s="11" t="n"/>
      <c r="M1448" s="11" t="n"/>
    </row>
    <row r="1449">
      <c r="A1449" s="11" t="n"/>
      <c r="B1449" s="11" t="n"/>
      <c r="C1449" s="11" t="n"/>
      <c r="D1449" s="11" t="n"/>
      <c r="E1449" s="11" t="n"/>
      <c r="F1449" s="11" t="n"/>
      <c r="G1449" s="11" t="n"/>
      <c r="H1449" s="11" t="n"/>
      <c r="I1449" s="11" t="n"/>
      <c r="J1449" s="11" t="n"/>
      <c r="K1449" s="11" t="n"/>
      <c r="L1449" s="11" t="n"/>
      <c r="M1449" s="11" t="n"/>
    </row>
    <row r="1450">
      <c r="A1450" s="11" t="n"/>
      <c r="B1450" s="11" t="n"/>
      <c r="C1450" s="11" t="n"/>
      <c r="D1450" s="11" t="n"/>
      <c r="E1450" s="11" t="n"/>
      <c r="F1450" s="11" t="n"/>
      <c r="G1450" s="11" t="n"/>
      <c r="H1450" s="11" t="n"/>
      <c r="I1450" s="11" t="n"/>
      <c r="J1450" s="11" t="n"/>
      <c r="K1450" s="11" t="n"/>
      <c r="L1450" s="11" t="n"/>
      <c r="M1450" s="11" t="n"/>
    </row>
    <row r="1451">
      <c r="A1451" s="11" t="n"/>
      <c r="B1451" s="11" t="n"/>
      <c r="C1451" s="11" t="n"/>
      <c r="D1451" s="11" t="n"/>
      <c r="E1451" s="11" t="n"/>
      <c r="F1451" s="11" t="n"/>
      <c r="G1451" s="11" t="n"/>
      <c r="H1451" s="11" t="n"/>
      <c r="I1451" s="11" t="n"/>
      <c r="J1451" s="11" t="n"/>
      <c r="K1451" s="11" t="n"/>
      <c r="L1451" s="11" t="n"/>
      <c r="M1451" s="11" t="n"/>
    </row>
    <row r="1452">
      <c r="A1452" s="11" t="n"/>
      <c r="B1452" s="11" t="n"/>
      <c r="C1452" s="11" t="n"/>
      <c r="D1452" s="11" t="n"/>
      <c r="E1452" s="11" t="n"/>
      <c r="F1452" s="11" t="n"/>
      <c r="G1452" s="11" t="n"/>
      <c r="H1452" s="11" t="n"/>
      <c r="I1452" s="11" t="n"/>
      <c r="J1452" s="11" t="n"/>
      <c r="K1452" s="11" t="n"/>
      <c r="L1452" s="11" t="n"/>
      <c r="M1452" s="11" t="n"/>
    </row>
    <row r="1453">
      <c r="A1453" s="11" t="n"/>
      <c r="B1453" s="11" t="n"/>
      <c r="C1453" s="11" t="n"/>
      <c r="D1453" s="11" t="n"/>
      <c r="E1453" s="11" t="n"/>
      <c r="F1453" s="11" t="n"/>
      <c r="G1453" s="11" t="n"/>
      <c r="H1453" s="11" t="n"/>
      <c r="I1453" s="11" t="n"/>
      <c r="J1453" s="11" t="n"/>
      <c r="K1453" s="11" t="n"/>
      <c r="L1453" s="11" t="n"/>
      <c r="M1453" s="11" t="n"/>
    </row>
    <row r="1454">
      <c r="A1454" s="11" t="n"/>
      <c r="B1454" s="11" t="n"/>
      <c r="C1454" s="11" t="n"/>
      <c r="D1454" s="11" t="n"/>
      <c r="E1454" s="11" t="n"/>
      <c r="F1454" s="11" t="n"/>
      <c r="G1454" s="11" t="n"/>
      <c r="H1454" s="11" t="n"/>
      <c r="I1454" s="11" t="n"/>
      <c r="J1454" s="11" t="n"/>
      <c r="K1454" s="11" t="n"/>
      <c r="L1454" s="11" t="n"/>
      <c r="M1454" s="11" t="n"/>
    </row>
    <row r="1455">
      <c r="A1455" s="11" t="n"/>
      <c r="B1455" s="11" t="n"/>
      <c r="C1455" s="11" t="n"/>
      <c r="D1455" s="11" t="n"/>
      <c r="E1455" s="11" t="n"/>
      <c r="F1455" s="11" t="n"/>
      <c r="G1455" s="11" t="n"/>
      <c r="H1455" s="11" t="n"/>
      <c r="I1455" s="11" t="n"/>
      <c r="J1455" s="11" t="n"/>
      <c r="K1455" s="11" t="n"/>
      <c r="L1455" s="11" t="n"/>
      <c r="M1455" s="11" t="n"/>
    </row>
    <row r="1456">
      <c r="A1456" s="11" t="n"/>
      <c r="B1456" s="11" t="n"/>
      <c r="C1456" s="11" t="n"/>
      <c r="D1456" s="11" t="n"/>
      <c r="E1456" s="11" t="n"/>
      <c r="F1456" s="11" t="n"/>
      <c r="G1456" s="11" t="n"/>
      <c r="H1456" s="11" t="n"/>
      <c r="I1456" s="11" t="n"/>
      <c r="J1456" s="11" t="n"/>
      <c r="K1456" s="11" t="n"/>
      <c r="L1456" s="11" t="n"/>
      <c r="M1456" s="11" t="n"/>
    </row>
    <row r="1457">
      <c r="A1457" s="11" t="n"/>
      <c r="B1457" s="11" t="n"/>
      <c r="C1457" s="11" t="n"/>
      <c r="D1457" s="11" t="n"/>
      <c r="E1457" s="11" t="n"/>
      <c r="F1457" s="11" t="n"/>
      <c r="G1457" s="11" t="n"/>
      <c r="H1457" s="11" t="n"/>
      <c r="I1457" s="11" t="n"/>
      <c r="J1457" s="11" t="n"/>
      <c r="K1457" s="11" t="n"/>
      <c r="L1457" s="11" t="n"/>
      <c r="M1457" s="11" t="n"/>
    </row>
    <row r="1458">
      <c r="A1458" s="11" t="n"/>
      <c r="B1458" s="11" t="n"/>
      <c r="C1458" s="11" t="n"/>
      <c r="D1458" s="11" t="n"/>
      <c r="E1458" s="11" t="n"/>
      <c r="F1458" s="11" t="n"/>
      <c r="G1458" s="11" t="n"/>
      <c r="H1458" s="11" t="n"/>
      <c r="I1458" s="11" t="n"/>
      <c r="J1458" s="11" t="n"/>
      <c r="K1458" s="11" t="n"/>
      <c r="L1458" s="11" t="n"/>
      <c r="M1458" s="11" t="n"/>
    </row>
    <row r="1459">
      <c r="A1459" s="11" t="n"/>
      <c r="B1459" s="11" t="n"/>
      <c r="C1459" s="11" t="n"/>
      <c r="D1459" s="11" t="n"/>
      <c r="E1459" s="11" t="n"/>
      <c r="F1459" s="11" t="n"/>
      <c r="G1459" s="11" t="n"/>
      <c r="H1459" s="11" t="n"/>
      <c r="I1459" s="11" t="n"/>
      <c r="J1459" s="11" t="n"/>
      <c r="K1459" s="11" t="n"/>
      <c r="L1459" s="11" t="n"/>
      <c r="M1459" s="11" t="n"/>
    </row>
    <row r="1460">
      <c r="A1460" s="11" t="n"/>
      <c r="B1460" s="11" t="n"/>
      <c r="C1460" s="11" t="n"/>
      <c r="D1460" s="11" t="n"/>
      <c r="E1460" s="11" t="n"/>
      <c r="F1460" s="11" t="n"/>
      <c r="G1460" s="11" t="n"/>
      <c r="H1460" s="11" t="n"/>
      <c r="I1460" s="11" t="n"/>
      <c r="J1460" s="11" t="n"/>
      <c r="K1460" s="11" t="n"/>
      <c r="L1460" s="11" t="n"/>
      <c r="M1460" s="11" t="n"/>
    </row>
    <row r="1461">
      <c r="A1461" s="11" t="n"/>
      <c r="B1461" s="11" t="n"/>
      <c r="C1461" s="11" t="n"/>
      <c r="D1461" s="11" t="n"/>
      <c r="E1461" s="11" t="n"/>
      <c r="F1461" s="11" t="n"/>
      <c r="G1461" s="11" t="n"/>
      <c r="H1461" s="11" t="n"/>
      <c r="I1461" s="11" t="n"/>
      <c r="J1461" s="11" t="n"/>
      <c r="K1461" s="11" t="n"/>
      <c r="L1461" s="11" t="n"/>
      <c r="M1461" s="11" t="n"/>
    </row>
    <row r="1462">
      <c r="A1462" s="11" t="n"/>
      <c r="B1462" s="11" t="n"/>
      <c r="C1462" s="11" t="n"/>
      <c r="D1462" s="11" t="n"/>
      <c r="E1462" s="11" t="n"/>
      <c r="F1462" s="11" t="n"/>
      <c r="G1462" s="11" t="n"/>
      <c r="H1462" s="11" t="n"/>
      <c r="I1462" s="11" t="n"/>
      <c r="J1462" s="11" t="n"/>
      <c r="K1462" s="11" t="n"/>
      <c r="L1462" s="11" t="n"/>
      <c r="M1462" s="11" t="n"/>
    </row>
    <row r="1463">
      <c r="A1463" s="11" t="n"/>
      <c r="B1463" s="11" t="n"/>
      <c r="C1463" s="11" t="n"/>
      <c r="D1463" s="11" t="n"/>
      <c r="E1463" s="11" t="n"/>
      <c r="F1463" s="11" t="n"/>
      <c r="G1463" s="11" t="n"/>
      <c r="H1463" s="11" t="n"/>
      <c r="I1463" s="11" t="n"/>
      <c r="J1463" s="11" t="n"/>
      <c r="K1463" s="11" t="n"/>
      <c r="L1463" s="11" t="n"/>
      <c r="M1463" s="11" t="n"/>
    </row>
    <row r="1464">
      <c r="A1464" s="11" t="n"/>
      <c r="B1464" s="11" t="n"/>
      <c r="C1464" s="11" t="n"/>
      <c r="D1464" s="11" t="n"/>
      <c r="E1464" s="11" t="n"/>
      <c r="F1464" s="11" t="n"/>
      <c r="G1464" s="11" t="n"/>
      <c r="H1464" s="11" t="n"/>
      <c r="I1464" s="11" t="n"/>
      <c r="J1464" s="11" t="n"/>
      <c r="K1464" s="11" t="n"/>
      <c r="L1464" s="11" t="n"/>
      <c r="M1464" s="11" t="n"/>
    </row>
    <row r="1465">
      <c r="A1465" s="11" t="n"/>
      <c r="B1465" s="11" t="n"/>
      <c r="C1465" s="11" t="n"/>
      <c r="D1465" s="11" t="n"/>
      <c r="E1465" s="11" t="n"/>
      <c r="F1465" s="11" t="n"/>
      <c r="G1465" s="11" t="n"/>
      <c r="H1465" s="11" t="n"/>
      <c r="I1465" s="11" t="n"/>
      <c r="J1465" s="11" t="n"/>
      <c r="K1465" s="11" t="n"/>
      <c r="L1465" s="11" t="n"/>
      <c r="M1465" s="11" t="n"/>
    </row>
    <row r="1466">
      <c r="A1466" s="11" t="n"/>
      <c r="B1466" s="11" t="n"/>
      <c r="C1466" s="11" t="n"/>
      <c r="D1466" s="11" t="n"/>
      <c r="E1466" s="11" t="n"/>
      <c r="F1466" s="11" t="n"/>
      <c r="G1466" s="11" t="n"/>
      <c r="H1466" s="11" t="n"/>
      <c r="I1466" s="11" t="n"/>
      <c r="J1466" s="11" t="n"/>
      <c r="K1466" s="11" t="n"/>
      <c r="L1466" s="11" t="n"/>
      <c r="M1466" s="11" t="n"/>
    </row>
    <row r="1467">
      <c r="A1467" s="11" t="n"/>
      <c r="B1467" s="11" t="n"/>
      <c r="C1467" s="11" t="n"/>
      <c r="D1467" s="11" t="n"/>
      <c r="E1467" s="11" t="n"/>
      <c r="F1467" s="11" t="n"/>
      <c r="G1467" s="11" t="n"/>
      <c r="H1467" s="11" t="n"/>
      <c r="I1467" s="11" t="n"/>
      <c r="J1467" s="11" t="n"/>
      <c r="K1467" s="11" t="n"/>
      <c r="L1467" s="11" t="n"/>
      <c r="M1467" s="11" t="n"/>
    </row>
    <row r="1468">
      <c r="A1468" s="11" t="n"/>
      <c r="B1468" s="11" t="n"/>
      <c r="C1468" s="11" t="n"/>
      <c r="D1468" s="11" t="n"/>
      <c r="E1468" s="11" t="n"/>
      <c r="F1468" s="11" t="n"/>
      <c r="G1468" s="11" t="n"/>
      <c r="H1468" s="11" t="n"/>
      <c r="I1468" s="11" t="n"/>
      <c r="J1468" s="11" t="n"/>
      <c r="K1468" s="11" t="n"/>
      <c r="L1468" s="11" t="n"/>
      <c r="M1468" s="11" t="n"/>
    </row>
    <row r="1469">
      <c r="A1469" s="11" t="n"/>
      <c r="B1469" s="11" t="n"/>
      <c r="C1469" s="11" t="n"/>
      <c r="D1469" s="11" t="n"/>
      <c r="E1469" s="11" t="n"/>
      <c r="F1469" s="11" t="n"/>
      <c r="G1469" s="11" t="n"/>
      <c r="H1469" s="11" t="n"/>
      <c r="I1469" s="11" t="n"/>
      <c r="J1469" s="11" t="n"/>
      <c r="K1469" s="11" t="n"/>
      <c r="L1469" s="11" t="n"/>
      <c r="M1469" s="11" t="n"/>
    </row>
    <row r="1470">
      <c r="A1470" s="11" t="n"/>
      <c r="B1470" s="11" t="n"/>
      <c r="C1470" s="11" t="n"/>
      <c r="D1470" s="11" t="n"/>
      <c r="E1470" s="11" t="n"/>
      <c r="F1470" s="11" t="n"/>
      <c r="G1470" s="11" t="n"/>
      <c r="H1470" s="11" t="n"/>
      <c r="I1470" s="11" t="n"/>
      <c r="J1470" s="11" t="n"/>
      <c r="K1470" s="11" t="n"/>
      <c r="L1470" s="11" t="n"/>
      <c r="M1470" s="11" t="n"/>
    </row>
    <row r="1471">
      <c r="A1471" s="11" t="n"/>
      <c r="B1471" s="11" t="n"/>
      <c r="C1471" s="11" t="n"/>
      <c r="D1471" s="11" t="n"/>
      <c r="E1471" s="11" t="n"/>
      <c r="F1471" s="11" t="n"/>
      <c r="G1471" s="11" t="n"/>
      <c r="H1471" s="11" t="n"/>
      <c r="I1471" s="11" t="n"/>
      <c r="J1471" s="11" t="n"/>
      <c r="K1471" s="11" t="n"/>
      <c r="L1471" s="11" t="n"/>
      <c r="M1471" s="11" t="n"/>
    </row>
    <row r="1472">
      <c r="A1472" s="11" t="n"/>
      <c r="B1472" s="11" t="n"/>
      <c r="C1472" s="11" t="n"/>
      <c r="D1472" s="11" t="n"/>
      <c r="E1472" s="11" t="n"/>
      <c r="F1472" s="11" t="n"/>
      <c r="G1472" s="11" t="n"/>
      <c r="H1472" s="11" t="n"/>
      <c r="I1472" s="11" t="n"/>
      <c r="J1472" s="11" t="n"/>
      <c r="K1472" s="11" t="n"/>
      <c r="L1472" s="11" t="n"/>
      <c r="M1472" s="11" t="n"/>
    </row>
    <row r="1473">
      <c r="A1473" s="11" t="n"/>
      <c r="B1473" s="11" t="n"/>
      <c r="C1473" s="11" t="n"/>
      <c r="D1473" s="11" t="n"/>
      <c r="E1473" s="11" t="n"/>
      <c r="F1473" s="11" t="n"/>
      <c r="G1473" s="11" t="n"/>
      <c r="H1473" s="11" t="n"/>
      <c r="I1473" s="11" t="n"/>
      <c r="J1473" s="11" t="n"/>
      <c r="K1473" s="11" t="n"/>
      <c r="L1473" s="11" t="n"/>
      <c r="M1473" s="11" t="n"/>
    </row>
    <row r="1474">
      <c r="A1474" s="11" t="n"/>
      <c r="B1474" s="11" t="n"/>
      <c r="C1474" s="11" t="n"/>
      <c r="D1474" s="11" t="n"/>
      <c r="E1474" s="11" t="n"/>
      <c r="F1474" s="11" t="n"/>
      <c r="G1474" s="11" t="n"/>
      <c r="H1474" s="11" t="n"/>
      <c r="I1474" s="11" t="n"/>
      <c r="J1474" s="11" t="n"/>
      <c r="K1474" s="11" t="n"/>
      <c r="L1474" s="11" t="n"/>
      <c r="M1474" s="11" t="n"/>
    </row>
    <row r="1475">
      <c r="A1475" s="11" t="n"/>
      <c r="B1475" s="11" t="n"/>
      <c r="C1475" s="11" t="n"/>
      <c r="D1475" s="11" t="n"/>
      <c r="E1475" s="11" t="n"/>
      <c r="F1475" s="11" t="n"/>
      <c r="G1475" s="11" t="n"/>
      <c r="H1475" s="11" t="n"/>
      <c r="I1475" s="11" t="n"/>
      <c r="J1475" s="11" t="n"/>
      <c r="K1475" s="11" t="n"/>
      <c r="L1475" s="11" t="n"/>
      <c r="M1475" s="11" t="n"/>
    </row>
    <row r="1476">
      <c r="A1476" s="11" t="n"/>
      <c r="B1476" s="11" t="n"/>
      <c r="C1476" s="11" t="n"/>
      <c r="D1476" s="11" t="n"/>
      <c r="E1476" s="11" t="n"/>
      <c r="F1476" s="11" t="n"/>
      <c r="G1476" s="11" t="n"/>
      <c r="H1476" s="11" t="n"/>
      <c r="I1476" s="11" t="n"/>
      <c r="J1476" s="11" t="n"/>
      <c r="K1476" s="11" t="n"/>
      <c r="L1476" s="11" t="n"/>
      <c r="M1476" s="11" t="n"/>
    </row>
    <row r="1477">
      <c r="A1477" s="11" t="n"/>
      <c r="B1477" s="11" t="n"/>
      <c r="C1477" s="11" t="n"/>
      <c r="D1477" s="11" t="n"/>
      <c r="E1477" s="11" t="n"/>
      <c r="F1477" s="11" t="n"/>
      <c r="G1477" s="11" t="n"/>
      <c r="H1477" s="11" t="n"/>
      <c r="I1477" s="11" t="n"/>
      <c r="J1477" s="11" t="n"/>
      <c r="K1477" s="11" t="n"/>
      <c r="L1477" s="11" t="n"/>
      <c r="M1477" s="11" t="n"/>
    </row>
    <row r="1478">
      <c r="A1478" s="11" t="n"/>
      <c r="B1478" s="11" t="n"/>
      <c r="C1478" s="11" t="n"/>
      <c r="D1478" s="11" t="n"/>
      <c r="E1478" s="11" t="n"/>
      <c r="F1478" s="11" t="n"/>
      <c r="G1478" s="11" t="n"/>
      <c r="H1478" s="11" t="n"/>
      <c r="I1478" s="11" t="n"/>
      <c r="J1478" s="11" t="n"/>
      <c r="K1478" s="11" t="n"/>
      <c r="L1478" s="11" t="n"/>
      <c r="M1478" s="11" t="n"/>
    </row>
    <row r="1479">
      <c r="A1479" s="11" t="n"/>
      <c r="B1479" s="11" t="n"/>
      <c r="C1479" s="11" t="n"/>
      <c r="D1479" s="11" t="n"/>
      <c r="E1479" s="11" t="n"/>
      <c r="F1479" s="11" t="n"/>
      <c r="G1479" s="11" t="n"/>
      <c r="H1479" s="11" t="n"/>
      <c r="I1479" s="11" t="n"/>
      <c r="J1479" s="11" t="n"/>
      <c r="K1479" s="11" t="n"/>
      <c r="L1479" s="11" t="n"/>
      <c r="M1479" s="11" t="n"/>
    </row>
    <row r="1480">
      <c r="A1480" s="11" t="n"/>
      <c r="B1480" s="11" t="n"/>
      <c r="C1480" s="11" t="n"/>
      <c r="D1480" s="11" t="n"/>
      <c r="E1480" s="11" t="n"/>
      <c r="F1480" s="11" t="n"/>
      <c r="G1480" s="11" t="n"/>
      <c r="H1480" s="11" t="n"/>
      <c r="I1480" s="11" t="n"/>
      <c r="J1480" s="11" t="n"/>
      <c r="K1480" s="11" t="n"/>
      <c r="L1480" s="11" t="n"/>
      <c r="M1480" s="11" t="n"/>
    </row>
    <row r="1481">
      <c r="A1481" s="11" t="n"/>
      <c r="B1481" s="11" t="n"/>
      <c r="C1481" s="11" t="n"/>
      <c r="D1481" s="11" t="n"/>
      <c r="E1481" s="11" t="n"/>
      <c r="F1481" s="11" t="n"/>
      <c r="G1481" s="11" t="n"/>
      <c r="H1481" s="11" t="n"/>
      <c r="I1481" s="11" t="n"/>
      <c r="J1481" s="11" t="n"/>
      <c r="K1481" s="11" t="n"/>
      <c r="L1481" s="11" t="n"/>
      <c r="M1481" s="11" t="n"/>
    </row>
    <row r="1482">
      <c r="A1482" s="11" t="n"/>
      <c r="B1482" s="11" t="n"/>
      <c r="C1482" s="11" t="n"/>
      <c r="D1482" s="11" t="n"/>
      <c r="E1482" s="11" t="n"/>
      <c r="F1482" s="11" t="n"/>
      <c r="G1482" s="11" t="n"/>
      <c r="H1482" s="11" t="n"/>
      <c r="I1482" s="11" t="n"/>
      <c r="J1482" s="11" t="n"/>
      <c r="K1482" s="11" t="n"/>
      <c r="L1482" s="11" t="n"/>
      <c r="M1482" s="11" t="n"/>
    </row>
    <row r="1483">
      <c r="A1483" s="11" t="n"/>
      <c r="B1483" s="11" t="n"/>
      <c r="C1483" s="11" t="n"/>
      <c r="D1483" s="11" t="n"/>
      <c r="E1483" s="11" t="n"/>
      <c r="F1483" s="11" t="n"/>
      <c r="G1483" s="11" t="n"/>
      <c r="H1483" s="11" t="n"/>
      <c r="I1483" s="11" t="n"/>
      <c r="J1483" s="11" t="n"/>
      <c r="K1483" s="11" t="n"/>
      <c r="L1483" s="11" t="n"/>
      <c r="M1483" s="11" t="n"/>
    </row>
    <row r="1484">
      <c r="A1484" s="11" t="n"/>
      <c r="B1484" s="11" t="n"/>
      <c r="C1484" s="11" t="n"/>
      <c r="D1484" s="11" t="n"/>
      <c r="E1484" s="11" t="n"/>
      <c r="F1484" s="11" t="n"/>
      <c r="G1484" s="11" t="n"/>
      <c r="H1484" s="11" t="n"/>
      <c r="I1484" s="11" t="n"/>
      <c r="J1484" s="11" t="n"/>
      <c r="K1484" s="11" t="n"/>
      <c r="L1484" s="11" t="n"/>
      <c r="M1484" s="11" t="n"/>
    </row>
    <row r="1485">
      <c r="A1485" s="11" t="n"/>
      <c r="B1485" s="11" t="n"/>
      <c r="C1485" s="11" t="n"/>
      <c r="D1485" s="11" t="n"/>
      <c r="E1485" s="11" t="n"/>
      <c r="F1485" s="11" t="n"/>
      <c r="G1485" s="11" t="n"/>
      <c r="H1485" s="11" t="n"/>
      <c r="I1485" s="11" t="n"/>
      <c r="J1485" s="11" t="n"/>
      <c r="K1485" s="11" t="n"/>
      <c r="L1485" s="11" t="n"/>
      <c r="M1485" s="11" t="n"/>
    </row>
    <row r="1486">
      <c r="A1486" s="11" t="n"/>
      <c r="B1486" s="11" t="n"/>
      <c r="C1486" s="11" t="n"/>
      <c r="D1486" s="11" t="n"/>
      <c r="E1486" s="11" t="n"/>
      <c r="F1486" s="11" t="n"/>
      <c r="G1486" s="11" t="n"/>
      <c r="H1486" s="11" t="n"/>
      <c r="I1486" s="11" t="n"/>
      <c r="J1486" s="11" t="n"/>
      <c r="K1486" s="11" t="n"/>
      <c r="L1486" s="11" t="n"/>
      <c r="M1486" s="11" t="n"/>
    </row>
    <row r="1487">
      <c r="A1487" s="11" t="n"/>
      <c r="B1487" s="11" t="n"/>
      <c r="C1487" s="11" t="n"/>
      <c r="D1487" s="11" t="n"/>
      <c r="E1487" s="11" t="n"/>
      <c r="F1487" s="11" t="n"/>
      <c r="G1487" s="11" t="n"/>
      <c r="H1487" s="11" t="n"/>
      <c r="I1487" s="11" t="n"/>
      <c r="J1487" s="11" t="n"/>
      <c r="K1487" s="11" t="n"/>
      <c r="L1487" s="11" t="n"/>
      <c r="M1487" s="11" t="n"/>
    </row>
    <row r="1488">
      <c r="A1488" s="11" t="n"/>
      <c r="B1488" s="11" t="n"/>
      <c r="C1488" s="11" t="n"/>
      <c r="D1488" s="11" t="n"/>
      <c r="E1488" s="11" t="n"/>
      <c r="F1488" s="11" t="n"/>
      <c r="G1488" s="11" t="n"/>
      <c r="H1488" s="11" t="n"/>
      <c r="I1488" s="11" t="n"/>
      <c r="J1488" s="11" t="n"/>
      <c r="K1488" s="11" t="n"/>
      <c r="L1488" s="11" t="n"/>
      <c r="M1488" s="11" t="n"/>
    </row>
    <row r="1489">
      <c r="A1489" s="11" t="n"/>
      <c r="B1489" s="11" t="n"/>
      <c r="C1489" s="11" t="n"/>
      <c r="D1489" s="11" t="n"/>
      <c r="E1489" s="11" t="n"/>
      <c r="F1489" s="11" t="n"/>
      <c r="G1489" s="11" t="n"/>
      <c r="H1489" s="11" t="n"/>
      <c r="I1489" s="11" t="n"/>
      <c r="J1489" s="11" t="n"/>
      <c r="K1489" s="11" t="n"/>
      <c r="L1489" s="11" t="n"/>
      <c r="M1489" s="11" t="n"/>
    </row>
    <row r="1490">
      <c r="A1490" s="11" t="n"/>
      <c r="B1490" s="11" t="n"/>
      <c r="C1490" s="11" t="n"/>
      <c r="D1490" s="11" t="n"/>
      <c r="E1490" s="11" t="n"/>
      <c r="F1490" s="11" t="n"/>
      <c r="G1490" s="11" t="n"/>
      <c r="H1490" s="11" t="n"/>
      <c r="I1490" s="11" t="n"/>
      <c r="J1490" s="11" t="n"/>
      <c r="K1490" s="11" t="n"/>
      <c r="L1490" s="11" t="n"/>
      <c r="M1490" s="11" t="n"/>
    </row>
    <row r="1491">
      <c r="A1491" s="11" t="n"/>
      <c r="B1491" s="11" t="n"/>
      <c r="C1491" s="11" t="n"/>
      <c r="D1491" s="11" t="n"/>
      <c r="E1491" s="11" t="n"/>
      <c r="F1491" s="11" t="n"/>
      <c r="G1491" s="11" t="n"/>
      <c r="H1491" s="11" t="n"/>
      <c r="I1491" s="11" t="n"/>
      <c r="J1491" s="11" t="n"/>
      <c r="K1491" s="11" t="n"/>
      <c r="L1491" s="11" t="n"/>
      <c r="M1491" s="11" t="n"/>
    </row>
    <row r="1492">
      <c r="A1492" s="11" t="n"/>
      <c r="B1492" s="11" t="n"/>
      <c r="C1492" s="11" t="n"/>
      <c r="D1492" s="11" t="n"/>
      <c r="E1492" s="11" t="n"/>
      <c r="F1492" s="11" t="n"/>
      <c r="G1492" s="11" t="n"/>
      <c r="H1492" s="11" t="n"/>
      <c r="I1492" s="11" t="n"/>
      <c r="J1492" s="11" t="n"/>
      <c r="K1492" s="11" t="n"/>
      <c r="L1492" s="11" t="n"/>
      <c r="M1492" s="11" t="n"/>
    </row>
    <row r="1493">
      <c r="A1493" s="11" t="n"/>
      <c r="B1493" s="11" t="n"/>
      <c r="C1493" s="11" t="n"/>
      <c r="D1493" s="11" t="n"/>
      <c r="E1493" s="11" t="n"/>
      <c r="F1493" s="11" t="n"/>
      <c r="G1493" s="11" t="n"/>
      <c r="H1493" s="11" t="n"/>
      <c r="I1493" s="11" t="n"/>
      <c r="J1493" s="11" t="n"/>
      <c r="K1493" s="11" t="n"/>
      <c r="L1493" s="11" t="n"/>
      <c r="M1493" s="11" t="n"/>
    </row>
    <row r="1494">
      <c r="A1494" s="11" t="n"/>
      <c r="B1494" s="11" t="n"/>
      <c r="C1494" s="11" t="n"/>
      <c r="D1494" s="11" t="n"/>
      <c r="E1494" s="11" t="n"/>
      <c r="F1494" s="11" t="n"/>
      <c r="G1494" s="11" t="n"/>
      <c r="H1494" s="11" t="n"/>
      <c r="I1494" s="11" t="n"/>
      <c r="J1494" s="11" t="n"/>
      <c r="K1494" s="11" t="n"/>
      <c r="L1494" s="11" t="n"/>
      <c r="M1494" s="11" t="n"/>
    </row>
    <row r="1495">
      <c r="A1495" s="11" t="n"/>
      <c r="B1495" s="11" t="n"/>
      <c r="C1495" s="11" t="n"/>
      <c r="D1495" s="11" t="n"/>
      <c r="E1495" s="11" t="n"/>
      <c r="F1495" s="11" t="n"/>
      <c r="G1495" s="11" t="n"/>
      <c r="H1495" s="11" t="n"/>
      <c r="I1495" s="11" t="n"/>
      <c r="J1495" s="11" t="n"/>
      <c r="K1495" s="11" t="n"/>
      <c r="L1495" s="11" t="n"/>
      <c r="M1495" s="11" t="n"/>
    </row>
    <row r="1496">
      <c r="A1496" s="11" t="n"/>
      <c r="B1496" s="11" t="n"/>
      <c r="C1496" s="11" t="n"/>
      <c r="D1496" s="11" t="n"/>
      <c r="E1496" s="11" t="n"/>
      <c r="F1496" s="11" t="n"/>
      <c r="G1496" s="11" t="n"/>
      <c r="H1496" s="11" t="n"/>
      <c r="I1496" s="11" t="n"/>
      <c r="J1496" s="11" t="n"/>
      <c r="K1496" s="11" t="n"/>
      <c r="L1496" s="11" t="n"/>
      <c r="M1496" s="11" t="n"/>
    </row>
    <row r="1497">
      <c r="A1497" s="11" t="n"/>
      <c r="B1497" s="11" t="n"/>
      <c r="C1497" s="11" t="n"/>
      <c r="D1497" s="11" t="n"/>
      <c r="E1497" s="11" t="n"/>
      <c r="F1497" s="11" t="n"/>
      <c r="G1497" s="11" t="n"/>
      <c r="H1497" s="11" t="n"/>
      <c r="I1497" s="11" t="n"/>
      <c r="J1497" s="11" t="n"/>
      <c r="K1497" s="11" t="n"/>
      <c r="L1497" s="11" t="n"/>
      <c r="M1497" s="11" t="n"/>
    </row>
    <row r="1498">
      <c r="A1498" s="11" t="n"/>
      <c r="B1498" s="11" t="n"/>
      <c r="C1498" s="11" t="n"/>
      <c r="D1498" s="11" t="n"/>
      <c r="E1498" s="11" t="n"/>
      <c r="F1498" s="11" t="n"/>
      <c r="G1498" s="11" t="n"/>
      <c r="H1498" s="11" t="n"/>
      <c r="I1498" s="11" t="n"/>
      <c r="J1498" s="11" t="n"/>
      <c r="K1498" s="11" t="n"/>
      <c r="L1498" s="11" t="n"/>
      <c r="M1498" s="11" t="n"/>
    </row>
    <row r="1499">
      <c r="A1499" s="11" t="n"/>
      <c r="B1499" s="11" t="n"/>
      <c r="C1499" s="11" t="n"/>
      <c r="D1499" s="11" t="n"/>
      <c r="E1499" s="11" t="n"/>
      <c r="F1499" s="11" t="n"/>
      <c r="G1499" s="11" t="n"/>
      <c r="H1499" s="11" t="n"/>
      <c r="I1499" s="11" t="n"/>
      <c r="J1499" s="11" t="n"/>
      <c r="K1499" s="11" t="n"/>
      <c r="L1499" s="11" t="n"/>
      <c r="M1499" s="11" t="n"/>
    </row>
    <row r="1500">
      <c r="A1500" s="11" t="n"/>
      <c r="B1500" s="11" t="n"/>
      <c r="C1500" s="11" t="n"/>
      <c r="D1500" s="11" t="n"/>
      <c r="E1500" s="11" t="n"/>
      <c r="F1500" s="11" t="n"/>
      <c r="G1500" s="11" t="n"/>
      <c r="H1500" s="11" t="n"/>
      <c r="I1500" s="11" t="n"/>
      <c r="J1500" s="11" t="n"/>
      <c r="K1500" s="11" t="n"/>
      <c r="L1500" s="11" t="n"/>
      <c r="M1500" s="11" t="n"/>
    </row>
    <row r="1501">
      <c r="A1501" s="11" t="n"/>
      <c r="B1501" s="11" t="n"/>
      <c r="C1501" s="11" t="n"/>
      <c r="D1501" s="11" t="n"/>
      <c r="E1501" s="11" t="n"/>
      <c r="F1501" s="11" t="n"/>
      <c r="G1501" s="11" t="n"/>
      <c r="H1501" s="11" t="n"/>
      <c r="I1501" s="11" t="n"/>
      <c r="J1501" s="11" t="n"/>
      <c r="K1501" s="11" t="n"/>
      <c r="L1501" s="11" t="n"/>
      <c r="M1501" s="11" t="n"/>
    </row>
    <row r="1502">
      <c r="A1502" s="11" t="n"/>
      <c r="B1502" s="11" t="n"/>
      <c r="C1502" s="11" t="n"/>
      <c r="D1502" s="11" t="n"/>
      <c r="E1502" s="11" t="n"/>
      <c r="F1502" s="11" t="n"/>
      <c r="G1502" s="11" t="n"/>
      <c r="H1502" s="11" t="n"/>
      <c r="I1502" s="11" t="n"/>
      <c r="J1502" s="11" t="n"/>
      <c r="K1502" s="11" t="n"/>
      <c r="L1502" s="11" t="n"/>
      <c r="M1502" s="11" t="n"/>
    </row>
    <row r="1503">
      <c r="A1503" s="11" t="n"/>
      <c r="B1503" s="11" t="n"/>
      <c r="C1503" s="11" t="n"/>
      <c r="D1503" s="11" t="n"/>
      <c r="E1503" s="11" t="n"/>
      <c r="F1503" s="11" t="n"/>
      <c r="G1503" s="11" t="n"/>
      <c r="H1503" s="11" t="n"/>
      <c r="I1503" s="11" t="n"/>
      <c r="J1503" s="11" t="n"/>
      <c r="K1503" s="11" t="n"/>
      <c r="L1503" s="11" t="n"/>
      <c r="M1503" s="11" t="n"/>
    </row>
    <row r="1504">
      <c r="A1504" s="11" t="n"/>
      <c r="B1504" s="11" t="n"/>
      <c r="C1504" s="11" t="n"/>
      <c r="D1504" s="11" t="n"/>
      <c r="E1504" s="11" t="n"/>
      <c r="F1504" s="11" t="n"/>
      <c r="G1504" s="11" t="n"/>
      <c r="H1504" s="11" t="n"/>
      <c r="I1504" s="11" t="n"/>
      <c r="J1504" s="11" t="n"/>
      <c r="K1504" s="11" t="n"/>
      <c r="L1504" s="11" t="n"/>
      <c r="M1504" s="11" t="n"/>
    </row>
    <row r="1505">
      <c r="A1505" s="11" t="n"/>
      <c r="B1505" s="11" t="n"/>
      <c r="C1505" s="11" t="n"/>
      <c r="D1505" s="11" t="n"/>
      <c r="E1505" s="11" t="n"/>
      <c r="F1505" s="11" t="n"/>
      <c r="G1505" s="11" t="n"/>
      <c r="H1505" s="11" t="n"/>
      <c r="I1505" s="11" t="n"/>
      <c r="J1505" s="11" t="n"/>
      <c r="K1505" s="11" t="n"/>
      <c r="L1505" s="11" t="n"/>
      <c r="M1505" s="11" t="n"/>
    </row>
    <row r="1506">
      <c r="A1506" s="11" t="n"/>
      <c r="B1506" s="11" t="n"/>
      <c r="C1506" s="11" t="n"/>
      <c r="D1506" s="11" t="n"/>
      <c r="E1506" s="11" t="n"/>
      <c r="F1506" s="11" t="n"/>
      <c r="G1506" s="11" t="n"/>
      <c r="H1506" s="11" t="n"/>
      <c r="I1506" s="11" t="n"/>
      <c r="J1506" s="11" t="n"/>
      <c r="K1506" s="11" t="n"/>
      <c r="L1506" s="11" t="n"/>
      <c r="M1506" s="11" t="n"/>
    </row>
    <row r="1507">
      <c r="A1507" s="11" t="n"/>
      <c r="B1507" s="11" t="n"/>
      <c r="C1507" s="11" t="n"/>
      <c r="D1507" s="11" t="n"/>
      <c r="E1507" s="11" t="n"/>
      <c r="F1507" s="11" t="n"/>
      <c r="G1507" s="11" t="n"/>
      <c r="H1507" s="11" t="n"/>
      <c r="I1507" s="11" t="n"/>
      <c r="J1507" s="11" t="n"/>
      <c r="K1507" s="11" t="n"/>
      <c r="L1507" s="11" t="n"/>
      <c r="M1507" s="11" t="n"/>
    </row>
    <row r="1508">
      <c r="A1508" s="11" t="n"/>
      <c r="B1508" s="11" t="n"/>
      <c r="C1508" s="11" t="n"/>
      <c r="D1508" s="11" t="n"/>
      <c r="E1508" s="11" t="n"/>
      <c r="F1508" s="11" t="n"/>
      <c r="G1508" s="11" t="n"/>
      <c r="H1508" s="11" t="n"/>
      <c r="I1508" s="11" t="n"/>
      <c r="J1508" s="11" t="n"/>
      <c r="K1508" s="11" t="n"/>
      <c r="L1508" s="11" t="n"/>
      <c r="M1508" s="11" t="n"/>
    </row>
    <row r="1509">
      <c r="A1509" s="11" t="n"/>
      <c r="B1509" s="11" t="n"/>
      <c r="C1509" s="11" t="n"/>
      <c r="D1509" s="11" t="n"/>
      <c r="E1509" s="11" t="n"/>
      <c r="F1509" s="11" t="n"/>
      <c r="G1509" s="11" t="n"/>
      <c r="H1509" s="11" t="n"/>
      <c r="I1509" s="11" t="n"/>
      <c r="J1509" s="11" t="n"/>
      <c r="K1509" s="11" t="n"/>
      <c r="L1509" s="11" t="n"/>
      <c r="M1509" s="11" t="n"/>
    </row>
    <row r="1510">
      <c r="A1510" s="11" t="n"/>
      <c r="B1510" s="11" t="n"/>
      <c r="C1510" s="11" t="n"/>
      <c r="D1510" s="11" t="n"/>
      <c r="E1510" s="11" t="n"/>
      <c r="F1510" s="11" t="n"/>
      <c r="G1510" s="11" t="n"/>
      <c r="H1510" s="11" t="n"/>
      <c r="I1510" s="11" t="n"/>
      <c r="J1510" s="11" t="n"/>
      <c r="K1510" s="11" t="n"/>
      <c r="L1510" s="11" t="n"/>
      <c r="M1510" s="11" t="n"/>
    </row>
    <row r="1511">
      <c r="A1511" s="11" t="n"/>
      <c r="B1511" s="11" t="n"/>
      <c r="C1511" s="11" t="n"/>
      <c r="D1511" s="11" t="n"/>
      <c r="E1511" s="11" t="n"/>
      <c r="F1511" s="11" t="n"/>
      <c r="G1511" s="11" t="n"/>
      <c r="H1511" s="11" t="n"/>
      <c r="I1511" s="11" t="n"/>
      <c r="J1511" s="11" t="n"/>
      <c r="K1511" s="11" t="n"/>
      <c r="L1511" s="11" t="n"/>
      <c r="M1511" s="11" t="n"/>
    </row>
    <row r="1512">
      <c r="A1512" s="11" t="n"/>
      <c r="B1512" s="11" t="n"/>
      <c r="C1512" s="11" t="n"/>
      <c r="D1512" s="11" t="n"/>
      <c r="E1512" s="11" t="n"/>
      <c r="F1512" s="11" t="n"/>
      <c r="G1512" s="11" t="n"/>
      <c r="H1512" s="11" t="n"/>
      <c r="I1512" s="11" t="n"/>
      <c r="J1512" s="11" t="n"/>
      <c r="K1512" s="11" t="n"/>
      <c r="L1512" s="11" t="n"/>
      <c r="M1512" s="11" t="n"/>
    </row>
    <row r="1513">
      <c r="A1513" s="11" t="n"/>
      <c r="B1513" s="11" t="n"/>
      <c r="C1513" s="11" t="n"/>
      <c r="D1513" s="11" t="n"/>
      <c r="E1513" s="11" t="n"/>
      <c r="F1513" s="11" t="n"/>
      <c r="G1513" s="11" t="n"/>
      <c r="H1513" s="11" t="n"/>
      <c r="I1513" s="11" t="n"/>
      <c r="J1513" s="11" t="n"/>
      <c r="K1513" s="11" t="n"/>
      <c r="L1513" s="11" t="n"/>
      <c r="M1513" s="11" t="n"/>
    </row>
    <row r="1514">
      <c r="A1514" s="11" t="n"/>
      <c r="B1514" s="11" t="n"/>
      <c r="C1514" s="11" t="n"/>
      <c r="D1514" s="11" t="n"/>
      <c r="E1514" s="11" t="n"/>
      <c r="F1514" s="11" t="n"/>
      <c r="G1514" s="11" t="n"/>
      <c r="H1514" s="11" t="n"/>
      <c r="I1514" s="11" t="n"/>
      <c r="J1514" s="11" t="n"/>
      <c r="K1514" s="11" t="n"/>
      <c r="L1514" s="11" t="n"/>
      <c r="M1514" s="11" t="n"/>
    </row>
    <row r="1515">
      <c r="A1515" s="11" t="n"/>
      <c r="B1515" s="11" t="n"/>
      <c r="C1515" s="11" t="n"/>
      <c r="D1515" s="11" t="n"/>
      <c r="E1515" s="11" t="n"/>
      <c r="F1515" s="11" t="n"/>
      <c r="G1515" s="11" t="n"/>
      <c r="H1515" s="11" t="n"/>
      <c r="I1515" s="11" t="n"/>
      <c r="J1515" s="11" t="n"/>
      <c r="K1515" s="11" t="n"/>
      <c r="L1515" s="11" t="n"/>
      <c r="M1515" s="11" t="n"/>
    </row>
    <row r="1516">
      <c r="A1516" s="11" t="n"/>
      <c r="B1516" s="11" t="n"/>
      <c r="C1516" s="11" t="n"/>
      <c r="D1516" s="11" t="n"/>
      <c r="E1516" s="11" t="n"/>
      <c r="F1516" s="11" t="n"/>
      <c r="G1516" s="11" t="n"/>
      <c r="H1516" s="11" t="n"/>
      <c r="I1516" s="11" t="n"/>
      <c r="J1516" s="11" t="n"/>
      <c r="K1516" s="11" t="n"/>
      <c r="L1516" s="11" t="n"/>
      <c r="M1516" s="11" t="n"/>
    </row>
    <row r="1517">
      <c r="A1517" s="11" t="n"/>
      <c r="B1517" s="11" t="n"/>
      <c r="C1517" s="11" t="n"/>
      <c r="D1517" s="11" t="n"/>
      <c r="E1517" s="11" t="n"/>
      <c r="F1517" s="11" t="n"/>
      <c r="G1517" s="11" t="n"/>
      <c r="H1517" s="11" t="n"/>
      <c r="I1517" s="11" t="n"/>
      <c r="J1517" s="11" t="n"/>
      <c r="K1517" s="11" t="n"/>
      <c r="L1517" s="11" t="n"/>
      <c r="M1517" s="11" t="n"/>
    </row>
    <row r="1518">
      <c r="A1518" s="11" t="n"/>
      <c r="B1518" s="11" t="n"/>
      <c r="C1518" s="11" t="n"/>
      <c r="D1518" s="11" t="n"/>
      <c r="E1518" s="11" t="n"/>
      <c r="F1518" s="11" t="n"/>
      <c r="G1518" s="11" t="n"/>
      <c r="H1518" s="11" t="n"/>
      <c r="I1518" s="11" t="n"/>
      <c r="J1518" s="11" t="n"/>
      <c r="K1518" s="11" t="n"/>
      <c r="L1518" s="11" t="n"/>
      <c r="M1518" s="11" t="n"/>
    </row>
    <row r="1519">
      <c r="A1519" s="11" t="n"/>
      <c r="B1519" s="11" t="n"/>
      <c r="C1519" s="11" t="n"/>
      <c r="D1519" s="11" t="n"/>
      <c r="E1519" s="11" t="n"/>
      <c r="F1519" s="11" t="n"/>
      <c r="G1519" s="11" t="n"/>
      <c r="H1519" s="11" t="n"/>
      <c r="I1519" s="11" t="n"/>
      <c r="J1519" s="11" t="n"/>
      <c r="K1519" s="11" t="n"/>
      <c r="L1519" s="11" t="n"/>
      <c r="M1519" s="11" t="n"/>
    </row>
    <row r="1520">
      <c r="A1520" s="11" t="n"/>
      <c r="B1520" s="11" t="n"/>
      <c r="C1520" s="11" t="n"/>
      <c r="D1520" s="11" t="n"/>
      <c r="E1520" s="11" t="n"/>
      <c r="F1520" s="11" t="n"/>
      <c r="G1520" s="11" t="n"/>
      <c r="H1520" s="11" t="n"/>
      <c r="I1520" s="11" t="n"/>
      <c r="J1520" s="11" t="n"/>
      <c r="K1520" s="11" t="n"/>
      <c r="L1520" s="11" t="n"/>
      <c r="M1520" s="11" t="n"/>
    </row>
    <row r="1521">
      <c r="A1521" s="11" t="n"/>
      <c r="B1521" s="11" t="n"/>
      <c r="C1521" s="11" t="n"/>
      <c r="D1521" s="11" t="n"/>
      <c r="E1521" s="11" t="n"/>
      <c r="F1521" s="11" t="n"/>
      <c r="G1521" s="11" t="n"/>
      <c r="H1521" s="11" t="n"/>
      <c r="I1521" s="11" t="n"/>
      <c r="J1521" s="11" t="n"/>
      <c r="K1521" s="11" t="n"/>
      <c r="L1521" s="11" t="n"/>
      <c r="M1521" s="11" t="n"/>
    </row>
    <row r="1522">
      <c r="A1522" s="11" t="n"/>
      <c r="B1522" s="11" t="n"/>
      <c r="C1522" s="11" t="n"/>
      <c r="D1522" s="11" t="n"/>
      <c r="E1522" s="11" t="n"/>
      <c r="F1522" s="11" t="n"/>
      <c r="G1522" s="11" t="n"/>
      <c r="H1522" s="11" t="n"/>
      <c r="I1522" s="11" t="n"/>
      <c r="J1522" s="11" t="n"/>
      <c r="K1522" s="11" t="n"/>
      <c r="L1522" s="11" t="n"/>
      <c r="M1522" s="11" t="n"/>
    </row>
    <row r="1523">
      <c r="A1523" s="11" t="n"/>
      <c r="B1523" s="11" t="n"/>
      <c r="C1523" s="11" t="n"/>
      <c r="D1523" s="11" t="n"/>
      <c r="E1523" s="11" t="n"/>
      <c r="F1523" s="11" t="n"/>
      <c r="G1523" s="11" t="n"/>
      <c r="H1523" s="11" t="n"/>
      <c r="I1523" s="11" t="n"/>
      <c r="J1523" s="11" t="n"/>
      <c r="K1523" s="11" t="n"/>
      <c r="L1523" s="11" t="n"/>
      <c r="M1523" s="11" t="n"/>
    </row>
    <row r="1524">
      <c r="A1524" s="11" t="n"/>
      <c r="B1524" s="11" t="n"/>
      <c r="C1524" s="11" t="n"/>
      <c r="D1524" s="11" t="n"/>
      <c r="E1524" s="11" t="n"/>
      <c r="F1524" s="11" t="n"/>
      <c r="G1524" s="11" t="n"/>
      <c r="H1524" s="11" t="n"/>
      <c r="I1524" s="11" t="n"/>
      <c r="J1524" s="11" t="n"/>
      <c r="K1524" s="11" t="n"/>
      <c r="L1524" s="11" t="n"/>
      <c r="M1524" s="11" t="n"/>
    </row>
    <row r="1525">
      <c r="A1525" s="11" t="n"/>
      <c r="B1525" s="11" t="n"/>
      <c r="C1525" s="11" t="n"/>
      <c r="D1525" s="11" t="n"/>
      <c r="E1525" s="11" t="n"/>
      <c r="F1525" s="11" t="n"/>
      <c r="G1525" s="11" t="n"/>
      <c r="H1525" s="11" t="n"/>
      <c r="I1525" s="11" t="n"/>
      <c r="J1525" s="11" t="n"/>
      <c r="K1525" s="11" t="n"/>
      <c r="L1525" s="11" t="n"/>
      <c r="M1525" s="11" t="n"/>
    </row>
    <row r="1526">
      <c r="A1526" s="11" t="n"/>
      <c r="B1526" s="11" t="n"/>
      <c r="C1526" s="11" t="n"/>
      <c r="D1526" s="11" t="n"/>
      <c r="E1526" s="11" t="n"/>
      <c r="F1526" s="11" t="n"/>
      <c r="G1526" s="11" t="n"/>
      <c r="H1526" s="11" t="n"/>
      <c r="I1526" s="11" t="n"/>
      <c r="J1526" s="11" t="n"/>
      <c r="K1526" s="11" t="n"/>
      <c r="L1526" s="11" t="n"/>
      <c r="M1526" s="11" t="n"/>
    </row>
    <row r="1527">
      <c r="A1527" s="11" t="n"/>
      <c r="B1527" s="11" t="n"/>
      <c r="C1527" s="11" t="n"/>
      <c r="D1527" s="11" t="n"/>
      <c r="E1527" s="11" t="n"/>
      <c r="F1527" s="11" t="n"/>
      <c r="G1527" s="11" t="n"/>
      <c r="H1527" s="11" t="n"/>
      <c r="I1527" s="11" t="n"/>
      <c r="J1527" s="11" t="n"/>
      <c r="K1527" s="11" t="n"/>
      <c r="L1527" s="11" t="n"/>
      <c r="M1527" s="11" t="n"/>
    </row>
    <row r="1528">
      <c r="A1528" s="11" t="n"/>
      <c r="B1528" s="11" t="n"/>
      <c r="C1528" s="11" t="n"/>
      <c r="D1528" s="11" t="n"/>
      <c r="E1528" s="11" t="n"/>
      <c r="F1528" s="11" t="n"/>
      <c r="G1528" s="11" t="n"/>
      <c r="H1528" s="11" t="n"/>
      <c r="I1528" s="11" t="n"/>
      <c r="J1528" s="11" t="n"/>
      <c r="K1528" s="11" t="n"/>
      <c r="L1528" s="11" t="n"/>
      <c r="M1528" s="11" t="n"/>
    </row>
    <row r="1529">
      <c r="A1529" s="11" t="n"/>
      <c r="B1529" s="11" t="n"/>
      <c r="C1529" s="11" t="n"/>
      <c r="D1529" s="11" t="n"/>
      <c r="E1529" s="11" t="n"/>
      <c r="F1529" s="11" t="n"/>
      <c r="G1529" s="11" t="n"/>
      <c r="H1529" s="11" t="n"/>
      <c r="I1529" s="11" t="n"/>
      <c r="J1529" s="11" t="n"/>
      <c r="K1529" s="11" t="n"/>
      <c r="L1529" s="11" t="n"/>
      <c r="M1529" s="11" t="n"/>
    </row>
    <row r="1530">
      <c r="A1530" s="11" t="n"/>
      <c r="B1530" s="11" t="n"/>
      <c r="C1530" s="11" t="n"/>
      <c r="D1530" s="11" t="n"/>
      <c r="E1530" s="11" t="n"/>
      <c r="F1530" s="11" t="n"/>
      <c r="G1530" s="11" t="n"/>
      <c r="H1530" s="11" t="n"/>
      <c r="I1530" s="11" t="n"/>
      <c r="J1530" s="11" t="n"/>
      <c r="K1530" s="11" t="n"/>
      <c r="L1530" s="11" t="n"/>
      <c r="M1530" s="11" t="n"/>
    </row>
    <row r="1531">
      <c r="A1531" s="11" t="n"/>
      <c r="B1531" s="11" t="n"/>
      <c r="C1531" s="11" t="n"/>
      <c r="D1531" s="11" t="n"/>
      <c r="E1531" s="11" t="n"/>
      <c r="F1531" s="11" t="n"/>
      <c r="G1531" s="11" t="n"/>
      <c r="H1531" s="11" t="n"/>
      <c r="I1531" s="11" t="n"/>
      <c r="J1531" s="11" t="n"/>
      <c r="K1531" s="11" t="n"/>
      <c r="L1531" s="11" t="n"/>
      <c r="M1531" s="11" t="n"/>
    </row>
    <row r="1532">
      <c r="A1532" s="11" t="n"/>
      <c r="B1532" s="11" t="n"/>
      <c r="C1532" s="11" t="n"/>
      <c r="D1532" s="11" t="n"/>
      <c r="E1532" s="11" t="n"/>
      <c r="F1532" s="11" t="n"/>
      <c r="G1532" s="11" t="n"/>
      <c r="H1532" s="11" t="n"/>
      <c r="I1532" s="11" t="n"/>
      <c r="J1532" s="11" t="n"/>
      <c r="K1532" s="11" t="n"/>
      <c r="L1532" s="11" t="n"/>
      <c r="M1532" s="11" t="n"/>
    </row>
    <row r="1533">
      <c r="A1533" s="11" t="n"/>
      <c r="B1533" s="11" t="n"/>
      <c r="C1533" s="11" t="n"/>
      <c r="D1533" s="11" t="n"/>
      <c r="E1533" s="11" t="n"/>
      <c r="F1533" s="11" t="n"/>
      <c r="G1533" s="11" t="n"/>
      <c r="H1533" s="11" t="n"/>
      <c r="I1533" s="11" t="n"/>
      <c r="J1533" s="11" t="n"/>
      <c r="K1533" s="11" t="n"/>
      <c r="L1533" s="11" t="n"/>
      <c r="M1533" s="11" t="n"/>
    </row>
    <row r="1534">
      <c r="A1534" s="11" t="n"/>
      <c r="B1534" s="11" t="n"/>
      <c r="C1534" s="11" t="n"/>
      <c r="D1534" s="11" t="n"/>
      <c r="E1534" s="11" t="n"/>
      <c r="F1534" s="11" t="n"/>
      <c r="G1534" s="11" t="n"/>
      <c r="H1534" s="11" t="n"/>
      <c r="I1534" s="11" t="n"/>
      <c r="J1534" s="11" t="n"/>
      <c r="K1534" s="11" t="n"/>
      <c r="L1534" s="11" t="n"/>
      <c r="M1534" s="11" t="n"/>
    </row>
    <row r="1535">
      <c r="A1535" s="11" t="n"/>
      <c r="B1535" s="11" t="n"/>
      <c r="C1535" s="11" t="n"/>
      <c r="D1535" s="11" t="n"/>
      <c r="E1535" s="11" t="n"/>
      <c r="F1535" s="11" t="n"/>
      <c r="G1535" s="11" t="n"/>
      <c r="H1535" s="11" t="n"/>
      <c r="I1535" s="11" t="n"/>
      <c r="J1535" s="11" t="n"/>
      <c r="K1535" s="11" t="n"/>
      <c r="L1535" s="11" t="n"/>
      <c r="M1535" s="11" t="n"/>
    </row>
    <row r="1536">
      <c r="A1536" s="11" t="n"/>
      <c r="B1536" s="11" t="n"/>
      <c r="C1536" s="11" t="n"/>
      <c r="D1536" s="11" t="n"/>
      <c r="E1536" s="11" t="n"/>
      <c r="F1536" s="11" t="n"/>
      <c r="G1536" s="11" t="n"/>
      <c r="H1536" s="11" t="n"/>
      <c r="I1536" s="11" t="n"/>
      <c r="J1536" s="11" t="n"/>
      <c r="K1536" s="11" t="n"/>
      <c r="L1536" s="11" t="n"/>
      <c r="M1536" s="11" t="n"/>
    </row>
    <row r="1537">
      <c r="A1537" s="11" t="n"/>
      <c r="B1537" s="11" t="n"/>
      <c r="C1537" s="11" t="n"/>
      <c r="D1537" s="11" t="n"/>
      <c r="E1537" s="11" t="n"/>
      <c r="F1537" s="11" t="n"/>
      <c r="G1537" s="11" t="n"/>
      <c r="H1537" s="11" t="n"/>
      <c r="I1537" s="11" t="n"/>
      <c r="J1537" s="11" t="n"/>
      <c r="K1537" s="11" t="n"/>
      <c r="L1537" s="11" t="n"/>
      <c r="M1537" s="11" t="n"/>
    </row>
    <row r="1538">
      <c r="A1538" s="11" t="n"/>
      <c r="B1538" s="11" t="n"/>
      <c r="C1538" s="11" t="n"/>
      <c r="D1538" s="11" t="n"/>
      <c r="E1538" s="11" t="n"/>
      <c r="F1538" s="11" t="n"/>
      <c r="G1538" s="11" t="n"/>
      <c r="H1538" s="11" t="n"/>
      <c r="I1538" s="11" t="n"/>
      <c r="J1538" s="11" t="n"/>
      <c r="K1538" s="11" t="n"/>
      <c r="L1538" s="11" t="n"/>
      <c r="M1538" s="11" t="n"/>
    </row>
    <row r="1539">
      <c r="A1539" s="11" t="n"/>
      <c r="B1539" s="11" t="n"/>
      <c r="C1539" s="11" t="n"/>
      <c r="D1539" s="11" t="n"/>
      <c r="E1539" s="11" t="n"/>
      <c r="F1539" s="11" t="n"/>
      <c r="G1539" s="11" t="n"/>
      <c r="H1539" s="11" t="n"/>
      <c r="I1539" s="11" t="n"/>
      <c r="J1539" s="11" t="n"/>
      <c r="K1539" s="11" t="n"/>
      <c r="L1539" s="11" t="n"/>
      <c r="M1539" s="11" t="n"/>
    </row>
    <row r="1540">
      <c r="A1540" s="11" t="n"/>
      <c r="B1540" s="11" t="n"/>
      <c r="C1540" s="11" t="n"/>
      <c r="D1540" s="11" t="n"/>
      <c r="E1540" s="11" t="n"/>
      <c r="F1540" s="11" t="n"/>
      <c r="G1540" s="11" t="n"/>
      <c r="H1540" s="11" t="n"/>
      <c r="I1540" s="11" t="n"/>
      <c r="J1540" s="11" t="n"/>
      <c r="K1540" s="11" t="n"/>
      <c r="L1540" s="11" t="n"/>
      <c r="M1540" s="11" t="n"/>
    </row>
    <row r="1541">
      <c r="A1541" s="11" t="n"/>
      <c r="B1541" s="11" t="n"/>
      <c r="C1541" s="11" t="n"/>
      <c r="D1541" s="11" t="n"/>
      <c r="E1541" s="11" t="n"/>
      <c r="F1541" s="11" t="n"/>
      <c r="G1541" s="11" t="n"/>
      <c r="H1541" s="11" t="n"/>
      <c r="I1541" s="11" t="n"/>
      <c r="J1541" s="11" t="n"/>
      <c r="K1541" s="11" t="n"/>
      <c r="L1541" s="11" t="n"/>
      <c r="M1541" s="11" t="n"/>
    </row>
    <row r="1542">
      <c r="A1542" s="11" t="n"/>
      <c r="B1542" s="11" t="n"/>
      <c r="C1542" s="11" t="n"/>
      <c r="D1542" s="11" t="n"/>
      <c r="E1542" s="11" t="n"/>
      <c r="F1542" s="11" t="n"/>
      <c r="G1542" s="11" t="n"/>
      <c r="H1542" s="11" t="n"/>
      <c r="I1542" s="11" t="n"/>
      <c r="J1542" s="11" t="n"/>
      <c r="K1542" s="11" t="n"/>
      <c r="L1542" s="11" t="n"/>
      <c r="M1542" s="11" t="n"/>
    </row>
    <row r="1543">
      <c r="A1543" s="11" t="n"/>
      <c r="B1543" s="11" t="n"/>
      <c r="C1543" s="11" t="n"/>
      <c r="D1543" s="11" t="n"/>
      <c r="E1543" s="11" t="n"/>
      <c r="F1543" s="11" t="n"/>
      <c r="G1543" s="11" t="n"/>
      <c r="H1543" s="11" t="n"/>
      <c r="I1543" s="11" t="n"/>
      <c r="J1543" s="11" t="n"/>
      <c r="K1543" s="11" t="n"/>
      <c r="L1543" s="11" t="n"/>
      <c r="M1543" s="11" t="n"/>
    </row>
    <row r="1544">
      <c r="A1544" s="11" t="n"/>
      <c r="B1544" s="11" t="n"/>
      <c r="C1544" s="11" t="n"/>
      <c r="D1544" s="11" t="n"/>
      <c r="E1544" s="11" t="n"/>
      <c r="F1544" s="11" t="n"/>
      <c r="G1544" s="11" t="n"/>
      <c r="H1544" s="11" t="n"/>
      <c r="I1544" s="11" t="n"/>
      <c r="J1544" s="11" t="n"/>
      <c r="K1544" s="11" t="n"/>
      <c r="L1544" s="11" t="n"/>
      <c r="M1544" s="11" t="n"/>
    </row>
    <row r="1545">
      <c r="A1545" s="11" t="n"/>
      <c r="B1545" s="11" t="n"/>
      <c r="C1545" s="11" t="n"/>
      <c r="D1545" s="11" t="n"/>
      <c r="E1545" s="11" t="n"/>
      <c r="F1545" s="11" t="n"/>
      <c r="G1545" s="11" t="n"/>
      <c r="H1545" s="11" t="n"/>
      <c r="I1545" s="11" t="n"/>
      <c r="J1545" s="11" t="n"/>
      <c r="K1545" s="11" t="n"/>
      <c r="L1545" s="11" t="n"/>
      <c r="M1545" s="11" t="n"/>
    </row>
    <row r="1546">
      <c r="A1546" s="11" t="n"/>
      <c r="B1546" s="11" t="n"/>
      <c r="C1546" s="11" t="n"/>
      <c r="D1546" s="11" t="n"/>
      <c r="E1546" s="11" t="n"/>
      <c r="F1546" s="11" t="n"/>
      <c r="G1546" s="11" t="n"/>
      <c r="H1546" s="11" t="n"/>
      <c r="I1546" s="11" t="n"/>
      <c r="J1546" s="11" t="n"/>
      <c r="K1546" s="11" t="n"/>
      <c r="L1546" s="11" t="n"/>
      <c r="M1546" s="11" t="n"/>
    </row>
    <row r="1547">
      <c r="A1547" s="11" t="n"/>
      <c r="B1547" s="11" t="n"/>
      <c r="C1547" s="11" t="n"/>
      <c r="D1547" s="11" t="n"/>
      <c r="E1547" s="11" t="n"/>
      <c r="F1547" s="11" t="n"/>
      <c r="G1547" s="11" t="n"/>
      <c r="H1547" s="11" t="n"/>
      <c r="I1547" s="11" t="n"/>
      <c r="J1547" s="11" t="n"/>
      <c r="K1547" s="11" t="n"/>
      <c r="L1547" s="11" t="n"/>
      <c r="M1547" s="11" t="n"/>
    </row>
    <row r="1548">
      <c r="A1548" s="11" t="n"/>
      <c r="B1548" s="11" t="n"/>
      <c r="C1548" s="11" t="n"/>
      <c r="D1548" s="11" t="n"/>
      <c r="E1548" s="11" t="n"/>
      <c r="F1548" s="11" t="n"/>
      <c r="G1548" s="11" t="n"/>
      <c r="H1548" s="11" t="n"/>
      <c r="I1548" s="11" t="n"/>
      <c r="J1548" s="11" t="n"/>
      <c r="K1548" s="11" t="n"/>
      <c r="L1548" s="11" t="n"/>
      <c r="M1548" s="11" t="n"/>
    </row>
    <row r="1549">
      <c r="A1549" s="11" t="n"/>
      <c r="B1549" s="11" t="n"/>
      <c r="C1549" s="11" t="n"/>
      <c r="D1549" s="11" t="n"/>
      <c r="E1549" s="11" t="n"/>
      <c r="F1549" s="11" t="n"/>
      <c r="G1549" s="11" t="n"/>
      <c r="H1549" s="11" t="n"/>
      <c r="I1549" s="11" t="n"/>
      <c r="J1549" s="11" t="n"/>
      <c r="K1549" s="11" t="n"/>
      <c r="L1549" s="11" t="n"/>
      <c r="M1549" s="11" t="n"/>
    </row>
    <row r="1550">
      <c r="A1550" s="11" t="n"/>
      <c r="B1550" s="11" t="n"/>
      <c r="C1550" s="11" t="n"/>
      <c r="D1550" s="11" t="n"/>
      <c r="E1550" s="11" t="n"/>
      <c r="F1550" s="11" t="n"/>
      <c r="G1550" s="11" t="n"/>
      <c r="H1550" s="11" t="n"/>
      <c r="I1550" s="11" t="n"/>
      <c r="J1550" s="11" t="n"/>
      <c r="K1550" s="11" t="n"/>
      <c r="L1550" s="11" t="n"/>
      <c r="M1550" s="11" t="n"/>
    </row>
    <row r="1551">
      <c r="A1551" s="11" t="n"/>
      <c r="B1551" s="11" t="n"/>
      <c r="C1551" s="11" t="n"/>
      <c r="D1551" s="11" t="n"/>
      <c r="E1551" s="11" t="n"/>
      <c r="F1551" s="11" t="n"/>
      <c r="G1551" s="11" t="n"/>
      <c r="H1551" s="11" t="n"/>
      <c r="I1551" s="11" t="n"/>
      <c r="J1551" s="11" t="n"/>
      <c r="K1551" s="11" t="n"/>
      <c r="L1551" s="11" t="n"/>
      <c r="M1551" s="11" t="n"/>
    </row>
    <row r="1552">
      <c r="A1552" s="11" t="n"/>
      <c r="B1552" s="11" t="n"/>
      <c r="C1552" s="11" t="n"/>
      <c r="D1552" s="11" t="n"/>
      <c r="E1552" s="11" t="n"/>
      <c r="F1552" s="11" t="n"/>
      <c r="G1552" s="11" t="n"/>
      <c r="H1552" s="11" t="n"/>
      <c r="I1552" s="11" t="n"/>
      <c r="J1552" s="11" t="n"/>
      <c r="K1552" s="11" t="n"/>
      <c r="L1552" s="11" t="n"/>
      <c r="M1552" s="11" t="n"/>
    </row>
    <row r="1553">
      <c r="A1553" s="11" t="n"/>
      <c r="B1553" s="11" t="n"/>
      <c r="C1553" s="11" t="n"/>
      <c r="D1553" s="11" t="n"/>
      <c r="E1553" s="11" t="n"/>
      <c r="F1553" s="11" t="n"/>
      <c r="G1553" s="11" t="n"/>
      <c r="H1553" s="11" t="n"/>
      <c r="I1553" s="11" t="n"/>
      <c r="J1553" s="11" t="n"/>
      <c r="K1553" s="11" t="n"/>
      <c r="L1553" s="11" t="n"/>
      <c r="M1553" s="11" t="n"/>
    </row>
    <row r="1554">
      <c r="A1554" s="11" t="n"/>
      <c r="B1554" s="11" t="n"/>
      <c r="C1554" s="11" t="n"/>
      <c r="D1554" s="11" t="n"/>
      <c r="E1554" s="11" t="n"/>
      <c r="F1554" s="11" t="n"/>
      <c r="G1554" s="11" t="n"/>
      <c r="H1554" s="11" t="n"/>
      <c r="I1554" s="11" t="n"/>
      <c r="J1554" s="11" t="n"/>
      <c r="K1554" s="11" t="n"/>
      <c r="L1554" s="11" t="n"/>
      <c r="M1554" s="11" t="n"/>
    </row>
    <row r="1555">
      <c r="A1555" s="11" t="n"/>
      <c r="B1555" s="11" t="n"/>
      <c r="C1555" s="11" t="n"/>
      <c r="D1555" s="11" t="n"/>
      <c r="E1555" s="11" t="n"/>
      <c r="F1555" s="11" t="n"/>
      <c r="G1555" s="11" t="n"/>
      <c r="H1555" s="11" t="n"/>
      <c r="I1555" s="11" t="n"/>
      <c r="J1555" s="11" t="n"/>
      <c r="K1555" s="11" t="n"/>
      <c r="L1555" s="11" t="n"/>
      <c r="M1555" s="11" t="n"/>
    </row>
    <row r="1556">
      <c r="A1556" s="11" t="n"/>
      <c r="B1556" s="11" t="n"/>
      <c r="C1556" s="11" t="n"/>
      <c r="D1556" s="11" t="n"/>
      <c r="E1556" s="11" t="n"/>
      <c r="F1556" s="11" t="n"/>
      <c r="G1556" s="11" t="n"/>
      <c r="H1556" s="11" t="n"/>
      <c r="I1556" s="11" t="n"/>
      <c r="J1556" s="11" t="n"/>
      <c r="K1556" s="11" t="n"/>
      <c r="L1556" s="11" t="n"/>
      <c r="M1556" s="11" t="n"/>
    </row>
    <row r="1557">
      <c r="A1557" s="11" t="n"/>
      <c r="B1557" s="11" t="n"/>
      <c r="C1557" s="11" t="n"/>
      <c r="D1557" s="11" t="n"/>
      <c r="E1557" s="11" t="n"/>
      <c r="F1557" s="11" t="n"/>
      <c r="G1557" s="11" t="n"/>
      <c r="H1557" s="11" t="n"/>
      <c r="I1557" s="11" t="n"/>
      <c r="J1557" s="11" t="n"/>
      <c r="K1557" s="11" t="n"/>
      <c r="L1557" s="11" t="n"/>
      <c r="M1557" s="11" t="n"/>
    </row>
    <row r="1558">
      <c r="A1558" s="11" t="n"/>
      <c r="B1558" s="11" t="n"/>
      <c r="C1558" s="11" t="n"/>
      <c r="D1558" s="11" t="n"/>
      <c r="E1558" s="11" t="n"/>
      <c r="F1558" s="11" t="n"/>
      <c r="G1558" s="11" t="n"/>
      <c r="H1558" s="11" t="n"/>
      <c r="I1558" s="11" t="n"/>
      <c r="J1558" s="11" t="n"/>
      <c r="K1558" s="11" t="n"/>
      <c r="L1558" s="11" t="n"/>
      <c r="M1558" s="11" t="n"/>
    </row>
    <row r="1559">
      <c r="A1559" s="11" t="n"/>
      <c r="B1559" s="11" t="n"/>
      <c r="C1559" s="11" t="n"/>
      <c r="D1559" s="11" t="n"/>
      <c r="E1559" s="11" t="n"/>
      <c r="F1559" s="11" t="n"/>
      <c r="G1559" s="11" t="n"/>
      <c r="H1559" s="11" t="n"/>
      <c r="I1559" s="11" t="n"/>
      <c r="J1559" s="11" t="n"/>
      <c r="K1559" s="11" t="n"/>
      <c r="L1559" s="11" t="n"/>
      <c r="M1559" s="11" t="n"/>
    </row>
    <row r="1560">
      <c r="A1560" s="11" t="n"/>
      <c r="B1560" s="11" t="n"/>
      <c r="C1560" s="11" t="n"/>
      <c r="D1560" s="11" t="n"/>
      <c r="E1560" s="11" t="n"/>
      <c r="F1560" s="11" t="n"/>
      <c r="G1560" s="11" t="n"/>
      <c r="H1560" s="11" t="n"/>
      <c r="I1560" s="11" t="n"/>
      <c r="J1560" s="11" t="n"/>
      <c r="K1560" s="11" t="n"/>
      <c r="L1560" s="11" t="n"/>
      <c r="M1560" s="11" t="n"/>
    </row>
    <row r="1561">
      <c r="A1561" s="11" t="n"/>
      <c r="B1561" s="11" t="n"/>
      <c r="C1561" s="11" t="n"/>
      <c r="D1561" s="11" t="n"/>
      <c r="E1561" s="11" t="n"/>
      <c r="F1561" s="11" t="n"/>
      <c r="G1561" s="11" t="n"/>
      <c r="H1561" s="11" t="n"/>
      <c r="I1561" s="11" t="n"/>
      <c r="J1561" s="11" t="n"/>
      <c r="K1561" s="11" t="n"/>
      <c r="L1561" s="11" t="n"/>
      <c r="M1561" s="11" t="n"/>
    </row>
    <row r="1562">
      <c r="A1562" s="11" t="n"/>
      <c r="B1562" s="11" t="n"/>
      <c r="C1562" s="11" t="n"/>
      <c r="D1562" s="11" t="n"/>
      <c r="E1562" s="11" t="n"/>
      <c r="F1562" s="11" t="n"/>
      <c r="G1562" s="11" t="n"/>
      <c r="H1562" s="11" t="n"/>
      <c r="I1562" s="11" t="n"/>
      <c r="J1562" s="11" t="n"/>
      <c r="K1562" s="11" t="n"/>
      <c r="L1562" s="11" t="n"/>
      <c r="M1562" s="11" t="n"/>
    </row>
    <row r="1563">
      <c r="A1563" s="11" t="n"/>
      <c r="B1563" s="11" t="n"/>
      <c r="C1563" s="11" t="n"/>
      <c r="D1563" s="11" t="n"/>
      <c r="E1563" s="11" t="n"/>
      <c r="F1563" s="11" t="n"/>
      <c r="G1563" s="11" t="n"/>
      <c r="H1563" s="11" t="n"/>
      <c r="I1563" s="11" t="n"/>
      <c r="J1563" s="11" t="n"/>
      <c r="K1563" s="11" t="n"/>
      <c r="L1563" s="11" t="n"/>
      <c r="M1563" s="11" t="n"/>
    </row>
    <row r="1564">
      <c r="A1564" s="11" t="n"/>
      <c r="B1564" s="11" t="n"/>
      <c r="C1564" s="11" t="n"/>
      <c r="D1564" s="11" t="n"/>
      <c r="E1564" s="11" t="n"/>
      <c r="F1564" s="11" t="n"/>
      <c r="G1564" s="11" t="n"/>
      <c r="H1564" s="11" t="n"/>
      <c r="I1564" s="11" t="n"/>
      <c r="J1564" s="11" t="n"/>
      <c r="K1564" s="11" t="n"/>
      <c r="L1564" s="11" t="n"/>
      <c r="M1564" s="11" t="n"/>
    </row>
    <row r="1565">
      <c r="A1565" s="11" t="n"/>
      <c r="B1565" s="11" t="n"/>
      <c r="C1565" s="11" t="n"/>
      <c r="D1565" s="11" t="n"/>
      <c r="E1565" s="11" t="n"/>
      <c r="F1565" s="11" t="n"/>
      <c r="G1565" s="11" t="n"/>
      <c r="H1565" s="11" t="n"/>
      <c r="I1565" s="11" t="n"/>
      <c r="J1565" s="11" t="n"/>
      <c r="K1565" s="11" t="n"/>
      <c r="L1565" s="11" t="n"/>
      <c r="M1565" s="11" t="n"/>
    </row>
    <row r="1566">
      <c r="A1566" s="11" t="n"/>
      <c r="B1566" s="11" t="n"/>
      <c r="C1566" s="11" t="n"/>
      <c r="D1566" s="11" t="n"/>
      <c r="E1566" s="11" t="n"/>
      <c r="F1566" s="11" t="n"/>
      <c r="G1566" s="11" t="n"/>
      <c r="H1566" s="11" t="n"/>
      <c r="I1566" s="11" t="n"/>
      <c r="J1566" s="11" t="n"/>
      <c r="K1566" s="11" t="n"/>
      <c r="L1566" s="11" t="n"/>
      <c r="M1566" s="11" t="n"/>
    </row>
    <row r="1567">
      <c r="A1567" s="11" t="n"/>
      <c r="B1567" s="11" t="n"/>
      <c r="C1567" s="11" t="n"/>
      <c r="D1567" s="11" t="n"/>
      <c r="E1567" s="11" t="n"/>
      <c r="F1567" s="11" t="n"/>
      <c r="G1567" s="11" t="n"/>
      <c r="H1567" s="11" t="n"/>
      <c r="I1567" s="11" t="n"/>
      <c r="J1567" s="11" t="n"/>
      <c r="K1567" s="11" t="n"/>
      <c r="L1567" s="11" t="n"/>
      <c r="M1567" s="11" t="n"/>
    </row>
    <row r="1568">
      <c r="A1568" s="11" t="n"/>
      <c r="B1568" s="11" t="n"/>
      <c r="C1568" s="11" t="n"/>
      <c r="D1568" s="11" t="n"/>
      <c r="E1568" s="11" t="n"/>
      <c r="F1568" s="11" t="n"/>
      <c r="G1568" s="11" t="n"/>
      <c r="H1568" s="11" t="n"/>
      <c r="I1568" s="11" t="n"/>
      <c r="J1568" s="11" t="n"/>
      <c r="K1568" s="11" t="n"/>
      <c r="L1568" s="11" t="n"/>
      <c r="M1568" s="11" t="n"/>
    </row>
    <row r="1569">
      <c r="A1569" s="11" t="n"/>
      <c r="B1569" s="11" t="n"/>
      <c r="C1569" s="11" t="n"/>
      <c r="D1569" s="11" t="n"/>
      <c r="E1569" s="11" t="n"/>
      <c r="F1569" s="11" t="n"/>
      <c r="G1569" s="11" t="n"/>
      <c r="H1569" s="11" t="n"/>
      <c r="I1569" s="11" t="n"/>
      <c r="J1569" s="11" t="n"/>
      <c r="K1569" s="11" t="n"/>
      <c r="L1569" s="11" t="n"/>
      <c r="M1569" s="11" t="n"/>
    </row>
    <row r="1570">
      <c r="A1570" s="11" t="n"/>
      <c r="B1570" s="11" t="n"/>
      <c r="C1570" s="11" t="n"/>
      <c r="D1570" s="11" t="n"/>
      <c r="E1570" s="11" t="n"/>
      <c r="F1570" s="11" t="n"/>
      <c r="G1570" s="11" t="n"/>
      <c r="H1570" s="11" t="n"/>
      <c r="I1570" s="11" t="n"/>
      <c r="J1570" s="11" t="n"/>
      <c r="K1570" s="11" t="n"/>
      <c r="L1570" s="11" t="n"/>
      <c r="M1570" s="11" t="n"/>
    </row>
    <row r="1571">
      <c r="A1571" s="11" t="n"/>
      <c r="B1571" s="11" t="n"/>
      <c r="C1571" s="11" t="n"/>
      <c r="D1571" s="11" t="n"/>
      <c r="E1571" s="11" t="n"/>
      <c r="F1571" s="11" t="n"/>
      <c r="G1571" s="11" t="n"/>
      <c r="H1571" s="11" t="n"/>
      <c r="I1571" s="11" t="n"/>
      <c r="J1571" s="11" t="n"/>
      <c r="K1571" s="11" t="n"/>
      <c r="L1571" s="11" t="n"/>
      <c r="M1571" s="11" t="n"/>
    </row>
    <row r="1572">
      <c r="A1572" s="11" t="n"/>
      <c r="B1572" s="11" t="n"/>
      <c r="C1572" s="11" t="n"/>
      <c r="D1572" s="11" t="n"/>
      <c r="E1572" s="11" t="n"/>
      <c r="F1572" s="11" t="n"/>
      <c r="G1572" s="11" t="n"/>
      <c r="H1572" s="11" t="n"/>
      <c r="I1572" s="11" t="n"/>
      <c r="J1572" s="11" t="n"/>
      <c r="K1572" s="11" t="n"/>
      <c r="L1572" s="11" t="n"/>
      <c r="M1572" s="11" t="n"/>
    </row>
    <row r="1573">
      <c r="A1573" s="11" t="n"/>
      <c r="B1573" s="11" t="n"/>
      <c r="C1573" s="11" t="n"/>
      <c r="D1573" s="11" t="n"/>
      <c r="E1573" s="11" t="n"/>
      <c r="F1573" s="11" t="n"/>
      <c r="G1573" s="11" t="n"/>
      <c r="H1573" s="11" t="n"/>
      <c r="I1573" s="11" t="n"/>
      <c r="J1573" s="11" t="n"/>
      <c r="K1573" s="11" t="n"/>
      <c r="L1573" s="11" t="n"/>
      <c r="M1573" s="11" t="n"/>
    </row>
    <row r="1574">
      <c r="A1574" s="11" t="n"/>
      <c r="B1574" s="11" t="n"/>
      <c r="C1574" s="11" t="n"/>
      <c r="D1574" s="11" t="n"/>
      <c r="E1574" s="11" t="n"/>
      <c r="F1574" s="11" t="n"/>
      <c r="G1574" s="11" t="n"/>
      <c r="H1574" s="11" t="n"/>
      <c r="I1574" s="11" t="n"/>
      <c r="J1574" s="11" t="n"/>
      <c r="K1574" s="11" t="n"/>
      <c r="L1574" s="11" t="n"/>
      <c r="M1574" s="11" t="n"/>
    </row>
    <row r="1575">
      <c r="A1575" s="11" t="n"/>
      <c r="B1575" s="11" t="n"/>
      <c r="C1575" s="11" t="n"/>
      <c r="D1575" s="11" t="n"/>
      <c r="E1575" s="11" t="n"/>
      <c r="F1575" s="11" t="n"/>
      <c r="G1575" s="11" t="n"/>
      <c r="H1575" s="11" t="n"/>
      <c r="I1575" s="11" t="n"/>
      <c r="J1575" s="11" t="n"/>
      <c r="K1575" s="11" t="n"/>
      <c r="L1575" s="11" t="n"/>
      <c r="M1575" s="11" t="n"/>
    </row>
    <row r="1576">
      <c r="A1576" s="11" t="n"/>
      <c r="B1576" s="11" t="n"/>
      <c r="C1576" s="11" t="n"/>
      <c r="D1576" s="11" t="n"/>
      <c r="E1576" s="11" t="n"/>
      <c r="F1576" s="11" t="n"/>
      <c r="G1576" s="11" t="n"/>
      <c r="H1576" s="11" t="n"/>
      <c r="I1576" s="11" t="n"/>
      <c r="J1576" s="11" t="n"/>
      <c r="K1576" s="11" t="n"/>
      <c r="L1576" s="11" t="n"/>
      <c r="M1576" s="11" t="n"/>
    </row>
    <row r="1577">
      <c r="A1577" s="11" t="n"/>
      <c r="B1577" s="11" t="n"/>
      <c r="C1577" s="11" t="n"/>
      <c r="D1577" s="11" t="n"/>
      <c r="E1577" s="11" t="n"/>
      <c r="F1577" s="11" t="n"/>
      <c r="G1577" s="11" t="n"/>
      <c r="H1577" s="11" t="n"/>
      <c r="I1577" s="11" t="n"/>
      <c r="J1577" s="11" t="n"/>
      <c r="K1577" s="11" t="n"/>
      <c r="L1577" s="11" t="n"/>
      <c r="M1577" s="11" t="n"/>
    </row>
    <row r="1578">
      <c r="A1578" s="11" t="n"/>
      <c r="B1578" s="11" t="n"/>
      <c r="C1578" s="11" t="n"/>
      <c r="D1578" s="11" t="n"/>
      <c r="E1578" s="11" t="n"/>
      <c r="F1578" s="11" t="n"/>
      <c r="G1578" s="11" t="n"/>
      <c r="H1578" s="11" t="n"/>
      <c r="I1578" s="11" t="n"/>
      <c r="J1578" s="11" t="n"/>
      <c r="K1578" s="11" t="n"/>
      <c r="L1578" s="11" t="n"/>
      <c r="M1578" s="11" t="n"/>
    </row>
    <row r="1579">
      <c r="A1579" s="11" t="n"/>
      <c r="B1579" s="11" t="n"/>
      <c r="C1579" s="11" t="n"/>
      <c r="D1579" s="11" t="n"/>
      <c r="E1579" s="11" t="n"/>
      <c r="F1579" s="11" t="n"/>
      <c r="G1579" s="11" t="n"/>
      <c r="H1579" s="11" t="n"/>
      <c r="I1579" s="11" t="n"/>
      <c r="J1579" s="11" t="n"/>
      <c r="K1579" s="11" t="n"/>
      <c r="L1579" s="11" t="n"/>
      <c r="M1579" s="11" t="n"/>
    </row>
    <row r="1580">
      <c r="A1580" s="11" t="n"/>
      <c r="B1580" s="11" t="n"/>
      <c r="C1580" s="11" t="n"/>
      <c r="D1580" s="11" t="n"/>
      <c r="E1580" s="11" t="n"/>
      <c r="F1580" s="11" t="n"/>
      <c r="G1580" s="11" t="n"/>
      <c r="H1580" s="11" t="n"/>
      <c r="I1580" s="11" t="n"/>
      <c r="J1580" s="11" t="n"/>
      <c r="K1580" s="11" t="n"/>
      <c r="L1580" s="11" t="n"/>
      <c r="M1580" s="11" t="n"/>
    </row>
    <row r="1581">
      <c r="A1581" s="11" t="n"/>
      <c r="B1581" s="11" t="n"/>
      <c r="C1581" s="11" t="n"/>
      <c r="D1581" s="11" t="n"/>
      <c r="E1581" s="11" t="n"/>
      <c r="F1581" s="11" t="n"/>
      <c r="G1581" s="11" t="n"/>
      <c r="H1581" s="11" t="n"/>
      <c r="I1581" s="11" t="n"/>
      <c r="J1581" s="11" t="n"/>
      <c r="K1581" s="11" t="n"/>
      <c r="L1581" s="11" t="n"/>
      <c r="M1581" s="11" t="n"/>
    </row>
    <row r="1582">
      <c r="A1582" s="11" t="n"/>
      <c r="B1582" s="11" t="n"/>
      <c r="C1582" s="11" t="n"/>
      <c r="D1582" s="11" t="n"/>
      <c r="E1582" s="11" t="n"/>
      <c r="F1582" s="11" t="n"/>
      <c r="G1582" s="11" t="n"/>
      <c r="H1582" s="11" t="n"/>
      <c r="I1582" s="11" t="n"/>
      <c r="J1582" s="11" t="n"/>
      <c r="K1582" s="11" t="n"/>
      <c r="L1582" s="11" t="n"/>
      <c r="M1582" s="11" t="n"/>
    </row>
    <row r="1583">
      <c r="A1583" s="11" t="n"/>
      <c r="B1583" s="11" t="n"/>
      <c r="C1583" s="11" t="n"/>
      <c r="D1583" s="11" t="n"/>
      <c r="E1583" s="11" t="n"/>
      <c r="F1583" s="11" t="n"/>
      <c r="G1583" s="11" t="n"/>
      <c r="H1583" s="11" t="n"/>
      <c r="I1583" s="11" t="n"/>
      <c r="J1583" s="11" t="n"/>
      <c r="K1583" s="11" t="n"/>
      <c r="L1583" s="11" t="n"/>
      <c r="M1583" s="11" t="n"/>
    </row>
    <row r="1584">
      <c r="A1584" s="11" t="n"/>
      <c r="B1584" s="11" t="n"/>
      <c r="C1584" s="11" t="n"/>
      <c r="D1584" s="11" t="n"/>
      <c r="E1584" s="11" t="n"/>
      <c r="F1584" s="11" t="n"/>
      <c r="G1584" s="11" t="n"/>
      <c r="H1584" s="11" t="n"/>
      <c r="I1584" s="11" t="n"/>
      <c r="J1584" s="11" t="n"/>
      <c r="K1584" s="11" t="n"/>
      <c r="L1584" s="11" t="n"/>
      <c r="M1584" s="11" t="n"/>
    </row>
    <row r="1585">
      <c r="A1585" s="11" t="n"/>
      <c r="B1585" s="11" t="n"/>
      <c r="C1585" s="11" t="n"/>
      <c r="D1585" s="11" t="n"/>
      <c r="E1585" s="11" t="n"/>
      <c r="F1585" s="11" t="n"/>
      <c r="G1585" s="11" t="n"/>
      <c r="H1585" s="11" t="n"/>
      <c r="I1585" s="11" t="n"/>
      <c r="J1585" s="11" t="n"/>
      <c r="K1585" s="11" t="n"/>
      <c r="L1585" s="11" t="n"/>
      <c r="M1585" s="11" t="n"/>
    </row>
    <row r="1586">
      <c r="A1586" s="11" t="n"/>
      <c r="B1586" s="11" t="n"/>
      <c r="C1586" s="11" t="n"/>
      <c r="D1586" s="11" t="n"/>
      <c r="E1586" s="11" t="n"/>
      <c r="F1586" s="11" t="n"/>
      <c r="G1586" s="11" t="n"/>
      <c r="H1586" s="11" t="n"/>
      <c r="I1586" s="11" t="n"/>
      <c r="J1586" s="11" t="n"/>
      <c r="K1586" s="11" t="n"/>
      <c r="L1586" s="11" t="n"/>
      <c r="M1586" s="11" t="n"/>
    </row>
    <row r="1587">
      <c r="A1587" s="11" t="n"/>
      <c r="B1587" s="11" t="n"/>
      <c r="C1587" s="11" t="n"/>
      <c r="D1587" s="11" t="n"/>
      <c r="E1587" s="11" t="n"/>
      <c r="F1587" s="11" t="n"/>
      <c r="G1587" s="11" t="n"/>
      <c r="H1587" s="11" t="n"/>
      <c r="I1587" s="11" t="n"/>
      <c r="J1587" s="11" t="n"/>
      <c r="K1587" s="11" t="n"/>
      <c r="L1587" s="11" t="n"/>
      <c r="M1587" s="11" t="n"/>
    </row>
    <row r="1588">
      <c r="A1588" s="11" t="n"/>
      <c r="B1588" s="11" t="n"/>
      <c r="C1588" s="11" t="n"/>
      <c r="D1588" s="11" t="n"/>
      <c r="E1588" s="11" t="n"/>
      <c r="F1588" s="11" t="n"/>
      <c r="G1588" s="11" t="n"/>
      <c r="H1588" s="11" t="n"/>
      <c r="I1588" s="11" t="n"/>
      <c r="J1588" s="11" t="n"/>
      <c r="K1588" s="11" t="n"/>
      <c r="L1588" s="11" t="n"/>
      <c r="M1588" s="11" t="n"/>
    </row>
    <row r="1589">
      <c r="A1589" s="11" t="n"/>
      <c r="B1589" s="11" t="n"/>
      <c r="C1589" s="11" t="n"/>
      <c r="D1589" s="11" t="n"/>
      <c r="E1589" s="11" t="n"/>
      <c r="F1589" s="11" t="n"/>
      <c r="G1589" s="11" t="n"/>
      <c r="H1589" s="11" t="n"/>
      <c r="I1589" s="11" t="n"/>
      <c r="J1589" s="11" t="n"/>
      <c r="K1589" s="11" t="n"/>
      <c r="L1589" s="11" t="n"/>
      <c r="M1589" s="11" t="n"/>
    </row>
    <row r="1590">
      <c r="A1590" s="11" t="n"/>
      <c r="B1590" s="11" t="n"/>
      <c r="C1590" s="11" t="n"/>
      <c r="D1590" s="11" t="n"/>
      <c r="E1590" s="11" t="n"/>
      <c r="F1590" s="11" t="n"/>
      <c r="G1590" s="11" t="n"/>
      <c r="H1590" s="11" t="n"/>
      <c r="I1590" s="11" t="n"/>
      <c r="J1590" s="11" t="n"/>
      <c r="K1590" s="11" t="n"/>
      <c r="L1590" s="11" t="n"/>
      <c r="M1590" s="11" t="n"/>
    </row>
    <row r="1591">
      <c r="A1591" s="11" t="n"/>
      <c r="B1591" s="11" t="n"/>
      <c r="C1591" s="11" t="n"/>
      <c r="D1591" s="11" t="n"/>
      <c r="E1591" s="11" t="n"/>
      <c r="F1591" s="11" t="n"/>
      <c r="G1591" s="11" t="n"/>
      <c r="H1591" s="11" t="n"/>
      <c r="I1591" s="11" t="n"/>
      <c r="J1591" s="11" t="n"/>
      <c r="K1591" s="11" t="n"/>
      <c r="L1591" s="11" t="n"/>
      <c r="M1591" s="11" t="n"/>
    </row>
    <row r="1592">
      <c r="A1592" s="11" t="n"/>
      <c r="B1592" s="11" t="n"/>
      <c r="C1592" s="11" t="n"/>
      <c r="D1592" s="11" t="n"/>
      <c r="E1592" s="11" t="n"/>
      <c r="F1592" s="11" t="n"/>
      <c r="G1592" s="11" t="n"/>
      <c r="H1592" s="11" t="n"/>
      <c r="I1592" s="11" t="n"/>
      <c r="J1592" s="11" t="n"/>
      <c r="K1592" s="11" t="n"/>
      <c r="L1592" s="11" t="n"/>
      <c r="M1592" s="11" t="n"/>
    </row>
    <row r="1593">
      <c r="A1593" s="11" t="n"/>
      <c r="B1593" s="11" t="n"/>
      <c r="C1593" s="11" t="n"/>
      <c r="D1593" s="11" t="n"/>
      <c r="E1593" s="11" t="n"/>
      <c r="F1593" s="11" t="n"/>
      <c r="G1593" s="11" t="n"/>
      <c r="H1593" s="11" t="n"/>
      <c r="I1593" s="11" t="n"/>
      <c r="J1593" s="11" t="n"/>
      <c r="K1593" s="11" t="n"/>
      <c r="L1593" s="11" t="n"/>
      <c r="M1593" s="11" t="n"/>
    </row>
    <row r="1594">
      <c r="A1594" s="11" t="n"/>
      <c r="B1594" s="11" t="n"/>
      <c r="C1594" s="11" t="n"/>
      <c r="D1594" s="11" t="n"/>
      <c r="E1594" s="11" t="n"/>
      <c r="F1594" s="11" t="n"/>
      <c r="G1594" s="11" t="n"/>
      <c r="H1594" s="11" t="n"/>
      <c r="I1594" s="11" t="n"/>
      <c r="J1594" s="11" t="n"/>
      <c r="K1594" s="11" t="n"/>
      <c r="L1594" s="11" t="n"/>
      <c r="M1594" s="11" t="n"/>
    </row>
    <row r="1595">
      <c r="A1595" s="11" t="n"/>
      <c r="B1595" s="11" t="n"/>
      <c r="C1595" s="11" t="n"/>
      <c r="D1595" s="11" t="n"/>
      <c r="E1595" s="11" t="n"/>
      <c r="F1595" s="11" t="n"/>
      <c r="G1595" s="11" t="n"/>
      <c r="H1595" s="11" t="n"/>
      <c r="I1595" s="11" t="n"/>
      <c r="J1595" s="11" t="n"/>
      <c r="K1595" s="11" t="n"/>
      <c r="L1595" s="11" t="n"/>
      <c r="M1595" s="11" t="n"/>
    </row>
    <row r="1596">
      <c r="A1596" s="11" t="n"/>
      <c r="B1596" s="11" t="n"/>
      <c r="C1596" s="11" t="n"/>
      <c r="D1596" s="11" t="n"/>
      <c r="E1596" s="11" t="n"/>
      <c r="F1596" s="11" t="n"/>
      <c r="G1596" s="11" t="n"/>
      <c r="H1596" s="11" t="n"/>
      <c r="I1596" s="11" t="n"/>
      <c r="J1596" s="11" t="n"/>
      <c r="K1596" s="11" t="n"/>
      <c r="L1596" s="11" t="n"/>
      <c r="M1596" s="11" t="n"/>
    </row>
    <row r="1597">
      <c r="A1597" s="11" t="n"/>
      <c r="B1597" s="11" t="n"/>
      <c r="C1597" s="11" t="n"/>
      <c r="D1597" s="11" t="n"/>
      <c r="E1597" s="11" t="n"/>
      <c r="F1597" s="11" t="n"/>
      <c r="G1597" s="11" t="n"/>
      <c r="H1597" s="11" t="n"/>
      <c r="I1597" s="11" t="n"/>
      <c r="J1597" s="11" t="n"/>
      <c r="K1597" s="11" t="n"/>
      <c r="L1597" s="11" t="n"/>
      <c r="M1597" s="11" t="n"/>
    </row>
    <row r="1598">
      <c r="A1598" s="11" t="n"/>
      <c r="B1598" s="11" t="n"/>
      <c r="C1598" s="11" t="n"/>
      <c r="D1598" s="11" t="n"/>
      <c r="E1598" s="11" t="n"/>
      <c r="F1598" s="11" t="n"/>
      <c r="G1598" s="11" t="n"/>
      <c r="H1598" s="11" t="n"/>
      <c r="I1598" s="11" t="n"/>
      <c r="J1598" s="11" t="n"/>
      <c r="K1598" s="11" t="n"/>
      <c r="L1598" s="11" t="n"/>
      <c r="M1598" s="11" t="n"/>
    </row>
    <row r="1599">
      <c r="A1599" s="11" t="n"/>
      <c r="B1599" s="11" t="n"/>
      <c r="C1599" s="11" t="n"/>
      <c r="D1599" s="11" t="n"/>
      <c r="E1599" s="11" t="n"/>
      <c r="F1599" s="11" t="n"/>
      <c r="G1599" s="11" t="n"/>
      <c r="H1599" s="11" t="n"/>
      <c r="I1599" s="11" t="n"/>
      <c r="J1599" s="11" t="n"/>
      <c r="K1599" s="11" t="n"/>
      <c r="L1599" s="11" t="n"/>
      <c r="M1599" s="11" t="n"/>
    </row>
    <row r="1600">
      <c r="A1600" s="11" t="n"/>
      <c r="B1600" s="11" t="n"/>
      <c r="C1600" s="11" t="n"/>
      <c r="D1600" s="11" t="n"/>
      <c r="E1600" s="11" t="n"/>
      <c r="F1600" s="11" t="n"/>
      <c r="G1600" s="11" t="n"/>
      <c r="H1600" s="11" t="n"/>
      <c r="I1600" s="11" t="n"/>
      <c r="J1600" s="11" t="n"/>
      <c r="K1600" s="11" t="n"/>
      <c r="L1600" s="11" t="n"/>
      <c r="M1600" s="11" t="n"/>
    </row>
    <row r="1601">
      <c r="A1601" s="11" t="n"/>
      <c r="B1601" s="11" t="n"/>
      <c r="C1601" s="11" t="n"/>
      <c r="D1601" s="11" t="n"/>
      <c r="E1601" s="11" t="n"/>
      <c r="F1601" s="11" t="n"/>
      <c r="G1601" s="11" t="n"/>
      <c r="H1601" s="11" t="n"/>
      <c r="I1601" s="11" t="n"/>
      <c r="J1601" s="11" t="n"/>
      <c r="K1601" s="11" t="n"/>
      <c r="L1601" s="11" t="n"/>
      <c r="M1601" s="11" t="n"/>
    </row>
    <row r="1602">
      <c r="A1602" s="11" t="n"/>
      <c r="B1602" s="11" t="n"/>
      <c r="C1602" s="11" t="n"/>
      <c r="D1602" s="11" t="n"/>
      <c r="E1602" s="11" t="n"/>
      <c r="F1602" s="11" t="n"/>
      <c r="G1602" s="11" t="n"/>
      <c r="H1602" s="11" t="n"/>
      <c r="I1602" s="11" t="n"/>
      <c r="J1602" s="11" t="n"/>
      <c r="K1602" s="11" t="n"/>
      <c r="L1602" s="11" t="n"/>
      <c r="M1602" s="11" t="n"/>
    </row>
    <row r="1603">
      <c r="A1603" s="11" t="n"/>
      <c r="B1603" s="11" t="n"/>
      <c r="C1603" s="11" t="n"/>
      <c r="D1603" s="11" t="n"/>
      <c r="E1603" s="11" t="n"/>
      <c r="F1603" s="11" t="n"/>
      <c r="G1603" s="11" t="n"/>
      <c r="H1603" s="11" t="n"/>
      <c r="I1603" s="11" t="n"/>
      <c r="J1603" s="11" t="n"/>
      <c r="K1603" s="11" t="n"/>
      <c r="L1603" s="11" t="n"/>
      <c r="M1603" s="11" t="n"/>
    </row>
    <row r="1604">
      <c r="A1604" s="11" t="n"/>
      <c r="B1604" s="11" t="n"/>
      <c r="C1604" s="11" t="n"/>
      <c r="D1604" s="11" t="n"/>
      <c r="E1604" s="11" t="n"/>
      <c r="F1604" s="11" t="n"/>
      <c r="G1604" s="11" t="n"/>
      <c r="H1604" s="11" t="n"/>
      <c r="I1604" s="11" t="n"/>
      <c r="J1604" s="11" t="n"/>
      <c r="K1604" s="11" t="n"/>
      <c r="L1604" s="11" t="n"/>
      <c r="M1604" s="11" t="n"/>
    </row>
    <row r="1605">
      <c r="A1605" s="11" t="n"/>
      <c r="B1605" s="11" t="n"/>
      <c r="C1605" s="11" t="n"/>
      <c r="D1605" s="11" t="n"/>
      <c r="E1605" s="11" t="n"/>
      <c r="F1605" s="11" t="n"/>
      <c r="G1605" s="11" t="n"/>
      <c r="H1605" s="11" t="n"/>
      <c r="I1605" s="11" t="n"/>
      <c r="J1605" s="11" t="n"/>
      <c r="K1605" s="11" t="n"/>
      <c r="L1605" s="11" t="n"/>
      <c r="M1605" s="11" t="n"/>
    </row>
    <row r="1606">
      <c r="A1606" s="11" t="n"/>
      <c r="B1606" s="11" t="n"/>
      <c r="C1606" s="11" t="n"/>
      <c r="D1606" s="11" t="n"/>
      <c r="E1606" s="11" t="n"/>
      <c r="F1606" s="11" t="n"/>
      <c r="G1606" s="11" t="n"/>
      <c r="H1606" s="11" t="n"/>
      <c r="I1606" s="11" t="n"/>
      <c r="J1606" s="11" t="n"/>
      <c r="K1606" s="11" t="n"/>
      <c r="L1606" s="11" t="n"/>
      <c r="M1606" s="11" t="n"/>
    </row>
    <row r="1607">
      <c r="A1607" s="11" t="n"/>
      <c r="B1607" s="11" t="n"/>
      <c r="C1607" s="11" t="n"/>
      <c r="D1607" s="11" t="n"/>
      <c r="E1607" s="11" t="n"/>
      <c r="F1607" s="11" t="n"/>
      <c r="G1607" s="11" t="n"/>
      <c r="H1607" s="11" t="n"/>
      <c r="I1607" s="11" t="n"/>
      <c r="J1607" s="11" t="n"/>
      <c r="K1607" s="11" t="n"/>
      <c r="L1607" s="11" t="n"/>
      <c r="M1607" s="11" t="n"/>
    </row>
    <row r="1608">
      <c r="A1608" s="11" t="n"/>
      <c r="B1608" s="11" t="n"/>
      <c r="C1608" s="11" t="n"/>
      <c r="D1608" s="11" t="n"/>
      <c r="E1608" s="11" t="n"/>
      <c r="F1608" s="11" t="n"/>
      <c r="G1608" s="11" t="n"/>
      <c r="H1608" s="11" t="n"/>
      <c r="I1608" s="11" t="n"/>
      <c r="J1608" s="11" t="n"/>
      <c r="K1608" s="11" t="n"/>
      <c r="L1608" s="11" t="n"/>
      <c r="M1608" s="11" t="n"/>
    </row>
    <row r="1609">
      <c r="A1609" s="11" t="n"/>
      <c r="B1609" s="11" t="n"/>
      <c r="C1609" s="11" t="n"/>
      <c r="D1609" s="11" t="n"/>
      <c r="E1609" s="11" t="n"/>
      <c r="F1609" s="11" t="n"/>
      <c r="G1609" s="11" t="n"/>
      <c r="H1609" s="11" t="n"/>
      <c r="I1609" s="11" t="n"/>
      <c r="J1609" s="11" t="n"/>
      <c r="K1609" s="11" t="n"/>
      <c r="L1609" s="11" t="n"/>
      <c r="M1609" s="11" t="n"/>
    </row>
    <row r="1610">
      <c r="A1610" s="11" t="n"/>
      <c r="B1610" s="11" t="n"/>
      <c r="C1610" s="11" t="n"/>
      <c r="D1610" s="11" t="n"/>
      <c r="E1610" s="11" t="n"/>
      <c r="F1610" s="11" t="n"/>
      <c r="G1610" s="11" t="n"/>
      <c r="H1610" s="11" t="n"/>
      <c r="I1610" s="11" t="n"/>
      <c r="J1610" s="11" t="n"/>
      <c r="K1610" s="11" t="n"/>
      <c r="L1610" s="11" t="n"/>
      <c r="M1610" s="11" t="n"/>
    </row>
    <row r="1611">
      <c r="A1611" s="11" t="n"/>
      <c r="B1611" s="11" t="n"/>
      <c r="C1611" s="11" t="n"/>
      <c r="D1611" s="11" t="n"/>
      <c r="E1611" s="11" t="n"/>
      <c r="F1611" s="11" t="n"/>
      <c r="G1611" s="11" t="n"/>
      <c r="H1611" s="11" t="n"/>
      <c r="I1611" s="11" t="n"/>
      <c r="J1611" s="11" t="n"/>
      <c r="K1611" s="11" t="n"/>
      <c r="L1611" s="11" t="n"/>
      <c r="M1611" s="11" t="n"/>
    </row>
    <row r="1612">
      <c r="A1612" s="11" t="n"/>
      <c r="B1612" s="11" t="n"/>
      <c r="C1612" s="11" t="n"/>
      <c r="D1612" s="11" t="n"/>
      <c r="E1612" s="11" t="n"/>
      <c r="F1612" s="11" t="n"/>
      <c r="G1612" s="11" t="n"/>
      <c r="H1612" s="11" t="n"/>
      <c r="I1612" s="11" t="n"/>
      <c r="J1612" s="11" t="n"/>
      <c r="K1612" s="11" t="n"/>
      <c r="L1612" s="11" t="n"/>
      <c r="M1612" s="11" t="n"/>
    </row>
    <row r="1613">
      <c r="A1613" s="11" t="n"/>
      <c r="B1613" s="11" t="n"/>
      <c r="C1613" s="11" t="n"/>
      <c r="D1613" s="11" t="n"/>
      <c r="E1613" s="11" t="n"/>
      <c r="F1613" s="11" t="n"/>
      <c r="G1613" s="11" t="n"/>
      <c r="H1613" s="11" t="n"/>
      <c r="I1613" s="11" t="n"/>
      <c r="J1613" s="11" t="n"/>
      <c r="K1613" s="11" t="n"/>
      <c r="L1613" s="11" t="n"/>
      <c r="M1613" s="11" t="n"/>
    </row>
    <row r="1614">
      <c r="A1614" s="11" t="n"/>
      <c r="B1614" s="11" t="n"/>
      <c r="C1614" s="11" t="n"/>
      <c r="D1614" s="11" t="n"/>
      <c r="E1614" s="11" t="n"/>
      <c r="F1614" s="11" t="n"/>
      <c r="G1614" s="11" t="n"/>
      <c r="H1614" s="11" t="n"/>
      <c r="I1614" s="11" t="n"/>
      <c r="J1614" s="11" t="n"/>
      <c r="K1614" s="11" t="n"/>
      <c r="L1614" s="11" t="n"/>
      <c r="M1614" s="11" t="n"/>
    </row>
    <row r="1615">
      <c r="A1615" s="11" t="n"/>
      <c r="B1615" s="11" t="n"/>
      <c r="C1615" s="11" t="n"/>
      <c r="D1615" s="11" t="n"/>
      <c r="E1615" s="11" t="n"/>
      <c r="F1615" s="11" t="n"/>
      <c r="G1615" s="11" t="n"/>
      <c r="H1615" s="11" t="n"/>
      <c r="I1615" s="11" t="n"/>
      <c r="J1615" s="11" t="n"/>
      <c r="K1615" s="11" t="n"/>
      <c r="L1615" s="11" t="n"/>
      <c r="M1615" s="11" t="n"/>
    </row>
    <row r="1616">
      <c r="A1616" s="11" t="n"/>
      <c r="B1616" s="11" t="n"/>
      <c r="C1616" s="11" t="n"/>
      <c r="D1616" s="11" t="n"/>
      <c r="E1616" s="11" t="n"/>
      <c r="F1616" s="11" t="n"/>
      <c r="G1616" s="11" t="n"/>
      <c r="H1616" s="11" t="n"/>
      <c r="I1616" s="11" t="n"/>
      <c r="J1616" s="11" t="n"/>
      <c r="K1616" s="11" t="n"/>
      <c r="L1616" s="11" t="n"/>
      <c r="M1616" s="11" t="n"/>
    </row>
    <row r="1617">
      <c r="A1617" s="11" t="n"/>
      <c r="B1617" s="11" t="n"/>
      <c r="C1617" s="11" t="n"/>
      <c r="D1617" s="11" t="n"/>
      <c r="E1617" s="11" t="n"/>
      <c r="F1617" s="11" t="n"/>
      <c r="G1617" s="11" t="n"/>
      <c r="H1617" s="11" t="n"/>
      <c r="I1617" s="11" t="n"/>
      <c r="J1617" s="11" t="n"/>
      <c r="K1617" s="11" t="n"/>
      <c r="L1617" s="11" t="n"/>
      <c r="M1617" s="11" t="n"/>
    </row>
    <row r="1618">
      <c r="A1618" s="11" t="n"/>
      <c r="B1618" s="11" t="n"/>
      <c r="C1618" s="11" t="n"/>
      <c r="D1618" s="11" t="n"/>
      <c r="E1618" s="11" t="n"/>
      <c r="F1618" s="11" t="n"/>
      <c r="G1618" s="11" t="n"/>
      <c r="H1618" s="11" t="n"/>
      <c r="I1618" s="11" t="n"/>
      <c r="J1618" s="11" t="n"/>
      <c r="K1618" s="11" t="n"/>
      <c r="L1618" s="11" t="n"/>
      <c r="M1618" s="11" t="n"/>
    </row>
    <row r="1619">
      <c r="A1619" s="11" t="n"/>
      <c r="B1619" s="11" t="n"/>
      <c r="C1619" s="11" t="n"/>
      <c r="D1619" s="11" t="n"/>
      <c r="E1619" s="11" t="n"/>
      <c r="F1619" s="11" t="n"/>
      <c r="G1619" s="11" t="n"/>
      <c r="H1619" s="11" t="n"/>
      <c r="I1619" s="11" t="n"/>
      <c r="J1619" s="11" t="n"/>
      <c r="K1619" s="11" t="n"/>
      <c r="L1619" s="11" t="n"/>
      <c r="M1619" s="11" t="n"/>
    </row>
    <row r="1620">
      <c r="A1620" s="11" t="n"/>
      <c r="B1620" s="11" t="n"/>
      <c r="C1620" s="11" t="n"/>
      <c r="D1620" s="11" t="n"/>
      <c r="E1620" s="11" t="n"/>
      <c r="F1620" s="11" t="n"/>
      <c r="G1620" s="11" t="n"/>
      <c r="H1620" s="11" t="n"/>
      <c r="I1620" s="11" t="n"/>
      <c r="J1620" s="11" t="n"/>
      <c r="K1620" s="11" t="n"/>
      <c r="L1620" s="11" t="n"/>
      <c r="M1620" s="11" t="n"/>
    </row>
    <row r="1621">
      <c r="A1621" s="11" t="n"/>
      <c r="B1621" s="11" t="n"/>
      <c r="C1621" s="11" t="n"/>
      <c r="D1621" s="11" t="n"/>
      <c r="E1621" s="11" t="n"/>
      <c r="F1621" s="11" t="n"/>
      <c r="G1621" s="11" t="n"/>
      <c r="H1621" s="11" t="n"/>
      <c r="I1621" s="11" t="n"/>
      <c r="J1621" s="11" t="n"/>
      <c r="K1621" s="11" t="n"/>
      <c r="L1621" s="11" t="n"/>
      <c r="M1621" s="11" t="n"/>
    </row>
    <row r="1622">
      <c r="A1622" s="11" t="n"/>
      <c r="B1622" s="11" t="n"/>
      <c r="C1622" s="11" t="n"/>
      <c r="D1622" s="11" t="n"/>
      <c r="E1622" s="11" t="n"/>
      <c r="F1622" s="11" t="n"/>
      <c r="G1622" s="11" t="n"/>
      <c r="H1622" s="11" t="n"/>
      <c r="I1622" s="11" t="n"/>
      <c r="J1622" s="11" t="n"/>
      <c r="K1622" s="11" t="n"/>
      <c r="L1622" s="11" t="n"/>
      <c r="M1622" s="11" t="n"/>
    </row>
    <row r="1623">
      <c r="A1623" s="11" t="n"/>
      <c r="B1623" s="11" t="n"/>
      <c r="C1623" s="11" t="n"/>
      <c r="D1623" s="11" t="n"/>
      <c r="E1623" s="11" t="n"/>
      <c r="F1623" s="11" t="n"/>
      <c r="G1623" s="11" t="n"/>
      <c r="H1623" s="11" t="n"/>
      <c r="I1623" s="11" t="n"/>
      <c r="J1623" s="11" t="n"/>
      <c r="K1623" s="11" t="n"/>
      <c r="L1623" s="11" t="n"/>
      <c r="M1623" s="11" t="n"/>
    </row>
    <row r="1624">
      <c r="A1624" s="11" t="n"/>
      <c r="B1624" s="11" t="n"/>
      <c r="C1624" s="11" t="n"/>
      <c r="D1624" s="11" t="n"/>
      <c r="E1624" s="11" t="n"/>
      <c r="F1624" s="11" t="n"/>
      <c r="G1624" s="11" t="n"/>
      <c r="H1624" s="11" t="n"/>
      <c r="I1624" s="11" t="n"/>
      <c r="J1624" s="11" t="n"/>
      <c r="K1624" s="11" t="n"/>
      <c r="L1624" s="11" t="n"/>
      <c r="M1624" s="11" t="n"/>
    </row>
    <row r="1625">
      <c r="A1625" s="11" t="n"/>
      <c r="B1625" s="11" t="n"/>
      <c r="C1625" s="11" t="n"/>
      <c r="D1625" s="11" t="n"/>
      <c r="E1625" s="11" t="n"/>
      <c r="F1625" s="11" t="n"/>
      <c r="G1625" s="11" t="n"/>
      <c r="H1625" s="11" t="n"/>
      <c r="I1625" s="11" t="n"/>
      <c r="J1625" s="11" t="n"/>
      <c r="K1625" s="11" t="n"/>
      <c r="L1625" s="11" t="n"/>
      <c r="M1625" s="11" t="n"/>
    </row>
    <row r="1626">
      <c r="A1626" s="11" t="n"/>
      <c r="B1626" s="11" t="n"/>
      <c r="C1626" s="11" t="n"/>
      <c r="D1626" s="11" t="n"/>
      <c r="E1626" s="11" t="n"/>
      <c r="F1626" s="11" t="n"/>
      <c r="G1626" s="11" t="n"/>
      <c r="H1626" s="11" t="n"/>
      <c r="I1626" s="11" t="n"/>
      <c r="J1626" s="11" t="n"/>
      <c r="K1626" s="11" t="n"/>
      <c r="L1626" s="11" t="n"/>
      <c r="M1626" s="11" t="n"/>
    </row>
    <row r="1627">
      <c r="A1627" s="11" t="n"/>
      <c r="B1627" s="11" t="n"/>
      <c r="C1627" s="11" t="n"/>
      <c r="D1627" s="11" t="n"/>
      <c r="E1627" s="11" t="n"/>
      <c r="F1627" s="11" t="n"/>
      <c r="G1627" s="11" t="n"/>
      <c r="H1627" s="11" t="n"/>
      <c r="I1627" s="11" t="n"/>
      <c r="J1627" s="11" t="n"/>
      <c r="K1627" s="11" t="n"/>
      <c r="L1627" s="11" t="n"/>
      <c r="M1627" s="11" t="n"/>
    </row>
    <row r="1628">
      <c r="A1628" s="11" t="n"/>
      <c r="B1628" s="11" t="n"/>
      <c r="C1628" s="11" t="n"/>
      <c r="D1628" s="11" t="n"/>
      <c r="E1628" s="11" t="n"/>
      <c r="F1628" s="11" t="n"/>
      <c r="G1628" s="11" t="n"/>
      <c r="H1628" s="11" t="n"/>
      <c r="I1628" s="11" t="n"/>
      <c r="J1628" s="11" t="n"/>
      <c r="K1628" s="11" t="n"/>
      <c r="L1628" s="11" t="n"/>
      <c r="M1628" s="11" t="n"/>
    </row>
    <row r="1629">
      <c r="A1629" s="11" t="n"/>
      <c r="B1629" s="11" t="n"/>
      <c r="C1629" s="11" t="n"/>
      <c r="D1629" s="11" t="n"/>
      <c r="E1629" s="11" t="n"/>
      <c r="F1629" s="11" t="n"/>
      <c r="G1629" s="11" t="n"/>
      <c r="H1629" s="11" t="n"/>
      <c r="I1629" s="11" t="n"/>
      <c r="J1629" s="11" t="n"/>
      <c r="K1629" s="11" t="n"/>
      <c r="L1629" s="11" t="n"/>
      <c r="M1629" s="11" t="n"/>
    </row>
    <row r="1630">
      <c r="A1630" s="11" t="n"/>
      <c r="B1630" s="11" t="n"/>
      <c r="C1630" s="11" t="n"/>
      <c r="D1630" s="11" t="n"/>
      <c r="E1630" s="11" t="n"/>
      <c r="F1630" s="11" t="n"/>
      <c r="G1630" s="11" t="n"/>
      <c r="H1630" s="11" t="n"/>
      <c r="I1630" s="11" t="n"/>
      <c r="J1630" s="11" t="n"/>
      <c r="K1630" s="11" t="n"/>
      <c r="L1630" s="11" t="n"/>
      <c r="M1630" s="11" t="n"/>
    </row>
    <row r="1631">
      <c r="A1631" s="11" t="n"/>
      <c r="B1631" s="11" t="n"/>
      <c r="C1631" s="11" t="n"/>
      <c r="D1631" s="11" t="n"/>
      <c r="E1631" s="11" t="n"/>
      <c r="F1631" s="11" t="n"/>
      <c r="G1631" s="11" t="n"/>
      <c r="H1631" s="11" t="n"/>
      <c r="I1631" s="11" t="n"/>
      <c r="J1631" s="11" t="n"/>
      <c r="K1631" s="11" t="n"/>
      <c r="L1631" s="11" t="n"/>
      <c r="M1631" s="11" t="n"/>
    </row>
    <row r="1632">
      <c r="A1632" s="11" t="n"/>
      <c r="B1632" s="11" t="n"/>
      <c r="C1632" s="11" t="n"/>
      <c r="D1632" s="11" t="n"/>
      <c r="E1632" s="11" t="n"/>
      <c r="F1632" s="11" t="n"/>
      <c r="G1632" s="11" t="n"/>
      <c r="H1632" s="11" t="n"/>
      <c r="I1632" s="11" t="n"/>
      <c r="J1632" s="11" t="n"/>
      <c r="K1632" s="11" t="n"/>
      <c r="L1632" s="11" t="n"/>
      <c r="M1632" s="11" t="n"/>
    </row>
    <row r="1633">
      <c r="A1633" s="11" t="n"/>
      <c r="B1633" s="11" t="n"/>
      <c r="C1633" s="11" t="n"/>
      <c r="D1633" s="11" t="n"/>
      <c r="E1633" s="11" t="n"/>
      <c r="F1633" s="11" t="n"/>
      <c r="G1633" s="11" t="n"/>
      <c r="H1633" s="11" t="n"/>
      <c r="I1633" s="11" t="n"/>
      <c r="J1633" s="11" t="n"/>
      <c r="K1633" s="11" t="n"/>
      <c r="L1633" s="11" t="n"/>
      <c r="M1633" s="11" t="n"/>
    </row>
    <row r="1634">
      <c r="A1634" s="11" t="n"/>
      <c r="B1634" s="11" t="n"/>
      <c r="C1634" s="11" t="n"/>
      <c r="D1634" s="11" t="n"/>
      <c r="E1634" s="11" t="n"/>
      <c r="F1634" s="11" t="n"/>
      <c r="G1634" s="11" t="n"/>
      <c r="H1634" s="11" t="n"/>
      <c r="I1634" s="11" t="n"/>
      <c r="J1634" s="11" t="n"/>
      <c r="K1634" s="11" t="n"/>
      <c r="L1634" s="11" t="n"/>
      <c r="M1634" s="11" t="n"/>
    </row>
    <row r="1635">
      <c r="A1635" s="11" t="n"/>
      <c r="B1635" s="11" t="n"/>
      <c r="C1635" s="11" t="n"/>
      <c r="D1635" s="11" t="n"/>
      <c r="E1635" s="11" t="n"/>
      <c r="F1635" s="11" t="n"/>
      <c r="G1635" s="11" t="n"/>
      <c r="H1635" s="11" t="n"/>
      <c r="I1635" s="11" t="n"/>
      <c r="J1635" s="11" t="n"/>
      <c r="K1635" s="11" t="n"/>
      <c r="L1635" s="11" t="n"/>
      <c r="M1635" s="11" t="n"/>
    </row>
    <row r="1636">
      <c r="A1636" s="11" t="n"/>
      <c r="B1636" s="11" t="n"/>
      <c r="C1636" s="11" t="n"/>
      <c r="D1636" s="11" t="n"/>
      <c r="E1636" s="11" t="n"/>
      <c r="F1636" s="11" t="n"/>
      <c r="G1636" s="11" t="n"/>
      <c r="H1636" s="11" t="n"/>
      <c r="I1636" s="11" t="n"/>
      <c r="J1636" s="11" t="n"/>
      <c r="K1636" s="11" t="n"/>
      <c r="L1636" s="11" t="n"/>
      <c r="M1636" s="11" t="n"/>
    </row>
    <row r="1637">
      <c r="A1637" s="11" t="n"/>
      <c r="B1637" s="11" t="n"/>
      <c r="C1637" s="11" t="n"/>
      <c r="D1637" s="11" t="n"/>
      <c r="E1637" s="11" t="n"/>
      <c r="F1637" s="11" t="n"/>
      <c r="G1637" s="11" t="n"/>
      <c r="H1637" s="11" t="n"/>
      <c r="I1637" s="11" t="n"/>
      <c r="J1637" s="11" t="n"/>
      <c r="K1637" s="11" t="n"/>
      <c r="L1637" s="11" t="n"/>
      <c r="M1637" s="11" t="n"/>
    </row>
    <row r="1638">
      <c r="A1638" s="11" t="n"/>
      <c r="B1638" s="11" t="n"/>
      <c r="C1638" s="11" t="n"/>
      <c r="D1638" s="11" t="n"/>
      <c r="E1638" s="11" t="n"/>
      <c r="F1638" s="11" t="n"/>
      <c r="G1638" s="11" t="n"/>
      <c r="H1638" s="11" t="n"/>
      <c r="I1638" s="11" t="n"/>
      <c r="J1638" s="11" t="n"/>
      <c r="K1638" s="11" t="n"/>
      <c r="L1638" s="11" t="n"/>
      <c r="M1638" s="11" t="n"/>
    </row>
    <row r="1639">
      <c r="A1639" s="11" t="n"/>
      <c r="B1639" s="11" t="n"/>
      <c r="C1639" s="11" t="n"/>
      <c r="D1639" s="11" t="n"/>
      <c r="E1639" s="11" t="n"/>
      <c r="F1639" s="11" t="n"/>
      <c r="G1639" s="11" t="n"/>
      <c r="H1639" s="11" t="n"/>
      <c r="I1639" s="11" t="n"/>
      <c r="J1639" s="11" t="n"/>
      <c r="K1639" s="11" t="n"/>
      <c r="L1639" s="11" t="n"/>
      <c r="M1639" s="11" t="n"/>
    </row>
    <row r="1640">
      <c r="A1640" s="11" t="n"/>
      <c r="B1640" s="11" t="n"/>
      <c r="C1640" s="11" t="n"/>
      <c r="D1640" s="11" t="n"/>
      <c r="E1640" s="11" t="n"/>
      <c r="F1640" s="11" t="n"/>
      <c r="G1640" s="11" t="n"/>
      <c r="H1640" s="11" t="n"/>
      <c r="I1640" s="11" t="n"/>
      <c r="J1640" s="11" t="n"/>
      <c r="K1640" s="11" t="n"/>
      <c r="L1640" s="11" t="n"/>
      <c r="M1640" s="11" t="n"/>
    </row>
    <row r="1641">
      <c r="A1641" s="11" t="n"/>
      <c r="B1641" s="11" t="n"/>
      <c r="C1641" s="11" t="n"/>
      <c r="D1641" s="11" t="n"/>
      <c r="E1641" s="11" t="n"/>
      <c r="F1641" s="11" t="n"/>
      <c r="G1641" s="11" t="n"/>
      <c r="H1641" s="11" t="n"/>
      <c r="I1641" s="11" t="n"/>
      <c r="J1641" s="11" t="n"/>
      <c r="K1641" s="11" t="n"/>
      <c r="L1641" s="11" t="n"/>
      <c r="M1641" s="11" t="n"/>
    </row>
    <row r="1642">
      <c r="A1642" s="11" t="n"/>
      <c r="B1642" s="11" t="n"/>
      <c r="C1642" s="11" t="n"/>
      <c r="D1642" s="11" t="n"/>
      <c r="E1642" s="11" t="n"/>
      <c r="F1642" s="11" t="n"/>
      <c r="G1642" s="11" t="n"/>
      <c r="H1642" s="11" t="n"/>
      <c r="I1642" s="11" t="n"/>
      <c r="J1642" s="11" t="n"/>
      <c r="K1642" s="11" t="n"/>
      <c r="L1642" s="11" t="n"/>
      <c r="M1642" s="11" t="n"/>
    </row>
    <row r="1643">
      <c r="A1643" s="11" t="n"/>
      <c r="B1643" s="11" t="n"/>
      <c r="C1643" s="11" t="n"/>
      <c r="D1643" s="11" t="n"/>
      <c r="E1643" s="11" t="n"/>
      <c r="F1643" s="11" t="n"/>
      <c r="G1643" s="11" t="n"/>
      <c r="H1643" s="11" t="n"/>
      <c r="I1643" s="11" t="n"/>
      <c r="J1643" s="11" t="n"/>
      <c r="K1643" s="11" t="n"/>
      <c r="L1643" s="11" t="n"/>
      <c r="M1643" s="11" t="n"/>
    </row>
    <row r="1644">
      <c r="A1644" s="11" t="n"/>
      <c r="B1644" s="11" t="n"/>
      <c r="C1644" s="11" t="n"/>
      <c r="D1644" s="11" t="n"/>
      <c r="E1644" s="11" t="n"/>
      <c r="F1644" s="11" t="n"/>
      <c r="G1644" s="11" t="n"/>
      <c r="H1644" s="11" t="n"/>
      <c r="I1644" s="11" t="n"/>
      <c r="J1644" s="11" t="n"/>
      <c r="K1644" s="11" t="n"/>
      <c r="L1644" s="11" t="n"/>
      <c r="M1644" s="11" t="n"/>
    </row>
    <row r="1645">
      <c r="A1645" s="11" t="n"/>
      <c r="B1645" s="11" t="n"/>
      <c r="C1645" s="11" t="n"/>
      <c r="D1645" s="11" t="n"/>
      <c r="E1645" s="11" t="n"/>
      <c r="F1645" s="11" t="n"/>
      <c r="G1645" s="11" t="n"/>
      <c r="H1645" s="11" t="n"/>
      <c r="I1645" s="11" t="n"/>
      <c r="J1645" s="11" t="n"/>
      <c r="K1645" s="11" t="n"/>
      <c r="L1645" s="11" t="n"/>
      <c r="M1645" s="11" t="n"/>
    </row>
    <row r="1646">
      <c r="A1646" s="11" t="n"/>
      <c r="B1646" s="11" t="n"/>
      <c r="C1646" s="11" t="n"/>
      <c r="D1646" s="11" t="n"/>
      <c r="E1646" s="11" t="n"/>
      <c r="F1646" s="11" t="n"/>
      <c r="G1646" s="11" t="n"/>
      <c r="H1646" s="11" t="n"/>
      <c r="I1646" s="11" t="n"/>
      <c r="J1646" s="11" t="n"/>
      <c r="K1646" s="11" t="n"/>
      <c r="L1646" s="11" t="n"/>
      <c r="M1646" s="11" t="n"/>
    </row>
    <row r="1647">
      <c r="A1647" s="11" t="n"/>
      <c r="B1647" s="11" t="n"/>
      <c r="C1647" s="11" t="n"/>
      <c r="D1647" s="11" t="n"/>
      <c r="E1647" s="11" t="n"/>
      <c r="F1647" s="11" t="n"/>
      <c r="G1647" s="11" t="n"/>
      <c r="H1647" s="11" t="n"/>
      <c r="I1647" s="11" t="n"/>
      <c r="J1647" s="11" t="n"/>
      <c r="K1647" s="11" t="n"/>
      <c r="L1647" s="11" t="n"/>
      <c r="M1647" s="11" t="n"/>
    </row>
    <row r="1648">
      <c r="A1648" s="11" t="n"/>
      <c r="B1648" s="11" t="n"/>
      <c r="C1648" s="11" t="n"/>
      <c r="D1648" s="11" t="n"/>
      <c r="E1648" s="11" t="n"/>
      <c r="F1648" s="11" t="n"/>
      <c r="G1648" s="11" t="n"/>
      <c r="H1648" s="11" t="n"/>
      <c r="I1648" s="11" t="n"/>
      <c r="J1648" s="11" t="n"/>
      <c r="K1648" s="11" t="n"/>
      <c r="L1648" s="11" t="n"/>
      <c r="M1648" s="11" t="n"/>
    </row>
    <row r="1649">
      <c r="A1649" s="11" t="n"/>
      <c r="B1649" s="11" t="n"/>
      <c r="C1649" s="11" t="n"/>
      <c r="D1649" s="11" t="n"/>
      <c r="E1649" s="11" t="n"/>
      <c r="F1649" s="11" t="n"/>
      <c r="G1649" s="11" t="n"/>
      <c r="H1649" s="11" t="n"/>
      <c r="I1649" s="11" t="n"/>
      <c r="J1649" s="11" t="n"/>
      <c r="K1649" s="11" t="n"/>
      <c r="L1649" s="11" t="n"/>
      <c r="M1649" s="11" t="n"/>
    </row>
    <row r="1650">
      <c r="A1650" s="11" t="n"/>
      <c r="B1650" s="11" t="n"/>
      <c r="C1650" s="11" t="n"/>
      <c r="D1650" s="11" t="n"/>
      <c r="E1650" s="11" t="n"/>
      <c r="F1650" s="11" t="n"/>
      <c r="G1650" s="11" t="n"/>
      <c r="H1650" s="11" t="n"/>
      <c r="I1650" s="11" t="n"/>
      <c r="J1650" s="11" t="n"/>
      <c r="K1650" s="11" t="n"/>
      <c r="L1650" s="11" t="n"/>
      <c r="M1650" s="11" t="n"/>
    </row>
    <row r="1651">
      <c r="A1651" s="11" t="n"/>
      <c r="B1651" s="11" t="n"/>
      <c r="C1651" s="11" t="n"/>
      <c r="D1651" s="11" t="n"/>
      <c r="E1651" s="11" t="n"/>
      <c r="F1651" s="11" t="n"/>
      <c r="G1651" s="11" t="n"/>
      <c r="H1651" s="11" t="n"/>
      <c r="I1651" s="11" t="n"/>
      <c r="J1651" s="11" t="n"/>
      <c r="K1651" s="11" t="n"/>
      <c r="L1651" s="11" t="n"/>
      <c r="M1651" s="11" t="n"/>
    </row>
    <row r="1652">
      <c r="A1652" s="11" t="n"/>
      <c r="B1652" s="11" t="n"/>
      <c r="C1652" s="11" t="n"/>
      <c r="D1652" s="11" t="n"/>
      <c r="E1652" s="11" t="n"/>
      <c r="F1652" s="11" t="n"/>
      <c r="G1652" s="11" t="n"/>
      <c r="H1652" s="11" t="n"/>
      <c r="I1652" s="11" t="n"/>
      <c r="J1652" s="11" t="n"/>
      <c r="K1652" s="11" t="n"/>
      <c r="L1652" s="11" t="n"/>
      <c r="M1652" s="11" t="n"/>
    </row>
    <row r="1653">
      <c r="A1653" s="11" t="n"/>
      <c r="B1653" s="11" t="n"/>
      <c r="C1653" s="11" t="n"/>
      <c r="D1653" s="11" t="n"/>
      <c r="E1653" s="11" t="n"/>
      <c r="F1653" s="11" t="n"/>
      <c r="G1653" s="11" t="n"/>
      <c r="H1653" s="11" t="n"/>
      <c r="I1653" s="11" t="n"/>
      <c r="J1653" s="11" t="n"/>
      <c r="K1653" s="11" t="n"/>
      <c r="L1653" s="11" t="n"/>
      <c r="M1653" s="11" t="n"/>
    </row>
    <row r="1654">
      <c r="A1654" s="11" t="n"/>
      <c r="B1654" s="11" t="n"/>
      <c r="C1654" s="11" t="n"/>
      <c r="D1654" s="11" t="n"/>
      <c r="E1654" s="11" t="n"/>
      <c r="F1654" s="11" t="n"/>
      <c r="G1654" s="11" t="n"/>
      <c r="H1654" s="11" t="n"/>
      <c r="I1654" s="11" t="n"/>
      <c r="J1654" s="11" t="n"/>
      <c r="K1654" s="11" t="n"/>
      <c r="L1654" s="11" t="n"/>
      <c r="M1654" s="11" t="n"/>
    </row>
    <row r="1655">
      <c r="A1655" s="11" t="n"/>
      <c r="B1655" s="11" t="n"/>
      <c r="C1655" s="11" t="n"/>
      <c r="D1655" s="11" t="n"/>
      <c r="E1655" s="11" t="n"/>
      <c r="F1655" s="11" t="n"/>
      <c r="G1655" s="11" t="n"/>
      <c r="H1655" s="11" t="n"/>
      <c r="I1655" s="11" t="n"/>
      <c r="J1655" s="11" t="n"/>
      <c r="K1655" s="11" t="n"/>
      <c r="L1655" s="11" t="n"/>
      <c r="M1655" s="11" t="n"/>
    </row>
    <row r="1656">
      <c r="A1656" s="11" t="n"/>
      <c r="B1656" s="11" t="n"/>
      <c r="C1656" s="11" t="n"/>
      <c r="D1656" s="11" t="n"/>
      <c r="E1656" s="11" t="n"/>
      <c r="F1656" s="11" t="n"/>
      <c r="G1656" s="11" t="n"/>
      <c r="H1656" s="11" t="n"/>
      <c r="I1656" s="11" t="n"/>
      <c r="J1656" s="11" t="n"/>
      <c r="K1656" s="11" t="n"/>
      <c r="L1656" s="11" t="n"/>
      <c r="M1656" s="11" t="n"/>
    </row>
    <row r="1657">
      <c r="A1657" s="11" t="n"/>
      <c r="B1657" s="11" t="n"/>
      <c r="C1657" s="11" t="n"/>
      <c r="D1657" s="11" t="n"/>
      <c r="E1657" s="11" t="n"/>
      <c r="F1657" s="11" t="n"/>
      <c r="G1657" s="11" t="n"/>
      <c r="H1657" s="11" t="n"/>
      <c r="I1657" s="11" t="n"/>
      <c r="J1657" s="11" t="n"/>
      <c r="K1657" s="11" t="n"/>
      <c r="L1657" s="11" t="n"/>
      <c r="M1657" s="11" t="n"/>
    </row>
    <row r="1658">
      <c r="A1658" s="11" t="n"/>
      <c r="B1658" s="11" t="n"/>
      <c r="C1658" s="11" t="n"/>
      <c r="D1658" s="11" t="n"/>
      <c r="E1658" s="11" t="n"/>
      <c r="F1658" s="11" t="n"/>
      <c r="G1658" s="11" t="n"/>
      <c r="H1658" s="11" t="n"/>
      <c r="I1658" s="11" t="n"/>
      <c r="J1658" s="11" t="n"/>
      <c r="K1658" s="11" t="n"/>
      <c r="L1658" s="11" t="n"/>
      <c r="M1658" s="11" t="n"/>
    </row>
    <row r="1659">
      <c r="A1659" s="11" t="n"/>
      <c r="B1659" s="11" t="n"/>
      <c r="C1659" s="11" t="n"/>
      <c r="D1659" s="11" t="n"/>
      <c r="E1659" s="11" t="n"/>
      <c r="F1659" s="11" t="n"/>
      <c r="G1659" s="11" t="n"/>
      <c r="H1659" s="11" t="n"/>
      <c r="I1659" s="11" t="n"/>
      <c r="J1659" s="11" t="n"/>
      <c r="K1659" s="11" t="n"/>
      <c r="L1659" s="11" t="n"/>
      <c r="M1659" s="11" t="n"/>
    </row>
    <row r="1660">
      <c r="A1660" s="11" t="n"/>
      <c r="B1660" s="11" t="n"/>
      <c r="C1660" s="11" t="n"/>
      <c r="D1660" s="11" t="n"/>
      <c r="E1660" s="11" t="n"/>
      <c r="F1660" s="11" t="n"/>
      <c r="G1660" s="11" t="n"/>
      <c r="H1660" s="11" t="n"/>
      <c r="I1660" s="11" t="n"/>
      <c r="J1660" s="11" t="n"/>
      <c r="K1660" s="11" t="n"/>
      <c r="L1660" s="11" t="n"/>
      <c r="M1660" s="11" t="n"/>
    </row>
    <row r="1661">
      <c r="A1661" s="11" t="n"/>
      <c r="B1661" s="11" t="n"/>
      <c r="C1661" s="11" t="n"/>
      <c r="D1661" s="11" t="n"/>
      <c r="E1661" s="11" t="n"/>
      <c r="F1661" s="11" t="n"/>
      <c r="G1661" s="11" t="n"/>
      <c r="H1661" s="11" t="n"/>
      <c r="I1661" s="11" t="n"/>
      <c r="J1661" s="11" t="n"/>
      <c r="K1661" s="11" t="n"/>
      <c r="L1661" s="11" t="n"/>
      <c r="M1661" s="11" t="n"/>
    </row>
    <row r="1662">
      <c r="A1662" s="11" t="n"/>
      <c r="B1662" s="11" t="n"/>
      <c r="C1662" s="11" t="n"/>
      <c r="D1662" s="11" t="n"/>
      <c r="E1662" s="11" t="n"/>
      <c r="F1662" s="11" t="n"/>
      <c r="G1662" s="11" t="n"/>
      <c r="H1662" s="11" t="n"/>
      <c r="I1662" s="11" t="n"/>
      <c r="J1662" s="11" t="n"/>
      <c r="K1662" s="11" t="n"/>
      <c r="L1662" s="11" t="n"/>
      <c r="M1662" s="11" t="n"/>
    </row>
    <row r="1663">
      <c r="A1663" s="11" t="n"/>
      <c r="B1663" s="11" t="n"/>
      <c r="C1663" s="11" t="n"/>
      <c r="D1663" s="11" t="n"/>
      <c r="E1663" s="11" t="n"/>
      <c r="F1663" s="11" t="n"/>
      <c r="G1663" s="11" t="n"/>
      <c r="H1663" s="11" t="n"/>
      <c r="I1663" s="11" t="n"/>
      <c r="J1663" s="11" t="n"/>
      <c r="K1663" s="11" t="n"/>
      <c r="L1663" s="11" t="n"/>
      <c r="M1663" s="11" t="n"/>
    </row>
    <row r="1664">
      <c r="A1664" s="11" t="n"/>
      <c r="B1664" s="11" t="n"/>
      <c r="C1664" s="11" t="n"/>
      <c r="D1664" s="11" t="n"/>
      <c r="E1664" s="11" t="n"/>
      <c r="F1664" s="11" t="n"/>
      <c r="G1664" s="11" t="n"/>
      <c r="H1664" s="11" t="n"/>
      <c r="I1664" s="11" t="n"/>
      <c r="J1664" s="11" t="n"/>
      <c r="K1664" s="11" t="n"/>
      <c r="L1664" s="11" t="n"/>
      <c r="M1664" s="11" t="n"/>
    </row>
    <row r="1665">
      <c r="A1665" s="11" t="n"/>
      <c r="B1665" s="11" t="n"/>
      <c r="C1665" s="11" t="n"/>
      <c r="D1665" s="11" t="n"/>
      <c r="E1665" s="11" t="n"/>
      <c r="F1665" s="11" t="n"/>
      <c r="G1665" s="11" t="n"/>
      <c r="H1665" s="11" t="n"/>
      <c r="I1665" s="11" t="n"/>
      <c r="J1665" s="11" t="n"/>
      <c r="K1665" s="11" t="n"/>
      <c r="L1665" s="11" t="n"/>
      <c r="M1665" s="11" t="n"/>
    </row>
    <row r="1666">
      <c r="A1666" s="11" t="n"/>
      <c r="B1666" s="11" t="n"/>
      <c r="C1666" s="11" t="n"/>
      <c r="D1666" s="11" t="n"/>
      <c r="E1666" s="11" t="n"/>
      <c r="F1666" s="11" t="n"/>
      <c r="G1666" s="11" t="n"/>
      <c r="H1666" s="11" t="n"/>
      <c r="I1666" s="11" t="n"/>
      <c r="J1666" s="11" t="n"/>
      <c r="K1666" s="11" t="n"/>
      <c r="L1666" s="11" t="n"/>
      <c r="M1666" s="11" t="n"/>
    </row>
    <row r="1667">
      <c r="A1667" s="11" t="n"/>
      <c r="B1667" s="11" t="n"/>
      <c r="C1667" s="11" t="n"/>
      <c r="D1667" s="11" t="n"/>
      <c r="E1667" s="11" t="n"/>
      <c r="F1667" s="11" t="n"/>
      <c r="G1667" s="11" t="n"/>
      <c r="H1667" s="11" t="n"/>
      <c r="I1667" s="11" t="n"/>
      <c r="J1667" s="11" t="n"/>
      <c r="K1667" s="11" t="n"/>
      <c r="L1667" s="11" t="n"/>
      <c r="M1667" s="11" t="n"/>
    </row>
    <row r="1668">
      <c r="A1668" s="11" t="n"/>
      <c r="B1668" s="11" t="n"/>
      <c r="C1668" s="11" t="n"/>
      <c r="D1668" s="11" t="n"/>
      <c r="E1668" s="11" t="n"/>
      <c r="F1668" s="11" t="n"/>
      <c r="G1668" s="11" t="n"/>
      <c r="H1668" s="11" t="n"/>
      <c r="I1668" s="11" t="n"/>
      <c r="J1668" s="11" t="n"/>
      <c r="K1668" s="11" t="n"/>
      <c r="L1668" s="11" t="n"/>
      <c r="M1668" s="11" t="n"/>
    </row>
    <row r="1669">
      <c r="A1669" s="11" t="n"/>
      <c r="B1669" s="11" t="n"/>
      <c r="C1669" s="11" t="n"/>
      <c r="D1669" s="11" t="n"/>
      <c r="E1669" s="11" t="n"/>
      <c r="F1669" s="11" t="n"/>
      <c r="G1669" s="11" t="n"/>
      <c r="H1669" s="11" t="n"/>
      <c r="I1669" s="11" t="n"/>
      <c r="J1669" s="11" t="n"/>
      <c r="K1669" s="11" t="n"/>
      <c r="L1669" s="11" t="n"/>
      <c r="M1669" s="11" t="n"/>
    </row>
    <row r="1670">
      <c r="A1670" s="11" t="n"/>
      <c r="B1670" s="11" t="n"/>
      <c r="C1670" s="11" t="n"/>
      <c r="D1670" s="11" t="n"/>
      <c r="E1670" s="11" t="n"/>
      <c r="F1670" s="11" t="n"/>
      <c r="G1670" s="11" t="n"/>
      <c r="H1670" s="11" t="n"/>
      <c r="I1670" s="11" t="n"/>
      <c r="J1670" s="11" t="n"/>
      <c r="K1670" s="11" t="n"/>
      <c r="L1670" s="11" t="n"/>
      <c r="M1670" s="11" t="n"/>
    </row>
    <row r="1671">
      <c r="A1671" s="11" t="n"/>
      <c r="B1671" s="11" t="n"/>
      <c r="C1671" s="11" t="n"/>
      <c r="D1671" s="11" t="n"/>
      <c r="E1671" s="11" t="n"/>
      <c r="F1671" s="11" t="n"/>
      <c r="G1671" s="11" t="n"/>
      <c r="H1671" s="11" t="n"/>
      <c r="I1671" s="11" t="n"/>
      <c r="J1671" s="11" t="n"/>
      <c r="K1671" s="11" t="n"/>
      <c r="L1671" s="11" t="n"/>
      <c r="M1671" s="11" t="n"/>
    </row>
    <row r="1672">
      <c r="A1672" s="11" t="n"/>
      <c r="B1672" s="11" t="n"/>
      <c r="C1672" s="11" t="n"/>
      <c r="D1672" s="11" t="n"/>
      <c r="E1672" s="11" t="n"/>
      <c r="F1672" s="11" t="n"/>
      <c r="G1672" s="11" t="n"/>
      <c r="H1672" s="11" t="n"/>
      <c r="I1672" s="11" t="n"/>
      <c r="J1672" s="11" t="n"/>
      <c r="K1672" s="11" t="n"/>
      <c r="L1672" s="11" t="n"/>
      <c r="M1672" s="11" t="n"/>
    </row>
    <row r="1673">
      <c r="A1673" s="11" t="n"/>
      <c r="B1673" s="11" t="n"/>
      <c r="C1673" s="11" t="n"/>
      <c r="D1673" s="11" t="n"/>
      <c r="E1673" s="11" t="n"/>
      <c r="F1673" s="11" t="n"/>
      <c r="G1673" s="11" t="n"/>
      <c r="H1673" s="11" t="n"/>
      <c r="I1673" s="11" t="n"/>
      <c r="J1673" s="11" t="n"/>
      <c r="K1673" s="11" t="n"/>
      <c r="L1673" s="11" t="n"/>
      <c r="M1673" s="11" t="n"/>
    </row>
    <row r="1674">
      <c r="A1674" s="11" t="n"/>
      <c r="B1674" s="11" t="n"/>
      <c r="C1674" s="11" t="n"/>
      <c r="D1674" s="11" t="n"/>
      <c r="E1674" s="11" t="n"/>
      <c r="F1674" s="11" t="n"/>
      <c r="G1674" s="11" t="n"/>
      <c r="H1674" s="11" t="n"/>
      <c r="I1674" s="11" t="n"/>
      <c r="J1674" s="11" t="n"/>
      <c r="K1674" s="11" t="n"/>
      <c r="L1674" s="11" t="n"/>
      <c r="M1674" s="11" t="n"/>
    </row>
    <row r="1675">
      <c r="A1675" s="11" t="n"/>
      <c r="B1675" s="11" t="n"/>
      <c r="C1675" s="11" t="n"/>
      <c r="D1675" s="11" t="n"/>
      <c r="E1675" s="11" t="n"/>
      <c r="F1675" s="11" t="n"/>
      <c r="G1675" s="11" t="n"/>
      <c r="H1675" s="11" t="n"/>
      <c r="I1675" s="11" t="n"/>
      <c r="J1675" s="11" t="n"/>
      <c r="K1675" s="11" t="n"/>
      <c r="L1675" s="11" t="n"/>
      <c r="M1675" s="11" t="n"/>
    </row>
    <row r="1676">
      <c r="A1676" s="11" t="n"/>
      <c r="B1676" s="11" t="n"/>
      <c r="C1676" s="11" t="n"/>
      <c r="D1676" s="11" t="n"/>
      <c r="E1676" s="11" t="n"/>
      <c r="F1676" s="11" t="n"/>
      <c r="G1676" s="11" t="n"/>
      <c r="H1676" s="11" t="n"/>
      <c r="I1676" s="11" t="n"/>
      <c r="J1676" s="11" t="n"/>
      <c r="K1676" s="11" t="n"/>
      <c r="L1676" s="11" t="n"/>
      <c r="M1676" s="11" t="n"/>
    </row>
    <row r="1677">
      <c r="A1677" s="11" t="n"/>
      <c r="B1677" s="11" t="n"/>
      <c r="C1677" s="11" t="n"/>
      <c r="D1677" s="11" t="n"/>
      <c r="E1677" s="11" t="n"/>
      <c r="F1677" s="11" t="n"/>
      <c r="G1677" s="11" t="n"/>
      <c r="H1677" s="11" t="n"/>
      <c r="I1677" s="11" t="n"/>
      <c r="J1677" s="11" t="n"/>
      <c r="K1677" s="11" t="n"/>
      <c r="L1677" s="11" t="n"/>
      <c r="M1677" s="11" t="n"/>
    </row>
    <row r="1678">
      <c r="A1678" s="11" t="n"/>
      <c r="B1678" s="11" t="n"/>
      <c r="C1678" s="11" t="n"/>
      <c r="D1678" s="11" t="n"/>
      <c r="E1678" s="11" t="n"/>
      <c r="F1678" s="11" t="n"/>
      <c r="G1678" s="11" t="n"/>
      <c r="H1678" s="11" t="n"/>
      <c r="I1678" s="11" t="n"/>
      <c r="J1678" s="11" t="n"/>
      <c r="K1678" s="11" t="n"/>
      <c r="L1678" s="11" t="n"/>
      <c r="M1678" s="11" t="n"/>
    </row>
    <row r="1679">
      <c r="A1679" s="11" t="n"/>
      <c r="B1679" s="11" t="n"/>
      <c r="C1679" s="11" t="n"/>
      <c r="D1679" s="11" t="n"/>
      <c r="E1679" s="11" t="n"/>
      <c r="F1679" s="11" t="n"/>
      <c r="G1679" s="11" t="n"/>
      <c r="H1679" s="11" t="n"/>
      <c r="I1679" s="11" t="n"/>
      <c r="J1679" s="11" t="n"/>
      <c r="K1679" s="11" t="n"/>
      <c r="L1679" s="11" t="n"/>
      <c r="M1679" s="11" t="n"/>
    </row>
    <row r="1680">
      <c r="A1680" s="11" t="n"/>
      <c r="B1680" s="11" t="n"/>
      <c r="C1680" s="11" t="n"/>
      <c r="D1680" s="11" t="n"/>
      <c r="E1680" s="11" t="n"/>
      <c r="F1680" s="11" t="n"/>
      <c r="G1680" s="11" t="n"/>
      <c r="H1680" s="11" t="n"/>
      <c r="I1680" s="11" t="n"/>
      <c r="J1680" s="11" t="n"/>
      <c r="K1680" s="11" t="n"/>
      <c r="L1680" s="11" t="n"/>
      <c r="M1680" s="11" t="n"/>
    </row>
    <row r="1681">
      <c r="A1681" s="11" t="n"/>
      <c r="B1681" s="11" t="n"/>
      <c r="C1681" s="11" t="n"/>
      <c r="D1681" s="11" t="n"/>
      <c r="E1681" s="11" t="n"/>
      <c r="F1681" s="11" t="n"/>
      <c r="G1681" s="11" t="n"/>
      <c r="H1681" s="11" t="n"/>
      <c r="I1681" s="11" t="n"/>
      <c r="J1681" s="11" t="n"/>
      <c r="K1681" s="11" t="n"/>
      <c r="L1681" s="11" t="n"/>
      <c r="M1681" s="11" t="n"/>
    </row>
    <row r="1682">
      <c r="A1682" s="11" t="n"/>
      <c r="B1682" s="11" t="n"/>
      <c r="C1682" s="11" t="n"/>
      <c r="D1682" s="11" t="n"/>
      <c r="E1682" s="11" t="n"/>
      <c r="F1682" s="11" t="n"/>
      <c r="G1682" s="11" t="n"/>
      <c r="H1682" s="11" t="n"/>
      <c r="I1682" s="11" t="n"/>
      <c r="J1682" s="11" t="n"/>
      <c r="K1682" s="11" t="n"/>
      <c r="L1682" s="11" t="n"/>
      <c r="M1682" s="11" t="n"/>
    </row>
    <row r="1683">
      <c r="A1683" s="11" t="n"/>
      <c r="B1683" s="11" t="n"/>
      <c r="C1683" s="11" t="n"/>
      <c r="D1683" s="11" t="n"/>
      <c r="E1683" s="11" t="n"/>
      <c r="F1683" s="11" t="n"/>
      <c r="G1683" s="11" t="n"/>
      <c r="H1683" s="11" t="n"/>
      <c r="I1683" s="11" t="n"/>
      <c r="J1683" s="11" t="n"/>
      <c r="K1683" s="11" t="n"/>
      <c r="L1683" s="11" t="n"/>
      <c r="M1683" s="11" t="n"/>
    </row>
    <row r="1684">
      <c r="A1684" s="11" t="n"/>
      <c r="B1684" s="11" t="n"/>
      <c r="C1684" s="11" t="n"/>
      <c r="D1684" s="11" t="n"/>
      <c r="E1684" s="11" t="n"/>
      <c r="F1684" s="11" t="n"/>
      <c r="G1684" s="11" t="n"/>
      <c r="H1684" s="11" t="n"/>
      <c r="I1684" s="11" t="n"/>
      <c r="J1684" s="11" t="n"/>
      <c r="K1684" s="11" t="n"/>
      <c r="L1684" s="11" t="n"/>
      <c r="M1684" s="11" t="n"/>
    </row>
    <row r="1685">
      <c r="A1685" s="11" t="n"/>
      <c r="B1685" s="11" t="n"/>
      <c r="C1685" s="11" t="n"/>
      <c r="D1685" s="11" t="n"/>
      <c r="E1685" s="11" t="n"/>
      <c r="F1685" s="11" t="n"/>
      <c r="G1685" s="11" t="n"/>
      <c r="H1685" s="11" t="n"/>
      <c r="I1685" s="11" t="n"/>
      <c r="J1685" s="11" t="n"/>
      <c r="K1685" s="11" t="n"/>
      <c r="L1685" s="11" t="n"/>
      <c r="M1685" s="11" t="n"/>
    </row>
    <row r="1686">
      <c r="A1686" s="11" t="n"/>
      <c r="B1686" s="11" t="n"/>
      <c r="C1686" s="11" t="n"/>
      <c r="D1686" s="11" t="n"/>
      <c r="E1686" s="11" t="n"/>
      <c r="F1686" s="11" t="n"/>
      <c r="G1686" s="11" t="n"/>
      <c r="H1686" s="11" t="n"/>
      <c r="I1686" s="11" t="n"/>
      <c r="J1686" s="11" t="n"/>
      <c r="K1686" s="11" t="n"/>
      <c r="L1686" s="11" t="n"/>
      <c r="M1686" s="11" t="n"/>
    </row>
    <row r="1687">
      <c r="A1687" s="11" t="n"/>
      <c r="B1687" s="11" t="n"/>
      <c r="C1687" s="11" t="n"/>
      <c r="D1687" s="11" t="n"/>
      <c r="E1687" s="11" t="n"/>
      <c r="F1687" s="11" t="n"/>
      <c r="G1687" s="11" t="n"/>
      <c r="H1687" s="11" t="n"/>
      <c r="I1687" s="11" t="n"/>
      <c r="J1687" s="11" t="n"/>
      <c r="K1687" s="11" t="n"/>
      <c r="L1687" s="11" t="n"/>
      <c r="M1687" s="11" t="n"/>
    </row>
    <row r="1688">
      <c r="A1688" s="11" t="n"/>
      <c r="B1688" s="11" t="n"/>
      <c r="C1688" s="11" t="n"/>
      <c r="D1688" s="11" t="n"/>
      <c r="E1688" s="11" t="n"/>
      <c r="F1688" s="11" t="n"/>
      <c r="G1688" s="11" t="n"/>
      <c r="H1688" s="11" t="n"/>
      <c r="I1688" s="11" t="n"/>
      <c r="J1688" s="11" t="n"/>
      <c r="K1688" s="11" t="n"/>
      <c r="L1688" s="11" t="n"/>
      <c r="M1688" s="11" t="n"/>
    </row>
    <row r="1689">
      <c r="A1689" s="11" t="n"/>
      <c r="B1689" s="11" t="n"/>
      <c r="C1689" s="11" t="n"/>
      <c r="D1689" s="11" t="n"/>
      <c r="E1689" s="11" t="n"/>
      <c r="F1689" s="11" t="n"/>
      <c r="G1689" s="11" t="n"/>
      <c r="H1689" s="11" t="n"/>
      <c r="I1689" s="11" t="n"/>
      <c r="J1689" s="11" t="n"/>
      <c r="K1689" s="11" t="n"/>
      <c r="L1689" s="11" t="n"/>
      <c r="M1689" s="11" t="n"/>
    </row>
    <row r="1690">
      <c r="A1690" s="11" t="n"/>
      <c r="B1690" s="11" t="n"/>
      <c r="C1690" s="11" t="n"/>
      <c r="D1690" s="11" t="n"/>
      <c r="E1690" s="11" t="n"/>
      <c r="F1690" s="11" t="n"/>
      <c r="G1690" s="11" t="n"/>
      <c r="H1690" s="11" t="n"/>
      <c r="I1690" s="11" t="n"/>
      <c r="J1690" s="11" t="n"/>
      <c r="K1690" s="11" t="n"/>
      <c r="L1690" s="11" t="n"/>
      <c r="M1690" s="11" t="n"/>
    </row>
    <row r="1691">
      <c r="A1691" s="11" t="n"/>
      <c r="B1691" s="11" t="n"/>
      <c r="C1691" s="11" t="n"/>
      <c r="D1691" s="11" t="n"/>
      <c r="E1691" s="11" t="n"/>
      <c r="F1691" s="11" t="n"/>
      <c r="G1691" s="11" t="n"/>
      <c r="H1691" s="11" t="n"/>
      <c r="I1691" s="11" t="n"/>
      <c r="J1691" s="11" t="n"/>
      <c r="K1691" s="11" t="n"/>
      <c r="L1691" s="11" t="n"/>
      <c r="M1691" s="11" t="n"/>
    </row>
    <row r="1692">
      <c r="A1692" s="11" t="n"/>
      <c r="B1692" s="11" t="n"/>
      <c r="C1692" s="11" t="n"/>
      <c r="D1692" s="11" t="n"/>
      <c r="E1692" s="11" t="n"/>
      <c r="F1692" s="11" t="n"/>
      <c r="G1692" s="11" t="n"/>
      <c r="H1692" s="11" t="n"/>
      <c r="I1692" s="11" t="n"/>
      <c r="J1692" s="11" t="n"/>
      <c r="K1692" s="11" t="n"/>
      <c r="L1692" s="11" t="n"/>
      <c r="M1692" s="11" t="n"/>
    </row>
    <row r="1693">
      <c r="A1693" s="11" t="n"/>
      <c r="B1693" s="11" t="n"/>
      <c r="C1693" s="11" t="n"/>
      <c r="D1693" s="11" t="n"/>
      <c r="E1693" s="11" t="n"/>
      <c r="F1693" s="11" t="n"/>
      <c r="G1693" s="11" t="n"/>
      <c r="H1693" s="11" t="n"/>
      <c r="I1693" s="11" t="n"/>
      <c r="J1693" s="11" t="n"/>
      <c r="K1693" s="11" t="n"/>
      <c r="L1693" s="11" t="n"/>
      <c r="M1693" s="11" t="n"/>
    </row>
    <row r="1694">
      <c r="A1694" s="11" t="n"/>
      <c r="B1694" s="11" t="n"/>
      <c r="C1694" s="11" t="n"/>
      <c r="D1694" s="11" t="n"/>
      <c r="E1694" s="11" t="n"/>
      <c r="F1694" s="11" t="n"/>
      <c r="G1694" s="11" t="n"/>
      <c r="H1694" s="11" t="n"/>
      <c r="I1694" s="11" t="n"/>
      <c r="J1694" s="11" t="n"/>
      <c r="K1694" s="11" t="n"/>
      <c r="L1694" s="11" t="n"/>
      <c r="M1694" s="11" t="n"/>
    </row>
    <row r="1695">
      <c r="A1695" s="11" t="n"/>
      <c r="B1695" s="11" t="n"/>
      <c r="C1695" s="11" t="n"/>
      <c r="D1695" s="11" t="n"/>
      <c r="E1695" s="11" t="n"/>
      <c r="F1695" s="11" t="n"/>
      <c r="G1695" s="11" t="n"/>
      <c r="H1695" s="11" t="n"/>
      <c r="I1695" s="11" t="n"/>
      <c r="J1695" s="11" t="n"/>
      <c r="K1695" s="11" t="n"/>
      <c r="L1695" s="11" t="n"/>
      <c r="M1695" s="11" t="n"/>
    </row>
    <row r="1696">
      <c r="A1696" s="11" t="n"/>
      <c r="B1696" s="11" t="n"/>
      <c r="C1696" s="11" t="n"/>
      <c r="D1696" s="11" t="n"/>
      <c r="E1696" s="11" t="n"/>
      <c r="F1696" s="11" t="n"/>
      <c r="G1696" s="11" t="n"/>
      <c r="H1696" s="11" t="n"/>
      <c r="I1696" s="11" t="n"/>
      <c r="J1696" s="11" t="n"/>
      <c r="K1696" s="11" t="n"/>
      <c r="L1696" s="11" t="n"/>
      <c r="M1696" s="11" t="n"/>
    </row>
    <row r="1697">
      <c r="A1697" s="11" t="n"/>
      <c r="B1697" s="11" t="n"/>
      <c r="C1697" s="11" t="n"/>
      <c r="D1697" s="11" t="n"/>
      <c r="E1697" s="11" t="n"/>
      <c r="F1697" s="11" t="n"/>
      <c r="G1697" s="11" t="n"/>
      <c r="H1697" s="11" t="n"/>
      <c r="I1697" s="11" t="n"/>
      <c r="J1697" s="11" t="n"/>
      <c r="K1697" s="11" t="n"/>
      <c r="L1697" s="11" t="n"/>
      <c r="M1697" s="11" t="n"/>
    </row>
    <row r="1698">
      <c r="A1698" s="11" t="n"/>
      <c r="B1698" s="11" t="n"/>
      <c r="C1698" s="11" t="n"/>
      <c r="D1698" s="11" t="n"/>
      <c r="E1698" s="11" t="n"/>
      <c r="F1698" s="11" t="n"/>
      <c r="G1698" s="11" t="n"/>
      <c r="H1698" s="11" t="n"/>
      <c r="I1698" s="11" t="n"/>
      <c r="J1698" s="11" t="n"/>
      <c r="K1698" s="11" t="n"/>
      <c r="L1698" s="11" t="n"/>
      <c r="M1698" s="11" t="n"/>
    </row>
    <row r="1699">
      <c r="A1699" s="11" t="n"/>
      <c r="B1699" s="11" t="n"/>
      <c r="C1699" s="11" t="n"/>
      <c r="D1699" s="11" t="n"/>
      <c r="E1699" s="11" t="n"/>
      <c r="F1699" s="11" t="n"/>
      <c r="G1699" s="11" t="n"/>
      <c r="H1699" s="11" t="n"/>
      <c r="I1699" s="11" t="n"/>
      <c r="J1699" s="11" t="n"/>
      <c r="K1699" s="11" t="n"/>
      <c r="L1699" s="11" t="n"/>
      <c r="M1699" s="11" t="n"/>
    </row>
    <row r="1700">
      <c r="A1700" s="11" t="n"/>
      <c r="B1700" s="11" t="n"/>
      <c r="C1700" s="11" t="n"/>
      <c r="D1700" s="11" t="n"/>
      <c r="E1700" s="11" t="n"/>
      <c r="F1700" s="11" t="n"/>
      <c r="G1700" s="11" t="n"/>
      <c r="H1700" s="11" t="n"/>
      <c r="I1700" s="11" t="n"/>
      <c r="J1700" s="11" t="n"/>
      <c r="K1700" s="11" t="n"/>
      <c r="L1700" s="11" t="n"/>
      <c r="M1700" s="11" t="n"/>
    </row>
    <row r="1701">
      <c r="A1701" s="11" t="n"/>
      <c r="B1701" s="11" t="n"/>
      <c r="C1701" s="11" t="n"/>
      <c r="D1701" s="11" t="n"/>
      <c r="E1701" s="11" t="n"/>
      <c r="F1701" s="11" t="n"/>
      <c r="G1701" s="11" t="n"/>
      <c r="H1701" s="11" t="n"/>
      <c r="I1701" s="11" t="n"/>
      <c r="J1701" s="11" t="n"/>
      <c r="K1701" s="11" t="n"/>
      <c r="L1701" s="11" t="n"/>
      <c r="M1701" s="11" t="n"/>
    </row>
    <row r="1702">
      <c r="A1702" s="11" t="n"/>
      <c r="B1702" s="11" t="n"/>
      <c r="C1702" s="11" t="n"/>
      <c r="D1702" s="11" t="n"/>
      <c r="E1702" s="11" t="n"/>
      <c r="F1702" s="11" t="n"/>
      <c r="G1702" s="11" t="n"/>
      <c r="H1702" s="11" t="n"/>
      <c r="I1702" s="11" t="n"/>
      <c r="J1702" s="11" t="n"/>
      <c r="K1702" s="11" t="n"/>
      <c r="L1702" s="11" t="n"/>
      <c r="M1702" s="11" t="n"/>
    </row>
    <row r="1703">
      <c r="A1703" s="11" t="n"/>
      <c r="B1703" s="11" t="n"/>
      <c r="C1703" s="11" t="n"/>
      <c r="D1703" s="11" t="n"/>
      <c r="E1703" s="11" t="n"/>
      <c r="F1703" s="11" t="n"/>
      <c r="G1703" s="11" t="n"/>
      <c r="H1703" s="11" t="n"/>
      <c r="I1703" s="11" t="n"/>
      <c r="J1703" s="11" t="n"/>
      <c r="K1703" s="11" t="n"/>
      <c r="L1703" s="11" t="n"/>
      <c r="M1703" s="11" t="n"/>
    </row>
    <row r="1704">
      <c r="A1704" s="11" t="n"/>
      <c r="B1704" s="11" t="n"/>
      <c r="C1704" s="11" t="n"/>
      <c r="D1704" s="11" t="n"/>
      <c r="E1704" s="11" t="n"/>
      <c r="F1704" s="11" t="n"/>
      <c r="G1704" s="11" t="n"/>
      <c r="H1704" s="11" t="n"/>
      <c r="I1704" s="11" t="n"/>
      <c r="J1704" s="11" t="n"/>
      <c r="K1704" s="11" t="n"/>
      <c r="L1704" s="11" t="n"/>
      <c r="M1704" s="11" t="n"/>
    </row>
    <row r="1705">
      <c r="A1705" s="11" t="n"/>
      <c r="B1705" s="11" t="n"/>
      <c r="C1705" s="11" t="n"/>
      <c r="D1705" s="11" t="n"/>
      <c r="E1705" s="11" t="n"/>
      <c r="F1705" s="11" t="n"/>
      <c r="G1705" s="11" t="n"/>
      <c r="H1705" s="11" t="n"/>
      <c r="I1705" s="11" t="n"/>
      <c r="J1705" s="11" t="n"/>
      <c r="K1705" s="11" t="n"/>
      <c r="L1705" s="11" t="n"/>
      <c r="M1705" s="11" t="n"/>
    </row>
    <row r="1706">
      <c r="A1706" s="11" t="n"/>
      <c r="B1706" s="11" t="n"/>
      <c r="C1706" s="11" t="n"/>
      <c r="D1706" s="11" t="n"/>
      <c r="E1706" s="11" t="n"/>
      <c r="F1706" s="11" t="n"/>
      <c r="G1706" s="11" t="n"/>
      <c r="H1706" s="11" t="n"/>
      <c r="I1706" s="11" t="n"/>
      <c r="J1706" s="11" t="n"/>
      <c r="K1706" s="11" t="n"/>
      <c r="L1706" s="11" t="n"/>
      <c r="M1706" s="11" t="n"/>
    </row>
    <row r="1707">
      <c r="A1707" s="11" t="n"/>
      <c r="B1707" s="11" t="n"/>
      <c r="C1707" s="11" t="n"/>
      <c r="D1707" s="11" t="n"/>
      <c r="E1707" s="11" t="n"/>
      <c r="F1707" s="11" t="n"/>
      <c r="G1707" s="11" t="n"/>
      <c r="H1707" s="11" t="n"/>
      <c r="I1707" s="11" t="n"/>
      <c r="J1707" s="11" t="n"/>
      <c r="K1707" s="11" t="n"/>
      <c r="L1707" s="11" t="n"/>
      <c r="M1707" s="11" t="n"/>
    </row>
    <row r="1708">
      <c r="A1708" s="11" t="n"/>
      <c r="B1708" s="11" t="n"/>
      <c r="C1708" s="11" t="n"/>
      <c r="D1708" s="11" t="n"/>
      <c r="E1708" s="11" t="n"/>
      <c r="F1708" s="11" t="n"/>
      <c r="G1708" s="11" t="n"/>
      <c r="H1708" s="11" t="n"/>
      <c r="I1708" s="11" t="n"/>
      <c r="J1708" s="11" t="n"/>
      <c r="K1708" s="11" t="n"/>
      <c r="L1708" s="11" t="n"/>
      <c r="M1708" s="11" t="n"/>
    </row>
    <row r="1709">
      <c r="A1709" s="11" t="n"/>
      <c r="B1709" s="11" t="n"/>
      <c r="C1709" s="11" t="n"/>
      <c r="D1709" s="11" t="n"/>
      <c r="E1709" s="11" t="n"/>
      <c r="F1709" s="11" t="n"/>
      <c r="G1709" s="11" t="n"/>
      <c r="H1709" s="11" t="n"/>
      <c r="I1709" s="11" t="n"/>
      <c r="J1709" s="11" t="n"/>
      <c r="K1709" s="11" t="n"/>
      <c r="L1709" s="11" t="n"/>
      <c r="M1709" s="11" t="n"/>
    </row>
    <row r="1710">
      <c r="A1710" s="11" t="n"/>
      <c r="B1710" s="11" t="n"/>
      <c r="C1710" s="11" t="n"/>
      <c r="D1710" s="11" t="n"/>
      <c r="E1710" s="11" t="n"/>
      <c r="F1710" s="11" t="n"/>
      <c r="G1710" s="11" t="n"/>
      <c r="H1710" s="11" t="n"/>
      <c r="I1710" s="11" t="n"/>
      <c r="J1710" s="11" t="n"/>
      <c r="K1710" s="11" t="n"/>
      <c r="L1710" s="11" t="n"/>
      <c r="M1710" s="11" t="n"/>
    </row>
    <row r="1711">
      <c r="A1711" s="11" t="n"/>
      <c r="B1711" s="11" t="n"/>
      <c r="C1711" s="11" t="n"/>
      <c r="D1711" s="11" t="n"/>
      <c r="E1711" s="11" t="n"/>
      <c r="F1711" s="11" t="n"/>
      <c r="G1711" s="11" t="n"/>
      <c r="H1711" s="11" t="n"/>
      <c r="I1711" s="11" t="n"/>
      <c r="J1711" s="11" t="n"/>
      <c r="K1711" s="11" t="n"/>
      <c r="L1711" s="11" t="n"/>
      <c r="M1711" s="11" t="n"/>
    </row>
    <row r="1712">
      <c r="A1712" s="11" t="n"/>
      <c r="B1712" s="11" t="n"/>
      <c r="C1712" s="11" t="n"/>
      <c r="D1712" s="11" t="n"/>
      <c r="E1712" s="11" t="n"/>
      <c r="F1712" s="11" t="n"/>
      <c r="G1712" s="11" t="n"/>
      <c r="H1712" s="11" t="n"/>
      <c r="I1712" s="11" t="n"/>
      <c r="J1712" s="11" t="n"/>
      <c r="K1712" s="11" t="n"/>
      <c r="L1712" s="11" t="n"/>
      <c r="M1712" s="11" t="n"/>
    </row>
    <row r="1713">
      <c r="A1713" s="11" t="n"/>
      <c r="B1713" s="11" t="n"/>
      <c r="C1713" s="11" t="n"/>
      <c r="D1713" s="11" t="n"/>
      <c r="E1713" s="11" t="n"/>
      <c r="F1713" s="11" t="n"/>
      <c r="G1713" s="11" t="n"/>
      <c r="H1713" s="11" t="n"/>
      <c r="I1713" s="11" t="n"/>
      <c r="J1713" s="11" t="n"/>
      <c r="K1713" s="11" t="n"/>
      <c r="L1713" s="11" t="n"/>
      <c r="M1713" s="11" t="n"/>
    </row>
    <row r="1714">
      <c r="A1714" s="11" t="n"/>
      <c r="B1714" s="11" t="n"/>
      <c r="C1714" s="11" t="n"/>
      <c r="D1714" s="11" t="n"/>
      <c r="E1714" s="11" t="n"/>
      <c r="F1714" s="11" t="n"/>
      <c r="G1714" s="11" t="n"/>
      <c r="H1714" s="11" t="n"/>
      <c r="I1714" s="11" t="n"/>
      <c r="J1714" s="11" t="n"/>
      <c r="K1714" s="11" t="n"/>
      <c r="L1714" s="11" t="n"/>
      <c r="M1714" s="11" t="n"/>
    </row>
    <row r="1715">
      <c r="A1715" s="11" t="n"/>
      <c r="B1715" s="11" t="n"/>
      <c r="C1715" s="11" t="n"/>
      <c r="D1715" s="11" t="n"/>
      <c r="E1715" s="11" t="n"/>
      <c r="F1715" s="11" t="n"/>
      <c r="G1715" s="11" t="n"/>
      <c r="H1715" s="11" t="n"/>
      <c r="I1715" s="11" t="n"/>
      <c r="J1715" s="11" t="n"/>
      <c r="K1715" s="11" t="n"/>
      <c r="L1715" s="11" t="n"/>
      <c r="M1715" s="11" t="n"/>
    </row>
    <row r="1716">
      <c r="A1716" s="11" t="n"/>
      <c r="B1716" s="11" t="n"/>
      <c r="C1716" s="11" t="n"/>
      <c r="D1716" s="11" t="n"/>
      <c r="E1716" s="11" t="n"/>
      <c r="F1716" s="11" t="n"/>
      <c r="G1716" s="11" t="n"/>
      <c r="H1716" s="11" t="n"/>
      <c r="I1716" s="11" t="n"/>
      <c r="J1716" s="11" t="n"/>
      <c r="K1716" s="11" t="n"/>
      <c r="L1716" s="11" t="n"/>
      <c r="M1716" s="11" t="n"/>
    </row>
    <row r="1717">
      <c r="A1717" s="11" t="n"/>
      <c r="B1717" s="11" t="n"/>
      <c r="C1717" s="11" t="n"/>
      <c r="D1717" s="11" t="n"/>
      <c r="E1717" s="11" t="n"/>
      <c r="F1717" s="11" t="n"/>
      <c r="G1717" s="11" t="n"/>
      <c r="H1717" s="11" t="n"/>
      <c r="I1717" s="11" t="n"/>
      <c r="J1717" s="11" t="n"/>
      <c r="K1717" s="11" t="n"/>
      <c r="L1717" s="11" t="n"/>
      <c r="M1717" s="11" t="n"/>
    </row>
    <row r="1718">
      <c r="A1718" s="11" t="n"/>
      <c r="B1718" s="11" t="n"/>
      <c r="C1718" s="11" t="n"/>
      <c r="D1718" s="11" t="n"/>
      <c r="E1718" s="11" t="n"/>
      <c r="F1718" s="11" t="n"/>
      <c r="G1718" s="11" t="n"/>
      <c r="H1718" s="11" t="n"/>
      <c r="I1718" s="11" t="n"/>
      <c r="J1718" s="11" t="n"/>
      <c r="K1718" s="11" t="n"/>
      <c r="L1718" s="11" t="n"/>
      <c r="M1718" s="11" t="n"/>
    </row>
    <row r="1719">
      <c r="A1719" s="11" t="n"/>
      <c r="B1719" s="11" t="n"/>
      <c r="C1719" s="11" t="n"/>
      <c r="D1719" s="11" t="n"/>
      <c r="E1719" s="11" t="n"/>
      <c r="F1719" s="11" t="n"/>
      <c r="G1719" s="11" t="n"/>
      <c r="H1719" s="11" t="n"/>
      <c r="I1719" s="11" t="n"/>
      <c r="J1719" s="11" t="n"/>
      <c r="K1719" s="11" t="n"/>
      <c r="L1719" s="11" t="n"/>
      <c r="M1719" s="11" t="n"/>
    </row>
    <row r="1720">
      <c r="A1720" s="11" t="n"/>
      <c r="B1720" s="11" t="n"/>
      <c r="C1720" s="11" t="n"/>
      <c r="D1720" s="11" t="n"/>
      <c r="E1720" s="11" t="n"/>
      <c r="F1720" s="11" t="n"/>
      <c r="G1720" s="11" t="n"/>
      <c r="H1720" s="11" t="n"/>
      <c r="I1720" s="11" t="n"/>
      <c r="J1720" s="11" t="n"/>
      <c r="K1720" s="11" t="n"/>
      <c r="L1720" s="11" t="n"/>
      <c r="M1720" s="11" t="n"/>
    </row>
    <row r="1721">
      <c r="A1721" s="11" t="n"/>
      <c r="B1721" s="11" t="n"/>
      <c r="C1721" s="11" t="n"/>
      <c r="D1721" s="11" t="n"/>
      <c r="E1721" s="11" t="n"/>
      <c r="F1721" s="11" t="n"/>
      <c r="G1721" s="11" t="n"/>
      <c r="H1721" s="11" t="n"/>
      <c r="I1721" s="11" t="n"/>
      <c r="J1721" s="11" t="n"/>
      <c r="K1721" s="11" t="n"/>
      <c r="L1721" s="11" t="n"/>
      <c r="M1721" s="11" t="n"/>
    </row>
    <row r="1722">
      <c r="A1722" s="11" t="n"/>
      <c r="B1722" s="11" t="n"/>
      <c r="C1722" s="11" t="n"/>
      <c r="D1722" s="11" t="n"/>
      <c r="E1722" s="11" t="n"/>
      <c r="F1722" s="11" t="n"/>
      <c r="G1722" s="11" t="n"/>
      <c r="H1722" s="11" t="n"/>
      <c r="I1722" s="11" t="n"/>
      <c r="J1722" s="11" t="n"/>
      <c r="K1722" s="11" t="n"/>
      <c r="L1722" s="11" t="n"/>
      <c r="M1722" s="11" t="n"/>
    </row>
    <row r="1723">
      <c r="A1723" s="11" t="n"/>
      <c r="B1723" s="11" t="n"/>
      <c r="C1723" s="11" t="n"/>
      <c r="D1723" s="11" t="n"/>
      <c r="E1723" s="11" t="n"/>
      <c r="F1723" s="11" t="n"/>
      <c r="G1723" s="11" t="n"/>
      <c r="H1723" s="11" t="n"/>
      <c r="I1723" s="11" t="n"/>
      <c r="J1723" s="11" t="n"/>
      <c r="K1723" s="11" t="n"/>
      <c r="L1723" s="11" t="n"/>
      <c r="M1723" s="11" t="n"/>
    </row>
    <row r="1724">
      <c r="A1724" s="11" t="n"/>
      <c r="B1724" s="11" t="n"/>
      <c r="C1724" s="11" t="n"/>
      <c r="D1724" s="11" t="n"/>
      <c r="E1724" s="11" t="n"/>
      <c r="F1724" s="11" t="n"/>
      <c r="G1724" s="11" t="n"/>
      <c r="H1724" s="11" t="n"/>
      <c r="I1724" s="11" t="n"/>
      <c r="J1724" s="11" t="n"/>
      <c r="K1724" s="11" t="n"/>
      <c r="L1724" s="11" t="n"/>
      <c r="M1724" s="11" t="n"/>
    </row>
    <row r="1725">
      <c r="A1725" s="11" t="n"/>
      <c r="B1725" s="11" t="n"/>
      <c r="C1725" s="11" t="n"/>
      <c r="D1725" s="11" t="n"/>
      <c r="E1725" s="11" t="n"/>
      <c r="F1725" s="11" t="n"/>
      <c r="G1725" s="11" t="n"/>
      <c r="H1725" s="11" t="n"/>
      <c r="I1725" s="11" t="n"/>
      <c r="J1725" s="11" t="n"/>
      <c r="K1725" s="11" t="n"/>
      <c r="L1725" s="11" t="n"/>
      <c r="M1725" s="11" t="n"/>
    </row>
    <row r="1726">
      <c r="A1726" s="11" t="n"/>
      <c r="B1726" s="11" t="n"/>
      <c r="C1726" s="11" t="n"/>
      <c r="D1726" s="11" t="n"/>
      <c r="E1726" s="11" t="n"/>
      <c r="F1726" s="11" t="n"/>
      <c r="G1726" s="11" t="n"/>
      <c r="H1726" s="11" t="n"/>
      <c r="I1726" s="11" t="n"/>
      <c r="J1726" s="11" t="n"/>
      <c r="K1726" s="11" t="n"/>
      <c r="L1726" s="11" t="n"/>
      <c r="M1726" s="11" t="n"/>
    </row>
    <row r="1727">
      <c r="A1727" s="11" t="n"/>
      <c r="B1727" s="11" t="n"/>
      <c r="C1727" s="11" t="n"/>
      <c r="D1727" s="11" t="n"/>
      <c r="E1727" s="11" t="n"/>
      <c r="F1727" s="11" t="n"/>
      <c r="G1727" s="11" t="n"/>
      <c r="H1727" s="11" t="n"/>
      <c r="I1727" s="11" t="n"/>
      <c r="J1727" s="11" t="n"/>
      <c r="K1727" s="11" t="n"/>
      <c r="L1727" s="11" t="n"/>
      <c r="M1727" s="11" t="n"/>
    </row>
    <row r="1728">
      <c r="A1728" s="11" t="n"/>
      <c r="B1728" s="11" t="n"/>
      <c r="C1728" s="11" t="n"/>
      <c r="D1728" s="11" t="n"/>
      <c r="E1728" s="11" t="n"/>
      <c r="F1728" s="11" t="n"/>
      <c r="G1728" s="11" t="n"/>
      <c r="H1728" s="11" t="n"/>
      <c r="I1728" s="11" t="n"/>
      <c r="J1728" s="11" t="n"/>
      <c r="K1728" s="11" t="n"/>
      <c r="L1728" s="11" t="n"/>
      <c r="M1728" s="11" t="n"/>
    </row>
    <row r="1729">
      <c r="A1729" s="11" t="n"/>
      <c r="B1729" s="11" t="n"/>
      <c r="C1729" s="11" t="n"/>
      <c r="D1729" s="11" t="n"/>
      <c r="E1729" s="11" t="n"/>
      <c r="F1729" s="11" t="n"/>
      <c r="G1729" s="11" t="n"/>
      <c r="H1729" s="11" t="n"/>
      <c r="I1729" s="11" t="n"/>
      <c r="J1729" s="11" t="n"/>
      <c r="K1729" s="11" t="n"/>
      <c r="L1729" s="11" t="n"/>
      <c r="M1729" s="11" t="n"/>
    </row>
    <row r="1730">
      <c r="A1730" s="11" t="n"/>
      <c r="B1730" s="11" t="n"/>
      <c r="C1730" s="11" t="n"/>
      <c r="D1730" s="11" t="n"/>
      <c r="E1730" s="11" t="n"/>
      <c r="F1730" s="11" t="n"/>
      <c r="G1730" s="11" t="n"/>
      <c r="H1730" s="11" t="n"/>
      <c r="I1730" s="11" t="n"/>
      <c r="J1730" s="11" t="n"/>
      <c r="K1730" s="11" t="n"/>
      <c r="L1730" s="11" t="n"/>
      <c r="M1730" s="11" t="n"/>
    </row>
    <row r="1731">
      <c r="A1731" s="11" t="n"/>
      <c r="B1731" s="11" t="n"/>
      <c r="C1731" s="11" t="n"/>
      <c r="D1731" s="11" t="n"/>
      <c r="E1731" s="11" t="n"/>
      <c r="F1731" s="11" t="n"/>
      <c r="G1731" s="11" t="n"/>
      <c r="H1731" s="11" t="n"/>
      <c r="I1731" s="11" t="n"/>
      <c r="J1731" s="11" t="n"/>
      <c r="K1731" s="11" t="n"/>
      <c r="L1731" s="11" t="n"/>
      <c r="M1731" s="11" t="n"/>
    </row>
    <row r="1732">
      <c r="A1732" s="11" t="n"/>
      <c r="B1732" s="11" t="n"/>
      <c r="C1732" s="11" t="n"/>
      <c r="D1732" s="11" t="n"/>
      <c r="E1732" s="11" t="n"/>
      <c r="F1732" s="11" t="n"/>
      <c r="G1732" s="11" t="n"/>
      <c r="H1732" s="11" t="n"/>
      <c r="I1732" s="11" t="n"/>
      <c r="J1732" s="11" t="n"/>
      <c r="K1732" s="11" t="n"/>
      <c r="L1732" s="11" t="n"/>
      <c r="M1732" s="11" t="n"/>
    </row>
    <row r="1733">
      <c r="A1733" s="11" t="n"/>
      <c r="B1733" s="11" t="n"/>
      <c r="C1733" s="11" t="n"/>
      <c r="D1733" s="11" t="n"/>
      <c r="E1733" s="11" t="n"/>
      <c r="F1733" s="11" t="n"/>
      <c r="G1733" s="11" t="n"/>
      <c r="H1733" s="11" t="n"/>
      <c r="I1733" s="11" t="n"/>
      <c r="J1733" s="11" t="n"/>
      <c r="K1733" s="11" t="n"/>
      <c r="L1733" s="11" t="n"/>
      <c r="M1733" s="11" t="n"/>
    </row>
    <row r="1734">
      <c r="A1734" s="11" t="n"/>
      <c r="B1734" s="11" t="n"/>
      <c r="C1734" s="11" t="n"/>
      <c r="D1734" s="11" t="n"/>
      <c r="E1734" s="11" t="n"/>
      <c r="F1734" s="11" t="n"/>
      <c r="G1734" s="11" t="n"/>
      <c r="H1734" s="11" t="n"/>
      <c r="I1734" s="11" t="n"/>
      <c r="J1734" s="11" t="n"/>
      <c r="K1734" s="11" t="n"/>
      <c r="L1734" s="11" t="n"/>
      <c r="M1734" s="11" t="n"/>
    </row>
    <row r="1735">
      <c r="A1735" s="11" t="n"/>
      <c r="B1735" s="11" t="n"/>
      <c r="C1735" s="11" t="n"/>
      <c r="D1735" s="11" t="n"/>
      <c r="E1735" s="11" t="n"/>
      <c r="F1735" s="11" t="n"/>
      <c r="G1735" s="11" t="n"/>
      <c r="H1735" s="11" t="n"/>
      <c r="I1735" s="11" t="n"/>
      <c r="J1735" s="11" t="n"/>
      <c r="K1735" s="11" t="n"/>
      <c r="L1735" s="11" t="n"/>
      <c r="M1735" s="11" t="n"/>
    </row>
    <row r="1736">
      <c r="A1736" s="11" t="n"/>
      <c r="B1736" s="11" t="n"/>
      <c r="C1736" s="11" t="n"/>
      <c r="D1736" s="11" t="n"/>
      <c r="E1736" s="11" t="n"/>
      <c r="F1736" s="11" t="n"/>
      <c r="G1736" s="11" t="n"/>
      <c r="H1736" s="11" t="n"/>
      <c r="I1736" s="11" t="n"/>
      <c r="J1736" s="11" t="n"/>
      <c r="K1736" s="11" t="n"/>
      <c r="L1736" s="11" t="n"/>
      <c r="M1736" s="11" t="n"/>
    </row>
    <row r="1737">
      <c r="A1737" s="11" t="n"/>
      <c r="B1737" s="11" t="n"/>
      <c r="C1737" s="11" t="n"/>
      <c r="D1737" s="11" t="n"/>
      <c r="E1737" s="11" t="n"/>
      <c r="F1737" s="11" t="n"/>
      <c r="G1737" s="11" t="n"/>
      <c r="H1737" s="11" t="n"/>
      <c r="I1737" s="11" t="n"/>
      <c r="J1737" s="11" t="n"/>
      <c r="K1737" s="11" t="n"/>
      <c r="L1737" s="11" t="n"/>
      <c r="M1737" s="11" t="n"/>
    </row>
    <row r="1738">
      <c r="A1738" s="11" t="n"/>
      <c r="B1738" s="11" t="n"/>
      <c r="C1738" s="11" t="n"/>
      <c r="D1738" s="11" t="n"/>
      <c r="E1738" s="11" t="n"/>
      <c r="F1738" s="11" t="n"/>
      <c r="G1738" s="11" t="n"/>
      <c r="H1738" s="11" t="n"/>
      <c r="I1738" s="11" t="n"/>
      <c r="J1738" s="11" t="n"/>
      <c r="K1738" s="11" t="n"/>
      <c r="L1738" s="11" t="n"/>
      <c r="M1738" s="11" t="n"/>
    </row>
    <row r="1739">
      <c r="A1739" s="11" t="n"/>
      <c r="B1739" s="11" t="n"/>
      <c r="C1739" s="11" t="n"/>
      <c r="D1739" s="11" t="n"/>
      <c r="E1739" s="11" t="n"/>
      <c r="F1739" s="11" t="n"/>
      <c r="G1739" s="11" t="n"/>
      <c r="H1739" s="11" t="n"/>
      <c r="I1739" s="11" t="n"/>
      <c r="J1739" s="11" t="n"/>
      <c r="K1739" s="11" t="n"/>
      <c r="L1739" s="11" t="n"/>
      <c r="M1739" s="11" t="n"/>
    </row>
    <row r="1740">
      <c r="A1740" s="11" t="n"/>
      <c r="B1740" s="11" t="n"/>
      <c r="C1740" s="11" t="n"/>
      <c r="D1740" s="11" t="n"/>
      <c r="E1740" s="11" t="n"/>
      <c r="F1740" s="11" t="n"/>
      <c r="G1740" s="11" t="n"/>
      <c r="H1740" s="11" t="n"/>
      <c r="I1740" s="11" t="n"/>
      <c r="J1740" s="11" t="n"/>
      <c r="K1740" s="11" t="n"/>
      <c r="L1740" s="11" t="n"/>
      <c r="M1740" s="11" t="n"/>
    </row>
    <row r="1741">
      <c r="A1741" s="11" t="n"/>
      <c r="B1741" s="11" t="n"/>
      <c r="C1741" s="11" t="n"/>
      <c r="D1741" s="11" t="n"/>
      <c r="E1741" s="11" t="n"/>
      <c r="F1741" s="11" t="n"/>
      <c r="G1741" s="11" t="n"/>
      <c r="H1741" s="11" t="n"/>
      <c r="I1741" s="11" t="n"/>
      <c r="J1741" s="11" t="n"/>
      <c r="K1741" s="11" t="n"/>
      <c r="L1741" s="11" t="n"/>
      <c r="M1741" s="11" t="n"/>
    </row>
    <row r="1742">
      <c r="A1742" s="11" t="n"/>
      <c r="B1742" s="11" t="n"/>
      <c r="C1742" s="11" t="n"/>
      <c r="D1742" s="11" t="n"/>
      <c r="E1742" s="11" t="n"/>
      <c r="F1742" s="11" t="n"/>
      <c r="G1742" s="11" t="n"/>
      <c r="H1742" s="11" t="n"/>
      <c r="I1742" s="11" t="n"/>
      <c r="J1742" s="11" t="n"/>
      <c r="K1742" s="11" t="n"/>
      <c r="L1742" s="11" t="n"/>
      <c r="M1742" s="11" t="n"/>
    </row>
    <row r="1743">
      <c r="A1743" s="11" t="n"/>
      <c r="B1743" s="11" t="n"/>
      <c r="C1743" s="11" t="n"/>
      <c r="D1743" s="11" t="n"/>
      <c r="E1743" s="11" t="n"/>
      <c r="F1743" s="11" t="n"/>
      <c r="G1743" s="11" t="n"/>
      <c r="H1743" s="11" t="n"/>
      <c r="I1743" s="11" t="n"/>
      <c r="J1743" s="11" t="n"/>
      <c r="K1743" s="11" t="n"/>
      <c r="L1743" s="11" t="n"/>
      <c r="M1743" s="11" t="n"/>
    </row>
    <row r="1744">
      <c r="A1744" s="11" t="n"/>
      <c r="B1744" s="11" t="n"/>
      <c r="C1744" s="11" t="n"/>
      <c r="D1744" s="11" t="n"/>
      <c r="E1744" s="11" t="n"/>
      <c r="F1744" s="11" t="n"/>
      <c r="G1744" s="11" t="n"/>
      <c r="H1744" s="11" t="n"/>
      <c r="I1744" s="11" t="n"/>
      <c r="J1744" s="11" t="n"/>
      <c r="K1744" s="11" t="n"/>
      <c r="L1744" s="11" t="n"/>
      <c r="M1744" s="11" t="n"/>
    </row>
    <row r="1745">
      <c r="A1745" s="11" t="n"/>
      <c r="B1745" s="11" t="n"/>
      <c r="C1745" s="11" t="n"/>
      <c r="D1745" s="11" t="n"/>
      <c r="E1745" s="11" t="n"/>
      <c r="F1745" s="11" t="n"/>
      <c r="G1745" s="11" t="n"/>
      <c r="H1745" s="11" t="n"/>
      <c r="I1745" s="11" t="n"/>
      <c r="J1745" s="11" t="n"/>
      <c r="K1745" s="11" t="n"/>
      <c r="L1745" s="11" t="n"/>
      <c r="M1745" s="11" t="n"/>
    </row>
    <row r="1746">
      <c r="A1746" s="11" t="n"/>
      <c r="B1746" s="11" t="n"/>
      <c r="C1746" s="11" t="n"/>
      <c r="D1746" s="11" t="n"/>
      <c r="E1746" s="11" t="n"/>
      <c r="F1746" s="11" t="n"/>
      <c r="G1746" s="11" t="n"/>
      <c r="H1746" s="11" t="n"/>
      <c r="I1746" s="11" t="n"/>
      <c r="J1746" s="11" t="n"/>
      <c r="K1746" s="11" t="n"/>
      <c r="L1746" s="11" t="n"/>
      <c r="M1746" s="11" t="n"/>
    </row>
    <row r="1747">
      <c r="A1747" s="11" t="n"/>
      <c r="B1747" s="11" t="n"/>
      <c r="C1747" s="11" t="n"/>
      <c r="D1747" s="11" t="n"/>
      <c r="E1747" s="11" t="n"/>
      <c r="F1747" s="11" t="n"/>
      <c r="G1747" s="11" t="n"/>
      <c r="H1747" s="11" t="n"/>
      <c r="I1747" s="11" t="n"/>
      <c r="J1747" s="11" t="n"/>
      <c r="K1747" s="11" t="n"/>
      <c r="L1747" s="11" t="n"/>
      <c r="M1747" s="11" t="n"/>
    </row>
    <row r="1748">
      <c r="A1748" s="11" t="n"/>
      <c r="B1748" s="11" t="n"/>
      <c r="C1748" s="11" t="n"/>
      <c r="D1748" s="11" t="n"/>
      <c r="E1748" s="11" t="n"/>
      <c r="F1748" s="11" t="n"/>
      <c r="G1748" s="11" t="n"/>
      <c r="H1748" s="11" t="n"/>
      <c r="I1748" s="11" t="n"/>
      <c r="J1748" s="11" t="n"/>
      <c r="K1748" s="11" t="n"/>
      <c r="L1748" s="11" t="n"/>
      <c r="M1748" s="11" t="n"/>
    </row>
    <row r="1749">
      <c r="A1749" s="11" t="n"/>
      <c r="B1749" s="11" t="n"/>
      <c r="C1749" s="11" t="n"/>
      <c r="D1749" s="11" t="n"/>
      <c r="E1749" s="11" t="n"/>
      <c r="F1749" s="11" t="n"/>
      <c r="G1749" s="11" t="n"/>
      <c r="H1749" s="11" t="n"/>
      <c r="I1749" s="11" t="n"/>
      <c r="J1749" s="11" t="n"/>
      <c r="K1749" s="11" t="n"/>
      <c r="L1749" s="11" t="n"/>
      <c r="M1749" s="11" t="n"/>
    </row>
    <row r="1750">
      <c r="A1750" s="11" t="n"/>
      <c r="B1750" s="11" t="n"/>
      <c r="C1750" s="11" t="n"/>
      <c r="D1750" s="11" t="n"/>
      <c r="E1750" s="11" t="n"/>
      <c r="F1750" s="11" t="n"/>
      <c r="G1750" s="11" t="n"/>
      <c r="H1750" s="11" t="n"/>
      <c r="I1750" s="11" t="n"/>
      <c r="J1750" s="11" t="n"/>
      <c r="K1750" s="11" t="n"/>
      <c r="L1750" s="11" t="n"/>
      <c r="M1750" s="11" t="n"/>
    </row>
    <row r="1751">
      <c r="A1751" s="11" t="n"/>
      <c r="B1751" s="11" t="n"/>
      <c r="C1751" s="11" t="n"/>
      <c r="D1751" s="11" t="n"/>
      <c r="E1751" s="11" t="n"/>
      <c r="F1751" s="11" t="n"/>
      <c r="G1751" s="11" t="n"/>
      <c r="H1751" s="11" t="n"/>
      <c r="I1751" s="11" t="n"/>
      <c r="J1751" s="11" t="n"/>
      <c r="K1751" s="11" t="n"/>
      <c r="L1751" s="11" t="n"/>
      <c r="M1751" s="11" t="n"/>
    </row>
    <row r="1752">
      <c r="A1752" s="11" t="n"/>
      <c r="B1752" s="11" t="n"/>
      <c r="C1752" s="11" t="n"/>
      <c r="D1752" s="11" t="n"/>
      <c r="E1752" s="11" t="n"/>
      <c r="F1752" s="11" t="n"/>
      <c r="G1752" s="11" t="n"/>
      <c r="H1752" s="11" t="n"/>
      <c r="I1752" s="11" t="n"/>
      <c r="J1752" s="11" t="n"/>
      <c r="K1752" s="11" t="n"/>
      <c r="L1752" s="11" t="n"/>
      <c r="M1752" s="11" t="n"/>
    </row>
    <row r="1753">
      <c r="A1753" s="11" t="n"/>
      <c r="B1753" s="11" t="n"/>
      <c r="C1753" s="11" t="n"/>
      <c r="D1753" s="11" t="n"/>
      <c r="E1753" s="11" t="n"/>
      <c r="F1753" s="11" t="n"/>
      <c r="G1753" s="11" t="n"/>
      <c r="H1753" s="11" t="n"/>
      <c r="I1753" s="11" t="n"/>
      <c r="J1753" s="11" t="n"/>
      <c r="K1753" s="11" t="n"/>
      <c r="L1753" s="11" t="n"/>
      <c r="M1753" s="11" t="n"/>
    </row>
    <row r="1754">
      <c r="A1754" s="11" t="n"/>
      <c r="B1754" s="11" t="n"/>
      <c r="C1754" s="11" t="n"/>
      <c r="D1754" s="11" t="n"/>
      <c r="E1754" s="11" t="n"/>
      <c r="F1754" s="11" t="n"/>
      <c r="G1754" s="11" t="n"/>
      <c r="H1754" s="11" t="n"/>
      <c r="I1754" s="11" t="n"/>
      <c r="J1754" s="11" t="n"/>
      <c r="K1754" s="11" t="n"/>
      <c r="L1754" s="11" t="n"/>
      <c r="M1754" s="11" t="n"/>
    </row>
    <row r="1755">
      <c r="A1755" s="11" t="n"/>
      <c r="B1755" s="11" t="n"/>
      <c r="C1755" s="11" t="n"/>
      <c r="D1755" s="11" t="n"/>
      <c r="E1755" s="11" t="n"/>
      <c r="F1755" s="11" t="n"/>
      <c r="G1755" s="11" t="n"/>
      <c r="H1755" s="11" t="n"/>
      <c r="I1755" s="11" t="n"/>
      <c r="J1755" s="11" t="n"/>
      <c r="K1755" s="11" t="n"/>
      <c r="L1755" s="11" t="n"/>
      <c r="M1755" s="11" t="n"/>
    </row>
    <row r="1756">
      <c r="A1756" s="11" t="n"/>
      <c r="B1756" s="11" t="n"/>
      <c r="C1756" s="11" t="n"/>
      <c r="D1756" s="11" t="n"/>
      <c r="E1756" s="11" t="n"/>
      <c r="F1756" s="11" t="n"/>
      <c r="G1756" s="11" t="n"/>
      <c r="H1756" s="11" t="n"/>
      <c r="I1756" s="11" t="n"/>
      <c r="J1756" s="11" t="n"/>
      <c r="K1756" s="11" t="n"/>
      <c r="L1756" s="11" t="n"/>
      <c r="M1756" s="11" t="n"/>
    </row>
    <row r="1757">
      <c r="A1757" s="11" t="n"/>
      <c r="B1757" s="11" t="n"/>
      <c r="C1757" s="11" t="n"/>
      <c r="D1757" s="11" t="n"/>
      <c r="E1757" s="11" t="n"/>
      <c r="F1757" s="11" t="n"/>
      <c r="G1757" s="11" t="n"/>
      <c r="H1757" s="11" t="n"/>
      <c r="I1757" s="11" t="n"/>
      <c r="J1757" s="11" t="n"/>
      <c r="K1757" s="11" t="n"/>
      <c r="L1757" s="11" t="n"/>
      <c r="M1757" s="11" t="n"/>
    </row>
    <row r="1758">
      <c r="A1758" s="11" t="n"/>
      <c r="B1758" s="11" t="n"/>
      <c r="C1758" s="11" t="n"/>
      <c r="D1758" s="11" t="n"/>
      <c r="E1758" s="11" t="n"/>
      <c r="F1758" s="11" t="n"/>
      <c r="G1758" s="11" t="n"/>
      <c r="H1758" s="11" t="n"/>
      <c r="I1758" s="11" t="n"/>
      <c r="J1758" s="11" t="n"/>
      <c r="K1758" s="11" t="n"/>
      <c r="L1758" s="11" t="n"/>
      <c r="M1758" s="11" t="n"/>
    </row>
    <row r="1759">
      <c r="A1759" s="11" t="n"/>
      <c r="B1759" s="11" t="n"/>
      <c r="C1759" s="11" t="n"/>
      <c r="D1759" s="11" t="n"/>
      <c r="E1759" s="11" t="n"/>
      <c r="F1759" s="11" t="n"/>
      <c r="G1759" s="11" t="n"/>
      <c r="H1759" s="11" t="n"/>
      <c r="I1759" s="11" t="n"/>
      <c r="J1759" s="11" t="n"/>
      <c r="K1759" s="11" t="n"/>
      <c r="L1759" s="11" t="n"/>
      <c r="M1759" s="11" t="n"/>
    </row>
    <row r="1760">
      <c r="A1760" s="11" t="n"/>
      <c r="B1760" s="11" t="n"/>
      <c r="C1760" s="11" t="n"/>
      <c r="D1760" s="11" t="n"/>
      <c r="E1760" s="11" t="n"/>
      <c r="F1760" s="11" t="n"/>
      <c r="G1760" s="11" t="n"/>
      <c r="H1760" s="11" t="n"/>
      <c r="I1760" s="11" t="n"/>
      <c r="J1760" s="11" t="n"/>
      <c r="K1760" s="11" t="n"/>
      <c r="L1760" s="11" t="n"/>
      <c r="M1760" s="11" t="n"/>
    </row>
    <row r="1761">
      <c r="A1761" s="11" t="n"/>
      <c r="B1761" s="11" t="n"/>
      <c r="C1761" s="11" t="n"/>
      <c r="D1761" s="11" t="n"/>
      <c r="E1761" s="11" t="n"/>
      <c r="F1761" s="11" t="n"/>
      <c r="G1761" s="11" t="n"/>
      <c r="H1761" s="11" t="n"/>
      <c r="I1761" s="11" t="n"/>
      <c r="J1761" s="11" t="n"/>
      <c r="K1761" s="11" t="n"/>
      <c r="L1761" s="11" t="n"/>
      <c r="M1761" s="11" t="n"/>
    </row>
    <row r="1762">
      <c r="A1762" s="11" t="n"/>
      <c r="B1762" s="11" t="n"/>
      <c r="C1762" s="11" t="n"/>
      <c r="D1762" s="11" t="n"/>
      <c r="E1762" s="11" t="n"/>
      <c r="F1762" s="11" t="n"/>
      <c r="G1762" s="11" t="n"/>
      <c r="H1762" s="11" t="n"/>
      <c r="I1762" s="11" t="n"/>
      <c r="J1762" s="11" t="n"/>
      <c r="K1762" s="11" t="n"/>
      <c r="L1762" s="11" t="n"/>
      <c r="M1762" s="11" t="n"/>
    </row>
    <row r="1763">
      <c r="A1763" s="11" t="n"/>
      <c r="B1763" s="11" t="n"/>
      <c r="C1763" s="11" t="n"/>
      <c r="D1763" s="11" t="n"/>
      <c r="E1763" s="11" t="n"/>
      <c r="F1763" s="11" t="n"/>
      <c r="G1763" s="11" t="n"/>
      <c r="H1763" s="11" t="n"/>
      <c r="I1763" s="11" t="n"/>
      <c r="J1763" s="11" t="n"/>
      <c r="K1763" s="11" t="n"/>
      <c r="L1763" s="11" t="n"/>
      <c r="M1763" s="11" t="n"/>
    </row>
    <row r="1764">
      <c r="A1764" s="11" t="n"/>
      <c r="B1764" s="11" t="n"/>
      <c r="C1764" s="11" t="n"/>
      <c r="D1764" s="11" t="n"/>
      <c r="E1764" s="11" t="n"/>
      <c r="F1764" s="11" t="n"/>
      <c r="G1764" s="11" t="n"/>
      <c r="H1764" s="11" t="n"/>
      <c r="I1764" s="11" t="n"/>
      <c r="J1764" s="11" t="n"/>
      <c r="K1764" s="11" t="n"/>
      <c r="L1764" s="11" t="n"/>
      <c r="M1764" s="11" t="n"/>
    </row>
    <row r="1765">
      <c r="A1765" s="11" t="n"/>
      <c r="B1765" s="11" t="n"/>
      <c r="C1765" s="11" t="n"/>
      <c r="D1765" s="11" t="n"/>
      <c r="E1765" s="11" t="n"/>
      <c r="F1765" s="11" t="n"/>
      <c r="G1765" s="11" t="n"/>
      <c r="H1765" s="11" t="n"/>
      <c r="I1765" s="11" t="n"/>
      <c r="J1765" s="11" t="n"/>
      <c r="K1765" s="11" t="n"/>
      <c r="L1765" s="11" t="n"/>
      <c r="M1765" s="11" t="n"/>
    </row>
    <row r="1766">
      <c r="A1766" s="11" t="n"/>
      <c r="B1766" s="11" t="n"/>
      <c r="C1766" s="11" t="n"/>
      <c r="D1766" s="11" t="n"/>
      <c r="E1766" s="11" t="n"/>
      <c r="F1766" s="11" t="n"/>
      <c r="G1766" s="11" t="n"/>
      <c r="H1766" s="11" t="n"/>
      <c r="I1766" s="11" t="n"/>
      <c r="J1766" s="11" t="n"/>
      <c r="K1766" s="11" t="n"/>
      <c r="L1766" s="11" t="n"/>
      <c r="M1766" s="11" t="n"/>
    </row>
    <row r="1767">
      <c r="A1767" s="11" t="n"/>
      <c r="B1767" s="11" t="n"/>
      <c r="C1767" s="11" t="n"/>
      <c r="D1767" s="11" t="n"/>
      <c r="E1767" s="11" t="n"/>
      <c r="F1767" s="11" t="n"/>
      <c r="G1767" s="11" t="n"/>
      <c r="H1767" s="11" t="n"/>
      <c r="I1767" s="11" t="n"/>
      <c r="J1767" s="11" t="n"/>
      <c r="K1767" s="11" t="n"/>
      <c r="L1767" s="11" t="n"/>
      <c r="M1767" s="11" t="n"/>
    </row>
    <row r="1768">
      <c r="A1768" s="11" t="n"/>
      <c r="B1768" s="11" t="n"/>
      <c r="C1768" s="11" t="n"/>
      <c r="D1768" s="11" t="n"/>
      <c r="E1768" s="11" t="n"/>
      <c r="F1768" s="11" t="n"/>
      <c r="G1768" s="11" t="n"/>
      <c r="H1768" s="11" t="n"/>
      <c r="I1768" s="11" t="n"/>
      <c r="J1768" s="11" t="n"/>
      <c r="K1768" s="11" t="n"/>
      <c r="L1768" s="11" t="n"/>
      <c r="M1768" s="11" t="n"/>
    </row>
    <row r="1769">
      <c r="A1769" s="11" t="n"/>
      <c r="B1769" s="11" t="n"/>
      <c r="C1769" s="11" t="n"/>
      <c r="D1769" s="11" t="n"/>
      <c r="E1769" s="11" t="n"/>
      <c r="F1769" s="11" t="n"/>
      <c r="G1769" s="11" t="n"/>
      <c r="H1769" s="11" t="n"/>
      <c r="I1769" s="11" t="n"/>
      <c r="J1769" s="11" t="n"/>
      <c r="K1769" s="11" t="n"/>
      <c r="L1769" s="11" t="n"/>
      <c r="M1769" s="11" t="n"/>
    </row>
    <row r="1770">
      <c r="A1770" s="11" t="n"/>
      <c r="B1770" s="11" t="n"/>
      <c r="C1770" s="11" t="n"/>
      <c r="D1770" s="11" t="n"/>
      <c r="E1770" s="11" t="n"/>
      <c r="F1770" s="11" t="n"/>
      <c r="G1770" s="11" t="n"/>
      <c r="H1770" s="11" t="n"/>
      <c r="I1770" s="11" t="n"/>
      <c r="J1770" s="11" t="n"/>
      <c r="K1770" s="11" t="n"/>
      <c r="L1770" s="11" t="n"/>
      <c r="M1770" s="11" t="n"/>
    </row>
    <row r="1771">
      <c r="A1771" s="11" t="n"/>
      <c r="B1771" s="11" t="n"/>
      <c r="C1771" s="11" t="n"/>
      <c r="D1771" s="11" t="n"/>
      <c r="E1771" s="11" t="n"/>
      <c r="F1771" s="11" t="n"/>
      <c r="G1771" s="11" t="n"/>
      <c r="H1771" s="11" t="n"/>
      <c r="I1771" s="11" t="n"/>
      <c r="J1771" s="11" t="n"/>
      <c r="K1771" s="11" t="n"/>
      <c r="L1771" s="11" t="n"/>
      <c r="M1771" s="11" t="n"/>
    </row>
    <row r="1772">
      <c r="A1772" s="11" t="n"/>
      <c r="B1772" s="11" t="n"/>
      <c r="C1772" s="11" t="n"/>
      <c r="D1772" s="11" t="n"/>
      <c r="E1772" s="11" t="n"/>
      <c r="F1772" s="11" t="n"/>
      <c r="G1772" s="11" t="n"/>
      <c r="H1772" s="11" t="n"/>
      <c r="I1772" s="11" t="n"/>
      <c r="J1772" s="11" t="n"/>
      <c r="K1772" s="11" t="n"/>
      <c r="L1772" s="11" t="n"/>
      <c r="M1772" s="11" t="n"/>
    </row>
    <row r="1773">
      <c r="A1773" s="11" t="n"/>
      <c r="B1773" s="11" t="n"/>
      <c r="C1773" s="11" t="n"/>
      <c r="D1773" s="11" t="n"/>
      <c r="E1773" s="11" t="n"/>
      <c r="F1773" s="11" t="n"/>
      <c r="G1773" s="11" t="n"/>
      <c r="H1773" s="11" t="n"/>
      <c r="I1773" s="11" t="n"/>
      <c r="J1773" s="11" t="n"/>
      <c r="K1773" s="11" t="n"/>
      <c r="L1773" s="11" t="n"/>
      <c r="M1773" s="11" t="n"/>
    </row>
    <row r="1774">
      <c r="A1774" s="11" t="n"/>
      <c r="B1774" s="11" t="n"/>
      <c r="C1774" s="11" t="n"/>
      <c r="D1774" s="11" t="n"/>
      <c r="E1774" s="11" t="n"/>
      <c r="F1774" s="11" t="n"/>
      <c r="G1774" s="11" t="n"/>
      <c r="H1774" s="11" t="n"/>
      <c r="I1774" s="11" t="n"/>
      <c r="J1774" s="11" t="n"/>
      <c r="K1774" s="11" t="n"/>
      <c r="L1774" s="11" t="n"/>
      <c r="M1774" s="11" t="n"/>
    </row>
    <row r="1775">
      <c r="A1775" s="11" t="n"/>
      <c r="B1775" s="11" t="n"/>
      <c r="C1775" s="11" t="n"/>
      <c r="D1775" s="11" t="n"/>
      <c r="E1775" s="11" t="n"/>
      <c r="F1775" s="11" t="n"/>
      <c r="G1775" s="11" t="n"/>
      <c r="H1775" s="11" t="n"/>
      <c r="I1775" s="11" t="n"/>
      <c r="J1775" s="11" t="n"/>
      <c r="K1775" s="11" t="n"/>
      <c r="L1775" s="11" t="n"/>
      <c r="M1775" s="11" t="n"/>
    </row>
    <row r="1776">
      <c r="A1776" s="11" t="n"/>
      <c r="B1776" s="11" t="n"/>
      <c r="C1776" s="11" t="n"/>
      <c r="D1776" s="11" t="n"/>
      <c r="E1776" s="11" t="n"/>
      <c r="F1776" s="11" t="n"/>
      <c r="G1776" s="11" t="n"/>
      <c r="H1776" s="11" t="n"/>
      <c r="I1776" s="11" t="n"/>
      <c r="J1776" s="11" t="n"/>
      <c r="K1776" s="11" t="n"/>
      <c r="L1776" s="11" t="n"/>
      <c r="M1776" s="11" t="n"/>
    </row>
    <row r="1777">
      <c r="A1777" s="11" t="n"/>
      <c r="B1777" s="11" t="n"/>
      <c r="C1777" s="11" t="n"/>
      <c r="D1777" s="11" t="n"/>
      <c r="E1777" s="11" t="n"/>
      <c r="F1777" s="11" t="n"/>
      <c r="G1777" s="11" t="n"/>
      <c r="H1777" s="11" t="n"/>
      <c r="I1777" s="11" t="n"/>
      <c r="J1777" s="11" t="n"/>
      <c r="K1777" s="11" t="n"/>
      <c r="L1777" s="11" t="n"/>
      <c r="M1777" s="11" t="n"/>
    </row>
    <row r="1778">
      <c r="A1778" s="11" t="n"/>
      <c r="B1778" s="11" t="n"/>
      <c r="C1778" s="11" t="n"/>
      <c r="D1778" s="11" t="n"/>
      <c r="E1778" s="11" t="n"/>
      <c r="F1778" s="11" t="n"/>
      <c r="G1778" s="11" t="n"/>
      <c r="H1778" s="11" t="n"/>
      <c r="I1778" s="11" t="n"/>
      <c r="J1778" s="11" t="n"/>
      <c r="K1778" s="11" t="n"/>
      <c r="L1778" s="11" t="n"/>
      <c r="M1778" s="11" t="n"/>
    </row>
    <row r="1779">
      <c r="A1779" s="11" t="n"/>
      <c r="B1779" s="11" t="n"/>
      <c r="C1779" s="11" t="n"/>
      <c r="D1779" s="11" t="n"/>
      <c r="E1779" s="11" t="n"/>
      <c r="F1779" s="11" t="n"/>
      <c r="G1779" s="11" t="n"/>
      <c r="H1779" s="11" t="n"/>
      <c r="I1779" s="11" t="n"/>
      <c r="J1779" s="11" t="n"/>
      <c r="K1779" s="11" t="n"/>
      <c r="L1779" s="11" t="n"/>
      <c r="M1779" s="11" t="n"/>
    </row>
    <row r="1780">
      <c r="A1780" s="11" t="n"/>
      <c r="B1780" s="11" t="n"/>
      <c r="C1780" s="11" t="n"/>
      <c r="D1780" s="11" t="n"/>
      <c r="E1780" s="11" t="n"/>
      <c r="F1780" s="11" t="n"/>
      <c r="G1780" s="11" t="n"/>
      <c r="H1780" s="11" t="n"/>
      <c r="I1780" s="11" t="n"/>
      <c r="J1780" s="11" t="n"/>
      <c r="K1780" s="11" t="n"/>
      <c r="L1780" s="11" t="n"/>
      <c r="M1780" s="11" t="n"/>
    </row>
    <row r="1781">
      <c r="A1781" s="11" t="n"/>
      <c r="B1781" s="11" t="n"/>
      <c r="C1781" s="11" t="n"/>
      <c r="D1781" s="11" t="n"/>
      <c r="E1781" s="11" t="n"/>
      <c r="F1781" s="11" t="n"/>
      <c r="G1781" s="11" t="n"/>
      <c r="H1781" s="11" t="n"/>
      <c r="I1781" s="11" t="n"/>
      <c r="J1781" s="11" t="n"/>
      <c r="K1781" s="11" t="n"/>
      <c r="L1781" s="11" t="n"/>
      <c r="M1781" s="11" t="n"/>
    </row>
    <row r="1782">
      <c r="A1782" s="11" t="n"/>
      <c r="B1782" s="11" t="n"/>
      <c r="C1782" s="11" t="n"/>
      <c r="D1782" s="11" t="n"/>
      <c r="E1782" s="11" t="n"/>
      <c r="F1782" s="11" t="n"/>
      <c r="G1782" s="11" t="n"/>
      <c r="H1782" s="11" t="n"/>
      <c r="I1782" s="11" t="n"/>
      <c r="J1782" s="11" t="n"/>
      <c r="K1782" s="11" t="n"/>
      <c r="L1782" s="11" t="n"/>
      <c r="M1782" s="11" t="n"/>
    </row>
    <row r="1783">
      <c r="A1783" s="11" t="n"/>
      <c r="B1783" s="11" t="n"/>
      <c r="C1783" s="11" t="n"/>
      <c r="D1783" s="11" t="n"/>
      <c r="E1783" s="11" t="n"/>
      <c r="F1783" s="11" t="n"/>
      <c r="G1783" s="11" t="n"/>
      <c r="H1783" s="11" t="n"/>
      <c r="I1783" s="11" t="n"/>
      <c r="J1783" s="11" t="n"/>
      <c r="K1783" s="11" t="n"/>
      <c r="L1783" s="11" t="n"/>
      <c r="M1783" s="11" t="n"/>
    </row>
    <row r="1784">
      <c r="A1784" s="11" t="n"/>
      <c r="B1784" s="11" t="n"/>
      <c r="C1784" s="11" t="n"/>
      <c r="D1784" s="11" t="n"/>
      <c r="E1784" s="11" t="n"/>
      <c r="F1784" s="11" t="n"/>
      <c r="G1784" s="11" t="n"/>
      <c r="H1784" s="11" t="n"/>
      <c r="I1784" s="11" t="n"/>
      <c r="J1784" s="11" t="n"/>
      <c r="K1784" s="11" t="n"/>
      <c r="L1784" s="11" t="n"/>
      <c r="M1784" s="11" t="n"/>
    </row>
    <row r="1785">
      <c r="A1785" s="11" t="n"/>
      <c r="B1785" s="11" t="n"/>
      <c r="C1785" s="11" t="n"/>
      <c r="D1785" s="11" t="n"/>
      <c r="E1785" s="11" t="n"/>
      <c r="F1785" s="11" t="n"/>
      <c r="G1785" s="11" t="n"/>
      <c r="H1785" s="11" t="n"/>
      <c r="I1785" s="11" t="n"/>
      <c r="J1785" s="11" t="n"/>
      <c r="K1785" s="11" t="n"/>
      <c r="L1785" s="11" t="n"/>
      <c r="M1785" s="11" t="n"/>
    </row>
    <row r="1786">
      <c r="A1786" s="11" t="n"/>
      <c r="B1786" s="11" t="n"/>
      <c r="C1786" s="11" t="n"/>
      <c r="D1786" s="11" t="n"/>
      <c r="E1786" s="11" t="n"/>
      <c r="F1786" s="11" t="n"/>
      <c r="G1786" s="11" t="n"/>
      <c r="H1786" s="11" t="n"/>
      <c r="I1786" s="11" t="n"/>
      <c r="J1786" s="11" t="n"/>
      <c r="K1786" s="11" t="n"/>
      <c r="L1786" s="11" t="n"/>
      <c r="M1786" s="11" t="n"/>
    </row>
    <row r="1787">
      <c r="A1787" s="11" t="n"/>
      <c r="B1787" s="11" t="n"/>
      <c r="C1787" s="11" t="n"/>
      <c r="D1787" s="11" t="n"/>
      <c r="E1787" s="11" t="n"/>
      <c r="F1787" s="11" t="n"/>
      <c r="G1787" s="11" t="n"/>
      <c r="H1787" s="11" t="n"/>
      <c r="I1787" s="11" t="n"/>
      <c r="J1787" s="11" t="n"/>
      <c r="K1787" s="11" t="n"/>
      <c r="L1787" s="11" t="n"/>
      <c r="M1787" s="11" t="n"/>
    </row>
    <row r="1788">
      <c r="A1788" s="11" t="n"/>
      <c r="B1788" s="11" t="n"/>
      <c r="C1788" s="11" t="n"/>
      <c r="D1788" s="11" t="n"/>
      <c r="E1788" s="11" t="n"/>
      <c r="F1788" s="11" t="n"/>
      <c r="G1788" s="11" t="n"/>
      <c r="H1788" s="11" t="n"/>
      <c r="I1788" s="11" t="n"/>
      <c r="J1788" s="11" t="n"/>
      <c r="K1788" s="11" t="n"/>
      <c r="L1788" s="11" t="n"/>
      <c r="M1788" s="11" t="n"/>
    </row>
    <row r="1789">
      <c r="A1789" s="11" t="n"/>
      <c r="B1789" s="11" t="n"/>
      <c r="C1789" s="11" t="n"/>
      <c r="D1789" s="11" t="n"/>
      <c r="E1789" s="11" t="n"/>
      <c r="F1789" s="11" t="n"/>
      <c r="G1789" s="11" t="n"/>
      <c r="H1789" s="11" t="n"/>
      <c r="I1789" s="11" t="n"/>
      <c r="J1789" s="11" t="n"/>
      <c r="K1789" s="11" t="n"/>
      <c r="L1789" s="11" t="n"/>
      <c r="M1789" s="11" t="n"/>
    </row>
    <row r="1790">
      <c r="A1790" s="11" t="n"/>
      <c r="B1790" s="11" t="n"/>
      <c r="C1790" s="11" t="n"/>
      <c r="D1790" s="11" t="n"/>
      <c r="E1790" s="11" t="n"/>
      <c r="F1790" s="11" t="n"/>
      <c r="G1790" s="11" t="n"/>
      <c r="H1790" s="11" t="n"/>
      <c r="I1790" s="11" t="n"/>
      <c r="J1790" s="11" t="n"/>
      <c r="K1790" s="11" t="n"/>
      <c r="L1790" s="11" t="n"/>
      <c r="M1790" s="11" t="n"/>
    </row>
    <row r="1791">
      <c r="A1791" s="11" t="n"/>
      <c r="B1791" s="11" t="n"/>
      <c r="C1791" s="11" t="n"/>
      <c r="D1791" s="11" t="n"/>
      <c r="E1791" s="11" t="n"/>
      <c r="F1791" s="11" t="n"/>
      <c r="G1791" s="11" t="n"/>
      <c r="H1791" s="11" t="n"/>
      <c r="I1791" s="11" t="n"/>
      <c r="J1791" s="11" t="n"/>
      <c r="K1791" s="11" t="n"/>
      <c r="L1791" s="11" t="n"/>
      <c r="M1791" s="11" t="n"/>
    </row>
    <row r="1792">
      <c r="A1792" s="11" t="n"/>
      <c r="B1792" s="11" t="n"/>
      <c r="C1792" s="11" t="n"/>
      <c r="D1792" s="11" t="n"/>
      <c r="E1792" s="11" t="n"/>
      <c r="F1792" s="11" t="n"/>
      <c r="G1792" s="11" t="n"/>
      <c r="H1792" s="11" t="n"/>
      <c r="I1792" s="11" t="n"/>
      <c r="J1792" s="11" t="n"/>
      <c r="K1792" s="11" t="n"/>
      <c r="L1792" s="11" t="n"/>
      <c r="M1792" s="11" t="n"/>
    </row>
    <row r="1793">
      <c r="A1793" s="11" t="n"/>
      <c r="B1793" s="11" t="n"/>
      <c r="C1793" s="11" t="n"/>
      <c r="D1793" s="11" t="n"/>
      <c r="E1793" s="11" t="n"/>
      <c r="F1793" s="11" t="n"/>
      <c r="G1793" s="11" t="n"/>
      <c r="H1793" s="11" t="n"/>
      <c r="I1793" s="11" t="n"/>
      <c r="J1793" s="11" t="n"/>
      <c r="K1793" s="11" t="n"/>
      <c r="L1793" s="11" t="n"/>
      <c r="M1793" s="11" t="n"/>
    </row>
    <row r="1794">
      <c r="A1794" s="11" t="n"/>
      <c r="B1794" s="11" t="n"/>
      <c r="C1794" s="11" t="n"/>
      <c r="D1794" s="11" t="n"/>
      <c r="E1794" s="11" t="n"/>
      <c r="F1794" s="11" t="n"/>
      <c r="G1794" s="11" t="n"/>
      <c r="H1794" s="11" t="n"/>
      <c r="I1794" s="11" t="n"/>
      <c r="J1794" s="11" t="n"/>
      <c r="K1794" s="11" t="n"/>
      <c r="L1794" s="11" t="n"/>
      <c r="M1794" s="11" t="n"/>
    </row>
    <row r="1795">
      <c r="A1795" s="11" t="n"/>
      <c r="B1795" s="11" t="n"/>
      <c r="C1795" s="11" t="n"/>
      <c r="D1795" s="11" t="n"/>
      <c r="E1795" s="11" t="n"/>
      <c r="F1795" s="11" t="n"/>
      <c r="G1795" s="11" t="n"/>
      <c r="H1795" s="11" t="n"/>
      <c r="I1795" s="11" t="n"/>
      <c r="J1795" s="11" t="n"/>
      <c r="K1795" s="11" t="n"/>
      <c r="L1795" s="11" t="n"/>
      <c r="M1795" s="11" t="n"/>
    </row>
    <row r="1796">
      <c r="A1796" s="11" t="n"/>
      <c r="B1796" s="11" t="n"/>
      <c r="C1796" s="11" t="n"/>
      <c r="D1796" s="11" t="n"/>
      <c r="E1796" s="11" t="n"/>
      <c r="F1796" s="11" t="n"/>
      <c r="G1796" s="11" t="n"/>
      <c r="H1796" s="11" t="n"/>
      <c r="I1796" s="11" t="n"/>
      <c r="J1796" s="11" t="n"/>
      <c r="K1796" s="11" t="n"/>
      <c r="L1796" s="11" t="n"/>
      <c r="M1796" s="11" t="n"/>
    </row>
    <row r="1797">
      <c r="A1797" s="11" t="n"/>
      <c r="B1797" s="11" t="n"/>
      <c r="C1797" s="11" t="n"/>
      <c r="D1797" s="11" t="n"/>
      <c r="E1797" s="11" t="n"/>
      <c r="F1797" s="11" t="n"/>
      <c r="G1797" s="11" t="n"/>
      <c r="H1797" s="11" t="n"/>
      <c r="I1797" s="11" t="n"/>
      <c r="J1797" s="11" t="n"/>
      <c r="K1797" s="11" t="n"/>
      <c r="L1797" s="11" t="n"/>
      <c r="M1797" s="11" t="n"/>
    </row>
    <row r="1798">
      <c r="A1798" s="11" t="n"/>
      <c r="B1798" s="11" t="n"/>
      <c r="C1798" s="11" t="n"/>
      <c r="D1798" s="11" t="n"/>
      <c r="E1798" s="11" t="n"/>
      <c r="F1798" s="11" t="n"/>
      <c r="G1798" s="11" t="n"/>
      <c r="H1798" s="11" t="n"/>
      <c r="I1798" s="11" t="n"/>
      <c r="J1798" s="11" t="n"/>
      <c r="K1798" s="11" t="n"/>
      <c r="L1798" s="11" t="n"/>
      <c r="M1798" s="11" t="n"/>
    </row>
    <row r="1799">
      <c r="A1799" s="11" t="n"/>
      <c r="B1799" s="11" t="n"/>
      <c r="C1799" s="11" t="n"/>
      <c r="D1799" s="11" t="n"/>
      <c r="E1799" s="11" t="n"/>
      <c r="F1799" s="11" t="n"/>
      <c r="G1799" s="11" t="n"/>
      <c r="H1799" s="11" t="n"/>
      <c r="I1799" s="11" t="n"/>
      <c r="J1799" s="11" t="n"/>
      <c r="K1799" s="11" t="n"/>
      <c r="L1799" s="11" t="n"/>
      <c r="M1799" s="11" t="n"/>
    </row>
    <row r="1800">
      <c r="A1800" s="11" t="n"/>
      <c r="B1800" s="11" t="n"/>
      <c r="C1800" s="11" t="n"/>
      <c r="D1800" s="11" t="n"/>
      <c r="E1800" s="11" t="n"/>
      <c r="F1800" s="11" t="n"/>
      <c r="G1800" s="11" t="n"/>
      <c r="H1800" s="11" t="n"/>
      <c r="I1800" s="11" t="n"/>
      <c r="J1800" s="11" t="n"/>
      <c r="K1800" s="11" t="n"/>
      <c r="L1800" s="11" t="n"/>
      <c r="M1800" s="11" t="n"/>
    </row>
    <row r="1801">
      <c r="A1801" s="11" t="n"/>
      <c r="B1801" s="11" t="n"/>
      <c r="C1801" s="11" t="n"/>
      <c r="D1801" s="11" t="n"/>
      <c r="E1801" s="11" t="n"/>
      <c r="F1801" s="11" t="n"/>
      <c r="G1801" s="11" t="n"/>
      <c r="H1801" s="11" t="n"/>
      <c r="I1801" s="11" t="n"/>
      <c r="J1801" s="11" t="n"/>
      <c r="K1801" s="11" t="n"/>
      <c r="L1801" s="11" t="n"/>
      <c r="M1801" s="11" t="n"/>
    </row>
    <row r="1802">
      <c r="A1802" s="11" t="n"/>
      <c r="B1802" s="11" t="n"/>
      <c r="C1802" s="11" t="n"/>
      <c r="D1802" s="11" t="n"/>
      <c r="E1802" s="11" t="n"/>
      <c r="F1802" s="11" t="n"/>
      <c r="G1802" s="11" t="n"/>
      <c r="H1802" s="11" t="n"/>
      <c r="I1802" s="11" t="n"/>
      <c r="J1802" s="11" t="n"/>
      <c r="K1802" s="11" t="n"/>
      <c r="L1802" s="11" t="n"/>
      <c r="M1802" s="11" t="n"/>
    </row>
    <row r="1803">
      <c r="A1803" s="11" t="n"/>
      <c r="B1803" s="11" t="n"/>
      <c r="C1803" s="11" t="n"/>
      <c r="D1803" s="11" t="n"/>
      <c r="E1803" s="11" t="n"/>
      <c r="F1803" s="11" t="n"/>
      <c r="G1803" s="11" t="n"/>
      <c r="H1803" s="11" t="n"/>
      <c r="I1803" s="11" t="n"/>
      <c r="J1803" s="11" t="n"/>
      <c r="K1803" s="11" t="n"/>
      <c r="L1803" s="11" t="n"/>
      <c r="M1803" s="11" t="n"/>
    </row>
    <row r="1804">
      <c r="A1804" s="11" t="n"/>
      <c r="B1804" s="11" t="n"/>
      <c r="C1804" s="11" t="n"/>
      <c r="D1804" s="11" t="n"/>
      <c r="E1804" s="11" t="n"/>
      <c r="F1804" s="11" t="n"/>
      <c r="G1804" s="11" t="n"/>
      <c r="H1804" s="11" t="n"/>
      <c r="I1804" s="11" t="n"/>
      <c r="J1804" s="11" t="n"/>
      <c r="K1804" s="11" t="n"/>
      <c r="L1804" s="11" t="n"/>
      <c r="M1804" s="11" t="n"/>
    </row>
    <row r="1805">
      <c r="A1805" s="11" t="n"/>
      <c r="B1805" s="11" t="n"/>
      <c r="C1805" s="11" t="n"/>
      <c r="D1805" s="11" t="n"/>
      <c r="E1805" s="11" t="n"/>
      <c r="F1805" s="11" t="n"/>
      <c r="G1805" s="11" t="n"/>
      <c r="H1805" s="11" t="n"/>
      <c r="I1805" s="11" t="n"/>
      <c r="J1805" s="11" t="n"/>
      <c r="K1805" s="11" t="n"/>
      <c r="L1805" s="11" t="n"/>
      <c r="M1805" s="11" t="n"/>
    </row>
    <row r="1806">
      <c r="A1806" s="11" t="n"/>
      <c r="B1806" s="11" t="n"/>
      <c r="C1806" s="11" t="n"/>
      <c r="D1806" s="11" t="n"/>
      <c r="E1806" s="11" t="n"/>
      <c r="F1806" s="11" t="n"/>
      <c r="G1806" s="11" t="n"/>
      <c r="H1806" s="11" t="n"/>
      <c r="I1806" s="11" t="n"/>
      <c r="J1806" s="11" t="n"/>
      <c r="K1806" s="11" t="n"/>
      <c r="L1806" s="11" t="n"/>
      <c r="M1806" s="11" t="n"/>
    </row>
    <row r="1807">
      <c r="A1807" s="11" t="n"/>
      <c r="B1807" s="11" t="n"/>
      <c r="C1807" s="11" t="n"/>
      <c r="D1807" s="11" t="n"/>
      <c r="E1807" s="11" t="n"/>
      <c r="F1807" s="11" t="n"/>
      <c r="G1807" s="11" t="n"/>
      <c r="H1807" s="11" t="n"/>
      <c r="I1807" s="11" t="n"/>
      <c r="J1807" s="11" t="n"/>
      <c r="K1807" s="11" t="n"/>
      <c r="L1807" s="11" t="n"/>
      <c r="M1807" s="11" t="n"/>
    </row>
    <row r="1808">
      <c r="A1808" s="11" t="n"/>
      <c r="B1808" s="11" t="n"/>
      <c r="C1808" s="11" t="n"/>
      <c r="D1808" s="11" t="n"/>
      <c r="E1808" s="11" t="n"/>
      <c r="F1808" s="11" t="n"/>
      <c r="G1808" s="11" t="n"/>
      <c r="H1808" s="11" t="n"/>
      <c r="I1808" s="11" t="n"/>
      <c r="J1808" s="11" t="n"/>
      <c r="K1808" s="11" t="n"/>
      <c r="L1808" s="11" t="n"/>
      <c r="M1808" s="11" t="n"/>
    </row>
    <row r="1809">
      <c r="A1809" s="11" t="n"/>
      <c r="B1809" s="11" t="n"/>
      <c r="C1809" s="11" t="n"/>
      <c r="D1809" s="11" t="n"/>
      <c r="E1809" s="11" t="n"/>
      <c r="F1809" s="11" t="n"/>
      <c r="G1809" s="11" t="n"/>
      <c r="H1809" s="11" t="n"/>
      <c r="I1809" s="11" t="n"/>
      <c r="J1809" s="11" t="n"/>
      <c r="K1809" s="11" t="n"/>
      <c r="L1809" s="11" t="n"/>
      <c r="M1809" s="11" t="n"/>
    </row>
    <row r="1810">
      <c r="A1810" s="11" t="n"/>
      <c r="B1810" s="11" t="n"/>
      <c r="C1810" s="11" t="n"/>
      <c r="D1810" s="11" t="n"/>
      <c r="E1810" s="11" t="n"/>
      <c r="F1810" s="11" t="n"/>
      <c r="G1810" s="11" t="n"/>
      <c r="H1810" s="11" t="n"/>
      <c r="I1810" s="11" t="n"/>
      <c r="J1810" s="11" t="n"/>
      <c r="K1810" s="11" t="n"/>
      <c r="L1810" s="11" t="n"/>
      <c r="M1810" s="11" t="n"/>
    </row>
    <row r="1811">
      <c r="A1811" s="11" t="n"/>
      <c r="B1811" s="11" t="n"/>
      <c r="C1811" s="11" t="n"/>
      <c r="D1811" s="11" t="n"/>
      <c r="E1811" s="11" t="n"/>
      <c r="F1811" s="11" t="n"/>
      <c r="G1811" s="11" t="n"/>
      <c r="H1811" s="11" t="n"/>
      <c r="I1811" s="11" t="n"/>
      <c r="J1811" s="11" t="n"/>
      <c r="K1811" s="11" t="n"/>
      <c r="L1811" s="11" t="n"/>
      <c r="M1811" s="11" t="n"/>
    </row>
    <row r="1812">
      <c r="A1812" s="11" t="n"/>
      <c r="B1812" s="11" t="n"/>
      <c r="C1812" s="11" t="n"/>
      <c r="D1812" s="11" t="n"/>
      <c r="E1812" s="11" t="n"/>
      <c r="F1812" s="11" t="n"/>
      <c r="G1812" s="11" t="n"/>
      <c r="H1812" s="11" t="n"/>
      <c r="I1812" s="11" t="n"/>
      <c r="J1812" s="11" t="n"/>
      <c r="K1812" s="11" t="n"/>
      <c r="L1812" s="11" t="n"/>
      <c r="M1812" s="11" t="n"/>
    </row>
    <row r="1813">
      <c r="A1813" s="11" t="n"/>
      <c r="B1813" s="11" t="n"/>
      <c r="C1813" s="11" t="n"/>
      <c r="D1813" s="11" t="n"/>
      <c r="E1813" s="11" t="n"/>
      <c r="F1813" s="11" t="n"/>
      <c r="G1813" s="11" t="n"/>
      <c r="H1813" s="11" t="n"/>
      <c r="I1813" s="11" t="n"/>
      <c r="J1813" s="11" t="n"/>
      <c r="K1813" s="11" t="n"/>
      <c r="L1813" s="11" t="n"/>
      <c r="M1813" s="11" t="n"/>
    </row>
    <row r="1814">
      <c r="A1814" s="11" t="n"/>
      <c r="B1814" s="11" t="n"/>
      <c r="C1814" s="11" t="n"/>
      <c r="D1814" s="11" t="n"/>
      <c r="E1814" s="11" t="n"/>
      <c r="F1814" s="11" t="n"/>
      <c r="G1814" s="11" t="n"/>
      <c r="H1814" s="11" t="n"/>
      <c r="I1814" s="11" t="n"/>
      <c r="J1814" s="11" t="n"/>
      <c r="K1814" s="11" t="n"/>
      <c r="L1814" s="11" t="n"/>
      <c r="M1814" s="11" t="n"/>
    </row>
    <row r="1815">
      <c r="A1815" s="11" t="n"/>
      <c r="B1815" s="11" t="n"/>
      <c r="C1815" s="11" t="n"/>
      <c r="D1815" s="11" t="n"/>
      <c r="E1815" s="11" t="n"/>
      <c r="F1815" s="11" t="n"/>
      <c r="G1815" s="11" t="n"/>
      <c r="H1815" s="11" t="n"/>
      <c r="I1815" s="11" t="n"/>
      <c r="J1815" s="11" t="n"/>
      <c r="K1815" s="11" t="n"/>
      <c r="L1815" s="11" t="n"/>
      <c r="M1815" s="11" t="n"/>
    </row>
    <row r="1816">
      <c r="A1816" s="11" t="n"/>
      <c r="B1816" s="11" t="n"/>
      <c r="C1816" s="11" t="n"/>
      <c r="D1816" s="11" t="n"/>
      <c r="E1816" s="11" t="n"/>
      <c r="F1816" s="11" t="n"/>
      <c r="G1816" s="11" t="n"/>
      <c r="H1816" s="11" t="n"/>
      <c r="I1816" s="11" t="n"/>
      <c r="J1816" s="11" t="n"/>
      <c r="K1816" s="11" t="n"/>
      <c r="L1816" s="11" t="n"/>
      <c r="M1816" s="11" t="n"/>
    </row>
    <row r="1817">
      <c r="A1817" s="11" t="n"/>
      <c r="B1817" s="11" t="n"/>
      <c r="C1817" s="11" t="n"/>
      <c r="D1817" s="11" t="n"/>
      <c r="E1817" s="11" t="n"/>
      <c r="F1817" s="11" t="n"/>
      <c r="G1817" s="11" t="n"/>
      <c r="H1817" s="11" t="n"/>
      <c r="I1817" s="11" t="n"/>
      <c r="J1817" s="11" t="n"/>
      <c r="K1817" s="11" t="n"/>
      <c r="L1817" s="11" t="n"/>
      <c r="M1817" s="11" t="n"/>
    </row>
    <row r="1818">
      <c r="A1818" s="11" t="n"/>
      <c r="B1818" s="11" t="n"/>
      <c r="C1818" s="11" t="n"/>
      <c r="D1818" s="11" t="n"/>
      <c r="E1818" s="11" t="n"/>
      <c r="F1818" s="11" t="n"/>
      <c r="G1818" s="11" t="n"/>
      <c r="H1818" s="11" t="n"/>
      <c r="I1818" s="11" t="n"/>
      <c r="J1818" s="11" t="n"/>
      <c r="K1818" s="11" t="n"/>
      <c r="L1818" s="11" t="n"/>
      <c r="M1818" s="11" t="n"/>
    </row>
    <row r="1819">
      <c r="A1819" s="11" t="n"/>
      <c r="B1819" s="11" t="n"/>
      <c r="C1819" s="11" t="n"/>
      <c r="D1819" s="11" t="n"/>
      <c r="E1819" s="11" t="n"/>
      <c r="F1819" s="11" t="n"/>
      <c r="G1819" s="11" t="n"/>
      <c r="H1819" s="11" t="n"/>
      <c r="I1819" s="11" t="n"/>
      <c r="J1819" s="11" t="n"/>
      <c r="K1819" s="11" t="n"/>
      <c r="L1819" s="11" t="n"/>
      <c r="M1819" s="11" t="n"/>
    </row>
    <row r="1820">
      <c r="A1820" s="11" t="n"/>
      <c r="B1820" s="11" t="n"/>
      <c r="C1820" s="11" t="n"/>
      <c r="D1820" s="11" t="n"/>
      <c r="E1820" s="11" t="n"/>
      <c r="F1820" s="11" t="n"/>
      <c r="G1820" s="11" t="n"/>
      <c r="H1820" s="11" t="n"/>
      <c r="I1820" s="11" t="n"/>
      <c r="J1820" s="11" t="n"/>
      <c r="K1820" s="11" t="n"/>
      <c r="L1820" s="11" t="n"/>
      <c r="M1820" s="11" t="n"/>
    </row>
    <row r="1821">
      <c r="A1821" s="11" t="n"/>
      <c r="B1821" s="11" t="n"/>
      <c r="C1821" s="11" t="n"/>
      <c r="D1821" s="11" t="n"/>
      <c r="E1821" s="11" t="n"/>
      <c r="F1821" s="11" t="n"/>
      <c r="G1821" s="11" t="n"/>
      <c r="H1821" s="11" t="n"/>
      <c r="I1821" s="11" t="n"/>
      <c r="J1821" s="11" t="n"/>
      <c r="K1821" s="11" t="n"/>
      <c r="L1821" s="11" t="n"/>
      <c r="M1821" s="11" t="n"/>
    </row>
    <row r="1822">
      <c r="A1822" s="11" t="n"/>
      <c r="B1822" s="11" t="n"/>
      <c r="C1822" s="11" t="n"/>
      <c r="D1822" s="11" t="n"/>
      <c r="E1822" s="11" t="n"/>
      <c r="F1822" s="11" t="n"/>
      <c r="G1822" s="11" t="n"/>
      <c r="H1822" s="11" t="n"/>
      <c r="I1822" s="11" t="n"/>
      <c r="J1822" s="11" t="n"/>
      <c r="K1822" s="11" t="n"/>
      <c r="L1822" s="11" t="n"/>
      <c r="M1822" s="11" t="n"/>
    </row>
    <row r="1823">
      <c r="A1823" s="11" t="n"/>
      <c r="B1823" s="11" t="n"/>
      <c r="C1823" s="11" t="n"/>
      <c r="D1823" s="11" t="n"/>
      <c r="E1823" s="11" t="n"/>
      <c r="F1823" s="11" t="n"/>
      <c r="G1823" s="11" t="n"/>
      <c r="H1823" s="11" t="n"/>
      <c r="I1823" s="11" t="n"/>
      <c r="J1823" s="11" t="n"/>
      <c r="K1823" s="11" t="n"/>
      <c r="L1823" s="11" t="n"/>
      <c r="M1823" s="11" t="n"/>
    </row>
    <row r="1824">
      <c r="A1824" s="11" t="n"/>
      <c r="B1824" s="11" t="n"/>
      <c r="C1824" s="11" t="n"/>
      <c r="D1824" s="11" t="n"/>
      <c r="E1824" s="11" t="n"/>
      <c r="F1824" s="11" t="n"/>
      <c r="G1824" s="11" t="n"/>
      <c r="H1824" s="11" t="n"/>
      <c r="I1824" s="11" t="n"/>
      <c r="J1824" s="11" t="n"/>
      <c r="K1824" s="11" t="n"/>
      <c r="L1824" s="11" t="n"/>
      <c r="M1824" s="11" t="n"/>
    </row>
    <row r="1825">
      <c r="A1825" s="11" t="n"/>
      <c r="B1825" s="11" t="n"/>
      <c r="C1825" s="11" t="n"/>
      <c r="D1825" s="11" t="n"/>
      <c r="E1825" s="11" t="n"/>
      <c r="F1825" s="11" t="n"/>
      <c r="G1825" s="11" t="n"/>
      <c r="H1825" s="11" t="n"/>
      <c r="I1825" s="11" t="n"/>
      <c r="J1825" s="11" t="n"/>
      <c r="K1825" s="11" t="n"/>
      <c r="L1825" s="11" t="n"/>
      <c r="M1825" s="11" t="n"/>
    </row>
    <row r="1826">
      <c r="A1826" s="11" t="n"/>
      <c r="B1826" s="11" t="n"/>
      <c r="C1826" s="11" t="n"/>
      <c r="D1826" s="11" t="n"/>
      <c r="E1826" s="11" t="n"/>
      <c r="F1826" s="11" t="n"/>
      <c r="G1826" s="11" t="n"/>
      <c r="H1826" s="11" t="n"/>
      <c r="I1826" s="11" t="n"/>
      <c r="J1826" s="11" t="n"/>
      <c r="K1826" s="11" t="n"/>
      <c r="L1826" s="11" t="n"/>
      <c r="M1826" s="11" t="n"/>
    </row>
    <row r="1827">
      <c r="A1827" s="11" t="n"/>
      <c r="B1827" s="11" t="n"/>
      <c r="C1827" s="11" t="n"/>
      <c r="D1827" s="11" t="n"/>
      <c r="E1827" s="11" t="n"/>
      <c r="F1827" s="11" t="n"/>
      <c r="G1827" s="11" t="n"/>
      <c r="H1827" s="11" t="n"/>
      <c r="I1827" s="11" t="n"/>
      <c r="J1827" s="11" t="n"/>
      <c r="K1827" s="11" t="n"/>
      <c r="L1827" s="11" t="n"/>
      <c r="M1827" s="11" t="n"/>
    </row>
    <row r="1828">
      <c r="A1828" s="11" t="n"/>
      <c r="B1828" s="11" t="n"/>
      <c r="C1828" s="11" t="n"/>
      <c r="D1828" s="11" t="n"/>
      <c r="E1828" s="11" t="n"/>
      <c r="F1828" s="11" t="n"/>
      <c r="G1828" s="11" t="n"/>
      <c r="H1828" s="11" t="n"/>
      <c r="I1828" s="11" t="n"/>
      <c r="J1828" s="11" t="n"/>
      <c r="K1828" s="11" t="n"/>
      <c r="L1828" s="11" t="n"/>
      <c r="M1828" s="11" t="n"/>
    </row>
    <row r="1829">
      <c r="A1829" s="11" t="n"/>
      <c r="B1829" s="11" t="n"/>
      <c r="C1829" s="11" t="n"/>
      <c r="D1829" s="11" t="n"/>
      <c r="E1829" s="11" t="n"/>
      <c r="F1829" s="11" t="n"/>
      <c r="G1829" s="11" t="n"/>
      <c r="H1829" s="11" t="n"/>
      <c r="I1829" s="11" t="n"/>
      <c r="J1829" s="11" t="n"/>
      <c r="K1829" s="11" t="n"/>
      <c r="L1829" s="11" t="n"/>
      <c r="M1829" s="11" t="n"/>
    </row>
    <row r="1830">
      <c r="A1830" s="11" t="n"/>
      <c r="B1830" s="11" t="n"/>
      <c r="C1830" s="11" t="n"/>
      <c r="D1830" s="11" t="n"/>
      <c r="E1830" s="11" t="n"/>
      <c r="F1830" s="11" t="n"/>
      <c r="G1830" s="11" t="n"/>
      <c r="H1830" s="11" t="n"/>
      <c r="I1830" s="11" t="n"/>
      <c r="J1830" s="11" t="n"/>
      <c r="K1830" s="11" t="n"/>
      <c r="L1830" s="11" t="n"/>
      <c r="M1830" s="11" t="n"/>
    </row>
    <row r="1831">
      <c r="A1831" s="11" t="n"/>
      <c r="B1831" s="11" t="n"/>
      <c r="C1831" s="11" t="n"/>
      <c r="D1831" s="11" t="n"/>
      <c r="E1831" s="11" t="n"/>
      <c r="F1831" s="11" t="n"/>
      <c r="G1831" s="11" t="n"/>
      <c r="H1831" s="11" t="n"/>
      <c r="I1831" s="11" t="n"/>
      <c r="J1831" s="11" t="n"/>
      <c r="K1831" s="11" t="n"/>
      <c r="L1831" s="11" t="n"/>
      <c r="M1831" s="11" t="n"/>
    </row>
    <row r="1832">
      <c r="A1832" s="11" t="n"/>
      <c r="B1832" s="11" t="n"/>
      <c r="C1832" s="11" t="n"/>
      <c r="D1832" s="11" t="n"/>
      <c r="E1832" s="11" t="n"/>
      <c r="F1832" s="11" t="n"/>
      <c r="G1832" s="11" t="n"/>
      <c r="H1832" s="11" t="n"/>
      <c r="I1832" s="11" t="n"/>
      <c r="J1832" s="11" t="n"/>
      <c r="K1832" s="11" t="n"/>
      <c r="L1832" s="11" t="n"/>
      <c r="M1832" s="11" t="n"/>
    </row>
    <row r="1833">
      <c r="A1833" s="11" t="n"/>
      <c r="B1833" s="11" t="n"/>
      <c r="C1833" s="11" t="n"/>
      <c r="D1833" s="11" t="n"/>
      <c r="E1833" s="11" t="n"/>
      <c r="F1833" s="11" t="n"/>
      <c r="G1833" s="11" t="n"/>
      <c r="H1833" s="11" t="n"/>
      <c r="I1833" s="11" t="n"/>
      <c r="J1833" s="11" t="n"/>
      <c r="K1833" s="11" t="n"/>
      <c r="L1833" s="11" t="n"/>
      <c r="M1833" s="11" t="n"/>
    </row>
    <row r="1834">
      <c r="A1834" s="11" t="n"/>
      <c r="B1834" s="11" t="n"/>
      <c r="C1834" s="11" t="n"/>
      <c r="D1834" s="11" t="n"/>
      <c r="E1834" s="11" t="n"/>
      <c r="F1834" s="11" t="n"/>
      <c r="G1834" s="11" t="n"/>
      <c r="H1834" s="11" t="n"/>
      <c r="I1834" s="11" t="n"/>
      <c r="J1834" s="11" t="n"/>
      <c r="K1834" s="11" t="n"/>
      <c r="L1834" s="11" t="n"/>
      <c r="M1834" s="11" t="n"/>
    </row>
    <row r="1835">
      <c r="A1835" s="11" t="n"/>
      <c r="B1835" s="11" t="n"/>
      <c r="C1835" s="11" t="n"/>
      <c r="D1835" s="11" t="n"/>
      <c r="E1835" s="11" t="n"/>
      <c r="F1835" s="11" t="n"/>
      <c r="G1835" s="11" t="n"/>
      <c r="H1835" s="11" t="n"/>
      <c r="I1835" s="11" t="n"/>
      <c r="J1835" s="11" t="n"/>
      <c r="K1835" s="11" t="n"/>
      <c r="L1835" s="11" t="n"/>
      <c r="M1835" s="11" t="n"/>
    </row>
    <row r="1836">
      <c r="A1836" s="11" t="n"/>
      <c r="B1836" s="11" t="n"/>
      <c r="C1836" s="11" t="n"/>
      <c r="D1836" s="11" t="n"/>
      <c r="E1836" s="11" t="n"/>
      <c r="F1836" s="11" t="n"/>
      <c r="G1836" s="11" t="n"/>
      <c r="H1836" s="11" t="n"/>
      <c r="I1836" s="11" t="n"/>
      <c r="J1836" s="11" t="n"/>
      <c r="K1836" s="11" t="n"/>
      <c r="L1836" s="11" t="n"/>
      <c r="M1836" s="11" t="n"/>
    </row>
    <row r="1837">
      <c r="A1837" s="11" t="n"/>
      <c r="B1837" s="11" t="n"/>
      <c r="C1837" s="11" t="n"/>
      <c r="D1837" s="11" t="n"/>
      <c r="E1837" s="11" t="n"/>
      <c r="F1837" s="11" t="n"/>
      <c r="G1837" s="11" t="n"/>
      <c r="H1837" s="11" t="n"/>
      <c r="I1837" s="11" t="n"/>
      <c r="J1837" s="11" t="n"/>
      <c r="K1837" s="11" t="n"/>
      <c r="L1837" s="11" t="n"/>
      <c r="M1837" s="11" t="n"/>
    </row>
    <row r="1838">
      <c r="A1838" s="11" t="n"/>
      <c r="B1838" s="11" t="n"/>
      <c r="C1838" s="11" t="n"/>
      <c r="D1838" s="11" t="n"/>
      <c r="E1838" s="11" t="n"/>
      <c r="F1838" s="11" t="n"/>
      <c r="G1838" s="11" t="n"/>
      <c r="H1838" s="11" t="n"/>
      <c r="I1838" s="11" t="n"/>
      <c r="J1838" s="11" t="n"/>
      <c r="K1838" s="11" t="n"/>
      <c r="L1838" s="11" t="n"/>
      <c r="M1838" s="11" t="n"/>
    </row>
    <row r="1839">
      <c r="A1839" s="11" t="n"/>
      <c r="B1839" s="11" t="n"/>
      <c r="C1839" s="11" t="n"/>
      <c r="D1839" s="11" t="n"/>
      <c r="E1839" s="11" t="n"/>
      <c r="F1839" s="11" t="n"/>
      <c r="G1839" s="11" t="n"/>
      <c r="H1839" s="11" t="n"/>
      <c r="I1839" s="11" t="n"/>
      <c r="J1839" s="11" t="n"/>
      <c r="K1839" s="11" t="n"/>
      <c r="L1839" s="11" t="n"/>
      <c r="M1839" s="11" t="n"/>
    </row>
    <row r="1840">
      <c r="A1840" s="11" t="n"/>
      <c r="B1840" s="11" t="n"/>
      <c r="C1840" s="11" t="n"/>
      <c r="D1840" s="11" t="n"/>
      <c r="E1840" s="11" t="n"/>
      <c r="F1840" s="11" t="n"/>
      <c r="G1840" s="11" t="n"/>
      <c r="H1840" s="11" t="n"/>
      <c r="I1840" s="11" t="n"/>
      <c r="J1840" s="11" t="n"/>
      <c r="K1840" s="11" t="n"/>
      <c r="L1840" s="11" t="n"/>
      <c r="M1840" s="11" t="n"/>
    </row>
    <row r="1841">
      <c r="A1841" s="11" t="n"/>
      <c r="B1841" s="11" t="n"/>
      <c r="C1841" s="11" t="n"/>
      <c r="D1841" s="11" t="n"/>
      <c r="E1841" s="11" t="n"/>
      <c r="F1841" s="11" t="n"/>
      <c r="G1841" s="11" t="n"/>
      <c r="H1841" s="11" t="n"/>
      <c r="I1841" s="11" t="n"/>
      <c r="J1841" s="11" t="n"/>
      <c r="K1841" s="11" t="n"/>
      <c r="L1841" s="11" t="n"/>
      <c r="M1841" s="11" t="n"/>
    </row>
    <row r="1842">
      <c r="A1842" s="11" t="n"/>
      <c r="B1842" s="11" t="n"/>
      <c r="C1842" s="11" t="n"/>
      <c r="D1842" s="11" t="n"/>
      <c r="E1842" s="11" t="n"/>
      <c r="F1842" s="11" t="n"/>
      <c r="G1842" s="11" t="n"/>
      <c r="H1842" s="11" t="n"/>
      <c r="I1842" s="11" t="n"/>
      <c r="J1842" s="11" t="n"/>
      <c r="K1842" s="11" t="n"/>
      <c r="L1842" s="11" t="n"/>
      <c r="M1842" s="11" t="n"/>
    </row>
    <row r="1843">
      <c r="A1843" s="11" t="n"/>
      <c r="B1843" s="11" t="n"/>
      <c r="C1843" s="11" t="n"/>
      <c r="D1843" s="11" t="n"/>
      <c r="E1843" s="11" t="n"/>
      <c r="F1843" s="11" t="n"/>
      <c r="G1843" s="11" t="n"/>
      <c r="H1843" s="11" t="n"/>
      <c r="I1843" s="11" t="n"/>
      <c r="J1843" s="11" t="n"/>
      <c r="K1843" s="11" t="n"/>
      <c r="L1843" s="11" t="n"/>
      <c r="M1843" s="11" t="n"/>
    </row>
    <row r="1844">
      <c r="A1844" s="11" t="n"/>
      <c r="B1844" s="11" t="n"/>
      <c r="C1844" s="11" t="n"/>
      <c r="D1844" s="11" t="n"/>
      <c r="E1844" s="11" t="n"/>
      <c r="F1844" s="11" t="n"/>
      <c r="G1844" s="11" t="n"/>
      <c r="H1844" s="11" t="n"/>
      <c r="I1844" s="11" t="n"/>
      <c r="J1844" s="11" t="n"/>
      <c r="K1844" s="11" t="n"/>
      <c r="L1844" s="11" t="n"/>
      <c r="M1844" s="11" t="n"/>
    </row>
    <row r="1845">
      <c r="A1845" s="11" t="n"/>
      <c r="B1845" s="11" t="n"/>
      <c r="C1845" s="11" t="n"/>
      <c r="D1845" s="11" t="n"/>
      <c r="E1845" s="11" t="n"/>
      <c r="F1845" s="11" t="n"/>
      <c r="G1845" s="11" t="n"/>
      <c r="H1845" s="11" t="n"/>
      <c r="I1845" s="11" t="n"/>
      <c r="J1845" s="11" t="n"/>
      <c r="K1845" s="11" t="n"/>
      <c r="L1845" s="11" t="n"/>
      <c r="M1845" s="11" t="n"/>
    </row>
    <row r="1846">
      <c r="A1846" s="11" t="n"/>
      <c r="B1846" s="11" t="n"/>
      <c r="C1846" s="11" t="n"/>
      <c r="D1846" s="11" t="n"/>
      <c r="E1846" s="11" t="n"/>
      <c r="F1846" s="11" t="n"/>
      <c r="G1846" s="11" t="n"/>
      <c r="H1846" s="11" t="n"/>
      <c r="I1846" s="11" t="n"/>
      <c r="J1846" s="11" t="n"/>
      <c r="K1846" s="11" t="n"/>
      <c r="L1846" s="11" t="n"/>
      <c r="M1846" s="11" t="n"/>
    </row>
    <row r="1847">
      <c r="A1847" s="11" t="n"/>
      <c r="B1847" s="11" t="n"/>
      <c r="C1847" s="11" t="n"/>
      <c r="D1847" s="11" t="n"/>
      <c r="E1847" s="11" t="n"/>
      <c r="F1847" s="11" t="n"/>
      <c r="G1847" s="11" t="n"/>
      <c r="H1847" s="11" t="n"/>
      <c r="I1847" s="11" t="n"/>
      <c r="J1847" s="11" t="n"/>
      <c r="K1847" s="11" t="n"/>
      <c r="L1847" s="11" t="n"/>
      <c r="M1847" s="11" t="n"/>
    </row>
    <row r="1848">
      <c r="A1848" s="11" t="n"/>
      <c r="B1848" s="11" t="n"/>
      <c r="C1848" s="11" t="n"/>
      <c r="D1848" s="11" t="n"/>
      <c r="E1848" s="11" t="n"/>
      <c r="F1848" s="11" t="n"/>
      <c r="G1848" s="11" t="n"/>
      <c r="H1848" s="11" t="n"/>
      <c r="I1848" s="11" t="n"/>
      <c r="J1848" s="11" t="n"/>
      <c r="K1848" s="11" t="n"/>
      <c r="L1848" s="11" t="n"/>
      <c r="M1848" s="11" t="n"/>
    </row>
    <row r="1849">
      <c r="A1849" s="11" t="n"/>
      <c r="B1849" s="11" t="n"/>
      <c r="C1849" s="11" t="n"/>
      <c r="D1849" s="11" t="n"/>
      <c r="E1849" s="11" t="n"/>
      <c r="F1849" s="11" t="n"/>
      <c r="G1849" s="11" t="n"/>
      <c r="H1849" s="11" t="n"/>
      <c r="I1849" s="11" t="n"/>
      <c r="J1849" s="11" t="n"/>
      <c r="K1849" s="11" t="n"/>
      <c r="L1849" s="11" t="n"/>
      <c r="M1849" s="11" t="n"/>
    </row>
    <row r="1850">
      <c r="A1850" s="11" t="n"/>
      <c r="B1850" s="11" t="n"/>
      <c r="C1850" s="11" t="n"/>
      <c r="D1850" s="11" t="n"/>
      <c r="E1850" s="11" t="n"/>
      <c r="F1850" s="11" t="n"/>
      <c r="G1850" s="11" t="n"/>
      <c r="H1850" s="11" t="n"/>
      <c r="I1850" s="11" t="n"/>
      <c r="J1850" s="11" t="n"/>
      <c r="K1850" s="11" t="n"/>
      <c r="L1850" s="11" t="n"/>
      <c r="M1850" s="11" t="n"/>
    </row>
    <row r="1851">
      <c r="A1851" s="11" t="n"/>
      <c r="B1851" s="11" t="n"/>
      <c r="C1851" s="11" t="n"/>
      <c r="D1851" s="11" t="n"/>
      <c r="E1851" s="11" t="n"/>
      <c r="F1851" s="11" t="n"/>
      <c r="G1851" s="11" t="n"/>
      <c r="H1851" s="11" t="n"/>
      <c r="I1851" s="11" t="n"/>
      <c r="J1851" s="11" t="n"/>
      <c r="K1851" s="11" t="n"/>
      <c r="L1851" s="11" t="n"/>
      <c r="M1851" s="11" t="n"/>
    </row>
    <row r="1852">
      <c r="A1852" s="11" t="n"/>
      <c r="B1852" s="11" t="n"/>
      <c r="C1852" s="11" t="n"/>
      <c r="D1852" s="11" t="n"/>
      <c r="E1852" s="11" t="n"/>
      <c r="F1852" s="11" t="n"/>
      <c r="G1852" s="11" t="n"/>
      <c r="H1852" s="11" t="n"/>
      <c r="I1852" s="11" t="n"/>
      <c r="J1852" s="11" t="n"/>
      <c r="K1852" s="11" t="n"/>
      <c r="L1852" s="11" t="n"/>
      <c r="M1852" s="11" t="n"/>
    </row>
    <row r="1853">
      <c r="A1853" s="11" t="n"/>
      <c r="B1853" s="11" t="n"/>
      <c r="C1853" s="11" t="n"/>
      <c r="D1853" s="11" t="n"/>
      <c r="E1853" s="11" t="n"/>
      <c r="F1853" s="11" t="n"/>
      <c r="G1853" s="11" t="n"/>
      <c r="H1853" s="11" t="n"/>
      <c r="I1853" s="11" t="n"/>
      <c r="J1853" s="11" t="n"/>
      <c r="K1853" s="11" t="n"/>
      <c r="L1853" s="11" t="n"/>
      <c r="M1853" s="11" t="n"/>
    </row>
    <row r="1854">
      <c r="A1854" s="11" t="n"/>
      <c r="B1854" s="11" t="n"/>
      <c r="C1854" s="11" t="n"/>
      <c r="D1854" s="11" t="n"/>
      <c r="E1854" s="11" t="n"/>
      <c r="F1854" s="11" t="n"/>
      <c r="G1854" s="11" t="n"/>
      <c r="H1854" s="11" t="n"/>
      <c r="I1854" s="11" t="n"/>
      <c r="J1854" s="11" t="n"/>
      <c r="K1854" s="11" t="n"/>
      <c r="L1854" s="11" t="n"/>
      <c r="M1854" s="11" t="n"/>
    </row>
    <row r="1855">
      <c r="A1855" s="11" t="n"/>
      <c r="B1855" s="11" t="n"/>
      <c r="C1855" s="11" t="n"/>
      <c r="D1855" s="11" t="n"/>
      <c r="E1855" s="11" t="n"/>
      <c r="F1855" s="11" t="n"/>
      <c r="G1855" s="11" t="n"/>
      <c r="H1855" s="11" t="n"/>
      <c r="I1855" s="11" t="n"/>
      <c r="J1855" s="11" t="n"/>
      <c r="K1855" s="11" t="n"/>
      <c r="L1855" s="11" t="n"/>
      <c r="M1855" s="11" t="n"/>
    </row>
    <row r="1856">
      <c r="A1856" s="11" t="n"/>
      <c r="B1856" s="11" t="n"/>
      <c r="C1856" s="11" t="n"/>
      <c r="D1856" s="11" t="n"/>
      <c r="E1856" s="11" t="n"/>
      <c r="F1856" s="11" t="n"/>
      <c r="G1856" s="11" t="n"/>
      <c r="H1856" s="11" t="n"/>
      <c r="I1856" s="11" t="n"/>
      <c r="J1856" s="11" t="n"/>
      <c r="K1856" s="11" t="n"/>
      <c r="L1856" s="11" t="n"/>
      <c r="M1856" s="11" t="n"/>
    </row>
    <row r="1857">
      <c r="A1857" s="11" t="n"/>
      <c r="B1857" s="11" t="n"/>
      <c r="C1857" s="11" t="n"/>
      <c r="D1857" s="11" t="n"/>
      <c r="E1857" s="11" t="n"/>
      <c r="F1857" s="11" t="n"/>
      <c r="G1857" s="11" t="n"/>
      <c r="H1857" s="11" t="n"/>
      <c r="I1857" s="11" t="n"/>
      <c r="J1857" s="11" t="n"/>
      <c r="K1857" s="11" t="n"/>
      <c r="L1857" s="11" t="n"/>
      <c r="M1857" s="11" t="n"/>
    </row>
    <row r="1858">
      <c r="A1858" s="11" t="n"/>
      <c r="B1858" s="11" t="n"/>
      <c r="C1858" s="11" t="n"/>
      <c r="D1858" s="11" t="n"/>
      <c r="E1858" s="11" t="n"/>
      <c r="F1858" s="11" t="n"/>
      <c r="G1858" s="11" t="n"/>
      <c r="H1858" s="11" t="n"/>
      <c r="I1858" s="11" t="n"/>
      <c r="J1858" s="11" t="n"/>
      <c r="K1858" s="11" t="n"/>
      <c r="L1858" s="11" t="n"/>
      <c r="M1858" s="11" t="n"/>
    </row>
    <row r="1859">
      <c r="A1859" s="11" t="n"/>
      <c r="B1859" s="11" t="n"/>
      <c r="C1859" s="11" t="n"/>
      <c r="D1859" s="11" t="n"/>
      <c r="E1859" s="11" t="n"/>
      <c r="F1859" s="11" t="n"/>
      <c r="G1859" s="11" t="n"/>
      <c r="H1859" s="11" t="n"/>
      <c r="I1859" s="11" t="n"/>
      <c r="J1859" s="11" t="n"/>
      <c r="K1859" s="11" t="n"/>
      <c r="L1859" s="11" t="n"/>
      <c r="M1859" s="11" t="n"/>
    </row>
    <row r="1860">
      <c r="A1860" s="11" t="n"/>
      <c r="B1860" s="11" t="n"/>
      <c r="C1860" s="11" t="n"/>
      <c r="D1860" s="11" t="n"/>
      <c r="E1860" s="11" t="n"/>
      <c r="F1860" s="11" t="n"/>
      <c r="G1860" s="11" t="n"/>
      <c r="H1860" s="11" t="n"/>
      <c r="I1860" s="11" t="n"/>
      <c r="J1860" s="11" t="n"/>
      <c r="K1860" s="11" t="n"/>
      <c r="L1860" s="11" t="n"/>
      <c r="M1860" s="11" t="n"/>
    </row>
    <row r="1861">
      <c r="A1861" s="11" t="n"/>
      <c r="B1861" s="11" t="n"/>
      <c r="C1861" s="11" t="n"/>
      <c r="D1861" s="11" t="n"/>
      <c r="E1861" s="11" t="n"/>
      <c r="F1861" s="11" t="n"/>
      <c r="G1861" s="11" t="n"/>
      <c r="H1861" s="11" t="n"/>
      <c r="I1861" s="11" t="n"/>
      <c r="J1861" s="11" t="n"/>
      <c r="K1861" s="11" t="n"/>
      <c r="L1861" s="11" t="n"/>
      <c r="M1861" s="11" t="n"/>
    </row>
    <row r="1862">
      <c r="A1862" s="11" t="n"/>
      <c r="B1862" s="11" t="n"/>
      <c r="C1862" s="11" t="n"/>
      <c r="D1862" s="11" t="n"/>
      <c r="E1862" s="11" t="n"/>
      <c r="F1862" s="11" t="n"/>
      <c r="G1862" s="11" t="n"/>
      <c r="H1862" s="11" t="n"/>
      <c r="I1862" s="11" t="n"/>
      <c r="J1862" s="11" t="n"/>
      <c r="K1862" s="11" t="n"/>
      <c r="L1862" s="11" t="n"/>
      <c r="M1862" s="11" t="n"/>
    </row>
    <row r="1863">
      <c r="A1863" s="11" t="n"/>
      <c r="B1863" s="11" t="n"/>
      <c r="C1863" s="11" t="n"/>
      <c r="D1863" s="11" t="n"/>
      <c r="E1863" s="11" t="n"/>
      <c r="F1863" s="11" t="n"/>
      <c r="G1863" s="11" t="n"/>
      <c r="H1863" s="11" t="n"/>
      <c r="I1863" s="11" t="n"/>
      <c r="J1863" s="11" t="n"/>
      <c r="K1863" s="11" t="n"/>
      <c r="L1863" s="11" t="n"/>
      <c r="M1863" s="11" t="n"/>
    </row>
    <row r="1864">
      <c r="A1864" s="11" t="n"/>
      <c r="B1864" s="11" t="n"/>
      <c r="C1864" s="11" t="n"/>
      <c r="D1864" s="11" t="n"/>
      <c r="E1864" s="11" t="n"/>
      <c r="F1864" s="11" t="n"/>
      <c r="G1864" s="11" t="n"/>
      <c r="H1864" s="11" t="n"/>
      <c r="I1864" s="11" t="n"/>
      <c r="J1864" s="11" t="n"/>
      <c r="K1864" s="11" t="n"/>
      <c r="L1864" s="11" t="n"/>
      <c r="M1864" s="11" t="n"/>
    </row>
    <row r="1865">
      <c r="A1865" s="11" t="n"/>
      <c r="B1865" s="11" t="n"/>
      <c r="C1865" s="11" t="n"/>
      <c r="D1865" s="11" t="n"/>
      <c r="E1865" s="11" t="n"/>
      <c r="F1865" s="11" t="n"/>
      <c r="G1865" s="11" t="n"/>
      <c r="H1865" s="11" t="n"/>
      <c r="I1865" s="11" t="n"/>
      <c r="J1865" s="11" t="n"/>
      <c r="K1865" s="11" t="n"/>
      <c r="L1865" s="11" t="n"/>
      <c r="M1865" s="11" t="n"/>
    </row>
    <row r="1866">
      <c r="A1866" s="11" t="n"/>
      <c r="B1866" s="11" t="n"/>
      <c r="C1866" s="11" t="n"/>
      <c r="D1866" s="11" t="n"/>
      <c r="E1866" s="11" t="n"/>
      <c r="F1866" s="11" t="n"/>
      <c r="G1866" s="11" t="n"/>
      <c r="H1866" s="11" t="n"/>
      <c r="I1866" s="11" t="n"/>
      <c r="J1866" s="11" t="n"/>
      <c r="K1866" s="11" t="n"/>
      <c r="L1866" s="11" t="n"/>
      <c r="M1866" s="11" t="n"/>
    </row>
    <row r="1867">
      <c r="A1867" s="11" t="n"/>
      <c r="B1867" s="11" t="n"/>
      <c r="C1867" s="11" t="n"/>
      <c r="D1867" s="11" t="n"/>
      <c r="E1867" s="11" t="n"/>
      <c r="F1867" s="11" t="n"/>
      <c r="G1867" s="11" t="n"/>
      <c r="H1867" s="11" t="n"/>
      <c r="I1867" s="11" t="n"/>
      <c r="J1867" s="11" t="n"/>
      <c r="K1867" s="11" t="n"/>
      <c r="L1867" s="11" t="n"/>
      <c r="M1867" s="11" t="n"/>
    </row>
    <row r="1868">
      <c r="A1868" s="11" t="n"/>
      <c r="B1868" s="11" t="n"/>
      <c r="C1868" s="11" t="n"/>
      <c r="D1868" s="11" t="n"/>
      <c r="E1868" s="11" t="n"/>
      <c r="F1868" s="11" t="n"/>
      <c r="G1868" s="11" t="n"/>
      <c r="H1868" s="11" t="n"/>
      <c r="I1868" s="11" t="n"/>
      <c r="J1868" s="11" t="n"/>
      <c r="K1868" s="11" t="n"/>
      <c r="L1868" s="11" t="n"/>
      <c r="M1868" s="11" t="n"/>
    </row>
    <row r="1869">
      <c r="A1869" s="11" t="n"/>
      <c r="B1869" s="11" t="n"/>
      <c r="C1869" s="11" t="n"/>
      <c r="D1869" s="11" t="n"/>
      <c r="E1869" s="11" t="n"/>
      <c r="F1869" s="11" t="n"/>
      <c r="G1869" s="11" t="n"/>
      <c r="H1869" s="11" t="n"/>
      <c r="I1869" s="11" t="n"/>
      <c r="J1869" s="11" t="n"/>
      <c r="K1869" s="11" t="n"/>
      <c r="L1869" s="11" t="n"/>
      <c r="M1869" s="11" t="n"/>
    </row>
    <row r="1870">
      <c r="A1870" s="11" t="n"/>
      <c r="B1870" s="11" t="n"/>
      <c r="C1870" s="11" t="n"/>
      <c r="D1870" s="11" t="n"/>
      <c r="E1870" s="11" t="n"/>
      <c r="F1870" s="11" t="n"/>
      <c r="G1870" s="11" t="n"/>
      <c r="H1870" s="11" t="n"/>
      <c r="I1870" s="11" t="n"/>
      <c r="J1870" s="11" t="n"/>
      <c r="K1870" s="11" t="n"/>
      <c r="L1870" s="11" t="n"/>
      <c r="M1870" s="11" t="n"/>
    </row>
    <row r="1871">
      <c r="A1871" s="11" t="n"/>
      <c r="B1871" s="11" t="n"/>
      <c r="C1871" s="11" t="n"/>
      <c r="D1871" s="11" t="n"/>
      <c r="E1871" s="11" t="n"/>
      <c r="F1871" s="11" t="n"/>
      <c r="G1871" s="11" t="n"/>
      <c r="H1871" s="11" t="n"/>
      <c r="I1871" s="11" t="n"/>
      <c r="J1871" s="11" t="n"/>
      <c r="K1871" s="11" t="n"/>
      <c r="L1871" s="11" t="n"/>
      <c r="M1871" s="11" t="n"/>
    </row>
    <row r="1872">
      <c r="A1872" s="11" t="n"/>
      <c r="B1872" s="11" t="n"/>
      <c r="C1872" s="11" t="n"/>
      <c r="D1872" s="11" t="n"/>
      <c r="E1872" s="11" t="n"/>
      <c r="F1872" s="11" t="n"/>
      <c r="G1872" s="11" t="n"/>
      <c r="H1872" s="11" t="n"/>
      <c r="I1872" s="11" t="n"/>
      <c r="J1872" s="11" t="n"/>
      <c r="K1872" s="11" t="n"/>
      <c r="L1872" s="11" t="n"/>
      <c r="M1872" s="11" t="n"/>
    </row>
    <row r="1873">
      <c r="A1873" s="11" t="n"/>
      <c r="B1873" s="11" t="n"/>
      <c r="C1873" s="11" t="n"/>
      <c r="D1873" s="11" t="n"/>
      <c r="E1873" s="11" t="n"/>
      <c r="F1873" s="11" t="n"/>
      <c r="G1873" s="11" t="n"/>
      <c r="H1873" s="11" t="n"/>
      <c r="I1873" s="11" t="n"/>
      <c r="J1873" s="11" t="n"/>
      <c r="K1873" s="11" t="n"/>
      <c r="L1873" s="11" t="n"/>
      <c r="M1873" s="11" t="n"/>
    </row>
    <row r="1874">
      <c r="A1874" s="11" t="n"/>
      <c r="B1874" s="11" t="n"/>
      <c r="C1874" s="11" t="n"/>
      <c r="D1874" s="11" t="n"/>
      <c r="E1874" s="11" t="n"/>
      <c r="F1874" s="11" t="n"/>
      <c r="G1874" s="11" t="n"/>
      <c r="H1874" s="11" t="n"/>
      <c r="I1874" s="11" t="n"/>
      <c r="J1874" s="11" t="n"/>
      <c r="K1874" s="11" t="n"/>
      <c r="L1874" s="11" t="n"/>
      <c r="M1874" s="11" t="n"/>
    </row>
    <row r="1875">
      <c r="A1875" s="11" t="n"/>
      <c r="B1875" s="11" t="n"/>
      <c r="C1875" s="11" t="n"/>
      <c r="D1875" s="11" t="n"/>
      <c r="E1875" s="11" t="n"/>
      <c r="F1875" s="11" t="n"/>
      <c r="G1875" s="11" t="n"/>
      <c r="H1875" s="11" t="n"/>
      <c r="I1875" s="11" t="n"/>
      <c r="J1875" s="11" t="n"/>
      <c r="K1875" s="11" t="n"/>
      <c r="L1875" s="11" t="n"/>
      <c r="M1875" s="11" t="n"/>
    </row>
    <row r="1876">
      <c r="A1876" s="11" t="n"/>
      <c r="B1876" s="11" t="n"/>
      <c r="C1876" s="11" t="n"/>
      <c r="D1876" s="11" t="n"/>
      <c r="E1876" s="11" t="n"/>
      <c r="F1876" s="11" t="n"/>
      <c r="G1876" s="11" t="n"/>
      <c r="H1876" s="11" t="n"/>
      <c r="I1876" s="11" t="n"/>
      <c r="J1876" s="11" t="n"/>
      <c r="K1876" s="11" t="n"/>
      <c r="L1876" s="11" t="n"/>
      <c r="M1876" s="11" t="n"/>
    </row>
    <row r="1877">
      <c r="A1877" s="11" t="n"/>
      <c r="B1877" s="11" t="n"/>
      <c r="C1877" s="11" t="n"/>
      <c r="D1877" s="11" t="n"/>
      <c r="E1877" s="11" t="n"/>
      <c r="F1877" s="11" t="n"/>
      <c r="G1877" s="11" t="n"/>
      <c r="H1877" s="11" t="n"/>
      <c r="I1877" s="11" t="n"/>
      <c r="J1877" s="11" t="n"/>
      <c r="K1877" s="11" t="n"/>
      <c r="L1877" s="11" t="n"/>
      <c r="M1877" s="11" t="n"/>
    </row>
    <row r="1878">
      <c r="A1878" s="11" t="n"/>
      <c r="B1878" s="11" t="n"/>
      <c r="C1878" s="11" t="n"/>
      <c r="D1878" s="11" t="n"/>
      <c r="E1878" s="11" t="n"/>
      <c r="F1878" s="11" t="n"/>
      <c r="G1878" s="11" t="n"/>
      <c r="H1878" s="11" t="n"/>
      <c r="I1878" s="11" t="n"/>
      <c r="J1878" s="11" t="n"/>
      <c r="K1878" s="11" t="n"/>
      <c r="L1878" s="11" t="n"/>
      <c r="M1878" s="11" t="n"/>
    </row>
    <row r="1879">
      <c r="A1879" s="11" t="n"/>
      <c r="B1879" s="11" t="n"/>
      <c r="C1879" s="11" t="n"/>
      <c r="D1879" s="11" t="n"/>
      <c r="E1879" s="11" t="n"/>
      <c r="F1879" s="11" t="n"/>
      <c r="G1879" s="11" t="n"/>
      <c r="H1879" s="11" t="n"/>
      <c r="I1879" s="11" t="n"/>
      <c r="J1879" s="11" t="n"/>
      <c r="K1879" s="11" t="n"/>
      <c r="L1879" s="11" t="n"/>
      <c r="M1879" s="11" t="n"/>
    </row>
    <row r="1880">
      <c r="A1880" s="11" t="n"/>
      <c r="B1880" s="11" t="n"/>
      <c r="C1880" s="11" t="n"/>
      <c r="D1880" s="11" t="n"/>
      <c r="E1880" s="11" t="n"/>
      <c r="F1880" s="11" t="n"/>
      <c r="G1880" s="11" t="n"/>
      <c r="H1880" s="11" t="n"/>
      <c r="I1880" s="11" t="n"/>
      <c r="J1880" s="11" t="n"/>
      <c r="K1880" s="11" t="n"/>
      <c r="L1880" s="11" t="n"/>
      <c r="M1880" s="11" t="n"/>
    </row>
    <row r="1881">
      <c r="A1881" s="11" t="n"/>
      <c r="B1881" s="11" t="n"/>
      <c r="C1881" s="11" t="n"/>
      <c r="D1881" s="11" t="n"/>
      <c r="E1881" s="11" t="n"/>
      <c r="F1881" s="11" t="n"/>
      <c r="G1881" s="11" t="n"/>
      <c r="H1881" s="11" t="n"/>
      <c r="I1881" s="11" t="n"/>
      <c r="J1881" s="11" t="n"/>
      <c r="K1881" s="11" t="n"/>
      <c r="L1881" s="11" t="n"/>
      <c r="M1881" s="11" t="n"/>
    </row>
    <row r="1882">
      <c r="A1882" s="11" t="n"/>
      <c r="B1882" s="11" t="n"/>
      <c r="C1882" s="11" t="n"/>
      <c r="D1882" s="11" t="n"/>
      <c r="E1882" s="11" t="n"/>
      <c r="F1882" s="11" t="n"/>
      <c r="G1882" s="11" t="n"/>
      <c r="H1882" s="11" t="n"/>
      <c r="I1882" s="11" t="n"/>
      <c r="J1882" s="11" t="n"/>
      <c r="K1882" s="11" t="n"/>
      <c r="L1882" s="11" t="n"/>
      <c r="M1882" s="11" t="n"/>
    </row>
    <row r="1883">
      <c r="A1883" s="11" t="n"/>
      <c r="B1883" s="11" t="n"/>
      <c r="C1883" s="11" t="n"/>
      <c r="D1883" s="11" t="n"/>
      <c r="E1883" s="11" t="n"/>
      <c r="F1883" s="11" t="n"/>
      <c r="G1883" s="11" t="n"/>
      <c r="H1883" s="11" t="n"/>
      <c r="I1883" s="11" t="n"/>
      <c r="J1883" s="11" t="n"/>
      <c r="K1883" s="11" t="n"/>
      <c r="L1883" s="11" t="n"/>
      <c r="M1883" s="11" t="n"/>
    </row>
    <row r="1884">
      <c r="A1884" s="11" t="n"/>
      <c r="B1884" s="11" t="n"/>
      <c r="C1884" s="11" t="n"/>
      <c r="D1884" s="11" t="n"/>
      <c r="E1884" s="11" t="n"/>
      <c r="F1884" s="11" t="n"/>
      <c r="G1884" s="11" t="n"/>
      <c r="H1884" s="11" t="n"/>
      <c r="I1884" s="11" t="n"/>
      <c r="J1884" s="11" t="n"/>
      <c r="K1884" s="11" t="n"/>
      <c r="L1884" s="11" t="n"/>
      <c r="M1884" s="11" t="n"/>
    </row>
    <row r="1885">
      <c r="A1885" s="11" t="n"/>
      <c r="B1885" s="11" t="n"/>
      <c r="C1885" s="11" t="n"/>
      <c r="D1885" s="11" t="n"/>
      <c r="E1885" s="11" t="n"/>
      <c r="F1885" s="11" t="n"/>
      <c r="G1885" s="11" t="n"/>
      <c r="H1885" s="11" t="n"/>
      <c r="I1885" s="11" t="n"/>
      <c r="J1885" s="11" t="n"/>
      <c r="K1885" s="11" t="n"/>
      <c r="L1885" s="11" t="n"/>
      <c r="M1885" s="11" t="n"/>
    </row>
    <row r="1886">
      <c r="A1886" s="11" t="n"/>
      <c r="B1886" s="11" t="n"/>
      <c r="C1886" s="11" t="n"/>
      <c r="D1886" s="11" t="n"/>
      <c r="E1886" s="11" t="n"/>
      <c r="F1886" s="11" t="n"/>
      <c r="G1886" s="11" t="n"/>
      <c r="H1886" s="11" t="n"/>
      <c r="I1886" s="11" t="n"/>
      <c r="J1886" s="11" t="n"/>
      <c r="K1886" s="11" t="n"/>
      <c r="L1886" s="11" t="n"/>
      <c r="M1886" s="11" t="n"/>
    </row>
    <row r="1887">
      <c r="A1887" s="11" t="n"/>
      <c r="B1887" s="11" t="n"/>
      <c r="C1887" s="11" t="n"/>
      <c r="D1887" s="11" t="n"/>
      <c r="E1887" s="11" t="n"/>
      <c r="F1887" s="11" t="n"/>
      <c r="G1887" s="11" t="n"/>
      <c r="H1887" s="11" t="n"/>
      <c r="I1887" s="11" t="n"/>
      <c r="J1887" s="11" t="n"/>
      <c r="K1887" s="11" t="n"/>
      <c r="L1887" s="11" t="n"/>
      <c r="M1887" s="11" t="n"/>
    </row>
    <row r="1888">
      <c r="A1888" s="11" t="n"/>
      <c r="B1888" s="11" t="n"/>
      <c r="C1888" s="11" t="n"/>
      <c r="D1888" s="11" t="n"/>
      <c r="E1888" s="11" t="n"/>
      <c r="F1888" s="11" t="n"/>
      <c r="G1888" s="11" t="n"/>
      <c r="H1888" s="11" t="n"/>
      <c r="I1888" s="11" t="n"/>
      <c r="J1888" s="11" t="n"/>
      <c r="K1888" s="11" t="n"/>
      <c r="L1888" s="11" t="n"/>
      <c r="M1888" s="11" t="n"/>
    </row>
    <row r="1889">
      <c r="A1889" s="11" t="n"/>
      <c r="B1889" s="11" t="n"/>
      <c r="C1889" s="11" t="n"/>
      <c r="D1889" s="11" t="n"/>
      <c r="E1889" s="11" t="n"/>
      <c r="F1889" s="11" t="n"/>
      <c r="G1889" s="11" t="n"/>
      <c r="H1889" s="11" t="n"/>
      <c r="I1889" s="11" t="n"/>
      <c r="J1889" s="11" t="n"/>
      <c r="K1889" s="11" t="n"/>
      <c r="L1889" s="11" t="n"/>
      <c r="M1889" s="11" t="n"/>
    </row>
    <row r="1890">
      <c r="A1890" s="11" t="n"/>
      <c r="B1890" s="11" t="n"/>
      <c r="C1890" s="11" t="n"/>
      <c r="D1890" s="11" t="n"/>
      <c r="E1890" s="11" t="n"/>
      <c r="F1890" s="11" t="n"/>
      <c r="G1890" s="11" t="n"/>
      <c r="H1890" s="11" t="n"/>
      <c r="I1890" s="11" t="n"/>
      <c r="J1890" s="11" t="n"/>
      <c r="K1890" s="11" t="n"/>
      <c r="L1890" s="11" t="n"/>
      <c r="M1890" s="11" t="n"/>
    </row>
    <row r="1891">
      <c r="A1891" s="11" t="n"/>
      <c r="B1891" s="11" t="n"/>
      <c r="C1891" s="11" t="n"/>
      <c r="D1891" s="11" t="n"/>
      <c r="E1891" s="11" t="n"/>
      <c r="F1891" s="11" t="n"/>
      <c r="G1891" s="11" t="n"/>
      <c r="H1891" s="11" t="n"/>
      <c r="I1891" s="11" t="n"/>
      <c r="J1891" s="11" t="n"/>
      <c r="K1891" s="11" t="n"/>
      <c r="L1891" s="11" t="n"/>
      <c r="M1891" s="11" t="n"/>
    </row>
    <row r="1892">
      <c r="A1892" s="11" t="n"/>
      <c r="B1892" s="11" t="n"/>
      <c r="C1892" s="11" t="n"/>
      <c r="D1892" s="11" t="n"/>
      <c r="E1892" s="11" t="n"/>
      <c r="F1892" s="11" t="n"/>
      <c r="G1892" s="11" t="n"/>
      <c r="H1892" s="11" t="n"/>
      <c r="I1892" s="11" t="n"/>
      <c r="J1892" s="11" t="n"/>
      <c r="K1892" s="11" t="n"/>
      <c r="L1892" s="11" t="n"/>
      <c r="M1892" s="11" t="n"/>
    </row>
    <row r="1893">
      <c r="A1893" s="11" t="n"/>
      <c r="B1893" s="11" t="n"/>
      <c r="C1893" s="11" t="n"/>
      <c r="D1893" s="11" t="n"/>
      <c r="E1893" s="11" t="n"/>
      <c r="F1893" s="11" t="n"/>
      <c r="G1893" s="11" t="n"/>
      <c r="H1893" s="11" t="n"/>
      <c r="I1893" s="11" t="n"/>
      <c r="J1893" s="11" t="n"/>
      <c r="K1893" s="11" t="n"/>
      <c r="L1893" s="11" t="n"/>
      <c r="M1893" s="11" t="n"/>
    </row>
    <row r="1894">
      <c r="A1894" s="11" t="n"/>
      <c r="B1894" s="11" t="n"/>
      <c r="C1894" s="11" t="n"/>
      <c r="D1894" s="11" t="n"/>
      <c r="E1894" s="11" t="n"/>
      <c r="F1894" s="11" t="n"/>
      <c r="G1894" s="11" t="n"/>
      <c r="H1894" s="11" t="n"/>
      <c r="I1894" s="11" t="n"/>
      <c r="J1894" s="11" t="n"/>
      <c r="K1894" s="11" t="n"/>
      <c r="L1894" s="11" t="n"/>
      <c r="M1894" s="11" t="n"/>
    </row>
    <row r="1895">
      <c r="A1895" s="11" t="n"/>
      <c r="B1895" s="11" t="n"/>
      <c r="C1895" s="11" t="n"/>
      <c r="D1895" s="11" t="n"/>
      <c r="E1895" s="11" t="n"/>
      <c r="F1895" s="11" t="n"/>
      <c r="G1895" s="11" t="n"/>
      <c r="H1895" s="11" t="n"/>
      <c r="I1895" s="11" t="n"/>
      <c r="J1895" s="11" t="n"/>
      <c r="K1895" s="11" t="n"/>
      <c r="L1895" s="11" t="n"/>
      <c r="M1895" s="11" t="n"/>
    </row>
    <row r="1896">
      <c r="A1896" s="11" t="n"/>
      <c r="B1896" s="11" t="n"/>
      <c r="C1896" s="11" t="n"/>
      <c r="D1896" s="11" t="n"/>
      <c r="E1896" s="11" t="n"/>
      <c r="F1896" s="11" t="n"/>
      <c r="G1896" s="11" t="n"/>
      <c r="H1896" s="11" t="n"/>
      <c r="I1896" s="11" t="n"/>
      <c r="J1896" s="11" t="n"/>
      <c r="K1896" s="11" t="n"/>
      <c r="L1896" s="11" t="n"/>
      <c r="M1896" s="11" t="n"/>
    </row>
    <row r="1897">
      <c r="A1897" s="11" t="n"/>
      <c r="B1897" s="11" t="n"/>
      <c r="C1897" s="11" t="n"/>
      <c r="D1897" s="11" t="n"/>
      <c r="E1897" s="11" t="n"/>
      <c r="F1897" s="11" t="n"/>
      <c r="G1897" s="11" t="n"/>
      <c r="H1897" s="11" t="n"/>
      <c r="I1897" s="11" t="n"/>
      <c r="J1897" s="11" t="n"/>
      <c r="K1897" s="11" t="n"/>
      <c r="L1897" s="11" t="n"/>
      <c r="M1897" s="11" t="n"/>
    </row>
    <row r="1898">
      <c r="A1898" s="11" t="n"/>
      <c r="B1898" s="11" t="n"/>
      <c r="C1898" s="11" t="n"/>
      <c r="D1898" s="11" t="n"/>
      <c r="E1898" s="11" t="n"/>
      <c r="F1898" s="11" t="n"/>
      <c r="G1898" s="11" t="n"/>
      <c r="H1898" s="11" t="n"/>
      <c r="I1898" s="11" t="n"/>
      <c r="J1898" s="11" t="n"/>
      <c r="K1898" s="11" t="n"/>
      <c r="L1898" s="11" t="n"/>
      <c r="M1898" s="11" t="n"/>
    </row>
    <row r="1899">
      <c r="A1899" s="11" t="n"/>
      <c r="B1899" s="11" t="n"/>
      <c r="C1899" s="11" t="n"/>
      <c r="D1899" s="11" t="n"/>
      <c r="E1899" s="11" t="n"/>
      <c r="F1899" s="11" t="n"/>
      <c r="G1899" s="11" t="n"/>
      <c r="H1899" s="11" t="n"/>
      <c r="I1899" s="11" t="n"/>
      <c r="J1899" s="11" t="n"/>
      <c r="K1899" s="11" t="n"/>
      <c r="L1899" s="11" t="n"/>
      <c r="M1899" s="11" t="n"/>
    </row>
    <row r="1900">
      <c r="A1900" s="11" t="n"/>
      <c r="B1900" s="11" t="n"/>
      <c r="C1900" s="11" t="n"/>
      <c r="D1900" s="11" t="n"/>
      <c r="E1900" s="11" t="n"/>
      <c r="F1900" s="11" t="n"/>
      <c r="G1900" s="11" t="n"/>
      <c r="H1900" s="11" t="n"/>
      <c r="I1900" s="11" t="n"/>
      <c r="J1900" s="11" t="n"/>
      <c r="K1900" s="11" t="n"/>
      <c r="L1900" s="11" t="n"/>
      <c r="M1900" s="11" t="n"/>
    </row>
    <row r="1901">
      <c r="A1901" s="11" t="n"/>
      <c r="B1901" s="11" t="n"/>
      <c r="C1901" s="11" t="n"/>
      <c r="D1901" s="11" t="n"/>
      <c r="E1901" s="11" t="n"/>
      <c r="F1901" s="11" t="n"/>
      <c r="G1901" s="11" t="n"/>
      <c r="H1901" s="11" t="n"/>
      <c r="I1901" s="11" t="n"/>
      <c r="J1901" s="11" t="n"/>
      <c r="K1901" s="11" t="n"/>
      <c r="L1901" s="11" t="n"/>
      <c r="M1901" s="11" t="n"/>
    </row>
    <row r="1902">
      <c r="A1902" s="11" t="n"/>
      <c r="B1902" s="11" t="n"/>
      <c r="C1902" s="11" t="n"/>
      <c r="D1902" s="11" t="n"/>
      <c r="E1902" s="11" t="n"/>
      <c r="F1902" s="11" t="n"/>
      <c r="G1902" s="11" t="n"/>
      <c r="H1902" s="11" t="n"/>
      <c r="I1902" s="11" t="n"/>
      <c r="J1902" s="11" t="n"/>
      <c r="K1902" s="11" t="n"/>
      <c r="L1902" s="11" t="n"/>
      <c r="M1902" s="11" t="n"/>
    </row>
    <row r="1903">
      <c r="A1903" s="11" t="n"/>
      <c r="B1903" s="11" t="n"/>
      <c r="C1903" s="11" t="n"/>
      <c r="D1903" s="11" t="n"/>
      <c r="E1903" s="11" t="n"/>
      <c r="F1903" s="11" t="n"/>
      <c r="G1903" s="11" t="n"/>
      <c r="H1903" s="11" t="n"/>
      <c r="I1903" s="11" t="n"/>
      <c r="J1903" s="11" t="n"/>
      <c r="K1903" s="11" t="n"/>
      <c r="L1903" s="11" t="n"/>
      <c r="M1903" s="11" t="n"/>
    </row>
    <row r="1904">
      <c r="A1904" s="11" t="n"/>
      <c r="B1904" s="11" t="n"/>
      <c r="C1904" s="11" t="n"/>
      <c r="D1904" s="11" t="n"/>
      <c r="E1904" s="11" t="n"/>
      <c r="F1904" s="11" t="n"/>
      <c r="G1904" s="11" t="n"/>
      <c r="H1904" s="11" t="n"/>
      <c r="I1904" s="11" t="n"/>
      <c r="J1904" s="11" t="n"/>
      <c r="K1904" s="11" t="n"/>
      <c r="L1904" s="11" t="n"/>
      <c r="M1904" s="11" t="n"/>
    </row>
    <row r="1905">
      <c r="A1905" s="11" t="n"/>
      <c r="B1905" s="11" t="n"/>
      <c r="C1905" s="11" t="n"/>
      <c r="D1905" s="11" t="n"/>
      <c r="E1905" s="11" t="n"/>
      <c r="F1905" s="11" t="n"/>
      <c r="G1905" s="11" t="n"/>
      <c r="H1905" s="11" t="n"/>
      <c r="I1905" s="11" t="n"/>
      <c r="J1905" s="11" t="n"/>
      <c r="K1905" s="11" t="n"/>
      <c r="L1905" s="11" t="n"/>
      <c r="M1905" s="11" t="n"/>
    </row>
    <row r="1906">
      <c r="A1906" s="11" t="n"/>
      <c r="B1906" s="11" t="n"/>
      <c r="C1906" s="11" t="n"/>
      <c r="D1906" s="11" t="n"/>
      <c r="E1906" s="11" t="n"/>
      <c r="F1906" s="11" t="n"/>
      <c r="G1906" s="11" t="n"/>
      <c r="H1906" s="11" t="n"/>
      <c r="I1906" s="11" t="n"/>
      <c r="J1906" s="11" t="n"/>
      <c r="K1906" s="11" t="n"/>
      <c r="L1906" s="11" t="n"/>
      <c r="M1906" s="11" t="n"/>
    </row>
    <row r="1907">
      <c r="A1907" s="11" t="n"/>
      <c r="B1907" s="11" t="n"/>
      <c r="C1907" s="11" t="n"/>
      <c r="D1907" s="11" t="n"/>
      <c r="E1907" s="11" t="n"/>
      <c r="F1907" s="11" t="n"/>
      <c r="G1907" s="11" t="n"/>
      <c r="H1907" s="11" t="n"/>
      <c r="I1907" s="11" t="n"/>
      <c r="J1907" s="11" t="n"/>
      <c r="K1907" s="11" t="n"/>
      <c r="L1907" s="11" t="n"/>
      <c r="M1907" s="11" t="n"/>
    </row>
    <row r="1908">
      <c r="A1908" s="11" t="n"/>
      <c r="B1908" s="11" t="n"/>
      <c r="C1908" s="11" t="n"/>
      <c r="D1908" s="11" t="n"/>
      <c r="E1908" s="11" t="n"/>
      <c r="F1908" s="11" t="n"/>
      <c r="G1908" s="11" t="n"/>
      <c r="H1908" s="11" t="n"/>
      <c r="I1908" s="11" t="n"/>
      <c r="J1908" s="11" t="n"/>
      <c r="K1908" s="11" t="n"/>
      <c r="L1908" s="11" t="n"/>
      <c r="M1908" s="11" t="n"/>
    </row>
    <row r="1909">
      <c r="A1909" s="11" t="n"/>
      <c r="B1909" s="11" t="n"/>
      <c r="C1909" s="11" t="n"/>
      <c r="D1909" s="11" t="n"/>
      <c r="E1909" s="11" t="n"/>
      <c r="F1909" s="11" t="n"/>
      <c r="G1909" s="11" t="n"/>
      <c r="H1909" s="11" t="n"/>
      <c r="I1909" s="11" t="n"/>
      <c r="J1909" s="11" t="n"/>
      <c r="K1909" s="11" t="n"/>
      <c r="L1909" s="11" t="n"/>
      <c r="M1909" s="11" t="n"/>
    </row>
    <row r="1910">
      <c r="A1910" s="11" t="n"/>
      <c r="B1910" s="11" t="n"/>
      <c r="C1910" s="11" t="n"/>
      <c r="D1910" s="11" t="n"/>
      <c r="E1910" s="11" t="n"/>
      <c r="F1910" s="11" t="n"/>
      <c r="G1910" s="11" t="n"/>
      <c r="H1910" s="11" t="n"/>
      <c r="I1910" s="11" t="n"/>
      <c r="J1910" s="11" t="n"/>
      <c r="K1910" s="11" t="n"/>
      <c r="L1910" s="11" t="n"/>
      <c r="M1910" s="11" t="n"/>
    </row>
    <row r="1911">
      <c r="A1911" s="11" t="n"/>
      <c r="B1911" s="11" t="n"/>
      <c r="C1911" s="11" t="n"/>
      <c r="D1911" s="11" t="n"/>
      <c r="E1911" s="11" t="n"/>
      <c r="F1911" s="11" t="n"/>
      <c r="G1911" s="11" t="n"/>
      <c r="H1911" s="11" t="n"/>
      <c r="I1911" s="11" t="n"/>
      <c r="J1911" s="11" t="n"/>
      <c r="K1911" s="11" t="n"/>
      <c r="L1911" s="11" t="n"/>
      <c r="M1911" s="11" t="n"/>
    </row>
    <row r="1912">
      <c r="A1912" s="11" t="n"/>
      <c r="B1912" s="11" t="n"/>
      <c r="C1912" s="11" t="n"/>
      <c r="D1912" s="11" t="n"/>
      <c r="E1912" s="11" t="n"/>
      <c r="F1912" s="11" t="n"/>
      <c r="G1912" s="11" t="n"/>
      <c r="H1912" s="11" t="n"/>
      <c r="I1912" s="11" t="n"/>
      <c r="J1912" s="11" t="n"/>
      <c r="K1912" s="11" t="n"/>
      <c r="L1912" s="11" t="n"/>
      <c r="M1912" s="11" t="n"/>
    </row>
    <row r="1913">
      <c r="A1913" s="11" t="n"/>
      <c r="B1913" s="11" t="n"/>
      <c r="C1913" s="11" t="n"/>
      <c r="D1913" s="11" t="n"/>
      <c r="E1913" s="11" t="n"/>
      <c r="F1913" s="11" t="n"/>
      <c r="G1913" s="11" t="n"/>
      <c r="H1913" s="11" t="n"/>
      <c r="I1913" s="11" t="n"/>
      <c r="J1913" s="11" t="n"/>
      <c r="K1913" s="11" t="n"/>
      <c r="L1913" s="11" t="n"/>
      <c r="M1913" s="11" t="n"/>
    </row>
    <row r="1914">
      <c r="A1914" s="11" t="n"/>
      <c r="B1914" s="11" t="n"/>
      <c r="C1914" s="11" t="n"/>
      <c r="D1914" s="11" t="n"/>
      <c r="E1914" s="11" t="n"/>
      <c r="F1914" s="11" t="n"/>
      <c r="G1914" s="11" t="n"/>
      <c r="H1914" s="11" t="n"/>
      <c r="I1914" s="11" t="n"/>
      <c r="J1914" s="11" t="n"/>
      <c r="K1914" s="11" t="n"/>
      <c r="L1914" s="11" t="n"/>
      <c r="M1914" s="11" t="n"/>
    </row>
    <row r="1915">
      <c r="A1915" s="11" t="n"/>
      <c r="B1915" s="11" t="n"/>
      <c r="C1915" s="11" t="n"/>
      <c r="D1915" s="11" t="n"/>
      <c r="E1915" s="11" t="n"/>
      <c r="F1915" s="11" t="n"/>
      <c r="G1915" s="11" t="n"/>
      <c r="H1915" s="11" t="n"/>
      <c r="I1915" s="11" t="n"/>
      <c r="J1915" s="11" t="n"/>
      <c r="K1915" s="11" t="n"/>
      <c r="L1915" s="11" t="n"/>
      <c r="M1915" s="11" t="n"/>
    </row>
    <row r="1916">
      <c r="A1916" s="11" t="n"/>
      <c r="B1916" s="11" t="n"/>
      <c r="C1916" s="11" t="n"/>
      <c r="D1916" s="11" t="n"/>
      <c r="E1916" s="11" t="n"/>
      <c r="F1916" s="11" t="n"/>
      <c r="G1916" s="11" t="n"/>
      <c r="H1916" s="11" t="n"/>
      <c r="I1916" s="11" t="n"/>
      <c r="J1916" s="11" t="n"/>
      <c r="K1916" s="11" t="n"/>
      <c r="L1916" s="11" t="n"/>
      <c r="M1916" s="11" t="n"/>
    </row>
    <row r="1917">
      <c r="A1917" s="11" t="n"/>
      <c r="B1917" s="11" t="n"/>
      <c r="C1917" s="11" t="n"/>
      <c r="D1917" s="11" t="n"/>
      <c r="E1917" s="11" t="n"/>
      <c r="F1917" s="11" t="n"/>
      <c r="G1917" s="11" t="n"/>
      <c r="H1917" s="11" t="n"/>
      <c r="I1917" s="11" t="n"/>
      <c r="J1917" s="11" t="n"/>
      <c r="K1917" s="11" t="n"/>
      <c r="L1917" s="11" t="n"/>
      <c r="M1917" s="11" t="n"/>
    </row>
    <row r="1918">
      <c r="A1918" s="11" t="n"/>
      <c r="B1918" s="11" t="n"/>
      <c r="C1918" s="11" t="n"/>
      <c r="D1918" s="11" t="n"/>
      <c r="E1918" s="11" t="n"/>
      <c r="F1918" s="11" t="n"/>
      <c r="G1918" s="11" t="n"/>
      <c r="H1918" s="11" t="n"/>
      <c r="I1918" s="11" t="n"/>
      <c r="J1918" s="11" t="n"/>
      <c r="K1918" s="11" t="n"/>
      <c r="L1918" s="11" t="n"/>
      <c r="M1918" s="11" t="n"/>
    </row>
    <row r="1919">
      <c r="A1919" s="11" t="n"/>
      <c r="B1919" s="11" t="n"/>
      <c r="C1919" s="11" t="n"/>
      <c r="D1919" s="11" t="n"/>
      <c r="E1919" s="11" t="n"/>
      <c r="F1919" s="11" t="n"/>
      <c r="G1919" s="11" t="n"/>
      <c r="H1919" s="11" t="n"/>
      <c r="I1919" s="11" t="n"/>
      <c r="J1919" s="11" t="n"/>
      <c r="K1919" s="11" t="n"/>
      <c r="L1919" s="11" t="n"/>
      <c r="M1919" s="11" t="n"/>
    </row>
    <row r="1920">
      <c r="A1920" s="11" t="n"/>
      <c r="B1920" s="11" t="n"/>
      <c r="C1920" s="11" t="n"/>
      <c r="D1920" s="11" t="n"/>
      <c r="E1920" s="11" t="n"/>
      <c r="F1920" s="11" t="n"/>
      <c r="G1920" s="11" t="n"/>
      <c r="H1920" s="11" t="n"/>
      <c r="I1920" s="11" t="n"/>
      <c r="J1920" s="11" t="n"/>
      <c r="K1920" s="11" t="n"/>
      <c r="L1920" s="11" t="n"/>
      <c r="M1920" s="11" t="n"/>
    </row>
    <row r="1921">
      <c r="A1921" s="11" t="n"/>
      <c r="B1921" s="11" t="n"/>
      <c r="C1921" s="11" t="n"/>
      <c r="D1921" s="11" t="n"/>
      <c r="E1921" s="11" t="n"/>
      <c r="F1921" s="11" t="n"/>
      <c r="G1921" s="11" t="n"/>
      <c r="H1921" s="11" t="n"/>
      <c r="I1921" s="11" t="n"/>
      <c r="J1921" s="11" t="n"/>
      <c r="K1921" s="11" t="n"/>
      <c r="L1921" s="11" t="n"/>
      <c r="M1921" s="11" t="n"/>
    </row>
    <row r="1922">
      <c r="A1922" s="11" t="n"/>
      <c r="B1922" s="11" t="n"/>
      <c r="C1922" s="11" t="n"/>
      <c r="D1922" s="11" t="n"/>
      <c r="E1922" s="11" t="n"/>
      <c r="F1922" s="11" t="n"/>
      <c r="G1922" s="11" t="n"/>
      <c r="H1922" s="11" t="n"/>
      <c r="I1922" s="11" t="n"/>
      <c r="J1922" s="11" t="n"/>
      <c r="K1922" s="11" t="n"/>
      <c r="L1922" s="11" t="n"/>
      <c r="M1922" s="11" t="n"/>
    </row>
    <row r="1923">
      <c r="A1923" s="11" t="n"/>
      <c r="B1923" s="11" t="n"/>
      <c r="C1923" s="11" t="n"/>
      <c r="D1923" s="11" t="n"/>
      <c r="E1923" s="11" t="n"/>
      <c r="F1923" s="11" t="n"/>
      <c r="G1923" s="11" t="n"/>
      <c r="H1923" s="11" t="n"/>
      <c r="I1923" s="11" t="n"/>
      <c r="J1923" s="11" t="n"/>
      <c r="K1923" s="11" t="n"/>
      <c r="L1923" s="11" t="n"/>
      <c r="M1923" s="11" t="n"/>
    </row>
    <row r="1924">
      <c r="A1924" s="11" t="n"/>
      <c r="B1924" s="11" t="n"/>
      <c r="C1924" s="11" t="n"/>
      <c r="D1924" s="11" t="n"/>
      <c r="E1924" s="11" t="n"/>
      <c r="F1924" s="11" t="n"/>
      <c r="G1924" s="11" t="n"/>
      <c r="H1924" s="11" t="n"/>
      <c r="I1924" s="11" t="n"/>
      <c r="J1924" s="11" t="n"/>
      <c r="K1924" s="11" t="n"/>
      <c r="L1924" s="11" t="n"/>
      <c r="M1924" s="11" t="n"/>
    </row>
    <row r="1925">
      <c r="A1925" s="11" t="n"/>
      <c r="B1925" s="11" t="n"/>
      <c r="C1925" s="11" t="n"/>
      <c r="D1925" s="11" t="n"/>
      <c r="E1925" s="11" t="n"/>
      <c r="F1925" s="11" t="n"/>
      <c r="G1925" s="11" t="n"/>
      <c r="H1925" s="11" t="n"/>
      <c r="I1925" s="11" t="n"/>
      <c r="J1925" s="11" t="n"/>
      <c r="K1925" s="11" t="n"/>
      <c r="L1925" s="11" t="n"/>
      <c r="M1925" s="11" t="n"/>
    </row>
    <row r="1926">
      <c r="A1926" s="11" t="n"/>
      <c r="B1926" s="11" t="n"/>
      <c r="C1926" s="11" t="n"/>
      <c r="D1926" s="11" t="n"/>
      <c r="E1926" s="11" t="n"/>
      <c r="F1926" s="11" t="n"/>
      <c r="G1926" s="11" t="n"/>
      <c r="H1926" s="11" t="n"/>
      <c r="I1926" s="11" t="n"/>
      <c r="J1926" s="11" t="n"/>
      <c r="K1926" s="11" t="n"/>
      <c r="L1926" s="11" t="n"/>
      <c r="M1926" s="11" t="n"/>
    </row>
    <row r="1927">
      <c r="A1927" s="11" t="n"/>
      <c r="B1927" s="11" t="n"/>
      <c r="C1927" s="11" t="n"/>
      <c r="D1927" s="11" t="n"/>
      <c r="E1927" s="11" t="n"/>
      <c r="F1927" s="11" t="n"/>
      <c r="G1927" s="11" t="n"/>
      <c r="H1927" s="11" t="n"/>
      <c r="I1927" s="11" t="n"/>
      <c r="J1927" s="11" t="n"/>
      <c r="K1927" s="11" t="n"/>
      <c r="L1927" s="11" t="n"/>
      <c r="M1927" s="11" t="n"/>
    </row>
    <row r="1928">
      <c r="A1928" s="11" t="n"/>
      <c r="B1928" s="11" t="n"/>
      <c r="C1928" s="11" t="n"/>
      <c r="D1928" s="11" t="n"/>
      <c r="E1928" s="11" t="n"/>
      <c r="F1928" s="11" t="n"/>
      <c r="G1928" s="11" t="n"/>
      <c r="H1928" s="11" t="n"/>
      <c r="I1928" s="11" t="n"/>
      <c r="J1928" s="11" t="n"/>
      <c r="K1928" s="11" t="n"/>
      <c r="L1928" s="11" t="n"/>
      <c r="M1928" s="11" t="n"/>
    </row>
    <row r="1929">
      <c r="A1929" s="11" t="n"/>
      <c r="B1929" s="11" t="n"/>
      <c r="C1929" s="11" t="n"/>
      <c r="D1929" s="11" t="n"/>
      <c r="E1929" s="11" t="n"/>
      <c r="F1929" s="11" t="n"/>
      <c r="G1929" s="11" t="n"/>
      <c r="H1929" s="11" t="n"/>
      <c r="I1929" s="11" t="n"/>
      <c r="J1929" s="11" t="n"/>
      <c r="K1929" s="11" t="n"/>
      <c r="L1929" s="11" t="n"/>
      <c r="M1929" s="11" t="n"/>
    </row>
    <row r="1930">
      <c r="A1930" s="11" t="n"/>
      <c r="B1930" s="11" t="n"/>
      <c r="C1930" s="11" t="n"/>
      <c r="D1930" s="11" t="n"/>
      <c r="E1930" s="11" t="n"/>
      <c r="F1930" s="11" t="n"/>
      <c r="G1930" s="11" t="n"/>
      <c r="H1930" s="11" t="n"/>
      <c r="I1930" s="11" t="n"/>
      <c r="J1930" s="11" t="n"/>
      <c r="K1930" s="11" t="n"/>
      <c r="L1930" s="11" t="n"/>
      <c r="M1930" s="11" t="n"/>
    </row>
    <row r="1931">
      <c r="A1931" s="11" t="n"/>
      <c r="B1931" s="11" t="n"/>
      <c r="C1931" s="11" t="n"/>
      <c r="D1931" s="11" t="n"/>
      <c r="E1931" s="11" t="n"/>
      <c r="F1931" s="11" t="n"/>
      <c r="G1931" s="11" t="n"/>
      <c r="H1931" s="11" t="n"/>
      <c r="I1931" s="11" t="n"/>
      <c r="J1931" s="11" t="n"/>
      <c r="K1931" s="11" t="n"/>
      <c r="L1931" s="11" t="n"/>
      <c r="M1931" s="11" t="n"/>
    </row>
    <row r="1932">
      <c r="A1932" s="11" t="n"/>
      <c r="B1932" s="11" t="n"/>
      <c r="C1932" s="11" t="n"/>
      <c r="D1932" s="11" t="n"/>
      <c r="E1932" s="11" t="n"/>
      <c r="F1932" s="11" t="n"/>
      <c r="G1932" s="11" t="n"/>
      <c r="H1932" s="11" t="n"/>
      <c r="I1932" s="11" t="n"/>
      <c r="J1932" s="11" t="n"/>
      <c r="K1932" s="11" t="n"/>
      <c r="L1932" s="11" t="n"/>
      <c r="M1932" s="11" t="n"/>
    </row>
    <row r="1933">
      <c r="A1933" s="11" t="n"/>
      <c r="B1933" s="11" t="n"/>
      <c r="C1933" s="11" t="n"/>
      <c r="D1933" s="11" t="n"/>
      <c r="E1933" s="11" t="n"/>
      <c r="F1933" s="11" t="n"/>
      <c r="G1933" s="11" t="n"/>
      <c r="H1933" s="11" t="n"/>
      <c r="I1933" s="11" t="n"/>
      <c r="J1933" s="11" t="n"/>
      <c r="K1933" s="11" t="n"/>
      <c r="L1933" s="11" t="n"/>
      <c r="M1933" s="11" t="n"/>
    </row>
    <row r="1934">
      <c r="A1934" s="11" t="n"/>
      <c r="B1934" s="11" t="n"/>
      <c r="C1934" s="11" t="n"/>
      <c r="D1934" s="11" t="n"/>
      <c r="E1934" s="11" t="n"/>
      <c r="F1934" s="11" t="n"/>
      <c r="G1934" s="11" t="n"/>
      <c r="H1934" s="11" t="n"/>
      <c r="I1934" s="11" t="n"/>
      <c r="J1934" s="11" t="n"/>
      <c r="K1934" s="11" t="n"/>
      <c r="L1934" s="11" t="n"/>
      <c r="M1934" s="11" t="n"/>
    </row>
    <row r="1935">
      <c r="A1935" s="11" t="n"/>
      <c r="B1935" s="11" t="n"/>
      <c r="C1935" s="11" t="n"/>
      <c r="D1935" s="11" t="n"/>
      <c r="E1935" s="11" t="n"/>
      <c r="F1935" s="11" t="n"/>
      <c r="G1935" s="11" t="n"/>
      <c r="H1935" s="11" t="n"/>
      <c r="I1935" s="11" t="n"/>
      <c r="J1935" s="11" t="n"/>
      <c r="K1935" s="11" t="n"/>
      <c r="L1935" s="11" t="n"/>
      <c r="M1935" s="11" t="n"/>
    </row>
    <row r="1936">
      <c r="A1936" s="11" t="n"/>
      <c r="B1936" s="11" t="n"/>
      <c r="C1936" s="11" t="n"/>
      <c r="D1936" s="11" t="n"/>
      <c r="E1936" s="11" t="n"/>
      <c r="F1936" s="11" t="n"/>
      <c r="G1936" s="11" t="n"/>
      <c r="H1936" s="11" t="n"/>
      <c r="I1936" s="11" t="n"/>
      <c r="J1936" s="11" t="n"/>
      <c r="K1936" s="11" t="n"/>
      <c r="L1936" s="11" t="n"/>
      <c r="M1936" s="11" t="n"/>
    </row>
    <row r="1937">
      <c r="A1937" s="11" t="n"/>
      <c r="B1937" s="11" t="n"/>
      <c r="C1937" s="11" t="n"/>
      <c r="D1937" s="11" t="n"/>
      <c r="E1937" s="11" t="n"/>
      <c r="F1937" s="11" t="n"/>
      <c r="G1937" s="11" t="n"/>
      <c r="H1937" s="11" t="n"/>
      <c r="I1937" s="11" t="n"/>
      <c r="J1937" s="11" t="n"/>
      <c r="K1937" s="11" t="n"/>
      <c r="L1937" s="11" t="n"/>
      <c r="M1937" s="11" t="n"/>
    </row>
    <row r="1938">
      <c r="A1938" s="11" t="n"/>
      <c r="B1938" s="11" t="n"/>
      <c r="C1938" s="11" t="n"/>
      <c r="D1938" s="11" t="n"/>
      <c r="E1938" s="11" t="n"/>
      <c r="F1938" s="11" t="n"/>
      <c r="G1938" s="11" t="n"/>
      <c r="H1938" s="11" t="n"/>
      <c r="I1938" s="11" t="n"/>
      <c r="J1938" s="11" t="n"/>
      <c r="K1938" s="11" t="n"/>
      <c r="L1938" s="11" t="n"/>
      <c r="M1938" s="11" t="n"/>
    </row>
    <row r="1939">
      <c r="A1939" s="11" t="n"/>
      <c r="B1939" s="11" t="n"/>
      <c r="C1939" s="11" t="n"/>
      <c r="D1939" s="11" t="n"/>
      <c r="E1939" s="11" t="n"/>
      <c r="F1939" s="11" t="n"/>
      <c r="G1939" s="11" t="n"/>
      <c r="H1939" s="11" t="n"/>
      <c r="I1939" s="11" t="n"/>
      <c r="J1939" s="11" t="n"/>
      <c r="K1939" s="11" t="n"/>
      <c r="L1939" s="11" t="n"/>
      <c r="M1939" s="11" t="n"/>
    </row>
    <row r="1940">
      <c r="A1940" s="11" t="n"/>
      <c r="B1940" s="11" t="n"/>
      <c r="C1940" s="11" t="n"/>
      <c r="D1940" s="11" t="n"/>
      <c r="E1940" s="11" t="n"/>
      <c r="F1940" s="11" t="n"/>
      <c r="G1940" s="11" t="n"/>
      <c r="H1940" s="11" t="n"/>
      <c r="I1940" s="11" t="n"/>
      <c r="J1940" s="11" t="n"/>
      <c r="K1940" s="11" t="n"/>
      <c r="L1940" s="11" t="n"/>
      <c r="M1940" s="11" t="n"/>
    </row>
    <row r="1941">
      <c r="A1941" s="11" t="n"/>
      <c r="B1941" s="11" t="n"/>
      <c r="C1941" s="11" t="n"/>
      <c r="D1941" s="11" t="n"/>
      <c r="E1941" s="11" t="n"/>
      <c r="F1941" s="11" t="n"/>
      <c r="G1941" s="11" t="n"/>
      <c r="H1941" s="11" t="n"/>
      <c r="I1941" s="11" t="n"/>
      <c r="J1941" s="11" t="n"/>
      <c r="K1941" s="11" t="n"/>
      <c r="L1941" s="11" t="n"/>
      <c r="M1941" s="11" t="n"/>
    </row>
    <row r="1942">
      <c r="A1942" s="11" t="n"/>
      <c r="B1942" s="11" t="n"/>
      <c r="C1942" s="11" t="n"/>
      <c r="D1942" s="11" t="n"/>
      <c r="E1942" s="11" t="n"/>
      <c r="F1942" s="11" t="n"/>
      <c r="G1942" s="11" t="n"/>
      <c r="H1942" s="11" t="n"/>
      <c r="I1942" s="11" t="n"/>
      <c r="J1942" s="11" t="n"/>
      <c r="K1942" s="11" t="n"/>
      <c r="L1942" s="11" t="n"/>
      <c r="M1942" s="11" t="n"/>
    </row>
    <row r="1943">
      <c r="A1943" s="11" t="n"/>
      <c r="B1943" s="11" t="n"/>
      <c r="C1943" s="11" t="n"/>
      <c r="D1943" s="11" t="n"/>
      <c r="E1943" s="11" t="n"/>
      <c r="F1943" s="11" t="n"/>
      <c r="G1943" s="11" t="n"/>
      <c r="H1943" s="11" t="n"/>
      <c r="I1943" s="11" t="n"/>
      <c r="J1943" s="11" t="n"/>
      <c r="K1943" s="11" t="n"/>
      <c r="L1943" s="11" t="n"/>
      <c r="M1943" s="11" t="n"/>
    </row>
    <row r="1944">
      <c r="A1944" s="11" t="n"/>
      <c r="B1944" s="11" t="n"/>
      <c r="C1944" s="11" t="n"/>
      <c r="D1944" s="11" t="n"/>
      <c r="E1944" s="11" t="n"/>
      <c r="F1944" s="11" t="n"/>
      <c r="G1944" s="11" t="n"/>
      <c r="H1944" s="11" t="n"/>
      <c r="I1944" s="11" t="n"/>
      <c r="J1944" s="11" t="n"/>
      <c r="K1944" s="11" t="n"/>
      <c r="L1944" s="11" t="n"/>
      <c r="M1944" s="11" t="n"/>
    </row>
    <row r="1945">
      <c r="A1945" s="11" t="n"/>
      <c r="B1945" s="11" t="n"/>
      <c r="C1945" s="11" t="n"/>
      <c r="D1945" s="11" t="n"/>
      <c r="E1945" s="11" t="n"/>
      <c r="F1945" s="11" t="n"/>
      <c r="G1945" s="11" t="n"/>
      <c r="H1945" s="11" t="n"/>
      <c r="I1945" s="11" t="n"/>
      <c r="J1945" s="11" t="n"/>
      <c r="K1945" s="11" t="n"/>
      <c r="L1945" s="11" t="n"/>
      <c r="M1945" s="11" t="n"/>
    </row>
    <row r="1946">
      <c r="A1946" s="11" t="n"/>
      <c r="B1946" s="11" t="n"/>
      <c r="C1946" s="11" t="n"/>
      <c r="D1946" s="11" t="n"/>
      <c r="E1946" s="11" t="n"/>
      <c r="F1946" s="11" t="n"/>
      <c r="G1946" s="11" t="n"/>
      <c r="H1946" s="11" t="n"/>
      <c r="I1946" s="11" t="n"/>
      <c r="J1946" s="11" t="n"/>
      <c r="K1946" s="11" t="n"/>
      <c r="L1946" s="11" t="n"/>
      <c r="M1946" s="11" t="n"/>
    </row>
    <row r="1947">
      <c r="A1947" s="11" t="n"/>
      <c r="B1947" s="11" t="n"/>
      <c r="C1947" s="11" t="n"/>
      <c r="D1947" s="11" t="n"/>
      <c r="E1947" s="11" t="n"/>
      <c r="F1947" s="11" t="n"/>
      <c r="G1947" s="11" t="n"/>
      <c r="H1947" s="11" t="n"/>
      <c r="I1947" s="11" t="n"/>
      <c r="J1947" s="11" t="n"/>
      <c r="K1947" s="11" t="n"/>
      <c r="L1947" s="11" t="n"/>
      <c r="M1947" s="11" t="n"/>
    </row>
    <row r="1948">
      <c r="A1948" s="11" t="n"/>
      <c r="B1948" s="11" t="n"/>
      <c r="C1948" s="11" t="n"/>
      <c r="D1948" s="11" t="n"/>
      <c r="E1948" s="11" t="n"/>
      <c r="F1948" s="11" t="n"/>
      <c r="G1948" s="11" t="n"/>
      <c r="H1948" s="11" t="n"/>
      <c r="I1948" s="11" t="n"/>
      <c r="J1948" s="11" t="n"/>
      <c r="K1948" s="11" t="n"/>
      <c r="L1948" s="11" t="n"/>
      <c r="M1948" s="11" t="n"/>
    </row>
    <row r="1949">
      <c r="A1949" s="11" t="n"/>
      <c r="B1949" s="11" t="n"/>
      <c r="C1949" s="11" t="n"/>
      <c r="D1949" s="11" t="n"/>
      <c r="E1949" s="11" t="n"/>
      <c r="F1949" s="11" t="n"/>
      <c r="G1949" s="11" t="n"/>
      <c r="H1949" s="11" t="n"/>
      <c r="I1949" s="11" t="n"/>
      <c r="J1949" s="11" t="n"/>
      <c r="K1949" s="11" t="n"/>
      <c r="L1949" s="11" t="n"/>
      <c r="M1949" s="11" t="n"/>
    </row>
    <row r="1950">
      <c r="A1950" s="11" t="n"/>
      <c r="B1950" s="11" t="n"/>
      <c r="C1950" s="11" t="n"/>
      <c r="D1950" s="11" t="n"/>
      <c r="E1950" s="11" t="n"/>
      <c r="F1950" s="11" t="n"/>
      <c r="G1950" s="11" t="n"/>
      <c r="H1950" s="11" t="n"/>
      <c r="I1950" s="11" t="n"/>
      <c r="J1950" s="11" t="n"/>
      <c r="K1950" s="11" t="n"/>
      <c r="L1950" s="11" t="n"/>
      <c r="M1950" s="11" t="n"/>
    </row>
    <row r="1951">
      <c r="A1951" s="11" t="n"/>
      <c r="B1951" s="11" t="n"/>
      <c r="C1951" s="11" t="n"/>
      <c r="D1951" s="11" t="n"/>
      <c r="E1951" s="11" t="n"/>
      <c r="F1951" s="11" t="n"/>
      <c r="G1951" s="11" t="n"/>
      <c r="H1951" s="11" t="n"/>
      <c r="I1951" s="11" t="n"/>
      <c r="J1951" s="11" t="n"/>
      <c r="K1951" s="11" t="n"/>
      <c r="L1951" s="11" t="n"/>
      <c r="M1951" s="11" t="n"/>
    </row>
    <row r="1952">
      <c r="A1952" s="11" t="n"/>
      <c r="B1952" s="11" t="n"/>
      <c r="C1952" s="11" t="n"/>
      <c r="D1952" s="11" t="n"/>
      <c r="E1952" s="11" t="n"/>
      <c r="F1952" s="11" t="n"/>
      <c r="G1952" s="11" t="n"/>
      <c r="H1952" s="11" t="n"/>
      <c r="I1952" s="11" t="n"/>
      <c r="J1952" s="11" t="n"/>
      <c r="K1952" s="11" t="n"/>
      <c r="L1952" s="11" t="n"/>
      <c r="M1952" s="11" t="n"/>
    </row>
    <row r="1953">
      <c r="A1953" s="11" t="n"/>
      <c r="B1953" s="11" t="n"/>
      <c r="C1953" s="11" t="n"/>
      <c r="D1953" s="11" t="n"/>
      <c r="E1953" s="11" t="n"/>
      <c r="F1953" s="11" t="n"/>
      <c r="G1953" s="11" t="n"/>
      <c r="H1953" s="11" t="n"/>
      <c r="I1953" s="11" t="n"/>
      <c r="J1953" s="11" t="n"/>
      <c r="K1953" s="11" t="n"/>
      <c r="L1953" s="11" t="n"/>
      <c r="M1953" s="11" t="n"/>
    </row>
    <row r="1954">
      <c r="A1954" s="11" t="n"/>
      <c r="B1954" s="11" t="n"/>
      <c r="C1954" s="11" t="n"/>
      <c r="D1954" s="11" t="n"/>
      <c r="E1954" s="11" t="n"/>
      <c r="F1954" s="11" t="n"/>
      <c r="G1954" s="11" t="n"/>
      <c r="H1954" s="11" t="n"/>
      <c r="I1954" s="11" t="n"/>
      <c r="J1954" s="11" t="n"/>
      <c r="K1954" s="11" t="n"/>
      <c r="L1954" s="11" t="n"/>
      <c r="M1954" s="11" t="n"/>
    </row>
    <row r="1955">
      <c r="A1955" s="11" t="n"/>
      <c r="B1955" s="11" t="n"/>
      <c r="C1955" s="11" t="n"/>
      <c r="D1955" s="11" t="n"/>
      <c r="E1955" s="11" t="n"/>
      <c r="F1955" s="11" t="n"/>
      <c r="G1955" s="11" t="n"/>
      <c r="H1955" s="11" t="n"/>
      <c r="I1955" s="11" t="n"/>
      <c r="J1955" s="11" t="n"/>
      <c r="K1955" s="11" t="n"/>
      <c r="L1955" s="11" t="n"/>
      <c r="M1955" s="11" t="n"/>
    </row>
    <row r="1956">
      <c r="A1956" s="11" t="n"/>
      <c r="B1956" s="11" t="n"/>
      <c r="C1956" s="11" t="n"/>
      <c r="D1956" s="11" t="n"/>
      <c r="E1956" s="11" t="n"/>
      <c r="F1956" s="11" t="n"/>
      <c r="G1956" s="11" t="n"/>
      <c r="H1956" s="11" t="n"/>
      <c r="I1956" s="11" t="n"/>
      <c r="J1956" s="11" t="n"/>
      <c r="K1956" s="11" t="n"/>
      <c r="L1956" s="11" t="n"/>
      <c r="M1956" s="11" t="n"/>
    </row>
    <row r="1957">
      <c r="A1957" s="11" t="n"/>
      <c r="B1957" s="11" t="n"/>
      <c r="C1957" s="11" t="n"/>
      <c r="D1957" s="11" t="n"/>
      <c r="E1957" s="11" t="n"/>
      <c r="F1957" s="11" t="n"/>
      <c r="G1957" s="11" t="n"/>
      <c r="H1957" s="11" t="n"/>
      <c r="I1957" s="11" t="n"/>
      <c r="J1957" s="11" t="n"/>
      <c r="K1957" s="11" t="n"/>
      <c r="L1957" s="11" t="n"/>
      <c r="M1957" s="11" t="n"/>
    </row>
    <row r="1958">
      <c r="A1958" s="11" t="n"/>
      <c r="B1958" s="11" t="n"/>
      <c r="C1958" s="11" t="n"/>
      <c r="D1958" s="11" t="n"/>
      <c r="E1958" s="11" t="n"/>
      <c r="F1958" s="11" t="n"/>
      <c r="G1958" s="11" t="n"/>
      <c r="H1958" s="11" t="n"/>
      <c r="I1958" s="11" t="n"/>
      <c r="J1958" s="11" t="n"/>
      <c r="K1958" s="11" t="n"/>
      <c r="L1958" s="11" t="n"/>
      <c r="M1958" s="11" t="n"/>
    </row>
    <row r="1959">
      <c r="A1959" s="11" t="n"/>
      <c r="B1959" s="11" t="n"/>
      <c r="C1959" s="11" t="n"/>
      <c r="D1959" s="11" t="n"/>
      <c r="E1959" s="11" t="n"/>
      <c r="F1959" s="11" t="n"/>
      <c r="G1959" s="11" t="n"/>
      <c r="H1959" s="11" t="n"/>
      <c r="I1959" s="11" t="n"/>
      <c r="J1959" s="11" t="n"/>
      <c r="K1959" s="11" t="n"/>
      <c r="L1959" s="11" t="n"/>
      <c r="M1959" s="11" t="n"/>
    </row>
    <row r="1960">
      <c r="A1960" s="11" t="n"/>
      <c r="B1960" s="11" t="n"/>
      <c r="C1960" s="11" t="n"/>
      <c r="D1960" s="11" t="n"/>
      <c r="E1960" s="11" t="n"/>
      <c r="F1960" s="11" t="n"/>
      <c r="G1960" s="11" t="n"/>
      <c r="H1960" s="11" t="n"/>
      <c r="I1960" s="11" t="n"/>
      <c r="J1960" s="11" t="n"/>
      <c r="K1960" s="11" t="n"/>
      <c r="L1960" s="11" t="n"/>
      <c r="M1960" s="11" t="n"/>
    </row>
    <row r="1961">
      <c r="A1961" s="11" t="n"/>
      <c r="B1961" s="11" t="n"/>
      <c r="C1961" s="11" t="n"/>
      <c r="D1961" s="11" t="n"/>
      <c r="E1961" s="11" t="n"/>
      <c r="F1961" s="11" t="n"/>
      <c r="G1961" s="11" t="n"/>
      <c r="H1961" s="11" t="n"/>
      <c r="I1961" s="11" t="n"/>
      <c r="J1961" s="11" t="n"/>
      <c r="K1961" s="11" t="n"/>
      <c r="L1961" s="11" t="n"/>
      <c r="M1961" s="11" t="n"/>
    </row>
    <row r="1962">
      <c r="A1962" s="11" t="n"/>
      <c r="B1962" s="11" t="n"/>
      <c r="C1962" s="11" t="n"/>
      <c r="D1962" s="11" t="n"/>
      <c r="E1962" s="11" t="n"/>
      <c r="F1962" s="11" t="n"/>
      <c r="G1962" s="11" t="n"/>
      <c r="H1962" s="11" t="n"/>
      <c r="I1962" s="11" t="n"/>
      <c r="J1962" s="11" t="n"/>
      <c r="K1962" s="11" t="n"/>
      <c r="L1962" s="11" t="n"/>
      <c r="M1962" s="11" t="n"/>
    </row>
    <row r="1963">
      <c r="A1963" s="11" t="n"/>
      <c r="B1963" s="11" t="n"/>
      <c r="C1963" s="11" t="n"/>
      <c r="D1963" s="11" t="n"/>
      <c r="E1963" s="11" t="n"/>
      <c r="F1963" s="11" t="n"/>
      <c r="G1963" s="11" t="n"/>
      <c r="H1963" s="11" t="n"/>
      <c r="I1963" s="11" t="n"/>
      <c r="J1963" s="11" t="n"/>
      <c r="K1963" s="11" t="n"/>
      <c r="L1963" s="11" t="n"/>
      <c r="M1963" s="11" t="n"/>
    </row>
    <row r="1964">
      <c r="A1964" s="11" t="n"/>
      <c r="B1964" s="11" t="n"/>
      <c r="C1964" s="11" t="n"/>
      <c r="D1964" s="11" t="n"/>
      <c r="E1964" s="11" t="n"/>
      <c r="F1964" s="11" t="n"/>
      <c r="G1964" s="11" t="n"/>
      <c r="H1964" s="11" t="n"/>
      <c r="I1964" s="11" t="n"/>
      <c r="J1964" s="11" t="n"/>
      <c r="K1964" s="11" t="n"/>
      <c r="L1964" s="11" t="n"/>
      <c r="M1964" s="11" t="n"/>
    </row>
    <row r="1965">
      <c r="A1965" s="11" t="n"/>
      <c r="B1965" s="11" t="n"/>
      <c r="C1965" s="11" t="n"/>
      <c r="D1965" s="11" t="n"/>
      <c r="E1965" s="11" t="n"/>
      <c r="F1965" s="11" t="n"/>
      <c r="G1965" s="11" t="n"/>
      <c r="H1965" s="11" t="n"/>
      <c r="I1965" s="11" t="n"/>
      <c r="J1965" s="11" t="n"/>
      <c r="K1965" s="11" t="n"/>
      <c r="L1965" s="11" t="n"/>
      <c r="M1965" s="11" t="n"/>
    </row>
    <row r="1966">
      <c r="A1966" s="11" t="n"/>
      <c r="B1966" s="11" t="n"/>
      <c r="C1966" s="11" t="n"/>
      <c r="D1966" s="11" t="n"/>
      <c r="E1966" s="11" t="n"/>
      <c r="F1966" s="11" t="n"/>
      <c r="G1966" s="11" t="n"/>
      <c r="H1966" s="11" t="n"/>
      <c r="I1966" s="11" t="n"/>
      <c r="J1966" s="11" t="n"/>
      <c r="K1966" s="11" t="n"/>
      <c r="L1966" s="11" t="n"/>
      <c r="M1966" s="11" t="n"/>
    </row>
    <row r="1967">
      <c r="A1967" s="11" t="n"/>
      <c r="B1967" s="11" t="n"/>
      <c r="C1967" s="11" t="n"/>
      <c r="D1967" s="11" t="n"/>
      <c r="E1967" s="11" t="n"/>
      <c r="F1967" s="11" t="n"/>
      <c r="G1967" s="11" t="n"/>
      <c r="H1967" s="11" t="n"/>
      <c r="I1967" s="11" t="n"/>
      <c r="J1967" s="11" t="n"/>
      <c r="K1967" s="11" t="n"/>
      <c r="L1967" s="11" t="n"/>
      <c r="M1967" s="11" t="n"/>
    </row>
    <row r="1968">
      <c r="A1968" s="11" t="n"/>
      <c r="B1968" s="11" t="n"/>
      <c r="C1968" s="11" t="n"/>
      <c r="D1968" s="11" t="n"/>
      <c r="E1968" s="11" t="n"/>
      <c r="F1968" s="11" t="n"/>
      <c r="G1968" s="11" t="n"/>
      <c r="H1968" s="11" t="n"/>
      <c r="I1968" s="11" t="n"/>
      <c r="J1968" s="11" t="n"/>
      <c r="K1968" s="11" t="n"/>
      <c r="L1968" s="11" t="n"/>
      <c r="M1968" s="11" t="n"/>
    </row>
    <row r="1969">
      <c r="A1969" s="11" t="n"/>
      <c r="B1969" s="11" t="n"/>
      <c r="C1969" s="11" t="n"/>
      <c r="D1969" s="11" t="n"/>
      <c r="E1969" s="11" t="n"/>
      <c r="F1969" s="11" t="n"/>
      <c r="G1969" s="11" t="n"/>
      <c r="H1969" s="11" t="n"/>
      <c r="I1969" s="11" t="n"/>
      <c r="J1969" s="11" t="n"/>
      <c r="K1969" s="11" t="n"/>
      <c r="L1969" s="11" t="n"/>
      <c r="M1969" s="11" t="n"/>
    </row>
    <row r="1970">
      <c r="A1970" s="11" t="n"/>
      <c r="B1970" s="11" t="n"/>
      <c r="C1970" s="11" t="n"/>
      <c r="D1970" s="11" t="n"/>
      <c r="E1970" s="11" t="n"/>
      <c r="F1970" s="11" t="n"/>
      <c r="G1970" s="11" t="n"/>
      <c r="H1970" s="11" t="n"/>
      <c r="I1970" s="11" t="n"/>
      <c r="J1970" s="11" t="n"/>
      <c r="K1970" s="11" t="n"/>
      <c r="L1970" s="11" t="n"/>
      <c r="M1970" s="11" t="n"/>
    </row>
    <row r="1971">
      <c r="A1971" s="11" t="n"/>
      <c r="B1971" s="11" t="n"/>
      <c r="C1971" s="11" t="n"/>
      <c r="D1971" s="11" t="n"/>
      <c r="E1971" s="11" t="n"/>
      <c r="F1971" s="11" t="n"/>
      <c r="G1971" s="11" t="n"/>
      <c r="H1971" s="11" t="n"/>
      <c r="I1971" s="11" t="n"/>
      <c r="J1971" s="11" t="n"/>
      <c r="K1971" s="11" t="n"/>
      <c r="L1971" s="11" t="n"/>
      <c r="M1971" s="11" t="n"/>
    </row>
    <row r="1972">
      <c r="A1972" s="11" t="n"/>
      <c r="B1972" s="11" t="n"/>
      <c r="C1972" s="11" t="n"/>
      <c r="D1972" s="11" t="n"/>
      <c r="E1972" s="11" t="n"/>
      <c r="F1972" s="11" t="n"/>
      <c r="G1972" s="11" t="n"/>
      <c r="H1972" s="11" t="n"/>
      <c r="I1972" s="11" t="n"/>
      <c r="J1972" s="11" t="n"/>
      <c r="K1972" s="11" t="n"/>
      <c r="L1972" s="11" t="n"/>
      <c r="M1972" s="11" t="n"/>
    </row>
    <row r="1973">
      <c r="A1973" s="11" t="n"/>
      <c r="B1973" s="11" t="n"/>
      <c r="C1973" s="11" t="n"/>
      <c r="D1973" s="11" t="n"/>
      <c r="E1973" s="11" t="n"/>
      <c r="F1973" s="11" t="n"/>
      <c r="G1973" s="11" t="n"/>
      <c r="H1973" s="11" t="n"/>
      <c r="I1973" s="11" t="n"/>
      <c r="J1973" s="11" t="n"/>
      <c r="K1973" s="11" t="n"/>
      <c r="L1973" s="11" t="n"/>
      <c r="M1973" s="11" t="n"/>
    </row>
    <row r="1974">
      <c r="A1974" s="11" t="n"/>
      <c r="B1974" s="11" t="n"/>
      <c r="C1974" s="11" t="n"/>
      <c r="D1974" s="11" t="n"/>
      <c r="E1974" s="11" t="n"/>
      <c r="F1974" s="11" t="n"/>
      <c r="G1974" s="11" t="n"/>
      <c r="H1974" s="11" t="n"/>
      <c r="I1974" s="11" t="n"/>
      <c r="J1974" s="11" t="n"/>
      <c r="K1974" s="11" t="n"/>
      <c r="L1974" s="11" t="n"/>
      <c r="M1974" s="11" t="n"/>
    </row>
    <row r="1975">
      <c r="A1975" s="11" t="n"/>
      <c r="B1975" s="11" t="n"/>
      <c r="C1975" s="11" t="n"/>
      <c r="D1975" s="11" t="n"/>
      <c r="E1975" s="11" t="n"/>
      <c r="F1975" s="11" t="n"/>
      <c r="G1975" s="11" t="n"/>
      <c r="H1975" s="11" t="n"/>
      <c r="I1975" s="11" t="n"/>
      <c r="J1975" s="11" t="n"/>
      <c r="K1975" s="11" t="n"/>
      <c r="L1975" s="11" t="n"/>
      <c r="M1975" s="11" t="n"/>
    </row>
    <row r="1976">
      <c r="A1976" s="11" t="n"/>
      <c r="B1976" s="11" t="n"/>
      <c r="C1976" s="11" t="n"/>
      <c r="D1976" s="11" t="n"/>
      <c r="E1976" s="11" t="n"/>
      <c r="F1976" s="11" t="n"/>
      <c r="G1976" s="11" t="n"/>
      <c r="H1976" s="11" t="n"/>
      <c r="I1976" s="11" t="n"/>
      <c r="J1976" s="11" t="n"/>
      <c r="K1976" s="11" t="n"/>
      <c r="L1976" s="11" t="n"/>
      <c r="M1976" s="11" t="n"/>
    </row>
    <row r="1977">
      <c r="A1977" s="11" t="n"/>
      <c r="B1977" s="11" t="n"/>
      <c r="C1977" s="11" t="n"/>
      <c r="D1977" s="11" t="n"/>
      <c r="E1977" s="11" t="n"/>
      <c r="F1977" s="11" t="n"/>
      <c r="G1977" s="11" t="n"/>
      <c r="H1977" s="11" t="n"/>
      <c r="I1977" s="11" t="n"/>
      <c r="J1977" s="11" t="n"/>
      <c r="K1977" s="11" t="n"/>
      <c r="L1977" s="11" t="n"/>
      <c r="M1977" s="11" t="n"/>
    </row>
    <row r="1978">
      <c r="A1978" s="11" t="n"/>
      <c r="B1978" s="11" t="n"/>
      <c r="C1978" s="11" t="n"/>
      <c r="D1978" s="11" t="n"/>
      <c r="E1978" s="11" t="n"/>
      <c r="F1978" s="11" t="n"/>
      <c r="G1978" s="11" t="n"/>
      <c r="H1978" s="11" t="n"/>
      <c r="I1978" s="11" t="n"/>
      <c r="J1978" s="11" t="n"/>
      <c r="K1978" s="11" t="n"/>
      <c r="L1978" s="11" t="n"/>
      <c r="M1978" s="11" t="n"/>
    </row>
    <row r="1979">
      <c r="A1979" s="11" t="n"/>
      <c r="B1979" s="11" t="n"/>
      <c r="C1979" s="11" t="n"/>
      <c r="D1979" s="11" t="n"/>
      <c r="E1979" s="11" t="n"/>
      <c r="F1979" s="11" t="n"/>
      <c r="G1979" s="11" t="n"/>
      <c r="H1979" s="11" t="n"/>
      <c r="I1979" s="11" t="n"/>
      <c r="J1979" s="11" t="n"/>
      <c r="K1979" s="11" t="n"/>
      <c r="L1979" s="11" t="n"/>
      <c r="M1979" s="11" t="n"/>
    </row>
    <row r="1980">
      <c r="A1980" s="11" t="n"/>
      <c r="B1980" s="11" t="n"/>
      <c r="C1980" s="11" t="n"/>
      <c r="D1980" s="11" t="n"/>
      <c r="E1980" s="11" t="n"/>
      <c r="F1980" s="11" t="n"/>
      <c r="G1980" s="11" t="n"/>
      <c r="H1980" s="11" t="n"/>
      <c r="I1980" s="11" t="n"/>
      <c r="J1980" s="11" t="n"/>
      <c r="K1980" s="11" t="n"/>
      <c r="L1980" s="11" t="n"/>
      <c r="M1980" s="11" t="n"/>
    </row>
    <row r="1981">
      <c r="A1981" s="11" t="n"/>
      <c r="B1981" s="11" t="n"/>
      <c r="C1981" s="11" t="n"/>
      <c r="D1981" s="11" t="n"/>
      <c r="E1981" s="11" t="n"/>
      <c r="F1981" s="11" t="n"/>
      <c r="G1981" s="11" t="n"/>
      <c r="H1981" s="11" t="n"/>
      <c r="I1981" s="11" t="n"/>
      <c r="J1981" s="11" t="n"/>
      <c r="K1981" s="11" t="n"/>
      <c r="L1981" s="11" t="n"/>
      <c r="M1981" s="11" t="n"/>
    </row>
    <row r="1982">
      <c r="A1982" s="11" t="n"/>
      <c r="B1982" s="11" t="n"/>
      <c r="C1982" s="11" t="n"/>
      <c r="D1982" s="11" t="n"/>
      <c r="E1982" s="11" t="n"/>
      <c r="F1982" s="11" t="n"/>
      <c r="G1982" s="11" t="n"/>
      <c r="H1982" s="11" t="n"/>
      <c r="I1982" s="11" t="n"/>
      <c r="J1982" s="11" t="n"/>
      <c r="K1982" s="11" t="n"/>
      <c r="L1982" s="11" t="n"/>
      <c r="M1982" s="11" t="n"/>
    </row>
    <row r="1983">
      <c r="A1983" s="11" t="n"/>
      <c r="B1983" s="11" t="n"/>
      <c r="C1983" s="11" t="n"/>
      <c r="D1983" s="11" t="n"/>
      <c r="E1983" s="11" t="n"/>
      <c r="F1983" s="11" t="n"/>
      <c r="G1983" s="11" t="n"/>
      <c r="H1983" s="11" t="n"/>
      <c r="I1983" s="11" t="n"/>
      <c r="J1983" s="11" t="n"/>
      <c r="K1983" s="11" t="n"/>
      <c r="L1983" s="11" t="n"/>
      <c r="M1983" s="11" t="n"/>
    </row>
    <row r="1984">
      <c r="A1984" s="11" t="n"/>
      <c r="B1984" s="11" t="n"/>
      <c r="C1984" s="11" t="n"/>
      <c r="D1984" s="11" t="n"/>
      <c r="E1984" s="11" t="n"/>
      <c r="F1984" s="11" t="n"/>
      <c r="G1984" s="11" t="n"/>
      <c r="H1984" s="11" t="n"/>
      <c r="I1984" s="11" t="n"/>
      <c r="J1984" s="11" t="n"/>
      <c r="K1984" s="11" t="n"/>
      <c r="L1984" s="11" t="n"/>
      <c r="M1984" s="11" t="n"/>
    </row>
    <row r="1985">
      <c r="A1985" s="11" t="n"/>
      <c r="B1985" s="11" t="n"/>
      <c r="C1985" s="11" t="n"/>
      <c r="D1985" s="11" t="n"/>
      <c r="E1985" s="11" t="n"/>
      <c r="F1985" s="11" t="n"/>
      <c r="G1985" s="11" t="n"/>
      <c r="H1985" s="11" t="n"/>
      <c r="I1985" s="11" t="n"/>
      <c r="J1985" s="11" t="n"/>
      <c r="K1985" s="11" t="n"/>
      <c r="L1985" s="11" t="n"/>
      <c r="M1985" s="11" t="n"/>
    </row>
    <row r="1986">
      <c r="A1986" s="11" t="n"/>
      <c r="B1986" s="11" t="n"/>
      <c r="C1986" s="11" t="n"/>
      <c r="D1986" s="11" t="n"/>
      <c r="E1986" s="11" t="n"/>
      <c r="F1986" s="11" t="n"/>
      <c r="G1986" s="11" t="n"/>
      <c r="H1986" s="11" t="n"/>
      <c r="I1986" s="11" t="n"/>
      <c r="J1986" s="11" t="n"/>
      <c r="K1986" s="11" t="n"/>
      <c r="L1986" s="11" t="n"/>
      <c r="M1986" s="11" t="n"/>
    </row>
    <row r="1987">
      <c r="A1987" s="11" t="n"/>
      <c r="B1987" s="11" t="n"/>
      <c r="C1987" s="11" t="n"/>
      <c r="D1987" s="11" t="n"/>
      <c r="E1987" s="11" t="n"/>
      <c r="F1987" s="11" t="n"/>
      <c r="G1987" s="11" t="n"/>
      <c r="H1987" s="11" t="n"/>
      <c r="I1987" s="11" t="n"/>
      <c r="J1987" s="11" t="n"/>
      <c r="K1987" s="11" t="n"/>
      <c r="L1987" s="11" t="n"/>
      <c r="M1987" s="11" t="n"/>
    </row>
    <row r="1988">
      <c r="A1988" s="11" t="n"/>
      <c r="B1988" s="11" t="n"/>
      <c r="C1988" s="11" t="n"/>
      <c r="D1988" s="11" t="n"/>
      <c r="E1988" s="11" t="n"/>
      <c r="F1988" s="11" t="n"/>
      <c r="G1988" s="11" t="n"/>
      <c r="H1988" s="11" t="n"/>
      <c r="I1988" s="11" t="n"/>
      <c r="J1988" s="11" t="n"/>
      <c r="K1988" s="11" t="n"/>
      <c r="L1988" s="11" t="n"/>
      <c r="M1988" s="11" t="n"/>
    </row>
    <row r="1989">
      <c r="A1989" s="11" t="n"/>
      <c r="B1989" s="11" t="n"/>
      <c r="C1989" s="11" t="n"/>
      <c r="D1989" s="11" t="n"/>
      <c r="E1989" s="11" t="n"/>
      <c r="F1989" s="11" t="n"/>
      <c r="G1989" s="11" t="n"/>
      <c r="H1989" s="11" t="n"/>
      <c r="I1989" s="11" t="n"/>
      <c r="J1989" s="11" t="n"/>
      <c r="K1989" s="11" t="n"/>
      <c r="L1989" s="11" t="n"/>
      <c r="M1989" s="11" t="n"/>
    </row>
    <row r="1990">
      <c r="A1990" s="11" t="n"/>
      <c r="B1990" s="11" t="n"/>
      <c r="C1990" s="11" t="n"/>
      <c r="D1990" s="11" t="n"/>
      <c r="E1990" s="11" t="n"/>
      <c r="F1990" s="11" t="n"/>
      <c r="G1990" s="11" t="n"/>
      <c r="H1990" s="11" t="n"/>
      <c r="I1990" s="11" t="n"/>
      <c r="J1990" s="11" t="n"/>
      <c r="K1990" s="11" t="n"/>
      <c r="L1990" s="11" t="n"/>
      <c r="M1990" s="11" t="n"/>
    </row>
    <row r="1991">
      <c r="A1991" s="11" t="n"/>
      <c r="B1991" s="11" t="n"/>
      <c r="C1991" s="11" t="n"/>
      <c r="D1991" s="11" t="n"/>
      <c r="E1991" s="11" t="n"/>
      <c r="F1991" s="11" t="n"/>
      <c r="G1991" s="11" t="n"/>
      <c r="H1991" s="11" t="n"/>
      <c r="I1991" s="11" t="n"/>
      <c r="J1991" s="11" t="n"/>
      <c r="K1991" s="11" t="n"/>
      <c r="L1991" s="11" t="n"/>
      <c r="M1991" s="11" t="n"/>
    </row>
    <row r="1992">
      <c r="A1992" s="11" t="n"/>
      <c r="B1992" s="11" t="n"/>
      <c r="C1992" s="11" t="n"/>
      <c r="D1992" s="11" t="n"/>
      <c r="E1992" s="11" t="n"/>
      <c r="F1992" s="11" t="n"/>
      <c r="G1992" s="11" t="n"/>
      <c r="H1992" s="11" t="n"/>
      <c r="I1992" s="11" t="n"/>
      <c r="J1992" s="11" t="n"/>
      <c r="K1992" s="11" t="n"/>
      <c r="L1992" s="11" t="n"/>
      <c r="M1992" s="11" t="n"/>
    </row>
    <row r="1993">
      <c r="A1993" s="11" t="n"/>
      <c r="B1993" s="11" t="n"/>
      <c r="C1993" s="11" t="n"/>
      <c r="D1993" s="11" t="n"/>
      <c r="E1993" s="11" t="n"/>
      <c r="F1993" s="11" t="n"/>
      <c r="G1993" s="11" t="n"/>
      <c r="H1993" s="11" t="n"/>
      <c r="I1993" s="11" t="n"/>
      <c r="J1993" s="11" t="n"/>
      <c r="K1993" s="11" t="n"/>
      <c r="L1993" s="11" t="n"/>
      <c r="M1993" s="11" t="n"/>
    </row>
    <row r="1994">
      <c r="A1994" s="11" t="n"/>
      <c r="B1994" s="11" t="n"/>
      <c r="C1994" s="11" t="n"/>
      <c r="D1994" s="11" t="n"/>
      <c r="E1994" s="11" t="n"/>
      <c r="F1994" s="11" t="n"/>
      <c r="G1994" s="11" t="n"/>
      <c r="H1994" s="11" t="n"/>
      <c r="I1994" s="11" t="n"/>
      <c r="J1994" s="11" t="n"/>
      <c r="K1994" s="11" t="n"/>
      <c r="L1994" s="11" t="n"/>
      <c r="M1994" s="11" t="n"/>
    </row>
    <row r="1995">
      <c r="A1995" s="11" t="n"/>
      <c r="B1995" s="11" t="n"/>
      <c r="C1995" s="11" t="n"/>
      <c r="D1995" s="11" t="n"/>
      <c r="E1995" s="11" t="n"/>
      <c r="F1995" s="11" t="n"/>
      <c r="G1995" s="11" t="n"/>
      <c r="H1995" s="11" t="n"/>
      <c r="I1995" s="11" t="n"/>
      <c r="J1995" s="11" t="n"/>
      <c r="K1995" s="11" t="n"/>
      <c r="L1995" s="11" t="n"/>
      <c r="M1995" s="11" t="n"/>
    </row>
    <row r="1996">
      <c r="A1996" s="11" t="n"/>
      <c r="B1996" s="11" t="n"/>
      <c r="C1996" s="11" t="n"/>
      <c r="D1996" s="11" t="n"/>
      <c r="E1996" s="11" t="n"/>
      <c r="F1996" s="11" t="n"/>
      <c r="G1996" s="11" t="n"/>
      <c r="H1996" s="11" t="n"/>
      <c r="I1996" s="11" t="n"/>
      <c r="J1996" s="11" t="n"/>
      <c r="K1996" s="11" t="n"/>
      <c r="L1996" s="11" t="n"/>
      <c r="M1996" s="11" t="n"/>
    </row>
    <row r="1997">
      <c r="A1997" s="11" t="n"/>
      <c r="B1997" s="11" t="n"/>
      <c r="C1997" s="11" t="n"/>
      <c r="D1997" s="11" t="n"/>
      <c r="E1997" s="11" t="n"/>
      <c r="F1997" s="11" t="n"/>
      <c r="G1997" s="11" t="n"/>
      <c r="H1997" s="11" t="n"/>
      <c r="I1997" s="11" t="n"/>
      <c r="J1997" s="11" t="n"/>
      <c r="K1997" s="11" t="n"/>
      <c r="L1997" s="11" t="n"/>
      <c r="M1997" s="11" t="n"/>
    </row>
    <row r="1998">
      <c r="A1998" s="11" t="n"/>
      <c r="B1998" s="11" t="n"/>
      <c r="C1998" s="11" t="n"/>
      <c r="D1998" s="11" t="n"/>
      <c r="E1998" s="11" t="n"/>
      <c r="F1998" s="11" t="n"/>
      <c r="G1998" s="11" t="n"/>
      <c r="H1998" s="11" t="n"/>
      <c r="I1998" s="11" t="n"/>
      <c r="J1998" s="11" t="n"/>
      <c r="K1998" s="11" t="n"/>
      <c r="L1998" s="11" t="n"/>
      <c r="M1998" s="11" t="n"/>
    </row>
    <row r="1999">
      <c r="A1999" s="11" t="n"/>
      <c r="B1999" s="11" t="n"/>
      <c r="C1999" s="11" t="n"/>
      <c r="D1999" s="11" t="n"/>
      <c r="E1999" s="11" t="n"/>
      <c r="F1999" s="11" t="n"/>
      <c r="G1999" s="11" t="n"/>
      <c r="H1999" s="11" t="n"/>
      <c r="I1999" s="11" t="n"/>
      <c r="J1999" s="11" t="n"/>
      <c r="K1999" s="11" t="n"/>
      <c r="L1999" s="11" t="n"/>
      <c r="M1999" s="11" t="n"/>
    </row>
    <row r="2000">
      <c r="A2000" s="11" t="n"/>
      <c r="B2000" s="11" t="n"/>
      <c r="C2000" s="11" t="n"/>
      <c r="D2000" s="11" t="n"/>
      <c r="E2000" s="11" t="n"/>
      <c r="F2000" s="11" t="n"/>
      <c r="G2000" s="11" t="n"/>
      <c r="H2000" s="11" t="n"/>
      <c r="I2000" s="11" t="n"/>
      <c r="J2000" s="11" t="n"/>
      <c r="K2000" s="11" t="n"/>
      <c r="L2000" s="11" t="n"/>
      <c r="M2000" s="11" t="n"/>
    </row>
    <row r="2001">
      <c r="A2001" s="11" t="n"/>
      <c r="B2001" s="11" t="n"/>
      <c r="C2001" s="11" t="n"/>
      <c r="D2001" s="11" t="n"/>
      <c r="E2001" s="11" t="n"/>
      <c r="F2001" s="11" t="n"/>
      <c r="G2001" s="11" t="n"/>
      <c r="H2001" s="11" t="n"/>
      <c r="I2001" s="11" t="n"/>
      <c r="J2001" s="11" t="n"/>
      <c r="K2001" s="11" t="n"/>
      <c r="L2001" s="11" t="n"/>
      <c r="M2001" s="11" t="n"/>
    </row>
    <row r="2002">
      <c r="A2002" s="11" t="n"/>
      <c r="B2002" s="11" t="n"/>
      <c r="C2002" s="11" t="n"/>
      <c r="D2002" s="11" t="n"/>
      <c r="E2002" s="11" t="n"/>
      <c r="F2002" s="11" t="n"/>
      <c r="G2002" s="11" t="n"/>
      <c r="H2002" s="11" t="n"/>
      <c r="I2002" s="11" t="n"/>
      <c r="J2002" s="11" t="n"/>
      <c r="K2002" s="11" t="n"/>
      <c r="L2002" s="11" t="n"/>
      <c r="M2002" s="11" t="n"/>
    </row>
    <row r="2003">
      <c r="A2003" s="11" t="n"/>
      <c r="B2003" s="11" t="n"/>
      <c r="C2003" s="11" t="n"/>
      <c r="D2003" s="11" t="n"/>
      <c r="E2003" s="11" t="n"/>
      <c r="F2003" s="11" t="n"/>
      <c r="G2003" s="11" t="n"/>
      <c r="H2003" s="11" t="n"/>
      <c r="I2003" s="11" t="n"/>
      <c r="J2003" s="11" t="n"/>
      <c r="K2003" s="11" t="n"/>
      <c r="L2003" s="11" t="n"/>
      <c r="M2003" s="11" t="n"/>
    </row>
    <row r="2004">
      <c r="A2004" s="11" t="n"/>
      <c r="B2004" s="11" t="n"/>
      <c r="C2004" s="11" t="n"/>
      <c r="D2004" s="11" t="n"/>
      <c r="E2004" s="11" t="n"/>
      <c r="F2004" s="11" t="n"/>
      <c r="G2004" s="11" t="n"/>
      <c r="H2004" s="11" t="n"/>
      <c r="I2004" s="11" t="n"/>
      <c r="J2004" s="11" t="n"/>
      <c r="K2004" s="11" t="n"/>
      <c r="L2004" s="11" t="n"/>
      <c r="M2004" s="11" t="n"/>
    </row>
    <row r="2005">
      <c r="A2005" s="11" t="n"/>
      <c r="B2005" s="11" t="n"/>
      <c r="C2005" s="11" t="n"/>
      <c r="D2005" s="11" t="n"/>
      <c r="E2005" s="11" t="n"/>
      <c r="F2005" s="11" t="n"/>
      <c r="G2005" s="11" t="n"/>
      <c r="H2005" s="11" t="n"/>
      <c r="I2005" s="11" t="n"/>
      <c r="J2005" s="11" t="n"/>
      <c r="K2005" s="11" t="n"/>
      <c r="L2005" s="11" t="n"/>
      <c r="M2005" s="11" t="n"/>
    </row>
    <row r="2006">
      <c r="A2006" s="11" t="n"/>
      <c r="B2006" s="11" t="n"/>
      <c r="C2006" s="11" t="n"/>
      <c r="D2006" s="11" t="n"/>
      <c r="E2006" s="11" t="n"/>
      <c r="F2006" s="11" t="n"/>
      <c r="G2006" s="11" t="n"/>
      <c r="H2006" s="11" t="n"/>
      <c r="I2006" s="11" t="n"/>
      <c r="J2006" s="11" t="n"/>
      <c r="K2006" s="11" t="n"/>
      <c r="L2006" s="11" t="n"/>
      <c r="M2006" s="11" t="n"/>
    </row>
    <row r="2007">
      <c r="A2007" s="11" t="n"/>
      <c r="B2007" s="11" t="n"/>
      <c r="C2007" s="11" t="n"/>
      <c r="D2007" s="11" t="n"/>
      <c r="E2007" s="11" t="n"/>
      <c r="F2007" s="11" t="n"/>
      <c r="G2007" s="11" t="n"/>
      <c r="H2007" s="11" t="n"/>
      <c r="I2007" s="11" t="n"/>
      <c r="J2007" s="11" t="n"/>
      <c r="K2007" s="11" t="n"/>
      <c r="L2007" s="11" t="n"/>
      <c r="M2007" s="11" t="n"/>
    </row>
    <row r="2008">
      <c r="A2008" s="11" t="n"/>
      <c r="B2008" s="11" t="n"/>
      <c r="C2008" s="11" t="n"/>
      <c r="D2008" s="11" t="n"/>
      <c r="E2008" s="11" t="n"/>
      <c r="F2008" s="11" t="n"/>
      <c r="G2008" s="11" t="n"/>
      <c r="H2008" s="11" t="n"/>
      <c r="I2008" s="11" t="n"/>
      <c r="J2008" s="11" t="n"/>
      <c r="K2008" s="11" t="n"/>
      <c r="L2008" s="11" t="n"/>
      <c r="M2008" s="11" t="n"/>
    </row>
    <row r="2009">
      <c r="A2009" s="11" t="n"/>
      <c r="B2009" s="11" t="n"/>
      <c r="C2009" s="11" t="n"/>
      <c r="D2009" s="11" t="n"/>
      <c r="E2009" s="11" t="n"/>
      <c r="F2009" s="11" t="n"/>
      <c r="G2009" s="11" t="n"/>
      <c r="H2009" s="11" t="n"/>
      <c r="I2009" s="11" t="n"/>
      <c r="J2009" s="11" t="n"/>
      <c r="K2009" s="11" t="n"/>
      <c r="L2009" s="11" t="n"/>
      <c r="M2009" s="11" t="n"/>
    </row>
    <row r="2010">
      <c r="A2010" s="11" t="n"/>
      <c r="B2010" s="11" t="n"/>
      <c r="C2010" s="11" t="n"/>
      <c r="D2010" s="11" t="n"/>
      <c r="E2010" s="11" t="n"/>
      <c r="F2010" s="11" t="n"/>
      <c r="G2010" s="11" t="n"/>
      <c r="H2010" s="11" t="n"/>
      <c r="I2010" s="11" t="n"/>
      <c r="J2010" s="11" t="n"/>
      <c r="K2010" s="11" t="n"/>
      <c r="L2010" s="11" t="n"/>
      <c r="M2010" s="11" t="n"/>
    </row>
    <row r="2011">
      <c r="A2011" s="11" t="n"/>
      <c r="B2011" s="11" t="n"/>
      <c r="C2011" s="11" t="n"/>
      <c r="D2011" s="11" t="n"/>
      <c r="E2011" s="11" t="n"/>
      <c r="F2011" s="11" t="n"/>
      <c r="G2011" s="11" t="n"/>
      <c r="H2011" s="11" t="n"/>
      <c r="I2011" s="11" t="n"/>
      <c r="J2011" s="11" t="n"/>
      <c r="K2011" s="11" t="n"/>
      <c r="L2011" s="11" t="n"/>
      <c r="M2011" s="11" t="n"/>
    </row>
    <row r="2012">
      <c r="A2012" s="11" t="n"/>
      <c r="B2012" s="11" t="n"/>
      <c r="C2012" s="11" t="n"/>
      <c r="D2012" s="11" t="n"/>
      <c r="E2012" s="11" t="n"/>
      <c r="F2012" s="11" t="n"/>
      <c r="G2012" s="11" t="n"/>
      <c r="H2012" s="11" t="n"/>
      <c r="I2012" s="11" t="n"/>
      <c r="J2012" s="11" t="n"/>
      <c r="K2012" s="11" t="n"/>
      <c r="L2012" s="11" t="n"/>
      <c r="M2012" s="11" t="n"/>
    </row>
    <row r="2013">
      <c r="A2013" s="11" t="n"/>
      <c r="B2013" s="11" t="n"/>
      <c r="C2013" s="11" t="n"/>
      <c r="D2013" s="11" t="n"/>
      <c r="E2013" s="11" t="n"/>
      <c r="F2013" s="11" t="n"/>
      <c r="G2013" s="11" t="n"/>
      <c r="H2013" s="11" t="n"/>
      <c r="I2013" s="11" t="n"/>
      <c r="J2013" s="11" t="n"/>
      <c r="K2013" s="11" t="n"/>
      <c r="L2013" s="11" t="n"/>
      <c r="M2013" s="11" t="n"/>
    </row>
    <row r="2014">
      <c r="A2014" s="11" t="n"/>
      <c r="B2014" s="11" t="n"/>
      <c r="C2014" s="11" t="n"/>
      <c r="D2014" s="11" t="n"/>
      <c r="E2014" s="11" t="n"/>
      <c r="F2014" s="11" t="n"/>
      <c r="G2014" s="11" t="n"/>
      <c r="H2014" s="11" t="n"/>
      <c r="I2014" s="11" t="n"/>
      <c r="J2014" s="11" t="n"/>
      <c r="K2014" s="11" t="n"/>
      <c r="L2014" s="11" t="n"/>
      <c r="M2014" s="11" t="n"/>
    </row>
    <row r="2015">
      <c r="A2015" s="11" t="n"/>
      <c r="B2015" s="11" t="n"/>
      <c r="C2015" s="11" t="n"/>
      <c r="D2015" s="11" t="n"/>
      <c r="E2015" s="11" t="n"/>
      <c r="F2015" s="11" t="n"/>
      <c r="G2015" s="11" t="n"/>
      <c r="H2015" s="11" t="n"/>
      <c r="I2015" s="11" t="n"/>
      <c r="J2015" s="11" t="n"/>
      <c r="K2015" s="11" t="n"/>
      <c r="L2015" s="11" t="n"/>
      <c r="M2015" s="11" t="n"/>
    </row>
    <row r="2016">
      <c r="A2016" s="11" t="n"/>
      <c r="B2016" s="11" t="n"/>
      <c r="C2016" s="11" t="n"/>
      <c r="D2016" s="11" t="n"/>
      <c r="E2016" s="11" t="n"/>
      <c r="F2016" s="11" t="n"/>
      <c r="G2016" s="11" t="n"/>
      <c r="H2016" s="11" t="n"/>
      <c r="I2016" s="11" t="n"/>
      <c r="J2016" s="11" t="n"/>
      <c r="K2016" s="11" t="n"/>
      <c r="L2016" s="11" t="n"/>
      <c r="M2016" s="11" t="n"/>
    </row>
    <row r="2017">
      <c r="A2017" s="11" t="n"/>
      <c r="B2017" s="11" t="n"/>
      <c r="C2017" s="11" t="n"/>
      <c r="D2017" s="11" t="n"/>
      <c r="E2017" s="11" t="n"/>
      <c r="F2017" s="11" t="n"/>
      <c r="G2017" s="11" t="n"/>
      <c r="H2017" s="11" t="n"/>
      <c r="I2017" s="11" t="n"/>
      <c r="J2017" s="11" t="n"/>
      <c r="K2017" s="11" t="n"/>
      <c r="L2017" s="11" t="n"/>
      <c r="M2017" s="11" t="n"/>
    </row>
    <row r="2018">
      <c r="A2018" s="11" t="n"/>
      <c r="B2018" s="11" t="n"/>
      <c r="C2018" s="11" t="n"/>
      <c r="D2018" s="11" t="n"/>
      <c r="E2018" s="11" t="n"/>
      <c r="F2018" s="11" t="n"/>
      <c r="G2018" s="11" t="n"/>
      <c r="H2018" s="11" t="n"/>
      <c r="I2018" s="11" t="n"/>
      <c r="J2018" s="11" t="n"/>
      <c r="K2018" s="11" t="n"/>
      <c r="L2018" s="11" t="n"/>
      <c r="M2018" s="11" t="n"/>
    </row>
    <row r="2019">
      <c r="A2019" s="11" t="n"/>
      <c r="B2019" s="11" t="n"/>
      <c r="C2019" s="11" t="n"/>
      <c r="D2019" s="11" t="n"/>
      <c r="E2019" s="11" t="n"/>
      <c r="F2019" s="11" t="n"/>
      <c r="G2019" s="11" t="n"/>
      <c r="H2019" s="11" t="n"/>
      <c r="I2019" s="11" t="n"/>
      <c r="J2019" s="11" t="n"/>
      <c r="K2019" s="11" t="n"/>
      <c r="L2019" s="11" t="n"/>
      <c r="M2019" s="11" t="n"/>
    </row>
    <row r="2020">
      <c r="A2020" s="11" t="n"/>
      <c r="B2020" s="11" t="n"/>
      <c r="C2020" s="11" t="n"/>
      <c r="D2020" s="11" t="n"/>
      <c r="E2020" s="11" t="n"/>
      <c r="F2020" s="11" t="n"/>
      <c r="G2020" s="11" t="n"/>
      <c r="H2020" s="11" t="n"/>
      <c r="I2020" s="11" t="n"/>
      <c r="J2020" s="11" t="n"/>
      <c r="K2020" s="11" t="n"/>
      <c r="L2020" s="11" t="n"/>
      <c r="M2020" s="11" t="n"/>
    </row>
    <row r="2021">
      <c r="A2021" s="11" t="n"/>
      <c r="B2021" s="11" t="n"/>
      <c r="C2021" s="11" t="n"/>
      <c r="D2021" s="11" t="n"/>
      <c r="E2021" s="11" t="n"/>
      <c r="F2021" s="11" t="n"/>
      <c r="G2021" s="11" t="n"/>
      <c r="H2021" s="11" t="n"/>
      <c r="I2021" s="11" t="n"/>
      <c r="J2021" s="11" t="n"/>
      <c r="K2021" s="11" t="n"/>
      <c r="L2021" s="11" t="n"/>
      <c r="M2021" s="11" t="n"/>
    </row>
    <row r="2022">
      <c r="A2022" s="11" t="n"/>
      <c r="B2022" s="11" t="n"/>
      <c r="C2022" s="11" t="n"/>
      <c r="D2022" s="11" t="n"/>
      <c r="E2022" s="11" t="n"/>
      <c r="F2022" s="11" t="n"/>
      <c r="G2022" s="11" t="n"/>
      <c r="H2022" s="11" t="n"/>
      <c r="I2022" s="11" t="n"/>
      <c r="J2022" s="11" t="n"/>
      <c r="K2022" s="11" t="n"/>
      <c r="L2022" s="11" t="n"/>
      <c r="M2022" s="11" t="n"/>
    </row>
    <row r="2023">
      <c r="A2023" s="11" t="n"/>
      <c r="B2023" s="11" t="n"/>
      <c r="C2023" s="11" t="n"/>
      <c r="D2023" s="11" t="n"/>
      <c r="E2023" s="11" t="n"/>
      <c r="F2023" s="11" t="n"/>
      <c r="G2023" s="11" t="n"/>
      <c r="H2023" s="11" t="n"/>
      <c r="I2023" s="11" t="n"/>
      <c r="J2023" s="11" t="n"/>
      <c r="K2023" s="11" t="n"/>
      <c r="L2023" s="11" t="n"/>
      <c r="M2023" s="11" t="n"/>
    </row>
    <row r="2024">
      <c r="A2024" s="11" t="n"/>
      <c r="B2024" s="11" t="n"/>
      <c r="C2024" s="11" t="n"/>
      <c r="D2024" s="11" t="n"/>
      <c r="E2024" s="11" t="n"/>
      <c r="F2024" s="11" t="n"/>
      <c r="G2024" s="11" t="n"/>
      <c r="H2024" s="11" t="n"/>
      <c r="I2024" s="11" t="n"/>
      <c r="J2024" s="11" t="n"/>
      <c r="K2024" s="11" t="n"/>
      <c r="L2024" s="11" t="n"/>
      <c r="M2024" s="11" t="n"/>
    </row>
    <row r="2025">
      <c r="A2025" s="11" t="n"/>
      <c r="B2025" s="11" t="n"/>
      <c r="C2025" s="11" t="n"/>
      <c r="D2025" s="11" t="n"/>
      <c r="E2025" s="11" t="n"/>
      <c r="F2025" s="11" t="n"/>
      <c r="G2025" s="11" t="n"/>
      <c r="H2025" s="11" t="n"/>
      <c r="I2025" s="11" t="n"/>
      <c r="J2025" s="11" t="n"/>
      <c r="K2025" s="11" t="n"/>
      <c r="L2025" s="11" t="n"/>
      <c r="M2025" s="11" t="n"/>
    </row>
    <row r="2026">
      <c r="A2026" s="11" t="n"/>
      <c r="B2026" s="11" t="n"/>
      <c r="C2026" s="11" t="n"/>
      <c r="D2026" s="11" t="n"/>
      <c r="E2026" s="11" t="n"/>
      <c r="F2026" s="11" t="n"/>
      <c r="G2026" s="11" t="n"/>
      <c r="H2026" s="11" t="n"/>
      <c r="I2026" s="11" t="n"/>
      <c r="J2026" s="11" t="n"/>
      <c r="K2026" s="11" t="n"/>
      <c r="L2026" s="11" t="n"/>
      <c r="M2026" s="11" t="n"/>
    </row>
    <row r="2027">
      <c r="A2027" s="11" t="n"/>
      <c r="B2027" s="11" t="n"/>
      <c r="C2027" s="11" t="n"/>
      <c r="D2027" s="11" t="n"/>
      <c r="E2027" s="11" t="n"/>
      <c r="F2027" s="11" t="n"/>
      <c r="G2027" s="11" t="n"/>
      <c r="H2027" s="11" t="n"/>
      <c r="I2027" s="11" t="n"/>
      <c r="J2027" s="11" t="n"/>
      <c r="K2027" s="11" t="n"/>
      <c r="L2027" s="11" t="n"/>
      <c r="M2027" s="11" t="n"/>
    </row>
    <row r="2028">
      <c r="A2028" s="11" t="n"/>
      <c r="B2028" s="11" t="n"/>
      <c r="C2028" s="11" t="n"/>
      <c r="D2028" s="11" t="n"/>
      <c r="E2028" s="11" t="n"/>
      <c r="F2028" s="11" t="n"/>
      <c r="G2028" s="11" t="n"/>
      <c r="H2028" s="11" t="n"/>
      <c r="I2028" s="11" t="n"/>
      <c r="J2028" s="11" t="n"/>
      <c r="K2028" s="11" t="n"/>
      <c r="L2028" s="11" t="n"/>
      <c r="M2028" s="11" t="n"/>
    </row>
    <row r="2029">
      <c r="A2029" s="11" t="n"/>
      <c r="B2029" s="11" t="n"/>
      <c r="C2029" s="11" t="n"/>
      <c r="D2029" s="11" t="n"/>
      <c r="E2029" s="11" t="n"/>
      <c r="F2029" s="11" t="n"/>
      <c r="G2029" s="11" t="n"/>
      <c r="H2029" s="11" t="n"/>
      <c r="I2029" s="11" t="n"/>
      <c r="J2029" s="11" t="n"/>
      <c r="K2029" s="11" t="n"/>
      <c r="L2029" s="11" t="n"/>
      <c r="M2029" s="11" t="n"/>
    </row>
    <row r="2030">
      <c r="A2030" s="11" t="n"/>
      <c r="B2030" s="11" t="n"/>
      <c r="C2030" s="11" t="n"/>
      <c r="D2030" s="11" t="n"/>
      <c r="E2030" s="11" t="n"/>
      <c r="F2030" s="11" t="n"/>
      <c r="G2030" s="11" t="n"/>
      <c r="H2030" s="11" t="n"/>
      <c r="I2030" s="11" t="n"/>
      <c r="J2030" s="11" t="n"/>
      <c r="K2030" s="11" t="n"/>
      <c r="L2030" s="11" t="n"/>
      <c r="M2030" s="11" t="n"/>
    </row>
    <row r="2031">
      <c r="A2031" s="11" t="n"/>
      <c r="B2031" s="11" t="n"/>
      <c r="C2031" s="11" t="n"/>
      <c r="D2031" s="11" t="n"/>
      <c r="E2031" s="11" t="n"/>
      <c r="F2031" s="11" t="n"/>
      <c r="G2031" s="11" t="n"/>
      <c r="H2031" s="11" t="n"/>
      <c r="I2031" s="11" t="n"/>
      <c r="J2031" s="11" t="n"/>
      <c r="K2031" s="11" t="n"/>
      <c r="L2031" s="11" t="n"/>
      <c r="M2031" s="11" t="n"/>
    </row>
    <row r="2032">
      <c r="A2032" s="11" t="n"/>
      <c r="B2032" s="11" t="n"/>
      <c r="C2032" s="11" t="n"/>
      <c r="D2032" s="11" t="n"/>
      <c r="E2032" s="11" t="n"/>
      <c r="F2032" s="11" t="n"/>
      <c r="G2032" s="11" t="n"/>
      <c r="H2032" s="11" t="n"/>
      <c r="I2032" s="11" t="n"/>
      <c r="J2032" s="11" t="n"/>
      <c r="K2032" s="11" t="n"/>
      <c r="L2032" s="11" t="n"/>
      <c r="M2032" s="11" t="n"/>
    </row>
    <row r="2033">
      <c r="A2033" s="11" t="n"/>
      <c r="B2033" s="11" t="n"/>
      <c r="C2033" s="11" t="n"/>
      <c r="D2033" s="11" t="n"/>
      <c r="E2033" s="11" t="n"/>
      <c r="F2033" s="11" t="n"/>
      <c r="G2033" s="11" t="n"/>
      <c r="H2033" s="11" t="n"/>
      <c r="I2033" s="11" t="n"/>
      <c r="J2033" s="11" t="n"/>
      <c r="K2033" s="11" t="n"/>
      <c r="L2033" s="11" t="n"/>
      <c r="M2033" s="11" t="n"/>
    </row>
    <row r="2034">
      <c r="A2034" s="11" t="n"/>
      <c r="B2034" s="11" t="n"/>
      <c r="C2034" s="11" t="n"/>
      <c r="D2034" s="11" t="n"/>
      <c r="E2034" s="11" t="n"/>
      <c r="F2034" s="11" t="n"/>
      <c r="G2034" s="11" t="n"/>
      <c r="H2034" s="11" t="n"/>
      <c r="I2034" s="11" t="n"/>
      <c r="J2034" s="11" t="n"/>
      <c r="K2034" s="11" t="n"/>
      <c r="L2034" s="11" t="n"/>
      <c r="M2034" s="11" t="n"/>
    </row>
    <row r="2035">
      <c r="A2035" s="11" t="n"/>
      <c r="B2035" s="11" t="n"/>
      <c r="C2035" s="11" t="n"/>
      <c r="D2035" s="11" t="n"/>
      <c r="E2035" s="11" t="n"/>
      <c r="F2035" s="11" t="n"/>
      <c r="G2035" s="11" t="n"/>
      <c r="H2035" s="11" t="n"/>
      <c r="I2035" s="11" t="n"/>
      <c r="J2035" s="11" t="n"/>
      <c r="K2035" s="11" t="n"/>
      <c r="L2035" s="11" t="n"/>
      <c r="M2035" s="11" t="n"/>
    </row>
    <row r="2036">
      <c r="A2036" s="11" t="n"/>
      <c r="B2036" s="11" t="n"/>
      <c r="C2036" s="11" t="n"/>
      <c r="D2036" s="11" t="n"/>
      <c r="E2036" s="11" t="n"/>
      <c r="F2036" s="11" t="n"/>
      <c r="G2036" s="11" t="n"/>
      <c r="H2036" s="11" t="n"/>
      <c r="I2036" s="11" t="n"/>
      <c r="J2036" s="11" t="n"/>
      <c r="K2036" s="11" t="n"/>
      <c r="L2036" s="11" t="n"/>
      <c r="M2036" s="11" t="n"/>
    </row>
    <row r="2037">
      <c r="A2037" s="11" t="n"/>
      <c r="B2037" s="11" t="n"/>
      <c r="C2037" s="11" t="n"/>
      <c r="D2037" s="11" t="n"/>
      <c r="E2037" s="11" t="n"/>
      <c r="F2037" s="11" t="n"/>
      <c r="G2037" s="11" t="n"/>
      <c r="H2037" s="11" t="n"/>
      <c r="I2037" s="11" t="n"/>
      <c r="J2037" s="11" t="n"/>
      <c r="K2037" s="11" t="n"/>
      <c r="L2037" s="11" t="n"/>
      <c r="M2037" s="11" t="n"/>
    </row>
    <row r="2038">
      <c r="A2038" s="11" t="n"/>
      <c r="B2038" s="11" t="n"/>
      <c r="C2038" s="11" t="n"/>
      <c r="D2038" s="11" t="n"/>
      <c r="E2038" s="11" t="n"/>
      <c r="F2038" s="11" t="n"/>
      <c r="G2038" s="11" t="n"/>
      <c r="H2038" s="11" t="n"/>
      <c r="I2038" s="11" t="n"/>
      <c r="J2038" s="11" t="n"/>
      <c r="K2038" s="11" t="n"/>
      <c r="L2038" s="11" t="n"/>
      <c r="M2038" s="11" t="n"/>
    </row>
    <row r="2039">
      <c r="A2039" s="11" t="n"/>
      <c r="B2039" s="11" t="n"/>
      <c r="C2039" s="11" t="n"/>
      <c r="D2039" s="11" t="n"/>
      <c r="E2039" s="11" t="n"/>
      <c r="F2039" s="11" t="n"/>
      <c r="G2039" s="11" t="n"/>
      <c r="H2039" s="11" t="n"/>
      <c r="I2039" s="11" t="n"/>
      <c r="J2039" s="11" t="n"/>
      <c r="K2039" s="11" t="n"/>
      <c r="L2039" s="11" t="n"/>
      <c r="M2039" s="11" t="n"/>
    </row>
    <row r="2040">
      <c r="A2040" s="11" t="n"/>
      <c r="B2040" s="11" t="n"/>
      <c r="C2040" s="11" t="n"/>
      <c r="D2040" s="11" t="n"/>
      <c r="E2040" s="11" t="n"/>
      <c r="F2040" s="11" t="n"/>
      <c r="G2040" s="11" t="n"/>
      <c r="H2040" s="11" t="n"/>
      <c r="I2040" s="11" t="n"/>
      <c r="J2040" s="11" t="n"/>
      <c r="K2040" s="11" t="n"/>
      <c r="L2040" s="11" t="n"/>
      <c r="M2040" s="11" t="n"/>
    </row>
    <row r="2041">
      <c r="A2041" s="11" t="n"/>
      <c r="B2041" s="11" t="n"/>
      <c r="C2041" s="11" t="n"/>
      <c r="D2041" s="11" t="n"/>
      <c r="E2041" s="11" t="n"/>
      <c r="F2041" s="11" t="n"/>
      <c r="G2041" s="11" t="n"/>
      <c r="H2041" s="11" t="n"/>
      <c r="I2041" s="11" t="n"/>
      <c r="J2041" s="11" t="n"/>
      <c r="K2041" s="11" t="n"/>
      <c r="L2041" s="11" t="n"/>
      <c r="M2041" s="11" t="n"/>
    </row>
    <row r="2042">
      <c r="A2042" s="11" t="n"/>
      <c r="B2042" s="11" t="n"/>
      <c r="C2042" s="11" t="n"/>
      <c r="D2042" s="11" t="n"/>
      <c r="E2042" s="11" t="n"/>
      <c r="F2042" s="11" t="n"/>
      <c r="G2042" s="11" t="n"/>
      <c r="H2042" s="11" t="n"/>
      <c r="I2042" s="11" t="n"/>
      <c r="J2042" s="11" t="n"/>
      <c r="K2042" s="11" t="n"/>
      <c r="L2042" s="11" t="n"/>
      <c r="M2042" s="11" t="n"/>
    </row>
    <row r="2043">
      <c r="A2043" s="11" t="n"/>
      <c r="B2043" s="11" t="n"/>
      <c r="C2043" s="11" t="n"/>
      <c r="D2043" s="11" t="n"/>
      <c r="E2043" s="11" t="n"/>
      <c r="F2043" s="11" t="n"/>
      <c r="G2043" s="11" t="n"/>
      <c r="H2043" s="11" t="n"/>
      <c r="I2043" s="11" t="n"/>
      <c r="J2043" s="11" t="n"/>
      <c r="K2043" s="11" t="n"/>
      <c r="L2043" s="11" t="n"/>
      <c r="M2043" s="11" t="n"/>
    </row>
    <row r="2044">
      <c r="A2044" s="11" t="n"/>
      <c r="B2044" s="11" t="n"/>
      <c r="C2044" s="11" t="n"/>
      <c r="D2044" s="11" t="n"/>
      <c r="E2044" s="11" t="n"/>
      <c r="F2044" s="11" t="n"/>
      <c r="G2044" s="11" t="n"/>
      <c r="H2044" s="11" t="n"/>
      <c r="I2044" s="11" t="n"/>
      <c r="J2044" s="11" t="n"/>
      <c r="K2044" s="11" t="n"/>
      <c r="L2044" s="11" t="n"/>
      <c r="M2044" s="11" t="n"/>
    </row>
    <row r="2045">
      <c r="A2045" s="11" t="n"/>
      <c r="B2045" s="11" t="n"/>
      <c r="C2045" s="11" t="n"/>
      <c r="D2045" s="11" t="n"/>
      <c r="E2045" s="11" t="n"/>
      <c r="F2045" s="11" t="n"/>
      <c r="G2045" s="11" t="n"/>
      <c r="H2045" s="11" t="n"/>
      <c r="I2045" s="11" t="n"/>
      <c r="J2045" s="11" t="n"/>
      <c r="K2045" s="11" t="n"/>
      <c r="L2045" s="11" t="n"/>
      <c r="M2045" s="11" t="n"/>
    </row>
    <row r="2046">
      <c r="A2046" s="11" t="n"/>
      <c r="B2046" s="11" t="n"/>
      <c r="C2046" s="11" t="n"/>
      <c r="D2046" s="11" t="n"/>
      <c r="E2046" s="11" t="n"/>
      <c r="F2046" s="11" t="n"/>
      <c r="G2046" s="11" t="n"/>
      <c r="H2046" s="11" t="n"/>
      <c r="I2046" s="11" t="n"/>
      <c r="J2046" s="11" t="n"/>
      <c r="K2046" s="11" t="n"/>
      <c r="L2046" s="11" t="n"/>
      <c r="M2046" s="11" t="n"/>
    </row>
    <row r="2047">
      <c r="A2047" s="11" t="n"/>
      <c r="B2047" s="11" t="n"/>
      <c r="C2047" s="11" t="n"/>
      <c r="D2047" s="11" t="n"/>
      <c r="E2047" s="11" t="n"/>
      <c r="F2047" s="11" t="n"/>
      <c r="G2047" s="11" t="n"/>
      <c r="H2047" s="11" t="n"/>
      <c r="I2047" s="11" t="n"/>
      <c r="J2047" s="11" t="n"/>
      <c r="K2047" s="11" t="n"/>
      <c r="L2047" s="11" t="n"/>
      <c r="M2047" s="11" t="n"/>
    </row>
    <row r="2048">
      <c r="A2048" s="11" t="n"/>
      <c r="B2048" s="11" t="n"/>
      <c r="C2048" s="11" t="n"/>
      <c r="D2048" s="11" t="n"/>
      <c r="E2048" s="11" t="n"/>
      <c r="F2048" s="11" t="n"/>
      <c r="G2048" s="11" t="n"/>
      <c r="H2048" s="11" t="n"/>
      <c r="I2048" s="11" t="n"/>
      <c r="J2048" s="11" t="n"/>
      <c r="K2048" s="11" t="n"/>
      <c r="L2048" s="11" t="n"/>
      <c r="M2048" s="11" t="n"/>
    </row>
    <row r="2049">
      <c r="A2049" s="11" t="n"/>
      <c r="B2049" s="11" t="n"/>
      <c r="C2049" s="11" t="n"/>
      <c r="D2049" s="11" t="n"/>
      <c r="E2049" s="11" t="n"/>
      <c r="F2049" s="11" t="n"/>
      <c r="G2049" s="11" t="n"/>
      <c r="H2049" s="11" t="n"/>
      <c r="I2049" s="11" t="n"/>
      <c r="J2049" s="11" t="n"/>
      <c r="K2049" s="11" t="n"/>
      <c r="L2049" s="11" t="n"/>
      <c r="M2049" s="11" t="n"/>
    </row>
    <row r="2050">
      <c r="A2050" s="11" t="n"/>
      <c r="B2050" s="11" t="n"/>
      <c r="C2050" s="11" t="n"/>
      <c r="D2050" s="11" t="n"/>
      <c r="E2050" s="11" t="n"/>
      <c r="F2050" s="11" t="n"/>
      <c r="G2050" s="11" t="n"/>
      <c r="H2050" s="11" t="n"/>
      <c r="I2050" s="11" t="n"/>
      <c r="J2050" s="11" t="n"/>
      <c r="K2050" s="11" t="n"/>
      <c r="L2050" s="11" t="n"/>
      <c r="M2050" s="11" t="n"/>
    </row>
    <row r="2051">
      <c r="A2051" s="11" t="n"/>
      <c r="B2051" s="11" t="n"/>
      <c r="C2051" s="11" t="n"/>
      <c r="D2051" s="11" t="n"/>
      <c r="E2051" s="11" t="n"/>
      <c r="F2051" s="11" t="n"/>
      <c r="G2051" s="11" t="n"/>
      <c r="H2051" s="11" t="n"/>
      <c r="I2051" s="11" t="n"/>
      <c r="J2051" s="11" t="n"/>
      <c r="K2051" s="11" t="n"/>
      <c r="L2051" s="11" t="n"/>
      <c r="M2051" s="11" t="n"/>
    </row>
    <row r="2052">
      <c r="A2052" s="11" t="n"/>
      <c r="B2052" s="11" t="n"/>
      <c r="C2052" s="11" t="n"/>
      <c r="D2052" s="11" t="n"/>
      <c r="E2052" s="11" t="n"/>
      <c r="F2052" s="11" t="n"/>
      <c r="G2052" s="11" t="n"/>
      <c r="H2052" s="11" t="n"/>
      <c r="I2052" s="11" t="n"/>
      <c r="J2052" s="11" t="n"/>
      <c r="K2052" s="11" t="n"/>
      <c r="L2052" s="11" t="n"/>
      <c r="M2052" s="11" t="n"/>
    </row>
    <row r="2053">
      <c r="A2053" s="11" t="n"/>
      <c r="B2053" s="11" t="n"/>
      <c r="C2053" s="11" t="n"/>
      <c r="D2053" s="11" t="n"/>
      <c r="E2053" s="11" t="n"/>
      <c r="F2053" s="11" t="n"/>
      <c r="G2053" s="11" t="n"/>
      <c r="H2053" s="11" t="n"/>
      <c r="I2053" s="11" t="n"/>
      <c r="J2053" s="11" t="n"/>
      <c r="K2053" s="11" t="n"/>
      <c r="L2053" s="11" t="n"/>
      <c r="M2053" s="11" t="n"/>
    </row>
    <row r="2054">
      <c r="A2054" s="11" t="n"/>
      <c r="B2054" s="11" t="n"/>
      <c r="C2054" s="11" t="n"/>
      <c r="D2054" s="11" t="n"/>
      <c r="E2054" s="11" t="n"/>
      <c r="F2054" s="11" t="n"/>
      <c r="G2054" s="11" t="n"/>
      <c r="H2054" s="11" t="n"/>
      <c r="I2054" s="11" t="n"/>
      <c r="J2054" s="11" t="n"/>
      <c r="K2054" s="11" t="n"/>
      <c r="L2054" s="11" t="n"/>
      <c r="M2054" s="11" t="n"/>
    </row>
    <row r="2055">
      <c r="A2055" s="11" t="n"/>
      <c r="B2055" s="11" t="n"/>
      <c r="C2055" s="11" t="n"/>
      <c r="D2055" s="11" t="n"/>
      <c r="E2055" s="11" t="n"/>
      <c r="F2055" s="11" t="n"/>
      <c r="G2055" s="11" t="n"/>
      <c r="H2055" s="11" t="n"/>
      <c r="I2055" s="11" t="n"/>
      <c r="J2055" s="11" t="n"/>
      <c r="K2055" s="11" t="n"/>
      <c r="L2055" s="11" t="n"/>
      <c r="M2055" s="11" t="n"/>
    </row>
    <row r="2056">
      <c r="A2056" s="11" t="n"/>
      <c r="B2056" s="11" t="n"/>
      <c r="C2056" s="11" t="n"/>
      <c r="D2056" s="11" t="n"/>
      <c r="E2056" s="11" t="n"/>
      <c r="F2056" s="11" t="n"/>
      <c r="G2056" s="11" t="n"/>
      <c r="H2056" s="11" t="n"/>
      <c r="I2056" s="11" t="n"/>
      <c r="J2056" s="11" t="n"/>
      <c r="K2056" s="11" t="n"/>
      <c r="L2056" s="11" t="n"/>
      <c r="M2056" s="11" t="n"/>
    </row>
    <row r="2057">
      <c r="A2057" s="11" t="n"/>
      <c r="B2057" s="11" t="n"/>
      <c r="C2057" s="11" t="n"/>
      <c r="D2057" s="11" t="n"/>
      <c r="E2057" s="11" t="n"/>
      <c r="F2057" s="11" t="n"/>
      <c r="G2057" s="11" t="n"/>
      <c r="H2057" s="11" t="n"/>
      <c r="I2057" s="11" t="n"/>
      <c r="J2057" s="11" t="n"/>
      <c r="K2057" s="11" t="n"/>
      <c r="L2057" s="11" t="n"/>
      <c r="M2057" s="11" t="n"/>
    </row>
    <row r="2058">
      <c r="A2058" s="11" t="n"/>
      <c r="B2058" s="11" t="n"/>
      <c r="C2058" s="11" t="n"/>
      <c r="D2058" s="11" t="n"/>
      <c r="E2058" s="11" t="n"/>
      <c r="F2058" s="11" t="n"/>
      <c r="G2058" s="11" t="n"/>
      <c r="H2058" s="11" t="n"/>
      <c r="I2058" s="11" t="n"/>
      <c r="J2058" s="11" t="n"/>
      <c r="K2058" s="11" t="n"/>
      <c r="L2058" s="11" t="n"/>
      <c r="M2058" s="11" t="n"/>
    </row>
    <row r="2059">
      <c r="A2059" s="11" t="n"/>
      <c r="B2059" s="11" t="n"/>
      <c r="C2059" s="11" t="n"/>
      <c r="D2059" s="11" t="n"/>
      <c r="E2059" s="11" t="n"/>
      <c r="F2059" s="11" t="n"/>
      <c r="G2059" s="11" t="n"/>
      <c r="H2059" s="11" t="n"/>
      <c r="I2059" s="11" t="n"/>
      <c r="J2059" s="11" t="n"/>
      <c r="K2059" s="11" t="n"/>
      <c r="L2059" s="11" t="n"/>
      <c r="M2059" s="11" t="n"/>
    </row>
    <row r="2060">
      <c r="A2060" s="11" t="n"/>
      <c r="B2060" s="11" t="n"/>
      <c r="C2060" s="11" t="n"/>
      <c r="D2060" s="11" t="n"/>
      <c r="E2060" s="11" t="n"/>
      <c r="F2060" s="11" t="n"/>
      <c r="G2060" s="11" t="n"/>
      <c r="H2060" s="11" t="n"/>
      <c r="I2060" s="11" t="n"/>
      <c r="J2060" s="11" t="n"/>
      <c r="K2060" s="11" t="n"/>
      <c r="L2060" s="11" t="n"/>
      <c r="M2060" s="11" t="n"/>
    </row>
    <row r="2061">
      <c r="A2061" s="11" t="n"/>
      <c r="B2061" s="11" t="n"/>
      <c r="C2061" s="11" t="n"/>
      <c r="D2061" s="11" t="n"/>
      <c r="E2061" s="11" t="n"/>
      <c r="F2061" s="11" t="n"/>
      <c r="G2061" s="11" t="n"/>
      <c r="H2061" s="11" t="n"/>
      <c r="I2061" s="11" t="n"/>
      <c r="J2061" s="11" t="n"/>
      <c r="K2061" s="11" t="n"/>
      <c r="L2061" s="11" t="n"/>
      <c r="M2061" s="11" t="n"/>
    </row>
    <row r="2062">
      <c r="A2062" s="11" t="n"/>
      <c r="B2062" s="11" t="n"/>
      <c r="C2062" s="11" t="n"/>
      <c r="D2062" s="11" t="n"/>
      <c r="E2062" s="11" t="n"/>
      <c r="F2062" s="11" t="n"/>
      <c r="G2062" s="11" t="n"/>
      <c r="H2062" s="11" t="n"/>
      <c r="I2062" s="11" t="n"/>
      <c r="J2062" s="11" t="n"/>
      <c r="K2062" s="11" t="n"/>
      <c r="L2062" s="11" t="n"/>
      <c r="M2062" s="11" t="n"/>
    </row>
    <row r="2063">
      <c r="A2063" s="11" t="n"/>
      <c r="B2063" s="11" t="n"/>
      <c r="C2063" s="11" t="n"/>
      <c r="D2063" s="11" t="n"/>
      <c r="E2063" s="11" t="n"/>
      <c r="F2063" s="11" t="n"/>
      <c r="G2063" s="11" t="n"/>
      <c r="H2063" s="11" t="n"/>
      <c r="I2063" s="11" t="n"/>
      <c r="J2063" s="11" t="n"/>
      <c r="K2063" s="11" t="n"/>
      <c r="L2063" s="11" t="n"/>
      <c r="M2063" s="11" t="n"/>
    </row>
    <row r="2064">
      <c r="A2064" s="11" t="n"/>
      <c r="B2064" s="11" t="n"/>
      <c r="C2064" s="11" t="n"/>
      <c r="D2064" s="11" t="n"/>
      <c r="E2064" s="11" t="n"/>
      <c r="F2064" s="11" t="n"/>
      <c r="G2064" s="11" t="n"/>
      <c r="H2064" s="11" t="n"/>
      <c r="I2064" s="11" t="n"/>
      <c r="J2064" s="11" t="n"/>
      <c r="K2064" s="11" t="n"/>
      <c r="L2064" s="11" t="n"/>
      <c r="M2064" s="11" t="n"/>
    </row>
    <row r="2065">
      <c r="A2065" s="11" t="n"/>
      <c r="B2065" s="11" t="n"/>
      <c r="C2065" s="11" t="n"/>
      <c r="D2065" s="11" t="n"/>
      <c r="E2065" s="11" t="n"/>
      <c r="F2065" s="11" t="n"/>
      <c r="G2065" s="11" t="n"/>
      <c r="H2065" s="11" t="n"/>
      <c r="I2065" s="11" t="n"/>
      <c r="J2065" s="11" t="n"/>
      <c r="K2065" s="11" t="n"/>
      <c r="L2065" s="11" t="n"/>
      <c r="M2065" s="11" t="n"/>
    </row>
    <row r="2066">
      <c r="A2066" s="11" t="n"/>
      <c r="B2066" s="11" t="n"/>
      <c r="C2066" s="11" t="n"/>
      <c r="D2066" s="11" t="n"/>
      <c r="E2066" s="11" t="n"/>
      <c r="F2066" s="11" t="n"/>
      <c r="G2066" s="11" t="n"/>
      <c r="H2066" s="11" t="n"/>
      <c r="I2066" s="11" t="n"/>
      <c r="J2066" s="11" t="n"/>
      <c r="K2066" s="11" t="n"/>
      <c r="L2066" s="11" t="n"/>
      <c r="M2066" s="11" t="n"/>
    </row>
    <row r="2067">
      <c r="A2067" s="11" t="n"/>
      <c r="B2067" s="11" t="n"/>
      <c r="C2067" s="11" t="n"/>
      <c r="D2067" s="11" t="n"/>
      <c r="E2067" s="11" t="n"/>
      <c r="F2067" s="11" t="n"/>
      <c r="G2067" s="11" t="n"/>
      <c r="H2067" s="11" t="n"/>
      <c r="I2067" s="11" t="n"/>
      <c r="J2067" s="11" t="n"/>
      <c r="K2067" s="11" t="n"/>
      <c r="L2067" s="11" t="n"/>
      <c r="M2067" s="11" t="n"/>
    </row>
    <row r="2068">
      <c r="A2068" s="11" t="n"/>
      <c r="B2068" s="11" t="n"/>
      <c r="C2068" s="11" t="n"/>
      <c r="D2068" s="11" t="n"/>
      <c r="E2068" s="11" t="n"/>
      <c r="F2068" s="11" t="n"/>
      <c r="G2068" s="11" t="n"/>
      <c r="H2068" s="11" t="n"/>
      <c r="I2068" s="11" t="n"/>
      <c r="J2068" s="11" t="n"/>
      <c r="K2068" s="11" t="n"/>
      <c r="L2068" s="11" t="n"/>
      <c r="M2068" s="11" t="n"/>
    </row>
    <row r="2069">
      <c r="A2069" s="11" t="n"/>
      <c r="B2069" s="11" t="n"/>
      <c r="C2069" s="11" t="n"/>
      <c r="D2069" s="11" t="n"/>
      <c r="E2069" s="11" t="n"/>
      <c r="F2069" s="11" t="n"/>
      <c r="G2069" s="11" t="n"/>
      <c r="H2069" s="11" t="n"/>
      <c r="I2069" s="11" t="n"/>
      <c r="J2069" s="11" t="n"/>
      <c r="K2069" s="11" t="n"/>
      <c r="L2069" s="11" t="n"/>
      <c r="M2069" s="11" t="n"/>
    </row>
    <row r="2070">
      <c r="A2070" s="11" t="n"/>
      <c r="B2070" s="11" t="n"/>
      <c r="C2070" s="11" t="n"/>
      <c r="D2070" s="11" t="n"/>
      <c r="E2070" s="11" t="n"/>
      <c r="F2070" s="11" t="n"/>
      <c r="G2070" s="11" t="n"/>
      <c r="H2070" s="11" t="n"/>
      <c r="I2070" s="11" t="n"/>
      <c r="J2070" s="11" t="n"/>
      <c r="K2070" s="11" t="n"/>
      <c r="L2070" s="11" t="n"/>
      <c r="M2070" s="11" t="n"/>
    </row>
    <row r="2071">
      <c r="A2071" s="11" t="n"/>
      <c r="B2071" s="11" t="n"/>
      <c r="C2071" s="11" t="n"/>
      <c r="D2071" s="11" t="n"/>
      <c r="E2071" s="11" t="n"/>
      <c r="F2071" s="11" t="n"/>
      <c r="G2071" s="11" t="n"/>
      <c r="H2071" s="11" t="n"/>
      <c r="I2071" s="11" t="n"/>
      <c r="J2071" s="11" t="n"/>
      <c r="K2071" s="11" t="n"/>
      <c r="L2071" s="11" t="n"/>
      <c r="M2071" s="11" t="n"/>
    </row>
    <row r="2072">
      <c r="A2072" s="11" t="n"/>
      <c r="B2072" s="11" t="n"/>
      <c r="C2072" s="11" t="n"/>
      <c r="D2072" s="11" t="n"/>
      <c r="E2072" s="11" t="n"/>
      <c r="F2072" s="11" t="n"/>
      <c r="G2072" s="11" t="n"/>
      <c r="H2072" s="11" t="n"/>
      <c r="I2072" s="11" t="n"/>
      <c r="J2072" s="11" t="n"/>
      <c r="K2072" s="11" t="n"/>
      <c r="L2072" s="11" t="n"/>
      <c r="M2072" s="11" t="n"/>
    </row>
    <row r="2073">
      <c r="A2073" s="11" t="n"/>
      <c r="B2073" s="11" t="n"/>
      <c r="C2073" s="11" t="n"/>
      <c r="D2073" s="11" t="n"/>
      <c r="E2073" s="11" t="n"/>
      <c r="F2073" s="11" t="n"/>
      <c r="G2073" s="11" t="n"/>
      <c r="H2073" s="11" t="n"/>
      <c r="I2073" s="11" t="n"/>
      <c r="J2073" s="11" t="n"/>
      <c r="K2073" s="11" t="n"/>
      <c r="L2073" s="11" t="n"/>
      <c r="M2073" s="11" t="n"/>
    </row>
    <row r="2074">
      <c r="A2074" s="11" t="n"/>
      <c r="B2074" s="11" t="n"/>
      <c r="C2074" s="11" t="n"/>
      <c r="D2074" s="11" t="n"/>
      <c r="E2074" s="11" t="n"/>
      <c r="F2074" s="11" t="n"/>
      <c r="G2074" s="11" t="n"/>
      <c r="H2074" s="11" t="n"/>
      <c r="I2074" s="11" t="n"/>
      <c r="J2074" s="11" t="n"/>
      <c r="K2074" s="11" t="n"/>
      <c r="L2074" s="11" t="n"/>
      <c r="M2074" s="11" t="n"/>
    </row>
    <row r="2075">
      <c r="A2075" s="11" t="n"/>
      <c r="B2075" s="11" t="n"/>
      <c r="C2075" s="11" t="n"/>
      <c r="D2075" s="11" t="n"/>
      <c r="E2075" s="11" t="n"/>
      <c r="F2075" s="11" t="n"/>
      <c r="G2075" s="11" t="n"/>
      <c r="H2075" s="11" t="n"/>
      <c r="I2075" s="11" t="n"/>
      <c r="J2075" s="11" t="n"/>
      <c r="K2075" s="11" t="n"/>
      <c r="L2075" s="11" t="n"/>
      <c r="M2075" s="11" t="n"/>
    </row>
    <row r="2076">
      <c r="A2076" s="11" t="n"/>
      <c r="B2076" s="11" t="n"/>
      <c r="C2076" s="11" t="n"/>
      <c r="D2076" s="11" t="n"/>
      <c r="E2076" s="11" t="n"/>
      <c r="F2076" s="11" t="n"/>
      <c r="G2076" s="11" t="n"/>
      <c r="H2076" s="11" t="n"/>
      <c r="I2076" s="11" t="n"/>
      <c r="J2076" s="11" t="n"/>
      <c r="K2076" s="11" t="n"/>
      <c r="L2076" s="11" t="n"/>
      <c r="M2076" s="11" t="n"/>
    </row>
    <row r="2077">
      <c r="A2077" s="11" t="n"/>
      <c r="B2077" s="11" t="n"/>
      <c r="C2077" s="11" t="n"/>
      <c r="D2077" s="11" t="n"/>
      <c r="E2077" s="11" t="n"/>
      <c r="F2077" s="11" t="n"/>
      <c r="G2077" s="11" t="n"/>
      <c r="H2077" s="11" t="n"/>
      <c r="I2077" s="11" t="n"/>
      <c r="J2077" s="11" t="n"/>
      <c r="K2077" s="11" t="n"/>
      <c r="L2077" s="11" t="n"/>
      <c r="M2077" s="11" t="n"/>
    </row>
    <row r="2078">
      <c r="A2078" s="11" t="n"/>
      <c r="B2078" s="11" t="n"/>
      <c r="C2078" s="11" t="n"/>
      <c r="D2078" s="11" t="n"/>
      <c r="E2078" s="11" t="n"/>
      <c r="F2078" s="11" t="n"/>
      <c r="G2078" s="11" t="n"/>
      <c r="H2078" s="11" t="n"/>
      <c r="I2078" s="11" t="n"/>
      <c r="J2078" s="11" t="n"/>
      <c r="K2078" s="11" t="n"/>
      <c r="L2078" s="11" t="n"/>
      <c r="M2078" s="11" t="n"/>
    </row>
    <row r="2079">
      <c r="A2079" s="11" t="n"/>
      <c r="B2079" s="11" t="n"/>
      <c r="C2079" s="11" t="n"/>
      <c r="D2079" s="11" t="n"/>
      <c r="E2079" s="11" t="n"/>
      <c r="F2079" s="11" t="n"/>
      <c r="G2079" s="11" t="n"/>
      <c r="H2079" s="11" t="n"/>
      <c r="I2079" s="11" t="n"/>
      <c r="J2079" s="11" t="n"/>
      <c r="K2079" s="11" t="n"/>
      <c r="L2079" s="11" t="n"/>
      <c r="M2079" s="11" t="n"/>
    </row>
    <row r="2080">
      <c r="A2080" s="11" t="n"/>
      <c r="B2080" s="11" t="n"/>
      <c r="C2080" s="11" t="n"/>
      <c r="D2080" s="11" t="n"/>
      <c r="E2080" s="11" t="n"/>
      <c r="F2080" s="11" t="n"/>
      <c r="G2080" s="11" t="n"/>
      <c r="H2080" s="11" t="n"/>
      <c r="I2080" s="11" t="n"/>
      <c r="J2080" s="11" t="n"/>
      <c r="K2080" s="11" t="n"/>
      <c r="L2080" s="11" t="n"/>
      <c r="M2080" s="11" t="n"/>
    </row>
    <row r="2081">
      <c r="A2081" s="11" t="n"/>
      <c r="B2081" s="11" t="n"/>
      <c r="C2081" s="11" t="n"/>
      <c r="D2081" s="11" t="n"/>
      <c r="E2081" s="11" t="n"/>
      <c r="F2081" s="11" t="n"/>
      <c r="G2081" s="11" t="n"/>
      <c r="H2081" s="11" t="n"/>
      <c r="I2081" s="11" t="n"/>
      <c r="J2081" s="11" t="n"/>
      <c r="K2081" s="11" t="n"/>
      <c r="L2081" s="11" t="n"/>
      <c r="M2081" s="11" t="n"/>
    </row>
    <row r="2082">
      <c r="A2082" s="11" t="n"/>
      <c r="B2082" s="11" t="n"/>
      <c r="C2082" s="11" t="n"/>
      <c r="D2082" s="11" t="n"/>
      <c r="E2082" s="11" t="n"/>
      <c r="F2082" s="11" t="n"/>
      <c r="G2082" s="11" t="n"/>
      <c r="H2082" s="11" t="n"/>
      <c r="I2082" s="11" t="n"/>
      <c r="J2082" s="11" t="n"/>
      <c r="K2082" s="11" t="n"/>
      <c r="L2082" s="11" t="n"/>
      <c r="M2082" s="11" t="n"/>
    </row>
    <row r="2083">
      <c r="A2083" s="11" t="n"/>
      <c r="B2083" s="11" t="n"/>
      <c r="C2083" s="11" t="n"/>
      <c r="D2083" s="11" t="n"/>
      <c r="E2083" s="11" t="n"/>
      <c r="F2083" s="11" t="n"/>
      <c r="G2083" s="11" t="n"/>
      <c r="H2083" s="11" t="n"/>
      <c r="I2083" s="11" t="n"/>
      <c r="J2083" s="11" t="n"/>
      <c r="K2083" s="11" t="n"/>
      <c r="L2083" s="11" t="n"/>
      <c r="M2083" s="11" t="n"/>
    </row>
    <row r="2084">
      <c r="A2084" s="11" t="n"/>
      <c r="B2084" s="11" t="n"/>
      <c r="C2084" s="11" t="n"/>
      <c r="D2084" s="11" t="n"/>
      <c r="E2084" s="11" t="n"/>
      <c r="F2084" s="11" t="n"/>
      <c r="G2084" s="11" t="n"/>
      <c r="H2084" s="11" t="n"/>
      <c r="I2084" s="11" t="n"/>
      <c r="J2084" s="11" t="n"/>
      <c r="K2084" s="11" t="n"/>
      <c r="L2084" s="11" t="n"/>
      <c r="M2084" s="11" t="n"/>
    </row>
    <row r="2085">
      <c r="A2085" s="11" t="n"/>
      <c r="B2085" s="11" t="n"/>
      <c r="C2085" s="11" t="n"/>
      <c r="D2085" s="11" t="n"/>
      <c r="E2085" s="11" t="n"/>
      <c r="F2085" s="11" t="n"/>
      <c r="G2085" s="11" t="n"/>
      <c r="H2085" s="11" t="n"/>
      <c r="I2085" s="11" t="n"/>
      <c r="J2085" s="11" t="n"/>
      <c r="K2085" s="11" t="n"/>
      <c r="L2085" s="11" t="n"/>
      <c r="M2085" s="11" t="n"/>
    </row>
    <row r="2086">
      <c r="A2086" s="11" t="n"/>
      <c r="B2086" s="11" t="n"/>
      <c r="C2086" s="11" t="n"/>
      <c r="D2086" s="11" t="n"/>
      <c r="E2086" s="11" t="n"/>
      <c r="F2086" s="11" t="n"/>
      <c r="G2086" s="11" t="n"/>
      <c r="H2086" s="11" t="n"/>
      <c r="I2086" s="11" t="n"/>
      <c r="J2086" s="11" t="n"/>
      <c r="K2086" s="11" t="n"/>
      <c r="L2086" s="11" t="n"/>
      <c r="M2086" s="11" t="n"/>
    </row>
    <row r="2087">
      <c r="A2087" s="11" t="n"/>
      <c r="B2087" s="11" t="n"/>
      <c r="C2087" s="11" t="n"/>
      <c r="D2087" s="11" t="n"/>
      <c r="E2087" s="11" t="n"/>
      <c r="F2087" s="11" t="n"/>
      <c r="G2087" s="11" t="n"/>
      <c r="H2087" s="11" t="n"/>
      <c r="I2087" s="11" t="n"/>
      <c r="J2087" s="11" t="n"/>
      <c r="K2087" s="11" t="n"/>
      <c r="L2087" s="11" t="n"/>
      <c r="M2087" s="11" t="n"/>
    </row>
    <row r="2088">
      <c r="A2088" s="11" t="n"/>
      <c r="B2088" s="11" t="n"/>
      <c r="C2088" s="11" t="n"/>
      <c r="D2088" s="11" t="n"/>
      <c r="E2088" s="11" t="n"/>
      <c r="F2088" s="11" t="n"/>
      <c r="G2088" s="11" t="n"/>
      <c r="H2088" s="11" t="n"/>
      <c r="I2088" s="11" t="n"/>
      <c r="J2088" s="11" t="n"/>
      <c r="K2088" s="11" t="n"/>
      <c r="L2088" s="11" t="n"/>
      <c r="M2088" s="11" t="n"/>
    </row>
    <row r="2089">
      <c r="A2089" s="11" t="n"/>
      <c r="B2089" s="11" t="n"/>
      <c r="C2089" s="11" t="n"/>
      <c r="D2089" s="11" t="n"/>
      <c r="E2089" s="11" t="n"/>
      <c r="F2089" s="11" t="n"/>
      <c r="G2089" s="11" t="n"/>
      <c r="H2089" s="11" t="n"/>
      <c r="I2089" s="11" t="n"/>
      <c r="J2089" s="11" t="n"/>
      <c r="K2089" s="11" t="n"/>
      <c r="L2089" s="11" t="n"/>
      <c r="M2089" s="11" t="n"/>
    </row>
    <row r="2090">
      <c r="A2090" s="11" t="n"/>
      <c r="B2090" s="11" t="n"/>
      <c r="C2090" s="11" t="n"/>
      <c r="D2090" s="11" t="n"/>
      <c r="E2090" s="11" t="n"/>
      <c r="F2090" s="11" t="n"/>
      <c r="G2090" s="11" t="n"/>
      <c r="H2090" s="11" t="n"/>
      <c r="I2090" s="11" t="n"/>
      <c r="J2090" s="11" t="n"/>
      <c r="K2090" s="11" t="n"/>
      <c r="L2090" s="11" t="n"/>
      <c r="M2090" s="11" t="n"/>
    </row>
    <row r="2091">
      <c r="A2091" s="11" t="n"/>
      <c r="B2091" s="11" t="n"/>
      <c r="C2091" s="11" t="n"/>
      <c r="D2091" s="11" t="n"/>
      <c r="E2091" s="11" t="n"/>
      <c r="F2091" s="11" t="n"/>
      <c r="G2091" s="11" t="n"/>
      <c r="H2091" s="11" t="n"/>
      <c r="I2091" s="11" t="n"/>
      <c r="J2091" s="11" t="n"/>
      <c r="K2091" s="11" t="n"/>
      <c r="L2091" s="11" t="n"/>
      <c r="M2091" s="11" t="n"/>
    </row>
    <row r="2092">
      <c r="A2092" s="11" t="n"/>
      <c r="B2092" s="11" t="n"/>
      <c r="C2092" s="11" t="n"/>
      <c r="D2092" s="11" t="n"/>
      <c r="E2092" s="11" t="n"/>
      <c r="F2092" s="11" t="n"/>
      <c r="G2092" s="11" t="n"/>
      <c r="H2092" s="11" t="n"/>
      <c r="I2092" s="11" t="n"/>
      <c r="J2092" s="11" t="n"/>
      <c r="K2092" s="11" t="n"/>
      <c r="L2092" s="11" t="n"/>
      <c r="M2092" s="11" t="n"/>
    </row>
    <row r="2093">
      <c r="A2093" s="11" t="n"/>
      <c r="B2093" s="11" t="n"/>
      <c r="C2093" s="11" t="n"/>
      <c r="D2093" s="11" t="n"/>
      <c r="E2093" s="11" t="n"/>
      <c r="F2093" s="11" t="n"/>
      <c r="G2093" s="11" t="n"/>
      <c r="H2093" s="11" t="n"/>
      <c r="I2093" s="11" t="n"/>
      <c r="J2093" s="11" t="n"/>
      <c r="K2093" s="11" t="n"/>
      <c r="L2093" s="11" t="n"/>
      <c r="M2093" s="11" t="n"/>
    </row>
    <row r="2094">
      <c r="A2094" s="11" t="n"/>
      <c r="B2094" s="11" t="n"/>
      <c r="C2094" s="11" t="n"/>
      <c r="D2094" s="11" t="n"/>
      <c r="E2094" s="11" t="n"/>
      <c r="F2094" s="11" t="n"/>
      <c r="G2094" s="11" t="n"/>
      <c r="H2094" s="11" t="n"/>
      <c r="I2094" s="11" t="n"/>
      <c r="J2094" s="11" t="n"/>
      <c r="K2094" s="11" t="n"/>
      <c r="L2094" s="11" t="n"/>
      <c r="M2094" s="11" t="n"/>
    </row>
    <row r="2095">
      <c r="A2095" s="11" t="n"/>
      <c r="B2095" s="11" t="n"/>
      <c r="C2095" s="11" t="n"/>
      <c r="D2095" s="11" t="n"/>
      <c r="E2095" s="11" t="n"/>
      <c r="F2095" s="11" t="n"/>
      <c r="G2095" s="11" t="n"/>
      <c r="H2095" s="11" t="n"/>
      <c r="I2095" s="11" t="n"/>
      <c r="J2095" s="11" t="n"/>
      <c r="K2095" s="11" t="n"/>
      <c r="L2095" s="11" t="n"/>
      <c r="M2095" s="11" t="n"/>
    </row>
    <row r="2096">
      <c r="A2096" s="11" t="n"/>
      <c r="B2096" s="11" t="n"/>
      <c r="C2096" s="11" t="n"/>
      <c r="D2096" s="11" t="n"/>
      <c r="E2096" s="11" t="n"/>
      <c r="F2096" s="11" t="n"/>
      <c r="G2096" s="11" t="n"/>
      <c r="H2096" s="11" t="n"/>
      <c r="I2096" s="11" t="n"/>
      <c r="J2096" s="11" t="n"/>
      <c r="K2096" s="11" t="n"/>
      <c r="L2096" s="11" t="n"/>
      <c r="M2096" s="11" t="n"/>
    </row>
    <row r="2097">
      <c r="A2097" s="11" t="n"/>
      <c r="B2097" s="11" t="n"/>
      <c r="C2097" s="11" t="n"/>
      <c r="D2097" s="11" t="n"/>
      <c r="E2097" s="11" t="n"/>
      <c r="F2097" s="11" t="n"/>
      <c r="G2097" s="11" t="n"/>
      <c r="H2097" s="11" t="n"/>
      <c r="I2097" s="11" t="n"/>
      <c r="J2097" s="11" t="n"/>
      <c r="K2097" s="11" t="n"/>
      <c r="L2097" s="11" t="n"/>
      <c r="M2097" s="11" t="n"/>
    </row>
    <row r="2098">
      <c r="A2098" s="11" t="n"/>
      <c r="B2098" s="11" t="n"/>
      <c r="C2098" s="11" t="n"/>
      <c r="D2098" s="11" t="n"/>
      <c r="E2098" s="11" t="n"/>
      <c r="F2098" s="11" t="n"/>
      <c r="G2098" s="11" t="n"/>
      <c r="H2098" s="11" t="n"/>
      <c r="I2098" s="11" t="n"/>
      <c r="J2098" s="11" t="n"/>
      <c r="K2098" s="11" t="n"/>
      <c r="L2098" s="11" t="n"/>
      <c r="M2098" s="11" t="n"/>
    </row>
    <row r="2099">
      <c r="A2099" s="11" t="n"/>
      <c r="B2099" s="11" t="n"/>
      <c r="C2099" s="11" t="n"/>
      <c r="D2099" s="11" t="n"/>
      <c r="E2099" s="11" t="n"/>
      <c r="F2099" s="11" t="n"/>
      <c r="G2099" s="11" t="n"/>
      <c r="H2099" s="11" t="n"/>
      <c r="I2099" s="11" t="n"/>
      <c r="J2099" s="11" t="n"/>
      <c r="K2099" s="11" t="n"/>
      <c r="L2099" s="11" t="n"/>
      <c r="M2099" s="11" t="n"/>
    </row>
    <row r="2100">
      <c r="A2100" s="11" t="n"/>
      <c r="B2100" s="11" t="n"/>
      <c r="C2100" s="11" t="n"/>
      <c r="D2100" s="11" t="n"/>
      <c r="E2100" s="11" t="n"/>
      <c r="F2100" s="11" t="n"/>
      <c r="G2100" s="11" t="n"/>
      <c r="H2100" s="11" t="n"/>
      <c r="I2100" s="11" t="n"/>
      <c r="J2100" s="11" t="n"/>
      <c r="K2100" s="11" t="n"/>
      <c r="L2100" s="11" t="n"/>
      <c r="M2100" s="11" t="n"/>
    </row>
    <row r="2101">
      <c r="A2101" s="11" t="n"/>
      <c r="B2101" s="11" t="n"/>
      <c r="C2101" s="11" t="n"/>
      <c r="D2101" s="11" t="n"/>
      <c r="E2101" s="11" t="n"/>
      <c r="F2101" s="11" t="n"/>
      <c r="G2101" s="11" t="n"/>
      <c r="H2101" s="11" t="n"/>
      <c r="I2101" s="11" t="n"/>
      <c r="J2101" s="11" t="n"/>
      <c r="K2101" s="11" t="n"/>
      <c r="L2101" s="11" t="n"/>
      <c r="M2101" s="11" t="n"/>
    </row>
    <row r="2102">
      <c r="A2102" s="11" t="n"/>
      <c r="B2102" s="11" t="n"/>
      <c r="C2102" s="11" t="n"/>
      <c r="D2102" s="11" t="n"/>
      <c r="E2102" s="11" t="n"/>
      <c r="F2102" s="11" t="n"/>
      <c r="G2102" s="11" t="n"/>
      <c r="H2102" s="11" t="n"/>
      <c r="I2102" s="11" t="n"/>
      <c r="J2102" s="11" t="n"/>
      <c r="K2102" s="11" t="n"/>
      <c r="L2102" s="11" t="n"/>
      <c r="M2102" s="11" t="n"/>
    </row>
    <row r="2103">
      <c r="A2103" s="11" t="n"/>
      <c r="B2103" s="11" t="n"/>
      <c r="C2103" s="11" t="n"/>
      <c r="D2103" s="11" t="n"/>
      <c r="E2103" s="11" t="n"/>
      <c r="F2103" s="11" t="n"/>
      <c r="G2103" s="11" t="n"/>
      <c r="H2103" s="11" t="n"/>
      <c r="I2103" s="11" t="n"/>
      <c r="J2103" s="11" t="n"/>
      <c r="K2103" s="11" t="n"/>
      <c r="L2103" s="11" t="n"/>
      <c r="M2103" s="11" t="n"/>
    </row>
    <row r="2104">
      <c r="A2104" s="11" t="n"/>
      <c r="B2104" s="11" t="n"/>
      <c r="C2104" s="11" t="n"/>
      <c r="D2104" s="11" t="n"/>
      <c r="E2104" s="11" t="n"/>
      <c r="F2104" s="11" t="n"/>
      <c r="G2104" s="11" t="n"/>
      <c r="H2104" s="11" t="n"/>
      <c r="I2104" s="11" t="n"/>
      <c r="J2104" s="11" t="n"/>
      <c r="K2104" s="11" t="n"/>
      <c r="L2104" s="11" t="n"/>
      <c r="M2104" s="11" t="n"/>
    </row>
    <row r="2105">
      <c r="A2105" s="11" t="n"/>
      <c r="B2105" s="11" t="n"/>
      <c r="C2105" s="11" t="n"/>
      <c r="D2105" s="11" t="n"/>
      <c r="E2105" s="11" t="n"/>
      <c r="F2105" s="11" t="n"/>
      <c r="G2105" s="11" t="n"/>
      <c r="H2105" s="11" t="n"/>
      <c r="I2105" s="11" t="n"/>
      <c r="J2105" s="11" t="n"/>
      <c r="K2105" s="11" t="n"/>
      <c r="L2105" s="11" t="n"/>
      <c r="M2105" s="11" t="n"/>
    </row>
    <row r="2106">
      <c r="A2106" s="11" t="n"/>
      <c r="B2106" s="11" t="n"/>
      <c r="C2106" s="11" t="n"/>
      <c r="D2106" s="11" t="n"/>
      <c r="E2106" s="11" t="n"/>
      <c r="F2106" s="11" t="n"/>
      <c r="G2106" s="11" t="n"/>
      <c r="H2106" s="11" t="n"/>
      <c r="I2106" s="11" t="n"/>
      <c r="J2106" s="11" t="n"/>
      <c r="K2106" s="11" t="n"/>
      <c r="L2106" s="11" t="n"/>
      <c r="M2106" s="11" t="n"/>
    </row>
    <row r="2107">
      <c r="A2107" s="11" t="n"/>
      <c r="B2107" s="11" t="n"/>
      <c r="C2107" s="11" t="n"/>
      <c r="D2107" s="11" t="n"/>
      <c r="E2107" s="11" t="n"/>
      <c r="F2107" s="11" t="n"/>
      <c r="G2107" s="11" t="n"/>
      <c r="H2107" s="11" t="n"/>
      <c r="I2107" s="11" t="n"/>
      <c r="J2107" s="11" t="n"/>
      <c r="K2107" s="11" t="n"/>
      <c r="L2107" s="11" t="n"/>
      <c r="M2107" s="11" t="n"/>
    </row>
    <row r="2108">
      <c r="A2108" s="11" t="n"/>
      <c r="B2108" s="11" t="n"/>
      <c r="C2108" s="11" t="n"/>
      <c r="D2108" s="11" t="n"/>
      <c r="E2108" s="11" t="n"/>
      <c r="F2108" s="11" t="n"/>
      <c r="G2108" s="11" t="n"/>
      <c r="H2108" s="11" t="n"/>
      <c r="I2108" s="11" t="n"/>
      <c r="J2108" s="11" t="n"/>
      <c r="K2108" s="11" t="n"/>
      <c r="L2108" s="11" t="n"/>
      <c r="M2108" s="11" t="n"/>
    </row>
    <row r="2109">
      <c r="A2109" s="11" t="n"/>
      <c r="B2109" s="11" t="n"/>
      <c r="C2109" s="11" t="n"/>
      <c r="D2109" s="11" t="n"/>
      <c r="E2109" s="11" t="n"/>
      <c r="F2109" s="11" t="n"/>
      <c r="G2109" s="11" t="n"/>
      <c r="H2109" s="11" t="n"/>
      <c r="I2109" s="11" t="n"/>
      <c r="J2109" s="11" t="n"/>
      <c r="K2109" s="11" t="n"/>
      <c r="L2109" s="11" t="n"/>
      <c r="M2109" s="11" t="n"/>
    </row>
    <row r="2110">
      <c r="A2110" s="11" t="n"/>
      <c r="B2110" s="11" t="n"/>
      <c r="C2110" s="11" t="n"/>
      <c r="D2110" s="11" t="n"/>
      <c r="E2110" s="11" t="n"/>
      <c r="F2110" s="11" t="n"/>
      <c r="G2110" s="11" t="n"/>
      <c r="H2110" s="11" t="n"/>
      <c r="I2110" s="11" t="n"/>
      <c r="J2110" s="11" t="n"/>
      <c r="K2110" s="11" t="n"/>
      <c r="L2110" s="11" t="n"/>
      <c r="M2110" s="11" t="n"/>
    </row>
    <row r="2111">
      <c r="A2111" s="11" t="n"/>
      <c r="B2111" s="11" t="n"/>
      <c r="C2111" s="11" t="n"/>
      <c r="D2111" s="11" t="n"/>
      <c r="E2111" s="11" t="n"/>
      <c r="F2111" s="11" t="n"/>
      <c r="G2111" s="11" t="n"/>
      <c r="H2111" s="11" t="n"/>
      <c r="I2111" s="11" t="n"/>
      <c r="J2111" s="11" t="n"/>
      <c r="K2111" s="11" t="n"/>
      <c r="L2111" s="11" t="n"/>
      <c r="M2111" s="11" t="n"/>
    </row>
    <row r="2112">
      <c r="A2112" s="11" t="n"/>
      <c r="B2112" s="11" t="n"/>
      <c r="C2112" s="11" t="n"/>
      <c r="D2112" s="11" t="n"/>
      <c r="E2112" s="11" t="n"/>
      <c r="F2112" s="11" t="n"/>
      <c r="G2112" s="11" t="n"/>
      <c r="H2112" s="11" t="n"/>
      <c r="I2112" s="11" t="n"/>
      <c r="J2112" s="11" t="n"/>
      <c r="K2112" s="11" t="n"/>
      <c r="L2112" s="11" t="n"/>
      <c r="M2112" s="11" t="n"/>
    </row>
    <row r="2113">
      <c r="A2113" s="11" t="n"/>
      <c r="B2113" s="11" t="n"/>
      <c r="C2113" s="11" t="n"/>
      <c r="D2113" s="11" t="n"/>
      <c r="E2113" s="11" t="n"/>
      <c r="F2113" s="11" t="n"/>
      <c r="G2113" s="11" t="n"/>
      <c r="H2113" s="11" t="n"/>
      <c r="I2113" s="11" t="n"/>
      <c r="J2113" s="11" t="n"/>
      <c r="K2113" s="11" t="n"/>
      <c r="L2113" s="11" t="n"/>
      <c r="M2113" s="11" t="n"/>
    </row>
    <row r="2114">
      <c r="A2114" s="11" t="n"/>
      <c r="B2114" s="11" t="n"/>
      <c r="C2114" s="11" t="n"/>
      <c r="D2114" s="11" t="n"/>
      <c r="E2114" s="11" t="n"/>
      <c r="F2114" s="11" t="n"/>
      <c r="G2114" s="11" t="n"/>
      <c r="H2114" s="11" t="n"/>
      <c r="I2114" s="11" t="n"/>
      <c r="J2114" s="11" t="n"/>
      <c r="K2114" s="11" t="n"/>
      <c r="L2114" s="11" t="n"/>
      <c r="M2114" s="11" t="n"/>
    </row>
    <row r="2115">
      <c r="A2115" s="11" t="n"/>
      <c r="B2115" s="11" t="n"/>
      <c r="C2115" s="11" t="n"/>
      <c r="D2115" s="11" t="n"/>
      <c r="E2115" s="11" t="n"/>
      <c r="F2115" s="11" t="n"/>
      <c r="G2115" s="11" t="n"/>
      <c r="H2115" s="11" t="n"/>
      <c r="I2115" s="11" t="n"/>
      <c r="J2115" s="11" t="n"/>
      <c r="K2115" s="11" t="n"/>
      <c r="L2115" s="11" t="n"/>
      <c r="M2115" s="11" t="n"/>
    </row>
    <row r="2116">
      <c r="A2116" s="11" t="n"/>
      <c r="B2116" s="11" t="n"/>
      <c r="C2116" s="11" t="n"/>
      <c r="D2116" s="11" t="n"/>
      <c r="E2116" s="11" t="n"/>
      <c r="F2116" s="11" t="n"/>
      <c r="G2116" s="11" t="n"/>
      <c r="H2116" s="11" t="n"/>
      <c r="I2116" s="11" t="n"/>
      <c r="J2116" s="11" t="n"/>
      <c r="K2116" s="11" t="n"/>
      <c r="L2116" s="11" t="n"/>
      <c r="M2116" s="11" t="n"/>
    </row>
    <row r="2117">
      <c r="A2117" s="11" t="n"/>
      <c r="B2117" s="11" t="n"/>
      <c r="C2117" s="11" t="n"/>
      <c r="D2117" s="11" t="n"/>
      <c r="E2117" s="11" t="n"/>
      <c r="F2117" s="11" t="n"/>
      <c r="G2117" s="11" t="n"/>
      <c r="H2117" s="11" t="n"/>
      <c r="I2117" s="11" t="n"/>
      <c r="J2117" s="11" t="n"/>
      <c r="K2117" s="11" t="n"/>
      <c r="L2117" s="11" t="n"/>
      <c r="M2117" s="11" t="n"/>
    </row>
    <row r="2118">
      <c r="A2118" s="11" t="n"/>
      <c r="B2118" s="11" t="n"/>
      <c r="C2118" s="11" t="n"/>
      <c r="D2118" s="11" t="n"/>
      <c r="E2118" s="11" t="n"/>
      <c r="F2118" s="11" t="n"/>
      <c r="G2118" s="11" t="n"/>
      <c r="H2118" s="11" t="n"/>
      <c r="I2118" s="11" t="n"/>
      <c r="J2118" s="11" t="n"/>
      <c r="K2118" s="11" t="n"/>
      <c r="L2118" s="11" t="n"/>
      <c r="M2118" s="11" t="n"/>
    </row>
    <row r="2119">
      <c r="A2119" s="11" t="n"/>
      <c r="B2119" s="11" t="n"/>
      <c r="C2119" s="11" t="n"/>
      <c r="D2119" s="11" t="n"/>
      <c r="E2119" s="11" t="n"/>
      <c r="F2119" s="11" t="n"/>
      <c r="G2119" s="11" t="n"/>
      <c r="H2119" s="11" t="n"/>
      <c r="I2119" s="11" t="n"/>
      <c r="J2119" s="11" t="n"/>
      <c r="K2119" s="11" t="n"/>
      <c r="L2119" s="11" t="n"/>
      <c r="M2119" s="11" t="n"/>
    </row>
    <row r="2120">
      <c r="A2120" s="11" t="n"/>
      <c r="B2120" s="11" t="n"/>
      <c r="C2120" s="11" t="n"/>
      <c r="D2120" s="11" t="n"/>
      <c r="E2120" s="11" t="n"/>
      <c r="F2120" s="11" t="n"/>
      <c r="G2120" s="11" t="n"/>
      <c r="H2120" s="11" t="n"/>
      <c r="I2120" s="11" t="n"/>
      <c r="J2120" s="11" t="n"/>
      <c r="K2120" s="11" t="n"/>
      <c r="L2120" s="11" t="n"/>
      <c r="M2120" s="11" t="n"/>
    </row>
    <row r="2121">
      <c r="A2121" s="11" t="n"/>
      <c r="B2121" s="11" t="n"/>
      <c r="C2121" s="11" t="n"/>
      <c r="D2121" s="11" t="n"/>
      <c r="E2121" s="11" t="n"/>
      <c r="F2121" s="11" t="n"/>
      <c r="G2121" s="11" t="n"/>
      <c r="H2121" s="11" t="n"/>
      <c r="I2121" s="11" t="n"/>
      <c r="J2121" s="11" t="n"/>
      <c r="K2121" s="11" t="n"/>
      <c r="L2121" s="11" t="n"/>
      <c r="M2121" s="11" t="n"/>
    </row>
    <row r="2122">
      <c r="A2122" s="11" t="n"/>
      <c r="B2122" s="11" t="n"/>
      <c r="C2122" s="11" t="n"/>
      <c r="D2122" s="11" t="n"/>
      <c r="E2122" s="11" t="n"/>
      <c r="F2122" s="11" t="n"/>
      <c r="G2122" s="11" t="n"/>
      <c r="H2122" s="11" t="n"/>
      <c r="I2122" s="11" t="n"/>
      <c r="J2122" s="11" t="n"/>
      <c r="K2122" s="11" t="n"/>
      <c r="L2122" s="11" t="n"/>
      <c r="M2122" s="11" t="n"/>
    </row>
    <row r="2123">
      <c r="A2123" s="11" t="n"/>
      <c r="B2123" s="11" t="n"/>
      <c r="C2123" s="11" t="n"/>
      <c r="D2123" s="11" t="n"/>
      <c r="E2123" s="11" t="n"/>
      <c r="F2123" s="11" t="n"/>
      <c r="G2123" s="11" t="n"/>
      <c r="H2123" s="11" t="n"/>
      <c r="I2123" s="11" t="n"/>
      <c r="J2123" s="11" t="n"/>
      <c r="K2123" s="11" t="n"/>
      <c r="L2123" s="11" t="n"/>
      <c r="M2123" s="11" t="n"/>
    </row>
    <row r="2124">
      <c r="A2124" s="11" t="n"/>
      <c r="B2124" s="11" t="n"/>
      <c r="C2124" s="11" t="n"/>
      <c r="D2124" s="11" t="n"/>
      <c r="E2124" s="11" t="n"/>
      <c r="F2124" s="11" t="n"/>
      <c r="G2124" s="11" t="n"/>
      <c r="H2124" s="11" t="n"/>
      <c r="I2124" s="11" t="n"/>
      <c r="J2124" s="11" t="n"/>
      <c r="K2124" s="11" t="n"/>
      <c r="L2124" s="11" t="n"/>
      <c r="M2124" s="11" t="n"/>
    </row>
    <row r="2125">
      <c r="A2125" s="11" t="n"/>
      <c r="B2125" s="11" t="n"/>
      <c r="C2125" s="11" t="n"/>
      <c r="D2125" s="11" t="n"/>
      <c r="E2125" s="11" t="n"/>
      <c r="F2125" s="11" t="n"/>
      <c r="G2125" s="11" t="n"/>
      <c r="H2125" s="11" t="n"/>
      <c r="I2125" s="11" t="n"/>
      <c r="J2125" s="11" t="n"/>
      <c r="K2125" s="11" t="n"/>
      <c r="L2125" s="11" t="n"/>
      <c r="M2125" s="11" t="n"/>
    </row>
    <row r="2126">
      <c r="A2126" s="11" t="n"/>
      <c r="B2126" s="11" t="n"/>
      <c r="C2126" s="11" t="n"/>
      <c r="D2126" s="11" t="n"/>
      <c r="E2126" s="11" t="n"/>
      <c r="F2126" s="11" t="n"/>
      <c r="G2126" s="11" t="n"/>
      <c r="H2126" s="11" t="n"/>
      <c r="I2126" s="11" t="n"/>
      <c r="J2126" s="11" t="n"/>
      <c r="K2126" s="11" t="n"/>
      <c r="L2126" s="11" t="n"/>
      <c r="M2126" s="11" t="n"/>
    </row>
    <row r="2127">
      <c r="A2127" s="11" t="n"/>
      <c r="B2127" s="11" t="n"/>
      <c r="C2127" s="11" t="n"/>
      <c r="D2127" s="11" t="n"/>
      <c r="E2127" s="11" t="n"/>
      <c r="F2127" s="11" t="n"/>
      <c r="G2127" s="11" t="n"/>
      <c r="H2127" s="11" t="n"/>
      <c r="I2127" s="11" t="n"/>
      <c r="J2127" s="11" t="n"/>
      <c r="K2127" s="11" t="n"/>
      <c r="L2127" s="11" t="n"/>
      <c r="M2127" s="11" t="n"/>
    </row>
    <row r="2128">
      <c r="A2128" s="11" t="n"/>
      <c r="B2128" s="11" t="n"/>
      <c r="C2128" s="11" t="n"/>
      <c r="D2128" s="11" t="n"/>
      <c r="E2128" s="11" t="n"/>
      <c r="F2128" s="11" t="n"/>
      <c r="G2128" s="11" t="n"/>
      <c r="H2128" s="11" t="n"/>
      <c r="I2128" s="11" t="n"/>
      <c r="J2128" s="11" t="n"/>
      <c r="K2128" s="11" t="n"/>
      <c r="L2128" s="11" t="n"/>
      <c r="M2128" s="11" t="n"/>
    </row>
    <row r="2129">
      <c r="A2129" s="11" t="n"/>
      <c r="B2129" s="11" t="n"/>
      <c r="C2129" s="11" t="n"/>
      <c r="D2129" s="11" t="n"/>
      <c r="E2129" s="11" t="n"/>
      <c r="F2129" s="11" t="n"/>
      <c r="G2129" s="11" t="n"/>
      <c r="H2129" s="11" t="n"/>
      <c r="I2129" s="11" t="n"/>
      <c r="J2129" s="11" t="n"/>
      <c r="K2129" s="11" t="n"/>
      <c r="L2129" s="11" t="n"/>
      <c r="M2129" s="11" t="n"/>
    </row>
    <row r="2130">
      <c r="A2130" s="11" t="n"/>
      <c r="B2130" s="11" t="n"/>
      <c r="C2130" s="11" t="n"/>
      <c r="D2130" s="11" t="n"/>
      <c r="E2130" s="11" t="n"/>
      <c r="F2130" s="11" t="n"/>
      <c r="G2130" s="11" t="n"/>
      <c r="H2130" s="11" t="n"/>
      <c r="I2130" s="11" t="n"/>
      <c r="J2130" s="11" t="n"/>
      <c r="K2130" s="11" t="n"/>
      <c r="L2130" s="11" t="n"/>
      <c r="M2130" s="11" t="n"/>
    </row>
    <row r="2131">
      <c r="A2131" s="11" t="n"/>
      <c r="B2131" s="11" t="n"/>
      <c r="C2131" s="11" t="n"/>
      <c r="D2131" s="11" t="n"/>
      <c r="E2131" s="11" t="n"/>
      <c r="F2131" s="11" t="n"/>
      <c r="G2131" s="11" t="n"/>
      <c r="H2131" s="11" t="n"/>
      <c r="I2131" s="11" t="n"/>
      <c r="J2131" s="11" t="n"/>
      <c r="K2131" s="11" t="n"/>
      <c r="L2131" s="11" t="n"/>
      <c r="M2131" s="11" t="n"/>
    </row>
    <row r="2132">
      <c r="A2132" s="11" t="n"/>
      <c r="B2132" s="11" t="n"/>
      <c r="C2132" s="11" t="n"/>
      <c r="D2132" s="11" t="n"/>
      <c r="E2132" s="11" t="n"/>
      <c r="F2132" s="11" t="n"/>
      <c r="G2132" s="11" t="n"/>
      <c r="H2132" s="11" t="n"/>
      <c r="I2132" s="11" t="n"/>
      <c r="J2132" s="11" t="n"/>
      <c r="K2132" s="11" t="n"/>
      <c r="L2132" s="11" t="n"/>
      <c r="M2132" s="11" t="n"/>
    </row>
    <row r="2133">
      <c r="A2133" s="11" t="n"/>
      <c r="B2133" s="11" t="n"/>
      <c r="C2133" s="11" t="n"/>
      <c r="D2133" s="11" t="n"/>
      <c r="E2133" s="11" t="n"/>
      <c r="F2133" s="11" t="n"/>
      <c r="G2133" s="11" t="n"/>
      <c r="H2133" s="11" t="n"/>
      <c r="I2133" s="11" t="n"/>
      <c r="J2133" s="11" t="n"/>
      <c r="K2133" s="11" t="n"/>
      <c r="L2133" s="11" t="n"/>
      <c r="M2133" s="11" t="n"/>
    </row>
    <row r="2134">
      <c r="A2134" s="11" t="n"/>
      <c r="B2134" s="11" t="n"/>
      <c r="C2134" s="11" t="n"/>
      <c r="D2134" s="11" t="n"/>
      <c r="E2134" s="11" t="n"/>
      <c r="F2134" s="11" t="n"/>
      <c r="G2134" s="11" t="n"/>
      <c r="H2134" s="11" t="n"/>
      <c r="I2134" s="11" t="n"/>
      <c r="J2134" s="11" t="n"/>
      <c r="K2134" s="11" t="n"/>
      <c r="L2134" s="11" t="n"/>
      <c r="M2134" s="11" t="n"/>
    </row>
    <row r="2135">
      <c r="A2135" s="11" t="n"/>
      <c r="B2135" s="11" t="n"/>
      <c r="C2135" s="11" t="n"/>
      <c r="D2135" s="11" t="n"/>
      <c r="E2135" s="11" t="n"/>
      <c r="F2135" s="11" t="n"/>
      <c r="G2135" s="11" t="n"/>
      <c r="H2135" s="11" t="n"/>
      <c r="I2135" s="11" t="n"/>
      <c r="J2135" s="11" t="n"/>
      <c r="K2135" s="11" t="n"/>
      <c r="L2135" s="11" t="n"/>
      <c r="M2135" s="11" t="n"/>
    </row>
    <row r="2136">
      <c r="A2136" s="11" t="n"/>
      <c r="B2136" s="11" t="n"/>
      <c r="C2136" s="11" t="n"/>
      <c r="D2136" s="11" t="n"/>
      <c r="E2136" s="11" t="n"/>
      <c r="F2136" s="11" t="n"/>
      <c r="G2136" s="11" t="n"/>
      <c r="H2136" s="11" t="n"/>
      <c r="I2136" s="11" t="n"/>
      <c r="J2136" s="11" t="n"/>
      <c r="K2136" s="11" t="n"/>
      <c r="L2136" s="11" t="n"/>
      <c r="M2136" s="11" t="n"/>
    </row>
    <row r="2137">
      <c r="A2137" s="11" t="n"/>
      <c r="B2137" s="11" t="n"/>
      <c r="C2137" s="11" t="n"/>
      <c r="D2137" s="11" t="n"/>
      <c r="E2137" s="11" t="n"/>
      <c r="F2137" s="11" t="n"/>
      <c r="G2137" s="11" t="n"/>
      <c r="H2137" s="11" t="n"/>
      <c r="I2137" s="11" t="n"/>
      <c r="J2137" s="11" t="n"/>
      <c r="K2137" s="11" t="n"/>
      <c r="L2137" s="11" t="n"/>
      <c r="M2137" s="11" t="n"/>
    </row>
    <row r="2138">
      <c r="A2138" s="11" t="n"/>
      <c r="B2138" s="11" t="n"/>
      <c r="C2138" s="11" t="n"/>
      <c r="D2138" s="11" t="n"/>
      <c r="E2138" s="11" t="n"/>
      <c r="F2138" s="11" t="n"/>
      <c r="G2138" s="11" t="n"/>
      <c r="H2138" s="11" t="n"/>
      <c r="I2138" s="11" t="n"/>
      <c r="J2138" s="11" t="n"/>
      <c r="K2138" s="11" t="n"/>
      <c r="L2138" s="11" t="n"/>
      <c r="M2138" s="11" t="n"/>
    </row>
    <row r="2139">
      <c r="A2139" s="11" t="n"/>
      <c r="B2139" s="11" t="n"/>
      <c r="C2139" s="11" t="n"/>
      <c r="D2139" s="11" t="n"/>
      <c r="E2139" s="11" t="n"/>
      <c r="F2139" s="11" t="n"/>
      <c r="G2139" s="11" t="n"/>
      <c r="H2139" s="11" t="n"/>
      <c r="I2139" s="11" t="n"/>
      <c r="J2139" s="11" t="n"/>
      <c r="K2139" s="11" t="n"/>
      <c r="L2139" s="11" t="n"/>
      <c r="M2139" s="11" t="n"/>
    </row>
    <row r="2140">
      <c r="A2140" s="11" t="n"/>
      <c r="B2140" s="11" t="n"/>
      <c r="C2140" s="11" t="n"/>
      <c r="D2140" s="11" t="n"/>
      <c r="E2140" s="11" t="n"/>
      <c r="F2140" s="11" t="n"/>
      <c r="G2140" s="11" t="n"/>
      <c r="H2140" s="11" t="n"/>
      <c r="I2140" s="11" t="n"/>
      <c r="J2140" s="11" t="n"/>
      <c r="K2140" s="11" t="n"/>
      <c r="L2140" s="11" t="n"/>
      <c r="M2140" s="11" t="n"/>
    </row>
    <row r="2141">
      <c r="A2141" s="11" t="n"/>
      <c r="B2141" s="11" t="n"/>
      <c r="C2141" s="11" t="n"/>
      <c r="D2141" s="11" t="n"/>
      <c r="E2141" s="11" t="n"/>
      <c r="F2141" s="11" t="n"/>
      <c r="G2141" s="11" t="n"/>
      <c r="H2141" s="11" t="n"/>
      <c r="I2141" s="11" t="n"/>
      <c r="J2141" s="11" t="n"/>
      <c r="K2141" s="11" t="n"/>
      <c r="L2141" s="11" t="n"/>
      <c r="M2141" s="11" t="n"/>
    </row>
    <row r="2142">
      <c r="A2142" s="11" t="n"/>
      <c r="B2142" s="11" t="n"/>
      <c r="C2142" s="11" t="n"/>
      <c r="D2142" s="11" t="n"/>
      <c r="E2142" s="11" t="n"/>
      <c r="F2142" s="11" t="n"/>
      <c r="G2142" s="11" t="n"/>
      <c r="H2142" s="11" t="n"/>
      <c r="I2142" s="11" t="n"/>
      <c r="J2142" s="11" t="n"/>
      <c r="K2142" s="11" t="n"/>
      <c r="L2142" s="11" t="n"/>
      <c r="M2142" s="11" t="n"/>
    </row>
    <row r="2143">
      <c r="A2143" s="11" t="n"/>
      <c r="B2143" s="11" t="n"/>
      <c r="C2143" s="11" t="n"/>
      <c r="D2143" s="11" t="n"/>
      <c r="E2143" s="11" t="n"/>
      <c r="F2143" s="11" t="n"/>
      <c r="G2143" s="11" t="n"/>
      <c r="H2143" s="11" t="n"/>
      <c r="I2143" s="11" t="n"/>
      <c r="J2143" s="11" t="n"/>
      <c r="K2143" s="11" t="n"/>
      <c r="L2143" s="11" t="n"/>
      <c r="M2143" s="11" t="n"/>
    </row>
    <row r="2144">
      <c r="A2144" s="11" t="n"/>
      <c r="B2144" s="11" t="n"/>
      <c r="C2144" s="11" t="n"/>
      <c r="D2144" s="11" t="n"/>
      <c r="E2144" s="11" t="n"/>
      <c r="F2144" s="11" t="n"/>
      <c r="G2144" s="11" t="n"/>
      <c r="H2144" s="11" t="n"/>
      <c r="I2144" s="11" t="n"/>
      <c r="J2144" s="11" t="n"/>
      <c r="K2144" s="11" t="n"/>
      <c r="L2144" s="11" t="n"/>
      <c r="M2144" s="11" t="n"/>
    </row>
    <row r="2145">
      <c r="A2145" s="11" t="n"/>
      <c r="B2145" s="11" t="n"/>
      <c r="C2145" s="11" t="n"/>
      <c r="D2145" s="11" t="n"/>
      <c r="E2145" s="11" t="n"/>
      <c r="F2145" s="11" t="n"/>
      <c r="G2145" s="11" t="n"/>
      <c r="H2145" s="11" t="n"/>
      <c r="I2145" s="11" t="n"/>
      <c r="J2145" s="11" t="n"/>
      <c r="K2145" s="11" t="n"/>
      <c r="L2145" s="11" t="n"/>
      <c r="M2145" s="11" t="n"/>
    </row>
    <row r="2146">
      <c r="A2146" s="11" t="n"/>
      <c r="B2146" s="11" t="n"/>
      <c r="C2146" s="11" t="n"/>
      <c r="D2146" s="11" t="n"/>
      <c r="E2146" s="11" t="n"/>
      <c r="F2146" s="11" t="n"/>
      <c r="G2146" s="11" t="n"/>
      <c r="H2146" s="11" t="n"/>
      <c r="I2146" s="11" t="n"/>
      <c r="J2146" s="11" t="n"/>
      <c r="K2146" s="11" t="n"/>
      <c r="L2146" s="11" t="n"/>
      <c r="M2146" s="11" t="n"/>
    </row>
    <row r="2147">
      <c r="A2147" s="11" t="n"/>
      <c r="B2147" s="11" t="n"/>
      <c r="C2147" s="11" t="n"/>
      <c r="D2147" s="11" t="n"/>
      <c r="E2147" s="11" t="n"/>
      <c r="F2147" s="11" t="n"/>
      <c r="G2147" s="11" t="n"/>
      <c r="H2147" s="11" t="n"/>
      <c r="I2147" s="11" t="n"/>
      <c r="J2147" s="11" t="n"/>
      <c r="K2147" s="11" t="n"/>
      <c r="L2147" s="11" t="n"/>
      <c r="M2147" s="11" t="n"/>
    </row>
    <row r="2148">
      <c r="A2148" s="11" t="n"/>
      <c r="B2148" s="11" t="n"/>
      <c r="C2148" s="11" t="n"/>
      <c r="D2148" s="11" t="n"/>
      <c r="E2148" s="11" t="n"/>
      <c r="F2148" s="11" t="n"/>
      <c r="G2148" s="11" t="n"/>
      <c r="H2148" s="11" t="n"/>
      <c r="I2148" s="11" t="n"/>
      <c r="J2148" s="11" t="n"/>
      <c r="K2148" s="11" t="n"/>
      <c r="L2148" s="11" t="n"/>
      <c r="M2148" s="11" t="n"/>
    </row>
    <row r="2149">
      <c r="A2149" s="11" t="n"/>
      <c r="B2149" s="11" t="n"/>
      <c r="C2149" s="11" t="n"/>
      <c r="D2149" s="11" t="n"/>
      <c r="E2149" s="11" t="n"/>
      <c r="F2149" s="11" t="n"/>
      <c r="G2149" s="11" t="n"/>
      <c r="H2149" s="11" t="n"/>
      <c r="I2149" s="11" t="n"/>
      <c r="J2149" s="11" t="n"/>
      <c r="K2149" s="11" t="n"/>
      <c r="L2149" s="11" t="n"/>
      <c r="M2149" s="11" t="n"/>
    </row>
    <row r="2150">
      <c r="A2150" s="11" t="n"/>
      <c r="B2150" s="11" t="n"/>
      <c r="C2150" s="11" t="n"/>
      <c r="D2150" s="11" t="n"/>
      <c r="E2150" s="11" t="n"/>
      <c r="F2150" s="11" t="n"/>
      <c r="G2150" s="11" t="n"/>
      <c r="H2150" s="11" t="n"/>
      <c r="I2150" s="11" t="n"/>
      <c r="J2150" s="11" t="n"/>
      <c r="K2150" s="11" t="n"/>
      <c r="L2150" s="11" t="n"/>
      <c r="M2150" s="11" t="n"/>
    </row>
    <row r="2151">
      <c r="A2151" s="11" t="n"/>
      <c r="B2151" s="11" t="n"/>
      <c r="C2151" s="11" t="n"/>
      <c r="D2151" s="11" t="n"/>
      <c r="E2151" s="11" t="n"/>
      <c r="F2151" s="11" t="n"/>
      <c r="G2151" s="11" t="n"/>
      <c r="H2151" s="11" t="n"/>
      <c r="I2151" s="11" t="n"/>
      <c r="J2151" s="11" t="n"/>
      <c r="K2151" s="11" t="n"/>
      <c r="L2151" s="11" t="n"/>
      <c r="M2151" s="11" t="n"/>
    </row>
    <row r="2152">
      <c r="A2152" s="11" t="n"/>
      <c r="B2152" s="11" t="n"/>
      <c r="C2152" s="11" t="n"/>
      <c r="D2152" s="11" t="n"/>
      <c r="E2152" s="11" t="n"/>
      <c r="F2152" s="11" t="n"/>
      <c r="G2152" s="11" t="n"/>
      <c r="H2152" s="11" t="n"/>
      <c r="I2152" s="11" t="n"/>
      <c r="J2152" s="11" t="n"/>
      <c r="K2152" s="11" t="n"/>
      <c r="L2152" s="11" t="n"/>
      <c r="M2152" s="11" t="n"/>
    </row>
    <row r="2153">
      <c r="A2153" s="11" t="n"/>
      <c r="B2153" s="11" t="n"/>
      <c r="C2153" s="11" t="n"/>
      <c r="D2153" s="11" t="n"/>
      <c r="E2153" s="11" t="n"/>
      <c r="F2153" s="11" t="n"/>
      <c r="G2153" s="11" t="n"/>
      <c r="H2153" s="11" t="n"/>
      <c r="I2153" s="11" t="n"/>
      <c r="J2153" s="11" t="n"/>
      <c r="K2153" s="11" t="n"/>
      <c r="L2153" s="11" t="n"/>
      <c r="M2153" s="11" t="n"/>
    </row>
    <row r="2154">
      <c r="A2154" s="11" t="n"/>
      <c r="B2154" s="11" t="n"/>
      <c r="C2154" s="11" t="n"/>
      <c r="D2154" s="11" t="n"/>
      <c r="E2154" s="11" t="n"/>
      <c r="F2154" s="11" t="n"/>
      <c r="G2154" s="11" t="n"/>
      <c r="H2154" s="11" t="n"/>
      <c r="I2154" s="11" t="n"/>
      <c r="J2154" s="11" t="n"/>
      <c r="K2154" s="11" t="n"/>
      <c r="L2154" s="11" t="n"/>
      <c r="M2154" s="11" t="n"/>
    </row>
    <row r="2155">
      <c r="A2155" s="11" t="n"/>
      <c r="B2155" s="11" t="n"/>
      <c r="C2155" s="11" t="n"/>
      <c r="D2155" s="11" t="n"/>
      <c r="E2155" s="11" t="n"/>
      <c r="F2155" s="11" t="n"/>
      <c r="G2155" s="11" t="n"/>
      <c r="H2155" s="11" t="n"/>
      <c r="I2155" s="11" t="n"/>
      <c r="J2155" s="11" t="n"/>
      <c r="K2155" s="11" t="n"/>
      <c r="L2155" s="11" t="n"/>
      <c r="M2155" s="11" t="n"/>
    </row>
    <row r="2156">
      <c r="A2156" s="11" t="n"/>
      <c r="B2156" s="11" t="n"/>
      <c r="C2156" s="11" t="n"/>
      <c r="D2156" s="11" t="n"/>
      <c r="E2156" s="11" t="n"/>
      <c r="F2156" s="11" t="n"/>
      <c r="G2156" s="11" t="n"/>
      <c r="H2156" s="11" t="n"/>
      <c r="I2156" s="11" t="n"/>
      <c r="J2156" s="11" t="n"/>
      <c r="K2156" s="11" t="n"/>
      <c r="L2156" s="11" t="n"/>
      <c r="M2156" s="11" t="n"/>
    </row>
    <row r="2157">
      <c r="A2157" s="11" t="n"/>
      <c r="B2157" s="11" t="n"/>
      <c r="C2157" s="11" t="n"/>
      <c r="D2157" s="11" t="n"/>
      <c r="E2157" s="11" t="n"/>
      <c r="F2157" s="11" t="n"/>
      <c r="G2157" s="11" t="n"/>
      <c r="H2157" s="11" t="n"/>
      <c r="I2157" s="11" t="n"/>
      <c r="J2157" s="11" t="n"/>
      <c r="K2157" s="11" t="n"/>
      <c r="L2157" s="11" t="n"/>
      <c r="M2157" s="11" t="n"/>
    </row>
    <row r="2158">
      <c r="A2158" s="11" t="n"/>
      <c r="B2158" s="11" t="n"/>
      <c r="C2158" s="11" t="n"/>
      <c r="D2158" s="11" t="n"/>
      <c r="E2158" s="11" t="n"/>
      <c r="F2158" s="11" t="n"/>
      <c r="G2158" s="11" t="n"/>
      <c r="H2158" s="11" t="n"/>
      <c r="I2158" s="11" t="n"/>
      <c r="J2158" s="11" t="n"/>
      <c r="K2158" s="11" t="n"/>
      <c r="L2158" s="11" t="n"/>
      <c r="M2158" s="11" t="n"/>
    </row>
    <row r="2159">
      <c r="A2159" s="11" t="n"/>
      <c r="B2159" s="11" t="n"/>
      <c r="C2159" s="11" t="n"/>
      <c r="D2159" s="11" t="n"/>
      <c r="E2159" s="11" t="n"/>
      <c r="F2159" s="11" t="n"/>
      <c r="G2159" s="11" t="n"/>
      <c r="H2159" s="11" t="n"/>
      <c r="I2159" s="11" t="n"/>
      <c r="J2159" s="11" t="n"/>
      <c r="K2159" s="11" t="n"/>
      <c r="L2159" s="11" t="n"/>
      <c r="M2159" s="11" t="n"/>
    </row>
    <row r="2160">
      <c r="A2160" s="11" t="n"/>
      <c r="B2160" s="11" t="n"/>
      <c r="C2160" s="11" t="n"/>
      <c r="D2160" s="11" t="n"/>
      <c r="E2160" s="11" t="n"/>
      <c r="F2160" s="11" t="n"/>
      <c r="G2160" s="11" t="n"/>
      <c r="H2160" s="11" t="n"/>
      <c r="I2160" s="11" t="n"/>
      <c r="J2160" s="11" t="n"/>
      <c r="K2160" s="11" t="n"/>
      <c r="L2160" s="11" t="n"/>
      <c r="M2160" s="11" t="n"/>
    </row>
    <row r="2161">
      <c r="A2161" s="11" t="n"/>
      <c r="B2161" s="11" t="n"/>
      <c r="C2161" s="11" t="n"/>
      <c r="D2161" s="11" t="n"/>
      <c r="E2161" s="11" t="n"/>
      <c r="F2161" s="11" t="n"/>
      <c r="G2161" s="11" t="n"/>
      <c r="H2161" s="11" t="n"/>
      <c r="I2161" s="11" t="n"/>
      <c r="J2161" s="11" t="n"/>
      <c r="K2161" s="11" t="n"/>
      <c r="L2161" s="11" t="n"/>
      <c r="M2161" s="11" t="n"/>
    </row>
    <row r="2162">
      <c r="A2162" s="11" t="n"/>
      <c r="B2162" s="11" t="n"/>
      <c r="C2162" s="11" t="n"/>
      <c r="D2162" s="11" t="n"/>
      <c r="E2162" s="11" t="n"/>
      <c r="F2162" s="11" t="n"/>
      <c r="G2162" s="11" t="n"/>
      <c r="H2162" s="11" t="n"/>
      <c r="I2162" s="11" t="n"/>
      <c r="J2162" s="11" t="n"/>
      <c r="K2162" s="11" t="n"/>
      <c r="L2162" s="11" t="n"/>
      <c r="M2162" s="11" t="n"/>
    </row>
    <row r="2163">
      <c r="A2163" s="11" t="n"/>
      <c r="B2163" s="11" t="n"/>
      <c r="C2163" s="11" t="n"/>
      <c r="D2163" s="11" t="n"/>
      <c r="E2163" s="11" t="n"/>
      <c r="F2163" s="11" t="n"/>
      <c r="G2163" s="11" t="n"/>
      <c r="H2163" s="11" t="n"/>
      <c r="I2163" s="11" t="n"/>
      <c r="J2163" s="11" t="n"/>
      <c r="K2163" s="11" t="n"/>
      <c r="L2163" s="11" t="n"/>
      <c r="M2163" s="11" t="n"/>
    </row>
    <row r="2164">
      <c r="A2164" s="11" t="n"/>
      <c r="B2164" s="11" t="n"/>
      <c r="C2164" s="11" t="n"/>
      <c r="D2164" s="11" t="n"/>
      <c r="E2164" s="11" t="n"/>
      <c r="F2164" s="11" t="n"/>
      <c r="G2164" s="11" t="n"/>
      <c r="H2164" s="11" t="n"/>
      <c r="I2164" s="11" t="n"/>
      <c r="J2164" s="11" t="n"/>
      <c r="K2164" s="11" t="n"/>
      <c r="L2164" s="11" t="n"/>
      <c r="M2164" s="11" t="n"/>
    </row>
    <row r="2165">
      <c r="A2165" s="11" t="n"/>
      <c r="B2165" s="11" t="n"/>
      <c r="C2165" s="11" t="n"/>
      <c r="D2165" s="11" t="n"/>
      <c r="E2165" s="11" t="n"/>
      <c r="F2165" s="11" t="n"/>
      <c r="G2165" s="11" t="n"/>
      <c r="H2165" s="11" t="n"/>
      <c r="I2165" s="11" t="n"/>
      <c r="J2165" s="11" t="n"/>
      <c r="K2165" s="11" t="n"/>
      <c r="L2165" s="11" t="n"/>
      <c r="M2165" s="11" t="n"/>
    </row>
    <row r="2166">
      <c r="A2166" s="11" t="n"/>
      <c r="B2166" s="11" t="n"/>
      <c r="C2166" s="11" t="n"/>
      <c r="D2166" s="11" t="n"/>
      <c r="E2166" s="11" t="n"/>
      <c r="F2166" s="11" t="n"/>
      <c r="G2166" s="11" t="n"/>
      <c r="H2166" s="11" t="n"/>
      <c r="I2166" s="11" t="n"/>
      <c r="J2166" s="11" t="n"/>
      <c r="K2166" s="11" t="n"/>
      <c r="L2166" s="11" t="n"/>
      <c r="M2166" s="11" t="n"/>
    </row>
    <row r="2167">
      <c r="A2167" s="11" t="n"/>
      <c r="B2167" s="11" t="n"/>
      <c r="C2167" s="11" t="n"/>
      <c r="D2167" s="11" t="n"/>
      <c r="E2167" s="11" t="n"/>
      <c r="F2167" s="11" t="n"/>
      <c r="G2167" s="11" t="n"/>
      <c r="H2167" s="11" t="n"/>
      <c r="I2167" s="11" t="n"/>
      <c r="J2167" s="11" t="n"/>
      <c r="K2167" s="11" t="n"/>
      <c r="L2167" s="11" t="n"/>
      <c r="M2167" s="11" t="n"/>
    </row>
    <row r="2168">
      <c r="A2168" s="11" t="n"/>
      <c r="B2168" s="11" t="n"/>
      <c r="C2168" s="11" t="n"/>
      <c r="D2168" s="11" t="n"/>
      <c r="E2168" s="11" t="n"/>
      <c r="F2168" s="11" t="n"/>
      <c r="G2168" s="11" t="n"/>
      <c r="H2168" s="11" t="n"/>
      <c r="I2168" s="11" t="n"/>
      <c r="J2168" s="11" t="n"/>
      <c r="K2168" s="11" t="n"/>
      <c r="L2168" s="11" t="n"/>
      <c r="M2168" s="11" t="n"/>
    </row>
    <row r="2169">
      <c r="A2169" s="11" t="n"/>
      <c r="B2169" s="11" t="n"/>
      <c r="C2169" s="11" t="n"/>
      <c r="D2169" s="11" t="n"/>
      <c r="E2169" s="11" t="n"/>
      <c r="F2169" s="11" t="n"/>
      <c r="G2169" s="11" t="n"/>
      <c r="H2169" s="11" t="n"/>
      <c r="I2169" s="11" t="n"/>
      <c r="J2169" s="11" t="n"/>
      <c r="K2169" s="11" t="n"/>
      <c r="L2169" s="11" t="n"/>
      <c r="M2169" s="11" t="n"/>
    </row>
    <row r="2170">
      <c r="A2170" s="11" t="n"/>
      <c r="B2170" s="11" t="n"/>
      <c r="C2170" s="11" t="n"/>
      <c r="D2170" s="11" t="n"/>
      <c r="E2170" s="11" t="n"/>
      <c r="F2170" s="11" t="n"/>
      <c r="G2170" s="11" t="n"/>
      <c r="H2170" s="11" t="n"/>
      <c r="I2170" s="11" t="n"/>
      <c r="J2170" s="11" t="n"/>
      <c r="K2170" s="11" t="n"/>
      <c r="L2170" s="11" t="n"/>
      <c r="M2170" s="11" t="n"/>
    </row>
    <row r="2171">
      <c r="A2171" s="11" t="n"/>
      <c r="B2171" s="11" t="n"/>
      <c r="C2171" s="11" t="n"/>
      <c r="D2171" s="11" t="n"/>
      <c r="E2171" s="11" t="n"/>
      <c r="F2171" s="11" t="n"/>
      <c r="G2171" s="11" t="n"/>
      <c r="H2171" s="11" t="n"/>
      <c r="I2171" s="11" t="n"/>
      <c r="J2171" s="11" t="n"/>
      <c r="K2171" s="11" t="n"/>
      <c r="L2171" s="11" t="n"/>
      <c r="M2171" s="11" t="n"/>
    </row>
    <row r="2172">
      <c r="A2172" s="11" t="n"/>
      <c r="B2172" s="11" t="n"/>
      <c r="C2172" s="11" t="n"/>
      <c r="D2172" s="11" t="n"/>
      <c r="E2172" s="11" t="n"/>
      <c r="F2172" s="11" t="n"/>
      <c r="G2172" s="11" t="n"/>
      <c r="H2172" s="11" t="n"/>
      <c r="I2172" s="11" t="n"/>
      <c r="J2172" s="11" t="n"/>
      <c r="K2172" s="11" t="n"/>
      <c r="L2172" s="11" t="n"/>
      <c r="M2172" s="11" t="n"/>
    </row>
    <row r="2173">
      <c r="A2173" s="11" t="n"/>
      <c r="B2173" s="11" t="n"/>
      <c r="C2173" s="11" t="n"/>
      <c r="D2173" s="11" t="n"/>
      <c r="E2173" s="11" t="n"/>
      <c r="F2173" s="11" t="n"/>
      <c r="G2173" s="11" t="n"/>
      <c r="H2173" s="11" t="n"/>
      <c r="I2173" s="11" t="n"/>
      <c r="J2173" s="11" t="n"/>
      <c r="K2173" s="11" t="n"/>
      <c r="L2173" s="11" t="n"/>
      <c r="M2173" s="11" t="n"/>
    </row>
    <row r="2174">
      <c r="A2174" s="11" t="n"/>
      <c r="B2174" s="11" t="n"/>
      <c r="C2174" s="11" t="n"/>
      <c r="D2174" s="11" t="n"/>
      <c r="E2174" s="11" t="n"/>
      <c r="F2174" s="11" t="n"/>
      <c r="G2174" s="11" t="n"/>
      <c r="H2174" s="11" t="n"/>
      <c r="I2174" s="11" t="n"/>
      <c r="J2174" s="11" t="n"/>
      <c r="K2174" s="11" t="n"/>
      <c r="L2174" s="11" t="n"/>
      <c r="M2174" s="11" t="n"/>
    </row>
    <row r="2175">
      <c r="A2175" s="11" t="n"/>
      <c r="B2175" s="11" t="n"/>
      <c r="C2175" s="11" t="n"/>
      <c r="D2175" s="11" t="n"/>
      <c r="E2175" s="11" t="n"/>
      <c r="F2175" s="11" t="n"/>
      <c r="G2175" s="11" t="n"/>
      <c r="H2175" s="11" t="n"/>
      <c r="I2175" s="11" t="n"/>
      <c r="J2175" s="11" t="n"/>
      <c r="K2175" s="11" t="n"/>
      <c r="L2175" s="11" t="n"/>
      <c r="M2175" s="11" t="n"/>
    </row>
    <row r="2176">
      <c r="A2176" s="11" t="n"/>
      <c r="B2176" s="11" t="n"/>
      <c r="C2176" s="11" t="n"/>
      <c r="D2176" s="11" t="n"/>
      <c r="E2176" s="11" t="n"/>
      <c r="F2176" s="11" t="n"/>
      <c r="G2176" s="11" t="n"/>
      <c r="H2176" s="11" t="n"/>
      <c r="I2176" s="11" t="n"/>
      <c r="J2176" s="11" t="n"/>
      <c r="K2176" s="11" t="n"/>
      <c r="L2176" s="11" t="n"/>
      <c r="M2176" s="11" t="n"/>
    </row>
    <row r="2177">
      <c r="A2177" s="11" t="n"/>
      <c r="B2177" s="11" t="n"/>
      <c r="C2177" s="11" t="n"/>
      <c r="D2177" s="11" t="n"/>
      <c r="E2177" s="11" t="n"/>
      <c r="F2177" s="11" t="n"/>
      <c r="G2177" s="11" t="n"/>
      <c r="H2177" s="11" t="n"/>
      <c r="I2177" s="11" t="n"/>
      <c r="J2177" s="11" t="n"/>
      <c r="K2177" s="11" t="n"/>
      <c r="L2177" s="11" t="n"/>
      <c r="M2177" s="11" t="n"/>
    </row>
    <row r="2178">
      <c r="A2178" s="11" t="n"/>
      <c r="B2178" s="11" t="n"/>
      <c r="C2178" s="11" t="n"/>
      <c r="D2178" s="11" t="n"/>
      <c r="E2178" s="11" t="n"/>
      <c r="F2178" s="11" t="n"/>
      <c r="G2178" s="11" t="n"/>
      <c r="H2178" s="11" t="n"/>
      <c r="I2178" s="11" t="n"/>
      <c r="J2178" s="11" t="n"/>
      <c r="K2178" s="11" t="n"/>
      <c r="L2178" s="11" t="n"/>
      <c r="M2178" s="11" t="n"/>
    </row>
    <row r="2179">
      <c r="A2179" s="11" t="n"/>
      <c r="B2179" s="11" t="n"/>
      <c r="C2179" s="11" t="n"/>
      <c r="D2179" s="11" t="n"/>
      <c r="E2179" s="11" t="n"/>
      <c r="F2179" s="11" t="n"/>
      <c r="G2179" s="11" t="n"/>
      <c r="H2179" s="11" t="n"/>
      <c r="I2179" s="11" t="n"/>
      <c r="J2179" s="11" t="n"/>
      <c r="K2179" s="11" t="n"/>
      <c r="L2179" s="11" t="n"/>
      <c r="M2179" s="11" t="n"/>
    </row>
    <row r="2180">
      <c r="A2180" s="11" t="n"/>
      <c r="B2180" s="11" t="n"/>
      <c r="C2180" s="11" t="n"/>
      <c r="D2180" s="11" t="n"/>
      <c r="E2180" s="11" t="n"/>
      <c r="F2180" s="11" t="n"/>
      <c r="G2180" s="11" t="n"/>
      <c r="H2180" s="11" t="n"/>
      <c r="I2180" s="11" t="n"/>
      <c r="J2180" s="11" t="n"/>
      <c r="K2180" s="11" t="n"/>
      <c r="L2180" s="11" t="n"/>
      <c r="M2180" s="11" t="n"/>
    </row>
    <row r="2181">
      <c r="A2181" s="11" t="n"/>
      <c r="B2181" s="11" t="n"/>
      <c r="C2181" s="11" t="n"/>
      <c r="D2181" s="11" t="n"/>
      <c r="E2181" s="11" t="n"/>
      <c r="F2181" s="11" t="n"/>
      <c r="G2181" s="11" t="n"/>
      <c r="H2181" s="11" t="n"/>
      <c r="I2181" s="11" t="n"/>
      <c r="J2181" s="11" t="n"/>
      <c r="K2181" s="11" t="n"/>
      <c r="L2181" s="11" t="n"/>
      <c r="M2181" s="11" t="n"/>
    </row>
    <row r="2182">
      <c r="A2182" s="11" t="n"/>
      <c r="B2182" s="11" t="n"/>
      <c r="C2182" s="11" t="n"/>
      <c r="D2182" s="11" t="n"/>
      <c r="E2182" s="11" t="n"/>
      <c r="F2182" s="11" t="n"/>
      <c r="G2182" s="11" t="n"/>
      <c r="H2182" s="11" t="n"/>
      <c r="I2182" s="11" t="n"/>
      <c r="J2182" s="11" t="n"/>
      <c r="K2182" s="11" t="n"/>
      <c r="L2182" s="11" t="n"/>
      <c r="M2182" s="11" t="n"/>
    </row>
    <row r="2183">
      <c r="A2183" s="11" t="n"/>
      <c r="B2183" s="11" t="n"/>
      <c r="C2183" s="11" t="n"/>
      <c r="D2183" s="11" t="n"/>
      <c r="E2183" s="11" t="n"/>
      <c r="F2183" s="11" t="n"/>
      <c r="G2183" s="11" t="n"/>
      <c r="H2183" s="11" t="n"/>
      <c r="I2183" s="11" t="n"/>
      <c r="J2183" s="11" t="n"/>
      <c r="K2183" s="11" t="n"/>
      <c r="L2183" s="11" t="n"/>
      <c r="M2183" s="11" t="n"/>
    </row>
    <row r="2184">
      <c r="A2184" s="11" t="n"/>
      <c r="B2184" s="11" t="n"/>
      <c r="C2184" s="11" t="n"/>
      <c r="D2184" s="11" t="n"/>
      <c r="E2184" s="11" t="n"/>
      <c r="F2184" s="11" t="n"/>
      <c r="G2184" s="11" t="n"/>
      <c r="H2184" s="11" t="n"/>
      <c r="I2184" s="11" t="n"/>
      <c r="J2184" s="11" t="n"/>
      <c r="K2184" s="11" t="n"/>
      <c r="L2184" s="11" t="n"/>
      <c r="M2184" s="11" t="n"/>
    </row>
    <row r="2185">
      <c r="A2185" s="11" t="n"/>
      <c r="B2185" s="11" t="n"/>
      <c r="C2185" s="11" t="n"/>
      <c r="D2185" s="11" t="n"/>
      <c r="E2185" s="11" t="n"/>
      <c r="F2185" s="11" t="n"/>
      <c r="G2185" s="11" t="n"/>
      <c r="H2185" s="11" t="n"/>
      <c r="I2185" s="11" t="n"/>
      <c r="J2185" s="11" t="n"/>
      <c r="K2185" s="11" t="n"/>
      <c r="L2185" s="11" t="n"/>
      <c r="M2185" s="11" t="n"/>
    </row>
    <row r="2186">
      <c r="A2186" s="11" t="n"/>
      <c r="B2186" s="11" t="n"/>
      <c r="C2186" s="11" t="n"/>
      <c r="D2186" s="11" t="n"/>
      <c r="E2186" s="11" t="n"/>
      <c r="F2186" s="11" t="n"/>
      <c r="G2186" s="11" t="n"/>
      <c r="H2186" s="11" t="n"/>
      <c r="I2186" s="11" t="n"/>
      <c r="J2186" s="11" t="n"/>
      <c r="K2186" s="11" t="n"/>
      <c r="L2186" s="11" t="n"/>
      <c r="M2186" s="11" t="n"/>
    </row>
    <row r="2187">
      <c r="A2187" s="11" t="n"/>
      <c r="B2187" s="11" t="n"/>
      <c r="C2187" s="11" t="n"/>
      <c r="D2187" s="11" t="n"/>
      <c r="E2187" s="11" t="n"/>
      <c r="F2187" s="11" t="n"/>
      <c r="G2187" s="11" t="n"/>
      <c r="H2187" s="11" t="n"/>
      <c r="I2187" s="11" t="n"/>
      <c r="J2187" s="11" t="n"/>
      <c r="K2187" s="11" t="n"/>
      <c r="L2187" s="11" t="n"/>
      <c r="M2187" s="11" t="n"/>
    </row>
    <row r="2188">
      <c r="A2188" s="11" t="n"/>
      <c r="B2188" s="11" t="n"/>
      <c r="C2188" s="11" t="n"/>
      <c r="D2188" s="11" t="n"/>
      <c r="E2188" s="11" t="n"/>
      <c r="F2188" s="11" t="n"/>
      <c r="G2188" s="11" t="n"/>
      <c r="H2188" s="11" t="n"/>
      <c r="I2188" s="11" t="n"/>
      <c r="J2188" s="11" t="n"/>
      <c r="K2188" s="11" t="n"/>
      <c r="L2188" s="11" t="n"/>
      <c r="M2188" s="11" t="n"/>
    </row>
    <row r="2189">
      <c r="A2189" s="11" t="n"/>
      <c r="B2189" s="11" t="n"/>
      <c r="C2189" s="11" t="n"/>
      <c r="D2189" s="11" t="n"/>
      <c r="E2189" s="11" t="n"/>
      <c r="F2189" s="11" t="n"/>
      <c r="G2189" s="11" t="n"/>
      <c r="H2189" s="11" t="n"/>
      <c r="I2189" s="11" t="n"/>
      <c r="J2189" s="11" t="n"/>
      <c r="K2189" s="11" t="n"/>
      <c r="L2189" s="11" t="n"/>
      <c r="M2189" s="11" t="n"/>
    </row>
    <row r="2190">
      <c r="A2190" s="11" t="n"/>
      <c r="B2190" s="11" t="n"/>
      <c r="C2190" s="11" t="n"/>
      <c r="D2190" s="11" t="n"/>
      <c r="E2190" s="11" t="n"/>
      <c r="F2190" s="11" t="n"/>
      <c r="G2190" s="11" t="n"/>
      <c r="H2190" s="11" t="n"/>
      <c r="I2190" s="11" t="n"/>
      <c r="J2190" s="11" t="n"/>
      <c r="K2190" s="11" t="n"/>
      <c r="L2190" s="11" t="n"/>
      <c r="M2190" s="11" t="n"/>
    </row>
    <row r="2191">
      <c r="A2191" s="11" t="n"/>
      <c r="B2191" s="11" t="n"/>
      <c r="C2191" s="11" t="n"/>
      <c r="D2191" s="11" t="n"/>
      <c r="E2191" s="11" t="n"/>
      <c r="F2191" s="11" t="n"/>
      <c r="G2191" s="11" t="n"/>
      <c r="H2191" s="11" t="n"/>
      <c r="I2191" s="11" t="n"/>
      <c r="J2191" s="11" t="n"/>
      <c r="K2191" s="11" t="n"/>
      <c r="L2191" s="11" t="n"/>
      <c r="M2191" s="11" t="n"/>
    </row>
    <row r="2192">
      <c r="A2192" s="11" t="n"/>
      <c r="B2192" s="11" t="n"/>
      <c r="C2192" s="11" t="n"/>
      <c r="D2192" s="11" t="n"/>
      <c r="E2192" s="11" t="n"/>
      <c r="F2192" s="11" t="n"/>
      <c r="G2192" s="11" t="n"/>
      <c r="H2192" s="11" t="n"/>
      <c r="I2192" s="11" t="n"/>
      <c r="J2192" s="11" t="n"/>
      <c r="K2192" s="11" t="n"/>
      <c r="L2192" s="11" t="n"/>
      <c r="M2192" s="11" t="n"/>
    </row>
    <row r="2193">
      <c r="A2193" s="11" t="n"/>
      <c r="B2193" s="11" t="n"/>
      <c r="C2193" s="11" t="n"/>
      <c r="D2193" s="11" t="n"/>
      <c r="E2193" s="11" t="n"/>
      <c r="F2193" s="11" t="n"/>
      <c r="G2193" s="11" t="n"/>
      <c r="H2193" s="11" t="n"/>
      <c r="I2193" s="11" t="n"/>
      <c r="J2193" s="11" t="n"/>
      <c r="K2193" s="11" t="n"/>
      <c r="L2193" s="11" t="n"/>
      <c r="M2193" s="11" t="n"/>
    </row>
    <row r="2194">
      <c r="A2194" s="11" t="n"/>
      <c r="B2194" s="11" t="n"/>
      <c r="C2194" s="11" t="n"/>
      <c r="D2194" s="11" t="n"/>
      <c r="E2194" s="11" t="n"/>
      <c r="F2194" s="11" t="n"/>
      <c r="G2194" s="11" t="n"/>
      <c r="H2194" s="11" t="n"/>
      <c r="I2194" s="11" t="n"/>
      <c r="J2194" s="11" t="n"/>
      <c r="K2194" s="11" t="n"/>
      <c r="L2194" s="11" t="n"/>
      <c r="M2194" s="11" t="n"/>
    </row>
    <row r="2195">
      <c r="A2195" s="11" t="n"/>
      <c r="B2195" s="11" t="n"/>
      <c r="C2195" s="11" t="n"/>
      <c r="D2195" s="11" t="n"/>
      <c r="E2195" s="11" t="n"/>
      <c r="F2195" s="11" t="n"/>
      <c r="G2195" s="11" t="n"/>
      <c r="H2195" s="11" t="n"/>
      <c r="I2195" s="11" t="n"/>
      <c r="J2195" s="11" t="n"/>
      <c r="K2195" s="11" t="n"/>
      <c r="L2195" s="11" t="n"/>
      <c r="M2195" s="11" t="n"/>
    </row>
    <row r="2196">
      <c r="A2196" s="11" t="n"/>
      <c r="B2196" s="11" t="n"/>
      <c r="C2196" s="11" t="n"/>
      <c r="D2196" s="11" t="n"/>
      <c r="E2196" s="11" t="n"/>
      <c r="F2196" s="11" t="n"/>
      <c r="G2196" s="11" t="n"/>
      <c r="H2196" s="11" t="n"/>
      <c r="I2196" s="11" t="n"/>
      <c r="J2196" s="11" t="n"/>
      <c r="K2196" s="11" t="n"/>
      <c r="L2196" s="11" t="n"/>
      <c r="M2196" s="11" t="n"/>
    </row>
    <row r="2197">
      <c r="A2197" s="11" t="n"/>
      <c r="B2197" s="11" t="n"/>
      <c r="C2197" s="11" t="n"/>
      <c r="D2197" s="11" t="n"/>
      <c r="E2197" s="11" t="n"/>
      <c r="F2197" s="11" t="n"/>
      <c r="G2197" s="11" t="n"/>
      <c r="H2197" s="11" t="n"/>
      <c r="I2197" s="11" t="n"/>
      <c r="J2197" s="11" t="n"/>
      <c r="K2197" s="11" t="n"/>
      <c r="L2197" s="11" t="n"/>
      <c r="M2197" s="11" t="n"/>
    </row>
    <row r="2198">
      <c r="A2198" s="11" t="n"/>
      <c r="B2198" s="11" t="n"/>
      <c r="C2198" s="11" t="n"/>
      <c r="D2198" s="11" t="n"/>
      <c r="E2198" s="11" t="n"/>
      <c r="F2198" s="11" t="n"/>
      <c r="G2198" s="11" t="n"/>
      <c r="H2198" s="11" t="n"/>
      <c r="I2198" s="11" t="n"/>
      <c r="J2198" s="11" t="n"/>
      <c r="K2198" s="11" t="n"/>
      <c r="L2198" s="11" t="n"/>
      <c r="M2198" s="11" t="n"/>
    </row>
    <row r="2199">
      <c r="A2199" s="11" t="n"/>
      <c r="B2199" s="11" t="n"/>
      <c r="C2199" s="11" t="n"/>
      <c r="D2199" s="11" t="n"/>
      <c r="E2199" s="11" t="n"/>
      <c r="F2199" s="11" t="n"/>
      <c r="G2199" s="11" t="n"/>
      <c r="H2199" s="11" t="n"/>
      <c r="I2199" s="11" t="n"/>
      <c r="J2199" s="11" t="n"/>
      <c r="K2199" s="11" t="n"/>
      <c r="L2199" s="11" t="n"/>
      <c r="M2199" s="11" t="n"/>
    </row>
    <row r="2200">
      <c r="A2200" s="11" t="n"/>
      <c r="B2200" s="11" t="n"/>
      <c r="C2200" s="11" t="n"/>
      <c r="D2200" s="11" t="n"/>
      <c r="E2200" s="11" t="n"/>
      <c r="F2200" s="11" t="n"/>
      <c r="G2200" s="11" t="n"/>
      <c r="H2200" s="11" t="n"/>
      <c r="I2200" s="11" t="n"/>
      <c r="J2200" s="11" t="n"/>
      <c r="K2200" s="11" t="n"/>
      <c r="L2200" s="11" t="n"/>
      <c r="M2200" s="11" t="n"/>
    </row>
    <row r="2201">
      <c r="A2201" s="11" t="n"/>
      <c r="B2201" s="11" t="n"/>
      <c r="C2201" s="11" t="n"/>
      <c r="D2201" s="11" t="n"/>
      <c r="E2201" s="11" t="n"/>
      <c r="F2201" s="11" t="n"/>
      <c r="G2201" s="11" t="n"/>
      <c r="H2201" s="11" t="n"/>
      <c r="I2201" s="11" t="n"/>
      <c r="J2201" s="11" t="n"/>
      <c r="K2201" s="11" t="n"/>
      <c r="L2201" s="11" t="n"/>
      <c r="M2201" s="11" t="n"/>
    </row>
    <row r="2202">
      <c r="A2202" s="11" t="n"/>
      <c r="B2202" s="11" t="n"/>
      <c r="C2202" s="11" t="n"/>
      <c r="D2202" s="11" t="n"/>
      <c r="E2202" s="11" t="n"/>
      <c r="F2202" s="11" t="n"/>
      <c r="G2202" s="11" t="n"/>
      <c r="H2202" s="11" t="n"/>
      <c r="I2202" s="11" t="n"/>
      <c r="J2202" s="11" t="n"/>
      <c r="K2202" s="11" t="n"/>
      <c r="L2202" s="11" t="n"/>
      <c r="M2202" s="11" t="n"/>
    </row>
    <row r="2203">
      <c r="A2203" s="11" t="n"/>
      <c r="B2203" s="11" t="n"/>
      <c r="C2203" s="11" t="n"/>
      <c r="D2203" s="11" t="n"/>
      <c r="E2203" s="11" t="n"/>
      <c r="F2203" s="11" t="n"/>
      <c r="G2203" s="11" t="n"/>
      <c r="H2203" s="11" t="n"/>
      <c r="I2203" s="11" t="n"/>
      <c r="J2203" s="11" t="n"/>
      <c r="K2203" s="11" t="n"/>
      <c r="L2203" s="11" t="n"/>
      <c r="M2203" s="11" t="n"/>
    </row>
    <row r="2204">
      <c r="A2204" s="11" t="n"/>
      <c r="B2204" s="11" t="n"/>
      <c r="C2204" s="11" t="n"/>
      <c r="D2204" s="11" t="n"/>
      <c r="E2204" s="11" t="n"/>
      <c r="F2204" s="11" t="n"/>
      <c r="G2204" s="11" t="n"/>
      <c r="H2204" s="11" t="n"/>
      <c r="I2204" s="11" t="n"/>
      <c r="J2204" s="11" t="n"/>
      <c r="K2204" s="11" t="n"/>
      <c r="L2204" s="11" t="n"/>
      <c r="M2204" s="11" t="n"/>
    </row>
    <row r="2205">
      <c r="A2205" s="11" t="n"/>
      <c r="B2205" s="11" t="n"/>
      <c r="C2205" s="11" t="n"/>
      <c r="D2205" s="11" t="n"/>
      <c r="E2205" s="11" t="n"/>
      <c r="F2205" s="11" t="n"/>
      <c r="G2205" s="11" t="n"/>
      <c r="H2205" s="11" t="n"/>
      <c r="I2205" s="11" t="n"/>
      <c r="J2205" s="11" t="n"/>
      <c r="K2205" s="11" t="n"/>
      <c r="L2205" s="11" t="n"/>
      <c r="M2205" s="11" t="n"/>
    </row>
    <row r="2206">
      <c r="A2206" s="11" t="n"/>
      <c r="B2206" s="11" t="n"/>
      <c r="C2206" s="11" t="n"/>
      <c r="D2206" s="11" t="n"/>
      <c r="E2206" s="11" t="n"/>
      <c r="F2206" s="11" t="n"/>
      <c r="G2206" s="11" t="n"/>
      <c r="H2206" s="11" t="n"/>
      <c r="I2206" s="11" t="n"/>
      <c r="J2206" s="11" t="n"/>
      <c r="K2206" s="11" t="n"/>
      <c r="L2206" s="11" t="n"/>
      <c r="M2206" s="11" t="n"/>
    </row>
    <row r="2207">
      <c r="A2207" s="11" t="n"/>
      <c r="B2207" s="11" t="n"/>
      <c r="C2207" s="11" t="n"/>
      <c r="D2207" s="11" t="n"/>
      <c r="E2207" s="11" t="n"/>
      <c r="F2207" s="11" t="n"/>
      <c r="G2207" s="11" t="n"/>
      <c r="H2207" s="11" t="n"/>
      <c r="I2207" s="11" t="n"/>
      <c r="J2207" s="11" t="n"/>
      <c r="K2207" s="11" t="n"/>
      <c r="L2207" s="11" t="n"/>
      <c r="M2207" s="11" t="n"/>
    </row>
    <row r="2208">
      <c r="A2208" s="11" t="n"/>
      <c r="B2208" s="11" t="n"/>
      <c r="C2208" s="11" t="n"/>
      <c r="D2208" s="11" t="n"/>
      <c r="E2208" s="11" t="n"/>
      <c r="F2208" s="11" t="n"/>
      <c r="G2208" s="11" t="n"/>
      <c r="H2208" s="11" t="n"/>
      <c r="I2208" s="11" t="n"/>
      <c r="J2208" s="11" t="n"/>
      <c r="K2208" s="11" t="n"/>
      <c r="L2208" s="11" t="n"/>
      <c r="M2208" s="11" t="n"/>
    </row>
    <row r="2209">
      <c r="A2209" s="11" t="n"/>
      <c r="B2209" s="11" t="n"/>
      <c r="C2209" s="11" t="n"/>
      <c r="D2209" s="11" t="n"/>
      <c r="E2209" s="11" t="n"/>
      <c r="F2209" s="11" t="n"/>
      <c r="G2209" s="11" t="n"/>
      <c r="H2209" s="11" t="n"/>
      <c r="I2209" s="11" t="n"/>
      <c r="J2209" s="11" t="n"/>
      <c r="K2209" s="11" t="n"/>
      <c r="L2209" s="11" t="n"/>
      <c r="M2209" s="11" t="n"/>
    </row>
    <row r="2210">
      <c r="A2210" s="11" t="n"/>
      <c r="B2210" s="11" t="n"/>
      <c r="C2210" s="11" t="n"/>
      <c r="D2210" s="11" t="n"/>
      <c r="E2210" s="11" t="n"/>
      <c r="F2210" s="11" t="n"/>
      <c r="G2210" s="11" t="n"/>
      <c r="H2210" s="11" t="n"/>
      <c r="I2210" s="11" t="n"/>
      <c r="J2210" s="11" t="n"/>
      <c r="K2210" s="11" t="n"/>
      <c r="L2210" s="11" t="n"/>
      <c r="M2210" s="11" t="n"/>
    </row>
    <row r="2211">
      <c r="A2211" s="11" t="n"/>
      <c r="B2211" s="11" t="n"/>
      <c r="C2211" s="11" t="n"/>
      <c r="D2211" s="11" t="n"/>
      <c r="E2211" s="11" t="n"/>
      <c r="F2211" s="11" t="n"/>
      <c r="G2211" s="11" t="n"/>
      <c r="H2211" s="11" t="n"/>
      <c r="I2211" s="11" t="n"/>
      <c r="J2211" s="11" t="n"/>
      <c r="K2211" s="11" t="n"/>
      <c r="L2211" s="11" t="n"/>
      <c r="M2211" s="11" t="n"/>
    </row>
    <row r="2212">
      <c r="A2212" s="11" t="n"/>
      <c r="B2212" s="11" t="n"/>
      <c r="C2212" s="11" t="n"/>
      <c r="D2212" s="11" t="n"/>
      <c r="E2212" s="11" t="n"/>
      <c r="F2212" s="11" t="n"/>
      <c r="G2212" s="11" t="n"/>
      <c r="H2212" s="11" t="n"/>
      <c r="I2212" s="11" t="n"/>
      <c r="J2212" s="11" t="n"/>
      <c r="K2212" s="11" t="n"/>
      <c r="L2212" s="11" t="n"/>
      <c r="M2212" s="11" t="n"/>
    </row>
    <row r="2213">
      <c r="A2213" s="11" t="n"/>
      <c r="B2213" s="11" t="n"/>
      <c r="C2213" s="11" t="n"/>
      <c r="D2213" s="11" t="n"/>
      <c r="E2213" s="11" t="n"/>
      <c r="F2213" s="11" t="n"/>
      <c r="G2213" s="11" t="n"/>
      <c r="H2213" s="11" t="n"/>
      <c r="I2213" s="11" t="n"/>
      <c r="J2213" s="11" t="n"/>
      <c r="K2213" s="11" t="n"/>
      <c r="L2213" s="11" t="n"/>
      <c r="M2213" s="11" t="n"/>
    </row>
    <row r="2214">
      <c r="A2214" s="11" t="n"/>
      <c r="B2214" s="11" t="n"/>
      <c r="C2214" s="11" t="n"/>
      <c r="D2214" s="11" t="n"/>
      <c r="E2214" s="11" t="n"/>
      <c r="F2214" s="11" t="n"/>
      <c r="G2214" s="11" t="n"/>
      <c r="H2214" s="11" t="n"/>
      <c r="I2214" s="11" t="n"/>
      <c r="J2214" s="11" t="n"/>
      <c r="K2214" s="11" t="n"/>
      <c r="L2214" s="11" t="n"/>
      <c r="M2214" s="11" t="n"/>
    </row>
    <row r="2215">
      <c r="A2215" s="11" t="n"/>
      <c r="B2215" s="11" t="n"/>
      <c r="C2215" s="11" t="n"/>
      <c r="D2215" s="11" t="n"/>
      <c r="E2215" s="11" t="n"/>
      <c r="F2215" s="11" t="n"/>
      <c r="G2215" s="11" t="n"/>
      <c r="H2215" s="11" t="n"/>
      <c r="I2215" s="11" t="n"/>
      <c r="J2215" s="11" t="n"/>
      <c r="K2215" s="11" t="n"/>
      <c r="L2215" s="11" t="n"/>
      <c r="M2215" s="11" t="n"/>
    </row>
    <row r="2216">
      <c r="A2216" s="11" t="n"/>
      <c r="B2216" s="11" t="n"/>
      <c r="C2216" s="11" t="n"/>
      <c r="D2216" s="11" t="n"/>
      <c r="E2216" s="11" t="n"/>
      <c r="F2216" s="11" t="n"/>
      <c r="G2216" s="11" t="n"/>
      <c r="H2216" s="11" t="n"/>
      <c r="I2216" s="11" t="n"/>
      <c r="J2216" s="11" t="n"/>
      <c r="K2216" s="11" t="n"/>
      <c r="L2216" s="11" t="n"/>
      <c r="M2216" s="11" t="n"/>
    </row>
    <row r="2217">
      <c r="A2217" s="11" t="n"/>
      <c r="B2217" s="11" t="n"/>
      <c r="C2217" s="11" t="n"/>
      <c r="D2217" s="11" t="n"/>
      <c r="E2217" s="11" t="n"/>
      <c r="F2217" s="11" t="n"/>
      <c r="G2217" s="11" t="n"/>
      <c r="H2217" s="11" t="n"/>
      <c r="I2217" s="11" t="n"/>
      <c r="J2217" s="11" t="n"/>
      <c r="K2217" s="11" t="n"/>
      <c r="L2217" s="11" t="n"/>
      <c r="M2217" s="11" t="n"/>
    </row>
    <row r="2218">
      <c r="A2218" s="11" t="n"/>
      <c r="B2218" s="11" t="n"/>
      <c r="C2218" s="11" t="n"/>
      <c r="D2218" s="11" t="n"/>
      <c r="E2218" s="11" t="n"/>
      <c r="F2218" s="11" t="n"/>
      <c r="G2218" s="11" t="n"/>
      <c r="H2218" s="11" t="n"/>
      <c r="I2218" s="11" t="n"/>
      <c r="J2218" s="11" t="n"/>
      <c r="K2218" s="11" t="n"/>
      <c r="L2218" s="11" t="n"/>
      <c r="M2218" s="11" t="n"/>
    </row>
    <row r="2219">
      <c r="A2219" s="11" t="n"/>
      <c r="B2219" s="11" t="n"/>
      <c r="C2219" s="11" t="n"/>
      <c r="D2219" s="11" t="n"/>
      <c r="E2219" s="11" t="n"/>
      <c r="F2219" s="11" t="n"/>
      <c r="G2219" s="11" t="n"/>
      <c r="H2219" s="11" t="n"/>
      <c r="I2219" s="11" t="n"/>
      <c r="J2219" s="11" t="n"/>
      <c r="K2219" s="11" t="n"/>
      <c r="L2219" s="11" t="n"/>
      <c r="M2219" s="11" t="n"/>
    </row>
    <row r="2220">
      <c r="A2220" s="11" t="n"/>
      <c r="B2220" s="11" t="n"/>
      <c r="C2220" s="11" t="n"/>
      <c r="D2220" s="11" t="n"/>
      <c r="E2220" s="11" t="n"/>
      <c r="F2220" s="11" t="n"/>
      <c r="G2220" s="11" t="n"/>
      <c r="H2220" s="11" t="n"/>
      <c r="I2220" s="11" t="n"/>
      <c r="J2220" s="11" t="n"/>
      <c r="K2220" s="11" t="n"/>
      <c r="L2220" s="11" t="n"/>
      <c r="M2220" s="11" t="n"/>
    </row>
    <row r="2221">
      <c r="A2221" s="11" t="n"/>
      <c r="B2221" s="11" t="n"/>
      <c r="C2221" s="11" t="n"/>
      <c r="D2221" s="11" t="n"/>
      <c r="E2221" s="11" t="n"/>
      <c r="F2221" s="11" t="n"/>
      <c r="G2221" s="11" t="n"/>
      <c r="H2221" s="11" t="n"/>
      <c r="I2221" s="11" t="n"/>
      <c r="J2221" s="11" t="n"/>
      <c r="K2221" s="11" t="n"/>
      <c r="L2221" s="11" t="n"/>
      <c r="M2221" s="11" t="n"/>
    </row>
    <row r="2222">
      <c r="A2222" s="11" t="n"/>
      <c r="B2222" s="11" t="n"/>
      <c r="C2222" s="11" t="n"/>
      <c r="D2222" s="11" t="n"/>
      <c r="E2222" s="11" t="n"/>
      <c r="F2222" s="11" t="n"/>
      <c r="G2222" s="11" t="n"/>
      <c r="H2222" s="11" t="n"/>
      <c r="I2222" s="11" t="n"/>
      <c r="J2222" s="11" t="n"/>
      <c r="K2222" s="11" t="n"/>
      <c r="L2222" s="11" t="n"/>
      <c r="M2222" s="11" t="n"/>
    </row>
    <row r="2223">
      <c r="A2223" s="11" t="n"/>
      <c r="B2223" s="11" t="n"/>
      <c r="C2223" s="11" t="n"/>
      <c r="D2223" s="11" t="n"/>
      <c r="E2223" s="11" t="n"/>
      <c r="F2223" s="11" t="n"/>
      <c r="G2223" s="11" t="n"/>
      <c r="H2223" s="11" t="n"/>
      <c r="I2223" s="11" t="n"/>
      <c r="J2223" s="11" t="n"/>
      <c r="K2223" s="11" t="n"/>
      <c r="L2223" s="11" t="n"/>
      <c r="M2223" s="11" t="n"/>
    </row>
    <row r="2224">
      <c r="A2224" s="11" t="n"/>
      <c r="B2224" s="11" t="n"/>
      <c r="C2224" s="11" t="n"/>
      <c r="D2224" s="11" t="n"/>
      <c r="E2224" s="11" t="n"/>
      <c r="F2224" s="11" t="n"/>
      <c r="G2224" s="11" t="n"/>
      <c r="H2224" s="11" t="n"/>
      <c r="I2224" s="11" t="n"/>
      <c r="J2224" s="11" t="n"/>
      <c r="K2224" s="11" t="n"/>
      <c r="L2224" s="11" t="n"/>
      <c r="M2224" s="11" t="n"/>
    </row>
    <row r="2225">
      <c r="A2225" s="11" t="n"/>
      <c r="B2225" s="11" t="n"/>
      <c r="C2225" s="11" t="n"/>
      <c r="D2225" s="11" t="n"/>
      <c r="E2225" s="11" t="n"/>
      <c r="F2225" s="11" t="n"/>
      <c r="G2225" s="11" t="n"/>
      <c r="H2225" s="11" t="n"/>
      <c r="I2225" s="11" t="n"/>
      <c r="J2225" s="11" t="n"/>
      <c r="K2225" s="11" t="n"/>
      <c r="L2225" s="11" t="n"/>
      <c r="M2225" s="11" t="n"/>
    </row>
    <row r="2226">
      <c r="A2226" s="11" t="n"/>
      <c r="B2226" s="11" t="n"/>
      <c r="C2226" s="11" t="n"/>
      <c r="D2226" s="11" t="n"/>
      <c r="E2226" s="11" t="n"/>
      <c r="F2226" s="11" t="n"/>
      <c r="G2226" s="11" t="n"/>
      <c r="H2226" s="11" t="n"/>
      <c r="I2226" s="11" t="n"/>
      <c r="J2226" s="11" t="n"/>
      <c r="K2226" s="11" t="n"/>
      <c r="L2226" s="11" t="n"/>
      <c r="M2226" s="11" t="n"/>
    </row>
    <row r="2227">
      <c r="A2227" s="11" t="n"/>
      <c r="B2227" s="11" t="n"/>
      <c r="C2227" s="11" t="n"/>
      <c r="D2227" s="11" t="n"/>
      <c r="E2227" s="11" t="n"/>
      <c r="F2227" s="11" t="n"/>
      <c r="G2227" s="11" t="n"/>
      <c r="H2227" s="11" t="n"/>
      <c r="I2227" s="11" t="n"/>
      <c r="J2227" s="11" t="n"/>
      <c r="K2227" s="11" t="n"/>
      <c r="L2227" s="11" t="n"/>
      <c r="M2227" s="11" t="n"/>
    </row>
    <row r="2228">
      <c r="A2228" s="11" t="n"/>
      <c r="B2228" s="11" t="n"/>
      <c r="C2228" s="11" t="n"/>
      <c r="D2228" s="11" t="n"/>
      <c r="E2228" s="11" t="n"/>
      <c r="F2228" s="11" t="n"/>
      <c r="G2228" s="11" t="n"/>
      <c r="H2228" s="11" t="n"/>
      <c r="I2228" s="11" t="n"/>
      <c r="J2228" s="11" t="n"/>
      <c r="K2228" s="11" t="n"/>
      <c r="L2228" s="11" t="n"/>
      <c r="M2228" s="11" t="n"/>
    </row>
    <row r="2229">
      <c r="A2229" s="11" t="n"/>
      <c r="B2229" s="11" t="n"/>
      <c r="C2229" s="11" t="n"/>
      <c r="D2229" s="11" t="n"/>
      <c r="E2229" s="11" t="n"/>
      <c r="F2229" s="11" t="n"/>
      <c r="G2229" s="11" t="n"/>
      <c r="H2229" s="11" t="n"/>
      <c r="I2229" s="11" t="n"/>
      <c r="J2229" s="11" t="n"/>
      <c r="K2229" s="11" t="n"/>
      <c r="L2229" s="11" t="n"/>
      <c r="M2229" s="11" t="n"/>
    </row>
    <row r="2230">
      <c r="A2230" s="11" t="n"/>
      <c r="B2230" s="11" t="n"/>
      <c r="C2230" s="11" t="n"/>
      <c r="D2230" s="11" t="n"/>
      <c r="E2230" s="11" t="n"/>
      <c r="F2230" s="11" t="n"/>
      <c r="G2230" s="11" t="n"/>
      <c r="H2230" s="11" t="n"/>
      <c r="I2230" s="11" t="n"/>
      <c r="J2230" s="11" t="n"/>
      <c r="K2230" s="11" t="n"/>
      <c r="L2230" s="11" t="n"/>
      <c r="M2230" s="11" t="n"/>
    </row>
    <row r="2231">
      <c r="A2231" s="11" t="n"/>
      <c r="B2231" s="11" t="n"/>
      <c r="C2231" s="11" t="n"/>
      <c r="D2231" s="11" t="n"/>
      <c r="E2231" s="11" t="n"/>
      <c r="F2231" s="11" t="n"/>
      <c r="G2231" s="11" t="n"/>
      <c r="H2231" s="11" t="n"/>
      <c r="I2231" s="11" t="n"/>
      <c r="J2231" s="11" t="n"/>
      <c r="K2231" s="11" t="n"/>
      <c r="L2231" s="11" t="n"/>
      <c r="M2231" s="11" t="n"/>
    </row>
    <row r="2232">
      <c r="A2232" s="11" t="n"/>
      <c r="B2232" s="11" t="n"/>
      <c r="C2232" s="11" t="n"/>
      <c r="D2232" s="11" t="n"/>
      <c r="E2232" s="11" t="n"/>
      <c r="F2232" s="11" t="n"/>
      <c r="G2232" s="11" t="n"/>
      <c r="H2232" s="11" t="n"/>
      <c r="I2232" s="11" t="n"/>
      <c r="J2232" s="11" t="n"/>
      <c r="K2232" s="11" t="n"/>
      <c r="L2232" s="11" t="n"/>
      <c r="M2232" s="11" t="n"/>
    </row>
    <row r="2233">
      <c r="A2233" s="11" t="n"/>
      <c r="B2233" s="11" t="n"/>
      <c r="C2233" s="11" t="n"/>
      <c r="D2233" s="11" t="n"/>
      <c r="E2233" s="11" t="n"/>
      <c r="F2233" s="11" t="n"/>
      <c r="G2233" s="11" t="n"/>
      <c r="H2233" s="11" t="n"/>
      <c r="I2233" s="11" t="n"/>
      <c r="J2233" s="11" t="n"/>
      <c r="K2233" s="11" t="n"/>
      <c r="L2233" s="11" t="n"/>
      <c r="M2233" s="11" t="n"/>
    </row>
    <row r="2234">
      <c r="A2234" s="11" t="n"/>
      <c r="B2234" s="11" t="n"/>
      <c r="C2234" s="11" t="n"/>
      <c r="D2234" s="11" t="n"/>
      <c r="E2234" s="11" t="n"/>
      <c r="F2234" s="11" t="n"/>
      <c r="G2234" s="11" t="n"/>
      <c r="H2234" s="11" t="n"/>
      <c r="I2234" s="11" t="n"/>
      <c r="J2234" s="11" t="n"/>
      <c r="K2234" s="11" t="n"/>
      <c r="L2234" s="11" t="n"/>
      <c r="M2234" s="11" t="n"/>
    </row>
    <row r="2235">
      <c r="A2235" s="11" t="n"/>
      <c r="B2235" s="11" t="n"/>
      <c r="C2235" s="11" t="n"/>
      <c r="D2235" s="11" t="n"/>
      <c r="E2235" s="11" t="n"/>
      <c r="F2235" s="11" t="n"/>
      <c r="G2235" s="11" t="n"/>
      <c r="H2235" s="11" t="n"/>
      <c r="I2235" s="11" t="n"/>
      <c r="J2235" s="11" t="n"/>
      <c r="K2235" s="11" t="n"/>
      <c r="L2235" s="11" t="n"/>
      <c r="M2235" s="11" t="n"/>
    </row>
    <row r="2236">
      <c r="A2236" s="11" t="n"/>
      <c r="B2236" s="11" t="n"/>
      <c r="C2236" s="11" t="n"/>
      <c r="D2236" s="11" t="n"/>
      <c r="E2236" s="11" t="n"/>
      <c r="F2236" s="11" t="n"/>
      <c r="G2236" s="11" t="n"/>
      <c r="H2236" s="11" t="n"/>
      <c r="I2236" s="11" t="n"/>
      <c r="J2236" s="11" t="n"/>
      <c r="K2236" s="11" t="n"/>
      <c r="L2236" s="11" t="n"/>
      <c r="M2236" s="11" t="n"/>
    </row>
    <row r="2237">
      <c r="A2237" s="11" t="n"/>
      <c r="B2237" s="11" t="n"/>
      <c r="C2237" s="11" t="n"/>
      <c r="D2237" s="11" t="n"/>
      <c r="E2237" s="11" t="n"/>
      <c r="F2237" s="11" t="n"/>
      <c r="G2237" s="11" t="n"/>
      <c r="H2237" s="11" t="n"/>
      <c r="I2237" s="11" t="n"/>
      <c r="J2237" s="11" t="n"/>
      <c r="K2237" s="11" t="n"/>
      <c r="L2237" s="11" t="n"/>
      <c r="M2237" s="11" t="n"/>
    </row>
    <row r="2238">
      <c r="A2238" s="11" t="n"/>
      <c r="B2238" s="11" t="n"/>
      <c r="C2238" s="11" t="n"/>
      <c r="D2238" s="11" t="n"/>
      <c r="E2238" s="11" t="n"/>
      <c r="F2238" s="11" t="n"/>
      <c r="G2238" s="11" t="n"/>
      <c r="H2238" s="11" t="n"/>
      <c r="I2238" s="11" t="n"/>
      <c r="J2238" s="11" t="n"/>
      <c r="K2238" s="11" t="n"/>
      <c r="L2238" s="11" t="n"/>
      <c r="M2238" s="11" t="n"/>
    </row>
    <row r="2239">
      <c r="A2239" s="11" t="n"/>
      <c r="B2239" s="11" t="n"/>
      <c r="C2239" s="11" t="n"/>
      <c r="D2239" s="11" t="n"/>
      <c r="E2239" s="11" t="n"/>
      <c r="F2239" s="11" t="n"/>
      <c r="G2239" s="11" t="n"/>
      <c r="H2239" s="11" t="n"/>
      <c r="I2239" s="11" t="n"/>
      <c r="J2239" s="11" t="n"/>
      <c r="K2239" s="11" t="n"/>
      <c r="L2239" s="11" t="n"/>
      <c r="M2239" s="11" t="n"/>
    </row>
    <row r="2240">
      <c r="A2240" s="11" t="n"/>
      <c r="B2240" s="11" t="n"/>
      <c r="C2240" s="11" t="n"/>
      <c r="D2240" s="11" t="n"/>
      <c r="E2240" s="11" t="n"/>
      <c r="F2240" s="11" t="n"/>
      <c r="G2240" s="11" t="n"/>
      <c r="H2240" s="11" t="n"/>
      <c r="I2240" s="11" t="n"/>
      <c r="J2240" s="11" t="n"/>
      <c r="K2240" s="11" t="n"/>
      <c r="L2240" s="11" t="n"/>
      <c r="M2240" s="11" t="n"/>
    </row>
    <row r="2241">
      <c r="A2241" s="11" t="n"/>
      <c r="B2241" s="11" t="n"/>
      <c r="C2241" s="11" t="n"/>
      <c r="D2241" s="11" t="n"/>
      <c r="E2241" s="11" t="n"/>
      <c r="F2241" s="11" t="n"/>
      <c r="G2241" s="11" t="n"/>
      <c r="H2241" s="11" t="n"/>
      <c r="I2241" s="11" t="n"/>
      <c r="J2241" s="11" t="n"/>
      <c r="K2241" s="11" t="n"/>
      <c r="L2241" s="11" t="n"/>
      <c r="M2241" s="11" t="n"/>
    </row>
    <row r="2242">
      <c r="A2242" s="11" t="n"/>
      <c r="B2242" s="11" t="n"/>
      <c r="C2242" s="11" t="n"/>
      <c r="D2242" s="11" t="n"/>
      <c r="E2242" s="11" t="n"/>
      <c r="F2242" s="11" t="n"/>
      <c r="G2242" s="11" t="n"/>
      <c r="H2242" s="11" t="n"/>
      <c r="I2242" s="11" t="n"/>
      <c r="J2242" s="11" t="n"/>
      <c r="K2242" s="11" t="n"/>
      <c r="L2242" s="11" t="n"/>
      <c r="M2242" s="11" t="n"/>
    </row>
    <row r="2243">
      <c r="A2243" s="11" t="n"/>
      <c r="B2243" s="11" t="n"/>
      <c r="C2243" s="11" t="n"/>
      <c r="D2243" s="11" t="n"/>
      <c r="E2243" s="11" t="n"/>
      <c r="F2243" s="11" t="n"/>
      <c r="G2243" s="11" t="n"/>
      <c r="H2243" s="11" t="n"/>
      <c r="I2243" s="11" t="n"/>
      <c r="J2243" s="11" t="n"/>
      <c r="K2243" s="11" t="n"/>
      <c r="L2243" s="11" t="n"/>
      <c r="M2243" s="11" t="n"/>
    </row>
    <row r="2244">
      <c r="A2244" s="11" t="n"/>
      <c r="B2244" s="11" t="n"/>
      <c r="C2244" s="11" t="n"/>
      <c r="D2244" s="11" t="n"/>
      <c r="E2244" s="11" t="n"/>
      <c r="F2244" s="11" t="n"/>
      <c r="G2244" s="11" t="n"/>
      <c r="H2244" s="11" t="n"/>
      <c r="I2244" s="11" t="n"/>
      <c r="J2244" s="11" t="n"/>
      <c r="K2244" s="11" t="n"/>
      <c r="L2244" s="11" t="n"/>
      <c r="M2244" s="11" t="n"/>
    </row>
    <row r="2245">
      <c r="A2245" s="11" t="n"/>
      <c r="B2245" s="11" t="n"/>
      <c r="C2245" s="11" t="n"/>
      <c r="D2245" s="11" t="n"/>
      <c r="E2245" s="11" t="n"/>
      <c r="F2245" s="11" t="n"/>
      <c r="G2245" s="11" t="n"/>
      <c r="H2245" s="11" t="n"/>
      <c r="I2245" s="11" t="n"/>
      <c r="J2245" s="11" t="n"/>
      <c r="K2245" s="11" t="n"/>
      <c r="L2245" s="11" t="n"/>
      <c r="M2245" s="11" t="n"/>
    </row>
    <row r="2246">
      <c r="A2246" s="11" t="n"/>
      <c r="B2246" s="11" t="n"/>
      <c r="C2246" s="11" t="n"/>
      <c r="D2246" s="11" t="n"/>
      <c r="E2246" s="11" t="n"/>
      <c r="F2246" s="11" t="n"/>
      <c r="G2246" s="11" t="n"/>
      <c r="H2246" s="11" t="n"/>
      <c r="I2246" s="11" t="n"/>
      <c r="J2246" s="11" t="n"/>
      <c r="K2246" s="11" t="n"/>
      <c r="L2246" s="11" t="n"/>
      <c r="M2246" s="11" t="n"/>
    </row>
    <row r="2247">
      <c r="A2247" s="11" t="n"/>
      <c r="B2247" s="11" t="n"/>
      <c r="C2247" s="11" t="n"/>
      <c r="D2247" s="11" t="n"/>
      <c r="E2247" s="11" t="n"/>
      <c r="F2247" s="11" t="n"/>
      <c r="G2247" s="11" t="n"/>
      <c r="H2247" s="11" t="n"/>
      <c r="I2247" s="11" t="n"/>
      <c r="J2247" s="11" t="n"/>
      <c r="K2247" s="11" t="n"/>
      <c r="L2247" s="11" t="n"/>
      <c r="M2247" s="11" t="n"/>
    </row>
    <row r="2248">
      <c r="A2248" s="11" t="n"/>
      <c r="B2248" s="11" t="n"/>
      <c r="C2248" s="11" t="n"/>
      <c r="D2248" s="11" t="n"/>
      <c r="E2248" s="11" t="n"/>
      <c r="F2248" s="11" t="n"/>
      <c r="G2248" s="11" t="n"/>
      <c r="H2248" s="11" t="n"/>
      <c r="I2248" s="11" t="n"/>
      <c r="J2248" s="11" t="n"/>
      <c r="K2248" s="11" t="n"/>
      <c r="L2248" s="11" t="n"/>
      <c r="M2248" s="11" t="n"/>
    </row>
    <row r="2249">
      <c r="A2249" s="11" t="n"/>
      <c r="B2249" s="11" t="n"/>
      <c r="C2249" s="11" t="n"/>
      <c r="D2249" s="11" t="n"/>
      <c r="E2249" s="11" t="n"/>
      <c r="F2249" s="11" t="n"/>
      <c r="G2249" s="11" t="n"/>
      <c r="H2249" s="11" t="n"/>
      <c r="I2249" s="11" t="n"/>
      <c r="J2249" s="11" t="n"/>
      <c r="K2249" s="11" t="n"/>
      <c r="L2249" s="11" t="n"/>
      <c r="M2249" s="11" t="n"/>
    </row>
    <row r="2250">
      <c r="A2250" s="11" t="n"/>
      <c r="B2250" s="11" t="n"/>
      <c r="C2250" s="11" t="n"/>
      <c r="D2250" s="11" t="n"/>
      <c r="E2250" s="11" t="n"/>
      <c r="F2250" s="11" t="n"/>
      <c r="G2250" s="11" t="n"/>
      <c r="H2250" s="11" t="n"/>
      <c r="I2250" s="11" t="n"/>
      <c r="J2250" s="11" t="n"/>
      <c r="K2250" s="11" t="n"/>
      <c r="L2250" s="11" t="n"/>
      <c r="M2250" s="11" t="n"/>
    </row>
    <row r="2251">
      <c r="A2251" s="11" t="n"/>
      <c r="B2251" s="11" t="n"/>
      <c r="C2251" s="11" t="n"/>
      <c r="D2251" s="11" t="n"/>
      <c r="E2251" s="11" t="n"/>
      <c r="F2251" s="11" t="n"/>
      <c r="G2251" s="11" t="n"/>
      <c r="H2251" s="11" t="n"/>
      <c r="I2251" s="11" t="n"/>
      <c r="J2251" s="11" t="n"/>
      <c r="K2251" s="11" t="n"/>
      <c r="L2251" s="11" t="n"/>
      <c r="M2251" s="11" t="n"/>
    </row>
    <row r="2252">
      <c r="A2252" s="11" t="n"/>
      <c r="B2252" s="11" t="n"/>
      <c r="C2252" s="11" t="n"/>
      <c r="D2252" s="11" t="n"/>
      <c r="E2252" s="11" t="n"/>
      <c r="F2252" s="11" t="n"/>
      <c r="G2252" s="11" t="n"/>
      <c r="H2252" s="11" t="n"/>
      <c r="I2252" s="11" t="n"/>
      <c r="J2252" s="11" t="n"/>
      <c r="K2252" s="11" t="n"/>
      <c r="L2252" s="11" t="n"/>
      <c r="M2252" s="11" t="n"/>
    </row>
    <row r="2253">
      <c r="A2253" s="11" t="n"/>
      <c r="B2253" s="11" t="n"/>
      <c r="C2253" s="11" t="n"/>
      <c r="D2253" s="11" t="n"/>
      <c r="E2253" s="11" t="n"/>
      <c r="F2253" s="11" t="n"/>
      <c r="G2253" s="11" t="n"/>
      <c r="H2253" s="11" t="n"/>
      <c r="I2253" s="11" t="n"/>
      <c r="J2253" s="11" t="n"/>
      <c r="K2253" s="11" t="n"/>
      <c r="L2253" s="11" t="n"/>
      <c r="M2253" s="11" t="n"/>
    </row>
    <row r="2254">
      <c r="A2254" s="11" t="n"/>
      <c r="B2254" s="11" t="n"/>
      <c r="C2254" s="11" t="n"/>
      <c r="D2254" s="11" t="n"/>
      <c r="E2254" s="11" t="n"/>
      <c r="F2254" s="11" t="n"/>
      <c r="G2254" s="11" t="n"/>
      <c r="H2254" s="11" t="n"/>
      <c r="I2254" s="11" t="n"/>
      <c r="J2254" s="11" t="n"/>
      <c r="K2254" s="11" t="n"/>
      <c r="L2254" s="11" t="n"/>
      <c r="M2254" s="11" t="n"/>
    </row>
    <row r="2255">
      <c r="A2255" s="11" t="n"/>
      <c r="B2255" s="11" t="n"/>
      <c r="C2255" s="11" t="n"/>
      <c r="D2255" s="11" t="n"/>
      <c r="E2255" s="11" t="n"/>
      <c r="F2255" s="11" t="n"/>
      <c r="G2255" s="11" t="n"/>
      <c r="H2255" s="11" t="n"/>
      <c r="I2255" s="11" t="n"/>
      <c r="J2255" s="11" t="n"/>
      <c r="K2255" s="11" t="n"/>
      <c r="L2255" s="11" t="n"/>
      <c r="M2255" s="11" t="n"/>
    </row>
    <row r="2256">
      <c r="A2256" s="11" t="n"/>
      <c r="B2256" s="11" t="n"/>
      <c r="C2256" s="11" t="n"/>
      <c r="D2256" s="11" t="n"/>
      <c r="E2256" s="11" t="n"/>
      <c r="F2256" s="11" t="n"/>
      <c r="G2256" s="11" t="n"/>
      <c r="H2256" s="11" t="n"/>
      <c r="I2256" s="11" t="n"/>
      <c r="J2256" s="11" t="n"/>
      <c r="K2256" s="11" t="n"/>
      <c r="L2256" s="11" t="n"/>
      <c r="M2256" s="11" t="n"/>
    </row>
    <row r="2257">
      <c r="A2257" s="11" t="n"/>
      <c r="B2257" s="11" t="n"/>
      <c r="C2257" s="11" t="n"/>
      <c r="D2257" s="11" t="n"/>
      <c r="E2257" s="11" t="n"/>
      <c r="F2257" s="11" t="n"/>
      <c r="G2257" s="11" t="n"/>
      <c r="H2257" s="11" t="n"/>
      <c r="I2257" s="11" t="n"/>
      <c r="J2257" s="11" t="n"/>
      <c r="K2257" s="11" t="n"/>
      <c r="L2257" s="11" t="n"/>
      <c r="M2257" s="11" t="n"/>
    </row>
    <row r="2258">
      <c r="A2258" s="11" t="n"/>
      <c r="B2258" s="11" t="n"/>
      <c r="C2258" s="11" t="n"/>
      <c r="D2258" s="11" t="n"/>
      <c r="E2258" s="11" t="n"/>
      <c r="F2258" s="11" t="n"/>
      <c r="G2258" s="11" t="n"/>
      <c r="H2258" s="11" t="n"/>
      <c r="I2258" s="11" t="n"/>
      <c r="J2258" s="11" t="n"/>
      <c r="K2258" s="11" t="n"/>
      <c r="L2258" s="11" t="n"/>
      <c r="M2258" s="11" t="n"/>
    </row>
    <row r="2259">
      <c r="A2259" s="11" t="n"/>
      <c r="B2259" s="11" t="n"/>
      <c r="C2259" s="11" t="n"/>
      <c r="D2259" s="11" t="n"/>
      <c r="E2259" s="11" t="n"/>
      <c r="F2259" s="11" t="n"/>
      <c r="G2259" s="11" t="n"/>
      <c r="H2259" s="11" t="n"/>
      <c r="I2259" s="11" t="n"/>
      <c r="J2259" s="11" t="n"/>
      <c r="K2259" s="11" t="n"/>
      <c r="L2259" s="11" t="n"/>
      <c r="M2259" s="11" t="n"/>
    </row>
    <row r="2260">
      <c r="A2260" s="11" t="n"/>
      <c r="B2260" s="11" t="n"/>
      <c r="C2260" s="11" t="n"/>
      <c r="D2260" s="11" t="n"/>
      <c r="E2260" s="11" t="n"/>
      <c r="F2260" s="11" t="n"/>
      <c r="G2260" s="11" t="n"/>
      <c r="H2260" s="11" t="n"/>
      <c r="I2260" s="11" t="n"/>
      <c r="J2260" s="11" t="n"/>
      <c r="K2260" s="11" t="n"/>
      <c r="L2260" s="11" t="n"/>
      <c r="M2260" s="11" t="n"/>
    </row>
    <row r="2261">
      <c r="A2261" s="11" t="n"/>
      <c r="B2261" s="11" t="n"/>
      <c r="C2261" s="11" t="n"/>
      <c r="D2261" s="11" t="n"/>
      <c r="E2261" s="11" t="n"/>
      <c r="F2261" s="11" t="n"/>
      <c r="G2261" s="11" t="n"/>
      <c r="H2261" s="11" t="n"/>
      <c r="I2261" s="11" t="n"/>
      <c r="J2261" s="11" t="n"/>
      <c r="K2261" s="11" t="n"/>
      <c r="L2261" s="11" t="n"/>
      <c r="M2261" s="11" t="n"/>
    </row>
    <row r="2262">
      <c r="A2262" s="11" t="n"/>
      <c r="B2262" s="11" t="n"/>
      <c r="C2262" s="11" t="n"/>
      <c r="D2262" s="11" t="n"/>
      <c r="E2262" s="11" t="n"/>
      <c r="F2262" s="11" t="n"/>
      <c r="G2262" s="11" t="n"/>
      <c r="H2262" s="11" t="n"/>
      <c r="I2262" s="11" t="n"/>
      <c r="J2262" s="11" t="n"/>
      <c r="K2262" s="11" t="n"/>
      <c r="L2262" s="11" t="n"/>
      <c r="M2262" s="11" t="n"/>
    </row>
    <row r="2263">
      <c r="A2263" s="11" t="n"/>
      <c r="B2263" s="11" t="n"/>
      <c r="C2263" s="11" t="n"/>
      <c r="D2263" s="11" t="n"/>
      <c r="E2263" s="11" t="n"/>
      <c r="F2263" s="11" t="n"/>
      <c r="G2263" s="11" t="n"/>
      <c r="H2263" s="11" t="n"/>
      <c r="I2263" s="11" t="n"/>
      <c r="J2263" s="11" t="n"/>
      <c r="K2263" s="11" t="n"/>
      <c r="L2263" s="11" t="n"/>
      <c r="M2263" s="11" t="n"/>
    </row>
    <row r="2264">
      <c r="A2264" s="11" t="n"/>
      <c r="B2264" s="11" t="n"/>
      <c r="C2264" s="11" t="n"/>
      <c r="D2264" s="11" t="n"/>
      <c r="E2264" s="11" t="n"/>
      <c r="F2264" s="11" t="n"/>
      <c r="G2264" s="11" t="n"/>
      <c r="H2264" s="11" t="n"/>
      <c r="I2264" s="11" t="n"/>
      <c r="J2264" s="11" t="n"/>
      <c r="K2264" s="11" t="n"/>
      <c r="L2264" s="11" t="n"/>
      <c r="M2264" s="11" t="n"/>
    </row>
    <row r="2265">
      <c r="A2265" s="11" t="n"/>
      <c r="B2265" s="11" t="n"/>
      <c r="C2265" s="11" t="n"/>
      <c r="D2265" s="11" t="n"/>
      <c r="E2265" s="11" t="n"/>
      <c r="F2265" s="11" t="n"/>
      <c r="G2265" s="11" t="n"/>
      <c r="H2265" s="11" t="n"/>
      <c r="I2265" s="11" t="n"/>
      <c r="J2265" s="11" t="n"/>
      <c r="K2265" s="11" t="n"/>
      <c r="L2265" s="11" t="n"/>
      <c r="M2265" s="11" t="n"/>
    </row>
    <row r="2266">
      <c r="A2266" s="11" t="n"/>
      <c r="B2266" s="11" t="n"/>
      <c r="C2266" s="11" t="n"/>
      <c r="D2266" s="11" t="n"/>
      <c r="E2266" s="11" t="n"/>
      <c r="F2266" s="11" t="n"/>
      <c r="G2266" s="11" t="n"/>
      <c r="H2266" s="11" t="n"/>
      <c r="I2266" s="11" t="n"/>
      <c r="J2266" s="11" t="n"/>
      <c r="K2266" s="11" t="n"/>
      <c r="L2266" s="11" t="n"/>
      <c r="M2266" s="11" t="n"/>
    </row>
    <row r="2267">
      <c r="A2267" s="11" t="n"/>
      <c r="B2267" s="11" t="n"/>
      <c r="C2267" s="11" t="n"/>
      <c r="D2267" s="11" t="n"/>
      <c r="E2267" s="11" t="n"/>
      <c r="F2267" s="11" t="n"/>
      <c r="G2267" s="11" t="n"/>
      <c r="H2267" s="11" t="n"/>
      <c r="I2267" s="11" t="n"/>
      <c r="J2267" s="11" t="n"/>
      <c r="K2267" s="11" t="n"/>
      <c r="L2267" s="11" t="n"/>
      <c r="M2267" s="11" t="n"/>
    </row>
    <row r="2268">
      <c r="A2268" s="11" t="n"/>
      <c r="B2268" s="11" t="n"/>
      <c r="C2268" s="11" t="n"/>
      <c r="D2268" s="11" t="n"/>
      <c r="E2268" s="11" t="n"/>
      <c r="F2268" s="11" t="n"/>
      <c r="G2268" s="11" t="n"/>
      <c r="H2268" s="11" t="n"/>
      <c r="I2268" s="11" t="n"/>
      <c r="J2268" s="11" t="n"/>
      <c r="K2268" s="11" t="n"/>
      <c r="L2268" s="11" t="n"/>
      <c r="M2268" s="11" t="n"/>
    </row>
    <row r="2269">
      <c r="A2269" s="11" t="n"/>
      <c r="B2269" s="11" t="n"/>
      <c r="C2269" s="11" t="n"/>
      <c r="D2269" s="11" t="n"/>
      <c r="E2269" s="11" t="n"/>
      <c r="F2269" s="11" t="n"/>
      <c r="G2269" s="11" t="n"/>
      <c r="H2269" s="11" t="n"/>
      <c r="I2269" s="11" t="n"/>
      <c r="J2269" s="11" t="n"/>
      <c r="K2269" s="11" t="n"/>
      <c r="L2269" s="11" t="n"/>
      <c r="M2269" s="11" t="n"/>
    </row>
    <row r="2270">
      <c r="A2270" s="11" t="n"/>
      <c r="B2270" s="11" t="n"/>
      <c r="C2270" s="11" t="n"/>
      <c r="D2270" s="11" t="n"/>
      <c r="E2270" s="11" t="n"/>
      <c r="F2270" s="11" t="n"/>
      <c r="G2270" s="11" t="n"/>
      <c r="H2270" s="11" t="n"/>
      <c r="I2270" s="11" t="n"/>
      <c r="J2270" s="11" t="n"/>
      <c r="K2270" s="11" t="n"/>
      <c r="L2270" s="11" t="n"/>
      <c r="M2270" s="11" t="n"/>
    </row>
    <row r="2271">
      <c r="A2271" s="11" t="n"/>
      <c r="B2271" s="11" t="n"/>
      <c r="C2271" s="11" t="n"/>
      <c r="D2271" s="11" t="n"/>
      <c r="E2271" s="11" t="n"/>
      <c r="F2271" s="11" t="n"/>
      <c r="G2271" s="11" t="n"/>
      <c r="H2271" s="11" t="n"/>
      <c r="I2271" s="11" t="n"/>
      <c r="J2271" s="11" t="n"/>
      <c r="K2271" s="11" t="n"/>
      <c r="L2271" s="11" t="n"/>
      <c r="M2271" s="11" t="n"/>
    </row>
    <row r="2272">
      <c r="A2272" s="11" t="n"/>
      <c r="B2272" s="11" t="n"/>
      <c r="C2272" s="11" t="n"/>
      <c r="D2272" s="11" t="n"/>
      <c r="E2272" s="11" t="n"/>
      <c r="F2272" s="11" t="n"/>
      <c r="G2272" s="11" t="n"/>
      <c r="H2272" s="11" t="n"/>
      <c r="I2272" s="11" t="n"/>
      <c r="J2272" s="11" t="n"/>
      <c r="K2272" s="11" t="n"/>
      <c r="L2272" s="11" t="n"/>
      <c r="M2272" s="11" t="n"/>
    </row>
    <row r="2273">
      <c r="A2273" s="11" t="n"/>
      <c r="B2273" s="11" t="n"/>
      <c r="C2273" s="11" t="n"/>
      <c r="D2273" s="11" t="n"/>
      <c r="E2273" s="11" t="n"/>
      <c r="F2273" s="11" t="n"/>
      <c r="G2273" s="11" t="n"/>
      <c r="H2273" s="11" t="n"/>
      <c r="I2273" s="11" t="n"/>
      <c r="J2273" s="11" t="n"/>
      <c r="K2273" s="11" t="n"/>
      <c r="L2273" s="11" t="n"/>
      <c r="M2273" s="11" t="n"/>
    </row>
    <row r="2274">
      <c r="A2274" s="11" t="n"/>
      <c r="B2274" s="11" t="n"/>
      <c r="C2274" s="11" t="n"/>
      <c r="D2274" s="11" t="n"/>
      <c r="E2274" s="11" t="n"/>
      <c r="F2274" s="11" t="n"/>
      <c r="G2274" s="11" t="n"/>
      <c r="H2274" s="11" t="n"/>
      <c r="I2274" s="11" t="n"/>
      <c r="J2274" s="11" t="n"/>
      <c r="K2274" s="11" t="n"/>
      <c r="L2274" s="11" t="n"/>
      <c r="M2274" s="11" t="n"/>
    </row>
    <row r="2275">
      <c r="A2275" s="11" t="n"/>
      <c r="B2275" s="11" t="n"/>
      <c r="C2275" s="11" t="n"/>
      <c r="D2275" s="11" t="n"/>
      <c r="E2275" s="11" t="n"/>
      <c r="F2275" s="11" t="n"/>
      <c r="G2275" s="11" t="n"/>
      <c r="H2275" s="11" t="n"/>
      <c r="I2275" s="11" t="n"/>
      <c r="J2275" s="11" t="n"/>
      <c r="K2275" s="11" t="n"/>
      <c r="L2275" s="11" t="n"/>
      <c r="M2275" s="11" t="n"/>
    </row>
    <row r="2276">
      <c r="A2276" s="11" t="n"/>
      <c r="B2276" s="11" t="n"/>
      <c r="C2276" s="11" t="n"/>
      <c r="D2276" s="11" t="n"/>
      <c r="E2276" s="11" t="n"/>
      <c r="F2276" s="11" t="n"/>
      <c r="G2276" s="11" t="n"/>
      <c r="H2276" s="11" t="n"/>
      <c r="I2276" s="11" t="n"/>
      <c r="J2276" s="11" t="n"/>
      <c r="K2276" s="11" t="n"/>
      <c r="L2276" s="11" t="n"/>
      <c r="M2276" s="11" t="n"/>
    </row>
    <row r="2277">
      <c r="A2277" s="11" t="n"/>
      <c r="B2277" s="11" t="n"/>
      <c r="C2277" s="11" t="n"/>
      <c r="D2277" s="11" t="n"/>
      <c r="E2277" s="11" t="n"/>
      <c r="F2277" s="11" t="n"/>
      <c r="G2277" s="11" t="n"/>
      <c r="H2277" s="11" t="n"/>
      <c r="I2277" s="11" t="n"/>
      <c r="J2277" s="11" t="n"/>
      <c r="K2277" s="11" t="n"/>
      <c r="L2277" s="11" t="n"/>
      <c r="M2277" s="11" t="n"/>
    </row>
    <row r="2278">
      <c r="A2278" s="11" t="n"/>
      <c r="B2278" s="11" t="n"/>
      <c r="C2278" s="11" t="n"/>
      <c r="D2278" s="11" t="n"/>
      <c r="E2278" s="11" t="n"/>
      <c r="F2278" s="11" t="n"/>
      <c r="G2278" s="11" t="n"/>
      <c r="H2278" s="11" t="n"/>
      <c r="I2278" s="11" t="n"/>
      <c r="J2278" s="11" t="n"/>
      <c r="K2278" s="11" t="n"/>
      <c r="L2278" s="11" t="n"/>
      <c r="M2278" s="11" t="n"/>
    </row>
    <row r="2279">
      <c r="A2279" s="11" t="n"/>
      <c r="B2279" s="11" t="n"/>
      <c r="C2279" s="11" t="n"/>
      <c r="D2279" s="11" t="n"/>
      <c r="E2279" s="11" t="n"/>
      <c r="F2279" s="11" t="n"/>
      <c r="G2279" s="11" t="n"/>
      <c r="H2279" s="11" t="n"/>
      <c r="I2279" s="11" t="n"/>
      <c r="J2279" s="11" t="n"/>
      <c r="K2279" s="11" t="n"/>
      <c r="L2279" s="11" t="n"/>
      <c r="M2279" s="11" t="n"/>
    </row>
    <row r="2280">
      <c r="A2280" s="11" t="n"/>
      <c r="B2280" s="11" t="n"/>
      <c r="C2280" s="11" t="n"/>
      <c r="D2280" s="11" t="n"/>
      <c r="E2280" s="11" t="n"/>
      <c r="F2280" s="11" t="n"/>
      <c r="G2280" s="11" t="n"/>
      <c r="H2280" s="11" t="n"/>
      <c r="I2280" s="11" t="n"/>
      <c r="J2280" s="11" t="n"/>
      <c r="K2280" s="11" t="n"/>
      <c r="L2280" s="11" t="n"/>
      <c r="M2280" s="11" t="n"/>
    </row>
    <row r="2281">
      <c r="A2281" s="11" t="n"/>
      <c r="B2281" s="11" t="n"/>
      <c r="C2281" s="11" t="n"/>
      <c r="D2281" s="11" t="n"/>
      <c r="E2281" s="11" t="n"/>
      <c r="F2281" s="11" t="n"/>
      <c r="G2281" s="11" t="n"/>
      <c r="H2281" s="11" t="n"/>
      <c r="I2281" s="11" t="n"/>
      <c r="J2281" s="11" t="n"/>
      <c r="K2281" s="11" t="n"/>
      <c r="L2281" s="11" t="n"/>
      <c r="M2281" s="11" t="n"/>
    </row>
    <row r="2282">
      <c r="A2282" s="11" t="n"/>
      <c r="B2282" s="11" t="n"/>
      <c r="C2282" s="11" t="n"/>
      <c r="D2282" s="11" t="n"/>
      <c r="E2282" s="11" t="n"/>
      <c r="F2282" s="11" t="n"/>
      <c r="G2282" s="11" t="n"/>
      <c r="H2282" s="11" t="n"/>
      <c r="I2282" s="11" t="n"/>
      <c r="J2282" s="11" t="n"/>
      <c r="K2282" s="11" t="n"/>
      <c r="L2282" s="11" t="n"/>
      <c r="M2282" s="11" t="n"/>
    </row>
    <row r="2283">
      <c r="A2283" s="11" t="n"/>
      <c r="B2283" s="11" t="n"/>
      <c r="C2283" s="11" t="n"/>
      <c r="D2283" s="11" t="n"/>
      <c r="E2283" s="11" t="n"/>
      <c r="F2283" s="11" t="n"/>
      <c r="G2283" s="11" t="n"/>
      <c r="H2283" s="11" t="n"/>
      <c r="I2283" s="11" t="n"/>
      <c r="J2283" s="11" t="n"/>
      <c r="K2283" s="11" t="n"/>
      <c r="L2283" s="11" t="n"/>
      <c r="M2283" s="11" t="n"/>
    </row>
    <row r="2284">
      <c r="A2284" s="11" t="n"/>
      <c r="B2284" s="11" t="n"/>
      <c r="C2284" s="11" t="n"/>
      <c r="D2284" s="11" t="n"/>
      <c r="E2284" s="11" t="n"/>
      <c r="F2284" s="11" t="n"/>
      <c r="G2284" s="11" t="n"/>
      <c r="H2284" s="11" t="n"/>
      <c r="I2284" s="11" t="n"/>
      <c r="J2284" s="11" t="n"/>
      <c r="K2284" s="11" t="n"/>
      <c r="L2284" s="11" t="n"/>
      <c r="M2284" s="11" t="n"/>
    </row>
    <row r="2285">
      <c r="A2285" s="11" t="n"/>
      <c r="B2285" s="11" t="n"/>
      <c r="C2285" s="11" t="n"/>
      <c r="D2285" s="11" t="n"/>
      <c r="E2285" s="11" t="n"/>
      <c r="F2285" s="11" t="n"/>
      <c r="G2285" s="11" t="n"/>
      <c r="H2285" s="11" t="n"/>
      <c r="I2285" s="11" t="n"/>
      <c r="J2285" s="11" t="n"/>
      <c r="K2285" s="11" t="n"/>
      <c r="L2285" s="11" t="n"/>
      <c r="M2285" s="11" t="n"/>
    </row>
    <row r="2286">
      <c r="A2286" s="11" t="n"/>
      <c r="B2286" s="11" t="n"/>
      <c r="C2286" s="11" t="n"/>
      <c r="D2286" s="11" t="n"/>
      <c r="E2286" s="11" t="n"/>
      <c r="F2286" s="11" t="n"/>
      <c r="G2286" s="11" t="n"/>
      <c r="H2286" s="11" t="n"/>
      <c r="I2286" s="11" t="n"/>
      <c r="J2286" s="11" t="n"/>
      <c r="K2286" s="11" t="n"/>
      <c r="L2286" s="11" t="n"/>
      <c r="M2286" s="11" t="n"/>
    </row>
    <row r="2287">
      <c r="A2287" s="11" t="n"/>
      <c r="B2287" s="11" t="n"/>
      <c r="C2287" s="11" t="n"/>
      <c r="D2287" s="11" t="n"/>
      <c r="E2287" s="11" t="n"/>
      <c r="F2287" s="11" t="n"/>
      <c r="G2287" s="11" t="n"/>
      <c r="H2287" s="11" t="n"/>
      <c r="I2287" s="11" t="n"/>
      <c r="J2287" s="11" t="n"/>
      <c r="K2287" s="11" t="n"/>
      <c r="L2287" s="11" t="n"/>
      <c r="M2287" s="11" t="n"/>
    </row>
    <row r="2288">
      <c r="A2288" s="11" t="n"/>
      <c r="B2288" s="11" t="n"/>
      <c r="C2288" s="11" t="n"/>
      <c r="D2288" s="11" t="n"/>
      <c r="E2288" s="11" t="n"/>
      <c r="F2288" s="11" t="n"/>
      <c r="G2288" s="11" t="n"/>
      <c r="H2288" s="11" t="n"/>
      <c r="I2288" s="11" t="n"/>
      <c r="J2288" s="11" t="n"/>
      <c r="K2288" s="11" t="n"/>
      <c r="L2288" s="11" t="n"/>
      <c r="M2288" s="11" t="n"/>
    </row>
    <row r="2289">
      <c r="A2289" s="11" t="n"/>
      <c r="B2289" s="11" t="n"/>
      <c r="C2289" s="11" t="n"/>
      <c r="D2289" s="11" t="n"/>
      <c r="E2289" s="11" t="n"/>
      <c r="F2289" s="11" t="n"/>
      <c r="G2289" s="11" t="n"/>
      <c r="H2289" s="11" t="n"/>
      <c r="I2289" s="11" t="n"/>
      <c r="J2289" s="11" t="n"/>
      <c r="K2289" s="11" t="n"/>
      <c r="L2289" s="11" t="n"/>
      <c r="M2289" s="11" t="n"/>
    </row>
    <row r="2290">
      <c r="A2290" s="11" t="n"/>
      <c r="B2290" s="11" t="n"/>
      <c r="C2290" s="11" t="n"/>
      <c r="D2290" s="11" t="n"/>
      <c r="E2290" s="11" t="n"/>
      <c r="F2290" s="11" t="n"/>
      <c r="G2290" s="11" t="n"/>
      <c r="H2290" s="11" t="n"/>
      <c r="I2290" s="11" t="n"/>
      <c r="J2290" s="11" t="n"/>
      <c r="K2290" s="11" t="n"/>
      <c r="L2290" s="11" t="n"/>
      <c r="M2290" s="11" t="n"/>
    </row>
    <row r="2291">
      <c r="A2291" s="11" t="n"/>
      <c r="B2291" s="11" t="n"/>
      <c r="C2291" s="11" t="n"/>
      <c r="D2291" s="11" t="n"/>
      <c r="E2291" s="11" t="n"/>
      <c r="F2291" s="11" t="n"/>
      <c r="G2291" s="11" t="n"/>
      <c r="H2291" s="11" t="n"/>
      <c r="I2291" s="11" t="n"/>
      <c r="J2291" s="11" t="n"/>
      <c r="K2291" s="11" t="n"/>
      <c r="L2291" s="11" t="n"/>
      <c r="M2291" s="11" t="n"/>
    </row>
    <row r="2292">
      <c r="A2292" s="11" t="n"/>
      <c r="B2292" s="11" t="n"/>
      <c r="C2292" s="11" t="n"/>
      <c r="D2292" s="11" t="n"/>
      <c r="E2292" s="11" t="n"/>
      <c r="F2292" s="11" t="n"/>
      <c r="G2292" s="11" t="n"/>
      <c r="H2292" s="11" t="n"/>
      <c r="I2292" s="11" t="n"/>
      <c r="J2292" s="11" t="n"/>
      <c r="K2292" s="11" t="n"/>
      <c r="L2292" s="11" t="n"/>
      <c r="M2292" s="11" t="n"/>
    </row>
    <row r="2293">
      <c r="A2293" s="11" t="n"/>
      <c r="B2293" s="11" t="n"/>
      <c r="C2293" s="11" t="n"/>
      <c r="D2293" s="11" t="n"/>
      <c r="E2293" s="11" t="n"/>
      <c r="F2293" s="11" t="n"/>
      <c r="G2293" s="11" t="n"/>
      <c r="H2293" s="11" t="n"/>
      <c r="I2293" s="11" t="n"/>
      <c r="J2293" s="11" t="n"/>
      <c r="K2293" s="11" t="n"/>
      <c r="L2293" s="11" t="n"/>
      <c r="M2293" s="11" t="n"/>
    </row>
    <row r="2294">
      <c r="A2294" s="11" t="n"/>
      <c r="B2294" s="11" t="n"/>
      <c r="C2294" s="11" t="n"/>
      <c r="D2294" s="11" t="n"/>
      <c r="E2294" s="11" t="n"/>
      <c r="F2294" s="11" t="n"/>
      <c r="G2294" s="11" t="n"/>
      <c r="H2294" s="11" t="n"/>
      <c r="I2294" s="11" t="n"/>
      <c r="J2294" s="11" t="n"/>
      <c r="K2294" s="11" t="n"/>
      <c r="L2294" s="11" t="n"/>
      <c r="M2294" s="11" t="n"/>
    </row>
    <row r="2295">
      <c r="A2295" s="11" t="n"/>
      <c r="B2295" s="11" t="n"/>
      <c r="C2295" s="11" t="n"/>
      <c r="D2295" s="11" t="n"/>
      <c r="E2295" s="11" t="n"/>
      <c r="F2295" s="11" t="n"/>
      <c r="G2295" s="11" t="n"/>
      <c r="H2295" s="11" t="n"/>
      <c r="I2295" s="11" t="n"/>
      <c r="J2295" s="11" t="n"/>
      <c r="K2295" s="11" t="n"/>
      <c r="L2295" s="11" t="n"/>
      <c r="M2295" s="11" t="n"/>
    </row>
    <row r="2296">
      <c r="A2296" s="11" t="n"/>
      <c r="B2296" s="11" t="n"/>
      <c r="C2296" s="11" t="n"/>
      <c r="D2296" s="11" t="n"/>
      <c r="E2296" s="11" t="n"/>
      <c r="F2296" s="11" t="n"/>
      <c r="G2296" s="11" t="n"/>
      <c r="H2296" s="11" t="n"/>
      <c r="I2296" s="11" t="n"/>
      <c r="J2296" s="11" t="n"/>
      <c r="K2296" s="11" t="n"/>
      <c r="L2296" s="11" t="n"/>
      <c r="M2296" s="11" t="n"/>
    </row>
    <row r="2297">
      <c r="A2297" s="11" t="n"/>
      <c r="B2297" s="11" t="n"/>
      <c r="C2297" s="11" t="n"/>
      <c r="D2297" s="11" t="n"/>
      <c r="E2297" s="11" t="n"/>
      <c r="F2297" s="11" t="n"/>
      <c r="G2297" s="11" t="n"/>
      <c r="H2297" s="11" t="n"/>
      <c r="I2297" s="11" t="n"/>
      <c r="J2297" s="11" t="n"/>
      <c r="K2297" s="11" t="n"/>
      <c r="L2297" s="11" t="n"/>
      <c r="M2297" s="11" t="n"/>
    </row>
    <row r="2298">
      <c r="A2298" s="11" t="n"/>
      <c r="B2298" s="11" t="n"/>
      <c r="C2298" s="11" t="n"/>
      <c r="D2298" s="11" t="n"/>
      <c r="E2298" s="11" t="n"/>
      <c r="F2298" s="11" t="n"/>
      <c r="G2298" s="11" t="n"/>
      <c r="H2298" s="11" t="n"/>
      <c r="I2298" s="11" t="n"/>
      <c r="J2298" s="11" t="n"/>
      <c r="K2298" s="11" t="n"/>
      <c r="L2298" s="11" t="n"/>
      <c r="M2298" s="11" t="n"/>
    </row>
    <row r="2299">
      <c r="A2299" s="11" t="n"/>
      <c r="B2299" s="11" t="n"/>
      <c r="C2299" s="11" t="n"/>
      <c r="D2299" s="11" t="n"/>
      <c r="E2299" s="11" t="n"/>
      <c r="F2299" s="11" t="n"/>
      <c r="G2299" s="11" t="n"/>
      <c r="H2299" s="11" t="n"/>
      <c r="I2299" s="11" t="n"/>
      <c r="J2299" s="11" t="n"/>
      <c r="K2299" s="11" t="n"/>
      <c r="L2299" s="11" t="n"/>
      <c r="M2299" s="11" t="n"/>
    </row>
    <row r="2300">
      <c r="A2300" s="11" t="n"/>
      <c r="B2300" s="11" t="n"/>
      <c r="C2300" s="11" t="n"/>
      <c r="D2300" s="11" t="n"/>
      <c r="E2300" s="11" t="n"/>
      <c r="F2300" s="11" t="n"/>
      <c r="G2300" s="11" t="n"/>
      <c r="H2300" s="11" t="n"/>
      <c r="I2300" s="11" t="n"/>
      <c r="J2300" s="11" t="n"/>
      <c r="K2300" s="11" t="n"/>
      <c r="L2300" s="11" t="n"/>
      <c r="M2300" s="11" t="n"/>
    </row>
    <row r="2301">
      <c r="A2301" s="11" t="n"/>
      <c r="B2301" s="11" t="n"/>
      <c r="C2301" s="11" t="n"/>
      <c r="D2301" s="11" t="n"/>
      <c r="E2301" s="11" t="n"/>
      <c r="F2301" s="11" t="n"/>
      <c r="G2301" s="11" t="n"/>
      <c r="H2301" s="11" t="n"/>
      <c r="I2301" s="11" t="n"/>
      <c r="J2301" s="11" t="n"/>
      <c r="K2301" s="11" t="n"/>
      <c r="L2301" s="11" t="n"/>
      <c r="M2301" s="11" t="n"/>
    </row>
    <row r="2302">
      <c r="A2302" s="11" t="n"/>
      <c r="B2302" s="11" t="n"/>
      <c r="C2302" s="11" t="n"/>
      <c r="D2302" s="11" t="n"/>
      <c r="E2302" s="11" t="n"/>
      <c r="F2302" s="11" t="n"/>
      <c r="G2302" s="11" t="n"/>
      <c r="H2302" s="11" t="n"/>
      <c r="I2302" s="11" t="n"/>
      <c r="J2302" s="11" t="n"/>
      <c r="K2302" s="11" t="n"/>
      <c r="L2302" s="11" t="n"/>
      <c r="M2302" s="11" t="n"/>
    </row>
    <row r="2303">
      <c r="A2303" s="11" t="n"/>
      <c r="B2303" s="11" t="n"/>
      <c r="C2303" s="11" t="n"/>
      <c r="D2303" s="11" t="n"/>
      <c r="E2303" s="11" t="n"/>
      <c r="F2303" s="11" t="n"/>
      <c r="G2303" s="11" t="n"/>
      <c r="H2303" s="11" t="n"/>
      <c r="I2303" s="11" t="n"/>
      <c r="J2303" s="11" t="n"/>
      <c r="K2303" s="11" t="n"/>
      <c r="L2303" s="11" t="n"/>
      <c r="M2303" s="11" t="n"/>
    </row>
    <row r="2304">
      <c r="A2304" s="11" t="n"/>
      <c r="B2304" s="11" t="n"/>
      <c r="C2304" s="11" t="n"/>
      <c r="D2304" s="11" t="n"/>
      <c r="E2304" s="11" t="n"/>
      <c r="F2304" s="11" t="n"/>
      <c r="G2304" s="11" t="n"/>
      <c r="H2304" s="11" t="n"/>
      <c r="I2304" s="11" t="n"/>
      <c r="J2304" s="11" t="n"/>
      <c r="K2304" s="11" t="n"/>
      <c r="L2304" s="11" t="n"/>
      <c r="M2304" s="11" t="n"/>
    </row>
    <row r="2305">
      <c r="A2305" s="11" t="n"/>
      <c r="B2305" s="11" t="n"/>
      <c r="C2305" s="11" t="n"/>
      <c r="D2305" s="11" t="n"/>
      <c r="E2305" s="11" t="n"/>
      <c r="F2305" s="11" t="n"/>
      <c r="G2305" s="11" t="n"/>
      <c r="H2305" s="11" t="n"/>
      <c r="I2305" s="11" t="n"/>
      <c r="J2305" s="11" t="n"/>
      <c r="K2305" s="11" t="n"/>
      <c r="L2305" s="11" t="n"/>
      <c r="M2305" s="11" t="n"/>
    </row>
    <row r="2306">
      <c r="A2306" s="11" t="n"/>
      <c r="B2306" s="11" t="n"/>
      <c r="C2306" s="11" t="n"/>
      <c r="D2306" s="11" t="n"/>
      <c r="E2306" s="11" t="n"/>
      <c r="F2306" s="11" t="n"/>
      <c r="G2306" s="11" t="n"/>
      <c r="H2306" s="11" t="n"/>
      <c r="I2306" s="11" t="n"/>
      <c r="J2306" s="11" t="n"/>
      <c r="K2306" s="11" t="n"/>
      <c r="L2306" s="11" t="n"/>
      <c r="M2306" s="11" t="n"/>
    </row>
    <row r="2307">
      <c r="A2307" s="11" t="n"/>
      <c r="B2307" s="11" t="n"/>
      <c r="C2307" s="11" t="n"/>
      <c r="D2307" s="11" t="n"/>
      <c r="E2307" s="11" t="n"/>
      <c r="F2307" s="11" t="n"/>
      <c r="G2307" s="11" t="n"/>
      <c r="H2307" s="11" t="n"/>
      <c r="I2307" s="11" t="n"/>
      <c r="J2307" s="11" t="n"/>
      <c r="K2307" s="11" t="n"/>
      <c r="L2307" s="11" t="n"/>
      <c r="M2307" s="11" t="n"/>
    </row>
    <row r="2308">
      <c r="A2308" s="11" t="n"/>
      <c r="B2308" s="11" t="n"/>
      <c r="C2308" s="11" t="n"/>
      <c r="D2308" s="11" t="n"/>
      <c r="E2308" s="11" t="n"/>
      <c r="F2308" s="11" t="n"/>
      <c r="G2308" s="11" t="n"/>
      <c r="H2308" s="11" t="n"/>
      <c r="I2308" s="11" t="n"/>
      <c r="J2308" s="11" t="n"/>
      <c r="K2308" s="11" t="n"/>
      <c r="L2308" s="11" t="n"/>
      <c r="M2308" s="11" t="n"/>
    </row>
    <row r="2309">
      <c r="A2309" s="11" t="n"/>
      <c r="B2309" s="11" t="n"/>
      <c r="C2309" s="11" t="n"/>
      <c r="D2309" s="11" t="n"/>
      <c r="E2309" s="11" t="n"/>
      <c r="F2309" s="11" t="n"/>
      <c r="G2309" s="11" t="n"/>
      <c r="H2309" s="11" t="n"/>
      <c r="I2309" s="11" t="n"/>
      <c r="J2309" s="11" t="n"/>
      <c r="K2309" s="11" t="n"/>
      <c r="L2309" s="11" t="n"/>
      <c r="M2309" s="11" t="n"/>
    </row>
    <row r="2310">
      <c r="A2310" s="11" t="n"/>
      <c r="B2310" s="11" t="n"/>
      <c r="C2310" s="11" t="n"/>
      <c r="D2310" s="11" t="n"/>
      <c r="E2310" s="11" t="n"/>
      <c r="F2310" s="11" t="n"/>
      <c r="G2310" s="11" t="n"/>
      <c r="H2310" s="11" t="n"/>
      <c r="I2310" s="11" t="n"/>
      <c r="J2310" s="11" t="n"/>
      <c r="K2310" s="11" t="n"/>
      <c r="L2310" s="11" t="n"/>
      <c r="M2310" s="11" t="n"/>
    </row>
    <row r="2311">
      <c r="A2311" s="11" t="n"/>
      <c r="B2311" s="11" t="n"/>
      <c r="C2311" s="11" t="n"/>
      <c r="D2311" s="11" t="n"/>
      <c r="E2311" s="11" t="n"/>
      <c r="F2311" s="11" t="n"/>
      <c r="G2311" s="11" t="n"/>
      <c r="H2311" s="11" t="n"/>
      <c r="I2311" s="11" t="n"/>
      <c r="J2311" s="11" t="n"/>
      <c r="K2311" s="11" t="n"/>
      <c r="L2311" s="11" t="n"/>
      <c r="M2311" s="11" t="n"/>
    </row>
    <row r="2312">
      <c r="A2312" s="11" t="n"/>
      <c r="B2312" s="11" t="n"/>
      <c r="C2312" s="11" t="n"/>
      <c r="D2312" s="11" t="n"/>
      <c r="E2312" s="11" t="n"/>
      <c r="F2312" s="11" t="n"/>
      <c r="G2312" s="11" t="n"/>
      <c r="H2312" s="11" t="n"/>
      <c r="I2312" s="11" t="n"/>
      <c r="J2312" s="11" t="n"/>
      <c r="K2312" s="11" t="n"/>
      <c r="L2312" s="11" t="n"/>
      <c r="M2312" s="11" t="n"/>
    </row>
    <row r="2313">
      <c r="A2313" s="11" t="n"/>
      <c r="B2313" s="11" t="n"/>
      <c r="C2313" s="11" t="n"/>
      <c r="D2313" s="11" t="n"/>
      <c r="E2313" s="11" t="n"/>
      <c r="F2313" s="11" t="n"/>
      <c r="G2313" s="11" t="n"/>
      <c r="H2313" s="11" t="n"/>
      <c r="I2313" s="11" t="n"/>
      <c r="J2313" s="11" t="n"/>
      <c r="K2313" s="11" t="n"/>
      <c r="L2313" s="11" t="n"/>
      <c r="M2313" s="11" t="n"/>
    </row>
    <row r="2314">
      <c r="A2314" s="11" t="n"/>
      <c r="B2314" s="11" t="n"/>
      <c r="C2314" s="11" t="n"/>
      <c r="D2314" s="11" t="n"/>
      <c r="E2314" s="11" t="n"/>
      <c r="F2314" s="11" t="n"/>
      <c r="G2314" s="11" t="n"/>
      <c r="H2314" s="11" t="n"/>
      <c r="I2314" s="11" t="n"/>
      <c r="J2314" s="11" t="n"/>
      <c r="K2314" s="11" t="n"/>
      <c r="L2314" s="11" t="n"/>
      <c r="M2314" s="11" t="n"/>
    </row>
    <row r="2315">
      <c r="A2315" s="11" t="n"/>
      <c r="B2315" s="11" t="n"/>
      <c r="C2315" s="11" t="n"/>
      <c r="D2315" s="11" t="n"/>
      <c r="E2315" s="11" t="n"/>
      <c r="F2315" s="11" t="n"/>
      <c r="G2315" s="11" t="n"/>
      <c r="H2315" s="11" t="n"/>
      <c r="I2315" s="11" t="n"/>
      <c r="J2315" s="11" t="n"/>
      <c r="K2315" s="11" t="n"/>
      <c r="L2315" s="11" t="n"/>
      <c r="M2315" s="11" t="n"/>
    </row>
    <row r="2316">
      <c r="A2316" s="11" t="n"/>
      <c r="B2316" s="11" t="n"/>
      <c r="C2316" s="11" t="n"/>
      <c r="D2316" s="11" t="n"/>
      <c r="E2316" s="11" t="n"/>
      <c r="F2316" s="11" t="n"/>
      <c r="G2316" s="11" t="n"/>
      <c r="H2316" s="11" t="n"/>
      <c r="I2316" s="11" t="n"/>
      <c r="J2316" s="11" t="n"/>
      <c r="K2316" s="11" t="n"/>
      <c r="L2316" s="11" t="n"/>
      <c r="M2316" s="11" t="n"/>
    </row>
    <row r="2317">
      <c r="A2317" s="11" t="n"/>
      <c r="B2317" s="11" t="n"/>
      <c r="C2317" s="11" t="n"/>
      <c r="D2317" s="11" t="n"/>
      <c r="E2317" s="11" t="n"/>
      <c r="F2317" s="11" t="n"/>
      <c r="G2317" s="11" t="n"/>
      <c r="H2317" s="11" t="n"/>
      <c r="I2317" s="11" t="n"/>
      <c r="J2317" s="11" t="n"/>
      <c r="K2317" s="11" t="n"/>
      <c r="L2317" s="11" t="n"/>
      <c r="M2317" s="11" t="n"/>
    </row>
    <row r="2318">
      <c r="A2318" s="11" t="n"/>
      <c r="B2318" s="11" t="n"/>
      <c r="C2318" s="11" t="n"/>
      <c r="D2318" s="11" t="n"/>
      <c r="E2318" s="11" t="n"/>
      <c r="F2318" s="11" t="n"/>
      <c r="G2318" s="11" t="n"/>
      <c r="H2318" s="11" t="n"/>
      <c r="I2318" s="11" t="n"/>
      <c r="J2318" s="11" t="n"/>
      <c r="K2318" s="11" t="n"/>
      <c r="L2318" s="11" t="n"/>
      <c r="M2318" s="11" t="n"/>
    </row>
    <row r="2319">
      <c r="A2319" s="11" t="n"/>
      <c r="B2319" s="11" t="n"/>
      <c r="C2319" s="11" t="n"/>
      <c r="D2319" s="11" t="n"/>
      <c r="E2319" s="11" t="n"/>
      <c r="F2319" s="11" t="n"/>
      <c r="G2319" s="11" t="n"/>
      <c r="H2319" s="11" t="n"/>
      <c r="I2319" s="11" t="n"/>
      <c r="J2319" s="11" t="n"/>
      <c r="K2319" s="11" t="n"/>
      <c r="L2319" s="11" t="n"/>
      <c r="M2319" s="11" t="n"/>
    </row>
    <row r="2320">
      <c r="A2320" s="11" t="n"/>
      <c r="B2320" s="11" t="n"/>
      <c r="C2320" s="11" t="n"/>
      <c r="D2320" s="11" t="n"/>
      <c r="E2320" s="11" t="n"/>
      <c r="F2320" s="11" t="n"/>
      <c r="G2320" s="11" t="n"/>
      <c r="H2320" s="11" t="n"/>
      <c r="I2320" s="11" t="n"/>
      <c r="J2320" s="11" t="n"/>
      <c r="K2320" s="11" t="n"/>
      <c r="L2320" s="11" t="n"/>
      <c r="M2320" s="11" t="n"/>
    </row>
    <row r="2321">
      <c r="A2321" s="11" t="n"/>
      <c r="B2321" s="11" t="n"/>
      <c r="C2321" s="11" t="n"/>
      <c r="D2321" s="11" t="n"/>
      <c r="E2321" s="11" t="n"/>
      <c r="F2321" s="11" t="n"/>
      <c r="G2321" s="11" t="n"/>
      <c r="H2321" s="11" t="n"/>
      <c r="I2321" s="11" t="n"/>
      <c r="J2321" s="11" t="n"/>
      <c r="K2321" s="11" t="n"/>
      <c r="L2321" s="11" t="n"/>
      <c r="M2321" s="11" t="n"/>
    </row>
    <row r="2322">
      <c r="A2322" s="11" t="n"/>
      <c r="B2322" s="11" t="n"/>
      <c r="C2322" s="11" t="n"/>
      <c r="D2322" s="11" t="n"/>
      <c r="E2322" s="11" t="n"/>
      <c r="F2322" s="11" t="n"/>
      <c r="G2322" s="11" t="n"/>
      <c r="H2322" s="11" t="n"/>
      <c r="I2322" s="11" t="n"/>
      <c r="J2322" s="11" t="n"/>
      <c r="K2322" s="11" t="n"/>
      <c r="L2322" s="11" t="n"/>
      <c r="M2322" s="11" t="n"/>
    </row>
    <row r="2323">
      <c r="A2323" s="11" t="n"/>
      <c r="B2323" s="11" t="n"/>
      <c r="C2323" s="11" t="n"/>
      <c r="D2323" s="11" t="n"/>
      <c r="E2323" s="11" t="n"/>
      <c r="F2323" s="11" t="n"/>
      <c r="G2323" s="11" t="n"/>
      <c r="H2323" s="11" t="n"/>
      <c r="I2323" s="11" t="n"/>
      <c r="J2323" s="11" t="n"/>
      <c r="K2323" s="11" t="n"/>
      <c r="L2323" s="11" t="n"/>
      <c r="M2323" s="11" t="n"/>
    </row>
    <row r="2324">
      <c r="A2324" s="11" t="n"/>
      <c r="B2324" s="11" t="n"/>
      <c r="C2324" s="11" t="n"/>
      <c r="D2324" s="11" t="n"/>
      <c r="E2324" s="11" t="n"/>
      <c r="F2324" s="11" t="n"/>
      <c r="G2324" s="11" t="n"/>
      <c r="H2324" s="11" t="n"/>
      <c r="I2324" s="11" t="n"/>
      <c r="J2324" s="11" t="n"/>
      <c r="K2324" s="11" t="n"/>
      <c r="L2324" s="11" t="n"/>
      <c r="M2324" s="11" t="n"/>
    </row>
    <row r="2325">
      <c r="A2325" s="11" t="n"/>
      <c r="B2325" s="11" t="n"/>
      <c r="C2325" s="11" t="n"/>
      <c r="D2325" s="11" t="n"/>
      <c r="E2325" s="11" t="n"/>
      <c r="F2325" s="11" t="n"/>
      <c r="G2325" s="11" t="n"/>
      <c r="H2325" s="11" t="n"/>
      <c r="I2325" s="11" t="n"/>
      <c r="J2325" s="11" t="n"/>
      <c r="K2325" s="11" t="n"/>
      <c r="L2325" s="11" t="n"/>
      <c r="M2325" s="11" t="n"/>
    </row>
    <row r="2326">
      <c r="A2326" s="11" t="n"/>
      <c r="B2326" s="11" t="n"/>
      <c r="C2326" s="11" t="n"/>
      <c r="D2326" s="11" t="n"/>
      <c r="E2326" s="11" t="n"/>
      <c r="F2326" s="11" t="n"/>
      <c r="G2326" s="11" t="n"/>
      <c r="H2326" s="11" t="n"/>
      <c r="I2326" s="11" t="n"/>
      <c r="J2326" s="11" t="n"/>
      <c r="K2326" s="11" t="n"/>
      <c r="L2326" s="11" t="n"/>
      <c r="M2326" s="11" t="n"/>
    </row>
    <row r="2327">
      <c r="A2327" s="11" t="n"/>
      <c r="B2327" s="11" t="n"/>
      <c r="C2327" s="11" t="n"/>
      <c r="D2327" s="11" t="n"/>
      <c r="E2327" s="11" t="n"/>
      <c r="F2327" s="11" t="n"/>
      <c r="G2327" s="11" t="n"/>
      <c r="H2327" s="11" t="n"/>
      <c r="I2327" s="11" t="n"/>
      <c r="J2327" s="11" t="n"/>
      <c r="K2327" s="11" t="n"/>
      <c r="L2327" s="11" t="n"/>
      <c r="M2327" s="11" t="n"/>
    </row>
    <row r="2328">
      <c r="A2328" s="11" t="n"/>
      <c r="B2328" s="11" t="n"/>
      <c r="C2328" s="11" t="n"/>
      <c r="D2328" s="11" t="n"/>
      <c r="E2328" s="11" t="n"/>
      <c r="F2328" s="11" t="n"/>
      <c r="G2328" s="11" t="n"/>
      <c r="H2328" s="11" t="n"/>
      <c r="I2328" s="11" t="n"/>
      <c r="J2328" s="11" t="n"/>
      <c r="K2328" s="11" t="n"/>
      <c r="L2328" s="11" t="n"/>
      <c r="M2328" s="11" t="n"/>
    </row>
    <row r="2329">
      <c r="A2329" s="11" t="n"/>
      <c r="B2329" s="11" t="n"/>
      <c r="C2329" s="11" t="n"/>
      <c r="D2329" s="11" t="n"/>
      <c r="E2329" s="11" t="n"/>
      <c r="F2329" s="11" t="n"/>
      <c r="G2329" s="11" t="n"/>
      <c r="H2329" s="11" t="n"/>
      <c r="I2329" s="11" t="n"/>
      <c r="J2329" s="11" t="n"/>
      <c r="K2329" s="11" t="n"/>
      <c r="L2329" s="11" t="n"/>
      <c r="M2329" s="11" t="n"/>
    </row>
    <row r="2330">
      <c r="A2330" s="11" t="n"/>
      <c r="B2330" s="11" t="n"/>
      <c r="C2330" s="11" t="n"/>
      <c r="D2330" s="11" t="n"/>
      <c r="E2330" s="11" t="n"/>
      <c r="F2330" s="11" t="n"/>
      <c r="G2330" s="11" t="n"/>
      <c r="H2330" s="11" t="n"/>
      <c r="I2330" s="11" t="n"/>
      <c r="J2330" s="11" t="n"/>
      <c r="K2330" s="11" t="n"/>
      <c r="L2330" s="11" t="n"/>
      <c r="M2330" s="11" t="n"/>
    </row>
    <row r="2331">
      <c r="A2331" s="11" t="n"/>
      <c r="B2331" s="11" t="n"/>
      <c r="C2331" s="11" t="n"/>
      <c r="D2331" s="11" t="n"/>
      <c r="E2331" s="11" t="n"/>
      <c r="F2331" s="11" t="n"/>
      <c r="G2331" s="11" t="n"/>
      <c r="H2331" s="11" t="n"/>
      <c r="I2331" s="11" t="n"/>
      <c r="J2331" s="11" t="n"/>
      <c r="K2331" s="11" t="n"/>
      <c r="L2331" s="11" t="n"/>
      <c r="M2331" s="11" t="n"/>
    </row>
    <row r="2332">
      <c r="A2332" s="11" t="n"/>
      <c r="B2332" s="11" t="n"/>
      <c r="C2332" s="11" t="n"/>
      <c r="D2332" s="11" t="n"/>
      <c r="E2332" s="11" t="n"/>
      <c r="F2332" s="11" t="n"/>
      <c r="G2332" s="11" t="n"/>
      <c r="H2332" s="11" t="n"/>
      <c r="I2332" s="11" t="n"/>
      <c r="J2332" s="11" t="n"/>
      <c r="K2332" s="11" t="n"/>
      <c r="L2332" s="11" t="n"/>
      <c r="M2332" s="11" t="n"/>
    </row>
    <row r="2333">
      <c r="A2333" s="11" t="n"/>
      <c r="B2333" s="11" t="n"/>
      <c r="C2333" s="11" t="n"/>
      <c r="D2333" s="11" t="n"/>
      <c r="E2333" s="11" t="n"/>
      <c r="F2333" s="11" t="n"/>
      <c r="G2333" s="11" t="n"/>
      <c r="H2333" s="11" t="n"/>
      <c r="I2333" s="11" t="n"/>
      <c r="J2333" s="11" t="n"/>
      <c r="K2333" s="11" t="n"/>
      <c r="L2333" s="11" t="n"/>
      <c r="M2333" s="11" t="n"/>
    </row>
    <row r="2334">
      <c r="A2334" s="11" t="n"/>
      <c r="B2334" s="11" t="n"/>
      <c r="C2334" s="11" t="n"/>
      <c r="D2334" s="11" t="n"/>
      <c r="E2334" s="11" t="n"/>
      <c r="F2334" s="11" t="n"/>
      <c r="G2334" s="11" t="n"/>
      <c r="H2334" s="11" t="n"/>
      <c r="I2334" s="11" t="n"/>
      <c r="J2334" s="11" t="n"/>
      <c r="K2334" s="11" t="n"/>
      <c r="L2334" s="11" t="n"/>
      <c r="M2334" s="11" t="n"/>
    </row>
    <row r="2335">
      <c r="A2335" s="11" t="n"/>
      <c r="B2335" s="11" t="n"/>
      <c r="C2335" s="11" t="n"/>
      <c r="D2335" s="11" t="n"/>
      <c r="E2335" s="11" t="n"/>
      <c r="F2335" s="11" t="n"/>
      <c r="G2335" s="11" t="n"/>
      <c r="H2335" s="11" t="n"/>
      <c r="I2335" s="11" t="n"/>
      <c r="J2335" s="11" t="n"/>
      <c r="K2335" s="11" t="n"/>
      <c r="L2335" s="11" t="n"/>
      <c r="M2335" s="11" t="n"/>
    </row>
    <row r="2336">
      <c r="A2336" s="11" t="n"/>
      <c r="B2336" s="11" t="n"/>
      <c r="C2336" s="11" t="n"/>
      <c r="D2336" s="11" t="n"/>
      <c r="E2336" s="11" t="n"/>
      <c r="F2336" s="11" t="n"/>
      <c r="G2336" s="11" t="n"/>
      <c r="H2336" s="11" t="n"/>
      <c r="I2336" s="11" t="n"/>
      <c r="J2336" s="11" t="n"/>
      <c r="K2336" s="11" t="n"/>
      <c r="L2336" s="11" t="n"/>
      <c r="M2336" s="11" t="n"/>
    </row>
    <row r="2337">
      <c r="A2337" s="11" t="n"/>
      <c r="B2337" s="11" t="n"/>
      <c r="C2337" s="11" t="n"/>
      <c r="D2337" s="11" t="n"/>
      <c r="E2337" s="11" t="n"/>
      <c r="F2337" s="11" t="n"/>
      <c r="G2337" s="11" t="n"/>
      <c r="H2337" s="11" t="n"/>
      <c r="I2337" s="11" t="n"/>
      <c r="J2337" s="11" t="n"/>
      <c r="K2337" s="11" t="n"/>
      <c r="L2337" s="11" t="n"/>
      <c r="M2337" s="11" t="n"/>
    </row>
    <row r="2338">
      <c r="A2338" s="11" t="n"/>
      <c r="B2338" s="11" t="n"/>
      <c r="C2338" s="11" t="n"/>
      <c r="D2338" s="11" t="n"/>
      <c r="E2338" s="11" t="n"/>
      <c r="F2338" s="11" t="n"/>
      <c r="G2338" s="11" t="n"/>
      <c r="H2338" s="11" t="n"/>
      <c r="I2338" s="11" t="n"/>
      <c r="J2338" s="11" t="n"/>
      <c r="K2338" s="11" t="n"/>
      <c r="L2338" s="11" t="n"/>
      <c r="M2338" s="11" t="n"/>
    </row>
    <row r="2339">
      <c r="A2339" s="11" t="n"/>
      <c r="B2339" s="11" t="n"/>
      <c r="C2339" s="11" t="n"/>
      <c r="D2339" s="11" t="n"/>
      <c r="E2339" s="11" t="n"/>
      <c r="F2339" s="11" t="n"/>
      <c r="G2339" s="11" t="n"/>
      <c r="H2339" s="11" t="n"/>
      <c r="I2339" s="11" t="n"/>
      <c r="J2339" s="11" t="n"/>
      <c r="K2339" s="11" t="n"/>
      <c r="L2339" s="11" t="n"/>
      <c r="M2339" s="11" t="n"/>
    </row>
    <row r="2340">
      <c r="A2340" s="11" t="n"/>
      <c r="B2340" s="11" t="n"/>
      <c r="C2340" s="11" t="n"/>
      <c r="D2340" s="11" t="n"/>
      <c r="E2340" s="11" t="n"/>
      <c r="F2340" s="11" t="n"/>
      <c r="G2340" s="11" t="n"/>
      <c r="H2340" s="11" t="n"/>
      <c r="I2340" s="11" t="n"/>
      <c r="J2340" s="11" t="n"/>
      <c r="K2340" s="11" t="n"/>
      <c r="L2340" s="11" t="n"/>
      <c r="M2340" s="11" t="n"/>
    </row>
    <row r="2341">
      <c r="A2341" s="11" t="n"/>
      <c r="B2341" s="11" t="n"/>
      <c r="C2341" s="11" t="n"/>
      <c r="D2341" s="11" t="n"/>
      <c r="E2341" s="11" t="n"/>
      <c r="F2341" s="11" t="n"/>
      <c r="G2341" s="11" t="n"/>
      <c r="H2341" s="11" t="n"/>
      <c r="I2341" s="11" t="n"/>
      <c r="J2341" s="11" t="n"/>
      <c r="K2341" s="11" t="n"/>
      <c r="L2341" s="11" t="n"/>
      <c r="M2341" s="11" t="n"/>
    </row>
    <row r="2342">
      <c r="A2342" s="11" t="n"/>
      <c r="B2342" s="11" t="n"/>
      <c r="C2342" s="11" t="n"/>
      <c r="D2342" s="11" t="n"/>
      <c r="E2342" s="11" t="n"/>
      <c r="F2342" s="11" t="n"/>
      <c r="G2342" s="11" t="n"/>
      <c r="H2342" s="11" t="n"/>
      <c r="I2342" s="11" t="n"/>
      <c r="J2342" s="11" t="n"/>
      <c r="K2342" s="11" t="n"/>
      <c r="L2342" s="11" t="n"/>
      <c r="M2342" s="11" t="n"/>
    </row>
    <row r="2343">
      <c r="A2343" s="11" t="n"/>
      <c r="B2343" s="11" t="n"/>
      <c r="C2343" s="11" t="n"/>
      <c r="D2343" s="11" t="n"/>
      <c r="E2343" s="11" t="n"/>
      <c r="F2343" s="11" t="n"/>
      <c r="G2343" s="11" t="n"/>
      <c r="H2343" s="11" t="n"/>
      <c r="I2343" s="11" t="n"/>
      <c r="J2343" s="11" t="n"/>
      <c r="K2343" s="11" t="n"/>
      <c r="L2343" s="11" t="n"/>
      <c r="M2343" s="11" t="n"/>
    </row>
    <row r="2344">
      <c r="A2344" s="11" t="n"/>
      <c r="B2344" s="11" t="n"/>
      <c r="C2344" s="11" t="n"/>
      <c r="D2344" s="11" t="n"/>
      <c r="E2344" s="11" t="n"/>
      <c r="F2344" s="11" t="n"/>
      <c r="G2344" s="11" t="n"/>
      <c r="H2344" s="11" t="n"/>
      <c r="I2344" s="11" t="n"/>
      <c r="J2344" s="11" t="n"/>
      <c r="K2344" s="11" t="n"/>
      <c r="L2344" s="11" t="n"/>
      <c r="M2344" s="11" t="n"/>
    </row>
    <row r="2345">
      <c r="A2345" s="11" t="n"/>
      <c r="B2345" s="11" t="n"/>
      <c r="C2345" s="11" t="n"/>
      <c r="D2345" s="11" t="n"/>
      <c r="E2345" s="11" t="n"/>
      <c r="F2345" s="11" t="n"/>
      <c r="G2345" s="11" t="n"/>
      <c r="H2345" s="11" t="n"/>
      <c r="I2345" s="11" t="n"/>
      <c r="J2345" s="11" t="n"/>
      <c r="K2345" s="11" t="n"/>
      <c r="L2345" s="11" t="n"/>
      <c r="M2345" s="11" t="n"/>
    </row>
    <row r="2346">
      <c r="A2346" s="11" t="n"/>
      <c r="B2346" s="11" t="n"/>
      <c r="C2346" s="11" t="n"/>
      <c r="D2346" s="11" t="n"/>
      <c r="E2346" s="11" t="n"/>
      <c r="F2346" s="11" t="n"/>
      <c r="G2346" s="11" t="n"/>
      <c r="H2346" s="11" t="n"/>
      <c r="I2346" s="11" t="n"/>
      <c r="J2346" s="11" t="n"/>
      <c r="K2346" s="11" t="n"/>
      <c r="L2346" s="11" t="n"/>
      <c r="M2346" s="11" t="n"/>
    </row>
    <row r="2347">
      <c r="A2347" s="11" t="n"/>
      <c r="B2347" s="11" t="n"/>
      <c r="C2347" s="11" t="n"/>
      <c r="D2347" s="11" t="n"/>
      <c r="E2347" s="11" t="n"/>
      <c r="F2347" s="11" t="n"/>
      <c r="G2347" s="11" t="n"/>
      <c r="H2347" s="11" t="n"/>
      <c r="I2347" s="11" t="n"/>
      <c r="J2347" s="11" t="n"/>
      <c r="K2347" s="11" t="n"/>
      <c r="L2347" s="11" t="n"/>
      <c r="M2347" s="11" t="n"/>
    </row>
    <row r="2348">
      <c r="A2348" s="11" t="n"/>
      <c r="B2348" s="11" t="n"/>
      <c r="C2348" s="11" t="n"/>
      <c r="D2348" s="11" t="n"/>
      <c r="E2348" s="11" t="n"/>
      <c r="F2348" s="11" t="n"/>
      <c r="G2348" s="11" t="n"/>
      <c r="H2348" s="11" t="n"/>
      <c r="I2348" s="11" t="n"/>
      <c r="J2348" s="11" t="n"/>
      <c r="K2348" s="11" t="n"/>
      <c r="L2348" s="11" t="n"/>
      <c r="M2348" s="11" t="n"/>
    </row>
    <row r="2349">
      <c r="A2349" s="11" t="n"/>
      <c r="B2349" s="11" t="n"/>
      <c r="C2349" s="11" t="n"/>
      <c r="D2349" s="11" t="n"/>
      <c r="E2349" s="11" t="n"/>
      <c r="F2349" s="11" t="n"/>
      <c r="G2349" s="11" t="n"/>
      <c r="H2349" s="11" t="n"/>
      <c r="I2349" s="11" t="n"/>
      <c r="J2349" s="11" t="n"/>
      <c r="K2349" s="11" t="n"/>
      <c r="L2349" s="11" t="n"/>
      <c r="M2349" s="11" t="n"/>
    </row>
    <row r="2350">
      <c r="A2350" s="11" t="n"/>
      <c r="B2350" s="11" t="n"/>
      <c r="C2350" s="11" t="n"/>
      <c r="D2350" s="11" t="n"/>
      <c r="E2350" s="11" t="n"/>
      <c r="F2350" s="11" t="n"/>
      <c r="G2350" s="11" t="n"/>
      <c r="H2350" s="11" t="n"/>
      <c r="I2350" s="11" t="n"/>
      <c r="J2350" s="11" t="n"/>
      <c r="K2350" s="11" t="n"/>
      <c r="L2350" s="11" t="n"/>
      <c r="M2350" s="11" t="n"/>
    </row>
    <row r="2351">
      <c r="A2351" s="11" t="n"/>
      <c r="B2351" s="11" t="n"/>
      <c r="C2351" s="11" t="n"/>
      <c r="D2351" s="11" t="n"/>
      <c r="E2351" s="11" t="n"/>
      <c r="F2351" s="11" t="n"/>
      <c r="G2351" s="11" t="n"/>
      <c r="H2351" s="11" t="n"/>
      <c r="I2351" s="11" t="n"/>
      <c r="J2351" s="11" t="n"/>
      <c r="K2351" s="11" t="n"/>
      <c r="L2351" s="11" t="n"/>
      <c r="M2351" s="11" t="n"/>
    </row>
    <row r="2352">
      <c r="A2352" s="11" t="n"/>
      <c r="B2352" s="11" t="n"/>
      <c r="C2352" s="11" t="n"/>
      <c r="D2352" s="11" t="n"/>
      <c r="E2352" s="11" t="n"/>
      <c r="F2352" s="11" t="n"/>
      <c r="G2352" s="11" t="n"/>
      <c r="H2352" s="11" t="n"/>
      <c r="I2352" s="11" t="n"/>
      <c r="J2352" s="11" t="n"/>
      <c r="K2352" s="11" t="n"/>
      <c r="L2352" s="11" t="n"/>
      <c r="M2352" s="11" t="n"/>
    </row>
    <row r="2353">
      <c r="A2353" s="11" t="n"/>
      <c r="B2353" s="11" t="n"/>
      <c r="C2353" s="11" t="n"/>
      <c r="D2353" s="11" t="n"/>
      <c r="E2353" s="11" t="n"/>
      <c r="F2353" s="11" t="n"/>
      <c r="G2353" s="11" t="n"/>
      <c r="H2353" s="11" t="n"/>
      <c r="I2353" s="11" t="n"/>
      <c r="J2353" s="11" t="n"/>
      <c r="K2353" s="11" t="n"/>
      <c r="L2353" s="11" t="n"/>
      <c r="M2353" s="11" t="n"/>
    </row>
    <row r="2354">
      <c r="A2354" s="11" t="n"/>
      <c r="B2354" s="11" t="n"/>
      <c r="C2354" s="11" t="n"/>
      <c r="D2354" s="11" t="n"/>
      <c r="E2354" s="11" t="n"/>
      <c r="F2354" s="11" t="n"/>
      <c r="G2354" s="11" t="n"/>
      <c r="H2354" s="11" t="n"/>
      <c r="I2354" s="11" t="n"/>
      <c r="J2354" s="11" t="n"/>
      <c r="K2354" s="11" t="n"/>
      <c r="L2354" s="11" t="n"/>
      <c r="M2354" s="11" t="n"/>
    </row>
    <row r="2355">
      <c r="A2355" s="11" t="n"/>
      <c r="B2355" s="11" t="n"/>
      <c r="C2355" s="11" t="n"/>
      <c r="D2355" s="11" t="n"/>
      <c r="E2355" s="11" t="n"/>
      <c r="F2355" s="11" t="n"/>
      <c r="G2355" s="11" t="n"/>
      <c r="H2355" s="11" t="n"/>
      <c r="I2355" s="11" t="n"/>
      <c r="J2355" s="11" t="n"/>
      <c r="K2355" s="11" t="n"/>
      <c r="L2355" s="11" t="n"/>
      <c r="M2355" s="11" t="n"/>
    </row>
    <row r="2356">
      <c r="A2356" s="11" t="n"/>
      <c r="B2356" s="11" t="n"/>
      <c r="C2356" s="11" t="n"/>
      <c r="D2356" s="11" t="n"/>
      <c r="E2356" s="11" t="n"/>
      <c r="F2356" s="11" t="n"/>
      <c r="G2356" s="11" t="n"/>
      <c r="H2356" s="11" t="n"/>
      <c r="I2356" s="11" t="n"/>
      <c r="J2356" s="11" t="n"/>
      <c r="K2356" s="11" t="n"/>
      <c r="L2356" s="11" t="n"/>
      <c r="M2356" s="11" t="n"/>
    </row>
    <row r="2357">
      <c r="A2357" s="11" t="n"/>
      <c r="B2357" s="11" t="n"/>
      <c r="C2357" s="11" t="n"/>
      <c r="D2357" s="11" t="n"/>
      <c r="E2357" s="11" t="n"/>
      <c r="F2357" s="11" t="n"/>
      <c r="G2357" s="11" t="n"/>
      <c r="H2357" s="11" t="n"/>
      <c r="I2357" s="11" t="n"/>
      <c r="J2357" s="11" t="n"/>
      <c r="K2357" s="11" t="n"/>
      <c r="L2357" s="11" t="n"/>
      <c r="M2357" s="11" t="n"/>
    </row>
    <row r="2358">
      <c r="A2358" s="11" t="n"/>
      <c r="B2358" s="11" t="n"/>
      <c r="C2358" s="11" t="n"/>
      <c r="D2358" s="11" t="n"/>
      <c r="E2358" s="11" t="n"/>
      <c r="F2358" s="11" t="n"/>
      <c r="G2358" s="11" t="n"/>
      <c r="H2358" s="11" t="n"/>
      <c r="I2358" s="11" t="n"/>
      <c r="J2358" s="11" t="n"/>
      <c r="K2358" s="11" t="n"/>
      <c r="L2358" s="11" t="n"/>
      <c r="M2358" s="11" t="n"/>
    </row>
    <row r="2359">
      <c r="A2359" s="11" t="n"/>
      <c r="B2359" s="11" t="n"/>
      <c r="C2359" s="11" t="n"/>
      <c r="D2359" s="11" t="n"/>
      <c r="E2359" s="11" t="n"/>
      <c r="F2359" s="11" t="n"/>
      <c r="G2359" s="11" t="n"/>
      <c r="H2359" s="11" t="n"/>
      <c r="I2359" s="11" t="n"/>
      <c r="J2359" s="11" t="n"/>
      <c r="K2359" s="11" t="n"/>
      <c r="L2359" s="11" t="n"/>
      <c r="M2359" s="11" t="n"/>
    </row>
    <row r="2360">
      <c r="A2360" s="11" t="n"/>
      <c r="B2360" s="11" t="n"/>
      <c r="C2360" s="11" t="n"/>
      <c r="D2360" s="11" t="n"/>
      <c r="E2360" s="11" t="n"/>
      <c r="F2360" s="11" t="n"/>
      <c r="G2360" s="11" t="n"/>
      <c r="H2360" s="11" t="n"/>
      <c r="I2360" s="11" t="n"/>
      <c r="J2360" s="11" t="n"/>
      <c r="K2360" s="11" t="n"/>
      <c r="L2360" s="11" t="n"/>
      <c r="M2360" s="11" t="n"/>
    </row>
    <row r="2361">
      <c r="A2361" s="11" t="n"/>
      <c r="B2361" s="11" t="n"/>
      <c r="C2361" s="11" t="n"/>
      <c r="D2361" s="11" t="n"/>
      <c r="E2361" s="11" t="n"/>
      <c r="F2361" s="11" t="n"/>
      <c r="G2361" s="11" t="n"/>
      <c r="H2361" s="11" t="n"/>
      <c r="I2361" s="11" t="n"/>
      <c r="J2361" s="11" t="n"/>
      <c r="K2361" s="11" t="n"/>
      <c r="L2361" s="11" t="n"/>
      <c r="M2361" s="11" t="n"/>
    </row>
    <row r="2362">
      <c r="A2362" s="11" t="n"/>
      <c r="B2362" s="11" t="n"/>
      <c r="C2362" s="11" t="n"/>
      <c r="D2362" s="11" t="n"/>
      <c r="E2362" s="11" t="n"/>
      <c r="F2362" s="11" t="n"/>
      <c r="G2362" s="11" t="n"/>
      <c r="H2362" s="11" t="n"/>
      <c r="I2362" s="11" t="n"/>
      <c r="J2362" s="11" t="n"/>
      <c r="K2362" s="11" t="n"/>
      <c r="L2362" s="11" t="n"/>
      <c r="M2362" s="11" t="n"/>
    </row>
    <row r="2363">
      <c r="A2363" s="11" t="n"/>
      <c r="B2363" s="11" t="n"/>
      <c r="C2363" s="11" t="n"/>
      <c r="D2363" s="11" t="n"/>
      <c r="E2363" s="11" t="n"/>
      <c r="F2363" s="11" t="n"/>
      <c r="G2363" s="11" t="n"/>
      <c r="H2363" s="11" t="n"/>
      <c r="I2363" s="11" t="n"/>
      <c r="J2363" s="11" t="n"/>
      <c r="K2363" s="11" t="n"/>
      <c r="L2363" s="11" t="n"/>
      <c r="M2363" s="11" t="n"/>
    </row>
    <row r="2364">
      <c r="A2364" s="11" t="n"/>
      <c r="B2364" s="11" t="n"/>
      <c r="C2364" s="11" t="n"/>
      <c r="D2364" s="11" t="n"/>
      <c r="E2364" s="11" t="n"/>
      <c r="F2364" s="11" t="n"/>
      <c r="G2364" s="11" t="n"/>
      <c r="H2364" s="11" t="n"/>
      <c r="I2364" s="11" t="n"/>
      <c r="J2364" s="11" t="n"/>
      <c r="K2364" s="11" t="n"/>
      <c r="L2364" s="11" t="n"/>
      <c r="M2364" s="11" t="n"/>
    </row>
    <row r="2365">
      <c r="A2365" s="11" t="n"/>
      <c r="B2365" s="11" t="n"/>
      <c r="C2365" s="11" t="n"/>
      <c r="D2365" s="11" t="n"/>
      <c r="E2365" s="11" t="n"/>
      <c r="F2365" s="11" t="n"/>
      <c r="G2365" s="11" t="n"/>
      <c r="H2365" s="11" t="n"/>
      <c r="I2365" s="11" t="n"/>
      <c r="J2365" s="11" t="n"/>
      <c r="K2365" s="11" t="n"/>
      <c r="L2365" s="11" t="n"/>
      <c r="M2365" s="11" t="n"/>
    </row>
    <row r="2366">
      <c r="A2366" s="11" t="n"/>
      <c r="B2366" s="11" t="n"/>
      <c r="C2366" s="11" t="n"/>
      <c r="D2366" s="11" t="n"/>
      <c r="E2366" s="11" t="n"/>
      <c r="F2366" s="11" t="n"/>
      <c r="G2366" s="11" t="n"/>
      <c r="H2366" s="11" t="n"/>
      <c r="I2366" s="11" t="n"/>
      <c r="J2366" s="11" t="n"/>
      <c r="K2366" s="11" t="n"/>
      <c r="L2366" s="11" t="n"/>
      <c r="M2366" s="11" t="n"/>
    </row>
    <row r="2367">
      <c r="A2367" s="11" t="n"/>
      <c r="B2367" s="11" t="n"/>
      <c r="C2367" s="11" t="n"/>
      <c r="D2367" s="11" t="n"/>
      <c r="E2367" s="11" t="n"/>
      <c r="F2367" s="11" t="n"/>
      <c r="G2367" s="11" t="n"/>
      <c r="H2367" s="11" t="n"/>
      <c r="I2367" s="11" t="n"/>
      <c r="J2367" s="11" t="n"/>
      <c r="K2367" s="11" t="n"/>
      <c r="L2367" s="11" t="n"/>
      <c r="M2367" s="11" t="n"/>
    </row>
    <row r="2368">
      <c r="A2368" s="11" t="n"/>
      <c r="B2368" s="11" t="n"/>
      <c r="C2368" s="11" t="n"/>
      <c r="D2368" s="11" t="n"/>
      <c r="E2368" s="11" t="n"/>
      <c r="F2368" s="11" t="n"/>
      <c r="G2368" s="11" t="n"/>
      <c r="H2368" s="11" t="n"/>
      <c r="I2368" s="11" t="n"/>
      <c r="J2368" s="11" t="n"/>
      <c r="K2368" s="11" t="n"/>
      <c r="L2368" s="11" t="n"/>
      <c r="M2368" s="11" t="n"/>
    </row>
    <row r="2369">
      <c r="A2369" s="11" t="n"/>
      <c r="B2369" s="11" t="n"/>
      <c r="C2369" s="11" t="n"/>
      <c r="D2369" s="11" t="n"/>
      <c r="E2369" s="11" t="n"/>
      <c r="F2369" s="11" t="n"/>
      <c r="G2369" s="11" t="n"/>
      <c r="H2369" s="11" t="n"/>
      <c r="I2369" s="11" t="n"/>
      <c r="J2369" s="11" t="n"/>
      <c r="K2369" s="11" t="n"/>
      <c r="L2369" s="11" t="n"/>
      <c r="M2369" s="11" t="n"/>
    </row>
    <row r="2370">
      <c r="A2370" s="11" t="n"/>
      <c r="B2370" s="11" t="n"/>
      <c r="C2370" s="11" t="n"/>
      <c r="D2370" s="11" t="n"/>
      <c r="E2370" s="11" t="n"/>
      <c r="F2370" s="11" t="n"/>
      <c r="G2370" s="11" t="n"/>
      <c r="H2370" s="11" t="n"/>
      <c r="I2370" s="11" t="n"/>
      <c r="J2370" s="11" t="n"/>
      <c r="K2370" s="11" t="n"/>
      <c r="L2370" s="11" t="n"/>
      <c r="M2370" s="11" t="n"/>
    </row>
    <row r="2371">
      <c r="A2371" s="11" t="n"/>
      <c r="B2371" s="11" t="n"/>
      <c r="C2371" s="11" t="n"/>
      <c r="D2371" s="11" t="n"/>
      <c r="E2371" s="11" t="n"/>
      <c r="F2371" s="11" t="n"/>
      <c r="G2371" s="11" t="n"/>
      <c r="H2371" s="11" t="n"/>
      <c r="I2371" s="11" t="n"/>
      <c r="J2371" s="11" t="n"/>
      <c r="K2371" s="11" t="n"/>
      <c r="L2371" s="11" t="n"/>
      <c r="M2371" s="11" t="n"/>
    </row>
    <row r="2372">
      <c r="A2372" s="11" t="n"/>
      <c r="B2372" s="11" t="n"/>
      <c r="C2372" s="11" t="n"/>
      <c r="D2372" s="11" t="n"/>
      <c r="E2372" s="11" t="n"/>
      <c r="F2372" s="11" t="n"/>
      <c r="G2372" s="11" t="n"/>
      <c r="H2372" s="11" t="n"/>
      <c r="I2372" s="11" t="n"/>
      <c r="J2372" s="11" t="n"/>
      <c r="K2372" s="11" t="n"/>
      <c r="L2372" s="11" t="n"/>
      <c r="M2372" s="11" t="n"/>
    </row>
    <row r="2373">
      <c r="A2373" s="11" t="n"/>
      <c r="B2373" s="11" t="n"/>
      <c r="C2373" s="11" t="n"/>
      <c r="D2373" s="11" t="n"/>
      <c r="E2373" s="11" t="n"/>
      <c r="F2373" s="11" t="n"/>
      <c r="G2373" s="11" t="n"/>
      <c r="H2373" s="11" t="n"/>
      <c r="I2373" s="11" t="n"/>
      <c r="J2373" s="11" t="n"/>
      <c r="K2373" s="11" t="n"/>
      <c r="L2373" s="11" t="n"/>
      <c r="M2373" s="11" t="n"/>
    </row>
    <row r="2374">
      <c r="A2374" s="11" t="n"/>
      <c r="B2374" s="11" t="n"/>
      <c r="C2374" s="11" t="n"/>
      <c r="D2374" s="11" t="n"/>
      <c r="E2374" s="11" t="n"/>
      <c r="F2374" s="11" t="n"/>
      <c r="G2374" s="11" t="n"/>
      <c r="H2374" s="11" t="n"/>
      <c r="I2374" s="11" t="n"/>
      <c r="J2374" s="11" t="n"/>
      <c r="K2374" s="11" t="n"/>
      <c r="L2374" s="11" t="n"/>
      <c r="M2374" s="11" t="n"/>
    </row>
    <row r="2375">
      <c r="A2375" s="11" t="n"/>
      <c r="B2375" s="11" t="n"/>
      <c r="C2375" s="11" t="n"/>
      <c r="D2375" s="11" t="n"/>
      <c r="E2375" s="11" t="n"/>
      <c r="F2375" s="11" t="n"/>
      <c r="G2375" s="11" t="n"/>
      <c r="H2375" s="11" t="n"/>
      <c r="I2375" s="11" t="n"/>
      <c r="J2375" s="11" t="n"/>
      <c r="K2375" s="11" t="n"/>
      <c r="L2375" s="11" t="n"/>
      <c r="M2375" s="11" t="n"/>
    </row>
    <row r="2376">
      <c r="A2376" s="11" t="n"/>
      <c r="B2376" s="11" t="n"/>
      <c r="C2376" s="11" t="n"/>
      <c r="D2376" s="11" t="n"/>
      <c r="E2376" s="11" t="n"/>
      <c r="F2376" s="11" t="n"/>
      <c r="G2376" s="11" t="n"/>
      <c r="H2376" s="11" t="n"/>
      <c r="I2376" s="11" t="n"/>
      <c r="J2376" s="11" t="n"/>
      <c r="K2376" s="11" t="n"/>
      <c r="L2376" s="11" t="n"/>
      <c r="M2376" s="11" t="n"/>
    </row>
    <row r="2377">
      <c r="A2377" s="11" t="n"/>
      <c r="B2377" s="11" t="n"/>
      <c r="C2377" s="11" t="n"/>
      <c r="D2377" s="11" t="n"/>
      <c r="E2377" s="11" t="n"/>
      <c r="F2377" s="11" t="n"/>
      <c r="G2377" s="11" t="n"/>
      <c r="H2377" s="11" t="n"/>
      <c r="I2377" s="11" t="n"/>
      <c r="J2377" s="11" t="n"/>
      <c r="K2377" s="11" t="n"/>
      <c r="L2377" s="11" t="n"/>
      <c r="M2377" s="11" t="n"/>
    </row>
    <row r="2378">
      <c r="A2378" s="11" t="n"/>
      <c r="B2378" s="11" t="n"/>
      <c r="C2378" s="11" t="n"/>
      <c r="D2378" s="11" t="n"/>
      <c r="E2378" s="11" t="n"/>
      <c r="F2378" s="11" t="n"/>
      <c r="G2378" s="11" t="n"/>
      <c r="H2378" s="11" t="n"/>
      <c r="I2378" s="11" t="n"/>
      <c r="J2378" s="11" t="n"/>
      <c r="K2378" s="11" t="n"/>
      <c r="L2378" s="11" t="n"/>
      <c r="M2378" s="11" t="n"/>
    </row>
    <row r="2379">
      <c r="A2379" s="11" t="n"/>
      <c r="B2379" s="11" t="n"/>
      <c r="C2379" s="11" t="n"/>
      <c r="D2379" s="11" t="n"/>
      <c r="E2379" s="11" t="n"/>
      <c r="F2379" s="11" t="n"/>
      <c r="G2379" s="11" t="n"/>
      <c r="H2379" s="11" t="n"/>
      <c r="I2379" s="11" t="n"/>
      <c r="J2379" s="11" t="n"/>
      <c r="K2379" s="11" t="n"/>
      <c r="L2379" s="11" t="n"/>
      <c r="M2379" s="11" t="n"/>
    </row>
    <row r="2380">
      <c r="A2380" s="11" t="n"/>
      <c r="B2380" s="11" t="n"/>
      <c r="C2380" s="11" t="n"/>
      <c r="D2380" s="11" t="n"/>
      <c r="E2380" s="11" t="n"/>
      <c r="F2380" s="11" t="n"/>
      <c r="G2380" s="11" t="n"/>
      <c r="H2380" s="11" t="n"/>
      <c r="I2380" s="11" t="n"/>
      <c r="J2380" s="11" t="n"/>
      <c r="K2380" s="11" t="n"/>
      <c r="L2380" s="11" t="n"/>
      <c r="M2380" s="11" t="n"/>
    </row>
    <row r="2381">
      <c r="A2381" s="11" t="n"/>
      <c r="B2381" s="11" t="n"/>
      <c r="C2381" s="11" t="n"/>
      <c r="D2381" s="11" t="n"/>
      <c r="E2381" s="11" t="n"/>
      <c r="F2381" s="11" t="n"/>
      <c r="G2381" s="11" t="n"/>
      <c r="H2381" s="11" t="n"/>
      <c r="I2381" s="11" t="n"/>
      <c r="J2381" s="11" t="n"/>
      <c r="K2381" s="11" t="n"/>
      <c r="L2381" s="11" t="n"/>
      <c r="M2381" s="11" t="n"/>
    </row>
    <row r="2382">
      <c r="A2382" s="11" t="n"/>
      <c r="B2382" s="11" t="n"/>
      <c r="C2382" s="11" t="n"/>
      <c r="D2382" s="11" t="n"/>
      <c r="E2382" s="11" t="n"/>
      <c r="F2382" s="11" t="n"/>
      <c r="G2382" s="11" t="n"/>
      <c r="H2382" s="11" t="n"/>
      <c r="I2382" s="11" t="n"/>
      <c r="J2382" s="11" t="n"/>
      <c r="K2382" s="11" t="n"/>
      <c r="L2382" s="11" t="n"/>
      <c r="M2382" s="11" t="n"/>
    </row>
    <row r="2383">
      <c r="A2383" s="11" t="n"/>
      <c r="B2383" s="11" t="n"/>
      <c r="C2383" s="11" t="n"/>
      <c r="D2383" s="11" t="n"/>
      <c r="E2383" s="11" t="n"/>
      <c r="F2383" s="11" t="n"/>
      <c r="G2383" s="11" t="n"/>
      <c r="H2383" s="11" t="n"/>
      <c r="I2383" s="11" t="n"/>
      <c r="J2383" s="11" t="n"/>
      <c r="K2383" s="11" t="n"/>
      <c r="L2383" s="11" t="n"/>
      <c r="M2383" s="11" t="n"/>
    </row>
    <row r="2384">
      <c r="A2384" s="11" t="n"/>
      <c r="B2384" s="11" t="n"/>
      <c r="C2384" s="11" t="n"/>
      <c r="D2384" s="11" t="n"/>
      <c r="E2384" s="11" t="n"/>
      <c r="F2384" s="11" t="n"/>
      <c r="G2384" s="11" t="n"/>
      <c r="H2384" s="11" t="n"/>
      <c r="I2384" s="11" t="n"/>
      <c r="J2384" s="11" t="n"/>
      <c r="K2384" s="11" t="n"/>
      <c r="L2384" s="11" t="n"/>
      <c r="M2384" s="11" t="n"/>
    </row>
    <row r="2385">
      <c r="A2385" s="11" t="n"/>
      <c r="B2385" s="11" t="n"/>
      <c r="C2385" s="11" t="n"/>
      <c r="D2385" s="11" t="n"/>
      <c r="E2385" s="11" t="n"/>
      <c r="F2385" s="11" t="n"/>
      <c r="G2385" s="11" t="n"/>
      <c r="H2385" s="11" t="n"/>
      <c r="I2385" s="11" t="n"/>
      <c r="J2385" s="11" t="n"/>
      <c r="K2385" s="11" t="n"/>
      <c r="L2385" s="11" t="n"/>
      <c r="M2385" s="11" t="n"/>
    </row>
    <row r="2386">
      <c r="A2386" s="11" t="n"/>
      <c r="B2386" s="11" t="n"/>
      <c r="C2386" s="11" t="n"/>
      <c r="D2386" s="11" t="n"/>
      <c r="E2386" s="11" t="n"/>
      <c r="F2386" s="11" t="n"/>
      <c r="G2386" s="11" t="n"/>
      <c r="H2386" s="11" t="n"/>
      <c r="I2386" s="11" t="n"/>
      <c r="J2386" s="11" t="n"/>
      <c r="K2386" s="11" t="n"/>
      <c r="L2386" s="11" t="n"/>
      <c r="M2386" s="11" t="n"/>
    </row>
    <row r="2387">
      <c r="A2387" s="11" t="n"/>
      <c r="B2387" s="11" t="n"/>
      <c r="C2387" s="11" t="n"/>
      <c r="D2387" s="11" t="n"/>
      <c r="E2387" s="11" t="n"/>
      <c r="F2387" s="11" t="n"/>
      <c r="G2387" s="11" t="n"/>
      <c r="H2387" s="11" t="n"/>
      <c r="I2387" s="11" t="n"/>
      <c r="J2387" s="11" t="n"/>
      <c r="K2387" s="11" t="n"/>
      <c r="L2387" s="11" t="n"/>
      <c r="M2387" s="11" t="n"/>
    </row>
    <row r="2388">
      <c r="A2388" s="11" t="n"/>
      <c r="B2388" s="11" t="n"/>
      <c r="C2388" s="11" t="n"/>
      <c r="D2388" s="11" t="n"/>
      <c r="E2388" s="11" t="n"/>
      <c r="F2388" s="11" t="n"/>
      <c r="G2388" s="11" t="n"/>
      <c r="H2388" s="11" t="n"/>
      <c r="I2388" s="11" t="n"/>
      <c r="J2388" s="11" t="n"/>
      <c r="K2388" s="11" t="n"/>
      <c r="L2388" s="11" t="n"/>
      <c r="M2388" s="11" t="n"/>
    </row>
    <row r="2389">
      <c r="A2389" s="11" t="n"/>
      <c r="B2389" s="11" t="n"/>
      <c r="C2389" s="11" t="n"/>
      <c r="D2389" s="11" t="n"/>
      <c r="E2389" s="11" t="n"/>
      <c r="F2389" s="11" t="n"/>
      <c r="G2389" s="11" t="n"/>
      <c r="H2389" s="11" t="n"/>
      <c r="I2389" s="11" t="n"/>
      <c r="J2389" s="11" t="n"/>
      <c r="K2389" s="11" t="n"/>
      <c r="L2389" s="11" t="n"/>
      <c r="M2389" s="11" t="n"/>
    </row>
    <row r="2390">
      <c r="A2390" s="11" t="n"/>
      <c r="B2390" s="11" t="n"/>
      <c r="C2390" s="11" t="n"/>
      <c r="D2390" s="11" t="n"/>
      <c r="E2390" s="11" t="n"/>
      <c r="F2390" s="11" t="n"/>
      <c r="G2390" s="11" t="n"/>
      <c r="H2390" s="11" t="n"/>
      <c r="I2390" s="11" t="n"/>
      <c r="J2390" s="11" t="n"/>
      <c r="K2390" s="11" t="n"/>
      <c r="L2390" s="11" t="n"/>
      <c r="M2390" s="11" t="n"/>
    </row>
    <row r="2391">
      <c r="A2391" s="11" t="n"/>
      <c r="B2391" s="11" t="n"/>
      <c r="C2391" s="11" t="n"/>
      <c r="D2391" s="11" t="n"/>
      <c r="E2391" s="11" t="n"/>
      <c r="F2391" s="11" t="n"/>
      <c r="G2391" s="11" t="n"/>
      <c r="H2391" s="11" t="n"/>
      <c r="I2391" s="11" t="n"/>
      <c r="J2391" s="11" t="n"/>
      <c r="K2391" s="11" t="n"/>
      <c r="L2391" s="11" t="n"/>
      <c r="M2391" s="11" t="n"/>
    </row>
    <row r="2392">
      <c r="A2392" s="11" t="n"/>
      <c r="B2392" s="11" t="n"/>
      <c r="C2392" s="11" t="n"/>
      <c r="D2392" s="11" t="n"/>
      <c r="E2392" s="11" t="n"/>
      <c r="F2392" s="11" t="n"/>
      <c r="G2392" s="11" t="n"/>
      <c r="H2392" s="11" t="n"/>
      <c r="I2392" s="11" t="n"/>
      <c r="J2392" s="11" t="n"/>
      <c r="K2392" s="11" t="n"/>
      <c r="L2392" s="11" t="n"/>
      <c r="M2392" s="11" t="n"/>
    </row>
    <row r="2393">
      <c r="A2393" s="11" t="n"/>
      <c r="B2393" s="11" t="n"/>
      <c r="C2393" s="11" t="n"/>
      <c r="D2393" s="11" t="n"/>
      <c r="E2393" s="11" t="n"/>
      <c r="F2393" s="11" t="n"/>
      <c r="G2393" s="11" t="n"/>
      <c r="H2393" s="11" t="n"/>
      <c r="I2393" s="11" t="n"/>
      <c r="J2393" s="11" t="n"/>
      <c r="K2393" s="11" t="n"/>
      <c r="L2393" s="11" t="n"/>
      <c r="M2393" s="11" t="n"/>
    </row>
    <row r="2394">
      <c r="A2394" s="11" t="n"/>
      <c r="B2394" s="11" t="n"/>
      <c r="C2394" s="11" t="n"/>
      <c r="D2394" s="11" t="n"/>
      <c r="E2394" s="11" t="n"/>
      <c r="F2394" s="11" t="n"/>
      <c r="G2394" s="11" t="n"/>
      <c r="H2394" s="11" t="n"/>
      <c r="I2394" s="11" t="n"/>
      <c r="J2394" s="11" t="n"/>
      <c r="K2394" s="11" t="n"/>
      <c r="L2394" s="11" t="n"/>
      <c r="M2394" s="11" t="n"/>
    </row>
    <row r="2395">
      <c r="A2395" s="11" t="n"/>
      <c r="B2395" s="11" t="n"/>
      <c r="C2395" s="11" t="n"/>
      <c r="D2395" s="11" t="n"/>
      <c r="E2395" s="11" t="n"/>
      <c r="F2395" s="11" t="n"/>
      <c r="G2395" s="11" t="n"/>
      <c r="H2395" s="11" t="n"/>
      <c r="I2395" s="11" t="n"/>
      <c r="J2395" s="11" t="n"/>
      <c r="K2395" s="11" t="n"/>
      <c r="L2395" s="11" t="n"/>
      <c r="M2395" s="11" t="n"/>
    </row>
    <row r="2396">
      <c r="A2396" s="11" t="n"/>
      <c r="B2396" s="11" t="n"/>
      <c r="C2396" s="11" t="n"/>
      <c r="D2396" s="11" t="n"/>
      <c r="E2396" s="11" t="n"/>
      <c r="F2396" s="11" t="n"/>
      <c r="G2396" s="11" t="n"/>
      <c r="H2396" s="11" t="n"/>
      <c r="I2396" s="11" t="n"/>
      <c r="J2396" s="11" t="n"/>
      <c r="K2396" s="11" t="n"/>
      <c r="L2396" s="11" t="n"/>
      <c r="M2396" s="11" t="n"/>
    </row>
    <row r="2397">
      <c r="A2397" s="11" t="n"/>
      <c r="B2397" s="11" t="n"/>
      <c r="C2397" s="11" t="n"/>
      <c r="D2397" s="11" t="n"/>
      <c r="E2397" s="11" t="n"/>
      <c r="F2397" s="11" t="n"/>
      <c r="G2397" s="11" t="n"/>
      <c r="H2397" s="11" t="n"/>
      <c r="I2397" s="11" t="n"/>
      <c r="J2397" s="11" t="n"/>
      <c r="K2397" s="11" t="n"/>
      <c r="L2397" s="11" t="n"/>
      <c r="M2397" s="11" t="n"/>
    </row>
    <row r="2398">
      <c r="A2398" s="11" t="n"/>
      <c r="B2398" s="11" t="n"/>
      <c r="C2398" s="11" t="n"/>
      <c r="D2398" s="11" t="n"/>
      <c r="E2398" s="11" t="n"/>
      <c r="F2398" s="11" t="n"/>
      <c r="G2398" s="11" t="n"/>
      <c r="H2398" s="11" t="n"/>
      <c r="I2398" s="11" t="n"/>
      <c r="J2398" s="11" t="n"/>
      <c r="K2398" s="11" t="n"/>
      <c r="L2398" s="11" t="n"/>
      <c r="M2398" s="11" t="n"/>
    </row>
    <row r="2399">
      <c r="A2399" s="11" t="n"/>
      <c r="B2399" s="11" t="n"/>
      <c r="C2399" s="11" t="n"/>
      <c r="D2399" s="11" t="n"/>
      <c r="E2399" s="11" t="n"/>
      <c r="F2399" s="11" t="n"/>
      <c r="G2399" s="11" t="n"/>
      <c r="H2399" s="11" t="n"/>
      <c r="I2399" s="11" t="n"/>
      <c r="J2399" s="11" t="n"/>
      <c r="K2399" s="11" t="n"/>
      <c r="L2399" s="11" t="n"/>
      <c r="M2399" s="11" t="n"/>
    </row>
    <row r="2400">
      <c r="A2400" s="11" t="n"/>
      <c r="B2400" s="11" t="n"/>
      <c r="C2400" s="11" t="n"/>
      <c r="D2400" s="11" t="n"/>
      <c r="E2400" s="11" t="n"/>
      <c r="F2400" s="11" t="n"/>
      <c r="G2400" s="11" t="n"/>
      <c r="H2400" s="11" t="n"/>
      <c r="I2400" s="11" t="n"/>
      <c r="J2400" s="11" t="n"/>
      <c r="K2400" s="11" t="n"/>
      <c r="L2400" s="11" t="n"/>
      <c r="M2400" s="11" t="n"/>
    </row>
    <row r="2401">
      <c r="A2401" s="11" t="n"/>
      <c r="B2401" s="11" t="n"/>
      <c r="C2401" s="11" t="n"/>
      <c r="D2401" s="11" t="n"/>
      <c r="E2401" s="11" t="n"/>
      <c r="F2401" s="11" t="n"/>
      <c r="G2401" s="11" t="n"/>
      <c r="H2401" s="11" t="n"/>
      <c r="I2401" s="11" t="n"/>
      <c r="J2401" s="11" t="n"/>
      <c r="K2401" s="11" t="n"/>
      <c r="L2401" s="11" t="n"/>
      <c r="M2401" s="11" t="n"/>
    </row>
    <row r="2402">
      <c r="A2402" s="11" t="n"/>
      <c r="B2402" s="11" t="n"/>
      <c r="C2402" s="11" t="n"/>
      <c r="D2402" s="11" t="n"/>
      <c r="E2402" s="11" t="n"/>
      <c r="F2402" s="11" t="n"/>
      <c r="G2402" s="11" t="n"/>
      <c r="H2402" s="11" t="n"/>
      <c r="I2402" s="11" t="n"/>
      <c r="J2402" s="11" t="n"/>
      <c r="K2402" s="11" t="n"/>
      <c r="L2402" s="11" t="n"/>
      <c r="M2402" s="11" t="n"/>
    </row>
    <row r="2403">
      <c r="A2403" s="11" t="n"/>
      <c r="B2403" s="11" t="n"/>
      <c r="C2403" s="11" t="n"/>
      <c r="D2403" s="11" t="n"/>
      <c r="E2403" s="11" t="n"/>
      <c r="F2403" s="11" t="n"/>
      <c r="G2403" s="11" t="n"/>
      <c r="H2403" s="11" t="n"/>
      <c r="I2403" s="11" t="n"/>
      <c r="J2403" s="11" t="n"/>
      <c r="K2403" s="11" t="n"/>
      <c r="L2403" s="11" t="n"/>
      <c r="M2403" s="11" t="n"/>
    </row>
    <row r="2404">
      <c r="A2404" s="11" t="n"/>
      <c r="B2404" s="11" t="n"/>
      <c r="C2404" s="11" t="n"/>
      <c r="D2404" s="11" t="n"/>
      <c r="E2404" s="11" t="n"/>
      <c r="F2404" s="11" t="n"/>
      <c r="G2404" s="11" t="n"/>
      <c r="H2404" s="11" t="n"/>
      <c r="I2404" s="11" t="n"/>
      <c r="J2404" s="11" t="n"/>
      <c r="K2404" s="11" t="n"/>
      <c r="L2404" s="11" t="n"/>
      <c r="M2404" s="11" t="n"/>
    </row>
    <row r="2405">
      <c r="A2405" s="11" t="n"/>
      <c r="B2405" s="11" t="n"/>
      <c r="C2405" s="11" t="n"/>
      <c r="D2405" s="11" t="n"/>
      <c r="E2405" s="11" t="n"/>
      <c r="F2405" s="11" t="n"/>
      <c r="G2405" s="11" t="n"/>
      <c r="H2405" s="11" t="n"/>
      <c r="I2405" s="11" t="n"/>
      <c r="J2405" s="11" t="n"/>
      <c r="K2405" s="11" t="n"/>
      <c r="L2405" s="11" t="n"/>
      <c r="M2405" s="11" t="n"/>
    </row>
    <row r="2406">
      <c r="A2406" s="11" t="n"/>
      <c r="B2406" s="11" t="n"/>
      <c r="C2406" s="11" t="n"/>
      <c r="D2406" s="11" t="n"/>
      <c r="E2406" s="11" t="n"/>
      <c r="F2406" s="11" t="n"/>
      <c r="G2406" s="11" t="n"/>
      <c r="H2406" s="11" t="n"/>
      <c r="I2406" s="11" t="n"/>
      <c r="J2406" s="11" t="n"/>
      <c r="K2406" s="11" t="n"/>
      <c r="L2406" s="11" t="n"/>
      <c r="M2406" s="11" t="n"/>
    </row>
    <row r="2407">
      <c r="A2407" s="11" t="n"/>
      <c r="B2407" s="11" t="n"/>
      <c r="C2407" s="11" t="n"/>
      <c r="D2407" s="11" t="n"/>
      <c r="E2407" s="11" t="n"/>
      <c r="F2407" s="11" t="n"/>
      <c r="G2407" s="11" t="n"/>
      <c r="H2407" s="11" t="n"/>
      <c r="I2407" s="11" t="n"/>
      <c r="J2407" s="11" t="n"/>
      <c r="K2407" s="11" t="n"/>
      <c r="L2407" s="11" t="n"/>
      <c r="M2407" s="11" t="n"/>
    </row>
    <row r="2408">
      <c r="A2408" s="11" t="n"/>
      <c r="B2408" s="11" t="n"/>
      <c r="C2408" s="11" t="n"/>
      <c r="D2408" s="11" t="n"/>
      <c r="E2408" s="11" t="n"/>
      <c r="F2408" s="11" t="n"/>
      <c r="G2408" s="11" t="n"/>
      <c r="H2408" s="11" t="n"/>
      <c r="I2408" s="11" t="n"/>
      <c r="J2408" s="11" t="n"/>
      <c r="K2408" s="11" t="n"/>
      <c r="L2408" s="11" t="n"/>
      <c r="M2408" s="11" t="n"/>
    </row>
    <row r="2409">
      <c r="A2409" s="11" t="n"/>
      <c r="B2409" s="11" t="n"/>
      <c r="C2409" s="11" t="n"/>
      <c r="D2409" s="11" t="n"/>
      <c r="E2409" s="11" t="n"/>
      <c r="F2409" s="11" t="n"/>
      <c r="G2409" s="11" t="n"/>
      <c r="H2409" s="11" t="n"/>
      <c r="I2409" s="11" t="n"/>
      <c r="J2409" s="11" t="n"/>
      <c r="K2409" s="11" t="n"/>
      <c r="L2409" s="11" t="n"/>
      <c r="M2409" s="11" t="n"/>
    </row>
    <row r="2410">
      <c r="A2410" s="11" t="n"/>
      <c r="B2410" s="11" t="n"/>
      <c r="C2410" s="11" t="n"/>
      <c r="D2410" s="11" t="n"/>
      <c r="E2410" s="11" t="n"/>
      <c r="F2410" s="11" t="n"/>
      <c r="G2410" s="11" t="n"/>
      <c r="H2410" s="11" t="n"/>
      <c r="I2410" s="11" t="n"/>
      <c r="J2410" s="11" t="n"/>
      <c r="K2410" s="11" t="n"/>
      <c r="L2410" s="11" t="n"/>
      <c r="M2410" s="11" t="n"/>
    </row>
    <row r="2411">
      <c r="A2411" s="11" t="n"/>
      <c r="B2411" s="11" t="n"/>
      <c r="C2411" s="11" t="n"/>
      <c r="D2411" s="11" t="n"/>
      <c r="E2411" s="11" t="n"/>
      <c r="F2411" s="11" t="n"/>
      <c r="G2411" s="11" t="n"/>
      <c r="H2411" s="11" t="n"/>
      <c r="I2411" s="11" t="n"/>
      <c r="J2411" s="11" t="n"/>
      <c r="K2411" s="11" t="n"/>
      <c r="L2411" s="11" t="n"/>
      <c r="M2411" s="11" t="n"/>
    </row>
    <row r="2412">
      <c r="A2412" s="11" t="n"/>
      <c r="B2412" s="11" t="n"/>
      <c r="C2412" s="11" t="n"/>
      <c r="D2412" s="11" t="n"/>
      <c r="E2412" s="11" t="n"/>
      <c r="F2412" s="11" t="n"/>
      <c r="G2412" s="11" t="n"/>
      <c r="H2412" s="11" t="n"/>
      <c r="I2412" s="11" t="n"/>
      <c r="J2412" s="11" t="n"/>
      <c r="K2412" s="11" t="n"/>
      <c r="L2412" s="11" t="n"/>
      <c r="M2412" s="11" t="n"/>
    </row>
    <row r="2413">
      <c r="A2413" s="11" t="n"/>
      <c r="B2413" s="11" t="n"/>
      <c r="C2413" s="11" t="n"/>
      <c r="D2413" s="11" t="n"/>
      <c r="E2413" s="11" t="n"/>
      <c r="F2413" s="11" t="n"/>
      <c r="G2413" s="11" t="n"/>
      <c r="H2413" s="11" t="n"/>
      <c r="I2413" s="11" t="n"/>
      <c r="J2413" s="11" t="n"/>
      <c r="K2413" s="11" t="n"/>
      <c r="L2413" s="11" t="n"/>
      <c r="M2413" s="11" t="n"/>
    </row>
    <row r="2414">
      <c r="A2414" s="11" t="n"/>
      <c r="B2414" s="11" t="n"/>
      <c r="C2414" s="11" t="n"/>
      <c r="D2414" s="11" t="n"/>
      <c r="E2414" s="11" t="n"/>
      <c r="F2414" s="11" t="n"/>
      <c r="G2414" s="11" t="n"/>
      <c r="H2414" s="11" t="n"/>
      <c r="I2414" s="11" t="n"/>
      <c r="J2414" s="11" t="n"/>
      <c r="K2414" s="11" t="n"/>
      <c r="L2414" s="11" t="n"/>
      <c r="M2414" s="11" t="n"/>
    </row>
    <row r="2415">
      <c r="A2415" s="11" t="n"/>
      <c r="B2415" s="11" t="n"/>
      <c r="C2415" s="11" t="n"/>
      <c r="D2415" s="11" t="n"/>
      <c r="E2415" s="11" t="n"/>
      <c r="F2415" s="11" t="n"/>
      <c r="G2415" s="11" t="n"/>
      <c r="H2415" s="11" t="n"/>
      <c r="I2415" s="11" t="n"/>
      <c r="J2415" s="11" t="n"/>
      <c r="K2415" s="11" t="n"/>
      <c r="L2415" s="11" t="n"/>
      <c r="M2415" s="11" t="n"/>
    </row>
    <row r="2416">
      <c r="A2416" s="11" t="n"/>
      <c r="B2416" s="11" t="n"/>
      <c r="C2416" s="11" t="n"/>
      <c r="D2416" s="11" t="n"/>
      <c r="E2416" s="11" t="n"/>
      <c r="F2416" s="11" t="n"/>
      <c r="G2416" s="11" t="n"/>
      <c r="H2416" s="11" t="n"/>
      <c r="I2416" s="11" t="n"/>
      <c r="J2416" s="11" t="n"/>
      <c r="K2416" s="11" t="n"/>
      <c r="L2416" s="11" t="n"/>
      <c r="M2416" s="11" t="n"/>
    </row>
    <row r="2417">
      <c r="A2417" s="11" t="n"/>
      <c r="B2417" s="11" t="n"/>
      <c r="C2417" s="11" t="n"/>
      <c r="D2417" s="11" t="n"/>
      <c r="E2417" s="11" t="n"/>
      <c r="F2417" s="11" t="n"/>
      <c r="G2417" s="11" t="n"/>
      <c r="H2417" s="11" t="n"/>
      <c r="I2417" s="11" t="n"/>
      <c r="J2417" s="11" t="n"/>
      <c r="K2417" s="11" t="n"/>
      <c r="L2417" s="11" t="n"/>
      <c r="M2417" s="11" t="n"/>
    </row>
    <row r="2418">
      <c r="A2418" s="11" t="n"/>
      <c r="B2418" s="11" t="n"/>
      <c r="C2418" s="11" t="n"/>
      <c r="D2418" s="11" t="n"/>
      <c r="E2418" s="11" t="n"/>
      <c r="F2418" s="11" t="n"/>
      <c r="G2418" s="11" t="n"/>
      <c r="H2418" s="11" t="n"/>
      <c r="I2418" s="11" t="n"/>
      <c r="J2418" s="11" t="n"/>
      <c r="K2418" s="11" t="n"/>
      <c r="L2418" s="11" t="n"/>
      <c r="M2418" s="11" t="n"/>
    </row>
    <row r="2419">
      <c r="A2419" s="11" t="n"/>
      <c r="B2419" s="11" t="n"/>
      <c r="C2419" s="11" t="n"/>
      <c r="D2419" s="11" t="n"/>
      <c r="E2419" s="11" t="n"/>
      <c r="F2419" s="11" t="n"/>
      <c r="G2419" s="11" t="n"/>
      <c r="H2419" s="11" t="n"/>
      <c r="I2419" s="11" t="n"/>
      <c r="J2419" s="11" t="n"/>
      <c r="K2419" s="11" t="n"/>
      <c r="L2419" s="11" t="n"/>
      <c r="M2419" s="11" t="n"/>
    </row>
    <row r="2420">
      <c r="A2420" s="11" t="n"/>
      <c r="B2420" s="11" t="n"/>
      <c r="C2420" s="11" t="n"/>
      <c r="D2420" s="11" t="n"/>
      <c r="E2420" s="11" t="n"/>
      <c r="F2420" s="11" t="n"/>
      <c r="G2420" s="11" t="n"/>
      <c r="H2420" s="11" t="n"/>
      <c r="I2420" s="11" t="n"/>
      <c r="J2420" s="11" t="n"/>
      <c r="K2420" s="11" t="n"/>
      <c r="L2420" s="11" t="n"/>
      <c r="M2420" s="11" t="n"/>
    </row>
    <row r="2421">
      <c r="A2421" s="11" t="n"/>
      <c r="B2421" s="11" t="n"/>
      <c r="C2421" s="11" t="n"/>
      <c r="D2421" s="11" t="n"/>
      <c r="E2421" s="11" t="n"/>
      <c r="F2421" s="11" t="n"/>
      <c r="G2421" s="11" t="n"/>
      <c r="H2421" s="11" t="n"/>
      <c r="I2421" s="11" t="n"/>
      <c r="J2421" s="11" t="n"/>
      <c r="K2421" s="11" t="n"/>
      <c r="L2421" s="11" t="n"/>
      <c r="M2421" s="11" t="n"/>
    </row>
    <row r="2422">
      <c r="A2422" s="11" t="n"/>
      <c r="B2422" s="11" t="n"/>
      <c r="C2422" s="11" t="n"/>
      <c r="D2422" s="11" t="n"/>
      <c r="E2422" s="11" t="n"/>
      <c r="F2422" s="11" t="n"/>
      <c r="G2422" s="11" t="n"/>
      <c r="H2422" s="11" t="n"/>
      <c r="I2422" s="11" t="n"/>
      <c r="J2422" s="11" t="n"/>
      <c r="K2422" s="11" t="n"/>
      <c r="L2422" s="11" t="n"/>
      <c r="M2422" s="11" t="n"/>
    </row>
    <row r="2423">
      <c r="A2423" s="11" t="n"/>
      <c r="B2423" s="11" t="n"/>
      <c r="C2423" s="11" t="n"/>
      <c r="D2423" s="11" t="n"/>
      <c r="E2423" s="11" t="n"/>
      <c r="F2423" s="11" t="n"/>
      <c r="G2423" s="11" t="n"/>
      <c r="H2423" s="11" t="n"/>
      <c r="I2423" s="11" t="n"/>
      <c r="J2423" s="11" t="n"/>
      <c r="K2423" s="11" t="n"/>
      <c r="L2423" s="11" t="n"/>
      <c r="M2423" s="11" t="n"/>
    </row>
    <row r="2424">
      <c r="A2424" s="11" t="n"/>
      <c r="B2424" s="11" t="n"/>
      <c r="C2424" s="11" t="n"/>
      <c r="D2424" s="11" t="n"/>
      <c r="E2424" s="11" t="n"/>
      <c r="F2424" s="11" t="n"/>
      <c r="G2424" s="11" t="n"/>
      <c r="H2424" s="11" t="n"/>
      <c r="I2424" s="11" t="n"/>
      <c r="J2424" s="11" t="n"/>
      <c r="K2424" s="11" t="n"/>
      <c r="L2424" s="11" t="n"/>
      <c r="M2424" s="11" t="n"/>
    </row>
    <row r="2425">
      <c r="A2425" s="11" t="n"/>
      <c r="B2425" s="11" t="n"/>
      <c r="C2425" s="11" t="n"/>
      <c r="D2425" s="11" t="n"/>
      <c r="E2425" s="11" t="n"/>
      <c r="F2425" s="11" t="n"/>
      <c r="G2425" s="11" t="n"/>
      <c r="H2425" s="11" t="n"/>
      <c r="I2425" s="11" t="n"/>
      <c r="J2425" s="11" t="n"/>
      <c r="K2425" s="11" t="n"/>
      <c r="L2425" s="11" t="n"/>
      <c r="M2425" s="11" t="n"/>
    </row>
    <row r="2426">
      <c r="A2426" s="11" t="n"/>
      <c r="B2426" s="11" t="n"/>
      <c r="C2426" s="11" t="n"/>
      <c r="D2426" s="11" t="n"/>
      <c r="E2426" s="11" t="n"/>
      <c r="F2426" s="11" t="n"/>
      <c r="G2426" s="11" t="n"/>
      <c r="H2426" s="11" t="n"/>
      <c r="I2426" s="11" t="n"/>
      <c r="J2426" s="11" t="n"/>
      <c r="K2426" s="11" t="n"/>
      <c r="L2426" s="11" t="n"/>
      <c r="M2426" s="11" t="n"/>
    </row>
    <row r="2427">
      <c r="A2427" s="11" t="n"/>
      <c r="B2427" s="11" t="n"/>
      <c r="C2427" s="11" t="n"/>
      <c r="D2427" s="11" t="n"/>
      <c r="E2427" s="11" t="n"/>
      <c r="F2427" s="11" t="n"/>
      <c r="G2427" s="11" t="n"/>
      <c r="H2427" s="11" t="n"/>
      <c r="I2427" s="11" t="n"/>
      <c r="J2427" s="11" t="n"/>
      <c r="K2427" s="11" t="n"/>
      <c r="L2427" s="11" t="n"/>
      <c r="M2427" s="11" t="n"/>
    </row>
    <row r="2428">
      <c r="A2428" s="11" t="n"/>
      <c r="B2428" s="11" t="n"/>
      <c r="C2428" s="11" t="n"/>
      <c r="D2428" s="11" t="n"/>
      <c r="E2428" s="11" t="n"/>
      <c r="F2428" s="11" t="n"/>
      <c r="G2428" s="11" t="n"/>
      <c r="H2428" s="11" t="n"/>
      <c r="I2428" s="11" t="n"/>
      <c r="J2428" s="11" t="n"/>
      <c r="K2428" s="11" t="n"/>
      <c r="L2428" s="11" t="n"/>
      <c r="M2428" s="11" t="n"/>
    </row>
    <row r="2429">
      <c r="A2429" s="11" t="n"/>
      <c r="B2429" s="11" t="n"/>
      <c r="C2429" s="11" t="n"/>
      <c r="D2429" s="11" t="n"/>
      <c r="E2429" s="11" t="n"/>
      <c r="F2429" s="11" t="n"/>
      <c r="G2429" s="11" t="n"/>
      <c r="H2429" s="11" t="n"/>
      <c r="I2429" s="11" t="n"/>
      <c r="J2429" s="11" t="n"/>
      <c r="K2429" s="11" t="n"/>
      <c r="L2429" s="11" t="n"/>
      <c r="M2429" s="11" t="n"/>
    </row>
    <row r="2430">
      <c r="A2430" s="11" t="n"/>
      <c r="B2430" s="11" t="n"/>
      <c r="C2430" s="11" t="n"/>
      <c r="D2430" s="11" t="n"/>
      <c r="E2430" s="11" t="n"/>
      <c r="F2430" s="11" t="n"/>
      <c r="G2430" s="11" t="n"/>
      <c r="H2430" s="11" t="n"/>
      <c r="I2430" s="11" t="n"/>
      <c r="J2430" s="11" t="n"/>
      <c r="K2430" s="11" t="n"/>
      <c r="L2430" s="11" t="n"/>
      <c r="M2430" s="11" t="n"/>
    </row>
    <row r="2431">
      <c r="A2431" s="11" t="n"/>
      <c r="B2431" s="11" t="n"/>
      <c r="C2431" s="11" t="n"/>
      <c r="D2431" s="11" t="n"/>
      <c r="E2431" s="11" t="n"/>
      <c r="F2431" s="11" t="n"/>
      <c r="G2431" s="11" t="n"/>
      <c r="H2431" s="11" t="n"/>
      <c r="I2431" s="11" t="n"/>
      <c r="J2431" s="11" t="n"/>
      <c r="K2431" s="11" t="n"/>
      <c r="L2431" s="11" t="n"/>
      <c r="M2431" s="11" t="n"/>
    </row>
    <row r="2432">
      <c r="A2432" s="11" t="n"/>
      <c r="B2432" s="11" t="n"/>
      <c r="C2432" s="11" t="n"/>
      <c r="D2432" s="11" t="n"/>
      <c r="E2432" s="11" t="n"/>
      <c r="F2432" s="11" t="n"/>
      <c r="G2432" s="11" t="n"/>
      <c r="H2432" s="11" t="n"/>
      <c r="I2432" s="11" t="n"/>
      <c r="J2432" s="11" t="n"/>
      <c r="K2432" s="11" t="n"/>
      <c r="L2432" s="11" t="n"/>
      <c r="M2432" s="11" t="n"/>
    </row>
    <row r="2433">
      <c r="A2433" s="11" t="n"/>
      <c r="B2433" s="11" t="n"/>
      <c r="C2433" s="11" t="n"/>
      <c r="D2433" s="11" t="n"/>
      <c r="E2433" s="11" t="n"/>
      <c r="F2433" s="11" t="n"/>
      <c r="G2433" s="11" t="n"/>
      <c r="H2433" s="11" t="n"/>
      <c r="I2433" s="11" t="n"/>
      <c r="J2433" s="11" t="n"/>
      <c r="K2433" s="11" t="n"/>
      <c r="L2433" s="11" t="n"/>
      <c r="M2433" s="11" t="n"/>
    </row>
    <row r="2434">
      <c r="A2434" s="11" t="n"/>
      <c r="B2434" s="11" t="n"/>
      <c r="C2434" s="11" t="n"/>
      <c r="D2434" s="11" t="n"/>
      <c r="E2434" s="11" t="n"/>
      <c r="F2434" s="11" t="n"/>
      <c r="G2434" s="11" t="n"/>
      <c r="H2434" s="11" t="n"/>
      <c r="I2434" s="11" t="n"/>
      <c r="J2434" s="11" t="n"/>
      <c r="K2434" s="11" t="n"/>
      <c r="L2434" s="11" t="n"/>
      <c r="M2434" s="11" t="n"/>
    </row>
    <row r="2435">
      <c r="A2435" s="11" t="n"/>
      <c r="B2435" s="11" t="n"/>
      <c r="C2435" s="11" t="n"/>
      <c r="D2435" s="11" t="n"/>
      <c r="E2435" s="11" t="n"/>
      <c r="F2435" s="11" t="n"/>
      <c r="G2435" s="11" t="n"/>
      <c r="H2435" s="11" t="n"/>
      <c r="I2435" s="11" t="n"/>
      <c r="J2435" s="11" t="n"/>
      <c r="K2435" s="11" t="n"/>
      <c r="L2435" s="11" t="n"/>
      <c r="M2435" s="11" t="n"/>
    </row>
    <row r="2436">
      <c r="A2436" s="11" t="n"/>
      <c r="B2436" s="11" t="n"/>
      <c r="C2436" s="11" t="n"/>
      <c r="D2436" s="11" t="n"/>
      <c r="E2436" s="11" t="n"/>
      <c r="F2436" s="11" t="n"/>
      <c r="G2436" s="11" t="n"/>
      <c r="H2436" s="11" t="n"/>
      <c r="I2436" s="11" t="n"/>
      <c r="J2436" s="11" t="n"/>
      <c r="K2436" s="11" t="n"/>
      <c r="L2436" s="11" t="n"/>
      <c r="M2436" s="11" t="n"/>
    </row>
    <row r="2437">
      <c r="A2437" s="11" t="n"/>
      <c r="B2437" s="11" t="n"/>
      <c r="C2437" s="11" t="n"/>
      <c r="D2437" s="11" t="n"/>
      <c r="E2437" s="11" t="n"/>
      <c r="F2437" s="11" t="n"/>
      <c r="G2437" s="11" t="n"/>
      <c r="H2437" s="11" t="n"/>
      <c r="I2437" s="11" t="n"/>
      <c r="J2437" s="11" t="n"/>
      <c r="K2437" s="11" t="n"/>
      <c r="L2437" s="11" t="n"/>
      <c r="M2437" s="11" t="n"/>
    </row>
    <row r="2438">
      <c r="A2438" s="11" t="n"/>
      <c r="B2438" s="11" t="n"/>
      <c r="C2438" s="11" t="n"/>
      <c r="D2438" s="11" t="n"/>
      <c r="E2438" s="11" t="n"/>
      <c r="F2438" s="11" t="n"/>
      <c r="G2438" s="11" t="n"/>
      <c r="H2438" s="11" t="n"/>
      <c r="I2438" s="11" t="n"/>
      <c r="J2438" s="11" t="n"/>
      <c r="K2438" s="11" t="n"/>
      <c r="L2438" s="11" t="n"/>
      <c r="M2438" s="11" t="n"/>
    </row>
    <row r="2439">
      <c r="A2439" s="11" t="n"/>
      <c r="B2439" s="11" t="n"/>
      <c r="C2439" s="11" t="n"/>
      <c r="D2439" s="11" t="n"/>
      <c r="E2439" s="11" t="n"/>
      <c r="F2439" s="11" t="n"/>
      <c r="G2439" s="11" t="n"/>
      <c r="H2439" s="11" t="n"/>
      <c r="I2439" s="11" t="n"/>
      <c r="J2439" s="11" t="n"/>
      <c r="K2439" s="11" t="n"/>
      <c r="L2439" s="11" t="n"/>
      <c r="M2439" s="11" t="n"/>
    </row>
    <row r="2440">
      <c r="A2440" s="11" t="n"/>
      <c r="B2440" s="11" t="n"/>
      <c r="C2440" s="11" t="n"/>
      <c r="D2440" s="11" t="n"/>
      <c r="E2440" s="11" t="n"/>
      <c r="F2440" s="11" t="n"/>
      <c r="G2440" s="11" t="n"/>
      <c r="H2440" s="11" t="n"/>
      <c r="I2440" s="11" t="n"/>
      <c r="J2440" s="11" t="n"/>
      <c r="K2440" s="11" t="n"/>
      <c r="L2440" s="11" t="n"/>
      <c r="M2440" s="11" t="n"/>
    </row>
    <row r="2441">
      <c r="A2441" s="11" t="n"/>
      <c r="B2441" s="11" t="n"/>
      <c r="C2441" s="11" t="n"/>
      <c r="D2441" s="11" t="n"/>
      <c r="E2441" s="11" t="n"/>
      <c r="F2441" s="11" t="n"/>
      <c r="G2441" s="11" t="n"/>
      <c r="H2441" s="11" t="n"/>
      <c r="I2441" s="11" t="n"/>
      <c r="J2441" s="11" t="n"/>
      <c r="K2441" s="11" t="n"/>
      <c r="L2441" s="11" t="n"/>
      <c r="M2441" s="11" t="n"/>
    </row>
    <row r="2442">
      <c r="A2442" s="11" t="n"/>
      <c r="B2442" s="11" t="n"/>
      <c r="C2442" s="11" t="n"/>
      <c r="D2442" s="11" t="n"/>
      <c r="E2442" s="11" t="n"/>
      <c r="F2442" s="11" t="n"/>
      <c r="G2442" s="11" t="n"/>
      <c r="H2442" s="11" t="n"/>
      <c r="I2442" s="11" t="n"/>
      <c r="J2442" s="11" t="n"/>
      <c r="K2442" s="11" t="n"/>
      <c r="L2442" s="11" t="n"/>
      <c r="M2442" s="11" t="n"/>
    </row>
    <row r="2443">
      <c r="A2443" s="11" t="n"/>
      <c r="B2443" s="11" t="n"/>
      <c r="C2443" s="11" t="n"/>
      <c r="D2443" s="11" t="n"/>
      <c r="E2443" s="11" t="n"/>
      <c r="F2443" s="11" t="n"/>
      <c r="G2443" s="11" t="n"/>
      <c r="H2443" s="11" t="n"/>
      <c r="I2443" s="11" t="n"/>
      <c r="J2443" s="11" t="n"/>
      <c r="K2443" s="11" t="n"/>
      <c r="L2443" s="11" t="n"/>
      <c r="M2443" s="11" t="n"/>
    </row>
    <row r="2444">
      <c r="A2444" s="11" t="n"/>
      <c r="B2444" s="11" t="n"/>
      <c r="C2444" s="11" t="n"/>
      <c r="D2444" s="11" t="n"/>
      <c r="E2444" s="11" t="n"/>
      <c r="F2444" s="11" t="n"/>
      <c r="G2444" s="11" t="n"/>
      <c r="H2444" s="11" t="n"/>
      <c r="I2444" s="11" t="n"/>
      <c r="J2444" s="11" t="n"/>
      <c r="K2444" s="11" t="n"/>
      <c r="L2444" s="11" t="n"/>
      <c r="M2444" s="11" t="n"/>
    </row>
    <row r="2445">
      <c r="A2445" s="11" t="n"/>
      <c r="B2445" s="11" t="n"/>
      <c r="C2445" s="11" t="n"/>
      <c r="D2445" s="11" t="n"/>
      <c r="E2445" s="11" t="n"/>
      <c r="F2445" s="11" t="n"/>
      <c r="G2445" s="11" t="n"/>
      <c r="H2445" s="11" t="n"/>
      <c r="I2445" s="11" t="n"/>
      <c r="J2445" s="11" t="n"/>
      <c r="K2445" s="11" t="n"/>
      <c r="L2445" s="11" t="n"/>
      <c r="M2445" s="11" t="n"/>
    </row>
    <row r="2446">
      <c r="A2446" s="11" t="n"/>
      <c r="B2446" s="11" t="n"/>
      <c r="C2446" s="11" t="n"/>
      <c r="D2446" s="11" t="n"/>
      <c r="E2446" s="11" t="n"/>
      <c r="F2446" s="11" t="n"/>
      <c r="G2446" s="11" t="n"/>
      <c r="H2446" s="11" t="n"/>
      <c r="I2446" s="11" t="n"/>
      <c r="J2446" s="11" t="n"/>
      <c r="K2446" s="11" t="n"/>
      <c r="L2446" s="11" t="n"/>
      <c r="M2446" s="11" t="n"/>
    </row>
    <row r="2447">
      <c r="A2447" s="11" t="n"/>
      <c r="B2447" s="11" t="n"/>
      <c r="C2447" s="11" t="n"/>
      <c r="D2447" s="11" t="n"/>
      <c r="E2447" s="11" t="n"/>
      <c r="F2447" s="11" t="n"/>
      <c r="G2447" s="11" t="n"/>
      <c r="H2447" s="11" t="n"/>
      <c r="I2447" s="11" t="n"/>
      <c r="J2447" s="11" t="n"/>
      <c r="K2447" s="11" t="n"/>
      <c r="L2447" s="11" t="n"/>
      <c r="M2447" s="11" t="n"/>
    </row>
    <row r="2448">
      <c r="A2448" s="11" t="n"/>
      <c r="B2448" s="11" t="n"/>
      <c r="C2448" s="11" t="n"/>
      <c r="D2448" s="11" t="n"/>
      <c r="E2448" s="11" t="n"/>
      <c r="F2448" s="11" t="n"/>
      <c r="G2448" s="11" t="n"/>
      <c r="H2448" s="11" t="n"/>
      <c r="I2448" s="11" t="n"/>
      <c r="J2448" s="11" t="n"/>
      <c r="K2448" s="11" t="n"/>
      <c r="L2448" s="11" t="n"/>
      <c r="M2448" s="11" t="n"/>
    </row>
    <row r="2449">
      <c r="A2449" s="11" t="n"/>
      <c r="B2449" s="11" t="n"/>
      <c r="C2449" s="11" t="n"/>
      <c r="D2449" s="11" t="n"/>
      <c r="E2449" s="11" t="n"/>
      <c r="F2449" s="11" t="n"/>
      <c r="G2449" s="11" t="n"/>
      <c r="H2449" s="11" t="n"/>
      <c r="I2449" s="11" t="n"/>
      <c r="J2449" s="11" t="n"/>
      <c r="K2449" s="11" t="n"/>
      <c r="L2449" s="11" t="n"/>
      <c r="M2449" s="11" t="n"/>
    </row>
    <row r="2450">
      <c r="A2450" s="11" t="n"/>
      <c r="B2450" s="11" t="n"/>
      <c r="C2450" s="11" t="n"/>
      <c r="D2450" s="11" t="n"/>
      <c r="E2450" s="11" t="n"/>
      <c r="F2450" s="11" t="n"/>
      <c r="G2450" s="11" t="n"/>
      <c r="H2450" s="11" t="n"/>
      <c r="I2450" s="11" t="n"/>
      <c r="J2450" s="11" t="n"/>
      <c r="K2450" s="11" t="n"/>
      <c r="L2450" s="11" t="n"/>
      <c r="M2450" s="11" t="n"/>
    </row>
    <row r="2451">
      <c r="A2451" s="11" t="n"/>
      <c r="B2451" s="11" t="n"/>
      <c r="C2451" s="11" t="n"/>
      <c r="D2451" s="11" t="n"/>
      <c r="E2451" s="11" t="n"/>
      <c r="F2451" s="11" t="n"/>
      <c r="G2451" s="11" t="n"/>
      <c r="H2451" s="11" t="n"/>
      <c r="I2451" s="11" t="n"/>
      <c r="J2451" s="11" t="n"/>
      <c r="K2451" s="11" t="n"/>
      <c r="L2451" s="11" t="n"/>
      <c r="M2451" s="11" t="n"/>
    </row>
    <row r="2452">
      <c r="A2452" s="11" t="n"/>
      <c r="B2452" s="11" t="n"/>
      <c r="C2452" s="11" t="n"/>
      <c r="D2452" s="11" t="n"/>
      <c r="E2452" s="11" t="n"/>
      <c r="F2452" s="11" t="n"/>
      <c r="G2452" s="11" t="n"/>
      <c r="H2452" s="11" t="n"/>
      <c r="I2452" s="11" t="n"/>
      <c r="J2452" s="11" t="n"/>
      <c r="K2452" s="11" t="n"/>
      <c r="L2452" s="11" t="n"/>
      <c r="M2452" s="11" t="n"/>
    </row>
    <row r="2453">
      <c r="A2453" s="11" t="n"/>
      <c r="B2453" s="11" t="n"/>
      <c r="C2453" s="11" t="n"/>
      <c r="D2453" s="11" t="n"/>
      <c r="E2453" s="11" t="n"/>
      <c r="F2453" s="11" t="n"/>
      <c r="G2453" s="11" t="n"/>
      <c r="H2453" s="11" t="n"/>
      <c r="I2453" s="11" t="n"/>
      <c r="J2453" s="11" t="n"/>
      <c r="K2453" s="11" t="n"/>
      <c r="L2453" s="11" t="n"/>
      <c r="M2453" s="11" t="n"/>
    </row>
    <row r="2454">
      <c r="A2454" s="11" t="n"/>
      <c r="B2454" s="11" t="n"/>
      <c r="C2454" s="11" t="n"/>
      <c r="D2454" s="11" t="n"/>
      <c r="E2454" s="11" t="n"/>
      <c r="F2454" s="11" t="n"/>
      <c r="G2454" s="11" t="n"/>
      <c r="H2454" s="11" t="n"/>
      <c r="I2454" s="11" t="n"/>
      <c r="J2454" s="11" t="n"/>
      <c r="K2454" s="11" t="n"/>
      <c r="L2454" s="11" t="n"/>
      <c r="M2454" s="11" t="n"/>
    </row>
    <row r="2455">
      <c r="A2455" s="11" t="n"/>
      <c r="B2455" s="11" t="n"/>
      <c r="C2455" s="11" t="n"/>
      <c r="D2455" s="11" t="n"/>
      <c r="E2455" s="11" t="n"/>
      <c r="F2455" s="11" t="n"/>
      <c r="G2455" s="11" t="n"/>
      <c r="H2455" s="11" t="n"/>
      <c r="I2455" s="11" t="n"/>
      <c r="J2455" s="11" t="n"/>
      <c r="K2455" s="11" t="n"/>
      <c r="L2455" s="11" t="n"/>
      <c r="M2455" s="11" t="n"/>
    </row>
    <row r="2456">
      <c r="A2456" s="11" t="n"/>
      <c r="B2456" s="11" t="n"/>
      <c r="C2456" s="11" t="n"/>
      <c r="D2456" s="11" t="n"/>
      <c r="E2456" s="11" t="n"/>
      <c r="F2456" s="11" t="n"/>
      <c r="G2456" s="11" t="n"/>
      <c r="H2456" s="11" t="n"/>
      <c r="I2456" s="11" t="n"/>
      <c r="J2456" s="11" t="n"/>
      <c r="K2456" s="11" t="n"/>
      <c r="L2456" s="11" t="n"/>
      <c r="M2456" s="11" t="n"/>
    </row>
    <row r="2457">
      <c r="A2457" s="11" t="n"/>
      <c r="B2457" s="11" t="n"/>
      <c r="C2457" s="11" t="n"/>
      <c r="D2457" s="11" t="n"/>
      <c r="E2457" s="11" t="n"/>
      <c r="F2457" s="11" t="n"/>
      <c r="G2457" s="11" t="n"/>
      <c r="H2457" s="11" t="n"/>
      <c r="I2457" s="11" t="n"/>
      <c r="J2457" s="11" t="n"/>
      <c r="K2457" s="11" t="n"/>
      <c r="L2457" s="11" t="n"/>
      <c r="M2457" s="11" t="n"/>
    </row>
    <row r="2458">
      <c r="A2458" s="11" t="n"/>
      <c r="B2458" s="11" t="n"/>
      <c r="C2458" s="11" t="n"/>
      <c r="D2458" s="11" t="n"/>
      <c r="E2458" s="11" t="n"/>
      <c r="F2458" s="11" t="n"/>
      <c r="G2458" s="11" t="n"/>
      <c r="H2458" s="11" t="n"/>
      <c r="I2458" s="11" t="n"/>
      <c r="J2458" s="11" t="n"/>
      <c r="K2458" s="11" t="n"/>
      <c r="L2458" s="11" t="n"/>
      <c r="M2458" s="11" t="n"/>
    </row>
    <row r="2459">
      <c r="A2459" s="11" t="n"/>
      <c r="B2459" s="11" t="n"/>
      <c r="C2459" s="11" t="n"/>
      <c r="D2459" s="11" t="n"/>
      <c r="E2459" s="11" t="n"/>
      <c r="F2459" s="11" t="n"/>
      <c r="G2459" s="11" t="n"/>
      <c r="H2459" s="11" t="n"/>
      <c r="I2459" s="11" t="n"/>
      <c r="J2459" s="11" t="n"/>
      <c r="K2459" s="11" t="n"/>
      <c r="L2459" s="11" t="n"/>
      <c r="M2459" s="11" t="n"/>
    </row>
    <row r="2460">
      <c r="A2460" s="11" t="n"/>
      <c r="B2460" s="11" t="n"/>
      <c r="C2460" s="11" t="n"/>
      <c r="D2460" s="11" t="n"/>
      <c r="E2460" s="11" t="n"/>
      <c r="F2460" s="11" t="n"/>
      <c r="G2460" s="11" t="n"/>
      <c r="H2460" s="11" t="n"/>
      <c r="I2460" s="11" t="n"/>
      <c r="J2460" s="11" t="n"/>
      <c r="K2460" s="11" t="n"/>
      <c r="L2460" s="11" t="n"/>
      <c r="M2460" s="11" t="n"/>
    </row>
    <row r="2461">
      <c r="A2461" s="11" t="n"/>
      <c r="B2461" s="11" t="n"/>
      <c r="C2461" s="11" t="n"/>
      <c r="D2461" s="11" t="n"/>
      <c r="E2461" s="11" t="n"/>
      <c r="F2461" s="11" t="n"/>
      <c r="G2461" s="11" t="n"/>
      <c r="H2461" s="11" t="n"/>
      <c r="I2461" s="11" t="n"/>
      <c r="J2461" s="11" t="n"/>
      <c r="K2461" s="11" t="n"/>
      <c r="L2461" s="11" t="n"/>
      <c r="M2461" s="11" t="n"/>
    </row>
    <row r="2462">
      <c r="A2462" s="11" t="n"/>
      <c r="B2462" s="11" t="n"/>
      <c r="C2462" s="11" t="n"/>
      <c r="D2462" s="11" t="n"/>
      <c r="E2462" s="11" t="n"/>
      <c r="F2462" s="11" t="n"/>
      <c r="G2462" s="11" t="n"/>
      <c r="H2462" s="11" t="n"/>
      <c r="I2462" s="11" t="n"/>
      <c r="J2462" s="11" t="n"/>
      <c r="K2462" s="11" t="n"/>
      <c r="L2462" s="11" t="n"/>
      <c r="M2462" s="11" t="n"/>
    </row>
    <row r="2463">
      <c r="A2463" s="11" t="n"/>
      <c r="B2463" s="11" t="n"/>
      <c r="C2463" s="11" t="n"/>
      <c r="D2463" s="11" t="n"/>
      <c r="E2463" s="11" t="n"/>
      <c r="F2463" s="11" t="n"/>
      <c r="G2463" s="11" t="n"/>
      <c r="H2463" s="11" t="n"/>
      <c r="I2463" s="11" t="n"/>
      <c r="J2463" s="11" t="n"/>
      <c r="K2463" s="11" t="n"/>
      <c r="L2463" s="11" t="n"/>
      <c r="M2463" s="11" t="n"/>
    </row>
    <row r="2464">
      <c r="A2464" s="11" t="n"/>
      <c r="B2464" s="11" t="n"/>
      <c r="C2464" s="11" t="n"/>
      <c r="D2464" s="11" t="n"/>
      <c r="E2464" s="11" t="n"/>
      <c r="F2464" s="11" t="n"/>
      <c r="G2464" s="11" t="n"/>
      <c r="H2464" s="11" t="n"/>
      <c r="I2464" s="11" t="n"/>
      <c r="J2464" s="11" t="n"/>
      <c r="K2464" s="11" t="n"/>
      <c r="L2464" s="11" t="n"/>
      <c r="M2464" s="11" t="n"/>
    </row>
    <row r="2465">
      <c r="A2465" s="11" t="n"/>
      <c r="B2465" s="11" t="n"/>
      <c r="C2465" s="11" t="n"/>
      <c r="D2465" s="11" t="n"/>
      <c r="E2465" s="11" t="n"/>
      <c r="F2465" s="11" t="n"/>
      <c r="G2465" s="11" t="n"/>
      <c r="H2465" s="11" t="n"/>
      <c r="I2465" s="11" t="n"/>
      <c r="J2465" s="11" t="n"/>
      <c r="K2465" s="11" t="n"/>
      <c r="L2465" s="11" t="n"/>
      <c r="M2465" s="11" t="n"/>
    </row>
    <row r="2466">
      <c r="A2466" s="11" t="n"/>
      <c r="B2466" s="11" t="n"/>
      <c r="C2466" s="11" t="n"/>
      <c r="D2466" s="11" t="n"/>
      <c r="E2466" s="11" t="n"/>
      <c r="F2466" s="11" t="n"/>
      <c r="G2466" s="11" t="n"/>
      <c r="H2466" s="11" t="n"/>
      <c r="I2466" s="11" t="n"/>
      <c r="J2466" s="11" t="n"/>
      <c r="K2466" s="11" t="n"/>
      <c r="L2466" s="11" t="n"/>
      <c r="M2466" s="11" t="n"/>
    </row>
    <row r="2467">
      <c r="A2467" s="11" t="n"/>
      <c r="B2467" s="11" t="n"/>
      <c r="C2467" s="11" t="n"/>
      <c r="D2467" s="11" t="n"/>
      <c r="E2467" s="11" t="n"/>
      <c r="F2467" s="11" t="n"/>
      <c r="G2467" s="11" t="n"/>
      <c r="H2467" s="11" t="n"/>
      <c r="I2467" s="11" t="n"/>
      <c r="J2467" s="11" t="n"/>
      <c r="K2467" s="11" t="n"/>
      <c r="L2467" s="11" t="n"/>
      <c r="M2467" s="11" t="n"/>
    </row>
    <row r="2468">
      <c r="A2468" s="11" t="n"/>
      <c r="B2468" s="11" t="n"/>
      <c r="C2468" s="11" t="n"/>
      <c r="D2468" s="11" t="n"/>
      <c r="E2468" s="11" t="n"/>
      <c r="F2468" s="11" t="n"/>
      <c r="G2468" s="11" t="n"/>
      <c r="H2468" s="11" t="n"/>
      <c r="I2468" s="11" t="n"/>
      <c r="J2468" s="11" t="n"/>
      <c r="K2468" s="11" t="n"/>
      <c r="L2468" s="11" t="n"/>
      <c r="M2468" s="11" t="n"/>
    </row>
    <row r="2469">
      <c r="A2469" s="11" t="n"/>
      <c r="B2469" s="11" t="n"/>
      <c r="C2469" s="11" t="n"/>
      <c r="D2469" s="11" t="n"/>
      <c r="E2469" s="11" t="n"/>
      <c r="F2469" s="11" t="n"/>
      <c r="G2469" s="11" t="n"/>
      <c r="H2469" s="11" t="n"/>
      <c r="I2469" s="11" t="n"/>
      <c r="J2469" s="11" t="n"/>
      <c r="K2469" s="11" t="n"/>
      <c r="L2469" s="11" t="n"/>
      <c r="M2469" s="11" t="n"/>
    </row>
    <row r="2470">
      <c r="A2470" s="11" t="n"/>
      <c r="B2470" s="11" t="n"/>
      <c r="C2470" s="11" t="n"/>
      <c r="D2470" s="11" t="n"/>
      <c r="E2470" s="11" t="n"/>
      <c r="F2470" s="11" t="n"/>
      <c r="G2470" s="11" t="n"/>
      <c r="H2470" s="11" t="n"/>
      <c r="I2470" s="11" t="n"/>
      <c r="J2470" s="11" t="n"/>
      <c r="K2470" s="11" t="n"/>
      <c r="L2470" s="11" t="n"/>
      <c r="M2470" s="11" t="n"/>
    </row>
    <row r="2471">
      <c r="A2471" s="11" t="n"/>
      <c r="B2471" s="11" t="n"/>
      <c r="C2471" s="11" t="n"/>
      <c r="D2471" s="11" t="n"/>
      <c r="E2471" s="11" t="n"/>
      <c r="F2471" s="11" t="n"/>
      <c r="G2471" s="11" t="n"/>
      <c r="H2471" s="11" t="n"/>
      <c r="I2471" s="11" t="n"/>
      <c r="J2471" s="11" t="n"/>
      <c r="K2471" s="11" t="n"/>
      <c r="L2471" s="11" t="n"/>
      <c r="M2471" s="11" t="n"/>
    </row>
    <row r="2472">
      <c r="A2472" s="11" t="n"/>
      <c r="B2472" s="11" t="n"/>
      <c r="C2472" s="11" t="n"/>
      <c r="D2472" s="11" t="n"/>
      <c r="E2472" s="11" t="n"/>
      <c r="F2472" s="11" t="n"/>
      <c r="G2472" s="11" t="n"/>
      <c r="H2472" s="11" t="n"/>
      <c r="I2472" s="11" t="n"/>
      <c r="J2472" s="11" t="n"/>
      <c r="K2472" s="11" t="n"/>
      <c r="L2472" s="11" t="n"/>
      <c r="M2472" s="11" t="n"/>
    </row>
    <row r="2473">
      <c r="A2473" s="11" t="n"/>
      <c r="B2473" s="11" t="n"/>
      <c r="C2473" s="11" t="n"/>
      <c r="D2473" s="11" t="n"/>
      <c r="E2473" s="11" t="n"/>
      <c r="F2473" s="11" t="n"/>
      <c r="G2473" s="11" t="n"/>
      <c r="H2473" s="11" t="n"/>
      <c r="I2473" s="11" t="n"/>
      <c r="J2473" s="11" t="n"/>
      <c r="K2473" s="11" t="n"/>
      <c r="L2473" s="11" t="n"/>
      <c r="M2473" s="11" t="n"/>
    </row>
    <row r="2474">
      <c r="A2474" s="11" t="n"/>
      <c r="B2474" s="11" t="n"/>
      <c r="C2474" s="11" t="n"/>
      <c r="D2474" s="11" t="n"/>
      <c r="E2474" s="11" t="n"/>
      <c r="F2474" s="11" t="n"/>
      <c r="G2474" s="11" t="n"/>
      <c r="H2474" s="11" t="n"/>
      <c r="I2474" s="11" t="n"/>
      <c r="J2474" s="11" t="n"/>
      <c r="K2474" s="11" t="n"/>
      <c r="L2474" s="11" t="n"/>
      <c r="M2474" s="11" t="n"/>
    </row>
    <row r="2475">
      <c r="A2475" s="11" t="n"/>
      <c r="B2475" s="11" t="n"/>
      <c r="C2475" s="11" t="n"/>
      <c r="D2475" s="11" t="n"/>
      <c r="E2475" s="11" t="n"/>
      <c r="F2475" s="11" t="n"/>
      <c r="G2475" s="11" t="n"/>
      <c r="H2475" s="11" t="n"/>
      <c r="I2475" s="11" t="n"/>
      <c r="J2475" s="11" t="n"/>
      <c r="K2475" s="11" t="n"/>
      <c r="L2475" s="11" t="n"/>
      <c r="M2475" s="11" t="n"/>
    </row>
    <row r="2476">
      <c r="A2476" s="11" t="n"/>
      <c r="B2476" s="11" t="n"/>
      <c r="C2476" s="11" t="n"/>
      <c r="D2476" s="11" t="n"/>
      <c r="E2476" s="11" t="n"/>
      <c r="F2476" s="11" t="n"/>
      <c r="G2476" s="11" t="n"/>
      <c r="H2476" s="11" t="n"/>
      <c r="I2476" s="11" t="n"/>
      <c r="J2476" s="11" t="n"/>
      <c r="K2476" s="11" t="n"/>
      <c r="L2476" s="11" t="n"/>
      <c r="M2476" s="11" t="n"/>
    </row>
    <row r="2477">
      <c r="A2477" s="11" t="n"/>
      <c r="B2477" s="11" t="n"/>
      <c r="C2477" s="11" t="n"/>
      <c r="D2477" s="11" t="n"/>
      <c r="E2477" s="11" t="n"/>
      <c r="F2477" s="11" t="n"/>
      <c r="G2477" s="11" t="n"/>
      <c r="H2477" s="11" t="n"/>
      <c r="I2477" s="11" t="n"/>
      <c r="J2477" s="11" t="n"/>
      <c r="K2477" s="11" t="n"/>
      <c r="L2477" s="11" t="n"/>
      <c r="M2477" s="11" t="n"/>
    </row>
    <row r="2478">
      <c r="A2478" s="11" t="n"/>
      <c r="B2478" s="11" t="n"/>
      <c r="C2478" s="11" t="n"/>
      <c r="D2478" s="11" t="n"/>
      <c r="E2478" s="11" t="n"/>
      <c r="F2478" s="11" t="n"/>
      <c r="G2478" s="11" t="n"/>
      <c r="H2478" s="11" t="n"/>
      <c r="I2478" s="11" t="n"/>
      <c r="J2478" s="11" t="n"/>
      <c r="K2478" s="11" t="n"/>
      <c r="L2478" s="11" t="n"/>
      <c r="M2478" s="11" t="n"/>
    </row>
    <row r="2479">
      <c r="A2479" s="11" t="n"/>
      <c r="B2479" s="11" t="n"/>
      <c r="C2479" s="11" t="n"/>
      <c r="D2479" s="11" t="n"/>
      <c r="E2479" s="11" t="n"/>
      <c r="F2479" s="11" t="n"/>
      <c r="G2479" s="11" t="n"/>
      <c r="H2479" s="11" t="n"/>
      <c r="I2479" s="11" t="n"/>
      <c r="J2479" s="11" t="n"/>
      <c r="K2479" s="11" t="n"/>
      <c r="L2479" s="11" t="n"/>
      <c r="M2479" s="11" t="n"/>
    </row>
    <row r="2480">
      <c r="A2480" s="11" t="n"/>
      <c r="B2480" s="11" t="n"/>
      <c r="C2480" s="11" t="n"/>
      <c r="D2480" s="11" t="n"/>
      <c r="E2480" s="11" t="n"/>
      <c r="F2480" s="11" t="n"/>
      <c r="G2480" s="11" t="n"/>
      <c r="H2480" s="11" t="n"/>
      <c r="I2480" s="11" t="n"/>
      <c r="J2480" s="11" t="n"/>
      <c r="K2480" s="11" t="n"/>
      <c r="L2480" s="11" t="n"/>
      <c r="M2480" s="11" t="n"/>
    </row>
    <row r="2481">
      <c r="A2481" s="11" t="n"/>
      <c r="B2481" s="11" t="n"/>
      <c r="C2481" s="11" t="n"/>
      <c r="D2481" s="11" t="n"/>
      <c r="E2481" s="11" t="n"/>
      <c r="F2481" s="11" t="n"/>
      <c r="G2481" s="11" t="n"/>
      <c r="H2481" s="11" t="n"/>
      <c r="I2481" s="11" t="n"/>
      <c r="J2481" s="11" t="n"/>
      <c r="K2481" s="11" t="n"/>
      <c r="L2481" s="11" t="n"/>
      <c r="M2481" s="11" t="n"/>
    </row>
    <row r="2482">
      <c r="A2482" s="11" t="n"/>
      <c r="B2482" s="11" t="n"/>
      <c r="C2482" s="11" t="n"/>
      <c r="D2482" s="11" t="n"/>
      <c r="E2482" s="11" t="n"/>
      <c r="F2482" s="11" t="n"/>
      <c r="G2482" s="11" t="n"/>
      <c r="H2482" s="11" t="n"/>
      <c r="I2482" s="11" t="n"/>
      <c r="J2482" s="11" t="n"/>
      <c r="K2482" s="11" t="n"/>
      <c r="L2482" s="11" t="n"/>
      <c r="M2482" s="11" t="n"/>
    </row>
    <row r="2483">
      <c r="A2483" s="11" t="n"/>
      <c r="B2483" s="11" t="n"/>
      <c r="C2483" s="11" t="n"/>
      <c r="D2483" s="11" t="n"/>
      <c r="E2483" s="11" t="n"/>
      <c r="F2483" s="11" t="n"/>
      <c r="G2483" s="11" t="n"/>
      <c r="H2483" s="11" t="n"/>
      <c r="I2483" s="11" t="n"/>
      <c r="J2483" s="11" t="n"/>
      <c r="K2483" s="11" t="n"/>
      <c r="L2483" s="11" t="n"/>
      <c r="M2483" s="11" t="n"/>
    </row>
    <row r="2484">
      <c r="A2484" s="11" t="n"/>
      <c r="B2484" s="11" t="n"/>
      <c r="C2484" s="11" t="n"/>
      <c r="D2484" s="11" t="n"/>
      <c r="E2484" s="11" t="n"/>
      <c r="F2484" s="11" t="n"/>
      <c r="G2484" s="11" t="n"/>
      <c r="H2484" s="11" t="n"/>
      <c r="I2484" s="11" t="n"/>
      <c r="J2484" s="11" t="n"/>
      <c r="K2484" s="11" t="n"/>
      <c r="L2484" s="11" t="n"/>
      <c r="M2484" s="11" t="n"/>
    </row>
    <row r="2485">
      <c r="A2485" s="11" t="n"/>
      <c r="B2485" s="11" t="n"/>
      <c r="C2485" s="11" t="n"/>
      <c r="D2485" s="11" t="n"/>
      <c r="E2485" s="11" t="n"/>
      <c r="F2485" s="11" t="n"/>
      <c r="G2485" s="11" t="n"/>
      <c r="H2485" s="11" t="n"/>
      <c r="I2485" s="11" t="n"/>
      <c r="J2485" s="11" t="n"/>
      <c r="K2485" s="11" t="n"/>
      <c r="L2485" s="11" t="n"/>
      <c r="M2485" s="11" t="n"/>
    </row>
    <row r="2486">
      <c r="A2486" s="11" t="n"/>
      <c r="B2486" s="11" t="n"/>
      <c r="C2486" s="11" t="n"/>
      <c r="D2486" s="11" t="n"/>
      <c r="E2486" s="11" t="n"/>
      <c r="F2486" s="11" t="n"/>
      <c r="G2486" s="11" t="n"/>
      <c r="H2486" s="11" t="n"/>
      <c r="I2486" s="11" t="n"/>
      <c r="J2486" s="11" t="n"/>
      <c r="K2486" s="11" t="n"/>
      <c r="L2486" s="11" t="n"/>
      <c r="M2486" s="11" t="n"/>
    </row>
    <row r="2487">
      <c r="A2487" s="11" t="n"/>
      <c r="B2487" s="11" t="n"/>
      <c r="C2487" s="11" t="n"/>
      <c r="D2487" s="11" t="n"/>
      <c r="E2487" s="11" t="n"/>
      <c r="F2487" s="11" t="n"/>
      <c r="G2487" s="11" t="n"/>
      <c r="H2487" s="11" t="n"/>
      <c r="I2487" s="11" t="n"/>
      <c r="J2487" s="11" t="n"/>
      <c r="K2487" s="11" t="n"/>
      <c r="L2487" s="11" t="n"/>
      <c r="M2487" s="11" t="n"/>
    </row>
    <row r="2488">
      <c r="A2488" s="11" t="n"/>
      <c r="B2488" s="11" t="n"/>
      <c r="C2488" s="11" t="n"/>
      <c r="D2488" s="11" t="n"/>
      <c r="E2488" s="11" t="n"/>
      <c r="F2488" s="11" t="n"/>
      <c r="G2488" s="11" t="n"/>
      <c r="H2488" s="11" t="n"/>
      <c r="I2488" s="11" t="n"/>
      <c r="J2488" s="11" t="n"/>
      <c r="K2488" s="11" t="n"/>
      <c r="L2488" s="11" t="n"/>
      <c r="M2488" s="11" t="n"/>
    </row>
    <row r="2489">
      <c r="A2489" s="11" t="n"/>
      <c r="B2489" s="11" t="n"/>
      <c r="C2489" s="11" t="n"/>
      <c r="D2489" s="11" t="n"/>
      <c r="E2489" s="11" t="n"/>
      <c r="F2489" s="11" t="n"/>
      <c r="G2489" s="11" t="n"/>
      <c r="H2489" s="11" t="n"/>
      <c r="I2489" s="11" t="n"/>
      <c r="J2489" s="11" t="n"/>
      <c r="K2489" s="11" t="n"/>
      <c r="L2489" s="11" t="n"/>
      <c r="M2489" s="11" t="n"/>
    </row>
    <row r="2490">
      <c r="A2490" s="11" t="n"/>
      <c r="B2490" s="11" t="n"/>
      <c r="C2490" s="11" t="n"/>
      <c r="D2490" s="11" t="n"/>
      <c r="E2490" s="11" t="n"/>
      <c r="F2490" s="11" t="n"/>
      <c r="G2490" s="11" t="n"/>
      <c r="H2490" s="11" t="n"/>
      <c r="I2490" s="11" t="n"/>
      <c r="J2490" s="11" t="n"/>
      <c r="K2490" s="11" t="n"/>
      <c r="L2490" s="11" t="n"/>
      <c r="M2490" s="11" t="n"/>
    </row>
    <row r="2491">
      <c r="A2491" s="11" t="n"/>
      <c r="B2491" s="11" t="n"/>
      <c r="C2491" s="11" t="n"/>
      <c r="D2491" s="11" t="n"/>
      <c r="E2491" s="11" t="n"/>
      <c r="F2491" s="11" t="n"/>
      <c r="G2491" s="11" t="n"/>
      <c r="H2491" s="11" t="n"/>
      <c r="I2491" s="11" t="n"/>
      <c r="J2491" s="11" t="n"/>
      <c r="K2491" s="11" t="n"/>
      <c r="L2491" s="11" t="n"/>
      <c r="M2491" s="11" t="n"/>
    </row>
    <row r="2492">
      <c r="A2492" s="11" t="n"/>
      <c r="B2492" s="11" t="n"/>
      <c r="C2492" s="11" t="n"/>
      <c r="D2492" s="11" t="n"/>
      <c r="E2492" s="11" t="n"/>
      <c r="F2492" s="11" t="n"/>
      <c r="G2492" s="11" t="n"/>
      <c r="H2492" s="11" t="n"/>
      <c r="I2492" s="11" t="n"/>
      <c r="J2492" s="11" t="n"/>
      <c r="K2492" s="11" t="n"/>
      <c r="L2492" s="11" t="n"/>
      <c r="M2492" s="11" t="n"/>
    </row>
    <row r="2493">
      <c r="A2493" s="11" t="n"/>
      <c r="B2493" s="11" t="n"/>
      <c r="C2493" s="11" t="n"/>
      <c r="D2493" s="11" t="n"/>
      <c r="E2493" s="11" t="n"/>
      <c r="F2493" s="11" t="n"/>
      <c r="G2493" s="11" t="n"/>
      <c r="H2493" s="11" t="n"/>
      <c r="I2493" s="11" t="n"/>
      <c r="J2493" s="11" t="n"/>
      <c r="K2493" s="11" t="n"/>
      <c r="L2493" s="11" t="n"/>
      <c r="M2493" s="11" t="n"/>
    </row>
    <row r="2494">
      <c r="A2494" s="11" t="n"/>
      <c r="B2494" s="11" t="n"/>
      <c r="C2494" s="11" t="n"/>
      <c r="D2494" s="11" t="n"/>
      <c r="E2494" s="11" t="n"/>
      <c r="F2494" s="11" t="n"/>
      <c r="G2494" s="11" t="n"/>
      <c r="H2494" s="11" t="n"/>
      <c r="I2494" s="11" t="n"/>
      <c r="J2494" s="11" t="n"/>
      <c r="K2494" s="11" t="n"/>
      <c r="L2494" s="11" t="n"/>
      <c r="M2494" s="11" t="n"/>
    </row>
    <row r="2495">
      <c r="A2495" s="11" t="n"/>
      <c r="B2495" s="11" t="n"/>
      <c r="C2495" s="11" t="n"/>
      <c r="D2495" s="11" t="n"/>
      <c r="E2495" s="11" t="n"/>
      <c r="F2495" s="11" t="n"/>
      <c r="G2495" s="11" t="n"/>
      <c r="H2495" s="11" t="n"/>
      <c r="I2495" s="11" t="n"/>
      <c r="J2495" s="11" t="n"/>
      <c r="K2495" s="11" t="n"/>
      <c r="L2495" s="11" t="n"/>
      <c r="M2495" s="11" t="n"/>
    </row>
    <row r="2496">
      <c r="A2496" s="11" t="n"/>
      <c r="B2496" s="11" t="n"/>
      <c r="C2496" s="11" t="n"/>
      <c r="D2496" s="11" t="n"/>
      <c r="E2496" s="11" t="n"/>
      <c r="F2496" s="11" t="n"/>
      <c r="G2496" s="11" t="n"/>
      <c r="H2496" s="11" t="n"/>
      <c r="I2496" s="11" t="n"/>
      <c r="J2496" s="11" t="n"/>
      <c r="K2496" s="11" t="n"/>
      <c r="L2496" s="11" t="n"/>
      <c r="M2496" s="11" t="n"/>
    </row>
    <row r="2497">
      <c r="A2497" s="11" t="n"/>
      <c r="B2497" s="11" t="n"/>
      <c r="C2497" s="11" t="n"/>
      <c r="D2497" s="11" t="n"/>
      <c r="E2497" s="11" t="n"/>
      <c r="F2497" s="11" t="n"/>
      <c r="G2497" s="11" t="n"/>
      <c r="H2497" s="11" t="n"/>
      <c r="I2497" s="11" t="n"/>
      <c r="J2497" s="11" t="n"/>
      <c r="K2497" s="11" t="n"/>
      <c r="L2497" s="11" t="n"/>
      <c r="M2497" s="11" t="n"/>
    </row>
    <row r="2498">
      <c r="A2498" s="11" t="n"/>
      <c r="B2498" s="11" t="n"/>
      <c r="C2498" s="11" t="n"/>
      <c r="D2498" s="11" t="n"/>
      <c r="E2498" s="11" t="n"/>
      <c r="F2498" s="11" t="n"/>
      <c r="G2498" s="11" t="n"/>
      <c r="H2498" s="11" t="n"/>
      <c r="I2498" s="11" t="n"/>
      <c r="J2498" s="11" t="n"/>
      <c r="K2498" s="11" t="n"/>
      <c r="L2498" s="11" t="n"/>
      <c r="M2498" s="11" t="n"/>
    </row>
    <row r="2499">
      <c r="A2499" s="11" t="n"/>
      <c r="B2499" s="11" t="n"/>
      <c r="C2499" s="11" t="n"/>
      <c r="D2499" s="11" t="n"/>
      <c r="E2499" s="11" t="n"/>
      <c r="F2499" s="11" t="n"/>
      <c r="G2499" s="11" t="n"/>
      <c r="H2499" s="11" t="n"/>
      <c r="I2499" s="11" t="n"/>
      <c r="J2499" s="11" t="n"/>
      <c r="K2499" s="11" t="n"/>
      <c r="L2499" s="11" t="n"/>
      <c r="M2499" s="11" t="n"/>
    </row>
    <row r="2500">
      <c r="A2500" s="11" t="n"/>
      <c r="B2500" s="11" t="n"/>
      <c r="C2500" s="11" t="n"/>
      <c r="D2500" s="11" t="n"/>
      <c r="E2500" s="11" t="n"/>
      <c r="F2500" s="11" t="n"/>
      <c r="G2500" s="11" t="n"/>
      <c r="H2500" s="11" t="n"/>
      <c r="I2500" s="11" t="n"/>
      <c r="J2500" s="11" t="n"/>
      <c r="K2500" s="11" t="n"/>
      <c r="L2500" s="11" t="n"/>
      <c r="M2500" s="11" t="n"/>
    </row>
    <row r="2501">
      <c r="A2501" s="11" t="n"/>
      <c r="B2501" s="11" t="n"/>
      <c r="C2501" s="11" t="n"/>
      <c r="D2501" s="11" t="n"/>
      <c r="E2501" s="11" t="n"/>
      <c r="F2501" s="11" t="n"/>
      <c r="G2501" s="11" t="n"/>
      <c r="H2501" s="11" t="n"/>
      <c r="I2501" s="11" t="n"/>
      <c r="J2501" s="11" t="n"/>
      <c r="K2501" s="11" t="n"/>
      <c r="L2501" s="11" t="n"/>
      <c r="M2501" s="11" t="n"/>
    </row>
    <row r="2502">
      <c r="A2502" s="11" t="n"/>
      <c r="B2502" s="11" t="n"/>
      <c r="C2502" s="11" t="n"/>
      <c r="D2502" s="11" t="n"/>
      <c r="E2502" s="11" t="n"/>
      <c r="F2502" s="11" t="n"/>
      <c r="G2502" s="11" t="n"/>
      <c r="H2502" s="11" t="n"/>
      <c r="I2502" s="11" t="n"/>
      <c r="J2502" s="11" t="n"/>
      <c r="K2502" s="11" t="n"/>
      <c r="L2502" s="11" t="n"/>
      <c r="M2502" s="11" t="n"/>
    </row>
    <row r="2503">
      <c r="A2503" s="11" t="n"/>
      <c r="B2503" s="11" t="n"/>
      <c r="C2503" s="11" t="n"/>
      <c r="D2503" s="11" t="n"/>
      <c r="E2503" s="11" t="n"/>
      <c r="F2503" s="11" t="n"/>
      <c r="G2503" s="11" t="n"/>
      <c r="H2503" s="11" t="n"/>
      <c r="I2503" s="11" t="n"/>
      <c r="J2503" s="11" t="n"/>
      <c r="K2503" s="11" t="n"/>
      <c r="L2503" s="11" t="n"/>
      <c r="M2503" s="11" t="n"/>
    </row>
    <row r="2504">
      <c r="A2504" s="11" t="n"/>
      <c r="B2504" s="11" t="n"/>
      <c r="C2504" s="11" t="n"/>
      <c r="D2504" s="11" t="n"/>
      <c r="E2504" s="11" t="n"/>
      <c r="F2504" s="11" t="n"/>
      <c r="G2504" s="11" t="n"/>
      <c r="H2504" s="11" t="n"/>
      <c r="I2504" s="11" t="n"/>
      <c r="J2504" s="11" t="n"/>
      <c r="K2504" s="11" t="n"/>
      <c r="L2504" s="11" t="n"/>
      <c r="M2504" s="11" t="n"/>
    </row>
    <row r="2505">
      <c r="A2505" s="11" t="n"/>
      <c r="B2505" s="11" t="n"/>
      <c r="C2505" s="11" t="n"/>
      <c r="D2505" s="11" t="n"/>
      <c r="E2505" s="11" t="n"/>
      <c r="F2505" s="11" t="n"/>
      <c r="G2505" s="11" t="n"/>
      <c r="H2505" s="11" t="n"/>
      <c r="I2505" s="11" t="n"/>
      <c r="J2505" s="11" t="n"/>
      <c r="K2505" s="11" t="n"/>
      <c r="L2505" s="11" t="n"/>
      <c r="M2505" s="11" t="n"/>
    </row>
    <row r="2506">
      <c r="A2506" s="11" t="n"/>
      <c r="B2506" s="11" t="n"/>
      <c r="C2506" s="11" t="n"/>
      <c r="D2506" s="11" t="n"/>
      <c r="E2506" s="11" t="n"/>
      <c r="F2506" s="11" t="n"/>
      <c r="G2506" s="11" t="n"/>
      <c r="H2506" s="11" t="n"/>
      <c r="I2506" s="11" t="n"/>
      <c r="J2506" s="11" t="n"/>
      <c r="K2506" s="11" t="n"/>
      <c r="L2506" s="11" t="n"/>
      <c r="M2506" s="11" t="n"/>
    </row>
    <row r="2507">
      <c r="A2507" s="11" t="n"/>
      <c r="B2507" s="11" t="n"/>
      <c r="C2507" s="11" t="n"/>
      <c r="D2507" s="11" t="n"/>
      <c r="E2507" s="11" t="n"/>
      <c r="F2507" s="11" t="n"/>
      <c r="G2507" s="11" t="n"/>
      <c r="H2507" s="11" t="n"/>
      <c r="I2507" s="11" t="n"/>
      <c r="J2507" s="11" t="n"/>
      <c r="K2507" s="11" t="n"/>
      <c r="L2507" s="11" t="n"/>
      <c r="M2507" s="11" t="n"/>
    </row>
    <row r="2508">
      <c r="A2508" s="11" t="n"/>
      <c r="B2508" s="11" t="n"/>
      <c r="C2508" s="11" t="n"/>
      <c r="D2508" s="11" t="n"/>
      <c r="E2508" s="11" t="n"/>
      <c r="F2508" s="11" t="n"/>
      <c r="G2508" s="11" t="n"/>
      <c r="H2508" s="11" t="n"/>
      <c r="I2508" s="11" t="n"/>
      <c r="J2508" s="11" t="n"/>
      <c r="K2508" s="11" t="n"/>
      <c r="L2508" s="11" t="n"/>
      <c r="M2508" s="11" t="n"/>
    </row>
    <row r="2509">
      <c r="A2509" s="11" t="n"/>
      <c r="B2509" s="11" t="n"/>
      <c r="C2509" s="11" t="n"/>
      <c r="D2509" s="11" t="n"/>
      <c r="E2509" s="11" t="n"/>
      <c r="F2509" s="11" t="n"/>
      <c r="G2509" s="11" t="n"/>
      <c r="H2509" s="11" t="n"/>
      <c r="I2509" s="11" t="n"/>
      <c r="J2509" s="11" t="n"/>
      <c r="K2509" s="11" t="n"/>
      <c r="L2509" s="11" t="n"/>
      <c r="M2509" s="11" t="n"/>
    </row>
    <row r="2510">
      <c r="A2510" s="11" t="n"/>
      <c r="B2510" s="11" t="n"/>
      <c r="C2510" s="11" t="n"/>
      <c r="D2510" s="11" t="n"/>
      <c r="E2510" s="11" t="n"/>
      <c r="F2510" s="11" t="n"/>
      <c r="G2510" s="11" t="n"/>
      <c r="H2510" s="11" t="n"/>
      <c r="I2510" s="11" t="n"/>
      <c r="J2510" s="11" t="n"/>
      <c r="K2510" s="11" t="n"/>
      <c r="L2510" s="11" t="n"/>
      <c r="M2510" s="11" t="n"/>
    </row>
    <row r="2511">
      <c r="A2511" s="11" t="n"/>
      <c r="B2511" s="11" t="n"/>
      <c r="C2511" s="11" t="n"/>
      <c r="D2511" s="11" t="n"/>
      <c r="E2511" s="11" t="n"/>
      <c r="F2511" s="11" t="n"/>
      <c r="G2511" s="11" t="n"/>
      <c r="H2511" s="11" t="n"/>
      <c r="I2511" s="11" t="n"/>
      <c r="J2511" s="11" t="n"/>
      <c r="K2511" s="11" t="n"/>
      <c r="L2511" s="11" t="n"/>
      <c r="M2511" s="11" t="n"/>
    </row>
    <row r="2512">
      <c r="A2512" s="11" t="n"/>
      <c r="B2512" s="11" t="n"/>
      <c r="C2512" s="11" t="n"/>
      <c r="D2512" s="11" t="n"/>
      <c r="E2512" s="11" t="n"/>
      <c r="F2512" s="11" t="n"/>
      <c r="G2512" s="11" t="n"/>
      <c r="H2512" s="11" t="n"/>
      <c r="I2512" s="11" t="n"/>
      <c r="J2512" s="11" t="n"/>
      <c r="K2512" s="11" t="n"/>
      <c r="L2512" s="11" t="n"/>
      <c r="M2512" s="11" t="n"/>
    </row>
    <row r="2513">
      <c r="A2513" s="11" t="n"/>
      <c r="B2513" s="11" t="n"/>
      <c r="C2513" s="11" t="n"/>
      <c r="D2513" s="11" t="n"/>
      <c r="E2513" s="11" t="n"/>
      <c r="F2513" s="11" t="n"/>
      <c r="G2513" s="11" t="n"/>
      <c r="H2513" s="11" t="n"/>
      <c r="I2513" s="11" t="n"/>
      <c r="J2513" s="11" t="n"/>
      <c r="K2513" s="11" t="n"/>
      <c r="L2513" s="11" t="n"/>
      <c r="M2513" s="11" t="n"/>
    </row>
    <row r="2514">
      <c r="A2514" s="11" t="n"/>
      <c r="B2514" s="11" t="n"/>
      <c r="C2514" s="11" t="n"/>
      <c r="D2514" s="11" t="n"/>
      <c r="E2514" s="11" t="n"/>
      <c r="F2514" s="11" t="n"/>
      <c r="G2514" s="11" t="n"/>
      <c r="H2514" s="11" t="n"/>
      <c r="I2514" s="11" t="n"/>
      <c r="J2514" s="11" t="n"/>
      <c r="K2514" s="11" t="n"/>
      <c r="L2514" s="11" t="n"/>
      <c r="M2514" s="11" t="n"/>
    </row>
    <row r="2515">
      <c r="A2515" s="11" t="n"/>
      <c r="B2515" s="11" t="n"/>
      <c r="C2515" s="11" t="n"/>
      <c r="D2515" s="11" t="n"/>
      <c r="E2515" s="11" t="n"/>
      <c r="F2515" s="11" t="n"/>
      <c r="G2515" s="11" t="n"/>
      <c r="H2515" s="11" t="n"/>
      <c r="I2515" s="11" t="n"/>
      <c r="J2515" s="11" t="n"/>
      <c r="K2515" s="11" t="n"/>
      <c r="L2515" s="11" t="n"/>
      <c r="M2515" s="11" t="n"/>
    </row>
    <row r="2516">
      <c r="A2516" s="11" t="n"/>
      <c r="B2516" s="11" t="n"/>
      <c r="C2516" s="11" t="n"/>
      <c r="D2516" s="11" t="n"/>
      <c r="E2516" s="11" t="n"/>
      <c r="F2516" s="11" t="n"/>
      <c r="G2516" s="11" t="n"/>
      <c r="H2516" s="11" t="n"/>
      <c r="I2516" s="11" t="n"/>
      <c r="J2516" s="11" t="n"/>
      <c r="K2516" s="11" t="n"/>
      <c r="L2516" s="11" t="n"/>
      <c r="M2516" s="11" t="n"/>
    </row>
    <row r="2517">
      <c r="A2517" s="11" t="n"/>
      <c r="B2517" s="11" t="n"/>
      <c r="C2517" s="11" t="n"/>
      <c r="D2517" s="11" t="n"/>
      <c r="E2517" s="11" t="n"/>
      <c r="F2517" s="11" t="n"/>
      <c r="G2517" s="11" t="n"/>
      <c r="H2517" s="11" t="n"/>
      <c r="I2517" s="11" t="n"/>
      <c r="J2517" s="11" t="n"/>
      <c r="K2517" s="11" t="n"/>
      <c r="L2517" s="11" t="n"/>
      <c r="M2517" s="11" t="n"/>
    </row>
    <row r="2518">
      <c r="A2518" s="11" t="n"/>
      <c r="B2518" s="11" t="n"/>
      <c r="C2518" s="11" t="n"/>
      <c r="D2518" s="11" t="n"/>
      <c r="E2518" s="11" t="n"/>
      <c r="F2518" s="11" t="n"/>
      <c r="G2518" s="11" t="n"/>
      <c r="H2518" s="11" t="n"/>
      <c r="I2518" s="11" t="n"/>
      <c r="J2518" s="11" t="n"/>
      <c r="K2518" s="11" t="n"/>
      <c r="L2518" s="11" t="n"/>
      <c r="M2518" s="11" t="n"/>
    </row>
    <row r="2519">
      <c r="A2519" s="11" t="n"/>
      <c r="B2519" s="11" t="n"/>
      <c r="C2519" s="11" t="n"/>
      <c r="D2519" s="11" t="n"/>
      <c r="E2519" s="11" t="n"/>
      <c r="F2519" s="11" t="n"/>
      <c r="G2519" s="11" t="n"/>
      <c r="H2519" s="11" t="n"/>
      <c r="I2519" s="11" t="n"/>
      <c r="J2519" s="11" t="n"/>
      <c r="K2519" s="11" t="n"/>
      <c r="L2519" s="11" t="n"/>
      <c r="M2519" s="11" t="n"/>
    </row>
    <row r="2520">
      <c r="A2520" s="11" t="n"/>
      <c r="B2520" s="11" t="n"/>
      <c r="C2520" s="11" t="n"/>
      <c r="D2520" s="11" t="n"/>
      <c r="E2520" s="11" t="n"/>
      <c r="F2520" s="11" t="n"/>
      <c r="G2520" s="11" t="n"/>
      <c r="H2520" s="11" t="n"/>
      <c r="I2520" s="11" t="n"/>
      <c r="J2520" s="11" t="n"/>
      <c r="K2520" s="11" t="n"/>
      <c r="L2520" s="11" t="n"/>
      <c r="M2520" s="11" t="n"/>
    </row>
    <row r="2521">
      <c r="A2521" s="11" t="n"/>
      <c r="B2521" s="11" t="n"/>
      <c r="C2521" s="11" t="n"/>
      <c r="D2521" s="11" t="n"/>
      <c r="E2521" s="11" t="n"/>
      <c r="F2521" s="11" t="n"/>
      <c r="G2521" s="11" t="n"/>
      <c r="H2521" s="11" t="n"/>
      <c r="I2521" s="11" t="n"/>
      <c r="J2521" s="11" t="n"/>
      <c r="K2521" s="11" t="n"/>
      <c r="L2521" s="11" t="n"/>
      <c r="M2521" s="11" t="n"/>
    </row>
    <row r="2522">
      <c r="A2522" s="11" t="n"/>
      <c r="B2522" s="11" t="n"/>
      <c r="C2522" s="11" t="n"/>
      <c r="D2522" s="11" t="n"/>
      <c r="E2522" s="11" t="n"/>
      <c r="F2522" s="11" t="n"/>
      <c r="G2522" s="11" t="n"/>
      <c r="H2522" s="11" t="n"/>
      <c r="I2522" s="11" t="n"/>
      <c r="J2522" s="11" t="n"/>
      <c r="K2522" s="11" t="n"/>
      <c r="L2522" s="11" t="n"/>
      <c r="M2522" s="11" t="n"/>
    </row>
    <row r="2523">
      <c r="A2523" s="11" t="n"/>
      <c r="B2523" s="11" t="n"/>
      <c r="C2523" s="11" t="n"/>
      <c r="D2523" s="11" t="n"/>
      <c r="E2523" s="11" t="n"/>
      <c r="F2523" s="11" t="n"/>
      <c r="G2523" s="11" t="n"/>
      <c r="H2523" s="11" t="n"/>
      <c r="I2523" s="11" t="n"/>
      <c r="J2523" s="11" t="n"/>
      <c r="K2523" s="11" t="n"/>
      <c r="L2523" s="11" t="n"/>
      <c r="M2523" s="11" t="n"/>
    </row>
    <row r="2524">
      <c r="A2524" s="11" t="n"/>
      <c r="B2524" s="11" t="n"/>
      <c r="C2524" s="11" t="n"/>
      <c r="D2524" s="11" t="n"/>
      <c r="E2524" s="11" t="n"/>
      <c r="F2524" s="11" t="n"/>
      <c r="G2524" s="11" t="n"/>
      <c r="H2524" s="11" t="n"/>
      <c r="I2524" s="11" t="n"/>
      <c r="J2524" s="11" t="n"/>
      <c r="K2524" s="11" t="n"/>
      <c r="L2524" s="11" t="n"/>
      <c r="M2524" s="11" t="n"/>
    </row>
    <row r="2525">
      <c r="A2525" s="11" t="n"/>
      <c r="B2525" s="11" t="n"/>
      <c r="C2525" s="11" t="n"/>
      <c r="D2525" s="11" t="n"/>
      <c r="E2525" s="11" t="n"/>
      <c r="F2525" s="11" t="n"/>
      <c r="G2525" s="11" t="n"/>
      <c r="H2525" s="11" t="n"/>
      <c r="I2525" s="11" t="n"/>
      <c r="J2525" s="11" t="n"/>
      <c r="K2525" s="11" t="n"/>
      <c r="L2525" s="11" t="n"/>
      <c r="M2525" s="11" t="n"/>
    </row>
    <row r="2526">
      <c r="A2526" s="11" t="n"/>
      <c r="B2526" s="11" t="n"/>
      <c r="C2526" s="11" t="n"/>
      <c r="D2526" s="11" t="n"/>
      <c r="E2526" s="11" t="n"/>
      <c r="F2526" s="11" t="n"/>
      <c r="G2526" s="11" t="n"/>
      <c r="H2526" s="11" t="n"/>
      <c r="I2526" s="11" t="n"/>
      <c r="J2526" s="11" t="n"/>
      <c r="K2526" s="11" t="n"/>
      <c r="L2526" s="11" t="n"/>
      <c r="M2526" s="11" t="n"/>
    </row>
    <row r="2527">
      <c r="A2527" s="11" t="n"/>
      <c r="B2527" s="11" t="n"/>
      <c r="C2527" s="11" t="n"/>
      <c r="D2527" s="11" t="n"/>
      <c r="E2527" s="11" t="n"/>
      <c r="F2527" s="11" t="n"/>
      <c r="G2527" s="11" t="n"/>
      <c r="H2527" s="11" t="n"/>
      <c r="I2527" s="11" t="n"/>
      <c r="J2527" s="11" t="n"/>
      <c r="K2527" s="11" t="n"/>
      <c r="L2527" s="11" t="n"/>
      <c r="M2527" s="11" t="n"/>
    </row>
    <row r="2528">
      <c r="A2528" s="11" t="n"/>
      <c r="B2528" s="11" t="n"/>
      <c r="C2528" s="11" t="n"/>
      <c r="D2528" s="11" t="n"/>
      <c r="E2528" s="11" t="n"/>
      <c r="F2528" s="11" t="n"/>
      <c r="G2528" s="11" t="n"/>
      <c r="H2528" s="11" t="n"/>
      <c r="I2528" s="11" t="n"/>
      <c r="J2528" s="11" t="n"/>
      <c r="K2528" s="11" t="n"/>
      <c r="L2528" s="11" t="n"/>
      <c r="M2528" s="11" t="n"/>
    </row>
    <row r="2529">
      <c r="A2529" s="11" t="n"/>
      <c r="B2529" s="11" t="n"/>
      <c r="C2529" s="11" t="n"/>
      <c r="D2529" s="11" t="n"/>
      <c r="E2529" s="11" t="n"/>
      <c r="F2529" s="11" t="n"/>
      <c r="G2529" s="11" t="n"/>
      <c r="H2529" s="11" t="n"/>
      <c r="I2529" s="11" t="n"/>
      <c r="J2529" s="11" t="n"/>
      <c r="K2529" s="11" t="n"/>
      <c r="L2529" s="11" t="n"/>
      <c r="M2529" s="11" t="n"/>
    </row>
    <row r="2530">
      <c r="A2530" s="11" t="n"/>
      <c r="B2530" s="11" t="n"/>
      <c r="C2530" s="11" t="n"/>
      <c r="D2530" s="11" t="n"/>
      <c r="E2530" s="11" t="n"/>
      <c r="F2530" s="11" t="n"/>
      <c r="G2530" s="11" t="n"/>
      <c r="H2530" s="11" t="n"/>
      <c r="I2530" s="11" t="n"/>
      <c r="J2530" s="11" t="n"/>
      <c r="K2530" s="11" t="n"/>
      <c r="L2530" s="11" t="n"/>
      <c r="M2530" s="11" t="n"/>
    </row>
    <row r="2531">
      <c r="A2531" s="11" t="n"/>
      <c r="B2531" s="11" t="n"/>
      <c r="C2531" s="11" t="n"/>
      <c r="D2531" s="11" t="n"/>
      <c r="E2531" s="11" t="n"/>
      <c r="F2531" s="11" t="n"/>
      <c r="G2531" s="11" t="n"/>
      <c r="H2531" s="11" t="n"/>
      <c r="I2531" s="11" t="n"/>
      <c r="J2531" s="11" t="n"/>
      <c r="K2531" s="11" t="n"/>
      <c r="L2531" s="11" t="n"/>
      <c r="M2531" s="11" t="n"/>
    </row>
    <row r="2532">
      <c r="A2532" s="11" t="n"/>
      <c r="B2532" s="11" t="n"/>
      <c r="C2532" s="11" t="n"/>
      <c r="D2532" s="11" t="n"/>
      <c r="E2532" s="11" t="n"/>
      <c r="F2532" s="11" t="n"/>
      <c r="G2532" s="11" t="n"/>
      <c r="H2532" s="11" t="n"/>
      <c r="I2532" s="11" t="n"/>
      <c r="J2532" s="11" t="n"/>
      <c r="K2532" s="11" t="n"/>
      <c r="L2532" s="11" t="n"/>
      <c r="M2532" s="11" t="n"/>
    </row>
    <row r="2533">
      <c r="A2533" s="11" t="n"/>
      <c r="B2533" s="11" t="n"/>
      <c r="C2533" s="11" t="n"/>
      <c r="D2533" s="11" t="n"/>
      <c r="E2533" s="11" t="n"/>
      <c r="F2533" s="11" t="n"/>
      <c r="G2533" s="11" t="n"/>
      <c r="H2533" s="11" t="n"/>
      <c r="I2533" s="11" t="n"/>
      <c r="J2533" s="11" t="n"/>
      <c r="K2533" s="11" t="n"/>
      <c r="L2533" s="11" t="n"/>
      <c r="M2533" s="11" t="n"/>
    </row>
    <row r="2534">
      <c r="A2534" s="11" t="n"/>
      <c r="B2534" s="11" t="n"/>
      <c r="C2534" s="11" t="n"/>
      <c r="D2534" s="11" t="n"/>
      <c r="E2534" s="11" t="n"/>
      <c r="F2534" s="11" t="n"/>
      <c r="G2534" s="11" t="n"/>
      <c r="H2534" s="11" t="n"/>
      <c r="I2534" s="11" t="n"/>
      <c r="J2534" s="11" t="n"/>
      <c r="K2534" s="11" t="n"/>
      <c r="L2534" s="11" t="n"/>
      <c r="M2534" s="11" t="n"/>
    </row>
    <row r="2535">
      <c r="A2535" s="11" t="n"/>
      <c r="B2535" s="11" t="n"/>
      <c r="C2535" s="11" t="n"/>
      <c r="D2535" s="11" t="n"/>
      <c r="E2535" s="11" t="n"/>
      <c r="F2535" s="11" t="n"/>
      <c r="G2535" s="11" t="n"/>
      <c r="H2535" s="11" t="n"/>
      <c r="I2535" s="11" t="n"/>
      <c r="J2535" s="11" t="n"/>
      <c r="K2535" s="11" t="n"/>
      <c r="L2535" s="11" t="n"/>
      <c r="M2535" s="11" t="n"/>
    </row>
    <row r="2536">
      <c r="A2536" s="11" t="n"/>
      <c r="B2536" s="11" t="n"/>
      <c r="C2536" s="11" t="n"/>
      <c r="D2536" s="11" t="n"/>
      <c r="E2536" s="11" t="n"/>
      <c r="F2536" s="11" t="n"/>
      <c r="G2536" s="11" t="n"/>
      <c r="H2536" s="11" t="n"/>
      <c r="I2536" s="11" t="n"/>
      <c r="J2536" s="11" t="n"/>
      <c r="K2536" s="11" t="n"/>
      <c r="L2536" s="11" t="n"/>
      <c r="M2536" s="11" t="n"/>
    </row>
    <row r="2537">
      <c r="A2537" s="11" t="n"/>
      <c r="B2537" s="11" t="n"/>
      <c r="C2537" s="11" t="n"/>
      <c r="D2537" s="11" t="n"/>
      <c r="E2537" s="11" t="n"/>
      <c r="F2537" s="11" t="n"/>
      <c r="G2537" s="11" t="n"/>
      <c r="H2537" s="11" t="n"/>
      <c r="I2537" s="11" t="n"/>
      <c r="J2537" s="11" t="n"/>
      <c r="K2537" s="11" t="n"/>
      <c r="L2537" s="11" t="n"/>
      <c r="M2537" s="11" t="n"/>
    </row>
    <row r="2538">
      <c r="A2538" s="11" t="n"/>
      <c r="B2538" s="11" t="n"/>
      <c r="C2538" s="11" t="n"/>
      <c r="D2538" s="11" t="n"/>
      <c r="E2538" s="11" t="n"/>
      <c r="F2538" s="11" t="n"/>
      <c r="G2538" s="11" t="n"/>
      <c r="H2538" s="11" t="n"/>
      <c r="I2538" s="11" t="n"/>
      <c r="J2538" s="11" t="n"/>
      <c r="K2538" s="11" t="n"/>
      <c r="L2538" s="11" t="n"/>
      <c r="M2538" s="11" t="n"/>
    </row>
    <row r="2539">
      <c r="A2539" s="11" t="n"/>
      <c r="B2539" s="11" t="n"/>
      <c r="C2539" s="11" t="n"/>
      <c r="D2539" s="11" t="n"/>
      <c r="E2539" s="11" t="n"/>
      <c r="F2539" s="11" t="n"/>
      <c r="G2539" s="11" t="n"/>
      <c r="H2539" s="11" t="n"/>
      <c r="I2539" s="11" t="n"/>
      <c r="J2539" s="11" t="n"/>
      <c r="K2539" s="11" t="n"/>
      <c r="L2539" s="11" t="n"/>
      <c r="M2539" s="11" t="n"/>
    </row>
    <row r="2540">
      <c r="A2540" s="11" t="n"/>
      <c r="B2540" s="11" t="n"/>
      <c r="C2540" s="11" t="n"/>
      <c r="D2540" s="11" t="n"/>
      <c r="E2540" s="11" t="n"/>
      <c r="F2540" s="11" t="n"/>
      <c r="G2540" s="11" t="n"/>
      <c r="H2540" s="11" t="n"/>
      <c r="I2540" s="11" t="n"/>
      <c r="J2540" s="11" t="n"/>
      <c r="K2540" s="11" t="n"/>
      <c r="L2540" s="11" t="n"/>
      <c r="M2540" s="11" t="n"/>
    </row>
    <row r="2541">
      <c r="A2541" s="11" t="n"/>
      <c r="B2541" s="11" t="n"/>
      <c r="C2541" s="11" t="n"/>
      <c r="D2541" s="11" t="n"/>
      <c r="E2541" s="11" t="n"/>
      <c r="F2541" s="11" t="n"/>
      <c r="G2541" s="11" t="n"/>
      <c r="H2541" s="11" t="n"/>
      <c r="I2541" s="11" t="n"/>
      <c r="J2541" s="11" t="n"/>
      <c r="K2541" s="11" t="n"/>
      <c r="L2541" s="11" t="n"/>
      <c r="M2541" s="11" t="n"/>
    </row>
    <row r="2542">
      <c r="A2542" s="11" t="n"/>
      <c r="B2542" s="11" t="n"/>
      <c r="C2542" s="11" t="n"/>
      <c r="D2542" s="11" t="n"/>
      <c r="E2542" s="11" t="n"/>
      <c r="F2542" s="11" t="n"/>
      <c r="G2542" s="11" t="n"/>
      <c r="H2542" s="11" t="n"/>
      <c r="I2542" s="11" t="n"/>
      <c r="J2542" s="11" t="n"/>
      <c r="K2542" s="11" t="n"/>
      <c r="L2542" s="11" t="n"/>
      <c r="M2542" s="11" t="n"/>
    </row>
    <row r="2543">
      <c r="A2543" s="11" t="n"/>
      <c r="B2543" s="11" t="n"/>
      <c r="C2543" s="11" t="n"/>
      <c r="D2543" s="11" t="n"/>
      <c r="E2543" s="11" t="n"/>
      <c r="F2543" s="11" t="n"/>
      <c r="G2543" s="11" t="n"/>
      <c r="H2543" s="11" t="n"/>
      <c r="I2543" s="11" t="n"/>
      <c r="J2543" s="11" t="n"/>
      <c r="K2543" s="11" t="n"/>
      <c r="L2543" s="11" t="n"/>
      <c r="M2543" s="11" t="n"/>
    </row>
    <row r="2544">
      <c r="A2544" s="11" t="n"/>
      <c r="B2544" s="11" t="n"/>
      <c r="C2544" s="11" t="n"/>
      <c r="D2544" s="11" t="n"/>
      <c r="E2544" s="11" t="n"/>
      <c r="F2544" s="11" t="n"/>
      <c r="G2544" s="11" t="n"/>
      <c r="H2544" s="11" t="n"/>
      <c r="I2544" s="11" t="n"/>
      <c r="J2544" s="11" t="n"/>
      <c r="K2544" s="11" t="n"/>
      <c r="L2544" s="11" t="n"/>
      <c r="M2544" s="11" t="n"/>
    </row>
    <row r="2545">
      <c r="A2545" s="11" t="n"/>
      <c r="B2545" s="11" t="n"/>
      <c r="C2545" s="11" t="n"/>
      <c r="D2545" s="11" t="n"/>
      <c r="E2545" s="11" t="n"/>
      <c r="F2545" s="11" t="n"/>
      <c r="G2545" s="11" t="n"/>
      <c r="H2545" s="11" t="n"/>
      <c r="I2545" s="11" t="n"/>
      <c r="J2545" s="11" t="n"/>
      <c r="K2545" s="11" t="n"/>
      <c r="L2545" s="11" t="n"/>
      <c r="M2545" s="11" t="n"/>
    </row>
    <row r="2546">
      <c r="A2546" s="11" t="n"/>
      <c r="B2546" s="11" t="n"/>
      <c r="C2546" s="11" t="n"/>
      <c r="D2546" s="11" t="n"/>
      <c r="E2546" s="11" t="n"/>
      <c r="F2546" s="11" t="n"/>
      <c r="G2546" s="11" t="n"/>
      <c r="H2546" s="11" t="n"/>
      <c r="I2546" s="11" t="n"/>
      <c r="J2546" s="11" t="n"/>
      <c r="K2546" s="11" t="n"/>
      <c r="L2546" s="11" t="n"/>
      <c r="M2546" s="11" t="n"/>
    </row>
    <row r="2547">
      <c r="A2547" s="11" t="n"/>
      <c r="B2547" s="11" t="n"/>
      <c r="C2547" s="11" t="n"/>
      <c r="D2547" s="11" t="n"/>
      <c r="E2547" s="11" t="n"/>
      <c r="F2547" s="11" t="n"/>
      <c r="G2547" s="11" t="n"/>
      <c r="H2547" s="11" t="n"/>
      <c r="I2547" s="11" t="n"/>
      <c r="J2547" s="11" t="n"/>
      <c r="K2547" s="11" t="n"/>
      <c r="L2547" s="11" t="n"/>
      <c r="M2547" s="11" t="n"/>
    </row>
    <row r="2548">
      <c r="A2548" s="11" t="n"/>
      <c r="B2548" s="11" t="n"/>
      <c r="C2548" s="11" t="n"/>
      <c r="D2548" s="11" t="n"/>
      <c r="E2548" s="11" t="n"/>
      <c r="F2548" s="11" t="n"/>
      <c r="G2548" s="11" t="n"/>
      <c r="H2548" s="11" t="n"/>
      <c r="I2548" s="11" t="n"/>
      <c r="J2548" s="11" t="n"/>
      <c r="K2548" s="11" t="n"/>
      <c r="L2548" s="11" t="n"/>
      <c r="M2548" s="11" t="n"/>
    </row>
    <row r="2549">
      <c r="A2549" s="11" t="n"/>
      <c r="B2549" s="11" t="n"/>
      <c r="C2549" s="11" t="n"/>
      <c r="D2549" s="11" t="n"/>
      <c r="E2549" s="11" t="n"/>
      <c r="F2549" s="11" t="n"/>
      <c r="G2549" s="11" t="n"/>
      <c r="H2549" s="11" t="n"/>
      <c r="I2549" s="11" t="n"/>
      <c r="J2549" s="11" t="n"/>
      <c r="K2549" s="11" t="n"/>
      <c r="L2549" s="11" t="n"/>
      <c r="M2549" s="11" t="n"/>
    </row>
    <row r="2550">
      <c r="A2550" s="11" t="n"/>
      <c r="B2550" s="11" t="n"/>
      <c r="C2550" s="11" t="n"/>
      <c r="D2550" s="11" t="n"/>
      <c r="E2550" s="11" t="n"/>
      <c r="F2550" s="11" t="n"/>
      <c r="G2550" s="11" t="n"/>
      <c r="H2550" s="11" t="n"/>
      <c r="I2550" s="11" t="n"/>
      <c r="J2550" s="11" t="n"/>
      <c r="K2550" s="11" t="n"/>
      <c r="L2550" s="11" t="n"/>
      <c r="M2550" s="11" t="n"/>
    </row>
    <row r="2551">
      <c r="A2551" s="11" t="n"/>
      <c r="B2551" s="11" t="n"/>
      <c r="C2551" s="11" t="n"/>
      <c r="D2551" s="11" t="n"/>
      <c r="E2551" s="11" t="n"/>
      <c r="F2551" s="11" t="n"/>
      <c r="G2551" s="11" t="n"/>
      <c r="H2551" s="11" t="n"/>
      <c r="I2551" s="11" t="n"/>
      <c r="J2551" s="11" t="n"/>
      <c r="K2551" s="11" t="n"/>
      <c r="L2551" s="11" t="n"/>
      <c r="M2551" s="11" t="n"/>
    </row>
    <row r="2552">
      <c r="A2552" s="11" t="n"/>
      <c r="B2552" s="11" t="n"/>
      <c r="C2552" s="11" t="n"/>
      <c r="D2552" s="11" t="n"/>
      <c r="E2552" s="11" t="n"/>
      <c r="F2552" s="11" t="n"/>
      <c r="G2552" s="11" t="n"/>
      <c r="H2552" s="11" t="n"/>
      <c r="I2552" s="11" t="n"/>
      <c r="J2552" s="11" t="n"/>
      <c r="K2552" s="11" t="n"/>
      <c r="L2552" s="11" t="n"/>
      <c r="M2552" s="11" t="n"/>
    </row>
    <row r="2553">
      <c r="A2553" s="11" t="n"/>
      <c r="B2553" s="11" t="n"/>
      <c r="C2553" s="11" t="n"/>
      <c r="D2553" s="11" t="n"/>
      <c r="E2553" s="11" t="n"/>
      <c r="F2553" s="11" t="n"/>
      <c r="G2553" s="11" t="n"/>
      <c r="H2553" s="11" t="n"/>
      <c r="I2553" s="11" t="n"/>
      <c r="J2553" s="11" t="n"/>
      <c r="K2553" s="11" t="n"/>
      <c r="L2553" s="11" t="n"/>
      <c r="M2553" s="11" t="n"/>
    </row>
    <row r="2554">
      <c r="A2554" s="11" t="n"/>
      <c r="B2554" s="11" t="n"/>
      <c r="C2554" s="11" t="n"/>
      <c r="D2554" s="11" t="n"/>
      <c r="E2554" s="11" t="n"/>
      <c r="F2554" s="11" t="n"/>
      <c r="G2554" s="11" t="n"/>
      <c r="H2554" s="11" t="n"/>
      <c r="I2554" s="11" t="n"/>
      <c r="J2554" s="11" t="n"/>
      <c r="K2554" s="11" t="n"/>
      <c r="L2554" s="11" t="n"/>
      <c r="M2554" s="11" t="n"/>
    </row>
    <row r="2555">
      <c r="A2555" s="11" t="n"/>
      <c r="B2555" s="11" t="n"/>
      <c r="C2555" s="11" t="n"/>
      <c r="D2555" s="11" t="n"/>
      <c r="E2555" s="11" t="n"/>
      <c r="F2555" s="11" t="n"/>
      <c r="G2555" s="11" t="n"/>
      <c r="H2555" s="11" t="n"/>
      <c r="I2555" s="11" t="n"/>
      <c r="J2555" s="11" t="n"/>
      <c r="K2555" s="11" t="n"/>
      <c r="L2555" s="11" t="n"/>
      <c r="M2555" s="11" t="n"/>
    </row>
    <row r="2556">
      <c r="A2556" s="11" t="n"/>
      <c r="B2556" s="11" t="n"/>
      <c r="C2556" s="11" t="n"/>
      <c r="D2556" s="11" t="n"/>
      <c r="E2556" s="11" t="n"/>
      <c r="F2556" s="11" t="n"/>
      <c r="G2556" s="11" t="n"/>
      <c r="H2556" s="11" t="n"/>
      <c r="I2556" s="11" t="n"/>
      <c r="J2556" s="11" t="n"/>
      <c r="K2556" s="11" t="n"/>
      <c r="L2556" s="11" t="n"/>
      <c r="M2556" s="11" t="n"/>
    </row>
    <row r="2557">
      <c r="A2557" s="11" t="n"/>
      <c r="B2557" s="11" t="n"/>
      <c r="C2557" s="11" t="n"/>
      <c r="D2557" s="11" t="n"/>
      <c r="E2557" s="11" t="n"/>
      <c r="F2557" s="11" t="n"/>
      <c r="G2557" s="11" t="n"/>
      <c r="H2557" s="11" t="n"/>
      <c r="I2557" s="11" t="n"/>
      <c r="J2557" s="11" t="n"/>
      <c r="K2557" s="11" t="n"/>
      <c r="L2557" s="11" t="n"/>
      <c r="M2557" s="11" t="n"/>
    </row>
    <row r="2558">
      <c r="A2558" s="11" t="n"/>
      <c r="B2558" s="11" t="n"/>
      <c r="C2558" s="11" t="n"/>
      <c r="D2558" s="11" t="n"/>
      <c r="E2558" s="11" t="n"/>
      <c r="F2558" s="11" t="n"/>
      <c r="G2558" s="11" t="n"/>
      <c r="H2558" s="11" t="n"/>
      <c r="I2558" s="11" t="n"/>
      <c r="J2558" s="11" t="n"/>
      <c r="K2558" s="11" t="n"/>
      <c r="L2558" s="11" t="n"/>
      <c r="M2558" s="11" t="n"/>
    </row>
    <row r="2559">
      <c r="A2559" s="11" t="n"/>
      <c r="B2559" s="11" t="n"/>
      <c r="C2559" s="11" t="n"/>
      <c r="D2559" s="11" t="n"/>
      <c r="E2559" s="11" t="n"/>
      <c r="F2559" s="11" t="n"/>
      <c r="G2559" s="11" t="n"/>
      <c r="H2559" s="11" t="n"/>
      <c r="I2559" s="11" t="n"/>
      <c r="J2559" s="11" t="n"/>
      <c r="K2559" s="11" t="n"/>
      <c r="L2559" s="11" t="n"/>
      <c r="M2559" s="11" t="n"/>
    </row>
    <row r="2560">
      <c r="A2560" s="11" t="n"/>
      <c r="B2560" s="11" t="n"/>
      <c r="C2560" s="11" t="n"/>
      <c r="D2560" s="11" t="n"/>
      <c r="E2560" s="11" t="n"/>
      <c r="F2560" s="11" t="n"/>
      <c r="G2560" s="11" t="n"/>
      <c r="H2560" s="11" t="n"/>
      <c r="I2560" s="11" t="n"/>
      <c r="J2560" s="11" t="n"/>
      <c r="K2560" s="11" t="n"/>
      <c r="L2560" s="11" t="n"/>
      <c r="M2560" s="11" t="n"/>
    </row>
    <row r="2561">
      <c r="A2561" s="11" t="n"/>
      <c r="B2561" s="11" t="n"/>
      <c r="C2561" s="11" t="n"/>
      <c r="D2561" s="11" t="n"/>
      <c r="E2561" s="11" t="n"/>
      <c r="F2561" s="11" t="n"/>
      <c r="G2561" s="11" t="n"/>
      <c r="H2561" s="11" t="n"/>
      <c r="I2561" s="11" t="n"/>
      <c r="J2561" s="11" t="n"/>
      <c r="K2561" s="11" t="n"/>
      <c r="L2561" s="11" t="n"/>
      <c r="M2561" s="11" t="n"/>
    </row>
    <row r="2562">
      <c r="A2562" s="11" t="n"/>
      <c r="B2562" s="11" t="n"/>
      <c r="C2562" s="11" t="n"/>
      <c r="D2562" s="11" t="n"/>
      <c r="E2562" s="11" t="n"/>
      <c r="F2562" s="11" t="n"/>
      <c r="G2562" s="11" t="n"/>
      <c r="H2562" s="11" t="n"/>
      <c r="I2562" s="11" t="n"/>
      <c r="J2562" s="11" t="n"/>
      <c r="K2562" s="11" t="n"/>
      <c r="L2562" s="11" t="n"/>
      <c r="M2562" s="11" t="n"/>
    </row>
    <row r="2563">
      <c r="A2563" s="11" t="n"/>
      <c r="B2563" s="11" t="n"/>
      <c r="C2563" s="11" t="n"/>
      <c r="D2563" s="11" t="n"/>
      <c r="E2563" s="11" t="n"/>
      <c r="F2563" s="11" t="n"/>
      <c r="G2563" s="11" t="n"/>
      <c r="H2563" s="11" t="n"/>
      <c r="I2563" s="11" t="n"/>
      <c r="J2563" s="11" t="n"/>
      <c r="K2563" s="11" t="n"/>
      <c r="L2563" s="11" t="n"/>
      <c r="M2563" s="11" t="n"/>
    </row>
    <row r="2564">
      <c r="A2564" s="11" t="n"/>
      <c r="B2564" s="11" t="n"/>
      <c r="C2564" s="11" t="n"/>
      <c r="D2564" s="11" t="n"/>
      <c r="E2564" s="11" t="n"/>
      <c r="F2564" s="11" t="n"/>
      <c r="G2564" s="11" t="n"/>
      <c r="H2564" s="11" t="n"/>
      <c r="I2564" s="11" t="n"/>
      <c r="J2564" s="11" t="n"/>
      <c r="K2564" s="11" t="n"/>
      <c r="L2564" s="11" t="n"/>
      <c r="M2564" s="11" t="n"/>
    </row>
    <row r="2565">
      <c r="A2565" s="11" t="n"/>
      <c r="B2565" s="11" t="n"/>
      <c r="C2565" s="11" t="n"/>
      <c r="D2565" s="11" t="n"/>
      <c r="E2565" s="11" t="n"/>
      <c r="F2565" s="11" t="n"/>
      <c r="G2565" s="11" t="n"/>
      <c r="H2565" s="11" t="n"/>
      <c r="I2565" s="11" t="n"/>
      <c r="J2565" s="11" t="n"/>
      <c r="K2565" s="11" t="n"/>
      <c r="L2565" s="11" t="n"/>
      <c r="M2565" s="11" t="n"/>
    </row>
    <row r="2566">
      <c r="A2566" s="11" t="n"/>
      <c r="B2566" s="11" t="n"/>
      <c r="C2566" s="11" t="n"/>
      <c r="D2566" s="11" t="n"/>
      <c r="E2566" s="11" t="n"/>
      <c r="F2566" s="11" t="n"/>
      <c r="G2566" s="11" t="n"/>
      <c r="H2566" s="11" t="n"/>
      <c r="I2566" s="11" t="n"/>
      <c r="J2566" s="11" t="n"/>
      <c r="K2566" s="11" t="n"/>
      <c r="L2566" s="11" t="n"/>
      <c r="M2566" s="11" t="n"/>
    </row>
    <row r="2567">
      <c r="A2567" s="11" t="n"/>
      <c r="B2567" s="11" t="n"/>
      <c r="C2567" s="11" t="n"/>
      <c r="D2567" s="11" t="n"/>
      <c r="E2567" s="11" t="n"/>
      <c r="F2567" s="11" t="n"/>
      <c r="G2567" s="11" t="n"/>
      <c r="H2567" s="11" t="n"/>
      <c r="I2567" s="11" t="n"/>
      <c r="J2567" s="11" t="n"/>
      <c r="K2567" s="11" t="n"/>
      <c r="L2567" s="11" t="n"/>
      <c r="M2567" s="11" t="n"/>
    </row>
    <row r="2568">
      <c r="A2568" s="11" t="n"/>
      <c r="B2568" s="11" t="n"/>
      <c r="C2568" s="11" t="n"/>
      <c r="D2568" s="11" t="n"/>
      <c r="E2568" s="11" t="n"/>
      <c r="F2568" s="11" t="n"/>
      <c r="G2568" s="11" t="n"/>
      <c r="H2568" s="11" t="n"/>
      <c r="I2568" s="11" t="n"/>
      <c r="J2568" s="11" t="n"/>
      <c r="K2568" s="11" t="n"/>
      <c r="L2568" s="11" t="n"/>
      <c r="M2568" s="11" t="n"/>
    </row>
    <row r="2569">
      <c r="A2569" s="11" t="n"/>
      <c r="B2569" s="11" t="n"/>
      <c r="C2569" s="11" t="n"/>
      <c r="D2569" s="11" t="n"/>
      <c r="E2569" s="11" t="n"/>
      <c r="F2569" s="11" t="n"/>
      <c r="G2569" s="11" t="n"/>
      <c r="H2569" s="11" t="n"/>
      <c r="I2569" s="11" t="n"/>
      <c r="J2569" s="11" t="n"/>
      <c r="K2569" s="11" t="n"/>
      <c r="L2569" s="11" t="n"/>
      <c r="M2569" s="11" t="n"/>
    </row>
    <row r="2570">
      <c r="A2570" s="11" t="n"/>
      <c r="B2570" s="11" t="n"/>
      <c r="C2570" s="11" t="n"/>
      <c r="D2570" s="11" t="n"/>
      <c r="E2570" s="11" t="n"/>
      <c r="F2570" s="11" t="n"/>
      <c r="G2570" s="11" t="n"/>
      <c r="H2570" s="11" t="n"/>
      <c r="I2570" s="11" t="n"/>
      <c r="J2570" s="11" t="n"/>
      <c r="K2570" s="11" t="n"/>
      <c r="L2570" s="11" t="n"/>
      <c r="M2570" s="11" t="n"/>
    </row>
    <row r="2571">
      <c r="A2571" s="11" t="n"/>
      <c r="B2571" s="11" t="n"/>
      <c r="C2571" s="11" t="n"/>
      <c r="D2571" s="11" t="n"/>
      <c r="E2571" s="11" t="n"/>
      <c r="F2571" s="11" t="n"/>
      <c r="G2571" s="11" t="n"/>
      <c r="H2571" s="11" t="n"/>
      <c r="I2571" s="11" t="n"/>
      <c r="J2571" s="11" t="n"/>
      <c r="K2571" s="11" t="n"/>
      <c r="L2571" s="11" t="n"/>
      <c r="M2571" s="11" t="n"/>
    </row>
    <row r="2572">
      <c r="A2572" s="11" t="n"/>
      <c r="B2572" s="11" t="n"/>
      <c r="C2572" s="11" t="n"/>
      <c r="D2572" s="11" t="n"/>
      <c r="E2572" s="11" t="n"/>
      <c r="F2572" s="11" t="n"/>
      <c r="G2572" s="11" t="n"/>
      <c r="H2572" s="11" t="n"/>
      <c r="I2572" s="11" t="n"/>
      <c r="J2572" s="11" t="n"/>
      <c r="K2572" s="11" t="n"/>
      <c r="L2572" s="11" t="n"/>
      <c r="M2572" s="11" t="n"/>
    </row>
    <row r="2573">
      <c r="A2573" s="11" t="n"/>
      <c r="B2573" s="11" t="n"/>
      <c r="C2573" s="11" t="n"/>
      <c r="D2573" s="11" t="n"/>
      <c r="E2573" s="11" t="n"/>
      <c r="F2573" s="11" t="n"/>
      <c r="G2573" s="11" t="n"/>
      <c r="H2573" s="11" t="n"/>
      <c r="I2573" s="11" t="n"/>
      <c r="J2573" s="11" t="n"/>
      <c r="K2573" s="11" t="n"/>
      <c r="L2573" s="11" t="n"/>
      <c r="M2573" s="11" t="n"/>
    </row>
    <row r="2574">
      <c r="A2574" s="11" t="n"/>
      <c r="B2574" s="11" t="n"/>
      <c r="C2574" s="11" t="n"/>
      <c r="D2574" s="11" t="n"/>
      <c r="E2574" s="11" t="n"/>
      <c r="F2574" s="11" t="n"/>
      <c r="G2574" s="11" t="n"/>
      <c r="H2574" s="11" t="n"/>
      <c r="I2574" s="11" t="n"/>
      <c r="J2574" s="11" t="n"/>
      <c r="K2574" s="11" t="n"/>
      <c r="L2574" s="11" t="n"/>
      <c r="M2574" s="11" t="n"/>
    </row>
    <row r="2575">
      <c r="A2575" s="11" t="n"/>
      <c r="B2575" s="11" t="n"/>
      <c r="C2575" s="11" t="n"/>
      <c r="D2575" s="11" t="n"/>
      <c r="E2575" s="11" t="n"/>
      <c r="F2575" s="11" t="n"/>
      <c r="G2575" s="11" t="n"/>
      <c r="H2575" s="11" t="n"/>
      <c r="I2575" s="11" t="n"/>
      <c r="J2575" s="11" t="n"/>
      <c r="K2575" s="11" t="n"/>
      <c r="L2575" s="11" t="n"/>
      <c r="M2575" s="11" t="n"/>
    </row>
    <row r="2576">
      <c r="A2576" s="11" t="n"/>
      <c r="B2576" s="11" t="n"/>
      <c r="C2576" s="11" t="n"/>
      <c r="D2576" s="11" t="n"/>
      <c r="E2576" s="11" t="n"/>
      <c r="F2576" s="11" t="n"/>
      <c r="G2576" s="11" t="n"/>
      <c r="H2576" s="11" t="n"/>
      <c r="I2576" s="11" t="n"/>
      <c r="J2576" s="11" t="n"/>
      <c r="K2576" s="11" t="n"/>
      <c r="L2576" s="11" t="n"/>
      <c r="M2576" s="11" t="n"/>
    </row>
    <row r="2577">
      <c r="A2577" s="11" t="n"/>
      <c r="B2577" s="11" t="n"/>
      <c r="C2577" s="11" t="n"/>
      <c r="D2577" s="11" t="n"/>
      <c r="E2577" s="11" t="n"/>
      <c r="F2577" s="11" t="n"/>
      <c r="G2577" s="11" t="n"/>
      <c r="H2577" s="11" t="n"/>
      <c r="I2577" s="11" t="n"/>
      <c r="J2577" s="11" t="n"/>
      <c r="K2577" s="11" t="n"/>
      <c r="L2577" s="11" t="n"/>
      <c r="M2577" s="11" t="n"/>
    </row>
    <row r="2578">
      <c r="A2578" s="11" t="n"/>
      <c r="B2578" s="11" t="n"/>
      <c r="C2578" s="11" t="n"/>
      <c r="D2578" s="11" t="n"/>
      <c r="E2578" s="11" t="n"/>
      <c r="F2578" s="11" t="n"/>
      <c r="G2578" s="11" t="n"/>
      <c r="H2578" s="11" t="n"/>
      <c r="I2578" s="11" t="n"/>
      <c r="J2578" s="11" t="n"/>
      <c r="K2578" s="11" t="n"/>
      <c r="L2578" s="11" t="n"/>
      <c r="M2578" s="11" t="n"/>
    </row>
    <row r="2579">
      <c r="A2579" s="11" t="n"/>
      <c r="B2579" s="11" t="n"/>
      <c r="C2579" s="11" t="n"/>
      <c r="D2579" s="11" t="n"/>
      <c r="E2579" s="11" t="n"/>
      <c r="F2579" s="11" t="n"/>
      <c r="G2579" s="11" t="n"/>
      <c r="H2579" s="11" t="n"/>
      <c r="I2579" s="11" t="n"/>
      <c r="J2579" s="11" t="n"/>
      <c r="K2579" s="11" t="n"/>
      <c r="L2579" s="11" t="n"/>
      <c r="M2579" s="11" t="n"/>
    </row>
    <row r="2580">
      <c r="A2580" s="11" t="n"/>
      <c r="B2580" s="11" t="n"/>
      <c r="C2580" s="11" t="n"/>
      <c r="D2580" s="11" t="n"/>
      <c r="E2580" s="11" t="n"/>
      <c r="F2580" s="11" t="n"/>
      <c r="G2580" s="11" t="n"/>
      <c r="H2580" s="11" t="n"/>
      <c r="I2580" s="11" t="n"/>
      <c r="J2580" s="11" t="n"/>
      <c r="K2580" s="11" t="n"/>
      <c r="L2580" s="11" t="n"/>
      <c r="M2580" s="11" t="n"/>
    </row>
    <row r="2581">
      <c r="A2581" s="11" t="n"/>
      <c r="B2581" s="11" t="n"/>
      <c r="C2581" s="11" t="n"/>
      <c r="D2581" s="11" t="n"/>
      <c r="E2581" s="11" t="n"/>
      <c r="F2581" s="11" t="n"/>
      <c r="G2581" s="11" t="n"/>
      <c r="H2581" s="11" t="n"/>
      <c r="I2581" s="11" t="n"/>
      <c r="J2581" s="11" t="n"/>
      <c r="K2581" s="11" t="n"/>
      <c r="L2581" s="11" t="n"/>
      <c r="M2581" s="11" t="n"/>
    </row>
    <row r="2582">
      <c r="A2582" s="11" t="n"/>
      <c r="B2582" s="11" t="n"/>
      <c r="C2582" s="11" t="n"/>
      <c r="D2582" s="11" t="n"/>
      <c r="E2582" s="11" t="n"/>
      <c r="F2582" s="11" t="n"/>
      <c r="G2582" s="11" t="n"/>
      <c r="H2582" s="11" t="n"/>
      <c r="I2582" s="11" t="n"/>
      <c r="J2582" s="11" t="n"/>
      <c r="K2582" s="11" t="n"/>
      <c r="L2582" s="11" t="n"/>
      <c r="M2582" s="11" t="n"/>
    </row>
    <row r="2583">
      <c r="A2583" s="11" t="n"/>
      <c r="B2583" s="11" t="n"/>
      <c r="C2583" s="11" t="n"/>
      <c r="D2583" s="11" t="n"/>
      <c r="E2583" s="11" t="n"/>
      <c r="F2583" s="11" t="n"/>
      <c r="G2583" s="11" t="n"/>
      <c r="H2583" s="11" t="n"/>
      <c r="I2583" s="11" t="n"/>
      <c r="J2583" s="11" t="n"/>
      <c r="K2583" s="11" t="n"/>
      <c r="L2583" s="11" t="n"/>
      <c r="M2583" s="11" t="n"/>
    </row>
    <row r="2584">
      <c r="A2584" s="11" t="n"/>
      <c r="B2584" s="11" t="n"/>
      <c r="C2584" s="11" t="n"/>
      <c r="D2584" s="11" t="n"/>
      <c r="E2584" s="11" t="n"/>
      <c r="F2584" s="11" t="n"/>
      <c r="G2584" s="11" t="n"/>
      <c r="H2584" s="11" t="n"/>
      <c r="I2584" s="11" t="n"/>
      <c r="J2584" s="11" t="n"/>
      <c r="K2584" s="11" t="n"/>
      <c r="L2584" s="11" t="n"/>
      <c r="M2584" s="11" t="n"/>
    </row>
    <row r="2585">
      <c r="A2585" s="11" t="n"/>
      <c r="B2585" s="11" t="n"/>
      <c r="C2585" s="11" t="n"/>
      <c r="D2585" s="11" t="n"/>
      <c r="E2585" s="11" t="n"/>
      <c r="F2585" s="11" t="n"/>
      <c r="G2585" s="11" t="n"/>
      <c r="H2585" s="11" t="n"/>
      <c r="I2585" s="11" t="n"/>
      <c r="J2585" s="11" t="n"/>
      <c r="K2585" s="11" t="n"/>
      <c r="L2585" s="11" t="n"/>
      <c r="M2585" s="11" t="n"/>
    </row>
    <row r="2586">
      <c r="A2586" s="11" t="n"/>
      <c r="B2586" s="11" t="n"/>
      <c r="C2586" s="11" t="n"/>
      <c r="D2586" s="11" t="n"/>
      <c r="E2586" s="11" t="n"/>
      <c r="F2586" s="11" t="n"/>
      <c r="G2586" s="11" t="n"/>
      <c r="H2586" s="11" t="n"/>
      <c r="I2586" s="11" t="n"/>
      <c r="J2586" s="11" t="n"/>
      <c r="K2586" s="11" t="n"/>
      <c r="L2586" s="11" t="n"/>
      <c r="M2586" s="11" t="n"/>
    </row>
    <row r="2587">
      <c r="A2587" s="11" t="n"/>
      <c r="B2587" s="11" t="n"/>
      <c r="C2587" s="11" t="n"/>
      <c r="D2587" s="11" t="n"/>
      <c r="E2587" s="11" t="n"/>
      <c r="F2587" s="11" t="n"/>
      <c r="G2587" s="11" t="n"/>
      <c r="H2587" s="11" t="n"/>
      <c r="I2587" s="11" t="n"/>
      <c r="J2587" s="11" t="n"/>
      <c r="K2587" s="11" t="n"/>
      <c r="L2587" s="11" t="n"/>
      <c r="M2587" s="11" t="n"/>
    </row>
    <row r="2588">
      <c r="A2588" s="11" t="n"/>
      <c r="B2588" s="11" t="n"/>
      <c r="C2588" s="11" t="n"/>
      <c r="D2588" s="11" t="n"/>
      <c r="E2588" s="11" t="n"/>
      <c r="F2588" s="11" t="n"/>
      <c r="G2588" s="11" t="n"/>
      <c r="H2588" s="11" t="n"/>
      <c r="I2588" s="11" t="n"/>
      <c r="J2588" s="11" t="n"/>
      <c r="K2588" s="11" t="n"/>
      <c r="L2588" s="11" t="n"/>
      <c r="M2588" s="11" t="n"/>
    </row>
    <row r="2589">
      <c r="A2589" s="11" t="n"/>
      <c r="B2589" s="11" t="n"/>
      <c r="C2589" s="11" t="n"/>
      <c r="D2589" s="11" t="n"/>
      <c r="E2589" s="11" t="n"/>
      <c r="F2589" s="11" t="n"/>
      <c r="G2589" s="11" t="n"/>
      <c r="H2589" s="11" t="n"/>
      <c r="I2589" s="11" t="n"/>
      <c r="J2589" s="11" t="n"/>
      <c r="K2589" s="11" t="n"/>
      <c r="L2589" s="11" t="n"/>
      <c r="M2589" s="11" t="n"/>
    </row>
    <row r="2590">
      <c r="A2590" s="11" t="n"/>
      <c r="B2590" s="11" t="n"/>
      <c r="C2590" s="11" t="n"/>
      <c r="D2590" s="11" t="n"/>
      <c r="E2590" s="11" t="n"/>
      <c r="F2590" s="11" t="n"/>
      <c r="G2590" s="11" t="n"/>
      <c r="H2590" s="11" t="n"/>
      <c r="I2590" s="11" t="n"/>
      <c r="J2590" s="11" t="n"/>
      <c r="K2590" s="11" t="n"/>
      <c r="L2590" s="11" t="n"/>
      <c r="M2590" s="11" t="n"/>
    </row>
    <row r="2591">
      <c r="A2591" s="11" t="n"/>
      <c r="B2591" s="11" t="n"/>
      <c r="C2591" s="11" t="n"/>
      <c r="D2591" s="11" t="n"/>
      <c r="E2591" s="11" t="n"/>
      <c r="F2591" s="11" t="n"/>
      <c r="G2591" s="11" t="n"/>
      <c r="H2591" s="11" t="n"/>
      <c r="I2591" s="11" t="n"/>
      <c r="J2591" s="11" t="n"/>
      <c r="K2591" s="11" t="n"/>
      <c r="L2591" s="11" t="n"/>
      <c r="M2591" s="11" t="n"/>
    </row>
    <row r="2592">
      <c r="A2592" s="11" t="n"/>
      <c r="B2592" s="11" t="n"/>
      <c r="C2592" s="11" t="n"/>
      <c r="D2592" s="11" t="n"/>
      <c r="E2592" s="11" t="n"/>
      <c r="F2592" s="11" t="n"/>
      <c r="G2592" s="11" t="n"/>
      <c r="H2592" s="11" t="n"/>
      <c r="I2592" s="11" t="n"/>
      <c r="J2592" s="11" t="n"/>
      <c r="K2592" s="11" t="n"/>
      <c r="L2592" s="11" t="n"/>
      <c r="M2592" s="11" t="n"/>
    </row>
    <row r="2593">
      <c r="A2593" s="11" t="n"/>
      <c r="B2593" s="11" t="n"/>
      <c r="C2593" s="11" t="n"/>
      <c r="D2593" s="11" t="n"/>
      <c r="E2593" s="11" t="n"/>
      <c r="F2593" s="11" t="n"/>
      <c r="G2593" s="11" t="n"/>
      <c r="H2593" s="11" t="n"/>
      <c r="I2593" s="11" t="n"/>
      <c r="J2593" s="11" t="n"/>
      <c r="K2593" s="11" t="n"/>
      <c r="L2593" s="11" t="n"/>
      <c r="M2593" s="11" t="n"/>
    </row>
    <row r="2594">
      <c r="A2594" s="11" t="n"/>
      <c r="B2594" s="11" t="n"/>
      <c r="C2594" s="11" t="n"/>
      <c r="D2594" s="11" t="n"/>
      <c r="E2594" s="11" t="n"/>
      <c r="F2594" s="11" t="n"/>
      <c r="G2594" s="11" t="n"/>
      <c r="H2594" s="11" t="n"/>
      <c r="I2594" s="11" t="n"/>
      <c r="J2594" s="11" t="n"/>
      <c r="K2594" s="11" t="n"/>
      <c r="L2594" s="11" t="n"/>
      <c r="M2594" s="11" t="n"/>
    </row>
    <row r="2595">
      <c r="A2595" s="11" t="n"/>
      <c r="B2595" s="11" t="n"/>
      <c r="C2595" s="11" t="n"/>
      <c r="D2595" s="11" t="n"/>
      <c r="E2595" s="11" t="n"/>
      <c r="F2595" s="11" t="n"/>
      <c r="G2595" s="11" t="n"/>
      <c r="H2595" s="11" t="n"/>
      <c r="I2595" s="11" t="n"/>
      <c r="J2595" s="11" t="n"/>
      <c r="K2595" s="11" t="n"/>
      <c r="L2595" s="11" t="n"/>
      <c r="M2595" s="11" t="n"/>
    </row>
    <row r="2596">
      <c r="A2596" s="11" t="n"/>
      <c r="B2596" s="11" t="n"/>
      <c r="C2596" s="11" t="n"/>
      <c r="D2596" s="11" t="n"/>
      <c r="E2596" s="11" t="n"/>
      <c r="F2596" s="11" t="n"/>
      <c r="G2596" s="11" t="n"/>
      <c r="H2596" s="11" t="n"/>
      <c r="I2596" s="11" t="n"/>
      <c r="J2596" s="11" t="n"/>
      <c r="K2596" s="11" t="n"/>
      <c r="L2596" s="11" t="n"/>
      <c r="M2596" s="11" t="n"/>
    </row>
    <row r="2597">
      <c r="A2597" s="11" t="n"/>
      <c r="B2597" s="11" t="n"/>
      <c r="C2597" s="11" t="n"/>
      <c r="D2597" s="11" t="n"/>
      <c r="E2597" s="11" t="n"/>
      <c r="F2597" s="11" t="n"/>
      <c r="G2597" s="11" t="n"/>
      <c r="H2597" s="11" t="n"/>
      <c r="I2597" s="11" t="n"/>
      <c r="J2597" s="11" t="n"/>
      <c r="K2597" s="11" t="n"/>
      <c r="L2597" s="11" t="n"/>
      <c r="M2597" s="11" t="n"/>
    </row>
    <row r="2598">
      <c r="A2598" s="11" t="n"/>
      <c r="B2598" s="11" t="n"/>
      <c r="C2598" s="11" t="n"/>
      <c r="D2598" s="11" t="n"/>
      <c r="E2598" s="11" t="n"/>
      <c r="F2598" s="11" t="n"/>
      <c r="G2598" s="11" t="n"/>
      <c r="H2598" s="11" t="n"/>
      <c r="I2598" s="11" t="n"/>
      <c r="J2598" s="11" t="n"/>
      <c r="K2598" s="11" t="n"/>
      <c r="L2598" s="11" t="n"/>
      <c r="M2598" s="11" t="n"/>
    </row>
    <row r="2599">
      <c r="A2599" s="11" t="n"/>
      <c r="B2599" s="11" t="n"/>
      <c r="C2599" s="11" t="n"/>
      <c r="D2599" s="11" t="n"/>
      <c r="E2599" s="11" t="n"/>
      <c r="F2599" s="11" t="n"/>
      <c r="G2599" s="11" t="n"/>
      <c r="H2599" s="11" t="n"/>
      <c r="I2599" s="11" t="n"/>
      <c r="J2599" s="11" t="n"/>
      <c r="K2599" s="11" t="n"/>
      <c r="L2599" s="11" t="n"/>
      <c r="M2599" s="11" t="n"/>
    </row>
    <row r="2600">
      <c r="A2600" s="11" t="n"/>
      <c r="B2600" s="11" t="n"/>
      <c r="C2600" s="11" t="n"/>
      <c r="D2600" s="11" t="n"/>
      <c r="E2600" s="11" t="n"/>
      <c r="F2600" s="11" t="n"/>
      <c r="G2600" s="11" t="n"/>
      <c r="H2600" s="11" t="n"/>
      <c r="I2600" s="11" t="n"/>
      <c r="J2600" s="11" t="n"/>
      <c r="K2600" s="11" t="n"/>
      <c r="L2600" s="11" t="n"/>
      <c r="M2600" s="11" t="n"/>
    </row>
    <row r="2601">
      <c r="A2601" s="11" t="n"/>
      <c r="B2601" s="11" t="n"/>
      <c r="C2601" s="11" t="n"/>
      <c r="D2601" s="11" t="n"/>
      <c r="E2601" s="11" t="n"/>
      <c r="F2601" s="11" t="n"/>
      <c r="G2601" s="11" t="n"/>
      <c r="H2601" s="11" t="n"/>
      <c r="I2601" s="11" t="n"/>
      <c r="J2601" s="11" t="n"/>
      <c r="K2601" s="11" t="n"/>
      <c r="L2601" s="11" t="n"/>
      <c r="M2601" s="11" t="n"/>
    </row>
    <row r="2602">
      <c r="A2602" s="11" t="n"/>
      <c r="B2602" s="11" t="n"/>
      <c r="C2602" s="11" t="n"/>
      <c r="D2602" s="11" t="n"/>
      <c r="E2602" s="11" t="n"/>
      <c r="F2602" s="11" t="n"/>
      <c r="G2602" s="11" t="n"/>
      <c r="H2602" s="11" t="n"/>
      <c r="I2602" s="11" t="n"/>
      <c r="J2602" s="11" t="n"/>
      <c r="K2602" s="11" t="n"/>
      <c r="L2602" s="11" t="n"/>
      <c r="M2602" s="11" t="n"/>
    </row>
    <row r="2603">
      <c r="A2603" s="11" t="n"/>
      <c r="B2603" s="11" t="n"/>
      <c r="C2603" s="11" t="n"/>
      <c r="D2603" s="11" t="n"/>
      <c r="E2603" s="11" t="n"/>
      <c r="F2603" s="11" t="n"/>
      <c r="G2603" s="11" t="n"/>
      <c r="H2603" s="11" t="n"/>
      <c r="I2603" s="11" t="n"/>
      <c r="J2603" s="11" t="n"/>
      <c r="K2603" s="11" t="n"/>
      <c r="L2603" s="11" t="n"/>
      <c r="M2603" s="11" t="n"/>
    </row>
    <row r="2604">
      <c r="A2604" s="11" t="n"/>
      <c r="B2604" s="11" t="n"/>
      <c r="C2604" s="11" t="n"/>
      <c r="D2604" s="11" t="n"/>
      <c r="E2604" s="11" t="n"/>
      <c r="F2604" s="11" t="n"/>
      <c r="G2604" s="11" t="n"/>
      <c r="H2604" s="11" t="n"/>
      <c r="I2604" s="11" t="n"/>
      <c r="J2604" s="11" t="n"/>
      <c r="K2604" s="11" t="n"/>
      <c r="L2604" s="11" t="n"/>
      <c r="M2604" s="11" t="n"/>
    </row>
    <row r="2605">
      <c r="A2605" s="11" t="n"/>
      <c r="B2605" s="11" t="n"/>
      <c r="C2605" s="11" t="n"/>
      <c r="D2605" s="11" t="n"/>
      <c r="E2605" s="11" t="n"/>
      <c r="F2605" s="11" t="n"/>
      <c r="G2605" s="11" t="n"/>
      <c r="H2605" s="11" t="n"/>
      <c r="I2605" s="11" t="n"/>
      <c r="J2605" s="11" t="n"/>
      <c r="K2605" s="11" t="n"/>
      <c r="L2605" s="11" t="n"/>
      <c r="M2605" s="11" t="n"/>
    </row>
    <row r="2606">
      <c r="A2606" s="11" t="n"/>
      <c r="B2606" s="11" t="n"/>
      <c r="C2606" s="11" t="n"/>
      <c r="D2606" s="11" t="n"/>
      <c r="E2606" s="11" t="n"/>
      <c r="F2606" s="11" t="n"/>
      <c r="G2606" s="11" t="n"/>
      <c r="H2606" s="11" t="n"/>
      <c r="I2606" s="11" t="n"/>
      <c r="J2606" s="11" t="n"/>
      <c r="K2606" s="11" t="n"/>
      <c r="L2606" s="11" t="n"/>
      <c r="M2606" s="11" t="n"/>
    </row>
    <row r="2607">
      <c r="A2607" s="11" t="n"/>
      <c r="B2607" s="11" t="n"/>
      <c r="C2607" s="11" t="n"/>
      <c r="D2607" s="11" t="n"/>
      <c r="E2607" s="11" t="n"/>
      <c r="F2607" s="11" t="n"/>
      <c r="G2607" s="11" t="n"/>
      <c r="H2607" s="11" t="n"/>
      <c r="I2607" s="11" t="n"/>
      <c r="J2607" s="11" t="n"/>
      <c r="K2607" s="11" t="n"/>
      <c r="L2607" s="11" t="n"/>
      <c r="M2607" s="11" t="n"/>
    </row>
    <row r="2608">
      <c r="A2608" s="11" t="n"/>
      <c r="B2608" s="11" t="n"/>
      <c r="C2608" s="11" t="n"/>
      <c r="D2608" s="11" t="n"/>
      <c r="E2608" s="11" t="n"/>
      <c r="F2608" s="11" t="n"/>
      <c r="G2608" s="11" t="n"/>
      <c r="H2608" s="11" t="n"/>
      <c r="I2608" s="11" t="n"/>
      <c r="J2608" s="11" t="n"/>
      <c r="K2608" s="11" t="n"/>
      <c r="L2608" s="11" t="n"/>
      <c r="M2608" s="11" t="n"/>
    </row>
    <row r="2609">
      <c r="A2609" s="11" t="n"/>
      <c r="B2609" s="11" t="n"/>
      <c r="C2609" s="11" t="n"/>
      <c r="D2609" s="11" t="n"/>
      <c r="E2609" s="11" t="n"/>
      <c r="F2609" s="11" t="n"/>
      <c r="G2609" s="11" t="n"/>
      <c r="H2609" s="11" t="n"/>
      <c r="I2609" s="11" t="n"/>
      <c r="J2609" s="11" t="n"/>
      <c r="K2609" s="11" t="n"/>
      <c r="L2609" s="11" t="n"/>
      <c r="M2609" s="11" t="n"/>
    </row>
    <row r="2610">
      <c r="A2610" s="11" t="n"/>
      <c r="B2610" s="11" t="n"/>
      <c r="C2610" s="11" t="n"/>
      <c r="D2610" s="11" t="n"/>
      <c r="E2610" s="11" t="n"/>
      <c r="F2610" s="11" t="n"/>
      <c r="G2610" s="11" t="n"/>
      <c r="H2610" s="11" t="n"/>
      <c r="I2610" s="11" t="n"/>
      <c r="J2610" s="11" t="n"/>
      <c r="K2610" s="11" t="n"/>
      <c r="L2610" s="11" t="n"/>
      <c r="M2610" s="11" t="n"/>
    </row>
    <row r="2611">
      <c r="A2611" s="11" t="n"/>
      <c r="B2611" s="11" t="n"/>
      <c r="C2611" s="11" t="n"/>
      <c r="D2611" s="11" t="n"/>
      <c r="E2611" s="11" t="n"/>
      <c r="F2611" s="11" t="n"/>
      <c r="G2611" s="11" t="n"/>
      <c r="H2611" s="11" t="n"/>
      <c r="I2611" s="11" t="n"/>
      <c r="J2611" s="11" t="n"/>
      <c r="K2611" s="11" t="n"/>
      <c r="L2611" s="11" t="n"/>
      <c r="M2611" s="11" t="n"/>
    </row>
    <row r="2612">
      <c r="A2612" s="11" t="n"/>
      <c r="B2612" s="11" t="n"/>
      <c r="C2612" s="11" t="n"/>
      <c r="D2612" s="11" t="n"/>
      <c r="E2612" s="11" t="n"/>
      <c r="F2612" s="11" t="n"/>
      <c r="G2612" s="11" t="n"/>
      <c r="H2612" s="11" t="n"/>
      <c r="I2612" s="11" t="n"/>
      <c r="J2612" s="11" t="n"/>
      <c r="K2612" s="11" t="n"/>
      <c r="L2612" s="11" t="n"/>
      <c r="M2612" s="11" t="n"/>
    </row>
    <row r="2613">
      <c r="A2613" s="11" t="n"/>
      <c r="B2613" s="11" t="n"/>
      <c r="C2613" s="11" t="n"/>
      <c r="D2613" s="11" t="n"/>
      <c r="E2613" s="11" t="n"/>
      <c r="F2613" s="11" t="n"/>
      <c r="G2613" s="11" t="n"/>
      <c r="H2613" s="11" t="n"/>
      <c r="I2613" s="11" t="n"/>
      <c r="J2613" s="11" t="n"/>
      <c r="K2613" s="11" t="n"/>
      <c r="L2613" s="11" t="n"/>
      <c r="M2613" s="11" t="n"/>
    </row>
    <row r="2614">
      <c r="A2614" s="11" t="n"/>
      <c r="B2614" s="11" t="n"/>
      <c r="C2614" s="11" t="n"/>
      <c r="D2614" s="11" t="n"/>
      <c r="E2614" s="11" t="n"/>
      <c r="F2614" s="11" t="n"/>
      <c r="G2614" s="11" t="n"/>
      <c r="H2614" s="11" t="n"/>
      <c r="I2614" s="11" t="n"/>
      <c r="J2614" s="11" t="n"/>
      <c r="K2614" s="11" t="n"/>
      <c r="L2614" s="11" t="n"/>
      <c r="M2614" s="11" t="n"/>
    </row>
    <row r="2615">
      <c r="A2615" s="11" t="n"/>
      <c r="B2615" s="11" t="n"/>
      <c r="C2615" s="11" t="n"/>
      <c r="D2615" s="11" t="n"/>
      <c r="E2615" s="11" t="n"/>
      <c r="F2615" s="11" t="n"/>
      <c r="G2615" s="11" t="n"/>
      <c r="H2615" s="11" t="n"/>
      <c r="I2615" s="11" t="n"/>
      <c r="J2615" s="11" t="n"/>
      <c r="K2615" s="11" t="n"/>
      <c r="L2615" s="11" t="n"/>
      <c r="M2615" s="11" t="n"/>
    </row>
    <row r="2616">
      <c r="A2616" s="11" t="n"/>
      <c r="B2616" s="11" t="n"/>
      <c r="C2616" s="11" t="n"/>
      <c r="D2616" s="11" t="n"/>
      <c r="E2616" s="11" t="n"/>
      <c r="F2616" s="11" t="n"/>
      <c r="G2616" s="11" t="n"/>
      <c r="H2616" s="11" t="n"/>
      <c r="I2616" s="11" t="n"/>
      <c r="J2616" s="11" t="n"/>
      <c r="K2616" s="11" t="n"/>
      <c r="L2616" s="11" t="n"/>
      <c r="M2616" s="11" t="n"/>
    </row>
    <row r="2617">
      <c r="A2617" s="11" t="n"/>
      <c r="B2617" s="11" t="n"/>
      <c r="C2617" s="11" t="n"/>
      <c r="D2617" s="11" t="n"/>
      <c r="E2617" s="11" t="n"/>
      <c r="F2617" s="11" t="n"/>
      <c r="G2617" s="11" t="n"/>
      <c r="H2617" s="11" t="n"/>
      <c r="I2617" s="11" t="n"/>
      <c r="J2617" s="11" t="n"/>
      <c r="K2617" s="11" t="n"/>
      <c r="L2617" s="11" t="n"/>
      <c r="M2617" s="11" t="n"/>
    </row>
    <row r="2618">
      <c r="A2618" s="11" t="n"/>
      <c r="B2618" s="11" t="n"/>
      <c r="C2618" s="11" t="n"/>
      <c r="D2618" s="11" t="n"/>
      <c r="E2618" s="11" t="n"/>
      <c r="F2618" s="11" t="n"/>
      <c r="G2618" s="11" t="n"/>
      <c r="H2618" s="11" t="n"/>
      <c r="I2618" s="11" t="n"/>
      <c r="J2618" s="11" t="n"/>
      <c r="K2618" s="11" t="n"/>
      <c r="L2618" s="11" t="n"/>
      <c r="M2618" s="11" t="n"/>
    </row>
    <row r="2619">
      <c r="A2619" s="11" t="n"/>
      <c r="B2619" s="11" t="n"/>
      <c r="C2619" s="11" t="n"/>
      <c r="D2619" s="11" t="n"/>
      <c r="E2619" s="11" t="n"/>
      <c r="F2619" s="11" t="n"/>
      <c r="G2619" s="11" t="n"/>
      <c r="H2619" s="11" t="n"/>
      <c r="I2619" s="11" t="n"/>
      <c r="J2619" s="11" t="n"/>
      <c r="K2619" s="11" t="n"/>
      <c r="L2619" s="11" t="n"/>
      <c r="M2619" s="11" t="n"/>
    </row>
    <row r="2620">
      <c r="A2620" s="11" t="n"/>
      <c r="B2620" s="11" t="n"/>
      <c r="C2620" s="11" t="n"/>
      <c r="D2620" s="11" t="n"/>
      <c r="E2620" s="11" t="n"/>
      <c r="F2620" s="11" t="n"/>
      <c r="G2620" s="11" t="n"/>
      <c r="H2620" s="11" t="n"/>
      <c r="I2620" s="11" t="n"/>
      <c r="J2620" s="11" t="n"/>
      <c r="K2620" s="11" t="n"/>
      <c r="L2620" s="11" t="n"/>
      <c r="M2620" s="11" t="n"/>
    </row>
    <row r="2621">
      <c r="A2621" s="11" t="n"/>
      <c r="B2621" s="11" t="n"/>
      <c r="C2621" s="11" t="n"/>
      <c r="D2621" s="11" t="n"/>
      <c r="E2621" s="11" t="n"/>
      <c r="F2621" s="11" t="n"/>
      <c r="G2621" s="11" t="n"/>
      <c r="H2621" s="11" t="n"/>
      <c r="I2621" s="11" t="n"/>
      <c r="J2621" s="11" t="n"/>
      <c r="K2621" s="11" t="n"/>
      <c r="L2621" s="11" t="n"/>
      <c r="M2621" s="11" t="n"/>
    </row>
    <row r="2622">
      <c r="A2622" s="11" t="n"/>
      <c r="B2622" s="11" t="n"/>
      <c r="C2622" s="11" t="n"/>
      <c r="D2622" s="11" t="n"/>
      <c r="E2622" s="11" t="n"/>
      <c r="F2622" s="11" t="n"/>
      <c r="G2622" s="11" t="n"/>
      <c r="H2622" s="11" t="n"/>
      <c r="I2622" s="11" t="n"/>
      <c r="J2622" s="11" t="n"/>
      <c r="K2622" s="11" t="n"/>
      <c r="L2622" s="11" t="n"/>
      <c r="M2622" s="11" t="n"/>
    </row>
    <row r="2623">
      <c r="A2623" s="11" t="n"/>
      <c r="B2623" s="11" t="n"/>
      <c r="C2623" s="11" t="n"/>
      <c r="D2623" s="11" t="n"/>
      <c r="E2623" s="11" t="n"/>
      <c r="F2623" s="11" t="n"/>
      <c r="G2623" s="11" t="n"/>
      <c r="H2623" s="11" t="n"/>
      <c r="I2623" s="11" t="n"/>
      <c r="J2623" s="11" t="n"/>
      <c r="K2623" s="11" t="n"/>
      <c r="L2623" s="11" t="n"/>
      <c r="M2623" s="11" t="n"/>
    </row>
    <row r="2624">
      <c r="A2624" s="11" t="n"/>
      <c r="B2624" s="11" t="n"/>
      <c r="C2624" s="11" t="n"/>
      <c r="D2624" s="11" t="n"/>
      <c r="E2624" s="11" t="n"/>
      <c r="F2624" s="11" t="n"/>
      <c r="G2624" s="11" t="n"/>
      <c r="H2624" s="11" t="n"/>
      <c r="I2624" s="11" t="n"/>
      <c r="J2624" s="11" t="n"/>
      <c r="K2624" s="11" t="n"/>
      <c r="L2624" s="11" t="n"/>
      <c r="M2624" s="11" t="n"/>
    </row>
    <row r="2625">
      <c r="A2625" s="11" t="n"/>
      <c r="B2625" s="11" t="n"/>
      <c r="C2625" s="11" t="n"/>
      <c r="D2625" s="11" t="n"/>
      <c r="E2625" s="11" t="n"/>
      <c r="F2625" s="11" t="n"/>
      <c r="G2625" s="11" t="n"/>
      <c r="H2625" s="11" t="n"/>
      <c r="I2625" s="11" t="n"/>
      <c r="J2625" s="11" t="n"/>
      <c r="K2625" s="11" t="n"/>
      <c r="L2625" s="11" t="n"/>
      <c r="M2625" s="11" t="n"/>
    </row>
    <row r="2626">
      <c r="A2626" s="11" t="n"/>
      <c r="B2626" s="11" t="n"/>
      <c r="C2626" s="11" t="n"/>
      <c r="D2626" s="11" t="n"/>
      <c r="E2626" s="11" t="n"/>
      <c r="F2626" s="11" t="n"/>
      <c r="G2626" s="11" t="n"/>
      <c r="H2626" s="11" t="n"/>
      <c r="I2626" s="11" t="n"/>
      <c r="J2626" s="11" t="n"/>
      <c r="K2626" s="11" t="n"/>
      <c r="L2626" s="11" t="n"/>
      <c r="M2626" s="11" t="n"/>
    </row>
    <row r="2627">
      <c r="A2627" s="11" t="n"/>
      <c r="B2627" s="11" t="n"/>
      <c r="C2627" s="11" t="n"/>
      <c r="D2627" s="11" t="n"/>
      <c r="E2627" s="11" t="n"/>
      <c r="F2627" s="11" t="n"/>
      <c r="G2627" s="11" t="n"/>
      <c r="H2627" s="11" t="n"/>
      <c r="I2627" s="11" t="n"/>
      <c r="J2627" s="11" t="n"/>
      <c r="K2627" s="11" t="n"/>
      <c r="L2627" s="11" t="n"/>
      <c r="M2627" s="11" t="n"/>
    </row>
    <row r="2628">
      <c r="A2628" s="11" t="n"/>
      <c r="B2628" s="11" t="n"/>
      <c r="C2628" s="11" t="n"/>
      <c r="D2628" s="11" t="n"/>
      <c r="E2628" s="11" t="n"/>
      <c r="F2628" s="11" t="n"/>
      <c r="G2628" s="11" t="n"/>
      <c r="H2628" s="11" t="n"/>
      <c r="I2628" s="11" t="n"/>
      <c r="J2628" s="11" t="n"/>
      <c r="K2628" s="11" t="n"/>
      <c r="L2628" s="11" t="n"/>
      <c r="M2628" s="11" t="n"/>
    </row>
    <row r="2629">
      <c r="A2629" s="11" t="n"/>
      <c r="B2629" s="11" t="n"/>
      <c r="C2629" s="11" t="n"/>
      <c r="D2629" s="11" t="n"/>
      <c r="E2629" s="11" t="n"/>
      <c r="F2629" s="11" t="n"/>
      <c r="G2629" s="11" t="n"/>
      <c r="H2629" s="11" t="n"/>
      <c r="I2629" s="11" t="n"/>
      <c r="J2629" s="11" t="n"/>
      <c r="K2629" s="11" t="n"/>
      <c r="L2629" s="11" t="n"/>
      <c r="M2629" s="11" t="n"/>
    </row>
    <row r="2630">
      <c r="A2630" s="11" t="n"/>
      <c r="B2630" s="11" t="n"/>
      <c r="C2630" s="11" t="n"/>
      <c r="D2630" s="11" t="n"/>
      <c r="E2630" s="11" t="n"/>
      <c r="F2630" s="11" t="n"/>
      <c r="G2630" s="11" t="n"/>
      <c r="H2630" s="11" t="n"/>
      <c r="I2630" s="11" t="n"/>
      <c r="J2630" s="11" t="n"/>
      <c r="K2630" s="11" t="n"/>
      <c r="L2630" s="11" t="n"/>
      <c r="M2630" s="11" t="n"/>
    </row>
    <row r="2631">
      <c r="A2631" s="11" t="n"/>
      <c r="B2631" s="11" t="n"/>
      <c r="C2631" s="11" t="n"/>
      <c r="D2631" s="11" t="n"/>
      <c r="E2631" s="11" t="n"/>
      <c r="F2631" s="11" t="n"/>
      <c r="G2631" s="11" t="n"/>
      <c r="H2631" s="11" t="n"/>
      <c r="I2631" s="11" t="n"/>
      <c r="J2631" s="11" t="n"/>
      <c r="K2631" s="11" t="n"/>
      <c r="L2631" s="11" t="n"/>
      <c r="M2631" s="11" t="n"/>
    </row>
    <row r="2632">
      <c r="A2632" s="11" t="n"/>
      <c r="B2632" s="11" t="n"/>
      <c r="C2632" s="11" t="n"/>
      <c r="D2632" s="11" t="n"/>
      <c r="E2632" s="11" t="n"/>
      <c r="F2632" s="11" t="n"/>
      <c r="G2632" s="11" t="n"/>
      <c r="H2632" s="11" t="n"/>
      <c r="I2632" s="11" t="n"/>
      <c r="J2632" s="11" t="n"/>
      <c r="K2632" s="11" t="n"/>
      <c r="L2632" s="11" t="n"/>
      <c r="M2632" s="11" t="n"/>
    </row>
    <row r="2633">
      <c r="A2633" s="11" t="n"/>
      <c r="B2633" s="11" t="n"/>
      <c r="C2633" s="11" t="n"/>
      <c r="D2633" s="11" t="n"/>
      <c r="E2633" s="11" t="n"/>
      <c r="F2633" s="11" t="n"/>
      <c r="G2633" s="11" t="n"/>
      <c r="H2633" s="11" t="n"/>
      <c r="I2633" s="11" t="n"/>
      <c r="J2633" s="11" t="n"/>
      <c r="K2633" s="11" t="n"/>
      <c r="L2633" s="11" t="n"/>
      <c r="M2633" s="11" t="n"/>
    </row>
    <row r="2634">
      <c r="A2634" s="11" t="n"/>
      <c r="B2634" s="11" t="n"/>
      <c r="C2634" s="11" t="n"/>
      <c r="D2634" s="11" t="n"/>
      <c r="E2634" s="11" t="n"/>
      <c r="F2634" s="11" t="n"/>
      <c r="G2634" s="11" t="n"/>
      <c r="H2634" s="11" t="n"/>
      <c r="I2634" s="11" t="n"/>
      <c r="J2634" s="11" t="n"/>
      <c r="K2634" s="11" t="n"/>
      <c r="L2634" s="11" t="n"/>
      <c r="M2634" s="11" t="n"/>
    </row>
    <row r="2635">
      <c r="A2635" s="11" t="n"/>
      <c r="B2635" s="11" t="n"/>
      <c r="C2635" s="11" t="n"/>
      <c r="D2635" s="11" t="n"/>
      <c r="E2635" s="11" t="n"/>
      <c r="F2635" s="11" t="n"/>
      <c r="G2635" s="11" t="n"/>
      <c r="H2635" s="11" t="n"/>
      <c r="I2635" s="11" t="n"/>
      <c r="J2635" s="11" t="n"/>
      <c r="K2635" s="11" t="n"/>
      <c r="L2635" s="11" t="n"/>
      <c r="M2635" s="11" t="n"/>
    </row>
    <row r="2636">
      <c r="A2636" s="11" t="n"/>
      <c r="B2636" s="11" t="n"/>
      <c r="C2636" s="11" t="n"/>
      <c r="D2636" s="11" t="n"/>
      <c r="E2636" s="11" t="n"/>
      <c r="F2636" s="11" t="n"/>
      <c r="G2636" s="11" t="n"/>
      <c r="H2636" s="11" t="n"/>
      <c r="I2636" s="11" t="n"/>
      <c r="J2636" s="11" t="n"/>
      <c r="K2636" s="11" t="n"/>
      <c r="L2636" s="11" t="n"/>
      <c r="M2636" s="11" t="n"/>
    </row>
    <row r="2637">
      <c r="A2637" s="11" t="n"/>
      <c r="B2637" s="11" t="n"/>
      <c r="C2637" s="11" t="n"/>
      <c r="D2637" s="11" t="n"/>
      <c r="E2637" s="11" t="n"/>
      <c r="F2637" s="11" t="n"/>
      <c r="G2637" s="11" t="n"/>
      <c r="H2637" s="11" t="n"/>
      <c r="I2637" s="11" t="n"/>
      <c r="J2637" s="11" t="n"/>
      <c r="K2637" s="11" t="n"/>
      <c r="L2637" s="11" t="n"/>
      <c r="M2637" s="11" t="n"/>
    </row>
    <row r="2638">
      <c r="A2638" s="11" t="n"/>
      <c r="B2638" s="11" t="n"/>
      <c r="C2638" s="11" t="n"/>
      <c r="D2638" s="11" t="n"/>
      <c r="E2638" s="11" t="n"/>
      <c r="F2638" s="11" t="n"/>
      <c r="G2638" s="11" t="n"/>
      <c r="H2638" s="11" t="n"/>
      <c r="I2638" s="11" t="n"/>
      <c r="J2638" s="11" t="n"/>
      <c r="K2638" s="11" t="n"/>
      <c r="L2638" s="11" t="n"/>
      <c r="M2638" s="11" t="n"/>
    </row>
    <row r="2639">
      <c r="A2639" s="11" t="n"/>
      <c r="B2639" s="11" t="n"/>
      <c r="C2639" s="11" t="n"/>
      <c r="D2639" s="11" t="n"/>
      <c r="E2639" s="11" t="n"/>
      <c r="F2639" s="11" t="n"/>
      <c r="G2639" s="11" t="n"/>
      <c r="H2639" s="11" t="n"/>
      <c r="I2639" s="11" t="n"/>
      <c r="J2639" s="11" t="n"/>
      <c r="K2639" s="11" t="n"/>
      <c r="L2639" s="11" t="n"/>
      <c r="M2639" s="11" t="n"/>
    </row>
    <row r="2640">
      <c r="A2640" s="11" t="n"/>
      <c r="B2640" s="11" t="n"/>
      <c r="C2640" s="11" t="n"/>
      <c r="D2640" s="11" t="n"/>
      <c r="E2640" s="11" t="n"/>
      <c r="F2640" s="11" t="n"/>
      <c r="G2640" s="11" t="n"/>
      <c r="H2640" s="11" t="n"/>
      <c r="I2640" s="11" t="n"/>
      <c r="J2640" s="11" t="n"/>
      <c r="K2640" s="11" t="n"/>
      <c r="L2640" s="11" t="n"/>
      <c r="M2640" s="11" t="n"/>
    </row>
    <row r="2641">
      <c r="A2641" s="11" t="n"/>
      <c r="B2641" s="11" t="n"/>
      <c r="C2641" s="11" t="n"/>
      <c r="D2641" s="11" t="n"/>
      <c r="E2641" s="11" t="n"/>
      <c r="F2641" s="11" t="n"/>
      <c r="G2641" s="11" t="n"/>
      <c r="H2641" s="11" t="n"/>
      <c r="I2641" s="11" t="n"/>
      <c r="J2641" s="11" t="n"/>
      <c r="K2641" s="11" t="n"/>
      <c r="L2641" s="11" t="n"/>
      <c r="M2641" s="11" t="n"/>
    </row>
    <row r="2642">
      <c r="A2642" s="11" t="n"/>
      <c r="B2642" s="11" t="n"/>
      <c r="C2642" s="11" t="n"/>
      <c r="D2642" s="11" t="n"/>
      <c r="E2642" s="11" t="n"/>
      <c r="F2642" s="11" t="n"/>
      <c r="G2642" s="11" t="n"/>
      <c r="H2642" s="11" t="n"/>
      <c r="I2642" s="11" t="n"/>
      <c r="J2642" s="11" t="n"/>
      <c r="K2642" s="11" t="n"/>
      <c r="L2642" s="11" t="n"/>
      <c r="M2642" s="11" t="n"/>
    </row>
    <row r="2643">
      <c r="A2643" s="11" t="n"/>
      <c r="B2643" s="11" t="n"/>
      <c r="C2643" s="11" t="n"/>
      <c r="D2643" s="11" t="n"/>
      <c r="E2643" s="11" t="n"/>
      <c r="F2643" s="11" t="n"/>
      <c r="G2643" s="11" t="n"/>
      <c r="H2643" s="11" t="n"/>
      <c r="I2643" s="11" t="n"/>
      <c r="J2643" s="11" t="n"/>
      <c r="K2643" s="11" t="n"/>
      <c r="L2643" s="11" t="n"/>
      <c r="M2643" s="11" t="n"/>
    </row>
    <row r="2644">
      <c r="A2644" s="11" t="n"/>
      <c r="B2644" s="11" t="n"/>
      <c r="C2644" s="11" t="n"/>
      <c r="D2644" s="11" t="n"/>
      <c r="E2644" s="11" t="n"/>
      <c r="F2644" s="11" t="n"/>
      <c r="G2644" s="11" t="n"/>
      <c r="H2644" s="11" t="n"/>
      <c r="I2644" s="11" t="n"/>
      <c r="J2644" s="11" t="n"/>
      <c r="K2644" s="11" t="n"/>
      <c r="L2644" s="11" t="n"/>
      <c r="M2644" s="11" t="n"/>
    </row>
    <row r="2645">
      <c r="A2645" s="11" t="n"/>
      <c r="B2645" s="11" t="n"/>
      <c r="C2645" s="11" t="n"/>
      <c r="D2645" s="11" t="n"/>
      <c r="E2645" s="11" t="n"/>
      <c r="F2645" s="11" t="n"/>
      <c r="G2645" s="11" t="n"/>
      <c r="H2645" s="11" t="n"/>
      <c r="I2645" s="11" t="n"/>
      <c r="J2645" s="11" t="n"/>
      <c r="K2645" s="11" t="n"/>
      <c r="L2645" s="11" t="n"/>
      <c r="M2645" s="11" t="n"/>
    </row>
    <row r="2646">
      <c r="A2646" s="11" t="n"/>
      <c r="B2646" s="11" t="n"/>
      <c r="C2646" s="11" t="n"/>
      <c r="D2646" s="11" t="n"/>
      <c r="E2646" s="11" t="n"/>
      <c r="F2646" s="11" t="n"/>
      <c r="G2646" s="11" t="n"/>
      <c r="H2646" s="11" t="n"/>
      <c r="I2646" s="11" t="n"/>
      <c r="J2646" s="11" t="n"/>
      <c r="K2646" s="11" t="n"/>
      <c r="L2646" s="11" t="n"/>
      <c r="M2646" s="11" t="n"/>
    </row>
    <row r="2647">
      <c r="A2647" s="11" t="n"/>
      <c r="B2647" s="11" t="n"/>
      <c r="C2647" s="11" t="n"/>
      <c r="D2647" s="11" t="n"/>
      <c r="E2647" s="11" t="n"/>
      <c r="F2647" s="11" t="n"/>
      <c r="G2647" s="11" t="n"/>
      <c r="H2647" s="11" t="n"/>
      <c r="I2647" s="11" t="n"/>
      <c r="J2647" s="11" t="n"/>
      <c r="K2647" s="11" t="n"/>
      <c r="L2647" s="11" t="n"/>
      <c r="M2647" s="11" t="n"/>
    </row>
    <row r="2648">
      <c r="A2648" s="11" t="n"/>
      <c r="B2648" s="11" t="n"/>
      <c r="C2648" s="11" t="n"/>
      <c r="D2648" s="11" t="n"/>
      <c r="E2648" s="11" t="n"/>
      <c r="F2648" s="11" t="n"/>
      <c r="G2648" s="11" t="n"/>
      <c r="H2648" s="11" t="n"/>
      <c r="I2648" s="11" t="n"/>
      <c r="J2648" s="11" t="n"/>
      <c r="K2648" s="11" t="n"/>
      <c r="L2648" s="11" t="n"/>
      <c r="M2648" s="11" t="n"/>
    </row>
    <row r="2649">
      <c r="A2649" s="11" t="n"/>
      <c r="B2649" s="11" t="n"/>
      <c r="C2649" s="11" t="n"/>
      <c r="D2649" s="11" t="n"/>
      <c r="E2649" s="11" t="n"/>
      <c r="F2649" s="11" t="n"/>
      <c r="G2649" s="11" t="n"/>
      <c r="H2649" s="11" t="n"/>
      <c r="I2649" s="11" t="n"/>
      <c r="J2649" s="11" t="n"/>
      <c r="K2649" s="11" t="n"/>
      <c r="L2649" s="11" t="n"/>
      <c r="M2649" s="11" t="n"/>
    </row>
    <row r="2650">
      <c r="A2650" s="11" t="n"/>
      <c r="B2650" s="11" t="n"/>
      <c r="C2650" s="11" t="n"/>
      <c r="D2650" s="11" t="n"/>
      <c r="E2650" s="11" t="n"/>
      <c r="F2650" s="11" t="n"/>
      <c r="G2650" s="11" t="n"/>
      <c r="H2650" s="11" t="n"/>
      <c r="I2650" s="11" t="n"/>
      <c r="J2650" s="11" t="n"/>
      <c r="K2650" s="11" t="n"/>
      <c r="L2650" s="11" t="n"/>
      <c r="M2650" s="11" t="n"/>
    </row>
    <row r="2651">
      <c r="A2651" s="11" t="n"/>
      <c r="B2651" s="11" t="n"/>
      <c r="C2651" s="11" t="n"/>
      <c r="D2651" s="11" t="n"/>
      <c r="E2651" s="11" t="n"/>
      <c r="F2651" s="11" t="n"/>
      <c r="G2651" s="11" t="n"/>
      <c r="H2651" s="11" t="n"/>
      <c r="I2651" s="11" t="n"/>
      <c r="J2651" s="11" t="n"/>
      <c r="K2651" s="11" t="n"/>
      <c r="L2651" s="11" t="n"/>
      <c r="M2651" s="11" t="n"/>
    </row>
    <row r="2652">
      <c r="A2652" s="11" t="n"/>
      <c r="B2652" s="11" t="n"/>
      <c r="C2652" s="11" t="n"/>
      <c r="D2652" s="11" t="n"/>
      <c r="E2652" s="11" t="n"/>
      <c r="F2652" s="11" t="n"/>
      <c r="G2652" s="11" t="n"/>
      <c r="H2652" s="11" t="n"/>
      <c r="I2652" s="11" t="n"/>
      <c r="J2652" s="11" t="n"/>
      <c r="K2652" s="11" t="n"/>
      <c r="L2652" s="11" t="n"/>
      <c r="M2652" s="11" t="n"/>
    </row>
    <row r="2653">
      <c r="A2653" s="11" t="n"/>
      <c r="B2653" s="11" t="n"/>
      <c r="C2653" s="11" t="n"/>
      <c r="D2653" s="11" t="n"/>
      <c r="E2653" s="11" t="n"/>
      <c r="F2653" s="11" t="n"/>
      <c r="G2653" s="11" t="n"/>
      <c r="H2653" s="11" t="n"/>
      <c r="I2653" s="11" t="n"/>
      <c r="J2653" s="11" t="n"/>
      <c r="K2653" s="11" t="n"/>
      <c r="L2653" s="11" t="n"/>
      <c r="M2653" s="11" t="n"/>
    </row>
    <row r="2654">
      <c r="A2654" s="11" t="n"/>
      <c r="B2654" s="11" t="n"/>
      <c r="C2654" s="11" t="n"/>
      <c r="D2654" s="11" t="n"/>
      <c r="E2654" s="11" t="n"/>
      <c r="F2654" s="11" t="n"/>
      <c r="G2654" s="11" t="n"/>
      <c r="H2654" s="11" t="n"/>
      <c r="I2654" s="11" t="n"/>
      <c r="J2654" s="11" t="n"/>
      <c r="K2654" s="11" t="n"/>
      <c r="L2654" s="11" t="n"/>
      <c r="M2654" s="11" t="n"/>
    </row>
    <row r="2655">
      <c r="A2655" s="11" t="n"/>
      <c r="B2655" s="11" t="n"/>
      <c r="C2655" s="11" t="n"/>
      <c r="D2655" s="11" t="n"/>
      <c r="E2655" s="11" t="n"/>
      <c r="F2655" s="11" t="n"/>
      <c r="G2655" s="11" t="n"/>
      <c r="H2655" s="11" t="n"/>
      <c r="I2655" s="11" t="n"/>
      <c r="J2655" s="11" t="n"/>
      <c r="K2655" s="11" t="n"/>
      <c r="L2655" s="11" t="n"/>
      <c r="M2655" s="11" t="n"/>
    </row>
    <row r="2656">
      <c r="A2656" s="11" t="n"/>
      <c r="B2656" s="11" t="n"/>
      <c r="C2656" s="11" t="n"/>
      <c r="D2656" s="11" t="n"/>
      <c r="E2656" s="11" t="n"/>
      <c r="F2656" s="11" t="n"/>
      <c r="G2656" s="11" t="n"/>
      <c r="H2656" s="11" t="n"/>
      <c r="I2656" s="11" t="n"/>
      <c r="J2656" s="11" t="n"/>
      <c r="K2656" s="11" t="n"/>
      <c r="L2656" s="11" t="n"/>
      <c r="M2656" s="11" t="n"/>
    </row>
    <row r="2657">
      <c r="A2657" s="11" t="n"/>
      <c r="B2657" s="11" t="n"/>
      <c r="C2657" s="11" t="n"/>
      <c r="D2657" s="11" t="n"/>
      <c r="E2657" s="11" t="n"/>
      <c r="F2657" s="11" t="n"/>
      <c r="G2657" s="11" t="n"/>
      <c r="H2657" s="11" t="n"/>
      <c r="I2657" s="11" t="n"/>
      <c r="J2657" s="11" t="n"/>
      <c r="K2657" s="11" t="n"/>
      <c r="L2657" s="11" t="n"/>
      <c r="M2657" s="11" t="n"/>
    </row>
    <row r="2658">
      <c r="A2658" s="11" t="n"/>
      <c r="B2658" s="11" t="n"/>
      <c r="C2658" s="11" t="n"/>
      <c r="D2658" s="11" t="n"/>
      <c r="E2658" s="11" t="n"/>
      <c r="F2658" s="11" t="n"/>
      <c r="G2658" s="11" t="n"/>
      <c r="H2658" s="11" t="n"/>
      <c r="I2658" s="11" t="n"/>
      <c r="J2658" s="11" t="n"/>
      <c r="K2658" s="11" t="n"/>
      <c r="L2658" s="11" t="n"/>
      <c r="M2658" s="11" t="n"/>
    </row>
    <row r="2659">
      <c r="A2659" s="11" t="n"/>
      <c r="B2659" s="11" t="n"/>
      <c r="C2659" s="11" t="n"/>
      <c r="D2659" s="11" t="n"/>
      <c r="E2659" s="11" t="n"/>
      <c r="F2659" s="11" t="n"/>
      <c r="G2659" s="11" t="n"/>
      <c r="H2659" s="11" t="n"/>
      <c r="I2659" s="11" t="n"/>
      <c r="J2659" s="11" t="n"/>
      <c r="K2659" s="11" t="n"/>
      <c r="L2659" s="11" t="n"/>
      <c r="M2659" s="11" t="n"/>
    </row>
    <row r="2660">
      <c r="A2660" s="11" t="n"/>
      <c r="B2660" s="11" t="n"/>
      <c r="C2660" s="11" t="n"/>
      <c r="D2660" s="11" t="n"/>
      <c r="E2660" s="11" t="n"/>
      <c r="F2660" s="11" t="n"/>
      <c r="G2660" s="11" t="n"/>
      <c r="H2660" s="11" t="n"/>
      <c r="I2660" s="11" t="n"/>
      <c r="J2660" s="11" t="n"/>
      <c r="K2660" s="11" t="n"/>
      <c r="L2660" s="11" t="n"/>
      <c r="M2660" s="11" t="n"/>
    </row>
    <row r="2661">
      <c r="A2661" s="11" t="n"/>
      <c r="B2661" s="11" t="n"/>
      <c r="C2661" s="11" t="n"/>
      <c r="D2661" s="11" t="n"/>
      <c r="E2661" s="11" t="n"/>
      <c r="F2661" s="11" t="n"/>
      <c r="G2661" s="11" t="n"/>
      <c r="H2661" s="11" t="n"/>
      <c r="I2661" s="11" t="n"/>
      <c r="J2661" s="11" t="n"/>
      <c r="K2661" s="11" t="n"/>
      <c r="L2661" s="11" t="n"/>
      <c r="M2661" s="11" t="n"/>
    </row>
    <row r="2662">
      <c r="A2662" s="11" t="n"/>
      <c r="B2662" s="11" t="n"/>
      <c r="C2662" s="11" t="n"/>
      <c r="D2662" s="11" t="n"/>
      <c r="E2662" s="11" t="n"/>
      <c r="F2662" s="11" t="n"/>
      <c r="G2662" s="11" t="n"/>
      <c r="H2662" s="11" t="n"/>
      <c r="I2662" s="11" t="n"/>
      <c r="J2662" s="11" t="n"/>
      <c r="K2662" s="11" t="n"/>
      <c r="L2662" s="11" t="n"/>
      <c r="M2662" s="11" t="n"/>
    </row>
    <row r="2663">
      <c r="A2663" s="11" t="n"/>
      <c r="B2663" s="11" t="n"/>
      <c r="C2663" s="11" t="n"/>
      <c r="D2663" s="11" t="n"/>
      <c r="E2663" s="11" t="n"/>
      <c r="F2663" s="11" t="n"/>
      <c r="G2663" s="11" t="n"/>
      <c r="H2663" s="11" t="n"/>
      <c r="I2663" s="11" t="n"/>
      <c r="J2663" s="11" t="n"/>
      <c r="K2663" s="11" t="n"/>
      <c r="L2663" s="11" t="n"/>
      <c r="M2663" s="11" t="n"/>
    </row>
    <row r="2664">
      <c r="A2664" s="11" t="n"/>
      <c r="B2664" s="11" t="n"/>
      <c r="C2664" s="11" t="n"/>
      <c r="D2664" s="11" t="n"/>
      <c r="E2664" s="11" t="n"/>
      <c r="F2664" s="11" t="n"/>
      <c r="G2664" s="11" t="n"/>
      <c r="H2664" s="11" t="n"/>
      <c r="I2664" s="11" t="n"/>
      <c r="J2664" s="11" t="n"/>
      <c r="K2664" s="11" t="n"/>
      <c r="L2664" s="11" t="n"/>
      <c r="M2664" s="11" t="n"/>
    </row>
    <row r="2665">
      <c r="A2665" s="11" t="n"/>
      <c r="B2665" s="11" t="n"/>
      <c r="C2665" s="11" t="n"/>
      <c r="D2665" s="11" t="n"/>
      <c r="E2665" s="11" t="n"/>
      <c r="F2665" s="11" t="n"/>
      <c r="G2665" s="11" t="n"/>
      <c r="H2665" s="11" t="n"/>
      <c r="I2665" s="11" t="n"/>
      <c r="J2665" s="11" t="n"/>
      <c r="K2665" s="11" t="n"/>
      <c r="L2665" s="11" t="n"/>
      <c r="M2665" s="11" t="n"/>
    </row>
    <row r="2666">
      <c r="A2666" s="11" t="n"/>
      <c r="B2666" s="11" t="n"/>
      <c r="C2666" s="11" t="n"/>
      <c r="D2666" s="11" t="n"/>
      <c r="E2666" s="11" t="n"/>
      <c r="F2666" s="11" t="n"/>
      <c r="G2666" s="11" t="n"/>
      <c r="H2666" s="11" t="n"/>
      <c r="I2666" s="11" t="n"/>
      <c r="J2666" s="11" t="n"/>
      <c r="K2666" s="11" t="n"/>
      <c r="L2666" s="11" t="n"/>
      <c r="M2666" s="11" t="n"/>
    </row>
    <row r="2667">
      <c r="A2667" s="11" t="n"/>
      <c r="B2667" s="11" t="n"/>
      <c r="C2667" s="11" t="n"/>
      <c r="D2667" s="11" t="n"/>
      <c r="E2667" s="11" t="n"/>
      <c r="F2667" s="11" t="n"/>
      <c r="G2667" s="11" t="n"/>
      <c r="H2667" s="11" t="n"/>
      <c r="I2667" s="11" t="n"/>
      <c r="J2667" s="11" t="n"/>
      <c r="K2667" s="11" t="n"/>
      <c r="L2667" s="11" t="n"/>
      <c r="M2667" s="11" t="n"/>
    </row>
    <row r="2668">
      <c r="A2668" s="11" t="n"/>
      <c r="B2668" s="11" t="n"/>
      <c r="C2668" s="11" t="n"/>
      <c r="D2668" s="11" t="n"/>
      <c r="E2668" s="11" t="n"/>
      <c r="F2668" s="11" t="n"/>
      <c r="G2668" s="11" t="n"/>
      <c r="H2668" s="11" t="n"/>
      <c r="I2668" s="11" t="n"/>
      <c r="J2668" s="11" t="n"/>
      <c r="K2668" s="11" t="n"/>
      <c r="L2668" s="11" t="n"/>
      <c r="M2668" s="11" t="n"/>
    </row>
    <row r="2669">
      <c r="A2669" s="11" t="n"/>
      <c r="B2669" s="11" t="n"/>
      <c r="C2669" s="11" t="n"/>
      <c r="D2669" s="11" t="n"/>
      <c r="E2669" s="11" t="n"/>
      <c r="F2669" s="11" t="n"/>
      <c r="G2669" s="11" t="n"/>
      <c r="H2669" s="11" t="n"/>
      <c r="I2669" s="11" t="n"/>
      <c r="J2669" s="11" t="n"/>
      <c r="K2669" s="11" t="n"/>
      <c r="L2669" s="11" t="n"/>
      <c r="M2669" s="11" t="n"/>
    </row>
    <row r="2670">
      <c r="A2670" s="11" t="n"/>
      <c r="B2670" s="11" t="n"/>
      <c r="C2670" s="11" t="n"/>
      <c r="D2670" s="11" t="n"/>
      <c r="E2670" s="11" t="n"/>
      <c r="F2670" s="11" t="n"/>
      <c r="G2670" s="11" t="n"/>
      <c r="H2670" s="11" t="n"/>
      <c r="I2670" s="11" t="n"/>
      <c r="J2670" s="11" t="n"/>
      <c r="K2670" s="11" t="n"/>
      <c r="L2670" s="11" t="n"/>
      <c r="M2670" s="11" t="n"/>
    </row>
    <row r="2671">
      <c r="A2671" s="11" t="n"/>
      <c r="B2671" s="11" t="n"/>
      <c r="C2671" s="11" t="n"/>
      <c r="D2671" s="11" t="n"/>
      <c r="E2671" s="11" t="n"/>
      <c r="F2671" s="11" t="n"/>
      <c r="G2671" s="11" t="n"/>
      <c r="H2671" s="11" t="n"/>
      <c r="I2671" s="11" t="n"/>
      <c r="J2671" s="11" t="n"/>
      <c r="K2671" s="11" t="n"/>
      <c r="L2671" s="11" t="n"/>
      <c r="M2671" s="11" t="n"/>
    </row>
    <row r="2672">
      <c r="A2672" s="11" t="n"/>
      <c r="B2672" s="11" t="n"/>
      <c r="C2672" s="11" t="n"/>
      <c r="D2672" s="11" t="n"/>
      <c r="E2672" s="11" t="n"/>
      <c r="F2672" s="11" t="n"/>
      <c r="G2672" s="11" t="n"/>
      <c r="H2672" s="11" t="n"/>
      <c r="I2672" s="11" t="n"/>
      <c r="J2672" s="11" t="n"/>
      <c r="K2672" s="11" t="n"/>
      <c r="L2672" s="11" t="n"/>
      <c r="M2672" s="11" t="n"/>
    </row>
    <row r="2673">
      <c r="A2673" s="11" t="n"/>
      <c r="B2673" s="11" t="n"/>
      <c r="C2673" s="11" t="n"/>
      <c r="D2673" s="11" t="n"/>
      <c r="E2673" s="11" t="n"/>
      <c r="F2673" s="11" t="n"/>
      <c r="G2673" s="11" t="n"/>
      <c r="H2673" s="11" t="n"/>
      <c r="I2673" s="11" t="n"/>
      <c r="J2673" s="11" t="n"/>
      <c r="K2673" s="11" t="n"/>
      <c r="L2673" s="11" t="n"/>
      <c r="M2673" s="11" t="n"/>
    </row>
    <row r="2674">
      <c r="A2674" s="11" t="n"/>
      <c r="B2674" s="11" t="n"/>
      <c r="C2674" s="11" t="n"/>
      <c r="D2674" s="11" t="n"/>
      <c r="E2674" s="11" t="n"/>
      <c r="F2674" s="11" t="n"/>
      <c r="G2674" s="11" t="n"/>
      <c r="H2674" s="11" t="n"/>
      <c r="I2674" s="11" t="n"/>
      <c r="J2674" s="11" t="n"/>
      <c r="K2674" s="11" t="n"/>
      <c r="L2674" s="11" t="n"/>
      <c r="M2674" s="11" t="n"/>
    </row>
    <row r="2675">
      <c r="A2675" s="11" t="n"/>
      <c r="B2675" s="11" t="n"/>
      <c r="C2675" s="11" t="n"/>
      <c r="D2675" s="11" t="n"/>
      <c r="E2675" s="11" t="n"/>
      <c r="F2675" s="11" t="n"/>
      <c r="G2675" s="11" t="n"/>
      <c r="H2675" s="11" t="n"/>
      <c r="I2675" s="11" t="n"/>
      <c r="J2675" s="11" t="n"/>
      <c r="K2675" s="11" t="n"/>
      <c r="L2675" s="11" t="n"/>
      <c r="M2675" s="11" t="n"/>
    </row>
    <row r="2676">
      <c r="A2676" s="11" t="n"/>
      <c r="B2676" s="11" t="n"/>
      <c r="C2676" s="11" t="n"/>
      <c r="D2676" s="11" t="n"/>
      <c r="E2676" s="11" t="n"/>
      <c r="F2676" s="11" t="n"/>
      <c r="G2676" s="11" t="n"/>
      <c r="H2676" s="11" t="n"/>
      <c r="I2676" s="11" t="n"/>
      <c r="J2676" s="11" t="n"/>
      <c r="K2676" s="11" t="n"/>
      <c r="L2676" s="11" t="n"/>
      <c r="M2676" s="11" t="n"/>
    </row>
    <row r="2677">
      <c r="A2677" s="11" t="n"/>
      <c r="B2677" s="11" t="n"/>
      <c r="C2677" s="11" t="n"/>
      <c r="D2677" s="11" t="n"/>
      <c r="E2677" s="11" t="n"/>
      <c r="F2677" s="11" t="n"/>
      <c r="G2677" s="11" t="n"/>
      <c r="H2677" s="11" t="n"/>
      <c r="I2677" s="11" t="n"/>
      <c r="J2677" s="11" t="n"/>
      <c r="K2677" s="11" t="n"/>
      <c r="L2677" s="11" t="n"/>
      <c r="M2677" s="11" t="n"/>
    </row>
    <row r="2678">
      <c r="A2678" s="11" t="n"/>
      <c r="B2678" s="11" t="n"/>
      <c r="C2678" s="11" t="n"/>
      <c r="D2678" s="11" t="n"/>
      <c r="E2678" s="11" t="n"/>
      <c r="F2678" s="11" t="n"/>
      <c r="G2678" s="11" t="n"/>
      <c r="H2678" s="11" t="n"/>
      <c r="I2678" s="11" t="n"/>
      <c r="J2678" s="11" t="n"/>
      <c r="K2678" s="11" t="n"/>
      <c r="L2678" s="11" t="n"/>
      <c r="M2678" s="11" t="n"/>
    </row>
    <row r="2679">
      <c r="A2679" s="11" t="n"/>
      <c r="B2679" s="11" t="n"/>
      <c r="C2679" s="11" t="n"/>
      <c r="D2679" s="11" t="n"/>
      <c r="E2679" s="11" t="n"/>
      <c r="F2679" s="11" t="n"/>
      <c r="G2679" s="11" t="n"/>
      <c r="H2679" s="11" t="n"/>
      <c r="I2679" s="11" t="n"/>
      <c r="J2679" s="11" t="n"/>
      <c r="K2679" s="11" t="n"/>
      <c r="L2679" s="11" t="n"/>
      <c r="M2679" s="11" t="n"/>
    </row>
    <row r="2680">
      <c r="A2680" s="11" t="n"/>
      <c r="B2680" s="11" t="n"/>
      <c r="C2680" s="11" t="n"/>
      <c r="D2680" s="11" t="n"/>
      <c r="E2680" s="11" t="n"/>
      <c r="F2680" s="11" t="n"/>
      <c r="G2680" s="11" t="n"/>
      <c r="H2680" s="11" t="n"/>
      <c r="I2680" s="11" t="n"/>
      <c r="J2680" s="11" t="n"/>
      <c r="K2680" s="11" t="n"/>
      <c r="L2680" s="11" t="n"/>
      <c r="M2680" s="11" t="n"/>
    </row>
    <row r="2681">
      <c r="A2681" s="11" t="n"/>
      <c r="B2681" s="11" t="n"/>
      <c r="C2681" s="11" t="n"/>
      <c r="D2681" s="11" t="n"/>
      <c r="E2681" s="11" t="n"/>
      <c r="F2681" s="11" t="n"/>
      <c r="G2681" s="11" t="n"/>
      <c r="H2681" s="11" t="n"/>
      <c r="I2681" s="11" t="n"/>
      <c r="J2681" s="11" t="n"/>
      <c r="K2681" s="11" t="n"/>
      <c r="L2681" s="11" t="n"/>
      <c r="M2681" s="11" t="n"/>
    </row>
    <row r="2682">
      <c r="A2682" s="11" t="n"/>
      <c r="B2682" s="11" t="n"/>
      <c r="C2682" s="11" t="n"/>
      <c r="D2682" s="11" t="n"/>
      <c r="E2682" s="11" t="n"/>
      <c r="F2682" s="11" t="n"/>
      <c r="G2682" s="11" t="n"/>
      <c r="H2682" s="11" t="n"/>
      <c r="I2682" s="11" t="n"/>
      <c r="J2682" s="11" t="n"/>
      <c r="K2682" s="11" t="n"/>
      <c r="L2682" s="11" t="n"/>
      <c r="M2682" s="11" t="n"/>
    </row>
    <row r="2683">
      <c r="A2683" s="11" t="n"/>
      <c r="B2683" s="11" t="n"/>
      <c r="C2683" s="11" t="n"/>
      <c r="D2683" s="11" t="n"/>
      <c r="E2683" s="11" t="n"/>
      <c r="F2683" s="11" t="n"/>
      <c r="G2683" s="11" t="n"/>
      <c r="H2683" s="11" t="n"/>
      <c r="I2683" s="11" t="n"/>
      <c r="J2683" s="11" t="n"/>
      <c r="K2683" s="11" t="n"/>
      <c r="L2683" s="11" t="n"/>
      <c r="M2683" s="11" t="n"/>
    </row>
    <row r="2684">
      <c r="A2684" s="11" t="n"/>
      <c r="B2684" s="11" t="n"/>
      <c r="C2684" s="11" t="n"/>
      <c r="D2684" s="11" t="n"/>
      <c r="E2684" s="11" t="n"/>
      <c r="F2684" s="11" t="n"/>
      <c r="G2684" s="11" t="n"/>
      <c r="H2684" s="11" t="n"/>
      <c r="I2684" s="11" t="n"/>
      <c r="J2684" s="11" t="n"/>
      <c r="K2684" s="11" t="n"/>
      <c r="L2684" s="11" t="n"/>
      <c r="M2684" s="11" t="n"/>
    </row>
    <row r="2685">
      <c r="A2685" s="11" t="n"/>
      <c r="B2685" s="11" t="n"/>
      <c r="C2685" s="11" t="n"/>
      <c r="D2685" s="11" t="n"/>
      <c r="E2685" s="11" t="n"/>
      <c r="F2685" s="11" t="n"/>
      <c r="G2685" s="11" t="n"/>
      <c r="H2685" s="11" t="n"/>
      <c r="I2685" s="11" t="n"/>
      <c r="J2685" s="11" t="n"/>
      <c r="K2685" s="11" t="n"/>
      <c r="L2685" s="11" t="n"/>
      <c r="M2685" s="11" t="n"/>
    </row>
    <row r="2686">
      <c r="A2686" s="11" t="n"/>
      <c r="B2686" s="11" t="n"/>
      <c r="C2686" s="11" t="n"/>
      <c r="D2686" s="11" t="n"/>
      <c r="E2686" s="11" t="n"/>
      <c r="F2686" s="11" t="n"/>
      <c r="G2686" s="11" t="n"/>
      <c r="H2686" s="11" t="n"/>
      <c r="I2686" s="11" t="n"/>
      <c r="J2686" s="11" t="n"/>
      <c r="K2686" s="11" t="n"/>
      <c r="L2686" s="11" t="n"/>
      <c r="M2686" s="11" t="n"/>
    </row>
    <row r="2687">
      <c r="A2687" s="11" t="n"/>
      <c r="B2687" s="11" t="n"/>
      <c r="C2687" s="11" t="n"/>
      <c r="D2687" s="11" t="n"/>
      <c r="E2687" s="11" t="n"/>
      <c r="F2687" s="11" t="n"/>
      <c r="G2687" s="11" t="n"/>
      <c r="H2687" s="11" t="n"/>
      <c r="I2687" s="11" t="n"/>
      <c r="J2687" s="11" t="n"/>
      <c r="K2687" s="11" t="n"/>
      <c r="L2687" s="11" t="n"/>
      <c r="M2687" s="11" t="n"/>
    </row>
    <row r="2688">
      <c r="A2688" s="11" t="n"/>
      <c r="B2688" s="11" t="n"/>
      <c r="C2688" s="11" t="n"/>
      <c r="D2688" s="11" t="n"/>
      <c r="E2688" s="11" t="n"/>
      <c r="F2688" s="11" t="n"/>
      <c r="G2688" s="11" t="n"/>
      <c r="H2688" s="11" t="n"/>
      <c r="I2688" s="11" t="n"/>
      <c r="J2688" s="11" t="n"/>
      <c r="K2688" s="11" t="n"/>
      <c r="L2688" s="11" t="n"/>
      <c r="M2688" s="11" t="n"/>
    </row>
    <row r="2689">
      <c r="A2689" s="11" t="n"/>
      <c r="B2689" s="11" t="n"/>
      <c r="C2689" s="11" t="n"/>
      <c r="D2689" s="11" t="n"/>
      <c r="E2689" s="11" t="n"/>
      <c r="F2689" s="11" t="n"/>
      <c r="G2689" s="11" t="n"/>
      <c r="H2689" s="11" t="n"/>
      <c r="I2689" s="11" t="n"/>
      <c r="J2689" s="11" t="n"/>
      <c r="K2689" s="11" t="n"/>
      <c r="L2689" s="11" t="n"/>
      <c r="M2689" s="11" t="n"/>
    </row>
    <row r="2690">
      <c r="A2690" s="11" t="n"/>
      <c r="B2690" s="11" t="n"/>
      <c r="C2690" s="11" t="n"/>
      <c r="D2690" s="11" t="n"/>
      <c r="E2690" s="11" t="n"/>
      <c r="F2690" s="11" t="n"/>
      <c r="G2690" s="11" t="n"/>
      <c r="H2690" s="11" t="n"/>
      <c r="I2690" s="11" t="n"/>
      <c r="J2690" s="11" t="n"/>
      <c r="K2690" s="11" t="n"/>
      <c r="L2690" s="11" t="n"/>
      <c r="M2690" s="11" t="n"/>
    </row>
    <row r="2691">
      <c r="A2691" s="11" t="n"/>
      <c r="B2691" s="11" t="n"/>
      <c r="C2691" s="11" t="n"/>
      <c r="D2691" s="11" t="n"/>
      <c r="E2691" s="11" t="n"/>
      <c r="F2691" s="11" t="n"/>
      <c r="G2691" s="11" t="n"/>
      <c r="H2691" s="11" t="n"/>
      <c r="I2691" s="11" t="n"/>
      <c r="J2691" s="11" t="n"/>
      <c r="K2691" s="11" t="n"/>
      <c r="L2691" s="11" t="n"/>
      <c r="M2691" s="11" t="n"/>
    </row>
    <row r="2692">
      <c r="A2692" s="11" t="n"/>
      <c r="B2692" s="11" t="n"/>
      <c r="C2692" s="11" t="n"/>
      <c r="D2692" s="11" t="n"/>
      <c r="E2692" s="11" t="n"/>
      <c r="F2692" s="11" t="n"/>
      <c r="G2692" s="11" t="n"/>
      <c r="H2692" s="11" t="n"/>
      <c r="I2692" s="11" t="n"/>
      <c r="J2692" s="11" t="n"/>
      <c r="K2692" s="11" t="n"/>
      <c r="L2692" s="11" t="n"/>
      <c r="M2692" s="11" t="n"/>
    </row>
    <row r="2693">
      <c r="A2693" s="11" t="n"/>
      <c r="B2693" s="11" t="n"/>
      <c r="C2693" s="11" t="n"/>
      <c r="D2693" s="11" t="n"/>
      <c r="E2693" s="11" t="n"/>
      <c r="F2693" s="11" t="n"/>
      <c r="G2693" s="11" t="n"/>
      <c r="H2693" s="11" t="n"/>
      <c r="I2693" s="11" t="n"/>
      <c r="J2693" s="11" t="n"/>
      <c r="K2693" s="11" t="n"/>
      <c r="L2693" s="11" t="n"/>
      <c r="M2693" s="11" t="n"/>
    </row>
    <row r="2694">
      <c r="A2694" s="11" t="n"/>
      <c r="B2694" s="11" t="n"/>
      <c r="C2694" s="11" t="n"/>
      <c r="D2694" s="11" t="n"/>
      <c r="E2694" s="11" t="n"/>
      <c r="F2694" s="11" t="n"/>
      <c r="G2694" s="11" t="n"/>
      <c r="H2694" s="11" t="n"/>
      <c r="I2694" s="11" t="n"/>
      <c r="J2694" s="11" t="n"/>
      <c r="K2694" s="11" t="n"/>
      <c r="L2694" s="11" t="n"/>
      <c r="M2694" s="11" t="n"/>
    </row>
    <row r="2695">
      <c r="A2695" s="11" t="n"/>
      <c r="B2695" s="11" t="n"/>
      <c r="C2695" s="11" t="n"/>
      <c r="D2695" s="11" t="n"/>
      <c r="E2695" s="11" t="n"/>
      <c r="F2695" s="11" t="n"/>
      <c r="G2695" s="11" t="n"/>
      <c r="H2695" s="11" t="n"/>
      <c r="I2695" s="11" t="n"/>
      <c r="J2695" s="11" t="n"/>
      <c r="K2695" s="11" t="n"/>
      <c r="L2695" s="11" t="n"/>
      <c r="M2695" s="11" t="n"/>
    </row>
    <row r="2696">
      <c r="A2696" s="11" t="n"/>
      <c r="B2696" s="11" t="n"/>
      <c r="C2696" s="11" t="n"/>
      <c r="D2696" s="11" t="n"/>
      <c r="E2696" s="11" t="n"/>
      <c r="F2696" s="11" t="n"/>
      <c r="G2696" s="11" t="n"/>
      <c r="H2696" s="11" t="n"/>
      <c r="I2696" s="11" t="n"/>
      <c r="J2696" s="11" t="n"/>
      <c r="K2696" s="11" t="n"/>
      <c r="L2696" s="11" t="n"/>
      <c r="M2696" s="11" t="n"/>
    </row>
    <row r="2697">
      <c r="A2697" s="11" t="n"/>
      <c r="B2697" s="11" t="n"/>
      <c r="C2697" s="11" t="n"/>
      <c r="D2697" s="11" t="n"/>
      <c r="E2697" s="11" t="n"/>
      <c r="F2697" s="11" t="n"/>
      <c r="G2697" s="11" t="n"/>
      <c r="H2697" s="11" t="n"/>
      <c r="I2697" s="11" t="n"/>
      <c r="J2697" s="11" t="n"/>
      <c r="K2697" s="11" t="n"/>
      <c r="L2697" s="11" t="n"/>
      <c r="M2697" s="11" t="n"/>
    </row>
    <row r="2698">
      <c r="A2698" s="11" t="n"/>
      <c r="B2698" s="11" t="n"/>
      <c r="C2698" s="11" t="n"/>
      <c r="D2698" s="11" t="n"/>
      <c r="E2698" s="11" t="n"/>
      <c r="F2698" s="11" t="n"/>
      <c r="G2698" s="11" t="n"/>
      <c r="H2698" s="11" t="n"/>
      <c r="I2698" s="11" t="n"/>
      <c r="J2698" s="11" t="n"/>
      <c r="K2698" s="11" t="n"/>
      <c r="L2698" s="11" t="n"/>
      <c r="M2698" s="11" t="n"/>
    </row>
    <row r="2699">
      <c r="A2699" s="11" t="n"/>
      <c r="B2699" s="11" t="n"/>
      <c r="C2699" s="11" t="n"/>
      <c r="D2699" s="11" t="n"/>
      <c r="E2699" s="11" t="n"/>
      <c r="F2699" s="11" t="n"/>
      <c r="G2699" s="11" t="n"/>
      <c r="H2699" s="11" t="n"/>
      <c r="I2699" s="11" t="n"/>
      <c r="J2699" s="11" t="n"/>
      <c r="K2699" s="11" t="n"/>
      <c r="L2699" s="11" t="n"/>
      <c r="M2699" s="11" t="n"/>
    </row>
    <row r="2700">
      <c r="A2700" s="11" t="n"/>
      <c r="B2700" s="11" t="n"/>
      <c r="C2700" s="11" t="n"/>
      <c r="D2700" s="11" t="n"/>
      <c r="E2700" s="11" t="n"/>
      <c r="F2700" s="11" t="n"/>
      <c r="G2700" s="11" t="n"/>
      <c r="H2700" s="11" t="n"/>
      <c r="I2700" s="11" t="n"/>
      <c r="J2700" s="11" t="n"/>
      <c r="K2700" s="11" t="n"/>
      <c r="L2700" s="11" t="n"/>
      <c r="M2700" s="11" t="n"/>
    </row>
    <row r="2701">
      <c r="A2701" s="11" t="n"/>
      <c r="B2701" s="11" t="n"/>
      <c r="C2701" s="11" t="n"/>
      <c r="D2701" s="11" t="n"/>
      <c r="E2701" s="11" t="n"/>
      <c r="F2701" s="11" t="n"/>
      <c r="G2701" s="11" t="n"/>
      <c r="H2701" s="11" t="n"/>
      <c r="I2701" s="11" t="n"/>
      <c r="J2701" s="11" t="n"/>
      <c r="K2701" s="11" t="n"/>
      <c r="L2701" s="11" t="n"/>
      <c r="M2701" s="11" t="n"/>
    </row>
    <row r="2702">
      <c r="A2702" s="11" t="n"/>
      <c r="B2702" s="11" t="n"/>
      <c r="C2702" s="11" t="n"/>
      <c r="D2702" s="11" t="n"/>
      <c r="E2702" s="11" t="n"/>
      <c r="F2702" s="11" t="n"/>
      <c r="G2702" s="11" t="n"/>
      <c r="H2702" s="11" t="n"/>
      <c r="I2702" s="11" t="n"/>
      <c r="J2702" s="11" t="n"/>
      <c r="K2702" s="11" t="n"/>
      <c r="L2702" s="11" t="n"/>
      <c r="M2702" s="11" t="n"/>
    </row>
    <row r="2703">
      <c r="A2703" s="11" t="n"/>
      <c r="B2703" s="11" t="n"/>
      <c r="C2703" s="11" t="n"/>
      <c r="D2703" s="11" t="n"/>
      <c r="E2703" s="11" t="n"/>
      <c r="F2703" s="11" t="n"/>
      <c r="G2703" s="11" t="n"/>
      <c r="H2703" s="11" t="n"/>
      <c r="I2703" s="11" t="n"/>
      <c r="J2703" s="11" t="n"/>
      <c r="K2703" s="11" t="n"/>
      <c r="L2703" s="11" t="n"/>
      <c r="M2703" s="11" t="n"/>
    </row>
    <row r="2704">
      <c r="A2704" s="11" t="n"/>
      <c r="B2704" s="11" t="n"/>
      <c r="C2704" s="11" t="n"/>
      <c r="D2704" s="11" t="n"/>
      <c r="E2704" s="11" t="n"/>
      <c r="F2704" s="11" t="n"/>
      <c r="G2704" s="11" t="n"/>
      <c r="H2704" s="11" t="n"/>
      <c r="I2704" s="11" t="n"/>
      <c r="J2704" s="11" t="n"/>
      <c r="K2704" s="11" t="n"/>
      <c r="L2704" s="11" t="n"/>
      <c r="M2704" s="11" t="n"/>
    </row>
    <row r="2705">
      <c r="A2705" s="11" t="n"/>
      <c r="B2705" s="11" t="n"/>
      <c r="C2705" s="11" t="n"/>
      <c r="D2705" s="11" t="n"/>
      <c r="E2705" s="11" t="n"/>
      <c r="F2705" s="11" t="n"/>
      <c r="G2705" s="11" t="n"/>
      <c r="H2705" s="11" t="n"/>
      <c r="I2705" s="11" t="n"/>
      <c r="J2705" s="11" t="n"/>
      <c r="K2705" s="11" t="n"/>
      <c r="L2705" s="11" t="n"/>
      <c r="M2705" s="11" t="n"/>
    </row>
    <row r="2706">
      <c r="A2706" s="11" t="n"/>
      <c r="B2706" s="11" t="n"/>
      <c r="C2706" s="11" t="n"/>
      <c r="D2706" s="11" t="n"/>
      <c r="E2706" s="11" t="n"/>
      <c r="F2706" s="11" t="n"/>
      <c r="G2706" s="11" t="n"/>
      <c r="H2706" s="11" t="n"/>
      <c r="I2706" s="11" t="n"/>
      <c r="J2706" s="11" t="n"/>
      <c r="K2706" s="11" t="n"/>
      <c r="L2706" s="11" t="n"/>
      <c r="M2706" s="11" t="n"/>
    </row>
    <row r="2707">
      <c r="A2707" s="11" t="n"/>
      <c r="B2707" s="11" t="n"/>
      <c r="C2707" s="11" t="n"/>
      <c r="D2707" s="11" t="n"/>
      <c r="E2707" s="11" t="n"/>
      <c r="F2707" s="11" t="n"/>
      <c r="G2707" s="11" t="n"/>
      <c r="H2707" s="11" t="n"/>
      <c r="I2707" s="11" t="n"/>
      <c r="J2707" s="11" t="n"/>
      <c r="K2707" s="11" t="n"/>
      <c r="L2707" s="11" t="n"/>
      <c r="M2707" s="11" t="n"/>
    </row>
    <row r="2708">
      <c r="A2708" s="11" t="n"/>
      <c r="B2708" s="11" t="n"/>
      <c r="C2708" s="11" t="n"/>
      <c r="D2708" s="11" t="n"/>
      <c r="E2708" s="11" t="n"/>
      <c r="F2708" s="11" t="n"/>
      <c r="G2708" s="11" t="n"/>
      <c r="H2708" s="11" t="n"/>
      <c r="I2708" s="11" t="n"/>
      <c r="J2708" s="11" t="n"/>
      <c r="K2708" s="11" t="n"/>
      <c r="L2708" s="11" t="n"/>
      <c r="M2708" s="11" t="n"/>
    </row>
    <row r="2709">
      <c r="A2709" s="11" t="n"/>
      <c r="B2709" s="11" t="n"/>
      <c r="C2709" s="11" t="n"/>
      <c r="D2709" s="11" t="n"/>
      <c r="E2709" s="11" t="n"/>
      <c r="F2709" s="11" t="n"/>
      <c r="G2709" s="11" t="n"/>
      <c r="H2709" s="11" t="n"/>
      <c r="I2709" s="11" t="n"/>
      <c r="J2709" s="11" t="n"/>
      <c r="K2709" s="11" t="n"/>
      <c r="L2709" s="11" t="n"/>
      <c r="M2709" s="11" t="n"/>
    </row>
    <row r="2710">
      <c r="A2710" s="11" t="n"/>
      <c r="B2710" s="11" t="n"/>
      <c r="C2710" s="11" t="n"/>
      <c r="D2710" s="11" t="n"/>
      <c r="E2710" s="11" t="n"/>
      <c r="F2710" s="11" t="n"/>
      <c r="G2710" s="11" t="n"/>
      <c r="H2710" s="11" t="n"/>
      <c r="I2710" s="11" t="n"/>
      <c r="J2710" s="11" t="n"/>
      <c r="K2710" s="11" t="n"/>
      <c r="L2710" s="11" t="n"/>
      <c r="M2710" s="11" t="n"/>
    </row>
    <row r="2711">
      <c r="A2711" s="11" t="n"/>
      <c r="B2711" s="11" t="n"/>
      <c r="C2711" s="11" t="n"/>
      <c r="D2711" s="11" t="n"/>
      <c r="E2711" s="11" t="n"/>
      <c r="F2711" s="11" t="n"/>
      <c r="G2711" s="11" t="n"/>
      <c r="H2711" s="11" t="n"/>
      <c r="I2711" s="11" t="n"/>
      <c r="J2711" s="11" t="n"/>
      <c r="K2711" s="11" t="n"/>
      <c r="L2711" s="11" t="n"/>
      <c r="M2711" s="11" t="n"/>
    </row>
    <row r="2712">
      <c r="A2712" s="11" t="n"/>
      <c r="B2712" s="11" t="n"/>
      <c r="C2712" s="11" t="n"/>
      <c r="D2712" s="11" t="n"/>
      <c r="E2712" s="11" t="n"/>
      <c r="F2712" s="11" t="n"/>
      <c r="G2712" s="11" t="n"/>
      <c r="H2712" s="11" t="n"/>
      <c r="I2712" s="11" t="n"/>
      <c r="J2712" s="11" t="n"/>
      <c r="K2712" s="11" t="n"/>
      <c r="L2712" s="11" t="n"/>
      <c r="M2712" s="11" t="n"/>
    </row>
    <row r="2713">
      <c r="A2713" s="11" t="n"/>
      <c r="B2713" s="11" t="n"/>
      <c r="C2713" s="11" t="n"/>
      <c r="D2713" s="11" t="n"/>
      <c r="E2713" s="11" t="n"/>
      <c r="F2713" s="11" t="n"/>
      <c r="G2713" s="11" t="n"/>
      <c r="H2713" s="11" t="n"/>
      <c r="I2713" s="11" t="n"/>
      <c r="J2713" s="11" t="n"/>
      <c r="K2713" s="11" t="n"/>
      <c r="L2713" s="11" t="n"/>
      <c r="M2713" s="11" t="n"/>
    </row>
    <row r="2714">
      <c r="A2714" s="11" t="n"/>
      <c r="B2714" s="11" t="n"/>
      <c r="C2714" s="11" t="n"/>
      <c r="D2714" s="11" t="n"/>
      <c r="E2714" s="11" t="n"/>
      <c r="F2714" s="11" t="n"/>
      <c r="G2714" s="11" t="n"/>
      <c r="H2714" s="11" t="n"/>
      <c r="I2714" s="11" t="n"/>
      <c r="J2714" s="11" t="n"/>
      <c r="K2714" s="11" t="n"/>
      <c r="L2714" s="11" t="n"/>
      <c r="M2714" s="11" t="n"/>
    </row>
    <row r="2715">
      <c r="A2715" s="11" t="n"/>
      <c r="B2715" s="11" t="n"/>
      <c r="C2715" s="11" t="n"/>
      <c r="D2715" s="11" t="n"/>
      <c r="E2715" s="11" t="n"/>
      <c r="F2715" s="11" t="n"/>
      <c r="G2715" s="11" t="n"/>
      <c r="H2715" s="11" t="n"/>
      <c r="I2715" s="11" t="n"/>
      <c r="J2715" s="11" t="n"/>
      <c r="K2715" s="11" t="n"/>
      <c r="L2715" s="11" t="n"/>
      <c r="M2715" s="11" t="n"/>
    </row>
    <row r="2716">
      <c r="A2716" s="11" t="n"/>
      <c r="B2716" s="11" t="n"/>
      <c r="C2716" s="11" t="n"/>
      <c r="D2716" s="11" t="n"/>
      <c r="E2716" s="11" t="n"/>
      <c r="F2716" s="11" t="n"/>
      <c r="G2716" s="11" t="n"/>
      <c r="H2716" s="11" t="n"/>
      <c r="I2716" s="11" t="n"/>
      <c r="J2716" s="11" t="n"/>
      <c r="K2716" s="11" t="n"/>
      <c r="L2716" s="11" t="n"/>
      <c r="M2716" s="11" t="n"/>
    </row>
    <row r="2717">
      <c r="A2717" s="11" t="n"/>
      <c r="B2717" s="11" t="n"/>
      <c r="C2717" s="11" t="n"/>
      <c r="D2717" s="11" t="n"/>
      <c r="E2717" s="11" t="n"/>
      <c r="F2717" s="11" t="n"/>
      <c r="G2717" s="11" t="n"/>
      <c r="H2717" s="11" t="n"/>
      <c r="I2717" s="11" t="n"/>
      <c r="J2717" s="11" t="n"/>
      <c r="K2717" s="11" t="n"/>
      <c r="L2717" s="11" t="n"/>
      <c r="M2717" s="11" t="n"/>
    </row>
    <row r="2718">
      <c r="A2718" s="11" t="n"/>
      <c r="B2718" s="11" t="n"/>
      <c r="C2718" s="11" t="n"/>
      <c r="D2718" s="11" t="n"/>
      <c r="E2718" s="11" t="n"/>
      <c r="F2718" s="11" t="n"/>
      <c r="G2718" s="11" t="n"/>
      <c r="H2718" s="11" t="n"/>
      <c r="I2718" s="11" t="n"/>
      <c r="J2718" s="11" t="n"/>
      <c r="K2718" s="11" t="n"/>
      <c r="L2718" s="11" t="n"/>
      <c r="M2718" s="11" t="n"/>
    </row>
    <row r="2719">
      <c r="A2719" s="11" t="n"/>
      <c r="B2719" s="11" t="n"/>
      <c r="C2719" s="11" t="n"/>
      <c r="D2719" s="11" t="n"/>
      <c r="E2719" s="11" t="n"/>
      <c r="F2719" s="11" t="n"/>
      <c r="G2719" s="11" t="n"/>
      <c r="H2719" s="11" t="n"/>
      <c r="I2719" s="11" t="n"/>
      <c r="J2719" s="11" t="n"/>
      <c r="K2719" s="11" t="n"/>
      <c r="L2719" s="11" t="n"/>
      <c r="M2719" s="11" t="n"/>
    </row>
    <row r="2720">
      <c r="A2720" s="11" t="n"/>
      <c r="B2720" s="11" t="n"/>
      <c r="C2720" s="11" t="n"/>
      <c r="D2720" s="11" t="n"/>
      <c r="E2720" s="11" t="n"/>
      <c r="F2720" s="11" t="n"/>
      <c r="G2720" s="11" t="n"/>
      <c r="H2720" s="11" t="n"/>
      <c r="I2720" s="11" t="n"/>
      <c r="J2720" s="11" t="n"/>
      <c r="K2720" s="11" t="n"/>
      <c r="L2720" s="11" t="n"/>
      <c r="M2720" s="11" t="n"/>
    </row>
    <row r="2721">
      <c r="A2721" s="11" t="n"/>
      <c r="B2721" s="11" t="n"/>
      <c r="C2721" s="11" t="n"/>
      <c r="D2721" s="11" t="n"/>
      <c r="E2721" s="11" t="n"/>
      <c r="F2721" s="11" t="n"/>
      <c r="G2721" s="11" t="n"/>
      <c r="H2721" s="11" t="n"/>
      <c r="I2721" s="11" t="n"/>
      <c r="J2721" s="11" t="n"/>
      <c r="K2721" s="11" t="n"/>
      <c r="L2721" s="11" t="n"/>
      <c r="M2721" s="11" t="n"/>
    </row>
    <row r="2722">
      <c r="A2722" s="11" t="n"/>
      <c r="B2722" s="11" t="n"/>
      <c r="C2722" s="11" t="n"/>
      <c r="D2722" s="11" t="n"/>
      <c r="E2722" s="11" t="n"/>
      <c r="F2722" s="11" t="n"/>
      <c r="G2722" s="11" t="n"/>
      <c r="H2722" s="11" t="n"/>
      <c r="I2722" s="11" t="n"/>
      <c r="J2722" s="11" t="n"/>
      <c r="K2722" s="11" t="n"/>
      <c r="L2722" s="11" t="n"/>
      <c r="M2722" s="11" t="n"/>
    </row>
    <row r="2723">
      <c r="A2723" s="11" t="n"/>
      <c r="B2723" s="11" t="n"/>
      <c r="C2723" s="11" t="n"/>
      <c r="D2723" s="11" t="n"/>
      <c r="E2723" s="11" t="n"/>
      <c r="F2723" s="11" t="n"/>
      <c r="G2723" s="11" t="n"/>
      <c r="H2723" s="11" t="n"/>
      <c r="I2723" s="11" t="n"/>
      <c r="J2723" s="11" t="n"/>
      <c r="K2723" s="11" t="n"/>
      <c r="L2723" s="11" t="n"/>
      <c r="M2723" s="11" t="n"/>
    </row>
    <row r="2724">
      <c r="A2724" s="11" t="n"/>
      <c r="B2724" s="11" t="n"/>
      <c r="C2724" s="11" t="n"/>
      <c r="D2724" s="11" t="n"/>
      <c r="E2724" s="11" t="n"/>
      <c r="F2724" s="11" t="n"/>
      <c r="G2724" s="11" t="n"/>
      <c r="H2724" s="11" t="n"/>
      <c r="I2724" s="11" t="n"/>
      <c r="J2724" s="11" t="n"/>
      <c r="K2724" s="11" t="n"/>
      <c r="L2724" s="11" t="n"/>
      <c r="M2724" s="11" t="n"/>
    </row>
    <row r="2725">
      <c r="A2725" s="11" t="n"/>
      <c r="B2725" s="11" t="n"/>
      <c r="C2725" s="11" t="n"/>
      <c r="D2725" s="11" t="n"/>
      <c r="E2725" s="11" t="n"/>
      <c r="F2725" s="11" t="n"/>
      <c r="G2725" s="11" t="n"/>
      <c r="H2725" s="11" t="n"/>
      <c r="I2725" s="11" t="n"/>
      <c r="J2725" s="11" t="n"/>
      <c r="K2725" s="11" t="n"/>
      <c r="L2725" s="11" t="n"/>
      <c r="M2725" s="11" t="n"/>
    </row>
    <row r="2726">
      <c r="A2726" s="11" t="n"/>
      <c r="B2726" s="11" t="n"/>
      <c r="C2726" s="11" t="n"/>
      <c r="D2726" s="11" t="n"/>
      <c r="E2726" s="11" t="n"/>
      <c r="F2726" s="11" t="n"/>
      <c r="G2726" s="11" t="n"/>
      <c r="H2726" s="11" t="n"/>
      <c r="I2726" s="11" t="n"/>
      <c r="J2726" s="11" t="n"/>
      <c r="K2726" s="11" t="n"/>
      <c r="L2726" s="11" t="n"/>
      <c r="M2726" s="11" t="n"/>
    </row>
    <row r="2727">
      <c r="A2727" s="11" t="n"/>
      <c r="B2727" s="11" t="n"/>
      <c r="C2727" s="11" t="n"/>
      <c r="D2727" s="11" t="n"/>
      <c r="E2727" s="11" t="n"/>
      <c r="F2727" s="11" t="n"/>
      <c r="G2727" s="11" t="n"/>
      <c r="H2727" s="11" t="n"/>
      <c r="I2727" s="11" t="n"/>
      <c r="J2727" s="11" t="n"/>
      <c r="K2727" s="11" t="n"/>
      <c r="L2727" s="11" t="n"/>
      <c r="M2727" s="11" t="n"/>
    </row>
    <row r="2728">
      <c r="A2728" s="11" t="n"/>
      <c r="B2728" s="11" t="n"/>
      <c r="C2728" s="11" t="n"/>
      <c r="D2728" s="11" t="n"/>
      <c r="E2728" s="11" t="n"/>
      <c r="F2728" s="11" t="n"/>
      <c r="G2728" s="11" t="n"/>
      <c r="H2728" s="11" t="n"/>
      <c r="I2728" s="11" t="n"/>
      <c r="J2728" s="11" t="n"/>
      <c r="K2728" s="11" t="n"/>
      <c r="L2728" s="11" t="n"/>
      <c r="M2728" s="11" t="n"/>
    </row>
    <row r="2729">
      <c r="A2729" s="11" t="n"/>
      <c r="B2729" s="11" t="n"/>
      <c r="C2729" s="11" t="n"/>
      <c r="D2729" s="11" t="n"/>
      <c r="E2729" s="11" t="n"/>
      <c r="F2729" s="11" t="n"/>
      <c r="G2729" s="11" t="n"/>
      <c r="H2729" s="11" t="n"/>
      <c r="I2729" s="11" t="n"/>
      <c r="J2729" s="11" t="n"/>
      <c r="K2729" s="11" t="n"/>
      <c r="L2729" s="11" t="n"/>
      <c r="M2729" s="11" t="n"/>
    </row>
    <row r="2730">
      <c r="A2730" s="11" t="n"/>
      <c r="B2730" s="11" t="n"/>
      <c r="C2730" s="11" t="n"/>
      <c r="D2730" s="11" t="n"/>
      <c r="E2730" s="11" t="n"/>
      <c r="F2730" s="11" t="n"/>
      <c r="G2730" s="11" t="n"/>
      <c r="H2730" s="11" t="n"/>
      <c r="I2730" s="11" t="n"/>
      <c r="J2730" s="11" t="n"/>
      <c r="K2730" s="11" t="n"/>
      <c r="L2730" s="11" t="n"/>
      <c r="M2730" s="11" t="n"/>
    </row>
    <row r="2731">
      <c r="A2731" s="11" t="n"/>
      <c r="B2731" s="11" t="n"/>
      <c r="C2731" s="11" t="n"/>
      <c r="D2731" s="11" t="n"/>
      <c r="E2731" s="11" t="n"/>
      <c r="F2731" s="11" t="n"/>
      <c r="G2731" s="11" t="n"/>
      <c r="H2731" s="11" t="n"/>
      <c r="I2731" s="11" t="n"/>
      <c r="J2731" s="11" t="n"/>
      <c r="K2731" s="11" t="n"/>
      <c r="L2731" s="11" t="n"/>
      <c r="M2731" s="11" t="n"/>
    </row>
    <row r="2732">
      <c r="A2732" s="11" t="n"/>
      <c r="B2732" s="11" t="n"/>
      <c r="C2732" s="11" t="n"/>
      <c r="D2732" s="11" t="n"/>
      <c r="E2732" s="11" t="n"/>
      <c r="F2732" s="11" t="n"/>
      <c r="G2732" s="11" t="n"/>
      <c r="H2732" s="11" t="n"/>
      <c r="I2732" s="11" t="n"/>
      <c r="J2732" s="11" t="n"/>
      <c r="K2732" s="11" t="n"/>
      <c r="L2732" s="11" t="n"/>
      <c r="M2732" s="11" t="n"/>
    </row>
    <row r="2733">
      <c r="A2733" s="11" t="n"/>
      <c r="B2733" s="11" t="n"/>
      <c r="C2733" s="11" t="n"/>
      <c r="D2733" s="11" t="n"/>
      <c r="E2733" s="11" t="n"/>
      <c r="F2733" s="11" t="n"/>
      <c r="G2733" s="11" t="n"/>
      <c r="H2733" s="11" t="n"/>
      <c r="I2733" s="11" t="n"/>
      <c r="J2733" s="11" t="n"/>
      <c r="K2733" s="11" t="n"/>
      <c r="L2733" s="11" t="n"/>
      <c r="M2733" s="11" t="n"/>
    </row>
    <row r="2734">
      <c r="A2734" s="11" t="n"/>
      <c r="B2734" s="11" t="n"/>
      <c r="C2734" s="11" t="n"/>
      <c r="D2734" s="11" t="n"/>
      <c r="E2734" s="11" t="n"/>
      <c r="F2734" s="11" t="n"/>
      <c r="G2734" s="11" t="n"/>
      <c r="H2734" s="11" t="n"/>
      <c r="I2734" s="11" t="n"/>
      <c r="J2734" s="11" t="n"/>
      <c r="K2734" s="11" t="n"/>
      <c r="L2734" s="11" t="n"/>
      <c r="M2734" s="11" t="n"/>
    </row>
    <row r="2735">
      <c r="A2735" s="11" t="n"/>
      <c r="B2735" s="11" t="n"/>
      <c r="C2735" s="11" t="n"/>
      <c r="D2735" s="11" t="n"/>
      <c r="E2735" s="11" t="n"/>
      <c r="F2735" s="11" t="n"/>
      <c r="G2735" s="11" t="n"/>
      <c r="H2735" s="11" t="n"/>
      <c r="I2735" s="11" t="n"/>
      <c r="J2735" s="11" t="n"/>
      <c r="K2735" s="11" t="n"/>
      <c r="L2735" s="11" t="n"/>
      <c r="M2735" s="11" t="n"/>
    </row>
    <row r="2736">
      <c r="A2736" s="11" t="n"/>
      <c r="B2736" s="11" t="n"/>
      <c r="C2736" s="11" t="n"/>
      <c r="D2736" s="11" t="n"/>
      <c r="E2736" s="11" t="n"/>
      <c r="F2736" s="11" t="n"/>
      <c r="G2736" s="11" t="n"/>
      <c r="H2736" s="11" t="n"/>
      <c r="I2736" s="11" t="n"/>
      <c r="J2736" s="11" t="n"/>
      <c r="K2736" s="11" t="n"/>
      <c r="L2736" s="11" t="n"/>
      <c r="M2736" s="11" t="n"/>
    </row>
    <row r="2737">
      <c r="A2737" s="11" t="n"/>
      <c r="B2737" s="11" t="n"/>
      <c r="C2737" s="11" t="n"/>
      <c r="D2737" s="11" t="n"/>
      <c r="E2737" s="11" t="n"/>
      <c r="F2737" s="11" t="n"/>
      <c r="G2737" s="11" t="n"/>
      <c r="H2737" s="11" t="n"/>
      <c r="I2737" s="11" t="n"/>
      <c r="J2737" s="11" t="n"/>
      <c r="K2737" s="11" t="n"/>
      <c r="L2737" s="11" t="n"/>
      <c r="M2737" s="11" t="n"/>
    </row>
    <row r="2738">
      <c r="A2738" s="11" t="n"/>
      <c r="B2738" s="11" t="n"/>
      <c r="C2738" s="11" t="n"/>
      <c r="D2738" s="11" t="n"/>
      <c r="E2738" s="11" t="n"/>
      <c r="F2738" s="11" t="n"/>
      <c r="G2738" s="11" t="n"/>
      <c r="H2738" s="11" t="n"/>
      <c r="I2738" s="11" t="n"/>
      <c r="J2738" s="11" t="n"/>
      <c r="K2738" s="11" t="n"/>
      <c r="L2738" s="11" t="n"/>
      <c r="M2738" s="11" t="n"/>
    </row>
    <row r="2739">
      <c r="A2739" s="11" t="n"/>
      <c r="B2739" s="11" t="n"/>
      <c r="C2739" s="11" t="n"/>
      <c r="D2739" s="11" t="n"/>
      <c r="E2739" s="11" t="n"/>
      <c r="F2739" s="11" t="n"/>
      <c r="G2739" s="11" t="n"/>
      <c r="H2739" s="11" t="n"/>
      <c r="I2739" s="11" t="n"/>
      <c r="J2739" s="11" t="n"/>
      <c r="K2739" s="11" t="n"/>
      <c r="L2739" s="11" t="n"/>
      <c r="M2739" s="11" t="n"/>
    </row>
    <row r="2740">
      <c r="A2740" s="11" t="n"/>
      <c r="B2740" s="11" t="n"/>
      <c r="C2740" s="11" t="n"/>
      <c r="D2740" s="11" t="n"/>
      <c r="E2740" s="11" t="n"/>
      <c r="F2740" s="11" t="n"/>
      <c r="G2740" s="11" t="n"/>
      <c r="H2740" s="11" t="n"/>
      <c r="I2740" s="11" t="n"/>
      <c r="J2740" s="11" t="n"/>
      <c r="K2740" s="11" t="n"/>
      <c r="L2740" s="11" t="n"/>
      <c r="M2740" s="11" t="n"/>
    </row>
    <row r="2741">
      <c r="A2741" s="11" t="n"/>
      <c r="B2741" s="11" t="n"/>
      <c r="C2741" s="11" t="n"/>
      <c r="D2741" s="11" t="n"/>
      <c r="E2741" s="11" t="n"/>
      <c r="F2741" s="11" t="n"/>
      <c r="G2741" s="11" t="n"/>
      <c r="H2741" s="11" t="n"/>
      <c r="I2741" s="11" t="n"/>
      <c r="J2741" s="11" t="n"/>
      <c r="K2741" s="11" t="n"/>
      <c r="L2741" s="11" t="n"/>
      <c r="M2741" s="11" t="n"/>
    </row>
    <row r="2742">
      <c r="A2742" s="11" t="n"/>
      <c r="B2742" s="11" t="n"/>
      <c r="C2742" s="11" t="n"/>
      <c r="D2742" s="11" t="n"/>
      <c r="E2742" s="11" t="n"/>
      <c r="F2742" s="11" t="n"/>
      <c r="G2742" s="11" t="n"/>
      <c r="H2742" s="11" t="n"/>
      <c r="I2742" s="11" t="n"/>
      <c r="J2742" s="11" t="n"/>
      <c r="K2742" s="11" t="n"/>
      <c r="L2742" s="11" t="n"/>
      <c r="M2742" s="11" t="n"/>
    </row>
    <row r="2743">
      <c r="A2743" s="11" t="n"/>
      <c r="B2743" s="11" t="n"/>
      <c r="C2743" s="11" t="n"/>
      <c r="D2743" s="11" t="n"/>
      <c r="E2743" s="11" t="n"/>
      <c r="F2743" s="11" t="n"/>
      <c r="G2743" s="11" t="n"/>
      <c r="H2743" s="11" t="n"/>
      <c r="I2743" s="11" t="n"/>
      <c r="J2743" s="11" t="n"/>
      <c r="K2743" s="11" t="n"/>
      <c r="L2743" s="11" t="n"/>
      <c r="M2743" s="11" t="n"/>
    </row>
    <row r="2744">
      <c r="A2744" s="11" t="n"/>
      <c r="B2744" s="11" t="n"/>
      <c r="C2744" s="11" t="n"/>
      <c r="D2744" s="11" t="n"/>
      <c r="E2744" s="11" t="n"/>
      <c r="F2744" s="11" t="n"/>
      <c r="G2744" s="11" t="n"/>
      <c r="H2744" s="11" t="n"/>
      <c r="I2744" s="11" t="n"/>
      <c r="J2744" s="11" t="n"/>
      <c r="K2744" s="11" t="n"/>
      <c r="L2744" s="11" t="n"/>
      <c r="M2744" s="11" t="n"/>
    </row>
    <row r="2745">
      <c r="A2745" s="11" t="n"/>
      <c r="B2745" s="11" t="n"/>
      <c r="C2745" s="11" t="n"/>
      <c r="D2745" s="11" t="n"/>
      <c r="E2745" s="11" t="n"/>
      <c r="F2745" s="11" t="n"/>
      <c r="G2745" s="11" t="n"/>
      <c r="H2745" s="11" t="n"/>
      <c r="I2745" s="11" t="n"/>
      <c r="J2745" s="11" t="n"/>
      <c r="K2745" s="11" t="n"/>
      <c r="L2745" s="11" t="n"/>
      <c r="M2745" s="11" t="n"/>
    </row>
    <row r="2746">
      <c r="A2746" s="11" t="n"/>
      <c r="B2746" s="11" t="n"/>
      <c r="C2746" s="11" t="n"/>
      <c r="D2746" s="11" t="n"/>
      <c r="E2746" s="11" t="n"/>
      <c r="F2746" s="11" t="n"/>
      <c r="G2746" s="11" t="n"/>
      <c r="H2746" s="11" t="n"/>
      <c r="I2746" s="11" t="n"/>
      <c r="J2746" s="11" t="n"/>
      <c r="K2746" s="11" t="n"/>
      <c r="L2746" s="11" t="n"/>
      <c r="M2746" s="11" t="n"/>
    </row>
    <row r="2747">
      <c r="A2747" s="11" t="n"/>
      <c r="B2747" s="11" t="n"/>
      <c r="C2747" s="11" t="n"/>
      <c r="D2747" s="11" t="n"/>
      <c r="E2747" s="11" t="n"/>
      <c r="F2747" s="11" t="n"/>
      <c r="G2747" s="11" t="n"/>
      <c r="H2747" s="11" t="n"/>
      <c r="I2747" s="11" t="n"/>
      <c r="J2747" s="11" t="n"/>
      <c r="K2747" s="11" t="n"/>
      <c r="L2747" s="11" t="n"/>
      <c r="M2747" s="11" t="n"/>
    </row>
    <row r="2748">
      <c r="A2748" s="11" t="n"/>
      <c r="B2748" s="11" t="n"/>
      <c r="C2748" s="11" t="n"/>
      <c r="D2748" s="11" t="n"/>
      <c r="E2748" s="11" t="n"/>
      <c r="F2748" s="11" t="n"/>
      <c r="G2748" s="11" t="n"/>
      <c r="H2748" s="11" t="n"/>
      <c r="I2748" s="11" t="n"/>
      <c r="J2748" s="11" t="n"/>
      <c r="K2748" s="11" t="n"/>
      <c r="L2748" s="11" t="n"/>
      <c r="M2748" s="11" t="n"/>
    </row>
    <row r="2749">
      <c r="A2749" s="11" t="n"/>
      <c r="B2749" s="11" t="n"/>
      <c r="C2749" s="11" t="n"/>
      <c r="D2749" s="11" t="n"/>
      <c r="E2749" s="11" t="n"/>
      <c r="F2749" s="11" t="n"/>
      <c r="G2749" s="11" t="n"/>
      <c r="H2749" s="11" t="n"/>
      <c r="I2749" s="11" t="n"/>
      <c r="J2749" s="11" t="n"/>
      <c r="K2749" s="11" t="n"/>
      <c r="L2749" s="11" t="n"/>
      <c r="M2749" s="11" t="n"/>
    </row>
    <row r="2750">
      <c r="A2750" s="11" t="n"/>
      <c r="B2750" s="11" t="n"/>
      <c r="C2750" s="11" t="n"/>
      <c r="D2750" s="11" t="n"/>
      <c r="E2750" s="11" t="n"/>
      <c r="F2750" s="11" t="n"/>
      <c r="G2750" s="11" t="n"/>
      <c r="H2750" s="11" t="n"/>
      <c r="I2750" s="11" t="n"/>
      <c r="J2750" s="11" t="n"/>
      <c r="K2750" s="11" t="n"/>
      <c r="L2750" s="11" t="n"/>
      <c r="M2750" s="11" t="n"/>
    </row>
    <row r="2751">
      <c r="A2751" s="11" t="n"/>
      <c r="B2751" s="11" t="n"/>
      <c r="C2751" s="11" t="n"/>
      <c r="D2751" s="11" t="n"/>
      <c r="E2751" s="11" t="n"/>
      <c r="F2751" s="11" t="n"/>
      <c r="G2751" s="11" t="n"/>
      <c r="H2751" s="11" t="n"/>
      <c r="I2751" s="11" t="n"/>
      <c r="J2751" s="11" t="n"/>
      <c r="K2751" s="11" t="n"/>
      <c r="L2751" s="11" t="n"/>
      <c r="M2751" s="11" t="n"/>
    </row>
    <row r="2752">
      <c r="A2752" s="11" t="n"/>
      <c r="B2752" s="11" t="n"/>
      <c r="C2752" s="11" t="n"/>
      <c r="D2752" s="11" t="n"/>
      <c r="E2752" s="11" t="n"/>
      <c r="F2752" s="11" t="n"/>
      <c r="G2752" s="11" t="n"/>
      <c r="H2752" s="11" t="n"/>
      <c r="I2752" s="11" t="n"/>
      <c r="J2752" s="11" t="n"/>
      <c r="K2752" s="11" t="n"/>
      <c r="L2752" s="11" t="n"/>
      <c r="M2752" s="11" t="n"/>
    </row>
    <row r="2753">
      <c r="A2753" s="11" t="n"/>
      <c r="B2753" s="11" t="n"/>
      <c r="C2753" s="11" t="n"/>
      <c r="D2753" s="11" t="n"/>
      <c r="E2753" s="11" t="n"/>
      <c r="F2753" s="11" t="n"/>
      <c r="G2753" s="11" t="n"/>
      <c r="H2753" s="11" t="n"/>
      <c r="I2753" s="11" t="n"/>
      <c r="J2753" s="11" t="n"/>
      <c r="K2753" s="11" t="n"/>
      <c r="L2753" s="11" t="n"/>
      <c r="M2753" s="11" t="n"/>
    </row>
    <row r="2754">
      <c r="A2754" s="11" t="n"/>
      <c r="B2754" s="11" t="n"/>
      <c r="C2754" s="11" t="n"/>
      <c r="D2754" s="11" t="n"/>
      <c r="E2754" s="11" t="n"/>
      <c r="F2754" s="11" t="n"/>
      <c r="G2754" s="11" t="n"/>
      <c r="H2754" s="11" t="n"/>
      <c r="I2754" s="11" t="n"/>
      <c r="J2754" s="11" t="n"/>
      <c r="K2754" s="11" t="n"/>
      <c r="L2754" s="11" t="n"/>
      <c r="M2754" s="11" t="n"/>
    </row>
    <row r="2755">
      <c r="A2755" s="11" t="n"/>
      <c r="B2755" s="11" t="n"/>
      <c r="C2755" s="11" t="n"/>
      <c r="D2755" s="11" t="n"/>
      <c r="E2755" s="11" t="n"/>
      <c r="F2755" s="11" t="n"/>
      <c r="G2755" s="11" t="n"/>
      <c r="H2755" s="11" t="n"/>
      <c r="I2755" s="11" t="n"/>
      <c r="J2755" s="11" t="n"/>
      <c r="K2755" s="11" t="n"/>
      <c r="L2755" s="11" t="n"/>
      <c r="M2755" s="11" t="n"/>
    </row>
    <row r="2756">
      <c r="A2756" s="11" t="n"/>
      <c r="B2756" s="11" t="n"/>
      <c r="C2756" s="11" t="n"/>
      <c r="D2756" s="11" t="n"/>
      <c r="E2756" s="11" t="n"/>
      <c r="F2756" s="11" t="n"/>
      <c r="G2756" s="11" t="n"/>
      <c r="H2756" s="11" t="n"/>
      <c r="I2756" s="11" t="n"/>
      <c r="J2756" s="11" t="n"/>
      <c r="K2756" s="11" t="n"/>
      <c r="L2756" s="11" t="n"/>
      <c r="M2756" s="11" t="n"/>
    </row>
    <row r="2757">
      <c r="A2757" s="11" t="n"/>
      <c r="B2757" s="11" t="n"/>
      <c r="C2757" s="11" t="n"/>
      <c r="D2757" s="11" t="n"/>
      <c r="E2757" s="11" t="n"/>
      <c r="F2757" s="11" t="n"/>
      <c r="G2757" s="11" t="n"/>
      <c r="H2757" s="11" t="n"/>
      <c r="I2757" s="11" t="n"/>
      <c r="J2757" s="11" t="n"/>
      <c r="K2757" s="11" t="n"/>
      <c r="L2757" s="11" t="n"/>
      <c r="M2757" s="11" t="n"/>
    </row>
    <row r="2758">
      <c r="A2758" s="11" t="n"/>
      <c r="B2758" s="11" t="n"/>
      <c r="C2758" s="11" t="n"/>
      <c r="D2758" s="11" t="n"/>
      <c r="E2758" s="11" t="n"/>
      <c r="F2758" s="11" t="n"/>
      <c r="G2758" s="11" t="n"/>
      <c r="H2758" s="11" t="n"/>
      <c r="I2758" s="11" t="n"/>
      <c r="J2758" s="11" t="n"/>
      <c r="K2758" s="11" t="n"/>
      <c r="L2758" s="11" t="n"/>
      <c r="M2758" s="11" t="n"/>
    </row>
    <row r="2759">
      <c r="A2759" s="11" t="n"/>
      <c r="B2759" s="11" t="n"/>
      <c r="C2759" s="11" t="n"/>
      <c r="D2759" s="11" t="n"/>
      <c r="E2759" s="11" t="n"/>
      <c r="F2759" s="11" t="n"/>
      <c r="G2759" s="11" t="n"/>
      <c r="H2759" s="11" t="n"/>
      <c r="I2759" s="11" t="n"/>
      <c r="J2759" s="11" t="n"/>
      <c r="K2759" s="11" t="n"/>
      <c r="L2759" s="11" t="n"/>
      <c r="M2759" s="11" t="n"/>
    </row>
    <row r="2760">
      <c r="A2760" s="11" t="n"/>
      <c r="B2760" s="11" t="n"/>
      <c r="C2760" s="11" t="n"/>
      <c r="D2760" s="11" t="n"/>
      <c r="E2760" s="11" t="n"/>
      <c r="F2760" s="11" t="n"/>
      <c r="G2760" s="11" t="n"/>
      <c r="H2760" s="11" t="n"/>
      <c r="I2760" s="11" t="n"/>
      <c r="J2760" s="11" t="n"/>
      <c r="K2760" s="11" t="n"/>
      <c r="L2760" s="11" t="n"/>
      <c r="M2760" s="11" t="n"/>
    </row>
    <row r="2761">
      <c r="A2761" s="11" t="n"/>
      <c r="B2761" s="11" t="n"/>
      <c r="C2761" s="11" t="n"/>
      <c r="D2761" s="11" t="n"/>
      <c r="E2761" s="11" t="n"/>
      <c r="F2761" s="11" t="n"/>
      <c r="G2761" s="11" t="n"/>
      <c r="H2761" s="11" t="n"/>
      <c r="I2761" s="11" t="n"/>
      <c r="J2761" s="11" t="n"/>
      <c r="K2761" s="11" t="n"/>
      <c r="L2761" s="11" t="n"/>
      <c r="M2761" s="11" t="n"/>
    </row>
    <row r="2762">
      <c r="A2762" s="11" t="n"/>
      <c r="B2762" s="11" t="n"/>
      <c r="C2762" s="11" t="n"/>
      <c r="D2762" s="11" t="n"/>
      <c r="E2762" s="11" t="n"/>
      <c r="F2762" s="11" t="n"/>
      <c r="G2762" s="11" t="n"/>
      <c r="H2762" s="11" t="n"/>
      <c r="I2762" s="11" t="n"/>
      <c r="J2762" s="11" t="n"/>
      <c r="K2762" s="11" t="n"/>
      <c r="L2762" s="11" t="n"/>
      <c r="M2762" s="11" t="n"/>
    </row>
    <row r="2763">
      <c r="A2763" s="11" t="n"/>
      <c r="B2763" s="11" t="n"/>
      <c r="C2763" s="11" t="n"/>
      <c r="D2763" s="11" t="n"/>
      <c r="E2763" s="11" t="n"/>
      <c r="F2763" s="11" t="n"/>
      <c r="G2763" s="11" t="n"/>
      <c r="H2763" s="11" t="n"/>
      <c r="I2763" s="11" t="n"/>
      <c r="J2763" s="11" t="n"/>
      <c r="K2763" s="11" t="n"/>
      <c r="L2763" s="11" t="n"/>
      <c r="M2763" s="11" t="n"/>
    </row>
    <row r="2764">
      <c r="A2764" s="11" t="n"/>
      <c r="B2764" s="11" t="n"/>
      <c r="C2764" s="11" t="n"/>
      <c r="D2764" s="11" t="n"/>
      <c r="E2764" s="11" t="n"/>
      <c r="F2764" s="11" t="n"/>
      <c r="G2764" s="11" t="n"/>
      <c r="H2764" s="11" t="n"/>
      <c r="I2764" s="11" t="n"/>
      <c r="J2764" s="11" t="n"/>
      <c r="K2764" s="11" t="n"/>
      <c r="L2764" s="11" t="n"/>
      <c r="M2764" s="11" t="n"/>
    </row>
    <row r="2765">
      <c r="A2765" s="11" t="n"/>
      <c r="B2765" s="11" t="n"/>
      <c r="C2765" s="11" t="n"/>
      <c r="D2765" s="11" t="n"/>
      <c r="E2765" s="11" t="n"/>
      <c r="F2765" s="11" t="n"/>
      <c r="G2765" s="11" t="n"/>
      <c r="H2765" s="11" t="n"/>
      <c r="I2765" s="11" t="n"/>
      <c r="J2765" s="11" t="n"/>
      <c r="K2765" s="11" t="n"/>
      <c r="L2765" s="11" t="n"/>
      <c r="M2765" s="11" t="n"/>
    </row>
    <row r="2766">
      <c r="A2766" s="11" t="n"/>
      <c r="B2766" s="11" t="n"/>
      <c r="C2766" s="11" t="n"/>
      <c r="D2766" s="11" t="n"/>
      <c r="E2766" s="11" t="n"/>
      <c r="F2766" s="11" t="n"/>
      <c r="G2766" s="11" t="n"/>
      <c r="H2766" s="11" t="n"/>
      <c r="I2766" s="11" t="n"/>
      <c r="J2766" s="11" t="n"/>
      <c r="K2766" s="11" t="n"/>
      <c r="L2766" s="11" t="n"/>
      <c r="M2766" s="11" t="n"/>
    </row>
    <row r="2767">
      <c r="A2767" s="11" t="n"/>
      <c r="B2767" s="11" t="n"/>
      <c r="C2767" s="11" t="n"/>
      <c r="D2767" s="11" t="n"/>
      <c r="E2767" s="11" t="n"/>
      <c r="F2767" s="11" t="n"/>
      <c r="G2767" s="11" t="n"/>
      <c r="H2767" s="11" t="n"/>
      <c r="I2767" s="11" t="n"/>
      <c r="J2767" s="11" t="n"/>
      <c r="K2767" s="11" t="n"/>
      <c r="L2767" s="11" t="n"/>
      <c r="M2767" s="11" t="n"/>
    </row>
    <row r="2768">
      <c r="A2768" s="11" t="n"/>
      <c r="B2768" s="11" t="n"/>
      <c r="C2768" s="11" t="n"/>
      <c r="D2768" s="11" t="n"/>
      <c r="E2768" s="11" t="n"/>
      <c r="F2768" s="11" t="n"/>
      <c r="G2768" s="11" t="n"/>
      <c r="H2768" s="11" t="n"/>
      <c r="I2768" s="11" t="n"/>
      <c r="J2768" s="11" t="n"/>
      <c r="K2768" s="11" t="n"/>
      <c r="L2768" s="11" t="n"/>
      <c r="M2768" s="11" t="n"/>
    </row>
    <row r="2769">
      <c r="A2769" s="11" t="n"/>
      <c r="B2769" s="11" t="n"/>
      <c r="C2769" s="11" t="n"/>
      <c r="D2769" s="11" t="n"/>
      <c r="E2769" s="11" t="n"/>
      <c r="F2769" s="11" t="n"/>
      <c r="G2769" s="11" t="n"/>
      <c r="H2769" s="11" t="n"/>
      <c r="I2769" s="11" t="n"/>
      <c r="J2769" s="11" t="n"/>
      <c r="K2769" s="11" t="n"/>
      <c r="L2769" s="11" t="n"/>
      <c r="M2769" s="11" t="n"/>
    </row>
    <row r="2770">
      <c r="A2770" s="11" t="n"/>
      <c r="B2770" s="11" t="n"/>
      <c r="C2770" s="11" t="n"/>
      <c r="D2770" s="11" t="n"/>
      <c r="E2770" s="11" t="n"/>
      <c r="F2770" s="11" t="n"/>
      <c r="G2770" s="11" t="n"/>
      <c r="H2770" s="11" t="n"/>
      <c r="I2770" s="11" t="n"/>
      <c r="J2770" s="11" t="n"/>
      <c r="K2770" s="11" t="n"/>
      <c r="L2770" s="11" t="n"/>
      <c r="M2770" s="11" t="n"/>
    </row>
    <row r="2771">
      <c r="A2771" s="11" t="n"/>
      <c r="B2771" s="11" t="n"/>
      <c r="C2771" s="11" t="n"/>
      <c r="D2771" s="11" t="n"/>
      <c r="E2771" s="11" t="n"/>
      <c r="F2771" s="11" t="n"/>
      <c r="G2771" s="11" t="n"/>
      <c r="H2771" s="11" t="n"/>
      <c r="I2771" s="11" t="n"/>
      <c r="J2771" s="11" t="n"/>
      <c r="K2771" s="11" t="n"/>
      <c r="L2771" s="11" t="n"/>
      <c r="M2771" s="11" t="n"/>
    </row>
    <row r="2772">
      <c r="A2772" s="11" t="n"/>
      <c r="B2772" s="11" t="n"/>
      <c r="C2772" s="11" t="n"/>
      <c r="D2772" s="11" t="n"/>
      <c r="E2772" s="11" t="n"/>
      <c r="F2772" s="11" t="n"/>
      <c r="G2772" s="11" t="n"/>
      <c r="H2772" s="11" t="n"/>
      <c r="I2772" s="11" t="n"/>
      <c r="J2772" s="11" t="n"/>
      <c r="K2772" s="11" t="n"/>
      <c r="L2772" s="11" t="n"/>
      <c r="M2772" s="11" t="n"/>
    </row>
    <row r="2773">
      <c r="A2773" s="11" t="n"/>
      <c r="B2773" s="11" t="n"/>
      <c r="C2773" s="11" t="n"/>
      <c r="D2773" s="11" t="n"/>
      <c r="E2773" s="11" t="n"/>
      <c r="F2773" s="11" t="n"/>
      <c r="G2773" s="11" t="n"/>
      <c r="H2773" s="11" t="n"/>
      <c r="I2773" s="11" t="n"/>
      <c r="J2773" s="11" t="n"/>
      <c r="K2773" s="11" t="n"/>
      <c r="L2773" s="11" t="n"/>
      <c r="M2773" s="11" t="n"/>
    </row>
    <row r="2774">
      <c r="A2774" s="11" t="n"/>
      <c r="B2774" s="11" t="n"/>
      <c r="C2774" s="11" t="n"/>
      <c r="D2774" s="11" t="n"/>
      <c r="E2774" s="11" t="n"/>
      <c r="F2774" s="11" t="n"/>
      <c r="G2774" s="11" t="n"/>
      <c r="H2774" s="11" t="n"/>
      <c r="I2774" s="11" t="n"/>
      <c r="J2774" s="11" t="n"/>
      <c r="K2774" s="11" t="n"/>
      <c r="L2774" s="11" t="n"/>
      <c r="M2774" s="11" t="n"/>
    </row>
    <row r="2775">
      <c r="A2775" s="11" t="n"/>
      <c r="B2775" s="11" t="n"/>
      <c r="C2775" s="11" t="n"/>
      <c r="D2775" s="11" t="n"/>
      <c r="E2775" s="11" t="n"/>
      <c r="F2775" s="11" t="n"/>
      <c r="G2775" s="11" t="n"/>
      <c r="H2775" s="11" t="n"/>
      <c r="I2775" s="11" t="n"/>
      <c r="J2775" s="11" t="n"/>
      <c r="K2775" s="11" t="n"/>
      <c r="L2775" s="11" t="n"/>
      <c r="M2775" s="11" t="n"/>
    </row>
    <row r="2776">
      <c r="A2776" s="11" t="n"/>
      <c r="B2776" s="11" t="n"/>
      <c r="C2776" s="11" t="n"/>
      <c r="D2776" s="11" t="n"/>
      <c r="E2776" s="11" t="n"/>
      <c r="F2776" s="11" t="n"/>
      <c r="G2776" s="11" t="n"/>
      <c r="H2776" s="11" t="n"/>
      <c r="I2776" s="11" t="n"/>
      <c r="J2776" s="11" t="n"/>
      <c r="K2776" s="11" t="n"/>
      <c r="L2776" s="11" t="n"/>
      <c r="M2776" s="11" t="n"/>
    </row>
    <row r="2777">
      <c r="A2777" s="11" t="n"/>
      <c r="B2777" s="11" t="n"/>
      <c r="C2777" s="11" t="n"/>
      <c r="D2777" s="11" t="n"/>
      <c r="E2777" s="11" t="n"/>
      <c r="F2777" s="11" t="n"/>
      <c r="G2777" s="11" t="n"/>
      <c r="H2777" s="11" t="n"/>
      <c r="I2777" s="11" t="n"/>
      <c r="J2777" s="11" t="n"/>
      <c r="K2777" s="11" t="n"/>
      <c r="L2777" s="11" t="n"/>
      <c r="M2777" s="11" t="n"/>
    </row>
    <row r="2778">
      <c r="A2778" s="11" t="n"/>
      <c r="B2778" s="11" t="n"/>
      <c r="C2778" s="11" t="n"/>
      <c r="D2778" s="11" t="n"/>
      <c r="E2778" s="11" t="n"/>
      <c r="F2778" s="11" t="n"/>
      <c r="G2778" s="11" t="n"/>
      <c r="H2778" s="11" t="n"/>
      <c r="I2778" s="11" t="n"/>
      <c r="J2778" s="11" t="n"/>
      <c r="K2778" s="11" t="n"/>
      <c r="L2778" s="11" t="n"/>
      <c r="M2778" s="11" t="n"/>
    </row>
    <row r="2779">
      <c r="A2779" s="11" t="n"/>
      <c r="B2779" s="11" t="n"/>
      <c r="C2779" s="11" t="n"/>
      <c r="D2779" s="11" t="n"/>
      <c r="E2779" s="11" t="n"/>
      <c r="F2779" s="11" t="n"/>
      <c r="G2779" s="11" t="n"/>
      <c r="H2779" s="11" t="n"/>
      <c r="I2779" s="11" t="n"/>
      <c r="J2779" s="11" t="n"/>
      <c r="K2779" s="11" t="n"/>
      <c r="L2779" s="11" t="n"/>
      <c r="M2779" s="11" t="n"/>
    </row>
    <row r="2780">
      <c r="A2780" s="11" t="n"/>
      <c r="B2780" s="11" t="n"/>
      <c r="C2780" s="11" t="n"/>
      <c r="D2780" s="11" t="n"/>
      <c r="E2780" s="11" t="n"/>
      <c r="F2780" s="11" t="n"/>
      <c r="G2780" s="11" t="n"/>
      <c r="H2780" s="11" t="n"/>
      <c r="I2780" s="11" t="n"/>
      <c r="J2780" s="11" t="n"/>
      <c r="K2780" s="11" t="n"/>
      <c r="L2780" s="11" t="n"/>
      <c r="M2780" s="11" t="n"/>
    </row>
    <row r="2781">
      <c r="A2781" s="11" t="n"/>
      <c r="B2781" s="11" t="n"/>
      <c r="C2781" s="11" t="n"/>
      <c r="D2781" s="11" t="n"/>
      <c r="E2781" s="11" t="n"/>
      <c r="F2781" s="11" t="n"/>
      <c r="G2781" s="11" t="n"/>
      <c r="H2781" s="11" t="n"/>
      <c r="I2781" s="11" t="n"/>
      <c r="J2781" s="11" t="n"/>
      <c r="K2781" s="11" t="n"/>
      <c r="L2781" s="11" t="n"/>
      <c r="M2781" s="11" t="n"/>
    </row>
    <row r="2782">
      <c r="A2782" s="11" t="n"/>
      <c r="B2782" s="11" t="n"/>
      <c r="C2782" s="11" t="n"/>
      <c r="D2782" s="11" t="n"/>
      <c r="E2782" s="11" t="n"/>
      <c r="F2782" s="11" t="n"/>
      <c r="G2782" s="11" t="n"/>
      <c r="H2782" s="11" t="n"/>
      <c r="I2782" s="11" t="n"/>
      <c r="J2782" s="11" t="n"/>
      <c r="K2782" s="11" t="n"/>
      <c r="L2782" s="11" t="n"/>
      <c r="M2782" s="11" t="n"/>
    </row>
    <row r="2783">
      <c r="A2783" s="11" t="n"/>
      <c r="B2783" s="11" t="n"/>
      <c r="C2783" s="11" t="n"/>
      <c r="D2783" s="11" t="n"/>
      <c r="E2783" s="11" t="n"/>
      <c r="F2783" s="11" t="n"/>
      <c r="G2783" s="11" t="n"/>
      <c r="H2783" s="11" t="n"/>
      <c r="I2783" s="11" t="n"/>
      <c r="J2783" s="11" t="n"/>
      <c r="K2783" s="11" t="n"/>
      <c r="L2783" s="11" t="n"/>
      <c r="M2783" s="11" t="n"/>
    </row>
    <row r="2784">
      <c r="A2784" s="11" t="n"/>
      <c r="B2784" s="11" t="n"/>
      <c r="C2784" s="11" t="n"/>
      <c r="D2784" s="11" t="n"/>
      <c r="E2784" s="11" t="n"/>
      <c r="F2784" s="11" t="n"/>
      <c r="G2784" s="11" t="n"/>
      <c r="H2784" s="11" t="n"/>
      <c r="I2784" s="11" t="n"/>
      <c r="J2784" s="11" t="n"/>
      <c r="K2784" s="11" t="n"/>
      <c r="L2784" s="11" t="n"/>
      <c r="M2784" s="11" t="n"/>
    </row>
    <row r="2785">
      <c r="A2785" s="11" t="n"/>
      <c r="B2785" s="11" t="n"/>
      <c r="C2785" s="11" t="n"/>
      <c r="D2785" s="11" t="n"/>
      <c r="E2785" s="11" t="n"/>
      <c r="F2785" s="11" t="n"/>
      <c r="G2785" s="11" t="n"/>
      <c r="H2785" s="11" t="n"/>
      <c r="I2785" s="11" t="n"/>
      <c r="J2785" s="11" t="n"/>
      <c r="K2785" s="11" t="n"/>
      <c r="L2785" s="11" t="n"/>
      <c r="M2785" s="11" t="n"/>
    </row>
    <row r="2786">
      <c r="A2786" s="11" t="n"/>
      <c r="B2786" s="11" t="n"/>
      <c r="C2786" s="11" t="n"/>
      <c r="D2786" s="11" t="n"/>
      <c r="E2786" s="11" t="n"/>
      <c r="F2786" s="11" t="n"/>
      <c r="G2786" s="11" t="n"/>
      <c r="H2786" s="11" t="n"/>
      <c r="I2786" s="11" t="n"/>
      <c r="J2786" s="11" t="n"/>
      <c r="K2786" s="11" t="n"/>
      <c r="L2786" s="11" t="n"/>
      <c r="M2786" s="11" t="n"/>
    </row>
    <row r="2787">
      <c r="A2787" s="11" t="n"/>
      <c r="B2787" s="11" t="n"/>
      <c r="C2787" s="11" t="n"/>
      <c r="D2787" s="11" t="n"/>
      <c r="E2787" s="11" t="n"/>
      <c r="F2787" s="11" t="n"/>
      <c r="G2787" s="11" t="n"/>
      <c r="H2787" s="11" t="n"/>
      <c r="I2787" s="11" t="n"/>
      <c r="J2787" s="11" t="n"/>
      <c r="K2787" s="11" t="n"/>
      <c r="L2787" s="11" t="n"/>
      <c r="M2787" s="11" t="n"/>
    </row>
    <row r="2788">
      <c r="A2788" s="11" t="n"/>
      <c r="B2788" s="11" t="n"/>
      <c r="C2788" s="11" t="n"/>
      <c r="D2788" s="11" t="n"/>
      <c r="E2788" s="11" t="n"/>
      <c r="F2788" s="11" t="n"/>
      <c r="G2788" s="11" t="n"/>
      <c r="H2788" s="11" t="n"/>
      <c r="I2788" s="11" t="n"/>
      <c r="J2788" s="11" t="n"/>
      <c r="K2788" s="11" t="n"/>
      <c r="L2788" s="11" t="n"/>
      <c r="M2788" s="11" t="n"/>
    </row>
    <row r="2789">
      <c r="A2789" s="11" t="n"/>
      <c r="B2789" s="11" t="n"/>
      <c r="C2789" s="11" t="n"/>
      <c r="D2789" s="11" t="n"/>
      <c r="E2789" s="11" t="n"/>
      <c r="F2789" s="11" t="n"/>
      <c r="G2789" s="11" t="n"/>
      <c r="H2789" s="11" t="n"/>
      <c r="I2789" s="11" t="n"/>
      <c r="J2789" s="11" t="n"/>
      <c r="K2789" s="11" t="n"/>
      <c r="L2789" s="11" t="n"/>
      <c r="M2789" s="11" t="n"/>
    </row>
    <row r="2790">
      <c r="A2790" s="11" t="n"/>
      <c r="B2790" s="11" t="n"/>
      <c r="C2790" s="11" t="n"/>
      <c r="D2790" s="11" t="n"/>
      <c r="E2790" s="11" t="n"/>
      <c r="F2790" s="11" t="n"/>
      <c r="G2790" s="11" t="n"/>
      <c r="H2790" s="11" t="n"/>
      <c r="I2790" s="11" t="n"/>
      <c r="J2790" s="11" t="n"/>
      <c r="K2790" s="11" t="n"/>
      <c r="L2790" s="11" t="n"/>
      <c r="M2790" s="11" t="n"/>
    </row>
    <row r="2791">
      <c r="A2791" s="11" t="n"/>
      <c r="B2791" s="11" t="n"/>
      <c r="C2791" s="11" t="n"/>
      <c r="D2791" s="11" t="n"/>
      <c r="E2791" s="11" t="n"/>
      <c r="F2791" s="11" t="n"/>
      <c r="G2791" s="11" t="n"/>
      <c r="H2791" s="11" t="n"/>
      <c r="I2791" s="11" t="n"/>
      <c r="J2791" s="11" t="n"/>
      <c r="K2791" s="11" t="n"/>
      <c r="L2791" s="11" t="n"/>
      <c r="M2791" s="11" t="n"/>
    </row>
    <row r="2792">
      <c r="A2792" s="11" t="n"/>
      <c r="B2792" s="11" t="n"/>
      <c r="C2792" s="11" t="n"/>
      <c r="D2792" s="11" t="n"/>
      <c r="E2792" s="11" t="n"/>
      <c r="F2792" s="11" t="n"/>
      <c r="G2792" s="11" t="n"/>
      <c r="H2792" s="11" t="n"/>
      <c r="I2792" s="11" t="n"/>
      <c r="J2792" s="11" t="n"/>
      <c r="K2792" s="11" t="n"/>
      <c r="L2792" s="11" t="n"/>
      <c r="M2792" s="11" t="n"/>
    </row>
    <row r="2793">
      <c r="A2793" s="11" t="n"/>
      <c r="B2793" s="11" t="n"/>
      <c r="C2793" s="11" t="n"/>
      <c r="D2793" s="11" t="n"/>
      <c r="E2793" s="11" t="n"/>
      <c r="F2793" s="11" t="n"/>
      <c r="G2793" s="11" t="n"/>
      <c r="H2793" s="11" t="n"/>
      <c r="I2793" s="11" t="n"/>
      <c r="J2793" s="11" t="n"/>
      <c r="K2793" s="11" t="n"/>
      <c r="L2793" s="11" t="n"/>
      <c r="M2793" s="11" t="n"/>
    </row>
    <row r="2794">
      <c r="A2794" s="11" t="n"/>
      <c r="B2794" s="11" t="n"/>
      <c r="C2794" s="11" t="n"/>
      <c r="D2794" s="11" t="n"/>
      <c r="E2794" s="11" t="n"/>
      <c r="F2794" s="11" t="n"/>
      <c r="G2794" s="11" t="n"/>
      <c r="H2794" s="11" t="n"/>
      <c r="I2794" s="11" t="n"/>
      <c r="J2794" s="11" t="n"/>
      <c r="K2794" s="11" t="n"/>
      <c r="L2794" s="11" t="n"/>
      <c r="M2794" s="11" t="n"/>
    </row>
    <row r="2795">
      <c r="A2795" s="11" t="n"/>
      <c r="B2795" s="11" t="n"/>
      <c r="C2795" s="11" t="n"/>
      <c r="D2795" s="11" t="n"/>
      <c r="E2795" s="11" t="n"/>
      <c r="F2795" s="11" t="n"/>
      <c r="G2795" s="11" t="n"/>
      <c r="H2795" s="11" t="n"/>
      <c r="I2795" s="11" t="n"/>
      <c r="J2795" s="11" t="n"/>
      <c r="K2795" s="11" t="n"/>
      <c r="L2795" s="11" t="n"/>
      <c r="M2795" s="11" t="n"/>
    </row>
    <row r="2796">
      <c r="A2796" s="11" t="n"/>
      <c r="B2796" s="11" t="n"/>
      <c r="C2796" s="11" t="n"/>
      <c r="D2796" s="11" t="n"/>
      <c r="E2796" s="11" t="n"/>
      <c r="F2796" s="11" t="n"/>
      <c r="G2796" s="11" t="n"/>
      <c r="H2796" s="11" t="n"/>
      <c r="I2796" s="11" t="n"/>
      <c r="J2796" s="11" t="n"/>
      <c r="K2796" s="11" t="n"/>
      <c r="L2796" s="11" t="n"/>
      <c r="M2796" s="11" t="n"/>
    </row>
    <row r="2797">
      <c r="A2797" s="11" t="n"/>
      <c r="B2797" s="11" t="n"/>
      <c r="C2797" s="11" t="n"/>
      <c r="D2797" s="11" t="n"/>
      <c r="E2797" s="11" t="n"/>
      <c r="F2797" s="11" t="n"/>
      <c r="G2797" s="11" t="n"/>
      <c r="H2797" s="11" t="n"/>
      <c r="I2797" s="11" t="n"/>
      <c r="J2797" s="11" t="n"/>
      <c r="K2797" s="11" t="n"/>
      <c r="L2797" s="11" t="n"/>
      <c r="M2797" s="11" t="n"/>
    </row>
    <row r="2798">
      <c r="A2798" s="11" t="n"/>
      <c r="B2798" s="11" t="n"/>
      <c r="C2798" s="11" t="n"/>
      <c r="D2798" s="11" t="n"/>
      <c r="E2798" s="11" t="n"/>
      <c r="F2798" s="11" t="n"/>
      <c r="G2798" s="11" t="n"/>
      <c r="H2798" s="11" t="n"/>
      <c r="I2798" s="11" t="n"/>
      <c r="J2798" s="11" t="n"/>
      <c r="K2798" s="11" t="n"/>
      <c r="L2798" s="11" t="n"/>
      <c r="M2798" s="11" t="n"/>
    </row>
    <row r="2799">
      <c r="A2799" s="11" t="n"/>
      <c r="B2799" s="11" t="n"/>
      <c r="C2799" s="11" t="n"/>
      <c r="D2799" s="11" t="n"/>
      <c r="E2799" s="11" t="n"/>
      <c r="F2799" s="11" t="n"/>
      <c r="G2799" s="11" t="n"/>
      <c r="H2799" s="11" t="n"/>
      <c r="I2799" s="11" t="n"/>
      <c r="J2799" s="11" t="n"/>
      <c r="K2799" s="11" t="n"/>
      <c r="L2799" s="11" t="n"/>
      <c r="M2799" s="11" t="n"/>
    </row>
    <row r="2800">
      <c r="A2800" s="11" t="n"/>
      <c r="B2800" s="11" t="n"/>
      <c r="C2800" s="11" t="n"/>
      <c r="D2800" s="11" t="n"/>
      <c r="E2800" s="11" t="n"/>
      <c r="F2800" s="11" t="n"/>
      <c r="G2800" s="11" t="n"/>
      <c r="H2800" s="11" t="n"/>
      <c r="I2800" s="11" t="n"/>
      <c r="J2800" s="11" t="n"/>
      <c r="K2800" s="11" t="n"/>
      <c r="L2800" s="11" t="n"/>
      <c r="M2800" s="11" t="n"/>
    </row>
    <row r="2801">
      <c r="A2801" s="11" t="n"/>
      <c r="B2801" s="11" t="n"/>
      <c r="C2801" s="11" t="n"/>
      <c r="D2801" s="11" t="n"/>
      <c r="E2801" s="11" t="n"/>
      <c r="F2801" s="11" t="n"/>
      <c r="G2801" s="11" t="n"/>
      <c r="H2801" s="11" t="n"/>
      <c r="I2801" s="11" t="n"/>
      <c r="J2801" s="11" t="n"/>
      <c r="K2801" s="11" t="n"/>
      <c r="L2801" s="11" t="n"/>
      <c r="M2801" s="11" t="n"/>
    </row>
    <row r="2802">
      <c r="A2802" s="11" t="n"/>
      <c r="B2802" s="11" t="n"/>
      <c r="C2802" s="11" t="n"/>
      <c r="D2802" s="11" t="n"/>
      <c r="E2802" s="11" t="n"/>
      <c r="F2802" s="11" t="n"/>
      <c r="G2802" s="11" t="n"/>
      <c r="H2802" s="11" t="n"/>
      <c r="I2802" s="11" t="n"/>
      <c r="J2802" s="11" t="n"/>
      <c r="K2802" s="11" t="n"/>
      <c r="L2802" s="11" t="n"/>
      <c r="M2802" s="11" t="n"/>
    </row>
    <row r="2803">
      <c r="A2803" s="11" t="n"/>
      <c r="B2803" s="11" t="n"/>
      <c r="C2803" s="11" t="n"/>
      <c r="D2803" s="11" t="n"/>
      <c r="E2803" s="11" t="n"/>
      <c r="F2803" s="11" t="n"/>
      <c r="G2803" s="11" t="n"/>
      <c r="H2803" s="11" t="n"/>
      <c r="I2803" s="11" t="n"/>
      <c r="J2803" s="11" t="n"/>
      <c r="K2803" s="11" t="n"/>
      <c r="L2803" s="11" t="n"/>
      <c r="M2803" s="11" t="n"/>
    </row>
    <row r="2804">
      <c r="A2804" s="11" t="n"/>
      <c r="B2804" s="11" t="n"/>
      <c r="C2804" s="11" t="n"/>
      <c r="D2804" s="11" t="n"/>
      <c r="E2804" s="11" t="n"/>
      <c r="F2804" s="11" t="n"/>
      <c r="G2804" s="11" t="n"/>
      <c r="H2804" s="11" t="n"/>
      <c r="I2804" s="11" t="n"/>
      <c r="J2804" s="11" t="n"/>
      <c r="K2804" s="11" t="n"/>
      <c r="L2804" s="11" t="n"/>
      <c r="M2804" s="11" t="n"/>
    </row>
    <row r="2805">
      <c r="A2805" s="11" t="n"/>
      <c r="B2805" s="11" t="n"/>
      <c r="C2805" s="11" t="n"/>
      <c r="D2805" s="11" t="n"/>
      <c r="E2805" s="11" t="n"/>
      <c r="F2805" s="11" t="n"/>
      <c r="G2805" s="11" t="n"/>
      <c r="H2805" s="11" t="n"/>
      <c r="I2805" s="11" t="n"/>
      <c r="J2805" s="11" t="n"/>
      <c r="K2805" s="11" t="n"/>
      <c r="L2805" s="11" t="n"/>
      <c r="M2805" s="11" t="n"/>
    </row>
    <row r="2806">
      <c r="A2806" s="11" t="n"/>
      <c r="B2806" s="11" t="n"/>
      <c r="C2806" s="11" t="n"/>
      <c r="D2806" s="11" t="n"/>
      <c r="E2806" s="11" t="n"/>
      <c r="F2806" s="11" t="n"/>
      <c r="G2806" s="11" t="n"/>
      <c r="H2806" s="11" t="n"/>
      <c r="I2806" s="11" t="n"/>
      <c r="J2806" s="11" t="n"/>
      <c r="K2806" s="11" t="n"/>
      <c r="L2806" s="11" t="n"/>
      <c r="M2806" s="11" t="n"/>
    </row>
    <row r="2807">
      <c r="A2807" s="11" t="n"/>
      <c r="B2807" s="11" t="n"/>
      <c r="C2807" s="11" t="n"/>
      <c r="D2807" s="11" t="n"/>
      <c r="E2807" s="11" t="n"/>
      <c r="F2807" s="11" t="n"/>
      <c r="G2807" s="11" t="n"/>
      <c r="H2807" s="11" t="n"/>
      <c r="I2807" s="11" t="n"/>
      <c r="J2807" s="11" t="n"/>
      <c r="K2807" s="11" t="n"/>
      <c r="L2807" s="11" t="n"/>
      <c r="M2807" s="11" t="n"/>
    </row>
    <row r="2808">
      <c r="A2808" s="11" t="n"/>
      <c r="B2808" s="11" t="n"/>
      <c r="C2808" s="11" t="n"/>
      <c r="D2808" s="11" t="n"/>
      <c r="E2808" s="11" t="n"/>
      <c r="F2808" s="11" t="n"/>
      <c r="G2808" s="11" t="n"/>
      <c r="H2808" s="11" t="n"/>
      <c r="I2808" s="11" t="n"/>
      <c r="J2808" s="11" t="n"/>
      <c r="K2808" s="11" t="n"/>
      <c r="L2808" s="11" t="n"/>
      <c r="M2808" s="11" t="n"/>
    </row>
    <row r="2809">
      <c r="A2809" s="11" t="n"/>
      <c r="B2809" s="11" t="n"/>
      <c r="C2809" s="11" t="n"/>
      <c r="D2809" s="11" t="n"/>
      <c r="E2809" s="11" t="n"/>
      <c r="F2809" s="11" t="n"/>
      <c r="G2809" s="11" t="n"/>
      <c r="H2809" s="11" t="n"/>
      <c r="I2809" s="11" t="n"/>
      <c r="J2809" s="11" t="n"/>
      <c r="K2809" s="11" t="n"/>
      <c r="L2809" s="11" t="n"/>
      <c r="M2809" s="11" t="n"/>
    </row>
    <row r="2810">
      <c r="A2810" s="11" t="n"/>
      <c r="B2810" s="11" t="n"/>
      <c r="C2810" s="11" t="n"/>
      <c r="D2810" s="11" t="n"/>
      <c r="E2810" s="11" t="n"/>
      <c r="F2810" s="11" t="n"/>
      <c r="G2810" s="11" t="n"/>
      <c r="H2810" s="11" t="n"/>
      <c r="I2810" s="11" t="n"/>
      <c r="J2810" s="11" t="n"/>
      <c r="K2810" s="11" t="n"/>
      <c r="L2810" s="11" t="n"/>
      <c r="M2810" s="11" t="n"/>
    </row>
    <row r="2811">
      <c r="A2811" s="11" t="n"/>
      <c r="B2811" s="11" t="n"/>
      <c r="C2811" s="11" t="n"/>
      <c r="D2811" s="11" t="n"/>
      <c r="E2811" s="11" t="n"/>
      <c r="F2811" s="11" t="n"/>
      <c r="G2811" s="11" t="n"/>
      <c r="H2811" s="11" t="n"/>
      <c r="I2811" s="11" t="n"/>
      <c r="J2811" s="11" t="n"/>
      <c r="K2811" s="11" t="n"/>
      <c r="L2811" s="11" t="n"/>
      <c r="M2811" s="11" t="n"/>
    </row>
    <row r="2812">
      <c r="A2812" s="11" t="n"/>
      <c r="B2812" s="11" t="n"/>
      <c r="C2812" s="11" t="n"/>
      <c r="D2812" s="11" t="n"/>
      <c r="E2812" s="11" t="n"/>
      <c r="F2812" s="11" t="n"/>
      <c r="G2812" s="11" t="n"/>
      <c r="H2812" s="11" t="n"/>
      <c r="I2812" s="11" t="n"/>
      <c r="J2812" s="11" t="n"/>
      <c r="K2812" s="11" t="n"/>
      <c r="L2812" s="11" t="n"/>
      <c r="M2812" s="11" t="n"/>
    </row>
    <row r="2813">
      <c r="A2813" s="11" t="n"/>
      <c r="B2813" s="11" t="n"/>
      <c r="C2813" s="11" t="n"/>
      <c r="D2813" s="11" t="n"/>
      <c r="E2813" s="11" t="n"/>
      <c r="F2813" s="11" t="n"/>
      <c r="G2813" s="11" t="n"/>
      <c r="H2813" s="11" t="n"/>
      <c r="I2813" s="11" t="n"/>
      <c r="J2813" s="11" t="n"/>
      <c r="K2813" s="11" t="n"/>
      <c r="L2813" s="11" t="n"/>
      <c r="M2813" s="11" t="n"/>
    </row>
    <row r="2814">
      <c r="A2814" s="11" t="n"/>
      <c r="B2814" s="11" t="n"/>
      <c r="C2814" s="11" t="n"/>
      <c r="D2814" s="11" t="n"/>
      <c r="E2814" s="11" t="n"/>
      <c r="F2814" s="11" t="n"/>
      <c r="G2814" s="11" t="n"/>
      <c r="H2814" s="11" t="n"/>
      <c r="I2814" s="11" t="n"/>
      <c r="J2814" s="11" t="n"/>
      <c r="K2814" s="11" t="n"/>
      <c r="L2814" s="11" t="n"/>
      <c r="M2814" s="11" t="n"/>
    </row>
    <row r="2815">
      <c r="A2815" s="11" t="n"/>
      <c r="B2815" s="11" t="n"/>
      <c r="C2815" s="11" t="n"/>
      <c r="D2815" s="11" t="n"/>
      <c r="E2815" s="11" t="n"/>
      <c r="F2815" s="11" t="n"/>
      <c r="G2815" s="11" t="n"/>
      <c r="H2815" s="11" t="n"/>
      <c r="I2815" s="11" t="n"/>
      <c r="J2815" s="11" t="n"/>
      <c r="K2815" s="11" t="n"/>
      <c r="L2815" s="11" t="n"/>
      <c r="M2815" s="11" t="n"/>
    </row>
    <row r="2816">
      <c r="A2816" s="11" t="n"/>
      <c r="B2816" s="11" t="n"/>
      <c r="C2816" s="11" t="n"/>
      <c r="D2816" s="11" t="n"/>
      <c r="E2816" s="11" t="n"/>
      <c r="F2816" s="11" t="n"/>
      <c r="G2816" s="11" t="n"/>
      <c r="H2816" s="11" t="n"/>
      <c r="I2816" s="11" t="n"/>
      <c r="J2816" s="11" t="n"/>
      <c r="K2816" s="11" t="n"/>
      <c r="L2816" s="11" t="n"/>
      <c r="M2816" s="11" t="n"/>
    </row>
    <row r="2817">
      <c r="A2817" s="11" t="n"/>
      <c r="B2817" s="11" t="n"/>
      <c r="C2817" s="11" t="n"/>
      <c r="D2817" s="11" t="n"/>
      <c r="E2817" s="11" t="n"/>
      <c r="F2817" s="11" t="n"/>
      <c r="G2817" s="11" t="n"/>
      <c r="H2817" s="11" t="n"/>
      <c r="I2817" s="11" t="n"/>
      <c r="J2817" s="11" t="n"/>
      <c r="K2817" s="11" t="n"/>
      <c r="L2817" s="11" t="n"/>
      <c r="M2817" s="11" t="n"/>
    </row>
    <row r="2818">
      <c r="A2818" s="11" t="n"/>
      <c r="B2818" s="11" t="n"/>
      <c r="C2818" s="11" t="n"/>
      <c r="D2818" s="11" t="n"/>
      <c r="E2818" s="11" t="n"/>
      <c r="F2818" s="11" t="n"/>
      <c r="G2818" s="11" t="n"/>
      <c r="H2818" s="11" t="n"/>
      <c r="I2818" s="11" t="n"/>
      <c r="J2818" s="11" t="n"/>
      <c r="K2818" s="11" t="n"/>
      <c r="L2818" s="11" t="n"/>
      <c r="M2818" s="11" t="n"/>
    </row>
    <row r="2819">
      <c r="A2819" s="11" t="n"/>
      <c r="B2819" s="11" t="n"/>
      <c r="C2819" s="11" t="n"/>
      <c r="D2819" s="11" t="n"/>
      <c r="E2819" s="11" t="n"/>
      <c r="F2819" s="11" t="n"/>
      <c r="G2819" s="11" t="n"/>
      <c r="H2819" s="11" t="n"/>
      <c r="I2819" s="11" t="n"/>
      <c r="J2819" s="11" t="n"/>
      <c r="K2819" s="11" t="n"/>
      <c r="L2819" s="11" t="n"/>
      <c r="M2819" s="11" t="n"/>
    </row>
    <row r="2820">
      <c r="A2820" s="11" t="n"/>
      <c r="B2820" s="11" t="n"/>
      <c r="C2820" s="11" t="n"/>
      <c r="D2820" s="11" t="n"/>
      <c r="E2820" s="11" t="n"/>
      <c r="F2820" s="11" t="n"/>
      <c r="G2820" s="11" t="n"/>
      <c r="H2820" s="11" t="n"/>
      <c r="I2820" s="11" t="n"/>
      <c r="J2820" s="11" t="n"/>
      <c r="K2820" s="11" t="n"/>
      <c r="L2820" s="11" t="n"/>
      <c r="M2820" s="11" t="n"/>
    </row>
    <row r="2821">
      <c r="A2821" s="11" t="n"/>
      <c r="B2821" s="11" t="n"/>
      <c r="C2821" s="11" t="n"/>
      <c r="D2821" s="11" t="n"/>
      <c r="E2821" s="11" t="n"/>
      <c r="F2821" s="11" t="n"/>
      <c r="G2821" s="11" t="n"/>
      <c r="H2821" s="11" t="n"/>
      <c r="I2821" s="11" t="n"/>
      <c r="J2821" s="11" t="n"/>
      <c r="K2821" s="11" t="n"/>
      <c r="L2821" s="11" t="n"/>
      <c r="M2821" s="11" t="n"/>
    </row>
    <row r="2822">
      <c r="A2822" s="11" t="n"/>
      <c r="B2822" s="11" t="n"/>
      <c r="C2822" s="11" t="n"/>
      <c r="D2822" s="11" t="n"/>
      <c r="E2822" s="11" t="n"/>
      <c r="F2822" s="11" t="n"/>
      <c r="G2822" s="11" t="n"/>
      <c r="H2822" s="11" t="n"/>
      <c r="I2822" s="11" t="n"/>
      <c r="J2822" s="11" t="n"/>
      <c r="K2822" s="11" t="n"/>
      <c r="L2822" s="11" t="n"/>
      <c r="M2822" s="11" t="n"/>
    </row>
    <row r="2823">
      <c r="A2823" s="11" t="n"/>
      <c r="B2823" s="11" t="n"/>
      <c r="C2823" s="11" t="n"/>
      <c r="D2823" s="11" t="n"/>
      <c r="E2823" s="11" t="n"/>
      <c r="F2823" s="11" t="n"/>
      <c r="G2823" s="11" t="n"/>
      <c r="H2823" s="11" t="n"/>
      <c r="I2823" s="11" t="n"/>
      <c r="J2823" s="11" t="n"/>
      <c r="K2823" s="11" t="n"/>
      <c r="L2823" s="11" t="n"/>
      <c r="M2823" s="11" t="n"/>
    </row>
    <row r="2824">
      <c r="A2824" s="11" t="n"/>
      <c r="B2824" s="11" t="n"/>
      <c r="C2824" s="11" t="n"/>
      <c r="D2824" s="11" t="n"/>
      <c r="E2824" s="11" t="n"/>
      <c r="F2824" s="11" t="n"/>
      <c r="G2824" s="11" t="n"/>
      <c r="H2824" s="11" t="n"/>
      <c r="I2824" s="11" t="n"/>
      <c r="J2824" s="11" t="n"/>
      <c r="K2824" s="11" t="n"/>
      <c r="L2824" s="11" t="n"/>
      <c r="M2824" s="11" t="n"/>
    </row>
    <row r="2825">
      <c r="A2825" s="11" t="n"/>
      <c r="B2825" s="11" t="n"/>
      <c r="C2825" s="11" t="n"/>
      <c r="D2825" s="11" t="n"/>
      <c r="E2825" s="11" t="n"/>
      <c r="F2825" s="11" t="n"/>
      <c r="G2825" s="11" t="n"/>
      <c r="H2825" s="11" t="n"/>
      <c r="I2825" s="11" t="n"/>
      <c r="J2825" s="11" t="n"/>
      <c r="K2825" s="11" t="n"/>
      <c r="L2825" s="11" t="n"/>
      <c r="M2825" s="11" t="n"/>
    </row>
    <row r="2826">
      <c r="A2826" s="11" t="n"/>
      <c r="B2826" s="11" t="n"/>
      <c r="C2826" s="11" t="n"/>
      <c r="D2826" s="11" t="n"/>
      <c r="E2826" s="11" t="n"/>
      <c r="F2826" s="11" t="n"/>
      <c r="G2826" s="11" t="n"/>
      <c r="H2826" s="11" t="n"/>
      <c r="I2826" s="11" t="n"/>
      <c r="J2826" s="11" t="n"/>
      <c r="K2826" s="11" t="n"/>
      <c r="L2826" s="11" t="n"/>
      <c r="M2826" s="11" t="n"/>
    </row>
    <row r="2827">
      <c r="A2827" s="11" t="n"/>
      <c r="B2827" s="11" t="n"/>
      <c r="C2827" s="11" t="n"/>
      <c r="D2827" s="11" t="n"/>
      <c r="E2827" s="11" t="n"/>
      <c r="F2827" s="11" t="n"/>
      <c r="G2827" s="11" t="n"/>
      <c r="H2827" s="11" t="n"/>
      <c r="I2827" s="11" t="n"/>
      <c r="J2827" s="11" t="n"/>
      <c r="K2827" s="11" t="n"/>
      <c r="L2827" s="11" t="n"/>
      <c r="M2827" s="11" t="n"/>
    </row>
    <row r="2828">
      <c r="A2828" s="11" t="n"/>
      <c r="B2828" s="11" t="n"/>
      <c r="C2828" s="11" t="n"/>
      <c r="D2828" s="11" t="n"/>
      <c r="E2828" s="11" t="n"/>
      <c r="F2828" s="11" t="n"/>
      <c r="G2828" s="11" t="n"/>
      <c r="H2828" s="11" t="n"/>
      <c r="I2828" s="11" t="n"/>
      <c r="J2828" s="11" t="n"/>
      <c r="K2828" s="11" t="n"/>
      <c r="L2828" s="11" t="n"/>
      <c r="M2828" s="11" t="n"/>
    </row>
    <row r="2829">
      <c r="A2829" s="11" t="n"/>
      <c r="B2829" s="11" t="n"/>
      <c r="C2829" s="11" t="n"/>
      <c r="D2829" s="11" t="n"/>
      <c r="E2829" s="11" t="n"/>
      <c r="F2829" s="11" t="n"/>
      <c r="G2829" s="11" t="n"/>
      <c r="H2829" s="11" t="n"/>
      <c r="I2829" s="11" t="n"/>
      <c r="J2829" s="11" t="n"/>
      <c r="K2829" s="11" t="n"/>
      <c r="L2829" s="11" t="n"/>
      <c r="M2829" s="11" t="n"/>
    </row>
    <row r="2830">
      <c r="A2830" s="11" t="n"/>
      <c r="B2830" s="11" t="n"/>
      <c r="C2830" s="11" t="n"/>
      <c r="D2830" s="11" t="n"/>
      <c r="E2830" s="11" t="n"/>
      <c r="F2830" s="11" t="n"/>
      <c r="G2830" s="11" t="n"/>
      <c r="H2830" s="11" t="n"/>
      <c r="I2830" s="11" t="n"/>
      <c r="J2830" s="11" t="n"/>
      <c r="K2830" s="11" t="n"/>
      <c r="L2830" s="11" t="n"/>
      <c r="M2830" s="11" t="n"/>
    </row>
    <row r="2831">
      <c r="A2831" s="11" t="n"/>
      <c r="B2831" s="11" t="n"/>
      <c r="C2831" s="11" t="n"/>
      <c r="D2831" s="11" t="n"/>
      <c r="E2831" s="11" t="n"/>
      <c r="F2831" s="11" t="n"/>
      <c r="G2831" s="11" t="n"/>
      <c r="H2831" s="11" t="n"/>
      <c r="I2831" s="11" t="n"/>
      <c r="J2831" s="11" t="n"/>
      <c r="K2831" s="11" t="n"/>
      <c r="L2831" s="11" t="n"/>
      <c r="M2831" s="11" t="n"/>
    </row>
    <row r="2832">
      <c r="A2832" s="11" t="n"/>
      <c r="B2832" s="11" t="n"/>
      <c r="C2832" s="11" t="n"/>
      <c r="D2832" s="11" t="n"/>
      <c r="E2832" s="11" t="n"/>
      <c r="F2832" s="11" t="n"/>
      <c r="G2832" s="11" t="n"/>
      <c r="H2832" s="11" t="n"/>
      <c r="I2832" s="11" t="n"/>
      <c r="J2832" s="11" t="n"/>
      <c r="K2832" s="11" t="n"/>
      <c r="L2832" s="11" t="n"/>
      <c r="M2832" s="11" t="n"/>
    </row>
    <row r="2833">
      <c r="A2833" s="11" t="n"/>
      <c r="B2833" s="11" t="n"/>
      <c r="C2833" s="11" t="n"/>
      <c r="D2833" s="11" t="n"/>
      <c r="E2833" s="11" t="n"/>
      <c r="F2833" s="11" t="n"/>
      <c r="G2833" s="11" t="n"/>
      <c r="H2833" s="11" t="n"/>
      <c r="I2833" s="11" t="n"/>
      <c r="J2833" s="11" t="n"/>
      <c r="K2833" s="11" t="n"/>
      <c r="L2833" s="11" t="n"/>
      <c r="M2833" s="11" t="n"/>
    </row>
    <row r="2834">
      <c r="A2834" s="11" t="n"/>
      <c r="B2834" s="11" t="n"/>
      <c r="C2834" s="11" t="n"/>
      <c r="D2834" s="11" t="n"/>
      <c r="E2834" s="11" t="n"/>
      <c r="F2834" s="11" t="n"/>
      <c r="G2834" s="11" t="n"/>
      <c r="H2834" s="11" t="n"/>
      <c r="I2834" s="11" t="n"/>
      <c r="J2834" s="11" t="n"/>
      <c r="K2834" s="11" t="n"/>
      <c r="L2834" s="11" t="n"/>
      <c r="M2834" s="11" t="n"/>
    </row>
    <row r="2835">
      <c r="A2835" s="11" t="n"/>
      <c r="B2835" s="11" t="n"/>
      <c r="C2835" s="11" t="n"/>
      <c r="D2835" s="11" t="n"/>
      <c r="E2835" s="11" t="n"/>
      <c r="F2835" s="11" t="n"/>
      <c r="G2835" s="11" t="n"/>
      <c r="H2835" s="11" t="n"/>
      <c r="I2835" s="11" t="n"/>
      <c r="J2835" s="11" t="n"/>
      <c r="K2835" s="11" t="n"/>
      <c r="L2835" s="11" t="n"/>
      <c r="M2835" s="11" t="n"/>
    </row>
    <row r="2836">
      <c r="A2836" s="11" t="n"/>
      <c r="B2836" s="11" t="n"/>
      <c r="C2836" s="11" t="n"/>
      <c r="D2836" s="11" t="n"/>
      <c r="E2836" s="11" t="n"/>
      <c r="F2836" s="11" t="n"/>
      <c r="G2836" s="11" t="n"/>
      <c r="H2836" s="11" t="n"/>
      <c r="I2836" s="11" t="n"/>
      <c r="J2836" s="11" t="n"/>
      <c r="K2836" s="11" t="n"/>
      <c r="L2836" s="11" t="n"/>
      <c r="M2836" s="11" t="n"/>
    </row>
    <row r="2837">
      <c r="A2837" s="11" t="n"/>
      <c r="B2837" s="11" t="n"/>
      <c r="C2837" s="11" t="n"/>
      <c r="D2837" s="11" t="n"/>
      <c r="E2837" s="11" t="n"/>
      <c r="F2837" s="11" t="n"/>
      <c r="G2837" s="11" t="n"/>
      <c r="H2837" s="11" t="n"/>
      <c r="I2837" s="11" t="n"/>
      <c r="J2837" s="11" t="n"/>
      <c r="K2837" s="11" t="n"/>
      <c r="L2837" s="11" t="n"/>
      <c r="M2837" s="11" t="n"/>
    </row>
    <row r="2838">
      <c r="A2838" s="11" t="n"/>
      <c r="B2838" s="11" t="n"/>
      <c r="C2838" s="11" t="n"/>
      <c r="D2838" s="11" t="n"/>
      <c r="E2838" s="11" t="n"/>
      <c r="F2838" s="11" t="n"/>
      <c r="G2838" s="11" t="n"/>
      <c r="H2838" s="11" t="n"/>
      <c r="I2838" s="11" t="n"/>
      <c r="J2838" s="11" t="n"/>
      <c r="K2838" s="11" t="n"/>
      <c r="L2838" s="11" t="n"/>
      <c r="M2838" s="11" t="n"/>
    </row>
    <row r="2839">
      <c r="A2839" s="11" t="n"/>
      <c r="B2839" s="11" t="n"/>
      <c r="C2839" s="11" t="n"/>
      <c r="D2839" s="11" t="n"/>
      <c r="E2839" s="11" t="n"/>
      <c r="F2839" s="11" t="n"/>
      <c r="G2839" s="11" t="n"/>
      <c r="H2839" s="11" t="n"/>
      <c r="I2839" s="11" t="n"/>
      <c r="J2839" s="11" t="n"/>
      <c r="K2839" s="11" t="n"/>
      <c r="L2839" s="11" t="n"/>
      <c r="M2839" s="11" t="n"/>
    </row>
    <row r="2840">
      <c r="A2840" s="11" t="n"/>
      <c r="B2840" s="11" t="n"/>
      <c r="C2840" s="11" t="n"/>
      <c r="D2840" s="11" t="n"/>
      <c r="E2840" s="11" t="n"/>
      <c r="F2840" s="11" t="n"/>
      <c r="G2840" s="11" t="n"/>
      <c r="H2840" s="11" t="n"/>
      <c r="I2840" s="11" t="n"/>
      <c r="J2840" s="11" t="n"/>
      <c r="K2840" s="11" t="n"/>
      <c r="L2840" s="11" t="n"/>
      <c r="M2840" s="11" t="n"/>
    </row>
    <row r="2841">
      <c r="A2841" s="11" t="n"/>
      <c r="B2841" s="11" t="n"/>
      <c r="C2841" s="11" t="n"/>
      <c r="D2841" s="11" t="n"/>
      <c r="E2841" s="11" t="n"/>
      <c r="F2841" s="11" t="n"/>
      <c r="G2841" s="11" t="n"/>
      <c r="H2841" s="11" t="n"/>
      <c r="I2841" s="11" t="n"/>
      <c r="J2841" s="11" t="n"/>
      <c r="K2841" s="11" t="n"/>
      <c r="L2841" s="11" t="n"/>
      <c r="M2841" s="11" t="n"/>
    </row>
    <row r="2842">
      <c r="A2842" s="11" t="n"/>
      <c r="B2842" s="11" t="n"/>
      <c r="C2842" s="11" t="n"/>
      <c r="D2842" s="11" t="n"/>
      <c r="E2842" s="11" t="n"/>
      <c r="F2842" s="11" t="n"/>
      <c r="G2842" s="11" t="n"/>
      <c r="H2842" s="11" t="n"/>
      <c r="I2842" s="11" t="n"/>
      <c r="J2842" s="11" t="n"/>
      <c r="K2842" s="11" t="n"/>
      <c r="L2842" s="11" t="n"/>
      <c r="M2842" s="11" t="n"/>
    </row>
    <row r="2843">
      <c r="A2843" s="11" t="n"/>
      <c r="B2843" s="11" t="n"/>
      <c r="C2843" s="11" t="n"/>
      <c r="D2843" s="11" t="n"/>
      <c r="E2843" s="11" t="n"/>
      <c r="F2843" s="11" t="n"/>
      <c r="G2843" s="11" t="n"/>
      <c r="H2843" s="11" t="n"/>
      <c r="I2843" s="11" t="n"/>
      <c r="J2843" s="11" t="n"/>
      <c r="K2843" s="11" t="n"/>
      <c r="L2843" s="11" t="n"/>
      <c r="M2843" s="11" t="n"/>
    </row>
    <row r="2844">
      <c r="A2844" s="11" t="n"/>
      <c r="B2844" s="11" t="n"/>
      <c r="C2844" s="11" t="n"/>
      <c r="D2844" s="11" t="n"/>
      <c r="E2844" s="11" t="n"/>
      <c r="F2844" s="11" t="n"/>
      <c r="G2844" s="11" t="n"/>
      <c r="H2844" s="11" t="n"/>
      <c r="I2844" s="11" t="n"/>
      <c r="J2844" s="11" t="n"/>
      <c r="K2844" s="11" t="n"/>
      <c r="L2844" s="11" t="n"/>
      <c r="M2844" s="11" t="n"/>
    </row>
    <row r="2845">
      <c r="A2845" s="11" t="n"/>
      <c r="B2845" s="11" t="n"/>
      <c r="C2845" s="11" t="n"/>
      <c r="D2845" s="11" t="n"/>
      <c r="E2845" s="11" t="n"/>
      <c r="F2845" s="11" t="n"/>
      <c r="G2845" s="11" t="n"/>
      <c r="H2845" s="11" t="n"/>
      <c r="I2845" s="11" t="n"/>
      <c r="J2845" s="11" t="n"/>
      <c r="K2845" s="11" t="n"/>
      <c r="L2845" s="11" t="n"/>
      <c r="M2845" s="11" t="n"/>
    </row>
    <row r="2846">
      <c r="A2846" s="11" t="n"/>
      <c r="B2846" s="11" t="n"/>
      <c r="C2846" s="11" t="n"/>
      <c r="D2846" s="11" t="n"/>
      <c r="E2846" s="11" t="n"/>
      <c r="F2846" s="11" t="n"/>
      <c r="G2846" s="11" t="n"/>
      <c r="H2846" s="11" t="n"/>
      <c r="I2846" s="11" t="n"/>
      <c r="J2846" s="11" t="n"/>
      <c r="K2846" s="11" t="n"/>
      <c r="L2846" s="11" t="n"/>
      <c r="M2846" s="11" t="n"/>
    </row>
    <row r="2847">
      <c r="A2847" s="11" t="n"/>
      <c r="B2847" s="11" t="n"/>
      <c r="C2847" s="11" t="n"/>
      <c r="D2847" s="11" t="n"/>
      <c r="E2847" s="11" t="n"/>
      <c r="F2847" s="11" t="n"/>
      <c r="G2847" s="11" t="n"/>
      <c r="H2847" s="11" t="n"/>
      <c r="I2847" s="11" t="n"/>
      <c r="J2847" s="11" t="n"/>
      <c r="K2847" s="11" t="n"/>
      <c r="L2847" s="11" t="n"/>
      <c r="M2847" s="11" t="n"/>
    </row>
    <row r="2848">
      <c r="A2848" s="11" t="n"/>
      <c r="B2848" s="11" t="n"/>
      <c r="C2848" s="11" t="n"/>
      <c r="D2848" s="11" t="n"/>
      <c r="E2848" s="11" t="n"/>
      <c r="F2848" s="11" t="n"/>
      <c r="G2848" s="11" t="n"/>
      <c r="H2848" s="11" t="n"/>
      <c r="I2848" s="11" t="n"/>
      <c r="J2848" s="11" t="n"/>
      <c r="K2848" s="11" t="n"/>
      <c r="L2848" s="11" t="n"/>
      <c r="M2848" s="11" t="n"/>
    </row>
    <row r="2849">
      <c r="A2849" s="11" t="n"/>
      <c r="B2849" s="11" t="n"/>
      <c r="C2849" s="11" t="n"/>
      <c r="D2849" s="11" t="n"/>
      <c r="E2849" s="11" t="n"/>
      <c r="F2849" s="11" t="n"/>
      <c r="G2849" s="11" t="n"/>
      <c r="H2849" s="11" t="n"/>
      <c r="I2849" s="11" t="n"/>
      <c r="J2849" s="11" t="n"/>
      <c r="K2849" s="11" t="n"/>
      <c r="L2849" s="11" t="n"/>
      <c r="M2849" s="11" t="n"/>
    </row>
    <row r="2850">
      <c r="A2850" s="11" t="n"/>
      <c r="B2850" s="11" t="n"/>
      <c r="C2850" s="11" t="n"/>
      <c r="D2850" s="11" t="n"/>
      <c r="E2850" s="11" t="n"/>
      <c r="F2850" s="11" t="n"/>
      <c r="G2850" s="11" t="n"/>
      <c r="H2850" s="11" t="n"/>
      <c r="I2850" s="11" t="n"/>
      <c r="J2850" s="11" t="n"/>
      <c r="K2850" s="11" t="n"/>
      <c r="L2850" s="11" t="n"/>
      <c r="M2850" s="11" t="n"/>
    </row>
    <row r="2851">
      <c r="A2851" s="11" t="n"/>
      <c r="B2851" s="11" t="n"/>
      <c r="C2851" s="11" t="n"/>
      <c r="D2851" s="11" t="n"/>
      <c r="E2851" s="11" t="n"/>
      <c r="F2851" s="11" t="n"/>
      <c r="G2851" s="11" t="n"/>
      <c r="H2851" s="11" t="n"/>
      <c r="I2851" s="11" t="n"/>
      <c r="J2851" s="11" t="n"/>
      <c r="K2851" s="11" t="n"/>
      <c r="L2851" s="11" t="n"/>
      <c r="M2851" s="11" t="n"/>
    </row>
    <row r="2852">
      <c r="A2852" s="11" t="n"/>
      <c r="B2852" s="11" t="n"/>
      <c r="C2852" s="11" t="n"/>
      <c r="D2852" s="11" t="n"/>
      <c r="E2852" s="11" t="n"/>
      <c r="F2852" s="11" t="n"/>
      <c r="G2852" s="11" t="n"/>
      <c r="H2852" s="11" t="n"/>
      <c r="I2852" s="11" t="n"/>
      <c r="J2852" s="11" t="n"/>
      <c r="K2852" s="11" t="n"/>
      <c r="L2852" s="11" t="n"/>
      <c r="M2852" s="11" t="n"/>
    </row>
    <row r="2853">
      <c r="A2853" s="11" t="n"/>
      <c r="B2853" s="11" t="n"/>
      <c r="C2853" s="11" t="n"/>
      <c r="D2853" s="11" t="n"/>
      <c r="E2853" s="11" t="n"/>
      <c r="F2853" s="11" t="n"/>
      <c r="G2853" s="11" t="n"/>
      <c r="H2853" s="11" t="n"/>
      <c r="I2853" s="11" t="n"/>
      <c r="J2853" s="11" t="n"/>
      <c r="K2853" s="11" t="n"/>
      <c r="L2853" s="11" t="n"/>
      <c r="M2853" s="11" t="n"/>
    </row>
    <row r="2854">
      <c r="A2854" s="11" t="n"/>
      <c r="B2854" s="11" t="n"/>
      <c r="C2854" s="11" t="n"/>
      <c r="D2854" s="11" t="n"/>
      <c r="E2854" s="11" t="n"/>
      <c r="F2854" s="11" t="n"/>
      <c r="G2854" s="11" t="n"/>
      <c r="H2854" s="11" t="n"/>
      <c r="I2854" s="11" t="n"/>
      <c r="J2854" s="11" t="n"/>
      <c r="K2854" s="11" t="n"/>
      <c r="L2854" s="11" t="n"/>
      <c r="M2854" s="11" t="n"/>
    </row>
    <row r="2855">
      <c r="A2855" s="11" t="n"/>
      <c r="B2855" s="11" t="n"/>
      <c r="C2855" s="11" t="n"/>
      <c r="D2855" s="11" t="n"/>
      <c r="E2855" s="11" t="n"/>
      <c r="F2855" s="11" t="n"/>
      <c r="G2855" s="11" t="n"/>
      <c r="H2855" s="11" t="n"/>
      <c r="I2855" s="11" t="n"/>
      <c r="J2855" s="11" t="n"/>
      <c r="K2855" s="11" t="n"/>
      <c r="L2855" s="11" t="n"/>
      <c r="M2855" s="11" t="n"/>
    </row>
    <row r="2856">
      <c r="A2856" s="11" t="n"/>
      <c r="B2856" s="11" t="n"/>
      <c r="C2856" s="11" t="n"/>
      <c r="D2856" s="11" t="n"/>
      <c r="E2856" s="11" t="n"/>
      <c r="F2856" s="11" t="n"/>
      <c r="G2856" s="11" t="n"/>
      <c r="H2856" s="11" t="n"/>
      <c r="I2856" s="11" t="n"/>
      <c r="J2856" s="11" t="n"/>
      <c r="K2856" s="11" t="n"/>
      <c r="L2856" s="11" t="n"/>
      <c r="M2856" s="11" t="n"/>
    </row>
    <row r="2857">
      <c r="A2857" s="11" t="n"/>
      <c r="B2857" s="11" t="n"/>
      <c r="C2857" s="11" t="n"/>
      <c r="D2857" s="11" t="n"/>
      <c r="E2857" s="11" t="n"/>
      <c r="F2857" s="11" t="n"/>
      <c r="G2857" s="11" t="n"/>
      <c r="H2857" s="11" t="n"/>
      <c r="I2857" s="11" t="n"/>
      <c r="J2857" s="11" t="n"/>
      <c r="K2857" s="11" t="n"/>
      <c r="L2857" s="11" t="n"/>
      <c r="M2857" s="11" t="n"/>
    </row>
    <row r="2858">
      <c r="A2858" s="11" t="n"/>
      <c r="B2858" s="11" t="n"/>
      <c r="C2858" s="11" t="n"/>
      <c r="D2858" s="11" t="n"/>
      <c r="E2858" s="11" t="n"/>
      <c r="F2858" s="11" t="n"/>
      <c r="G2858" s="11" t="n"/>
      <c r="H2858" s="11" t="n"/>
      <c r="I2858" s="11" t="n"/>
      <c r="J2858" s="11" t="n"/>
      <c r="K2858" s="11" t="n"/>
      <c r="L2858" s="11" t="n"/>
      <c r="M2858" s="11" t="n"/>
    </row>
    <row r="2859">
      <c r="A2859" s="11" t="n"/>
      <c r="B2859" s="11" t="n"/>
      <c r="C2859" s="11" t="n"/>
      <c r="D2859" s="11" t="n"/>
      <c r="E2859" s="11" t="n"/>
      <c r="F2859" s="11" t="n"/>
      <c r="G2859" s="11" t="n"/>
      <c r="H2859" s="11" t="n"/>
      <c r="I2859" s="11" t="n"/>
      <c r="J2859" s="11" t="n"/>
      <c r="K2859" s="11" t="n"/>
      <c r="L2859" s="11" t="n"/>
      <c r="M2859" s="11" t="n"/>
    </row>
    <row r="2860">
      <c r="A2860" s="11" t="n"/>
      <c r="B2860" s="11" t="n"/>
      <c r="C2860" s="11" t="n"/>
      <c r="D2860" s="11" t="n"/>
      <c r="E2860" s="11" t="n"/>
      <c r="F2860" s="11" t="n"/>
      <c r="G2860" s="11" t="n"/>
      <c r="H2860" s="11" t="n"/>
      <c r="I2860" s="11" t="n"/>
      <c r="J2860" s="11" t="n"/>
      <c r="K2860" s="11" t="n"/>
      <c r="L2860" s="11" t="n"/>
      <c r="M2860" s="11" t="n"/>
    </row>
    <row r="2861">
      <c r="A2861" s="11" t="n"/>
      <c r="B2861" s="11" t="n"/>
      <c r="C2861" s="11" t="n"/>
      <c r="D2861" s="11" t="n"/>
      <c r="E2861" s="11" t="n"/>
      <c r="F2861" s="11" t="n"/>
      <c r="G2861" s="11" t="n"/>
      <c r="H2861" s="11" t="n"/>
      <c r="I2861" s="11" t="n"/>
      <c r="J2861" s="11" t="n"/>
      <c r="K2861" s="11" t="n"/>
      <c r="L2861" s="11" t="n"/>
      <c r="M2861" s="11" t="n"/>
    </row>
    <row r="2862">
      <c r="A2862" s="11" t="n"/>
      <c r="B2862" s="11" t="n"/>
      <c r="C2862" s="11" t="n"/>
      <c r="D2862" s="11" t="n"/>
      <c r="E2862" s="11" t="n"/>
      <c r="F2862" s="11" t="n"/>
      <c r="G2862" s="11" t="n"/>
      <c r="H2862" s="11" t="n"/>
      <c r="I2862" s="11" t="n"/>
      <c r="J2862" s="11" t="n"/>
      <c r="K2862" s="11" t="n"/>
      <c r="L2862" s="11" t="n"/>
      <c r="M2862" s="11" t="n"/>
    </row>
    <row r="2863">
      <c r="A2863" s="11" t="n"/>
      <c r="B2863" s="11" t="n"/>
      <c r="C2863" s="11" t="n"/>
      <c r="D2863" s="11" t="n"/>
      <c r="E2863" s="11" t="n"/>
      <c r="F2863" s="11" t="n"/>
      <c r="G2863" s="11" t="n"/>
      <c r="H2863" s="11" t="n"/>
      <c r="I2863" s="11" t="n"/>
      <c r="J2863" s="11" t="n"/>
      <c r="K2863" s="11" t="n"/>
      <c r="L2863" s="11" t="n"/>
      <c r="M2863" s="11" t="n"/>
    </row>
    <row r="2864">
      <c r="A2864" s="11" t="n"/>
      <c r="B2864" s="11" t="n"/>
      <c r="C2864" s="11" t="n"/>
      <c r="D2864" s="11" t="n"/>
      <c r="E2864" s="11" t="n"/>
      <c r="F2864" s="11" t="n"/>
      <c r="G2864" s="11" t="n"/>
      <c r="H2864" s="11" t="n"/>
      <c r="I2864" s="11" t="n"/>
      <c r="J2864" s="11" t="n"/>
      <c r="K2864" s="11" t="n"/>
      <c r="L2864" s="11" t="n"/>
      <c r="M2864" s="11" t="n"/>
    </row>
    <row r="2865">
      <c r="A2865" s="11" t="n"/>
      <c r="B2865" s="11" t="n"/>
      <c r="C2865" s="11" t="n"/>
      <c r="D2865" s="11" t="n"/>
      <c r="E2865" s="11" t="n"/>
      <c r="F2865" s="11" t="n"/>
      <c r="G2865" s="11" t="n"/>
      <c r="H2865" s="11" t="n"/>
      <c r="I2865" s="11" t="n"/>
      <c r="J2865" s="11" t="n"/>
      <c r="K2865" s="11" t="n"/>
      <c r="L2865" s="11" t="n"/>
      <c r="M2865" s="11" t="n"/>
    </row>
    <row r="2866">
      <c r="A2866" s="11" t="n"/>
      <c r="B2866" s="11" t="n"/>
      <c r="C2866" s="11" t="n"/>
      <c r="D2866" s="11" t="n"/>
      <c r="E2866" s="11" t="n"/>
      <c r="F2866" s="11" t="n"/>
      <c r="G2866" s="11" t="n"/>
      <c r="H2866" s="11" t="n"/>
      <c r="I2866" s="11" t="n"/>
      <c r="J2866" s="11" t="n"/>
      <c r="K2866" s="11" t="n"/>
      <c r="L2866" s="11" t="n"/>
      <c r="M2866" s="11" t="n"/>
    </row>
    <row r="2867">
      <c r="A2867" s="11" t="n"/>
      <c r="B2867" s="11" t="n"/>
      <c r="C2867" s="11" t="n"/>
      <c r="D2867" s="11" t="n"/>
      <c r="E2867" s="11" t="n"/>
      <c r="F2867" s="11" t="n"/>
      <c r="G2867" s="11" t="n"/>
      <c r="H2867" s="11" t="n"/>
      <c r="I2867" s="11" t="n"/>
      <c r="J2867" s="11" t="n"/>
      <c r="K2867" s="11" t="n"/>
      <c r="L2867" s="11" t="n"/>
      <c r="M2867" s="11" t="n"/>
    </row>
    <row r="2868">
      <c r="A2868" s="11" t="n"/>
      <c r="B2868" s="11" t="n"/>
      <c r="C2868" s="11" t="n"/>
      <c r="D2868" s="11" t="n"/>
      <c r="E2868" s="11" t="n"/>
      <c r="F2868" s="11" t="n"/>
      <c r="G2868" s="11" t="n"/>
      <c r="H2868" s="11" t="n"/>
      <c r="I2868" s="11" t="n"/>
      <c r="J2868" s="11" t="n"/>
      <c r="K2868" s="11" t="n"/>
      <c r="L2868" s="11" t="n"/>
      <c r="M2868" s="11" t="n"/>
    </row>
    <row r="2869">
      <c r="A2869" s="11" t="n"/>
      <c r="B2869" s="11" t="n"/>
      <c r="C2869" s="11" t="n"/>
      <c r="D2869" s="11" t="n"/>
      <c r="E2869" s="11" t="n"/>
      <c r="F2869" s="11" t="n"/>
      <c r="G2869" s="11" t="n"/>
      <c r="H2869" s="11" t="n"/>
      <c r="I2869" s="11" t="n"/>
      <c r="J2869" s="11" t="n"/>
      <c r="K2869" s="11" t="n"/>
      <c r="L2869" s="11" t="n"/>
      <c r="M2869" s="11" t="n"/>
    </row>
    <row r="2870">
      <c r="A2870" s="11" t="n"/>
      <c r="B2870" s="11" t="n"/>
      <c r="C2870" s="11" t="n"/>
      <c r="D2870" s="11" t="n"/>
      <c r="E2870" s="11" t="n"/>
      <c r="F2870" s="11" t="n"/>
      <c r="G2870" s="11" t="n"/>
      <c r="H2870" s="11" t="n"/>
      <c r="I2870" s="11" t="n"/>
      <c r="J2870" s="11" t="n"/>
      <c r="K2870" s="11" t="n"/>
      <c r="L2870" s="11" t="n"/>
      <c r="M2870" s="11" t="n"/>
    </row>
    <row r="2871">
      <c r="A2871" s="11" t="n"/>
      <c r="B2871" s="11" t="n"/>
      <c r="C2871" s="11" t="n"/>
      <c r="D2871" s="11" t="n"/>
      <c r="E2871" s="11" t="n"/>
      <c r="F2871" s="11" t="n"/>
      <c r="G2871" s="11" t="n"/>
      <c r="H2871" s="11" t="n"/>
      <c r="I2871" s="11" t="n"/>
      <c r="J2871" s="11" t="n"/>
      <c r="K2871" s="11" t="n"/>
      <c r="L2871" s="11" t="n"/>
      <c r="M2871" s="11" t="n"/>
    </row>
    <row r="2872">
      <c r="A2872" s="11" t="n"/>
      <c r="B2872" s="11" t="n"/>
      <c r="C2872" s="11" t="n"/>
      <c r="D2872" s="11" t="n"/>
      <c r="E2872" s="11" t="n"/>
      <c r="F2872" s="11" t="n"/>
      <c r="G2872" s="11" t="n"/>
      <c r="H2872" s="11" t="n"/>
      <c r="I2872" s="11" t="n"/>
      <c r="J2872" s="11" t="n"/>
      <c r="K2872" s="11" t="n"/>
      <c r="L2872" s="11" t="n"/>
      <c r="M2872" s="11" t="n"/>
    </row>
    <row r="2873">
      <c r="A2873" s="11" t="n"/>
      <c r="B2873" s="11" t="n"/>
      <c r="C2873" s="11" t="n"/>
      <c r="D2873" s="11" t="n"/>
      <c r="E2873" s="11" t="n"/>
      <c r="F2873" s="11" t="n"/>
      <c r="G2873" s="11" t="n"/>
      <c r="H2873" s="11" t="n"/>
      <c r="I2873" s="11" t="n"/>
      <c r="J2873" s="11" t="n"/>
      <c r="K2873" s="11" t="n"/>
      <c r="L2873" s="11" t="n"/>
      <c r="M2873" s="11" t="n"/>
    </row>
    <row r="2874">
      <c r="A2874" s="11" t="n"/>
      <c r="B2874" s="11" t="n"/>
      <c r="C2874" s="11" t="n"/>
      <c r="D2874" s="11" t="n"/>
      <c r="E2874" s="11" t="n"/>
      <c r="F2874" s="11" t="n"/>
      <c r="G2874" s="11" t="n"/>
      <c r="H2874" s="11" t="n"/>
      <c r="I2874" s="11" t="n"/>
      <c r="J2874" s="11" t="n"/>
      <c r="K2874" s="11" t="n"/>
      <c r="L2874" s="11" t="n"/>
      <c r="M2874" s="11" t="n"/>
    </row>
    <row r="2875">
      <c r="A2875" s="11" t="n"/>
      <c r="B2875" s="11" t="n"/>
      <c r="C2875" s="11" t="n"/>
      <c r="D2875" s="11" t="n"/>
      <c r="E2875" s="11" t="n"/>
      <c r="F2875" s="11" t="n"/>
      <c r="G2875" s="11" t="n"/>
      <c r="H2875" s="11" t="n"/>
      <c r="I2875" s="11" t="n"/>
      <c r="J2875" s="11" t="n"/>
      <c r="K2875" s="11" t="n"/>
      <c r="L2875" s="11" t="n"/>
      <c r="M2875" s="11" t="n"/>
    </row>
    <row r="2876">
      <c r="A2876" s="11" t="n"/>
      <c r="B2876" s="11" t="n"/>
      <c r="C2876" s="11" t="n"/>
      <c r="D2876" s="11" t="n"/>
      <c r="E2876" s="11" t="n"/>
      <c r="F2876" s="11" t="n"/>
      <c r="G2876" s="11" t="n"/>
      <c r="H2876" s="11" t="n"/>
      <c r="I2876" s="11" t="n"/>
      <c r="J2876" s="11" t="n"/>
      <c r="K2876" s="11" t="n"/>
      <c r="L2876" s="11" t="n"/>
      <c r="M2876" s="11" t="n"/>
    </row>
    <row r="2877">
      <c r="A2877" s="11" t="n"/>
      <c r="B2877" s="11" t="n"/>
      <c r="C2877" s="11" t="n"/>
      <c r="D2877" s="11" t="n"/>
      <c r="E2877" s="11" t="n"/>
      <c r="F2877" s="11" t="n"/>
      <c r="G2877" s="11" t="n"/>
      <c r="H2877" s="11" t="n"/>
      <c r="I2877" s="11" t="n"/>
      <c r="J2877" s="11" t="n"/>
      <c r="K2877" s="11" t="n"/>
      <c r="L2877" s="11" t="n"/>
      <c r="M2877" s="11" t="n"/>
    </row>
    <row r="2878">
      <c r="A2878" s="11" t="n"/>
      <c r="B2878" s="11" t="n"/>
      <c r="C2878" s="11" t="n"/>
      <c r="D2878" s="11" t="n"/>
      <c r="E2878" s="11" t="n"/>
      <c r="F2878" s="11" t="n"/>
      <c r="G2878" s="11" t="n"/>
      <c r="H2878" s="11" t="n"/>
      <c r="I2878" s="11" t="n"/>
      <c r="J2878" s="11" t="n"/>
      <c r="K2878" s="11" t="n"/>
      <c r="L2878" s="11" t="n"/>
      <c r="M2878" s="11" t="n"/>
    </row>
    <row r="2879">
      <c r="A2879" s="11" t="n"/>
      <c r="B2879" s="11" t="n"/>
      <c r="C2879" s="11" t="n"/>
      <c r="D2879" s="11" t="n"/>
      <c r="E2879" s="11" t="n"/>
      <c r="F2879" s="11" t="n"/>
      <c r="G2879" s="11" t="n"/>
      <c r="H2879" s="11" t="n"/>
      <c r="I2879" s="11" t="n"/>
      <c r="J2879" s="11" t="n"/>
      <c r="K2879" s="11" t="n"/>
      <c r="L2879" s="11" t="n"/>
      <c r="M2879" s="11" t="n"/>
    </row>
    <row r="2880">
      <c r="A2880" s="11" t="n"/>
      <c r="B2880" s="11" t="n"/>
      <c r="C2880" s="11" t="n"/>
      <c r="D2880" s="11" t="n"/>
      <c r="E2880" s="11" t="n"/>
      <c r="F2880" s="11" t="n"/>
      <c r="G2880" s="11" t="n"/>
      <c r="H2880" s="11" t="n"/>
      <c r="I2880" s="11" t="n"/>
      <c r="J2880" s="11" t="n"/>
      <c r="K2880" s="11" t="n"/>
      <c r="L2880" s="11" t="n"/>
      <c r="M2880" s="11" t="n"/>
    </row>
    <row r="2881">
      <c r="A2881" s="11" t="n"/>
      <c r="B2881" s="11" t="n"/>
      <c r="C2881" s="11" t="n"/>
      <c r="D2881" s="11" t="n"/>
      <c r="E2881" s="11" t="n"/>
      <c r="F2881" s="11" t="n"/>
      <c r="G2881" s="11" t="n"/>
      <c r="H2881" s="11" t="n"/>
      <c r="I2881" s="11" t="n"/>
      <c r="J2881" s="11" t="n"/>
      <c r="K2881" s="11" t="n"/>
      <c r="L2881" s="11" t="n"/>
      <c r="M2881" s="11" t="n"/>
    </row>
    <row r="2882">
      <c r="A2882" s="11" t="n"/>
      <c r="B2882" s="11" t="n"/>
      <c r="C2882" s="11" t="n"/>
      <c r="D2882" s="11" t="n"/>
      <c r="E2882" s="11" t="n"/>
      <c r="F2882" s="11" t="n"/>
      <c r="G2882" s="11" t="n"/>
      <c r="H2882" s="11" t="n"/>
      <c r="I2882" s="11" t="n"/>
      <c r="J2882" s="11" t="n"/>
      <c r="K2882" s="11" t="n"/>
      <c r="L2882" s="11" t="n"/>
      <c r="M2882" s="11" t="n"/>
    </row>
    <row r="2883">
      <c r="A2883" s="11" t="n"/>
      <c r="B2883" s="11" t="n"/>
      <c r="C2883" s="11" t="n"/>
      <c r="D2883" s="11" t="n"/>
      <c r="E2883" s="11" t="n"/>
      <c r="F2883" s="11" t="n"/>
      <c r="G2883" s="11" t="n"/>
      <c r="H2883" s="11" t="n"/>
      <c r="I2883" s="11" t="n"/>
      <c r="J2883" s="11" t="n"/>
      <c r="K2883" s="11" t="n"/>
      <c r="L2883" s="11" t="n"/>
      <c r="M2883" s="11" t="n"/>
    </row>
    <row r="2884">
      <c r="A2884" s="11" t="n"/>
      <c r="B2884" s="11" t="n"/>
      <c r="C2884" s="11" t="n"/>
      <c r="D2884" s="11" t="n"/>
      <c r="E2884" s="11" t="n"/>
      <c r="F2884" s="11" t="n"/>
      <c r="G2884" s="11" t="n"/>
      <c r="H2884" s="11" t="n"/>
      <c r="I2884" s="11" t="n"/>
      <c r="J2884" s="11" t="n"/>
      <c r="K2884" s="11" t="n"/>
      <c r="L2884" s="11" t="n"/>
      <c r="M2884" s="11" t="n"/>
    </row>
    <row r="2885">
      <c r="A2885" s="11" t="n"/>
      <c r="B2885" s="11" t="n"/>
      <c r="C2885" s="11" t="n"/>
      <c r="D2885" s="11" t="n"/>
      <c r="E2885" s="11" t="n"/>
      <c r="F2885" s="11" t="n"/>
      <c r="G2885" s="11" t="n"/>
      <c r="H2885" s="11" t="n"/>
      <c r="I2885" s="11" t="n"/>
      <c r="J2885" s="11" t="n"/>
      <c r="K2885" s="11" t="n"/>
      <c r="L2885" s="11" t="n"/>
      <c r="M2885" s="11" t="n"/>
    </row>
    <row r="2886">
      <c r="A2886" s="11" t="n"/>
      <c r="B2886" s="11" t="n"/>
      <c r="C2886" s="11" t="n"/>
      <c r="D2886" s="11" t="n"/>
      <c r="E2886" s="11" t="n"/>
      <c r="F2886" s="11" t="n"/>
      <c r="G2886" s="11" t="n"/>
      <c r="H2886" s="11" t="n"/>
      <c r="I2886" s="11" t="n"/>
      <c r="J2886" s="11" t="n"/>
      <c r="K2886" s="11" t="n"/>
      <c r="L2886" s="11" t="n"/>
      <c r="M2886" s="11" t="n"/>
    </row>
    <row r="2887">
      <c r="A2887" s="11" t="n"/>
      <c r="B2887" s="11" t="n"/>
      <c r="C2887" s="11" t="n"/>
      <c r="D2887" s="11" t="n"/>
      <c r="E2887" s="11" t="n"/>
      <c r="F2887" s="11" t="n"/>
      <c r="G2887" s="11" t="n"/>
      <c r="H2887" s="11" t="n"/>
      <c r="I2887" s="11" t="n"/>
      <c r="J2887" s="11" t="n"/>
      <c r="K2887" s="11" t="n"/>
      <c r="L2887" s="11" t="n"/>
      <c r="M2887" s="11" t="n"/>
    </row>
    <row r="2888">
      <c r="A2888" s="11" t="n"/>
      <c r="B2888" s="11" t="n"/>
      <c r="C2888" s="11" t="n"/>
      <c r="D2888" s="11" t="n"/>
      <c r="E2888" s="11" t="n"/>
      <c r="F2888" s="11" t="n"/>
      <c r="G2888" s="11" t="n"/>
      <c r="H2888" s="11" t="n"/>
      <c r="I2888" s="11" t="n"/>
      <c r="J2888" s="11" t="n"/>
      <c r="K2888" s="11" t="n"/>
      <c r="L2888" s="11" t="n"/>
      <c r="M2888" s="11" t="n"/>
    </row>
    <row r="2889">
      <c r="A2889" s="11" t="n"/>
      <c r="B2889" s="11" t="n"/>
      <c r="C2889" s="11" t="n"/>
      <c r="D2889" s="11" t="n"/>
      <c r="E2889" s="11" t="n"/>
      <c r="F2889" s="11" t="n"/>
      <c r="G2889" s="11" t="n"/>
      <c r="H2889" s="11" t="n"/>
      <c r="I2889" s="11" t="n"/>
      <c r="J2889" s="11" t="n"/>
      <c r="K2889" s="11" t="n"/>
      <c r="L2889" s="11" t="n"/>
      <c r="M2889" s="11" t="n"/>
    </row>
    <row r="2890">
      <c r="A2890" s="11" t="n"/>
      <c r="B2890" s="11" t="n"/>
      <c r="C2890" s="11" t="n"/>
      <c r="D2890" s="11" t="n"/>
      <c r="E2890" s="11" t="n"/>
      <c r="F2890" s="11" t="n"/>
      <c r="G2890" s="11" t="n"/>
      <c r="H2890" s="11" t="n"/>
      <c r="I2890" s="11" t="n"/>
      <c r="J2890" s="11" t="n"/>
      <c r="K2890" s="11" t="n"/>
      <c r="L2890" s="11" t="n"/>
      <c r="M2890" s="11" t="n"/>
    </row>
    <row r="2891">
      <c r="A2891" s="11" t="n"/>
      <c r="B2891" s="11" t="n"/>
      <c r="C2891" s="11" t="n"/>
      <c r="D2891" s="11" t="n"/>
      <c r="E2891" s="11" t="n"/>
      <c r="F2891" s="11" t="n"/>
      <c r="G2891" s="11" t="n"/>
      <c r="H2891" s="11" t="n"/>
      <c r="I2891" s="11" t="n"/>
      <c r="J2891" s="11" t="n"/>
      <c r="K2891" s="11" t="n"/>
      <c r="L2891" s="11" t="n"/>
      <c r="M2891" s="11" t="n"/>
    </row>
    <row r="2892">
      <c r="A2892" s="11" t="n"/>
      <c r="B2892" s="11" t="n"/>
      <c r="C2892" s="11" t="n"/>
      <c r="D2892" s="11" t="n"/>
      <c r="E2892" s="11" t="n"/>
      <c r="F2892" s="11" t="n"/>
      <c r="G2892" s="11" t="n"/>
      <c r="H2892" s="11" t="n"/>
      <c r="I2892" s="11" t="n"/>
      <c r="J2892" s="11" t="n"/>
      <c r="K2892" s="11" t="n"/>
      <c r="L2892" s="11" t="n"/>
      <c r="M2892" s="11" t="n"/>
    </row>
    <row r="2893">
      <c r="A2893" s="11" t="n"/>
      <c r="B2893" s="11" t="n"/>
      <c r="C2893" s="11" t="n"/>
      <c r="D2893" s="11" t="n"/>
      <c r="E2893" s="11" t="n"/>
      <c r="F2893" s="11" t="n"/>
      <c r="G2893" s="11" t="n"/>
      <c r="H2893" s="11" t="n"/>
      <c r="I2893" s="11" t="n"/>
      <c r="J2893" s="11" t="n"/>
      <c r="K2893" s="11" t="n"/>
      <c r="L2893" s="11" t="n"/>
      <c r="M2893" s="11" t="n"/>
    </row>
    <row r="2894">
      <c r="A2894" s="11" t="n"/>
      <c r="B2894" s="11" t="n"/>
      <c r="C2894" s="11" t="n"/>
      <c r="D2894" s="11" t="n"/>
      <c r="E2894" s="11" t="n"/>
      <c r="F2894" s="11" t="n"/>
      <c r="G2894" s="11" t="n"/>
      <c r="H2894" s="11" t="n"/>
      <c r="I2894" s="11" t="n"/>
      <c r="J2894" s="11" t="n"/>
      <c r="K2894" s="11" t="n"/>
      <c r="L2894" s="11" t="n"/>
      <c r="M2894" s="11" t="n"/>
    </row>
    <row r="2895">
      <c r="A2895" s="11" t="n"/>
      <c r="B2895" s="11" t="n"/>
      <c r="C2895" s="11" t="n"/>
      <c r="D2895" s="11" t="n"/>
      <c r="E2895" s="11" t="n"/>
      <c r="F2895" s="11" t="n"/>
      <c r="G2895" s="11" t="n"/>
      <c r="H2895" s="11" t="n"/>
      <c r="I2895" s="11" t="n"/>
      <c r="J2895" s="11" t="n"/>
      <c r="K2895" s="11" t="n"/>
      <c r="L2895" s="11" t="n"/>
      <c r="M2895" s="11" t="n"/>
    </row>
    <row r="2896">
      <c r="A2896" s="11" t="n"/>
      <c r="B2896" s="11" t="n"/>
      <c r="C2896" s="11" t="n"/>
      <c r="D2896" s="11" t="n"/>
      <c r="E2896" s="11" t="n"/>
      <c r="F2896" s="11" t="n"/>
      <c r="G2896" s="11" t="n"/>
      <c r="H2896" s="11" t="n"/>
      <c r="I2896" s="11" t="n"/>
      <c r="J2896" s="11" t="n"/>
      <c r="K2896" s="11" t="n"/>
      <c r="L2896" s="11" t="n"/>
      <c r="M2896" s="11" t="n"/>
    </row>
    <row r="2897">
      <c r="A2897" s="11" t="n"/>
      <c r="B2897" s="11" t="n"/>
      <c r="C2897" s="11" t="n"/>
      <c r="D2897" s="11" t="n"/>
      <c r="E2897" s="11" t="n"/>
      <c r="F2897" s="11" t="n"/>
      <c r="G2897" s="11" t="n"/>
      <c r="H2897" s="11" t="n"/>
      <c r="I2897" s="11" t="n"/>
      <c r="J2897" s="11" t="n"/>
      <c r="K2897" s="11" t="n"/>
      <c r="L2897" s="11" t="n"/>
      <c r="M2897" s="11" t="n"/>
    </row>
    <row r="2898">
      <c r="A2898" s="11" t="n"/>
      <c r="B2898" s="11" t="n"/>
      <c r="C2898" s="11" t="n"/>
      <c r="D2898" s="11" t="n"/>
      <c r="E2898" s="11" t="n"/>
      <c r="F2898" s="11" t="n"/>
      <c r="G2898" s="11" t="n"/>
      <c r="H2898" s="11" t="n"/>
      <c r="I2898" s="11" t="n"/>
      <c r="J2898" s="11" t="n"/>
      <c r="K2898" s="11" t="n"/>
      <c r="L2898" s="11" t="n"/>
      <c r="M2898" s="11" t="n"/>
    </row>
    <row r="2899">
      <c r="A2899" s="11" t="n"/>
      <c r="B2899" s="11" t="n"/>
      <c r="C2899" s="11" t="n"/>
      <c r="D2899" s="11" t="n"/>
      <c r="E2899" s="11" t="n"/>
      <c r="F2899" s="11" t="n"/>
      <c r="G2899" s="11" t="n"/>
      <c r="H2899" s="11" t="n"/>
      <c r="I2899" s="11" t="n"/>
      <c r="J2899" s="11" t="n"/>
      <c r="K2899" s="11" t="n"/>
      <c r="L2899" s="11" t="n"/>
      <c r="M2899" s="11" t="n"/>
    </row>
    <row r="2900">
      <c r="A2900" s="11" t="n"/>
      <c r="B2900" s="11" t="n"/>
      <c r="C2900" s="11" t="n"/>
      <c r="D2900" s="11" t="n"/>
      <c r="E2900" s="11" t="n"/>
      <c r="F2900" s="11" t="n"/>
      <c r="G2900" s="11" t="n"/>
      <c r="H2900" s="11" t="n"/>
      <c r="I2900" s="11" t="n"/>
      <c r="J2900" s="11" t="n"/>
      <c r="K2900" s="11" t="n"/>
      <c r="L2900" s="11" t="n"/>
      <c r="M2900" s="11" t="n"/>
    </row>
    <row r="2901">
      <c r="A2901" s="11" t="n"/>
      <c r="B2901" s="11" t="n"/>
      <c r="C2901" s="11" t="n"/>
      <c r="D2901" s="11" t="n"/>
      <c r="E2901" s="11" t="n"/>
      <c r="F2901" s="11" t="n"/>
      <c r="G2901" s="11" t="n"/>
      <c r="H2901" s="11" t="n"/>
      <c r="I2901" s="11" t="n"/>
      <c r="J2901" s="11" t="n"/>
      <c r="K2901" s="11" t="n"/>
      <c r="L2901" s="11" t="n"/>
      <c r="M2901" s="11" t="n"/>
    </row>
    <row r="2902">
      <c r="A2902" s="11" t="n"/>
      <c r="B2902" s="11" t="n"/>
      <c r="C2902" s="11" t="n"/>
      <c r="D2902" s="11" t="n"/>
      <c r="E2902" s="11" t="n"/>
      <c r="F2902" s="11" t="n"/>
      <c r="G2902" s="11" t="n"/>
      <c r="H2902" s="11" t="n"/>
      <c r="I2902" s="11" t="n"/>
      <c r="J2902" s="11" t="n"/>
      <c r="K2902" s="11" t="n"/>
      <c r="L2902" s="11" t="n"/>
      <c r="M2902" s="11" t="n"/>
    </row>
    <row r="2903">
      <c r="A2903" s="11" t="n"/>
      <c r="B2903" s="11" t="n"/>
      <c r="C2903" s="11" t="n"/>
      <c r="D2903" s="11" t="n"/>
      <c r="E2903" s="11" t="n"/>
      <c r="F2903" s="11" t="n"/>
      <c r="G2903" s="11" t="n"/>
      <c r="H2903" s="11" t="n"/>
      <c r="I2903" s="11" t="n"/>
      <c r="J2903" s="11" t="n"/>
      <c r="K2903" s="11" t="n"/>
      <c r="L2903" s="11" t="n"/>
      <c r="M2903" s="11" t="n"/>
    </row>
    <row r="2904">
      <c r="A2904" s="11" t="n"/>
      <c r="B2904" s="11" t="n"/>
      <c r="C2904" s="11" t="n"/>
      <c r="D2904" s="11" t="n"/>
      <c r="E2904" s="11" t="n"/>
      <c r="F2904" s="11" t="n"/>
      <c r="G2904" s="11" t="n"/>
      <c r="H2904" s="11" t="n"/>
      <c r="I2904" s="11" t="n"/>
      <c r="J2904" s="11" t="n"/>
      <c r="K2904" s="11" t="n"/>
      <c r="L2904" s="11" t="n"/>
      <c r="M2904" s="11" t="n"/>
    </row>
    <row r="2905">
      <c r="A2905" s="11" t="n"/>
      <c r="B2905" s="11" t="n"/>
      <c r="C2905" s="11" t="n"/>
      <c r="D2905" s="11" t="n"/>
      <c r="E2905" s="11" t="n"/>
      <c r="F2905" s="11" t="n"/>
      <c r="G2905" s="11" t="n"/>
      <c r="H2905" s="11" t="n"/>
      <c r="I2905" s="11" t="n"/>
      <c r="J2905" s="11" t="n"/>
      <c r="K2905" s="11" t="n"/>
      <c r="L2905" s="11" t="n"/>
      <c r="M2905" s="11" t="n"/>
    </row>
    <row r="2906">
      <c r="A2906" s="11" t="n"/>
      <c r="B2906" s="11" t="n"/>
      <c r="C2906" s="11" t="n"/>
      <c r="D2906" s="11" t="n"/>
      <c r="E2906" s="11" t="n"/>
      <c r="F2906" s="11" t="n"/>
      <c r="G2906" s="11" t="n"/>
      <c r="H2906" s="11" t="n"/>
      <c r="I2906" s="11" t="n"/>
      <c r="J2906" s="11" t="n"/>
      <c r="K2906" s="11" t="n"/>
      <c r="L2906" s="11" t="n"/>
      <c r="M2906" s="11" t="n"/>
    </row>
    <row r="2907">
      <c r="A2907" s="11" t="n"/>
      <c r="B2907" s="11" t="n"/>
      <c r="C2907" s="11" t="n"/>
      <c r="D2907" s="11" t="n"/>
      <c r="E2907" s="11" t="n"/>
      <c r="F2907" s="11" t="n"/>
      <c r="G2907" s="11" t="n"/>
      <c r="H2907" s="11" t="n"/>
      <c r="I2907" s="11" t="n"/>
      <c r="J2907" s="11" t="n"/>
      <c r="K2907" s="11" t="n"/>
      <c r="L2907" s="11" t="n"/>
      <c r="M2907" s="11" t="n"/>
    </row>
    <row r="2908">
      <c r="A2908" s="11" t="n"/>
      <c r="B2908" s="11" t="n"/>
      <c r="C2908" s="11" t="n"/>
      <c r="D2908" s="11" t="n"/>
      <c r="E2908" s="11" t="n"/>
      <c r="F2908" s="11" t="n"/>
      <c r="G2908" s="11" t="n"/>
      <c r="H2908" s="11" t="n"/>
      <c r="I2908" s="11" t="n"/>
      <c r="J2908" s="11" t="n"/>
      <c r="K2908" s="11" t="n"/>
      <c r="L2908" s="11" t="n"/>
      <c r="M2908" s="11" t="n"/>
    </row>
    <row r="2909">
      <c r="A2909" s="11" t="n"/>
      <c r="B2909" s="11" t="n"/>
      <c r="C2909" s="11" t="n"/>
      <c r="D2909" s="11" t="n"/>
      <c r="E2909" s="11" t="n"/>
      <c r="F2909" s="11" t="n"/>
      <c r="G2909" s="11" t="n"/>
      <c r="H2909" s="11" t="n"/>
      <c r="I2909" s="11" t="n"/>
      <c r="J2909" s="11" t="n"/>
      <c r="K2909" s="11" t="n"/>
      <c r="L2909" s="11" t="n"/>
      <c r="M2909" s="11" t="n"/>
    </row>
    <row r="2910">
      <c r="A2910" s="11" t="n"/>
      <c r="B2910" s="11" t="n"/>
      <c r="C2910" s="11" t="n"/>
      <c r="D2910" s="11" t="n"/>
      <c r="E2910" s="11" t="n"/>
      <c r="F2910" s="11" t="n"/>
      <c r="G2910" s="11" t="n"/>
      <c r="H2910" s="11" t="n"/>
      <c r="I2910" s="11" t="n"/>
      <c r="J2910" s="11" t="n"/>
      <c r="K2910" s="11" t="n"/>
      <c r="L2910" s="11" t="n"/>
      <c r="M2910" s="11" t="n"/>
    </row>
    <row r="2911">
      <c r="A2911" s="11" t="n"/>
      <c r="B2911" s="11" t="n"/>
      <c r="C2911" s="11" t="n"/>
      <c r="D2911" s="11" t="n"/>
      <c r="E2911" s="11" t="n"/>
      <c r="F2911" s="11" t="n"/>
      <c r="G2911" s="11" t="n"/>
      <c r="H2911" s="11" t="n"/>
      <c r="I2911" s="11" t="n"/>
      <c r="J2911" s="11" t="n"/>
      <c r="K2911" s="11" t="n"/>
      <c r="L2911" s="11" t="n"/>
      <c r="M2911" s="11" t="n"/>
    </row>
    <row r="2912">
      <c r="A2912" s="11" t="n"/>
      <c r="B2912" s="11" t="n"/>
      <c r="C2912" s="11" t="n"/>
      <c r="D2912" s="11" t="n"/>
      <c r="E2912" s="11" t="n"/>
      <c r="F2912" s="11" t="n"/>
      <c r="G2912" s="11" t="n"/>
      <c r="H2912" s="11" t="n"/>
      <c r="I2912" s="11" t="n"/>
      <c r="J2912" s="11" t="n"/>
      <c r="K2912" s="11" t="n"/>
      <c r="L2912" s="11" t="n"/>
      <c r="M2912" s="11" t="n"/>
    </row>
    <row r="2913">
      <c r="A2913" s="11" t="n"/>
      <c r="B2913" s="11" t="n"/>
      <c r="C2913" s="11" t="n"/>
      <c r="D2913" s="11" t="n"/>
      <c r="E2913" s="11" t="n"/>
      <c r="F2913" s="11" t="n"/>
      <c r="G2913" s="11" t="n"/>
      <c r="H2913" s="11" t="n"/>
      <c r="I2913" s="11" t="n"/>
      <c r="J2913" s="11" t="n"/>
      <c r="K2913" s="11" t="n"/>
      <c r="L2913" s="11" t="n"/>
      <c r="M2913" s="11" t="n"/>
    </row>
    <row r="2914">
      <c r="A2914" s="11" t="n"/>
      <c r="B2914" s="11" t="n"/>
      <c r="C2914" s="11" t="n"/>
      <c r="D2914" s="11" t="n"/>
      <c r="E2914" s="11" t="n"/>
      <c r="F2914" s="11" t="n"/>
      <c r="G2914" s="11" t="n"/>
      <c r="H2914" s="11" t="n"/>
      <c r="I2914" s="11" t="n"/>
      <c r="J2914" s="11" t="n"/>
      <c r="K2914" s="11" t="n"/>
      <c r="L2914" s="11" t="n"/>
      <c r="M2914" s="11" t="n"/>
    </row>
    <row r="2915">
      <c r="A2915" s="11" t="n"/>
      <c r="B2915" s="11" t="n"/>
      <c r="C2915" s="11" t="n"/>
      <c r="D2915" s="11" t="n"/>
      <c r="E2915" s="11" t="n"/>
      <c r="F2915" s="11" t="n"/>
      <c r="G2915" s="11" t="n"/>
      <c r="H2915" s="11" t="n"/>
      <c r="I2915" s="11" t="n"/>
      <c r="J2915" s="11" t="n"/>
      <c r="K2915" s="11" t="n"/>
      <c r="L2915" s="11" t="n"/>
      <c r="M2915" s="11" t="n"/>
    </row>
    <row r="2916">
      <c r="A2916" s="11" t="n"/>
      <c r="B2916" s="11" t="n"/>
      <c r="C2916" s="11" t="n"/>
      <c r="D2916" s="11" t="n"/>
      <c r="E2916" s="11" t="n"/>
      <c r="F2916" s="11" t="n"/>
      <c r="G2916" s="11" t="n"/>
      <c r="H2916" s="11" t="n"/>
      <c r="I2916" s="11" t="n"/>
      <c r="J2916" s="11" t="n"/>
      <c r="K2916" s="11" t="n"/>
      <c r="L2916" s="11" t="n"/>
      <c r="M2916" s="11" t="n"/>
    </row>
    <row r="2917">
      <c r="A2917" s="11" t="n"/>
      <c r="B2917" s="11" t="n"/>
      <c r="C2917" s="11" t="n"/>
      <c r="D2917" s="11" t="n"/>
      <c r="E2917" s="11" t="n"/>
      <c r="F2917" s="11" t="n"/>
      <c r="G2917" s="11" t="n"/>
      <c r="H2917" s="11" t="n"/>
      <c r="I2917" s="11" t="n"/>
      <c r="J2917" s="11" t="n"/>
      <c r="K2917" s="11" t="n"/>
      <c r="L2917" s="11" t="n"/>
      <c r="M2917" s="11" t="n"/>
    </row>
    <row r="2918">
      <c r="A2918" s="11" t="n"/>
      <c r="B2918" s="11" t="n"/>
      <c r="C2918" s="11" t="n"/>
      <c r="D2918" s="11" t="n"/>
      <c r="E2918" s="11" t="n"/>
      <c r="F2918" s="11" t="n"/>
      <c r="G2918" s="11" t="n"/>
      <c r="H2918" s="11" t="n"/>
      <c r="I2918" s="11" t="n"/>
      <c r="J2918" s="11" t="n"/>
      <c r="K2918" s="11" t="n"/>
      <c r="L2918" s="11" t="n"/>
      <c r="M2918" s="11" t="n"/>
    </row>
    <row r="2919">
      <c r="A2919" s="11" t="n"/>
      <c r="B2919" s="11" t="n"/>
      <c r="C2919" s="11" t="n"/>
      <c r="D2919" s="11" t="n"/>
      <c r="E2919" s="11" t="n"/>
      <c r="F2919" s="11" t="n"/>
      <c r="G2919" s="11" t="n"/>
      <c r="H2919" s="11" t="n"/>
      <c r="I2919" s="11" t="n"/>
      <c r="J2919" s="11" t="n"/>
      <c r="K2919" s="11" t="n"/>
      <c r="L2919" s="11" t="n"/>
      <c r="M2919" s="11" t="n"/>
    </row>
    <row r="2920">
      <c r="A2920" s="11" t="n"/>
      <c r="B2920" s="11" t="n"/>
      <c r="C2920" s="11" t="n"/>
      <c r="D2920" s="11" t="n"/>
      <c r="E2920" s="11" t="n"/>
      <c r="F2920" s="11" t="n"/>
      <c r="G2920" s="11" t="n"/>
      <c r="H2920" s="11" t="n"/>
      <c r="I2920" s="11" t="n"/>
      <c r="J2920" s="11" t="n"/>
      <c r="K2920" s="11" t="n"/>
      <c r="L2920" s="11" t="n"/>
      <c r="M2920" s="11" t="n"/>
    </row>
    <row r="2921">
      <c r="A2921" s="11" t="n"/>
      <c r="B2921" s="11" t="n"/>
      <c r="C2921" s="11" t="n"/>
      <c r="D2921" s="11" t="n"/>
      <c r="E2921" s="11" t="n"/>
      <c r="F2921" s="11" t="n"/>
      <c r="G2921" s="11" t="n"/>
      <c r="H2921" s="11" t="n"/>
      <c r="I2921" s="11" t="n"/>
      <c r="J2921" s="11" t="n"/>
      <c r="K2921" s="11" t="n"/>
      <c r="L2921" s="11" t="n"/>
      <c r="M2921" s="11" t="n"/>
    </row>
    <row r="2922">
      <c r="A2922" s="11" t="n"/>
      <c r="B2922" s="11" t="n"/>
      <c r="C2922" s="11" t="n"/>
      <c r="D2922" s="11" t="n"/>
      <c r="E2922" s="11" t="n"/>
      <c r="F2922" s="11" t="n"/>
      <c r="G2922" s="11" t="n"/>
      <c r="H2922" s="11" t="n"/>
      <c r="I2922" s="11" t="n"/>
      <c r="J2922" s="11" t="n"/>
      <c r="K2922" s="11" t="n"/>
      <c r="L2922" s="11" t="n"/>
      <c r="M2922" s="11" t="n"/>
    </row>
    <row r="2923">
      <c r="A2923" s="11" t="n"/>
      <c r="B2923" s="11" t="n"/>
      <c r="C2923" s="11" t="n"/>
      <c r="D2923" s="11" t="n"/>
      <c r="E2923" s="11" t="n"/>
      <c r="F2923" s="11" t="n"/>
      <c r="G2923" s="11" t="n"/>
      <c r="H2923" s="11" t="n"/>
      <c r="I2923" s="11" t="n"/>
      <c r="J2923" s="11" t="n"/>
      <c r="K2923" s="11" t="n"/>
      <c r="L2923" s="11" t="n"/>
      <c r="M2923" s="11" t="n"/>
    </row>
    <row r="2924">
      <c r="A2924" s="11" t="n"/>
      <c r="B2924" s="11" t="n"/>
      <c r="C2924" s="11" t="n"/>
      <c r="D2924" s="11" t="n"/>
      <c r="E2924" s="11" t="n"/>
      <c r="F2924" s="11" t="n"/>
      <c r="G2924" s="11" t="n"/>
      <c r="H2924" s="11" t="n"/>
      <c r="I2924" s="11" t="n"/>
      <c r="J2924" s="11" t="n"/>
      <c r="K2924" s="11" t="n"/>
      <c r="L2924" s="11" t="n"/>
      <c r="M2924" s="11" t="n"/>
    </row>
    <row r="2925">
      <c r="A2925" s="11" t="n"/>
      <c r="B2925" s="11" t="n"/>
      <c r="C2925" s="11" t="n"/>
      <c r="D2925" s="11" t="n"/>
      <c r="E2925" s="11" t="n"/>
      <c r="F2925" s="11" t="n"/>
      <c r="G2925" s="11" t="n"/>
      <c r="H2925" s="11" t="n"/>
      <c r="I2925" s="11" t="n"/>
      <c r="J2925" s="11" t="n"/>
      <c r="K2925" s="11" t="n"/>
      <c r="L2925" s="11" t="n"/>
      <c r="M2925" s="11" t="n"/>
    </row>
    <row r="2926">
      <c r="A2926" s="11" t="n"/>
      <c r="B2926" s="11" t="n"/>
      <c r="C2926" s="11" t="n"/>
      <c r="D2926" s="11" t="n"/>
      <c r="E2926" s="11" t="n"/>
      <c r="F2926" s="11" t="n"/>
      <c r="G2926" s="11" t="n"/>
      <c r="H2926" s="11" t="n"/>
      <c r="I2926" s="11" t="n"/>
      <c r="J2926" s="11" t="n"/>
      <c r="K2926" s="11" t="n"/>
      <c r="L2926" s="11" t="n"/>
      <c r="M2926" s="11" t="n"/>
    </row>
    <row r="2927">
      <c r="A2927" s="11" t="n"/>
      <c r="B2927" s="11" t="n"/>
      <c r="C2927" s="11" t="n"/>
      <c r="D2927" s="11" t="n"/>
      <c r="E2927" s="11" t="n"/>
      <c r="F2927" s="11" t="n"/>
      <c r="G2927" s="11" t="n"/>
      <c r="H2927" s="11" t="n"/>
      <c r="I2927" s="11" t="n"/>
      <c r="J2927" s="11" t="n"/>
      <c r="K2927" s="11" t="n"/>
      <c r="L2927" s="11" t="n"/>
      <c r="M2927" s="11" t="n"/>
    </row>
    <row r="2928">
      <c r="A2928" s="11" t="n"/>
      <c r="B2928" s="11" t="n"/>
      <c r="C2928" s="11" t="n"/>
      <c r="D2928" s="11" t="n"/>
      <c r="E2928" s="11" t="n"/>
      <c r="F2928" s="11" t="n"/>
      <c r="G2928" s="11" t="n"/>
      <c r="H2928" s="11" t="n"/>
      <c r="I2928" s="11" t="n"/>
      <c r="J2928" s="11" t="n"/>
      <c r="K2928" s="11" t="n"/>
      <c r="L2928" s="11" t="n"/>
      <c r="M2928" s="11" t="n"/>
    </row>
    <row r="2929">
      <c r="A2929" s="11" t="n"/>
      <c r="B2929" s="11" t="n"/>
      <c r="C2929" s="11" t="n"/>
      <c r="D2929" s="11" t="n"/>
      <c r="E2929" s="11" t="n"/>
      <c r="F2929" s="11" t="n"/>
      <c r="G2929" s="11" t="n"/>
      <c r="H2929" s="11" t="n"/>
      <c r="I2929" s="11" t="n"/>
      <c r="J2929" s="11" t="n"/>
      <c r="K2929" s="11" t="n"/>
      <c r="L2929" s="11" t="n"/>
      <c r="M2929" s="11" t="n"/>
    </row>
    <row r="2930">
      <c r="A2930" s="11" t="n"/>
      <c r="B2930" s="11" t="n"/>
      <c r="C2930" s="11" t="n"/>
      <c r="D2930" s="11" t="n"/>
      <c r="E2930" s="11" t="n"/>
      <c r="F2930" s="11" t="n"/>
      <c r="G2930" s="11" t="n"/>
      <c r="H2930" s="11" t="n"/>
      <c r="I2930" s="11" t="n"/>
      <c r="J2930" s="11" t="n"/>
      <c r="K2930" s="11" t="n"/>
      <c r="L2930" s="11" t="n"/>
      <c r="M2930" s="11" t="n"/>
    </row>
    <row r="2931">
      <c r="A2931" s="11" t="n"/>
      <c r="B2931" s="11" t="n"/>
      <c r="C2931" s="11" t="n"/>
      <c r="D2931" s="11" t="n"/>
      <c r="E2931" s="11" t="n"/>
      <c r="F2931" s="11" t="n"/>
      <c r="G2931" s="11" t="n"/>
      <c r="H2931" s="11" t="n"/>
      <c r="I2931" s="11" t="n"/>
      <c r="J2931" s="11" t="n"/>
      <c r="K2931" s="11" t="n"/>
      <c r="L2931" s="11" t="n"/>
      <c r="M2931" s="11" t="n"/>
    </row>
    <row r="2932">
      <c r="A2932" s="11" t="n"/>
      <c r="B2932" s="11" t="n"/>
      <c r="C2932" s="11" t="n"/>
      <c r="D2932" s="11" t="n"/>
      <c r="E2932" s="11" t="n"/>
      <c r="F2932" s="11" t="n"/>
      <c r="G2932" s="11" t="n"/>
      <c r="H2932" s="11" t="n"/>
      <c r="I2932" s="11" t="n"/>
      <c r="J2932" s="11" t="n"/>
      <c r="K2932" s="11" t="n"/>
      <c r="L2932" s="11" t="n"/>
      <c r="M2932" s="11" t="n"/>
    </row>
    <row r="2933">
      <c r="A2933" s="11" t="n"/>
      <c r="B2933" s="11" t="n"/>
      <c r="C2933" s="11" t="n"/>
      <c r="D2933" s="11" t="n"/>
      <c r="E2933" s="11" t="n"/>
      <c r="F2933" s="11" t="n"/>
      <c r="G2933" s="11" t="n"/>
      <c r="H2933" s="11" t="n"/>
      <c r="I2933" s="11" t="n"/>
      <c r="J2933" s="11" t="n"/>
      <c r="K2933" s="11" t="n"/>
      <c r="L2933" s="11" t="n"/>
      <c r="M2933" s="11" t="n"/>
    </row>
    <row r="2934">
      <c r="A2934" s="11" t="n"/>
      <c r="B2934" s="11" t="n"/>
      <c r="C2934" s="11" t="n"/>
      <c r="D2934" s="11" t="n"/>
      <c r="E2934" s="11" t="n"/>
      <c r="F2934" s="11" t="n"/>
      <c r="G2934" s="11" t="n"/>
      <c r="H2934" s="11" t="n"/>
      <c r="I2934" s="11" t="n"/>
      <c r="J2934" s="11" t="n"/>
      <c r="K2934" s="11" t="n"/>
      <c r="L2934" s="11" t="n"/>
      <c r="M2934" s="11" t="n"/>
    </row>
    <row r="2935">
      <c r="A2935" s="11" t="n"/>
      <c r="B2935" s="11" t="n"/>
      <c r="C2935" s="11" t="n"/>
      <c r="D2935" s="11" t="n"/>
      <c r="E2935" s="11" t="n"/>
      <c r="F2935" s="11" t="n"/>
      <c r="G2935" s="11" t="n"/>
      <c r="H2935" s="11" t="n"/>
      <c r="I2935" s="11" t="n"/>
      <c r="J2935" s="11" t="n"/>
      <c r="K2935" s="11" t="n"/>
      <c r="L2935" s="11" t="n"/>
      <c r="M2935" s="11" t="n"/>
    </row>
    <row r="2936">
      <c r="A2936" s="11" t="n"/>
      <c r="B2936" s="11" t="n"/>
      <c r="C2936" s="11" t="n"/>
      <c r="D2936" s="11" t="n"/>
      <c r="E2936" s="11" t="n"/>
      <c r="F2936" s="11" t="n"/>
      <c r="G2936" s="11" t="n"/>
      <c r="H2936" s="11" t="n"/>
      <c r="I2936" s="11" t="n"/>
      <c r="J2936" s="11" t="n"/>
      <c r="K2936" s="11" t="n"/>
      <c r="L2936" s="11" t="n"/>
      <c r="M2936" s="11" t="n"/>
    </row>
    <row r="2937">
      <c r="A2937" s="11" t="n"/>
      <c r="B2937" s="11" t="n"/>
      <c r="C2937" s="11" t="n"/>
      <c r="D2937" s="11" t="n"/>
      <c r="E2937" s="11" t="n"/>
      <c r="F2937" s="11" t="n"/>
      <c r="G2937" s="11" t="n"/>
      <c r="H2937" s="11" t="n"/>
      <c r="I2937" s="11" t="n"/>
      <c r="J2937" s="11" t="n"/>
      <c r="K2937" s="11" t="n"/>
      <c r="L2937" s="11" t="n"/>
      <c r="M2937" s="11" t="n"/>
    </row>
    <row r="2938">
      <c r="A2938" s="11" t="n"/>
      <c r="B2938" s="11" t="n"/>
      <c r="C2938" s="11" t="n"/>
      <c r="D2938" s="11" t="n"/>
      <c r="E2938" s="11" t="n"/>
      <c r="F2938" s="11" t="n"/>
      <c r="G2938" s="11" t="n"/>
      <c r="H2938" s="11" t="n"/>
      <c r="I2938" s="11" t="n"/>
      <c r="J2938" s="11" t="n"/>
      <c r="K2938" s="11" t="n"/>
      <c r="L2938" s="11" t="n"/>
      <c r="M2938" s="11" t="n"/>
    </row>
    <row r="2939">
      <c r="A2939" s="11" t="n"/>
      <c r="B2939" s="11" t="n"/>
      <c r="C2939" s="11" t="n"/>
      <c r="D2939" s="11" t="n"/>
      <c r="E2939" s="11" t="n"/>
      <c r="F2939" s="11" t="n"/>
      <c r="G2939" s="11" t="n"/>
      <c r="H2939" s="11" t="n"/>
      <c r="I2939" s="11" t="n"/>
      <c r="J2939" s="11" t="n"/>
      <c r="K2939" s="11" t="n"/>
      <c r="L2939" s="11" t="n"/>
      <c r="M2939" s="11" t="n"/>
    </row>
    <row r="2940">
      <c r="A2940" s="11" t="n"/>
      <c r="B2940" s="11" t="n"/>
      <c r="C2940" s="11" t="n"/>
      <c r="D2940" s="11" t="n"/>
      <c r="E2940" s="11" t="n"/>
      <c r="F2940" s="11" t="n"/>
      <c r="G2940" s="11" t="n"/>
      <c r="H2940" s="11" t="n"/>
      <c r="I2940" s="11" t="n"/>
      <c r="J2940" s="11" t="n"/>
      <c r="K2940" s="11" t="n"/>
      <c r="L2940" s="11" t="n"/>
      <c r="M2940" s="11" t="n"/>
    </row>
    <row r="2941">
      <c r="A2941" s="11" t="n"/>
      <c r="B2941" s="11" t="n"/>
      <c r="C2941" s="11" t="n"/>
      <c r="D2941" s="11" t="n"/>
      <c r="E2941" s="11" t="n"/>
      <c r="F2941" s="11" t="n"/>
      <c r="G2941" s="11" t="n"/>
      <c r="H2941" s="11" t="n"/>
      <c r="I2941" s="11" t="n"/>
      <c r="J2941" s="11" t="n"/>
      <c r="K2941" s="11" t="n"/>
      <c r="L2941" s="11" t="n"/>
      <c r="M2941" s="11" t="n"/>
    </row>
    <row r="2942">
      <c r="A2942" s="11" t="n"/>
      <c r="B2942" s="11" t="n"/>
      <c r="C2942" s="11" t="n"/>
      <c r="D2942" s="11" t="n"/>
      <c r="E2942" s="11" t="n"/>
      <c r="F2942" s="11" t="n"/>
      <c r="G2942" s="11" t="n"/>
      <c r="H2942" s="11" t="n"/>
      <c r="I2942" s="11" t="n"/>
      <c r="J2942" s="11" t="n"/>
      <c r="K2942" s="11" t="n"/>
      <c r="L2942" s="11" t="n"/>
      <c r="M2942" s="11" t="n"/>
    </row>
    <row r="2943">
      <c r="A2943" s="11" t="n"/>
      <c r="B2943" s="11" t="n"/>
      <c r="C2943" s="11" t="n"/>
      <c r="D2943" s="11" t="n"/>
      <c r="E2943" s="11" t="n"/>
      <c r="F2943" s="11" t="n"/>
      <c r="G2943" s="11" t="n"/>
      <c r="H2943" s="11" t="n"/>
      <c r="I2943" s="11" t="n"/>
      <c r="J2943" s="11" t="n"/>
      <c r="K2943" s="11" t="n"/>
      <c r="L2943" s="11" t="n"/>
      <c r="M2943" s="11" t="n"/>
    </row>
    <row r="2944">
      <c r="A2944" s="11" t="n"/>
      <c r="B2944" s="11" t="n"/>
      <c r="C2944" s="11" t="n"/>
      <c r="D2944" s="11" t="n"/>
      <c r="E2944" s="11" t="n"/>
      <c r="F2944" s="11" t="n"/>
      <c r="G2944" s="11" t="n"/>
      <c r="H2944" s="11" t="n"/>
      <c r="I2944" s="11" t="n"/>
      <c r="J2944" s="11" t="n"/>
      <c r="K2944" s="11" t="n"/>
      <c r="L2944" s="11" t="n"/>
      <c r="M2944" s="11" t="n"/>
    </row>
    <row r="2945">
      <c r="A2945" s="11" t="n"/>
      <c r="B2945" s="11" t="n"/>
      <c r="C2945" s="11" t="n"/>
      <c r="D2945" s="11" t="n"/>
      <c r="E2945" s="11" t="n"/>
      <c r="F2945" s="11" t="n"/>
      <c r="G2945" s="11" t="n"/>
      <c r="H2945" s="11" t="n"/>
      <c r="I2945" s="11" t="n"/>
      <c r="J2945" s="11" t="n"/>
      <c r="K2945" s="11" t="n"/>
      <c r="L2945" s="11" t="n"/>
      <c r="M2945" s="11" t="n"/>
    </row>
    <row r="2946">
      <c r="A2946" s="11" t="n"/>
      <c r="B2946" s="11" t="n"/>
      <c r="C2946" s="11" t="n"/>
      <c r="D2946" s="11" t="n"/>
      <c r="E2946" s="11" t="n"/>
      <c r="F2946" s="11" t="n"/>
      <c r="G2946" s="11" t="n"/>
      <c r="H2946" s="11" t="n"/>
      <c r="I2946" s="11" t="n"/>
      <c r="J2946" s="11" t="n"/>
      <c r="K2946" s="11" t="n"/>
      <c r="L2946" s="11" t="n"/>
      <c r="M2946" s="11" t="n"/>
    </row>
    <row r="2947">
      <c r="A2947" s="11" t="n"/>
      <c r="B2947" s="11" t="n"/>
      <c r="C2947" s="11" t="n"/>
      <c r="D2947" s="11" t="n"/>
      <c r="E2947" s="11" t="n"/>
      <c r="F2947" s="11" t="n"/>
      <c r="G2947" s="11" t="n"/>
      <c r="H2947" s="11" t="n"/>
      <c r="I2947" s="11" t="n"/>
      <c r="J2947" s="11" t="n"/>
      <c r="K2947" s="11" t="n"/>
      <c r="L2947" s="11" t="n"/>
      <c r="M2947" s="11" t="n"/>
    </row>
    <row r="2948">
      <c r="A2948" s="11" t="n"/>
      <c r="B2948" s="11" t="n"/>
      <c r="C2948" s="11" t="n"/>
      <c r="D2948" s="11" t="n"/>
      <c r="E2948" s="11" t="n"/>
      <c r="F2948" s="11" t="n"/>
      <c r="G2948" s="11" t="n"/>
      <c r="H2948" s="11" t="n"/>
      <c r="I2948" s="11" t="n"/>
      <c r="J2948" s="11" t="n"/>
      <c r="K2948" s="11" t="n"/>
      <c r="L2948" s="11" t="n"/>
      <c r="M2948" s="11" t="n"/>
    </row>
    <row r="2949">
      <c r="A2949" s="11" t="n"/>
      <c r="B2949" s="11" t="n"/>
      <c r="C2949" s="11" t="n"/>
      <c r="D2949" s="11" t="n"/>
      <c r="E2949" s="11" t="n"/>
      <c r="F2949" s="11" t="n"/>
      <c r="G2949" s="11" t="n"/>
      <c r="H2949" s="11" t="n"/>
      <c r="I2949" s="11" t="n"/>
      <c r="J2949" s="11" t="n"/>
      <c r="K2949" s="11" t="n"/>
      <c r="L2949" s="11" t="n"/>
      <c r="M2949" s="11" t="n"/>
    </row>
    <row r="2950">
      <c r="A2950" s="11" t="n"/>
      <c r="B2950" s="11" t="n"/>
      <c r="C2950" s="11" t="n"/>
      <c r="D2950" s="11" t="n"/>
      <c r="E2950" s="11" t="n"/>
      <c r="F2950" s="11" t="n"/>
      <c r="G2950" s="11" t="n"/>
      <c r="H2950" s="11" t="n"/>
      <c r="I2950" s="11" t="n"/>
      <c r="J2950" s="11" t="n"/>
      <c r="K2950" s="11" t="n"/>
      <c r="L2950" s="11" t="n"/>
      <c r="M2950" s="11" t="n"/>
    </row>
    <row r="2951">
      <c r="A2951" s="11" t="n"/>
      <c r="B2951" s="11" t="n"/>
      <c r="C2951" s="11" t="n"/>
      <c r="D2951" s="11" t="n"/>
      <c r="E2951" s="11" t="n"/>
      <c r="F2951" s="11" t="n"/>
      <c r="G2951" s="11" t="n"/>
      <c r="H2951" s="11" t="n"/>
      <c r="I2951" s="11" t="n"/>
      <c r="J2951" s="11" t="n"/>
      <c r="K2951" s="11" t="n"/>
      <c r="L2951" s="11" t="n"/>
      <c r="M2951" s="11" t="n"/>
    </row>
    <row r="2952">
      <c r="A2952" s="11" t="n"/>
      <c r="B2952" s="11" t="n"/>
      <c r="C2952" s="11" t="n"/>
      <c r="D2952" s="11" t="n"/>
      <c r="E2952" s="11" t="n"/>
      <c r="F2952" s="11" t="n"/>
      <c r="G2952" s="11" t="n"/>
      <c r="H2952" s="11" t="n"/>
      <c r="I2952" s="11" t="n"/>
      <c r="J2952" s="11" t="n"/>
      <c r="K2952" s="11" t="n"/>
      <c r="L2952" s="11" t="n"/>
      <c r="M2952" s="11" t="n"/>
    </row>
    <row r="2953">
      <c r="A2953" s="11" t="n"/>
      <c r="B2953" s="11" t="n"/>
      <c r="C2953" s="11" t="n"/>
      <c r="D2953" s="11" t="n"/>
      <c r="E2953" s="11" t="n"/>
      <c r="F2953" s="11" t="n"/>
      <c r="G2953" s="11" t="n"/>
      <c r="H2953" s="11" t="n"/>
      <c r="I2953" s="11" t="n"/>
      <c r="J2953" s="11" t="n"/>
      <c r="K2953" s="11" t="n"/>
      <c r="L2953" s="11" t="n"/>
      <c r="M2953" s="11" t="n"/>
    </row>
    <row r="2954">
      <c r="A2954" s="11" t="n"/>
      <c r="B2954" s="11" t="n"/>
      <c r="C2954" s="11" t="n"/>
      <c r="D2954" s="11" t="n"/>
      <c r="E2954" s="11" t="n"/>
      <c r="F2954" s="11" t="n"/>
      <c r="G2954" s="11" t="n"/>
      <c r="H2954" s="11" t="n"/>
      <c r="I2954" s="11" t="n"/>
      <c r="J2954" s="11" t="n"/>
      <c r="K2954" s="11" t="n"/>
      <c r="L2954" s="11" t="n"/>
      <c r="M2954" s="11" t="n"/>
    </row>
    <row r="2955">
      <c r="A2955" s="11" t="n"/>
      <c r="B2955" s="11" t="n"/>
      <c r="C2955" s="11" t="n"/>
      <c r="D2955" s="11" t="n"/>
      <c r="E2955" s="11" t="n"/>
      <c r="F2955" s="11" t="n"/>
      <c r="G2955" s="11" t="n"/>
      <c r="H2955" s="11" t="n"/>
      <c r="I2955" s="11" t="n"/>
      <c r="J2955" s="11" t="n"/>
      <c r="K2955" s="11" t="n"/>
      <c r="L2955" s="11" t="n"/>
      <c r="M2955" s="11" t="n"/>
    </row>
    <row r="2956">
      <c r="A2956" s="11" t="n"/>
      <c r="B2956" s="11" t="n"/>
      <c r="C2956" s="11" t="n"/>
      <c r="D2956" s="11" t="n"/>
      <c r="E2956" s="11" t="n"/>
      <c r="F2956" s="11" t="n"/>
      <c r="G2956" s="11" t="n"/>
      <c r="H2956" s="11" t="n"/>
      <c r="I2956" s="11" t="n"/>
      <c r="J2956" s="11" t="n"/>
      <c r="K2956" s="11" t="n"/>
      <c r="L2956" s="11" t="n"/>
      <c r="M2956" s="11" t="n"/>
    </row>
    <row r="2957">
      <c r="A2957" s="11" t="n"/>
      <c r="B2957" s="11" t="n"/>
      <c r="C2957" s="11" t="n"/>
      <c r="D2957" s="11" t="n"/>
      <c r="E2957" s="11" t="n"/>
      <c r="F2957" s="11" t="n"/>
      <c r="G2957" s="11" t="n"/>
      <c r="H2957" s="11" t="n"/>
      <c r="I2957" s="11" t="n"/>
      <c r="J2957" s="11" t="n"/>
      <c r="K2957" s="11" t="n"/>
      <c r="L2957" s="11" t="n"/>
      <c r="M2957" s="11" t="n"/>
    </row>
    <row r="2958">
      <c r="A2958" s="11" t="n"/>
      <c r="B2958" s="11" t="n"/>
      <c r="C2958" s="11" t="n"/>
      <c r="D2958" s="11" t="n"/>
      <c r="E2958" s="11" t="n"/>
      <c r="F2958" s="11" t="n"/>
      <c r="G2958" s="11" t="n"/>
      <c r="H2958" s="11" t="n"/>
      <c r="I2958" s="11" t="n"/>
      <c r="J2958" s="11" t="n"/>
      <c r="K2958" s="11" t="n"/>
      <c r="L2958" s="11" t="n"/>
      <c r="M2958" s="11" t="n"/>
    </row>
    <row r="2959">
      <c r="A2959" s="11" t="n"/>
      <c r="B2959" s="11" t="n"/>
      <c r="C2959" s="11" t="n"/>
      <c r="D2959" s="11" t="n"/>
      <c r="E2959" s="11" t="n"/>
      <c r="F2959" s="11" t="n"/>
      <c r="G2959" s="11" t="n"/>
      <c r="H2959" s="11" t="n"/>
      <c r="I2959" s="11" t="n"/>
      <c r="J2959" s="11" t="n"/>
      <c r="K2959" s="11" t="n"/>
      <c r="L2959" s="11" t="n"/>
      <c r="M2959" s="11" t="n"/>
    </row>
    <row r="2960">
      <c r="A2960" s="11" t="n"/>
      <c r="B2960" s="11" t="n"/>
      <c r="C2960" s="11" t="n"/>
      <c r="D2960" s="11" t="n"/>
      <c r="E2960" s="11" t="n"/>
      <c r="F2960" s="11" t="n"/>
      <c r="G2960" s="11" t="n"/>
      <c r="H2960" s="11" t="n"/>
      <c r="I2960" s="11" t="n"/>
      <c r="J2960" s="11" t="n"/>
      <c r="K2960" s="11" t="n"/>
      <c r="L2960" s="11" t="n"/>
      <c r="M2960" s="11" t="n"/>
    </row>
    <row r="2961">
      <c r="A2961" s="11" t="n"/>
      <c r="B2961" s="11" t="n"/>
      <c r="C2961" s="11" t="n"/>
      <c r="D2961" s="11" t="n"/>
      <c r="E2961" s="11" t="n"/>
      <c r="F2961" s="11" t="n"/>
      <c r="G2961" s="11" t="n"/>
      <c r="H2961" s="11" t="n"/>
      <c r="I2961" s="11" t="n"/>
      <c r="J2961" s="11" t="n"/>
      <c r="K2961" s="11" t="n"/>
      <c r="L2961" s="11" t="n"/>
      <c r="M2961" s="11" t="n"/>
    </row>
    <row r="2962">
      <c r="A2962" s="11" t="n"/>
      <c r="B2962" s="11" t="n"/>
      <c r="C2962" s="11" t="n"/>
      <c r="D2962" s="11" t="n"/>
      <c r="E2962" s="11" t="n"/>
      <c r="F2962" s="11" t="n"/>
      <c r="G2962" s="11" t="n"/>
      <c r="H2962" s="11" t="n"/>
      <c r="I2962" s="11" t="n"/>
      <c r="J2962" s="11" t="n"/>
      <c r="K2962" s="11" t="n"/>
      <c r="L2962" s="11" t="n"/>
      <c r="M2962" s="11" t="n"/>
    </row>
    <row r="2963">
      <c r="A2963" s="11" t="n"/>
      <c r="B2963" s="11" t="n"/>
      <c r="C2963" s="11" t="n"/>
      <c r="D2963" s="11" t="n"/>
      <c r="E2963" s="11" t="n"/>
      <c r="F2963" s="11" t="n"/>
      <c r="G2963" s="11" t="n"/>
      <c r="H2963" s="11" t="n"/>
      <c r="I2963" s="11" t="n"/>
      <c r="J2963" s="11" t="n"/>
      <c r="K2963" s="11" t="n"/>
      <c r="L2963" s="11" t="n"/>
      <c r="M2963" s="11" t="n"/>
    </row>
    <row r="2964">
      <c r="A2964" s="11" t="n"/>
      <c r="B2964" s="11" t="n"/>
      <c r="C2964" s="11" t="n"/>
      <c r="D2964" s="11" t="n"/>
      <c r="E2964" s="11" t="n"/>
      <c r="F2964" s="11" t="n"/>
      <c r="G2964" s="11" t="n"/>
      <c r="H2964" s="11" t="n"/>
      <c r="I2964" s="11" t="n"/>
      <c r="J2964" s="11" t="n"/>
      <c r="K2964" s="11" t="n"/>
      <c r="L2964" s="11" t="n"/>
      <c r="M2964" s="11" t="n"/>
    </row>
    <row r="2965">
      <c r="A2965" s="11" t="n"/>
      <c r="B2965" s="11" t="n"/>
      <c r="C2965" s="11" t="n"/>
      <c r="D2965" s="11" t="n"/>
      <c r="E2965" s="11" t="n"/>
      <c r="F2965" s="11" t="n"/>
      <c r="G2965" s="11" t="n"/>
      <c r="H2965" s="11" t="n"/>
      <c r="I2965" s="11" t="n"/>
      <c r="J2965" s="11" t="n"/>
      <c r="K2965" s="11" t="n"/>
      <c r="L2965" s="11" t="n"/>
      <c r="M2965" s="11" t="n"/>
    </row>
    <row r="2966">
      <c r="A2966" s="11" t="n"/>
      <c r="B2966" s="11" t="n"/>
      <c r="C2966" s="11" t="n"/>
      <c r="D2966" s="11" t="n"/>
      <c r="E2966" s="11" t="n"/>
      <c r="F2966" s="11" t="n"/>
      <c r="G2966" s="11" t="n"/>
      <c r="H2966" s="11" t="n"/>
      <c r="I2966" s="11" t="n"/>
      <c r="J2966" s="11" t="n"/>
      <c r="K2966" s="11" t="n"/>
      <c r="L2966" s="11" t="n"/>
      <c r="M2966" s="11" t="n"/>
    </row>
    <row r="2967">
      <c r="A2967" s="11" t="n"/>
      <c r="B2967" s="11" t="n"/>
      <c r="C2967" s="11" t="n"/>
      <c r="D2967" s="11" t="n"/>
      <c r="E2967" s="11" t="n"/>
      <c r="F2967" s="11" t="n"/>
      <c r="G2967" s="11" t="n"/>
      <c r="H2967" s="11" t="n"/>
      <c r="I2967" s="11" t="n"/>
      <c r="J2967" s="11" t="n"/>
      <c r="K2967" s="11" t="n"/>
      <c r="L2967" s="11" t="n"/>
      <c r="M2967" s="11" t="n"/>
    </row>
    <row r="2968">
      <c r="A2968" s="11" t="n"/>
      <c r="B2968" s="11" t="n"/>
      <c r="C2968" s="11" t="n"/>
      <c r="D2968" s="11" t="n"/>
      <c r="E2968" s="11" t="n"/>
      <c r="F2968" s="11" t="n"/>
      <c r="G2968" s="11" t="n"/>
      <c r="H2968" s="11" t="n"/>
      <c r="I2968" s="11" t="n"/>
      <c r="J2968" s="11" t="n"/>
      <c r="K2968" s="11" t="n"/>
      <c r="L2968" s="11" t="n"/>
      <c r="M2968" s="11" t="n"/>
    </row>
    <row r="2969">
      <c r="A2969" s="11" t="n"/>
      <c r="B2969" s="11" t="n"/>
      <c r="C2969" s="11" t="n"/>
      <c r="D2969" s="11" t="n"/>
      <c r="E2969" s="11" t="n"/>
      <c r="F2969" s="11" t="n"/>
      <c r="G2969" s="11" t="n"/>
      <c r="H2969" s="11" t="n"/>
      <c r="I2969" s="11" t="n"/>
      <c r="J2969" s="11" t="n"/>
      <c r="K2969" s="11" t="n"/>
      <c r="L2969" s="11" t="n"/>
      <c r="M2969" s="11" t="n"/>
    </row>
    <row r="2970">
      <c r="A2970" s="11" t="n"/>
      <c r="B2970" s="11" t="n"/>
      <c r="C2970" s="11" t="n"/>
      <c r="D2970" s="11" t="n"/>
      <c r="E2970" s="11" t="n"/>
      <c r="F2970" s="11" t="n"/>
      <c r="G2970" s="11" t="n"/>
      <c r="H2970" s="11" t="n"/>
      <c r="I2970" s="11" t="n"/>
      <c r="J2970" s="11" t="n"/>
      <c r="K2970" s="11" t="n"/>
      <c r="L2970" s="11" t="n"/>
      <c r="M2970" s="11" t="n"/>
    </row>
    <row r="2971">
      <c r="A2971" s="11" t="n"/>
      <c r="B2971" s="11" t="n"/>
      <c r="C2971" s="11" t="n"/>
      <c r="D2971" s="11" t="n"/>
      <c r="E2971" s="11" t="n"/>
      <c r="F2971" s="11" t="n"/>
      <c r="G2971" s="11" t="n"/>
      <c r="H2971" s="11" t="n"/>
      <c r="I2971" s="11" t="n"/>
      <c r="J2971" s="11" t="n"/>
      <c r="K2971" s="11" t="n"/>
      <c r="L2971" s="11" t="n"/>
      <c r="M2971" s="11" t="n"/>
    </row>
    <row r="2972">
      <c r="A2972" s="11" t="n"/>
      <c r="B2972" s="11" t="n"/>
      <c r="C2972" s="11" t="n"/>
      <c r="D2972" s="11" t="n"/>
      <c r="E2972" s="11" t="n"/>
      <c r="F2972" s="11" t="n"/>
      <c r="G2972" s="11" t="n"/>
      <c r="H2972" s="11" t="n"/>
      <c r="I2972" s="11" t="n"/>
      <c r="J2972" s="11" t="n"/>
      <c r="K2972" s="11" t="n"/>
      <c r="L2972" s="11" t="n"/>
      <c r="M2972" s="11" t="n"/>
    </row>
    <row r="2973">
      <c r="A2973" s="11" t="n"/>
      <c r="B2973" s="11" t="n"/>
      <c r="C2973" s="11" t="n"/>
      <c r="D2973" s="11" t="n"/>
      <c r="E2973" s="11" t="n"/>
      <c r="F2973" s="11" t="n"/>
      <c r="G2973" s="11" t="n"/>
      <c r="H2973" s="11" t="n"/>
      <c r="I2973" s="11" t="n"/>
      <c r="J2973" s="11" t="n"/>
      <c r="K2973" s="11" t="n"/>
      <c r="L2973" s="11" t="n"/>
      <c r="M2973" s="11" t="n"/>
    </row>
    <row r="2974">
      <c r="A2974" s="11" t="n"/>
      <c r="B2974" s="11" t="n"/>
      <c r="C2974" s="11" t="n"/>
      <c r="D2974" s="11" t="n"/>
      <c r="E2974" s="11" t="n"/>
      <c r="F2974" s="11" t="n"/>
      <c r="G2974" s="11" t="n"/>
      <c r="H2974" s="11" t="n"/>
      <c r="I2974" s="11" t="n"/>
      <c r="J2974" s="11" t="n"/>
      <c r="K2974" s="11" t="n"/>
      <c r="L2974" s="11" t="n"/>
      <c r="M2974" s="11" t="n"/>
    </row>
    <row r="2975">
      <c r="A2975" s="11" t="n"/>
      <c r="B2975" s="11" t="n"/>
      <c r="C2975" s="11" t="n"/>
      <c r="D2975" s="11" t="n"/>
      <c r="E2975" s="11" t="n"/>
      <c r="F2975" s="11" t="n"/>
      <c r="G2975" s="11" t="n"/>
      <c r="H2975" s="11" t="n"/>
      <c r="I2975" s="11" t="n"/>
      <c r="J2975" s="11" t="n"/>
      <c r="K2975" s="11" t="n"/>
      <c r="L2975" s="11" t="n"/>
      <c r="M2975" s="11" t="n"/>
    </row>
    <row r="2976">
      <c r="A2976" s="11" t="n"/>
      <c r="B2976" s="11" t="n"/>
      <c r="C2976" s="11" t="n"/>
      <c r="D2976" s="11" t="n"/>
      <c r="E2976" s="11" t="n"/>
      <c r="F2976" s="11" t="n"/>
      <c r="G2976" s="11" t="n"/>
      <c r="H2976" s="11" t="n"/>
      <c r="I2976" s="11" t="n"/>
      <c r="J2976" s="11" t="n"/>
      <c r="K2976" s="11" t="n"/>
      <c r="L2976" s="11" t="n"/>
      <c r="M2976" s="11" t="n"/>
    </row>
    <row r="2977">
      <c r="A2977" s="11" t="n"/>
      <c r="B2977" s="11" t="n"/>
      <c r="C2977" s="11" t="n"/>
      <c r="D2977" s="11" t="n"/>
      <c r="E2977" s="11" t="n"/>
      <c r="F2977" s="11" t="n"/>
      <c r="G2977" s="11" t="n"/>
      <c r="H2977" s="11" t="n"/>
      <c r="I2977" s="11" t="n"/>
      <c r="J2977" s="11" t="n"/>
      <c r="K2977" s="11" t="n"/>
      <c r="L2977" s="11" t="n"/>
      <c r="M2977" s="11" t="n"/>
    </row>
    <row r="2978">
      <c r="A2978" s="11" t="n"/>
      <c r="B2978" s="11" t="n"/>
      <c r="C2978" s="11" t="n"/>
      <c r="D2978" s="11" t="n"/>
      <c r="E2978" s="11" t="n"/>
      <c r="F2978" s="11" t="n"/>
      <c r="G2978" s="11" t="n"/>
      <c r="H2978" s="11" t="n"/>
      <c r="I2978" s="11" t="n"/>
      <c r="J2978" s="11" t="n"/>
      <c r="K2978" s="11" t="n"/>
      <c r="L2978" s="11" t="n"/>
      <c r="M2978" s="11" t="n"/>
    </row>
    <row r="2979">
      <c r="A2979" s="11" t="n"/>
      <c r="B2979" s="11" t="n"/>
      <c r="C2979" s="11" t="n"/>
      <c r="D2979" s="11" t="n"/>
      <c r="E2979" s="11" t="n"/>
      <c r="F2979" s="11" t="n"/>
      <c r="G2979" s="11" t="n"/>
      <c r="H2979" s="11" t="n"/>
      <c r="I2979" s="11" t="n"/>
      <c r="J2979" s="11" t="n"/>
      <c r="K2979" s="11" t="n"/>
      <c r="L2979" s="11" t="n"/>
      <c r="M2979" s="11" t="n"/>
    </row>
    <row r="2980">
      <c r="A2980" s="11" t="n"/>
      <c r="B2980" s="11" t="n"/>
      <c r="C2980" s="11" t="n"/>
      <c r="D2980" s="11" t="n"/>
      <c r="E2980" s="11" t="n"/>
      <c r="F2980" s="11" t="n"/>
      <c r="G2980" s="11" t="n"/>
      <c r="H2980" s="11" t="n"/>
      <c r="I2980" s="11" t="n"/>
      <c r="J2980" s="11" t="n"/>
      <c r="K2980" s="11" t="n"/>
      <c r="L2980" s="11" t="n"/>
      <c r="M2980" s="11" t="n"/>
    </row>
    <row r="2981">
      <c r="A2981" s="11" t="n"/>
      <c r="B2981" s="11" t="n"/>
      <c r="C2981" s="11" t="n"/>
      <c r="D2981" s="11" t="n"/>
      <c r="E2981" s="11" t="n"/>
      <c r="F2981" s="11" t="n"/>
      <c r="G2981" s="11" t="n"/>
      <c r="H2981" s="11" t="n"/>
      <c r="I2981" s="11" t="n"/>
      <c r="J2981" s="11" t="n"/>
      <c r="K2981" s="11" t="n"/>
      <c r="L2981" s="11" t="n"/>
      <c r="M2981" s="11" t="n"/>
    </row>
    <row r="2982">
      <c r="A2982" s="11" t="n"/>
      <c r="B2982" s="11" t="n"/>
      <c r="C2982" s="11" t="n"/>
      <c r="D2982" s="11" t="n"/>
      <c r="E2982" s="11" t="n"/>
      <c r="F2982" s="11" t="n"/>
      <c r="G2982" s="11" t="n"/>
      <c r="H2982" s="11" t="n"/>
      <c r="I2982" s="11" t="n"/>
      <c r="J2982" s="11" t="n"/>
      <c r="K2982" s="11" t="n"/>
      <c r="L2982" s="11" t="n"/>
      <c r="M2982" s="11" t="n"/>
    </row>
    <row r="2983">
      <c r="A2983" s="11" t="n"/>
      <c r="B2983" s="11" t="n"/>
      <c r="C2983" s="11" t="n"/>
      <c r="D2983" s="11" t="n"/>
      <c r="E2983" s="11" t="n"/>
      <c r="F2983" s="11" t="n"/>
      <c r="G2983" s="11" t="n"/>
      <c r="H2983" s="11" t="n"/>
      <c r="I2983" s="11" t="n"/>
      <c r="J2983" s="11" t="n"/>
      <c r="K2983" s="11" t="n"/>
      <c r="L2983" s="11" t="n"/>
      <c r="M2983" s="11" t="n"/>
    </row>
    <row r="2984">
      <c r="A2984" s="11" t="n"/>
      <c r="B2984" s="11" t="n"/>
      <c r="C2984" s="11" t="n"/>
      <c r="D2984" s="11" t="n"/>
      <c r="E2984" s="11" t="n"/>
      <c r="F2984" s="11" t="n"/>
      <c r="G2984" s="11" t="n"/>
      <c r="H2984" s="11" t="n"/>
      <c r="I2984" s="11" t="n"/>
      <c r="J2984" s="11" t="n"/>
      <c r="K2984" s="11" t="n"/>
      <c r="L2984" s="11" t="n"/>
      <c r="M2984" s="11" t="n"/>
    </row>
    <row r="2985">
      <c r="A2985" s="11" t="n"/>
      <c r="B2985" s="11" t="n"/>
      <c r="C2985" s="11" t="n"/>
      <c r="D2985" s="11" t="n"/>
      <c r="E2985" s="11" t="n"/>
      <c r="F2985" s="11" t="n"/>
      <c r="G2985" s="11" t="n"/>
      <c r="H2985" s="11" t="n"/>
      <c r="I2985" s="11" t="n"/>
      <c r="J2985" s="11" t="n"/>
      <c r="K2985" s="11" t="n"/>
      <c r="L2985" s="11" t="n"/>
      <c r="M2985" s="11" t="n"/>
    </row>
    <row r="2986">
      <c r="A2986" s="11" t="n"/>
      <c r="B2986" s="11" t="n"/>
      <c r="C2986" s="11" t="n"/>
      <c r="D2986" s="11" t="n"/>
      <c r="E2986" s="11" t="n"/>
      <c r="F2986" s="11" t="n"/>
      <c r="G2986" s="11" t="n"/>
      <c r="H2986" s="11" t="n"/>
      <c r="I2986" s="11" t="n"/>
      <c r="J2986" s="11" t="n"/>
      <c r="K2986" s="11" t="n"/>
      <c r="L2986" s="11" t="n"/>
      <c r="M2986" s="11" t="n"/>
    </row>
    <row r="2987">
      <c r="A2987" s="11" t="n"/>
      <c r="B2987" s="11" t="n"/>
      <c r="C2987" s="11" t="n"/>
      <c r="D2987" s="11" t="n"/>
      <c r="E2987" s="11" t="n"/>
      <c r="F2987" s="11" t="n"/>
      <c r="G2987" s="11" t="n"/>
      <c r="H2987" s="11" t="n"/>
      <c r="I2987" s="11" t="n"/>
      <c r="J2987" s="11" t="n"/>
      <c r="K2987" s="11" t="n"/>
      <c r="L2987" s="11" t="n"/>
      <c r="M2987" s="11" t="n"/>
    </row>
    <row r="2988">
      <c r="A2988" s="11" t="n"/>
      <c r="B2988" s="11" t="n"/>
      <c r="C2988" s="11" t="n"/>
      <c r="D2988" s="11" t="n"/>
      <c r="E2988" s="11" t="n"/>
      <c r="F2988" s="11" t="n"/>
      <c r="G2988" s="11" t="n"/>
      <c r="H2988" s="11" t="n"/>
      <c r="I2988" s="11" t="n"/>
      <c r="J2988" s="11" t="n"/>
      <c r="K2988" s="11" t="n"/>
      <c r="L2988" s="11" t="n"/>
      <c r="M2988" s="11" t="n"/>
    </row>
    <row r="2989">
      <c r="A2989" s="11" t="n"/>
      <c r="B2989" s="11" t="n"/>
      <c r="C2989" s="11" t="n"/>
      <c r="D2989" s="11" t="n"/>
      <c r="E2989" s="11" t="n"/>
      <c r="F2989" s="11" t="n"/>
      <c r="G2989" s="11" t="n"/>
      <c r="H2989" s="11" t="n"/>
      <c r="I2989" s="11" t="n"/>
      <c r="J2989" s="11" t="n"/>
      <c r="K2989" s="11" t="n"/>
      <c r="L2989" s="11" t="n"/>
      <c r="M2989" s="11" t="n"/>
    </row>
    <row r="2990">
      <c r="A2990" s="11" t="n"/>
      <c r="B2990" s="11" t="n"/>
      <c r="C2990" s="11" t="n"/>
      <c r="D2990" s="11" t="n"/>
      <c r="E2990" s="11" t="n"/>
      <c r="F2990" s="11" t="n"/>
      <c r="G2990" s="11" t="n"/>
      <c r="H2990" s="11" t="n"/>
      <c r="I2990" s="11" t="n"/>
      <c r="J2990" s="11" t="n"/>
      <c r="K2990" s="11" t="n"/>
      <c r="L2990" s="11" t="n"/>
      <c r="M2990" s="11" t="n"/>
    </row>
    <row r="2991">
      <c r="A2991" s="11" t="n"/>
      <c r="B2991" s="11" t="n"/>
      <c r="C2991" s="11" t="n"/>
      <c r="D2991" s="11" t="n"/>
      <c r="E2991" s="11" t="n"/>
      <c r="F2991" s="11" t="n"/>
      <c r="G2991" s="11" t="n"/>
      <c r="H2991" s="11" t="n"/>
      <c r="I2991" s="11" t="n"/>
      <c r="J2991" s="11" t="n"/>
      <c r="K2991" s="11" t="n"/>
      <c r="L2991" s="11" t="n"/>
      <c r="M2991" s="11" t="n"/>
    </row>
    <row r="2992">
      <c r="A2992" s="11" t="n"/>
      <c r="B2992" s="11" t="n"/>
      <c r="C2992" s="11" t="n"/>
      <c r="D2992" s="11" t="n"/>
      <c r="E2992" s="11" t="n"/>
      <c r="F2992" s="11" t="n"/>
      <c r="G2992" s="11" t="n"/>
      <c r="H2992" s="11" t="n"/>
      <c r="I2992" s="11" t="n"/>
      <c r="J2992" s="11" t="n"/>
      <c r="K2992" s="11" t="n"/>
      <c r="L2992" s="11" t="n"/>
      <c r="M2992" s="11" t="n"/>
    </row>
    <row r="2993">
      <c r="A2993" s="11" t="n"/>
      <c r="B2993" s="11" t="n"/>
      <c r="C2993" s="11" t="n"/>
      <c r="D2993" s="11" t="n"/>
      <c r="E2993" s="11" t="n"/>
      <c r="F2993" s="11" t="n"/>
      <c r="G2993" s="11" t="n"/>
      <c r="H2993" s="11" t="n"/>
      <c r="I2993" s="11" t="n"/>
      <c r="J2993" s="11" t="n"/>
      <c r="K2993" s="11" t="n"/>
      <c r="L2993" s="11" t="n"/>
      <c r="M2993" s="11" t="n"/>
    </row>
    <row r="2994">
      <c r="A2994" s="11" t="n"/>
      <c r="B2994" s="11" t="n"/>
      <c r="C2994" s="11" t="n"/>
      <c r="D2994" s="11" t="n"/>
      <c r="E2994" s="11" t="n"/>
      <c r="F2994" s="11" t="n"/>
      <c r="G2994" s="11" t="n"/>
      <c r="H2994" s="11" t="n"/>
      <c r="I2994" s="11" t="n"/>
      <c r="J2994" s="11" t="n"/>
      <c r="K2994" s="11" t="n"/>
      <c r="L2994" s="11" t="n"/>
      <c r="M2994" s="11" t="n"/>
    </row>
    <row r="2995">
      <c r="A2995" s="11" t="n"/>
      <c r="B2995" s="11" t="n"/>
      <c r="C2995" s="11" t="n"/>
      <c r="D2995" s="11" t="n"/>
      <c r="E2995" s="11" t="n"/>
      <c r="F2995" s="11" t="n"/>
      <c r="G2995" s="11" t="n"/>
      <c r="H2995" s="11" t="n"/>
      <c r="I2995" s="11" t="n"/>
      <c r="J2995" s="11" t="n"/>
      <c r="K2995" s="11" t="n"/>
      <c r="L2995" s="11" t="n"/>
      <c r="M2995" s="11" t="n"/>
    </row>
    <row r="2996">
      <c r="A2996" s="11" t="n"/>
      <c r="B2996" s="11" t="n"/>
      <c r="C2996" s="11" t="n"/>
      <c r="D2996" s="11" t="n"/>
      <c r="E2996" s="11" t="n"/>
      <c r="F2996" s="11" t="n"/>
      <c r="G2996" s="11" t="n"/>
      <c r="H2996" s="11" t="n"/>
      <c r="I2996" s="11" t="n"/>
      <c r="J2996" s="11" t="n"/>
      <c r="K2996" s="11" t="n"/>
      <c r="L2996" s="11" t="n"/>
      <c r="M2996" s="11" t="n"/>
    </row>
    <row r="2997">
      <c r="A2997" s="11" t="n"/>
      <c r="B2997" s="11" t="n"/>
      <c r="C2997" s="11" t="n"/>
      <c r="D2997" s="11" t="n"/>
      <c r="E2997" s="11" t="n"/>
      <c r="F2997" s="11" t="n"/>
      <c r="G2997" s="11" t="n"/>
      <c r="H2997" s="11" t="n"/>
      <c r="I2997" s="11" t="n"/>
      <c r="J2997" s="11" t="n"/>
      <c r="K2997" s="11" t="n"/>
      <c r="L2997" s="11" t="n"/>
      <c r="M2997" s="11" t="n"/>
    </row>
    <row r="2998">
      <c r="A2998" s="11" t="n"/>
      <c r="B2998" s="11" t="n"/>
      <c r="C2998" s="11" t="n"/>
      <c r="D2998" s="11" t="n"/>
      <c r="E2998" s="11" t="n"/>
      <c r="F2998" s="11" t="n"/>
      <c r="G2998" s="11" t="n"/>
      <c r="H2998" s="11" t="n"/>
      <c r="I2998" s="11" t="n"/>
      <c r="J2998" s="11" t="n"/>
      <c r="K2998" s="11" t="n"/>
      <c r="L2998" s="11" t="n"/>
      <c r="M2998" s="11" t="n"/>
    </row>
    <row r="2999">
      <c r="A2999" s="11" t="n"/>
      <c r="B2999" s="11" t="n"/>
      <c r="C2999" s="11" t="n"/>
      <c r="D2999" s="11" t="n"/>
      <c r="E2999" s="11" t="n"/>
      <c r="F2999" s="11" t="n"/>
      <c r="G2999" s="11" t="n"/>
      <c r="H2999" s="11" t="n"/>
      <c r="I2999" s="11" t="n"/>
      <c r="J2999" s="11" t="n"/>
      <c r="K2999" s="11" t="n"/>
      <c r="L2999" s="11" t="n"/>
      <c r="M2999" s="11" t="n"/>
    </row>
    <row r="3000">
      <c r="A3000" s="11" t="n"/>
      <c r="B3000" s="11" t="n"/>
      <c r="C3000" s="11" t="n"/>
      <c r="D3000" s="11" t="n"/>
      <c r="E3000" s="11" t="n"/>
      <c r="F3000" s="11" t="n"/>
      <c r="G3000" s="11" t="n"/>
      <c r="H3000" s="11" t="n"/>
      <c r="I3000" s="11" t="n"/>
      <c r="J3000" s="11" t="n"/>
      <c r="K3000" s="11" t="n"/>
      <c r="L3000" s="11" t="n"/>
      <c r="M3000" s="11" t="n"/>
    </row>
    <row r="3001">
      <c r="A3001" s="11" t="n"/>
      <c r="B3001" s="11" t="n"/>
      <c r="C3001" s="11" t="n"/>
      <c r="D3001" s="11" t="n"/>
      <c r="E3001" s="11" t="n"/>
      <c r="F3001" s="11" t="n"/>
      <c r="G3001" s="11" t="n"/>
      <c r="H3001" s="11" t="n"/>
      <c r="I3001" s="11" t="n"/>
      <c r="J3001" s="11" t="n"/>
      <c r="K3001" s="11" t="n"/>
      <c r="L3001" s="11" t="n"/>
      <c r="M3001" s="11" t="n"/>
    </row>
    <row r="3002">
      <c r="A3002" s="11" t="n"/>
      <c r="B3002" s="11" t="n"/>
      <c r="C3002" s="11" t="n"/>
      <c r="D3002" s="11" t="n"/>
      <c r="E3002" s="11" t="n"/>
      <c r="F3002" s="11" t="n"/>
      <c r="G3002" s="11" t="n"/>
      <c r="H3002" s="11" t="n"/>
      <c r="I3002" s="11" t="n"/>
      <c r="J3002" s="11" t="n"/>
      <c r="K3002" s="11" t="n"/>
      <c r="L3002" s="11" t="n"/>
      <c r="M3002" s="11" t="n"/>
    </row>
    <row r="3003">
      <c r="A3003" s="11" t="n"/>
      <c r="B3003" s="11" t="n"/>
      <c r="C3003" s="11" t="n"/>
      <c r="D3003" s="11" t="n"/>
      <c r="E3003" s="11" t="n"/>
      <c r="F3003" s="11" t="n"/>
      <c r="G3003" s="11" t="n"/>
      <c r="H3003" s="11" t="n"/>
      <c r="I3003" s="11" t="n"/>
      <c r="J3003" s="11" t="n"/>
      <c r="K3003" s="11" t="n"/>
      <c r="L3003" s="11" t="n"/>
      <c r="M3003" s="11" t="n"/>
    </row>
    <row r="3004">
      <c r="A3004" s="11" t="n"/>
      <c r="B3004" s="11" t="n"/>
      <c r="C3004" s="11" t="n"/>
      <c r="D3004" s="11" t="n"/>
      <c r="E3004" s="11" t="n"/>
      <c r="F3004" s="11" t="n"/>
      <c r="G3004" s="11" t="n"/>
      <c r="H3004" s="11" t="n"/>
      <c r="I3004" s="11" t="n"/>
      <c r="J3004" s="11" t="n"/>
      <c r="K3004" s="11" t="n"/>
      <c r="L3004" s="11" t="n"/>
      <c r="M3004" s="11" t="n"/>
    </row>
    <row r="3005">
      <c r="A3005" s="11" t="n"/>
      <c r="B3005" s="11" t="n"/>
      <c r="C3005" s="11" t="n"/>
      <c r="D3005" s="11" t="n"/>
      <c r="E3005" s="11" t="n"/>
      <c r="F3005" s="11" t="n"/>
      <c r="G3005" s="11" t="n"/>
      <c r="H3005" s="11" t="n"/>
      <c r="I3005" s="11" t="n"/>
      <c r="J3005" s="11" t="n"/>
      <c r="K3005" s="11" t="n"/>
      <c r="L3005" s="11" t="n"/>
      <c r="M3005" s="11" t="n"/>
    </row>
    <row r="3006">
      <c r="A3006" s="11" t="n"/>
      <c r="B3006" s="11" t="n"/>
      <c r="C3006" s="11" t="n"/>
      <c r="D3006" s="11" t="n"/>
      <c r="E3006" s="11" t="n"/>
      <c r="F3006" s="11" t="n"/>
      <c r="G3006" s="11" t="n"/>
      <c r="H3006" s="11" t="n"/>
      <c r="I3006" s="11" t="n"/>
      <c r="J3006" s="11" t="n"/>
      <c r="K3006" s="11" t="n"/>
      <c r="L3006" s="11" t="n"/>
      <c r="M3006" s="11" t="n"/>
    </row>
    <row r="3007">
      <c r="A3007" s="11" t="n"/>
      <c r="B3007" s="11" t="n"/>
      <c r="C3007" s="11" t="n"/>
      <c r="D3007" s="11" t="n"/>
      <c r="E3007" s="11" t="n"/>
      <c r="F3007" s="11" t="n"/>
      <c r="G3007" s="11" t="n"/>
      <c r="H3007" s="11" t="n"/>
      <c r="I3007" s="11" t="n"/>
      <c r="J3007" s="11" t="n"/>
      <c r="K3007" s="11" t="n"/>
      <c r="L3007" s="11" t="n"/>
      <c r="M3007" s="11" t="n"/>
    </row>
    <row r="3008">
      <c r="A3008" s="11" t="n"/>
      <c r="B3008" s="11" t="n"/>
      <c r="C3008" s="11" t="n"/>
      <c r="D3008" s="11" t="n"/>
      <c r="E3008" s="11" t="n"/>
      <c r="F3008" s="11" t="n"/>
      <c r="G3008" s="11" t="n"/>
      <c r="H3008" s="11" t="n"/>
      <c r="I3008" s="11" t="n"/>
      <c r="J3008" s="11" t="n"/>
      <c r="K3008" s="11" t="n"/>
      <c r="L3008" s="11" t="n"/>
      <c r="M3008" s="11" t="n"/>
    </row>
    <row r="3009">
      <c r="A3009" s="11" t="n"/>
      <c r="B3009" s="11" t="n"/>
      <c r="C3009" s="11" t="n"/>
      <c r="D3009" s="11" t="n"/>
      <c r="E3009" s="11" t="n"/>
      <c r="F3009" s="11" t="n"/>
      <c r="G3009" s="11" t="n"/>
      <c r="H3009" s="11" t="n"/>
      <c r="I3009" s="11" t="n"/>
      <c r="J3009" s="11" t="n"/>
      <c r="K3009" s="11" t="n"/>
      <c r="L3009" s="11" t="n"/>
      <c r="M3009" s="11" t="n"/>
    </row>
    <row r="3010">
      <c r="A3010" s="11" t="n"/>
      <c r="B3010" s="11" t="n"/>
      <c r="C3010" s="11" t="n"/>
      <c r="D3010" s="11" t="n"/>
      <c r="E3010" s="11" t="n"/>
      <c r="F3010" s="11" t="n"/>
      <c r="G3010" s="11" t="n"/>
      <c r="H3010" s="11" t="n"/>
      <c r="I3010" s="11" t="n"/>
      <c r="J3010" s="11" t="n"/>
      <c r="K3010" s="11" t="n"/>
      <c r="L3010" s="11" t="n"/>
      <c r="M3010" s="11" t="n"/>
    </row>
    <row r="3011">
      <c r="A3011" s="11" t="n"/>
      <c r="B3011" s="11" t="n"/>
      <c r="C3011" s="11" t="n"/>
      <c r="D3011" s="11" t="n"/>
      <c r="E3011" s="11" t="n"/>
      <c r="F3011" s="11" t="n"/>
      <c r="G3011" s="11" t="n"/>
      <c r="H3011" s="11" t="n"/>
      <c r="I3011" s="11" t="n"/>
      <c r="J3011" s="11" t="n"/>
      <c r="K3011" s="11" t="n"/>
      <c r="L3011" s="11" t="n"/>
      <c r="M3011" s="11" t="n"/>
    </row>
    <row r="3012">
      <c r="A3012" s="11" t="n"/>
      <c r="B3012" s="11" t="n"/>
      <c r="C3012" s="11" t="n"/>
      <c r="D3012" s="11" t="n"/>
      <c r="E3012" s="11" t="n"/>
      <c r="F3012" s="11" t="n"/>
      <c r="G3012" s="11" t="n"/>
      <c r="H3012" s="11" t="n"/>
      <c r="I3012" s="11" t="n"/>
      <c r="J3012" s="11" t="n"/>
      <c r="K3012" s="11" t="n"/>
      <c r="L3012" s="11" t="n"/>
      <c r="M3012" s="11" t="n"/>
    </row>
    <row r="3013">
      <c r="A3013" s="11" t="n"/>
      <c r="B3013" s="11" t="n"/>
      <c r="C3013" s="11" t="n"/>
      <c r="D3013" s="11" t="n"/>
      <c r="E3013" s="11" t="n"/>
      <c r="F3013" s="11" t="n"/>
      <c r="G3013" s="11" t="n"/>
      <c r="H3013" s="11" t="n"/>
      <c r="I3013" s="11" t="n"/>
      <c r="J3013" s="11" t="n"/>
      <c r="K3013" s="11" t="n"/>
      <c r="L3013" s="11" t="n"/>
      <c r="M3013" s="11" t="n"/>
    </row>
    <row r="3014">
      <c r="A3014" s="11" t="n"/>
      <c r="B3014" s="11" t="n"/>
      <c r="C3014" s="11" t="n"/>
      <c r="D3014" s="11" t="n"/>
      <c r="E3014" s="11" t="n"/>
      <c r="F3014" s="11" t="n"/>
      <c r="G3014" s="11" t="n"/>
      <c r="H3014" s="11" t="n"/>
      <c r="I3014" s="11" t="n"/>
      <c r="J3014" s="11" t="n"/>
      <c r="K3014" s="11" t="n"/>
      <c r="L3014" s="11" t="n"/>
      <c r="M3014" s="11" t="n"/>
    </row>
    <row r="3015">
      <c r="A3015" s="11" t="n"/>
      <c r="B3015" s="11" t="n"/>
      <c r="C3015" s="11" t="n"/>
      <c r="D3015" s="11" t="n"/>
      <c r="E3015" s="11" t="n"/>
      <c r="F3015" s="11" t="n"/>
      <c r="G3015" s="11" t="n"/>
      <c r="H3015" s="11" t="n"/>
      <c r="I3015" s="11" t="n"/>
      <c r="J3015" s="11" t="n"/>
      <c r="K3015" s="11" t="n"/>
      <c r="L3015" s="11" t="n"/>
      <c r="M3015" s="11" t="n"/>
    </row>
    <row r="3016">
      <c r="A3016" s="11" t="n"/>
      <c r="B3016" s="11" t="n"/>
      <c r="C3016" s="11" t="n"/>
      <c r="D3016" s="11" t="n"/>
      <c r="E3016" s="11" t="n"/>
      <c r="F3016" s="11" t="n"/>
      <c r="G3016" s="11" t="n"/>
      <c r="H3016" s="11" t="n"/>
      <c r="I3016" s="11" t="n"/>
      <c r="J3016" s="11" t="n"/>
      <c r="K3016" s="11" t="n"/>
      <c r="L3016" s="11" t="n"/>
      <c r="M3016" s="11" t="n"/>
    </row>
    <row r="3017">
      <c r="A3017" s="11" t="n"/>
      <c r="B3017" s="11" t="n"/>
      <c r="C3017" s="11" t="n"/>
      <c r="D3017" s="11" t="n"/>
      <c r="E3017" s="11" t="n"/>
      <c r="F3017" s="11" t="n"/>
      <c r="G3017" s="11" t="n"/>
      <c r="H3017" s="11" t="n"/>
      <c r="I3017" s="11" t="n"/>
      <c r="J3017" s="11" t="n"/>
      <c r="K3017" s="11" t="n"/>
      <c r="L3017" s="11" t="n"/>
      <c r="M3017" s="11" t="n"/>
    </row>
    <row r="3018">
      <c r="A3018" s="11" t="n"/>
      <c r="B3018" s="11" t="n"/>
      <c r="C3018" s="11" t="n"/>
      <c r="D3018" s="11" t="n"/>
      <c r="E3018" s="11" t="n"/>
      <c r="F3018" s="11" t="n"/>
      <c r="G3018" s="11" t="n"/>
      <c r="H3018" s="11" t="n"/>
      <c r="I3018" s="11" t="n"/>
      <c r="J3018" s="11" t="n"/>
      <c r="K3018" s="11" t="n"/>
      <c r="L3018" s="11" t="n"/>
      <c r="M3018" s="11" t="n"/>
    </row>
    <row r="3019">
      <c r="A3019" s="11" t="n"/>
      <c r="B3019" s="11" t="n"/>
      <c r="C3019" s="11" t="n"/>
      <c r="D3019" s="11" t="n"/>
      <c r="E3019" s="11" t="n"/>
      <c r="F3019" s="11" t="n"/>
      <c r="G3019" s="11" t="n"/>
      <c r="H3019" s="11" t="n"/>
      <c r="I3019" s="11" t="n"/>
      <c r="J3019" s="11" t="n"/>
      <c r="K3019" s="11" t="n"/>
      <c r="L3019" s="11" t="n"/>
      <c r="M3019" s="11" t="n"/>
    </row>
    <row r="3020">
      <c r="A3020" s="11" t="n"/>
      <c r="B3020" s="11" t="n"/>
      <c r="C3020" s="11" t="n"/>
      <c r="D3020" s="11" t="n"/>
      <c r="E3020" s="11" t="n"/>
      <c r="F3020" s="11" t="n"/>
      <c r="G3020" s="11" t="n"/>
      <c r="H3020" s="11" t="n"/>
      <c r="I3020" s="11" t="n"/>
      <c r="J3020" s="11" t="n"/>
      <c r="K3020" s="11" t="n"/>
      <c r="L3020" s="11" t="n"/>
      <c r="M3020" s="11" t="n"/>
    </row>
    <row r="3021">
      <c r="A3021" s="11" t="n"/>
      <c r="B3021" s="11" t="n"/>
      <c r="C3021" s="11" t="n"/>
      <c r="D3021" s="11" t="n"/>
      <c r="E3021" s="11" t="n"/>
      <c r="F3021" s="11" t="n"/>
      <c r="G3021" s="11" t="n"/>
      <c r="H3021" s="11" t="n"/>
      <c r="I3021" s="11" t="n"/>
      <c r="J3021" s="11" t="n"/>
      <c r="K3021" s="11" t="n"/>
      <c r="L3021" s="11" t="n"/>
      <c r="M3021" s="11" t="n"/>
    </row>
    <row r="3022">
      <c r="A3022" s="11" t="n"/>
      <c r="B3022" s="11" t="n"/>
      <c r="C3022" s="11" t="n"/>
      <c r="D3022" s="11" t="n"/>
      <c r="E3022" s="11" t="n"/>
      <c r="F3022" s="11" t="n"/>
      <c r="G3022" s="11" t="n"/>
      <c r="H3022" s="11" t="n"/>
      <c r="I3022" s="11" t="n"/>
      <c r="J3022" s="11" t="n"/>
      <c r="K3022" s="11" t="n"/>
      <c r="L3022" s="11" t="n"/>
      <c r="M3022" s="11" t="n"/>
    </row>
    <row r="3023">
      <c r="A3023" s="11" t="n"/>
      <c r="B3023" s="11" t="n"/>
      <c r="C3023" s="11" t="n"/>
      <c r="D3023" s="11" t="n"/>
      <c r="E3023" s="11" t="n"/>
      <c r="F3023" s="11" t="n"/>
      <c r="G3023" s="11" t="n"/>
      <c r="H3023" s="11" t="n"/>
      <c r="I3023" s="11" t="n"/>
      <c r="J3023" s="11" t="n"/>
      <c r="K3023" s="11" t="n"/>
      <c r="L3023" s="11" t="n"/>
      <c r="M3023" s="11" t="n"/>
    </row>
    <row r="3024">
      <c r="A3024" s="11" t="n"/>
      <c r="B3024" s="11" t="n"/>
      <c r="C3024" s="11" t="n"/>
      <c r="D3024" s="11" t="n"/>
      <c r="E3024" s="11" t="n"/>
      <c r="F3024" s="11" t="n"/>
      <c r="G3024" s="11" t="n"/>
      <c r="H3024" s="11" t="n"/>
      <c r="I3024" s="11" t="n"/>
      <c r="J3024" s="11" t="n"/>
      <c r="K3024" s="11" t="n"/>
      <c r="L3024" s="11" t="n"/>
      <c r="M3024" s="11" t="n"/>
    </row>
    <row r="3025">
      <c r="A3025" s="11" t="n"/>
      <c r="B3025" s="11" t="n"/>
      <c r="C3025" s="11" t="n"/>
      <c r="D3025" s="11" t="n"/>
      <c r="E3025" s="11" t="n"/>
      <c r="F3025" s="11" t="n"/>
      <c r="G3025" s="11" t="n"/>
      <c r="H3025" s="11" t="n"/>
      <c r="I3025" s="11" t="n"/>
      <c r="J3025" s="11" t="n"/>
      <c r="K3025" s="11" t="n"/>
      <c r="L3025" s="11" t="n"/>
      <c r="M3025" s="11" t="n"/>
    </row>
    <row r="3026">
      <c r="A3026" s="11" t="n"/>
      <c r="B3026" s="11" t="n"/>
      <c r="C3026" s="11" t="n"/>
      <c r="D3026" s="11" t="n"/>
      <c r="E3026" s="11" t="n"/>
      <c r="F3026" s="11" t="n"/>
      <c r="G3026" s="11" t="n"/>
      <c r="H3026" s="11" t="n"/>
      <c r="I3026" s="11" t="n"/>
      <c r="J3026" s="11" t="n"/>
      <c r="K3026" s="11" t="n"/>
      <c r="L3026" s="11" t="n"/>
      <c r="M3026" s="11" t="n"/>
    </row>
    <row r="3027">
      <c r="A3027" s="11" t="n"/>
      <c r="B3027" s="11" t="n"/>
      <c r="C3027" s="11" t="n"/>
      <c r="D3027" s="11" t="n"/>
      <c r="E3027" s="11" t="n"/>
      <c r="F3027" s="11" t="n"/>
      <c r="G3027" s="11" t="n"/>
      <c r="H3027" s="11" t="n"/>
      <c r="I3027" s="11" t="n"/>
      <c r="J3027" s="11" t="n"/>
      <c r="K3027" s="11" t="n"/>
      <c r="L3027" s="11" t="n"/>
      <c r="M3027" s="11" t="n"/>
    </row>
    <row r="3028">
      <c r="A3028" s="11" t="n"/>
      <c r="B3028" s="11" t="n"/>
      <c r="C3028" s="11" t="n"/>
      <c r="D3028" s="11" t="n"/>
      <c r="E3028" s="11" t="n"/>
      <c r="F3028" s="11" t="n"/>
      <c r="G3028" s="11" t="n"/>
      <c r="H3028" s="11" t="n"/>
      <c r="I3028" s="11" t="n"/>
      <c r="J3028" s="11" t="n"/>
      <c r="K3028" s="11" t="n"/>
      <c r="L3028" s="11" t="n"/>
      <c r="M3028" s="11" t="n"/>
    </row>
    <row r="3029">
      <c r="A3029" s="11" t="n"/>
      <c r="B3029" s="11" t="n"/>
      <c r="C3029" s="11" t="n"/>
      <c r="D3029" s="11" t="n"/>
      <c r="E3029" s="11" t="n"/>
      <c r="F3029" s="11" t="n"/>
      <c r="G3029" s="11" t="n"/>
      <c r="H3029" s="11" t="n"/>
      <c r="I3029" s="11" t="n"/>
      <c r="J3029" s="11" t="n"/>
      <c r="K3029" s="11" t="n"/>
      <c r="L3029" s="11" t="n"/>
      <c r="M3029" s="11" t="n"/>
    </row>
    <row r="3030">
      <c r="A3030" s="11" t="n"/>
      <c r="B3030" s="11" t="n"/>
      <c r="C3030" s="11" t="n"/>
      <c r="D3030" s="11" t="n"/>
      <c r="E3030" s="11" t="n"/>
      <c r="F3030" s="11" t="n"/>
      <c r="G3030" s="11" t="n"/>
      <c r="H3030" s="11" t="n"/>
      <c r="I3030" s="11" t="n"/>
      <c r="J3030" s="11" t="n"/>
      <c r="K3030" s="11" t="n"/>
      <c r="L3030" s="11" t="n"/>
      <c r="M3030" s="11" t="n"/>
    </row>
    <row r="3031">
      <c r="A3031" s="11" t="n"/>
      <c r="B3031" s="11" t="n"/>
      <c r="C3031" s="11" t="n"/>
      <c r="D3031" s="11" t="n"/>
      <c r="E3031" s="11" t="n"/>
      <c r="F3031" s="11" t="n"/>
      <c r="G3031" s="11" t="n"/>
      <c r="H3031" s="11" t="n"/>
      <c r="I3031" s="11" t="n"/>
      <c r="J3031" s="11" t="n"/>
      <c r="K3031" s="11" t="n"/>
      <c r="L3031" s="11" t="n"/>
      <c r="M3031" s="11" t="n"/>
    </row>
    <row r="3032">
      <c r="A3032" s="11" t="n"/>
      <c r="B3032" s="11" t="n"/>
      <c r="C3032" s="11" t="n"/>
      <c r="D3032" s="11" t="n"/>
      <c r="E3032" s="11" t="n"/>
      <c r="F3032" s="11" t="n"/>
      <c r="G3032" s="11" t="n"/>
      <c r="H3032" s="11" t="n"/>
      <c r="I3032" s="11" t="n"/>
      <c r="J3032" s="11" t="n"/>
      <c r="K3032" s="11" t="n"/>
      <c r="L3032" s="11" t="n"/>
      <c r="M3032" s="11" t="n"/>
    </row>
    <row r="3033">
      <c r="A3033" s="11" t="n"/>
      <c r="B3033" s="11" t="n"/>
      <c r="C3033" s="11" t="n"/>
      <c r="D3033" s="11" t="n"/>
      <c r="E3033" s="11" t="n"/>
      <c r="F3033" s="11" t="n"/>
      <c r="G3033" s="11" t="n"/>
      <c r="H3033" s="11" t="n"/>
      <c r="I3033" s="11" t="n"/>
      <c r="J3033" s="11" t="n"/>
      <c r="K3033" s="11" t="n"/>
      <c r="L3033" s="11" t="n"/>
      <c r="M3033" s="11" t="n"/>
    </row>
    <row r="3034">
      <c r="A3034" s="11" t="n"/>
      <c r="B3034" s="11" t="n"/>
      <c r="C3034" s="11" t="n"/>
      <c r="D3034" s="11" t="n"/>
      <c r="E3034" s="11" t="n"/>
      <c r="F3034" s="11" t="n"/>
      <c r="G3034" s="11" t="n"/>
      <c r="H3034" s="11" t="n"/>
      <c r="I3034" s="11" t="n"/>
      <c r="J3034" s="11" t="n"/>
      <c r="K3034" s="11" t="n"/>
      <c r="L3034" s="11" t="n"/>
      <c r="M3034" s="11" t="n"/>
    </row>
    <row r="3035">
      <c r="A3035" s="11" t="n"/>
      <c r="B3035" s="11" t="n"/>
      <c r="C3035" s="11" t="n"/>
      <c r="D3035" s="11" t="n"/>
      <c r="E3035" s="11" t="n"/>
      <c r="F3035" s="11" t="n"/>
      <c r="G3035" s="11" t="n"/>
      <c r="H3035" s="11" t="n"/>
      <c r="I3035" s="11" t="n"/>
      <c r="J3035" s="11" t="n"/>
      <c r="K3035" s="11" t="n"/>
      <c r="L3035" s="11" t="n"/>
      <c r="M3035" s="11" t="n"/>
    </row>
    <row r="3036">
      <c r="A3036" s="11" t="n"/>
      <c r="B3036" s="11" t="n"/>
      <c r="C3036" s="11" t="n"/>
      <c r="D3036" s="11" t="n"/>
      <c r="E3036" s="11" t="n"/>
      <c r="F3036" s="11" t="n"/>
      <c r="G3036" s="11" t="n"/>
      <c r="H3036" s="11" t="n"/>
      <c r="I3036" s="11" t="n"/>
      <c r="J3036" s="11" t="n"/>
      <c r="K3036" s="11" t="n"/>
      <c r="L3036" s="11" t="n"/>
      <c r="M3036" s="11" t="n"/>
    </row>
    <row r="3037">
      <c r="A3037" s="11" t="n"/>
      <c r="B3037" s="11" t="n"/>
      <c r="C3037" s="11" t="n"/>
      <c r="D3037" s="11" t="n"/>
      <c r="E3037" s="11" t="n"/>
      <c r="F3037" s="11" t="n"/>
      <c r="G3037" s="11" t="n"/>
      <c r="H3037" s="11" t="n"/>
      <c r="I3037" s="11" t="n"/>
      <c r="J3037" s="11" t="n"/>
      <c r="K3037" s="11" t="n"/>
      <c r="L3037" s="11" t="n"/>
      <c r="M3037" s="11" t="n"/>
    </row>
    <row r="3038">
      <c r="A3038" s="11" t="n"/>
      <c r="B3038" s="11" t="n"/>
      <c r="C3038" s="11" t="n"/>
      <c r="D3038" s="11" t="n"/>
      <c r="E3038" s="11" t="n"/>
      <c r="F3038" s="11" t="n"/>
      <c r="G3038" s="11" t="n"/>
      <c r="H3038" s="11" t="n"/>
      <c r="I3038" s="11" t="n"/>
      <c r="J3038" s="11" t="n"/>
      <c r="K3038" s="11" t="n"/>
      <c r="L3038" s="11" t="n"/>
      <c r="M3038" s="11" t="n"/>
    </row>
    <row r="3039">
      <c r="A3039" s="11" t="n"/>
      <c r="B3039" s="11" t="n"/>
      <c r="C3039" s="11" t="n"/>
      <c r="D3039" s="11" t="n"/>
      <c r="E3039" s="11" t="n"/>
      <c r="F3039" s="11" t="n"/>
      <c r="G3039" s="11" t="n"/>
      <c r="H3039" s="11" t="n"/>
      <c r="I3039" s="11" t="n"/>
      <c r="J3039" s="11" t="n"/>
      <c r="K3039" s="11" t="n"/>
      <c r="L3039" s="11" t="n"/>
      <c r="M3039" s="11" t="n"/>
    </row>
    <row r="3040">
      <c r="A3040" s="11" t="n"/>
      <c r="B3040" s="11" t="n"/>
      <c r="C3040" s="11" t="n"/>
      <c r="D3040" s="11" t="n"/>
      <c r="E3040" s="11" t="n"/>
      <c r="F3040" s="11" t="n"/>
      <c r="G3040" s="11" t="n"/>
      <c r="H3040" s="11" t="n"/>
      <c r="I3040" s="11" t="n"/>
      <c r="J3040" s="11" t="n"/>
      <c r="K3040" s="11" t="n"/>
      <c r="L3040" s="11" t="n"/>
      <c r="M3040" s="11" t="n"/>
    </row>
    <row r="3041">
      <c r="A3041" s="11" t="n"/>
      <c r="B3041" s="11" t="n"/>
      <c r="C3041" s="11" t="n"/>
      <c r="D3041" s="11" t="n"/>
      <c r="E3041" s="11" t="n"/>
      <c r="F3041" s="11" t="n"/>
      <c r="G3041" s="11" t="n"/>
      <c r="H3041" s="11" t="n"/>
      <c r="I3041" s="11" t="n"/>
      <c r="J3041" s="11" t="n"/>
      <c r="K3041" s="11" t="n"/>
      <c r="L3041" s="11" t="n"/>
      <c r="M3041" s="11" t="n"/>
    </row>
    <row r="3042">
      <c r="A3042" s="11" t="n"/>
      <c r="B3042" s="11" t="n"/>
      <c r="C3042" s="11" t="n"/>
      <c r="D3042" s="11" t="n"/>
      <c r="E3042" s="11" t="n"/>
      <c r="F3042" s="11" t="n"/>
      <c r="G3042" s="11" t="n"/>
      <c r="H3042" s="11" t="n"/>
      <c r="I3042" s="11" t="n"/>
      <c r="J3042" s="11" t="n"/>
      <c r="K3042" s="11" t="n"/>
      <c r="L3042" s="11" t="n"/>
      <c r="M3042" s="11" t="n"/>
    </row>
    <row r="3043">
      <c r="A3043" s="11" t="n"/>
      <c r="B3043" s="11" t="n"/>
      <c r="C3043" s="11" t="n"/>
      <c r="D3043" s="11" t="n"/>
      <c r="E3043" s="11" t="n"/>
      <c r="F3043" s="11" t="n"/>
      <c r="G3043" s="11" t="n"/>
      <c r="H3043" s="11" t="n"/>
      <c r="I3043" s="11" t="n"/>
      <c r="J3043" s="11" t="n"/>
      <c r="K3043" s="11" t="n"/>
      <c r="L3043" s="11" t="n"/>
      <c r="M3043" s="11" t="n"/>
    </row>
    <row r="3044">
      <c r="A3044" s="11" t="n"/>
      <c r="B3044" s="11" t="n"/>
      <c r="C3044" s="11" t="n"/>
      <c r="D3044" s="11" t="n"/>
      <c r="E3044" s="11" t="n"/>
      <c r="F3044" s="11" t="n"/>
      <c r="G3044" s="11" t="n"/>
      <c r="H3044" s="11" t="n"/>
      <c r="I3044" s="11" t="n"/>
      <c r="J3044" s="11" t="n"/>
      <c r="K3044" s="11" t="n"/>
      <c r="L3044" s="11" t="n"/>
      <c r="M3044" s="11" t="n"/>
    </row>
    <row r="3045">
      <c r="A3045" s="11" t="n"/>
      <c r="B3045" s="11" t="n"/>
      <c r="C3045" s="11" t="n"/>
      <c r="D3045" s="11" t="n"/>
      <c r="E3045" s="11" t="n"/>
      <c r="F3045" s="11" t="n"/>
      <c r="G3045" s="11" t="n"/>
      <c r="H3045" s="11" t="n"/>
      <c r="I3045" s="11" t="n"/>
      <c r="J3045" s="11" t="n"/>
      <c r="K3045" s="11" t="n"/>
      <c r="L3045" s="11" t="n"/>
      <c r="M3045" s="11" t="n"/>
    </row>
    <row r="3046">
      <c r="A3046" s="11" t="n"/>
      <c r="B3046" s="11" t="n"/>
      <c r="C3046" s="11" t="n"/>
      <c r="D3046" s="11" t="n"/>
      <c r="E3046" s="11" t="n"/>
      <c r="F3046" s="11" t="n"/>
      <c r="G3046" s="11" t="n"/>
      <c r="H3046" s="11" t="n"/>
      <c r="I3046" s="11" t="n"/>
      <c r="J3046" s="11" t="n"/>
      <c r="K3046" s="11" t="n"/>
      <c r="L3046" s="11" t="n"/>
      <c r="M3046" s="11" t="n"/>
    </row>
    <row r="3047">
      <c r="A3047" s="11" t="n"/>
      <c r="B3047" s="11" t="n"/>
      <c r="C3047" s="11" t="n"/>
      <c r="D3047" s="11" t="n"/>
      <c r="E3047" s="11" t="n"/>
      <c r="F3047" s="11" t="n"/>
      <c r="G3047" s="11" t="n"/>
      <c r="H3047" s="11" t="n"/>
      <c r="I3047" s="11" t="n"/>
      <c r="J3047" s="11" t="n"/>
      <c r="K3047" s="11" t="n"/>
      <c r="L3047" s="11" t="n"/>
      <c r="M3047" s="11" t="n"/>
    </row>
    <row r="3048">
      <c r="A3048" s="11" t="n"/>
      <c r="B3048" s="11" t="n"/>
      <c r="C3048" s="11" t="n"/>
      <c r="D3048" s="11" t="n"/>
      <c r="E3048" s="11" t="n"/>
      <c r="F3048" s="11" t="n"/>
      <c r="G3048" s="11" t="n"/>
      <c r="H3048" s="11" t="n"/>
      <c r="I3048" s="11" t="n"/>
      <c r="J3048" s="11" t="n"/>
      <c r="K3048" s="11" t="n"/>
      <c r="L3048" s="11" t="n"/>
      <c r="M3048" s="11" t="n"/>
    </row>
    <row r="3049">
      <c r="A3049" s="11" t="n"/>
      <c r="B3049" s="11" t="n"/>
      <c r="C3049" s="11" t="n"/>
      <c r="D3049" s="11" t="n"/>
      <c r="E3049" s="11" t="n"/>
      <c r="F3049" s="11" t="n"/>
      <c r="G3049" s="11" t="n"/>
      <c r="H3049" s="11" t="n"/>
      <c r="I3049" s="11" t="n"/>
      <c r="J3049" s="11" t="n"/>
      <c r="K3049" s="11" t="n"/>
      <c r="L3049" s="11" t="n"/>
      <c r="M3049" s="11" t="n"/>
    </row>
    <row r="3050">
      <c r="A3050" s="11" t="n"/>
      <c r="B3050" s="11" t="n"/>
      <c r="C3050" s="11" t="n"/>
      <c r="D3050" s="11" t="n"/>
      <c r="E3050" s="11" t="n"/>
      <c r="F3050" s="11" t="n"/>
      <c r="G3050" s="11" t="n"/>
      <c r="H3050" s="11" t="n"/>
      <c r="I3050" s="11" t="n"/>
      <c r="J3050" s="11" t="n"/>
      <c r="K3050" s="11" t="n"/>
      <c r="L3050" s="11" t="n"/>
      <c r="M3050" s="11" t="n"/>
    </row>
    <row r="3051">
      <c r="A3051" s="11" t="n"/>
      <c r="B3051" s="11" t="n"/>
      <c r="C3051" s="11" t="n"/>
      <c r="D3051" s="11" t="n"/>
      <c r="E3051" s="11" t="n"/>
      <c r="F3051" s="11" t="n"/>
      <c r="G3051" s="11" t="n"/>
      <c r="H3051" s="11" t="n"/>
      <c r="I3051" s="11" t="n"/>
      <c r="J3051" s="11" t="n"/>
      <c r="K3051" s="11" t="n"/>
      <c r="L3051" s="11" t="n"/>
      <c r="M3051" s="11" t="n"/>
    </row>
    <row r="3052">
      <c r="A3052" s="11" t="n"/>
      <c r="B3052" s="11" t="n"/>
      <c r="C3052" s="11" t="n"/>
      <c r="D3052" s="11" t="n"/>
      <c r="E3052" s="11" t="n"/>
      <c r="F3052" s="11" t="n"/>
      <c r="G3052" s="11" t="n"/>
      <c r="H3052" s="11" t="n"/>
      <c r="I3052" s="11" t="n"/>
      <c r="J3052" s="11" t="n"/>
      <c r="K3052" s="11" t="n"/>
      <c r="L3052" s="11" t="n"/>
      <c r="M3052" s="11" t="n"/>
    </row>
    <row r="3053">
      <c r="A3053" s="11" t="n"/>
      <c r="B3053" s="11" t="n"/>
      <c r="C3053" s="11" t="n"/>
      <c r="D3053" s="11" t="n"/>
      <c r="E3053" s="11" t="n"/>
      <c r="F3053" s="11" t="n"/>
      <c r="G3053" s="11" t="n"/>
      <c r="H3053" s="11" t="n"/>
      <c r="I3053" s="11" t="n"/>
      <c r="J3053" s="11" t="n"/>
      <c r="K3053" s="11" t="n"/>
      <c r="L3053" s="11" t="n"/>
      <c r="M3053" s="11" t="n"/>
    </row>
    <row r="3054">
      <c r="A3054" s="11" t="n"/>
      <c r="B3054" s="11" t="n"/>
      <c r="C3054" s="11" t="n"/>
      <c r="D3054" s="11" t="n"/>
      <c r="E3054" s="11" t="n"/>
      <c r="F3054" s="11" t="n"/>
      <c r="G3054" s="11" t="n"/>
      <c r="H3054" s="11" t="n"/>
      <c r="I3054" s="11" t="n"/>
      <c r="J3054" s="11" t="n"/>
      <c r="K3054" s="11" t="n"/>
      <c r="L3054" s="11" t="n"/>
      <c r="M3054" s="11" t="n"/>
    </row>
    <row r="3055">
      <c r="A3055" s="11" t="n"/>
      <c r="B3055" s="11" t="n"/>
      <c r="C3055" s="11" t="n"/>
      <c r="D3055" s="11" t="n"/>
      <c r="E3055" s="11" t="n"/>
      <c r="F3055" s="11" t="n"/>
      <c r="G3055" s="11" t="n"/>
      <c r="H3055" s="11" t="n"/>
      <c r="I3055" s="11" t="n"/>
      <c r="J3055" s="11" t="n"/>
      <c r="K3055" s="11" t="n"/>
      <c r="L3055" s="11" t="n"/>
      <c r="M3055" s="11" t="n"/>
    </row>
    <row r="3056">
      <c r="A3056" s="11" t="n"/>
      <c r="B3056" s="11" t="n"/>
      <c r="C3056" s="11" t="n"/>
      <c r="D3056" s="11" t="n"/>
      <c r="E3056" s="11" t="n"/>
      <c r="F3056" s="11" t="n"/>
      <c r="G3056" s="11" t="n"/>
      <c r="H3056" s="11" t="n"/>
      <c r="I3056" s="11" t="n"/>
      <c r="J3056" s="11" t="n"/>
      <c r="K3056" s="11" t="n"/>
      <c r="L3056" s="11" t="n"/>
      <c r="M3056" s="11" t="n"/>
    </row>
    <row r="3057">
      <c r="A3057" s="11" t="n"/>
      <c r="B3057" s="11" t="n"/>
      <c r="C3057" s="11" t="n"/>
      <c r="D3057" s="11" t="n"/>
      <c r="E3057" s="11" t="n"/>
      <c r="F3057" s="11" t="n"/>
      <c r="G3057" s="11" t="n"/>
      <c r="H3057" s="11" t="n"/>
      <c r="I3057" s="11" t="n"/>
      <c r="J3057" s="11" t="n"/>
      <c r="K3057" s="11" t="n"/>
      <c r="L3057" s="11" t="n"/>
      <c r="M3057" s="11" t="n"/>
    </row>
    <row r="3058">
      <c r="A3058" s="11" t="n"/>
      <c r="B3058" s="11" t="n"/>
      <c r="C3058" s="11" t="n"/>
      <c r="D3058" s="11" t="n"/>
      <c r="E3058" s="11" t="n"/>
      <c r="F3058" s="11" t="n"/>
      <c r="G3058" s="11" t="n"/>
      <c r="H3058" s="11" t="n"/>
      <c r="I3058" s="11" t="n"/>
      <c r="J3058" s="11" t="n"/>
      <c r="K3058" s="11" t="n"/>
      <c r="L3058" s="11" t="n"/>
      <c r="M3058" s="11" t="n"/>
    </row>
    <row r="3059">
      <c r="A3059" s="11" t="n"/>
      <c r="B3059" s="11" t="n"/>
      <c r="C3059" s="11" t="n"/>
      <c r="D3059" s="11" t="n"/>
      <c r="E3059" s="11" t="n"/>
      <c r="F3059" s="11" t="n"/>
      <c r="G3059" s="11" t="n"/>
      <c r="H3059" s="11" t="n"/>
      <c r="I3059" s="11" t="n"/>
      <c r="J3059" s="11" t="n"/>
      <c r="K3059" s="11" t="n"/>
      <c r="L3059" s="11" t="n"/>
      <c r="M3059" s="11" t="n"/>
    </row>
    <row r="3060">
      <c r="A3060" s="11" t="n"/>
      <c r="B3060" s="11" t="n"/>
      <c r="C3060" s="11" t="n"/>
      <c r="D3060" s="11" t="n"/>
      <c r="E3060" s="11" t="n"/>
      <c r="F3060" s="11" t="n"/>
      <c r="G3060" s="11" t="n"/>
      <c r="H3060" s="11" t="n"/>
      <c r="I3060" s="11" t="n"/>
      <c r="J3060" s="11" t="n"/>
      <c r="K3060" s="11" t="n"/>
      <c r="L3060" s="11" t="n"/>
      <c r="M3060" s="11" t="n"/>
    </row>
    <row r="3061">
      <c r="A3061" s="11" t="n"/>
      <c r="B3061" s="11" t="n"/>
      <c r="C3061" s="11" t="n"/>
      <c r="D3061" s="11" t="n"/>
      <c r="E3061" s="11" t="n"/>
      <c r="F3061" s="11" t="n"/>
      <c r="G3061" s="11" t="n"/>
      <c r="H3061" s="11" t="n"/>
      <c r="I3061" s="11" t="n"/>
      <c r="J3061" s="11" t="n"/>
      <c r="K3061" s="11" t="n"/>
      <c r="L3061" s="11" t="n"/>
      <c r="M3061" s="11" t="n"/>
    </row>
    <row r="3062">
      <c r="A3062" s="11" t="n"/>
      <c r="B3062" s="11" t="n"/>
      <c r="C3062" s="11" t="n"/>
      <c r="D3062" s="11" t="n"/>
      <c r="E3062" s="11" t="n"/>
      <c r="F3062" s="11" t="n"/>
      <c r="G3062" s="11" t="n"/>
      <c r="H3062" s="11" t="n"/>
      <c r="I3062" s="11" t="n"/>
      <c r="J3062" s="11" t="n"/>
      <c r="K3062" s="11" t="n"/>
      <c r="L3062" s="11" t="n"/>
      <c r="M3062" s="11" t="n"/>
    </row>
    <row r="3063">
      <c r="A3063" s="11" t="n"/>
      <c r="B3063" s="11" t="n"/>
      <c r="C3063" s="11" t="n"/>
      <c r="D3063" s="11" t="n"/>
      <c r="E3063" s="11" t="n"/>
      <c r="F3063" s="11" t="n"/>
      <c r="G3063" s="11" t="n"/>
      <c r="H3063" s="11" t="n"/>
      <c r="I3063" s="11" t="n"/>
      <c r="J3063" s="11" t="n"/>
      <c r="K3063" s="11" t="n"/>
      <c r="L3063" s="11" t="n"/>
      <c r="M3063" s="11" t="n"/>
    </row>
    <row r="3064">
      <c r="A3064" s="11" t="n"/>
      <c r="B3064" s="11" t="n"/>
      <c r="C3064" s="11" t="n"/>
      <c r="D3064" s="11" t="n"/>
      <c r="E3064" s="11" t="n"/>
      <c r="F3064" s="11" t="n"/>
      <c r="G3064" s="11" t="n"/>
      <c r="H3064" s="11" t="n"/>
      <c r="I3064" s="11" t="n"/>
      <c r="J3064" s="11" t="n"/>
      <c r="K3064" s="11" t="n"/>
      <c r="L3064" s="11" t="n"/>
      <c r="M3064" s="11" t="n"/>
    </row>
    <row r="3065">
      <c r="A3065" s="11" t="n"/>
      <c r="B3065" s="11" t="n"/>
      <c r="C3065" s="11" t="n"/>
      <c r="D3065" s="11" t="n"/>
      <c r="E3065" s="11" t="n"/>
      <c r="F3065" s="11" t="n"/>
      <c r="G3065" s="11" t="n"/>
      <c r="H3065" s="11" t="n"/>
      <c r="I3065" s="11" t="n"/>
      <c r="J3065" s="11" t="n"/>
      <c r="K3065" s="11" t="n"/>
      <c r="L3065" s="11" t="n"/>
      <c r="M3065" s="11" t="n"/>
    </row>
    <row r="3066">
      <c r="A3066" s="11" t="n"/>
      <c r="B3066" s="11" t="n"/>
      <c r="C3066" s="11" t="n"/>
      <c r="D3066" s="11" t="n"/>
      <c r="E3066" s="11" t="n"/>
      <c r="F3066" s="11" t="n"/>
      <c r="G3066" s="11" t="n"/>
      <c r="H3066" s="11" t="n"/>
      <c r="I3066" s="11" t="n"/>
      <c r="J3066" s="11" t="n"/>
      <c r="K3066" s="11" t="n"/>
      <c r="L3066" s="11" t="n"/>
      <c r="M3066" s="11" t="n"/>
    </row>
    <row r="3067">
      <c r="A3067" s="11" t="n"/>
      <c r="B3067" s="11" t="n"/>
      <c r="C3067" s="11" t="n"/>
      <c r="D3067" s="11" t="n"/>
      <c r="E3067" s="11" t="n"/>
      <c r="F3067" s="11" t="n"/>
      <c r="G3067" s="11" t="n"/>
      <c r="H3067" s="11" t="n"/>
      <c r="I3067" s="11" t="n"/>
      <c r="J3067" s="11" t="n"/>
      <c r="K3067" s="11" t="n"/>
      <c r="L3067" s="11" t="n"/>
      <c r="M3067" s="11" t="n"/>
    </row>
    <row r="3068">
      <c r="A3068" s="11" t="n"/>
      <c r="B3068" s="11" t="n"/>
      <c r="C3068" s="11" t="n"/>
      <c r="D3068" s="11" t="n"/>
      <c r="E3068" s="11" t="n"/>
      <c r="F3068" s="11" t="n"/>
      <c r="G3068" s="11" t="n"/>
      <c r="H3068" s="11" t="n"/>
      <c r="I3068" s="11" t="n"/>
      <c r="J3068" s="11" t="n"/>
      <c r="K3068" s="11" t="n"/>
      <c r="L3068" s="11" t="n"/>
      <c r="M3068" s="11" t="n"/>
    </row>
    <row r="3069">
      <c r="A3069" s="11" t="n"/>
      <c r="B3069" s="11" t="n"/>
      <c r="C3069" s="11" t="n"/>
      <c r="D3069" s="11" t="n"/>
      <c r="E3069" s="11" t="n"/>
      <c r="F3069" s="11" t="n"/>
      <c r="G3069" s="11" t="n"/>
      <c r="H3069" s="11" t="n"/>
      <c r="I3069" s="11" t="n"/>
      <c r="J3069" s="11" t="n"/>
      <c r="K3069" s="11" t="n"/>
      <c r="L3069" s="11" t="n"/>
      <c r="M3069" s="11" t="n"/>
    </row>
    <row r="3070">
      <c r="A3070" s="11" t="n"/>
      <c r="B3070" s="11" t="n"/>
      <c r="C3070" s="11" t="n"/>
      <c r="D3070" s="11" t="n"/>
      <c r="E3070" s="11" t="n"/>
      <c r="F3070" s="11" t="n"/>
      <c r="G3070" s="11" t="n"/>
      <c r="H3070" s="11" t="n"/>
      <c r="I3070" s="11" t="n"/>
      <c r="J3070" s="11" t="n"/>
      <c r="K3070" s="11" t="n"/>
      <c r="L3070" s="11" t="n"/>
      <c r="M3070" s="11" t="n"/>
    </row>
    <row r="3071">
      <c r="A3071" s="11" t="n"/>
      <c r="B3071" s="11" t="n"/>
      <c r="C3071" s="11" t="n"/>
      <c r="D3071" s="11" t="n"/>
      <c r="E3071" s="11" t="n"/>
      <c r="F3071" s="11" t="n"/>
      <c r="G3071" s="11" t="n"/>
      <c r="H3071" s="11" t="n"/>
      <c r="I3071" s="11" t="n"/>
      <c r="J3071" s="11" t="n"/>
      <c r="K3071" s="11" t="n"/>
      <c r="L3071" s="11" t="n"/>
      <c r="M3071" s="11" t="n"/>
    </row>
    <row r="3072">
      <c r="A3072" s="11" t="n"/>
      <c r="B3072" s="11" t="n"/>
      <c r="C3072" s="11" t="n"/>
      <c r="D3072" s="11" t="n"/>
      <c r="E3072" s="11" t="n"/>
      <c r="F3072" s="11" t="n"/>
      <c r="G3072" s="11" t="n"/>
      <c r="H3072" s="11" t="n"/>
      <c r="I3072" s="11" t="n"/>
      <c r="J3072" s="11" t="n"/>
      <c r="K3072" s="11" t="n"/>
      <c r="L3072" s="11" t="n"/>
      <c r="M3072" s="11" t="n"/>
    </row>
    <row r="3073">
      <c r="A3073" s="11" t="n"/>
      <c r="B3073" s="11" t="n"/>
      <c r="C3073" s="11" t="n"/>
      <c r="D3073" s="11" t="n"/>
      <c r="E3073" s="11" t="n"/>
      <c r="F3073" s="11" t="n"/>
      <c r="G3073" s="11" t="n"/>
      <c r="H3073" s="11" t="n"/>
      <c r="I3073" s="11" t="n"/>
      <c r="J3073" s="11" t="n"/>
      <c r="K3073" s="11" t="n"/>
      <c r="L3073" s="11" t="n"/>
      <c r="M3073" s="11" t="n"/>
    </row>
    <row r="3074">
      <c r="A3074" s="11" t="n"/>
      <c r="B3074" s="11" t="n"/>
      <c r="C3074" s="11" t="n"/>
      <c r="D3074" s="11" t="n"/>
      <c r="E3074" s="11" t="n"/>
      <c r="F3074" s="11" t="n"/>
      <c r="G3074" s="11" t="n"/>
      <c r="H3074" s="11" t="n"/>
      <c r="I3074" s="11" t="n"/>
      <c r="J3074" s="11" t="n"/>
      <c r="K3074" s="11" t="n"/>
      <c r="L3074" s="11" t="n"/>
      <c r="M3074" s="11" t="n"/>
    </row>
    <row r="3075">
      <c r="A3075" s="11" t="n"/>
      <c r="B3075" s="11" t="n"/>
      <c r="C3075" s="11" t="n"/>
      <c r="D3075" s="11" t="n"/>
      <c r="E3075" s="11" t="n"/>
      <c r="F3075" s="11" t="n"/>
      <c r="G3075" s="11" t="n"/>
      <c r="H3075" s="11" t="n"/>
      <c r="I3075" s="11" t="n"/>
      <c r="J3075" s="11" t="n"/>
      <c r="K3075" s="11" t="n"/>
      <c r="L3075" s="11" t="n"/>
      <c r="M3075" s="11" t="n"/>
    </row>
    <row r="3076">
      <c r="A3076" s="11" t="n"/>
      <c r="B3076" s="11" t="n"/>
      <c r="C3076" s="11" t="n"/>
      <c r="D3076" s="11" t="n"/>
      <c r="E3076" s="11" t="n"/>
      <c r="F3076" s="11" t="n"/>
      <c r="G3076" s="11" t="n"/>
      <c r="H3076" s="11" t="n"/>
      <c r="I3076" s="11" t="n"/>
      <c r="J3076" s="11" t="n"/>
      <c r="K3076" s="11" t="n"/>
      <c r="L3076" s="11" t="n"/>
      <c r="M3076" s="11" t="n"/>
    </row>
    <row r="3077">
      <c r="A3077" s="11" t="n"/>
      <c r="B3077" s="11" t="n"/>
      <c r="C3077" s="11" t="n"/>
      <c r="D3077" s="11" t="n"/>
      <c r="E3077" s="11" t="n"/>
      <c r="F3077" s="11" t="n"/>
      <c r="G3077" s="11" t="n"/>
      <c r="H3077" s="11" t="n"/>
      <c r="I3077" s="11" t="n"/>
      <c r="J3077" s="11" t="n"/>
      <c r="K3077" s="11" t="n"/>
      <c r="L3077" s="11" t="n"/>
      <c r="M3077" s="11" t="n"/>
    </row>
    <row r="3078">
      <c r="A3078" s="11" t="n"/>
      <c r="B3078" s="11" t="n"/>
      <c r="C3078" s="11" t="n"/>
      <c r="D3078" s="11" t="n"/>
      <c r="E3078" s="11" t="n"/>
      <c r="F3078" s="11" t="n"/>
      <c r="G3078" s="11" t="n"/>
      <c r="H3078" s="11" t="n"/>
      <c r="I3078" s="11" t="n"/>
      <c r="J3078" s="11" t="n"/>
      <c r="K3078" s="11" t="n"/>
      <c r="L3078" s="11" t="n"/>
      <c r="M3078" s="11" t="n"/>
    </row>
    <row r="3079">
      <c r="A3079" s="11" t="n"/>
      <c r="B3079" s="11" t="n"/>
      <c r="C3079" s="11" t="n"/>
      <c r="D3079" s="11" t="n"/>
      <c r="E3079" s="11" t="n"/>
      <c r="F3079" s="11" t="n"/>
      <c r="G3079" s="11" t="n"/>
      <c r="H3079" s="11" t="n"/>
      <c r="I3079" s="11" t="n"/>
      <c r="J3079" s="11" t="n"/>
      <c r="K3079" s="11" t="n"/>
      <c r="L3079" s="11" t="n"/>
      <c r="M3079" s="11" t="n"/>
    </row>
    <row r="3080">
      <c r="A3080" s="11" t="n"/>
      <c r="B3080" s="11" t="n"/>
      <c r="C3080" s="11" t="n"/>
      <c r="D3080" s="11" t="n"/>
      <c r="E3080" s="11" t="n"/>
      <c r="F3080" s="11" t="n"/>
      <c r="G3080" s="11" t="n"/>
      <c r="H3080" s="11" t="n"/>
      <c r="I3080" s="11" t="n"/>
      <c r="J3080" s="11" t="n"/>
      <c r="K3080" s="11" t="n"/>
      <c r="L3080" s="11" t="n"/>
      <c r="M3080" s="11" t="n"/>
    </row>
    <row r="3081">
      <c r="A3081" s="11" t="n"/>
      <c r="B3081" s="11" t="n"/>
      <c r="C3081" s="11" t="n"/>
      <c r="D3081" s="11" t="n"/>
      <c r="E3081" s="11" t="n"/>
      <c r="F3081" s="11" t="n"/>
      <c r="G3081" s="11" t="n"/>
      <c r="H3081" s="11" t="n"/>
      <c r="I3081" s="11" t="n"/>
      <c r="J3081" s="11" t="n"/>
      <c r="K3081" s="11" t="n"/>
      <c r="L3081" s="11" t="n"/>
      <c r="M3081" s="11" t="n"/>
    </row>
    <row r="3082">
      <c r="A3082" s="11" t="n"/>
      <c r="B3082" s="11" t="n"/>
      <c r="C3082" s="11" t="n"/>
      <c r="D3082" s="11" t="n"/>
      <c r="E3082" s="11" t="n"/>
      <c r="F3082" s="11" t="n"/>
      <c r="G3082" s="11" t="n"/>
      <c r="H3082" s="11" t="n"/>
      <c r="I3082" s="11" t="n"/>
      <c r="J3082" s="11" t="n"/>
      <c r="K3082" s="11" t="n"/>
      <c r="L3082" s="11" t="n"/>
      <c r="M3082" s="11" t="n"/>
    </row>
    <row r="3083">
      <c r="A3083" s="11" t="n"/>
      <c r="B3083" s="11" t="n"/>
      <c r="C3083" s="11" t="n"/>
      <c r="D3083" s="11" t="n"/>
      <c r="E3083" s="11" t="n"/>
      <c r="F3083" s="11" t="n"/>
      <c r="G3083" s="11" t="n"/>
      <c r="H3083" s="11" t="n"/>
      <c r="I3083" s="11" t="n"/>
      <c r="J3083" s="11" t="n"/>
      <c r="K3083" s="11" t="n"/>
      <c r="L3083" s="11" t="n"/>
      <c r="M3083" s="11" t="n"/>
    </row>
    <row r="3084">
      <c r="A3084" s="11" t="n"/>
      <c r="B3084" s="11" t="n"/>
      <c r="C3084" s="11" t="n"/>
      <c r="D3084" s="11" t="n"/>
      <c r="E3084" s="11" t="n"/>
      <c r="F3084" s="11" t="n"/>
      <c r="G3084" s="11" t="n"/>
      <c r="H3084" s="11" t="n"/>
      <c r="I3084" s="11" t="n"/>
      <c r="J3084" s="11" t="n"/>
      <c r="K3084" s="11" t="n"/>
      <c r="L3084" s="11" t="n"/>
      <c r="M3084" s="11" t="n"/>
    </row>
    <row r="3085">
      <c r="A3085" s="11" t="n"/>
      <c r="B3085" s="11" t="n"/>
      <c r="C3085" s="11" t="n"/>
      <c r="D3085" s="11" t="n"/>
      <c r="E3085" s="11" t="n"/>
      <c r="F3085" s="11" t="n"/>
      <c r="G3085" s="11" t="n"/>
      <c r="H3085" s="11" t="n"/>
      <c r="I3085" s="11" t="n"/>
      <c r="J3085" s="11" t="n"/>
      <c r="K3085" s="11" t="n"/>
      <c r="L3085" s="11" t="n"/>
      <c r="M3085" s="11" t="n"/>
    </row>
    <row r="3086">
      <c r="A3086" s="11" t="n"/>
      <c r="B3086" s="11" t="n"/>
      <c r="C3086" s="11" t="n"/>
      <c r="D3086" s="11" t="n"/>
      <c r="E3086" s="11" t="n"/>
      <c r="F3086" s="11" t="n"/>
      <c r="G3086" s="11" t="n"/>
      <c r="H3086" s="11" t="n"/>
      <c r="I3086" s="11" t="n"/>
      <c r="J3086" s="11" t="n"/>
      <c r="K3086" s="11" t="n"/>
      <c r="L3086" s="11" t="n"/>
      <c r="M3086" s="11" t="n"/>
    </row>
    <row r="3087">
      <c r="A3087" s="11" t="n"/>
      <c r="B3087" s="11" t="n"/>
      <c r="C3087" s="11" t="n"/>
      <c r="D3087" s="11" t="n"/>
      <c r="E3087" s="11" t="n"/>
      <c r="F3087" s="11" t="n"/>
      <c r="G3087" s="11" t="n"/>
      <c r="H3087" s="11" t="n"/>
      <c r="I3087" s="11" t="n"/>
      <c r="J3087" s="11" t="n"/>
      <c r="K3087" s="11" t="n"/>
      <c r="L3087" s="11" t="n"/>
      <c r="M3087" s="11" t="n"/>
    </row>
    <row r="3088">
      <c r="A3088" s="11" t="n"/>
      <c r="B3088" s="11" t="n"/>
      <c r="C3088" s="11" t="n"/>
      <c r="D3088" s="11" t="n"/>
      <c r="E3088" s="11" t="n"/>
      <c r="F3088" s="11" t="n"/>
      <c r="G3088" s="11" t="n"/>
      <c r="H3088" s="11" t="n"/>
      <c r="I3088" s="11" t="n"/>
      <c r="J3088" s="11" t="n"/>
      <c r="K3088" s="11" t="n"/>
      <c r="L3088" s="11" t="n"/>
      <c r="M3088" s="11" t="n"/>
    </row>
    <row r="3089">
      <c r="A3089" s="11" t="n"/>
      <c r="B3089" s="11" t="n"/>
      <c r="C3089" s="11" t="n"/>
      <c r="D3089" s="11" t="n"/>
      <c r="E3089" s="11" t="n"/>
      <c r="F3089" s="11" t="n"/>
      <c r="G3089" s="11" t="n"/>
      <c r="H3089" s="11" t="n"/>
      <c r="I3089" s="11" t="n"/>
      <c r="J3089" s="11" t="n"/>
      <c r="K3089" s="11" t="n"/>
      <c r="L3089" s="11" t="n"/>
      <c r="M3089" s="11" t="n"/>
    </row>
    <row r="3090">
      <c r="A3090" s="11" t="n"/>
      <c r="B3090" s="11" t="n"/>
      <c r="C3090" s="11" t="n"/>
      <c r="D3090" s="11" t="n"/>
      <c r="E3090" s="11" t="n"/>
      <c r="F3090" s="11" t="n"/>
      <c r="G3090" s="11" t="n"/>
      <c r="H3090" s="11" t="n"/>
      <c r="I3090" s="11" t="n"/>
      <c r="J3090" s="11" t="n"/>
      <c r="K3090" s="11" t="n"/>
      <c r="L3090" s="11" t="n"/>
      <c r="M3090" s="11" t="n"/>
    </row>
    <row r="3091">
      <c r="A3091" s="11" t="n"/>
      <c r="B3091" s="11" t="n"/>
      <c r="C3091" s="11" t="n"/>
      <c r="D3091" s="11" t="n"/>
      <c r="E3091" s="11" t="n"/>
      <c r="F3091" s="11" t="n"/>
      <c r="G3091" s="11" t="n"/>
      <c r="H3091" s="11" t="n"/>
      <c r="I3091" s="11" t="n"/>
      <c r="J3091" s="11" t="n"/>
      <c r="K3091" s="11" t="n"/>
      <c r="L3091" s="11" t="n"/>
      <c r="M3091" s="11" t="n"/>
    </row>
    <row r="3092">
      <c r="A3092" s="11" t="n"/>
      <c r="B3092" s="11" t="n"/>
      <c r="C3092" s="11" t="n"/>
      <c r="D3092" s="11" t="n"/>
      <c r="E3092" s="11" t="n"/>
      <c r="F3092" s="11" t="n"/>
      <c r="G3092" s="11" t="n"/>
      <c r="H3092" s="11" t="n"/>
      <c r="I3092" s="11" t="n"/>
      <c r="J3092" s="11" t="n"/>
      <c r="K3092" s="11" t="n"/>
      <c r="L3092" s="11" t="n"/>
      <c r="M3092" s="11" t="n"/>
    </row>
    <row r="3093">
      <c r="A3093" s="11" t="n"/>
      <c r="B3093" s="11" t="n"/>
      <c r="C3093" s="11" t="n"/>
      <c r="D3093" s="11" t="n"/>
      <c r="E3093" s="11" t="n"/>
      <c r="F3093" s="11" t="n"/>
      <c r="G3093" s="11" t="n"/>
      <c r="H3093" s="11" t="n"/>
      <c r="I3093" s="11" t="n"/>
      <c r="J3093" s="11" t="n"/>
      <c r="K3093" s="11" t="n"/>
      <c r="L3093" s="11" t="n"/>
      <c r="M3093" s="11" t="n"/>
    </row>
    <row r="3094">
      <c r="A3094" s="11" t="n"/>
      <c r="B3094" s="11" t="n"/>
      <c r="C3094" s="11" t="n"/>
      <c r="D3094" s="11" t="n"/>
      <c r="E3094" s="11" t="n"/>
      <c r="F3094" s="11" t="n"/>
      <c r="G3094" s="11" t="n"/>
      <c r="H3094" s="11" t="n"/>
      <c r="I3094" s="11" t="n"/>
      <c r="J3094" s="11" t="n"/>
      <c r="K3094" s="11" t="n"/>
      <c r="L3094" s="11" t="n"/>
      <c r="M3094" s="11" t="n"/>
    </row>
    <row r="3095">
      <c r="A3095" s="11" t="n"/>
      <c r="B3095" s="11" t="n"/>
      <c r="C3095" s="11" t="n"/>
      <c r="D3095" s="11" t="n"/>
      <c r="E3095" s="11" t="n"/>
      <c r="F3095" s="11" t="n"/>
      <c r="G3095" s="11" t="n"/>
      <c r="H3095" s="11" t="n"/>
      <c r="I3095" s="11" t="n"/>
      <c r="J3095" s="11" t="n"/>
      <c r="K3095" s="11" t="n"/>
      <c r="L3095" s="11" t="n"/>
      <c r="M3095" s="11" t="n"/>
    </row>
    <row r="3096">
      <c r="A3096" s="11" t="n"/>
      <c r="B3096" s="11" t="n"/>
      <c r="C3096" s="11" t="n"/>
      <c r="D3096" s="11" t="n"/>
      <c r="E3096" s="11" t="n"/>
      <c r="F3096" s="11" t="n"/>
      <c r="G3096" s="11" t="n"/>
      <c r="H3096" s="11" t="n"/>
      <c r="I3096" s="11" t="n"/>
      <c r="J3096" s="11" t="n"/>
      <c r="K3096" s="11" t="n"/>
      <c r="L3096" s="11" t="n"/>
      <c r="M3096" s="11" t="n"/>
    </row>
    <row r="3097">
      <c r="A3097" s="11" t="n"/>
      <c r="B3097" s="11" t="n"/>
      <c r="C3097" s="11" t="n"/>
      <c r="D3097" s="11" t="n"/>
      <c r="E3097" s="11" t="n"/>
      <c r="F3097" s="11" t="n"/>
      <c r="G3097" s="11" t="n"/>
      <c r="H3097" s="11" t="n"/>
      <c r="I3097" s="11" t="n"/>
      <c r="J3097" s="11" t="n"/>
      <c r="K3097" s="11" t="n"/>
      <c r="L3097" s="11" t="n"/>
      <c r="M3097" s="11" t="n"/>
    </row>
    <row r="3098">
      <c r="A3098" s="11" t="n"/>
      <c r="B3098" s="11" t="n"/>
      <c r="C3098" s="11" t="n"/>
      <c r="D3098" s="11" t="n"/>
      <c r="E3098" s="11" t="n"/>
      <c r="F3098" s="11" t="n"/>
      <c r="G3098" s="11" t="n"/>
      <c r="H3098" s="11" t="n"/>
      <c r="I3098" s="11" t="n"/>
      <c r="J3098" s="11" t="n"/>
      <c r="K3098" s="11" t="n"/>
      <c r="L3098" s="11" t="n"/>
      <c r="M3098" s="11" t="n"/>
    </row>
    <row r="3099">
      <c r="A3099" s="11" t="n"/>
      <c r="B3099" s="11" t="n"/>
      <c r="C3099" s="11" t="n"/>
      <c r="D3099" s="11" t="n"/>
      <c r="E3099" s="11" t="n"/>
      <c r="F3099" s="11" t="n"/>
      <c r="G3099" s="11" t="n"/>
      <c r="H3099" s="11" t="n"/>
      <c r="I3099" s="11" t="n"/>
      <c r="J3099" s="11" t="n"/>
      <c r="K3099" s="11" t="n"/>
      <c r="L3099" s="11" t="n"/>
      <c r="M3099" s="11" t="n"/>
    </row>
    <row r="3100">
      <c r="A3100" s="11" t="n"/>
      <c r="B3100" s="11" t="n"/>
      <c r="C3100" s="11" t="n"/>
      <c r="D3100" s="11" t="n"/>
      <c r="E3100" s="11" t="n"/>
      <c r="F3100" s="11" t="n"/>
      <c r="G3100" s="11" t="n"/>
      <c r="H3100" s="11" t="n"/>
      <c r="I3100" s="11" t="n"/>
      <c r="J3100" s="11" t="n"/>
      <c r="K3100" s="11" t="n"/>
      <c r="L3100" s="11" t="n"/>
      <c r="M3100" s="11" t="n"/>
    </row>
    <row r="3101">
      <c r="A3101" s="11" t="n"/>
      <c r="B3101" s="11" t="n"/>
      <c r="C3101" s="11" t="n"/>
      <c r="D3101" s="11" t="n"/>
      <c r="E3101" s="11" t="n"/>
      <c r="F3101" s="11" t="n"/>
      <c r="G3101" s="11" t="n"/>
      <c r="H3101" s="11" t="n"/>
      <c r="I3101" s="11" t="n"/>
      <c r="J3101" s="11" t="n"/>
      <c r="K3101" s="11" t="n"/>
      <c r="L3101" s="11" t="n"/>
      <c r="M3101" s="11" t="n"/>
    </row>
    <row r="3102">
      <c r="A3102" s="11" t="n"/>
      <c r="B3102" s="11" t="n"/>
      <c r="C3102" s="11" t="n"/>
      <c r="D3102" s="11" t="n"/>
      <c r="E3102" s="11" t="n"/>
      <c r="F3102" s="11" t="n"/>
      <c r="G3102" s="11" t="n"/>
      <c r="H3102" s="11" t="n"/>
      <c r="I3102" s="11" t="n"/>
      <c r="J3102" s="11" t="n"/>
      <c r="K3102" s="11" t="n"/>
      <c r="L3102" s="11" t="n"/>
      <c r="M3102" s="11" t="n"/>
    </row>
    <row r="3103">
      <c r="A3103" s="11" t="n"/>
      <c r="B3103" s="11" t="n"/>
      <c r="C3103" s="11" t="n"/>
      <c r="D3103" s="11" t="n"/>
      <c r="E3103" s="11" t="n"/>
      <c r="F3103" s="11" t="n"/>
      <c r="G3103" s="11" t="n"/>
      <c r="H3103" s="11" t="n"/>
      <c r="I3103" s="11" t="n"/>
      <c r="J3103" s="11" t="n"/>
      <c r="K3103" s="11" t="n"/>
      <c r="L3103" s="11" t="n"/>
      <c r="M3103" s="11" t="n"/>
    </row>
    <row r="3104">
      <c r="A3104" s="11" t="n"/>
      <c r="B3104" s="11" t="n"/>
      <c r="C3104" s="11" t="n"/>
      <c r="D3104" s="11" t="n"/>
      <c r="E3104" s="11" t="n"/>
      <c r="F3104" s="11" t="n"/>
      <c r="G3104" s="11" t="n"/>
      <c r="H3104" s="11" t="n"/>
      <c r="I3104" s="11" t="n"/>
      <c r="J3104" s="11" t="n"/>
      <c r="K3104" s="11" t="n"/>
      <c r="L3104" s="11" t="n"/>
      <c r="M3104" s="11" t="n"/>
    </row>
    <row r="3105">
      <c r="A3105" s="11" t="n"/>
      <c r="B3105" s="11" t="n"/>
      <c r="C3105" s="11" t="n"/>
      <c r="D3105" s="11" t="n"/>
      <c r="E3105" s="11" t="n"/>
      <c r="F3105" s="11" t="n"/>
      <c r="G3105" s="11" t="n"/>
      <c r="H3105" s="11" t="n"/>
      <c r="I3105" s="11" t="n"/>
      <c r="J3105" s="11" t="n"/>
      <c r="K3105" s="11" t="n"/>
      <c r="L3105" s="11" t="n"/>
      <c r="M3105" s="11" t="n"/>
    </row>
    <row r="3106">
      <c r="A3106" s="11" t="n"/>
      <c r="B3106" s="11" t="n"/>
      <c r="C3106" s="11" t="n"/>
      <c r="D3106" s="11" t="n"/>
      <c r="E3106" s="11" t="n"/>
      <c r="F3106" s="11" t="n"/>
      <c r="G3106" s="11" t="n"/>
      <c r="H3106" s="11" t="n"/>
      <c r="I3106" s="11" t="n"/>
      <c r="J3106" s="11" t="n"/>
      <c r="K3106" s="11" t="n"/>
      <c r="L3106" s="11" t="n"/>
      <c r="M3106" s="11" t="n"/>
    </row>
    <row r="3107">
      <c r="A3107" s="11" t="n"/>
      <c r="B3107" s="11" t="n"/>
      <c r="C3107" s="11" t="n"/>
      <c r="D3107" s="11" t="n"/>
      <c r="E3107" s="11" t="n"/>
      <c r="F3107" s="11" t="n"/>
      <c r="G3107" s="11" t="n"/>
      <c r="H3107" s="11" t="n"/>
      <c r="I3107" s="11" t="n"/>
      <c r="J3107" s="11" t="n"/>
      <c r="K3107" s="11" t="n"/>
      <c r="L3107" s="11" t="n"/>
      <c r="M3107" s="11" t="n"/>
    </row>
    <row r="3108">
      <c r="A3108" s="11" t="n"/>
      <c r="B3108" s="11" t="n"/>
      <c r="C3108" s="11" t="n"/>
      <c r="D3108" s="11" t="n"/>
      <c r="E3108" s="11" t="n"/>
      <c r="F3108" s="11" t="n"/>
      <c r="G3108" s="11" t="n"/>
      <c r="H3108" s="11" t="n"/>
      <c r="I3108" s="11" t="n"/>
      <c r="J3108" s="11" t="n"/>
      <c r="K3108" s="11" t="n"/>
      <c r="L3108" s="11" t="n"/>
      <c r="M3108" s="11" t="n"/>
    </row>
    <row r="3109">
      <c r="A3109" s="11" t="n"/>
      <c r="B3109" s="11" t="n"/>
      <c r="C3109" s="11" t="n"/>
      <c r="D3109" s="11" t="n"/>
      <c r="E3109" s="11" t="n"/>
      <c r="F3109" s="11" t="n"/>
      <c r="G3109" s="11" t="n"/>
      <c r="H3109" s="11" t="n"/>
      <c r="I3109" s="11" t="n"/>
      <c r="J3109" s="11" t="n"/>
      <c r="K3109" s="11" t="n"/>
      <c r="L3109" s="11" t="n"/>
      <c r="M3109" s="11" t="n"/>
    </row>
    <row r="3110">
      <c r="A3110" s="11" t="n"/>
      <c r="B3110" s="11" t="n"/>
      <c r="C3110" s="11" t="n"/>
      <c r="D3110" s="11" t="n"/>
      <c r="E3110" s="11" t="n"/>
      <c r="F3110" s="11" t="n"/>
      <c r="G3110" s="11" t="n"/>
      <c r="H3110" s="11" t="n"/>
      <c r="I3110" s="11" t="n"/>
      <c r="J3110" s="11" t="n"/>
      <c r="K3110" s="11" t="n"/>
      <c r="L3110" s="11" t="n"/>
      <c r="M3110" s="11" t="n"/>
    </row>
    <row r="3111">
      <c r="A3111" s="11" t="n"/>
      <c r="B3111" s="11" t="n"/>
      <c r="C3111" s="11" t="n"/>
      <c r="D3111" s="11" t="n"/>
      <c r="E3111" s="11" t="n"/>
      <c r="F3111" s="11" t="n"/>
      <c r="G3111" s="11" t="n"/>
      <c r="H3111" s="11" t="n"/>
      <c r="I3111" s="11" t="n"/>
      <c r="J3111" s="11" t="n"/>
      <c r="K3111" s="11" t="n"/>
      <c r="L3111" s="11" t="n"/>
      <c r="M3111" s="11" t="n"/>
    </row>
    <row r="3112">
      <c r="A3112" s="11" t="n"/>
      <c r="B3112" s="11" t="n"/>
      <c r="C3112" s="11" t="n"/>
      <c r="D3112" s="11" t="n"/>
      <c r="E3112" s="11" t="n"/>
      <c r="F3112" s="11" t="n"/>
      <c r="G3112" s="11" t="n"/>
      <c r="H3112" s="11" t="n"/>
      <c r="I3112" s="11" t="n"/>
      <c r="J3112" s="11" t="n"/>
      <c r="K3112" s="11" t="n"/>
      <c r="L3112" s="11" t="n"/>
      <c r="M3112" s="11" t="n"/>
    </row>
    <row r="3113">
      <c r="A3113" s="11" t="n"/>
      <c r="B3113" s="11" t="n"/>
      <c r="C3113" s="11" t="n"/>
      <c r="D3113" s="11" t="n"/>
      <c r="E3113" s="11" t="n"/>
      <c r="F3113" s="11" t="n"/>
      <c r="G3113" s="11" t="n"/>
      <c r="H3113" s="11" t="n"/>
      <c r="I3113" s="11" t="n"/>
      <c r="J3113" s="11" t="n"/>
      <c r="K3113" s="11" t="n"/>
      <c r="L3113" s="11" t="n"/>
      <c r="M3113" s="11" t="n"/>
    </row>
    <row r="3114">
      <c r="A3114" s="11" t="n"/>
      <c r="B3114" s="11" t="n"/>
      <c r="C3114" s="11" t="n"/>
      <c r="D3114" s="11" t="n"/>
      <c r="E3114" s="11" t="n"/>
      <c r="F3114" s="11" t="n"/>
      <c r="G3114" s="11" t="n"/>
      <c r="H3114" s="11" t="n"/>
      <c r="I3114" s="11" t="n"/>
      <c r="J3114" s="11" t="n"/>
      <c r="K3114" s="11" t="n"/>
      <c r="L3114" s="11" t="n"/>
      <c r="M3114" s="11" t="n"/>
    </row>
    <row r="3115">
      <c r="A3115" s="11" t="n"/>
      <c r="B3115" s="11" t="n"/>
      <c r="C3115" s="11" t="n"/>
      <c r="D3115" s="11" t="n"/>
      <c r="E3115" s="11" t="n"/>
      <c r="F3115" s="11" t="n"/>
      <c r="G3115" s="11" t="n"/>
      <c r="H3115" s="11" t="n"/>
      <c r="I3115" s="11" t="n"/>
      <c r="J3115" s="11" t="n"/>
      <c r="K3115" s="11" t="n"/>
      <c r="L3115" s="11" t="n"/>
      <c r="M3115" s="11" t="n"/>
    </row>
    <row r="3116">
      <c r="A3116" s="11" t="n"/>
      <c r="B3116" s="11" t="n"/>
      <c r="C3116" s="11" t="n"/>
      <c r="D3116" s="11" t="n"/>
      <c r="E3116" s="11" t="n"/>
      <c r="F3116" s="11" t="n"/>
      <c r="G3116" s="11" t="n"/>
      <c r="H3116" s="11" t="n"/>
      <c r="I3116" s="11" t="n"/>
      <c r="J3116" s="11" t="n"/>
      <c r="K3116" s="11" t="n"/>
      <c r="L3116" s="11" t="n"/>
      <c r="M3116" s="11" t="n"/>
    </row>
    <row r="3117">
      <c r="A3117" s="11" t="n"/>
      <c r="B3117" s="11" t="n"/>
      <c r="C3117" s="11" t="n"/>
      <c r="D3117" s="11" t="n"/>
      <c r="E3117" s="11" t="n"/>
      <c r="F3117" s="11" t="n"/>
      <c r="G3117" s="11" t="n"/>
      <c r="H3117" s="11" t="n"/>
      <c r="I3117" s="11" t="n"/>
      <c r="J3117" s="11" t="n"/>
      <c r="K3117" s="11" t="n"/>
      <c r="L3117" s="11" t="n"/>
      <c r="M3117" s="11" t="n"/>
    </row>
    <row r="3118">
      <c r="A3118" s="11" t="n"/>
      <c r="B3118" s="11" t="n"/>
      <c r="C3118" s="11" t="n"/>
      <c r="D3118" s="11" t="n"/>
      <c r="E3118" s="11" t="n"/>
      <c r="F3118" s="11" t="n"/>
      <c r="G3118" s="11" t="n"/>
      <c r="H3118" s="11" t="n"/>
      <c r="I3118" s="11" t="n"/>
      <c r="J3118" s="11" t="n"/>
      <c r="K3118" s="11" t="n"/>
      <c r="L3118" s="11" t="n"/>
      <c r="M3118" s="11" t="n"/>
    </row>
    <row r="3119">
      <c r="A3119" s="11" t="n"/>
      <c r="B3119" s="11" t="n"/>
      <c r="C3119" s="11" t="n"/>
      <c r="D3119" s="11" t="n"/>
      <c r="E3119" s="11" t="n"/>
      <c r="F3119" s="11" t="n"/>
      <c r="G3119" s="11" t="n"/>
      <c r="H3119" s="11" t="n"/>
      <c r="I3119" s="11" t="n"/>
      <c r="J3119" s="11" t="n"/>
      <c r="K3119" s="11" t="n"/>
      <c r="L3119" s="11" t="n"/>
      <c r="M3119" s="11" t="n"/>
    </row>
    <row r="3120">
      <c r="A3120" s="11" t="n"/>
      <c r="B3120" s="11" t="n"/>
      <c r="C3120" s="11" t="n"/>
      <c r="D3120" s="11" t="n"/>
      <c r="E3120" s="11" t="n"/>
      <c r="F3120" s="11" t="n"/>
      <c r="G3120" s="11" t="n"/>
      <c r="H3120" s="11" t="n"/>
      <c r="I3120" s="11" t="n"/>
      <c r="J3120" s="11" t="n"/>
      <c r="K3120" s="11" t="n"/>
      <c r="L3120" s="11" t="n"/>
      <c r="M3120" s="11" t="n"/>
    </row>
    <row r="3121">
      <c r="A3121" s="11" t="n"/>
      <c r="B3121" s="11" t="n"/>
      <c r="C3121" s="11" t="n"/>
      <c r="D3121" s="11" t="n"/>
      <c r="E3121" s="11" t="n"/>
      <c r="F3121" s="11" t="n"/>
      <c r="G3121" s="11" t="n"/>
      <c r="H3121" s="11" t="n"/>
      <c r="I3121" s="11" t="n"/>
      <c r="J3121" s="11" t="n"/>
      <c r="K3121" s="11" t="n"/>
      <c r="L3121" s="11" t="n"/>
      <c r="M3121" s="11" t="n"/>
    </row>
    <row r="3122">
      <c r="A3122" s="11" t="n"/>
      <c r="B3122" s="11" t="n"/>
      <c r="C3122" s="11" t="n"/>
      <c r="D3122" s="11" t="n"/>
      <c r="E3122" s="11" t="n"/>
      <c r="F3122" s="11" t="n"/>
      <c r="G3122" s="11" t="n"/>
      <c r="H3122" s="11" t="n"/>
      <c r="I3122" s="11" t="n"/>
      <c r="J3122" s="11" t="n"/>
      <c r="K3122" s="11" t="n"/>
      <c r="L3122" s="11" t="n"/>
      <c r="M3122" s="11" t="n"/>
    </row>
    <row r="3123">
      <c r="A3123" s="11" t="n"/>
      <c r="B3123" s="11" t="n"/>
      <c r="C3123" s="11" t="n"/>
      <c r="D3123" s="11" t="n"/>
      <c r="E3123" s="11" t="n"/>
      <c r="F3123" s="11" t="n"/>
      <c r="G3123" s="11" t="n"/>
      <c r="H3123" s="11" t="n"/>
      <c r="I3123" s="11" t="n"/>
      <c r="J3123" s="11" t="n"/>
      <c r="K3123" s="11" t="n"/>
      <c r="L3123" s="11" t="n"/>
      <c r="M3123" s="11" t="n"/>
    </row>
    <row r="3124">
      <c r="A3124" s="11" t="n"/>
      <c r="B3124" s="11" t="n"/>
      <c r="C3124" s="11" t="n"/>
      <c r="D3124" s="11" t="n"/>
      <c r="E3124" s="11" t="n"/>
      <c r="F3124" s="11" t="n"/>
      <c r="G3124" s="11" t="n"/>
      <c r="H3124" s="11" t="n"/>
      <c r="I3124" s="11" t="n"/>
      <c r="J3124" s="11" t="n"/>
      <c r="K3124" s="11" t="n"/>
      <c r="L3124" s="11" t="n"/>
      <c r="M3124" s="11" t="n"/>
    </row>
    <row r="3125">
      <c r="A3125" s="11" t="n"/>
      <c r="B3125" s="11" t="n"/>
      <c r="C3125" s="11" t="n"/>
      <c r="D3125" s="11" t="n"/>
      <c r="E3125" s="11" t="n"/>
      <c r="F3125" s="11" t="n"/>
      <c r="G3125" s="11" t="n"/>
      <c r="H3125" s="11" t="n"/>
      <c r="I3125" s="11" t="n"/>
      <c r="J3125" s="11" t="n"/>
      <c r="K3125" s="11" t="n"/>
      <c r="L3125" s="11" t="n"/>
      <c r="M3125" s="11" t="n"/>
    </row>
    <row r="3126">
      <c r="A3126" s="11" t="n"/>
      <c r="B3126" s="11" t="n"/>
      <c r="C3126" s="11" t="n"/>
      <c r="D3126" s="11" t="n"/>
      <c r="E3126" s="11" t="n"/>
      <c r="F3126" s="11" t="n"/>
      <c r="G3126" s="11" t="n"/>
      <c r="H3126" s="11" t="n"/>
      <c r="I3126" s="11" t="n"/>
      <c r="J3126" s="11" t="n"/>
      <c r="K3126" s="11" t="n"/>
      <c r="L3126" s="11" t="n"/>
      <c r="M3126" s="11" t="n"/>
    </row>
    <row r="3127">
      <c r="A3127" s="11" t="n"/>
      <c r="B3127" s="11" t="n"/>
      <c r="C3127" s="11" t="n"/>
      <c r="D3127" s="11" t="n"/>
      <c r="E3127" s="11" t="n"/>
      <c r="F3127" s="11" t="n"/>
      <c r="G3127" s="11" t="n"/>
      <c r="H3127" s="11" t="n"/>
      <c r="I3127" s="11" t="n"/>
      <c r="J3127" s="11" t="n"/>
      <c r="K3127" s="11" t="n"/>
      <c r="L3127" s="11" t="n"/>
      <c r="M3127" s="11" t="n"/>
    </row>
    <row r="3128">
      <c r="A3128" s="11" t="n"/>
      <c r="B3128" s="11" t="n"/>
      <c r="C3128" s="11" t="n"/>
      <c r="D3128" s="11" t="n"/>
      <c r="E3128" s="11" t="n"/>
      <c r="F3128" s="11" t="n"/>
      <c r="G3128" s="11" t="n"/>
      <c r="H3128" s="11" t="n"/>
      <c r="I3128" s="11" t="n"/>
      <c r="J3128" s="11" t="n"/>
      <c r="K3128" s="11" t="n"/>
      <c r="L3128" s="11" t="n"/>
      <c r="M3128" s="11" t="n"/>
    </row>
    <row r="3129">
      <c r="A3129" s="11" t="n"/>
      <c r="B3129" s="11" t="n"/>
      <c r="C3129" s="11" t="n"/>
      <c r="D3129" s="11" t="n"/>
      <c r="E3129" s="11" t="n"/>
      <c r="F3129" s="11" t="n"/>
      <c r="G3129" s="11" t="n"/>
      <c r="H3129" s="11" t="n"/>
      <c r="I3129" s="11" t="n"/>
      <c r="J3129" s="11" t="n"/>
      <c r="K3129" s="11" t="n"/>
      <c r="L3129" s="11" t="n"/>
      <c r="M3129" s="11" t="n"/>
    </row>
    <row r="3130">
      <c r="A3130" s="11" t="n"/>
      <c r="B3130" s="11" t="n"/>
      <c r="C3130" s="11" t="n"/>
      <c r="D3130" s="11" t="n"/>
      <c r="E3130" s="11" t="n"/>
      <c r="F3130" s="11" t="n"/>
      <c r="G3130" s="11" t="n"/>
      <c r="H3130" s="11" t="n"/>
      <c r="I3130" s="11" t="n"/>
      <c r="J3130" s="11" t="n"/>
      <c r="K3130" s="11" t="n"/>
      <c r="L3130" s="11" t="n"/>
      <c r="M3130" s="11" t="n"/>
    </row>
    <row r="3131">
      <c r="A3131" s="11" t="n"/>
      <c r="B3131" s="11" t="n"/>
      <c r="C3131" s="11" t="n"/>
      <c r="D3131" s="11" t="n"/>
      <c r="E3131" s="11" t="n"/>
      <c r="F3131" s="11" t="n"/>
      <c r="G3131" s="11" t="n"/>
      <c r="H3131" s="11" t="n"/>
      <c r="I3131" s="11" t="n"/>
      <c r="J3131" s="11" t="n"/>
      <c r="K3131" s="11" t="n"/>
      <c r="L3131" s="11" t="n"/>
      <c r="M3131" s="11" t="n"/>
    </row>
    <row r="3132">
      <c r="A3132" s="11" t="n"/>
      <c r="B3132" s="11" t="n"/>
      <c r="C3132" s="11" t="n"/>
      <c r="D3132" s="11" t="n"/>
      <c r="E3132" s="11" t="n"/>
      <c r="F3132" s="11" t="n"/>
      <c r="G3132" s="11" t="n"/>
      <c r="H3132" s="11" t="n"/>
      <c r="I3132" s="11" t="n"/>
      <c r="J3132" s="11" t="n"/>
      <c r="K3132" s="11" t="n"/>
      <c r="L3132" s="11" t="n"/>
      <c r="M3132" s="11" t="n"/>
    </row>
    <row r="3133">
      <c r="A3133" s="11" t="n"/>
      <c r="B3133" s="11" t="n"/>
      <c r="C3133" s="11" t="n"/>
      <c r="D3133" s="11" t="n"/>
      <c r="E3133" s="11" t="n"/>
      <c r="F3133" s="11" t="n"/>
      <c r="G3133" s="11" t="n"/>
      <c r="H3133" s="11" t="n"/>
      <c r="I3133" s="11" t="n"/>
      <c r="J3133" s="11" t="n"/>
      <c r="K3133" s="11" t="n"/>
      <c r="L3133" s="11" t="n"/>
      <c r="M3133" s="11" t="n"/>
    </row>
    <row r="3134">
      <c r="A3134" s="11" t="n"/>
      <c r="B3134" s="11" t="n"/>
      <c r="C3134" s="11" t="n"/>
      <c r="D3134" s="11" t="n"/>
      <c r="E3134" s="11" t="n"/>
      <c r="F3134" s="11" t="n"/>
      <c r="G3134" s="11" t="n"/>
      <c r="H3134" s="11" t="n"/>
      <c r="I3134" s="11" t="n"/>
      <c r="J3134" s="11" t="n"/>
      <c r="K3134" s="11" t="n"/>
      <c r="L3134" s="11" t="n"/>
      <c r="M3134" s="11" t="n"/>
    </row>
    <row r="3135">
      <c r="A3135" s="11" t="n"/>
      <c r="B3135" s="11" t="n"/>
      <c r="C3135" s="11" t="n"/>
      <c r="D3135" s="11" t="n"/>
      <c r="E3135" s="11" t="n"/>
      <c r="F3135" s="11" t="n"/>
      <c r="G3135" s="11" t="n"/>
      <c r="H3135" s="11" t="n"/>
      <c r="I3135" s="11" t="n"/>
      <c r="J3135" s="11" t="n"/>
      <c r="K3135" s="11" t="n"/>
      <c r="L3135" s="11" t="n"/>
      <c r="M3135" s="11" t="n"/>
    </row>
    <row r="3136">
      <c r="A3136" s="11" t="n"/>
      <c r="B3136" s="11" t="n"/>
      <c r="C3136" s="11" t="n"/>
      <c r="D3136" s="11" t="n"/>
      <c r="E3136" s="11" t="n"/>
      <c r="F3136" s="11" t="n"/>
      <c r="G3136" s="11" t="n"/>
      <c r="H3136" s="11" t="n"/>
      <c r="I3136" s="11" t="n"/>
      <c r="J3136" s="11" t="n"/>
      <c r="K3136" s="11" t="n"/>
      <c r="L3136" s="11" t="n"/>
      <c r="M3136" s="11" t="n"/>
    </row>
    <row r="3137">
      <c r="A3137" s="11" t="n"/>
      <c r="B3137" s="11" t="n"/>
      <c r="C3137" s="11" t="n"/>
      <c r="D3137" s="11" t="n"/>
      <c r="E3137" s="11" t="n"/>
      <c r="F3137" s="11" t="n"/>
      <c r="G3137" s="11" t="n"/>
      <c r="H3137" s="11" t="n"/>
      <c r="I3137" s="11" t="n"/>
      <c r="J3137" s="11" t="n"/>
      <c r="K3137" s="11" t="n"/>
      <c r="L3137" s="11" t="n"/>
      <c r="M3137" s="11" t="n"/>
    </row>
    <row r="3138">
      <c r="A3138" s="11" t="n"/>
      <c r="B3138" s="11" t="n"/>
      <c r="C3138" s="11" t="n"/>
      <c r="D3138" s="11" t="n"/>
      <c r="E3138" s="11" t="n"/>
      <c r="F3138" s="11" t="n"/>
      <c r="G3138" s="11" t="n"/>
      <c r="H3138" s="11" t="n"/>
      <c r="I3138" s="11" t="n"/>
      <c r="J3138" s="11" t="n"/>
      <c r="K3138" s="11" t="n"/>
      <c r="L3138" s="11" t="n"/>
      <c r="M3138" s="11" t="n"/>
    </row>
    <row r="3139">
      <c r="A3139" s="11" t="n"/>
      <c r="B3139" s="11" t="n"/>
      <c r="C3139" s="11" t="n"/>
      <c r="D3139" s="11" t="n"/>
      <c r="E3139" s="11" t="n"/>
      <c r="F3139" s="11" t="n"/>
      <c r="G3139" s="11" t="n"/>
      <c r="H3139" s="11" t="n"/>
      <c r="I3139" s="11" t="n"/>
      <c r="J3139" s="11" t="n"/>
      <c r="K3139" s="11" t="n"/>
      <c r="L3139" s="11" t="n"/>
      <c r="M3139" s="11" t="n"/>
    </row>
    <row r="3140">
      <c r="A3140" s="11" t="n"/>
      <c r="B3140" s="11" t="n"/>
      <c r="C3140" s="11" t="n"/>
      <c r="D3140" s="11" t="n"/>
      <c r="E3140" s="11" t="n"/>
      <c r="F3140" s="11" t="n"/>
      <c r="G3140" s="11" t="n"/>
      <c r="H3140" s="11" t="n"/>
      <c r="I3140" s="11" t="n"/>
      <c r="J3140" s="11" t="n"/>
      <c r="K3140" s="11" t="n"/>
      <c r="L3140" s="11" t="n"/>
      <c r="M3140" s="11" t="n"/>
    </row>
    <row r="3141">
      <c r="A3141" s="11" t="n"/>
      <c r="B3141" s="11" t="n"/>
      <c r="C3141" s="11" t="n"/>
      <c r="D3141" s="11" t="n"/>
      <c r="E3141" s="11" t="n"/>
      <c r="F3141" s="11" t="n"/>
      <c r="G3141" s="11" t="n"/>
      <c r="H3141" s="11" t="n"/>
      <c r="I3141" s="11" t="n"/>
      <c r="J3141" s="11" t="n"/>
      <c r="K3141" s="11" t="n"/>
      <c r="L3141" s="11" t="n"/>
      <c r="M3141" s="11" t="n"/>
    </row>
    <row r="3142">
      <c r="A3142" s="11" t="n"/>
      <c r="B3142" s="11" t="n"/>
      <c r="C3142" s="11" t="n"/>
      <c r="D3142" s="11" t="n"/>
      <c r="E3142" s="11" t="n"/>
      <c r="F3142" s="11" t="n"/>
      <c r="G3142" s="11" t="n"/>
      <c r="H3142" s="11" t="n"/>
      <c r="I3142" s="11" t="n"/>
      <c r="J3142" s="11" t="n"/>
      <c r="K3142" s="11" t="n"/>
      <c r="L3142" s="11" t="n"/>
      <c r="M3142" s="11" t="n"/>
    </row>
    <row r="3143">
      <c r="A3143" s="11" t="n"/>
      <c r="B3143" s="11" t="n"/>
      <c r="C3143" s="11" t="n"/>
      <c r="D3143" s="11" t="n"/>
      <c r="E3143" s="11" t="n"/>
      <c r="F3143" s="11" t="n"/>
      <c r="G3143" s="11" t="n"/>
      <c r="H3143" s="11" t="n"/>
      <c r="I3143" s="11" t="n"/>
      <c r="J3143" s="11" t="n"/>
      <c r="K3143" s="11" t="n"/>
      <c r="L3143" s="11" t="n"/>
      <c r="M3143" s="11" t="n"/>
    </row>
    <row r="3144">
      <c r="A3144" s="11" t="n"/>
      <c r="B3144" s="11" t="n"/>
      <c r="C3144" s="11" t="n"/>
      <c r="D3144" s="11" t="n"/>
      <c r="E3144" s="11" t="n"/>
      <c r="F3144" s="11" t="n"/>
      <c r="G3144" s="11" t="n"/>
      <c r="H3144" s="11" t="n"/>
      <c r="I3144" s="11" t="n"/>
      <c r="J3144" s="11" t="n"/>
      <c r="K3144" s="11" t="n"/>
      <c r="L3144" s="11" t="n"/>
      <c r="M3144" s="11" t="n"/>
    </row>
    <row r="3145">
      <c r="A3145" s="11" t="n"/>
      <c r="B3145" s="11" t="n"/>
      <c r="C3145" s="11" t="n"/>
      <c r="D3145" s="11" t="n"/>
      <c r="E3145" s="11" t="n"/>
      <c r="F3145" s="11" t="n"/>
      <c r="G3145" s="11" t="n"/>
      <c r="H3145" s="11" t="n"/>
      <c r="I3145" s="11" t="n"/>
      <c r="J3145" s="11" t="n"/>
      <c r="K3145" s="11" t="n"/>
      <c r="L3145" s="11" t="n"/>
      <c r="M3145" s="11" t="n"/>
    </row>
    <row r="3146">
      <c r="A3146" s="11" t="n"/>
      <c r="B3146" s="11" t="n"/>
      <c r="C3146" s="11" t="n"/>
      <c r="D3146" s="11" t="n"/>
      <c r="E3146" s="11" t="n"/>
      <c r="F3146" s="11" t="n"/>
      <c r="G3146" s="11" t="n"/>
      <c r="H3146" s="11" t="n"/>
      <c r="I3146" s="11" t="n"/>
      <c r="J3146" s="11" t="n"/>
      <c r="K3146" s="11" t="n"/>
      <c r="L3146" s="11" t="n"/>
      <c r="M3146" s="11" t="n"/>
    </row>
    <row r="3147">
      <c r="A3147" s="11" t="n"/>
      <c r="B3147" s="11" t="n"/>
      <c r="C3147" s="11" t="n"/>
      <c r="D3147" s="11" t="n"/>
      <c r="E3147" s="11" t="n"/>
      <c r="F3147" s="11" t="n"/>
      <c r="G3147" s="11" t="n"/>
      <c r="H3147" s="11" t="n"/>
      <c r="I3147" s="11" t="n"/>
      <c r="J3147" s="11" t="n"/>
      <c r="K3147" s="11" t="n"/>
      <c r="L3147" s="11" t="n"/>
      <c r="M3147" s="11" t="n"/>
    </row>
    <row r="3148">
      <c r="A3148" s="11" t="n"/>
      <c r="B3148" s="11" t="n"/>
      <c r="C3148" s="11" t="n"/>
      <c r="D3148" s="11" t="n"/>
      <c r="E3148" s="11" t="n"/>
      <c r="F3148" s="11" t="n"/>
      <c r="G3148" s="11" t="n"/>
      <c r="H3148" s="11" t="n"/>
      <c r="I3148" s="11" t="n"/>
      <c r="J3148" s="11" t="n"/>
      <c r="K3148" s="11" t="n"/>
      <c r="L3148" s="11" t="n"/>
      <c r="M3148" s="11" t="n"/>
    </row>
    <row r="3149">
      <c r="A3149" s="11" t="n"/>
      <c r="B3149" s="11" t="n"/>
      <c r="C3149" s="11" t="n"/>
      <c r="D3149" s="11" t="n"/>
      <c r="E3149" s="11" t="n"/>
      <c r="F3149" s="11" t="n"/>
      <c r="G3149" s="11" t="n"/>
      <c r="H3149" s="11" t="n"/>
      <c r="I3149" s="11" t="n"/>
      <c r="J3149" s="11" t="n"/>
      <c r="K3149" s="11" t="n"/>
      <c r="L3149" s="11" t="n"/>
      <c r="M3149" s="11" t="n"/>
    </row>
    <row r="3150">
      <c r="A3150" s="11" t="n"/>
      <c r="B3150" s="11" t="n"/>
      <c r="C3150" s="11" t="n"/>
      <c r="D3150" s="11" t="n"/>
      <c r="E3150" s="11" t="n"/>
      <c r="F3150" s="11" t="n"/>
      <c r="G3150" s="11" t="n"/>
      <c r="H3150" s="11" t="n"/>
      <c r="I3150" s="11" t="n"/>
      <c r="J3150" s="11" t="n"/>
      <c r="K3150" s="11" t="n"/>
      <c r="L3150" s="11" t="n"/>
      <c r="M3150" s="11" t="n"/>
    </row>
    <row r="3151">
      <c r="A3151" s="11" t="n"/>
      <c r="B3151" s="11" t="n"/>
      <c r="C3151" s="11" t="n"/>
      <c r="D3151" s="11" t="n"/>
      <c r="E3151" s="11" t="n"/>
      <c r="F3151" s="11" t="n"/>
      <c r="G3151" s="11" t="n"/>
      <c r="H3151" s="11" t="n"/>
      <c r="I3151" s="11" t="n"/>
      <c r="J3151" s="11" t="n"/>
      <c r="K3151" s="11" t="n"/>
      <c r="L3151" s="11" t="n"/>
      <c r="M3151" s="11" t="n"/>
    </row>
    <row r="3152">
      <c r="A3152" s="11" t="n"/>
      <c r="B3152" s="11" t="n"/>
      <c r="C3152" s="11" t="n"/>
      <c r="D3152" s="11" t="n"/>
      <c r="E3152" s="11" t="n"/>
      <c r="F3152" s="11" t="n"/>
      <c r="G3152" s="11" t="n"/>
      <c r="H3152" s="11" t="n"/>
      <c r="I3152" s="11" t="n"/>
      <c r="J3152" s="11" t="n"/>
      <c r="K3152" s="11" t="n"/>
      <c r="L3152" s="11" t="n"/>
      <c r="M3152" s="11" t="n"/>
    </row>
    <row r="3153">
      <c r="A3153" s="11" t="n"/>
      <c r="B3153" s="11" t="n"/>
      <c r="C3153" s="11" t="n"/>
      <c r="D3153" s="11" t="n"/>
      <c r="E3153" s="11" t="n"/>
      <c r="F3153" s="11" t="n"/>
      <c r="G3153" s="11" t="n"/>
      <c r="H3153" s="11" t="n"/>
      <c r="I3153" s="11" t="n"/>
      <c r="J3153" s="11" t="n"/>
      <c r="K3153" s="11" t="n"/>
      <c r="L3153" s="11" t="n"/>
      <c r="M3153" s="11" t="n"/>
    </row>
    <row r="3154">
      <c r="A3154" s="11" t="n"/>
      <c r="B3154" s="11" t="n"/>
      <c r="C3154" s="11" t="n"/>
      <c r="D3154" s="11" t="n"/>
      <c r="E3154" s="11" t="n"/>
      <c r="F3154" s="11" t="n"/>
      <c r="G3154" s="11" t="n"/>
      <c r="H3154" s="11" t="n"/>
      <c r="I3154" s="11" t="n"/>
      <c r="J3154" s="11" t="n"/>
      <c r="K3154" s="11" t="n"/>
      <c r="L3154" s="11" t="n"/>
      <c r="M3154" s="11" t="n"/>
    </row>
    <row r="3155">
      <c r="A3155" s="11" t="n"/>
      <c r="B3155" s="11" t="n"/>
      <c r="C3155" s="11" t="n"/>
      <c r="D3155" s="11" t="n"/>
      <c r="E3155" s="11" t="n"/>
      <c r="F3155" s="11" t="n"/>
      <c r="G3155" s="11" t="n"/>
      <c r="H3155" s="11" t="n"/>
      <c r="I3155" s="11" t="n"/>
      <c r="J3155" s="11" t="n"/>
      <c r="K3155" s="11" t="n"/>
      <c r="L3155" s="11" t="n"/>
      <c r="M3155" s="11" t="n"/>
    </row>
    <row r="3156">
      <c r="A3156" s="11" t="n"/>
      <c r="B3156" s="11" t="n"/>
      <c r="C3156" s="11" t="n"/>
      <c r="D3156" s="11" t="n"/>
      <c r="E3156" s="11" t="n"/>
      <c r="F3156" s="11" t="n"/>
      <c r="G3156" s="11" t="n"/>
      <c r="H3156" s="11" t="n"/>
      <c r="I3156" s="11" t="n"/>
      <c r="J3156" s="11" t="n"/>
      <c r="K3156" s="11" t="n"/>
      <c r="L3156" s="11" t="n"/>
      <c r="M3156" s="11" t="n"/>
    </row>
    <row r="3157">
      <c r="A3157" s="11" t="n"/>
      <c r="B3157" s="11" t="n"/>
      <c r="C3157" s="11" t="n"/>
      <c r="D3157" s="11" t="n"/>
      <c r="E3157" s="11" t="n"/>
      <c r="F3157" s="11" t="n"/>
      <c r="G3157" s="11" t="n"/>
      <c r="H3157" s="11" t="n"/>
      <c r="I3157" s="11" t="n"/>
      <c r="J3157" s="11" t="n"/>
      <c r="K3157" s="11" t="n"/>
      <c r="L3157" s="11" t="n"/>
      <c r="M3157" s="11" t="n"/>
    </row>
    <row r="3158">
      <c r="A3158" s="11" t="n"/>
      <c r="B3158" s="11" t="n"/>
      <c r="C3158" s="11" t="n"/>
      <c r="D3158" s="11" t="n"/>
      <c r="E3158" s="11" t="n"/>
      <c r="F3158" s="11" t="n"/>
      <c r="G3158" s="11" t="n"/>
      <c r="H3158" s="11" t="n"/>
      <c r="I3158" s="11" t="n"/>
      <c r="J3158" s="11" t="n"/>
      <c r="K3158" s="11" t="n"/>
      <c r="L3158" s="11" t="n"/>
      <c r="M3158" s="11" t="n"/>
    </row>
    <row r="3159">
      <c r="A3159" s="11" t="n"/>
      <c r="B3159" s="11" t="n"/>
      <c r="C3159" s="11" t="n"/>
      <c r="D3159" s="11" t="n"/>
      <c r="E3159" s="11" t="n"/>
      <c r="F3159" s="11" t="n"/>
      <c r="G3159" s="11" t="n"/>
      <c r="H3159" s="11" t="n"/>
      <c r="I3159" s="11" t="n"/>
      <c r="J3159" s="11" t="n"/>
      <c r="K3159" s="11" t="n"/>
      <c r="L3159" s="11" t="n"/>
      <c r="M3159" s="11" t="n"/>
    </row>
    <row r="3160">
      <c r="A3160" s="11" t="n"/>
      <c r="B3160" s="11" t="n"/>
      <c r="C3160" s="11" t="n"/>
      <c r="D3160" s="11" t="n"/>
      <c r="E3160" s="11" t="n"/>
      <c r="F3160" s="11" t="n"/>
      <c r="G3160" s="11" t="n"/>
      <c r="H3160" s="11" t="n"/>
      <c r="I3160" s="11" t="n"/>
      <c r="J3160" s="11" t="n"/>
      <c r="K3160" s="11" t="n"/>
      <c r="L3160" s="11" t="n"/>
      <c r="M3160" s="11" t="n"/>
    </row>
    <row r="3161">
      <c r="A3161" s="11" t="n"/>
      <c r="B3161" s="11" t="n"/>
      <c r="C3161" s="11" t="n"/>
      <c r="D3161" s="11" t="n"/>
      <c r="E3161" s="11" t="n"/>
      <c r="F3161" s="11" t="n"/>
      <c r="G3161" s="11" t="n"/>
      <c r="H3161" s="11" t="n"/>
      <c r="I3161" s="11" t="n"/>
      <c r="J3161" s="11" t="n"/>
      <c r="K3161" s="11" t="n"/>
      <c r="L3161" s="11" t="n"/>
      <c r="M3161" s="11" t="n"/>
    </row>
    <row r="3162">
      <c r="A3162" s="11" t="n"/>
      <c r="B3162" s="11" t="n"/>
      <c r="C3162" s="11" t="n"/>
      <c r="D3162" s="11" t="n"/>
      <c r="E3162" s="11" t="n"/>
      <c r="F3162" s="11" t="n"/>
      <c r="G3162" s="11" t="n"/>
      <c r="H3162" s="11" t="n"/>
      <c r="I3162" s="11" t="n"/>
      <c r="J3162" s="11" t="n"/>
      <c r="K3162" s="11" t="n"/>
      <c r="L3162" s="11" t="n"/>
      <c r="M3162" s="11" t="n"/>
    </row>
    <row r="3163">
      <c r="A3163" s="11" t="n"/>
      <c r="B3163" s="11" t="n"/>
      <c r="C3163" s="11" t="n"/>
      <c r="D3163" s="11" t="n"/>
      <c r="E3163" s="11" t="n"/>
      <c r="F3163" s="11" t="n"/>
      <c r="G3163" s="11" t="n"/>
      <c r="H3163" s="11" t="n"/>
      <c r="I3163" s="11" t="n"/>
      <c r="J3163" s="11" t="n"/>
      <c r="K3163" s="11" t="n"/>
      <c r="L3163" s="11" t="n"/>
      <c r="M3163" s="11" t="n"/>
    </row>
    <row r="3164">
      <c r="A3164" s="11" t="n"/>
      <c r="B3164" s="11" t="n"/>
      <c r="C3164" s="11" t="n"/>
      <c r="D3164" s="11" t="n"/>
      <c r="E3164" s="11" t="n"/>
      <c r="F3164" s="11" t="n"/>
      <c r="G3164" s="11" t="n"/>
      <c r="H3164" s="11" t="n"/>
      <c r="I3164" s="11" t="n"/>
      <c r="J3164" s="11" t="n"/>
      <c r="K3164" s="11" t="n"/>
      <c r="L3164" s="11" t="n"/>
      <c r="M3164" s="11" t="n"/>
    </row>
    <row r="3165">
      <c r="A3165" s="11" t="n"/>
      <c r="B3165" s="11" t="n"/>
      <c r="C3165" s="11" t="n"/>
      <c r="D3165" s="11" t="n"/>
      <c r="E3165" s="11" t="n"/>
      <c r="F3165" s="11" t="n"/>
      <c r="G3165" s="11" t="n"/>
      <c r="H3165" s="11" t="n"/>
      <c r="I3165" s="11" t="n"/>
      <c r="J3165" s="11" t="n"/>
      <c r="K3165" s="11" t="n"/>
      <c r="L3165" s="11" t="n"/>
      <c r="M3165" s="11" t="n"/>
    </row>
    <row r="3166">
      <c r="A3166" s="11" t="n"/>
      <c r="B3166" s="11" t="n"/>
      <c r="C3166" s="11" t="n"/>
      <c r="D3166" s="11" t="n"/>
      <c r="E3166" s="11" t="n"/>
      <c r="F3166" s="11" t="n"/>
      <c r="G3166" s="11" t="n"/>
      <c r="H3166" s="11" t="n"/>
      <c r="I3166" s="11" t="n"/>
      <c r="J3166" s="11" t="n"/>
      <c r="K3166" s="11" t="n"/>
      <c r="L3166" s="11" t="n"/>
      <c r="M3166" s="11" t="n"/>
    </row>
    <row r="3167">
      <c r="A3167" s="11" t="n"/>
      <c r="B3167" s="11" t="n"/>
      <c r="C3167" s="11" t="n"/>
      <c r="D3167" s="11" t="n"/>
      <c r="E3167" s="11" t="n"/>
      <c r="F3167" s="11" t="n"/>
      <c r="G3167" s="11" t="n"/>
      <c r="H3167" s="11" t="n"/>
      <c r="I3167" s="11" t="n"/>
      <c r="J3167" s="11" t="n"/>
      <c r="K3167" s="11" t="n"/>
      <c r="L3167" s="11" t="n"/>
      <c r="M3167" s="11" t="n"/>
    </row>
    <row r="3168">
      <c r="A3168" s="11" t="n"/>
      <c r="B3168" s="11" t="n"/>
      <c r="C3168" s="11" t="n"/>
      <c r="D3168" s="11" t="n"/>
      <c r="E3168" s="11" t="n"/>
      <c r="F3168" s="11" t="n"/>
      <c r="G3168" s="11" t="n"/>
      <c r="H3168" s="11" t="n"/>
      <c r="I3168" s="11" t="n"/>
      <c r="J3168" s="11" t="n"/>
      <c r="K3168" s="11" t="n"/>
      <c r="L3168" s="11" t="n"/>
      <c r="M3168" s="11" t="n"/>
    </row>
    <row r="3169">
      <c r="A3169" s="11" t="n"/>
      <c r="B3169" s="11" t="n"/>
      <c r="C3169" s="11" t="n"/>
      <c r="D3169" s="11" t="n"/>
      <c r="E3169" s="11" t="n"/>
      <c r="F3169" s="11" t="n"/>
      <c r="G3169" s="11" t="n"/>
      <c r="H3169" s="11" t="n"/>
      <c r="I3169" s="11" t="n"/>
      <c r="J3169" s="11" t="n"/>
      <c r="K3169" s="11" t="n"/>
      <c r="L3169" s="11" t="n"/>
      <c r="M3169" s="11" t="n"/>
    </row>
    <row r="3170">
      <c r="A3170" s="11" t="n"/>
      <c r="B3170" s="11" t="n"/>
      <c r="C3170" s="11" t="n"/>
      <c r="D3170" s="11" t="n"/>
      <c r="E3170" s="11" t="n"/>
      <c r="F3170" s="11" t="n"/>
      <c r="G3170" s="11" t="n"/>
      <c r="H3170" s="11" t="n"/>
      <c r="I3170" s="11" t="n"/>
      <c r="J3170" s="11" t="n"/>
      <c r="K3170" s="11" t="n"/>
      <c r="L3170" s="11" t="n"/>
      <c r="M3170" s="11" t="n"/>
    </row>
    <row r="3171">
      <c r="A3171" s="11" t="n"/>
      <c r="B3171" s="11" t="n"/>
      <c r="C3171" s="11" t="n"/>
      <c r="D3171" s="11" t="n"/>
      <c r="E3171" s="11" t="n"/>
      <c r="F3171" s="11" t="n"/>
      <c r="G3171" s="11" t="n"/>
      <c r="H3171" s="11" t="n"/>
      <c r="I3171" s="11" t="n"/>
      <c r="J3171" s="11" t="n"/>
      <c r="K3171" s="11" t="n"/>
      <c r="L3171" s="11" t="n"/>
      <c r="M3171" s="11" t="n"/>
    </row>
    <row r="3172">
      <c r="A3172" s="11" t="n"/>
      <c r="B3172" s="11" t="n"/>
      <c r="C3172" s="11" t="n"/>
      <c r="D3172" s="11" t="n"/>
      <c r="E3172" s="11" t="n"/>
      <c r="F3172" s="11" t="n"/>
      <c r="G3172" s="11" t="n"/>
      <c r="H3172" s="11" t="n"/>
      <c r="I3172" s="11" t="n"/>
      <c r="J3172" s="11" t="n"/>
      <c r="K3172" s="11" t="n"/>
      <c r="L3172" s="11" t="n"/>
      <c r="M3172" s="11" t="n"/>
    </row>
    <row r="3173">
      <c r="A3173" s="11" t="n"/>
      <c r="B3173" s="11" t="n"/>
      <c r="C3173" s="11" t="n"/>
      <c r="D3173" s="11" t="n"/>
      <c r="E3173" s="11" t="n"/>
      <c r="F3173" s="11" t="n"/>
      <c r="G3173" s="11" t="n"/>
      <c r="H3173" s="11" t="n"/>
      <c r="I3173" s="11" t="n"/>
      <c r="J3173" s="11" t="n"/>
      <c r="K3173" s="11" t="n"/>
      <c r="L3173" s="11" t="n"/>
      <c r="M3173" s="11" t="n"/>
    </row>
    <row r="3174">
      <c r="A3174" s="11" t="n"/>
      <c r="B3174" s="11" t="n"/>
      <c r="C3174" s="11" t="n"/>
      <c r="D3174" s="11" t="n"/>
      <c r="E3174" s="11" t="n"/>
      <c r="F3174" s="11" t="n"/>
      <c r="G3174" s="11" t="n"/>
      <c r="H3174" s="11" t="n"/>
      <c r="I3174" s="11" t="n"/>
      <c r="J3174" s="11" t="n"/>
      <c r="K3174" s="11" t="n"/>
      <c r="L3174" s="11" t="n"/>
      <c r="M3174" s="11" t="n"/>
    </row>
    <row r="3175">
      <c r="A3175" s="11" t="n"/>
      <c r="B3175" s="11" t="n"/>
      <c r="C3175" s="11" t="n"/>
      <c r="D3175" s="11" t="n"/>
      <c r="E3175" s="11" t="n"/>
      <c r="F3175" s="11" t="n"/>
      <c r="G3175" s="11" t="n"/>
      <c r="H3175" s="11" t="n"/>
      <c r="I3175" s="11" t="n"/>
      <c r="J3175" s="11" t="n"/>
      <c r="K3175" s="11" t="n"/>
      <c r="L3175" s="11" t="n"/>
      <c r="M3175" s="11" t="n"/>
    </row>
    <row r="3176">
      <c r="A3176" s="11" t="n"/>
      <c r="B3176" s="11" t="n"/>
      <c r="C3176" s="11" t="n"/>
      <c r="D3176" s="11" t="n"/>
      <c r="E3176" s="11" t="n"/>
      <c r="F3176" s="11" t="n"/>
      <c r="G3176" s="11" t="n"/>
      <c r="H3176" s="11" t="n"/>
      <c r="I3176" s="11" t="n"/>
      <c r="J3176" s="11" t="n"/>
      <c r="K3176" s="11" t="n"/>
      <c r="L3176" s="11" t="n"/>
      <c r="M3176" s="11" t="n"/>
    </row>
    <row r="3177">
      <c r="A3177" s="11" t="n"/>
      <c r="B3177" s="11" t="n"/>
      <c r="C3177" s="11" t="n"/>
      <c r="D3177" s="11" t="n"/>
      <c r="E3177" s="11" t="n"/>
      <c r="F3177" s="11" t="n"/>
      <c r="G3177" s="11" t="n"/>
      <c r="H3177" s="11" t="n"/>
      <c r="I3177" s="11" t="n"/>
      <c r="J3177" s="11" t="n"/>
      <c r="K3177" s="11" t="n"/>
      <c r="L3177" s="11" t="n"/>
      <c r="M3177" s="11" t="n"/>
    </row>
    <row r="3178">
      <c r="A3178" s="11" t="n"/>
      <c r="B3178" s="11" t="n"/>
      <c r="C3178" s="11" t="n"/>
      <c r="D3178" s="11" t="n"/>
      <c r="E3178" s="11" t="n"/>
      <c r="F3178" s="11" t="n"/>
      <c r="G3178" s="11" t="n"/>
      <c r="H3178" s="11" t="n"/>
      <c r="I3178" s="11" t="n"/>
      <c r="J3178" s="11" t="n"/>
      <c r="K3178" s="11" t="n"/>
      <c r="L3178" s="11" t="n"/>
      <c r="M3178" s="11" t="n"/>
    </row>
    <row r="3179">
      <c r="A3179" s="11" t="n"/>
      <c r="B3179" s="11" t="n"/>
      <c r="C3179" s="11" t="n"/>
      <c r="D3179" s="11" t="n"/>
      <c r="E3179" s="11" t="n"/>
      <c r="F3179" s="11" t="n"/>
      <c r="G3179" s="11" t="n"/>
      <c r="H3179" s="11" t="n"/>
      <c r="I3179" s="11" t="n"/>
      <c r="J3179" s="11" t="n"/>
      <c r="K3179" s="11" t="n"/>
      <c r="L3179" s="11" t="n"/>
      <c r="M3179" s="11" t="n"/>
    </row>
    <row r="3180">
      <c r="A3180" s="11" t="n"/>
      <c r="B3180" s="11" t="n"/>
      <c r="C3180" s="11" t="n"/>
      <c r="D3180" s="11" t="n"/>
      <c r="E3180" s="11" t="n"/>
      <c r="F3180" s="11" t="n"/>
      <c r="G3180" s="11" t="n"/>
      <c r="H3180" s="11" t="n"/>
      <c r="I3180" s="11" t="n"/>
      <c r="J3180" s="11" t="n"/>
      <c r="K3180" s="11" t="n"/>
      <c r="L3180" s="11" t="n"/>
      <c r="M3180" s="11" t="n"/>
    </row>
    <row r="3181">
      <c r="A3181" s="11" t="n"/>
      <c r="B3181" s="11" t="n"/>
      <c r="C3181" s="11" t="n"/>
      <c r="D3181" s="11" t="n"/>
      <c r="E3181" s="11" t="n"/>
      <c r="F3181" s="11" t="n"/>
      <c r="G3181" s="11" t="n"/>
      <c r="H3181" s="11" t="n"/>
      <c r="I3181" s="11" t="n"/>
      <c r="J3181" s="11" t="n"/>
      <c r="K3181" s="11" t="n"/>
      <c r="L3181" s="11" t="n"/>
      <c r="M3181" s="11" t="n"/>
    </row>
    <row r="3182">
      <c r="A3182" s="11" t="n"/>
      <c r="B3182" s="11" t="n"/>
      <c r="C3182" s="11" t="n"/>
      <c r="D3182" s="11" t="n"/>
      <c r="E3182" s="11" t="n"/>
      <c r="F3182" s="11" t="n"/>
      <c r="G3182" s="11" t="n"/>
      <c r="H3182" s="11" t="n"/>
      <c r="I3182" s="11" t="n"/>
      <c r="J3182" s="11" t="n"/>
      <c r="K3182" s="11" t="n"/>
      <c r="L3182" s="11" t="n"/>
      <c r="M3182" s="11" t="n"/>
    </row>
    <row r="3183">
      <c r="A3183" s="11" t="n"/>
      <c r="B3183" s="11" t="n"/>
      <c r="C3183" s="11" t="n"/>
      <c r="D3183" s="11" t="n"/>
      <c r="E3183" s="11" t="n"/>
      <c r="F3183" s="11" t="n"/>
      <c r="G3183" s="11" t="n"/>
      <c r="H3183" s="11" t="n"/>
      <c r="I3183" s="11" t="n"/>
      <c r="J3183" s="11" t="n"/>
      <c r="K3183" s="11" t="n"/>
      <c r="L3183" s="11" t="n"/>
      <c r="M3183" s="11" t="n"/>
    </row>
    <row r="3184">
      <c r="A3184" s="11" t="n"/>
      <c r="B3184" s="11" t="n"/>
      <c r="C3184" s="11" t="n"/>
      <c r="D3184" s="11" t="n"/>
      <c r="E3184" s="11" t="n"/>
      <c r="F3184" s="11" t="n"/>
      <c r="G3184" s="11" t="n"/>
      <c r="H3184" s="11" t="n"/>
      <c r="I3184" s="11" t="n"/>
      <c r="J3184" s="11" t="n"/>
      <c r="K3184" s="11" t="n"/>
      <c r="L3184" s="11" t="n"/>
      <c r="M3184" s="11" t="n"/>
    </row>
    <row r="3185">
      <c r="A3185" s="11" t="n"/>
      <c r="B3185" s="11" t="n"/>
      <c r="C3185" s="11" t="n"/>
      <c r="D3185" s="11" t="n"/>
      <c r="E3185" s="11" t="n"/>
      <c r="F3185" s="11" t="n"/>
      <c r="G3185" s="11" t="n"/>
      <c r="H3185" s="11" t="n"/>
      <c r="I3185" s="11" t="n"/>
      <c r="J3185" s="11" t="n"/>
      <c r="K3185" s="11" t="n"/>
      <c r="L3185" s="11" t="n"/>
      <c r="M3185" s="11" t="n"/>
    </row>
    <row r="3186">
      <c r="A3186" s="11" t="n"/>
      <c r="B3186" s="11" t="n"/>
      <c r="C3186" s="11" t="n"/>
      <c r="D3186" s="11" t="n"/>
      <c r="E3186" s="11" t="n"/>
      <c r="F3186" s="11" t="n"/>
      <c r="G3186" s="11" t="n"/>
      <c r="H3186" s="11" t="n"/>
      <c r="I3186" s="11" t="n"/>
      <c r="J3186" s="11" t="n"/>
      <c r="K3186" s="11" t="n"/>
      <c r="L3186" s="11" t="n"/>
      <c r="M3186" s="11" t="n"/>
    </row>
    <row r="3187">
      <c r="A3187" s="11" t="n"/>
      <c r="B3187" s="11" t="n"/>
      <c r="C3187" s="11" t="n"/>
      <c r="D3187" s="11" t="n"/>
      <c r="E3187" s="11" t="n"/>
      <c r="F3187" s="11" t="n"/>
      <c r="G3187" s="11" t="n"/>
      <c r="H3187" s="11" t="n"/>
      <c r="I3187" s="11" t="n"/>
      <c r="J3187" s="11" t="n"/>
      <c r="K3187" s="11" t="n"/>
      <c r="L3187" s="11" t="n"/>
      <c r="M3187" s="11" t="n"/>
    </row>
    <row r="3188">
      <c r="A3188" s="11" t="n"/>
      <c r="B3188" s="11" t="n"/>
      <c r="C3188" s="11" t="n"/>
      <c r="D3188" s="11" t="n"/>
      <c r="E3188" s="11" t="n"/>
      <c r="F3188" s="11" t="n"/>
      <c r="G3188" s="11" t="n"/>
      <c r="H3188" s="11" t="n"/>
      <c r="I3188" s="11" t="n"/>
      <c r="J3188" s="11" t="n"/>
      <c r="K3188" s="11" t="n"/>
      <c r="L3188" s="11" t="n"/>
      <c r="M3188" s="11" t="n"/>
    </row>
    <row r="3189">
      <c r="A3189" s="11" t="n"/>
      <c r="B3189" s="11" t="n"/>
      <c r="C3189" s="11" t="n"/>
      <c r="D3189" s="11" t="n"/>
      <c r="E3189" s="11" t="n"/>
      <c r="F3189" s="11" t="n"/>
      <c r="G3189" s="11" t="n"/>
      <c r="H3189" s="11" t="n"/>
      <c r="I3189" s="11" t="n"/>
      <c r="J3189" s="11" t="n"/>
      <c r="K3189" s="11" t="n"/>
      <c r="L3189" s="11" t="n"/>
      <c r="M3189" s="11" t="n"/>
    </row>
    <row r="3190">
      <c r="A3190" s="11" t="n"/>
      <c r="B3190" s="11" t="n"/>
      <c r="C3190" s="11" t="n"/>
      <c r="D3190" s="11" t="n"/>
      <c r="E3190" s="11" t="n"/>
      <c r="F3190" s="11" t="n"/>
      <c r="G3190" s="11" t="n"/>
      <c r="H3190" s="11" t="n"/>
      <c r="I3190" s="11" t="n"/>
      <c r="J3190" s="11" t="n"/>
      <c r="K3190" s="11" t="n"/>
      <c r="L3190" s="11" t="n"/>
      <c r="M3190" s="11" t="n"/>
    </row>
    <row r="3191">
      <c r="A3191" s="11" t="n"/>
      <c r="B3191" s="11" t="n"/>
      <c r="C3191" s="11" t="n"/>
      <c r="D3191" s="11" t="n"/>
      <c r="E3191" s="11" t="n"/>
      <c r="F3191" s="11" t="n"/>
      <c r="G3191" s="11" t="n"/>
      <c r="H3191" s="11" t="n"/>
      <c r="I3191" s="11" t="n"/>
      <c r="J3191" s="11" t="n"/>
      <c r="K3191" s="11" t="n"/>
      <c r="L3191" s="11" t="n"/>
      <c r="M3191" s="11" t="n"/>
    </row>
    <row r="3192">
      <c r="A3192" s="11" t="n"/>
      <c r="B3192" s="11" t="n"/>
      <c r="C3192" s="11" t="n"/>
      <c r="D3192" s="11" t="n"/>
      <c r="E3192" s="11" t="n"/>
      <c r="F3192" s="11" t="n"/>
      <c r="G3192" s="11" t="n"/>
      <c r="H3192" s="11" t="n"/>
      <c r="I3192" s="11" t="n"/>
      <c r="J3192" s="11" t="n"/>
      <c r="K3192" s="11" t="n"/>
      <c r="L3192" s="11" t="n"/>
      <c r="M3192" s="11" t="n"/>
    </row>
    <row r="3193">
      <c r="A3193" s="11" t="n"/>
      <c r="B3193" s="11" t="n"/>
      <c r="C3193" s="11" t="n"/>
      <c r="D3193" s="11" t="n"/>
      <c r="E3193" s="11" t="n"/>
      <c r="F3193" s="11" t="n"/>
      <c r="G3193" s="11" t="n"/>
      <c r="H3193" s="11" t="n"/>
      <c r="I3193" s="11" t="n"/>
      <c r="J3193" s="11" t="n"/>
      <c r="K3193" s="11" t="n"/>
      <c r="L3193" s="11" t="n"/>
      <c r="M3193" s="11" t="n"/>
    </row>
    <row r="3194">
      <c r="A3194" s="11" t="n"/>
      <c r="B3194" s="11" t="n"/>
      <c r="C3194" s="11" t="n"/>
      <c r="D3194" s="11" t="n"/>
      <c r="E3194" s="11" t="n"/>
      <c r="F3194" s="11" t="n"/>
      <c r="G3194" s="11" t="n"/>
      <c r="H3194" s="11" t="n"/>
      <c r="I3194" s="11" t="n"/>
      <c r="J3194" s="11" t="n"/>
      <c r="K3194" s="11" t="n"/>
      <c r="L3194" s="11" t="n"/>
      <c r="M3194" s="11" t="n"/>
    </row>
    <row r="3195">
      <c r="A3195" s="11" t="n"/>
      <c r="B3195" s="11" t="n"/>
      <c r="C3195" s="11" t="n"/>
      <c r="D3195" s="11" t="n"/>
      <c r="E3195" s="11" t="n"/>
      <c r="F3195" s="11" t="n"/>
      <c r="G3195" s="11" t="n"/>
      <c r="H3195" s="11" t="n"/>
      <c r="I3195" s="11" t="n"/>
      <c r="J3195" s="11" t="n"/>
      <c r="K3195" s="11" t="n"/>
      <c r="L3195" s="11" t="n"/>
      <c r="M3195" s="11" t="n"/>
    </row>
    <row r="3196">
      <c r="A3196" s="11" t="n"/>
      <c r="B3196" s="11" t="n"/>
      <c r="C3196" s="11" t="n"/>
      <c r="D3196" s="11" t="n"/>
      <c r="E3196" s="11" t="n"/>
      <c r="F3196" s="11" t="n"/>
      <c r="G3196" s="11" t="n"/>
      <c r="H3196" s="11" t="n"/>
      <c r="I3196" s="11" t="n"/>
      <c r="J3196" s="11" t="n"/>
      <c r="K3196" s="11" t="n"/>
      <c r="L3196" s="11" t="n"/>
      <c r="M3196" s="11" t="n"/>
    </row>
    <row r="3197">
      <c r="A3197" s="11" t="n"/>
      <c r="B3197" s="11" t="n"/>
      <c r="C3197" s="11" t="n"/>
      <c r="D3197" s="11" t="n"/>
      <c r="E3197" s="11" t="n"/>
      <c r="F3197" s="11" t="n"/>
      <c r="G3197" s="11" t="n"/>
      <c r="H3197" s="11" t="n"/>
      <c r="I3197" s="11" t="n"/>
      <c r="J3197" s="11" t="n"/>
      <c r="K3197" s="11" t="n"/>
      <c r="L3197" s="11" t="n"/>
      <c r="M3197" s="11" t="n"/>
    </row>
    <row r="3198">
      <c r="A3198" s="11" t="n"/>
      <c r="B3198" s="11" t="n"/>
      <c r="C3198" s="11" t="n"/>
      <c r="D3198" s="11" t="n"/>
      <c r="E3198" s="11" t="n"/>
      <c r="F3198" s="11" t="n"/>
      <c r="G3198" s="11" t="n"/>
      <c r="H3198" s="11" t="n"/>
      <c r="I3198" s="11" t="n"/>
      <c r="J3198" s="11" t="n"/>
      <c r="K3198" s="11" t="n"/>
      <c r="L3198" s="11" t="n"/>
      <c r="M3198" s="11" t="n"/>
    </row>
    <row r="3199">
      <c r="A3199" s="11" t="n"/>
      <c r="B3199" s="11" t="n"/>
      <c r="C3199" s="11" t="n"/>
      <c r="D3199" s="11" t="n"/>
      <c r="E3199" s="11" t="n"/>
      <c r="F3199" s="11" t="n"/>
      <c r="G3199" s="11" t="n"/>
      <c r="H3199" s="11" t="n"/>
      <c r="I3199" s="11" t="n"/>
      <c r="J3199" s="11" t="n"/>
      <c r="K3199" s="11" t="n"/>
      <c r="L3199" s="11" t="n"/>
      <c r="M3199" s="11" t="n"/>
    </row>
    <row r="3200">
      <c r="A3200" s="11" t="n"/>
      <c r="B3200" s="11" t="n"/>
      <c r="C3200" s="11" t="n"/>
      <c r="D3200" s="11" t="n"/>
      <c r="E3200" s="11" t="n"/>
      <c r="F3200" s="11" t="n"/>
      <c r="G3200" s="11" t="n"/>
      <c r="H3200" s="11" t="n"/>
      <c r="I3200" s="11" t="n"/>
      <c r="J3200" s="11" t="n"/>
      <c r="K3200" s="11" t="n"/>
      <c r="L3200" s="11" t="n"/>
      <c r="M3200" s="11" t="n"/>
    </row>
    <row r="3201">
      <c r="A3201" s="11" t="n"/>
      <c r="B3201" s="11" t="n"/>
      <c r="C3201" s="11" t="n"/>
      <c r="D3201" s="11" t="n"/>
      <c r="E3201" s="11" t="n"/>
      <c r="F3201" s="11" t="n"/>
      <c r="G3201" s="11" t="n"/>
      <c r="H3201" s="11" t="n"/>
      <c r="I3201" s="11" t="n"/>
      <c r="J3201" s="11" t="n"/>
      <c r="K3201" s="11" t="n"/>
      <c r="L3201" s="11" t="n"/>
      <c r="M3201" s="11" t="n"/>
    </row>
    <row r="3202">
      <c r="A3202" s="11" t="n"/>
      <c r="B3202" s="11" t="n"/>
      <c r="C3202" s="11" t="n"/>
      <c r="D3202" s="11" t="n"/>
      <c r="E3202" s="11" t="n"/>
      <c r="F3202" s="11" t="n"/>
      <c r="G3202" s="11" t="n"/>
      <c r="H3202" s="11" t="n"/>
      <c r="I3202" s="11" t="n"/>
      <c r="J3202" s="11" t="n"/>
      <c r="K3202" s="11" t="n"/>
      <c r="L3202" s="11" t="n"/>
      <c r="M3202" s="11" t="n"/>
    </row>
    <row r="3203">
      <c r="A3203" s="11" t="n"/>
      <c r="B3203" s="11" t="n"/>
      <c r="C3203" s="11" t="n"/>
      <c r="D3203" s="11" t="n"/>
      <c r="E3203" s="11" t="n"/>
      <c r="F3203" s="11" t="n"/>
      <c r="G3203" s="11" t="n"/>
      <c r="H3203" s="11" t="n"/>
      <c r="I3203" s="11" t="n"/>
      <c r="J3203" s="11" t="n"/>
      <c r="K3203" s="11" t="n"/>
      <c r="L3203" s="11" t="n"/>
      <c r="M3203" s="11" t="n"/>
    </row>
    <row r="3204">
      <c r="A3204" s="11" t="n"/>
      <c r="B3204" s="11" t="n"/>
      <c r="C3204" s="11" t="n"/>
      <c r="D3204" s="11" t="n"/>
      <c r="E3204" s="11" t="n"/>
      <c r="F3204" s="11" t="n"/>
      <c r="G3204" s="11" t="n"/>
      <c r="H3204" s="11" t="n"/>
      <c r="I3204" s="11" t="n"/>
      <c r="J3204" s="11" t="n"/>
      <c r="K3204" s="11" t="n"/>
      <c r="L3204" s="11" t="n"/>
      <c r="M3204" s="11" t="n"/>
    </row>
    <row r="3205">
      <c r="A3205" s="11" t="n"/>
      <c r="B3205" s="11" t="n"/>
      <c r="C3205" s="11" t="n"/>
      <c r="D3205" s="11" t="n"/>
      <c r="E3205" s="11" t="n"/>
      <c r="F3205" s="11" t="n"/>
      <c r="G3205" s="11" t="n"/>
      <c r="H3205" s="11" t="n"/>
      <c r="I3205" s="11" t="n"/>
      <c r="J3205" s="11" t="n"/>
      <c r="K3205" s="11" t="n"/>
      <c r="L3205" s="11" t="n"/>
      <c r="M3205" s="11" t="n"/>
    </row>
    <row r="3206">
      <c r="A3206" s="11" t="n"/>
      <c r="B3206" s="11" t="n"/>
      <c r="C3206" s="11" t="n"/>
      <c r="D3206" s="11" t="n"/>
      <c r="E3206" s="11" t="n"/>
      <c r="F3206" s="11" t="n"/>
      <c r="G3206" s="11" t="n"/>
      <c r="H3206" s="11" t="n"/>
      <c r="I3206" s="11" t="n"/>
      <c r="J3206" s="11" t="n"/>
      <c r="K3206" s="11" t="n"/>
      <c r="L3206" s="11" t="n"/>
      <c r="M3206" s="11" t="n"/>
    </row>
    <row r="3207">
      <c r="A3207" s="11" t="n"/>
      <c r="B3207" s="11" t="n"/>
      <c r="C3207" s="11" t="n"/>
      <c r="D3207" s="11" t="n"/>
      <c r="E3207" s="11" t="n"/>
      <c r="F3207" s="11" t="n"/>
      <c r="G3207" s="11" t="n"/>
      <c r="H3207" s="11" t="n"/>
      <c r="I3207" s="11" t="n"/>
      <c r="J3207" s="11" t="n"/>
      <c r="K3207" s="11" t="n"/>
      <c r="L3207" s="11" t="n"/>
      <c r="M3207" s="11" t="n"/>
    </row>
    <row r="3208">
      <c r="A3208" s="11" t="n"/>
      <c r="B3208" s="11" t="n"/>
      <c r="C3208" s="11" t="n"/>
      <c r="D3208" s="11" t="n"/>
      <c r="E3208" s="11" t="n"/>
      <c r="F3208" s="11" t="n"/>
      <c r="G3208" s="11" t="n"/>
      <c r="H3208" s="11" t="n"/>
      <c r="I3208" s="11" t="n"/>
      <c r="J3208" s="11" t="n"/>
      <c r="K3208" s="11" t="n"/>
      <c r="L3208" s="11" t="n"/>
      <c r="M3208" s="11" t="n"/>
    </row>
    <row r="3209">
      <c r="A3209" s="11" t="n"/>
      <c r="B3209" s="11" t="n"/>
      <c r="C3209" s="11" t="n"/>
      <c r="D3209" s="11" t="n"/>
      <c r="E3209" s="11" t="n"/>
      <c r="F3209" s="11" t="n"/>
      <c r="G3209" s="11" t="n"/>
      <c r="H3209" s="11" t="n"/>
      <c r="I3209" s="11" t="n"/>
      <c r="J3209" s="11" t="n"/>
      <c r="K3209" s="11" t="n"/>
      <c r="L3209" s="11" t="n"/>
      <c r="M3209" s="11" t="n"/>
    </row>
    <row r="3210">
      <c r="A3210" s="11" t="n"/>
      <c r="B3210" s="11" t="n"/>
      <c r="C3210" s="11" t="n"/>
      <c r="D3210" s="11" t="n"/>
      <c r="E3210" s="11" t="n"/>
      <c r="F3210" s="11" t="n"/>
      <c r="G3210" s="11" t="n"/>
      <c r="H3210" s="11" t="n"/>
      <c r="I3210" s="11" t="n"/>
      <c r="J3210" s="11" t="n"/>
      <c r="K3210" s="11" t="n"/>
      <c r="L3210" s="11" t="n"/>
      <c r="M3210" s="11" t="n"/>
    </row>
    <row r="3211">
      <c r="A3211" s="11" t="n"/>
      <c r="B3211" s="11" t="n"/>
      <c r="C3211" s="11" t="n"/>
      <c r="D3211" s="11" t="n"/>
      <c r="E3211" s="11" t="n"/>
      <c r="F3211" s="11" t="n"/>
      <c r="G3211" s="11" t="n"/>
      <c r="H3211" s="11" t="n"/>
      <c r="I3211" s="11" t="n"/>
      <c r="J3211" s="11" t="n"/>
      <c r="K3211" s="11" t="n"/>
      <c r="L3211" s="11" t="n"/>
      <c r="M3211" s="11" t="n"/>
    </row>
    <row r="3212">
      <c r="A3212" s="11" t="n"/>
      <c r="B3212" s="11" t="n"/>
      <c r="C3212" s="11" t="n"/>
      <c r="D3212" s="11" t="n"/>
      <c r="E3212" s="11" t="n"/>
      <c r="F3212" s="11" t="n"/>
      <c r="G3212" s="11" t="n"/>
      <c r="H3212" s="11" t="n"/>
      <c r="I3212" s="11" t="n"/>
      <c r="J3212" s="11" t="n"/>
      <c r="K3212" s="11" t="n"/>
      <c r="L3212" s="11" t="n"/>
      <c r="M3212" s="11" t="n"/>
    </row>
    <row r="3213">
      <c r="A3213" s="11" t="n"/>
      <c r="B3213" s="11" t="n"/>
      <c r="C3213" s="11" t="n"/>
      <c r="D3213" s="11" t="n"/>
      <c r="E3213" s="11" t="n"/>
      <c r="F3213" s="11" t="n"/>
      <c r="G3213" s="11" t="n"/>
      <c r="H3213" s="11" t="n"/>
      <c r="I3213" s="11" t="n"/>
      <c r="J3213" s="11" t="n"/>
      <c r="K3213" s="11" t="n"/>
      <c r="L3213" s="11" t="n"/>
      <c r="M3213" s="11" t="n"/>
    </row>
    <row r="3214">
      <c r="A3214" s="11" t="n"/>
      <c r="B3214" s="11" t="n"/>
      <c r="C3214" s="11" t="n"/>
      <c r="D3214" s="11" t="n"/>
      <c r="E3214" s="11" t="n"/>
      <c r="F3214" s="11" t="n"/>
      <c r="G3214" s="11" t="n"/>
      <c r="H3214" s="11" t="n"/>
      <c r="I3214" s="11" t="n"/>
      <c r="J3214" s="11" t="n"/>
      <c r="K3214" s="11" t="n"/>
      <c r="L3214" s="11" t="n"/>
      <c r="M3214" s="11" t="n"/>
    </row>
    <row r="3215">
      <c r="A3215" s="11" t="n"/>
      <c r="B3215" s="11" t="n"/>
      <c r="C3215" s="11" t="n"/>
      <c r="D3215" s="11" t="n"/>
      <c r="E3215" s="11" t="n"/>
      <c r="F3215" s="11" t="n"/>
      <c r="G3215" s="11" t="n"/>
      <c r="H3215" s="11" t="n"/>
      <c r="I3215" s="11" t="n"/>
      <c r="J3215" s="11" t="n"/>
      <c r="K3215" s="11" t="n"/>
      <c r="L3215" s="11" t="n"/>
      <c r="M3215" s="11" t="n"/>
    </row>
    <row r="3216">
      <c r="A3216" s="11" t="n"/>
      <c r="B3216" s="11" t="n"/>
      <c r="C3216" s="11" t="n"/>
      <c r="D3216" s="11" t="n"/>
      <c r="E3216" s="11" t="n"/>
      <c r="F3216" s="11" t="n"/>
      <c r="G3216" s="11" t="n"/>
      <c r="H3216" s="11" t="n"/>
      <c r="I3216" s="11" t="n"/>
      <c r="J3216" s="11" t="n"/>
      <c r="K3216" s="11" t="n"/>
      <c r="L3216" s="11" t="n"/>
      <c r="M3216" s="11" t="n"/>
    </row>
    <row r="3217">
      <c r="A3217" s="11" t="n"/>
      <c r="B3217" s="11" t="n"/>
      <c r="C3217" s="11" t="n"/>
      <c r="D3217" s="11" t="n"/>
      <c r="E3217" s="11" t="n"/>
      <c r="F3217" s="11" t="n"/>
      <c r="G3217" s="11" t="n"/>
      <c r="H3217" s="11" t="n"/>
      <c r="I3217" s="11" t="n"/>
      <c r="J3217" s="11" t="n"/>
      <c r="K3217" s="11" t="n"/>
      <c r="L3217" s="11" t="n"/>
      <c r="M3217" s="11" t="n"/>
    </row>
    <row r="3218">
      <c r="A3218" s="11" t="n"/>
      <c r="B3218" s="11" t="n"/>
      <c r="C3218" s="11" t="n"/>
      <c r="D3218" s="11" t="n"/>
      <c r="E3218" s="11" t="n"/>
      <c r="F3218" s="11" t="n"/>
      <c r="G3218" s="11" t="n"/>
      <c r="H3218" s="11" t="n"/>
      <c r="I3218" s="11" t="n"/>
      <c r="J3218" s="11" t="n"/>
      <c r="K3218" s="11" t="n"/>
      <c r="L3218" s="11" t="n"/>
      <c r="M3218" s="11" t="n"/>
    </row>
    <row r="3219">
      <c r="A3219" s="11" t="n"/>
      <c r="B3219" s="11" t="n"/>
      <c r="C3219" s="11" t="n"/>
      <c r="D3219" s="11" t="n"/>
      <c r="E3219" s="11" t="n"/>
      <c r="F3219" s="11" t="n"/>
      <c r="G3219" s="11" t="n"/>
      <c r="H3219" s="11" t="n"/>
      <c r="I3219" s="11" t="n"/>
      <c r="J3219" s="11" t="n"/>
      <c r="K3219" s="11" t="n"/>
      <c r="L3219" s="11" t="n"/>
      <c r="M3219" s="11" t="n"/>
    </row>
    <row r="3220">
      <c r="A3220" s="11" t="n"/>
      <c r="B3220" s="11" t="n"/>
      <c r="C3220" s="11" t="n"/>
      <c r="D3220" s="11" t="n"/>
      <c r="E3220" s="11" t="n"/>
      <c r="F3220" s="11" t="n"/>
      <c r="G3220" s="11" t="n"/>
      <c r="H3220" s="11" t="n"/>
      <c r="I3220" s="11" t="n"/>
      <c r="J3220" s="11" t="n"/>
      <c r="K3220" s="11" t="n"/>
      <c r="L3220" s="11" t="n"/>
      <c r="M3220" s="11" t="n"/>
    </row>
    <row r="3221">
      <c r="A3221" s="11" t="n"/>
      <c r="B3221" s="11" t="n"/>
      <c r="C3221" s="11" t="n"/>
      <c r="D3221" s="11" t="n"/>
      <c r="E3221" s="11" t="n"/>
      <c r="F3221" s="11" t="n"/>
      <c r="G3221" s="11" t="n"/>
      <c r="H3221" s="11" t="n"/>
      <c r="I3221" s="11" t="n"/>
      <c r="J3221" s="11" t="n"/>
      <c r="K3221" s="11" t="n"/>
      <c r="L3221" s="11" t="n"/>
      <c r="M3221" s="11" t="n"/>
    </row>
    <row r="3222">
      <c r="A3222" s="11" t="n"/>
      <c r="B3222" s="11" t="n"/>
      <c r="C3222" s="11" t="n"/>
      <c r="D3222" s="11" t="n"/>
      <c r="E3222" s="11" t="n"/>
      <c r="F3222" s="11" t="n"/>
      <c r="G3222" s="11" t="n"/>
      <c r="H3222" s="11" t="n"/>
      <c r="I3222" s="11" t="n"/>
      <c r="J3222" s="11" t="n"/>
      <c r="K3222" s="11" t="n"/>
      <c r="L3222" s="11" t="n"/>
      <c r="M3222" s="11" t="n"/>
    </row>
    <row r="3223">
      <c r="A3223" s="11" t="n"/>
      <c r="B3223" s="11" t="n"/>
      <c r="C3223" s="11" t="n"/>
      <c r="D3223" s="11" t="n"/>
      <c r="E3223" s="11" t="n"/>
      <c r="F3223" s="11" t="n"/>
      <c r="G3223" s="11" t="n"/>
      <c r="H3223" s="11" t="n"/>
      <c r="I3223" s="11" t="n"/>
      <c r="J3223" s="11" t="n"/>
      <c r="K3223" s="11" t="n"/>
      <c r="L3223" s="11" t="n"/>
      <c r="M3223" s="11" t="n"/>
    </row>
    <row r="3224">
      <c r="A3224" s="11" t="n"/>
      <c r="B3224" s="11" t="n"/>
      <c r="C3224" s="11" t="n"/>
      <c r="D3224" s="11" t="n"/>
      <c r="E3224" s="11" t="n"/>
      <c r="F3224" s="11" t="n"/>
      <c r="G3224" s="11" t="n"/>
      <c r="H3224" s="11" t="n"/>
      <c r="I3224" s="11" t="n"/>
      <c r="J3224" s="11" t="n"/>
      <c r="K3224" s="11" t="n"/>
      <c r="L3224" s="11" t="n"/>
      <c r="M3224" s="11" t="n"/>
    </row>
    <row r="3225">
      <c r="A3225" s="11" t="n"/>
      <c r="B3225" s="11" t="n"/>
      <c r="C3225" s="11" t="n"/>
      <c r="D3225" s="11" t="n"/>
      <c r="E3225" s="11" t="n"/>
      <c r="F3225" s="11" t="n"/>
      <c r="G3225" s="11" t="n"/>
      <c r="H3225" s="11" t="n"/>
      <c r="I3225" s="11" t="n"/>
      <c r="J3225" s="11" t="n"/>
      <c r="K3225" s="11" t="n"/>
      <c r="L3225" s="11" t="n"/>
      <c r="M3225" s="11" t="n"/>
    </row>
    <row r="3226">
      <c r="A3226" s="11" t="n"/>
      <c r="B3226" s="11" t="n"/>
      <c r="C3226" s="11" t="n"/>
      <c r="D3226" s="11" t="n"/>
      <c r="E3226" s="11" t="n"/>
      <c r="F3226" s="11" t="n"/>
      <c r="G3226" s="11" t="n"/>
      <c r="H3226" s="11" t="n"/>
      <c r="I3226" s="11" t="n"/>
      <c r="J3226" s="11" t="n"/>
      <c r="K3226" s="11" t="n"/>
      <c r="L3226" s="11" t="n"/>
      <c r="M3226" s="11" t="n"/>
    </row>
    <row r="3227">
      <c r="A3227" s="11" t="n"/>
      <c r="B3227" s="11" t="n"/>
      <c r="C3227" s="11" t="n"/>
      <c r="D3227" s="11" t="n"/>
      <c r="E3227" s="11" t="n"/>
      <c r="F3227" s="11" t="n"/>
      <c r="G3227" s="11" t="n"/>
      <c r="H3227" s="11" t="n"/>
      <c r="I3227" s="11" t="n"/>
      <c r="J3227" s="11" t="n"/>
      <c r="K3227" s="11" t="n"/>
      <c r="L3227" s="11" t="n"/>
      <c r="M3227" s="11" t="n"/>
    </row>
    <row r="3228">
      <c r="A3228" s="11" t="n"/>
      <c r="B3228" s="11" t="n"/>
      <c r="C3228" s="11" t="n"/>
      <c r="D3228" s="11" t="n"/>
      <c r="E3228" s="11" t="n"/>
      <c r="F3228" s="11" t="n"/>
      <c r="G3228" s="11" t="n"/>
      <c r="H3228" s="11" t="n"/>
      <c r="I3228" s="11" t="n"/>
      <c r="J3228" s="11" t="n"/>
      <c r="K3228" s="11" t="n"/>
      <c r="L3228" s="11" t="n"/>
      <c r="M3228" s="11" t="n"/>
    </row>
    <row r="3229">
      <c r="A3229" s="11" t="n"/>
      <c r="B3229" s="11" t="n"/>
      <c r="C3229" s="11" t="n"/>
      <c r="D3229" s="11" t="n"/>
      <c r="E3229" s="11" t="n"/>
      <c r="F3229" s="11" t="n"/>
      <c r="G3229" s="11" t="n"/>
      <c r="H3229" s="11" t="n"/>
      <c r="I3229" s="11" t="n"/>
      <c r="J3229" s="11" t="n"/>
      <c r="K3229" s="11" t="n"/>
      <c r="L3229" s="11" t="n"/>
      <c r="M3229" s="11" t="n"/>
    </row>
    <row r="3230">
      <c r="A3230" s="11" t="n"/>
      <c r="B3230" s="11" t="n"/>
      <c r="C3230" s="11" t="n"/>
      <c r="D3230" s="11" t="n"/>
      <c r="E3230" s="11" t="n"/>
      <c r="F3230" s="11" t="n"/>
      <c r="G3230" s="11" t="n"/>
      <c r="H3230" s="11" t="n"/>
      <c r="I3230" s="11" t="n"/>
      <c r="J3230" s="11" t="n"/>
      <c r="K3230" s="11" t="n"/>
      <c r="L3230" s="11" t="n"/>
      <c r="M3230" s="11" t="n"/>
    </row>
    <row r="3231">
      <c r="A3231" s="11" t="n"/>
      <c r="B3231" s="11" t="n"/>
      <c r="C3231" s="11" t="n"/>
      <c r="D3231" s="11" t="n"/>
      <c r="E3231" s="11" t="n"/>
      <c r="F3231" s="11" t="n"/>
      <c r="G3231" s="11" t="n"/>
      <c r="H3231" s="11" t="n"/>
      <c r="I3231" s="11" t="n"/>
      <c r="J3231" s="11" t="n"/>
      <c r="K3231" s="11" t="n"/>
      <c r="L3231" s="11" t="n"/>
      <c r="M3231" s="11" t="n"/>
    </row>
    <row r="3232">
      <c r="A3232" s="11" t="n"/>
      <c r="B3232" s="11" t="n"/>
      <c r="C3232" s="11" t="n"/>
      <c r="D3232" s="11" t="n"/>
      <c r="E3232" s="11" t="n"/>
      <c r="F3232" s="11" t="n"/>
      <c r="G3232" s="11" t="n"/>
      <c r="H3232" s="11" t="n"/>
      <c r="I3232" s="11" t="n"/>
      <c r="J3232" s="11" t="n"/>
      <c r="K3232" s="11" t="n"/>
      <c r="L3232" s="11" t="n"/>
      <c r="M3232" s="11" t="n"/>
    </row>
    <row r="3233">
      <c r="A3233" s="11" t="n"/>
      <c r="B3233" s="11" t="n"/>
      <c r="C3233" s="11" t="n"/>
      <c r="D3233" s="11" t="n"/>
      <c r="E3233" s="11" t="n"/>
      <c r="F3233" s="11" t="n"/>
      <c r="G3233" s="11" t="n"/>
      <c r="H3233" s="11" t="n"/>
      <c r="I3233" s="11" t="n"/>
      <c r="J3233" s="11" t="n"/>
      <c r="K3233" s="11" t="n"/>
      <c r="L3233" s="11" t="n"/>
      <c r="M3233" s="11" t="n"/>
    </row>
    <row r="3234">
      <c r="A3234" s="11" t="n"/>
      <c r="B3234" s="11" t="n"/>
      <c r="C3234" s="11" t="n"/>
      <c r="D3234" s="11" t="n"/>
      <c r="E3234" s="11" t="n"/>
      <c r="F3234" s="11" t="n"/>
      <c r="G3234" s="11" t="n"/>
      <c r="H3234" s="11" t="n"/>
      <c r="I3234" s="11" t="n"/>
      <c r="J3234" s="11" t="n"/>
      <c r="K3234" s="11" t="n"/>
      <c r="L3234" s="11" t="n"/>
      <c r="M3234" s="11" t="n"/>
    </row>
    <row r="3235">
      <c r="A3235" s="11" t="n"/>
      <c r="B3235" s="11" t="n"/>
      <c r="C3235" s="11" t="n"/>
      <c r="D3235" s="11" t="n"/>
      <c r="E3235" s="11" t="n"/>
      <c r="F3235" s="11" t="n"/>
      <c r="G3235" s="11" t="n"/>
      <c r="H3235" s="11" t="n"/>
      <c r="I3235" s="11" t="n"/>
      <c r="J3235" s="11" t="n"/>
      <c r="K3235" s="11" t="n"/>
      <c r="L3235" s="11" t="n"/>
      <c r="M3235" s="11" t="n"/>
    </row>
    <row r="3236">
      <c r="A3236" s="11" t="n"/>
      <c r="B3236" s="11" t="n"/>
      <c r="C3236" s="11" t="n"/>
      <c r="D3236" s="11" t="n"/>
      <c r="E3236" s="11" t="n"/>
      <c r="F3236" s="11" t="n"/>
      <c r="G3236" s="11" t="n"/>
      <c r="H3236" s="11" t="n"/>
      <c r="I3236" s="11" t="n"/>
      <c r="J3236" s="11" t="n"/>
      <c r="K3236" s="11" t="n"/>
      <c r="L3236" s="11" t="n"/>
      <c r="M3236" s="11" t="n"/>
    </row>
    <row r="3237">
      <c r="A3237" s="11" t="n"/>
      <c r="B3237" s="11" t="n"/>
      <c r="C3237" s="11" t="n"/>
      <c r="D3237" s="11" t="n"/>
      <c r="E3237" s="11" t="n"/>
      <c r="F3237" s="11" t="n"/>
      <c r="G3237" s="11" t="n"/>
      <c r="H3237" s="11" t="n"/>
      <c r="I3237" s="11" t="n"/>
      <c r="J3237" s="11" t="n"/>
      <c r="K3237" s="11" t="n"/>
      <c r="L3237" s="11" t="n"/>
      <c r="M3237" s="11" t="n"/>
    </row>
    <row r="3238">
      <c r="A3238" s="11" t="n"/>
      <c r="B3238" s="11" t="n"/>
      <c r="C3238" s="11" t="n"/>
      <c r="D3238" s="11" t="n"/>
      <c r="E3238" s="11" t="n"/>
      <c r="F3238" s="11" t="n"/>
      <c r="G3238" s="11" t="n"/>
      <c r="H3238" s="11" t="n"/>
      <c r="I3238" s="11" t="n"/>
      <c r="J3238" s="11" t="n"/>
      <c r="K3238" s="11" t="n"/>
      <c r="L3238" s="11" t="n"/>
      <c r="M3238" s="11" t="n"/>
    </row>
    <row r="3239">
      <c r="A3239" s="11" t="n"/>
      <c r="B3239" s="11" t="n"/>
      <c r="C3239" s="11" t="n"/>
      <c r="D3239" s="11" t="n"/>
      <c r="E3239" s="11" t="n"/>
      <c r="F3239" s="11" t="n"/>
      <c r="G3239" s="11" t="n"/>
      <c r="H3239" s="11" t="n"/>
      <c r="I3239" s="11" t="n"/>
      <c r="J3239" s="11" t="n"/>
      <c r="K3239" s="11" t="n"/>
      <c r="L3239" s="11" t="n"/>
      <c r="M3239" s="11" t="n"/>
    </row>
    <row r="3240">
      <c r="A3240" s="11" t="n"/>
      <c r="B3240" s="11" t="n"/>
      <c r="C3240" s="11" t="n"/>
      <c r="D3240" s="11" t="n"/>
      <c r="E3240" s="11" t="n"/>
      <c r="F3240" s="11" t="n"/>
      <c r="G3240" s="11" t="n"/>
      <c r="H3240" s="11" t="n"/>
      <c r="I3240" s="11" t="n"/>
      <c r="J3240" s="11" t="n"/>
      <c r="K3240" s="11" t="n"/>
      <c r="L3240" s="11" t="n"/>
      <c r="M3240" s="11" t="n"/>
    </row>
    <row r="3241">
      <c r="A3241" s="11" t="n"/>
      <c r="B3241" s="11" t="n"/>
      <c r="C3241" s="11" t="n"/>
      <c r="D3241" s="11" t="n"/>
      <c r="E3241" s="11" t="n"/>
      <c r="F3241" s="11" t="n"/>
      <c r="G3241" s="11" t="n"/>
      <c r="H3241" s="11" t="n"/>
      <c r="I3241" s="11" t="n"/>
      <c r="J3241" s="11" t="n"/>
      <c r="K3241" s="11" t="n"/>
      <c r="L3241" s="11" t="n"/>
      <c r="M3241" s="11" t="n"/>
    </row>
    <row r="3242">
      <c r="A3242" s="11" t="n"/>
      <c r="B3242" s="11" t="n"/>
      <c r="C3242" s="11" t="n"/>
      <c r="D3242" s="11" t="n"/>
      <c r="E3242" s="11" t="n"/>
      <c r="F3242" s="11" t="n"/>
      <c r="G3242" s="11" t="n"/>
      <c r="H3242" s="11" t="n"/>
      <c r="I3242" s="11" t="n"/>
      <c r="J3242" s="11" t="n"/>
      <c r="K3242" s="11" t="n"/>
      <c r="L3242" s="11" t="n"/>
      <c r="M3242" s="11" t="n"/>
    </row>
    <row r="3243">
      <c r="A3243" s="11" t="n"/>
      <c r="B3243" s="11" t="n"/>
      <c r="C3243" s="11" t="n"/>
      <c r="D3243" s="11" t="n"/>
      <c r="E3243" s="11" t="n"/>
      <c r="F3243" s="11" t="n"/>
      <c r="G3243" s="11" t="n"/>
      <c r="H3243" s="11" t="n"/>
      <c r="I3243" s="11" t="n"/>
      <c r="J3243" s="11" t="n"/>
      <c r="K3243" s="11" t="n"/>
      <c r="L3243" s="11" t="n"/>
      <c r="M3243" s="11" t="n"/>
    </row>
    <row r="3244">
      <c r="A3244" s="11" t="n"/>
      <c r="B3244" s="11" t="n"/>
      <c r="C3244" s="11" t="n"/>
      <c r="D3244" s="11" t="n"/>
      <c r="E3244" s="11" t="n"/>
      <c r="F3244" s="11" t="n"/>
      <c r="G3244" s="11" t="n"/>
      <c r="H3244" s="11" t="n"/>
      <c r="I3244" s="11" t="n"/>
      <c r="J3244" s="11" t="n"/>
      <c r="K3244" s="11" t="n"/>
      <c r="L3244" s="11" t="n"/>
      <c r="M3244" s="11" t="n"/>
    </row>
    <row r="3245">
      <c r="A3245" s="11" t="n"/>
      <c r="B3245" s="11" t="n"/>
      <c r="C3245" s="11" t="n"/>
      <c r="D3245" s="11" t="n"/>
      <c r="E3245" s="11" t="n"/>
      <c r="F3245" s="11" t="n"/>
      <c r="G3245" s="11" t="n"/>
      <c r="H3245" s="11" t="n"/>
      <c r="I3245" s="11" t="n"/>
      <c r="J3245" s="11" t="n"/>
      <c r="K3245" s="11" t="n"/>
      <c r="L3245" s="11" t="n"/>
      <c r="M3245" s="11" t="n"/>
    </row>
    <row r="3246">
      <c r="A3246" s="11" t="n"/>
      <c r="B3246" s="11" t="n"/>
      <c r="C3246" s="11" t="n"/>
      <c r="D3246" s="11" t="n"/>
      <c r="E3246" s="11" t="n"/>
      <c r="F3246" s="11" t="n"/>
      <c r="G3246" s="11" t="n"/>
      <c r="H3246" s="11" t="n"/>
      <c r="I3246" s="11" t="n"/>
      <c r="J3246" s="11" t="n"/>
      <c r="K3246" s="11" t="n"/>
      <c r="L3246" s="11" t="n"/>
      <c r="M3246" s="11" t="n"/>
    </row>
    <row r="3247">
      <c r="A3247" s="11" t="n"/>
      <c r="B3247" s="11" t="n"/>
      <c r="C3247" s="11" t="n"/>
      <c r="D3247" s="11" t="n"/>
      <c r="E3247" s="11" t="n"/>
      <c r="F3247" s="11" t="n"/>
      <c r="G3247" s="11" t="n"/>
      <c r="H3247" s="11" t="n"/>
      <c r="I3247" s="11" t="n"/>
      <c r="J3247" s="11" t="n"/>
      <c r="K3247" s="11" t="n"/>
      <c r="L3247" s="11" t="n"/>
      <c r="M3247" s="11" t="n"/>
    </row>
    <row r="3248">
      <c r="A3248" s="11" t="n"/>
      <c r="B3248" s="11" t="n"/>
      <c r="C3248" s="11" t="n"/>
      <c r="D3248" s="11" t="n"/>
      <c r="E3248" s="11" t="n"/>
      <c r="F3248" s="11" t="n"/>
      <c r="G3248" s="11" t="n"/>
      <c r="H3248" s="11" t="n"/>
      <c r="I3248" s="11" t="n"/>
      <c r="J3248" s="11" t="n"/>
      <c r="K3248" s="11" t="n"/>
      <c r="L3248" s="11" t="n"/>
      <c r="M3248" s="11" t="n"/>
    </row>
    <row r="3249">
      <c r="A3249" s="11" t="n"/>
      <c r="B3249" s="11" t="n"/>
      <c r="C3249" s="11" t="n"/>
      <c r="D3249" s="11" t="n"/>
      <c r="E3249" s="11" t="n"/>
      <c r="F3249" s="11" t="n"/>
      <c r="G3249" s="11" t="n"/>
      <c r="H3249" s="11" t="n"/>
      <c r="I3249" s="11" t="n"/>
      <c r="J3249" s="11" t="n"/>
      <c r="K3249" s="11" t="n"/>
      <c r="L3249" s="11" t="n"/>
      <c r="M3249" s="11" t="n"/>
    </row>
    <row r="3250">
      <c r="A3250" s="11" t="n"/>
      <c r="B3250" s="11" t="n"/>
      <c r="C3250" s="11" t="n"/>
      <c r="D3250" s="11" t="n"/>
      <c r="E3250" s="11" t="n"/>
      <c r="F3250" s="11" t="n"/>
      <c r="G3250" s="11" t="n"/>
      <c r="H3250" s="11" t="n"/>
      <c r="I3250" s="11" t="n"/>
      <c r="J3250" s="11" t="n"/>
      <c r="K3250" s="11" t="n"/>
      <c r="L3250" s="11" t="n"/>
      <c r="M3250" s="11" t="n"/>
    </row>
    <row r="3251">
      <c r="A3251" s="11" t="n"/>
      <c r="B3251" s="11" t="n"/>
      <c r="C3251" s="11" t="n"/>
      <c r="D3251" s="11" t="n"/>
      <c r="E3251" s="11" t="n"/>
      <c r="F3251" s="11" t="n"/>
      <c r="G3251" s="11" t="n"/>
      <c r="H3251" s="11" t="n"/>
      <c r="I3251" s="11" t="n"/>
      <c r="J3251" s="11" t="n"/>
      <c r="K3251" s="11" t="n"/>
      <c r="L3251" s="11" t="n"/>
      <c r="M3251" s="11" t="n"/>
    </row>
    <row r="3252">
      <c r="A3252" s="11" t="n"/>
      <c r="B3252" s="11" t="n"/>
      <c r="C3252" s="11" t="n"/>
      <c r="D3252" s="11" t="n"/>
      <c r="E3252" s="11" t="n"/>
      <c r="F3252" s="11" t="n"/>
      <c r="G3252" s="11" t="n"/>
      <c r="H3252" s="11" t="n"/>
      <c r="I3252" s="11" t="n"/>
      <c r="J3252" s="11" t="n"/>
      <c r="K3252" s="11" t="n"/>
      <c r="L3252" s="11" t="n"/>
      <c r="M3252" s="11" t="n"/>
    </row>
    <row r="3253">
      <c r="A3253" s="11" t="n"/>
      <c r="B3253" s="11" t="n"/>
      <c r="C3253" s="11" t="n"/>
      <c r="D3253" s="11" t="n"/>
      <c r="E3253" s="11" t="n"/>
      <c r="F3253" s="11" t="n"/>
      <c r="G3253" s="11" t="n"/>
      <c r="H3253" s="11" t="n"/>
      <c r="I3253" s="11" t="n"/>
      <c r="J3253" s="11" t="n"/>
      <c r="K3253" s="11" t="n"/>
      <c r="L3253" s="11" t="n"/>
      <c r="M3253" s="11" t="n"/>
    </row>
    <row r="3254">
      <c r="A3254" s="11" t="n"/>
      <c r="B3254" s="11" t="n"/>
      <c r="C3254" s="11" t="n"/>
      <c r="D3254" s="11" t="n"/>
      <c r="E3254" s="11" t="n"/>
      <c r="F3254" s="11" t="n"/>
      <c r="G3254" s="11" t="n"/>
      <c r="H3254" s="11" t="n"/>
      <c r="I3254" s="11" t="n"/>
      <c r="J3254" s="11" t="n"/>
      <c r="K3254" s="11" t="n"/>
      <c r="L3254" s="11" t="n"/>
      <c r="M3254" s="11" t="n"/>
    </row>
    <row r="3255">
      <c r="A3255" s="11" t="n"/>
      <c r="B3255" s="11" t="n"/>
      <c r="C3255" s="11" t="n"/>
      <c r="D3255" s="11" t="n"/>
      <c r="E3255" s="11" t="n"/>
      <c r="F3255" s="11" t="n"/>
      <c r="G3255" s="11" t="n"/>
      <c r="H3255" s="11" t="n"/>
      <c r="I3255" s="11" t="n"/>
      <c r="J3255" s="11" t="n"/>
      <c r="K3255" s="11" t="n"/>
      <c r="L3255" s="11" t="n"/>
      <c r="M3255" s="11" t="n"/>
    </row>
    <row r="3256">
      <c r="A3256" s="11" t="n"/>
      <c r="B3256" s="11" t="n"/>
      <c r="C3256" s="11" t="n"/>
      <c r="D3256" s="11" t="n"/>
      <c r="E3256" s="11" t="n"/>
      <c r="F3256" s="11" t="n"/>
      <c r="G3256" s="11" t="n"/>
      <c r="H3256" s="11" t="n"/>
      <c r="I3256" s="11" t="n"/>
      <c r="J3256" s="11" t="n"/>
      <c r="K3256" s="11" t="n"/>
      <c r="L3256" s="11" t="n"/>
      <c r="M3256" s="11" t="n"/>
    </row>
    <row r="3257">
      <c r="A3257" s="11" t="n"/>
      <c r="B3257" s="11" t="n"/>
      <c r="C3257" s="11" t="n"/>
      <c r="D3257" s="11" t="n"/>
      <c r="E3257" s="11" t="n"/>
      <c r="F3257" s="11" t="n"/>
      <c r="G3257" s="11" t="n"/>
      <c r="H3257" s="11" t="n"/>
      <c r="I3257" s="11" t="n"/>
      <c r="J3257" s="11" t="n"/>
      <c r="K3257" s="11" t="n"/>
      <c r="L3257" s="11" t="n"/>
      <c r="M3257" s="11" t="n"/>
    </row>
    <row r="3258">
      <c r="A3258" s="11" t="n"/>
      <c r="B3258" s="11" t="n"/>
      <c r="C3258" s="11" t="n"/>
      <c r="D3258" s="11" t="n"/>
      <c r="E3258" s="11" t="n"/>
      <c r="F3258" s="11" t="n"/>
      <c r="G3258" s="11" t="n"/>
      <c r="H3258" s="11" t="n"/>
      <c r="I3258" s="11" t="n"/>
      <c r="J3258" s="11" t="n"/>
      <c r="K3258" s="11" t="n"/>
      <c r="L3258" s="11" t="n"/>
      <c r="M3258" s="11" t="n"/>
    </row>
    <row r="3259">
      <c r="A3259" s="11" t="n"/>
      <c r="B3259" s="11" t="n"/>
      <c r="C3259" s="11" t="n"/>
      <c r="D3259" s="11" t="n"/>
      <c r="E3259" s="11" t="n"/>
      <c r="F3259" s="11" t="n"/>
      <c r="G3259" s="11" t="n"/>
      <c r="H3259" s="11" t="n"/>
      <c r="I3259" s="11" t="n"/>
      <c r="J3259" s="11" t="n"/>
      <c r="K3259" s="11" t="n"/>
      <c r="L3259" s="11" t="n"/>
      <c r="M3259" s="11" t="n"/>
    </row>
    <row r="3260">
      <c r="A3260" s="11" t="n"/>
      <c r="B3260" s="11" t="n"/>
      <c r="C3260" s="11" t="n"/>
      <c r="D3260" s="11" t="n"/>
      <c r="E3260" s="11" t="n"/>
      <c r="F3260" s="11" t="n"/>
      <c r="G3260" s="11" t="n"/>
      <c r="H3260" s="11" t="n"/>
      <c r="I3260" s="11" t="n"/>
      <c r="J3260" s="11" t="n"/>
      <c r="K3260" s="11" t="n"/>
      <c r="L3260" s="11" t="n"/>
      <c r="M3260" s="11" t="n"/>
    </row>
    <row r="3261">
      <c r="A3261" s="11" t="n"/>
      <c r="B3261" s="11" t="n"/>
      <c r="C3261" s="11" t="n"/>
      <c r="D3261" s="11" t="n"/>
      <c r="E3261" s="11" t="n"/>
      <c r="F3261" s="11" t="n"/>
      <c r="G3261" s="11" t="n"/>
      <c r="H3261" s="11" t="n"/>
      <c r="I3261" s="11" t="n"/>
      <c r="J3261" s="11" t="n"/>
      <c r="K3261" s="11" t="n"/>
      <c r="L3261" s="11" t="n"/>
      <c r="M3261" s="11" t="n"/>
    </row>
    <row r="3262">
      <c r="A3262" s="11" t="n"/>
      <c r="B3262" s="11" t="n"/>
      <c r="C3262" s="11" t="n"/>
      <c r="D3262" s="11" t="n"/>
      <c r="E3262" s="11" t="n"/>
      <c r="F3262" s="11" t="n"/>
      <c r="G3262" s="11" t="n"/>
      <c r="H3262" s="11" t="n"/>
      <c r="I3262" s="11" t="n"/>
      <c r="J3262" s="11" t="n"/>
      <c r="K3262" s="11" t="n"/>
      <c r="L3262" s="11" t="n"/>
      <c r="M3262" s="11" t="n"/>
    </row>
    <row r="3263">
      <c r="A3263" s="11" t="n"/>
      <c r="B3263" s="11" t="n"/>
      <c r="C3263" s="11" t="n"/>
      <c r="D3263" s="11" t="n"/>
      <c r="E3263" s="11" t="n"/>
      <c r="F3263" s="11" t="n"/>
      <c r="G3263" s="11" t="n"/>
      <c r="H3263" s="11" t="n"/>
      <c r="I3263" s="11" t="n"/>
      <c r="J3263" s="11" t="n"/>
      <c r="K3263" s="11" t="n"/>
      <c r="L3263" s="11" t="n"/>
      <c r="M3263" s="11" t="n"/>
    </row>
    <row r="3264">
      <c r="A3264" s="11" t="n"/>
      <c r="B3264" s="11" t="n"/>
      <c r="C3264" s="11" t="n"/>
      <c r="D3264" s="11" t="n"/>
      <c r="E3264" s="11" t="n"/>
      <c r="F3264" s="11" t="n"/>
      <c r="G3264" s="11" t="n"/>
      <c r="H3264" s="11" t="n"/>
      <c r="I3264" s="11" t="n"/>
      <c r="J3264" s="11" t="n"/>
      <c r="K3264" s="11" t="n"/>
      <c r="L3264" s="11" t="n"/>
      <c r="M3264" s="11" t="n"/>
    </row>
    <row r="3265">
      <c r="A3265" s="11" t="n"/>
      <c r="B3265" s="11" t="n"/>
      <c r="C3265" s="11" t="n"/>
      <c r="D3265" s="11" t="n"/>
      <c r="E3265" s="11" t="n"/>
      <c r="F3265" s="11" t="n"/>
      <c r="G3265" s="11" t="n"/>
      <c r="H3265" s="11" t="n"/>
      <c r="I3265" s="11" t="n"/>
      <c r="J3265" s="11" t="n"/>
      <c r="K3265" s="11" t="n"/>
      <c r="L3265" s="11" t="n"/>
      <c r="M3265" s="11" t="n"/>
    </row>
    <row r="3266">
      <c r="A3266" s="11" t="n"/>
      <c r="B3266" s="11" t="n"/>
      <c r="C3266" s="11" t="n"/>
      <c r="D3266" s="11" t="n"/>
      <c r="E3266" s="11" t="n"/>
      <c r="F3266" s="11" t="n"/>
      <c r="G3266" s="11" t="n"/>
      <c r="H3266" s="11" t="n"/>
      <c r="I3266" s="11" t="n"/>
      <c r="J3266" s="11" t="n"/>
      <c r="K3266" s="11" t="n"/>
      <c r="L3266" s="11" t="n"/>
      <c r="M3266" s="11" t="n"/>
    </row>
    <row r="3267">
      <c r="A3267" s="11" t="n"/>
      <c r="B3267" s="11" t="n"/>
      <c r="C3267" s="11" t="n"/>
      <c r="D3267" s="11" t="n"/>
      <c r="E3267" s="11" t="n"/>
      <c r="F3267" s="11" t="n"/>
      <c r="G3267" s="11" t="n"/>
      <c r="H3267" s="11" t="n"/>
      <c r="I3267" s="11" t="n"/>
      <c r="J3267" s="11" t="n"/>
      <c r="K3267" s="11" t="n"/>
      <c r="L3267" s="11" t="n"/>
      <c r="M3267" s="11" t="n"/>
    </row>
    <row r="3268">
      <c r="A3268" s="11" t="n"/>
      <c r="B3268" s="11" t="n"/>
      <c r="C3268" s="11" t="n"/>
      <c r="D3268" s="11" t="n"/>
      <c r="E3268" s="11" t="n"/>
      <c r="F3268" s="11" t="n"/>
      <c r="G3268" s="11" t="n"/>
      <c r="H3268" s="11" t="n"/>
      <c r="I3268" s="11" t="n"/>
      <c r="J3268" s="11" t="n"/>
      <c r="K3268" s="11" t="n"/>
      <c r="L3268" s="11" t="n"/>
      <c r="M3268" s="11" t="n"/>
    </row>
    <row r="3269">
      <c r="A3269" s="11" t="n"/>
      <c r="B3269" s="11" t="n"/>
      <c r="C3269" s="11" t="n"/>
      <c r="D3269" s="11" t="n"/>
      <c r="E3269" s="11" t="n"/>
      <c r="F3269" s="11" t="n"/>
      <c r="G3269" s="11" t="n"/>
      <c r="H3269" s="11" t="n"/>
      <c r="I3269" s="11" t="n"/>
      <c r="J3269" s="11" t="n"/>
      <c r="K3269" s="11" t="n"/>
      <c r="L3269" s="11" t="n"/>
      <c r="M3269" s="11" t="n"/>
    </row>
    <row r="3270">
      <c r="A3270" s="11" t="n"/>
      <c r="B3270" s="11" t="n"/>
      <c r="C3270" s="11" t="n"/>
      <c r="D3270" s="11" t="n"/>
      <c r="E3270" s="11" t="n"/>
      <c r="F3270" s="11" t="n"/>
      <c r="G3270" s="11" t="n"/>
      <c r="H3270" s="11" t="n"/>
      <c r="I3270" s="11" t="n"/>
      <c r="J3270" s="11" t="n"/>
      <c r="K3270" s="11" t="n"/>
      <c r="L3270" s="11" t="n"/>
      <c r="M3270" s="11" t="n"/>
    </row>
    <row r="3271">
      <c r="A3271" s="11" t="n"/>
      <c r="B3271" s="11" t="n"/>
      <c r="C3271" s="11" t="n"/>
      <c r="D3271" s="11" t="n"/>
      <c r="E3271" s="11" t="n"/>
      <c r="F3271" s="11" t="n"/>
      <c r="G3271" s="11" t="n"/>
      <c r="H3271" s="11" t="n"/>
      <c r="I3271" s="11" t="n"/>
      <c r="J3271" s="11" t="n"/>
      <c r="K3271" s="11" t="n"/>
      <c r="L3271" s="11" t="n"/>
      <c r="M3271" s="11" t="n"/>
    </row>
    <row r="3272">
      <c r="A3272" s="11" t="n"/>
      <c r="B3272" s="11" t="n"/>
      <c r="C3272" s="11" t="n"/>
      <c r="D3272" s="11" t="n"/>
      <c r="E3272" s="11" t="n"/>
      <c r="F3272" s="11" t="n"/>
      <c r="G3272" s="11" t="n"/>
      <c r="H3272" s="11" t="n"/>
      <c r="I3272" s="11" t="n"/>
      <c r="J3272" s="11" t="n"/>
      <c r="K3272" s="11" t="n"/>
      <c r="L3272" s="11" t="n"/>
      <c r="M3272" s="11" t="n"/>
    </row>
    <row r="3273">
      <c r="A3273" s="11" t="n"/>
      <c r="B3273" s="11" t="n"/>
      <c r="C3273" s="11" t="n"/>
      <c r="D3273" s="11" t="n"/>
      <c r="E3273" s="11" t="n"/>
      <c r="F3273" s="11" t="n"/>
      <c r="G3273" s="11" t="n"/>
      <c r="H3273" s="11" t="n"/>
      <c r="I3273" s="11" t="n"/>
      <c r="J3273" s="11" t="n"/>
      <c r="K3273" s="11" t="n"/>
      <c r="L3273" s="11" t="n"/>
      <c r="M3273" s="11" t="n"/>
    </row>
    <row r="3274">
      <c r="A3274" s="11" t="n"/>
      <c r="B3274" s="11" t="n"/>
      <c r="C3274" s="11" t="n"/>
      <c r="D3274" s="11" t="n"/>
      <c r="E3274" s="11" t="n"/>
      <c r="F3274" s="11" t="n"/>
      <c r="G3274" s="11" t="n"/>
      <c r="H3274" s="11" t="n"/>
      <c r="I3274" s="11" t="n"/>
      <c r="J3274" s="11" t="n"/>
      <c r="K3274" s="11" t="n"/>
      <c r="L3274" s="11" t="n"/>
      <c r="M3274" s="11" t="n"/>
    </row>
    <row r="3275">
      <c r="A3275" s="11" t="n"/>
      <c r="B3275" s="11" t="n"/>
      <c r="C3275" s="11" t="n"/>
      <c r="D3275" s="11" t="n"/>
      <c r="E3275" s="11" t="n"/>
      <c r="F3275" s="11" t="n"/>
      <c r="G3275" s="11" t="n"/>
      <c r="H3275" s="11" t="n"/>
      <c r="I3275" s="11" t="n"/>
      <c r="J3275" s="11" t="n"/>
      <c r="K3275" s="11" t="n"/>
      <c r="L3275" s="11" t="n"/>
      <c r="M3275" s="11" t="n"/>
    </row>
    <row r="3276">
      <c r="A3276" s="11" t="n"/>
      <c r="B3276" s="11" t="n"/>
      <c r="C3276" s="11" t="n"/>
      <c r="D3276" s="11" t="n"/>
      <c r="E3276" s="11" t="n"/>
      <c r="F3276" s="11" t="n"/>
      <c r="G3276" s="11" t="n"/>
      <c r="H3276" s="11" t="n"/>
      <c r="I3276" s="11" t="n"/>
      <c r="J3276" s="11" t="n"/>
      <c r="K3276" s="11" t="n"/>
      <c r="L3276" s="11" t="n"/>
      <c r="M3276" s="11" t="n"/>
    </row>
    <row r="3277">
      <c r="A3277" s="11" t="n"/>
      <c r="B3277" s="11" t="n"/>
      <c r="C3277" s="11" t="n"/>
      <c r="D3277" s="11" t="n"/>
      <c r="E3277" s="11" t="n"/>
      <c r="F3277" s="11" t="n"/>
      <c r="G3277" s="11" t="n"/>
      <c r="H3277" s="11" t="n"/>
      <c r="I3277" s="11" t="n"/>
      <c r="J3277" s="11" t="n"/>
      <c r="K3277" s="11" t="n"/>
      <c r="L3277" s="11" t="n"/>
      <c r="M3277" s="11" t="n"/>
    </row>
    <row r="3278">
      <c r="A3278" s="11" t="n"/>
      <c r="B3278" s="11" t="n"/>
      <c r="C3278" s="11" t="n"/>
      <c r="D3278" s="11" t="n"/>
      <c r="E3278" s="11" t="n"/>
      <c r="F3278" s="11" t="n"/>
      <c r="G3278" s="11" t="n"/>
      <c r="H3278" s="11" t="n"/>
      <c r="I3278" s="11" t="n"/>
      <c r="J3278" s="11" t="n"/>
      <c r="K3278" s="11" t="n"/>
      <c r="L3278" s="11" t="n"/>
      <c r="M3278" s="11" t="n"/>
    </row>
    <row r="3279">
      <c r="A3279" s="11" t="n"/>
      <c r="B3279" s="11" t="n"/>
      <c r="C3279" s="11" t="n"/>
      <c r="D3279" s="11" t="n"/>
      <c r="E3279" s="11" t="n"/>
      <c r="F3279" s="11" t="n"/>
      <c r="G3279" s="11" t="n"/>
      <c r="H3279" s="11" t="n"/>
      <c r="I3279" s="11" t="n"/>
      <c r="J3279" s="11" t="n"/>
      <c r="K3279" s="11" t="n"/>
      <c r="L3279" s="11" t="n"/>
      <c r="M3279" s="11" t="n"/>
    </row>
    <row r="3280">
      <c r="A3280" s="11" t="n"/>
      <c r="B3280" s="11" t="n"/>
      <c r="C3280" s="11" t="n"/>
      <c r="D3280" s="11" t="n"/>
      <c r="E3280" s="11" t="n"/>
      <c r="F3280" s="11" t="n"/>
      <c r="G3280" s="11" t="n"/>
      <c r="H3280" s="11" t="n"/>
      <c r="I3280" s="11" t="n"/>
      <c r="J3280" s="11" t="n"/>
      <c r="K3280" s="11" t="n"/>
      <c r="L3280" s="11" t="n"/>
      <c r="M3280" s="11" t="n"/>
    </row>
    <row r="3281">
      <c r="A3281" s="11" t="n"/>
      <c r="B3281" s="11" t="n"/>
      <c r="C3281" s="11" t="n"/>
      <c r="D3281" s="11" t="n"/>
      <c r="E3281" s="11" t="n"/>
      <c r="F3281" s="11" t="n"/>
      <c r="G3281" s="11" t="n"/>
      <c r="H3281" s="11" t="n"/>
      <c r="I3281" s="11" t="n"/>
      <c r="J3281" s="11" t="n"/>
      <c r="K3281" s="11" t="n"/>
      <c r="L3281" s="11" t="n"/>
      <c r="M3281" s="11" t="n"/>
    </row>
    <row r="3282">
      <c r="A3282" s="11" t="n"/>
      <c r="B3282" s="11" t="n"/>
      <c r="C3282" s="11" t="n"/>
      <c r="D3282" s="11" t="n"/>
      <c r="E3282" s="11" t="n"/>
      <c r="F3282" s="11" t="n"/>
      <c r="G3282" s="11" t="n"/>
      <c r="H3282" s="11" t="n"/>
      <c r="I3282" s="11" t="n"/>
      <c r="J3282" s="11" t="n"/>
      <c r="K3282" s="11" t="n"/>
      <c r="L3282" s="11" t="n"/>
      <c r="M3282" s="11" t="n"/>
    </row>
    <row r="3283">
      <c r="A3283" s="11" t="n"/>
      <c r="B3283" s="11" t="n"/>
      <c r="C3283" s="11" t="n"/>
      <c r="D3283" s="11" t="n"/>
      <c r="E3283" s="11" t="n"/>
      <c r="F3283" s="11" t="n"/>
      <c r="G3283" s="11" t="n"/>
      <c r="H3283" s="11" t="n"/>
      <c r="I3283" s="11" t="n"/>
      <c r="J3283" s="11" t="n"/>
      <c r="K3283" s="11" t="n"/>
      <c r="L3283" s="11" t="n"/>
      <c r="M3283" s="11" t="n"/>
    </row>
    <row r="3284">
      <c r="A3284" s="11" t="n"/>
      <c r="B3284" s="11" t="n"/>
      <c r="C3284" s="11" t="n"/>
      <c r="D3284" s="11" t="n"/>
      <c r="E3284" s="11" t="n"/>
      <c r="F3284" s="11" t="n"/>
      <c r="G3284" s="11" t="n"/>
      <c r="H3284" s="11" t="n"/>
      <c r="I3284" s="11" t="n"/>
      <c r="J3284" s="11" t="n"/>
      <c r="K3284" s="11" t="n"/>
      <c r="L3284" s="11" t="n"/>
      <c r="M3284" s="11" t="n"/>
    </row>
    <row r="3285">
      <c r="A3285" s="11" t="n"/>
      <c r="B3285" s="11" t="n"/>
      <c r="C3285" s="11" t="n"/>
      <c r="D3285" s="11" t="n"/>
      <c r="E3285" s="11" t="n"/>
      <c r="F3285" s="11" t="n"/>
      <c r="G3285" s="11" t="n"/>
      <c r="H3285" s="11" t="n"/>
      <c r="I3285" s="11" t="n"/>
      <c r="J3285" s="11" t="n"/>
      <c r="K3285" s="11" t="n"/>
      <c r="L3285" s="11" t="n"/>
      <c r="M3285" s="11" t="n"/>
    </row>
    <row r="3286">
      <c r="A3286" s="11" t="n"/>
      <c r="B3286" s="11" t="n"/>
      <c r="C3286" s="11" t="n"/>
      <c r="D3286" s="11" t="n"/>
      <c r="E3286" s="11" t="n"/>
      <c r="F3286" s="11" t="n"/>
      <c r="G3286" s="11" t="n"/>
      <c r="H3286" s="11" t="n"/>
      <c r="I3286" s="11" t="n"/>
      <c r="J3286" s="11" t="n"/>
      <c r="K3286" s="11" t="n"/>
      <c r="L3286" s="11" t="n"/>
      <c r="M3286" s="11" t="n"/>
    </row>
    <row r="3287">
      <c r="A3287" s="11" t="n"/>
      <c r="B3287" s="11" t="n"/>
      <c r="C3287" s="11" t="n"/>
      <c r="D3287" s="11" t="n"/>
      <c r="E3287" s="11" t="n"/>
      <c r="F3287" s="11" t="n"/>
      <c r="G3287" s="11" t="n"/>
      <c r="H3287" s="11" t="n"/>
      <c r="I3287" s="11" t="n"/>
      <c r="J3287" s="11" t="n"/>
      <c r="K3287" s="11" t="n"/>
      <c r="L3287" s="11" t="n"/>
      <c r="M3287" s="11" t="n"/>
    </row>
    <row r="3288">
      <c r="A3288" s="11" t="n"/>
      <c r="B3288" s="11" t="n"/>
      <c r="C3288" s="11" t="n"/>
      <c r="D3288" s="11" t="n"/>
      <c r="E3288" s="11" t="n"/>
      <c r="F3288" s="11" t="n"/>
      <c r="G3288" s="11" t="n"/>
      <c r="H3288" s="11" t="n"/>
      <c r="I3288" s="11" t="n"/>
      <c r="J3288" s="11" t="n"/>
      <c r="K3288" s="11" t="n"/>
      <c r="L3288" s="11" t="n"/>
      <c r="M3288" s="11" t="n"/>
    </row>
    <row r="3289">
      <c r="A3289" s="11" t="n"/>
      <c r="B3289" s="11" t="n"/>
      <c r="C3289" s="11" t="n"/>
      <c r="D3289" s="11" t="n"/>
      <c r="E3289" s="11" t="n"/>
      <c r="F3289" s="11" t="n"/>
      <c r="G3289" s="11" t="n"/>
      <c r="H3289" s="11" t="n"/>
      <c r="I3289" s="11" t="n"/>
      <c r="J3289" s="11" t="n"/>
      <c r="K3289" s="11" t="n"/>
      <c r="L3289" s="11" t="n"/>
      <c r="M3289" s="11" t="n"/>
    </row>
    <row r="3290">
      <c r="A3290" s="11" t="n"/>
      <c r="B3290" s="11" t="n"/>
      <c r="C3290" s="11" t="n"/>
      <c r="D3290" s="11" t="n"/>
      <c r="E3290" s="11" t="n"/>
      <c r="F3290" s="11" t="n"/>
      <c r="G3290" s="11" t="n"/>
      <c r="H3290" s="11" t="n"/>
      <c r="I3290" s="11" t="n"/>
      <c r="J3290" s="11" t="n"/>
      <c r="K3290" s="11" t="n"/>
      <c r="L3290" s="11" t="n"/>
      <c r="M3290" s="11" t="n"/>
    </row>
    <row r="3291">
      <c r="A3291" s="11" t="n"/>
      <c r="B3291" s="11" t="n"/>
      <c r="C3291" s="11" t="n"/>
      <c r="D3291" s="11" t="n"/>
      <c r="E3291" s="11" t="n"/>
      <c r="F3291" s="11" t="n"/>
      <c r="G3291" s="11" t="n"/>
      <c r="H3291" s="11" t="n"/>
      <c r="I3291" s="11" t="n"/>
      <c r="J3291" s="11" t="n"/>
      <c r="K3291" s="11" t="n"/>
      <c r="L3291" s="11" t="n"/>
      <c r="M3291" s="11" t="n"/>
    </row>
    <row r="3292">
      <c r="A3292" s="11" t="n"/>
      <c r="B3292" s="11" t="n"/>
      <c r="C3292" s="11" t="n"/>
      <c r="D3292" s="11" t="n"/>
      <c r="E3292" s="11" t="n"/>
      <c r="F3292" s="11" t="n"/>
      <c r="G3292" s="11" t="n"/>
      <c r="H3292" s="11" t="n"/>
      <c r="I3292" s="11" t="n"/>
      <c r="J3292" s="11" t="n"/>
      <c r="K3292" s="11" t="n"/>
      <c r="L3292" s="11" t="n"/>
      <c r="M3292" s="11" t="n"/>
    </row>
    <row r="3293">
      <c r="A3293" s="11" t="n"/>
      <c r="B3293" s="11" t="n"/>
      <c r="C3293" s="11" t="n"/>
      <c r="D3293" s="11" t="n"/>
      <c r="E3293" s="11" t="n"/>
      <c r="F3293" s="11" t="n"/>
      <c r="G3293" s="11" t="n"/>
      <c r="H3293" s="11" t="n"/>
      <c r="I3293" s="11" t="n"/>
      <c r="J3293" s="11" t="n"/>
      <c r="K3293" s="11" t="n"/>
      <c r="L3293" s="11" t="n"/>
      <c r="M3293" s="11" t="n"/>
    </row>
    <row r="3294">
      <c r="A3294" s="11" t="n"/>
      <c r="B3294" s="11" t="n"/>
      <c r="C3294" s="11" t="n"/>
      <c r="D3294" s="11" t="n"/>
      <c r="E3294" s="11" t="n"/>
      <c r="F3294" s="11" t="n"/>
      <c r="G3294" s="11" t="n"/>
      <c r="H3294" s="11" t="n"/>
      <c r="I3294" s="11" t="n"/>
      <c r="J3294" s="11" t="n"/>
      <c r="K3294" s="11" t="n"/>
      <c r="L3294" s="11" t="n"/>
      <c r="M3294" s="11" t="n"/>
    </row>
    <row r="3295">
      <c r="A3295" s="11" t="n"/>
      <c r="B3295" s="11" t="n"/>
      <c r="C3295" s="11" t="n"/>
      <c r="D3295" s="11" t="n"/>
      <c r="E3295" s="11" t="n"/>
      <c r="F3295" s="11" t="n"/>
      <c r="G3295" s="11" t="n"/>
      <c r="H3295" s="11" t="n"/>
      <c r="I3295" s="11" t="n"/>
      <c r="J3295" s="11" t="n"/>
      <c r="K3295" s="11" t="n"/>
      <c r="L3295" s="11" t="n"/>
      <c r="M3295" s="11" t="n"/>
    </row>
    <row r="3296">
      <c r="A3296" s="11" t="n"/>
      <c r="B3296" s="11" t="n"/>
      <c r="C3296" s="11" t="n"/>
      <c r="D3296" s="11" t="n"/>
      <c r="E3296" s="11" t="n"/>
      <c r="F3296" s="11" t="n"/>
      <c r="G3296" s="11" t="n"/>
      <c r="H3296" s="11" t="n"/>
      <c r="I3296" s="11" t="n"/>
      <c r="J3296" s="11" t="n"/>
      <c r="K3296" s="11" t="n"/>
      <c r="L3296" s="11" t="n"/>
      <c r="M3296" s="11" t="n"/>
    </row>
    <row r="3297">
      <c r="A3297" s="11" t="n"/>
      <c r="B3297" s="11" t="n"/>
      <c r="C3297" s="11" t="n"/>
      <c r="D3297" s="11" t="n"/>
      <c r="E3297" s="11" t="n"/>
      <c r="F3297" s="11" t="n"/>
      <c r="G3297" s="11" t="n"/>
      <c r="H3297" s="11" t="n"/>
      <c r="I3297" s="11" t="n"/>
      <c r="J3297" s="11" t="n"/>
      <c r="K3297" s="11" t="n"/>
      <c r="L3297" s="11" t="n"/>
      <c r="M3297" s="11" t="n"/>
    </row>
    <row r="3298">
      <c r="A3298" s="11" t="n"/>
      <c r="B3298" s="11" t="n"/>
      <c r="C3298" s="11" t="n"/>
      <c r="D3298" s="11" t="n"/>
      <c r="E3298" s="11" t="n"/>
      <c r="F3298" s="11" t="n"/>
      <c r="G3298" s="11" t="n"/>
      <c r="H3298" s="11" t="n"/>
      <c r="I3298" s="11" t="n"/>
      <c r="J3298" s="11" t="n"/>
      <c r="K3298" s="11" t="n"/>
      <c r="L3298" s="11" t="n"/>
      <c r="M3298" s="11" t="n"/>
    </row>
    <row r="3299">
      <c r="A3299" s="11" t="n"/>
      <c r="B3299" s="11" t="n"/>
      <c r="C3299" s="11" t="n"/>
      <c r="D3299" s="11" t="n"/>
      <c r="E3299" s="11" t="n"/>
      <c r="F3299" s="11" t="n"/>
      <c r="G3299" s="11" t="n"/>
      <c r="H3299" s="11" t="n"/>
      <c r="I3299" s="11" t="n"/>
      <c r="J3299" s="11" t="n"/>
      <c r="K3299" s="11" t="n"/>
      <c r="L3299" s="11" t="n"/>
      <c r="M3299" s="11" t="n"/>
    </row>
    <row r="3300">
      <c r="A3300" s="11" t="n"/>
      <c r="B3300" s="11" t="n"/>
      <c r="C3300" s="11" t="n"/>
      <c r="D3300" s="11" t="n"/>
      <c r="E3300" s="11" t="n"/>
      <c r="F3300" s="11" t="n"/>
      <c r="G3300" s="11" t="n"/>
      <c r="H3300" s="11" t="n"/>
      <c r="I3300" s="11" t="n"/>
      <c r="J3300" s="11" t="n"/>
      <c r="K3300" s="11" t="n"/>
      <c r="L3300" s="11" t="n"/>
      <c r="M3300" s="11" t="n"/>
    </row>
    <row r="3301">
      <c r="A3301" s="11" t="n"/>
      <c r="B3301" s="11" t="n"/>
      <c r="C3301" s="11" t="n"/>
      <c r="D3301" s="11" t="n"/>
      <c r="E3301" s="11" t="n"/>
      <c r="F3301" s="11" t="n"/>
      <c r="G3301" s="11" t="n"/>
      <c r="H3301" s="11" t="n"/>
      <c r="I3301" s="11" t="n"/>
      <c r="J3301" s="11" t="n"/>
      <c r="K3301" s="11" t="n"/>
      <c r="L3301" s="11" t="n"/>
      <c r="M3301" s="11" t="n"/>
    </row>
    <row r="3302">
      <c r="A3302" s="11" t="n"/>
      <c r="B3302" s="11" t="n"/>
      <c r="C3302" s="11" t="n"/>
      <c r="D3302" s="11" t="n"/>
      <c r="E3302" s="11" t="n"/>
      <c r="F3302" s="11" t="n"/>
      <c r="G3302" s="11" t="n"/>
      <c r="H3302" s="11" t="n"/>
      <c r="I3302" s="11" t="n"/>
      <c r="J3302" s="11" t="n"/>
      <c r="K3302" s="11" t="n"/>
      <c r="L3302" s="11" t="n"/>
      <c r="M3302" s="11" t="n"/>
    </row>
    <row r="3303">
      <c r="A3303" s="11" t="n"/>
      <c r="B3303" s="11" t="n"/>
      <c r="C3303" s="11" t="n"/>
      <c r="D3303" s="11" t="n"/>
      <c r="E3303" s="11" t="n"/>
      <c r="F3303" s="11" t="n"/>
      <c r="G3303" s="11" t="n"/>
      <c r="H3303" s="11" t="n"/>
      <c r="I3303" s="11" t="n"/>
      <c r="J3303" s="11" t="n"/>
      <c r="K3303" s="11" t="n"/>
      <c r="L3303" s="11" t="n"/>
      <c r="M3303" s="11" t="n"/>
    </row>
    <row r="3304">
      <c r="A3304" s="11" t="n"/>
      <c r="B3304" s="11" t="n"/>
      <c r="C3304" s="11" t="n"/>
      <c r="D3304" s="11" t="n"/>
      <c r="E3304" s="11" t="n"/>
      <c r="F3304" s="11" t="n"/>
      <c r="G3304" s="11" t="n"/>
      <c r="H3304" s="11" t="n"/>
      <c r="I3304" s="11" t="n"/>
      <c r="J3304" s="11" t="n"/>
      <c r="K3304" s="11" t="n"/>
      <c r="L3304" s="11" t="n"/>
      <c r="M3304" s="11" t="n"/>
    </row>
    <row r="3305">
      <c r="A3305" s="11" t="n"/>
      <c r="B3305" s="11" t="n"/>
      <c r="C3305" s="11" t="n"/>
      <c r="D3305" s="11" t="n"/>
      <c r="E3305" s="11" t="n"/>
      <c r="F3305" s="11" t="n"/>
      <c r="G3305" s="11" t="n"/>
      <c r="H3305" s="11" t="n"/>
      <c r="I3305" s="11" t="n"/>
      <c r="J3305" s="11" t="n"/>
      <c r="K3305" s="11" t="n"/>
      <c r="L3305" s="11" t="n"/>
      <c r="M3305" s="11" t="n"/>
    </row>
    <row r="3306">
      <c r="A3306" s="11" t="n"/>
      <c r="B3306" s="11" t="n"/>
      <c r="C3306" s="11" t="n"/>
      <c r="D3306" s="11" t="n"/>
      <c r="E3306" s="11" t="n"/>
      <c r="F3306" s="11" t="n"/>
      <c r="G3306" s="11" t="n"/>
      <c r="H3306" s="11" t="n"/>
      <c r="I3306" s="11" t="n"/>
      <c r="J3306" s="11" t="n"/>
      <c r="K3306" s="11" t="n"/>
      <c r="L3306" s="11" t="n"/>
      <c r="M3306" s="11" t="n"/>
    </row>
    <row r="3307">
      <c r="A3307" s="11" t="n"/>
      <c r="B3307" s="11" t="n"/>
      <c r="C3307" s="11" t="n"/>
      <c r="D3307" s="11" t="n"/>
      <c r="E3307" s="11" t="n"/>
      <c r="F3307" s="11" t="n"/>
      <c r="G3307" s="11" t="n"/>
      <c r="H3307" s="11" t="n"/>
      <c r="I3307" s="11" t="n"/>
      <c r="J3307" s="11" t="n"/>
      <c r="K3307" s="11" t="n"/>
      <c r="L3307" s="11" t="n"/>
      <c r="M3307" s="11" t="n"/>
    </row>
    <row r="3308">
      <c r="A3308" s="11" t="n"/>
      <c r="B3308" s="11" t="n"/>
      <c r="C3308" s="11" t="n"/>
      <c r="D3308" s="11" t="n"/>
      <c r="E3308" s="11" t="n"/>
      <c r="F3308" s="11" t="n"/>
      <c r="G3308" s="11" t="n"/>
      <c r="H3308" s="11" t="n"/>
      <c r="I3308" s="11" t="n"/>
      <c r="J3308" s="11" t="n"/>
      <c r="K3308" s="11" t="n"/>
      <c r="L3308" s="11" t="n"/>
      <c r="M3308" s="11" t="n"/>
    </row>
    <row r="3309">
      <c r="A3309" s="11" t="n"/>
      <c r="B3309" s="11" t="n"/>
      <c r="C3309" s="11" t="n"/>
      <c r="D3309" s="11" t="n"/>
      <c r="E3309" s="11" t="n"/>
      <c r="F3309" s="11" t="n"/>
      <c r="G3309" s="11" t="n"/>
      <c r="H3309" s="11" t="n"/>
      <c r="I3309" s="11" t="n"/>
      <c r="J3309" s="11" t="n"/>
      <c r="K3309" s="11" t="n"/>
      <c r="L3309" s="11" t="n"/>
      <c r="M3309" s="11" t="n"/>
    </row>
    <row r="3310">
      <c r="A3310" s="11" t="n"/>
      <c r="B3310" s="11" t="n"/>
      <c r="C3310" s="11" t="n"/>
      <c r="D3310" s="11" t="n"/>
      <c r="E3310" s="11" t="n"/>
      <c r="F3310" s="11" t="n"/>
      <c r="G3310" s="11" t="n"/>
      <c r="H3310" s="11" t="n"/>
      <c r="I3310" s="11" t="n"/>
      <c r="J3310" s="11" t="n"/>
      <c r="K3310" s="11" t="n"/>
      <c r="L3310" s="11" t="n"/>
      <c r="M3310" s="11" t="n"/>
    </row>
    <row r="3311">
      <c r="A3311" s="11" t="n"/>
      <c r="B3311" s="11" t="n"/>
      <c r="C3311" s="11" t="n"/>
      <c r="D3311" s="11" t="n"/>
      <c r="E3311" s="11" t="n"/>
      <c r="F3311" s="11" t="n"/>
      <c r="G3311" s="11" t="n"/>
      <c r="H3311" s="11" t="n"/>
      <c r="I3311" s="11" t="n"/>
      <c r="J3311" s="11" t="n"/>
      <c r="K3311" s="11" t="n"/>
      <c r="L3311" s="11" t="n"/>
      <c r="M3311" s="11" t="n"/>
    </row>
    <row r="3312">
      <c r="A3312" s="11" t="n"/>
      <c r="B3312" s="11" t="n"/>
      <c r="C3312" s="11" t="n"/>
      <c r="D3312" s="11" t="n"/>
      <c r="E3312" s="11" t="n"/>
      <c r="F3312" s="11" t="n"/>
      <c r="G3312" s="11" t="n"/>
      <c r="H3312" s="11" t="n"/>
      <c r="I3312" s="11" t="n"/>
      <c r="J3312" s="11" t="n"/>
      <c r="K3312" s="11" t="n"/>
      <c r="L3312" s="11" t="n"/>
      <c r="M3312" s="11" t="n"/>
    </row>
    <row r="3313">
      <c r="A3313" s="11" t="n"/>
      <c r="B3313" s="11" t="n"/>
      <c r="C3313" s="11" t="n"/>
      <c r="D3313" s="11" t="n"/>
      <c r="E3313" s="11" t="n"/>
      <c r="F3313" s="11" t="n"/>
      <c r="G3313" s="11" t="n"/>
      <c r="H3313" s="11" t="n"/>
      <c r="I3313" s="11" t="n"/>
      <c r="J3313" s="11" t="n"/>
      <c r="K3313" s="11" t="n"/>
      <c r="L3313" s="11" t="n"/>
      <c r="M3313" s="11" t="n"/>
    </row>
    <row r="3314">
      <c r="A3314" s="11" t="n"/>
      <c r="B3314" s="11" t="n"/>
      <c r="C3314" s="11" t="n"/>
      <c r="D3314" s="11" t="n"/>
      <c r="E3314" s="11" t="n"/>
      <c r="F3314" s="11" t="n"/>
      <c r="G3314" s="11" t="n"/>
      <c r="H3314" s="11" t="n"/>
      <c r="I3314" s="11" t="n"/>
      <c r="J3314" s="11" t="n"/>
      <c r="K3314" s="11" t="n"/>
      <c r="L3314" s="11" t="n"/>
      <c r="M3314" s="11" t="n"/>
    </row>
    <row r="3315">
      <c r="A3315" s="11" t="n"/>
      <c r="B3315" s="11" t="n"/>
      <c r="C3315" s="11" t="n"/>
      <c r="D3315" s="11" t="n"/>
      <c r="E3315" s="11" t="n"/>
      <c r="F3315" s="11" t="n"/>
      <c r="G3315" s="11" t="n"/>
      <c r="H3315" s="11" t="n"/>
      <c r="I3315" s="11" t="n"/>
      <c r="J3315" s="11" t="n"/>
      <c r="K3315" s="11" t="n"/>
      <c r="L3315" s="11" t="n"/>
      <c r="M3315" s="11" t="n"/>
    </row>
    <row r="3316">
      <c r="A3316" s="11" t="n"/>
      <c r="B3316" s="11" t="n"/>
      <c r="C3316" s="11" t="n"/>
      <c r="D3316" s="11" t="n"/>
      <c r="E3316" s="11" t="n"/>
      <c r="F3316" s="11" t="n"/>
      <c r="G3316" s="11" t="n"/>
      <c r="H3316" s="11" t="n"/>
      <c r="I3316" s="11" t="n"/>
      <c r="J3316" s="11" t="n"/>
      <c r="K3316" s="11" t="n"/>
      <c r="L3316" s="11" t="n"/>
      <c r="M3316" s="11" t="n"/>
    </row>
    <row r="3317">
      <c r="A3317" s="11" t="n"/>
      <c r="B3317" s="11" t="n"/>
      <c r="C3317" s="11" t="n"/>
      <c r="D3317" s="11" t="n"/>
      <c r="E3317" s="11" t="n"/>
      <c r="F3317" s="11" t="n"/>
      <c r="G3317" s="11" t="n"/>
      <c r="H3317" s="11" t="n"/>
      <c r="I3317" s="11" t="n"/>
      <c r="J3317" s="11" t="n"/>
      <c r="K3317" s="11" t="n"/>
      <c r="L3317" s="11" t="n"/>
      <c r="M3317" s="11" t="n"/>
    </row>
    <row r="3318">
      <c r="A3318" s="11" t="n"/>
      <c r="B3318" s="11" t="n"/>
      <c r="C3318" s="11" t="n"/>
      <c r="D3318" s="11" t="n"/>
      <c r="E3318" s="11" t="n"/>
      <c r="F3318" s="11" t="n"/>
      <c r="G3318" s="11" t="n"/>
      <c r="H3318" s="11" t="n"/>
      <c r="I3318" s="11" t="n"/>
      <c r="J3318" s="11" t="n"/>
      <c r="K3318" s="11" t="n"/>
      <c r="L3318" s="11" t="n"/>
      <c r="M3318" s="11" t="n"/>
    </row>
    <row r="3319">
      <c r="A3319" s="11" t="n"/>
      <c r="B3319" s="11" t="n"/>
      <c r="C3319" s="11" t="n"/>
      <c r="D3319" s="11" t="n"/>
      <c r="E3319" s="11" t="n"/>
      <c r="F3319" s="11" t="n"/>
      <c r="G3319" s="11" t="n"/>
      <c r="H3319" s="11" t="n"/>
      <c r="I3319" s="11" t="n"/>
      <c r="J3319" s="11" t="n"/>
      <c r="K3319" s="11" t="n"/>
      <c r="L3319" s="11" t="n"/>
      <c r="M3319" s="11" t="n"/>
    </row>
    <row r="3320">
      <c r="A3320" s="11" t="n"/>
      <c r="B3320" s="11" t="n"/>
      <c r="C3320" s="11" t="n"/>
      <c r="D3320" s="11" t="n"/>
      <c r="E3320" s="11" t="n"/>
      <c r="F3320" s="11" t="n"/>
      <c r="G3320" s="11" t="n"/>
      <c r="H3320" s="11" t="n"/>
      <c r="I3320" s="11" t="n"/>
      <c r="J3320" s="11" t="n"/>
      <c r="K3320" s="11" t="n"/>
      <c r="L3320" s="11" t="n"/>
      <c r="M3320" s="11" t="n"/>
    </row>
    <row r="3321">
      <c r="A3321" s="11" t="n"/>
      <c r="B3321" s="11" t="n"/>
      <c r="C3321" s="11" t="n"/>
      <c r="D3321" s="11" t="n"/>
      <c r="E3321" s="11" t="n"/>
      <c r="F3321" s="11" t="n"/>
      <c r="G3321" s="11" t="n"/>
      <c r="H3321" s="11" t="n"/>
      <c r="I3321" s="11" t="n"/>
      <c r="J3321" s="11" t="n"/>
      <c r="K3321" s="11" t="n"/>
      <c r="L3321" s="11" t="n"/>
      <c r="M3321" s="11" t="n"/>
    </row>
    <row r="3322">
      <c r="A3322" s="11" t="n"/>
      <c r="B3322" s="11" t="n"/>
      <c r="C3322" s="11" t="n"/>
      <c r="D3322" s="11" t="n"/>
      <c r="E3322" s="11" t="n"/>
      <c r="F3322" s="11" t="n"/>
      <c r="G3322" s="11" t="n"/>
      <c r="H3322" s="11" t="n"/>
      <c r="I3322" s="11" t="n"/>
      <c r="J3322" s="11" t="n"/>
      <c r="K3322" s="11" t="n"/>
      <c r="L3322" s="11" t="n"/>
      <c r="M3322" s="11" t="n"/>
    </row>
    <row r="3323">
      <c r="A3323" s="11" t="n"/>
      <c r="B3323" s="11" t="n"/>
      <c r="C3323" s="11" t="n"/>
      <c r="D3323" s="11" t="n"/>
      <c r="E3323" s="11" t="n"/>
      <c r="F3323" s="11" t="n"/>
      <c r="G3323" s="11" t="n"/>
      <c r="H3323" s="11" t="n"/>
      <c r="I3323" s="11" t="n"/>
      <c r="J3323" s="11" t="n"/>
      <c r="K3323" s="11" t="n"/>
      <c r="L3323" s="11" t="n"/>
      <c r="M3323" s="11" t="n"/>
    </row>
    <row r="3324">
      <c r="A3324" s="11" t="n"/>
      <c r="B3324" s="11" t="n"/>
      <c r="C3324" s="11" t="n"/>
      <c r="D3324" s="11" t="n"/>
      <c r="E3324" s="11" t="n"/>
      <c r="F3324" s="11" t="n"/>
      <c r="G3324" s="11" t="n"/>
      <c r="H3324" s="11" t="n"/>
      <c r="I3324" s="11" t="n"/>
      <c r="J3324" s="11" t="n"/>
      <c r="K3324" s="11" t="n"/>
      <c r="L3324" s="11" t="n"/>
      <c r="M3324" s="11" t="n"/>
    </row>
    <row r="3325">
      <c r="A3325" s="11" t="n"/>
      <c r="B3325" s="11" t="n"/>
      <c r="C3325" s="11" t="n"/>
      <c r="D3325" s="11" t="n"/>
      <c r="E3325" s="11" t="n"/>
      <c r="F3325" s="11" t="n"/>
      <c r="G3325" s="11" t="n"/>
      <c r="H3325" s="11" t="n"/>
      <c r="I3325" s="11" t="n"/>
      <c r="J3325" s="11" t="n"/>
      <c r="K3325" s="11" t="n"/>
      <c r="L3325" s="11" t="n"/>
      <c r="M3325" s="11" t="n"/>
    </row>
    <row r="3326">
      <c r="A3326" s="11" t="n"/>
      <c r="B3326" s="11" t="n"/>
      <c r="C3326" s="11" t="n"/>
      <c r="D3326" s="11" t="n"/>
      <c r="E3326" s="11" t="n"/>
      <c r="F3326" s="11" t="n"/>
      <c r="G3326" s="11" t="n"/>
      <c r="H3326" s="11" t="n"/>
      <c r="I3326" s="11" t="n"/>
      <c r="J3326" s="11" t="n"/>
      <c r="K3326" s="11" t="n"/>
      <c r="L3326" s="11" t="n"/>
      <c r="M3326" s="11" t="n"/>
    </row>
    <row r="3327">
      <c r="A3327" s="11" t="n"/>
      <c r="B3327" s="11" t="n"/>
      <c r="C3327" s="11" t="n"/>
      <c r="D3327" s="11" t="n"/>
      <c r="E3327" s="11" t="n"/>
      <c r="F3327" s="11" t="n"/>
      <c r="G3327" s="11" t="n"/>
      <c r="H3327" s="11" t="n"/>
      <c r="I3327" s="11" t="n"/>
      <c r="J3327" s="11" t="n"/>
      <c r="K3327" s="11" t="n"/>
      <c r="L3327" s="11" t="n"/>
      <c r="M3327" s="11" t="n"/>
    </row>
    <row r="3328">
      <c r="A3328" s="11" t="n"/>
      <c r="B3328" s="11" t="n"/>
      <c r="C3328" s="11" t="n"/>
      <c r="D3328" s="11" t="n"/>
      <c r="E3328" s="11" t="n"/>
      <c r="F3328" s="11" t="n"/>
      <c r="G3328" s="11" t="n"/>
      <c r="H3328" s="11" t="n"/>
      <c r="I3328" s="11" t="n"/>
      <c r="J3328" s="11" t="n"/>
      <c r="K3328" s="11" t="n"/>
      <c r="L3328" s="11" t="n"/>
      <c r="M3328" s="11" t="n"/>
    </row>
    <row r="3329">
      <c r="A3329" s="11" t="n"/>
      <c r="B3329" s="11" t="n"/>
      <c r="C3329" s="11" t="n"/>
      <c r="D3329" s="11" t="n"/>
      <c r="E3329" s="11" t="n"/>
      <c r="F3329" s="11" t="n"/>
      <c r="G3329" s="11" t="n"/>
      <c r="H3329" s="11" t="n"/>
      <c r="I3329" s="11" t="n"/>
      <c r="J3329" s="11" t="n"/>
      <c r="K3329" s="11" t="n"/>
      <c r="L3329" s="11" t="n"/>
      <c r="M3329" s="11" t="n"/>
    </row>
    <row r="3330">
      <c r="A3330" s="11" t="n"/>
      <c r="B3330" s="11" t="n"/>
      <c r="C3330" s="11" t="n"/>
      <c r="D3330" s="11" t="n"/>
      <c r="E3330" s="11" t="n"/>
      <c r="F3330" s="11" t="n"/>
      <c r="G3330" s="11" t="n"/>
      <c r="H3330" s="11" t="n"/>
      <c r="I3330" s="11" t="n"/>
      <c r="J3330" s="11" t="n"/>
      <c r="K3330" s="11" t="n"/>
      <c r="L3330" s="11" t="n"/>
      <c r="M3330" s="11" t="n"/>
    </row>
    <row r="3331">
      <c r="A3331" s="11" t="n"/>
      <c r="B3331" s="11" t="n"/>
      <c r="C3331" s="11" t="n"/>
      <c r="D3331" s="11" t="n"/>
      <c r="E3331" s="11" t="n"/>
      <c r="F3331" s="11" t="n"/>
      <c r="G3331" s="11" t="n"/>
      <c r="H3331" s="11" t="n"/>
      <c r="I3331" s="11" t="n"/>
      <c r="J3331" s="11" t="n"/>
      <c r="K3331" s="11" t="n"/>
      <c r="L3331" s="11" t="n"/>
      <c r="M3331" s="11" t="n"/>
    </row>
    <row r="3332">
      <c r="A3332" s="11" t="n"/>
      <c r="B3332" s="11" t="n"/>
      <c r="C3332" s="11" t="n"/>
      <c r="D3332" s="11" t="n"/>
      <c r="E3332" s="11" t="n"/>
      <c r="F3332" s="11" t="n"/>
      <c r="G3332" s="11" t="n"/>
      <c r="H3332" s="11" t="n"/>
      <c r="I3332" s="11" t="n"/>
      <c r="J3332" s="11" t="n"/>
      <c r="K3332" s="11" t="n"/>
      <c r="L3332" s="11" t="n"/>
      <c r="M3332" s="11" t="n"/>
    </row>
    <row r="3333">
      <c r="A3333" s="11" t="n"/>
      <c r="B3333" s="11" t="n"/>
      <c r="C3333" s="11" t="n"/>
      <c r="D3333" s="11" t="n"/>
      <c r="E3333" s="11" t="n"/>
      <c r="F3333" s="11" t="n"/>
      <c r="G3333" s="11" t="n"/>
      <c r="H3333" s="11" t="n"/>
      <c r="I3333" s="11" t="n"/>
      <c r="J3333" s="11" t="n"/>
      <c r="K3333" s="11" t="n"/>
      <c r="L3333" s="11" t="n"/>
      <c r="M3333" s="11" t="n"/>
    </row>
    <row r="3334">
      <c r="A3334" s="11" t="n"/>
      <c r="B3334" s="11" t="n"/>
      <c r="C3334" s="11" t="n"/>
      <c r="D3334" s="11" t="n"/>
      <c r="E3334" s="11" t="n"/>
      <c r="F3334" s="11" t="n"/>
      <c r="G3334" s="11" t="n"/>
      <c r="H3334" s="11" t="n"/>
      <c r="I3334" s="11" t="n"/>
      <c r="J3334" s="11" t="n"/>
      <c r="K3334" s="11" t="n"/>
      <c r="L3334" s="11" t="n"/>
      <c r="M3334" s="11" t="n"/>
    </row>
    <row r="3335">
      <c r="A3335" s="11" t="n"/>
      <c r="B3335" s="11" t="n"/>
      <c r="C3335" s="11" t="n"/>
      <c r="D3335" s="11" t="n"/>
      <c r="E3335" s="11" t="n"/>
      <c r="F3335" s="11" t="n"/>
      <c r="G3335" s="11" t="n"/>
      <c r="H3335" s="11" t="n"/>
      <c r="I3335" s="11" t="n"/>
      <c r="J3335" s="11" t="n"/>
      <c r="K3335" s="11" t="n"/>
      <c r="L3335" s="11" t="n"/>
      <c r="M3335" s="11" t="n"/>
    </row>
    <row r="3336">
      <c r="A3336" s="11" t="n"/>
      <c r="B3336" s="11" t="n"/>
      <c r="C3336" s="11" t="n"/>
      <c r="D3336" s="11" t="n"/>
      <c r="E3336" s="11" t="n"/>
      <c r="F3336" s="11" t="n"/>
      <c r="G3336" s="11" t="n"/>
      <c r="H3336" s="11" t="n"/>
      <c r="I3336" s="11" t="n"/>
      <c r="J3336" s="11" t="n"/>
      <c r="K3336" s="11" t="n"/>
      <c r="L3336" s="11" t="n"/>
      <c r="M3336" s="11" t="n"/>
    </row>
    <row r="3337">
      <c r="A3337" s="11" t="n"/>
      <c r="B3337" s="11" t="n"/>
      <c r="C3337" s="11" t="n"/>
      <c r="D3337" s="11" t="n"/>
      <c r="E3337" s="11" t="n"/>
      <c r="F3337" s="11" t="n"/>
      <c r="G3337" s="11" t="n"/>
      <c r="H3337" s="11" t="n"/>
      <c r="I3337" s="11" t="n"/>
      <c r="J3337" s="11" t="n"/>
      <c r="K3337" s="11" t="n"/>
      <c r="L3337" s="11" t="n"/>
      <c r="M3337" s="11" t="n"/>
    </row>
    <row r="3338">
      <c r="A3338" s="11" t="n"/>
      <c r="B3338" s="11" t="n"/>
      <c r="C3338" s="11" t="n"/>
      <c r="D3338" s="11" t="n"/>
      <c r="E3338" s="11" t="n"/>
      <c r="F3338" s="11" t="n"/>
      <c r="G3338" s="11" t="n"/>
      <c r="H3338" s="11" t="n"/>
      <c r="I3338" s="11" t="n"/>
      <c r="J3338" s="11" t="n"/>
      <c r="K3338" s="11" t="n"/>
      <c r="L3338" s="11" t="n"/>
      <c r="M3338" s="11" t="n"/>
    </row>
    <row r="3339">
      <c r="A3339" s="11" t="n"/>
      <c r="B3339" s="11" t="n"/>
      <c r="C3339" s="11" t="n"/>
      <c r="D3339" s="11" t="n"/>
      <c r="E3339" s="11" t="n"/>
      <c r="F3339" s="11" t="n"/>
      <c r="G3339" s="11" t="n"/>
      <c r="H3339" s="11" t="n"/>
      <c r="I3339" s="11" t="n"/>
      <c r="J3339" s="11" t="n"/>
      <c r="K3339" s="11" t="n"/>
      <c r="L3339" s="11" t="n"/>
      <c r="M3339" s="11" t="n"/>
    </row>
    <row r="3340">
      <c r="A3340" s="11" t="n"/>
      <c r="B3340" s="11" t="n"/>
      <c r="C3340" s="11" t="n"/>
      <c r="D3340" s="11" t="n"/>
      <c r="E3340" s="11" t="n"/>
      <c r="F3340" s="11" t="n"/>
      <c r="G3340" s="11" t="n"/>
      <c r="H3340" s="11" t="n"/>
      <c r="I3340" s="11" t="n"/>
      <c r="J3340" s="11" t="n"/>
      <c r="K3340" s="11" t="n"/>
      <c r="L3340" s="11" t="n"/>
      <c r="M3340" s="11" t="n"/>
    </row>
    <row r="3341">
      <c r="A3341" s="11" t="n"/>
      <c r="B3341" s="11" t="n"/>
      <c r="C3341" s="11" t="n"/>
      <c r="D3341" s="11" t="n"/>
      <c r="E3341" s="11" t="n"/>
      <c r="F3341" s="11" t="n"/>
      <c r="G3341" s="11" t="n"/>
      <c r="H3341" s="11" t="n"/>
      <c r="I3341" s="11" t="n"/>
      <c r="J3341" s="11" t="n"/>
      <c r="K3341" s="11" t="n"/>
      <c r="L3341" s="11" t="n"/>
      <c r="M3341" s="11" t="n"/>
    </row>
    <row r="3342">
      <c r="A3342" s="11" t="n"/>
      <c r="B3342" s="11" t="n"/>
      <c r="C3342" s="11" t="n"/>
      <c r="D3342" s="11" t="n"/>
      <c r="E3342" s="11" t="n"/>
      <c r="F3342" s="11" t="n"/>
      <c r="G3342" s="11" t="n"/>
      <c r="H3342" s="11" t="n"/>
      <c r="I3342" s="11" t="n"/>
      <c r="J3342" s="11" t="n"/>
      <c r="K3342" s="11" t="n"/>
      <c r="L3342" s="11" t="n"/>
      <c r="M3342" s="11" t="n"/>
    </row>
    <row r="3343">
      <c r="A3343" s="11" t="n"/>
      <c r="B3343" s="11" t="n"/>
      <c r="C3343" s="11" t="n"/>
      <c r="D3343" s="11" t="n"/>
      <c r="E3343" s="11" t="n"/>
      <c r="F3343" s="11" t="n"/>
      <c r="G3343" s="11" t="n"/>
      <c r="H3343" s="11" t="n"/>
      <c r="I3343" s="11" t="n"/>
      <c r="J3343" s="11" t="n"/>
      <c r="K3343" s="11" t="n"/>
      <c r="L3343" s="11" t="n"/>
      <c r="M3343" s="11" t="n"/>
    </row>
    <row r="3344">
      <c r="A3344" s="11" t="n"/>
      <c r="B3344" s="11" t="n"/>
      <c r="C3344" s="11" t="n"/>
      <c r="D3344" s="11" t="n"/>
      <c r="E3344" s="11" t="n"/>
      <c r="F3344" s="11" t="n"/>
      <c r="G3344" s="11" t="n"/>
      <c r="H3344" s="11" t="n"/>
      <c r="I3344" s="11" t="n"/>
      <c r="J3344" s="11" t="n"/>
      <c r="K3344" s="11" t="n"/>
      <c r="L3344" s="11" t="n"/>
      <c r="M3344" s="11" t="n"/>
    </row>
    <row r="3345">
      <c r="A3345" s="11" t="n"/>
      <c r="B3345" s="11" t="n"/>
      <c r="C3345" s="11" t="n"/>
      <c r="D3345" s="11" t="n"/>
      <c r="E3345" s="11" t="n"/>
      <c r="F3345" s="11" t="n"/>
      <c r="G3345" s="11" t="n"/>
      <c r="H3345" s="11" t="n"/>
      <c r="I3345" s="11" t="n"/>
      <c r="J3345" s="11" t="n"/>
      <c r="K3345" s="11" t="n"/>
      <c r="L3345" s="11" t="n"/>
      <c r="M3345" s="11" t="n"/>
    </row>
    <row r="3346">
      <c r="A3346" s="11" t="n"/>
      <c r="B3346" s="11" t="n"/>
      <c r="C3346" s="11" t="n"/>
      <c r="D3346" s="11" t="n"/>
      <c r="E3346" s="11" t="n"/>
      <c r="F3346" s="11" t="n"/>
      <c r="G3346" s="11" t="n"/>
      <c r="H3346" s="11" t="n"/>
      <c r="I3346" s="11" t="n"/>
      <c r="J3346" s="11" t="n"/>
      <c r="K3346" s="11" t="n"/>
      <c r="L3346" s="11" t="n"/>
      <c r="M3346" s="11" t="n"/>
    </row>
    <row r="3347">
      <c r="A3347" s="11" t="n"/>
      <c r="B3347" s="11" t="n"/>
      <c r="C3347" s="11" t="n"/>
      <c r="D3347" s="11" t="n"/>
      <c r="E3347" s="11" t="n"/>
      <c r="F3347" s="11" t="n"/>
      <c r="G3347" s="11" t="n"/>
      <c r="H3347" s="11" t="n"/>
      <c r="I3347" s="11" t="n"/>
      <c r="J3347" s="11" t="n"/>
      <c r="K3347" s="11" t="n"/>
      <c r="L3347" s="11" t="n"/>
      <c r="M3347" s="11" t="n"/>
    </row>
    <row r="3348">
      <c r="A3348" s="11" t="n"/>
      <c r="B3348" s="11" t="n"/>
      <c r="C3348" s="11" t="n"/>
      <c r="D3348" s="11" t="n"/>
      <c r="E3348" s="11" t="n"/>
      <c r="F3348" s="11" t="n"/>
      <c r="G3348" s="11" t="n"/>
      <c r="H3348" s="11" t="n"/>
      <c r="I3348" s="11" t="n"/>
      <c r="J3348" s="11" t="n"/>
      <c r="K3348" s="11" t="n"/>
      <c r="L3348" s="11" t="n"/>
      <c r="M3348" s="11" t="n"/>
    </row>
    <row r="3349">
      <c r="A3349" s="11" t="n"/>
      <c r="B3349" s="11" t="n"/>
      <c r="C3349" s="11" t="n"/>
      <c r="D3349" s="11" t="n"/>
      <c r="E3349" s="11" t="n"/>
      <c r="F3349" s="11" t="n"/>
      <c r="G3349" s="11" t="n"/>
      <c r="H3349" s="11" t="n"/>
      <c r="I3349" s="11" t="n"/>
      <c r="J3349" s="11" t="n"/>
      <c r="K3349" s="11" t="n"/>
      <c r="L3349" s="11" t="n"/>
      <c r="M3349" s="11" t="n"/>
    </row>
    <row r="3350">
      <c r="A3350" s="11" t="n"/>
      <c r="B3350" s="11" t="n"/>
      <c r="C3350" s="11" t="n"/>
      <c r="D3350" s="11" t="n"/>
      <c r="E3350" s="11" t="n"/>
      <c r="F3350" s="11" t="n"/>
      <c r="G3350" s="11" t="n"/>
      <c r="H3350" s="11" t="n"/>
      <c r="I3350" s="11" t="n"/>
      <c r="J3350" s="11" t="n"/>
      <c r="K3350" s="11" t="n"/>
      <c r="L3350" s="11" t="n"/>
      <c r="M3350" s="11" t="n"/>
    </row>
    <row r="3351">
      <c r="A3351" s="11" t="n"/>
      <c r="B3351" s="11" t="n"/>
      <c r="C3351" s="11" t="n"/>
      <c r="D3351" s="11" t="n"/>
      <c r="E3351" s="11" t="n"/>
      <c r="F3351" s="11" t="n"/>
      <c r="G3351" s="11" t="n"/>
      <c r="H3351" s="11" t="n"/>
      <c r="I3351" s="11" t="n"/>
      <c r="J3351" s="11" t="n"/>
      <c r="K3351" s="11" t="n"/>
      <c r="L3351" s="11" t="n"/>
      <c r="M3351" s="11" t="n"/>
    </row>
    <row r="3352">
      <c r="A3352" s="11" t="n"/>
      <c r="B3352" s="11" t="n"/>
      <c r="C3352" s="11" t="n"/>
      <c r="D3352" s="11" t="n"/>
      <c r="E3352" s="11" t="n"/>
      <c r="F3352" s="11" t="n"/>
      <c r="G3352" s="11" t="n"/>
      <c r="H3352" s="11" t="n"/>
      <c r="I3352" s="11" t="n"/>
      <c r="J3352" s="11" t="n"/>
      <c r="K3352" s="11" t="n"/>
      <c r="L3352" s="11" t="n"/>
      <c r="M3352" s="11" t="n"/>
    </row>
    <row r="3353">
      <c r="A3353" s="11" t="n"/>
      <c r="B3353" s="11" t="n"/>
      <c r="C3353" s="11" t="n"/>
      <c r="D3353" s="11" t="n"/>
      <c r="E3353" s="11" t="n"/>
      <c r="F3353" s="11" t="n"/>
      <c r="G3353" s="11" t="n"/>
      <c r="H3353" s="11" t="n"/>
      <c r="I3353" s="11" t="n"/>
      <c r="J3353" s="11" t="n"/>
      <c r="K3353" s="11" t="n"/>
      <c r="L3353" s="11" t="n"/>
      <c r="M3353" s="11" t="n"/>
    </row>
    <row r="3354">
      <c r="A3354" s="11" t="n"/>
      <c r="B3354" s="11" t="n"/>
      <c r="C3354" s="11" t="n"/>
      <c r="D3354" s="11" t="n"/>
      <c r="E3354" s="11" t="n"/>
      <c r="F3354" s="11" t="n"/>
      <c r="G3354" s="11" t="n"/>
      <c r="H3354" s="11" t="n"/>
      <c r="I3354" s="11" t="n"/>
      <c r="J3354" s="11" t="n"/>
      <c r="K3354" s="11" t="n"/>
      <c r="L3354" s="11" t="n"/>
      <c r="M3354" s="11" t="n"/>
    </row>
    <row r="3355">
      <c r="A3355" s="11" t="n"/>
      <c r="B3355" s="11" t="n"/>
      <c r="C3355" s="11" t="n"/>
      <c r="D3355" s="11" t="n"/>
      <c r="E3355" s="11" t="n"/>
      <c r="F3355" s="11" t="n"/>
      <c r="G3355" s="11" t="n"/>
      <c r="H3355" s="11" t="n"/>
      <c r="I3355" s="11" t="n"/>
      <c r="J3355" s="11" t="n"/>
      <c r="K3355" s="11" t="n"/>
      <c r="L3355" s="11" t="n"/>
      <c r="M3355" s="11" t="n"/>
    </row>
    <row r="3356">
      <c r="A3356" s="11" t="n"/>
      <c r="B3356" s="11" t="n"/>
      <c r="C3356" s="11" t="n"/>
      <c r="D3356" s="11" t="n"/>
      <c r="E3356" s="11" t="n"/>
      <c r="F3356" s="11" t="n"/>
      <c r="G3356" s="11" t="n"/>
      <c r="H3356" s="11" t="n"/>
      <c r="I3356" s="11" t="n"/>
      <c r="J3356" s="11" t="n"/>
      <c r="K3356" s="11" t="n"/>
      <c r="L3356" s="11" t="n"/>
      <c r="M3356" s="11" t="n"/>
    </row>
    <row r="3357">
      <c r="A3357" s="11" t="n"/>
      <c r="B3357" s="11" t="n"/>
      <c r="C3357" s="11" t="n"/>
      <c r="D3357" s="11" t="n"/>
      <c r="E3357" s="11" t="n"/>
      <c r="F3357" s="11" t="n"/>
      <c r="G3357" s="11" t="n"/>
      <c r="H3357" s="11" t="n"/>
      <c r="I3357" s="11" t="n"/>
      <c r="J3357" s="11" t="n"/>
      <c r="K3357" s="11" t="n"/>
      <c r="L3357" s="11" t="n"/>
      <c r="M3357" s="11" t="n"/>
    </row>
    <row r="3358">
      <c r="A3358" s="11" t="n"/>
      <c r="B3358" s="11" t="n"/>
      <c r="C3358" s="11" t="n"/>
      <c r="D3358" s="11" t="n"/>
      <c r="E3358" s="11" t="n"/>
      <c r="F3358" s="11" t="n"/>
      <c r="G3358" s="11" t="n"/>
      <c r="H3358" s="11" t="n"/>
      <c r="I3358" s="11" t="n"/>
      <c r="J3358" s="11" t="n"/>
      <c r="K3358" s="11" t="n"/>
      <c r="L3358" s="11" t="n"/>
      <c r="M3358" s="11" t="n"/>
    </row>
    <row r="3359">
      <c r="A3359" s="11" t="n"/>
      <c r="B3359" s="11" t="n"/>
      <c r="C3359" s="11" t="n"/>
      <c r="D3359" s="11" t="n"/>
      <c r="E3359" s="11" t="n"/>
      <c r="F3359" s="11" t="n"/>
      <c r="G3359" s="11" t="n"/>
      <c r="H3359" s="11" t="n"/>
      <c r="I3359" s="11" t="n"/>
      <c r="J3359" s="11" t="n"/>
      <c r="K3359" s="11" t="n"/>
      <c r="L3359" s="11" t="n"/>
      <c r="M3359" s="11" t="n"/>
    </row>
    <row r="3360">
      <c r="A3360" s="11" t="n"/>
      <c r="B3360" s="11" t="n"/>
      <c r="C3360" s="11" t="n"/>
      <c r="D3360" s="11" t="n"/>
      <c r="E3360" s="11" t="n"/>
      <c r="F3360" s="11" t="n"/>
      <c r="G3360" s="11" t="n"/>
      <c r="H3360" s="11" t="n"/>
      <c r="I3360" s="11" t="n"/>
      <c r="J3360" s="11" t="n"/>
      <c r="K3360" s="11" t="n"/>
      <c r="L3360" s="11" t="n"/>
      <c r="M3360" s="11" t="n"/>
    </row>
    <row r="3361">
      <c r="A3361" s="11" t="n"/>
      <c r="B3361" s="11" t="n"/>
      <c r="C3361" s="11" t="n"/>
      <c r="D3361" s="11" t="n"/>
      <c r="E3361" s="11" t="n"/>
      <c r="F3361" s="11" t="n"/>
      <c r="G3361" s="11" t="n"/>
      <c r="H3361" s="11" t="n"/>
      <c r="I3361" s="11" t="n"/>
      <c r="J3361" s="11" t="n"/>
      <c r="K3361" s="11" t="n"/>
      <c r="L3361" s="11" t="n"/>
      <c r="M3361" s="11" t="n"/>
    </row>
    <row r="3362">
      <c r="A3362" s="11" t="n"/>
      <c r="B3362" s="11" t="n"/>
      <c r="C3362" s="11" t="n"/>
      <c r="D3362" s="11" t="n"/>
      <c r="E3362" s="11" t="n"/>
      <c r="F3362" s="11" t="n"/>
      <c r="G3362" s="11" t="n"/>
      <c r="H3362" s="11" t="n"/>
      <c r="I3362" s="11" t="n"/>
      <c r="J3362" s="11" t="n"/>
      <c r="K3362" s="11" t="n"/>
      <c r="L3362" s="11" t="n"/>
      <c r="M3362" s="11" t="n"/>
    </row>
    <row r="3363">
      <c r="A3363" s="11" t="n"/>
      <c r="B3363" s="11" t="n"/>
      <c r="C3363" s="11" t="n"/>
      <c r="D3363" s="11" t="n"/>
      <c r="E3363" s="11" t="n"/>
      <c r="F3363" s="11" t="n"/>
      <c r="G3363" s="11" t="n"/>
      <c r="H3363" s="11" t="n"/>
      <c r="I3363" s="11" t="n"/>
      <c r="J3363" s="11" t="n"/>
      <c r="K3363" s="11" t="n"/>
      <c r="L3363" s="11" t="n"/>
      <c r="M3363" s="11" t="n"/>
    </row>
    <row r="3364">
      <c r="A3364" s="11" t="n"/>
      <c r="B3364" s="11" t="n"/>
      <c r="C3364" s="11" t="n"/>
      <c r="D3364" s="11" t="n"/>
      <c r="E3364" s="11" t="n"/>
      <c r="F3364" s="11" t="n"/>
      <c r="G3364" s="11" t="n"/>
      <c r="H3364" s="11" t="n"/>
      <c r="I3364" s="11" t="n"/>
      <c r="J3364" s="11" t="n"/>
      <c r="K3364" s="11" t="n"/>
      <c r="L3364" s="11" t="n"/>
      <c r="M3364" s="11" t="n"/>
    </row>
    <row r="3365">
      <c r="A3365" s="11" t="n"/>
      <c r="B3365" s="11" t="n"/>
      <c r="C3365" s="11" t="n"/>
      <c r="D3365" s="11" t="n"/>
      <c r="E3365" s="11" t="n"/>
      <c r="F3365" s="11" t="n"/>
      <c r="G3365" s="11" t="n"/>
      <c r="H3365" s="11" t="n"/>
      <c r="I3365" s="11" t="n"/>
      <c r="J3365" s="11" t="n"/>
      <c r="K3365" s="11" t="n"/>
      <c r="L3365" s="11" t="n"/>
      <c r="M3365" s="11" t="n"/>
    </row>
    <row r="3366">
      <c r="A3366" s="11" t="n"/>
      <c r="B3366" s="11" t="n"/>
      <c r="C3366" s="11" t="n"/>
      <c r="D3366" s="11" t="n"/>
      <c r="E3366" s="11" t="n"/>
      <c r="F3366" s="11" t="n"/>
      <c r="G3366" s="11" t="n"/>
      <c r="H3366" s="11" t="n"/>
      <c r="I3366" s="11" t="n"/>
      <c r="J3366" s="11" t="n"/>
      <c r="K3366" s="11" t="n"/>
      <c r="L3366" s="11" t="n"/>
      <c r="M3366" s="11" t="n"/>
    </row>
    <row r="3367">
      <c r="A3367" s="11" t="n"/>
      <c r="B3367" s="11" t="n"/>
      <c r="C3367" s="11" t="n"/>
      <c r="D3367" s="11" t="n"/>
      <c r="E3367" s="11" t="n"/>
      <c r="F3367" s="11" t="n"/>
      <c r="G3367" s="11" t="n"/>
      <c r="H3367" s="11" t="n"/>
      <c r="I3367" s="11" t="n"/>
      <c r="J3367" s="11" t="n"/>
      <c r="K3367" s="11" t="n"/>
      <c r="L3367" s="11" t="n"/>
      <c r="M3367" s="11" t="n"/>
    </row>
    <row r="3368">
      <c r="A3368" s="11" t="n"/>
      <c r="B3368" s="11" t="n"/>
      <c r="C3368" s="11" t="n"/>
      <c r="D3368" s="11" t="n"/>
      <c r="E3368" s="11" t="n"/>
      <c r="F3368" s="11" t="n"/>
      <c r="G3368" s="11" t="n"/>
      <c r="H3368" s="11" t="n"/>
      <c r="I3368" s="11" t="n"/>
      <c r="J3368" s="11" t="n"/>
      <c r="K3368" s="11" t="n"/>
      <c r="L3368" s="11" t="n"/>
      <c r="M3368" s="11" t="n"/>
    </row>
    <row r="3369">
      <c r="A3369" s="11" t="n"/>
      <c r="B3369" s="11" t="n"/>
      <c r="C3369" s="11" t="n"/>
      <c r="D3369" s="11" t="n"/>
      <c r="E3369" s="11" t="n"/>
      <c r="F3369" s="11" t="n"/>
      <c r="G3369" s="11" t="n"/>
      <c r="H3369" s="11" t="n"/>
      <c r="I3369" s="11" t="n"/>
      <c r="J3369" s="11" t="n"/>
      <c r="K3369" s="11" t="n"/>
      <c r="L3369" s="11" t="n"/>
      <c r="M3369" s="11" t="n"/>
    </row>
    <row r="3370">
      <c r="A3370" s="11" t="n"/>
      <c r="B3370" s="11" t="n"/>
      <c r="C3370" s="11" t="n"/>
      <c r="D3370" s="11" t="n"/>
      <c r="E3370" s="11" t="n"/>
      <c r="F3370" s="11" t="n"/>
      <c r="G3370" s="11" t="n"/>
      <c r="H3370" s="11" t="n"/>
      <c r="I3370" s="11" t="n"/>
      <c r="J3370" s="11" t="n"/>
      <c r="K3370" s="11" t="n"/>
      <c r="L3370" s="11" t="n"/>
      <c r="M3370" s="11" t="n"/>
    </row>
    <row r="3371">
      <c r="A3371" s="11" t="n"/>
      <c r="B3371" s="11" t="n"/>
      <c r="C3371" s="11" t="n"/>
      <c r="D3371" s="11" t="n"/>
      <c r="E3371" s="11" t="n"/>
      <c r="F3371" s="11" t="n"/>
      <c r="G3371" s="11" t="n"/>
      <c r="H3371" s="11" t="n"/>
      <c r="I3371" s="11" t="n"/>
      <c r="J3371" s="11" t="n"/>
      <c r="K3371" s="11" t="n"/>
      <c r="L3371" s="11" t="n"/>
      <c r="M3371" s="11" t="n"/>
    </row>
    <row r="3372">
      <c r="A3372" s="11" t="n"/>
      <c r="B3372" s="11" t="n"/>
      <c r="C3372" s="11" t="n"/>
      <c r="D3372" s="11" t="n"/>
      <c r="E3372" s="11" t="n"/>
      <c r="F3372" s="11" t="n"/>
      <c r="G3372" s="11" t="n"/>
      <c r="H3372" s="11" t="n"/>
      <c r="I3372" s="11" t="n"/>
      <c r="J3372" s="11" t="n"/>
      <c r="K3372" s="11" t="n"/>
      <c r="L3372" s="11" t="n"/>
      <c r="M3372" s="11" t="n"/>
    </row>
    <row r="3373">
      <c r="A3373" s="11" t="n"/>
      <c r="B3373" s="11" t="n"/>
      <c r="C3373" s="11" t="n"/>
      <c r="D3373" s="11" t="n"/>
      <c r="E3373" s="11" t="n"/>
      <c r="F3373" s="11" t="n"/>
      <c r="G3373" s="11" t="n"/>
      <c r="H3373" s="11" t="n"/>
      <c r="I3373" s="11" t="n"/>
      <c r="J3373" s="11" t="n"/>
      <c r="K3373" s="11" t="n"/>
      <c r="L3373" s="11" t="n"/>
      <c r="M3373" s="11" t="n"/>
    </row>
    <row r="3374">
      <c r="A3374" s="11" t="n"/>
      <c r="B3374" s="11" t="n"/>
      <c r="C3374" s="11" t="n"/>
      <c r="D3374" s="11" t="n"/>
      <c r="E3374" s="11" t="n"/>
      <c r="F3374" s="11" t="n"/>
      <c r="G3374" s="11" t="n"/>
      <c r="H3374" s="11" t="n"/>
      <c r="I3374" s="11" t="n"/>
      <c r="J3374" s="11" t="n"/>
      <c r="K3374" s="11" t="n"/>
      <c r="L3374" s="11" t="n"/>
      <c r="M3374" s="11" t="n"/>
    </row>
    <row r="3375">
      <c r="A3375" s="11" t="n"/>
      <c r="B3375" s="11" t="n"/>
      <c r="C3375" s="11" t="n"/>
      <c r="D3375" s="11" t="n"/>
      <c r="E3375" s="11" t="n"/>
      <c r="F3375" s="11" t="n"/>
      <c r="G3375" s="11" t="n"/>
      <c r="H3375" s="11" t="n"/>
      <c r="I3375" s="11" t="n"/>
      <c r="J3375" s="11" t="n"/>
      <c r="K3375" s="11" t="n"/>
      <c r="L3375" s="11" t="n"/>
      <c r="M3375" s="11" t="n"/>
    </row>
    <row r="3376">
      <c r="A3376" s="11" t="n"/>
      <c r="B3376" s="11" t="n"/>
      <c r="C3376" s="11" t="n"/>
      <c r="D3376" s="11" t="n"/>
      <c r="E3376" s="11" t="n"/>
      <c r="F3376" s="11" t="n"/>
      <c r="G3376" s="11" t="n"/>
      <c r="H3376" s="11" t="n"/>
      <c r="I3376" s="11" t="n"/>
      <c r="J3376" s="11" t="n"/>
      <c r="K3376" s="11" t="n"/>
      <c r="L3376" s="11" t="n"/>
      <c r="M3376" s="11" t="n"/>
    </row>
    <row r="3377">
      <c r="A3377" s="11" t="n"/>
      <c r="B3377" s="11" t="n"/>
      <c r="C3377" s="11" t="n"/>
      <c r="D3377" s="11" t="n"/>
      <c r="E3377" s="11" t="n"/>
      <c r="F3377" s="11" t="n"/>
      <c r="G3377" s="11" t="n"/>
      <c r="H3377" s="11" t="n"/>
      <c r="I3377" s="11" t="n"/>
      <c r="J3377" s="11" t="n"/>
      <c r="K3377" s="11" t="n"/>
      <c r="L3377" s="11" t="n"/>
      <c r="M3377" s="11" t="n"/>
    </row>
    <row r="3378">
      <c r="A3378" s="11" t="n"/>
      <c r="B3378" s="11" t="n"/>
      <c r="C3378" s="11" t="n"/>
      <c r="D3378" s="11" t="n"/>
      <c r="E3378" s="11" t="n"/>
      <c r="F3378" s="11" t="n"/>
      <c r="G3378" s="11" t="n"/>
      <c r="H3378" s="11" t="n"/>
      <c r="I3378" s="11" t="n"/>
      <c r="J3378" s="11" t="n"/>
      <c r="K3378" s="11" t="n"/>
      <c r="L3378" s="11" t="n"/>
      <c r="M3378" s="11" t="n"/>
    </row>
    <row r="3379">
      <c r="A3379" s="11" t="n"/>
      <c r="B3379" s="11" t="n"/>
      <c r="C3379" s="11" t="n"/>
      <c r="D3379" s="11" t="n"/>
      <c r="E3379" s="11" t="n"/>
      <c r="F3379" s="11" t="n"/>
      <c r="G3379" s="11" t="n"/>
      <c r="H3379" s="11" t="n"/>
      <c r="I3379" s="11" t="n"/>
      <c r="J3379" s="11" t="n"/>
      <c r="K3379" s="11" t="n"/>
      <c r="L3379" s="11" t="n"/>
      <c r="M3379" s="11" t="n"/>
    </row>
    <row r="3380">
      <c r="A3380" s="11" t="n"/>
      <c r="B3380" s="11" t="n"/>
      <c r="C3380" s="11" t="n"/>
      <c r="D3380" s="11" t="n"/>
      <c r="E3380" s="11" t="n"/>
      <c r="F3380" s="11" t="n"/>
      <c r="G3380" s="11" t="n"/>
      <c r="H3380" s="11" t="n"/>
      <c r="I3380" s="11" t="n"/>
      <c r="J3380" s="11" t="n"/>
      <c r="K3380" s="11" t="n"/>
      <c r="L3380" s="11" t="n"/>
      <c r="M3380" s="11" t="n"/>
    </row>
    <row r="3381">
      <c r="A3381" s="11" t="n"/>
      <c r="B3381" s="11" t="n"/>
      <c r="C3381" s="11" t="n"/>
      <c r="D3381" s="11" t="n"/>
      <c r="E3381" s="11" t="n"/>
      <c r="F3381" s="11" t="n"/>
      <c r="G3381" s="11" t="n"/>
      <c r="H3381" s="11" t="n"/>
      <c r="I3381" s="11" t="n"/>
      <c r="J3381" s="11" t="n"/>
      <c r="K3381" s="11" t="n"/>
      <c r="L3381" s="11" t="n"/>
      <c r="M3381" s="11" t="n"/>
    </row>
    <row r="3382">
      <c r="A3382" s="11" t="n"/>
      <c r="B3382" s="11" t="n"/>
      <c r="C3382" s="11" t="n"/>
      <c r="D3382" s="11" t="n"/>
      <c r="E3382" s="11" t="n"/>
      <c r="F3382" s="11" t="n"/>
      <c r="G3382" s="11" t="n"/>
      <c r="H3382" s="11" t="n"/>
      <c r="I3382" s="11" t="n"/>
      <c r="J3382" s="11" t="n"/>
      <c r="K3382" s="11" t="n"/>
      <c r="L3382" s="11" t="n"/>
      <c r="M3382" s="11" t="n"/>
    </row>
    <row r="3383">
      <c r="A3383" s="11" t="n"/>
      <c r="B3383" s="11" t="n"/>
      <c r="C3383" s="11" t="n"/>
      <c r="D3383" s="11" t="n"/>
      <c r="E3383" s="11" t="n"/>
      <c r="F3383" s="11" t="n"/>
      <c r="G3383" s="11" t="n"/>
      <c r="H3383" s="11" t="n"/>
      <c r="I3383" s="11" t="n"/>
      <c r="J3383" s="11" t="n"/>
      <c r="K3383" s="11" t="n"/>
      <c r="L3383" s="11" t="n"/>
      <c r="M3383" s="11" t="n"/>
    </row>
    <row r="3384">
      <c r="A3384" s="11" t="n"/>
      <c r="B3384" s="11" t="n"/>
      <c r="C3384" s="11" t="n"/>
      <c r="D3384" s="11" t="n"/>
      <c r="E3384" s="11" t="n"/>
      <c r="F3384" s="11" t="n"/>
      <c r="G3384" s="11" t="n"/>
      <c r="H3384" s="11" t="n"/>
      <c r="I3384" s="11" t="n"/>
      <c r="J3384" s="11" t="n"/>
      <c r="K3384" s="11" t="n"/>
      <c r="L3384" s="11" t="n"/>
      <c r="M3384" s="11" t="n"/>
    </row>
    <row r="3385">
      <c r="A3385" s="11" t="n"/>
      <c r="B3385" s="11" t="n"/>
      <c r="C3385" s="11" t="n"/>
      <c r="D3385" s="11" t="n"/>
      <c r="E3385" s="11" t="n"/>
      <c r="F3385" s="11" t="n"/>
      <c r="G3385" s="11" t="n"/>
      <c r="H3385" s="11" t="n"/>
      <c r="I3385" s="11" t="n"/>
      <c r="J3385" s="11" t="n"/>
      <c r="K3385" s="11" t="n"/>
      <c r="L3385" s="11" t="n"/>
      <c r="M3385" s="11" t="n"/>
    </row>
    <row r="3386">
      <c r="A3386" s="11" t="n"/>
      <c r="B3386" s="11" t="n"/>
      <c r="C3386" s="11" t="n"/>
      <c r="D3386" s="11" t="n"/>
      <c r="E3386" s="11" t="n"/>
      <c r="F3386" s="11" t="n"/>
      <c r="G3386" s="11" t="n"/>
      <c r="H3386" s="11" t="n"/>
      <c r="I3386" s="11" t="n"/>
      <c r="J3386" s="11" t="n"/>
      <c r="K3386" s="11" t="n"/>
      <c r="L3386" s="11" t="n"/>
      <c r="M3386" s="11" t="n"/>
    </row>
    <row r="3387">
      <c r="A3387" s="11" t="n"/>
      <c r="B3387" s="11" t="n"/>
      <c r="C3387" s="11" t="n"/>
      <c r="D3387" s="11" t="n"/>
      <c r="E3387" s="11" t="n"/>
      <c r="F3387" s="11" t="n"/>
      <c r="G3387" s="11" t="n"/>
      <c r="H3387" s="11" t="n"/>
      <c r="I3387" s="11" t="n"/>
      <c r="J3387" s="11" t="n"/>
      <c r="K3387" s="11" t="n"/>
      <c r="L3387" s="11" t="n"/>
      <c r="M3387" s="11" t="n"/>
    </row>
    <row r="3388">
      <c r="A3388" s="11" t="n"/>
      <c r="B3388" s="11" t="n"/>
      <c r="C3388" s="11" t="n"/>
      <c r="D3388" s="11" t="n"/>
      <c r="E3388" s="11" t="n"/>
      <c r="F3388" s="11" t="n"/>
      <c r="G3388" s="11" t="n"/>
      <c r="H3388" s="11" t="n"/>
      <c r="I3388" s="11" t="n"/>
      <c r="J3388" s="11" t="n"/>
      <c r="K3388" s="11" t="n"/>
      <c r="L3388" s="11" t="n"/>
      <c r="M3388" s="11" t="n"/>
    </row>
    <row r="3389">
      <c r="A3389" s="11" t="n"/>
      <c r="B3389" s="11" t="n"/>
      <c r="C3389" s="11" t="n"/>
      <c r="D3389" s="11" t="n"/>
      <c r="E3389" s="11" t="n"/>
      <c r="F3389" s="11" t="n"/>
      <c r="G3389" s="11" t="n"/>
      <c r="H3389" s="11" t="n"/>
      <c r="I3389" s="11" t="n"/>
      <c r="J3389" s="11" t="n"/>
      <c r="K3389" s="11" t="n"/>
      <c r="L3389" s="11" t="n"/>
      <c r="M3389" s="11" t="n"/>
    </row>
    <row r="3390">
      <c r="A3390" s="11" t="n"/>
      <c r="B3390" s="11" t="n"/>
      <c r="C3390" s="11" t="n"/>
      <c r="D3390" s="11" t="n"/>
      <c r="E3390" s="11" t="n"/>
      <c r="F3390" s="11" t="n"/>
      <c r="G3390" s="11" t="n"/>
      <c r="H3390" s="11" t="n"/>
      <c r="I3390" s="11" t="n"/>
      <c r="J3390" s="11" t="n"/>
      <c r="K3390" s="11" t="n"/>
      <c r="L3390" s="11" t="n"/>
      <c r="M3390" s="11" t="n"/>
    </row>
    <row r="3391">
      <c r="A3391" s="11" t="n"/>
      <c r="B3391" s="11" t="n"/>
      <c r="C3391" s="11" t="n"/>
      <c r="D3391" s="11" t="n"/>
      <c r="E3391" s="11" t="n"/>
      <c r="F3391" s="11" t="n"/>
      <c r="G3391" s="11" t="n"/>
      <c r="H3391" s="11" t="n"/>
      <c r="I3391" s="11" t="n"/>
      <c r="J3391" s="11" t="n"/>
      <c r="K3391" s="11" t="n"/>
      <c r="L3391" s="11" t="n"/>
      <c r="M3391" s="11" t="n"/>
    </row>
    <row r="3392">
      <c r="A3392" s="11" t="n"/>
      <c r="B3392" s="11" t="n"/>
      <c r="C3392" s="11" t="n"/>
      <c r="D3392" s="11" t="n"/>
      <c r="E3392" s="11" t="n"/>
      <c r="F3392" s="11" t="n"/>
      <c r="G3392" s="11" t="n"/>
      <c r="H3392" s="11" t="n"/>
      <c r="I3392" s="11" t="n"/>
      <c r="J3392" s="11" t="n"/>
      <c r="K3392" s="11" t="n"/>
      <c r="L3392" s="11" t="n"/>
      <c r="M3392" s="11" t="n"/>
    </row>
    <row r="3393">
      <c r="A3393" s="11" t="n"/>
      <c r="B3393" s="11" t="n"/>
      <c r="C3393" s="11" t="n"/>
      <c r="D3393" s="11" t="n"/>
      <c r="E3393" s="11" t="n"/>
      <c r="F3393" s="11" t="n"/>
      <c r="G3393" s="11" t="n"/>
      <c r="H3393" s="11" t="n"/>
      <c r="I3393" s="11" t="n"/>
      <c r="J3393" s="11" t="n"/>
      <c r="K3393" s="11" t="n"/>
      <c r="L3393" s="11" t="n"/>
      <c r="M3393" s="11" t="n"/>
    </row>
    <row r="3394">
      <c r="A3394" s="11" t="n"/>
      <c r="B3394" s="11" t="n"/>
      <c r="C3394" s="11" t="n"/>
      <c r="D3394" s="11" t="n"/>
      <c r="E3394" s="11" t="n"/>
      <c r="F3394" s="11" t="n"/>
      <c r="G3394" s="11" t="n"/>
      <c r="H3394" s="11" t="n"/>
      <c r="I3394" s="11" t="n"/>
      <c r="J3394" s="11" t="n"/>
      <c r="K3394" s="11" t="n"/>
      <c r="L3394" s="11" t="n"/>
      <c r="M3394" s="11" t="n"/>
    </row>
    <row r="3395">
      <c r="A3395" s="11" t="n"/>
      <c r="B3395" s="11" t="n"/>
      <c r="C3395" s="11" t="n"/>
      <c r="D3395" s="11" t="n"/>
      <c r="E3395" s="11" t="n"/>
      <c r="F3395" s="11" t="n"/>
      <c r="G3395" s="11" t="n"/>
      <c r="H3395" s="11" t="n"/>
      <c r="I3395" s="11" t="n"/>
      <c r="J3395" s="11" t="n"/>
      <c r="K3395" s="11" t="n"/>
      <c r="L3395" s="11" t="n"/>
      <c r="M3395" s="11" t="n"/>
    </row>
    <row r="3396">
      <c r="A3396" s="11" t="n"/>
      <c r="B3396" s="11" t="n"/>
      <c r="C3396" s="11" t="n"/>
      <c r="D3396" s="11" t="n"/>
      <c r="E3396" s="11" t="n"/>
      <c r="F3396" s="11" t="n"/>
      <c r="G3396" s="11" t="n"/>
      <c r="H3396" s="11" t="n"/>
      <c r="I3396" s="11" t="n"/>
      <c r="J3396" s="11" t="n"/>
      <c r="K3396" s="11" t="n"/>
      <c r="L3396" s="11" t="n"/>
      <c r="M3396" s="11" t="n"/>
    </row>
    <row r="3397">
      <c r="A3397" s="11" t="n"/>
      <c r="B3397" s="11" t="n"/>
      <c r="C3397" s="11" t="n"/>
      <c r="D3397" s="11" t="n"/>
      <c r="E3397" s="11" t="n"/>
      <c r="F3397" s="11" t="n"/>
      <c r="G3397" s="11" t="n"/>
      <c r="H3397" s="11" t="n"/>
      <c r="I3397" s="11" t="n"/>
      <c r="J3397" s="11" t="n"/>
      <c r="K3397" s="11" t="n"/>
      <c r="L3397" s="11" t="n"/>
      <c r="M3397" s="11" t="n"/>
    </row>
    <row r="3398">
      <c r="A3398" s="11" t="n"/>
      <c r="B3398" s="11" t="n"/>
      <c r="C3398" s="11" t="n"/>
      <c r="D3398" s="11" t="n"/>
      <c r="E3398" s="11" t="n"/>
      <c r="F3398" s="11" t="n"/>
      <c r="G3398" s="11" t="n"/>
      <c r="H3398" s="11" t="n"/>
      <c r="I3398" s="11" t="n"/>
      <c r="J3398" s="11" t="n"/>
      <c r="K3398" s="11" t="n"/>
      <c r="L3398" s="11" t="n"/>
      <c r="M3398" s="11" t="n"/>
    </row>
    <row r="3399">
      <c r="A3399" s="11" t="n"/>
      <c r="B3399" s="11" t="n"/>
      <c r="C3399" s="11" t="n"/>
      <c r="D3399" s="11" t="n"/>
      <c r="E3399" s="11" t="n"/>
      <c r="F3399" s="11" t="n"/>
      <c r="G3399" s="11" t="n"/>
      <c r="H3399" s="11" t="n"/>
      <c r="I3399" s="11" t="n"/>
      <c r="J3399" s="11" t="n"/>
      <c r="K3399" s="11" t="n"/>
      <c r="L3399" s="11" t="n"/>
      <c r="M3399" s="11" t="n"/>
    </row>
    <row r="3400">
      <c r="A3400" s="11" t="n"/>
      <c r="B3400" s="11" t="n"/>
      <c r="C3400" s="11" t="n"/>
      <c r="D3400" s="11" t="n"/>
      <c r="E3400" s="11" t="n"/>
      <c r="F3400" s="11" t="n"/>
      <c r="G3400" s="11" t="n"/>
      <c r="H3400" s="11" t="n"/>
      <c r="I3400" s="11" t="n"/>
      <c r="J3400" s="11" t="n"/>
      <c r="K3400" s="11" t="n"/>
      <c r="L3400" s="11" t="n"/>
      <c r="M3400" s="11" t="n"/>
    </row>
    <row r="3401">
      <c r="A3401" s="11" t="n"/>
      <c r="B3401" s="11" t="n"/>
      <c r="C3401" s="11" t="n"/>
      <c r="D3401" s="11" t="n"/>
      <c r="E3401" s="11" t="n"/>
      <c r="F3401" s="11" t="n"/>
      <c r="G3401" s="11" t="n"/>
      <c r="H3401" s="11" t="n"/>
      <c r="I3401" s="11" t="n"/>
      <c r="J3401" s="11" t="n"/>
      <c r="K3401" s="11" t="n"/>
      <c r="L3401" s="11" t="n"/>
      <c r="M3401" s="11" t="n"/>
    </row>
    <row r="3402">
      <c r="A3402" s="11" t="n"/>
      <c r="B3402" s="11" t="n"/>
      <c r="C3402" s="11" t="n"/>
      <c r="D3402" s="11" t="n"/>
      <c r="E3402" s="11" t="n"/>
      <c r="F3402" s="11" t="n"/>
      <c r="G3402" s="11" t="n"/>
      <c r="H3402" s="11" t="n"/>
      <c r="I3402" s="11" t="n"/>
      <c r="J3402" s="11" t="n"/>
      <c r="K3402" s="11" t="n"/>
      <c r="L3402" s="11" t="n"/>
      <c r="M3402" s="11" t="n"/>
    </row>
    <row r="3403">
      <c r="A3403" s="11" t="n"/>
      <c r="B3403" s="11" t="n"/>
      <c r="C3403" s="11" t="n"/>
      <c r="D3403" s="11" t="n"/>
      <c r="E3403" s="11" t="n"/>
      <c r="F3403" s="11" t="n"/>
      <c r="G3403" s="11" t="n"/>
      <c r="H3403" s="11" t="n"/>
      <c r="I3403" s="11" t="n"/>
      <c r="J3403" s="11" t="n"/>
      <c r="K3403" s="11" t="n"/>
      <c r="L3403" s="11" t="n"/>
      <c r="M3403" s="11" t="n"/>
    </row>
    <row r="3404">
      <c r="A3404" s="11" t="n"/>
      <c r="B3404" s="11" t="n"/>
      <c r="C3404" s="11" t="n"/>
      <c r="D3404" s="11" t="n"/>
      <c r="E3404" s="11" t="n"/>
      <c r="F3404" s="11" t="n"/>
      <c r="G3404" s="11" t="n"/>
      <c r="H3404" s="11" t="n"/>
      <c r="I3404" s="11" t="n"/>
      <c r="J3404" s="11" t="n"/>
      <c r="K3404" s="11" t="n"/>
      <c r="L3404" s="11" t="n"/>
      <c r="M3404" s="11" t="n"/>
    </row>
    <row r="3405">
      <c r="A3405" s="11" t="n"/>
      <c r="B3405" s="11" t="n"/>
      <c r="C3405" s="11" t="n"/>
      <c r="D3405" s="11" t="n"/>
      <c r="E3405" s="11" t="n"/>
      <c r="F3405" s="11" t="n"/>
      <c r="G3405" s="11" t="n"/>
      <c r="H3405" s="11" t="n"/>
      <c r="I3405" s="11" t="n"/>
      <c r="J3405" s="11" t="n"/>
      <c r="K3405" s="11" t="n"/>
      <c r="L3405" s="11" t="n"/>
      <c r="M3405" s="11" t="n"/>
    </row>
    <row r="3406">
      <c r="A3406" s="11" t="n"/>
      <c r="B3406" s="11" t="n"/>
      <c r="C3406" s="11" t="n"/>
      <c r="D3406" s="11" t="n"/>
      <c r="E3406" s="11" t="n"/>
      <c r="F3406" s="11" t="n"/>
      <c r="G3406" s="11" t="n"/>
      <c r="H3406" s="11" t="n"/>
      <c r="I3406" s="11" t="n"/>
      <c r="J3406" s="11" t="n"/>
      <c r="K3406" s="11" t="n"/>
      <c r="L3406" s="11" t="n"/>
      <c r="M3406" s="11" t="n"/>
    </row>
    <row r="3407">
      <c r="A3407" s="11" t="n"/>
      <c r="B3407" s="11" t="n"/>
      <c r="C3407" s="11" t="n"/>
      <c r="D3407" s="11" t="n"/>
      <c r="E3407" s="11" t="n"/>
      <c r="F3407" s="11" t="n"/>
      <c r="G3407" s="11" t="n"/>
      <c r="H3407" s="11" t="n"/>
      <c r="I3407" s="11" t="n"/>
      <c r="J3407" s="11" t="n"/>
      <c r="K3407" s="11" t="n"/>
      <c r="L3407" s="11" t="n"/>
      <c r="M3407" s="11" t="n"/>
    </row>
    <row r="3408">
      <c r="A3408" s="11" t="n"/>
      <c r="B3408" s="11" t="n"/>
      <c r="C3408" s="11" t="n"/>
      <c r="D3408" s="11" t="n"/>
      <c r="E3408" s="11" t="n"/>
      <c r="F3408" s="11" t="n"/>
      <c r="G3408" s="11" t="n"/>
      <c r="H3408" s="11" t="n"/>
      <c r="I3408" s="11" t="n"/>
      <c r="J3408" s="11" t="n"/>
      <c r="K3408" s="11" t="n"/>
      <c r="L3408" s="11" t="n"/>
      <c r="M3408" s="11" t="n"/>
    </row>
    <row r="3409">
      <c r="A3409" s="11" t="n"/>
      <c r="B3409" s="11" t="n"/>
      <c r="C3409" s="11" t="n"/>
      <c r="D3409" s="11" t="n"/>
      <c r="E3409" s="11" t="n"/>
      <c r="F3409" s="11" t="n"/>
      <c r="G3409" s="11" t="n"/>
      <c r="H3409" s="11" t="n"/>
      <c r="I3409" s="11" t="n"/>
      <c r="J3409" s="11" t="n"/>
      <c r="K3409" s="11" t="n"/>
      <c r="L3409" s="11" t="n"/>
      <c r="M3409" s="11" t="n"/>
    </row>
    <row r="3410">
      <c r="A3410" s="11" t="n"/>
      <c r="B3410" s="11" t="n"/>
      <c r="C3410" s="11" t="n"/>
      <c r="D3410" s="11" t="n"/>
      <c r="E3410" s="11" t="n"/>
      <c r="F3410" s="11" t="n"/>
      <c r="G3410" s="11" t="n"/>
      <c r="H3410" s="11" t="n"/>
      <c r="I3410" s="11" t="n"/>
      <c r="J3410" s="11" t="n"/>
      <c r="K3410" s="11" t="n"/>
      <c r="L3410" s="11" t="n"/>
      <c r="M3410" s="11" t="n"/>
    </row>
    <row r="3411">
      <c r="A3411" s="11" t="n"/>
      <c r="B3411" s="11" t="n"/>
      <c r="C3411" s="11" t="n"/>
      <c r="D3411" s="11" t="n"/>
      <c r="E3411" s="11" t="n"/>
      <c r="F3411" s="11" t="n"/>
      <c r="G3411" s="11" t="n"/>
      <c r="H3411" s="11" t="n"/>
      <c r="I3411" s="11" t="n"/>
      <c r="J3411" s="11" t="n"/>
      <c r="K3411" s="11" t="n"/>
      <c r="L3411" s="11" t="n"/>
      <c r="M3411" s="11" t="n"/>
    </row>
    <row r="3412">
      <c r="A3412" s="11" t="n"/>
      <c r="B3412" s="11" t="n"/>
      <c r="C3412" s="11" t="n"/>
      <c r="D3412" s="11" t="n"/>
      <c r="E3412" s="11" t="n"/>
      <c r="F3412" s="11" t="n"/>
      <c r="G3412" s="11" t="n"/>
      <c r="H3412" s="11" t="n"/>
      <c r="I3412" s="11" t="n"/>
      <c r="J3412" s="11" t="n"/>
      <c r="K3412" s="11" t="n"/>
      <c r="L3412" s="11" t="n"/>
      <c r="M3412" s="11" t="n"/>
    </row>
    <row r="3413">
      <c r="A3413" s="11" t="n"/>
      <c r="B3413" s="11" t="n"/>
      <c r="C3413" s="11" t="n"/>
      <c r="D3413" s="11" t="n"/>
      <c r="E3413" s="11" t="n"/>
      <c r="F3413" s="11" t="n"/>
      <c r="G3413" s="11" t="n"/>
      <c r="H3413" s="11" t="n"/>
      <c r="I3413" s="11" t="n"/>
      <c r="J3413" s="11" t="n"/>
      <c r="K3413" s="11" t="n"/>
      <c r="L3413" s="11" t="n"/>
      <c r="M3413" s="11" t="n"/>
    </row>
    <row r="3414">
      <c r="A3414" s="11" t="n"/>
      <c r="B3414" s="11" t="n"/>
      <c r="C3414" s="11" t="n"/>
      <c r="D3414" s="11" t="n"/>
      <c r="E3414" s="11" t="n"/>
      <c r="F3414" s="11" t="n"/>
      <c r="G3414" s="11" t="n"/>
      <c r="H3414" s="11" t="n"/>
      <c r="I3414" s="11" t="n"/>
      <c r="J3414" s="11" t="n"/>
      <c r="K3414" s="11" t="n"/>
      <c r="L3414" s="11" t="n"/>
      <c r="M3414" s="11" t="n"/>
    </row>
    <row r="3415">
      <c r="A3415" s="11" t="n"/>
      <c r="B3415" s="11" t="n"/>
      <c r="C3415" s="11" t="n"/>
      <c r="D3415" s="11" t="n"/>
      <c r="E3415" s="11" t="n"/>
      <c r="F3415" s="11" t="n"/>
      <c r="G3415" s="11" t="n"/>
      <c r="H3415" s="11" t="n"/>
      <c r="I3415" s="11" t="n"/>
      <c r="J3415" s="11" t="n"/>
      <c r="K3415" s="11" t="n"/>
      <c r="L3415" s="11" t="n"/>
      <c r="M3415" s="11" t="n"/>
    </row>
    <row r="3416">
      <c r="A3416" s="11" t="n"/>
      <c r="B3416" s="11" t="n"/>
      <c r="C3416" s="11" t="n"/>
      <c r="D3416" s="11" t="n"/>
      <c r="E3416" s="11" t="n"/>
      <c r="F3416" s="11" t="n"/>
      <c r="G3416" s="11" t="n"/>
      <c r="H3416" s="11" t="n"/>
      <c r="I3416" s="11" t="n"/>
      <c r="J3416" s="11" t="n"/>
      <c r="K3416" s="11" t="n"/>
      <c r="L3416" s="11" t="n"/>
      <c r="M3416" s="11" t="n"/>
    </row>
    <row r="3417">
      <c r="A3417" s="11" t="n"/>
      <c r="B3417" s="11" t="n"/>
      <c r="C3417" s="11" t="n"/>
      <c r="D3417" s="11" t="n"/>
      <c r="E3417" s="11" t="n"/>
      <c r="F3417" s="11" t="n"/>
      <c r="G3417" s="11" t="n"/>
      <c r="H3417" s="11" t="n"/>
      <c r="I3417" s="11" t="n"/>
      <c r="J3417" s="11" t="n"/>
      <c r="K3417" s="11" t="n"/>
      <c r="L3417" s="11" t="n"/>
      <c r="M3417" s="11" t="n"/>
    </row>
    <row r="3418">
      <c r="A3418" s="11" t="n"/>
      <c r="B3418" s="11" t="n"/>
      <c r="C3418" s="11" t="n"/>
      <c r="D3418" s="11" t="n"/>
      <c r="E3418" s="11" t="n"/>
      <c r="F3418" s="11" t="n"/>
      <c r="G3418" s="11" t="n"/>
      <c r="H3418" s="11" t="n"/>
      <c r="I3418" s="11" t="n"/>
      <c r="J3418" s="11" t="n"/>
      <c r="K3418" s="11" t="n"/>
      <c r="L3418" s="11" t="n"/>
      <c r="M3418" s="11" t="n"/>
    </row>
    <row r="3419">
      <c r="A3419" s="11" t="n"/>
      <c r="B3419" s="11" t="n"/>
      <c r="C3419" s="11" t="n"/>
      <c r="D3419" s="11" t="n"/>
      <c r="E3419" s="11" t="n"/>
      <c r="F3419" s="11" t="n"/>
      <c r="G3419" s="11" t="n"/>
      <c r="H3419" s="11" t="n"/>
      <c r="I3419" s="11" t="n"/>
      <c r="J3419" s="11" t="n"/>
      <c r="K3419" s="11" t="n"/>
      <c r="L3419" s="11" t="n"/>
      <c r="M3419" s="11" t="n"/>
    </row>
    <row r="3420">
      <c r="A3420" s="11" t="n"/>
      <c r="B3420" s="11" t="n"/>
      <c r="C3420" s="11" t="n"/>
      <c r="D3420" s="11" t="n"/>
      <c r="E3420" s="11" t="n"/>
      <c r="F3420" s="11" t="n"/>
      <c r="G3420" s="11" t="n"/>
      <c r="H3420" s="11" t="n"/>
      <c r="I3420" s="11" t="n"/>
      <c r="J3420" s="11" t="n"/>
      <c r="K3420" s="11" t="n"/>
      <c r="L3420" s="11" t="n"/>
      <c r="M3420" s="11" t="n"/>
    </row>
    <row r="3421">
      <c r="A3421" s="11" t="n"/>
      <c r="B3421" s="11" t="n"/>
      <c r="C3421" s="11" t="n"/>
      <c r="D3421" s="11" t="n"/>
      <c r="E3421" s="11" t="n"/>
      <c r="F3421" s="11" t="n"/>
      <c r="G3421" s="11" t="n"/>
      <c r="H3421" s="11" t="n"/>
      <c r="I3421" s="11" t="n"/>
      <c r="J3421" s="11" t="n"/>
      <c r="K3421" s="11" t="n"/>
      <c r="L3421" s="11" t="n"/>
      <c r="M3421" s="11" t="n"/>
    </row>
    <row r="3422">
      <c r="A3422" s="11" t="n"/>
      <c r="B3422" s="11" t="n"/>
      <c r="C3422" s="11" t="n"/>
      <c r="D3422" s="11" t="n"/>
      <c r="E3422" s="11" t="n"/>
      <c r="F3422" s="11" t="n"/>
      <c r="G3422" s="11" t="n"/>
      <c r="H3422" s="11" t="n"/>
      <c r="I3422" s="11" t="n"/>
      <c r="J3422" s="11" t="n"/>
      <c r="K3422" s="11" t="n"/>
      <c r="L3422" s="11" t="n"/>
      <c r="M3422" s="11" t="n"/>
    </row>
    <row r="3423">
      <c r="A3423" s="11" t="n"/>
      <c r="B3423" s="11" t="n"/>
      <c r="C3423" s="11" t="n"/>
      <c r="D3423" s="11" t="n"/>
      <c r="E3423" s="11" t="n"/>
      <c r="F3423" s="11" t="n"/>
      <c r="G3423" s="11" t="n"/>
      <c r="H3423" s="11" t="n"/>
      <c r="I3423" s="11" t="n"/>
      <c r="J3423" s="11" t="n"/>
      <c r="K3423" s="11" t="n"/>
      <c r="L3423" s="11" t="n"/>
      <c r="M3423" s="11" t="n"/>
    </row>
    <row r="3424">
      <c r="A3424" s="11" t="n"/>
      <c r="B3424" s="11" t="n"/>
      <c r="C3424" s="11" t="n"/>
      <c r="D3424" s="11" t="n"/>
      <c r="E3424" s="11" t="n"/>
      <c r="F3424" s="11" t="n"/>
      <c r="G3424" s="11" t="n"/>
      <c r="H3424" s="11" t="n"/>
      <c r="I3424" s="11" t="n"/>
      <c r="J3424" s="11" t="n"/>
      <c r="K3424" s="11" t="n"/>
      <c r="L3424" s="11" t="n"/>
      <c r="M3424" s="11" t="n"/>
    </row>
    <row r="3425">
      <c r="A3425" s="11" t="n"/>
      <c r="B3425" s="11" t="n"/>
      <c r="C3425" s="11" t="n"/>
      <c r="D3425" s="11" t="n"/>
      <c r="E3425" s="11" t="n"/>
      <c r="F3425" s="11" t="n"/>
      <c r="G3425" s="11" t="n"/>
      <c r="H3425" s="11" t="n"/>
      <c r="I3425" s="11" t="n"/>
      <c r="J3425" s="11" t="n"/>
      <c r="K3425" s="11" t="n"/>
      <c r="L3425" s="11" t="n"/>
      <c r="M3425" s="11" t="n"/>
    </row>
    <row r="3426">
      <c r="A3426" s="11" t="n"/>
      <c r="B3426" s="11" t="n"/>
      <c r="C3426" s="11" t="n"/>
      <c r="D3426" s="11" t="n"/>
      <c r="E3426" s="11" t="n"/>
      <c r="F3426" s="11" t="n"/>
      <c r="G3426" s="11" t="n"/>
      <c r="H3426" s="11" t="n"/>
      <c r="I3426" s="11" t="n"/>
      <c r="J3426" s="11" t="n"/>
      <c r="K3426" s="11" t="n"/>
      <c r="L3426" s="11" t="n"/>
      <c r="M3426" s="11" t="n"/>
    </row>
    <row r="3427">
      <c r="A3427" s="11" t="n"/>
      <c r="B3427" s="11" t="n"/>
      <c r="C3427" s="11" t="n"/>
      <c r="D3427" s="11" t="n"/>
      <c r="E3427" s="11" t="n"/>
      <c r="F3427" s="11" t="n"/>
      <c r="G3427" s="11" t="n"/>
      <c r="H3427" s="11" t="n"/>
      <c r="I3427" s="11" t="n"/>
      <c r="J3427" s="11" t="n"/>
      <c r="K3427" s="11" t="n"/>
      <c r="L3427" s="11" t="n"/>
      <c r="M3427" s="11" t="n"/>
    </row>
    <row r="3428">
      <c r="A3428" s="11" t="n"/>
      <c r="B3428" s="11" t="n"/>
      <c r="C3428" s="11" t="n"/>
      <c r="D3428" s="11" t="n"/>
      <c r="E3428" s="11" t="n"/>
      <c r="F3428" s="11" t="n"/>
      <c r="G3428" s="11" t="n"/>
      <c r="H3428" s="11" t="n"/>
      <c r="I3428" s="11" t="n"/>
      <c r="J3428" s="11" t="n"/>
      <c r="K3428" s="11" t="n"/>
      <c r="L3428" s="11" t="n"/>
      <c r="M3428" s="11" t="n"/>
    </row>
    <row r="3429">
      <c r="A3429" s="11" t="n"/>
      <c r="B3429" s="11" t="n"/>
      <c r="C3429" s="11" t="n"/>
      <c r="D3429" s="11" t="n"/>
      <c r="E3429" s="11" t="n"/>
      <c r="F3429" s="11" t="n"/>
      <c r="G3429" s="11" t="n"/>
      <c r="H3429" s="11" t="n"/>
      <c r="I3429" s="11" t="n"/>
      <c r="J3429" s="11" t="n"/>
      <c r="K3429" s="11" t="n"/>
      <c r="L3429" s="11" t="n"/>
      <c r="M3429" s="11" t="n"/>
    </row>
    <row r="3430">
      <c r="A3430" s="11" t="n"/>
      <c r="B3430" s="11" t="n"/>
      <c r="C3430" s="11" t="n"/>
      <c r="D3430" s="11" t="n"/>
      <c r="E3430" s="11" t="n"/>
      <c r="F3430" s="11" t="n"/>
      <c r="G3430" s="11" t="n"/>
      <c r="H3430" s="11" t="n"/>
      <c r="I3430" s="11" t="n"/>
      <c r="J3430" s="11" t="n"/>
      <c r="K3430" s="11" t="n"/>
      <c r="L3430" s="11" t="n"/>
      <c r="M3430" s="11" t="n"/>
    </row>
    <row r="3431">
      <c r="A3431" s="11" t="n"/>
      <c r="B3431" s="11" t="n"/>
      <c r="C3431" s="11" t="n"/>
      <c r="D3431" s="11" t="n"/>
      <c r="E3431" s="11" t="n"/>
      <c r="F3431" s="11" t="n"/>
      <c r="G3431" s="11" t="n"/>
      <c r="H3431" s="11" t="n"/>
      <c r="I3431" s="11" t="n"/>
      <c r="J3431" s="11" t="n"/>
      <c r="K3431" s="11" t="n"/>
      <c r="L3431" s="11" t="n"/>
      <c r="M3431" s="11" t="n"/>
    </row>
    <row r="3432">
      <c r="A3432" s="11" t="n"/>
      <c r="B3432" s="11" t="n"/>
      <c r="C3432" s="11" t="n"/>
      <c r="D3432" s="11" t="n"/>
      <c r="E3432" s="11" t="n"/>
      <c r="F3432" s="11" t="n"/>
      <c r="G3432" s="11" t="n"/>
      <c r="H3432" s="11" t="n"/>
      <c r="I3432" s="11" t="n"/>
      <c r="J3432" s="11" t="n"/>
      <c r="K3432" s="11" t="n"/>
      <c r="L3432" s="11" t="n"/>
      <c r="M3432" s="11" t="n"/>
    </row>
    <row r="3433">
      <c r="A3433" s="11" t="n"/>
      <c r="B3433" s="11" t="n"/>
      <c r="C3433" s="11" t="n"/>
      <c r="D3433" s="11" t="n"/>
      <c r="E3433" s="11" t="n"/>
      <c r="F3433" s="11" t="n"/>
      <c r="G3433" s="11" t="n"/>
      <c r="H3433" s="11" t="n"/>
      <c r="I3433" s="11" t="n"/>
      <c r="J3433" s="11" t="n"/>
      <c r="K3433" s="11" t="n"/>
      <c r="L3433" s="11" t="n"/>
      <c r="M3433" s="11" t="n"/>
    </row>
    <row r="3434">
      <c r="A3434" s="11" t="n"/>
      <c r="B3434" s="11" t="n"/>
      <c r="C3434" s="11" t="n"/>
      <c r="D3434" s="11" t="n"/>
      <c r="E3434" s="11" t="n"/>
      <c r="F3434" s="11" t="n"/>
      <c r="G3434" s="11" t="n"/>
      <c r="H3434" s="11" t="n"/>
      <c r="I3434" s="11" t="n"/>
      <c r="J3434" s="11" t="n"/>
      <c r="K3434" s="11" t="n"/>
      <c r="L3434" s="11" t="n"/>
      <c r="M3434" s="11" t="n"/>
    </row>
    <row r="3435">
      <c r="A3435" s="11" t="n"/>
      <c r="B3435" s="11" t="n"/>
      <c r="C3435" s="11" t="n"/>
      <c r="D3435" s="11" t="n"/>
      <c r="E3435" s="11" t="n"/>
      <c r="F3435" s="11" t="n"/>
      <c r="G3435" s="11" t="n"/>
      <c r="H3435" s="11" t="n"/>
      <c r="I3435" s="11" t="n"/>
      <c r="J3435" s="11" t="n"/>
      <c r="K3435" s="11" t="n"/>
      <c r="L3435" s="11" t="n"/>
      <c r="M3435" s="11" t="n"/>
    </row>
    <row r="3436">
      <c r="A3436" s="11" t="n"/>
      <c r="B3436" s="11" t="n"/>
      <c r="C3436" s="11" t="n"/>
      <c r="D3436" s="11" t="n"/>
      <c r="E3436" s="11" t="n"/>
      <c r="F3436" s="11" t="n"/>
      <c r="G3436" s="11" t="n"/>
      <c r="H3436" s="11" t="n"/>
      <c r="I3436" s="11" t="n"/>
      <c r="J3436" s="11" t="n"/>
      <c r="K3436" s="11" t="n"/>
      <c r="L3436" s="11" t="n"/>
      <c r="M3436" s="11" t="n"/>
    </row>
    <row r="3437">
      <c r="A3437" s="11" t="n"/>
      <c r="B3437" s="11" t="n"/>
      <c r="C3437" s="11" t="n"/>
      <c r="D3437" s="11" t="n"/>
      <c r="E3437" s="11" t="n"/>
      <c r="F3437" s="11" t="n"/>
      <c r="G3437" s="11" t="n"/>
      <c r="H3437" s="11" t="n"/>
      <c r="I3437" s="11" t="n"/>
      <c r="J3437" s="11" t="n"/>
      <c r="K3437" s="11" t="n"/>
      <c r="L3437" s="11" t="n"/>
      <c r="M3437" s="11" t="n"/>
    </row>
    <row r="3438">
      <c r="A3438" s="11" t="n"/>
      <c r="B3438" s="11" t="n"/>
      <c r="C3438" s="11" t="n"/>
      <c r="D3438" s="11" t="n"/>
      <c r="E3438" s="11" t="n"/>
      <c r="F3438" s="11" t="n"/>
      <c r="G3438" s="11" t="n"/>
      <c r="H3438" s="11" t="n"/>
      <c r="I3438" s="11" t="n"/>
      <c r="J3438" s="11" t="n"/>
      <c r="K3438" s="11" t="n"/>
      <c r="L3438" s="11" t="n"/>
      <c r="M3438" s="11" t="n"/>
    </row>
    <row r="3439">
      <c r="A3439" s="11" t="n"/>
      <c r="B3439" s="11" t="n"/>
      <c r="C3439" s="11" t="n"/>
      <c r="D3439" s="11" t="n"/>
      <c r="E3439" s="11" t="n"/>
      <c r="F3439" s="11" t="n"/>
      <c r="G3439" s="11" t="n"/>
      <c r="H3439" s="11" t="n"/>
      <c r="I3439" s="11" t="n"/>
      <c r="J3439" s="11" t="n"/>
      <c r="K3439" s="11" t="n"/>
      <c r="L3439" s="11" t="n"/>
      <c r="M3439" s="11" t="n"/>
    </row>
    <row r="3440">
      <c r="A3440" s="11" t="n"/>
      <c r="B3440" s="11" t="n"/>
      <c r="C3440" s="11" t="n"/>
      <c r="D3440" s="11" t="n"/>
      <c r="E3440" s="11" t="n"/>
      <c r="F3440" s="11" t="n"/>
      <c r="G3440" s="11" t="n"/>
      <c r="H3440" s="11" t="n"/>
      <c r="I3440" s="11" t="n"/>
      <c r="J3440" s="11" t="n"/>
      <c r="K3440" s="11" t="n"/>
      <c r="L3440" s="11" t="n"/>
      <c r="M3440" s="11" t="n"/>
    </row>
    <row r="3441">
      <c r="A3441" s="11" t="n"/>
      <c r="B3441" s="11" t="n"/>
      <c r="C3441" s="11" t="n"/>
      <c r="D3441" s="11" t="n"/>
      <c r="E3441" s="11" t="n"/>
      <c r="F3441" s="11" t="n"/>
      <c r="G3441" s="11" t="n"/>
      <c r="H3441" s="11" t="n"/>
      <c r="I3441" s="11" t="n"/>
      <c r="J3441" s="11" t="n"/>
      <c r="K3441" s="11" t="n"/>
      <c r="L3441" s="11" t="n"/>
      <c r="M3441" s="11" t="n"/>
    </row>
    <row r="3442">
      <c r="A3442" s="11" t="n"/>
      <c r="B3442" s="11" t="n"/>
      <c r="C3442" s="11" t="n"/>
      <c r="D3442" s="11" t="n"/>
      <c r="E3442" s="11" t="n"/>
      <c r="F3442" s="11" t="n"/>
      <c r="G3442" s="11" t="n"/>
      <c r="H3442" s="11" t="n"/>
      <c r="I3442" s="11" t="n"/>
      <c r="J3442" s="11" t="n"/>
      <c r="K3442" s="11" t="n"/>
      <c r="L3442" s="11" t="n"/>
      <c r="M3442" s="11" t="n"/>
    </row>
    <row r="3443">
      <c r="A3443" s="11" t="n"/>
      <c r="B3443" s="11" t="n"/>
      <c r="C3443" s="11" t="n"/>
      <c r="D3443" s="11" t="n"/>
      <c r="E3443" s="11" t="n"/>
      <c r="F3443" s="11" t="n"/>
      <c r="G3443" s="11" t="n"/>
      <c r="H3443" s="11" t="n"/>
      <c r="I3443" s="11" t="n"/>
      <c r="J3443" s="11" t="n"/>
      <c r="K3443" s="11" t="n"/>
      <c r="L3443" s="11" t="n"/>
      <c r="M3443" s="11" t="n"/>
    </row>
    <row r="3444">
      <c r="A3444" s="11" t="n"/>
      <c r="B3444" s="11" t="n"/>
      <c r="C3444" s="11" t="n"/>
      <c r="D3444" s="11" t="n"/>
      <c r="E3444" s="11" t="n"/>
      <c r="F3444" s="11" t="n"/>
      <c r="G3444" s="11" t="n"/>
      <c r="H3444" s="11" t="n"/>
      <c r="I3444" s="11" t="n"/>
      <c r="J3444" s="11" t="n"/>
      <c r="K3444" s="11" t="n"/>
      <c r="L3444" s="11" t="n"/>
      <c r="M3444" s="11" t="n"/>
    </row>
    <row r="3445">
      <c r="A3445" s="11" t="n"/>
      <c r="B3445" s="11" t="n"/>
      <c r="C3445" s="11" t="n"/>
      <c r="D3445" s="11" t="n"/>
      <c r="E3445" s="11" t="n"/>
      <c r="F3445" s="11" t="n"/>
      <c r="G3445" s="11" t="n"/>
      <c r="H3445" s="11" t="n"/>
      <c r="I3445" s="11" t="n"/>
      <c r="J3445" s="11" t="n"/>
      <c r="K3445" s="11" t="n"/>
      <c r="L3445" s="11" t="n"/>
      <c r="M3445" s="11" t="n"/>
    </row>
    <row r="3446">
      <c r="A3446" s="11" t="n"/>
      <c r="B3446" s="11" t="n"/>
      <c r="C3446" s="11" t="n"/>
      <c r="D3446" s="11" t="n"/>
      <c r="E3446" s="11" t="n"/>
      <c r="F3446" s="11" t="n"/>
      <c r="G3446" s="11" t="n"/>
      <c r="H3446" s="11" t="n"/>
      <c r="I3446" s="11" t="n"/>
      <c r="J3446" s="11" t="n"/>
      <c r="K3446" s="11" t="n"/>
      <c r="L3446" s="11" t="n"/>
      <c r="M3446" s="11" t="n"/>
    </row>
    <row r="3447">
      <c r="A3447" s="11" t="n"/>
      <c r="B3447" s="11" t="n"/>
      <c r="C3447" s="11" t="n"/>
      <c r="D3447" s="11" t="n"/>
      <c r="E3447" s="11" t="n"/>
      <c r="F3447" s="11" t="n"/>
      <c r="G3447" s="11" t="n"/>
      <c r="H3447" s="11" t="n"/>
      <c r="I3447" s="11" t="n"/>
      <c r="J3447" s="11" t="n"/>
      <c r="K3447" s="11" t="n"/>
      <c r="L3447" s="11" t="n"/>
      <c r="M3447" s="11" t="n"/>
    </row>
    <row r="3448">
      <c r="A3448" s="11" t="n"/>
      <c r="B3448" s="11" t="n"/>
      <c r="C3448" s="11" t="n"/>
      <c r="D3448" s="11" t="n"/>
      <c r="E3448" s="11" t="n"/>
      <c r="F3448" s="11" t="n"/>
      <c r="G3448" s="11" t="n"/>
      <c r="H3448" s="11" t="n"/>
      <c r="I3448" s="11" t="n"/>
      <c r="J3448" s="11" t="n"/>
      <c r="K3448" s="11" t="n"/>
      <c r="L3448" s="11" t="n"/>
      <c r="M3448" s="11" t="n"/>
    </row>
    <row r="3449">
      <c r="A3449" s="11" t="n"/>
      <c r="B3449" s="11" t="n"/>
      <c r="C3449" s="11" t="n"/>
      <c r="D3449" s="11" t="n"/>
      <c r="E3449" s="11" t="n"/>
      <c r="F3449" s="11" t="n"/>
      <c r="G3449" s="11" t="n"/>
      <c r="H3449" s="11" t="n"/>
      <c r="I3449" s="11" t="n"/>
      <c r="J3449" s="11" t="n"/>
      <c r="K3449" s="11" t="n"/>
      <c r="L3449" s="11" t="n"/>
      <c r="M3449" s="11" t="n"/>
    </row>
    <row r="3450">
      <c r="A3450" s="11" t="n"/>
      <c r="B3450" s="11" t="n"/>
      <c r="C3450" s="11" t="n"/>
      <c r="D3450" s="11" t="n"/>
      <c r="E3450" s="11" t="n"/>
      <c r="F3450" s="11" t="n"/>
      <c r="G3450" s="11" t="n"/>
      <c r="H3450" s="11" t="n"/>
      <c r="I3450" s="11" t="n"/>
      <c r="J3450" s="11" t="n"/>
      <c r="K3450" s="11" t="n"/>
      <c r="L3450" s="11" t="n"/>
      <c r="M3450" s="11" t="n"/>
    </row>
    <row r="3451">
      <c r="A3451" s="11" t="n"/>
      <c r="B3451" s="11" t="n"/>
      <c r="C3451" s="11" t="n"/>
      <c r="D3451" s="11" t="n"/>
      <c r="E3451" s="11" t="n"/>
      <c r="F3451" s="11" t="n"/>
      <c r="G3451" s="11" t="n"/>
      <c r="H3451" s="11" t="n"/>
      <c r="I3451" s="11" t="n"/>
      <c r="J3451" s="11" t="n"/>
      <c r="K3451" s="11" t="n"/>
      <c r="L3451" s="11" t="n"/>
      <c r="M3451" s="11" t="n"/>
    </row>
    <row r="3452">
      <c r="A3452" s="11" t="n"/>
      <c r="B3452" s="11" t="n"/>
      <c r="C3452" s="11" t="n"/>
      <c r="D3452" s="11" t="n"/>
      <c r="E3452" s="11" t="n"/>
      <c r="F3452" s="11" t="n"/>
      <c r="G3452" s="11" t="n"/>
      <c r="H3452" s="11" t="n"/>
      <c r="I3452" s="11" t="n"/>
      <c r="J3452" s="11" t="n"/>
      <c r="K3452" s="11" t="n"/>
      <c r="L3452" s="11" t="n"/>
      <c r="M3452" s="11" t="n"/>
    </row>
    <row r="3453">
      <c r="A3453" s="11" t="n"/>
      <c r="B3453" s="11" t="n"/>
      <c r="C3453" s="11" t="n"/>
      <c r="D3453" s="11" t="n"/>
      <c r="E3453" s="11" t="n"/>
      <c r="F3453" s="11" t="n"/>
      <c r="G3453" s="11" t="n"/>
      <c r="H3453" s="11" t="n"/>
      <c r="I3453" s="11" t="n"/>
      <c r="J3453" s="11" t="n"/>
      <c r="K3453" s="11" t="n"/>
      <c r="L3453" s="11" t="n"/>
      <c r="M3453" s="11" t="n"/>
    </row>
    <row r="3454">
      <c r="A3454" s="11" t="n"/>
      <c r="B3454" s="11" t="n"/>
      <c r="C3454" s="11" t="n"/>
      <c r="D3454" s="11" t="n"/>
      <c r="E3454" s="11" t="n"/>
      <c r="F3454" s="11" t="n"/>
      <c r="G3454" s="11" t="n"/>
      <c r="H3454" s="11" t="n"/>
      <c r="I3454" s="11" t="n"/>
      <c r="J3454" s="11" t="n"/>
      <c r="K3454" s="11" t="n"/>
      <c r="L3454" s="11" t="n"/>
      <c r="M3454" s="11" t="n"/>
    </row>
    <row r="3455">
      <c r="A3455" s="11" t="n"/>
      <c r="B3455" s="11" t="n"/>
      <c r="C3455" s="11" t="n"/>
      <c r="D3455" s="11" t="n"/>
      <c r="E3455" s="11" t="n"/>
      <c r="F3455" s="11" t="n"/>
      <c r="G3455" s="11" t="n"/>
      <c r="H3455" s="11" t="n"/>
      <c r="I3455" s="11" t="n"/>
      <c r="J3455" s="11" t="n"/>
      <c r="K3455" s="11" t="n"/>
      <c r="L3455" s="11" t="n"/>
      <c r="M3455" s="11" t="n"/>
    </row>
    <row r="3456">
      <c r="A3456" s="11" t="n"/>
      <c r="B3456" s="11" t="n"/>
      <c r="C3456" s="11" t="n"/>
      <c r="D3456" s="11" t="n"/>
      <c r="E3456" s="11" t="n"/>
      <c r="F3456" s="11" t="n"/>
      <c r="G3456" s="11" t="n"/>
      <c r="H3456" s="11" t="n"/>
      <c r="I3456" s="11" t="n"/>
      <c r="J3456" s="11" t="n"/>
      <c r="K3456" s="11" t="n"/>
      <c r="L3456" s="11" t="n"/>
      <c r="M3456" s="11" t="n"/>
    </row>
    <row r="3457">
      <c r="A3457" s="11" t="n"/>
      <c r="B3457" s="11" t="n"/>
      <c r="C3457" s="11" t="n"/>
      <c r="D3457" s="11" t="n"/>
      <c r="E3457" s="11" t="n"/>
      <c r="F3457" s="11" t="n"/>
      <c r="G3457" s="11" t="n"/>
      <c r="H3457" s="11" t="n"/>
      <c r="I3457" s="11" t="n"/>
      <c r="J3457" s="11" t="n"/>
      <c r="K3457" s="11" t="n"/>
      <c r="L3457" s="11" t="n"/>
      <c r="M3457" s="11" t="n"/>
    </row>
    <row r="3458">
      <c r="A3458" s="11" t="n"/>
      <c r="B3458" s="11" t="n"/>
      <c r="C3458" s="11" t="n"/>
      <c r="D3458" s="11" t="n"/>
      <c r="E3458" s="11" t="n"/>
      <c r="F3458" s="11" t="n"/>
      <c r="G3458" s="11" t="n"/>
      <c r="H3458" s="11" t="n"/>
      <c r="I3458" s="11" t="n"/>
      <c r="J3458" s="11" t="n"/>
      <c r="K3458" s="11" t="n"/>
      <c r="L3458" s="11" t="n"/>
      <c r="M3458" s="11" t="n"/>
    </row>
    <row r="3459">
      <c r="A3459" s="11" t="n"/>
      <c r="B3459" s="11" t="n"/>
      <c r="C3459" s="11" t="n"/>
      <c r="D3459" s="11" t="n"/>
      <c r="E3459" s="11" t="n"/>
      <c r="F3459" s="11" t="n"/>
      <c r="G3459" s="11" t="n"/>
      <c r="H3459" s="11" t="n"/>
      <c r="I3459" s="11" t="n"/>
      <c r="J3459" s="11" t="n"/>
      <c r="K3459" s="11" t="n"/>
      <c r="L3459" s="11" t="n"/>
      <c r="M3459" s="11" t="n"/>
    </row>
    <row r="3460">
      <c r="A3460" s="11" t="n"/>
      <c r="B3460" s="11" t="n"/>
      <c r="C3460" s="11" t="n"/>
      <c r="D3460" s="11" t="n"/>
      <c r="E3460" s="11" t="n"/>
      <c r="F3460" s="11" t="n"/>
      <c r="G3460" s="11" t="n"/>
      <c r="H3460" s="11" t="n"/>
      <c r="I3460" s="11" t="n"/>
      <c r="J3460" s="11" t="n"/>
      <c r="K3460" s="11" t="n"/>
      <c r="L3460" s="11" t="n"/>
      <c r="M3460" s="11" t="n"/>
    </row>
    <row r="3461">
      <c r="A3461" s="11" t="n"/>
      <c r="B3461" s="11" t="n"/>
      <c r="C3461" s="11" t="n"/>
      <c r="D3461" s="11" t="n"/>
      <c r="E3461" s="11" t="n"/>
      <c r="F3461" s="11" t="n"/>
      <c r="G3461" s="11" t="n"/>
      <c r="H3461" s="11" t="n"/>
      <c r="I3461" s="11" t="n"/>
      <c r="J3461" s="11" t="n"/>
      <c r="K3461" s="11" t="n"/>
      <c r="L3461" s="11" t="n"/>
      <c r="M3461" s="11" t="n"/>
    </row>
    <row r="3462">
      <c r="A3462" s="11" t="n"/>
      <c r="B3462" s="11" t="n"/>
      <c r="C3462" s="11" t="n"/>
      <c r="D3462" s="11" t="n"/>
      <c r="E3462" s="11" t="n"/>
      <c r="F3462" s="11" t="n"/>
      <c r="G3462" s="11" t="n"/>
      <c r="H3462" s="11" t="n"/>
      <c r="I3462" s="11" t="n"/>
      <c r="J3462" s="11" t="n"/>
      <c r="K3462" s="11" t="n"/>
      <c r="L3462" s="11" t="n"/>
      <c r="M3462" s="11" t="n"/>
    </row>
    <row r="3463">
      <c r="A3463" s="11" t="n"/>
      <c r="B3463" s="11" t="n"/>
      <c r="C3463" s="11" t="n"/>
      <c r="D3463" s="11" t="n"/>
      <c r="E3463" s="11" t="n"/>
      <c r="F3463" s="11" t="n"/>
      <c r="G3463" s="11" t="n"/>
      <c r="H3463" s="11" t="n"/>
      <c r="I3463" s="11" t="n"/>
      <c r="J3463" s="11" t="n"/>
      <c r="K3463" s="11" t="n"/>
      <c r="L3463" s="11" t="n"/>
      <c r="M3463" s="11" t="n"/>
    </row>
    <row r="3464">
      <c r="A3464" s="11" t="n"/>
      <c r="B3464" s="11" t="n"/>
      <c r="C3464" s="11" t="n"/>
      <c r="D3464" s="11" t="n"/>
      <c r="E3464" s="11" t="n"/>
      <c r="F3464" s="11" t="n"/>
      <c r="G3464" s="11" t="n"/>
      <c r="H3464" s="11" t="n"/>
      <c r="I3464" s="11" t="n"/>
      <c r="J3464" s="11" t="n"/>
      <c r="K3464" s="11" t="n"/>
      <c r="L3464" s="11" t="n"/>
      <c r="M3464" s="11" t="n"/>
    </row>
    <row r="3465">
      <c r="A3465" s="11" t="n"/>
      <c r="B3465" s="11" t="n"/>
      <c r="C3465" s="11" t="n"/>
      <c r="D3465" s="11" t="n"/>
      <c r="E3465" s="11" t="n"/>
      <c r="F3465" s="11" t="n"/>
      <c r="G3465" s="11" t="n"/>
      <c r="H3465" s="11" t="n"/>
      <c r="I3465" s="11" t="n"/>
      <c r="J3465" s="11" t="n"/>
      <c r="K3465" s="11" t="n"/>
      <c r="L3465" s="11" t="n"/>
      <c r="M3465" s="11" t="n"/>
    </row>
    <row r="3466">
      <c r="A3466" s="11" t="n"/>
      <c r="B3466" s="11" t="n"/>
      <c r="C3466" s="11" t="n"/>
      <c r="D3466" s="11" t="n"/>
      <c r="E3466" s="11" t="n"/>
      <c r="F3466" s="11" t="n"/>
      <c r="G3466" s="11" t="n"/>
      <c r="H3466" s="11" t="n"/>
      <c r="I3466" s="11" t="n"/>
      <c r="J3466" s="11" t="n"/>
      <c r="K3466" s="11" t="n"/>
      <c r="L3466" s="11" t="n"/>
      <c r="M3466" s="11" t="n"/>
    </row>
    <row r="3467">
      <c r="A3467" s="11" t="n"/>
      <c r="B3467" s="11" t="n"/>
      <c r="C3467" s="11" t="n"/>
      <c r="D3467" s="11" t="n"/>
      <c r="E3467" s="11" t="n"/>
      <c r="F3467" s="11" t="n"/>
      <c r="G3467" s="11" t="n"/>
      <c r="H3467" s="11" t="n"/>
      <c r="I3467" s="11" t="n"/>
      <c r="J3467" s="11" t="n"/>
      <c r="K3467" s="11" t="n"/>
      <c r="L3467" s="11" t="n"/>
      <c r="M3467" s="11" t="n"/>
    </row>
    <row r="3468">
      <c r="A3468" s="11" t="n"/>
      <c r="B3468" s="11" t="n"/>
      <c r="C3468" s="11" t="n"/>
      <c r="D3468" s="11" t="n"/>
      <c r="E3468" s="11" t="n"/>
      <c r="F3468" s="11" t="n"/>
      <c r="G3468" s="11" t="n"/>
      <c r="H3468" s="11" t="n"/>
      <c r="I3468" s="11" t="n"/>
      <c r="J3468" s="11" t="n"/>
      <c r="K3468" s="11" t="n"/>
      <c r="L3468" s="11" t="n"/>
      <c r="M3468" s="11" t="n"/>
    </row>
    <row r="3469">
      <c r="A3469" s="11" t="n"/>
      <c r="B3469" s="11" t="n"/>
      <c r="C3469" s="11" t="n"/>
      <c r="D3469" s="11" t="n"/>
      <c r="E3469" s="11" t="n"/>
      <c r="F3469" s="11" t="n"/>
      <c r="G3469" s="11" t="n"/>
      <c r="H3469" s="11" t="n"/>
      <c r="I3469" s="11" t="n"/>
      <c r="J3469" s="11" t="n"/>
      <c r="K3469" s="11" t="n"/>
      <c r="L3469" s="11" t="n"/>
      <c r="M3469" s="11" t="n"/>
    </row>
    <row r="3470">
      <c r="A3470" s="11" t="n"/>
      <c r="B3470" s="11" t="n"/>
      <c r="C3470" s="11" t="n"/>
      <c r="D3470" s="11" t="n"/>
      <c r="E3470" s="11" t="n"/>
      <c r="F3470" s="11" t="n"/>
      <c r="G3470" s="11" t="n"/>
      <c r="H3470" s="11" t="n"/>
      <c r="I3470" s="11" t="n"/>
      <c r="J3470" s="11" t="n"/>
      <c r="K3470" s="11" t="n"/>
      <c r="L3470" s="11" t="n"/>
      <c r="M3470" s="11" t="n"/>
    </row>
    <row r="3471">
      <c r="A3471" s="11" t="n"/>
      <c r="B3471" s="11" t="n"/>
      <c r="C3471" s="11" t="n"/>
      <c r="D3471" s="11" t="n"/>
      <c r="E3471" s="11" t="n"/>
      <c r="F3471" s="11" t="n"/>
      <c r="G3471" s="11" t="n"/>
      <c r="H3471" s="11" t="n"/>
      <c r="I3471" s="11" t="n"/>
      <c r="J3471" s="11" t="n"/>
      <c r="K3471" s="11" t="n"/>
      <c r="L3471" s="11" t="n"/>
      <c r="M3471" s="11" t="n"/>
    </row>
    <row r="3472">
      <c r="A3472" s="11" t="n"/>
      <c r="B3472" s="11" t="n"/>
      <c r="C3472" s="11" t="n"/>
      <c r="D3472" s="11" t="n"/>
      <c r="E3472" s="11" t="n"/>
      <c r="F3472" s="11" t="n"/>
      <c r="G3472" s="11" t="n"/>
      <c r="H3472" s="11" t="n"/>
      <c r="I3472" s="11" t="n"/>
      <c r="J3472" s="11" t="n"/>
      <c r="K3472" s="11" t="n"/>
      <c r="L3472" s="11" t="n"/>
      <c r="M3472" s="11" t="n"/>
    </row>
    <row r="3473">
      <c r="A3473" s="11" t="n"/>
      <c r="B3473" s="11" t="n"/>
      <c r="C3473" s="11" t="n"/>
      <c r="D3473" s="11" t="n"/>
      <c r="E3473" s="11" t="n"/>
      <c r="F3473" s="11" t="n"/>
      <c r="G3473" s="11" t="n"/>
      <c r="H3473" s="11" t="n"/>
      <c r="I3473" s="11" t="n"/>
      <c r="J3473" s="11" t="n"/>
      <c r="K3473" s="11" t="n"/>
      <c r="L3473" s="11" t="n"/>
      <c r="M3473" s="11" t="n"/>
    </row>
    <row r="3474">
      <c r="A3474" s="11" t="n"/>
      <c r="B3474" s="11" t="n"/>
      <c r="C3474" s="11" t="n"/>
      <c r="D3474" s="11" t="n"/>
      <c r="E3474" s="11" t="n"/>
      <c r="F3474" s="11" t="n"/>
      <c r="G3474" s="11" t="n"/>
      <c r="H3474" s="11" t="n"/>
      <c r="I3474" s="11" t="n"/>
      <c r="J3474" s="11" t="n"/>
      <c r="K3474" s="11" t="n"/>
      <c r="L3474" s="11" t="n"/>
      <c r="M3474" s="11" t="n"/>
    </row>
    <row r="3475">
      <c r="A3475" s="11" t="n"/>
      <c r="B3475" s="11" t="n"/>
      <c r="C3475" s="11" t="n"/>
      <c r="D3475" s="11" t="n"/>
      <c r="E3475" s="11" t="n"/>
      <c r="F3475" s="11" t="n"/>
      <c r="G3475" s="11" t="n"/>
      <c r="H3475" s="11" t="n"/>
      <c r="I3475" s="11" t="n"/>
      <c r="J3475" s="11" t="n"/>
      <c r="K3475" s="11" t="n"/>
      <c r="L3475" s="11" t="n"/>
      <c r="M3475" s="11" t="n"/>
    </row>
    <row r="3476">
      <c r="A3476" s="11" t="n"/>
      <c r="B3476" s="11" t="n"/>
      <c r="C3476" s="11" t="n"/>
      <c r="D3476" s="11" t="n"/>
      <c r="E3476" s="11" t="n"/>
      <c r="F3476" s="11" t="n"/>
      <c r="G3476" s="11" t="n"/>
      <c r="H3476" s="11" t="n"/>
      <c r="I3476" s="11" t="n"/>
      <c r="J3476" s="11" t="n"/>
      <c r="K3476" s="11" t="n"/>
      <c r="L3476" s="11" t="n"/>
      <c r="M3476" s="11" t="n"/>
    </row>
    <row r="3477">
      <c r="A3477" s="11" t="n"/>
      <c r="B3477" s="11" t="n"/>
      <c r="C3477" s="11" t="n"/>
      <c r="D3477" s="11" t="n"/>
      <c r="E3477" s="11" t="n"/>
      <c r="F3477" s="11" t="n"/>
      <c r="G3477" s="11" t="n"/>
      <c r="H3477" s="11" t="n"/>
      <c r="I3477" s="11" t="n"/>
      <c r="J3477" s="11" t="n"/>
      <c r="K3477" s="11" t="n"/>
      <c r="L3477" s="11" t="n"/>
      <c r="M3477" s="11" t="n"/>
    </row>
    <row r="3478">
      <c r="A3478" s="11" t="n"/>
      <c r="B3478" s="11" t="n"/>
      <c r="C3478" s="11" t="n"/>
      <c r="D3478" s="11" t="n"/>
      <c r="E3478" s="11" t="n"/>
      <c r="F3478" s="11" t="n"/>
      <c r="G3478" s="11" t="n"/>
      <c r="H3478" s="11" t="n"/>
      <c r="I3478" s="11" t="n"/>
      <c r="J3478" s="11" t="n"/>
      <c r="K3478" s="11" t="n"/>
      <c r="L3478" s="11" t="n"/>
      <c r="M3478" s="11" t="n"/>
    </row>
    <row r="3479">
      <c r="A3479" s="11" t="n"/>
      <c r="B3479" s="11" t="n"/>
      <c r="C3479" s="11" t="n"/>
      <c r="D3479" s="11" t="n"/>
      <c r="E3479" s="11" t="n"/>
      <c r="F3479" s="11" t="n"/>
      <c r="G3479" s="11" t="n"/>
      <c r="H3479" s="11" t="n"/>
      <c r="I3479" s="11" t="n"/>
      <c r="J3479" s="11" t="n"/>
      <c r="K3479" s="11" t="n"/>
      <c r="L3479" s="11" t="n"/>
      <c r="M3479" s="11" t="n"/>
    </row>
    <row r="3480">
      <c r="A3480" s="11" t="n"/>
      <c r="B3480" s="11" t="n"/>
      <c r="C3480" s="11" t="n"/>
      <c r="D3480" s="11" t="n"/>
      <c r="E3480" s="11" t="n"/>
      <c r="F3480" s="11" t="n"/>
      <c r="G3480" s="11" t="n"/>
      <c r="H3480" s="11" t="n"/>
      <c r="I3480" s="11" t="n"/>
      <c r="J3480" s="11" t="n"/>
      <c r="K3480" s="11" t="n"/>
      <c r="L3480" s="11" t="n"/>
      <c r="M3480" s="11" t="n"/>
    </row>
    <row r="3481">
      <c r="A3481" s="11" t="n"/>
      <c r="B3481" s="11" t="n"/>
      <c r="C3481" s="11" t="n"/>
      <c r="D3481" s="11" t="n"/>
      <c r="E3481" s="11" t="n"/>
      <c r="F3481" s="11" t="n"/>
      <c r="G3481" s="11" t="n"/>
      <c r="H3481" s="11" t="n"/>
      <c r="I3481" s="11" t="n"/>
      <c r="J3481" s="11" t="n"/>
      <c r="K3481" s="11" t="n"/>
      <c r="L3481" s="11" t="n"/>
      <c r="M3481" s="11" t="n"/>
    </row>
    <row r="3482">
      <c r="A3482" s="11" t="n"/>
      <c r="B3482" s="11" t="n"/>
      <c r="C3482" s="11" t="n"/>
      <c r="D3482" s="11" t="n"/>
      <c r="E3482" s="11" t="n"/>
      <c r="F3482" s="11" t="n"/>
      <c r="G3482" s="11" t="n"/>
      <c r="H3482" s="11" t="n"/>
      <c r="I3482" s="11" t="n"/>
      <c r="J3482" s="11" t="n"/>
      <c r="K3482" s="11" t="n"/>
      <c r="L3482" s="11" t="n"/>
      <c r="M3482" s="11" t="n"/>
    </row>
    <row r="3483">
      <c r="A3483" s="11" t="n"/>
      <c r="B3483" s="11" t="n"/>
      <c r="C3483" s="11" t="n"/>
      <c r="D3483" s="11" t="n"/>
      <c r="E3483" s="11" t="n"/>
      <c r="F3483" s="11" t="n"/>
      <c r="G3483" s="11" t="n"/>
      <c r="H3483" s="11" t="n"/>
      <c r="I3483" s="11" t="n"/>
      <c r="J3483" s="11" t="n"/>
      <c r="K3483" s="11" t="n"/>
      <c r="L3483" s="11" t="n"/>
      <c r="M3483" s="11" t="n"/>
    </row>
    <row r="3484">
      <c r="A3484" s="11" t="n"/>
      <c r="B3484" s="11" t="n"/>
      <c r="C3484" s="11" t="n"/>
      <c r="D3484" s="11" t="n"/>
      <c r="E3484" s="11" t="n"/>
      <c r="F3484" s="11" t="n"/>
      <c r="G3484" s="11" t="n"/>
      <c r="H3484" s="11" t="n"/>
      <c r="I3484" s="11" t="n"/>
      <c r="J3484" s="11" t="n"/>
      <c r="K3484" s="11" t="n"/>
      <c r="L3484" s="11" t="n"/>
      <c r="M3484" s="11" t="n"/>
    </row>
    <row r="3485">
      <c r="A3485" s="11" t="n"/>
      <c r="B3485" s="11" t="n"/>
      <c r="C3485" s="11" t="n"/>
      <c r="D3485" s="11" t="n"/>
      <c r="E3485" s="11" t="n"/>
      <c r="F3485" s="11" t="n"/>
      <c r="G3485" s="11" t="n"/>
      <c r="H3485" s="11" t="n"/>
      <c r="I3485" s="11" t="n"/>
      <c r="J3485" s="11" t="n"/>
      <c r="K3485" s="11" t="n"/>
      <c r="L3485" s="11" t="n"/>
      <c r="M3485" s="11" t="n"/>
    </row>
    <row r="3486">
      <c r="A3486" s="11" t="n"/>
      <c r="B3486" s="11" t="n"/>
      <c r="C3486" s="11" t="n"/>
      <c r="D3486" s="11" t="n"/>
      <c r="E3486" s="11" t="n"/>
      <c r="F3486" s="11" t="n"/>
      <c r="G3486" s="11" t="n"/>
      <c r="H3486" s="11" t="n"/>
      <c r="I3486" s="11" t="n"/>
      <c r="J3486" s="11" t="n"/>
      <c r="K3486" s="11" t="n"/>
      <c r="L3486" s="11" t="n"/>
      <c r="M3486" s="11" t="n"/>
    </row>
    <row r="3487">
      <c r="A3487" s="11" t="n"/>
      <c r="B3487" s="11" t="n"/>
      <c r="C3487" s="11" t="n"/>
      <c r="D3487" s="11" t="n"/>
      <c r="E3487" s="11" t="n"/>
      <c r="F3487" s="11" t="n"/>
      <c r="G3487" s="11" t="n"/>
      <c r="H3487" s="11" t="n"/>
      <c r="I3487" s="11" t="n"/>
      <c r="J3487" s="11" t="n"/>
      <c r="K3487" s="11" t="n"/>
      <c r="L3487" s="11" t="n"/>
      <c r="M3487" s="11" t="n"/>
    </row>
    <row r="3488">
      <c r="A3488" s="11" t="n"/>
      <c r="B3488" s="11" t="n"/>
      <c r="C3488" s="11" t="n"/>
      <c r="D3488" s="11" t="n"/>
      <c r="E3488" s="11" t="n"/>
      <c r="F3488" s="11" t="n"/>
      <c r="G3488" s="11" t="n"/>
      <c r="H3488" s="11" t="n"/>
      <c r="I3488" s="11" t="n"/>
      <c r="J3488" s="11" t="n"/>
      <c r="K3488" s="11" t="n"/>
      <c r="L3488" s="11" t="n"/>
      <c r="M3488" s="11" t="n"/>
    </row>
    <row r="3489">
      <c r="A3489" s="11" t="n"/>
      <c r="B3489" s="11" t="n"/>
      <c r="C3489" s="11" t="n"/>
      <c r="D3489" s="11" t="n"/>
      <c r="E3489" s="11" t="n"/>
      <c r="F3489" s="11" t="n"/>
      <c r="G3489" s="11" t="n"/>
      <c r="H3489" s="11" t="n"/>
      <c r="I3489" s="11" t="n"/>
      <c r="J3489" s="11" t="n"/>
      <c r="K3489" s="11" t="n"/>
      <c r="L3489" s="11" t="n"/>
      <c r="M3489" s="11" t="n"/>
    </row>
    <row r="3490">
      <c r="A3490" s="11" t="n"/>
      <c r="B3490" s="11" t="n"/>
      <c r="C3490" s="11" t="n"/>
      <c r="D3490" s="11" t="n"/>
      <c r="E3490" s="11" t="n"/>
      <c r="F3490" s="11" t="n"/>
      <c r="G3490" s="11" t="n"/>
      <c r="H3490" s="11" t="n"/>
      <c r="I3490" s="11" t="n"/>
      <c r="J3490" s="11" t="n"/>
      <c r="K3490" s="11" t="n"/>
      <c r="L3490" s="11" t="n"/>
      <c r="M3490" s="11" t="n"/>
    </row>
    <row r="3491">
      <c r="A3491" s="11" t="n"/>
      <c r="B3491" s="11" t="n"/>
      <c r="C3491" s="11" t="n"/>
      <c r="D3491" s="11" t="n"/>
      <c r="E3491" s="11" t="n"/>
      <c r="F3491" s="11" t="n"/>
      <c r="G3491" s="11" t="n"/>
      <c r="H3491" s="11" t="n"/>
      <c r="I3491" s="11" t="n"/>
      <c r="J3491" s="11" t="n"/>
      <c r="K3491" s="11" t="n"/>
      <c r="L3491" s="11" t="n"/>
      <c r="M3491" s="11" t="n"/>
    </row>
    <row r="3492">
      <c r="A3492" s="11" t="n"/>
      <c r="B3492" s="11" t="n"/>
      <c r="C3492" s="11" t="n"/>
      <c r="D3492" s="11" t="n"/>
      <c r="E3492" s="11" t="n"/>
      <c r="F3492" s="11" t="n"/>
      <c r="G3492" s="11" t="n"/>
      <c r="H3492" s="11" t="n"/>
      <c r="I3492" s="11" t="n"/>
      <c r="J3492" s="11" t="n"/>
      <c r="K3492" s="11" t="n"/>
      <c r="L3492" s="11" t="n"/>
      <c r="M3492" s="11" t="n"/>
    </row>
    <row r="3493">
      <c r="A3493" s="11" t="n"/>
      <c r="B3493" s="11" t="n"/>
      <c r="C3493" s="11" t="n"/>
      <c r="D3493" s="11" t="n"/>
      <c r="E3493" s="11" t="n"/>
      <c r="F3493" s="11" t="n"/>
      <c r="G3493" s="11" t="n"/>
      <c r="H3493" s="11" t="n"/>
      <c r="I3493" s="11" t="n"/>
      <c r="J3493" s="11" t="n"/>
      <c r="K3493" s="11" t="n"/>
      <c r="L3493" s="11" t="n"/>
      <c r="M3493" s="11" t="n"/>
    </row>
    <row r="3494">
      <c r="A3494" s="11" t="n"/>
      <c r="B3494" s="11" t="n"/>
      <c r="C3494" s="11" t="n"/>
      <c r="D3494" s="11" t="n"/>
      <c r="E3494" s="11" t="n"/>
      <c r="F3494" s="11" t="n"/>
      <c r="G3494" s="11" t="n"/>
      <c r="H3494" s="11" t="n"/>
      <c r="I3494" s="11" t="n"/>
      <c r="J3494" s="11" t="n"/>
      <c r="K3494" s="11" t="n"/>
      <c r="L3494" s="11" t="n"/>
      <c r="M3494" s="11" t="n"/>
    </row>
    <row r="3495">
      <c r="A3495" s="11" t="n"/>
      <c r="B3495" s="11" t="n"/>
      <c r="C3495" s="11" t="n"/>
      <c r="D3495" s="11" t="n"/>
      <c r="E3495" s="11" t="n"/>
      <c r="F3495" s="11" t="n"/>
      <c r="G3495" s="11" t="n"/>
      <c r="H3495" s="11" t="n"/>
      <c r="I3495" s="11" t="n"/>
      <c r="J3495" s="11" t="n"/>
      <c r="K3495" s="11" t="n"/>
      <c r="L3495" s="11" t="n"/>
      <c r="M3495" s="11" t="n"/>
    </row>
    <row r="3496">
      <c r="A3496" s="11" t="n"/>
      <c r="B3496" s="11" t="n"/>
      <c r="C3496" s="11" t="n"/>
      <c r="D3496" s="11" t="n"/>
      <c r="E3496" s="11" t="n"/>
      <c r="F3496" s="11" t="n"/>
      <c r="G3496" s="11" t="n"/>
      <c r="H3496" s="11" t="n"/>
      <c r="I3496" s="11" t="n"/>
      <c r="J3496" s="11" t="n"/>
      <c r="K3496" s="11" t="n"/>
      <c r="L3496" s="11" t="n"/>
      <c r="M3496" s="11" t="n"/>
    </row>
    <row r="3497">
      <c r="A3497" s="11" t="n"/>
      <c r="B3497" s="11" t="n"/>
      <c r="C3497" s="11" t="n"/>
      <c r="D3497" s="11" t="n"/>
      <c r="E3497" s="11" t="n"/>
      <c r="F3497" s="11" t="n"/>
      <c r="G3497" s="11" t="n"/>
      <c r="H3497" s="11" t="n"/>
      <c r="I3497" s="11" t="n"/>
      <c r="J3497" s="11" t="n"/>
      <c r="K3497" s="11" t="n"/>
      <c r="L3497" s="11" t="n"/>
      <c r="M3497" s="11" t="n"/>
    </row>
    <row r="3498">
      <c r="A3498" s="11" t="n"/>
      <c r="B3498" s="11" t="n"/>
      <c r="C3498" s="11" t="n"/>
      <c r="D3498" s="11" t="n"/>
      <c r="E3498" s="11" t="n"/>
      <c r="F3498" s="11" t="n"/>
      <c r="G3498" s="11" t="n"/>
      <c r="H3498" s="11" t="n"/>
      <c r="I3498" s="11" t="n"/>
      <c r="J3498" s="11" t="n"/>
      <c r="K3498" s="11" t="n"/>
      <c r="L3498" s="11" t="n"/>
      <c r="M3498" s="11" t="n"/>
    </row>
    <row r="3499">
      <c r="A3499" s="11" t="n"/>
      <c r="B3499" s="11" t="n"/>
      <c r="C3499" s="11" t="n"/>
      <c r="D3499" s="11" t="n"/>
      <c r="E3499" s="11" t="n"/>
      <c r="F3499" s="11" t="n"/>
      <c r="G3499" s="11" t="n"/>
      <c r="H3499" s="11" t="n"/>
      <c r="I3499" s="11" t="n"/>
      <c r="J3499" s="11" t="n"/>
      <c r="K3499" s="11" t="n"/>
      <c r="L3499" s="11" t="n"/>
      <c r="M3499" s="11" t="n"/>
    </row>
    <row r="3500">
      <c r="A3500" s="11" t="n"/>
      <c r="B3500" s="11" t="n"/>
      <c r="C3500" s="11" t="n"/>
      <c r="D3500" s="11" t="n"/>
      <c r="E3500" s="11" t="n"/>
      <c r="F3500" s="11" t="n"/>
      <c r="G3500" s="11" t="n"/>
      <c r="H3500" s="11" t="n"/>
      <c r="I3500" s="11" t="n"/>
      <c r="J3500" s="11" t="n"/>
      <c r="K3500" s="11" t="n"/>
      <c r="L3500" s="11" t="n"/>
      <c r="M3500" s="11" t="n"/>
    </row>
    <row r="3501">
      <c r="A3501" s="11" t="n"/>
      <c r="B3501" s="11" t="n"/>
      <c r="C3501" s="11" t="n"/>
      <c r="D3501" s="11" t="n"/>
      <c r="E3501" s="11" t="n"/>
      <c r="F3501" s="11" t="n"/>
      <c r="G3501" s="11" t="n"/>
      <c r="H3501" s="11" t="n"/>
      <c r="I3501" s="11" t="n"/>
      <c r="J3501" s="11" t="n"/>
      <c r="K3501" s="11" t="n"/>
      <c r="L3501" s="11" t="n"/>
      <c r="M3501" s="11" t="n"/>
    </row>
    <row r="3502">
      <c r="A3502" s="11" t="n"/>
      <c r="B3502" s="11" t="n"/>
      <c r="C3502" s="11" t="n"/>
      <c r="D3502" s="11" t="n"/>
      <c r="E3502" s="11" t="n"/>
      <c r="F3502" s="11" t="n"/>
      <c r="G3502" s="11" t="n"/>
      <c r="H3502" s="11" t="n"/>
      <c r="I3502" s="11" t="n"/>
      <c r="J3502" s="11" t="n"/>
      <c r="K3502" s="11" t="n"/>
      <c r="L3502" s="11" t="n"/>
      <c r="M3502" s="11" t="n"/>
    </row>
    <row r="3503">
      <c r="A3503" s="11" t="n"/>
      <c r="B3503" s="11" t="n"/>
      <c r="C3503" s="11" t="n"/>
      <c r="D3503" s="11" t="n"/>
      <c r="E3503" s="11" t="n"/>
      <c r="F3503" s="11" t="n"/>
      <c r="G3503" s="11" t="n"/>
      <c r="H3503" s="11" t="n"/>
      <c r="I3503" s="11" t="n"/>
      <c r="J3503" s="11" t="n"/>
      <c r="K3503" s="11" t="n"/>
      <c r="L3503" s="11" t="n"/>
      <c r="M3503" s="11" t="n"/>
    </row>
    <row r="3504">
      <c r="A3504" s="11" t="n"/>
      <c r="B3504" s="11" t="n"/>
      <c r="C3504" s="11" t="n"/>
      <c r="D3504" s="11" t="n"/>
      <c r="E3504" s="11" t="n"/>
      <c r="F3504" s="11" t="n"/>
      <c r="G3504" s="11" t="n"/>
      <c r="H3504" s="11" t="n"/>
      <c r="I3504" s="11" t="n"/>
      <c r="J3504" s="11" t="n"/>
      <c r="K3504" s="11" t="n"/>
      <c r="L3504" s="11" t="n"/>
      <c r="M3504" s="11" t="n"/>
    </row>
    <row r="3505">
      <c r="A3505" s="11" t="n"/>
      <c r="B3505" s="11" t="n"/>
      <c r="C3505" s="11" t="n"/>
      <c r="D3505" s="11" t="n"/>
      <c r="E3505" s="11" t="n"/>
      <c r="F3505" s="11" t="n"/>
      <c r="G3505" s="11" t="n"/>
      <c r="H3505" s="11" t="n"/>
      <c r="I3505" s="11" t="n"/>
      <c r="J3505" s="11" t="n"/>
      <c r="K3505" s="11" t="n"/>
      <c r="L3505" s="11" t="n"/>
      <c r="M3505" s="11" t="n"/>
    </row>
    <row r="3506">
      <c r="A3506" s="11" t="n"/>
      <c r="B3506" s="11" t="n"/>
      <c r="C3506" s="11" t="n"/>
      <c r="D3506" s="11" t="n"/>
      <c r="E3506" s="11" t="n"/>
      <c r="F3506" s="11" t="n"/>
      <c r="G3506" s="11" t="n"/>
      <c r="H3506" s="11" t="n"/>
      <c r="I3506" s="11" t="n"/>
      <c r="J3506" s="11" t="n"/>
      <c r="K3506" s="11" t="n"/>
      <c r="L3506" s="11" t="n"/>
      <c r="M3506" s="11" t="n"/>
    </row>
    <row r="3507">
      <c r="A3507" s="11" t="n"/>
      <c r="B3507" s="11" t="n"/>
      <c r="C3507" s="11" t="n"/>
      <c r="D3507" s="11" t="n"/>
      <c r="E3507" s="11" t="n"/>
      <c r="F3507" s="11" t="n"/>
      <c r="G3507" s="11" t="n"/>
      <c r="H3507" s="11" t="n"/>
      <c r="I3507" s="11" t="n"/>
      <c r="J3507" s="11" t="n"/>
      <c r="K3507" s="11" t="n"/>
      <c r="L3507" s="11" t="n"/>
      <c r="M3507" s="11" t="n"/>
    </row>
    <row r="3508">
      <c r="A3508" s="11" t="n"/>
      <c r="B3508" s="11" t="n"/>
      <c r="C3508" s="11" t="n"/>
      <c r="D3508" s="11" t="n"/>
      <c r="E3508" s="11" t="n"/>
      <c r="F3508" s="11" t="n"/>
      <c r="G3508" s="11" t="n"/>
      <c r="H3508" s="11" t="n"/>
      <c r="I3508" s="11" t="n"/>
      <c r="J3508" s="11" t="n"/>
      <c r="K3508" s="11" t="n"/>
      <c r="L3508" s="11" t="n"/>
      <c r="M3508" s="11" t="n"/>
    </row>
    <row r="3509">
      <c r="A3509" s="11" t="n"/>
      <c r="B3509" s="11" t="n"/>
      <c r="C3509" s="11" t="n"/>
      <c r="D3509" s="11" t="n"/>
      <c r="E3509" s="11" t="n"/>
      <c r="F3509" s="11" t="n"/>
      <c r="G3509" s="11" t="n"/>
      <c r="H3509" s="11" t="n"/>
      <c r="I3509" s="11" t="n"/>
      <c r="J3509" s="11" t="n"/>
      <c r="K3509" s="11" t="n"/>
      <c r="L3509" s="11" t="n"/>
      <c r="M3509" s="11" t="n"/>
    </row>
    <row r="3510">
      <c r="A3510" s="11" t="n"/>
      <c r="B3510" s="11" t="n"/>
      <c r="C3510" s="11" t="n"/>
      <c r="D3510" s="11" t="n"/>
      <c r="E3510" s="11" t="n"/>
      <c r="F3510" s="11" t="n"/>
      <c r="G3510" s="11" t="n"/>
      <c r="H3510" s="11" t="n"/>
      <c r="I3510" s="11" t="n"/>
      <c r="J3510" s="11" t="n"/>
      <c r="K3510" s="11" t="n"/>
      <c r="L3510" s="11" t="n"/>
      <c r="M3510" s="11" t="n"/>
    </row>
    <row r="3511">
      <c r="A3511" s="11" t="n"/>
      <c r="B3511" s="11" t="n"/>
      <c r="C3511" s="11" t="n"/>
      <c r="D3511" s="11" t="n"/>
      <c r="E3511" s="11" t="n"/>
      <c r="F3511" s="11" t="n"/>
      <c r="G3511" s="11" t="n"/>
      <c r="H3511" s="11" t="n"/>
      <c r="I3511" s="11" t="n"/>
      <c r="J3511" s="11" t="n"/>
      <c r="K3511" s="11" t="n"/>
      <c r="L3511" s="11" t="n"/>
      <c r="M3511" s="11" t="n"/>
    </row>
    <row r="3512">
      <c r="A3512" s="11" t="n"/>
      <c r="B3512" s="11" t="n"/>
      <c r="C3512" s="11" t="n"/>
      <c r="D3512" s="11" t="n"/>
      <c r="E3512" s="11" t="n"/>
      <c r="F3512" s="11" t="n"/>
      <c r="G3512" s="11" t="n"/>
      <c r="H3512" s="11" t="n"/>
      <c r="I3512" s="11" t="n"/>
      <c r="J3512" s="11" t="n"/>
      <c r="K3512" s="11" t="n"/>
      <c r="L3512" s="11" t="n"/>
      <c r="M3512" s="11" t="n"/>
    </row>
    <row r="3513">
      <c r="A3513" s="11" t="n"/>
      <c r="B3513" s="11" t="n"/>
      <c r="C3513" s="11" t="n"/>
      <c r="D3513" s="11" t="n"/>
      <c r="E3513" s="11" t="n"/>
      <c r="F3513" s="11" t="n"/>
      <c r="G3513" s="11" t="n"/>
      <c r="H3513" s="11" t="n"/>
      <c r="I3513" s="11" t="n"/>
      <c r="J3513" s="11" t="n"/>
      <c r="K3513" s="11" t="n"/>
      <c r="L3513" s="11" t="n"/>
      <c r="M3513" s="11" t="n"/>
    </row>
    <row r="3514">
      <c r="A3514" s="11" t="n"/>
      <c r="B3514" s="11" t="n"/>
      <c r="C3514" s="11" t="n"/>
      <c r="D3514" s="11" t="n"/>
      <c r="E3514" s="11" t="n"/>
      <c r="F3514" s="11" t="n"/>
      <c r="G3514" s="11" t="n"/>
      <c r="H3514" s="11" t="n"/>
      <c r="I3514" s="11" t="n"/>
      <c r="J3514" s="11" t="n"/>
      <c r="K3514" s="11" t="n"/>
      <c r="L3514" s="11" t="n"/>
      <c r="M3514" s="11" t="n"/>
    </row>
    <row r="3515">
      <c r="A3515" s="11" t="n"/>
      <c r="B3515" s="11" t="n"/>
      <c r="C3515" s="11" t="n"/>
      <c r="D3515" s="11" t="n"/>
      <c r="E3515" s="11" t="n"/>
      <c r="F3515" s="11" t="n"/>
      <c r="G3515" s="11" t="n"/>
      <c r="H3515" s="11" t="n"/>
      <c r="I3515" s="11" t="n"/>
      <c r="J3515" s="11" t="n"/>
      <c r="K3515" s="11" t="n"/>
      <c r="L3515" s="11" t="n"/>
      <c r="M3515" s="11" t="n"/>
    </row>
    <row r="3516">
      <c r="A3516" s="11" t="n"/>
      <c r="B3516" s="11" t="n"/>
      <c r="C3516" s="11" t="n"/>
      <c r="D3516" s="11" t="n"/>
      <c r="E3516" s="11" t="n"/>
      <c r="F3516" s="11" t="n"/>
      <c r="G3516" s="11" t="n"/>
      <c r="H3516" s="11" t="n"/>
      <c r="I3516" s="11" t="n"/>
      <c r="J3516" s="11" t="n"/>
      <c r="K3516" s="11" t="n"/>
      <c r="L3516" s="11" t="n"/>
      <c r="M3516" s="11" t="n"/>
    </row>
    <row r="3517">
      <c r="A3517" s="11" t="n"/>
      <c r="B3517" s="11" t="n"/>
      <c r="C3517" s="11" t="n"/>
      <c r="D3517" s="11" t="n"/>
      <c r="E3517" s="11" t="n"/>
      <c r="F3517" s="11" t="n"/>
      <c r="G3517" s="11" t="n"/>
      <c r="H3517" s="11" t="n"/>
      <c r="I3517" s="11" t="n"/>
      <c r="J3517" s="11" t="n"/>
      <c r="K3517" s="11" t="n"/>
      <c r="L3517" s="11" t="n"/>
      <c r="M3517" s="11" t="n"/>
    </row>
    <row r="3518">
      <c r="A3518" s="11" t="n"/>
      <c r="B3518" s="11" t="n"/>
      <c r="C3518" s="11" t="n"/>
      <c r="D3518" s="11" t="n"/>
      <c r="E3518" s="11" t="n"/>
      <c r="F3518" s="11" t="n"/>
      <c r="G3518" s="11" t="n"/>
      <c r="H3518" s="11" t="n"/>
      <c r="I3518" s="11" t="n"/>
      <c r="J3518" s="11" t="n"/>
      <c r="K3518" s="11" t="n"/>
      <c r="L3518" s="11" t="n"/>
      <c r="M3518" s="11" t="n"/>
    </row>
    <row r="3519">
      <c r="A3519" s="11" t="n"/>
      <c r="B3519" s="11" t="n"/>
      <c r="C3519" s="11" t="n"/>
      <c r="D3519" s="11" t="n"/>
      <c r="E3519" s="11" t="n"/>
      <c r="F3519" s="11" t="n"/>
      <c r="G3519" s="11" t="n"/>
      <c r="H3519" s="11" t="n"/>
      <c r="I3519" s="11" t="n"/>
      <c r="J3519" s="11" t="n"/>
      <c r="K3519" s="11" t="n"/>
      <c r="L3519" s="11" t="n"/>
      <c r="M3519" s="11" t="n"/>
    </row>
    <row r="3520">
      <c r="A3520" s="11" t="n"/>
      <c r="B3520" s="11" t="n"/>
      <c r="C3520" s="11" t="n"/>
      <c r="D3520" s="11" t="n"/>
      <c r="E3520" s="11" t="n"/>
      <c r="F3520" s="11" t="n"/>
      <c r="G3520" s="11" t="n"/>
      <c r="H3520" s="11" t="n"/>
      <c r="I3520" s="11" t="n"/>
      <c r="J3520" s="11" t="n"/>
      <c r="K3520" s="11" t="n"/>
      <c r="L3520" s="11" t="n"/>
      <c r="M3520" s="11" t="n"/>
    </row>
    <row r="3521">
      <c r="A3521" s="11" t="n"/>
      <c r="B3521" s="11" t="n"/>
      <c r="C3521" s="11" t="n"/>
      <c r="D3521" s="11" t="n"/>
      <c r="E3521" s="11" t="n"/>
      <c r="F3521" s="11" t="n"/>
      <c r="G3521" s="11" t="n"/>
      <c r="H3521" s="11" t="n"/>
      <c r="I3521" s="11" t="n"/>
      <c r="J3521" s="11" t="n"/>
      <c r="K3521" s="11" t="n"/>
      <c r="L3521" s="11" t="n"/>
      <c r="M3521" s="11" t="n"/>
    </row>
    <row r="3522">
      <c r="A3522" s="11" t="n"/>
      <c r="B3522" s="11" t="n"/>
      <c r="C3522" s="11" t="n"/>
      <c r="D3522" s="11" t="n"/>
      <c r="E3522" s="11" t="n"/>
      <c r="F3522" s="11" t="n"/>
      <c r="G3522" s="11" t="n"/>
      <c r="H3522" s="11" t="n"/>
      <c r="I3522" s="11" t="n"/>
      <c r="J3522" s="11" t="n"/>
      <c r="K3522" s="11" t="n"/>
      <c r="L3522" s="11" t="n"/>
      <c r="M3522" s="11" t="n"/>
    </row>
    <row r="3523">
      <c r="A3523" s="11" t="n"/>
      <c r="B3523" s="11" t="n"/>
      <c r="C3523" s="11" t="n"/>
      <c r="D3523" s="11" t="n"/>
      <c r="E3523" s="11" t="n"/>
      <c r="F3523" s="11" t="n"/>
      <c r="G3523" s="11" t="n"/>
      <c r="H3523" s="11" t="n"/>
      <c r="I3523" s="11" t="n"/>
      <c r="J3523" s="11" t="n"/>
      <c r="K3523" s="11" t="n"/>
      <c r="L3523" s="11" t="n"/>
      <c r="M3523" s="11" t="n"/>
    </row>
    <row r="3524">
      <c r="A3524" s="11" t="n"/>
      <c r="B3524" s="11" t="n"/>
      <c r="C3524" s="11" t="n"/>
      <c r="D3524" s="11" t="n"/>
      <c r="E3524" s="11" t="n"/>
      <c r="F3524" s="11" t="n"/>
      <c r="G3524" s="11" t="n"/>
      <c r="H3524" s="11" t="n"/>
      <c r="I3524" s="11" t="n"/>
      <c r="J3524" s="11" t="n"/>
      <c r="K3524" s="11" t="n"/>
      <c r="L3524" s="11" t="n"/>
      <c r="M3524" s="11" t="n"/>
    </row>
    <row r="3525">
      <c r="A3525" s="11" t="n"/>
      <c r="B3525" s="11" t="n"/>
      <c r="C3525" s="11" t="n"/>
      <c r="D3525" s="11" t="n"/>
      <c r="E3525" s="11" t="n"/>
      <c r="F3525" s="11" t="n"/>
      <c r="G3525" s="11" t="n"/>
      <c r="H3525" s="11" t="n"/>
      <c r="I3525" s="11" t="n"/>
      <c r="J3525" s="11" t="n"/>
      <c r="K3525" s="11" t="n"/>
      <c r="L3525" s="11" t="n"/>
      <c r="M3525" s="11" t="n"/>
    </row>
    <row r="3526">
      <c r="A3526" s="11" t="n"/>
      <c r="B3526" s="11" t="n"/>
      <c r="C3526" s="11" t="n"/>
      <c r="D3526" s="11" t="n"/>
      <c r="E3526" s="11" t="n"/>
      <c r="F3526" s="11" t="n"/>
      <c r="G3526" s="11" t="n"/>
      <c r="H3526" s="11" t="n"/>
      <c r="I3526" s="11" t="n"/>
      <c r="J3526" s="11" t="n"/>
      <c r="K3526" s="11" t="n"/>
      <c r="L3526" s="11" t="n"/>
      <c r="M3526" s="11" t="n"/>
    </row>
    <row r="3527">
      <c r="A3527" s="11" t="n"/>
      <c r="B3527" s="11" t="n"/>
      <c r="C3527" s="11" t="n"/>
      <c r="D3527" s="11" t="n"/>
      <c r="E3527" s="11" t="n"/>
      <c r="F3527" s="11" t="n"/>
      <c r="G3527" s="11" t="n"/>
      <c r="H3527" s="11" t="n"/>
      <c r="I3527" s="11" t="n"/>
      <c r="J3527" s="11" t="n"/>
      <c r="K3527" s="11" t="n"/>
      <c r="L3527" s="11" t="n"/>
      <c r="M3527" s="11" t="n"/>
    </row>
    <row r="3528">
      <c r="A3528" s="11" t="n"/>
      <c r="B3528" s="11" t="n"/>
      <c r="C3528" s="11" t="n"/>
      <c r="D3528" s="11" t="n"/>
      <c r="E3528" s="11" t="n"/>
      <c r="F3528" s="11" t="n"/>
      <c r="G3528" s="11" t="n"/>
      <c r="H3528" s="11" t="n"/>
      <c r="I3528" s="11" t="n"/>
      <c r="J3528" s="11" t="n"/>
      <c r="K3528" s="11" t="n"/>
      <c r="L3528" s="11" t="n"/>
      <c r="M3528" s="11" t="n"/>
    </row>
    <row r="3529">
      <c r="A3529" s="11" t="n"/>
      <c r="B3529" s="11" t="n"/>
      <c r="C3529" s="11" t="n"/>
      <c r="D3529" s="11" t="n"/>
      <c r="E3529" s="11" t="n"/>
      <c r="F3529" s="11" t="n"/>
      <c r="G3529" s="11" t="n"/>
      <c r="H3529" s="11" t="n"/>
      <c r="I3529" s="11" t="n"/>
      <c r="J3529" s="11" t="n"/>
      <c r="K3529" s="11" t="n"/>
      <c r="L3529" s="11" t="n"/>
      <c r="M3529" s="11" t="n"/>
    </row>
    <row r="3530">
      <c r="A3530" s="11" t="n"/>
      <c r="B3530" s="11" t="n"/>
      <c r="C3530" s="11" t="n"/>
      <c r="D3530" s="11" t="n"/>
      <c r="E3530" s="11" t="n"/>
      <c r="F3530" s="11" t="n"/>
      <c r="G3530" s="11" t="n"/>
      <c r="H3530" s="11" t="n"/>
      <c r="I3530" s="11" t="n"/>
      <c r="J3530" s="11" t="n"/>
      <c r="K3530" s="11" t="n"/>
      <c r="L3530" s="11" t="n"/>
      <c r="M3530" s="11" t="n"/>
    </row>
    <row r="3531">
      <c r="A3531" s="11" t="n"/>
      <c r="B3531" s="11" t="n"/>
      <c r="C3531" s="11" t="n"/>
      <c r="D3531" s="11" t="n"/>
      <c r="E3531" s="11" t="n"/>
      <c r="F3531" s="11" t="n"/>
      <c r="G3531" s="11" t="n"/>
      <c r="H3531" s="11" t="n"/>
      <c r="I3531" s="11" t="n"/>
      <c r="J3531" s="11" t="n"/>
      <c r="K3531" s="11" t="n"/>
      <c r="L3531" s="11" t="n"/>
      <c r="M3531" s="11" t="n"/>
    </row>
    <row r="3532">
      <c r="A3532" s="11" t="n"/>
      <c r="B3532" s="11" t="n"/>
      <c r="C3532" s="11" t="n"/>
      <c r="D3532" s="11" t="n"/>
      <c r="E3532" s="11" t="n"/>
      <c r="F3532" s="11" t="n"/>
      <c r="G3532" s="11" t="n"/>
      <c r="H3532" s="11" t="n"/>
      <c r="I3532" s="11" t="n"/>
      <c r="J3532" s="11" t="n"/>
      <c r="K3532" s="11" t="n"/>
      <c r="L3532" s="11" t="n"/>
      <c r="M3532" s="11" t="n"/>
    </row>
    <row r="3533">
      <c r="A3533" s="11" t="n"/>
      <c r="B3533" s="11" t="n"/>
      <c r="C3533" s="11" t="n"/>
      <c r="D3533" s="11" t="n"/>
      <c r="E3533" s="11" t="n"/>
      <c r="F3533" s="11" t="n"/>
      <c r="G3533" s="11" t="n"/>
      <c r="H3533" s="11" t="n"/>
      <c r="I3533" s="11" t="n"/>
      <c r="J3533" s="11" t="n"/>
      <c r="K3533" s="11" t="n"/>
      <c r="L3533" s="11" t="n"/>
      <c r="M3533" s="11" t="n"/>
    </row>
    <row r="3534">
      <c r="A3534" s="11" t="n"/>
      <c r="B3534" s="11" t="n"/>
      <c r="C3534" s="11" t="n"/>
      <c r="D3534" s="11" t="n"/>
      <c r="E3534" s="11" t="n"/>
      <c r="F3534" s="11" t="n"/>
      <c r="G3534" s="11" t="n"/>
      <c r="H3534" s="11" t="n"/>
      <c r="I3534" s="11" t="n"/>
      <c r="J3534" s="11" t="n"/>
      <c r="K3534" s="11" t="n"/>
      <c r="L3534" s="11" t="n"/>
      <c r="M3534" s="11" t="n"/>
    </row>
    <row r="3535">
      <c r="A3535" s="11" t="n"/>
      <c r="B3535" s="11" t="n"/>
      <c r="C3535" s="11" t="n"/>
      <c r="D3535" s="11" t="n"/>
      <c r="E3535" s="11" t="n"/>
      <c r="F3535" s="11" t="n"/>
      <c r="G3535" s="11" t="n"/>
      <c r="H3535" s="11" t="n"/>
      <c r="I3535" s="11" t="n"/>
      <c r="J3535" s="11" t="n"/>
      <c r="K3535" s="11" t="n"/>
      <c r="L3535" s="11" t="n"/>
      <c r="M3535" s="11" t="n"/>
    </row>
    <row r="3536">
      <c r="A3536" s="11" t="n"/>
      <c r="B3536" s="11" t="n"/>
      <c r="C3536" s="11" t="n"/>
      <c r="D3536" s="11" t="n"/>
      <c r="E3536" s="11" t="n"/>
      <c r="F3536" s="11" t="n"/>
      <c r="G3536" s="11" t="n"/>
      <c r="H3536" s="11" t="n"/>
      <c r="I3536" s="11" t="n"/>
      <c r="J3536" s="11" t="n"/>
      <c r="K3536" s="11" t="n"/>
      <c r="L3536" s="11" t="n"/>
      <c r="M3536" s="11" t="n"/>
    </row>
    <row r="3537">
      <c r="A3537" s="11" t="n"/>
      <c r="B3537" s="11" t="n"/>
      <c r="C3537" s="11" t="n"/>
      <c r="D3537" s="11" t="n"/>
      <c r="E3537" s="11" t="n"/>
      <c r="F3537" s="11" t="n"/>
      <c r="G3537" s="11" t="n"/>
      <c r="H3537" s="11" t="n"/>
      <c r="I3537" s="11" t="n"/>
      <c r="J3537" s="11" t="n"/>
      <c r="K3537" s="11" t="n"/>
      <c r="L3537" s="11" t="n"/>
      <c r="M3537" s="11" t="n"/>
    </row>
    <row r="3538">
      <c r="A3538" s="11" t="n"/>
      <c r="B3538" s="11" t="n"/>
      <c r="C3538" s="11" t="n"/>
      <c r="D3538" s="11" t="n"/>
      <c r="E3538" s="11" t="n"/>
      <c r="F3538" s="11" t="n"/>
      <c r="G3538" s="11" t="n"/>
      <c r="H3538" s="11" t="n"/>
      <c r="I3538" s="11" t="n"/>
      <c r="J3538" s="11" t="n"/>
      <c r="K3538" s="11" t="n"/>
      <c r="L3538" s="11" t="n"/>
      <c r="M3538" s="11" t="n"/>
    </row>
    <row r="3539">
      <c r="A3539" s="11" t="n"/>
      <c r="B3539" s="11" t="n"/>
      <c r="C3539" s="11" t="n"/>
      <c r="D3539" s="11" t="n"/>
      <c r="E3539" s="11" t="n"/>
      <c r="F3539" s="11" t="n"/>
      <c r="G3539" s="11" t="n"/>
      <c r="H3539" s="11" t="n"/>
      <c r="I3539" s="11" t="n"/>
      <c r="J3539" s="11" t="n"/>
      <c r="K3539" s="11" t="n"/>
      <c r="L3539" s="11" t="n"/>
      <c r="M3539" s="11" t="n"/>
    </row>
    <row r="3540">
      <c r="A3540" s="11" t="n"/>
      <c r="B3540" s="11" t="n"/>
      <c r="C3540" s="11" t="n"/>
      <c r="D3540" s="11" t="n"/>
      <c r="E3540" s="11" t="n"/>
      <c r="F3540" s="11" t="n"/>
      <c r="G3540" s="11" t="n"/>
      <c r="H3540" s="11" t="n"/>
      <c r="I3540" s="11" t="n"/>
      <c r="J3540" s="11" t="n"/>
      <c r="K3540" s="11" t="n"/>
      <c r="L3540" s="11" t="n"/>
      <c r="M3540" s="11" t="n"/>
    </row>
    <row r="3541">
      <c r="A3541" s="11" t="n"/>
      <c r="B3541" s="11" t="n"/>
      <c r="C3541" s="11" t="n"/>
      <c r="D3541" s="11" t="n"/>
      <c r="E3541" s="11" t="n"/>
      <c r="F3541" s="11" t="n"/>
      <c r="G3541" s="11" t="n"/>
      <c r="H3541" s="11" t="n"/>
      <c r="I3541" s="11" t="n"/>
      <c r="J3541" s="11" t="n"/>
      <c r="K3541" s="11" t="n"/>
      <c r="L3541" s="11" t="n"/>
      <c r="M3541" s="11" t="n"/>
    </row>
    <row r="3542">
      <c r="A3542" s="11" t="n"/>
      <c r="B3542" s="11" t="n"/>
      <c r="C3542" s="11" t="n"/>
      <c r="D3542" s="11" t="n"/>
      <c r="E3542" s="11" t="n"/>
      <c r="F3542" s="11" t="n"/>
      <c r="G3542" s="11" t="n"/>
      <c r="H3542" s="11" t="n"/>
      <c r="I3542" s="11" t="n"/>
      <c r="J3542" s="11" t="n"/>
      <c r="K3542" s="11" t="n"/>
      <c r="L3542" s="11" t="n"/>
      <c r="M3542" s="11" t="n"/>
    </row>
    <row r="3543">
      <c r="A3543" s="11" t="n"/>
      <c r="B3543" s="11" t="n"/>
      <c r="C3543" s="11" t="n"/>
      <c r="D3543" s="11" t="n"/>
      <c r="E3543" s="11" t="n"/>
      <c r="F3543" s="11" t="n"/>
      <c r="G3543" s="11" t="n"/>
      <c r="H3543" s="11" t="n"/>
      <c r="I3543" s="11" t="n"/>
      <c r="J3543" s="11" t="n"/>
      <c r="K3543" s="11" t="n"/>
      <c r="L3543" s="11" t="n"/>
      <c r="M3543" s="11" t="n"/>
    </row>
    <row r="3544">
      <c r="A3544" s="11" t="n"/>
      <c r="B3544" s="11" t="n"/>
      <c r="C3544" s="11" t="n"/>
      <c r="D3544" s="11" t="n"/>
      <c r="E3544" s="11" t="n"/>
      <c r="F3544" s="11" t="n"/>
      <c r="G3544" s="11" t="n"/>
      <c r="H3544" s="11" t="n"/>
      <c r="I3544" s="11" t="n"/>
      <c r="J3544" s="11" t="n"/>
      <c r="K3544" s="11" t="n"/>
      <c r="L3544" s="11" t="n"/>
      <c r="M3544" s="11" t="n"/>
    </row>
    <row r="3545">
      <c r="A3545" s="11" t="n"/>
      <c r="B3545" s="11" t="n"/>
      <c r="C3545" s="11" t="n"/>
      <c r="D3545" s="11" t="n"/>
      <c r="E3545" s="11" t="n"/>
      <c r="F3545" s="11" t="n"/>
      <c r="G3545" s="11" t="n"/>
      <c r="H3545" s="11" t="n"/>
      <c r="I3545" s="11" t="n"/>
      <c r="J3545" s="11" t="n"/>
      <c r="K3545" s="11" t="n"/>
      <c r="L3545" s="11" t="n"/>
      <c r="M3545" s="11" t="n"/>
    </row>
    <row r="3546">
      <c r="A3546" s="11" t="n"/>
      <c r="B3546" s="11" t="n"/>
      <c r="C3546" s="11" t="n"/>
      <c r="D3546" s="11" t="n"/>
      <c r="E3546" s="11" t="n"/>
      <c r="F3546" s="11" t="n"/>
      <c r="G3546" s="11" t="n"/>
      <c r="H3546" s="11" t="n"/>
      <c r="I3546" s="11" t="n"/>
      <c r="J3546" s="11" t="n"/>
      <c r="K3546" s="11" t="n"/>
      <c r="L3546" s="11" t="n"/>
      <c r="M3546" s="11" t="n"/>
    </row>
    <row r="3547">
      <c r="A3547" s="11" t="n"/>
      <c r="B3547" s="11" t="n"/>
      <c r="C3547" s="11" t="n"/>
      <c r="D3547" s="11" t="n"/>
      <c r="E3547" s="11" t="n"/>
      <c r="F3547" s="11" t="n"/>
      <c r="G3547" s="11" t="n"/>
      <c r="H3547" s="11" t="n"/>
      <c r="I3547" s="11" t="n"/>
      <c r="J3547" s="11" t="n"/>
      <c r="K3547" s="11" t="n"/>
      <c r="L3547" s="11" t="n"/>
      <c r="M3547" s="11" t="n"/>
    </row>
    <row r="3548">
      <c r="A3548" s="11" t="n"/>
      <c r="B3548" s="11" t="n"/>
      <c r="C3548" s="11" t="n"/>
      <c r="D3548" s="11" t="n"/>
      <c r="E3548" s="11" t="n"/>
      <c r="F3548" s="11" t="n"/>
      <c r="G3548" s="11" t="n"/>
      <c r="H3548" s="11" t="n"/>
      <c r="I3548" s="11" t="n"/>
      <c r="J3548" s="11" t="n"/>
      <c r="K3548" s="11" t="n"/>
      <c r="L3548" s="11" t="n"/>
      <c r="M3548" s="11" t="n"/>
    </row>
    <row r="3549">
      <c r="A3549" s="11" t="n"/>
      <c r="B3549" s="11" t="n"/>
      <c r="C3549" s="11" t="n"/>
      <c r="D3549" s="11" t="n"/>
      <c r="E3549" s="11" t="n"/>
      <c r="F3549" s="11" t="n"/>
      <c r="G3549" s="11" t="n"/>
      <c r="H3549" s="11" t="n"/>
      <c r="I3549" s="11" t="n"/>
      <c r="J3549" s="11" t="n"/>
      <c r="K3549" s="11" t="n"/>
      <c r="L3549" s="11" t="n"/>
      <c r="M3549" s="11" t="n"/>
    </row>
    <row r="3550">
      <c r="A3550" s="11" t="n"/>
      <c r="B3550" s="11" t="n"/>
      <c r="C3550" s="11" t="n"/>
      <c r="D3550" s="11" t="n"/>
      <c r="E3550" s="11" t="n"/>
      <c r="F3550" s="11" t="n"/>
      <c r="G3550" s="11" t="n"/>
      <c r="H3550" s="11" t="n"/>
      <c r="I3550" s="11" t="n"/>
      <c r="J3550" s="11" t="n"/>
      <c r="K3550" s="11" t="n"/>
      <c r="L3550" s="11" t="n"/>
      <c r="M3550" s="11" t="n"/>
    </row>
    <row r="3551">
      <c r="A3551" s="11" t="n"/>
      <c r="B3551" s="11" t="n"/>
      <c r="C3551" s="11" t="n"/>
      <c r="D3551" s="11" t="n"/>
      <c r="E3551" s="11" t="n"/>
      <c r="F3551" s="11" t="n"/>
      <c r="G3551" s="11" t="n"/>
      <c r="H3551" s="11" t="n"/>
      <c r="I3551" s="11" t="n"/>
      <c r="J3551" s="11" t="n"/>
      <c r="K3551" s="11" t="n"/>
      <c r="L3551" s="11" t="n"/>
      <c r="M3551" s="11" t="n"/>
    </row>
    <row r="3552">
      <c r="A3552" s="11" t="n"/>
      <c r="B3552" s="11" t="n"/>
      <c r="C3552" s="11" t="n"/>
      <c r="D3552" s="11" t="n"/>
      <c r="E3552" s="11" t="n"/>
      <c r="F3552" s="11" t="n"/>
      <c r="G3552" s="11" t="n"/>
      <c r="H3552" s="11" t="n"/>
      <c r="I3552" s="11" t="n"/>
      <c r="J3552" s="11" t="n"/>
      <c r="K3552" s="11" t="n"/>
      <c r="L3552" s="11" t="n"/>
      <c r="M3552" s="11" t="n"/>
    </row>
    <row r="3553">
      <c r="A3553" s="11" t="n"/>
      <c r="B3553" s="11" t="n"/>
      <c r="C3553" s="11" t="n"/>
      <c r="D3553" s="11" t="n"/>
      <c r="E3553" s="11" t="n"/>
      <c r="F3553" s="11" t="n"/>
      <c r="G3553" s="11" t="n"/>
      <c r="H3553" s="11" t="n"/>
      <c r="I3553" s="11" t="n"/>
      <c r="J3553" s="11" t="n"/>
      <c r="K3553" s="11" t="n"/>
      <c r="L3553" s="11" t="n"/>
      <c r="M3553" s="11" t="n"/>
    </row>
    <row r="3554">
      <c r="A3554" s="11" t="n"/>
      <c r="B3554" s="11" t="n"/>
      <c r="C3554" s="11" t="n"/>
      <c r="D3554" s="11" t="n"/>
      <c r="E3554" s="11" t="n"/>
      <c r="F3554" s="11" t="n"/>
      <c r="G3554" s="11" t="n"/>
      <c r="H3554" s="11" t="n"/>
      <c r="I3554" s="11" t="n"/>
      <c r="J3554" s="11" t="n"/>
      <c r="K3554" s="11" t="n"/>
      <c r="L3554" s="11" t="n"/>
      <c r="M3554" s="11" t="n"/>
    </row>
    <row r="3555">
      <c r="A3555" s="11" t="n"/>
      <c r="B3555" s="11" t="n"/>
      <c r="C3555" s="11" t="n"/>
      <c r="D3555" s="11" t="n"/>
      <c r="E3555" s="11" t="n"/>
      <c r="F3555" s="11" t="n"/>
      <c r="G3555" s="11" t="n"/>
      <c r="H3555" s="11" t="n"/>
      <c r="I3555" s="11" t="n"/>
      <c r="J3555" s="11" t="n"/>
      <c r="K3555" s="11" t="n"/>
      <c r="L3555" s="11" t="n"/>
      <c r="M3555" s="11" t="n"/>
    </row>
    <row r="3556">
      <c r="A3556" s="11" t="n"/>
      <c r="B3556" s="11" t="n"/>
      <c r="C3556" s="11" t="n"/>
      <c r="D3556" s="11" t="n"/>
      <c r="E3556" s="11" t="n"/>
      <c r="F3556" s="11" t="n"/>
      <c r="G3556" s="11" t="n"/>
      <c r="H3556" s="11" t="n"/>
      <c r="I3556" s="11" t="n"/>
      <c r="J3556" s="11" t="n"/>
      <c r="K3556" s="11" t="n"/>
      <c r="L3556" s="11" t="n"/>
      <c r="M3556" s="11" t="n"/>
    </row>
    <row r="3557">
      <c r="A3557" s="11" t="n"/>
      <c r="B3557" s="11" t="n"/>
      <c r="C3557" s="11" t="n"/>
      <c r="D3557" s="11" t="n"/>
      <c r="E3557" s="11" t="n"/>
      <c r="F3557" s="11" t="n"/>
      <c r="G3557" s="11" t="n"/>
      <c r="H3557" s="11" t="n"/>
      <c r="I3557" s="11" t="n"/>
      <c r="J3557" s="11" t="n"/>
      <c r="K3557" s="11" t="n"/>
      <c r="L3557" s="11" t="n"/>
      <c r="M3557" s="11" t="n"/>
    </row>
    <row r="3558">
      <c r="A3558" s="11" t="n"/>
      <c r="B3558" s="11" t="n"/>
      <c r="C3558" s="11" t="n"/>
      <c r="D3558" s="11" t="n"/>
      <c r="E3558" s="11" t="n"/>
      <c r="F3558" s="11" t="n"/>
      <c r="G3558" s="11" t="n"/>
      <c r="H3558" s="11" t="n"/>
      <c r="I3558" s="11" t="n"/>
      <c r="J3558" s="11" t="n"/>
      <c r="K3558" s="11" t="n"/>
      <c r="L3558" s="11" t="n"/>
      <c r="M3558" s="11" t="n"/>
    </row>
    <row r="3559">
      <c r="A3559" s="11" t="n"/>
      <c r="B3559" s="11" t="n"/>
      <c r="C3559" s="11" t="n"/>
      <c r="D3559" s="11" t="n"/>
      <c r="E3559" s="11" t="n"/>
      <c r="F3559" s="11" t="n"/>
      <c r="G3559" s="11" t="n"/>
      <c r="H3559" s="11" t="n"/>
      <c r="I3559" s="11" t="n"/>
      <c r="J3559" s="11" t="n"/>
      <c r="K3559" s="11" t="n"/>
      <c r="L3559" s="11" t="n"/>
      <c r="M3559" s="11" t="n"/>
    </row>
    <row r="3560">
      <c r="A3560" s="11" t="n"/>
      <c r="B3560" s="11" t="n"/>
      <c r="C3560" s="11" t="n"/>
      <c r="D3560" s="11" t="n"/>
      <c r="E3560" s="11" t="n"/>
      <c r="F3560" s="11" t="n"/>
      <c r="G3560" s="11" t="n"/>
      <c r="H3560" s="11" t="n"/>
      <c r="I3560" s="11" t="n"/>
      <c r="J3560" s="11" t="n"/>
      <c r="K3560" s="11" t="n"/>
      <c r="L3560" s="11" t="n"/>
      <c r="M3560" s="11" t="n"/>
    </row>
    <row r="3561">
      <c r="A3561" s="11" t="n"/>
      <c r="B3561" s="11" t="n"/>
      <c r="C3561" s="11" t="n"/>
      <c r="D3561" s="11" t="n"/>
      <c r="E3561" s="11" t="n"/>
      <c r="F3561" s="11" t="n"/>
      <c r="G3561" s="11" t="n"/>
      <c r="H3561" s="11" t="n"/>
      <c r="I3561" s="11" t="n"/>
      <c r="J3561" s="11" t="n"/>
      <c r="K3561" s="11" t="n"/>
      <c r="L3561" s="11" t="n"/>
      <c r="M3561" s="11" t="n"/>
    </row>
    <row r="3562">
      <c r="A3562" s="11" t="n"/>
      <c r="B3562" s="11" t="n"/>
      <c r="C3562" s="11" t="n"/>
      <c r="D3562" s="11" t="n"/>
      <c r="E3562" s="11" t="n"/>
      <c r="F3562" s="11" t="n"/>
      <c r="G3562" s="11" t="n"/>
      <c r="H3562" s="11" t="n"/>
      <c r="I3562" s="11" t="n"/>
      <c r="J3562" s="11" t="n"/>
      <c r="K3562" s="11" t="n"/>
      <c r="L3562" s="11" t="n"/>
      <c r="M3562" s="11" t="n"/>
    </row>
    <row r="3563">
      <c r="A3563" s="11" t="n"/>
      <c r="B3563" s="11" t="n"/>
      <c r="C3563" s="11" t="n"/>
      <c r="D3563" s="11" t="n"/>
      <c r="E3563" s="11" t="n"/>
      <c r="F3563" s="11" t="n"/>
      <c r="G3563" s="11" t="n"/>
      <c r="H3563" s="11" t="n"/>
      <c r="I3563" s="11" t="n"/>
      <c r="J3563" s="11" t="n"/>
      <c r="K3563" s="11" t="n"/>
      <c r="L3563" s="11" t="n"/>
      <c r="M3563" s="11" t="n"/>
    </row>
    <row r="3564">
      <c r="A3564" s="11" t="n"/>
      <c r="B3564" s="11" t="n"/>
      <c r="C3564" s="11" t="n"/>
      <c r="D3564" s="11" t="n"/>
      <c r="E3564" s="11" t="n"/>
      <c r="F3564" s="11" t="n"/>
      <c r="G3564" s="11" t="n"/>
      <c r="H3564" s="11" t="n"/>
      <c r="I3564" s="11" t="n"/>
      <c r="J3564" s="11" t="n"/>
      <c r="K3564" s="11" t="n"/>
      <c r="L3564" s="11" t="n"/>
      <c r="M3564" s="11" t="n"/>
    </row>
    <row r="3565">
      <c r="A3565" s="11" t="n"/>
      <c r="B3565" s="11" t="n"/>
      <c r="C3565" s="11" t="n"/>
      <c r="D3565" s="11" t="n"/>
      <c r="E3565" s="11" t="n"/>
      <c r="F3565" s="11" t="n"/>
      <c r="G3565" s="11" t="n"/>
      <c r="H3565" s="11" t="n"/>
      <c r="I3565" s="11" t="n"/>
      <c r="J3565" s="11" t="n"/>
      <c r="K3565" s="11" t="n"/>
      <c r="L3565" s="11" t="n"/>
      <c r="M3565" s="11" t="n"/>
    </row>
    <row r="3566">
      <c r="A3566" s="11" t="n"/>
      <c r="B3566" s="11" t="n"/>
      <c r="C3566" s="11" t="n"/>
      <c r="D3566" s="11" t="n"/>
      <c r="E3566" s="11" t="n"/>
      <c r="F3566" s="11" t="n"/>
      <c r="G3566" s="11" t="n"/>
      <c r="H3566" s="11" t="n"/>
      <c r="I3566" s="11" t="n"/>
      <c r="J3566" s="11" t="n"/>
      <c r="K3566" s="11" t="n"/>
      <c r="L3566" s="11" t="n"/>
      <c r="M3566" s="11" t="n"/>
    </row>
    <row r="3567">
      <c r="A3567" s="11" t="n"/>
      <c r="B3567" s="11" t="n"/>
      <c r="C3567" s="11" t="n"/>
      <c r="D3567" s="11" t="n"/>
      <c r="E3567" s="11" t="n"/>
      <c r="F3567" s="11" t="n"/>
      <c r="G3567" s="11" t="n"/>
      <c r="H3567" s="11" t="n"/>
      <c r="I3567" s="11" t="n"/>
      <c r="J3567" s="11" t="n"/>
      <c r="K3567" s="11" t="n"/>
      <c r="L3567" s="11" t="n"/>
      <c r="M3567" s="11" t="n"/>
    </row>
    <row r="3568">
      <c r="A3568" s="11" t="n"/>
      <c r="B3568" s="11" t="n"/>
      <c r="C3568" s="11" t="n"/>
      <c r="D3568" s="11" t="n"/>
      <c r="E3568" s="11" t="n"/>
      <c r="F3568" s="11" t="n"/>
      <c r="G3568" s="11" t="n"/>
      <c r="H3568" s="11" t="n"/>
      <c r="I3568" s="11" t="n"/>
      <c r="J3568" s="11" t="n"/>
      <c r="K3568" s="11" t="n"/>
      <c r="L3568" s="11" t="n"/>
      <c r="M3568" s="11" t="n"/>
    </row>
    <row r="3569">
      <c r="A3569" s="11" t="n"/>
      <c r="B3569" s="11" t="n"/>
      <c r="C3569" s="11" t="n"/>
      <c r="D3569" s="11" t="n"/>
      <c r="E3569" s="11" t="n"/>
      <c r="F3569" s="11" t="n"/>
      <c r="G3569" s="11" t="n"/>
      <c r="H3569" s="11" t="n"/>
      <c r="I3569" s="11" t="n"/>
      <c r="J3569" s="11" t="n"/>
      <c r="K3569" s="11" t="n"/>
      <c r="L3569" s="11" t="n"/>
      <c r="M3569" s="11" t="n"/>
    </row>
    <row r="3570">
      <c r="A3570" s="11" t="n"/>
      <c r="B3570" s="11" t="n"/>
      <c r="C3570" s="11" t="n"/>
      <c r="D3570" s="11" t="n"/>
      <c r="E3570" s="11" t="n"/>
      <c r="F3570" s="11" t="n"/>
      <c r="G3570" s="11" t="n"/>
      <c r="H3570" s="11" t="n"/>
      <c r="I3570" s="11" t="n"/>
      <c r="J3570" s="11" t="n"/>
      <c r="K3570" s="11" t="n"/>
      <c r="L3570" s="11" t="n"/>
      <c r="M3570" s="11" t="n"/>
    </row>
    <row r="3571">
      <c r="A3571" s="11" t="n"/>
      <c r="B3571" s="11" t="n"/>
      <c r="C3571" s="11" t="n"/>
      <c r="D3571" s="11" t="n"/>
      <c r="E3571" s="11" t="n"/>
      <c r="F3571" s="11" t="n"/>
      <c r="G3571" s="11" t="n"/>
      <c r="H3571" s="11" t="n"/>
      <c r="I3571" s="11" t="n"/>
      <c r="J3571" s="11" t="n"/>
      <c r="K3571" s="11" t="n"/>
      <c r="L3571" s="11" t="n"/>
      <c r="M3571" s="11" t="n"/>
    </row>
    <row r="3572">
      <c r="A3572" s="11" t="n"/>
      <c r="B3572" s="11" t="n"/>
      <c r="C3572" s="11" t="n"/>
      <c r="D3572" s="11" t="n"/>
      <c r="E3572" s="11" t="n"/>
      <c r="F3572" s="11" t="n"/>
      <c r="G3572" s="11" t="n"/>
      <c r="H3572" s="11" t="n"/>
      <c r="I3572" s="11" t="n"/>
      <c r="J3572" s="11" t="n"/>
      <c r="K3572" s="11" t="n"/>
      <c r="L3572" s="11" t="n"/>
      <c r="M3572" s="11" t="n"/>
    </row>
    <row r="3573">
      <c r="A3573" s="11" t="n"/>
      <c r="B3573" s="11" t="n"/>
      <c r="C3573" s="11" t="n"/>
      <c r="D3573" s="11" t="n"/>
      <c r="E3573" s="11" t="n"/>
      <c r="F3573" s="11" t="n"/>
      <c r="G3573" s="11" t="n"/>
      <c r="H3573" s="11" t="n"/>
      <c r="I3573" s="11" t="n"/>
      <c r="J3573" s="11" t="n"/>
      <c r="K3573" s="11" t="n"/>
      <c r="L3573" s="11" t="n"/>
      <c r="M3573" s="11" t="n"/>
    </row>
    <row r="3574">
      <c r="A3574" s="11" t="n"/>
      <c r="B3574" s="11" t="n"/>
      <c r="C3574" s="11" t="n"/>
      <c r="D3574" s="11" t="n"/>
      <c r="E3574" s="11" t="n"/>
      <c r="F3574" s="11" t="n"/>
      <c r="G3574" s="11" t="n"/>
      <c r="H3574" s="11" t="n"/>
      <c r="I3574" s="11" t="n"/>
      <c r="J3574" s="11" t="n"/>
      <c r="K3574" s="11" t="n"/>
      <c r="L3574" s="11" t="n"/>
      <c r="M3574" s="11" t="n"/>
    </row>
    <row r="3575">
      <c r="A3575" s="11" t="n"/>
      <c r="B3575" s="11" t="n"/>
      <c r="C3575" s="11" t="n"/>
      <c r="D3575" s="11" t="n"/>
      <c r="E3575" s="11" t="n"/>
      <c r="F3575" s="11" t="n"/>
      <c r="G3575" s="11" t="n"/>
      <c r="H3575" s="11" t="n"/>
      <c r="I3575" s="11" t="n"/>
      <c r="J3575" s="11" t="n"/>
      <c r="K3575" s="11" t="n"/>
      <c r="L3575" s="11" t="n"/>
      <c r="M3575" s="11" t="n"/>
    </row>
    <row r="3576">
      <c r="A3576" s="11" t="n"/>
      <c r="B3576" s="11" t="n"/>
      <c r="C3576" s="11" t="n"/>
      <c r="D3576" s="11" t="n"/>
      <c r="E3576" s="11" t="n"/>
      <c r="F3576" s="11" t="n"/>
      <c r="G3576" s="11" t="n"/>
      <c r="H3576" s="11" t="n"/>
      <c r="I3576" s="11" t="n"/>
      <c r="J3576" s="11" t="n"/>
      <c r="K3576" s="11" t="n"/>
      <c r="L3576" s="11" t="n"/>
      <c r="M3576" s="11" t="n"/>
    </row>
    <row r="3577">
      <c r="A3577" s="11" t="n"/>
      <c r="B3577" s="11" t="n"/>
      <c r="C3577" s="11" t="n"/>
      <c r="D3577" s="11" t="n"/>
      <c r="E3577" s="11" t="n"/>
      <c r="F3577" s="11" t="n"/>
      <c r="G3577" s="11" t="n"/>
      <c r="H3577" s="11" t="n"/>
      <c r="I3577" s="11" t="n"/>
      <c r="J3577" s="11" t="n"/>
      <c r="K3577" s="11" t="n"/>
      <c r="L3577" s="11" t="n"/>
      <c r="M3577" s="11" t="n"/>
    </row>
    <row r="3578">
      <c r="A3578" s="11" t="n"/>
      <c r="B3578" s="11" t="n"/>
      <c r="C3578" s="11" t="n"/>
      <c r="D3578" s="11" t="n"/>
      <c r="E3578" s="11" t="n"/>
      <c r="F3578" s="11" t="n"/>
      <c r="G3578" s="11" t="n"/>
      <c r="H3578" s="11" t="n"/>
      <c r="I3578" s="11" t="n"/>
      <c r="J3578" s="11" t="n"/>
      <c r="K3578" s="11" t="n"/>
      <c r="L3578" s="11" t="n"/>
      <c r="M3578" s="11" t="n"/>
    </row>
    <row r="3579">
      <c r="A3579" s="11" t="n"/>
      <c r="B3579" s="11" t="n"/>
      <c r="C3579" s="11" t="n"/>
      <c r="D3579" s="11" t="n"/>
      <c r="E3579" s="11" t="n"/>
      <c r="F3579" s="11" t="n"/>
      <c r="G3579" s="11" t="n"/>
      <c r="H3579" s="11" t="n"/>
      <c r="I3579" s="11" t="n"/>
      <c r="J3579" s="11" t="n"/>
      <c r="K3579" s="11" t="n"/>
      <c r="L3579" s="11" t="n"/>
      <c r="M3579" s="11" t="n"/>
    </row>
    <row r="3580">
      <c r="A3580" s="11" t="n"/>
      <c r="B3580" s="11" t="n"/>
      <c r="C3580" s="11" t="n"/>
      <c r="D3580" s="11" t="n"/>
      <c r="E3580" s="11" t="n"/>
      <c r="F3580" s="11" t="n"/>
      <c r="G3580" s="11" t="n"/>
      <c r="H3580" s="11" t="n"/>
      <c r="I3580" s="11" t="n"/>
      <c r="J3580" s="11" t="n"/>
      <c r="K3580" s="11" t="n"/>
      <c r="L3580" s="11" t="n"/>
      <c r="M3580" s="11" t="n"/>
    </row>
    <row r="3581">
      <c r="A3581" s="11" t="n"/>
      <c r="B3581" s="11" t="n"/>
      <c r="C3581" s="11" t="n"/>
      <c r="D3581" s="11" t="n"/>
      <c r="E3581" s="11" t="n"/>
      <c r="F3581" s="11" t="n"/>
      <c r="G3581" s="11" t="n"/>
      <c r="H3581" s="11" t="n"/>
      <c r="I3581" s="11" t="n"/>
      <c r="J3581" s="11" t="n"/>
      <c r="K3581" s="11" t="n"/>
      <c r="L3581" s="11" t="n"/>
      <c r="M3581" s="11" t="n"/>
    </row>
    <row r="3582">
      <c r="A3582" s="11" t="n"/>
      <c r="B3582" s="11" t="n"/>
      <c r="C3582" s="11" t="n"/>
      <c r="D3582" s="11" t="n"/>
      <c r="E3582" s="11" t="n"/>
      <c r="F3582" s="11" t="n"/>
      <c r="G3582" s="11" t="n"/>
      <c r="H3582" s="11" t="n"/>
      <c r="I3582" s="11" t="n"/>
      <c r="J3582" s="11" t="n"/>
      <c r="K3582" s="11" t="n"/>
      <c r="L3582" s="11" t="n"/>
      <c r="M3582" s="11" t="n"/>
    </row>
    <row r="3583">
      <c r="A3583" s="11" t="n"/>
      <c r="B3583" s="11" t="n"/>
      <c r="C3583" s="11" t="n"/>
      <c r="D3583" s="11" t="n"/>
      <c r="E3583" s="11" t="n"/>
      <c r="F3583" s="11" t="n"/>
      <c r="G3583" s="11" t="n"/>
      <c r="H3583" s="11" t="n"/>
      <c r="I3583" s="11" t="n"/>
      <c r="J3583" s="11" t="n"/>
      <c r="K3583" s="11" t="n"/>
      <c r="L3583" s="11" t="n"/>
      <c r="M3583" s="11" t="n"/>
    </row>
    <row r="3584">
      <c r="A3584" s="11" t="n"/>
      <c r="B3584" s="11" t="n"/>
      <c r="C3584" s="11" t="n"/>
      <c r="D3584" s="11" t="n"/>
      <c r="E3584" s="11" t="n"/>
      <c r="F3584" s="11" t="n"/>
      <c r="G3584" s="11" t="n"/>
      <c r="H3584" s="11" t="n"/>
      <c r="I3584" s="11" t="n"/>
      <c r="J3584" s="11" t="n"/>
      <c r="K3584" s="11" t="n"/>
      <c r="L3584" s="11" t="n"/>
      <c r="M3584" s="11" t="n"/>
    </row>
    <row r="3585">
      <c r="A3585" s="11" t="n"/>
      <c r="B3585" s="11" t="n"/>
      <c r="C3585" s="11" t="n"/>
      <c r="D3585" s="11" t="n"/>
      <c r="E3585" s="11" t="n"/>
      <c r="F3585" s="11" t="n"/>
      <c r="G3585" s="11" t="n"/>
      <c r="H3585" s="11" t="n"/>
      <c r="I3585" s="11" t="n"/>
      <c r="J3585" s="11" t="n"/>
      <c r="K3585" s="11" t="n"/>
      <c r="L3585" s="11" t="n"/>
      <c r="M3585" s="11" t="n"/>
    </row>
    <row r="3586">
      <c r="A3586" s="11" t="n"/>
      <c r="B3586" s="11" t="n"/>
      <c r="C3586" s="11" t="n"/>
      <c r="D3586" s="11" t="n"/>
      <c r="E3586" s="11" t="n"/>
      <c r="F3586" s="11" t="n"/>
      <c r="G3586" s="11" t="n"/>
      <c r="H3586" s="11" t="n"/>
      <c r="I3586" s="11" t="n"/>
      <c r="J3586" s="11" t="n"/>
      <c r="K3586" s="11" t="n"/>
      <c r="L3586" s="11" t="n"/>
      <c r="M3586" s="11" t="n"/>
    </row>
    <row r="3587">
      <c r="A3587" s="11" t="n"/>
      <c r="B3587" s="11" t="n"/>
      <c r="C3587" s="11" t="n"/>
      <c r="D3587" s="11" t="n"/>
      <c r="E3587" s="11" t="n"/>
      <c r="F3587" s="11" t="n"/>
      <c r="G3587" s="11" t="n"/>
      <c r="H3587" s="11" t="n"/>
      <c r="I3587" s="11" t="n"/>
      <c r="J3587" s="11" t="n"/>
      <c r="K3587" s="11" t="n"/>
      <c r="L3587" s="11" t="n"/>
      <c r="M3587" s="11" t="n"/>
    </row>
    <row r="3588">
      <c r="A3588" s="11" t="n"/>
      <c r="B3588" s="11" t="n"/>
      <c r="C3588" s="11" t="n"/>
      <c r="D3588" s="11" t="n"/>
      <c r="E3588" s="11" t="n"/>
      <c r="F3588" s="11" t="n"/>
      <c r="G3588" s="11" t="n"/>
      <c r="H3588" s="11" t="n"/>
      <c r="I3588" s="11" t="n"/>
      <c r="J3588" s="11" t="n"/>
      <c r="K3588" s="11" t="n"/>
      <c r="L3588" s="11" t="n"/>
      <c r="M3588" s="11" t="n"/>
    </row>
    <row r="3589">
      <c r="A3589" s="11" t="n"/>
      <c r="B3589" s="11" t="n"/>
      <c r="C3589" s="11" t="n"/>
      <c r="D3589" s="11" t="n"/>
      <c r="E3589" s="11" t="n"/>
      <c r="F3589" s="11" t="n"/>
      <c r="G3589" s="11" t="n"/>
      <c r="H3589" s="11" t="n"/>
      <c r="I3589" s="11" t="n"/>
      <c r="J3589" s="11" t="n"/>
      <c r="K3589" s="11" t="n"/>
      <c r="L3589" s="11" t="n"/>
      <c r="M3589" s="11" t="n"/>
    </row>
    <row r="3590">
      <c r="A3590" s="11" t="n"/>
      <c r="B3590" s="11" t="n"/>
      <c r="C3590" s="11" t="n"/>
      <c r="D3590" s="11" t="n"/>
      <c r="E3590" s="11" t="n"/>
      <c r="F3590" s="11" t="n"/>
      <c r="G3590" s="11" t="n"/>
      <c r="H3590" s="11" t="n"/>
      <c r="I3590" s="11" t="n"/>
      <c r="J3590" s="11" t="n"/>
      <c r="K3590" s="11" t="n"/>
      <c r="L3590" s="11" t="n"/>
      <c r="M3590" s="11" t="n"/>
    </row>
    <row r="3591">
      <c r="A3591" s="11" t="n"/>
      <c r="B3591" s="11" t="n"/>
      <c r="C3591" s="11" t="n"/>
      <c r="D3591" s="11" t="n"/>
      <c r="E3591" s="11" t="n"/>
      <c r="F3591" s="11" t="n"/>
      <c r="G3591" s="11" t="n"/>
      <c r="H3591" s="11" t="n"/>
      <c r="I3591" s="11" t="n"/>
      <c r="J3591" s="11" t="n"/>
      <c r="K3591" s="11" t="n"/>
      <c r="L3591" s="11" t="n"/>
      <c r="M3591" s="11" t="n"/>
    </row>
    <row r="3592">
      <c r="A3592" s="11" t="n"/>
      <c r="B3592" s="11" t="n"/>
      <c r="C3592" s="11" t="n"/>
      <c r="D3592" s="11" t="n"/>
      <c r="E3592" s="11" t="n"/>
      <c r="F3592" s="11" t="n"/>
      <c r="G3592" s="11" t="n"/>
      <c r="H3592" s="11" t="n"/>
      <c r="I3592" s="11" t="n"/>
      <c r="J3592" s="11" t="n"/>
      <c r="K3592" s="11" t="n"/>
      <c r="L3592" s="11" t="n"/>
      <c r="M3592" s="11" t="n"/>
    </row>
    <row r="3593">
      <c r="A3593" s="11" t="n"/>
      <c r="B3593" s="11" t="n"/>
      <c r="C3593" s="11" t="n"/>
      <c r="D3593" s="11" t="n"/>
      <c r="E3593" s="11" t="n"/>
      <c r="F3593" s="11" t="n"/>
      <c r="G3593" s="11" t="n"/>
      <c r="H3593" s="11" t="n"/>
      <c r="I3593" s="11" t="n"/>
      <c r="J3593" s="11" t="n"/>
      <c r="K3593" s="11" t="n"/>
      <c r="L3593" s="11" t="n"/>
      <c r="M3593" s="11" t="n"/>
    </row>
    <row r="3594">
      <c r="A3594" s="11" t="n"/>
      <c r="B3594" s="11" t="n"/>
      <c r="C3594" s="11" t="n"/>
      <c r="D3594" s="11" t="n"/>
      <c r="E3594" s="11" t="n"/>
      <c r="F3594" s="11" t="n"/>
      <c r="G3594" s="11" t="n"/>
      <c r="H3594" s="11" t="n"/>
      <c r="I3594" s="11" t="n"/>
      <c r="J3594" s="11" t="n"/>
      <c r="K3594" s="11" t="n"/>
      <c r="L3594" s="11" t="n"/>
      <c r="M3594" s="11" t="n"/>
    </row>
    <row r="3595">
      <c r="A3595" s="11" t="n"/>
      <c r="B3595" s="11" t="n"/>
      <c r="C3595" s="11" t="n"/>
      <c r="D3595" s="11" t="n"/>
      <c r="E3595" s="11" t="n"/>
      <c r="F3595" s="11" t="n"/>
      <c r="G3595" s="11" t="n"/>
      <c r="H3595" s="11" t="n"/>
      <c r="I3595" s="11" t="n"/>
      <c r="J3595" s="11" t="n"/>
      <c r="K3595" s="11" t="n"/>
      <c r="L3595" s="11" t="n"/>
      <c r="M3595" s="11" t="n"/>
    </row>
    <row r="3596">
      <c r="A3596" s="11" t="n"/>
      <c r="B3596" s="11" t="n"/>
      <c r="C3596" s="11" t="n"/>
      <c r="D3596" s="11" t="n"/>
      <c r="E3596" s="11" t="n"/>
      <c r="F3596" s="11" t="n"/>
      <c r="G3596" s="11" t="n"/>
      <c r="H3596" s="11" t="n"/>
      <c r="I3596" s="11" t="n"/>
      <c r="J3596" s="11" t="n"/>
      <c r="K3596" s="11" t="n"/>
      <c r="L3596" s="11" t="n"/>
      <c r="M3596" s="11" t="n"/>
    </row>
    <row r="3597">
      <c r="A3597" s="11" t="n"/>
      <c r="B3597" s="11" t="n"/>
      <c r="C3597" s="11" t="n"/>
      <c r="D3597" s="11" t="n"/>
      <c r="E3597" s="11" t="n"/>
      <c r="F3597" s="11" t="n"/>
      <c r="G3597" s="11" t="n"/>
      <c r="H3597" s="11" t="n"/>
      <c r="I3597" s="11" t="n"/>
      <c r="J3597" s="11" t="n"/>
      <c r="K3597" s="11" t="n"/>
      <c r="L3597" s="11" t="n"/>
      <c r="M3597" s="11" t="n"/>
    </row>
    <row r="3598">
      <c r="A3598" s="11" t="n"/>
      <c r="B3598" s="11" t="n"/>
      <c r="C3598" s="11" t="n"/>
      <c r="D3598" s="11" t="n"/>
      <c r="E3598" s="11" t="n"/>
      <c r="F3598" s="11" t="n"/>
      <c r="G3598" s="11" t="n"/>
      <c r="H3598" s="11" t="n"/>
      <c r="I3598" s="11" t="n"/>
      <c r="J3598" s="11" t="n"/>
      <c r="K3598" s="11" t="n"/>
      <c r="L3598" s="11" t="n"/>
      <c r="M3598" s="11" t="n"/>
    </row>
    <row r="3599">
      <c r="A3599" s="11" t="n"/>
      <c r="B3599" s="11" t="n"/>
      <c r="C3599" s="11" t="n"/>
      <c r="D3599" s="11" t="n"/>
      <c r="E3599" s="11" t="n"/>
      <c r="F3599" s="11" t="n"/>
      <c r="G3599" s="11" t="n"/>
      <c r="H3599" s="11" t="n"/>
      <c r="I3599" s="11" t="n"/>
      <c r="J3599" s="11" t="n"/>
      <c r="K3599" s="11" t="n"/>
      <c r="L3599" s="11" t="n"/>
      <c r="M3599" s="11" t="n"/>
    </row>
    <row r="3600">
      <c r="A3600" s="11" t="n"/>
      <c r="B3600" s="11" t="n"/>
      <c r="C3600" s="11" t="n"/>
      <c r="D3600" s="11" t="n"/>
      <c r="E3600" s="11" t="n"/>
      <c r="F3600" s="11" t="n"/>
      <c r="G3600" s="11" t="n"/>
      <c r="H3600" s="11" t="n"/>
      <c r="I3600" s="11" t="n"/>
      <c r="J3600" s="11" t="n"/>
      <c r="K3600" s="11" t="n"/>
      <c r="L3600" s="11" t="n"/>
      <c r="M3600" s="11" t="n"/>
    </row>
    <row r="3601">
      <c r="A3601" s="11" t="n"/>
      <c r="B3601" s="11" t="n"/>
      <c r="C3601" s="11" t="n"/>
      <c r="D3601" s="11" t="n"/>
      <c r="E3601" s="11" t="n"/>
      <c r="F3601" s="11" t="n"/>
      <c r="G3601" s="11" t="n"/>
      <c r="H3601" s="11" t="n"/>
      <c r="I3601" s="11" t="n"/>
      <c r="J3601" s="11" t="n"/>
      <c r="K3601" s="11" t="n"/>
      <c r="L3601" s="11" t="n"/>
      <c r="M3601" s="11" t="n"/>
    </row>
    <row r="3602">
      <c r="A3602" s="11" t="n"/>
      <c r="B3602" s="11" t="n"/>
      <c r="C3602" s="11" t="n"/>
      <c r="D3602" s="11" t="n"/>
      <c r="E3602" s="11" t="n"/>
      <c r="F3602" s="11" t="n"/>
      <c r="G3602" s="11" t="n"/>
      <c r="H3602" s="11" t="n"/>
      <c r="I3602" s="11" t="n"/>
      <c r="J3602" s="11" t="n"/>
      <c r="K3602" s="11" t="n"/>
      <c r="L3602" s="11" t="n"/>
      <c r="M3602" s="11" t="n"/>
    </row>
    <row r="3603">
      <c r="A3603" s="11" t="n"/>
      <c r="B3603" s="11" t="n"/>
      <c r="C3603" s="11" t="n"/>
      <c r="D3603" s="11" t="n"/>
      <c r="E3603" s="11" t="n"/>
      <c r="F3603" s="11" t="n"/>
      <c r="G3603" s="11" t="n"/>
      <c r="H3603" s="11" t="n"/>
      <c r="I3603" s="11" t="n"/>
      <c r="J3603" s="11" t="n"/>
      <c r="K3603" s="11" t="n"/>
      <c r="L3603" s="11" t="n"/>
      <c r="M3603" s="11" t="n"/>
    </row>
    <row r="3604">
      <c r="A3604" s="11" t="n"/>
      <c r="B3604" s="11" t="n"/>
      <c r="C3604" s="11" t="n"/>
      <c r="D3604" s="11" t="n"/>
      <c r="E3604" s="11" t="n"/>
      <c r="F3604" s="11" t="n"/>
      <c r="G3604" s="11" t="n"/>
      <c r="H3604" s="11" t="n"/>
      <c r="I3604" s="11" t="n"/>
      <c r="J3604" s="11" t="n"/>
      <c r="K3604" s="11" t="n"/>
      <c r="L3604" s="11" t="n"/>
      <c r="M3604" s="11" t="n"/>
    </row>
    <row r="3605">
      <c r="A3605" s="11" t="n"/>
      <c r="B3605" s="11" t="n"/>
      <c r="C3605" s="11" t="n"/>
      <c r="D3605" s="11" t="n"/>
      <c r="E3605" s="11" t="n"/>
      <c r="F3605" s="11" t="n"/>
      <c r="G3605" s="11" t="n"/>
      <c r="H3605" s="11" t="n"/>
      <c r="I3605" s="11" t="n"/>
      <c r="J3605" s="11" t="n"/>
      <c r="K3605" s="11" t="n"/>
      <c r="L3605" s="11" t="n"/>
      <c r="M3605" s="11" t="n"/>
    </row>
    <row r="3606">
      <c r="A3606" s="11" t="n"/>
      <c r="B3606" s="11" t="n"/>
      <c r="C3606" s="11" t="n"/>
      <c r="D3606" s="11" t="n"/>
      <c r="E3606" s="11" t="n"/>
      <c r="F3606" s="11" t="n"/>
      <c r="G3606" s="11" t="n"/>
      <c r="H3606" s="11" t="n"/>
      <c r="I3606" s="11" t="n"/>
      <c r="J3606" s="11" t="n"/>
      <c r="K3606" s="11" t="n"/>
      <c r="L3606" s="11" t="n"/>
      <c r="M3606" s="11" t="n"/>
    </row>
    <row r="3607">
      <c r="A3607" s="11" t="n"/>
      <c r="B3607" s="11" t="n"/>
      <c r="C3607" s="11" t="n"/>
      <c r="D3607" s="11" t="n"/>
      <c r="E3607" s="11" t="n"/>
      <c r="F3607" s="11" t="n"/>
      <c r="G3607" s="11" t="n"/>
      <c r="H3607" s="11" t="n"/>
      <c r="I3607" s="11" t="n"/>
      <c r="J3607" s="11" t="n"/>
      <c r="K3607" s="11" t="n"/>
      <c r="L3607" s="11" t="n"/>
      <c r="M3607" s="11" t="n"/>
    </row>
    <row r="3608">
      <c r="A3608" s="11" t="n"/>
      <c r="B3608" s="11" t="n"/>
      <c r="C3608" s="11" t="n"/>
      <c r="D3608" s="11" t="n"/>
      <c r="E3608" s="11" t="n"/>
      <c r="F3608" s="11" t="n"/>
      <c r="G3608" s="11" t="n"/>
      <c r="H3608" s="11" t="n"/>
      <c r="I3608" s="11" t="n"/>
      <c r="J3608" s="11" t="n"/>
      <c r="K3608" s="11" t="n"/>
      <c r="L3608" s="11" t="n"/>
      <c r="M3608" s="11" t="n"/>
    </row>
    <row r="3609">
      <c r="A3609" s="11" t="n"/>
      <c r="B3609" s="11" t="n"/>
      <c r="C3609" s="11" t="n"/>
      <c r="D3609" s="11" t="n"/>
      <c r="E3609" s="11" t="n"/>
      <c r="F3609" s="11" t="n"/>
      <c r="G3609" s="11" t="n"/>
      <c r="H3609" s="11" t="n"/>
      <c r="I3609" s="11" t="n"/>
      <c r="J3609" s="11" t="n"/>
      <c r="K3609" s="11" t="n"/>
      <c r="L3609" s="11" t="n"/>
      <c r="M3609" s="11" t="n"/>
    </row>
    <row r="3610">
      <c r="A3610" s="11" t="n"/>
      <c r="B3610" s="11" t="n"/>
      <c r="C3610" s="11" t="n"/>
      <c r="D3610" s="11" t="n"/>
      <c r="E3610" s="11" t="n"/>
      <c r="F3610" s="11" t="n"/>
      <c r="G3610" s="11" t="n"/>
      <c r="H3610" s="11" t="n"/>
      <c r="I3610" s="11" t="n"/>
      <c r="J3610" s="11" t="n"/>
      <c r="K3610" s="11" t="n"/>
      <c r="L3610" s="11" t="n"/>
      <c r="M3610" s="11" t="n"/>
    </row>
    <row r="3611">
      <c r="A3611" s="11" t="n"/>
      <c r="B3611" s="11" t="n"/>
      <c r="C3611" s="11" t="n"/>
      <c r="D3611" s="11" t="n"/>
      <c r="E3611" s="11" t="n"/>
      <c r="F3611" s="11" t="n"/>
      <c r="G3611" s="11" t="n"/>
      <c r="H3611" s="11" t="n"/>
      <c r="I3611" s="11" t="n"/>
      <c r="J3611" s="11" t="n"/>
      <c r="K3611" s="11" t="n"/>
      <c r="L3611" s="11" t="n"/>
      <c r="M3611" s="11" t="n"/>
    </row>
    <row r="3612">
      <c r="A3612" s="11" t="n"/>
      <c r="B3612" s="11" t="n"/>
      <c r="C3612" s="11" t="n"/>
      <c r="D3612" s="11" t="n"/>
      <c r="E3612" s="11" t="n"/>
      <c r="F3612" s="11" t="n"/>
      <c r="G3612" s="11" t="n"/>
      <c r="H3612" s="11" t="n"/>
      <c r="I3612" s="11" t="n"/>
      <c r="J3612" s="11" t="n"/>
      <c r="K3612" s="11" t="n"/>
      <c r="L3612" s="11" t="n"/>
      <c r="M3612" s="11" t="n"/>
    </row>
    <row r="3613">
      <c r="A3613" s="11" t="n"/>
      <c r="B3613" s="11" t="n"/>
      <c r="C3613" s="11" t="n"/>
      <c r="D3613" s="11" t="n"/>
      <c r="E3613" s="11" t="n"/>
      <c r="F3613" s="11" t="n"/>
      <c r="G3613" s="11" t="n"/>
      <c r="H3613" s="11" t="n"/>
      <c r="I3613" s="11" t="n"/>
      <c r="J3613" s="11" t="n"/>
      <c r="K3613" s="11" t="n"/>
      <c r="L3613" s="11" t="n"/>
      <c r="M3613" s="11" t="n"/>
    </row>
    <row r="3614">
      <c r="A3614" s="11" t="n"/>
      <c r="B3614" s="11" t="n"/>
      <c r="C3614" s="11" t="n"/>
      <c r="D3614" s="11" t="n"/>
      <c r="E3614" s="11" t="n"/>
      <c r="F3614" s="11" t="n"/>
      <c r="G3614" s="11" t="n"/>
      <c r="H3614" s="11" t="n"/>
      <c r="I3614" s="11" t="n"/>
      <c r="J3614" s="11" t="n"/>
      <c r="K3614" s="11" t="n"/>
      <c r="L3614" s="11" t="n"/>
      <c r="M3614" s="11" t="n"/>
    </row>
    <row r="3615">
      <c r="A3615" s="11" t="n"/>
      <c r="B3615" s="11" t="n"/>
      <c r="C3615" s="11" t="n"/>
      <c r="D3615" s="11" t="n"/>
      <c r="E3615" s="11" t="n"/>
      <c r="F3615" s="11" t="n"/>
      <c r="G3615" s="11" t="n"/>
      <c r="H3615" s="11" t="n"/>
      <c r="I3615" s="11" t="n"/>
      <c r="J3615" s="11" t="n"/>
      <c r="K3615" s="11" t="n"/>
      <c r="L3615" s="11" t="n"/>
      <c r="M3615" s="11" t="n"/>
    </row>
    <row r="3616">
      <c r="A3616" s="11" t="n"/>
      <c r="B3616" s="11" t="n"/>
      <c r="C3616" s="11" t="n"/>
      <c r="D3616" s="11" t="n"/>
      <c r="E3616" s="11" t="n"/>
      <c r="F3616" s="11" t="n"/>
      <c r="G3616" s="11" t="n"/>
      <c r="H3616" s="11" t="n"/>
      <c r="I3616" s="11" t="n"/>
      <c r="J3616" s="11" t="n"/>
      <c r="K3616" s="11" t="n"/>
      <c r="L3616" s="11" t="n"/>
      <c r="M3616" s="11" t="n"/>
    </row>
    <row r="3617">
      <c r="A3617" s="11" t="n"/>
      <c r="B3617" s="11" t="n"/>
      <c r="C3617" s="11" t="n"/>
      <c r="D3617" s="11" t="n"/>
      <c r="E3617" s="11" t="n"/>
      <c r="F3617" s="11" t="n"/>
      <c r="G3617" s="11" t="n"/>
      <c r="H3617" s="11" t="n"/>
      <c r="I3617" s="11" t="n"/>
      <c r="J3617" s="11" t="n"/>
      <c r="K3617" s="11" t="n"/>
      <c r="L3617" s="11" t="n"/>
      <c r="M3617" s="11" t="n"/>
    </row>
    <row r="3618">
      <c r="A3618" s="11" t="n"/>
      <c r="B3618" s="11" t="n"/>
      <c r="C3618" s="11" t="n"/>
      <c r="D3618" s="11" t="n"/>
      <c r="E3618" s="11" t="n"/>
      <c r="F3618" s="11" t="n"/>
      <c r="G3618" s="11" t="n"/>
      <c r="H3618" s="11" t="n"/>
      <c r="I3618" s="11" t="n"/>
      <c r="J3618" s="11" t="n"/>
      <c r="K3618" s="11" t="n"/>
      <c r="L3618" s="11" t="n"/>
      <c r="M3618" s="11" t="n"/>
    </row>
    <row r="3619">
      <c r="A3619" s="11" t="n"/>
      <c r="B3619" s="11" t="n"/>
      <c r="C3619" s="11" t="n"/>
      <c r="D3619" s="11" t="n"/>
      <c r="E3619" s="11" t="n"/>
      <c r="F3619" s="11" t="n"/>
      <c r="G3619" s="11" t="n"/>
      <c r="H3619" s="11" t="n"/>
      <c r="I3619" s="11" t="n"/>
      <c r="J3619" s="11" t="n"/>
      <c r="K3619" s="11" t="n"/>
      <c r="L3619" s="11" t="n"/>
      <c r="M3619" s="11" t="n"/>
    </row>
    <row r="3620">
      <c r="A3620" s="11" t="n"/>
      <c r="B3620" s="11" t="n"/>
      <c r="C3620" s="11" t="n"/>
      <c r="D3620" s="11" t="n"/>
      <c r="E3620" s="11" t="n"/>
      <c r="F3620" s="11" t="n"/>
      <c r="G3620" s="11" t="n"/>
      <c r="H3620" s="11" t="n"/>
      <c r="I3620" s="11" t="n"/>
      <c r="J3620" s="11" t="n"/>
      <c r="K3620" s="11" t="n"/>
      <c r="L3620" s="11" t="n"/>
      <c r="M3620" s="11" t="n"/>
    </row>
    <row r="3621">
      <c r="A3621" s="11" t="n"/>
      <c r="B3621" s="11" t="n"/>
      <c r="C3621" s="11" t="n"/>
      <c r="D3621" s="11" t="n"/>
      <c r="E3621" s="11" t="n"/>
      <c r="F3621" s="11" t="n"/>
      <c r="G3621" s="11" t="n"/>
      <c r="H3621" s="11" t="n"/>
      <c r="I3621" s="11" t="n"/>
      <c r="J3621" s="11" t="n"/>
      <c r="K3621" s="11" t="n"/>
      <c r="L3621" s="11" t="n"/>
      <c r="M3621" s="11" t="n"/>
    </row>
    <row r="3622">
      <c r="A3622" s="11" t="n"/>
      <c r="B3622" s="11" t="n"/>
      <c r="C3622" s="11" t="n"/>
      <c r="D3622" s="11" t="n"/>
      <c r="E3622" s="11" t="n"/>
      <c r="F3622" s="11" t="n"/>
      <c r="G3622" s="11" t="n"/>
      <c r="H3622" s="11" t="n"/>
      <c r="I3622" s="11" t="n"/>
      <c r="J3622" s="11" t="n"/>
      <c r="K3622" s="11" t="n"/>
      <c r="L3622" s="11" t="n"/>
      <c r="M3622" s="11" t="n"/>
    </row>
    <row r="3623">
      <c r="A3623" s="11" t="n"/>
      <c r="B3623" s="11" t="n"/>
      <c r="C3623" s="11" t="n"/>
      <c r="D3623" s="11" t="n"/>
      <c r="E3623" s="11" t="n"/>
      <c r="F3623" s="11" t="n"/>
      <c r="G3623" s="11" t="n"/>
      <c r="H3623" s="11" t="n"/>
      <c r="I3623" s="11" t="n"/>
      <c r="J3623" s="11" t="n"/>
      <c r="K3623" s="11" t="n"/>
      <c r="L3623" s="11" t="n"/>
      <c r="M3623" s="11" t="n"/>
    </row>
    <row r="3624">
      <c r="A3624" s="11" t="n"/>
      <c r="B3624" s="11" t="n"/>
      <c r="C3624" s="11" t="n"/>
      <c r="D3624" s="11" t="n"/>
      <c r="E3624" s="11" t="n"/>
      <c r="F3624" s="11" t="n"/>
      <c r="G3624" s="11" t="n"/>
      <c r="H3624" s="11" t="n"/>
      <c r="I3624" s="11" t="n"/>
      <c r="J3624" s="11" t="n"/>
      <c r="K3624" s="11" t="n"/>
      <c r="L3624" s="11" t="n"/>
      <c r="M3624" s="11" t="n"/>
    </row>
    <row r="3625">
      <c r="A3625" s="11" t="n"/>
      <c r="B3625" s="11" t="n"/>
      <c r="C3625" s="11" t="n"/>
      <c r="D3625" s="11" t="n"/>
      <c r="E3625" s="11" t="n"/>
      <c r="F3625" s="11" t="n"/>
      <c r="G3625" s="11" t="n"/>
      <c r="H3625" s="11" t="n"/>
      <c r="I3625" s="11" t="n"/>
      <c r="J3625" s="11" t="n"/>
      <c r="K3625" s="11" t="n"/>
      <c r="L3625" s="11" t="n"/>
      <c r="M3625" s="11" t="n"/>
    </row>
    <row r="3626">
      <c r="A3626" s="11" t="n"/>
      <c r="B3626" s="11" t="n"/>
      <c r="C3626" s="11" t="n"/>
      <c r="D3626" s="11" t="n"/>
      <c r="E3626" s="11" t="n"/>
      <c r="F3626" s="11" t="n"/>
      <c r="G3626" s="11" t="n"/>
      <c r="H3626" s="11" t="n"/>
      <c r="I3626" s="11" t="n"/>
      <c r="J3626" s="11" t="n"/>
      <c r="K3626" s="11" t="n"/>
      <c r="L3626" s="11" t="n"/>
      <c r="M3626" s="11" t="n"/>
    </row>
    <row r="3627">
      <c r="A3627" s="11" t="n"/>
      <c r="B3627" s="11" t="n"/>
      <c r="C3627" s="11" t="n"/>
      <c r="D3627" s="11" t="n"/>
      <c r="E3627" s="11" t="n"/>
      <c r="F3627" s="11" t="n"/>
      <c r="G3627" s="11" t="n"/>
      <c r="H3627" s="11" t="n"/>
      <c r="I3627" s="11" t="n"/>
      <c r="J3627" s="11" t="n"/>
      <c r="K3627" s="11" t="n"/>
      <c r="L3627" s="11" t="n"/>
      <c r="M3627" s="11" t="n"/>
    </row>
    <row r="3628">
      <c r="A3628" s="11" t="n"/>
      <c r="B3628" s="11" t="n"/>
      <c r="C3628" s="11" t="n"/>
      <c r="D3628" s="11" t="n"/>
      <c r="E3628" s="11" t="n"/>
      <c r="F3628" s="11" t="n"/>
      <c r="G3628" s="11" t="n"/>
      <c r="H3628" s="11" t="n"/>
      <c r="I3628" s="11" t="n"/>
      <c r="J3628" s="11" t="n"/>
      <c r="K3628" s="11" t="n"/>
      <c r="L3628" s="11" t="n"/>
      <c r="M3628" s="11" t="n"/>
    </row>
    <row r="3629">
      <c r="A3629" s="11" t="n"/>
      <c r="B3629" s="11" t="n"/>
      <c r="C3629" s="11" t="n"/>
      <c r="D3629" s="11" t="n"/>
      <c r="E3629" s="11" t="n"/>
      <c r="F3629" s="11" t="n"/>
      <c r="G3629" s="11" t="n"/>
      <c r="H3629" s="11" t="n"/>
      <c r="I3629" s="11" t="n"/>
      <c r="J3629" s="11" t="n"/>
      <c r="K3629" s="11" t="n"/>
      <c r="L3629" s="11" t="n"/>
      <c r="M3629" s="11" t="n"/>
    </row>
    <row r="3630">
      <c r="A3630" s="11" t="n"/>
      <c r="B3630" s="11" t="n"/>
      <c r="C3630" s="11" t="n"/>
      <c r="D3630" s="11" t="n"/>
      <c r="E3630" s="11" t="n"/>
      <c r="F3630" s="11" t="n"/>
      <c r="G3630" s="11" t="n"/>
      <c r="H3630" s="11" t="n"/>
      <c r="I3630" s="11" t="n"/>
      <c r="J3630" s="11" t="n"/>
      <c r="K3630" s="11" t="n"/>
      <c r="L3630" s="11" t="n"/>
      <c r="M3630" s="11" t="n"/>
    </row>
    <row r="3631">
      <c r="A3631" s="11" t="n"/>
      <c r="B3631" s="11" t="n"/>
      <c r="C3631" s="11" t="n"/>
      <c r="D3631" s="11" t="n"/>
      <c r="E3631" s="11" t="n"/>
      <c r="F3631" s="11" t="n"/>
      <c r="G3631" s="11" t="n"/>
      <c r="H3631" s="11" t="n"/>
      <c r="I3631" s="11" t="n"/>
      <c r="J3631" s="11" t="n"/>
      <c r="K3631" s="11" t="n"/>
      <c r="L3631" s="11" t="n"/>
      <c r="M3631" s="11" t="n"/>
    </row>
    <row r="3632">
      <c r="A3632" s="11" t="n"/>
      <c r="B3632" s="11" t="n"/>
      <c r="C3632" s="11" t="n"/>
      <c r="D3632" s="11" t="n"/>
      <c r="E3632" s="11" t="n"/>
      <c r="F3632" s="11" t="n"/>
      <c r="G3632" s="11" t="n"/>
      <c r="H3632" s="11" t="n"/>
      <c r="I3632" s="11" t="n"/>
      <c r="J3632" s="11" t="n"/>
      <c r="K3632" s="11" t="n"/>
      <c r="L3632" s="11" t="n"/>
      <c r="M3632" s="11" t="n"/>
    </row>
    <row r="3633">
      <c r="A3633" s="11" t="n"/>
      <c r="B3633" s="11" t="n"/>
      <c r="C3633" s="11" t="n"/>
      <c r="D3633" s="11" t="n"/>
      <c r="E3633" s="11" t="n"/>
      <c r="F3633" s="11" t="n"/>
      <c r="G3633" s="11" t="n"/>
      <c r="H3633" s="11" t="n"/>
      <c r="I3633" s="11" t="n"/>
      <c r="J3633" s="11" t="n"/>
      <c r="K3633" s="11" t="n"/>
      <c r="L3633" s="11" t="n"/>
      <c r="M3633" s="11" t="n"/>
    </row>
    <row r="3634">
      <c r="A3634" s="11" t="n"/>
      <c r="B3634" s="11" t="n"/>
      <c r="C3634" s="11" t="n"/>
      <c r="D3634" s="11" t="n"/>
      <c r="E3634" s="11" t="n"/>
      <c r="F3634" s="11" t="n"/>
      <c r="G3634" s="11" t="n"/>
      <c r="H3634" s="11" t="n"/>
      <c r="I3634" s="11" t="n"/>
      <c r="J3634" s="11" t="n"/>
      <c r="K3634" s="11" t="n"/>
      <c r="L3634" s="11" t="n"/>
      <c r="M3634" s="11" t="n"/>
    </row>
    <row r="3635">
      <c r="A3635" s="11" t="n"/>
      <c r="B3635" s="11" t="n"/>
      <c r="C3635" s="11" t="n"/>
      <c r="D3635" s="11" t="n"/>
      <c r="E3635" s="11" t="n"/>
      <c r="F3635" s="11" t="n"/>
      <c r="G3635" s="11" t="n"/>
      <c r="H3635" s="11" t="n"/>
      <c r="I3635" s="11" t="n"/>
      <c r="J3635" s="11" t="n"/>
      <c r="K3635" s="11" t="n"/>
      <c r="L3635" s="11" t="n"/>
      <c r="M3635" s="11" t="n"/>
    </row>
    <row r="3636">
      <c r="A3636" s="11" t="n"/>
      <c r="B3636" s="11" t="n"/>
      <c r="C3636" s="11" t="n"/>
      <c r="D3636" s="11" t="n"/>
      <c r="E3636" s="11" t="n"/>
      <c r="F3636" s="11" t="n"/>
      <c r="G3636" s="11" t="n"/>
      <c r="H3636" s="11" t="n"/>
      <c r="I3636" s="11" t="n"/>
      <c r="J3636" s="11" t="n"/>
      <c r="K3636" s="11" t="n"/>
      <c r="L3636" s="11" t="n"/>
      <c r="M3636" s="11" t="n"/>
    </row>
    <row r="3637">
      <c r="A3637" s="11" t="n"/>
      <c r="B3637" s="11" t="n"/>
      <c r="C3637" s="11" t="n"/>
      <c r="D3637" s="11" t="n"/>
      <c r="E3637" s="11" t="n"/>
      <c r="F3637" s="11" t="n"/>
      <c r="G3637" s="11" t="n"/>
      <c r="H3637" s="11" t="n"/>
      <c r="I3637" s="11" t="n"/>
      <c r="J3637" s="11" t="n"/>
      <c r="K3637" s="11" t="n"/>
      <c r="L3637" s="11" t="n"/>
      <c r="M3637" s="11" t="n"/>
    </row>
    <row r="3638">
      <c r="A3638" s="11" t="n"/>
      <c r="B3638" s="11" t="n"/>
      <c r="C3638" s="11" t="n"/>
      <c r="D3638" s="11" t="n"/>
      <c r="E3638" s="11" t="n"/>
      <c r="F3638" s="11" t="n"/>
      <c r="G3638" s="11" t="n"/>
      <c r="H3638" s="11" t="n"/>
      <c r="I3638" s="11" t="n"/>
      <c r="J3638" s="11" t="n"/>
      <c r="K3638" s="11" t="n"/>
      <c r="L3638" s="11" t="n"/>
      <c r="M3638" s="11" t="n"/>
    </row>
    <row r="3639">
      <c r="A3639" s="11" t="n"/>
      <c r="B3639" s="11" t="n"/>
      <c r="C3639" s="11" t="n"/>
      <c r="D3639" s="11" t="n"/>
      <c r="E3639" s="11" t="n"/>
      <c r="F3639" s="11" t="n"/>
      <c r="G3639" s="11" t="n"/>
      <c r="H3639" s="11" t="n"/>
      <c r="I3639" s="11" t="n"/>
      <c r="J3639" s="11" t="n"/>
      <c r="K3639" s="11" t="n"/>
      <c r="L3639" s="11" t="n"/>
      <c r="M3639" s="11" t="n"/>
    </row>
    <row r="3640">
      <c r="A3640" s="11" t="n"/>
      <c r="B3640" s="11" t="n"/>
      <c r="C3640" s="11" t="n"/>
      <c r="D3640" s="11" t="n"/>
      <c r="E3640" s="11" t="n"/>
      <c r="F3640" s="11" t="n"/>
      <c r="G3640" s="11" t="n"/>
      <c r="H3640" s="11" t="n"/>
      <c r="I3640" s="11" t="n"/>
      <c r="J3640" s="11" t="n"/>
      <c r="K3640" s="11" t="n"/>
      <c r="L3640" s="11" t="n"/>
      <c r="M3640" s="11" t="n"/>
    </row>
    <row r="3641">
      <c r="A3641" s="11" t="n"/>
      <c r="B3641" s="11" t="n"/>
      <c r="C3641" s="11" t="n"/>
      <c r="D3641" s="11" t="n"/>
      <c r="E3641" s="11" t="n"/>
      <c r="F3641" s="11" t="n"/>
      <c r="G3641" s="11" t="n"/>
      <c r="H3641" s="11" t="n"/>
      <c r="I3641" s="11" t="n"/>
      <c r="J3641" s="11" t="n"/>
      <c r="K3641" s="11" t="n"/>
      <c r="L3641" s="11" t="n"/>
      <c r="M3641" s="11" t="n"/>
    </row>
    <row r="3642">
      <c r="A3642" s="11" t="n"/>
      <c r="B3642" s="11" t="n"/>
      <c r="C3642" s="11" t="n"/>
      <c r="D3642" s="11" t="n"/>
      <c r="E3642" s="11" t="n"/>
      <c r="F3642" s="11" t="n"/>
      <c r="G3642" s="11" t="n"/>
      <c r="H3642" s="11" t="n"/>
      <c r="I3642" s="11" t="n"/>
      <c r="J3642" s="11" t="n"/>
      <c r="K3642" s="11" t="n"/>
      <c r="L3642" s="11" t="n"/>
      <c r="M3642" s="11" t="n"/>
    </row>
    <row r="3643">
      <c r="A3643" s="11" t="n"/>
      <c r="B3643" s="11" t="n"/>
      <c r="C3643" s="11" t="n"/>
      <c r="D3643" s="11" t="n"/>
      <c r="E3643" s="11" t="n"/>
      <c r="F3643" s="11" t="n"/>
      <c r="G3643" s="11" t="n"/>
      <c r="H3643" s="11" t="n"/>
      <c r="I3643" s="11" t="n"/>
      <c r="J3643" s="11" t="n"/>
      <c r="K3643" s="11" t="n"/>
      <c r="L3643" s="11" t="n"/>
      <c r="M3643" s="11" t="n"/>
    </row>
    <row r="3644">
      <c r="A3644" s="11" t="n"/>
      <c r="B3644" s="11" t="n"/>
      <c r="C3644" s="11" t="n"/>
      <c r="D3644" s="11" t="n"/>
      <c r="E3644" s="11" t="n"/>
      <c r="F3644" s="11" t="n"/>
      <c r="G3644" s="11" t="n"/>
      <c r="H3644" s="11" t="n"/>
      <c r="I3644" s="11" t="n"/>
      <c r="J3644" s="11" t="n"/>
      <c r="K3644" s="11" t="n"/>
      <c r="L3644" s="11" t="n"/>
      <c r="M3644" s="11" t="n"/>
    </row>
    <row r="3645">
      <c r="A3645" s="11" t="n"/>
      <c r="B3645" s="11" t="n"/>
      <c r="C3645" s="11" t="n"/>
      <c r="D3645" s="11" t="n"/>
      <c r="E3645" s="11" t="n"/>
      <c r="F3645" s="11" t="n"/>
      <c r="G3645" s="11" t="n"/>
      <c r="H3645" s="11" t="n"/>
      <c r="I3645" s="11" t="n"/>
      <c r="J3645" s="11" t="n"/>
      <c r="K3645" s="11" t="n"/>
      <c r="L3645" s="11" t="n"/>
      <c r="M3645" s="11" t="n"/>
    </row>
    <row r="3646">
      <c r="A3646" s="11" t="n"/>
      <c r="B3646" s="11" t="n"/>
      <c r="C3646" s="11" t="n"/>
      <c r="D3646" s="11" t="n"/>
      <c r="E3646" s="11" t="n"/>
      <c r="F3646" s="11" t="n"/>
      <c r="G3646" s="11" t="n"/>
      <c r="H3646" s="11" t="n"/>
      <c r="I3646" s="11" t="n"/>
      <c r="J3646" s="11" t="n"/>
      <c r="K3646" s="11" t="n"/>
      <c r="L3646" s="11" t="n"/>
      <c r="M3646" s="11" t="n"/>
    </row>
    <row r="3647">
      <c r="A3647" s="11" t="n"/>
      <c r="B3647" s="11" t="n"/>
      <c r="C3647" s="11" t="n"/>
      <c r="D3647" s="11" t="n"/>
      <c r="E3647" s="11" t="n"/>
      <c r="F3647" s="11" t="n"/>
      <c r="G3647" s="11" t="n"/>
      <c r="H3647" s="11" t="n"/>
      <c r="I3647" s="11" t="n"/>
      <c r="J3647" s="11" t="n"/>
      <c r="K3647" s="11" t="n"/>
      <c r="L3647" s="11" t="n"/>
      <c r="M3647" s="11" t="n"/>
    </row>
    <row r="3648">
      <c r="A3648" s="11" t="n"/>
      <c r="B3648" s="11" t="n"/>
      <c r="C3648" s="11" t="n"/>
      <c r="D3648" s="11" t="n"/>
      <c r="E3648" s="11" t="n"/>
      <c r="F3648" s="11" t="n"/>
      <c r="G3648" s="11" t="n"/>
      <c r="H3648" s="11" t="n"/>
      <c r="I3648" s="11" t="n"/>
      <c r="J3648" s="11" t="n"/>
      <c r="K3648" s="11" t="n"/>
      <c r="L3648" s="11" t="n"/>
      <c r="M3648" s="11" t="n"/>
    </row>
    <row r="3649">
      <c r="A3649" s="11" t="n"/>
      <c r="B3649" s="11" t="n"/>
      <c r="C3649" s="11" t="n"/>
      <c r="D3649" s="11" t="n"/>
      <c r="E3649" s="11" t="n"/>
      <c r="F3649" s="11" t="n"/>
      <c r="G3649" s="11" t="n"/>
      <c r="H3649" s="11" t="n"/>
      <c r="I3649" s="11" t="n"/>
      <c r="J3649" s="11" t="n"/>
      <c r="K3649" s="11" t="n"/>
      <c r="L3649" s="11" t="n"/>
      <c r="M3649" s="11" t="n"/>
    </row>
    <row r="3650">
      <c r="A3650" s="11" t="n"/>
      <c r="B3650" s="11" t="n"/>
      <c r="C3650" s="11" t="n"/>
      <c r="D3650" s="11" t="n"/>
      <c r="E3650" s="11" t="n"/>
      <c r="F3650" s="11" t="n"/>
      <c r="G3650" s="11" t="n"/>
      <c r="H3650" s="11" t="n"/>
      <c r="I3650" s="11" t="n"/>
      <c r="J3650" s="11" t="n"/>
      <c r="K3650" s="11" t="n"/>
      <c r="L3650" s="11" t="n"/>
      <c r="M3650" s="11" t="n"/>
    </row>
    <row r="3651">
      <c r="A3651" s="11" t="n"/>
      <c r="B3651" s="11" t="n"/>
      <c r="C3651" s="11" t="n"/>
      <c r="D3651" s="11" t="n"/>
      <c r="E3651" s="11" t="n"/>
      <c r="F3651" s="11" t="n"/>
      <c r="G3651" s="11" t="n"/>
      <c r="H3651" s="11" t="n"/>
      <c r="I3651" s="11" t="n"/>
      <c r="J3651" s="11" t="n"/>
      <c r="K3651" s="11" t="n"/>
      <c r="L3651" s="11" t="n"/>
      <c r="M3651" s="11" t="n"/>
    </row>
    <row r="3652">
      <c r="A3652" s="11" t="n"/>
      <c r="B3652" s="11" t="n"/>
      <c r="C3652" s="11" t="n"/>
      <c r="D3652" s="11" t="n"/>
      <c r="E3652" s="11" t="n"/>
      <c r="F3652" s="11" t="n"/>
      <c r="G3652" s="11" t="n"/>
      <c r="H3652" s="11" t="n"/>
      <c r="I3652" s="11" t="n"/>
      <c r="J3652" s="11" t="n"/>
      <c r="K3652" s="11" t="n"/>
      <c r="L3652" s="11" t="n"/>
      <c r="M3652" s="11" t="n"/>
    </row>
    <row r="3653">
      <c r="A3653" s="11" t="n"/>
      <c r="B3653" s="11" t="n"/>
      <c r="C3653" s="11" t="n"/>
      <c r="D3653" s="11" t="n"/>
      <c r="E3653" s="11" t="n"/>
      <c r="F3653" s="11" t="n"/>
      <c r="G3653" s="11" t="n"/>
      <c r="H3653" s="11" t="n"/>
      <c r="I3653" s="11" t="n"/>
      <c r="J3653" s="11" t="n"/>
      <c r="K3653" s="11" t="n"/>
      <c r="L3653" s="11" t="n"/>
      <c r="M3653" s="11" t="n"/>
    </row>
    <row r="3654">
      <c r="A3654" s="11" t="n"/>
      <c r="B3654" s="11" t="n"/>
      <c r="C3654" s="11" t="n"/>
      <c r="D3654" s="11" t="n"/>
      <c r="E3654" s="11" t="n"/>
      <c r="F3654" s="11" t="n"/>
      <c r="G3654" s="11" t="n"/>
      <c r="H3654" s="11" t="n"/>
      <c r="I3654" s="11" t="n"/>
      <c r="J3654" s="11" t="n"/>
      <c r="K3654" s="11" t="n"/>
      <c r="L3654" s="11" t="n"/>
      <c r="M3654" s="11" t="n"/>
    </row>
    <row r="3655">
      <c r="A3655" s="11" t="n"/>
      <c r="B3655" s="11" t="n"/>
      <c r="C3655" s="11" t="n"/>
      <c r="D3655" s="11" t="n"/>
      <c r="E3655" s="11" t="n"/>
      <c r="F3655" s="11" t="n"/>
      <c r="G3655" s="11" t="n"/>
      <c r="H3655" s="11" t="n"/>
      <c r="I3655" s="11" t="n"/>
      <c r="J3655" s="11" t="n"/>
      <c r="K3655" s="11" t="n"/>
      <c r="L3655" s="11" t="n"/>
      <c r="M3655" s="11" t="n"/>
    </row>
    <row r="3656">
      <c r="A3656" s="11" t="n"/>
      <c r="B3656" s="11" t="n"/>
      <c r="C3656" s="11" t="n"/>
      <c r="D3656" s="11" t="n"/>
      <c r="E3656" s="11" t="n"/>
      <c r="F3656" s="11" t="n"/>
      <c r="G3656" s="11" t="n"/>
      <c r="H3656" s="11" t="n"/>
      <c r="I3656" s="11" t="n"/>
      <c r="J3656" s="11" t="n"/>
      <c r="K3656" s="11" t="n"/>
      <c r="L3656" s="11" t="n"/>
      <c r="M3656" s="11" t="n"/>
    </row>
    <row r="3657">
      <c r="A3657" s="11" t="n"/>
      <c r="B3657" s="11" t="n"/>
      <c r="C3657" s="11" t="n"/>
      <c r="D3657" s="11" t="n"/>
      <c r="E3657" s="11" t="n"/>
      <c r="F3657" s="11" t="n"/>
      <c r="G3657" s="11" t="n"/>
      <c r="H3657" s="11" t="n"/>
      <c r="I3657" s="11" t="n"/>
      <c r="J3657" s="11" t="n"/>
      <c r="K3657" s="11" t="n"/>
      <c r="L3657" s="11" t="n"/>
      <c r="M3657" s="11" t="n"/>
    </row>
    <row r="3658">
      <c r="A3658" s="11" t="n"/>
      <c r="B3658" s="11" t="n"/>
      <c r="C3658" s="11" t="n"/>
      <c r="D3658" s="11" t="n"/>
      <c r="E3658" s="11" t="n"/>
      <c r="F3658" s="11" t="n"/>
      <c r="G3658" s="11" t="n"/>
      <c r="H3658" s="11" t="n"/>
      <c r="I3658" s="11" t="n"/>
      <c r="J3658" s="11" t="n"/>
      <c r="K3658" s="11" t="n"/>
      <c r="L3658" s="11" t="n"/>
      <c r="M3658" s="11" t="n"/>
    </row>
    <row r="3659">
      <c r="A3659" s="11" t="n"/>
      <c r="B3659" s="11" t="n"/>
      <c r="C3659" s="11" t="n"/>
      <c r="D3659" s="11" t="n"/>
      <c r="E3659" s="11" t="n"/>
      <c r="F3659" s="11" t="n"/>
      <c r="G3659" s="11" t="n"/>
      <c r="H3659" s="11" t="n"/>
      <c r="I3659" s="11" t="n"/>
      <c r="J3659" s="11" t="n"/>
      <c r="K3659" s="11" t="n"/>
      <c r="L3659" s="11" t="n"/>
      <c r="M3659" s="11" t="n"/>
    </row>
    <row r="3660">
      <c r="A3660" s="11" t="n"/>
      <c r="B3660" s="11" t="n"/>
      <c r="C3660" s="11" t="n"/>
      <c r="D3660" s="11" t="n"/>
      <c r="E3660" s="11" t="n"/>
      <c r="F3660" s="11" t="n"/>
      <c r="G3660" s="11" t="n"/>
      <c r="H3660" s="11" t="n"/>
      <c r="I3660" s="11" t="n"/>
      <c r="J3660" s="11" t="n"/>
      <c r="K3660" s="11" t="n"/>
      <c r="L3660" s="11" t="n"/>
      <c r="M3660" s="11" t="n"/>
    </row>
    <row r="3661">
      <c r="A3661" s="11" t="n"/>
      <c r="B3661" s="11" t="n"/>
      <c r="C3661" s="11" t="n"/>
      <c r="D3661" s="11" t="n"/>
      <c r="E3661" s="11" t="n"/>
      <c r="F3661" s="11" t="n"/>
      <c r="G3661" s="11" t="n"/>
      <c r="H3661" s="11" t="n"/>
      <c r="I3661" s="11" t="n"/>
      <c r="J3661" s="11" t="n"/>
      <c r="K3661" s="11" t="n"/>
      <c r="L3661" s="11" t="n"/>
      <c r="M3661" s="11" t="n"/>
    </row>
    <row r="3662">
      <c r="A3662" s="11" t="n"/>
      <c r="B3662" s="11" t="n"/>
      <c r="C3662" s="11" t="n"/>
      <c r="D3662" s="11" t="n"/>
      <c r="E3662" s="11" t="n"/>
      <c r="F3662" s="11" t="n"/>
      <c r="G3662" s="11" t="n"/>
      <c r="H3662" s="11" t="n"/>
      <c r="I3662" s="11" t="n"/>
      <c r="J3662" s="11" t="n"/>
      <c r="K3662" s="11" t="n"/>
      <c r="L3662" s="11" t="n"/>
      <c r="M3662" s="11" t="n"/>
    </row>
    <row r="3663">
      <c r="A3663" s="11" t="n"/>
      <c r="B3663" s="11" t="n"/>
      <c r="C3663" s="11" t="n"/>
      <c r="D3663" s="11" t="n"/>
      <c r="E3663" s="11" t="n"/>
      <c r="F3663" s="11" t="n"/>
      <c r="G3663" s="11" t="n"/>
      <c r="H3663" s="11" t="n"/>
      <c r="I3663" s="11" t="n"/>
      <c r="J3663" s="11" t="n"/>
      <c r="K3663" s="11" t="n"/>
      <c r="L3663" s="11" t="n"/>
      <c r="M3663" s="11" t="n"/>
    </row>
    <row r="3664">
      <c r="A3664" s="11" t="n"/>
      <c r="B3664" s="11" t="n"/>
      <c r="C3664" s="11" t="n"/>
      <c r="D3664" s="11" t="n"/>
      <c r="E3664" s="11" t="n"/>
      <c r="F3664" s="11" t="n"/>
      <c r="G3664" s="11" t="n"/>
      <c r="H3664" s="11" t="n"/>
      <c r="I3664" s="11" t="n"/>
      <c r="J3664" s="11" t="n"/>
      <c r="K3664" s="11" t="n"/>
      <c r="L3664" s="11" t="n"/>
      <c r="M3664" s="11" t="n"/>
    </row>
    <row r="3665">
      <c r="A3665" s="11" t="n"/>
      <c r="B3665" s="11" t="n"/>
      <c r="C3665" s="11" t="n"/>
      <c r="D3665" s="11" t="n"/>
      <c r="E3665" s="11" t="n"/>
      <c r="F3665" s="11" t="n"/>
      <c r="G3665" s="11" t="n"/>
      <c r="H3665" s="11" t="n"/>
      <c r="I3665" s="11" t="n"/>
      <c r="J3665" s="11" t="n"/>
      <c r="K3665" s="11" t="n"/>
      <c r="L3665" s="11" t="n"/>
      <c r="M3665" s="11" t="n"/>
    </row>
    <row r="3666">
      <c r="A3666" s="11" t="n"/>
      <c r="B3666" s="11" t="n"/>
      <c r="C3666" s="11" t="n"/>
      <c r="D3666" s="11" t="n"/>
      <c r="E3666" s="11" t="n"/>
      <c r="F3666" s="11" t="n"/>
      <c r="G3666" s="11" t="n"/>
      <c r="H3666" s="11" t="n"/>
      <c r="I3666" s="11" t="n"/>
      <c r="J3666" s="11" t="n"/>
      <c r="K3666" s="11" t="n"/>
      <c r="L3666" s="11" t="n"/>
      <c r="M3666" s="11" t="n"/>
    </row>
    <row r="3667">
      <c r="A3667" s="11" t="n"/>
      <c r="B3667" s="11" t="n"/>
      <c r="C3667" s="11" t="n"/>
      <c r="D3667" s="11" t="n"/>
      <c r="E3667" s="11" t="n"/>
      <c r="F3667" s="11" t="n"/>
      <c r="G3667" s="11" t="n"/>
      <c r="H3667" s="11" t="n"/>
      <c r="I3667" s="11" t="n"/>
      <c r="J3667" s="11" t="n"/>
      <c r="K3667" s="11" t="n"/>
      <c r="L3667" s="11" t="n"/>
      <c r="M3667" s="11" t="n"/>
    </row>
    <row r="3668">
      <c r="A3668" s="11" t="n"/>
      <c r="B3668" s="11" t="n"/>
      <c r="C3668" s="11" t="n"/>
      <c r="D3668" s="11" t="n"/>
      <c r="E3668" s="11" t="n"/>
      <c r="F3668" s="11" t="n"/>
      <c r="G3668" s="11" t="n"/>
      <c r="H3668" s="11" t="n"/>
      <c r="I3668" s="11" t="n"/>
      <c r="J3668" s="11" t="n"/>
      <c r="K3668" s="11" t="n"/>
      <c r="L3668" s="11" t="n"/>
      <c r="M3668" s="11" t="n"/>
    </row>
    <row r="3669">
      <c r="A3669" s="11" t="n"/>
      <c r="B3669" s="11" t="n"/>
      <c r="C3669" s="11" t="n"/>
      <c r="D3669" s="11" t="n"/>
      <c r="E3669" s="11" t="n"/>
      <c r="F3669" s="11" t="n"/>
      <c r="G3669" s="11" t="n"/>
      <c r="H3669" s="11" t="n"/>
      <c r="I3669" s="11" t="n"/>
      <c r="J3669" s="11" t="n"/>
      <c r="K3669" s="11" t="n"/>
      <c r="L3669" s="11" t="n"/>
      <c r="M3669" s="11" t="n"/>
    </row>
    <row r="3670">
      <c r="A3670" s="11" t="n"/>
      <c r="B3670" s="11" t="n"/>
      <c r="C3670" s="11" t="n"/>
      <c r="D3670" s="11" t="n"/>
      <c r="E3670" s="11" t="n"/>
      <c r="F3670" s="11" t="n"/>
      <c r="G3670" s="11" t="n"/>
      <c r="H3670" s="11" t="n"/>
      <c r="I3670" s="11" t="n"/>
      <c r="J3670" s="11" t="n"/>
      <c r="K3670" s="11" t="n"/>
      <c r="L3670" s="11" t="n"/>
      <c r="M3670" s="11" t="n"/>
    </row>
    <row r="3671">
      <c r="A3671" s="11" t="n"/>
      <c r="B3671" s="11" t="n"/>
      <c r="C3671" s="11" t="n"/>
      <c r="D3671" s="11" t="n"/>
      <c r="E3671" s="11" t="n"/>
      <c r="F3671" s="11" t="n"/>
      <c r="G3671" s="11" t="n"/>
      <c r="H3671" s="11" t="n"/>
      <c r="I3671" s="11" t="n"/>
      <c r="J3671" s="11" t="n"/>
      <c r="K3671" s="11" t="n"/>
      <c r="L3671" s="11" t="n"/>
      <c r="M3671" s="11" t="n"/>
    </row>
    <row r="3672">
      <c r="A3672" s="11" t="n"/>
      <c r="B3672" s="11" t="n"/>
      <c r="C3672" s="11" t="n"/>
      <c r="D3672" s="11" t="n"/>
      <c r="E3672" s="11" t="n"/>
      <c r="F3672" s="11" t="n"/>
      <c r="G3672" s="11" t="n"/>
      <c r="H3672" s="11" t="n"/>
      <c r="I3672" s="11" t="n"/>
      <c r="J3672" s="11" t="n"/>
      <c r="K3672" s="11" t="n"/>
      <c r="L3672" s="11" t="n"/>
      <c r="M3672" s="11" t="n"/>
    </row>
    <row r="3673">
      <c r="A3673" s="11" t="n"/>
      <c r="B3673" s="11" t="n"/>
      <c r="C3673" s="11" t="n"/>
      <c r="D3673" s="11" t="n"/>
      <c r="E3673" s="11" t="n"/>
      <c r="F3673" s="11" t="n"/>
      <c r="G3673" s="11" t="n"/>
      <c r="H3673" s="11" t="n"/>
      <c r="I3673" s="11" t="n"/>
      <c r="J3673" s="11" t="n"/>
      <c r="K3673" s="11" t="n"/>
      <c r="L3673" s="11" t="n"/>
      <c r="M3673" s="11" t="n"/>
    </row>
    <row r="3674">
      <c r="A3674" s="11" t="n"/>
      <c r="B3674" s="11" t="n"/>
      <c r="C3674" s="11" t="n"/>
      <c r="D3674" s="11" t="n"/>
      <c r="E3674" s="11" t="n"/>
      <c r="F3674" s="11" t="n"/>
      <c r="G3674" s="11" t="n"/>
      <c r="H3674" s="11" t="n"/>
      <c r="I3674" s="11" t="n"/>
      <c r="J3674" s="11" t="n"/>
      <c r="K3674" s="11" t="n"/>
      <c r="L3674" s="11" t="n"/>
      <c r="M3674" s="11" t="n"/>
    </row>
    <row r="3675">
      <c r="A3675" s="11" t="n"/>
      <c r="B3675" s="11" t="n"/>
      <c r="C3675" s="11" t="n"/>
      <c r="D3675" s="11" t="n"/>
      <c r="E3675" s="11" t="n"/>
      <c r="F3675" s="11" t="n"/>
      <c r="G3675" s="11" t="n"/>
      <c r="H3675" s="11" t="n"/>
      <c r="I3675" s="11" t="n"/>
      <c r="J3675" s="11" t="n"/>
      <c r="K3675" s="11" t="n"/>
      <c r="L3675" s="11" t="n"/>
      <c r="M3675" s="11" t="n"/>
    </row>
    <row r="3676">
      <c r="A3676" s="11" t="n"/>
      <c r="B3676" s="11" t="n"/>
      <c r="C3676" s="11" t="n"/>
      <c r="D3676" s="11" t="n"/>
      <c r="E3676" s="11" t="n"/>
      <c r="F3676" s="11" t="n"/>
      <c r="G3676" s="11" t="n"/>
      <c r="H3676" s="11" t="n"/>
      <c r="I3676" s="11" t="n"/>
      <c r="J3676" s="11" t="n"/>
      <c r="K3676" s="11" t="n"/>
      <c r="L3676" s="11" t="n"/>
      <c r="M3676" s="11" t="n"/>
    </row>
    <row r="3677">
      <c r="A3677" s="11" t="n"/>
      <c r="B3677" s="11" t="n"/>
      <c r="C3677" s="11" t="n"/>
      <c r="D3677" s="11" t="n"/>
      <c r="E3677" s="11" t="n"/>
      <c r="F3677" s="11" t="n"/>
      <c r="G3677" s="11" t="n"/>
      <c r="H3677" s="11" t="n"/>
      <c r="I3677" s="11" t="n"/>
      <c r="J3677" s="11" t="n"/>
      <c r="K3677" s="11" t="n"/>
      <c r="L3677" s="11" t="n"/>
      <c r="M3677" s="11" t="n"/>
    </row>
    <row r="3678">
      <c r="A3678" s="11" t="n"/>
      <c r="B3678" s="11" t="n"/>
      <c r="C3678" s="11" t="n"/>
      <c r="D3678" s="11" t="n"/>
      <c r="E3678" s="11" t="n"/>
      <c r="F3678" s="11" t="n"/>
      <c r="G3678" s="11" t="n"/>
      <c r="H3678" s="11" t="n"/>
      <c r="I3678" s="11" t="n"/>
      <c r="J3678" s="11" t="n"/>
      <c r="K3678" s="11" t="n"/>
      <c r="L3678" s="11" t="n"/>
      <c r="M3678" s="11" t="n"/>
    </row>
    <row r="3679">
      <c r="A3679" s="11" t="n"/>
      <c r="B3679" s="11" t="n"/>
      <c r="C3679" s="11" t="n"/>
      <c r="D3679" s="11" t="n"/>
      <c r="E3679" s="11" t="n"/>
      <c r="F3679" s="11" t="n"/>
      <c r="G3679" s="11" t="n"/>
      <c r="H3679" s="11" t="n"/>
      <c r="I3679" s="11" t="n"/>
      <c r="J3679" s="11" t="n"/>
      <c r="K3679" s="11" t="n"/>
      <c r="L3679" s="11" t="n"/>
      <c r="M3679" s="11" t="n"/>
    </row>
    <row r="3680">
      <c r="A3680" s="11" t="n"/>
      <c r="B3680" s="11" t="n"/>
      <c r="C3680" s="11" t="n"/>
      <c r="D3680" s="11" t="n"/>
      <c r="E3680" s="11" t="n"/>
      <c r="F3680" s="11" t="n"/>
      <c r="G3680" s="11" t="n"/>
      <c r="H3680" s="11" t="n"/>
      <c r="I3680" s="11" t="n"/>
      <c r="J3680" s="11" t="n"/>
      <c r="K3680" s="11" t="n"/>
      <c r="L3680" s="11" t="n"/>
      <c r="M3680" s="11" t="n"/>
    </row>
    <row r="3681">
      <c r="A3681" s="11" t="n"/>
      <c r="B3681" s="11" t="n"/>
      <c r="C3681" s="11" t="n"/>
      <c r="D3681" s="11" t="n"/>
      <c r="E3681" s="11" t="n"/>
      <c r="F3681" s="11" t="n"/>
      <c r="G3681" s="11" t="n"/>
      <c r="H3681" s="11" t="n"/>
      <c r="I3681" s="11" t="n"/>
      <c r="J3681" s="11" t="n"/>
      <c r="K3681" s="11" t="n"/>
      <c r="L3681" s="11" t="n"/>
      <c r="M3681" s="11" t="n"/>
    </row>
    <row r="3682">
      <c r="A3682" s="11" t="n"/>
      <c r="B3682" s="11" t="n"/>
      <c r="C3682" s="11" t="n"/>
      <c r="D3682" s="11" t="n"/>
      <c r="E3682" s="11" t="n"/>
      <c r="F3682" s="11" t="n"/>
      <c r="G3682" s="11" t="n"/>
      <c r="H3682" s="11" t="n"/>
      <c r="I3682" s="11" t="n"/>
      <c r="J3682" s="11" t="n"/>
      <c r="K3682" s="11" t="n"/>
      <c r="L3682" s="11" t="n"/>
      <c r="M3682" s="11" t="n"/>
    </row>
    <row r="3683">
      <c r="A3683" s="11" t="n"/>
      <c r="B3683" s="11" t="n"/>
      <c r="C3683" s="11" t="n"/>
      <c r="D3683" s="11" t="n"/>
      <c r="E3683" s="11" t="n"/>
      <c r="F3683" s="11" t="n"/>
      <c r="G3683" s="11" t="n"/>
      <c r="H3683" s="11" t="n"/>
      <c r="I3683" s="11" t="n"/>
      <c r="J3683" s="11" t="n"/>
      <c r="K3683" s="11" t="n"/>
      <c r="L3683" s="11" t="n"/>
      <c r="M3683" s="11" t="n"/>
    </row>
    <row r="3684">
      <c r="A3684" s="11" t="n"/>
      <c r="B3684" s="11" t="n"/>
      <c r="C3684" s="11" t="n"/>
      <c r="D3684" s="11" t="n"/>
      <c r="E3684" s="11" t="n"/>
      <c r="F3684" s="11" t="n"/>
      <c r="G3684" s="11" t="n"/>
      <c r="H3684" s="11" t="n"/>
      <c r="I3684" s="11" t="n"/>
      <c r="J3684" s="11" t="n"/>
      <c r="K3684" s="11" t="n"/>
      <c r="L3684" s="11" t="n"/>
      <c r="M3684" s="11" t="n"/>
    </row>
    <row r="3685">
      <c r="A3685" s="11" t="n"/>
      <c r="B3685" s="11" t="n"/>
      <c r="C3685" s="11" t="n"/>
      <c r="D3685" s="11" t="n"/>
      <c r="E3685" s="11" t="n"/>
      <c r="F3685" s="11" t="n"/>
      <c r="G3685" s="11" t="n"/>
      <c r="H3685" s="11" t="n"/>
      <c r="I3685" s="11" t="n"/>
      <c r="J3685" s="11" t="n"/>
      <c r="K3685" s="11" t="n"/>
      <c r="L3685" s="11" t="n"/>
      <c r="M3685" s="11" t="n"/>
    </row>
    <row r="3686">
      <c r="A3686" s="11" t="n"/>
      <c r="B3686" s="11" t="n"/>
      <c r="C3686" s="11" t="n"/>
      <c r="D3686" s="11" t="n"/>
      <c r="E3686" s="11" t="n"/>
      <c r="F3686" s="11" t="n"/>
      <c r="G3686" s="11" t="n"/>
      <c r="H3686" s="11" t="n"/>
      <c r="I3686" s="11" t="n"/>
      <c r="J3686" s="11" t="n"/>
      <c r="K3686" s="11" t="n"/>
      <c r="L3686" s="11" t="n"/>
      <c r="M3686" s="11" t="n"/>
    </row>
    <row r="3687">
      <c r="A3687" s="11" t="n"/>
      <c r="B3687" s="11" t="n"/>
      <c r="C3687" s="11" t="n"/>
      <c r="D3687" s="11" t="n"/>
      <c r="E3687" s="11" t="n"/>
      <c r="F3687" s="11" t="n"/>
      <c r="G3687" s="11" t="n"/>
      <c r="H3687" s="11" t="n"/>
      <c r="I3687" s="11" t="n"/>
      <c r="J3687" s="11" t="n"/>
      <c r="K3687" s="11" t="n"/>
      <c r="L3687" s="11" t="n"/>
      <c r="M3687" s="11" t="n"/>
    </row>
    <row r="3688">
      <c r="A3688" s="11" t="n"/>
      <c r="B3688" s="11" t="n"/>
      <c r="C3688" s="11" t="n"/>
      <c r="D3688" s="11" t="n"/>
      <c r="E3688" s="11" t="n"/>
      <c r="F3688" s="11" t="n"/>
      <c r="G3688" s="11" t="n"/>
      <c r="H3688" s="11" t="n"/>
      <c r="I3688" s="11" t="n"/>
      <c r="J3688" s="11" t="n"/>
      <c r="K3688" s="11" t="n"/>
      <c r="L3688" s="11" t="n"/>
      <c r="M3688" s="11" t="n"/>
    </row>
    <row r="3689">
      <c r="A3689" s="11" t="n"/>
      <c r="B3689" s="11" t="n"/>
      <c r="C3689" s="11" t="n"/>
      <c r="D3689" s="11" t="n"/>
      <c r="E3689" s="11" t="n"/>
      <c r="F3689" s="11" t="n"/>
      <c r="G3689" s="11" t="n"/>
      <c r="H3689" s="11" t="n"/>
      <c r="I3689" s="11" t="n"/>
      <c r="J3689" s="11" t="n"/>
      <c r="K3689" s="11" t="n"/>
      <c r="L3689" s="11" t="n"/>
      <c r="M3689" s="11" t="n"/>
    </row>
    <row r="3690">
      <c r="A3690" s="11" t="n"/>
      <c r="B3690" s="11" t="n"/>
      <c r="C3690" s="11" t="n"/>
      <c r="D3690" s="11" t="n"/>
      <c r="E3690" s="11" t="n"/>
      <c r="F3690" s="11" t="n"/>
      <c r="G3690" s="11" t="n"/>
      <c r="H3690" s="11" t="n"/>
      <c r="I3690" s="11" t="n"/>
      <c r="J3690" s="11" t="n"/>
      <c r="K3690" s="11" t="n"/>
      <c r="L3690" s="11" t="n"/>
      <c r="M3690" s="11" t="n"/>
    </row>
    <row r="3691">
      <c r="A3691" s="11" t="n"/>
      <c r="B3691" s="11" t="n"/>
      <c r="C3691" s="11" t="n"/>
      <c r="D3691" s="11" t="n"/>
      <c r="E3691" s="11" t="n"/>
      <c r="F3691" s="11" t="n"/>
      <c r="G3691" s="11" t="n"/>
      <c r="H3691" s="11" t="n"/>
      <c r="I3691" s="11" t="n"/>
      <c r="J3691" s="11" t="n"/>
      <c r="K3691" s="11" t="n"/>
      <c r="L3691" s="11" t="n"/>
      <c r="M3691" s="11" t="n"/>
    </row>
    <row r="3692">
      <c r="A3692" s="11" t="n"/>
      <c r="B3692" s="11" t="n"/>
      <c r="C3692" s="11" t="n"/>
      <c r="D3692" s="11" t="n"/>
      <c r="E3692" s="11" t="n"/>
      <c r="F3692" s="11" t="n"/>
      <c r="G3692" s="11" t="n"/>
      <c r="H3692" s="11" t="n"/>
      <c r="I3692" s="11" t="n"/>
      <c r="J3692" s="11" t="n"/>
      <c r="K3692" s="11" t="n"/>
      <c r="L3692" s="11" t="n"/>
      <c r="M3692" s="11" t="n"/>
    </row>
    <row r="3693">
      <c r="A3693" s="11" t="n"/>
      <c r="B3693" s="11" t="n"/>
      <c r="C3693" s="11" t="n"/>
      <c r="D3693" s="11" t="n"/>
      <c r="E3693" s="11" t="n"/>
      <c r="F3693" s="11" t="n"/>
      <c r="G3693" s="11" t="n"/>
      <c r="H3693" s="11" t="n"/>
      <c r="I3693" s="11" t="n"/>
      <c r="J3693" s="11" t="n"/>
      <c r="K3693" s="11" t="n"/>
      <c r="L3693" s="11" t="n"/>
      <c r="M3693" s="11" t="n"/>
    </row>
    <row r="3694">
      <c r="A3694" s="11" t="n"/>
      <c r="B3694" s="11" t="n"/>
      <c r="C3694" s="11" t="n"/>
      <c r="D3694" s="11" t="n"/>
      <c r="E3694" s="11" t="n"/>
      <c r="F3694" s="11" t="n"/>
      <c r="G3694" s="11" t="n"/>
      <c r="H3694" s="11" t="n"/>
      <c r="I3694" s="11" t="n"/>
      <c r="J3694" s="11" t="n"/>
      <c r="K3694" s="11" t="n"/>
      <c r="L3694" s="11" t="n"/>
      <c r="M3694" s="11" t="n"/>
    </row>
    <row r="3695">
      <c r="A3695" s="11" t="n"/>
      <c r="B3695" s="11" t="n"/>
      <c r="C3695" s="11" t="n"/>
      <c r="D3695" s="11" t="n"/>
      <c r="E3695" s="11" t="n"/>
      <c r="F3695" s="11" t="n"/>
      <c r="G3695" s="11" t="n"/>
      <c r="H3695" s="11" t="n"/>
      <c r="I3695" s="11" t="n"/>
      <c r="J3695" s="11" t="n"/>
      <c r="K3695" s="11" t="n"/>
      <c r="L3695" s="11" t="n"/>
      <c r="M3695" s="11" t="n"/>
    </row>
    <row r="3696">
      <c r="A3696" s="11" t="n"/>
      <c r="B3696" s="11" t="n"/>
      <c r="C3696" s="11" t="n"/>
      <c r="D3696" s="11" t="n"/>
      <c r="E3696" s="11" t="n"/>
      <c r="F3696" s="11" t="n"/>
      <c r="G3696" s="11" t="n"/>
      <c r="H3696" s="11" t="n"/>
      <c r="I3696" s="11" t="n"/>
      <c r="J3696" s="11" t="n"/>
      <c r="K3696" s="11" t="n"/>
      <c r="L3696" s="11" t="n"/>
      <c r="M3696" s="11" t="n"/>
    </row>
    <row r="3697">
      <c r="A3697" s="11" t="n"/>
      <c r="B3697" s="11" t="n"/>
      <c r="C3697" s="11" t="n"/>
      <c r="D3697" s="11" t="n"/>
      <c r="E3697" s="11" t="n"/>
      <c r="F3697" s="11" t="n"/>
      <c r="G3697" s="11" t="n"/>
      <c r="H3697" s="11" t="n"/>
      <c r="I3697" s="11" t="n"/>
      <c r="J3697" s="11" t="n"/>
      <c r="K3697" s="11" t="n"/>
      <c r="L3697" s="11" t="n"/>
      <c r="M3697" s="11" t="n"/>
    </row>
    <row r="3698">
      <c r="A3698" s="11" t="n"/>
      <c r="B3698" s="11" t="n"/>
      <c r="C3698" s="11" t="n"/>
      <c r="D3698" s="11" t="n"/>
      <c r="E3698" s="11" t="n"/>
      <c r="F3698" s="11" t="n"/>
      <c r="G3698" s="11" t="n"/>
      <c r="H3698" s="11" t="n"/>
      <c r="I3698" s="11" t="n"/>
      <c r="J3698" s="11" t="n"/>
      <c r="K3698" s="11" t="n"/>
      <c r="L3698" s="11" t="n"/>
      <c r="M3698" s="11" t="n"/>
    </row>
    <row r="3699">
      <c r="A3699" s="11" t="n"/>
      <c r="B3699" s="11" t="n"/>
      <c r="C3699" s="11" t="n"/>
      <c r="D3699" s="11" t="n"/>
      <c r="E3699" s="11" t="n"/>
      <c r="F3699" s="11" t="n"/>
      <c r="G3699" s="11" t="n"/>
      <c r="H3699" s="11" t="n"/>
      <c r="I3699" s="11" t="n"/>
      <c r="J3699" s="11" t="n"/>
      <c r="K3699" s="11" t="n"/>
      <c r="L3699" s="11" t="n"/>
      <c r="M3699" s="11" t="n"/>
    </row>
    <row r="3700">
      <c r="A3700" s="11" t="n"/>
      <c r="B3700" s="11" t="n"/>
      <c r="C3700" s="11" t="n"/>
      <c r="D3700" s="11" t="n"/>
      <c r="E3700" s="11" t="n"/>
      <c r="F3700" s="11" t="n"/>
      <c r="G3700" s="11" t="n"/>
      <c r="H3700" s="11" t="n"/>
      <c r="I3700" s="11" t="n"/>
      <c r="J3700" s="11" t="n"/>
      <c r="K3700" s="11" t="n"/>
      <c r="L3700" s="11" t="n"/>
      <c r="M3700" s="11" t="n"/>
    </row>
    <row r="3701">
      <c r="A3701" s="11" t="n"/>
      <c r="B3701" s="11" t="n"/>
      <c r="C3701" s="11" t="n"/>
      <c r="D3701" s="11" t="n"/>
      <c r="E3701" s="11" t="n"/>
      <c r="F3701" s="11" t="n"/>
      <c r="G3701" s="11" t="n"/>
      <c r="H3701" s="11" t="n"/>
      <c r="I3701" s="11" t="n"/>
      <c r="J3701" s="11" t="n"/>
      <c r="K3701" s="11" t="n"/>
      <c r="L3701" s="11" t="n"/>
      <c r="M3701" s="11" t="n"/>
    </row>
    <row r="3702">
      <c r="A3702" s="11" t="n"/>
      <c r="B3702" s="11" t="n"/>
      <c r="C3702" s="11" t="n"/>
      <c r="D3702" s="11" t="n"/>
      <c r="E3702" s="11" t="n"/>
      <c r="F3702" s="11" t="n"/>
      <c r="G3702" s="11" t="n"/>
      <c r="H3702" s="11" t="n"/>
      <c r="I3702" s="11" t="n"/>
      <c r="J3702" s="11" t="n"/>
      <c r="K3702" s="11" t="n"/>
      <c r="L3702" s="11" t="n"/>
      <c r="M3702" s="11" t="n"/>
    </row>
    <row r="3703">
      <c r="A3703" s="11" t="n"/>
      <c r="B3703" s="11" t="n"/>
      <c r="C3703" s="11" t="n"/>
      <c r="D3703" s="11" t="n"/>
      <c r="E3703" s="11" t="n"/>
      <c r="F3703" s="11" t="n"/>
      <c r="G3703" s="11" t="n"/>
      <c r="H3703" s="11" t="n"/>
      <c r="I3703" s="11" t="n"/>
      <c r="J3703" s="11" t="n"/>
      <c r="K3703" s="11" t="n"/>
      <c r="L3703" s="11" t="n"/>
      <c r="M3703" s="11" t="n"/>
    </row>
    <row r="3704">
      <c r="A3704" s="11" t="n"/>
      <c r="B3704" s="11" t="n"/>
      <c r="C3704" s="11" t="n"/>
      <c r="D3704" s="11" t="n"/>
      <c r="E3704" s="11" t="n"/>
      <c r="F3704" s="11" t="n"/>
      <c r="G3704" s="11" t="n"/>
      <c r="H3704" s="11" t="n"/>
      <c r="I3704" s="11" t="n"/>
      <c r="J3704" s="11" t="n"/>
      <c r="K3704" s="11" t="n"/>
      <c r="L3704" s="11" t="n"/>
      <c r="M3704" s="11" t="n"/>
    </row>
    <row r="3705">
      <c r="A3705" s="11" t="n"/>
      <c r="B3705" s="11" t="n"/>
      <c r="C3705" s="11" t="n"/>
      <c r="D3705" s="11" t="n"/>
      <c r="E3705" s="11" t="n"/>
      <c r="F3705" s="11" t="n"/>
      <c r="G3705" s="11" t="n"/>
      <c r="H3705" s="11" t="n"/>
      <c r="I3705" s="11" t="n"/>
      <c r="J3705" s="11" t="n"/>
      <c r="K3705" s="11" t="n"/>
      <c r="L3705" s="11" t="n"/>
      <c r="M3705" s="11" t="n"/>
    </row>
    <row r="3706">
      <c r="A3706" s="11" t="n"/>
      <c r="B3706" s="11" t="n"/>
      <c r="C3706" s="11" t="n"/>
      <c r="D3706" s="11" t="n"/>
      <c r="E3706" s="11" t="n"/>
      <c r="F3706" s="11" t="n"/>
      <c r="G3706" s="11" t="n"/>
      <c r="H3706" s="11" t="n"/>
      <c r="I3706" s="11" t="n"/>
      <c r="J3706" s="11" t="n"/>
      <c r="K3706" s="11" t="n"/>
      <c r="L3706" s="11" t="n"/>
      <c r="M3706" s="11" t="n"/>
    </row>
    <row r="3707">
      <c r="A3707" s="11" t="n"/>
      <c r="B3707" s="11" t="n"/>
      <c r="C3707" s="11" t="n"/>
      <c r="D3707" s="11" t="n"/>
      <c r="E3707" s="11" t="n"/>
      <c r="F3707" s="11" t="n"/>
      <c r="G3707" s="11" t="n"/>
      <c r="H3707" s="11" t="n"/>
      <c r="I3707" s="11" t="n"/>
      <c r="J3707" s="11" t="n"/>
      <c r="K3707" s="11" t="n"/>
      <c r="L3707" s="11" t="n"/>
      <c r="M3707" s="11" t="n"/>
    </row>
    <row r="3708">
      <c r="A3708" s="11" t="n"/>
      <c r="B3708" s="11" t="n"/>
      <c r="C3708" s="11" t="n"/>
      <c r="D3708" s="11" t="n"/>
      <c r="E3708" s="11" t="n"/>
      <c r="F3708" s="11" t="n"/>
      <c r="G3708" s="11" t="n"/>
      <c r="H3708" s="11" t="n"/>
      <c r="I3708" s="11" t="n"/>
      <c r="J3708" s="11" t="n"/>
      <c r="K3708" s="11" t="n"/>
      <c r="L3708" s="11" t="n"/>
      <c r="M3708" s="11" t="n"/>
    </row>
    <row r="3709">
      <c r="A3709" s="11" t="n"/>
      <c r="B3709" s="11" t="n"/>
      <c r="C3709" s="11" t="n"/>
      <c r="D3709" s="11" t="n"/>
      <c r="E3709" s="11" t="n"/>
      <c r="F3709" s="11" t="n"/>
      <c r="G3709" s="11" t="n"/>
      <c r="H3709" s="11" t="n"/>
      <c r="I3709" s="11" t="n"/>
      <c r="J3709" s="11" t="n"/>
      <c r="K3709" s="11" t="n"/>
      <c r="L3709" s="11" t="n"/>
      <c r="M3709" s="11" t="n"/>
    </row>
    <row r="3710">
      <c r="A3710" s="11" t="n"/>
      <c r="B3710" s="11" t="n"/>
      <c r="C3710" s="11" t="n"/>
      <c r="D3710" s="11" t="n"/>
      <c r="E3710" s="11" t="n"/>
      <c r="F3710" s="11" t="n"/>
      <c r="G3710" s="11" t="n"/>
      <c r="H3710" s="11" t="n"/>
      <c r="I3710" s="11" t="n"/>
      <c r="J3710" s="11" t="n"/>
      <c r="K3710" s="11" t="n"/>
      <c r="L3710" s="11" t="n"/>
      <c r="M3710" s="11" t="n"/>
    </row>
    <row r="3711">
      <c r="A3711" s="11" t="n"/>
      <c r="B3711" s="11" t="n"/>
      <c r="C3711" s="11" t="n"/>
      <c r="D3711" s="11" t="n"/>
      <c r="E3711" s="11" t="n"/>
      <c r="F3711" s="11" t="n"/>
      <c r="G3711" s="11" t="n"/>
      <c r="H3711" s="11" t="n"/>
      <c r="I3711" s="11" t="n"/>
      <c r="J3711" s="11" t="n"/>
      <c r="K3711" s="11" t="n"/>
      <c r="L3711" s="11" t="n"/>
      <c r="M3711" s="11" t="n"/>
    </row>
    <row r="3712">
      <c r="A3712" s="11" t="n"/>
      <c r="B3712" s="11" t="n"/>
      <c r="C3712" s="11" t="n"/>
      <c r="D3712" s="11" t="n"/>
      <c r="E3712" s="11" t="n"/>
      <c r="F3712" s="11" t="n"/>
      <c r="G3712" s="11" t="n"/>
      <c r="H3712" s="11" t="n"/>
      <c r="I3712" s="11" t="n"/>
      <c r="J3712" s="11" t="n"/>
      <c r="K3712" s="11" t="n"/>
      <c r="L3712" s="11" t="n"/>
      <c r="M3712" s="11" t="n"/>
    </row>
    <row r="3713">
      <c r="A3713" s="11" t="n"/>
      <c r="B3713" s="11" t="n"/>
      <c r="C3713" s="11" t="n"/>
      <c r="D3713" s="11" t="n"/>
      <c r="E3713" s="11" t="n"/>
      <c r="F3713" s="11" t="n"/>
      <c r="G3713" s="11" t="n"/>
      <c r="H3713" s="11" t="n"/>
      <c r="I3713" s="11" t="n"/>
      <c r="J3713" s="11" t="n"/>
      <c r="K3713" s="11" t="n"/>
      <c r="L3713" s="11" t="n"/>
      <c r="M3713" s="11" t="n"/>
    </row>
    <row r="3714">
      <c r="A3714" s="11" t="n"/>
      <c r="B3714" s="11" t="n"/>
      <c r="C3714" s="11" t="n"/>
      <c r="D3714" s="11" t="n"/>
      <c r="E3714" s="11" t="n"/>
      <c r="F3714" s="11" t="n"/>
      <c r="G3714" s="11" t="n"/>
      <c r="H3714" s="11" t="n"/>
      <c r="I3714" s="11" t="n"/>
      <c r="J3714" s="11" t="n"/>
      <c r="K3714" s="11" t="n"/>
      <c r="L3714" s="11" t="n"/>
      <c r="M3714" s="11" t="n"/>
    </row>
    <row r="3715">
      <c r="A3715" s="11" t="n"/>
      <c r="B3715" s="11" t="n"/>
      <c r="C3715" s="11" t="n"/>
      <c r="D3715" s="11" t="n"/>
      <c r="E3715" s="11" t="n"/>
      <c r="F3715" s="11" t="n"/>
      <c r="G3715" s="11" t="n"/>
      <c r="H3715" s="11" t="n"/>
      <c r="I3715" s="11" t="n"/>
      <c r="J3715" s="11" t="n"/>
      <c r="K3715" s="11" t="n"/>
      <c r="L3715" s="11" t="n"/>
      <c r="M3715" s="11" t="n"/>
    </row>
    <row r="3716">
      <c r="A3716" s="11" t="n"/>
      <c r="B3716" s="11" t="n"/>
      <c r="C3716" s="11" t="n"/>
      <c r="D3716" s="11" t="n"/>
      <c r="E3716" s="11" t="n"/>
      <c r="F3716" s="11" t="n"/>
      <c r="G3716" s="11" t="n"/>
      <c r="H3716" s="11" t="n"/>
      <c r="I3716" s="11" t="n"/>
      <c r="J3716" s="11" t="n"/>
      <c r="K3716" s="11" t="n"/>
      <c r="L3716" s="11" t="n"/>
      <c r="M3716" s="11" t="n"/>
    </row>
    <row r="3717">
      <c r="A3717" s="11" t="n"/>
      <c r="B3717" s="11" t="n"/>
      <c r="C3717" s="11" t="n"/>
      <c r="D3717" s="11" t="n"/>
      <c r="E3717" s="11" t="n"/>
      <c r="F3717" s="11" t="n"/>
      <c r="G3717" s="11" t="n"/>
      <c r="H3717" s="11" t="n"/>
      <c r="I3717" s="11" t="n"/>
      <c r="J3717" s="11" t="n"/>
      <c r="K3717" s="11" t="n"/>
      <c r="L3717" s="11" t="n"/>
      <c r="M3717" s="11" t="n"/>
    </row>
    <row r="3718">
      <c r="A3718" s="11" t="n"/>
      <c r="B3718" s="11" t="n"/>
      <c r="C3718" s="11" t="n"/>
      <c r="D3718" s="11" t="n"/>
      <c r="E3718" s="11" t="n"/>
      <c r="F3718" s="11" t="n"/>
      <c r="G3718" s="11" t="n"/>
      <c r="H3718" s="11" t="n"/>
      <c r="I3718" s="11" t="n"/>
      <c r="J3718" s="11" t="n"/>
      <c r="K3718" s="11" t="n"/>
      <c r="L3718" s="11" t="n"/>
      <c r="M3718" s="11" t="n"/>
    </row>
    <row r="3719">
      <c r="A3719" s="11" t="n"/>
      <c r="B3719" s="11" t="n"/>
      <c r="C3719" s="11" t="n"/>
      <c r="D3719" s="11" t="n"/>
      <c r="E3719" s="11" t="n"/>
      <c r="F3719" s="11" t="n"/>
      <c r="G3719" s="11" t="n"/>
      <c r="H3719" s="11" t="n"/>
      <c r="I3719" s="11" t="n"/>
      <c r="J3719" s="11" t="n"/>
      <c r="K3719" s="11" t="n"/>
      <c r="L3719" s="11" t="n"/>
      <c r="M3719" s="11" t="n"/>
    </row>
    <row r="3720">
      <c r="A3720" s="11" t="n"/>
      <c r="B3720" s="11" t="n"/>
      <c r="C3720" s="11" t="n"/>
      <c r="D3720" s="11" t="n"/>
      <c r="E3720" s="11" t="n"/>
      <c r="F3720" s="11" t="n"/>
      <c r="G3720" s="11" t="n"/>
      <c r="H3720" s="11" t="n"/>
      <c r="I3720" s="11" t="n"/>
      <c r="J3720" s="11" t="n"/>
      <c r="K3720" s="11" t="n"/>
      <c r="L3720" s="11" t="n"/>
      <c r="M3720" s="11" t="n"/>
    </row>
    <row r="3721">
      <c r="A3721" s="11" t="n"/>
      <c r="B3721" s="11" t="n"/>
      <c r="C3721" s="11" t="n"/>
      <c r="D3721" s="11" t="n"/>
      <c r="E3721" s="11" t="n"/>
      <c r="F3721" s="11" t="n"/>
      <c r="G3721" s="11" t="n"/>
      <c r="H3721" s="11" t="n"/>
      <c r="I3721" s="11" t="n"/>
      <c r="J3721" s="11" t="n"/>
      <c r="K3721" s="11" t="n"/>
      <c r="L3721" s="11" t="n"/>
      <c r="M3721" s="11" t="n"/>
    </row>
    <row r="3722">
      <c r="A3722" s="11" t="n"/>
      <c r="B3722" s="11" t="n"/>
      <c r="C3722" s="11" t="n"/>
      <c r="D3722" s="11" t="n"/>
      <c r="E3722" s="11" t="n"/>
      <c r="F3722" s="11" t="n"/>
      <c r="G3722" s="11" t="n"/>
      <c r="H3722" s="11" t="n"/>
      <c r="I3722" s="11" t="n"/>
      <c r="J3722" s="11" t="n"/>
      <c r="K3722" s="11" t="n"/>
      <c r="L3722" s="11" t="n"/>
      <c r="M3722" s="11" t="n"/>
    </row>
    <row r="3723">
      <c r="A3723" s="11" t="n"/>
      <c r="B3723" s="11" t="n"/>
      <c r="C3723" s="11" t="n"/>
      <c r="D3723" s="11" t="n"/>
      <c r="E3723" s="11" t="n"/>
      <c r="F3723" s="11" t="n"/>
      <c r="G3723" s="11" t="n"/>
      <c r="H3723" s="11" t="n"/>
      <c r="I3723" s="11" t="n"/>
      <c r="J3723" s="11" t="n"/>
      <c r="K3723" s="11" t="n"/>
      <c r="L3723" s="11" t="n"/>
      <c r="M3723" s="11" t="n"/>
    </row>
    <row r="3724">
      <c r="A3724" s="11" t="n"/>
      <c r="B3724" s="11" t="n"/>
      <c r="C3724" s="11" t="n"/>
      <c r="D3724" s="11" t="n"/>
      <c r="E3724" s="11" t="n"/>
      <c r="F3724" s="11" t="n"/>
      <c r="G3724" s="11" t="n"/>
      <c r="H3724" s="11" t="n"/>
      <c r="I3724" s="11" t="n"/>
      <c r="J3724" s="11" t="n"/>
      <c r="K3724" s="11" t="n"/>
      <c r="L3724" s="11" t="n"/>
      <c r="M3724" s="11" t="n"/>
    </row>
    <row r="3725">
      <c r="A3725" s="11" t="n"/>
      <c r="B3725" s="11" t="n"/>
      <c r="C3725" s="11" t="n"/>
      <c r="D3725" s="11" t="n"/>
      <c r="E3725" s="11" t="n"/>
      <c r="F3725" s="11" t="n"/>
      <c r="G3725" s="11" t="n"/>
      <c r="H3725" s="11" t="n"/>
      <c r="I3725" s="11" t="n"/>
      <c r="J3725" s="11" t="n"/>
      <c r="K3725" s="11" t="n"/>
      <c r="L3725" s="11" t="n"/>
      <c r="M3725" s="11" t="n"/>
    </row>
    <row r="3726">
      <c r="A3726" s="11" t="n"/>
      <c r="B3726" s="11" t="n"/>
      <c r="C3726" s="11" t="n"/>
      <c r="D3726" s="11" t="n"/>
      <c r="E3726" s="11" t="n"/>
      <c r="F3726" s="11" t="n"/>
      <c r="G3726" s="11" t="n"/>
      <c r="H3726" s="11" t="n"/>
      <c r="I3726" s="11" t="n"/>
      <c r="J3726" s="11" t="n"/>
      <c r="K3726" s="11" t="n"/>
      <c r="L3726" s="11" t="n"/>
      <c r="M3726" s="11" t="n"/>
    </row>
    <row r="3727">
      <c r="A3727" s="11" t="n"/>
      <c r="B3727" s="11" t="n"/>
      <c r="C3727" s="11" t="n"/>
      <c r="D3727" s="11" t="n"/>
      <c r="E3727" s="11" t="n"/>
      <c r="F3727" s="11" t="n"/>
      <c r="G3727" s="11" t="n"/>
      <c r="H3727" s="11" t="n"/>
      <c r="I3727" s="11" t="n"/>
      <c r="J3727" s="11" t="n"/>
      <c r="K3727" s="11" t="n"/>
      <c r="L3727" s="11" t="n"/>
      <c r="M3727" s="11" t="n"/>
    </row>
    <row r="3728">
      <c r="A3728" s="11" t="n"/>
      <c r="B3728" s="11" t="n"/>
      <c r="C3728" s="11" t="n"/>
      <c r="D3728" s="11" t="n"/>
      <c r="E3728" s="11" t="n"/>
      <c r="F3728" s="11" t="n"/>
      <c r="G3728" s="11" t="n"/>
      <c r="H3728" s="11" t="n"/>
      <c r="I3728" s="11" t="n"/>
      <c r="J3728" s="11" t="n"/>
      <c r="K3728" s="11" t="n"/>
      <c r="L3728" s="11" t="n"/>
      <c r="M3728" s="11" t="n"/>
    </row>
    <row r="3729">
      <c r="A3729" s="11" t="n"/>
      <c r="B3729" s="11" t="n"/>
      <c r="C3729" s="11" t="n"/>
      <c r="D3729" s="11" t="n"/>
      <c r="E3729" s="11" t="n"/>
      <c r="F3729" s="11" t="n"/>
      <c r="G3729" s="11" t="n"/>
      <c r="H3729" s="11" t="n"/>
      <c r="I3729" s="11" t="n"/>
      <c r="J3729" s="11" t="n"/>
      <c r="K3729" s="11" t="n"/>
      <c r="L3729" s="11" t="n"/>
      <c r="M3729" s="11" t="n"/>
    </row>
    <row r="3730">
      <c r="A3730" s="11" t="n"/>
      <c r="B3730" s="11" t="n"/>
      <c r="C3730" s="11" t="n"/>
      <c r="D3730" s="11" t="n"/>
      <c r="E3730" s="11" t="n"/>
      <c r="F3730" s="11" t="n"/>
      <c r="G3730" s="11" t="n"/>
      <c r="H3730" s="11" t="n"/>
      <c r="I3730" s="11" t="n"/>
      <c r="J3730" s="11" t="n"/>
      <c r="K3730" s="11" t="n"/>
      <c r="L3730" s="11" t="n"/>
      <c r="M3730" s="11" t="n"/>
    </row>
    <row r="3731">
      <c r="A3731" s="11" t="n"/>
      <c r="B3731" s="11" t="n"/>
      <c r="C3731" s="11" t="n"/>
      <c r="D3731" s="11" t="n"/>
      <c r="E3731" s="11" t="n"/>
      <c r="F3731" s="11" t="n"/>
      <c r="G3731" s="11" t="n"/>
      <c r="H3731" s="11" t="n"/>
      <c r="I3731" s="11" t="n"/>
      <c r="J3731" s="11" t="n"/>
      <c r="K3731" s="11" t="n"/>
      <c r="L3731" s="11" t="n"/>
      <c r="M3731" s="11" t="n"/>
    </row>
    <row r="3732">
      <c r="A3732" s="11" t="n"/>
      <c r="B3732" s="11" t="n"/>
      <c r="C3732" s="11" t="n"/>
      <c r="D3732" s="11" t="n"/>
      <c r="E3732" s="11" t="n"/>
      <c r="F3732" s="11" t="n"/>
      <c r="G3732" s="11" t="n"/>
      <c r="H3732" s="11" t="n"/>
      <c r="I3732" s="11" t="n"/>
      <c r="J3732" s="11" t="n"/>
      <c r="K3732" s="11" t="n"/>
      <c r="L3732" s="11" t="n"/>
      <c r="M3732" s="11" t="n"/>
    </row>
    <row r="3733">
      <c r="A3733" s="11" t="n"/>
      <c r="B3733" s="11" t="n"/>
      <c r="C3733" s="11" t="n"/>
      <c r="D3733" s="11" t="n"/>
      <c r="E3733" s="11" t="n"/>
      <c r="F3733" s="11" t="n"/>
      <c r="G3733" s="11" t="n"/>
      <c r="H3733" s="11" t="n"/>
      <c r="I3733" s="11" t="n"/>
      <c r="J3733" s="11" t="n"/>
      <c r="K3733" s="11" t="n"/>
      <c r="L3733" s="11" t="n"/>
      <c r="M3733" s="11" t="n"/>
    </row>
    <row r="3734">
      <c r="A3734" s="11" t="n"/>
      <c r="B3734" s="11" t="n"/>
      <c r="C3734" s="11" t="n"/>
      <c r="D3734" s="11" t="n"/>
      <c r="E3734" s="11" t="n"/>
      <c r="F3734" s="11" t="n"/>
      <c r="G3734" s="11" t="n"/>
      <c r="H3734" s="11" t="n"/>
      <c r="I3734" s="11" t="n"/>
      <c r="J3734" s="11" t="n"/>
      <c r="K3734" s="11" t="n"/>
      <c r="L3734" s="11" t="n"/>
      <c r="M3734" s="11" t="n"/>
    </row>
    <row r="3735">
      <c r="A3735" s="11" t="n"/>
      <c r="B3735" s="11" t="n"/>
      <c r="C3735" s="11" t="n"/>
      <c r="D3735" s="11" t="n"/>
      <c r="E3735" s="11" t="n"/>
      <c r="F3735" s="11" t="n"/>
      <c r="G3735" s="11" t="n"/>
      <c r="H3735" s="11" t="n"/>
      <c r="I3735" s="11" t="n"/>
      <c r="J3735" s="11" t="n"/>
      <c r="K3735" s="11" t="n"/>
      <c r="L3735" s="11" t="n"/>
      <c r="M3735" s="11" t="n"/>
    </row>
    <row r="3736">
      <c r="A3736" s="11" t="n"/>
      <c r="B3736" s="11" t="n"/>
      <c r="C3736" s="11" t="n"/>
      <c r="D3736" s="11" t="n"/>
      <c r="E3736" s="11" t="n"/>
      <c r="F3736" s="11" t="n"/>
      <c r="G3736" s="11" t="n"/>
      <c r="H3736" s="11" t="n"/>
      <c r="I3736" s="11" t="n"/>
      <c r="J3736" s="11" t="n"/>
      <c r="K3736" s="11" t="n"/>
      <c r="L3736" s="11" t="n"/>
      <c r="M3736" s="11" t="n"/>
    </row>
    <row r="3737">
      <c r="A3737" s="11" t="n"/>
      <c r="B3737" s="11" t="n"/>
      <c r="C3737" s="11" t="n"/>
      <c r="D3737" s="11" t="n"/>
      <c r="E3737" s="11" t="n"/>
      <c r="F3737" s="11" t="n"/>
      <c r="G3737" s="11" t="n"/>
      <c r="H3737" s="11" t="n"/>
      <c r="I3737" s="11" t="n"/>
      <c r="J3737" s="11" t="n"/>
      <c r="K3737" s="11" t="n"/>
      <c r="L3737" s="11" t="n"/>
      <c r="M3737" s="11" t="n"/>
    </row>
    <row r="3738">
      <c r="A3738" s="11" t="n"/>
      <c r="B3738" s="11" t="n"/>
      <c r="C3738" s="11" t="n"/>
      <c r="D3738" s="11" t="n"/>
      <c r="E3738" s="11" t="n"/>
      <c r="F3738" s="11" t="n"/>
      <c r="G3738" s="11" t="n"/>
      <c r="H3738" s="11" t="n"/>
      <c r="I3738" s="11" t="n"/>
      <c r="J3738" s="11" t="n"/>
      <c r="K3738" s="11" t="n"/>
      <c r="L3738" s="11" t="n"/>
      <c r="M3738" s="11" t="n"/>
    </row>
    <row r="3739">
      <c r="A3739" s="11" t="n"/>
      <c r="B3739" s="11" t="n"/>
      <c r="C3739" s="11" t="n"/>
      <c r="D3739" s="11" t="n"/>
      <c r="E3739" s="11" t="n"/>
      <c r="F3739" s="11" t="n"/>
      <c r="G3739" s="11" t="n"/>
      <c r="H3739" s="11" t="n"/>
      <c r="I3739" s="11" t="n"/>
      <c r="J3739" s="11" t="n"/>
      <c r="K3739" s="11" t="n"/>
      <c r="L3739" s="11" t="n"/>
      <c r="M3739" s="11" t="n"/>
    </row>
    <row r="3740">
      <c r="A3740" s="11" t="n"/>
      <c r="B3740" s="11" t="n"/>
      <c r="C3740" s="11" t="n"/>
      <c r="D3740" s="11" t="n"/>
      <c r="E3740" s="11" t="n"/>
      <c r="F3740" s="11" t="n"/>
      <c r="G3740" s="11" t="n"/>
      <c r="H3740" s="11" t="n"/>
      <c r="I3740" s="11" t="n"/>
      <c r="J3740" s="11" t="n"/>
      <c r="K3740" s="11" t="n"/>
      <c r="L3740" s="11" t="n"/>
      <c r="M3740" s="11" t="n"/>
    </row>
    <row r="3741">
      <c r="A3741" s="11" t="n"/>
      <c r="B3741" s="11" t="n"/>
      <c r="C3741" s="11" t="n"/>
      <c r="D3741" s="11" t="n"/>
      <c r="E3741" s="11" t="n"/>
      <c r="F3741" s="11" t="n"/>
      <c r="G3741" s="11" t="n"/>
      <c r="H3741" s="11" t="n"/>
      <c r="I3741" s="11" t="n"/>
      <c r="J3741" s="11" t="n"/>
      <c r="K3741" s="11" t="n"/>
      <c r="L3741" s="11" t="n"/>
      <c r="M3741" s="11" t="n"/>
    </row>
    <row r="3742">
      <c r="A3742" s="11" t="n"/>
      <c r="B3742" s="11" t="n"/>
      <c r="C3742" s="11" t="n"/>
      <c r="D3742" s="11" t="n"/>
      <c r="E3742" s="11" t="n"/>
      <c r="F3742" s="11" t="n"/>
      <c r="G3742" s="11" t="n"/>
      <c r="H3742" s="11" t="n"/>
      <c r="I3742" s="11" t="n"/>
      <c r="J3742" s="11" t="n"/>
      <c r="K3742" s="11" t="n"/>
      <c r="L3742" s="11" t="n"/>
      <c r="M3742" s="11" t="n"/>
    </row>
    <row r="3743">
      <c r="A3743" s="11" t="n"/>
      <c r="B3743" s="11" t="n"/>
      <c r="C3743" s="11" t="n"/>
      <c r="D3743" s="11" t="n"/>
      <c r="E3743" s="11" t="n"/>
      <c r="F3743" s="11" t="n"/>
      <c r="G3743" s="11" t="n"/>
      <c r="H3743" s="11" t="n"/>
      <c r="I3743" s="11" t="n"/>
      <c r="J3743" s="11" t="n"/>
      <c r="K3743" s="11" t="n"/>
      <c r="L3743" s="11" t="n"/>
      <c r="M3743" s="11" t="n"/>
    </row>
    <row r="3744">
      <c r="A3744" s="11" t="n"/>
      <c r="B3744" s="11" t="n"/>
      <c r="C3744" s="11" t="n"/>
      <c r="D3744" s="11" t="n"/>
      <c r="E3744" s="11" t="n"/>
      <c r="F3744" s="11" t="n"/>
      <c r="G3744" s="11" t="n"/>
      <c r="H3744" s="11" t="n"/>
      <c r="I3744" s="11" t="n"/>
      <c r="J3744" s="11" t="n"/>
      <c r="K3744" s="11" t="n"/>
      <c r="L3744" s="11" t="n"/>
      <c r="M3744" s="11" t="n"/>
    </row>
    <row r="3745">
      <c r="A3745" s="11" t="n"/>
      <c r="B3745" s="11" t="n"/>
      <c r="C3745" s="11" t="n"/>
      <c r="D3745" s="11" t="n"/>
      <c r="E3745" s="11" t="n"/>
      <c r="F3745" s="11" t="n"/>
      <c r="G3745" s="11" t="n"/>
      <c r="H3745" s="11" t="n"/>
      <c r="I3745" s="11" t="n"/>
      <c r="J3745" s="11" t="n"/>
      <c r="K3745" s="11" t="n"/>
      <c r="L3745" s="11" t="n"/>
      <c r="M3745" s="11" t="n"/>
    </row>
    <row r="3746">
      <c r="A3746" s="11" t="n"/>
      <c r="B3746" s="11" t="n"/>
      <c r="C3746" s="11" t="n"/>
      <c r="D3746" s="11" t="n"/>
      <c r="E3746" s="11" t="n"/>
      <c r="F3746" s="11" t="n"/>
      <c r="G3746" s="11" t="n"/>
      <c r="H3746" s="11" t="n"/>
      <c r="I3746" s="11" t="n"/>
      <c r="J3746" s="11" t="n"/>
      <c r="K3746" s="11" t="n"/>
      <c r="L3746" s="11" t="n"/>
      <c r="M3746" s="11" t="n"/>
    </row>
    <row r="3747">
      <c r="A3747" s="11" t="n"/>
      <c r="B3747" s="11" t="n"/>
      <c r="C3747" s="11" t="n"/>
      <c r="D3747" s="11" t="n"/>
      <c r="E3747" s="11" t="n"/>
      <c r="F3747" s="11" t="n"/>
      <c r="G3747" s="11" t="n"/>
      <c r="H3747" s="11" t="n"/>
      <c r="I3747" s="11" t="n"/>
      <c r="J3747" s="11" t="n"/>
      <c r="K3747" s="11" t="n"/>
      <c r="L3747" s="11" t="n"/>
      <c r="M3747" s="11" t="n"/>
    </row>
    <row r="3748">
      <c r="A3748" s="11" t="n"/>
      <c r="B3748" s="11" t="n"/>
      <c r="C3748" s="11" t="n"/>
      <c r="D3748" s="11" t="n"/>
      <c r="E3748" s="11" t="n"/>
      <c r="F3748" s="11" t="n"/>
      <c r="G3748" s="11" t="n"/>
      <c r="H3748" s="11" t="n"/>
      <c r="I3748" s="11" t="n"/>
      <c r="J3748" s="11" t="n"/>
      <c r="K3748" s="11" t="n"/>
      <c r="L3748" s="11" t="n"/>
      <c r="M3748" s="11" t="n"/>
    </row>
    <row r="3749">
      <c r="A3749" s="11" t="n"/>
      <c r="B3749" s="11" t="n"/>
      <c r="C3749" s="11" t="n"/>
      <c r="D3749" s="11" t="n"/>
      <c r="E3749" s="11" t="n"/>
      <c r="F3749" s="11" t="n"/>
      <c r="G3749" s="11" t="n"/>
      <c r="H3749" s="11" t="n"/>
      <c r="I3749" s="11" t="n"/>
      <c r="J3749" s="11" t="n"/>
      <c r="K3749" s="11" t="n"/>
      <c r="L3749" s="11" t="n"/>
      <c r="M3749" s="11" t="n"/>
    </row>
    <row r="3750">
      <c r="A3750" s="11" t="n"/>
      <c r="B3750" s="11" t="n"/>
      <c r="C3750" s="11" t="n"/>
      <c r="D3750" s="11" t="n"/>
      <c r="E3750" s="11" t="n"/>
      <c r="F3750" s="11" t="n"/>
      <c r="G3750" s="11" t="n"/>
      <c r="H3750" s="11" t="n"/>
      <c r="I3750" s="11" t="n"/>
      <c r="J3750" s="11" t="n"/>
      <c r="K3750" s="11" t="n"/>
      <c r="L3750" s="11" t="n"/>
      <c r="M3750" s="11" t="n"/>
    </row>
    <row r="3751">
      <c r="A3751" s="11" t="n"/>
      <c r="B3751" s="11" t="n"/>
      <c r="C3751" s="11" t="n"/>
      <c r="D3751" s="11" t="n"/>
      <c r="E3751" s="11" t="n"/>
      <c r="F3751" s="11" t="n"/>
      <c r="G3751" s="11" t="n"/>
      <c r="H3751" s="11" t="n"/>
      <c r="I3751" s="11" t="n"/>
      <c r="J3751" s="11" t="n"/>
      <c r="K3751" s="11" t="n"/>
      <c r="L3751" s="11" t="n"/>
      <c r="M3751" s="11" t="n"/>
    </row>
    <row r="3752">
      <c r="A3752" s="11" t="n"/>
      <c r="B3752" s="11" t="n"/>
      <c r="C3752" s="11" t="n"/>
      <c r="D3752" s="11" t="n"/>
      <c r="E3752" s="11" t="n"/>
      <c r="F3752" s="11" t="n"/>
      <c r="G3752" s="11" t="n"/>
      <c r="H3752" s="11" t="n"/>
      <c r="I3752" s="11" t="n"/>
      <c r="J3752" s="11" t="n"/>
      <c r="K3752" s="11" t="n"/>
      <c r="L3752" s="11" t="n"/>
      <c r="M3752" s="11" t="n"/>
    </row>
    <row r="3753">
      <c r="A3753" s="11" t="n"/>
      <c r="B3753" s="11" t="n"/>
      <c r="C3753" s="11" t="n"/>
      <c r="D3753" s="11" t="n"/>
      <c r="E3753" s="11" t="n"/>
      <c r="F3753" s="11" t="n"/>
      <c r="G3753" s="11" t="n"/>
      <c r="H3753" s="11" t="n"/>
      <c r="I3753" s="11" t="n"/>
      <c r="J3753" s="11" t="n"/>
      <c r="K3753" s="11" t="n"/>
      <c r="L3753" s="11" t="n"/>
      <c r="M3753" s="11" t="n"/>
    </row>
    <row r="3754">
      <c r="A3754" s="11" t="n"/>
      <c r="B3754" s="11" t="n"/>
      <c r="C3754" s="11" t="n"/>
      <c r="D3754" s="11" t="n"/>
      <c r="E3754" s="11" t="n"/>
      <c r="F3754" s="11" t="n"/>
      <c r="G3754" s="11" t="n"/>
      <c r="H3754" s="11" t="n"/>
      <c r="I3754" s="11" t="n"/>
      <c r="J3754" s="11" t="n"/>
      <c r="K3754" s="11" t="n"/>
      <c r="L3754" s="11" t="n"/>
      <c r="M3754" s="11" t="n"/>
    </row>
    <row r="3755">
      <c r="A3755" s="11" t="n"/>
      <c r="B3755" s="11" t="n"/>
      <c r="C3755" s="11" t="n"/>
      <c r="D3755" s="11" t="n"/>
      <c r="E3755" s="11" t="n"/>
      <c r="F3755" s="11" t="n"/>
      <c r="G3755" s="11" t="n"/>
      <c r="H3755" s="11" t="n"/>
      <c r="I3755" s="11" t="n"/>
      <c r="J3755" s="11" t="n"/>
      <c r="K3755" s="11" t="n"/>
      <c r="L3755" s="11" t="n"/>
      <c r="M3755" s="11" t="n"/>
    </row>
    <row r="3756">
      <c r="A3756" s="11" t="n"/>
      <c r="B3756" s="11" t="n"/>
      <c r="C3756" s="11" t="n"/>
      <c r="D3756" s="11" t="n"/>
      <c r="E3756" s="11" t="n"/>
      <c r="F3756" s="11" t="n"/>
      <c r="G3756" s="11" t="n"/>
      <c r="H3756" s="11" t="n"/>
      <c r="I3756" s="11" t="n"/>
      <c r="J3756" s="11" t="n"/>
      <c r="K3756" s="11" t="n"/>
      <c r="L3756" s="11" t="n"/>
      <c r="M3756" s="11" t="n"/>
    </row>
    <row r="3757">
      <c r="A3757" s="11" t="n"/>
      <c r="B3757" s="11" t="n"/>
      <c r="C3757" s="11" t="n"/>
      <c r="D3757" s="11" t="n"/>
      <c r="E3757" s="11" t="n"/>
      <c r="F3757" s="11" t="n"/>
      <c r="G3757" s="11" t="n"/>
      <c r="H3757" s="11" t="n"/>
      <c r="I3757" s="11" t="n"/>
      <c r="J3757" s="11" t="n"/>
      <c r="K3757" s="11" t="n"/>
      <c r="L3757" s="11" t="n"/>
      <c r="M3757" s="11" t="n"/>
    </row>
    <row r="3758">
      <c r="A3758" s="11" t="n"/>
      <c r="B3758" s="11" t="n"/>
      <c r="C3758" s="11" t="n"/>
      <c r="D3758" s="11" t="n"/>
      <c r="E3758" s="11" t="n"/>
      <c r="F3758" s="11" t="n"/>
      <c r="G3758" s="11" t="n"/>
      <c r="H3758" s="11" t="n"/>
      <c r="I3758" s="11" t="n"/>
      <c r="J3758" s="11" t="n"/>
      <c r="K3758" s="11" t="n"/>
      <c r="L3758" s="11" t="n"/>
      <c r="M3758" s="11" t="n"/>
    </row>
    <row r="3759">
      <c r="A3759" s="11" t="n"/>
      <c r="B3759" s="11" t="n"/>
      <c r="C3759" s="11" t="n"/>
      <c r="D3759" s="11" t="n"/>
      <c r="E3759" s="11" t="n"/>
      <c r="F3759" s="11" t="n"/>
      <c r="G3759" s="11" t="n"/>
      <c r="H3759" s="11" t="n"/>
      <c r="I3759" s="11" t="n"/>
      <c r="J3759" s="11" t="n"/>
      <c r="K3759" s="11" t="n"/>
      <c r="L3759" s="11" t="n"/>
      <c r="M3759" s="11" t="n"/>
    </row>
    <row r="3760">
      <c r="A3760" s="11" t="n"/>
      <c r="B3760" s="11" t="n"/>
      <c r="C3760" s="11" t="n"/>
      <c r="D3760" s="11" t="n"/>
      <c r="E3760" s="11" t="n"/>
      <c r="F3760" s="11" t="n"/>
      <c r="G3760" s="11" t="n"/>
      <c r="H3760" s="11" t="n"/>
      <c r="I3760" s="11" t="n"/>
      <c r="J3760" s="11" t="n"/>
      <c r="K3760" s="11" t="n"/>
      <c r="L3760" s="11" t="n"/>
      <c r="M3760" s="11" t="n"/>
    </row>
    <row r="3761">
      <c r="A3761" s="11" t="n"/>
      <c r="B3761" s="11" t="n"/>
      <c r="C3761" s="11" t="n"/>
      <c r="D3761" s="11" t="n"/>
      <c r="E3761" s="11" t="n"/>
      <c r="F3761" s="11" t="n"/>
      <c r="G3761" s="11" t="n"/>
      <c r="H3761" s="11" t="n"/>
      <c r="I3761" s="11" t="n"/>
      <c r="J3761" s="11" t="n"/>
      <c r="K3761" s="11" t="n"/>
      <c r="L3761" s="11" t="n"/>
      <c r="M3761" s="11" t="n"/>
    </row>
    <row r="3762">
      <c r="A3762" s="11" t="n"/>
      <c r="B3762" s="11" t="n"/>
      <c r="C3762" s="11" t="n"/>
      <c r="D3762" s="11" t="n"/>
      <c r="E3762" s="11" t="n"/>
      <c r="F3762" s="11" t="n"/>
      <c r="G3762" s="11" t="n"/>
      <c r="H3762" s="11" t="n"/>
      <c r="I3762" s="11" t="n"/>
      <c r="J3762" s="11" t="n"/>
      <c r="K3762" s="11" t="n"/>
      <c r="L3762" s="11" t="n"/>
      <c r="M3762" s="11" t="n"/>
    </row>
    <row r="3763">
      <c r="A3763" s="11" t="n"/>
      <c r="B3763" s="11" t="n"/>
      <c r="C3763" s="11" t="n"/>
      <c r="D3763" s="11" t="n"/>
      <c r="E3763" s="11" t="n"/>
      <c r="F3763" s="11" t="n"/>
      <c r="G3763" s="11" t="n"/>
      <c r="H3763" s="11" t="n"/>
      <c r="I3763" s="11" t="n"/>
      <c r="J3763" s="11" t="n"/>
      <c r="K3763" s="11" t="n"/>
      <c r="L3763" s="11" t="n"/>
      <c r="M3763" s="11" t="n"/>
    </row>
    <row r="3764">
      <c r="A3764" s="11" t="n"/>
      <c r="B3764" s="11" t="n"/>
      <c r="C3764" s="11" t="n"/>
      <c r="D3764" s="11" t="n"/>
      <c r="E3764" s="11" t="n"/>
      <c r="F3764" s="11" t="n"/>
      <c r="G3764" s="11" t="n"/>
      <c r="H3764" s="11" t="n"/>
      <c r="I3764" s="11" t="n"/>
      <c r="J3764" s="11" t="n"/>
      <c r="K3764" s="11" t="n"/>
      <c r="L3764" s="11" t="n"/>
      <c r="M3764" s="11" t="n"/>
    </row>
    <row r="3765">
      <c r="A3765" s="11" t="n"/>
      <c r="B3765" s="11" t="n"/>
      <c r="C3765" s="11" t="n"/>
      <c r="D3765" s="11" t="n"/>
      <c r="E3765" s="11" t="n"/>
      <c r="F3765" s="11" t="n"/>
      <c r="G3765" s="11" t="n"/>
      <c r="H3765" s="11" t="n"/>
      <c r="I3765" s="11" t="n"/>
      <c r="J3765" s="11" t="n"/>
      <c r="K3765" s="11" t="n"/>
      <c r="L3765" s="11" t="n"/>
      <c r="M3765" s="11" t="n"/>
    </row>
    <row r="3766">
      <c r="A3766" s="11" t="n"/>
      <c r="B3766" s="11" t="n"/>
      <c r="C3766" s="11" t="n"/>
      <c r="D3766" s="11" t="n"/>
      <c r="E3766" s="11" t="n"/>
      <c r="F3766" s="11" t="n"/>
      <c r="G3766" s="11" t="n"/>
      <c r="H3766" s="11" t="n"/>
      <c r="I3766" s="11" t="n"/>
      <c r="J3766" s="11" t="n"/>
      <c r="K3766" s="11" t="n"/>
      <c r="L3766" s="11" t="n"/>
      <c r="M3766" s="11" t="n"/>
    </row>
    <row r="3767">
      <c r="A3767" s="11" t="n"/>
      <c r="B3767" s="11" t="n"/>
      <c r="C3767" s="11" t="n"/>
      <c r="D3767" s="11" t="n"/>
      <c r="E3767" s="11" t="n"/>
      <c r="F3767" s="11" t="n"/>
      <c r="G3767" s="11" t="n"/>
      <c r="H3767" s="11" t="n"/>
      <c r="I3767" s="11" t="n"/>
      <c r="J3767" s="11" t="n"/>
      <c r="K3767" s="11" t="n"/>
      <c r="L3767" s="11" t="n"/>
      <c r="M3767" s="11" t="n"/>
    </row>
    <row r="3768">
      <c r="A3768" s="11" t="n"/>
      <c r="B3768" s="11" t="n"/>
      <c r="C3768" s="11" t="n"/>
      <c r="D3768" s="11" t="n"/>
      <c r="E3768" s="11" t="n"/>
      <c r="F3768" s="11" t="n"/>
      <c r="G3768" s="11" t="n"/>
      <c r="H3768" s="11" t="n"/>
      <c r="I3768" s="11" t="n"/>
      <c r="J3768" s="11" t="n"/>
      <c r="K3768" s="11" t="n"/>
      <c r="L3768" s="11" t="n"/>
      <c r="M3768" s="11" t="n"/>
    </row>
    <row r="3769">
      <c r="A3769" s="11" t="n"/>
      <c r="B3769" s="11" t="n"/>
      <c r="C3769" s="11" t="n"/>
      <c r="D3769" s="11" t="n"/>
      <c r="E3769" s="11" t="n"/>
      <c r="F3769" s="11" t="n"/>
      <c r="G3769" s="11" t="n"/>
      <c r="H3769" s="11" t="n"/>
      <c r="I3769" s="11" t="n"/>
      <c r="J3769" s="11" t="n"/>
      <c r="K3769" s="11" t="n"/>
      <c r="L3769" s="11" t="n"/>
      <c r="M3769" s="11" t="n"/>
    </row>
    <row r="3770">
      <c r="A3770" s="11" t="n"/>
      <c r="B3770" s="11" t="n"/>
      <c r="C3770" s="11" t="n"/>
      <c r="D3770" s="11" t="n"/>
      <c r="E3770" s="11" t="n"/>
      <c r="F3770" s="11" t="n"/>
      <c r="G3770" s="11" t="n"/>
      <c r="H3770" s="11" t="n"/>
      <c r="I3770" s="11" t="n"/>
      <c r="J3770" s="11" t="n"/>
      <c r="K3770" s="11" t="n"/>
      <c r="L3770" s="11" t="n"/>
      <c r="M3770" s="11" t="n"/>
    </row>
    <row r="3771">
      <c r="A3771" s="11" t="n"/>
      <c r="B3771" s="11" t="n"/>
      <c r="C3771" s="11" t="n"/>
      <c r="D3771" s="11" t="n"/>
      <c r="E3771" s="11" t="n"/>
      <c r="F3771" s="11" t="n"/>
      <c r="G3771" s="11" t="n"/>
      <c r="H3771" s="11" t="n"/>
      <c r="I3771" s="11" t="n"/>
      <c r="J3771" s="11" t="n"/>
      <c r="K3771" s="11" t="n"/>
      <c r="L3771" s="11" t="n"/>
      <c r="M3771" s="11" t="n"/>
    </row>
    <row r="3772">
      <c r="A3772" s="11" t="n"/>
      <c r="B3772" s="11" t="n"/>
      <c r="C3772" s="11" t="n"/>
      <c r="D3772" s="11" t="n"/>
      <c r="E3772" s="11" t="n"/>
      <c r="F3772" s="11" t="n"/>
      <c r="G3772" s="11" t="n"/>
      <c r="H3772" s="11" t="n"/>
      <c r="I3772" s="11" t="n"/>
      <c r="J3772" s="11" t="n"/>
      <c r="K3772" s="11" t="n"/>
      <c r="L3772" s="11" t="n"/>
      <c r="M3772" s="11" t="n"/>
    </row>
    <row r="3773">
      <c r="A3773" s="11" t="n"/>
      <c r="B3773" s="11" t="n"/>
      <c r="C3773" s="11" t="n"/>
      <c r="D3773" s="11" t="n"/>
      <c r="E3773" s="11" t="n"/>
      <c r="F3773" s="11" t="n"/>
      <c r="G3773" s="11" t="n"/>
      <c r="H3773" s="11" t="n"/>
      <c r="I3773" s="11" t="n"/>
      <c r="J3773" s="11" t="n"/>
      <c r="K3773" s="11" t="n"/>
      <c r="L3773" s="11" t="n"/>
      <c r="M3773" s="11" t="n"/>
    </row>
    <row r="3774">
      <c r="A3774" s="11" t="n"/>
      <c r="B3774" s="11" t="n"/>
      <c r="C3774" s="11" t="n"/>
      <c r="D3774" s="11" t="n"/>
      <c r="E3774" s="11" t="n"/>
      <c r="F3774" s="11" t="n"/>
      <c r="G3774" s="11" t="n"/>
      <c r="H3774" s="11" t="n"/>
      <c r="I3774" s="11" t="n"/>
      <c r="J3774" s="11" t="n"/>
      <c r="K3774" s="11" t="n"/>
      <c r="L3774" s="11" t="n"/>
      <c r="M3774" s="11" t="n"/>
    </row>
    <row r="3775">
      <c r="A3775" s="11" t="n"/>
      <c r="B3775" s="11" t="n"/>
      <c r="C3775" s="11" t="n"/>
      <c r="D3775" s="11" t="n"/>
      <c r="E3775" s="11" t="n"/>
      <c r="F3775" s="11" t="n"/>
      <c r="G3775" s="11" t="n"/>
      <c r="H3775" s="11" t="n"/>
      <c r="I3775" s="11" t="n"/>
      <c r="J3775" s="11" t="n"/>
      <c r="K3775" s="11" t="n"/>
      <c r="L3775" s="11" t="n"/>
      <c r="M3775" s="11" t="n"/>
    </row>
    <row r="3776">
      <c r="A3776" s="11" t="n"/>
      <c r="B3776" s="11" t="n"/>
      <c r="C3776" s="11" t="n"/>
      <c r="D3776" s="11" t="n"/>
      <c r="E3776" s="11" t="n"/>
      <c r="F3776" s="11" t="n"/>
      <c r="G3776" s="11" t="n"/>
      <c r="H3776" s="11" t="n"/>
      <c r="I3776" s="11" t="n"/>
      <c r="J3776" s="11" t="n"/>
      <c r="K3776" s="11" t="n"/>
      <c r="L3776" s="11" t="n"/>
      <c r="M3776" s="11" t="n"/>
    </row>
    <row r="3777">
      <c r="A3777" s="11" t="n"/>
      <c r="B3777" s="11" t="n"/>
      <c r="C3777" s="11" t="n"/>
      <c r="D3777" s="11" t="n"/>
      <c r="E3777" s="11" t="n"/>
      <c r="F3777" s="11" t="n"/>
      <c r="G3777" s="11" t="n"/>
      <c r="H3777" s="11" t="n"/>
      <c r="I3777" s="11" t="n"/>
      <c r="J3777" s="11" t="n"/>
      <c r="K3777" s="11" t="n"/>
      <c r="L3777" s="11" t="n"/>
      <c r="M3777" s="11" t="n"/>
    </row>
    <row r="3778">
      <c r="A3778" s="11" t="n"/>
      <c r="B3778" s="11" t="n"/>
      <c r="C3778" s="11" t="n"/>
      <c r="D3778" s="11" t="n"/>
      <c r="E3778" s="11" t="n"/>
      <c r="F3778" s="11" t="n"/>
      <c r="G3778" s="11" t="n"/>
      <c r="H3778" s="11" t="n"/>
      <c r="I3778" s="11" t="n"/>
      <c r="J3778" s="11" t="n"/>
      <c r="K3778" s="11" t="n"/>
      <c r="L3778" s="11" t="n"/>
      <c r="M3778" s="11" t="n"/>
    </row>
    <row r="3779">
      <c r="A3779" s="11" t="n"/>
      <c r="B3779" s="11" t="n"/>
      <c r="C3779" s="11" t="n"/>
      <c r="D3779" s="11" t="n"/>
      <c r="E3779" s="11" t="n"/>
      <c r="F3779" s="11" t="n"/>
      <c r="G3779" s="11" t="n"/>
      <c r="H3779" s="11" t="n"/>
      <c r="I3779" s="11" t="n"/>
      <c r="J3779" s="11" t="n"/>
      <c r="K3779" s="11" t="n"/>
      <c r="L3779" s="11" t="n"/>
      <c r="M3779" s="11" t="n"/>
    </row>
    <row r="3780">
      <c r="A3780" s="11" t="n"/>
      <c r="B3780" s="11" t="n"/>
      <c r="C3780" s="11" t="n"/>
      <c r="D3780" s="11" t="n"/>
      <c r="E3780" s="11" t="n"/>
      <c r="F3780" s="11" t="n"/>
      <c r="G3780" s="11" t="n"/>
      <c r="H3780" s="11" t="n"/>
      <c r="I3780" s="11" t="n"/>
      <c r="J3780" s="11" t="n"/>
      <c r="K3780" s="11" t="n"/>
      <c r="L3780" s="11" t="n"/>
      <c r="M3780" s="11" t="n"/>
    </row>
    <row r="3781">
      <c r="A3781" s="11" t="n"/>
      <c r="B3781" s="11" t="n"/>
      <c r="C3781" s="11" t="n"/>
      <c r="D3781" s="11" t="n"/>
      <c r="E3781" s="11" t="n"/>
      <c r="F3781" s="11" t="n"/>
      <c r="G3781" s="11" t="n"/>
      <c r="H3781" s="11" t="n"/>
      <c r="I3781" s="11" t="n"/>
      <c r="J3781" s="11" t="n"/>
      <c r="K3781" s="11" t="n"/>
      <c r="L3781" s="11" t="n"/>
      <c r="M3781" s="11" t="n"/>
    </row>
    <row r="3782">
      <c r="A3782" s="11" t="n"/>
      <c r="B3782" s="11" t="n"/>
      <c r="C3782" s="11" t="n"/>
      <c r="D3782" s="11" t="n"/>
      <c r="E3782" s="11" t="n"/>
      <c r="F3782" s="11" t="n"/>
      <c r="G3782" s="11" t="n"/>
      <c r="H3782" s="11" t="n"/>
      <c r="I3782" s="11" t="n"/>
      <c r="J3782" s="11" t="n"/>
      <c r="K3782" s="11" t="n"/>
      <c r="L3782" s="11" t="n"/>
      <c r="M3782" s="11" t="n"/>
    </row>
    <row r="3783">
      <c r="A3783" s="11" t="n"/>
      <c r="B3783" s="11" t="n"/>
      <c r="C3783" s="11" t="n"/>
      <c r="D3783" s="11" t="n"/>
      <c r="E3783" s="11" t="n"/>
      <c r="F3783" s="11" t="n"/>
      <c r="G3783" s="11" t="n"/>
      <c r="H3783" s="11" t="n"/>
      <c r="I3783" s="11" t="n"/>
      <c r="J3783" s="11" t="n"/>
      <c r="K3783" s="11" t="n"/>
      <c r="L3783" s="11" t="n"/>
      <c r="M3783" s="11" t="n"/>
    </row>
    <row r="3784">
      <c r="A3784" s="11" t="n"/>
      <c r="B3784" s="11" t="n"/>
      <c r="C3784" s="11" t="n"/>
      <c r="D3784" s="11" t="n"/>
      <c r="E3784" s="11" t="n"/>
      <c r="F3784" s="11" t="n"/>
      <c r="G3784" s="11" t="n"/>
      <c r="H3784" s="11" t="n"/>
      <c r="I3784" s="11" t="n"/>
      <c r="J3784" s="11" t="n"/>
      <c r="K3784" s="11" t="n"/>
      <c r="L3784" s="11" t="n"/>
      <c r="M3784" s="11" t="n"/>
    </row>
    <row r="3785">
      <c r="A3785" s="11" t="n"/>
      <c r="B3785" s="11" t="n"/>
      <c r="C3785" s="11" t="n"/>
      <c r="D3785" s="11" t="n"/>
      <c r="E3785" s="11" t="n"/>
      <c r="F3785" s="11" t="n"/>
      <c r="G3785" s="11" t="n"/>
      <c r="H3785" s="11" t="n"/>
      <c r="I3785" s="11" t="n"/>
      <c r="J3785" s="11" t="n"/>
      <c r="K3785" s="11" t="n"/>
      <c r="L3785" s="11" t="n"/>
      <c r="M3785" s="11" t="n"/>
    </row>
    <row r="3786">
      <c r="A3786" s="11" t="n"/>
      <c r="B3786" s="11" t="n"/>
      <c r="C3786" s="11" t="n"/>
      <c r="D3786" s="11" t="n"/>
      <c r="E3786" s="11" t="n"/>
      <c r="F3786" s="11" t="n"/>
      <c r="G3786" s="11" t="n"/>
      <c r="H3786" s="11" t="n"/>
      <c r="I3786" s="11" t="n"/>
      <c r="J3786" s="11" t="n"/>
      <c r="K3786" s="11" t="n"/>
      <c r="L3786" s="11" t="n"/>
      <c r="M3786" s="11" t="n"/>
    </row>
    <row r="3787">
      <c r="A3787" s="11" t="n"/>
      <c r="B3787" s="11" t="n"/>
      <c r="C3787" s="11" t="n"/>
      <c r="D3787" s="11" t="n"/>
      <c r="E3787" s="11" t="n"/>
      <c r="F3787" s="11" t="n"/>
      <c r="G3787" s="11" t="n"/>
      <c r="H3787" s="11" t="n"/>
      <c r="I3787" s="11" t="n"/>
      <c r="J3787" s="11" t="n"/>
      <c r="K3787" s="11" t="n"/>
      <c r="L3787" s="11" t="n"/>
      <c r="M3787" s="11" t="n"/>
    </row>
    <row r="3788">
      <c r="A3788" s="11" t="n"/>
      <c r="B3788" s="11" t="n"/>
      <c r="C3788" s="11" t="n"/>
      <c r="D3788" s="11" t="n"/>
      <c r="E3788" s="11" t="n"/>
      <c r="F3788" s="11" t="n"/>
      <c r="G3788" s="11" t="n"/>
      <c r="H3788" s="11" t="n"/>
      <c r="I3788" s="11" t="n"/>
      <c r="J3788" s="11" t="n"/>
      <c r="K3788" s="11" t="n"/>
      <c r="L3788" s="11" t="n"/>
      <c r="M3788" s="11" t="n"/>
    </row>
    <row r="3789">
      <c r="A3789" s="11" t="n"/>
      <c r="B3789" s="11" t="n"/>
      <c r="C3789" s="11" t="n"/>
      <c r="D3789" s="11" t="n"/>
      <c r="E3789" s="11" t="n"/>
      <c r="F3789" s="11" t="n"/>
      <c r="G3789" s="11" t="n"/>
      <c r="H3789" s="11" t="n"/>
      <c r="I3789" s="11" t="n"/>
      <c r="J3789" s="11" t="n"/>
      <c r="K3789" s="11" t="n"/>
      <c r="L3789" s="11" t="n"/>
      <c r="M3789" s="11" t="n"/>
    </row>
    <row r="3790">
      <c r="A3790" s="11" t="n"/>
      <c r="B3790" s="11" t="n"/>
      <c r="C3790" s="11" t="n"/>
      <c r="D3790" s="11" t="n"/>
      <c r="E3790" s="11" t="n"/>
      <c r="F3790" s="11" t="n"/>
      <c r="G3790" s="11" t="n"/>
      <c r="H3790" s="11" t="n"/>
      <c r="I3790" s="11" t="n"/>
      <c r="J3790" s="11" t="n"/>
      <c r="K3790" s="11" t="n"/>
      <c r="L3790" s="11" t="n"/>
      <c r="M3790" s="11" t="n"/>
    </row>
    <row r="3791">
      <c r="A3791" s="11" t="n"/>
      <c r="B3791" s="11" t="n"/>
      <c r="C3791" s="11" t="n"/>
      <c r="D3791" s="11" t="n"/>
      <c r="E3791" s="11" t="n"/>
      <c r="F3791" s="11" t="n"/>
      <c r="G3791" s="11" t="n"/>
      <c r="H3791" s="11" t="n"/>
      <c r="I3791" s="11" t="n"/>
      <c r="J3791" s="11" t="n"/>
      <c r="K3791" s="11" t="n"/>
      <c r="L3791" s="11" t="n"/>
      <c r="M3791" s="11" t="n"/>
    </row>
    <row r="3792">
      <c r="A3792" s="11" t="n"/>
      <c r="B3792" s="11" t="n"/>
      <c r="C3792" s="11" t="n"/>
      <c r="D3792" s="11" t="n"/>
      <c r="E3792" s="11" t="n"/>
      <c r="F3792" s="11" t="n"/>
      <c r="G3792" s="11" t="n"/>
      <c r="H3792" s="11" t="n"/>
      <c r="I3792" s="11" t="n"/>
      <c r="J3792" s="11" t="n"/>
      <c r="K3792" s="11" t="n"/>
      <c r="L3792" s="11" t="n"/>
      <c r="M3792" s="11" t="n"/>
    </row>
    <row r="3793">
      <c r="A3793" s="11" t="n"/>
      <c r="B3793" s="11" t="n"/>
      <c r="C3793" s="11" t="n"/>
      <c r="D3793" s="11" t="n"/>
      <c r="E3793" s="11" t="n"/>
      <c r="F3793" s="11" t="n"/>
      <c r="G3793" s="11" t="n"/>
      <c r="H3793" s="11" t="n"/>
      <c r="I3793" s="11" t="n"/>
      <c r="J3793" s="11" t="n"/>
      <c r="K3793" s="11" t="n"/>
      <c r="L3793" s="11" t="n"/>
      <c r="M3793" s="11" t="n"/>
    </row>
    <row r="3794">
      <c r="A3794" s="11" t="n"/>
      <c r="B3794" s="11" t="n"/>
      <c r="C3794" s="11" t="n"/>
      <c r="D3794" s="11" t="n"/>
      <c r="E3794" s="11" t="n"/>
      <c r="F3794" s="11" t="n"/>
      <c r="G3794" s="11" t="n"/>
      <c r="H3794" s="11" t="n"/>
      <c r="I3794" s="11" t="n"/>
      <c r="J3794" s="11" t="n"/>
      <c r="K3794" s="11" t="n"/>
      <c r="L3794" s="11" t="n"/>
      <c r="M3794" s="11" t="n"/>
    </row>
    <row r="3795">
      <c r="A3795" s="11" t="n"/>
      <c r="B3795" s="11" t="n"/>
      <c r="C3795" s="11" t="n"/>
      <c r="D3795" s="11" t="n"/>
      <c r="E3795" s="11" t="n"/>
      <c r="F3795" s="11" t="n"/>
      <c r="G3795" s="11" t="n"/>
      <c r="H3795" s="11" t="n"/>
      <c r="I3795" s="11" t="n"/>
      <c r="J3795" s="11" t="n"/>
      <c r="K3795" s="11" t="n"/>
      <c r="L3795" s="11" t="n"/>
      <c r="M3795" s="11" t="n"/>
    </row>
    <row r="3796">
      <c r="A3796" s="11" t="n"/>
      <c r="B3796" s="11" t="n"/>
      <c r="C3796" s="11" t="n"/>
      <c r="D3796" s="11" t="n"/>
      <c r="E3796" s="11" t="n"/>
      <c r="F3796" s="11" t="n"/>
      <c r="G3796" s="11" t="n"/>
      <c r="H3796" s="11" t="n"/>
      <c r="I3796" s="11" t="n"/>
      <c r="J3796" s="11" t="n"/>
      <c r="K3796" s="11" t="n"/>
      <c r="L3796" s="11" t="n"/>
      <c r="M3796" s="11" t="n"/>
    </row>
    <row r="3797">
      <c r="A3797" s="11" t="n"/>
      <c r="B3797" s="11" t="n"/>
      <c r="C3797" s="11" t="n"/>
      <c r="D3797" s="11" t="n"/>
      <c r="E3797" s="11" t="n"/>
      <c r="F3797" s="11" t="n"/>
      <c r="G3797" s="11" t="n"/>
      <c r="H3797" s="11" t="n"/>
      <c r="I3797" s="11" t="n"/>
      <c r="J3797" s="11" t="n"/>
      <c r="K3797" s="11" t="n"/>
      <c r="L3797" s="11" t="n"/>
      <c r="M3797" s="11" t="n"/>
    </row>
    <row r="3798">
      <c r="A3798" s="11" t="n"/>
      <c r="B3798" s="11" t="n"/>
      <c r="C3798" s="11" t="n"/>
      <c r="D3798" s="11" t="n"/>
      <c r="E3798" s="11" t="n"/>
      <c r="F3798" s="11" t="n"/>
      <c r="G3798" s="11" t="n"/>
      <c r="H3798" s="11" t="n"/>
      <c r="I3798" s="11" t="n"/>
      <c r="J3798" s="11" t="n"/>
      <c r="K3798" s="11" t="n"/>
      <c r="L3798" s="11" t="n"/>
      <c r="M3798" s="11" t="n"/>
    </row>
    <row r="3799">
      <c r="A3799" s="11" t="n"/>
      <c r="B3799" s="11" t="n"/>
      <c r="C3799" s="11" t="n"/>
      <c r="D3799" s="11" t="n"/>
      <c r="E3799" s="11" t="n"/>
      <c r="F3799" s="11" t="n"/>
      <c r="G3799" s="11" t="n"/>
      <c r="H3799" s="11" t="n"/>
      <c r="I3799" s="11" t="n"/>
      <c r="J3799" s="11" t="n"/>
      <c r="K3799" s="11" t="n"/>
      <c r="L3799" s="11" t="n"/>
      <c r="M3799" s="11" t="n"/>
    </row>
    <row r="3800">
      <c r="A3800" s="11" t="n"/>
      <c r="B3800" s="11" t="n"/>
      <c r="C3800" s="11" t="n"/>
      <c r="D3800" s="11" t="n"/>
      <c r="E3800" s="11" t="n"/>
      <c r="F3800" s="11" t="n"/>
      <c r="G3800" s="11" t="n"/>
      <c r="H3800" s="11" t="n"/>
      <c r="I3800" s="11" t="n"/>
      <c r="J3800" s="11" t="n"/>
      <c r="K3800" s="11" t="n"/>
      <c r="L3800" s="11" t="n"/>
      <c r="M3800" s="11" t="n"/>
    </row>
    <row r="3801">
      <c r="A3801" s="11" t="n"/>
      <c r="B3801" s="11" t="n"/>
      <c r="C3801" s="11" t="n"/>
      <c r="D3801" s="11" t="n"/>
      <c r="E3801" s="11" t="n"/>
      <c r="F3801" s="11" t="n"/>
      <c r="G3801" s="11" t="n"/>
      <c r="H3801" s="11" t="n"/>
      <c r="I3801" s="11" t="n"/>
      <c r="J3801" s="11" t="n"/>
      <c r="K3801" s="11" t="n"/>
      <c r="L3801" s="11" t="n"/>
      <c r="M3801" s="11" t="n"/>
    </row>
    <row r="3802">
      <c r="A3802" s="11" t="n"/>
      <c r="B3802" s="11" t="n"/>
      <c r="C3802" s="11" t="n"/>
      <c r="D3802" s="11" t="n"/>
      <c r="E3802" s="11" t="n"/>
      <c r="F3802" s="11" t="n"/>
      <c r="G3802" s="11" t="n"/>
      <c r="H3802" s="11" t="n"/>
      <c r="I3802" s="11" t="n"/>
      <c r="J3802" s="11" t="n"/>
      <c r="K3802" s="11" t="n"/>
      <c r="L3802" s="11" t="n"/>
      <c r="M3802" s="11" t="n"/>
    </row>
    <row r="3803">
      <c r="A3803" s="11" t="n"/>
      <c r="B3803" s="11" t="n"/>
      <c r="C3803" s="11" t="n"/>
      <c r="D3803" s="11" t="n"/>
      <c r="E3803" s="11" t="n"/>
      <c r="F3803" s="11" t="n"/>
      <c r="G3803" s="11" t="n"/>
      <c r="H3803" s="11" t="n"/>
      <c r="I3803" s="11" t="n"/>
      <c r="J3803" s="11" t="n"/>
      <c r="K3803" s="11" t="n"/>
      <c r="L3803" s="11" t="n"/>
      <c r="M3803" s="11" t="n"/>
    </row>
    <row r="3804">
      <c r="A3804" s="11" t="n"/>
      <c r="B3804" s="11" t="n"/>
      <c r="C3804" s="11" t="n"/>
      <c r="D3804" s="11" t="n"/>
      <c r="E3804" s="11" t="n"/>
      <c r="F3804" s="11" t="n"/>
      <c r="G3804" s="11" t="n"/>
      <c r="H3804" s="11" t="n"/>
      <c r="I3804" s="11" t="n"/>
      <c r="J3804" s="11" t="n"/>
      <c r="K3804" s="11" t="n"/>
      <c r="L3804" s="11" t="n"/>
      <c r="M3804" s="11" t="n"/>
    </row>
    <row r="3805">
      <c r="A3805" s="11" t="n"/>
      <c r="B3805" s="11" t="n"/>
      <c r="C3805" s="11" t="n"/>
      <c r="D3805" s="11" t="n"/>
      <c r="E3805" s="11" t="n"/>
      <c r="F3805" s="11" t="n"/>
      <c r="G3805" s="11" t="n"/>
      <c r="H3805" s="11" t="n"/>
      <c r="I3805" s="11" t="n"/>
      <c r="J3805" s="11" t="n"/>
      <c r="K3805" s="11" t="n"/>
      <c r="L3805" s="11" t="n"/>
      <c r="M3805" s="11" t="n"/>
    </row>
    <row r="3806">
      <c r="A3806" s="11" t="n"/>
      <c r="B3806" s="11" t="n"/>
      <c r="C3806" s="11" t="n"/>
      <c r="D3806" s="11" t="n"/>
      <c r="E3806" s="11" t="n"/>
      <c r="F3806" s="11" t="n"/>
      <c r="G3806" s="11" t="n"/>
      <c r="H3806" s="11" t="n"/>
      <c r="I3806" s="11" t="n"/>
      <c r="J3806" s="11" t="n"/>
      <c r="K3806" s="11" t="n"/>
      <c r="L3806" s="11" t="n"/>
      <c r="M3806" s="11" t="n"/>
    </row>
    <row r="3807">
      <c r="A3807" s="11" t="n"/>
      <c r="B3807" s="11" t="n"/>
      <c r="C3807" s="11" t="n"/>
      <c r="D3807" s="11" t="n"/>
      <c r="E3807" s="11" t="n"/>
      <c r="F3807" s="11" t="n"/>
      <c r="G3807" s="11" t="n"/>
      <c r="H3807" s="11" t="n"/>
      <c r="I3807" s="11" t="n"/>
      <c r="J3807" s="11" t="n"/>
      <c r="K3807" s="11" t="n"/>
      <c r="L3807" s="11" t="n"/>
      <c r="M3807" s="11" t="n"/>
    </row>
    <row r="3808">
      <c r="A3808" s="11" t="n"/>
      <c r="B3808" s="11" t="n"/>
      <c r="C3808" s="11" t="n"/>
      <c r="D3808" s="11" t="n"/>
      <c r="E3808" s="11" t="n"/>
      <c r="F3808" s="11" t="n"/>
      <c r="G3808" s="11" t="n"/>
      <c r="H3808" s="11" t="n"/>
      <c r="I3808" s="11" t="n"/>
      <c r="J3808" s="11" t="n"/>
      <c r="K3808" s="11" t="n"/>
      <c r="L3808" s="11" t="n"/>
      <c r="M3808" s="11" t="n"/>
    </row>
    <row r="3809">
      <c r="A3809" s="11" t="n"/>
      <c r="B3809" s="11" t="n"/>
      <c r="C3809" s="11" t="n"/>
      <c r="D3809" s="11" t="n"/>
      <c r="E3809" s="11" t="n"/>
      <c r="F3809" s="11" t="n"/>
      <c r="G3809" s="11" t="n"/>
      <c r="H3809" s="11" t="n"/>
      <c r="I3809" s="11" t="n"/>
      <c r="J3809" s="11" t="n"/>
      <c r="K3809" s="11" t="n"/>
      <c r="L3809" s="11" t="n"/>
      <c r="M3809" s="11" t="n"/>
    </row>
    <row r="3810">
      <c r="A3810" s="11" t="n"/>
      <c r="B3810" s="11" t="n"/>
      <c r="C3810" s="11" t="n"/>
      <c r="D3810" s="11" t="n"/>
      <c r="E3810" s="11" t="n"/>
      <c r="F3810" s="11" t="n"/>
      <c r="G3810" s="11" t="n"/>
      <c r="H3810" s="11" t="n"/>
      <c r="I3810" s="11" t="n"/>
      <c r="J3810" s="11" t="n"/>
      <c r="K3810" s="11" t="n"/>
      <c r="L3810" s="11" t="n"/>
      <c r="M3810" s="11" t="n"/>
    </row>
    <row r="3811">
      <c r="A3811" s="11" t="n"/>
      <c r="B3811" s="11" t="n"/>
      <c r="C3811" s="11" t="n"/>
      <c r="D3811" s="11" t="n"/>
      <c r="E3811" s="11" t="n"/>
      <c r="F3811" s="11" t="n"/>
      <c r="G3811" s="11" t="n"/>
      <c r="H3811" s="11" t="n"/>
      <c r="I3811" s="11" t="n"/>
      <c r="J3811" s="11" t="n"/>
      <c r="K3811" s="11" t="n"/>
      <c r="L3811" s="11" t="n"/>
      <c r="M3811" s="11" t="n"/>
    </row>
    <row r="3812">
      <c r="A3812" s="11" t="n"/>
      <c r="B3812" s="11" t="n"/>
      <c r="C3812" s="11" t="n"/>
      <c r="D3812" s="11" t="n"/>
      <c r="E3812" s="11" t="n"/>
      <c r="F3812" s="11" t="n"/>
      <c r="G3812" s="11" t="n"/>
      <c r="H3812" s="11" t="n"/>
      <c r="I3812" s="11" t="n"/>
      <c r="J3812" s="11" t="n"/>
      <c r="K3812" s="11" t="n"/>
      <c r="L3812" s="11" t="n"/>
      <c r="M3812" s="11" t="n"/>
    </row>
    <row r="3813">
      <c r="A3813" s="11" t="n"/>
      <c r="B3813" s="11" t="n"/>
      <c r="C3813" s="11" t="n"/>
      <c r="D3813" s="11" t="n"/>
      <c r="E3813" s="11" t="n"/>
      <c r="F3813" s="11" t="n"/>
      <c r="G3813" s="11" t="n"/>
      <c r="H3813" s="11" t="n"/>
      <c r="I3813" s="11" t="n"/>
      <c r="J3813" s="11" t="n"/>
      <c r="K3813" s="11" t="n"/>
      <c r="L3813" s="11" t="n"/>
      <c r="M3813" s="11" t="n"/>
    </row>
    <row r="3814">
      <c r="A3814" s="11" t="n"/>
      <c r="B3814" s="11" t="n"/>
      <c r="C3814" s="11" t="n"/>
      <c r="D3814" s="11" t="n"/>
      <c r="E3814" s="11" t="n"/>
      <c r="F3814" s="11" t="n"/>
      <c r="G3814" s="11" t="n"/>
      <c r="H3814" s="11" t="n"/>
      <c r="I3814" s="11" t="n"/>
      <c r="J3814" s="11" t="n"/>
      <c r="K3814" s="11" t="n"/>
      <c r="L3814" s="11" t="n"/>
      <c r="M3814" s="11" t="n"/>
    </row>
    <row r="3815">
      <c r="A3815" s="11" t="n"/>
      <c r="B3815" s="11" t="n"/>
      <c r="C3815" s="11" t="n"/>
      <c r="D3815" s="11" t="n"/>
      <c r="E3815" s="11" t="n"/>
      <c r="F3815" s="11" t="n"/>
      <c r="G3815" s="11" t="n"/>
      <c r="H3815" s="11" t="n"/>
      <c r="I3815" s="11" t="n"/>
      <c r="J3815" s="11" t="n"/>
      <c r="K3815" s="11" t="n"/>
      <c r="L3815" s="11" t="n"/>
      <c r="M3815" s="11" t="n"/>
    </row>
    <row r="3816">
      <c r="A3816" s="11" t="n"/>
      <c r="B3816" s="11" t="n"/>
      <c r="C3816" s="11" t="n"/>
      <c r="D3816" s="11" t="n"/>
      <c r="E3816" s="11" t="n"/>
      <c r="F3816" s="11" t="n"/>
      <c r="G3816" s="11" t="n"/>
      <c r="H3816" s="11" t="n"/>
      <c r="I3816" s="11" t="n"/>
      <c r="J3816" s="11" t="n"/>
      <c r="K3816" s="11" t="n"/>
      <c r="L3816" s="11" t="n"/>
      <c r="M3816" s="11" t="n"/>
    </row>
    <row r="3817">
      <c r="A3817" s="11" t="n"/>
      <c r="B3817" s="11" t="n"/>
      <c r="C3817" s="11" t="n"/>
      <c r="D3817" s="11" t="n"/>
      <c r="E3817" s="11" t="n"/>
      <c r="F3817" s="11" t="n"/>
      <c r="G3817" s="11" t="n"/>
      <c r="H3817" s="11" t="n"/>
      <c r="I3817" s="11" t="n"/>
      <c r="J3817" s="11" t="n"/>
      <c r="K3817" s="11" t="n"/>
      <c r="L3817" s="11" t="n"/>
      <c r="M3817" s="11" t="n"/>
    </row>
    <row r="3818">
      <c r="A3818" s="11" t="n"/>
      <c r="B3818" s="11" t="n"/>
      <c r="C3818" s="11" t="n"/>
      <c r="D3818" s="11" t="n"/>
      <c r="E3818" s="11" t="n"/>
      <c r="F3818" s="11" t="n"/>
      <c r="G3818" s="11" t="n"/>
      <c r="H3818" s="11" t="n"/>
      <c r="I3818" s="11" t="n"/>
      <c r="J3818" s="11" t="n"/>
      <c r="K3818" s="11" t="n"/>
      <c r="L3818" s="11" t="n"/>
      <c r="M3818" s="11" t="n"/>
    </row>
    <row r="3819">
      <c r="A3819" s="11" t="n"/>
      <c r="B3819" s="11" t="n"/>
      <c r="C3819" s="11" t="n"/>
      <c r="D3819" s="11" t="n"/>
      <c r="E3819" s="11" t="n"/>
      <c r="F3819" s="11" t="n"/>
      <c r="G3819" s="11" t="n"/>
      <c r="H3819" s="11" t="n"/>
      <c r="I3819" s="11" t="n"/>
      <c r="J3819" s="11" t="n"/>
      <c r="K3819" s="11" t="n"/>
      <c r="L3819" s="11" t="n"/>
      <c r="M3819" s="11" t="n"/>
    </row>
    <row r="3820">
      <c r="A3820" s="11" t="n"/>
      <c r="B3820" s="11" t="n"/>
      <c r="C3820" s="11" t="n"/>
      <c r="D3820" s="11" t="n"/>
      <c r="E3820" s="11" t="n"/>
      <c r="F3820" s="11" t="n"/>
      <c r="G3820" s="11" t="n"/>
      <c r="H3820" s="11" t="n"/>
      <c r="I3820" s="11" t="n"/>
      <c r="J3820" s="11" t="n"/>
      <c r="K3820" s="11" t="n"/>
      <c r="L3820" s="11" t="n"/>
      <c r="M3820" s="11" t="n"/>
    </row>
    <row r="3821">
      <c r="A3821" s="11" t="n"/>
      <c r="B3821" s="11" t="n"/>
      <c r="C3821" s="11" t="n"/>
      <c r="D3821" s="11" t="n"/>
      <c r="E3821" s="11" t="n"/>
      <c r="F3821" s="11" t="n"/>
      <c r="G3821" s="11" t="n"/>
      <c r="H3821" s="11" t="n"/>
      <c r="I3821" s="11" t="n"/>
      <c r="J3821" s="11" t="n"/>
      <c r="K3821" s="11" t="n"/>
      <c r="L3821" s="11" t="n"/>
      <c r="M3821" s="11" t="n"/>
    </row>
    <row r="3822">
      <c r="A3822" s="11" t="n"/>
      <c r="B3822" s="11" t="n"/>
      <c r="C3822" s="11" t="n"/>
      <c r="D3822" s="11" t="n"/>
      <c r="E3822" s="11" t="n"/>
      <c r="F3822" s="11" t="n"/>
      <c r="G3822" s="11" t="n"/>
      <c r="H3822" s="11" t="n"/>
      <c r="I3822" s="11" t="n"/>
      <c r="J3822" s="11" t="n"/>
      <c r="K3822" s="11" t="n"/>
      <c r="L3822" s="11" t="n"/>
      <c r="M3822" s="11" t="n"/>
    </row>
    <row r="3823">
      <c r="A3823" s="11" t="n"/>
      <c r="B3823" s="11" t="n"/>
      <c r="C3823" s="11" t="n"/>
      <c r="D3823" s="11" t="n"/>
      <c r="E3823" s="11" t="n"/>
      <c r="F3823" s="11" t="n"/>
      <c r="G3823" s="11" t="n"/>
      <c r="H3823" s="11" t="n"/>
      <c r="I3823" s="11" t="n"/>
      <c r="J3823" s="11" t="n"/>
      <c r="K3823" s="11" t="n"/>
      <c r="L3823" s="11" t="n"/>
      <c r="M3823" s="11" t="n"/>
    </row>
    <row r="3824">
      <c r="A3824" s="11" t="n"/>
      <c r="B3824" s="11" t="n"/>
      <c r="C3824" s="11" t="n"/>
      <c r="D3824" s="11" t="n"/>
      <c r="E3824" s="11" t="n"/>
      <c r="F3824" s="11" t="n"/>
      <c r="G3824" s="11" t="n"/>
      <c r="H3824" s="11" t="n"/>
      <c r="I3824" s="11" t="n"/>
      <c r="J3824" s="11" t="n"/>
      <c r="K3824" s="11" t="n"/>
      <c r="L3824" s="11" t="n"/>
      <c r="M3824" s="11" t="n"/>
    </row>
    <row r="3825">
      <c r="A3825" s="11" t="n"/>
      <c r="B3825" s="11" t="n"/>
      <c r="C3825" s="11" t="n"/>
      <c r="D3825" s="11" t="n"/>
      <c r="E3825" s="11" t="n"/>
      <c r="F3825" s="11" t="n"/>
      <c r="G3825" s="11" t="n"/>
      <c r="H3825" s="11" t="n"/>
      <c r="I3825" s="11" t="n"/>
      <c r="J3825" s="11" t="n"/>
      <c r="K3825" s="11" t="n"/>
      <c r="L3825" s="11" t="n"/>
      <c r="M3825" s="11" t="n"/>
    </row>
    <row r="3826">
      <c r="A3826" s="11" t="n"/>
      <c r="B3826" s="11" t="n"/>
      <c r="C3826" s="11" t="n"/>
      <c r="D3826" s="11" t="n"/>
      <c r="E3826" s="11" t="n"/>
      <c r="F3826" s="11" t="n"/>
      <c r="G3826" s="11" t="n"/>
      <c r="H3826" s="11" t="n"/>
      <c r="I3826" s="11" t="n"/>
      <c r="J3826" s="11" t="n"/>
      <c r="K3826" s="11" t="n"/>
      <c r="L3826" s="11" t="n"/>
      <c r="M3826" s="11" t="n"/>
    </row>
    <row r="3827">
      <c r="A3827" s="11" t="n"/>
      <c r="B3827" s="11" t="n"/>
      <c r="C3827" s="11" t="n"/>
      <c r="D3827" s="11" t="n"/>
      <c r="E3827" s="11" t="n"/>
      <c r="F3827" s="11" t="n"/>
      <c r="G3827" s="11" t="n"/>
      <c r="H3827" s="11" t="n"/>
      <c r="I3827" s="11" t="n"/>
      <c r="J3827" s="11" t="n"/>
      <c r="K3827" s="11" t="n"/>
      <c r="L3827" s="11" t="n"/>
      <c r="M3827" s="11" t="n"/>
    </row>
    <row r="3828">
      <c r="A3828" s="11" t="n"/>
      <c r="B3828" s="11" t="n"/>
      <c r="C3828" s="11" t="n"/>
      <c r="D3828" s="11" t="n"/>
      <c r="E3828" s="11" t="n"/>
      <c r="F3828" s="11" t="n"/>
      <c r="G3828" s="11" t="n"/>
      <c r="H3828" s="11" t="n"/>
      <c r="I3828" s="11" t="n"/>
      <c r="J3828" s="11" t="n"/>
      <c r="K3828" s="11" t="n"/>
      <c r="L3828" s="11" t="n"/>
      <c r="M3828" s="11" t="n"/>
    </row>
    <row r="3829">
      <c r="A3829" s="11" t="n"/>
      <c r="B3829" s="11" t="n"/>
      <c r="C3829" s="11" t="n"/>
      <c r="D3829" s="11" t="n"/>
      <c r="E3829" s="11" t="n"/>
      <c r="F3829" s="11" t="n"/>
      <c r="G3829" s="11" t="n"/>
      <c r="H3829" s="11" t="n"/>
      <c r="I3829" s="11" t="n"/>
      <c r="J3829" s="11" t="n"/>
      <c r="K3829" s="11" t="n"/>
      <c r="L3829" s="11" t="n"/>
      <c r="M3829" s="11" t="n"/>
    </row>
    <row r="3830">
      <c r="A3830" s="11" t="n"/>
      <c r="B3830" s="11" t="n"/>
      <c r="C3830" s="11" t="n"/>
      <c r="D3830" s="11" t="n"/>
      <c r="E3830" s="11" t="n"/>
      <c r="F3830" s="11" t="n"/>
      <c r="G3830" s="11" t="n"/>
      <c r="H3830" s="11" t="n"/>
      <c r="I3830" s="11" t="n"/>
      <c r="J3830" s="11" t="n"/>
      <c r="K3830" s="11" t="n"/>
      <c r="L3830" s="11" t="n"/>
      <c r="M3830" s="11" t="n"/>
    </row>
    <row r="3831">
      <c r="A3831" s="11" t="n"/>
      <c r="B3831" s="11" t="n"/>
      <c r="C3831" s="11" t="n"/>
      <c r="D3831" s="11" t="n"/>
      <c r="E3831" s="11" t="n"/>
      <c r="F3831" s="11" t="n"/>
      <c r="G3831" s="11" t="n"/>
      <c r="H3831" s="11" t="n"/>
      <c r="I3831" s="11" t="n"/>
      <c r="J3831" s="11" t="n"/>
      <c r="K3831" s="11" t="n"/>
      <c r="L3831" s="11" t="n"/>
      <c r="M3831" s="11" t="n"/>
    </row>
    <row r="3832">
      <c r="A3832" s="11" t="n"/>
      <c r="B3832" s="11" t="n"/>
      <c r="C3832" s="11" t="n"/>
      <c r="D3832" s="11" t="n"/>
      <c r="E3832" s="11" t="n"/>
      <c r="F3832" s="11" t="n"/>
      <c r="G3832" s="11" t="n"/>
      <c r="H3832" s="11" t="n"/>
      <c r="I3832" s="11" t="n"/>
      <c r="J3832" s="11" t="n"/>
      <c r="K3832" s="11" t="n"/>
      <c r="L3832" s="11" t="n"/>
      <c r="M3832" s="11" t="n"/>
    </row>
    <row r="3833">
      <c r="A3833" s="11" t="n"/>
      <c r="B3833" s="11" t="n"/>
      <c r="C3833" s="11" t="n"/>
      <c r="D3833" s="11" t="n"/>
      <c r="E3833" s="11" t="n"/>
      <c r="F3833" s="11" t="n"/>
      <c r="G3833" s="11" t="n"/>
      <c r="H3833" s="11" t="n"/>
      <c r="I3833" s="11" t="n"/>
      <c r="J3833" s="11" t="n"/>
      <c r="K3833" s="11" t="n"/>
      <c r="L3833" s="11" t="n"/>
      <c r="M3833" s="11" t="n"/>
    </row>
    <row r="3834">
      <c r="A3834" s="11" t="n"/>
      <c r="B3834" s="11" t="n"/>
      <c r="C3834" s="11" t="n"/>
      <c r="D3834" s="11" t="n"/>
      <c r="E3834" s="11" t="n"/>
      <c r="F3834" s="11" t="n"/>
      <c r="G3834" s="11" t="n"/>
      <c r="H3834" s="11" t="n"/>
      <c r="I3834" s="11" t="n"/>
      <c r="J3834" s="11" t="n"/>
      <c r="K3834" s="11" t="n"/>
      <c r="L3834" s="11" t="n"/>
      <c r="M3834" s="11" t="n"/>
    </row>
    <row r="3835">
      <c r="A3835" s="11" t="n"/>
      <c r="B3835" s="11" t="n"/>
      <c r="C3835" s="11" t="n"/>
      <c r="D3835" s="11" t="n"/>
      <c r="E3835" s="11" t="n"/>
      <c r="F3835" s="11" t="n"/>
      <c r="G3835" s="11" t="n"/>
      <c r="H3835" s="11" t="n"/>
      <c r="I3835" s="11" t="n"/>
      <c r="J3835" s="11" t="n"/>
      <c r="K3835" s="11" t="n"/>
      <c r="L3835" s="11" t="n"/>
      <c r="M3835" s="11" t="n"/>
    </row>
    <row r="3836">
      <c r="A3836" s="11" t="n"/>
      <c r="B3836" s="11" t="n"/>
      <c r="C3836" s="11" t="n"/>
      <c r="D3836" s="11" t="n"/>
      <c r="E3836" s="11" t="n"/>
      <c r="F3836" s="11" t="n"/>
      <c r="G3836" s="11" t="n"/>
      <c r="H3836" s="11" t="n"/>
      <c r="I3836" s="11" t="n"/>
      <c r="J3836" s="11" t="n"/>
      <c r="K3836" s="11" t="n"/>
      <c r="L3836" s="11" t="n"/>
      <c r="M3836" s="11" t="n"/>
    </row>
    <row r="3837">
      <c r="A3837" s="11" t="n"/>
      <c r="B3837" s="11" t="n"/>
      <c r="C3837" s="11" t="n"/>
      <c r="D3837" s="11" t="n"/>
      <c r="E3837" s="11" t="n"/>
      <c r="F3837" s="11" t="n"/>
      <c r="G3837" s="11" t="n"/>
      <c r="H3837" s="11" t="n"/>
      <c r="I3837" s="11" t="n"/>
      <c r="J3837" s="11" t="n"/>
      <c r="K3837" s="11" t="n"/>
      <c r="L3837" s="11" t="n"/>
      <c r="M3837" s="11" t="n"/>
    </row>
    <row r="3838">
      <c r="A3838" s="11" t="n"/>
      <c r="B3838" s="11" t="n"/>
      <c r="C3838" s="11" t="n"/>
      <c r="D3838" s="11" t="n"/>
      <c r="E3838" s="11" t="n"/>
      <c r="F3838" s="11" t="n"/>
      <c r="G3838" s="11" t="n"/>
      <c r="H3838" s="11" t="n"/>
      <c r="I3838" s="11" t="n"/>
      <c r="J3838" s="11" t="n"/>
      <c r="K3838" s="11" t="n"/>
      <c r="L3838" s="11" t="n"/>
      <c r="M3838" s="11" t="n"/>
    </row>
    <row r="3839">
      <c r="A3839" s="11" t="n"/>
      <c r="B3839" s="11" t="n"/>
      <c r="C3839" s="11" t="n"/>
      <c r="D3839" s="11" t="n"/>
      <c r="E3839" s="11" t="n"/>
      <c r="F3839" s="11" t="n"/>
      <c r="G3839" s="11" t="n"/>
      <c r="H3839" s="11" t="n"/>
      <c r="I3839" s="11" t="n"/>
      <c r="J3839" s="11" t="n"/>
      <c r="K3839" s="11" t="n"/>
      <c r="L3839" s="11" t="n"/>
      <c r="M3839" s="11" t="n"/>
    </row>
    <row r="3840">
      <c r="A3840" s="11" t="n"/>
      <c r="B3840" s="11" t="n"/>
      <c r="C3840" s="11" t="n"/>
      <c r="D3840" s="11" t="n"/>
      <c r="E3840" s="11" t="n"/>
      <c r="F3840" s="11" t="n"/>
      <c r="G3840" s="11" t="n"/>
      <c r="H3840" s="11" t="n"/>
      <c r="I3840" s="11" t="n"/>
      <c r="J3840" s="11" t="n"/>
      <c r="K3840" s="11" t="n"/>
      <c r="L3840" s="11" t="n"/>
      <c r="M3840" s="11" t="n"/>
    </row>
    <row r="3841">
      <c r="A3841" s="11" t="n"/>
      <c r="B3841" s="11" t="n"/>
      <c r="C3841" s="11" t="n"/>
      <c r="D3841" s="11" t="n"/>
      <c r="E3841" s="11" t="n"/>
      <c r="F3841" s="11" t="n"/>
      <c r="G3841" s="11" t="n"/>
      <c r="H3841" s="11" t="n"/>
      <c r="I3841" s="11" t="n"/>
      <c r="J3841" s="11" t="n"/>
      <c r="K3841" s="11" t="n"/>
      <c r="L3841" s="11" t="n"/>
      <c r="M3841" s="11" t="n"/>
    </row>
    <row r="3842">
      <c r="A3842" s="11" t="n"/>
      <c r="B3842" s="11" t="n"/>
      <c r="C3842" s="11" t="n"/>
      <c r="D3842" s="11" t="n"/>
      <c r="E3842" s="11" t="n"/>
      <c r="F3842" s="11" t="n"/>
      <c r="G3842" s="11" t="n"/>
      <c r="H3842" s="11" t="n"/>
      <c r="I3842" s="11" t="n"/>
      <c r="J3842" s="11" t="n"/>
      <c r="K3842" s="11" t="n"/>
      <c r="L3842" s="11" t="n"/>
      <c r="M3842" s="11" t="n"/>
    </row>
    <row r="3843">
      <c r="A3843" s="11" t="n"/>
      <c r="B3843" s="11" t="n"/>
      <c r="C3843" s="11" t="n"/>
      <c r="D3843" s="11" t="n"/>
      <c r="E3843" s="11" t="n"/>
      <c r="F3843" s="11" t="n"/>
      <c r="G3843" s="11" t="n"/>
      <c r="H3843" s="11" t="n"/>
      <c r="I3843" s="11" t="n"/>
      <c r="J3843" s="11" t="n"/>
      <c r="K3843" s="11" t="n"/>
      <c r="L3843" s="11" t="n"/>
      <c r="M3843" s="11" t="n"/>
    </row>
    <row r="3844">
      <c r="A3844" s="11" t="n"/>
      <c r="B3844" s="11" t="n"/>
      <c r="C3844" s="11" t="n"/>
      <c r="D3844" s="11" t="n"/>
      <c r="E3844" s="11" t="n"/>
      <c r="F3844" s="11" t="n"/>
      <c r="G3844" s="11" t="n"/>
      <c r="H3844" s="11" t="n"/>
      <c r="I3844" s="11" t="n"/>
      <c r="J3844" s="11" t="n"/>
      <c r="K3844" s="11" t="n"/>
      <c r="L3844" s="11" t="n"/>
      <c r="M3844" s="11" t="n"/>
    </row>
    <row r="3845">
      <c r="A3845" s="11" t="n"/>
      <c r="B3845" s="11" t="n"/>
      <c r="C3845" s="11" t="n"/>
      <c r="D3845" s="11" t="n"/>
      <c r="E3845" s="11" t="n"/>
      <c r="F3845" s="11" t="n"/>
      <c r="G3845" s="11" t="n"/>
      <c r="H3845" s="11" t="n"/>
      <c r="I3845" s="11" t="n"/>
      <c r="J3845" s="11" t="n"/>
      <c r="K3845" s="11" t="n"/>
      <c r="L3845" s="11" t="n"/>
      <c r="M3845" s="11" t="n"/>
    </row>
    <row r="3846">
      <c r="A3846" s="11" t="n"/>
      <c r="B3846" s="11" t="n"/>
      <c r="C3846" s="11" t="n"/>
      <c r="D3846" s="11" t="n"/>
      <c r="E3846" s="11" t="n"/>
      <c r="F3846" s="11" t="n"/>
      <c r="G3846" s="11" t="n"/>
      <c r="H3846" s="11" t="n"/>
      <c r="I3846" s="11" t="n"/>
      <c r="J3846" s="11" t="n"/>
      <c r="K3846" s="11" t="n"/>
      <c r="L3846" s="11" t="n"/>
      <c r="M3846" s="11" t="n"/>
    </row>
    <row r="3847">
      <c r="A3847" s="11" t="n"/>
      <c r="B3847" s="11" t="n"/>
      <c r="C3847" s="11" t="n"/>
      <c r="D3847" s="11" t="n"/>
      <c r="E3847" s="11" t="n"/>
      <c r="F3847" s="11" t="n"/>
      <c r="G3847" s="11" t="n"/>
      <c r="H3847" s="11" t="n"/>
      <c r="I3847" s="11" t="n"/>
      <c r="J3847" s="11" t="n"/>
      <c r="K3847" s="11" t="n"/>
      <c r="L3847" s="11" t="n"/>
      <c r="M3847" s="11" t="n"/>
    </row>
    <row r="3848">
      <c r="A3848" s="11" t="n"/>
      <c r="B3848" s="11" t="n"/>
      <c r="C3848" s="11" t="n"/>
      <c r="D3848" s="11" t="n"/>
      <c r="E3848" s="11" t="n"/>
      <c r="F3848" s="11" t="n"/>
      <c r="G3848" s="11" t="n"/>
      <c r="H3848" s="11" t="n"/>
      <c r="I3848" s="11" t="n"/>
      <c r="J3848" s="11" t="n"/>
      <c r="K3848" s="11" t="n"/>
      <c r="L3848" s="11" t="n"/>
      <c r="M3848" s="11" t="n"/>
    </row>
    <row r="3849">
      <c r="A3849" s="11" t="n"/>
      <c r="B3849" s="11" t="n"/>
      <c r="C3849" s="11" t="n"/>
      <c r="D3849" s="11" t="n"/>
      <c r="E3849" s="11" t="n"/>
      <c r="F3849" s="11" t="n"/>
      <c r="G3849" s="11" t="n"/>
      <c r="H3849" s="11" t="n"/>
      <c r="I3849" s="11" t="n"/>
      <c r="J3849" s="11" t="n"/>
      <c r="K3849" s="11" t="n"/>
      <c r="L3849" s="11" t="n"/>
      <c r="M3849" s="11" t="n"/>
    </row>
    <row r="3850">
      <c r="A3850" s="11" t="n"/>
      <c r="B3850" s="11" t="n"/>
      <c r="C3850" s="11" t="n"/>
      <c r="D3850" s="11" t="n"/>
      <c r="E3850" s="11" t="n"/>
      <c r="F3850" s="11" t="n"/>
      <c r="G3850" s="11" t="n"/>
      <c r="H3850" s="11" t="n"/>
      <c r="I3850" s="11" t="n"/>
      <c r="J3850" s="11" t="n"/>
      <c r="K3850" s="11" t="n"/>
      <c r="L3850" s="11" t="n"/>
      <c r="M3850" s="11" t="n"/>
    </row>
    <row r="3851">
      <c r="A3851" s="11" t="n"/>
      <c r="B3851" s="11" t="n"/>
      <c r="C3851" s="11" t="n"/>
      <c r="D3851" s="11" t="n"/>
      <c r="E3851" s="11" t="n"/>
      <c r="F3851" s="11" t="n"/>
      <c r="G3851" s="11" t="n"/>
      <c r="H3851" s="11" t="n"/>
      <c r="I3851" s="11" t="n"/>
      <c r="J3851" s="11" t="n"/>
      <c r="K3851" s="11" t="n"/>
      <c r="L3851" s="11" t="n"/>
      <c r="M3851" s="11" t="n"/>
    </row>
    <row r="3852">
      <c r="A3852" s="11" t="n"/>
      <c r="B3852" s="11" t="n"/>
      <c r="C3852" s="11" t="n"/>
      <c r="D3852" s="11" t="n"/>
      <c r="E3852" s="11" t="n"/>
      <c r="F3852" s="11" t="n"/>
      <c r="G3852" s="11" t="n"/>
      <c r="H3852" s="11" t="n"/>
      <c r="I3852" s="11" t="n"/>
      <c r="J3852" s="11" t="n"/>
      <c r="K3852" s="11" t="n"/>
      <c r="L3852" s="11" t="n"/>
      <c r="M3852" s="11" t="n"/>
    </row>
    <row r="3853">
      <c r="A3853" s="11" t="n"/>
      <c r="B3853" s="11" t="n"/>
      <c r="C3853" s="11" t="n"/>
      <c r="D3853" s="11" t="n"/>
      <c r="E3853" s="11" t="n"/>
      <c r="F3853" s="11" t="n"/>
      <c r="G3853" s="11" t="n"/>
      <c r="H3853" s="11" t="n"/>
      <c r="I3853" s="11" t="n"/>
      <c r="J3853" s="11" t="n"/>
      <c r="K3853" s="11" t="n"/>
      <c r="L3853" s="11" t="n"/>
      <c r="M3853" s="11" t="n"/>
    </row>
    <row r="3854">
      <c r="A3854" s="11" t="n"/>
      <c r="B3854" s="11" t="n"/>
      <c r="C3854" s="11" t="n"/>
      <c r="D3854" s="11" t="n"/>
      <c r="E3854" s="11" t="n"/>
      <c r="F3854" s="11" t="n"/>
      <c r="G3854" s="11" t="n"/>
      <c r="H3854" s="11" t="n"/>
      <c r="I3854" s="11" t="n"/>
      <c r="J3854" s="11" t="n"/>
      <c r="K3854" s="11" t="n"/>
      <c r="L3854" s="11" t="n"/>
      <c r="M3854" s="11" t="n"/>
    </row>
    <row r="3855">
      <c r="A3855" s="11" t="n"/>
      <c r="B3855" s="11" t="n"/>
      <c r="C3855" s="11" t="n"/>
      <c r="D3855" s="11" t="n"/>
      <c r="E3855" s="11" t="n"/>
      <c r="F3855" s="11" t="n"/>
      <c r="G3855" s="11" t="n"/>
      <c r="H3855" s="11" t="n"/>
      <c r="I3855" s="11" t="n"/>
      <c r="J3855" s="11" t="n"/>
      <c r="K3855" s="11" t="n"/>
      <c r="L3855" s="11" t="n"/>
      <c r="M3855" s="11" t="n"/>
    </row>
    <row r="3856">
      <c r="A3856" s="11" t="n"/>
      <c r="B3856" s="11" t="n"/>
      <c r="C3856" s="11" t="n"/>
      <c r="D3856" s="11" t="n"/>
      <c r="E3856" s="11" t="n"/>
      <c r="F3856" s="11" t="n"/>
      <c r="G3856" s="11" t="n"/>
      <c r="H3856" s="11" t="n"/>
      <c r="I3856" s="11" t="n"/>
      <c r="J3856" s="11" t="n"/>
      <c r="K3856" s="11" t="n"/>
      <c r="L3856" s="11" t="n"/>
      <c r="M3856" s="11" t="n"/>
    </row>
    <row r="3857">
      <c r="A3857" s="11" t="n"/>
      <c r="B3857" s="11" t="n"/>
      <c r="C3857" s="11" t="n"/>
      <c r="D3857" s="11" t="n"/>
      <c r="E3857" s="11" t="n"/>
      <c r="F3857" s="11" t="n"/>
      <c r="G3857" s="11" t="n"/>
      <c r="H3857" s="11" t="n"/>
      <c r="I3857" s="11" t="n"/>
      <c r="J3857" s="11" t="n"/>
      <c r="K3857" s="11" t="n"/>
      <c r="L3857" s="11" t="n"/>
      <c r="M3857" s="11" t="n"/>
    </row>
    <row r="3858">
      <c r="A3858" s="11" t="n"/>
      <c r="B3858" s="11" t="n"/>
      <c r="C3858" s="11" t="n"/>
      <c r="D3858" s="11" t="n"/>
      <c r="E3858" s="11" t="n"/>
      <c r="F3858" s="11" t="n"/>
      <c r="G3858" s="11" t="n"/>
      <c r="H3858" s="11" t="n"/>
      <c r="I3858" s="11" t="n"/>
      <c r="J3858" s="11" t="n"/>
      <c r="K3858" s="11" t="n"/>
      <c r="L3858" s="11" t="n"/>
      <c r="M3858" s="11" t="n"/>
    </row>
    <row r="3859">
      <c r="A3859" s="11" t="n"/>
      <c r="B3859" s="11" t="n"/>
      <c r="C3859" s="11" t="n"/>
      <c r="D3859" s="11" t="n"/>
      <c r="E3859" s="11" t="n"/>
      <c r="F3859" s="11" t="n"/>
      <c r="G3859" s="11" t="n"/>
      <c r="H3859" s="11" t="n"/>
      <c r="I3859" s="11" t="n"/>
      <c r="J3859" s="11" t="n"/>
      <c r="K3859" s="11" t="n"/>
      <c r="L3859" s="11" t="n"/>
      <c r="M3859" s="11" t="n"/>
    </row>
    <row r="3860">
      <c r="A3860" s="11" t="n"/>
      <c r="B3860" s="11" t="n"/>
      <c r="C3860" s="11" t="n"/>
      <c r="D3860" s="11" t="n"/>
      <c r="E3860" s="11" t="n"/>
      <c r="F3860" s="11" t="n"/>
      <c r="G3860" s="11" t="n"/>
      <c r="H3860" s="11" t="n"/>
      <c r="I3860" s="11" t="n"/>
      <c r="J3860" s="11" t="n"/>
      <c r="K3860" s="11" t="n"/>
      <c r="L3860" s="11" t="n"/>
      <c r="M3860" s="11" t="n"/>
    </row>
    <row r="3861">
      <c r="A3861" s="11" t="n"/>
      <c r="B3861" s="11" t="n"/>
      <c r="C3861" s="11" t="n"/>
      <c r="D3861" s="11" t="n"/>
      <c r="E3861" s="11" t="n"/>
      <c r="F3861" s="11" t="n"/>
      <c r="G3861" s="11" t="n"/>
      <c r="H3861" s="11" t="n"/>
      <c r="I3861" s="11" t="n"/>
      <c r="J3861" s="11" t="n"/>
      <c r="K3861" s="11" t="n"/>
      <c r="L3861" s="11" t="n"/>
      <c r="M3861" s="11" t="n"/>
    </row>
    <row r="3862">
      <c r="A3862" s="11" t="n"/>
      <c r="B3862" s="11" t="n"/>
      <c r="C3862" s="11" t="n"/>
      <c r="D3862" s="11" t="n"/>
      <c r="E3862" s="11" t="n"/>
      <c r="F3862" s="11" t="n"/>
      <c r="G3862" s="11" t="n"/>
      <c r="H3862" s="11" t="n"/>
      <c r="I3862" s="11" t="n"/>
      <c r="J3862" s="11" t="n"/>
      <c r="K3862" s="11" t="n"/>
      <c r="L3862" s="11" t="n"/>
      <c r="M3862" s="11" t="n"/>
    </row>
    <row r="3863">
      <c r="A3863" s="11" t="n"/>
      <c r="B3863" s="11" t="n"/>
      <c r="C3863" s="11" t="n"/>
      <c r="D3863" s="11" t="n"/>
      <c r="E3863" s="11" t="n"/>
      <c r="F3863" s="11" t="n"/>
      <c r="G3863" s="11" t="n"/>
      <c r="H3863" s="11" t="n"/>
      <c r="I3863" s="11" t="n"/>
      <c r="J3863" s="11" t="n"/>
      <c r="K3863" s="11" t="n"/>
      <c r="L3863" s="11" t="n"/>
      <c r="M3863" s="11" t="n"/>
    </row>
    <row r="3864">
      <c r="A3864" s="11" t="n"/>
      <c r="B3864" s="11" t="n"/>
      <c r="C3864" s="11" t="n"/>
      <c r="D3864" s="11" t="n"/>
      <c r="E3864" s="11" t="n"/>
      <c r="F3864" s="11" t="n"/>
      <c r="G3864" s="11" t="n"/>
      <c r="H3864" s="11" t="n"/>
      <c r="I3864" s="11" t="n"/>
      <c r="J3864" s="11" t="n"/>
      <c r="K3864" s="11" t="n"/>
      <c r="L3864" s="11" t="n"/>
      <c r="M3864" s="11" t="n"/>
    </row>
    <row r="3865">
      <c r="A3865" s="11" t="n"/>
      <c r="B3865" s="11" t="n"/>
      <c r="C3865" s="11" t="n"/>
      <c r="D3865" s="11" t="n"/>
      <c r="E3865" s="11" t="n"/>
      <c r="F3865" s="11" t="n"/>
      <c r="G3865" s="11" t="n"/>
      <c r="H3865" s="11" t="n"/>
      <c r="I3865" s="11" t="n"/>
      <c r="J3865" s="11" t="n"/>
      <c r="K3865" s="11" t="n"/>
      <c r="L3865" s="11" t="n"/>
      <c r="M3865" s="11" t="n"/>
    </row>
    <row r="3866">
      <c r="A3866" s="11" t="n"/>
      <c r="B3866" s="11" t="n"/>
      <c r="C3866" s="11" t="n"/>
      <c r="D3866" s="11" t="n"/>
      <c r="E3866" s="11" t="n"/>
      <c r="F3866" s="11" t="n"/>
      <c r="G3866" s="11" t="n"/>
      <c r="H3866" s="11" t="n"/>
      <c r="I3866" s="11" t="n"/>
      <c r="J3866" s="11" t="n"/>
      <c r="K3866" s="11" t="n"/>
      <c r="L3866" s="11" t="n"/>
      <c r="M3866" s="11" t="n"/>
    </row>
    <row r="3867">
      <c r="A3867" s="11" t="n"/>
      <c r="B3867" s="11" t="n"/>
      <c r="C3867" s="11" t="n"/>
      <c r="D3867" s="11" t="n"/>
      <c r="E3867" s="11" t="n"/>
      <c r="F3867" s="11" t="n"/>
      <c r="G3867" s="11" t="n"/>
      <c r="H3867" s="11" t="n"/>
      <c r="I3867" s="11" t="n"/>
      <c r="J3867" s="11" t="n"/>
      <c r="K3867" s="11" t="n"/>
      <c r="L3867" s="11" t="n"/>
      <c r="M3867" s="11" t="n"/>
    </row>
    <row r="3868">
      <c r="A3868" s="11" t="n"/>
      <c r="B3868" s="11" t="n"/>
      <c r="C3868" s="11" t="n"/>
      <c r="D3868" s="11" t="n"/>
      <c r="E3868" s="11" t="n"/>
      <c r="F3868" s="11" t="n"/>
      <c r="G3868" s="11" t="n"/>
      <c r="H3868" s="11" t="n"/>
      <c r="I3868" s="11" t="n"/>
      <c r="J3868" s="11" t="n"/>
      <c r="K3868" s="11" t="n"/>
      <c r="L3868" s="11" t="n"/>
      <c r="M3868" s="11" t="n"/>
    </row>
    <row r="3869">
      <c r="A3869" s="11" t="n"/>
      <c r="B3869" s="11" t="n"/>
      <c r="C3869" s="11" t="n"/>
      <c r="D3869" s="11" t="n"/>
      <c r="E3869" s="11" t="n"/>
      <c r="F3869" s="11" t="n"/>
      <c r="G3869" s="11" t="n"/>
      <c r="H3869" s="11" t="n"/>
      <c r="I3869" s="11" t="n"/>
      <c r="J3869" s="11" t="n"/>
      <c r="K3869" s="11" t="n"/>
      <c r="L3869" s="11" t="n"/>
      <c r="M3869" s="11" t="n"/>
    </row>
    <row r="3870">
      <c r="A3870" s="11" t="n"/>
      <c r="B3870" s="11" t="n"/>
      <c r="C3870" s="11" t="n"/>
      <c r="D3870" s="11" t="n"/>
      <c r="E3870" s="11" t="n"/>
      <c r="F3870" s="11" t="n"/>
      <c r="G3870" s="11" t="n"/>
      <c r="H3870" s="11" t="n"/>
      <c r="I3870" s="11" t="n"/>
      <c r="J3870" s="11" t="n"/>
      <c r="K3870" s="11" t="n"/>
      <c r="L3870" s="11" t="n"/>
      <c r="M3870" s="11" t="n"/>
    </row>
    <row r="3871">
      <c r="A3871" s="11" t="n"/>
      <c r="B3871" s="11" t="n"/>
      <c r="C3871" s="11" t="n"/>
      <c r="D3871" s="11" t="n"/>
      <c r="E3871" s="11" t="n"/>
      <c r="F3871" s="11" t="n"/>
      <c r="G3871" s="11" t="n"/>
      <c r="H3871" s="11" t="n"/>
      <c r="I3871" s="11" t="n"/>
      <c r="J3871" s="11" t="n"/>
      <c r="K3871" s="11" t="n"/>
      <c r="L3871" s="11" t="n"/>
      <c r="M3871" s="11" t="n"/>
    </row>
    <row r="3872">
      <c r="A3872" s="11" t="n"/>
      <c r="B3872" s="11" t="n"/>
      <c r="C3872" s="11" t="n"/>
      <c r="D3872" s="11" t="n"/>
      <c r="E3872" s="11" t="n"/>
      <c r="F3872" s="11" t="n"/>
      <c r="G3872" s="11" t="n"/>
      <c r="H3872" s="11" t="n"/>
      <c r="I3872" s="11" t="n"/>
      <c r="J3872" s="11" t="n"/>
      <c r="K3872" s="11" t="n"/>
      <c r="L3872" s="11" t="n"/>
      <c r="M3872" s="11" t="n"/>
    </row>
    <row r="3873">
      <c r="A3873" s="11" t="n"/>
      <c r="B3873" s="11" t="n"/>
      <c r="C3873" s="11" t="n"/>
      <c r="D3873" s="11" t="n"/>
      <c r="E3873" s="11" t="n"/>
      <c r="F3873" s="11" t="n"/>
      <c r="G3873" s="11" t="n"/>
      <c r="H3873" s="11" t="n"/>
      <c r="I3873" s="11" t="n"/>
      <c r="J3873" s="11" t="n"/>
      <c r="K3873" s="11" t="n"/>
      <c r="L3873" s="11" t="n"/>
      <c r="M3873" s="11" t="n"/>
    </row>
    <row r="3874">
      <c r="A3874" s="11" t="n"/>
      <c r="B3874" s="11" t="n"/>
      <c r="C3874" s="11" t="n"/>
      <c r="D3874" s="11" t="n"/>
      <c r="E3874" s="11" t="n"/>
      <c r="F3874" s="11" t="n"/>
      <c r="G3874" s="11" t="n"/>
      <c r="H3874" s="11" t="n"/>
      <c r="I3874" s="11" t="n"/>
      <c r="J3874" s="11" t="n"/>
      <c r="K3874" s="11" t="n"/>
      <c r="L3874" s="11" t="n"/>
      <c r="M3874" s="11" t="n"/>
    </row>
    <row r="3875">
      <c r="A3875" s="11" t="n"/>
      <c r="B3875" s="11" t="n"/>
      <c r="C3875" s="11" t="n"/>
      <c r="D3875" s="11" t="n"/>
      <c r="E3875" s="11" t="n"/>
      <c r="F3875" s="11" t="n"/>
      <c r="G3875" s="11" t="n"/>
      <c r="H3875" s="11" t="n"/>
      <c r="I3875" s="11" t="n"/>
      <c r="J3875" s="11" t="n"/>
      <c r="K3875" s="11" t="n"/>
      <c r="L3875" s="11" t="n"/>
      <c r="M3875" s="11" t="n"/>
    </row>
    <row r="3876">
      <c r="A3876" s="11" t="n"/>
      <c r="B3876" s="11" t="n"/>
      <c r="C3876" s="11" t="n"/>
      <c r="D3876" s="11" t="n"/>
      <c r="E3876" s="11" t="n"/>
      <c r="F3876" s="11" t="n"/>
      <c r="G3876" s="11" t="n"/>
      <c r="H3876" s="11" t="n"/>
      <c r="I3876" s="11" t="n"/>
      <c r="J3876" s="11" t="n"/>
      <c r="K3876" s="11" t="n"/>
      <c r="L3876" s="11" t="n"/>
      <c r="M3876" s="11" t="n"/>
    </row>
    <row r="3877">
      <c r="A3877" s="11" t="n"/>
      <c r="B3877" s="11" t="n"/>
      <c r="C3877" s="11" t="n"/>
      <c r="D3877" s="11" t="n"/>
      <c r="E3877" s="11" t="n"/>
      <c r="F3877" s="11" t="n"/>
      <c r="G3877" s="11" t="n"/>
      <c r="H3877" s="11" t="n"/>
      <c r="I3877" s="11" t="n"/>
      <c r="J3877" s="11" t="n"/>
      <c r="K3877" s="11" t="n"/>
      <c r="L3877" s="11" t="n"/>
      <c r="M3877" s="11" t="n"/>
    </row>
    <row r="3878">
      <c r="A3878" s="11" t="n"/>
      <c r="B3878" s="11" t="n"/>
      <c r="C3878" s="11" t="n"/>
      <c r="D3878" s="11" t="n"/>
      <c r="E3878" s="11" t="n"/>
      <c r="F3878" s="11" t="n"/>
      <c r="G3878" s="11" t="n"/>
      <c r="H3878" s="11" t="n"/>
      <c r="I3878" s="11" t="n"/>
      <c r="J3878" s="11" t="n"/>
      <c r="K3878" s="11" t="n"/>
      <c r="L3878" s="11" t="n"/>
      <c r="M3878" s="11" t="n"/>
    </row>
    <row r="3879">
      <c r="A3879" s="11" t="n"/>
      <c r="B3879" s="11" t="n"/>
      <c r="C3879" s="11" t="n"/>
      <c r="D3879" s="11" t="n"/>
      <c r="E3879" s="11" t="n"/>
      <c r="F3879" s="11" t="n"/>
      <c r="G3879" s="11" t="n"/>
      <c r="H3879" s="11" t="n"/>
      <c r="I3879" s="11" t="n"/>
      <c r="J3879" s="11" t="n"/>
      <c r="K3879" s="11" t="n"/>
      <c r="L3879" s="11" t="n"/>
      <c r="M3879" s="11" t="n"/>
    </row>
    <row r="3880">
      <c r="A3880" s="11" t="n"/>
      <c r="B3880" s="11" t="n"/>
      <c r="C3880" s="11" t="n"/>
      <c r="D3880" s="11" t="n"/>
      <c r="E3880" s="11" t="n"/>
      <c r="F3880" s="11" t="n"/>
      <c r="G3880" s="11" t="n"/>
      <c r="H3880" s="11" t="n"/>
      <c r="I3880" s="11" t="n"/>
      <c r="J3880" s="11" t="n"/>
      <c r="K3880" s="11" t="n"/>
      <c r="L3880" s="11" t="n"/>
      <c r="M3880" s="11" t="n"/>
    </row>
    <row r="3881">
      <c r="A3881" s="11" t="n"/>
      <c r="B3881" s="11" t="n"/>
      <c r="C3881" s="11" t="n"/>
      <c r="D3881" s="11" t="n"/>
      <c r="E3881" s="11" t="n"/>
      <c r="F3881" s="11" t="n"/>
      <c r="G3881" s="11" t="n"/>
      <c r="H3881" s="11" t="n"/>
      <c r="I3881" s="11" t="n"/>
      <c r="J3881" s="11" t="n"/>
      <c r="K3881" s="11" t="n"/>
      <c r="L3881" s="11" t="n"/>
      <c r="M3881" s="11" t="n"/>
    </row>
    <row r="3882">
      <c r="A3882" s="11" t="n"/>
      <c r="B3882" s="11" t="n"/>
      <c r="C3882" s="11" t="n"/>
      <c r="D3882" s="11" t="n"/>
      <c r="E3882" s="11" t="n"/>
      <c r="F3882" s="11" t="n"/>
      <c r="G3882" s="11" t="n"/>
      <c r="H3882" s="11" t="n"/>
      <c r="I3882" s="11" t="n"/>
      <c r="J3882" s="11" t="n"/>
      <c r="K3882" s="11" t="n"/>
      <c r="L3882" s="11" t="n"/>
      <c r="M3882" s="11" t="n"/>
    </row>
    <row r="3883">
      <c r="A3883" s="11" t="n"/>
      <c r="B3883" s="11" t="n"/>
      <c r="C3883" s="11" t="n"/>
      <c r="D3883" s="11" t="n"/>
      <c r="E3883" s="11" t="n"/>
      <c r="F3883" s="11" t="n"/>
      <c r="G3883" s="11" t="n"/>
      <c r="H3883" s="11" t="n"/>
      <c r="I3883" s="11" t="n"/>
      <c r="J3883" s="11" t="n"/>
      <c r="K3883" s="11" t="n"/>
      <c r="L3883" s="11" t="n"/>
      <c r="M3883" s="11" t="n"/>
    </row>
    <row r="3884">
      <c r="A3884" s="11" t="n"/>
      <c r="B3884" s="11" t="n"/>
      <c r="C3884" s="11" t="n"/>
      <c r="D3884" s="11" t="n"/>
      <c r="E3884" s="11" t="n"/>
      <c r="F3884" s="11" t="n"/>
      <c r="G3884" s="11" t="n"/>
      <c r="H3884" s="11" t="n"/>
      <c r="I3884" s="11" t="n"/>
      <c r="J3884" s="11" t="n"/>
      <c r="K3884" s="11" t="n"/>
      <c r="L3884" s="11" t="n"/>
      <c r="M3884" s="11" t="n"/>
    </row>
    <row r="3885">
      <c r="A3885" s="11" t="n"/>
      <c r="B3885" s="11" t="n"/>
      <c r="C3885" s="11" t="n"/>
      <c r="D3885" s="11" t="n"/>
      <c r="E3885" s="11" t="n"/>
      <c r="F3885" s="11" t="n"/>
      <c r="G3885" s="11" t="n"/>
      <c r="H3885" s="11" t="n"/>
      <c r="I3885" s="11" t="n"/>
      <c r="J3885" s="11" t="n"/>
      <c r="K3885" s="11" t="n"/>
      <c r="L3885" s="11" t="n"/>
      <c r="M3885" s="11" t="n"/>
    </row>
    <row r="3886">
      <c r="A3886" s="11" t="n"/>
      <c r="B3886" s="11" t="n"/>
      <c r="C3886" s="11" t="n"/>
      <c r="D3886" s="11" t="n"/>
      <c r="E3886" s="11" t="n"/>
      <c r="F3886" s="11" t="n"/>
      <c r="G3886" s="11" t="n"/>
      <c r="H3886" s="11" t="n"/>
      <c r="I3886" s="11" t="n"/>
      <c r="J3886" s="11" t="n"/>
      <c r="K3886" s="11" t="n"/>
      <c r="L3886" s="11" t="n"/>
      <c r="M3886" s="11" t="n"/>
    </row>
    <row r="3887">
      <c r="A3887" s="11" t="n"/>
      <c r="B3887" s="11" t="n"/>
      <c r="C3887" s="11" t="n"/>
      <c r="D3887" s="11" t="n"/>
      <c r="E3887" s="11" t="n"/>
      <c r="F3887" s="11" t="n"/>
      <c r="G3887" s="11" t="n"/>
      <c r="H3887" s="11" t="n"/>
      <c r="I3887" s="11" t="n"/>
      <c r="J3887" s="11" t="n"/>
      <c r="K3887" s="11" t="n"/>
      <c r="L3887" s="11" t="n"/>
      <c r="M3887" s="11" t="n"/>
    </row>
    <row r="3888">
      <c r="A3888" s="11" t="n"/>
      <c r="B3888" s="11" t="n"/>
      <c r="C3888" s="11" t="n"/>
      <c r="D3888" s="11" t="n"/>
      <c r="E3888" s="11" t="n"/>
      <c r="F3888" s="11" t="n"/>
      <c r="G3888" s="11" t="n"/>
      <c r="H3888" s="11" t="n"/>
      <c r="I3888" s="11" t="n"/>
      <c r="J3888" s="11" t="n"/>
      <c r="K3888" s="11" t="n"/>
      <c r="L3888" s="11" t="n"/>
      <c r="M3888" s="11" t="n"/>
    </row>
    <row r="3889">
      <c r="A3889" s="11" t="n"/>
      <c r="B3889" s="11" t="n"/>
      <c r="C3889" s="11" t="n"/>
      <c r="D3889" s="11" t="n"/>
      <c r="E3889" s="11" t="n"/>
      <c r="F3889" s="11" t="n"/>
      <c r="G3889" s="11" t="n"/>
      <c r="H3889" s="11" t="n"/>
      <c r="I3889" s="11" t="n"/>
      <c r="J3889" s="11" t="n"/>
      <c r="K3889" s="11" t="n"/>
      <c r="L3889" s="11" t="n"/>
      <c r="M3889" s="11" t="n"/>
    </row>
    <row r="3890">
      <c r="A3890" s="11" t="n"/>
      <c r="B3890" s="11" t="n"/>
      <c r="C3890" s="11" t="n"/>
      <c r="D3890" s="11" t="n"/>
      <c r="E3890" s="11" t="n"/>
      <c r="F3890" s="11" t="n"/>
      <c r="G3890" s="11" t="n"/>
      <c r="H3890" s="11" t="n"/>
      <c r="I3890" s="11" t="n"/>
      <c r="J3890" s="11" t="n"/>
      <c r="K3890" s="11" t="n"/>
      <c r="L3890" s="11" t="n"/>
      <c r="M3890" s="11" t="n"/>
    </row>
    <row r="3891">
      <c r="A3891" s="11" t="n"/>
      <c r="B3891" s="11" t="n"/>
      <c r="C3891" s="11" t="n"/>
      <c r="D3891" s="11" t="n"/>
      <c r="E3891" s="11" t="n"/>
      <c r="F3891" s="11" t="n"/>
      <c r="G3891" s="11" t="n"/>
      <c r="H3891" s="11" t="n"/>
      <c r="I3891" s="11" t="n"/>
      <c r="J3891" s="11" t="n"/>
      <c r="K3891" s="11" t="n"/>
      <c r="L3891" s="11" t="n"/>
      <c r="M3891" s="11" t="n"/>
    </row>
    <row r="3892">
      <c r="A3892" s="11" t="n"/>
      <c r="B3892" s="11" t="n"/>
      <c r="C3892" s="11" t="n"/>
      <c r="D3892" s="11" t="n"/>
      <c r="E3892" s="11" t="n"/>
      <c r="F3892" s="11" t="n"/>
      <c r="G3892" s="11" t="n"/>
      <c r="H3892" s="11" t="n"/>
      <c r="I3892" s="11" t="n"/>
      <c r="J3892" s="11" t="n"/>
      <c r="K3892" s="11" t="n"/>
      <c r="L3892" s="11" t="n"/>
      <c r="M3892" s="11" t="n"/>
    </row>
    <row r="3893">
      <c r="A3893" s="11" t="n"/>
      <c r="B3893" s="11" t="n"/>
      <c r="C3893" s="11" t="n"/>
      <c r="D3893" s="11" t="n"/>
      <c r="E3893" s="11" t="n"/>
      <c r="F3893" s="11" t="n"/>
      <c r="G3893" s="11" t="n"/>
      <c r="H3893" s="11" t="n"/>
      <c r="I3893" s="11" t="n"/>
      <c r="J3893" s="11" t="n"/>
      <c r="K3893" s="11" t="n"/>
      <c r="L3893" s="11" t="n"/>
      <c r="M3893" s="11" t="n"/>
    </row>
    <row r="3894">
      <c r="A3894" s="11" t="n"/>
      <c r="B3894" s="11" t="n"/>
      <c r="C3894" s="11" t="n"/>
      <c r="D3894" s="11" t="n"/>
      <c r="E3894" s="11" t="n"/>
      <c r="F3894" s="11" t="n"/>
      <c r="G3894" s="11" t="n"/>
      <c r="H3894" s="11" t="n"/>
      <c r="I3894" s="11" t="n"/>
      <c r="J3894" s="11" t="n"/>
      <c r="K3894" s="11" t="n"/>
      <c r="L3894" s="11" t="n"/>
      <c r="M3894" s="11" t="n"/>
    </row>
    <row r="3895">
      <c r="A3895" s="11" t="n"/>
      <c r="B3895" s="11" t="n"/>
      <c r="C3895" s="11" t="n"/>
      <c r="D3895" s="11" t="n"/>
      <c r="E3895" s="11" t="n"/>
      <c r="F3895" s="11" t="n"/>
      <c r="G3895" s="11" t="n"/>
      <c r="H3895" s="11" t="n"/>
      <c r="I3895" s="11" t="n"/>
      <c r="J3895" s="11" t="n"/>
      <c r="K3895" s="11" t="n"/>
      <c r="L3895" s="11" t="n"/>
      <c r="M3895" s="11" t="n"/>
    </row>
    <row r="3896">
      <c r="A3896" s="11" t="n"/>
      <c r="B3896" s="11" t="n"/>
      <c r="C3896" s="11" t="n"/>
      <c r="D3896" s="11" t="n"/>
      <c r="E3896" s="11" t="n"/>
      <c r="F3896" s="11" t="n"/>
      <c r="G3896" s="11" t="n"/>
      <c r="H3896" s="11" t="n"/>
      <c r="I3896" s="11" t="n"/>
      <c r="J3896" s="11" t="n"/>
      <c r="K3896" s="11" t="n"/>
      <c r="L3896" s="11" t="n"/>
      <c r="M3896" s="11" t="n"/>
    </row>
    <row r="3897">
      <c r="A3897" s="11" t="n"/>
      <c r="B3897" s="11" t="n"/>
      <c r="C3897" s="11" t="n"/>
      <c r="D3897" s="11" t="n"/>
      <c r="E3897" s="11" t="n"/>
      <c r="F3897" s="11" t="n"/>
      <c r="G3897" s="11" t="n"/>
      <c r="H3897" s="11" t="n"/>
      <c r="I3897" s="11" t="n"/>
      <c r="J3897" s="11" t="n"/>
      <c r="K3897" s="11" t="n"/>
      <c r="L3897" s="11" t="n"/>
      <c r="M3897" s="11" t="n"/>
    </row>
    <row r="3898">
      <c r="A3898" s="11" t="n"/>
      <c r="B3898" s="11" t="n"/>
      <c r="C3898" s="11" t="n"/>
      <c r="D3898" s="11" t="n"/>
      <c r="E3898" s="11" t="n"/>
      <c r="F3898" s="11" t="n"/>
      <c r="G3898" s="11" t="n"/>
      <c r="H3898" s="11" t="n"/>
      <c r="I3898" s="11" t="n"/>
      <c r="J3898" s="11" t="n"/>
      <c r="K3898" s="11" t="n"/>
      <c r="L3898" s="11" t="n"/>
      <c r="M3898" s="11" t="n"/>
    </row>
    <row r="3899">
      <c r="A3899" s="11" t="n"/>
      <c r="B3899" s="11" t="n"/>
      <c r="C3899" s="11" t="n"/>
      <c r="D3899" s="11" t="n"/>
      <c r="E3899" s="11" t="n"/>
      <c r="F3899" s="11" t="n"/>
      <c r="G3899" s="11" t="n"/>
      <c r="H3899" s="11" t="n"/>
      <c r="I3899" s="11" t="n"/>
      <c r="J3899" s="11" t="n"/>
      <c r="K3899" s="11" t="n"/>
      <c r="L3899" s="11" t="n"/>
      <c r="M3899" s="11" t="n"/>
    </row>
    <row r="3900">
      <c r="A3900" s="11" t="n"/>
      <c r="B3900" s="11" t="n"/>
      <c r="C3900" s="11" t="n"/>
      <c r="D3900" s="11" t="n"/>
      <c r="E3900" s="11" t="n"/>
      <c r="F3900" s="11" t="n"/>
      <c r="G3900" s="11" t="n"/>
      <c r="H3900" s="11" t="n"/>
      <c r="I3900" s="11" t="n"/>
      <c r="J3900" s="11" t="n"/>
      <c r="K3900" s="11" t="n"/>
      <c r="L3900" s="11" t="n"/>
      <c r="M3900" s="11" t="n"/>
    </row>
    <row r="3901">
      <c r="A3901" s="11" t="n"/>
      <c r="B3901" s="11" t="n"/>
      <c r="C3901" s="11" t="n"/>
      <c r="D3901" s="11" t="n"/>
      <c r="E3901" s="11" t="n"/>
      <c r="F3901" s="11" t="n"/>
      <c r="G3901" s="11" t="n"/>
      <c r="H3901" s="11" t="n"/>
      <c r="I3901" s="11" t="n"/>
      <c r="J3901" s="11" t="n"/>
      <c r="K3901" s="11" t="n"/>
      <c r="L3901" s="11" t="n"/>
      <c r="M3901" s="11" t="n"/>
    </row>
    <row r="3902">
      <c r="A3902" s="11" t="n"/>
      <c r="B3902" s="11" t="n"/>
      <c r="C3902" s="11" t="n"/>
      <c r="D3902" s="11" t="n"/>
      <c r="E3902" s="11" t="n"/>
      <c r="F3902" s="11" t="n"/>
      <c r="G3902" s="11" t="n"/>
      <c r="H3902" s="11" t="n"/>
      <c r="I3902" s="11" t="n"/>
      <c r="J3902" s="11" t="n"/>
      <c r="K3902" s="11" t="n"/>
      <c r="L3902" s="11" t="n"/>
      <c r="M3902" s="11" t="n"/>
    </row>
    <row r="3903">
      <c r="A3903" s="11" t="n"/>
      <c r="B3903" s="11" t="n"/>
      <c r="C3903" s="11" t="n"/>
      <c r="D3903" s="11" t="n"/>
      <c r="E3903" s="11" t="n"/>
      <c r="F3903" s="11" t="n"/>
      <c r="G3903" s="11" t="n"/>
      <c r="H3903" s="11" t="n"/>
      <c r="I3903" s="11" t="n"/>
      <c r="J3903" s="11" t="n"/>
      <c r="K3903" s="11" t="n"/>
      <c r="L3903" s="11" t="n"/>
      <c r="M3903" s="11" t="n"/>
    </row>
    <row r="3904">
      <c r="A3904" s="11" t="n"/>
      <c r="B3904" s="11" t="n"/>
      <c r="C3904" s="11" t="n"/>
      <c r="D3904" s="11" t="n"/>
      <c r="E3904" s="11" t="n"/>
      <c r="F3904" s="11" t="n"/>
      <c r="G3904" s="11" t="n"/>
      <c r="H3904" s="11" t="n"/>
      <c r="I3904" s="11" t="n"/>
      <c r="J3904" s="11" t="n"/>
      <c r="K3904" s="11" t="n"/>
      <c r="L3904" s="11" t="n"/>
      <c r="M3904" s="11" t="n"/>
    </row>
    <row r="3905">
      <c r="A3905" s="11" t="n"/>
      <c r="B3905" s="11" t="n"/>
      <c r="C3905" s="11" t="n"/>
      <c r="D3905" s="11" t="n"/>
      <c r="E3905" s="11" t="n"/>
      <c r="F3905" s="11" t="n"/>
      <c r="G3905" s="11" t="n"/>
      <c r="H3905" s="11" t="n"/>
      <c r="I3905" s="11" t="n"/>
      <c r="J3905" s="11" t="n"/>
      <c r="K3905" s="11" t="n"/>
      <c r="L3905" s="11" t="n"/>
      <c r="M3905" s="11" t="n"/>
    </row>
    <row r="3906">
      <c r="A3906" s="11" t="n"/>
      <c r="B3906" s="11" t="n"/>
      <c r="C3906" s="11" t="n"/>
      <c r="D3906" s="11" t="n"/>
      <c r="E3906" s="11" t="n"/>
      <c r="F3906" s="11" t="n"/>
      <c r="G3906" s="11" t="n"/>
      <c r="H3906" s="11" t="n"/>
      <c r="I3906" s="11" t="n"/>
      <c r="J3906" s="11" t="n"/>
      <c r="K3906" s="11" t="n"/>
      <c r="L3906" s="11" t="n"/>
      <c r="M3906" s="11" t="n"/>
    </row>
    <row r="3907">
      <c r="A3907" s="11" t="n"/>
      <c r="B3907" s="11" t="n"/>
      <c r="C3907" s="11" t="n"/>
      <c r="D3907" s="11" t="n"/>
      <c r="E3907" s="11" t="n"/>
      <c r="F3907" s="11" t="n"/>
      <c r="G3907" s="11" t="n"/>
      <c r="H3907" s="11" t="n"/>
      <c r="I3907" s="11" t="n"/>
      <c r="J3907" s="11" t="n"/>
      <c r="K3907" s="11" t="n"/>
      <c r="L3907" s="11" t="n"/>
      <c r="M3907" s="11" t="n"/>
    </row>
    <row r="3908">
      <c r="A3908" s="11" t="n"/>
      <c r="B3908" s="11" t="n"/>
      <c r="C3908" s="11" t="n"/>
      <c r="D3908" s="11" t="n"/>
      <c r="E3908" s="11" t="n"/>
      <c r="F3908" s="11" t="n"/>
      <c r="G3908" s="11" t="n"/>
      <c r="H3908" s="11" t="n"/>
      <c r="I3908" s="11" t="n"/>
      <c r="J3908" s="11" t="n"/>
      <c r="K3908" s="11" t="n"/>
      <c r="L3908" s="11" t="n"/>
      <c r="M3908" s="11" t="n"/>
    </row>
    <row r="3909">
      <c r="A3909" s="11" t="n"/>
      <c r="B3909" s="11" t="n"/>
      <c r="C3909" s="11" t="n"/>
      <c r="D3909" s="11" t="n"/>
      <c r="E3909" s="11" t="n"/>
      <c r="F3909" s="11" t="n"/>
      <c r="G3909" s="11" t="n"/>
      <c r="H3909" s="11" t="n"/>
      <c r="I3909" s="11" t="n"/>
      <c r="J3909" s="11" t="n"/>
      <c r="K3909" s="11" t="n"/>
      <c r="L3909" s="11" t="n"/>
      <c r="M3909" s="11" t="n"/>
    </row>
    <row r="3910">
      <c r="A3910" s="11" t="n"/>
      <c r="B3910" s="11" t="n"/>
      <c r="C3910" s="11" t="n"/>
      <c r="D3910" s="11" t="n"/>
      <c r="E3910" s="11" t="n"/>
      <c r="F3910" s="11" t="n"/>
      <c r="G3910" s="11" t="n"/>
      <c r="H3910" s="11" t="n"/>
      <c r="I3910" s="11" t="n"/>
      <c r="J3910" s="11" t="n"/>
      <c r="K3910" s="11" t="n"/>
      <c r="L3910" s="11" t="n"/>
      <c r="M3910" s="11" t="n"/>
    </row>
    <row r="3911">
      <c r="A3911" s="11" t="n"/>
      <c r="B3911" s="11" t="n"/>
      <c r="C3911" s="11" t="n"/>
      <c r="D3911" s="11" t="n"/>
      <c r="E3911" s="11" t="n"/>
      <c r="F3911" s="11" t="n"/>
      <c r="G3911" s="11" t="n"/>
      <c r="H3911" s="11" t="n"/>
      <c r="I3911" s="11" t="n"/>
      <c r="J3911" s="11" t="n"/>
      <c r="K3911" s="11" t="n"/>
      <c r="L3911" s="11" t="n"/>
      <c r="M3911" s="11" t="n"/>
    </row>
    <row r="3912">
      <c r="A3912" s="11" t="n"/>
      <c r="B3912" s="11" t="n"/>
      <c r="C3912" s="11" t="n"/>
      <c r="D3912" s="11" t="n"/>
      <c r="E3912" s="11" t="n"/>
      <c r="F3912" s="11" t="n"/>
      <c r="G3912" s="11" t="n"/>
      <c r="H3912" s="11" t="n"/>
      <c r="I3912" s="11" t="n"/>
      <c r="J3912" s="11" t="n"/>
      <c r="K3912" s="11" t="n"/>
      <c r="L3912" s="11" t="n"/>
      <c r="M3912" s="11" t="n"/>
    </row>
    <row r="3913">
      <c r="A3913" s="11" t="n"/>
      <c r="B3913" s="11" t="n"/>
      <c r="C3913" s="11" t="n"/>
      <c r="D3913" s="11" t="n"/>
      <c r="E3913" s="11" t="n"/>
      <c r="F3913" s="11" t="n"/>
      <c r="G3913" s="11" t="n"/>
      <c r="H3913" s="11" t="n"/>
      <c r="I3913" s="11" t="n"/>
      <c r="J3913" s="11" t="n"/>
      <c r="K3913" s="11" t="n"/>
      <c r="L3913" s="11" t="n"/>
      <c r="M3913" s="11" t="n"/>
    </row>
    <row r="3914">
      <c r="A3914" s="11" t="n"/>
      <c r="B3914" s="11" t="n"/>
      <c r="C3914" s="11" t="n"/>
      <c r="D3914" s="11" t="n"/>
      <c r="E3914" s="11" t="n"/>
      <c r="F3914" s="11" t="n"/>
      <c r="G3914" s="11" t="n"/>
      <c r="H3914" s="11" t="n"/>
      <c r="I3914" s="11" t="n"/>
      <c r="J3914" s="11" t="n"/>
      <c r="K3914" s="11" t="n"/>
      <c r="L3914" s="11" t="n"/>
      <c r="M3914" s="11" t="n"/>
    </row>
    <row r="3915">
      <c r="A3915" s="11" t="n"/>
      <c r="B3915" s="11" t="n"/>
      <c r="C3915" s="11" t="n"/>
      <c r="D3915" s="11" t="n"/>
      <c r="E3915" s="11" t="n"/>
      <c r="F3915" s="11" t="n"/>
      <c r="G3915" s="11" t="n"/>
      <c r="H3915" s="11" t="n"/>
      <c r="I3915" s="11" t="n"/>
      <c r="J3915" s="11" t="n"/>
      <c r="K3915" s="11" t="n"/>
      <c r="L3915" s="11" t="n"/>
      <c r="M3915" s="11" t="n"/>
    </row>
    <row r="3916">
      <c r="A3916" s="11" t="n"/>
      <c r="B3916" s="11" t="n"/>
      <c r="C3916" s="11" t="n"/>
      <c r="D3916" s="11" t="n"/>
      <c r="E3916" s="11" t="n"/>
      <c r="F3916" s="11" t="n"/>
      <c r="G3916" s="11" t="n"/>
      <c r="H3916" s="11" t="n"/>
      <c r="I3916" s="11" t="n"/>
      <c r="J3916" s="11" t="n"/>
      <c r="K3916" s="11" t="n"/>
      <c r="L3916" s="11" t="n"/>
      <c r="M3916" s="11" t="n"/>
    </row>
    <row r="3917">
      <c r="A3917" s="11" t="n"/>
      <c r="B3917" s="11" t="n"/>
      <c r="C3917" s="11" t="n"/>
      <c r="D3917" s="11" t="n"/>
      <c r="E3917" s="11" t="n"/>
      <c r="F3917" s="11" t="n"/>
      <c r="G3917" s="11" t="n"/>
      <c r="H3917" s="11" t="n"/>
      <c r="I3917" s="11" t="n"/>
      <c r="J3917" s="11" t="n"/>
      <c r="K3917" s="11" t="n"/>
      <c r="L3917" s="11" t="n"/>
      <c r="M3917" s="11" t="n"/>
    </row>
    <row r="3918">
      <c r="A3918" s="11" t="n"/>
      <c r="B3918" s="11" t="n"/>
      <c r="C3918" s="11" t="n"/>
      <c r="D3918" s="11" t="n"/>
      <c r="E3918" s="11" t="n"/>
      <c r="F3918" s="11" t="n"/>
      <c r="G3918" s="11" t="n"/>
      <c r="H3918" s="11" t="n"/>
      <c r="I3918" s="11" t="n"/>
      <c r="J3918" s="11" t="n"/>
      <c r="K3918" s="11" t="n"/>
      <c r="L3918" s="11" t="n"/>
      <c r="M3918" s="11" t="n"/>
    </row>
    <row r="3919">
      <c r="A3919" s="11" t="n"/>
      <c r="B3919" s="11" t="n"/>
      <c r="C3919" s="11" t="n"/>
      <c r="D3919" s="11" t="n"/>
      <c r="E3919" s="11" t="n"/>
      <c r="F3919" s="11" t="n"/>
      <c r="G3919" s="11" t="n"/>
      <c r="H3919" s="11" t="n"/>
      <c r="I3919" s="11" t="n"/>
      <c r="J3919" s="11" t="n"/>
      <c r="K3919" s="11" t="n"/>
      <c r="L3919" s="11" t="n"/>
      <c r="M3919" s="11" t="n"/>
    </row>
    <row r="3920">
      <c r="A3920" s="11" t="n"/>
      <c r="B3920" s="11" t="n"/>
      <c r="C3920" s="11" t="n"/>
      <c r="D3920" s="11" t="n"/>
      <c r="E3920" s="11" t="n"/>
      <c r="F3920" s="11" t="n"/>
      <c r="G3920" s="11" t="n"/>
      <c r="H3920" s="11" t="n"/>
      <c r="I3920" s="11" t="n"/>
      <c r="J3920" s="11" t="n"/>
      <c r="K3920" s="11" t="n"/>
      <c r="L3920" s="11" t="n"/>
      <c r="M3920" s="11" t="n"/>
    </row>
    <row r="3921">
      <c r="A3921" s="11" t="n"/>
      <c r="B3921" s="11" t="n"/>
      <c r="C3921" s="11" t="n"/>
      <c r="D3921" s="11" t="n"/>
      <c r="E3921" s="11" t="n"/>
      <c r="F3921" s="11" t="n"/>
      <c r="G3921" s="11" t="n"/>
      <c r="H3921" s="11" t="n"/>
      <c r="I3921" s="11" t="n"/>
      <c r="J3921" s="11" t="n"/>
      <c r="K3921" s="11" t="n"/>
      <c r="L3921" s="11" t="n"/>
      <c r="M3921" s="11" t="n"/>
    </row>
    <row r="3922">
      <c r="A3922" s="11" t="n"/>
      <c r="B3922" s="11" t="n"/>
      <c r="C3922" s="11" t="n"/>
      <c r="D3922" s="11" t="n"/>
      <c r="E3922" s="11" t="n"/>
      <c r="F3922" s="11" t="n"/>
      <c r="G3922" s="11" t="n"/>
      <c r="H3922" s="11" t="n"/>
      <c r="I3922" s="11" t="n"/>
      <c r="J3922" s="11" t="n"/>
      <c r="K3922" s="11" t="n"/>
      <c r="L3922" s="11" t="n"/>
      <c r="M3922" s="11" t="n"/>
    </row>
    <row r="3923">
      <c r="A3923" s="11" t="n"/>
      <c r="B3923" s="11" t="n"/>
      <c r="C3923" s="11" t="n"/>
      <c r="D3923" s="11" t="n"/>
      <c r="E3923" s="11" t="n"/>
      <c r="F3923" s="11" t="n"/>
      <c r="G3923" s="11" t="n"/>
      <c r="H3923" s="11" t="n"/>
      <c r="I3923" s="11" t="n"/>
      <c r="J3923" s="11" t="n"/>
      <c r="K3923" s="11" t="n"/>
      <c r="L3923" s="11" t="n"/>
      <c r="M3923" s="11" t="n"/>
    </row>
    <row r="3924">
      <c r="A3924" s="11" t="n"/>
      <c r="B3924" s="11" t="n"/>
      <c r="C3924" s="11" t="n"/>
      <c r="D3924" s="11" t="n"/>
      <c r="E3924" s="11" t="n"/>
      <c r="F3924" s="11" t="n"/>
      <c r="G3924" s="11" t="n"/>
      <c r="H3924" s="11" t="n"/>
      <c r="I3924" s="11" t="n"/>
      <c r="J3924" s="11" t="n"/>
      <c r="K3924" s="11" t="n"/>
      <c r="L3924" s="11" t="n"/>
      <c r="M3924" s="11" t="n"/>
    </row>
    <row r="3925">
      <c r="A3925" s="11" t="n"/>
      <c r="B3925" s="11" t="n"/>
      <c r="C3925" s="11" t="n"/>
      <c r="D3925" s="11" t="n"/>
      <c r="E3925" s="11" t="n"/>
      <c r="F3925" s="11" t="n"/>
      <c r="G3925" s="11" t="n"/>
      <c r="H3925" s="11" t="n"/>
      <c r="I3925" s="11" t="n"/>
      <c r="J3925" s="11" t="n"/>
      <c r="K3925" s="11" t="n"/>
      <c r="L3925" s="11" t="n"/>
      <c r="M3925" s="11" t="n"/>
    </row>
    <row r="3926">
      <c r="A3926" s="11" t="n"/>
      <c r="B3926" s="11" t="n"/>
      <c r="C3926" s="11" t="n"/>
      <c r="D3926" s="11" t="n"/>
      <c r="E3926" s="11" t="n"/>
      <c r="F3926" s="11" t="n"/>
      <c r="G3926" s="11" t="n"/>
      <c r="H3926" s="11" t="n"/>
      <c r="I3926" s="11" t="n"/>
      <c r="J3926" s="11" t="n"/>
      <c r="K3926" s="11" t="n"/>
      <c r="L3926" s="11" t="n"/>
      <c r="M3926" s="11" t="n"/>
    </row>
    <row r="3927">
      <c r="A3927" s="11" t="n"/>
      <c r="B3927" s="11" t="n"/>
      <c r="C3927" s="11" t="n"/>
      <c r="D3927" s="11" t="n"/>
      <c r="E3927" s="11" t="n"/>
      <c r="F3927" s="11" t="n"/>
      <c r="G3927" s="11" t="n"/>
      <c r="H3927" s="11" t="n"/>
      <c r="I3927" s="11" t="n"/>
      <c r="J3927" s="11" t="n"/>
      <c r="K3927" s="11" t="n"/>
      <c r="L3927" s="11" t="n"/>
      <c r="M3927" s="11" t="n"/>
    </row>
    <row r="3928">
      <c r="A3928" s="11" t="n"/>
      <c r="B3928" s="11" t="n"/>
      <c r="C3928" s="11" t="n"/>
      <c r="D3928" s="11" t="n"/>
      <c r="E3928" s="11" t="n"/>
      <c r="F3928" s="11" t="n"/>
      <c r="G3928" s="11" t="n"/>
      <c r="H3928" s="11" t="n"/>
      <c r="I3928" s="11" t="n"/>
      <c r="J3928" s="11" t="n"/>
      <c r="K3928" s="11" t="n"/>
      <c r="L3928" s="11" t="n"/>
      <c r="M3928" s="11" t="n"/>
    </row>
    <row r="3929">
      <c r="A3929" s="11" t="n"/>
      <c r="B3929" s="11" t="n"/>
      <c r="C3929" s="11" t="n"/>
      <c r="D3929" s="11" t="n"/>
      <c r="E3929" s="11" t="n"/>
      <c r="F3929" s="11" t="n"/>
      <c r="G3929" s="11" t="n"/>
      <c r="H3929" s="11" t="n"/>
      <c r="I3929" s="11" t="n"/>
      <c r="J3929" s="11" t="n"/>
      <c r="K3929" s="11" t="n"/>
      <c r="L3929" s="11" t="n"/>
      <c r="M3929" s="11" t="n"/>
    </row>
    <row r="3930">
      <c r="A3930" s="11" t="n"/>
      <c r="B3930" s="11" t="n"/>
      <c r="C3930" s="11" t="n"/>
      <c r="D3930" s="11" t="n"/>
      <c r="E3930" s="11" t="n"/>
      <c r="F3930" s="11" t="n"/>
      <c r="G3930" s="11" t="n"/>
      <c r="H3930" s="11" t="n"/>
      <c r="I3930" s="11" t="n"/>
      <c r="J3930" s="11" t="n"/>
      <c r="K3930" s="11" t="n"/>
      <c r="L3930" s="11" t="n"/>
      <c r="M3930" s="11" t="n"/>
    </row>
    <row r="3931">
      <c r="A3931" s="11" t="n"/>
      <c r="B3931" s="11" t="n"/>
      <c r="C3931" s="11" t="n"/>
      <c r="D3931" s="11" t="n"/>
      <c r="E3931" s="11" t="n"/>
      <c r="F3931" s="11" t="n"/>
      <c r="G3931" s="11" t="n"/>
      <c r="H3931" s="11" t="n"/>
      <c r="I3931" s="11" t="n"/>
      <c r="J3931" s="11" t="n"/>
      <c r="K3931" s="11" t="n"/>
      <c r="L3931" s="11" t="n"/>
      <c r="M3931" s="11" t="n"/>
    </row>
    <row r="3932">
      <c r="A3932" s="11" t="n"/>
      <c r="B3932" s="11" t="n"/>
      <c r="C3932" s="11" t="n"/>
      <c r="D3932" s="11" t="n"/>
      <c r="E3932" s="11" t="n"/>
      <c r="F3932" s="11" t="n"/>
      <c r="G3932" s="11" t="n"/>
      <c r="H3932" s="11" t="n"/>
      <c r="I3932" s="11" t="n"/>
      <c r="J3932" s="11" t="n"/>
      <c r="K3932" s="11" t="n"/>
      <c r="L3932" s="11" t="n"/>
      <c r="M3932" s="11" t="n"/>
    </row>
    <row r="3933">
      <c r="A3933" s="11" t="n"/>
      <c r="B3933" s="11" t="n"/>
      <c r="C3933" s="11" t="n"/>
      <c r="D3933" s="11" t="n"/>
      <c r="E3933" s="11" t="n"/>
      <c r="F3933" s="11" t="n"/>
      <c r="G3933" s="11" t="n"/>
      <c r="H3933" s="11" t="n"/>
      <c r="I3933" s="11" t="n"/>
      <c r="J3933" s="11" t="n"/>
      <c r="K3933" s="11" t="n"/>
      <c r="L3933" s="11" t="n"/>
      <c r="M3933" s="11" t="n"/>
    </row>
    <row r="3934">
      <c r="A3934" s="11" t="n"/>
      <c r="B3934" s="11" t="n"/>
      <c r="C3934" s="11" t="n"/>
      <c r="D3934" s="11" t="n"/>
      <c r="E3934" s="11" t="n"/>
      <c r="F3934" s="11" t="n"/>
      <c r="G3934" s="11" t="n"/>
      <c r="H3934" s="11" t="n"/>
      <c r="I3934" s="11" t="n"/>
      <c r="J3934" s="11" t="n"/>
      <c r="K3934" s="11" t="n"/>
      <c r="L3934" s="11" t="n"/>
      <c r="M3934" s="11" t="n"/>
    </row>
    <row r="3935">
      <c r="A3935" s="11" t="n"/>
      <c r="B3935" s="11" t="n"/>
      <c r="C3935" s="11" t="n"/>
      <c r="D3935" s="11" t="n"/>
      <c r="E3935" s="11" t="n"/>
      <c r="F3935" s="11" t="n"/>
      <c r="G3935" s="11" t="n"/>
      <c r="H3935" s="11" t="n"/>
      <c r="I3935" s="11" t="n"/>
      <c r="J3935" s="11" t="n"/>
      <c r="K3935" s="11" t="n"/>
      <c r="L3935" s="11" t="n"/>
      <c r="M3935" s="11" t="n"/>
    </row>
    <row r="3936">
      <c r="A3936" s="11" t="n"/>
      <c r="B3936" s="11" t="n"/>
      <c r="C3936" s="11" t="n"/>
      <c r="D3936" s="11" t="n"/>
      <c r="E3936" s="11" t="n"/>
      <c r="F3936" s="11" t="n"/>
      <c r="G3936" s="11" t="n"/>
      <c r="H3936" s="11" t="n"/>
      <c r="I3936" s="11" t="n"/>
      <c r="J3936" s="11" t="n"/>
      <c r="K3936" s="11" t="n"/>
      <c r="L3936" s="11" t="n"/>
      <c r="M3936" s="11" t="n"/>
    </row>
    <row r="3937">
      <c r="A3937" s="11" t="n"/>
      <c r="B3937" s="11" t="n"/>
      <c r="C3937" s="11" t="n"/>
      <c r="D3937" s="11" t="n"/>
      <c r="E3937" s="11" t="n"/>
      <c r="F3937" s="11" t="n"/>
      <c r="G3937" s="11" t="n"/>
      <c r="H3937" s="11" t="n"/>
      <c r="I3937" s="11" t="n"/>
      <c r="J3937" s="11" t="n"/>
      <c r="K3937" s="11" t="n"/>
      <c r="L3937" s="11" t="n"/>
      <c r="M3937" s="11" t="n"/>
    </row>
    <row r="3938">
      <c r="A3938" s="11" t="n"/>
      <c r="B3938" s="11" t="n"/>
      <c r="C3938" s="11" t="n"/>
      <c r="D3938" s="11" t="n"/>
      <c r="E3938" s="11" t="n"/>
      <c r="F3938" s="11" t="n"/>
      <c r="G3938" s="11" t="n"/>
      <c r="H3938" s="11" t="n"/>
      <c r="I3938" s="11" t="n"/>
      <c r="J3938" s="11" t="n"/>
      <c r="K3938" s="11" t="n"/>
      <c r="L3938" s="11" t="n"/>
      <c r="M3938" s="11" t="n"/>
    </row>
    <row r="3939">
      <c r="A3939" s="11" t="n"/>
      <c r="B3939" s="11" t="n"/>
      <c r="C3939" s="11" t="n"/>
      <c r="D3939" s="11" t="n"/>
      <c r="E3939" s="11" t="n"/>
      <c r="F3939" s="11" t="n"/>
      <c r="G3939" s="11" t="n"/>
      <c r="H3939" s="11" t="n"/>
      <c r="I3939" s="11" t="n"/>
      <c r="J3939" s="11" t="n"/>
      <c r="K3939" s="11" t="n"/>
      <c r="L3939" s="11" t="n"/>
      <c r="M3939" s="11" t="n"/>
    </row>
    <row r="3940">
      <c r="A3940" s="11" t="n"/>
      <c r="B3940" s="11" t="n"/>
      <c r="C3940" s="11" t="n"/>
      <c r="D3940" s="11" t="n"/>
      <c r="E3940" s="11" t="n"/>
      <c r="F3940" s="11" t="n"/>
      <c r="G3940" s="11" t="n"/>
      <c r="H3940" s="11" t="n"/>
      <c r="I3940" s="11" t="n"/>
      <c r="J3940" s="11" t="n"/>
      <c r="K3940" s="11" t="n"/>
      <c r="L3940" s="11" t="n"/>
      <c r="M3940" s="11" t="n"/>
    </row>
    <row r="3941">
      <c r="A3941" s="11" t="n"/>
      <c r="B3941" s="11" t="n"/>
      <c r="C3941" s="11" t="n"/>
      <c r="D3941" s="11" t="n"/>
      <c r="E3941" s="11" t="n"/>
      <c r="F3941" s="11" t="n"/>
      <c r="G3941" s="11" t="n"/>
      <c r="H3941" s="11" t="n"/>
      <c r="I3941" s="11" t="n"/>
      <c r="J3941" s="11" t="n"/>
      <c r="K3941" s="11" t="n"/>
      <c r="L3941" s="11" t="n"/>
      <c r="M3941" s="11" t="n"/>
    </row>
    <row r="3942">
      <c r="A3942" s="11" t="n"/>
      <c r="B3942" s="11" t="n"/>
      <c r="C3942" s="11" t="n"/>
      <c r="D3942" s="11" t="n"/>
      <c r="E3942" s="11" t="n"/>
      <c r="F3942" s="11" t="n"/>
      <c r="G3942" s="11" t="n"/>
      <c r="H3942" s="11" t="n"/>
      <c r="I3942" s="11" t="n"/>
      <c r="J3942" s="11" t="n"/>
      <c r="K3942" s="11" t="n"/>
      <c r="L3942" s="11" t="n"/>
      <c r="M3942" s="11" t="n"/>
    </row>
    <row r="3943">
      <c r="A3943" s="11" t="n"/>
      <c r="B3943" s="11" t="n"/>
      <c r="C3943" s="11" t="n"/>
      <c r="D3943" s="11" t="n"/>
      <c r="E3943" s="11" t="n"/>
      <c r="F3943" s="11" t="n"/>
      <c r="G3943" s="11" t="n"/>
      <c r="H3943" s="11" t="n"/>
      <c r="I3943" s="11" t="n"/>
      <c r="J3943" s="11" t="n"/>
      <c r="K3943" s="11" t="n"/>
      <c r="L3943" s="11" t="n"/>
      <c r="M3943" s="11" t="n"/>
    </row>
    <row r="3944">
      <c r="A3944" s="11" t="n"/>
      <c r="B3944" s="11" t="n"/>
      <c r="C3944" s="11" t="n"/>
      <c r="D3944" s="11" t="n"/>
      <c r="E3944" s="11" t="n"/>
      <c r="F3944" s="11" t="n"/>
      <c r="G3944" s="11" t="n"/>
      <c r="H3944" s="11" t="n"/>
      <c r="I3944" s="11" t="n"/>
      <c r="J3944" s="11" t="n"/>
      <c r="K3944" s="11" t="n"/>
      <c r="L3944" s="11" t="n"/>
      <c r="M3944" s="11" t="n"/>
    </row>
    <row r="3945">
      <c r="A3945" s="11" t="n"/>
      <c r="B3945" s="11" t="n"/>
      <c r="C3945" s="11" t="n"/>
      <c r="D3945" s="11" t="n"/>
      <c r="E3945" s="11" t="n"/>
      <c r="F3945" s="11" t="n"/>
      <c r="G3945" s="11" t="n"/>
      <c r="H3945" s="11" t="n"/>
      <c r="I3945" s="11" t="n"/>
      <c r="J3945" s="11" t="n"/>
      <c r="K3945" s="11" t="n"/>
      <c r="L3945" s="11" t="n"/>
      <c r="M3945" s="11" t="n"/>
    </row>
    <row r="3946">
      <c r="A3946" s="11" t="n"/>
      <c r="B3946" s="11" t="n"/>
      <c r="C3946" s="11" t="n"/>
      <c r="D3946" s="11" t="n"/>
      <c r="E3946" s="11" t="n"/>
      <c r="F3946" s="11" t="n"/>
      <c r="G3946" s="11" t="n"/>
      <c r="H3946" s="11" t="n"/>
      <c r="I3946" s="11" t="n"/>
      <c r="J3946" s="11" t="n"/>
      <c r="K3946" s="11" t="n"/>
      <c r="L3946" s="11" t="n"/>
      <c r="M3946" s="11" t="n"/>
    </row>
    <row r="3947">
      <c r="A3947" s="11" t="n"/>
      <c r="B3947" s="11" t="n"/>
      <c r="C3947" s="11" t="n"/>
      <c r="D3947" s="11" t="n"/>
      <c r="E3947" s="11" t="n"/>
      <c r="F3947" s="11" t="n"/>
      <c r="G3947" s="11" t="n"/>
      <c r="H3947" s="11" t="n"/>
      <c r="I3947" s="11" t="n"/>
      <c r="J3947" s="11" t="n"/>
      <c r="K3947" s="11" t="n"/>
      <c r="L3947" s="11" t="n"/>
      <c r="M3947" s="11" t="n"/>
    </row>
    <row r="3948">
      <c r="A3948" s="11" t="n"/>
      <c r="B3948" s="11" t="n"/>
      <c r="C3948" s="11" t="n"/>
      <c r="D3948" s="11" t="n"/>
      <c r="E3948" s="11" t="n"/>
      <c r="F3948" s="11" t="n"/>
      <c r="G3948" s="11" t="n"/>
      <c r="H3948" s="11" t="n"/>
      <c r="I3948" s="11" t="n"/>
      <c r="J3948" s="11" t="n"/>
      <c r="K3948" s="11" t="n"/>
      <c r="L3948" s="11" t="n"/>
      <c r="M3948" s="11" t="n"/>
    </row>
    <row r="3949">
      <c r="A3949" s="11" t="n"/>
      <c r="B3949" s="11" t="n"/>
      <c r="C3949" s="11" t="n"/>
      <c r="D3949" s="11" t="n"/>
      <c r="E3949" s="11" t="n"/>
      <c r="F3949" s="11" t="n"/>
      <c r="G3949" s="11" t="n"/>
      <c r="H3949" s="11" t="n"/>
      <c r="I3949" s="11" t="n"/>
      <c r="J3949" s="11" t="n"/>
      <c r="K3949" s="11" t="n"/>
      <c r="L3949" s="11" t="n"/>
      <c r="M3949" s="11" t="n"/>
    </row>
    <row r="3950">
      <c r="A3950" s="11" t="n"/>
      <c r="B3950" s="11" t="n"/>
      <c r="C3950" s="11" t="n"/>
      <c r="D3950" s="11" t="n"/>
      <c r="E3950" s="11" t="n"/>
      <c r="F3950" s="11" t="n"/>
      <c r="G3950" s="11" t="n"/>
      <c r="H3950" s="11" t="n"/>
      <c r="I3950" s="11" t="n"/>
      <c r="J3950" s="11" t="n"/>
      <c r="K3950" s="11" t="n"/>
      <c r="L3950" s="11" t="n"/>
      <c r="M3950" s="11" t="n"/>
    </row>
    <row r="3951">
      <c r="A3951" s="11" t="n"/>
      <c r="B3951" s="11" t="n"/>
      <c r="C3951" s="11" t="n"/>
      <c r="D3951" s="11" t="n"/>
      <c r="E3951" s="11" t="n"/>
      <c r="F3951" s="11" t="n"/>
      <c r="G3951" s="11" t="n"/>
      <c r="H3951" s="11" t="n"/>
      <c r="I3951" s="11" t="n"/>
      <c r="J3951" s="11" t="n"/>
      <c r="K3951" s="11" t="n"/>
      <c r="L3951" s="11" t="n"/>
      <c r="M3951" s="11" t="n"/>
    </row>
    <row r="3952">
      <c r="A3952" s="11" t="n"/>
      <c r="B3952" s="11" t="n"/>
      <c r="C3952" s="11" t="n"/>
      <c r="D3952" s="11" t="n"/>
      <c r="E3952" s="11" t="n"/>
      <c r="F3952" s="11" t="n"/>
      <c r="G3952" s="11" t="n"/>
      <c r="H3952" s="11" t="n"/>
      <c r="I3952" s="11" t="n"/>
      <c r="J3952" s="11" t="n"/>
      <c r="K3952" s="11" t="n"/>
      <c r="L3952" s="11" t="n"/>
      <c r="M3952" s="11" t="n"/>
    </row>
    <row r="3953">
      <c r="A3953" s="11" t="n"/>
      <c r="B3953" s="11" t="n"/>
      <c r="C3953" s="11" t="n"/>
      <c r="D3953" s="11" t="n"/>
      <c r="E3953" s="11" t="n"/>
      <c r="F3953" s="11" t="n"/>
      <c r="G3953" s="11" t="n"/>
      <c r="H3953" s="11" t="n"/>
      <c r="I3953" s="11" t="n"/>
      <c r="J3953" s="11" t="n"/>
      <c r="K3953" s="11" t="n"/>
      <c r="L3953" s="11" t="n"/>
      <c r="M3953" s="11" t="n"/>
    </row>
    <row r="3954">
      <c r="A3954" s="11" t="n"/>
      <c r="B3954" s="11" t="n"/>
      <c r="C3954" s="11" t="n"/>
      <c r="D3954" s="11" t="n"/>
      <c r="E3954" s="11" t="n"/>
      <c r="F3954" s="11" t="n"/>
      <c r="G3954" s="11" t="n"/>
      <c r="H3954" s="11" t="n"/>
      <c r="I3954" s="11" t="n"/>
      <c r="J3954" s="11" t="n"/>
      <c r="K3954" s="11" t="n"/>
      <c r="L3954" s="11" t="n"/>
      <c r="M3954" s="11" t="n"/>
    </row>
    <row r="3955">
      <c r="A3955" s="11" t="n"/>
      <c r="B3955" s="11" t="n"/>
      <c r="C3955" s="11" t="n"/>
      <c r="D3955" s="11" t="n"/>
      <c r="E3955" s="11" t="n"/>
      <c r="F3955" s="11" t="n"/>
      <c r="G3955" s="11" t="n"/>
      <c r="H3955" s="11" t="n"/>
      <c r="I3955" s="11" t="n"/>
      <c r="J3955" s="11" t="n"/>
      <c r="K3955" s="11" t="n"/>
      <c r="L3955" s="11" t="n"/>
      <c r="M3955" s="11" t="n"/>
    </row>
    <row r="3956">
      <c r="A3956" s="11" t="n"/>
      <c r="B3956" s="11" t="n"/>
      <c r="C3956" s="11" t="n"/>
      <c r="D3956" s="11" t="n"/>
      <c r="E3956" s="11" t="n"/>
      <c r="F3956" s="11" t="n"/>
      <c r="G3956" s="11" t="n"/>
      <c r="H3956" s="11" t="n"/>
      <c r="I3956" s="11" t="n"/>
      <c r="J3956" s="11" t="n"/>
      <c r="K3956" s="11" t="n"/>
      <c r="L3956" s="11" t="n"/>
      <c r="M3956" s="11" t="n"/>
    </row>
    <row r="3957">
      <c r="A3957" s="11" t="n"/>
      <c r="B3957" s="11" t="n"/>
      <c r="C3957" s="11" t="n"/>
      <c r="D3957" s="11" t="n"/>
      <c r="E3957" s="11" t="n"/>
      <c r="F3957" s="11" t="n"/>
      <c r="G3957" s="11" t="n"/>
      <c r="H3957" s="11" t="n"/>
      <c r="I3957" s="11" t="n"/>
      <c r="J3957" s="11" t="n"/>
      <c r="K3957" s="11" t="n"/>
      <c r="L3957" s="11" t="n"/>
      <c r="M3957" s="11" t="n"/>
    </row>
    <row r="3958">
      <c r="A3958" s="11" t="n"/>
      <c r="B3958" s="11" t="n"/>
      <c r="C3958" s="11" t="n"/>
      <c r="D3958" s="11" t="n"/>
      <c r="E3958" s="11" t="n"/>
      <c r="F3958" s="11" t="n"/>
      <c r="G3958" s="11" t="n"/>
      <c r="H3958" s="11" t="n"/>
      <c r="I3958" s="11" t="n"/>
      <c r="J3958" s="11" t="n"/>
      <c r="K3958" s="11" t="n"/>
      <c r="L3958" s="11" t="n"/>
      <c r="M3958" s="11" t="n"/>
    </row>
    <row r="3959">
      <c r="A3959" s="11" t="n"/>
      <c r="B3959" s="11" t="n"/>
      <c r="C3959" s="11" t="n"/>
      <c r="D3959" s="11" t="n"/>
      <c r="E3959" s="11" t="n"/>
      <c r="F3959" s="11" t="n"/>
      <c r="G3959" s="11" t="n"/>
      <c r="H3959" s="11" t="n"/>
      <c r="I3959" s="11" t="n"/>
      <c r="J3959" s="11" t="n"/>
      <c r="K3959" s="11" t="n"/>
      <c r="L3959" s="11" t="n"/>
      <c r="M3959" s="11" t="n"/>
    </row>
    <row r="3960">
      <c r="A3960" s="11" t="n"/>
      <c r="B3960" s="11" t="n"/>
      <c r="C3960" s="11" t="n"/>
      <c r="D3960" s="11" t="n"/>
      <c r="E3960" s="11" t="n"/>
      <c r="F3960" s="11" t="n"/>
      <c r="G3960" s="11" t="n"/>
      <c r="H3960" s="11" t="n"/>
      <c r="I3960" s="11" t="n"/>
      <c r="J3960" s="11" t="n"/>
      <c r="K3960" s="11" t="n"/>
      <c r="L3960" s="11" t="n"/>
      <c r="M3960" s="11" t="n"/>
    </row>
    <row r="3961">
      <c r="A3961" s="11" t="n"/>
      <c r="B3961" s="11" t="n"/>
      <c r="C3961" s="11" t="n"/>
      <c r="D3961" s="11" t="n"/>
      <c r="E3961" s="11" t="n"/>
      <c r="F3961" s="11" t="n"/>
      <c r="G3961" s="11" t="n"/>
      <c r="H3961" s="11" t="n"/>
      <c r="I3961" s="11" t="n"/>
      <c r="J3961" s="11" t="n"/>
      <c r="K3961" s="11" t="n"/>
      <c r="L3961" s="11" t="n"/>
      <c r="M3961" s="11" t="n"/>
    </row>
    <row r="3962">
      <c r="A3962" s="11" t="n"/>
      <c r="B3962" s="11" t="n"/>
      <c r="C3962" s="11" t="n"/>
      <c r="D3962" s="11" t="n"/>
      <c r="E3962" s="11" t="n"/>
      <c r="F3962" s="11" t="n"/>
      <c r="G3962" s="11" t="n"/>
      <c r="H3962" s="11" t="n"/>
      <c r="I3962" s="11" t="n"/>
      <c r="J3962" s="11" t="n"/>
      <c r="K3962" s="11" t="n"/>
      <c r="L3962" s="11" t="n"/>
      <c r="M3962" s="11" t="n"/>
    </row>
    <row r="3963">
      <c r="A3963" s="11" t="n"/>
      <c r="B3963" s="11" t="n"/>
      <c r="C3963" s="11" t="n"/>
      <c r="D3963" s="11" t="n"/>
      <c r="E3963" s="11" t="n"/>
      <c r="F3963" s="11" t="n"/>
      <c r="G3963" s="11" t="n"/>
      <c r="H3963" s="11" t="n"/>
      <c r="I3963" s="11" t="n"/>
      <c r="J3963" s="11" t="n"/>
      <c r="K3963" s="11" t="n"/>
      <c r="L3963" s="11" t="n"/>
      <c r="M3963" s="11" t="n"/>
    </row>
    <row r="3964">
      <c r="A3964" s="11" t="n"/>
      <c r="B3964" s="11" t="n"/>
      <c r="C3964" s="11" t="n"/>
      <c r="D3964" s="11" t="n"/>
      <c r="E3964" s="11" t="n"/>
      <c r="F3964" s="11" t="n"/>
      <c r="G3964" s="11" t="n"/>
      <c r="H3964" s="11" t="n"/>
      <c r="I3964" s="11" t="n"/>
      <c r="J3964" s="11" t="n"/>
      <c r="K3964" s="11" t="n"/>
      <c r="L3964" s="11" t="n"/>
      <c r="M3964" s="11" t="n"/>
    </row>
    <row r="3965">
      <c r="A3965" s="11" t="n"/>
      <c r="B3965" s="11" t="n"/>
      <c r="C3965" s="11" t="n"/>
      <c r="D3965" s="11" t="n"/>
      <c r="E3965" s="11" t="n"/>
      <c r="F3965" s="11" t="n"/>
      <c r="G3965" s="11" t="n"/>
      <c r="H3965" s="11" t="n"/>
      <c r="I3965" s="11" t="n"/>
      <c r="J3965" s="11" t="n"/>
      <c r="K3965" s="11" t="n"/>
      <c r="L3965" s="11" t="n"/>
      <c r="M3965" s="11" t="n"/>
    </row>
    <row r="3966">
      <c r="A3966" s="11" t="n"/>
      <c r="B3966" s="11" t="n"/>
      <c r="C3966" s="11" t="n"/>
      <c r="D3966" s="11" t="n"/>
      <c r="E3966" s="11" t="n"/>
      <c r="F3966" s="11" t="n"/>
      <c r="G3966" s="11" t="n"/>
      <c r="H3966" s="11" t="n"/>
      <c r="I3966" s="11" t="n"/>
      <c r="J3966" s="11" t="n"/>
      <c r="K3966" s="11" t="n"/>
      <c r="L3966" s="11" t="n"/>
      <c r="M3966" s="11" t="n"/>
    </row>
    <row r="3967">
      <c r="A3967" s="11" t="n"/>
      <c r="B3967" s="11" t="n"/>
      <c r="C3967" s="11" t="n"/>
      <c r="D3967" s="11" t="n"/>
      <c r="E3967" s="11" t="n"/>
      <c r="F3967" s="11" t="n"/>
      <c r="G3967" s="11" t="n"/>
      <c r="H3967" s="11" t="n"/>
      <c r="I3967" s="11" t="n"/>
      <c r="J3967" s="11" t="n"/>
      <c r="K3967" s="11" t="n"/>
      <c r="L3967" s="11" t="n"/>
      <c r="M3967" s="11" t="n"/>
    </row>
    <row r="3968">
      <c r="A3968" s="11" t="n"/>
      <c r="B3968" s="11" t="n"/>
      <c r="C3968" s="11" t="n"/>
      <c r="D3968" s="11" t="n"/>
      <c r="E3968" s="11" t="n"/>
      <c r="F3968" s="11" t="n"/>
      <c r="G3968" s="11" t="n"/>
      <c r="H3968" s="11" t="n"/>
      <c r="I3968" s="11" t="n"/>
      <c r="J3968" s="11" t="n"/>
      <c r="K3968" s="11" t="n"/>
      <c r="L3968" s="11" t="n"/>
      <c r="M3968" s="11" t="n"/>
    </row>
    <row r="3969">
      <c r="A3969" s="11" t="n"/>
      <c r="B3969" s="11" t="n"/>
      <c r="C3969" s="11" t="n"/>
      <c r="D3969" s="11" t="n"/>
      <c r="E3969" s="11" t="n"/>
      <c r="F3969" s="11" t="n"/>
      <c r="G3969" s="11" t="n"/>
      <c r="H3969" s="11" t="n"/>
      <c r="I3969" s="11" t="n"/>
      <c r="J3969" s="11" t="n"/>
      <c r="K3969" s="11" t="n"/>
      <c r="L3969" s="11" t="n"/>
      <c r="M3969" s="11" t="n"/>
    </row>
    <row r="3970">
      <c r="A3970" s="11" t="n"/>
      <c r="B3970" s="11" t="n"/>
      <c r="C3970" s="11" t="n"/>
      <c r="D3970" s="11" t="n"/>
      <c r="E3970" s="11" t="n"/>
      <c r="F3970" s="11" t="n"/>
      <c r="G3970" s="11" t="n"/>
      <c r="H3970" s="11" t="n"/>
      <c r="I3970" s="11" t="n"/>
      <c r="J3970" s="11" t="n"/>
      <c r="K3970" s="11" t="n"/>
      <c r="L3970" s="11" t="n"/>
      <c r="M3970" s="11" t="n"/>
    </row>
    <row r="3971">
      <c r="A3971" s="11" t="n"/>
      <c r="B3971" s="11" t="n"/>
      <c r="C3971" s="11" t="n"/>
      <c r="D3971" s="11" t="n"/>
      <c r="E3971" s="11" t="n"/>
      <c r="F3971" s="11" t="n"/>
      <c r="G3971" s="11" t="n"/>
      <c r="H3971" s="11" t="n"/>
      <c r="I3971" s="11" t="n"/>
      <c r="J3971" s="11" t="n"/>
      <c r="K3971" s="11" t="n"/>
      <c r="L3971" s="11" t="n"/>
      <c r="M3971" s="11" t="n"/>
    </row>
    <row r="3972">
      <c r="A3972" s="11" t="n"/>
      <c r="B3972" s="11" t="n"/>
      <c r="C3972" s="11" t="n"/>
      <c r="D3972" s="11" t="n"/>
      <c r="E3972" s="11" t="n"/>
      <c r="F3972" s="11" t="n"/>
      <c r="G3972" s="11" t="n"/>
      <c r="H3972" s="11" t="n"/>
      <c r="I3972" s="11" t="n"/>
      <c r="J3972" s="11" t="n"/>
      <c r="K3972" s="11" t="n"/>
      <c r="L3972" s="11" t="n"/>
      <c r="M3972" s="11" t="n"/>
    </row>
    <row r="3973">
      <c r="A3973" s="11" t="n"/>
      <c r="B3973" s="11" t="n"/>
      <c r="C3973" s="11" t="n"/>
      <c r="D3973" s="11" t="n"/>
      <c r="E3973" s="11" t="n"/>
      <c r="F3973" s="11" t="n"/>
      <c r="G3973" s="11" t="n"/>
      <c r="H3973" s="11" t="n"/>
      <c r="I3973" s="11" t="n"/>
      <c r="J3973" s="11" t="n"/>
      <c r="K3973" s="11" t="n"/>
      <c r="L3973" s="11" t="n"/>
      <c r="M3973" s="11" t="n"/>
    </row>
    <row r="3974">
      <c r="A3974" s="11" t="n"/>
      <c r="B3974" s="11" t="n"/>
      <c r="C3974" s="11" t="n"/>
      <c r="D3974" s="11" t="n"/>
      <c r="E3974" s="11" t="n"/>
      <c r="F3974" s="11" t="n"/>
      <c r="G3974" s="11" t="n"/>
      <c r="H3974" s="11" t="n"/>
      <c r="I3974" s="11" t="n"/>
      <c r="J3974" s="11" t="n"/>
      <c r="K3974" s="11" t="n"/>
      <c r="L3974" s="11" t="n"/>
      <c r="M3974" s="11" t="n"/>
    </row>
    <row r="3975">
      <c r="A3975" s="11" t="n"/>
      <c r="B3975" s="11" t="n"/>
      <c r="C3975" s="11" t="n"/>
      <c r="D3975" s="11" t="n"/>
      <c r="E3975" s="11" t="n"/>
      <c r="F3975" s="11" t="n"/>
      <c r="G3975" s="11" t="n"/>
      <c r="H3975" s="11" t="n"/>
      <c r="I3975" s="11" t="n"/>
      <c r="J3975" s="11" t="n"/>
      <c r="K3975" s="11" t="n"/>
      <c r="L3975" s="11" t="n"/>
      <c r="M3975" s="11" t="n"/>
    </row>
    <row r="3976">
      <c r="A3976" s="11" t="n"/>
      <c r="B3976" s="11" t="n"/>
      <c r="C3976" s="11" t="n"/>
      <c r="D3976" s="11" t="n"/>
      <c r="E3976" s="11" t="n"/>
      <c r="F3976" s="11" t="n"/>
      <c r="G3976" s="11" t="n"/>
      <c r="H3976" s="11" t="n"/>
      <c r="I3976" s="11" t="n"/>
      <c r="J3976" s="11" t="n"/>
      <c r="K3976" s="11" t="n"/>
      <c r="L3976" s="11" t="n"/>
      <c r="M3976" s="11" t="n"/>
    </row>
    <row r="3977">
      <c r="A3977" s="11" t="n"/>
      <c r="B3977" s="11" t="n"/>
      <c r="C3977" s="11" t="n"/>
      <c r="D3977" s="11" t="n"/>
      <c r="E3977" s="11" t="n"/>
      <c r="F3977" s="11" t="n"/>
      <c r="G3977" s="11" t="n"/>
      <c r="H3977" s="11" t="n"/>
      <c r="I3977" s="11" t="n"/>
      <c r="J3977" s="11" t="n"/>
      <c r="K3977" s="11" t="n"/>
      <c r="L3977" s="11" t="n"/>
      <c r="M3977" s="11" t="n"/>
    </row>
    <row r="3978">
      <c r="A3978" s="11" t="n"/>
      <c r="B3978" s="11" t="n"/>
      <c r="C3978" s="11" t="n"/>
      <c r="D3978" s="11" t="n"/>
      <c r="E3978" s="11" t="n"/>
      <c r="F3978" s="11" t="n"/>
      <c r="G3978" s="11" t="n"/>
      <c r="H3978" s="11" t="n"/>
      <c r="I3978" s="11" t="n"/>
      <c r="J3978" s="11" t="n"/>
      <c r="K3978" s="11" t="n"/>
      <c r="L3978" s="11" t="n"/>
      <c r="M3978" s="11" t="n"/>
    </row>
    <row r="3979">
      <c r="A3979" s="11" t="n"/>
      <c r="B3979" s="11" t="n"/>
      <c r="C3979" s="11" t="n"/>
      <c r="D3979" s="11" t="n"/>
      <c r="E3979" s="11" t="n"/>
      <c r="F3979" s="11" t="n"/>
      <c r="G3979" s="11" t="n"/>
      <c r="H3979" s="11" t="n"/>
      <c r="I3979" s="11" t="n"/>
      <c r="J3979" s="11" t="n"/>
      <c r="K3979" s="11" t="n"/>
      <c r="L3979" s="11" t="n"/>
      <c r="M3979" s="11" t="n"/>
    </row>
    <row r="3980">
      <c r="A3980" s="11" t="n"/>
      <c r="B3980" s="11" t="n"/>
      <c r="C3980" s="11" t="n"/>
      <c r="D3980" s="11" t="n"/>
      <c r="E3980" s="11" t="n"/>
      <c r="F3980" s="11" t="n"/>
      <c r="G3980" s="11" t="n"/>
      <c r="H3980" s="11" t="n"/>
      <c r="I3980" s="11" t="n"/>
      <c r="J3980" s="11" t="n"/>
      <c r="K3980" s="11" t="n"/>
      <c r="L3980" s="11" t="n"/>
      <c r="M3980" s="11" t="n"/>
    </row>
    <row r="3981">
      <c r="A3981" s="11" t="n"/>
      <c r="B3981" s="11" t="n"/>
      <c r="C3981" s="11" t="n"/>
      <c r="D3981" s="11" t="n"/>
      <c r="E3981" s="11" t="n"/>
      <c r="F3981" s="11" t="n"/>
      <c r="G3981" s="11" t="n"/>
      <c r="H3981" s="11" t="n"/>
      <c r="I3981" s="11" t="n"/>
      <c r="J3981" s="11" t="n"/>
      <c r="K3981" s="11" t="n"/>
      <c r="L3981" s="11" t="n"/>
      <c r="M3981" s="11" t="n"/>
    </row>
    <row r="3982">
      <c r="A3982" s="11" t="n"/>
      <c r="B3982" s="11" t="n"/>
      <c r="C3982" s="11" t="n"/>
      <c r="D3982" s="11" t="n"/>
      <c r="E3982" s="11" t="n"/>
      <c r="F3982" s="11" t="n"/>
      <c r="G3982" s="11" t="n"/>
      <c r="H3982" s="11" t="n"/>
      <c r="I3982" s="11" t="n"/>
      <c r="J3982" s="11" t="n"/>
      <c r="K3982" s="11" t="n"/>
      <c r="L3982" s="11" t="n"/>
      <c r="M3982" s="11" t="n"/>
    </row>
    <row r="3983">
      <c r="A3983" s="11" t="n"/>
      <c r="B3983" s="11" t="n"/>
      <c r="C3983" s="11" t="n"/>
      <c r="D3983" s="11" t="n"/>
      <c r="E3983" s="11" t="n"/>
      <c r="F3983" s="11" t="n"/>
      <c r="G3983" s="11" t="n"/>
      <c r="H3983" s="11" t="n"/>
      <c r="I3983" s="11" t="n"/>
      <c r="J3983" s="11" t="n"/>
      <c r="K3983" s="11" t="n"/>
      <c r="L3983" s="11" t="n"/>
      <c r="M3983" s="11" t="n"/>
    </row>
    <row r="3984">
      <c r="A3984" s="11" t="n"/>
      <c r="B3984" s="11" t="n"/>
      <c r="C3984" s="11" t="n"/>
      <c r="D3984" s="11" t="n"/>
      <c r="E3984" s="11" t="n"/>
      <c r="F3984" s="11" t="n"/>
      <c r="G3984" s="11" t="n"/>
      <c r="H3984" s="11" t="n"/>
      <c r="I3984" s="11" t="n"/>
      <c r="J3984" s="11" t="n"/>
      <c r="K3984" s="11" t="n"/>
      <c r="L3984" s="11" t="n"/>
      <c r="M3984" s="11" t="n"/>
    </row>
    <row r="3985">
      <c r="A3985" s="11" t="n"/>
      <c r="B3985" s="11" t="n"/>
      <c r="C3985" s="11" t="n"/>
      <c r="D3985" s="11" t="n"/>
      <c r="E3985" s="11" t="n"/>
      <c r="F3985" s="11" t="n"/>
      <c r="G3985" s="11" t="n"/>
      <c r="H3985" s="11" t="n"/>
      <c r="I3985" s="11" t="n"/>
      <c r="J3985" s="11" t="n"/>
      <c r="K3985" s="11" t="n"/>
      <c r="L3985" s="11" t="n"/>
      <c r="M3985" s="11" t="n"/>
    </row>
    <row r="3986">
      <c r="A3986" s="11" t="n"/>
      <c r="B3986" s="11" t="n"/>
      <c r="C3986" s="11" t="n"/>
      <c r="D3986" s="11" t="n"/>
      <c r="E3986" s="11" t="n"/>
      <c r="F3986" s="11" t="n"/>
      <c r="G3986" s="11" t="n"/>
      <c r="H3986" s="11" t="n"/>
      <c r="I3986" s="11" t="n"/>
      <c r="J3986" s="11" t="n"/>
      <c r="K3986" s="11" t="n"/>
      <c r="L3986" s="11" t="n"/>
      <c r="M3986" s="11" t="n"/>
    </row>
    <row r="3987">
      <c r="A3987" s="11" t="n"/>
      <c r="B3987" s="11" t="n"/>
      <c r="C3987" s="11" t="n"/>
      <c r="D3987" s="11" t="n"/>
      <c r="E3987" s="11" t="n"/>
      <c r="F3987" s="11" t="n"/>
      <c r="G3987" s="11" t="n"/>
      <c r="H3987" s="11" t="n"/>
      <c r="I3987" s="11" t="n"/>
      <c r="J3987" s="11" t="n"/>
      <c r="K3987" s="11" t="n"/>
      <c r="L3987" s="11" t="n"/>
      <c r="M3987" s="11" t="n"/>
    </row>
    <row r="3988">
      <c r="A3988" s="11" t="n"/>
      <c r="B3988" s="11" t="n"/>
      <c r="C3988" s="11" t="n"/>
      <c r="D3988" s="11" t="n"/>
      <c r="E3988" s="11" t="n"/>
      <c r="F3988" s="11" t="n"/>
      <c r="G3988" s="11" t="n"/>
      <c r="H3988" s="11" t="n"/>
      <c r="I3988" s="11" t="n"/>
      <c r="J3988" s="11" t="n"/>
      <c r="K3988" s="11" t="n"/>
      <c r="L3988" s="11" t="n"/>
      <c r="M3988" s="11" t="n"/>
    </row>
    <row r="3989">
      <c r="A3989" s="11" t="n"/>
      <c r="B3989" s="11" t="n"/>
      <c r="C3989" s="11" t="n"/>
      <c r="D3989" s="11" t="n"/>
      <c r="E3989" s="11" t="n"/>
      <c r="F3989" s="11" t="n"/>
      <c r="G3989" s="11" t="n"/>
      <c r="H3989" s="11" t="n"/>
      <c r="I3989" s="11" t="n"/>
      <c r="J3989" s="11" t="n"/>
      <c r="K3989" s="11" t="n"/>
      <c r="L3989" s="11" t="n"/>
      <c r="M3989" s="11" t="n"/>
    </row>
    <row r="3990">
      <c r="A3990" s="11" t="n"/>
      <c r="B3990" s="11" t="n"/>
      <c r="C3990" s="11" t="n"/>
      <c r="D3990" s="11" t="n"/>
      <c r="E3990" s="11" t="n"/>
      <c r="F3990" s="11" t="n"/>
      <c r="G3990" s="11" t="n"/>
      <c r="H3990" s="11" t="n"/>
      <c r="I3990" s="11" t="n"/>
      <c r="J3990" s="11" t="n"/>
      <c r="K3990" s="11" t="n"/>
      <c r="L3990" s="11" t="n"/>
      <c r="M3990" s="11" t="n"/>
    </row>
    <row r="3991">
      <c r="A3991" s="11" t="n"/>
      <c r="B3991" s="11" t="n"/>
      <c r="C3991" s="11" t="n"/>
      <c r="D3991" s="11" t="n"/>
      <c r="E3991" s="11" t="n"/>
      <c r="F3991" s="11" t="n"/>
      <c r="G3991" s="11" t="n"/>
      <c r="H3991" s="11" t="n"/>
      <c r="I3991" s="11" t="n"/>
      <c r="J3991" s="11" t="n"/>
      <c r="K3991" s="11" t="n"/>
      <c r="L3991" s="11" t="n"/>
      <c r="M3991" s="11" t="n"/>
    </row>
    <row r="3992">
      <c r="A3992" s="11" t="n"/>
      <c r="B3992" s="11" t="n"/>
      <c r="C3992" s="11" t="n"/>
      <c r="D3992" s="11" t="n"/>
      <c r="E3992" s="11" t="n"/>
      <c r="F3992" s="11" t="n"/>
      <c r="G3992" s="11" t="n"/>
      <c r="H3992" s="11" t="n"/>
      <c r="I3992" s="11" t="n"/>
      <c r="J3992" s="11" t="n"/>
      <c r="K3992" s="11" t="n"/>
      <c r="L3992" s="11" t="n"/>
      <c r="M3992" s="11" t="n"/>
    </row>
    <row r="3993">
      <c r="A3993" s="11" t="n"/>
      <c r="B3993" s="11" t="n"/>
      <c r="C3993" s="11" t="n"/>
      <c r="D3993" s="11" t="n"/>
      <c r="E3993" s="11" t="n"/>
      <c r="F3993" s="11" t="n"/>
      <c r="G3993" s="11" t="n"/>
      <c r="H3993" s="11" t="n"/>
      <c r="I3993" s="11" t="n"/>
      <c r="J3993" s="11" t="n"/>
      <c r="K3993" s="11" t="n"/>
      <c r="L3993" s="11" t="n"/>
      <c r="M3993" s="11" t="n"/>
    </row>
    <row r="3994">
      <c r="A3994" s="11" t="n"/>
      <c r="B3994" s="11" t="n"/>
      <c r="C3994" s="11" t="n"/>
      <c r="D3994" s="11" t="n"/>
      <c r="E3994" s="11" t="n"/>
      <c r="F3994" s="11" t="n"/>
      <c r="G3994" s="11" t="n"/>
      <c r="H3994" s="11" t="n"/>
      <c r="I3994" s="11" t="n"/>
      <c r="J3994" s="11" t="n"/>
      <c r="K3994" s="11" t="n"/>
      <c r="L3994" s="11" t="n"/>
      <c r="M3994" s="11" t="n"/>
    </row>
    <row r="3995">
      <c r="A3995" s="11" t="n"/>
      <c r="B3995" s="11" t="n"/>
      <c r="C3995" s="11" t="n"/>
      <c r="D3995" s="11" t="n"/>
      <c r="E3995" s="11" t="n"/>
      <c r="F3995" s="11" t="n"/>
      <c r="G3995" s="11" t="n"/>
      <c r="H3995" s="11" t="n"/>
      <c r="I3995" s="11" t="n"/>
      <c r="J3995" s="11" t="n"/>
      <c r="K3995" s="11" t="n"/>
      <c r="L3995" s="11" t="n"/>
      <c r="M3995" s="11" t="n"/>
    </row>
    <row r="3996">
      <c r="A3996" s="11" t="n"/>
      <c r="B3996" s="11" t="n"/>
      <c r="C3996" s="11" t="n"/>
      <c r="D3996" s="11" t="n"/>
      <c r="E3996" s="11" t="n"/>
      <c r="F3996" s="11" t="n"/>
      <c r="G3996" s="11" t="n"/>
      <c r="H3996" s="11" t="n"/>
      <c r="I3996" s="11" t="n"/>
      <c r="J3996" s="11" t="n"/>
      <c r="K3996" s="11" t="n"/>
      <c r="L3996" s="11" t="n"/>
      <c r="M3996" s="11" t="n"/>
    </row>
    <row r="3997">
      <c r="A3997" s="11" t="n"/>
      <c r="B3997" s="11" t="n"/>
      <c r="C3997" s="11" t="n"/>
      <c r="D3997" s="11" t="n"/>
      <c r="E3997" s="11" t="n"/>
      <c r="F3997" s="11" t="n"/>
      <c r="G3997" s="11" t="n"/>
      <c r="H3997" s="11" t="n"/>
      <c r="I3997" s="11" t="n"/>
      <c r="J3997" s="11" t="n"/>
      <c r="K3997" s="11" t="n"/>
      <c r="L3997" s="11" t="n"/>
      <c r="M3997" s="11" t="n"/>
    </row>
    <row r="3998">
      <c r="A3998" s="11" t="n"/>
      <c r="B3998" s="11" t="n"/>
      <c r="C3998" s="11" t="n"/>
      <c r="D3998" s="11" t="n"/>
      <c r="E3998" s="11" t="n"/>
      <c r="F3998" s="11" t="n"/>
      <c r="G3998" s="11" t="n"/>
      <c r="H3998" s="11" t="n"/>
      <c r="I3998" s="11" t="n"/>
      <c r="J3998" s="11" t="n"/>
      <c r="K3998" s="11" t="n"/>
      <c r="L3998" s="11" t="n"/>
      <c r="M3998" s="11" t="n"/>
    </row>
    <row r="3999">
      <c r="A3999" s="11" t="n"/>
      <c r="B3999" s="11" t="n"/>
      <c r="C3999" s="11" t="n"/>
      <c r="D3999" s="11" t="n"/>
      <c r="E3999" s="11" t="n"/>
      <c r="F3999" s="11" t="n"/>
      <c r="G3999" s="11" t="n"/>
      <c r="H3999" s="11" t="n"/>
      <c r="I3999" s="11" t="n"/>
      <c r="J3999" s="11" t="n"/>
      <c r="K3999" s="11" t="n"/>
      <c r="L3999" s="11" t="n"/>
      <c r="M3999" s="11" t="n"/>
    </row>
    <row r="4000">
      <c r="A4000" s="11" t="n"/>
      <c r="B4000" s="11" t="n"/>
      <c r="C4000" s="11" t="n"/>
      <c r="D4000" s="11" t="n"/>
      <c r="E4000" s="11" t="n"/>
      <c r="F4000" s="11" t="n"/>
      <c r="G4000" s="11" t="n"/>
      <c r="H4000" s="11" t="n"/>
      <c r="I4000" s="11" t="n"/>
      <c r="J4000" s="11" t="n"/>
      <c r="K4000" s="11" t="n"/>
      <c r="L4000" s="11" t="n"/>
      <c r="M4000" s="11" t="n"/>
    </row>
    <row r="4001">
      <c r="A4001" s="11" t="n"/>
      <c r="B4001" s="11" t="n"/>
      <c r="C4001" s="11" t="n"/>
      <c r="D4001" s="11" t="n"/>
      <c r="E4001" s="11" t="n"/>
      <c r="F4001" s="11" t="n"/>
      <c r="G4001" s="11" t="n"/>
      <c r="H4001" s="11" t="n"/>
      <c r="I4001" s="11" t="n"/>
      <c r="J4001" s="11" t="n"/>
      <c r="K4001" s="11" t="n"/>
      <c r="L4001" s="11" t="n"/>
      <c r="M4001" s="11" t="n"/>
    </row>
    <row r="4002">
      <c r="A4002" s="11" t="n"/>
      <c r="B4002" s="11" t="n"/>
      <c r="C4002" s="11" t="n"/>
      <c r="D4002" s="11" t="n"/>
      <c r="E4002" s="11" t="n"/>
      <c r="F4002" s="11" t="n"/>
      <c r="G4002" s="11" t="n"/>
      <c r="H4002" s="11" t="n"/>
      <c r="I4002" s="11" t="n"/>
      <c r="J4002" s="11" t="n"/>
      <c r="K4002" s="11" t="n"/>
      <c r="L4002" s="11" t="n"/>
      <c r="M4002" s="11" t="n"/>
    </row>
    <row r="4003">
      <c r="A4003" s="11" t="n"/>
      <c r="B4003" s="11" t="n"/>
      <c r="C4003" s="11" t="n"/>
      <c r="D4003" s="11" t="n"/>
      <c r="E4003" s="11" t="n"/>
      <c r="F4003" s="11" t="n"/>
      <c r="G4003" s="11" t="n"/>
      <c r="H4003" s="11" t="n"/>
      <c r="I4003" s="11" t="n"/>
      <c r="J4003" s="11" t="n"/>
      <c r="K4003" s="11" t="n"/>
      <c r="L4003" s="11" t="n"/>
      <c r="M4003" s="11" t="n"/>
    </row>
    <row r="4004">
      <c r="A4004" s="11" t="n"/>
      <c r="B4004" s="11" t="n"/>
      <c r="C4004" s="11" t="n"/>
      <c r="D4004" s="11" t="n"/>
      <c r="E4004" s="11" t="n"/>
      <c r="F4004" s="11" t="n"/>
      <c r="G4004" s="11" t="n"/>
      <c r="H4004" s="11" t="n"/>
      <c r="I4004" s="11" t="n"/>
      <c r="J4004" s="11" t="n"/>
      <c r="K4004" s="11" t="n"/>
      <c r="L4004" s="11" t="n"/>
      <c r="M4004" s="11" t="n"/>
    </row>
    <row r="4005">
      <c r="A4005" s="11" t="n"/>
      <c r="B4005" s="11" t="n"/>
      <c r="C4005" s="11" t="n"/>
      <c r="D4005" s="11" t="n"/>
      <c r="E4005" s="11" t="n"/>
      <c r="F4005" s="11" t="n"/>
      <c r="G4005" s="11" t="n"/>
      <c r="H4005" s="11" t="n"/>
      <c r="I4005" s="11" t="n"/>
      <c r="J4005" s="11" t="n"/>
      <c r="K4005" s="11" t="n"/>
      <c r="L4005" s="11" t="n"/>
      <c r="M4005" s="11" t="n"/>
    </row>
    <row r="4006">
      <c r="A4006" s="11" t="n"/>
      <c r="B4006" s="11" t="n"/>
      <c r="C4006" s="11" t="n"/>
      <c r="D4006" s="11" t="n"/>
      <c r="E4006" s="11" t="n"/>
      <c r="F4006" s="11" t="n"/>
      <c r="G4006" s="11" t="n"/>
      <c r="H4006" s="11" t="n"/>
      <c r="I4006" s="11" t="n"/>
      <c r="J4006" s="11" t="n"/>
      <c r="K4006" s="11" t="n"/>
      <c r="L4006" s="11" t="n"/>
      <c r="M4006" s="11" t="n"/>
    </row>
    <row r="4007">
      <c r="A4007" s="11" t="n"/>
      <c r="B4007" s="11" t="n"/>
      <c r="C4007" s="11" t="n"/>
      <c r="D4007" s="11" t="n"/>
      <c r="E4007" s="11" t="n"/>
      <c r="F4007" s="11" t="n"/>
      <c r="G4007" s="11" t="n"/>
      <c r="H4007" s="11" t="n"/>
      <c r="I4007" s="11" t="n"/>
      <c r="J4007" s="11" t="n"/>
      <c r="K4007" s="11" t="n"/>
      <c r="L4007" s="11" t="n"/>
      <c r="M4007" s="11" t="n"/>
    </row>
    <row r="4008">
      <c r="A4008" s="11" t="n"/>
      <c r="B4008" s="11" t="n"/>
      <c r="C4008" s="11" t="n"/>
      <c r="D4008" s="11" t="n"/>
      <c r="E4008" s="11" t="n"/>
      <c r="F4008" s="11" t="n"/>
      <c r="G4008" s="11" t="n"/>
      <c r="H4008" s="11" t="n"/>
      <c r="I4008" s="11" t="n"/>
      <c r="J4008" s="11" t="n"/>
      <c r="K4008" s="11" t="n"/>
      <c r="L4008" s="11" t="n"/>
      <c r="M4008" s="11" t="n"/>
    </row>
    <row r="4009">
      <c r="A4009" s="11" t="n"/>
      <c r="B4009" s="11" t="n"/>
      <c r="C4009" s="11" t="n"/>
      <c r="D4009" s="11" t="n"/>
      <c r="E4009" s="11" t="n"/>
      <c r="F4009" s="11" t="n"/>
      <c r="G4009" s="11" t="n"/>
      <c r="H4009" s="11" t="n"/>
      <c r="I4009" s="11" t="n"/>
      <c r="J4009" s="11" t="n"/>
      <c r="K4009" s="11" t="n"/>
      <c r="L4009" s="11" t="n"/>
      <c r="M4009" s="11" t="n"/>
    </row>
    <row r="4010">
      <c r="A4010" s="11" t="n"/>
      <c r="B4010" s="11" t="n"/>
      <c r="C4010" s="11" t="n"/>
      <c r="D4010" s="11" t="n"/>
      <c r="E4010" s="11" t="n"/>
      <c r="F4010" s="11" t="n"/>
      <c r="G4010" s="11" t="n"/>
      <c r="H4010" s="11" t="n"/>
      <c r="I4010" s="11" t="n"/>
      <c r="J4010" s="11" t="n"/>
      <c r="K4010" s="11" t="n"/>
      <c r="L4010" s="11" t="n"/>
      <c r="M4010" s="11" t="n"/>
    </row>
    <row r="4011">
      <c r="A4011" s="11" t="n"/>
      <c r="B4011" s="11" t="n"/>
      <c r="C4011" s="11" t="n"/>
      <c r="D4011" s="11" t="n"/>
      <c r="E4011" s="11" t="n"/>
      <c r="F4011" s="11" t="n"/>
      <c r="G4011" s="11" t="n"/>
      <c r="H4011" s="11" t="n"/>
      <c r="I4011" s="11" t="n"/>
      <c r="J4011" s="11" t="n"/>
      <c r="K4011" s="11" t="n"/>
      <c r="L4011" s="11" t="n"/>
      <c r="M4011" s="11" t="n"/>
    </row>
    <row r="4012">
      <c r="A4012" s="11" t="n"/>
      <c r="B4012" s="11" t="n"/>
      <c r="C4012" s="11" t="n"/>
      <c r="D4012" s="11" t="n"/>
      <c r="E4012" s="11" t="n"/>
      <c r="F4012" s="11" t="n"/>
      <c r="G4012" s="11" t="n"/>
      <c r="H4012" s="11" t="n"/>
      <c r="I4012" s="11" t="n"/>
      <c r="J4012" s="11" t="n"/>
      <c r="K4012" s="11" t="n"/>
      <c r="L4012" s="11" t="n"/>
      <c r="M4012" s="11" t="n"/>
    </row>
    <row r="4013">
      <c r="A4013" s="11" t="n"/>
      <c r="B4013" s="11" t="n"/>
      <c r="C4013" s="11" t="n"/>
      <c r="D4013" s="11" t="n"/>
      <c r="E4013" s="11" t="n"/>
      <c r="F4013" s="11" t="n"/>
      <c r="G4013" s="11" t="n"/>
      <c r="H4013" s="11" t="n"/>
      <c r="I4013" s="11" t="n"/>
      <c r="J4013" s="11" t="n"/>
      <c r="K4013" s="11" t="n"/>
      <c r="L4013" s="11" t="n"/>
      <c r="M4013" s="11" t="n"/>
    </row>
    <row r="4014">
      <c r="A4014" s="11" t="n"/>
      <c r="B4014" s="11" t="n"/>
      <c r="C4014" s="11" t="n"/>
      <c r="D4014" s="11" t="n"/>
      <c r="E4014" s="11" t="n"/>
      <c r="F4014" s="11" t="n"/>
      <c r="G4014" s="11" t="n"/>
      <c r="H4014" s="11" t="n"/>
      <c r="I4014" s="11" t="n"/>
      <c r="J4014" s="11" t="n"/>
      <c r="K4014" s="11" t="n"/>
      <c r="L4014" s="11" t="n"/>
      <c r="M4014" s="11" t="n"/>
    </row>
    <row r="4015">
      <c r="A4015" s="11" t="n"/>
      <c r="B4015" s="11" t="n"/>
      <c r="C4015" s="11" t="n"/>
      <c r="D4015" s="11" t="n"/>
      <c r="E4015" s="11" t="n"/>
      <c r="F4015" s="11" t="n"/>
      <c r="G4015" s="11" t="n"/>
      <c r="H4015" s="11" t="n"/>
      <c r="I4015" s="11" t="n"/>
      <c r="J4015" s="11" t="n"/>
      <c r="K4015" s="11" t="n"/>
      <c r="L4015" s="11" t="n"/>
      <c r="M4015" s="11" t="n"/>
    </row>
    <row r="4016">
      <c r="A4016" s="11" t="n"/>
      <c r="B4016" s="11" t="n"/>
      <c r="C4016" s="11" t="n"/>
      <c r="D4016" s="11" t="n"/>
      <c r="E4016" s="11" t="n"/>
      <c r="F4016" s="11" t="n"/>
      <c r="G4016" s="11" t="n"/>
      <c r="H4016" s="11" t="n"/>
      <c r="I4016" s="11" t="n"/>
      <c r="J4016" s="11" t="n"/>
      <c r="K4016" s="11" t="n"/>
      <c r="L4016" s="11" t="n"/>
      <c r="M4016" s="11" t="n"/>
    </row>
    <row r="4017">
      <c r="A4017" s="11" t="n"/>
      <c r="B4017" s="11" t="n"/>
      <c r="C4017" s="11" t="n"/>
      <c r="D4017" s="11" t="n"/>
      <c r="E4017" s="11" t="n"/>
      <c r="F4017" s="11" t="n"/>
      <c r="G4017" s="11" t="n"/>
      <c r="H4017" s="11" t="n"/>
      <c r="I4017" s="11" t="n"/>
      <c r="J4017" s="11" t="n"/>
      <c r="K4017" s="11" t="n"/>
      <c r="L4017" s="11" t="n"/>
      <c r="M4017" s="11" t="n"/>
    </row>
    <row r="4018">
      <c r="A4018" s="11" t="n"/>
      <c r="B4018" s="11" t="n"/>
      <c r="C4018" s="11" t="n"/>
      <c r="D4018" s="11" t="n"/>
      <c r="E4018" s="11" t="n"/>
      <c r="F4018" s="11" t="n"/>
      <c r="G4018" s="11" t="n"/>
      <c r="H4018" s="11" t="n"/>
      <c r="I4018" s="11" t="n"/>
      <c r="J4018" s="11" t="n"/>
      <c r="K4018" s="11" t="n"/>
      <c r="L4018" s="11" t="n"/>
      <c r="M4018" s="11" t="n"/>
    </row>
    <row r="4019">
      <c r="A4019" s="11" t="n"/>
      <c r="B4019" s="11" t="n"/>
      <c r="C4019" s="11" t="n"/>
      <c r="D4019" s="11" t="n"/>
      <c r="E4019" s="11" t="n"/>
      <c r="F4019" s="11" t="n"/>
      <c r="G4019" s="11" t="n"/>
      <c r="H4019" s="11" t="n"/>
      <c r="I4019" s="11" t="n"/>
      <c r="J4019" s="11" t="n"/>
      <c r="K4019" s="11" t="n"/>
      <c r="L4019" s="11" t="n"/>
      <c r="M4019" s="11" t="n"/>
    </row>
    <row r="4020">
      <c r="A4020" s="11" t="n"/>
      <c r="B4020" s="11" t="n"/>
      <c r="C4020" s="11" t="n"/>
      <c r="D4020" s="11" t="n"/>
      <c r="E4020" s="11" t="n"/>
      <c r="F4020" s="11" t="n"/>
      <c r="G4020" s="11" t="n"/>
      <c r="H4020" s="11" t="n"/>
      <c r="I4020" s="11" t="n"/>
      <c r="J4020" s="11" t="n"/>
      <c r="K4020" s="11" t="n"/>
      <c r="L4020" s="11" t="n"/>
      <c r="M4020" s="11" t="n"/>
    </row>
    <row r="4021">
      <c r="A4021" s="11" t="n"/>
      <c r="B4021" s="11" t="n"/>
      <c r="C4021" s="11" t="n"/>
      <c r="D4021" s="11" t="n"/>
      <c r="E4021" s="11" t="n"/>
      <c r="F4021" s="11" t="n"/>
      <c r="G4021" s="11" t="n"/>
      <c r="H4021" s="11" t="n"/>
      <c r="I4021" s="11" t="n"/>
      <c r="J4021" s="11" t="n"/>
      <c r="K4021" s="11" t="n"/>
      <c r="L4021" s="11" t="n"/>
      <c r="M4021" s="11" t="n"/>
    </row>
    <row r="4022">
      <c r="A4022" s="11" t="n"/>
      <c r="B4022" s="11" t="n"/>
      <c r="C4022" s="11" t="n"/>
      <c r="D4022" s="11" t="n"/>
      <c r="E4022" s="11" t="n"/>
      <c r="F4022" s="11" t="n"/>
      <c r="G4022" s="11" t="n"/>
      <c r="H4022" s="11" t="n"/>
      <c r="I4022" s="11" t="n"/>
      <c r="J4022" s="11" t="n"/>
      <c r="K4022" s="11" t="n"/>
      <c r="L4022" s="11" t="n"/>
      <c r="M4022" s="11" t="n"/>
    </row>
    <row r="4023">
      <c r="A4023" s="11" t="n"/>
      <c r="B4023" s="11" t="n"/>
      <c r="C4023" s="11" t="n"/>
      <c r="D4023" s="11" t="n"/>
      <c r="E4023" s="11" t="n"/>
      <c r="F4023" s="11" t="n"/>
      <c r="G4023" s="11" t="n"/>
      <c r="H4023" s="11" t="n"/>
      <c r="I4023" s="11" t="n"/>
      <c r="J4023" s="11" t="n"/>
      <c r="K4023" s="11" t="n"/>
      <c r="L4023" s="11" t="n"/>
      <c r="M4023" s="11" t="n"/>
    </row>
    <row r="4024">
      <c r="A4024" s="11" t="n"/>
      <c r="B4024" s="11" t="n"/>
      <c r="C4024" s="11" t="n"/>
      <c r="D4024" s="11" t="n"/>
      <c r="E4024" s="11" t="n"/>
      <c r="F4024" s="11" t="n"/>
      <c r="G4024" s="11" t="n"/>
      <c r="H4024" s="11" t="n"/>
      <c r="I4024" s="11" t="n"/>
      <c r="J4024" s="11" t="n"/>
      <c r="K4024" s="11" t="n"/>
      <c r="L4024" s="11" t="n"/>
      <c r="M4024" s="11" t="n"/>
    </row>
    <row r="4025">
      <c r="A4025" s="11" t="n"/>
      <c r="B4025" s="11" t="n"/>
      <c r="C4025" s="11" t="n"/>
      <c r="D4025" s="11" t="n"/>
      <c r="E4025" s="11" t="n"/>
      <c r="F4025" s="11" t="n"/>
      <c r="G4025" s="11" t="n"/>
      <c r="H4025" s="11" t="n"/>
      <c r="I4025" s="11" t="n"/>
      <c r="J4025" s="11" t="n"/>
      <c r="K4025" s="11" t="n"/>
      <c r="L4025" s="11" t="n"/>
      <c r="M4025" s="11" t="n"/>
    </row>
    <row r="4026">
      <c r="A4026" s="11" t="n"/>
      <c r="B4026" s="11" t="n"/>
      <c r="C4026" s="11" t="n"/>
      <c r="D4026" s="11" t="n"/>
      <c r="E4026" s="11" t="n"/>
      <c r="F4026" s="11" t="n"/>
      <c r="G4026" s="11" t="n"/>
      <c r="H4026" s="11" t="n"/>
      <c r="I4026" s="11" t="n"/>
      <c r="J4026" s="11" t="n"/>
      <c r="K4026" s="11" t="n"/>
      <c r="L4026" s="11" t="n"/>
      <c r="M4026" s="11" t="n"/>
    </row>
    <row r="4027">
      <c r="A4027" s="11" t="n"/>
      <c r="B4027" s="11" t="n"/>
      <c r="C4027" s="11" t="n"/>
      <c r="D4027" s="11" t="n"/>
      <c r="E4027" s="11" t="n"/>
      <c r="F4027" s="11" t="n"/>
      <c r="G4027" s="11" t="n"/>
      <c r="H4027" s="11" t="n"/>
      <c r="I4027" s="11" t="n"/>
      <c r="J4027" s="11" t="n"/>
      <c r="K4027" s="11" t="n"/>
      <c r="L4027" s="11" t="n"/>
      <c r="M4027" s="11" t="n"/>
    </row>
    <row r="4028">
      <c r="A4028" s="11" t="n"/>
      <c r="B4028" s="11" t="n"/>
      <c r="C4028" s="11" t="n"/>
      <c r="D4028" s="11" t="n"/>
      <c r="E4028" s="11" t="n"/>
      <c r="F4028" s="11" t="n"/>
      <c r="G4028" s="11" t="n"/>
      <c r="H4028" s="11" t="n"/>
      <c r="I4028" s="11" t="n"/>
      <c r="J4028" s="11" t="n"/>
      <c r="K4028" s="11" t="n"/>
      <c r="L4028" s="11" t="n"/>
      <c r="M4028" s="11" t="n"/>
    </row>
    <row r="4029">
      <c r="A4029" s="11" t="n"/>
      <c r="B4029" s="11" t="n"/>
      <c r="C4029" s="11" t="n"/>
      <c r="D4029" s="11" t="n"/>
      <c r="E4029" s="11" t="n"/>
      <c r="F4029" s="11" t="n"/>
      <c r="G4029" s="11" t="n"/>
      <c r="H4029" s="11" t="n"/>
      <c r="I4029" s="11" t="n"/>
      <c r="J4029" s="11" t="n"/>
      <c r="K4029" s="11" t="n"/>
      <c r="L4029" s="11" t="n"/>
      <c r="M4029" s="11" t="n"/>
    </row>
    <row r="4030">
      <c r="A4030" s="11" t="n"/>
      <c r="B4030" s="11" t="n"/>
      <c r="C4030" s="11" t="n"/>
      <c r="D4030" s="11" t="n"/>
      <c r="E4030" s="11" t="n"/>
      <c r="F4030" s="11" t="n"/>
      <c r="G4030" s="11" t="n"/>
      <c r="H4030" s="11" t="n"/>
      <c r="I4030" s="11" t="n"/>
      <c r="J4030" s="11" t="n"/>
      <c r="K4030" s="11" t="n"/>
      <c r="L4030" s="11" t="n"/>
      <c r="M4030" s="11" t="n"/>
    </row>
    <row r="4031">
      <c r="A4031" s="11" t="n"/>
      <c r="B4031" s="11" t="n"/>
      <c r="C4031" s="11" t="n"/>
      <c r="D4031" s="11" t="n"/>
      <c r="E4031" s="11" t="n"/>
      <c r="F4031" s="11" t="n"/>
      <c r="G4031" s="11" t="n"/>
      <c r="H4031" s="11" t="n"/>
      <c r="I4031" s="11" t="n"/>
      <c r="J4031" s="11" t="n"/>
      <c r="K4031" s="11" t="n"/>
      <c r="L4031" s="11" t="n"/>
      <c r="M4031" s="11" t="n"/>
    </row>
    <row r="4032">
      <c r="A4032" s="11" t="n"/>
      <c r="B4032" s="11" t="n"/>
      <c r="C4032" s="11" t="n"/>
      <c r="D4032" s="11" t="n"/>
      <c r="E4032" s="11" t="n"/>
      <c r="F4032" s="11" t="n"/>
      <c r="G4032" s="11" t="n"/>
      <c r="H4032" s="11" t="n"/>
      <c r="I4032" s="11" t="n"/>
      <c r="J4032" s="11" t="n"/>
      <c r="K4032" s="11" t="n"/>
      <c r="L4032" s="11" t="n"/>
      <c r="M4032" s="11" t="n"/>
    </row>
    <row r="4033">
      <c r="A4033" s="11" t="n"/>
      <c r="B4033" s="11" t="n"/>
      <c r="C4033" s="11" t="n"/>
      <c r="D4033" s="11" t="n"/>
      <c r="E4033" s="11" t="n"/>
      <c r="F4033" s="11" t="n"/>
      <c r="G4033" s="11" t="n"/>
      <c r="H4033" s="11" t="n"/>
      <c r="I4033" s="11" t="n"/>
      <c r="J4033" s="11" t="n"/>
      <c r="K4033" s="11" t="n"/>
      <c r="L4033" s="11" t="n"/>
      <c r="M4033" s="11" t="n"/>
    </row>
    <row r="4034">
      <c r="A4034" s="11" t="n"/>
      <c r="B4034" s="11" t="n"/>
      <c r="C4034" s="11" t="n"/>
      <c r="D4034" s="11" t="n"/>
      <c r="E4034" s="11" t="n"/>
      <c r="F4034" s="11" t="n"/>
      <c r="G4034" s="11" t="n"/>
      <c r="H4034" s="11" t="n"/>
      <c r="I4034" s="11" t="n"/>
      <c r="J4034" s="11" t="n"/>
      <c r="K4034" s="11" t="n"/>
      <c r="L4034" s="11" t="n"/>
      <c r="M4034" s="11" t="n"/>
    </row>
    <row r="4035">
      <c r="A4035" s="11" t="n"/>
      <c r="B4035" s="11" t="n"/>
      <c r="C4035" s="11" t="n"/>
      <c r="D4035" s="11" t="n"/>
      <c r="E4035" s="11" t="n"/>
      <c r="F4035" s="11" t="n"/>
      <c r="G4035" s="11" t="n"/>
      <c r="H4035" s="11" t="n"/>
      <c r="I4035" s="11" t="n"/>
      <c r="J4035" s="11" t="n"/>
      <c r="K4035" s="11" t="n"/>
      <c r="L4035" s="11" t="n"/>
      <c r="M4035" s="11" t="n"/>
    </row>
    <row r="4036">
      <c r="A4036" s="11" t="n"/>
      <c r="B4036" s="11" t="n"/>
      <c r="C4036" s="11" t="n"/>
      <c r="D4036" s="11" t="n"/>
      <c r="E4036" s="11" t="n"/>
      <c r="F4036" s="11" t="n"/>
      <c r="G4036" s="11" t="n"/>
      <c r="H4036" s="11" t="n"/>
      <c r="I4036" s="11" t="n"/>
      <c r="J4036" s="11" t="n"/>
      <c r="K4036" s="11" t="n"/>
      <c r="L4036" s="11" t="n"/>
      <c r="M4036" s="11" t="n"/>
    </row>
    <row r="4037">
      <c r="A4037" s="11" t="n"/>
      <c r="B4037" s="11" t="n"/>
      <c r="C4037" s="11" t="n"/>
      <c r="D4037" s="11" t="n"/>
      <c r="E4037" s="11" t="n"/>
      <c r="F4037" s="11" t="n"/>
      <c r="G4037" s="11" t="n"/>
      <c r="H4037" s="11" t="n"/>
      <c r="I4037" s="11" t="n"/>
      <c r="J4037" s="11" t="n"/>
      <c r="K4037" s="11" t="n"/>
      <c r="L4037" s="11" t="n"/>
      <c r="M4037" s="11" t="n"/>
    </row>
    <row r="4038">
      <c r="A4038" s="11" t="n"/>
      <c r="B4038" s="11" t="n"/>
      <c r="C4038" s="11" t="n"/>
      <c r="D4038" s="11" t="n"/>
      <c r="E4038" s="11" t="n"/>
      <c r="F4038" s="11" t="n"/>
      <c r="G4038" s="11" t="n"/>
      <c r="H4038" s="11" t="n"/>
      <c r="I4038" s="11" t="n"/>
      <c r="J4038" s="11" t="n"/>
      <c r="K4038" s="11" t="n"/>
      <c r="L4038" s="11" t="n"/>
      <c r="M4038" s="11" t="n"/>
    </row>
    <row r="4039">
      <c r="A4039" s="11" t="n"/>
      <c r="B4039" s="11" t="n"/>
      <c r="C4039" s="11" t="n"/>
      <c r="D4039" s="11" t="n"/>
      <c r="E4039" s="11" t="n"/>
      <c r="F4039" s="11" t="n"/>
      <c r="G4039" s="11" t="n"/>
      <c r="H4039" s="11" t="n"/>
      <c r="I4039" s="11" t="n"/>
      <c r="J4039" s="11" t="n"/>
      <c r="K4039" s="11" t="n"/>
      <c r="L4039" s="11" t="n"/>
      <c r="M4039" s="11" t="n"/>
    </row>
    <row r="4040">
      <c r="A4040" s="11" t="n"/>
      <c r="B4040" s="11" t="n"/>
      <c r="C4040" s="11" t="n"/>
      <c r="D4040" s="11" t="n"/>
      <c r="E4040" s="11" t="n"/>
      <c r="F4040" s="11" t="n"/>
      <c r="G4040" s="11" t="n"/>
      <c r="H4040" s="11" t="n"/>
      <c r="I4040" s="11" t="n"/>
      <c r="J4040" s="11" t="n"/>
      <c r="K4040" s="11" t="n"/>
      <c r="L4040" s="11" t="n"/>
      <c r="M4040" s="11" t="n"/>
    </row>
    <row r="4041">
      <c r="A4041" s="11" t="n"/>
      <c r="B4041" s="11" t="n"/>
      <c r="C4041" s="11" t="n"/>
      <c r="D4041" s="11" t="n"/>
      <c r="E4041" s="11" t="n"/>
      <c r="F4041" s="11" t="n"/>
      <c r="G4041" s="11" t="n"/>
      <c r="H4041" s="11" t="n"/>
      <c r="I4041" s="11" t="n"/>
      <c r="J4041" s="11" t="n"/>
      <c r="K4041" s="11" t="n"/>
      <c r="L4041" s="11" t="n"/>
      <c r="M4041" s="11" t="n"/>
    </row>
    <row r="4042">
      <c r="A4042" s="11" t="n"/>
      <c r="B4042" s="11" t="n"/>
      <c r="C4042" s="11" t="n"/>
      <c r="D4042" s="11" t="n"/>
      <c r="E4042" s="11" t="n"/>
      <c r="F4042" s="11" t="n"/>
      <c r="G4042" s="11" t="n"/>
      <c r="H4042" s="11" t="n"/>
      <c r="I4042" s="11" t="n"/>
      <c r="J4042" s="11" t="n"/>
      <c r="K4042" s="11" t="n"/>
      <c r="L4042" s="11" t="n"/>
      <c r="M4042" s="11" t="n"/>
    </row>
    <row r="4043">
      <c r="A4043" s="11" t="n"/>
      <c r="B4043" s="11" t="n"/>
      <c r="C4043" s="11" t="n"/>
      <c r="D4043" s="11" t="n"/>
      <c r="E4043" s="11" t="n"/>
      <c r="F4043" s="11" t="n"/>
      <c r="G4043" s="11" t="n"/>
      <c r="H4043" s="11" t="n"/>
      <c r="I4043" s="11" t="n"/>
      <c r="J4043" s="11" t="n"/>
      <c r="K4043" s="11" t="n"/>
      <c r="L4043" s="11" t="n"/>
      <c r="M4043" s="11" t="n"/>
    </row>
    <row r="4044">
      <c r="A4044" s="11" t="n"/>
      <c r="B4044" s="11" t="n"/>
      <c r="C4044" s="11" t="n"/>
      <c r="D4044" s="11" t="n"/>
      <c r="E4044" s="11" t="n"/>
      <c r="F4044" s="11" t="n"/>
      <c r="G4044" s="11" t="n"/>
      <c r="H4044" s="11" t="n"/>
      <c r="I4044" s="11" t="n"/>
      <c r="J4044" s="11" t="n"/>
      <c r="K4044" s="11" t="n"/>
      <c r="L4044" s="11" t="n"/>
      <c r="M4044" s="11" t="n"/>
    </row>
    <row r="4045">
      <c r="A4045" s="11" t="n"/>
      <c r="B4045" s="11" t="n"/>
      <c r="C4045" s="11" t="n"/>
      <c r="D4045" s="11" t="n"/>
      <c r="E4045" s="11" t="n"/>
      <c r="F4045" s="11" t="n"/>
      <c r="G4045" s="11" t="n"/>
      <c r="H4045" s="11" t="n"/>
      <c r="I4045" s="11" t="n"/>
      <c r="J4045" s="11" t="n"/>
      <c r="K4045" s="11" t="n"/>
      <c r="L4045" s="11" t="n"/>
      <c r="M4045" s="11" t="n"/>
    </row>
    <row r="4046">
      <c r="A4046" s="11" t="n"/>
      <c r="B4046" s="11" t="n"/>
      <c r="C4046" s="11" t="n"/>
      <c r="D4046" s="11" t="n"/>
      <c r="E4046" s="11" t="n"/>
      <c r="F4046" s="11" t="n"/>
      <c r="G4046" s="11" t="n"/>
      <c r="H4046" s="11" t="n"/>
      <c r="I4046" s="11" t="n"/>
      <c r="J4046" s="11" t="n"/>
      <c r="K4046" s="11" t="n"/>
      <c r="L4046" s="11" t="n"/>
      <c r="M4046" s="11" t="n"/>
    </row>
    <row r="4047">
      <c r="A4047" s="11" t="n"/>
      <c r="B4047" s="11" t="n"/>
      <c r="C4047" s="11" t="n"/>
      <c r="D4047" s="11" t="n"/>
      <c r="E4047" s="11" t="n"/>
      <c r="F4047" s="11" t="n"/>
      <c r="G4047" s="11" t="n"/>
      <c r="H4047" s="11" t="n"/>
      <c r="I4047" s="11" t="n"/>
      <c r="J4047" s="11" t="n"/>
      <c r="K4047" s="11" t="n"/>
      <c r="L4047" s="11" t="n"/>
      <c r="M4047" s="11" t="n"/>
    </row>
    <row r="4048">
      <c r="A4048" s="11" t="n"/>
      <c r="B4048" s="11" t="n"/>
      <c r="C4048" s="11" t="n"/>
      <c r="D4048" s="11" t="n"/>
      <c r="E4048" s="11" t="n"/>
      <c r="F4048" s="11" t="n"/>
      <c r="G4048" s="11" t="n"/>
      <c r="H4048" s="11" t="n"/>
      <c r="I4048" s="11" t="n"/>
      <c r="J4048" s="11" t="n"/>
      <c r="K4048" s="11" t="n"/>
      <c r="L4048" s="11" t="n"/>
      <c r="M4048" s="11" t="n"/>
    </row>
    <row r="4049">
      <c r="A4049" s="11" t="n"/>
      <c r="B4049" s="11" t="n"/>
      <c r="C4049" s="11" t="n"/>
      <c r="D4049" s="11" t="n"/>
      <c r="E4049" s="11" t="n"/>
      <c r="F4049" s="11" t="n"/>
      <c r="G4049" s="11" t="n"/>
      <c r="H4049" s="11" t="n"/>
      <c r="I4049" s="11" t="n"/>
      <c r="J4049" s="11" t="n"/>
      <c r="K4049" s="11" t="n"/>
      <c r="L4049" s="11" t="n"/>
      <c r="M4049" s="11" t="n"/>
    </row>
    <row r="4050">
      <c r="A4050" s="11" t="n"/>
      <c r="B4050" s="11" t="n"/>
      <c r="C4050" s="11" t="n"/>
      <c r="D4050" s="11" t="n"/>
      <c r="E4050" s="11" t="n"/>
      <c r="F4050" s="11" t="n"/>
      <c r="G4050" s="11" t="n"/>
      <c r="H4050" s="11" t="n"/>
      <c r="I4050" s="11" t="n"/>
      <c r="J4050" s="11" t="n"/>
      <c r="K4050" s="11" t="n"/>
      <c r="L4050" s="11" t="n"/>
      <c r="M4050" s="11" t="n"/>
    </row>
    <row r="4051">
      <c r="A4051" s="11" t="n"/>
      <c r="B4051" s="11" t="n"/>
      <c r="C4051" s="11" t="n"/>
      <c r="D4051" s="11" t="n"/>
      <c r="E4051" s="11" t="n"/>
      <c r="F4051" s="11" t="n"/>
      <c r="G4051" s="11" t="n"/>
      <c r="H4051" s="11" t="n"/>
      <c r="I4051" s="11" t="n"/>
      <c r="J4051" s="11" t="n"/>
      <c r="K4051" s="11" t="n"/>
      <c r="L4051" s="11" t="n"/>
      <c r="M4051" s="11" t="n"/>
    </row>
    <row r="4052">
      <c r="A4052" s="11" t="n"/>
      <c r="B4052" s="11" t="n"/>
      <c r="C4052" s="11" t="n"/>
      <c r="D4052" s="11" t="n"/>
      <c r="E4052" s="11" t="n"/>
      <c r="F4052" s="11" t="n"/>
      <c r="G4052" s="11" t="n"/>
      <c r="H4052" s="11" t="n"/>
      <c r="I4052" s="11" t="n"/>
      <c r="J4052" s="11" t="n"/>
      <c r="K4052" s="11" t="n"/>
      <c r="L4052" s="11" t="n"/>
      <c r="M4052" s="11" t="n"/>
    </row>
    <row r="4053">
      <c r="A4053" s="11" t="n"/>
      <c r="B4053" s="11" t="n"/>
      <c r="C4053" s="11" t="n"/>
      <c r="D4053" s="11" t="n"/>
      <c r="E4053" s="11" t="n"/>
      <c r="F4053" s="11" t="n"/>
      <c r="G4053" s="11" t="n"/>
      <c r="H4053" s="11" t="n"/>
      <c r="I4053" s="11" t="n"/>
      <c r="J4053" s="11" t="n"/>
      <c r="K4053" s="11" t="n"/>
      <c r="L4053" s="11" t="n"/>
      <c r="M4053" s="11" t="n"/>
    </row>
    <row r="4054">
      <c r="A4054" s="11" t="n"/>
      <c r="B4054" s="11" t="n"/>
      <c r="C4054" s="11" t="n"/>
      <c r="D4054" s="11" t="n"/>
      <c r="E4054" s="11" t="n"/>
      <c r="F4054" s="11" t="n"/>
      <c r="G4054" s="11" t="n"/>
      <c r="H4054" s="11" t="n"/>
      <c r="I4054" s="11" t="n"/>
      <c r="J4054" s="11" t="n"/>
      <c r="K4054" s="11" t="n"/>
      <c r="L4054" s="11" t="n"/>
      <c r="M4054" s="11" t="n"/>
    </row>
    <row r="4055">
      <c r="A4055" s="11" t="n"/>
      <c r="B4055" s="11" t="n"/>
      <c r="C4055" s="11" t="n"/>
      <c r="D4055" s="11" t="n"/>
      <c r="E4055" s="11" t="n"/>
      <c r="F4055" s="11" t="n"/>
      <c r="G4055" s="11" t="n"/>
      <c r="H4055" s="11" t="n"/>
      <c r="I4055" s="11" t="n"/>
      <c r="J4055" s="11" t="n"/>
      <c r="K4055" s="11" t="n"/>
      <c r="L4055" s="11" t="n"/>
      <c r="M4055" s="11" t="n"/>
    </row>
    <row r="4056">
      <c r="A4056" s="11" t="n"/>
      <c r="B4056" s="11" t="n"/>
      <c r="C4056" s="11" t="n"/>
      <c r="D4056" s="11" t="n"/>
      <c r="E4056" s="11" t="n"/>
      <c r="F4056" s="11" t="n"/>
      <c r="G4056" s="11" t="n"/>
      <c r="H4056" s="11" t="n"/>
      <c r="I4056" s="11" t="n"/>
      <c r="J4056" s="11" t="n"/>
      <c r="K4056" s="11" t="n"/>
      <c r="L4056" s="11" t="n"/>
      <c r="M4056" s="11" t="n"/>
    </row>
    <row r="4057">
      <c r="A4057" s="11" t="n"/>
      <c r="B4057" s="11" t="n"/>
      <c r="C4057" s="11" t="n"/>
      <c r="D4057" s="11" t="n"/>
      <c r="E4057" s="11" t="n"/>
      <c r="F4057" s="11" t="n"/>
      <c r="G4057" s="11" t="n"/>
      <c r="H4057" s="11" t="n"/>
      <c r="I4057" s="11" t="n"/>
      <c r="J4057" s="11" t="n"/>
      <c r="K4057" s="11" t="n"/>
      <c r="L4057" s="11" t="n"/>
      <c r="M4057" s="11" t="n"/>
    </row>
    <row r="4058">
      <c r="A4058" s="11" t="n"/>
      <c r="B4058" s="11" t="n"/>
      <c r="C4058" s="11" t="n"/>
      <c r="D4058" s="11" t="n"/>
      <c r="E4058" s="11" t="n"/>
      <c r="F4058" s="11" t="n"/>
      <c r="G4058" s="11" t="n"/>
      <c r="H4058" s="11" t="n"/>
      <c r="I4058" s="11" t="n"/>
      <c r="J4058" s="11" t="n"/>
      <c r="K4058" s="11" t="n"/>
      <c r="L4058" s="11" t="n"/>
      <c r="M4058" s="11" t="n"/>
    </row>
    <row r="4059">
      <c r="A4059" s="11" t="n"/>
      <c r="B4059" s="11" t="n"/>
      <c r="C4059" s="11" t="n"/>
      <c r="D4059" s="11" t="n"/>
      <c r="E4059" s="11" t="n"/>
      <c r="F4059" s="11" t="n"/>
      <c r="G4059" s="11" t="n"/>
      <c r="H4059" s="11" t="n"/>
      <c r="I4059" s="11" t="n"/>
      <c r="J4059" s="11" t="n"/>
      <c r="K4059" s="11" t="n"/>
      <c r="L4059" s="11" t="n"/>
      <c r="M4059" s="11" t="n"/>
    </row>
    <row r="4060">
      <c r="A4060" s="11" t="n"/>
      <c r="B4060" s="11" t="n"/>
      <c r="C4060" s="11" t="n"/>
      <c r="D4060" s="11" t="n"/>
      <c r="E4060" s="11" t="n"/>
      <c r="F4060" s="11" t="n"/>
      <c r="G4060" s="11" t="n"/>
      <c r="H4060" s="11" t="n"/>
      <c r="I4060" s="11" t="n"/>
      <c r="J4060" s="11" t="n"/>
      <c r="K4060" s="11" t="n"/>
      <c r="L4060" s="11" t="n"/>
      <c r="M4060" s="11" t="n"/>
    </row>
    <row r="4061">
      <c r="A4061" s="11" t="n"/>
      <c r="B4061" s="11" t="n"/>
      <c r="C4061" s="11" t="n"/>
      <c r="D4061" s="11" t="n"/>
      <c r="E4061" s="11" t="n"/>
      <c r="F4061" s="11" t="n"/>
      <c r="G4061" s="11" t="n"/>
      <c r="H4061" s="11" t="n"/>
      <c r="I4061" s="11" t="n"/>
      <c r="J4061" s="11" t="n"/>
      <c r="K4061" s="11" t="n"/>
      <c r="L4061" s="11" t="n"/>
      <c r="M4061" s="11" t="n"/>
    </row>
    <row r="4062">
      <c r="A4062" s="11" t="n"/>
      <c r="B4062" s="11" t="n"/>
      <c r="C4062" s="11" t="n"/>
      <c r="D4062" s="11" t="n"/>
      <c r="E4062" s="11" t="n"/>
      <c r="F4062" s="11" t="n"/>
      <c r="G4062" s="11" t="n"/>
      <c r="H4062" s="11" t="n"/>
      <c r="I4062" s="11" t="n"/>
      <c r="J4062" s="11" t="n"/>
      <c r="K4062" s="11" t="n"/>
      <c r="L4062" s="11" t="n"/>
      <c r="M4062" s="11" t="n"/>
    </row>
    <row r="4063">
      <c r="A4063" s="11" t="n"/>
      <c r="B4063" s="11" t="n"/>
      <c r="C4063" s="11" t="n"/>
      <c r="D4063" s="11" t="n"/>
      <c r="E4063" s="11" t="n"/>
      <c r="F4063" s="11" t="n"/>
      <c r="G4063" s="11" t="n"/>
      <c r="H4063" s="11" t="n"/>
      <c r="I4063" s="11" t="n"/>
      <c r="J4063" s="11" t="n"/>
      <c r="K4063" s="11" t="n"/>
      <c r="L4063" s="11" t="n"/>
      <c r="M4063" s="11" t="n"/>
    </row>
    <row r="4064">
      <c r="A4064" s="11" t="n"/>
      <c r="B4064" s="11" t="n"/>
      <c r="C4064" s="11" t="n"/>
      <c r="D4064" s="11" t="n"/>
      <c r="E4064" s="11" t="n"/>
      <c r="F4064" s="11" t="n"/>
      <c r="G4064" s="11" t="n"/>
      <c r="H4064" s="11" t="n"/>
      <c r="I4064" s="11" t="n"/>
      <c r="J4064" s="11" t="n"/>
      <c r="K4064" s="11" t="n"/>
      <c r="L4064" s="11" t="n"/>
      <c r="M4064" s="11" t="n"/>
    </row>
    <row r="4065">
      <c r="A4065" s="11" t="n"/>
      <c r="B4065" s="11" t="n"/>
      <c r="C4065" s="11" t="n"/>
      <c r="D4065" s="11" t="n"/>
      <c r="E4065" s="11" t="n"/>
      <c r="F4065" s="11" t="n"/>
      <c r="G4065" s="11" t="n"/>
      <c r="H4065" s="11" t="n"/>
      <c r="I4065" s="11" t="n"/>
      <c r="J4065" s="11" t="n"/>
      <c r="K4065" s="11" t="n"/>
      <c r="L4065" s="11" t="n"/>
      <c r="M4065" s="11" t="n"/>
    </row>
    <row r="4066">
      <c r="A4066" s="11" t="n"/>
      <c r="B4066" s="11" t="n"/>
      <c r="C4066" s="11" t="n"/>
      <c r="D4066" s="11" t="n"/>
      <c r="E4066" s="11" t="n"/>
      <c r="F4066" s="11" t="n"/>
      <c r="G4066" s="11" t="n"/>
      <c r="H4066" s="11" t="n"/>
      <c r="I4066" s="11" t="n"/>
      <c r="J4066" s="11" t="n"/>
      <c r="K4066" s="11" t="n"/>
      <c r="L4066" s="11" t="n"/>
      <c r="M4066" s="11" t="n"/>
    </row>
    <row r="4067">
      <c r="A4067" s="11" t="n"/>
      <c r="B4067" s="11" t="n"/>
      <c r="C4067" s="11" t="n"/>
      <c r="D4067" s="11" t="n"/>
      <c r="E4067" s="11" t="n"/>
      <c r="F4067" s="11" t="n"/>
      <c r="G4067" s="11" t="n"/>
      <c r="H4067" s="11" t="n"/>
      <c r="I4067" s="11" t="n"/>
      <c r="J4067" s="11" t="n"/>
      <c r="K4067" s="11" t="n"/>
      <c r="L4067" s="11" t="n"/>
      <c r="M4067" s="11" t="n"/>
    </row>
    <row r="4068">
      <c r="A4068" s="11" t="n"/>
      <c r="B4068" s="11" t="n"/>
      <c r="C4068" s="11" t="n"/>
      <c r="D4068" s="11" t="n"/>
      <c r="E4068" s="11" t="n"/>
      <c r="F4068" s="11" t="n"/>
      <c r="G4068" s="11" t="n"/>
      <c r="H4068" s="11" t="n"/>
      <c r="I4068" s="11" t="n"/>
      <c r="J4068" s="11" t="n"/>
      <c r="K4068" s="11" t="n"/>
      <c r="L4068" s="11" t="n"/>
      <c r="M4068" s="11" t="n"/>
    </row>
    <row r="4069">
      <c r="A4069" s="11" t="n"/>
      <c r="B4069" s="11" t="n"/>
      <c r="C4069" s="11" t="n"/>
      <c r="D4069" s="11" t="n"/>
      <c r="E4069" s="11" t="n"/>
      <c r="F4069" s="11" t="n"/>
      <c r="G4069" s="11" t="n"/>
      <c r="H4069" s="11" t="n"/>
      <c r="I4069" s="11" t="n"/>
      <c r="J4069" s="11" t="n"/>
      <c r="K4069" s="11" t="n"/>
      <c r="L4069" s="11" t="n"/>
      <c r="M4069" s="11" t="n"/>
    </row>
    <row r="4070">
      <c r="A4070" s="11" t="n"/>
      <c r="B4070" s="11" t="n"/>
      <c r="C4070" s="11" t="n"/>
      <c r="D4070" s="11" t="n"/>
      <c r="E4070" s="11" t="n"/>
      <c r="F4070" s="11" t="n"/>
      <c r="G4070" s="11" t="n"/>
      <c r="H4070" s="11" t="n"/>
      <c r="I4070" s="11" t="n"/>
      <c r="J4070" s="11" t="n"/>
      <c r="K4070" s="11" t="n"/>
      <c r="L4070" s="11" t="n"/>
      <c r="M4070" s="11" t="n"/>
    </row>
    <row r="4071">
      <c r="A4071" s="11" t="n"/>
      <c r="B4071" s="11" t="n"/>
      <c r="C4071" s="11" t="n"/>
      <c r="D4071" s="11" t="n"/>
      <c r="E4071" s="11" t="n"/>
      <c r="F4071" s="11" t="n"/>
      <c r="G4071" s="11" t="n"/>
      <c r="H4071" s="11" t="n"/>
      <c r="I4071" s="11" t="n"/>
      <c r="J4071" s="11" t="n"/>
      <c r="K4071" s="11" t="n"/>
      <c r="L4071" s="11" t="n"/>
      <c r="M4071" s="11" t="n"/>
    </row>
    <row r="4072">
      <c r="A4072" s="11" t="n"/>
      <c r="B4072" s="11" t="n"/>
      <c r="C4072" s="11" t="n"/>
      <c r="D4072" s="11" t="n"/>
      <c r="E4072" s="11" t="n"/>
      <c r="F4072" s="11" t="n"/>
      <c r="G4072" s="11" t="n"/>
      <c r="H4072" s="11" t="n"/>
      <c r="I4072" s="11" t="n"/>
      <c r="J4072" s="11" t="n"/>
      <c r="K4072" s="11" t="n"/>
      <c r="L4072" s="11" t="n"/>
      <c r="M4072" s="11" t="n"/>
    </row>
    <row r="4073">
      <c r="A4073" s="11" t="n"/>
      <c r="B4073" s="11" t="n"/>
      <c r="C4073" s="11" t="n"/>
      <c r="D4073" s="11" t="n"/>
      <c r="E4073" s="11" t="n"/>
      <c r="F4073" s="11" t="n"/>
      <c r="G4073" s="11" t="n"/>
      <c r="H4073" s="11" t="n"/>
      <c r="I4073" s="11" t="n"/>
      <c r="J4073" s="11" t="n"/>
      <c r="K4073" s="11" t="n"/>
      <c r="L4073" s="11" t="n"/>
      <c r="M4073" s="11" t="n"/>
    </row>
    <row r="4074">
      <c r="A4074" s="11" t="n"/>
      <c r="B4074" s="11" t="n"/>
      <c r="C4074" s="11" t="n"/>
      <c r="D4074" s="11" t="n"/>
      <c r="E4074" s="11" t="n"/>
      <c r="F4074" s="11" t="n"/>
      <c r="G4074" s="11" t="n"/>
      <c r="H4074" s="11" t="n"/>
      <c r="I4074" s="11" t="n"/>
      <c r="J4074" s="11" t="n"/>
      <c r="K4074" s="11" t="n"/>
      <c r="L4074" s="11" t="n"/>
      <c r="M4074" s="11" t="n"/>
    </row>
    <row r="4075">
      <c r="A4075" s="11" t="n"/>
      <c r="B4075" s="11" t="n"/>
      <c r="C4075" s="11" t="n"/>
      <c r="D4075" s="11" t="n"/>
      <c r="E4075" s="11" t="n"/>
      <c r="F4075" s="11" t="n"/>
      <c r="G4075" s="11" t="n"/>
      <c r="H4075" s="11" t="n"/>
      <c r="I4075" s="11" t="n"/>
      <c r="J4075" s="11" t="n"/>
      <c r="K4075" s="11" t="n"/>
      <c r="L4075" s="11" t="n"/>
      <c r="M4075" s="11" t="n"/>
    </row>
    <row r="4076">
      <c r="A4076" s="11" t="n"/>
      <c r="B4076" s="11" t="n"/>
      <c r="C4076" s="11" t="n"/>
      <c r="D4076" s="11" t="n"/>
      <c r="E4076" s="11" t="n"/>
      <c r="F4076" s="11" t="n"/>
      <c r="G4076" s="11" t="n"/>
      <c r="H4076" s="11" t="n"/>
      <c r="I4076" s="11" t="n"/>
      <c r="J4076" s="11" t="n"/>
      <c r="K4076" s="11" t="n"/>
      <c r="L4076" s="11" t="n"/>
      <c r="M4076" s="11" t="n"/>
    </row>
    <row r="4077">
      <c r="A4077" s="11" t="n"/>
      <c r="B4077" s="11" t="n"/>
      <c r="C4077" s="11" t="n"/>
      <c r="D4077" s="11" t="n"/>
      <c r="E4077" s="11" t="n"/>
      <c r="F4077" s="11" t="n"/>
      <c r="G4077" s="11" t="n"/>
      <c r="H4077" s="11" t="n"/>
      <c r="I4077" s="11" t="n"/>
      <c r="J4077" s="11" t="n"/>
      <c r="K4077" s="11" t="n"/>
      <c r="L4077" s="11" t="n"/>
      <c r="M4077" s="11" t="n"/>
    </row>
    <row r="4078">
      <c r="A4078" s="11" t="n"/>
      <c r="B4078" s="11" t="n"/>
      <c r="C4078" s="11" t="n"/>
      <c r="D4078" s="11" t="n"/>
      <c r="E4078" s="11" t="n"/>
      <c r="F4078" s="11" t="n"/>
      <c r="G4078" s="11" t="n"/>
      <c r="H4078" s="11" t="n"/>
      <c r="I4078" s="11" t="n"/>
      <c r="J4078" s="11" t="n"/>
      <c r="K4078" s="11" t="n"/>
      <c r="L4078" s="11" t="n"/>
      <c r="M4078" s="11" t="n"/>
    </row>
    <row r="4079">
      <c r="A4079" s="11" t="n"/>
      <c r="B4079" s="11" t="n"/>
      <c r="C4079" s="11" t="n"/>
      <c r="D4079" s="11" t="n"/>
      <c r="E4079" s="11" t="n"/>
      <c r="F4079" s="11" t="n"/>
      <c r="G4079" s="11" t="n"/>
      <c r="H4079" s="11" t="n"/>
      <c r="I4079" s="11" t="n"/>
      <c r="J4079" s="11" t="n"/>
      <c r="K4079" s="11" t="n"/>
      <c r="L4079" s="11" t="n"/>
      <c r="M4079" s="11" t="n"/>
    </row>
    <row r="4080">
      <c r="A4080" s="11" t="n"/>
      <c r="B4080" s="11" t="n"/>
      <c r="C4080" s="11" t="n"/>
      <c r="D4080" s="11" t="n"/>
      <c r="E4080" s="11" t="n"/>
      <c r="F4080" s="11" t="n"/>
      <c r="G4080" s="11" t="n"/>
      <c r="H4080" s="11" t="n"/>
      <c r="I4080" s="11" t="n"/>
      <c r="J4080" s="11" t="n"/>
      <c r="K4080" s="11" t="n"/>
      <c r="L4080" s="11" t="n"/>
      <c r="M4080" s="11" t="n"/>
    </row>
    <row r="4081">
      <c r="A4081" s="11" t="n"/>
      <c r="B4081" s="11" t="n"/>
      <c r="C4081" s="11" t="n"/>
      <c r="D4081" s="11" t="n"/>
      <c r="E4081" s="11" t="n"/>
      <c r="F4081" s="11" t="n"/>
      <c r="G4081" s="11" t="n"/>
      <c r="H4081" s="11" t="n"/>
      <c r="I4081" s="11" t="n"/>
      <c r="J4081" s="11" t="n"/>
      <c r="K4081" s="11" t="n"/>
      <c r="L4081" s="11" t="n"/>
      <c r="M4081" s="11" t="n"/>
    </row>
    <row r="4082">
      <c r="A4082" s="11" t="n"/>
      <c r="B4082" s="11" t="n"/>
      <c r="C4082" s="11" t="n"/>
      <c r="D4082" s="11" t="n"/>
      <c r="E4082" s="11" t="n"/>
      <c r="F4082" s="11" t="n"/>
      <c r="G4082" s="11" t="n"/>
      <c r="H4082" s="11" t="n"/>
      <c r="I4082" s="11" t="n"/>
      <c r="J4082" s="11" t="n"/>
      <c r="K4082" s="11" t="n"/>
      <c r="L4082" s="11" t="n"/>
      <c r="M4082" s="11" t="n"/>
    </row>
    <row r="4083">
      <c r="A4083" s="11" t="n"/>
      <c r="B4083" s="11" t="n"/>
      <c r="C4083" s="11" t="n"/>
      <c r="D4083" s="11" t="n"/>
      <c r="E4083" s="11" t="n"/>
      <c r="F4083" s="11" t="n"/>
      <c r="G4083" s="11" t="n"/>
      <c r="H4083" s="11" t="n"/>
      <c r="I4083" s="11" t="n"/>
      <c r="J4083" s="11" t="n"/>
      <c r="K4083" s="11" t="n"/>
      <c r="L4083" s="11" t="n"/>
      <c r="M4083" s="11" t="n"/>
    </row>
    <row r="4084">
      <c r="A4084" s="11" t="n"/>
      <c r="B4084" s="11" t="n"/>
      <c r="C4084" s="11" t="n"/>
      <c r="D4084" s="11" t="n"/>
      <c r="E4084" s="11" t="n"/>
      <c r="F4084" s="11" t="n"/>
      <c r="G4084" s="11" t="n"/>
      <c r="H4084" s="11" t="n"/>
      <c r="I4084" s="11" t="n"/>
      <c r="J4084" s="11" t="n"/>
      <c r="K4084" s="11" t="n"/>
      <c r="L4084" s="11" t="n"/>
      <c r="M4084" s="11" t="n"/>
    </row>
    <row r="4085">
      <c r="A4085" s="11" t="n"/>
      <c r="B4085" s="11" t="n"/>
      <c r="C4085" s="11" t="n"/>
      <c r="D4085" s="11" t="n"/>
      <c r="E4085" s="11" t="n"/>
      <c r="F4085" s="11" t="n"/>
      <c r="G4085" s="11" t="n"/>
      <c r="H4085" s="11" t="n"/>
      <c r="I4085" s="11" t="n"/>
      <c r="J4085" s="11" t="n"/>
      <c r="K4085" s="11" t="n"/>
      <c r="L4085" s="11" t="n"/>
      <c r="M4085" s="11" t="n"/>
    </row>
    <row r="4086">
      <c r="A4086" s="11" t="n"/>
      <c r="B4086" s="11" t="n"/>
      <c r="C4086" s="11" t="n"/>
      <c r="D4086" s="11" t="n"/>
      <c r="E4086" s="11" t="n"/>
      <c r="F4086" s="11" t="n"/>
      <c r="G4086" s="11" t="n"/>
      <c r="H4086" s="11" t="n"/>
      <c r="I4086" s="11" t="n"/>
      <c r="J4086" s="11" t="n"/>
      <c r="K4086" s="11" t="n"/>
      <c r="L4086" s="11" t="n"/>
      <c r="M4086" s="11" t="n"/>
    </row>
    <row r="4087">
      <c r="A4087" s="11" t="n"/>
      <c r="B4087" s="11" t="n"/>
      <c r="C4087" s="11" t="n"/>
      <c r="D4087" s="11" t="n"/>
      <c r="E4087" s="11" t="n"/>
      <c r="F4087" s="11" t="n"/>
      <c r="G4087" s="11" t="n"/>
      <c r="H4087" s="11" t="n"/>
      <c r="I4087" s="11" t="n"/>
      <c r="J4087" s="11" t="n"/>
      <c r="K4087" s="11" t="n"/>
      <c r="L4087" s="11" t="n"/>
      <c r="M4087" s="11" t="n"/>
    </row>
    <row r="4088">
      <c r="A4088" s="11" t="n"/>
      <c r="B4088" s="11" t="n"/>
      <c r="C4088" s="11" t="n"/>
      <c r="D4088" s="11" t="n"/>
      <c r="E4088" s="11" t="n"/>
      <c r="F4088" s="11" t="n"/>
      <c r="G4088" s="11" t="n"/>
      <c r="H4088" s="11" t="n"/>
      <c r="I4088" s="11" t="n"/>
      <c r="J4088" s="11" t="n"/>
      <c r="K4088" s="11" t="n"/>
      <c r="L4088" s="11" t="n"/>
      <c r="M4088" s="11" t="n"/>
    </row>
    <row r="4089">
      <c r="A4089" s="11" t="n"/>
      <c r="B4089" s="11" t="n"/>
      <c r="C4089" s="11" t="n"/>
      <c r="D4089" s="11" t="n"/>
      <c r="E4089" s="11" t="n"/>
      <c r="F4089" s="11" t="n"/>
      <c r="G4089" s="11" t="n"/>
      <c r="H4089" s="11" t="n"/>
      <c r="I4089" s="11" t="n"/>
      <c r="J4089" s="11" t="n"/>
      <c r="K4089" s="11" t="n"/>
      <c r="L4089" s="11" t="n"/>
      <c r="M4089" s="11" t="n"/>
    </row>
    <row r="4090">
      <c r="A4090" s="11" t="n"/>
      <c r="B4090" s="11" t="n"/>
      <c r="C4090" s="11" t="n"/>
      <c r="D4090" s="11" t="n"/>
      <c r="E4090" s="11" t="n"/>
      <c r="F4090" s="11" t="n"/>
      <c r="G4090" s="11" t="n"/>
      <c r="H4090" s="11" t="n"/>
      <c r="I4090" s="11" t="n"/>
      <c r="J4090" s="11" t="n"/>
      <c r="K4090" s="11" t="n"/>
      <c r="L4090" s="11" t="n"/>
      <c r="M4090" s="11" t="n"/>
    </row>
    <row r="4091">
      <c r="A4091" s="11" t="n"/>
      <c r="B4091" s="11" t="n"/>
      <c r="C4091" s="11" t="n"/>
      <c r="D4091" s="11" t="n"/>
      <c r="E4091" s="11" t="n"/>
      <c r="F4091" s="11" t="n"/>
      <c r="G4091" s="11" t="n"/>
      <c r="H4091" s="11" t="n"/>
      <c r="I4091" s="11" t="n"/>
      <c r="J4091" s="11" t="n"/>
      <c r="K4091" s="11" t="n"/>
      <c r="L4091" s="11" t="n"/>
      <c r="M4091" s="11" t="n"/>
    </row>
    <row r="4092">
      <c r="A4092" s="11" t="n"/>
      <c r="B4092" s="11" t="n"/>
      <c r="C4092" s="11" t="n"/>
      <c r="D4092" s="11" t="n"/>
      <c r="E4092" s="11" t="n"/>
      <c r="F4092" s="11" t="n"/>
      <c r="G4092" s="11" t="n"/>
      <c r="H4092" s="11" t="n"/>
      <c r="I4092" s="11" t="n"/>
      <c r="J4092" s="11" t="n"/>
      <c r="K4092" s="11" t="n"/>
      <c r="L4092" s="11" t="n"/>
      <c r="M4092" s="11" t="n"/>
    </row>
    <row r="4093">
      <c r="A4093" s="11" t="n"/>
      <c r="B4093" s="11" t="n"/>
      <c r="C4093" s="11" t="n"/>
      <c r="D4093" s="11" t="n"/>
      <c r="E4093" s="11" t="n"/>
      <c r="F4093" s="11" t="n"/>
      <c r="G4093" s="11" t="n"/>
      <c r="H4093" s="11" t="n"/>
      <c r="I4093" s="11" t="n"/>
      <c r="J4093" s="11" t="n"/>
      <c r="K4093" s="11" t="n"/>
      <c r="L4093" s="11" t="n"/>
      <c r="M4093" s="11" t="n"/>
    </row>
    <row r="4094">
      <c r="A4094" s="11" t="n"/>
      <c r="B4094" s="11" t="n"/>
      <c r="C4094" s="11" t="n"/>
      <c r="D4094" s="11" t="n"/>
      <c r="E4094" s="11" t="n"/>
      <c r="F4094" s="11" t="n"/>
      <c r="G4094" s="11" t="n"/>
      <c r="H4094" s="11" t="n"/>
      <c r="I4094" s="11" t="n"/>
      <c r="J4094" s="11" t="n"/>
      <c r="K4094" s="11" t="n"/>
      <c r="L4094" s="11" t="n"/>
      <c r="M4094" s="11" t="n"/>
    </row>
    <row r="4095">
      <c r="A4095" s="11" t="n"/>
      <c r="B4095" s="11" t="n"/>
      <c r="C4095" s="11" t="n"/>
      <c r="D4095" s="11" t="n"/>
      <c r="E4095" s="11" t="n"/>
      <c r="F4095" s="11" t="n"/>
      <c r="G4095" s="11" t="n"/>
      <c r="H4095" s="11" t="n"/>
      <c r="I4095" s="11" t="n"/>
      <c r="J4095" s="11" t="n"/>
      <c r="K4095" s="11" t="n"/>
      <c r="L4095" s="11" t="n"/>
      <c r="M4095" s="11" t="n"/>
    </row>
    <row r="4096">
      <c r="A4096" s="11" t="n"/>
      <c r="B4096" s="11" t="n"/>
      <c r="C4096" s="11" t="n"/>
      <c r="D4096" s="11" t="n"/>
      <c r="E4096" s="11" t="n"/>
      <c r="F4096" s="11" t="n"/>
      <c r="G4096" s="11" t="n"/>
      <c r="H4096" s="11" t="n"/>
      <c r="I4096" s="11" t="n"/>
      <c r="J4096" s="11" t="n"/>
      <c r="K4096" s="11" t="n"/>
      <c r="L4096" s="11" t="n"/>
      <c r="M4096" s="11" t="n"/>
    </row>
    <row r="4097">
      <c r="A4097" s="11" t="n"/>
      <c r="B4097" s="11" t="n"/>
      <c r="C4097" s="11" t="n"/>
      <c r="D4097" s="11" t="n"/>
      <c r="E4097" s="11" t="n"/>
      <c r="F4097" s="11" t="n"/>
      <c r="G4097" s="11" t="n"/>
      <c r="H4097" s="11" t="n"/>
      <c r="I4097" s="11" t="n"/>
      <c r="J4097" s="11" t="n"/>
      <c r="K4097" s="11" t="n"/>
      <c r="L4097" s="11" t="n"/>
      <c r="M4097" s="11" t="n"/>
    </row>
    <row r="4098">
      <c r="A4098" s="11" t="n"/>
      <c r="B4098" s="11" t="n"/>
      <c r="C4098" s="11" t="n"/>
      <c r="D4098" s="11" t="n"/>
      <c r="E4098" s="11" t="n"/>
      <c r="F4098" s="11" t="n"/>
      <c r="G4098" s="11" t="n"/>
      <c r="H4098" s="11" t="n"/>
      <c r="I4098" s="11" t="n"/>
      <c r="J4098" s="11" t="n"/>
      <c r="K4098" s="11" t="n"/>
      <c r="L4098" s="11" t="n"/>
      <c r="M4098" s="11" t="n"/>
    </row>
    <row r="4099">
      <c r="A4099" s="11" t="n"/>
      <c r="B4099" s="11" t="n"/>
      <c r="C4099" s="11" t="n"/>
      <c r="D4099" s="11" t="n"/>
      <c r="E4099" s="11" t="n"/>
      <c r="F4099" s="11" t="n"/>
      <c r="G4099" s="11" t="n"/>
      <c r="H4099" s="11" t="n"/>
      <c r="I4099" s="11" t="n"/>
      <c r="J4099" s="11" t="n"/>
      <c r="K4099" s="11" t="n"/>
      <c r="L4099" s="11" t="n"/>
      <c r="M4099" s="11" t="n"/>
    </row>
    <row r="4100">
      <c r="A4100" s="11" t="n"/>
      <c r="B4100" s="11" t="n"/>
      <c r="C4100" s="11" t="n"/>
      <c r="D4100" s="11" t="n"/>
      <c r="E4100" s="11" t="n"/>
      <c r="F4100" s="11" t="n"/>
      <c r="G4100" s="11" t="n"/>
      <c r="H4100" s="11" t="n"/>
      <c r="I4100" s="11" t="n"/>
      <c r="J4100" s="11" t="n"/>
      <c r="K4100" s="11" t="n"/>
      <c r="L4100" s="11" t="n"/>
      <c r="M4100" s="11" t="n"/>
    </row>
    <row r="4101">
      <c r="A4101" s="11" t="n"/>
      <c r="B4101" s="11" t="n"/>
      <c r="C4101" s="11" t="n"/>
      <c r="D4101" s="11" t="n"/>
      <c r="E4101" s="11" t="n"/>
      <c r="F4101" s="11" t="n"/>
      <c r="G4101" s="11" t="n"/>
      <c r="H4101" s="11" t="n"/>
      <c r="I4101" s="11" t="n"/>
      <c r="J4101" s="11" t="n"/>
      <c r="K4101" s="11" t="n"/>
      <c r="L4101" s="11" t="n"/>
      <c r="M4101" s="11" t="n"/>
    </row>
    <row r="4102">
      <c r="A4102" s="11" t="n"/>
      <c r="B4102" s="11" t="n"/>
      <c r="C4102" s="11" t="n"/>
      <c r="D4102" s="11" t="n"/>
      <c r="E4102" s="11" t="n"/>
      <c r="F4102" s="11" t="n"/>
      <c r="G4102" s="11" t="n"/>
      <c r="H4102" s="11" t="n"/>
      <c r="I4102" s="11" t="n"/>
      <c r="J4102" s="11" t="n"/>
      <c r="K4102" s="11" t="n"/>
      <c r="L4102" s="11" t="n"/>
      <c r="M4102" s="11" t="n"/>
    </row>
    <row r="4103">
      <c r="A4103" s="11" t="n"/>
      <c r="B4103" s="11" t="n"/>
      <c r="C4103" s="11" t="n"/>
      <c r="D4103" s="11" t="n"/>
      <c r="E4103" s="11" t="n"/>
      <c r="F4103" s="11" t="n"/>
      <c r="G4103" s="11" t="n"/>
      <c r="H4103" s="11" t="n"/>
      <c r="I4103" s="11" t="n"/>
      <c r="J4103" s="11" t="n"/>
      <c r="K4103" s="11" t="n"/>
      <c r="L4103" s="11" t="n"/>
      <c r="M4103" s="11" t="n"/>
    </row>
    <row r="4104">
      <c r="A4104" s="11" t="n"/>
      <c r="B4104" s="11" t="n"/>
      <c r="C4104" s="11" t="n"/>
      <c r="D4104" s="11" t="n"/>
      <c r="E4104" s="11" t="n"/>
      <c r="F4104" s="11" t="n"/>
      <c r="G4104" s="11" t="n"/>
      <c r="H4104" s="11" t="n"/>
      <c r="I4104" s="11" t="n"/>
      <c r="J4104" s="11" t="n"/>
      <c r="K4104" s="11" t="n"/>
      <c r="L4104" s="11" t="n"/>
      <c r="M4104" s="11" t="n"/>
    </row>
    <row r="4105">
      <c r="A4105" s="11" t="n"/>
      <c r="B4105" s="11" t="n"/>
      <c r="C4105" s="11" t="n"/>
      <c r="D4105" s="11" t="n"/>
      <c r="E4105" s="11" t="n"/>
      <c r="F4105" s="11" t="n"/>
      <c r="G4105" s="11" t="n"/>
      <c r="H4105" s="11" t="n"/>
      <c r="I4105" s="11" t="n"/>
      <c r="J4105" s="11" t="n"/>
      <c r="K4105" s="11" t="n"/>
      <c r="L4105" s="11" t="n"/>
      <c r="M4105" s="11" t="n"/>
    </row>
    <row r="4106">
      <c r="A4106" s="11" t="n"/>
      <c r="B4106" s="11" t="n"/>
      <c r="C4106" s="11" t="n"/>
      <c r="D4106" s="11" t="n"/>
      <c r="E4106" s="11" t="n"/>
      <c r="F4106" s="11" t="n"/>
      <c r="G4106" s="11" t="n"/>
      <c r="H4106" s="11" t="n"/>
      <c r="I4106" s="11" t="n"/>
      <c r="J4106" s="11" t="n"/>
      <c r="K4106" s="11" t="n"/>
      <c r="L4106" s="11" t="n"/>
      <c r="M4106" s="11" t="n"/>
    </row>
    <row r="4107">
      <c r="A4107" s="11" t="n"/>
      <c r="B4107" s="11" t="n"/>
      <c r="C4107" s="11" t="n"/>
      <c r="D4107" s="11" t="n"/>
      <c r="E4107" s="11" t="n"/>
      <c r="F4107" s="11" t="n"/>
      <c r="G4107" s="11" t="n"/>
      <c r="H4107" s="11" t="n"/>
      <c r="I4107" s="11" t="n"/>
      <c r="J4107" s="11" t="n"/>
      <c r="K4107" s="11" t="n"/>
      <c r="L4107" s="11" t="n"/>
      <c r="M4107" s="11" t="n"/>
    </row>
    <row r="4108">
      <c r="A4108" s="11" t="n"/>
      <c r="B4108" s="11" t="n"/>
      <c r="C4108" s="11" t="n"/>
      <c r="D4108" s="11" t="n"/>
      <c r="E4108" s="11" t="n"/>
      <c r="F4108" s="11" t="n"/>
      <c r="G4108" s="11" t="n"/>
      <c r="H4108" s="11" t="n"/>
      <c r="I4108" s="11" t="n"/>
      <c r="J4108" s="11" t="n"/>
      <c r="K4108" s="11" t="n"/>
      <c r="L4108" s="11" t="n"/>
      <c r="M4108" s="11" t="n"/>
    </row>
    <row r="4109">
      <c r="A4109" s="11" t="n"/>
      <c r="B4109" s="11" t="n"/>
      <c r="C4109" s="11" t="n"/>
      <c r="D4109" s="11" t="n"/>
      <c r="E4109" s="11" t="n"/>
      <c r="F4109" s="11" t="n"/>
      <c r="G4109" s="11" t="n"/>
      <c r="H4109" s="11" t="n"/>
      <c r="I4109" s="11" t="n"/>
      <c r="J4109" s="11" t="n"/>
      <c r="K4109" s="11" t="n"/>
      <c r="L4109" s="11" t="n"/>
      <c r="M4109" s="11" t="n"/>
    </row>
    <row r="4110">
      <c r="A4110" s="11" t="n"/>
      <c r="B4110" s="11" t="n"/>
      <c r="C4110" s="11" t="n"/>
      <c r="D4110" s="11" t="n"/>
      <c r="E4110" s="11" t="n"/>
      <c r="F4110" s="11" t="n"/>
      <c r="G4110" s="11" t="n"/>
      <c r="H4110" s="11" t="n"/>
      <c r="I4110" s="11" t="n"/>
      <c r="J4110" s="11" t="n"/>
      <c r="K4110" s="11" t="n"/>
      <c r="L4110" s="11" t="n"/>
      <c r="M4110" s="11" t="n"/>
    </row>
    <row r="4111">
      <c r="A4111" s="11" t="n"/>
      <c r="B4111" s="11" t="n"/>
      <c r="C4111" s="11" t="n"/>
      <c r="D4111" s="11" t="n"/>
      <c r="E4111" s="11" t="n"/>
      <c r="F4111" s="11" t="n"/>
      <c r="G4111" s="11" t="n"/>
      <c r="H4111" s="11" t="n"/>
      <c r="I4111" s="11" t="n"/>
      <c r="J4111" s="11" t="n"/>
      <c r="K4111" s="11" t="n"/>
      <c r="L4111" s="11" t="n"/>
      <c r="M4111" s="11" t="n"/>
    </row>
    <row r="4112">
      <c r="A4112" s="11" t="n"/>
      <c r="B4112" s="11" t="n"/>
      <c r="C4112" s="11" t="n"/>
      <c r="D4112" s="11" t="n"/>
      <c r="E4112" s="11" t="n"/>
      <c r="F4112" s="11" t="n"/>
      <c r="G4112" s="11" t="n"/>
      <c r="H4112" s="11" t="n"/>
      <c r="I4112" s="11" t="n"/>
      <c r="J4112" s="11" t="n"/>
      <c r="K4112" s="11" t="n"/>
      <c r="L4112" s="11" t="n"/>
      <c r="M4112" s="11" t="n"/>
    </row>
    <row r="4113">
      <c r="A4113" s="11" t="n"/>
      <c r="B4113" s="11" t="n"/>
      <c r="C4113" s="11" t="n"/>
      <c r="D4113" s="11" t="n"/>
      <c r="E4113" s="11" t="n"/>
      <c r="F4113" s="11" t="n"/>
      <c r="G4113" s="11" t="n"/>
      <c r="H4113" s="11" t="n"/>
      <c r="I4113" s="11" t="n"/>
      <c r="J4113" s="11" t="n"/>
      <c r="K4113" s="11" t="n"/>
      <c r="L4113" s="11" t="n"/>
      <c r="M4113" s="11" t="n"/>
    </row>
    <row r="4114">
      <c r="A4114" s="11" t="n"/>
      <c r="B4114" s="11" t="n"/>
      <c r="C4114" s="11" t="n"/>
      <c r="D4114" s="11" t="n"/>
      <c r="E4114" s="11" t="n"/>
      <c r="F4114" s="11" t="n"/>
      <c r="G4114" s="11" t="n"/>
      <c r="H4114" s="11" t="n"/>
      <c r="I4114" s="11" t="n"/>
      <c r="J4114" s="11" t="n"/>
      <c r="K4114" s="11" t="n"/>
      <c r="L4114" s="11" t="n"/>
      <c r="M4114" s="11" t="n"/>
    </row>
    <row r="4115">
      <c r="A4115" s="11" t="n"/>
      <c r="B4115" s="11" t="n"/>
      <c r="C4115" s="11" t="n"/>
      <c r="D4115" s="11" t="n"/>
      <c r="E4115" s="11" t="n"/>
      <c r="F4115" s="11" t="n"/>
      <c r="G4115" s="11" t="n"/>
      <c r="H4115" s="11" t="n"/>
      <c r="I4115" s="11" t="n"/>
      <c r="J4115" s="11" t="n"/>
      <c r="K4115" s="11" t="n"/>
      <c r="L4115" s="11" t="n"/>
      <c r="M4115" s="11" t="n"/>
    </row>
    <row r="4116">
      <c r="A4116" s="11" t="n"/>
      <c r="B4116" s="11" t="n"/>
      <c r="C4116" s="11" t="n"/>
      <c r="D4116" s="11" t="n"/>
      <c r="E4116" s="11" t="n"/>
      <c r="F4116" s="11" t="n"/>
      <c r="G4116" s="11" t="n"/>
      <c r="H4116" s="11" t="n"/>
      <c r="I4116" s="11" t="n"/>
      <c r="J4116" s="11" t="n"/>
      <c r="K4116" s="11" t="n"/>
      <c r="L4116" s="11" t="n"/>
      <c r="M4116" s="11" t="n"/>
    </row>
    <row r="4117">
      <c r="A4117" s="11" t="n"/>
      <c r="B4117" s="11" t="n"/>
      <c r="C4117" s="11" t="n"/>
      <c r="D4117" s="11" t="n"/>
      <c r="E4117" s="11" t="n"/>
      <c r="F4117" s="11" t="n"/>
      <c r="G4117" s="11" t="n"/>
      <c r="H4117" s="11" t="n"/>
      <c r="I4117" s="11" t="n"/>
      <c r="J4117" s="11" t="n"/>
      <c r="K4117" s="11" t="n"/>
      <c r="L4117" s="11" t="n"/>
      <c r="M4117" s="11" t="n"/>
    </row>
    <row r="4118">
      <c r="A4118" s="11" t="n"/>
      <c r="B4118" s="11" t="n"/>
      <c r="C4118" s="11" t="n"/>
      <c r="D4118" s="11" t="n"/>
      <c r="E4118" s="11" t="n"/>
      <c r="F4118" s="11" t="n"/>
      <c r="G4118" s="11" t="n"/>
      <c r="H4118" s="11" t="n"/>
      <c r="I4118" s="11" t="n"/>
      <c r="J4118" s="11" t="n"/>
      <c r="K4118" s="11" t="n"/>
      <c r="L4118" s="11" t="n"/>
      <c r="M4118" s="11" t="n"/>
    </row>
    <row r="4119">
      <c r="A4119" s="11" t="n"/>
      <c r="B4119" s="11" t="n"/>
      <c r="C4119" s="11" t="n"/>
      <c r="D4119" s="11" t="n"/>
      <c r="E4119" s="11" t="n"/>
      <c r="F4119" s="11" t="n"/>
      <c r="G4119" s="11" t="n"/>
      <c r="H4119" s="11" t="n"/>
      <c r="I4119" s="11" t="n"/>
      <c r="J4119" s="11" t="n"/>
      <c r="K4119" s="11" t="n"/>
      <c r="L4119" s="11" t="n"/>
      <c r="M4119" s="11" t="n"/>
    </row>
    <row r="4120">
      <c r="A4120" s="11" t="n"/>
      <c r="B4120" s="11" t="n"/>
      <c r="C4120" s="11" t="n"/>
      <c r="D4120" s="11" t="n"/>
      <c r="E4120" s="11" t="n"/>
      <c r="F4120" s="11" t="n"/>
      <c r="G4120" s="11" t="n"/>
      <c r="H4120" s="11" t="n"/>
      <c r="I4120" s="11" t="n"/>
      <c r="J4120" s="11" t="n"/>
      <c r="K4120" s="11" t="n"/>
      <c r="L4120" s="11" t="n"/>
      <c r="M4120" s="11" t="n"/>
    </row>
    <row r="4121">
      <c r="A4121" s="11" t="n"/>
      <c r="B4121" s="11" t="n"/>
      <c r="C4121" s="11" t="n"/>
      <c r="D4121" s="11" t="n"/>
      <c r="E4121" s="11" t="n"/>
      <c r="F4121" s="11" t="n"/>
      <c r="G4121" s="11" t="n"/>
      <c r="H4121" s="11" t="n"/>
      <c r="I4121" s="11" t="n"/>
      <c r="J4121" s="11" t="n"/>
      <c r="K4121" s="11" t="n"/>
      <c r="L4121" s="11" t="n"/>
      <c r="M4121" s="11" t="n"/>
    </row>
    <row r="4122">
      <c r="A4122" s="11" t="n"/>
      <c r="B4122" s="11" t="n"/>
      <c r="C4122" s="11" t="n"/>
      <c r="D4122" s="11" t="n"/>
      <c r="E4122" s="11" t="n"/>
      <c r="F4122" s="11" t="n"/>
      <c r="G4122" s="11" t="n"/>
      <c r="H4122" s="11" t="n"/>
      <c r="I4122" s="11" t="n"/>
      <c r="J4122" s="11" t="n"/>
      <c r="K4122" s="11" t="n"/>
      <c r="L4122" s="11" t="n"/>
      <c r="M4122" s="11" t="n"/>
    </row>
    <row r="4123">
      <c r="A4123" s="11" t="n"/>
      <c r="B4123" s="11" t="n"/>
      <c r="C4123" s="11" t="n"/>
      <c r="D4123" s="11" t="n"/>
      <c r="E4123" s="11" t="n"/>
      <c r="F4123" s="11" t="n"/>
      <c r="G4123" s="11" t="n"/>
      <c r="H4123" s="11" t="n"/>
      <c r="I4123" s="11" t="n"/>
      <c r="J4123" s="11" t="n"/>
      <c r="K4123" s="11" t="n"/>
      <c r="L4123" s="11" t="n"/>
      <c r="M4123" s="11" t="n"/>
    </row>
    <row r="4124">
      <c r="A4124" s="11" t="n"/>
      <c r="B4124" s="11" t="n"/>
      <c r="C4124" s="11" t="n"/>
      <c r="D4124" s="11" t="n"/>
      <c r="E4124" s="11" t="n"/>
      <c r="F4124" s="11" t="n"/>
      <c r="G4124" s="11" t="n"/>
      <c r="H4124" s="11" t="n"/>
      <c r="I4124" s="11" t="n"/>
      <c r="J4124" s="11" t="n"/>
      <c r="K4124" s="11" t="n"/>
      <c r="L4124" s="11" t="n"/>
      <c r="M4124" s="11" t="n"/>
    </row>
    <row r="4125">
      <c r="A4125" s="11" t="n"/>
      <c r="B4125" s="11" t="n"/>
      <c r="C4125" s="11" t="n"/>
      <c r="D4125" s="11" t="n"/>
      <c r="E4125" s="11" t="n"/>
      <c r="F4125" s="11" t="n"/>
      <c r="G4125" s="11" t="n"/>
      <c r="H4125" s="11" t="n"/>
      <c r="I4125" s="11" t="n"/>
      <c r="J4125" s="11" t="n"/>
      <c r="K4125" s="11" t="n"/>
      <c r="L4125" s="11" t="n"/>
      <c r="M4125" s="11" t="n"/>
    </row>
    <row r="4126">
      <c r="A4126" s="11" t="n"/>
      <c r="B4126" s="11" t="n"/>
      <c r="C4126" s="11" t="n"/>
      <c r="D4126" s="11" t="n"/>
      <c r="E4126" s="11" t="n"/>
      <c r="F4126" s="11" t="n"/>
      <c r="G4126" s="11" t="n"/>
      <c r="H4126" s="11" t="n"/>
      <c r="I4126" s="11" t="n"/>
      <c r="J4126" s="11" t="n"/>
      <c r="K4126" s="11" t="n"/>
      <c r="L4126" s="11" t="n"/>
      <c r="M4126" s="11" t="n"/>
    </row>
    <row r="4127">
      <c r="A4127" s="11" t="n"/>
      <c r="B4127" s="11" t="n"/>
      <c r="C4127" s="11" t="n"/>
      <c r="D4127" s="11" t="n"/>
      <c r="E4127" s="11" t="n"/>
      <c r="F4127" s="11" t="n"/>
      <c r="G4127" s="11" t="n"/>
      <c r="H4127" s="11" t="n"/>
      <c r="I4127" s="11" t="n"/>
      <c r="J4127" s="11" t="n"/>
      <c r="K4127" s="11" t="n"/>
      <c r="L4127" s="11" t="n"/>
      <c r="M4127" s="11" t="n"/>
    </row>
    <row r="4128">
      <c r="A4128" s="11" t="n"/>
      <c r="B4128" s="11" t="n"/>
      <c r="C4128" s="11" t="n"/>
      <c r="D4128" s="11" t="n"/>
      <c r="E4128" s="11" t="n"/>
      <c r="F4128" s="11" t="n"/>
      <c r="G4128" s="11" t="n"/>
      <c r="H4128" s="11" t="n"/>
      <c r="I4128" s="11" t="n"/>
      <c r="J4128" s="11" t="n"/>
      <c r="K4128" s="11" t="n"/>
      <c r="L4128" s="11" t="n"/>
      <c r="M4128" s="11" t="n"/>
    </row>
    <row r="4129">
      <c r="A4129" s="11" t="n"/>
      <c r="B4129" s="11" t="n"/>
      <c r="C4129" s="11" t="n"/>
      <c r="D4129" s="11" t="n"/>
      <c r="E4129" s="11" t="n"/>
      <c r="F4129" s="11" t="n"/>
      <c r="G4129" s="11" t="n"/>
      <c r="H4129" s="11" t="n"/>
      <c r="I4129" s="11" t="n"/>
      <c r="J4129" s="11" t="n"/>
      <c r="K4129" s="11" t="n"/>
      <c r="L4129" s="11" t="n"/>
      <c r="M4129" s="11" t="n"/>
    </row>
    <row r="4130">
      <c r="A4130" s="11" t="n"/>
      <c r="B4130" s="11" t="n"/>
      <c r="C4130" s="11" t="n"/>
      <c r="D4130" s="11" t="n"/>
      <c r="E4130" s="11" t="n"/>
      <c r="F4130" s="11" t="n"/>
      <c r="G4130" s="11" t="n"/>
      <c r="H4130" s="11" t="n"/>
      <c r="I4130" s="11" t="n"/>
      <c r="J4130" s="11" t="n"/>
      <c r="K4130" s="11" t="n"/>
      <c r="L4130" s="11" t="n"/>
      <c r="M4130" s="11" t="n"/>
    </row>
    <row r="4131">
      <c r="A4131" s="11" t="n"/>
      <c r="B4131" s="11" t="n"/>
      <c r="C4131" s="11" t="n"/>
      <c r="D4131" s="11" t="n"/>
      <c r="E4131" s="11" t="n"/>
      <c r="F4131" s="11" t="n"/>
      <c r="G4131" s="11" t="n"/>
      <c r="H4131" s="11" t="n"/>
      <c r="I4131" s="11" t="n"/>
      <c r="J4131" s="11" t="n"/>
      <c r="K4131" s="11" t="n"/>
      <c r="L4131" s="11" t="n"/>
      <c r="M4131" s="11" t="n"/>
    </row>
    <row r="4132">
      <c r="A4132" s="11" t="n"/>
      <c r="B4132" s="11" t="n"/>
      <c r="C4132" s="11" t="n"/>
      <c r="D4132" s="11" t="n"/>
      <c r="E4132" s="11" t="n"/>
      <c r="F4132" s="11" t="n"/>
      <c r="G4132" s="11" t="n"/>
      <c r="H4132" s="11" t="n"/>
      <c r="I4132" s="11" t="n"/>
      <c r="J4132" s="11" t="n"/>
      <c r="K4132" s="11" t="n"/>
      <c r="L4132" s="11" t="n"/>
      <c r="M4132" s="11" t="n"/>
    </row>
    <row r="4133">
      <c r="A4133" s="11" t="n"/>
      <c r="B4133" s="11" t="n"/>
      <c r="C4133" s="11" t="n"/>
      <c r="D4133" s="11" t="n"/>
      <c r="E4133" s="11" t="n"/>
      <c r="F4133" s="11" t="n"/>
      <c r="G4133" s="11" t="n"/>
      <c r="H4133" s="11" t="n"/>
      <c r="I4133" s="11" t="n"/>
      <c r="J4133" s="11" t="n"/>
      <c r="K4133" s="11" t="n"/>
      <c r="L4133" s="11" t="n"/>
      <c r="M4133" s="11" t="n"/>
    </row>
    <row r="4134">
      <c r="A4134" s="11" t="n"/>
      <c r="B4134" s="11" t="n"/>
      <c r="C4134" s="11" t="n"/>
      <c r="D4134" s="11" t="n"/>
      <c r="E4134" s="11" t="n"/>
      <c r="F4134" s="11" t="n"/>
      <c r="G4134" s="11" t="n"/>
      <c r="H4134" s="11" t="n"/>
      <c r="I4134" s="11" t="n"/>
      <c r="J4134" s="11" t="n"/>
      <c r="K4134" s="11" t="n"/>
      <c r="L4134" s="11" t="n"/>
      <c r="M4134" s="11" t="n"/>
    </row>
    <row r="4135">
      <c r="A4135" s="11" t="n"/>
      <c r="B4135" s="11" t="n"/>
      <c r="C4135" s="11" t="n"/>
      <c r="D4135" s="11" t="n"/>
      <c r="E4135" s="11" t="n"/>
      <c r="F4135" s="11" t="n"/>
      <c r="G4135" s="11" t="n"/>
      <c r="H4135" s="11" t="n"/>
      <c r="I4135" s="11" t="n"/>
      <c r="J4135" s="11" t="n"/>
      <c r="K4135" s="11" t="n"/>
      <c r="L4135" s="11" t="n"/>
      <c r="M4135" s="11" t="n"/>
    </row>
    <row r="4136">
      <c r="A4136" s="11" t="n"/>
      <c r="B4136" s="11" t="n"/>
      <c r="C4136" s="11" t="n"/>
      <c r="D4136" s="11" t="n"/>
      <c r="E4136" s="11" t="n"/>
      <c r="F4136" s="11" t="n"/>
      <c r="G4136" s="11" t="n"/>
      <c r="H4136" s="11" t="n"/>
      <c r="I4136" s="11" t="n"/>
      <c r="J4136" s="11" t="n"/>
      <c r="K4136" s="11" t="n"/>
      <c r="L4136" s="11" t="n"/>
      <c r="M4136" s="11" t="n"/>
    </row>
    <row r="4137">
      <c r="A4137" s="11" t="n"/>
      <c r="B4137" s="11" t="n"/>
      <c r="C4137" s="11" t="n"/>
      <c r="D4137" s="11" t="n"/>
      <c r="E4137" s="11" t="n"/>
      <c r="F4137" s="11" t="n"/>
      <c r="G4137" s="11" t="n"/>
      <c r="H4137" s="11" t="n"/>
      <c r="I4137" s="11" t="n"/>
      <c r="J4137" s="11" t="n"/>
      <c r="K4137" s="11" t="n"/>
      <c r="L4137" s="11" t="n"/>
      <c r="M4137" s="11" t="n"/>
    </row>
    <row r="4138">
      <c r="A4138" s="11" t="n"/>
      <c r="B4138" s="11" t="n"/>
      <c r="C4138" s="11" t="n"/>
      <c r="D4138" s="11" t="n"/>
      <c r="E4138" s="11" t="n"/>
      <c r="F4138" s="11" t="n"/>
      <c r="G4138" s="11" t="n"/>
      <c r="H4138" s="11" t="n"/>
      <c r="I4138" s="11" t="n"/>
      <c r="J4138" s="11" t="n"/>
      <c r="K4138" s="11" t="n"/>
      <c r="L4138" s="11" t="n"/>
      <c r="M4138" s="11" t="n"/>
    </row>
    <row r="4139">
      <c r="A4139" s="11" t="n"/>
      <c r="B4139" s="11" t="n"/>
      <c r="C4139" s="11" t="n"/>
      <c r="D4139" s="11" t="n"/>
      <c r="E4139" s="11" t="n"/>
      <c r="F4139" s="11" t="n"/>
      <c r="G4139" s="11" t="n"/>
      <c r="H4139" s="11" t="n"/>
      <c r="I4139" s="11" t="n"/>
      <c r="J4139" s="11" t="n"/>
      <c r="K4139" s="11" t="n"/>
      <c r="L4139" s="11" t="n"/>
      <c r="M4139" s="11" t="n"/>
    </row>
    <row r="4140">
      <c r="A4140" s="11" t="n"/>
      <c r="B4140" s="11" t="n"/>
      <c r="C4140" s="11" t="n"/>
      <c r="D4140" s="11" t="n"/>
      <c r="E4140" s="11" t="n"/>
      <c r="F4140" s="11" t="n"/>
      <c r="G4140" s="11" t="n"/>
      <c r="H4140" s="11" t="n"/>
      <c r="I4140" s="11" t="n"/>
      <c r="J4140" s="11" t="n"/>
      <c r="K4140" s="11" t="n"/>
      <c r="L4140" s="11" t="n"/>
      <c r="M4140" s="11" t="n"/>
    </row>
    <row r="4141">
      <c r="A4141" s="11" t="n"/>
      <c r="B4141" s="11" t="n"/>
      <c r="C4141" s="11" t="n"/>
      <c r="D4141" s="11" t="n"/>
      <c r="E4141" s="11" t="n"/>
      <c r="F4141" s="11" t="n"/>
      <c r="G4141" s="11" t="n"/>
      <c r="H4141" s="11" t="n"/>
      <c r="I4141" s="11" t="n"/>
      <c r="J4141" s="11" t="n"/>
      <c r="K4141" s="11" t="n"/>
      <c r="L4141" s="11" t="n"/>
      <c r="M4141" s="11" t="n"/>
    </row>
    <row r="4142">
      <c r="A4142" s="11" t="n"/>
      <c r="B4142" s="11" t="n"/>
      <c r="C4142" s="11" t="n"/>
      <c r="D4142" s="11" t="n"/>
      <c r="E4142" s="11" t="n"/>
      <c r="F4142" s="11" t="n"/>
      <c r="G4142" s="11" t="n"/>
      <c r="H4142" s="11" t="n"/>
      <c r="I4142" s="11" t="n"/>
      <c r="J4142" s="11" t="n"/>
      <c r="K4142" s="11" t="n"/>
      <c r="L4142" s="11" t="n"/>
      <c r="M4142" s="11" t="n"/>
    </row>
    <row r="4143">
      <c r="A4143" s="11" t="n"/>
      <c r="B4143" s="11" t="n"/>
      <c r="C4143" s="11" t="n"/>
      <c r="D4143" s="11" t="n"/>
      <c r="E4143" s="11" t="n"/>
      <c r="F4143" s="11" t="n"/>
      <c r="G4143" s="11" t="n"/>
      <c r="H4143" s="11" t="n"/>
      <c r="I4143" s="11" t="n"/>
      <c r="J4143" s="11" t="n"/>
      <c r="K4143" s="11" t="n"/>
      <c r="L4143" s="11" t="n"/>
      <c r="M4143" s="11" t="n"/>
    </row>
    <row r="4144">
      <c r="A4144" s="11" t="n"/>
      <c r="B4144" s="11" t="n"/>
      <c r="C4144" s="11" t="n"/>
      <c r="D4144" s="11" t="n"/>
      <c r="E4144" s="11" t="n"/>
      <c r="F4144" s="11" t="n"/>
      <c r="G4144" s="11" t="n"/>
      <c r="H4144" s="11" t="n"/>
      <c r="I4144" s="11" t="n"/>
      <c r="J4144" s="11" t="n"/>
      <c r="K4144" s="11" t="n"/>
      <c r="L4144" s="11" t="n"/>
      <c r="M4144" s="11" t="n"/>
    </row>
    <row r="4145">
      <c r="A4145" s="11" t="n"/>
      <c r="B4145" s="11" t="n"/>
      <c r="C4145" s="11" t="n"/>
      <c r="D4145" s="11" t="n"/>
      <c r="E4145" s="11" t="n"/>
      <c r="F4145" s="11" t="n"/>
      <c r="G4145" s="11" t="n"/>
      <c r="H4145" s="11" t="n"/>
      <c r="I4145" s="11" t="n"/>
      <c r="J4145" s="11" t="n"/>
      <c r="K4145" s="11" t="n"/>
      <c r="L4145" s="11" t="n"/>
      <c r="M4145" s="11" t="n"/>
    </row>
    <row r="4146">
      <c r="A4146" s="11" t="n"/>
      <c r="B4146" s="11" t="n"/>
      <c r="C4146" s="11" t="n"/>
      <c r="D4146" s="11" t="n"/>
      <c r="E4146" s="11" t="n"/>
      <c r="F4146" s="11" t="n"/>
      <c r="G4146" s="11" t="n"/>
      <c r="H4146" s="11" t="n"/>
      <c r="I4146" s="11" t="n"/>
      <c r="J4146" s="11" t="n"/>
      <c r="K4146" s="11" t="n"/>
      <c r="L4146" s="11" t="n"/>
      <c r="M4146" s="11" t="n"/>
    </row>
    <row r="4147">
      <c r="A4147" s="11" t="n"/>
      <c r="B4147" s="11" t="n"/>
      <c r="C4147" s="11" t="n"/>
      <c r="D4147" s="11" t="n"/>
      <c r="E4147" s="11" t="n"/>
      <c r="F4147" s="11" t="n"/>
      <c r="G4147" s="11" t="n"/>
      <c r="H4147" s="11" t="n"/>
      <c r="I4147" s="11" t="n"/>
      <c r="J4147" s="11" t="n"/>
      <c r="K4147" s="11" t="n"/>
      <c r="L4147" s="11" t="n"/>
      <c r="M4147" s="11" t="n"/>
    </row>
    <row r="4148">
      <c r="A4148" s="11" t="n"/>
      <c r="B4148" s="11" t="n"/>
      <c r="C4148" s="11" t="n"/>
      <c r="D4148" s="11" t="n"/>
      <c r="E4148" s="11" t="n"/>
      <c r="F4148" s="11" t="n"/>
      <c r="G4148" s="11" t="n"/>
      <c r="H4148" s="11" t="n"/>
      <c r="I4148" s="11" t="n"/>
      <c r="J4148" s="11" t="n"/>
      <c r="K4148" s="11" t="n"/>
      <c r="L4148" s="11" t="n"/>
      <c r="M4148" s="11" t="n"/>
    </row>
    <row r="4149">
      <c r="A4149" s="11" t="n"/>
      <c r="B4149" s="11" t="n"/>
      <c r="C4149" s="11" t="n"/>
      <c r="D4149" s="11" t="n"/>
      <c r="E4149" s="11" t="n"/>
      <c r="F4149" s="11" t="n"/>
      <c r="G4149" s="11" t="n"/>
      <c r="H4149" s="11" t="n"/>
      <c r="I4149" s="11" t="n"/>
      <c r="J4149" s="11" t="n"/>
      <c r="K4149" s="11" t="n"/>
      <c r="L4149" s="11" t="n"/>
      <c r="M4149" s="11" t="n"/>
    </row>
    <row r="4150">
      <c r="A4150" s="11" t="n"/>
      <c r="B4150" s="11" t="n"/>
      <c r="C4150" s="11" t="n"/>
      <c r="D4150" s="11" t="n"/>
      <c r="E4150" s="11" t="n"/>
      <c r="F4150" s="11" t="n"/>
      <c r="G4150" s="11" t="n"/>
      <c r="H4150" s="11" t="n"/>
      <c r="I4150" s="11" t="n"/>
      <c r="J4150" s="11" t="n"/>
      <c r="K4150" s="11" t="n"/>
      <c r="L4150" s="11" t="n"/>
      <c r="M4150" s="11" t="n"/>
    </row>
    <row r="4151">
      <c r="A4151" s="11" t="n"/>
      <c r="B4151" s="11" t="n"/>
      <c r="C4151" s="11" t="n"/>
      <c r="D4151" s="11" t="n"/>
      <c r="E4151" s="11" t="n"/>
      <c r="F4151" s="11" t="n"/>
      <c r="G4151" s="11" t="n"/>
      <c r="H4151" s="11" t="n"/>
      <c r="I4151" s="11" t="n"/>
      <c r="J4151" s="11" t="n"/>
      <c r="K4151" s="11" t="n"/>
      <c r="L4151" s="11" t="n"/>
      <c r="M4151" s="11" t="n"/>
    </row>
    <row r="4152">
      <c r="A4152" s="11" t="n"/>
      <c r="B4152" s="11" t="n"/>
      <c r="C4152" s="11" t="n"/>
      <c r="D4152" s="11" t="n"/>
      <c r="E4152" s="11" t="n"/>
      <c r="F4152" s="11" t="n"/>
      <c r="G4152" s="11" t="n"/>
      <c r="H4152" s="11" t="n"/>
      <c r="I4152" s="11" t="n"/>
      <c r="J4152" s="11" t="n"/>
      <c r="K4152" s="11" t="n"/>
      <c r="L4152" s="11" t="n"/>
      <c r="M4152" s="11" t="n"/>
    </row>
    <row r="4153">
      <c r="A4153" s="11" t="n"/>
      <c r="B4153" s="11" t="n"/>
      <c r="C4153" s="11" t="n"/>
      <c r="D4153" s="11" t="n"/>
      <c r="E4153" s="11" t="n"/>
      <c r="F4153" s="11" t="n"/>
      <c r="G4153" s="11" t="n"/>
      <c r="H4153" s="11" t="n"/>
      <c r="I4153" s="11" t="n"/>
      <c r="J4153" s="11" t="n"/>
      <c r="K4153" s="11" t="n"/>
      <c r="L4153" s="11" t="n"/>
      <c r="M4153" s="11" t="n"/>
    </row>
    <row r="4154">
      <c r="A4154" s="11" t="n"/>
      <c r="B4154" s="11" t="n"/>
      <c r="C4154" s="11" t="n"/>
      <c r="D4154" s="11" t="n"/>
      <c r="E4154" s="11" t="n"/>
      <c r="F4154" s="11" t="n"/>
      <c r="G4154" s="11" t="n"/>
      <c r="H4154" s="11" t="n"/>
      <c r="I4154" s="11" t="n"/>
      <c r="J4154" s="11" t="n"/>
      <c r="K4154" s="11" t="n"/>
      <c r="L4154" s="11" t="n"/>
      <c r="M4154" s="11" t="n"/>
    </row>
    <row r="4155">
      <c r="A4155" s="11" t="n"/>
      <c r="B4155" s="11" t="n"/>
      <c r="C4155" s="11" t="n"/>
      <c r="D4155" s="11" t="n"/>
      <c r="E4155" s="11" t="n"/>
      <c r="F4155" s="11" t="n"/>
      <c r="G4155" s="11" t="n"/>
      <c r="H4155" s="11" t="n"/>
      <c r="I4155" s="11" t="n"/>
      <c r="J4155" s="11" t="n"/>
      <c r="K4155" s="11" t="n"/>
      <c r="L4155" s="11" t="n"/>
      <c r="M4155" s="11" t="n"/>
    </row>
    <row r="4156">
      <c r="A4156" s="11" t="n"/>
      <c r="B4156" s="11" t="n"/>
      <c r="C4156" s="11" t="n"/>
      <c r="D4156" s="11" t="n"/>
      <c r="E4156" s="11" t="n"/>
      <c r="F4156" s="11" t="n"/>
      <c r="G4156" s="11" t="n"/>
      <c r="H4156" s="11" t="n"/>
      <c r="I4156" s="11" t="n"/>
      <c r="J4156" s="11" t="n"/>
      <c r="K4156" s="11" t="n"/>
      <c r="L4156" s="11" t="n"/>
      <c r="M4156" s="11" t="n"/>
    </row>
    <row r="4157">
      <c r="A4157" s="11" t="n"/>
      <c r="B4157" s="11" t="n"/>
      <c r="C4157" s="11" t="n"/>
      <c r="D4157" s="11" t="n"/>
      <c r="E4157" s="11" t="n"/>
      <c r="F4157" s="11" t="n"/>
      <c r="G4157" s="11" t="n"/>
      <c r="H4157" s="11" t="n"/>
      <c r="I4157" s="11" t="n"/>
      <c r="J4157" s="11" t="n"/>
      <c r="K4157" s="11" t="n"/>
      <c r="L4157" s="11" t="n"/>
      <c r="M4157" s="11" t="n"/>
    </row>
    <row r="4158">
      <c r="A4158" s="11" t="n"/>
      <c r="B4158" s="11" t="n"/>
      <c r="C4158" s="11" t="n"/>
      <c r="D4158" s="11" t="n"/>
      <c r="E4158" s="11" t="n"/>
      <c r="F4158" s="11" t="n"/>
      <c r="G4158" s="11" t="n"/>
      <c r="H4158" s="11" t="n"/>
      <c r="I4158" s="11" t="n"/>
      <c r="J4158" s="11" t="n"/>
      <c r="K4158" s="11" t="n"/>
      <c r="L4158" s="11" t="n"/>
      <c r="M4158" s="11" t="n"/>
    </row>
    <row r="4159">
      <c r="A4159" s="11" t="n"/>
      <c r="B4159" s="11" t="n"/>
      <c r="C4159" s="11" t="n"/>
      <c r="D4159" s="11" t="n"/>
      <c r="E4159" s="11" t="n"/>
      <c r="F4159" s="11" t="n"/>
      <c r="G4159" s="11" t="n"/>
      <c r="H4159" s="11" t="n"/>
      <c r="I4159" s="11" t="n"/>
      <c r="J4159" s="11" t="n"/>
      <c r="K4159" s="11" t="n"/>
      <c r="L4159" s="11" t="n"/>
      <c r="M4159" s="11" t="n"/>
    </row>
    <row r="4160">
      <c r="A4160" s="11" t="n"/>
      <c r="B4160" s="11" t="n"/>
      <c r="C4160" s="11" t="n"/>
      <c r="D4160" s="11" t="n"/>
      <c r="E4160" s="11" t="n"/>
      <c r="F4160" s="11" t="n"/>
      <c r="G4160" s="11" t="n"/>
      <c r="H4160" s="11" t="n"/>
      <c r="I4160" s="11" t="n"/>
      <c r="J4160" s="11" t="n"/>
      <c r="K4160" s="11" t="n"/>
      <c r="L4160" s="11" t="n"/>
      <c r="M4160" s="11" t="n"/>
    </row>
    <row r="4161">
      <c r="A4161" s="11" t="n"/>
      <c r="B4161" s="11" t="n"/>
      <c r="C4161" s="11" t="n"/>
      <c r="D4161" s="11" t="n"/>
      <c r="E4161" s="11" t="n"/>
      <c r="F4161" s="11" t="n"/>
      <c r="G4161" s="11" t="n"/>
      <c r="H4161" s="11" t="n"/>
      <c r="I4161" s="11" t="n"/>
      <c r="J4161" s="11" t="n"/>
      <c r="K4161" s="11" t="n"/>
      <c r="L4161" s="11" t="n"/>
      <c r="M4161" s="11" t="n"/>
    </row>
    <row r="4162">
      <c r="A4162" s="11" t="n"/>
      <c r="B4162" s="11" t="n"/>
      <c r="C4162" s="11" t="n"/>
      <c r="D4162" s="11" t="n"/>
      <c r="E4162" s="11" t="n"/>
      <c r="F4162" s="11" t="n"/>
      <c r="G4162" s="11" t="n"/>
      <c r="H4162" s="11" t="n"/>
      <c r="I4162" s="11" t="n"/>
      <c r="J4162" s="11" t="n"/>
      <c r="K4162" s="11" t="n"/>
      <c r="L4162" s="11" t="n"/>
      <c r="M4162" s="11" t="n"/>
    </row>
    <row r="4163">
      <c r="A4163" s="11" t="n"/>
      <c r="B4163" s="11" t="n"/>
      <c r="C4163" s="11" t="n"/>
      <c r="D4163" s="11" t="n"/>
      <c r="E4163" s="11" t="n"/>
      <c r="F4163" s="11" t="n"/>
      <c r="G4163" s="11" t="n"/>
      <c r="H4163" s="11" t="n"/>
      <c r="I4163" s="11" t="n"/>
      <c r="J4163" s="11" t="n"/>
      <c r="K4163" s="11" t="n"/>
      <c r="L4163" s="11" t="n"/>
      <c r="M4163" s="11" t="n"/>
    </row>
    <row r="4164">
      <c r="A4164" s="11" t="n"/>
      <c r="B4164" s="11" t="n"/>
      <c r="C4164" s="11" t="n"/>
      <c r="D4164" s="11" t="n"/>
      <c r="E4164" s="11" t="n"/>
      <c r="F4164" s="11" t="n"/>
      <c r="G4164" s="11" t="n"/>
      <c r="H4164" s="11" t="n"/>
      <c r="I4164" s="11" t="n"/>
      <c r="J4164" s="11" t="n"/>
      <c r="K4164" s="11" t="n"/>
      <c r="L4164" s="11" t="n"/>
      <c r="M4164" s="11" t="n"/>
    </row>
    <row r="4165">
      <c r="A4165" s="11" t="n"/>
      <c r="B4165" s="11" t="n"/>
      <c r="C4165" s="11" t="n"/>
      <c r="D4165" s="11" t="n"/>
      <c r="E4165" s="11" t="n"/>
      <c r="F4165" s="11" t="n"/>
      <c r="G4165" s="11" t="n"/>
      <c r="H4165" s="11" t="n"/>
      <c r="I4165" s="11" t="n"/>
      <c r="J4165" s="11" t="n"/>
      <c r="K4165" s="11" t="n"/>
      <c r="L4165" s="11" t="n"/>
      <c r="M4165" s="11" t="n"/>
    </row>
    <row r="4166">
      <c r="A4166" s="11" t="n"/>
      <c r="B4166" s="11" t="n"/>
      <c r="C4166" s="11" t="n"/>
      <c r="D4166" s="11" t="n"/>
      <c r="E4166" s="11" t="n"/>
      <c r="F4166" s="11" t="n"/>
      <c r="G4166" s="11" t="n"/>
      <c r="H4166" s="11" t="n"/>
      <c r="I4166" s="11" t="n"/>
      <c r="J4166" s="11" t="n"/>
      <c r="K4166" s="11" t="n"/>
      <c r="L4166" s="11" t="n"/>
      <c r="M4166" s="11" t="n"/>
    </row>
    <row r="4167">
      <c r="A4167" s="11" t="n"/>
      <c r="B4167" s="11" t="n"/>
      <c r="C4167" s="11" t="n"/>
      <c r="D4167" s="11" t="n"/>
      <c r="E4167" s="11" t="n"/>
      <c r="F4167" s="11" t="n"/>
      <c r="G4167" s="11" t="n"/>
      <c r="H4167" s="11" t="n"/>
      <c r="I4167" s="11" t="n"/>
      <c r="J4167" s="11" t="n"/>
      <c r="K4167" s="11" t="n"/>
      <c r="L4167" s="11" t="n"/>
      <c r="M4167" s="11" t="n"/>
    </row>
    <row r="4168">
      <c r="A4168" s="11" t="n"/>
      <c r="B4168" s="11" t="n"/>
      <c r="C4168" s="11" t="n"/>
      <c r="D4168" s="11" t="n"/>
      <c r="E4168" s="11" t="n"/>
      <c r="F4168" s="11" t="n"/>
      <c r="G4168" s="11" t="n"/>
      <c r="H4168" s="11" t="n"/>
      <c r="I4168" s="11" t="n"/>
      <c r="J4168" s="11" t="n"/>
      <c r="K4168" s="11" t="n"/>
      <c r="L4168" s="11" t="n"/>
      <c r="M4168" s="11" t="n"/>
    </row>
    <row r="4169">
      <c r="A4169" s="11" t="n"/>
      <c r="B4169" s="11" t="n"/>
      <c r="C4169" s="11" t="n"/>
      <c r="D4169" s="11" t="n"/>
      <c r="E4169" s="11" t="n"/>
      <c r="F4169" s="11" t="n"/>
      <c r="G4169" s="11" t="n"/>
      <c r="H4169" s="11" t="n"/>
      <c r="I4169" s="11" t="n"/>
      <c r="J4169" s="11" t="n"/>
      <c r="K4169" s="11" t="n"/>
      <c r="L4169" s="11" t="n"/>
      <c r="M4169" s="11" t="n"/>
    </row>
    <row r="4170">
      <c r="A4170" s="11" t="n"/>
      <c r="B4170" s="11" t="n"/>
      <c r="C4170" s="11" t="n"/>
      <c r="D4170" s="11" t="n"/>
      <c r="E4170" s="11" t="n"/>
      <c r="F4170" s="11" t="n"/>
      <c r="G4170" s="11" t="n"/>
      <c r="H4170" s="11" t="n"/>
      <c r="I4170" s="11" t="n"/>
      <c r="J4170" s="11" t="n"/>
      <c r="K4170" s="11" t="n"/>
      <c r="L4170" s="11" t="n"/>
      <c r="M4170" s="11" t="n"/>
    </row>
    <row r="4171">
      <c r="A4171" s="11" t="n"/>
      <c r="B4171" s="11" t="n"/>
      <c r="C4171" s="11" t="n"/>
      <c r="D4171" s="11" t="n"/>
      <c r="E4171" s="11" t="n"/>
      <c r="F4171" s="11" t="n"/>
      <c r="G4171" s="11" t="n"/>
      <c r="H4171" s="11" t="n"/>
      <c r="I4171" s="11" t="n"/>
      <c r="J4171" s="11" t="n"/>
      <c r="K4171" s="11" t="n"/>
      <c r="L4171" s="11" t="n"/>
      <c r="M4171" s="11" t="n"/>
    </row>
    <row r="4172">
      <c r="A4172" s="11" t="n"/>
      <c r="B4172" s="11" t="n"/>
      <c r="C4172" s="11" t="n"/>
      <c r="D4172" s="11" t="n"/>
      <c r="E4172" s="11" t="n"/>
      <c r="F4172" s="11" t="n"/>
      <c r="G4172" s="11" t="n"/>
      <c r="H4172" s="11" t="n"/>
      <c r="I4172" s="11" t="n"/>
      <c r="J4172" s="11" t="n"/>
      <c r="K4172" s="11" t="n"/>
      <c r="L4172" s="11" t="n"/>
      <c r="M4172" s="11" t="n"/>
    </row>
    <row r="4173">
      <c r="A4173" s="11" t="n"/>
      <c r="B4173" s="11" t="n"/>
      <c r="C4173" s="11" t="n"/>
      <c r="D4173" s="11" t="n"/>
      <c r="E4173" s="11" t="n"/>
      <c r="F4173" s="11" t="n"/>
      <c r="G4173" s="11" t="n"/>
      <c r="H4173" s="11" t="n"/>
      <c r="I4173" s="11" t="n"/>
      <c r="J4173" s="11" t="n"/>
      <c r="K4173" s="11" t="n"/>
      <c r="L4173" s="11" t="n"/>
      <c r="M4173" s="11" t="n"/>
    </row>
    <row r="4174">
      <c r="A4174" s="11" t="n"/>
      <c r="B4174" s="11" t="n"/>
      <c r="C4174" s="11" t="n"/>
      <c r="D4174" s="11" t="n"/>
      <c r="E4174" s="11" t="n"/>
      <c r="F4174" s="11" t="n"/>
      <c r="G4174" s="11" t="n"/>
      <c r="H4174" s="11" t="n"/>
      <c r="I4174" s="11" t="n"/>
      <c r="J4174" s="11" t="n"/>
      <c r="K4174" s="11" t="n"/>
      <c r="L4174" s="11" t="n"/>
      <c r="M4174" s="11" t="n"/>
    </row>
    <row r="4175">
      <c r="A4175" s="11" t="n"/>
      <c r="B4175" s="11" t="n"/>
      <c r="C4175" s="11" t="n"/>
      <c r="D4175" s="11" t="n"/>
      <c r="E4175" s="11" t="n"/>
      <c r="F4175" s="11" t="n"/>
      <c r="G4175" s="11" t="n"/>
      <c r="H4175" s="11" t="n"/>
      <c r="I4175" s="11" t="n"/>
      <c r="J4175" s="11" t="n"/>
      <c r="K4175" s="11" t="n"/>
      <c r="L4175" s="11" t="n"/>
      <c r="M4175" s="11" t="n"/>
    </row>
    <row r="4176">
      <c r="A4176" s="11" t="n"/>
      <c r="B4176" s="11" t="n"/>
      <c r="C4176" s="11" t="n"/>
      <c r="D4176" s="11" t="n"/>
      <c r="E4176" s="11" t="n"/>
      <c r="F4176" s="11" t="n"/>
      <c r="G4176" s="11" t="n"/>
      <c r="H4176" s="11" t="n"/>
      <c r="I4176" s="11" t="n"/>
      <c r="J4176" s="11" t="n"/>
      <c r="K4176" s="11" t="n"/>
      <c r="L4176" s="11" t="n"/>
      <c r="M4176" s="11" t="n"/>
    </row>
    <row r="4177">
      <c r="A4177" s="11" t="n"/>
      <c r="B4177" s="11" t="n"/>
      <c r="C4177" s="11" t="n"/>
      <c r="D4177" s="11" t="n"/>
      <c r="E4177" s="11" t="n"/>
      <c r="F4177" s="11" t="n"/>
      <c r="G4177" s="11" t="n"/>
      <c r="H4177" s="11" t="n"/>
      <c r="I4177" s="11" t="n"/>
      <c r="J4177" s="11" t="n"/>
      <c r="K4177" s="11" t="n"/>
      <c r="L4177" s="11" t="n"/>
      <c r="M4177" s="11" t="n"/>
    </row>
    <row r="4178">
      <c r="A4178" s="11" t="n"/>
      <c r="B4178" s="11" t="n"/>
      <c r="C4178" s="11" t="n"/>
      <c r="D4178" s="11" t="n"/>
      <c r="E4178" s="11" t="n"/>
      <c r="F4178" s="11" t="n"/>
      <c r="G4178" s="11" t="n"/>
      <c r="H4178" s="11" t="n"/>
      <c r="I4178" s="11" t="n"/>
      <c r="J4178" s="11" t="n"/>
      <c r="K4178" s="11" t="n"/>
      <c r="L4178" s="11" t="n"/>
      <c r="M4178" s="11" t="n"/>
    </row>
    <row r="4179">
      <c r="A4179" s="11" t="n"/>
      <c r="B4179" s="11" t="n"/>
      <c r="C4179" s="11" t="n"/>
      <c r="D4179" s="11" t="n"/>
      <c r="E4179" s="11" t="n"/>
      <c r="F4179" s="11" t="n"/>
      <c r="G4179" s="11" t="n"/>
      <c r="H4179" s="11" t="n"/>
      <c r="I4179" s="11" t="n"/>
      <c r="J4179" s="11" t="n"/>
      <c r="K4179" s="11" t="n"/>
      <c r="L4179" s="11" t="n"/>
      <c r="M4179" s="11" t="n"/>
    </row>
    <row r="4180">
      <c r="A4180" s="11" t="n"/>
      <c r="B4180" s="11" t="n"/>
      <c r="C4180" s="11" t="n"/>
      <c r="D4180" s="11" t="n"/>
      <c r="E4180" s="11" t="n"/>
      <c r="F4180" s="11" t="n"/>
      <c r="G4180" s="11" t="n"/>
      <c r="H4180" s="11" t="n"/>
      <c r="I4180" s="11" t="n"/>
      <c r="J4180" s="11" t="n"/>
      <c r="K4180" s="11" t="n"/>
      <c r="L4180" s="11" t="n"/>
      <c r="M4180" s="11" t="n"/>
    </row>
    <row r="4181">
      <c r="A4181" s="11" t="n"/>
      <c r="B4181" s="11" t="n"/>
      <c r="C4181" s="11" t="n"/>
      <c r="D4181" s="11" t="n"/>
      <c r="E4181" s="11" t="n"/>
      <c r="F4181" s="11" t="n"/>
      <c r="G4181" s="11" t="n"/>
      <c r="H4181" s="11" t="n"/>
      <c r="I4181" s="11" t="n"/>
      <c r="J4181" s="11" t="n"/>
      <c r="K4181" s="11" t="n"/>
      <c r="L4181" s="11" t="n"/>
      <c r="M4181" s="11" t="n"/>
    </row>
    <row r="4182">
      <c r="A4182" s="11" t="n"/>
      <c r="B4182" s="11" t="n"/>
      <c r="C4182" s="11" t="n"/>
      <c r="D4182" s="11" t="n"/>
      <c r="E4182" s="11" t="n"/>
      <c r="F4182" s="11" t="n"/>
      <c r="G4182" s="11" t="n"/>
      <c r="H4182" s="11" t="n"/>
      <c r="I4182" s="11" t="n"/>
      <c r="J4182" s="11" t="n"/>
      <c r="K4182" s="11" t="n"/>
      <c r="L4182" s="11" t="n"/>
      <c r="M4182" s="11" t="n"/>
    </row>
    <row r="4183">
      <c r="A4183" s="11" t="n"/>
      <c r="B4183" s="11" t="n"/>
      <c r="C4183" s="11" t="n"/>
      <c r="D4183" s="11" t="n"/>
      <c r="E4183" s="11" t="n"/>
      <c r="F4183" s="11" t="n"/>
      <c r="G4183" s="11" t="n"/>
      <c r="H4183" s="11" t="n"/>
      <c r="I4183" s="11" t="n"/>
      <c r="J4183" s="11" t="n"/>
      <c r="K4183" s="11" t="n"/>
      <c r="L4183" s="11" t="n"/>
      <c r="M4183" s="11" t="n"/>
    </row>
    <row r="4184">
      <c r="A4184" s="11" t="n"/>
      <c r="B4184" s="11" t="n"/>
      <c r="C4184" s="11" t="n"/>
      <c r="D4184" s="11" t="n"/>
      <c r="E4184" s="11" t="n"/>
      <c r="F4184" s="11" t="n"/>
      <c r="G4184" s="11" t="n"/>
      <c r="H4184" s="11" t="n"/>
      <c r="I4184" s="11" t="n"/>
      <c r="J4184" s="11" t="n"/>
      <c r="K4184" s="11" t="n"/>
      <c r="L4184" s="11" t="n"/>
      <c r="M4184" s="11" t="n"/>
    </row>
    <row r="4185">
      <c r="A4185" s="11" t="n"/>
      <c r="B4185" s="11" t="n"/>
      <c r="C4185" s="11" t="n"/>
      <c r="D4185" s="11" t="n"/>
      <c r="E4185" s="11" t="n"/>
      <c r="F4185" s="11" t="n"/>
      <c r="G4185" s="11" t="n"/>
      <c r="H4185" s="11" t="n"/>
      <c r="I4185" s="11" t="n"/>
      <c r="J4185" s="11" t="n"/>
      <c r="K4185" s="11" t="n"/>
      <c r="L4185" s="11" t="n"/>
      <c r="M4185" s="11" t="n"/>
    </row>
    <row r="4186">
      <c r="A4186" s="11" t="n"/>
      <c r="B4186" s="11" t="n"/>
      <c r="C4186" s="11" t="n"/>
      <c r="D4186" s="11" t="n"/>
      <c r="E4186" s="11" t="n"/>
      <c r="F4186" s="11" t="n"/>
      <c r="G4186" s="11" t="n"/>
      <c r="H4186" s="11" t="n"/>
      <c r="I4186" s="11" t="n"/>
      <c r="J4186" s="11" t="n"/>
      <c r="K4186" s="11" t="n"/>
      <c r="L4186" s="11" t="n"/>
      <c r="M4186" s="11" t="n"/>
    </row>
    <row r="4187">
      <c r="A4187" s="11" t="n"/>
      <c r="B4187" s="11" t="n"/>
      <c r="C4187" s="11" t="n"/>
      <c r="D4187" s="11" t="n"/>
      <c r="E4187" s="11" t="n"/>
      <c r="F4187" s="11" t="n"/>
      <c r="G4187" s="11" t="n"/>
      <c r="H4187" s="11" t="n"/>
      <c r="I4187" s="11" t="n"/>
      <c r="J4187" s="11" t="n"/>
      <c r="K4187" s="11" t="n"/>
      <c r="L4187" s="11" t="n"/>
      <c r="M4187" s="11" t="n"/>
    </row>
    <row r="4188">
      <c r="A4188" s="11" t="n"/>
      <c r="B4188" s="11" t="n"/>
      <c r="C4188" s="11" t="n"/>
      <c r="D4188" s="11" t="n"/>
      <c r="E4188" s="11" t="n"/>
      <c r="F4188" s="11" t="n"/>
      <c r="G4188" s="11" t="n"/>
      <c r="H4188" s="11" t="n"/>
      <c r="I4188" s="11" t="n"/>
      <c r="J4188" s="11" t="n"/>
      <c r="K4188" s="11" t="n"/>
      <c r="L4188" s="11" t="n"/>
      <c r="M4188" s="11" t="n"/>
    </row>
    <row r="4189">
      <c r="A4189" s="11" t="n"/>
      <c r="B4189" s="11" t="n"/>
      <c r="C4189" s="11" t="n"/>
      <c r="D4189" s="11" t="n"/>
      <c r="E4189" s="11" t="n"/>
      <c r="F4189" s="11" t="n"/>
      <c r="G4189" s="11" t="n"/>
      <c r="H4189" s="11" t="n"/>
      <c r="I4189" s="11" t="n"/>
      <c r="J4189" s="11" t="n"/>
      <c r="K4189" s="11" t="n"/>
      <c r="L4189" s="11" t="n"/>
      <c r="M4189" s="11" t="n"/>
    </row>
    <row r="4190">
      <c r="A4190" s="11" t="n"/>
      <c r="B4190" s="11" t="n"/>
      <c r="C4190" s="11" t="n"/>
      <c r="D4190" s="11" t="n"/>
      <c r="E4190" s="11" t="n"/>
      <c r="F4190" s="11" t="n"/>
      <c r="G4190" s="11" t="n"/>
      <c r="H4190" s="11" t="n"/>
      <c r="I4190" s="11" t="n"/>
      <c r="J4190" s="11" t="n"/>
      <c r="K4190" s="11" t="n"/>
      <c r="L4190" s="11" t="n"/>
      <c r="M4190" s="11" t="n"/>
    </row>
    <row r="4191">
      <c r="A4191" s="11" t="n"/>
      <c r="B4191" s="11" t="n"/>
      <c r="C4191" s="11" t="n"/>
      <c r="D4191" s="11" t="n"/>
      <c r="E4191" s="11" t="n"/>
      <c r="F4191" s="11" t="n"/>
      <c r="G4191" s="11" t="n"/>
      <c r="H4191" s="11" t="n"/>
      <c r="I4191" s="11" t="n"/>
      <c r="J4191" s="11" t="n"/>
      <c r="K4191" s="11" t="n"/>
      <c r="L4191" s="11" t="n"/>
      <c r="M4191" s="11" t="n"/>
    </row>
    <row r="4192">
      <c r="A4192" s="11" t="n"/>
      <c r="B4192" s="11" t="n"/>
      <c r="C4192" s="11" t="n"/>
      <c r="D4192" s="11" t="n"/>
      <c r="E4192" s="11" t="n"/>
      <c r="F4192" s="11" t="n"/>
      <c r="G4192" s="11" t="n"/>
      <c r="H4192" s="11" t="n"/>
      <c r="I4192" s="11" t="n"/>
      <c r="J4192" s="11" t="n"/>
      <c r="K4192" s="11" t="n"/>
      <c r="L4192" s="11" t="n"/>
      <c r="M4192" s="11" t="n"/>
    </row>
    <row r="4193">
      <c r="A4193" s="11" t="n"/>
      <c r="B4193" s="11" t="n"/>
      <c r="C4193" s="11" t="n"/>
      <c r="D4193" s="11" t="n"/>
      <c r="E4193" s="11" t="n"/>
      <c r="F4193" s="11" t="n"/>
      <c r="G4193" s="11" t="n"/>
      <c r="H4193" s="11" t="n"/>
      <c r="I4193" s="11" t="n"/>
      <c r="J4193" s="11" t="n"/>
      <c r="K4193" s="11" t="n"/>
      <c r="L4193" s="11" t="n"/>
      <c r="M4193" s="11" t="n"/>
    </row>
    <row r="4194">
      <c r="A4194" s="11" t="n"/>
      <c r="B4194" s="11" t="n"/>
      <c r="C4194" s="11" t="n"/>
      <c r="D4194" s="11" t="n"/>
      <c r="E4194" s="11" t="n"/>
      <c r="F4194" s="11" t="n"/>
      <c r="G4194" s="11" t="n"/>
      <c r="H4194" s="11" t="n"/>
      <c r="I4194" s="11" t="n"/>
      <c r="J4194" s="11" t="n"/>
      <c r="K4194" s="11" t="n"/>
      <c r="L4194" s="11" t="n"/>
      <c r="M4194" s="11" t="n"/>
    </row>
    <row r="4195">
      <c r="A4195" s="11" t="n"/>
      <c r="B4195" s="11" t="n"/>
      <c r="C4195" s="11" t="n"/>
      <c r="D4195" s="11" t="n"/>
      <c r="E4195" s="11" t="n"/>
      <c r="F4195" s="11" t="n"/>
      <c r="G4195" s="11" t="n"/>
      <c r="H4195" s="11" t="n"/>
      <c r="I4195" s="11" t="n"/>
      <c r="J4195" s="11" t="n"/>
      <c r="K4195" s="11" t="n"/>
      <c r="L4195" s="11" t="n"/>
      <c r="M4195" s="11" t="n"/>
    </row>
    <row r="4196">
      <c r="A4196" s="11" t="n"/>
      <c r="B4196" s="11" t="n"/>
      <c r="C4196" s="11" t="n"/>
      <c r="D4196" s="11" t="n"/>
      <c r="E4196" s="11" t="n"/>
      <c r="F4196" s="11" t="n"/>
      <c r="G4196" s="11" t="n"/>
      <c r="H4196" s="11" t="n"/>
      <c r="I4196" s="11" t="n"/>
      <c r="J4196" s="11" t="n"/>
      <c r="K4196" s="11" t="n"/>
      <c r="L4196" s="11" t="n"/>
      <c r="M4196" s="11" t="n"/>
    </row>
    <row r="4197">
      <c r="A4197" s="11" t="n"/>
      <c r="B4197" s="11" t="n"/>
      <c r="C4197" s="11" t="n"/>
      <c r="D4197" s="11" t="n"/>
      <c r="E4197" s="11" t="n"/>
      <c r="F4197" s="11" t="n"/>
      <c r="G4197" s="11" t="n"/>
      <c r="H4197" s="11" t="n"/>
      <c r="I4197" s="11" t="n"/>
      <c r="J4197" s="11" t="n"/>
      <c r="K4197" s="11" t="n"/>
      <c r="L4197" s="11" t="n"/>
      <c r="M4197" s="11" t="n"/>
    </row>
    <row r="4198">
      <c r="A4198" s="11" t="n"/>
      <c r="B4198" s="11" t="n"/>
      <c r="C4198" s="11" t="n"/>
      <c r="D4198" s="11" t="n"/>
      <c r="E4198" s="11" t="n"/>
      <c r="F4198" s="11" t="n"/>
      <c r="G4198" s="11" t="n"/>
      <c r="H4198" s="11" t="n"/>
      <c r="I4198" s="11" t="n"/>
      <c r="J4198" s="11" t="n"/>
      <c r="K4198" s="11" t="n"/>
      <c r="L4198" s="11" t="n"/>
      <c r="M4198" s="11" t="n"/>
    </row>
    <row r="4199">
      <c r="A4199" s="11" t="n"/>
      <c r="B4199" s="11" t="n"/>
      <c r="C4199" s="11" t="n"/>
      <c r="D4199" s="11" t="n"/>
      <c r="E4199" s="11" t="n"/>
      <c r="F4199" s="11" t="n"/>
      <c r="G4199" s="11" t="n"/>
      <c r="H4199" s="11" t="n"/>
      <c r="I4199" s="11" t="n"/>
      <c r="J4199" s="11" t="n"/>
      <c r="K4199" s="11" t="n"/>
      <c r="L4199" s="11" t="n"/>
      <c r="M4199" s="11" t="n"/>
    </row>
    <row r="4200">
      <c r="A4200" s="11" t="n"/>
      <c r="B4200" s="11" t="n"/>
      <c r="C4200" s="11" t="n"/>
      <c r="D4200" s="11" t="n"/>
      <c r="E4200" s="11" t="n"/>
      <c r="F4200" s="11" t="n"/>
      <c r="G4200" s="11" t="n"/>
      <c r="H4200" s="11" t="n"/>
      <c r="I4200" s="11" t="n"/>
      <c r="J4200" s="11" t="n"/>
      <c r="K4200" s="11" t="n"/>
      <c r="L4200" s="11" t="n"/>
      <c r="M4200" s="11" t="n"/>
    </row>
    <row r="4201">
      <c r="A4201" s="11" t="n"/>
      <c r="B4201" s="11" t="n"/>
      <c r="C4201" s="11" t="n"/>
      <c r="D4201" s="11" t="n"/>
      <c r="E4201" s="11" t="n"/>
      <c r="F4201" s="11" t="n"/>
      <c r="G4201" s="11" t="n"/>
      <c r="H4201" s="11" t="n"/>
      <c r="I4201" s="11" t="n"/>
      <c r="J4201" s="11" t="n"/>
      <c r="K4201" s="11" t="n"/>
      <c r="L4201" s="11" t="n"/>
      <c r="M4201" s="11" t="n"/>
    </row>
    <row r="4202">
      <c r="A4202" s="11" t="n"/>
      <c r="B4202" s="11" t="n"/>
      <c r="C4202" s="11" t="n"/>
      <c r="D4202" s="11" t="n"/>
      <c r="E4202" s="11" t="n"/>
      <c r="F4202" s="11" t="n"/>
      <c r="G4202" s="11" t="n"/>
      <c r="H4202" s="11" t="n"/>
      <c r="I4202" s="11" t="n"/>
      <c r="J4202" s="11" t="n"/>
      <c r="K4202" s="11" t="n"/>
      <c r="L4202" s="11" t="n"/>
      <c r="M4202" s="11" t="n"/>
    </row>
    <row r="4203">
      <c r="A4203" s="11" t="n"/>
      <c r="B4203" s="11" t="n"/>
      <c r="C4203" s="11" t="n"/>
      <c r="D4203" s="11" t="n"/>
      <c r="E4203" s="11" t="n"/>
      <c r="F4203" s="11" t="n"/>
      <c r="G4203" s="11" t="n"/>
      <c r="H4203" s="11" t="n"/>
      <c r="I4203" s="11" t="n"/>
      <c r="J4203" s="11" t="n"/>
      <c r="K4203" s="11" t="n"/>
      <c r="L4203" s="11" t="n"/>
      <c r="M4203" s="11" t="n"/>
    </row>
    <row r="4204">
      <c r="A4204" s="11" t="n"/>
      <c r="B4204" s="11" t="n"/>
      <c r="C4204" s="11" t="n"/>
      <c r="D4204" s="11" t="n"/>
      <c r="E4204" s="11" t="n"/>
      <c r="F4204" s="11" t="n"/>
      <c r="G4204" s="11" t="n"/>
      <c r="H4204" s="11" t="n"/>
      <c r="I4204" s="11" t="n"/>
      <c r="J4204" s="11" t="n"/>
      <c r="K4204" s="11" t="n"/>
      <c r="L4204" s="11" t="n"/>
      <c r="M4204" s="11" t="n"/>
    </row>
    <row r="4205">
      <c r="A4205" s="11" t="n"/>
      <c r="B4205" s="11" t="n"/>
      <c r="C4205" s="11" t="n"/>
      <c r="D4205" s="11" t="n"/>
      <c r="E4205" s="11" t="n"/>
      <c r="F4205" s="11" t="n"/>
      <c r="G4205" s="11" t="n"/>
      <c r="H4205" s="11" t="n"/>
      <c r="I4205" s="11" t="n"/>
      <c r="J4205" s="11" t="n"/>
      <c r="K4205" s="11" t="n"/>
      <c r="L4205" s="11" t="n"/>
      <c r="M4205" s="11" t="n"/>
    </row>
    <row r="4206">
      <c r="A4206" s="11" t="n"/>
      <c r="B4206" s="11" t="n"/>
      <c r="C4206" s="11" t="n"/>
      <c r="D4206" s="11" t="n"/>
      <c r="E4206" s="11" t="n"/>
      <c r="F4206" s="11" t="n"/>
      <c r="G4206" s="11" t="n"/>
      <c r="H4206" s="11" t="n"/>
      <c r="I4206" s="11" t="n"/>
      <c r="J4206" s="11" t="n"/>
      <c r="K4206" s="11" t="n"/>
      <c r="L4206" s="11" t="n"/>
      <c r="M4206" s="11" t="n"/>
    </row>
    <row r="4207">
      <c r="A4207" s="11" t="n"/>
      <c r="B4207" s="11" t="n"/>
      <c r="C4207" s="11" t="n"/>
      <c r="D4207" s="11" t="n"/>
      <c r="E4207" s="11" t="n"/>
      <c r="F4207" s="11" t="n"/>
      <c r="G4207" s="11" t="n"/>
      <c r="H4207" s="11" t="n"/>
      <c r="I4207" s="11" t="n"/>
      <c r="J4207" s="11" t="n"/>
      <c r="K4207" s="11" t="n"/>
      <c r="L4207" s="11" t="n"/>
      <c r="M4207" s="11" t="n"/>
    </row>
    <row r="4208">
      <c r="A4208" s="11" t="n"/>
      <c r="B4208" s="11" t="n"/>
      <c r="C4208" s="11" t="n"/>
      <c r="D4208" s="11" t="n"/>
      <c r="E4208" s="11" t="n"/>
      <c r="F4208" s="11" t="n"/>
      <c r="G4208" s="11" t="n"/>
      <c r="H4208" s="11" t="n"/>
      <c r="I4208" s="11" t="n"/>
      <c r="J4208" s="11" t="n"/>
      <c r="K4208" s="11" t="n"/>
      <c r="L4208" s="11" t="n"/>
      <c r="M4208" s="11" t="n"/>
    </row>
    <row r="4209">
      <c r="A4209" s="11" t="n"/>
      <c r="B4209" s="11" t="n"/>
      <c r="C4209" s="11" t="n"/>
      <c r="D4209" s="11" t="n"/>
      <c r="E4209" s="11" t="n"/>
      <c r="F4209" s="11" t="n"/>
      <c r="G4209" s="11" t="n"/>
      <c r="H4209" s="11" t="n"/>
      <c r="I4209" s="11" t="n"/>
      <c r="J4209" s="11" t="n"/>
      <c r="K4209" s="11" t="n"/>
      <c r="L4209" s="11" t="n"/>
      <c r="M4209" s="11" t="n"/>
    </row>
    <row r="4210">
      <c r="A4210" s="11" t="n"/>
      <c r="B4210" s="11" t="n"/>
      <c r="C4210" s="11" t="n"/>
      <c r="D4210" s="11" t="n"/>
      <c r="E4210" s="11" t="n"/>
      <c r="F4210" s="11" t="n"/>
      <c r="G4210" s="11" t="n"/>
      <c r="H4210" s="11" t="n"/>
      <c r="I4210" s="11" t="n"/>
      <c r="J4210" s="11" t="n"/>
      <c r="K4210" s="11" t="n"/>
      <c r="L4210" s="11" t="n"/>
      <c r="M4210" s="11" t="n"/>
    </row>
    <row r="4211">
      <c r="A4211" s="11" t="n"/>
      <c r="B4211" s="11" t="n"/>
      <c r="C4211" s="11" t="n"/>
      <c r="D4211" s="11" t="n"/>
      <c r="E4211" s="11" t="n"/>
      <c r="F4211" s="11" t="n"/>
      <c r="G4211" s="11" t="n"/>
      <c r="H4211" s="11" t="n"/>
      <c r="I4211" s="11" t="n"/>
      <c r="J4211" s="11" t="n"/>
      <c r="K4211" s="11" t="n"/>
      <c r="L4211" s="11" t="n"/>
      <c r="M4211" s="11" t="n"/>
    </row>
    <row r="4212">
      <c r="A4212" s="11" t="n"/>
      <c r="B4212" s="11" t="n"/>
      <c r="C4212" s="11" t="n"/>
      <c r="D4212" s="11" t="n"/>
      <c r="E4212" s="11" t="n"/>
      <c r="F4212" s="11" t="n"/>
      <c r="G4212" s="11" t="n"/>
      <c r="H4212" s="11" t="n"/>
      <c r="I4212" s="11" t="n"/>
      <c r="J4212" s="11" t="n"/>
      <c r="K4212" s="11" t="n"/>
      <c r="L4212" s="11" t="n"/>
      <c r="M4212" s="11" t="n"/>
    </row>
    <row r="4213">
      <c r="A4213" s="11" t="n"/>
      <c r="B4213" s="11" t="n"/>
      <c r="C4213" s="11" t="n"/>
      <c r="D4213" s="11" t="n"/>
      <c r="E4213" s="11" t="n"/>
      <c r="F4213" s="11" t="n"/>
      <c r="G4213" s="11" t="n"/>
      <c r="H4213" s="11" t="n"/>
      <c r="I4213" s="11" t="n"/>
      <c r="J4213" s="11" t="n"/>
      <c r="K4213" s="11" t="n"/>
      <c r="L4213" s="11" t="n"/>
      <c r="M4213" s="11" t="n"/>
    </row>
    <row r="4214">
      <c r="A4214" s="11" t="n"/>
      <c r="B4214" s="11" t="n"/>
      <c r="C4214" s="11" t="n"/>
      <c r="D4214" s="11" t="n"/>
      <c r="E4214" s="11" t="n"/>
      <c r="F4214" s="11" t="n"/>
      <c r="G4214" s="11" t="n"/>
      <c r="H4214" s="11" t="n"/>
      <c r="I4214" s="11" t="n"/>
      <c r="J4214" s="11" t="n"/>
      <c r="K4214" s="11" t="n"/>
      <c r="L4214" s="11" t="n"/>
      <c r="M4214" s="11" t="n"/>
    </row>
    <row r="4215">
      <c r="A4215" s="11" t="n"/>
      <c r="B4215" s="11" t="n"/>
      <c r="C4215" s="11" t="n"/>
      <c r="D4215" s="11" t="n"/>
      <c r="E4215" s="11" t="n"/>
      <c r="F4215" s="11" t="n"/>
      <c r="G4215" s="11" t="n"/>
      <c r="H4215" s="11" t="n"/>
      <c r="I4215" s="11" t="n"/>
      <c r="J4215" s="11" t="n"/>
      <c r="K4215" s="11" t="n"/>
      <c r="L4215" s="11" t="n"/>
      <c r="M4215" s="11" t="n"/>
    </row>
    <row r="4216">
      <c r="A4216" s="11" t="n"/>
      <c r="B4216" s="11" t="n"/>
      <c r="C4216" s="11" t="n"/>
      <c r="D4216" s="11" t="n"/>
      <c r="E4216" s="11" t="n"/>
      <c r="F4216" s="11" t="n"/>
      <c r="G4216" s="11" t="n"/>
      <c r="H4216" s="11" t="n"/>
      <c r="I4216" s="11" t="n"/>
      <c r="J4216" s="11" t="n"/>
      <c r="K4216" s="11" t="n"/>
      <c r="L4216" s="11" t="n"/>
      <c r="M4216" s="11" t="n"/>
    </row>
    <row r="4217">
      <c r="A4217" s="11" t="n"/>
      <c r="B4217" s="11" t="n"/>
      <c r="C4217" s="11" t="n"/>
      <c r="D4217" s="11" t="n"/>
      <c r="E4217" s="11" t="n"/>
      <c r="F4217" s="11" t="n"/>
      <c r="G4217" s="11" t="n"/>
      <c r="H4217" s="11" t="n"/>
      <c r="I4217" s="11" t="n"/>
      <c r="J4217" s="11" t="n"/>
      <c r="K4217" s="11" t="n"/>
      <c r="L4217" s="11" t="n"/>
      <c r="M4217" s="11" t="n"/>
    </row>
    <row r="4218">
      <c r="A4218" s="11" t="n"/>
      <c r="B4218" s="11" t="n"/>
      <c r="C4218" s="11" t="n"/>
      <c r="D4218" s="11" t="n"/>
      <c r="E4218" s="11" t="n"/>
      <c r="F4218" s="11" t="n"/>
      <c r="G4218" s="11" t="n"/>
      <c r="H4218" s="11" t="n"/>
      <c r="I4218" s="11" t="n"/>
      <c r="J4218" s="11" t="n"/>
      <c r="K4218" s="11" t="n"/>
      <c r="L4218" s="11" t="n"/>
      <c r="M4218" s="11" t="n"/>
    </row>
    <row r="4219">
      <c r="A4219" s="11" t="n"/>
      <c r="B4219" s="11" t="n"/>
      <c r="C4219" s="11" t="n"/>
      <c r="D4219" s="11" t="n"/>
      <c r="E4219" s="11" t="n"/>
      <c r="F4219" s="11" t="n"/>
      <c r="G4219" s="11" t="n"/>
      <c r="H4219" s="11" t="n"/>
      <c r="I4219" s="11" t="n"/>
      <c r="J4219" s="11" t="n"/>
      <c r="K4219" s="11" t="n"/>
      <c r="L4219" s="11" t="n"/>
      <c r="M4219" s="11" t="n"/>
    </row>
    <row r="4220">
      <c r="A4220" s="11" t="n"/>
      <c r="B4220" s="11" t="n"/>
      <c r="C4220" s="11" t="n"/>
      <c r="D4220" s="11" t="n"/>
      <c r="E4220" s="11" t="n"/>
      <c r="F4220" s="11" t="n"/>
      <c r="G4220" s="11" t="n"/>
      <c r="H4220" s="11" t="n"/>
      <c r="I4220" s="11" t="n"/>
      <c r="J4220" s="11" t="n"/>
      <c r="K4220" s="11" t="n"/>
      <c r="L4220" s="11" t="n"/>
      <c r="M4220" s="11" t="n"/>
    </row>
    <row r="4221">
      <c r="A4221" s="11" t="n"/>
      <c r="B4221" s="11" t="n"/>
      <c r="C4221" s="11" t="n"/>
      <c r="D4221" s="11" t="n"/>
      <c r="E4221" s="11" t="n"/>
      <c r="F4221" s="11" t="n"/>
      <c r="G4221" s="11" t="n"/>
      <c r="H4221" s="11" t="n"/>
      <c r="I4221" s="11" t="n"/>
      <c r="J4221" s="11" t="n"/>
      <c r="K4221" s="11" t="n"/>
      <c r="L4221" s="11" t="n"/>
      <c r="M4221" s="11" t="n"/>
    </row>
    <row r="4222">
      <c r="A4222" s="11" t="n"/>
      <c r="B4222" s="11" t="n"/>
      <c r="C4222" s="11" t="n"/>
      <c r="D4222" s="11" t="n"/>
      <c r="E4222" s="11" t="n"/>
      <c r="F4222" s="11" t="n"/>
      <c r="G4222" s="11" t="n"/>
      <c r="H4222" s="11" t="n"/>
      <c r="I4222" s="11" t="n"/>
      <c r="J4222" s="11" t="n"/>
      <c r="K4222" s="11" t="n"/>
      <c r="L4222" s="11" t="n"/>
      <c r="M4222" s="11" t="n"/>
    </row>
    <row r="4223">
      <c r="A4223" s="11" t="n"/>
      <c r="B4223" s="11" t="n"/>
      <c r="C4223" s="11" t="n"/>
      <c r="D4223" s="11" t="n"/>
      <c r="E4223" s="11" t="n"/>
      <c r="F4223" s="11" t="n"/>
      <c r="G4223" s="11" t="n"/>
      <c r="H4223" s="11" t="n"/>
      <c r="I4223" s="11" t="n"/>
      <c r="J4223" s="11" t="n"/>
      <c r="K4223" s="11" t="n"/>
      <c r="L4223" s="11" t="n"/>
      <c r="M4223" s="11" t="n"/>
    </row>
    <row r="4224">
      <c r="A4224" s="11" t="n"/>
      <c r="B4224" s="11" t="n"/>
      <c r="C4224" s="11" t="n"/>
      <c r="D4224" s="11" t="n"/>
      <c r="E4224" s="11" t="n"/>
      <c r="F4224" s="11" t="n"/>
      <c r="G4224" s="11" t="n"/>
      <c r="H4224" s="11" t="n"/>
      <c r="I4224" s="11" t="n"/>
      <c r="J4224" s="11" t="n"/>
      <c r="K4224" s="11" t="n"/>
      <c r="L4224" s="11" t="n"/>
      <c r="M4224" s="11" t="n"/>
    </row>
    <row r="4225">
      <c r="A4225" s="11" t="n"/>
      <c r="B4225" s="11" t="n"/>
      <c r="C4225" s="11" t="n"/>
      <c r="D4225" s="11" t="n"/>
      <c r="E4225" s="11" t="n"/>
      <c r="F4225" s="11" t="n"/>
      <c r="G4225" s="11" t="n"/>
      <c r="H4225" s="11" t="n"/>
      <c r="I4225" s="11" t="n"/>
      <c r="J4225" s="11" t="n"/>
      <c r="K4225" s="11" t="n"/>
      <c r="L4225" s="11" t="n"/>
      <c r="M4225" s="11" t="n"/>
    </row>
    <row r="4226">
      <c r="A4226" s="11" t="n"/>
      <c r="B4226" s="11" t="n"/>
      <c r="C4226" s="11" t="n"/>
      <c r="D4226" s="11" t="n"/>
      <c r="E4226" s="11" t="n"/>
      <c r="F4226" s="11" t="n"/>
      <c r="G4226" s="11" t="n"/>
      <c r="H4226" s="11" t="n"/>
      <c r="I4226" s="11" t="n"/>
      <c r="J4226" s="11" t="n"/>
      <c r="K4226" s="11" t="n"/>
      <c r="L4226" s="11" t="n"/>
      <c r="M4226" s="11" t="n"/>
    </row>
    <row r="4227">
      <c r="A4227" s="11" t="n"/>
      <c r="B4227" s="11" t="n"/>
      <c r="C4227" s="11" t="n"/>
      <c r="D4227" s="11" t="n"/>
      <c r="E4227" s="11" t="n"/>
      <c r="F4227" s="11" t="n"/>
      <c r="G4227" s="11" t="n"/>
      <c r="H4227" s="11" t="n"/>
      <c r="I4227" s="11" t="n"/>
      <c r="J4227" s="11" t="n"/>
      <c r="K4227" s="11" t="n"/>
      <c r="L4227" s="11" t="n"/>
      <c r="M4227" s="11" t="n"/>
    </row>
    <row r="4228">
      <c r="A4228" s="11" t="n"/>
      <c r="B4228" s="11" t="n"/>
      <c r="C4228" s="11" t="n"/>
      <c r="D4228" s="11" t="n"/>
      <c r="E4228" s="11" t="n"/>
      <c r="F4228" s="11" t="n"/>
      <c r="G4228" s="11" t="n"/>
      <c r="H4228" s="11" t="n"/>
      <c r="I4228" s="11" t="n"/>
      <c r="J4228" s="11" t="n"/>
      <c r="K4228" s="11" t="n"/>
      <c r="L4228" s="11" t="n"/>
      <c r="M4228" s="11" t="n"/>
    </row>
    <row r="4229">
      <c r="A4229" s="11" t="n"/>
      <c r="B4229" s="11" t="n"/>
      <c r="C4229" s="11" t="n"/>
      <c r="D4229" s="11" t="n"/>
      <c r="E4229" s="11" t="n"/>
      <c r="F4229" s="11" t="n"/>
      <c r="G4229" s="11" t="n"/>
      <c r="H4229" s="11" t="n"/>
      <c r="I4229" s="11" t="n"/>
      <c r="J4229" s="11" t="n"/>
      <c r="K4229" s="11" t="n"/>
      <c r="L4229" s="11" t="n"/>
      <c r="M4229" s="11" t="n"/>
    </row>
    <row r="4230">
      <c r="A4230" s="11" t="n"/>
      <c r="B4230" s="11" t="n"/>
      <c r="C4230" s="11" t="n"/>
      <c r="D4230" s="11" t="n"/>
      <c r="E4230" s="11" t="n"/>
      <c r="F4230" s="11" t="n"/>
      <c r="G4230" s="11" t="n"/>
      <c r="H4230" s="11" t="n"/>
      <c r="I4230" s="11" t="n"/>
      <c r="J4230" s="11" t="n"/>
      <c r="K4230" s="11" t="n"/>
      <c r="L4230" s="11" t="n"/>
      <c r="M4230" s="11" t="n"/>
    </row>
    <row r="4231">
      <c r="A4231" s="11" t="n"/>
      <c r="B4231" s="11" t="n"/>
      <c r="C4231" s="11" t="n"/>
      <c r="D4231" s="11" t="n"/>
      <c r="E4231" s="11" t="n"/>
      <c r="F4231" s="11" t="n"/>
      <c r="G4231" s="11" t="n"/>
      <c r="H4231" s="11" t="n"/>
      <c r="I4231" s="11" t="n"/>
      <c r="J4231" s="11" t="n"/>
      <c r="K4231" s="11" t="n"/>
      <c r="L4231" s="11" t="n"/>
      <c r="M4231" s="11" t="n"/>
    </row>
    <row r="4232">
      <c r="A4232" s="11" t="n"/>
      <c r="B4232" s="11" t="n"/>
      <c r="C4232" s="11" t="n"/>
      <c r="D4232" s="11" t="n"/>
      <c r="E4232" s="11" t="n"/>
      <c r="F4232" s="11" t="n"/>
      <c r="G4232" s="11" t="n"/>
      <c r="H4232" s="11" t="n"/>
      <c r="I4232" s="11" t="n"/>
      <c r="J4232" s="11" t="n"/>
      <c r="K4232" s="11" t="n"/>
      <c r="L4232" s="11" t="n"/>
      <c r="M4232" s="11" t="n"/>
    </row>
    <row r="4233">
      <c r="A4233" s="11" t="n"/>
      <c r="B4233" s="11" t="n"/>
      <c r="C4233" s="11" t="n"/>
      <c r="D4233" s="11" t="n"/>
      <c r="E4233" s="11" t="n"/>
      <c r="F4233" s="11" t="n"/>
      <c r="G4233" s="11" t="n"/>
      <c r="H4233" s="11" t="n"/>
      <c r="I4233" s="11" t="n"/>
      <c r="J4233" s="11" t="n"/>
      <c r="K4233" s="11" t="n"/>
      <c r="L4233" s="11" t="n"/>
      <c r="M4233" s="11" t="n"/>
    </row>
    <row r="4234">
      <c r="A4234" s="11" t="n"/>
      <c r="B4234" s="11" t="n"/>
      <c r="C4234" s="11" t="n"/>
      <c r="D4234" s="11" t="n"/>
      <c r="E4234" s="11" t="n"/>
      <c r="F4234" s="11" t="n"/>
      <c r="G4234" s="11" t="n"/>
      <c r="H4234" s="11" t="n"/>
      <c r="I4234" s="11" t="n"/>
      <c r="J4234" s="11" t="n"/>
      <c r="K4234" s="11" t="n"/>
      <c r="L4234" s="11" t="n"/>
      <c r="M4234" s="11" t="n"/>
    </row>
    <row r="4235">
      <c r="A4235" s="11" t="n"/>
      <c r="B4235" s="11" t="n"/>
      <c r="C4235" s="11" t="n"/>
      <c r="D4235" s="11" t="n"/>
      <c r="E4235" s="11" t="n"/>
      <c r="F4235" s="11" t="n"/>
      <c r="G4235" s="11" t="n"/>
      <c r="H4235" s="11" t="n"/>
      <c r="I4235" s="11" t="n"/>
      <c r="J4235" s="11" t="n"/>
      <c r="K4235" s="11" t="n"/>
      <c r="L4235" s="11" t="n"/>
      <c r="M4235" s="11" t="n"/>
    </row>
    <row r="4236">
      <c r="A4236" s="11" t="n"/>
      <c r="B4236" s="11" t="n"/>
      <c r="C4236" s="11" t="n"/>
      <c r="D4236" s="11" t="n"/>
      <c r="E4236" s="11" t="n"/>
      <c r="F4236" s="11" t="n"/>
      <c r="G4236" s="11" t="n"/>
      <c r="H4236" s="11" t="n"/>
      <c r="I4236" s="11" t="n"/>
      <c r="J4236" s="11" t="n"/>
      <c r="K4236" s="11" t="n"/>
      <c r="L4236" s="11" t="n"/>
      <c r="M4236" s="11" t="n"/>
    </row>
    <row r="4237">
      <c r="A4237" s="11" t="n"/>
      <c r="B4237" s="11" t="n"/>
      <c r="C4237" s="11" t="n"/>
      <c r="D4237" s="11" t="n"/>
      <c r="E4237" s="11" t="n"/>
      <c r="F4237" s="11" t="n"/>
      <c r="G4237" s="11" t="n"/>
      <c r="H4237" s="11" t="n"/>
      <c r="I4237" s="11" t="n"/>
      <c r="J4237" s="11" t="n"/>
      <c r="K4237" s="11" t="n"/>
      <c r="L4237" s="11" t="n"/>
      <c r="M4237" s="11" t="n"/>
    </row>
    <row r="4238">
      <c r="A4238" s="11" t="n"/>
      <c r="B4238" s="11" t="n"/>
      <c r="C4238" s="11" t="n"/>
      <c r="D4238" s="11" t="n"/>
      <c r="E4238" s="11" t="n"/>
      <c r="F4238" s="11" t="n"/>
      <c r="G4238" s="11" t="n"/>
      <c r="H4238" s="11" t="n"/>
      <c r="I4238" s="11" t="n"/>
      <c r="J4238" s="11" t="n"/>
      <c r="K4238" s="11" t="n"/>
      <c r="L4238" s="11" t="n"/>
      <c r="M4238" s="11" t="n"/>
    </row>
    <row r="4239">
      <c r="A4239" s="11" t="n"/>
      <c r="B4239" s="11" t="n"/>
      <c r="C4239" s="11" t="n"/>
      <c r="D4239" s="11" t="n"/>
      <c r="E4239" s="11" t="n"/>
      <c r="F4239" s="11" t="n"/>
      <c r="G4239" s="11" t="n"/>
      <c r="H4239" s="11" t="n"/>
      <c r="I4239" s="11" t="n"/>
      <c r="J4239" s="11" t="n"/>
      <c r="K4239" s="11" t="n"/>
      <c r="L4239" s="11" t="n"/>
      <c r="M4239" s="11" t="n"/>
    </row>
    <row r="4240">
      <c r="A4240" s="11" t="n"/>
      <c r="B4240" s="11" t="n"/>
      <c r="C4240" s="11" t="n"/>
      <c r="D4240" s="11" t="n"/>
      <c r="E4240" s="11" t="n"/>
      <c r="F4240" s="11" t="n"/>
      <c r="G4240" s="11" t="n"/>
      <c r="H4240" s="11" t="n"/>
      <c r="I4240" s="11" t="n"/>
      <c r="J4240" s="11" t="n"/>
      <c r="K4240" s="11" t="n"/>
      <c r="L4240" s="11" t="n"/>
      <c r="M4240" s="11" t="n"/>
    </row>
    <row r="4241">
      <c r="A4241" s="11" t="n"/>
      <c r="B4241" s="11" t="n"/>
      <c r="C4241" s="11" t="n"/>
      <c r="D4241" s="11" t="n"/>
      <c r="E4241" s="11" t="n"/>
      <c r="F4241" s="11" t="n"/>
      <c r="G4241" s="11" t="n"/>
      <c r="H4241" s="11" t="n"/>
      <c r="I4241" s="11" t="n"/>
      <c r="J4241" s="11" t="n"/>
      <c r="K4241" s="11" t="n"/>
      <c r="L4241" s="11" t="n"/>
      <c r="M4241" s="11" t="n"/>
    </row>
    <row r="4242">
      <c r="A4242" s="11" t="n"/>
      <c r="B4242" s="11" t="n"/>
      <c r="C4242" s="11" t="n"/>
      <c r="D4242" s="11" t="n"/>
      <c r="E4242" s="11" t="n"/>
      <c r="F4242" s="11" t="n"/>
      <c r="G4242" s="11" t="n"/>
      <c r="H4242" s="11" t="n"/>
      <c r="I4242" s="11" t="n"/>
      <c r="J4242" s="11" t="n"/>
      <c r="K4242" s="11" t="n"/>
      <c r="L4242" s="11" t="n"/>
      <c r="M4242" s="11" t="n"/>
    </row>
    <row r="4243">
      <c r="A4243" s="11" t="n"/>
      <c r="B4243" s="11" t="n"/>
      <c r="C4243" s="11" t="n"/>
      <c r="D4243" s="11" t="n"/>
      <c r="E4243" s="11" t="n"/>
      <c r="F4243" s="11" t="n"/>
      <c r="G4243" s="11" t="n"/>
      <c r="H4243" s="11" t="n"/>
      <c r="I4243" s="11" t="n"/>
      <c r="J4243" s="11" t="n"/>
      <c r="K4243" s="11" t="n"/>
      <c r="L4243" s="11" t="n"/>
      <c r="M4243" s="11" t="n"/>
    </row>
    <row r="4244">
      <c r="A4244" s="11" t="n"/>
      <c r="B4244" s="11" t="n"/>
      <c r="C4244" s="11" t="n"/>
      <c r="D4244" s="11" t="n"/>
      <c r="E4244" s="11" t="n"/>
      <c r="F4244" s="11" t="n"/>
      <c r="G4244" s="11" t="n"/>
      <c r="H4244" s="11" t="n"/>
      <c r="I4244" s="11" t="n"/>
      <c r="J4244" s="11" t="n"/>
      <c r="K4244" s="11" t="n"/>
      <c r="L4244" s="11" t="n"/>
      <c r="M4244" s="11" t="n"/>
    </row>
    <row r="4245">
      <c r="A4245" s="11" t="n"/>
      <c r="B4245" s="11" t="n"/>
      <c r="C4245" s="11" t="n"/>
      <c r="D4245" s="11" t="n"/>
      <c r="E4245" s="11" t="n"/>
      <c r="F4245" s="11" t="n"/>
      <c r="G4245" s="11" t="n"/>
      <c r="H4245" s="11" t="n"/>
      <c r="I4245" s="11" t="n"/>
      <c r="J4245" s="11" t="n"/>
      <c r="K4245" s="11" t="n"/>
      <c r="L4245" s="11" t="n"/>
      <c r="M4245" s="11" t="n"/>
    </row>
    <row r="4246">
      <c r="A4246" s="11" t="n"/>
      <c r="B4246" s="11" t="n"/>
      <c r="C4246" s="11" t="n"/>
      <c r="D4246" s="11" t="n"/>
      <c r="E4246" s="11" t="n"/>
      <c r="F4246" s="11" t="n"/>
      <c r="G4246" s="11" t="n"/>
      <c r="H4246" s="11" t="n"/>
      <c r="I4246" s="11" t="n"/>
      <c r="J4246" s="11" t="n"/>
      <c r="K4246" s="11" t="n"/>
      <c r="L4246" s="11" t="n"/>
      <c r="M4246" s="11" t="n"/>
    </row>
    <row r="4247">
      <c r="A4247" s="11" t="n"/>
      <c r="B4247" s="11" t="n"/>
      <c r="C4247" s="11" t="n"/>
      <c r="D4247" s="11" t="n"/>
      <c r="E4247" s="11" t="n"/>
      <c r="F4247" s="11" t="n"/>
      <c r="G4247" s="11" t="n"/>
      <c r="H4247" s="11" t="n"/>
      <c r="I4247" s="11" t="n"/>
      <c r="J4247" s="11" t="n"/>
      <c r="K4247" s="11" t="n"/>
      <c r="L4247" s="11" t="n"/>
      <c r="M4247" s="11" t="n"/>
    </row>
    <row r="4248">
      <c r="A4248" s="11" t="n"/>
      <c r="B4248" s="11" t="n"/>
      <c r="C4248" s="11" t="n"/>
      <c r="D4248" s="11" t="n"/>
      <c r="E4248" s="11" t="n"/>
      <c r="F4248" s="11" t="n"/>
      <c r="G4248" s="11" t="n"/>
      <c r="H4248" s="11" t="n"/>
      <c r="I4248" s="11" t="n"/>
      <c r="J4248" s="11" t="n"/>
      <c r="K4248" s="11" t="n"/>
      <c r="L4248" s="11" t="n"/>
      <c r="M4248" s="11" t="n"/>
    </row>
    <row r="4249">
      <c r="A4249" s="11" t="n"/>
      <c r="B4249" s="11" t="n"/>
      <c r="C4249" s="11" t="n"/>
      <c r="D4249" s="11" t="n"/>
      <c r="E4249" s="11" t="n"/>
      <c r="F4249" s="11" t="n"/>
      <c r="G4249" s="11" t="n"/>
      <c r="H4249" s="11" t="n"/>
      <c r="I4249" s="11" t="n"/>
      <c r="J4249" s="11" t="n"/>
      <c r="K4249" s="11" t="n"/>
      <c r="L4249" s="11" t="n"/>
      <c r="M4249" s="11" t="n"/>
    </row>
    <row r="4250">
      <c r="A4250" s="11" t="n"/>
      <c r="B4250" s="11" t="n"/>
      <c r="C4250" s="11" t="n"/>
      <c r="D4250" s="11" t="n"/>
      <c r="E4250" s="11" t="n"/>
      <c r="F4250" s="11" t="n"/>
      <c r="G4250" s="11" t="n"/>
      <c r="H4250" s="11" t="n"/>
      <c r="I4250" s="11" t="n"/>
      <c r="J4250" s="11" t="n"/>
      <c r="K4250" s="11" t="n"/>
      <c r="L4250" s="11" t="n"/>
      <c r="M4250" s="11" t="n"/>
    </row>
    <row r="4251">
      <c r="A4251" s="11" t="n"/>
      <c r="B4251" s="11" t="n"/>
      <c r="C4251" s="11" t="n"/>
      <c r="D4251" s="11" t="n"/>
      <c r="E4251" s="11" t="n"/>
      <c r="F4251" s="11" t="n"/>
      <c r="G4251" s="11" t="n"/>
      <c r="H4251" s="11" t="n"/>
      <c r="I4251" s="11" t="n"/>
      <c r="J4251" s="11" t="n"/>
      <c r="K4251" s="11" t="n"/>
      <c r="L4251" s="11" t="n"/>
      <c r="M4251" s="11" t="n"/>
    </row>
    <row r="4252">
      <c r="A4252" s="11" t="n"/>
      <c r="B4252" s="11" t="n"/>
      <c r="C4252" s="11" t="n"/>
      <c r="D4252" s="11" t="n"/>
      <c r="E4252" s="11" t="n"/>
      <c r="F4252" s="11" t="n"/>
      <c r="G4252" s="11" t="n"/>
      <c r="H4252" s="11" t="n"/>
      <c r="I4252" s="11" t="n"/>
      <c r="J4252" s="11" t="n"/>
      <c r="K4252" s="11" t="n"/>
      <c r="L4252" s="11" t="n"/>
      <c r="M4252" s="11" t="n"/>
    </row>
    <row r="4253">
      <c r="A4253" s="11" t="n"/>
      <c r="B4253" s="11" t="n"/>
      <c r="C4253" s="11" t="n"/>
      <c r="D4253" s="11" t="n"/>
      <c r="E4253" s="11" t="n"/>
      <c r="F4253" s="11" t="n"/>
      <c r="G4253" s="11" t="n"/>
      <c r="H4253" s="11" t="n"/>
      <c r="I4253" s="11" t="n"/>
      <c r="J4253" s="11" t="n"/>
      <c r="K4253" s="11" t="n"/>
      <c r="L4253" s="11" t="n"/>
      <c r="M4253" s="11" t="n"/>
    </row>
    <row r="4254">
      <c r="A4254" s="11" t="n"/>
      <c r="B4254" s="11" t="n"/>
      <c r="C4254" s="11" t="n"/>
      <c r="D4254" s="11" t="n"/>
      <c r="E4254" s="11" t="n"/>
      <c r="F4254" s="11" t="n"/>
      <c r="G4254" s="11" t="n"/>
      <c r="H4254" s="11" t="n"/>
      <c r="I4254" s="11" t="n"/>
      <c r="J4254" s="11" t="n"/>
      <c r="K4254" s="11" t="n"/>
      <c r="L4254" s="11" t="n"/>
      <c r="M4254" s="11" t="n"/>
    </row>
    <row r="4255">
      <c r="A4255" s="11" t="n"/>
      <c r="B4255" s="11" t="n"/>
      <c r="C4255" s="11" t="n"/>
      <c r="D4255" s="11" t="n"/>
      <c r="E4255" s="11" t="n"/>
      <c r="F4255" s="11" t="n"/>
      <c r="G4255" s="11" t="n"/>
      <c r="H4255" s="11" t="n"/>
      <c r="I4255" s="11" t="n"/>
      <c r="J4255" s="11" t="n"/>
      <c r="K4255" s="11" t="n"/>
      <c r="L4255" s="11" t="n"/>
      <c r="M4255" s="11" t="n"/>
    </row>
    <row r="4256">
      <c r="A4256" s="11" t="n"/>
      <c r="B4256" s="11" t="n"/>
      <c r="C4256" s="11" t="n"/>
      <c r="D4256" s="11" t="n"/>
      <c r="E4256" s="11" t="n"/>
      <c r="F4256" s="11" t="n"/>
      <c r="G4256" s="11" t="n"/>
      <c r="H4256" s="11" t="n"/>
      <c r="I4256" s="11" t="n"/>
      <c r="J4256" s="11" t="n"/>
      <c r="K4256" s="11" t="n"/>
      <c r="L4256" s="11" t="n"/>
      <c r="M4256" s="11" t="n"/>
    </row>
    <row r="4257">
      <c r="A4257" s="11" t="n"/>
      <c r="B4257" s="11" t="n"/>
      <c r="C4257" s="11" t="n"/>
      <c r="D4257" s="11" t="n"/>
      <c r="E4257" s="11" t="n"/>
      <c r="F4257" s="11" t="n"/>
      <c r="G4257" s="11" t="n"/>
      <c r="H4257" s="11" t="n"/>
      <c r="I4257" s="11" t="n"/>
      <c r="J4257" s="11" t="n"/>
      <c r="K4257" s="11" t="n"/>
      <c r="L4257" s="11" t="n"/>
      <c r="M4257" s="11" t="n"/>
    </row>
    <row r="4258">
      <c r="A4258" s="11" t="n"/>
      <c r="B4258" s="11" t="n"/>
      <c r="C4258" s="11" t="n"/>
      <c r="D4258" s="11" t="n"/>
      <c r="E4258" s="11" t="n"/>
      <c r="F4258" s="11" t="n"/>
      <c r="G4258" s="11" t="n"/>
      <c r="H4258" s="11" t="n"/>
      <c r="I4258" s="11" t="n"/>
      <c r="J4258" s="11" t="n"/>
      <c r="K4258" s="11" t="n"/>
      <c r="L4258" s="11" t="n"/>
      <c r="M4258" s="11" t="n"/>
    </row>
    <row r="4259">
      <c r="A4259" s="11" t="n"/>
      <c r="B4259" s="11" t="n"/>
      <c r="C4259" s="11" t="n"/>
      <c r="D4259" s="11" t="n"/>
      <c r="E4259" s="11" t="n"/>
      <c r="F4259" s="11" t="n"/>
      <c r="G4259" s="11" t="n"/>
      <c r="H4259" s="11" t="n"/>
      <c r="I4259" s="11" t="n"/>
      <c r="J4259" s="11" t="n"/>
      <c r="K4259" s="11" t="n"/>
      <c r="L4259" s="11" t="n"/>
      <c r="M4259" s="11" t="n"/>
    </row>
    <row r="4260">
      <c r="A4260" s="11" t="n"/>
      <c r="B4260" s="11" t="n"/>
      <c r="C4260" s="11" t="n"/>
      <c r="D4260" s="11" t="n"/>
      <c r="E4260" s="11" t="n"/>
      <c r="F4260" s="11" t="n"/>
      <c r="G4260" s="11" t="n"/>
      <c r="H4260" s="11" t="n"/>
      <c r="I4260" s="11" t="n"/>
      <c r="J4260" s="11" t="n"/>
      <c r="K4260" s="11" t="n"/>
      <c r="L4260" s="11" t="n"/>
      <c r="M4260" s="11" t="n"/>
    </row>
    <row r="4261">
      <c r="A4261" s="11" t="n"/>
      <c r="B4261" s="11" t="n"/>
      <c r="C4261" s="11" t="n"/>
      <c r="D4261" s="11" t="n"/>
      <c r="E4261" s="11" t="n"/>
      <c r="F4261" s="11" t="n"/>
      <c r="G4261" s="11" t="n"/>
      <c r="H4261" s="11" t="n"/>
      <c r="I4261" s="11" t="n"/>
      <c r="J4261" s="11" t="n"/>
      <c r="K4261" s="11" t="n"/>
      <c r="L4261" s="11" t="n"/>
      <c r="M4261" s="11" t="n"/>
    </row>
    <row r="4262">
      <c r="A4262" s="11" t="n"/>
      <c r="B4262" s="11" t="n"/>
      <c r="C4262" s="11" t="n"/>
      <c r="D4262" s="11" t="n"/>
      <c r="E4262" s="11" t="n"/>
      <c r="F4262" s="11" t="n"/>
      <c r="G4262" s="11" t="n"/>
      <c r="H4262" s="11" t="n"/>
      <c r="I4262" s="11" t="n"/>
      <c r="J4262" s="11" t="n"/>
      <c r="K4262" s="11" t="n"/>
      <c r="L4262" s="11" t="n"/>
      <c r="M4262" s="11" t="n"/>
    </row>
    <row r="4263">
      <c r="A4263" s="11" t="n"/>
      <c r="B4263" s="11" t="n"/>
      <c r="C4263" s="11" t="n"/>
      <c r="D4263" s="11" t="n"/>
      <c r="E4263" s="11" t="n"/>
      <c r="F4263" s="11" t="n"/>
      <c r="G4263" s="11" t="n"/>
      <c r="H4263" s="11" t="n"/>
      <c r="I4263" s="11" t="n"/>
      <c r="J4263" s="11" t="n"/>
      <c r="K4263" s="11" t="n"/>
      <c r="L4263" s="11" t="n"/>
      <c r="M4263" s="11" t="n"/>
    </row>
    <row r="4264">
      <c r="A4264" s="11" t="n"/>
      <c r="B4264" s="11" t="n"/>
      <c r="C4264" s="11" t="n"/>
      <c r="D4264" s="11" t="n"/>
      <c r="E4264" s="11" t="n"/>
      <c r="F4264" s="11" t="n"/>
      <c r="G4264" s="11" t="n"/>
      <c r="H4264" s="11" t="n"/>
      <c r="I4264" s="11" t="n"/>
      <c r="J4264" s="11" t="n"/>
      <c r="K4264" s="11" t="n"/>
      <c r="L4264" s="11" t="n"/>
      <c r="M4264" s="11" t="n"/>
    </row>
    <row r="4265">
      <c r="A4265" s="11" t="n"/>
      <c r="B4265" s="11" t="n"/>
      <c r="C4265" s="11" t="n"/>
      <c r="D4265" s="11" t="n"/>
      <c r="E4265" s="11" t="n"/>
      <c r="F4265" s="11" t="n"/>
      <c r="G4265" s="11" t="n"/>
      <c r="H4265" s="11" t="n"/>
      <c r="I4265" s="11" t="n"/>
      <c r="J4265" s="11" t="n"/>
      <c r="K4265" s="11" t="n"/>
      <c r="L4265" s="11" t="n"/>
      <c r="M4265" s="11" t="n"/>
    </row>
    <row r="4266">
      <c r="A4266" s="11" t="n"/>
      <c r="B4266" s="11" t="n"/>
      <c r="C4266" s="11" t="n"/>
      <c r="D4266" s="11" t="n"/>
      <c r="E4266" s="11" t="n"/>
      <c r="F4266" s="11" t="n"/>
      <c r="G4266" s="11" t="n"/>
      <c r="H4266" s="11" t="n"/>
      <c r="I4266" s="11" t="n"/>
      <c r="J4266" s="11" t="n"/>
      <c r="K4266" s="11" t="n"/>
      <c r="L4266" s="11" t="n"/>
      <c r="M4266" s="11" t="n"/>
    </row>
    <row r="4267">
      <c r="A4267" s="11" t="n"/>
      <c r="B4267" s="11" t="n"/>
      <c r="C4267" s="11" t="n"/>
      <c r="D4267" s="11" t="n"/>
      <c r="E4267" s="11" t="n"/>
      <c r="F4267" s="11" t="n"/>
      <c r="G4267" s="11" t="n"/>
      <c r="H4267" s="11" t="n"/>
      <c r="I4267" s="11" t="n"/>
      <c r="J4267" s="11" t="n"/>
      <c r="K4267" s="11" t="n"/>
      <c r="L4267" s="11" t="n"/>
      <c r="M4267" s="11" t="n"/>
    </row>
    <row r="4268">
      <c r="A4268" s="11" t="n"/>
      <c r="B4268" s="11" t="n"/>
      <c r="C4268" s="11" t="n"/>
      <c r="D4268" s="11" t="n"/>
      <c r="E4268" s="11" t="n"/>
      <c r="F4268" s="11" t="n"/>
      <c r="G4268" s="11" t="n"/>
      <c r="H4268" s="11" t="n"/>
      <c r="I4268" s="11" t="n"/>
      <c r="J4268" s="11" t="n"/>
      <c r="K4268" s="11" t="n"/>
      <c r="L4268" s="11" t="n"/>
      <c r="M4268" s="11" t="n"/>
    </row>
    <row r="4269">
      <c r="A4269" s="11" t="n"/>
      <c r="B4269" s="11" t="n"/>
      <c r="C4269" s="11" t="n"/>
      <c r="D4269" s="11" t="n"/>
      <c r="E4269" s="11" t="n"/>
      <c r="F4269" s="11" t="n"/>
      <c r="G4269" s="11" t="n"/>
      <c r="H4269" s="11" t="n"/>
      <c r="I4269" s="11" t="n"/>
      <c r="J4269" s="11" t="n"/>
      <c r="K4269" s="11" t="n"/>
      <c r="L4269" s="11" t="n"/>
      <c r="M4269" s="11" t="n"/>
    </row>
    <row r="4270">
      <c r="A4270" s="11" t="n"/>
      <c r="B4270" s="11" t="n"/>
      <c r="C4270" s="11" t="n"/>
      <c r="D4270" s="11" t="n"/>
      <c r="E4270" s="11" t="n"/>
      <c r="F4270" s="11" t="n"/>
      <c r="G4270" s="11" t="n"/>
      <c r="H4270" s="11" t="n"/>
      <c r="I4270" s="11" t="n"/>
      <c r="J4270" s="11" t="n"/>
      <c r="K4270" s="11" t="n"/>
      <c r="L4270" s="11" t="n"/>
      <c r="M4270" s="11" t="n"/>
    </row>
    <row r="4271">
      <c r="A4271" s="11" t="n"/>
      <c r="B4271" s="11" t="n"/>
      <c r="C4271" s="11" t="n"/>
      <c r="D4271" s="11" t="n"/>
      <c r="E4271" s="11" t="n"/>
      <c r="F4271" s="11" t="n"/>
      <c r="G4271" s="11" t="n"/>
      <c r="H4271" s="11" t="n"/>
      <c r="I4271" s="11" t="n"/>
      <c r="J4271" s="11" t="n"/>
      <c r="K4271" s="11" t="n"/>
      <c r="L4271" s="11" t="n"/>
      <c r="M4271" s="11" t="n"/>
    </row>
    <row r="4272">
      <c r="A4272" s="11" t="n"/>
      <c r="B4272" s="11" t="n"/>
      <c r="C4272" s="11" t="n"/>
      <c r="D4272" s="11" t="n"/>
      <c r="E4272" s="11" t="n"/>
      <c r="F4272" s="11" t="n"/>
      <c r="G4272" s="11" t="n"/>
      <c r="H4272" s="11" t="n"/>
      <c r="I4272" s="11" t="n"/>
      <c r="J4272" s="11" t="n"/>
      <c r="K4272" s="11" t="n"/>
      <c r="L4272" s="11" t="n"/>
      <c r="M4272" s="11" t="n"/>
    </row>
    <row r="4273">
      <c r="A4273" s="11" t="n"/>
      <c r="B4273" s="11" t="n"/>
      <c r="C4273" s="11" t="n"/>
      <c r="D4273" s="11" t="n"/>
      <c r="E4273" s="11" t="n"/>
      <c r="F4273" s="11" t="n"/>
      <c r="G4273" s="11" t="n"/>
      <c r="H4273" s="11" t="n"/>
      <c r="I4273" s="11" t="n"/>
      <c r="J4273" s="11" t="n"/>
      <c r="K4273" s="11" t="n"/>
      <c r="L4273" s="11" t="n"/>
      <c r="M4273" s="11" t="n"/>
    </row>
    <row r="4274">
      <c r="A4274" s="11" t="n"/>
      <c r="B4274" s="11" t="n"/>
      <c r="C4274" s="11" t="n"/>
      <c r="D4274" s="11" t="n"/>
      <c r="E4274" s="11" t="n"/>
      <c r="F4274" s="11" t="n"/>
      <c r="G4274" s="11" t="n"/>
      <c r="H4274" s="11" t="n"/>
      <c r="I4274" s="11" t="n"/>
      <c r="J4274" s="11" t="n"/>
      <c r="K4274" s="11" t="n"/>
      <c r="L4274" s="11" t="n"/>
      <c r="M4274" s="11" t="n"/>
    </row>
    <row r="4275">
      <c r="A4275" s="11" t="n"/>
      <c r="B4275" s="11" t="n"/>
      <c r="C4275" s="11" t="n"/>
      <c r="D4275" s="11" t="n"/>
      <c r="E4275" s="11" t="n"/>
      <c r="F4275" s="11" t="n"/>
      <c r="G4275" s="11" t="n"/>
      <c r="H4275" s="11" t="n"/>
      <c r="I4275" s="11" t="n"/>
      <c r="J4275" s="11" t="n"/>
      <c r="K4275" s="11" t="n"/>
      <c r="L4275" s="11" t="n"/>
      <c r="M4275" s="11" t="n"/>
    </row>
    <row r="4276">
      <c r="A4276" s="11" t="n"/>
      <c r="B4276" s="11" t="n"/>
      <c r="C4276" s="11" t="n"/>
      <c r="D4276" s="11" t="n"/>
      <c r="E4276" s="11" t="n"/>
      <c r="F4276" s="11" t="n"/>
      <c r="G4276" s="11" t="n"/>
      <c r="H4276" s="11" t="n"/>
      <c r="I4276" s="11" t="n"/>
      <c r="J4276" s="11" t="n"/>
      <c r="K4276" s="11" t="n"/>
      <c r="L4276" s="11" t="n"/>
      <c r="M4276" s="11" t="n"/>
    </row>
    <row r="4277">
      <c r="A4277" s="11" t="n"/>
      <c r="B4277" s="11" t="n"/>
      <c r="C4277" s="11" t="n"/>
      <c r="D4277" s="11" t="n"/>
      <c r="E4277" s="11" t="n"/>
      <c r="F4277" s="11" t="n"/>
      <c r="G4277" s="11" t="n"/>
      <c r="H4277" s="11" t="n"/>
      <c r="I4277" s="11" t="n"/>
      <c r="J4277" s="11" t="n"/>
      <c r="K4277" s="11" t="n"/>
      <c r="L4277" s="11" t="n"/>
      <c r="M4277" s="11" t="n"/>
    </row>
    <row r="4278">
      <c r="A4278" s="11" t="n"/>
      <c r="B4278" s="11" t="n"/>
      <c r="C4278" s="11" t="n"/>
      <c r="D4278" s="11" t="n"/>
      <c r="E4278" s="11" t="n"/>
      <c r="F4278" s="11" t="n"/>
      <c r="G4278" s="11" t="n"/>
      <c r="H4278" s="11" t="n"/>
      <c r="I4278" s="11" t="n"/>
      <c r="J4278" s="11" t="n"/>
      <c r="K4278" s="11" t="n"/>
      <c r="L4278" s="11" t="n"/>
      <c r="M4278" s="11" t="n"/>
    </row>
    <row r="4279">
      <c r="A4279" s="11" t="n"/>
      <c r="B4279" s="11" t="n"/>
      <c r="C4279" s="11" t="n"/>
      <c r="D4279" s="11" t="n"/>
      <c r="E4279" s="11" t="n"/>
      <c r="F4279" s="11" t="n"/>
      <c r="G4279" s="11" t="n"/>
      <c r="H4279" s="11" t="n"/>
      <c r="I4279" s="11" t="n"/>
      <c r="J4279" s="11" t="n"/>
      <c r="K4279" s="11" t="n"/>
      <c r="L4279" s="11" t="n"/>
      <c r="M4279" s="11" t="n"/>
    </row>
    <row r="4280">
      <c r="A4280" s="11" t="n"/>
      <c r="B4280" s="11" t="n"/>
      <c r="C4280" s="11" t="n"/>
      <c r="D4280" s="11" t="n"/>
      <c r="E4280" s="11" t="n"/>
      <c r="F4280" s="11" t="n"/>
      <c r="G4280" s="11" t="n"/>
      <c r="H4280" s="11" t="n"/>
      <c r="I4280" s="11" t="n"/>
      <c r="J4280" s="11" t="n"/>
      <c r="K4280" s="11" t="n"/>
      <c r="L4280" s="11" t="n"/>
      <c r="M4280" s="11" t="n"/>
    </row>
    <row r="4281">
      <c r="A4281" s="11" t="n"/>
      <c r="B4281" s="11" t="n"/>
      <c r="C4281" s="11" t="n"/>
      <c r="D4281" s="11" t="n"/>
      <c r="E4281" s="11" t="n"/>
      <c r="F4281" s="11" t="n"/>
      <c r="G4281" s="11" t="n"/>
      <c r="H4281" s="11" t="n"/>
      <c r="I4281" s="11" t="n"/>
      <c r="J4281" s="11" t="n"/>
      <c r="K4281" s="11" t="n"/>
      <c r="L4281" s="11" t="n"/>
      <c r="M4281" s="11" t="n"/>
    </row>
    <row r="4282">
      <c r="A4282" s="11" t="n"/>
      <c r="B4282" s="11" t="n"/>
      <c r="C4282" s="11" t="n"/>
      <c r="D4282" s="11" t="n"/>
      <c r="E4282" s="11" t="n"/>
      <c r="F4282" s="11" t="n"/>
      <c r="G4282" s="11" t="n"/>
      <c r="H4282" s="11" t="n"/>
      <c r="I4282" s="11" t="n"/>
      <c r="J4282" s="11" t="n"/>
      <c r="K4282" s="11" t="n"/>
      <c r="L4282" s="11" t="n"/>
      <c r="M4282" s="11" t="n"/>
    </row>
    <row r="4283">
      <c r="A4283" s="11" t="n"/>
      <c r="B4283" s="11" t="n"/>
      <c r="C4283" s="11" t="n"/>
      <c r="D4283" s="11" t="n"/>
      <c r="E4283" s="11" t="n"/>
      <c r="F4283" s="11" t="n"/>
      <c r="G4283" s="11" t="n"/>
      <c r="H4283" s="11" t="n"/>
      <c r="I4283" s="11" t="n"/>
      <c r="J4283" s="11" t="n"/>
      <c r="K4283" s="11" t="n"/>
      <c r="L4283" s="11" t="n"/>
      <c r="M4283" s="11" t="n"/>
    </row>
    <row r="4284">
      <c r="A4284" s="11" t="n"/>
      <c r="B4284" s="11" t="n"/>
      <c r="C4284" s="11" t="n"/>
      <c r="D4284" s="11" t="n"/>
      <c r="E4284" s="11" t="n"/>
      <c r="F4284" s="11" t="n"/>
      <c r="G4284" s="11" t="n"/>
      <c r="H4284" s="11" t="n"/>
      <c r="I4284" s="11" t="n"/>
      <c r="J4284" s="11" t="n"/>
      <c r="K4284" s="11" t="n"/>
      <c r="L4284" s="11" t="n"/>
      <c r="M4284" s="11" t="n"/>
    </row>
    <row r="4285">
      <c r="A4285" s="11" t="n"/>
      <c r="B4285" s="11" t="n"/>
      <c r="C4285" s="11" t="n"/>
      <c r="D4285" s="11" t="n"/>
      <c r="E4285" s="11" t="n"/>
      <c r="F4285" s="11" t="n"/>
      <c r="G4285" s="11" t="n"/>
      <c r="H4285" s="11" t="n"/>
      <c r="I4285" s="11" t="n"/>
      <c r="J4285" s="11" t="n"/>
      <c r="K4285" s="11" t="n"/>
      <c r="L4285" s="11" t="n"/>
      <c r="M4285" s="11" t="n"/>
    </row>
    <row r="4286">
      <c r="A4286" s="11" t="n"/>
      <c r="B4286" s="11" t="n"/>
      <c r="C4286" s="11" t="n"/>
      <c r="D4286" s="11" t="n"/>
      <c r="E4286" s="11" t="n"/>
      <c r="F4286" s="11" t="n"/>
      <c r="G4286" s="11" t="n"/>
      <c r="H4286" s="11" t="n"/>
      <c r="I4286" s="11" t="n"/>
      <c r="J4286" s="11" t="n"/>
      <c r="K4286" s="11" t="n"/>
      <c r="L4286" s="11" t="n"/>
      <c r="M4286" s="11" t="n"/>
    </row>
    <row r="4287">
      <c r="A4287" s="11" t="n"/>
      <c r="B4287" s="11" t="n"/>
      <c r="C4287" s="11" t="n"/>
      <c r="D4287" s="11" t="n"/>
      <c r="E4287" s="11" t="n"/>
      <c r="F4287" s="11" t="n"/>
      <c r="G4287" s="11" t="n"/>
      <c r="H4287" s="11" t="n"/>
      <c r="I4287" s="11" t="n"/>
      <c r="J4287" s="11" t="n"/>
      <c r="K4287" s="11" t="n"/>
      <c r="L4287" s="11" t="n"/>
      <c r="M4287" s="11" t="n"/>
    </row>
    <row r="4288">
      <c r="A4288" s="11" t="n"/>
      <c r="B4288" s="11" t="n"/>
      <c r="C4288" s="11" t="n"/>
      <c r="D4288" s="11" t="n"/>
      <c r="E4288" s="11" t="n"/>
      <c r="F4288" s="11" t="n"/>
      <c r="G4288" s="11" t="n"/>
      <c r="H4288" s="11" t="n"/>
      <c r="I4288" s="11" t="n"/>
      <c r="J4288" s="11" t="n"/>
      <c r="K4288" s="11" t="n"/>
      <c r="L4288" s="11" t="n"/>
      <c r="M4288" s="11" t="n"/>
    </row>
    <row r="4289">
      <c r="A4289" s="11" t="n"/>
      <c r="B4289" s="11" t="n"/>
      <c r="C4289" s="11" t="n"/>
      <c r="D4289" s="11" t="n"/>
      <c r="E4289" s="11" t="n"/>
      <c r="F4289" s="11" t="n"/>
      <c r="G4289" s="11" t="n"/>
      <c r="H4289" s="11" t="n"/>
      <c r="I4289" s="11" t="n"/>
      <c r="J4289" s="11" t="n"/>
      <c r="K4289" s="11" t="n"/>
      <c r="L4289" s="11" t="n"/>
      <c r="M4289" s="11" t="n"/>
    </row>
    <row r="4290">
      <c r="A4290" s="11" t="n"/>
      <c r="B4290" s="11" t="n"/>
      <c r="C4290" s="11" t="n"/>
      <c r="D4290" s="11" t="n"/>
      <c r="E4290" s="11" t="n"/>
      <c r="F4290" s="11" t="n"/>
      <c r="G4290" s="11" t="n"/>
      <c r="H4290" s="11" t="n"/>
      <c r="I4290" s="11" t="n"/>
      <c r="J4290" s="11" t="n"/>
      <c r="K4290" s="11" t="n"/>
      <c r="L4290" s="11" t="n"/>
      <c r="M4290" s="11" t="n"/>
    </row>
    <row r="4291">
      <c r="A4291" s="11" t="n"/>
      <c r="B4291" s="11" t="n"/>
      <c r="C4291" s="11" t="n"/>
      <c r="D4291" s="11" t="n"/>
      <c r="E4291" s="11" t="n"/>
      <c r="F4291" s="11" t="n"/>
      <c r="G4291" s="11" t="n"/>
      <c r="H4291" s="11" t="n"/>
      <c r="I4291" s="11" t="n"/>
      <c r="J4291" s="11" t="n"/>
      <c r="K4291" s="11" t="n"/>
      <c r="L4291" s="11" t="n"/>
      <c r="M4291" s="11" t="n"/>
    </row>
    <row r="4292">
      <c r="A4292" s="11" t="n"/>
      <c r="B4292" s="11" t="n"/>
      <c r="C4292" s="11" t="n"/>
      <c r="D4292" s="11" t="n"/>
      <c r="E4292" s="11" t="n"/>
      <c r="F4292" s="11" t="n"/>
      <c r="G4292" s="11" t="n"/>
      <c r="H4292" s="11" t="n"/>
      <c r="I4292" s="11" t="n"/>
      <c r="J4292" s="11" t="n"/>
      <c r="K4292" s="11" t="n"/>
      <c r="L4292" s="11" t="n"/>
      <c r="M4292" s="11" t="n"/>
    </row>
    <row r="4293">
      <c r="A4293" s="11" t="n"/>
      <c r="B4293" s="11" t="n"/>
      <c r="C4293" s="11" t="n"/>
      <c r="D4293" s="11" t="n"/>
      <c r="E4293" s="11" t="n"/>
      <c r="F4293" s="11" t="n"/>
      <c r="G4293" s="11" t="n"/>
      <c r="H4293" s="11" t="n"/>
      <c r="I4293" s="11" t="n"/>
      <c r="J4293" s="11" t="n"/>
      <c r="K4293" s="11" t="n"/>
      <c r="L4293" s="11" t="n"/>
      <c r="M4293" s="11" t="n"/>
    </row>
    <row r="4294">
      <c r="A4294" s="11" t="n"/>
      <c r="B4294" s="11" t="n"/>
      <c r="C4294" s="11" t="n"/>
      <c r="D4294" s="11" t="n"/>
      <c r="E4294" s="11" t="n"/>
      <c r="F4294" s="11" t="n"/>
      <c r="G4294" s="11" t="n"/>
      <c r="H4294" s="11" t="n"/>
      <c r="I4294" s="11" t="n"/>
      <c r="J4294" s="11" t="n"/>
      <c r="K4294" s="11" t="n"/>
      <c r="L4294" s="11" t="n"/>
      <c r="M4294" s="11" t="n"/>
    </row>
    <row r="4295">
      <c r="A4295" s="11" t="n"/>
      <c r="B4295" s="11" t="n"/>
      <c r="C4295" s="11" t="n"/>
      <c r="D4295" s="11" t="n"/>
      <c r="E4295" s="11" t="n"/>
      <c r="F4295" s="11" t="n"/>
      <c r="G4295" s="11" t="n"/>
      <c r="H4295" s="11" t="n"/>
      <c r="I4295" s="11" t="n"/>
      <c r="J4295" s="11" t="n"/>
      <c r="K4295" s="11" t="n"/>
      <c r="L4295" s="11" t="n"/>
      <c r="M4295" s="11" t="n"/>
    </row>
    <row r="4296">
      <c r="A4296" s="11" t="n"/>
      <c r="B4296" s="11" t="n"/>
      <c r="C4296" s="11" t="n"/>
      <c r="D4296" s="11" t="n"/>
      <c r="E4296" s="11" t="n"/>
      <c r="F4296" s="11" t="n"/>
      <c r="G4296" s="11" t="n"/>
      <c r="H4296" s="11" t="n"/>
      <c r="I4296" s="11" t="n"/>
      <c r="J4296" s="11" t="n"/>
      <c r="K4296" s="11" t="n"/>
      <c r="L4296" s="11" t="n"/>
      <c r="M4296" s="11" t="n"/>
    </row>
    <row r="4297">
      <c r="A4297" s="11" t="n"/>
      <c r="B4297" s="11" t="n"/>
      <c r="C4297" s="11" t="n"/>
      <c r="D4297" s="11" t="n"/>
      <c r="E4297" s="11" t="n"/>
      <c r="F4297" s="11" t="n"/>
      <c r="G4297" s="11" t="n"/>
      <c r="H4297" s="11" t="n"/>
      <c r="I4297" s="11" t="n"/>
      <c r="J4297" s="11" t="n"/>
      <c r="K4297" s="11" t="n"/>
      <c r="L4297" s="11" t="n"/>
      <c r="M4297" s="11" t="n"/>
    </row>
    <row r="4298">
      <c r="A4298" s="11" t="n"/>
      <c r="B4298" s="11" t="n"/>
      <c r="C4298" s="11" t="n"/>
      <c r="D4298" s="11" t="n"/>
      <c r="E4298" s="11" t="n"/>
      <c r="F4298" s="11" t="n"/>
      <c r="G4298" s="11" t="n"/>
      <c r="H4298" s="11" t="n"/>
      <c r="I4298" s="11" t="n"/>
      <c r="J4298" s="11" t="n"/>
      <c r="K4298" s="11" t="n"/>
      <c r="L4298" s="11" t="n"/>
      <c r="M4298" s="11" t="n"/>
    </row>
    <row r="4299">
      <c r="A4299" s="11" t="n"/>
      <c r="B4299" s="11" t="n"/>
      <c r="C4299" s="11" t="n"/>
      <c r="D4299" s="11" t="n"/>
      <c r="E4299" s="11" t="n"/>
      <c r="F4299" s="11" t="n"/>
      <c r="G4299" s="11" t="n"/>
      <c r="H4299" s="11" t="n"/>
      <c r="I4299" s="11" t="n"/>
      <c r="J4299" s="11" t="n"/>
      <c r="K4299" s="11" t="n"/>
      <c r="L4299" s="11" t="n"/>
      <c r="M4299" s="11" t="n"/>
    </row>
    <row r="4300">
      <c r="A4300" s="11" t="n"/>
      <c r="B4300" s="11" t="n"/>
      <c r="C4300" s="11" t="n"/>
      <c r="D4300" s="11" t="n"/>
      <c r="E4300" s="11" t="n"/>
      <c r="F4300" s="11" t="n"/>
      <c r="G4300" s="11" t="n"/>
      <c r="H4300" s="11" t="n"/>
      <c r="I4300" s="11" t="n"/>
      <c r="J4300" s="11" t="n"/>
      <c r="K4300" s="11" t="n"/>
      <c r="L4300" s="11" t="n"/>
      <c r="M4300" s="11" t="n"/>
    </row>
    <row r="4301">
      <c r="A4301" s="11" t="n"/>
      <c r="B4301" s="11" t="n"/>
      <c r="C4301" s="11" t="n"/>
      <c r="D4301" s="11" t="n"/>
      <c r="E4301" s="11" t="n"/>
      <c r="F4301" s="11" t="n"/>
      <c r="G4301" s="11" t="n"/>
      <c r="H4301" s="11" t="n"/>
      <c r="I4301" s="11" t="n"/>
      <c r="J4301" s="11" t="n"/>
      <c r="K4301" s="11" t="n"/>
      <c r="L4301" s="11" t="n"/>
      <c r="M4301" s="11" t="n"/>
    </row>
    <row r="4302">
      <c r="A4302" s="11" t="n"/>
      <c r="B4302" s="11" t="n"/>
      <c r="C4302" s="11" t="n"/>
      <c r="D4302" s="11" t="n"/>
      <c r="E4302" s="11" t="n"/>
      <c r="F4302" s="11" t="n"/>
      <c r="G4302" s="11" t="n"/>
      <c r="H4302" s="11" t="n"/>
      <c r="I4302" s="11" t="n"/>
      <c r="J4302" s="11" t="n"/>
      <c r="K4302" s="11" t="n"/>
      <c r="L4302" s="11" t="n"/>
      <c r="M4302" s="11" t="n"/>
    </row>
    <row r="4303">
      <c r="A4303" s="11" t="n"/>
      <c r="B4303" s="11" t="n"/>
      <c r="C4303" s="11" t="n"/>
      <c r="D4303" s="11" t="n"/>
      <c r="E4303" s="11" t="n"/>
      <c r="F4303" s="11" t="n"/>
      <c r="G4303" s="11" t="n"/>
      <c r="H4303" s="11" t="n"/>
      <c r="I4303" s="11" t="n"/>
      <c r="J4303" s="11" t="n"/>
      <c r="K4303" s="11" t="n"/>
      <c r="L4303" s="11" t="n"/>
      <c r="M4303" s="11" t="n"/>
    </row>
    <row r="4304">
      <c r="A4304" s="11" t="n"/>
      <c r="B4304" s="11" t="n"/>
      <c r="C4304" s="11" t="n"/>
      <c r="D4304" s="11" t="n"/>
      <c r="E4304" s="11" t="n"/>
      <c r="F4304" s="11" t="n"/>
      <c r="G4304" s="11" t="n"/>
      <c r="H4304" s="11" t="n"/>
      <c r="I4304" s="11" t="n"/>
      <c r="J4304" s="11" t="n"/>
      <c r="K4304" s="11" t="n"/>
      <c r="L4304" s="11" t="n"/>
      <c r="M4304" s="11" t="n"/>
    </row>
    <row r="4305">
      <c r="A4305" s="11" t="n"/>
      <c r="B4305" s="11" t="n"/>
      <c r="C4305" s="11" t="n"/>
      <c r="D4305" s="11" t="n"/>
      <c r="E4305" s="11" t="n"/>
      <c r="F4305" s="11" t="n"/>
      <c r="G4305" s="11" t="n"/>
      <c r="H4305" s="11" t="n"/>
      <c r="I4305" s="11" t="n"/>
      <c r="J4305" s="11" t="n"/>
      <c r="K4305" s="11" t="n"/>
      <c r="L4305" s="11" t="n"/>
      <c r="M4305" s="11" t="n"/>
    </row>
    <row r="4306">
      <c r="A4306" s="11" t="n"/>
      <c r="B4306" s="11" t="n"/>
      <c r="C4306" s="11" t="n"/>
      <c r="D4306" s="11" t="n"/>
      <c r="E4306" s="11" t="n"/>
      <c r="F4306" s="11" t="n"/>
      <c r="G4306" s="11" t="n"/>
      <c r="H4306" s="11" t="n"/>
      <c r="I4306" s="11" t="n"/>
      <c r="J4306" s="11" t="n"/>
      <c r="K4306" s="11" t="n"/>
      <c r="L4306" s="11" t="n"/>
      <c r="M4306" s="11" t="n"/>
    </row>
    <row r="4307">
      <c r="A4307" s="11" t="n"/>
      <c r="B4307" s="11" t="n"/>
      <c r="C4307" s="11" t="n"/>
      <c r="D4307" s="11" t="n"/>
      <c r="E4307" s="11" t="n"/>
      <c r="F4307" s="11" t="n"/>
      <c r="G4307" s="11" t="n"/>
      <c r="H4307" s="11" t="n"/>
      <c r="I4307" s="11" t="n"/>
      <c r="J4307" s="11" t="n"/>
      <c r="K4307" s="11" t="n"/>
      <c r="L4307" s="11" t="n"/>
      <c r="M4307" s="11" t="n"/>
    </row>
    <row r="4308">
      <c r="A4308" s="11" t="n"/>
      <c r="B4308" s="11" t="n"/>
      <c r="C4308" s="11" t="n"/>
      <c r="D4308" s="11" t="n"/>
      <c r="E4308" s="11" t="n"/>
      <c r="F4308" s="11" t="n"/>
      <c r="G4308" s="11" t="n"/>
      <c r="H4308" s="11" t="n"/>
      <c r="I4308" s="11" t="n"/>
      <c r="J4308" s="11" t="n"/>
      <c r="K4308" s="11" t="n"/>
      <c r="L4308" s="11" t="n"/>
      <c r="M4308" s="11" t="n"/>
    </row>
    <row r="4309">
      <c r="A4309" s="11" t="n"/>
      <c r="B4309" s="11" t="n"/>
      <c r="C4309" s="11" t="n"/>
      <c r="D4309" s="11" t="n"/>
      <c r="E4309" s="11" t="n"/>
      <c r="F4309" s="11" t="n"/>
      <c r="G4309" s="11" t="n"/>
      <c r="H4309" s="11" t="n"/>
      <c r="I4309" s="11" t="n"/>
      <c r="J4309" s="11" t="n"/>
      <c r="K4309" s="11" t="n"/>
      <c r="L4309" s="11" t="n"/>
      <c r="M4309" s="11" t="n"/>
    </row>
    <row r="4310">
      <c r="A4310" s="11" t="n"/>
      <c r="B4310" s="11" t="n"/>
      <c r="C4310" s="11" t="n"/>
      <c r="D4310" s="11" t="n"/>
      <c r="E4310" s="11" t="n"/>
      <c r="F4310" s="11" t="n"/>
      <c r="G4310" s="11" t="n"/>
      <c r="H4310" s="11" t="n"/>
      <c r="I4310" s="11" t="n"/>
      <c r="J4310" s="11" t="n"/>
      <c r="K4310" s="11" t="n"/>
      <c r="L4310" s="11" t="n"/>
      <c r="M4310" s="11" t="n"/>
    </row>
    <row r="4311">
      <c r="A4311" s="11" t="n"/>
      <c r="B4311" s="11" t="n"/>
      <c r="C4311" s="11" t="n"/>
      <c r="D4311" s="11" t="n"/>
      <c r="E4311" s="11" t="n"/>
      <c r="F4311" s="11" t="n"/>
      <c r="G4311" s="11" t="n"/>
      <c r="H4311" s="11" t="n"/>
      <c r="I4311" s="11" t="n"/>
      <c r="J4311" s="11" t="n"/>
      <c r="K4311" s="11" t="n"/>
      <c r="L4311" s="11" t="n"/>
      <c r="M4311" s="11" t="n"/>
    </row>
    <row r="4312">
      <c r="A4312" s="11" t="n"/>
      <c r="B4312" s="11" t="n"/>
      <c r="C4312" s="11" t="n"/>
      <c r="D4312" s="11" t="n"/>
      <c r="E4312" s="11" t="n"/>
      <c r="F4312" s="11" t="n"/>
      <c r="G4312" s="11" t="n"/>
      <c r="H4312" s="11" t="n"/>
      <c r="I4312" s="11" t="n"/>
      <c r="J4312" s="11" t="n"/>
      <c r="K4312" s="11" t="n"/>
      <c r="L4312" s="11" t="n"/>
      <c r="M4312" s="11" t="n"/>
    </row>
    <row r="4313">
      <c r="A4313" s="11" t="n"/>
      <c r="B4313" s="11" t="n"/>
      <c r="C4313" s="11" t="n"/>
      <c r="D4313" s="11" t="n"/>
      <c r="E4313" s="11" t="n"/>
      <c r="F4313" s="11" t="n"/>
      <c r="G4313" s="11" t="n"/>
      <c r="H4313" s="11" t="n"/>
      <c r="I4313" s="11" t="n"/>
      <c r="J4313" s="11" t="n"/>
      <c r="K4313" s="11" t="n"/>
      <c r="L4313" s="11" t="n"/>
      <c r="M4313" s="11" t="n"/>
    </row>
    <row r="4314">
      <c r="A4314" s="11" t="n"/>
      <c r="B4314" s="11" t="n"/>
      <c r="C4314" s="11" t="n"/>
      <c r="D4314" s="11" t="n"/>
      <c r="E4314" s="11" t="n"/>
      <c r="F4314" s="11" t="n"/>
      <c r="G4314" s="11" t="n"/>
      <c r="H4314" s="11" t="n"/>
      <c r="I4314" s="11" t="n"/>
      <c r="J4314" s="11" t="n"/>
      <c r="K4314" s="11" t="n"/>
      <c r="L4314" s="11" t="n"/>
      <c r="M4314" s="11" t="n"/>
    </row>
    <row r="4315">
      <c r="A4315" s="11" t="n"/>
      <c r="B4315" s="11" t="n"/>
      <c r="C4315" s="11" t="n"/>
      <c r="D4315" s="11" t="n"/>
      <c r="E4315" s="11" t="n"/>
      <c r="F4315" s="11" t="n"/>
      <c r="G4315" s="11" t="n"/>
      <c r="H4315" s="11" t="n"/>
      <c r="I4315" s="11" t="n"/>
      <c r="J4315" s="11" t="n"/>
      <c r="K4315" s="11" t="n"/>
      <c r="L4315" s="11" t="n"/>
      <c r="M4315" s="11" t="n"/>
    </row>
    <row r="4316">
      <c r="A4316" s="11" t="n"/>
      <c r="B4316" s="11" t="n"/>
      <c r="C4316" s="11" t="n"/>
      <c r="D4316" s="11" t="n"/>
      <c r="E4316" s="11" t="n"/>
      <c r="F4316" s="11" t="n"/>
      <c r="G4316" s="11" t="n"/>
      <c r="H4316" s="11" t="n"/>
      <c r="I4316" s="11" t="n"/>
      <c r="J4316" s="11" t="n"/>
      <c r="K4316" s="11" t="n"/>
      <c r="L4316" s="11" t="n"/>
      <c r="M4316" s="11" t="n"/>
    </row>
    <row r="4317">
      <c r="A4317" s="11" t="n"/>
      <c r="B4317" s="11" t="n"/>
      <c r="C4317" s="11" t="n"/>
      <c r="D4317" s="11" t="n"/>
      <c r="E4317" s="11" t="n"/>
      <c r="F4317" s="11" t="n"/>
      <c r="G4317" s="11" t="n"/>
      <c r="H4317" s="11" t="n"/>
      <c r="I4317" s="11" t="n"/>
      <c r="J4317" s="11" t="n"/>
      <c r="K4317" s="11" t="n"/>
      <c r="L4317" s="11" t="n"/>
      <c r="M4317" s="11" t="n"/>
    </row>
    <row r="4318">
      <c r="A4318" s="11" t="n"/>
      <c r="B4318" s="11" t="n"/>
      <c r="C4318" s="11" t="n"/>
      <c r="D4318" s="11" t="n"/>
      <c r="E4318" s="11" t="n"/>
      <c r="F4318" s="11" t="n"/>
      <c r="G4318" s="11" t="n"/>
      <c r="H4318" s="11" t="n"/>
      <c r="I4318" s="11" t="n"/>
      <c r="J4318" s="11" t="n"/>
      <c r="K4318" s="11" t="n"/>
      <c r="L4318" s="11" t="n"/>
      <c r="M4318" s="11" t="n"/>
    </row>
    <row r="4319">
      <c r="A4319" s="11" t="n"/>
      <c r="B4319" s="11" t="n"/>
      <c r="C4319" s="11" t="n"/>
      <c r="D4319" s="11" t="n"/>
      <c r="E4319" s="11" t="n"/>
      <c r="F4319" s="11" t="n"/>
      <c r="G4319" s="11" t="n"/>
      <c r="H4319" s="11" t="n"/>
      <c r="I4319" s="11" t="n"/>
      <c r="J4319" s="11" t="n"/>
      <c r="K4319" s="11" t="n"/>
      <c r="L4319" s="11" t="n"/>
      <c r="M4319" s="11" t="n"/>
    </row>
    <row r="4320">
      <c r="A4320" s="11" t="n"/>
      <c r="B4320" s="11" t="n"/>
      <c r="C4320" s="11" t="n"/>
      <c r="D4320" s="11" t="n"/>
      <c r="E4320" s="11" t="n"/>
      <c r="F4320" s="11" t="n"/>
      <c r="G4320" s="11" t="n"/>
      <c r="H4320" s="11" t="n"/>
      <c r="I4320" s="11" t="n"/>
      <c r="J4320" s="11" t="n"/>
      <c r="K4320" s="11" t="n"/>
      <c r="L4320" s="11" t="n"/>
      <c r="M4320" s="11" t="n"/>
    </row>
    <row r="4321">
      <c r="A4321" s="11" t="n"/>
      <c r="B4321" s="11" t="n"/>
      <c r="C4321" s="11" t="n"/>
      <c r="D4321" s="11" t="n"/>
      <c r="E4321" s="11" t="n"/>
      <c r="F4321" s="11" t="n"/>
      <c r="G4321" s="11" t="n"/>
      <c r="H4321" s="11" t="n"/>
      <c r="I4321" s="11" t="n"/>
      <c r="J4321" s="11" t="n"/>
      <c r="K4321" s="11" t="n"/>
      <c r="L4321" s="11" t="n"/>
      <c r="M4321" s="11" t="n"/>
    </row>
    <row r="4322">
      <c r="A4322" s="11" t="n"/>
      <c r="B4322" s="11" t="n"/>
      <c r="C4322" s="11" t="n"/>
      <c r="D4322" s="11" t="n"/>
      <c r="E4322" s="11" t="n"/>
      <c r="F4322" s="11" t="n"/>
      <c r="G4322" s="11" t="n"/>
      <c r="H4322" s="11" t="n"/>
      <c r="I4322" s="11" t="n"/>
      <c r="J4322" s="11" t="n"/>
      <c r="K4322" s="11" t="n"/>
      <c r="L4322" s="11" t="n"/>
      <c r="M4322" s="11" t="n"/>
    </row>
    <row r="4323">
      <c r="A4323" s="11" t="n"/>
      <c r="B4323" s="11" t="n"/>
      <c r="C4323" s="11" t="n"/>
      <c r="D4323" s="11" t="n"/>
      <c r="E4323" s="11" t="n"/>
      <c r="F4323" s="11" t="n"/>
      <c r="G4323" s="11" t="n"/>
      <c r="H4323" s="11" t="n"/>
      <c r="I4323" s="11" t="n"/>
      <c r="J4323" s="11" t="n"/>
      <c r="K4323" s="11" t="n"/>
      <c r="L4323" s="11" t="n"/>
      <c r="M4323" s="11" t="n"/>
    </row>
    <row r="4324">
      <c r="A4324" s="11" t="n"/>
      <c r="B4324" s="11" t="n"/>
      <c r="C4324" s="11" t="n"/>
      <c r="D4324" s="11" t="n"/>
      <c r="E4324" s="11" t="n"/>
      <c r="F4324" s="11" t="n"/>
      <c r="G4324" s="11" t="n"/>
      <c r="H4324" s="11" t="n"/>
      <c r="I4324" s="11" t="n"/>
      <c r="J4324" s="11" t="n"/>
      <c r="K4324" s="11" t="n"/>
      <c r="L4324" s="11" t="n"/>
      <c r="M4324" s="11" t="n"/>
    </row>
    <row r="4325">
      <c r="A4325" s="11" t="n"/>
      <c r="B4325" s="11" t="n"/>
      <c r="C4325" s="11" t="n"/>
      <c r="D4325" s="11" t="n"/>
      <c r="E4325" s="11" t="n"/>
      <c r="F4325" s="11" t="n"/>
      <c r="G4325" s="11" t="n"/>
      <c r="H4325" s="11" t="n"/>
      <c r="I4325" s="11" t="n"/>
      <c r="J4325" s="11" t="n"/>
      <c r="K4325" s="11" t="n"/>
      <c r="L4325" s="11" t="n"/>
      <c r="M4325" s="11" t="n"/>
    </row>
    <row r="4326">
      <c r="A4326" s="11" t="n"/>
      <c r="B4326" s="11" t="n"/>
      <c r="C4326" s="11" t="n"/>
      <c r="D4326" s="11" t="n"/>
      <c r="E4326" s="11" t="n"/>
      <c r="F4326" s="11" t="n"/>
      <c r="G4326" s="11" t="n"/>
      <c r="H4326" s="11" t="n"/>
      <c r="I4326" s="11" t="n"/>
      <c r="J4326" s="11" t="n"/>
      <c r="K4326" s="11" t="n"/>
      <c r="L4326" s="11" t="n"/>
      <c r="M4326" s="11" t="n"/>
    </row>
    <row r="4327">
      <c r="A4327" s="11" t="n"/>
      <c r="B4327" s="11" t="n"/>
      <c r="C4327" s="11" t="n"/>
      <c r="D4327" s="11" t="n"/>
      <c r="E4327" s="11" t="n"/>
      <c r="F4327" s="11" t="n"/>
      <c r="G4327" s="11" t="n"/>
      <c r="H4327" s="11" t="n"/>
      <c r="I4327" s="11" t="n"/>
      <c r="J4327" s="11" t="n"/>
      <c r="K4327" s="11" t="n"/>
      <c r="L4327" s="11" t="n"/>
      <c r="M4327" s="11" t="n"/>
    </row>
    <row r="4328">
      <c r="A4328" s="11" t="n"/>
      <c r="B4328" s="11" t="n"/>
      <c r="C4328" s="11" t="n"/>
      <c r="D4328" s="11" t="n"/>
      <c r="E4328" s="11" t="n"/>
      <c r="F4328" s="11" t="n"/>
      <c r="G4328" s="11" t="n"/>
      <c r="H4328" s="11" t="n"/>
      <c r="I4328" s="11" t="n"/>
      <c r="J4328" s="11" t="n"/>
      <c r="K4328" s="11" t="n"/>
      <c r="L4328" s="11" t="n"/>
      <c r="M4328" s="11" t="n"/>
    </row>
    <row r="4329">
      <c r="A4329" s="11" t="n"/>
      <c r="B4329" s="11" t="n"/>
      <c r="C4329" s="11" t="n"/>
      <c r="D4329" s="11" t="n"/>
      <c r="E4329" s="11" t="n"/>
      <c r="F4329" s="11" t="n"/>
      <c r="G4329" s="11" t="n"/>
      <c r="H4329" s="11" t="n"/>
      <c r="I4329" s="11" t="n"/>
      <c r="J4329" s="11" t="n"/>
      <c r="K4329" s="11" t="n"/>
      <c r="L4329" s="11" t="n"/>
      <c r="M4329" s="11" t="n"/>
    </row>
    <row r="4330">
      <c r="A4330" s="11" t="n"/>
      <c r="B4330" s="11" t="n"/>
      <c r="C4330" s="11" t="n"/>
      <c r="D4330" s="11" t="n"/>
      <c r="E4330" s="11" t="n"/>
      <c r="F4330" s="11" t="n"/>
      <c r="G4330" s="11" t="n"/>
      <c r="H4330" s="11" t="n"/>
      <c r="I4330" s="11" t="n"/>
      <c r="J4330" s="11" t="n"/>
      <c r="K4330" s="11" t="n"/>
      <c r="L4330" s="11" t="n"/>
      <c r="M4330" s="11" t="n"/>
    </row>
    <row r="4331">
      <c r="A4331" s="11" t="n"/>
      <c r="B4331" s="11" t="n"/>
      <c r="C4331" s="11" t="n"/>
      <c r="D4331" s="11" t="n"/>
      <c r="E4331" s="11" t="n"/>
      <c r="F4331" s="11" t="n"/>
      <c r="G4331" s="11" t="n"/>
      <c r="H4331" s="11" t="n"/>
      <c r="I4331" s="11" t="n"/>
      <c r="J4331" s="11" t="n"/>
      <c r="K4331" s="11" t="n"/>
      <c r="L4331" s="11" t="n"/>
      <c r="M4331" s="11" t="n"/>
    </row>
    <row r="4332">
      <c r="A4332" s="11" t="n"/>
      <c r="B4332" s="11" t="n"/>
      <c r="C4332" s="11" t="n"/>
      <c r="D4332" s="11" t="n"/>
      <c r="E4332" s="11" t="n"/>
      <c r="F4332" s="11" t="n"/>
      <c r="G4332" s="11" t="n"/>
      <c r="H4332" s="11" t="n"/>
      <c r="I4332" s="11" t="n"/>
      <c r="J4332" s="11" t="n"/>
      <c r="K4332" s="11" t="n"/>
      <c r="L4332" s="11" t="n"/>
      <c r="M4332" s="11" t="n"/>
    </row>
    <row r="4333">
      <c r="A4333" s="11" t="n"/>
      <c r="B4333" s="11" t="n"/>
      <c r="C4333" s="11" t="n"/>
      <c r="D4333" s="11" t="n"/>
      <c r="E4333" s="11" t="n"/>
      <c r="F4333" s="11" t="n"/>
      <c r="G4333" s="11" t="n"/>
      <c r="H4333" s="11" t="n"/>
      <c r="I4333" s="11" t="n"/>
      <c r="J4333" s="11" t="n"/>
      <c r="K4333" s="11" t="n"/>
      <c r="L4333" s="11" t="n"/>
      <c r="M4333" s="11" t="n"/>
    </row>
    <row r="4334">
      <c r="A4334" s="11" t="n"/>
      <c r="B4334" s="11" t="n"/>
      <c r="C4334" s="11" t="n"/>
      <c r="D4334" s="11" t="n"/>
      <c r="E4334" s="11" t="n"/>
      <c r="F4334" s="11" t="n"/>
      <c r="G4334" s="11" t="n"/>
      <c r="H4334" s="11" t="n"/>
      <c r="I4334" s="11" t="n"/>
      <c r="J4334" s="11" t="n"/>
      <c r="K4334" s="11" t="n"/>
      <c r="L4334" s="11" t="n"/>
      <c r="M4334" s="11" t="n"/>
    </row>
    <row r="4335">
      <c r="A4335" s="11" t="n"/>
      <c r="B4335" s="11" t="n"/>
      <c r="C4335" s="11" t="n"/>
      <c r="D4335" s="11" t="n"/>
      <c r="E4335" s="11" t="n"/>
      <c r="F4335" s="11" t="n"/>
      <c r="G4335" s="11" t="n"/>
      <c r="H4335" s="11" t="n"/>
      <c r="I4335" s="11" t="n"/>
      <c r="J4335" s="11" t="n"/>
      <c r="K4335" s="11" t="n"/>
      <c r="L4335" s="11" t="n"/>
      <c r="M4335" s="11" t="n"/>
    </row>
    <row r="4336">
      <c r="A4336" s="11" t="n"/>
      <c r="B4336" s="11" t="n"/>
      <c r="C4336" s="11" t="n"/>
      <c r="D4336" s="11" t="n"/>
      <c r="E4336" s="11" t="n"/>
      <c r="F4336" s="11" t="n"/>
      <c r="G4336" s="11" t="n"/>
      <c r="H4336" s="11" t="n"/>
      <c r="I4336" s="11" t="n"/>
      <c r="J4336" s="11" t="n"/>
      <c r="K4336" s="11" t="n"/>
      <c r="L4336" s="11" t="n"/>
      <c r="M4336" s="11" t="n"/>
    </row>
    <row r="4337">
      <c r="A4337" s="11" t="n"/>
      <c r="B4337" s="11" t="n"/>
      <c r="C4337" s="11" t="n"/>
      <c r="D4337" s="11" t="n"/>
      <c r="E4337" s="11" t="n"/>
      <c r="F4337" s="11" t="n"/>
      <c r="G4337" s="11" t="n"/>
      <c r="H4337" s="11" t="n"/>
      <c r="I4337" s="11" t="n"/>
      <c r="J4337" s="11" t="n"/>
      <c r="K4337" s="11" t="n"/>
      <c r="L4337" s="11" t="n"/>
      <c r="M4337" s="11" t="n"/>
    </row>
    <row r="4338">
      <c r="A4338" s="11" t="n"/>
      <c r="B4338" s="11" t="n"/>
      <c r="C4338" s="11" t="n"/>
      <c r="D4338" s="11" t="n"/>
      <c r="E4338" s="11" t="n"/>
      <c r="F4338" s="11" t="n"/>
      <c r="G4338" s="11" t="n"/>
      <c r="H4338" s="11" t="n"/>
      <c r="I4338" s="11" t="n"/>
      <c r="J4338" s="11" t="n"/>
      <c r="K4338" s="11" t="n"/>
      <c r="L4338" s="11" t="n"/>
      <c r="M4338" s="11" t="n"/>
    </row>
    <row r="4339">
      <c r="A4339" s="11" t="n"/>
      <c r="B4339" s="11" t="n"/>
      <c r="C4339" s="11" t="n"/>
      <c r="D4339" s="11" t="n"/>
      <c r="E4339" s="11" t="n"/>
      <c r="F4339" s="11" t="n"/>
      <c r="G4339" s="11" t="n"/>
      <c r="H4339" s="11" t="n"/>
      <c r="I4339" s="11" t="n"/>
      <c r="J4339" s="11" t="n"/>
      <c r="K4339" s="11" t="n"/>
      <c r="L4339" s="11" t="n"/>
      <c r="M4339" s="11" t="n"/>
    </row>
    <row r="4340">
      <c r="A4340" s="11" t="n"/>
      <c r="B4340" s="11" t="n"/>
      <c r="C4340" s="11" t="n"/>
      <c r="D4340" s="11" t="n"/>
      <c r="E4340" s="11" t="n"/>
      <c r="F4340" s="11" t="n"/>
      <c r="G4340" s="11" t="n"/>
      <c r="H4340" s="11" t="n"/>
      <c r="I4340" s="11" t="n"/>
      <c r="J4340" s="11" t="n"/>
      <c r="K4340" s="11" t="n"/>
      <c r="L4340" s="11" t="n"/>
      <c r="M4340" s="11" t="n"/>
    </row>
    <row r="4341">
      <c r="A4341" s="11" t="n"/>
      <c r="B4341" s="11" t="n"/>
      <c r="C4341" s="11" t="n"/>
      <c r="D4341" s="11" t="n"/>
      <c r="E4341" s="11" t="n"/>
      <c r="F4341" s="11" t="n"/>
      <c r="G4341" s="11" t="n"/>
      <c r="H4341" s="11" t="n"/>
      <c r="I4341" s="11" t="n"/>
      <c r="J4341" s="11" t="n"/>
      <c r="K4341" s="11" t="n"/>
      <c r="L4341" s="11" t="n"/>
      <c r="M4341" s="11" t="n"/>
    </row>
    <row r="4342">
      <c r="A4342" s="11" t="n"/>
      <c r="B4342" s="11" t="n"/>
      <c r="C4342" s="11" t="n"/>
      <c r="D4342" s="11" t="n"/>
      <c r="E4342" s="11" t="n"/>
      <c r="F4342" s="11" t="n"/>
      <c r="G4342" s="11" t="n"/>
      <c r="H4342" s="11" t="n"/>
      <c r="I4342" s="11" t="n"/>
      <c r="J4342" s="11" t="n"/>
      <c r="K4342" s="11" t="n"/>
      <c r="L4342" s="11" t="n"/>
      <c r="M4342" s="11" t="n"/>
    </row>
    <row r="4343">
      <c r="A4343" s="11" t="n"/>
      <c r="B4343" s="11" t="n"/>
      <c r="C4343" s="11" t="n"/>
      <c r="D4343" s="11" t="n"/>
      <c r="E4343" s="11" t="n"/>
      <c r="F4343" s="11" t="n"/>
      <c r="G4343" s="11" t="n"/>
      <c r="H4343" s="11" t="n"/>
      <c r="I4343" s="11" t="n"/>
      <c r="J4343" s="11" t="n"/>
      <c r="K4343" s="11" t="n"/>
      <c r="L4343" s="11" t="n"/>
      <c r="M4343" s="11" t="n"/>
    </row>
    <row r="4344">
      <c r="A4344" s="11" t="n"/>
      <c r="B4344" s="11" t="n"/>
      <c r="C4344" s="11" t="n"/>
      <c r="D4344" s="11" t="n"/>
      <c r="E4344" s="11" t="n"/>
      <c r="F4344" s="11" t="n"/>
      <c r="G4344" s="11" t="n"/>
      <c r="H4344" s="11" t="n"/>
      <c r="I4344" s="11" t="n"/>
      <c r="J4344" s="11" t="n"/>
      <c r="K4344" s="11" t="n"/>
      <c r="L4344" s="11" t="n"/>
      <c r="M4344" s="11" t="n"/>
    </row>
    <row r="4345">
      <c r="A4345" s="11" t="n"/>
      <c r="B4345" s="11" t="n"/>
      <c r="C4345" s="11" t="n"/>
      <c r="D4345" s="11" t="n"/>
      <c r="E4345" s="11" t="n"/>
      <c r="F4345" s="11" t="n"/>
      <c r="G4345" s="11" t="n"/>
      <c r="H4345" s="11" t="n"/>
      <c r="I4345" s="11" t="n"/>
      <c r="J4345" s="11" t="n"/>
      <c r="K4345" s="11" t="n"/>
      <c r="L4345" s="11" t="n"/>
      <c r="M4345" s="11" t="n"/>
    </row>
    <row r="4346">
      <c r="A4346" s="11" t="n"/>
      <c r="B4346" s="11" t="n"/>
      <c r="C4346" s="11" t="n"/>
      <c r="D4346" s="11" t="n"/>
      <c r="E4346" s="11" t="n"/>
      <c r="F4346" s="11" t="n"/>
      <c r="G4346" s="11" t="n"/>
      <c r="H4346" s="11" t="n"/>
      <c r="I4346" s="11" t="n"/>
      <c r="J4346" s="11" t="n"/>
      <c r="K4346" s="11" t="n"/>
      <c r="L4346" s="11" t="n"/>
      <c r="M4346" s="11" t="n"/>
    </row>
    <row r="4347">
      <c r="A4347" s="11" t="n"/>
      <c r="B4347" s="11" t="n"/>
      <c r="C4347" s="11" t="n"/>
      <c r="D4347" s="11" t="n"/>
      <c r="E4347" s="11" t="n"/>
      <c r="F4347" s="11" t="n"/>
      <c r="G4347" s="11" t="n"/>
      <c r="H4347" s="11" t="n"/>
      <c r="I4347" s="11" t="n"/>
      <c r="J4347" s="11" t="n"/>
      <c r="K4347" s="11" t="n"/>
      <c r="L4347" s="11" t="n"/>
      <c r="M4347" s="11" t="n"/>
    </row>
    <row r="4348">
      <c r="A4348" s="11" t="n"/>
      <c r="B4348" s="11" t="n"/>
      <c r="C4348" s="11" t="n"/>
      <c r="D4348" s="11" t="n"/>
      <c r="E4348" s="11" t="n"/>
      <c r="F4348" s="11" t="n"/>
      <c r="G4348" s="11" t="n"/>
      <c r="H4348" s="11" t="n"/>
      <c r="I4348" s="11" t="n"/>
      <c r="J4348" s="11" t="n"/>
      <c r="K4348" s="11" t="n"/>
      <c r="L4348" s="11" t="n"/>
      <c r="M4348" s="11" t="n"/>
    </row>
    <row r="4349">
      <c r="A4349" s="11" t="n"/>
      <c r="B4349" s="11" t="n"/>
      <c r="C4349" s="11" t="n"/>
      <c r="D4349" s="11" t="n"/>
      <c r="E4349" s="11" t="n"/>
      <c r="F4349" s="11" t="n"/>
      <c r="G4349" s="11" t="n"/>
      <c r="H4349" s="11" t="n"/>
      <c r="I4349" s="11" t="n"/>
      <c r="J4349" s="11" t="n"/>
      <c r="K4349" s="11" t="n"/>
      <c r="L4349" s="11" t="n"/>
      <c r="M4349" s="11" t="n"/>
    </row>
    <row r="4350">
      <c r="A4350" s="11" t="n"/>
      <c r="B4350" s="11" t="n"/>
      <c r="C4350" s="11" t="n"/>
      <c r="D4350" s="11" t="n"/>
      <c r="E4350" s="11" t="n"/>
      <c r="F4350" s="11" t="n"/>
      <c r="G4350" s="11" t="n"/>
      <c r="H4350" s="11" t="n"/>
      <c r="I4350" s="11" t="n"/>
      <c r="J4350" s="11" t="n"/>
      <c r="K4350" s="11" t="n"/>
      <c r="L4350" s="11" t="n"/>
      <c r="M4350" s="11" t="n"/>
    </row>
    <row r="4351">
      <c r="A4351" s="11" t="n"/>
      <c r="B4351" s="11" t="n"/>
      <c r="C4351" s="11" t="n"/>
      <c r="D4351" s="11" t="n"/>
      <c r="E4351" s="11" t="n"/>
      <c r="F4351" s="11" t="n"/>
      <c r="G4351" s="11" t="n"/>
      <c r="H4351" s="11" t="n"/>
      <c r="I4351" s="11" t="n"/>
      <c r="J4351" s="11" t="n"/>
      <c r="K4351" s="11" t="n"/>
      <c r="L4351" s="11" t="n"/>
      <c r="M4351" s="11" t="n"/>
    </row>
    <row r="4352">
      <c r="A4352" s="11" t="n"/>
      <c r="B4352" s="11" t="n"/>
      <c r="C4352" s="11" t="n"/>
      <c r="D4352" s="11" t="n"/>
      <c r="E4352" s="11" t="n"/>
      <c r="F4352" s="11" t="n"/>
      <c r="G4352" s="11" t="n"/>
      <c r="H4352" s="11" t="n"/>
      <c r="I4352" s="11" t="n"/>
      <c r="J4352" s="11" t="n"/>
      <c r="K4352" s="11" t="n"/>
      <c r="L4352" s="11" t="n"/>
      <c r="M4352" s="11" t="n"/>
    </row>
    <row r="4353">
      <c r="A4353" s="11" t="n"/>
      <c r="B4353" s="11" t="n"/>
      <c r="C4353" s="11" t="n"/>
      <c r="D4353" s="11" t="n"/>
      <c r="E4353" s="11" t="n"/>
      <c r="F4353" s="11" t="n"/>
      <c r="G4353" s="11" t="n"/>
      <c r="H4353" s="11" t="n"/>
      <c r="I4353" s="11" t="n"/>
      <c r="J4353" s="11" t="n"/>
      <c r="K4353" s="11" t="n"/>
      <c r="L4353" s="11" t="n"/>
      <c r="M4353" s="11" t="n"/>
    </row>
    <row r="4354">
      <c r="A4354" s="11" t="n"/>
      <c r="B4354" s="11" t="n"/>
      <c r="C4354" s="11" t="n"/>
      <c r="D4354" s="11" t="n"/>
      <c r="E4354" s="11" t="n"/>
      <c r="F4354" s="11" t="n"/>
      <c r="G4354" s="11" t="n"/>
      <c r="H4354" s="11" t="n"/>
      <c r="I4354" s="11" t="n"/>
      <c r="J4354" s="11" t="n"/>
      <c r="K4354" s="11" t="n"/>
      <c r="L4354" s="11" t="n"/>
      <c r="M4354" s="11" t="n"/>
    </row>
    <row r="4355">
      <c r="A4355" s="11" t="n"/>
      <c r="B4355" s="11" t="n"/>
      <c r="C4355" s="11" t="n"/>
      <c r="D4355" s="11" t="n"/>
      <c r="E4355" s="11" t="n"/>
      <c r="F4355" s="11" t="n"/>
      <c r="G4355" s="11" t="n"/>
      <c r="H4355" s="11" t="n"/>
      <c r="I4355" s="11" t="n"/>
      <c r="J4355" s="11" t="n"/>
      <c r="K4355" s="11" t="n"/>
      <c r="L4355" s="11" t="n"/>
      <c r="M4355" s="11" t="n"/>
    </row>
    <row r="4356">
      <c r="A4356" s="11" t="n"/>
      <c r="B4356" s="11" t="n"/>
      <c r="C4356" s="11" t="n"/>
      <c r="D4356" s="11" t="n"/>
      <c r="E4356" s="11" t="n"/>
      <c r="F4356" s="11" t="n"/>
      <c r="G4356" s="11" t="n"/>
      <c r="H4356" s="11" t="n"/>
      <c r="I4356" s="11" t="n"/>
      <c r="J4356" s="11" t="n"/>
      <c r="K4356" s="11" t="n"/>
      <c r="L4356" s="11" t="n"/>
      <c r="M4356" s="11" t="n"/>
    </row>
    <row r="4357">
      <c r="A4357" s="11" t="n"/>
      <c r="B4357" s="11" t="n"/>
      <c r="C4357" s="11" t="n"/>
      <c r="D4357" s="11" t="n"/>
      <c r="E4357" s="11" t="n"/>
      <c r="F4357" s="11" t="n"/>
      <c r="G4357" s="11" t="n"/>
      <c r="H4357" s="11" t="n"/>
      <c r="I4357" s="11" t="n"/>
      <c r="J4357" s="11" t="n"/>
      <c r="K4357" s="11" t="n"/>
      <c r="L4357" s="11" t="n"/>
      <c r="M4357" s="11" t="n"/>
    </row>
    <row r="4358">
      <c r="A4358" s="11" t="n"/>
      <c r="B4358" s="11" t="n"/>
      <c r="C4358" s="11" t="n"/>
      <c r="D4358" s="11" t="n"/>
      <c r="E4358" s="11" t="n"/>
      <c r="F4358" s="11" t="n"/>
      <c r="G4358" s="11" t="n"/>
      <c r="H4358" s="11" t="n"/>
      <c r="I4358" s="11" t="n"/>
      <c r="J4358" s="11" t="n"/>
      <c r="K4358" s="11" t="n"/>
      <c r="L4358" s="11" t="n"/>
      <c r="M4358" s="11" t="n"/>
    </row>
    <row r="4359">
      <c r="A4359" s="11" t="n"/>
      <c r="B4359" s="11" t="n"/>
      <c r="C4359" s="11" t="n"/>
      <c r="D4359" s="11" t="n"/>
      <c r="E4359" s="11" t="n"/>
      <c r="F4359" s="11" t="n"/>
      <c r="G4359" s="11" t="n"/>
      <c r="H4359" s="11" t="n"/>
      <c r="I4359" s="11" t="n"/>
      <c r="J4359" s="11" t="n"/>
      <c r="K4359" s="11" t="n"/>
      <c r="L4359" s="11" t="n"/>
      <c r="M4359" s="11" t="n"/>
    </row>
    <row r="4360">
      <c r="A4360" s="11" t="n"/>
      <c r="B4360" s="11" t="n"/>
      <c r="C4360" s="11" t="n"/>
      <c r="D4360" s="11" t="n"/>
      <c r="E4360" s="11" t="n"/>
      <c r="F4360" s="11" t="n"/>
      <c r="G4360" s="11" t="n"/>
      <c r="H4360" s="11" t="n"/>
      <c r="I4360" s="11" t="n"/>
      <c r="J4360" s="11" t="n"/>
      <c r="K4360" s="11" t="n"/>
      <c r="L4360" s="11" t="n"/>
      <c r="M4360" s="11" t="n"/>
    </row>
    <row r="4361">
      <c r="A4361" s="11" t="n"/>
      <c r="B4361" s="11" t="n"/>
      <c r="C4361" s="11" t="n"/>
      <c r="D4361" s="11" t="n"/>
      <c r="E4361" s="11" t="n"/>
      <c r="F4361" s="11" t="n"/>
      <c r="G4361" s="11" t="n"/>
      <c r="H4361" s="11" t="n"/>
      <c r="I4361" s="11" t="n"/>
      <c r="J4361" s="11" t="n"/>
      <c r="K4361" s="11" t="n"/>
      <c r="L4361" s="11" t="n"/>
      <c r="M4361" s="11" t="n"/>
    </row>
    <row r="4362">
      <c r="A4362" s="11" t="n"/>
      <c r="B4362" s="11" t="n"/>
      <c r="C4362" s="11" t="n"/>
      <c r="D4362" s="11" t="n"/>
      <c r="E4362" s="11" t="n"/>
      <c r="F4362" s="11" t="n"/>
      <c r="G4362" s="11" t="n"/>
      <c r="H4362" s="11" t="n"/>
      <c r="I4362" s="11" t="n"/>
      <c r="J4362" s="11" t="n"/>
      <c r="K4362" s="11" t="n"/>
      <c r="L4362" s="11" t="n"/>
      <c r="M4362" s="11" t="n"/>
    </row>
    <row r="4363">
      <c r="A4363" s="11" t="n"/>
      <c r="B4363" s="11" t="n"/>
      <c r="C4363" s="11" t="n"/>
      <c r="D4363" s="11" t="n"/>
      <c r="E4363" s="11" t="n"/>
      <c r="F4363" s="11" t="n"/>
      <c r="G4363" s="11" t="n"/>
      <c r="H4363" s="11" t="n"/>
      <c r="I4363" s="11" t="n"/>
      <c r="J4363" s="11" t="n"/>
      <c r="K4363" s="11" t="n"/>
      <c r="L4363" s="11" t="n"/>
      <c r="M4363" s="11" t="n"/>
    </row>
    <row r="4364">
      <c r="A4364" s="11" t="n"/>
      <c r="B4364" s="11" t="n"/>
      <c r="C4364" s="11" t="n"/>
      <c r="D4364" s="11" t="n"/>
      <c r="E4364" s="11" t="n"/>
      <c r="F4364" s="11" t="n"/>
      <c r="G4364" s="11" t="n"/>
      <c r="H4364" s="11" t="n"/>
      <c r="I4364" s="11" t="n"/>
      <c r="J4364" s="11" t="n"/>
      <c r="K4364" s="11" t="n"/>
      <c r="L4364" s="11" t="n"/>
      <c r="M4364" s="11" t="n"/>
    </row>
    <row r="4365">
      <c r="A4365" s="11" t="n"/>
      <c r="B4365" s="11" t="n"/>
      <c r="C4365" s="11" t="n"/>
      <c r="D4365" s="11" t="n"/>
      <c r="E4365" s="11" t="n"/>
      <c r="F4365" s="11" t="n"/>
      <c r="G4365" s="11" t="n"/>
      <c r="H4365" s="11" t="n"/>
      <c r="I4365" s="11" t="n"/>
      <c r="J4365" s="11" t="n"/>
      <c r="K4365" s="11" t="n"/>
      <c r="L4365" s="11" t="n"/>
      <c r="M4365" s="11" t="n"/>
    </row>
    <row r="4366">
      <c r="A4366" s="11" t="n"/>
      <c r="B4366" s="11" t="n"/>
      <c r="C4366" s="11" t="n"/>
      <c r="D4366" s="11" t="n"/>
      <c r="E4366" s="11" t="n"/>
      <c r="F4366" s="11" t="n"/>
      <c r="G4366" s="11" t="n"/>
      <c r="H4366" s="11" t="n"/>
      <c r="I4366" s="11" t="n"/>
      <c r="J4366" s="11" t="n"/>
      <c r="K4366" s="11" t="n"/>
      <c r="L4366" s="11" t="n"/>
      <c r="M4366" s="11" t="n"/>
    </row>
    <row r="4367">
      <c r="A4367" s="11" t="n"/>
      <c r="B4367" s="11" t="n"/>
      <c r="C4367" s="11" t="n"/>
      <c r="D4367" s="11" t="n"/>
      <c r="E4367" s="11" t="n"/>
      <c r="F4367" s="11" t="n"/>
      <c r="G4367" s="11" t="n"/>
      <c r="H4367" s="11" t="n"/>
      <c r="I4367" s="11" t="n"/>
      <c r="J4367" s="11" t="n"/>
      <c r="K4367" s="11" t="n"/>
      <c r="L4367" s="11" t="n"/>
      <c r="M4367" s="11" t="n"/>
    </row>
    <row r="4368">
      <c r="A4368" s="11" t="n"/>
      <c r="B4368" s="11" t="n"/>
      <c r="C4368" s="11" t="n"/>
      <c r="D4368" s="11" t="n"/>
      <c r="E4368" s="11" t="n"/>
      <c r="F4368" s="11" t="n"/>
      <c r="G4368" s="11" t="n"/>
      <c r="H4368" s="11" t="n"/>
      <c r="I4368" s="11" t="n"/>
      <c r="J4368" s="11" t="n"/>
      <c r="K4368" s="11" t="n"/>
      <c r="L4368" s="11" t="n"/>
      <c r="M4368" s="11" t="n"/>
    </row>
    <row r="4369">
      <c r="A4369" s="11" t="n"/>
      <c r="B4369" s="11" t="n"/>
      <c r="C4369" s="11" t="n"/>
      <c r="D4369" s="11" t="n"/>
      <c r="E4369" s="11" t="n"/>
      <c r="F4369" s="11" t="n"/>
      <c r="G4369" s="11" t="n"/>
      <c r="H4369" s="11" t="n"/>
      <c r="I4369" s="11" t="n"/>
      <c r="J4369" s="11" t="n"/>
      <c r="K4369" s="11" t="n"/>
      <c r="L4369" s="11" t="n"/>
      <c r="M4369" s="11" t="n"/>
    </row>
    <row r="4370">
      <c r="A4370" s="11" t="n"/>
      <c r="B4370" s="11" t="n"/>
      <c r="C4370" s="11" t="n"/>
      <c r="D4370" s="11" t="n"/>
      <c r="E4370" s="11" t="n"/>
      <c r="F4370" s="11" t="n"/>
      <c r="G4370" s="11" t="n"/>
      <c r="H4370" s="11" t="n"/>
      <c r="I4370" s="11" t="n"/>
      <c r="J4370" s="11" t="n"/>
      <c r="K4370" s="11" t="n"/>
      <c r="L4370" s="11" t="n"/>
      <c r="M4370" s="11" t="n"/>
    </row>
    <row r="4371">
      <c r="A4371" s="11" t="n"/>
      <c r="B4371" s="11" t="n"/>
      <c r="C4371" s="11" t="n"/>
      <c r="D4371" s="11" t="n"/>
      <c r="E4371" s="11" t="n"/>
      <c r="F4371" s="11" t="n"/>
      <c r="G4371" s="11" t="n"/>
      <c r="H4371" s="11" t="n"/>
      <c r="I4371" s="11" t="n"/>
      <c r="J4371" s="11" t="n"/>
      <c r="K4371" s="11" t="n"/>
      <c r="L4371" s="11" t="n"/>
      <c r="M4371" s="11" t="n"/>
    </row>
    <row r="4372">
      <c r="A4372" s="11" t="n"/>
      <c r="B4372" s="11" t="n"/>
      <c r="C4372" s="11" t="n"/>
      <c r="D4372" s="11" t="n"/>
      <c r="E4372" s="11" t="n"/>
      <c r="F4372" s="11" t="n"/>
      <c r="G4372" s="11" t="n"/>
      <c r="H4372" s="11" t="n"/>
      <c r="I4372" s="11" t="n"/>
      <c r="J4372" s="11" t="n"/>
      <c r="K4372" s="11" t="n"/>
      <c r="L4372" s="11" t="n"/>
      <c r="M4372" s="11" t="n"/>
    </row>
    <row r="4373">
      <c r="A4373" s="11" t="n"/>
      <c r="B4373" s="11" t="n"/>
      <c r="C4373" s="11" t="n"/>
      <c r="D4373" s="11" t="n"/>
      <c r="E4373" s="11" t="n"/>
      <c r="F4373" s="11" t="n"/>
      <c r="G4373" s="11" t="n"/>
      <c r="H4373" s="11" t="n"/>
      <c r="I4373" s="11" t="n"/>
      <c r="J4373" s="11" t="n"/>
      <c r="K4373" s="11" t="n"/>
      <c r="L4373" s="11" t="n"/>
      <c r="M4373" s="11" t="n"/>
    </row>
    <row r="4374">
      <c r="A4374" s="11" t="n"/>
      <c r="B4374" s="11" t="n"/>
      <c r="C4374" s="11" t="n"/>
      <c r="D4374" s="11" t="n"/>
      <c r="E4374" s="11" t="n"/>
      <c r="F4374" s="11" t="n"/>
      <c r="G4374" s="11" t="n"/>
      <c r="H4374" s="11" t="n"/>
      <c r="I4374" s="11" t="n"/>
      <c r="J4374" s="11" t="n"/>
      <c r="K4374" s="11" t="n"/>
      <c r="L4374" s="11" t="n"/>
      <c r="M4374" s="11" t="n"/>
    </row>
    <row r="4375">
      <c r="A4375" s="11" t="n"/>
      <c r="B4375" s="11" t="n"/>
      <c r="C4375" s="11" t="n"/>
      <c r="D4375" s="11" t="n"/>
      <c r="E4375" s="11" t="n"/>
      <c r="F4375" s="11" t="n"/>
      <c r="G4375" s="11" t="n"/>
      <c r="H4375" s="11" t="n"/>
      <c r="I4375" s="11" t="n"/>
      <c r="J4375" s="11" t="n"/>
      <c r="K4375" s="11" t="n"/>
      <c r="L4375" s="11" t="n"/>
      <c r="M4375" s="11" t="n"/>
    </row>
    <row r="4376">
      <c r="A4376" s="11" t="n"/>
      <c r="B4376" s="11" t="n"/>
      <c r="C4376" s="11" t="n"/>
      <c r="D4376" s="11" t="n"/>
      <c r="E4376" s="11" t="n"/>
      <c r="F4376" s="11" t="n"/>
      <c r="G4376" s="11" t="n"/>
      <c r="H4376" s="11" t="n"/>
      <c r="I4376" s="11" t="n"/>
      <c r="J4376" s="11" t="n"/>
      <c r="K4376" s="11" t="n"/>
      <c r="L4376" s="11" t="n"/>
      <c r="M4376" s="11" t="n"/>
    </row>
    <row r="4377">
      <c r="A4377" s="11" t="n"/>
      <c r="B4377" s="11" t="n"/>
      <c r="C4377" s="11" t="n"/>
      <c r="D4377" s="11" t="n"/>
      <c r="E4377" s="11" t="n"/>
      <c r="F4377" s="11" t="n"/>
      <c r="G4377" s="11" t="n"/>
      <c r="H4377" s="11" t="n"/>
      <c r="I4377" s="11" t="n"/>
      <c r="J4377" s="11" t="n"/>
      <c r="K4377" s="11" t="n"/>
      <c r="L4377" s="11" t="n"/>
      <c r="M4377" s="11" t="n"/>
    </row>
    <row r="4378">
      <c r="A4378" s="11" t="n"/>
      <c r="B4378" s="11" t="n"/>
      <c r="C4378" s="11" t="n"/>
      <c r="D4378" s="11" t="n"/>
      <c r="E4378" s="11" t="n"/>
      <c r="F4378" s="11" t="n"/>
      <c r="G4378" s="11" t="n"/>
      <c r="H4378" s="11" t="n"/>
      <c r="I4378" s="11" t="n"/>
      <c r="J4378" s="11" t="n"/>
      <c r="K4378" s="11" t="n"/>
      <c r="L4378" s="11" t="n"/>
      <c r="M4378" s="11" t="n"/>
    </row>
    <row r="4379">
      <c r="A4379" s="11" t="n"/>
      <c r="B4379" s="11" t="n"/>
      <c r="C4379" s="11" t="n"/>
      <c r="D4379" s="11" t="n"/>
      <c r="E4379" s="11" t="n"/>
      <c r="F4379" s="11" t="n"/>
      <c r="G4379" s="11" t="n"/>
      <c r="H4379" s="11" t="n"/>
      <c r="I4379" s="11" t="n"/>
      <c r="J4379" s="11" t="n"/>
      <c r="K4379" s="11" t="n"/>
      <c r="L4379" s="11" t="n"/>
      <c r="M4379" s="11" t="n"/>
    </row>
    <row r="4380">
      <c r="A4380" s="11" t="n"/>
      <c r="B4380" s="11" t="n"/>
      <c r="C4380" s="11" t="n"/>
      <c r="D4380" s="11" t="n"/>
      <c r="E4380" s="11" t="n"/>
      <c r="F4380" s="11" t="n"/>
      <c r="G4380" s="11" t="n"/>
      <c r="H4380" s="11" t="n"/>
      <c r="I4380" s="11" t="n"/>
      <c r="J4380" s="11" t="n"/>
      <c r="K4380" s="11" t="n"/>
      <c r="L4380" s="11" t="n"/>
      <c r="M4380" s="11" t="n"/>
    </row>
    <row r="4381">
      <c r="A4381" s="11" t="n"/>
      <c r="B4381" s="11" t="n"/>
      <c r="C4381" s="11" t="n"/>
      <c r="D4381" s="11" t="n"/>
      <c r="E4381" s="11" t="n"/>
      <c r="F4381" s="11" t="n"/>
      <c r="G4381" s="11" t="n"/>
      <c r="H4381" s="11" t="n"/>
      <c r="I4381" s="11" t="n"/>
      <c r="J4381" s="11" t="n"/>
      <c r="K4381" s="11" t="n"/>
      <c r="L4381" s="11" t="n"/>
      <c r="M4381" s="11" t="n"/>
    </row>
    <row r="4382">
      <c r="A4382" s="11" t="n"/>
      <c r="B4382" s="11" t="n"/>
      <c r="C4382" s="11" t="n"/>
      <c r="D4382" s="11" t="n"/>
      <c r="E4382" s="11" t="n"/>
      <c r="F4382" s="11" t="n"/>
      <c r="G4382" s="11" t="n"/>
      <c r="H4382" s="11" t="n"/>
      <c r="I4382" s="11" t="n"/>
      <c r="J4382" s="11" t="n"/>
      <c r="K4382" s="11" t="n"/>
      <c r="L4382" s="11" t="n"/>
      <c r="M4382" s="11" t="n"/>
    </row>
    <row r="4383">
      <c r="A4383" s="11" t="n"/>
      <c r="B4383" s="11" t="n"/>
      <c r="C4383" s="11" t="n"/>
      <c r="D4383" s="11" t="n"/>
      <c r="E4383" s="11" t="n"/>
      <c r="F4383" s="11" t="n"/>
      <c r="G4383" s="11" t="n"/>
      <c r="H4383" s="11" t="n"/>
      <c r="I4383" s="11" t="n"/>
      <c r="J4383" s="11" t="n"/>
      <c r="K4383" s="11" t="n"/>
      <c r="L4383" s="11" t="n"/>
      <c r="M4383" s="11" t="n"/>
    </row>
    <row r="4384">
      <c r="A4384" s="11" t="n"/>
      <c r="B4384" s="11" t="n"/>
      <c r="C4384" s="11" t="n"/>
      <c r="D4384" s="11" t="n"/>
      <c r="E4384" s="11" t="n"/>
      <c r="F4384" s="11" t="n"/>
      <c r="G4384" s="11" t="n"/>
      <c r="H4384" s="11" t="n"/>
      <c r="I4384" s="11" t="n"/>
      <c r="J4384" s="11" t="n"/>
      <c r="K4384" s="11" t="n"/>
      <c r="L4384" s="11" t="n"/>
      <c r="M4384" s="11" t="n"/>
    </row>
    <row r="4385">
      <c r="A4385" s="11" t="n"/>
      <c r="B4385" s="11" t="n"/>
      <c r="C4385" s="11" t="n"/>
      <c r="D4385" s="11" t="n"/>
      <c r="E4385" s="11" t="n"/>
      <c r="F4385" s="11" t="n"/>
      <c r="G4385" s="11" t="n"/>
      <c r="H4385" s="11" t="n"/>
      <c r="I4385" s="11" t="n"/>
      <c r="J4385" s="11" t="n"/>
      <c r="K4385" s="11" t="n"/>
      <c r="L4385" s="11" t="n"/>
      <c r="M4385" s="11" t="n"/>
    </row>
    <row r="4386">
      <c r="A4386" s="11" t="n"/>
      <c r="B4386" s="11" t="n"/>
      <c r="C4386" s="11" t="n"/>
      <c r="D4386" s="11" t="n"/>
      <c r="E4386" s="11" t="n"/>
      <c r="F4386" s="11" t="n"/>
      <c r="G4386" s="11" t="n"/>
      <c r="H4386" s="11" t="n"/>
      <c r="I4386" s="11" t="n"/>
      <c r="J4386" s="11" t="n"/>
      <c r="K4386" s="11" t="n"/>
      <c r="L4386" s="11" t="n"/>
      <c r="M4386" s="11" t="n"/>
    </row>
    <row r="4387">
      <c r="A4387" s="11" t="n"/>
      <c r="B4387" s="11" t="n"/>
      <c r="C4387" s="11" t="n"/>
      <c r="D4387" s="11" t="n"/>
      <c r="E4387" s="11" t="n"/>
      <c r="F4387" s="11" t="n"/>
      <c r="G4387" s="11" t="n"/>
      <c r="H4387" s="11" t="n"/>
      <c r="I4387" s="11" t="n"/>
      <c r="J4387" s="11" t="n"/>
      <c r="K4387" s="11" t="n"/>
      <c r="L4387" s="11" t="n"/>
      <c r="M4387" s="11" t="n"/>
    </row>
    <row r="4388">
      <c r="A4388" s="11" t="n"/>
      <c r="B4388" s="11" t="n"/>
      <c r="C4388" s="11" t="n"/>
      <c r="D4388" s="11" t="n"/>
      <c r="E4388" s="11" t="n"/>
      <c r="F4388" s="11" t="n"/>
      <c r="G4388" s="11" t="n"/>
      <c r="H4388" s="11" t="n"/>
      <c r="I4388" s="11" t="n"/>
      <c r="J4388" s="11" t="n"/>
      <c r="K4388" s="11" t="n"/>
      <c r="L4388" s="11" t="n"/>
      <c r="M4388" s="11" t="n"/>
    </row>
    <row r="4389">
      <c r="A4389" s="11" t="n"/>
      <c r="B4389" s="11" t="n"/>
      <c r="C4389" s="11" t="n"/>
      <c r="D4389" s="11" t="n"/>
      <c r="E4389" s="11" t="n"/>
      <c r="F4389" s="11" t="n"/>
      <c r="G4389" s="11" t="n"/>
      <c r="H4389" s="11" t="n"/>
      <c r="I4389" s="11" t="n"/>
      <c r="J4389" s="11" t="n"/>
      <c r="K4389" s="11" t="n"/>
      <c r="L4389" s="11" t="n"/>
      <c r="M4389" s="11" t="n"/>
    </row>
    <row r="4390">
      <c r="A4390" s="11" t="n"/>
      <c r="B4390" s="11" t="n"/>
      <c r="C4390" s="11" t="n"/>
      <c r="D4390" s="11" t="n"/>
      <c r="E4390" s="11" t="n"/>
      <c r="F4390" s="11" t="n"/>
      <c r="G4390" s="11" t="n"/>
      <c r="H4390" s="11" t="n"/>
      <c r="I4390" s="11" t="n"/>
      <c r="J4390" s="11" t="n"/>
      <c r="K4390" s="11" t="n"/>
      <c r="L4390" s="11" t="n"/>
      <c r="M4390" s="11" t="n"/>
    </row>
    <row r="4391">
      <c r="A4391" s="11" t="n"/>
      <c r="B4391" s="11" t="n"/>
      <c r="C4391" s="11" t="n"/>
      <c r="D4391" s="11" t="n"/>
      <c r="E4391" s="11" t="n"/>
      <c r="F4391" s="11" t="n"/>
      <c r="G4391" s="11" t="n"/>
      <c r="H4391" s="11" t="n"/>
      <c r="I4391" s="11" t="n"/>
      <c r="J4391" s="11" t="n"/>
      <c r="K4391" s="11" t="n"/>
      <c r="L4391" s="11" t="n"/>
      <c r="M4391" s="11" t="n"/>
    </row>
    <row r="4392">
      <c r="A4392" s="11" t="n"/>
      <c r="B4392" s="11" t="n"/>
      <c r="C4392" s="11" t="n"/>
      <c r="D4392" s="11" t="n"/>
      <c r="E4392" s="11" t="n"/>
      <c r="F4392" s="11" t="n"/>
      <c r="G4392" s="11" t="n"/>
      <c r="H4392" s="11" t="n"/>
      <c r="I4392" s="11" t="n"/>
      <c r="J4392" s="11" t="n"/>
      <c r="K4392" s="11" t="n"/>
      <c r="L4392" s="11" t="n"/>
      <c r="M4392" s="11" t="n"/>
    </row>
    <row r="4393">
      <c r="A4393" s="11" t="n"/>
      <c r="B4393" s="11" t="n"/>
      <c r="C4393" s="11" t="n"/>
      <c r="D4393" s="11" t="n"/>
      <c r="E4393" s="11" t="n"/>
      <c r="F4393" s="11" t="n"/>
      <c r="G4393" s="11" t="n"/>
      <c r="H4393" s="11" t="n"/>
      <c r="I4393" s="11" t="n"/>
      <c r="J4393" s="11" t="n"/>
      <c r="K4393" s="11" t="n"/>
      <c r="L4393" s="11" t="n"/>
      <c r="M4393" s="11" t="n"/>
    </row>
    <row r="4394">
      <c r="A4394" s="11" t="n"/>
      <c r="B4394" s="11" t="n"/>
      <c r="C4394" s="11" t="n"/>
      <c r="D4394" s="11" t="n"/>
      <c r="E4394" s="11" t="n"/>
      <c r="F4394" s="11" t="n"/>
      <c r="G4394" s="11" t="n"/>
      <c r="H4394" s="11" t="n"/>
      <c r="I4394" s="11" t="n"/>
      <c r="J4394" s="11" t="n"/>
      <c r="K4394" s="11" t="n"/>
      <c r="L4394" s="11" t="n"/>
      <c r="M4394" s="11" t="n"/>
    </row>
    <row r="4395">
      <c r="A4395" s="11" t="n"/>
      <c r="B4395" s="11" t="n"/>
      <c r="C4395" s="11" t="n"/>
      <c r="D4395" s="11" t="n"/>
      <c r="E4395" s="11" t="n"/>
      <c r="F4395" s="11" t="n"/>
      <c r="G4395" s="11" t="n"/>
      <c r="H4395" s="11" t="n"/>
      <c r="I4395" s="11" t="n"/>
      <c r="J4395" s="11" t="n"/>
      <c r="K4395" s="11" t="n"/>
      <c r="L4395" s="11" t="n"/>
      <c r="M4395" s="11" t="n"/>
    </row>
    <row r="4396">
      <c r="A4396" s="11" t="n"/>
      <c r="B4396" s="11" t="n"/>
      <c r="C4396" s="11" t="n"/>
      <c r="D4396" s="11" t="n"/>
      <c r="E4396" s="11" t="n"/>
      <c r="F4396" s="11" t="n"/>
      <c r="G4396" s="11" t="n"/>
      <c r="H4396" s="11" t="n"/>
      <c r="I4396" s="11" t="n"/>
      <c r="J4396" s="11" t="n"/>
      <c r="K4396" s="11" t="n"/>
      <c r="L4396" s="11" t="n"/>
      <c r="M4396" s="11" t="n"/>
    </row>
    <row r="4397">
      <c r="A4397" s="11" t="n"/>
      <c r="B4397" s="11" t="n"/>
      <c r="C4397" s="11" t="n"/>
      <c r="D4397" s="11" t="n"/>
      <c r="E4397" s="11" t="n"/>
      <c r="F4397" s="11" t="n"/>
      <c r="G4397" s="11" t="n"/>
      <c r="H4397" s="11" t="n"/>
      <c r="I4397" s="11" t="n"/>
      <c r="J4397" s="11" t="n"/>
      <c r="K4397" s="11" t="n"/>
      <c r="L4397" s="11" t="n"/>
      <c r="M4397" s="11" t="n"/>
    </row>
    <row r="4398">
      <c r="A4398" s="11" t="n"/>
      <c r="B4398" s="11" t="n"/>
      <c r="C4398" s="11" t="n"/>
      <c r="D4398" s="11" t="n"/>
      <c r="E4398" s="11" t="n"/>
      <c r="F4398" s="11" t="n"/>
      <c r="G4398" s="11" t="n"/>
      <c r="H4398" s="11" t="n"/>
      <c r="I4398" s="11" t="n"/>
      <c r="J4398" s="11" t="n"/>
      <c r="K4398" s="11" t="n"/>
      <c r="L4398" s="11" t="n"/>
      <c r="M4398" s="11" t="n"/>
    </row>
    <row r="4399">
      <c r="A4399" s="11" t="n"/>
      <c r="B4399" s="11" t="n"/>
      <c r="C4399" s="11" t="n"/>
      <c r="D4399" s="11" t="n"/>
      <c r="E4399" s="11" t="n"/>
      <c r="F4399" s="11" t="n"/>
      <c r="G4399" s="11" t="n"/>
      <c r="H4399" s="11" t="n"/>
      <c r="I4399" s="11" t="n"/>
      <c r="J4399" s="11" t="n"/>
      <c r="K4399" s="11" t="n"/>
      <c r="L4399" s="11" t="n"/>
      <c r="M4399" s="11" t="n"/>
    </row>
    <row r="4400">
      <c r="A4400" s="11" t="n"/>
      <c r="B4400" s="11" t="n"/>
      <c r="C4400" s="11" t="n"/>
      <c r="D4400" s="11" t="n"/>
      <c r="E4400" s="11" t="n"/>
      <c r="F4400" s="11" t="n"/>
      <c r="G4400" s="11" t="n"/>
      <c r="H4400" s="11" t="n"/>
      <c r="I4400" s="11" t="n"/>
      <c r="J4400" s="11" t="n"/>
      <c r="K4400" s="11" t="n"/>
      <c r="L4400" s="11" t="n"/>
      <c r="M4400" s="11" t="n"/>
    </row>
    <row r="4401">
      <c r="A4401" s="11" t="n"/>
      <c r="B4401" s="11" t="n"/>
      <c r="C4401" s="11" t="n"/>
      <c r="D4401" s="11" t="n"/>
      <c r="E4401" s="11" t="n"/>
      <c r="F4401" s="11" t="n"/>
      <c r="G4401" s="11" t="n"/>
      <c r="H4401" s="11" t="n"/>
      <c r="I4401" s="11" t="n"/>
      <c r="J4401" s="11" t="n"/>
      <c r="K4401" s="11" t="n"/>
      <c r="L4401" s="11" t="n"/>
      <c r="M4401" s="11" t="n"/>
    </row>
    <row r="4402">
      <c r="A4402" s="11" t="n"/>
      <c r="B4402" s="11" t="n"/>
      <c r="C4402" s="11" t="n"/>
      <c r="D4402" s="11" t="n"/>
      <c r="E4402" s="11" t="n"/>
      <c r="F4402" s="11" t="n"/>
      <c r="G4402" s="11" t="n"/>
      <c r="H4402" s="11" t="n"/>
      <c r="I4402" s="11" t="n"/>
      <c r="J4402" s="11" t="n"/>
      <c r="K4402" s="11" t="n"/>
      <c r="L4402" s="11" t="n"/>
      <c r="M4402" s="11" t="n"/>
    </row>
    <row r="4403">
      <c r="A4403" s="11" t="n"/>
      <c r="B4403" s="11" t="n"/>
      <c r="C4403" s="11" t="n"/>
      <c r="D4403" s="11" t="n"/>
      <c r="E4403" s="11" t="n"/>
      <c r="F4403" s="11" t="n"/>
      <c r="G4403" s="11" t="n"/>
      <c r="H4403" s="11" t="n"/>
      <c r="I4403" s="11" t="n"/>
      <c r="J4403" s="11" t="n"/>
      <c r="K4403" s="11" t="n"/>
      <c r="L4403" s="11" t="n"/>
      <c r="M4403" s="11" t="n"/>
    </row>
    <row r="4404">
      <c r="A4404" s="11" t="n"/>
      <c r="B4404" s="11" t="n"/>
      <c r="C4404" s="11" t="n"/>
      <c r="D4404" s="11" t="n"/>
      <c r="E4404" s="11" t="n"/>
      <c r="F4404" s="11" t="n"/>
      <c r="G4404" s="11" t="n"/>
      <c r="H4404" s="11" t="n"/>
      <c r="I4404" s="11" t="n"/>
      <c r="J4404" s="11" t="n"/>
      <c r="K4404" s="11" t="n"/>
      <c r="L4404" s="11" t="n"/>
      <c r="M4404" s="11" t="n"/>
    </row>
    <row r="4405">
      <c r="A4405" s="11" t="n"/>
      <c r="B4405" s="11" t="n"/>
      <c r="C4405" s="11" t="n"/>
      <c r="D4405" s="11" t="n"/>
      <c r="E4405" s="11" t="n"/>
      <c r="F4405" s="11" t="n"/>
      <c r="G4405" s="11" t="n"/>
      <c r="H4405" s="11" t="n"/>
      <c r="I4405" s="11" t="n"/>
      <c r="J4405" s="11" t="n"/>
      <c r="K4405" s="11" t="n"/>
      <c r="L4405" s="11" t="n"/>
      <c r="M4405" s="11" t="n"/>
    </row>
    <row r="4406">
      <c r="A4406" s="11" t="n"/>
      <c r="B4406" s="11" t="n"/>
      <c r="C4406" s="11" t="n"/>
      <c r="D4406" s="11" t="n"/>
      <c r="E4406" s="11" t="n"/>
      <c r="F4406" s="11" t="n"/>
      <c r="G4406" s="11" t="n"/>
      <c r="H4406" s="11" t="n"/>
      <c r="I4406" s="11" t="n"/>
      <c r="J4406" s="11" t="n"/>
      <c r="K4406" s="11" t="n"/>
      <c r="L4406" s="11" t="n"/>
      <c r="M4406" s="11" t="n"/>
    </row>
    <row r="4407">
      <c r="A4407" s="11" t="n"/>
      <c r="B4407" s="11" t="n"/>
      <c r="C4407" s="11" t="n"/>
      <c r="D4407" s="11" t="n"/>
      <c r="E4407" s="11" t="n"/>
      <c r="F4407" s="11" t="n"/>
      <c r="G4407" s="11" t="n"/>
      <c r="H4407" s="11" t="n"/>
      <c r="I4407" s="11" t="n"/>
      <c r="J4407" s="11" t="n"/>
      <c r="K4407" s="11" t="n"/>
      <c r="L4407" s="11" t="n"/>
      <c r="M4407" s="11" t="n"/>
    </row>
    <row r="4408">
      <c r="A4408" s="11" t="n"/>
      <c r="B4408" s="11" t="n"/>
      <c r="C4408" s="11" t="n"/>
      <c r="D4408" s="11" t="n"/>
      <c r="E4408" s="11" t="n"/>
      <c r="F4408" s="11" t="n"/>
      <c r="G4408" s="11" t="n"/>
      <c r="H4408" s="11" t="n"/>
      <c r="I4408" s="11" t="n"/>
      <c r="J4408" s="11" t="n"/>
      <c r="K4408" s="11" t="n"/>
      <c r="L4408" s="11" t="n"/>
      <c r="M4408" s="11" t="n"/>
    </row>
    <row r="4409">
      <c r="A4409" s="11" t="n"/>
      <c r="B4409" s="11" t="n"/>
      <c r="C4409" s="11" t="n"/>
      <c r="D4409" s="11" t="n"/>
      <c r="E4409" s="11" t="n"/>
      <c r="F4409" s="11" t="n"/>
      <c r="G4409" s="11" t="n"/>
      <c r="H4409" s="11" t="n"/>
      <c r="I4409" s="11" t="n"/>
      <c r="J4409" s="11" t="n"/>
      <c r="K4409" s="11" t="n"/>
      <c r="L4409" s="11" t="n"/>
      <c r="M4409" s="11" t="n"/>
    </row>
    <row r="4410">
      <c r="A4410" s="11" t="n"/>
      <c r="B4410" s="11" t="n"/>
      <c r="C4410" s="11" t="n"/>
      <c r="D4410" s="11" t="n"/>
      <c r="E4410" s="11" t="n"/>
      <c r="F4410" s="11" t="n"/>
      <c r="G4410" s="11" t="n"/>
      <c r="H4410" s="11" t="n"/>
      <c r="I4410" s="11" t="n"/>
      <c r="J4410" s="11" t="n"/>
      <c r="K4410" s="11" t="n"/>
      <c r="L4410" s="11" t="n"/>
      <c r="M4410" s="11" t="n"/>
    </row>
    <row r="4411">
      <c r="A4411" s="11" t="n"/>
      <c r="B4411" s="11" t="n"/>
      <c r="C4411" s="11" t="n"/>
      <c r="D4411" s="11" t="n"/>
      <c r="E4411" s="11" t="n"/>
      <c r="F4411" s="11" t="n"/>
      <c r="G4411" s="11" t="n"/>
      <c r="H4411" s="11" t="n"/>
      <c r="I4411" s="11" t="n"/>
      <c r="J4411" s="11" t="n"/>
      <c r="K4411" s="11" t="n"/>
      <c r="L4411" s="11" t="n"/>
      <c r="M4411" s="11" t="n"/>
    </row>
    <row r="4412">
      <c r="A4412" s="11" t="n"/>
      <c r="B4412" s="11" t="n"/>
      <c r="C4412" s="11" t="n"/>
      <c r="D4412" s="11" t="n"/>
      <c r="E4412" s="11" t="n"/>
      <c r="F4412" s="11" t="n"/>
      <c r="G4412" s="11" t="n"/>
      <c r="H4412" s="11" t="n"/>
      <c r="I4412" s="11" t="n"/>
      <c r="J4412" s="11" t="n"/>
      <c r="K4412" s="11" t="n"/>
      <c r="L4412" s="11" t="n"/>
      <c r="M4412" s="11" t="n"/>
    </row>
    <row r="4413">
      <c r="A4413" s="11" t="n"/>
      <c r="B4413" s="11" t="n"/>
      <c r="C4413" s="11" t="n"/>
      <c r="D4413" s="11" t="n"/>
      <c r="E4413" s="11" t="n"/>
      <c r="F4413" s="11" t="n"/>
      <c r="G4413" s="11" t="n"/>
      <c r="H4413" s="11" t="n"/>
      <c r="I4413" s="11" t="n"/>
      <c r="J4413" s="11" t="n"/>
      <c r="K4413" s="11" t="n"/>
      <c r="L4413" s="11" t="n"/>
      <c r="M4413" s="11" t="n"/>
    </row>
    <row r="4414">
      <c r="A4414" s="11" t="n"/>
      <c r="B4414" s="11" t="n"/>
      <c r="C4414" s="11" t="n"/>
      <c r="D4414" s="11" t="n"/>
      <c r="E4414" s="11" t="n"/>
      <c r="F4414" s="11" t="n"/>
      <c r="G4414" s="11" t="n"/>
      <c r="H4414" s="11" t="n"/>
      <c r="I4414" s="11" t="n"/>
      <c r="J4414" s="11" t="n"/>
      <c r="K4414" s="11" t="n"/>
      <c r="L4414" s="11" t="n"/>
      <c r="M4414" s="11" t="n"/>
    </row>
    <row r="4415">
      <c r="A4415" s="11" t="n"/>
      <c r="B4415" s="11" t="n"/>
      <c r="C4415" s="11" t="n"/>
      <c r="D4415" s="11" t="n"/>
      <c r="E4415" s="11" t="n"/>
      <c r="F4415" s="11" t="n"/>
      <c r="G4415" s="11" t="n"/>
      <c r="H4415" s="11" t="n"/>
      <c r="I4415" s="11" t="n"/>
      <c r="J4415" s="11" t="n"/>
      <c r="K4415" s="11" t="n"/>
      <c r="L4415" s="11" t="n"/>
      <c r="M4415" s="11" t="n"/>
    </row>
    <row r="4416">
      <c r="A4416" s="11" t="n"/>
      <c r="B4416" s="11" t="n"/>
      <c r="C4416" s="11" t="n"/>
      <c r="D4416" s="11" t="n"/>
      <c r="E4416" s="11" t="n"/>
      <c r="F4416" s="11" t="n"/>
      <c r="G4416" s="11" t="n"/>
      <c r="H4416" s="11" t="n"/>
      <c r="I4416" s="11" t="n"/>
      <c r="J4416" s="11" t="n"/>
      <c r="K4416" s="11" t="n"/>
      <c r="L4416" s="11" t="n"/>
      <c r="M4416" s="11" t="n"/>
    </row>
    <row r="4417">
      <c r="A4417" s="11" t="n"/>
      <c r="B4417" s="11" t="n"/>
      <c r="C4417" s="11" t="n"/>
      <c r="D4417" s="11" t="n"/>
      <c r="E4417" s="11" t="n"/>
      <c r="F4417" s="11" t="n"/>
      <c r="G4417" s="11" t="n"/>
      <c r="H4417" s="11" t="n"/>
      <c r="I4417" s="11" t="n"/>
      <c r="J4417" s="11" t="n"/>
      <c r="K4417" s="11" t="n"/>
      <c r="L4417" s="11" t="n"/>
      <c r="M4417" s="11" t="n"/>
    </row>
    <row r="4418">
      <c r="A4418" s="11" t="n"/>
      <c r="B4418" s="11" t="n"/>
      <c r="C4418" s="11" t="n"/>
      <c r="D4418" s="11" t="n"/>
      <c r="E4418" s="11" t="n"/>
      <c r="F4418" s="11" t="n"/>
      <c r="G4418" s="11" t="n"/>
      <c r="H4418" s="11" t="n"/>
      <c r="I4418" s="11" t="n"/>
      <c r="J4418" s="11" t="n"/>
      <c r="K4418" s="11" t="n"/>
      <c r="L4418" s="11" t="n"/>
      <c r="M4418" s="11" t="n"/>
    </row>
    <row r="4419">
      <c r="A4419" s="11" t="n"/>
      <c r="B4419" s="11" t="n"/>
      <c r="C4419" s="11" t="n"/>
      <c r="D4419" s="11" t="n"/>
      <c r="E4419" s="11" t="n"/>
      <c r="F4419" s="11" t="n"/>
      <c r="G4419" s="11" t="n"/>
      <c r="H4419" s="11" t="n"/>
      <c r="I4419" s="11" t="n"/>
      <c r="J4419" s="11" t="n"/>
      <c r="K4419" s="11" t="n"/>
      <c r="L4419" s="11" t="n"/>
      <c r="M4419" s="11" t="n"/>
    </row>
    <row r="4420">
      <c r="A4420" s="11" t="n"/>
      <c r="B4420" s="11" t="n"/>
      <c r="C4420" s="11" t="n"/>
      <c r="D4420" s="11" t="n"/>
      <c r="E4420" s="11" t="n"/>
      <c r="F4420" s="11" t="n"/>
      <c r="G4420" s="11" t="n"/>
      <c r="H4420" s="11" t="n"/>
      <c r="I4420" s="11" t="n"/>
      <c r="J4420" s="11" t="n"/>
      <c r="K4420" s="11" t="n"/>
      <c r="L4420" s="11" t="n"/>
      <c r="M4420" s="11" t="n"/>
    </row>
    <row r="4421">
      <c r="A4421" s="11" t="n"/>
      <c r="B4421" s="11" t="n"/>
      <c r="C4421" s="11" t="n"/>
      <c r="D4421" s="11" t="n"/>
      <c r="E4421" s="11" t="n"/>
      <c r="F4421" s="11" t="n"/>
      <c r="G4421" s="11" t="n"/>
      <c r="H4421" s="11" t="n"/>
      <c r="I4421" s="11" t="n"/>
      <c r="J4421" s="11" t="n"/>
      <c r="K4421" s="11" t="n"/>
      <c r="L4421" s="11" t="n"/>
      <c r="M4421" s="11" t="n"/>
    </row>
    <row r="4422">
      <c r="A4422" s="11" t="n"/>
      <c r="B4422" s="11" t="n"/>
      <c r="C4422" s="11" t="n"/>
      <c r="D4422" s="11" t="n"/>
      <c r="E4422" s="11" t="n"/>
      <c r="F4422" s="11" t="n"/>
      <c r="G4422" s="11" t="n"/>
      <c r="H4422" s="11" t="n"/>
      <c r="I4422" s="11" t="n"/>
      <c r="J4422" s="11" t="n"/>
      <c r="K4422" s="11" t="n"/>
      <c r="L4422" s="11" t="n"/>
      <c r="M4422" s="11" t="n"/>
    </row>
    <row r="4423">
      <c r="A4423" s="11" t="n"/>
      <c r="B4423" s="11" t="n"/>
      <c r="C4423" s="11" t="n"/>
      <c r="D4423" s="11" t="n"/>
      <c r="E4423" s="11" t="n"/>
      <c r="F4423" s="11" t="n"/>
      <c r="G4423" s="11" t="n"/>
      <c r="H4423" s="11" t="n"/>
      <c r="I4423" s="11" t="n"/>
      <c r="J4423" s="11" t="n"/>
      <c r="K4423" s="11" t="n"/>
      <c r="L4423" s="11" t="n"/>
      <c r="M4423" s="11" t="n"/>
    </row>
    <row r="4424">
      <c r="A4424" s="11" t="n"/>
      <c r="B4424" s="11" t="n"/>
      <c r="C4424" s="11" t="n"/>
      <c r="D4424" s="11" t="n"/>
      <c r="E4424" s="11" t="n"/>
      <c r="F4424" s="11" t="n"/>
      <c r="G4424" s="11" t="n"/>
      <c r="H4424" s="11" t="n"/>
      <c r="I4424" s="11" t="n"/>
      <c r="J4424" s="11" t="n"/>
      <c r="K4424" s="11" t="n"/>
      <c r="L4424" s="11" t="n"/>
      <c r="M4424" s="11" t="n"/>
    </row>
    <row r="4425">
      <c r="A4425" s="11" t="n"/>
      <c r="B4425" s="11" t="n"/>
      <c r="C4425" s="11" t="n"/>
      <c r="D4425" s="11" t="n"/>
      <c r="E4425" s="11" t="n"/>
      <c r="F4425" s="11" t="n"/>
      <c r="G4425" s="11" t="n"/>
      <c r="H4425" s="11" t="n"/>
      <c r="I4425" s="11" t="n"/>
      <c r="J4425" s="11" t="n"/>
      <c r="K4425" s="11" t="n"/>
      <c r="L4425" s="11" t="n"/>
      <c r="M4425" s="11" t="n"/>
    </row>
    <row r="4426">
      <c r="A4426" s="11" t="n"/>
      <c r="B4426" s="11" t="n"/>
      <c r="C4426" s="11" t="n"/>
      <c r="D4426" s="11" t="n"/>
      <c r="E4426" s="11" t="n"/>
      <c r="F4426" s="11" t="n"/>
      <c r="G4426" s="11" t="n"/>
      <c r="H4426" s="11" t="n"/>
      <c r="I4426" s="11" t="n"/>
      <c r="J4426" s="11" t="n"/>
      <c r="K4426" s="11" t="n"/>
      <c r="L4426" s="11" t="n"/>
      <c r="M4426" s="11" t="n"/>
    </row>
    <row r="4427">
      <c r="A4427" s="11" t="n"/>
      <c r="B4427" s="11" t="n"/>
      <c r="C4427" s="11" t="n"/>
      <c r="D4427" s="11" t="n"/>
      <c r="E4427" s="11" t="n"/>
      <c r="F4427" s="11" t="n"/>
      <c r="G4427" s="11" t="n"/>
      <c r="H4427" s="11" t="n"/>
      <c r="I4427" s="11" t="n"/>
      <c r="J4427" s="11" t="n"/>
      <c r="K4427" s="11" t="n"/>
      <c r="L4427" s="11" t="n"/>
      <c r="M4427" s="11" t="n"/>
    </row>
    <row r="4428">
      <c r="A4428" s="11" t="n"/>
      <c r="B4428" s="11" t="n"/>
      <c r="C4428" s="11" t="n"/>
      <c r="D4428" s="11" t="n"/>
      <c r="E4428" s="11" t="n"/>
      <c r="F4428" s="11" t="n"/>
      <c r="G4428" s="11" t="n"/>
      <c r="H4428" s="11" t="n"/>
      <c r="I4428" s="11" t="n"/>
      <c r="J4428" s="11" t="n"/>
      <c r="K4428" s="11" t="n"/>
      <c r="L4428" s="11" t="n"/>
      <c r="M4428" s="11" t="n"/>
    </row>
    <row r="4429">
      <c r="A4429" s="11" t="n"/>
      <c r="B4429" s="11" t="n"/>
      <c r="C4429" s="11" t="n"/>
      <c r="D4429" s="11" t="n"/>
      <c r="E4429" s="11" t="n"/>
      <c r="F4429" s="11" t="n"/>
      <c r="G4429" s="11" t="n"/>
      <c r="H4429" s="11" t="n"/>
      <c r="I4429" s="11" t="n"/>
      <c r="J4429" s="11" t="n"/>
      <c r="K4429" s="11" t="n"/>
      <c r="L4429" s="11" t="n"/>
      <c r="M4429" s="11" t="n"/>
    </row>
    <row r="4430">
      <c r="A4430" s="11" t="n"/>
      <c r="B4430" s="11" t="n"/>
      <c r="C4430" s="11" t="n"/>
      <c r="D4430" s="11" t="n"/>
      <c r="E4430" s="11" t="n"/>
      <c r="F4430" s="11" t="n"/>
      <c r="G4430" s="11" t="n"/>
      <c r="H4430" s="11" t="n"/>
      <c r="I4430" s="11" t="n"/>
      <c r="J4430" s="11" t="n"/>
      <c r="K4430" s="11" t="n"/>
      <c r="L4430" s="11" t="n"/>
      <c r="M4430" s="11" t="n"/>
    </row>
    <row r="4431">
      <c r="A4431" s="11" t="n"/>
      <c r="B4431" s="11" t="n"/>
      <c r="C4431" s="11" t="n"/>
      <c r="D4431" s="11" t="n"/>
      <c r="E4431" s="11" t="n"/>
      <c r="F4431" s="11" t="n"/>
      <c r="G4431" s="11" t="n"/>
      <c r="H4431" s="11" t="n"/>
      <c r="I4431" s="11" t="n"/>
      <c r="J4431" s="11" t="n"/>
      <c r="K4431" s="11" t="n"/>
      <c r="L4431" s="11" t="n"/>
      <c r="M4431" s="11" t="n"/>
    </row>
    <row r="4432">
      <c r="A4432" s="11" t="n"/>
      <c r="B4432" s="11" t="n"/>
      <c r="C4432" s="11" t="n"/>
      <c r="D4432" s="11" t="n"/>
      <c r="E4432" s="11" t="n"/>
      <c r="F4432" s="11" t="n"/>
      <c r="G4432" s="11" t="n"/>
      <c r="H4432" s="11" t="n"/>
      <c r="I4432" s="11" t="n"/>
      <c r="J4432" s="11" t="n"/>
      <c r="K4432" s="11" t="n"/>
      <c r="L4432" s="11" t="n"/>
      <c r="M4432" s="11" t="n"/>
    </row>
    <row r="4433">
      <c r="A4433" s="11" t="n"/>
      <c r="B4433" s="11" t="n"/>
      <c r="C4433" s="11" t="n"/>
      <c r="D4433" s="11" t="n"/>
      <c r="E4433" s="11" t="n"/>
      <c r="F4433" s="11" t="n"/>
      <c r="G4433" s="11" t="n"/>
      <c r="H4433" s="11" t="n"/>
      <c r="I4433" s="11" t="n"/>
      <c r="J4433" s="11" t="n"/>
      <c r="K4433" s="11" t="n"/>
      <c r="L4433" s="11" t="n"/>
      <c r="M4433" s="11" t="n"/>
    </row>
    <row r="4434">
      <c r="A4434" s="11" t="n"/>
      <c r="B4434" s="11" t="n"/>
      <c r="C4434" s="11" t="n"/>
      <c r="D4434" s="11" t="n"/>
      <c r="E4434" s="11" t="n"/>
      <c r="F4434" s="11" t="n"/>
      <c r="G4434" s="11" t="n"/>
      <c r="H4434" s="11" t="n"/>
      <c r="I4434" s="11" t="n"/>
      <c r="J4434" s="11" t="n"/>
      <c r="K4434" s="11" t="n"/>
      <c r="L4434" s="11" t="n"/>
      <c r="M4434" s="11" t="n"/>
    </row>
    <row r="4435">
      <c r="A4435" s="11" t="n"/>
      <c r="B4435" s="11" t="n"/>
      <c r="C4435" s="11" t="n"/>
      <c r="D4435" s="11" t="n"/>
      <c r="E4435" s="11" t="n"/>
      <c r="F4435" s="11" t="n"/>
      <c r="G4435" s="11" t="n"/>
      <c r="H4435" s="11" t="n"/>
      <c r="I4435" s="11" t="n"/>
      <c r="J4435" s="11" t="n"/>
      <c r="K4435" s="11" t="n"/>
      <c r="L4435" s="11" t="n"/>
      <c r="M4435" s="11" t="n"/>
    </row>
    <row r="4436">
      <c r="A4436" s="11" t="n"/>
      <c r="B4436" s="11" t="n"/>
      <c r="C4436" s="11" t="n"/>
      <c r="D4436" s="11" t="n"/>
      <c r="E4436" s="11" t="n"/>
      <c r="F4436" s="11" t="n"/>
      <c r="G4436" s="11" t="n"/>
      <c r="H4436" s="11" t="n"/>
      <c r="I4436" s="11" t="n"/>
      <c r="J4436" s="11" t="n"/>
      <c r="K4436" s="11" t="n"/>
      <c r="L4436" s="11" t="n"/>
      <c r="M4436" s="11" t="n"/>
    </row>
    <row r="4437">
      <c r="A4437" s="11" t="n"/>
      <c r="B4437" s="11" t="n"/>
      <c r="C4437" s="11" t="n"/>
      <c r="D4437" s="11" t="n"/>
      <c r="E4437" s="11" t="n"/>
      <c r="F4437" s="11" t="n"/>
      <c r="G4437" s="11" t="n"/>
      <c r="H4437" s="11" t="n"/>
      <c r="I4437" s="11" t="n"/>
      <c r="J4437" s="11" t="n"/>
      <c r="K4437" s="11" t="n"/>
      <c r="L4437" s="11" t="n"/>
      <c r="M4437" s="11" t="n"/>
    </row>
    <row r="4438">
      <c r="A4438" s="11" t="n"/>
      <c r="B4438" s="11" t="n"/>
      <c r="C4438" s="11" t="n"/>
      <c r="D4438" s="11" t="n"/>
      <c r="E4438" s="11" t="n"/>
      <c r="F4438" s="11" t="n"/>
      <c r="G4438" s="11" t="n"/>
      <c r="H4438" s="11" t="n"/>
      <c r="I4438" s="11" t="n"/>
      <c r="J4438" s="11" t="n"/>
      <c r="K4438" s="11" t="n"/>
      <c r="L4438" s="11" t="n"/>
      <c r="M4438" s="11" t="n"/>
    </row>
    <row r="4439">
      <c r="A4439" s="11" t="n"/>
      <c r="B4439" s="11" t="n"/>
      <c r="C4439" s="11" t="n"/>
      <c r="D4439" s="11" t="n"/>
      <c r="E4439" s="11" t="n"/>
      <c r="F4439" s="11" t="n"/>
      <c r="G4439" s="11" t="n"/>
      <c r="H4439" s="11" t="n"/>
      <c r="I4439" s="11" t="n"/>
      <c r="J4439" s="11" t="n"/>
      <c r="K4439" s="11" t="n"/>
      <c r="L4439" s="11" t="n"/>
      <c r="M4439" s="11" t="n"/>
    </row>
    <row r="4440">
      <c r="A4440" s="11" t="n"/>
      <c r="B4440" s="11" t="n"/>
      <c r="C4440" s="11" t="n"/>
      <c r="D4440" s="11" t="n"/>
      <c r="E4440" s="11" t="n"/>
      <c r="F4440" s="11" t="n"/>
      <c r="G4440" s="11" t="n"/>
      <c r="H4440" s="11" t="n"/>
      <c r="I4440" s="11" t="n"/>
      <c r="J4440" s="11" t="n"/>
      <c r="K4440" s="11" t="n"/>
      <c r="L4440" s="11" t="n"/>
      <c r="M4440" s="11" t="n"/>
    </row>
    <row r="4441">
      <c r="A4441" s="11" t="n"/>
      <c r="B4441" s="11" t="n"/>
      <c r="C4441" s="11" t="n"/>
      <c r="D4441" s="11" t="n"/>
      <c r="E4441" s="11" t="n"/>
      <c r="F4441" s="11" t="n"/>
      <c r="G4441" s="11" t="n"/>
      <c r="H4441" s="11" t="n"/>
      <c r="I4441" s="11" t="n"/>
      <c r="J4441" s="11" t="n"/>
      <c r="K4441" s="11" t="n"/>
      <c r="L4441" s="11" t="n"/>
      <c r="M4441" s="11" t="n"/>
    </row>
    <row r="4442">
      <c r="A4442" s="11" t="n"/>
      <c r="B4442" s="11" t="n"/>
      <c r="C4442" s="11" t="n"/>
      <c r="D4442" s="11" t="n"/>
      <c r="E4442" s="11" t="n"/>
      <c r="F4442" s="11" t="n"/>
      <c r="G4442" s="11" t="n"/>
      <c r="H4442" s="11" t="n"/>
      <c r="I4442" s="11" t="n"/>
      <c r="J4442" s="11" t="n"/>
      <c r="K4442" s="11" t="n"/>
      <c r="L4442" s="11" t="n"/>
      <c r="M4442" s="11" t="n"/>
    </row>
    <row r="4443">
      <c r="A4443" s="11" t="n"/>
      <c r="B4443" s="11" t="n"/>
      <c r="C4443" s="11" t="n"/>
      <c r="D4443" s="11" t="n"/>
      <c r="E4443" s="11" t="n"/>
      <c r="F4443" s="11" t="n"/>
      <c r="G4443" s="11" t="n"/>
      <c r="H4443" s="11" t="n"/>
      <c r="I4443" s="11" t="n"/>
      <c r="J4443" s="11" t="n"/>
      <c r="K4443" s="11" t="n"/>
      <c r="L4443" s="11" t="n"/>
      <c r="M4443" s="11" t="n"/>
    </row>
    <row r="4444">
      <c r="A4444" s="11" t="n"/>
      <c r="B4444" s="11" t="n"/>
      <c r="C4444" s="11" t="n"/>
      <c r="D4444" s="11" t="n"/>
      <c r="E4444" s="11" t="n"/>
      <c r="F4444" s="11" t="n"/>
      <c r="G4444" s="11" t="n"/>
      <c r="H4444" s="11" t="n"/>
      <c r="I4444" s="11" t="n"/>
      <c r="J4444" s="11" t="n"/>
      <c r="K4444" s="11" t="n"/>
      <c r="L4444" s="11" t="n"/>
      <c r="M4444" s="11" t="n"/>
    </row>
    <row r="4445">
      <c r="A4445" s="11" t="n"/>
      <c r="B4445" s="11" t="n"/>
      <c r="C4445" s="11" t="n"/>
      <c r="D4445" s="11" t="n"/>
      <c r="E4445" s="11" t="n"/>
      <c r="F4445" s="11" t="n"/>
      <c r="G4445" s="11" t="n"/>
      <c r="H4445" s="11" t="n"/>
      <c r="I4445" s="11" t="n"/>
      <c r="J4445" s="11" t="n"/>
      <c r="K4445" s="11" t="n"/>
      <c r="L4445" s="11" t="n"/>
      <c r="M4445" s="11" t="n"/>
    </row>
    <row r="4446">
      <c r="A4446" s="11" t="n"/>
      <c r="B4446" s="11" t="n"/>
      <c r="C4446" s="11" t="n"/>
      <c r="D4446" s="11" t="n"/>
      <c r="E4446" s="11" t="n"/>
      <c r="F4446" s="11" t="n"/>
      <c r="G4446" s="11" t="n"/>
      <c r="H4446" s="11" t="n"/>
      <c r="I4446" s="11" t="n"/>
      <c r="J4446" s="11" t="n"/>
      <c r="K4446" s="11" t="n"/>
      <c r="L4446" s="11" t="n"/>
      <c r="M4446" s="11" t="n"/>
    </row>
    <row r="4447">
      <c r="A4447" s="11" t="n"/>
      <c r="B4447" s="11" t="n"/>
      <c r="C4447" s="11" t="n"/>
      <c r="D4447" s="11" t="n"/>
      <c r="E4447" s="11" t="n"/>
      <c r="F4447" s="11" t="n"/>
      <c r="G4447" s="11" t="n"/>
      <c r="H4447" s="11" t="n"/>
      <c r="I4447" s="11" t="n"/>
      <c r="J4447" s="11" t="n"/>
      <c r="K4447" s="11" t="n"/>
      <c r="L4447" s="11" t="n"/>
      <c r="M4447" s="11" t="n"/>
    </row>
    <row r="4448">
      <c r="A4448" s="11" t="n"/>
      <c r="B4448" s="11" t="n"/>
      <c r="C4448" s="11" t="n"/>
      <c r="D4448" s="11" t="n"/>
      <c r="E4448" s="11" t="n"/>
      <c r="F4448" s="11" t="n"/>
      <c r="G4448" s="11" t="n"/>
      <c r="H4448" s="11" t="n"/>
      <c r="I4448" s="11" t="n"/>
      <c r="J4448" s="11" t="n"/>
      <c r="K4448" s="11" t="n"/>
      <c r="L4448" s="11" t="n"/>
      <c r="M4448" s="11" t="n"/>
    </row>
    <row r="4449">
      <c r="A4449" s="11" t="n"/>
      <c r="B4449" s="11" t="n"/>
      <c r="C4449" s="11" t="n"/>
      <c r="D4449" s="11" t="n"/>
      <c r="E4449" s="11" t="n"/>
      <c r="F4449" s="11" t="n"/>
      <c r="G4449" s="11" t="n"/>
      <c r="H4449" s="11" t="n"/>
      <c r="I4449" s="11" t="n"/>
      <c r="J4449" s="11" t="n"/>
      <c r="K4449" s="11" t="n"/>
      <c r="L4449" s="11" t="n"/>
      <c r="M4449" s="11" t="n"/>
    </row>
    <row r="4450">
      <c r="A4450" s="11" t="n"/>
      <c r="B4450" s="11" t="n"/>
      <c r="C4450" s="11" t="n"/>
      <c r="D4450" s="11" t="n"/>
      <c r="E4450" s="11" t="n"/>
      <c r="F4450" s="11" t="n"/>
      <c r="G4450" s="11" t="n"/>
      <c r="H4450" s="11" t="n"/>
      <c r="I4450" s="11" t="n"/>
      <c r="J4450" s="11" t="n"/>
      <c r="K4450" s="11" t="n"/>
      <c r="L4450" s="11" t="n"/>
      <c r="M4450" s="11" t="n"/>
    </row>
    <row r="4451">
      <c r="A4451" s="11" t="n"/>
      <c r="B4451" s="11" t="n"/>
      <c r="C4451" s="11" t="n"/>
      <c r="D4451" s="11" t="n"/>
      <c r="E4451" s="11" t="n"/>
      <c r="F4451" s="11" t="n"/>
      <c r="G4451" s="11" t="n"/>
      <c r="H4451" s="11" t="n"/>
      <c r="I4451" s="11" t="n"/>
      <c r="J4451" s="11" t="n"/>
      <c r="K4451" s="11" t="n"/>
      <c r="L4451" s="11" t="n"/>
      <c r="M4451" s="11" t="n"/>
    </row>
    <row r="4452">
      <c r="A4452" s="11" t="n"/>
      <c r="B4452" s="11" t="n"/>
      <c r="C4452" s="11" t="n"/>
      <c r="D4452" s="11" t="n"/>
      <c r="E4452" s="11" t="n"/>
      <c r="F4452" s="11" t="n"/>
      <c r="G4452" s="11" t="n"/>
      <c r="H4452" s="11" t="n"/>
      <c r="I4452" s="11" t="n"/>
      <c r="J4452" s="11" t="n"/>
      <c r="K4452" s="11" t="n"/>
      <c r="L4452" s="11" t="n"/>
      <c r="M4452" s="11" t="n"/>
    </row>
    <row r="4453">
      <c r="A4453" s="11" t="n"/>
      <c r="B4453" s="11" t="n"/>
      <c r="C4453" s="11" t="n"/>
      <c r="D4453" s="11" t="n"/>
      <c r="E4453" s="11" t="n"/>
      <c r="F4453" s="11" t="n"/>
      <c r="G4453" s="11" t="n"/>
      <c r="H4453" s="11" t="n"/>
      <c r="I4453" s="11" t="n"/>
      <c r="J4453" s="11" t="n"/>
      <c r="K4453" s="11" t="n"/>
      <c r="L4453" s="11" t="n"/>
      <c r="M4453" s="11" t="n"/>
    </row>
    <row r="4454">
      <c r="A4454" s="11" t="n"/>
      <c r="B4454" s="11" t="n"/>
      <c r="C4454" s="11" t="n"/>
      <c r="D4454" s="11" t="n"/>
      <c r="E4454" s="11" t="n"/>
      <c r="F4454" s="11" t="n"/>
      <c r="G4454" s="11" t="n"/>
      <c r="H4454" s="11" t="n"/>
      <c r="I4454" s="11" t="n"/>
      <c r="J4454" s="11" t="n"/>
      <c r="K4454" s="11" t="n"/>
      <c r="L4454" s="11" t="n"/>
      <c r="M4454" s="11" t="n"/>
    </row>
    <row r="4455">
      <c r="A4455" s="11" t="n"/>
      <c r="B4455" s="11" t="n"/>
      <c r="C4455" s="11" t="n"/>
      <c r="D4455" s="11" t="n"/>
      <c r="E4455" s="11" t="n"/>
      <c r="F4455" s="11" t="n"/>
      <c r="G4455" s="11" t="n"/>
      <c r="H4455" s="11" t="n"/>
      <c r="I4455" s="11" t="n"/>
      <c r="J4455" s="11" t="n"/>
      <c r="K4455" s="11" t="n"/>
      <c r="L4455" s="11" t="n"/>
      <c r="M4455" s="11" t="n"/>
    </row>
    <row r="4456">
      <c r="A4456" s="11" t="n"/>
      <c r="B4456" s="11" t="n"/>
      <c r="C4456" s="11" t="n"/>
      <c r="D4456" s="11" t="n"/>
      <c r="E4456" s="11" t="n"/>
      <c r="F4456" s="11" t="n"/>
      <c r="G4456" s="11" t="n"/>
      <c r="H4456" s="11" t="n"/>
      <c r="I4456" s="11" t="n"/>
      <c r="J4456" s="11" t="n"/>
      <c r="K4456" s="11" t="n"/>
      <c r="L4456" s="11" t="n"/>
      <c r="M4456" s="11" t="n"/>
    </row>
    <row r="4457">
      <c r="A4457" s="11" t="n"/>
      <c r="B4457" s="11" t="n"/>
      <c r="C4457" s="11" t="n"/>
      <c r="D4457" s="11" t="n"/>
      <c r="E4457" s="11" t="n"/>
      <c r="F4457" s="11" t="n"/>
      <c r="G4457" s="11" t="n"/>
      <c r="H4457" s="11" t="n"/>
      <c r="I4457" s="11" t="n"/>
      <c r="J4457" s="11" t="n"/>
      <c r="K4457" s="11" t="n"/>
      <c r="L4457" s="11" t="n"/>
      <c r="M4457" s="11" t="n"/>
    </row>
    <row r="4458">
      <c r="A4458" s="11" t="n"/>
      <c r="B4458" s="11" t="n"/>
      <c r="C4458" s="11" t="n"/>
      <c r="D4458" s="11" t="n"/>
      <c r="E4458" s="11" t="n"/>
      <c r="F4458" s="11" t="n"/>
      <c r="G4458" s="11" t="n"/>
      <c r="H4458" s="11" t="n"/>
      <c r="I4458" s="11" t="n"/>
      <c r="J4458" s="11" t="n"/>
      <c r="K4458" s="11" t="n"/>
      <c r="L4458" s="11" t="n"/>
      <c r="M4458" s="11" t="n"/>
    </row>
    <row r="4459">
      <c r="A4459" s="11" t="n"/>
      <c r="B4459" s="11" t="n"/>
      <c r="C4459" s="11" t="n"/>
      <c r="D4459" s="11" t="n"/>
      <c r="E4459" s="11" t="n"/>
      <c r="F4459" s="11" t="n"/>
      <c r="G4459" s="11" t="n"/>
      <c r="H4459" s="11" t="n"/>
      <c r="I4459" s="11" t="n"/>
      <c r="J4459" s="11" t="n"/>
      <c r="K4459" s="11" t="n"/>
      <c r="L4459" s="11" t="n"/>
      <c r="M4459" s="11" t="n"/>
    </row>
    <row r="4460">
      <c r="A4460" s="11" t="n"/>
      <c r="B4460" s="11" t="n"/>
      <c r="C4460" s="11" t="n"/>
      <c r="D4460" s="11" t="n"/>
      <c r="E4460" s="11" t="n"/>
      <c r="F4460" s="11" t="n"/>
      <c r="G4460" s="11" t="n"/>
      <c r="H4460" s="11" t="n"/>
      <c r="I4460" s="11" t="n"/>
      <c r="J4460" s="11" t="n"/>
      <c r="K4460" s="11" t="n"/>
      <c r="L4460" s="11" t="n"/>
      <c r="M4460" s="11" t="n"/>
    </row>
    <row r="4461">
      <c r="A4461" s="11" t="n"/>
      <c r="B4461" s="11" t="n"/>
      <c r="C4461" s="11" t="n"/>
      <c r="D4461" s="11" t="n"/>
      <c r="E4461" s="11" t="n"/>
      <c r="F4461" s="11" t="n"/>
      <c r="G4461" s="11" t="n"/>
      <c r="H4461" s="11" t="n"/>
      <c r="I4461" s="11" t="n"/>
      <c r="J4461" s="11" t="n"/>
      <c r="K4461" s="11" t="n"/>
      <c r="L4461" s="11" t="n"/>
      <c r="M4461" s="11" t="n"/>
    </row>
    <row r="4462">
      <c r="A4462" s="11" t="n"/>
      <c r="B4462" s="11" t="n"/>
      <c r="C4462" s="11" t="n"/>
      <c r="D4462" s="11" t="n"/>
      <c r="E4462" s="11" t="n"/>
      <c r="F4462" s="11" t="n"/>
      <c r="G4462" s="11" t="n"/>
      <c r="H4462" s="11" t="n"/>
      <c r="I4462" s="11" t="n"/>
      <c r="J4462" s="11" t="n"/>
      <c r="K4462" s="11" t="n"/>
      <c r="L4462" s="11" t="n"/>
      <c r="M4462" s="11" t="n"/>
    </row>
    <row r="4463">
      <c r="A4463" s="11" t="n"/>
      <c r="B4463" s="11" t="n"/>
      <c r="C4463" s="11" t="n"/>
      <c r="D4463" s="11" t="n"/>
      <c r="E4463" s="11" t="n"/>
      <c r="F4463" s="11" t="n"/>
      <c r="G4463" s="11" t="n"/>
      <c r="H4463" s="11" t="n"/>
      <c r="I4463" s="11" t="n"/>
      <c r="J4463" s="11" t="n"/>
      <c r="K4463" s="11" t="n"/>
      <c r="L4463" s="11" t="n"/>
      <c r="M4463" s="11" t="n"/>
    </row>
    <row r="4464">
      <c r="A4464" s="11" t="n"/>
      <c r="B4464" s="11" t="n"/>
      <c r="C4464" s="11" t="n"/>
      <c r="D4464" s="11" t="n"/>
      <c r="E4464" s="11" t="n"/>
      <c r="F4464" s="11" t="n"/>
      <c r="G4464" s="11" t="n"/>
      <c r="H4464" s="11" t="n"/>
      <c r="I4464" s="11" t="n"/>
      <c r="J4464" s="11" t="n"/>
      <c r="K4464" s="11" t="n"/>
      <c r="L4464" s="11" t="n"/>
      <c r="M4464" s="11" t="n"/>
    </row>
    <row r="4465">
      <c r="A4465" s="11" t="n"/>
      <c r="B4465" s="11" t="n"/>
      <c r="C4465" s="11" t="n"/>
      <c r="D4465" s="11" t="n"/>
      <c r="E4465" s="11" t="n"/>
      <c r="F4465" s="11" t="n"/>
      <c r="G4465" s="11" t="n"/>
      <c r="H4465" s="11" t="n"/>
      <c r="I4465" s="11" t="n"/>
      <c r="J4465" s="11" t="n"/>
      <c r="K4465" s="11" t="n"/>
      <c r="L4465" s="11" t="n"/>
      <c r="M4465" s="11" t="n"/>
    </row>
    <row r="4466">
      <c r="A4466" s="11" t="n"/>
      <c r="B4466" s="11" t="n"/>
      <c r="C4466" s="11" t="n"/>
      <c r="D4466" s="11" t="n"/>
      <c r="E4466" s="11" t="n"/>
      <c r="F4466" s="11" t="n"/>
      <c r="G4466" s="11" t="n"/>
      <c r="H4466" s="11" t="n"/>
      <c r="I4466" s="11" t="n"/>
      <c r="J4466" s="11" t="n"/>
      <c r="K4466" s="11" t="n"/>
      <c r="L4466" s="11" t="n"/>
      <c r="M4466" s="11" t="n"/>
    </row>
    <row r="4467">
      <c r="A4467" s="11" t="n"/>
      <c r="B4467" s="11" t="n"/>
      <c r="C4467" s="11" t="n"/>
      <c r="D4467" s="11" t="n"/>
      <c r="E4467" s="11" t="n"/>
      <c r="F4467" s="11" t="n"/>
      <c r="G4467" s="11" t="n"/>
      <c r="H4467" s="11" t="n"/>
      <c r="I4467" s="11" t="n"/>
      <c r="J4467" s="11" t="n"/>
      <c r="K4467" s="11" t="n"/>
      <c r="L4467" s="11" t="n"/>
      <c r="M4467" s="11" t="n"/>
    </row>
    <row r="4468">
      <c r="A4468" s="11" t="n"/>
      <c r="B4468" s="11" t="n"/>
      <c r="C4468" s="11" t="n"/>
      <c r="D4468" s="11" t="n"/>
      <c r="E4468" s="11" t="n"/>
      <c r="F4468" s="11" t="n"/>
      <c r="G4468" s="11" t="n"/>
      <c r="H4468" s="11" t="n"/>
      <c r="I4468" s="11" t="n"/>
      <c r="J4468" s="11" t="n"/>
      <c r="K4468" s="11" t="n"/>
      <c r="L4468" s="11" t="n"/>
      <c r="M4468" s="11" t="n"/>
    </row>
    <row r="4469">
      <c r="A4469" s="11" t="n"/>
      <c r="B4469" s="11" t="n"/>
      <c r="C4469" s="11" t="n"/>
      <c r="D4469" s="11" t="n"/>
      <c r="E4469" s="11" t="n"/>
      <c r="F4469" s="11" t="n"/>
      <c r="G4469" s="11" t="n"/>
      <c r="H4469" s="11" t="n"/>
      <c r="I4469" s="11" t="n"/>
      <c r="J4469" s="11" t="n"/>
      <c r="K4469" s="11" t="n"/>
      <c r="L4469" s="11" t="n"/>
      <c r="M4469" s="11" t="n"/>
    </row>
    <row r="4470">
      <c r="A4470" s="11" t="n"/>
      <c r="B4470" s="11" t="n"/>
      <c r="C4470" s="11" t="n"/>
      <c r="D4470" s="11" t="n"/>
      <c r="E4470" s="11" t="n"/>
      <c r="F4470" s="11" t="n"/>
      <c r="G4470" s="11" t="n"/>
      <c r="H4470" s="11" t="n"/>
      <c r="I4470" s="11" t="n"/>
      <c r="J4470" s="11" t="n"/>
      <c r="K4470" s="11" t="n"/>
      <c r="L4470" s="11" t="n"/>
      <c r="M4470" s="11" t="n"/>
    </row>
    <row r="4471">
      <c r="A4471" s="11" t="n"/>
      <c r="B4471" s="11" t="n"/>
      <c r="C4471" s="11" t="n"/>
      <c r="D4471" s="11" t="n"/>
      <c r="E4471" s="11" t="n"/>
      <c r="F4471" s="11" t="n"/>
      <c r="G4471" s="11" t="n"/>
      <c r="H4471" s="11" t="n"/>
      <c r="I4471" s="11" t="n"/>
      <c r="J4471" s="11" t="n"/>
      <c r="K4471" s="11" t="n"/>
      <c r="L4471" s="11" t="n"/>
      <c r="M4471" s="11" t="n"/>
    </row>
    <row r="4472">
      <c r="A4472" s="11" t="n"/>
      <c r="B4472" s="11" t="n"/>
      <c r="C4472" s="11" t="n"/>
      <c r="D4472" s="11" t="n"/>
      <c r="E4472" s="11" t="n"/>
      <c r="F4472" s="11" t="n"/>
      <c r="G4472" s="11" t="n"/>
      <c r="H4472" s="11" t="n"/>
      <c r="I4472" s="11" t="n"/>
      <c r="J4472" s="11" t="n"/>
      <c r="K4472" s="11" t="n"/>
      <c r="L4472" s="11" t="n"/>
      <c r="M4472" s="11" t="n"/>
    </row>
    <row r="4473">
      <c r="A4473" s="11" t="n"/>
      <c r="B4473" s="11" t="n"/>
      <c r="C4473" s="11" t="n"/>
      <c r="D4473" s="11" t="n"/>
      <c r="E4473" s="11" t="n"/>
      <c r="F4473" s="11" t="n"/>
      <c r="G4473" s="11" t="n"/>
      <c r="H4473" s="11" t="n"/>
      <c r="I4473" s="11" t="n"/>
      <c r="J4473" s="11" t="n"/>
      <c r="K4473" s="11" t="n"/>
      <c r="L4473" s="11" t="n"/>
      <c r="M4473" s="11" t="n"/>
    </row>
    <row r="4474">
      <c r="A4474" s="11" t="n"/>
      <c r="B4474" s="11" t="n"/>
      <c r="C4474" s="11" t="n"/>
      <c r="D4474" s="11" t="n"/>
      <c r="E4474" s="11" t="n"/>
      <c r="F4474" s="11" t="n"/>
      <c r="G4474" s="11" t="n"/>
      <c r="H4474" s="11" t="n"/>
      <c r="I4474" s="11" t="n"/>
      <c r="J4474" s="11" t="n"/>
      <c r="K4474" s="11" t="n"/>
      <c r="L4474" s="11" t="n"/>
      <c r="M4474" s="11" t="n"/>
    </row>
    <row r="4475">
      <c r="A4475" s="11" t="n"/>
      <c r="B4475" s="11" t="n"/>
      <c r="C4475" s="11" t="n"/>
      <c r="D4475" s="11" t="n"/>
      <c r="E4475" s="11" t="n"/>
      <c r="F4475" s="11" t="n"/>
      <c r="G4475" s="11" t="n"/>
      <c r="H4475" s="11" t="n"/>
      <c r="I4475" s="11" t="n"/>
      <c r="J4475" s="11" t="n"/>
      <c r="K4475" s="11" t="n"/>
      <c r="L4475" s="11" t="n"/>
      <c r="M4475" s="11" t="n"/>
    </row>
    <row r="4476">
      <c r="A4476" s="11" t="n"/>
      <c r="B4476" s="11" t="n"/>
      <c r="C4476" s="11" t="n"/>
      <c r="D4476" s="11" t="n"/>
      <c r="E4476" s="11" t="n"/>
      <c r="F4476" s="11" t="n"/>
      <c r="G4476" s="11" t="n"/>
      <c r="H4476" s="11" t="n"/>
      <c r="I4476" s="11" t="n"/>
      <c r="J4476" s="11" t="n"/>
      <c r="K4476" s="11" t="n"/>
      <c r="L4476" s="11" t="n"/>
      <c r="M4476" s="11" t="n"/>
    </row>
    <row r="4477">
      <c r="A4477" s="11" t="n"/>
      <c r="B4477" s="11" t="n"/>
      <c r="C4477" s="11" t="n"/>
      <c r="D4477" s="11" t="n"/>
      <c r="E4477" s="11" t="n"/>
      <c r="F4477" s="11" t="n"/>
      <c r="G4477" s="11" t="n"/>
      <c r="H4477" s="11" t="n"/>
      <c r="I4477" s="11" t="n"/>
      <c r="J4477" s="11" t="n"/>
      <c r="K4477" s="11" t="n"/>
      <c r="L4477" s="11" t="n"/>
      <c r="M4477" s="11" t="n"/>
    </row>
    <row r="4478">
      <c r="A4478" s="11" t="n"/>
      <c r="B4478" s="11" t="n"/>
      <c r="C4478" s="11" t="n"/>
      <c r="D4478" s="11" t="n"/>
      <c r="E4478" s="11" t="n"/>
      <c r="F4478" s="11" t="n"/>
      <c r="G4478" s="11" t="n"/>
      <c r="H4478" s="11" t="n"/>
      <c r="I4478" s="11" t="n"/>
      <c r="J4478" s="11" t="n"/>
      <c r="K4478" s="11" t="n"/>
      <c r="L4478" s="11" t="n"/>
      <c r="M4478" s="11" t="n"/>
    </row>
    <row r="4479">
      <c r="A4479" s="11" t="n"/>
      <c r="B4479" s="11" t="n"/>
      <c r="C4479" s="11" t="n"/>
      <c r="D4479" s="11" t="n"/>
      <c r="E4479" s="11" t="n"/>
      <c r="F4479" s="11" t="n"/>
      <c r="G4479" s="11" t="n"/>
      <c r="H4479" s="11" t="n"/>
      <c r="I4479" s="11" t="n"/>
      <c r="J4479" s="11" t="n"/>
      <c r="K4479" s="11" t="n"/>
      <c r="L4479" s="11" t="n"/>
      <c r="M4479" s="11" t="n"/>
    </row>
    <row r="4480">
      <c r="A4480" s="11" t="n"/>
      <c r="B4480" s="11" t="n"/>
      <c r="C4480" s="11" t="n"/>
      <c r="D4480" s="11" t="n"/>
      <c r="E4480" s="11" t="n"/>
      <c r="F4480" s="11" t="n"/>
      <c r="G4480" s="11" t="n"/>
      <c r="H4480" s="11" t="n"/>
      <c r="I4480" s="11" t="n"/>
      <c r="J4480" s="11" t="n"/>
      <c r="K4480" s="11" t="n"/>
      <c r="L4480" s="11" t="n"/>
      <c r="M4480" s="11" t="n"/>
    </row>
    <row r="4481">
      <c r="A4481" s="11" t="n"/>
      <c r="B4481" s="11" t="n"/>
      <c r="C4481" s="11" t="n"/>
      <c r="D4481" s="11" t="n"/>
      <c r="E4481" s="11" t="n"/>
      <c r="F4481" s="11" t="n"/>
      <c r="G4481" s="11" t="n"/>
      <c r="H4481" s="11" t="n"/>
      <c r="I4481" s="11" t="n"/>
      <c r="J4481" s="11" t="n"/>
      <c r="K4481" s="11" t="n"/>
      <c r="L4481" s="11" t="n"/>
      <c r="M4481" s="11" t="n"/>
    </row>
    <row r="4482">
      <c r="A4482" s="11" t="n"/>
      <c r="B4482" s="11" t="n"/>
      <c r="C4482" s="11" t="n"/>
      <c r="D4482" s="11" t="n"/>
      <c r="E4482" s="11" t="n"/>
      <c r="F4482" s="11" t="n"/>
      <c r="G4482" s="11" t="n"/>
      <c r="H4482" s="11" t="n"/>
      <c r="I4482" s="11" t="n"/>
      <c r="J4482" s="11" t="n"/>
      <c r="K4482" s="11" t="n"/>
      <c r="L4482" s="11" t="n"/>
      <c r="M4482" s="11" t="n"/>
    </row>
    <row r="4483">
      <c r="A4483" s="11" t="n"/>
      <c r="B4483" s="11" t="n"/>
      <c r="C4483" s="11" t="n"/>
      <c r="D4483" s="11" t="n"/>
      <c r="E4483" s="11" t="n"/>
      <c r="F4483" s="11" t="n"/>
      <c r="G4483" s="11" t="n"/>
      <c r="H4483" s="11" t="n"/>
      <c r="I4483" s="11" t="n"/>
      <c r="J4483" s="11" t="n"/>
      <c r="K4483" s="11" t="n"/>
      <c r="L4483" s="11" t="n"/>
      <c r="M4483" s="11" t="n"/>
    </row>
    <row r="4484">
      <c r="A4484" s="11" t="n"/>
      <c r="B4484" s="11" t="n"/>
      <c r="C4484" s="11" t="n"/>
      <c r="D4484" s="11" t="n"/>
      <c r="E4484" s="11" t="n"/>
      <c r="F4484" s="11" t="n"/>
      <c r="G4484" s="11" t="n"/>
      <c r="H4484" s="11" t="n"/>
      <c r="I4484" s="11" t="n"/>
      <c r="J4484" s="11" t="n"/>
      <c r="K4484" s="11" t="n"/>
      <c r="L4484" s="11" t="n"/>
      <c r="M4484" s="11" t="n"/>
    </row>
    <row r="4485">
      <c r="A4485" s="11" t="n"/>
      <c r="B4485" s="11" t="n"/>
      <c r="C4485" s="11" t="n"/>
      <c r="D4485" s="11" t="n"/>
      <c r="E4485" s="11" t="n"/>
      <c r="F4485" s="11" t="n"/>
      <c r="G4485" s="11" t="n"/>
      <c r="H4485" s="11" t="n"/>
      <c r="I4485" s="11" t="n"/>
      <c r="J4485" s="11" t="n"/>
      <c r="K4485" s="11" t="n"/>
      <c r="L4485" s="11" t="n"/>
      <c r="M4485" s="11" t="n"/>
    </row>
    <row r="4486">
      <c r="A4486" s="11" t="n"/>
      <c r="B4486" s="11" t="n"/>
      <c r="C4486" s="11" t="n"/>
      <c r="D4486" s="11" t="n"/>
      <c r="E4486" s="11" t="n"/>
      <c r="F4486" s="11" t="n"/>
      <c r="G4486" s="11" t="n"/>
      <c r="H4486" s="11" t="n"/>
      <c r="I4486" s="11" t="n"/>
      <c r="J4486" s="11" t="n"/>
      <c r="K4486" s="11" t="n"/>
      <c r="L4486" s="11" t="n"/>
      <c r="M4486" s="11" t="n"/>
    </row>
    <row r="4487">
      <c r="A4487" s="11" t="n"/>
      <c r="B4487" s="11" t="n"/>
      <c r="C4487" s="11" t="n"/>
      <c r="D4487" s="11" t="n"/>
      <c r="E4487" s="11" t="n"/>
      <c r="F4487" s="11" t="n"/>
      <c r="G4487" s="11" t="n"/>
      <c r="H4487" s="11" t="n"/>
      <c r="I4487" s="11" t="n"/>
      <c r="J4487" s="11" t="n"/>
      <c r="K4487" s="11" t="n"/>
      <c r="L4487" s="11" t="n"/>
      <c r="M4487" s="11" t="n"/>
    </row>
    <row r="4488">
      <c r="A4488" s="11" t="n"/>
      <c r="B4488" s="11" t="n"/>
      <c r="C4488" s="11" t="n"/>
      <c r="D4488" s="11" t="n"/>
      <c r="E4488" s="11" t="n"/>
      <c r="F4488" s="11" t="n"/>
      <c r="G4488" s="11" t="n"/>
      <c r="H4488" s="11" t="n"/>
      <c r="I4488" s="11" t="n"/>
      <c r="J4488" s="11" t="n"/>
      <c r="K4488" s="11" t="n"/>
      <c r="L4488" s="11" t="n"/>
      <c r="M4488" s="11" t="n"/>
    </row>
    <row r="4489">
      <c r="A4489" s="11" t="n"/>
      <c r="B4489" s="11" t="n"/>
      <c r="C4489" s="11" t="n"/>
      <c r="D4489" s="11" t="n"/>
      <c r="E4489" s="11" t="n"/>
      <c r="F4489" s="11" t="n"/>
      <c r="G4489" s="11" t="n"/>
      <c r="H4489" s="11" t="n"/>
      <c r="I4489" s="11" t="n"/>
      <c r="J4489" s="11" t="n"/>
      <c r="K4489" s="11" t="n"/>
      <c r="L4489" s="11" t="n"/>
      <c r="M4489" s="11" t="n"/>
    </row>
    <row r="4490">
      <c r="A4490" s="11" t="n"/>
      <c r="B4490" s="11" t="n"/>
      <c r="C4490" s="11" t="n"/>
      <c r="D4490" s="11" t="n"/>
      <c r="E4490" s="11" t="n"/>
      <c r="F4490" s="11" t="n"/>
      <c r="G4490" s="11" t="n"/>
      <c r="H4490" s="11" t="n"/>
      <c r="I4490" s="11" t="n"/>
      <c r="J4490" s="11" t="n"/>
      <c r="K4490" s="11" t="n"/>
      <c r="L4490" s="11" t="n"/>
      <c r="M4490" s="11" t="n"/>
    </row>
    <row r="4491">
      <c r="A4491" s="11" t="n"/>
      <c r="B4491" s="11" t="n"/>
      <c r="C4491" s="11" t="n"/>
      <c r="D4491" s="11" t="n"/>
      <c r="E4491" s="11" t="n"/>
      <c r="F4491" s="11" t="n"/>
      <c r="G4491" s="11" t="n"/>
      <c r="H4491" s="11" t="n"/>
      <c r="I4491" s="11" t="n"/>
      <c r="J4491" s="11" t="n"/>
      <c r="K4491" s="11" t="n"/>
      <c r="L4491" s="11" t="n"/>
      <c r="M4491" s="11" t="n"/>
    </row>
    <row r="4492">
      <c r="A4492" s="11" t="n"/>
      <c r="B4492" s="11" t="n"/>
      <c r="C4492" s="11" t="n"/>
      <c r="D4492" s="11" t="n"/>
      <c r="E4492" s="11" t="n"/>
      <c r="F4492" s="11" t="n"/>
      <c r="G4492" s="11" t="n"/>
      <c r="H4492" s="11" t="n"/>
      <c r="I4492" s="11" t="n"/>
      <c r="J4492" s="11" t="n"/>
      <c r="K4492" s="11" t="n"/>
      <c r="L4492" s="11" t="n"/>
      <c r="M4492" s="11" t="n"/>
    </row>
    <row r="4493">
      <c r="A4493" s="11" t="n"/>
      <c r="B4493" s="11" t="n"/>
      <c r="C4493" s="11" t="n"/>
      <c r="D4493" s="11" t="n"/>
      <c r="E4493" s="11" t="n"/>
      <c r="F4493" s="11" t="n"/>
      <c r="G4493" s="11" t="n"/>
      <c r="H4493" s="11" t="n"/>
      <c r="I4493" s="11" t="n"/>
      <c r="J4493" s="11" t="n"/>
      <c r="K4493" s="11" t="n"/>
      <c r="L4493" s="11" t="n"/>
      <c r="M4493" s="11" t="n"/>
    </row>
    <row r="4494">
      <c r="A4494" s="11" t="n"/>
      <c r="B4494" s="11" t="n"/>
      <c r="C4494" s="11" t="n"/>
      <c r="D4494" s="11" t="n"/>
      <c r="E4494" s="11" t="n"/>
      <c r="F4494" s="11" t="n"/>
      <c r="G4494" s="11" t="n"/>
      <c r="H4494" s="11" t="n"/>
      <c r="I4494" s="11" t="n"/>
      <c r="J4494" s="11" t="n"/>
      <c r="K4494" s="11" t="n"/>
      <c r="L4494" s="11" t="n"/>
      <c r="M4494" s="11" t="n"/>
    </row>
    <row r="4495">
      <c r="A4495" s="11" t="n"/>
      <c r="B4495" s="11" t="n"/>
      <c r="C4495" s="11" t="n"/>
      <c r="D4495" s="11" t="n"/>
      <c r="E4495" s="11" t="n"/>
      <c r="F4495" s="11" t="n"/>
      <c r="G4495" s="11" t="n"/>
      <c r="H4495" s="11" t="n"/>
      <c r="I4495" s="11" t="n"/>
      <c r="J4495" s="11" t="n"/>
      <c r="K4495" s="11" t="n"/>
      <c r="L4495" s="11" t="n"/>
      <c r="M4495" s="11" t="n"/>
    </row>
    <row r="4496">
      <c r="A4496" s="11" t="n"/>
      <c r="B4496" s="11" t="n"/>
      <c r="C4496" s="11" t="n"/>
      <c r="D4496" s="11" t="n"/>
      <c r="E4496" s="11" t="n"/>
      <c r="F4496" s="11" t="n"/>
      <c r="G4496" s="11" t="n"/>
      <c r="H4496" s="11" t="n"/>
      <c r="I4496" s="11" t="n"/>
      <c r="J4496" s="11" t="n"/>
      <c r="K4496" s="11" t="n"/>
      <c r="L4496" s="11" t="n"/>
      <c r="M4496" s="11" t="n"/>
    </row>
    <row r="4497">
      <c r="A4497" s="11" t="n"/>
      <c r="B4497" s="11" t="n"/>
      <c r="C4497" s="11" t="n"/>
      <c r="D4497" s="11" t="n"/>
      <c r="E4497" s="11" t="n"/>
      <c r="F4497" s="11" t="n"/>
      <c r="G4497" s="11" t="n"/>
      <c r="H4497" s="11" t="n"/>
      <c r="I4497" s="11" t="n"/>
      <c r="J4497" s="11" t="n"/>
      <c r="K4497" s="11" t="n"/>
      <c r="L4497" s="11" t="n"/>
      <c r="M4497" s="11" t="n"/>
    </row>
    <row r="4498">
      <c r="A4498" s="11" t="n"/>
      <c r="B4498" s="11" t="n"/>
      <c r="C4498" s="11" t="n"/>
      <c r="D4498" s="11" t="n"/>
      <c r="E4498" s="11" t="n"/>
      <c r="F4498" s="11" t="n"/>
      <c r="G4498" s="11" t="n"/>
      <c r="H4498" s="11" t="n"/>
      <c r="I4498" s="11" t="n"/>
      <c r="J4498" s="11" t="n"/>
      <c r="K4498" s="11" t="n"/>
      <c r="L4498" s="11" t="n"/>
      <c r="M4498" s="11" t="n"/>
    </row>
    <row r="4499">
      <c r="A4499" s="11" t="n"/>
      <c r="B4499" s="11" t="n"/>
      <c r="C4499" s="11" t="n"/>
      <c r="D4499" s="11" t="n"/>
      <c r="E4499" s="11" t="n"/>
      <c r="F4499" s="11" t="n"/>
      <c r="G4499" s="11" t="n"/>
      <c r="H4499" s="11" t="n"/>
      <c r="I4499" s="11" t="n"/>
      <c r="J4499" s="11" t="n"/>
      <c r="K4499" s="11" t="n"/>
      <c r="L4499" s="11" t="n"/>
      <c r="M4499" s="11" t="n"/>
    </row>
    <row r="4500">
      <c r="A4500" s="11" t="n"/>
      <c r="B4500" s="11" t="n"/>
      <c r="C4500" s="11" t="n"/>
      <c r="D4500" s="11" t="n"/>
      <c r="E4500" s="11" t="n"/>
      <c r="F4500" s="11" t="n"/>
      <c r="G4500" s="11" t="n"/>
      <c r="H4500" s="11" t="n"/>
      <c r="I4500" s="11" t="n"/>
      <c r="J4500" s="11" t="n"/>
      <c r="K4500" s="11" t="n"/>
      <c r="L4500" s="11" t="n"/>
      <c r="M4500" s="11" t="n"/>
    </row>
    <row r="4501">
      <c r="A4501" s="11" t="n"/>
      <c r="B4501" s="11" t="n"/>
      <c r="C4501" s="11" t="n"/>
      <c r="D4501" s="11" t="n"/>
      <c r="E4501" s="11" t="n"/>
      <c r="F4501" s="11" t="n"/>
      <c r="G4501" s="11" t="n"/>
      <c r="H4501" s="11" t="n"/>
      <c r="I4501" s="11" t="n"/>
      <c r="J4501" s="11" t="n"/>
      <c r="K4501" s="11" t="n"/>
      <c r="L4501" s="11" t="n"/>
      <c r="M4501" s="11" t="n"/>
    </row>
    <row r="4502">
      <c r="A4502" s="11" t="n"/>
      <c r="B4502" s="11" t="n"/>
      <c r="C4502" s="11" t="n"/>
      <c r="D4502" s="11" t="n"/>
      <c r="E4502" s="11" t="n"/>
      <c r="F4502" s="11" t="n"/>
      <c r="G4502" s="11" t="n"/>
      <c r="H4502" s="11" t="n"/>
      <c r="I4502" s="11" t="n"/>
      <c r="J4502" s="11" t="n"/>
      <c r="K4502" s="11" t="n"/>
      <c r="L4502" s="11" t="n"/>
      <c r="M4502" s="11" t="n"/>
    </row>
    <row r="4503">
      <c r="A4503" s="11" t="n"/>
      <c r="B4503" s="11" t="n"/>
      <c r="C4503" s="11" t="n"/>
      <c r="D4503" s="11" t="n"/>
      <c r="E4503" s="11" t="n"/>
      <c r="F4503" s="11" t="n"/>
      <c r="G4503" s="11" t="n"/>
      <c r="H4503" s="11" t="n"/>
      <c r="I4503" s="11" t="n"/>
      <c r="J4503" s="11" t="n"/>
      <c r="K4503" s="11" t="n"/>
      <c r="L4503" s="11" t="n"/>
      <c r="M4503" s="11" t="n"/>
    </row>
    <row r="4504">
      <c r="A4504" s="11" t="n"/>
      <c r="B4504" s="11" t="n"/>
      <c r="C4504" s="11" t="n"/>
      <c r="D4504" s="11" t="n"/>
      <c r="E4504" s="11" t="n"/>
      <c r="F4504" s="11" t="n"/>
      <c r="G4504" s="11" t="n"/>
      <c r="H4504" s="11" t="n"/>
      <c r="I4504" s="11" t="n"/>
      <c r="J4504" s="11" t="n"/>
      <c r="K4504" s="11" t="n"/>
      <c r="L4504" s="11" t="n"/>
      <c r="M4504" s="11" t="n"/>
    </row>
    <row r="4505">
      <c r="A4505" s="11" t="n"/>
      <c r="B4505" s="11" t="n"/>
      <c r="C4505" s="11" t="n"/>
      <c r="D4505" s="11" t="n"/>
      <c r="E4505" s="11" t="n"/>
      <c r="F4505" s="11" t="n"/>
      <c r="G4505" s="11" t="n"/>
      <c r="H4505" s="11" t="n"/>
      <c r="I4505" s="11" t="n"/>
      <c r="J4505" s="11" t="n"/>
      <c r="K4505" s="11" t="n"/>
      <c r="L4505" s="11" t="n"/>
      <c r="M4505" s="11" t="n"/>
    </row>
    <row r="4506">
      <c r="A4506" s="11" t="n"/>
      <c r="B4506" s="11" t="n"/>
      <c r="C4506" s="11" t="n"/>
      <c r="D4506" s="11" t="n"/>
      <c r="E4506" s="11" t="n"/>
      <c r="F4506" s="11" t="n"/>
      <c r="G4506" s="11" t="n"/>
      <c r="H4506" s="11" t="n"/>
      <c r="I4506" s="11" t="n"/>
      <c r="J4506" s="11" t="n"/>
      <c r="K4506" s="11" t="n"/>
      <c r="L4506" s="11" t="n"/>
      <c r="M4506" s="11" t="n"/>
    </row>
    <row r="4507">
      <c r="A4507" s="11" t="n"/>
      <c r="B4507" s="11" t="n"/>
      <c r="C4507" s="11" t="n"/>
      <c r="D4507" s="11" t="n"/>
      <c r="E4507" s="11" t="n"/>
      <c r="F4507" s="11" t="n"/>
      <c r="G4507" s="11" t="n"/>
      <c r="H4507" s="11" t="n"/>
      <c r="I4507" s="11" t="n"/>
      <c r="J4507" s="11" t="n"/>
      <c r="K4507" s="11" t="n"/>
      <c r="L4507" s="11" t="n"/>
      <c r="M4507" s="11" t="n"/>
    </row>
    <row r="4508">
      <c r="A4508" s="11" t="n"/>
      <c r="B4508" s="11" t="n"/>
      <c r="C4508" s="11" t="n"/>
      <c r="D4508" s="11" t="n"/>
      <c r="E4508" s="11" t="n"/>
      <c r="F4508" s="11" t="n"/>
      <c r="G4508" s="11" t="n"/>
      <c r="H4508" s="11" t="n"/>
      <c r="I4508" s="11" t="n"/>
      <c r="J4508" s="11" t="n"/>
      <c r="K4508" s="11" t="n"/>
      <c r="L4508" s="11" t="n"/>
      <c r="M4508" s="11" t="n"/>
    </row>
    <row r="4509">
      <c r="A4509" s="11" t="n"/>
      <c r="B4509" s="11" t="n"/>
      <c r="C4509" s="11" t="n"/>
      <c r="D4509" s="11" t="n"/>
      <c r="E4509" s="11" t="n"/>
      <c r="F4509" s="11" t="n"/>
      <c r="G4509" s="11" t="n"/>
      <c r="H4509" s="11" t="n"/>
      <c r="I4509" s="11" t="n"/>
      <c r="J4509" s="11" t="n"/>
      <c r="K4509" s="11" t="n"/>
      <c r="L4509" s="11" t="n"/>
      <c r="M4509" s="11" t="n"/>
    </row>
    <row r="4510">
      <c r="A4510" s="11" t="n"/>
      <c r="B4510" s="11" t="n"/>
      <c r="C4510" s="11" t="n"/>
      <c r="D4510" s="11" t="n"/>
      <c r="E4510" s="11" t="n"/>
      <c r="F4510" s="11" t="n"/>
      <c r="G4510" s="11" t="n"/>
      <c r="H4510" s="11" t="n"/>
      <c r="I4510" s="11" t="n"/>
      <c r="J4510" s="11" t="n"/>
      <c r="K4510" s="11" t="n"/>
      <c r="L4510" s="11" t="n"/>
      <c r="M4510" s="11" t="n"/>
    </row>
    <row r="4511">
      <c r="A4511" s="11" t="n"/>
      <c r="B4511" s="11" t="n"/>
      <c r="C4511" s="11" t="n"/>
      <c r="D4511" s="11" t="n"/>
      <c r="E4511" s="11" t="n"/>
      <c r="F4511" s="11" t="n"/>
      <c r="G4511" s="11" t="n"/>
      <c r="H4511" s="11" t="n"/>
      <c r="I4511" s="11" t="n"/>
      <c r="J4511" s="11" t="n"/>
      <c r="K4511" s="11" t="n"/>
      <c r="L4511" s="11" t="n"/>
      <c r="M4511" s="11" t="n"/>
    </row>
    <row r="4512">
      <c r="A4512" s="11" t="n"/>
      <c r="B4512" s="11" t="n"/>
      <c r="C4512" s="11" t="n"/>
      <c r="D4512" s="11" t="n"/>
      <c r="E4512" s="11" t="n"/>
      <c r="F4512" s="11" t="n"/>
      <c r="G4512" s="11" t="n"/>
      <c r="H4512" s="11" t="n"/>
      <c r="I4512" s="11" t="n"/>
      <c r="J4512" s="11" t="n"/>
      <c r="K4512" s="11" t="n"/>
      <c r="L4512" s="11" t="n"/>
      <c r="M4512" s="11" t="n"/>
    </row>
    <row r="4513">
      <c r="A4513" s="11" t="n"/>
      <c r="B4513" s="11" t="n"/>
      <c r="C4513" s="11" t="n"/>
      <c r="D4513" s="11" t="n"/>
      <c r="E4513" s="11" t="n"/>
      <c r="F4513" s="11" t="n"/>
      <c r="G4513" s="11" t="n"/>
      <c r="H4513" s="11" t="n"/>
      <c r="I4513" s="11" t="n"/>
      <c r="J4513" s="11" t="n"/>
      <c r="K4513" s="11" t="n"/>
      <c r="L4513" s="11" t="n"/>
      <c r="M4513" s="11" t="n"/>
    </row>
    <row r="4514">
      <c r="A4514" s="11" t="n"/>
      <c r="B4514" s="11" t="n"/>
      <c r="C4514" s="11" t="n"/>
      <c r="D4514" s="11" t="n"/>
      <c r="E4514" s="11" t="n"/>
      <c r="F4514" s="11" t="n"/>
      <c r="G4514" s="11" t="n"/>
      <c r="H4514" s="11" t="n"/>
      <c r="I4514" s="11" t="n"/>
      <c r="J4514" s="11" t="n"/>
      <c r="K4514" s="11" t="n"/>
      <c r="L4514" s="11" t="n"/>
      <c r="M4514" s="11" t="n"/>
    </row>
    <row r="4515">
      <c r="A4515" s="11" t="n"/>
      <c r="B4515" s="11" t="n"/>
      <c r="C4515" s="11" t="n"/>
      <c r="D4515" s="11" t="n"/>
      <c r="E4515" s="11" t="n"/>
      <c r="F4515" s="11" t="n"/>
      <c r="G4515" s="11" t="n"/>
      <c r="H4515" s="11" t="n"/>
      <c r="I4515" s="11" t="n"/>
      <c r="J4515" s="11" t="n"/>
      <c r="K4515" s="11" t="n"/>
      <c r="L4515" s="11" t="n"/>
      <c r="M4515" s="11" t="n"/>
    </row>
    <row r="4516">
      <c r="A4516" s="11" t="n"/>
      <c r="B4516" s="11" t="n"/>
      <c r="C4516" s="11" t="n"/>
      <c r="D4516" s="11" t="n"/>
      <c r="E4516" s="11" t="n"/>
      <c r="F4516" s="11" t="n"/>
      <c r="G4516" s="11" t="n"/>
      <c r="H4516" s="11" t="n"/>
      <c r="I4516" s="11" t="n"/>
      <c r="J4516" s="11" t="n"/>
      <c r="K4516" s="11" t="n"/>
      <c r="L4516" s="11" t="n"/>
      <c r="M4516" s="11" t="n"/>
    </row>
    <row r="4517">
      <c r="A4517" s="11" t="n"/>
      <c r="B4517" s="11" t="n"/>
      <c r="C4517" s="11" t="n"/>
      <c r="D4517" s="11" t="n"/>
      <c r="E4517" s="11" t="n"/>
      <c r="F4517" s="11" t="n"/>
      <c r="G4517" s="11" t="n"/>
      <c r="H4517" s="11" t="n"/>
      <c r="I4517" s="11" t="n"/>
      <c r="J4517" s="11" t="n"/>
      <c r="K4517" s="11" t="n"/>
      <c r="L4517" s="11" t="n"/>
      <c r="M4517" s="11" t="n"/>
    </row>
    <row r="4518">
      <c r="A4518" s="11" t="n"/>
      <c r="B4518" s="11" t="n"/>
      <c r="C4518" s="11" t="n"/>
      <c r="D4518" s="11" t="n"/>
      <c r="E4518" s="11" t="n"/>
      <c r="F4518" s="11" t="n"/>
      <c r="G4518" s="11" t="n"/>
      <c r="H4518" s="11" t="n"/>
      <c r="I4518" s="11" t="n"/>
      <c r="J4518" s="11" t="n"/>
      <c r="K4518" s="11" t="n"/>
      <c r="L4518" s="11" t="n"/>
      <c r="M4518" s="11" t="n"/>
    </row>
    <row r="4519">
      <c r="A4519" s="11" t="n"/>
      <c r="B4519" s="11" t="n"/>
      <c r="C4519" s="11" t="n"/>
      <c r="D4519" s="11" t="n"/>
      <c r="E4519" s="11" t="n"/>
      <c r="F4519" s="11" t="n"/>
      <c r="G4519" s="11" t="n"/>
      <c r="H4519" s="11" t="n"/>
      <c r="I4519" s="11" t="n"/>
      <c r="J4519" s="11" t="n"/>
      <c r="K4519" s="11" t="n"/>
      <c r="L4519" s="11" t="n"/>
      <c r="M4519" s="11" t="n"/>
    </row>
    <row r="4520">
      <c r="A4520" s="11" t="n"/>
      <c r="B4520" s="11" t="n"/>
      <c r="C4520" s="11" t="n"/>
      <c r="D4520" s="11" t="n"/>
      <c r="E4520" s="11" t="n"/>
      <c r="F4520" s="11" t="n"/>
      <c r="G4520" s="11" t="n"/>
      <c r="H4520" s="11" t="n"/>
      <c r="I4520" s="11" t="n"/>
      <c r="J4520" s="11" t="n"/>
      <c r="K4520" s="11" t="n"/>
      <c r="L4520" s="11" t="n"/>
      <c r="M4520" s="11" t="n"/>
    </row>
    <row r="4521">
      <c r="A4521" s="11" t="n"/>
      <c r="B4521" s="11" t="n"/>
      <c r="C4521" s="11" t="n"/>
      <c r="D4521" s="11" t="n"/>
      <c r="E4521" s="11" t="n"/>
      <c r="F4521" s="11" t="n"/>
      <c r="G4521" s="11" t="n"/>
      <c r="H4521" s="11" t="n"/>
      <c r="I4521" s="11" t="n"/>
      <c r="J4521" s="11" t="n"/>
      <c r="K4521" s="11" t="n"/>
      <c r="L4521" s="11" t="n"/>
      <c r="M4521" s="11" t="n"/>
    </row>
    <row r="4522">
      <c r="A4522" s="11" t="n"/>
      <c r="B4522" s="11" t="n"/>
      <c r="C4522" s="11" t="n"/>
      <c r="D4522" s="11" t="n"/>
      <c r="E4522" s="11" t="n"/>
      <c r="F4522" s="11" t="n"/>
      <c r="G4522" s="11" t="n"/>
      <c r="H4522" s="11" t="n"/>
      <c r="I4522" s="11" t="n"/>
      <c r="J4522" s="11" t="n"/>
      <c r="K4522" s="11" t="n"/>
      <c r="L4522" s="11" t="n"/>
      <c r="M4522" s="11" t="n"/>
    </row>
    <row r="4523">
      <c r="A4523" s="11" t="n"/>
      <c r="B4523" s="11" t="n"/>
      <c r="C4523" s="11" t="n"/>
      <c r="D4523" s="11" t="n"/>
      <c r="E4523" s="11" t="n"/>
      <c r="F4523" s="11" t="n"/>
      <c r="G4523" s="11" t="n"/>
      <c r="H4523" s="11" t="n"/>
      <c r="I4523" s="11" t="n"/>
      <c r="J4523" s="11" t="n"/>
      <c r="K4523" s="11" t="n"/>
      <c r="L4523" s="11" t="n"/>
      <c r="M4523" s="11" t="n"/>
    </row>
    <row r="4524">
      <c r="A4524" s="11" t="n"/>
      <c r="B4524" s="11" t="n"/>
      <c r="C4524" s="11" t="n"/>
      <c r="D4524" s="11" t="n"/>
      <c r="E4524" s="11" t="n"/>
      <c r="F4524" s="11" t="n"/>
      <c r="G4524" s="11" t="n"/>
      <c r="H4524" s="11" t="n"/>
      <c r="I4524" s="11" t="n"/>
      <c r="J4524" s="11" t="n"/>
      <c r="K4524" s="11" t="n"/>
      <c r="L4524" s="11" t="n"/>
      <c r="M4524" s="11" t="n"/>
    </row>
    <row r="4525">
      <c r="A4525" s="11" t="n"/>
      <c r="B4525" s="11" t="n"/>
      <c r="C4525" s="11" t="n"/>
      <c r="D4525" s="11" t="n"/>
      <c r="E4525" s="11" t="n"/>
      <c r="F4525" s="11" t="n"/>
      <c r="G4525" s="11" t="n"/>
      <c r="H4525" s="11" t="n"/>
      <c r="I4525" s="11" t="n"/>
      <c r="J4525" s="11" t="n"/>
      <c r="K4525" s="11" t="n"/>
      <c r="L4525" s="11" t="n"/>
      <c r="M4525" s="11" t="n"/>
    </row>
    <row r="4526">
      <c r="A4526" s="11" t="n"/>
      <c r="B4526" s="11" t="n"/>
      <c r="C4526" s="11" t="n"/>
      <c r="D4526" s="11" t="n"/>
      <c r="E4526" s="11" t="n"/>
      <c r="F4526" s="11" t="n"/>
      <c r="G4526" s="11" t="n"/>
      <c r="H4526" s="11" t="n"/>
      <c r="I4526" s="11" t="n"/>
      <c r="J4526" s="11" t="n"/>
      <c r="K4526" s="11" t="n"/>
      <c r="L4526" s="11" t="n"/>
      <c r="M4526" s="11" t="n"/>
    </row>
    <row r="4527">
      <c r="A4527" s="11" t="n"/>
      <c r="B4527" s="11" t="n"/>
      <c r="C4527" s="11" t="n"/>
      <c r="D4527" s="11" t="n"/>
      <c r="E4527" s="11" t="n"/>
      <c r="F4527" s="11" t="n"/>
      <c r="G4527" s="11" t="n"/>
      <c r="H4527" s="11" t="n"/>
      <c r="I4527" s="11" t="n"/>
      <c r="J4527" s="11" t="n"/>
      <c r="K4527" s="11" t="n"/>
      <c r="L4527" s="11" t="n"/>
      <c r="M4527" s="11" t="n"/>
    </row>
    <row r="4528">
      <c r="A4528" s="11" t="n"/>
      <c r="B4528" s="11" t="n"/>
      <c r="C4528" s="11" t="n"/>
      <c r="D4528" s="11" t="n"/>
      <c r="E4528" s="11" t="n"/>
      <c r="F4528" s="11" t="n"/>
      <c r="G4528" s="11" t="n"/>
      <c r="H4528" s="11" t="n"/>
      <c r="I4528" s="11" t="n"/>
      <c r="J4528" s="11" t="n"/>
      <c r="K4528" s="11" t="n"/>
      <c r="L4528" s="11" t="n"/>
      <c r="M4528" s="11" t="n"/>
    </row>
    <row r="4529">
      <c r="A4529" s="11" t="n"/>
      <c r="B4529" s="11" t="n"/>
      <c r="C4529" s="11" t="n"/>
      <c r="D4529" s="11" t="n"/>
      <c r="E4529" s="11" t="n"/>
      <c r="F4529" s="11" t="n"/>
      <c r="G4529" s="11" t="n"/>
      <c r="H4529" s="11" t="n"/>
      <c r="I4529" s="11" t="n"/>
      <c r="J4529" s="11" t="n"/>
      <c r="K4529" s="11" t="n"/>
      <c r="L4529" s="11" t="n"/>
      <c r="M4529" s="11" t="n"/>
    </row>
    <row r="4530">
      <c r="A4530" s="11" t="n"/>
      <c r="B4530" s="11" t="n"/>
      <c r="C4530" s="11" t="n"/>
      <c r="D4530" s="11" t="n"/>
      <c r="E4530" s="11" t="n"/>
      <c r="F4530" s="11" t="n"/>
      <c r="G4530" s="11" t="n"/>
      <c r="H4530" s="11" t="n"/>
      <c r="I4530" s="11" t="n"/>
      <c r="J4530" s="11" t="n"/>
      <c r="K4530" s="11" t="n"/>
      <c r="L4530" s="11" t="n"/>
      <c r="M4530" s="11" t="n"/>
    </row>
    <row r="4531">
      <c r="A4531" s="11" t="n"/>
      <c r="B4531" s="11" t="n"/>
      <c r="C4531" s="11" t="n"/>
      <c r="D4531" s="11" t="n"/>
      <c r="E4531" s="11" t="n"/>
      <c r="F4531" s="11" t="n"/>
      <c r="G4531" s="11" t="n"/>
      <c r="H4531" s="11" t="n"/>
      <c r="I4531" s="11" t="n"/>
      <c r="J4531" s="11" t="n"/>
      <c r="K4531" s="11" t="n"/>
      <c r="L4531" s="11" t="n"/>
      <c r="M4531" s="11" t="n"/>
    </row>
    <row r="4532">
      <c r="A4532" s="11" t="n"/>
      <c r="B4532" s="11" t="n"/>
      <c r="C4532" s="11" t="n"/>
      <c r="D4532" s="11" t="n"/>
      <c r="E4532" s="11" t="n"/>
      <c r="F4532" s="11" t="n"/>
      <c r="G4532" s="11" t="n"/>
      <c r="H4532" s="11" t="n"/>
      <c r="I4532" s="11" t="n"/>
      <c r="J4532" s="11" t="n"/>
      <c r="K4532" s="11" t="n"/>
      <c r="L4532" s="11" t="n"/>
      <c r="M4532" s="11" t="n"/>
    </row>
    <row r="4533">
      <c r="A4533" s="11" t="n"/>
      <c r="B4533" s="11" t="n"/>
      <c r="C4533" s="11" t="n"/>
      <c r="D4533" s="11" t="n"/>
      <c r="E4533" s="11" t="n"/>
      <c r="F4533" s="11" t="n"/>
      <c r="G4533" s="11" t="n"/>
      <c r="H4533" s="11" t="n"/>
      <c r="I4533" s="11" t="n"/>
      <c r="J4533" s="11" t="n"/>
      <c r="K4533" s="11" t="n"/>
      <c r="L4533" s="11" t="n"/>
      <c r="M4533" s="11" t="n"/>
    </row>
    <row r="4534">
      <c r="A4534" s="11" t="n"/>
      <c r="B4534" s="11" t="n"/>
      <c r="C4534" s="11" t="n"/>
      <c r="D4534" s="11" t="n"/>
      <c r="E4534" s="11" t="n"/>
      <c r="F4534" s="11" t="n"/>
      <c r="G4534" s="11" t="n"/>
      <c r="H4534" s="11" t="n"/>
      <c r="I4534" s="11" t="n"/>
      <c r="J4534" s="11" t="n"/>
      <c r="K4534" s="11" t="n"/>
      <c r="L4534" s="11" t="n"/>
      <c r="M4534" s="11" t="n"/>
    </row>
    <row r="4535">
      <c r="A4535" s="11" t="n"/>
      <c r="B4535" s="11" t="n"/>
      <c r="C4535" s="11" t="n"/>
      <c r="D4535" s="11" t="n"/>
      <c r="E4535" s="11" t="n"/>
      <c r="F4535" s="11" t="n"/>
      <c r="G4535" s="11" t="n"/>
      <c r="H4535" s="11" t="n"/>
      <c r="I4535" s="11" t="n"/>
      <c r="J4535" s="11" t="n"/>
      <c r="K4535" s="11" t="n"/>
      <c r="L4535" s="11" t="n"/>
      <c r="M4535" s="11" t="n"/>
    </row>
    <row r="4536">
      <c r="A4536" s="11" t="n"/>
      <c r="B4536" s="11" t="n"/>
      <c r="C4536" s="11" t="n"/>
      <c r="D4536" s="11" t="n"/>
      <c r="E4536" s="11" t="n"/>
      <c r="F4536" s="11" t="n"/>
      <c r="G4536" s="11" t="n"/>
      <c r="H4536" s="11" t="n"/>
      <c r="I4536" s="11" t="n"/>
      <c r="J4536" s="11" t="n"/>
      <c r="K4536" s="11" t="n"/>
      <c r="L4536" s="11" t="n"/>
      <c r="M4536" s="11" t="n"/>
    </row>
    <row r="4537">
      <c r="A4537" s="11" t="n"/>
      <c r="B4537" s="11" t="n"/>
      <c r="C4537" s="11" t="n"/>
      <c r="D4537" s="11" t="n"/>
      <c r="E4537" s="11" t="n"/>
      <c r="F4537" s="11" t="n"/>
      <c r="G4537" s="11" t="n"/>
      <c r="H4537" s="11" t="n"/>
      <c r="I4537" s="11" t="n"/>
      <c r="J4537" s="11" t="n"/>
      <c r="K4537" s="11" t="n"/>
      <c r="L4537" s="11" t="n"/>
      <c r="M4537" s="11" t="n"/>
    </row>
    <row r="4538">
      <c r="A4538" s="11" t="n"/>
      <c r="B4538" s="11" t="n"/>
      <c r="C4538" s="11" t="n"/>
      <c r="D4538" s="11" t="n"/>
      <c r="E4538" s="11" t="n"/>
      <c r="F4538" s="11" t="n"/>
      <c r="G4538" s="11" t="n"/>
      <c r="H4538" s="11" t="n"/>
      <c r="I4538" s="11" t="n"/>
      <c r="J4538" s="11" t="n"/>
      <c r="K4538" s="11" t="n"/>
      <c r="L4538" s="11" t="n"/>
      <c r="M4538" s="11" t="n"/>
    </row>
    <row r="4539">
      <c r="A4539" s="11" t="n"/>
      <c r="B4539" s="11" t="n"/>
      <c r="C4539" s="11" t="n"/>
      <c r="D4539" s="11" t="n"/>
      <c r="E4539" s="11" t="n"/>
      <c r="F4539" s="11" t="n"/>
      <c r="G4539" s="11" t="n"/>
      <c r="H4539" s="11" t="n"/>
      <c r="I4539" s="11" t="n"/>
      <c r="J4539" s="11" t="n"/>
      <c r="K4539" s="11" t="n"/>
      <c r="L4539" s="11" t="n"/>
      <c r="M4539" s="11" t="n"/>
    </row>
    <row r="4540">
      <c r="A4540" s="11" t="n"/>
      <c r="B4540" s="11" t="n"/>
      <c r="C4540" s="11" t="n"/>
      <c r="D4540" s="11" t="n"/>
      <c r="E4540" s="11" t="n"/>
      <c r="F4540" s="11" t="n"/>
      <c r="G4540" s="11" t="n"/>
      <c r="H4540" s="11" t="n"/>
      <c r="I4540" s="11" t="n"/>
      <c r="J4540" s="11" t="n"/>
      <c r="K4540" s="11" t="n"/>
      <c r="L4540" s="11" t="n"/>
      <c r="M4540" s="11" t="n"/>
    </row>
    <row r="4541">
      <c r="A4541" s="11" t="n"/>
      <c r="B4541" s="11" t="n"/>
      <c r="C4541" s="11" t="n"/>
      <c r="D4541" s="11" t="n"/>
      <c r="E4541" s="11" t="n"/>
      <c r="F4541" s="11" t="n"/>
      <c r="G4541" s="11" t="n"/>
      <c r="H4541" s="11" t="n"/>
      <c r="I4541" s="11" t="n"/>
      <c r="J4541" s="11" t="n"/>
      <c r="K4541" s="11" t="n"/>
      <c r="L4541" s="11" t="n"/>
      <c r="M4541" s="11" t="n"/>
    </row>
    <row r="4542">
      <c r="A4542" s="11" t="n"/>
      <c r="B4542" s="11" t="n"/>
      <c r="C4542" s="11" t="n"/>
      <c r="D4542" s="11" t="n"/>
      <c r="E4542" s="11" t="n"/>
      <c r="F4542" s="11" t="n"/>
      <c r="G4542" s="11" t="n"/>
      <c r="H4542" s="11" t="n"/>
      <c r="I4542" s="11" t="n"/>
      <c r="J4542" s="11" t="n"/>
      <c r="K4542" s="11" t="n"/>
      <c r="L4542" s="11" t="n"/>
      <c r="M4542" s="11" t="n"/>
    </row>
    <row r="4543">
      <c r="A4543" s="11" t="n"/>
      <c r="B4543" s="11" t="n"/>
      <c r="C4543" s="11" t="n"/>
      <c r="D4543" s="11" t="n"/>
      <c r="E4543" s="11" t="n"/>
      <c r="F4543" s="11" t="n"/>
      <c r="G4543" s="11" t="n"/>
      <c r="H4543" s="11" t="n"/>
      <c r="I4543" s="11" t="n"/>
      <c r="J4543" s="11" t="n"/>
      <c r="K4543" s="11" t="n"/>
      <c r="L4543" s="11" t="n"/>
      <c r="M4543" s="11" t="n"/>
    </row>
    <row r="4544">
      <c r="A4544" s="11" t="n"/>
      <c r="B4544" s="11" t="n"/>
      <c r="C4544" s="11" t="n"/>
      <c r="D4544" s="11" t="n"/>
      <c r="E4544" s="11" t="n"/>
      <c r="F4544" s="11" t="n"/>
      <c r="G4544" s="11" t="n"/>
      <c r="H4544" s="11" t="n"/>
      <c r="I4544" s="11" t="n"/>
      <c r="J4544" s="11" t="n"/>
      <c r="K4544" s="11" t="n"/>
      <c r="L4544" s="11" t="n"/>
      <c r="M4544" s="11" t="n"/>
    </row>
    <row r="4545">
      <c r="A4545" s="11" t="n"/>
      <c r="B4545" s="11" t="n"/>
      <c r="C4545" s="11" t="n"/>
      <c r="D4545" s="11" t="n"/>
      <c r="E4545" s="11" t="n"/>
      <c r="F4545" s="11" t="n"/>
      <c r="G4545" s="11" t="n"/>
      <c r="H4545" s="11" t="n"/>
      <c r="I4545" s="11" t="n"/>
      <c r="J4545" s="11" t="n"/>
      <c r="K4545" s="11" t="n"/>
      <c r="L4545" s="11" t="n"/>
      <c r="M4545" s="11" t="n"/>
    </row>
    <row r="4546">
      <c r="A4546" s="11" t="n"/>
      <c r="B4546" s="11" t="n"/>
      <c r="C4546" s="11" t="n"/>
      <c r="D4546" s="11" t="n"/>
      <c r="E4546" s="11" t="n"/>
      <c r="F4546" s="11" t="n"/>
      <c r="G4546" s="11" t="n"/>
      <c r="H4546" s="11" t="n"/>
      <c r="I4546" s="11" t="n"/>
      <c r="J4546" s="11" t="n"/>
      <c r="K4546" s="11" t="n"/>
      <c r="L4546" s="11" t="n"/>
      <c r="M4546" s="11" t="n"/>
    </row>
    <row r="4547">
      <c r="A4547" s="11" t="n"/>
      <c r="B4547" s="11" t="n"/>
      <c r="C4547" s="11" t="n"/>
      <c r="D4547" s="11" t="n"/>
      <c r="E4547" s="11" t="n"/>
      <c r="F4547" s="11" t="n"/>
      <c r="G4547" s="11" t="n"/>
      <c r="H4547" s="11" t="n"/>
      <c r="I4547" s="11" t="n"/>
      <c r="J4547" s="11" t="n"/>
      <c r="K4547" s="11" t="n"/>
      <c r="L4547" s="11" t="n"/>
      <c r="M4547" s="11" t="n"/>
    </row>
    <row r="4548">
      <c r="A4548" s="11" t="n"/>
      <c r="B4548" s="11" t="n"/>
      <c r="C4548" s="11" t="n"/>
      <c r="D4548" s="11" t="n"/>
      <c r="E4548" s="11" t="n"/>
      <c r="F4548" s="11" t="n"/>
      <c r="G4548" s="11" t="n"/>
      <c r="H4548" s="11" t="n"/>
      <c r="I4548" s="11" t="n"/>
      <c r="J4548" s="11" t="n"/>
      <c r="K4548" s="11" t="n"/>
      <c r="L4548" s="11" t="n"/>
      <c r="M4548" s="11" t="n"/>
    </row>
    <row r="4549">
      <c r="A4549" s="11" t="n"/>
      <c r="B4549" s="11" t="n"/>
      <c r="C4549" s="11" t="n"/>
      <c r="D4549" s="11" t="n"/>
      <c r="E4549" s="11" t="n"/>
      <c r="F4549" s="11" t="n"/>
      <c r="G4549" s="11" t="n"/>
      <c r="H4549" s="11" t="n"/>
      <c r="I4549" s="11" t="n"/>
      <c r="J4549" s="11" t="n"/>
      <c r="K4549" s="11" t="n"/>
      <c r="L4549" s="11" t="n"/>
      <c r="M4549" s="11" t="n"/>
    </row>
    <row r="4550">
      <c r="A4550" s="11" t="n"/>
      <c r="B4550" s="11" t="n"/>
      <c r="C4550" s="11" t="n"/>
      <c r="D4550" s="11" t="n"/>
      <c r="E4550" s="11" t="n"/>
      <c r="F4550" s="11" t="n"/>
      <c r="G4550" s="11" t="n"/>
      <c r="H4550" s="11" t="n"/>
      <c r="I4550" s="11" t="n"/>
      <c r="J4550" s="11" t="n"/>
      <c r="K4550" s="11" t="n"/>
      <c r="L4550" s="11" t="n"/>
      <c r="M4550" s="11" t="n"/>
    </row>
    <row r="4551">
      <c r="A4551" s="11" t="n"/>
      <c r="B4551" s="11" t="n"/>
      <c r="C4551" s="11" t="n"/>
      <c r="D4551" s="11" t="n"/>
      <c r="E4551" s="11" t="n"/>
      <c r="F4551" s="11" t="n"/>
      <c r="G4551" s="11" t="n"/>
      <c r="H4551" s="11" t="n"/>
      <c r="I4551" s="11" t="n"/>
      <c r="J4551" s="11" t="n"/>
      <c r="K4551" s="11" t="n"/>
      <c r="L4551" s="11" t="n"/>
      <c r="M4551" s="11" t="n"/>
    </row>
    <row r="4552">
      <c r="A4552" s="11" t="n"/>
      <c r="B4552" s="11" t="n"/>
      <c r="C4552" s="11" t="n"/>
      <c r="D4552" s="11" t="n"/>
      <c r="E4552" s="11" t="n"/>
      <c r="F4552" s="11" t="n"/>
      <c r="G4552" s="11" t="n"/>
      <c r="H4552" s="11" t="n"/>
      <c r="I4552" s="11" t="n"/>
      <c r="J4552" s="11" t="n"/>
      <c r="K4552" s="11" t="n"/>
      <c r="L4552" s="11" t="n"/>
      <c r="M4552" s="11" t="n"/>
    </row>
    <row r="4553">
      <c r="A4553" s="11" t="n"/>
      <c r="B4553" s="11" t="n"/>
      <c r="C4553" s="11" t="n"/>
      <c r="D4553" s="11" t="n"/>
      <c r="E4553" s="11" t="n"/>
      <c r="F4553" s="11" t="n"/>
      <c r="G4553" s="11" t="n"/>
      <c r="H4553" s="11" t="n"/>
      <c r="I4553" s="11" t="n"/>
      <c r="J4553" s="11" t="n"/>
      <c r="K4553" s="11" t="n"/>
      <c r="L4553" s="11" t="n"/>
      <c r="M4553" s="11" t="n"/>
    </row>
    <row r="4554">
      <c r="A4554" s="11" t="n"/>
      <c r="B4554" s="11" t="n"/>
      <c r="C4554" s="11" t="n"/>
      <c r="D4554" s="11" t="n"/>
      <c r="E4554" s="11" t="n"/>
      <c r="F4554" s="11" t="n"/>
      <c r="G4554" s="11" t="n"/>
      <c r="H4554" s="11" t="n"/>
      <c r="I4554" s="11" t="n"/>
      <c r="J4554" s="11" t="n"/>
      <c r="K4554" s="11" t="n"/>
      <c r="L4554" s="11" t="n"/>
      <c r="M4554" s="11" t="n"/>
    </row>
    <row r="4555">
      <c r="A4555" s="11" t="n"/>
      <c r="B4555" s="11" t="n"/>
      <c r="C4555" s="11" t="n"/>
      <c r="D4555" s="11" t="n"/>
      <c r="E4555" s="11" t="n"/>
      <c r="F4555" s="11" t="n"/>
      <c r="G4555" s="11" t="n"/>
      <c r="H4555" s="11" t="n"/>
      <c r="I4555" s="11" t="n"/>
      <c r="J4555" s="11" t="n"/>
      <c r="K4555" s="11" t="n"/>
      <c r="L4555" s="11" t="n"/>
      <c r="M4555" s="11" t="n"/>
    </row>
    <row r="4556">
      <c r="A4556" s="11" t="n"/>
      <c r="B4556" s="11" t="n"/>
      <c r="C4556" s="11" t="n"/>
      <c r="D4556" s="11" t="n"/>
      <c r="E4556" s="11" t="n"/>
      <c r="F4556" s="11" t="n"/>
      <c r="G4556" s="11" t="n"/>
      <c r="H4556" s="11" t="n"/>
      <c r="I4556" s="11" t="n"/>
      <c r="J4556" s="11" t="n"/>
      <c r="K4556" s="11" t="n"/>
      <c r="L4556" s="11" t="n"/>
      <c r="M4556" s="11" t="n"/>
    </row>
    <row r="4557">
      <c r="A4557" s="11" t="n"/>
      <c r="B4557" s="11" t="n"/>
      <c r="C4557" s="11" t="n"/>
      <c r="D4557" s="11" t="n"/>
      <c r="E4557" s="11" t="n"/>
      <c r="F4557" s="11" t="n"/>
      <c r="G4557" s="11" t="n"/>
      <c r="H4557" s="11" t="n"/>
      <c r="I4557" s="11" t="n"/>
      <c r="J4557" s="11" t="n"/>
      <c r="K4557" s="11" t="n"/>
      <c r="L4557" s="11" t="n"/>
      <c r="M4557" s="11" t="n"/>
    </row>
    <row r="4558">
      <c r="A4558" s="11" t="n"/>
      <c r="B4558" s="11" t="n"/>
      <c r="C4558" s="11" t="n"/>
      <c r="D4558" s="11" t="n"/>
      <c r="E4558" s="11" t="n"/>
      <c r="F4558" s="11" t="n"/>
      <c r="G4558" s="11" t="n"/>
      <c r="H4558" s="11" t="n"/>
      <c r="I4558" s="11" t="n"/>
      <c r="J4558" s="11" t="n"/>
      <c r="K4558" s="11" t="n"/>
      <c r="L4558" s="11" t="n"/>
      <c r="M4558" s="11" t="n"/>
    </row>
    <row r="4559">
      <c r="A4559" s="11" t="n"/>
      <c r="B4559" s="11" t="n"/>
      <c r="C4559" s="11" t="n"/>
      <c r="D4559" s="11" t="n"/>
      <c r="E4559" s="11" t="n"/>
      <c r="F4559" s="11" t="n"/>
      <c r="G4559" s="11" t="n"/>
      <c r="H4559" s="11" t="n"/>
      <c r="I4559" s="11" t="n"/>
      <c r="J4559" s="11" t="n"/>
      <c r="K4559" s="11" t="n"/>
      <c r="L4559" s="11" t="n"/>
      <c r="M4559" s="11" t="n"/>
    </row>
    <row r="4560">
      <c r="A4560" s="11" t="n"/>
      <c r="B4560" s="11" t="n"/>
      <c r="C4560" s="11" t="n"/>
      <c r="D4560" s="11" t="n"/>
      <c r="E4560" s="11" t="n"/>
      <c r="F4560" s="11" t="n"/>
      <c r="G4560" s="11" t="n"/>
      <c r="H4560" s="11" t="n"/>
      <c r="I4560" s="11" t="n"/>
      <c r="J4560" s="11" t="n"/>
      <c r="K4560" s="11" t="n"/>
      <c r="L4560" s="11" t="n"/>
      <c r="M4560" s="11" t="n"/>
    </row>
    <row r="4561">
      <c r="A4561" s="11" t="n"/>
      <c r="B4561" s="11" t="n"/>
      <c r="C4561" s="11" t="n"/>
      <c r="D4561" s="11" t="n"/>
      <c r="E4561" s="11" t="n"/>
      <c r="F4561" s="11" t="n"/>
      <c r="G4561" s="11" t="n"/>
      <c r="H4561" s="11" t="n"/>
      <c r="I4561" s="11" t="n"/>
      <c r="J4561" s="11" t="n"/>
      <c r="K4561" s="11" t="n"/>
      <c r="L4561" s="11" t="n"/>
      <c r="M4561" s="11" t="n"/>
    </row>
    <row r="4562">
      <c r="A4562" s="11" t="n"/>
      <c r="B4562" s="11" t="n"/>
      <c r="C4562" s="11" t="n"/>
      <c r="D4562" s="11" t="n"/>
      <c r="E4562" s="11" t="n"/>
      <c r="F4562" s="11" t="n"/>
      <c r="G4562" s="11" t="n"/>
      <c r="H4562" s="11" t="n"/>
      <c r="I4562" s="11" t="n"/>
      <c r="J4562" s="11" t="n"/>
      <c r="K4562" s="11" t="n"/>
      <c r="L4562" s="11" t="n"/>
      <c r="M4562" s="11" t="n"/>
    </row>
    <row r="4563">
      <c r="A4563" s="11" t="n"/>
      <c r="B4563" s="11" t="n"/>
      <c r="C4563" s="11" t="n"/>
      <c r="D4563" s="11" t="n"/>
      <c r="E4563" s="11" t="n"/>
      <c r="F4563" s="11" t="n"/>
      <c r="G4563" s="11" t="n"/>
      <c r="H4563" s="11" t="n"/>
      <c r="I4563" s="11" t="n"/>
      <c r="J4563" s="11" t="n"/>
      <c r="K4563" s="11" t="n"/>
      <c r="L4563" s="11" t="n"/>
      <c r="M4563" s="11" t="n"/>
    </row>
    <row r="4564">
      <c r="A4564" s="11" t="n"/>
      <c r="B4564" s="11" t="n"/>
      <c r="C4564" s="11" t="n"/>
      <c r="D4564" s="11" t="n"/>
      <c r="E4564" s="11" t="n"/>
      <c r="F4564" s="11" t="n"/>
      <c r="G4564" s="11" t="n"/>
      <c r="H4564" s="11" t="n"/>
      <c r="I4564" s="11" t="n"/>
      <c r="J4564" s="11" t="n"/>
      <c r="K4564" s="11" t="n"/>
      <c r="L4564" s="11" t="n"/>
      <c r="M4564" s="11" t="n"/>
    </row>
    <row r="4565">
      <c r="A4565" s="11" t="n"/>
      <c r="B4565" s="11" t="n"/>
      <c r="C4565" s="11" t="n"/>
      <c r="D4565" s="11" t="n"/>
      <c r="E4565" s="11" t="n"/>
      <c r="F4565" s="11" t="n"/>
      <c r="G4565" s="11" t="n"/>
      <c r="H4565" s="11" t="n"/>
      <c r="I4565" s="11" t="n"/>
      <c r="J4565" s="11" t="n"/>
      <c r="K4565" s="11" t="n"/>
      <c r="L4565" s="11" t="n"/>
      <c r="M4565" s="11" t="n"/>
    </row>
    <row r="4566">
      <c r="A4566" s="11" t="n"/>
      <c r="B4566" s="11" t="n"/>
      <c r="C4566" s="11" t="n"/>
      <c r="D4566" s="11" t="n"/>
      <c r="E4566" s="11" t="n"/>
      <c r="F4566" s="11" t="n"/>
      <c r="G4566" s="11" t="n"/>
      <c r="H4566" s="11" t="n"/>
      <c r="I4566" s="11" t="n"/>
      <c r="J4566" s="11" t="n"/>
      <c r="K4566" s="11" t="n"/>
      <c r="L4566" s="11" t="n"/>
      <c r="M4566" s="11" t="n"/>
    </row>
    <row r="4567">
      <c r="A4567" s="11" t="n"/>
      <c r="B4567" s="11" t="n"/>
      <c r="C4567" s="11" t="n"/>
      <c r="D4567" s="11" t="n"/>
      <c r="E4567" s="11" t="n"/>
      <c r="F4567" s="11" t="n"/>
      <c r="G4567" s="11" t="n"/>
      <c r="H4567" s="11" t="n"/>
      <c r="I4567" s="11" t="n"/>
      <c r="J4567" s="11" t="n"/>
      <c r="K4567" s="11" t="n"/>
      <c r="L4567" s="11" t="n"/>
      <c r="M4567" s="11" t="n"/>
    </row>
    <row r="4568">
      <c r="A4568" s="11" t="n"/>
      <c r="B4568" s="11" t="n"/>
      <c r="C4568" s="11" t="n"/>
      <c r="D4568" s="11" t="n"/>
      <c r="E4568" s="11" t="n"/>
      <c r="F4568" s="11" t="n"/>
      <c r="G4568" s="11" t="n"/>
      <c r="H4568" s="11" t="n"/>
      <c r="I4568" s="11" t="n"/>
      <c r="J4568" s="11" t="n"/>
      <c r="K4568" s="11" t="n"/>
      <c r="L4568" s="11" t="n"/>
      <c r="M4568" s="11" t="n"/>
    </row>
    <row r="4569">
      <c r="A4569" s="11" t="n"/>
      <c r="B4569" s="11" t="n"/>
      <c r="C4569" s="11" t="n"/>
      <c r="D4569" s="11" t="n"/>
      <c r="E4569" s="11" t="n"/>
      <c r="F4569" s="11" t="n"/>
      <c r="G4569" s="11" t="n"/>
      <c r="H4569" s="11" t="n"/>
      <c r="I4569" s="11" t="n"/>
      <c r="J4569" s="11" t="n"/>
      <c r="K4569" s="11" t="n"/>
      <c r="L4569" s="11" t="n"/>
      <c r="M4569" s="11" t="n"/>
    </row>
    <row r="4570">
      <c r="A4570" s="11" t="n"/>
      <c r="B4570" s="11" t="n"/>
      <c r="C4570" s="11" t="n"/>
      <c r="D4570" s="11" t="n"/>
      <c r="E4570" s="11" t="n"/>
      <c r="F4570" s="11" t="n"/>
      <c r="G4570" s="11" t="n"/>
      <c r="H4570" s="11" t="n"/>
      <c r="I4570" s="11" t="n"/>
      <c r="J4570" s="11" t="n"/>
      <c r="K4570" s="11" t="n"/>
      <c r="L4570" s="11" t="n"/>
      <c r="M4570" s="11" t="n"/>
    </row>
    <row r="4571">
      <c r="A4571" s="11" t="n"/>
      <c r="B4571" s="11" t="n"/>
      <c r="C4571" s="11" t="n"/>
      <c r="D4571" s="11" t="n"/>
      <c r="E4571" s="11" t="n"/>
      <c r="F4571" s="11" t="n"/>
      <c r="G4571" s="11" t="n"/>
      <c r="H4571" s="11" t="n"/>
      <c r="I4571" s="11" t="n"/>
      <c r="J4571" s="11" t="n"/>
      <c r="K4571" s="11" t="n"/>
      <c r="L4571" s="11" t="n"/>
      <c r="M4571" s="11" t="n"/>
    </row>
    <row r="4572">
      <c r="A4572" s="11" t="n"/>
      <c r="B4572" s="11" t="n"/>
      <c r="C4572" s="11" t="n"/>
      <c r="D4572" s="11" t="n"/>
      <c r="E4572" s="11" t="n"/>
      <c r="F4572" s="11" t="n"/>
      <c r="G4572" s="11" t="n"/>
      <c r="H4572" s="11" t="n"/>
      <c r="I4572" s="11" t="n"/>
      <c r="J4572" s="11" t="n"/>
      <c r="K4572" s="11" t="n"/>
      <c r="L4572" s="11" t="n"/>
      <c r="M4572" s="11" t="n"/>
    </row>
    <row r="4573">
      <c r="A4573" s="11" t="n"/>
      <c r="B4573" s="11" t="n"/>
      <c r="C4573" s="11" t="n"/>
      <c r="D4573" s="11" t="n"/>
      <c r="E4573" s="11" t="n"/>
      <c r="F4573" s="11" t="n"/>
      <c r="G4573" s="11" t="n"/>
      <c r="H4573" s="11" t="n"/>
      <c r="I4573" s="11" t="n"/>
      <c r="J4573" s="11" t="n"/>
      <c r="K4573" s="11" t="n"/>
      <c r="L4573" s="11" t="n"/>
      <c r="M4573" s="11" t="n"/>
    </row>
    <row r="4574">
      <c r="A4574" s="11" t="n"/>
      <c r="B4574" s="11" t="n"/>
      <c r="C4574" s="11" t="n"/>
      <c r="D4574" s="11" t="n"/>
      <c r="E4574" s="11" t="n"/>
      <c r="F4574" s="11" t="n"/>
      <c r="G4574" s="11" t="n"/>
      <c r="H4574" s="11" t="n"/>
      <c r="I4574" s="11" t="n"/>
      <c r="J4574" s="11" t="n"/>
      <c r="K4574" s="11" t="n"/>
      <c r="L4574" s="11" t="n"/>
      <c r="M4574" s="11" t="n"/>
    </row>
    <row r="4575">
      <c r="A4575" s="11" t="n"/>
      <c r="B4575" s="11" t="n"/>
      <c r="C4575" s="11" t="n"/>
      <c r="D4575" s="11" t="n"/>
      <c r="E4575" s="11" t="n"/>
      <c r="F4575" s="11" t="n"/>
      <c r="G4575" s="11" t="n"/>
      <c r="H4575" s="11" t="n"/>
      <c r="I4575" s="11" t="n"/>
      <c r="J4575" s="11" t="n"/>
      <c r="K4575" s="11" t="n"/>
      <c r="L4575" s="11" t="n"/>
      <c r="M4575" s="11" t="n"/>
    </row>
    <row r="4576">
      <c r="A4576" s="11" t="n"/>
      <c r="B4576" s="11" t="n"/>
      <c r="C4576" s="11" t="n"/>
      <c r="D4576" s="11" t="n"/>
      <c r="E4576" s="11" t="n"/>
      <c r="F4576" s="11" t="n"/>
      <c r="G4576" s="11" t="n"/>
      <c r="H4576" s="11" t="n"/>
      <c r="I4576" s="11" t="n"/>
      <c r="J4576" s="11" t="n"/>
      <c r="K4576" s="11" t="n"/>
      <c r="L4576" s="11" t="n"/>
      <c r="M4576" s="11" t="n"/>
    </row>
    <row r="4577">
      <c r="A4577" s="11" t="n"/>
      <c r="B4577" s="11" t="n"/>
      <c r="C4577" s="11" t="n"/>
      <c r="D4577" s="11" t="n"/>
      <c r="E4577" s="11" t="n"/>
      <c r="F4577" s="11" t="n"/>
      <c r="G4577" s="11" t="n"/>
      <c r="H4577" s="11" t="n"/>
      <c r="I4577" s="11" t="n"/>
      <c r="J4577" s="11" t="n"/>
      <c r="K4577" s="11" t="n"/>
      <c r="L4577" s="11" t="n"/>
      <c r="M4577" s="11" t="n"/>
    </row>
    <row r="4578">
      <c r="A4578" s="11" t="n"/>
      <c r="B4578" s="11" t="n"/>
      <c r="C4578" s="11" t="n"/>
      <c r="D4578" s="11" t="n"/>
      <c r="E4578" s="11" t="n"/>
      <c r="F4578" s="11" t="n"/>
      <c r="G4578" s="11" t="n"/>
      <c r="H4578" s="11" t="n"/>
      <c r="I4578" s="11" t="n"/>
      <c r="J4578" s="11" t="n"/>
      <c r="K4578" s="11" t="n"/>
      <c r="L4578" s="11" t="n"/>
      <c r="M4578" s="11" t="n"/>
    </row>
    <row r="4579">
      <c r="A4579" s="11" t="n"/>
      <c r="B4579" s="11" t="n"/>
      <c r="C4579" s="11" t="n"/>
      <c r="D4579" s="11" t="n"/>
      <c r="E4579" s="11" t="n"/>
      <c r="F4579" s="11" t="n"/>
      <c r="G4579" s="11" t="n"/>
      <c r="H4579" s="11" t="n"/>
      <c r="I4579" s="11" t="n"/>
      <c r="J4579" s="11" t="n"/>
      <c r="K4579" s="11" t="n"/>
      <c r="L4579" s="11" t="n"/>
      <c r="M4579" s="11" t="n"/>
    </row>
    <row r="4580">
      <c r="A4580" s="11" t="n"/>
      <c r="B4580" s="11" t="n"/>
      <c r="C4580" s="11" t="n"/>
      <c r="D4580" s="11" t="n"/>
      <c r="E4580" s="11" t="n"/>
      <c r="F4580" s="11" t="n"/>
      <c r="G4580" s="11" t="n"/>
      <c r="H4580" s="11" t="n"/>
      <c r="I4580" s="11" t="n"/>
      <c r="J4580" s="11" t="n"/>
      <c r="K4580" s="11" t="n"/>
      <c r="L4580" s="11" t="n"/>
      <c r="M4580" s="11" t="n"/>
    </row>
    <row r="4581">
      <c r="A4581" s="11" t="n"/>
      <c r="B4581" s="11" t="n"/>
      <c r="C4581" s="11" t="n"/>
      <c r="D4581" s="11" t="n"/>
      <c r="E4581" s="11" t="n"/>
      <c r="F4581" s="11" t="n"/>
      <c r="G4581" s="11" t="n"/>
      <c r="H4581" s="11" t="n"/>
      <c r="I4581" s="11" t="n"/>
      <c r="J4581" s="11" t="n"/>
      <c r="K4581" s="11" t="n"/>
      <c r="L4581" s="11" t="n"/>
      <c r="M4581" s="11" t="n"/>
    </row>
    <row r="4582">
      <c r="A4582" s="11" t="n"/>
      <c r="B4582" s="11" t="n"/>
      <c r="C4582" s="11" t="n"/>
      <c r="D4582" s="11" t="n"/>
      <c r="E4582" s="11" t="n"/>
      <c r="F4582" s="11" t="n"/>
      <c r="G4582" s="11" t="n"/>
      <c r="H4582" s="11" t="n"/>
      <c r="I4582" s="11" t="n"/>
      <c r="J4582" s="11" t="n"/>
      <c r="K4582" s="11" t="n"/>
      <c r="L4582" s="11" t="n"/>
      <c r="M4582" s="11" t="n"/>
    </row>
    <row r="4583">
      <c r="A4583" s="11" t="n"/>
      <c r="B4583" s="11" t="n"/>
      <c r="C4583" s="11" t="n"/>
      <c r="D4583" s="11" t="n"/>
      <c r="E4583" s="11" t="n"/>
      <c r="F4583" s="11" t="n"/>
      <c r="G4583" s="11" t="n"/>
      <c r="H4583" s="11" t="n"/>
      <c r="I4583" s="11" t="n"/>
      <c r="J4583" s="11" t="n"/>
      <c r="K4583" s="11" t="n"/>
      <c r="L4583" s="11" t="n"/>
      <c r="M4583" s="11" t="n"/>
    </row>
    <row r="4584">
      <c r="A4584" s="11" t="n"/>
      <c r="B4584" s="11" t="n"/>
      <c r="C4584" s="11" t="n"/>
      <c r="D4584" s="11" t="n"/>
      <c r="E4584" s="11" t="n"/>
      <c r="F4584" s="11" t="n"/>
      <c r="G4584" s="11" t="n"/>
      <c r="H4584" s="11" t="n"/>
      <c r="I4584" s="11" t="n"/>
      <c r="J4584" s="11" t="n"/>
      <c r="K4584" s="11" t="n"/>
      <c r="L4584" s="11" t="n"/>
      <c r="M4584" s="11" t="n"/>
    </row>
    <row r="4585">
      <c r="A4585" s="11" t="n"/>
      <c r="B4585" s="11" t="n"/>
      <c r="C4585" s="11" t="n"/>
      <c r="D4585" s="11" t="n"/>
      <c r="E4585" s="11" t="n"/>
      <c r="F4585" s="11" t="n"/>
      <c r="G4585" s="11" t="n"/>
      <c r="H4585" s="11" t="n"/>
      <c r="I4585" s="11" t="n"/>
      <c r="J4585" s="11" t="n"/>
      <c r="K4585" s="11" t="n"/>
      <c r="L4585" s="11" t="n"/>
      <c r="M4585" s="11" t="n"/>
    </row>
    <row r="4586">
      <c r="A4586" s="11" t="n"/>
      <c r="B4586" s="11" t="n"/>
      <c r="C4586" s="11" t="n"/>
      <c r="D4586" s="11" t="n"/>
      <c r="E4586" s="11" t="n"/>
      <c r="F4586" s="11" t="n"/>
      <c r="G4586" s="11" t="n"/>
      <c r="H4586" s="11" t="n"/>
      <c r="I4586" s="11" t="n"/>
      <c r="J4586" s="11" t="n"/>
      <c r="K4586" s="11" t="n"/>
      <c r="L4586" s="11" t="n"/>
      <c r="M4586" s="11" t="n"/>
    </row>
    <row r="4587">
      <c r="A4587" s="11" t="n"/>
      <c r="B4587" s="11" t="n"/>
      <c r="C4587" s="11" t="n"/>
      <c r="D4587" s="11" t="n"/>
      <c r="E4587" s="11" t="n"/>
      <c r="F4587" s="11" t="n"/>
      <c r="G4587" s="11" t="n"/>
      <c r="H4587" s="11" t="n"/>
      <c r="I4587" s="11" t="n"/>
      <c r="J4587" s="11" t="n"/>
      <c r="K4587" s="11" t="n"/>
      <c r="L4587" s="11" t="n"/>
      <c r="M4587" s="11" t="n"/>
    </row>
    <row r="4588">
      <c r="A4588" s="11" t="n"/>
      <c r="B4588" s="11" t="n"/>
      <c r="C4588" s="11" t="n"/>
      <c r="D4588" s="11" t="n"/>
      <c r="E4588" s="11" t="n"/>
      <c r="F4588" s="11" t="n"/>
      <c r="G4588" s="11" t="n"/>
      <c r="H4588" s="11" t="n"/>
      <c r="I4588" s="11" t="n"/>
      <c r="J4588" s="11" t="n"/>
      <c r="K4588" s="11" t="n"/>
      <c r="L4588" s="11" t="n"/>
      <c r="M4588" s="11" t="n"/>
    </row>
    <row r="4589">
      <c r="A4589" s="11" t="n"/>
      <c r="B4589" s="11" t="n"/>
      <c r="C4589" s="11" t="n"/>
      <c r="D4589" s="11" t="n"/>
      <c r="E4589" s="11" t="n"/>
      <c r="F4589" s="11" t="n"/>
      <c r="G4589" s="11" t="n"/>
      <c r="H4589" s="11" t="n"/>
      <c r="I4589" s="11" t="n"/>
      <c r="J4589" s="11" t="n"/>
      <c r="K4589" s="11" t="n"/>
      <c r="L4589" s="11" t="n"/>
      <c r="M4589" s="11" t="n"/>
    </row>
    <row r="4590">
      <c r="A4590" s="11" t="n"/>
      <c r="B4590" s="11" t="n"/>
      <c r="C4590" s="11" t="n"/>
      <c r="D4590" s="11" t="n"/>
      <c r="E4590" s="11" t="n"/>
      <c r="F4590" s="11" t="n"/>
      <c r="G4590" s="11" t="n"/>
      <c r="H4590" s="11" t="n"/>
      <c r="I4590" s="11" t="n"/>
      <c r="J4590" s="11" t="n"/>
      <c r="K4590" s="11" t="n"/>
      <c r="L4590" s="11" t="n"/>
      <c r="M4590" s="11" t="n"/>
    </row>
    <row r="4591">
      <c r="A4591" s="11" t="n"/>
      <c r="B4591" s="11" t="n"/>
      <c r="C4591" s="11" t="n"/>
      <c r="D4591" s="11" t="n"/>
      <c r="E4591" s="11" t="n"/>
      <c r="F4591" s="11" t="n"/>
      <c r="G4591" s="11" t="n"/>
      <c r="H4591" s="11" t="n"/>
      <c r="I4591" s="11" t="n"/>
      <c r="J4591" s="11" t="n"/>
      <c r="K4591" s="11" t="n"/>
      <c r="L4591" s="11" t="n"/>
      <c r="M4591" s="11" t="n"/>
    </row>
    <row r="4592">
      <c r="A4592" s="11" t="n"/>
      <c r="B4592" s="11" t="n"/>
      <c r="C4592" s="11" t="n"/>
      <c r="D4592" s="11" t="n"/>
      <c r="E4592" s="11" t="n"/>
      <c r="F4592" s="11" t="n"/>
      <c r="G4592" s="11" t="n"/>
      <c r="H4592" s="11" t="n"/>
      <c r="I4592" s="11" t="n"/>
      <c r="J4592" s="11" t="n"/>
      <c r="K4592" s="11" t="n"/>
      <c r="L4592" s="11" t="n"/>
      <c r="M4592" s="11" t="n"/>
    </row>
    <row r="4593">
      <c r="A4593" s="11" t="n"/>
      <c r="B4593" s="11" t="n"/>
      <c r="C4593" s="11" t="n"/>
      <c r="D4593" s="11" t="n"/>
      <c r="E4593" s="11" t="n"/>
      <c r="F4593" s="11" t="n"/>
      <c r="G4593" s="11" t="n"/>
      <c r="H4593" s="11" t="n"/>
      <c r="I4593" s="11" t="n"/>
      <c r="J4593" s="11" t="n"/>
      <c r="K4593" s="11" t="n"/>
      <c r="L4593" s="11" t="n"/>
      <c r="M4593" s="11" t="n"/>
    </row>
    <row r="4594">
      <c r="A4594" s="11" t="n"/>
      <c r="B4594" s="11" t="n"/>
      <c r="C4594" s="11" t="n"/>
      <c r="D4594" s="11" t="n"/>
      <c r="E4594" s="11" t="n"/>
      <c r="F4594" s="11" t="n"/>
      <c r="G4594" s="11" t="n"/>
      <c r="H4594" s="11" t="n"/>
      <c r="I4594" s="11" t="n"/>
      <c r="J4594" s="11" t="n"/>
      <c r="K4594" s="11" t="n"/>
      <c r="L4594" s="11" t="n"/>
      <c r="M4594" s="11" t="n"/>
    </row>
    <row r="4595">
      <c r="A4595" s="11" t="n"/>
      <c r="B4595" s="11" t="n"/>
      <c r="C4595" s="11" t="n"/>
      <c r="D4595" s="11" t="n"/>
      <c r="E4595" s="11" t="n"/>
      <c r="F4595" s="11" t="n"/>
      <c r="G4595" s="11" t="n"/>
      <c r="H4595" s="11" t="n"/>
      <c r="I4595" s="11" t="n"/>
      <c r="J4595" s="11" t="n"/>
      <c r="K4595" s="11" t="n"/>
      <c r="L4595" s="11" t="n"/>
      <c r="M4595" s="11" t="n"/>
    </row>
    <row r="4596">
      <c r="A4596" s="11" t="n"/>
      <c r="B4596" s="11" t="n"/>
      <c r="C4596" s="11" t="n"/>
      <c r="D4596" s="11" t="n"/>
      <c r="E4596" s="11" t="n"/>
      <c r="F4596" s="11" t="n"/>
      <c r="G4596" s="11" t="n"/>
      <c r="H4596" s="11" t="n"/>
      <c r="I4596" s="11" t="n"/>
      <c r="J4596" s="11" t="n"/>
      <c r="K4596" s="11" t="n"/>
      <c r="L4596" s="11" t="n"/>
      <c r="M4596" s="11" t="n"/>
    </row>
    <row r="4597">
      <c r="A4597" s="11" t="n"/>
      <c r="B4597" s="11" t="n"/>
      <c r="C4597" s="11" t="n"/>
      <c r="D4597" s="11" t="n"/>
      <c r="E4597" s="11" t="n"/>
      <c r="F4597" s="11" t="n"/>
      <c r="G4597" s="11" t="n"/>
      <c r="H4597" s="11" t="n"/>
      <c r="I4597" s="11" t="n"/>
      <c r="J4597" s="11" t="n"/>
      <c r="K4597" s="11" t="n"/>
      <c r="L4597" s="11" t="n"/>
      <c r="M4597" s="11" t="n"/>
    </row>
    <row r="4598">
      <c r="A4598" s="11" t="n"/>
      <c r="B4598" s="11" t="n"/>
      <c r="C4598" s="11" t="n"/>
      <c r="D4598" s="11" t="n"/>
      <c r="E4598" s="11" t="n"/>
      <c r="F4598" s="11" t="n"/>
      <c r="G4598" s="11" t="n"/>
      <c r="H4598" s="11" t="n"/>
      <c r="I4598" s="11" t="n"/>
      <c r="J4598" s="11" t="n"/>
      <c r="K4598" s="11" t="n"/>
      <c r="L4598" s="11" t="n"/>
      <c r="M4598" s="11" t="n"/>
    </row>
    <row r="4599">
      <c r="A4599" s="11" t="n"/>
      <c r="B4599" s="11" t="n"/>
      <c r="C4599" s="11" t="n"/>
      <c r="D4599" s="11" t="n"/>
      <c r="E4599" s="11" t="n"/>
      <c r="F4599" s="11" t="n"/>
      <c r="G4599" s="11" t="n"/>
      <c r="H4599" s="11" t="n"/>
      <c r="I4599" s="11" t="n"/>
      <c r="J4599" s="11" t="n"/>
      <c r="K4599" s="11" t="n"/>
      <c r="L4599" s="11" t="n"/>
      <c r="M4599" s="11" t="n"/>
    </row>
    <row r="4600">
      <c r="A4600" s="11" t="n"/>
      <c r="B4600" s="11" t="n"/>
      <c r="C4600" s="11" t="n"/>
      <c r="D4600" s="11" t="n"/>
      <c r="E4600" s="11" t="n"/>
      <c r="F4600" s="11" t="n"/>
      <c r="G4600" s="11" t="n"/>
      <c r="H4600" s="11" t="n"/>
      <c r="I4600" s="11" t="n"/>
      <c r="J4600" s="11" t="n"/>
      <c r="K4600" s="11" t="n"/>
      <c r="L4600" s="11" t="n"/>
      <c r="M4600" s="11" t="n"/>
    </row>
    <row r="4601">
      <c r="A4601" s="11" t="n"/>
      <c r="B4601" s="11" t="n"/>
      <c r="C4601" s="11" t="n"/>
      <c r="D4601" s="11" t="n"/>
      <c r="E4601" s="11" t="n"/>
      <c r="F4601" s="11" t="n"/>
      <c r="G4601" s="11" t="n"/>
      <c r="H4601" s="11" t="n"/>
      <c r="I4601" s="11" t="n"/>
      <c r="J4601" s="11" t="n"/>
      <c r="K4601" s="11" t="n"/>
      <c r="L4601" s="11" t="n"/>
      <c r="M4601" s="11" t="n"/>
    </row>
    <row r="4602">
      <c r="A4602" s="11" t="n"/>
      <c r="B4602" s="11" t="n"/>
      <c r="C4602" s="11" t="n"/>
      <c r="D4602" s="11" t="n"/>
      <c r="E4602" s="11" t="n"/>
      <c r="F4602" s="11" t="n"/>
      <c r="G4602" s="11" t="n"/>
      <c r="H4602" s="11" t="n"/>
      <c r="I4602" s="11" t="n"/>
      <c r="J4602" s="11" t="n"/>
      <c r="K4602" s="11" t="n"/>
      <c r="L4602" s="11" t="n"/>
      <c r="M4602" s="11" t="n"/>
    </row>
    <row r="4603">
      <c r="A4603" s="11" t="n"/>
      <c r="B4603" s="11" t="n"/>
      <c r="C4603" s="11" t="n"/>
      <c r="D4603" s="11" t="n"/>
      <c r="E4603" s="11" t="n"/>
      <c r="F4603" s="11" t="n"/>
      <c r="G4603" s="11" t="n"/>
      <c r="H4603" s="11" t="n"/>
      <c r="I4603" s="11" t="n"/>
      <c r="J4603" s="11" t="n"/>
      <c r="K4603" s="11" t="n"/>
      <c r="L4603" s="11" t="n"/>
      <c r="M4603" s="11" t="n"/>
    </row>
    <row r="4604">
      <c r="A4604" s="11" t="n"/>
      <c r="B4604" s="11" t="n"/>
      <c r="C4604" s="11" t="n"/>
      <c r="D4604" s="11" t="n"/>
      <c r="E4604" s="11" t="n"/>
      <c r="F4604" s="11" t="n"/>
      <c r="G4604" s="11" t="n"/>
      <c r="H4604" s="11" t="n"/>
      <c r="I4604" s="11" t="n"/>
      <c r="J4604" s="11" t="n"/>
      <c r="K4604" s="11" t="n"/>
      <c r="L4604" s="11" t="n"/>
      <c r="M4604" s="11" t="n"/>
    </row>
    <row r="4605">
      <c r="A4605" s="11" t="n"/>
      <c r="B4605" s="11" t="n"/>
      <c r="C4605" s="11" t="n"/>
      <c r="D4605" s="11" t="n"/>
      <c r="E4605" s="11" t="n"/>
      <c r="F4605" s="11" t="n"/>
      <c r="G4605" s="11" t="n"/>
      <c r="H4605" s="11" t="n"/>
      <c r="I4605" s="11" t="n"/>
      <c r="J4605" s="11" t="n"/>
      <c r="K4605" s="11" t="n"/>
      <c r="L4605" s="11" t="n"/>
      <c r="M4605" s="11" t="n"/>
    </row>
    <row r="4606">
      <c r="A4606" s="11" t="n"/>
      <c r="B4606" s="11" t="n"/>
      <c r="C4606" s="11" t="n"/>
      <c r="D4606" s="11" t="n"/>
      <c r="E4606" s="11" t="n"/>
      <c r="F4606" s="11" t="n"/>
      <c r="G4606" s="11" t="n"/>
      <c r="H4606" s="11" t="n"/>
      <c r="I4606" s="11" t="n"/>
      <c r="J4606" s="11" t="n"/>
      <c r="K4606" s="11" t="n"/>
      <c r="L4606" s="11" t="n"/>
      <c r="M4606" s="11" t="n"/>
    </row>
    <row r="4607">
      <c r="A4607" s="11" t="n"/>
      <c r="B4607" s="11" t="n"/>
      <c r="C4607" s="11" t="n"/>
      <c r="D4607" s="11" t="n"/>
      <c r="E4607" s="11" t="n"/>
      <c r="F4607" s="11" t="n"/>
      <c r="G4607" s="11" t="n"/>
      <c r="H4607" s="11" t="n"/>
      <c r="I4607" s="11" t="n"/>
      <c r="J4607" s="11" t="n"/>
      <c r="K4607" s="11" t="n"/>
      <c r="L4607" s="11" t="n"/>
      <c r="M4607" s="11" t="n"/>
    </row>
    <row r="4608">
      <c r="A4608" s="11" t="n"/>
      <c r="B4608" s="11" t="n"/>
      <c r="C4608" s="11" t="n"/>
      <c r="D4608" s="11" t="n"/>
      <c r="E4608" s="11" t="n"/>
      <c r="F4608" s="11" t="n"/>
      <c r="G4608" s="11" t="n"/>
      <c r="H4608" s="11" t="n"/>
      <c r="I4608" s="11" t="n"/>
      <c r="J4608" s="11" t="n"/>
      <c r="K4608" s="11" t="n"/>
      <c r="L4608" s="11" t="n"/>
      <c r="M4608" s="11" t="n"/>
    </row>
    <row r="4609">
      <c r="A4609" s="11" t="n"/>
      <c r="B4609" s="11" t="n"/>
      <c r="C4609" s="11" t="n"/>
      <c r="D4609" s="11" t="n"/>
      <c r="E4609" s="11" t="n"/>
      <c r="F4609" s="11" t="n"/>
      <c r="G4609" s="11" t="n"/>
      <c r="H4609" s="11" t="n"/>
      <c r="I4609" s="11" t="n"/>
      <c r="J4609" s="11" t="n"/>
      <c r="K4609" s="11" t="n"/>
      <c r="L4609" s="11" t="n"/>
      <c r="M4609" s="11" t="n"/>
    </row>
    <row r="4610">
      <c r="A4610" s="11" t="n"/>
      <c r="B4610" s="11" t="n"/>
      <c r="C4610" s="11" t="n"/>
      <c r="D4610" s="11" t="n"/>
      <c r="E4610" s="11" t="n"/>
      <c r="F4610" s="11" t="n"/>
      <c r="G4610" s="11" t="n"/>
      <c r="H4610" s="11" t="n"/>
      <c r="I4610" s="11" t="n"/>
      <c r="J4610" s="11" t="n"/>
      <c r="K4610" s="11" t="n"/>
      <c r="L4610" s="11" t="n"/>
      <c r="M4610" s="11" t="n"/>
    </row>
    <row r="4611">
      <c r="A4611" s="11" t="n"/>
      <c r="B4611" s="11" t="n"/>
      <c r="C4611" s="11" t="n"/>
      <c r="D4611" s="11" t="n"/>
      <c r="E4611" s="11" t="n"/>
      <c r="F4611" s="11" t="n"/>
      <c r="G4611" s="11" t="n"/>
      <c r="H4611" s="11" t="n"/>
      <c r="I4611" s="11" t="n"/>
      <c r="J4611" s="11" t="n"/>
      <c r="K4611" s="11" t="n"/>
      <c r="L4611" s="11" t="n"/>
      <c r="M4611" s="11" t="n"/>
    </row>
    <row r="4612">
      <c r="A4612" s="11" t="n"/>
      <c r="B4612" s="11" t="n"/>
      <c r="C4612" s="11" t="n"/>
      <c r="D4612" s="11" t="n"/>
      <c r="E4612" s="11" t="n"/>
      <c r="F4612" s="11" t="n"/>
      <c r="G4612" s="11" t="n"/>
      <c r="H4612" s="11" t="n"/>
      <c r="I4612" s="11" t="n"/>
      <c r="J4612" s="11" t="n"/>
      <c r="K4612" s="11" t="n"/>
      <c r="L4612" s="11" t="n"/>
      <c r="M4612" s="11" t="n"/>
    </row>
    <row r="4613">
      <c r="A4613" s="11" t="n"/>
      <c r="B4613" s="11" t="n"/>
      <c r="C4613" s="11" t="n"/>
      <c r="D4613" s="11" t="n"/>
      <c r="E4613" s="11" t="n"/>
      <c r="F4613" s="11" t="n"/>
      <c r="G4613" s="11" t="n"/>
      <c r="H4613" s="11" t="n"/>
      <c r="I4613" s="11" t="n"/>
      <c r="J4613" s="11" t="n"/>
      <c r="K4613" s="11" t="n"/>
      <c r="L4613" s="11" t="n"/>
      <c r="M4613" s="11" t="n"/>
    </row>
    <row r="4614">
      <c r="A4614" s="11" t="n"/>
      <c r="B4614" s="11" t="n"/>
      <c r="C4614" s="11" t="n"/>
      <c r="D4614" s="11" t="n"/>
      <c r="E4614" s="11" t="n"/>
      <c r="F4614" s="11" t="n"/>
      <c r="G4614" s="11" t="n"/>
      <c r="H4614" s="11" t="n"/>
      <c r="I4614" s="11" t="n"/>
      <c r="J4614" s="11" t="n"/>
      <c r="K4614" s="11" t="n"/>
      <c r="L4614" s="11" t="n"/>
      <c r="M4614" s="11" t="n"/>
    </row>
    <row r="4615">
      <c r="A4615" s="11" t="n"/>
      <c r="B4615" s="11" t="n"/>
      <c r="C4615" s="11" t="n"/>
      <c r="D4615" s="11" t="n"/>
      <c r="E4615" s="11" t="n"/>
      <c r="F4615" s="11" t="n"/>
      <c r="G4615" s="11" t="n"/>
      <c r="H4615" s="11" t="n"/>
      <c r="I4615" s="11" t="n"/>
      <c r="J4615" s="11" t="n"/>
      <c r="K4615" s="11" t="n"/>
      <c r="L4615" s="11" t="n"/>
      <c r="M4615" s="11" t="n"/>
    </row>
    <row r="4616">
      <c r="A4616" s="11" t="n"/>
      <c r="B4616" s="11" t="n"/>
      <c r="C4616" s="11" t="n"/>
      <c r="D4616" s="11" t="n"/>
      <c r="E4616" s="11" t="n"/>
      <c r="F4616" s="11" t="n"/>
      <c r="G4616" s="11" t="n"/>
      <c r="H4616" s="11" t="n"/>
      <c r="I4616" s="11" t="n"/>
      <c r="J4616" s="11" t="n"/>
      <c r="K4616" s="11" t="n"/>
      <c r="L4616" s="11" t="n"/>
      <c r="M4616" s="11" t="n"/>
    </row>
    <row r="4617">
      <c r="A4617" s="11" t="n"/>
      <c r="B4617" s="11" t="n"/>
      <c r="C4617" s="11" t="n"/>
      <c r="D4617" s="11" t="n"/>
      <c r="E4617" s="11" t="n"/>
      <c r="F4617" s="11" t="n"/>
      <c r="G4617" s="11" t="n"/>
      <c r="H4617" s="11" t="n"/>
      <c r="I4617" s="11" t="n"/>
      <c r="J4617" s="11" t="n"/>
      <c r="K4617" s="11" t="n"/>
      <c r="L4617" s="11" t="n"/>
      <c r="M4617" s="11" t="n"/>
    </row>
    <row r="4618">
      <c r="A4618" s="11" t="n"/>
      <c r="B4618" s="11" t="n"/>
      <c r="C4618" s="11" t="n"/>
      <c r="D4618" s="11" t="n"/>
      <c r="E4618" s="11" t="n"/>
      <c r="F4618" s="11" t="n"/>
      <c r="G4618" s="11" t="n"/>
      <c r="H4618" s="11" t="n"/>
      <c r="I4618" s="11" t="n"/>
      <c r="J4618" s="11" t="n"/>
      <c r="K4618" s="11" t="n"/>
      <c r="L4618" s="11" t="n"/>
      <c r="M4618" s="11" t="n"/>
    </row>
    <row r="4619">
      <c r="A4619" s="11" t="n"/>
      <c r="B4619" s="11" t="n"/>
      <c r="C4619" s="11" t="n"/>
      <c r="D4619" s="11" t="n"/>
      <c r="E4619" s="11" t="n"/>
      <c r="F4619" s="11" t="n"/>
      <c r="G4619" s="11" t="n"/>
      <c r="H4619" s="11" t="n"/>
      <c r="I4619" s="11" t="n"/>
      <c r="J4619" s="11" t="n"/>
      <c r="K4619" s="11" t="n"/>
      <c r="L4619" s="11" t="n"/>
      <c r="M4619" s="11" t="n"/>
    </row>
    <row r="4620">
      <c r="A4620" s="11" t="n"/>
      <c r="B4620" s="11" t="n"/>
      <c r="C4620" s="11" t="n"/>
      <c r="D4620" s="11" t="n"/>
      <c r="E4620" s="11" t="n"/>
      <c r="F4620" s="11" t="n"/>
      <c r="G4620" s="11" t="n"/>
      <c r="H4620" s="11" t="n"/>
      <c r="I4620" s="11" t="n"/>
      <c r="J4620" s="11" t="n"/>
      <c r="K4620" s="11" t="n"/>
      <c r="L4620" s="11" t="n"/>
      <c r="M4620" s="11" t="n"/>
    </row>
    <row r="4621">
      <c r="A4621" s="11" t="n"/>
      <c r="B4621" s="11" t="n"/>
      <c r="C4621" s="11" t="n"/>
      <c r="D4621" s="11" t="n"/>
      <c r="E4621" s="11" t="n"/>
      <c r="F4621" s="11" t="n"/>
      <c r="G4621" s="11" t="n"/>
      <c r="H4621" s="11" t="n"/>
      <c r="I4621" s="11" t="n"/>
      <c r="J4621" s="11" t="n"/>
      <c r="K4621" s="11" t="n"/>
      <c r="L4621" s="11" t="n"/>
      <c r="M4621" s="11" t="n"/>
    </row>
    <row r="4622">
      <c r="A4622" s="11" t="n"/>
      <c r="B4622" s="11" t="n"/>
      <c r="C4622" s="11" t="n"/>
      <c r="D4622" s="11" t="n"/>
      <c r="E4622" s="11" t="n"/>
      <c r="F4622" s="11" t="n"/>
      <c r="G4622" s="11" t="n"/>
      <c r="H4622" s="11" t="n"/>
      <c r="I4622" s="11" t="n"/>
      <c r="J4622" s="11" t="n"/>
      <c r="K4622" s="11" t="n"/>
      <c r="L4622" s="11" t="n"/>
      <c r="M4622" s="11" t="n"/>
    </row>
    <row r="4623">
      <c r="A4623" s="11" t="n"/>
      <c r="B4623" s="11" t="n"/>
      <c r="C4623" s="11" t="n"/>
      <c r="D4623" s="11" t="n"/>
      <c r="E4623" s="11" t="n"/>
      <c r="F4623" s="11" t="n"/>
      <c r="G4623" s="11" t="n"/>
      <c r="H4623" s="11" t="n"/>
      <c r="I4623" s="11" t="n"/>
      <c r="J4623" s="11" t="n"/>
      <c r="K4623" s="11" t="n"/>
      <c r="L4623" s="11" t="n"/>
      <c r="M4623" s="11" t="n"/>
    </row>
    <row r="4624">
      <c r="A4624" s="11" t="n"/>
      <c r="B4624" s="11" t="n"/>
      <c r="C4624" s="11" t="n"/>
      <c r="D4624" s="11" t="n"/>
      <c r="E4624" s="11" t="n"/>
      <c r="F4624" s="11" t="n"/>
      <c r="G4624" s="11" t="n"/>
      <c r="H4624" s="11" t="n"/>
      <c r="I4624" s="11" t="n"/>
      <c r="J4624" s="11" t="n"/>
      <c r="K4624" s="11" t="n"/>
      <c r="L4624" s="11" t="n"/>
      <c r="M4624" s="11" t="n"/>
    </row>
    <row r="4625">
      <c r="A4625" s="11" t="n"/>
      <c r="B4625" s="11" t="n"/>
      <c r="C4625" s="11" t="n"/>
      <c r="D4625" s="11" t="n"/>
      <c r="E4625" s="11" t="n"/>
      <c r="F4625" s="11" t="n"/>
      <c r="G4625" s="11" t="n"/>
      <c r="H4625" s="11" t="n"/>
      <c r="I4625" s="11" t="n"/>
      <c r="J4625" s="11" t="n"/>
      <c r="K4625" s="11" t="n"/>
      <c r="L4625" s="11" t="n"/>
      <c r="M4625" s="11" t="n"/>
    </row>
    <row r="4626">
      <c r="A4626" s="11" t="n"/>
      <c r="B4626" s="11" t="n"/>
      <c r="C4626" s="11" t="n"/>
      <c r="D4626" s="11" t="n"/>
      <c r="E4626" s="11" t="n"/>
      <c r="F4626" s="11" t="n"/>
      <c r="G4626" s="11" t="n"/>
      <c r="H4626" s="11" t="n"/>
      <c r="I4626" s="11" t="n"/>
      <c r="J4626" s="11" t="n"/>
      <c r="K4626" s="11" t="n"/>
      <c r="L4626" s="11" t="n"/>
      <c r="M4626" s="11" t="n"/>
    </row>
    <row r="4627">
      <c r="A4627" s="11" t="n"/>
      <c r="B4627" s="11" t="n"/>
      <c r="C4627" s="11" t="n"/>
      <c r="D4627" s="11" t="n"/>
      <c r="E4627" s="11" t="n"/>
      <c r="F4627" s="11" t="n"/>
      <c r="G4627" s="11" t="n"/>
      <c r="H4627" s="11" t="n"/>
      <c r="I4627" s="11" t="n"/>
      <c r="J4627" s="11" t="n"/>
      <c r="K4627" s="11" t="n"/>
      <c r="L4627" s="11" t="n"/>
      <c r="M4627" s="11" t="n"/>
    </row>
    <row r="4628">
      <c r="A4628" s="11" t="n"/>
      <c r="B4628" s="11" t="n"/>
      <c r="C4628" s="11" t="n"/>
      <c r="D4628" s="11" t="n"/>
      <c r="E4628" s="11" t="n"/>
      <c r="F4628" s="11" t="n"/>
      <c r="G4628" s="11" t="n"/>
      <c r="H4628" s="11" t="n"/>
      <c r="I4628" s="11" t="n"/>
      <c r="J4628" s="11" t="n"/>
      <c r="K4628" s="11" t="n"/>
      <c r="L4628" s="11" t="n"/>
      <c r="M4628" s="11" t="n"/>
    </row>
    <row r="4629">
      <c r="A4629" s="11" t="n"/>
      <c r="B4629" s="11" t="n"/>
      <c r="C4629" s="11" t="n"/>
      <c r="D4629" s="11" t="n"/>
      <c r="E4629" s="11" t="n"/>
      <c r="F4629" s="11" t="n"/>
      <c r="G4629" s="11" t="n"/>
      <c r="H4629" s="11" t="n"/>
      <c r="I4629" s="11" t="n"/>
      <c r="J4629" s="11" t="n"/>
      <c r="K4629" s="11" t="n"/>
      <c r="L4629" s="11" t="n"/>
      <c r="M4629" s="11" t="n"/>
    </row>
    <row r="4630">
      <c r="A4630" s="11" t="n"/>
      <c r="B4630" s="11" t="n"/>
      <c r="C4630" s="11" t="n"/>
      <c r="D4630" s="11" t="n"/>
      <c r="E4630" s="11" t="n"/>
      <c r="F4630" s="11" t="n"/>
      <c r="G4630" s="11" t="n"/>
      <c r="H4630" s="11" t="n"/>
      <c r="I4630" s="11" t="n"/>
      <c r="J4630" s="11" t="n"/>
      <c r="K4630" s="11" t="n"/>
      <c r="L4630" s="11" t="n"/>
      <c r="M4630" s="11" t="n"/>
    </row>
    <row r="4631">
      <c r="A4631" s="11" t="n"/>
      <c r="B4631" s="11" t="n"/>
      <c r="C4631" s="11" t="n"/>
      <c r="D4631" s="11" t="n"/>
      <c r="E4631" s="11" t="n"/>
      <c r="F4631" s="11" t="n"/>
      <c r="G4631" s="11" t="n"/>
      <c r="H4631" s="11" t="n"/>
      <c r="I4631" s="11" t="n"/>
      <c r="J4631" s="11" t="n"/>
      <c r="K4631" s="11" t="n"/>
      <c r="L4631" s="11" t="n"/>
      <c r="M4631" s="11" t="n"/>
    </row>
    <row r="4632">
      <c r="A4632" s="11" t="n"/>
      <c r="B4632" s="11" t="n"/>
      <c r="C4632" s="11" t="n"/>
      <c r="D4632" s="11" t="n"/>
      <c r="E4632" s="11" t="n"/>
      <c r="F4632" s="11" t="n"/>
      <c r="G4632" s="11" t="n"/>
      <c r="H4632" s="11" t="n"/>
      <c r="I4632" s="11" t="n"/>
      <c r="J4632" s="11" t="n"/>
      <c r="K4632" s="11" t="n"/>
      <c r="L4632" s="11" t="n"/>
      <c r="M4632" s="11" t="n"/>
    </row>
    <row r="4633">
      <c r="A4633" s="11" t="n"/>
      <c r="B4633" s="11" t="n"/>
      <c r="C4633" s="11" t="n"/>
      <c r="D4633" s="11" t="n"/>
      <c r="E4633" s="11" t="n"/>
      <c r="F4633" s="11" t="n"/>
      <c r="G4633" s="11" t="n"/>
      <c r="H4633" s="11" t="n"/>
      <c r="I4633" s="11" t="n"/>
      <c r="J4633" s="11" t="n"/>
      <c r="K4633" s="11" t="n"/>
      <c r="L4633" s="11" t="n"/>
      <c r="M4633" s="11" t="n"/>
    </row>
    <row r="4634">
      <c r="A4634" s="11" t="n"/>
      <c r="B4634" s="11" t="n"/>
      <c r="C4634" s="11" t="n"/>
      <c r="D4634" s="11" t="n"/>
      <c r="E4634" s="11" t="n"/>
      <c r="F4634" s="11" t="n"/>
      <c r="G4634" s="11" t="n"/>
      <c r="H4634" s="11" t="n"/>
      <c r="I4634" s="11" t="n"/>
      <c r="J4634" s="11" t="n"/>
      <c r="K4634" s="11" t="n"/>
      <c r="L4634" s="11" t="n"/>
      <c r="M4634" s="11" t="n"/>
    </row>
    <row r="4635">
      <c r="A4635" s="11" t="n"/>
      <c r="B4635" s="11" t="n"/>
      <c r="C4635" s="11" t="n"/>
      <c r="D4635" s="11" t="n"/>
      <c r="E4635" s="11" t="n"/>
      <c r="F4635" s="11" t="n"/>
      <c r="G4635" s="11" t="n"/>
      <c r="H4635" s="11" t="n"/>
      <c r="I4635" s="11" t="n"/>
      <c r="J4635" s="11" t="n"/>
      <c r="K4635" s="11" t="n"/>
      <c r="L4635" s="11" t="n"/>
      <c r="M4635" s="11" t="n"/>
    </row>
    <row r="4636">
      <c r="A4636" s="11" t="n"/>
      <c r="B4636" s="11" t="n"/>
      <c r="C4636" s="11" t="n"/>
      <c r="D4636" s="11" t="n"/>
      <c r="E4636" s="11" t="n"/>
      <c r="F4636" s="11" t="n"/>
      <c r="G4636" s="11" t="n"/>
      <c r="H4636" s="11" t="n"/>
      <c r="I4636" s="11" t="n"/>
      <c r="J4636" s="11" t="n"/>
      <c r="K4636" s="11" t="n"/>
      <c r="L4636" s="11" t="n"/>
      <c r="M4636" s="11" t="n"/>
    </row>
    <row r="4637">
      <c r="A4637" s="11" t="n"/>
      <c r="B4637" s="11" t="n"/>
      <c r="C4637" s="11" t="n"/>
      <c r="D4637" s="11" t="n"/>
      <c r="E4637" s="11" t="n"/>
      <c r="F4637" s="11" t="n"/>
      <c r="G4637" s="11" t="n"/>
      <c r="H4637" s="11" t="n"/>
      <c r="I4637" s="11" t="n"/>
      <c r="J4637" s="11" t="n"/>
      <c r="K4637" s="11" t="n"/>
      <c r="L4637" s="11" t="n"/>
      <c r="M4637" s="11" t="n"/>
    </row>
    <row r="4638">
      <c r="A4638" s="11" t="n"/>
      <c r="B4638" s="11" t="n"/>
      <c r="C4638" s="11" t="n"/>
      <c r="D4638" s="11" t="n"/>
      <c r="E4638" s="11" t="n"/>
      <c r="F4638" s="11" t="n"/>
      <c r="G4638" s="11" t="n"/>
      <c r="H4638" s="11" t="n"/>
      <c r="I4638" s="11" t="n"/>
      <c r="J4638" s="11" t="n"/>
      <c r="K4638" s="11" t="n"/>
      <c r="L4638" s="11" t="n"/>
      <c r="M4638" s="11" t="n"/>
    </row>
    <row r="4639">
      <c r="A4639" s="11" t="n"/>
      <c r="B4639" s="11" t="n"/>
      <c r="C4639" s="11" t="n"/>
      <c r="D4639" s="11" t="n"/>
      <c r="E4639" s="11" t="n"/>
      <c r="F4639" s="11" t="n"/>
      <c r="G4639" s="11" t="n"/>
      <c r="H4639" s="11" t="n"/>
      <c r="I4639" s="11" t="n"/>
      <c r="J4639" s="11" t="n"/>
      <c r="K4639" s="11" t="n"/>
      <c r="L4639" s="11" t="n"/>
      <c r="M4639" s="11" t="n"/>
    </row>
    <row r="4640">
      <c r="A4640" s="11" t="n"/>
      <c r="B4640" s="11" t="n"/>
      <c r="C4640" s="11" t="n"/>
      <c r="D4640" s="11" t="n"/>
      <c r="E4640" s="11" t="n"/>
      <c r="F4640" s="11" t="n"/>
      <c r="G4640" s="11" t="n"/>
      <c r="H4640" s="11" t="n"/>
      <c r="I4640" s="11" t="n"/>
      <c r="J4640" s="11" t="n"/>
      <c r="K4640" s="11" t="n"/>
      <c r="L4640" s="11" t="n"/>
      <c r="M4640" s="11" t="n"/>
    </row>
    <row r="4641">
      <c r="A4641" s="11" t="n"/>
      <c r="B4641" s="11" t="n"/>
      <c r="C4641" s="11" t="n"/>
      <c r="D4641" s="11" t="n"/>
      <c r="E4641" s="11" t="n"/>
      <c r="F4641" s="11" t="n"/>
      <c r="G4641" s="11" t="n"/>
      <c r="H4641" s="11" t="n"/>
      <c r="I4641" s="11" t="n"/>
      <c r="J4641" s="11" t="n"/>
      <c r="K4641" s="11" t="n"/>
      <c r="L4641" s="11" t="n"/>
      <c r="M4641" s="11" t="n"/>
    </row>
    <row r="4642">
      <c r="A4642" s="11" t="n"/>
      <c r="B4642" s="11" t="n"/>
      <c r="C4642" s="11" t="n"/>
      <c r="D4642" s="11" t="n"/>
      <c r="E4642" s="11" t="n"/>
      <c r="F4642" s="11" t="n"/>
      <c r="G4642" s="11" t="n"/>
      <c r="H4642" s="11" t="n"/>
      <c r="I4642" s="11" t="n"/>
      <c r="J4642" s="11" t="n"/>
      <c r="K4642" s="11" t="n"/>
      <c r="L4642" s="11" t="n"/>
      <c r="M4642" s="11" t="n"/>
    </row>
    <row r="4643">
      <c r="A4643" s="11" t="n"/>
      <c r="B4643" s="11" t="n"/>
      <c r="C4643" s="11" t="n"/>
      <c r="D4643" s="11" t="n"/>
      <c r="E4643" s="11" t="n"/>
      <c r="F4643" s="11" t="n"/>
      <c r="G4643" s="11" t="n"/>
      <c r="H4643" s="11" t="n"/>
      <c r="I4643" s="11" t="n"/>
      <c r="J4643" s="11" t="n"/>
      <c r="K4643" s="11" t="n"/>
      <c r="L4643" s="11" t="n"/>
      <c r="M4643" s="11" t="n"/>
    </row>
    <row r="4644">
      <c r="A4644" s="11" t="n"/>
      <c r="B4644" s="11" t="n"/>
      <c r="C4644" s="11" t="n"/>
      <c r="D4644" s="11" t="n"/>
      <c r="E4644" s="11" t="n"/>
      <c r="F4644" s="11" t="n"/>
      <c r="G4644" s="11" t="n"/>
      <c r="H4644" s="11" t="n"/>
      <c r="I4644" s="11" t="n"/>
      <c r="J4644" s="11" t="n"/>
      <c r="K4644" s="11" t="n"/>
      <c r="L4644" s="11" t="n"/>
      <c r="M4644" s="11" t="n"/>
    </row>
    <row r="4645">
      <c r="A4645" s="11" t="n"/>
      <c r="B4645" s="11" t="n"/>
      <c r="C4645" s="11" t="n"/>
      <c r="D4645" s="11" t="n"/>
      <c r="E4645" s="11" t="n"/>
      <c r="F4645" s="11" t="n"/>
      <c r="G4645" s="11" t="n"/>
      <c r="H4645" s="11" t="n"/>
      <c r="I4645" s="11" t="n"/>
      <c r="J4645" s="11" t="n"/>
      <c r="K4645" s="11" t="n"/>
      <c r="L4645" s="11" t="n"/>
      <c r="M4645" s="11" t="n"/>
    </row>
    <row r="4646">
      <c r="A4646" s="11" t="n"/>
      <c r="B4646" s="11" t="n"/>
      <c r="C4646" s="11" t="n"/>
      <c r="D4646" s="11" t="n"/>
      <c r="E4646" s="11" t="n"/>
      <c r="F4646" s="11" t="n"/>
      <c r="G4646" s="11" t="n"/>
      <c r="H4646" s="11" t="n"/>
      <c r="I4646" s="11" t="n"/>
      <c r="J4646" s="11" t="n"/>
      <c r="K4646" s="11" t="n"/>
      <c r="L4646" s="11" t="n"/>
      <c r="M4646" s="11" t="n"/>
    </row>
    <row r="4647">
      <c r="A4647" s="11" t="n"/>
      <c r="B4647" s="11" t="n"/>
      <c r="C4647" s="11" t="n"/>
      <c r="D4647" s="11" t="n"/>
      <c r="E4647" s="11" t="n"/>
      <c r="F4647" s="11" t="n"/>
      <c r="G4647" s="11" t="n"/>
      <c r="H4647" s="11" t="n"/>
      <c r="I4647" s="11" t="n"/>
      <c r="J4647" s="11" t="n"/>
      <c r="K4647" s="11" t="n"/>
      <c r="L4647" s="11" t="n"/>
      <c r="M4647" s="11" t="n"/>
    </row>
    <row r="4648">
      <c r="A4648" s="11" t="n"/>
      <c r="B4648" s="11" t="n"/>
      <c r="C4648" s="11" t="n"/>
      <c r="D4648" s="11" t="n"/>
      <c r="E4648" s="11" t="n"/>
      <c r="F4648" s="11" t="n"/>
      <c r="G4648" s="11" t="n"/>
      <c r="H4648" s="11" t="n"/>
      <c r="I4648" s="11" t="n"/>
      <c r="J4648" s="11" t="n"/>
      <c r="K4648" s="11" t="n"/>
      <c r="L4648" s="11" t="n"/>
      <c r="M4648" s="11" t="n"/>
    </row>
    <row r="4649">
      <c r="A4649" s="11" t="n"/>
      <c r="B4649" s="11" t="n"/>
      <c r="C4649" s="11" t="n"/>
      <c r="D4649" s="11" t="n"/>
      <c r="E4649" s="11" t="n"/>
      <c r="F4649" s="11" t="n"/>
      <c r="G4649" s="11" t="n"/>
      <c r="H4649" s="11" t="n"/>
      <c r="I4649" s="11" t="n"/>
      <c r="J4649" s="11" t="n"/>
      <c r="K4649" s="11" t="n"/>
      <c r="L4649" s="11" t="n"/>
      <c r="M4649" s="11" t="n"/>
    </row>
    <row r="4650">
      <c r="A4650" s="11" t="n"/>
      <c r="B4650" s="11" t="n"/>
      <c r="C4650" s="11" t="n"/>
      <c r="D4650" s="11" t="n"/>
      <c r="E4650" s="11" t="n"/>
      <c r="F4650" s="11" t="n"/>
      <c r="G4650" s="11" t="n"/>
      <c r="H4650" s="11" t="n"/>
      <c r="I4650" s="11" t="n"/>
      <c r="J4650" s="11" t="n"/>
      <c r="K4650" s="11" t="n"/>
      <c r="L4650" s="11" t="n"/>
      <c r="M4650" s="11" t="n"/>
    </row>
    <row r="4651">
      <c r="A4651" s="11" t="n"/>
      <c r="B4651" s="11" t="n"/>
      <c r="C4651" s="11" t="n"/>
      <c r="D4651" s="11" t="n"/>
      <c r="E4651" s="11" t="n"/>
      <c r="F4651" s="11" t="n"/>
      <c r="G4651" s="11" t="n"/>
      <c r="H4651" s="11" t="n"/>
      <c r="I4651" s="11" t="n"/>
      <c r="J4651" s="11" t="n"/>
      <c r="K4651" s="11" t="n"/>
      <c r="L4651" s="11" t="n"/>
      <c r="M4651" s="11" t="n"/>
    </row>
    <row r="4652">
      <c r="A4652" s="11" t="n"/>
      <c r="B4652" s="11" t="n"/>
      <c r="C4652" s="11" t="n"/>
      <c r="D4652" s="11" t="n"/>
      <c r="E4652" s="11" t="n"/>
      <c r="F4652" s="11" t="n"/>
      <c r="G4652" s="11" t="n"/>
      <c r="H4652" s="11" t="n"/>
      <c r="I4652" s="11" t="n"/>
      <c r="J4652" s="11" t="n"/>
      <c r="K4652" s="11" t="n"/>
      <c r="L4652" s="11" t="n"/>
      <c r="M4652" s="11" t="n"/>
    </row>
    <row r="4653">
      <c r="A4653" s="11" t="n"/>
      <c r="B4653" s="11" t="n"/>
      <c r="C4653" s="11" t="n"/>
      <c r="D4653" s="11" t="n"/>
      <c r="E4653" s="11" t="n"/>
      <c r="F4653" s="11" t="n"/>
      <c r="G4653" s="11" t="n"/>
      <c r="H4653" s="11" t="n"/>
      <c r="I4653" s="11" t="n"/>
      <c r="J4653" s="11" t="n"/>
      <c r="K4653" s="11" t="n"/>
      <c r="L4653" s="11" t="n"/>
      <c r="M4653" s="11" t="n"/>
    </row>
    <row r="4654">
      <c r="A4654" s="11" t="n"/>
      <c r="B4654" s="11" t="n"/>
      <c r="C4654" s="11" t="n"/>
      <c r="D4654" s="11" t="n"/>
      <c r="E4654" s="11" t="n"/>
      <c r="F4654" s="11" t="n"/>
      <c r="G4654" s="11" t="n"/>
      <c r="H4654" s="11" t="n"/>
      <c r="I4654" s="11" t="n"/>
      <c r="J4654" s="11" t="n"/>
      <c r="K4654" s="11" t="n"/>
      <c r="L4654" s="11" t="n"/>
      <c r="M4654" s="11" t="n"/>
    </row>
    <row r="4655">
      <c r="A4655" s="11" t="n"/>
      <c r="B4655" s="11" t="n"/>
      <c r="C4655" s="11" t="n"/>
      <c r="D4655" s="11" t="n"/>
      <c r="E4655" s="11" t="n"/>
      <c r="F4655" s="11" t="n"/>
      <c r="G4655" s="11" t="n"/>
      <c r="H4655" s="11" t="n"/>
      <c r="I4655" s="11" t="n"/>
      <c r="J4655" s="11" t="n"/>
      <c r="K4655" s="11" t="n"/>
      <c r="L4655" s="11" t="n"/>
      <c r="M4655" s="11" t="n"/>
    </row>
    <row r="4656">
      <c r="A4656" s="11" t="n"/>
      <c r="B4656" s="11" t="n"/>
      <c r="C4656" s="11" t="n"/>
      <c r="D4656" s="11" t="n"/>
      <c r="E4656" s="11" t="n"/>
      <c r="F4656" s="11" t="n"/>
      <c r="G4656" s="11" t="n"/>
      <c r="H4656" s="11" t="n"/>
      <c r="I4656" s="11" t="n"/>
      <c r="J4656" s="11" t="n"/>
      <c r="K4656" s="11" t="n"/>
      <c r="L4656" s="11" t="n"/>
      <c r="M4656" s="11" t="n"/>
    </row>
    <row r="4657">
      <c r="A4657" s="11" t="n"/>
      <c r="B4657" s="11" t="n"/>
      <c r="C4657" s="11" t="n"/>
      <c r="D4657" s="11" t="n"/>
      <c r="E4657" s="11" t="n"/>
      <c r="F4657" s="11" t="n"/>
      <c r="G4657" s="11" t="n"/>
      <c r="H4657" s="11" t="n"/>
      <c r="I4657" s="11" t="n"/>
      <c r="J4657" s="11" t="n"/>
      <c r="K4657" s="11" t="n"/>
      <c r="L4657" s="11" t="n"/>
      <c r="M4657" s="11" t="n"/>
    </row>
    <row r="4658">
      <c r="A4658" s="11" t="n"/>
      <c r="B4658" s="11" t="n"/>
      <c r="C4658" s="11" t="n"/>
      <c r="D4658" s="11" t="n"/>
      <c r="E4658" s="11" t="n"/>
      <c r="F4658" s="11" t="n"/>
      <c r="G4658" s="11" t="n"/>
      <c r="H4658" s="11" t="n"/>
      <c r="I4658" s="11" t="n"/>
      <c r="J4658" s="11" t="n"/>
      <c r="K4658" s="11" t="n"/>
      <c r="L4658" s="11" t="n"/>
      <c r="M4658" s="11" t="n"/>
    </row>
    <row r="4659">
      <c r="A4659" s="11" t="n"/>
      <c r="B4659" s="11" t="n"/>
      <c r="C4659" s="11" t="n"/>
      <c r="D4659" s="11" t="n"/>
      <c r="E4659" s="11" t="n"/>
      <c r="F4659" s="11" t="n"/>
      <c r="G4659" s="11" t="n"/>
      <c r="H4659" s="11" t="n"/>
      <c r="I4659" s="11" t="n"/>
      <c r="J4659" s="11" t="n"/>
      <c r="K4659" s="11" t="n"/>
      <c r="L4659" s="11" t="n"/>
      <c r="M4659" s="11" t="n"/>
    </row>
    <row r="4660">
      <c r="A4660" s="11" t="n"/>
      <c r="B4660" s="11" t="n"/>
      <c r="C4660" s="11" t="n"/>
      <c r="D4660" s="11" t="n"/>
      <c r="E4660" s="11" t="n"/>
      <c r="F4660" s="11" t="n"/>
      <c r="G4660" s="11" t="n"/>
      <c r="H4660" s="11" t="n"/>
      <c r="I4660" s="11" t="n"/>
      <c r="J4660" s="11" t="n"/>
      <c r="K4660" s="11" t="n"/>
      <c r="L4660" s="11" t="n"/>
      <c r="M4660" s="11" t="n"/>
    </row>
    <row r="4661">
      <c r="A4661" s="11" t="n"/>
      <c r="B4661" s="11" t="n"/>
      <c r="C4661" s="11" t="n"/>
      <c r="D4661" s="11" t="n"/>
      <c r="E4661" s="11" t="n"/>
      <c r="F4661" s="11" t="n"/>
      <c r="G4661" s="11" t="n"/>
      <c r="H4661" s="11" t="n"/>
      <c r="I4661" s="11" t="n"/>
      <c r="J4661" s="11" t="n"/>
      <c r="K4661" s="11" t="n"/>
      <c r="L4661" s="11" t="n"/>
      <c r="M4661" s="11" t="n"/>
    </row>
    <row r="4662">
      <c r="A4662" s="11" t="n"/>
      <c r="B4662" s="11" t="n"/>
      <c r="C4662" s="11" t="n"/>
      <c r="D4662" s="11" t="n"/>
      <c r="E4662" s="11" t="n"/>
      <c r="F4662" s="11" t="n"/>
      <c r="G4662" s="11" t="n"/>
      <c r="H4662" s="11" t="n"/>
      <c r="I4662" s="11" t="n"/>
      <c r="J4662" s="11" t="n"/>
      <c r="K4662" s="11" t="n"/>
      <c r="L4662" s="11" t="n"/>
      <c r="M4662" s="11" t="n"/>
    </row>
    <row r="4663">
      <c r="A4663" s="11" t="n"/>
      <c r="B4663" s="11" t="n"/>
      <c r="C4663" s="11" t="n"/>
      <c r="D4663" s="11" t="n"/>
      <c r="E4663" s="11" t="n"/>
      <c r="F4663" s="11" t="n"/>
      <c r="G4663" s="11" t="n"/>
      <c r="H4663" s="11" t="n"/>
      <c r="I4663" s="11" t="n"/>
      <c r="J4663" s="11" t="n"/>
      <c r="K4663" s="11" t="n"/>
      <c r="L4663" s="11" t="n"/>
      <c r="M4663" s="11" t="n"/>
    </row>
    <row r="4664">
      <c r="A4664" s="11" t="n"/>
      <c r="B4664" s="11" t="n"/>
      <c r="C4664" s="11" t="n"/>
      <c r="D4664" s="11" t="n"/>
      <c r="E4664" s="11" t="n"/>
      <c r="F4664" s="11" t="n"/>
      <c r="G4664" s="11" t="n"/>
      <c r="H4664" s="11" t="n"/>
      <c r="I4664" s="11" t="n"/>
      <c r="J4664" s="11" t="n"/>
      <c r="K4664" s="11" t="n"/>
      <c r="L4664" s="11" t="n"/>
      <c r="M4664" s="11" t="n"/>
    </row>
    <row r="4665">
      <c r="A4665" s="11" t="n"/>
      <c r="B4665" s="11" t="n"/>
      <c r="C4665" s="11" t="n"/>
      <c r="D4665" s="11" t="n"/>
      <c r="E4665" s="11" t="n"/>
      <c r="F4665" s="11" t="n"/>
      <c r="G4665" s="11" t="n"/>
      <c r="H4665" s="11" t="n"/>
      <c r="I4665" s="11" t="n"/>
      <c r="J4665" s="11" t="n"/>
      <c r="K4665" s="11" t="n"/>
      <c r="L4665" s="11" t="n"/>
      <c r="M4665" s="11" t="n"/>
    </row>
    <row r="4666">
      <c r="A4666" s="11" t="n"/>
      <c r="B4666" s="11" t="n"/>
      <c r="C4666" s="11" t="n"/>
      <c r="D4666" s="11" t="n"/>
      <c r="E4666" s="11" t="n"/>
      <c r="F4666" s="11" t="n"/>
      <c r="G4666" s="11" t="n"/>
      <c r="H4666" s="11" t="n"/>
      <c r="I4666" s="11" t="n"/>
      <c r="J4666" s="11" t="n"/>
      <c r="K4666" s="11" t="n"/>
      <c r="L4666" s="11" t="n"/>
      <c r="M4666" s="11" t="n"/>
    </row>
    <row r="4667">
      <c r="A4667" s="11" t="n"/>
      <c r="B4667" s="11" t="n"/>
      <c r="C4667" s="11" t="n"/>
      <c r="D4667" s="11" t="n"/>
      <c r="E4667" s="11" t="n"/>
      <c r="F4667" s="11" t="n"/>
      <c r="G4667" s="11" t="n"/>
      <c r="H4667" s="11" t="n"/>
      <c r="I4667" s="11" t="n"/>
      <c r="J4667" s="11" t="n"/>
      <c r="K4667" s="11" t="n"/>
      <c r="L4667" s="11" t="n"/>
      <c r="M4667" s="11" t="n"/>
    </row>
    <row r="4668">
      <c r="A4668" s="11" t="n"/>
      <c r="B4668" s="11" t="n"/>
      <c r="C4668" s="11" t="n"/>
      <c r="D4668" s="11" t="n"/>
      <c r="E4668" s="11" t="n"/>
      <c r="F4668" s="11" t="n"/>
      <c r="G4668" s="11" t="n"/>
      <c r="H4668" s="11" t="n"/>
      <c r="I4668" s="11" t="n"/>
      <c r="J4668" s="11" t="n"/>
      <c r="K4668" s="11" t="n"/>
      <c r="L4668" s="11" t="n"/>
      <c r="M4668" s="11" t="n"/>
    </row>
    <row r="4669">
      <c r="A4669" s="11" t="n"/>
      <c r="B4669" s="11" t="n"/>
      <c r="C4669" s="11" t="n"/>
      <c r="D4669" s="11" t="n"/>
      <c r="E4669" s="11" t="n"/>
      <c r="F4669" s="11" t="n"/>
      <c r="G4669" s="11" t="n"/>
      <c r="H4669" s="11" t="n"/>
      <c r="I4669" s="11" t="n"/>
      <c r="J4669" s="11" t="n"/>
      <c r="K4669" s="11" t="n"/>
      <c r="L4669" s="11" t="n"/>
      <c r="M4669" s="11" t="n"/>
    </row>
    <row r="4670">
      <c r="A4670" s="11" t="n"/>
      <c r="B4670" s="11" t="n"/>
      <c r="C4670" s="11" t="n"/>
      <c r="D4670" s="11" t="n"/>
      <c r="E4670" s="11" t="n"/>
      <c r="F4670" s="11" t="n"/>
      <c r="G4670" s="11" t="n"/>
      <c r="H4670" s="11" t="n"/>
      <c r="I4670" s="11" t="n"/>
      <c r="J4670" s="11" t="n"/>
      <c r="K4670" s="11" t="n"/>
      <c r="L4670" s="11" t="n"/>
      <c r="M4670" s="11" t="n"/>
    </row>
    <row r="4671">
      <c r="A4671" s="11" t="n"/>
      <c r="B4671" s="11" t="n"/>
      <c r="C4671" s="11" t="n"/>
      <c r="D4671" s="11" t="n"/>
      <c r="E4671" s="11" t="n"/>
      <c r="F4671" s="11" t="n"/>
      <c r="G4671" s="11" t="n"/>
      <c r="H4671" s="11" t="n"/>
      <c r="I4671" s="11" t="n"/>
      <c r="J4671" s="11" t="n"/>
      <c r="K4671" s="11" t="n"/>
      <c r="L4671" s="11" t="n"/>
      <c r="M4671" s="11" t="n"/>
    </row>
    <row r="4672">
      <c r="A4672" s="11" t="n"/>
      <c r="B4672" s="11" t="n"/>
      <c r="C4672" s="11" t="n"/>
      <c r="D4672" s="11" t="n"/>
      <c r="E4672" s="11" t="n"/>
      <c r="F4672" s="11" t="n"/>
      <c r="G4672" s="11" t="n"/>
      <c r="H4672" s="11" t="n"/>
      <c r="I4672" s="11" t="n"/>
      <c r="J4672" s="11" t="n"/>
      <c r="K4672" s="11" t="n"/>
      <c r="L4672" s="11" t="n"/>
      <c r="M4672" s="11" t="n"/>
    </row>
    <row r="4673">
      <c r="A4673" s="11" t="n"/>
      <c r="B4673" s="11" t="n"/>
      <c r="C4673" s="11" t="n"/>
      <c r="D4673" s="11" t="n"/>
      <c r="E4673" s="11" t="n"/>
      <c r="F4673" s="11" t="n"/>
      <c r="G4673" s="11" t="n"/>
      <c r="H4673" s="11" t="n"/>
      <c r="I4673" s="11" t="n"/>
      <c r="J4673" s="11" t="n"/>
      <c r="K4673" s="11" t="n"/>
      <c r="L4673" s="11" t="n"/>
      <c r="M4673" s="11" t="n"/>
    </row>
    <row r="4674">
      <c r="A4674" s="11" t="n"/>
      <c r="B4674" s="11" t="n"/>
      <c r="C4674" s="11" t="n"/>
      <c r="D4674" s="11" t="n"/>
      <c r="E4674" s="11" t="n"/>
      <c r="F4674" s="11" t="n"/>
      <c r="G4674" s="11" t="n"/>
      <c r="H4674" s="11" t="n"/>
      <c r="I4674" s="11" t="n"/>
      <c r="J4674" s="11" t="n"/>
      <c r="K4674" s="11" t="n"/>
      <c r="L4674" s="11" t="n"/>
      <c r="M4674" s="11" t="n"/>
    </row>
    <row r="4675">
      <c r="A4675" s="11" t="n"/>
      <c r="B4675" s="11" t="n"/>
      <c r="C4675" s="11" t="n"/>
      <c r="D4675" s="11" t="n"/>
      <c r="E4675" s="11" t="n"/>
      <c r="F4675" s="11" t="n"/>
      <c r="G4675" s="11" t="n"/>
      <c r="H4675" s="11" t="n"/>
      <c r="I4675" s="11" t="n"/>
      <c r="J4675" s="11" t="n"/>
      <c r="K4675" s="11" t="n"/>
      <c r="L4675" s="11" t="n"/>
      <c r="M4675" s="11" t="n"/>
    </row>
    <row r="4676">
      <c r="A4676" s="11" t="n"/>
      <c r="B4676" s="11" t="n"/>
      <c r="C4676" s="11" t="n"/>
      <c r="D4676" s="11" t="n"/>
      <c r="E4676" s="11" t="n"/>
      <c r="F4676" s="11" t="n"/>
      <c r="G4676" s="11" t="n"/>
      <c r="H4676" s="11" t="n"/>
      <c r="I4676" s="11" t="n"/>
      <c r="J4676" s="11" t="n"/>
      <c r="K4676" s="11" t="n"/>
      <c r="L4676" s="11" t="n"/>
      <c r="M4676" s="11" t="n"/>
    </row>
    <row r="4677">
      <c r="A4677" s="11" t="n"/>
      <c r="B4677" s="11" t="n"/>
      <c r="C4677" s="11" t="n"/>
      <c r="D4677" s="11" t="n"/>
      <c r="E4677" s="11" t="n"/>
      <c r="F4677" s="11" t="n"/>
      <c r="G4677" s="11" t="n"/>
      <c r="H4677" s="11" t="n"/>
      <c r="I4677" s="11" t="n"/>
      <c r="J4677" s="11" t="n"/>
      <c r="K4677" s="11" t="n"/>
      <c r="L4677" s="11" t="n"/>
      <c r="M4677" s="11" t="n"/>
    </row>
    <row r="4678">
      <c r="A4678" s="11" t="n"/>
      <c r="B4678" s="11" t="n"/>
      <c r="C4678" s="11" t="n"/>
      <c r="D4678" s="11" t="n"/>
      <c r="E4678" s="11" t="n"/>
      <c r="F4678" s="11" t="n"/>
      <c r="G4678" s="11" t="n"/>
      <c r="H4678" s="11" t="n"/>
      <c r="I4678" s="11" t="n"/>
      <c r="J4678" s="11" t="n"/>
      <c r="K4678" s="11" t="n"/>
      <c r="L4678" s="11" t="n"/>
      <c r="M4678" s="11" t="n"/>
    </row>
    <row r="4679">
      <c r="A4679" s="11" t="n"/>
      <c r="B4679" s="11" t="n"/>
      <c r="C4679" s="11" t="n"/>
      <c r="D4679" s="11" t="n"/>
      <c r="E4679" s="11" t="n"/>
      <c r="F4679" s="11" t="n"/>
      <c r="G4679" s="11" t="n"/>
      <c r="H4679" s="11" t="n"/>
      <c r="I4679" s="11" t="n"/>
      <c r="J4679" s="11" t="n"/>
      <c r="K4679" s="11" t="n"/>
      <c r="L4679" s="11" t="n"/>
      <c r="M4679" s="11" t="n"/>
    </row>
    <row r="4680">
      <c r="A4680" s="11" t="n"/>
      <c r="B4680" s="11" t="n"/>
      <c r="C4680" s="11" t="n"/>
      <c r="D4680" s="11" t="n"/>
      <c r="E4680" s="11" t="n"/>
      <c r="F4680" s="11" t="n"/>
      <c r="G4680" s="11" t="n"/>
      <c r="H4680" s="11" t="n"/>
      <c r="I4680" s="11" t="n"/>
      <c r="J4680" s="11" t="n"/>
      <c r="K4680" s="11" t="n"/>
      <c r="L4680" s="11" t="n"/>
      <c r="M4680" s="11" t="n"/>
    </row>
    <row r="4681">
      <c r="A4681" s="11" t="n"/>
      <c r="B4681" s="11" t="n"/>
      <c r="C4681" s="11" t="n"/>
      <c r="D4681" s="11" t="n"/>
      <c r="E4681" s="11" t="n"/>
      <c r="F4681" s="11" t="n"/>
      <c r="G4681" s="11" t="n"/>
      <c r="H4681" s="11" t="n"/>
      <c r="I4681" s="11" t="n"/>
      <c r="J4681" s="11" t="n"/>
      <c r="K4681" s="11" t="n"/>
      <c r="L4681" s="11" t="n"/>
      <c r="M4681" s="11" t="n"/>
    </row>
    <row r="4682">
      <c r="A4682" s="11" t="n"/>
      <c r="B4682" s="11" t="n"/>
      <c r="C4682" s="11" t="n"/>
      <c r="D4682" s="11" t="n"/>
      <c r="E4682" s="11" t="n"/>
      <c r="F4682" s="11" t="n"/>
      <c r="G4682" s="11" t="n"/>
      <c r="H4682" s="11" t="n"/>
      <c r="I4682" s="11" t="n"/>
      <c r="J4682" s="11" t="n"/>
      <c r="K4682" s="11" t="n"/>
      <c r="L4682" s="11" t="n"/>
      <c r="M4682" s="11" t="n"/>
    </row>
    <row r="4683">
      <c r="A4683" s="11" t="n"/>
      <c r="B4683" s="11" t="n"/>
      <c r="C4683" s="11" t="n"/>
      <c r="D4683" s="11" t="n"/>
      <c r="E4683" s="11" t="n"/>
      <c r="F4683" s="11" t="n"/>
      <c r="G4683" s="11" t="n"/>
      <c r="H4683" s="11" t="n"/>
      <c r="I4683" s="11" t="n"/>
      <c r="J4683" s="11" t="n"/>
      <c r="K4683" s="11" t="n"/>
      <c r="L4683" s="11" t="n"/>
      <c r="M4683" s="11" t="n"/>
    </row>
    <row r="4684">
      <c r="A4684" s="11" t="n"/>
      <c r="B4684" s="11" t="n"/>
      <c r="C4684" s="11" t="n"/>
      <c r="D4684" s="11" t="n"/>
      <c r="E4684" s="11" t="n"/>
      <c r="F4684" s="11" t="n"/>
      <c r="G4684" s="11" t="n"/>
      <c r="H4684" s="11" t="n"/>
      <c r="I4684" s="11" t="n"/>
      <c r="J4684" s="11" t="n"/>
      <c r="K4684" s="11" t="n"/>
      <c r="L4684" s="11" t="n"/>
      <c r="M4684" s="11" t="n"/>
    </row>
    <row r="4685">
      <c r="A4685" s="11" t="n"/>
      <c r="B4685" s="11" t="n"/>
      <c r="C4685" s="11" t="n"/>
      <c r="D4685" s="11" t="n"/>
      <c r="E4685" s="11" t="n"/>
      <c r="F4685" s="11" t="n"/>
      <c r="G4685" s="11" t="n"/>
      <c r="H4685" s="11" t="n"/>
      <c r="I4685" s="11" t="n"/>
      <c r="J4685" s="11" t="n"/>
      <c r="K4685" s="11" t="n"/>
      <c r="L4685" s="11" t="n"/>
      <c r="M4685" s="11" t="n"/>
    </row>
    <row r="4686">
      <c r="A4686" s="11" t="n"/>
      <c r="B4686" s="11" t="n"/>
      <c r="C4686" s="11" t="n"/>
      <c r="D4686" s="11" t="n"/>
      <c r="E4686" s="11" t="n"/>
      <c r="F4686" s="11" t="n"/>
      <c r="G4686" s="11" t="n"/>
      <c r="H4686" s="11" t="n"/>
      <c r="I4686" s="11" t="n"/>
      <c r="J4686" s="11" t="n"/>
      <c r="K4686" s="11" t="n"/>
      <c r="L4686" s="11" t="n"/>
      <c r="M4686" s="11" t="n"/>
    </row>
    <row r="4687">
      <c r="A4687" s="11" t="n"/>
      <c r="B4687" s="11" t="n"/>
      <c r="C4687" s="11" t="n"/>
      <c r="D4687" s="11" t="n"/>
      <c r="E4687" s="11" t="n"/>
      <c r="F4687" s="11" t="n"/>
      <c r="G4687" s="11" t="n"/>
      <c r="H4687" s="11" t="n"/>
      <c r="I4687" s="11" t="n"/>
      <c r="J4687" s="11" t="n"/>
      <c r="K4687" s="11" t="n"/>
      <c r="L4687" s="11" t="n"/>
      <c r="M4687" s="11" t="n"/>
    </row>
    <row r="4688">
      <c r="A4688" s="11" t="n"/>
      <c r="B4688" s="11" t="n"/>
      <c r="C4688" s="11" t="n"/>
      <c r="D4688" s="11" t="n"/>
      <c r="E4688" s="11" t="n"/>
      <c r="F4688" s="11" t="n"/>
      <c r="G4688" s="11" t="n"/>
      <c r="H4688" s="11" t="n"/>
      <c r="I4688" s="11" t="n"/>
      <c r="J4688" s="11" t="n"/>
      <c r="K4688" s="11" t="n"/>
      <c r="L4688" s="11" t="n"/>
      <c r="M4688" s="11" t="n"/>
    </row>
    <row r="4689">
      <c r="A4689" s="11" t="n"/>
      <c r="B4689" s="11" t="n"/>
      <c r="C4689" s="11" t="n"/>
      <c r="D4689" s="11" t="n"/>
      <c r="E4689" s="11" t="n"/>
      <c r="F4689" s="11" t="n"/>
      <c r="G4689" s="11" t="n"/>
      <c r="H4689" s="11" t="n"/>
      <c r="I4689" s="11" t="n"/>
      <c r="J4689" s="11" t="n"/>
      <c r="K4689" s="11" t="n"/>
      <c r="L4689" s="11" t="n"/>
      <c r="M4689" s="11" t="n"/>
    </row>
    <row r="4690">
      <c r="A4690" s="11" t="n"/>
      <c r="B4690" s="11" t="n"/>
      <c r="C4690" s="11" t="n"/>
      <c r="D4690" s="11" t="n"/>
      <c r="E4690" s="11" t="n"/>
      <c r="F4690" s="11" t="n"/>
      <c r="G4690" s="11" t="n"/>
      <c r="H4690" s="11" t="n"/>
      <c r="I4690" s="11" t="n"/>
      <c r="J4690" s="11" t="n"/>
      <c r="K4690" s="11" t="n"/>
      <c r="L4690" s="11" t="n"/>
      <c r="M4690" s="11" t="n"/>
    </row>
    <row r="4691">
      <c r="A4691" s="11" t="n"/>
      <c r="B4691" s="11" t="n"/>
      <c r="C4691" s="11" t="n"/>
      <c r="D4691" s="11" t="n"/>
      <c r="E4691" s="11" t="n"/>
      <c r="F4691" s="11" t="n"/>
      <c r="G4691" s="11" t="n"/>
      <c r="H4691" s="11" t="n"/>
      <c r="I4691" s="11" t="n"/>
      <c r="J4691" s="11" t="n"/>
      <c r="K4691" s="11" t="n"/>
      <c r="L4691" s="11" t="n"/>
      <c r="M4691" s="11" t="n"/>
    </row>
    <row r="4692">
      <c r="A4692" s="11" t="n"/>
      <c r="B4692" s="11" t="n"/>
      <c r="C4692" s="11" t="n"/>
      <c r="D4692" s="11" t="n"/>
      <c r="E4692" s="11" t="n"/>
      <c r="F4692" s="11" t="n"/>
      <c r="G4692" s="11" t="n"/>
      <c r="H4692" s="11" t="n"/>
      <c r="I4692" s="11" t="n"/>
      <c r="J4692" s="11" t="n"/>
      <c r="K4692" s="11" t="n"/>
      <c r="L4692" s="11" t="n"/>
      <c r="M4692" s="11" t="n"/>
    </row>
    <row r="4693">
      <c r="A4693" s="11" t="n"/>
      <c r="B4693" s="11" t="n"/>
      <c r="C4693" s="11" t="n"/>
      <c r="D4693" s="11" t="n"/>
      <c r="E4693" s="11" t="n"/>
      <c r="F4693" s="11" t="n"/>
      <c r="G4693" s="11" t="n"/>
      <c r="H4693" s="11" t="n"/>
      <c r="I4693" s="11" t="n"/>
      <c r="J4693" s="11" t="n"/>
      <c r="K4693" s="11" t="n"/>
      <c r="L4693" s="11" t="n"/>
      <c r="M4693" s="11" t="n"/>
    </row>
    <row r="4694">
      <c r="A4694" s="11" t="n"/>
      <c r="B4694" s="11" t="n"/>
      <c r="C4694" s="11" t="n"/>
      <c r="D4694" s="11" t="n"/>
      <c r="E4694" s="11" t="n"/>
      <c r="F4694" s="11" t="n"/>
      <c r="G4694" s="11" t="n"/>
      <c r="H4694" s="11" t="n"/>
      <c r="I4694" s="11" t="n"/>
      <c r="J4694" s="11" t="n"/>
      <c r="K4694" s="11" t="n"/>
      <c r="L4694" s="11" t="n"/>
      <c r="M4694" s="11" t="n"/>
    </row>
    <row r="4695">
      <c r="A4695" s="11" t="n"/>
      <c r="B4695" s="11" t="n"/>
      <c r="C4695" s="11" t="n"/>
      <c r="D4695" s="11" t="n"/>
      <c r="E4695" s="11" t="n"/>
      <c r="F4695" s="11" t="n"/>
      <c r="G4695" s="11" t="n"/>
      <c r="H4695" s="11" t="n"/>
      <c r="I4695" s="11" t="n"/>
      <c r="J4695" s="11" t="n"/>
      <c r="K4695" s="11" t="n"/>
      <c r="L4695" s="11" t="n"/>
      <c r="M4695" s="11" t="n"/>
    </row>
    <row r="4696">
      <c r="A4696" s="11" t="n"/>
      <c r="B4696" s="11" t="n"/>
      <c r="C4696" s="11" t="n"/>
      <c r="D4696" s="11" t="n"/>
      <c r="E4696" s="11" t="n"/>
      <c r="F4696" s="11" t="n"/>
      <c r="G4696" s="11" t="n"/>
      <c r="H4696" s="11" t="n"/>
      <c r="I4696" s="11" t="n"/>
      <c r="J4696" s="11" t="n"/>
      <c r="K4696" s="11" t="n"/>
      <c r="L4696" s="11" t="n"/>
      <c r="M4696" s="11" t="n"/>
    </row>
    <row r="4697">
      <c r="A4697" s="11" t="n"/>
      <c r="B4697" s="11" t="n"/>
      <c r="C4697" s="11" t="n"/>
      <c r="D4697" s="11" t="n"/>
      <c r="E4697" s="11" t="n"/>
      <c r="F4697" s="11" t="n"/>
      <c r="G4697" s="11" t="n"/>
      <c r="H4697" s="11" t="n"/>
      <c r="I4697" s="11" t="n"/>
      <c r="J4697" s="11" t="n"/>
      <c r="K4697" s="11" t="n"/>
      <c r="L4697" s="11" t="n"/>
      <c r="M4697" s="11" t="n"/>
    </row>
    <row r="4698">
      <c r="A4698" s="11" t="n"/>
      <c r="B4698" s="11" t="n"/>
      <c r="C4698" s="11" t="n"/>
      <c r="D4698" s="11" t="n"/>
      <c r="E4698" s="11" t="n"/>
      <c r="F4698" s="11" t="n"/>
      <c r="G4698" s="11" t="n"/>
      <c r="H4698" s="11" t="n"/>
      <c r="I4698" s="11" t="n"/>
      <c r="J4698" s="11" t="n"/>
      <c r="K4698" s="11" t="n"/>
      <c r="L4698" s="11" t="n"/>
      <c r="M4698" s="11" t="n"/>
    </row>
    <row r="4699">
      <c r="A4699" s="11" t="n"/>
      <c r="B4699" s="11" t="n"/>
      <c r="C4699" s="11" t="n"/>
      <c r="D4699" s="11" t="n"/>
      <c r="E4699" s="11" t="n"/>
      <c r="F4699" s="11" t="n"/>
      <c r="G4699" s="11" t="n"/>
      <c r="H4699" s="11" t="n"/>
      <c r="I4699" s="11" t="n"/>
      <c r="J4699" s="11" t="n"/>
      <c r="K4699" s="11" t="n"/>
      <c r="L4699" s="11" t="n"/>
      <c r="M4699" s="11" t="n"/>
    </row>
    <row r="4700">
      <c r="A4700" s="11" t="n"/>
      <c r="B4700" s="11" t="n"/>
      <c r="C4700" s="11" t="n"/>
      <c r="D4700" s="11" t="n"/>
      <c r="E4700" s="11" t="n"/>
      <c r="F4700" s="11" t="n"/>
      <c r="G4700" s="11" t="n"/>
      <c r="H4700" s="11" t="n"/>
      <c r="I4700" s="11" t="n"/>
      <c r="J4700" s="11" t="n"/>
      <c r="K4700" s="11" t="n"/>
      <c r="L4700" s="11" t="n"/>
      <c r="M4700" s="11" t="n"/>
    </row>
    <row r="4701">
      <c r="A4701" s="11" t="n"/>
      <c r="B4701" s="11" t="n"/>
      <c r="C4701" s="11" t="n"/>
      <c r="D4701" s="11" t="n"/>
      <c r="E4701" s="11" t="n"/>
      <c r="F4701" s="11" t="n"/>
      <c r="G4701" s="11" t="n"/>
      <c r="H4701" s="11" t="n"/>
      <c r="I4701" s="11" t="n"/>
      <c r="J4701" s="11" t="n"/>
      <c r="K4701" s="11" t="n"/>
      <c r="L4701" s="11" t="n"/>
      <c r="M4701" s="11" t="n"/>
    </row>
    <row r="4702">
      <c r="A4702" s="11" t="n"/>
      <c r="B4702" s="11" t="n"/>
      <c r="C4702" s="11" t="n"/>
      <c r="D4702" s="11" t="n"/>
      <c r="E4702" s="11" t="n"/>
      <c r="F4702" s="11" t="n"/>
      <c r="G4702" s="11" t="n"/>
      <c r="H4702" s="11" t="n"/>
      <c r="I4702" s="11" t="n"/>
      <c r="J4702" s="11" t="n"/>
      <c r="K4702" s="11" t="n"/>
      <c r="L4702" s="11" t="n"/>
      <c r="M4702" s="11" t="n"/>
    </row>
    <row r="4703">
      <c r="A4703" s="11" t="n"/>
      <c r="B4703" s="11" t="n"/>
      <c r="C4703" s="11" t="n"/>
      <c r="D4703" s="11" t="n"/>
      <c r="E4703" s="11" t="n"/>
      <c r="F4703" s="11" t="n"/>
      <c r="G4703" s="11" t="n"/>
      <c r="H4703" s="11" t="n"/>
      <c r="I4703" s="11" t="n"/>
      <c r="J4703" s="11" t="n"/>
      <c r="K4703" s="11" t="n"/>
      <c r="L4703" s="11" t="n"/>
      <c r="M4703" s="11" t="n"/>
    </row>
    <row r="4704">
      <c r="A4704" s="11" t="n"/>
      <c r="B4704" s="11" t="n"/>
      <c r="C4704" s="11" t="n"/>
      <c r="D4704" s="11" t="n"/>
      <c r="E4704" s="11" t="n"/>
      <c r="F4704" s="11" t="n"/>
      <c r="G4704" s="11" t="n"/>
      <c r="H4704" s="11" t="n"/>
      <c r="I4704" s="11" t="n"/>
      <c r="J4704" s="11" t="n"/>
      <c r="K4704" s="11" t="n"/>
      <c r="L4704" s="11" t="n"/>
      <c r="M4704" s="11" t="n"/>
    </row>
    <row r="4705">
      <c r="A4705" s="11" t="n"/>
      <c r="B4705" s="11" t="n"/>
      <c r="C4705" s="11" t="n"/>
      <c r="D4705" s="11" t="n"/>
      <c r="E4705" s="11" t="n"/>
      <c r="F4705" s="11" t="n"/>
      <c r="G4705" s="11" t="n"/>
      <c r="H4705" s="11" t="n"/>
      <c r="I4705" s="11" t="n"/>
      <c r="J4705" s="11" t="n"/>
      <c r="K4705" s="11" t="n"/>
      <c r="L4705" s="11" t="n"/>
      <c r="M4705" s="11" t="n"/>
    </row>
    <row r="4706">
      <c r="A4706" s="11" t="n"/>
      <c r="B4706" s="11" t="n"/>
      <c r="C4706" s="11" t="n"/>
      <c r="D4706" s="11" t="n"/>
      <c r="E4706" s="11" t="n"/>
      <c r="F4706" s="11" t="n"/>
      <c r="G4706" s="11" t="n"/>
      <c r="H4706" s="11" t="n"/>
      <c r="I4706" s="11" t="n"/>
      <c r="J4706" s="11" t="n"/>
      <c r="K4706" s="11" t="n"/>
      <c r="L4706" s="11" t="n"/>
      <c r="M4706" s="11" t="n"/>
    </row>
    <row r="4707">
      <c r="A4707" s="11" t="n"/>
      <c r="B4707" s="11" t="n"/>
      <c r="C4707" s="11" t="n"/>
      <c r="D4707" s="11" t="n"/>
      <c r="E4707" s="11" t="n"/>
      <c r="F4707" s="11" t="n"/>
      <c r="G4707" s="11" t="n"/>
      <c r="H4707" s="11" t="n"/>
      <c r="I4707" s="11" t="n"/>
      <c r="J4707" s="11" t="n"/>
      <c r="K4707" s="11" t="n"/>
      <c r="L4707" s="11" t="n"/>
      <c r="M4707" s="11" t="n"/>
    </row>
    <row r="4708">
      <c r="A4708" s="11" t="n"/>
      <c r="B4708" s="11" t="n"/>
      <c r="C4708" s="11" t="n"/>
      <c r="D4708" s="11" t="n"/>
      <c r="E4708" s="11" t="n"/>
      <c r="F4708" s="11" t="n"/>
      <c r="G4708" s="11" t="n"/>
      <c r="H4708" s="11" t="n"/>
      <c r="I4708" s="11" t="n"/>
      <c r="J4708" s="11" t="n"/>
      <c r="K4708" s="11" t="n"/>
      <c r="L4708" s="11" t="n"/>
      <c r="M4708" s="11" t="n"/>
    </row>
    <row r="4709">
      <c r="A4709" s="11" t="n"/>
      <c r="B4709" s="11" t="n"/>
      <c r="C4709" s="11" t="n"/>
      <c r="D4709" s="11" t="n"/>
      <c r="E4709" s="11" t="n"/>
      <c r="F4709" s="11" t="n"/>
      <c r="G4709" s="11" t="n"/>
      <c r="H4709" s="11" t="n"/>
      <c r="I4709" s="11" t="n"/>
      <c r="J4709" s="11" t="n"/>
      <c r="K4709" s="11" t="n"/>
      <c r="L4709" s="11" t="n"/>
      <c r="M4709" s="11" t="n"/>
    </row>
    <row r="4710">
      <c r="A4710" s="11" t="n"/>
      <c r="B4710" s="11" t="n"/>
      <c r="C4710" s="11" t="n"/>
      <c r="D4710" s="11" t="n"/>
      <c r="E4710" s="11" t="n"/>
      <c r="F4710" s="11" t="n"/>
      <c r="G4710" s="11" t="n"/>
      <c r="H4710" s="11" t="n"/>
      <c r="I4710" s="11" t="n"/>
      <c r="J4710" s="11" t="n"/>
      <c r="K4710" s="11" t="n"/>
      <c r="L4710" s="11" t="n"/>
      <c r="M4710" s="11" t="n"/>
    </row>
    <row r="4711">
      <c r="A4711" s="11" t="n"/>
      <c r="B4711" s="11" t="n"/>
      <c r="C4711" s="11" t="n"/>
      <c r="D4711" s="11" t="n"/>
      <c r="E4711" s="11" t="n"/>
      <c r="F4711" s="11" t="n"/>
      <c r="G4711" s="11" t="n"/>
      <c r="H4711" s="11" t="n"/>
      <c r="I4711" s="11" t="n"/>
      <c r="J4711" s="11" t="n"/>
      <c r="K4711" s="11" t="n"/>
      <c r="L4711" s="11" t="n"/>
      <c r="M4711" s="11" t="n"/>
    </row>
    <row r="4712">
      <c r="A4712" s="11" t="n"/>
      <c r="B4712" s="11" t="n"/>
      <c r="C4712" s="11" t="n"/>
      <c r="D4712" s="11" t="n"/>
      <c r="E4712" s="11" t="n"/>
      <c r="F4712" s="11" t="n"/>
      <c r="G4712" s="11" t="n"/>
      <c r="H4712" s="11" t="n"/>
      <c r="I4712" s="11" t="n"/>
      <c r="J4712" s="11" t="n"/>
      <c r="K4712" s="11" t="n"/>
      <c r="L4712" s="11" t="n"/>
      <c r="M4712" s="11" t="n"/>
    </row>
    <row r="4713">
      <c r="A4713" s="11" t="n"/>
      <c r="B4713" s="11" t="n"/>
      <c r="C4713" s="11" t="n"/>
      <c r="D4713" s="11" t="n"/>
      <c r="E4713" s="11" t="n"/>
      <c r="F4713" s="11" t="n"/>
      <c r="G4713" s="11" t="n"/>
      <c r="H4713" s="11" t="n"/>
      <c r="I4713" s="11" t="n"/>
      <c r="J4713" s="11" t="n"/>
      <c r="K4713" s="11" t="n"/>
      <c r="L4713" s="11" t="n"/>
      <c r="M4713" s="11" t="n"/>
    </row>
    <row r="4714">
      <c r="A4714" s="11" t="n"/>
      <c r="B4714" s="11" t="n"/>
      <c r="C4714" s="11" t="n"/>
      <c r="D4714" s="11" t="n"/>
      <c r="E4714" s="11" t="n"/>
      <c r="F4714" s="11" t="n"/>
      <c r="G4714" s="11" t="n"/>
      <c r="H4714" s="11" t="n"/>
      <c r="I4714" s="11" t="n"/>
      <c r="J4714" s="11" t="n"/>
      <c r="K4714" s="11" t="n"/>
      <c r="L4714" s="11" t="n"/>
      <c r="M4714" s="11" t="n"/>
    </row>
    <row r="4715">
      <c r="A4715" s="11" t="n"/>
      <c r="B4715" s="11" t="n"/>
      <c r="C4715" s="11" t="n"/>
      <c r="D4715" s="11" t="n"/>
      <c r="E4715" s="11" t="n"/>
      <c r="F4715" s="11" t="n"/>
      <c r="G4715" s="11" t="n"/>
      <c r="H4715" s="11" t="n"/>
      <c r="I4715" s="11" t="n"/>
      <c r="J4715" s="11" t="n"/>
      <c r="K4715" s="11" t="n"/>
      <c r="L4715" s="11" t="n"/>
      <c r="M4715" s="11" t="n"/>
    </row>
    <row r="4716">
      <c r="A4716" s="11" t="n"/>
      <c r="B4716" s="11" t="n"/>
      <c r="C4716" s="11" t="n"/>
      <c r="D4716" s="11" t="n"/>
      <c r="E4716" s="11" t="n"/>
      <c r="F4716" s="11" t="n"/>
      <c r="G4716" s="11" t="n"/>
      <c r="H4716" s="11" t="n"/>
      <c r="I4716" s="11" t="n"/>
      <c r="J4716" s="11" t="n"/>
      <c r="K4716" s="11" t="n"/>
      <c r="L4716" s="11" t="n"/>
      <c r="M4716" s="11" t="n"/>
    </row>
    <row r="4717">
      <c r="A4717" s="11" t="n"/>
      <c r="B4717" s="11" t="n"/>
      <c r="C4717" s="11" t="n"/>
      <c r="D4717" s="11" t="n"/>
      <c r="E4717" s="11" t="n"/>
      <c r="F4717" s="11" t="n"/>
      <c r="G4717" s="11" t="n"/>
      <c r="H4717" s="11" t="n"/>
      <c r="I4717" s="11" t="n"/>
      <c r="J4717" s="11" t="n"/>
      <c r="K4717" s="11" t="n"/>
      <c r="L4717" s="11" t="n"/>
      <c r="M4717" s="11" t="n"/>
    </row>
    <row r="4718">
      <c r="A4718" s="11" t="n"/>
      <c r="B4718" s="11" t="n"/>
      <c r="C4718" s="11" t="n"/>
      <c r="D4718" s="11" t="n"/>
      <c r="E4718" s="11" t="n"/>
      <c r="F4718" s="11" t="n"/>
      <c r="G4718" s="11" t="n"/>
      <c r="H4718" s="11" t="n"/>
      <c r="I4718" s="11" t="n"/>
      <c r="J4718" s="11" t="n"/>
      <c r="K4718" s="11" t="n"/>
      <c r="L4718" s="11" t="n"/>
      <c r="M4718" s="11" t="n"/>
    </row>
    <row r="4719">
      <c r="A4719" s="11" t="n"/>
      <c r="B4719" s="11" t="n"/>
      <c r="C4719" s="11" t="n"/>
      <c r="D4719" s="11" t="n"/>
      <c r="E4719" s="11" t="n"/>
      <c r="F4719" s="11" t="n"/>
      <c r="G4719" s="11" t="n"/>
      <c r="H4719" s="11" t="n"/>
      <c r="I4719" s="11" t="n"/>
      <c r="J4719" s="11" t="n"/>
      <c r="K4719" s="11" t="n"/>
      <c r="L4719" s="11" t="n"/>
      <c r="M4719" s="11" t="n"/>
    </row>
    <row r="4720">
      <c r="A4720" s="11" t="n"/>
      <c r="B4720" s="11" t="n"/>
      <c r="C4720" s="11" t="n"/>
      <c r="D4720" s="11" t="n"/>
      <c r="E4720" s="11" t="n"/>
      <c r="F4720" s="11" t="n"/>
      <c r="G4720" s="11" t="n"/>
      <c r="H4720" s="11" t="n"/>
      <c r="I4720" s="11" t="n"/>
      <c r="J4720" s="11" t="n"/>
      <c r="K4720" s="11" t="n"/>
      <c r="L4720" s="11" t="n"/>
      <c r="M4720" s="11" t="n"/>
    </row>
    <row r="4721">
      <c r="A4721" s="11" t="n"/>
      <c r="B4721" s="11" t="n"/>
      <c r="C4721" s="11" t="n"/>
      <c r="D4721" s="11" t="n"/>
      <c r="E4721" s="11" t="n"/>
      <c r="F4721" s="11" t="n"/>
      <c r="G4721" s="11" t="n"/>
      <c r="H4721" s="11" t="n"/>
      <c r="I4721" s="11" t="n"/>
      <c r="J4721" s="11" t="n"/>
      <c r="K4721" s="11" t="n"/>
      <c r="L4721" s="11" t="n"/>
      <c r="M4721" s="11" t="n"/>
    </row>
    <row r="4722">
      <c r="A4722" s="11" t="n"/>
      <c r="B4722" s="11" t="n"/>
      <c r="C4722" s="11" t="n"/>
      <c r="D4722" s="11" t="n"/>
      <c r="E4722" s="11" t="n"/>
      <c r="F4722" s="11" t="n"/>
      <c r="G4722" s="11" t="n"/>
      <c r="H4722" s="11" t="n"/>
      <c r="I4722" s="11" t="n"/>
      <c r="J4722" s="11" t="n"/>
      <c r="K4722" s="11" t="n"/>
      <c r="L4722" s="11" t="n"/>
      <c r="M4722" s="11" t="n"/>
    </row>
    <row r="4723">
      <c r="A4723" s="11" t="n"/>
      <c r="B4723" s="11" t="n"/>
      <c r="C4723" s="11" t="n"/>
      <c r="D4723" s="11" t="n"/>
      <c r="E4723" s="11" t="n"/>
      <c r="F4723" s="11" t="n"/>
      <c r="G4723" s="11" t="n"/>
      <c r="H4723" s="11" t="n"/>
      <c r="I4723" s="11" t="n"/>
      <c r="J4723" s="11" t="n"/>
      <c r="K4723" s="11" t="n"/>
      <c r="L4723" s="11" t="n"/>
      <c r="M4723" s="11" t="n"/>
    </row>
    <row r="4724">
      <c r="A4724" s="11" t="n"/>
      <c r="B4724" s="11" t="n"/>
      <c r="C4724" s="11" t="n"/>
      <c r="D4724" s="11" t="n"/>
      <c r="E4724" s="11" t="n"/>
      <c r="F4724" s="11" t="n"/>
      <c r="G4724" s="11" t="n"/>
      <c r="H4724" s="11" t="n"/>
      <c r="I4724" s="11" t="n"/>
      <c r="J4724" s="11" t="n"/>
      <c r="K4724" s="11" t="n"/>
      <c r="L4724" s="11" t="n"/>
      <c r="M4724" s="11" t="n"/>
    </row>
    <row r="4725">
      <c r="A4725" s="11" t="n"/>
      <c r="B4725" s="11" t="n"/>
      <c r="C4725" s="11" t="n"/>
      <c r="D4725" s="11" t="n"/>
      <c r="E4725" s="11" t="n"/>
      <c r="F4725" s="11" t="n"/>
      <c r="G4725" s="11" t="n"/>
      <c r="H4725" s="11" t="n"/>
      <c r="I4725" s="11" t="n"/>
      <c r="J4725" s="11" t="n"/>
      <c r="K4725" s="11" t="n"/>
      <c r="L4725" s="11" t="n"/>
      <c r="M4725" s="11" t="n"/>
    </row>
    <row r="4726">
      <c r="A4726" s="11" t="n"/>
      <c r="B4726" s="11" t="n"/>
      <c r="C4726" s="11" t="n"/>
      <c r="D4726" s="11" t="n"/>
      <c r="E4726" s="11" t="n"/>
      <c r="F4726" s="11" t="n"/>
      <c r="G4726" s="11" t="n"/>
      <c r="H4726" s="11" t="n"/>
      <c r="I4726" s="11" t="n"/>
      <c r="J4726" s="11" t="n"/>
      <c r="K4726" s="11" t="n"/>
      <c r="L4726" s="11" t="n"/>
      <c r="M4726" s="11" t="n"/>
    </row>
    <row r="4727">
      <c r="A4727" s="11" t="n"/>
      <c r="B4727" s="11" t="n"/>
      <c r="C4727" s="11" t="n"/>
      <c r="D4727" s="11" t="n"/>
      <c r="E4727" s="11" t="n"/>
      <c r="F4727" s="11" t="n"/>
      <c r="G4727" s="11" t="n"/>
      <c r="H4727" s="11" t="n"/>
      <c r="I4727" s="11" t="n"/>
      <c r="J4727" s="11" t="n"/>
      <c r="K4727" s="11" t="n"/>
      <c r="L4727" s="11" t="n"/>
      <c r="M4727" s="11" t="n"/>
    </row>
    <row r="4728">
      <c r="A4728" s="11" t="n"/>
      <c r="B4728" s="11" t="n"/>
      <c r="C4728" s="11" t="n"/>
      <c r="D4728" s="11" t="n"/>
      <c r="E4728" s="11" t="n"/>
      <c r="F4728" s="11" t="n"/>
      <c r="G4728" s="11" t="n"/>
      <c r="H4728" s="11" t="n"/>
      <c r="I4728" s="11" t="n"/>
      <c r="J4728" s="11" t="n"/>
      <c r="K4728" s="11" t="n"/>
      <c r="L4728" s="11" t="n"/>
      <c r="M4728" s="11" t="n"/>
    </row>
    <row r="4729">
      <c r="A4729" s="11" t="n"/>
      <c r="B4729" s="11" t="n"/>
      <c r="C4729" s="11" t="n"/>
      <c r="D4729" s="11" t="n"/>
      <c r="E4729" s="11" t="n"/>
      <c r="F4729" s="11" t="n"/>
      <c r="G4729" s="11" t="n"/>
      <c r="H4729" s="11" t="n"/>
      <c r="I4729" s="11" t="n"/>
      <c r="J4729" s="11" t="n"/>
      <c r="K4729" s="11" t="n"/>
      <c r="L4729" s="11" t="n"/>
      <c r="M4729" s="11" t="n"/>
    </row>
    <row r="4730">
      <c r="A4730" s="11" t="n"/>
      <c r="B4730" s="11" t="n"/>
      <c r="C4730" s="11" t="n"/>
      <c r="D4730" s="11" t="n"/>
      <c r="E4730" s="11" t="n"/>
      <c r="F4730" s="11" t="n"/>
      <c r="G4730" s="11" t="n"/>
      <c r="H4730" s="11" t="n"/>
      <c r="I4730" s="11" t="n"/>
      <c r="J4730" s="11" t="n"/>
      <c r="K4730" s="11" t="n"/>
      <c r="L4730" s="11" t="n"/>
      <c r="M4730" s="11" t="n"/>
    </row>
    <row r="4731">
      <c r="A4731" s="11" t="n"/>
      <c r="B4731" s="11" t="n"/>
      <c r="C4731" s="11" t="n"/>
      <c r="D4731" s="11" t="n"/>
      <c r="E4731" s="11" t="n"/>
      <c r="F4731" s="11" t="n"/>
      <c r="G4731" s="11" t="n"/>
      <c r="H4731" s="11" t="n"/>
      <c r="I4731" s="11" t="n"/>
      <c r="J4731" s="11" t="n"/>
      <c r="K4731" s="11" t="n"/>
      <c r="L4731" s="11" t="n"/>
      <c r="M4731" s="11" t="n"/>
    </row>
    <row r="4732">
      <c r="A4732" s="11" t="n"/>
      <c r="B4732" s="11" t="n"/>
      <c r="C4732" s="11" t="n"/>
      <c r="D4732" s="11" t="n"/>
      <c r="E4732" s="11" t="n"/>
      <c r="F4732" s="11" t="n"/>
      <c r="G4732" s="11" t="n"/>
      <c r="H4732" s="11" t="n"/>
      <c r="I4732" s="11" t="n"/>
      <c r="J4732" s="11" t="n"/>
      <c r="K4732" s="11" t="n"/>
      <c r="L4732" s="11" t="n"/>
      <c r="M4732" s="11" t="n"/>
    </row>
    <row r="4733">
      <c r="A4733" s="11" t="n"/>
      <c r="B4733" s="11" t="n"/>
      <c r="C4733" s="11" t="n"/>
      <c r="D4733" s="11" t="n"/>
      <c r="E4733" s="11" t="n"/>
      <c r="F4733" s="11" t="n"/>
      <c r="G4733" s="11" t="n"/>
      <c r="H4733" s="11" t="n"/>
      <c r="I4733" s="11" t="n"/>
      <c r="J4733" s="11" t="n"/>
      <c r="K4733" s="11" t="n"/>
      <c r="L4733" s="11" t="n"/>
      <c r="M4733" s="11" t="n"/>
    </row>
    <row r="4734">
      <c r="A4734" s="11" t="n"/>
      <c r="B4734" s="11" t="n"/>
      <c r="C4734" s="11" t="n"/>
      <c r="D4734" s="11" t="n"/>
      <c r="E4734" s="11" t="n"/>
      <c r="F4734" s="11" t="n"/>
      <c r="G4734" s="11" t="n"/>
      <c r="H4734" s="11" t="n"/>
      <c r="I4734" s="11" t="n"/>
      <c r="J4734" s="11" t="n"/>
      <c r="K4734" s="11" t="n"/>
      <c r="L4734" s="11" t="n"/>
      <c r="M4734" s="11" t="n"/>
    </row>
    <row r="4735">
      <c r="A4735" s="11" t="n"/>
      <c r="B4735" s="11" t="n"/>
      <c r="C4735" s="11" t="n"/>
      <c r="D4735" s="11" t="n"/>
      <c r="E4735" s="11" t="n"/>
      <c r="F4735" s="11" t="n"/>
      <c r="G4735" s="11" t="n"/>
      <c r="H4735" s="11" t="n"/>
      <c r="I4735" s="11" t="n"/>
      <c r="J4735" s="11" t="n"/>
      <c r="K4735" s="11" t="n"/>
      <c r="L4735" s="11" t="n"/>
      <c r="M4735" s="11" t="n"/>
    </row>
    <row r="4736">
      <c r="A4736" s="11" t="n"/>
      <c r="B4736" s="11" t="n"/>
      <c r="C4736" s="11" t="n"/>
      <c r="D4736" s="11" t="n"/>
      <c r="E4736" s="11" t="n"/>
      <c r="F4736" s="11" t="n"/>
      <c r="G4736" s="11" t="n"/>
      <c r="H4736" s="11" t="n"/>
      <c r="I4736" s="11" t="n"/>
      <c r="J4736" s="11" t="n"/>
      <c r="K4736" s="11" t="n"/>
      <c r="L4736" s="11" t="n"/>
      <c r="M4736" s="11" t="n"/>
    </row>
    <row r="4737">
      <c r="A4737" s="11" t="n"/>
      <c r="B4737" s="11" t="n"/>
      <c r="C4737" s="11" t="n"/>
      <c r="D4737" s="11" t="n"/>
      <c r="E4737" s="11" t="n"/>
      <c r="F4737" s="11" t="n"/>
      <c r="G4737" s="11" t="n"/>
      <c r="H4737" s="11" t="n"/>
      <c r="I4737" s="11" t="n"/>
      <c r="J4737" s="11" t="n"/>
      <c r="K4737" s="11" t="n"/>
      <c r="L4737" s="11" t="n"/>
      <c r="M4737" s="11" t="n"/>
    </row>
    <row r="4738">
      <c r="A4738" s="11" t="n"/>
      <c r="B4738" s="11" t="n"/>
      <c r="C4738" s="11" t="n"/>
      <c r="D4738" s="11" t="n"/>
      <c r="E4738" s="11" t="n"/>
      <c r="F4738" s="11" t="n"/>
      <c r="G4738" s="11" t="n"/>
      <c r="H4738" s="11" t="n"/>
      <c r="I4738" s="11" t="n"/>
      <c r="J4738" s="11" t="n"/>
      <c r="K4738" s="11" t="n"/>
      <c r="L4738" s="11" t="n"/>
      <c r="M4738" s="11" t="n"/>
    </row>
    <row r="4739">
      <c r="A4739" s="11" t="n"/>
      <c r="B4739" s="11" t="n"/>
      <c r="C4739" s="11" t="n"/>
      <c r="D4739" s="11" t="n"/>
      <c r="E4739" s="11" t="n"/>
      <c r="F4739" s="11" t="n"/>
      <c r="G4739" s="11" t="n"/>
      <c r="H4739" s="11" t="n"/>
      <c r="I4739" s="11" t="n"/>
      <c r="J4739" s="11" t="n"/>
      <c r="K4739" s="11" t="n"/>
      <c r="L4739" s="11" t="n"/>
      <c r="M4739" s="11" t="n"/>
    </row>
    <row r="4740">
      <c r="A4740" s="11" t="n"/>
      <c r="B4740" s="11" t="n"/>
      <c r="C4740" s="11" t="n"/>
      <c r="D4740" s="11" t="n"/>
      <c r="E4740" s="11" t="n"/>
      <c r="F4740" s="11" t="n"/>
      <c r="G4740" s="11" t="n"/>
      <c r="H4740" s="11" t="n"/>
      <c r="I4740" s="11" t="n"/>
      <c r="J4740" s="11" t="n"/>
      <c r="K4740" s="11" t="n"/>
      <c r="L4740" s="11" t="n"/>
      <c r="M4740" s="11" t="n"/>
    </row>
    <row r="4741">
      <c r="A4741" s="11" t="n"/>
      <c r="B4741" s="11" t="n"/>
      <c r="C4741" s="11" t="n"/>
      <c r="D4741" s="11" t="n"/>
      <c r="E4741" s="11" t="n"/>
      <c r="F4741" s="11" t="n"/>
      <c r="G4741" s="11" t="n"/>
      <c r="H4741" s="11" t="n"/>
      <c r="I4741" s="11" t="n"/>
      <c r="J4741" s="11" t="n"/>
      <c r="K4741" s="11" t="n"/>
      <c r="L4741" s="11" t="n"/>
      <c r="M4741" s="11" t="n"/>
    </row>
    <row r="4742">
      <c r="A4742" s="11" t="n"/>
      <c r="B4742" s="11" t="n"/>
      <c r="C4742" s="11" t="n"/>
      <c r="D4742" s="11" t="n"/>
      <c r="E4742" s="11" t="n"/>
      <c r="F4742" s="11" t="n"/>
      <c r="G4742" s="11" t="n"/>
      <c r="H4742" s="11" t="n"/>
      <c r="I4742" s="11" t="n"/>
      <c r="J4742" s="11" t="n"/>
      <c r="K4742" s="11" t="n"/>
      <c r="L4742" s="11" t="n"/>
      <c r="M4742" s="11" t="n"/>
    </row>
    <row r="4743">
      <c r="A4743" s="11" t="n"/>
      <c r="B4743" s="11" t="n"/>
      <c r="C4743" s="11" t="n"/>
      <c r="D4743" s="11" t="n"/>
      <c r="E4743" s="11" t="n"/>
      <c r="F4743" s="11" t="n"/>
      <c r="G4743" s="11" t="n"/>
      <c r="H4743" s="11" t="n"/>
      <c r="I4743" s="11" t="n"/>
      <c r="J4743" s="11" t="n"/>
      <c r="K4743" s="11" t="n"/>
      <c r="L4743" s="11" t="n"/>
      <c r="M4743" s="11" t="n"/>
    </row>
    <row r="4744">
      <c r="A4744" s="11" t="n"/>
      <c r="B4744" s="11" t="n"/>
      <c r="C4744" s="11" t="n"/>
      <c r="D4744" s="11" t="n"/>
      <c r="E4744" s="11" t="n"/>
      <c r="F4744" s="11" t="n"/>
      <c r="G4744" s="11" t="n"/>
      <c r="H4744" s="11" t="n"/>
      <c r="I4744" s="11" t="n"/>
      <c r="J4744" s="11" t="n"/>
      <c r="K4744" s="11" t="n"/>
      <c r="L4744" s="11" t="n"/>
      <c r="M4744" s="11" t="n"/>
    </row>
    <row r="4745">
      <c r="A4745" s="11" t="n"/>
      <c r="B4745" s="11" t="n"/>
      <c r="C4745" s="11" t="n"/>
      <c r="D4745" s="11" t="n"/>
      <c r="E4745" s="11" t="n"/>
      <c r="F4745" s="11" t="n"/>
      <c r="G4745" s="11" t="n"/>
      <c r="H4745" s="11" t="n"/>
      <c r="I4745" s="11" t="n"/>
      <c r="J4745" s="11" t="n"/>
      <c r="K4745" s="11" t="n"/>
      <c r="L4745" s="11" t="n"/>
      <c r="M4745" s="11" t="n"/>
    </row>
    <row r="4746">
      <c r="A4746" s="11" t="n"/>
      <c r="B4746" s="11" t="n"/>
      <c r="C4746" s="11" t="n"/>
      <c r="D4746" s="11" t="n"/>
      <c r="E4746" s="11" t="n"/>
      <c r="F4746" s="11" t="n"/>
      <c r="G4746" s="11" t="n"/>
      <c r="H4746" s="11" t="n"/>
      <c r="I4746" s="11" t="n"/>
      <c r="J4746" s="11" t="n"/>
      <c r="K4746" s="11" t="n"/>
      <c r="L4746" s="11" t="n"/>
      <c r="M4746" s="11" t="n"/>
    </row>
    <row r="4747">
      <c r="A4747" s="11" t="n"/>
      <c r="B4747" s="11" t="n"/>
      <c r="C4747" s="11" t="n"/>
      <c r="D4747" s="11" t="n"/>
      <c r="E4747" s="11" t="n"/>
      <c r="F4747" s="11" t="n"/>
      <c r="G4747" s="11" t="n"/>
      <c r="H4747" s="11" t="n"/>
      <c r="I4747" s="11" t="n"/>
      <c r="J4747" s="11" t="n"/>
      <c r="K4747" s="11" t="n"/>
      <c r="L4747" s="11" t="n"/>
      <c r="M4747" s="11" t="n"/>
    </row>
    <row r="4748">
      <c r="A4748" s="11" t="n"/>
      <c r="B4748" s="11" t="n"/>
      <c r="C4748" s="11" t="n"/>
      <c r="D4748" s="11" t="n"/>
      <c r="E4748" s="11" t="n"/>
      <c r="F4748" s="11" t="n"/>
      <c r="G4748" s="11" t="n"/>
      <c r="H4748" s="11" t="n"/>
      <c r="I4748" s="11" t="n"/>
      <c r="J4748" s="11" t="n"/>
      <c r="K4748" s="11" t="n"/>
      <c r="L4748" s="11" t="n"/>
      <c r="M4748" s="11" t="n"/>
    </row>
    <row r="4749">
      <c r="A4749" s="11" t="n"/>
      <c r="B4749" s="11" t="n"/>
      <c r="C4749" s="11" t="n"/>
      <c r="D4749" s="11" t="n"/>
      <c r="E4749" s="11" t="n"/>
      <c r="F4749" s="11" t="n"/>
      <c r="G4749" s="11" t="n"/>
      <c r="H4749" s="11" t="n"/>
      <c r="I4749" s="11" t="n"/>
      <c r="J4749" s="11" t="n"/>
      <c r="K4749" s="11" t="n"/>
      <c r="L4749" s="11" t="n"/>
      <c r="M4749" s="11" t="n"/>
    </row>
    <row r="4750">
      <c r="A4750" s="11" t="n"/>
      <c r="B4750" s="11" t="n"/>
      <c r="C4750" s="11" t="n"/>
      <c r="D4750" s="11" t="n"/>
      <c r="E4750" s="11" t="n"/>
      <c r="F4750" s="11" t="n"/>
      <c r="G4750" s="11" t="n"/>
      <c r="H4750" s="11" t="n"/>
      <c r="I4750" s="11" t="n"/>
      <c r="J4750" s="11" t="n"/>
      <c r="K4750" s="11" t="n"/>
      <c r="L4750" s="11" t="n"/>
      <c r="M4750" s="11" t="n"/>
    </row>
    <row r="4751">
      <c r="A4751" s="11" t="n"/>
      <c r="B4751" s="11" t="n"/>
      <c r="C4751" s="11" t="n"/>
      <c r="D4751" s="11" t="n"/>
      <c r="E4751" s="11" t="n"/>
      <c r="F4751" s="11" t="n"/>
      <c r="G4751" s="11" t="n"/>
      <c r="H4751" s="11" t="n"/>
      <c r="I4751" s="11" t="n"/>
      <c r="J4751" s="11" t="n"/>
      <c r="K4751" s="11" t="n"/>
      <c r="L4751" s="11" t="n"/>
      <c r="M4751" s="11" t="n"/>
    </row>
    <row r="4752">
      <c r="A4752" s="11" t="n"/>
      <c r="B4752" s="11" t="n"/>
      <c r="C4752" s="11" t="n"/>
      <c r="D4752" s="11" t="n"/>
      <c r="E4752" s="11" t="n"/>
      <c r="F4752" s="11" t="n"/>
      <c r="G4752" s="11" t="n"/>
      <c r="H4752" s="11" t="n"/>
      <c r="I4752" s="11" t="n"/>
      <c r="J4752" s="11" t="n"/>
      <c r="K4752" s="11" t="n"/>
      <c r="L4752" s="11" t="n"/>
      <c r="M4752" s="11" t="n"/>
    </row>
    <row r="4753">
      <c r="A4753" s="11" t="n"/>
      <c r="B4753" s="11" t="n"/>
      <c r="C4753" s="11" t="n"/>
      <c r="D4753" s="11" t="n"/>
      <c r="E4753" s="11" t="n"/>
      <c r="F4753" s="11" t="n"/>
      <c r="G4753" s="11" t="n"/>
      <c r="H4753" s="11" t="n"/>
      <c r="I4753" s="11" t="n"/>
      <c r="J4753" s="11" t="n"/>
      <c r="K4753" s="11" t="n"/>
      <c r="L4753" s="11" t="n"/>
      <c r="M4753" s="11" t="n"/>
    </row>
    <row r="4754">
      <c r="A4754" s="11" t="n"/>
      <c r="B4754" s="11" t="n"/>
      <c r="C4754" s="11" t="n"/>
      <c r="D4754" s="11" t="n"/>
      <c r="E4754" s="11" t="n"/>
      <c r="F4754" s="11" t="n"/>
      <c r="G4754" s="11" t="n"/>
      <c r="H4754" s="11" t="n"/>
      <c r="I4754" s="11" t="n"/>
      <c r="J4754" s="11" t="n"/>
      <c r="K4754" s="11" t="n"/>
      <c r="L4754" s="11" t="n"/>
      <c r="M4754" s="11" t="n"/>
    </row>
    <row r="4755">
      <c r="A4755" s="11" t="n"/>
      <c r="B4755" s="11" t="n"/>
      <c r="C4755" s="11" t="n"/>
      <c r="D4755" s="11" t="n"/>
      <c r="E4755" s="11" t="n"/>
      <c r="F4755" s="11" t="n"/>
      <c r="G4755" s="11" t="n"/>
      <c r="H4755" s="11" t="n"/>
      <c r="I4755" s="11" t="n"/>
      <c r="J4755" s="11" t="n"/>
      <c r="K4755" s="11" t="n"/>
      <c r="L4755" s="11" t="n"/>
      <c r="M4755" s="11" t="n"/>
    </row>
    <row r="4756">
      <c r="A4756" s="11" t="n"/>
      <c r="B4756" s="11" t="n"/>
      <c r="C4756" s="11" t="n"/>
      <c r="D4756" s="11" t="n"/>
      <c r="E4756" s="11" t="n"/>
      <c r="F4756" s="11" t="n"/>
      <c r="G4756" s="11" t="n"/>
      <c r="H4756" s="11" t="n"/>
      <c r="I4756" s="11" t="n"/>
      <c r="J4756" s="11" t="n"/>
      <c r="K4756" s="11" t="n"/>
      <c r="L4756" s="11" t="n"/>
      <c r="M4756" s="11" t="n"/>
    </row>
    <row r="4757">
      <c r="A4757" s="11" t="n"/>
      <c r="B4757" s="11" t="n"/>
      <c r="C4757" s="11" t="n"/>
      <c r="D4757" s="11" t="n"/>
      <c r="E4757" s="11" t="n"/>
      <c r="F4757" s="11" t="n"/>
      <c r="G4757" s="11" t="n"/>
      <c r="H4757" s="11" t="n"/>
      <c r="I4757" s="11" t="n"/>
      <c r="J4757" s="11" t="n"/>
      <c r="K4757" s="11" t="n"/>
      <c r="L4757" s="11" t="n"/>
      <c r="M4757" s="11" t="n"/>
    </row>
    <row r="4758">
      <c r="A4758" s="11" t="n"/>
      <c r="B4758" s="11" t="n"/>
      <c r="C4758" s="11" t="n"/>
      <c r="D4758" s="11" t="n"/>
      <c r="E4758" s="11" t="n"/>
      <c r="F4758" s="11" t="n"/>
      <c r="G4758" s="11" t="n"/>
      <c r="H4758" s="11" t="n"/>
      <c r="I4758" s="11" t="n"/>
      <c r="J4758" s="11" t="n"/>
      <c r="K4758" s="11" t="n"/>
      <c r="L4758" s="11" t="n"/>
      <c r="M4758" s="11" t="n"/>
    </row>
    <row r="4759">
      <c r="A4759" s="11" t="n"/>
      <c r="B4759" s="11" t="n"/>
      <c r="C4759" s="11" t="n"/>
      <c r="D4759" s="11" t="n"/>
      <c r="E4759" s="11" t="n"/>
      <c r="F4759" s="11" t="n"/>
      <c r="G4759" s="11" t="n"/>
      <c r="H4759" s="11" t="n"/>
      <c r="I4759" s="11" t="n"/>
      <c r="J4759" s="11" t="n"/>
      <c r="K4759" s="11" t="n"/>
      <c r="L4759" s="11" t="n"/>
      <c r="M4759" s="11" t="n"/>
    </row>
    <row r="4760">
      <c r="A4760" s="11" t="n"/>
      <c r="B4760" s="11" t="n"/>
      <c r="C4760" s="11" t="n"/>
      <c r="D4760" s="11" t="n"/>
      <c r="E4760" s="11" t="n"/>
      <c r="F4760" s="11" t="n"/>
      <c r="G4760" s="11" t="n"/>
      <c r="H4760" s="11" t="n"/>
      <c r="I4760" s="11" t="n"/>
      <c r="J4760" s="11" t="n"/>
      <c r="K4760" s="11" t="n"/>
      <c r="L4760" s="11" t="n"/>
      <c r="M4760" s="11" t="n"/>
    </row>
    <row r="4761">
      <c r="A4761" s="11" t="n"/>
      <c r="B4761" s="11" t="n"/>
      <c r="C4761" s="11" t="n"/>
      <c r="D4761" s="11" t="n"/>
      <c r="E4761" s="11" t="n"/>
      <c r="F4761" s="11" t="n"/>
      <c r="G4761" s="11" t="n"/>
      <c r="H4761" s="11" t="n"/>
      <c r="I4761" s="11" t="n"/>
      <c r="J4761" s="11" t="n"/>
      <c r="K4761" s="11" t="n"/>
      <c r="L4761" s="11" t="n"/>
      <c r="M4761" s="11" t="n"/>
    </row>
    <row r="4762">
      <c r="A4762" s="11" t="n"/>
      <c r="B4762" s="11" t="n"/>
      <c r="C4762" s="11" t="n"/>
      <c r="D4762" s="11" t="n"/>
      <c r="E4762" s="11" t="n"/>
      <c r="F4762" s="11" t="n"/>
      <c r="G4762" s="11" t="n"/>
      <c r="H4762" s="11" t="n"/>
      <c r="I4762" s="11" t="n"/>
      <c r="J4762" s="11" t="n"/>
      <c r="K4762" s="11" t="n"/>
      <c r="L4762" s="11" t="n"/>
      <c r="M4762" s="11" t="n"/>
    </row>
    <row r="4763">
      <c r="A4763" s="11" t="n"/>
      <c r="B4763" s="11" t="n"/>
      <c r="C4763" s="11" t="n"/>
      <c r="D4763" s="11" t="n"/>
      <c r="E4763" s="11" t="n"/>
      <c r="F4763" s="11" t="n"/>
      <c r="G4763" s="11" t="n"/>
      <c r="H4763" s="11" t="n"/>
      <c r="I4763" s="11" t="n"/>
      <c r="J4763" s="11" t="n"/>
      <c r="K4763" s="11" t="n"/>
      <c r="L4763" s="11" t="n"/>
      <c r="M4763" s="11" t="n"/>
    </row>
    <row r="4764">
      <c r="A4764" s="11" t="n"/>
      <c r="B4764" s="11" t="n"/>
      <c r="C4764" s="11" t="n"/>
      <c r="D4764" s="11" t="n"/>
      <c r="E4764" s="11" t="n"/>
      <c r="F4764" s="11" t="n"/>
      <c r="G4764" s="11" t="n"/>
      <c r="H4764" s="11" t="n"/>
      <c r="I4764" s="11" t="n"/>
      <c r="J4764" s="11" t="n"/>
      <c r="K4764" s="11" t="n"/>
      <c r="L4764" s="11" t="n"/>
      <c r="M4764" s="11" t="n"/>
    </row>
    <row r="4765">
      <c r="A4765" s="11" t="n"/>
      <c r="B4765" s="11" t="n"/>
      <c r="C4765" s="11" t="n"/>
      <c r="D4765" s="11" t="n"/>
      <c r="E4765" s="11" t="n"/>
      <c r="F4765" s="11" t="n"/>
      <c r="G4765" s="11" t="n"/>
      <c r="H4765" s="11" t="n"/>
      <c r="I4765" s="11" t="n"/>
      <c r="J4765" s="11" t="n"/>
      <c r="K4765" s="11" t="n"/>
      <c r="L4765" s="11" t="n"/>
      <c r="M4765" s="11" t="n"/>
    </row>
    <row r="4766">
      <c r="A4766" s="11" t="n"/>
      <c r="B4766" s="11" t="n"/>
      <c r="C4766" s="11" t="n"/>
      <c r="D4766" s="11" t="n"/>
      <c r="E4766" s="11" t="n"/>
      <c r="F4766" s="11" t="n"/>
      <c r="G4766" s="11" t="n"/>
      <c r="H4766" s="11" t="n"/>
      <c r="I4766" s="11" t="n"/>
      <c r="J4766" s="11" t="n"/>
      <c r="K4766" s="11" t="n"/>
      <c r="L4766" s="11" t="n"/>
      <c r="M4766" s="11" t="n"/>
    </row>
    <row r="4767">
      <c r="A4767" s="11" t="n"/>
      <c r="B4767" s="11" t="n"/>
      <c r="C4767" s="11" t="n"/>
      <c r="D4767" s="11" t="n"/>
      <c r="E4767" s="11" t="n"/>
      <c r="F4767" s="11" t="n"/>
      <c r="G4767" s="11" t="n"/>
      <c r="H4767" s="11" t="n"/>
      <c r="I4767" s="11" t="n"/>
      <c r="J4767" s="11" t="n"/>
      <c r="K4767" s="11" t="n"/>
      <c r="L4767" s="11" t="n"/>
      <c r="M4767" s="11" t="n"/>
    </row>
    <row r="4768">
      <c r="A4768" s="11" t="n"/>
      <c r="B4768" s="11" t="n"/>
      <c r="C4768" s="11" t="n"/>
      <c r="D4768" s="11" t="n"/>
      <c r="E4768" s="11" t="n"/>
      <c r="F4768" s="11" t="n"/>
      <c r="G4768" s="11" t="n"/>
      <c r="H4768" s="11" t="n"/>
      <c r="I4768" s="11" t="n"/>
      <c r="J4768" s="11" t="n"/>
      <c r="K4768" s="11" t="n"/>
      <c r="L4768" s="11" t="n"/>
      <c r="M4768" s="11" t="n"/>
    </row>
    <row r="4769">
      <c r="A4769" s="11" t="n"/>
      <c r="B4769" s="11" t="n"/>
      <c r="C4769" s="11" t="n"/>
      <c r="D4769" s="11" t="n"/>
      <c r="E4769" s="11" t="n"/>
      <c r="F4769" s="11" t="n"/>
      <c r="G4769" s="11" t="n"/>
      <c r="H4769" s="11" t="n"/>
      <c r="I4769" s="11" t="n"/>
      <c r="J4769" s="11" t="n"/>
      <c r="K4769" s="11" t="n"/>
      <c r="L4769" s="11" t="n"/>
      <c r="M4769" s="11" t="n"/>
    </row>
    <row r="4770">
      <c r="A4770" s="11" t="n"/>
      <c r="B4770" s="11" t="n"/>
      <c r="C4770" s="11" t="n"/>
      <c r="D4770" s="11" t="n"/>
      <c r="E4770" s="11" t="n"/>
      <c r="F4770" s="11" t="n"/>
      <c r="G4770" s="11" t="n"/>
      <c r="H4770" s="11" t="n"/>
      <c r="I4770" s="11" t="n"/>
      <c r="J4770" s="11" t="n"/>
      <c r="K4770" s="11" t="n"/>
      <c r="L4770" s="11" t="n"/>
      <c r="M4770" s="11" t="n"/>
    </row>
    <row r="4771">
      <c r="A4771" s="11" t="n"/>
      <c r="B4771" s="11" t="n"/>
      <c r="C4771" s="11" t="n"/>
      <c r="D4771" s="11" t="n"/>
      <c r="E4771" s="11" t="n"/>
      <c r="F4771" s="11" t="n"/>
      <c r="G4771" s="11" t="n"/>
      <c r="H4771" s="11" t="n"/>
      <c r="I4771" s="11" t="n"/>
      <c r="J4771" s="11" t="n"/>
      <c r="K4771" s="11" t="n"/>
      <c r="L4771" s="11" t="n"/>
      <c r="M4771" s="11" t="n"/>
    </row>
    <row r="4772">
      <c r="A4772" s="11" t="n"/>
      <c r="B4772" s="11" t="n"/>
      <c r="C4772" s="11" t="n"/>
      <c r="D4772" s="11" t="n"/>
      <c r="E4772" s="11" t="n"/>
      <c r="F4772" s="11" t="n"/>
      <c r="G4772" s="11" t="n"/>
      <c r="H4772" s="11" t="n"/>
      <c r="I4772" s="11" t="n"/>
      <c r="J4772" s="11" t="n"/>
      <c r="K4772" s="11" t="n"/>
      <c r="L4772" s="11" t="n"/>
      <c r="M4772" s="11" t="n"/>
    </row>
    <row r="4773">
      <c r="A4773" s="11" t="n"/>
      <c r="B4773" s="11" t="n"/>
      <c r="C4773" s="11" t="n"/>
      <c r="D4773" s="11" t="n"/>
      <c r="E4773" s="11" t="n"/>
      <c r="F4773" s="11" t="n"/>
      <c r="G4773" s="11" t="n"/>
      <c r="H4773" s="11" t="n"/>
      <c r="I4773" s="11" t="n"/>
      <c r="J4773" s="11" t="n"/>
      <c r="K4773" s="11" t="n"/>
      <c r="L4773" s="11" t="n"/>
      <c r="M4773" s="11" t="n"/>
    </row>
    <row r="4774">
      <c r="A4774" s="11" t="n"/>
      <c r="B4774" s="11" t="n"/>
      <c r="C4774" s="11" t="n"/>
      <c r="D4774" s="11" t="n"/>
      <c r="E4774" s="11" t="n"/>
      <c r="F4774" s="11" t="n"/>
      <c r="G4774" s="11" t="n"/>
      <c r="H4774" s="11" t="n"/>
      <c r="I4774" s="11" t="n"/>
      <c r="J4774" s="11" t="n"/>
      <c r="K4774" s="11" t="n"/>
      <c r="L4774" s="11" t="n"/>
      <c r="M4774" s="11" t="n"/>
    </row>
    <row r="4775">
      <c r="A4775" s="11" t="n"/>
      <c r="B4775" s="11" t="n"/>
      <c r="C4775" s="11" t="n"/>
      <c r="D4775" s="11" t="n"/>
      <c r="E4775" s="11" t="n"/>
      <c r="F4775" s="11" t="n"/>
      <c r="G4775" s="11" t="n"/>
      <c r="H4775" s="11" t="n"/>
      <c r="I4775" s="11" t="n"/>
      <c r="J4775" s="11" t="n"/>
      <c r="K4775" s="11" t="n"/>
      <c r="L4775" s="11" t="n"/>
      <c r="M4775" s="11" t="n"/>
    </row>
    <row r="4776">
      <c r="A4776" s="11" t="n"/>
      <c r="B4776" s="11" t="n"/>
      <c r="C4776" s="11" t="n"/>
      <c r="D4776" s="11" t="n"/>
      <c r="E4776" s="11" t="n"/>
      <c r="F4776" s="11" t="n"/>
      <c r="G4776" s="11" t="n"/>
      <c r="H4776" s="11" t="n"/>
      <c r="I4776" s="11" t="n"/>
      <c r="J4776" s="11" t="n"/>
      <c r="K4776" s="11" t="n"/>
      <c r="L4776" s="11" t="n"/>
      <c r="M4776" s="11" t="n"/>
    </row>
    <row r="4777">
      <c r="A4777" s="11" t="n"/>
      <c r="B4777" s="11" t="n"/>
      <c r="C4777" s="11" t="n"/>
      <c r="D4777" s="11" t="n"/>
      <c r="E4777" s="11" t="n"/>
      <c r="F4777" s="11" t="n"/>
      <c r="G4777" s="11" t="n"/>
      <c r="H4777" s="11" t="n"/>
      <c r="I4777" s="11" t="n"/>
      <c r="J4777" s="11" t="n"/>
      <c r="K4777" s="11" t="n"/>
      <c r="L4777" s="11" t="n"/>
      <c r="M4777" s="11" t="n"/>
    </row>
    <row r="4778">
      <c r="A4778" s="11" t="n"/>
      <c r="B4778" s="11" t="n"/>
      <c r="C4778" s="11" t="n"/>
      <c r="D4778" s="11" t="n"/>
      <c r="E4778" s="11" t="n"/>
      <c r="F4778" s="11" t="n"/>
      <c r="G4778" s="11" t="n"/>
      <c r="H4778" s="11" t="n"/>
      <c r="I4778" s="11" t="n"/>
      <c r="J4778" s="11" t="n"/>
      <c r="K4778" s="11" t="n"/>
      <c r="L4778" s="11" t="n"/>
      <c r="M4778" s="11" t="n"/>
    </row>
    <row r="4779">
      <c r="A4779" s="11" t="n"/>
      <c r="B4779" s="11" t="n"/>
      <c r="C4779" s="11" t="n"/>
      <c r="D4779" s="11" t="n"/>
      <c r="E4779" s="11" t="n"/>
      <c r="F4779" s="11" t="n"/>
      <c r="G4779" s="11" t="n"/>
      <c r="H4779" s="11" t="n"/>
      <c r="I4779" s="11" t="n"/>
      <c r="J4779" s="11" t="n"/>
      <c r="K4779" s="11" t="n"/>
      <c r="L4779" s="11" t="n"/>
      <c r="M4779" s="11" t="n"/>
    </row>
    <row r="4780">
      <c r="A4780" s="11" t="n"/>
      <c r="B4780" s="11" t="n"/>
      <c r="C4780" s="11" t="n"/>
      <c r="D4780" s="11" t="n"/>
      <c r="E4780" s="11" t="n"/>
      <c r="F4780" s="11" t="n"/>
      <c r="G4780" s="11" t="n"/>
      <c r="H4780" s="11" t="n"/>
      <c r="I4780" s="11" t="n"/>
      <c r="J4780" s="11" t="n"/>
      <c r="K4780" s="11" t="n"/>
      <c r="L4780" s="11" t="n"/>
      <c r="M4780" s="11" t="n"/>
    </row>
    <row r="4781">
      <c r="A4781" s="11" t="n"/>
      <c r="B4781" s="11" t="n"/>
      <c r="C4781" s="11" t="n"/>
      <c r="D4781" s="11" t="n"/>
      <c r="E4781" s="11" t="n"/>
      <c r="F4781" s="11" t="n"/>
      <c r="G4781" s="11" t="n"/>
      <c r="H4781" s="11" t="n"/>
      <c r="I4781" s="11" t="n"/>
      <c r="J4781" s="11" t="n"/>
      <c r="K4781" s="11" t="n"/>
      <c r="L4781" s="11" t="n"/>
      <c r="M4781" s="11" t="n"/>
    </row>
    <row r="4782">
      <c r="A4782" s="11" t="n"/>
      <c r="B4782" s="11" t="n"/>
      <c r="C4782" s="11" t="n"/>
      <c r="D4782" s="11" t="n"/>
      <c r="E4782" s="11" t="n"/>
      <c r="F4782" s="11" t="n"/>
      <c r="G4782" s="11" t="n"/>
      <c r="H4782" s="11" t="n"/>
      <c r="I4782" s="11" t="n"/>
      <c r="J4782" s="11" t="n"/>
      <c r="K4782" s="11" t="n"/>
      <c r="L4782" s="11" t="n"/>
      <c r="M4782" s="11" t="n"/>
    </row>
    <row r="4783">
      <c r="A4783" s="11" t="n"/>
      <c r="B4783" s="11" t="n"/>
      <c r="C4783" s="11" t="n"/>
      <c r="D4783" s="11" t="n"/>
      <c r="E4783" s="11" t="n"/>
      <c r="F4783" s="11" t="n"/>
      <c r="G4783" s="11" t="n"/>
      <c r="H4783" s="11" t="n"/>
      <c r="I4783" s="11" t="n"/>
      <c r="J4783" s="11" t="n"/>
      <c r="K4783" s="11" t="n"/>
      <c r="L4783" s="11" t="n"/>
      <c r="M4783" s="11" t="n"/>
    </row>
    <row r="4784">
      <c r="A4784" s="11" t="n"/>
      <c r="B4784" s="11" t="n"/>
      <c r="C4784" s="11" t="n"/>
      <c r="D4784" s="11" t="n"/>
      <c r="E4784" s="11" t="n"/>
      <c r="F4784" s="11" t="n"/>
      <c r="G4784" s="11" t="n"/>
      <c r="H4784" s="11" t="n"/>
      <c r="I4784" s="11" t="n"/>
      <c r="J4784" s="11" t="n"/>
      <c r="K4784" s="11" t="n"/>
      <c r="L4784" s="11" t="n"/>
      <c r="M4784" s="11" t="n"/>
    </row>
    <row r="4785">
      <c r="A4785" s="11" t="n"/>
      <c r="B4785" s="11" t="n"/>
      <c r="C4785" s="11" t="n"/>
      <c r="D4785" s="11" t="n"/>
      <c r="E4785" s="11" t="n"/>
      <c r="F4785" s="11" t="n"/>
      <c r="G4785" s="11" t="n"/>
      <c r="H4785" s="11" t="n"/>
      <c r="I4785" s="11" t="n"/>
      <c r="J4785" s="11" t="n"/>
      <c r="K4785" s="11" t="n"/>
      <c r="L4785" s="11" t="n"/>
      <c r="M4785" s="11" t="n"/>
    </row>
    <row r="4786">
      <c r="A4786" s="11" t="n"/>
      <c r="B4786" s="11" t="n"/>
      <c r="C4786" s="11" t="n"/>
      <c r="D4786" s="11" t="n"/>
      <c r="E4786" s="11" t="n"/>
      <c r="F4786" s="11" t="n"/>
      <c r="G4786" s="11" t="n"/>
      <c r="H4786" s="11" t="n"/>
      <c r="I4786" s="11" t="n"/>
      <c r="J4786" s="11" t="n"/>
      <c r="K4786" s="11" t="n"/>
      <c r="L4786" s="11" t="n"/>
      <c r="M4786" s="11" t="n"/>
    </row>
    <row r="4787">
      <c r="A4787" s="11" t="n"/>
      <c r="B4787" s="11" t="n"/>
      <c r="C4787" s="11" t="n"/>
      <c r="D4787" s="11" t="n"/>
      <c r="E4787" s="11" t="n"/>
      <c r="F4787" s="11" t="n"/>
      <c r="G4787" s="11" t="n"/>
      <c r="H4787" s="11" t="n"/>
      <c r="I4787" s="11" t="n"/>
      <c r="J4787" s="11" t="n"/>
      <c r="K4787" s="11" t="n"/>
      <c r="L4787" s="11" t="n"/>
      <c r="M4787" s="11" t="n"/>
    </row>
    <row r="4788">
      <c r="A4788" s="11" t="n"/>
      <c r="B4788" s="11" t="n"/>
      <c r="C4788" s="11" t="n"/>
      <c r="D4788" s="11" t="n"/>
      <c r="E4788" s="11" t="n"/>
      <c r="F4788" s="11" t="n"/>
      <c r="G4788" s="11" t="n"/>
      <c r="H4788" s="11" t="n"/>
      <c r="I4788" s="11" t="n"/>
      <c r="J4788" s="11" t="n"/>
      <c r="K4788" s="11" t="n"/>
      <c r="L4788" s="11" t="n"/>
      <c r="M4788" s="11" t="n"/>
    </row>
    <row r="4789">
      <c r="A4789" s="11" t="n"/>
      <c r="B4789" s="11" t="n"/>
      <c r="C4789" s="11" t="n"/>
      <c r="D4789" s="11" t="n"/>
      <c r="E4789" s="11" t="n"/>
      <c r="F4789" s="11" t="n"/>
      <c r="G4789" s="11" t="n"/>
      <c r="H4789" s="11" t="n"/>
      <c r="I4789" s="11" t="n"/>
      <c r="J4789" s="11" t="n"/>
      <c r="K4789" s="11" t="n"/>
      <c r="L4789" s="11" t="n"/>
      <c r="M4789" s="11" t="n"/>
    </row>
    <row r="4790">
      <c r="A4790" s="11" t="n"/>
      <c r="B4790" s="11" t="n"/>
      <c r="C4790" s="11" t="n"/>
      <c r="D4790" s="11" t="n"/>
      <c r="E4790" s="11" t="n"/>
      <c r="F4790" s="11" t="n"/>
      <c r="G4790" s="11" t="n"/>
      <c r="H4790" s="11" t="n"/>
      <c r="I4790" s="11" t="n"/>
      <c r="J4790" s="11" t="n"/>
      <c r="K4790" s="11" t="n"/>
      <c r="L4790" s="11" t="n"/>
      <c r="M4790" s="11" t="n"/>
    </row>
    <row r="4791">
      <c r="A4791" s="11" t="n"/>
      <c r="B4791" s="11" t="n"/>
      <c r="C4791" s="11" t="n"/>
      <c r="D4791" s="11" t="n"/>
      <c r="E4791" s="11" t="n"/>
      <c r="F4791" s="11" t="n"/>
      <c r="G4791" s="11" t="n"/>
      <c r="H4791" s="11" t="n"/>
      <c r="I4791" s="11" t="n"/>
      <c r="J4791" s="11" t="n"/>
      <c r="K4791" s="11" t="n"/>
      <c r="L4791" s="11" t="n"/>
      <c r="M4791" s="11" t="n"/>
    </row>
    <row r="4792">
      <c r="A4792" s="11" t="n"/>
      <c r="B4792" s="11" t="n"/>
      <c r="C4792" s="11" t="n"/>
      <c r="D4792" s="11" t="n"/>
      <c r="E4792" s="11" t="n"/>
      <c r="F4792" s="11" t="n"/>
      <c r="G4792" s="11" t="n"/>
      <c r="H4792" s="11" t="n"/>
      <c r="I4792" s="11" t="n"/>
      <c r="J4792" s="11" t="n"/>
      <c r="K4792" s="11" t="n"/>
      <c r="L4792" s="11" t="n"/>
      <c r="M4792" s="11" t="n"/>
    </row>
    <row r="4793">
      <c r="A4793" s="11" t="n"/>
      <c r="B4793" s="11" t="n"/>
      <c r="C4793" s="11" t="n"/>
      <c r="D4793" s="11" t="n"/>
      <c r="E4793" s="11" t="n"/>
      <c r="F4793" s="11" t="n"/>
      <c r="G4793" s="11" t="n"/>
      <c r="H4793" s="11" t="n"/>
      <c r="I4793" s="11" t="n"/>
      <c r="J4793" s="11" t="n"/>
      <c r="K4793" s="11" t="n"/>
      <c r="L4793" s="11" t="n"/>
      <c r="M4793" s="11" t="n"/>
    </row>
    <row r="4794">
      <c r="A4794" s="11" t="n"/>
      <c r="B4794" s="11" t="n"/>
      <c r="C4794" s="11" t="n"/>
      <c r="D4794" s="11" t="n"/>
      <c r="E4794" s="11" t="n"/>
      <c r="F4794" s="11" t="n"/>
      <c r="G4794" s="11" t="n"/>
      <c r="H4794" s="11" t="n"/>
      <c r="I4794" s="11" t="n"/>
      <c r="J4794" s="11" t="n"/>
      <c r="K4794" s="11" t="n"/>
      <c r="L4794" s="11" t="n"/>
      <c r="M4794" s="11" t="n"/>
    </row>
    <row r="4795">
      <c r="A4795" s="11" t="n"/>
      <c r="B4795" s="11" t="n"/>
      <c r="C4795" s="11" t="n"/>
      <c r="D4795" s="11" t="n"/>
      <c r="E4795" s="11" t="n"/>
      <c r="F4795" s="11" t="n"/>
      <c r="G4795" s="11" t="n"/>
      <c r="H4795" s="11" t="n"/>
      <c r="I4795" s="11" t="n"/>
      <c r="J4795" s="11" t="n"/>
      <c r="K4795" s="11" t="n"/>
      <c r="L4795" s="11" t="n"/>
      <c r="M4795" s="11" t="n"/>
    </row>
    <row r="4796">
      <c r="A4796" s="11" t="n"/>
      <c r="B4796" s="11" t="n"/>
      <c r="C4796" s="11" t="n"/>
      <c r="D4796" s="11" t="n"/>
      <c r="E4796" s="11" t="n"/>
      <c r="F4796" s="11" t="n"/>
      <c r="G4796" s="11" t="n"/>
      <c r="H4796" s="11" t="n"/>
      <c r="I4796" s="11" t="n"/>
      <c r="J4796" s="11" t="n"/>
      <c r="K4796" s="11" t="n"/>
      <c r="L4796" s="11" t="n"/>
      <c r="M4796" s="11" t="n"/>
    </row>
    <row r="4797">
      <c r="A4797" s="11" t="n"/>
      <c r="B4797" s="11" t="n"/>
      <c r="C4797" s="11" t="n"/>
      <c r="D4797" s="11" t="n"/>
      <c r="E4797" s="11" t="n"/>
      <c r="F4797" s="11" t="n"/>
      <c r="G4797" s="11" t="n"/>
      <c r="H4797" s="11" t="n"/>
      <c r="I4797" s="11" t="n"/>
      <c r="J4797" s="11" t="n"/>
      <c r="K4797" s="11" t="n"/>
      <c r="L4797" s="11" t="n"/>
      <c r="M4797" s="11" t="n"/>
    </row>
    <row r="4798">
      <c r="A4798" s="11" t="n"/>
      <c r="B4798" s="11" t="n"/>
      <c r="C4798" s="11" t="n"/>
      <c r="D4798" s="11" t="n"/>
      <c r="E4798" s="11" t="n"/>
      <c r="F4798" s="11" t="n"/>
      <c r="G4798" s="11" t="n"/>
      <c r="H4798" s="11" t="n"/>
      <c r="I4798" s="11" t="n"/>
      <c r="J4798" s="11" t="n"/>
      <c r="K4798" s="11" t="n"/>
      <c r="L4798" s="11" t="n"/>
      <c r="M4798" s="11" t="n"/>
    </row>
    <row r="4799">
      <c r="A4799" s="11" t="n"/>
      <c r="B4799" s="11" t="n"/>
      <c r="C4799" s="11" t="n"/>
      <c r="D4799" s="11" t="n"/>
      <c r="E4799" s="11" t="n"/>
      <c r="F4799" s="11" t="n"/>
      <c r="G4799" s="11" t="n"/>
      <c r="H4799" s="11" t="n"/>
      <c r="I4799" s="11" t="n"/>
      <c r="J4799" s="11" t="n"/>
      <c r="K4799" s="11" t="n"/>
      <c r="L4799" s="11" t="n"/>
      <c r="M4799" s="11" t="n"/>
    </row>
    <row r="4800">
      <c r="A4800" s="11" t="n"/>
      <c r="B4800" s="11" t="n"/>
      <c r="C4800" s="11" t="n"/>
      <c r="D4800" s="11" t="n"/>
      <c r="E4800" s="11" t="n"/>
      <c r="F4800" s="11" t="n"/>
      <c r="G4800" s="11" t="n"/>
      <c r="H4800" s="11" t="n"/>
      <c r="I4800" s="11" t="n"/>
      <c r="J4800" s="11" t="n"/>
      <c r="K4800" s="11" t="n"/>
      <c r="L4800" s="11" t="n"/>
      <c r="M4800" s="11" t="n"/>
    </row>
    <row r="4801">
      <c r="A4801" s="11" t="n"/>
      <c r="B4801" s="11" t="n"/>
      <c r="C4801" s="11" t="n"/>
      <c r="D4801" s="11" t="n"/>
      <c r="E4801" s="11" t="n"/>
      <c r="F4801" s="11" t="n"/>
      <c r="G4801" s="11" t="n"/>
      <c r="H4801" s="11" t="n"/>
      <c r="I4801" s="11" t="n"/>
      <c r="J4801" s="11" t="n"/>
      <c r="K4801" s="11" t="n"/>
      <c r="L4801" s="11" t="n"/>
      <c r="M4801" s="11" t="n"/>
    </row>
    <row r="4802">
      <c r="A4802" s="11" t="n"/>
      <c r="B4802" s="11" t="n"/>
      <c r="C4802" s="11" t="n"/>
      <c r="D4802" s="11" t="n"/>
      <c r="E4802" s="11" t="n"/>
      <c r="F4802" s="11" t="n"/>
      <c r="G4802" s="11" t="n"/>
      <c r="H4802" s="11" t="n"/>
      <c r="I4802" s="11" t="n"/>
      <c r="J4802" s="11" t="n"/>
      <c r="K4802" s="11" t="n"/>
      <c r="L4802" s="11" t="n"/>
      <c r="M4802" s="11" t="n"/>
    </row>
    <row r="4803">
      <c r="A4803" s="11" t="n"/>
      <c r="B4803" s="11" t="n"/>
      <c r="C4803" s="11" t="n"/>
      <c r="D4803" s="11" t="n"/>
      <c r="E4803" s="11" t="n"/>
      <c r="F4803" s="11" t="n"/>
      <c r="G4803" s="11" t="n"/>
      <c r="H4803" s="11" t="n"/>
      <c r="I4803" s="11" t="n"/>
      <c r="J4803" s="11" t="n"/>
      <c r="K4803" s="11" t="n"/>
      <c r="L4803" s="11" t="n"/>
      <c r="M4803" s="11" t="n"/>
    </row>
    <row r="4804">
      <c r="A4804" s="11" t="n"/>
      <c r="B4804" s="11" t="n"/>
      <c r="C4804" s="11" t="n"/>
      <c r="D4804" s="11" t="n"/>
      <c r="E4804" s="11" t="n"/>
      <c r="F4804" s="11" t="n"/>
      <c r="G4804" s="11" t="n"/>
      <c r="H4804" s="11" t="n"/>
      <c r="I4804" s="11" t="n"/>
      <c r="J4804" s="11" t="n"/>
      <c r="K4804" s="11" t="n"/>
      <c r="L4804" s="11" t="n"/>
      <c r="M4804" s="11" t="n"/>
    </row>
    <row r="4805">
      <c r="A4805" s="11" t="n"/>
      <c r="B4805" s="11" t="n"/>
      <c r="C4805" s="11" t="n"/>
      <c r="D4805" s="11" t="n"/>
      <c r="E4805" s="11" t="n"/>
      <c r="F4805" s="11" t="n"/>
      <c r="G4805" s="11" t="n"/>
      <c r="H4805" s="11" t="n"/>
      <c r="I4805" s="11" t="n"/>
      <c r="J4805" s="11" t="n"/>
      <c r="K4805" s="11" t="n"/>
      <c r="L4805" s="11" t="n"/>
      <c r="M4805" s="11" t="n"/>
    </row>
    <row r="4806">
      <c r="A4806" s="11" t="n"/>
      <c r="B4806" s="11" t="n"/>
      <c r="C4806" s="11" t="n"/>
      <c r="D4806" s="11" t="n"/>
      <c r="E4806" s="11" t="n"/>
      <c r="F4806" s="11" t="n"/>
      <c r="G4806" s="11" t="n"/>
      <c r="H4806" s="11" t="n"/>
      <c r="I4806" s="11" t="n"/>
      <c r="J4806" s="11" t="n"/>
      <c r="K4806" s="11" t="n"/>
      <c r="L4806" s="11" t="n"/>
      <c r="M4806" s="11" t="n"/>
    </row>
    <row r="4807">
      <c r="A4807" s="11" t="n"/>
      <c r="B4807" s="11" t="n"/>
      <c r="C4807" s="11" t="n"/>
      <c r="D4807" s="11" t="n"/>
      <c r="E4807" s="11" t="n"/>
      <c r="F4807" s="11" t="n"/>
      <c r="G4807" s="11" t="n"/>
      <c r="H4807" s="11" t="n"/>
      <c r="I4807" s="11" t="n"/>
      <c r="J4807" s="11" t="n"/>
      <c r="K4807" s="11" t="n"/>
      <c r="L4807" s="11" t="n"/>
      <c r="M4807" s="11" t="n"/>
    </row>
    <row r="4808">
      <c r="A4808" s="11" t="n"/>
      <c r="B4808" s="11" t="n"/>
      <c r="C4808" s="11" t="n"/>
      <c r="D4808" s="11" t="n"/>
      <c r="E4808" s="11" t="n"/>
      <c r="F4808" s="11" t="n"/>
      <c r="G4808" s="11" t="n"/>
      <c r="H4808" s="11" t="n"/>
      <c r="I4808" s="11" t="n"/>
      <c r="J4808" s="11" t="n"/>
      <c r="K4808" s="11" t="n"/>
      <c r="L4808" s="11" t="n"/>
      <c r="M4808" s="11" t="n"/>
    </row>
    <row r="4809">
      <c r="A4809" s="11" t="n"/>
      <c r="B4809" s="11" t="n"/>
      <c r="C4809" s="11" t="n"/>
      <c r="D4809" s="11" t="n"/>
      <c r="E4809" s="11" t="n"/>
      <c r="F4809" s="11" t="n"/>
      <c r="G4809" s="11" t="n"/>
      <c r="H4809" s="11" t="n"/>
      <c r="I4809" s="11" t="n"/>
      <c r="J4809" s="11" t="n"/>
      <c r="K4809" s="11" t="n"/>
      <c r="L4809" s="11" t="n"/>
      <c r="M4809" s="11" t="n"/>
    </row>
    <row r="4810">
      <c r="A4810" s="11" t="n"/>
      <c r="B4810" s="11" t="n"/>
      <c r="C4810" s="11" t="n"/>
      <c r="D4810" s="11" t="n"/>
      <c r="E4810" s="11" t="n"/>
      <c r="F4810" s="11" t="n"/>
      <c r="G4810" s="11" t="n"/>
      <c r="H4810" s="11" t="n"/>
      <c r="I4810" s="11" t="n"/>
      <c r="J4810" s="11" t="n"/>
      <c r="K4810" s="11" t="n"/>
      <c r="L4810" s="11" t="n"/>
      <c r="M4810" s="11" t="n"/>
    </row>
    <row r="4811">
      <c r="A4811" s="11" t="n"/>
      <c r="B4811" s="11" t="n"/>
      <c r="C4811" s="11" t="n"/>
      <c r="D4811" s="11" t="n"/>
      <c r="E4811" s="11" t="n"/>
      <c r="F4811" s="11" t="n"/>
      <c r="G4811" s="11" t="n"/>
      <c r="H4811" s="11" t="n"/>
      <c r="I4811" s="11" t="n"/>
      <c r="J4811" s="11" t="n"/>
      <c r="K4811" s="11" t="n"/>
      <c r="L4811" s="11" t="n"/>
      <c r="M4811" s="11" t="n"/>
    </row>
    <row r="4812">
      <c r="A4812" s="11" t="n"/>
      <c r="B4812" s="11" t="n"/>
      <c r="C4812" s="11" t="n"/>
      <c r="D4812" s="11" t="n"/>
      <c r="E4812" s="11" t="n"/>
      <c r="F4812" s="11" t="n"/>
      <c r="G4812" s="11" t="n"/>
      <c r="H4812" s="11" t="n"/>
      <c r="I4812" s="11" t="n"/>
      <c r="J4812" s="11" t="n"/>
      <c r="K4812" s="11" t="n"/>
      <c r="L4812" s="11" t="n"/>
      <c r="M4812" s="11" t="n"/>
    </row>
    <row r="4813">
      <c r="A4813" s="11" t="n"/>
      <c r="B4813" s="11" t="n"/>
      <c r="C4813" s="11" t="n"/>
      <c r="D4813" s="11" t="n"/>
      <c r="E4813" s="11" t="n"/>
      <c r="F4813" s="11" t="n"/>
      <c r="G4813" s="11" t="n"/>
      <c r="H4813" s="11" t="n"/>
      <c r="I4813" s="11" t="n"/>
      <c r="J4813" s="11" t="n"/>
      <c r="K4813" s="11" t="n"/>
      <c r="L4813" s="11" t="n"/>
      <c r="M4813" s="11" t="n"/>
    </row>
    <row r="4814">
      <c r="A4814" s="11" t="n"/>
      <c r="B4814" s="11" t="n"/>
      <c r="C4814" s="11" t="n"/>
      <c r="D4814" s="11" t="n"/>
      <c r="E4814" s="11" t="n"/>
      <c r="F4814" s="11" t="n"/>
      <c r="G4814" s="11" t="n"/>
      <c r="H4814" s="11" t="n"/>
      <c r="I4814" s="11" t="n"/>
      <c r="J4814" s="11" t="n"/>
      <c r="K4814" s="11" t="n"/>
      <c r="L4814" s="11" t="n"/>
      <c r="M4814" s="11" t="n"/>
    </row>
    <row r="4815">
      <c r="A4815" s="11" t="n"/>
      <c r="B4815" s="11" t="n"/>
      <c r="C4815" s="11" t="n"/>
      <c r="D4815" s="11" t="n"/>
      <c r="E4815" s="11" t="n"/>
      <c r="F4815" s="11" t="n"/>
      <c r="G4815" s="11" t="n"/>
      <c r="H4815" s="11" t="n"/>
      <c r="I4815" s="11" t="n"/>
      <c r="J4815" s="11" t="n"/>
      <c r="K4815" s="11" t="n"/>
      <c r="L4815" s="11" t="n"/>
      <c r="M4815" s="11" t="n"/>
    </row>
    <row r="4816">
      <c r="A4816" s="11" t="n"/>
      <c r="B4816" s="11" t="n"/>
      <c r="C4816" s="11" t="n"/>
      <c r="D4816" s="11" t="n"/>
      <c r="E4816" s="11" t="n"/>
      <c r="F4816" s="11" t="n"/>
      <c r="G4816" s="11" t="n"/>
      <c r="H4816" s="11" t="n"/>
      <c r="I4816" s="11" t="n"/>
      <c r="J4816" s="11" t="n"/>
      <c r="K4816" s="11" t="n"/>
      <c r="L4816" s="11" t="n"/>
      <c r="M4816" s="11" t="n"/>
    </row>
    <row r="4817">
      <c r="A4817" s="11" t="n"/>
      <c r="B4817" s="11" t="n"/>
      <c r="C4817" s="11" t="n"/>
      <c r="D4817" s="11" t="n"/>
      <c r="E4817" s="11" t="n"/>
      <c r="F4817" s="11" t="n"/>
      <c r="G4817" s="11" t="n"/>
      <c r="H4817" s="11" t="n"/>
      <c r="I4817" s="11" t="n"/>
      <c r="J4817" s="11" t="n"/>
      <c r="K4817" s="11" t="n"/>
      <c r="L4817" s="11" t="n"/>
      <c r="M4817" s="11" t="n"/>
    </row>
    <row r="4818">
      <c r="A4818" s="11" t="n"/>
      <c r="B4818" s="11" t="n"/>
      <c r="C4818" s="11" t="n"/>
      <c r="D4818" s="11" t="n"/>
      <c r="E4818" s="11" t="n"/>
      <c r="F4818" s="11" t="n"/>
      <c r="G4818" s="11" t="n"/>
      <c r="H4818" s="11" t="n"/>
      <c r="I4818" s="11" t="n"/>
      <c r="J4818" s="11" t="n"/>
      <c r="K4818" s="11" t="n"/>
      <c r="L4818" s="11" t="n"/>
      <c r="M4818" s="11" t="n"/>
    </row>
    <row r="4819">
      <c r="A4819" s="11" t="n"/>
      <c r="B4819" s="11" t="n"/>
      <c r="C4819" s="11" t="n"/>
      <c r="D4819" s="11" t="n"/>
      <c r="E4819" s="11" t="n"/>
      <c r="F4819" s="11" t="n"/>
      <c r="G4819" s="11" t="n"/>
      <c r="H4819" s="11" t="n"/>
      <c r="I4819" s="11" t="n"/>
      <c r="J4819" s="11" t="n"/>
      <c r="K4819" s="11" t="n"/>
      <c r="L4819" s="11" t="n"/>
      <c r="M4819" s="11" t="n"/>
    </row>
    <row r="4820">
      <c r="A4820" s="11" t="n"/>
      <c r="B4820" s="11" t="n"/>
      <c r="C4820" s="11" t="n"/>
      <c r="D4820" s="11" t="n"/>
      <c r="E4820" s="11" t="n"/>
      <c r="F4820" s="11" t="n"/>
      <c r="G4820" s="11" t="n"/>
      <c r="H4820" s="11" t="n"/>
      <c r="I4820" s="11" t="n"/>
      <c r="J4820" s="11" t="n"/>
      <c r="K4820" s="11" t="n"/>
      <c r="L4820" s="11" t="n"/>
      <c r="M4820" s="11" t="n"/>
    </row>
    <row r="4821">
      <c r="A4821" s="11" t="n"/>
      <c r="B4821" s="11" t="n"/>
      <c r="C4821" s="11" t="n"/>
      <c r="D4821" s="11" t="n"/>
      <c r="E4821" s="11" t="n"/>
      <c r="F4821" s="11" t="n"/>
      <c r="G4821" s="11" t="n"/>
      <c r="H4821" s="11" t="n"/>
      <c r="I4821" s="11" t="n"/>
      <c r="J4821" s="11" t="n"/>
      <c r="K4821" s="11" t="n"/>
      <c r="L4821" s="11" t="n"/>
      <c r="M4821" s="11" t="n"/>
    </row>
    <row r="4822">
      <c r="A4822" s="11" t="n"/>
      <c r="B4822" s="11" t="n"/>
      <c r="C4822" s="11" t="n"/>
      <c r="D4822" s="11" t="n"/>
      <c r="E4822" s="11" t="n"/>
      <c r="F4822" s="11" t="n"/>
      <c r="G4822" s="11" t="n"/>
      <c r="H4822" s="11" t="n"/>
      <c r="I4822" s="11" t="n"/>
      <c r="J4822" s="11" t="n"/>
      <c r="K4822" s="11" t="n"/>
      <c r="L4822" s="11" t="n"/>
      <c r="M4822" s="11" t="n"/>
    </row>
    <row r="4823">
      <c r="A4823" s="11" t="n"/>
      <c r="B4823" s="11" t="n"/>
      <c r="C4823" s="11" t="n"/>
      <c r="D4823" s="11" t="n"/>
      <c r="E4823" s="11" t="n"/>
      <c r="F4823" s="11" t="n"/>
      <c r="G4823" s="11" t="n"/>
      <c r="H4823" s="11" t="n"/>
      <c r="I4823" s="11" t="n"/>
      <c r="J4823" s="11" t="n"/>
      <c r="K4823" s="11" t="n"/>
      <c r="L4823" s="11" t="n"/>
      <c r="M4823" s="11" t="n"/>
    </row>
    <row r="4824">
      <c r="A4824" s="11" t="n"/>
      <c r="B4824" s="11" t="n"/>
      <c r="C4824" s="11" t="n"/>
      <c r="D4824" s="11" t="n"/>
      <c r="E4824" s="11" t="n"/>
      <c r="F4824" s="11" t="n"/>
      <c r="G4824" s="11" t="n"/>
      <c r="H4824" s="11" t="n"/>
      <c r="I4824" s="11" t="n"/>
      <c r="J4824" s="11" t="n"/>
      <c r="K4824" s="11" t="n"/>
      <c r="L4824" s="11" t="n"/>
      <c r="M4824" s="11" t="n"/>
    </row>
    <row r="4825">
      <c r="A4825" s="11" t="n"/>
      <c r="B4825" s="11" t="n"/>
      <c r="C4825" s="11" t="n"/>
      <c r="D4825" s="11" t="n"/>
      <c r="E4825" s="11" t="n"/>
      <c r="F4825" s="11" t="n"/>
      <c r="G4825" s="11" t="n"/>
      <c r="H4825" s="11" t="n"/>
      <c r="I4825" s="11" t="n"/>
      <c r="J4825" s="11" t="n"/>
      <c r="K4825" s="11" t="n"/>
      <c r="L4825" s="11" t="n"/>
      <c r="M4825" s="11" t="n"/>
    </row>
    <row r="4826">
      <c r="A4826" s="11" t="n"/>
      <c r="B4826" s="11" t="n"/>
      <c r="C4826" s="11" t="n"/>
      <c r="D4826" s="11" t="n"/>
      <c r="E4826" s="11" t="n"/>
      <c r="F4826" s="11" t="n"/>
      <c r="G4826" s="11" t="n"/>
      <c r="H4826" s="11" t="n"/>
      <c r="I4826" s="11" t="n"/>
      <c r="J4826" s="11" t="n"/>
      <c r="K4826" s="11" t="n"/>
      <c r="L4826" s="11" t="n"/>
      <c r="M4826" s="11" t="n"/>
    </row>
    <row r="4827">
      <c r="A4827" s="11" t="n"/>
      <c r="B4827" s="11" t="n"/>
      <c r="C4827" s="11" t="n"/>
      <c r="D4827" s="11" t="n"/>
      <c r="E4827" s="11" t="n"/>
      <c r="F4827" s="11" t="n"/>
      <c r="G4827" s="11" t="n"/>
      <c r="H4827" s="11" t="n"/>
      <c r="I4827" s="11" t="n"/>
      <c r="J4827" s="11" t="n"/>
      <c r="K4827" s="11" t="n"/>
      <c r="L4827" s="11" t="n"/>
      <c r="M4827" s="11" t="n"/>
    </row>
    <row r="4828">
      <c r="A4828" s="11" t="n"/>
      <c r="B4828" s="11" t="n"/>
      <c r="C4828" s="11" t="n"/>
      <c r="D4828" s="11" t="n"/>
      <c r="E4828" s="11" t="n"/>
      <c r="F4828" s="11" t="n"/>
      <c r="G4828" s="11" t="n"/>
      <c r="H4828" s="11" t="n"/>
      <c r="I4828" s="11" t="n"/>
      <c r="J4828" s="11" t="n"/>
      <c r="K4828" s="11" t="n"/>
      <c r="L4828" s="11" t="n"/>
      <c r="M4828" s="11" t="n"/>
    </row>
    <row r="4829">
      <c r="A4829" s="11" t="n"/>
      <c r="B4829" s="11" t="n"/>
      <c r="C4829" s="11" t="n"/>
      <c r="D4829" s="11" t="n"/>
      <c r="E4829" s="11" t="n"/>
      <c r="F4829" s="11" t="n"/>
      <c r="G4829" s="11" t="n"/>
      <c r="H4829" s="11" t="n"/>
      <c r="I4829" s="11" t="n"/>
      <c r="J4829" s="11" t="n"/>
      <c r="K4829" s="11" t="n"/>
      <c r="L4829" s="11" t="n"/>
      <c r="M4829" s="11" t="n"/>
    </row>
    <row r="4830">
      <c r="A4830" s="11" t="n"/>
      <c r="B4830" s="11" t="n"/>
      <c r="C4830" s="11" t="n"/>
      <c r="D4830" s="11" t="n"/>
      <c r="E4830" s="11" t="n"/>
      <c r="F4830" s="11" t="n"/>
      <c r="G4830" s="11" t="n"/>
      <c r="H4830" s="11" t="n"/>
      <c r="I4830" s="11" t="n"/>
      <c r="J4830" s="11" t="n"/>
      <c r="K4830" s="11" t="n"/>
      <c r="L4830" s="11" t="n"/>
      <c r="M4830" s="11" t="n"/>
    </row>
    <row r="4831">
      <c r="A4831" s="11" t="n"/>
      <c r="B4831" s="11" t="n"/>
      <c r="C4831" s="11" t="n"/>
      <c r="D4831" s="11" t="n"/>
      <c r="E4831" s="11" t="n"/>
      <c r="F4831" s="11" t="n"/>
      <c r="G4831" s="11" t="n"/>
      <c r="H4831" s="11" t="n"/>
      <c r="I4831" s="11" t="n"/>
      <c r="J4831" s="11" t="n"/>
      <c r="K4831" s="11" t="n"/>
      <c r="L4831" s="11" t="n"/>
      <c r="M4831" s="11" t="n"/>
    </row>
    <row r="4832">
      <c r="A4832" s="11" t="n"/>
      <c r="B4832" s="11" t="n"/>
      <c r="C4832" s="11" t="n"/>
      <c r="D4832" s="11" t="n"/>
      <c r="E4832" s="11" t="n"/>
      <c r="F4832" s="11" t="n"/>
      <c r="G4832" s="11" t="n"/>
      <c r="H4832" s="11" t="n"/>
      <c r="I4832" s="11" t="n"/>
      <c r="J4832" s="11" t="n"/>
      <c r="K4832" s="11" t="n"/>
      <c r="L4832" s="11" t="n"/>
      <c r="M4832" s="11" t="n"/>
    </row>
    <row r="4833">
      <c r="A4833" s="11" t="n"/>
      <c r="B4833" s="11" t="n"/>
      <c r="C4833" s="11" t="n"/>
      <c r="D4833" s="11" t="n"/>
      <c r="E4833" s="11" t="n"/>
      <c r="F4833" s="11" t="n"/>
      <c r="G4833" s="11" t="n"/>
      <c r="H4833" s="11" t="n"/>
      <c r="I4833" s="11" t="n"/>
      <c r="J4833" s="11" t="n"/>
      <c r="K4833" s="11" t="n"/>
      <c r="L4833" s="11" t="n"/>
      <c r="M4833" s="11" t="n"/>
    </row>
    <row r="4834">
      <c r="A4834" s="11" t="n"/>
      <c r="B4834" s="11" t="n"/>
      <c r="C4834" s="11" t="n"/>
      <c r="D4834" s="11" t="n"/>
      <c r="E4834" s="11" t="n"/>
      <c r="F4834" s="11" t="n"/>
      <c r="G4834" s="11" t="n"/>
      <c r="H4834" s="11" t="n"/>
      <c r="I4834" s="11" t="n"/>
      <c r="J4834" s="11" t="n"/>
      <c r="K4834" s="11" t="n"/>
      <c r="L4834" s="11" t="n"/>
      <c r="M4834" s="11" t="n"/>
    </row>
    <row r="4835">
      <c r="A4835" s="11" t="n"/>
      <c r="B4835" s="11" t="n"/>
      <c r="C4835" s="11" t="n"/>
      <c r="D4835" s="11" t="n"/>
      <c r="E4835" s="11" t="n"/>
      <c r="F4835" s="11" t="n"/>
      <c r="G4835" s="11" t="n"/>
      <c r="H4835" s="11" t="n"/>
      <c r="I4835" s="11" t="n"/>
      <c r="J4835" s="11" t="n"/>
      <c r="K4835" s="11" t="n"/>
      <c r="L4835" s="11" t="n"/>
      <c r="M4835" s="11" t="n"/>
    </row>
    <row r="4836">
      <c r="A4836" s="11" t="n"/>
      <c r="B4836" s="11" t="n"/>
      <c r="C4836" s="11" t="n"/>
      <c r="D4836" s="11" t="n"/>
      <c r="E4836" s="11" t="n"/>
      <c r="F4836" s="11" t="n"/>
      <c r="G4836" s="11" t="n"/>
      <c r="H4836" s="11" t="n"/>
      <c r="I4836" s="11" t="n"/>
      <c r="J4836" s="11" t="n"/>
      <c r="K4836" s="11" t="n"/>
      <c r="L4836" s="11" t="n"/>
      <c r="M4836" s="11" t="n"/>
    </row>
    <row r="4837">
      <c r="A4837" s="11" t="n"/>
      <c r="B4837" s="11" t="n"/>
      <c r="C4837" s="11" t="n"/>
      <c r="D4837" s="11" t="n"/>
      <c r="E4837" s="11" t="n"/>
      <c r="F4837" s="11" t="n"/>
      <c r="G4837" s="11" t="n"/>
      <c r="H4837" s="11" t="n"/>
      <c r="I4837" s="11" t="n"/>
      <c r="J4837" s="11" t="n"/>
      <c r="K4837" s="11" t="n"/>
      <c r="L4837" s="11" t="n"/>
      <c r="M4837" s="11" t="n"/>
    </row>
    <row r="4838">
      <c r="A4838" s="11" t="n"/>
      <c r="B4838" s="11" t="n"/>
      <c r="C4838" s="11" t="n"/>
      <c r="D4838" s="11" t="n"/>
      <c r="E4838" s="11" t="n"/>
      <c r="F4838" s="11" t="n"/>
      <c r="G4838" s="11" t="n"/>
      <c r="H4838" s="11" t="n"/>
      <c r="I4838" s="11" t="n"/>
      <c r="J4838" s="11" t="n"/>
      <c r="K4838" s="11" t="n"/>
      <c r="L4838" s="11" t="n"/>
      <c r="M4838" s="11" t="n"/>
    </row>
    <row r="4839">
      <c r="A4839" s="11" t="n"/>
      <c r="B4839" s="11" t="n"/>
      <c r="C4839" s="11" t="n"/>
      <c r="D4839" s="11" t="n"/>
      <c r="E4839" s="11" t="n"/>
      <c r="F4839" s="11" t="n"/>
      <c r="G4839" s="11" t="n"/>
      <c r="H4839" s="11" t="n"/>
      <c r="I4839" s="11" t="n"/>
      <c r="J4839" s="11" t="n"/>
      <c r="K4839" s="11" t="n"/>
      <c r="L4839" s="11" t="n"/>
      <c r="M4839" s="11" t="n"/>
    </row>
    <row r="4840">
      <c r="A4840" s="11" t="n"/>
      <c r="B4840" s="11" t="n"/>
      <c r="C4840" s="11" t="n"/>
      <c r="D4840" s="11" t="n"/>
      <c r="E4840" s="11" t="n"/>
      <c r="F4840" s="11" t="n"/>
      <c r="G4840" s="11" t="n"/>
      <c r="H4840" s="11" t="n"/>
      <c r="I4840" s="11" t="n"/>
      <c r="J4840" s="11" t="n"/>
      <c r="K4840" s="11" t="n"/>
      <c r="L4840" s="11" t="n"/>
      <c r="M4840" s="11" t="n"/>
    </row>
    <row r="4841">
      <c r="A4841" s="11" t="n"/>
      <c r="B4841" s="11" t="n"/>
      <c r="C4841" s="11" t="n"/>
      <c r="D4841" s="11" t="n"/>
      <c r="E4841" s="11" t="n"/>
      <c r="F4841" s="11" t="n"/>
      <c r="G4841" s="11" t="n"/>
      <c r="H4841" s="11" t="n"/>
      <c r="I4841" s="11" t="n"/>
      <c r="J4841" s="11" t="n"/>
      <c r="K4841" s="11" t="n"/>
      <c r="L4841" s="11" t="n"/>
      <c r="M4841" s="11" t="n"/>
    </row>
    <row r="4842">
      <c r="A4842" s="11" t="n"/>
      <c r="B4842" s="11" t="n"/>
      <c r="C4842" s="11" t="n"/>
      <c r="D4842" s="11" t="n"/>
      <c r="E4842" s="11" t="n"/>
      <c r="F4842" s="11" t="n"/>
      <c r="G4842" s="11" t="n"/>
      <c r="H4842" s="11" t="n"/>
      <c r="I4842" s="11" t="n"/>
      <c r="J4842" s="11" t="n"/>
      <c r="K4842" s="11" t="n"/>
      <c r="L4842" s="11" t="n"/>
      <c r="M4842" s="11" t="n"/>
    </row>
    <row r="4843">
      <c r="A4843" s="11" t="n"/>
      <c r="B4843" s="11" t="n"/>
      <c r="C4843" s="11" t="n"/>
      <c r="D4843" s="11" t="n"/>
      <c r="E4843" s="11" t="n"/>
      <c r="F4843" s="11" t="n"/>
      <c r="G4843" s="11" t="n"/>
      <c r="H4843" s="11" t="n"/>
      <c r="I4843" s="11" t="n"/>
      <c r="J4843" s="11" t="n"/>
      <c r="K4843" s="11" t="n"/>
      <c r="L4843" s="11" t="n"/>
      <c r="M4843" s="11" t="n"/>
    </row>
    <row r="4844">
      <c r="A4844" s="11" t="n"/>
      <c r="B4844" s="11" t="n"/>
      <c r="C4844" s="11" t="n"/>
      <c r="D4844" s="11" t="n"/>
      <c r="E4844" s="11" t="n"/>
      <c r="F4844" s="11" t="n"/>
      <c r="G4844" s="11" t="n"/>
      <c r="H4844" s="11" t="n"/>
      <c r="I4844" s="11" t="n"/>
      <c r="J4844" s="11" t="n"/>
      <c r="K4844" s="11" t="n"/>
      <c r="L4844" s="11" t="n"/>
      <c r="M4844" s="11" t="n"/>
    </row>
    <row r="4845">
      <c r="A4845" s="11" t="n"/>
      <c r="B4845" s="11" t="n"/>
      <c r="C4845" s="11" t="n"/>
      <c r="D4845" s="11" t="n"/>
      <c r="E4845" s="11" t="n"/>
      <c r="F4845" s="11" t="n"/>
      <c r="G4845" s="11" t="n"/>
      <c r="H4845" s="11" t="n"/>
      <c r="I4845" s="11" t="n"/>
      <c r="J4845" s="11" t="n"/>
      <c r="K4845" s="11" t="n"/>
      <c r="L4845" s="11" t="n"/>
      <c r="M4845" s="11" t="n"/>
    </row>
    <row r="4846">
      <c r="A4846" s="11" t="n"/>
      <c r="B4846" s="11" t="n"/>
      <c r="C4846" s="11" t="n"/>
      <c r="D4846" s="11" t="n"/>
      <c r="E4846" s="11" t="n"/>
      <c r="F4846" s="11" t="n"/>
      <c r="G4846" s="11" t="n"/>
      <c r="H4846" s="11" t="n"/>
      <c r="I4846" s="11" t="n"/>
      <c r="J4846" s="11" t="n"/>
      <c r="K4846" s="11" t="n"/>
      <c r="L4846" s="11" t="n"/>
      <c r="M4846" s="11" t="n"/>
    </row>
    <row r="4847">
      <c r="A4847" s="11" t="n"/>
      <c r="B4847" s="11" t="n"/>
      <c r="C4847" s="11" t="n"/>
      <c r="D4847" s="11" t="n"/>
      <c r="E4847" s="11" t="n"/>
      <c r="F4847" s="11" t="n"/>
      <c r="G4847" s="11" t="n"/>
      <c r="H4847" s="11" t="n"/>
      <c r="I4847" s="11" t="n"/>
      <c r="J4847" s="11" t="n"/>
      <c r="K4847" s="11" t="n"/>
      <c r="L4847" s="11" t="n"/>
      <c r="M4847" s="11" t="n"/>
    </row>
    <row r="4848">
      <c r="A4848" s="11" t="n"/>
      <c r="B4848" s="11" t="n"/>
      <c r="C4848" s="11" t="n"/>
      <c r="D4848" s="11" t="n"/>
      <c r="E4848" s="11" t="n"/>
      <c r="F4848" s="11" t="n"/>
      <c r="G4848" s="11" t="n"/>
      <c r="H4848" s="11" t="n"/>
      <c r="I4848" s="11" t="n"/>
      <c r="J4848" s="11" t="n"/>
      <c r="K4848" s="11" t="n"/>
      <c r="L4848" s="11" t="n"/>
      <c r="M4848" s="11" t="n"/>
    </row>
    <row r="4849">
      <c r="A4849" s="11" t="n"/>
      <c r="B4849" s="11" t="n"/>
      <c r="C4849" s="11" t="n"/>
      <c r="D4849" s="11" t="n"/>
      <c r="E4849" s="11" t="n"/>
      <c r="F4849" s="11" t="n"/>
      <c r="G4849" s="11" t="n"/>
      <c r="H4849" s="11" t="n"/>
      <c r="I4849" s="11" t="n"/>
      <c r="J4849" s="11" t="n"/>
      <c r="K4849" s="11" t="n"/>
      <c r="L4849" s="11" t="n"/>
      <c r="M4849" s="11" t="n"/>
    </row>
    <row r="4850">
      <c r="A4850" s="11" t="n"/>
      <c r="B4850" s="11" t="n"/>
      <c r="C4850" s="11" t="n"/>
      <c r="D4850" s="11" t="n"/>
      <c r="E4850" s="11" t="n"/>
      <c r="F4850" s="11" t="n"/>
      <c r="G4850" s="11" t="n"/>
      <c r="H4850" s="11" t="n"/>
      <c r="I4850" s="11" t="n"/>
      <c r="J4850" s="11" t="n"/>
      <c r="K4850" s="11" t="n"/>
      <c r="L4850" s="11" t="n"/>
      <c r="M4850" s="11" t="n"/>
    </row>
    <row r="4851">
      <c r="A4851" s="11" t="n"/>
      <c r="B4851" s="11" t="n"/>
      <c r="C4851" s="11" t="n"/>
      <c r="D4851" s="11" t="n"/>
      <c r="E4851" s="11" t="n"/>
      <c r="F4851" s="11" t="n"/>
      <c r="G4851" s="11" t="n"/>
      <c r="H4851" s="11" t="n"/>
      <c r="I4851" s="11" t="n"/>
      <c r="J4851" s="11" t="n"/>
      <c r="K4851" s="11" t="n"/>
      <c r="L4851" s="11" t="n"/>
      <c r="M4851" s="11" t="n"/>
    </row>
    <row r="4852">
      <c r="A4852" s="11" t="n"/>
      <c r="B4852" s="11" t="n"/>
      <c r="C4852" s="11" t="n"/>
      <c r="D4852" s="11" t="n"/>
      <c r="E4852" s="11" t="n"/>
      <c r="F4852" s="11" t="n"/>
      <c r="G4852" s="11" t="n"/>
      <c r="H4852" s="11" t="n"/>
      <c r="I4852" s="11" t="n"/>
      <c r="J4852" s="11" t="n"/>
      <c r="K4852" s="11" t="n"/>
      <c r="L4852" s="11" t="n"/>
      <c r="M4852" s="11" t="n"/>
    </row>
    <row r="4853">
      <c r="A4853" s="11" t="n"/>
      <c r="B4853" s="11" t="n"/>
      <c r="C4853" s="11" t="n"/>
      <c r="D4853" s="11" t="n"/>
      <c r="E4853" s="11" t="n"/>
      <c r="F4853" s="11" t="n"/>
      <c r="G4853" s="11" t="n"/>
      <c r="H4853" s="11" t="n"/>
      <c r="I4853" s="11" t="n"/>
      <c r="J4853" s="11" t="n"/>
      <c r="K4853" s="11" t="n"/>
      <c r="L4853" s="11" t="n"/>
      <c r="M4853" s="11" t="n"/>
    </row>
    <row r="4854">
      <c r="A4854" s="11" t="n"/>
      <c r="B4854" s="11" t="n"/>
      <c r="C4854" s="11" t="n"/>
      <c r="D4854" s="11" t="n"/>
      <c r="E4854" s="11" t="n"/>
      <c r="F4854" s="11" t="n"/>
      <c r="G4854" s="11" t="n"/>
      <c r="H4854" s="11" t="n"/>
      <c r="I4854" s="11" t="n"/>
      <c r="J4854" s="11" t="n"/>
      <c r="K4854" s="11" t="n"/>
      <c r="L4854" s="11" t="n"/>
      <c r="M4854" s="11" t="n"/>
    </row>
    <row r="4855">
      <c r="A4855" s="11" t="n"/>
      <c r="B4855" s="11" t="n"/>
      <c r="C4855" s="11" t="n"/>
      <c r="D4855" s="11" t="n"/>
      <c r="E4855" s="11" t="n"/>
      <c r="F4855" s="11" t="n"/>
      <c r="G4855" s="11" t="n"/>
      <c r="H4855" s="11" t="n"/>
      <c r="I4855" s="11" t="n"/>
      <c r="J4855" s="11" t="n"/>
      <c r="K4855" s="11" t="n"/>
      <c r="L4855" s="11" t="n"/>
      <c r="M4855" s="11" t="n"/>
    </row>
    <row r="4856">
      <c r="A4856" s="11" t="n"/>
      <c r="B4856" s="11" t="n"/>
      <c r="C4856" s="11" t="n"/>
      <c r="D4856" s="11" t="n"/>
      <c r="E4856" s="11" t="n"/>
      <c r="F4856" s="11" t="n"/>
      <c r="G4856" s="11" t="n"/>
      <c r="H4856" s="11" t="n"/>
      <c r="I4856" s="11" t="n"/>
      <c r="J4856" s="11" t="n"/>
      <c r="K4856" s="11" t="n"/>
      <c r="L4856" s="11" t="n"/>
      <c r="M4856" s="11" t="n"/>
    </row>
    <row r="4857">
      <c r="A4857" s="11" t="n"/>
      <c r="B4857" s="11" t="n"/>
      <c r="C4857" s="11" t="n"/>
      <c r="D4857" s="11" t="n"/>
      <c r="E4857" s="11" t="n"/>
      <c r="F4857" s="11" t="n"/>
      <c r="G4857" s="11" t="n"/>
      <c r="H4857" s="11" t="n"/>
      <c r="I4857" s="11" t="n"/>
      <c r="J4857" s="11" t="n"/>
      <c r="K4857" s="11" t="n"/>
      <c r="L4857" s="11" t="n"/>
      <c r="M4857" s="11" t="n"/>
    </row>
    <row r="4858">
      <c r="A4858" s="11" t="n"/>
      <c r="B4858" s="11" t="n"/>
      <c r="C4858" s="11" t="n"/>
      <c r="D4858" s="11" t="n"/>
      <c r="E4858" s="11" t="n"/>
      <c r="F4858" s="11" t="n"/>
      <c r="G4858" s="11" t="n"/>
      <c r="H4858" s="11" t="n"/>
      <c r="I4858" s="11" t="n"/>
      <c r="J4858" s="11" t="n"/>
      <c r="K4858" s="11" t="n"/>
      <c r="L4858" s="11" t="n"/>
      <c r="M4858" s="11" t="n"/>
    </row>
    <row r="4859">
      <c r="A4859" s="11" t="n"/>
      <c r="B4859" s="11" t="n"/>
      <c r="C4859" s="11" t="n"/>
      <c r="D4859" s="11" t="n"/>
      <c r="E4859" s="11" t="n"/>
      <c r="F4859" s="11" t="n"/>
      <c r="G4859" s="11" t="n"/>
      <c r="H4859" s="11" t="n"/>
      <c r="I4859" s="11" t="n"/>
      <c r="J4859" s="11" t="n"/>
      <c r="K4859" s="11" t="n"/>
      <c r="L4859" s="11" t="n"/>
      <c r="M4859" s="11" t="n"/>
    </row>
    <row r="4860">
      <c r="A4860" s="11" t="n"/>
      <c r="B4860" s="11" t="n"/>
      <c r="C4860" s="11" t="n"/>
      <c r="D4860" s="11" t="n"/>
      <c r="E4860" s="11" t="n"/>
      <c r="F4860" s="11" t="n"/>
      <c r="G4860" s="11" t="n"/>
      <c r="H4860" s="11" t="n"/>
      <c r="I4860" s="11" t="n"/>
      <c r="J4860" s="11" t="n"/>
      <c r="K4860" s="11" t="n"/>
      <c r="L4860" s="11" t="n"/>
      <c r="M4860" s="11" t="n"/>
    </row>
    <row r="4861">
      <c r="A4861" s="11" t="n"/>
      <c r="B4861" s="11" t="n"/>
      <c r="C4861" s="11" t="n"/>
      <c r="D4861" s="11" t="n"/>
      <c r="E4861" s="11" t="n"/>
      <c r="F4861" s="11" t="n"/>
      <c r="G4861" s="11" t="n"/>
      <c r="H4861" s="11" t="n"/>
      <c r="I4861" s="11" t="n"/>
      <c r="J4861" s="11" t="n"/>
      <c r="K4861" s="11" t="n"/>
      <c r="L4861" s="11" t="n"/>
      <c r="M4861" s="11" t="n"/>
    </row>
    <row r="4862">
      <c r="A4862" s="11" t="n"/>
      <c r="B4862" s="11" t="n"/>
      <c r="C4862" s="11" t="n"/>
      <c r="D4862" s="11" t="n"/>
      <c r="E4862" s="11" t="n"/>
      <c r="F4862" s="11" t="n"/>
      <c r="G4862" s="11" t="n"/>
      <c r="H4862" s="11" t="n"/>
      <c r="I4862" s="11" t="n"/>
      <c r="J4862" s="11" t="n"/>
      <c r="K4862" s="11" t="n"/>
      <c r="L4862" s="11" t="n"/>
      <c r="M4862" s="11" t="n"/>
    </row>
    <row r="4863">
      <c r="A4863" s="11" t="n"/>
      <c r="B4863" s="11" t="n"/>
      <c r="C4863" s="11" t="n"/>
      <c r="D4863" s="11" t="n"/>
      <c r="E4863" s="11" t="n"/>
      <c r="F4863" s="11" t="n"/>
      <c r="G4863" s="11" t="n"/>
      <c r="H4863" s="11" t="n"/>
      <c r="I4863" s="11" t="n"/>
      <c r="J4863" s="11" t="n"/>
      <c r="K4863" s="11" t="n"/>
      <c r="L4863" s="11" t="n"/>
      <c r="M4863" s="11" t="n"/>
    </row>
    <row r="4864">
      <c r="A4864" s="11" t="n"/>
      <c r="B4864" s="11" t="n"/>
      <c r="C4864" s="11" t="n"/>
      <c r="D4864" s="11" t="n"/>
      <c r="E4864" s="11" t="n"/>
      <c r="F4864" s="11" t="n"/>
      <c r="G4864" s="11" t="n"/>
      <c r="H4864" s="11" t="n"/>
      <c r="I4864" s="11" t="n"/>
      <c r="J4864" s="11" t="n"/>
      <c r="K4864" s="11" t="n"/>
      <c r="L4864" s="11" t="n"/>
      <c r="M4864" s="11" t="n"/>
    </row>
    <row r="4865">
      <c r="A4865" s="11" t="n"/>
      <c r="B4865" s="11" t="n"/>
      <c r="C4865" s="11" t="n"/>
      <c r="D4865" s="11" t="n"/>
      <c r="E4865" s="11" t="n"/>
      <c r="F4865" s="11" t="n"/>
      <c r="G4865" s="11" t="n"/>
      <c r="H4865" s="11" t="n"/>
      <c r="I4865" s="11" t="n"/>
      <c r="J4865" s="11" t="n"/>
      <c r="K4865" s="11" t="n"/>
      <c r="L4865" s="11" t="n"/>
      <c r="M4865" s="11" t="n"/>
    </row>
    <row r="4866">
      <c r="A4866" s="11" t="n"/>
      <c r="B4866" s="11" t="n"/>
      <c r="C4866" s="11" t="n"/>
      <c r="D4866" s="11" t="n"/>
      <c r="E4866" s="11" t="n"/>
      <c r="F4866" s="11" t="n"/>
      <c r="G4866" s="11" t="n"/>
      <c r="H4866" s="11" t="n"/>
      <c r="I4866" s="11" t="n"/>
      <c r="J4866" s="11" t="n"/>
      <c r="K4866" s="11" t="n"/>
      <c r="L4866" s="11" t="n"/>
      <c r="M4866" s="11" t="n"/>
    </row>
    <row r="4867">
      <c r="A4867" s="11" t="n"/>
      <c r="B4867" s="11" t="n"/>
      <c r="C4867" s="11" t="n"/>
      <c r="D4867" s="11" t="n"/>
      <c r="E4867" s="11" t="n"/>
      <c r="F4867" s="11" t="n"/>
      <c r="G4867" s="11" t="n"/>
      <c r="H4867" s="11" t="n"/>
      <c r="I4867" s="11" t="n"/>
      <c r="J4867" s="11" t="n"/>
      <c r="K4867" s="11" t="n"/>
      <c r="L4867" s="11" t="n"/>
      <c r="M4867" s="11" t="n"/>
    </row>
    <row r="4868">
      <c r="A4868" s="11" t="n"/>
      <c r="B4868" s="11" t="n"/>
      <c r="C4868" s="11" t="n"/>
      <c r="D4868" s="11" t="n"/>
      <c r="E4868" s="11" t="n"/>
      <c r="F4868" s="11" t="n"/>
      <c r="G4868" s="11" t="n"/>
      <c r="H4868" s="11" t="n"/>
      <c r="I4868" s="11" t="n"/>
      <c r="J4868" s="11" t="n"/>
      <c r="K4868" s="11" t="n"/>
      <c r="L4868" s="11" t="n"/>
      <c r="M4868" s="11" t="n"/>
    </row>
    <row r="4869">
      <c r="A4869" s="11" t="n"/>
      <c r="B4869" s="11" t="n"/>
      <c r="C4869" s="11" t="n"/>
      <c r="D4869" s="11" t="n"/>
      <c r="E4869" s="11" t="n"/>
      <c r="F4869" s="11" t="n"/>
      <c r="G4869" s="11" t="n"/>
      <c r="H4869" s="11" t="n"/>
      <c r="I4869" s="11" t="n"/>
      <c r="J4869" s="11" t="n"/>
      <c r="K4869" s="11" t="n"/>
      <c r="L4869" s="11" t="n"/>
      <c r="M4869" s="11" t="n"/>
    </row>
    <row r="4870">
      <c r="A4870" s="11" t="n"/>
      <c r="B4870" s="11" t="n"/>
      <c r="C4870" s="11" t="n"/>
      <c r="D4870" s="11" t="n"/>
      <c r="E4870" s="11" t="n"/>
      <c r="F4870" s="11" t="n"/>
      <c r="G4870" s="11" t="n"/>
      <c r="H4870" s="11" t="n"/>
      <c r="I4870" s="11" t="n"/>
      <c r="J4870" s="11" t="n"/>
      <c r="K4870" s="11" t="n"/>
      <c r="L4870" s="11" t="n"/>
      <c r="M4870" s="11" t="n"/>
    </row>
    <row r="4871">
      <c r="A4871" s="11" t="n"/>
      <c r="B4871" s="11" t="n"/>
      <c r="C4871" s="11" t="n"/>
      <c r="D4871" s="11" t="n"/>
      <c r="E4871" s="11" t="n"/>
      <c r="F4871" s="11" t="n"/>
      <c r="G4871" s="11" t="n"/>
      <c r="H4871" s="11" t="n"/>
      <c r="I4871" s="11" t="n"/>
      <c r="J4871" s="11" t="n"/>
      <c r="K4871" s="11" t="n"/>
      <c r="L4871" s="11" t="n"/>
      <c r="M4871" s="11" t="n"/>
    </row>
    <row r="4872">
      <c r="A4872" s="11" t="n"/>
      <c r="B4872" s="11" t="n"/>
      <c r="C4872" s="11" t="n"/>
      <c r="D4872" s="11" t="n"/>
      <c r="E4872" s="11" t="n"/>
      <c r="F4872" s="11" t="n"/>
      <c r="G4872" s="11" t="n"/>
      <c r="H4872" s="11" t="n"/>
      <c r="I4872" s="11" t="n"/>
      <c r="J4872" s="11" t="n"/>
      <c r="K4872" s="11" t="n"/>
      <c r="L4872" s="11" t="n"/>
      <c r="M4872" s="11" t="n"/>
    </row>
    <row r="4873">
      <c r="A4873" s="11" t="n"/>
      <c r="B4873" s="11" t="n"/>
      <c r="C4873" s="11" t="n"/>
      <c r="D4873" s="11" t="n"/>
      <c r="E4873" s="11" t="n"/>
      <c r="F4873" s="11" t="n"/>
      <c r="G4873" s="11" t="n"/>
      <c r="H4873" s="11" t="n"/>
      <c r="I4873" s="11" t="n"/>
      <c r="J4873" s="11" t="n"/>
      <c r="K4873" s="11" t="n"/>
      <c r="L4873" s="11" t="n"/>
      <c r="M4873" s="11" t="n"/>
    </row>
    <row r="4874">
      <c r="A4874" s="11" t="n"/>
      <c r="B4874" s="11" t="n"/>
      <c r="C4874" s="11" t="n"/>
      <c r="D4874" s="11" t="n"/>
      <c r="E4874" s="11" t="n"/>
      <c r="F4874" s="11" t="n"/>
      <c r="G4874" s="11" t="n"/>
      <c r="H4874" s="11" t="n"/>
      <c r="I4874" s="11" t="n"/>
      <c r="J4874" s="11" t="n"/>
      <c r="K4874" s="11" t="n"/>
      <c r="L4874" s="11" t="n"/>
      <c r="M4874" s="11" t="n"/>
    </row>
    <row r="4875">
      <c r="A4875" s="11" t="n"/>
      <c r="B4875" s="11" t="n"/>
      <c r="C4875" s="11" t="n"/>
      <c r="D4875" s="11" t="n"/>
      <c r="E4875" s="11" t="n"/>
      <c r="F4875" s="11" t="n"/>
      <c r="G4875" s="11" t="n"/>
      <c r="H4875" s="11" t="n"/>
      <c r="I4875" s="11" t="n"/>
      <c r="J4875" s="11" t="n"/>
      <c r="K4875" s="11" t="n"/>
      <c r="L4875" s="11" t="n"/>
      <c r="M4875" s="11" t="n"/>
    </row>
    <row r="4876">
      <c r="A4876" s="11" t="n"/>
      <c r="B4876" s="11" t="n"/>
      <c r="C4876" s="11" t="n"/>
      <c r="D4876" s="11" t="n"/>
      <c r="E4876" s="11" t="n"/>
      <c r="F4876" s="11" t="n"/>
      <c r="G4876" s="11" t="n"/>
      <c r="H4876" s="11" t="n"/>
      <c r="I4876" s="11" t="n"/>
      <c r="J4876" s="11" t="n"/>
      <c r="K4876" s="11" t="n"/>
      <c r="L4876" s="11" t="n"/>
      <c r="M4876" s="11" t="n"/>
    </row>
    <row r="4877">
      <c r="A4877" s="11" t="n"/>
      <c r="B4877" s="11" t="n"/>
      <c r="C4877" s="11" t="n"/>
      <c r="D4877" s="11" t="n"/>
      <c r="E4877" s="11" t="n"/>
      <c r="F4877" s="11" t="n"/>
      <c r="G4877" s="11" t="n"/>
      <c r="H4877" s="11" t="n"/>
      <c r="I4877" s="11" t="n"/>
      <c r="J4877" s="11" t="n"/>
      <c r="K4877" s="11" t="n"/>
      <c r="L4877" s="11" t="n"/>
      <c r="M4877" s="11" t="n"/>
    </row>
    <row r="4878">
      <c r="A4878" s="11" t="n"/>
      <c r="B4878" s="11" t="n"/>
      <c r="C4878" s="11" t="n"/>
      <c r="D4878" s="11" t="n"/>
      <c r="E4878" s="11" t="n"/>
      <c r="F4878" s="11" t="n"/>
      <c r="G4878" s="11" t="n"/>
      <c r="H4878" s="11" t="n"/>
      <c r="I4878" s="11" t="n"/>
      <c r="J4878" s="11" t="n"/>
      <c r="K4878" s="11" t="n"/>
      <c r="L4878" s="11" t="n"/>
      <c r="M4878" s="11" t="n"/>
    </row>
    <row r="4879">
      <c r="A4879" s="11" t="n"/>
      <c r="B4879" s="11" t="n"/>
      <c r="C4879" s="11" t="n"/>
      <c r="D4879" s="11" t="n"/>
      <c r="E4879" s="11" t="n"/>
      <c r="F4879" s="11" t="n"/>
      <c r="G4879" s="11" t="n"/>
      <c r="H4879" s="11" t="n"/>
      <c r="I4879" s="11" t="n"/>
      <c r="J4879" s="11" t="n"/>
      <c r="K4879" s="11" t="n"/>
      <c r="L4879" s="11" t="n"/>
      <c r="M4879" s="11" t="n"/>
    </row>
    <row r="4880">
      <c r="A4880" s="11" t="n"/>
      <c r="B4880" s="11" t="n"/>
      <c r="C4880" s="11" t="n"/>
      <c r="D4880" s="11" t="n"/>
      <c r="E4880" s="11" t="n"/>
      <c r="F4880" s="11" t="n"/>
      <c r="G4880" s="11" t="n"/>
      <c r="H4880" s="11" t="n"/>
      <c r="I4880" s="11" t="n"/>
      <c r="J4880" s="11" t="n"/>
      <c r="K4880" s="11" t="n"/>
      <c r="L4880" s="11" t="n"/>
      <c r="M4880" s="11" t="n"/>
    </row>
    <row r="4881">
      <c r="A4881" s="11" t="n"/>
      <c r="B4881" s="11" t="n"/>
      <c r="C4881" s="11" t="n"/>
      <c r="D4881" s="11" t="n"/>
      <c r="E4881" s="11" t="n"/>
      <c r="F4881" s="11" t="n"/>
      <c r="G4881" s="11" t="n"/>
      <c r="H4881" s="11" t="n"/>
      <c r="I4881" s="11" t="n"/>
      <c r="J4881" s="11" t="n"/>
      <c r="K4881" s="11" t="n"/>
      <c r="L4881" s="11" t="n"/>
      <c r="M4881" s="11" t="n"/>
    </row>
    <row r="4882">
      <c r="A4882" s="11" t="n"/>
      <c r="B4882" s="11" t="n"/>
      <c r="C4882" s="11" t="n"/>
      <c r="D4882" s="11" t="n"/>
      <c r="E4882" s="11" t="n"/>
      <c r="F4882" s="11" t="n"/>
      <c r="G4882" s="11" t="n"/>
      <c r="H4882" s="11" t="n"/>
      <c r="I4882" s="11" t="n"/>
      <c r="J4882" s="11" t="n"/>
      <c r="K4882" s="11" t="n"/>
      <c r="L4882" s="11" t="n"/>
      <c r="M4882" s="11" t="n"/>
    </row>
    <row r="4883">
      <c r="A4883" s="11" t="n"/>
      <c r="B4883" s="11" t="n"/>
      <c r="C4883" s="11" t="n"/>
      <c r="D4883" s="11" t="n"/>
      <c r="E4883" s="11" t="n"/>
      <c r="F4883" s="11" t="n"/>
      <c r="G4883" s="11" t="n"/>
      <c r="H4883" s="11" t="n"/>
      <c r="I4883" s="11" t="n"/>
      <c r="J4883" s="11" t="n"/>
      <c r="K4883" s="11" t="n"/>
      <c r="L4883" s="11" t="n"/>
      <c r="M4883" s="11" t="n"/>
    </row>
    <row r="4884">
      <c r="A4884" s="11" t="n"/>
      <c r="B4884" s="11" t="n"/>
      <c r="C4884" s="11" t="n"/>
      <c r="D4884" s="11" t="n"/>
      <c r="E4884" s="11" t="n"/>
      <c r="F4884" s="11" t="n"/>
      <c r="G4884" s="11" t="n"/>
      <c r="H4884" s="11" t="n"/>
      <c r="I4884" s="11" t="n"/>
      <c r="J4884" s="11" t="n"/>
      <c r="K4884" s="11" t="n"/>
      <c r="L4884" s="11" t="n"/>
      <c r="M4884" s="11" t="n"/>
    </row>
    <row r="4885">
      <c r="A4885" s="11" t="n"/>
      <c r="B4885" s="11" t="n"/>
      <c r="C4885" s="11" t="n"/>
      <c r="D4885" s="11" t="n"/>
      <c r="E4885" s="11" t="n"/>
      <c r="F4885" s="11" t="n"/>
      <c r="G4885" s="11" t="n"/>
      <c r="H4885" s="11" t="n"/>
      <c r="I4885" s="11" t="n"/>
      <c r="J4885" s="11" t="n"/>
      <c r="K4885" s="11" t="n"/>
      <c r="L4885" s="11" t="n"/>
      <c r="M4885" s="11" t="n"/>
    </row>
    <row r="4886">
      <c r="A4886" s="11" t="n"/>
      <c r="B4886" s="11" t="n"/>
      <c r="C4886" s="11" t="n"/>
      <c r="D4886" s="11" t="n"/>
      <c r="E4886" s="11" t="n"/>
      <c r="F4886" s="11" t="n"/>
      <c r="G4886" s="11" t="n"/>
      <c r="H4886" s="11" t="n"/>
      <c r="I4886" s="11" t="n"/>
      <c r="J4886" s="11" t="n"/>
      <c r="K4886" s="11" t="n"/>
      <c r="L4886" s="11" t="n"/>
      <c r="M4886" s="11" t="n"/>
    </row>
    <row r="4887">
      <c r="A4887" s="11" t="n"/>
      <c r="B4887" s="11" t="n"/>
      <c r="C4887" s="11" t="n"/>
      <c r="D4887" s="11" t="n"/>
      <c r="E4887" s="11" t="n"/>
      <c r="F4887" s="11" t="n"/>
      <c r="G4887" s="11" t="n"/>
      <c r="H4887" s="11" t="n"/>
      <c r="I4887" s="11" t="n"/>
      <c r="J4887" s="11" t="n"/>
      <c r="K4887" s="11" t="n"/>
      <c r="L4887" s="11" t="n"/>
      <c r="M4887" s="11" t="n"/>
    </row>
    <row r="4888">
      <c r="A4888" s="11" t="n"/>
      <c r="B4888" s="11" t="n"/>
      <c r="C4888" s="11" t="n"/>
      <c r="D4888" s="11" t="n"/>
      <c r="E4888" s="11" t="n"/>
      <c r="F4888" s="11" t="n"/>
      <c r="G4888" s="11" t="n"/>
      <c r="H4888" s="11" t="n"/>
      <c r="I4888" s="11" t="n"/>
      <c r="J4888" s="11" t="n"/>
      <c r="K4888" s="11" t="n"/>
      <c r="L4888" s="11" t="n"/>
      <c r="M4888" s="11" t="n"/>
    </row>
    <row r="4889">
      <c r="A4889" s="11" t="n"/>
      <c r="B4889" s="11" t="n"/>
      <c r="C4889" s="11" t="n"/>
      <c r="D4889" s="11" t="n"/>
      <c r="E4889" s="11" t="n"/>
      <c r="F4889" s="11" t="n"/>
      <c r="G4889" s="11" t="n"/>
      <c r="H4889" s="11" t="n"/>
      <c r="I4889" s="11" t="n"/>
      <c r="J4889" s="11" t="n"/>
      <c r="K4889" s="11" t="n"/>
      <c r="L4889" s="11" t="n"/>
      <c r="M4889" s="11" t="n"/>
    </row>
    <row r="4890">
      <c r="A4890" s="11" t="n"/>
      <c r="B4890" s="11" t="n"/>
      <c r="C4890" s="11" t="n"/>
      <c r="D4890" s="11" t="n"/>
      <c r="E4890" s="11" t="n"/>
      <c r="F4890" s="11" t="n"/>
      <c r="G4890" s="11" t="n"/>
      <c r="H4890" s="11" t="n"/>
      <c r="I4890" s="11" t="n"/>
      <c r="J4890" s="11" t="n"/>
      <c r="K4890" s="11" t="n"/>
      <c r="L4890" s="11" t="n"/>
      <c r="M4890" s="11" t="n"/>
    </row>
    <row r="4891">
      <c r="A4891" s="11" t="n"/>
      <c r="B4891" s="11" t="n"/>
      <c r="C4891" s="11" t="n"/>
      <c r="D4891" s="11" t="n"/>
      <c r="E4891" s="11" t="n"/>
      <c r="F4891" s="11" t="n"/>
      <c r="G4891" s="11" t="n"/>
      <c r="H4891" s="11" t="n"/>
      <c r="I4891" s="11" t="n"/>
      <c r="J4891" s="11" t="n"/>
      <c r="K4891" s="11" t="n"/>
      <c r="L4891" s="11" t="n"/>
      <c r="M4891" s="11" t="n"/>
    </row>
    <row r="4892">
      <c r="A4892" s="11" t="n"/>
      <c r="B4892" s="11" t="n"/>
      <c r="C4892" s="11" t="n"/>
      <c r="D4892" s="11" t="n"/>
      <c r="E4892" s="11" t="n"/>
      <c r="F4892" s="11" t="n"/>
      <c r="G4892" s="11" t="n"/>
      <c r="H4892" s="11" t="n"/>
      <c r="I4892" s="11" t="n"/>
      <c r="J4892" s="11" t="n"/>
      <c r="K4892" s="11" t="n"/>
      <c r="L4892" s="11" t="n"/>
      <c r="M4892" s="11" t="n"/>
    </row>
    <row r="4893">
      <c r="A4893" s="11" t="n"/>
      <c r="B4893" s="11" t="n"/>
      <c r="C4893" s="11" t="n"/>
      <c r="D4893" s="11" t="n"/>
      <c r="E4893" s="11" t="n"/>
      <c r="F4893" s="11" t="n"/>
      <c r="G4893" s="11" t="n"/>
      <c r="H4893" s="11" t="n"/>
      <c r="I4893" s="11" t="n"/>
      <c r="J4893" s="11" t="n"/>
      <c r="K4893" s="11" t="n"/>
      <c r="L4893" s="11" t="n"/>
      <c r="M4893" s="11" t="n"/>
    </row>
    <row r="4894">
      <c r="A4894" s="11" t="n"/>
      <c r="B4894" s="11" t="n"/>
      <c r="C4894" s="11" t="n"/>
      <c r="D4894" s="11" t="n"/>
      <c r="E4894" s="11" t="n"/>
      <c r="F4894" s="11" t="n"/>
      <c r="G4894" s="11" t="n"/>
      <c r="H4894" s="11" t="n"/>
      <c r="I4894" s="11" t="n"/>
      <c r="J4894" s="11" t="n"/>
      <c r="K4894" s="11" t="n"/>
      <c r="L4894" s="11" t="n"/>
      <c r="M4894" s="11" t="n"/>
    </row>
    <row r="4895">
      <c r="A4895" s="11" t="n"/>
      <c r="B4895" s="11" t="n"/>
      <c r="C4895" s="11" t="n"/>
      <c r="D4895" s="11" t="n"/>
      <c r="E4895" s="11" t="n"/>
      <c r="F4895" s="11" t="n"/>
      <c r="G4895" s="11" t="n"/>
      <c r="H4895" s="11" t="n"/>
      <c r="I4895" s="11" t="n"/>
      <c r="J4895" s="11" t="n"/>
      <c r="K4895" s="11" t="n"/>
      <c r="L4895" s="11" t="n"/>
      <c r="M4895" s="11" t="n"/>
    </row>
    <row r="4896">
      <c r="A4896" s="11" t="n"/>
      <c r="B4896" s="11" t="n"/>
      <c r="C4896" s="11" t="n"/>
      <c r="D4896" s="11" t="n"/>
      <c r="E4896" s="11" t="n"/>
      <c r="F4896" s="11" t="n"/>
      <c r="G4896" s="11" t="n"/>
      <c r="H4896" s="11" t="n"/>
      <c r="I4896" s="11" t="n"/>
      <c r="J4896" s="11" t="n"/>
      <c r="K4896" s="11" t="n"/>
      <c r="L4896" s="11" t="n"/>
      <c r="M4896" s="11" t="n"/>
    </row>
    <row r="4897">
      <c r="A4897" s="11" t="n"/>
      <c r="B4897" s="11" t="n"/>
      <c r="C4897" s="11" t="n"/>
      <c r="D4897" s="11" t="n"/>
      <c r="E4897" s="11" t="n"/>
      <c r="F4897" s="11" t="n"/>
      <c r="G4897" s="11" t="n"/>
      <c r="H4897" s="11" t="n"/>
      <c r="I4897" s="11" t="n"/>
      <c r="J4897" s="11" t="n"/>
      <c r="K4897" s="11" t="n"/>
      <c r="L4897" s="11" t="n"/>
      <c r="M4897" s="11" t="n"/>
    </row>
    <row r="4898">
      <c r="A4898" s="11" t="n"/>
      <c r="B4898" s="11" t="n"/>
      <c r="C4898" s="11" t="n"/>
      <c r="D4898" s="11" t="n"/>
      <c r="E4898" s="11" t="n"/>
      <c r="F4898" s="11" t="n"/>
      <c r="G4898" s="11" t="n"/>
      <c r="H4898" s="11" t="n"/>
      <c r="I4898" s="11" t="n"/>
      <c r="J4898" s="11" t="n"/>
      <c r="K4898" s="11" t="n"/>
      <c r="L4898" s="11" t="n"/>
      <c r="M4898" s="11" t="n"/>
    </row>
    <row r="4899">
      <c r="A4899" s="11" t="n"/>
      <c r="B4899" s="11" t="n"/>
      <c r="C4899" s="11" t="n"/>
      <c r="D4899" s="11" t="n"/>
      <c r="E4899" s="11" t="n"/>
      <c r="F4899" s="11" t="n"/>
      <c r="G4899" s="11" t="n"/>
      <c r="H4899" s="11" t="n"/>
      <c r="I4899" s="11" t="n"/>
      <c r="J4899" s="11" t="n"/>
      <c r="K4899" s="11" t="n"/>
      <c r="L4899" s="11" t="n"/>
      <c r="M4899" s="11" t="n"/>
    </row>
    <row r="4900">
      <c r="A4900" s="11" t="n"/>
      <c r="B4900" s="11" t="n"/>
      <c r="C4900" s="11" t="n"/>
      <c r="D4900" s="11" t="n"/>
      <c r="E4900" s="11" t="n"/>
      <c r="F4900" s="11" t="n"/>
      <c r="G4900" s="11" t="n"/>
      <c r="H4900" s="11" t="n"/>
      <c r="I4900" s="11" t="n"/>
      <c r="J4900" s="11" t="n"/>
      <c r="K4900" s="11" t="n"/>
      <c r="L4900" s="11" t="n"/>
      <c r="M4900" s="11" t="n"/>
    </row>
    <row r="4901">
      <c r="A4901" s="11" t="n"/>
      <c r="B4901" s="11" t="n"/>
      <c r="C4901" s="11" t="n"/>
      <c r="D4901" s="11" t="n"/>
      <c r="E4901" s="11" t="n"/>
      <c r="F4901" s="11" t="n"/>
      <c r="G4901" s="11" t="n"/>
      <c r="H4901" s="11" t="n"/>
      <c r="I4901" s="11" t="n"/>
      <c r="J4901" s="11" t="n"/>
      <c r="K4901" s="11" t="n"/>
      <c r="L4901" s="11" t="n"/>
      <c r="M4901" s="11" t="n"/>
    </row>
    <row r="4902">
      <c r="A4902" s="11" t="n"/>
      <c r="B4902" s="11" t="n"/>
      <c r="C4902" s="11" t="n"/>
      <c r="D4902" s="11" t="n"/>
      <c r="E4902" s="11" t="n"/>
      <c r="F4902" s="11" t="n"/>
      <c r="G4902" s="11" t="n"/>
      <c r="H4902" s="11" t="n"/>
      <c r="I4902" s="11" t="n"/>
      <c r="J4902" s="11" t="n"/>
      <c r="K4902" s="11" t="n"/>
      <c r="L4902" s="11" t="n"/>
      <c r="M4902" s="11" t="n"/>
    </row>
    <row r="4903">
      <c r="A4903" s="11" t="n"/>
      <c r="B4903" s="11" t="n"/>
      <c r="C4903" s="11" t="n"/>
      <c r="D4903" s="11" t="n"/>
      <c r="E4903" s="11" t="n"/>
      <c r="F4903" s="11" t="n"/>
      <c r="G4903" s="11" t="n"/>
      <c r="H4903" s="11" t="n"/>
      <c r="I4903" s="11" t="n"/>
      <c r="J4903" s="11" t="n"/>
      <c r="K4903" s="11" t="n"/>
      <c r="L4903" s="11" t="n"/>
      <c r="M4903" s="11" t="n"/>
    </row>
    <row r="4904">
      <c r="A4904" s="11" t="n"/>
      <c r="B4904" s="11" t="n"/>
      <c r="C4904" s="11" t="n"/>
      <c r="D4904" s="11" t="n"/>
      <c r="E4904" s="11" t="n"/>
      <c r="F4904" s="11" t="n"/>
      <c r="G4904" s="11" t="n"/>
      <c r="H4904" s="11" t="n"/>
      <c r="I4904" s="11" t="n"/>
      <c r="J4904" s="11" t="n"/>
      <c r="K4904" s="11" t="n"/>
      <c r="L4904" s="11" t="n"/>
      <c r="M4904" s="11" t="n"/>
    </row>
    <row r="4905">
      <c r="A4905" s="11" t="n"/>
      <c r="B4905" s="11" t="n"/>
      <c r="C4905" s="11" t="n"/>
      <c r="D4905" s="11" t="n"/>
      <c r="E4905" s="11" t="n"/>
      <c r="F4905" s="11" t="n"/>
      <c r="G4905" s="11" t="n"/>
      <c r="H4905" s="11" t="n"/>
      <c r="I4905" s="11" t="n"/>
      <c r="J4905" s="11" t="n"/>
      <c r="K4905" s="11" t="n"/>
      <c r="L4905" s="11" t="n"/>
      <c r="M4905" s="11" t="n"/>
    </row>
    <row r="4906">
      <c r="A4906" s="11" t="n"/>
      <c r="B4906" s="11" t="n"/>
      <c r="C4906" s="11" t="n"/>
      <c r="D4906" s="11" t="n"/>
      <c r="E4906" s="11" t="n"/>
      <c r="F4906" s="11" t="n"/>
      <c r="G4906" s="11" t="n"/>
      <c r="H4906" s="11" t="n"/>
      <c r="I4906" s="11" t="n"/>
      <c r="J4906" s="11" t="n"/>
      <c r="K4906" s="11" t="n"/>
      <c r="L4906" s="11" t="n"/>
      <c r="M4906" s="11" t="n"/>
    </row>
    <row r="4907">
      <c r="A4907" s="11" t="n"/>
      <c r="B4907" s="11" t="n"/>
      <c r="C4907" s="11" t="n"/>
      <c r="D4907" s="11" t="n"/>
      <c r="E4907" s="11" t="n"/>
      <c r="F4907" s="11" t="n"/>
      <c r="G4907" s="11" t="n"/>
      <c r="H4907" s="11" t="n"/>
      <c r="I4907" s="11" t="n"/>
      <c r="J4907" s="11" t="n"/>
      <c r="K4907" s="11" t="n"/>
      <c r="L4907" s="11" t="n"/>
      <c r="M4907" s="11" t="n"/>
    </row>
    <row r="4908">
      <c r="A4908" s="11" t="n"/>
      <c r="B4908" s="11" t="n"/>
      <c r="C4908" s="11" t="n"/>
      <c r="D4908" s="11" t="n"/>
      <c r="E4908" s="11" t="n"/>
      <c r="F4908" s="11" t="n"/>
      <c r="G4908" s="11" t="n"/>
      <c r="H4908" s="11" t="n"/>
      <c r="I4908" s="11" t="n"/>
      <c r="J4908" s="11" t="n"/>
      <c r="K4908" s="11" t="n"/>
      <c r="L4908" s="11" t="n"/>
      <c r="M4908" s="11" t="n"/>
    </row>
    <row r="4909">
      <c r="A4909" s="11" t="n"/>
      <c r="B4909" s="11" t="n"/>
      <c r="C4909" s="11" t="n"/>
      <c r="D4909" s="11" t="n"/>
      <c r="E4909" s="11" t="n"/>
      <c r="F4909" s="11" t="n"/>
      <c r="G4909" s="11" t="n"/>
      <c r="H4909" s="11" t="n"/>
      <c r="I4909" s="11" t="n"/>
      <c r="J4909" s="11" t="n"/>
      <c r="K4909" s="11" t="n"/>
      <c r="L4909" s="11" t="n"/>
      <c r="M4909" s="11" t="n"/>
    </row>
    <row r="4910">
      <c r="A4910" s="11" t="n"/>
      <c r="B4910" s="11" t="n"/>
      <c r="C4910" s="11" t="n"/>
      <c r="D4910" s="11" t="n"/>
      <c r="E4910" s="11" t="n"/>
      <c r="F4910" s="11" t="n"/>
      <c r="G4910" s="11" t="n"/>
      <c r="H4910" s="11" t="n"/>
      <c r="I4910" s="11" t="n"/>
      <c r="J4910" s="11" t="n"/>
      <c r="K4910" s="11" t="n"/>
      <c r="L4910" s="11" t="n"/>
      <c r="M4910" s="11" t="n"/>
    </row>
    <row r="4911">
      <c r="A4911" s="11" t="n"/>
      <c r="B4911" s="11" t="n"/>
      <c r="C4911" s="11" t="n"/>
      <c r="D4911" s="11" t="n"/>
      <c r="E4911" s="11" t="n"/>
      <c r="F4911" s="11" t="n"/>
      <c r="G4911" s="11" t="n"/>
      <c r="H4911" s="11" t="n"/>
      <c r="I4911" s="11" t="n"/>
      <c r="J4911" s="11" t="n"/>
      <c r="K4911" s="11" t="n"/>
      <c r="L4911" s="11" t="n"/>
      <c r="M4911" s="11" t="n"/>
    </row>
    <row r="4912">
      <c r="A4912" s="11" t="n"/>
      <c r="B4912" s="11" t="n"/>
      <c r="C4912" s="11" t="n"/>
      <c r="D4912" s="11" t="n"/>
      <c r="E4912" s="11" t="n"/>
      <c r="F4912" s="11" t="n"/>
      <c r="G4912" s="11" t="n"/>
      <c r="H4912" s="11" t="n"/>
      <c r="I4912" s="11" t="n"/>
      <c r="J4912" s="11" t="n"/>
      <c r="K4912" s="11" t="n"/>
      <c r="L4912" s="11" t="n"/>
      <c r="M4912" s="11" t="n"/>
    </row>
    <row r="4913">
      <c r="A4913" s="11" t="n"/>
      <c r="B4913" s="11" t="n"/>
      <c r="C4913" s="11" t="n"/>
      <c r="D4913" s="11" t="n"/>
      <c r="E4913" s="11" t="n"/>
      <c r="F4913" s="11" t="n"/>
      <c r="G4913" s="11" t="n"/>
      <c r="H4913" s="11" t="n"/>
      <c r="I4913" s="11" t="n"/>
      <c r="J4913" s="11" t="n"/>
      <c r="K4913" s="11" t="n"/>
      <c r="L4913" s="11" t="n"/>
      <c r="M4913" s="11" t="n"/>
    </row>
    <row r="4914">
      <c r="A4914" s="11" t="n"/>
      <c r="B4914" s="11" t="n"/>
      <c r="C4914" s="11" t="n"/>
      <c r="D4914" s="11" t="n"/>
      <c r="E4914" s="11" t="n"/>
      <c r="F4914" s="11" t="n"/>
      <c r="G4914" s="11" t="n"/>
      <c r="H4914" s="11" t="n"/>
      <c r="I4914" s="11" t="n"/>
      <c r="J4914" s="11" t="n"/>
      <c r="K4914" s="11" t="n"/>
      <c r="L4914" s="11" t="n"/>
      <c r="M4914" s="11" t="n"/>
    </row>
    <row r="4915">
      <c r="A4915" s="11" t="n"/>
      <c r="B4915" s="11" t="n"/>
      <c r="C4915" s="11" t="n"/>
      <c r="D4915" s="11" t="n"/>
      <c r="E4915" s="11" t="n"/>
      <c r="F4915" s="11" t="n"/>
      <c r="G4915" s="11" t="n"/>
      <c r="H4915" s="11" t="n"/>
      <c r="I4915" s="11" t="n"/>
      <c r="J4915" s="11" t="n"/>
      <c r="K4915" s="11" t="n"/>
      <c r="L4915" s="11" t="n"/>
      <c r="M4915" s="11" t="n"/>
    </row>
    <row r="4916">
      <c r="A4916" s="11" t="n"/>
      <c r="B4916" s="11" t="n"/>
      <c r="C4916" s="11" t="n"/>
      <c r="D4916" s="11" t="n"/>
      <c r="E4916" s="11" t="n"/>
      <c r="F4916" s="11" t="n"/>
      <c r="G4916" s="11" t="n"/>
      <c r="H4916" s="11" t="n"/>
      <c r="I4916" s="11" t="n"/>
      <c r="J4916" s="11" t="n"/>
      <c r="K4916" s="11" t="n"/>
      <c r="L4916" s="11" t="n"/>
      <c r="M4916" s="11" t="n"/>
    </row>
    <row r="4917">
      <c r="A4917" s="11" t="n"/>
      <c r="B4917" s="11" t="n"/>
      <c r="C4917" s="11" t="n"/>
      <c r="D4917" s="11" t="n"/>
      <c r="E4917" s="11" t="n"/>
      <c r="F4917" s="11" t="n"/>
      <c r="G4917" s="11" t="n"/>
      <c r="H4917" s="11" t="n"/>
      <c r="I4917" s="11" t="n"/>
      <c r="J4917" s="11" t="n"/>
      <c r="K4917" s="11" t="n"/>
      <c r="L4917" s="11" t="n"/>
      <c r="M4917" s="11" t="n"/>
    </row>
    <row r="4918">
      <c r="A4918" s="11" t="n"/>
      <c r="B4918" s="11" t="n"/>
      <c r="C4918" s="11" t="n"/>
      <c r="D4918" s="11" t="n"/>
      <c r="E4918" s="11" t="n"/>
      <c r="F4918" s="11" t="n"/>
      <c r="G4918" s="11" t="n"/>
      <c r="H4918" s="11" t="n"/>
      <c r="I4918" s="11" t="n"/>
      <c r="J4918" s="11" t="n"/>
      <c r="K4918" s="11" t="n"/>
      <c r="L4918" s="11" t="n"/>
      <c r="M4918" s="11" t="n"/>
    </row>
    <row r="4919">
      <c r="A4919" s="11" t="n"/>
      <c r="B4919" s="11" t="n"/>
      <c r="C4919" s="11" t="n"/>
      <c r="D4919" s="11" t="n"/>
      <c r="E4919" s="11" t="n"/>
      <c r="F4919" s="11" t="n"/>
      <c r="G4919" s="11" t="n"/>
      <c r="H4919" s="11" t="n"/>
      <c r="I4919" s="11" t="n"/>
      <c r="J4919" s="11" t="n"/>
      <c r="K4919" s="11" t="n"/>
      <c r="L4919" s="11" t="n"/>
      <c r="M4919" s="11" t="n"/>
    </row>
    <row r="4920">
      <c r="A4920" s="11" t="n"/>
      <c r="B4920" s="11" t="n"/>
      <c r="C4920" s="11" t="n"/>
      <c r="D4920" s="11" t="n"/>
      <c r="E4920" s="11" t="n"/>
      <c r="F4920" s="11" t="n"/>
      <c r="G4920" s="11" t="n"/>
      <c r="H4920" s="11" t="n"/>
      <c r="I4920" s="11" t="n"/>
      <c r="J4920" s="11" t="n"/>
      <c r="K4920" s="11" t="n"/>
      <c r="L4920" s="11" t="n"/>
      <c r="M4920" s="11" t="n"/>
    </row>
    <row r="4921">
      <c r="A4921" s="11" t="n"/>
      <c r="B4921" s="11" t="n"/>
      <c r="C4921" s="11" t="n"/>
      <c r="D4921" s="11" t="n"/>
      <c r="E4921" s="11" t="n"/>
      <c r="F4921" s="11" t="n"/>
      <c r="G4921" s="11" t="n"/>
      <c r="H4921" s="11" t="n"/>
      <c r="I4921" s="11" t="n"/>
      <c r="J4921" s="11" t="n"/>
      <c r="K4921" s="11" t="n"/>
      <c r="L4921" s="11" t="n"/>
      <c r="M4921" s="11" t="n"/>
    </row>
    <row r="4922">
      <c r="A4922" s="11" t="n"/>
      <c r="B4922" s="11" t="n"/>
      <c r="C4922" s="11" t="n"/>
      <c r="D4922" s="11" t="n"/>
      <c r="E4922" s="11" t="n"/>
      <c r="F4922" s="11" t="n"/>
      <c r="G4922" s="11" t="n"/>
      <c r="H4922" s="11" t="n"/>
      <c r="I4922" s="11" t="n"/>
      <c r="J4922" s="11" t="n"/>
      <c r="K4922" s="11" t="n"/>
      <c r="L4922" s="11" t="n"/>
      <c r="M4922" s="11" t="n"/>
    </row>
    <row r="4923">
      <c r="A4923" s="11" t="n"/>
      <c r="B4923" s="11" t="n"/>
      <c r="C4923" s="11" t="n"/>
      <c r="D4923" s="11" t="n"/>
      <c r="E4923" s="11" t="n"/>
      <c r="F4923" s="11" t="n"/>
      <c r="G4923" s="11" t="n"/>
      <c r="H4923" s="11" t="n"/>
      <c r="I4923" s="11" t="n"/>
      <c r="J4923" s="11" t="n"/>
      <c r="K4923" s="11" t="n"/>
      <c r="L4923" s="11" t="n"/>
      <c r="M4923" s="11" t="n"/>
    </row>
    <row r="4924">
      <c r="A4924" s="11" t="n"/>
      <c r="B4924" s="11" t="n"/>
      <c r="C4924" s="11" t="n"/>
      <c r="D4924" s="11" t="n"/>
      <c r="E4924" s="11" t="n"/>
      <c r="F4924" s="11" t="n"/>
      <c r="G4924" s="11" t="n"/>
      <c r="H4924" s="11" t="n"/>
      <c r="I4924" s="11" t="n"/>
      <c r="J4924" s="11" t="n"/>
      <c r="K4924" s="11" t="n"/>
      <c r="L4924" s="11" t="n"/>
      <c r="M4924" s="11" t="n"/>
    </row>
    <row r="4925">
      <c r="A4925" s="11" t="n"/>
      <c r="B4925" s="11" t="n"/>
      <c r="C4925" s="11" t="n"/>
      <c r="D4925" s="11" t="n"/>
      <c r="E4925" s="11" t="n"/>
      <c r="F4925" s="11" t="n"/>
      <c r="G4925" s="11" t="n"/>
      <c r="H4925" s="11" t="n"/>
      <c r="I4925" s="11" t="n"/>
      <c r="J4925" s="11" t="n"/>
      <c r="K4925" s="11" t="n"/>
      <c r="L4925" s="11" t="n"/>
      <c r="M4925" s="11" t="n"/>
    </row>
    <row r="4926">
      <c r="A4926" s="11" t="n"/>
      <c r="B4926" s="11" t="n"/>
      <c r="C4926" s="11" t="n"/>
      <c r="D4926" s="11" t="n"/>
      <c r="E4926" s="11" t="n"/>
      <c r="F4926" s="11" t="n"/>
      <c r="G4926" s="11" t="n"/>
      <c r="H4926" s="11" t="n"/>
      <c r="I4926" s="11" t="n"/>
      <c r="J4926" s="11" t="n"/>
      <c r="K4926" s="11" t="n"/>
      <c r="L4926" s="11" t="n"/>
      <c r="M4926" s="11" t="n"/>
    </row>
    <row r="4927">
      <c r="A4927" s="11" t="n"/>
      <c r="B4927" s="11" t="n"/>
      <c r="C4927" s="11" t="n"/>
      <c r="D4927" s="11" t="n"/>
      <c r="E4927" s="11" t="n"/>
      <c r="F4927" s="11" t="n"/>
      <c r="G4927" s="11" t="n"/>
      <c r="H4927" s="11" t="n"/>
      <c r="I4927" s="11" t="n"/>
      <c r="J4927" s="11" t="n"/>
      <c r="K4927" s="11" t="n"/>
      <c r="L4927" s="11" t="n"/>
      <c r="M4927" s="11" t="n"/>
    </row>
    <row r="4928">
      <c r="A4928" s="11" t="n"/>
      <c r="B4928" s="11" t="n"/>
      <c r="C4928" s="11" t="n"/>
      <c r="D4928" s="11" t="n"/>
      <c r="E4928" s="11" t="n"/>
      <c r="F4928" s="11" t="n"/>
      <c r="G4928" s="11" t="n"/>
      <c r="H4928" s="11" t="n"/>
      <c r="I4928" s="11" t="n"/>
      <c r="J4928" s="11" t="n"/>
      <c r="K4928" s="11" t="n"/>
      <c r="L4928" s="11" t="n"/>
      <c r="M4928" s="11" t="n"/>
    </row>
    <row r="4929">
      <c r="A4929" s="11" t="n"/>
      <c r="B4929" s="11" t="n"/>
      <c r="C4929" s="11" t="n"/>
      <c r="D4929" s="11" t="n"/>
      <c r="E4929" s="11" t="n"/>
      <c r="F4929" s="11" t="n"/>
      <c r="G4929" s="11" t="n"/>
      <c r="H4929" s="11" t="n"/>
      <c r="I4929" s="11" t="n"/>
      <c r="J4929" s="11" t="n"/>
      <c r="K4929" s="11" t="n"/>
      <c r="L4929" s="11" t="n"/>
      <c r="M4929" s="11" t="n"/>
    </row>
    <row r="4930">
      <c r="A4930" s="11" t="n"/>
      <c r="B4930" s="11" t="n"/>
      <c r="C4930" s="11" t="n"/>
      <c r="D4930" s="11" t="n"/>
      <c r="E4930" s="11" t="n"/>
      <c r="F4930" s="11" t="n"/>
      <c r="G4930" s="11" t="n"/>
      <c r="H4930" s="11" t="n"/>
      <c r="I4930" s="11" t="n"/>
      <c r="J4930" s="11" t="n"/>
      <c r="K4930" s="11" t="n"/>
      <c r="L4930" s="11" t="n"/>
      <c r="M4930" s="11" t="n"/>
    </row>
    <row r="4931">
      <c r="A4931" s="11" t="n"/>
      <c r="B4931" s="11" t="n"/>
      <c r="C4931" s="11" t="n"/>
      <c r="D4931" s="11" t="n"/>
      <c r="E4931" s="11" t="n"/>
      <c r="F4931" s="11" t="n"/>
      <c r="G4931" s="11" t="n"/>
      <c r="H4931" s="11" t="n"/>
      <c r="I4931" s="11" t="n"/>
      <c r="J4931" s="11" t="n"/>
      <c r="K4931" s="11" t="n"/>
      <c r="L4931" s="11" t="n"/>
      <c r="M4931" s="11" t="n"/>
    </row>
    <row r="4932">
      <c r="A4932" s="11" t="n"/>
      <c r="B4932" s="11" t="n"/>
      <c r="C4932" s="11" t="n"/>
      <c r="D4932" s="11" t="n"/>
      <c r="E4932" s="11" t="n"/>
      <c r="F4932" s="11" t="n"/>
      <c r="G4932" s="11" t="n"/>
      <c r="H4932" s="11" t="n"/>
      <c r="I4932" s="11" t="n"/>
      <c r="J4932" s="11" t="n"/>
      <c r="K4932" s="11" t="n"/>
      <c r="L4932" s="11" t="n"/>
      <c r="M4932" s="11" t="n"/>
    </row>
    <row r="4933">
      <c r="A4933" s="11" t="n"/>
      <c r="B4933" s="11" t="n"/>
      <c r="C4933" s="11" t="n"/>
      <c r="D4933" s="11" t="n"/>
      <c r="E4933" s="11" t="n"/>
      <c r="F4933" s="11" t="n"/>
      <c r="G4933" s="11" t="n"/>
      <c r="H4933" s="11" t="n"/>
      <c r="I4933" s="11" t="n"/>
      <c r="J4933" s="11" t="n"/>
      <c r="K4933" s="11" t="n"/>
      <c r="L4933" s="11" t="n"/>
      <c r="M4933" s="11" t="n"/>
    </row>
    <row r="4934">
      <c r="A4934" s="11" t="n"/>
      <c r="B4934" s="11" t="n"/>
      <c r="C4934" s="11" t="n"/>
      <c r="D4934" s="11" t="n"/>
      <c r="E4934" s="11" t="n"/>
      <c r="F4934" s="11" t="n"/>
      <c r="G4934" s="11" t="n"/>
      <c r="H4934" s="11" t="n"/>
      <c r="I4934" s="11" t="n"/>
      <c r="J4934" s="11" t="n"/>
      <c r="K4934" s="11" t="n"/>
      <c r="L4934" s="11" t="n"/>
      <c r="M4934" s="11" t="n"/>
    </row>
    <row r="4935">
      <c r="A4935" s="11" t="n"/>
      <c r="B4935" s="11" t="n"/>
      <c r="C4935" s="11" t="n"/>
      <c r="D4935" s="11" t="n"/>
      <c r="E4935" s="11" t="n"/>
      <c r="F4935" s="11" t="n"/>
      <c r="G4935" s="11" t="n"/>
      <c r="H4935" s="11" t="n"/>
      <c r="I4935" s="11" t="n"/>
      <c r="J4935" s="11" t="n"/>
      <c r="K4935" s="11" t="n"/>
      <c r="L4935" s="11" t="n"/>
      <c r="M4935" s="11" t="n"/>
    </row>
    <row r="4936">
      <c r="A4936" s="11" t="n"/>
      <c r="B4936" s="11" t="n"/>
      <c r="C4936" s="11" t="n"/>
      <c r="D4936" s="11" t="n"/>
      <c r="E4936" s="11" t="n"/>
      <c r="F4936" s="11" t="n"/>
      <c r="G4936" s="11" t="n"/>
      <c r="H4936" s="11" t="n"/>
      <c r="I4936" s="11" t="n"/>
      <c r="J4936" s="11" t="n"/>
      <c r="K4936" s="11" t="n"/>
      <c r="L4936" s="11" t="n"/>
      <c r="M4936" s="11" t="n"/>
    </row>
    <row r="4937">
      <c r="A4937" s="11" t="n"/>
      <c r="B4937" s="11" t="n"/>
      <c r="C4937" s="11" t="n"/>
      <c r="D4937" s="11" t="n"/>
      <c r="E4937" s="11" t="n"/>
      <c r="F4937" s="11" t="n"/>
      <c r="G4937" s="11" t="n"/>
      <c r="H4937" s="11" t="n"/>
      <c r="I4937" s="11" t="n"/>
      <c r="J4937" s="11" t="n"/>
      <c r="K4937" s="11" t="n"/>
      <c r="L4937" s="11" t="n"/>
      <c r="M4937" s="11" t="n"/>
    </row>
    <row r="4938">
      <c r="A4938" s="11" t="n"/>
      <c r="B4938" s="11" t="n"/>
      <c r="C4938" s="11" t="n"/>
      <c r="D4938" s="11" t="n"/>
      <c r="E4938" s="11" t="n"/>
      <c r="F4938" s="11" t="n"/>
      <c r="G4938" s="11" t="n"/>
      <c r="H4938" s="11" t="n"/>
      <c r="I4938" s="11" t="n"/>
      <c r="J4938" s="11" t="n"/>
      <c r="K4938" s="11" t="n"/>
      <c r="L4938" s="11" t="n"/>
      <c r="M4938" s="11" t="n"/>
    </row>
    <row r="4939">
      <c r="A4939" s="11" t="n"/>
      <c r="B4939" s="11" t="n"/>
      <c r="C4939" s="11" t="n"/>
      <c r="D4939" s="11" t="n"/>
      <c r="E4939" s="11" t="n"/>
      <c r="F4939" s="11" t="n"/>
      <c r="G4939" s="11" t="n"/>
      <c r="H4939" s="11" t="n"/>
      <c r="I4939" s="11" t="n"/>
      <c r="J4939" s="11" t="n"/>
      <c r="K4939" s="11" t="n"/>
      <c r="L4939" s="11" t="n"/>
      <c r="M4939" s="11" t="n"/>
    </row>
    <row r="4940">
      <c r="A4940" s="11" t="n"/>
      <c r="B4940" s="11" t="n"/>
      <c r="C4940" s="11" t="n"/>
      <c r="D4940" s="11" t="n"/>
      <c r="E4940" s="11" t="n"/>
      <c r="F4940" s="11" t="n"/>
      <c r="G4940" s="11" t="n"/>
      <c r="H4940" s="11" t="n"/>
      <c r="I4940" s="11" t="n"/>
      <c r="J4940" s="11" t="n"/>
      <c r="K4940" s="11" t="n"/>
      <c r="L4940" s="11" t="n"/>
      <c r="M4940" s="11" t="n"/>
    </row>
    <row r="4941">
      <c r="A4941" s="11" t="n"/>
      <c r="B4941" s="11" t="n"/>
      <c r="C4941" s="11" t="n"/>
      <c r="D4941" s="11" t="n"/>
      <c r="E4941" s="11" t="n"/>
      <c r="F4941" s="11" t="n"/>
      <c r="G4941" s="11" t="n"/>
      <c r="H4941" s="11" t="n"/>
      <c r="I4941" s="11" t="n"/>
      <c r="J4941" s="11" t="n"/>
      <c r="K4941" s="11" t="n"/>
      <c r="L4941" s="11" t="n"/>
      <c r="M4941" s="11" t="n"/>
    </row>
    <row r="4942">
      <c r="A4942" s="11" t="n"/>
      <c r="B4942" s="11" t="n"/>
      <c r="C4942" s="11" t="n"/>
      <c r="D4942" s="11" t="n"/>
      <c r="E4942" s="11" t="n"/>
      <c r="F4942" s="11" t="n"/>
      <c r="G4942" s="11" t="n"/>
      <c r="H4942" s="11" t="n"/>
      <c r="I4942" s="11" t="n"/>
      <c r="J4942" s="11" t="n"/>
      <c r="K4942" s="11" t="n"/>
      <c r="L4942" s="11" t="n"/>
      <c r="M4942" s="11" t="n"/>
    </row>
    <row r="4943">
      <c r="A4943" s="11" t="n"/>
      <c r="B4943" s="11" t="n"/>
      <c r="C4943" s="11" t="n"/>
      <c r="D4943" s="11" t="n"/>
      <c r="E4943" s="11" t="n"/>
      <c r="F4943" s="11" t="n"/>
      <c r="G4943" s="11" t="n"/>
      <c r="H4943" s="11" t="n"/>
      <c r="I4943" s="11" t="n"/>
      <c r="J4943" s="11" t="n"/>
      <c r="K4943" s="11" t="n"/>
      <c r="L4943" s="11" t="n"/>
      <c r="M4943" s="11" t="n"/>
    </row>
    <row r="4944">
      <c r="A4944" s="11" t="n"/>
      <c r="B4944" s="11" t="n"/>
      <c r="C4944" s="11" t="n"/>
      <c r="D4944" s="11" t="n"/>
      <c r="E4944" s="11" t="n"/>
      <c r="F4944" s="11" t="n"/>
      <c r="G4944" s="11" t="n"/>
      <c r="H4944" s="11" t="n"/>
      <c r="I4944" s="11" t="n"/>
      <c r="J4944" s="11" t="n"/>
      <c r="K4944" s="11" t="n"/>
      <c r="L4944" s="11" t="n"/>
      <c r="M4944" s="11" t="n"/>
    </row>
    <row r="4945">
      <c r="A4945" s="11" t="n"/>
      <c r="B4945" s="11" t="n"/>
      <c r="C4945" s="11" t="n"/>
      <c r="D4945" s="11" t="n"/>
      <c r="E4945" s="11" t="n"/>
      <c r="F4945" s="11" t="n"/>
      <c r="G4945" s="11" t="n"/>
      <c r="H4945" s="11" t="n"/>
      <c r="I4945" s="11" t="n"/>
      <c r="J4945" s="11" t="n"/>
      <c r="K4945" s="11" t="n"/>
      <c r="L4945" s="11" t="n"/>
      <c r="M4945" s="11" t="n"/>
    </row>
    <row r="4946">
      <c r="A4946" s="11" t="n"/>
      <c r="B4946" s="11" t="n"/>
      <c r="C4946" s="11" t="n"/>
      <c r="D4946" s="11" t="n"/>
      <c r="E4946" s="11" t="n"/>
      <c r="F4946" s="11" t="n"/>
      <c r="G4946" s="11" t="n"/>
      <c r="H4946" s="11" t="n"/>
      <c r="I4946" s="11" t="n"/>
      <c r="J4946" s="11" t="n"/>
      <c r="K4946" s="11" t="n"/>
      <c r="L4946" s="11" t="n"/>
      <c r="M4946" s="11" t="n"/>
    </row>
    <row r="4947">
      <c r="A4947" s="11" t="n"/>
      <c r="B4947" s="11" t="n"/>
      <c r="C4947" s="11" t="n"/>
      <c r="D4947" s="11" t="n"/>
      <c r="E4947" s="11" t="n"/>
      <c r="F4947" s="11" t="n"/>
      <c r="G4947" s="11" t="n"/>
      <c r="H4947" s="11" t="n"/>
      <c r="I4947" s="11" t="n"/>
      <c r="J4947" s="11" t="n"/>
      <c r="K4947" s="11" t="n"/>
      <c r="L4947" s="11" t="n"/>
      <c r="M4947" s="11" t="n"/>
    </row>
    <row r="4948">
      <c r="A4948" s="11" t="n"/>
      <c r="B4948" s="11" t="n"/>
      <c r="C4948" s="11" t="n"/>
      <c r="D4948" s="11" t="n"/>
      <c r="E4948" s="11" t="n"/>
      <c r="F4948" s="11" t="n"/>
      <c r="G4948" s="11" t="n"/>
      <c r="H4948" s="11" t="n"/>
      <c r="I4948" s="11" t="n"/>
      <c r="J4948" s="11" t="n"/>
      <c r="K4948" s="11" t="n"/>
      <c r="L4948" s="11" t="n"/>
      <c r="M4948" s="11" t="n"/>
    </row>
    <row r="4949">
      <c r="A4949" s="11" t="n"/>
      <c r="B4949" s="11" t="n"/>
      <c r="C4949" s="11" t="n"/>
      <c r="D4949" s="11" t="n"/>
      <c r="E4949" s="11" t="n"/>
      <c r="F4949" s="11" t="n"/>
      <c r="G4949" s="11" t="n"/>
      <c r="H4949" s="11" t="n"/>
      <c r="I4949" s="11" t="n"/>
      <c r="J4949" s="11" t="n"/>
      <c r="K4949" s="11" t="n"/>
      <c r="L4949" s="11" t="n"/>
      <c r="M4949" s="11" t="n"/>
    </row>
    <row r="4950">
      <c r="A4950" s="11" t="n"/>
      <c r="B4950" s="11" t="n"/>
      <c r="C4950" s="11" t="n"/>
      <c r="D4950" s="11" t="n"/>
      <c r="E4950" s="11" t="n"/>
      <c r="F4950" s="11" t="n"/>
      <c r="G4950" s="11" t="n"/>
      <c r="H4950" s="11" t="n"/>
      <c r="I4950" s="11" t="n"/>
      <c r="J4950" s="11" t="n"/>
      <c r="K4950" s="11" t="n"/>
      <c r="L4950" s="11" t="n"/>
      <c r="M4950" s="11" t="n"/>
    </row>
    <row r="4951">
      <c r="A4951" s="11" t="n"/>
      <c r="B4951" s="11" t="n"/>
      <c r="C4951" s="11" t="n"/>
      <c r="D4951" s="11" t="n"/>
      <c r="E4951" s="11" t="n"/>
      <c r="F4951" s="11" t="n"/>
      <c r="G4951" s="11" t="n"/>
      <c r="H4951" s="11" t="n"/>
      <c r="I4951" s="11" t="n"/>
      <c r="J4951" s="11" t="n"/>
      <c r="K4951" s="11" t="n"/>
      <c r="L4951" s="11" t="n"/>
      <c r="M4951" s="11" t="n"/>
    </row>
    <row r="4952">
      <c r="A4952" s="11" t="n"/>
      <c r="B4952" s="11" t="n"/>
      <c r="C4952" s="11" t="n"/>
      <c r="D4952" s="11" t="n"/>
      <c r="E4952" s="11" t="n"/>
      <c r="F4952" s="11" t="n"/>
      <c r="G4952" s="11" t="n"/>
      <c r="H4952" s="11" t="n"/>
      <c r="I4952" s="11" t="n"/>
      <c r="J4952" s="11" t="n"/>
      <c r="K4952" s="11" t="n"/>
      <c r="L4952" s="11" t="n"/>
      <c r="M4952" s="11" t="n"/>
    </row>
    <row r="4953">
      <c r="A4953" s="11" t="n"/>
      <c r="B4953" s="11" t="n"/>
      <c r="C4953" s="11" t="n"/>
      <c r="D4953" s="11" t="n"/>
      <c r="E4953" s="11" t="n"/>
      <c r="F4953" s="11" t="n"/>
      <c r="G4953" s="11" t="n"/>
      <c r="H4953" s="11" t="n"/>
      <c r="I4953" s="11" t="n"/>
      <c r="J4953" s="11" t="n"/>
      <c r="K4953" s="11" t="n"/>
      <c r="L4953" s="11" t="n"/>
      <c r="M4953" s="11" t="n"/>
    </row>
    <row r="4954">
      <c r="A4954" s="11" t="n"/>
      <c r="B4954" s="11" t="n"/>
      <c r="C4954" s="11" t="n"/>
      <c r="D4954" s="11" t="n"/>
      <c r="E4954" s="11" t="n"/>
      <c r="F4954" s="11" t="n"/>
      <c r="G4954" s="11" t="n"/>
      <c r="H4954" s="11" t="n"/>
      <c r="I4954" s="11" t="n"/>
      <c r="J4954" s="11" t="n"/>
      <c r="K4954" s="11" t="n"/>
      <c r="L4954" s="11" t="n"/>
      <c r="M4954" s="11" t="n"/>
    </row>
    <row r="4955">
      <c r="A4955" s="11" t="n"/>
      <c r="B4955" s="11" t="n"/>
      <c r="C4955" s="11" t="n"/>
      <c r="D4955" s="11" t="n"/>
      <c r="E4955" s="11" t="n"/>
      <c r="F4955" s="11" t="n"/>
      <c r="G4955" s="11" t="n"/>
      <c r="H4955" s="11" t="n"/>
      <c r="I4955" s="11" t="n"/>
      <c r="J4955" s="11" t="n"/>
      <c r="K4955" s="11" t="n"/>
      <c r="L4955" s="11" t="n"/>
      <c r="M4955" s="11" t="n"/>
    </row>
    <row r="4956">
      <c r="A4956" s="11" t="n"/>
      <c r="B4956" s="11" t="n"/>
      <c r="C4956" s="11" t="n"/>
      <c r="D4956" s="11" t="n"/>
      <c r="E4956" s="11" t="n"/>
      <c r="F4956" s="11" t="n"/>
      <c r="G4956" s="11" t="n"/>
      <c r="H4956" s="11" t="n"/>
      <c r="I4956" s="11" t="n"/>
      <c r="J4956" s="11" t="n"/>
      <c r="K4956" s="11" t="n"/>
      <c r="L4956" s="11" t="n"/>
      <c r="M4956" s="11" t="n"/>
    </row>
    <row r="4957">
      <c r="A4957" s="11" t="n"/>
      <c r="B4957" s="11" t="n"/>
      <c r="C4957" s="11" t="n"/>
      <c r="D4957" s="11" t="n"/>
      <c r="E4957" s="11" t="n"/>
      <c r="F4957" s="11" t="n"/>
      <c r="G4957" s="11" t="n"/>
      <c r="H4957" s="11" t="n"/>
      <c r="I4957" s="11" t="n"/>
      <c r="J4957" s="11" t="n"/>
      <c r="K4957" s="11" t="n"/>
      <c r="L4957" s="11" t="n"/>
      <c r="M4957" s="11" t="n"/>
    </row>
    <row r="4958">
      <c r="A4958" s="11" t="n"/>
      <c r="B4958" s="11" t="n"/>
      <c r="C4958" s="11" t="n"/>
      <c r="D4958" s="11" t="n"/>
      <c r="E4958" s="11" t="n"/>
      <c r="F4958" s="11" t="n"/>
      <c r="G4958" s="11" t="n"/>
      <c r="H4958" s="11" t="n"/>
      <c r="I4958" s="11" t="n"/>
      <c r="J4958" s="11" t="n"/>
      <c r="K4958" s="11" t="n"/>
      <c r="L4958" s="11" t="n"/>
      <c r="M4958" s="11" t="n"/>
    </row>
    <row r="4959">
      <c r="A4959" s="11" t="n"/>
      <c r="B4959" s="11" t="n"/>
      <c r="C4959" s="11" t="n"/>
      <c r="D4959" s="11" t="n"/>
      <c r="E4959" s="11" t="n"/>
      <c r="F4959" s="11" t="n"/>
      <c r="G4959" s="11" t="n"/>
      <c r="H4959" s="11" t="n"/>
      <c r="I4959" s="11" t="n"/>
      <c r="J4959" s="11" t="n"/>
      <c r="K4959" s="11" t="n"/>
      <c r="L4959" s="11" t="n"/>
      <c r="M4959" s="11" t="n"/>
    </row>
    <row r="4960">
      <c r="A4960" s="11" t="n"/>
      <c r="B4960" s="11" t="n"/>
      <c r="C4960" s="11" t="n"/>
      <c r="D4960" s="11" t="n"/>
      <c r="E4960" s="11" t="n"/>
      <c r="F4960" s="11" t="n"/>
      <c r="G4960" s="11" t="n"/>
      <c r="H4960" s="11" t="n"/>
      <c r="I4960" s="11" t="n"/>
      <c r="J4960" s="11" t="n"/>
      <c r="K4960" s="11" t="n"/>
      <c r="L4960" s="11" t="n"/>
      <c r="M4960" s="11" t="n"/>
    </row>
    <row r="4961">
      <c r="A4961" s="11" t="n"/>
      <c r="B4961" s="11" t="n"/>
      <c r="C4961" s="11" t="n"/>
      <c r="D4961" s="11" t="n"/>
      <c r="E4961" s="11" t="n"/>
      <c r="F4961" s="11" t="n"/>
      <c r="G4961" s="11" t="n"/>
      <c r="H4961" s="11" t="n"/>
      <c r="I4961" s="11" t="n"/>
      <c r="J4961" s="11" t="n"/>
      <c r="K4961" s="11" t="n"/>
      <c r="L4961" s="11" t="n"/>
      <c r="M4961" s="11" t="n"/>
    </row>
    <row r="4962">
      <c r="A4962" s="11" t="n"/>
      <c r="B4962" s="11" t="n"/>
      <c r="C4962" s="11" t="n"/>
      <c r="D4962" s="11" t="n"/>
      <c r="E4962" s="11" t="n"/>
      <c r="F4962" s="11" t="n"/>
      <c r="G4962" s="11" t="n"/>
      <c r="H4962" s="11" t="n"/>
      <c r="I4962" s="11" t="n"/>
      <c r="J4962" s="11" t="n"/>
      <c r="K4962" s="11" t="n"/>
      <c r="L4962" s="11" t="n"/>
      <c r="M4962" s="11" t="n"/>
    </row>
    <row r="4963">
      <c r="A4963" s="11" t="n"/>
      <c r="B4963" s="11" t="n"/>
      <c r="C4963" s="11" t="n"/>
      <c r="D4963" s="11" t="n"/>
      <c r="E4963" s="11" t="n"/>
      <c r="F4963" s="11" t="n"/>
      <c r="G4963" s="11" t="n"/>
      <c r="H4963" s="11" t="n"/>
      <c r="I4963" s="11" t="n"/>
      <c r="J4963" s="11" t="n"/>
      <c r="K4963" s="11" t="n"/>
      <c r="L4963" s="11" t="n"/>
      <c r="M4963" s="11" t="n"/>
    </row>
    <row r="4964">
      <c r="A4964" s="11" t="n"/>
      <c r="B4964" s="11" t="n"/>
      <c r="C4964" s="11" t="n"/>
      <c r="D4964" s="11" t="n"/>
      <c r="E4964" s="11" t="n"/>
      <c r="F4964" s="11" t="n"/>
      <c r="G4964" s="11" t="n"/>
      <c r="H4964" s="11" t="n"/>
      <c r="I4964" s="11" t="n"/>
      <c r="J4964" s="11" t="n"/>
      <c r="K4964" s="11" t="n"/>
      <c r="L4964" s="11" t="n"/>
      <c r="M4964" s="11" t="n"/>
    </row>
    <row r="4965">
      <c r="A4965" s="11" t="n"/>
      <c r="B4965" s="11" t="n"/>
      <c r="C4965" s="11" t="n"/>
      <c r="D4965" s="11" t="n"/>
      <c r="E4965" s="11" t="n"/>
      <c r="F4965" s="11" t="n"/>
      <c r="G4965" s="11" t="n"/>
      <c r="H4965" s="11" t="n"/>
      <c r="I4965" s="11" t="n"/>
      <c r="J4965" s="11" t="n"/>
      <c r="K4965" s="11" t="n"/>
      <c r="L4965" s="11" t="n"/>
      <c r="M4965" s="11" t="n"/>
    </row>
    <row r="4966">
      <c r="A4966" s="11" t="n"/>
      <c r="B4966" s="11" t="n"/>
      <c r="C4966" s="11" t="n"/>
      <c r="D4966" s="11" t="n"/>
      <c r="E4966" s="11" t="n"/>
      <c r="F4966" s="11" t="n"/>
      <c r="G4966" s="11" t="n"/>
      <c r="H4966" s="11" t="n"/>
      <c r="I4966" s="11" t="n"/>
      <c r="J4966" s="11" t="n"/>
      <c r="K4966" s="11" t="n"/>
      <c r="L4966" s="11" t="n"/>
      <c r="M4966" s="11" t="n"/>
    </row>
    <row r="4967">
      <c r="A4967" s="11" t="n"/>
      <c r="B4967" s="11" t="n"/>
      <c r="C4967" s="11" t="n"/>
      <c r="D4967" s="11" t="n"/>
      <c r="E4967" s="11" t="n"/>
      <c r="F4967" s="11" t="n"/>
      <c r="G4967" s="11" t="n"/>
      <c r="H4967" s="11" t="n"/>
      <c r="I4967" s="11" t="n"/>
      <c r="J4967" s="11" t="n"/>
      <c r="K4967" s="11" t="n"/>
      <c r="L4967" s="11" t="n"/>
      <c r="M4967" s="11" t="n"/>
    </row>
    <row r="4968">
      <c r="A4968" s="11" t="n"/>
      <c r="B4968" s="11" t="n"/>
      <c r="C4968" s="11" t="n"/>
      <c r="D4968" s="11" t="n"/>
      <c r="E4968" s="11" t="n"/>
      <c r="F4968" s="11" t="n"/>
      <c r="G4968" s="11" t="n"/>
      <c r="H4968" s="11" t="n"/>
      <c r="I4968" s="11" t="n"/>
      <c r="J4968" s="11" t="n"/>
      <c r="K4968" s="11" t="n"/>
      <c r="L4968" s="11" t="n"/>
      <c r="M4968" s="11" t="n"/>
    </row>
    <row r="4969">
      <c r="A4969" s="11" t="n"/>
      <c r="B4969" s="11" t="n"/>
      <c r="C4969" s="11" t="n"/>
      <c r="D4969" s="11" t="n"/>
      <c r="E4969" s="11" t="n"/>
      <c r="F4969" s="11" t="n"/>
      <c r="G4969" s="11" t="n"/>
      <c r="H4969" s="11" t="n"/>
      <c r="I4969" s="11" t="n"/>
      <c r="J4969" s="11" t="n"/>
      <c r="K4969" s="11" t="n"/>
      <c r="L4969" s="11" t="n"/>
      <c r="M4969" s="11" t="n"/>
    </row>
    <row r="4970">
      <c r="A4970" s="11" t="n"/>
      <c r="B4970" s="11" t="n"/>
      <c r="C4970" s="11" t="n"/>
      <c r="D4970" s="11" t="n"/>
      <c r="E4970" s="11" t="n"/>
      <c r="F4970" s="11" t="n"/>
      <c r="G4970" s="11" t="n"/>
      <c r="H4970" s="11" t="n"/>
      <c r="I4970" s="11" t="n"/>
      <c r="J4970" s="11" t="n"/>
      <c r="K4970" s="11" t="n"/>
      <c r="L4970" s="11" t="n"/>
      <c r="M4970" s="11" t="n"/>
    </row>
    <row r="4971">
      <c r="A4971" s="11" t="n"/>
      <c r="B4971" s="11" t="n"/>
      <c r="C4971" s="11" t="n"/>
      <c r="D4971" s="11" t="n"/>
      <c r="E4971" s="11" t="n"/>
      <c r="F4971" s="11" t="n"/>
      <c r="G4971" s="11" t="n"/>
      <c r="H4971" s="11" t="n"/>
      <c r="I4971" s="11" t="n"/>
      <c r="J4971" s="11" t="n"/>
      <c r="K4971" s="11" t="n"/>
      <c r="L4971" s="11" t="n"/>
      <c r="M4971" s="11" t="n"/>
    </row>
    <row r="4972">
      <c r="A4972" s="11" t="n"/>
      <c r="B4972" s="11" t="n"/>
      <c r="C4972" s="11" t="n"/>
      <c r="D4972" s="11" t="n"/>
      <c r="E4972" s="11" t="n"/>
      <c r="F4972" s="11" t="n"/>
      <c r="G4972" s="11" t="n"/>
      <c r="H4972" s="11" t="n"/>
      <c r="I4972" s="11" t="n"/>
      <c r="J4972" s="11" t="n"/>
      <c r="K4972" s="11" t="n"/>
      <c r="L4972" s="11" t="n"/>
      <c r="M4972" s="11" t="n"/>
    </row>
    <row r="4973">
      <c r="A4973" s="11" t="n"/>
      <c r="B4973" s="11" t="n"/>
      <c r="C4973" s="11" t="n"/>
      <c r="D4973" s="11" t="n"/>
      <c r="E4973" s="11" t="n"/>
      <c r="F4973" s="11" t="n"/>
      <c r="G4973" s="11" t="n"/>
      <c r="H4973" s="11" t="n"/>
      <c r="I4973" s="11" t="n"/>
      <c r="J4973" s="11" t="n"/>
      <c r="K4973" s="11" t="n"/>
      <c r="L4973" s="11" t="n"/>
      <c r="M4973" s="11" t="n"/>
    </row>
    <row r="4974">
      <c r="A4974" s="11" t="n"/>
      <c r="B4974" s="11" t="n"/>
      <c r="C4974" s="11" t="n"/>
      <c r="D4974" s="11" t="n"/>
      <c r="E4974" s="11" t="n"/>
      <c r="F4974" s="11" t="n"/>
      <c r="G4974" s="11" t="n"/>
      <c r="H4974" s="11" t="n"/>
      <c r="I4974" s="11" t="n"/>
      <c r="J4974" s="11" t="n"/>
      <c r="K4974" s="11" t="n"/>
      <c r="L4974" s="11" t="n"/>
      <c r="M4974" s="11" t="n"/>
    </row>
    <row r="4975">
      <c r="A4975" s="11" t="n"/>
      <c r="B4975" s="11" t="n"/>
      <c r="C4975" s="11" t="n"/>
      <c r="D4975" s="11" t="n"/>
      <c r="E4975" s="11" t="n"/>
      <c r="F4975" s="11" t="n"/>
      <c r="G4975" s="11" t="n"/>
      <c r="H4975" s="11" t="n"/>
      <c r="I4975" s="11" t="n"/>
      <c r="J4975" s="11" t="n"/>
      <c r="K4975" s="11" t="n"/>
      <c r="L4975" s="11" t="n"/>
      <c r="M4975" s="11" t="n"/>
    </row>
    <row r="4976">
      <c r="A4976" s="11" t="n"/>
      <c r="B4976" s="11" t="n"/>
      <c r="C4976" s="11" t="n"/>
      <c r="D4976" s="11" t="n"/>
      <c r="E4976" s="11" t="n"/>
      <c r="F4976" s="11" t="n"/>
      <c r="G4976" s="11" t="n"/>
      <c r="H4976" s="11" t="n"/>
      <c r="I4976" s="11" t="n"/>
      <c r="J4976" s="11" t="n"/>
      <c r="K4976" s="11" t="n"/>
      <c r="L4976" s="11" t="n"/>
      <c r="M4976" s="11" t="n"/>
    </row>
    <row r="4977">
      <c r="A4977" s="11" t="n"/>
      <c r="B4977" s="11" t="n"/>
      <c r="C4977" s="11" t="n"/>
      <c r="D4977" s="11" t="n"/>
      <c r="E4977" s="11" t="n"/>
      <c r="F4977" s="11" t="n"/>
      <c r="G4977" s="11" t="n"/>
      <c r="H4977" s="11" t="n"/>
      <c r="I4977" s="11" t="n"/>
      <c r="J4977" s="11" t="n"/>
      <c r="K4977" s="11" t="n"/>
      <c r="L4977" s="11" t="n"/>
      <c r="M4977" s="11" t="n"/>
    </row>
    <row r="4978">
      <c r="A4978" s="11" t="n"/>
      <c r="B4978" s="11" t="n"/>
      <c r="C4978" s="11" t="n"/>
      <c r="D4978" s="11" t="n"/>
      <c r="E4978" s="11" t="n"/>
      <c r="F4978" s="11" t="n"/>
      <c r="G4978" s="11" t="n"/>
      <c r="H4978" s="11" t="n"/>
      <c r="I4978" s="11" t="n"/>
      <c r="J4978" s="11" t="n"/>
      <c r="K4978" s="11" t="n"/>
      <c r="L4978" s="11" t="n"/>
      <c r="M4978" s="11" t="n"/>
    </row>
    <row r="4979">
      <c r="A4979" s="11" t="n"/>
      <c r="B4979" s="11" t="n"/>
      <c r="C4979" s="11" t="n"/>
      <c r="D4979" s="11" t="n"/>
      <c r="E4979" s="11" t="n"/>
      <c r="F4979" s="11" t="n"/>
      <c r="G4979" s="11" t="n"/>
      <c r="H4979" s="11" t="n"/>
      <c r="I4979" s="11" t="n"/>
      <c r="J4979" s="11" t="n"/>
      <c r="K4979" s="11" t="n"/>
      <c r="L4979" s="11" t="n"/>
      <c r="M4979" s="11" t="n"/>
    </row>
    <row r="4980">
      <c r="A4980" s="11" t="n"/>
      <c r="B4980" s="11" t="n"/>
      <c r="C4980" s="11" t="n"/>
      <c r="D4980" s="11" t="n"/>
      <c r="E4980" s="11" t="n"/>
      <c r="F4980" s="11" t="n"/>
      <c r="G4980" s="11" t="n"/>
      <c r="H4980" s="11" t="n"/>
      <c r="I4980" s="11" t="n"/>
      <c r="J4980" s="11" t="n"/>
      <c r="K4980" s="11" t="n"/>
      <c r="L4980" s="11" t="n"/>
      <c r="M4980" s="11" t="n"/>
    </row>
    <row r="4981">
      <c r="A4981" s="11" t="n"/>
      <c r="B4981" s="11" t="n"/>
      <c r="C4981" s="11" t="n"/>
      <c r="D4981" s="11" t="n"/>
      <c r="E4981" s="11" t="n"/>
      <c r="F4981" s="11" t="n"/>
      <c r="G4981" s="11" t="n"/>
      <c r="H4981" s="11" t="n"/>
      <c r="I4981" s="11" t="n"/>
      <c r="J4981" s="11" t="n"/>
      <c r="K4981" s="11" t="n"/>
      <c r="L4981" s="11" t="n"/>
      <c r="M4981" s="11" t="n"/>
    </row>
    <row r="4982">
      <c r="A4982" s="11" t="n"/>
      <c r="B4982" s="11" t="n"/>
      <c r="C4982" s="11" t="n"/>
      <c r="D4982" s="11" t="n"/>
      <c r="E4982" s="11" t="n"/>
      <c r="F4982" s="11" t="n"/>
      <c r="G4982" s="11" t="n"/>
      <c r="H4982" s="11" t="n"/>
      <c r="I4982" s="11" t="n"/>
      <c r="J4982" s="11" t="n"/>
      <c r="K4982" s="11" t="n"/>
      <c r="L4982" s="11" t="n"/>
      <c r="M4982" s="11" t="n"/>
    </row>
    <row r="4983">
      <c r="A4983" s="11" t="n"/>
      <c r="B4983" s="11" t="n"/>
      <c r="C4983" s="11" t="n"/>
      <c r="D4983" s="11" t="n"/>
      <c r="E4983" s="11" t="n"/>
      <c r="F4983" s="11" t="n"/>
      <c r="G4983" s="11" t="n"/>
      <c r="H4983" s="11" t="n"/>
      <c r="I4983" s="11" t="n"/>
      <c r="J4983" s="11" t="n"/>
      <c r="K4983" s="11" t="n"/>
      <c r="L4983" s="11" t="n"/>
      <c r="M4983" s="11" t="n"/>
    </row>
    <row r="4984">
      <c r="A4984" s="11" t="n"/>
      <c r="B4984" s="11" t="n"/>
      <c r="C4984" s="11" t="n"/>
      <c r="D4984" s="11" t="n"/>
      <c r="E4984" s="11" t="n"/>
      <c r="F4984" s="11" t="n"/>
      <c r="G4984" s="11" t="n"/>
      <c r="H4984" s="11" t="n"/>
      <c r="I4984" s="11" t="n"/>
      <c r="J4984" s="11" t="n"/>
      <c r="K4984" s="11" t="n"/>
      <c r="L4984" s="11" t="n"/>
      <c r="M4984" s="11" t="n"/>
    </row>
    <row r="4985">
      <c r="A4985" s="11" t="n"/>
      <c r="B4985" s="11" t="n"/>
      <c r="C4985" s="11" t="n"/>
      <c r="D4985" s="11" t="n"/>
      <c r="E4985" s="11" t="n"/>
      <c r="F4985" s="11" t="n"/>
      <c r="G4985" s="11" t="n"/>
      <c r="H4985" s="11" t="n"/>
      <c r="I4985" s="11" t="n"/>
      <c r="J4985" s="11" t="n"/>
      <c r="K4985" s="11" t="n"/>
      <c r="L4985" s="11" t="n"/>
      <c r="M4985" s="11" t="n"/>
    </row>
    <row r="4986">
      <c r="A4986" s="11" t="n"/>
      <c r="B4986" s="11" t="n"/>
      <c r="C4986" s="11" t="n"/>
      <c r="D4986" s="11" t="n"/>
      <c r="E4986" s="11" t="n"/>
      <c r="F4986" s="11" t="n"/>
      <c r="G4986" s="11" t="n"/>
      <c r="H4986" s="11" t="n"/>
      <c r="I4986" s="11" t="n"/>
      <c r="J4986" s="11" t="n"/>
      <c r="K4986" s="11" t="n"/>
      <c r="L4986" s="11" t="n"/>
      <c r="M4986" s="11" t="n"/>
    </row>
    <row r="4987">
      <c r="A4987" s="11" t="n"/>
      <c r="B4987" s="11" t="n"/>
      <c r="C4987" s="11" t="n"/>
      <c r="D4987" s="11" t="n"/>
      <c r="E4987" s="11" t="n"/>
      <c r="F4987" s="11" t="n"/>
      <c r="G4987" s="11" t="n"/>
      <c r="H4987" s="11" t="n"/>
      <c r="I4987" s="11" t="n"/>
      <c r="J4987" s="11" t="n"/>
      <c r="K4987" s="11" t="n"/>
      <c r="L4987" s="11" t="n"/>
      <c r="M4987" s="11" t="n"/>
    </row>
    <row r="4988">
      <c r="A4988" s="11" t="n"/>
      <c r="B4988" s="11" t="n"/>
      <c r="C4988" s="11" t="n"/>
      <c r="D4988" s="11" t="n"/>
      <c r="E4988" s="11" t="n"/>
      <c r="F4988" s="11" t="n"/>
      <c r="G4988" s="11" t="n"/>
      <c r="H4988" s="11" t="n"/>
      <c r="I4988" s="11" t="n"/>
      <c r="J4988" s="11" t="n"/>
      <c r="K4988" s="11" t="n"/>
      <c r="L4988" s="11" t="n"/>
      <c r="M4988" s="11" t="n"/>
    </row>
    <row r="4989">
      <c r="A4989" s="11" t="n"/>
      <c r="B4989" s="11" t="n"/>
      <c r="C4989" s="11" t="n"/>
      <c r="D4989" s="11" t="n"/>
      <c r="E4989" s="11" t="n"/>
      <c r="F4989" s="11" t="n"/>
      <c r="G4989" s="11" t="n"/>
      <c r="H4989" s="11" t="n"/>
      <c r="I4989" s="11" t="n"/>
      <c r="J4989" s="11" t="n"/>
      <c r="K4989" s="11" t="n"/>
      <c r="L4989" s="11" t="n"/>
      <c r="M4989" s="11" t="n"/>
    </row>
    <row r="4990">
      <c r="A4990" s="11" t="n"/>
      <c r="B4990" s="11" t="n"/>
      <c r="C4990" s="11" t="n"/>
      <c r="D4990" s="11" t="n"/>
      <c r="E4990" s="11" t="n"/>
      <c r="F4990" s="11" t="n"/>
      <c r="G4990" s="11" t="n"/>
      <c r="H4990" s="11" t="n"/>
      <c r="I4990" s="11" t="n"/>
      <c r="J4990" s="11" t="n"/>
      <c r="K4990" s="11" t="n"/>
      <c r="L4990" s="11" t="n"/>
      <c r="M4990" s="11" t="n"/>
    </row>
    <row r="4991">
      <c r="A4991" s="11" t="n"/>
      <c r="B4991" s="11" t="n"/>
      <c r="C4991" s="11" t="n"/>
      <c r="D4991" s="11" t="n"/>
      <c r="E4991" s="11" t="n"/>
      <c r="F4991" s="11" t="n"/>
      <c r="G4991" s="11" t="n"/>
      <c r="H4991" s="11" t="n"/>
      <c r="I4991" s="11" t="n"/>
      <c r="J4991" s="11" t="n"/>
      <c r="K4991" s="11" t="n"/>
      <c r="L4991" s="11" t="n"/>
      <c r="M4991" s="11" t="n"/>
    </row>
    <row r="4992">
      <c r="A4992" s="11" t="n"/>
      <c r="B4992" s="11" t="n"/>
      <c r="C4992" s="11" t="n"/>
      <c r="D4992" s="11" t="n"/>
      <c r="E4992" s="11" t="n"/>
      <c r="F4992" s="11" t="n"/>
      <c r="G4992" s="11" t="n"/>
      <c r="H4992" s="11" t="n"/>
      <c r="I4992" s="11" t="n"/>
      <c r="J4992" s="11" t="n"/>
      <c r="K4992" s="11" t="n"/>
      <c r="L4992" s="11" t="n"/>
      <c r="M4992" s="11" t="n"/>
    </row>
    <row r="4993">
      <c r="A4993" s="11" t="n"/>
      <c r="B4993" s="11" t="n"/>
      <c r="C4993" s="11" t="n"/>
      <c r="D4993" s="11" t="n"/>
      <c r="E4993" s="11" t="n"/>
      <c r="F4993" s="11" t="n"/>
      <c r="G4993" s="11" t="n"/>
      <c r="H4993" s="11" t="n"/>
      <c r="I4993" s="11" t="n"/>
      <c r="J4993" s="11" t="n"/>
      <c r="K4993" s="11" t="n"/>
      <c r="L4993" s="11" t="n"/>
      <c r="M4993" s="11" t="n"/>
    </row>
    <row r="4994">
      <c r="A4994" s="11" t="n"/>
      <c r="B4994" s="11" t="n"/>
      <c r="C4994" s="11" t="n"/>
      <c r="D4994" s="11" t="n"/>
      <c r="E4994" s="11" t="n"/>
      <c r="F4994" s="11" t="n"/>
      <c r="G4994" s="11" t="n"/>
      <c r="H4994" s="11" t="n"/>
      <c r="I4994" s="11" t="n"/>
      <c r="J4994" s="11" t="n"/>
      <c r="K4994" s="11" t="n"/>
      <c r="L4994" s="11" t="n"/>
      <c r="M4994" s="11" t="n"/>
    </row>
    <row r="4995">
      <c r="A4995" s="11" t="n"/>
      <c r="B4995" s="11" t="n"/>
      <c r="C4995" s="11" t="n"/>
      <c r="D4995" s="11" t="n"/>
      <c r="E4995" s="11" t="n"/>
      <c r="F4995" s="11" t="n"/>
      <c r="G4995" s="11" t="n"/>
      <c r="H4995" s="11" t="n"/>
      <c r="I4995" s="11" t="n"/>
      <c r="J4995" s="11" t="n"/>
      <c r="K4995" s="11" t="n"/>
      <c r="L4995" s="11" t="n"/>
      <c r="M4995" s="11" t="n"/>
    </row>
    <row r="4996">
      <c r="A4996" s="11" t="n"/>
      <c r="B4996" s="11" t="n"/>
      <c r="C4996" s="11" t="n"/>
      <c r="D4996" s="11" t="n"/>
      <c r="E4996" s="11" t="n"/>
      <c r="F4996" s="11" t="n"/>
      <c r="G4996" s="11" t="n"/>
      <c r="H4996" s="11" t="n"/>
      <c r="I4996" s="11" t="n"/>
      <c r="J4996" s="11" t="n"/>
      <c r="K4996" s="11" t="n"/>
      <c r="L4996" s="11" t="n"/>
      <c r="M4996" s="11" t="n"/>
    </row>
    <row r="4997">
      <c r="A4997" s="11" t="n"/>
      <c r="B4997" s="11" t="n"/>
      <c r="C4997" s="11" t="n"/>
      <c r="D4997" s="11" t="n"/>
      <c r="E4997" s="11" t="n"/>
      <c r="F4997" s="11" t="n"/>
      <c r="G4997" s="11" t="n"/>
      <c r="H4997" s="11" t="n"/>
      <c r="I4997" s="11" t="n"/>
      <c r="J4997" s="11" t="n"/>
      <c r="K4997" s="11" t="n"/>
      <c r="L4997" s="11" t="n"/>
      <c r="M4997" s="11" t="n"/>
    </row>
    <row r="4998">
      <c r="A4998" s="11" t="n"/>
      <c r="B4998" s="11" t="n"/>
      <c r="C4998" s="11" t="n"/>
      <c r="D4998" s="11" t="n"/>
      <c r="E4998" s="11" t="n"/>
      <c r="F4998" s="11" t="n"/>
      <c r="G4998" s="11" t="n"/>
      <c r="H4998" s="11" t="n"/>
      <c r="I4998" s="11" t="n"/>
      <c r="J4998" s="11" t="n"/>
      <c r="K4998" s="11" t="n"/>
      <c r="L4998" s="11" t="n"/>
      <c r="M4998" s="11" t="n"/>
    </row>
    <row r="4999">
      <c r="A4999" s="11" t="n"/>
      <c r="B4999" s="11" t="n"/>
      <c r="C4999" s="11" t="n"/>
      <c r="D4999" s="11" t="n"/>
      <c r="E4999" s="11" t="n"/>
      <c r="F4999" s="11" t="n"/>
      <c r="G4999" s="11" t="n"/>
      <c r="H4999" s="11" t="n"/>
      <c r="I4999" s="11" t="n"/>
      <c r="J4999" s="11" t="n"/>
      <c r="K4999" s="11" t="n"/>
      <c r="L4999" s="11" t="n"/>
      <c r="M4999" s="11" t="n"/>
    </row>
    <row r="5000">
      <c r="A5000" s="11" t="n"/>
      <c r="B5000" s="11" t="n"/>
      <c r="C5000" s="11" t="n"/>
      <c r="D5000" s="11" t="n"/>
      <c r="E5000" s="11" t="n"/>
      <c r="F5000" s="11" t="n"/>
      <c r="G5000" s="11" t="n"/>
      <c r="H5000" s="11" t="n"/>
      <c r="I5000" s="11" t="n"/>
      <c r="J5000" s="11" t="n"/>
      <c r="K5000" s="11" t="n"/>
      <c r="L5000" s="11" t="n"/>
      <c r="M5000" s="11" t="n"/>
    </row>
    <row r="5001">
      <c r="A5001" s="11" t="n"/>
      <c r="B5001" s="11" t="n"/>
      <c r="C5001" s="11" t="n"/>
      <c r="D5001" s="11" t="n"/>
      <c r="E5001" s="11" t="n"/>
      <c r="F5001" s="11" t="n"/>
      <c r="G5001" s="11" t="n"/>
      <c r="H5001" s="11" t="n"/>
      <c r="I5001" s="11" t="n"/>
      <c r="J5001" s="11" t="n"/>
      <c r="K5001" s="11" t="n"/>
      <c r="L5001" s="11" t="n"/>
      <c r="M5001" s="11" t="n"/>
    </row>
    <row r="5002">
      <c r="A5002" s="11" t="n"/>
      <c r="B5002" s="11" t="n"/>
      <c r="C5002" s="11" t="n"/>
      <c r="D5002" s="11" t="n"/>
      <c r="E5002" s="11" t="n"/>
      <c r="F5002" s="11" t="n"/>
      <c r="G5002" s="11" t="n"/>
      <c r="H5002" s="11" t="n"/>
      <c r="I5002" s="11" t="n"/>
      <c r="J5002" s="11" t="n"/>
      <c r="K5002" s="11" t="n"/>
      <c r="L5002" s="11" t="n"/>
      <c r="M5002" s="11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2026-01-23T07:03:25Z</dcterms:created>
  <dcterms:modified xmlns:dcterms="http://purl.org/dc/terms/" xmlns:xsi="http://www.w3.org/2001/XMLSchema-instance" xsi:type="dcterms:W3CDTF">2026-01-27T13:44:15Z</dcterms:modified>
</cp:coreProperties>
</file>